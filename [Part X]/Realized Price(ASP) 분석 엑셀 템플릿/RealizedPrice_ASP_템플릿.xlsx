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사용방법" sheetId="1" state="visible" r:id="rId1"/>
    <sheet name="업체별 ASP" sheetId="2" state="visible" r:id="rId2"/>
    <sheet name="설정" sheetId="3" state="visible" r:id="rId3"/>
    <sheet name="RAW" sheetId="4" state="visible" r:id="rId4"/>
    <sheet name="_calc" sheetId="5" state="hidden" r:id="rId5"/>
  </sheets>
  <definedNames>
    <definedName name="hdrRowNum">'설정'!$H$5</definedName>
    <definedName name="hdrRow">INDEX(RAW!$A:$XFD,hdrRowNum,0)</definedName>
    <definedName name="hdrList">INDEX(RAW!$A:$XFD,hdrRowNum,1):INDEX(RAW!$A:$XFD,hdrRowNum,'_calc'!$Q$3)</definedName>
    <definedName name="colPer">'설정'!$H$9</definedName>
    <definedName name="dPer">INDEX(RAW!$A:$XFD,hdrRowNum+1,colPer):INDEX(RAW!$A:$XFD,1048576,colPer)</definedName>
    <definedName name="colCust">'설정'!$H$10</definedName>
    <definedName name="dCust">INDEX(RAW!$A:$XFD,hdrRowNum+1,colCust):INDEX(RAW!$A:$XFD,1048576,colCust)</definedName>
    <definedName name="colQty">'설정'!$H$11</definedName>
    <definedName name="dQty">INDEX(RAW!$A:$XFD,hdrRowNum+1,colQty):INDEX(RAW!$A:$XFD,1048576,colQty)</definedName>
    <definedName name="colAmt">'설정'!$H$12</definedName>
    <definedName name="dAmt">INDEX(RAW!$A:$XFD,hdrRowNum+1,colAmt):INDEX(RAW!$A:$XFD,1048576,colAmt)</definedName>
    <definedName name="colFlt1">'설정'!$H$22</definedName>
    <definedName name="dFlt1">INDEX(RAW!$A:$XFD,hdrRowNum+1,colFlt1):INDEX(RAW!$A:$XFD,1048576,colFlt1)</definedName>
    <definedName name="colFlt2">'설정'!$H$23</definedName>
    <definedName name="dFlt2">INDEX(RAW!$A:$XFD,hdrRowNum+1,colFlt2):INDEX(RAW!$A:$XFD,1048576,colFlt2)</definedName>
    <definedName name="colFlt3">'설정'!$H$24</definedName>
    <definedName name="dFlt3">INDEX(RAW!$A:$XFD,hdrRowNum+1,colFlt3):INDEX(RAW!$A:$XFD,1048576,colFlt3)</definedName>
    <definedName name="critFlt1">'설정'!$I$22</definedName>
    <definedName name="critFlt2">'설정'!$I$23</definedName>
    <definedName name="critFlt3">'설정'!$I$24</definedName>
    <definedName name="cyFrom">'설정'!$C$16</definedName>
    <definedName name="cyTo">'설정'!$D$16</definedName>
    <definedName name="pyFrom">'설정'!$C$18</definedName>
    <definedName name="pyTo">'설정'!$D$18</definedName>
    <definedName name="cyLabel">'설정'!$E$16</definedName>
    <definedName name="pyLabel">'설정'!$E$18</definedName>
    <definedName name="sortIdx">'설정'!$H$28</definedName>
    <definedName name="sortList">'_calc'!$Q$8:$Q$10</definedName>
    <definedName name="mapOK">'_calc'!$Q$5</definedName>
    <definedName name="dynNA">'_calc'!$Q$6</definedName>
    <definedName name="nComp">'_calc'!$Q$2</definedName>
    <definedName name="nList">'_calc'!$Q$4</definedName>
    <definedName name="_xlnm.Print_Area" localSheetId="1">'업체별 ASP'!$A$1:INDEX('업체별 ASP'!$M:$M,8+MAX(1,nComp))</definedName>
    <definedName name="_xlnm.Print_Titles" localSheetId="1">'업체별 ASP'!$6:$7</definedName>
    <definedName name="_xlnm.Print_Area" localSheetId="2">'설정'!$A$1:$F$45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0">
    <numFmt numFmtId="164" formatCode="yyyy-mm-dd"/>
    <numFmt numFmtId="165" formatCode="#,##0&quot;행&quot;"/>
    <numFmt numFmtId="166" formatCode="#,##0&quot;셀&quot;"/>
    <numFmt numFmtId="167" formatCode="0&quot;건&quot;"/>
    <numFmt numFmtId="168" formatCode="#,##0;-#,##0;&quot;-&quot;"/>
    <numFmt numFmtId="169" formatCode="0.0%;-0.0%;&quot;-&quot;"/>
    <numFmt numFmtId="170" formatCode="#,##0.00;-#,##0.00;&quot;-&quot;"/>
    <numFmt numFmtId="171" formatCode="[Red]&quot;▲&quot;#,##0.00;[Blue]&quot;▼&quot;#,##0.00;&quot;-&quot;"/>
    <numFmt numFmtId="172" formatCode="[Red]&quot;▲&quot;0.0%;[Blue]&quot;▼&quot;0.0%;&quot;-&quot;"/>
    <numFmt numFmtId="173" formatCode="yyyy-mm-dd h:mm:ss"/>
  </numFmts>
  <fonts count="12">
    <font>
      <name val="맑은 고딕"/>
      <sz val="10"/>
    </font>
    <font>
      <name val="맑은 고딕"/>
      <b val="1"/>
      <color rgb="001F3864"/>
      <sz val="15"/>
    </font>
    <font>
      <name val="맑은 고딕"/>
      <color rgb="00595959"/>
      <sz val="9"/>
    </font>
    <font>
      <name val="맑은 고딕"/>
      <b val="1"/>
      <color rgb="001F3864"/>
      <sz val="11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color rgb="000000FF"/>
      <sz val="10"/>
    </font>
    <font>
      <name val="맑은 고딕"/>
      <b val="1"/>
      <color rgb="00FF0000"/>
      <sz val="10"/>
    </font>
    <font>
      <name val="맑은 고딕"/>
      <b val="1"/>
      <color rgb="000000FF"/>
      <sz val="10"/>
    </font>
    <font>
      <name val="맑은 고딕"/>
      <color rgb="00404040"/>
      <sz val="10"/>
    </font>
    <font>
      <name val="맑은 고딕"/>
      <b val="1"/>
      <color rgb="00C00000"/>
      <sz val="10"/>
    </font>
    <font>
      <name val="맑은 고딕"/>
      <b val="1"/>
      <color rgb="00262626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DF2F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5" pivotButton="0" quotePrefix="0" xfId="0"/>
    <xf numFmtId="0" fontId="5" fillId="6" borderId="5" applyAlignment="1" pivotButton="0" quotePrefix="0" xfId="0">
      <alignment horizontal="left" vertical="center"/>
    </xf>
    <xf numFmtId="168" fontId="5" fillId="6" borderId="5" pivotButton="0" quotePrefix="0" xfId="0"/>
    <xf numFmtId="169" fontId="5" fillId="6" borderId="5" pivotButton="0" quotePrefix="0" xfId="0"/>
    <xf numFmtId="170" fontId="5" fillId="6" borderId="5" pivotButton="0" quotePrefix="0" xfId="0"/>
    <xf numFmtId="171" fontId="5" fillId="6" borderId="5" pivotButton="0" quotePrefix="0" xfId="0"/>
    <xf numFmtId="172" fontId="5" fillId="6" borderId="5" pivotButton="0" quotePrefix="0" xfId="0"/>
    <xf numFmtId="0" fontId="0" fillId="0" borderId="0" applyAlignment="1" pivotButton="0" quotePrefix="0" xfId="0">
      <alignment horizontal="center"/>
    </xf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5" fillId="0" borderId="1" applyAlignment="1" pivotButton="0" quotePrefix="0" xfId="0">
      <alignment horizontal="left" vertical="center"/>
    </xf>
    <xf numFmtId="1" fontId="6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left" vertical="center"/>
    </xf>
    <xf numFmtId="0" fontId="0" fillId="0" borderId="4" pivotButton="0" quotePrefix="0" xfId="0"/>
    <xf numFmtId="165" fontId="9" fillId="4" borderId="1" applyAlignment="1" pivotButton="0" quotePrefix="0" xfId="0">
      <alignment horizontal="left" vertical="center"/>
    </xf>
    <xf numFmtId="166" fontId="9" fillId="4" borderId="1" applyAlignment="1" pivotButton="0" quotePrefix="0" xfId="0">
      <alignment horizontal="left" vertical="center"/>
    </xf>
    <xf numFmtId="167" fontId="9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0">
    <dxf>
      <font>
        <b val="1"/>
        <color rgb="0000703C"/>
      </font>
    </dxf>
    <dxf>
      <font>
        <b val="1"/>
        <color rgb="00C00000"/>
      </font>
    </dxf>
    <dxf>
      <font>
        <b val="1"/>
        <color rgb="000000C0"/>
      </font>
    </dxf>
    <dxf>
      <fill>
        <patternFill patternType="solid">
          <bgColor rgb="00F7F9FC"/>
        </patternFill>
      </fill>
    </dxf>
    <dxf>
      <border>
        <bottom style="thin">
          <color rgb="00D9D9D9"/>
        </bottom>
      </border>
    </dxf>
    <dxf>
      <border>
        <left style="thin">
          <color rgb="00A6A6A6"/>
        </left>
        <bottom style="thin">
          <color rgb="00D9D9D9"/>
        </bottom>
      </border>
    </dxf>
    <dxf>
      <numFmt numFmtId="200" formatCode="0"/>
    </dxf>
    <dxf>
      <font>
        <color rgb="0000703C"/>
      </font>
    </dxf>
    <dxf>
      <font>
        <b val="1"/>
        <color rgb="00C65911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Meta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B1:D28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92" customWidth="1" min="4" max="4"/>
  </cols>
  <sheetData>
    <row r="1">
      <c r="B1" s="1" t="inlineStr">
        <is>
          <t>Realized Price (ASP) 전년 대비 분석 — 사용 방법</t>
        </is>
      </c>
    </row>
    <row r="2">
      <c r="B2" s="2" t="inlineStr">
        <is>
          <t>세일즈 데이터를 붙여넣으면 전체·업체별 ASP(매출액 ÷ 수량)를 전년과 비교합니다.</t>
        </is>
      </c>
    </row>
    <row r="4">
      <c r="B4" s="3" t="inlineStr">
        <is>
          <t>시작하기 — 3단계</t>
        </is>
      </c>
    </row>
    <row r="5" ht="46" customHeight="1">
      <c r="B5" s="4" t="inlineStr">
        <is>
          <t>1</t>
        </is>
      </c>
      <c r="C5" s="5" t="inlineStr">
        <is>
          <t>RAW 시트에 붙여넣기</t>
        </is>
      </c>
      <c r="D5" s="6" t="inlineStr">
        <is>
          <t>RAW 시트에서 Ctrl+A → Delete로 예시 데이터를 지운 뒤, 추출한 세일즈 데이터를 A1 셀에 헤더(열 이름) 포함 그대로 붙여넣습니다. 열이 많거나 순서가 달라도 괜찮습니다 — 필요한 열은 '헤더명'으로 찾아서 씁니다.</t>
        </is>
      </c>
    </row>
    <row r="6" ht="46" customHeight="1">
      <c r="B6" s="4" t="inlineStr">
        <is>
          <t>2</t>
        </is>
      </c>
      <c r="C6" s="5" t="inlineStr">
        <is>
          <t>설정 시트 노란 칸 입력</t>
        </is>
      </c>
      <c r="D6" s="6" t="inlineStr">
        <is>
          <t>② 열 매핑: 기간·업체·수량·매출액 헤더를 드롭다운에서 선택  /  ③ 비교 기간: 당해 시작·종료 입력 (전년은 자동으로 1년 전)  /  ④ 필터: 사업부·제품군·통화 등으로 좁힐 때만  /  ⑥ 데이터 점검이 모두 ✔ 인지 확인</t>
        </is>
      </c>
    </row>
    <row r="7" ht="46" customHeight="1">
      <c r="B7" s="4" t="inlineStr">
        <is>
          <t>3</t>
        </is>
      </c>
      <c r="C7" s="5" t="inlineStr">
        <is>
          <t>업체별 ASP 시트에서 확인</t>
        </is>
      </c>
      <c r="D7" s="6" t="inlineStr">
        <is>
          <t>맨 위 '전체' 행이 전체 ASP 전년 대비, 그 아래가 업체별입니다. 정렬 기준(매출액 / ASP 증감률)은 설정 ⑤에서 바꿀 수 있습니다.</t>
        </is>
      </c>
    </row>
    <row r="9">
      <c r="B9" s="3" t="inlineStr">
        <is>
          <t>계산 기준</t>
        </is>
      </c>
    </row>
    <row r="10" ht="20" customHeight="1">
      <c r="C10" s="5" t="inlineStr">
        <is>
          <t>ASP</t>
        </is>
      </c>
      <c r="D10" s="6" t="inlineStr">
        <is>
          <t>매출액 합계 ÷ 수량 합계  (기간·업체별로 먼저 합산한 뒤 나눔 = 수량 가중 평균 단가)</t>
        </is>
      </c>
    </row>
    <row r="11" ht="20" customHeight="1">
      <c r="C11" s="5" t="inlineStr">
        <is>
          <t>ASP 증감 / 증감률</t>
        </is>
      </c>
      <c r="D11" s="6" t="inlineStr">
        <is>
          <t>당해 ASP − 전년 ASP   /   당해 ASP ÷ 전년 ASP − 1</t>
        </is>
      </c>
    </row>
    <row r="12" ht="20" customHeight="1">
      <c r="C12" s="5" t="inlineStr">
        <is>
          <t>당해 비중</t>
        </is>
      </c>
      <c r="D12" s="6" t="inlineStr">
        <is>
          <t>업체 당해 매출액 ÷ 전체 당해 매출액</t>
        </is>
      </c>
    </row>
    <row r="13" ht="20" customHeight="1">
      <c r="C13" s="5" t="inlineStr">
        <is>
          <t>기간 판정</t>
        </is>
      </c>
      <c r="D13" s="6" t="inlineStr">
        <is>
          <t>기간 열 값이 [시작, 종료] 안에 드는 행만 합산 (날짜 · 연도 2026 · 연월 202609 숫자 모두 가능)</t>
        </is>
      </c>
    </row>
    <row r="14" ht="20" customHeight="1">
      <c r="C14" s="5" t="inlineStr">
        <is>
          <t>비고</t>
        </is>
      </c>
      <c r="D14" s="6" t="inlineStr">
        <is>
          <t>신규(전년 수량 없음) / 당해 수량 없음 → 해당 업체는 ASP 증감을 계산하지 않음</t>
        </is>
      </c>
    </row>
    <row r="16">
      <c r="B16" s="3" t="inlineStr">
        <is>
          <t>주의할 점</t>
        </is>
      </c>
    </row>
    <row r="17" ht="30" customHeight="1">
      <c r="C17" s="6" t="inlineStr">
        <is>
          <t>•  수량 단위(KG / EA 등)나 통화가 섞여 있으면 ASP가 왜곡됩니다 → 설정 ④ 필터로 하나만 남기세요.</t>
        </is>
      </c>
    </row>
    <row r="18" ht="30" customHeight="1">
      <c r="C18" s="6" t="inlineStr">
        <is>
          <t>•  업체 ASP 증감에는 '같은 제품의 가격 변화'와 '제품 믹스 변화'가 함께 들어 있습니다. 제품군별로 보려면 필터에 제품군을 지정하세요.</t>
        </is>
      </c>
    </row>
    <row r="19" ht="30" customHeight="1">
      <c r="C19" s="6" t="inlineStr">
        <is>
          <t>•  반품(− 수량)과 단가 소급 정산(수량 0, 금액만 있는 행)도 그대로 합산됩니다 = 실제 실현 단가.</t>
        </is>
      </c>
    </row>
    <row r="20" ht="30" customHeight="1">
      <c r="C20" s="6" t="inlineStr">
        <is>
          <t>•  날짜·숫자가 텍스트로 붙여넣어지면 합계에서 빠집니다 → 설정 ⑥ 데이터 점검에서 확인하세요.</t>
        </is>
      </c>
    </row>
    <row r="21" ht="30" customHeight="1">
      <c r="C21" s="6" t="inlineStr">
        <is>
          <t>•  업체 목록 자동 생성에는 Excel 2021 또는 Microsoft 365가 필요합니다(UNIQUE 함수). 이전 버전은 설정 ⑥의 안내대로 업체 목록을 직접 붙여넣으세요.</t>
        </is>
      </c>
    </row>
    <row r="22" ht="30" customHeight="1">
      <c r="C22" s="6" t="inlineStr">
        <is>
          <t>•  업체는 최대 3,000개까지 표시됩니다. 수식이 들어 있는 칸(흰색·회색)은 지우지 마세요.</t>
        </is>
      </c>
    </row>
    <row r="24">
      <c r="B24" s="3" t="inlineStr">
        <is>
          <t>표시 안내</t>
        </is>
      </c>
    </row>
    <row r="25">
      <c r="C25" s="7" t="inlineStr">
        <is>
          <t>입력</t>
        </is>
      </c>
      <c r="D25" s="8" t="inlineStr">
        <is>
          <t>노란 칸 = 직접 입력하거나 드롭다운에서 고르는 칸</t>
        </is>
      </c>
    </row>
    <row r="26">
      <c r="C26" s="9" t="inlineStr">
        <is>
          <t>▲ 1.2%</t>
        </is>
      </c>
      <c r="D26" s="8" t="inlineStr">
        <is>
          <t>전년 대비 상승</t>
        </is>
      </c>
    </row>
    <row r="27">
      <c r="C27" s="10" t="inlineStr">
        <is>
          <t>▼ 1.2%</t>
        </is>
      </c>
      <c r="D27" s="8" t="inlineStr">
        <is>
          <t>전년 대비 하락</t>
        </is>
      </c>
    </row>
    <row r="28">
      <c r="C28" s="11" t="inlineStr">
        <is>
          <t>자동</t>
        </is>
      </c>
      <c r="D28" s="8" t="inlineStr">
        <is>
          <t>회색 칸 = 자동 계산 (수정 불필요)</t>
        </is>
      </c>
    </row>
  </sheetData>
  <mergeCells count="6">
    <mergeCell ref="C20:D20"/>
    <mergeCell ref="C21:D21"/>
    <mergeCell ref="C19:D19"/>
    <mergeCell ref="C22:D22"/>
    <mergeCell ref="C18:D18"/>
    <mergeCell ref="C17:D17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N3008"/>
  <sheetViews>
    <sheetView showGridLines="0" tabSelected="1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5" customWidth="1" min="2" max="2"/>
    <col width="28" customWidth="1" min="3" max="3"/>
    <col width="15" customWidth="1" min="4" max="4"/>
    <col width="15" customWidth="1" min="5" max="5"/>
    <col width="9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0" customWidth="1" min="12" max="12"/>
    <col width="22" customWidth="1" min="13" max="13"/>
    <col hidden="1" width="8" customWidth="1" min="14" max="14"/>
  </cols>
  <sheetData>
    <row r="1">
      <c r="B1" s="1" t="inlineStr">
        <is>
          <t>업체별 Realized Price (ASP) — 전년 대비</t>
        </is>
      </c>
    </row>
    <row r="2">
      <c r="B2" s="2" t="str">
        <f>"비교 기간   당해 "&amp;cyLabel&amp;"   vs   전년 "&amp;pyLabel&amp;"      |      ASP = "&amp;'설정'!$C$12&amp;" ÷ "&amp;'설정'!$C$11&amp;"      |      필터: "&amp;'설정'!$C$25</f>
        <v>비교 기간   당해 2026.01.01 ~ 2026.09.30   vs   전년 2025.01.01 ~ 2025.09.30      |      ASP = 순매출액 ÷ 판매수량      |      필터: 없음 (전체 데이터)</v>
      </c>
    </row>
    <row r="3">
      <c r="B3" s="12" t="str">
        <f>"데이터 점검: "&amp;'설정'!$E$45&amp;IF('설정'!$C$45=0,"","   → [설정] 시트 ⑥ 데이터 점검을 확인하세요")</f>
        <v>데이터 점검: ⚠ 1건 확인 필요   → [설정] 시트 ⑥ 데이터 점검을 확인하세요</v>
      </c>
    </row>
    <row r="4" ht="24" customHeight="1">
      <c r="B4" s="13" t="str">
        <f>IF(OR(I8="",J8=""),"전체 ASP: 계산할 수 없습니다 (설정 시트 확인)","전체 ASP   전년 "&amp;TEXT(I8,"#,##0.00")&amp;"   →   당해 "&amp;TEXT(J8,"#,##0.00")&amp;"     ("&amp;IF(L8="","-",IF(L8&gt;0,"▲ ",IF(L8&lt;0,"▼ ",""))&amp;TEXT(ABS(L8),"0.0%"))&amp;")")</f>
        <v>전체 ASP   전년 1,957.99   →   당해 2,037.43     (▲ 4.1%)</v>
      </c>
    </row>
    <row r="6" ht="20" customHeight="1">
      <c r="B6" s="14" t="inlineStr">
        <is>
          <t>No</t>
        </is>
      </c>
      <c r="C6" s="14" t="inlineStr">
        <is>
          <t>업체</t>
        </is>
      </c>
      <c r="D6" s="14" t="inlineStr">
        <is>
          <t>매출액</t>
        </is>
      </c>
      <c r="E6" s="14" t="n"/>
      <c r="F6" s="14" t="n"/>
      <c r="G6" s="14" t="inlineStr">
        <is>
          <t>수량</t>
        </is>
      </c>
      <c r="H6" s="14" t="n"/>
      <c r="I6" s="14" t="inlineStr">
        <is>
          <t>ASP  (매출액 ÷ 수량)</t>
        </is>
      </c>
      <c r="J6" s="14" t="n"/>
      <c r="K6" s="14" t="n"/>
      <c r="L6" s="14" t="n"/>
      <c r="M6" s="14" t="inlineStr">
        <is>
          <t>비고</t>
        </is>
      </c>
    </row>
    <row r="7" ht="20" customHeight="1">
      <c r="B7" s="15" t="n"/>
      <c r="C7" s="15" t="n"/>
      <c r="D7" s="16" t="inlineStr">
        <is>
          <t>전년</t>
        </is>
      </c>
      <c r="E7" s="16" t="inlineStr">
        <is>
          <t>당해</t>
        </is>
      </c>
      <c r="F7" s="16" t="inlineStr">
        <is>
          <t>당해 비중</t>
        </is>
      </c>
      <c r="G7" s="16" t="inlineStr">
        <is>
          <t>전년</t>
        </is>
      </c>
      <c r="H7" s="16" t="inlineStr">
        <is>
          <t>당해</t>
        </is>
      </c>
      <c r="I7" s="16" t="inlineStr">
        <is>
          <t>전년</t>
        </is>
      </c>
      <c r="J7" s="16" t="inlineStr">
        <is>
          <t>당해</t>
        </is>
      </c>
      <c r="K7" s="16" t="inlineStr">
        <is>
          <t>증감</t>
        </is>
      </c>
      <c r="L7" s="16" t="inlineStr">
        <is>
          <t>증감률</t>
        </is>
      </c>
      <c r="M7" s="15" t="n"/>
    </row>
    <row r="8" ht="20" customHeight="1">
      <c r="B8" s="17" t="n"/>
      <c r="C8" s="18" t="inlineStr">
        <is>
          <t>전체</t>
        </is>
      </c>
      <c r="D8" s="19">
        <f>SUMIFS(dAmt,dPer,"&gt;="&amp;pyFrom,dPer,"&lt;="&amp;pyTo,dAmt,"&gt;-1E+300",dFlt1,critFlt1,dFlt2,critFlt2,dFlt3,critFlt3)</f>
        <v>3952732664</v>
      </c>
      <c r="E8" s="19">
        <f>SUMIFS(dAmt,dPer,"&gt;="&amp;cyFrom,dPer,"&lt;="&amp;cyTo,dAmt,"&gt;-1E+300",dFlt1,critFlt1,dFlt2,critFlt2,dFlt3,critFlt3)</f>
        <v>4608364811</v>
      </c>
      <c r="F8" s="20">
        <f>IF(E8=0,"",1)</f>
        <v>1</v>
      </c>
      <c r="G8" s="19">
        <f>SUMIFS(dQty,dPer,"&gt;="&amp;pyFrom,dPer,"&lt;="&amp;pyTo,dQty,"&gt;-1E+300",dFlt1,critFlt1,dFlt2,critFlt2,dFlt3,critFlt3)</f>
        <v>2018775</v>
      </c>
      <c r="H8" s="19">
        <f>SUMIFS(dQty,dPer,"&gt;="&amp;cyFrom,dPer,"&lt;="&amp;cyTo,dQty,"&gt;-1E+300",dFlt1,critFlt1,dFlt2,critFlt2,dFlt3,critFlt3)</f>
        <v>2261850</v>
      </c>
      <c r="I8" s="21">
        <f>IF(OR(NOT(mapOK),G8=0),"",D8/G8)</f>
        <v>1957.9857408577</v>
      </c>
      <c r="J8" s="21">
        <f>IF(OR(NOT(mapOK),H8=0),"",E8/H8)</f>
        <v>2037.43166478767</v>
      </c>
      <c r="K8" s="22">
        <f>IF(OR(I8="",J8=""),"",J8-I8)</f>
        <v>79.4459239299754</v>
      </c>
      <c r="L8" s="23">
        <f>IF(OR(I8="",J8=""),"",IF(I8=0,"",J8/I8-1))</f>
        <v>0.0405753332479193</v>
      </c>
      <c r="M8" s="18" t="str">
        <f>IF(AND(G8=0,H8=0),"수량 없음",IF(G8=0,"전년 수량 없음",IF(H8=0,"당해 수량 없음","")))</f>
        <v/>
      </c>
    </row>
    <row r="9">
      <c r="B9" s="24">
        <f>IF(ROW()-ROW($B$8)&gt;nComp,"",ROW()-ROW($B$8))</f>
        <v>1</v>
      </c>
      <c r="C9" t="str">
        <f>IF($N9="","",INDEX('_calc'!$A$2:$A$3001,$N9))</f>
        <v>Sinar Plastik (ID)</v>
      </c>
      <c r="D9" s="25">
        <f>IF($N9="","",INDEX('_calc'!$C$2:$C$3001,$N9))</f>
        <v>421977654</v>
      </c>
      <c r="E9" s="25">
        <f>IF($N9="","",INDEX('_calc'!$D$2:$D$3001,$N9))</f>
        <v>398348378</v>
      </c>
      <c r="F9" s="26">
        <f>IF($N9="","",IF($E$8=0,"",E9/$E$8))</f>
        <v>0.0864402872466079</v>
      </c>
      <c r="G9" s="25">
        <f>IF($N9="","",INDEX('_calc'!$E$2:$E$3001,$N9))</f>
        <v>253975</v>
      </c>
      <c r="H9" s="25">
        <f>IF($N9="","",INDEX('_calc'!$F$2:$F$3001,$N9))</f>
        <v>239600</v>
      </c>
      <c r="I9" s="27">
        <f>IF($N9="","",INDEX('_calc'!$H$2:$H$3001,$N9))</f>
        <v>1661.4928792204</v>
      </c>
      <c r="J9" s="27">
        <f>IF($N9="","",INDEX('_calc'!$I$2:$I$3001,$N9))</f>
        <v>1662.55583472454</v>
      </c>
      <c r="K9" s="28">
        <f>IF($N9="","",IF(OR(I9="",J9=""),"",J9-I9))</f>
        <v>1.06295550414529</v>
      </c>
      <c r="L9" s="29">
        <f>IF($N9="","",INDEX('_calc'!$J$2:$J$3001,$N9))</f>
        <v>0.000639759289635888</v>
      </c>
      <c r="M9" s="2" t="str">
        <f>IF($N9="","",IF(AND(G9=0,H9=0),"수량 없음",IF(G9=0,"신규 (전년 수량 없음)",IF(H9=0,"당해 수량 없음",""))))</f>
        <v/>
      </c>
      <c r="N9">
        <f>IF($B9="","",MATCH($B9,'_calc'!$L$2:$L$3001,0))</f>
        <v>14</v>
      </c>
    </row>
    <row r="10">
      <c r="B10" s="24">
        <f>IF(ROW()-ROW($B$8)&gt;nComp,"",ROW()-ROW($B$8))</f>
        <v>2</v>
      </c>
      <c r="C10" t="str">
        <f>IF($N10="","",INDEX('_calc'!$A$2:$A$3001,$N10))</f>
        <v>큰별코리아</v>
      </c>
      <c r="D10" s="25">
        <f>IF($N10="","",INDEX('_calc'!$C$2:$C$3001,$N10))</f>
        <v>290530624</v>
      </c>
      <c r="E10" s="25">
        <f>IF($N10="","",INDEX('_calc'!$D$2:$D$3001,$N10))</f>
        <v>381024971</v>
      </c>
      <c r="F10" s="26">
        <f>IF($N10="","",IF($E$8=0,"",E10/$E$8))</f>
        <v>0.0826811649308898</v>
      </c>
      <c r="G10" s="25">
        <f>IF($N10="","",INDEX('_calc'!$E$2:$E$3001,$N10))</f>
        <v>202875</v>
      </c>
      <c r="H10" s="25">
        <f>IF($N10="","",INDEX('_calc'!$F$2:$F$3001,$N10))</f>
        <v>270000</v>
      </c>
      <c r="I10" s="27">
        <f>IF($N10="","",INDEX('_calc'!$H$2:$H$3001,$N10))</f>
        <v>1432.06715465188</v>
      </c>
      <c r="J10" s="27">
        <f>IF($N10="","",INDEX('_calc'!$I$2:$I$3001,$N10))</f>
        <v>1411.2035962963</v>
      </c>
      <c r="K10" s="28">
        <f>IF($N10="","",IF(OR(I10="",J10=""),"",J10-I10))</f>
        <v>-20.8635583555829</v>
      </c>
      <c r="L10" s="29">
        <f>IF($N10="","",INDEX('_calc'!$J$2:$J$3001,$N10))</f>
        <v>-0.014568840775246</v>
      </c>
      <c r="M10" s="2" t="str">
        <f>IF($N10="","",IF(AND(G10=0,H10=0),"수량 없음",IF(G10=0,"신규 (전년 수량 없음)",IF(H10=0,"당해 수량 없음",""))))</f>
        <v/>
      </c>
      <c r="N10">
        <f>IF($B10="","",MATCH($B10,'_calc'!$L$2:$L$3001,0))</f>
        <v>6</v>
      </c>
    </row>
    <row r="11">
      <c r="B11" s="24">
        <f>IF(ROW()-ROW($B$8)&gt;nComp,"",ROW()-ROW($B$8))</f>
        <v>3</v>
      </c>
      <c r="C11" t="str">
        <f>IF($N11="","",INDEX('_calc'!$A$2:$A$3001,$N11))</f>
        <v>새봄플라스틱</v>
      </c>
      <c r="D11" s="25">
        <f>IF($N11="","",INDEX('_calc'!$C$2:$C$3001,$N11))</f>
        <v>202915490</v>
      </c>
      <c r="E11" s="25">
        <f>IF($N11="","",INDEX('_calc'!$D$2:$D$3001,$N11))</f>
        <v>350242959</v>
      </c>
      <c r="F11" s="26">
        <f>IF($N11="","",IF($E$8=0,"",E11/$E$8))</f>
        <v>0.0760015696161864</v>
      </c>
      <c r="G11" s="25">
        <f>IF($N11="","",INDEX('_calc'!$E$2:$E$3001,$N11))</f>
        <v>84650</v>
      </c>
      <c r="H11" s="25">
        <f>IF($N11="","",INDEX('_calc'!$F$2:$F$3001,$N11))</f>
        <v>136300</v>
      </c>
      <c r="I11" s="27">
        <f>IF($N11="","",INDEX('_calc'!$H$2:$H$3001,$N11))</f>
        <v>2397.11151801536</v>
      </c>
      <c r="J11" s="27">
        <f>IF($N11="","",INDEX('_calc'!$I$2:$I$3001,$N11))</f>
        <v>2569.6475348496</v>
      </c>
      <c r="K11" s="28">
        <f>IF($N11="","",IF(OR(I11="",J11=""),"",J11-I11))</f>
        <v>172.536016834239</v>
      </c>
      <c r="L11" s="29">
        <f>IF($N11="","",INDEX('_calc'!$J$2:$J$3001,$N11))</f>
        <v>0.0719766333512455</v>
      </c>
      <c r="M11" s="2" t="str">
        <f>IF($N11="","",IF(AND(G11=0,H11=0),"수량 없음",IF(G11=0,"신규 (전년 수량 없음)",IF(H11=0,"당해 수량 없음",""))))</f>
        <v/>
      </c>
      <c r="N11">
        <f>IF($B11="","",MATCH($B11,'_calc'!$L$2:$L$3001,0))</f>
        <v>2</v>
      </c>
    </row>
    <row r="12">
      <c r="B12" s="24">
        <f>IF(ROW()-ROW($B$8)&gt;nComp,"",ROW()-ROW($B$8))</f>
        <v>4</v>
      </c>
      <c r="C12" t="str">
        <f>IF($N12="","",INDEX('_calc'!$A$2:$A$3001,$N12))</f>
        <v>나래산업(주)</v>
      </c>
      <c r="D12" s="25">
        <f>IF($N12="","",INDEX('_calc'!$C$2:$C$3001,$N12))</f>
        <v>261543968</v>
      </c>
      <c r="E12" s="25">
        <f>IF($N12="","",INDEX('_calc'!$D$2:$D$3001,$N12))</f>
        <v>331743492</v>
      </c>
      <c r="F12" s="26">
        <f>IF($N12="","",IF($E$8=0,"",E12/$E$8))</f>
        <v>0.0719872461503352</v>
      </c>
      <c r="G12" s="25">
        <f>IF($N12="","",INDEX('_calc'!$E$2:$E$3001,$N12))</f>
        <v>173850</v>
      </c>
      <c r="H12" s="25">
        <f>IF($N12="","",INDEX('_calc'!$F$2:$F$3001,$N12))</f>
        <v>225450</v>
      </c>
      <c r="I12" s="27">
        <f>IF($N12="","",INDEX('_calc'!$H$2:$H$3001,$N12))</f>
        <v>1504.42316939891</v>
      </c>
      <c r="J12" s="27">
        <f>IF($N12="","",INDEX('_calc'!$I$2:$I$3001,$N12))</f>
        <v>1471.4725748503</v>
      </c>
      <c r="K12" s="28">
        <f>IF($N12="","",IF(OR(I12="",J12=""),"",J12-I12))</f>
        <v>-32.9505945486076</v>
      </c>
      <c r="L12" s="29">
        <f>IF($N12="","",INDEX('_calc'!$J$2:$J$3001,$N12))</f>
        <v>-0.021902477453716</v>
      </c>
      <c r="M12" s="2" t="str">
        <f>IF($N12="","",IF(AND(G12=0,H12=0),"수량 없음",IF(G12=0,"신규 (전년 수량 없음)",IF(H12=0,"당해 수량 없음",""))))</f>
        <v/>
      </c>
      <c r="N12">
        <f>IF($B12="","",MATCH($B12,'_calc'!$L$2:$L$3001,0))</f>
        <v>18</v>
      </c>
    </row>
    <row r="13">
      <c r="B13" s="24">
        <f>IF(ROW()-ROW($B$8)&gt;nComp,"",ROW()-ROW($B$8))</f>
        <v>5</v>
      </c>
      <c r="C13" t="str">
        <f>IF($N13="","",INDEX('_calc'!$A$2:$A$3001,$N13))</f>
        <v>파란하이텍</v>
      </c>
      <c r="D13" s="25">
        <f>IF($N13="","",INDEX('_calc'!$C$2:$C$3001,$N13))</f>
        <v>222484560</v>
      </c>
      <c r="E13" s="25">
        <f>IF($N13="","",INDEX('_calc'!$D$2:$D$3001,$N13))</f>
        <v>294634344</v>
      </c>
      <c r="F13" s="26">
        <f>IF($N13="","",IF($E$8=0,"",E13/$E$8))</f>
        <v>0.063934683143296</v>
      </c>
      <c r="G13" s="25">
        <f>IF($N13="","",INDEX('_calc'!$E$2:$E$3001,$N13))</f>
        <v>56725</v>
      </c>
      <c r="H13" s="25">
        <f>IF($N13="","",INDEX('_calc'!$F$2:$F$3001,$N13))</f>
        <v>76275</v>
      </c>
      <c r="I13" s="27">
        <f>IF($N13="","",INDEX('_calc'!$H$2:$H$3001,$N13))</f>
        <v>3922.16059938299</v>
      </c>
      <c r="J13" s="27">
        <f>IF($N13="","",INDEX('_calc'!$I$2:$I$3001,$N13))</f>
        <v>3862.79048180924</v>
      </c>
      <c r="K13" s="28">
        <f>IF($N13="","",IF(OR(I13="",J13=""),"",J13-I13))</f>
        <v>-59.3701175737451</v>
      </c>
      <c r="L13" s="29">
        <f>IF($N13="","",INDEX('_calc'!$J$2:$J$3001,$N13))</f>
        <v>-0.015137094993786</v>
      </c>
      <c r="M13" s="2" t="str">
        <f>IF($N13="","",IF(AND(G13=0,H13=0),"수량 없음",IF(G13=0,"신규 (전년 수량 없음)",IF(H13=0,"당해 수량 없음",""))))</f>
        <v/>
      </c>
      <c r="N13">
        <f>IF($B13="","",MATCH($B13,'_calc'!$L$2:$L$3001,0))</f>
        <v>16</v>
      </c>
    </row>
    <row r="14">
      <c r="B14" s="24">
        <f>IF(ROW()-ROW($B$8)&gt;nComp,"",ROW()-ROW($B$8))</f>
        <v>6</v>
      </c>
      <c r="C14" t="str">
        <f>IF($N14="","",INDEX('_calc'!$A$2:$A$3001,$N14))</f>
        <v>라온테크(주)</v>
      </c>
      <c r="D14" s="25">
        <f>IF($N14="","",INDEX('_calc'!$C$2:$C$3001,$N14))</f>
        <v>238900061</v>
      </c>
      <c r="E14" s="25">
        <f>IF($N14="","",INDEX('_calc'!$D$2:$D$3001,$N14))</f>
        <v>284758055</v>
      </c>
      <c r="F14" s="26">
        <f>IF($N14="","",IF($E$8=0,"",E14/$E$8))</f>
        <v>0.0617915609285734</v>
      </c>
      <c r="G14" s="25">
        <f>IF($N14="","",INDEX('_calc'!$E$2:$E$3001,$N14))</f>
        <v>89625</v>
      </c>
      <c r="H14" s="25">
        <f>IF($N14="","",INDEX('_calc'!$F$2:$F$3001,$N14))</f>
        <v>109325</v>
      </c>
      <c r="I14" s="27">
        <f>IF($N14="","",INDEX('_calc'!$H$2:$H$3001,$N14))</f>
        <v>2665.55158716876</v>
      </c>
      <c r="J14" s="27">
        <f>IF($N14="","",INDEX('_calc'!$I$2:$I$3001,$N14))</f>
        <v>2604.69293391265</v>
      </c>
      <c r="K14" s="28">
        <f>IF($N14="","",IF(OR(I14="",J14=""),"",J14-I14))</f>
        <v>-60.858653256113</v>
      </c>
      <c r="L14" s="29">
        <f>IF($N14="","",INDEX('_calc'!$J$2:$J$3001,$N14))</f>
        <v>-0.0228315420902263</v>
      </c>
      <c r="M14" s="2" t="str">
        <f>IF($N14="","",IF(AND(G14=0,H14=0),"수량 없음",IF(G14=0,"신규 (전년 수량 없음)",IF(H14=0,"당해 수량 없음",""))))</f>
        <v/>
      </c>
      <c r="N14">
        <f>IF($B14="","",MATCH($B14,'_calc'!$L$2:$L$3001,0))</f>
        <v>17</v>
      </c>
    </row>
    <row r="15">
      <c r="B15" s="24">
        <f>IF(ROW()-ROW($B$8)&gt;nComp,"",ROW()-ROW($B$8))</f>
        <v>7</v>
      </c>
      <c r="C15" t="str">
        <f>IF($N15="","",INDEX('_calc'!$A$2:$A$3001,$N15))</f>
        <v>다솜케미칼</v>
      </c>
      <c r="D15" s="25">
        <f>IF($N15="","",INDEX('_calc'!$C$2:$C$3001,$N15))</f>
        <v>235928564</v>
      </c>
      <c r="E15" s="25">
        <f>IF($N15="","",INDEX('_calc'!$D$2:$D$3001,$N15))</f>
        <v>273632570</v>
      </c>
      <c r="F15" s="26">
        <f>IF($N15="","",IF($E$8=0,"",E15/$E$8))</f>
        <v>0.0593773672923743</v>
      </c>
      <c r="G15" s="25">
        <f>IF($N15="","",INDEX('_calc'!$E$2:$E$3001,$N15))</f>
        <v>69100</v>
      </c>
      <c r="H15" s="25">
        <f>IF($N15="","",INDEX('_calc'!$F$2:$F$3001,$N15))</f>
        <v>76025</v>
      </c>
      <c r="I15" s="27">
        <f>IF($N15="","",INDEX('_calc'!$H$2:$H$3001,$N15))</f>
        <v>3414.30628075253</v>
      </c>
      <c r="J15" s="27">
        <f>IF($N15="","",INDEX('_calc'!$I$2:$I$3001,$N15))</f>
        <v>3599.2445905952</v>
      </c>
      <c r="K15" s="28">
        <f>IF($N15="","",IF(OR(I15="",J15=""),"",J15-I15))</f>
        <v>184.938309842667</v>
      </c>
      <c r="L15" s="29">
        <f>IF($N15="","",INDEX('_calc'!$J$2:$J$3001,$N15))</f>
        <v>0.0541657058961638</v>
      </c>
      <c r="M15" s="2" t="str">
        <f>IF($N15="","",IF(AND(G15=0,H15=0),"수량 없음",IF(G15=0,"신규 (전년 수량 없음)",IF(H15=0,"당해 수량 없음",""))))</f>
        <v/>
      </c>
      <c r="N15">
        <f>IF($B15="","",MATCH($B15,'_calc'!$L$2:$L$3001,0))</f>
        <v>13</v>
      </c>
    </row>
    <row r="16">
      <c r="B16" s="24">
        <f>IF(ROW()-ROW($B$8)&gt;nComp,"",ROW()-ROW($B$8))</f>
        <v>8</v>
      </c>
      <c r="C16" t="str">
        <f>IF($N16="","",INDEX('_calc'!$A$2:$A$3001,$N16))</f>
        <v>아름화학(주)</v>
      </c>
      <c r="D16" s="25">
        <f>IF($N16="","",INDEX('_calc'!$C$2:$C$3001,$N16))</f>
        <v>296920992</v>
      </c>
      <c r="E16" s="25">
        <f>IF($N16="","",INDEX('_calc'!$D$2:$D$3001,$N16))</f>
        <v>270865712</v>
      </c>
      <c r="F16" s="26">
        <f>IF($N16="","",IF($E$8=0,"",E16/$E$8))</f>
        <v>0.0587769682108182</v>
      </c>
      <c r="G16" s="25">
        <f>IF($N16="","",INDEX('_calc'!$E$2:$E$3001,$N16))</f>
        <v>189100</v>
      </c>
      <c r="H16" s="25">
        <f>IF($N16="","",INDEX('_calc'!$F$2:$F$3001,$N16))</f>
        <v>173250</v>
      </c>
      <c r="I16" s="27">
        <f>IF($N16="","",INDEX('_calc'!$H$2:$H$3001,$N16))</f>
        <v>1570.17975674246</v>
      </c>
      <c r="J16" s="27">
        <f>IF($N16="","",INDEX('_calc'!$I$2:$I$3001,$N16))</f>
        <v>1563.43845310245</v>
      </c>
      <c r="K16" s="28">
        <f>IF($N16="","",IF(OR(I16="",J16=""),"",J16-I16))</f>
        <v>-6.74130364001121</v>
      </c>
      <c r="L16" s="29">
        <f>IF($N16="","",INDEX('_calc'!$J$2:$J$3001,$N16))</f>
        <v>-0.00429333241054952</v>
      </c>
      <c r="M16" s="2" t="str">
        <f>IF($N16="","",IF(AND(G16=0,H16=0),"수량 없음",IF(G16=0,"신규 (전년 수량 없음)",IF(H16=0,"당해 수량 없음",""))))</f>
        <v/>
      </c>
      <c r="N16">
        <f>IF($B16="","",MATCH($B16,'_calc'!$L$2:$L$3001,0))</f>
        <v>20</v>
      </c>
    </row>
    <row r="17">
      <c r="B17" s="24">
        <f>IF(ROW()-ROW($B$8)&gt;nComp,"",ROW()-ROW($B$8))</f>
        <v>9</v>
      </c>
      <c r="C17" t="str">
        <f>IF($N17="","",INDEX('_calc'!$A$2:$A$3001,$N17))</f>
        <v>누리오토파츠</v>
      </c>
      <c r="D17" s="25">
        <f>IF($N17="","",INDEX('_calc'!$C$2:$C$3001,$N17))</f>
        <v>209508399</v>
      </c>
      <c r="E17" s="25">
        <f>IF($N17="","",INDEX('_calc'!$D$2:$D$3001,$N17))</f>
        <v>256538685</v>
      </c>
      <c r="F17" s="26">
        <f>IF($N17="","",IF($E$8=0,"",E17/$E$8))</f>
        <v>0.055668050495406</v>
      </c>
      <c r="G17" s="25">
        <f>IF($N17="","",INDEX('_calc'!$E$2:$E$3001,$N17))</f>
        <v>69975</v>
      </c>
      <c r="H17" s="25">
        <f>IF($N17="","",INDEX('_calc'!$F$2:$F$3001,$N17))</f>
        <v>89625</v>
      </c>
      <c r="I17" s="27">
        <f>IF($N17="","",INDEX('_calc'!$H$2:$H$3001,$N17))</f>
        <v>2994.04643086817</v>
      </c>
      <c r="J17" s="27">
        <f>IF($N17="","",INDEX('_calc'!$I$2:$I$3001,$N17))</f>
        <v>2862.35631799163</v>
      </c>
      <c r="K17" s="28">
        <f>IF($N17="","",IF(OR(I17="",J17=""),"",J17-I17))</f>
        <v>-131.690112876535</v>
      </c>
      <c r="L17" s="29">
        <f>IF($N17="","",INDEX('_calc'!$J$2:$J$3001,$N17))</f>
        <v>-0.0439839915369482</v>
      </c>
      <c r="M17" s="2" t="str">
        <f>IF($N17="","",IF(AND(G17=0,H17=0),"수량 없음",IF(G17=0,"신규 (전년 수량 없음)",IF(H17=0,"당해 수량 없음",""))))</f>
        <v/>
      </c>
      <c r="N17">
        <f>IF($B17="","",MATCH($B17,'_calc'!$L$2:$L$3001,0))</f>
        <v>9</v>
      </c>
    </row>
    <row r="18">
      <c r="B18" s="24">
        <f>IF(ROW()-ROW($B$8)&gt;nComp,"",ROW()-ROW($B$8))</f>
        <v>10</v>
      </c>
      <c r="C18" t="str">
        <f>IF($N18="","",INDEX('_calc'!$A$2:$A$3001,$N18))</f>
        <v>Hanoi Molding (VN)</v>
      </c>
      <c r="D18" s="25">
        <f>IF($N18="","",INDEX('_calc'!$C$2:$C$3001,$N18))</f>
        <v>0</v>
      </c>
      <c r="E18" s="25">
        <f>IF($N18="","",INDEX('_calc'!$D$2:$D$3001,$N18))</f>
        <v>225489827</v>
      </c>
      <c r="F18" s="26">
        <f>IF($N18="","",IF($E$8=0,"",E18/$E$8))</f>
        <v>0.0489305504767687</v>
      </c>
      <c r="G18" s="25">
        <f>IF($N18="","",INDEX('_calc'!$E$2:$E$3001,$N18))</f>
        <v>0</v>
      </c>
      <c r="H18" s="25">
        <f>IF($N18="","",INDEX('_calc'!$F$2:$F$3001,$N18))</f>
        <v>103975</v>
      </c>
      <c r="I18" s="27" t="str">
        <f>IF($N18="","",INDEX('_calc'!$H$2:$H$3001,$N18))</f>
        <v/>
      </c>
      <c r="J18" s="27">
        <f>IF($N18="","",INDEX('_calc'!$I$2:$I$3001,$N18))</f>
        <v>2168.69273383025</v>
      </c>
      <c r="K18" s="28" t="str">
        <f>IF($N18="","",IF(OR(I18="",J18=""),"",J18-I18))</f>
        <v/>
      </c>
      <c r="L18" s="29" t="str">
        <f>IF($N18="","",INDEX('_calc'!$J$2:$J$3001,$N18))</f>
        <v/>
      </c>
      <c r="M18" s="2" t="str">
        <f>IF($N18="","",IF(AND(G18=0,H18=0),"수량 없음",IF(G18=0,"신규 (전년 수량 없음)",IF(H18=0,"당해 수량 없음",""))))</f>
        <v>신규 (전년 수량 없음)</v>
      </c>
      <c r="N18">
        <f>IF($B18="","",MATCH($B18,'_calc'!$L$2:$L$3001,0))</f>
        <v>22</v>
      </c>
    </row>
    <row r="19">
      <c r="B19" s="24">
        <f>IF(ROW()-ROW($B$8)&gt;nComp,"",ROW()-ROW($B$8))</f>
        <v>11</v>
      </c>
      <c r="C19" t="str">
        <f>IF($N19="","",INDEX('_calc'!$A$2:$A$3001,$N19))</f>
        <v>가온소재(주)</v>
      </c>
      <c r="D19" s="25">
        <f>IF($N19="","",INDEX('_calc'!$C$2:$C$3001,$N19))</f>
        <v>222809057</v>
      </c>
      <c r="E19" s="25">
        <f>IF($N19="","",INDEX('_calc'!$D$2:$D$3001,$N19))</f>
        <v>225374639</v>
      </c>
      <c r="F19" s="26">
        <f>IF($N19="","",IF($E$8=0,"",E19/$E$8))</f>
        <v>0.0489055550597988</v>
      </c>
      <c r="G19" s="25">
        <f>IF($N19="","",INDEX('_calc'!$E$2:$E$3001,$N19))</f>
        <v>136075</v>
      </c>
      <c r="H19" s="25">
        <f>IF($N19="","",INDEX('_calc'!$F$2:$F$3001,$N19))</f>
        <v>133525</v>
      </c>
      <c r="I19" s="27">
        <f>IF($N19="","",INDEX('_calc'!$H$2:$H$3001,$N19))</f>
        <v>1637.39891236451</v>
      </c>
      <c r="J19" s="27">
        <f>IF($N19="","",INDEX('_calc'!$I$2:$I$3001,$N19))</f>
        <v>1687.88346002621</v>
      </c>
      <c r="K19" s="28">
        <f>IF($N19="","",IF(OR(I19="",J19=""),"",J19-I19))</f>
        <v>50.4845476617074</v>
      </c>
      <c r="L19" s="29">
        <f>IF($N19="","",INDEX('_calc'!$J$2:$J$3001,$N19))</f>
        <v>0.0308321614729818</v>
      </c>
      <c r="M19" s="2" t="str">
        <f>IF($N19="","",IF(AND(G19=0,H19=0),"수량 없음",IF(G19=0,"신규 (전년 수량 없음)",IF(H19=0,"당해 수량 없음",""))))</f>
        <v/>
      </c>
      <c r="N19">
        <f>IF($B19="","",MATCH($B19,'_calc'!$L$2:$L$3001,0))</f>
        <v>5</v>
      </c>
    </row>
    <row r="20">
      <c r="B20" s="24">
        <f>IF(ROW()-ROW($B$8)&gt;nComp,"",ROW()-ROW($B$8))</f>
        <v>12</v>
      </c>
      <c r="C20" t="str">
        <f>IF($N20="","",INDEX('_calc'!$A$2:$A$3001,$N20))</f>
        <v>한울몰드</v>
      </c>
      <c r="D20" s="25">
        <f>IF($N20="","",INDEX('_calc'!$C$2:$C$3001,$N20))</f>
        <v>149086313</v>
      </c>
      <c r="E20" s="25">
        <f>IF($N20="","",INDEX('_calc'!$D$2:$D$3001,$N20))</f>
        <v>189912249</v>
      </c>
      <c r="F20" s="26">
        <f>IF($N20="","",IF($E$8=0,"",E20/$E$8))</f>
        <v>0.0412103331200443</v>
      </c>
      <c r="G20" s="25">
        <f>IF($N20="","",INDEX('_calc'!$E$2:$E$3001,$N20))</f>
        <v>66500</v>
      </c>
      <c r="H20" s="25">
        <f>IF($N20="","",INDEX('_calc'!$F$2:$F$3001,$N20))</f>
        <v>80775</v>
      </c>
      <c r="I20" s="27">
        <f>IF($N20="","",INDEX('_calc'!$H$2:$H$3001,$N20))</f>
        <v>2241.89944360902</v>
      </c>
      <c r="J20" s="27">
        <f>IF($N20="","",INDEX('_calc'!$I$2:$I$3001,$N20))</f>
        <v>2351.12657381616</v>
      </c>
      <c r="K20" s="28">
        <f>IF($N20="","",IF(OR(I20="",J20=""),"",J20-I20))</f>
        <v>109.227130207134</v>
      </c>
      <c r="L20" s="29">
        <f>IF($N20="","",INDEX('_calc'!$J$2:$J$3001,$N20))</f>
        <v>0.0487207981243347</v>
      </c>
      <c r="M20" s="2" t="str">
        <f>IF($N20="","",IF(AND(G20=0,H20=0),"수량 없음",IF(G20=0,"신규 (전년 수량 없음)",IF(H20=0,"당해 수량 없음",""))))</f>
        <v/>
      </c>
      <c r="N20">
        <f>IF($B20="","",MATCH($B20,'_calc'!$L$2:$L$3001,0))</f>
        <v>8</v>
      </c>
    </row>
    <row r="21">
      <c r="B21" s="24">
        <f>IF(ROW()-ROW($B$8)&gt;nComp,"",ROW()-ROW($B$8))</f>
        <v>13</v>
      </c>
      <c r="C21" t="str">
        <f>IF($N21="","",INDEX('_calc'!$A$2:$A$3001,$N21))</f>
        <v>하늘포장(주)</v>
      </c>
      <c r="D21" s="25">
        <f>IF($N21="","",INDEX('_calc'!$C$2:$C$3001,$N21))</f>
        <v>183575192</v>
      </c>
      <c r="E21" s="25">
        <f>IF($N21="","",INDEX('_calc'!$D$2:$D$3001,$N21))</f>
        <v>181656007</v>
      </c>
      <c r="F21" s="26">
        <f>IF($N21="","",IF($E$8=0,"",E21/$E$8))</f>
        <v>0.0394187557734999</v>
      </c>
      <c r="G21" s="25">
        <f>IF($N21="","",INDEX('_calc'!$E$2:$E$3001,$N21))</f>
        <v>126125</v>
      </c>
      <c r="H21" s="25">
        <f>IF($N21="","",INDEX('_calc'!$F$2:$F$3001,$N21))</f>
        <v>125375</v>
      </c>
      <c r="I21" s="27">
        <f>IF($N21="","",INDEX('_calc'!$H$2:$H$3001,$N21))</f>
        <v>1455.50201783945</v>
      </c>
      <c r="J21" s="27">
        <f>IF($N21="","",INDEX('_calc'!$I$2:$I$3001,$N21))</f>
        <v>1448.90135194417</v>
      </c>
      <c r="K21" s="28">
        <f>IF($N21="","",IF(OR(I21="",J21=""),"",J21-I21))</f>
        <v>-6.60066589527742</v>
      </c>
      <c r="L21" s="29">
        <f>IF($N21="","",INDEX('_calc'!$J$2:$J$3001,$N21))</f>
        <v>-0.00453497543416359</v>
      </c>
      <c r="M21" s="2" t="str">
        <f>IF($N21="","",IF(AND(G21=0,H21=0),"수량 없음",IF(G21=0,"신규 (전년 수량 없음)",IF(H21=0,"당해 수량 없음",""))))</f>
        <v/>
      </c>
      <c r="N21">
        <f>IF($B21="","",MATCH($B21,'_calc'!$L$2:$L$3001,0))</f>
        <v>7</v>
      </c>
    </row>
    <row r="22">
      <c r="B22" s="24">
        <f>IF(ROW()-ROW($B$8)&gt;nComp,"",ROW()-ROW($B$8))</f>
        <v>14</v>
      </c>
      <c r="C22" t="str">
        <f>IF($N22="","",INDEX('_calc'!$A$2:$A$3001,$N22))</f>
        <v>마루정밀</v>
      </c>
      <c r="D22" s="25">
        <f>IF($N22="","",INDEX('_calc'!$C$2:$C$3001,$N22))</f>
        <v>129460516</v>
      </c>
      <c r="E22" s="25">
        <f>IF($N22="","",INDEX('_calc'!$D$2:$D$3001,$N22))</f>
        <v>172224113</v>
      </c>
      <c r="F22" s="26">
        <f>IF($N22="","",IF($E$8=0,"",E22/$E$8))</f>
        <v>0.0373720658114799</v>
      </c>
      <c r="G22" s="25">
        <f>IF($N22="","",INDEX('_calc'!$E$2:$E$3001,$N22))</f>
        <v>34550</v>
      </c>
      <c r="H22" s="25">
        <f>IF($N22="","",INDEX('_calc'!$F$2:$F$3001,$N22))</f>
        <v>44775</v>
      </c>
      <c r="I22" s="27">
        <f>IF($N22="","",INDEX('_calc'!$H$2:$H$3001,$N22))</f>
        <v>3747.04821997106</v>
      </c>
      <c r="J22" s="27">
        <f>IF($N22="","",INDEX('_calc'!$I$2:$I$3001,$N22))</f>
        <v>3846.43468453378</v>
      </c>
      <c r="K22" s="28">
        <f>IF($N22="","",IF(OR(I22="",J22=""),"",J22-I22))</f>
        <v>99.3864645627236</v>
      </c>
      <c r="L22" s="29">
        <f>IF($N22="","",INDEX('_calc'!$J$2:$J$3001,$N22))</f>
        <v>0.0265239353027305</v>
      </c>
      <c r="M22" s="2" t="str">
        <f>IF($N22="","",IF(AND(G22=0,H22=0),"수량 없음",IF(G22=0,"신규 (전년 수량 없음)",IF(H22=0,"당해 수량 없음",""))))</f>
        <v/>
      </c>
      <c r="N22">
        <f>IF($B22="","",MATCH($B22,'_calc'!$L$2:$L$3001,0))</f>
        <v>19</v>
      </c>
    </row>
    <row r="23">
      <c r="B23" s="24">
        <f>IF(ROW()-ROW($B$8)&gt;nComp,"",ROW()-ROW($B$8))</f>
        <v>15</v>
      </c>
      <c r="C23" t="str">
        <f>IF($N23="","",INDEX('_calc'!$A$2:$A$3001,$N23))</f>
        <v>미르패키징</v>
      </c>
      <c r="D23" s="25">
        <f>IF($N23="","",INDEX('_calc'!$C$2:$C$3001,$N23))</f>
        <v>161281094</v>
      </c>
      <c r="E23" s="25">
        <f>IF($N23="","",INDEX('_calc'!$D$2:$D$3001,$N23))</f>
        <v>170175605</v>
      </c>
      <c r="F23" s="26">
        <f>IF($N23="","",IF($E$8=0,"",E23/$E$8))</f>
        <v>0.0369275463161677</v>
      </c>
      <c r="G23" s="25">
        <f>IF($N23="","",INDEX('_calc'!$E$2:$E$3001,$N23))</f>
        <v>107450</v>
      </c>
      <c r="H23" s="25">
        <f>IF($N23="","",INDEX('_calc'!$F$2:$F$3001,$N23))</f>
        <v>113000</v>
      </c>
      <c r="I23" s="27">
        <f>IF($N23="","",INDEX('_calc'!$H$2:$H$3001,$N23))</f>
        <v>1500.98738017683</v>
      </c>
      <c r="J23" s="27">
        <f>IF($N23="","",INDEX('_calc'!$I$2:$I$3001,$N23))</f>
        <v>1505.97880530973</v>
      </c>
      <c r="K23" s="28">
        <f>IF($N23="","",IF(OR(I23="",J23=""),"",J23-I23))</f>
        <v>4.99142513290803</v>
      </c>
      <c r="L23" s="29">
        <f>IF($N23="","",INDEX('_calc'!$J$2:$J$3001,$N23))</f>
        <v>0.00332542778095846</v>
      </c>
      <c r="M23" s="2" t="str">
        <f>IF($N23="","",IF(AND(G23=0,H23=0),"수량 없음",IF(G23=0,"신규 (전년 수량 없음)",IF(H23=0,"당해 수량 없음",""))))</f>
        <v/>
      </c>
      <c r="N23">
        <f>IF($B23="","",MATCH($B23,'_calc'!$L$2:$L$3001,0))</f>
        <v>10</v>
      </c>
    </row>
    <row r="24">
      <c r="B24" s="24">
        <f>IF(ROW()-ROW($B$8)&gt;nComp,"",ROW()-ROW($B$8))</f>
        <v>16</v>
      </c>
      <c r="C24" t="str">
        <f>IF($N24="","",INDEX('_calc'!$A$2:$A$3001,$N24))</f>
        <v>자연엠텍</v>
      </c>
      <c r="D24" s="25">
        <f>IF($N24="","",INDEX('_calc'!$C$2:$C$3001,$N24))</f>
        <v>170559813</v>
      </c>
      <c r="E24" s="25">
        <f>IF($N24="","",INDEX('_calc'!$D$2:$D$3001,$N24))</f>
        <v>121073379</v>
      </c>
      <c r="F24" s="26">
        <f>IF($N24="","",IF($E$8=0,"",E24/$E$8))</f>
        <v>0.0262725248467748</v>
      </c>
      <c r="G24" s="25">
        <f>IF($N24="","",INDEX('_calc'!$E$2:$E$3001,$N24))</f>
        <v>53775</v>
      </c>
      <c r="H24" s="25">
        <f>IF($N24="","",INDEX('_calc'!$F$2:$F$3001,$N24))</f>
        <v>37750</v>
      </c>
      <c r="I24" s="27">
        <f>IF($N24="","",INDEX('_calc'!$H$2:$H$3001,$N24))</f>
        <v>3171.73059972106</v>
      </c>
      <c r="J24" s="27">
        <f>IF($N24="","",INDEX('_calc'!$I$2:$I$3001,$N24))</f>
        <v>3207.24182781457</v>
      </c>
      <c r="K24" s="28">
        <f>IF($N24="","",IF(OR(I24="",J24=""),"",J24-I24))</f>
        <v>35.5112280935095</v>
      </c>
      <c r="L24" s="29">
        <f>IF($N24="","",INDEX('_calc'!$J$2:$J$3001,$N24))</f>
        <v>0.0111961678260546</v>
      </c>
      <c r="M24" s="2" t="str">
        <f>IF($N24="","",IF(AND(G24=0,H24=0),"수량 없음",IF(G24=0,"신규 (전년 수량 없음)",IF(H24=0,"당해 수량 없음",""))))</f>
        <v/>
      </c>
      <c r="N24">
        <f>IF($B24="","",MATCH($B24,'_calc'!$L$2:$L$3001,0))</f>
        <v>1</v>
      </c>
    </row>
    <row r="25">
      <c r="B25" s="24">
        <f>IF(ROW()-ROW($B$8)&gt;nComp,"",ROW()-ROW($B$8))</f>
        <v>17</v>
      </c>
      <c r="C25" t="str">
        <f>IF($N25="","",INDEX('_calc'!$A$2:$A$3001,$N25))</f>
        <v>바른물산</v>
      </c>
      <c r="D25" s="25">
        <f>IF($N25="","",INDEX('_calc'!$C$2:$C$3001,$N25))</f>
        <v>190701333</v>
      </c>
      <c r="E25" s="25">
        <f>IF($N25="","",INDEX('_calc'!$D$2:$D$3001,$N25))</f>
        <v>115220314</v>
      </c>
      <c r="F25" s="26">
        <f>IF($N25="","",IF($E$8=0,"",E25/$E$8))</f>
        <v>0.0250024290014917</v>
      </c>
      <c r="G25" s="25">
        <f>IF($N25="","",INDEX('_calc'!$E$2:$E$3001,$N25))</f>
        <v>135350</v>
      </c>
      <c r="H25" s="25">
        <f>IF($N25="","",INDEX('_calc'!$F$2:$F$3001,$N25))</f>
        <v>84175</v>
      </c>
      <c r="I25" s="27">
        <f>IF($N25="","",INDEX('_calc'!$H$2:$H$3001,$N25))</f>
        <v>1408.94963428149</v>
      </c>
      <c r="J25" s="27">
        <f>IF($N25="","",INDEX('_calc'!$I$2:$I$3001,$N25))</f>
        <v>1368.8186991387</v>
      </c>
      <c r="K25" s="28">
        <f>IF($N25="","",IF(OR(I25="",J25=""),"",J25-I25))</f>
        <v>-40.1309351427933</v>
      </c>
      <c r="L25" s="29">
        <f>IF($N25="","",INDEX('_calc'!$J$2:$J$3001,$N25))</f>
        <v>-0.0284828741683577</v>
      </c>
      <c r="M25" s="2" t="str">
        <f>IF($N25="","",IF(AND(G25=0,H25=0),"수량 없음",IF(G25=0,"신규 (전년 수량 없음)",IF(H25=0,"당해 수량 없음",""))))</f>
        <v/>
      </c>
      <c r="N25">
        <f>IF($B25="","",MATCH($B25,'_calc'!$L$2:$L$3001,0))</f>
        <v>15</v>
      </c>
    </row>
    <row r="26">
      <c r="B26" s="24">
        <f>IF(ROW()-ROW($B$8)&gt;nComp,"",ROW()-ROW($B$8))</f>
        <v>18</v>
      </c>
      <c r="C26" t="str">
        <f>IF($N26="","",INDEX('_calc'!$A$2:$A$3001,$N26))</f>
        <v>토담정공(주)</v>
      </c>
      <c r="D26" s="25">
        <f>IF($N26="","",INDEX('_calc'!$C$2:$C$3001,$N26))</f>
        <v>87348746</v>
      </c>
      <c r="E26" s="25">
        <f>IF($N26="","",INDEX('_calc'!$D$2:$D$3001,$N26))</f>
        <v>107714975</v>
      </c>
      <c r="F26" s="26">
        <f>IF($N26="","",IF($E$8=0,"",E26/$E$8))</f>
        <v>0.0233737951350744</v>
      </c>
      <c r="G26" s="25">
        <f>IF($N26="","",INDEX('_calc'!$E$2:$E$3001,$N26))</f>
        <v>30175</v>
      </c>
      <c r="H26" s="25">
        <f>IF($N26="","",INDEX('_calc'!$F$2:$F$3001,$N26))</f>
        <v>35775</v>
      </c>
      <c r="I26" s="27">
        <f>IF($N26="","",INDEX('_calc'!$H$2:$H$3001,$N26))</f>
        <v>2894.73888980945</v>
      </c>
      <c r="J26" s="27">
        <f>IF($N26="","",INDEX('_calc'!$I$2:$I$3001,$N26))</f>
        <v>3010.90076869322</v>
      </c>
      <c r="K26" s="28">
        <f>IF($N26="","",IF(OR(I26="",J26=""),"",J26-I26))</f>
        <v>116.161878883776</v>
      </c>
      <c r="L26" s="29">
        <f>IF($N26="","",INDEX('_calc'!$J$2:$J$3001,$N26))</f>
        <v>0.0401286206824074</v>
      </c>
      <c r="M26" s="2" t="str">
        <f>IF($N26="","",IF(AND(G26=0,H26=0),"수량 없음",IF(G26=0,"신규 (전년 수량 없음)",IF(H26=0,"당해 수량 없음",""))))</f>
        <v/>
      </c>
      <c r="N26">
        <f>IF($B26="","",MATCH($B26,'_calc'!$L$2:$L$3001,0))</f>
        <v>12</v>
      </c>
    </row>
    <row r="27">
      <c r="B27" s="24">
        <f>IF(ROW()-ROW($B$8)&gt;nComp,"",ROW()-ROW($B$8))</f>
        <v>19</v>
      </c>
      <c r="C27" t="str">
        <f>IF($N27="","",INDEX('_calc'!$A$2:$A$3001,$N27))</f>
        <v>별하전자(주)</v>
      </c>
      <c r="D27" s="25">
        <f>IF($N27="","",INDEX('_calc'!$C$2:$C$3001,$N27))</f>
        <v>84466240</v>
      </c>
      <c r="E27" s="25">
        <f>IF($N27="","",INDEX('_calc'!$D$2:$D$3001,$N27))</f>
        <v>87276521</v>
      </c>
      <c r="F27" s="26">
        <f>IF($N27="","",IF($E$8=0,"",E27/$E$8))</f>
        <v>0.0189387178705284</v>
      </c>
      <c r="G27" s="25">
        <f>IF($N27="","",INDEX('_calc'!$E$2:$E$3001,$N27))</f>
        <v>21150</v>
      </c>
      <c r="H27" s="25">
        <f>IF($N27="","",INDEX('_calc'!$F$2:$F$3001,$N27))</f>
        <v>21575</v>
      </c>
      <c r="I27" s="27">
        <f>IF($N27="","",INDEX('_calc'!$H$2:$H$3001,$N27))</f>
        <v>3993.6756501182</v>
      </c>
      <c r="J27" s="27">
        <f>IF($N27="","",INDEX('_calc'!$I$2:$I$3001,$N27))</f>
        <v>4045.26169177289</v>
      </c>
      <c r="K27" s="28">
        <f>IF($N27="","",IF(OR(I27="",J27=""),"",J27-I27))</f>
        <v>51.5860416546816</v>
      </c>
      <c r="L27" s="29">
        <f>IF($N27="","",INDEX('_calc'!$J$2:$J$3001,$N27))</f>
        <v>0.0129169332149333</v>
      </c>
      <c r="M27" s="2" t="str">
        <f>IF($N27="","",IF(AND(G27=0,H27=0),"수량 없음",IF(G27=0,"신규 (전년 수량 없음)",IF(H27=0,"당해 수량 없음",""))))</f>
        <v/>
      </c>
      <c r="N27">
        <f>IF($B27="","",MATCH($B27,'_calc'!$L$2:$L$3001,0))</f>
        <v>4</v>
      </c>
    </row>
    <row r="28">
      <c r="B28" s="24">
        <f>IF(ROW()-ROW($B$8)&gt;nComp,"",ROW()-ROW($B$8))</f>
        <v>20</v>
      </c>
      <c r="C28" t="str">
        <f>IF($N28="","",INDEX('_calc'!$A$2:$A$3001,$N28))</f>
        <v>온새미사출</v>
      </c>
      <c r="D28" s="25">
        <f>IF($N28="","",INDEX('_calc'!$C$2:$C$3001,$N28))</f>
        <v>112494196</v>
      </c>
      <c r="E28" s="25">
        <f>IF($N28="","",INDEX('_calc'!$D$2:$D$3001,$N28))</f>
        <v>86899087</v>
      </c>
      <c r="F28" s="26">
        <f>IF($N28="","",IF($E$8=0,"",E28/$E$8))</f>
        <v>0.0188568159344883</v>
      </c>
      <c r="G28" s="25">
        <f>IF($N28="","",INDEX('_calc'!$E$2:$E$3001,$N28))</f>
        <v>71725</v>
      </c>
      <c r="H28" s="25">
        <f>IF($N28="","",INDEX('_calc'!$F$2:$F$3001,$N28))</f>
        <v>53750</v>
      </c>
      <c r="I28" s="27">
        <f>IF($N28="","",INDEX('_calc'!$H$2:$H$3001,$N28))</f>
        <v>1568.40984315092</v>
      </c>
      <c r="J28" s="27">
        <f>IF($N28="","",INDEX('_calc'!$I$2:$I$3001,$N28))</f>
        <v>1616.7272</v>
      </c>
      <c r="K28" s="28">
        <f>IF($N28="","",IF(OR(I28="",J28=""),"",J28-I28))</f>
        <v>48.3173568490763</v>
      </c>
      <c r="L28" s="29">
        <f>IF($N28="","",INDEX('_calc'!$J$2:$J$3001,$N28))</f>
        <v>0.0308065886350262</v>
      </c>
      <c r="M28" s="2" t="str">
        <f>IF($N28="","",IF(AND(G28=0,H28=0),"수량 없음",IF(G28=0,"신규 (전년 수량 없음)",IF(H28=0,"당해 수량 없음",""))))</f>
        <v/>
      </c>
      <c r="N28">
        <f>IF($B28="","",MATCH($B28,'_calc'!$L$2:$L$3001,0))</f>
        <v>3</v>
      </c>
    </row>
    <row r="29">
      <c r="B29" s="24">
        <f>IF(ROW()-ROW($B$8)&gt;nComp,"",ROW()-ROW($B$8))</f>
        <v>21</v>
      </c>
      <c r="C29" t="str">
        <f>IF($N29="","",INDEX('_calc'!$A$2:$A$3001,$N29))</f>
        <v>든솔케이스</v>
      </c>
      <c r="D29" s="25">
        <f>IF($N29="","",INDEX('_calc'!$C$2:$C$3001,$N29))</f>
        <v>0</v>
      </c>
      <c r="E29" s="25">
        <f>IF($N29="","",INDEX('_calc'!$D$2:$D$3001,$N29))</f>
        <v>83558929</v>
      </c>
      <c r="F29" s="26">
        <f>IF($N29="","",IF($E$8=0,"",E29/$E$8))</f>
        <v>0.0181320126393961</v>
      </c>
      <c r="G29" s="25">
        <f>IF($N29="","",INDEX('_calc'!$E$2:$E$3001,$N29))</f>
        <v>0</v>
      </c>
      <c r="H29" s="25">
        <f>IF($N29="","",INDEX('_calc'!$F$2:$F$3001,$N29))</f>
        <v>31550</v>
      </c>
      <c r="I29" s="27" t="str">
        <f>IF($N29="","",INDEX('_calc'!$H$2:$H$3001,$N29))</f>
        <v/>
      </c>
      <c r="J29" s="27">
        <f>IF($N29="","",INDEX('_calc'!$I$2:$I$3001,$N29))</f>
        <v>2648.46050713154</v>
      </c>
      <c r="K29" s="28" t="str">
        <f>IF($N29="","",IF(OR(I29="",J29=""),"",J29-I29))</f>
        <v/>
      </c>
      <c r="L29" s="29" t="str">
        <f>IF($N29="","",INDEX('_calc'!$J$2:$J$3001,$N29))</f>
        <v/>
      </c>
      <c r="M29" s="2" t="str">
        <f>IF($N29="","",IF(AND(G29=0,H29=0),"수량 없음",IF(G29=0,"신규 (전년 수량 없음)",IF(H29=0,"당해 수량 없음",""))))</f>
        <v>신규 (전년 수량 없음)</v>
      </c>
      <c r="N29">
        <f>IF($B29="","",MATCH($B29,'_calc'!$L$2:$L$3001,0))</f>
        <v>21</v>
      </c>
    </row>
    <row r="30">
      <c r="B30" s="24">
        <f>IF(ROW()-ROW($B$8)&gt;nComp,"",ROW()-ROW($B$8))</f>
        <v>22</v>
      </c>
      <c r="C30" t="str">
        <f>IF($N30="","",INDEX('_calc'!$A$2:$A$3001,$N30))</f>
        <v>차오름산업</v>
      </c>
      <c r="D30" s="25">
        <f>IF($N30="","",INDEX('_calc'!$C$2:$C$3001,$N30))</f>
        <v>80239852</v>
      </c>
      <c r="E30" s="25">
        <f>IF($N30="","",INDEX('_calc'!$D$2:$D$3001,$N30))</f>
        <v>0</v>
      </c>
      <c r="F30" s="26">
        <f>IF($N30="","",IF($E$8=0,"",E30/$E$8))</f>
        <v>0</v>
      </c>
      <c r="G30" s="25">
        <f>IF($N30="","",INDEX('_calc'!$E$2:$E$3001,$N30))</f>
        <v>46025</v>
      </c>
      <c r="H30" s="25">
        <f>IF($N30="","",INDEX('_calc'!$F$2:$F$3001,$N30))</f>
        <v>0</v>
      </c>
      <c r="I30" s="27">
        <f>IF($N30="","",INDEX('_calc'!$H$2:$H$3001,$N30))</f>
        <v>1743.39711026616</v>
      </c>
      <c r="J30" s="27" t="str">
        <f>IF($N30="","",INDEX('_calc'!$I$2:$I$3001,$N30))</f>
        <v/>
      </c>
      <c r="K30" s="28" t="str">
        <f>IF($N30="","",IF(OR(I30="",J30=""),"",J30-I30))</f>
        <v/>
      </c>
      <c r="L30" s="29" t="str">
        <f>IF($N30="","",INDEX('_calc'!$J$2:$J$3001,$N30))</f>
        <v/>
      </c>
      <c r="M30" s="2" t="str">
        <f>IF($N30="","",IF(AND(G30=0,H30=0),"수량 없음",IF(G30=0,"신규 (전년 수량 없음)",IF(H30=0,"당해 수량 없음",""))))</f>
        <v>당해 수량 없음</v>
      </c>
      <c r="N30">
        <f>IF($B30="","",MATCH($B30,'_calc'!$L$2:$L$3001,0))</f>
        <v>11</v>
      </c>
    </row>
    <row r="31">
      <c r="B31" s="24" t="str">
        <f>IF(ROW()-ROW($B$8)&gt;nComp,"",ROW()-ROW($B$8))</f>
        <v/>
      </c>
      <c r="C31" t="str">
        <f>IF($N31="","",INDEX('_calc'!$A$2:$A$3001,$N31))</f>
        <v/>
      </c>
      <c r="D31" s="25" t="str">
        <f>IF($N31="","",INDEX('_calc'!$C$2:$C$3001,$N31))</f>
        <v/>
      </c>
      <c r="E31" s="25" t="str">
        <f>IF($N31="","",INDEX('_calc'!$D$2:$D$3001,$N31))</f>
        <v/>
      </c>
      <c r="F31" s="26" t="str">
        <f>IF($N31="","",IF($E$8=0,"",E31/$E$8))</f>
        <v/>
      </c>
      <c r="G31" s="25" t="str">
        <f>IF($N31="","",INDEX('_calc'!$E$2:$E$3001,$N31))</f>
        <v/>
      </c>
      <c r="H31" s="25" t="str">
        <f>IF($N31="","",INDEX('_calc'!$F$2:$F$3001,$N31))</f>
        <v/>
      </c>
      <c r="I31" s="27" t="str">
        <f>IF($N31="","",INDEX('_calc'!$H$2:$H$3001,$N31))</f>
        <v/>
      </c>
      <c r="J31" s="27" t="str">
        <f>IF($N31="","",INDEX('_calc'!$I$2:$I$3001,$N31))</f>
        <v/>
      </c>
      <c r="K31" s="28" t="str">
        <f>IF($N31="","",IF(OR(I31="",J31=""),"",J31-I31))</f>
        <v/>
      </c>
      <c r="L31" s="29" t="str">
        <f>IF($N31="","",INDEX('_calc'!$J$2:$J$3001,$N31))</f>
        <v/>
      </c>
      <c r="M31" s="2" t="str">
        <f>IF($N31="","",IF(AND(G31=0,H31=0),"수량 없음",IF(G31=0,"신규 (전년 수량 없음)",IF(H31=0,"당해 수량 없음",""))))</f>
        <v/>
      </c>
      <c r="N31" t="str">
        <f>IF($B31="","",MATCH($B31,'_calc'!$L$2:$L$3001,0))</f>
        <v/>
      </c>
    </row>
    <row r="32">
      <c r="B32" s="24" t="str">
        <f>IF(ROW()-ROW($B$8)&gt;nComp,"",ROW()-ROW($B$8))</f>
        <v/>
      </c>
      <c r="C32" t="str">
        <f>IF($N32="","",INDEX('_calc'!$A$2:$A$3001,$N32))</f>
        <v/>
      </c>
      <c r="D32" s="25" t="str">
        <f>IF($N32="","",INDEX('_calc'!$C$2:$C$3001,$N32))</f>
        <v/>
      </c>
      <c r="E32" s="25" t="str">
        <f>IF($N32="","",INDEX('_calc'!$D$2:$D$3001,$N32))</f>
        <v/>
      </c>
      <c r="F32" s="26" t="str">
        <f>IF($N32="","",IF($E$8=0,"",E32/$E$8))</f>
        <v/>
      </c>
      <c r="G32" s="25" t="str">
        <f>IF($N32="","",INDEX('_calc'!$E$2:$E$3001,$N32))</f>
        <v/>
      </c>
      <c r="H32" s="25" t="str">
        <f>IF($N32="","",INDEX('_calc'!$F$2:$F$3001,$N32))</f>
        <v/>
      </c>
      <c r="I32" s="27" t="str">
        <f>IF($N32="","",INDEX('_calc'!$H$2:$H$3001,$N32))</f>
        <v/>
      </c>
      <c r="J32" s="27" t="str">
        <f>IF($N32="","",INDEX('_calc'!$I$2:$I$3001,$N32))</f>
        <v/>
      </c>
      <c r="K32" s="28" t="str">
        <f>IF($N32="","",IF(OR(I32="",J32=""),"",J32-I32))</f>
        <v/>
      </c>
      <c r="L32" s="29" t="str">
        <f>IF($N32="","",INDEX('_calc'!$J$2:$J$3001,$N32))</f>
        <v/>
      </c>
      <c r="M32" s="2" t="str">
        <f>IF($N32="","",IF(AND(G32=0,H32=0),"수량 없음",IF(G32=0,"신규 (전년 수량 없음)",IF(H32=0,"당해 수량 없음",""))))</f>
        <v/>
      </c>
      <c r="N32" t="str">
        <f>IF($B32="","",MATCH($B32,'_calc'!$L$2:$L$3001,0))</f>
        <v/>
      </c>
    </row>
    <row r="33">
      <c r="B33" s="24" t="str">
        <f>IF(ROW()-ROW($B$8)&gt;nComp,"",ROW()-ROW($B$8))</f>
        <v/>
      </c>
      <c r="C33" t="str">
        <f>IF($N33="","",INDEX('_calc'!$A$2:$A$3001,$N33))</f>
        <v/>
      </c>
      <c r="D33" s="25" t="str">
        <f>IF($N33="","",INDEX('_calc'!$C$2:$C$3001,$N33))</f>
        <v/>
      </c>
      <c r="E33" s="25" t="str">
        <f>IF($N33="","",INDEX('_calc'!$D$2:$D$3001,$N33))</f>
        <v/>
      </c>
      <c r="F33" s="26" t="str">
        <f>IF($N33="","",IF($E$8=0,"",E33/$E$8))</f>
        <v/>
      </c>
      <c r="G33" s="25" t="str">
        <f>IF($N33="","",INDEX('_calc'!$E$2:$E$3001,$N33))</f>
        <v/>
      </c>
      <c r="H33" s="25" t="str">
        <f>IF($N33="","",INDEX('_calc'!$F$2:$F$3001,$N33))</f>
        <v/>
      </c>
      <c r="I33" s="27" t="str">
        <f>IF($N33="","",INDEX('_calc'!$H$2:$H$3001,$N33))</f>
        <v/>
      </c>
      <c r="J33" s="27" t="str">
        <f>IF($N33="","",INDEX('_calc'!$I$2:$I$3001,$N33))</f>
        <v/>
      </c>
      <c r="K33" s="28" t="str">
        <f>IF($N33="","",IF(OR(I33="",J33=""),"",J33-I33))</f>
        <v/>
      </c>
      <c r="L33" s="29" t="str">
        <f>IF($N33="","",INDEX('_calc'!$J$2:$J$3001,$N33))</f>
        <v/>
      </c>
      <c r="M33" s="2" t="str">
        <f>IF($N33="","",IF(AND(G33=0,H33=0),"수량 없음",IF(G33=0,"신규 (전년 수량 없음)",IF(H33=0,"당해 수량 없음",""))))</f>
        <v/>
      </c>
      <c r="N33" t="str">
        <f>IF($B33="","",MATCH($B33,'_calc'!$L$2:$L$3001,0))</f>
        <v/>
      </c>
    </row>
    <row r="34">
      <c r="B34" s="24" t="str">
        <f>IF(ROW()-ROW($B$8)&gt;nComp,"",ROW()-ROW($B$8))</f>
        <v/>
      </c>
      <c r="C34" t="str">
        <f>IF($N34="","",INDEX('_calc'!$A$2:$A$3001,$N34))</f>
        <v/>
      </c>
      <c r="D34" s="25" t="str">
        <f>IF($N34="","",INDEX('_calc'!$C$2:$C$3001,$N34))</f>
        <v/>
      </c>
      <c r="E34" s="25" t="str">
        <f>IF($N34="","",INDEX('_calc'!$D$2:$D$3001,$N34))</f>
        <v/>
      </c>
      <c r="F34" s="26" t="str">
        <f>IF($N34="","",IF($E$8=0,"",E34/$E$8))</f>
        <v/>
      </c>
      <c r="G34" s="25" t="str">
        <f>IF($N34="","",INDEX('_calc'!$E$2:$E$3001,$N34))</f>
        <v/>
      </c>
      <c r="H34" s="25" t="str">
        <f>IF($N34="","",INDEX('_calc'!$F$2:$F$3001,$N34))</f>
        <v/>
      </c>
      <c r="I34" s="27" t="str">
        <f>IF($N34="","",INDEX('_calc'!$H$2:$H$3001,$N34))</f>
        <v/>
      </c>
      <c r="J34" s="27" t="str">
        <f>IF($N34="","",INDEX('_calc'!$I$2:$I$3001,$N34))</f>
        <v/>
      </c>
      <c r="K34" s="28" t="str">
        <f>IF($N34="","",IF(OR(I34="",J34=""),"",J34-I34))</f>
        <v/>
      </c>
      <c r="L34" s="29" t="str">
        <f>IF($N34="","",INDEX('_calc'!$J$2:$J$3001,$N34))</f>
        <v/>
      </c>
      <c r="M34" s="2" t="str">
        <f>IF($N34="","",IF(AND(G34=0,H34=0),"수량 없음",IF(G34=0,"신규 (전년 수량 없음)",IF(H34=0,"당해 수량 없음",""))))</f>
        <v/>
      </c>
      <c r="N34" t="str">
        <f>IF($B34="","",MATCH($B34,'_calc'!$L$2:$L$3001,0))</f>
        <v/>
      </c>
    </row>
    <row r="35">
      <c r="B35" s="24" t="str">
        <f>IF(ROW()-ROW($B$8)&gt;nComp,"",ROW()-ROW($B$8))</f>
        <v/>
      </c>
      <c r="C35" t="str">
        <f>IF($N35="","",INDEX('_calc'!$A$2:$A$3001,$N35))</f>
        <v/>
      </c>
      <c r="D35" s="25" t="str">
        <f>IF($N35="","",INDEX('_calc'!$C$2:$C$3001,$N35))</f>
        <v/>
      </c>
      <c r="E35" s="25" t="str">
        <f>IF($N35="","",INDEX('_calc'!$D$2:$D$3001,$N35))</f>
        <v/>
      </c>
      <c r="F35" s="26" t="str">
        <f>IF($N35="","",IF($E$8=0,"",E35/$E$8))</f>
        <v/>
      </c>
      <c r="G35" s="25" t="str">
        <f>IF($N35="","",INDEX('_calc'!$E$2:$E$3001,$N35))</f>
        <v/>
      </c>
      <c r="H35" s="25" t="str">
        <f>IF($N35="","",INDEX('_calc'!$F$2:$F$3001,$N35))</f>
        <v/>
      </c>
      <c r="I35" s="27" t="str">
        <f>IF($N35="","",INDEX('_calc'!$H$2:$H$3001,$N35))</f>
        <v/>
      </c>
      <c r="J35" s="27" t="str">
        <f>IF($N35="","",INDEX('_calc'!$I$2:$I$3001,$N35))</f>
        <v/>
      </c>
      <c r="K35" s="28" t="str">
        <f>IF($N35="","",IF(OR(I35="",J35=""),"",J35-I35))</f>
        <v/>
      </c>
      <c r="L35" s="29" t="str">
        <f>IF($N35="","",INDEX('_calc'!$J$2:$J$3001,$N35))</f>
        <v/>
      </c>
      <c r="M35" s="2" t="str">
        <f>IF($N35="","",IF(AND(G35=0,H35=0),"수량 없음",IF(G35=0,"신규 (전년 수량 없음)",IF(H35=0,"당해 수량 없음",""))))</f>
        <v/>
      </c>
      <c r="N35" t="str">
        <f>IF($B35="","",MATCH($B35,'_calc'!$L$2:$L$3001,0))</f>
        <v/>
      </c>
    </row>
    <row r="36">
      <c r="B36" s="24" t="str">
        <f>IF(ROW()-ROW($B$8)&gt;nComp,"",ROW()-ROW($B$8))</f>
        <v/>
      </c>
      <c r="C36" t="str">
        <f>IF($N36="","",INDEX('_calc'!$A$2:$A$3001,$N36))</f>
        <v/>
      </c>
      <c r="D36" s="25" t="str">
        <f>IF($N36="","",INDEX('_calc'!$C$2:$C$3001,$N36))</f>
        <v/>
      </c>
      <c r="E36" s="25" t="str">
        <f>IF($N36="","",INDEX('_calc'!$D$2:$D$3001,$N36))</f>
        <v/>
      </c>
      <c r="F36" s="26" t="str">
        <f>IF($N36="","",IF($E$8=0,"",E36/$E$8))</f>
        <v/>
      </c>
      <c r="G36" s="25" t="str">
        <f>IF($N36="","",INDEX('_calc'!$E$2:$E$3001,$N36))</f>
        <v/>
      </c>
      <c r="H36" s="25" t="str">
        <f>IF($N36="","",INDEX('_calc'!$F$2:$F$3001,$N36))</f>
        <v/>
      </c>
      <c r="I36" s="27" t="str">
        <f>IF($N36="","",INDEX('_calc'!$H$2:$H$3001,$N36))</f>
        <v/>
      </c>
      <c r="J36" s="27" t="str">
        <f>IF($N36="","",INDEX('_calc'!$I$2:$I$3001,$N36))</f>
        <v/>
      </c>
      <c r="K36" s="28" t="str">
        <f>IF($N36="","",IF(OR(I36="",J36=""),"",J36-I36))</f>
        <v/>
      </c>
      <c r="L36" s="29" t="str">
        <f>IF($N36="","",INDEX('_calc'!$J$2:$J$3001,$N36))</f>
        <v/>
      </c>
      <c r="M36" s="2" t="str">
        <f>IF($N36="","",IF(AND(G36=0,H36=0),"수량 없음",IF(G36=0,"신규 (전년 수량 없음)",IF(H36=0,"당해 수량 없음",""))))</f>
        <v/>
      </c>
      <c r="N36" t="str">
        <f>IF($B36="","",MATCH($B36,'_calc'!$L$2:$L$3001,0))</f>
        <v/>
      </c>
    </row>
    <row r="37">
      <c r="B37" s="24" t="str">
        <f>IF(ROW()-ROW($B$8)&gt;nComp,"",ROW()-ROW($B$8))</f>
        <v/>
      </c>
      <c r="C37" t="str">
        <f>IF($N37="","",INDEX('_calc'!$A$2:$A$3001,$N37))</f>
        <v/>
      </c>
      <c r="D37" s="25" t="str">
        <f>IF($N37="","",INDEX('_calc'!$C$2:$C$3001,$N37))</f>
        <v/>
      </c>
      <c r="E37" s="25" t="str">
        <f>IF($N37="","",INDEX('_calc'!$D$2:$D$3001,$N37))</f>
        <v/>
      </c>
      <c r="F37" s="26" t="str">
        <f>IF($N37="","",IF($E$8=0,"",E37/$E$8))</f>
        <v/>
      </c>
      <c r="G37" s="25" t="str">
        <f>IF($N37="","",INDEX('_calc'!$E$2:$E$3001,$N37))</f>
        <v/>
      </c>
      <c r="H37" s="25" t="str">
        <f>IF($N37="","",INDEX('_calc'!$F$2:$F$3001,$N37))</f>
        <v/>
      </c>
      <c r="I37" s="27" t="str">
        <f>IF($N37="","",INDEX('_calc'!$H$2:$H$3001,$N37))</f>
        <v/>
      </c>
      <c r="J37" s="27" t="str">
        <f>IF($N37="","",INDEX('_calc'!$I$2:$I$3001,$N37))</f>
        <v/>
      </c>
      <c r="K37" s="28" t="str">
        <f>IF($N37="","",IF(OR(I37="",J37=""),"",J37-I37))</f>
        <v/>
      </c>
      <c r="L37" s="29" t="str">
        <f>IF($N37="","",INDEX('_calc'!$J$2:$J$3001,$N37))</f>
        <v/>
      </c>
      <c r="M37" s="2" t="str">
        <f>IF($N37="","",IF(AND(G37=0,H37=0),"수량 없음",IF(G37=0,"신규 (전년 수량 없음)",IF(H37=0,"당해 수량 없음",""))))</f>
        <v/>
      </c>
      <c r="N37" t="str">
        <f>IF($B37="","",MATCH($B37,'_calc'!$L$2:$L$3001,0))</f>
        <v/>
      </c>
    </row>
    <row r="38">
      <c r="B38" s="24" t="str">
        <f>IF(ROW()-ROW($B$8)&gt;nComp,"",ROW()-ROW($B$8))</f>
        <v/>
      </c>
      <c r="C38" t="str">
        <f>IF($N38="","",INDEX('_calc'!$A$2:$A$3001,$N38))</f>
        <v/>
      </c>
      <c r="D38" s="25" t="str">
        <f>IF($N38="","",INDEX('_calc'!$C$2:$C$3001,$N38))</f>
        <v/>
      </c>
      <c r="E38" s="25" t="str">
        <f>IF($N38="","",INDEX('_calc'!$D$2:$D$3001,$N38))</f>
        <v/>
      </c>
      <c r="F38" s="26" t="str">
        <f>IF($N38="","",IF($E$8=0,"",E38/$E$8))</f>
        <v/>
      </c>
      <c r="G38" s="25" t="str">
        <f>IF($N38="","",INDEX('_calc'!$E$2:$E$3001,$N38))</f>
        <v/>
      </c>
      <c r="H38" s="25" t="str">
        <f>IF($N38="","",INDEX('_calc'!$F$2:$F$3001,$N38))</f>
        <v/>
      </c>
      <c r="I38" s="27" t="str">
        <f>IF($N38="","",INDEX('_calc'!$H$2:$H$3001,$N38))</f>
        <v/>
      </c>
      <c r="J38" s="27" t="str">
        <f>IF($N38="","",INDEX('_calc'!$I$2:$I$3001,$N38))</f>
        <v/>
      </c>
      <c r="K38" s="28" t="str">
        <f>IF($N38="","",IF(OR(I38="",J38=""),"",J38-I38))</f>
        <v/>
      </c>
      <c r="L38" s="29" t="str">
        <f>IF($N38="","",INDEX('_calc'!$J$2:$J$3001,$N38))</f>
        <v/>
      </c>
      <c r="M38" s="2" t="str">
        <f>IF($N38="","",IF(AND(G38=0,H38=0),"수량 없음",IF(G38=0,"신규 (전년 수량 없음)",IF(H38=0,"당해 수량 없음",""))))</f>
        <v/>
      </c>
      <c r="N38" t="str">
        <f>IF($B38="","",MATCH($B38,'_calc'!$L$2:$L$3001,0))</f>
        <v/>
      </c>
    </row>
    <row r="39">
      <c r="B39" s="24" t="str">
        <f>IF(ROW()-ROW($B$8)&gt;nComp,"",ROW()-ROW($B$8))</f>
        <v/>
      </c>
      <c r="C39" t="str">
        <f>IF($N39="","",INDEX('_calc'!$A$2:$A$3001,$N39))</f>
        <v/>
      </c>
      <c r="D39" s="25" t="str">
        <f>IF($N39="","",INDEX('_calc'!$C$2:$C$3001,$N39))</f>
        <v/>
      </c>
      <c r="E39" s="25" t="str">
        <f>IF($N39="","",INDEX('_calc'!$D$2:$D$3001,$N39))</f>
        <v/>
      </c>
      <c r="F39" s="26" t="str">
        <f>IF($N39="","",IF($E$8=0,"",E39/$E$8))</f>
        <v/>
      </c>
      <c r="G39" s="25" t="str">
        <f>IF($N39="","",INDEX('_calc'!$E$2:$E$3001,$N39))</f>
        <v/>
      </c>
      <c r="H39" s="25" t="str">
        <f>IF($N39="","",INDEX('_calc'!$F$2:$F$3001,$N39))</f>
        <v/>
      </c>
      <c r="I39" s="27" t="str">
        <f>IF($N39="","",INDEX('_calc'!$H$2:$H$3001,$N39))</f>
        <v/>
      </c>
      <c r="J39" s="27" t="str">
        <f>IF($N39="","",INDEX('_calc'!$I$2:$I$3001,$N39))</f>
        <v/>
      </c>
      <c r="K39" s="28" t="str">
        <f>IF($N39="","",IF(OR(I39="",J39=""),"",J39-I39))</f>
        <v/>
      </c>
      <c r="L39" s="29" t="str">
        <f>IF($N39="","",INDEX('_calc'!$J$2:$J$3001,$N39))</f>
        <v/>
      </c>
      <c r="M39" s="2" t="str">
        <f>IF($N39="","",IF(AND(G39=0,H39=0),"수량 없음",IF(G39=0,"신규 (전년 수량 없음)",IF(H39=0,"당해 수량 없음",""))))</f>
        <v/>
      </c>
      <c r="N39" t="str">
        <f>IF($B39="","",MATCH($B39,'_calc'!$L$2:$L$3001,0))</f>
        <v/>
      </c>
    </row>
    <row r="40">
      <c r="B40" s="24" t="str">
        <f>IF(ROW()-ROW($B$8)&gt;nComp,"",ROW()-ROW($B$8))</f>
        <v/>
      </c>
      <c r="C40" t="str">
        <f>IF($N40="","",INDEX('_calc'!$A$2:$A$3001,$N40))</f>
        <v/>
      </c>
      <c r="D40" s="25" t="str">
        <f>IF($N40="","",INDEX('_calc'!$C$2:$C$3001,$N40))</f>
        <v/>
      </c>
      <c r="E40" s="25" t="str">
        <f>IF($N40="","",INDEX('_calc'!$D$2:$D$3001,$N40))</f>
        <v/>
      </c>
      <c r="F40" s="26" t="str">
        <f>IF($N40="","",IF($E$8=0,"",E40/$E$8))</f>
        <v/>
      </c>
      <c r="G40" s="25" t="str">
        <f>IF($N40="","",INDEX('_calc'!$E$2:$E$3001,$N40))</f>
        <v/>
      </c>
      <c r="H40" s="25" t="str">
        <f>IF($N40="","",INDEX('_calc'!$F$2:$F$3001,$N40))</f>
        <v/>
      </c>
      <c r="I40" s="27" t="str">
        <f>IF($N40="","",INDEX('_calc'!$H$2:$H$3001,$N40))</f>
        <v/>
      </c>
      <c r="J40" s="27" t="str">
        <f>IF($N40="","",INDEX('_calc'!$I$2:$I$3001,$N40))</f>
        <v/>
      </c>
      <c r="K40" s="28" t="str">
        <f>IF($N40="","",IF(OR(I40="",J40=""),"",J40-I40))</f>
        <v/>
      </c>
      <c r="L40" s="29" t="str">
        <f>IF($N40="","",INDEX('_calc'!$J$2:$J$3001,$N40))</f>
        <v/>
      </c>
      <c r="M40" s="2" t="str">
        <f>IF($N40="","",IF(AND(G40=0,H40=0),"수량 없음",IF(G40=0,"신규 (전년 수량 없음)",IF(H40=0,"당해 수량 없음",""))))</f>
        <v/>
      </c>
      <c r="N40" t="str">
        <f>IF($B40="","",MATCH($B40,'_calc'!$L$2:$L$3001,0))</f>
        <v/>
      </c>
    </row>
    <row r="41">
      <c r="B41" s="24" t="str">
        <f>IF(ROW()-ROW($B$8)&gt;nComp,"",ROW()-ROW($B$8))</f>
        <v/>
      </c>
      <c r="C41" t="str">
        <f>IF($N41="","",INDEX('_calc'!$A$2:$A$3001,$N41))</f>
        <v/>
      </c>
      <c r="D41" s="25" t="str">
        <f>IF($N41="","",INDEX('_calc'!$C$2:$C$3001,$N41))</f>
        <v/>
      </c>
      <c r="E41" s="25" t="str">
        <f>IF($N41="","",INDEX('_calc'!$D$2:$D$3001,$N41))</f>
        <v/>
      </c>
      <c r="F41" s="26" t="str">
        <f>IF($N41="","",IF($E$8=0,"",E41/$E$8))</f>
        <v/>
      </c>
      <c r="G41" s="25" t="str">
        <f>IF($N41="","",INDEX('_calc'!$E$2:$E$3001,$N41))</f>
        <v/>
      </c>
      <c r="H41" s="25" t="str">
        <f>IF($N41="","",INDEX('_calc'!$F$2:$F$3001,$N41))</f>
        <v/>
      </c>
      <c r="I41" s="27" t="str">
        <f>IF($N41="","",INDEX('_calc'!$H$2:$H$3001,$N41))</f>
        <v/>
      </c>
      <c r="J41" s="27" t="str">
        <f>IF($N41="","",INDEX('_calc'!$I$2:$I$3001,$N41))</f>
        <v/>
      </c>
      <c r="K41" s="28" t="str">
        <f>IF($N41="","",IF(OR(I41="",J41=""),"",J41-I41))</f>
        <v/>
      </c>
      <c r="L41" s="29" t="str">
        <f>IF($N41="","",INDEX('_calc'!$J$2:$J$3001,$N41))</f>
        <v/>
      </c>
      <c r="M41" s="2" t="str">
        <f>IF($N41="","",IF(AND(G41=0,H41=0),"수량 없음",IF(G41=0,"신규 (전년 수량 없음)",IF(H41=0,"당해 수량 없음",""))))</f>
        <v/>
      </c>
      <c r="N41" t="str">
        <f>IF($B41="","",MATCH($B41,'_calc'!$L$2:$L$3001,0))</f>
        <v/>
      </c>
    </row>
    <row r="42">
      <c r="B42" s="24" t="str">
        <f>IF(ROW()-ROW($B$8)&gt;nComp,"",ROW()-ROW($B$8))</f>
        <v/>
      </c>
      <c r="C42" t="str">
        <f>IF($N42="","",INDEX('_calc'!$A$2:$A$3001,$N42))</f>
        <v/>
      </c>
      <c r="D42" s="25" t="str">
        <f>IF($N42="","",INDEX('_calc'!$C$2:$C$3001,$N42))</f>
        <v/>
      </c>
      <c r="E42" s="25" t="str">
        <f>IF($N42="","",INDEX('_calc'!$D$2:$D$3001,$N42))</f>
        <v/>
      </c>
      <c r="F42" s="26" t="str">
        <f>IF($N42="","",IF($E$8=0,"",E42/$E$8))</f>
        <v/>
      </c>
      <c r="G42" s="25" t="str">
        <f>IF($N42="","",INDEX('_calc'!$E$2:$E$3001,$N42))</f>
        <v/>
      </c>
      <c r="H42" s="25" t="str">
        <f>IF($N42="","",INDEX('_calc'!$F$2:$F$3001,$N42))</f>
        <v/>
      </c>
      <c r="I42" s="27" t="str">
        <f>IF($N42="","",INDEX('_calc'!$H$2:$H$3001,$N42))</f>
        <v/>
      </c>
      <c r="J42" s="27" t="str">
        <f>IF($N42="","",INDEX('_calc'!$I$2:$I$3001,$N42))</f>
        <v/>
      </c>
      <c r="K42" s="28" t="str">
        <f>IF($N42="","",IF(OR(I42="",J42=""),"",J42-I42))</f>
        <v/>
      </c>
      <c r="L42" s="29" t="str">
        <f>IF($N42="","",INDEX('_calc'!$J$2:$J$3001,$N42))</f>
        <v/>
      </c>
      <c r="M42" s="2" t="str">
        <f>IF($N42="","",IF(AND(G42=0,H42=0),"수량 없음",IF(G42=0,"신규 (전년 수량 없음)",IF(H42=0,"당해 수량 없음",""))))</f>
        <v/>
      </c>
      <c r="N42" t="str">
        <f>IF($B42="","",MATCH($B42,'_calc'!$L$2:$L$3001,0))</f>
        <v/>
      </c>
    </row>
    <row r="43">
      <c r="B43" s="24" t="str">
        <f>IF(ROW()-ROW($B$8)&gt;nComp,"",ROW()-ROW($B$8))</f>
        <v/>
      </c>
      <c r="C43" t="str">
        <f>IF($N43="","",INDEX('_calc'!$A$2:$A$3001,$N43))</f>
        <v/>
      </c>
      <c r="D43" s="25" t="str">
        <f>IF($N43="","",INDEX('_calc'!$C$2:$C$3001,$N43))</f>
        <v/>
      </c>
      <c r="E43" s="25" t="str">
        <f>IF($N43="","",INDEX('_calc'!$D$2:$D$3001,$N43))</f>
        <v/>
      </c>
      <c r="F43" s="26" t="str">
        <f>IF($N43="","",IF($E$8=0,"",E43/$E$8))</f>
        <v/>
      </c>
      <c r="G43" s="25" t="str">
        <f>IF($N43="","",INDEX('_calc'!$E$2:$E$3001,$N43))</f>
        <v/>
      </c>
      <c r="H43" s="25" t="str">
        <f>IF($N43="","",INDEX('_calc'!$F$2:$F$3001,$N43))</f>
        <v/>
      </c>
      <c r="I43" s="27" t="str">
        <f>IF($N43="","",INDEX('_calc'!$H$2:$H$3001,$N43))</f>
        <v/>
      </c>
      <c r="J43" s="27" t="str">
        <f>IF($N43="","",INDEX('_calc'!$I$2:$I$3001,$N43))</f>
        <v/>
      </c>
      <c r="K43" s="28" t="str">
        <f>IF($N43="","",IF(OR(I43="",J43=""),"",J43-I43))</f>
        <v/>
      </c>
      <c r="L43" s="29" t="str">
        <f>IF($N43="","",INDEX('_calc'!$J$2:$J$3001,$N43))</f>
        <v/>
      </c>
      <c r="M43" s="2" t="str">
        <f>IF($N43="","",IF(AND(G43=0,H43=0),"수량 없음",IF(G43=0,"신규 (전년 수량 없음)",IF(H43=0,"당해 수량 없음",""))))</f>
        <v/>
      </c>
      <c r="N43" t="str">
        <f>IF($B43="","",MATCH($B43,'_calc'!$L$2:$L$3001,0))</f>
        <v/>
      </c>
    </row>
    <row r="44">
      <c r="B44" s="24" t="str">
        <f>IF(ROW()-ROW($B$8)&gt;nComp,"",ROW()-ROW($B$8))</f>
        <v/>
      </c>
      <c r="C44" t="str">
        <f>IF($N44="","",INDEX('_calc'!$A$2:$A$3001,$N44))</f>
        <v/>
      </c>
      <c r="D44" s="25" t="str">
        <f>IF($N44="","",INDEX('_calc'!$C$2:$C$3001,$N44))</f>
        <v/>
      </c>
      <c r="E44" s="25" t="str">
        <f>IF($N44="","",INDEX('_calc'!$D$2:$D$3001,$N44))</f>
        <v/>
      </c>
      <c r="F44" s="26" t="str">
        <f>IF($N44="","",IF($E$8=0,"",E44/$E$8))</f>
        <v/>
      </c>
      <c r="G44" s="25" t="str">
        <f>IF($N44="","",INDEX('_calc'!$E$2:$E$3001,$N44))</f>
        <v/>
      </c>
      <c r="H44" s="25" t="str">
        <f>IF($N44="","",INDEX('_calc'!$F$2:$F$3001,$N44))</f>
        <v/>
      </c>
      <c r="I44" s="27" t="str">
        <f>IF($N44="","",INDEX('_calc'!$H$2:$H$3001,$N44))</f>
        <v/>
      </c>
      <c r="J44" s="27" t="str">
        <f>IF($N44="","",INDEX('_calc'!$I$2:$I$3001,$N44))</f>
        <v/>
      </c>
      <c r="K44" s="28" t="str">
        <f>IF($N44="","",IF(OR(I44="",J44=""),"",J44-I44))</f>
        <v/>
      </c>
      <c r="L44" s="29" t="str">
        <f>IF($N44="","",INDEX('_calc'!$J$2:$J$3001,$N44))</f>
        <v/>
      </c>
      <c r="M44" s="2" t="str">
        <f>IF($N44="","",IF(AND(G44=0,H44=0),"수량 없음",IF(G44=0,"신규 (전년 수량 없음)",IF(H44=0,"당해 수량 없음",""))))</f>
        <v/>
      </c>
      <c r="N44" t="str">
        <f>IF($B44="","",MATCH($B44,'_calc'!$L$2:$L$3001,0))</f>
        <v/>
      </c>
    </row>
    <row r="45">
      <c r="B45" s="24" t="str">
        <f>IF(ROW()-ROW($B$8)&gt;nComp,"",ROW()-ROW($B$8))</f>
        <v/>
      </c>
      <c r="C45" t="str">
        <f>IF($N45="","",INDEX('_calc'!$A$2:$A$3001,$N45))</f>
        <v/>
      </c>
      <c r="D45" s="25" t="str">
        <f>IF($N45="","",INDEX('_calc'!$C$2:$C$3001,$N45))</f>
        <v/>
      </c>
      <c r="E45" s="25" t="str">
        <f>IF($N45="","",INDEX('_calc'!$D$2:$D$3001,$N45))</f>
        <v/>
      </c>
      <c r="F45" s="26" t="str">
        <f>IF($N45="","",IF($E$8=0,"",E45/$E$8))</f>
        <v/>
      </c>
      <c r="G45" s="25" t="str">
        <f>IF($N45="","",INDEX('_calc'!$E$2:$E$3001,$N45))</f>
        <v/>
      </c>
      <c r="H45" s="25" t="str">
        <f>IF($N45="","",INDEX('_calc'!$F$2:$F$3001,$N45))</f>
        <v/>
      </c>
      <c r="I45" s="27" t="str">
        <f>IF($N45="","",INDEX('_calc'!$H$2:$H$3001,$N45))</f>
        <v/>
      </c>
      <c r="J45" s="27" t="str">
        <f>IF($N45="","",INDEX('_calc'!$I$2:$I$3001,$N45))</f>
        <v/>
      </c>
      <c r="K45" s="28" t="str">
        <f>IF($N45="","",IF(OR(I45="",J45=""),"",J45-I45))</f>
        <v/>
      </c>
      <c r="L45" s="29" t="str">
        <f>IF($N45="","",INDEX('_calc'!$J$2:$J$3001,$N45))</f>
        <v/>
      </c>
      <c r="M45" s="2" t="str">
        <f>IF($N45="","",IF(AND(G45=0,H45=0),"수량 없음",IF(G45=0,"신규 (전년 수량 없음)",IF(H45=0,"당해 수량 없음",""))))</f>
        <v/>
      </c>
      <c r="N45" t="str">
        <f>IF($B45="","",MATCH($B45,'_calc'!$L$2:$L$3001,0))</f>
        <v/>
      </c>
    </row>
    <row r="46">
      <c r="B46" s="24" t="str">
        <f>IF(ROW()-ROW($B$8)&gt;nComp,"",ROW()-ROW($B$8))</f>
        <v/>
      </c>
      <c r="C46" t="str">
        <f>IF($N46="","",INDEX('_calc'!$A$2:$A$3001,$N46))</f>
        <v/>
      </c>
      <c r="D46" s="25" t="str">
        <f>IF($N46="","",INDEX('_calc'!$C$2:$C$3001,$N46))</f>
        <v/>
      </c>
      <c r="E46" s="25" t="str">
        <f>IF($N46="","",INDEX('_calc'!$D$2:$D$3001,$N46))</f>
        <v/>
      </c>
      <c r="F46" s="26" t="str">
        <f>IF($N46="","",IF($E$8=0,"",E46/$E$8))</f>
        <v/>
      </c>
      <c r="G46" s="25" t="str">
        <f>IF($N46="","",INDEX('_calc'!$E$2:$E$3001,$N46))</f>
        <v/>
      </c>
      <c r="H46" s="25" t="str">
        <f>IF($N46="","",INDEX('_calc'!$F$2:$F$3001,$N46))</f>
        <v/>
      </c>
      <c r="I46" s="27" t="str">
        <f>IF($N46="","",INDEX('_calc'!$H$2:$H$3001,$N46))</f>
        <v/>
      </c>
      <c r="J46" s="27" t="str">
        <f>IF($N46="","",INDEX('_calc'!$I$2:$I$3001,$N46))</f>
        <v/>
      </c>
      <c r="K46" s="28" t="str">
        <f>IF($N46="","",IF(OR(I46="",J46=""),"",J46-I46))</f>
        <v/>
      </c>
      <c r="L46" s="29" t="str">
        <f>IF($N46="","",INDEX('_calc'!$J$2:$J$3001,$N46))</f>
        <v/>
      </c>
      <c r="M46" s="2" t="str">
        <f>IF($N46="","",IF(AND(G46=0,H46=0),"수량 없음",IF(G46=0,"신규 (전년 수량 없음)",IF(H46=0,"당해 수량 없음",""))))</f>
        <v/>
      </c>
      <c r="N46" t="str">
        <f>IF($B46="","",MATCH($B46,'_calc'!$L$2:$L$3001,0))</f>
        <v/>
      </c>
    </row>
    <row r="47">
      <c r="B47" s="24" t="str">
        <f>IF(ROW()-ROW($B$8)&gt;nComp,"",ROW()-ROW($B$8))</f>
        <v/>
      </c>
      <c r="C47" t="str">
        <f>IF($N47="","",INDEX('_calc'!$A$2:$A$3001,$N47))</f>
        <v/>
      </c>
      <c r="D47" s="25" t="str">
        <f>IF($N47="","",INDEX('_calc'!$C$2:$C$3001,$N47))</f>
        <v/>
      </c>
      <c r="E47" s="25" t="str">
        <f>IF($N47="","",INDEX('_calc'!$D$2:$D$3001,$N47))</f>
        <v/>
      </c>
      <c r="F47" s="26" t="str">
        <f>IF($N47="","",IF($E$8=0,"",E47/$E$8))</f>
        <v/>
      </c>
      <c r="G47" s="25" t="str">
        <f>IF($N47="","",INDEX('_calc'!$E$2:$E$3001,$N47))</f>
        <v/>
      </c>
      <c r="H47" s="25" t="str">
        <f>IF($N47="","",INDEX('_calc'!$F$2:$F$3001,$N47))</f>
        <v/>
      </c>
      <c r="I47" s="27" t="str">
        <f>IF($N47="","",INDEX('_calc'!$H$2:$H$3001,$N47))</f>
        <v/>
      </c>
      <c r="J47" s="27" t="str">
        <f>IF($N47="","",INDEX('_calc'!$I$2:$I$3001,$N47))</f>
        <v/>
      </c>
      <c r="K47" s="28" t="str">
        <f>IF($N47="","",IF(OR(I47="",J47=""),"",J47-I47))</f>
        <v/>
      </c>
      <c r="L47" s="29" t="str">
        <f>IF($N47="","",INDEX('_calc'!$J$2:$J$3001,$N47))</f>
        <v/>
      </c>
      <c r="M47" s="2" t="str">
        <f>IF($N47="","",IF(AND(G47=0,H47=0),"수량 없음",IF(G47=0,"신규 (전년 수량 없음)",IF(H47=0,"당해 수량 없음",""))))</f>
        <v/>
      </c>
      <c r="N47" t="str">
        <f>IF($B47="","",MATCH($B47,'_calc'!$L$2:$L$3001,0))</f>
        <v/>
      </c>
    </row>
    <row r="48">
      <c r="B48" s="24" t="str">
        <f>IF(ROW()-ROW($B$8)&gt;nComp,"",ROW()-ROW($B$8))</f>
        <v/>
      </c>
      <c r="C48" t="str">
        <f>IF($N48="","",INDEX('_calc'!$A$2:$A$3001,$N48))</f>
        <v/>
      </c>
      <c r="D48" s="25" t="str">
        <f>IF($N48="","",INDEX('_calc'!$C$2:$C$3001,$N48))</f>
        <v/>
      </c>
      <c r="E48" s="25" t="str">
        <f>IF($N48="","",INDEX('_calc'!$D$2:$D$3001,$N48))</f>
        <v/>
      </c>
      <c r="F48" s="26" t="str">
        <f>IF($N48="","",IF($E$8=0,"",E48/$E$8))</f>
        <v/>
      </c>
      <c r="G48" s="25" t="str">
        <f>IF($N48="","",INDEX('_calc'!$E$2:$E$3001,$N48))</f>
        <v/>
      </c>
      <c r="H48" s="25" t="str">
        <f>IF($N48="","",INDEX('_calc'!$F$2:$F$3001,$N48))</f>
        <v/>
      </c>
      <c r="I48" s="27" t="str">
        <f>IF($N48="","",INDEX('_calc'!$H$2:$H$3001,$N48))</f>
        <v/>
      </c>
      <c r="J48" s="27" t="str">
        <f>IF($N48="","",INDEX('_calc'!$I$2:$I$3001,$N48))</f>
        <v/>
      </c>
      <c r="K48" s="28" t="str">
        <f>IF($N48="","",IF(OR(I48="",J48=""),"",J48-I48))</f>
        <v/>
      </c>
      <c r="L48" s="29" t="str">
        <f>IF($N48="","",INDEX('_calc'!$J$2:$J$3001,$N48))</f>
        <v/>
      </c>
      <c r="M48" s="2" t="str">
        <f>IF($N48="","",IF(AND(G48=0,H48=0),"수량 없음",IF(G48=0,"신규 (전년 수량 없음)",IF(H48=0,"당해 수량 없음",""))))</f>
        <v/>
      </c>
      <c r="N48" t="str">
        <f>IF($B48="","",MATCH($B48,'_calc'!$L$2:$L$3001,0))</f>
        <v/>
      </c>
    </row>
    <row r="49">
      <c r="B49" s="24" t="str">
        <f>IF(ROW()-ROW($B$8)&gt;nComp,"",ROW()-ROW($B$8))</f>
        <v/>
      </c>
      <c r="C49" t="str">
        <f>IF($N49="","",INDEX('_calc'!$A$2:$A$3001,$N49))</f>
        <v/>
      </c>
      <c r="D49" s="25" t="str">
        <f>IF($N49="","",INDEX('_calc'!$C$2:$C$3001,$N49))</f>
        <v/>
      </c>
      <c r="E49" s="25" t="str">
        <f>IF($N49="","",INDEX('_calc'!$D$2:$D$3001,$N49))</f>
        <v/>
      </c>
      <c r="F49" s="26" t="str">
        <f>IF($N49="","",IF($E$8=0,"",E49/$E$8))</f>
        <v/>
      </c>
      <c r="G49" s="25" t="str">
        <f>IF($N49="","",INDEX('_calc'!$E$2:$E$3001,$N49))</f>
        <v/>
      </c>
      <c r="H49" s="25" t="str">
        <f>IF($N49="","",INDEX('_calc'!$F$2:$F$3001,$N49))</f>
        <v/>
      </c>
      <c r="I49" s="27" t="str">
        <f>IF($N49="","",INDEX('_calc'!$H$2:$H$3001,$N49))</f>
        <v/>
      </c>
      <c r="J49" s="27" t="str">
        <f>IF($N49="","",INDEX('_calc'!$I$2:$I$3001,$N49))</f>
        <v/>
      </c>
      <c r="K49" s="28" t="str">
        <f>IF($N49="","",IF(OR(I49="",J49=""),"",J49-I49))</f>
        <v/>
      </c>
      <c r="L49" s="29" t="str">
        <f>IF($N49="","",INDEX('_calc'!$J$2:$J$3001,$N49))</f>
        <v/>
      </c>
      <c r="M49" s="2" t="str">
        <f>IF($N49="","",IF(AND(G49=0,H49=0),"수량 없음",IF(G49=0,"신규 (전년 수량 없음)",IF(H49=0,"당해 수량 없음",""))))</f>
        <v/>
      </c>
      <c r="N49" t="str">
        <f>IF($B49="","",MATCH($B49,'_calc'!$L$2:$L$3001,0))</f>
        <v/>
      </c>
    </row>
    <row r="50">
      <c r="B50" s="24" t="str">
        <f>IF(ROW()-ROW($B$8)&gt;nComp,"",ROW()-ROW($B$8))</f>
        <v/>
      </c>
      <c r="C50" t="str">
        <f>IF($N50="","",INDEX('_calc'!$A$2:$A$3001,$N50))</f>
        <v/>
      </c>
      <c r="D50" s="25" t="str">
        <f>IF($N50="","",INDEX('_calc'!$C$2:$C$3001,$N50))</f>
        <v/>
      </c>
      <c r="E50" s="25" t="str">
        <f>IF($N50="","",INDEX('_calc'!$D$2:$D$3001,$N50))</f>
        <v/>
      </c>
      <c r="F50" s="26" t="str">
        <f>IF($N50="","",IF($E$8=0,"",E50/$E$8))</f>
        <v/>
      </c>
      <c r="G50" s="25" t="str">
        <f>IF($N50="","",INDEX('_calc'!$E$2:$E$3001,$N50))</f>
        <v/>
      </c>
      <c r="H50" s="25" t="str">
        <f>IF($N50="","",INDEX('_calc'!$F$2:$F$3001,$N50))</f>
        <v/>
      </c>
      <c r="I50" s="27" t="str">
        <f>IF($N50="","",INDEX('_calc'!$H$2:$H$3001,$N50))</f>
        <v/>
      </c>
      <c r="J50" s="27" t="str">
        <f>IF($N50="","",INDEX('_calc'!$I$2:$I$3001,$N50))</f>
        <v/>
      </c>
      <c r="K50" s="28" t="str">
        <f>IF($N50="","",IF(OR(I50="",J50=""),"",J50-I50))</f>
        <v/>
      </c>
      <c r="L50" s="29" t="str">
        <f>IF($N50="","",INDEX('_calc'!$J$2:$J$3001,$N50))</f>
        <v/>
      </c>
      <c r="M50" s="2" t="str">
        <f>IF($N50="","",IF(AND(G50=0,H50=0),"수량 없음",IF(G50=0,"신규 (전년 수량 없음)",IF(H50=0,"당해 수량 없음",""))))</f>
        <v/>
      </c>
      <c r="N50" t="str">
        <f>IF($B50="","",MATCH($B50,'_calc'!$L$2:$L$3001,0))</f>
        <v/>
      </c>
    </row>
    <row r="51">
      <c r="B51" s="24" t="str">
        <f>IF(ROW()-ROW($B$8)&gt;nComp,"",ROW()-ROW($B$8))</f>
        <v/>
      </c>
      <c r="C51" t="str">
        <f>IF($N51="","",INDEX('_calc'!$A$2:$A$3001,$N51))</f>
        <v/>
      </c>
      <c r="D51" s="25" t="str">
        <f>IF($N51="","",INDEX('_calc'!$C$2:$C$3001,$N51))</f>
        <v/>
      </c>
      <c r="E51" s="25" t="str">
        <f>IF($N51="","",INDEX('_calc'!$D$2:$D$3001,$N51))</f>
        <v/>
      </c>
      <c r="F51" s="26" t="str">
        <f>IF($N51="","",IF($E$8=0,"",E51/$E$8))</f>
        <v/>
      </c>
      <c r="G51" s="25" t="str">
        <f>IF($N51="","",INDEX('_calc'!$E$2:$E$3001,$N51))</f>
        <v/>
      </c>
      <c r="H51" s="25" t="str">
        <f>IF($N51="","",INDEX('_calc'!$F$2:$F$3001,$N51))</f>
        <v/>
      </c>
      <c r="I51" s="27" t="str">
        <f>IF($N51="","",INDEX('_calc'!$H$2:$H$3001,$N51))</f>
        <v/>
      </c>
      <c r="J51" s="27" t="str">
        <f>IF($N51="","",INDEX('_calc'!$I$2:$I$3001,$N51))</f>
        <v/>
      </c>
      <c r="K51" s="28" t="str">
        <f>IF($N51="","",IF(OR(I51="",J51=""),"",J51-I51))</f>
        <v/>
      </c>
      <c r="L51" s="29" t="str">
        <f>IF($N51="","",INDEX('_calc'!$J$2:$J$3001,$N51))</f>
        <v/>
      </c>
      <c r="M51" s="2" t="str">
        <f>IF($N51="","",IF(AND(G51=0,H51=0),"수량 없음",IF(G51=0,"신규 (전년 수량 없음)",IF(H51=0,"당해 수량 없음",""))))</f>
        <v/>
      </c>
      <c r="N51" t="str">
        <f>IF($B51="","",MATCH($B51,'_calc'!$L$2:$L$3001,0))</f>
        <v/>
      </c>
    </row>
    <row r="52">
      <c r="B52" s="24" t="str">
        <f>IF(ROW()-ROW($B$8)&gt;nComp,"",ROW()-ROW($B$8))</f>
        <v/>
      </c>
      <c r="C52" t="str">
        <f>IF($N52="","",INDEX('_calc'!$A$2:$A$3001,$N52))</f>
        <v/>
      </c>
      <c r="D52" s="25" t="str">
        <f>IF($N52="","",INDEX('_calc'!$C$2:$C$3001,$N52))</f>
        <v/>
      </c>
      <c r="E52" s="25" t="str">
        <f>IF($N52="","",INDEX('_calc'!$D$2:$D$3001,$N52))</f>
        <v/>
      </c>
      <c r="F52" s="26" t="str">
        <f>IF($N52="","",IF($E$8=0,"",E52/$E$8))</f>
        <v/>
      </c>
      <c r="G52" s="25" t="str">
        <f>IF($N52="","",INDEX('_calc'!$E$2:$E$3001,$N52))</f>
        <v/>
      </c>
      <c r="H52" s="25" t="str">
        <f>IF($N52="","",INDEX('_calc'!$F$2:$F$3001,$N52))</f>
        <v/>
      </c>
      <c r="I52" s="27" t="str">
        <f>IF($N52="","",INDEX('_calc'!$H$2:$H$3001,$N52))</f>
        <v/>
      </c>
      <c r="J52" s="27" t="str">
        <f>IF($N52="","",INDEX('_calc'!$I$2:$I$3001,$N52))</f>
        <v/>
      </c>
      <c r="K52" s="28" t="str">
        <f>IF($N52="","",IF(OR(I52="",J52=""),"",J52-I52))</f>
        <v/>
      </c>
      <c r="L52" s="29" t="str">
        <f>IF($N52="","",INDEX('_calc'!$J$2:$J$3001,$N52))</f>
        <v/>
      </c>
      <c r="M52" s="2" t="str">
        <f>IF($N52="","",IF(AND(G52=0,H52=0),"수량 없음",IF(G52=0,"신규 (전년 수량 없음)",IF(H52=0,"당해 수량 없음",""))))</f>
        <v/>
      </c>
      <c r="N52" t="str">
        <f>IF($B52="","",MATCH($B52,'_calc'!$L$2:$L$3001,0))</f>
        <v/>
      </c>
    </row>
    <row r="53">
      <c r="B53" s="24" t="str">
        <f>IF(ROW()-ROW($B$8)&gt;nComp,"",ROW()-ROW($B$8))</f>
        <v/>
      </c>
      <c r="C53" t="str">
        <f>IF($N53="","",INDEX('_calc'!$A$2:$A$3001,$N53))</f>
        <v/>
      </c>
      <c r="D53" s="25" t="str">
        <f>IF($N53="","",INDEX('_calc'!$C$2:$C$3001,$N53))</f>
        <v/>
      </c>
      <c r="E53" s="25" t="str">
        <f>IF($N53="","",INDEX('_calc'!$D$2:$D$3001,$N53))</f>
        <v/>
      </c>
      <c r="F53" s="26" t="str">
        <f>IF($N53="","",IF($E$8=0,"",E53/$E$8))</f>
        <v/>
      </c>
      <c r="G53" s="25" t="str">
        <f>IF($N53="","",INDEX('_calc'!$E$2:$E$3001,$N53))</f>
        <v/>
      </c>
      <c r="H53" s="25" t="str">
        <f>IF($N53="","",INDEX('_calc'!$F$2:$F$3001,$N53))</f>
        <v/>
      </c>
      <c r="I53" s="27" t="str">
        <f>IF($N53="","",INDEX('_calc'!$H$2:$H$3001,$N53))</f>
        <v/>
      </c>
      <c r="J53" s="27" t="str">
        <f>IF($N53="","",INDEX('_calc'!$I$2:$I$3001,$N53))</f>
        <v/>
      </c>
      <c r="K53" s="28" t="str">
        <f>IF($N53="","",IF(OR(I53="",J53=""),"",J53-I53))</f>
        <v/>
      </c>
      <c r="L53" s="29" t="str">
        <f>IF($N53="","",INDEX('_calc'!$J$2:$J$3001,$N53))</f>
        <v/>
      </c>
      <c r="M53" s="2" t="str">
        <f>IF($N53="","",IF(AND(G53=0,H53=0),"수량 없음",IF(G53=0,"신규 (전년 수량 없음)",IF(H53=0,"당해 수량 없음",""))))</f>
        <v/>
      </c>
      <c r="N53" t="str">
        <f>IF($B53="","",MATCH($B53,'_calc'!$L$2:$L$3001,0))</f>
        <v/>
      </c>
    </row>
    <row r="54">
      <c r="B54" s="24" t="str">
        <f>IF(ROW()-ROW($B$8)&gt;nComp,"",ROW()-ROW($B$8))</f>
        <v/>
      </c>
      <c r="C54" t="str">
        <f>IF($N54="","",INDEX('_calc'!$A$2:$A$3001,$N54))</f>
        <v/>
      </c>
      <c r="D54" s="25" t="str">
        <f>IF($N54="","",INDEX('_calc'!$C$2:$C$3001,$N54))</f>
        <v/>
      </c>
      <c r="E54" s="25" t="str">
        <f>IF($N54="","",INDEX('_calc'!$D$2:$D$3001,$N54))</f>
        <v/>
      </c>
      <c r="F54" s="26" t="str">
        <f>IF($N54="","",IF($E$8=0,"",E54/$E$8))</f>
        <v/>
      </c>
      <c r="G54" s="25" t="str">
        <f>IF($N54="","",INDEX('_calc'!$E$2:$E$3001,$N54))</f>
        <v/>
      </c>
      <c r="H54" s="25" t="str">
        <f>IF($N54="","",INDEX('_calc'!$F$2:$F$3001,$N54))</f>
        <v/>
      </c>
      <c r="I54" s="27" t="str">
        <f>IF($N54="","",INDEX('_calc'!$H$2:$H$3001,$N54))</f>
        <v/>
      </c>
      <c r="J54" s="27" t="str">
        <f>IF($N54="","",INDEX('_calc'!$I$2:$I$3001,$N54))</f>
        <v/>
      </c>
      <c r="K54" s="28" t="str">
        <f>IF($N54="","",IF(OR(I54="",J54=""),"",J54-I54))</f>
        <v/>
      </c>
      <c r="L54" s="29" t="str">
        <f>IF($N54="","",INDEX('_calc'!$J$2:$J$3001,$N54))</f>
        <v/>
      </c>
      <c r="M54" s="2" t="str">
        <f>IF($N54="","",IF(AND(G54=0,H54=0),"수량 없음",IF(G54=0,"신규 (전년 수량 없음)",IF(H54=0,"당해 수량 없음",""))))</f>
        <v/>
      </c>
      <c r="N54" t="str">
        <f>IF($B54="","",MATCH($B54,'_calc'!$L$2:$L$3001,0))</f>
        <v/>
      </c>
    </row>
    <row r="55">
      <c r="B55" s="24" t="str">
        <f>IF(ROW()-ROW($B$8)&gt;nComp,"",ROW()-ROW($B$8))</f>
        <v/>
      </c>
      <c r="C55" t="str">
        <f>IF($N55="","",INDEX('_calc'!$A$2:$A$3001,$N55))</f>
        <v/>
      </c>
      <c r="D55" s="25" t="str">
        <f>IF($N55="","",INDEX('_calc'!$C$2:$C$3001,$N55))</f>
        <v/>
      </c>
      <c r="E55" s="25" t="str">
        <f>IF($N55="","",INDEX('_calc'!$D$2:$D$3001,$N55))</f>
        <v/>
      </c>
      <c r="F55" s="26" t="str">
        <f>IF($N55="","",IF($E$8=0,"",E55/$E$8))</f>
        <v/>
      </c>
      <c r="G55" s="25" t="str">
        <f>IF($N55="","",INDEX('_calc'!$E$2:$E$3001,$N55))</f>
        <v/>
      </c>
      <c r="H55" s="25" t="str">
        <f>IF($N55="","",INDEX('_calc'!$F$2:$F$3001,$N55))</f>
        <v/>
      </c>
      <c r="I55" s="27" t="str">
        <f>IF($N55="","",INDEX('_calc'!$H$2:$H$3001,$N55))</f>
        <v/>
      </c>
      <c r="J55" s="27" t="str">
        <f>IF($N55="","",INDEX('_calc'!$I$2:$I$3001,$N55))</f>
        <v/>
      </c>
      <c r="K55" s="28" t="str">
        <f>IF($N55="","",IF(OR(I55="",J55=""),"",J55-I55))</f>
        <v/>
      </c>
      <c r="L55" s="29" t="str">
        <f>IF($N55="","",INDEX('_calc'!$J$2:$J$3001,$N55))</f>
        <v/>
      </c>
      <c r="M55" s="2" t="str">
        <f>IF($N55="","",IF(AND(G55=0,H55=0),"수량 없음",IF(G55=0,"신규 (전년 수량 없음)",IF(H55=0,"당해 수량 없음",""))))</f>
        <v/>
      </c>
      <c r="N55" t="str">
        <f>IF($B55="","",MATCH($B55,'_calc'!$L$2:$L$3001,0))</f>
        <v/>
      </c>
    </row>
    <row r="56">
      <c r="B56" s="24" t="str">
        <f>IF(ROW()-ROW($B$8)&gt;nComp,"",ROW()-ROW($B$8))</f>
        <v/>
      </c>
      <c r="C56" t="str">
        <f>IF($N56="","",INDEX('_calc'!$A$2:$A$3001,$N56))</f>
        <v/>
      </c>
      <c r="D56" s="25" t="str">
        <f>IF($N56="","",INDEX('_calc'!$C$2:$C$3001,$N56))</f>
        <v/>
      </c>
      <c r="E56" s="25" t="str">
        <f>IF($N56="","",INDEX('_calc'!$D$2:$D$3001,$N56))</f>
        <v/>
      </c>
      <c r="F56" s="26" t="str">
        <f>IF($N56="","",IF($E$8=0,"",E56/$E$8))</f>
        <v/>
      </c>
      <c r="G56" s="25" t="str">
        <f>IF($N56="","",INDEX('_calc'!$E$2:$E$3001,$N56))</f>
        <v/>
      </c>
      <c r="H56" s="25" t="str">
        <f>IF($N56="","",INDEX('_calc'!$F$2:$F$3001,$N56))</f>
        <v/>
      </c>
      <c r="I56" s="27" t="str">
        <f>IF($N56="","",INDEX('_calc'!$H$2:$H$3001,$N56))</f>
        <v/>
      </c>
      <c r="J56" s="27" t="str">
        <f>IF($N56="","",INDEX('_calc'!$I$2:$I$3001,$N56))</f>
        <v/>
      </c>
      <c r="K56" s="28" t="str">
        <f>IF($N56="","",IF(OR(I56="",J56=""),"",J56-I56))</f>
        <v/>
      </c>
      <c r="L56" s="29" t="str">
        <f>IF($N56="","",INDEX('_calc'!$J$2:$J$3001,$N56))</f>
        <v/>
      </c>
      <c r="M56" s="2" t="str">
        <f>IF($N56="","",IF(AND(G56=0,H56=0),"수량 없음",IF(G56=0,"신규 (전년 수량 없음)",IF(H56=0,"당해 수량 없음",""))))</f>
        <v/>
      </c>
      <c r="N56" t="str">
        <f>IF($B56="","",MATCH($B56,'_calc'!$L$2:$L$3001,0))</f>
        <v/>
      </c>
    </row>
    <row r="57">
      <c r="B57" s="24" t="str">
        <f>IF(ROW()-ROW($B$8)&gt;nComp,"",ROW()-ROW($B$8))</f>
        <v/>
      </c>
      <c r="C57" t="str">
        <f>IF($N57="","",INDEX('_calc'!$A$2:$A$3001,$N57))</f>
        <v/>
      </c>
      <c r="D57" s="25" t="str">
        <f>IF($N57="","",INDEX('_calc'!$C$2:$C$3001,$N57))</f>
        <v/>
      </c>
      <c r="E57" s="25" t="str">
        <f>IF($N57="","",INDEX('_calc'!$D$2:$D$3001,$N57))</f>
        <v/>
      </c>
      <c r="F57" s="26" t="str">
        <f>IF($N57="","",IF($E$8=0,"",E57/$E$8))</f>
        <v/>
      </c>
      <c r="G57" s="25" t="str">
        <f>IF($N57="","",INDEX('_calc'!$E$2:$E$3001,$N57))</f>
        <v/>
      </c>
      <c r="H57" s="25" t="str">
        <f>IF($N57="","",INDEX('_calc'!$F$2:$F$3001,$N57))</f>
        <v/>
      </c>
      <c r="I57" s="27" t="str">
        <f>IF($N57="","",INDEX('_calc'!$H$2:$H$3001,$N57))</f>
        <v/>
      </c>
      <c r="J57" s="27" t="str">
        <f>IF($N57="","",INDEX('_calc'!$I$2:$I$3001,$N57))</f>
        <v/>
      </c>
      <c r="K57" s="28" t="str">
        <f>IF($N57="","",IF(OR(I57="",J57=""),"",J57-I57))</f>
        <v/>
      </c>
      <c r="L57" s="29" t="str">
        <f>IF($N57="","",INDEX('_calc'!$J$2:$J$3001,$N57))</f>
        <v/>
      </c>
      <c r="M57" s="2" t="str">
        <f>IF($N57="","",IF(AND(G57=0,H57=0),"수량 없음",IF(G57=0,"신규 (전년 수량 없음)",IF(H57=0,"당해 수량 없음",""))))</f>
        <v/>
      </c>
      <c r="N57" t="str">
        <f>IF($B57="","",MATCH($B57,'_calc'!$L$2:$L$3001,0))</f>
        <v/>
      </c>
    </row>
    <row r="58">
      <c r="B58" s="24" t="str">
        <f>IF(ROW()-ROW($B$8)&gt;nComp,"",ROW()-ROW($B$8))</f>
        <v/>
      </c>
      <c r="C58" t="str">
        <f>IF($N58="","",INDEX('_calc'!$A$2:$A$3001,$N58))</f>
        <v/>
      </c>
      <c r="D58" s="25" t="str">
        <f>IF($N58="","",INDEX('_calc'!$C$2:$C$3001,$N58))</f>
        <v/>
      </c>
      <c r="E58" s="25" t="str">
        <f>IF($N58="","",INDEX('_calc'!$D$2:$D$3001,$N58))</f>
        <v/>
      </c>
      <c r="F58" s="26" t="str">
        <f>IF($N58="","",IF($E$8=0,"",E58/$E$8))</f>
        <v/>
      </c>
      <c r="G58" s="25" t="str">
        <f>IF($N58="","",INDEX('_calc'!$E$2:$E$3001,$N58))</f>
        <v/>
      </c>
      <c r="H58" s="25" t="str">
        <f>IF($N58="","",INDEX('_calc'!$F$2:$F$3001,$N58))</f>
        <v/>
      </c>
      <c r="I58" s="27" t="str">
        <f>IF($N58="","",INDEX('_calc'!$H$2:$H$3001,$N58))</f>
        <v/>
      </c>
      <c r="J58" s="27" t="str">
        <f>IF($N58="","",INDEX('_calc'!$I$2:$I$3001,$N58))</f>
        <v/>
      </c>
      <c r="K58" s="28" t="str">
        <f>IF($N58="","",IF(OR(I58="",J58=""),"",J58-I58))</f>
        <v/>
      </c>
      <c r="L58" s="29" t="str">
        <f>IF($N58="","",INDEX('_calc'!$J$2:$J$3001,$N58))</f>
        <v/>
      </c>
      <c r="M58" s="2" t="str">
        <f>IF($N58="","",IF(AND(G58=0,H58=0),"수량 없음",IF(G58=0,"신규 (전년 수량 없음)",IF(H58=0,"당해 수량 없음",""))))</f>
        <v/>
      </c>
      <c r="N58" t="str">
        <f>IF($B58="","",MATCH($B58,'_calc'!$L$2:$L$3001,0))</f>
        <v/>
      </c>
    </row>
    <row r="59">
      <c r="B59" s="24" t="str">
        <f>IF(ROW()-ROW($B$8)&gt;nComp,"",ROW()-ROW($B$8))</f>
        <v/>
      </c>
      <c r="C59" t="str">
        <f>IF($N59="","",INDEX('_calc'!$A$2:$A$3001,$N59))</f>
        <v/>
      </c>
      <c r="D59" s="25" t="str">
        <f>IF($N59="","",INDEX('_calc'!$C$2:$C$3001,$N59))</f>
        <v/>
      </c>
      <c r="E59" s="25" t="str">
        <f>IF($N59="","",INDEX('_calc'!$D$2:$D$3001,$N59))</f>
        <v/>
      </c>
      <c r="F59" s="26" t="str">
        <f>IF($N59="","",IF($E$8=0,"",E59/$E$8))</f>
        <v/>
      </c>
      <c r="G59" s="25" t="str">
        <f>IF($N59="","",INDEX('_calc'!$E$2:$E$3001,$N59))</f>
        <v/>
      </c>
      <c r="H59" s="25" t="str">
        <f>IF($N59="","",INDEX('_calc'!$F$2:$F$3001,$N59))</f>
        <v/>
      </c>
      <c r="I59" s="27" t="str">
        <f>IF($N59="","",INDEX('_calc'!$H$2:$H$3001,$N59))</f>
        <v/>
      </c>
      <c r="J59" s="27" t="str">
        <f>IF($N59="","",INDEX('_calc'!$I$2:$I$3001,$N59))</f>
        <v/>
      </c>
      <c r="K59" s="28" t="str">
        <f>IF($N59="","",IF(OR(I59="",J59=""),"",J59-I59))</f>
        <v/>
      </c>
      <c r="L59" s="29" t="str">
        <f>IF($N59="","",INDEX('_calc'!$J$2:$J$3001,$N59))</f>
        <v/>
      </c>
      <c r="M59" s="2" t="str">
        <f>IF($N59="","",IF(AND(G59=0,H59=0),"수량 없음",IF(G59=0,"신규 (전년 수량 없음)",IF(H59=0,"당해 수량 없음",""))))</f>
        <v/>
      </c>
      <c r="N59" t="str">
        <f>IF($B59="","",MATCH($B59,'_calc'!$L$2:$L$3001,0))</f>
        <v/>
      </c>
    </row>
    <row r="60">
      <c r="B60" s="24" t="str">
        <f>IF(ROW()-ROW($B$8)&gt;nComp,"",ROW()-ROW($B$8))</f>
        <v/>
      </c>
      <c r="C60" t="str">
        <f>IF($N60="","",INDEX('_calc'!$A$2:$A$3001,$N60))</f>
        <v/>
      </c>
      <c r="D60" s="25" t="str">
        <f>IF($N60="","",INDEX('_calc'!$C$2:$C$3001,$N60))</f>
        <v/>
      </c>
      <c r="E60" s="25" t="str">
        <f>IF($N60="","",INDEX('_calc'!$D$2:$D$3001,$N60))</f>
        <v/>
      </c>
      <c r="F60" s="26" t="str">
        <f>IF($N60="","",IF($E$8=0,"",E60/$E$8))</f>
        <v/>
      </c>
      <c r="G60" s="25" t="str">
        <f>IF($N60="","",INDEX('_calc'!$E$2:$E$3001,$N60))</f>
        <v/>
      </c>
      <c r="H60" s="25" t="str">
        <f>IF($N60="","",INDEX('_calc'!$F$2:$F$3001,$N60))</f>
        <v/>
      </c>
      <c r="I60" s="27" t="str">
        <f>IF($N60="","",INDEX('_calc'!$H$2:$H$3001,$N60))</f>
        <v/>
      </c>
      <c r="J60" s="27" t="str">
        <f>IF($N60="","",INDEX('_calc'!$I$2:$I$3001,$N60))</f>
        <v/>
      </c>
      <c r="K60" s="28" t="str">
        <f>IF($N60="","",IF(OR(I60="",J60=""),"",J60-I60))</f>
        <v/>
      </c>
      <c r="L60" s="29" t="str">
        <f>IF($N60="","",INDEX('_calc'!$J$2:$J$3001,$N60))</f>
        <v/>
      </c>
      <c r="M60" s="2" t="str">
        <f>IF($N60="","",IF(AND(G60=0,H60=0),"수량 없음",IF(G60=0,"신규 (전년 수량 없음)",IF(H60=0,"당해 수량 없음",""))))</f>
        <v/>
      </c>
      <c r="N60" t="str">
        <f>IF($B60="","",MATCH($B60,'_calc'!$L$2:$L$3001,0))</f>
        <v/>
      </c>
    </row>
    <row r="61">
      <c r="B61" s="24" t="str">
        <f>IF(ROW()-ROW($B$8)&gt;nComp,"",ROW()-ROW($B$8))</f>
        <v/>
      </c>
      <c r="C61" t="str">
        <f>IF($N61="","",INDEX('_calc'!$A$2:$A$3001,$N61))</f>
        <v/>
      </c>
      <c r="D61" s="25" t="str">
        <f>IF($N61="","",INDEX('_calc'!$C$2:$C$3001,$N61))</f>
        <v/>
      </c>
      <c r="E61" s="25" t="str">
        <f>IF($N61="","",INDEX('_calc'!$D$2:$D$3001,$N61))</f>
        <v/>
      </c>
      <c r="F61" s="26" t="str">
        <f>IF($N61="","",IF($E$8=0,"",E61/$E$8))</f>
        <v/>
      </c>
      <c r="G61" s="25" t="str">
        <f>IF($N61="","",INDEX('_calc'!$E$2:$E$3001,$N61))</f>
        <v/>
      </c>
      <c r="H61" s="25" t="str">
        <f>IF($N61="","",INDEX('_calc'!$F$2:$F$3001,$N61))</f>
        <v/>
      </c>
      <c r="I61" s="27" t="str">
        <f>IF($N61="","",INDEX('_calc'!$H$2:$H$3001,$N61))</f>
        <v/>
      </c>
      <c r="J61" s="27" t="str">
        <f>IF($N61="","",INDEX('_calc'!$I$2:$I$3001,$N61))</f>
        <v/>
      </c>
      <c r="K61" s="28" t="str">
        <f>IF($N61="","",IF(OR(I61="",J61=""),"",J61-I61))</f>
        <v/>
      </c>
      <c r="L61" s="29" t="str">
        <f>IF($N61="","",INDEX('_calc'!$J$2:$J$3001,$N61))</f>
        <v/>
      </c>
      <c r="M61" s="2" t="str">
        <f>IF($N61="","",IF(AND(G61=0,H61=0),"수량 없음",IF(G61=0,"신규 (전년 수량 없음)",IF(H61=0,"당해 수량 없음",""))))</f>
        <v/>
      </c>
      <c r="N61" t="str">
        <f>IF($B61="","",MATCH($B61,'_calc'!$L$2:$L$3001,0))</f>
        <v/>
      </c>
    </row>
    <row r="62">
      <c r="B62" s="24" t="str">
        <f>IF(ROW()-ROW($B$8)&gt;nComp,"",ROW()-ROW($B$8))</f>
        <v/>
      </c>
      <c r="C62" t="str">
        <f>IF($N62="","",INDEX('_calc'!$A$2:$A$3001,$N62))</f>
        <v/>
      </c>
      <c r="D62" s="25" t="str">
        <f>IF($N62="","",INDEX('_calc'!$C$2:$C$3001,$N62))</f>
        <v/>
      </c>
      <c r="E62" s="25" t="str">
        <f>IF($N62="","",INDEX('_calc'!$D$2:$D$3001,$N62))</f>
        <v/>
      </c>
      <c r="F62" s="26" t="str">
        <f>IF($N62="","",IF($E$8=0,"",E62/$E$8))</f>
        <v/>
      </c>
      <c r="G62" s="25" t="str">
        <f>IF($N62="","",INDEX('_calc'!$E$2:$E$3001,$N62))</f>
        <v/>
      </c>
      <c r="H62" s="25" t="str">
        <f>IF($N62="","",INDEX('_calc'!$F$2:$F$3001,$N62))</f>
        <v/>
      </c>
      <c r="I62" s="27" t="str">
        <f>IF($N62="","",INDEX('_calc'!$H$2:$H$3001,$N62))</f>
        <v/>
      </c>
      <c r="J62" s="27" t="str">
        <f>IF($N62="","",INDEX('_calc'!$I$2:$I$3001,$N62))</f>
        <v/>
      </c>
      <c r="K62" s="28" t="str">
        <f>IF($N62="","",IF(OR(I62="",J62=""),"",J62-I62))</f>
        <v/>
      </c>
      <c r="L62" s="29" t="str">
        <f>IF($N62="","",INDEX('_calc'!$J$2:$J$3001,$N62))</f>
        <v/>
      </c>
      <c r="M62" s="2" t="str">
        <f>IF($N62="","",IF(AND(G62=0,H62=0),"수량 없음",IF(G62=0,"신규 (전년 수량 없음)",IF(H62=0,"당해 수량 없음",""))))</f>
        <v/>
      </c>
      <c r="N62" t="str">
        <f>IF($B62="","",MATCH($B62,'_calc'!$L$2:$L$3001,0))</f>
        <v/>
      </c>
    </row>
    <row r="63">
      <c r="B63" s="24" t="str">
        <f>IF(ROW()-ROW($B$8)&gt;nComp,"",ROW()-ROW($B$8))</f>
        <v/>
      </c>
      <c r="C63" t="str">
        <f>IF($N63="","",INDEX('_calc'!$A$2:$A$3001,$N63))</f>
        <v/>
      </c>
      <c r="D63" s="25" t="str">
        <f>IF($N63="","",INDEX('_calc'!$C$2:$C$3001,$N63))</f>
        <v/>
      </c>
      <c r="E63" s="25" t="str">
        <f>IF($N63="","",INDEX('_calc'!$D$2:$D$3001,$N63))</f>
        <v/>
      </c>
      <c r="F63" s="26" t="str">
        <f>IF($N63="","",IF($E$8=0,"",E63/$E$8))</f>
        <v/>
      </c>
      <c r="G63" s="25" t="str">
        <f>IF($N63="","",INDEX('_calc'!$E$2:$E$3001,$N63))</f>
        <v/>
      </c>
      <c r="H63" s="25" t="str">
        <f>IF($N63="","",INDEX('_calc'!$F$2:$F$3001,$N63))</f>
        <v/>
      </c>
      <c r="I63" s="27" t="str">
        <f>IF($N63="","",INDEX('_calc'!$H$2:$H$3001,$N63))</f>
        <v/>
      </c>
      <c r="J63" s="27" t="str">
        <f>IF($N63="","",INDEX('_calc'!$I$2:$I$3001,$N63))</f>
        <v/>
      </c>
      <c r="K63" s="28" t="str">
        <f>IF($N63="","",IF(OR(I63="",J63=""),"",J63-I63))</f>
        <v/>
      </c>
      <c r="L63" s="29" t="str">
        <f>IF($N63="","",INDEX('_calc'!$J$2:$J$3001,$N63))</f>
        <v/>
      </c>
      <c r="M63" s="2" t="str">
        <f>IF($N63="","",IF(AND(G63=0,H63=0),"수량 없음",IF(G63=0,"신규 (전년 수량 없음)",IF(H63=0,"당해 수량 없음",""))))</f>
        <v/>
      </c>
      <c r="N63" t="str">
        <f>IF($B63="","",MATCH($B63,'_calc'!$L$2:$L$3001,0))</f>
        <v/>
      </c>
    </row>
    <row r="64">
      <c r="B64" s="24" t="str">
        <f>IF(ROW()-ROW($B$8)&gt;nComp,"",ROW()-ROW($B$8))</f>
        <v/>
      </c>
      <c r="C64" t="str">
        <f>IF($N64="","",INDEX('_calc'!$A$2:$A$3001,$N64))</f>
        <v/>
      </c>
      <c r="D64" s="25" t="str">
        <f>IF($N64="","",INDEX('_calc'!$C$2:$C$3001,$N64))</f>
        <v/>
      </c>
      <c r="E64" s="25" t="str">
        <f>IF($N64="","",INDEX('_calc'!$D$2:$D$3001,$N64))</f>
        <v/>
      </c>
      <c r="F64" s="26" t="str">
        <f>IF($N64="","",IF($E$8=0,"",E64/$E$8))</f>
        <v/>
      </c>
      <c r="G64" s="25" t="str">
        <f>IF($N64="","",INDEX('_calc'!$E$2:$E$3001,$N64))</f>
        <v/>
      </c>
      <c r="H64" s="25" t="str">
        <f>IF($N64="","",INDEX('_calc'!$F$2:$F$3001,$N64))</f>
        <v/>
      </c>
      <c r="I64" s="27" t="str">
        <f>IF($N64="","",INDEX('_calc'!$H$2:$H$3001,$N64))</f>
        <v/>
      </c>
      <c r="J64" s="27" t="str">
        <f>IF($N64="","",INDEX('_calc'!$I$2:$I$3001,$N64))</f>
        <v/>
      </c>
      <c r="K64" s="28" t="str">
        <f>IF($N64="","",IF(OR(I64="",J64=""),"",J64-I64))</f>
        <v/>
      </c>
      <c r="L64" s="29" t="str">
        <f>IF($N64="","",INDEX('_calc'!$J$2:$J$3001,$N64))</f>
        <v/>
      </c>
      <c r="M64" s="2" t="str">
        <f>IF($N64="","",IF(AND(G64=0,H64=0),"수량 없음",IF(G64=0,"신규 (전년 수량 없음)",IF(H64=0,"당해 수량 없음",""))))</f>
        <v/>
      </c>
      <c r="N64" t="str">
        <f>IF($B64="","",MATCH($B64,'_calc'!$L$2:$L$3001,0))</f>
        <v/>
      </c>
    </row>
    <row r="65">
      <c r="B65" s="24" t="str">
        <f>IF(ROW()-ROW($B$8)&gt;nComp,"",ROW()-ROW($B$8))</f>
        <v/>
      </c>
      <c r="C65" t="str">
        <f>IF($N65="","",INDEX('_calc'!$A$2:$A$3001,$N65))</f>
        <v/>
      </c>
      <c r="D65" s="25" t="str">
        <f>IF($N65="","",INDEX('_calc'!$C$2:$C$3001,$N65))</f>
        <v/>
      </c>
      <c r="E65" s="25" t="str">
        <f>IF($N65="","",INDEX('_calc'!$D$2:$D$3001,$N65))</f>
        <v/>
      </c>
      <c r="F65" s="26" t="str">
        <f>IF($N65="","",IF($E$8=0,"",E65/$E$8))</f>
        <v/>
      </c>
      <c r="G65" s="25" t="str">
        <f>IF($N65="","",INDEX('_calc'!$E$2:$E$3001,$N65))</f>
        <v/>
      </c>
      <c r="H65" s="25" t="str">
        <f>IF($N65="","",INDEX('_calc'!$F$2:$F$3001,$N65))</f>
        <v/>
      </c>
      <c r="I65" s="27" t="str">
        <f>IF($N65="","",INDEX('_calc'!$H$2:$H$3001,$N65))</f>
        <v/>
      </c>
      <c r="J65" s="27" t="str">
        <f>IF($N65="","",INDEX('_calc'!$I$2:$I$3001,$N65))</f>
        <v/>
      </c>
      <c r="K65" s="28" t="str">
        <f>IF($N65="","",IF(OR(I65="",J65=""),"",J65-I65))</f>
        <v/>
      </c>
      <c r="L65" s="29" t="str">
        <f>IF($N65="","",INDEX('_calc'!$J$2:$J$3001,$N65))</f>
        <v/>
      </c>
      <c r="M65" s="2" t="str">
        <f>IF($N65="","",IF(AND(G65=0,H65=0),"수량 없음",IF(G65=0,"신규 (전년 수량 없음)",IF(H65=0,"당해 수량 없음",""))))</f>
        <v/>
      </c>
      <c r="N65" t="str">
        <f>IF($B65="","",MATCH($B65,'_calc'!$L$2:$L$3001,0))</f>
        <v/>
      </c>
    </row>
    <row r="66">
      <c r="B66" s="24" t="str">
        <f>IF(ROW()-ROW($B$8)&gt;nComp,"",ROW()-ROW($B$8))</f>
        <v/>
      </c>
      <c r="C66" t="str">
        <f>IF($N66="","",INDEX('_calc'!$A$2:$A$3001,$N66))</f>
        <v/>
      </c>
      <c r="D66" s="25" t="str">
        <f>IF($N66="","",INDEX('_calc'!$C$2:$C$3001,$N66))</f>
        <v/>
      </c>
      <c r="E66" s="25" t="str">
        <f>IF($N66="","",INDEX('_calc'!$D$2:$D$3001,$N66))</f>
        <v/>
      </c>
      <c r="F66" s="26" t="str">
        <f>IF($N66="","",IF($E$8=0,"",E66/$E$8))</f>
        <v/>
      </c>
      <c r="G66" s="25" t="str">
        <f>IF($N66="","",INDEX('_calc'!$E$2:$E$3001,$N66))</f>
        <v/>
      </c>
      <c r="H66" s="25" t="str">
        <f>IF($N66="","",INDEX('_calc'!$F$2:$F$3001,$N66))</f>
        <v/>
      </c>
      <c r="I66" s="27" t="str">
        <f>IF($N66="","",INDEX('_calc'!$H$2:$H$3001,$N66))</f>
        <v/>
      </c>
      <c r="J66" s="27" t="str">
        <f>IF($N66="","",INDEX('_calc'!$I$2:$I$3001,$N66))</f>
        <v/>
      </c>
      <c r="K66" s="28" t="str">
        <f>IF($N66="","",IF(OR(I66="",J66=""),"",J66-I66))</f>
        <v/>
      </c>
      <c r="L66" s="29" t="str">
        <f>IF($N66="","",INDEX('_calc'!$J$2:$J$3001,$N66))</f>
        <v/>
      </c>
      <c r="M66" s="2" t="str">
        <f>IF($N66="","",IF(AND(G66=0,H66=0),"수량 없음",IF(G66=0,"신규 (전년 수량 없음)",IF(H66=0,"당해 수량 없음",""))))</f>
        <v/>
      </c>
      <c r="N66" t="str">
        <f>IF($B66="","",MATCH($B66,'_calc'!$L$2:$L$3001,0))</f>
        <v/>
      </c>
    </row>
    <row r="67">
      <c r="B67" s="24" t="str">
        <f>IF(ROW()-ROW($B$8)&gt;nComp,"",ROW()-ROW($B$8))</f>
        <v/>
      </c>
      <c r="C67" t="str">
        <f>IF($N67="","",INDEX('_calc'!$A$2:$A$3001,$N67))</f>
        <v/>
      </c>
      <c r="D67" s="25" t="str">
        <f>IF($N67="","",INDEX('_calc'!$C$2:$C$3001,$N67))</f>
        <v/>
      </c>
      <c r="E67" s="25" t="str">
        <f>IF($N67="","",INDEX('_calc'!$D$2:$D$3001,$N67))</f>
        <v/>
      </c>
      <c r="F67" s="26" t="str">
        <f>IF($N67="","",IF($E$8=0,"",E67/$E$8))</f>
        <v/>
      </c>
      <c r="G67" s="25" t="str">
        <f>IF($N67="","",INDEX('_calc'!$E$2:$E$3001,$N67))</f>
        <v/>
      </c>
      <c r="H67" s="25" t="str">
        <f>IF($N67="","",INDEX('_calc'!$F$2:$F$3001,$N67))</f>
        <v/>
      </c>
      <c r="I67" s="27" t="str">
        <f>IF($N67="","",INDEX('_calc'!$H$2:$H$3001,$N67))</f>
        <v/>
      </c>
      <c r="J67" s="27" t="str">
        <f>IF($N67="","",INDEX('_calc'!$I$2:$I$3001,$N67))</f>
        <v/>
      </c>
      <c r="K67" s="28" t="str">
        <f>IF($N67="","",IF(OR(I67="",J67=""),"",J67-I67))</f>
        <v/>
      </c>
      <c r="L67" s="29" t="str">
        <f>IF($N67="","",INDEX('_calc'!$J$2:$J$3001,$N67))</f>
        <v/>
      </c>
      <c r="M67" s="2" t="str">
        <f>IF($N67="","",IF(AND(G67=0,H67=0),"수량 없음",IF(G67=0,"신규 (전년 수량 없음)",IF(H67=0,"당해 수량 없음",""))))</f>
        <v/>
      </c>
      <c r="N67" t="str">
        <f>IF($B67="","",MATCH($B67,'_calc'!$L$2:$L$3001,0))</f>
        <v/>
      </c>
    </row>
    <row r="68">
      <c r="B68" s="24" t="str">
        <f>IF(ROW()-ROW($B$8)&gt;nComp,"",ROW()-ROW($B$8))</f>
        <v/>
      </c>
      <c r="C68" t="str">
        <f>IF($N68="","",INDEX('_calc'!$A$2:$A$3001,$N68))</f>
        <v/>
      </c>
      <c r="D68" s="25" t="str">
        <f>IF($N68="","",INDEX('_calc'!$C$2:$C$3001,$N68))</f>
        <v/>
      </c>
      <c r="E68" s="25" t="str">
        <f>IF($N68="","",INDEX('_calc'!$D$2:$D$3001,$N68))</f>
        <v/>
      </c>
      <c r="F68" s="26" t="str">
        <f>IF($N68="","",IF($E$8=0,"",E68/$E$8))</f>
        <v/>
      </c>
      <c r="G68" s="25" t="str">
        <f>IF($N68="","",INDEX('_calc'!$E$2:$E$3001,$N68))</f>
        <v/>
      </c>
      <c r="H68" s="25" t="str">
        <f>IF($N68="","",INDEX('_calc'!$F$2:$F$3001,$N68))</f>
        <v/>
      </c>
      <c r="I68" s="27" t="str">
        <f>IF($N68="","",INDEX('_calc'!$H$2:$H$3001,$N68))</f>
        <v/>
      </c>
      <c r="J68" s="27" t="str">
        <f>IF($N68="","",INDEX('_calc'!$I$2:$I$3001,$N68))</f>
        <v/>
      </c>
      <c r="K68" s="28" t="str">
        <f>IF($N68="","",IF(OR(I68="",J68=""),"",J68-I68))</f>
        <v/>
      </c>
      <c r="L68" s="29" t="str">
        <f>IF($N68="","",INDEX('_calc'!$J$2:$J$3001,$N68))</f>
        <v/>
      </c>
      <c r="M68" s="2" t="str">
        <f>IF($N68="","",IF(AND(G68=0,H68=0),"수량 없음",IF(G68=0,"신규 (전년 수량 없음)",IF(H68=0,"당해 수량 없음",""))))</f>
        <v/>
      </c>
      <c r="N68" t="str">
        <f>IF($B68="","",MATCH($B68,'_calc'!$L$2:$L$3001,0))</f>
        <v/>
      </c>
    </row>
    <row r="69">
      <c r="B69" s="24" t="str">
        <f>IF(ROW()-ROW($B$8)&gt;nComp,"",ROW()-ROW($B$8))</f>
        <v/>
      </c>
      <c r="C69" t="str">
        <f>IF($N69="","",INDEX('_calc'!$A$2:$A$3001,$N69))</f>
        <v/>
      </c>
      <c r="D69" s="25" t="str">
        <f>IF($N69="","",INDEX('_calc'!$C$2:$C$3001,$N69))</f>
        <v/>
      </c>
      <c r="E69" s="25" t="str">
        <f>IF($N69="","",INDEX('_calc'!$D$2:$D$3001,$N69))</f>
        <v/>
      </c>
      <c r="F69" s="26" t="str">
        <f>IF($N69="","",IF($E$8=0,"",E69/$E$8))</f>
        <v/>
      </c>
      <c r="G69" s="25" t="str">
        <f>IF($N69="","",INDEX('_calc'!$E$2:$E$3001,$N69))</f>
        <v/>
      </c>
      <c r="H69" s="25" t="str">
        <f>IF($N69="","",INDEX('_calc'!$F$2:$F$3001,$N69))</f>
        <v/>
      </c>
      <c r="I69" s="27" t="str">
        <f>IF($N69="","",INDEX('_calc'!$H$2:$H$3001,$N69))</f>
        <v/>
      </c>
      <c r="J69" s="27" t="str">
        <f>IF($N69="","",INDEX('_calc'!$I$2:$I$3001,$N69))</f>
        <v/>
      </c>
      <c r="K69" s="28" t="str">
        <f>IF($N69="","",IF(OR(I69="",J69=""),"",J69-I69))</f>
        <v/>
      </c>
      <c r="L69" s="29" t="str">
        <f>IF($N69="","",INDEX('_calc'!$J$2:$J$3001,$N69))</f>
        <v/>
      </c>
      <c r="M69" s="2" t="str">
        <f>IF($N69="","",IF(AND(G69=0,H69=0),"수량 없음",IF(G69=0,"신규 (전년 수량 없음)",IF(H69=0,"당해 수량 없음",""))))</f>
        <v/>
      </c>
      <c r="N69" t="str">
        <f>IF($B69="","",MATCH($B69,'_calc'!$L$2:$L$3001,0))</f>
        <v/>
      </c>
    </row>
    <row r="70">
      <c r="B70" s="24" t="str">
        <f>IF(ROW()-ROW($B$8)&gt;nComp,"",ROW()-ROW($B$8))</f>
        <v/>
      </c>
      <c r="C70" t="str">
        <f>IF($N70="","",INDEX('_calc'!$A$2:$A$3001,$N70))</f>
        <v/>
      </c>
      <c r="D70" s="25" t="str">
        <f>IF($N70="","",INDEX('_calc'!$C$2:$C$3001,$N70))</f>
        <v/>
      </c>
      <c r="E70" s="25" t="str">
        <f>IF($N70="","",INDEX('_calc'!$D$2:$D$3001,$N70))</f>
        <v/>
      </c>
      <c r="F70" s="26" t="str">
        <f>IF($N70="","",IF($E$8=0,"",E70/$E$8))</f>
        <v/>
      </c>
      <c r="G70" s="25" t="str">
        <f>IF($N70="","",INDEX('_calc'!$E$2:$E$3001,$N70))</f>
        <v/>
      </c>
      <c r="H70" s="25" t="str">
        <f>IF($N70="","",INDEX('_calc'!$F$2:$F$3001,$N70))</f>
        <v/>
      </c>
      <c r="I70" s="27" t="str">
        <f>IF($N70="","",INDEX('_calc'!$H$2:$H$3001,$N70))</f>
        <v/>
      </c>
      <c r="J70" s="27" t="str">
        <f>IF($N70="","",INDEX('_calc'!$I$2:$I$3001,$N70))</f>
        <v/>
      </c>
      <c r="K70" s="28" t="str">
        <f>IF($N70="","",IF(OR(I70="",J70=""),"",J70-I70))</f>
        <v/>
      </c>
      <c r="L70" s="29" t="str">
        <f>IF($N70="","",INDEX('_calc'!$J$2:$J$3001,$N70))</f>
        <v/>
      </c>
      <c r="M70" s="2" t="str">
        <f>IF($N70="","",IF(AND(G70=0,H70=0),"수량 없음",IF(G70=0,"신규 (전년 수량 없음)",IF(H70=0,"당해 수량 없음",""))))</f>
        <v/>
      </c>
      <c r="N70" t="str">
        <f>IF($B70="","",MATCH($B70,'_calc'!$L$2:$L$3001,0))</f>
        <v/>
      </c>
    </row>
    <row r="71">
      <c r="B71" s="24" t="str">
        <f>IF(ROW()-ROW($B$8)&gt;nComp,"",ROW()-ROW($B$8))</f>
        <v/>
      </c>
      <c r="C71" t="str">
        <f>IF($N71="","",INDEX('_calc'!$A$2:$A$3001,$N71))</f>
        <v/>
      </c>
      <c r="D71" s="25" t="str">
        <f>IF($N71="","",INDEX('_calc'!$C$2:$C$3001,$N71))</f>
        <v/>
      </c>
      <c r="E71" s="25" t="str">
        <f>IF($N71="","",INDEX('_calc'!$D$2:$D$3001,$N71))</f>
        <v/>
      </c>
      <c r="F71" s="26" t="str">
        <f>IF($N71="","",IF($E$8=0,"",E71/$E$8))</f>
        <v/>
      </c>
      <c r="G71" s="25" t="str">
        <f>IF($N71="","",INDEX('_calc'!$E$2:$E$3001,$N71))</f>
        <v/>
      </c>
      <c r="H71" s="25" t="str">
        <f>IF($N71="","",INDEX('_calc'!$F$2:$F$3001,$N71))</f>
        <v/>
      </c>
      <c r="I71" s="27" t="str">
        <f>IF($N71="","",INDEX('_calc'!$H$2:$H$3001,$N71))</f>
        <v/>
      </c>
      <c r="J71" s="27" t="str">
        <f>IF($N71="","",INDEX('_calc'!$I$2:$I$3001,$N71))</f>
        <v/>
      </c>
      <c r="K71" s="28" t="str">
        <f>IF($N71="","",IF(OR(I71="",J71=""),"",J71-I71))</f>
        <v/>
      </c>
      <c r="L71" s="29" t="str">
        <f>IF($N71="","",INDEX('_calc'!$J$2:$J$3001,$N71))</f>
        <v/>
      </c>
      <c r="M71" s="2" t="str">
        <f>IF($N71="","",IF(AND(G71=0,H71=0),"수량 없음",IF(G71=0,"신규 (전년 수량 없음)",IF(H71=0,"당해 수량 없음",""))))</f>
        <v/>
      </c>
      <c r="N71" t="str">
        <f>IF($B71="","",MATCH($B71,'_calc'!$L$2:$L$3001,0))</f>
        <v/>
      </c>
    </row>
    <row r="72">
      <c r="B72" s="24" t="str">
        <f>IF(ROW()-ROW($B$8)&gt;nComp,"",ROW()-ROW($B$8))</f>
        <v/>
      </c>
      <c r="C72" t="str">
        <f>IF($N72="","",INDEX('_calc'!$A$2:$A$3001,$N72))</f>
        <v/>
      </c>
      <c r="D72" s="25" t="str">
        <f>IF($N72="","",INDEX('_calc'!$C$2:$C$3001,$N72))</f>
        <v/>
      </c>
      <c r="E72" s="25" t="str">
        <f>IF($N72="","",INDEX('_calc'!$D$2:$D$3001,$N72))</f>
        <v/>
      </c>
      <c r="F72" s="26" t="str">
        <f>IF($N72="","",IF($E$8=0,"",E72/$E$8))</f>
        <v/>
      </c>
      <c r="G72" s="25" t="str">
        <f>IF($N72="","",INDEX('_calc'!$E$2:$E$3001,$N72))</f>
        <v/>
      </c>
      <c r="H72" s="25" t="str">
        <f>IF($N72="","",INDEX('_calc'!$F$2:$F$3001,$N72))</f>
        <v/>
      </c>
      <c r="I72" s="27" t="str">
        <f>IF($N72="","",INDEX('_calc'!$H$2:$H$3001,$N72))</f>
        <v/>
      </c>
      <c r="J72" s="27" t="str">
        <f>IF($N72="","",INDEX('_calc'!$I$2:$I$3001,$N72))</f>
        <v/>
      </c>
      <c r="K72" s="28" t="str">
        <f>IF($N72="","",IF(OR(I72="",J72=""),"",J72-I72))</f>
        <v/>
      </c>
      <c r="L72" s="29" t="str">
        <f>IF($N72="","",INDEX('_calc'!$J$2:$J$3001,$N72))</f>
        <v/>
      </c>
      <c r="M72" s="2" t="str">
        <f>IF($N72="","",IF(AND(G72=0,H72=0),"수량 없음",IF(G72=0,"신규 (전년 수량 없음)",IF(H72=0,"당해 수량 없음",""))))</f>
        <v/>
      </c>
      <c r="N72" t="str">
        <f>IF($B72="","",MATCH($B72,'_calc'!$L$2:$L$3001,0))</f>
        <v/>
      </c>
    </row>
    <row r="73">
      <c r="B73" s="24" t="str">
        <f>IF(ROW()-ROW($B$8)&gt;nComp,"",ROW()-ROW($B$8))</f>
        <v/>
      </c>
      <c r="C73" t="str">
        <f>IF($N73="","",INDEX('_calc'!$A$2:$A$3001,$N73))</f>
        <v/>
      </c>
      <c r="D73" s="25" t="str">
        <f>IF($N73="","",INDEX('_calc'!$C$2:$C$3001,$N73))</f>
        <v/>
      </c>
      <c r="E73" s="25" t="str">
        <f>IF($N73="","",INDEX('_calc'!$D$2:$D$3001,$N73))</f>
        <v/>
      </c>
      <c r="F73" s="26" t="str">
        <f>IF($N73="","",IF($E$8=0,"",E73/$E$8))</f>
        <v/>
      </c>
      <c r="G73" s="25" t="str">
        <f>IF($N73="","",INDEX('_calc'!$E$2:$E$3001,$N73))</f>
        <v/>
      </c>
      <c r="H73" s="25" t="str">
        <f>IF($N73="","",INDEX('_calc'!$F$2:$F$3001,$N73))</f>
        <v/>
      </c>
      <c r="I73" s="27" t="str">
        <f>IF($N73="","",INDEX('_calc'!$H$2:$H$3001,$N73))</f>
        <v/>
      </c>
      <c r="J73" s="27" t="str">
        <f>IF($N73="","",INDEX('_calc'!$I$2:$I$3001,$N73))</f>
        <v/>
      </c>
      <c r="K73" s="28" t="str">
        <f>IF($N73="","",IF(OR(I73="",J73=""),"",J73-I73))</f>
        <v/>
      </c>
      <c r="L73" s="29" t="str">
        <f>IF($N73="","",INDEX('_calc'!$J$2:$J$3001,$N73))</f>
        <v/>
      </c>
      <c r="M73" s="2" t="str">
        <f>IF($N73="","",IF(AND(G73=0,H73=0),"수량 없음",IF(G73=0,"신규 (전년 수량 없음)",IF(H73=0,"당해 수량 없음",""))))</f>
        <v/>
      </c>
      <c r="N73" t="str">
        <f>IF($B73="","",MATCH($B73,'_calc'!$L$2:$L$3001,0))</f>
        <v/>
      </c>
    </row>
    <row r="74">
      <c r="B74" s="24" t="str">
        <f>IF(ROW()-ROW($B$8)&gt;nComp,"",ROW()-ROW($B$8))</f>
        <v/>
      </c>
      <c r="C74" t="str">
        <f>IF($N74="","",INDEX('_calc'!$A$2:$A$3001,$N74))</f>
        <v/>
      </c>
      <c r="D74" s="25" t="str">
        <f>IF($N74="","",INDEX('_calc'!$C$2:$C$3001,$N74))</f>
        <v/>
      </c>
      <c r="E74" s="25" t="str">
        <f>IF($N74="","",INDEX('_calc'!$D$2:$D$3001,$N74))</f>
        <v/>
      </c>
      <c r="F74" s="26" t="str">
        <f>IF($N74="","",IF($E$8=0,"",E74/$E$8))</f>
        <v/>
      </c>
      <c r="G74" s="25" t="str">
        <f>IF($N74="","",INDEX('_calc'!$E$2:$E$3001,$N74))</f>
        <v/>
      </c>
      <c r="H74" s="25" t="str">
        <f>IF($N74="","",INDEX('_calc'!$F$2:$F$3001,$N74))</f>
        <v/>
      </c>
      <c r="I74" s="27" t="str">
        <f>IF($N74="","",INDEX('_calc'!$H$2:$H$3001,$N74))</f>
        <v/>
      </c>
      <c r="J74" s="27" t="str">
        <f>IF($N74="","",INDEX('_calc'!$I$2:$I$3001,$N74))</f>
        <v/>
      </c>
      <c r="K74" s="28" t="str">
        <f>IF($N74="","",IF(OR(I74="",J74=""),"",J74-I74))</f>
        <v/>
      </c>
      <c r="L74" s="29" t="str">
        <f>IF($N74="","",INDEX('_calc'!$J$2:$J$3001,$N74))</f>
        <v/>
      </c>
      <c r="M74" s="2" t="str">
        <f>IF($N74="","",IF(AND(G74=0,H74=0),"수량 없음",IF(G74=0,"신규 (전년 수량 없음)",IF(H74=0,"당해 수량 없음",""))))</f>
        <v/>
      </c>
      <c r="N74" t="str">
        <f>IF($B74="","",MATCH($B74,'_calc'!$L$2:$L$3001,0))</f>
        <v/>
      </c>
    </row>
    <row r="75">
      <c r="B75" s="24" t="str">
        <f>IF(ROW()-ROW($B$8)&gt;nComp,"",ROW()-ROW($B$8))</f>
        <v/>
      </c>
      <c r="C75" t="str">
        <f>IF($N75="","",INDEX('_calc'!$A$2:$A$3001,$N75))</f>
        <v/>
      </c>
      <c r="D75" s="25" t="str">
        <f>IF($N75="","",INDEX('_calc'!$C$2:$C$3001,$N75))</f>
        <v/>
      </c>
      <c r="E75" s="25" t="str">
        <f>IF($N75="","",INDEX('_calc'!$D$2:$D$3001,$N75))</f>
        <v/>
      </c>
      <c r="F75" s="26" t="str">
        <f>IF($N75="","",IF($E$8=0,"",E75/$E$8))</f>
        <v/>
      </c>
      <c r="G75" s="25" t="str">
        <f>IF($N75="","",INDEX('_calc'!$E$2:$E$3001,$N75))</f>
        <v/>
      </c>
      <c r="H75" s="25" t="str">
        <f>IF($N75="","",INDEX('_calc'!$F$2:$F$3001,$N75))</f>
        <v/>
      </c>
      <c r="I75" s="27" t="str">
        <f>IF($N75="","",INDEX('_calc'!$H$2:$H$3001,$N75))</f>
        <v/>
      </c>
      <c r="J75" s="27" t="str">
        <f>IF($N75="","",INDEX('_calc'!$I$2:$I$3001,$N75))</f>
        <v/>
      </c>
      <c r="K75" s="28" t="str">
        <f>IF($N75="","",IF(OR(I75="",J75=""),"",J75-I75))</f>
        <v/>
      </c>
      <c r="L75" s="29" t="str">
        <f>IF($N75="","",INDEX('_calc'!$J$2:$J$3001,$N75))</f>
        <v/>
      </c>
      <c r="M75" s="2" t="str">
        <f>IF($N75="","",IF(AND(G75=0,H75=0),"수량 없음",IF(G75=0,"신규 (전년 수량 없음)",IF(H75=0,"당해 수량 없음",""))))</f>
        <v/>
      </c>
      <c r="N75" t="str">
        <f>IF($B75="","",MATCH($B75,'_calc'!$L$2:$L$3001,0))</f>
        <v/>
      </c>
    </row>
    <row r="76">
      <c r="B76" s="24" t="str">
        <f>IF(ROW()-ROW($B$8)&gt;nComp,"",ROW()-ROW($B$8))</f>
        <v/>
      </c>
      <c r="C76" t="str">
        <f>IF($N76="","",INDEX('_calc'!$A$2:$A$3001,$N76))</f>
        <v/>
      </c>
      <c r="D76" s="25" t="str">
        <f>IF($N76="","",INDEX('_calc'!$C$2:$C$3001,$N76))</f>
        <v/>
      </c>
      <c r="E76" s="25" t="str">
        <f>IF($N76="","",INDEX('_calc'!$D$2:$D$3001,$N76))</f>
        <v/>
      </c>
      <c r="F76" s="26" t="str">
        <f>IF($N76="","",IF($E$8=0,"",E76/$E$8))</f>
        <v/>
      </c>
      <c r="G76" s="25" t="str">
        <f>IF($N76="","",INDEX('_calc'!$E$2:$E$3001,$N76))</f>
        <v/>
      </c>
      <c r="H76" s="25" t="str">
        <f>IF($N76="","",INDEX('_calc'!$F$2:$F$3001,$N76))</f>
        <v/>
      </c>
      <c r="I76" s="27" t="str">
        <f>IF($N76="","",INDEX('_calc'!$H$2:$H$3001,$N76))</f>
        <v/>
      </c>
      <c r="J76" s="27" t="str">
        <f>IF($N76="","",INDEX('_calc'!$I$2:$I$3001,$N76))</f>
        <v/>
      </c>
      <c r="K76" s="28" t="str">
        <f>IF($N76="","",IF(OR(I76="",J76=""),"",J76-I76))</f>
        <v/>
      </c>
      <c r="L76" s="29" t="str">
        <f>IF($N76="","",INDEX('_calc'!$J$2:$J$3001,$N76))</f>
        <v/>
      </c>
      <c r="M76" s="2" t="str">
        <f>IF($N76="","",IF(AND(G76=0,H76=0),"수량 없음",IF(G76=0,"신규 (전년 수량 없음)",IF(H76=0,"당해 수량 없음",""))))</f>
        <v/>
      </c>
      <c r="N76" t="str">
        <f>IF($B76="","",MATCH($B76,'_calc'!$L$2:$L$3001,0))</f>
        <v/>
      </c>
    </row>
    <row r="77">
      <c r="B77" s="24" t="str">
        <f>IF(ROW()-ROW($B$8)&gt;nComp,"",ROW()-ROW($B$8))</f>
        <v/>
      </c>
      <c r="C77" t="str">
        <f>IF($N77="","",INDEX('_calc'!$A$2:$A$3001,$N77))</f>
        <v/>
      </c>
      <c r="D77" s="25" t="str">
        <f>IF($N77="","",INDEX('_calc'!$C$2:$C$3001,$N77))</f>
        <v/>
      </c>
      <c r="E77" s="25" t="str">
        <f>IF($N77="","",INDEX('_calc'!$D$2:$D$3001,$N77))</f>
        <v/>
      </c>
      <c r="F77" s="26" t="str">
        <f>IF($N77="","",IF($E$8=0,"",E77/$E$8))</f>
        <v/>
      </c>
      <c r="G77" s="25" t="str">
        <f>IF($N77="","",INDEX('_calc'!$E$2:$E$3001,$N77))</f>
        <v/>
      </c>
      <c r="H77" s="25" t="str">
        <f>IF($N77="","",INDEX('_calc'!$F$2:$F$3001,$N77))</f>
        <v/>
      </c>
      <c r="I77" s="27" t="str">
        <f>IF($N77="","",INDEX('_calc'!$H$2:$H$3001,$N77))</f>
        <v/>
      </c>
      <c r="J77" s="27" t="str">
        <f>IF($N77="","",INDEX('_calc'!$I$2:$I$3001,$N77))</f>
        <v/>
      </c>
      <c r="K77" s="28" t="str">
        <f>IF($N77="","",IF(OR(I77="",J77=""),"",J77-I77))</f>
        <v/>
      </c>
      <c r="L77" s="29" t="str">
        <f>IF($N77="","",INDEX('_calc'!$J$2:$J$3001,$N77))</f>
        <v/>
      </c>
      <c r="M77" s="2" t="str">
        <f>IF($N77="","",IF(AND(G77=0,H77=0),"수량 없음",IF(G77=0,"신규 (전년 수량 없음)",IF(H77=0,"당해 수량 없음",""))))</f>
        <v/>
      </c>
      <c r="N77" t="str">
        <f>IF($B77="","",MATCH($B77,'_calc'!$L$2:$L$3001,0))</f>
        <v/>
      </c>
    </row>
    <row r="78">
      <c r="B78" s="24" t="str">
        <f>IF(ROW()-ROW($B$8)&gt;nComp,"",ROW()-ROW($B$8))</f>
        <v/>
      </c>
      <c r="C78" t="str">
        <f>IF($N78="","",INDEX('_calc'!$A$2:$A$3001,$N78))</f>
        <v/>
      </c>
      <c r="D78" s="25" t="str">
        <f>IF($N78="","",INDEX('_calc'!$C$2:$C$3001,$N78))</f>
        <v/>
      </c>
      <c r="E78" s="25" t="str">
        <f>IF($N78="","",INDEX('_calc'!$D$2:$D$3001,$N78))</f>
        <v/>
      </c>
      <c r="F78" s="26" t="str">
        <f>IF($N78="","",IF($E$8=0,"",E78/$E$8))</f>
        <v/>
      </c>
      <c r="G78" s="25" t="str">
        <f>IF($N78="","",INDEX('_calc'!$E$2:$E$3001,$N78))</f>
        <v/>
      </c>
      <c r="H78" s="25" t="str">
        <f>IF($N78="","",INDEX('_calc'!$F$2:$F$3001,$N78))</f>
        <v/>
      </c>
      <c r="I78" s="27" t="str">
        <f>IF($N78="","",INDEX('_calc'!$H$2:$H$3001,$N78))</f>
        <v/>
      </c>
      <c r="J78" s="27" t="str">
        <f>IF($N78="","",INDEX('_calc'!$I$2:$I$3001,$N78))</f>
        <v/>
      </c>
      <c r="K78" s="28" t="str">
        <f>IF($N78="","",IF(OR(I78="",J78=""),"",J78-I78))</f>
        <v/>
      </c>
      <c r="L78" s="29" t="str">
        <f>IF($N78="","",INDEX('_calc'!$J$2:$J$3001,$N78))</f>
        <v/>
      </c>
      <c r="M78" s="2" t="str">
        <f>IF($N78="","",IF(AND(G78=0,H78=0),"수량 없음",IF(G78=0,"신규 (전년 수량 없음)",IF(H78=0,"당해 수량 없음",""))))</f>
        <v/>
      </c>
      <c r="N78" t="str">
        <f>IF($B78="","",MATCH($B78,'_calc'!$L$2:$L$3001,0))</f>
        <v/>
      </c>
    </row>
    <row r="79">
      <c r="B79" s="24" t="str">
        <f>IF(ROW()-ROW($B$8)&gt;nComp,"",ROW()-ROW($B$8))</f>
        <v/>
      </c>
      <c r="C79" t="str">
        <f>IF($N79="","",INDEX('_calc'!$A$2:$A$3001,$N79))</f>
        <v/>
      </c>
      <c r="D79" s="25" t="str">
        <f>IF($N79="","",INDEX('_calc'!$C$2:$C$3001,$N79))</f>
        <v/>
      </c>
      <c r="E79" s="25" t="str">
        <f>IF($N79="","",INDEX('_calc'!$D$2:$D$3001,$N79))</f>
        <v/>
      </c>
      <c r="F79" s="26" t="str">
        <f>IF($N79="","",IF($E$8=0,"",E79/$E$8))</f>
        <v/>
      </c>
      <c r="G79" s="25" t="str">
        <f>IF($N79="","",INDEX('_calc'!$E$2:$E$3001,$N79))</f>
        <v/>
      </c>
      <c r="H79" s="25" t="str">
        <f>IF($N79="","",INDEX('_calc'!$F$2:$F$3001,$N79))</f>
        <v/>
      </c>
      <c r="I79" s="27" t="str">
        <f>IF($N79="","",INDEX('_calc'!$H$2:$H$3001,$N79))</f>
        <v/>
      </c>
      <c r="J79" s="27" t="str">
        <f>IF($N79="","",INDEX('_calc'!$I$2:$I$3001,$N79))</f>
        <v/>
      </c>
      <c r="K79" s="28" t="str">
        <f>IF($N79="","",IF(OR(I79="",J79=""),"",J79-I79))</f>
        <v/>
      </c>
      <c r="L79" s="29" t="str">
        <f>IF($N79="","",INDEX('_calc'!$J$2:$J$3001,$N79))</f>
        <v/>
      </c>
      <c r="M79" s="2" t="str">
        <f>IF($N79="","",IF(AND(G79=0,H79=0),"수량 없음",IF(G79=0,"신규 (전년 수량 없음)",IF(H79=0,"당해 수량 없음",""))))</f>
        <v/>
      </c>
      <c r="N79" t="str">
        <f>IF($B79="","",MATCH($B79,'_calc'!$L$2:$L$3001,0))</f>
        <v/>
      </c>
    </row>
    <row r="80">
      <c r="B80" s="24" t="str">
        <f>IF(ROW()-ROW($B$8)&gt;nComp,"",ROW()-ROW($B$8))</f>
        <v/>
      </c>
      <c r="C80" t="str">
        <f>IF($N80="","",INDEX('_calc'!$A$2:$A$3001,$N80))</f>
        <v/>
      </c>
      <c r="D80" s="25" t="str">
        <f>IF($N80="","",INDEX('_calc'!$C$2:$C$3001,$N80))</f>
        <v/>
      </c>
      <c r="E80" s="25" t="str">
        <f>IF($N80="","",INDEX('_calc'!$D$2:$D$3001,$N80))</f>
        <v/>
      </c>
      <c r="F80" s="26" t="str">
        <f>IF($N80="","",IF($E$8=0,"",E80/$E$8))</f>
        <v/>
      </c>
      <c r="G80" s="25" t="str">
        <f>IF($N80="","",INDEX('_calc'!$E$2:$E$3001,$N80))</f>
        <v/>
      </c>
      <c r="H80" s="25" t="str">
        <f>IF($N80="","",INDEX('_calc'!$F$2:$F$3001,$N80))</f>
        <v/>
      </c>
      <c r="I80" s="27" t="str">
        <f>IF($N80="","",INDEX('_calc'!$H$2:$H$3001,$N80))</f>
        <v/>
      </c>
      <c r="J80" s="27" t="str">
        <f>IF($N80="","",INDEX('_calc'!$I$2:$I$3001,$N80))</f>
        <v/>
      </c>
      <c r="K80" s="28" t="str">
        <f>IF($N80="","",IF(OR(I80="",J80=""),"",J80-I80))</f>
        <v/>
      </c>
      <c r="L80" s="29" t="str">
        <f>IF($N80="","",INDEX('_calc'!$J$2:$J$3001,$N80))</f>
        <v/>
      </c>
      <c r="M80" s="2" t="str">
        <f>IF($N80="","",IF(AND(G80=0,H80=0),"수량 없음",IF(G80=0,"신규 (전년 수량 없음)",IF(H80=0,"당해 수량 없음",""))))</f>
        <v/>
      </c>
      <c r="N80" t="str">
        <f>IF($B80="","",MATCH($B80,'_calc'!$L$2:$L$3001,0))</f>
        <v/>
      </c>
    </row>
    <row r="81">
      <c r="B81" s="24" t="str">
        <f>IF(ROW()-ROW($B$8)&gt;nComp,"",ROW()-ROW($B$8))</f>
        <v/>
      </c>
      <c r="C81" t="str">
        <f>IF($N81="","",INDEX('_calc'!$A$2:$A$3001,$N81))</f>
        <v/>
      </c>
      <c r="D81" s="25" t="str">
        <f>IF($N81="","",INDEX('_calc'!$C$2:$C$3001,$N81))</f>
        <v/>
      </c>
      <c r="E81" s="25" t="str">
        <f>IF($N81="","",INDEX('_calc'!$D$2:$D$3001,$N81))</f>
        <v/>
      </c>
      <c r="F81" s="26" t="str">
        <f>IF($N81="","",IF($E$8=0,"",E81/$E$8))</f>
        <v/>
      </c>
      <c r="G81" s="25" t="str">
        <f>IF($N81="","",INDEX('_calc'!$E$2:$E$3001,$N81))</f>
        <v/>
      </c>
      <c r="H81" s="25" t="str">
        <f>IF($N81="","",INDEX('_calc'!$F$2:$F$3001,$N81))</f>
        <v/>
      </c>
      <c r="I81" s="27" t="str">
        <f>IF($N81="","",INDEX('_calc'!$H$2:$H$3001,$N81))</f>
        <v/>
      </c>
      <c r="J81" s="27" t="str">
        <f>IF($N81="","",INDEX('_calc'!$I$2:$I$3001,$N81))</f>
        <v/>
      </c>
      <c r="K81" s="28" t="str">
        <f>IF($N81="","",IF(OR(I81="",J81=""),"",J81-I81))</f>
        <v/>
      </c>
      <c r="L81" s="29" t="str">
        <f>IF($N81="","",INDEX('_calc'!$J$2:$J$3001,$N81))</f>
        <v/>
      </c>
      <c r="M81" s="2" t="str">
        <f>IF($N81="","",IF(AND(G81=0,H81=0),"수량 없음",IF(G81=0,"신규 (전년 수량 없음)",IF(H81=0,"당해 수량 없음",""))))</f>
        <v/>
      </c>
      <c r="N81" t="str">
        <f>IF($B81="","",MATCH($B81,'_calc'!$L$2:$L$3001,0))</f>
        <v/>
      </c>
    </row>
    <row r="82">
      <c r="B82" s="24" t="str">
        <f>IF(ROW()-ROW($B$8)&gt;nComp,"",ROW()-ROW($B$8))</f>
        <v/>
      </c>
      <c r="C82" t="str">
        <f>IF($N82="","",INDEX('_calc'!$A$2:$A$3001,$N82))</f>
        <v/>
      </c>
      <c r="D82" s="25" t="str">
        <f>IF($N82="","",INDEX('_calc'!$C$2:$C$3001,$N82))</f>
        <v/>
      </c>
      <c r="E82" s="25" t="str">
        <f>IF($N82="","",INDEX('_calc'!$D$2:$D$3001,$N82))</f>
        <v/>
      </c>
      <c r="F82" s="26" t="str">
        <f>IF($N82="","",IF($E$8=0,"",E82/$E$8))</f>
        <v/>
      </c>
      <c r="G82" s="25" t="str">
        <f>IF($N82="","",INDEX('_calc'!$E$2:$E$3001,$N82))</f>
        <v/>
      </c>
      <c r="H82" s="25" t="str">
        <f>IF($N82="","",INDEX('_calc'!$F$2:$F$3001,$N82))</f>
        <v/>
      </c>
      <c r="I82" s="27" t="str">
        <f>IF($N82="","",INDEX('_calc'!$H$2:$H$3001,$N82))</f>
        <v/>
      </c>
      <c r="J82" s="27" t="str">
        <f>IF($N82="","",INDEX('_calc'!$I$2:$I$3001,$N82))</f>
        <v/>
      </c>
      <c r="K82" s="28" t="str">
        <f>IF($N82="","",IF(OR(I82="",J82=""),"",J82-I82))</f>
        <v/>
      </c>
      <c r="L82" s="29" t="str">
        <f>IF($N82="","",INDEX('_calc'!$J$2:$J$3001,$N82))</f>
        <v/>
      </c>
      <c r="M82" s="2" t="str">
        <f>IF($N82="","",IF(AND(G82=0,H82=0),"수량 없음",IF(G82=0,"신규 (전년 수량 없음)",IF(H82=0,"당해 수량 없음",""))))</f>
        <v/>
      </c>
      <c r="N82" t="str">
        <f>IF($B82="","",MATCH($B82,'_calc'!$L$2:$L$3001,0))</f>
        <v/>
      </c>
    </row>
    <row r="83">
      <c r="B83" s="24" t="str">
        <f>IF(ROW()-ROW($B$8)&gt;nComp,"",ROW()-ROW($B$8))</f>
        <v/>
      </c>
      <c r="C83" t="str">
        <f>IF($N83="","",INDEX('_calc'!$A$2:$A$3001,$N83))</f>
        <v/>
      </c>
      <c r="D83" s="25" t="str">
        <f>IF($N83="","",INDEX('_calc'!$C$2:$C$3001,$N83))</f>
        <v/>
      </c>
      <c r="E83" s="25" t="str">
        <f>IF($N83="","",INDEX('_calc'!$D$2:$D$3001,$N83))</f>
        <v/>
      </c>
      <c r="F83" s="26" t="str">
        <f>IF($N83="","",IF($E$8=0,"",E83/$E$8))</f>
        <v/>
      </c>
      <c r="G83" s="25" t="str">
        <f>IF($N83="","",INDEX('_calc'!$E$2:$E$3001,$N83))</f>
        <v/>
      </c>
      <c r="H83" s="25" t="str">
        <f>IF($N83="","",INDEX('_calc'!$F$2:$F$3001,$N83))</f>
        <v/>
      </c>
      <c r="I83" s="27" t="str">
        <f>IF($N83="","",INDEX('_calc'!$H$2:$H$3001,$N83))</f>
        <v/>
      </c>
      <c r="J83" s="27" t="str">
        <f>IF($N83="","",INDEX('_calc'!$I$2:$I$3001,$N83))</f>
        <v/>
      </c>
      <c r="K83" s="28" t="str">
        <f>IF($N83="","",IF(OR(I83="",J83=""),"",J83-I83))</f>
        <v/>
      </c>
      <c r="L83" s="29" t="str">
        <f>IF($N83="","",INDEX('_calc'!$J$2:$J$3001,$N83))</f>
        <v/>
      </c>
      <c r="M83" s="2" t="str">
        <f>IF($N83="","",IF(AND(G83=0,H83=0),"수량 없음",IF(G83=0,"신규 (전년 수량 없음)",IF(H83=0,"당해 수량 없음",""))))</f>
        <v/>
      </c>
      <c r="N83" t="str">
        <f>IF($B83="","",MATCH($B83,'_calc'!$L$2:$L$3001,0))</f>
        <v/>
      </c>
    </row>
    <row r="84">
      <c r="B84" s="24" t="str">
        <f>IF(ROW()-ROW($B$8)&gt;nComp,"",ROW()-ROW($B$8))</f>
        <v/>
      </c>
      <c r="C84" t="str">
        <f>IF($N84="","",INDEX('_calc'!$A$2:$A$3001,$N84))</f>
        <v/>
      </c>
      <c r="D84" s="25" t="str">
        <f>IF($N84="","",INDEX('_calc'!$C$2:$C$3001,$N84))</f>
        <v/>
      </c>
      <c r="E84" s="25" t="str">
        <f>IF($N84="","",INDEX('_calc'!$D$2:$D$3001,$N84))</f>
        <v/>
      </c>
      <c r="F84" s="26" t="str">
        <f>IF($N84="","",IF($E$8=0,"",E84/$E$8))</f>
        <v/>
      </c>
      <c r="G84" s="25" t="str">
        <f>IF($N84="","",INDEX('_calc'!$E$2:$E$3001,$N84))</f>
        <v/>
      </c>
      <c r="H84" s="25" t="str">
        <f>IF($N84="","",INDEX('_calc'!$F$2:$F$3001,$N84))</f>
        <v/>
      </c>
      <c r="I84" s="27" t="str">
        <f>IF($N84="","",INDEX('_calc'!$H$2:$H$3001,$N84))</f>
        <v/>
      </c>
      <c r="J84" s="27" t="str">
        <f>IF($N84="","",INDEX('_calc'!$I$2:$I$3001,$N84))</f>
        <v/>
      </c>
      <c r="K84" s="28" t="str">
        <f>IF($N84="","",IF(OR(I84="",J84=""),"",J84-I84))</f>
        <v/>
      </c>
      <c r="L84" s="29" t="str">
        <f>IF($N84="","",INDEX('_calc'!$J$2:$J$3001,$N84))</f>
        <v/>
      </c>
      <c r="M84" s="2" t="str">
        <f>IF($N84="","",IF(AND(G84=0,H84=0),"수량 없음",IF(G84=0,"신규 (전년 수량 없음)",IF(H84=0,"당해 수량 없음",""))))</f>
        <v/>
      </c>
      <c r="N84" t="str">
        <f>IF($B84="","",MATCH($B84,'_calc'!$L$2:$L$3001,0))</f>
        <v/>
      </c>
    </row>
    <row r="85">
      <c r="B85" s="24" t="str">
        <f>IF(ROW()-ROW($B$8)&gt;nComp,"",ROW()-ROW($B$8))</f>
        <v/>
      </c>
      <c r="C85" t="str">
        <f>IF($N85="","",INDEX('_calc'!$A$2:$A$3001,$N85))</f>
        <v/>
      </c>
      <c r="D85" s="25" t="str">
        <f>IF($N85="","",INDEX('_calc'!$C$2:$C$3001,$N85))</f>
        <v/>
      </c>
      <c r="E85" s="25" t="str">
        <f>IF($N85="","",INDEX('_calc'!$D$2:$D$3001,$N85))</f>
        <v/>
      </c>
      <c r="F85" s="26" t="str">
        <f>IF($N85="","",IF($E$8=0,"",E85/$E$8))</f>
        <v/>
      </c>
      <c r="G85" s="25" t="str">
        <f>IF($N85="","",INDEX('_calc'!$E$2:$E$3001,$N85))</f>
        <v/>
      </c>
      <c r="H85" s="25" t="str">
        <f>IF($N85="","",INDEX('_calc'!$F$2:$F$3001,$N85))</f>
        <v/>
      </c>
      <c r="I85" s="27" t="str">
        <f>IF($N85="","",INDEX('_calc'!$H$2:$H$3001,$N85))</f>
        <v/>
      </c>
      <c r="J85" s="27" t="str">
        <f>IF($N85="","",INDEX('_calc'!$I$2:$I$3001,$N85))</f>
        <v/>
      </c>
      <c r="K85" s="28" t="str">
        <f>IF($N85="","",IF(OR(I85="",J85=""),"",J85-I85))</f>
        <v/>
      </c>
      <c r="L85" s="29" t="str">
        <f>IF($N85="","",INDEX('_calc'!$J$2:$J$3001,$N85))</f>
        <v/>
      </c>
      <c r="M85" s="2" t="str">
        <f>IF($N85="","",IF(AND(G85=0,H85=0),"수량 없음",IF(G85=0,"신규 (전년 수량 없음)",IF(H85=0,"당해 수량 없음",""))))</f>
        <v/>
      </c>
      <c r="N85" t="str">
        <f>IF($B85="","",MATCH($B85,'_calc'!$L$2:$L$3001,0))</f>
        <v/>
      </c>
    </row>
    <row r="86">
      <c r="B86" s="24" t="str">
        <f>IF(ROW()-ROW($B$8)&gt;nComp,"",ROW()-ROW($B$8))</f>
        <v/>
      </c>
      <c r="C86" t="str">
        <f>IF($N86="","",INDEX('_calc'!$A$2:$A$3001,$N86))</f>
        <v/>
      </c>
      <c r="D86" s="25" t="str">
        <f>IF($N86="","",INDEX('_calc'!$C$2:$C$3001,$N86))</f>
        <v/>
      </c>
      <c r="E86" s="25" t="str">
        <f>IF($N86="","",INDEX('_calc'!$D$2:$D$3001,$N86))</f>
        <v/>
      </c>
      <c r="F86" s="26" t="str">
        <f>IF($N86="","",IF($E$8=0,"",E86/$E$8))</f>
        <v/>
      </c>
      <c r="G86" s="25" t="str">
        <f>IF($N86="","",INDEX('_calc'!$E$2:$E$3001,$N86))</f>
        <v/>
      </c>
      <c r="H86" s="25" t="str">
        <f>IF($N86="","",INDEX('_calc'!$F$2:$F$3001,$N86))</f>
        <v/>
      </c>
      <c r="I86" s="27" t="str">
        <f>IF($N86="","",INDEX('_calc'!$H$2:$H$3001,$N86))</f>
        <v/>
      </c>
      <c r="J86" s="27" t="str">
        <f>IF($N86="","",INDEX('_calc'!$I$2:$I$3001,$N86))</f>
        <v/>
      </c>
      <c r="K86" s="28" t="str">
        <f>IF($N86="","",IF(OR(I86="",J86=""),"",J86-I86))</f>
        <v/>
      </c>
      <c r="L86" s="29" t="str">
        <f>IF($N86="","",INDEX('_calc'!$J$2:$J$3001,$N86))</f>
        <v/>
      </c>
      <c r="M86" s="2" t="str">
        <f>IF($N86="","",IF(AND(G86=0,H86=0),"수량 없음",IF(G86=0,"신규 (전년 수량 없음)",IF(H86=0,"당해 수량 없음",""))))</f>
        <v/>
      </c>
      <c r="N86" t="str">
        <f>IF($B86="","",MATCH($B86,'_calc'!$L$2:$L$3001,0))</f>
        <v/>
      </c>
    </row>
    <row r="87">
      <c r="B87" s="24" t="str">
        <f>IF(ROW()-ROW($B$8)&gt;nComp,"",ROW()-ROW($B$8))</f>
        <v/>
      </c>
      <c r="C87" t="str">
        <f>IF($N87="","",INDEX('_calc'!$A$2:$A$3001,$N87))</f>
        <v/>
      </c>
      <c r="D87" s="25" t="str">
        <f>IF($N87="","",INDEX('_calc'!$C$2:$C$3001,$N87))</f>
        <v/>
      </c>
      <c r="E87" s="25" t="str">
        <f>IF($N87="","",INDEX('_calc'!$D$2:$D$3001,$N87))</f>
        <v/>
      </c>
      <c r="F87" s="26" t="str">
        <f>IF($N87="","",IF($E$8=0,"",E87/$E$8))</f>
        <v/>
      </c>
      <c r="G87" s="25" t="str">
        <f>IF($N87="","",INDEX('_calc'!$E$2:$E$3001,$N87))</f>
        <v/>
      </c>
      <c r="H87" s="25" t="str">
        <f>IF($N87="","",INDEX('_calc'!$F$2:$F$3001,$N87))</f>
        <v/>
      </c>
      <c r="I87" s="27" t="str">
        <f>IF($N87="","",INDEX('_calc'!$H$2:$H$3001,$N87))</f>
        <v/>
      </c>
      <c r="J87" s="27" t="str">
        <f>IF($N87="","",INDEX('_calc'!$I$2:$I$3001,$N87))</f>
        <v/>
      </c>
      <c r="K87" s="28" t="str">
        <f>IF($N87="","",IF(OR(I87="",J87=""),"",J87-I87))</f>
        <v/>
      </c>
      <c r="L87" s="29" t="str">
        <f>IF($N87="","",INDEX('_calc'!$J$2:$J$3001,$N87))</f>
        <v/>
      </c>
      <c r="M87" s="2" t="str">
        <f>IF($N87="","",IF(AND(G87=0,H87=0),"수량 없음",IF(G87=0,"신규 (전년 수량 없음)",IF(H87=0,"당해 수량 없음",""))))</f>
        <v/>
      </c>
      <c r="N87" t="str">
        <f>IF($B87="","",MATCH($B87,'_calc'!$L$2:$L$3001,0))</f>
        <v/>
      </c>
    </row>
    <row r="88">
      <c r="B88" s="24" t="str">
        <f>IF(ROW()-ROW($B$8)&gt;nComp,"",ROW()-ROW($B$8))</f>
        <v/>
      </c>
      <c r="C88" t="str">
        <f>IF($N88="","",INDEX('_calc'!$A$2:$A$3001,$N88))</f>
        <v/>
      </c>
      <c r="D88" s="25" t="str">
        <f>IF($N88="","",INDEX('_calc'!$C$2:$C$3001,$N88))</f>
        <v/>
      </c>
      <c r="E88" s="25" t="str">
        <f>IF($N88="","",INDEX('_calc'!$D$2:$D$3001,$N88))</f>
        <v/>
      </c>
      <c r="F88" s="26" t="str">
        <f>IF($N88="","",IF($E$8=0,"",E88/$E$8))</f>
        <v/>
      </c>
      <c r="G88" s="25" t="str">
        <f>IF($N88="","",INDEX('_calc'!$E$2:$E$3001,$N88))</f>
        <v/>
      </c>
      <c r="H88" s="25" t="str">
        <f>IF($N88="","",INDEX('_calc'!$F$2:$F$3001,$N88))</f>
        <v/>
      </c>
      <c r="I88" s="27" t="str">
        <f>IF($N88="","",INDEX('_calc'!$H$2:$H$3001,$N88))</f>
        <v/>
      </c>
      <c r="J88" s="27" t="str">
        <f>IF($N88="","",INDEX('_calc'!$I$2:$I$3001,$N88))</f>
        <v/>
      </c>
      <c r="K88" s="28" t="str">
        <f>IF($N88="","",IF(OR(I88="",J88=""),"",J88-I88))</f>
        <v/>
      </c>
      <c r="L88" s="29" t="str">
        <f>IF($N88="","",INDEX('_calc'!$J$2:$J$3001,$N88))</f>
        <v/>
      </c>
      <c r="M88" s="2" t="str">
        <f>IF($N88="","",IF(AND(G88=0,H88=0),"수량 없음",IF(G88=0,"신규 (전년 수량 없음)",IF(H88=0,"당해 수량 없음",""))))</f>
        <v/>
      </c>
      <c r="N88" t="str">
        <f>IF($B88="","",MATCH($B88,'_calc'!$L$2:$L$3001,0))</f>
        <v/>
      </c>
    </row>
    <row r="89">
      <c r="B89" s="24" t="str">
        <f>IF(ROW()-ROW($B$8)&gt;nComp,"",ROW()-ROW($B$8))</f>
        <v/>
      </c>
      <c r="C89" t="str">
        <f>IF($N89="","",INDEX('_calc'!$A$2:$A$3001,$N89))</f>
        <v/>
      </c>
      <c r="D89" s="25" t="str">
        <f>IF($N89="","",INDEX('_calc'!$C$2:$C$3001,$N89))</f>
        <v/>
      </c>
      <c r="E89" s="25" t="str">
        <f>IF($N89="","",INDEX('_calc'!$D$2:$D$3001,$N89))</f>
        <v/>
      </c>
      <c r="F89" s="26" t="str">
        <f>IF($N89="","",IF($E$8=0,"",E89/$E$8))</f>
        <v/>
      </c>
      <c r="G89" s="25" t="str">
        <f>IF($N89="","",INDEX('_calc'!$E$2:$E$3001,$N89))</f>
        <v/>
      </c>
      <c r="H89" s="25" t="str">
        <f>IF($N89="","",INDEX('_calc'!$F$2:$F$3001,$N89))</f>
        <v/>
      </c>
      <c r="I89" s="27" t="str">
        <f>IF($N89="","",INDEX('_calc'!$H$2:$H$3001,$N89))</f>
        <v/>
      </c>
      <c r="J89" s="27" t="str">
        <f>IF($N89="","",INDEX('_calc'!$I$2:$I$3001,$N89))</f>
        <v/>
      </c>
      <c r="K89" s="28" t="str">
        <f>IF($N89="","",IF(OR(I89="",J89=""),"",J89-I89))</f>
        <v/>
      </c>
      <c r="L89" s="29" t="str">
        <f>IF($N89="","",INDEX('_calc'!$J$2:$J$3001,$N89))</f>
        <v/>
      </c>
      <c r="M89" s="2" t="str">
        <f>IF($N89="","",IF(AND(G89=0,H89=0),"수량 없음",IF(G89=0,"신규 (전년 수량 없음)",IF(H89=0,"당해 수량 없음",""))))</f>
        <v/>
      </c>
      <c r="N89" t="str">
        <f>IF($B89="","",MATCH($B89,'_calc'!$L$2:$L$3001,0))</f>
        <v/>
      </c>
    </row>
    <row r="90">
      <c r="B90" s="24" t="str">
        <f>IF(ROW()-ROW($B$8)&gt;nComp,"",ROW()-ROW($B$8))</f>
        <v/>
      </c>
      <c r="C90" t="str">
        <f>IF($N90="","",INDEX('_calc'!$A$2:$A$3001,$N90))</f>
        <v/>
      </c>
      <c r="D90" s="25" t="str">
        <f>IF($N90="","",INDEX('_calc'!$C$2:$C$3001,$N90))</f>
        <v/>
      </c>
      <c r="E90" s="25" t="str">
        <f>IF($N90="","",INDEX('_calc'!$D$2:$D$3001,$N90))</f>
        <v/>
      </c>
      <c r="F90" s="26" t="str">
        <f>IF($N90="","",IF($E$8=0,"",E90/$E$8))</f>
        <v/>
      </c>
      <c r="G90" s="25" t="str">
        <f>IF($N90="","",INDEX('_calc'!$E$2:$E$3001,$N90))</f>
        <v/>
      </c>
      <c r="H90" s="25" t="str">
        <f>IF($N90="","",INDEX('_calc'!$F$2:$F$3001,$N90))</f>
        <v/>
      </c>
      <c r="I90" s="27" t="str">
        <f>IF($N90="","",INDEX('_calc'!$H$2:$H$3001,$N90))</f>
        <v/>
      </c>
      <c r="J90" s="27" t="str">
        <f>IF($N90="","",INDEX('_calc'!$I$2:$I$3001,$N90))</f>
        <v/>
      </c>
      <c r="K90" s="28" t="str">
        <f>IF($N90="","",IF(OR(I90="",J90=""),"",J90-I90))</f>
        <v/>
      </c>
      <c r="L90" s="29" t="str">
        <f>IF($N90="","",INDEX('_calc'!$J$2:$J$3001,$N90))</f>
        <v/>
      </c>
      <c r="M90" s="2" t="str">
        <f>IF($N90="","",IF(AND(G90=0,H90=0),"수량 없음",IF(G90=0,"신규 (전년 수량 없음)",IF(H90=0,"당해 수량 없음",""))))</f>
        <v/>
      </c>
      <c r="N90" t="str">
        <f>IF($B90="","",MATCH($B90,'_calc'!$L$2:$L$3001,0))</f>
        <v/>
      </c>
    </row>
    <row r="91">
      <c r="B91" s="24" t="str">
        <f>IF(ROW()-ROW($B$8)&gt;nComp,"",ROW()-ROW($B$8))</f>
        <v/>
      </c>
      <c r="C91" t="str">
        <f>IF($N91="","",INDEX('_calc'!$A$2:$A$3001,$N91))</f>
        <v/>
      </c>
      <c r="D91" s="25" t="str">
        <f>IF($N91="","",INDEX('_calc'!$C$2:$C$3001,$N91))</f>
        <v/>
      </c>
      <c r="E91" s="25" t="str">
        <f>IF($N91="","",INDEX('_calc'!$D$2:$D$3001,$N91))</f>
        <v/>
      </c>
      <c r="F91" s="26" t="str">
        <f>IF($N91="","",IF($E$8=0,"",E91/$E$8))</f>
        <v/>
      </c>
      <c r="G91" s="25" t="str">
        <f>IF($N91="","",INDEX('_calc'!$E$2:$E$3001,$N91))</f>
        <v/>
      </c>
      <c r="H91" s="25" t="str">
        <f>IF($N91="","",INDEX('_calc'!$F$2:$F$3001,$N91))</f>
        <v/>
      </c>
      <c r="I91" s="27" t="str">
        <f>IF($N91="","",INDEX('_calc'!$H$2:$H$3001,$N91))</f>
        <v/>
      </c>
      <c r="J91" s="27" t="str">
        <f>IF($N91="","",INDEX('_calc'!$I$2:$I$3001,$N91))</f>
        <v/>
      </c>
      <c r="K91" s="28" t="str">
        <f>IF($N91="","",IF(OR(I91="",J91=""),"",J91-I91))</f>
        <v/>
      </c>
      <c r="L91" s="29" t="str">
        <f>IF($N91="","",INDEX('_calc'!$J$2:$J$3001,$N91))</f>
        <v/>
      </c>
      <c r="M91" s="2" t="str">
        <f>IF($N91="","",IF(AND(G91=0,H91=0),"수량 없음",IF(G91=0,"신규 (전년 수량 없음)",IF(H91=0,"당해 수량 없음",""))))</f>
        <v/>
      </c>
      <c r="N91" t="str">
        <f>IF($B91="","",MATCH($B91,'_calc'!$L$2:$L$3001,0))</f>
        <v/>
      </c>
    </row>
    <row r="92">
      <c r="B92" s="24" t="str">
        <f>IF(ROW()-ROW($B$8)&gt;nComp,"",ROW()-ROW($B$8))</f>
        <v/>
      </c>
      <c r="C92" t="str">
        <f>IF($N92="","",INDEX('_calc'!$A$2:$A$3001,$N92))</f>
        <v/>
      </c>
      <c r="D92" s="25" t="str">
        <f>IF($N92="","",INDEX('_calc'!$C$2:$C$3001,$N92))</f>
        <v/>
      </c>
      <c r="E92" s="25" t="str">
        <f>IF($N92="","",INDEX('_calc'!$D$2:$D$3001,$N92))</f>
        <v/>
      </c>
      <c r="F92" s="26" t="str">
        <f>IF($N92="","",IF($E$8=0,"",E92/$E$8))</f>
        <v/>
      </c>
      <c r="G92" s="25" t="str">
        <f>IF($N92="","",INDEX('_calc'!$E$2:$E$3001,$N92))</f>
        <v/>
      </c>
      <c r="H92" s="25" t="str">
        <f>IF($N92="","",INDEX('_calc'!$F$2:$F$3001,$N92))</f>
        <v/>
      </c>
      <c r="I92" s="27" t="str">
        <f>IF($N92="","",INDEX('_calc'!$H$2:$H$3001,$N92))</f>
        <v/>
      </c>
      <c r="J92" s="27" t="str">
        <f>IF($N92="","",INDEX('_calc'!$I$2:$I$3001,$N92))</f>
        <v/>
      </c>
      <c r="K92" s="28" t="str">
        <f>IF($N92="","",IF(OR(I92="",J92=""),"",J92-I92))</f>
        <v/>
      </c>
      <c r="L92" s="29" t="str">
        <f>IF($N92="","",INDEX('_calc'!$J$2:$J$3001,$N92))</f>
        <v/>
      </c>
      <c r="M92" s="2" t="str">
        <f>IF($N92="","",IF(AND(G92=0,H92=0),"수량 없음",IF(G92=0,"신규 (전년 수량 없음)",IF(H92=0,"당해 수량 없음",""))))</f>
        <v/>
      </c>
      <c r="N92" t="str">
        <f>IF($B92="","",MATCH($B92,'_calc'!$L$2:$L$3001,0))</f>
        <v/>
      </c>
    </row>
    <row r="93">
      <c r="B93" s="24" t="str">
        <f>IF(ROW()-ROW($B$8)&gt;nComp,"",ROW()-ROW($B$8))</f>
        <v/>
      </c>
      <c r="C93" t="str">
        <f>IF($N93="","",INDEX('_calc'!$A$2:$A$3001,$N93))</f>
        <v/>
      </c>
      <c r="D93" s="25" t="str">
        <f>IF($N93="","",INDEX('_calc'!$C$2:$C$3001,$N93))</f>
        <v/>
      </c>
      <c r="E93" s="25" t="str">
        <f>IF($N93="","",INDEX('_calc'!$D$2:$D$3001,$N93))</f>
        <v/>
      </c>
      <c r="F93" s="26" t="str">
        <f>IF($N93="","",IF($E$8=0,"",E93/$E$8))</f>
        <v/>
      </c>
      <c r="G93" s="25" t="str">
        <f>IF($N93="","",INDEX('_calc'!$E$2:$E$3001,$N93))</f>
        <v/>
      </c>
      <c r="H93" s="25" t="str">
        <f>IF($N93="","",INDEX('_calc'!$F$2:$F$3001,$N93))</f>
        <v/>
      </c>
      <c r="I93" s="27" t="str">
        <f>IF($N93="","",INDEX('_calc'!$H$2:$H$3001,$N93))</f>
        <v/>
      </c>
      <c r="J93" s="27" t="str">
        <f>IF($N93="","",INDEX('_calc'!$I$2:$I$3001,$N93))</f>
        <v/>
      </c>
      <c r="K93" s="28" t="str">
        <f>IF($N93="","",IF(OR(I93="",J93=""),"",J93-I93))</f>
        <v/>
      </c>
      <c r="L93" s="29" t="str">
        <f>IF($N93="","",INDEX('_calc'!$J$2:$J$3001,$N93))</f>
        <v/>
      </c>
      <c r="M93" s="2" t="str">
        <f>IF($N93="","",IF(AND(G93=0,H93=0),"수량 없음",IF(G93=0,"신규 (전년 수량 없음)",IF(H93=0,"당해 수량 없음",""))))</f>
        <v/>
      </c>
      <c r="N93" t="str">
        <f>IF($B93="","",MATCH($B93,'_calc'!$L$2:$L$3001,0))</f>
        <v/>
      </c>
    </row>
    <row r="94">
      <c r="B94" s="24" t="str">
        <f>IF(ROW()-ROW($B$8)&gt;nComp,"",ROW()-ROW($B$8))</f>
        <v/>
      </c>
      <c r="C94" t="str">
        <f>IF($N94="","",INDEX('_calc'!$A$2:$A$3001,$N94))</f>
        <v/>
      </c>
      <c r="D94" s="25" t="str">
        <f>IF($N94="","",INDEX('_calc'!$C$2:$C$3001,$N94))</f>
        <v/>
      </c>
      <c r="E94" s="25" t="str">
        <f>IF($N94="","",INDEX('_calc'!$D$2:$D$3001,$N94))</f>
        <v/>
      </c>
      <c r="F94" s="26" t="str">
        <f>IF($N94="","",IF($E$8=0,"",E94/$E$8))</f>
        <v/>
      </c>
      <c r="G94" s="25" t="str">
        <f>IF($N94="","",INDEX('_calc'!$E$2:$E$3001,$N94))</f>
        <v/>
      </c>
      <c r="H94" s="25" t="str">
        <f>IF($N94="","",INDEX('_calc'!$F$2:$F$3001,$N94))</f>
        <v/>
      </c>
      <c r="I94" s="27" t="str">
        <f>IF($N94="","",INDEX('_calc'!$H$2:$H$3001,$N94))</f>
        <v/>
      </c>
      <c r="J94" s="27" t="str">
        <f>IF($N94="","",INDEX('_calc'!$I$2:$I$3001,$N94))</f>
        <v/>
      </c>
      <c r="K94" s="28" t="str">
        <f>IF($N94="","",IF(OR(I94="",J94=""),"",J94-I94))</f>
        <v/>
      </c>
      <c r="L94" s="29" t="str">
        <f>IF($N94="","",INDEX('_calc'!$J$2:$J$3001,$N94))</f>
        <v/>
      </c>
      <c r="M94" s="2" t="str">
        <f>IF($N94="","",IF(AND(G94=0,H94=0),"수량 없음",IF(G94=0,"신규 (전년 수량 없음)",IF(H94=0,"당해 수량 없음",""))))</f>
        <v/>
      </c>
      <c r="N94" t="str">
        <f>IF($B94="","",MATCH($B94,'_calc'!$L$2:$L$3001,0))</f>
        <v/>
      </c>
    </row>
    <row r="95">
      <c r="B95" s="24" t="str">
        <f>IF(ROW()-ROW($B$8)&gt;nComp,"",ROW()-ROW($B$8))</f>
        <v/>
      </c>
      <c r="C95" t="str">
        <f>IF($N95="","",INDEX('_calc'!$A$2:$A$3001,$N95))</f>
        <v/>
      </c>
      <c r="D95" s="25" t="str">
        <f>IF($N95="","",INDEX('_calc'!$C$2:$C$3001,$N95))</f>
        <v/>
      </c>
      <c r="E95" s="25" t="str">
        <f>IF($N95="","",INDEX('_calc'!$D$2:$D$3001,$N95))</f>
        <v/>
      </c>
      <c r="F95" s="26" t="str">
        <f>IF($N95="","",IF($E$8=0,"",E95/$E$8))</f>
        <v/>
      </c>
      <c r="G95" s="25" t="str">
        <f>IF($N95="","",INDEX('_calc'!$E$2:$E$3001,$N95))</f>
        <v/>
      </c>
      <c r="H95" s="25" t="str">
        <f>IF($N95="","",INDEX('_calc'!$F$2:$F$3001,$N95))</f>
        <v/>
      </c>
      <c r="I95" s="27" t="str">
        <f>IF($N95="","",INDEX('_calc'!$H$2:$H$3001,$N95))</f>
        <v/>
      </c>
      <c r="J95" s="27" t="str">
        <f>IF($N95="","",INDEX('_calc'!$I$2:$I$3001,$N95))</f>
        <v/>
      </c>
      <c r="K95" s="28" t="str">
        <f>IF($N95="","",IF(OR(I95="",J95=""),"",J95-I95))</f>
        <v/>
      </c>
      <c r="L95" s="29" t="str">
        <f>IF($N95="","",INDEX('_calc'!$J$2:$J$3001,$N95))</f>
        <v/>
      </c>
      <c r="M95" s="2" t="str">
        <f>IF($N95="","",IF(AND(G95=0,H95=0),"수량 없음",IF(G95=0,"신규 (전년 수량 없음)",IF(H95=0,"당해 수량 없음",""))))</f>
        <v/>
      </c>
      <c r="N95" t="str">
        <f>IF($B95="","",MATCH($B95,'_calc'!$L$2:$L$3001,0))</f>
        <v/>
      </c>
    </row>
    <row r="96">
      <c r="B96" s="24" t="str">
        <f>IF(ROW()-ROW($B$8)&gt;nComp,"",ROW()-ROW($B$8))</f>
        <v/>
      </c>
      <c r="C96" t="str">
        <f>IF($N96="","",INDEX('_calc'!$A$2:$A$3001,$N96))</f>
        <v/>
      </c>
      <c r="D96" s="25" t="str">
        <f>IF($N96="","",INDEX('_calc'!$C$2:$C$3001,$N96))</f>
        <v/>
      </c>
      <c r="E96" s="25" t="str">
        <f>IF($N96="","",INDEX('_calc'!$D$2:$D$3001,$N96))</f>
        <v/>
      </c>
      <c r="F96" s="26" t="str">
        <f>IF($N96="","",IF($E$8=0,"",E96/$E$8))</f>
        <v/>
      </c>
      <c r="G96" s="25" t="str">
        <f>IF($N96="","",INDEX('_calc'!$E$2:$E$3001,$N96))</f>
        <v/>
      </c>
      <c r="H96" s="25" t="str">
        <f>IF($N96="","",INDEX('_calc'!$F$2:$F$3001,$N96))</f>
        <v/>
      </c>
      <c r="I96" s="27" t="str">
        <f>IF($N96="","",INDEX('_calc'!$H$2:$H$3001,$N96))</f>
        <v/>
      </c>
      <c r="J96" s="27" t="str">
        <f>IF($N96="","",INDEX('_calc'!$I$2:$I$3001,$N96))</f>
        <v/>
      </c>
      <c r="K96" s="28" t="str">
        <f>IF($N96="","",IF(OR(I96="",J96=""),"",J96-I96))</f>
        <v/>
      </c>
      <c r="L96" s="29" t="str">
        <f>IF($N96="","",INDEX('_calc'!$J$2:$J$3001,$N96))</f>
        <v/>
      </c>
      <c r="M96" s="2" t="str">
        <f>IF($N96="","",IF(AND(G96=0,H96=0),"수량 없음",IF(G96=0,"신규 (전년 수량 없음)",IF(H96=0,"당해 수량 없음",""))))</f>
        <v/>
      </c>
      <c r="N96" t="str">
        <f>IF($B96="","",MATCH($B96,'_calc'!$L$2:$L$3001,0))</f>
        <v/>
      </c>
    </row>
    <row r="97">
      <c r="B97" s="24" t="str">
        <f>IF(ROW()-ROW($B$8)&gt;nComp,"",ROW()-ROW($B$8))</f>
        <v/>
      </c>
      <c r="C97" t="str">
        <f>IF($N97="","",INDEX('_calc'!$A$2:$A$3001,$N97))</f>
        <v/>
      </c>
      <c r="D97" s="25" t="str">
        <f>IF($N97="","",INDEX('_calc'!$C$2:$C$3001,$N97))</f>
        <v/>
      </c>
      <c r="E97" s="25" t="str">
        <f>IF($N97="","",INDEX('_calc'!$D$2:$D$3001,$N97))</f>
        <v/>
      </c>
      <c r="F97" s="26" t="str">
        <f>IF($N97="","",IF($E$8=0,"",E97/$E$8))</f>
        <v/>
      </c>
      <c r="G97" s="25" t="str">
        <f>IF($N97="","",INDEX('_calc'!$E$2:$E$3001,$N97))</f>
        <v/>
      </c>
      <c r="H97" s="25" t="str">
        <f>IF($N97="","",INDEX('_calc'!$F$2:$F$3001,$N97))</f>
        <v/>
      </c>
      <c r="I97" s="27" t="str">
        <f>IF($N97="","",INDEX('_calc'!$H$2:$H$3001,$N97))</f>
        <v/>
      </c>
      <c r="J97" s="27" t="str">
        <f>IF($N97="","",INDEX('_calc'!$I$2:$I$3001,$N97))</f>
        <v/>
      </c>
      <c r="K97" s="28" t="str">
        <f>IF($N97="","",IF(OR(I97="",J97=""),"",J97-I97))</f>
        <v/>
      </c>
      <c r="L97" s="29" t="str">
        <f>IF($N97="","",INDEX('_calc'!$J$2:$J$3001,$N97))</f>
        <v/>
      </c>
      <c r="M97" s="2" t="str">
        <f>IF($N97="","",IF(AND(G97=0,H97=0),"수량 없음",IF(G97=0,"신규 (전년 수량 없음)",IF(H97=0,"당해 수량 없음",""))))</f>
        <v/>
      </c>
      <c r="N97" t="str">
        <f>IF($B97="","",MATCH($B97,'_calc'!$L$2:$L$3001,0))</f>
        <v/>
      </c>
    </row>
    <row r="98">
      <c r="B98" s="24" t="str">
        <f>IF(ROW()-ROW($B$8)&gt;nComp,"",ROW()-ROW($B$8))</f>
        <v/>
      </c>
      <c r="C98" t="str">
        <f>IF($N98="","",INDEX('_calc'!$A$2:$A$3001,$N98))</f>
        <v/>
      </c>
      <c r="D98" s="25" t="str">
        <f>IF($N98="","",INDEX('_calc'!$C$2:$C$3001,$N98))</f>
        <v/>
      </c>
      <c r="E98" s="25" t="str">
        <f>IF($N98="","",INDEX('_calc'!$D$2:$D$3001,$N98))</f>
        <v/>
      </c>
      <c r="F98" s="26" t="str">
        <f>IF($N98="","",IF($E$8=0,"",E98/$E$8))</f>
        <v/>
      </c>
      <c r="G98" s="25" t="str">
        <f>IF($N98="","",INDEX('_calc'!$E$2:$E$3001,$N98))</f>
        <v/>
      </c>
      <c r="H98" s="25" t="str">
        <f>IF($N98="","",INDEX('_calc'!$F$2:$F$3001,$N98))</f>
        <v/>
      </c>
      <c r="I98" s="27" t="str">
        <f>IF($N98="","",INDEX('_calc'!$H$2:$H$3001,$N98))</f>
        <v/>
      </c>
      <c r="J98" s="27" t="str">
        <f>IF($N98="","",INDEX('_calc'!$I$2:$I$3001,$N98))</f>
        <v/>
      </c>
      <c r="K98" s="28" t="str">
        <f>IF($N98="","",IF(OR(I98="",J98=""),"",J98-I98))</f>
        <v/>
      </c>
      <c r="L98" s="29" t="str">
        <f>IF($N98="","",INDEX('_calc'!$J$2:$J$3001,$N98))</f>
        <v/>
      </c>
      <c r="M98" s="2" t="str">
        <f>IF($N98="","",IF(AND(G98=0,H98=0),"수량 없음",IF(G98=0,"신규 (전년 수량 없음)",IF(H98=0,"당해 수량 없음",""))))</f>
        <v/>
      </c>
      <c r="N98" t="str">
        <f>IF($B98="","",MATCH($B98,'_calc'!$L$2:$L$3001,0))</f>
        <v/>
      </c>
    </row>
    <row r="99">
      <c r="B99" s="24" t="str">
        <f>IF(ROW()-ROW($B$8)&gt;nComp,"",ROW()-ROW($B$8))</f>
        <v/>
      </c>
      <c r="C99" t="str">
        <f>IF($N99="","",INDEX('_calc'!$A$2:$A$3001,$N99))</f>
        <v/>
      </c>
      <c r="D99" s="25" t="str">
        <f>IF($N99="","",INDEX('_calc'!$C$2:$C$3001,$N99))</f>
        <v/>
      </c>
      <c r="E99" s="25" t="str">
        <f>IF($N99="","",INDEX('_calc'!$D$2:$D$3001,$N99))</f>
        <v/>
      </c>
      <c r="F99" s="26" t="str">
        <f>IF($N99="","",IF($E$8=0,"",E99/$E$8))</f>
        <v/>
      </c>
      <c r="G99" s="25" t="str">
        <f>IF($N99="","",INDEX('_calc'!$E$2:$E$3001,$N99))</f>
        <v/>
      </c>
      <c r="H99" s="25" t="str">
        <f>IF($N99="","",INDEX('_calc'!$F$2:$F$3001,$N99))</f>
        <v/>
      </c>
      <c r="I99" s="27" t="str">
        <f>IF($N99="","",INDEX('_calc'!$H$2:$H$3001,$N99))</f>
        <v/>
      </c>
      <c r="J99" s="27" t="str">
        <f>IF($N99="","",INDEX('_calc'!$I$2:$I$3001,$N99))</f>
        <v/>
      </c>
      <c r="K99" s="28" t="str">
        <f>IF($N99="","",IF(OR(I99="",J99=""),"",J99-I99))</f>
        <v/>
      </c>
      <c r="L99" s="29" t="str">
        <f>IF($N99="","",INDEX('_calc'!$J$2:$J$3001,$N99))</f>
        <v/>
      </c>
      <c r="M99" s="2" t="str">
        <f>IF($N99="","",IF(AND(G99=0,H99=0),"수량 없음",IF(G99=0,"신규 (전년 수량 없음)",IF(H99=0,"당해 수량 없음",""))))</f>
        <v/>
      </c>
      <c r="N99" t="str">
        <f>IF($B99="","",MATCH($B99,'_calc'!$L$2:$L$3001,0))</f>
        <v/>
      </c>
    </row>
    <row r="100">
      <c r="B100" s="24" t="str">
        <f>IF(ROW()-ROW($B$8)&gt;nComp,"",ROW()-ROW($B$8))</f>
        <v/>
      </c>
      <c r="C100" t="str">
        <f>IF($N100="","",INDEX('_calc'!$A$2:$A$3001,$N100))</f>
        <v/>
      </c>
      <c r="D100" s="25" t="str">
        <f>IF($N100="","",INDEX('_calc'!$C$2:$C$3001,$N100))</f>
        <v/>
      </c>
      <c r="E100" s="25" t="str">
        <f>IF($N100="","",INDEX('_calc'!$D$2:$D$3001,$N100))</f>
        <v/>
      </c>
      <c r="F100" s="26" t="str">
        <f>IF($N100="","",IF($E$8=0,"",E100/$E$8))</f>
        <v/>
      </c>
      <c r="G100" s="25" t="str">
        <f>IF($N100="","",INDEX('_calc'!$E$2:$E$3001,$N100))</f>
        <v/>
      </c>
      <c r="H100" s="25" t="str">
        <f>IF($N100="","",INDEX('_calc'!$F$2:$F$3001,$N100))</f>
        <v/>
      </c>
      <c r="I100" s="27" t="str">
        <f>IF($N100="","",INDEX('_calc'!$H$2:$H$3001,$N100))</f>
        <v/>
      </c>
      <c r="J100" s="27" t="str">
        <f>IF($N100="","",INDEX('_calc'!$I$2:$I$3001,$N100))</f>
        <v/>
      </c>
      <c r="K100" s="28" t="str">
        <f>IF($N100="","",IF(OR(I100="",J100=""),"",J100-I100))</f>
        <v/>
      </c>
      <c r="L100" s="29" t="str">
        <f>IF($N100="","",INDEX('_calc'!$J$2:$J$3001,$N100))</f>
        <v/>
      </c>
      <c r="M100" s="2" t="str">
        <f>IF($N100="","",IF(AND(G100=0,H100=0),"수량 없음",IF(G100=0,"신규 (전년 수량 없음)",IF(H100=0,"당해 수량 없음",""))))</f>
        <v/>
      </c>
      <c r="N100" t="str">
        <f>IF($B100="","",MATCH($B100,'_calc'!$L$2:$L$3001,0))</f>
        <v/>
      </c>
    </row>
    <row r="101">
      <c r="B101" s="24" t="str">
        <f>IF(ROW()-ROW($B$8)&gt;nComp,"",ROW()-ROW($B$8))</f>
        <v/>
      </c>
      <c r="C101" t="str">
        <f>IF($N101="","",INDEX('_calc'!$A$2:$A$3001,$N101))</f>
        <v/>
      </c>
      <c r="D101" s="25" t="str">
        <f>IF($N101="","",INDEX('_calc'!$C$2:$C$3001,$N101))</f>
        <v/>
      </c>
      <c r="E101" s="25" t="str">
        <f>IF($N101="","",INDEX('_calc'!$D$2:$D$3001,$N101))</f>
        <v/>
      </c>
      <c r="F101" s="26" t="str">
        <f>IF($N101="","",IF($E$8=0,"",E101/$E$8))</f>
        <v/>
      </c>
      <c r="G101" s="25" t="str">
        <f>IF($N101="","",INDEX('_calc'!$E$2:$E$3001,$N101))</f>
        <v/>
      </c>
      <c r="H101" s="25" t="str">
        <f>IF($N101="","",INDEX('_calc'!$F$2:$F$3001,$N101))</f>
        <v/>
      </c>
      <c r="I101" s="27" t="str">
        <f>IF($N101="","",INDEX('_calc'!$H$2:$H$3001,$N101))</f>
        <v/>
      </c>
      <c r="J101" s="27" t="str">
        <f>IF($N101="","",INDEX('_calc'!$I$2:$I$3001,$N101))</f>
        <v/>
      </c>
      <c r="K101" s="28" t="str">
        <f>IF($N101="","",IF(OR(I101="",J101=""),"",J101-I101))</f>
        <v/>
      </c>
      <c r="L101" s="29" t="str">
        <f>IF($N101="","",INDEX('_calc'!$J$2:$J$3001,$N101))</f>
        <v/>
      </c>
      <c r="M101" s="2" t="str">
        <f>IF($N101="","",IF(AND(G101=0,H101=0),"수량 없음",IF(G101=0,"신규 (전년 수량 없음)",IF(H101=0,"당해 수량 없음",""))))</f>
        <v/>
      </c>
      <c r="N101" t="str">
        <f>IF($B101="","",MATCH($B101,'_calc'!$L$2:$L$3001,0))</f>
        <v/>
      </c>
    </row>
    <row r="102">
      <c r="B102" s="24" t="str">
        <f>IF(ROW()-ROW($B$8)&gt;nComp,"",ROW()-ROW($B$8))</f>
        <v/>
      </c>
      <c r="C102" t="str">
        <f>IF($N102="","",INDEX('_calc'!$A$2:$A$3001,$N102))</f>
        <v/>
      </c>
      <c r="D102" s="25" t="str">
        <f>IF($N102="","",INDEX('_calc'!$C$2:$C$3001,$N102))</f>
        <v/>
      </c>
      <c r="E102" s="25" t="str">
        <f>IF($N102="","",INDEX('_calc'!$D$2:$D$3001,$N102))</f>
        <v/>
      </c>
      <c r="F102" s="26" t="str">
        <f>IF($N102="","",IF($E$8=0,"",E102/$E$8))</f>
        <v/>
      </c>
      <c r="G102" s="25" t="str">
        <f>IF($N102="","",INDEX('_calc'!$E$2:$E$3001,$N102))</f>
        <v/>
      </c>
      <c r="H102" s="25" t="str">
        <f>IF($N102="","",INDEX('_calc'!$F$2:$F$3001,$N102))</f>
        <v/>
      </c>
      <c r="I102" s="27" t="str">
        <f>IF($N102="","",INDEX('_calc'!$H$2:$H$3001,$N102))</f>
        <v/>
      </c>
      <c r="J102" s="27" t="str">
        <f>IF($N102="","",INDEX('_calc'!$I$2:$I$3001,$N102))</f>
        <v/>
      </c>
      <c r="K102" s="28" t="str">
        <f>IF($N102="","",IF(OR(I102="",J102=""),"",J102-I102))</f>
        <v/>
      </c>
      <c r="L102" s="29" t="str">
        <f>IF($N102="","",INDEX('_calc'!$J$2:$J$3001,$N102))</f>
        <v/>
      </c>
      <c r="M102" s="2" t="str">
        <f>IF($N102="","",IF(AND(G102=0,H102=0),"수량 없음",IF(G102=0,"신규 (전년 수량 없음)",IF(H102=0,"당해 수량 없음",""))))</f>
        <v/>
      </c>
      <c r="N102" t="str">
        <f>IF($B102="","",MATCH($B102,'_calc'!$L$2:$L$3001,0))</f>
        <v/>
      </c>
    </row>
    <row r="103">
      <c r="B103" s="24" t="str">
        <f>IF(ROW()-ROW($B$8)&gt;nComp,"",ROW()-ROW($B$8))</f>
        <v/>
      </c>
      <c r="C103" t="str">
        <f>IF($N103="","",INDEX('_calc'!$A$2:$A$3001,$N103))</f>
        <v/>
      </c>
      <c r="D103" s="25" t="str">
        <f>IF($N103="","",INDEX('_calc'!$C$2:$C$3001,$N103))</f>
        <v/>
      </c>
      <c r="E103" s="25" t="str">
        <f>IF($N103="","",INDEX('_calc'!$D$2:$D$3001,$N103))</f>
        <v/>
      </c>
      <c r="F103" s="26" t="str">
        <f>IF($N103="","",IF($E$8=0,"",E103/$E$8))</f>
        <v/>
      </c>
      <c r="G103" s="25" t="str">
        <f>IF($N103="","",INDEX('_calc'!$E$2:$E$3001,$N103))</f>
        <v/>
      </c>
      <c r="H103" s="25" t="str">
        <f>IF($N103="","",INDEX('_calc'!$F$2:$F$3001,$N103))</f>
        <v/>
      </c>
      <c r="I103" s="27" t="str">
        <f>IF($N103="","",INDEX('_calc'!$H$2:$H$3001,$N103))</f>
        <v/>
      </c>
      <c r="J103" s="27" t="str">
        <f>IF($N103="","",INDEX('_calc'!$I$2:$I$3001,$N103))</f>
        <v/>
      </c>
      <c r="K103" s="28" t="str">
        <f>IF($N103="","",IF(OR(I103="",J103=""),"",J103-I103))</f>
        <v/>
      </c>
      <c r="L103" s="29" t="str">
        <f>IF($N103="","",INDEX('_calc'!$J$2:$J$3001,$N103))</f>
        <v/>
      </c>
      <c r="M103" s="2" t="str">
        <f>IF($N103="","",IF(AND(G103=0,H103=0),"수량 없음",IF(G103=0,"신규 (전년 수량 없음)",IF(H103=0,"당해 수량 없음",""))))</f>
        <v/>
      </c>
      <c r="N103" t="str">
        <f>IF($B103="","",MATCH($B103,'_calc'!$L$2:$L$3001,0))</f>
        <v/>
      </c>
    </row>
    <row r="104">
      <c r="B104" s="24" t="str">
        <f>IF(ROW()-ROW($B$8)&gt;nComp,"",ROW()-ROW($B$8))</f>
        <v/>
      </c>
      <c r="C104" t="str">
        <f>IF($N104="","",INDEX('_calc'!$A$2:$A$3001,$N104))</f>
        <v/>
      </c>
      <c r="D104" s="25" t="str">
        <f>IF($N104="","",INDEX('_calc'!$C$2:$C$3001,$N104))</f>
        <v/>
      </c>
      <c r="E104" s="25" t="str">
        <f>IF($N104="","",INDEX('_calc'!$D$2:$D$3001,$N104))</f>
        <v/>
      </c>
      <c r="F104" s="26" t="str">
        <f>IF($N104="","",IF($E$8=0,"",E104/$E$8))</f>
        <v/>
      </c>
      <c r="G104" s="25" t="str">
        <f>IF($N104="","",INDEX('_calc'!$E$2:$E$3001,$N104))</f>
        <v/>
      </c>
      <c r="H104" s="25" t="str">
        <f>IF($N104="","",INDEX('_calc'!$F$2:$F$3001,$N104))</f>
        <v/>
      </c>
      <c r="I104" s="27" t="str">
        <f>IF($N104="","",INDEX('_calc'!$H$2:$H$3001,$N104))</f>
        <v/>
      </c>
      <c r="J104" s="27" t="str">
        <f>IF($N104="","",INDEX('_calc'!$I$2:$I$3001,$N104))</f>
        <v/>
      </c>
      <c r="K104" s="28" t="str">
        <f>IF($N104="","",IF(OR(I104="",J104=""),"",J104-I104))</f>
        <v/>
      </c>
      <c r="L104" s="29" t="str">
        <f>IF($N104="","",INDEX('_calc'!$J$2:$J$3001,$N104))</f>
        <v/>
      </c>
      <c r="M104" s="2" t="str">
        <f>IF($N104="","",IF(AND(G104=0,H104=0),"수량 없음",IF(G104=0,"신규 (전년 수량 없음)",IF(H104=0,"당해 수량 없음",""))))</f>
        <v/>
      </c>
      <c r="N104" t="str">
        <f>IF($B104="","",MATCH($B104,'_calc'!$L$2:$L$3001,0))</f>
        <v/>
      </c>
    </row>
    <row r="105">
      <c r="B105" s="24" t="str">
        <f>IF(ROW()-ROW($B$8)&gt;nComp,"",ROW()-ROW($B$8))</f>
        <v/>
      </c>
      <c r="C105" t="str">
        <f>IF($N105="","",INDEX('_calc'!$A$2:$A$3001,$N105))</f>
        <v/>
      </c>
      <c r="D105" s="25" t="str">
        <f>IF($N105="","",INDEX('_calc'!$C$2:$C$3001,$N105))</f>
        <v/>
      </c>
      <c r="E105" s="25" t="str">
        <f>IF($N105="","",INDEX('_calc'!$D$2:$D$3001,$N105))</f>
        <v/>
      </c>
      <c r="F105" s="26" t="str">
        <f>IF($N105="","",IF($E$8=0,"",E105/$E$8))</f>
        <v/>
      </c>
      <c r="G105" s="25" t="str">
        <f>IF($N105="","",INDEX('_calc'!$E$2:$E$3001,$N105))</f>
        <v/>
      </c>
      <c r="H105" s="25" t="str">
        <f>IF($N105="","",INDEX('_calc'!$F$2:$F$3001,$N105))</f>
        <v/>
      </c>
      <c r="I105" s="27" t="str">
        <f>IF($N105="","",INDEX('_calc'!$H$2:$H$3001,$N105))</f>
        <v/>
      </c>
      <c r="J105" s="27" t="str">
        <f>IF($N105="","",INDEX('_calc'!$I$2:$I$3001,$N105))</f>
        <v/>
      </c>
      <c r="K105" s="28" t="str">
        <f>IF($N105="","",IF(OR(I105="",J105=""),"",J105-I105))</f>
        <v/>
      </c>
      <c r="L105" s="29" t="str">
        <f>IF($N105="","",INDEX('_calc'!$J$2:$J$3001,$N105))</f>
        <v/>
      </c>
      <c r="M105" s="2" t="str">
        <f>IF($N105="","",IF(AND(G105=0,H105=0),"수량 없음",IF(G105=0,"신규 (전년 수량 없음)",IF(H105=0,"당해 수량 없음",""))))</f>
        <v/>
      </c>
      <c r="N105" t="str">
        <f>IF($B105="","",MATCH($B105,'_calc'!$L$2:$L$3001,0))</f>
        <v/>
      </c>
    </row>
    <row r="106">
      <c r="B106" s="24" t="str">
        <f>IF(ROW()-ROW($B$8)&gt;nComp,"",ROW()-ROW($B$8))</f>
        <v/>
      </c>
      <c r="C106" t="str">
        <f>IF($N106="","",INDEX('_calc'!$A$2:$A$3001,$N106))</f>
        <v/>
      </c>
      <c r="D106" s="25" t="str">
        <f>IF($N106="","",INDEX('_calc'!$C$2:$C$3001,$N106))</f>
        <v/>
      </c>
      <c r="E106" s="25" t="str">
        <f>IF($N106="","",INDEX('_calc'!$D$2:$D$3001,$N106))</f>
        <v/>
      </c>
      <c r="F106" s="26" t="str">
        <f>IF($N106="","",IF($E$8=0,"",E106/$E$8))</f>
        <v/>
      </c>
      <c r="G106" s="25" t="str">
        <f>IF($N106="","",INDEX('_calc'!$E$2:$E$3001,$N106))</f>
        <v/>
      </c>
      <c r="H106" s="25" t="str">
        <f>IF($N106="","",INDEX('_calc'!$F$2:$F$3001,$N106))</f>
        <v/>
      </c>
      <c r="I106" s="27" t="str">
        <f>IF($N106="","",INDEX('_calc'!$H$2:$H$3001,$N106))</f>
        <v/>
      </c>
      <c r="J106" s="27" t="str">
        <f>IF($N106="","",INDEX('_calc'!$I$2:$I$3001,$N106))</f>
        <v/>
      </c>
      <c r="K106" s="28" t="str">
        <f>IF($N106="","",IF(OR(I106="",J106=""),"",J106-I106))</f>
        <v/>
      </c>
      <c r="L106" s="29" t="str">
        <f>IF($N106="","",INDEX('_calc'!$J$2:$J$3001,$N106))</f>
        <v/>
      </c>
      <c r="M106" s="2" t="str">
        <f>IF($N106="","",IF(AND(G106=0,H106=0),"수량 없음",IF(G106=0,"신규 (전년 수량 없음)",IF(H106=0,"당해 수량 없음",""))))</f>
        <v/>
      </c>
      <c r="N106" t="str">
        <f>IF($B106="","",MATCH($B106,'_calc'!$L$2:$L$3001,0))</f>
        <v/>
      </c>
    </row>
    <row r="107">
      <c r="B107" s="24" t="str">
        <f>IF(ROW()-ROW($B$8)&gt;nComp,"",ROW()-ROW($B$8))</f>
        <v/>
      </c>
      <c r="C107" t="str">
        <f>IF($N107="","",INDEX('_calc'!$A$2:$A$3001,$N107))</f>
        <v/>
      </c>
      <c r="D107" s="25" t="str">
        <f>IF($N107="","",INDEX('_calc'!$C$2:$C$3001,$N107))</f>
        <v/>
      </c>
      <c r="E107" s="25" t="str">
        <f>IF($N107="","",INDEX('_calc'!$D$2:$D$3001,$N107))</f>
        <v/>
      </c>
      <c r="F107" s="26" t="str">
        <f>IF($N107="","",IF($E$8=0,"",E107/$E$8))</f>
        <v/>
      </c>
      <c r="G107" s="25" t="str">
        <f>IF($N107="","",INDEX('_calc'!$E$2:$E$3001,$N107))</f>
        <v/>
      </c>
      <c r="H107" s="25" t="str">
        <f>IF($N107="","",INDEX('_calc'!$F$2:$F$3001,$N107))</f>
        <v/>
      </c>
      <c r="I107" s="27" t="str">
        <f>IF($N107="","",INDEX('_calc'!$H$2:$H$3001,$N107))</f>
        <v/>
      </c>
      <c r="J107" s="27" t="str">
        <f>IF($N107="","",INDEX('_calc'!$I$2:$I$3001,$N107))</f>
        <v/>
      </c>
      <c r="K107" s="28" t="str">
        <f>IF($N107="","",IF(OR(I107="",J107=""),"",J107-I107))</f>
        <v/>
      </c>
      <c r="L107" s="29" t="str">
        <f>IF($N107="","",INDEX('_calc'!$J$2:$J$3001,$N107))</f>
        <v/>
      </c>
      <c r="M107" s="2" t="str">
        <f>IF($N107="","",IF(AND(G107=0,H107=0),"수량 없음",IF(G107=0,"신규 (전년 수량 없음)",IF(H107=0,"당해 수량 없음",""))))</f>
        <v/>
      </c>
      <c r="N107" t="str">
        <f>IF($B107="","",MATCH($B107,'_calc'!$L$2:$L$3001,0))</f>
        <v/>
      </c>
    </row>
    <row r="108">
      <c r="B108" s="24" t="str">
        <f>IF(ROW()-ROW($B$8)&gt;nComp,"",ROW()-ROW($B$8))</f>
        <v/>
      </c>
      <c r="C108" t="str">
        <f>IF($N108="","",INDEX('_calc'!$A$2:$A$3001,$N108))</f>
        <v/>
      </c>
      <c r="D108" s="25" t="str">
        <f>IF($N108="","",INDEX('_calc'!$C$2:$C$3001,$N108))</f>
        <v/>
      </c>
      <c r="E108" s="25" t="str">
        <f>IF($N108="","",INDEX('_calc'!$D$2:$D$3001,$N108))</f>
        <v/>
      </c>
      <c r="F108" s="26" t="str">
        <f>IF($N108="","",IF($E$8=0,"",E108/$E$8))</f>
        <v/>
      </c>
      <c r="G108" s="25" t="str">
        <f>IF($N108="","",INDEX('_calc'!$E$2:$E$3001,$N108))</f>
        <v/>
      </c>
      <c r="H108" s="25" t="str">
        <f>IF($N108="","",INDEX('_calc'!$F$2:$F$3001,$N108))</f>
        <v/>
      </c>
      <c r="I108" s="27" t="str">
        <f>IF($N108="","",INDEX('_calc'!$H$2:$H$3001,$N108))</f>
        <v/>
      </c>
      <c r="J108" s="27" t="str">
        <f>IF($N108="","",INDEX('_calc'!$I$2:$I$3001,$N108))</f>
        <v/>
      </c>
      <c r="K108" s="28" t="str">
        <f>IF($N108="","",IF(OR(I108="",J108=""),"",J108-I108))</f>
        <v/>
      </c>
      <c r="L108" s="29" t="str">
        <f>IF($N108="","",INDEX('_calc'!$J$2:$J$3001,$N108))</f>
        <v/>
      </c>
      <c r="M108" s="2" t="str">
        <f>IF($N108="","",IF(AND(G108=0,H108=0),"수량 없음",IF(G108=0,"신규 (전년 수량 없음)",IF(H108=0,"당해 수량 없음",""))))</f>
        <v/>
      </c>
      <c r="N108" t="str">
        <f>IF($B108="","",MATCH($B108,'_calc'!$L$2:$L$3001,0))</f>
        <v/>
      </c>
    </row>
    <row r="109">
      <c r="B109" s="24" t="str">
        <f>IF(ROW()-ROW($B$8)&gt;nComp,"",ROW()-ROW($B$8))</f>
        <v/>
      </c>
      <c r="C109" t="str">
        <f>IF($N109="","",INDEX('_calc'!$A$2:$A$3001,$N109))</f>
        <v/>
      </c>
      <c r="D109" s="25" t="str">
        <f>IF($N109="","",INDEX('_calc'!$C$2:$C$3001,$N109))</f>
        <v/>
      </c>
      <c r="E109" s="25" t="str">
        <f>IF($N109="","",INDEX('_calc'!$D$2:$D$3001,$N109))</f>
        <v/>
      </c>
      <c r="F109" s="26" t="str">
        <f>IF($N109="","",IF($E$8=0,"",E109/$E$8))</f>
        <v/>
      </c>
      <c r="G109" s="25" t="str">
        <f>IF($N109="","",INDEX('_calc'!$E$2:$E$3001,$N109))</f>
        <v/>
      </c>
      <c r="H109" s="25" t="str">
        <f>IF($N109="","",INDEX('_calc'!$F$2:$F$3001,$N109))</f>
        <v/>
      </c>
      <c r="I109" s="27" t="str">
        <f>IF($N109="","",INDEX('_calc'!$H$2:$H$3001,$N109))</f>
        <v/>
      </c>
      <c r="J109" s="27" t="str">
        <f>IF($N109="","",INDEX('_calc'!$I$2:$I$3001,$N109))</f>
        <v/>
      </c>
      <c r="K109" s="28" t="str">
        <f>IF($N109="","",IF(OR(I109="",J109=""),"",J109-I109))</f>
        <v/>
      </c>
      <c r="L109" s="29" t="str">
        <f>IF($N109="","",INDEX('_calc'!$J$2:$J$3001,$N109))</f>
        <v/>
      </c>
      <c r="M109" s="2" t="str">
        <f>IF($N109="","",IF(AND(G109=0,H109=0),"수량 없음",IF(G109=0,"신규 (전년 수량 없음)",IF(H109=0,"당해 수량 없음",""))))</f>
        <v/>
      </c>
      <c r="N109" t="str">
        <f>IF($B109="","",MATCH($B109,'_calc'!$L$2:$L$3001,0))</f>
        <v/>
      </c>
    </row>
    <row r="110">
      <c r="B110" s="24" t="str">
        <f>IF(ROW()-ROW($B$8)&gt;nComp,"",ROW()-ROW($B$8))</f>
        <v/>
      </c>
      <c r="C110" t="str">
        <f>IF($N110="","",INDEX('_calc'!$A$2:$A$3001,$N110))</f>
        <v/>
      </c>
      <c r="D110" s="25" t="str">
        <f>IF($N110="","",INDEX('_calc'!$C$2:$C$3001,$N110))</f>
        <v/>
      </c>
      <c r="E110" s="25" t="str">
        <f>IF($N110="","",INDEX('_calc'!$D$2:$D$3001,$N110))</f>
        <v/>
      </c>
      <c r="F110" s="26" t="str">
        <f>IF($N110="","",IF($E$8=0,"",E110/$E$8))</f>
        <v/>
      </c>
      <c r="G110" s="25" t="str">
        <f>IF($N110="","",INDEX('_calc'!$E$2:$E$3001,$N110))</f>
        <v/>
      </c>
      <c r="H110" s="25" t="str">
        <f>IF($N110="","",INDEX('_calc'!$F$2:$F$3001,$N110))</f>
        <v/>
      </c>
      <c r="I110" s="27" t="str">
        <f>IF($N110="","",INDEX('_calc'!$H$2:$H$3001,$N110))</f>
        <v/>
      </c>
      <c r="J110" s="27" t="str">
        <f>IF($N110="","",INDEX('_calc'!$I$2:$I$3001,$N110))</f>
        <v/>
      </c>
      <c r="K110" s="28" t="str">
        <f>IF($N110="","",IF(OR(I110="",J110=""),"",J110-I110))</f>
        <v/>
      </c>
      <c r="L110" s="29" t="str">
        <f>IF($N110="","",INDEX('_calc'!$J$2:$J$3001,$N110))</f>
        <v/>
      </c>
      <c r="M110" s="2" t="str">
        <f>IF($N110="","",IF(AND(G110=0,H110=0),"수량 없음",IF(G110=0,"신규 (전년 수량 없음)",IF(H110=0,"당해 수량 없음",""))))</f>
        <v/>
      </c>
      <c r="N110" t="str">
        <f>IF($B110="","",MATCH($B110,'_calc'!$L$2:$L$3001,0))</f>
        <v/>
      </c>
    </row>
    <row r="111">
      <c r="B111" s="24" t="str">
        <f>IF(ROW()-ROW($B$8)&gt;nComp,"",ROW()-ROW($B$8))</f>
        <v/>
      </c>
      <c r="C111" t="str">
        <f>IF($N111="","",INDEX('_calc'!$A$2:$A$3001,$N111))</f>
        <v/>
      </c>
      <c r="D111" s="25" t="str">
        <f>IF($N111="","",INDEX('_calc'!$C$2:$C$3001,$N111))</f>
        <v/>
      </c>
      <c r="E111" s="25" t="str">
        <f>IF($N111="","",INDEX('_calc'!$D$2:$D$3001,$N111))</f>
        <v/>
      </c>
      <c r="F111" s="26" t="str">
        <f>IF($N111="","",IF($E$8=0,"",E111/$E$8))</f>
        <v/>
      </c>
      <c r="G111" s="25" t="str">
        <f>IF($N111="","",INDEX('_calc'!$E$2:$E$3001,$N111))</f>
        <v/>
      </c>
      <c r="H111" s="25" t="str">
        <f>IF($N111="","",INDEX('_calc'!$F$2:$F$3001,$N111))</f>
        <v/>
      </c>
      <c r="I111" s="27" t="str">
        <f>IF($N111="","",INDEX('_calc'!$H$2:$H$3001,$N111))</f>
        <v/>
      </c>
      <c r="J111" s="27" t="str">
        <f>IF($N111="","",INDEX('_calc'!$I$2:$I$3001,$N111))</f>
        <v/>
      </c>
      <c r="K111" s="28" t="str">
        <f>IF($N111="","",IF(OR(I111="",J111=""),"",J111-I111))</f>
        <v/>
      </c>
      <c r="L111" s="29" t="str">
        <f>IF($N111="","",INDEX('_calc'!$J$2:$J$3001,$N111))</f>
        <v/>
      </c>
      <c r="M111" s="2" t="str">
        <f>IF($N111="","",IF(AND(G111=0,H111=0),"수량 없음",IF(G111=0,"신규 (전년 수량 없음)",IF(H111=0,"당해 수량 없음",""))))</f>
        <v/>
      </c>
      <c r="N111" t="str">
        <f>IF($B111="","",MATCH($B111,'_calc'!$L$2:$L$3001,0))</f>
        <v/>
      </c>
    </row>
    <row r="112">
      <c r="B112" s="24" t="str">
        <f>IF(ROW()-ROW($B$8)&gt;nComp,"",ROW()-ROW($B$8))</f>
        <v/>
      </c>
      <c r="C112" t="str">
        <f>IF($N112="","",INDEX('_calc'!$A$2:$A$3001,$N112))</f>
        <v/>
      </c>
      <c r="D112" s="25" t="str">
        <f>IF($N112="","",INDEX('_calc'!$C$2:$C$3001,$N112))</f>
        <v/>
      </c>
      <c r="E112" s="25" t="str">
        <f>IF($N112="","",INDEX('_calc'!$D$2:$D$3001,$N112))</f>
        <v/>
      </c>
      <c r="F112" s="26" t="str">
        <f>IF($N112="","",IF($E$8=0,"",E112/$E$8))</f>
        <v/>
      </c>
      <c r="G112" s="25" t="str">
        <f>IF($N112="","",INDEX('_calc'!$E$2:$E$3001,$N112))</f>
        <v/>
      </c>
      <c r="H112" s="25" t="str">
        <f>IF($N112="","",INDEX('_calc'!$F$2:$F$3001,$N112))</f>
        <v/>
      </c>
      <c r="I112" s="27" t="str">
        <f>IF($N112="","",INDEX('_calc'!$H$2:$H$3001,$N112))</f>
        <v/>
      </c>
      <c r="J112" s="27" t="str">
        <f>IF($N112="","",INDEX('_calc'!$I$2:$I$3001,$N112))</f>
        <v/>
      </c>
      <c r="K112" s="28" t="str">
        <f>IF($N112="","",IF(OR(I112="",J112=""),"",J112-I112))</f>
        <v/>
      </c>
      <c r="L112" s="29" t="str">
        <f>IF($N112="","",INDEX('_calc'!$J$2:$J$3001,$N112))</f>
        <v/>
      </c>
      <c r="M112" s="2" t="str">
        <f>IF($N112="","",IF(AND(G112=0,H112=0),"수량 없음",IF(G112=0,"신규 (전년 수량 없음)",IF(H112=0,"당해 수량 없음",""))))</f>
        <v/>
      </c>
      <c r="N112" t="str">
        <f>IF($B112="","",MATCH($B112,'_calc'!$L$2:$L$3001,0))</f>
        <v/>
      </c>
    </row>
    <row r="113">
      <c r="B113" s="24" t="str">
        <f>IF(ROW()-ROW($B$8)&gt;nComp,"",ROW()-ROW($B$8))</f>
        <v/>
      </c>
      <c r="C113" t="str">
        <f>IF($N113="","",INDEX('_calc'!$A$2:$A$3001,$N113))</f>
        <v/>
      </c>
      <c r="D113" s="25" t="str">
        <f>IF($N113="","",INDEX('_calc'!$C$2:$C$3001,$N113))</f>
        <v/>
      </c>
      <c r="E113" s="25" t="str">
        <f>IF($N113="","",INDEX('_calc'!$D$2:$D$3001,$N113))</f>
        <v/>
      </c>
      <c r="F113" s="26" t="str">
        <f>IF($N113="","",IF($E$8=0,"",E113/$E$8))</f>
        <v/>
      </c>
      <c r="G113" s="25" t="str">
        <f>IF($N113="","",INDEX('_calc'!$E$2:$E$3001,$N113))</f>
        <v/>
      </c>
      <c r="H113" s="25" t="str">
        <f>IF($N113="","",INDEX('_calc'!$F$2:$F$3001,$N113))</f>
        <v/>
      </c>
      <c r="I113" s="27" t="str">
        <f>IF($N113="","",INDEX('_calc'!$H$2:$H$3001,$N113))</f>
        <v/>
      </c>
      <c r="J113" s="27" t="str">
        <f>IF($N113="","",INDEX('_calc'!$I$2:$I$3001,$N113))</f>
        <v/>
      </c>
      <c r="K113" s="28" t="str">
        <f>IF($N113="","",IF(OR(I113="",J113=""),"",J113-I113))</f>
        <v/>
      </c>
      <c r="L113" s="29" t="str">
        <f>IF($N113="","",INDEX('_calc'!$J$2:$J$3001,$N113))</f>
        <v/>
      </c>
      <c r="M113" s="2" t="str">
        <f>IF($N113="","",IF(AND(G113=0,H113=0),"수량 없음",IF(G113=0,"신규 (전년 수량 없음)",IF(H113=0,"당해 수량 없음",""))))</f>
        <v/>
      </c>
      <c r="N113" t="str">
        <f>IF($B113="","",MATCH($B113,'_calc'!$L$2:$L$3001,0))</f>
        <v/>
      </c>
    </row>
    <row r="114">
      <c r="B114" s="24" t="str">
        <f>IF(ROW()-ROW($B$8)&gt;nComp,"",ROW()-ROW($B$8))</f>
        <v/>
      </c>
      <c r="C114" t="str">
        <f>IF($N114="","",INDEX('_calc'!$A$2:$A$3001,$N114))</f>
        <v/>
      </c>
      <c r="D114" s="25" t="str">
        <f>IF($N114="","",INDEX('_calc'!$C$2:$C$3001,$N114))</f>
        <v/>
      </c>
      <c r="E114" s="25" t="str">
        <f>IF($N114="","",INDEX('_calc'!$D$2:$D$3001,$N114))</f>
        <v/>
      </c>
      <c r="F114" s="26" t="str">
        <f>IF($N114="","",IF($E$8=0,"",E114/$E$8))</f>
        <v/>
      </c>
      <c r="G114" s="25" t="str">
        <f>IF($N114="","",INDEX('_calc'!$E$2:$E$3001,$N114))</f>
        <v/>
      </c>
      <c r="H114" s="25" t="str">
        <f>IF($N114="","",INDEX('_calc'!$F$2:$F$3001,$N114))</f>
        <v/>
      </c>
      <c r="I114" s="27" t="str">
        <f>IF($N114="","",INDEX('_calc'!$H$2:$H$3001,$N114))</f>
        <v/>
      </c>
      <c r="J114" s="27" t="str">
        <f>IF($N114="","",INDEX('_calc'!$I$2:$I$3001,$N114))</f>
        <v/>
      </c>
      <c r="K114" s="28" t="str">
        <f>IF($N114="","",IF(OR(I114="",J114=""),"",J114-I114))</f>
        <v/>
      </c>
      <c r="L114" s="29" t="str">
        <f>IF($N114="","",INDEX('_calc'!$J$2:$J$3001,$N114))</f>
        <v/>
      </c>
      <c r="M114" s="2" t="str">
        <f>IF($N114="","",IF(AND(G114=0,H114=0),"수량 없음",IF(G114=0,"신규 (전년 수량 없음)",IF(H114=0,"당해 수량 없음",""))))</f>
        <v/>
      </c>
      <c r="N114" t="str">
        <f>IF($B114="","",MATCH($B114,'_calc'!$L$2:$L$3001,0))</f>
        <v/>
      </c>
    </row>
    <row r="115">
      <c r="B115" s="24" t="str">
        <f>IF(ROW()-ROW($B$8)&gt;nComp,"",ROW()-ROW($B$8))</f>
        <v/>
      </c>
      <c r="C115" t="str">
        <f>IF($N115="","",INDEX('_calc'!$A$2:$A$3001,$N115))</f>
        <v/>
      </c>
      <c r="D115" s="25" t="str">
        <f>IF($N115="","",INDEX('_calc'!$C$2:$C$3001,$N115))</f>
        <v/>
      </c>
      <c r="E115" s="25" t="str">
        <f>IF($N115="","",INDEX('_calc'!$D$2:$D$3001,$N115))</f>
        <v/>
      </c>
      <c r="F115" s="26" t="str">
        <f>IF($N115="","",IF($E$8=0,"",E115/$E$8))</f>
        <v/>
      </c>
      <c r="G115" s="25" t="str">
        <f>IF($N115="","",INDEX('_calc'!$E$2:$E$3001,$N115))</f>
        <v/>
      </c>
      <c r="H115" s="25" t="str">
        <f>IF($N115="","",INDEX('_calc'!$F$2:$F$3001,$N115))</f>
        <v/>
      </c>
      <c r="I115" s="27" t="str">
        <f>IF($N115="","",INDEX('_calc'!$H$2:$H$3001,$N115))</f>
        <v/>
      </c>
      <c r="J115" s="27" t="str">
        <f>IF($N115="","",INDEX('_calc'!$I$2:$I$3001,$N115))</f>
        <v/>
      </c>
      <c r="K115" s="28" t="str">
        <f>IF($N115="","",IF(OR(I115="",J115=""),"",J115-I115))</f>
        <v/>
      </c>
      <c r="L115" s="29" t="str">
        <f>IF($N115="","",INDEX('_calc'!$J$2:$J$3001,$N115))</f>
        <v/>
      </c>
      <c r="M115" s="2" t="str">
        <f>IF($N115="","",IF(AND(G115=0,H115=0),"수량 없음",IF(G115=0,"신규 (전년 수량 없음)",IF(H115=0,"당해 수량 없음",""))))</f>
        <v/>
      </c>
      <c r="N115" t="str">
        <f>IF($B115="","",MATCH($B115,'_calc'!$L$2:$L$3001,0))</f>
        <v/>
      </c>
    </row>
    <row r="116">
      <c r="B116" s="24" t="str">
        <f>IF(ROW()-ROW($B$8)&gt;nComp,"",ROW()-ROW($B$8))</f>
        <v/>
      </c>
      <c r="C116" t="str">
        <f>IF($N116="","",INDEX('_calc'!$A$2:$A$3001,$N116))</f>
        <v/>
      </c>
      <c r="D116" s="25" t="str">
        <f>IF($N116="","",INDEX('_calc'!$C$2:$C$3001,$N116))</f>
        <v/>
      </c>
      <c r="E116" s="25" t="str">
        <f>IF($N116="","",INDEX('_calc'!$D$2:$D$3001,$N116))</f>
        <v/>
      </c>
      <c r="F116" s="26" t="str">
        <f>IF($N116="","",IF($E$8=0,"",E116/$E$8))</f>
        <v/>
      </c>
      <c r="G116" s="25" t="str">
        <f>IF($N116="","",INDEX('_calc'!$E$2:$E$3001,$N116))</f>
        <v/>
      </c>
      <c r="H116" s="25" t="str">
        <f>IF($N116="","",INDEX('_calc'!$F$2:$F$3001,$N116))</f>
        <v/>
      </c>
      <c r="I116" s="27" t="str">
        <f>IF($N116="","",INDEX('_calc'!$H$2:$H$3001,$N116))</f>
        <v/>
      </c>
      <c r="J116" s="27" t="str">
        <f>IF($N116="","",INDEX('_calc'!$I$2:$I$3001,$N116))</f>
        <v/>
      </c>
      <c r="K116" s="28" t="str">
        <f>IF($N116="","",IF(OR(I116="",J116=""),"",J116-I116))</f>
        <v/>
      </c>
      <c r="L116" s="29" t="str">
        <f>IF($N116="","",INDEX('_calc'!$J$2:$J$3001,$N116))</f>
        <v/>
      </c>
      <c r="M116" s="2" t="str">
        <f>IF($N116="","",IF(AND(G116=0,H116=0),"수량 없음",IF(G116=0,"신규 (전년 수량 없음)",IF(H116=0,"당해 수량 없음",""))))</f>
        <v/>
      </c>
      <c r="N116" t="str">
        <f>IF($B116="","",MATCH($B116,'_calc'!$L$2:$L$3001,0))</f>
        <v/>
      </c>
    </row>
    <row r="117">
      <c r="B117" s="24" t="str">
        <f>IF(ROW()-ROW($B$8)&gt;nComp,"",ROW()-ROW($B$8))</f>
        <v/>
      </c>
      <c r="C117" t="str">
        <f>IF($N117="","",INDEX('_calc'!$A$2:$A$3001,$N117))</f>
        <v/>
      </c>
      <c r="D117" s="25" t="str">
        <f>IF($N117="","",INDEX('_calc'!$C$2:$C$3001,$N117))</f>
        <v/>
      </c>
      <c r="E117" s="25" t="str">
        <f>IF($N117="","",INDEX('_calc'!$D$2:$D$3001,$N117))</f>
        <v/>
      </c>
      <c r="F117" s="26" t="str">
        <f>IF($N117="","",IF($E$8=0,"",E117/$E$8))</f>
        <v/>
      </c>
      <c r="G117" s="25" t="str">
        <f>IF($N117="","",INDEX('_calc'!$E$2:$E$3001,$N117))</f>
        <v/>
      </c>
      <c r="H117" s="25" t="str">
        <f>IF($N117="","",INDEX('_calc'!$F$2:$F$3001,$N117))</f>
        <v/>
      </c>
      <c r="I117" s="27" t="str">
        <f>IF($N117="","",INDEX('_calc'!$H$2:$H$3001,$N117))</f>
        <v/>
      </c>
      <c r="J117" s="27" t="str">
        <f>IF($N117="","",INDEX('_calc'!$I$2:$I$3001,$N117))</f>
        <v/>
      </c>
      <c r="K117" s="28" t="str">
        <f>IF($N117="","",IF(OR(I117="",J117=""),"",J117-I117))</f>
        <v/>
      </c>
      <c r="L117" s="29" t="str">
        <f>IF($N117="","",INDEX('_calc'!$J$2:$J$3001,$N117))</f>
        <v/>
      </c>
      <c r="M117" s="2" t="str">
        <f>IF($N117="","",IF(AND(G117=0,H117=0),"수량 없음",IF(G117=0,"신규 (전년 수량 없음)",IF(H117=0,"당해 수량 없음",""))))</f>
        <v/>
      </c>
      <c r="N117" t="str">
        <f>IF($B117="","",MATCH($B117,'_calc'!$L$2:$L$3001,0))</f>
        <v/>
      </c>
    </row>
    <row r="118">
      <c r="B118" s="24" t="str">
        <f>IF(ROW()-ROW($B$8)&gt;nComp,"",ROW()-ROW($B$8))</f>
        <v/>
      </c>
      <c r="C118" t="str">
        <f>IF($N118="","",INDEX('_calc'!$A$2:$A$3001,$N118))</f>
        <v/>
      </c>
      <c r="D118" s="25" t="str">
        <f>IF($N118="","",INDEX('_calc'!$C$2:$C$3001,$N118))</f>
        <v/>
      </c>
      <c r="E118" s="25" t="str">
        <f>IF($N118="","",INDEX('_calc'!$D$2:$D$3001,$N118))</f>
        <v/>
      </c>
      <c r="F118" s="26" t="str">
        <f>IF($N118="","",IF($E$8=0,"",E118/$E$8))</f>
        <v/>
      </c>
      <c r="G118" s="25" t="str">
        <f>IF($N118="","",INDEX('_calc'!$E$2:$E$3001,$N118))</f>
        <v/>
      </c>
      <c r="H118" s="25" t="str">
        <f>IF($N118="","",INDEX('_calc'!$F$2:$F$3001,$N118))</f>
        <v/>
      </c>
      <c r="I118" s="27" t="str">
        <f>IF($N118="","",INDEX('_calc'!$H$2:$H$3001,$N118))</f>
        <v/>
      </c>
      <c r="J118" s="27" t="str">
        <f>IF($N118="","",INDEX('_calc'!$I$2:$I$3001,$N118))</f>
        <v/>
      </c>
      <c r="K118" s="28" t="str">
        <f>IF($N118="","",IF(OR(I118="",J118=""),"",J118-I118))</f>
        <v/>
      </c>
      <c r="L118" s="29" t="str">
        <f>IF($N118="","",INDEX('_calc'!$J$2:$J$3001,$N118))</f>
        <v/>
      </c>
      <c r="M118" s="2" t="str">
        <f>IF($N118="","",IF(AND(G118=0,H118=0),"수량 없음",IF(G118=0,"신규 (전년 수량 없음)",IF(H118=0,"당해 수량 없음",""))))</f>
        <v/>
      </c>
      <c r="N118" t="str">
        <f>IF($B118="","",MATCH($B118,'_calc'!$L$2:$L$3001,0))</f>
        <v/>
      </c>
    </row>
    <row r="119">
      <c r="B119" s="24" t="str">
        <f>IF(ROW()-ROW($B$8)&gt;nComp,"",ROW()-ROW($B$8))</f>
        <v/>
      </c>
      <c r="C119" t="str">
        <f>IF($N119="","",INDEX('_calc'!$A$2:$A$3001,$N119))</f>
        <v/>
      </c>
      <c r="D119" s="25" t="str">
        <f>IF($N119="","",INDEX('_calc'!$C$2:$C$3001,$N119))</f>
        <v/>
      </c>
      <c r="E119" s="25" t="str">
        <f>IF($N119="","",INDEX('_calc'!$D$2:$D$3001,$N119))</f>
        <v/>
      </c>
      <c r="F119" s="26" t="str">
        <f>IF($N119="","",IF($E$8=0,"",E119/$E$8))</f>
        <v/>
      </c>
      <c r="G119" s="25" t="str">
        <f>IF($N119="","",INDEX('_calc'!$E$2:$E$3001,$N119))</f>
        <v/>
      </c>
      <c r="H119" s="25" t="str">
        <f>IF($N119="","",INDEX('_calc'!$F$2:$F$3001,$N119))</f>
        <v/>
      </c>
      <c r="I119" s="27" t="str">
        <f>IF($N119="","",INDEX('_calc'!$H$2:$H$3001,$N119))</f>
        <v/>
      </c>
      <c r="J119" s="27" t="str">
        <f>IF($N119="","",INDEX('_calc'!$I$2:$I$3001,$N119))</f>
        <v/>
      </c>
      <c r="K119" s="28" t="str">
        <f>IF($N119="","",IF(OR(I119="",J119=""),"",J119-I119))</f>
        <v/>
      </c>
      <c r="L119" s="29" t="str">
        <f>IF($N119="","",INDEX('_calc'!$J$2:$J$3001,$N119))</f>
        <v/>
      </c>
      <c r="M119" s="2" t="str">
        <f>IF($N119="","",IF(AND(G119=0,H119=0),"수량 없음",IF(G119=0,"신규 (전년 수량 없음)",IF(H119=0,"당해 수량 없음",""))))</f>
        <v/>
      </c>
      <c r="N119" t="str">
        <f>IF($B119="","",MATCH($B119,'_calc'!$L$2:$L$3001,0))</f>
        <v/>
      </c>
    </row>
    <row r="120">
      <c r="B120" s="24" t="str">
        <f>IF(ROW()-ROW($B$8)&gt;nComp,"",ROW()-ROW($B$8))</f>
        <v/>
      </c>
      <c r="C120" t="str">
        <f>IF($N120="","",INDEX('_calc'!$A$2:$A$3001,$N120))</f>
        <v/>
      </c>
      <c r="D120" s="25" t="str">
        <f>IF($N120="","",INDEX('_calc'!$C$2:$C$3001,$N120))</f>
        <v/>
      </c>
      <c r="E120" s="25" t="str">
        <f>IF($N120="","",INDEX('_calc'!$D$2:$D$3001,$N120))</f>
        <v/>
      </c>
      <c r="F120" s="26" t="str">
        <f>IF($N120="","",IF($E$8=0,"",E120/$E$8))</f>
        <v/>
      </c>
      <c r="G120" s="25" t="str">
        <f>IF($N120="","",INDEX('_calc'!$E$2:$E$3001,$N120))</f>
        <v/>
      </c>
      <c r="H120" s="25" t="str">
        <f>IF($N120="","",INDEX('_calc'!$F$2:$F$3001,$N120))</f>
        <v/>
      </c>
      <c r="I120" s="27" t="str">
        <f>IF($N120="","",INDEX('_calc'!$H$2:$H$3001,$N120))</f>
        <v/>
      </c>
      <c r="J120" s="27" t="str">
        <f>IF($N120="","",INDEX('_calc'!$I$2:$I$3001,$N120))</f>
        <v/>
      </c>
      <c r="K120" s="28" t="str">
        <f>IF($N120="","",IF(OR(I120="",J120=""),"",J120-I120))</f>
        <v/>
      </c>
      <c r="L120" s="29" t="str">
        <f>IF($N120="","",INDEX('_calc'!$J$2:$J$3001,$N120))</f>
        <v/>
      </c>
      <c r="M120" s="2" t="str">
        <f>IF($N120="","",IF(AND(G120=0,H120=0),"수량 없음",IF(G120=0,"신규 (전년 수량 없음)",IF(H120=0,"당해 수량 없음",""))))</f>
        <v/>
      </c>
      <c r="N120" t="str">
        <f>IF($B120="","",MATCH($B120,'_calc'!$L$2:$L$3001,0))</f>
        <v/>
      </c>
    </row>
    <row r="121">
      <c r="B121" s="24" t="str">
        <f>IF(ROW()-ROW($B$8)&gt;nComp,"",ROW()-ROW($B$8))</f>
        <v/>
      </c>
      <c r="C121" t="str">
        <f>IF($N121="","",INDEX('_calc'!$A$2:$A$3001,$N121))</f>
        <v/>
      </c>
      <c r="D121" s="25" t="str">
        <f>IF($N121="","",INDEX('_calc'!$C$2:$C$3001,$N121))</f>
        <v/>
      </c>
      <c r="E121" s="25" t="str">
        <f>IF($N121="","",INDEX('_calc'!$D$2:$D$3001,$N121))</f>
        <v/>
      </c>
      <c r="F121" s="26" t="str">
        <f>IF($N121="","",IF($E$8=0,"",E121/$E$8))</f>
        <v/>
      </c>
      <c r="G121" s="25" t="str">
        <f>IF($N121="","",INDEX('_calc'!$E$2:$E$3001,$N121))</f>
        <v/>
      </c>
      <c r="H121" s="25" t="str">
        <f>IF($N121="","",INDEX('_calc'!$F$2:$F$3001,$N121))</f>
        <v/>
      </c>
      <c r="I121" s="27" t="str">
        <f>IF($N121="","",INDEX('_calc'!$H$2:$H$3001,$N121))</f>
        <v/>
      </c>
      <c r="J121" s="27" t="str">
        <f>IF($N121="","",INDEX('_calc'!$I$2:$I$3001,$N121))</f>
        <v/>
      </c>
      <c r="K121" s="28" t="str">
        <f>IF($N121="","",IF(OR(I121="",J121=""),"",J121-I121))</f>
        <v/>
      </c>
      <c r="L121" s="29" t="str">
        <f>IF($N121="","",INDEX('_calc'!$J$2:$J$3001,$N121))</f>
        <v/>
      </c>
      <c r="M121" s="2" t="str">
        <f>IF($N121="","",IF(AND(G121=0,H121=0),"수량 없음",IF(G121=0,"신규 (전년 수량 없음)",IF(H121=0,"당해 수량 없음",""))))</f>
        <v/>
      </c>
      <c r="N121" t="str">
        <f>IF($B121="","",MATCH($B121,'_calc'!$L$2:$L$3001,0))</f>
        <v/>
      </c>
    </row>
    <row r="122">
      <c r="B122" s="24" t="str">
        <f>IF(ROW()-ROW($B$8)&gt;nComp,"",ROW()-ROW($B$8))</f>
        <v/>
      </c>
      <c r="C122" t="str">
        <f>IF($N122="","",INDEX('_calc'!$A$2:$A$3001,$N122))</f>
        <v/>
      </c>
      <c r="D122" s="25" t="str">
        <f>IF($N122="","",INDEX('_calc'!$C$2:$C$3001,$N122))</f>
        <v/>
      </c>
      <c r="E122" s="25" t="str">
        <f>IF($N122="","",INDEX('_calc'!$D$2:$D$3001,$N122))</f>
        <v/>
      </c>
      <c r="F122" s="26" t="str">
        <f>IF($N122="","",IF($E$8=0,"",E122/$E$8))</f>
        <v/>
      </c>
      <c r="G122" s="25" t="str">
        <f>IF($N122="","",INDEX('_calc'!$E$2:$E$3001,$N122))</f>
        <v/>
      </c>
      <c r="H122" s="25" t="str">
        <f>IF($N122="","",INDEX('_calc'!$F$2:$F$3001,$N122))</f>
        <v/>
      </c>
      <c r="I122" s="27" t="str">
        <f>IF($N122="","",INDEX('_calc'!$H$2:$H$3001,$N122))</f>
        <v/>
      </c>
      <c r="J122" s="27" t="str">
        <f>IF($N122="","",INDEX('_calc'!$I$2:$I$3001,$N122))</f>
        <v/>
      </c>
      <c r="K122" s="28" t="str">
        <f>IF($N122="","",IF(OR(I122="",J122=""),"",J122-I122))</f>
        <v/>
      </c>
      <c r="L122" s="29" t="str">
        <f>IF($N122="","",INDEX('_calc'!$J$2:$J$3001,$N122))</f>
        <v/>
      </c>
      <c r="M122" s="2" t="str">
        <f>IF($N122="","",IF(AND(G122=0,H122=0),"수량 없음",IF(G122=0,"신규 (전년 수량 없음)",IF(H122=0,"당해 수량 없음",""))))</f>
        <v/>
      </c>
      <c r="N122" t="str">
        <f>IF($B122="","",MATCH($B122,'_calc'!$L$2:$L$3001,0))</f>
        <v/>
      </c>
    </row>
    <row r="123">
      <c r="B123" s="24" t="str">
        <f>IF(ROW()-ROW($B$8)&gt;nComp,"",ROW()-ROW($B$8))</f>
        <v/>
      </c>
      <c r="C123" t="str">
        <f>IF($N123="","",INDEX('_calc'!$A$2:$A$3001,$N123))</f>
        <v/>
      </c>
      <c r="D123" s="25" t="str">
        <f>IF($N123="","",INDEX('_calc'!$C$2:$C$3001,$N123))</f>
        <v/>
      </c>
      <c r="E123" s="25" t="str">
        <f>IF($N123="","",INDEX('_calc'!$D$2:$D$3001,$N123))</f>
        <v/>
      </c>
      <c r="F123" s="26" t="str">
        <f>IF($N123="","",IF($E$8=0,"",E123/$E$8))</f>
        <v/>
      </c>
      <c r="G123" s="25" t="str">
        <f>IF($N123="","",INDEX('_calc'!$E$2:$E$3001,$N123))</f>
        <v/>
      </c>
      <c r="H123" s="25" t="str">
        <f>IF($N123="","",INDEX('_calc'!$F$2:$F$3001,$N123))</f>
        <v/>
      </c>
      <c r="I123" s="27" t="str">
        <f>IF($N123="","",INDEX('_calc'!$H$2:$H$3001,$N123))</f>
        <v/>
      </c>
      <c r="J123" s="27" t="str">
        <f>IF($N123="","",INDEX('_calc'!$I$2:$I$3001,$N123))</f>
        <v/>
      </c>
      <c r="K123" s="28" t="str">
        <f>IF($N123="","",IF(OR(I123="",J123=""),"",J123-I123))</f>
        <v/>
      </c>
      <c r="L123" s="29" t="str">
        <f>IF($N123="","",INDEX('_calc'!$J$2:$J$3001,$N123))</f>
        <v/>
      </c>
      <c r="M123" s="2" t="str">
        <f>IF($N123="","",IF(AND(G123=0,H123=0),"수량 없음",IF(G123=0,"신규 (전년 수량 없음)",IF(H123=0,"당해 수량 없음",""))))</f>
        <v/>
      </c>
      <c r="N123" t="str">
        <f>IF($B123="","",MATCH($B123,'_calc'!$L$2:$L$3001,0))</f>
        <v/>
      </c>
    </row>
    <row r="124">
      <c r="B124" s="24" t="str">
        <f>IF(ROW()-ROW($B$8)&gt;nComp,"",ROW()-ROW($B$8))</f>
        <v/>
      </c>
      <c r="C124" t="str">
        <f>IF($N124="","",INDEX('_calc'!$A$2:$A$3001,$N124))</f>
        <v/>
      </c>
      <c r="D124" s="25" t="str">
        <f>IF($N124="","",INDEX('_calc'!$C$2:$C$3001,$N124))</f>
        <v/>
      </c>
      <c r="E124" s="25" t="str">
        <f>IF($N124="","",INDEX('_calc'!$D$2:$D$3001,$N124))</f>
        <v/>
      </c>
      <c r="F124" s="26" t="str">
        <f>IF($N124="","",IF($E$8=0,"",E124/$E$8))</f>
        <v/>
      </c>
      <c r="G124" s="25" t="str">
        <f>IF($N124="","",INDEX('_calc'!$E$2:$E$3001,$N124))</f>
        <v/>
      </c>
      <c r="H124" s="25" t="str">
        <f>IF($N124="","",INDEX('_calc'!$F$2:$F$3001,$N124))</f>
        <v/>
      </c>
      <c r="I124" s="27" t="str">
        <f>IF($N124="","",INDEX('_calc'!$H$2:$H$3001,$N124))</f>
        <v/>
      </c>
      <c r="J124" s="27" t="str">
        <f>IF($N124="","",INDEX('_calc'!$I$2:$I$3001,$N124))</f>
        <v/>
      </c>
      <c r="K124" s="28" t="str">
        <f>IF($N124="","",IF(OR(I124="",J124=""),"",J124-I124))</f>
        <v/>
      </c>
      <c r="L124" s="29" t="str">
        <f>IF($N124="","",INDEX('_calc'!$J$2:$J$3001,$N124))</f>
        <v/>
      </c>
      <c r="M124" s="2" t="str">
        <f>IF($N124="","",IF(AND(G124=0,H124=0),"수량 없음",IF(G124=0,"신규 (전년 수량 없음)",IF(H124=0,"당해 수량 없음",""))))</f>
        <v/>
      </c>
      <c r="N124" t="str">
        <f>IF($B124="","",MATCH($B124,'_calc'!$L$2:$L$3001,0))</f>
        <v/>
      </c>
    </row>
    <row r="125">
      <c r="B125" s="24" t="str">
        <f>IF(ROW()-ROW($B$8)&gt;nComp,"",ROW()-ROW($B$8))</f>
        <v/>
      </c>
      <c r="C125" t="str">
        <f>IF($N125="","",INDEX('_calc'!$A$2:$A$3001,$N125))</f>
        <v/>
      </c>
      <c r="D125" s="25" t="str">
        <f>IF($N125="","",INDEX('_calc'!$C$2:$C$3001,$N125))</f>
        <v/>
      </c>
      <c r="E125" s="25" t="str">
        <f>IF($N125="","",INDEX('_calc'!$D$2:$D$3001,$N125))</f>
        <v/>
      </c>
      <c r="F125" s="26" t="str">
        <f>IF($N125="","",IF($E$8=0,"",E125/$E$8))</f>
        <v/>
      </c>
      <c r="G125" s="25" t="str">
        <f>IF($N125="","",INDEX('_calc'!$E$2:$E$3001,$N125))</f>
        <v/>
      </c>
      <c r="H125" s="25" t="str">
        <f>IF($N125="","",INDEX('_calc'!$F$2:$F$3001,$N125))</f>
        <v/>
      </c>
      <c r="I125" s="27" t="str">
        <f>IF($N125="","",INDEX('_calc'!$H$2:$H$3001,$N125))</f>
        <v/>
      </c>
      <c r="J125" s="27" t="str">
        <f>IF($N125="","",INDEX('_calc'!$I$2:$I$3001,$N125))</f>
        <v/>
      </c>
      <c r="K125" s="28" t="str">
        <f>IF($N125="","",IF(OR(I125="",J125=""),"",J125-I125))</f>
        <v/>
      </c>
      <c r="L125" s="29" t="str">
        <f>IF($N125="","",INDEX('_calc'!$J$2:$J$3001,$N125))</f>
        <v/>
      </c>
      <c r="M125" s="2" t="str">
        <f>IF($N125="","",IF(AND(G125=0,H125=0),"수량 없음",IF(G125=0,"신규 (전년 수량 없음)",IF(H125=0,"당해 수량 없음",""))))</f>
        <v/>
      </c>
      <c r="N125" t="str">
        <f>IF($B125="","",MATCH($B125,'_calc'!$L$2:$L$3001,0))</f>
        <v/>
      </c>
    </row>
    <row r="126">
      <c r="B126" s="24" t="str">
        <f>IF(ROW()-ROW($B$8)&gt;nComp,"",ROW()-ROW($B$8))</f>
        <v/>
      </c>
      <c r="C126" t="str">
        <f>IF($N126="","",INDEX('_calc'!$A$2:$A$3001,$N126))</f>
        <v/>
      </c>
      <c r="D126" s="25" t="str">
        <f>IF($N126="","",INDEX('_calc'!$C$2:$C$3001,$N126))</f>
        <v/>
      </c>
      <c r="E126" s="25" t="str">
        <f>IF($N126="","",INDEX('_calc'!$D$2:$D$3001,$N126))</f>
        <v/>
      </c>
      <c r="F126" s="26" t="str">
        <f>IF($N126="","",IF($E$8=0,"",E126/$E$8))</f>
        <v/>
      </c>
      <c r="G126" s="25" t="str">
        <f>IF($N126="","",INDEX('_calc'!$E$2:$E$3001,$N126))</f>
        <v/>
      </c>
      <c r="H126" s="25" t="str">
        <f>IF($N126="","",INDEX('_calc'!$F$2:$F$3001,$N126))</f>
        <v/>
      </c>
      <c r="I126" s="27" t="str">
        <f>IF($N126="","",INDEX('_calc'!$H$2:$H$3001,$N126))</f>
        <v/>
      </c>
      <c r="J126" s="27" t="str">
        <f>IF($N126="","",INDEX('_calc'!$I$2:$I$3001,$N126))</f>
        <v/>
      </c>
      <c r="K126" s="28" t="str">
        <f>IF($N126="","",IF(OR(I126="",J126=""),"",J126-I126))</f>
        <v/>
      </c>
      <c r="L126" s="29" t="str">
        <f>IF($N126="","",INDEX('_calc'!$J$2:$J$3001,$N126))</f>
        <v/>
      </c>
      <c r="M126" s="2" t="str">
        <f>IF($N126="","",IF(AND(G126=0,H126=0),"수량 없음",IF(G126=0,"신규 (전년 수량 없음)",IF(H126=0,"당해 수량 없음",""))))</f>
        <v/>
      </c>
      <c r="N126" t="str">
        <f>IF($B126="","",MATCH($B126,'_calc'!$L$2:$L$3001,0))</f>
        <v/>
      </c>
    </row>
    <row r="127">
      <c r="B127" s="24" t="str">
        <f>IF(ROW()-ROW($B$8)&gt;nComp,"",ROW()-ROW($B$8))</f>
        <v/>
      </c>
      <c r="C127" t="str">
        <f>IF($N127="","",INDEX('_calc'!$A$2:$A$3001,$N127))</f>
        <v/>
      </c>
      <c r="D127" s="25" t="str">
        <f>IF($N127="","",INDEX('_calc'!$C$2:$C$3001,$N127))</f>
        <v/>
      </c>
      <c r="E127" s="25" t="str">
        <f>IF($N127="","",INDEX('_calc'!$D$2:$D$3001,$N127))</f>
        <v/>
      </c>
      <c r="F127" s="26" t="str">
        <f>IF($N127="","",IF($E$8=0,"",E127/$E$8))</f>
        <v/>
      </c>
      <c r="G127" s="25" t="str">
        <f>IF($N127="","",INDEX('_calc'!$E$2:$E$3001,$N127))</f>
        <v/>
      </c>
      <c r="H127" s="25" t="str">
        <f>IF($N127="","",INDEX('_calc'!$F$2:$F$3001,$N127))</f>
        <v/>
      </c>
      <c r="I127" s="27" t="str">
        <f>IF($N127="","",INDEX('_calc'!$H$2:$H$3001,$N127))</f>
        <v/>
      </c>
      <c r="J127" s="27" t="str">
        <f>IF($N127="","",INDEX('_calc'!$I$2:$I$3001,$N127))</f>
        <v/>
      </c>
      <c r="K127" s="28" t="str">
        <f>IF($N127="","",IF(OR(I127="",J127=""),"",J127-I127))</f>
        <v/>
      </c>
      <c r="L127" s="29" t="str">
        <f>IF($N127="","",INDEX('_calc'!$J$2:$J$3001,$N127))</f>
        <v/>
      </c>
      <c r="M127" s="2" t="str">
        <f>IF($N127="","",IF(AND(G127=0,H127=0),"수량 없음",IF(G127=0,"신규 (전년 수량 없음)",IF(H127=0,"당해 수량 없음",""))))</f>
        <v/>
      </c>
      <c r="N127" t="str">
        <f>IF($B127="","",MATCH($B127,'_calc'!$L$2:$L$3001,0))</f>
        <v/>
      </c>
    </row>
    <row r="128">
      <c r="B128" s="24" t="str">
        <f>IF(ROW()-ROW($B$8)&gt;nComp,"",ROW()-ROW($B$8))</f>
        <v/>
      </c>
      <c r="C128" t="str">
        <f>IF($N128="","",INDEX('_calc'!$A$2:$A$3001,$N128))</f>
        <v/>
      </c>
      <c r="D128" s="25" t="str">
        <f>IF($N128="","",INDEX('_calc'!$C$2:$C$3001,$N128))</f>
        <v/>
      </c>
      <c r="E128" s="25" t="str">
        <f>IF($N128="","",INDEX('_calc'!$D$2:$D$3001,$N128))</f>
        <v/>
      </c>
      <c r="F128" s="26" t="str">
        <f>IF($N128="","",IF($E$8=0,"",E128/$E$8))</f>
        <v/>
      </c>
      <c r="G128" s="25" t="str">
        <f>IF($N128="","",INDEX('_calc'!$E$2:$E$3001,$N128))</f>
        <v/>
      </c>
      <c r="H128" s="25" t="str">
        <f>IF($N128="","",INDEX('_calc'!$F$2:$F$3001,$N128))</f>
        <v/>
      </c>
      <c r="I128" s="27" t="str">
        <f>IF($N128="","",INDEX('_calc'!$H$2:$H$3001,$N128))</f>
        <v/>
      </c>
      <c r="J128" s="27" t="str">
        <f>IF($N128="","",INDEX('_calc'!$I$2:$I$3001,$N128))</f>
        <v/>
      </c>
      <c r="K128" s="28" t="str">
        <f>IF($N128="","",IF(OR(I128="",J128=""),"",J128-I128))</f>
        <v/>
      </c>
      <c r="L128" s="29" t="str">
        <f>IF($N128="","",INDEX('_calc'!$J$2:$J$3001,$N128))</f>
        <v/>
      </c>
      <c r="M128" s="2" t="str">
        <f>IF($N128="","",IF(AND(G128=0,H128=0),"수량 없음",IF(G128=0,"신규 (전년 수량 없음)",IF(H128=0,"당해 수량 없음",""))))</f>
        <v/>
      </c>
      <c r="N128" t="str">
        <f>IF($B128="","",MATCH($B128,'_calc'!$L$2:$L$3001,0))</f>
        <v/>
      </c>
    </row>
    <row r="129">
      <c r="B129" s="24" t="str">
        <f>IF(ROW()-ROW($B$8)&gt;nComp,"",ROW()-ROW($B$8))</f>
        <v/>
      </c>
      <c r="C129" t="str">
        <f>IF($N129="","",INDEX('_calc'!$A$2:$A$3001,$N129))</f>
        <v/>
      </c>
      <c r="D129" s="25" t="str">
        <f>IF($N129="","",INDEX('_calc'!$C$2:$C$3001,$N129))</f>
        <v/>
      </c>
      <c r="E129" s="25" t="str">
        <f>IF($N129="","",INDEX('_calc'!$D$2:$D$3001,$N129))</f>
        <v/>
      </c>
      <c r="F129" s="26" t="str">
        <f>IF($N129="","",IF($E$8=0,"",E129/$E$8))</f>
        <v/>
      </c>
      <c r="G129" s="25" t="str">
        <f>IF($N129="","",INDEX('_calc'!$E$2:$E$3001,$N129))</f>
        <v/>
      </c>
      <c r="H129" s="25" t="str">
        <f>IF($N129="","",INDEX('_calc'!$F$2:$F$3001,$N129))</f>
        <v/>
      </c>
      <c r="I129" s="27" t="str">
        <f>IF($N129="","",INDEX('_calc'!$H$2:$H$3001,$N129))</f>
        <v/>
      </c>
      <c r="J129" s="27" t="str">
        <f>IF($N129="","",INDEX('_calc'!$I$2:$I$3001,$N129))</f>
        <v/>
      </c>
      <c r="K129" s="28" t="str">
        <f>IF($N129="","",IF(OR(I129="",J129=""),"",J129-I129))</f>
        <v/>
      </c>
      <c r="L129" s="29" t="str">
        <f>IF($N129="","",INDEX('_calc'!$J$2:$J$3001,$N129))</f>
        <v/>
      </c>
      <c r="M129" s="2" t="str">
        <f>IF($N129="","",IF(AND(G129=0,H129=0),"수량 없음",IF(G129=0,"신규 (전년 수량 없음)",IF(H129=0,"당해 수량 없음",""))))</f>
        <v/>
      </c>
      <c r="N129" t="str">
        <f>IF($B129="","",MATCH($B129,'_calc'!$L$2:$L$3001,0))</f>
        <v/>
      </c>
    </row>
    <row r="130">
      <c r="B130" s="24" t="str">
        <f>IF(ROW()-ROW($B$8)&gt;nComp,"",ROW()-ROW($B$8))</f>
        <v/>
      </c>
      <c r="C130" t="str">
        <f>IF($N130="","",INDEX('_calc'!$A$2:$A$3001,$N130))</f>
        <v/>
      </c>
      <c r="D130" s="25" t="str">
        <f>IF($N130="","",INDEX('_calc'!$C$2:$C$3001,$N130))</f>
        <v/>
      </c>
      <c r="E130" s="25" t="str">
        <f>IF($N130="","",INDEX('_calc'!$D$2:$D$3001,$N130))</f>
        <v/>
      </c>
      <c r="F130" s="26" t="str">
        <f>IF($N130="","",IF($E$8=0,"",E130/$E$8))</f>
        <v/>
      </c>
      <c r="G130" s="25" t="str">
        <f>IF($N130="","",INDEX('_calc'!$E$2:$E$3001,$N130))</f>
        <v/>
      </c>
      <c r="H130" s="25" t="str">
        <f>IF($N130="","",INDEX('_calc'!$F$2:$F$3001,$N130))</f>
        <v/>
      </c>
      <c r="I130" s="27" t="str">
        <f>IF($N130="","",INDEX('_calc'!$H$2:$H$3001,$N130))</f>
        <v/>
      </c>
      <c r="J130" s="27" t="str">
        <f>IF($N130="","",INDEX('_calc'!$I$2:$I$3001,$N130))</f>
        <v/>
      </c>
      <c r="K130" s="28" t="str">
        <f>IF($N130="","",IF(OR(I130="",J130=""),"",J130-I130))</f>
        <v/>
      </c>
      <c r="L130" s="29" t="str">
        <f>IF($N130="","",INDEX('_calc'!$J$2:$J$3001,$N130))</f>
        <v/>
      </c>
      <c r="M130" s="2" t="str">
        <f>IF($N130="","",IF(AND(G130=0,H130=0),"수량 없음",IF(G130=0,"신규 (전년 수량 없음)",IF(H130=0,"당해 수량 없음",""))))</f>
        <v/>
      </c>
      <c r="N130" t="str">
        <f>IF($B130="","",MATCH($B130,'_calc'!$L$2:$L$3001,0))</f>
        <v/>
      </c>
    </row>
    <row r="131">
      <c r="B131" s="24" t="str">
        <f>IF(ROW()-ROW($B$8)&gt;nComp,"",ROW()-ROW($B$8))</f>
        <v/>
      </c>
      <c r="C131" t="str">
        <f>IF($N131="","",INDEX('_calc'!$A$2:$A$3001,$N131))</f>
        <v/>
      </c>
      <c r="D131" s="25" t="str">
        <f>IF($N131="","",INDEX('_calc'!$C$2:$C$3001,$N131))</f>
        <v/>
      </c>
      <c r="E131" s="25" t="str">
        <f>IF($N131="","",INDEX('_calc'!$D$2:$D$3001,$N131))</f>
        <v/>
      </c>
      <c r="F131" s="26" t="str">
        <f>IF($N131="","",IF($E$8=0,"",E131/$E$8))</f>
        <v/>
      </c>
      <c r="G131" s="25" t="str">
        <f>IF($N131="","",INDEX('_calc'!$E$2:$E$3001,$N131))</f>
        <v/>
      </c>
      <c r="H131" s="25" t="str">
        <f>IF($N131="","",INDEX('_calc'!$F$2:$F$3001,$N131))</f>
        <v/>
      </c>
      <c r="I131" s="27" t="str">
        <f>IF($N131="","",INDEX('_calc'!$H$2:$H$3001,$N131))</f>
        <v/>
      </c>
      <c r="J131" s="27" t="str">
        <f>IF($N131="","",INDEX('_calc'!$I$2:$I$3001,$N131))</f>
        <v/>
      </c>
      <c r="K131" s="28" t="str">
        <f>IF($N131="","",IF(OR(I131="",J131=""),"",J131-I131))</f>
        <v/>
      </c>
      <c r="L131" s="29" t="str">
        <f>IF($N131="","",INDEX('_calc'!$J$2:$J$3001,$N131))</f>
        <v/>
      </c>
      <c r="M131" s="2" t="str">
        <f>IF($N131="","",IF(AND(G131=0,H131=0),"수량 없음",IF(G131=0,"신규 (전년 수량 없음)",IF(H131=0,"당해 수량 없음",""))))</f>
        <v/>
      </c>
      <c r="N131" t="str">
        <f>IF($B131="","",MATCH($B131,'_calc'!$L$2:$L$3001,0))</f>
        <v/>
      </c>
    </row>
    <row r="132">
      <c r="B132" s="24" t="str">
        <f>IF(ROW()-ROW($B$8)&gt;nComp,"",ROW()-ROW($B$8))</f>
        <v/>
      </c>
      <c r="C132" t="str">
        <f>IF($N132="","",INDEX('_calc'!$A$2:$A$3001,$N132))</f>
        <v/>
      </c>
      <c r="D132" s="25" t="str">
        <f>IF($N132="","",INDEX('_calc'!$C$2:$C$3001,$N132))</f>
        <v/>
      </c>
      <c r="E132" s="25" t="str">
        <f>IF($N132="","",INDEX('_calc'!$D$2:$D$3001,$N132))</f>
        <v/>
      </c>
      <c r="F132" s="26" t="str">
        <f>IF($N132="","",IF($E$8=0,"",E132/$E$8))</f>
        <v/>
      </c>
      <c r="G132" s="25" t="str">
        <f>IF($N132="","",INDEX('_calc'!$E$2:$E$3001,$N132))</f>
        <v/>
      </c>
      <c r="H132" s="25" t="str">
        <f>IF($N132="","",INDEX('_calc'!$F$2:$F$3001,$N132))</f>
        <v/>
      </c>
      <c r="I132" s="27" t="str">
        <f>IF($N132="","",INDEX('_calc'!$H$2:$H$3001,$N132))</f>
        <v/>
      </c>
      <c r="J132" s="27" t="str">
        <f>IF($N132="","",INDEX('_calc'!$I$2:$I$3001,$N132))</f>
        <v/>
      </c>
      <c r="K132" s="28" t="str">
        <f>IF($N132="","",IF(OR(I132="",J132=""),"",J132-I132))</f>
        <v/>
      </c>
      <c r="L132" s="29" t="str">
        <f>IF($N132="","",INDEX('_calc'!$J$2:$J$3001,$N132))</f>
        <v/>
      </c>
      <c r="M132" s="2" t="str">
        <f>IF($N132="","",IF(AND(G132=0,H132=0),"수량 없음",IF(G132=0,"신규 (전년 수량 없음)",IF(H132=0,"당해 수량 없음",""))))</f>
        <v/>
      </c>
      <c r="N132" t="str">
        <f>IF($B132="","",MATCH($B132,'_calc'!$L$2:$L$3001,0))</f>
        <v/>
      </c>
    </row>
    <row r="133">
      <c r="B133" s="24" t="str">
        <f>IF(ROW()-ROW($B$8)&gt;nComp,"",ROW()-ROW($B$8))</f>
        <v/>
      </c>
      <c r="C133" t="str">
        <f>IF($N133="","",INDEX('_calc'!$A$2:$A$3001,$N133))</f>
        <v/>
      </c>
      <c r="D133" s="25" t="str">
        <f>IF($N133="","",INDEX('_calc'!$C$2:$C$3001,$N133))</f>
        <v/>
      </c>
      <c r="E133" s="25" t="str">
        <f>IF($N133="","",INDEX('_calc'!$D$2:$D$3001,$N133))</f>
        <v/>
      </c>
      <c r="F133" s="26" t="str">
        <f>IF($N133="","",IF($E$8=0,"",E133/$E$8))</f>
        <v/>
      </c>
      <c r="G133" s="25" t="str">
        <f>IF($N133="","",INDEX('_calc'!$E$2:$E$3001,$N133))</f>
        <v/>
      </c>
      <c r="H133" s="25" t="str">
        <f>IF($N133="","",INDEX('_calc'!$F$2:$F$3001,$N133))</f>
        <v/>
      </c>
      <c r="I133" s="27" t="str">
        <f>IF($N133="","",INDEX('_calc'!$H$2:$H$3001,$N133))</f>
        <v/>
      </c>
      <c r="J133" s="27" t="str">
        <f>IF($N133="","",INDEX('_calc'!$I$2:$I$3001,$N133))</f>
        <v/>
      </c>
      <c r="K133" s="28" t="str">
        <f>IF($N133="","",IF(OR(I133="",J133=""),"",J133-I133))</f>
        <v/>
      </c>
      <c r="L133" s="29" t="str">
        <f>IF($N133="","",INDEX('_calc'!$J$2:$J$3001,$N133))</f>
        <v/>
      </c>
      <c r="M133" s="2" t="str">
        <f>IF($N133="","",IF(AND(G133=0,H133=0),"수량 없음",IF(G133=0,"신규 (전년 수량 없음)",IF(H133=0,"당해 수량 없음",""))))</f>
        <v/>
      </c>
      <c r="N133" t="str">
        <f>IF($B133="","",MATCH($B133,'_calc'!$L$2:$L$3001,0))</f>
        <v/>
      </c>
    </row>
    <row r="134">
      <c r="B134" s="24" t="str">
        <f>IF(ROW()-ROW($B$8)&gt;nComp,"",ROW()-ROW($B$8))</f>
        <v/>
      </c>
      <c r="C134" t="str">
        <f>IF($N134="","",INDEX('_calc'!$A$2:$A$3001,$N134))</f>
        <v/>
      </c>
      <c r="D134" s="25" t="str">
        <f>IF($N134="","",INDEX('_calc'!$C$2:$C$3001,$N134))</f>
        <v/>
      </c>
      <c r="E134" s="25" t="str">
        <f>IF($N134="","",INDEX('_calc'!$D$2:$D$3001,$N134))</f>
        <v/>
      </c>
      <c r="F134" s="26" t="str">
        <f>IF($N134="","",IF($E$8=0,"",E134/$E$8))</f>
        <v/>
      </c>
      <c r="G134" s="25" t="str">
        <f>IF($N134="","",INDEX('_calc'!$E$2:$E$3001,$N134))</f>
        <v/>
      </c>
      <c r="H134" s="25" t="str">
        <f>IF($N134="","",INDEX('_calc'!$F$2:$F$3001,$N134))</f>
        <v/>
      </c>
      <c r="I134" s="27" t="str">
        <f>IF($N134="","",INDEX('_calc'!$H$2:$H$3001,$N134))</f>
        <v/>
      </c>
      <c r="J134" s="27" t="str">
        <f>IF($N134="","",INDEX('_calc'!$I$2:$I$3001,$N134))</f>
        <v/>
      </c>
      <c r="K134" s="28" t="str">
        <f>IF($N134="","",IF(OR(I134="",J134=""),"",J134-I134))</f>
        <v/>
      </c>
      <c r="L134" s="29" t="str">
        <f>IF($N134="","",INDEX('_calc'!$J$2:$J$3001,$N134))</f>
        <v/>
      </c>
      <c r="M134" s="2" t="str">
        <f>IF($N134="","",IF(AND(G134=0,H134=0),"수량 없음",IF(G134=0,"신규 (전년 수량 없음)",IF(H134=0,"당해 수량 없음",""))))</f>
        <v/>
      </c>
      <c r="N134" t="str">
        <f>IF($B134="","",MATCH($B134,'_calc'!$L$2:$L$3001,0))</f>
        <v/>
      </c>
    </row>
    <row r="135">
      <c r="B135" s="24" t="str">
        <f>IF(ROW()-ROW($B$8)&gt;nComp,"",ROW()-ROW($B$8))</f>
        <v/>
      </c>
      <c r="C135" t="str">
        <f>IF($N135="","",INDEX('_calc'!$A$2:$A$3001,$N135))</f>
        <v/>
      </c>
      <c r="D135" s="25" t="str">
        <f>IF($N135="","",INDEX('_calc'!$C$2:$C$3001,$N135))</f>
        <v/>
      </c>
      <c r="E135" s="25" t="str">
        <f>IF($N135="","",INDEX('_calc'!$D$2:$D$3001,$N135))</f>
        <v/>
      </c>
      <c r="F135" s="26" t="str">
        <f>IF($N135="","",IF($E$8=0,"",E135/$E$8))</f>
        <v/>
      </c>
      <c r="G135" s="25" t="str">
        <f>IF($N135="","",INDEX('_calc'!$E$2:$E$3001,$N135))</f>
        <v/>
      </c>
      <c r="H135" s="25" t="str">
        <f>IF($N135="","",INDEX('_calc'!$F$2:$F$3001,$N135))</f>
        <v/>
      </c>
      <c r="I135" s="27" t="str">
        <f>IF($N135="","",INDEX('_calc'!$H$2:$H$3001,$N135))</f>
        <v/>
      </c>
      <c r="J135" s="27" t="str">
        <f>IF($N135="","",INDEX('_calc'!$I$2:$I$3001,$N135))</f>
        <v/>
      </c>
      <c r="K135" s="28" t="str">
        <f>IF($N135="","",IF(OR(I135="",J135=""),"",J135-I135))</f>
        <v/>
      </c>
      <c r="L135" s="29" t="str">
        <f>IF($N135="","",INDEX('_calc'!$J$2:$J$3001,$N135))</f>
        <v/>
      </c>
      <c r="M135" s="2" t="str">
        <f>IF($N135="","",IF(AND(G135=0,H135=0),"수량 없음",IF(G135=0,"신규 (전년 수량 없음)",IF(H135=0,"당해 수량 없음",""))))</f>
        <v/>
      </c>
      <c r="N135" t="str">
        <f>IF($B135="","",MATCH($B135,'_calc'!$L$2:$L$3001,0))</f>
        <v/>
      </c>
    </row>
    <row r="136">
      <c r="B136" s="24" t="str">
        <f>IF(ROW()-ROW($B$8)&gt;nComp,"",ROW()-ROW($B$8))</f>
        <v/>
      </c>
      <c r="C136" t="str">
        <f>IF($N136="","",INDEX('_calc'!$A$2:$A$3001,$N136))</f>
        <v/>
      </c>
      <c r="D136" s="25" t="str">
        <f>IF($N136="","",INDEX('_calc'!$C$2:$C$3001,$N136))</f>
        <v/>
      </c>
      <c r="E136" s="25" t="str">
        <f>IF($N136="","",INDEX('_calc'!$D$2:$D$3001,$N136))</f>
        <v/>
      </c>
      <c r="F136" s="26" t="str">
        <f>IF($N136="","",IF($E$8=0,"",E136/$E$8))</f>
        <v/>
      </c>
      <c r="G136" s="25" t="str">
        <f>IF($N136="","",INDEX('_calc'!$E$2:$E$3001,$N136))</f>
        <v/>
      </c>
      <c r="H136" s="25" t="str">
        <f>IF($N136="","",INDEX('_calc'!$F$2:$F$3001,$N136))</f>
        <v/>
      </c>
      <c r="I136" s="27" t="str">
        <f>IF($N136="","",INDEX('_calc'!$H$2:$H$3001,$N136))</f>
        <v/>
      </c>
      <c r="J136" s="27" t="str">
        <f>IF($N136="","",INDEX('_calc'!$I$2:$I$3001,$N136))</f>
        <v/>
      </c>
      <c r="K136" s="28" t="str">
        <f>IF($N136="","",IF(OR(I136="",J136=""),"",J136-I136))</f>
        <v/>
      </c>
      <c r="L136" s="29" t="str">
        <f>IF($N136="","",INDEX('_calc'!$J$2:$J$3001,$N136))</f>
        <v/>
      </c>
      <c r="M136" s="2" t="str">
        <f>IF($N136="","",IF(AND(G136=0,H136=0),"수량 없음",IF(G136=0,"신규 (전년 수량 없음)",IF(H136=0,"당해 수량 없음",""))))</f>
        <v/>
      </c>
      <c r="N136" t="str">
        <f>IF($B136="","",MATCH($B136,'_calc'!$L$2:$L$3001,0))</f>
        <v/>
      </c>
    </row>
    <row r="137">
      <c r="B137" s="24" t="str">
        <f>IF(ROW()-ROW($B$8)&gt;nComp,"",ROW()-ROW($B$8))</f>
        <v/>
      </c>
      <c r="C137" t="str">
        <f>IF($N137="","",INDEX('_calc'!$A$2:$A$3001,$N137))</f>
        <v/>
      </c>
      <c r="D137" s="25" t="str">
        <f>IF($N137="","",INDEX('_calc'!$C$2:$C$3001,$N137))</f>
        <v/>
      </c>
      <c r="E137" s="25" t="str">
        <f>IF($N137="","",INDEX('_calc'!$D$2:$D$3001,$N137))</f>
        <v/>
      </c>
      <c r="F137" s="26" t="str">
        <f>IF($N137="","",IF($E$8=0,"",E137/$E$8))</f>
        <v/>
      </c>
      <c r="G137" s="25" t="str">
        <f>IF($N137="","",INDEX('_calc'!$E$2:$E$3001,$N137))</f>
        <v/>
      </c>
      <c r="H137" s="25" t="str">
        <f>IF($N137="","",INDEX('_calc'!$F$2:$F$3001,$N137))</f>
        <v/>
      </c>
      <c r="I137" s="27" t="str">
        <f>IF($N137="","",INDEX('_calc'!$H$2:$H$3001,$N137))</f>
        <v/>
      </c>
      <c r="J137" s="27" t="str">
        <f>IF($N137="","",INDEX('_calc'!$I$2:$I$3001,$N137))</f>
        <v/>
      </c>
      <c r="K137" s="28" t="str">
        <f>IF($N137="","",IF(OR(I137="",J137=""),"",J137-I137))</f>
        <v/>
      </c>
      <c r="L137" s="29" t="str">
        <f>IF($N137="","",INDEX('_calc'!$J$2:$J$3001,$N137))</f>
        <v/>
      </c>
      <c r="M137" s="2" t="str">
        <f>IF($N137="","",IF(AND(G137=0,H137=0),"수량 없음",IF(G137=0,"신규 (전년 수량 없음)",IF(H137=0,"당해 수량 없음",""))))</f>
        <v/>
      </c>
      <c r="N137" t="str">
        <f>IF($B137="","",MATCH($B137,'_calc'!$L$2:$L$3001,0))</f>
        <v/>
      </c>
    </row>
    <row r="138">
      <c r="B138" s="24" t="str">
        <f>IF(ROW()-ROW($B$8)&gt;nComp,"",ROW()-ROW($B$8))</f>
        <v/>
      </c>
      <c r="C138" t="str">
        <f>IF($N138="","",INDEX('_calc'!$A$2:$A$3001,$N138))</f>
        <v/>
      </c>
      <c r="D138" s="25" t="str">
        <f>IF($N138="","",INDEX('_calc'!$C$2:$C$3001,$N138))</f>
        <v/>
      </c>
      <c r="E138" s="25" t="str">
        <f>IF($N138="","",INDEX('_calc'!$D$2:$D$3001,$N138))</f>
        <v/>
      </c>
      <c r="F138" s="26" t="str">
        <f>IF($N138="","",IF($E$8=0,"",E138/$E$8))</f>
        <v/>
      </c>
      <c r="G138" s="25" t="str">
        <f>IF($N138="","",INDEX('_calc'!$E$2:$E$3001,$N138))</f>
        <v/>
      </c>
      <c r="H138" s="25" t="str">
        <f>IF($N138="","",INDEX('_calc'!$F$2:$F$3001,$N138))</f>
        <v/>
      </c>
      <c r="I138" s="27" t="str">
        <f>IF($N138="","",INDEX('_calc'!$H$2:$H$3001,$N138))</f>
        <v/>
      </c>
      <c r="J138" s="27" t="str">
        <f>IF($N138="","",INDEX('_calc'!$I$2:$I$3001,$N138))</f>
        <v/>
      </c>
      <c r="K138" s="28" t="str">
        <f>IF($N138="","",IF(OR(I138="",J138=""),"",J138-I138))</f>
        <v/>
      </c>
      <c r="L138" s="29" t="str">
        <f>IF($N138="","",INDEX('_calc'!$J$2:$J$3001,$N138))</f>
        <v/>
      </c>
      <c r="M138" s="2" t="str">
        <f>IF($N138="","",IF(AND(G138=0,H138=0),"수량 없음",IF(G138=0,"신규 (전년 수량 없음)",IF(H138=0,"당해 수량 없음",""))))</f>
        <v/>
      </c>
      <c r="N138" t="str">
        <f>IF($B138="","",MATCH($B138,'_calc'!$L$2:$L$3001,0))</f>
        <v/>
      </c>
    </row>
    <row r="139">
      <c r="B139" s="24" t="str">
        <f>IF(ROW()-ROW($B$8)&gt;nComp,"",ROW()-ROW($B$8))</f>
        <v/>
      </c>
      <c r="C139" t="str">
        <f>IF($N139="","",INDEX('_calc'!$A$2:$A$3001,$N139))</f>
        <v/>
      </c>
      <c r="D139" s="25" t="str">
        <f>IF($N139="","",INDEX('_calc'!$C$2:$C$3001,$N139))</f>
        <v/>
      </c>
      <c r="E139" s="25" t="str">
        <f>IF($N139="","",INDEX('_calc'!$D$2:$D$3001,$N139))</f>
        <v/>
      </c>
      <c r="F139" s="26" t="str">
        <f>IF($N139="","",IF($E$8=0,"",E139/$E$8))</f>
        <v/>
      </c>
      <c r="G139" s="25" t="str">
        <f>IF($N139="","",INDEX('_calc'!$E$2:$E$3001,$N139))</f>
        <v/>
      </c>
      <c r="H139" s="25" t="str">
        <f>IF($N139="","",INDEX('_calc'!$F$2:$F$3001,$N139))</f>
        <v/>
      </c>
      <c r="I139" s="27" t="str">
        <f>IF($N139="","",INDEX('_calc'!$H$2:$H$3001,$N139))</f>
        <v/>
      </c>
      <c r="J139" s="27" t="str">
        <f>IF($N139="","",INDEX('_calc'!$I$2:$I$3001,$N139))</f>
        <v/>
      </c>
      <c r="K139" s="28" t="str">
        <f>IF($N139="","",IF(OR(I139="",J139=""),"",J139-I139))</f>
        <v/>
      </c>
      <c r="L139" s="29" t="str">
        <f>IF($N139="","",INDEX('_calc'!$J$2:$J$3001,$N139))</f>
        <v/>
      </c>
      <c r="M139" s="2" t="str">
        <f>IF($N139="","",IF(AND(G139=0,H139=0),"수량 없음",IF(G139=0,"신규 (전년 수량 없음)",IF(H139=0,"당해 수량 없음",""))))</f>
        <v/>
      </c>
      <c r="N139" t="str">
        <f>IF($B139="","",MATCH($B139,'_calc'!$L$2:$L$3001,0))</f>
        <v/>
      </c>
    </row>
    <row r="140">
      <c r="B140" s="24" t="str">
        <f>IF(ROW()-ROW($B$8)&gt;nComp,"",ROW()-ROW($B$8))</f>
        <v/>
      </c>
      <c r="C140" t="str">
        <f>IF($N140="","",INDEX('_calc'!$A$2:$A$3001,$N140))</f>
        <v/>
      </c>
      <c r="D140" s="25" t="str">
        <f>IF($N140="","",INDEX('_calc'!$C$2:$C$3001,$N140))</f>
        <v/>
      </c>
      <c r="E140" s="25" t="str">
        <f>IF($N140="","",INDEX('_calc'!$D$2:$D$3001,$N140))</f>
        <v/>
      </c>
      <c r="F140" s="26" t="str">
        <f>IF($N140="","",IF($E$8=0,"",E140/$E$8))</f>
        <v/>
      </c>
      <c r="G140" s="25" t="str">
        <f>IF($N140="","",INDEX('_calc'!$E$2:$E$3001,$N140))</f>
        <v/>
      </c>
      <c r="H140" s="25" t="str">
        <f>IF($N140="","",INDEX('_calc'!$F$2:$F$3001,$N140))</f>
        <v/>
      </c>
      <c r="I140" s="27" t="str">
        <f>IF($N140="","",INDEX('_calc'!$H$2:$H$3001,$N140))</f>
        <v/>
      </c>
      <c r="J140" s="27" t="str">
        <f>IF($N140="","",INDEX('_calc'!$I$2:$I$3001,$N140))</f>
        <v/>
      </c>
      <c r="K140" s="28" t="str">
        <f>IF($N140="","",IF(OR(I140="",J140=""),"",J140-I140))</f>
        <v/>
      </c>
      <c r="L140" s="29" t="str">
        <f>IF($N140="","",INDEX('_calc'!$J$2:$J$3001,$N140))</f>
        <v/>
      </c>
      <c r="M140" s="2" t="str">
        <f>IF($N140="","",IF(AND(G140=0,H140=0),"수량 없음",IF(G140=0,"신규 (전년 수량 없음)",IF(H140=0,"당해 수량 없음",""))))</f>
        <v/>
      </c>
      <c r="N140" t="str">
        <f>IF($B140="","",MATCH($B140,'_calc'!$L$2:$L$3001,0))</f>
        <v/>
      </c>
    </row>
    <row r="141">
      <c r="B141" s="24" t="str">
        <f>IF(ROW()-ROW($B$8)&gt;nComp,"",ROW()-ROW($B$8))</f>
        <v/>
      </c>
      <c r="C141" t="str">
        <f>IF($N141="","",INDEX('_calc'!$A$2:$A$3001,$N141))</f>
        <v/>
      </c>
      <c r="D141" s="25" t="str">
        <f>IF($N141="","",INDEX('_calc'!$C$2:$C$3001,$N141))</f>
        <v/>
      </c>
      <c r="E141" s="25" t="str">
        <f>IF($N141="","",INDEX('_calc'!$D$2:$D$3001,$N141))</f>
        <v/>
      </c>
      <c r="F141" s="26" t="str">
        <f>IF($N141="","",IF($E$8=0,"",E141/$E$8))</f>
        <v/>
      </c>
      <c r="G141" s="25" t="str">
        <f>IF($N141="","",INDEX('_calc'!$E$2:$E$3001,$N141))</f>
        <v/>
      </c>
      <c r="H141" s="25" t="str">
        <f>IF($N141="","",INDEX('_calc'!$F$2:$F$3001,$N141))</f>
        <v/>
      </c>
      <c r="I141" s="27" t="str">
        <f>IF($N141="","",INDEX('_calc'!$H$2:$H$3001,$N141))</f>
        <v/>
      </c>
      <c r="J141" s="27" t="str">
        <f>IF($N141="","",INDEX('_calc'!$I$2:$I$3001,$N141))</f>
        <v/>
      </c>
      <c r="K141" s="28" t="str">
        <f>IF($N141="","",IF(OR(I141="",J141=""),"",J141-I141))</f>
        <v/>
      </c>
      <c r="L141" s="29" t="str">
        <f>IF($N141="","",INDEX('_calc'!$J$2:$J$3001,$N141))</f>
        <v/>
      </c>
      <c r="M141" s="2" t="str">
        <f>IF($N141="","",IF(AND(G141=0,H141=0),"수량 없음",IF(G141=0,"신규 (전년 수량 없음)",IF(H141=0,"당해 수량 없음",""))))</f>
        <v/>
      </c>
      <c r="N141" t="str">
        <f>IF($B141="","",MATCH($B141,'_calc'!$L$2:$L$3001,0))</f>
        <v/>
      </c>
    </row>
    <row r="142">
      <c r="B142" s="24" t="str">
        <f>IF(ROW()-ROW($B$8)&gt;nComp,"",ROW()-ROW($B$8))</f>
        <v/>
      </c>
      <c r="C142" t="str">
        <f>IF($N142="","",INDEX('_calc'!$A$2:$A$3001,$N142))</f>
        <v/>
      </c>
      <c r="D142" s="25" t="str">
        <f>IF($N142="","",INDEX('_calc'!$C$2:$C$3001,$N142))</f>
        <v/>
      </c>
      <c r="E142" s="25" t="str">
        <f>IF($N142="","",INDEX('_calc'!$D$2:$D$3001,$N142))</f>
        <v/>
      </c>
      <c r="F142" s="26" t="str">
        <f>IF($N142="","",IF($E$8=0,"",E142/$E$8))</f>
        <v/>
      </c>
      <c r="G142" s="25" t="str">
        <f>IF($N142="","",INDEX('_calc'!$E$2:$E$3001,$N142))</f>
        <v/>
      </c>
      <c r="H142" s="25" t="str">
        <f>IF($N142="","",INDEX('_calc'!$F$2:$F$3001,$N142))</f>
        <v/>
      </c>
      <c r="I142" s="27" t="str">
        <f>IF($N142="","",INDEX('_calc'!$H$2:$H$3001,$N142))</f>
        <v/>
      </c>
      <c r="J142" s="27" t="str">
        <f>IF($N142="","",INDEX('_calc'!$I$2:$I$3001,$N142))</f>
        <v/>
      </c>
      <c r="K142" s="28" t="str">
        <f>IF($N142="","",IF(OR(I142="",J142=""),"",J142-I142))</f>
        <v/>
      </c>
      <c r="L142" s="29" t="str">
        <f>IF($N142="","",INDEX('_calc'!$J$2:$J$3001,$N142))</f>
        <v/>
      </c>
      <c r="M142" s="2" t="str">
        <f>IF($N142="","",IF(AND(G142=0,H142=0),"수량 없음",IF(G142=0,"신규 (전년 수량 없음)",IF(H142=0,"당해 수량 없음",""))))</f>
        <v/>
      </c>
      <c r="N142" t="str">
        <f>IF($B142="","",MATCH($B142,'_calc'!$L$2:$L$3001,0))</f>
        <v/>
      </c>
    </row>
    <row r="143">
      <c r="B143" s="24" t="str">
        <f>IF(ROW()-ROW($B$8)&gt;nComp,"",ROW()-ROW($B$8))</f>
        <v/>
      </c>
      <c r="C143" t="str">
        <f>IF($N143="","",INDEX('_calc'!$A$2:$A$3001,$N143))</f>
        <v/>
      </c>
      <c r="D143" s="25" t="str">
        <f>IF($N143="","",INDEX('_calc'!$C$2:$C$3001,$N143))</f>
        <v/>
      </c>
      <c r="E143" s="25" t="str">
        <f>IF($N143="","",INDEX('_calc'!$D$2:$D$3001,$N143))</f>
        <v/>
      </c>
      <c r="F143" s="26" t="str">
        <f>IF($N143="","",IF($E$8=0,"",E143/$E$8))</f>
        <v/>
      </c>
      <c r="G143" s="25" t="str">
        <f>IF($N143="","",INDEX('_calc'!$E$2:$E$3001,$N143))</f>
        <v/>
      </c>
      <c r="H143" s="25" t="str">
        <f>IF($N143="","",INDEX('_calc'!$F$2:$F$3001,$N143))</f>
        <v/>
      </c>
      <c r="I143" s="27" t="str">
        <f>IF($N143="","",INDEX('_calc'!$H$2:$H$3001,$N143))</f>
        <v/>
      </c>
      <c r="J143" s="27" t="str">
        <f>IF($N143="","",INDEX('_calc'!$I$2:$I$3001,$N143))</f>
        <v/>
      </c>
      <c r="K143" s="28" t="str">
        <f>IF($N143="","",IF(OR(I143="",J143=""),"",J143-I143))</f>
        <v/>
      </c>
      <c r="L143" s="29" t="str">
        <f>IF($N143="","",INDEX('_calc'!$J$2:$J$3001,$N143))</f>
        <v/>
      </c>
      <c r="M143" s="2" t="str">
        <f>IF($N143="","",IF(AND(G143=0,H143=0),"수량 없음",IF(G143=0,"신규 (전년 수량 없음)",IF(H143=0,"당해 수량 없음",""))))</f>
        <v/>
      </c>
      <c r="N143" t="str">
        <f>IF($B143="","",MATCH($B143,'_calc'!$L$2:$L$3001,0))</f>
        <v/>
      </c>
    </row>
    <row r="144">
      <c r="B144" s="24" t="str">
        <f>IF(ROW()-ROW($B$8)&gt;nComp,"",ROW()-ROW($B$8))</f>
        <v/>
      </c>
      <c r="C144" t="str">
        <f>IF($N144="","",INDEX('_calc'!$A$2:$A$3001,$N144))</f>
        <v/>
      </c>
      <c r="D144" s="25" t="str">
        <f>IF($N144="","",INDEX('_calc'!$C$2:$C$3001,$N144))</f>
        <v/>
      </c>
      <c r="E144" s="25" t="str">
        <f>IF($N144="","",INDEX('_calc'!$D$2:$D$3001,$N144))</f>
        <v/>
      </c>
      <c r="F144" s="26" t="str">
        <f>IF($N144="","",IF($E$8=0,"",E144/$E$8))</f>
        <v/>
      </c>
      <c r="G144" s="25" t="str">
        <f>IF($N144="","",INDEX('_calc'!$E$2:$E$3001,$N144))</f>
        <v/>
      </c>
      <c r="H144" s="25" t="str">
        <f>IF($N144="","",INDEX('_calc'!$F$2:$F$3001,$N144))</f>
        <v/>
      </c>
      <c r="I144" s="27" t="str">
        <f>IF($N144="","",INDEX('_calc'!$H$2:$H$3001,$N144))</f>
        <v/>
      </c>
      <c r="J144" s="27" t="str">
        <f>IF($N144="","",INDEX('_calc'!$I$2:$I$3001,$N144))</f>
        <v/>
      </c>
      <c r="K144" s="28" t="str">
        <f>IF($N144="","",IF(OR(I144="",J144=""),"",J144-I144))</f>
        <v/>
      </c>
      <c r="L144" s="29" t="str">
        <f>IF($N144="","",INDEX('_calc'!$J$2:$J$3001,$N144))</f>
        <v/>
      </c>
      <c r="M144" s="2" t="str">
        <f>IF($N144="","",IF(AND(G144=0,H144=0),"수량 없음",IF(G144=0,"신규 (전년 수량 없음)",IF(H144=0,"당해 수량 없음",""))))</f>
        <v/>
      </c>
      <c r="N144" t="str">
        <f>IF($B144="","",MATCH($B144,'_calc'!$L$2:$L$3001,0))</f>
        <v/>
      </c>
    </row>
    <row r="145">
      <c r="B145" s="24" t="str">
        <f>IF(ROW()-ROW($B$8)&gt;nComp,"",ROW()-ROW($B$8))</f>
        <v/>
      </c>
      <c r="C145" t="str">
        <f>IF($N145="","",INDEX('_calc'!$A$2:$A$3001,$N145))</f>
        <v/>
      </c>
      <c r="D145" s="25" t="str">
        <f>IF($N145="","",INDEX('_calc'!$C$2:$C$3001,$N145))</f>
        <v/>
      </c>
      <c r="E145" s="25" t="str">
        <f>IF($N145="","",INDEX('_calc'!$D$2:$D$3001,$N145))</f>
        <v/>
      </c>
      <c r="F145" s="26" t="str">
        <f>IF($N145="","",IF($E$8=0,"",E145/$E$8))</f>
        <v/>
      </c>
      <c r="G145" s="25" t="str">
        <f>IF($N145="","",INDEX('_calc'!$E$2:$E$3001,$N145))</f>
        <v/>
      </c>
      <c r="H145" s="25" t="str">
        <f>IF($N145="","",INDEX('_calc'!$F$2:$F$3001,$N145))</f>
        <v/>
      </c>
      <c r="I145" s="27" t="str">
        <f>IF($N145="","",INDEX('_calc'!$H$2:$H$3001,$N145))</f>
        <v/>
      </c>
      <c r="J145" s="27" t="str">
        <f>IF($N145="","",INDEX('_calc'!$I$2:$I$3001,$N145))</f>
        <v/>
      </c>
      <c r="K145" s="28" t="str">
        <f>IF($N145="","",IF(OR(I145="",J145=""),"",J145-I145))</f>
        <v/>
      </c>
      <c r="L145" s="29" t="str">
        <f>IF($N145="","",INDEX('_calc'!$J$2:$J$3001,$N145))</f>
        <v/>
      </c>
      <c r="M145" s="2" t="str">
        <f>IF($N145="","",IF(AND(G145=0,H145=0),"수량 없음",IF(G145=0,"신규 (전년 수량 없음)",IF(H145=0,"당해 수량 없음",""))))</f>
        <v/>
      </c>
      <c r="N145" t="str">
        <f>IF($B145="","",MATCH($B145,'_calc'!$L$2:$L$3001,0))</f>
        <v/>
      </c>
    </row>
    <row r="146">
      <c r="B146" s="24" t="str">
        <f>IF(ROW()-ROW($B$8)&gt;nComp,"",ROW()-ROW($B$8))</f>
        <v/>
      </c>
      <c r="C146" t="str">
        <f>IF($N146="","",INDEX('_calc'!$A$2:$A$3001,$N146))</f>
        <v/>
      </c>
      <c r="D146" s="25" t="str">
        <f>IF($N146="","",INDEX('_calc'!$C$2:$C$3001,$N146))</f>
        <v/>
      </c>
      <c r="E146" s="25" t="str">
        <f>IF($N146="","",INDEX('_calc'!$D$2:$D$3001,$N146))</f>
        <v/>
      </c>
      <c r="F146" s="26" t="str">
        <f>IF($N146="","",IF($E$8=0,"",E146/$E$8))</f>
        <v/>
      </c>
      <c r="G146" s="25" t="str">
        <f>IF($N146="","",INDEX('_calc'!$E$2:$E$3001,$N146))</f>
        <v/>
      </c>
      <c r="H146" s="25" t="str">
        <f>IF($N146="","",INDEX('_calc'!$F$2:$F$3001,$N146))</f>
        <v/>
      </c>
      <c r="I146" s="27" t="str">
        <f>IF($N146="","",INDEX('_calc'!$H$2:$H$3001,$N146))</f>
        <v/>
      </c>
      <c r="J146" s="27" t="str">
        <f>IF($N146="","",INDEX('_calc'!$I$2:$I$3001,$N146))</f>
        <v/>
      </c>
      <c r="K146" s="28" t="str">
        <f>IF($N146="","",IF(OR(I146="",J146=""),"",J146-I146))</f>
        <v/>
      </c>
      <c r="L146" s="29" t="str">
        <f>IF($N146="","",INDEX('_calc'!$J$2:$J$3001,$N146))</f>
        <v/>
      </c>
      <c r="M146" s="2" t="str">
        <f>IF($N146="","",IF(AND(G146=0,H146=0),"수량 없음",IF(G146=0,"신규 (전년 수량 없음)",IF(H146=0,"당해 수량 없음",""))))</f>
        <v/>
      </c>
      <c r="N146" t="str">
        <f>IF($B146="","",MATCH($B146,'_calc'!$L$2:$L$3001,0))</f>
        <v/>
      </c>
    </row>
    <row r="147">
      <c r="B147" s="24" t="str">
        <f>IF(ROW()-ROW($B$8)&gt;nComp,"",ROW()-ROW($B$8))</f>
        <v/>
      </c>
      <c r="C147" t="str">
        <f>IF($N147="","",INDEX('_calc'!$A$2:$A$3001,$N147))</f>
        <v/>
      </c>
      <c r="D147" s="25" t="str">
        <f>IF($N147="","",INDEX('_calc'!$C$2:$C$3001,$N147))</f>
        <v/>
      </c>
      <c r="E147" s="25" t="str">
        <f>IF($N147="","",INDEX('_calc'!$D$2:$D$3001,$N147))</f>
        <v/>
      </c>
      <c r="F147" s="26" t="str">
        <f>IF($N147="","",IF($E$8=0,"",E147/$E$8))</f>
        <v/>
      </c>
      <c r="G147" s="25" t="str">
        <f>IF($N147="","",INDEX('_calc'!$E$2:$E$3001,$N147))</f>
        <v/>
      </c>
      <c r="H147" s="25" t="str">
        <f>IF($N147="","",INDEX('_calc'!$F$2:$F$3001,$N147))</f>
        <v/>
      </c>
      <c r="I147" s="27" t="str">
        <f>IF($N147="","",INDEX('_calc'!$H$2:$H$3001,$N147))</f>
        <v/>
      </c>
      <c r="J147" s="27" t="str">
        <f>IF($N147="","",INDEX('_calc'!$I$2:$I$3001,$N147))</f>
        <v/>
      </c>
      <c r="K147" s="28" t="str">
        <f>IF($N147="","",IF(OR(I147="",J147=""),"",J147-I147))</f>
        <v/>
      </c>
      <c r="L147" s="29" t="str">
        <f>IF($N147="","",INDEX('_calc'!$J$2:$J$3001,$N147))</f>
        <v/>
      </c>
      <c r="M147" s="2" t="str">
        <f>IF($N147="","",IF(AND(G147=0,H147=0),"수량 없음",IF(G147=0,"신규 (전년 수량 없음)",IF(H147=0,"당해 수량 없음",""))))</f>
        <v/>
      </c>
      <c r="N147" t="str">
        <f>IF($B147="","",MATCH($B147,'_calc'!$L$2:$L$3001,0))</f>
        <v/>
      </c>
    </row>
    <row r="148">
      <c r="B148" s="24" t="str">
        <f>IF(ROW()-ROW($B$8)&gt;nComp,"",ROW()-ROW($B$8))</f>
        <v/>
      </c>
      <c r="C148" t="str">
        <f>IF($N148="","",INDEX('_calc'!$A$2:$A$3001,$N148))</f>
        <v/>
      </c>
      <c r="D148" s="25" t="str">
        <f>IF($N148="","",INDEX('_calc'!$C$2:$C$3001,$N148))</f>
        <v/>
      </c>
      <c r="E148" s="25" t="str">
        <f>IF($N148="","",INDEX('_calc'!$D$2:$D$3001,$N148))</f>
        <v/>
      </c>
      <c r="F148" s="26" t="str">
        <f>IF($N148="","",IF($E$8=0,"",E148/$E$8))</f>
        <v/>
      </c>
      <c r="G148" s="25" t="str">
        <f>IF($N148="","",INDEX('_calc'!$E$2:$E$3001,$N148))</f>
        <v/>
      </c>
      <c r="H148" s="25" t="str">
        <f>IF($N148="","",INDEX('_calc'!$F$2:$F$3001,$N148))</f>
        <v/>
      </c>
      <c r="I148" s="27" t="str">
        <f>IF($N148="","",INDEX('_calc'!$H$2:$H$3001,$N148))</f>
        <v/>
      </c>
      <c r="J148" s="27" t="str">
        <f>IF($N148="","",INDEX('_calc'!$I$2:$I$3001,$N148))</f>
        <v/>
      </c>
      <c r="K148" s="28" t="str">
        <f>IF($N148="","",IF(OR(I148="",J148=""),"",J148-I148))</f>
        <v/>
      </c>
      <c r="L148" s="29" t="str">
        <f>IF($N148="","",INDEX('_calc'!$J$2:$J$3001,$N148))</f>
        <v/>
      </c>
      <c r="M148" s="2" t="str">
        <f>IF($N148="","",IF(AND(G148=0,H148=0),"수량 없음",IF(G148=0,"신규 (전년 수량 없음)",IF(H148=0,"당해 수량 없음",""))))</f>
        <v/>
      </c>
      <c r="N148" t="str">
        <f>IF($B148="","",MATCH($B148,'_calc'!$L$2:$L$3001,0))</f>
        <v/>
      </c>
    </row>
    <row r="149">
      <c r="B149" s="24" t="str">
        <f>IF(ROW()-ROW($B$8)&gt;nComp,"",ROW()-ROW($B$8))</f>
        <v/>
      </c>
      <c r="C149" t="str">
        <f>IF($N149="","",INDEX('_calc'!$A$2:$A$3001,$N149))</f>
        <v/>
      </c>
      <c r="D149" s="25" t="str">
        <f>IF($N149="","",INDEX('_calc'!$C$2:$C$3001,$N149))</f>
        <v/>
      </c>
      <c r="E149" s="25" t="str">
        <f>IF($N149="","",INDEX('_calc'!$D$2:$D$3001,$N149))</f>
        <v/>
      </c>
      <c r="F149" s="26" t="str">
        <f>IF($N149="","",IF($E$8=0,"",E149/$E$8))</f>
        <v/>
      </c>
      <c r="G149" s="25" t="str">
        <f>IF($N149="","",INDEX('_calc'!$E$2:$E$3001,$N149))</f>
        <v/>
      </c>
      <c r="H149" s="25" t="str">
        <f>IF($N149="","",INDEX('_calc'!$F$2:$F$3001,$N149))</f>
        <v/>
      </c>
      <c r="I149" s="27" t="str">
        <f>IF($N149="","",INDEX('_calc'!$H$2:$H$3001,$N149))</f>
        <v/>
      </c>
      <c r="J149" s="27" t="str">
        <f>IF($N149="","",INDEX('_calc'!$I$2:$I$3001,$N149))</f>
        <v/>
      </c>
      <c r="K149" s="28" t="str">
        <f>IF($N149="","",IF(OR(I149="",J149=""),"",J149-I149))</f>
        <v/>
      </c>
      <c r="L149" s="29" t="str">
        <f>IF($N149="","",INDEX('_calc'!$J$2:$J$3001,$N149))</f>
        <v/>
      </c>
      <c r="M149" s="2" t="str">
        <f>IF($N149="","",IF(AND(G149=0,H149=0),"수량 없음",IF(G149=0,"신규 (전년 수량 없음)",IF(H149=0,"당해 수량 없음",""))))</f>
        <v/>
      </c>
      <c r="N149" t="str">
        <f>IF($B149="","",MATCH($B149,'_calc'!$L$2:$L$3001,0))</f>
        <v/>
      </c>
    </row>
    <row r="150">
      <c r="B150" s="24" t="str">
        <f>IF(ROW()-ROW($B$8)&gt;nComp,"",ROW()-ROW($B$8))</f>
        <v/>
      </c>
      <c r="C150" t="str">
        <f>IF($N150="","",INDEX('_calc'!$A$2:$A$3001,$N150))</f>
        <v/>
      </c>
      <c r="D150" s="25" t="str">
        <f>IF($N150="","",INDEX('_calc'!$C$2:$C$3001,$N150))</f>
        <v/>
      </c>
      <c r="E150" s="25" t="str">
        <f>IF($N150="","",INDEX('_calc'!$D$2:$D$3001,$N150))</f>
        <v/>
      </c>
      <c r="F150" s="26" t="str">
        <f>IF($N150="","",IF($E$8=0,"",E150/$E$8))</f>
        <v/>
      </c>
      <c r="G150" s="25" t="str">
        <f>IF($N150="","",INDEX('_calc'!$E$2:$E$3001,$N150))</f>
        <v/>
      </c>
      <c r="H150" s="25" t="str">
        <f>IF($N150="","",INDEX('_calc'!$F$2:$F$3001,$N150))</f>
        <v/>
      </c>
      <c r="I150" s="27" t="str">
        <f>IF($N150="","",INDEX('_calc'!$H$2:$H$3001,$N150))</f>
        <v/>
      </c>
      <c r="J150" s="27" t="str">
        <f>IF($N150="","",INDEX('_calc'!$I$2:$I$3001,$N150))</f>
        <v/>
      </c>
      <c r="K150" s="28" t="str">
        <f>IF($N150="","",IF(OR(I150="",J150=""),"",J150-I150))</f>
        <v/>
      </c>
      <c r="L150" s="29" t="str">
        <f>IF($N150="","",INDEX('_calc'!$J$2:$J$3001,$N150))</f>
        <v/>
      </c>
      <c r="M150" s="2" t="str">
        <f>IF($N150="","",IF(AND(G150=0,H150=0),"수량 없음",IF(G150=0,"신규 (전년 수량 없음)",IF(H150=0,"당해 수량 없음",""))))</f>
        <v/>
      </c>
      <c r="N150" t="str">
        <f>IF($B150="","",MATCH($B150,'_calc'!$L$2:$L$3001,0))</f>
        <v/>
      </c>
    </row>
    <row r="151">
      <c r="B151" s="24" t="str">
        <f>IF(ROW()-ROW($B$8)&gt;nComp,"",ROW()-ROW($B$8))</f>
        <v/>
      </c>
      <c r="C151" t="str">
        <f>IF($N151="","",INDEX('_calc'!$A$2:$A$3001,$N151))</f>
        <v/>
      </c>
      <c r="D151" s="25" t="str">
        <f>IF($N151="","",INDEX('_calc'!$C$2:$C$3001,$N151))</f>
        <v/>
      </c>
      <c r="E151" s="25" t="str">
        <f>IF($N151="","",INDEX('_calc'!$D$2:$D$3001,$N151))</f>
        <v/>
      </c>
      <c r="F151" s="26" t="str">
        <f>IF($N151="","",IF($E$8=0,"",E151/$E$8))</f>
        <v/>
      </c>
      <c r="G151" s="25" t="str">
        <f>IF($N151="","",INDEX('_calc'!$E$2:$E$3001,$N151))</f>
        <v/>
      </c>
      <c r="H151" s="25" t="str">
        <f>IF($N151="","",INDEX('_calc'!$F$2:$F$3001,$N151))</f>
        <v/>
      </c>
      <c r="I151" s="27" t="str">
        <f>IF($N151="","",INDEX('_calc'!$H$2:$H$3001,$N151))</f>
        <v/>
      </c>
      <c r="J151" s="27" t="str">
        <f>IF($N151="","",INDEX('_calc'!$I$2:$I$3001,$N151))</f>
        <v/>
      </c>
      <c r="K151" s="28" t="str">
        <f>IF($N151="","",IF(OR(I151="",J151=""),"",J151-I151))</f>
        <v/>
      </c>
      <c r="L151" s="29" t="str">
        <f>IF($N151="","",INDEX('_calc'!$J$2:$J$3001,$N151))</f>
        <v/>
      </c>
      <c r="M151" s="2" t="str">
        <f>IF($N151="","",IF(AND(G151=0,H151=0),"수량 없음",IF(G151=0,"신규 (전년 수량 없음)",IF(H151=0,"당해 수량 없음",""))))</f>
        <v/>
      </c>
      <c r="N151" t="str">
        <f>IF($B151="","",MATCH($B151,'_calc'!$L$2:$L$3001,0))</f>
        <v/>
      </c>
    </row>
    <row r="152">
      <c r="B152" s="24" t="str">
        <f>IF(ROW()-ROW($B$8)&gt;nComp,"",ROW()-ROW($B$8))</f>
        <v/>
      </c>
      <c r="C152" t="str">
        <f>IF($N152="","",INDEX('_calc'!$A$2:$A$3001,$N152))</f>
        <v/>
      </c>
      <c r="D152" s="25" t="str">
        <f>IF($N152="","",INDEX('_calc'!$C$2:$C$3001,$N152))</f>
        <v/>
      </c>
      <c r="E152" s="25" t="str">
        <f>IF($N152="","",INDEX('_calc'!$D$2:$D$3001,$N152))</f>
        <v/>
      </c>
      <c r="F152" s="26" t="str">
        <f>IF($N152="","",IF($E$8=0,"",E152/$E$8))</f>
        <v/>
      </c>
      <c r="G152" s="25" t="str">
        <f>IF($N152="","",INDEX('_calc'!$E$2:$E$3001,$N152))</f>
        <v/>
      </c>
      <c r="H152" s="25" t="str">
        <f>IF($N152="","",INDEX('_calc'!$F$2:$F$3001,$N152))</f>
        <v/>
      </c>
      <c r="I152" s="27" t="str">
        <f>IF($N152="","",INDEX('_calc'!$H$2:$H$3001,$N152))</f>
        <v/>
      </c>
      <c r="J152" s="27" t="str">
        <f>IF($N152="","",INDEX('_calc'!$I$2:$I$3001,$N152))</f>
        <v/>
      </c>
      <c r="K152" s="28" t="str">
        <f>IF($N152="","",IF(OR(I152="",J152=""),"",J152-I152))</f>
        <v/>
      </c>
      <c r="L152" s="29" t="str">
        <f>IF($N152="","",INDEX('_calc'!$J$2:$J$3001,$N152))</f>
        <v/>
      </c>
      <c r="M152" s="2" t="str">
        <f>IF($N152="","",IF(AND(G152=0,H152=0),"수량 없음",IF(G152=0,"신규 (전년 수량 없음)",IF(H152=0,"당해 수량 없음",""))))</f>
        <v/>
      </c>
      <c r="N152" t="str">
        <f>IF($B152="","",MATCH($B152,'_calc'!$L$2:$L$3001,0))</f>
        <v/>
      </c>
    </row>
    <row r="153">
      <c r="B153" s="24" t="str">
        <f>IF(ROW()-ROW($B$8)&gt;nComp,"",ROW()-ROW($B$8))</f>
        <v/>
      </c>
      <c r="C153" t="str">
        <f>IF($N153="","",INDEX('_calc'!$A$2:$A$3001,$N153))</f>
        <v/>
      </c>
      <c r="D153" s="25" t="str">
        <f>IF($N153="","",INDEX('_calc'!$C$2:$C$3001,$N153))</f>
        <v/>
      </c>
      <c r="E153" s="25" t="str">
        <f>IF($N153="","",INDEX('_calc'!$D$2:$D$3001,$N153))</f>
        <v/>
      </c>
      <c r="F153" s="26" t="str">
        <f>IF($N153="","",IF($E$8=0,"",E153/$E$8))</f>
        <v/>
      </c>
      <c r="G153" s="25" t="str">
        <f>IF($N153="","",INDEX('_calc'!$E$2:$E$3001,$N153))</f>
        <v/>
      </c>
      <c r="H153" s="25" t="str">
        <f>IF($N153="","",INDEX('_calc'!$F$2:$F$3001,$N153))</f>
        <v/>
      </c>
      <c r="I153" s="27" t="str">
        <f>IF($N153="","",INDEX('_calc'!$H$2:$H$3001,$N153))</f>
        <v/>
      </c>
      <c r="J153" s="27" t="str">
        <f>IF($N153="","",INDEX('_calc'!$I$2:$I$3001,$N153))</f>
        <v/>
      </c>
      <c r="K153" s="28" t="str">
        <f>IF($N153="","",IF(OR(I153="",J153=""),"",J153-I153))</f>
        <v/>
      </c>
      <c r="L153" s="29" t="str">
        <f>IF($N153="","",INDEX('_calc'!$J$2:$J$3001,$N153))</f>
        <v/>
      </c>
      <c r="M153" s="2" t="str">
        <f>IF($N153="","",IF(AND(G153=0,H153=0),"수량 없음",IF(G153=0,"신규 (전년 수량 없음)",IF(H153=0,"당해 수량 없음",""))))</f>
        <v/>
      </c>
      <c r="N153" t="str">
        <f>IF($B153="","",MATCH($B153,'_calc'!$L$2:$L$3001,0))</f>
        <v/>
      </c>
    </row>
    <row r="154">
      <c r="B154" s="24" t="str">
        <f>IF(ROW()-ROW($B$8)&gt;nComp,"",ROW()-ROW($B$8))</f>
        <v/>
      </c>
      <c r="C154" t="str">
        <f>IF($N154="","",INDEX('_calc'!$A$2:$A$3001,$N154))</f>
        <v/>
      </c>
      <c r="D154" s="25" t="str">
        <f>IF($N154="","",INDEX('_calc'!$C$2:$C$3001,$N154))</f>
        <v/>
      </c>
      <c r="E154" s="25" t="str">
        <f>IF($N154="","",INDEX('_calc'!$D$2:$D$3001,$N154))</f>
        <v/>
      </c>
      <c r="F154" s="26" t="str">
        <f>IF($N154="","",IF($E$8=0,"",E154/$E$8))</f>
        <v/>
      </c>
      <c r="G154" s="25" t="str">
        <f>IF($N154="","",INDEX('_calc'!$E$2:$E$3001,$N154))</f>
        <v/>
      </c>
      <c r="H154" s="25" t="str">
        <f>IF($N154="","",INDEX('_calc'!$F$2:$F$3001,$N154))</f>
        <v/>
      </c>
      <c r="I154" s="27" t="str">
        <f>IF($N154="","",INDEX('_calc'!$H$2:$H$3001,$N154))</f>
        <v/>
      </c>
      <c r="J154" s="27" t="str">
        <f>IF($N154="","",INDEX('_calc'!$I$2:$I$3001,$N154))</f>
        <v/>
      </c>
      <c r="K154" s="28" t="str">
        <f>IF($N154="","",IF(OR(I154="",J154=""),"",J154-I154))</f>
        <v/>
      </c>
      <c r="L154" s="29" t="str">
        <f>IF($N154="","",INDEX('_calc'!$J$2:$J$3001,$N154))</f>
        <v/>
      </c>
      <c r="M154" s="2" t="str">
        <f>IF($N154="","",IF(AND(G154=0,H154=0),"수량 없음",IF(G154=0,"신규 (전년 수량 없음)",IF(H154=0,"당해 수량 없음",""))))</f>
        <v/>
      </c>
      <c r="N154" t="str">
        <f>IF($B154="","",MATCH($B154,'_calc'!$L$2:$L$3001,0))</f>
        <v/>
      </c>
    </row>
    <row r="155">
      <c r="B155" s="24" t="str">
        <f>IF(ROW()-ROW($B$8)&gt;nComp,"",ROW()-ROW($B$8))</f>
        <v/>
      </c>
      <c r="C155" t="str">
        <f>IF($N155="","",INDEX('_calc'!$A$2:$A$3001,$N155))</f>
        <v/>
      </c>
      <c r="D155" s="25" t="str">
        <f>IF($N155="","",INDEX('_calc'!$C$2:$C$3001,$N155))</f>
        <v/>
      </c>
      <c r="E155" s="25" t="str">
        <f>IF($N155="","",INDEX('_calc'!$D$2:$D$3001,$N155))</f>
        <v/>
      </c>
      <c r="F155" s="26" t="str">
        <f>IF($N155="","",IF($E$8=0,"",E155/$E$8))</f>
        <v/>
      </c>
      <c r="G155" s="25" t="str">
        <f>IF($N155="","",INDEX('_calc'!$E$2:$E$3001,$N155))</f>
        <v/>
      </c>
      <c r="H155" s="25" t="str">
        <f>IF($N155="","",INDEX('_calc'!$F$2:$F$3001,$N155))</f>
        <v/>
      </c>
      <c r="I155" s="27" t="str">
        <f>IF($N155="","",INDEX('_calc'!$H$2:$H$3001,$N155))</f>
        <v/>
      </c>
      <c r="J155" s="27" t="str">
        <f>IF($N155="","",INDEX('_calc'!$I$2:$I$3001,$N155))</f>
        <v/>
      </c>
      <c r="K155" s="28" t="str">
        <f>IF($N155="","",IF(OR(I155="",J155=""),"",J155-I155))</f>
        <v/>
      </c>
      <c r="L155" s="29" t="str">
        <f>IF($N155="","",INDEX('_calc'!$J$2:$J$3001,$N155))</f>
        <v/>
      </c>
      <c r="M155" s="2" t="str">
        <f>IF($N155="","",IF(AND(G155=0,H155=0),"수량 없음",IF(G155=0,"신규 (전년 수량 없음)",IF(H155=0,"당해 수량 없음",""))))</f>
        <v/>
      </c>
      <c r="N155" t="str">
        <f>IF($B155="","",MATCH($B155,'_calc'!$L$2:$L$3001,0))</f>
        <v/>
      </c>
    </row>
    <row r="156">
      <c r="B156" s="24" t="str">
        <f>IF(ROW()-ROW($B$8)&gt;nComp,"",ROW()-ROW($B$8))</f>
        <v/>
      </c>
      <c r="C156" t="str">
        <f>IF($N156="","",INDEX('_calc'!$A$2:$A$3001,$N156))</f>
        <v/>
      </c>
      <c r="D156" s="25" t="str">
        <f>IF($N156="","",INDEX('_calc'!$C$2:$C$3001,$N156))</f>
        <v/>
      </c>
      <c r="E156" s="25" t="str">
        <f>IF($N156="","",INDEX('_calc'!$D$2:$D$3001,$N156))</f>
        <v/>
      </c>
      <c r="F156" s="26" t="str">
        <f>IF($N156="","",IF($E$8=0,"",E156/$E$8))</f>
        <v/>
      </c>
      <c r="G156" s="25" t="str">
        <f>IF($N156="","",INDEX('_calc'!$E$2:$E$3001,$N156))</f>
        <v/>
      </c>
      <c r="H156" s="25" t="str">
        <f>IF($N156="","",INDEX('_calc'!$F$2:$F$3001,$N156))</f>
        <v/>
      </c>
      <c r="I156" s="27" t="str">
        <f>IF($N156="","",INDEX('_calc'!$H$2:$H$3001,$N156))</f>
        <v/>
      </c>
      <c r="J156" s="27" t="str">
        <f>IF($N156="","",INDEX('_calc'!$I$2:$I$3001,$N156))</f>
        <v/>
      </c>
      <c r="K156" s="28" t="str">
        <f>IF($N156="","",IF(OR(I156="",J156=""),"",J156-I156))</f>
        <v/>
      </c>
      <c r="L156" s="29" t="str">
        <f>IF($N156="","",INDEX('_calc'!$J$2:$J$3001,$N156))</f>
        <v/>
      </c>
      <c r="M156" s="2" t="str">
        <f>IF($N156="","",IF(AND(G156=0,H156=0),"수량 없음",IF(G156=0,"신규 (전년 수량 없음)",IF(H156=0,"당해 수량 없음",""))))</f>
        <v/>
      </c>
      <c r="N156" t="str">
        <f>IF($B156="","",MATCH($B156,'_calc'!$L$2:$L$3001,0))</f>
        <v/>
      </c>
    </row>
    <row r="157">
      <c r="B157" s="24" t="str">
        <f>IF(ROW()-ROW($B$8)&gt;nComp,"",ROW()-ROW($B$8))</f>
        <v/>
      </c>
      <c r="C157" t="str">
        <f>IF($N157="","",INDEX('_calc'!$A$2:$A$3001,$N157))</f>
        <v/>
      </c>
      <c r="D157" s="25" t="str">
        <f>IF($N157="","",INDEX('_calc'!$C$2:$C$3001,$N157))</f>
        <v/>
      </c>
      <c r="E157" s="25" t="str">
        <f>IF($N157="","",INDEX('_calc'!$D$2:$D$3001,$N157))</f>
        <v/>
      </c>
      <c r="F157" s="26" t="str">
        <f>IF($N157="","",IF($E$8=0,"",E157/$E$8))</f>
        <v/>
      </c>
      <c r="G157" s="25" t="str">
        <f>IF($N157="","",INDEX('_calc'!$E$2:$E$3001,$N157))</f>
        <v/>
      </c>
      <c r="H157" s="25" t="str">
        <f>IF($N157="","",INDEX('_calc'!$F$2:$F$3001,$N157))</f>
        <v/>
      </c>
      <c r="I157" s="27" t="str">
        <f>IF($N157="","",INDEX('_calc'!$H$2:$H$3001,$N157))</f>
        <v/>
      </c>
      <c r="J157" s="27" t="str">
        <f>IF($N157="","",INDEX('_calc'!$I$2:$I$3001,$N157))</f>
        <v/>
      </c>
      <c r="K157" s="28" t="str">
        <f>IF($N157="","",IF(OR(I157="",J157=""),"",J157-I157))</f>
        <v/>
      </c>
      <c r="L157" s="29" t="str">
        <f>IF($N157="","",INDEX('_calc'!$J$2:$J$3001,$N157))</f>
        <v/>
      </c>
      <c r="M157" s="2" t="str">
        <f>IF($N157="","",IF(AND(G157=0,H157=0),"수량 없음",IF(G157=0,"신규 (전년 수량 없음)",IF(H157=0,"당해 수량 없음",""))))</f>
        <v/>
      </c>
      <c r="N157" t="str">
        <f>IF($B157="","",MATCH($B157,'_calc'!$L$2:$L$3001,0))</f>
        <v/>
      </c>
    </row>
    <row r="158">
      <c r="B158" s="24" t="str">
        <f>IF(ROW()-ROW($B$8)&gt;nComp,"",ROW()-ROW($B$8))</f>
        <v/>
      </c>
      <c r="C158" t="str">
        <f>IF($N158="","",INDEX('_calc'!$A$2:$A$3001,$N158))</f>
        <v/>
      </c>
      <c r="D158" s="25" t="str">
        <f>IF($N158="","",INDEX('_calc'!$C$2:$C$3001,$N158))</f>
        <v/>
      </c>
      <c r="E158" s="25" t="str">
        <f>IF($N158="","",INDEX('_calc'!$D$2:$D$3001,$N158))</f>
        <v/>
      </c>
      <c r="F158" s="26" t="str">
        <f>IF($N158="","",IF($E$8=0,"",E158/$E$8))</f>
        <v/>
      </c>
      <c r="G158" s="25" t="str">
        <f>IF($N158="","",INDEX('_calc'!$E$2:$E$3001,$N158))</f>
        <v/>
      </c>
      <c r="H158" s="25" t="str">
        <f>IF($N158="","",INDEX('_calc'!$F$2:$F$3001,$N158))</f>
        <v/>
      </c>
      <c r="I158" s="27" t="str">
        <f>IF($N158="","",INDEX('_calc'!$H$2:$H$3001,$N158))</f>
        <v/>
      </c>
      <c r="J158" s="27" t="str">
        <f>IF($N158="","",INDEX('_calc'!$I$2:$I$3001,$N158))</f>
        <v/>
      </c>
      <c r="K158" s="28" t="str">
        <f>IF($N158="","",IF(OR(I158="",J158=""),"",J158-I158))</f>
        <v/>
      </c>
      <c r="L158" s="29" t="str">
        <f>IF($N158="","",INDEX('_calc'!$J$2:$J$3001,$N158))</f>
        <v/>
      </c>
      <c r="M158" s="2" t="str">
        <f>IF($N158="","",IF(AND(G158=0,H158=0),"수량 없음",IF(G158=0,"신규 (전년 수량 없음)",IF(H158=0,"당해 수량 없음",""))))</f>
        <v/>
      </c>
      <c r="N158" t="str">
        <f>IF($B158="","",MATCH($B158,'_calc'!$L$2:$L$3001,0))</f>
        <v/>
      </c>
    </row>
    <row r="159">
      <c r="B159" s="24" t="str">
        <f>IF(ROW()-ROW($B$8)&gt;nComp,"",ROW()-ROW($B$8))</f>
        <v/>
      </c>
      <c r="C159" t="str">
        <f>IF($N159="","",INDEX('_calc'!$A$2:$A$3001,$N159))</f>
        <v/>
      </c>
      <c r="D159" s="25" t="str">
        <f>IF($N159="","",INDEX('_calc'!$C$2:$C$3001,$N159))</f>
        <v/>
      </c>
      <c r="E159" s="25" t="str">
        <f>IF($N159="","",INDEX('_calc'!$D$2:$D$3001,$N159))</f>
        <v/>
      </c>
      <c r="F159" s="26" t="str">
        <f>IF($N159="","",IF($E$8=0,"",E159/$E$8))</f>
        <v/>
      </c>
      <c r="G159" s="25" t="str">
        <f>IF($N159="","",INDEX('_calc'!$E$2:$E$3001,$N159))</f>
        <v/>
      </c>
      <c r="H159" s="25" t="str">
        <f>IF($N159="","",INDEX('_calc'!$F$2:$F$3001,$N159))</f>
        <v/>
      </c>
      <c r="I159" s="27" t="str">
        <f>IF($N159="","",INDEX('_calc'!$H$2:$H$3001,$N159))</f>
        <v/>
      </c>
      <c r="J159" s="27" t="str">
        <f>IF($N159="","",INDEX('_calc'!$I$2:$I$3001,$N159))</f>
        <v/>
      </c>
      <c r="K159" s="28" t="str">
        <f>IF($N159="","",IF(OR(I159="",J159=""),"",J159-I159))</f>
        <v/>
      </c>
      <c r="L159" s="29" t="str">
        <f>IF($N159="","",INDEX('_calc'!$J$2:$J$3001,$N159))</f>
        <v/>
      </c>
      <c r="M159" s="2" t="str">
        <f>IF($N159="","",IF(AND(G159=0,H159=0),"수량 없음",IF(G159=0,"신규 (전년 수량 없음)",IF(H159=0,"당해 수량 없음",""))))</f>
        <v/>
      </c>
      <c r="N159" t="str">
        <f>IF($B159="","",MATCH($B159,'_calc'!$L$2:$L$3001,0))</f>
        <v/>
      </c>
    </row>
    <row r="160">
      <c r="B160" s="24" t="str">
        <f>IF(ROW()-ROW($B$8)&gt;nComp,"",ROW()-ROW($B$8))</f>
        <v/>
      </c>
      <c r="C160" t="str">
        <f>IF($N160="","",INDEX('_calc'!$A$2:$A$3001,$N160))</f>
        <v/>
      </c>
      <c r="D160" s="25" t="str">
        <f>IF($N160="","",INDEX('_calc'!$C$2:$C$3001,$N160))</f>
        <v/>
      </c>
      <c r="E160" s="25" t="str">
        <f>IF($N160="","",INDEX('_calc'!$D$2:$D$3001,$N160))</f>
        <v/>
      </c>
      <c r="F160" s="26" t="str">
        <f>IF($N160="","",IF($E$8=0,"",E160/$E$8))</f>
        <v/>
      </c>
      <c r="G160" s="25" t="str">
        <f>IF($N160="","",INDEX('_calc'!$E$2:$E$3001,$N160))</f>
        <v/>
      </c>
      <c r="H160" s="25" t="str">
        <f>IF($N160="","",INDEX('_calc'!$F$2:$F$3001,$N160))</f>
        <v/>
      </c>
      <c r="I160" s="27" t="str">
        <f>IF($N160="","",INDEX('_calc'!$H$2:$H$3001,$N160))</f>
        <v/>
      </c>
      <c r="J160" s="27" t="str">
        <f>IF($N160="","",INDEX('_calc'!$I$2:$I$3001,$N160))</f>
        <v/>
      </c>
      <c r="K160" s="28" t="str">
        <f>IF($N160="","",IF(OR(I160="",J160=""),"",J160-I160))</f>
        <v/>
      </c>
      <c r="L160" s="29" t="str">
        <f>IF($N160="","",INDEX('_calc'!$J$2:$J$3001,$N160))</f>
        <v/>
      </c>
      <c r="M160" s="2" t="str">
        <f>IF($N160="","",IF(AND(G160=0,H160=0),"수량 없음",IF(G160=0,"신규 (전년 수량 없음)",IF(H160=0,"당해 수량 없음",""))))</f>
        <v/>
      </c>
      <c r="N160" t="str">
        <f>IF($B160="","",MATCH($B160,'_calc'!$L$2:$L$3001,0))</f>
        <v/>
      </c>
    </row>
    <row r="161">
      <c r="B161" s="24" t="str">
        <f>IF(ROW()-ROW($B$8)&gt;nComp,"",ROW()-ROW($B$8))</f>
        <v/>
      </c>
      <c r="C161" t="str">
        <f>IF($N161="","",INDEX('_calc'!$A$2:$A$3001,$N161))</f>
        <v/>
      </c>
      <c r="D161" s="25" t="str">
        <f>IF($N161="","",INDEX('_calc'!$C$2:$C$3001,$N161))</f>
        <v/>
      </c>
      <c r="E161" s="25" t="str">
        <f>IF($N161="","",INDEX('_calc'!$D$2:$D$3001,$N161))</f>
        <v/>
      </c>
      <c r="F161" s="26" t="str">
        <f>IF($N161="","",IF($E$8=0,"",E161/$E$8))</f>
        <v/>
      </c>
      <c r="G161" s="25" t="str">
        <f>IF($N161="","",INDEX('_calc'!$E$2:$E$3001,$N161))</f>
        <v/>
      </c>
      <c r="H161" s="25" t="str">
        <f>IF($N161="","",INDEX('_calc'!$F$2:$F$3001,$N161))</f>
        <v/>
      </c>
      <c r="I161" s="27" t="str">
        <f>IF($N161="","",INDEX('_calc'!$H$2:$H$3001,$N161))</f>
        <v/>
      </c>
      <c r="J161" s="27" t="str">
        <f>IF($N161="","",INDEX('_calc'!$I$2:$I$3001,$N161))</f>
        <v/>
      </c>
      <c r="K161" s="28" t="str">
        <f>IF($N161="","",IF(OR(I161="",J161=""),"",J161-I161))</f>
        <v/>
      </c>
      <c r="L161" s="29" t="str">
        <f>IF($N161="","",INDEX('_calc'!$J$2:$J$3001,$N161))</f>
        <v/>
      </c>
      <c r="M161" s="2" t="str">
        <f>IF($N161="","",IF(AND(G161=0,H161=0),"수량 없음",IF(G161=0,"신규 (전년 수량 없음)",IF(H161=0,"당해 수량 없음",""))))</f>
        <v/>
      </c>
      <c r="N161" t="str">
        <f>IF($B161="","",MATCH($B161,'_calc'!$L$2:$L$3001,0))</f>
        <v/>
      </c>
    </row>
    <row r="162">
      <c r="B162" s="24" t="str">
        <f>IF(ROW()-ROW($B$8)&gt;nComp,"",ROW()-ROW($B$8))</f>
        <v/>
      </c>
      <c r="C162" t="str">
        <f>IF($N162="","",INDEX('_calc'!$A$2:$A$3001,$N162))</f>
        <v/>
      </c>
      <c r="D162" s="25" t="str">
        <f>IF($N162="","",INDEX('_calc'!$C$2:$C$3001,$N162))</f>
        <v/>
      </c>
      <c r="E162" s="25" t="str">
        <f>IF($N162="","",INDEX('_calc'!$D$2:$D$3001,$N162))</f>
        <v/>
      </c>
      <c r="F162" s="26" t="str">
        <f>IF($N162="","",IF($E$8=0,"",E162/$E$8))</f>
        <v/>
      </c>
      <c r="G162" s="25" t="str">
        <f>IF($N162="","",INDEX('_calc'!$E$2:$E$3001,$N162))</f>
        <v/>
      </c>
      <c r="H162" s="25" t="str">
        <f>IF($N162="","",INDEX('_calc'!$F$2:$F$3001,$N162))</f>
        <v/>
      </c>
      <c r="I162" s="27" t="str">
        <f>IF($N162="","",INDEX('_calc'!$H$2:$H$3001,$N162))</f>
        <v/>
      </c>
      <c r="J162" s="27" t="str">
        <f>IF($N162="","",INDEX('_calc'!$I$2:$I$3001,$N162))</f>
        <v/>
      </c>
      <c r="K162" s="28" t="str">
        <f>IF($N162="","",IF(OR(I162="",J162=""),"",J162-I162))</f>
        <v/>
      </c>
      <c r="L162" s="29" t="str">
        <f>IF($N162="","",INDEX('_calc'!$J$2:$J$3001,$N162))</f>
        <v/>
      </c>
      <c r="M162" s="2" t="str">
        <f>IF($N162="","",IF(AND(G162=0,H162=0),"수량 없음",IF(G162=0,"신규 (전년 수량 없음)",IF(H162=0,"당해 수량 없음",""))))</f>
        <v/>
      </c>
      <c r="N162" t="str">
        <f>IF($B162="","",MATCH($B162,'_calc'!$L$2:$L$3001,0))</f>
        <v/>
      </c>
    </row>
    <row r="163">
      <c r="B163" s="24" t="str">
        <f>IF(ROW()-ROW($B$8)&gt;nComp,"",ROW()-ROW($B$8))</f>
        <v/>
      </c>
      <c r="C163" t="str">
        <f>IF($N163="","",INDEX('_calc'!$A$2:$A$3001,$N163))</f>
        <v/>
      </c>
      <c r="D163" s="25" t="str">
        <f>IF($N163="","",INDEX('_calc'!$C$2:$C$3001,$N163))</f>
        <v/>
      </c>
      <c r="E163" s="25" t="str">
        <f>IF($N163="","",INDEX('_calc'!$D$2:$D$3001,$N163))</f>
        <v/>
      </c>
      <c r="F163" s="26" t="str">
        <f>IF($N163="","",IF($E$8=0,"",E163/$E$8))</f>
        <v/>
      </c>
      <c r="G163" s="25" t="str">
        <f>IF($N163="","",INDEX('_calc'!$E$2:$E$3001,$N163))</f>
        <v/>
      </c>
      <c r="H163" s="25" t="str">
        <f>IF($N163="","",INDEX('_calc'!$F$2:$F$3001,$N163))</f>
        <v/>
      </c>
      <c r="I163" s="27" t="str">
        <f>IF($N163="","",INDEX('_calc'!$H$2:$H$3001,$N163))</f>
        <v/>
      </c>
      <c r="J163" s="27" t="str">
        <f>IF($N163="","",INDEX('_calc'!$I$2:$I$3001,$N163))</f>
        <v/>
      </c>
      <c r="K163" s="28" t="str">
        <f>IF($N163="","",IF(OR(I163="",J163=""),"",J163-I163))</f>
        <v/>
      </c>
      <c r="L163" s="29" t="str">
        <f>IF($N163="","",INDEX('_calc'!$J$2:$J$3001,$N163))</f>
        <v/>
      </c>
      <c r="M163" s="2" t="str">
        <f>IF($N163="","",IF(AND(G163=0,H163=0),"수량 없음",IF(G163=0,"신규 (전년 수량 없음)",IF(H163=0,"당해 수량 없음",""))))</f>
        <v/>
      </c>
      <c r="N163" t="str">
        <f>IF($B163="","",MATCH($B163,'_calc'!$L$2:$L$3001,0))</f>
        <v/>
      </c>
    </row>
    <row r="164">
      <c r="B164" s="24" t="str">
        <f>IF(ROW()-ROW($B$8)&gt;nComp,"",ROW()-ROW($B$8))</f>
        <v/>
      </c>
      <c r="C164" t="str">
        <f>IF($N164="","",INDEX('_calc'!$A$2:$A$3001,$N164))</f>
        <v/>
      </c>
      <c r="D164" s="25" t="str">
        <f>IF($N164="","",INDEX('_calc'!$C$2:$C$3001,$N164))</f>
        <v/>
      </c>
      <c r="E164" s="25" t="str">
        <f>IF($N164="","",INDEX('_calc'!$D$2:$D$3001,$N164))</f>
        <v/>
      </c>
      <c r="F164" s="26" t="str">
        <f>IF($N164="","",IF($E$8=0,"",E164/$E$8))</f>
        <v/>
      </c>
      <c r="G164" s="25" t="str">
        <f>IF($N164="","",INDEX('_calc'!$E$2:$E$3001,$N164))</f>
        <v/>
      </c>
      <c r="H164" s="25" t="str">
        <f>IF($N164="","",INDEX('_calc'!$F$2:$F$3001,$N164))</f>
        <v/>
      </c>
      <c r="I164" s="27" t="str">
        <f>IF($N164="","",INDEX('_calc'!$H$2:$H$3001,$N164))</f>
        <v/>
      </c>
      <c r="J164" s="27" t="str">
        <f>IF($N164="","",INDEX('_calc'!$I$2:$I$3001,$N164))</f>
        <v/>
      </c>
      <c r="K164" s="28" t="str">
        <f>IF($N164="","",IF(OR(I164="",J164=""),"",J164-I164))</f>
        <v/>
      </c>
      <c r="L164" s="29" t="str">
        <f>IF($N164="","",INDEX('_calc'!$J$2:$J$3001,$N164))</f>
        <v/>
      </c>
      <c r="M164" s="2" t="str">
        <f>IF($N164="","",IF(AND(G164=0,H164=0),"수량 없음",IF(G164=0,"신규 (전년 수량 없음)",IF(H164=0,"당해 수량 없음",""))))</f>
        <v/>
      </c>
      <c r="N164" t="str">
        <f>IF($B164="","",MATCH($B164,'_calc'!$L$2:$L$3001,0))</f>
        <v/>
      </c>
    </row>
    <row r="165">
      <c r="B165" s="24" t="str">
        <f>IF(ROW()-ROW($B$8)&gt;nComp,"",ROW()-ROW($B$8))</f>
        <v/>
      </c>
      <c r="C165" t="str">
        <f>IF($N165="","",INDEX('_calc'!$A$2:$A$3001,$N165))</f>
        <v/>
      </c>
      <c r="D165" s="25" t="str">
        <f>IF($N165="","",INDEX('_calc'!$C$2:$C$3001,$N165))</f>
        <v/>
      </c>
      <c r="E165" s="25" t="str">
        <f>IF($N165="","",INDEX('_calc'!$D$2:$D$3001,$N165))</f>
        <v/>
      </c>
      <c r="F165" s="26" t="str">
        <f>IF($N165="","",IF($E$8=0,"",E165/$E$8))</f>
        <v/>
      </c>
      <c r="G165" s="25" t="str">
        <f>IF($N165="","",INDEX('_calc'!$E$2:$E$3001,$N165))</f>
        <v/>
      </c>
      <c r="H165" s="25" t="str">
        <f>IF($N165="","",INDEX('_calc'!$F$2:$F$3001,$N165))</f>
        <v/>
      </c>
      <c r="I165" s="27" t="str">
        <f>IF($N165="","",INDEX('_calc'!$H$2:$H$3001,$N165))</f>
        <v/>
      </c>
      <c r="J165" s="27" t="str">
        <f>IF($N165="","",INDEX('_calc'!$I$2:$I$3001,$N165))</f>
        <v/>
      </c>
      <c r="K165" s="28" t="str">
        <f>IF($N165="","",IF(OR(I165="",J165=""),"",J165-I165))</f>
        <v/>
      </c>
      <c r="L165" s="29" t="str">
        <f>IF($N165="","",INDEX('_calc'!$J$2:$J$3001,$N165))</f>
        <v/>
      </c>
      <c r="M165" s="2" t="str">
        <f>IF($N165="","",IF(AND(G165=0,H165=0),"수량 없음",IF(G165=0,"신규 (전년 수량 없음)",IF(H165=0,"당해 수량 없음",""))))</f>
        <v/>
      </c>
      <c r="N165" t="str">
        <f>IF($B165="","",MATCH($B165,'_calc'!$L$2:$L$3001,0))</f>
        <v/>
      </c>
    </row>
    <row r="166">
      <c r="B166" s="24" t="str">
        <f>IF(ROW()-ROW($B$8)&gt;nComp,"",ROW()-ROW($B$8))</f>
        <v/>
      </c>
      <c r="C166" t="str">
        <f>IF($N166="","",INDEX('_calc'!$A$2:$A$3001,$N166))</f>
        <v/>
      </c>
      <c r="D166" s="25" t="str">
        <f>IF($N166="","",INDEX('_calc'!$C$2:$C$3001,$N166))</f>
        <v/>
      </c>
      <c r="E166" s="25" t="str">
        <f>IF($N166="","",INDEX('_calc'!$D$2:$D$3001,$N166))</f>
        <v/>
      </c>
      <c r="F166" s="26" t="str">
        <f>IF($N166="","",IF($E$8=0,"",E166/$E$8))</f>
        <v/>
      </c>
      <c r="G166" s="25" t="str">
        <f>IF($N166="","",INDEX('_calc'!$E$2:$E$3001,$N166))</f>
        <v/>
      </c>
      <c r="H166" s="25" t="str">
        <f>IF($N166="","",INDEX('_calc'!$F$2:$F$3001,$N166))</f>
        <v/>
      </c>
      <c r="I166" s="27" t="str">
        <f>IF($N166="","",INDEX('_calc'!$H$2:$H$3001,$N166))</f>
        <v/>
      </c>
      <c r="J166" s="27" t="str">
        <f>IF($N166="","",INDEX('_calc'!$I$2:$I$3001,$N166))</f>
        <v/>
      </c>
      <c r="K166" s="28" t="str">
        <f>IF($N166="","",IF(OR(I166="",J166=""),"",J166-I166))</f>
        <v/>
      </c>
      <c r="L166" s="29" t="str">
        <f>IF($N166="","",INDEX('_calc'!$J$2:$J$3001,$N166))</f>
        <v/>
      </c>
      <c r="M166" s="2" t="str">
        <f>IF($N166="","",IF(AND(G166=0,H166=0),"수량 없음",IF(G166=0,"신규 (전년 수량 없음)",IF(H166=0,"당해 수량 없음",""))))</f>
        <v/>
      </c>
      <c r="N166" t="str">
        <f>IF($B166="","",MATCH($B166,'_calc'!$L$2:$L$3001,0))</f>
        <v/>
      </c>
    </row>
    <row r="167">
      <c r="B167" s="24" t="str">
        <f>IF(ROW()-ROW($B$8)&gt;nComp,"",ROW()-ROW($B$8))</f>
        <v/>
      </c>
      <c r="C167" t="str">
        <f>IF($N167="","",INDEX('_calc'!$A$2:$A$3001,$N167))</f>
        <v/>
      </c>
      <c r="D167" s="25" t="str">
        <f>IF($N167="","",INDEX('_calc'!$C$2:$C$3001,$N167))</f>
        <v/>
      </c>
      <c r="E167" s="25" t="str">
        <f>IF($N167="","",INDEX('_calc'!$D$2:$D$3001,$N167))</f>
        <v/>
      </c>
      <c r="F167" s="26" t="str">
        <f>IF($N167="","",IF($E$8=0,"",E167/$E$8))</f>
        <v/>
      </c>
      <c r="G167" s="25" t="str">
        <f>IF($N167="","",INDEX('_calc'!$E$2:$E$3001,$N167))</f>
        <v/>
      </c>
      <c r="H167" s="25" t="str">
        <f>IF($N167="","",INDEX('_calc'!$F$2:$F$3001,$N167))</f>
        <v/>
      </c>
      <c r="I167" s="27" t="str">
        <f>IF($N167="","",INDEX('_calc'!$H$2:$H$3001,$N167))</f>
        <v/>
      </c>
      <c r="J167" s="27" t="str">
        <f>IF($N167="","",INDEX('_calc'!$I$2:$I$3001,$N167))</f>
        <v/>
      </c>
      <c r="K167" s="28" t="str">
        <f>IF($N167="","",IF(OR(I167="",J167=""),"",J167-I167))</f>
        <v/>
      </c>
      <c r="L167" s="29" t="str">
        <f>IF($N167="","",INDEX('_calc'!$J$2:$J$3001,$N167))</f>
        <v/>
      </c>
      <c r="M167" s="2" t="str">
        <f>IF($N167="","",IF(AND(G167=0,H167=0),"수량 없음",IF(G167=0,"신규 (전년 수량 없음)",IF(H167=0,"당해 수량 없음",""))))</f>
        <v/>
      </c>
      <c r="N167" t="str">
        <f>IF($B167="","",MATCH($B167,'_calc'!$L$2:$L$3001,0))</f>
        <v/>
      </c>
    </row>
    <row r="168">
      <c r="B168" s="24" t="str">
        <f>IF(ROW()-ROW($B$8)&gt;nComp,"",ROW()-ROW($B$8))</f>
        <v/>
      </c>
      <c r="C168" t="str">
        <f>IF($N168="","",INDEX('_calc'!$A$2:$A$3001,$N168))</f>
        <v/>
      </c>
      <c r="D168" s="25" t="str">
        <f>IF($N168="","",INDEX('_calc'!$C$2:$C$3001,$N168))</f>
        <v/>
      </c>
      <c r="E168" s="25" t="str">
        <f>IF($N168="","",INDEX('_calc'!$D$2:$D$3001,$N168))</f>
        <v/>
      </c>
      <c r="F168" s="26" t="str">
        <f>IF($N168="","",IF($E$8=0,"",E168/$E$8))</f>
        <v/>
      </c>
      <c r="G168" s="25" t="str">
        <f>IF($N168="","",INDEX('_calc'!$E$2:$E$3001,$N168))</f>
        <v/>
      </c>
      <c r="H168" s="25" t="str">
        <f>IF($N168="","",INDEX('_calc'!$F$2:$F$3001,$N168))</f>
        <v/>
      </c>
      <c r="I168" s="27" t="str">
        <f>IF($N168="","",INDEX('_calc'!$H$2:$H$3001,$N168))</f>
        <v/>
      </c>
      <c r="J168" s="27" t="str">
        <f>IF($N168="","",INDEX('_calc'!$I$2:$I$3001,$N168))</f>
        <v/>
      </c>
      <c r="K168" s="28" t="str">
        <f>IF($N168="","",IF(OR(I168="",J168=""),"",J168-I168))</f>
        <v/>
      </c>
      <c r="L168" s="29" t="str">
        <f>IF($N168="","",INDEX('_calc'!$J$2:$J$3001,$N168))</f>
        <v/>
      </c>
      <c r="M168" s="2" t="str">
        <f>IF($N168="","",IF(AND(G168=0,H168=0),"수량 없음",IF(G168=0,"신규 (전년 수량 없음)",IF(H168=0,"당해 수량 없음",""))))</f>
        <v/>
      </c>
      <c r="N168" t="str">
        <f>IF($B168="","",MATCH($B168,'_calc'!$L$2:$L$3001,0))</f>
        <v/>
      </c>
    </row>
    <row r="169">
      <c r="B169" s="24" t="str">
        <f>IF(ROW()-ROW($B$8)&gt;nComp,"",ROW()-ROW($B$8))</f>
        <v/>
      </c>
      <c r="C169" t="str">
        <f>IF($N169="","",INDEX('_calc'!$A$2:$A$3001,$N169))</f>
        <v/>
      </c>
      <c r="D169" s="25" t="str">
        <f>IF($N169="","",INDEX('_calc'!$C$2:$C$3001,$N169))</f>
        <v/>
      </c>
      <c r="E169" s="25" t="str">
        <f>IF($N169="","",INDEX('_calc'!$D$2:$D$3001,$N169))</f>
        <v/>
      </c>
      <c r="F169" s="26" t="str">
        <f>IF($N169="","",IF($E$8=0,"",E169/$E$8))</f>
        <v/>
      </c>
      <c r="G169" s="25" t="str">
        <f>IF($N169="","",INDEX('_calc'!$E$2:$E$3001,$N169))</f>
        <v/>
      </c>
      <c r="H169" s="25" t="str">
        <f>IF($N169="","",INDEX('_calc'!$F$2:$F$3001,$N169))</f>
        <v/>
      </c>
      <c r="I169" s="27" t="str">
        <f>IF($N169="","",INDEX('_calc'!$H$2:$H$3001,$N169))</f>
        <v/>
      </c>
      <c r="J169" s="27" t="str">
        <f>IF($N169="","",INDEX('_calc'!$I$2:$I$3001,$N169))</f>
        <v/>
      </c>
      <c r="K169" s="28" t="str">
        <f>IF($N169="","",IF(OR(I169="",J169=""),"",J169-I169))</f>
        <v/>
      </c>
      <c r="L169" s="29" t="str">
        <f>IF($N169="","",INDEX('_calc'!$J$2:$J$3001,$N169))</f>
        <v/>
      </c>
      <c r="M169" s="2" t="str">
        <f>IF($N169="","",IF(AND(G169=0,H169=0),"수량 없음",IF(G169=0,"신규 (전년 수량 없음)",IF(H169=0,"당해 수량 없음",""))))</f>
        <v/>
      </c>
      <c r="N169" t="str">
        <f>IF($B169="","",MATCH($B169,'_calc'!$L$2:$L$3001,0))</f>
        <v/>
      </c>
    </row>
    <row r="170">
      <c r="B170" s="24" t="str">
        <f>IF(ROW()-ROW($B$8)&gt;nComp,"",ROW()-ROW($B$8))</f>
        <v/>
      </c>
      <c r="C170" t="str">
        <f>IF($N170="","",INDEX('_calc'!$A$2:$A$3001,$N170))</f>
        <v/>
      </c>
      <c r="D170" s="25" t="str">
        <f>IF($N170="","",INDEX('_calc'!$C$2:$C$3001,$N170))</f>
        <v/>
      </c>
      <c r="E170" s="25" t="str">
        <f>IF($N170="","",INDEX('_calc'!$D$2:$D$3001,$N170))</f>
        <v/>
      </c>
      <c r="F170" s="26" t="str">
        <f>IF($N170="","",IF($E$8=0,"",E170/$E$8))</f>
        <v/>
      </c>
      <c r="G170" s="25" t="str">
        <f>IF($N170="","",INDEX('_calc'!$E$2:$E$3001,$N170))</f>
        <v/>
      </c>
      <c r="H170" s="25" t="str">
        <f>IF($N170="","",INDEX('_calc'!$F$2:$F$3001,$N170))</f>
        <v/>
      </c>
      <c r="I170" s="27" t="str">
        <f>IF($N170="","",INDEX('_calc'!$H$2:$H$3001,$N170))</f>
        <v/>
      </c>
      <c r="J170" s="27" t="str">
        <f>IF($N170="","",INDEX('_calc'!$I$2:$I$3001,$N170))</f>
        <v/>
      </c>
      <c r="K170" s="28" t="str">
        <f>IF($N170="","",IF(OR(I170="",J170=""),"",J170-I170))</f>
        <v/>
      </c>
      <c r="L170" s="29" t="str">
        <f>IF($N170="","",INDEX('_calc'!$J$2:$J$3001,$N170))</f>
        <v/>
      </c>
      <c r="M170" s="2" t="str">
        <f>IF($N170="","",IF(AND(G170=0,H170=0),"수량 없음",IF(G170=0,"신규 (전년 수량 없음)",IF(H170=0,"당해 수량 없음",""))))</f>
        <v/>
      </c>
      <c r="N170" t="str">
        <f>IF($B170="","",MATCH($B170,'_calc'!$L$2:$L$3001,0))</f>
        <v/>
      </c>
    </row>
    <row r="171">
      <c r="B171" s="24" t="str">
        <f>IF(ROW()-ROW($B$8)&gt;nComp,"",ROW()-ROW($B$8))</f>
        <v/>
      </c>
      <c r="C171" t="str">
        <f>IF($N171="","",INDEX('_calc'!$A$2:$A$3001,$N171))</f>
        <v/>
      </c>
      <c r="D171" s="25" t="str">
        <f>IF($N171="","",INDEX('_calc'!$C$2:$C$3001,$N171))</f>
        <v/>
      </c>
      <c r="E171" s="25" t="str">
        <f>IF($N171="","",INDEX('_calc'!$D$2:$D$3001,$N171))</f>
        <v/>
      </c>
      <c r="F171" s="26" t="str">
        <f>IF($N171="","",IF($E$8=0,"",E171/$E$8))</f>
        <v/>
      </c>
      <c r="G171" s="25" t="str">
        <f>IF($N171="","",INDEX('_calc'!$E$2:$E$3001,$N171))</f>
        <v/>
      </c>
      <c r="H171" s="25" t="str">
        <f>IF($N171="","",INDEX('_calc'!$F$2:$F$3001,$N171))</f>
        <v/>
      </c>
      <c r="I171" s="27" t="str">
        <f>IF($N171="","",INDEX('_calc'!$H$2:$H$3001,$N171))</f>
        <v/>
      </c>
      <c r="J171" s="27" t="str">
        <f>IF($N171="","",INDEX('_calc'!$I$2:$I$3001,$N171))</f>
        <v/>
      </c>
      <c r="K171" s="28" t="str">
        <f>IF($N171="","",IF(OR(I171="",J171=""),"",J171-I171))</f>
        <v/>
      </c>
      <c r="L171" s="29" t="str">
        <f>IF($N171="","",INDEX('_calc'!$J$2:$J$3001,$N171))</f>
        <v/>
      </c>
      <c r="M171" s="2" t="str">
        <f>IF($N171="","",IF(AND(G171=0,H171=0),"수량 없음",IF(G171=0,"신규 (전년 수량 없음)",IF(H171=0,"당해 수량 없음",""))))</f>
        <v/>
      </c>
      <c r="N171" t="str">
        <f>IF($B171="","",MATCH($B171,'_calc'!$L$2:$L$3001,0))</f>
        <v/>
      </c>
    </row>
    <row r="172">
      <c r="B172" s="24" t="str">
        <f>IF(ROW()-ROW($B$8)&gt;nComp,"",ROW()-ROW($B$8))</f>
        <v/>
      </c>
      <c r="C172" t="str">
        <f>IF($N172="","",INDEX('_calc'!$A$2:$A$3001,$N172))</f>
        <v/>
      </c>
      <c r="D172" s="25" t="str">
        <f>IF($N172="","",INDEX('_calc'!$C$2:$C$3001,$N172))</f>
        <v/>
      </c>
      <c r="E172" s="25" t="str">
        <f>IF($N172="","",INDEX('_calc'!$D$2:$D$3001,$N172))</f>
        <v/>
      </c>
      <c r="F172" s="26" t="str">
        <f>IF($N172="","",IF($E$8=0,"",E172/$E$8))</f>
        <v/>
      </c>
      <c r="G172" s="25" t="str">
        <f>IF($N172="","",INDEX('_calc'!$E$2:$E$3001,$N172))</f>
        <v/>
      </c>
      <c r="H172" s="25" t="str">
        <f>IF($N172="","",INDEX('_calc'!$F$2:$F$3001,$N172))</f>
        <v/>
      </c>
      <c r="I172" s="27" t="str">
        <f>IF($N172="","",INDEX('_calc'!$H$2:$H$3001,$N172))</f>
        <v/>
      </c>
      <c r="J172" s="27" t="str">
        <f>IF($N172="","",INDEX('_calc'!$I$2:$I$3001,$N172))</f>
        <v/>
      </c>
      <c r="K172" s="28" t="str">
        <f>IF($N172="","",IF(OR(I172="",J172=""),"",J172-I172))</f>
        <v/>
      </c>
      <c r="L172" s="29" t="str">
        <f>IF($N172="","",INDEX('_calc'!$J$2:$J$3001,$N172))</f>
        <v/>
      </c>
      <c r="M172" s="2" t="str">
        <f>IF($N172="","",IF(AND(G172=0,H172=0),"수량 없음",IF(G172=0,"신규 (전년 수량 없음)",IF(H172=0,"당해 수량 없음",""))))</f>
        <v/>
      </c>
      <c r="N172" t="str">
        <f>IF($B172="","",MATCH($B172,'_calc'!$L$2:$L$3001,0))</f>
        <v/>
      </c>
    </row>
    <row r="173">
      <c r="B173" s="24" t="str">
        <f>IF(ROW()-ROW($B$8)&gt;nComp,"",ROW()-ROW($B$8))</f>
        <v/>
      </c>
      <c r="C173" t="str">
        <f>IF($N173="","",INDEX('_calc'!$A$2:$A$3001,$N173))</f>
        <v/>
      </c>
      <c r="D173" s="25" t="str">
        <f>IF($N173="","",INDEX('_calc'!$C$2:$C$3001,$N173))</f>
        <v/>
      </c>
      <c r="E173" s="25" t="str">
        <f>IF($N173="","",INDEX('_calc'!$D$2:$D$3001,$N173))</f>
        <v/>
      </c>
      <c r="F173" s="26" t="str">
        <f>IF($N173="","",IF($E$8=0,"",E173/$E$8))</f>
        <v/>
      </c>
      <c r="G173" s="25" t="str">
        <f>IF($N173="","",INDEX('_calc'!$E$2:$E$3001,$N173))</f>
        <v/>
      </c>
      <c r="H173" s="25" t="str">
        <f>IF($N173="","",INDEX('_calc'!$F$2:$F$3001,$N173))</f>
        <v/>
      </c>
      <c r="I173" s="27" t="str">
        <f>IF($N173="","",INDEX('_calc'!$H$2:$H$3001,$N173))</f>
        <v/>
      </c>
      <c r="J173" s="27" t="str">
        <f>IF($N173="","",INDEX('_calc'!$I$2:$I$3001,$N173))</f>
        <v/>
      </c>
      <c r="K173" s="28" t="str">
        <f>IF($N173="","",IF(OR(I173="",J173=""),"",J173-I173))</f>
        <v/>
      </c>
      <c r="L173" s="29" t="str">
        <f>IF($N173="","",INDEX('_calc'!$J$2:$J$3001,$N173))</f>
        <v/>
      </c>
      <c r="M173" s="2" t="str">
        <f>IF($N173="","",IF(AND(G173=0,H173=0),"수량 없음",IF(G173=0,"신규 (전년 수량 없음)",IF(H173=0,"당해 수량 없음",""))))</f>
        <v/>
      </c>
      <c r="N173" t="str">
        <f>IF($B173="","",MATCH($B173,'_calc'!$L$2:$L$3001,0))</f>
        <v/>
      </c>
    </row>
    <row r="174">
      <c r="B174" s="24" t="str">
        <f>IF(ROW()-ROW($B$8)&gt;nComp,"",ROW()-ROW($B$8))</f>
        <v/>
      </c>
      <c r="C174" t="str">
        <f>IF($N174="","",INDEX('_calc'!$A$2:$A$3001,$N174))</f>
        <v/>
      </c>
      <c r="D174" s="25" t="str">
        <f>IF($N174="","",INDEX('_calc'!$C$2:$C$3001,$N174))</f>
        <v/>
      </c>
      <c r="E174" s="25" t="str">
        <f>IF($N174="","",INDEX('_calc'!$D$2:$D$3001,$N174))</f>
        <v/>
      </c>
      <c r="F174" s="26" t="str">
        <f>IF($N174="","",IF($E$8=0,"",E174/$E$8))</f>
        <v/>
      </c>
      <c r="G174" s="25" t="str">
        <f>IF($N174="","",INDEX('_calc'!$E$2:$E$3001,$N174))</f>
        <v/>
      </c>
      <c r="H174" s="25" t="str">
        <f>IF($N174="","",INDEX('_calc'!$F$2:$F$3001,$N174))</f>
        <v/>
      </c>
      <c r="I174" s="27" t="str">
        <f>IF($N174="","",INDEX('_calc'!$H$2:$H$3001,$N174))</f>
        <v/>
      </c>
      <c r="J174" s="27" t="str">
        <f>IF($N174="","",INDEX('_calc'!$I$2:$I$3001,$N174))</f>
        <v/>
      </c>
      <c r="K174" s="28" t="str">
        <f>IF($N174="","",IF(OR(I174="",J174=""),"",J174-I174))</f>
        <v/>
      </c>
      <c r="L174" s="29" t="str">
        <f>IF($N174="","",INDEX('_calc'!$J$2:$J$3001,$N174))</f>
        <v/>
      </c>
      <c r="M174" s="2" t="str">
        <f>IF($N174="","",IF(AND(G174=0,H174=0),"수량 없음",IF(G174=0,"신규 (전년 수량 없음)",IF(H174=0,"당해 수량 없음",""))))</f>
        <v/>
      </c>
      <c r="N174" t="str">
        <f>IF($B174="","",MATCH($B174,'_calc'!$L$2:$L$3001,0))</f>
        <v/>
      </c>
    </row>
    <row r="175">
      <c r="B175" s="24" t="str">
        <f>IF(ROW()-ROW($B$8)&gt;nComp,"",ROW()-ROW($B$8))</f>
        <v/>
      </c>
      <c r="C175" t="str">
        <f>IF($N175="","",INDEX('_calc'!$A$2:$A$3001,$N175))</f>
        <v/>
      </c>
      <c r="D175" s="25" t="str">
        <f>IF($N175="","",INDEX('_calc'!$C$2:$C$3001,$N175))</f>
        <v/>
      </c>
      <c r="E175" s="25" t="str">
        <f>IF($N175="","",INDEX('_calc'!$D$2:$D$3001,$N175))</f>
        <v/>
      </c>
      <c r="F175" s="26" t="str">
        <f>IF($N175="","",IF($E$8=0,"",E175/$E$8))</f>
        <v/>
      </c>
      <c r="G175" s="25" t="str">
        <f>IF($N175="","",INDEX('_calc'!$E$2:$E$3001,$N175))</f>
        <v/>
      </c>
      <c r="H175" s="25" t="str">
        <f>IF($N175="","",INDEX('_calc'!$F$2:$F$3001,$N175))</f>
        <v/>
      </c>
      <c r="I175" s="27" t="str">
        <f>IF($N175="","",INDEX('_calc'!$H$2:$H$3001,$N175))</f>
        <v/>
      </c>
      <c r="J175" s="27" t="str">
        <f>IF($N175="","",INDEX('_calc'!$I$2:$I$3001,$N175))</f>
        <v/>
      </c>
      <c r="K175" s="28" t="str">
        <f>IF($N175="","",IF(OR(I175="",J175=""),"",J175-I175))</f>
        <v/>
      </c>
      <c r="L175" s="29" t="str">
        <f>IF($N175="","",INDEX('_calc'!$J$2:$J$3001,$N175))</f>
        <v/>
      </c>
      <c r="M175" s="2" t="str">
        <f>IF($N175="","",IF(AND(G175=0,H175=0),"수량 없음",IF(G175=0,"신규 (전년 수량 없음)",IF(H175=0,"당해 수량 없음",""))))</f>
        <v/>
      </c>
      <c r="N175" t="str">
        <f>IF($B175="","",MATCH($B175,'_calc'!$L$2:$L$3001,0))</f>
        <v/>
      </c>
    </row>
    <row r="176">
      <c r="B176" s="24" t="str">
        <f>IF(ROW()-ROW($B$8)&gt;nComp,"",ROW()-ROW($B$8))</f>
        <v/>
      </c>
      <c r="C176" t="str">
        <f>IF($N176="","",INDEX('_calc'!$A$2:$A$3001,$N176))</f>
        <v/>
      </c>
      <c r="D176" s="25" t="str">
        <f>IF($N176="","",INDEX('_calc'!$C$2:$C$3001,$N176))</f>
        <v/>
      </c>
      <c r="E176" s="25" t="str">
        <f>IF($N176="","",INDEX('_calc'!$D$2:$D$3001,$N176))</f>
        <v/>
      </c>
      <c r="F176" s="26" t="str">
        <f>IF($N176="","",IF($E$8=0,"",E176/$E$8))</f>
        <v/>
      </c>
      <c r="G176" s="25" t="str">
        <f>IF($N176="","",INDEX('_calc'!$E$2:$E$3001,$N176))</f>
        <v/>
      </c>
      <c r="H176" s="25" t="str">
        <f>IF($N176="","",INDEX('_calc'!$F$2:$F$3001,$N176))</f>
        <v/>
      </c>
      <c r="I176" s="27" t="str">
        <f>IF($N176="","",INDEX('_calc'!$H$2:$H$3001,$N176))</f>
        <v/>
      </c>
      <c r="J176" s="27" t="str">
        <f>IF($N176="","",INDEX('_calc'!$I$2:$I$3001,$N176))</f>
        <v/>
      </c>
      <c r="K176" s="28" t="str">
        <f>IF($N176="","",IF(OR(I176="",J176=""),"",J176-I176))</f>
        <v/>
      </c>
      <c r="L176" s="29" t="str">
        <f>IF($N176="","",INDEX('_calc'!$J$2:$J$3001,$N176))</f>
        <v/>
      </c>
      <c r="M176" s="2" t="str">
        <f>IF($N176="","",IF(AND(G176=0,H176=0),"수량 없음",IF(G176=0,"신규 (전년 수량 없음)",IF(H176=0,"당해 수량 없음",""))))</f>
        <v/>
      </c>
      <c r="N176" t="str">
        <f>IF($B176="","",MATCH($B176,'_calc'!$L$2:$L$3001,0))</f>
        <v/>
      </c>
    </row>
    <row r="177">
      <c r="B177" s="24" t="str">
        <f>IF(ROW()-ROW($B$8)&gt;nComp,"",ROW()-ROW($B$8))</f>
        <v/>
      </c>
      <c r="C177" t="str">
        <f>IF($N177="","",INDEX('_calc'!$A$2:$A$3001,$N177))</f>
        <v/>
      </c>
      <c r="D177" s="25" t="str">
        <f>IF($N177="","",INDEX('_calc'!$C$2:$C$3001,$N177))</f>
        <v/>
      </c>
      <c r="E177" s="25" t="str">
        <f>IF($N177="","",INDEX('_calc'!$D$2:$D$3001,$N177))</f>
        <v/>
      </c>
      <c r="F177" s="26" t="str">
        <f>IF($N177="","",IF($E$8=0,"",E177/$E$8))</f>
        <v/>
      </c>
      <c r="G177" s="25" t="str">
        <f>IF($N177="","",INDEX('_calc'!$E$2:$E$3001,$N177))</f>
        <v/>
      </c>
      <c r="H177" s="25" t="str">
        <f>IF($N177="","",INDEX('_calc'!$F$2:$F$3001,$N177))</f>
        <v/>
      </c>
      <c r="I177" s="27" t="str">
        <f>IF($N177="","",INDEX('_calc'!$H$2:$H$3001,$N177))</f>
        <v/>
      </c>
      <c r="J177" s="27" t="str">
        <f>IF($N177="","",INDEX('_calc'!$I$2:$I$3001,$N177))</f>
        <v/>
      </c>
      <c r="K177" s="28" t="str">
        <f>IF($N177="","",IF(OR(I177="",J177=""),"",J177-I177))</f>
        <v/>
      </c>
      <c r="L177" s="29" t="str">
        <f>IF($N177="","",INDEX('_calc'!$J$2:$J$3001,$N177))</f>
        <v/>
      </c>
      <c r="M177" s="2" t="str">
        <f>IF($N177="","",IF(AND(G177=0,H177=0),"수량 없음",IF(G177=0,"신규 (전년 수량 없음)",IF(H177=0,"당해 수량 없음",""))))</f>
        <v/>
      </c>
      <c r="N177" t="str">
        <f>IF($B177="","",MATCH($B177,'_calc'!$L$2:$L$3001,0))</f>
        <v/>
      </c>
    </row>
    <row r="178">
      <c r="B178" s="24" t="str">
        <f>IF(ROW()-ROW($B$8)&gt;nComp,"",ROW()-ROW($B$8))</f>
        <v/>
      </c>
      <c r="C178" t="str">
        <f>IF($N178="","",INDEX('_calc'!$A$2:$A$3001,$N178))</f>
        <v/>
      </c>
      <c r="D178" s="25" t="str">
        <f>IF($N178="","",INDEX('_calc'!$C$2:$C$3001,$N178))</f>
        <v/>
      </c>
      <c r="E178" s="25" t="str">
        <f>IF($N178="","",INDEX('_calc'!$D$2:$D$3001,$N178))</f>
        <v/>
      </c>
      <c r="F178" s="26" t="str">
        <f>IF($N178="","",IF($E$8=0,"",E178/$E$8))</f>
        <v/>
      </c>
      <c r="G178" s="25" t="str">
        <f>IF($N178="","",INDEX('_calc'!$E$2:$E$3001,$N178))</f>
        <v/>
      </c>
      <c r="H178" s="25" t="str">
        <f>IF($N178="","",INDEX('_calc'!$F$2:$F$3001,$N178))</f>
        <v/>
      </c>
      <c r="I178" s="27" t="str">
        <f>IF($N178="","",INDEX('_calc'!$H$2:$H$3001,$N178))</f>
        <v/>
      </c>
      <c r="J178" s="27" t="str">
        <f>IF($N178="","",INDEX('_calc'!$I$2:$I$3001,$N178))</f>
        <v/>
      </c>
      <c r="K178" s="28" t="str">
        <f>IF($N178="","",IF(OR(I178="",J178=""),"",J178-I178))</f>
        <v/>
      </c>
      <c r="L178" s="29" t="str">
        <f>IF($N178="","",INDEX('_calc'!$J$2:$J$3001,$N178))</f>
        <v/>
      </c>
      <c r="M178" s="2" t="str">
        <f>IF($N178="","",IF(AND(G178=0,H178=0),"수량 없음",IF(G178=0,"신규 (전년 수량 없음)",IF(H178=0,"당해 수량 없음",""))))</f>
        <v/>
      </c>
      <c r="N178" t="str">
        <f>IF($B178="","",MATCH($B178,'_calc'!$L$2:$L$3001,0))</f>
        <v/>
      </c>
    </row>
    <row r="179">
      <c r="B179" s="24" t="str">
        <f>IF(ROW()-ROW($B$8)&gt;nComp,"",ROW()-ROW($B$8))</f>
        <v/>
      </c>
      <c r="C179" t="str">
        <f>IF($N179="","",INDEX('_calc'!$A$2:$A$3001,$N179))</f>
        <v/>
      </c>
      <c r="D179" s="25" t="str">
        <f>IF($N179="","",INDEX('_calc'!$C$2:$C$3001,$N179))</f>
        <v/>
      </c>
      <c r="E179" s="25" t="str">
        <f>IF($N179="","",INDEX('_calc'!$D$2:$D$3001,$N179))</f>
        <v/>
      </c>
      <c r="F179" s="26" t="str">
        <f>IF($N179="","",IF($E$8=0,"",E179/$E$8))</f>
        <v/>
      </c>
      <c r="G179" s="25" t="str">
        <f>IF($N179="","",INDEX('_calc'!$E$2:$E$3001,$N179))</f>
        <v/>
      </c>
      <c r="H179" s="25" t="str">
        <f>IF($N179="","",INDEX('_calc'!$F$2:$F$3001,$N179))</f>
        <v/>
      </c>
      <c r="I179" s="27" t="str">
        <f>IF($N179="","",INDEX('_calc'!$H$2:$H$3001,$N179))</f>
        <v/>
      </c>
      <c r="J179" s="27" t="str">
        <f>IF($N179="","",INDEX('_calc'!$I$2:$I$3001,$N179))</f>
        <v/>
      </c>
      <c r="K179" s="28" t="str">
        <f>IF($N179="","",IF(OR(I179="",J179=""),"",J179-I179))</f>
        <v/>
      </c>
      <c r="L179" s="29" t="str">
        <f>IF($N179="","",INDEX('_calc'!$J$2:$J$3001,$N179))</f>
        <v/>
      </c>
      <c r="M179" s="2" t="str">
        <f>IF($N179="","",IF(AND(G179=0,H179=0),"수량 없음",IF(G179=0,"신규 (전년 수량 없음)",IF(H179=0,"당해 수량 없음",""))))</f>
        <v/>
      </c>
      <c r="N179" t="str">
        <f>IF($B179="","",MATCH($B179,'_calc'!$L$2:$L$3001,0))</f>
        <v/>
      </c>
    </row>
    <row r="180">
      <c r="B180" s="24" t="str">
        <f>IF(ROW()-ROW($B$8)&gt;nComp,"",ROW()-ROW($B$8))</f>
        <v/>
      </c>
      <c r="C180" t="str">
        <f>IF($N180="","",INDEX('_calc'!$A$2:$A$3001,$N180))</f>
        <v/>
      </c>
      <c r="D180" s="25" t="str">
        <f>IF($N180="","",INDEX('_calc'!$C$2:$C$3001,$N180))</f>
        <v/>
      </c>
      <c r="E180" s="25" t="str">
        <f>IF($N180="","",INDEX('_calc'!$D$2:$D$3001,$N180))</f>
        <v/>
      </c>
      <c r="F180" s="26" t="str">
        <f>IF($N180="","",IF($E$8=0,"",E180/$E$8))</f>
        <v/>
      </c>
      <c r="G180" s="25" t="str">
        <f>IF($N180="","",INDEX('_calc'!$E$2:$E$3001,$N180))</f>
        <v/>
      </c>
      <c r="H180" s="25" t="str">
        <f>IF($N180="","",INDEX('_calc'!$F$2:$F$3001,$N180))</f>
        <v/>
      </c>
      <c r="I180" s="27" t="str">
        <f>IF($N180="","",INDEX('_calc'!$H$2:$H$3001,$N180))</f>
        <v/>
      </c>
      <c r="J180" s="27" t="str">
        <f>IF($N180="","",INDEX('_calc'!$I$2:$I$3001,$N180))</f>
        <v/>
      </c>
      <c r="K180" s="28" t="str">
        <f>IF($N180="","",IF(OR(I180="",J180=""),"",J180-I180))</f>
        <v/>
      </c>
      <c r="L180" s="29" t="str">
        <f>IF($N180="","",INDEX('_calc'!$J$2:$J$3001,$N180))</f>
        <v/>
      </c>
      <c r="M180" s="2" t="str">
        <f>IF($N180="","",IF(AND(G180=0,H180=0),"수량 없음",IF(G180=0,"신규 (전년 수량 없음)",IF(H180=0,"당해 수량 없음",""))))</f>
        <v/>
      </c>
      <c r="N180" t="str">
        <f>IF($B180="","",MATCH($B180,'_calc'!$L$2:$L$3001,0))</f>
        <v/>
      </c>
    </row>
    <row r="181">
      <c r="B181" s="24" t="str">
        <f>IF(ROW()-ROW($B$8)&gt;nComp,"",ROW()-ROW($B$8))</f>
        <v/>
      </c>
      <c r="C181" t="str">
        <f>IF($N181="","",INDEX('_calc'!$A$2:$A$3001,$N181))</f>
        <v/>
      </c>
      <c r="D181" s="25" t="str">
        <f>IF($N181="","",INDEX('_calc'!$C$2:$C$3001,$N181))</f>
        <v/>
      </c>
      <c r="E181" s="25" t="str">
        <f>IF($N181="","",INDEX('_calc'!$D$2:$D$3001,$N181))</f>
        <v/>
      </c>
      <c r="F181" s="26" t="str">
        <f>IF($N181="","",IF($E$8=0,"",E181/$E$8))</f>
        <v/>
      </c>
      <c r="G181" s="25" t="str">
        <f>IF($N181="","",INDEX('_calc'!$E$2:$E$3001,$N181))</f>
        <v/>
      </c>
      <c r="H181" s="25" t="str">
        <f>IF($N181="","",INDEX('_calc'!$F$2:$F$3001,$N181))</f>
        <v/>
      </c>
      <c r="I181" s="27" t="str">
        <f>IF($N181="","",INDEX('_calc'!$H$2:$H$3001,$N181))</f>
        <v/>
      </c>
      <c r="J181" s="27" t="str">
        <f>IF($N181="","",INDEX('_calc'!$I$2:$I$3001,$N181))</f>
        <v/>
      </c>
      <c r="K181" s="28" t="str">
        <f>IF($N181="","",IF(OR(I181="",J181=""),"",J181-I181))</f>
        <v/>
      </c>
      <c r="L181" s="29" t="str">
        <f>IF($N181="","",INDEX('_calc'!$J$2:$J$3001,$N181))</f>
        <v/>
      </c>
      <c r="M181" s="2" t="str">
        <f>IF($N181="","",IF(AND(G181=0,H181=0),"수량 없음",IF(G181=0,"신규 (전년 수량 없음)",IF(H181=0,"당해 수량 없음",""))))</f>
        <v/>
      </c>
      <c r="N181" t="str">
        <f>IF($B181="","",MATCH($B181,'_calc'!$L$2:$L$3001,0))</f>
        <v/>
      </c>
    </row>
    <row r="182">
      <c r="B182" s="24" t="str">
        <f>IF(ROW()-ROW($B$8)&gt;nComp,"",ROW()-ROW($B$8))</f>
        <v/>
      </c>
      <c r="C182" t="str">
        <f>IF($N182="","",INDEX('_calc'!$A$2:$A$3001,$N182))</f>
        <v/>
      </c>
      <c r="D182" s="25" t="str">
        <f>IF($N182="","",INDEX('_calc'!$C$2:$C$3001,$N182))</f>
        <v/>
      </c>
      <c r="E182" s="25" t="str">
        <f>IF($N182="","",INDEX('_calc'!$D$2:$D$3001,$N182))</f>
        <v/>
      </c>
      <c r="F182" s="26" t="str">
        <f>IF($N182="","",IF($E$8=0,"",E182/$E$8))</f>
        <v/>
      </c>
      <c r="G182" s="25" t="str">
        <f>IF($N182="","",INDEX('_calc'!$E$2:$E$3001,$N182))</f>
        <v/>
      </c>
      <c r="H182" s="25" t="str">
        <f>IF($N182="","",INDEX('_calc'!$F$2:$F$3001,$N182))</f>
        <v/>
      </c>
      <c r="I182" s="27" t="str">
        <f>IF($N182="","",INDEX('_calc'!$H$2:$H$3001,$N182))</f>
        <v/>
      </c>
      <c r="J182" s="27" t="str">
        <f>IF($N182="","",INDEX('_calc'!$I$2:$I$3001,$N182))</f>
        <v/>
      </c>
      <c r="K182" s="28" t="str">
        <f>IF($N182="","",IF(OR(I182="",J182=""),"",J182-I182))</f>
        <v/>
      </c>
      <c r="L182" s="29" t="str">
        <f>IF($N182="","",INDEX('_calc'!$J$2:$J$3001,$N182))</f>
        <v/>
      </c>
      <c r="M182" s="2" t="str">
        <f>IF($N182="","",IF(AND(G182=0,H182=0),"수량 없음",IF(G182=0,"신규 (전년 수량 없음)",IF(H182=0,"당해 수량 없음",""))))</f>
        <v/>
      </c>
      <c r="N182" t="str">
        <f>IF($B182="","",MATCH($B182,'_calc'!$L$2:$L$3001,0))</f>
        <v/>
      </c>
    </row>
    <row r="183">
      <c r="B183" s="24" t="str">
        <f>IF(ROW()-ROW($B$8)&gt;nComp,"",ROW()-ROW($B$8))</f>
        <v/>
      </c>
      <c r="C183" t="str">
        <f>IF($N183="","",INDEX('_calc'!$A$2:$A$3001,$N183))</f>
        <v/>
      </c>
      <c r="D183" s="25" t="str">
        <f>IF($N183="","",INDEX('_calc'!$C$2:$C$3001,$N183))</f>
        <v/>
      </c>
      <c r="E183" s="25" t="str">
        <f>IF($N183="","",INDEX('_calc'!$D$2:$D$3001,$N183))</f>
        <v/>
      </c>
      <c r="F183" s="26" t="str">
        <f>IF($N183="","",IF($E$8=0,"",E183/$E$8))</f>
        <v/>
      </c>
      <c r="G183" s="25" t="str">
        <f>IF($N183="","",INDEX('_calc'!$E$2:$E$3001,$N183))</f>
        <v/>
      </c>
      <c r="H183" s="25" t="str">
        <f>IF($N183="","",INDEX('_calc'!$F$2:$F$3001,$N183))</f>
        <v/>
      </c>
      <c r="I183" s="27" t="str">
        <f>IF($N183="","",INDEX('_calc'!$H$2:$H$3001,$N183))</f>
        <v/>
      </c>
      <c r="J183" s="27" t="str">
        <f>IF($N183="","",INDEX('_calc'!$I$2:$I$3001,$N183))</f>
        <v/>
      </c>
      <c r="K183" s="28" t="str">
        <f>IF($N183="","",IF(OR(I183="",J183=""),"",J183-I183))</f>
        <v/>
      </c>
      <c r="L183" s="29" t="str">
        <f>IF($N183="","",INDEX('_calc'!$J$2:$J$3001,$N183))</f>
        <v/>
      </c>
      <c r="M183" s="2" t="str">
        <f>IF($N183="","",IF(AND(G183=0,H183=0),"수량 없음",IF(G183=0,"신규 (전년 수량 없음)",IF(H183=0,"당해 수량 없음",""))))</f>
        <v/>
      </c>
      <c r="N183" t="str">
        <f>IF($B183="","",MATCH($B183,'_calc'!$L$2:$L$3001,0))</f>
        <v/>
      </c>
    </row>
    <row r="184">
      <c r="B184" s="24" t="str">
        <f>IF(ROW()-ROW($B$8)&gt;nComp,"",ROW()-ROW($B$8))</f>
        <v/>
      </c>
      <c r="C184" t="str">
        <f>IF($N184="","",INDEX('_calc'!$A$2:$A$3001,$N184))</f>
        <v/>
      </c>
      <c r="D184" s="25" t="str">
        <f>IF($N184="","",INDEX('_calc'!$C$2:$C$3001,$N184))</f>
        <v/>
      </c>
      <c r="E184" s="25" t="str">
        <f>IF($N184="","",INDEX('_calc'!$D$2:$D$3001,$N184))</f>
        <v/>
      </c>
      <c r="F184" s="26" t="str">
        <f>IF($N184="","",IF($E$8=0,"",E184/$E$8))</f>
        <v/>
      </c>
      <c r="G184" s="25" t="str">
        <f>IF($N184="","",INDEX('_calc'!$E$2:$E$3001,$N184))</f>
        <v/>
      </c>
      <c r="H184" s="25" t="str">
        <f>IF($N184="","",INDEX('_calc'!$F$2:$F$3001,$N184))</f>
        <v/>
      </c>
      <c r="I184" s="27" t="str">
        <f>IF($N184="","",INDEX('_calc'!$H$2:$H$3001,$N184))</f>
        <v/>
      </c>
      <c r="J184" s="27" t="str">
        <f>IF($N184="","",INDEX('_calc'!$I$2:$I$3001,$N184))</f>
        <v/>
      </c>
      <c r="K184" s="28" t="str">
        <f>IF($N184="","",IF(OR(I184="",J184=""),"",J184-I184))</f>
        <v/>
      </c>
      <c r="L184" s="29" t="str">
        <f>IF($N184="","",INDEX('_calc'!$J$2:$J$3001,$N184))</f>
        <v/>
      </c>
      <c r="M184" s="2" t="str">
        <f>IF($N184="","",IF(AND(G184=0,H184=0),"수량 없음",IF(G184=0,"신규 (전년 수량 없음)",IF(H184=0,"당해 수량 없음",""))))</f>
        <v/>
      </c>
      <c r="N184" t="str">
        <f>IF($B184="","",MATCH($B184,'_calc'!$L$2:$L$3001,0))</f>
        <v/>
      </c>
    </row>
    <row r="185">
      <c r="B185" s="24" t="str">
        <f>IF(ROW()-ROW($B$8)&gt;nComp,"",ROW()-ROW($B$8))</f>
        <v/>
      </c>
      <c r="C185" t="str">
        <f>IF($N185="","",INDEX('_calc'!$A$2:$A$3001,$N185))</f>
        <v/>
      </c>
      <c r="D185" s="25" t="str">
        <f>IF($N185="","",INDEX('_calc'!$C$2:$C$3001,$N185))</f>
        <v/>
      </c>
      <c r="E185" s="25" t="str">
        <f>IF($N185="","",INDEX('_calc'!$D$2:$D$3001,$N185))</f>
        <v/>
      </c>
      <c r="F185" s="26" t="str">
        <f>IF($N185="","",IF($E$8=0,"",E185/$E$8))</f>
        <v/>
      </c>
      <c r="G185" s="25" t="str">
        <f>IF($N185="","",INDEX('_calc'!$E$2:$E$3001,$N185))</f>
        <v/>
      </c>
      <c r="H185" s="25" t="str">
        <f>IF($N185="","",INDEX('_calc'!$F$2:$F$3001,$N185))</f>
        <v/>
      </c>
      <c r="I185" s="27" t="str">
        <f>IF($N185="","",INDEX('_calc'!$H$2:$H$3001,$N185))</f>
        <v/>
      </c>
      <c r="J185" s="27" t="str">
        <f>IF($N185="","",INDEX('_calc'!$I$2:$I$3001,$N185))</f>
        <v/>
      </c>
      <c r="K185" s="28" t="str">
        <f>IF($N185="","",IF(OR(I185="",J185=""),"",J185-I185))</f>
        <v/>
      </c>
      <c r="L185" s="29" t="str">
        <f>IF($N185="","",INDEX('_calc'!$J$2:$J$3001,$N185))</f>
        <v/>
      </c>
      <c r="M185" s="2" t="str">
        <f>IF($N185="","",IF(AND(G185=0,H185=0),"수량 없음",IF(G185=0,"신규 (전년 수량 없음)",IF(H185=0,"당해 수량 없음",""))))</f>
        <v/>
      </c>
      <c r="N185" t="str">
        <f>IF($B185="","",MATCH($B185,'_calc'!$L$2:$L$3001,0))</f>
        <v/>
      </c>
    </row>
    <row r="186">
      <c r="B186" s="24" t="str">
        <f>IF(ROW()-ROW($B$8)&gt;nComp,"",ROW()-ROW($B$8))</f>
        <v/>
      </c>
      <c r="C186" t="str">
        <f>IF($N186="","",INDEX('_calc'!$A$2:$A$3001,$N186))</f>
        <v/>
      </c>
      <c r="D186" s="25" t="str">
        <f>IF($N186="","",INDEX('_calc'!$C$2:$C$3001,$N186))</f>
        <v/>
      </c>
      <c r="E186" s="25" t="str">
        <f>IF($N186="","",INDEX('_calc'!$D$2:$D$3001,$N186))</f>
        <v/>
      </c>
      <c r="F186" s="26" t="str">
        <f>IF($N186="","",IF($E$8=0,"",E186/$E$8))</f>
        <v/>
      </c>
      <c r="G186" s="25" t="str">
        <f>IF($N186="","",INDEX('_calc'!$E$2:$E$3001,$N186))</f>
        <v/>
      </c>
      <c r="H186" s="25" t="str">
        <f>IF($N186="","",INDEX('_calc'!$F$2:$F$3001,$N186))</f>
        <v/>
      </c>
      <c r="I186" s="27" t="str">
        <f>IF($N186="","",INDEX('_calc'!$H$2:$H$3001,$N186))</f>
        <v/>
      </c>
      <c r="J186" s="27" t="str">
        <f>IF($N186="","",INDEX('_calc'!$I$2:$I$3001,$N186))</f>
        <v/>
      </c>
      <c r="K186" s="28" t="str">
        <f>IF($N186="","",IF(OR(I186="",J186=""),"",J186-I186))</f>
        <v/>
      </c>
      <c r="L186" s="29" t="str">
        <f>IF($N186="","",INDEX('_calc'!$J$2:$J$3001,$N186))</f>
        <v/>
      </c>
      <c r="M186" s="2" t="str">
        <f>IF($N186="","",IF(AND(G186=0,H186=0),"수량 없음",IF(G186=0,"신규 (전년 수량 없음)",IF(H186=0,"당해 수량 없음",""))))</f>
        <v/>
      </c>
      <c r="N186" t="str">
        <f>IF($B186="","",MATCH($B186,'_calc'!$L$2:$L$3001,0))</f>
        <v/>
      </c>
    </row>
    <row r="187">
      <c r="B187" s="24" t="str">
        <f>IF(ROW()-ROW($B$8)&gt;nComp,"",ROW()-ROW($B$8))</f>
        <v/>
      </c>
      <c r="C187" t="str">
        <f>IF($N187="","",INDEX('_calc'!$A$2:$A$3001,$N187))</f>
        <v/>
      </c>
      <c r="D187" s="25" t="str">
        <f>IF($N187="","",INDEX('_calc'!$C$2:$C$3001,$N187))</f>
        <v/>
      </c>
      <c r="E187" s="25" t="str">
        <f>IF($N187="","",INDEX('_calc'!$D$2:$D$3001,$N187))</f>
        <v/>
      </c>
      <c r="F187" s="26" t="str">
        <f>IF($N187="","",IF($E$8=0,"",E187/$E$8))</f>
        <v/>
      </c>
      <c r="G187" s="25" t="str">
        <f>IF($N187="","",INDEX('_calc'!$E$2:$E$3001,$N187))</f>
        <v/>
      </c>
      <c r="H187" s="25" t="str">
        <f>IF($N187="","",INDEX('_calc'!$F$2:$F$3001,$N187))</f>
        <v/>
      </c>
      <c r="I187" s="27" t="str">
        <f>IF($N187="","",INDEX('_calc'!$H$2:$H$3001,$N187))</f>
        <v/>
      </c>
      <c r="J187" s="27" t="str">
        <f>IF($N187="","",INDEX('_calc'!$I$2:$I$3001,$N187))</f>
        <v/>
      </c>
      <c r="K187" s="28" t="str">
        <f>IF($N187="","",IF(OR(I187="",J187=""),"",J187-I187))</f>
        <v/>
      </c>
      <c r="L187" s="29" t="str">
        <f>IF($N187="","",INDEX('_calc'!$J$2:$J$3001,$N187))</f>
        <v/>
      </c>
      <c r="M187" s="2" t="str">
        <f>IF($N187="","",IF(AND(G187=0,H187=0),"수량 없음",IF(G187=0,"신규 (전년 수량 없음)",IF(H187=0,"당해 수량 없음",""))))</f>
        <v/>
      </c>
      <c r="N187" t="str">
        <f>IF($B187="","",MATCH($B187,'_calc'!$L$2:$L$3001,0))</f>
        <v/>
      </c>
    </row>
    <row r="188">
      <c r="B188" s="24" t="str">
        <f>IF(ROW()-ROW($B$8)&gt;nComp,"",ROW()-ROW($B$8))</f>
        <v/>
      </c>
      <c r="C188" t="str">
        <f>IF($N188="","",INDEX('_calc'!$A$2:$A$3001,$N188))</f>
        <v/>
      </c>
      <c r="D188" s="25" t="str">
        <f>IF($N188="","",INDEX('_calc'!$C$2:$C$3001,$N188))</f>
        <v/>
      </c>
      <c r="E188" s="25" t="str">
        <f>IF($N188="","",INDEX('_calc'!$D$2:$D$3001,$N188))</f>
        <v/>
      </c>
      <c r="F188" s="26" t="str">
        <f>IF($N188="","",IF($E$8=0,"",E188/$E$8))</f>
        <v/>
      </c>
      <c r="G188" s="25" t="str">
        <f>IF($N188="","",INDEX('_calc'!$E$2:$E$3001,$N188))</f>
        <v/>
      </c>
      <c r="H188" s="25" t="str">
        <f>IF($N188="","",INDEX('_calc'!$F$2:$F$3001,$N188))</f>
        <v/>
      </c>
      <c r="I188" s="27" t="str">
        <f>IF($N188="","",INDEX('_calc'!$H$2:$H$3001,$N188))</f>
        <v/>
      </c>
      <c r="J188" s="27" t="str">
        <f>IF($N188="","",INDEX('_calc'!$I$2:$I$3001,$N188))</f>
        <v/>
      </c>
      <c r="K188" s="28" t="str">
        <f>IF($N188="","",IF(OR(I188="",J188=""),"",J188-I188))</f>
        <v/>
      </c>
      <c r="L188" s="29" t="str">
        <f>IF($N188="","",INDEX('_calc'!$J$2:$J$3001,$N188))</f>
        <v/>
      </c>
      <c r="M188" s="2" t="str">
        <f>IF($N188="","",IF(AND(G188=0,H188=0),"수량 없음",IF(G188=0,"신규 (전년 수량 없음)",IF(H188=0,"당해 수량 없음",""))))</f>
        <v/>
      </c>
      <c r="N188" t="str">
        <f>IF($B188="","",MATCH($B188,'_calc'!$L$2:$L$3001,0))</f>
        <v/>
      </c>
    </row>
    <row r="189">
      <c r="B189" s="24" t="str">
        <f>IF(ROW()-ROW($B$8)&gt;nComp,"",ROW()-ROW($B$8))</f>
        <v/>
      </c>
      <c r="C189" t="str">
        <f>IF($N189="","",INDEX('_calc'!$A$2:$A$3001,$N189))</f>
        <v/>
      </c>
      <c r="D189" s="25" t="str">
        <f>IF($N189="","",INDEX('_calc'!$C$2:$C$3001,$N189))</f>
        <v/>
      </c>
      <c r="E189" s="25" t="str">
        <f>IF($N189="","",INDEX('_calc'!$D$2:$D$3001,$N189))</f>
        <v/>
      </c>
      <c r="F189" s="26" t="str">
        <f>IF($N189="","",IF($E$8=0,"",E189/$E$8))</f>
        <v/>
      </c>
      <c r="G189" s="25" t="str">
        <f>IF($N189="","",INDEX('_calc'!$E$2:$E$3001,$N189))</f>
        <v/>
      </c>
      <c r="H189" s="25" t="str">
        <f>IF($N189="","",INDEX('_calc'!$F$2:$F$3001,$N189))</f>
        <v/>
      </c>
      <c r="I189" s="27" t="str">
        <f>IF($N189="","",INDEX('_calc'!$H$2:$H$3001,$N189))</f>
        <v/>
      </c>
      <c r="J189" s="27" t="str">
        <f>IF($N189="","",INDEX('_calc'!$I$2:$I$3001,$N189))</f>
        <v/>
      </c>
      <c r="K189" s="28" t="str">
        <f>IF($N189="","",IF(OR(I189="",J189=""),"",J189-I189))</f>
        <v/>
      </c>
      <c r="L189" s="29" t="str">
        <f>IF($N189="","",INDEX('_calc'!$J$2:$J$3001,$N189))</f>
        <v/>
      </c>
      <c r="M189" s="2" t="str">
        <f>IF($N189="","",IF(AND(G189=0,H189=0),"수량 없음",IF(G189=0,"신규 (전년 수량 없음)",IF(H189=0,"당해 수량 없음",""))))</f>
        <v/>
      </c>
      <c r="N189" t="str">
        <f>IF($B189="","",MATCH($B189,'_calc'!$L$2:$L$3001,0))</f>
        <v/>
      </c>
    </row>
    <row r="190">
      <c r="B190" s="24" t="str">
        <f>IF(ROW()-ROW($B$8)&gt;nComp,"",ROW()-ROW($B$8))</f>
        <v/>
      </c>
      <c r="C190" t="str">
        <f>IF($N190="","",INDEX('_calc'!$A$2:$A$3001,$N190))</f>
        <v/>
      </c>
      <c r="D190" s="25" t="str">
        <f>IF($N190="","",INDEX('_calc'!$C$2:$C$3001,$N190))</f>
        <v/>
      </c>
      <c r="E190" s="25" t="str">
        <f>IF($N190="","",INDEX('_calc'!$D$2:$D$3001,$N190))</f>
        <v/>
      </c>
      <c r="F190" s="26" t="str">
        <f>IF($N190="","",IF($E$8=0,"",E190/$E$8))</f>
        <v/>
      </c>
      <c r="G190" s="25" t="str">
        <f>IF($N190="","",INDEX('_calc'!$E$2:$E$3001,$N190))</f>
        <v/>
      </c>
      <c r="H190" s="25" t="str">
        <f>IF($N190="","",INDEX('_calc'!$F$2:$F$3001,$N190))</f>
        <v/>
      </c>
      <c r="I190" s="27" t="str">
        <f>IF($N190="","",INDEX('_calc'!$H$2:$H$3001,$N190))</f>
        <v/>
      </c>
      <c r="J190" s="27" t="str">
        <f>IF($N190="","",INDEX('_calc'!$I$2:$I$3001,$N190))</f>
        <v/>
      </c>
      <c r="K190" s="28" t="str">
        <f>IF($N190="","",IF(OR(I190="",J190=""),"",J190-I190))</f>
        <v/>
      </c>
      <c r="L190" s="29" t="str">
        <f>IF($N190="","",INDEX('_calc'!$J$2:$J$3001,$N190))</f>
        <v/>
      </c>
      <c r="M190" s="2" t="str">
        <f>IF($N190="","",IF(AND(G190=0,H190=0),"수량 없음",IF(G190=0,"신규 (전년 수량 없음)",IF(H190=0,"당해 수량 없음",""))))</f>
        <v/>
      </c>
      <c r="N190" t="str">
        <f>IF($B190="","",MATCH($B190,'_calc'!$L$2:$L$3001,0))</f>
        <v/>
      </c>
    </row>
    <row r="191">
      <c r="B191" s="24" t="str">
        <f>IF(ROW()-ROW($B$8)&gt;nComp,"",ROW()-ROW($B$8))</f>
        <v/>
      </c>
      <c r="C191" t="str">
        <f>IF($N191="","",INDEX('_calc'!$A$2:$A$3001,$N191))</f>
        <v/>
      </c>
      <c r="D191" s="25" t="str">
        <f>IF($N191="","",INDEX('_calc'!$C$2:$C$3001,$N191))</f>
        <v/>
      </c>
      <c r="E191" s="25" t="str">
        <f>IF($N191="","",INDEX('_calc'!$D$2:$D$3001,$N191))</f>
        <v/>
      </c>
      <c r="F191" s="26" t="str">
        <f>IF($N191="","",IF($E$8=0,"",E191/$E$8))</f>
        <v/>
      </c>
      <c r="G191" s="25" t="str">
        <f>IF($N191="","",INDEX('_calc'!$E$2:$E$3001,$N191))</f>
        <v/>
      </c>
      <c r="H191" s="25" t="str">
        <f>IF($N191="","",INDEX('_calc'!$F$2:$F$3001,$N191))</f>
        <v/>
      </c>
      <c r="I191" s="27" t="str">
        <f>IF($N191="","",INDEX('_calc'!$H$2:$H$3001,$N191))</f>
        <v/>
      </c>
      <c r="J191" s="27" t="str">
        <f>IF($N191="","",INDEX('_calc'!$I$2:$I$3001,$N191))</f>
        <v/>
      </c>
      <c r="K191" s="28" t="str">
        <f>IF($N191="","",IF(OR(I191="",J191=""),"",J191-I191))</f>
        <v/>
      </c>
      <c r="L191" s="29" t="str">
        <f>IF($N191="","",INDEX('_calc'!$J$2:$J$3001,$N191))</f>
        <v/>
      </c>
      <c r="M191" s="2" t="str">
        <f>IF($N191="","",IF(AND(G191=0,H191=0),"수량 없음",IF(G191=0,"신규 (전년 수량 없음)",IF(H191=0,"당해 수량 없음",""))))</f>
        <v/>
      </c>
      <c r="N191" t="str">
        <f>IF($B191="","",MATCH($B191,'_calc'!$L$2:$L$3001,0))</f>
        <v/>
      </c>
    </row>
    <row r="192">
      <c r="B192" s="24" t="str">
        <f>IF(ROW()-ROW($B$8)&gt;nComp,"",ROW()-ROW($B$8))</f>
        <v/>
      </c>
      <c r="C192" t="str">
        <f>IF($N192="","",INDEX('_calc'!$A$2:$A$3001,$N192))</f>
        <v/>
      </c>
      <c r="D192" s="25" t="str">
        <f>IF($N192="","",INDEX('_calc'!$C$2:$C$3001,$N192))</f>
        <v/>
      </c>
      <c r="E192" s="25" t="str">
        <f>IF($N192="","",INDEX('_calc'!$D$2:$D$3001,$N192))</f>
        <v/>
      </c>
      <c r="F192" s="26" t="str">
        <f>IF($N192="","",IF($E$8=0,"",E192/$E$8))</f>
        <v/>
      </c>
      <c r="G192" s="25" t="str">
        <f>IF($N192="","",INDEX('_calc'!$E$2:$E$3001,$N192))</f>
        <v/>
      </c>
      <c r="H192" s="25" t="str">
        <f>IF($N192="","",INDEX('_calc'!$F$2:$F$3001,$N192))</f>
        <v/>
      </c>
      <c r="I192" s="27" t="str">
        <f>IF($N192="","",INDEX('_calc'!$H$2:$H$3001,$N192))</f>
        <v/>
      </c>
      <c r="J192" s="27" t="str">
        <f>IF($N192="","",INDEX('_calc'!$I$2:$I$3001,$N192))</f>
        <v/>
      </c>
      <c r="K192" s="28" t="str">
        <f>IF($N192="","",IF(OR(I192="",J192=""),"",J192-I192))</f>
        <v/>
      </c>
      <c r="L192" s="29" t="str">
        <f>IF($N192="","",INDEX('_calc'!$J$2:$J$3001,$N192))</f>
        <v/>
      </c>
      <c r="M192" s="2" t="str">
        <f>IF($N192="","",IF(AND(G192=0,H192=0),"수량 없음",IF(G192=0,"신규 (전년 수량 없음)",IF(H192=0,"당해 수량 없음",""))))</f>
        <v/>
      </c>
      <c r="N192" t="str">
        <f>IF($B192="","",MATCH($B192,'_calc'!$L$2:$L$3001,0))</f>
        <v/>
      </c>
    </row>
    <row r="193">
      <c r="B193" s="24" t="str">
        <f>IF(ROW()-ROW($B$8)&gt;nComp,"",ROW()-ROW($B$8))</f>
        <v/>
      </c>
      <c r="C193" t="str">
        <f>IF($N193="","",INDEX('_calc'!$A$2:$A$3001,$N193))</f>
        <v/>
      </c>
      <c r="D193" s="25" t="str">
        <f>IF($N193="","",INDEX('_calc'!$C$2:$C$3001,$N193))</f>
        <v/>
      </c>
      <c r="E193" s="25" t="str">
        <f>IF($N193="","",INDEX('_calc'!$D$2:$D$3001,$N193))</f>
        <v/>
      </c>
      <c r="F193" s="26" t="str">
        <f>IF($N193="","",IF($E$8=0,"",E193/$E$8))</f>
        <v/>
      </c>
      <c r="G193" s="25" t="str">
        <f>IF($N193="","",INDEX('_calc'!$E$2:$E$3001,$N193))</f>
        <v/>
      </c>
      <c r="H193" s="25" t="str">
        <f>IF($N193="","",INDEX('_calc'!$F$2:$F$3001,$N193))</f>
        <v/>
      </c>
      <c r="I193" s="27" t="str">
        <f>IF($N193="","",INDEX('_calc'!$H$2:$H$3001,$N193))</f>
        <v/>
      </c>
      <c r="J193" s="27" t="str">
        <f>IF($N193="","",INDEX('_calc'!$I$2:$I$3001,$N193))</f>
        <v/>
      </c>
      <c r="K193" s="28" t="str">
        <f>IF($N193="","",IF(OR(I193="",J193=""),"",J193-I193))</f>
        <v/>
      </c>
      <c r="L193" s="29" t="str">
        <f>IF($N193="","",INDEX('_calc'!$J$2:$J$3001,$N193))</f>
        <v/>
      </c>
      <c r="M193" s="2" t="str">
        <f>IF($N193="","",IF(AND(G193=0,H193=0),"수량 없음",IF(G193=0,"신규 (전년 수량 없음)",IF(H193=0,"당해 수량 없음",""))))</f>
        <v/>
      </c>
      <c r="N193" t="str">
        <f>IF($B193="","",MATCH($B193,'_calc'!$L$2:$L$3001,0))</f>
        <v/>
      </c>
    </row>
    <row r="194">
      <c r="B194" s="24" t="str">
        <f>IF(ROW()-ROW($B$8)&gt;nComp,"",ROW()-ROW($B$8))</f>
        <v/>
      </c>
      <c r="C194" t="str">
        <f>IF($N194="","",INDEX('_calc'!$A$2:$A$3001,$N194))</f>
        <v/>
      </c>
      <c r="D194" s="25" t="str">
        <f>IF($N194="","",INDEX('_calc'!$C$2:$C$3001,$N194))</f>
        <v/>
      </c>
      <c r="E194" s="25" t="str">
        <f>IF($N194="","",INDEX('_calc'!$D$2:$D$3001,$N194))</f>
        <v/>
      </c>
      <c r="F194" s="26" t="str">
        <f>IF($N194="","",IF($E$8=0,"",E194/$E$8))</f>
        <v/>
      </c>
      <c r="G194" s="25" t="str">
        <f>IF($N194="","",INDEX('_calc'!$E$2:$E$3001,$N194))</f>
        <v/>
      </c>
      <c r="H194" s="25" t="str">
        <f>IF($N194="","",INDEX('_calc'!$F$2:$F$3001,$N194))</f>
        <v/>
      </c>
      <c r="I194" s="27" t="str">
        <f>IF($N194="","",INDEX('_calc'!$H$2:$H$3001,$N194))</f>
        <v/>
      </c>
      <c r="J194" s="27" t="str">
        <f>IF($N194="","",INDEX('_calc'!$I$2:$I$3001,$N194))</f>
        <v/>
      </c>
      <c r="K194" s="28" t="str">
        <f>IF($N194="","",IF(OR(I194="",J194=""),"",J194-I194))</f>
        <v/>
      </c>
      <c r="L194" s="29" t="str">
        <f>IF($N194="","",INDEX('_calc'!$J$2:$J$3001,$N194))</f>
        <v/>
      </c>
      <c r="M194" s="2" t="str">
        <f>IF($N194="","",IF(AND(G194=0,H194=0),"수량 없음",IF(G194=0,"신규 (전년 수량 없음)",IF(H194=0,"당해 수량 없음",""))))</f>
        <v/>
      </c>
      <c r="N194" t="str">
        <f>IF($B194="","",MATCH($B194,'_calc'!$L$2:$L$3001,0))</f>
        <v/>
      </c>
    </row>
    <row r="195">
      <c r="B195" s="24" t="str">
        <f>IF(ROW()-ROW($B$8)&gt;nComp,"",ROW()-ROW($B$8))</f>
        <v/>
      </c>
      <c r="C195" t="str">
        <f>IF($N195="","",INDEX('_calc'!$A$2:$A$3001,$N195))</f>
        <v/>
      </c>
      <c r="D195" s="25" t="str">
        <f>IF($N195="","",INDEX('_calc'!$C$2:$C$3001,$N195))</f>
        <v/>
      </c>
      <c r="E195" s="25" t="str">
        <f>IF($N195="","",INDEX('_calc'!$D$2:$D$3001,$N195))</f>
        <v/>
      </c>
      <c r="F195" s="26" t="str">
        <f>IF($N195="","",IF($E$8=0,"",E195/$E$8))</f>
        <v/>
      </c>
      <c r="G195" s="25" t="str">
        <f>IF($N195="","",INDEX('_calc'!$E$2:$E$3001,$N195))</f>
        <v/>
      </c>
      <c r="H195" s="25" t="str">
        <f>IF($N195="","",INDEX('_calc'!$F$2:$F$3001,$N195))</f>
        <v/>
      </c>
      <c r="I195" s="27" t="str">
        <f>IF($N195="","",INDEX('_calc'!$H$2:$H$3001,$N195))</f>
        <v/>
      </c>
      <c r="J195" s="27" t="str">
        <f>IF($N195="","",INDEX('_calc'!$I$2:$I$3001,$N195))</f>
        <v/>
      </c>
      <c r="K195" s="28" t="str">
        <f>IF($N195="","",IF(OR(I195="",J195=""),"",J195-I195))</f>
        <v/>
      </c>
      <c r="L195" s="29" t="str">
        <f>IF($N195="","",INDEX('_calc'!$J$2:$J$3001,$N195))</f>
        <v/>
      </c>
      <c r="M195" s="2" t="str">
        <f>IF($N195="","",IF(AND(G195=0,H195=0),"수량 없음",IF(G195=0,"신규 (전년 수량 없음)",IF(H195=0,"당해 수량 없음",""))))</f>
        <v/>
      </c>
      <c r="N195" t="str">
        <f>IF($B195="","",MATCH($B195,'_calc'!$L$2:$L$3001,0))</f>
        <v/>
      </c>
    </row>
    <row r="196">
      <c r="B196" s="24" t="str">
        <f>IF(ROW()-ROW($B$8)&gt;nComp,"",ROW()-ROW($B$8))</f>
        <v/>
      </c>
      <c r="C196" t="str">
        <f>IF($N196="","",INDEX('_calc'!$A$2:$A$3001,$N196))</f>
        <v/>
      </c>
      <c r="D196" s="25" t="str">
        <f>IF($N196="","",INDEX('_calc'!$C$2:$C$3001,$N196))</f>
        <v/>
      </c>
      <c r="E196" s="25" t="str">
        <f>IF($N196="","",INDEX('_calc'!$D$2:$D$3001,$N196))</f>
        <v/>
      </c>
      <c r="F196" s="26" t="str">
        <f>IF($N196="","",IF($E$8=0,"",E196/$E$8))</f>
        <v/>
      </c>
      <c r="G196" s="25" t="str">
        <f>IF($N196="","",INDEX('_calc'!$E$2:$E$3001,$N196))</f>
        <v/>
      </c>
      <c r="H196" s="25" t="str">
        <f>IF($N196="","",INDEX('_calc'!$F$2:$F$3001,$N196))</f>
        <v/>
      </c>
      <c r="I196" s="27" t="str">
        <f>IF($N196="","",INDEX('_calc'!$H$2:$H$3001,$N196))</f>
        <v/>
      </c>
      <c r="J196" s="27" t="str">
        <f>IF($N196="","",INDEX('_calc'!$I$2:$I$3001,$N196))</f>
        <v/>
      </c>
      <c r="K196" s="28" t="str">
        <f>IF($N196="","",IF(OR(I196="",J196=""),"",J196-I196))</f>
        <v/>
      </c>
      <c r="L196" s="29" t="str">
        <f>IF($N196="","",INDEX('_calc'!$J$2:$J$3001,$N196))</f>
        <v/>
      </c>
      <c r="M196" s="2" t="str">
        <f>IF($N196="","",IF(AND(G196=0,H196=0),"수량 없음",IF(G196=0,"신규 (전년 수량 없음)",IF(H196=0,"당해 수량 없음",""))))</f>
        <v/>
      </c>
      <c r="N196" t="str">
        <f>IF($B196="","",MATCH($B196,'_calc'!$L$2:$L$3001,0))</f>
        <v/>
      </c>
    </row>
    <row r="197">
      <c r="B197" s="24" t="str">
        <f>IF(ROW()-ROW($B$8)&gt;nComp,"",ROW()-ROW($B$8))</f>
        <v/>
      </c>
      <c r="C197" t="str">
        <f>IF($N197="","",INDEX('_calc'!$A$2:$A$3001,$N197))</f>
        <v/>
      </c>
      <c r="D197" s="25" t="str">
        <f>IF($N197="","",INDEX('_calc'!$C$2:$C$3001,$N197))</f>
        <v/>
      </c>
      <c r="E197" s="25" t="str">
        <f>IF($N197="","",INDEX('_calc'!$D$2:$D$3001,$N197))</f>
        <v/>
      </c>
      <c r="F197" s="26" t="str">
        <f>IF($N197="","",IF($E$8=0,"",E197/$E$8))</f>
        <v/>
      </c>
      <c r="G197" s="25" t="str">
        <f>IF($N197="","",INDEX('_calc'!$E$2:$E$3001,$N197))</f>
        <v/>
      </c>
      <c r="H197" s="25" t="str">
        <f>IF($N197="","",INDEX('_calc'!$F$2:$F$3001,$N197))</f>
        <v/>
      </c>
      <c r="I197" s="27" t="str">
        <f>IF($N197="","",INDEX('_calc'!$H$2:$H$3001,$N197))</f>
        <v/>
      </c>
      <c r="J197" s="27" t="str">
        <f>IF($N197="","",INDEX('_calc'!$I$2:$I$3001,$N197))</f>
        <v/>
      </c>
      <c r="K197" s="28" t="str">
        <f>IF($N197="","",IF(OR(I197="",J197=""),"",J197-I197))</f>
        <v/>
      </c>
      <c r="L197" s="29" t="str">
        <f>IF($N197="","",INDEX('_calc'!$J$2:$J$3001,$N197))</f>
        <v/>
      </c>
      <c r="M197" s="2" t="str">
        <f>IF($N197="","",IF(AND(G197=0,H197=0),"수량 없음",IF(G197=0,"신규 (전년 수량 없음)",IF(H197=0,"당해 수량 없음",""))))</f>
        <v/>
      </c>
      <c r="N197" t="str">
        <f>IF($B197="","",MATCH($B197,'_calc'!$L$2:$L$3001,0))</f>
        <v/>
      </c>
    </row>
    <row r="198">
      <c r="B198" s="24" t="str">
        <f>IF(ROW()-ROW($B$8)&gt;nComp,"",ROW()-ROW($B$8))</f>
        <v/>
      </c>
      <c r="C198" t="str">
        <f>IF($N198="","",INDEX('_calc'!$A$2:$A$3001,$N198))</f>
        <v/>
      </c>
      <c r="D198" s="25" t="str">
        <f>IF($N198="","",INDEX('_calc'!$C$2:$C$3001,$N198))</f>
        <v/>
      </c>
      <c r="E198" s="25" t="str">
        <f>IF($N198="","",INDEX('_calc'!$D$2:$D$3001,$N198))</f>
        <v/>
      </c>
      <c r="F198" s="26" t="str">
        <f>IF($N198="","",IF($E$8=0,"",E198/$E$8))</f>
        <v/>
      </c>
      <c r="G198" s="25" t="str">
        <f>IF($N198="","",INDEX('_calc'!$E$2:$E$3001,$N198))</f>
        <v/>
      </c>
      <c r="H198" s="25" t="str">
        <f>IF($N198="","",INDEX('_calc'!$F$2:$F$3001,$N198))</f>
        <v/>
      </c>
      <c r="I198" s="27" t="str">
        <f>IF($N198="","",INDEX('_calc'!$H$2:$H$3001,$N198))</f>
        <v/>
      </c>
      <c r="J198" s="27" t="str">
        <f>IF($N198="","",INDEX('_calc'!$I$2:$I$3001,$N198))</f>
        <v/>
      </c>
      <c r="K198" s="28" t="str">
        <f>IF($N198="","",IF(OR(I198="",J198=""),"",J198-I198))</f>
        <v/>
      </c>
      <c r="L198" s="29" t="str">
        <f>IF($N198="","",INDEX('_calc'!$J$2:$J$3001,$N198))</f>
        <v/>
      </c>
      <c r="M198" s="2" t="str">
        <f>IF($N198="","",IF(AND(G198=0,H198=0),"수량 없음",IF(G198=0,"신규 (전년 수량 없음)",IF(H198=0,"당해 수량 없음",""))))</f>
        <v/>
      </c>
      <c r="N198" t="str">
        <f>IF($B198="","",MATCH($B198,'_calc'!$L$2:$L$3001,0))</f>
        <v/>
      </c>
    </row>
    <row r="199">
      <c r="B199" s="24" t="str">
        <f>IF(ROW()-ROW($B$8)&gt;nComp,"",ROW()-ROW($B$8))</f>
        <v/>
      </c>
      <c r="C199" t="str">
        <f>IF($N199="","",INDEX('_calc'!$A$2:$A$3001,$N199))</f>
        <v/>
      </c>
      <c r="D199" s="25" t="str">
        <f>IF($N199="","",INDEX('_calc'!$C$2:$C$3001,$N199))</f>
        <v/>
      </c>
      <c r="E199" s="25" t="str">
        <f>IF($N199="","",INDEX('_calc'!$D$2:$D$3001,$N199))</f>
        <v/>
      </c>
      <c r="F199" s="26" t="str">
        <f>IF($N199="","",IF($E$8=0,"",E199/$E$8))</f>
        <v/>
      </c>
      <c r="G199" s="25" t="str">
        <f>IF($N199="","",INDEX('_calc'!$E$2:$E$3001,$N199))</f>
        <v/>
      </c>
      <c r="H199" s="25" t="str">
        <f>IF($N199="","",INDEX('_calc'!$F$2:$F$3001,$N199))</f>
        <v/>
      </c>
      <c r="I199" s="27" t="str">
        <f>IF($N199="","",INDEX('_calc'!$H$2:$H$3001,$N199))</f>
        <v/>
      </c>
      <c r="J199" s="27" t="str">
        <f>IF($N199="","",INDEX('_calc'!$I$2:$I$3001,$N199))</f>
        <v/>
      </c>
      <c r="K199" s="28" t="str">
        <f>IF($N199="","",IF(OR(I199="",J199=""),"",J199-I199))</f>
        <v/>
      </c>
      <c r="L199" s="29" t="str">
        <f>IF($N199="","",INDEX('_calc'!$J$2:$J$3001,$N199))</f>
        <v/>
      </c>
      <c r="M199" s="2" t="str">
        <f>IF($N199="","",IF(AND(G199=0,H199=0),"수량 없음",IF(G199=0,"신규 (전년 수량 없음)",IF(H199=0,"당해 수량 없음",""))))</f>
        <v/>
      </c>
      <c r="N199" t="str">
        <f>IF($B199="","",MATCH($B199,'_calc'!$L$2:$L$3001,0))</f>
        <v/>
      </c>
    </row>
    <row r="200">
      <c r="B200" s="24" t="str">
        <f>IF(ROW()-ROW($B$8)&gt;nComp,"",ROW()-ROW($B$8))</f>
        <v/>
      </c>
      <c r="C200" t="str">
        <f>IF($N200="","",INDEX('_calc'!$A$2:$A$3001,$N200))</f>
        <v/>
      </c>
      <c r="D200" s="25" t="str">
        <f>IF($N200="","",INDEX('_calc'!$C$2:$C$3001,$N200))</f>
        <v/>
      </c>
      <c r="E200" s="25" t="str">
        <f>IF($N200="","",INDEX('_calc'!$D$2:$D$3001,$N200))</f>
        <v/>
      </c>
      <c r="F200" s="26" t="str">
        <f>IF($N200="","",IF($E$8=0,"",E200/$E$8))</f>
        <v/>
      </c>
      <c r="G200" s="25" t="str">
        <f>IF($N200="","",INDEX('_calc'!$E$2:$E$3001,$N200))</f>
        <v/>
      </c>
      <c r="H200" s="25" t="str">
        <f>IF($N200="","",INDEX('_calc'!$F$2:$F$3001,$N200))</f>
        <v/>
      </c>
      <c r="I200" s="27" t="str">
        <f>IF($N200="","",INDEX('_calc'!$H$2:$H$3001,$N200))</f>
        <v/>
      </c>
      <c r="J200" s="27" t="str">
        <f>IF($N200="","",INDEX('_calc'!$I$2:$I$3001,$N200))</f>
        <v/>
      </c>
      <c r="K200" s="28" t="str">
        <f>IF($N200="","",IF(OR(I200="",J200=""),"",J200-I200))</f>
        <v/>
      </c>
      <c r="L200" s="29" t="str">
        <f>IF($N200="","",INDEX('_calc'!$J$2:$J$3001,$N200))</f>
        <v/>
      </c>
      <c r="M200" s="2" t="str">
        <f>IF($N200="","",IF(AND(G200=0,H200=0),"수량 없음",IF(G200=0,"신규 (전년 수량 없음)",IF(H200=0,"당해 수량 없음",""))))</f>
        <v/>
      </c>
      <c r="N200" t="str">
        <f>IF($B200="","",MATCH($B200,'_calc'!$L$2:$L$3001,0))</f>
        <v/>
      </c>
    </row>
    <row r="201">
      <c r="B201" s="24" t="str">
        <f>IF(ROW()-ROW($B$8)&gt;nComp,"",ROW()-ROW($B$8))</f>
        <v/>
      </c>
      <c r="C201" t="str">
        <f>IF($N201="","",INDEX('_calc'!$A$2:$A$3001,$N201))</f>
        <v/>
      </c>
      <c r="D201" s="25" t="str">
        <f>IF($N201="","",INDEX('_calc'!$C$2:$C$3001,$N201))</f>
        <v/>
      </c>
      <c r="E201" s="25" t="str">
        <f>IF($N201="","",INDEX('_calc'!$D$2:$D$3001,$N201))</f>
        <v/>
      </c>
      <c r="F201" s="26" t="str">
        <f>IF($N201="","",IF($E$8=0,"",E201/$E$8))</f>
        <v/>
      </c>
      <c r="G201" s="25" t="str">
        <f>IF($N201="","",INDEX('_calc'!$E$2:$E$3001,$N201))</f>
        <v/>
      </c>
      <c r="H201" s="25" t="str">
        <f>IF($N201="","",INDEX('_calc'!$F$2:$F$3001,$N201))</f>
        <v/>
      </c>
      <c r="I201" s="27" t="str">
        <f>IF($N201="","",INDEX('_calc'!$H$2:$H$3001,$N201))</f>
        <v/>
      </c>
      <c r="J201" s="27" t="str">
        <f>IF($N201="","",INDEX('_calc'!$I$2:$I$3001,$N201))</f>
        <v/>
      </c>
      <c r="K201" s="28" t="str">
        <f>IF($N201="","",IF(OR(I201="",J201=""),"",J201-I201))</f>
        <v/>
      </c>
      <c r="L201" s="29" t="str">
        <f>IF($N201="","",INDEX('_calc'!$J$2:$J$3001,$N201))</f>
        <v/>
      </c>
      <c r="M201" s="2" t="str">
        <f>IF($N201="","",IF(AND(G201=0,H201=0),"수량 없음",IF(G201=0,"신규 (전년 수량 없음)",IF(H201=0,"당해 수량 없음",""))))</f>
        <v/>
      </c>
      <c r="N201" t="str">
        <f>IF($B201="","",MATCH($B201,'_calc'!$L$2:$L$3001,0))</f>
        <v/>
      </c>
    </row>
    <row r="202">
      <c r="B202" s="24" t="str">
        <f>IF(ROW()-ROW($B$8)&gt;nComp,"",ROW()-ROW($B$8))</f>
        <v/>
      </c>
      <c r="C202" t="str">
        <f>IF($N202="","",INDEX('_calc'!$A$2:$A$3001,$N202))</f>
        <v/>
      </c>
      <c r="D202" s="25" t="str">
        <f>IF($N202="","",INDEX('_calc'!$C$2:$C$3001,$N202))</f>
        <v/>
      </c>
      <c r="E202" s="25" t="str">
        <f>IF($N202="","",INDEX('_calc'!$D$2:$D$3001,$N202))</f>
        <v/>
      </c>
      <c r="F202" s="26" t="str">
        <f>IF($N202="","",IF($E$8=0,"",E202/$E$8))</f>
        <v/>
      </c>
      <c r="G202" s="25" t="str">
        <f>IF($N202="","",INDEX('_calc'!$E$2:$E$3001,$N202))</f>
        <v/>
      </c>
      <c r="H202" s="25" t="str">
        <f>IF($N202="","",INDEX('_calc'!$F$2:$F$3001,$N202))</f>
        <v/>
      </c>
      <c r="I202" s="27" t="str">
        <f>IF($N202="","",INDEX('_calc'!$H$2:$H$3001,$N202))</f>
        <v/>
      </c>
      <c r="J202" s="27" t="str">
        <f>IF($N202="","",INDEX('_calc'!$I$2:$I$3001,$N202))</f>
        <v/>
      </c>
      <c r="K202" s="28" t="str">
        <f>IF($N202="","",IF(OR(I202="",J202=""),"",J202-I202))</f>
        <v/>
      </c>
      <c r="L202" s="29" t="str">
        <f>IF($N202="","",INDEX('_calc'!$J$2:$J$3001,$N202))</f>
        <v/>
      </c>
      <c r="M202" s="2" t="str">
        <f>IF($N202="","",IF(AND(G202=0,H202=0),"수량 없음",IF(G202=0,"신규 (전년 수량 없음)",IF(H202=0,"당해 수량 없음",""))))</f>
        <v/>
      </c>
      <c r="N202" t="str">
        <f>IF($B202="","",MATCH($B202,'_calc'!$L$2:$L$3001,0))</f>
        <v/>
      </c>
    </row>
    <row r="203">
      <c r="B203" s="24" t="str">
        <f>IF(ROW()-ROW($B$8)&gt;nComp,"",ROW()-ROW($B$8))</f>
        <v/>
      </c>
      <c r="C203" t="str">
        <f>IF($N203="","",INDEX('_calc'!$A$2:$A$3001,$N203))</f>
        <v/>
      </c>
      <c r="D203" s="25" t="str">
        <f>IF($N203="","",INDEX('_calc'!$C$2:$C$3001,$N203))</f>
        <v/>
      </c>
      <c r="E203" s="25" t="str">
        <f>IF($N203="","",INDEX('_calc'!$D$2:$D$3001,$N203))</f>
        <v/>
      </c>
      <c r="F203" s="26" t="str">
        <f>IF($N203="","",IF($E$8=0,"",E203/$E$8))</f>
        <v/>
      </c>
      <c r="G203" s="25" t="str">
        <f>IF($N203="","",INDEX('_calc'!$E$2:$E$3001,$N203))</f>
        <v/>
      </c>
      <c r="H203" s="25" t="str">
        <f>IF($N203="","",INDEX('_calc'!$F$2:$F$3001,$N203))</f>
        <v/>
      </c>
      <c r="I203" s="27" t="str">
        <f>IF($N203="","",INDEX('_calc'!$H$2:$H$3001,$N203))</f>
        <v/>
      </c>
      <c r="J203" s="27" t="str">
        <f>IF($N203="","",INDEX('_calc'!$I$2:$I$3001,$N203))</f>
        <v/>
      </c>
      <c r="K203" s="28" t="str">
        <f>IF($N203="","",IF(OR(I203="",J203=""),"",J203-I203))</f>
        <v/>
      </c>
      <c r="L203" s="29" t="str">
        <f>IF($N203="","",INDEX('_calc'!$J$2:$J$3001,$N203))</f>
        <v/>
      </c>
      <c r="M203" s="2" t="str">
        <f>IF($N203="","",IF(AND(G203=0,H203=0),"수량 없음",IF(G203=0,"신규 (전년 수량 없음)",IF(H203=0,"당해 수량 없음",""))))</f>
        <v/>
      </c>
      <c r="N203" t="str">
        <f>IF($B203="","",MATCH($B203,'_calc'!$L$2:$L$3001,0))</f>
        <v/>
      </c>
    </row>
    <row r="204">
      <c r="B204" s="24" t="str">
        <f>IF(ROW()-ROW($B$8)&gt;nComp,"",ROW()-ROW($B$8))</f>
        <v/>
      </c>
      <c r="C204" t="str">
        <f>IF($N204="","",INDEX('_calc'!$A$2:$A$3001,$N204))</f>
        <v/>
      </c>
      <c r="D204" s="25" t="str">
        <f>IF($N204="","",INDEX('_calc'!$C$2:$C$3001,$N204))</f>
        <v/>
      </c>
      <c r="E204" s="25" t="str">
        <f>IF($N204="","",INDEX('_calc'!$D$2:$D$3001,$N204))</f>
        <v/>
      </c>
      <c r="F204" s="26" t="str">
        <f>IF($N204="","",IF($E$8=0,"",E204/$E$8))</f>
        <v/>
      </c>
      <c r="G204" s="25" t="str">
        <f>IF($N204="","",INDEX('_calc'!$E$2:$E$3001,$N204))</f>
        <v/>
      </c>
      <c r="H204" s="25" t="str">
        <f>IF($N204="","",INDEX('_calc'!$F$2:$F$3001,$N204))</f>
        <v/>
      </c>
      <c r="I204" s="27" t="str">
        <f>IF($N204="","",INDEX('_calc'!$H$2:$H$3001,$N204))</f>
        <v/>
      </c>
      <c r="J204" s="27" t="str">
        <f>IF($N204="","",INDEX('_calc'!$I$2:$I$3001,$N204))</f>
        <v/>
      </c>
      <c r="K204" s="28" t="str">
        <f>IF($N204="","",IF(OR(I204="",J204=""),"",J204-I204))</f>
        <v/>
      </c>
      <c r="L204" s="29" t="str">
        <f>IF($N204="","",INDEX('_calc'!$J$2:$J$3001,$N204))</f>
        <v/>
      </c>
      <c r="M204" s="2" t="str">
        <f>IF($N204="","",IF(AND(G204=0,H204=0),"수량 없음",IF(G204=0,"신규 (전년 수량 없음)",IF(H204=0,"당해 수량 없음",""))))</f>
        <v/>
      </c>
      <c r="N204" t="str">
        <f>IF($B204="","",MATCH($B204,'_calc'!$L$2:$L$3001,0))</f>
        <v/>
      </c>
    </row>
    <row r="205">
      <c r="B205" s="24" t="str">
        <f>IF(ROW()-ROW($B$8)&gt;nComp,"",ROW()-ROW($B$8))</f>
        <v/>
      </c>
      <c r="C205" t="str">
        <f>IF($N205="","",INDEX('_calc'!$A$2:$A$3001,$N205))</f>
        <v/>
      </c>
      <c r="D205" s="25" t="str">
        <f>IF($N205="","",INDEX('_calc'!$C$2:$C$3001,$N205))</f>
        <v/>
      </c>
      <c r="E205" s="25" t="str">
        <f>IF($N205="","",INDEX('_calc'!$D$2:$D$3001,$N205))</f>
        <v/>
      </c>
      <c r="F205" s="26" t="str">
        <f>IF($N205="","",IF($E$8=0,"",E205/$E$8))</f>
        <v/>
      </c>
      <c r="G205" s="25" t="str">
        <f>IF($N205="","",INDEX('_calc'!$E$2:$E$3001,$N205))</f>
        <v/>
      </c>
      <c r="H205" s="25" t="str">
        <f>IF($N205="","",INDEX('_calc'!$F$2:$F$3001,$N205))</f>
        <v/>
      </c>
      <c r="I205" s="27" t="str">
        <f>IF($N205="","",INDEX('_calc'!$H$2:$H$3001,$N205))</f>
        <v/>
      </c>
      <c r="J205" s="27" t="str">
        <f>IF($N205="","",INDEX('_calc'!$I$2:$I$3001,$N205))</f>
        <v/>
      </c>
      <c r="K205" s="28" t="str">
        <f>IF($N205="","",IF(OR(I205="",J205=""),"",J205-I205))</f>
        <v/>
      </c>
      <c r="L205" s="29" t="str">
        <f>IF($N205="","",INDEX('_calc'!$J$2:$J$3001,$N205))</f>
        <v/>
      </c>
      <c r="M205" s="2" t="str">
        <f>IF($N205="","",IF(AND(G205=0,H205=0),"수량 없음",IF(G205=0,"신규 (전년 수량 없음)",IF(H205=0,"당해 수량 없음",""))))</f>
        <v/>
      </c>
      <c r="N205" t="str">
        <f>IF($B205="","",MATCH($B205,'_calc'!$L$2:$L$3001,0))</f>
        <v/>
      </c>
    </row>
    <row r="206">
      <c r="B206" s="24" t="str">
        <f>IF(ROW()-ROW($B$8)&gt;nComp,"",ROW()-ROW($B$8))</f>
        <v/>
      </c>
      <c r="C206" t="str">
        <f>IF($N206="","",INDEX('_calc'!$A$2:$A$3001,$N206))</f>
        <v/>
      </c>
      <c r="D206" s="25" t="str">
        <f>IF($N206="","",INDEX('_calc'!$C$2:$C$3001,$N206))</f>
        <v/>
      </c>
      <c r="E206" s="25" t="str">
        <f>IF($N206="","",INDEX('_calc'!$D$2:$D$3001,$N206))</f>
        <v/>
      </c>
      <c r="F206" s="26" t="str">
        <f>IF($N206="","",IF($E$8=0,"",E206/$E$8))</f>
        <v/>
      </c>
      <c r="G206" s="25" t="str">
        <f>IF($N206="","",INDEX('_calc'!$E$2:$E$3001,$N206))</f>
        <v/>
      </c>
      <c r="H206" s="25" t="str">
        <f>IF($N206="","",INDEX('_calc'!$F$2:$F$3001,$N206))</f>
        <v/>
      </c>
      <c r="I206" s="27" t="str">
        <f>IF($N206="","",INDEX('_calc'!$H$2:$H$3001,$N206))</f>
        <v/>
      </c>
      <c r="J206" s="27" t="str">
        <f>IF($N206="","",INDEX('_calc'!$I$2:$I$3001,$N206))</f>
        <v/>
      </c>
      <c r="K206" s="28" t="str">
        <f>IF($N206="","",IF(OR(I206="",J206=""),"",J206-I206))</f>
        <v/>
      </c>
      <c r="L206" s="29" t="str">
        <f>IF($N206="","",INDEX('_calc'!$J$2:$J$3001,$N206))</f>
        <v/>
      </c>
      <c r="M206" s="2" t="str">
        <f>IF($N206="","",IF(AND(G206=0,H206=0),"수량 없음",IF(G206=0,"신규 (전년 수량 없음)",IF(H206=0,"당해 수량 없음",""))))</f>
        <v/>
      </c>
      <c r="N206" t="str">
        <f>IF($B206="","",MATCH($B206,'_calc'!$L$2:$L$3001,0))</f>
        <v/>
      </c>
    </row>
    <row r="207">
      <c r="B207" s="24" t="str">
        <f>IF(ROW()-ROW($B$8)&gt;nComp,"",ROW()-ROW($B$8))</f>
        <v/>
      </c>
      <c r="C207" t="str">
        <f>IF($N207="","",INDEX('_calc'!$A$2:$A$3001,$N207))</f>
        <v/>
      </c>
      <c r="D207" s="25" t="str">
        <f>IF($N207="","",INDEX('_calc'!$C$2:$C$3001,$N207))</f>
        <v/>
      </c>
      <c r="E207" s="25" t="str">
        <f>IF($N207="","",INDEX('_calc'!$D$2:$D$3001,$N207))</f>
        <v/>
      </c>
      <c r="F207" s="26" t="str">
        <f>IF($N207="","",IF($E$8=0,"",E207/$E$8))</f>
        <v/>
      </c>
      <c r="G207" s="25" t="str">
        <f>IF($N207="","",INDEX('_calc'!$E$2:$E$3001,$N207))</f>
        <v/>
      </c>
      <c r="H207" s="25" t="str">
        <f>IF($N207="","",INDEX('_calc'!$F$2:$F$3001,$N207))</f>
        <v/>
      </c>
      <c r="I207" s="27" t="str">
        <f>IF($N207="","",INDEX('_calc'!$H$2:$H$3001,$N207))</f>
        <v/>
      </c>
      <c r="J207" s="27" t="str">
        <f>IF($N207="","",INDEX('_calc'!$I$2:$I$3001,$N207))</f>
        <v/>
      </c>
      <c r="K207" s="28" t="str">
        <f>IF($N207="","",IF(OR(I207="",J207=""),"",J207-I207))</f>
        <v/>
      </c>
      <c r="L207" s="29" t="str">
        <f>IF($N207="","",INDEX('_calc'!$J$2:$J$3001,$N207))</f>
        <v/>
      </c>
      <c r="M207" s="2" t="str">
        <f>IF($N207="","",IF(AND(G207=0,H207=0),"수량 없음",IF(G207=0,"신규 (전년 수량 없음)",IF(H207=0,"당해 수량 없음",""))))</f>
        <v/>
      </c>
      <c r="N207" t="str">
        <f>IF($B207="","",MATCH($B207,'_calc'!$L$2:$L$3001,0))</f>
        <v/>
      </c>
    </row>
    <row r="208">
      <c r="B208" s="24" t="str">
        <f>IF(ROW()-ROW($B$8)&gt;nComp,"",ROW()-ROW($B$8))</f>
        <v/>
      </c>
      <c r="C208" t="str">
        <f>IF($N208="","",INDEX('_calc'!$A$2:$A$3001,$N208))</f>
        <v/>
      </c>
      <c r="D208" s="25" t="str">
        <f>IF($N208="","",INDEX('_calc'!$C$2:$C$3001,$N208))</f>
        <v/>
      </c>
      <c r="E208" s="25" t="str">
        <f>IF($N208="","",INDEX('_calc'!$D$2:$D$3001,$N208))</f>
        <v/>
      </c>
      <c r="F208" s="26" t="str">
        <f>IF($N208="","",IF($E$8=0,"",E208/$E$8))</f>
        <v/>
      </c>
      <c r="G208" s="25" t="str">
        <f>IF($N208="","",INDEX('_calc'!$E$2:$E$3001,$N208))</f>
        <v/>
      </c>
      <c r="H208" s="25" t="str">
        <f>IF($N208="","",INDEX('_calc'!$F$2:$F$3001,$N208))</f>
        <v/>
      </c>
      <c r="I208" s="27" t="str">
        <f>IF($N208="","",INDEX('_calc'!$H$2:$H$3001,$N208))</f>
        <v/>
      </c>
      <c r="J208" s="27" t="str">
        <f>IF($N208="","",INDEX('_calc'!$I$2:$I$3001,$N208))</f>
        <v/>
      </c>
      <c r="K208" s="28" t="str">
        <f>IF($N208="","",IF(OR(I208="",J208=""),"",J208-I208))</f>
        <v/>
      </c>
      <c r="L208" s="29" t="str">
        <f>IF($N208="","",INDEX('_calc'!$J$2:$J$3001,$N208))</f>
        <v/>
      </c>
      <c r="M208" s="2" t="str">
        <f>IF($N208="","",IF(AND(G208=0,H208=0),"수량 없음",IF(G208=0,"신규 (전년 수량 없음)",IF(H208=0,"당해 수량 없음",""))))</f>
        <v/>
      </c>
      <c r="N208" t="str">
        <f>IF($B208="","",MATCH($B208,'_calc'!$L$2:$L$3001,0))</f>
        <v/>
      </c>
    </row>
    <row r="209">
      <c r="B209" s="24" t="str">
        <f>IF(ROW()-ROW($B$8)&gt;nComp,"",ROW()-ROW($B$8))</f>
        <v/>
      </c>
      <c r="C209" t="str">
        <f>IF($N209="","",INDEX('_calc'!$A$2:$A$3001,$N209))</f>
        <v/>
      </c>
      <c r="D209" s="25" t="str">
        <f>IF($N209="","",INDEX('_calc'!$C$2:$C$3001,$N209))</f>
        <v/>
      </c>
      <c r="E209" s="25" t="str">
        <f>IF($N209="","",INDEX('_calc'!$D$2:$D$3001,$N209))</f>
        <v/>
      </c>
      <c r="F209" s="26" t="str">
        <f>IF($N209="","",IF($E$8=0,"",E209/$E$8))</f>
        <v/>
      </c>
      <c r="G209" s="25" t="str">
        <f>IF($N209="","",INDEX('_calc'!$E$2:$E$3001,$N209))</f>
        <v/>
      </c>
      <c r="H209" s="25" t="str">
        <f>IF($N209="","",INDEX('_calc'!$F$2:$F$3001,$N209))</f>
        <v/>
      </c>
      <c r="I209" s="27" t="str">
        <f>IF($N209="","",INDEX('_calc'!$H$2:$H$3001,$N209))</f>
        <v/>
      </c>
      <c r="J209" s="27" t="str">
        <f>IF($N209="","",INDEX('_calc'!$I$2:$I$3001,$N209))</f>
        <v/>
      </c>
      <c r="K209" s="28" t="str">
        <f>IF($N209="","",IF(OR(I209="",J209=""),"",J209-I209))</f>
        <v/>
      </c>
      <c r="L209" s="29" t="str">
        <f>IF($N209="","",INDEX('_calc'!$J$2:$J$3001,$N209))</f>
        <v/>
      </c>
      <c r="M209" s="2" t="str">
        <f>IF($N209="","",IF(AND(G209=0,H209=0),"수량 없음",IF(G209=0,"신규 (전년 수량 없음)",IF(H209=0,"당해 수량 없음",""))))</f>
        <v/>
      </c>
      <c r="N209" t="str">
        <f>IF($B209="","",MATCH($B209,'_calc'!$L$2:$L$3001,0))</f>
        <v/>
      </c>
    </row>
    <row r="210">
      <c r="B210" s="24" t="str">
        <f>IF(ROW()-ROW($B$8)&gt;nComp,"",ROW()-ROW($B$8))</f>
        <v/>
      </c>
      <c r="C210" t="str">
        <f>IF($N210="","",INDEX('_calc'!$A$2:$A$3001,$N210))</f>
        <v/>
      </c>
      <c r="D210" s="25" t="str">
        <f>IF($N210="","",INDEX('_calc'!$C$2:$C$3001,$N210))</f>
        <v/>
      </c>
      <c r="E210" s="25" t="str">
        <f>IF($N210="","",INDEX('_calc'!$D$2:$D$3001,$N210))</f>
        <v/>
      </c>
      <c r="F210" s="26" t="str">
        <f>IF($N210="","",IF($E$8=0,"",E210/$E$8))</f>
        <v/>
      </c>
      <c r="G210" s="25" t="str">
        <f>IF($N210="","",INDEX('_calc'!$E$2:$E$3001,$N210))</f>
        <v/>
      </c>
      <c r="H210" s="25" t="str">
        <f>IF($N210="","",INDEX('_calc'!$F$2:$F$3001,$N210))</f>
        <v/>
      </c>
      <c r="I210" s="27" t="str">
        <f>IF($N210="","",INDEX('_calc'!$H$2:$H$3001,$N210))</f>
        <v/>
      </c>
      <c r="J210" s="27" t="str">
        <f>IF($N210="","",INDEX('_calc'!$I$2:$I$3001,$N210))</f>
        <v/>
      </c>
      <c r="K210" s="28" t="str">
        <f>IF($N210="","",IF(OR(I210="",J210=""),"",J210-I210))</f>
        <v/>
      </c>
      <c r="L210" s="29" t="str">
        <f>IF($N210="","",INDEX('_calc'!$J$2:$J$3001,$N210))</f>
        <v/>
      </c>
      <c r="M210" s="2" t="str">
        <f>IF($N210="","",IF(AND(G210=0,H210=0),"수량 없음",IF(G210=0,"신규 (전년 수량 없음)",IF(H210=0,"당해 수량 없음",""))))</f>
        <v/>
      </c>
      <c r="N210" t="str">
        <f>IF($B210="","",MATCH($B210,'_calc'!$L$2:$L$3001,0))</f>
        <v/>
      </c>
    </row>
    <row r="211">
      <c r="B211" s="24" t="str">
        <f>IF(ROW()-ROW($B$8)&gt;nComp,"",ROW()-ROW($B$8))</f>
        <v/>
      </c>
      <c r="C211" t="str">
        <f>IF($N211="","",INDEX('_calc'!$A$2:$A$3001,$N211))</f>
        <v/>
      </c>
      <c r="D211" s="25" t="str">
        <f>IF($N211="","",INDEX('_calc'!$C$2:$C$3001,$N211))</f>
        <v/>
      </c>
      <c r="E211" s="25" t="str">
        <f>IF($N211="","",INDEX('_calc'!$D$2:$D$3001,$N211))</f>
        <v/>
      </c>
      <c r="F211" s="26" t="str">
        <f>IF($N211="","",IF($E$8=0,"",E211/$E$8))</f>
        <v/>
      </c>
      <c r="G211" s="25" t="str">
        <f>IF($N211="","",INDEX('_calc'!$E$2:$E$3001,$N211))</f>
        <v/>
      </c>
      <c r="H211" s="25" t="str">
        <f>IF($N211="","",INDEX('_calc'!$F$2:$F$3001,$N211))</f>
        <v/>
      </c>
      <c r="I211" s="27" t="str">
        <f>IF($N211="","",INDEX('_calc'!$H$2:$H$3001,$N211))</f>
        <v/>
      </c>
      <c r="J211" s="27" t="str">
        <f>IF($N211="","",INDEX('_calc'!$I$2:$I$3001,$N211))</f>
        <v/>
      </c>
      <c r="K211" s="28" t="str">
        <f>IF($N211="","",IF(OR(I211="",J211=""),"",J211-I211))</f>
        <v/>
      </c>
      <c r="L211" s="29" t="str">
        <f>IF($N211="","",INDEX('_calc'!$J$2:$J$3001,$N211))</f>
        <v/>
      </c>
      <c r="M211" s="2" t="str">
        <f>IF($N211="","",IF(AND(G211=0,H211=0),"수량 없음",IF(G211=0,"신규 (전년 수량 없음)",IF(H211=0,"당해 수량 없음",""))))</f>
        <v/>
      </c>
      <c r="N211" t="str">
        <f>IF($B211="","",MATCH($B211,'_calc'!$L$2:$L$3001,0))</f>
        <v/>
      </c>
    </row>
    <row r="212">
      <c r="B212" s="24" t="str">
        <f>IF(ROW()-ROW($B$8)&gt;nComp,"",ROW()-ROW($B$8))</f>
        <v/>
      </c>
      <c r="C212" t="str">
        <f>IF($N212="","",INDEX('_calc'!$A$2:$A$3001,$N212))</f>
        <v/>
      </c>
      <c r="D212" s="25" t="str">
        <f>IF($N212="","",INDEX('_calc'!$C$2:$C$3001,$N212))</f>
        <v/>
      </c>
      <c r="E212" s="25" t="str">
        <f>IF($N212="","",INDEX('_calc'!$D$2:$D$3001,$N212))</f>
        <v/>
      </c>
      <c r="F212" s="26" t="str">
        <f>IF($N212="","",IF($E$8=0,"",E212/$E$8))</f>
        <v/>
      </c>
      <c r="G212" s="25" t="str">
        <f>IF($N212="","",INDEX('_calc'!$E$2:$E$3001,$N212))</f>
        <v/>
      </c>
      <c r="H212" s="25" t="str">
        <f>IF($N212="","",INDEX('_calc'!$F$2:$F$3001,$N212))</f>
        <v/>
      </c>
      <c r="I212" s="27" t="str">
        <f>IF($N212="","",INDEX('_calc'!$H$2:$H$3001,$N212))</f>
        <v/>
      </c>
      <c r="J212" s="27" t="str">
        <f>IF($N212="","",INDEX('_calc'!$I$2:$I$3001,$N212))</f>
        <v/>
      </c>
      <c r="K212" s="28" t="str">
        <f>IF($N212="","",IF(OR(I212="",J212=""),"",J212-I212))</f>
        <v/>
      </c>
      <c r="L212" s="29" t="str">
        <f>IF($N212="","",INDEX('_calc'!$J$2:$J$3001,$N212))</f>
        <v/>
      </c>
      <c r="M212" s="2" t="str">
        <f>IF($N212="","",IF(AND(G212=0,H212=0),"수량 없음",IF(G212=0,"신규 (전년 수량 없음)",IF(H212=0,"당해 수량 없음",""))))</f>
        <v/>
      </c>
      <c r="N212" t="str">
        <f>IF($B212="","",MATCH($B212,'_calc'!$L$2:$L$3001,0))</f>
        <v/>
      </c>
    </row>
    <row r="213">
      <c r="B213" s="24" t="str">
        <f>IF(ROW()-ROW($B$8)&gt;nComp,"",ROW()-ROW($B$8))</f>
        <v/>
      </c>
      <c r="C213" t="str">
        <f>IF($N213="","",INDEX('_calc'!$A$2:$A$3001,$N213))</f>
        <v/>
      </c>
      <c r="D213" s="25" t="str">
        <f>IF($N213="","",INDEX('_calc'!$C$2:$C$3001,$N213))</f>
        <v/>
      </c>
      <c r="E213" s="25" t="str">
        <f>IF($N213="","",INDEX('_calc'!$D$2:$D$3001,$N213))</f>
        <v/>
      </c>
      <c r="F213" s="26" t="str">
        <f>IF($N213="","",IF($E$8=0,"",E213/$E$8))</f>
        <v/>
      </c>
      <c r="G213" s="25" t="str">
        <f>IF($N213="","",INDEX('_calc'!$E$2:$E$3001,$N213))</f>
        <v/>
      </c>
      <c r="H213" s="25" t="str">
        <f>IF($N213="","",INDEX('_calc'!$F$2:$F$3001,$N213))</f>
        <v/>
      </c>
      <c r="I213" s="27" t="str">
        <f>IF($N213="","",INDEX('_calc'!$H$2:$H$3001,$N213))</f>
        <v/>
      </c>
      <c r="J213" s="27" t="str">
        <f>IF($N213="","",INDEX('_calc'!$I$2:$I$3001,$N213))</f>
        <v/>
      </c>
      <c r="K213" s="28" t="str">
        <f>IF($N213="","",IF(OR(I213="",J213=""),"",J213-I213))</f>
        <v/>
      </c>
      <c r="L213" s="29" t="str">
        <f>IF($N213="","",INDEX('_calc'!$J$2:$J$3001,$N213))</f>
        <v/>
      </c>
      <c r="M213" s="2" t="str">
        <f>IF($N213="","",IF(AND(G213=0,H213=0),"수량 없음",IF(G213=0,"신규 (전년 수량 없음)",IF(H213=0,"당해 수량 없음",""))))</f>
        <v/>
      </c>
      <c r="N213" t="str">
        <f>IF($B213="","",MATCH($B213,'_calc'!$L$2:$L$3001,0))</f>
        <v/>
      </c>
    </row>
    <row r="214">
      <c r="B214" s="24" t="str">
        <f>IF(ROW()-ROW($B$8)&gt;nComp,"",ROW()-ROW($B$8))</f>
        <v/>
      </c>
      <c r="C214" t="str">
        <f>IF($N214="","",INDEX('_calc'!$A$2:$A$3001,$N214))</f>
        <v/>
      </c>
      <c r="D214" s="25" t="str">
        <f>IF($N214="","",INDEX('_calc'!$C$2:$C$3001,$N214))</f>
        <v/>
      </c>
      <c r="E214" s="25" t="str">
        <f>IF($N214="","",INDEX('_calc'!$D$2:$D$3001,$N214))</f>
        <v/>
      </c>
      <c r="F214" s="26" t="str">
        <f>IF($N214="","",IF($E$8=0,"",E214/$E$8))</f>
        <v/>
      </c>
      <c r="G214" s="25" t="str">
        <f>IF($N214="","",INDEX('_calc'!$E$2:$E$3001,$N214))</f>
        <v/>
      </c>
      <c r="H214" s="25" t="str">
        <f>IF($N214="","",INDEX('_calc'!$F$2:$F$3001,$N214))</f>
        <v/>
      </c>
      <c r="I214" s="27" t="str">
        <f>IF($N214="","",INDEX('_calc'!$H$2:$H$3001,$N214))</f>
        <v/>
      </c>
      <c r="J214" s="27" t="str">
        <f>IF($N214="","",INDEX('_calc'!$I$2:$I$3001,$N214))</f>
        <v/>
      </c>
      <c r="K214" s="28" t="str">
        <f>IF($N214="","",IF(OR(I214="",J214=""),"",J214-I214))</f>
        <v/>
      </c>
      <c r="L214" s="29" t="str">
        <f>IF($N214="","",INDEX('_calc'!$J$2:$J$3001,$N214))</f>
        <v/>
      </c>
      <c r="M214" s="2" t="str">
        <f>IF($N214="","",IF(AND(G214=0,H214=0),"수량 없음",IF(G214=0,"신규 (전년 수량 없음)",IF(H214=0,"당해 수량 없음",""))))</f>
        <v/>
      </c>
      <c r="N214" t="str">
        <f>IF($B214="","",MATCH($B214,'_calc'!$L$2:$L$3001,0))</f>
        <v/>
      </c>
    </row>
    <row r="215">
      <c r="B215" s="24" t="str">
        <f>IF(ROW()-ROW($B$8)&gt;nComp,"",ROW()-ROW($B$8))</f>
        <v/>
      </c>
      <c r="C215" t="str">
        <f>IF($N215="","",INDEX('_calc'!$A$2:$A$3001,$N215))</f>
        <v/>
      </c>
      <c r="D215" s="25" t="str">
        <f>IF($N215="","",INDEX('_calc'!$C$2:$C$3001,$N215))</f>
        <v/>
      </c>
      <c r="E215" s="25" t="str">
        <f>IF($N215="","",INDEX('_calc'!$D$2:$D$3001,$N215))</f>
        <v/>
      </c>
      <c r="F215" s="26" t="str">
        <f>IF($N215="","",IF($E$8=0,"",E215/$E$8))</f>
        <v/>
      </c>
      <c r="G215" s="25" t="str">
        <f>IF($N215="","",INDEX('_calc'!$E$2:$E$3001,$N215))</f>
        <v/>
      </c>
      <c r="H215" s="25" t="str">
        <f>IF($N215="","",INDEX('_calc'!$F$2:$F$3001,$N215))</f>
        <v/>
      </c>
      <c r="I215" s="27" t="str">
        <f>IF($N215="","",INDEX('_calc'!$H$2:$H$3001,$N215))</f>
        <v/>
      </c>
      <c r="J215" s="27" t="str">
        <f>IF($N215="","",INDEX('_calc'!$I$2:$I$3001,$N215))</f>
        <v/>
      </c>
      <c r="K215" s="28" t="str">
        <f>IF($N215="","",IF(OR(I215="",J215=""),"",J215-I215))</f>
        <v/>
      </c>
      <c r="L215" s="29" t="str">
        <f>IF($N215="","",INDEX('_calc'!$J$2:$J$3001,$N215))</f>
        <v/>
      </c>
      <c r="M215" s="2" t="str">
        <f>IF($N215="","",IF(AND(G215=0,H215=0),"수량 없음",IF(G215=0,"신규 (전년 수량 없음)",IF(H215=0,"당해 수량 없음",""))))</f>
        <v/>
      </c>
      <c r="N215" t="str">
        <f>IF($B215="","",MATCH($B215,'_calc'!$L$2:$L$3001,0))</f>
        <v/>
      </c>
    </row>
    <row r="216">
      <c r="B216" s="24" t="str">
        <f>IF(ROW()-ROW($B$8)&gt;nComp,"",ROW()-ROW($B$8))</f>
        <v/>
      </c>
      <c r="C216" t="str">
        <f>IF($N216="","",INDEX('_calc'!$A$2:$A$3001,$N216))</f>
        <v/>
      </c>
      <c r="D216" s="25" t="str">
        <f>IF($N216="","",INDEX('_calc'!$C$2:$C$3001,$N216))</f>
        <v/>
      </c>
      <c r="E216" s="25" t="str">
        <f>IF($N216="","",INDEX('_calc'!$D$2:$D$3001,$N216))</f>
        <v/>
      </c>
      <c r="F216" s="26" t="str">
        <f>IF($N216="","",IF($E$8=0,"",E216/$E$8))</f>
        <v/>
      </c>
      <c r="G216" s="25" t="str">
        <f>IF($N216="","",INDEX('_calc'!$E$2:$E$3001,$N216))</f>
        <v/>
      </c>
      <c r="H216" s="25" t="str">
        <f>IF($N216="","",INDEX('_calc'!$F$2:$F$3001,$N216))</f>
        <v/>
      </c>
      <c r="I216" s="27" t="str">
        <f>IF($N216="","",INDEX('_calc'!$H$2:$H$3001,$N216))</f>
        <v/>
      </c>
      <c r="J216" s="27" t="str">
        <f>IF($N216="","",INDEX('_calc'!$I$2:$I$3001,$N216))</f>
        <v/>
      </c>
      <c r="K216" s="28" t="str">
        <f>IF($N216="","",IF(OR(I216="",J216=""),"",J216-I216))</f>
        <v/>
      </c>
      <c r="L216" s="29" t="str">
        <f>IF($N216="","",INDEX('_calc'!$J$2:$J$3001,$N216))</f>
        <v/>
      </c>
      <c r="M216" s="2" t="str">
        <f>IF($N216="","",IF(AND(G216=0,H216=0),"수량 없음",IF(G216=0,"신규 (전년 수량 없음)",IF(H216=0,"당해 수량 없음",""))))</f>
        <v/>
      </c>
      <c r="N216" t="str">
        <f>IF($B216="","",MATCH($B216,'_calc'!$L$2:$L$3001,0))</f>
        <v/>
      </c>
    </row>
    <row r="217">
      <c r="B217" s="24" t="str">
        <f>IF(ROW()-ROW($B$8)&gt;nComp,"",ROW()-ROW($B$8))</f>
        <v/>
      </c>
      <c r="C217" t="str">
        <f>IF($N217="","",INDEX('_calc'!$A$2:$A$3001,$N217))</f>
        <v/>
      </c>
      <c r="D217" s="25" t="str">
        <f>IF($N217="","",INDEX('_calc'!$C$2:$C$3001,$N217))</f>
        <v/>
      </c>
      <c r="E217" s="25" t="str">
        <f>IF($N217="","",INDEX('_calc'!$D$2:$D$3001,$N217))</f>
        <v/>
      </c>
      <c r="F217" s="26" t="str">
        <f>IF($N217="","",IF($E$8=0,"",E217/$E$8))</f>
        <v/>
      </c>
      <c r="G217" s="25" t="str">
        <f>IF($N217="","",INDEX('_calc'!$E$2:$E$3001,$N217))</f>
        <v/>
      </c>
      <c r="H217" s="25" t="str">
        <f>IF($N217="","",INDEX('_calc'!$F$2:$F$3001,$N217))</f>
        <v/>
      </c>
      <c r="I217" s="27" t="str">
        <f>IF($N217="","",INDEX('_calc'!$H$2:$H$3001,$N217))</f>
        <v/>
      </c>
      <c r="J217" s="27" t="str">
        <f>IF($N217="","",INDEX('_calc'!$I$2:$I$3001,$N217))</f>
        <v/>
      </c>
      <c r="K217" s="28" t="str">
        <f>IF($N217="","",IF(OR(I217="",J217=""),"",J217-I217))</f>
        <v/>
      </c>
      <c r="L217" s="29" t="str">
        <f>IF($N217="","",INDEX('_calc'!$J$2:$J$3001,$N217))</f>
        <v/>
      </c>
      <c r="M217" s="2" t="str">
        <f>IF($N217="","",IF(AND(G217=0,H217=0),"수량 없음",IF(G217=0,"신규 (전년 수량 없음)",IF(H217=0,"당해 수량 없음",""))))</f>
        <v/>
      </c>
      <c r="N217" t="str">
        <f>IF($B217="","",MATCH($B217,'_calc'!$L$2:$L$3001,0))</f>
        <v/>
      </c>
    </row>
    <row r="218">
      <c r="B218" s="24" t="str">
        <f>IF(ROW()-ROW($B$8)&gt;nComp,"",ROW()-ROW($B$8))</f>
        <v/>
      </c>
      <c r="C218" t="str">
        <f>IF($N218="","",INDEX('_calc'!$A$2:$A$3001,$N218))</f>
        <v/>
      </c>
      <c r="D218" s="25" t="str">
        <f>IF($N218="","",INDEX('_calc'!$C$2:$C$3001,$N218))</f>
        <v/>
      </c>
      <c r="E218" s="25" t="str">
        <f>IF($N218="","",INDEX('_calc'!$D$2:$D$3001,$N218))</f>
        <v/>
      </c>
      <c r="F218" s="26" t="str">
        <f>IF($N218="","",IF($E$8=0,"",E218/$E$8))</f>
        <v/>
      </c>
      <c r="G218" s="25" t="str">
        <f>IF($N218="","",INDEX('_calc'!$E$2:$E$3001,$N218))</f>
        <v/>
      </c>
      <c r="H218" s="25" t="str">
        <f>IF($N218="","",INDEX('_calc'!$F$2:$F$3001,$N218))</f>
        <v/>
      </c>
      <c r="I218" s="27" t="str">
        <f>IF($N218="","",INDEX('_calc'!$H$2:$H$3001,$N218))</f>
        <v/>
      </c>
      <c r="J218" s="27" t="str">
        <f>IF($N218="","",INDEX('_calc'!$I$2:$I$3001,$N218))</f>
        <v/>
      </c>
      <c r="K218" s="28" t="str">
        <f>IF($N218="","",IF(OR(I218="",J218=""),"",J218-I218))</f>
        <v/>
      </c>
      <c r="L218" s="29" t="str">
        <f>IF($N218="","",INDEX('_calc'!$J$2:$J$3001,$N218))</f>
        <v/>
      </c>
      <c r="M218" s="2" t="str">
        <f>IF($N218="","",IF(AND(G218=0,H218=0),"수량 없음",IF(G218=0,"신규 (전년 수량 없음)",IF(H218=0,"당해 수량 없음",""))))</f>
        <v/>
      </c>
      <c r="N218" t="str">
        <f>IF($B218="","",MATCH($B218,'_calc'!$L$2:$L$3001,0))</f>
        <v/>
      </c>
    </row>
    <row r="219">
      <c r="B219" s="24" t="str">
        <f>IF(ROW()-ROW($B$8)&gt;nComp,"",ROW()-ROW($B$8))</f>
        <v/>
      </c>
      <c r="C219" t="str">
        <f>IF($N219="","",INDEX('_calc'!$A$2:$A$3001,$N219))</f>
        <v/>
      </c>
      <c r="D219" s="25" t="str">
        <f>IF($N219="","",INDEX('_calc'!$C$2:$C$3001,$N219))</f>
        <v/>
      </c>
      <c r="E219" s="25" t="str">
        <f>IF($N219="","",INDEX('_calc'!$D$2:$D$3001,$N219))</f>
        <v/>
      </c>
      <c r="F219" s="26" t="str">
        <f>IF($N219="","",IF($E$8=0,"",E219/$E$8))</f>
        <v/>
      </c>
      <c r="G219" s="25" t="str">
        <f>IF($N219="","",INDEX('_calc'!$E$2:$E$3001,$N219))</f>
        <v/>
      </c>
      <c r="H219" s="25" t="str">
        <f>IF($N219="","",INDEX('_calc'!$F$2:$F$3001,$N219))</f>
        <v/>
      </c>
      <c r="I219" s="27" t="str">
        <f>IF($N219="","",INDEX('_calc'!$H$2:$H$3001,$N219))</f>
        <v/>
      </c>
      <c r="J219" s="27" t="str">
        <f>IF($N219="","",INDEX('_calc'!$I$2:$I$3001,$N219))</f>
        <v/>
      </c>
      <c r="K219" s="28" t="str">
        <f>IF($N219="","",IF(OR(I219="",J219=""),"",J219-I219))</f>
        <v/>
      </c>
      <c r="L219" s="29" t="str">
        <f>IF($N219="","",INDEX('_calc'!$J$2:$J$3001,$N219))</f>
        <v/>
      </c>
      <c r="M219" s="2" t="str">
        <f>IF($N219="","",IF(AND(G219=0,H219=0),"수량 없음",IF(G219=0,"신규 (전년 수량 없음)",IF(H219=0,"당해 수량 없음",""))))</f>
        <v/>
      </c>
      <c r="N219" t="str">
        <f>IF($B219="","",MATCH($B219,'_calc'!$L$2:$L$3001,0))</f>
        <v/>
      </c>
    </row>
    <row r="220">
      <c r="B220" s="24" t="str">
        <f>IF(ROW()-ROW($B$8)&gt;nComp,"",ROW()-ROW($B$8))</f>
        <v/>
      </c>
      <c r="C220" t="str">
        <f>IF($N220="","",INDEX('_calc'!$A$2:$A$3001,$N220))</f>
        <v/>
      </c>
      <c r="D220" s="25" t="str">
        <f>IF($N220="","",INDEX('_calc'!$C$2:$C$3001,$N220))</f>
        <v/>
      </c>
      <c r="E220" s="25" t="str">
        <f>IF($N220="","",INDEX('_calc'!$D$2:$D$3001,$N220))</f>
        <v/>
      </c>
      <c r="F220" s="26" t="str">
        <f>IF($N220="","",IF($E$8=0,"",E220/$E$8))</f>
        <v/>
      </c>
      <c r="G220" s="25" t="str">
        <f>IF($N220="","",INDEX('_calc'!$E$2:$E$3001,$N220))</f>
        <v/>
      </c>
      <c r="H220" s="25" t="str">
        <f>IF($N220="","",INDEX('_calc'!$F$2:$F$3001,$N220))</f>
        <v/>
      </c>
      <c r="I220" s="27" t="str">
        <f>IF($N220="","",INDEX('_calc'!$H$2:$H$3001,$N220))</f>
        <v/>
      </c>
      <c r="J220" s="27" t="str">
        <f>IF($N220="","",INDEX('_calc'!$I$2:$I$3001,$N220))</f>
        <v/>
      </c>
      <c r="K220" s="28" t="str">
        <f>IF($N220="","",IF(OR(I220="",J220=""),"",J220-I220))</f>
        <v/>
      </c>
      <c r="L220" s="29" t="str">
        <f>IF($N220="","",INDEX('_calc'!$J$2:$J$3001,$N220))</f>
        <v/>
      </c>
      <c r="M220" s="2" t="str">
        <f>IF($N220="","",IF(AND(G220=0,H220=0),"수량 없음",IF(G220=0,"신규 (전년 수량 없음)",IF(H220=0,"당해 수량 없음",""))))</f>
        <v/>
      </c>
      <c r="N220" t="str">
        <f>IF($B220="","",MATCH($B220,'_calc'!$L$2:$L$3001,0))</f>
        <v/>
      </c>
    </row>
    <row r="221">
      <c r="B221" s="24" t="str">
        <f>IF(ROW()-ROW($B$8)&gt;nComp,"",ROW()-ROW($B$8))</f>
        <v/>
      </c>
      <c r="C221" t="str">
        <f>IF($N221="","",INDEX('_calc'!$A$2:$A$3001,$N221))</f>
        <v/>
      </c>
      <c r="D221" s="25" t="str">
        <f>IF($N221="","",INDEX('_calc'!$C$2:$C$3001,$N221))</f>
        <v/>
      </c>
      <c r="E221" s="25" t="str">
        <f>IF($N221="","",INDEX('_calc'!$D$2:$D$3001,$N221))</f>
        <v/>
      </c>
      <c r="F221" s="26" t="str">
        <f>IF($N221="","",IF($E$8=0,"",E221/$E$8))</f>
        <v/>
      </c>
      <c r="G221" s="25" t="str">
        <f>IF($N221="","",INDEX('_calc'!$E$2:$E$3001,$N221))</f>
        <v/>
      </c>
      <c r="H221" s="25" t="str">
        <f>IF($N221="","",INDEX('_calc'!$F$2:$F$3001,$N221))</f>
        <v/>
      </c>
      <c r="I221" s="27" t="str">
        <f>IF($N221="","",INDEX('_calc'!$H$2:$H$3001,$N221))</f>
        <v/>
      </c>
      <c r="J221" s="27" t="str">
        <f>IF($N221="","",INDEX('_calc'!$I$2:$I$3001,$N221))</f>
        <v/>
      </c>
      <c r="K221" s="28" t="str">
        <f>IF($N221="","",IF(OR(I221="",J221=""),"",J221-I221))</f>
        <v/>
      </c>
      <c r="L221" s="29" t="str">
        <f>IF($N221="","",INDEX('_calc'!$J$2:$J$3001,$N221))</f>
        <v/>
      </c>
      <c r="M221" s="2" t="str">
        <f>IF($N221="","",IF(AND(G221=0,H221=0),"수량 없음",IF(G221=0,"신규 (전년 수량 없음)",IF(H221=0,"당해 수량 없음",""))))</f>
        <v/>
      </c>
      <c r="N221" t="str">
        <f>IF($B221="","",MATCH($B221,'_calc'!$L$2:$L$3001,0))</f>
        <v/>
      </c>
    </row>
    <row r="222">
      <c r="B222" s="24" t="str">
        <f>IF(ROW()-ROW($B$8)&gt;nComp,"",ROW()-ROW($B$8))</f>
        <v/>
      </c>
      <c r="C222" t="str">
        <f>IF($N222="","",INDEX('_calc'!$A$2:$A$3001,$N222))</f>
        <v/>
      </c>
      <c r="D222" s="25" t="str">
        <f>IF($N222="","",INDEX('_calc'!$C$2:$C$3001,$N222))</f>
        <v/>
      </c>
      <c r="E222" s="25" t="str">
        <f>IF($N222="","",INDEX('_calc'!$D$2:$D$3001,$N222))</f>
        <v/>
      </c>
      <c r="F222" s="26" t="str">
        <f>IF($N222="","",IF($E$8=0,"",E222/$E$8))</f>
        <v/>
      </c>
      <c r="G222" s="25" t="str">
        <f>IF($N222="","",INDEX('_calc'!$E$2:$E$3001,$N222))</f>
        <v/>
      </c>
      <c r="H222" s="25" t="str">
        <f>IF($N222="","",INDEX('_calc'!$F$2:$F$3001,$N222))</f>
        <v/>
      </c>
      <c r="I222" s="27" t="str">
        <f>IF($N222="","",INDEX('_calc'!$H$2:$H$3001,$N222))</f>
        <v/>
      </c>
      <c r="J222" s="27" t="str">
        <f>IF($N222="","",INDEX('_calc'!$I$2:$I$3001,$N222))</f>
        <v/>
      </c>
      <c r="K222" s="28" t="str">
        <f>IF($N222="","",IF(OR(I222="",J222=""),"",J222-I222))</f>
        <v/>
      </c>
      <c r="L222" s="29" t="str">
        <f>IF($N222="","",INDEX('_calc'!$J$2:$J$3001,$N222))</f>
        <v/>
      </c>
      <c r="M222" s="2" t="str">
        <f>IF($N222="","",IF(AND(G222=0,H222=0),"수량 없음",IF(G222=0,"신규 (전년 수량 없음)",IF(H222=0,"당해 수량 없음",""))))</f>
        <v/>
      </c>
      <c r="N222" t="str">
        <f>IF($B222="","",MATCH($B222,'_calc'!$L$2:$L$3001,0))</f>
        <v/>
      </c>
    </row>
    <row r="223">
      <c r="B223" s="24" t="str">
        <f>IF(ROW()-ROW($B$8)&gt;nComp,"",ROW()-ROW($B$8))</f>
        <v/>
      </c>
      <c r="C223" t="str">
        <f>IF($N223="","",INDEX('_calc'!$A$2:$A$3001,$N223))</f>
        <v/>
      </c>
      <c r="D223" s="25" t="str">
        <f>IF($N223="","",INDEX('_calc'!$C$2:$C$3001,$N223))</f>
        <v/>
      </c>
      <c r="E223" s="25" t="str">
        <f>IF($N223="","",INDEX('_calc'!$D$2:$D$3001,$N223))</f>
        <v/>
      </c>
      <c r="F223" s="26" t="str">
        <f>IF($N223="","",IF($E$8=0,"",E223/$E$8))</f>
        <v/>
      </c>
      <c r="G223" s="25" t="str">
        <f>IF($N223="","",INDEX('_calc'!$E$2:$E$3001,$N223))</f>
        <v/>
      </c>
      <c r="H223" s="25" t="str">
        <f>IF($N223="","",INDEX('_calc'!$F$2:$F$3001,$N223))</f>
        <v/>
      </c>
      <c r="I223" s="27" t="str">
        <f>IF($N223="","",INDEX('_calc'!$H$2:$H$3001,$N223))</f>
        <v/>
      </c>
      <c r="J223" s="27" t="str">
        <f>IF($N223="","",INDEX('_calc'!$I$2:$I$3001,$N223))</f>
        <v/>
      </c>
      <c r="K223" s="28" t="str">
        <f>IF($N223="","",IF(OR(I223="",J223=""),"",J223-I223))</f>
        <v/>
      </c>
      <c r="L223" s="29" t="str">
        <f>IF($N223="","",INDEX('_calc'!$J$2:$J$3001,$N223))</f>
        <v/>
      </c>
      <c r="M223" s="2" t="str">
        <f>IF($N223="","",IF(AND(G223=0,H223=0),"수량 없음",IF(G223=0,"신규 (전년 수량 없음)",IF(H223=0,"당해 수량 없음",""))))</f>
        <v/>
      </c>
      <c r="N223" t="str">
        <f>IF($B223="","",MATCH($B223,'_calc'!$L$2:$L$3001,0))</f>
        <v/>
      </c>
    </row>
    <row r="224">
      <c r="B224" s="24" t="str">
        <f>IF(ROW()-ROW($B$8)&gt;nComp,"",ROW()-ROW($B$8))</f>
        <v/>
      </c>
      <c r="C224" t="str">
        <f>IF($N224="","",INDEX('_calc'!$A$2:$A$3001,$N224))</f>
        <v/>
      </c>
      <c r="D224" s="25" t="str">
        <f>IF($N224="","",INDEX('_calc'!$C$2:$C$3001,$N224))</f>
        <v/>
      </c>
      <c r="E224" s="25" t="str">
        <f>IF($N224="","",INDEX('_calc'!$D$2:$D$3001,$N224))</f>
        <v/>
      </c>
      <c r="F224" s="26" t="str">
        <f>IF($N224="","",IF($E$8=0,"",E224/$E$8))</f>
        <v/>
      </c>
      <c r="G224" s="25" t="str">
        <f>IF($N224="","",INDEX('_calc'!$E$2:$E$3001,$N224))</f>
        <v/>
      </c>
      <c r="H224" s="25" t="str">
        <f>IF($N224="","",INDEX('_calc'!$F$2:$F$3001,$N224))</f>
        <v/>
      </c>
      <c r="I224" s="27" t="str">
        <f>IF($N224="","",INDEX('_calc'!$H$2:$H$3001,$N224))</f>
        <v/>
      </c>
      <c r="J224" s="27" t="str">
        <f>IF($N224="","",INDEX('_calc'!$I$2:$I$3001,$N224))</f>
        <v/>
      </c>
      <c r="K224" s="28" t="str">
        <f>IF($N224="","",IF(OR(I224="",J224=""),"",J224-I224))</f>
        <v/>
      </c>
      <c r="L224" s="29" t="str">
        <f>IF($N224="","",INDEX('_calc'!$J$2:$J$3001,$N224))</f>
        <v/>
      </c>
      <c r="M224" s="2" t="str">
        <f>IF($N224="","",IF(AND(G224=0,H224=0),"수량 없음",IF(G224=0,"신규 (전년 수량 없음)",IF(H224=0,"당해 수량 없음",""))))</f>
        <v/>
      </c>
      <c r="N224" t="str">
        <f>IF($B224="","",MATCH($B224,'_calc'!$L$2:$L$3001,0))</f>
        <v/>
      </c>
    </row>
    <row r="225">
      <c r="B225" s="24" t="str">
        <f>IF(ROW()-ROW($B$8)&gt;nComp,"",ROW()-ROW($B$8))</f>
        <v/>
      </c>
      <c r="C225" t="str">
        <f>IF($N225="","",INDEX('_calc'!$A$2:$A$3001,$N225))</f>
        <v/>
      </c>
      <c r="D225" s="25" t="str">
        <f>IF($N225="","",INDEX('_calc'!$C$2:$C$3001,$N225))</f>
        <v/>
      </c>
      <c r="E225" s="25" t="str">
        <f>IF($N225="","",INDEX('_calc'!$D$2:$D$3001,$N225))</f>
        <v/>
      </c>
      <c r="F225" s="26" t="str">
        <f>IF($N225="","",IF($E$8=0,"",E225/$E$8))</f>
        <v/>
      </c>
      <c r="G225" s="25" t="str">
        <f>IF($N225="","",INDEX('_calc'!$E$2:$E$3001,$N225))</f>
        <v/>
      </c>
      <c r="H225" s="25" t="str">
        <f>IF($N225="","",INDEX('_calc'!$F$2:$F$3001,$N225))</f>
        <v/>
      </c>
      <c r="I225" s="27" t="str">
        <f>IF($N225="","",INDEX('_calc'!$H$2:$H$3001,$N225))</f>
        <v/>
      </c>
      <c r="J225" s="27" t="str">
        <f>IF($N225="","",INDEX('_calc'!$I$2:$I$3001,$N225))</f>
        <v/>
      </c>
      <c r="K225" s="28" t="str">
        <f>IF($N225="","",IF(OR(I225="",J225=""),"",J225-I225))</f>
        <v/>
      </c>
      <c r="L225" s="29" t="str">
        <f>IF($N225="","",INDEX('_calc'!$J$2:$J$3001,$N225))</f>
        <v/>
      </c>
      <c r="M225" s="2" t="str">
        <f>IF($N225="","",IF(AND(G225=0,H225=0),"수량 없음",IF(G225=0,"신규 (전년 수량 없음)",IF(H225=0,"당해 수량 없음",""))))</f>
        <v/>
      </c>
      <c r="N225" t="str">
        <f>IF($B225="","",MATCH($B225,'_calc'!$L$2:$L$3001,0))</f>
        <v/>
      </c>
    </row>
    <row r="226">
      <c r="B226" s="24" t="str">
        <f>IF(ROW()-ROW($B$8)&gt;nComp,"",ROW()-ROW($B$8))</f>
        <v/>
      </c>
      <c r="C226" t="str">
        <f>IF($N226="","",INDEX('_calc'!$A$2:$A$3001,$N226))</f>
        <v/>
      </c>
      <c r="D226" s="25" t="str">
        <f>IF($N226="","",INDEX('_calc'!$C$2:$C$3001,$N226))</f>
        <v/>
      </c>
      <c r="E226" s="25" t="str">
        <f>IF($N226="","",INDEX('_calc'!$D$2:$D$3001,$N226))</f>
        <v/>
      </c>
      <c r="F226" s="26" t="str">
        <f>IF($N226="","",IF($E$8=0,"",E226/$E$8))</f>
        <v/>
      </c>
      <c r="G226" s="25" t="str">
        <f>IF($N226="","",INDEX('_calc'!$E$2:$E$3001,$N226))</f>
        <v/>
      </c>
      <c r="H226" s="25" t="str">
        <f>IF($N226="","",INDEX('_calc'!$F$2:$F$3001,$N226))</f>
        <v/>
      </c>
      <c r="I226" s="27" t="str">
        <f>IF($N226="","",INDEX('_calc'!$H$2:$H$3001,$N226))</f>
        <v/>
      </c>
      <c r="J226" s="27" t="str">
        <f>IF($N226="","",INDEX('_calc'!$I$2:$I$3001,$N226))</f>
        <v/>
      </c>
      <c r="K226" s="28" t="str">
        <f>IF($N226="","",IF(OR(I226="",J226=""),"",J226-I226))</f>
        <v/>
      </c>
      <c r="L226" s="29" t="str">
        <f>IF($N226="","",INDEX('_calc'!$J$2:$J$3001,$N226))</f>
        <v/>
      </c>
      <c r="M226" s="2" t="str">
        <f>IF($N226="","",IF(AND(G226=0,H226=0),"수량 없음",IF(G226=0,"신규 (전년 수량 없음)",IF(H226=0,"당해 수량 없음",""))))</f>
        <v/>
      </c>
      <c r="N226" t="str">
        <f>IF($B226="","",MATCH($B226,'_calc'!$L$2:$L$3001,0))</f>
        <v/>
      </c>
    </row>
    <row r="227">
      <c r="B227" s="24" t="str">
        <f>IF(ROW()-ROW($B$8)&gt;nComp,"",ROW()-ROW($B$8))</f>
        <v/>
      </c>
      <c r="C227" t="str">
        <f>IF($N227="","",INDEX('_calc'!$A$2:$A$3001,$N227))</f>
        <v/>
      </c>
      <c r="D227" s="25" t="str">
        <f>IF($N227="","",INDEX('_calc'!$C$2:$C$3001,$N227))</f>
        <v/>
      </c>
      <c r="E227" s="25" t="str">
        <f>IF($N227="","",INDEX('_calc'!$D$2:$D$3001,$N227))</f>
        <v/>
      </c>
      <c r="F227" s="26" t="str">
        <f>IF($N227="","",IF($E$8=0,"",E227/$E$8))</f>
        <v/>
      </c>
      <c r="G227" s="25" t="str">
        <f>IF($N227="","",INDEX('_calc'!$E$2:$E$3001,$N227))</f>
        <v/>
      </c>
      <c r="H227" s="25" t="str">
        <f>IF($N227="","",INDEX('_calc'!$F$2:$F$3001,$N227))</f>
        <v/>
      </c>
      <c r="I227" s="27" t="str">
        <f>IF($N227="","",INDEX('_calc'!$H$2:$H$3001,$N227))</f>
        <v/>
      </c>
      <c r="J227" s="27" t="str">
        <f>IF($N227="","",INDEX('_calc'!$I$2:$I$3001,$N227))</f>
        <v/>
      </c>
      <c r="K227" s="28" t="str">
        <f>IF($N227="","",IF(OR(I227="",J227=""),"",J227-I227))</f>
        <v/>
      </c>
      <c r="L227" s="29" t="str">
        <f>IF($N227="","",INDEX('_calc'!$J$2:$J$3001,$N227))</f>
        <v/>
      </c>
      <c r="M227" s="2" t="str">
        <f>IF($N227="","",IF(AND(G227=0,H227=0),"수량 없음",IF(G227=0,"신규 (전년 수량 없음)",IF(H227=0,"당해 수량 없음",""))))</f>
        <v/>
      </c>
      <c r="N227" t="str">
        <f>IF($B227="","",MATCH($B227,'_calc'!$L$2:$L$3001,0))</f>
        <v/>
      </c>
    </row>
    <row r="228">
      <c r="B228" s="24" t="str">
        <f>IF(ROW()-ROW($B$8)&gt;nComp,"",ROW()-ROW($B$8))</f>
        <v/>
      </c>
      <c r="C228" t="str">
        <f>IF($N228="","",INDEX('_calc'!$A$2:$A$3001,$N228))</f>
        <v/>
      </c>
      <c r="D228" s="25" t="str">
        <f>IF($N228="","",INDEX('_calc'!$C$2:$C$3001,$N228))</f>
        <v/>
      </c>
      <c r="E228" s="25" t="str">
        <f>IF($N228="","",INDEX('_calc'!$D$2:$D$3001,$N228))</f>
        <v/>
      </c>
      <c r="F228" s="26" t="str">
        <f>IF($N228="","",IF($E$8=0,"",E228/$E$8))</f>
        <v/>
      </c>
      <c r="G228" s="25" t="str">
        <f>IF($N228="","",INDEX('_calc'!$E$2:$E$3001,$N228))</f>
        <v/>
      </c>
      <c r="H228" s="25" t="str">
        <f>IF($N228="","",INDEX('_calc'!$F$2:$F$3001,$N228))</f>
        <v/>
      </c>
      <c r="I228" s="27" t="str">
        <f>IF($N228="","",INDEX('_calc'!$H$2:$H$3001,$N228))</f>
        <v/>
      </c>
      <c r="J228" s="27" t="str">
        <f>IF($N228="","",INDEX('_calc'!$I$2:$I$3001,$N228))</f>
        <v/>
      </c>
      <c r="K228" s="28" t="str">
        <f>IF($N228="","",IF(OR(I228="",J228=""),"",J228-I228))</f>
        <v/>
      </c>
      <c r="L228" s="29" t="str">
        <f>IF($N228="","",INDEX('_calc'!$J$2:$J$3001,$N228))</f>
        <v/>
      </c>
      <c r="M228" s="2" t="str">
        <f>IF($N228="","",IF(AND(G228=0,H228=0),"수량 없음",IF(G228=0,"신규 (전년 수량 없음)",IF(H228=0,"당해 수량 없음",""))))</f>
        <v/>
      </c>
      <c r="N228" t="str">
        <f>IF($B228="","",MATCH($B228,'_calc'!$L$2:$L$3001,0))</f>
        <v/>
      </c>
    </row>
    <row r="229">
      <c r="B229" s="24" t="str">
        <f>IF(ROW()-ROW($B$8)&gt;nComp,"",ROW()-ROW($B$8))</f>
        <v/>
      </c>
      <c r="C229" t="str">
        <f>IF($N229="","",INDEX('_calc'!$A$2:$A$3001,$N229))</f>
        <v/>
      </c>
      <c r="D229" s="25" t="str">
        <f>IF($N229="","",INDEX('_calc'!$C$2:$C$3001,$N229))</f>
        <v/>
      </c>
      <c r="E229" s="25" t="str">
        <f>IF($N229="","",INDEX('_calc'!$D$2:$D$3001,$N229))</f>
        <v/>
      </c>
      <c r="F229" s="26" t="str">
        <f>IF($N229="","",IF($E$8=0,"",E229/$E$8))</f>
        <v/>
      </c>
      <c r="G229" s="25" t="str">
        <f>IF($N229="","",INDEX('_calc'!$E$2:$E$3001,$N229))</f>
        <v/>
      </c>
      <c r="H229" s="25" t="str">
        <f>IF($N229="","",INDEX('_calc'!$F$2:$F$3001,$N229))</f>
        <v/>
      </c>
      <c r="I229" s="27" t="str">
        <f>IF($N229="","",INDEX('_calc'!$H$2:$H$3001,$N229))</f>
        <v/>
      </c>
      <c r="J229" s="27" t="str">
        <f>IF($N229="","",INDEX('_calc'!$I$2:$I$3001,$N229))</f>
        <v/>
      </c>
      <c r="K229" s="28" t="str">
        <f>IF($N229="","",IF(OR(I229="",J229=""),"",J229-I229))</f>
        <v/>
      </c>
      <c r="L229" s="29" t="str">
        <f>IF($N229="","",INDEX('_calc'!$J$2:$J$3001,$N229))</f>
        <v/>
      </c>
      <c r="M229" s="2" t="str">
        <f>IF($N229="","",IF(AND(G229=0,H229=0),"수량 없음",IF(G229=0,"신규 (전년 수량 없음)",IF(H229=0,"당해 수량 없음",""))))</f>
        <v/>
      </c>
      <c r="N229" t="str">
        <f>IF($B229="","",MATCH($B229,'_calc'!$L$2:$L$3001,0))</f>
        <v/>
      </c>
    </row>
    <row r="230">
      <c r="B230" s="24" t="str">
        <f>IF(ROW()-ROW($B$8)&gt;nComp,"",ROW()-ROW($B$8))</f>
        <v/>
      </c>
      <c r="C230" t="str">
        <f>IF($N230="","",INDEX('_calc'!$A$2:$A$3001,$N230))</f>
        <v/>
      </c>
      <c r="D230" s="25" t="str">
        <f>IF($N230="","",INDEX('_calc'!$C$2:$C$3001,$N230))</f>
        <v/>
      </c>
      <c r="E230" s="25" t="str">
        <f>IF($N230="","",INDEX('_calc'!$D$2:$D$3001,$N230))</f>
        <v/>
      </c>
      <c r="F230" s="26" t="str">
        <f>IF($N230="","",IF($E$8=0,"",E230/$E$8))</f>
        <v/>
      </c>
      <c r="G230" s="25" t="str">
        <f>IF($N230="","",INDEX('_calc'!$E$2:$E$3001,$N230))</f>
        <v/>
      </c>
      <c r="H230" s="25" t="str">
        <f>IF($N230="","",INDEX('_calc'!$F$2:$F$3001,$N230))</f>
        <v/>
      </c>
      <c r="I230" s="27" t="str">
        <f>IF($N230="","",INDEX('_calc'!$H$2:$H$3001,$N230))</f>
        <v/>
      </c>
      <c r="J230" s="27" t="str">
        <f>IF($N230="","",INDEX('_calc'!$I$2:$I$3001,$N230))</f>
        <v/>
      </c>
      <c r="K230" s="28" t="str">
        <f>IF($N230="","",IF(OR(I230="",J230=""),"",J230-I230))</f>
        <v/>
      </c>
      <c r="L230" s="29" t="str">
        <f>IF($N230="","",INDEX('_calc'!$J$2:$J$3001,$N230))</f>
        <v/>
      </c>
      <c r="M230" s="2" t="str">
        <f>IF($N230="","",IF(AND(G230=0,H230=0),"수량 없음",IF(G230=0,"신규 (전년 수량 없음)",IF(H230=0,"당해 수량 없음",""))))</f>
        <v/>
      </c>
      <c r="N230" t="str">
        <f>IF($B230="","",MATCH($B230,'_calc'!$L$2:$L$3001,0))</f>
        <v/>
      </c>
    </row>
    <row r="231">
      <c r="B231" s="24" t="str">
        <f>IF(ROW()-ROW($B$8)&gt;nComp,"",ROW()-ROW($B$8))</f>
        <v/>
      </c>
      <c r="C231" t="str">
        <f>IF($N231="","",INDEX('_calc'!$A$2:$A$3001,$N231))</f>
        <v/>
      </c>
      <c r="D231" s="25" t="str">
        <f>IF($N231="","",INDEX('_calc'!$C$2:$C$3001,$N231))</f>
        <v/>
      </c>
      <c r="E231" s="25" t="str">
        <f>IF($N231="","",INDEX('_calc'!$D$2:$D$3001,$N231))</f>
        <v/>
      </c>
      <c r="F231" s="26" t="str">
        <f>IF($N231="","",IF($E$8=0,"",E231/$E$8))</f>
        <v/>
      </c>
      <c r="G231" s="25" t="str">
        <f>IF($N231="","",INDEX('_calc'!$E$2:$E$3001,$N231))</f>
        <v/>
      </c>
      <c r="H231" s="25" t="str">
        <f>IF($N231="","",INDEX('_calc'!$F$2:$F$3001,$N231))</f>
        <v/>
      </c>
      <c r="I231" s="27" t="str">
        <f>IF($N231="","",INDEX('_calc'!$H$2:$H$3001,$N231))</f>
        <v/>
      </c>
      <c r="J231" s="27" t="str">
        <f>IF($N231="","",INDEX('_calc'!$I$2:$I$3001,$N231))</f>
        <v/>
      </c>
      <c r="K231" s="28" t="str">
        <f>IF($N231="","",IF(OR(I231="",J231=""),"",J231-I231))</f>
        <v/>
      </c>
      <c r="L231" s="29" t="str">
        <f>IF($N231="","",INDEX('_calc'!$J$2:$J$3001,$N231))</f>
        <v/>
      </c>
      <c r="M231" s="2" t="str">
        <f>IF($N231="","",IF(AND(G231=0,H231=0),"수량 없음",IF(G231=0,"신규 (전년 수량 없음)",IF(H231=0,"당해 수량 없음",""))))</f>
        <v/>
      </c>
      <c r="N231" t="str">
        <f>IF($B231="","",MATCH($B231,'_calc'!$L$2:$L$3001,0))</f>
        <v/>
      </c>
    </row>
    <row r="232">
      <c r="B232" s="24" t="str">
        <f>IF(ROW()-ROW($B$8)&gt;nComp,"",ROW()-ROW($B$8))</f>
        <v/>
      </c>
      <c r="C232" t="str">
        <f>IF($N232="","",INDEX('_calc'!$A$2:$A$3001,$N232))</f>
        <v/>
      </c>
      <c r="D232" s="25" t="str">
        <f>IF($N232="","",INDEX('_calc'!$C$2:$C$3001,$N232))</f>
        <v/>
      </c>
      <c r="E232" s="25" t="str">
        <f>IF($N232="","",INDEX('_calc'!$D$2:$D$3001,$N232))</f>
        <v/>
      </c>
      <c r="F232" s="26" t="str">
        <f>IF($N232="","",IF($E$8=0,"",E232/$E$8))</f>
        <v/>
      </c>
      <c r="G232" s="25" t="str">
        <f>IF($N232="","",INDEX('_calc'!$E$2:$E$3001,$N232))</f>
        <v/>
      </c>
      <c r="H232" s="25" t="str">
        <f>IF($N232="","",INDEX('_calc'!$F$2:$F$3001,$N232))</f>
        <v/>
      </c>
      <c r="I232" s="27" t="str">
        <f>IF($N232="","",INDEX('_calc'!$H$2:$H$3001,$N232))</f>
        <v/>
      </c>
      <c r="J232" s="27" t="str">
        <f>IF($N232="","",INDEX('_calc'!$I$2:$I$3001,$N232))</f>
        <v/>
      </c>
      <c r="K232" s="28" t="str">
        <f>IF($N232="","",IF(OR(I232="",J232=""),"",J232-I232))</f>
        <v/>
      </c>
      <c r="L232" s="29" t="str">
        <f>IF($N232="","",INDEX('_calc'!$J$2:$J$3001,$N232))</f>
        <v/>
      </c>
      <c r="M232" s="2" t="str">
        <f>IF($N232="","",IF(AND(G232=0,H232=0),"수량 없음",IF(G232=0,"신규 (전년 수량 없음)",IF(H232=0,"당해 수량 없음",""))))</f>
        <v/>
      </c>
      <c r="N232" t="str">
        <f>IF($B232="","",MATCH($B232,'_calc'!$L$2:$L$3001,0))</f>
        <v/>
      </c>
    </row>
    <row r="233">
      <c r="B233" s="24" t="str">
        <f>IF(ROW()-ROW($B$8)&gt;nComp,"",ROW()-ROW($B$8))</f>
        <v/>
      </c>
      <c r="C233" t="str">
        <f>IF($N233="","",INDEX('_calc'!$A$2:$A$3001,$N233))</f>
        <v/>
      </c>
      <c r="D233" s="25" t="str">
        <f>IF($N233="","",INDEX('_calc'!$C$2:$C$3001,$N233))</f>
        <v/>
      </c>
      <c r="E233" s="25" t="str">
        <f>IF($N233="","",INDEX('_calc'!$D$2:$D$3001,$N233))</f>
        <v/>
      </c>
      <c r="F233" s="26" t="str">
        <f>IF($N233="","",IF($E$8=0,"",E233/$E$8))</f>
        <v/>
      </c>
      <c r="G233" s="25" t="str">
        <f>IF($N233="","",INDEX('_calc'!$E$2:$E$3001,$N233))</f>
        <v/>
      </c>
      <c r="H233" s="25" t="str">
        <f>IF($N233="","",INDEX('_calc'!$F$2:$F$3001,$N233))</f>
        <v/>
      </c>
      <c r="I233" s="27" t="str">
        <f>IF($N233="","",INDEX('_calc'!$H$2:$H$3001,$N233))</f>
        <v/>
      </c>
      <c r="J233" s="27" t="str">
        <f>IF($N233="","",INDEX('_calc'!$I$2:$I$3001,$N233))</f>
        <v/>
      </c>
      <c r="K233" s="28" t="str">
        <f>IF($N233="","",IF(OR(I233="",J233=""),"",J233-I233))</f>
        <v/>
      </c>
      <c r="L233" s="29" t="str">
        <f>IF($N233="","",INDEX('_calc'!$J$2:$J$3001,$N233))</f>
        <v/>
      </c>
      <c r="M233" s="2" t="str">
        <f>IF($N233="","",IF(AND(G233=0,H233=0),"수량 없음",IF(G233=0,"신규 (전년 수량 없음)",IF(H233=0,"당해 수량 없음",""))))</f>
        <v/>
      </c>
      <c r="N233" t="str">
        <f>IF($B233="","",MATCH($B233,'_calc'!$L$2:$L$3001,0))</f>
        <v/>
      </c>
    </row>
    <row r="234">
      <c r="B234" s="24" t="str">
        <f>IF(ROW()-ROW($B$8)&gt;nComp,"",ROW()-ROW($B$8))</f>
        <v/>
      </c>
      <c r="C234" t="str">
        <f>IF($N234="","",INDEX('_calc'!$A$2:$A$3001,$N234))</f>
        <v/>
      </c>
      <c r="D234" s="25" t="str">
        <f>IF($N234="","",INDEX('_calc'!$C$2:$C$3001,$N234))</f>
        <v/>
      </c>
      <c r="E234" s="25" t="str">
        <f>IF($N234="","",INDEX('_calc'!$D$2:$D$3001,$N234))</f>
        <v/>
      </c>
      <c r="F234" s="26" t="str">
        <f>IF($N234="","",IF($E$8=0,"",E234/$E$8))</f>
        <v/>
      </c>
      <c r="G234" s="25" t="str">
        <f>IF($N234="","",INDEX('_calc'!$E$2:$E$3001,$N234))</f>
        <v/>
      </c>
      <c r="H234" s="25" t="str">
        <f>IF($N234="","",INDEX('_calc'!$F$2:$F$3001,$N234))</f>
        <v/>
      </c>
      <c r="I234" s="27" t="str">
        <f>IF($N234="","",INDEX('_calc'!$H$2:$H$3001,$N234))</f>
        <v/>
      </c>
      <c r="J234" s="27" t="str">
        <f>IF($N234="","",INDEX('_calc'!$I$2:$I$3001,$N234))</f>
        <v/>
      </c>
      <c r="K234" s="28" t="str">
        <f>IF($N234="","",IF(OR(I234="",J234=""),"",J234-I234))</f>
        <v/>
      </c>
      <c r="L234" s="29" t="str">
        <f>IF($N234="","",INDEX('_calc'!$J$2:$J$3001,$N234))</f>
        <v/>
      </c>
      <c r="M234" s="2" t="str">
        <f>IF($N234="","",IF(AND(G234=0,H234=0),"수량 없음",IF(G234=0,"신규 (전년 수량 없음)",IF(H234=0,"당해 수량 없음",""))))</f>
        <v/>
      </c>
      <c r="N234" t="str">
        <f>IF($B234="","",MATCH($B234,'_calc'!$L$2:$L$3001,0))</f>
        <v/>
      </c>
    </row>
    <row r="235">
      <c r="B235" s="24" t="str">
        <f>IF(ROW()-ROW($B$8)&gt;nComp,"",ROW()-ROW($B$8))</f>
        <v/>
      </c>
      <c r="C235" t="str">
        <f>IF($N235="","",INDEX('_calc'!$A$2:$A$3001,$N235))</f>
        <v/>
      </c>
      <c r="D235" s="25" t="str">
        <f>IF($N235="","",INDEX('_calc'!$C$2:$C$3001,$N235))</f>
        <v/>
      </c>
      <c r="E235" s="25" t="str">
        <f>IF($N235="","",INDEX('_calc'!$D$2:$D$3001,$N235))</f>
        <v/>
      </c>
      <c r="F235" s="26" t="str">
        <f>IF($N235="","",IF($E$8=0,"",E235/$E$8))</f>
        <v/>
      </c>
      <c r="G235" s="25" t="str">
        <f>IF($N235="","",INDEX('_calc'!$E$2:$E$3001,$N235))</f>
        <v/>
      </c>
      <c r="H235" s="25" t="str">
        <f>IF($N235="","",INDEX('_calc'!$F$2:$F$3001,$N235))</f>
        <v/>
      </c>
      <c r="I235" s="27" t="str">
        <f>IF($N235="","",INDEX('_calc'!$H$2:$H$3001,$N235))</f>
        <v/>
      </c>
      <c r="J235" s="27" t="str">
        <f>IF($N235="","",INDEX('_calc'!$I$2:$I$3001,$N235))</f>
        <v/>
      </c>
      <c r="K235" s="28" t="str">
        <f>IF($N235="","",IF(OR(I235="",J235=""),"",J235-I235))</f>
        <v/>
      </c>
      <c r="L235" s="29" t="str">
        <f>IF($N235="","",INDEX('_calc'!$J$2:$J$3001,$N235))</f>
        <v/>
      </c>
      <c r="M235" s="2" t="str">
        <f>IF($N235="","",IF(AND(G235=0,H235=0),"수량 없음",IF(G235=0,"신규 (전년 수량 없음)",IF(H235=0,"당해 수량 없음",""))))</f>
        <v/>
      </c>
      <c r="N235" t="str">
        <f>IF($B235="","",MATCH($B235,'_calc'!$L$2:$L$3001,0))</f>
        <v/>
      </c>
    </row>
    <row r="236">
      <c r="B236" s="24" t="str">
        <f>IF(ROW()-ROW($B$8)&gt;nComp,"",ROW()-ROW($B$8))</f>
        <v/>
      </c>
      <c r="C236" t="str">
        <f>IF($N236="","",INDEX('_calc'!$A$2:$A$3001,$N236))</f>
        <v/>
      </c>
      <c r="D236" s="25" t="str">
        <f>IF($N236="","",INDEX('_calc'!$C$2:$C$3001,$N236))</f>
        <v/>
      </c>
      <c r="E236" s="25" t="str">
        <f>IF($N236="","",INDEX('_calc'!$D$2:$D$3001,$N236))</f>
        <v/>
      </c>
      <c r="F236" s="26" t="str">
        <f>IF($N236="","",IF($E$8=0,"",E236/$E$8))</f>
        <v/>
      </c>
      <c r="G236" s="25" t="str">
        <f>IF($N236="","",INDEX('_calc'!$E$2:$E$3001,$N236))</f>
        <v/>
      </c>
      <c r="H236" s="25" t="str">
        <f>IF($N236="","",INDEX('_calc'!$F$2:$F$3001,$N236))</f>
        <v/>
      </c>
      <c r="I236" s="27" t="str">
        <f>IF($N236="","",INDEX('_calc'!$H$2:$H$3001,$N236))</f>
        <v/>
      </c>
      <c r="J236" s="27" t="str">
        <f>IF($N236="","",INDEX('_calc'!$I$2:$I$3001,$N236))</f>
        <v/>
      </c>
      <c r="K236" s="28" t="str">
        <f>IF($N236="","",IF(OR(I236="",J236=""),"",J236-I236))</f>
        <v/>
      </c>
      <c r="L236" s="29" t="str">
        <f>IF($N236="","",INDEX('_calc'!$J$2:$J$3001,$N236))</f>
        <v/>
      </c>
      <c r="M236" s="2" t="str">
        <f>IF($N236="","",IF(AND(G236=0,H236=0),"수량 없음",IF(G236=0,"신규 (전년 수량 없음)",IF(H236=0,"당해 수량 없음",""))))</f>
        <v/>
      </c>
      <c r="N236" t="str">
        <f>IF($B236="","",MATCH($B236,'_calc'!$L$2:$L$3001,0))</f>
        <v/>
      </c>
    </row>
    <row r="237">
      <c r="B237" s="24" t="str">
        <f>IF(ROW()-ROW($B$8)&gt;nComp,"",ROW()-ROW($B$8))</f>
        <v/>
      </c>
      <c r="C237" t="str">
        <f>IF($N237="","",INDEX('_calc'!$A$2:$A$3001,$N237))</f>
        <v/>
      </c>
      <c r="D237" s="25" t="str">
        <f>IF($N237="","",INDEX('_calc'!$C$2:$C$3001,$N237))</f>
        <v/>
      </c>
      <c r="E237" s="25" t="str">
        <f>IF($N237="","",INDEX('_calc'!$D$2:$D$3001,$N237))</f>
        <v/>
      </c>
      <c r="F237" s="26" t="str">
        <f>IF($N237="","",IF($E$8=0,"",E237/$E$8))</f>
        <v/>
      </c>
      <c r="G237" s="25" t="str">
        <f>IF($N237="","",INDEX('_calc'!$E$2:$E$3001,$N237))</f>
        <v/>
      </c>
      <c r="H237" s="25" t="str">
        <f>IF($N237="","",INDEX('_calc'!$F$2:$F$3001,$N237))</f>
        <v/>
      </c>
      <c r="I237" s="27" t="str">
        <f>IF($N237="","",INDEX('_calc'!$H$2:$H$3001,$N237))</f>
        <v/>
      </c>
      <c r="J237" s="27" t="str">
        <f>IF($N237="","",INDEX('_calc'!$I$2:$I$3001,$N237))</f>
        <v/>
      </c>
      <c r="K237" s="28" t="str">
        <f>IF($N237="","",IF(OR(I237="",J237=""),"",J237-I237))</f>
        <v/>
      </c>
      <c r="L237" s="29" t="str">
        <f>IF($N237="","",INDEX('_calc'!$J$2:$J$3001,$N237))</f>
        <v/>
      </c>
      <c r="M237" s="2" t="str">
        <f>IF($N237="","",IF(AND(G237=0,H237=0),"수량 없음",IF(G237=0,"신규 (전년 수량 없음)",IF(H237=0,"당해 수량 없음",""))))</f>
        <v/>
      </c>
      <c r="N237" t="str">
        <f>IF($B237="","",MATCH($B237,'_calc'!$L$2:$L$3001,0))</f>
        <v/>
      </c>
    </row>
    <row r="238">
      <c r="B238" s="24" t="str">
        <f>IF(ROW()-ROW($B$8)&gt;nComp,"",ROW()-ROW($B$8))</f>
        <v/>
      </c>
      <c r="C238" t="str">
        <f>IF($N238="","",INDEX('_calc'!$A$2:$A$3001,$N238))</f>
        <v/>
      </c>
      <c r="D238" s="25" t="str">
        <f>IF($N238="","",INDEX('_calc'!$C$2:$C$3001,$N238))</f>
        <v/>
      </c>
      <c r="E238" s="25" t="str">
        <f>IF($N238="","",INDEX('_calc'!$D$2:$D$3001,$N238))</f>
        <v/>
      </c>
      <c r="F238" s="26" t="str">
        <f>IF($N238="","",IF($E$8=0,"",E238/$E$8))</f>
        <v/>
      </c>
      <c r="G238" s="25" t="str">
        <f>IF($N238="","",INDEX('_calc'!$E$2:$E$3001,$N238))</f>
        <v/>
      </c>
      <c r="H238" s="25" t="str">
        <f>IF($N238="","",INDEX('_calc'!$F$2:$F$3001,$N238))</f>
        <v/>
      </c>
      <c r="I238" s="27" t="str">
        <f>IF($N238="","",INDEX('_calc'!$H$2:$H$3001,$N238))</f>
        <v/>
      </c>
      <c r="J238" s="27" t="str">
        <f>IF($N238="","",INDEX('_calc'!$I$2:$I$3001,$N238))</f>
        <v/>
      </c>
      <c r="K238" s="28" t="str">
        <f>IF($N238="","",IF(OR(I238="",J238=""),"",J238-I238))</f>
        <v/>
      </c>
      <c r="L238" s="29" t="str">
        <f>IF($N238="","",INDEX('_calc'!$J$2:$J$3001,$N238))</f>
        <v/>
      </c>
      <c r="M238" s="2" t="str">
        <f>IF($N238="","",IF(AND(G238=0,H238=0),"수량 없음",IF(G238=0,"신규 (전년 수량 없음)",IF(H238=0,"당해 수량 없음",""))))</f>
        <v/>
      </c>
      <c r="N238" t="str">
        <f>IF($B238="","",MATCH($B238,'_calc'!$L$2:$L$3001,0))</f>
        <v/>
      </c>
    </row>
    <row r="239">
      <c r="B239" s="24" t="str">
        <f>IF(ROW()-ROW($B$8)&gt;nComp,"",ROW()-ROW($B$8))</f>
        <v/>
      </c>
      <c r="C239" t="str">
        <f>IF($N239="","",INDEX('_calc'!$A$2:$A$3001,$N239))</f>
        <v/>
      </c>
      <c r="D239" s="25" t="str">
        <f>IF($N239="","",INDEX('_calc'!$C$2:$C$3001,$N239))</f>
        <v/>
      </c>
      <c r="E239" s="25" t="str">
        <f>IF($N239="","",INDEX('_calc'!$D$2:$D$3001,$N239))</f>
        <v/>
      </c>
      <c r="F239" s="26" t="str">
        <f>IF($N239="","",IF($E$8=0,"",E239/$E$8))</f>
        <v/>
      </c>
      <c r="G239" s="25" t="str">
        <f>IF($N239="","",INDEX('_calc'!$E$2:$E$3001,$N239))</f>
        <v/>
      </c>
      <c r="H239" s="25" t="str">
        <f>IF($N239="","",INDEX('_calc'!$F$2:$F$3001,$N239))</f>
        <v/>
      </c>
      <c r="I239" s="27" t="str">
        <f>IF($N239="","",INDEX('_calc'!$H$2:$H$3001,$N239))</f>
        <v/>
      </c>
      <c r="J239" s="27" t="str">
        <f>IF($N239="","",INDEX('_calc'!$I$2:$I$3001,$N239))</f>
        <v/>
      </c>
      <c r="K239" s="28" t="str">
        <f>IF($N239="","",IF(OR(I239="",J239=""),"",J239-I239))</f>
        <v/>
      </c>
      <c r="L239" s="29" t="str">
        <f>IF($N239="","",INDEX('_calc'!$J$2:$J$3001,$N239))</f>
        <v/>
      </c>
      <c r="M239" s="2" t="str">
        <f>IF($N239="","",IF(AND(G239=0,H239=0),"수량 없음",IF(G239=0,"신규 (전년 수량 없음)",IF(H239=0,"당해 수량 없음",""))))</f>
        <v/>
      </c>
      <c r="N239" t="str">
        <f>IF($B239="","",MATCH($B239,'_calc'!$L$2:$L$3001,0))</f>
        <v/>
      </c>
    </row>
    <row r="240">
      <c r="B240" s="24" t="str">
        <f>IF(ROW()-ROW($B$8)&gt;nComp,"",ROW()-ROW($B$8))</f>
        <v/>
      </c>
      <c r="C240" t="str">
        <f>IF($N240="","",INDEX('_calc'!$A$2:$A$3001,$N240))</f>
        <v/>
      </c>
      <c r="D240" s="25" t="str">
        <f>IF($N240="","",INDEX('_calc'!$C$2:$C$3001,$N240))</f>
        <v/>
      </c>
      <c r="E240" s="25" t="str">
        <f>IF($N240="","",INDEX('_calc'!$D$2:$D$3001,$N240))</f>
        <v/>
      </c>
      <c r="F240" s="26" t="str">
        <f>IF($N240="","",IF($E$8=0,"",E240/$E$8))</f>
        <v/>
      </c>
      <c r="G240" s="25" t="str">
        <f>IF($N240="","",INDEX('_calc'!$E$2:$E$3001,$N240))</f>
        <v/>
      </c>
      <c r="H240" s="25" t="str">
        <f>IF($N240="","",INDEX('_calc'!$F$2:$F$3001,$N240))</f>
        <v/>
      </c>
      <c r="I240" s="27" t="str">
        <f>IF($N240="","",INDEX('_calc'!$H$2:$H$3001,$N240))</f>
        <v/>
      </c>
      <c r="J240" s="27" t="str">
        <f>IF($N240="","",INDEX('_calc'!$I$2:$I$3001,$N240))</f>
        <v/>
      </c>
      <c r="K240" s="28" t="str">
        <f>IF($N240="","",IF(OR(I240="",J240=""),"",J240-I240))</f>
        <v/>
      </c>
      <c r="L240" s="29" t="str">
        <f>IF($N240="","",INDEX('_calc'!$J$2:$J$3001,$N240))</f>
        <v/>
      </c>
      <c r="M240" s="2" t="str">
        <f>IF($N240="","",IF(AND(G240=0,H240=0),"수량 없음",IF(G240=0,"신규 (전년 수량 없음)",IF(H240=0,"당해 수량 없음",""))))</f>
        <v/>
      </c>
      <c r="N240" t="str">
        <f>IF($B240="","",MATCH($B240,'_calc'!$L$2:$L$3001,0))</f>
        <v/>
      </c>
    </row>
    <row r="241">
      <c r="B241" s="24" t="str">
        <f>IF(ROW()-ROW($B$8)&gt;nComp,"",ROW()-ROW($B$8))</f>
        <v/>
      </c>
      <c r="C241" t="str">
        <f>IF($N241="","",INDEX('_calc'!$A$2:$A$3001,$N241))</f>
        <v/>
      </c>
      <c r="D241" s="25" t="str">
        <f>IF($N241="","",INDEX('_calc'!$C$2:$C$3001,$N241))</f>
        <v/>
      </c>
      <c r="E241" s="25" t="str">
        <f>IF($N241="","",INDEX('_calc'!$D$2:$D$3001,$N241))</f>
        <v/>
      </c>
      <c r="F241" s="26" t="str">
        <f>IF($N241="","",IF($E$8=0,"",E241/$E$8))</f>
        <v/>
      </c>
      <c r="G241" s="25" t="str">
        <f>IF($N241="","",INDEX('_calc'!$E$2:$E$3001,$N241))</f>
        <v/>
      </c>
      <c r="H241" s="25" t="str">
        <f>IF($N241="","",INDEX('_calc'!$F$2:$F$3001,$N241))</f>
        <v/>
      </c>
      <c r="I241" s="27" t="str">
        <f>IF($N241="","",INDEX('_calc'!$H$2:$H$3001,$N241))</f>
        <v/>
      </c>
      <c r="J241" s="27" t="str">
        <f>IF($N241="","",INDEX('_calc'!$I$2:$I$3001,$N241))</f>
        <v/>
      </c>
      <c r="K241" s="28" t="str">
        <f>IF($N241="","",IF(OR(I241="",J241=""),"",J241-I241))</f>
        <v/>
      </c>
      <c r="L241" s="29" t="str">
        <f>IF($N241="","",INDEX('_calc'!$J$2:$J$3001,$N241))</f>
        <v/>
      </c>
      <c r="M241" s="2" t="str">
        <f>IF($N241="","",IF(AND(G241=0,H241=0),"수량 없음",IF(G241=0,"신규 (전년 수량 없음)",IF(H241=0,"당해 수량 없음",""))))</f>
        <v/>
      </c>
      <c r="N241" t="str">
        <f>IF($B241="","",MATCH($B241,'_calc'!$L$2:$L$3001,0))</f>
        <v/>
      </c>
    </row>
    <row r="242">
      <c r="B242" s="24" t="str">
        <f>IF(ROW()-ROW($B$8)&gt;nComp,"",ROW()-ROW($B$8))</f>
        <v/>
      </c>
      <c r="C242" t="str">
        <f>IF($N242="","",INDEX('_calc'!$A$2:$A$3001,$N242))</f>
        <v/>
      </c>
      <c r="D242" s="25" t="str">
        <f>IF($N242="","",INDEX('_calc'!$C$2:$C$3001,$N242))</f>
        <v/>
      </c>
      <c r="E242" s="25" t="str">
        <f>IF($N242="","",INDEX('_calc'!$D$2:$D$3001,$N242))</f>
        <v/>
      </c>
      <c r="F242" s="26" t="str">
        <f>IF($N242="","",IF($E$8=0,"",E242/$E$8))</f>
        <v/>
      </c>
      <c r="G242" s="25" t="str">
        <f>IF($N242="","",INDEX('_calc'!$E$2:$E$3001,$N242))</f>
        <v/>
      </c>
      <c r="H242" s="25" t="str">
        <f>IF($N242="","",INDEX('_calc'!$F$2:$F$3001,$N242))</f>
        <v/>
      </c>
      <c r="I242" s="27" t="str">
        <f>IF($N242="","",INDEX('_calc'!$H$2:$H$3001,$N242))</f>
        <v/>
      </c>
      <c r="J242" s="27" t="str">
        <f>IF($N242="","",INDEX('_calc'!$I$2:$I$3001,$N242))</f>
        <v/>
      </c>
      <c r="K242" s="28" t="str">
        <f>IF($N242="","",IF(OR(I242="",J242=""),"",J242-I242))</f>
        <v/>
      </c>
      <c r="L242" s="29" t="str">
        <f>IF($N242="","",INDEX('_calc'!$J$2:$J$3001,$N242))</f>
        <v/>
      </c>
      <c r="M242" s="2" t="str">
        <f>IF($N242="","",IF(AND(G242=0,H242=0),"수량 없음",IF(G242=0,"신규 (전년 수량 없음)",IF(H242=0,"당해 수량 없음",""))))</f>
        <v/>
      </c>
      <c r="N242" t="str">
        <f>IF($B242="","",MATCH($B242,'_calc'!$L$2:$L$3001,0))</f>
        <v/>
      </c>
    </row>
    <row r="243">
      <c r="B243" s="24" t="str">
        <f>IF(ROW()-ROW($B$8)&gt;nComp,"",ROW()-ROW($B$8))</f>
        <v/>
      </c>
      <c r="C243" t="str">
        <f>IF($N243="","",INDEX('_calc'!$A$2:$A$3001,$N243))</f>
        <v/>
      </c>
      <c r="D243" s="25" t="str">
        <f>IF($N243="","",INDEX('_calc'!$C$2:$C$3001,$N243))</f>
        <v/>
      </c>
      <c r="E243" s="25" t="str">
        <f>IF($N243="","",INDEX('_calc'!$D$2:$D$3001,$N243))</f>
        <v/>
      </c>
      <c r="F243" s="26" t="str">
        <f>IF($N243="","",IF($E$8=0,"",E243/$E$8))</f>
        <v/>
      </c>
      <c r="G243" s="25" t="str">
        <f>IF($N243="","",INDEX('_calc'!$E$2:$E$3001,$N243))</f>
        <v/>
      </c>
      <c r="H243" s="25" t="str">
        <f>IF($N243="","",INDEX('_calc'!$F$2:$F$3001,$N243))</f>
        <v/>
      </c>
      <c r="I243" s="27" t="str">
        <f>IF($N243="","",INDEX('_calc'!$H$2:$H$3001,$N243))</f>
        <v/>
      </c>
      <c r="J243" s="27" t="str">
        <f>IF($N243="","",INDEX('_calc'!$I$2:$I$3001,$N243))</f>
        <v/>
      </c>
      <c r="K243" s="28" t="str">
        <f>IF($N243="","",IF(OR(I243="",J243=""),"",J243-I243))</f>
        <v/>
      </c>
      <c r="L243" s="29" t="str">
        <f>IF($N243="","",INDEX('_calc'!$J$2:$J$3001,$N243))</f>
        <v/>
      </c>
      <c r="M243" s="2" t="str">
        <f>IF($N243="","",IF(AND(G243=0,H243=0),"수량 없음",IF(G243=0,"신규 (전년 수량 없음)",IF(H243=0,"당해 수량 없음",""))))</f>
        <v/>
      </c>
      <c r="N243" t="str">
        <f>IF($B243="","",MATCH($B243,'_calc'!$L$2:$L$3001,0))</f>
        <v/>
      </c>
    </row>
    <row r="244">
      <c r="B244" s="24" t="str">
        <f>IF(ROW()-ROW($B$8)&gt;nComp,"",ROW()-ROW($B$8))</f>
        <v/>
      </c>
      <c r="C244" t="str">
        <f>IF($N244="","",INDEX('_calc'!$A$2:$A$3001,$N244))</f>
        <v/>
      </c>
      <c r="D244" s="25" t="str">
        <f>IF($N244="","",INDEX('_calc'!$C$2:$C$3001,$N244))</f>
        <v/>
      </c>
      <c r="E244" s="25" t="str">
        <f>IF($N244="","",INDEX('_calc'!$D$2:$D$3001,$N244))</f>
        <v/>
      </c>
      <c r="F244" s="26" t="str">
        <f>IF($N244="","",IF($E$8=0,"",E244/$E$8))</f>
        <v/>
      </c>
      <c r="G244" s="25" t="str">
        <f>IF($N244="","",INDEX('_calc'!$E$2:$E$3001,$N244))</f>
        <v/>
      </c>
      <c r="H244" s="25" t="str">
        <f>IF($N244="","",INDEX('_calc'!$F$2:$F$3001,$N244))</f>
        <v/>
      </c>
      <c r="I244" s="27" t="str">
        <f>IF($N244="","",INDEX('_calc'!$H$2:$H$3001,$N244))</f>
        <v/>
      </c>
      <c r="J244" s="27" t="str">
        <f>IF($N244="","",INDEX('_calc'!$I$2:$I$3001,$N244))</f>
        <v/>
      </c>
      <c r="K244" s="28" t="str">
        <f>IF($N244="","",IF(OR(I244="",J244=""),"",J244-I244))</f>
        <v/>
      </c>
      <c r="L244" s="29" t="str">
        <f>IF($N244="","",INDEX('_calc'!$J$2:$J$3001,$N244))</f>
        <v/>
      </c>
      <c r="M244" s="2" t="str">
        <f>IF($N244="","",IF(AND(G244=0,H244=0),"수량 없음",IF(G244=0,"신규 (전년 수량 없음)",IF(H244=0,"당해 수량 없음",""))))</f>
        <v/>
      </c>
      <c r="N244" t="str">
        <f>IF($B244="","",MATCH($B244,'_calc'!$L$2:$L$3001,0))</f>
        <v/>
      </c>
    </row>
    <row r="245">
      <c r="B245" s="24" t="str">
        <f>IF(ROW()-ROW($B$8)&gt;nComp,"",ROW()-ROW($B$8))</f>
        <v/>
      </c>
      <c r="C245" t="str">
        <f>IF($N245="","",INDEX('_calc'!$A$2:$A$3001,$N245))</f>
        <v/>
      </c>
      <c r="D245" s="25" t="str">
        <f>IF($N245="","",INDEX('_calc'!$C$2:$C$3001,$N245))</f>
        <v/>
      </c>
      <c r="E245" s="25" t="str">
        <f>IF($N245="","",INDEX('_calc'!$D$2:$D$3001,$N245))</f>
        <v/>
      </c>
      <c r="F245" s="26" t="str">
        <f>IF($N245="","",IF($E$8=0,"",E245/$E$8))</f>
        <v/>
      </c>
      <c r="G245" s="25" t="str">
        <f>IF($N245="","",INDEX('_calc'!$E$2:$E$3001,$N245))</f>
        <v/>
      </c>
      <c r="H245" s="25" t="str">
        <f>IF($N245="","",INDEX('_calc'!$F$2:$F$3001,$N245))</f>
        <v/>
      </c>
      <c r="I245" s="27" t="str">
        <f>IF($N245="","",INDEX('_calc'!$H$2:$H$3001,$N245))</f>
        <v/>
      </c>
      <c r="J245" s="27" t="str">
        <f>IF($N245="","",INDEX('_calc'!$I$2:$I$3001,$N245))</f>
        <v/>
      </c>
      <c r="K245" s="28" t="str">
        <f>IF($N245="","",IF(OR(I245="",J245=""),"",J245-I245))</f>
        <v/>
      </c>
      <c r="L245" s="29" t="str">
        <f>IF($N245="","",INDEX('_calc'!$J$2:$J$3001,$N245))</f>
        <v/>
      </c>
      <c r="M245" s="2" t="str">
        <f>IF($N245="","",IF(AND(G245=0,H245=0),"수량 없음",IF(G245=0,"신규 (전년 수량 없음)",IF(H245=0,"당해 수량 없음",""))))</f>
        <v/>
      </c>
      <c r="N245" t="str">
        <f>IF($B245="","",MATCH($B245,'_calc'!$L$2:$L$3001,0))</f>
        <v/>
      </c>
    </row>
    <row r="246">
      <c r="B246" s="24" t="str">
        <f>IF(ROW()-ROW($B$8)&gt;nComp,"",ROW()-ROW($B$8))</f>
        <v/>
      </c>
      <c r="C246" t="str">
        <f>IF($N246="","",INDEX('_calc'!$A$2:$A$3001,$N246))</f>
        <v/>
      </c>
      <c r="D246" s="25" t="str">
        <f>IF($N246="","",INDEX('_calc'!$C$2:$C$3001,$N246))</f>
        <v/>
      </c>
      <c r="E246" s="25" t="str">
        <f>IF($N246="","",INDEX('_calc'!$D$2:$D$3001,$N246))</f>
        <v/>
      </c>
      <c r="F246" s="26" t="str">
        <f>IF($N246="","",IF($E$8=0,"",E246/$E$8))</f>
        <v/>
      </c>
      <c r="G246" s="25" t="str">
        <f>IF($N246="","",INDEX('_calc'!$E$2:$E$3001,$N246))</f>
        <v/>
      </c>
      <c r="H246" s="25" t="str">
        <f>IF($N246="","",INDEX('_calc'!$F$2:$F$3001,$N246))</f>
        <v/>
      </c>
      <c r="I246" s="27" t="str">
        <f>IF($N246="","",INDEX('_calc'!$H$2:$H$3001,$N246))</f>
        <v/>
      </c>
      <c r="J246" s="27" t="str">
        <f>IF($N246="","",INDEX('_calc'!$I$2:$I$3001,$N246))</f>
        <v/>
      </c>
      <c r="K246" s="28" t="str">
        <f>IF($N246="","",IF(OR(I246="",J246=""),"",J246-I246))</f>
        <v/>
      </c>
      <c r="L246" s="29" t="str">
        <f>IF($N246="","",INDEX('_calc'!$J$2:$J$3001,$N246))</f>
        <v/>
      </c>
      <c r="M246" s="2" t="str">
        <f>IF($N246="","",IF(AND(G246=0,H246=0),"수량 없음",IF(G246=0,"신규 (전년 수량 없음)",IF(H246=0,"당해 수량 없음",""))))</f>
        <v/>
      </c>
      <c r="N246" t="str">
        <f>IF($B246="","",MATCH($B246,'_calc'!$L$2:$L$3001,0))</f>
        <v/>
      </c>
    </row>
    <row r="247">
      <c r="B247" s="24" t="str">
        <f>IF(ROW()-ROW($B$8)&gt;nComp,"",ROW()-ROW($B$8))</f>
        <v/>
      </c>
      <c r="C247" t="str">
        <f>IF($N247="","",INDEX('_calc'!$A$2:$A$3001,$N247))</f>
        <v/>
      </c>
      <c r="D247" s="25" t="str">
        <f>IF($N247="","",INDEX('_calc'!$C$2:$C$3001,$N247))</f>
        <v/>
      </c>
      <c r="E247" s="25" t="str">
        <f>IF($N247="","",INDEX('_calc'!$D$2:$D$3001,$N247))</f>
        <v/>
      </c>
      <c r="F247" s="26" t="str">
        <f>IF($N247="","",IF($E$8=0,"",E247/$E$8))</f>
        <v/>
      </c>
      <c r="G247" s="25" t="str">
        <f>IF($N247="","",INDEX('_calc'!$E$2:$E$3001,$N247))</f>
        <v/>
      </c>
      <c r="H247" s="25" t="str">
        <f>IF($N247="","",INDEX('_calc'!$F$2:$F$3001,$N247))</f>
        <v/>
      </c>
      <c r="I247" s="27" t="str">
        <f>IF($N247="","",INDEX('_calc'!$H$2:$H$3001,$N247))</f>
        <v/>
      </c>
      <c r="J247" s="27" t="str">
        <f>IF($N247="","",INDEX('_calc'!$I$2:$I$3001,$N247))</f>
        <v/>
      </c>
      <c r="K247" s="28" t="str">
        <f>IF($N247="","",IF(OR(I247="",J247=""),"",J247-I247))</f>
        <v/>
      </c>
      <c r="L247" s="29" t="str">
        <f>IF($N247="","",INDEX('_calc'!$J$2:$J$3001,$N247))</f>
        <v/>
      </c>
      <c r="M247" s="2" t="str">
        <f>IF($N247="","",IF(AND(G247=0,H247=0),"수량 없음",IF(G247=0,"신규 (전년 수량 없음)",IF(H247=0,"당해 수량 없음",""))))</f>
        <v/>
      </c>
      <c r="N247" t="str">
        <f>IF($B247="","",MATCH($B247,'_calc'!$L$2:$L$3001,0))</f>
        <v/>
      </c>
    </row>
    <row r="248">
      <c r="B248" s="24" t="str">
        <f>IF(ROW()-ROW($B$8)&gt;nComp,"",ROW()-ROW($B$8))</f>
        <v/>
      </c>
      <c r="C248" t="str">
        <f>IF($N248="","",INDEX('_calc'!$A$2:$A$3001,$N248))</f>
        <v/>
      </c>
      <c r="D248" s="25" t="str">
        <f>IF($N248="","",INDEX('_calc'!$C$2:$C$3001,$N248))</f>
        <v/>
      </c>
      <c r="E248" s="25" t="str">
        <f>IF($N248="","",INDEX('_calc'!$D$2:$D$3001,$N248))</f>
        <v/>
      </c>
      <c r="F248" s="26" t="str">
        <f>IF($N248="","",IF($E$8=0,"",E248/$E$8))</f>
        <v/>
      </c>
      <c r="G248" s="25" t="str">
        <f>IF($N248="","",INDEX('_calc'!$E$2:$E$3001,$N248))</f>
        <v/>
      </c>
      <c r="H248" s="25" t="str">
        <f>IF($N248="","",INDEX('_calc'!$F$2:$F$3001,$N248))</f>
        <v/>
      </c>
      <c r="I248" s="27" t="str">
        <f>IF($N248="","",INDEX('_calc'!$H$2:$H$3001,$N248))</f>
        <v/>
      </c>
      <c r="J248" s="27" t="str">
        <f>IF($N248="","",INDEX('_calc'!$I$2:$I$3001,$N248))</f>
        <v/>
      </c>
      <c r="K248" s="28" t="str">
        <f>IF($N248="","",IF(OR(I248="",J248=""),"",J248-I248))</f>
        <v/>
      </c>
      <c r="L248" s="29" t="str">
        <f>IF($N248="","",INDEX('_calc'!$J$2:$J$3001,$N248))</f>
        <v/>
      </c>
      <c r="M248" s="2" t="str">
        <f>IF($N248="","",IF(AND(G248=0,H248=0),"수량 없음",IF(G248=0,"신규 (전년 수량 없음)",IF(H248=0,"당해 수량 없음",""))))</f>
        <v/>
      </c>
      <c r="N248" t="str">
        <f>IF($B248="","",MATCH($B248,'_calc'!$L$2:$L$3001,0))</f>
        <v/>
      </c>
    </row>
    <row r="249">
      <c r="B249" s="24" t="str">
        <f>IF(ROW()-ROW($B$8)&gt;nComp,"",ROW()-ROW($B$8))</f>
        <v/>
      </c>
      <c r="C249" t="str">
        <f>IF($N249="","",INDEX('_calc'!$A$2:$A$3001,$N249))</f>
        <v/>
      </c>
      <c r="D249" s="25" t="str">
        <f>IF($N249="","",INDEX('_calc'!$C$2:$C$3001,$N249))</f>
        <v/>
      </c>
      <c r="E249" s="25" t="str">
        <f>IF($N249="","",INDEX('_calc'!$D$2:$D$3001,$N249))</f>
        <v/>
      </c>
      <c r="F249" s="26" t="str">
        <f>IF($N249="","",IF($E$8=0,"",E249/$E$8))</f>
        <v/>
      </c>
      <c r="G249" s="25" t="str">
        <f>IF($N249="","",INDEX('_calc'!$E$2:$E$3001,$N249))</f>
        <v/>
      </c>
      <c r="H249" s="25" t="str">
        <f>IF($N249="","",INDEX('_calc'!$F$2:$F$3001,$N249))</f>
        <v/>
      </c>
      <c r="I249" s="27" t="str">
        <f>IF($N249="","",INDEX('_calc'!$H$2:$H$3001,$N249))</f>
        <v/>
      </c>
      <c r="J249" s="27" t="str">
        <f>IF($N249="","",INDEX('_calc'!$I$2:$I$3001,$N249))</f>
        <v/>
      </c>
      <c r="K249" s="28" t="str">
        <f>IF($N249="","",IF(OR(I249="",J249=""),"",J249-I249))</f>
        <v/>
      </c>
      <c r="L249" s="29" t="str">
        <f>IF($N249="","",INDEX('_calc'!$J$2:$J$3001,$N249))</f>
        <v/>
      </c>
      <c r="M249" s="2" t="str">
        <f>IF($N249="","",IF(AND(G249=0,H249=0),"수량 없음",IF(G249=0,"신규 (전년 수량 없음)",IF(H249=0,"당해 수량 없음",""))))</f>
        <v/>
      </c>
      <c r="N249" t="str">
        <f>IF($B249="","",MATCH($B249,'_calc'!$L$2:$L$3001,0))</f>
        <v/>
      </c>
    </row>
    <row r="250">
      <c r="B250" s="24" t="str">
        <f>IF(ROW()-ROW($B$8)&gt;nComp,"",ROW()-ROW($B$8))</f>
        <v/>
      </c>
      <c r="C250" t="str">
        <f>IF($N250="","",INDEX('_calc'!$A$2:$A$3001,$N250))</f>
        <v/>
      </c>
      <c r="D250" s="25" t="str">
        <f>IF($N250="","",INDEX('_calc'!$C$2:$C$3001,$N250))</f>
        <v/>
      </c>
      <c r="E250" s="25" t="str">
        <f>IF($N250="","",INDEX('_calc'!$D$2:$D$3001,$N250))</f>
        <v/>
      </c>
      <c r="F250" s="26" t="str">
        <f>IF($N250="","",IF($E$8=0,"",E250/$E$8))</f>
        <v/>
      </c>
      <c r="G250" s="25" t="str">
        <f>IF($N250="","",INDEX('_calc'!$E$2:$E$3001,$N250))</f>
        <v/>
      </c>
      <c r="H250" s="25" t="str">
        <f>IF($N250="","",INDEX('_calc'!$F$2:$F$3001,$N250))</f>
        <v/>
      </c>
      <c r="I250" s="27" t="str">
        <f>IF($N250="","",INDEX('_calc'!$H$2:$H$3001,$N250))</f>
        <v/>
      </c>
      <c r="J250" s="27" t="str">
        <f>IF($N250="","",INDEX('_calc'!$I$2:$I$3001,$N250))</f>
        <v/>
      </c>
      <c r="K250" s="28" t="str">
        <f>IF($N250="","",IF(OR(I250="",J250=""),"",J250-I250))</f>
        <v/>
      </c>
      <c r="L250" s="29" t="str">
        <f>IF($N250="","",INDEX('_calc'!$J$2:$J$3001,$N250))</f>
        <v/>
      </c>
      <c r="M250" s="2" t="str">
        <f>IF($N250="","",IF(AND(G250=0,H250=0),"수량 없음",IF(G250=0,"신규 (전년 수량 없음)",IF(H250=0,"당해 수량 없음",""))))</f>
        <v/>
      </c>
      <c r="N250" t="str">
        <f>IF($B250="","",MATCH($B250,'_calc'!$L$2:$L$3001,0))</f>
        <v/>
      </c>
    </row>
    <row r="251">
      <c r="B251" s="24" t="str">
        <f>IF(ROW()-ROW($B$8)&gt;nComp,"",ROW()-ROW($B$8))</f>
        <v/>
      </c>
      <c r="C251" t="str">
        <f>IF($N251="","",INDEX('_calc'!$A$2:$A$3001,$N251))</f>
        <v/>
      </c>
      <c r="D251" s="25" t="str">
        <f>IF($N251="","",INDEX('_calc'!$C$2:$C$3001,$N251))</f>
        <v/>
      </c>
      <c r="E251" s="25" t="str">
        <f>IF($N251="","",INDEX('_calc'!$D$2:$D$3001,$N251))</f>
        <v/>
      </c>
      <c r="F251" s="26" t="str">
        <f>IF($N251="","",IF($E$8=0,"",E251/$E$8))</f>
        <v/>
      </c>
      <c r="G251" s="25" t="str">
        <f>IF($N251="","",INDEX('_calc'!$E$2:$E$3001,$N251))</f>
        <v/>
      </c>
      <c r="H251" s="25" t="str">
        <f>IF($N251="","",INDEX('_calc'!$F$2:$F$3001,$N251))</f>
        <v/>
      </c>
      <c r="I251" s="27" t="str">
        <f>IF($N251="","",INDEX('_calc'!$H$2:$H$3001,$N251))</f>
        <v/>
      </c>
      <c r="J251" s="27" t="str">
        <f>IF($N251="","",INDEX('_calc'!$I$2:$I$3001,$N251))</f>
        <v/>
      </c>
      <c r="K251" s="28" t="str">
        <f>IF($N251="","",IF(OR(I251="",J251=""),"",J251-I251))</f>
        <v/>
      </c>
      <c r="L251" s="29" t="str">
        <f>IF($N251="","",INDEX('_calc'!$J$2:$J$3001,$N251))</f>
        <v/>
      </c>
      <c r="M251" s="2" t="str">
        <f>IF($N251="","",IF(AND(G251=0,H251=0),"수량 없음",IF(G251=0,"신규 (전년 수량 없음)",IF(H251=0,"당해 수량 없음",""))))</f>
        <v/>
      </c>
      <c r="N251" t="str">
        <f>IF($B251="","",MATCH($B251,'_calc'!$L$2:$L$3001,0))</f>
        <v/>
      </c>
    </row>
    <row r="252">
      <c r="B252" s="24" t="str">
        <f>IF(ROW()-ROW($B$8)&gt;nComp,"",ROW()-ROW($B$8))</f>
        <v/>
      </c>
      <c r="C252" t="str">
        <f>IF($N252="","",INDEX('_calc'!$A$2:$A$3001,$N252))</f>
        <v/>
      </c>
      <c r="D252" s="25" t="str">
        <f>IF($N252="","",INDEX('_calc'!$C$2:$C$3001,$N252))</f>
        <v/>
      </c>
      <c r="E252" s="25" t="str">
        <f>IF($N252="","",INDEX('_calc'!$D$2:$D$3001,$N252))</f>
        <v/>
      </c>
      <c r="F252" s="26" t="str">
        <f>IF($N252="","",IF($E$8=0,"",E252/$E$8))</f>
        <v/>
      </c>
      <c r="G252" s="25" t="str">
        <f>IF($N252="","",INDEX('_calc'!$E$2:$E$3001,$N252))</f>
        <v/>
      </c>
      <c r="H252" s="25" t="str">
        <f>IF($N252="","",INDEX('_calc'!$F$2:$F$3001,$N252))</f>
        <v/>
      </c>
      <c r="I252" s="27" t="str">
        <f>IF($N252="","",INDEX('_calc'!$H$2:$H$3001,$N252))</f>
        <v/>
      </c>
      <c r="J252" s="27" t="str">
        <f>IF($N252="","",INDEX('_calc'!$I$2:$I$3001,$N252))</f>
        <v/>
      </c>
      <c r="K252" s="28" t="str">
        <f>IF($N252="","",IF(OR(I252="",J252=""),"",J252-I252))</f>
        <v/>
      </c>
      <c r="L252" s="29" t="str">
        <f>IF($N252="","",INDEX('_calc'!$J$2:$J$3001,$N252))</f>
        <v/>
      </c>
      <c r="M252" s="2" t="str">
        <f>IF($N252="","",IF(AND(G252=0,H252=0),"수량 없음",IF(G252=0,"신규 (전년 수량 없음)",IF(H252=0,"당해 수량 없음",""))))</f>
        <v/>
      </c>
      <c r="N252" t="str">
        <f>IF($B252="","",MATCH($B252,'_calc'!$L$2:$L$3001,0))</f>
        <v/>
      </c>
    </row>
    <row r="253">
      <c r="B253" s="24" t="str">
        <f>IF(ROW()-ROW($B$8)&gt;nComp,"",ROW()-ROW($B$8))</f>
        <v/>
      </c>
      <c r="C253" t="str">
        <f>IF($N253="","",INDEX('_calc'!$A$2:$A$3001,$N253))</f>
        <v/>
      </c>
      <c r="D253" s="25" t="str">
        <f>IF($N253="","",INDEX('_calc'!$C$2:$C$3001,$N253))</f>
        <v/>
      </c>
      <c r="E253" s="25" t="str">
        <f>IF($N253="","",INDEX('_calc'!$D$2:$D$3001,$N253))</f>
        <v/>
      </c>
      <c r="F253" s="26" t="str">
        <f>IF($N253="","",IF($E$8=0,"",E253/$E$8))</f>
        <v/>
      </c>
      <c r="G253" s="25" t="str">
        <f>IF($N253="","",INDEX('_calc'!$E$2:$E$3001,$N253))</f>
        <v/>
      </c>
      <c r="H253" s="25" t="str">
        <f>IF($N253="","",INDEX('_calc'!$F$2:$F$3001,$N253))</f>
        <v/>
      </c>
      <c r="I253" s="27" t="str">
        <f>IF($N253="","",INDEX('_calc'!$H$2:$H$3001,$N253))</f>
        <v/>
      </c>
      <c r="J253" s="27" t="str">
        <f>IF($N253="","",INDEX('_calc'!$I$2:$I$3001,$N253))</f>
        <v/>
      </c>
      <c r="K253" s="28" t="str">
        <f>IF($N253="","",IF(OR(I253="",J253=""),"",J253-I253))</f>
        <v/>
      </c>
      <c r="L253" s="29" t="str">
        <f>IF($N253="","",INDEX('_calc'!$J$2:$J$3001,$N253))</f>
        <v/>
      </c>
      <c r="M253" s="2" t="str">
        <f>IF($N253="","",IF(AND(G253=0,H253=0),"수량 없음",IF(G253=0,"신규 (전년 수량 없음)",IF(H253=0,"당해 수량 없음",""))))</f>
        <v/>
      </c>
      <c r="N253" t="str">
        <f>IF($B253="","",MATCH($B253,'_calc'!$L$2:$L$3001,0))</f>
        <v/>
      </c>
    </row>
    <row r="254">
      <c r="B254" s="24" t="str">
        <f>IF(ROW()-ROW($B$8)&gt;nComp,"",ROW()-ROW($B$8))</f>
        <v/>
      </c>
      <c r="C254" t="str">
        <f>IF($N254="","",INDEX('_calc'!$A$2:$A$3001,$N254))</f>
        <v/>
      </c>
      <c r="D254" s="25" t="str">
        <f>IF($N254="","",INDEX('_calc'!$C$2:$C$3001,$N254))</f>
        <v/>
      </c>
      <c r="E254" s="25" t="str">
        <f>IF($N254="","",INDEX('_calc'!$D$2:$D$3001,$N254))</f>
        <v/>
      </c>
      <c r="F254" s="26" t="str">
        <f>IF($N254="","",IF($E$8=0,"",E254/$E$8))</f>
        <v/>
      </c>
      <c r="G254" s="25" t="str">
        <f>IF($N254="","",INDEX('_calc'!$E$2:$E$3001,$N254))</f>
        <v/>
      </c>
      <c r="H254" s="25" t="str">
        <f>IF($N254="","",INDEX('_calc'!$F$2:$F$3001,$N254))</f>
        <v/>
      </c>
      <c r="I254" s="27" t="str">
        <f>IF($N254="","",INDEX('_calc'!$H$2:$H$3001,$N254))</f>
        <v/>
      </c>
      <c r="J254" s="27" t="str">
        <f>IF($N254="","",INDEX('_calc'!$I$2:$I$3001,$N254))</f>
        <v/>
      </c>
      <c r="K254" s="28" t="str">
        <f>IF($N254="","",IF(OR(I254="",J254=""),"",J254-I254))</f>
        <v/>
      </c>
      <c r="L254" s="29" t="str">
        <f>IF($N254="","",INDEX('_calc'!$J$2:$J$3001,$N254))</f>
        <v/>
      </c>
      <c r="M254" s="2" t="str">
        <f>IF($N254="","",IF(AND(G254=0,H254=0),"수량 없음",IF(G254=0,"신규 (전년 수량 없음)",IF(H254=0,"당해 수량 없음",""))))</f>
        <v/>
      </c>
      <c r="N254" t="str">
        <f>IF($B254="","",MATCH($B254,'_calc'!$L$2:$L$3001,0))</f>
        <v/>
      </c>
    </row>
    <row r="255">
      <c r="B255" s="24" t="str">
        <f>IF(ROW()-ROW($B$8)&gt;nComp,"",ROW()-ROW($B$8))</f>
        <v/>
      </c>
      <c r="C255" t="str">
        <f>IF($N255="","",INDEX('_calc'!$A$2:$A$3001,$N255))</f>
        <v/>
      </c>
      <c r="D255" s="25" t="str">
        <f>IF($N255="","",INDEX('_calc'!$C$2:$C$3001,$N255))</f>
        <v/>
      </c>
      <c r="E255" s="25" t="str">
        <f>IF($N255="","",INDEX('_calc'!$D$2:$D$3001,$N255))</f>
        <v/>
      </c>
      <c r="F255" s="26" t="str">
        <f>IF($N255="","",IF($E$8=0,"",E255/$E$8))</f>
        <v/>
      </c>
      <c r="G255" s="25" t="str">
        <f>IF($N255="","",INDEX('_calc'!$E$2:$E$3001,$N255))</f>
        <v/>
      </c>
      <c r="H255" s="25" t="str">
        <f>IF($N255="","",INDEX('_calc'!$F$2:$F$3001,$N255))</f>
        <v/>
      </c>
      <c r="I255" s="27" t="str">
        <f>IF($N255="","",INDEX('_calc'!$H$2:$H$3001,$N255))</f>
        <v/>
      </c>
      <c r="J255" s="27" t="str">
        <f>IF($N255="","",INDEX('_calc'!$I$2:$I$3001,$N255))</f>
        <v/>
      </c>
      <c r="K255" s="28" t="str">
        <f>IF($N255="","",IF(OR(I255="",J255=""),"",J255-I255))</f>
        <v/>
      </c>
      <c r="L255" s="29" t="str">
        <f>IF($N255="","",INDEX('_calc'!$J$2:$J$3001,$N255))</f>
        <v/>
      </c>
      <c r="M255" s="2" t="str">
        <f>IF($N255="","",IF(AND(G255=0,H255=0),"수량 없음",IF(G255=0,"신규 (전년 수량 없음)",IF(H255=0,"당해 수량 없음",""))))</f>
        <v/>
      </c>
      <c r="N255" t="str">
        <f>IF($B255="","",MATCH($B255,'_calc'!$L$2:$L$3001,0))</f>
        <v/>
      </c>
    </row>
    <row r="256">
      <c r="B256" s="24" t="str">
        <f>IF(ROW()-ROW($B$8)&gt;nComp,"",ROW()-ROW($B$8))</f>
        <v/>
      </c>
      <c r="C256" t="str">
        <f>IF($N256="","",INDEX('_calc'!$A$2:$A$3001,$N256))</f>
        <v/>
      </c>
      <c r="D256" s="25" t="str">
        <f>IF($N256="","",INDEX('_calc'!$C$2:$C$3001,$N256))</f>
        <v/>
      </c>
      <c r="E256" s="25" t="str">
        <f>IF($N256="","",INDEX('_calc'!$D$2:$D$3001,$N256))</f>
        <v/>
      </c>
      <c r="F256" s="26" t="str">
        <f>IF($N256="","",IF($E$8=0,"",E256/$E$8))</f>
        <v/>
      </c>
      <c r="G256" s="25" t="str">
        <f>IF($N256="","",INDEX('_calc'!$E$2:$E$3001,$N256))</f>
        <v/>
      </c>
      <c r="H256" s="25" t="str">
        <f>IF($N256="","",INDEX('_calc'!$F$2:$F$3001,$N256))</f>
        <v/>
      </c>
      <c r="I256" s="27" t="str">
        <f>IF($N256="","",INDEX('_calc'!$H$2:$H$3001,$N256))</f>
        <v/>
      </c>
      <c r="J256" s="27" t="str">
        <f>IF($N256="","",INDEX('_calc'!$I$2:$I$3001,$N256))</f>
        <v/>
      </c>
      <c r="K256" s="28" t="str">
        <f>IF($N256="","",IF(OR(I256="",J256=""),"",J256-I256))</f>
        <v/>
      </c>
      <c r="L256" s="29" t="str">
        <f>IF($N256="","",INDEX('_calc'!$J$2:$J$3001,$N256))</f>
        <v/>
      </c>
      <c r="M256" s="2" t="str">
        <f>IF($N256="","",IF(AND(G256=0,H256=0),"수량 없음",IF(G256=0,"신규 (전년 수량 없음)",IF(H256=0,"당해 수량 없음",""))))</f>
        <v/>
      </c>
      <c r="N256" t="str">
        <f>IF($B256="","",MATCH($B256,'_calc'!$L$2:$L$3001,0))</f>
        <v/>
      </c>
    </row>
    <row r="257">
      <c r="B257" s="24" t="str">
        <f>IF(ROW()-ROW($B$8)&gt;nComp,"",ROW()-ROW($B$8))</f>
        <v/>
      </c>
      <c r="C257" t="str">
        <f>IF($N257="","",INDEX('_calc'!$A$2:$A$3001,$N257))</f>
        <v/>
      </c>
      <c r="D257" s="25" t="str">
        <f>IF($N257="","",INDEX('_calc'!$C$2:$C$3001,$N257))</f>
        <v/>
      </c>
      <c r="E257" s="25" t="str">
        <f>IF($N257="","",INDEX('_calc'!$D$2:$D$3001,$N257))</f>
        <v/>
      </c>
      <c r="F257" s="26" t="str">
        <f>IF($N257="","",IF($E$8=0,"",E257/$E$8))</f>
        <v/>
      </c>
      <c r="G257" s="25" t="str">
        <f>IF($N257="","",INDEX('_calc'!$E$2:$E$3001,$N257))</f>
        <v/>
      </c>
      <c r="H257" s="25" t="str">
        <f>IF($N257="","",INDEX('_calc'!$F$2:$F$3001,$N257))</f>
        <v/>
      </c>
      <c r="I257" s="27" t="str">
        <f>IF($N257="","",INDEX('_calc'!$H$2:$H$3001,$N257))</f>
        <v/>
      </c>
      <c r="J257" s="27" t="str">
        <f>IF($N257="","",INDEX('_calc'!$I$2:$I$3001,$N257))</f>
        <v/>
      </c>
      <c r="K257" s="28" t="str">
        <f>IF($N257="","",IF(OR(I257="",J257=""),"",J257-I257))</f>
        <v/>
      </c>
      <c r="L257" s="29" t="str">
        <f>IF($N257="","",INDEX('_calc'!$J$2:$J$3001,$N257))</f>
        <v/>
      </c>
      <c r="M257" s="2" t="str">
        <f>IF($N257="","",IF(AND(G257=0,H257=0),"수량 없음",IF(G257=0,"신규 (전년 수량 없음)",IF(H257=0,"당해 수량 없음",""))))</f>
        <v/>
      </c>
      <c r="N257" t="str">
        <f>IF($B257="","",MATCH($B257,'_calc'!$L$2:$L$3001,0))</f>
        <v/>
      </c>
    </row>
    <row r="258">
      <c r="B258" s="24" t="str">
        <f>IF(ROW()-ROW($B$8)&gt;nComp,"",ROW()-ROW($B$8))</f>
        <v/>
      </c>
      <c r="C258" t="str">
        <f>IF($N258="","",INDEX('_calc'!$A$2:$A$3001,$N258))</f>
        <v/>
      </c>
      <c r="D258" s="25" t="str">
        <f>IF($N258="","",INDEX('_calc'!$C$2:$C$3001,$N258))</f>
        <v/>
      </c>
      <c r="E258" s="25" t="str">
        <f>IF($N258="","",INDEX('_calc'!$D$2:$D$3001,$N258))</f>
        <v/>
      </c>
      <c r="F258" s="26" t="str">
        <f>IF($N258="","",IF($E$8=0,"",E258/$E$8))</f>
        <v/>
      </c>
      <c r="G258" s="25" t="str">
        <f>IF($N258="","",INDEX('_calc'!$E$2:$E$3001,$N258))</f>
        <v/>
      </c>
      <c r="H258" s="25" t="str">
        <f>IF($N258="","",INDEX('_calc'!$F$2:$F$3001,$N258))</f>
        <v/>
      </c>
      <c r="I258" s="27" t="str">
        <f>IF($N258="","",INDEX('_calc'!$H$2:$H$3001,$N258))</f>
        <v/>
      </c>
      <c r="J258" s="27" t="str">
        <f>IF($N258="","",INDEX('_calc'!$I$2:$I$3001,$N258))</f>
        <v/>
      </c>
      <c r="K258" s="28" t="str">
        <f>IF($N258="","",IF(OR(I258="",J258=""),"",J258-I258))</f>
        <v/>
      </c>
      <c r="L258" s="29" t="str">
        <f>IF($N258="","",INDEX('_calc'!$J$2:$J$3001,$N258))</f>
        <v/>
      </c>
      <c r="M258" s="2" t="str">
        <f>IF($N258="","",IF(AND(G258=0,H258=0),"수량 없음",IF(G258=0,"신규 (전년 수량 없음)",IF(H258=0,"당해 수량 없음",""))))</f>
        <v/>
      </c>
      <c r="N258" t="str">
        <f>IF($B258="","",MATCH($B258,'_calc'!$L$2:$L$3001,0))</f>
        <v/>
      </c>
    </row>
    <row r="259">
      <c r="B259" s="24" t="str">
        <f>IF(ROW()-ROW($B$8)&gt;nComp,"",ROW()-ROW($B$8))</f>
        <v/>
      </c>
      <c r="C259" t="str">
        <f>IF($N259="","",INDEX('_calc'!$A$2:$A$3001,$N259))</f>
        <v/>
      </c>
      <c r="D259" s="25" t="str">
        <f>IF($N259="","",INDEX('_calc'!$C$2:$C$3001,$N259))</f>
        <v/>
      </c>
      <c r="E259" s="25" t="str">
        <f>IF($N259="","",INDEX('_calc'!$D$2:$D$3001,$N259))</f>
        <v/>
      </c>
      <c r="F259" s="26" t="str">
        <f>IF($N259="","",IF($E$8=0,"",E259/$E$8))</f>
        <v/>
      </c>
      <c r="G259" s="25" t="str">
        <f>IF($N259="","",INDEX('_calc'!$E$2:$E$3001,$N259))</f>
        <v/>
      </c>
      <c r="H259" s="25" t="str">
        <f>IF($N259="","",INDEX('_calc'!$F$2:$F$3001,$N259))</f>
        <v/>
      </c>
      <c r="I259" s="27" t="str">
        <f>IF($N259="","",INDEX('_calc'!$H$2:$H$3001,$N259))</f>
        <v/>
      </c>
      <c r="J259" s="27" t="str">
        <f>IF($N259="","",INDEX('_calc'!$I$2:$I$3001,$N259))</f>
        <v/>
      </c>
      <c r="K259" s="28" t="str">
        <f>IF($N259="","",IF(OR(I259="",J259=""),"",J259-I259))</f>
        <v/>
      </c>
      <c r="L259" s="29" t="str">
        <f>IF($N259="","",INDEX('_calc'!$J$2:$J$3001,$N259))</f>
        <v/>
      </c>
      <c r="M259" s="2" t="str">
        <f>IF($N259="","",IF(AND(G259=0,H259=0),"수량 없음",IF(G259=0,"신규 (전년 수량 없음)",IF(H259=0,"당해 수량 없음",""))))</f>
        <v/>
      </c>
      <c r="N259" t="str">
        <f>IF($B259="","",MATCH($B259,'_calc'!$L$2:$L$3001,0))</f>
        <v/>
      </c>
    </row>
    <row r="260">
      <c r="B260" s="24" t="str">
        <f>IF(ROW()-ROW($B$8)&gt;nComp,"",ROW()-ROW($B$8))</f>
        <v/>
      </c>
      <c r="C260" t="str">
        <f>IF($N260="","",INDEX('_calc'!$A$2:$A$3001,$N260))</f>
        <v/>
      </c>
      <c r="D260" s="25" t="str">
        <f>IF($N260="","",INDEX('_calc'!$C$2:$C$3001,$N260))</f>
        <v/>
      </c>
      <c r="E260" s="25" t="str">
        <f>IF($N260="","",INDEX('_calc'!$D$2:$D$3001,$N260))</f>
        <v/>
      </c>
      <c r="F260" s="26" t="str">
        <f>IF($N260="","",IF($E$8=0,"",E260/$E$8))</f>
        <v/>
      </c>
      <c r="G260" s="25" t="str">
        <f>IF($N260="","",INDEX('_calc'!$E$2:$E$3001,$N260))</f>
        <v/>
      </c>
      <c r="H260" s="25" t="str">
        <f>IF($N260="","",INDEX('_calc'!$F$2:$F$3001,$N260))</f>
        <v/>
      </c>
      <c r="I260" s="27" t="str">
        <f>IF($N260="","",INDEX('_calc'!$H$2:$H$3001,$N260))</f>
        <v/>
      </c>
      <c r="J260" s="27" t="str">
        <f>IF($N260="","",INDEX('_calc'!$I$2:$I$3001,$N260))</f>
        <v/>
      </c>
      <c r="K260" s="28" t="str">
        <f>IF($N260="","",IF(OR(I260="",J260=""),"",J260-I260))</f>
        <v/>
      </c>
      <c r="L260" s="29" t="str">
        <f>IF($N260="","",INDEX('_calc'!$J$2:$J$3001,$N260))</f>
        <v/>
      </c>
      <c r="M260" s="2" t="str">
        <f>IF($N260="","",IF(AND(G260=0,H260=0),"수량 없음",IF(G260=0,"신규 (전년 수량 없음)",IF(H260=0,"당해 수량 없음",""))))</f>
        <v/>
      </c>
      <c r="N260" t="str">
        <f>IF($B260="","",MATCH($B260,'_calc'!$L$2:$L$3001,0))</f>
        <v/>
      </c>
    </row>
    <row r="261">
      <c r="B261" s="24" t="str">
        <f>IF(ROW()-ROW($B$8)&gt;nComp,"",ROW()-ROW($B$8))</f>
        <v/>
      </c>
      <c r="C261" t="str">
        <f>IF($N261="","",INDEX('_calc'!$A$2:$A$3001,$N261))</f>
        <v/>
      </c>
      <c r="D261" s="25" t="str">
        <f>IF($N261="","",INDEX('_calc'!$C$2:$C$3001,$N261))</f>
        <v/>
      </c>
      <c r="E261" s="25" t="str">
        <f>IF($N261="","",INDEX('_calc'!$D$2:$D$3001,$N261))</f>
        <v/>
      </c>
      <c r="F261" s="26" t="str">
        <f>IF($N261="","",IF($E$8=0,"",E261/$E$8))</f>
        <v/>
      </c>
      <c r="G261" s="25" t="str">
        <f>IF($N261="","",INDEX('_calc'!$E$2:$E$3001,$N261))</f>
        <v/>
      </c>
      <c r="H261" s="25" t="str">
        <f>IF($N261="","",INDEX('_calc'!$F$2:$F$3001,$N261))</f>
        <v/>
      </c>
      <c r="I261" s="27" t="str">
        <f>IF($N261="","",INDEX('_calc'!$H$2:$H$3001,$N261))</f>
        <v/>
      </c>
      <c r="J261" s="27" t="str">
        <f>IF($N261="","",INDEX('_calc'!$I$2:$I$3001,$N261))</f>
        <v/>
      </c>
      <c r="K261" s="28" t="str">
        <f>IF($N261="","",IF(OR(I261="",J261=""),"",J261-I261))</f>
        <v/>
      </c>
      <c r="L261" s="29" t="str">
        <f>IF($N261="","",INDEX('_calc'!$J$2:$J$3001,$N261))</f>
        <v/>
      </c>
      <c r="M261" s="2" t="str">
        <f>IF($N261="","",IF(AND(G261=0,H261=0),"수량 없음",IF(G261=0,"신규 (전년 수량 없음)",IF(H261=0,"당해 수량 없음",""))))</f>
        <v/>
      </c>
      <c r="N261" t="str">
        <f>IF($B261="","",MATCH($B261,'_calc'!$L$2:$L$3001,0))</f>
        <v/>
      </c>
    </row>
    <row r="262">
      <c r="B262" s="24" t="str">
        <f>IF(ROW()-ROW($B$8)&gt;nComp,"",ROW()-ROW($B$8))</f>
        <v/>
      </c>
      <c r="C262" t="str">
        <f>IF($N262="","",INDEX('_calc'!$A$2:$A$3001,$N262))</f>
        <v/>
      </c>
      <c r="D262" s="25" t="str">
        <f>IF($N262="","",INDEX('_calc'!$C$2:$C$3001,$N262))</f>
        <v/>
      </c>
      <c r="E262" s="25" t="str">
        <f>IF($N262="","",INDEX('_calc'!$D$2:$D$3001,$N262))</f>
        <v/>
      </c>
      <c r="F262" s="26" t="str">
        <f>IF($N262="","",IF($E$8=0,"",E262/$E$8))</f>
        <v/>
      </c>
      <c r="G262" s="25" t="str">
        <f>IF($N262="","",INDEX('_calc'!$E$2:$E$3001,$N262))</f>
        <v/>
      </c>
      <c r="H262" s="25" t="str">
        <f>IF($N262="","",INDEX('_calc'!$F$2:$F$3001,$N262))</f>
        <v/>
      </c>
      <c r="I262" s="27" t="str">
        <f>IF($N262="","",INDEX('_calc'!$H$2:$H$3001,$N262))</f>
        <v/>
      </c>
      <c r="J262" s="27" t="str">
        <f>IF($N262="","",INDEX('_calc'!$I$2:$I$3001,$N262))</f>
        <v/>
      </c>
      <c r="K262" s="28" t="str">
        <f>IF($N262="","",IF(OR(I262="",J262=""),"",J262-I262))</f>
        <v/>
      </c>
      <c r="L262" s="29" t="str">
        <f>IF($N262="","",INDEX('_calc'!$J$2:$J$3001,$N262))</f>
        <v/>
      </c>
      <c r="M262" s="2" t="str">
        <f>IF($N262="","",IF(AND(G262=0,H262=0),"수량 없음",IF(G262=0,"신규 (전년 수량 없음)",IF(H262=0,"당해 수량 없음",""))))</f>
        <v/>
      </c>
      <c r="N262" t="str">
        <f>IF($B262="","",MATCH($B262,'_calc'!$L$2:$L$3001,0))</f>
        <v/>
      </c>
    </row>
    <row r="263">
      <c r="B263" s="24" t="str">
        <f>IF(ROW()-ROW($B$8)&gt;nComp,"",ROW()-ROW($B$8))</f>
        <v/>
      </c>
      <c r="C263" t="str">
        <f>IF($N263="","",INDEX('_calc'!$A$2:$A$3001,$N263))</f>
        <v/>
      </c>
      <c r="D263" s="25" t="str">
        <f>IF($N263="","",INDEX('_calc'!$C$2:$C$3001,$N263))</f>
        <v/>
      </c>
      <c r="E263" s="25" t="str">
        <f>IF($N263="","",INDEX('_calc'!$D$2:$D$3001,$N263))</f>
        <v/>
      </c>
      <c r="F263" s="26" t="str">
        <f>IF($N263="","",IF($E$8=0,"",E263/$E$8))</f>
        <v/>
      </c>
      <c r="G263" s="25" t="str">
        <f>IF($N263="","",INDEX('_calc'!$E$2:$E$3001,$N263))</f>
        <v/>
      </c>
      <c r="H263" s="25" t="str">
        <f>IF($N263="","",INDEX('_calc'!$F$2:$F$3001,$N263))</f>
        <v/>
      </c>
      <c r="I263" s="27" t="str">
        <f>IF($N263="","",INDEX('_calc'!$H$2:$H$3001,$N263))</f>
        <v/>
      </c>
      <c r="J263" s="27" t="str">
        <f>IF($N263="","",INDEX('_calc'!$I$2:$I$3001,$N263))</f>
        <v/>
      </c>
      <c r="K263" s="28" t="str">
        <f>IF($N263="","",IF(OR(I263="",J263=""),"",J263-I263))</f>
        <v/>
      </c>
      <c r="L263" s="29" t="str">
        <f>IF($N263="","",INDEX('_calc'!$J$2:$J$3001,$N263))</f>
        <v/>
      </c>
      <c r="M263" s="2" t="str">
        <f>IF($N263="","",IF(AND(G263=0,H263=0),"수량 없음",IF(G263=0,"신규 (전년 수량 없음)",IF(H263=0,"당해 수량 없음",""))))</f>
        <v/>
      </c>
      <c r="N263" t="str">
        <f>IF($B263="","",MATCH($B263,'_calc'!$L$2:$L$3001,0))</f>
        <v/>
      </c>
    </row>
    <row r="264">
      <c r="B264" s="24" t="str">
        <f>IF(ROW()-ROW($B$8)&gt;nComp,"",ROW()-ROW($B$8))</f>
        <v/>
      </c>
      <c r="C264" t="str">
        <f>IF($N264="","",INDEX('_calc'!$A$2:$A$3001,$N264))</f>
        <v/>
      </c>
      <c r="D264" s="25" t="str">
        <f>IF($N264="","",INDEX('_calc'!$C$2:$C$3001,$N264))</f>
        <v/>
      </c>
      <c r="E264" s="25" t="str">
        <f>IF($N264="","",INDEX('_calc'!$D$2:$D$3001,$N264))</f>
        <v/>
      </c>
      <c r="F264" s="26" t="str">
        <f>IF($N264="","",IF($E$8=0,"",E264/$E$8))</f>
        <v/>
      </c>
      <c r="G264" s="25" t="str">
        <f>IF($N264="","",INDEX('_calc'!$E$2:$E$3001,$N264))</f>
        <v/>
      </c>
      <c r="H264" s="25" t="str">
        <f>IF($N264="","",INDEX('_calc'!$F$2:$F$3001,$N264))</f>
        <v/>
      </c>
      <c r="I264" s="27" t="str">
        <f>IF($N264="","",INDEX('_calc'!$H$2:$H$3001,$N264))</f>
        <v/>
      </c>
      <c r="J264" s="27" t="str">
        <f>IF($N264="","",INDEX('_calc'!$I$2:$I$3001,$N264))</f>
        <v/>
      </c>
      <c r="K264" s="28" t="str">
        <f>IF($N264="","",IF(OR(I264="",J264=""),"",J264-I264))</f>
        <v/>
      </c>
      <c r="L264" s="29" t="str">
        <f>IF($N264="","",INDEX('_calc'!$J$2:$J$3001,$N264))</f>
        <v/>
      </c>
      <c r="M264" s="2" t="str">
        <f>IF($N264="","",IF(AND(G264=0,H264=0),"수량 없음",IF(G264=0,"신규 (전년 수량 없음)",IF(H264=0,"당해 수량 없음",""))))</f>
        <v/>
      </c>
      <c r="N264" t="str">
        <f>IF($B264="","",MATCH($B264,'_calc'!$L$2:$L$3001,0))</f>
        <v/>
      </c>
    </row>
    <row r="265">
      <c r="B265" s="24" t="str">
        <f>IF(ROW()-ROW($B$8)&gt;nComp,"",ROW()-ROW($B$8))</f>
        <v/>
      </c>
      <c r="C265" t="str">
        <f>IF($N265="","",INDEX('_calc'!$A$2:$A$3001,$N265))</f>
        <v/>
      </c>
      <c r="D265" s="25" t="str">
        <f>IF($N265="","",INDEX('_calc'!$C$2:$C$3001,$N265))</f>
        <v/>
      </c>
      <c r="E265" s="25" t="str">
        <f>IF($N265="","",INDEX('_calc'!$D$2:$D$3001,$N265))</f>
        <v/>
      </c>
      <c r="F265" s="26" t="str">
        <f>IF($N265="","",IF($E$8=0,"",E265/$E$8))</f>
        <v/>
      </c>
      <c r="G265" s="25" t="str">
        <f>IF($N265="","",INDEX('_calc'!$E$2:$E$3001,$N265))</f>
        <v/>
      </c>
      <c r="H265" s="25" t="str">
        <f>IF($N265="","",INDEX('_calc'!$F$2:$F$3001,$N265))</f>
        <v/>
      </c>
      <c r="I265" s="27" t="str">
        <f>IF($N265="","",INDEX('_calc'!$H$2:$H$3001,$N265))</f>
        <v/>
      </c>
      <c r="J265" s="27" t="str">
        <f>IF($N265="","",INDEX('_calc'!$I$2:$I$3001,$N265))</f>
        <v/>
      </c>
      <c r="K265" s="28" t="str">
        <f>IF($N265="","",IF(OR(I265="",J265=""),"",J265-I265))</f>
        <v/>
      </c>
      <c r="L265" s="29" t="str">
        <f>IF($N265="","",INDEX('_calc'!$J$2:$J$3001,$N265))</f>
        <v/>
      </c>
      <c r="M265" s="2" t="str">
        <f>IF($N265="","",IF(AND(G265=0,H265=0),"수량 없음",IF(G265=0,"신규 (전년 수량 없음)",IF(H265=0,"당해 수량 없음",""))))</f>
        <v/>
      </c>
      <c r="N265" t="str">
        <f>IF($B265="","",MATCH($B265,'_calc'!$L$2:$L$3001,0))</f>
        <v/>
      </c>
    </row>
    <row r="266">
      <c r="B266" s="24" t="str">
        <f>IF(ROW()-ROW($B$8)&gt;nComp,"",ROW()-ROW($B$8))</f>
        <v/>
      </c>
      <c r="C266" t="str">
        <f>IF($N266="","",INDEX('_calc'!$A$2:$A$3001,$N266))</f>
        <v/>
      </c>
      <c r="D266" s="25" t="str">
        <f>IF($N266="","",INDEX('_calc'!$C$2:$C$3001,$N266))</f>
        <v/>
      </c>
      <c r="E266" s="25" t="str">
        <f>IF($N266="","",INDEX('_calc'!$D$2:$D$3001,$N266))</f>
        <v/>
      </c>
      <c r="F266" s="26" t="str">
        <f>IF($N266="","",IF($E$8=0,"",E266/$E$8))</f>
        <v/>
      </c>
      <c r="G266" s="25" t="str">
        <f>IF($N266="","",INDEX('_calc'!$E$2:$E$3001,$N266))</f>
        <v/>
      </c>
      <c r="H266" s="25" t="str">
        <f>IF($N266="","",INDEX('_calc'!$F$2:$F$3001,$N266))</f>
        <v/>
      </c>
      <c r="I266" s="27" t="str">
        <f>IF($N266="","",INDEX('_calc'!$H$2:$H$3001,$N266))</f>
        <v/>
      </c>
      <c r="J266" s="27" t="str">
        <f>IF($N266="","",INDEX('_calc'!$I$2:$I$3001,$N266))</f>
        <v/>
      </c>
      <c r="K266" s="28" t="str">
        <f>IF($N266="","",IF(OR(I266="",J266=""),"",J266-I266))</f>
        <v/>
      </c>
      <c r="L266" s="29" t="str">
        <f>IF($N266="","",INDEX('_calc'!$J$2:$J$3001,$N266))</f>
        <v/>
      </c>
      <c r="M266" s="2" t="str">
        <f>IF($N266="","",IF(AND(G266=0,H266=0),"수량 없음",IF(G266=0,"신규 (전년 수량 없음)",IF(H266=0,"당해 수량 없음",""))))</f>
        <v/>
      </c>
      <c r="N266" t="str">
        <f>IF($B266="","",MATCH($B266,'_calc'!$L$2:$L$3001,0))</f>
        <v/>
      </c>
    </row>
    <row r="267">
      <c r="B267" s="24" t="str">
        <f>IF(ROW()-ROW($B$8)&gt;nComp,"",ROW()-ROW($B$8))</f>
        <v/>
      </c>
      <c r="C267" t="str">
        <f>IF($N267="","",INDEX('_calc'!$A$2:$A$3001,$N267))</f>
        <v/>
      </c>
      <c r="D267" s="25" t="str">
        <f>IF($N267="","",INDEX('_calc'!$C$2:$C$3001,$N267))</f>
        <v/>
      </c>
      <c r="E267" s="25" t="str">
        <f>IF($N267="","",INDEX('_calc'!$D$2:$D$3001,$N267))</f>
        <v/>
      </c>
      <c r="F267" s="26" t="str">
        <f>IF($N267="","",IF($E$8=0,"",E267/$E$8))</f>
        <v/>
      </c>
      <c r="G267" s="25" t="str">
        <f>IF($N267="","",INDEX('_calc'!$E$2:$E$3001,$N267))</f>
        <v/>
      </c>
      <c r="H267" s="25" t="str">
        <f>IF($N267="","",INDEX('_calc'!$F$2:$F$3001,$N267))</f>
        <v/>
      </c>
      <c r="I267" s="27" t="str">
        <f>IF($N267="","",INDEX('_calc'!$H$2:$H$3001,$N267))</f>
        <v/>
      </c>
      <c r="J267" s="27" t="str">
        <f>IF($N267="","",INDEX('_calc'!$I$2:$I$3001,$N267))</f>
        <v/>
      </c>
      <c r="K267" s="28" t="str">
        <f>IF($N267="","",IF(OR(I267="",J267=""),"",J267-I267))</f>
        <v/>
      </c>
      <c r="L267" s="29" t="str">
        <f>IF($N267="","",INDEX('_calc'!$J$2:$J$3001,$N267))</f>
        <v/>
      </c>
      <c r="M267" s="2" t="str">
        <f>IF($N267="","",IF(AND(G267=0,H267=0),"수량 없음",IF(G267=0,"신규 (전년 수량 없음)",IF(H267=0,"당해 수량 없음",""))))</f>
        <v/>
      </c>
      <c r="N267" t="str">
        <f>IF($B267="","",MATCH($B267,'_calc'!$L$2:$L$3001,0))</f>
        <v/>
      </c>
    </row>
    <row r="268">
      <c r="B268" s="24" t="str">
        <f>IF(ROW()-ROW($B$8)&gt;nComp,"",ROW()-ROW($B$8))</f>
        <v/>
      </c>
      <c r="C268" t="str">
        <f>IF($N268="","",INDEX('_calc'!$A$2:$A$3001,$N268))</f>
        <v/>
      </c>
      <c r="D268" s="25" t="str">
        <f>IF($N268="","",INDEX('_calc'!$C$2:$C$3001,$N268))</f>
        <v/>
      </c>
      <c r="E268" s="25" t="str">
        <f>IF($N268="","",INDEX('_calc'!$D$2:$D$3001,$N268))</f>
        <v/>
      </c>
      <c r="F268" s="26" t="str">
        <f>IF($N268="","",IF($E$8=0,"",E268/$E$8))</f>
        <v/>
      </c>
      <c r="G268" s="25" t="str">
        <f>IF($N268="","",INDEX('_calc'!$E$2:$E$3001,$N268))</f>
        <v/>
      </c>
      <c r="H268" s="25" t="str">
        <f>IF($N268="","",INDEX('_calc'!$F$2:$F$3001,$N268))</f>
        <v/>
      </c>
      <c r="I268" s="27" t="str">
        <f>IF($N268="","",INDEX('_calc'!$H$2:$H$3001,$N268))</f>
        <v/>
      </c>
      <c r="J268" s="27" t="str">
        <f>IF($N268="","",INDEX('_calc'!$I$2:$I$3001,$N268))</f>
        <v/>
      </c>
      <c r="K268" s="28" t="str">
        <f>IF($N268="","",IF(OR(I268="",J268=""),"",J268-I268))</f>
        <v/>
      </c>
      <c r="L268" s="29" t="str">
        <f>IF($N268="","",INDEX('_calc'!$J$2:$J$3001,$N268))</f>
        <v/>
      </c>
      <c r="M268" s="2" t="str">
        <f>IF($N268="","",IF(AND(G268=0,H268=0),"수량 없음",IF(G268=0,"신규 (전년 수량 없음)",IF(H268=0,"당해 수량 없음",""))))</f>
        <v/>
      </c>
      <c r="N268" t="str">
        <f>IF($B268="","",MATCH($B268,'_calc'!$L$2:$L$3001,0))</f>
        <v/>
      </c>
    </row>
    <row r="269">
      <c r="B269" s="24" t="str">
        <f>IF(ROW()-ROW($B$8)&gt;nComp,"",ROW()-ROW($B$8))</f>
        <v/>
      </c>
      <c r="C269" t="str">
        <f>IF($N269="","",INDEX('_calc'!$A$2:$A$3001,$N269))</f>
        <v/>
      </c>
      <c r="D269" s="25" t="str">
        <f>IF($N269="","",INDEX('_calc'!$C$2:$C$3001,$N269))</f>
        <v/>
      </c>
      <c r="E269" s="25" t="str">
        <f>IF($N269="","",INDEX('_calc'!$D$2:$D$3001,$N269))</f>
        <v/>
      </c>
      <c r="F269" s="26" t="str">
        <f>IF($N269="","",IF($E$8=0,"",E269/$E$8))</f>
        <v/>
      </c>
      <c r="G269" s="25" t="str">
        <f>IF($N269="","",INDEX('_calc'!$E$2:$E$3001,$N269))</f>
        <v/>
      </c>
      <c r="H269" s="25" t="str">
        <f>IF($N269="","",INDEX('_calc'!$F$2:$F$3001,$N269))</f>
        <v/>
      </c>
      <c r="I269" s="27" t="str">
        <f>IF($N269="","",INDEX('_calc'!$H$2:$H$3001,$N269))</f>
        <v/>
      </c>
      <c r="J269" s="27" t="str">
        <f>IF($N269="","",INDEX('_calc'!$I$2:$I$3001,$N269))</f>
        <v/>
      </c>
      <c r="K269" s="28" t="str">
        <f>IF($N269="","",IF(OR(I269="",J269=""),"",J269-I269))</f>
        <v/>
      </c>
      <c r="L269" s="29" t="str">
        <f>IF($N269="","",INDEX('_calc'!$J$2:$J$3001,$N269))</f>
        <v/>
      </c>
      <c r="M269" s="2" t="str">
        <f>IF($N269="","",IF(AND(G269=0,H269=0),"수량 없음",IF(G269=0,"신규 (전년 수량 없음)",IF(H269=0,"당해 수량 없음",""))))</f>
        <v/>
      </c>
      <c r="N269" t="str">
        <f>IF($B269="","",MATCH($B269,'_calc'!$L$2:$L$3001,0))</f>
        <v/>
      </c>
    </row>
    <row r="270">
      <c r="B270" s="24" t="str">
        <f>IF(ROW()-ROW($B$8)&gt;nComp,"",ROW()-ROW($B$8))</f>
        <v/>
      </c>
      <c r="C270" t="str">
        <f>IF($N270="","",INDEX('_calc'!$A$2:$A$3001,$N270))</f>
        <v/>
      </c>
      <c r="D270" s="25" t="str">
        <f>IF($N270="","",INDEX('_calc'!$C$2:$C$3001,$N270))</f>
        <v/>
      </c>
      <c r="E270" s="25" t="str">
        <f>IF($N270="","",INDEX('_calc'!$D$2:$D$3001,$N270))</f>
        <v/>
      </c>
      <c r="F270" s="26" t="str">
        <f>IF($N270="","",IF($E$8=0,"",E270/$E$8))</f>
        <v/>
      </c>
      <c r="G270" s="25" t="str">
        <f>IF($N270="","",INDEX('_calc'!$E$2:$E$3001,$N270))</f>
        <v/>
      </c>
      <c r="H270" s="25" t="str">
        <f>IF($N270="","",INDEX('_calc'!$F$2:$F$3001,$N270))</f>
        <v/>
      </c>
      <c r="I270" s="27" t="str">
        <f>IF($N270="","",INDEX('_calc'!$H$2:$H$3001,$N270))</f>
        <v/>
      </c>
      <c r="J270" s="27" t="str">
        <f>IF($N270="","",INDEX('_calc'!$I$2:$I$3001,$N270))</f>
        <v/>
      </c>
      <c r="K270" s="28" t="str">
        <f>IF($N270="","",IF(OR(I270="",J270=""),"",J270-I270))</f>
        <v/>
      </c>
      <c r="L270" s="29" t="str">
        <f>IF($N270="","",INDEX('_calc'!$J$2:$J$3001,$N270))</f>
        <v/>
      </c>
      <c r="M270" s="2" t="str">
        <f>IF($N270="","",IF(AND(G270=0,H270=0),"수량 없음",IF(G270=0,"신규 (전년 수량 없음)",IF(H270=0,"당해 수량 없음",""))))</f>
        <v/>
      </c>
      <c r="N270" t="str">
        <f>IF($B270="","",MATCH($B270,'_calc'!$L$2:$L$3001,0))</f>
        <v/>
      </c>
    </row>
    <row r="271">
      <c r="B271" s="24" t="str">
        <f>IF(ROW()-ROW($B$8)&gt;nComp,"",ROW()-ROW($B$8))</f>
        <v/>
      </c>
      <c r="C271" t="str">
        <f>IF($N271="","",INDEX('_calc'!$A$2:$A$3001,$N271))</f>
        <v/>
      </c>
      <c r="D271" s="25" t="str">
        <f>IF($N271="","",INDEX('_calc'!$C$2:$C$3001,$N271))</f>
        <v/>
      </c>
      <c r="E271" s="25" t="str">
        <f>IF($N271="","",INDEX('_calc'!$D$2:$D$3001,$N271))</f>
        <v/>
      </c>
      <c r="F271" s="26" t="str">
        <f>IF($N271="","",IF($E$8=0,"",E271/$E$8))</f>
        <v/>
      </c>
      <c r="G271" s="25" t="str">
        <f>IF($N271="","",INDEX('_calc'!$E$2:$E$3001,$N271))</f>
        <v/>
      </c>
      <c r="H271" s="25" t="str">
        <f>IF($N271="","",INDEX('_calc'!$F$2:$F$3001,$N271))</f>
        <v/>
      </c>
      <c r="I271" s="27" t="str">
        <f>IF($N271="","",INDEX('_calc'!$H$2:$H$3001,$N271))</f>
        <v/>
      </c>
      <c r="J271" s="27" t="str">
        <f>IF($N271="","",INDEX('_calc'!$I$2:$I$3001,$N271))</f>
        <v/>
      </c>
      <c r="K271" s="28" t="str">
        <f>IF($N271="","",IF(OR(I271="",J271=""),"",J271-I271))</f>
        <v/>
      </c>
      <c r="L271" s="29" t="str">
        <f>IF($N271="","",INDEX('_calc'!$J$2:$J$3001,$N271))</f>
        <v/>
      </c>
      <c r="M271" s="2" t="str">
        <f>IF($N271="","",IF(AND(G271=0,H271=0),"수량 없음",IF(G271=0,"신규 (전년 수량 없음)",IF(H271=0,"당해 수량 없음",""))))</f>
        <v/>
      </c>
      <c r="N271" t="str">
        <f>IF($B271="","",MATCH($B271,'_calc'!$L$2:$L$3001,0))</f>
        <v/>
      </c>
    </row>
    <row r="272">
      <c r="B272" s="24" t="str">
        <f>IF(ROW()-ROW($B$8)&gt;nComp,"",ROW()-ROW($B$8))</f>
        <v/>
      </c>
      <c r="C272" t="str">
        <f>IF($N272="","",INDEX('_calc'!$A$2:$A$3001,$N272))</f>
        <v/>
      </c>
      <c r="D272" s="25" t="str">
        <f>IF($N272="","",INDEX('_calc'!$C$2:$C$3001,$N272))</f>
        <v/>
      </c>
      <c r="E272" s="25" t="str">
        <f>IF($N272="","",INDEX('_calc'!$D$2:$D$3001,$N272))</f>
        <v/>
      </c>
      <c r="F272" s="26" t="str">
        <f>IF($N272="","",IF($E$8=0,"",E272/$E$8))</f>
        <v/>
      </c>
      <c r="G272" s="25" t="str">
        <f>IF($N272="","",INDEX('_calc'!$E$2:$E$3001,$N272))</f>
        <v/>
      </c>
      <c r="H272" s="25" t="str">
        <f>IF($N272="","",INDEX('_calc'!$F$2:$F$3001,$N272))</f>
        <v/>
      </c>
      <c r="I272" s="27" t="str">
        <f>IF($N272="","",INDEX('_calc'!$H$2:$H$3001,$N272))</f>
        <v/>
      </c>
      <c r="J272" s="27" t="str">
        <f>IF($N272="","",INDEX('_calc'!$I$2:$I$3001,$N272))</f>
        <v/>
      </c>
      <c r="K272" s="28" t="str">
        <f>IF($N272="","",IF(OR(I272="",J272=""),"",J272-I272))</f>
        <v/>
      </c>
      <c r="L272" s="29" t="str">
        <f>IF($N272="","",INDEX('_calc'!$J$2:$J$3001,$N272))</f>
        <v/>
      </c>
      <c r="M272" s="2" t="str">
        <f>IF($N272="","",IF(AND(G272=0,H272=0),"수량 없음",IF(G272=0,"신규 (전년 수량 없음)",IF(H272=0,"당해 수량 없음",""))))</f>
        <v/>
      </c>
      <c r="N272" t="str">
        <f>IF($B272="","",MATCH($B272,'_calc'!$L$2:$L$3001,0))</f>
        <v/>
      </c>
    </row>
    <row r="273">
      <c r="B273" s="24" t="str">
        <f>IF(ROW()-ROW($B$8)&gt;nComp,"",ROW()-ROW($B$8))</f>
        <v/>
      </c>
      <c r="C273" t="str">
        <f>IF($N273="","",INDEX('_calc'!$A$2:$A$3001,$N273))</f>
        <v/>
      </c>
      <c r="D273" s="25" t="str">
        <f>IF($N273="","",INDEX('_calc'!$C$2:$C$3001,$N273))</f>
        <v/>
      </c>
      <c r="E273" s="25" t="str">
        <f>IF($N273="","",INDEX('_calc'!$D$2:$D$3001,$N273))</f>
        <v/>
      </c>
      <c r="F273" s="26" t="str">
        <f>IF($N273="","",IF($E$8=0,"",E273/$E$8))</f>
        <v/>
      </c>
      <c r="G273" s="25" t="str">
        <f>IF($N273="","",INDEX('_calc'!$E$2:$E$3001,$N273))</f>
        <v/>
      </c>
      <c r="H273" s="25" t="str">
        <f>IF($N273="","",INDEX('_calc'!$F$2:$F$3001,$N273))</f>
        <v/>
      </c>
      <c r="I273" s="27" t="str">
        <f>IF($N273="","",INDEX('_calc'!$H$2:$H$3001,$N273))</f>
        <v/>
      </c>
      <c r="J273" s="27" t="str">
        <f>IF($N273="","",INDEX('_calc'!$I$2:$I$3001,$N273))</f>
        <v/>
      </c>
      <c r="K273" s="28" t="str">
        <f>IF($N273="","",IF(OR(I273="",J273=""),"",J273-I273))</f>
        <v/>
      </c>
      <c r="L273" s="29" t="str">
        <f>IF($N273="","",INDEX('_calc'!$J$2:$J$3001,$N273))</f>
        <v/>
      </c>
      <c r="M273" s="2" t="str">
        <f>IF($N273="","",IF(AND(G273=0,H273=0),"수량 없음",IF(G273=0,"신규 (전년 수량 없음)",IF(H273=0,"당해 수량 없음",""))))</f>
        <v/>
      </c>
      <c r="N273" t="str">
        <f>IF($B273="","",MATCH($B273,'_calc'!$L$2:$L$3001,0))</f>
        <v/>
      </c>
    </row>
    <row r="274">
      <c r="B274" s="24" t="str">
        <f>IF(ROW()-ROW($B$8)&gt;nComp,"",ROW()-ROW($B$8))</f>
        <v/>
      </c>
      <c r="C274" t="str">
        <f>IF($N274="","",INDEX('_calc'!$A$2:$A$3001,$N274))</f>
        <v/>
      </c>
      <c r="D274" s="25" t="str">
        <f>IF($N274="","",INDEX('_calc'!$C$2:$C$3001,$N274))</f>
        <v/>
      </c>
      <c r="E274" s="25" t="str">
        <f>IF($N274="","",INDEX('_calc'!$D$2:$D$3001,$N274))</f>
        <v/>
      </c>
      <c r="F274" s="26" t="str">
        <f>IF($N274="","",IF($E$8=0,"",E274/$E$8))</f>
        <v/>
      </c>
      <c r="G274" s="25" t="str">
        <f>IF($N274="","",INDEX('_calc'!$E$2:$E$3001,$N274))</f>
        <v/>
      </c>
      <c r="H274" s="25" t="str">
        <f>IF($N274="","",INDEX('_calc'!$F$2:$F$3001,$N274))</f>
        <v/>
      </c>
      <c r="I274" s="27" t="str">
        <f>IF($N274="","",INDEX('_calc'!$H$2:$H$3001,$N274))</f>
        <v/>
      </c>
      <c r="J274" s="27" t="str">
        <f>IF($N274="","",INDEX('_calc'!$I$2:$I$3001,$N274))</f>
        <v/>
      </c>
      <c r="K274" s="28" t="str">
        <f>IF($N274="","",IF(OR(I274="",J274=""),"",J274-I274))</f>
        <v/>
      </c>
      <c r="L274" s="29" t="str">
        <f>IF($N274="","",INDEX('_calc'!$J$2:$J$3001,$N274))</f>
        <v/>
      </c>
      <c r="M274" s="2" t="str">
        <f>IF($N274="","",IF(AND(G274=0,H274=0),"수량 없음",IF(G274=0,"신규 (전년 수량 없음)",IF(H274=0,"당해 수량 없음",""))))</f>
        <v/>
      </c>
      <c r="N274" t="str">
        <f>IF($B274="","",MATCH($B274,'_calc'!$L$2:$L$3001,0))</f>
        <v/>
      </c>
    </row>
    <row r="275">
      <c r="B275" s="24" t="str">
        <f>IF(ROW()-ROW($B$8)&gt;nComp,"",ROW()-ROW($B$8))</f>
        <v/>
      </c>
      <c r="C275" t="str">
        <f>IF($N275="","",INDEX('_calc'!$A$2:$A$3001,$N275))</f>
        <v/>
      </c>
      <c r="D275" s="25" t="str">
        <f>IF($N275="","",INDEX('_calc'!$C$2:$C$3001,$N275))</f>
        <v/>
      </c>
      <c r="E275" s="25" t="str">
        <f>IF($N275="","",INDEX('_calc'!$D$2:$D$3001,$N275))</f>
        <v/>
      </c>
      <c r="F275" s="26" t="str">
        <f>IF($N275="","",IF($E$8=0,"",E275/$E$8))</f>
        <v/>
      </c>
      <c r="G275" s="25" t="str">
        <f>IF($N275="","",INDEX('_calc'!$E$2:$E$3001,$N275))</f>
        <v/>
      </c>
      <c r="H275" s="25" t="str">
        <f>IF($N275="","",INDEX('_calc'!$F$2:$F$3001,$N275))</f>
        <v/>
      </c>
      <c r="I275" s="27" t="str">
        <f>IF($N275="","",INDEX('_calc'!$H$2:$H$3001,$N275))</f>
        <v/>
      </c>
      <c r="J275" s="27" t="str">
        <f>IF($N275="","",INDEX('_calc'!$I$2:$I$3001,$N275))</f>
        <v/>
      </c>
      <c r="K275" s="28" t="str">
        <f>IF($N275="","",IF(OR(I275="",J275=""),"",J275-I275))</f>
        <v/>
      </c>
      <c r="L275" s="29" t="str">
        <f>IF($N275="","",INDEX('_calc'!$J$2:$J$3001,$N275))</f>
        <v/>
      </c>
      <c r="M275" s="2" t="str">
        <f>IF($N275="","",IF(AND(G275=0,H275=0),"수량 없음",IF(G275=0,"신규 (전년 수량 없음)",IF(H275=0,"당해 수량 없음",""))))</f>
        <v/>
      </c>
      <c r="N275" t="str">
        <f>IF($B275="","",MATCH($B275,'_calc'!$L$2:$L$3001,0))</f>
        <v/>
      </c>
    </row>
    <row r="276">
      <c r="B276" s="24" t="str">
        <f>IF(ROW()-ROW($B$8)&gt;nComp,"",ROW()-ROW($B$8))</f>
        <v/>
      </c>
      <c r="C276" t="str">
        <f>IF($N276="","",INDEX('_calc'!$A$2:$A$3001,$N276))</f>
        <v/>
      </c>
      <c r="D276" s="25" t="str">
        <f>IF($N276="","",INDEX('_calc'!$C$2:$C$3001,$N276))</f>
        <v/>
      </c>
      <c r="E276" s="25" t="str">
        <f>IF($N276="","",INDEX('_calc'!$D$2:$D$3001,$N276))</f>
        <v/>
      </c>
      <c r="F276" s="26" t="str">
        <f>IF($N276="","",IF($E$8=0,"",E276/$E$8))</f>
        <v/>
      </c>
      <c r="G276" s="25" t="str">
        <f>IF($N276="","",INDEX('_calc'!$E$2:$E$3001,$N276))</f>
        <v/>
      </c>
      <c r="H276" s="25" t="str">
        <f>IF($N276="","",INDEX('_calc'!$F$2:$F$3001,$N276))</f>
        <v/>
      </c>
      <c r="I276" s="27" t="str">
        <f>IF($N276="","",INDEX('_calc'!$H$2:$H$3001,$N276))</f>
        <v/>
      </c>
      <c r="J276" s="27" t="str">
        <f>IF($N276="","",INDEX('_calc'!$I$2:$I$3001,$N276))</f>
        <v/>
      </c>
      <c r="K276" s="28" t="str">
        <f>IF($N276="","",IF(OR(I276="",J276=""),"",J276-I276))</f>
        <v/>
      </c>
      <c r="L276" s="29" t="str">
        <f>IF($N276="","",INDEX('_calc'!$J$2:$J$3001,$N276))</f>
        <v/>
      </c>
      <c r="M276" s="2" t="str">
        <f>IF($N276="","",IF(AND(G276=0,H276=0),"수량 없음",IF(G276=0,"신규 (전년 수량 없음)",IF(H276=0,"당해 수량 없음",""))))</f>
        <v/>
      </c>
      <c r="N276" t="str">
        <f>IF($B276="","",MATCH($B276,'_calc'!$L$2:$L$3001,0))</f>
        <v/>
      </c>
    </row>
    <row r="277">
      <c r="B277" s="24" t="str">
        <f>IF(ROW()-ROW($B$8)&gt;nComp,"",ROW()-ROW($B$8))</f>
        <v/>
      </c>
      <c r="C277" t="str">
        <f>IF($N277="","",INDEX('_calc'!$A$2:$A$3001,$N277))</f>
        <v/>
      </c>
      <c r="D277" s="25" t="str">
        <f>IF($N277="","",INDEX('_calc'!$C$2:$C$3001,$N277))</f>
        <v/>
      </c>
      <c r="E277" s="25" t="str">
        <f>IF($N277="","",INDEX('_calc'!$D$2:$D$3001,$N277))</f>
        <v/>
      </c>
      <c r="F277" s="26" t="str">
        <f>IF($N277="","",IF($E$8=0,"",E277/$E$8))</f>
        <v/>
      </c>
      <c r="G277" s="25" t="str">
        <f>IF($N277="","",INDEX('_calc'!$E$2:$E$3001,$N277))</f>
        <v/>
      </c>
      <c r="H277" s="25" t="str">
        <f>IF($N277="","",INDEX('_calc'!$F$2:$F$3001,$N277))</f>
        <v/>
      </c>
      <c r="I277" s="27" t="str">
        <f>IF($N277="","",INDEX('_calc'!$H$2:$H$3001,$N277))</f>
        <v/>
      </c>
      <c r="J277" s="27" t="str">
        <f>IF($N277="","",INDEX('_calc'!$I$2:$I$3001,$N277))</f>
        <v/>
      </c>
      <c r="K277" s="28" t="str">
        <f>IF($N277="","",IF(OR(I277="",J277=""),"",J277-I277))</f>
        <v/>
      </c>
      <c r="L277" s="29" t="str">
        <f>IF($N277="","",INDEX('_calc'!$J$2:$J$3001,$N277))</f>
        <v/>
      </c>
      <c r="M277" s="2" t="str">
        <f>IF($N277="","",IF(AND(G277=0,H277=0),"수량 없음",IF(G277=0,"신규 (전년 수량 없음)",IF(H277=0,"당해 수량 없음",""))))</f>
        <v/>
      </c>
      <c r="N277" t="str">
        <f>IF($B277="","",MATCH($B277,'_calc'!$L$2:$L$3001,0))</f>
        <v/>
      </c>
    </row>
    <row r="278">
      <c r="B278" s="24" t="str">
        <f>IF(ROW()-ROW($B$8)&gt;nComp,"",ROW()-ROW($B$8))</f>
        <v/>
      </c>
      <c r="C278" t="str">
        <f>IF($N278="","",INDEX('_calc'!$A$2:$A$3001,$N278))</f>
        <v/>
      </c>
      <c r="D278" s="25" t="str">
        <f>IF($N278="","",INDEX('_calc'!$C$2:$C$3001,$N278))</f>
        <v/>
      </c>
      <c r="E278" s="25" t="str">
        <f>IF($N278="","",INDEX('_calc'!$D$2:$D$3001,$N278))</f>
        <v/>
      </c>
      <c r="F278" s="26" t="str">
        <f>IF($N278="","",IF($E$8=0,"",E278/$E$8))</f>
        <v/>
      </c>
      <c r="G278" s="25" t="str">
        <f>IF($N278="","",INDEX('_calc'!$E$2:$E$3001,$N278))</f>
        <v/>
      </c>
      <c r="H278" s="25" t="str">
        <f>IF($N278="","",INDEX('_calc'!$F$2:$F$3001,$N278))</f>
        <v/>
      </c>
      <c r="I278" s="27" t="str">
        <f>IF($N278="","",INDEX('_calc'!$H$2:$H$3001,$N278))</f>
        <v/>
      </c>
      <c r="J278" s="27" t="str">
        <f>IF($N278="","",INDEX('_calc'!$I$2:$I$3001,$N278))</f>
        <v/>
      </c>
      <c r="K278" s="28" t="str">
        <f>IF($N278="","",IF(OR(I278="",J278=""),"",J278-I278))</f>
        <v/>
      </c>
      <c r="L278" s="29" t="str">
        <f>IF($N278="","",INDEX('_calc'!$J$2:$J$3001,$N278))</f>
        <v/>
      </c>
      <c r="M278" s="2" t="str">
        <f>IF($N278="","",IF(AND(G278=0,H278=0),"수량 없음",IF(G278=0,"신규 (전년 수량 없음)",IF(H278=0,"당해 수량 없음",""))))</f>
        <v/>
      </c>
      <c r="N278" t="str">
        <f>IF($B278="","",MATCH($B278,'_calc'!$L$2:$L$3001,0))</f>
        <v/>
      </c>
    </row>
    <row r="279">
      <c r="B279" s="24" t="str">
        <f>IF(ROW()-ROW($B$8)&gt;nComp,"",ROW()-ROW($B$8))</f>
        <v/>
      </c>
      <c r="C279" t="str">
        <f>IF($N279="","",INDEX('_calc'!$A$2:$A$3001,$N279))</f>
        <v/>
      </c>
      <c r="D279" s="25" t="str">
        <f>IF($N279="","",INDEX('_calc'!$C$2:$C$3001,$N279))</f>
        <v/>
      </c>
      <c r="E279" s="25" t="str">
        <f>IF($N279="","",INDEX('_calc'!$D$2:$D$3001,$N279))</f>
        <v/>
      </c>
      <c r="F279" s="26" t="str">
        <f>IF($N279="","",IF($E$8=0,"",E279/$E$8))</f>
        <v/>
      </c>
      <c r="G279" s="25" t="str">
        <f>IF($N279="","",INDEX('_calc'!$E$2:$E$3001,$N279))</f>
        <v/>
      </c>
      <c r="H279" s="25" t="str">
        <f>IF($N279="","",INDEX('_calc'!$F$2:$F$3001,$N279))</f>
        <v/>
      </c>
      <c r="I279" s="27" t="str">
        <f>IF($N279="","",INDEX('_calc'!$H$2:$H$3001,$N279))</f>
        <v/>
      </c>
      <c r="J279" s="27" t="str">
        <f>IF($N279="","",INDEX('_calc'!$I$2:$I$3001,$N279))</f>
        <v/>
      </c>
      <c r="K279" s="28" t="str">
        <f>IF($N279="","",IF(OR(I279="",J279=""),"",J279-I279))</f>
        <v/>
      </c>
      <c r="L279" s="29" t="str">
        <f>IF($N279="","",INDEX('_calc'!$J$2:$J$3001,$N279))</f>
        <v/>
      </c>
      <c r="M279" s="2" t="str">
        <f>IF($N279="","",IF(AND(G279=0,H279=0),"수량 없음",IF(G279=0,"신규 (전년 수량 없음)",IF(H279=0,"당해 수량 없음",""))))</f>
        <v/>
      </c>
      <c r="N279" t="str">
        <f>IF($B279="","",MATCH($B279,'_calc'!$L$2:$L$3001,0))</f>
        <v/>
      </c>
    </row>
    <row r="280">
      <c r="B280" s="24" t="str">
        <f>IF(ROW()-ROW($B$8)&gt;nComp,"",ROW()-ROW($B$8))</f>
        <v/>
      </c>
      <c r="C280" t="str">
        <f>IF($N280="","",INDEX('_calc'!$A$2:$A$3001,$N280))</f>
        <v/>
      </c>
      <c r="D280" s="25" t="str">
        <f>IF($N280="","",INDEX('_calc'!$C$2:$C$3001,$N280))</f>
        <v/>
      </c>
      <c r="E280" s="25" t="str">
        <f>IF($N280="","",INDEX('_calc'!$D$2:$D$3001,$N280))</f>
        <v/>
      </c>
      <c r="F280" s="26" t="str">
        <f>IF($N280="","",IF($E$8=0,"",E280/$E$8))</f>
        <v/>
      </c>
      <c r="G280" s="25" t="str">
        <f>IF($N280="","",INDEX('_calc'!$E$2:$E$3001,$N280))</f>
        <v/>
      </c>
      <c r="H280" s="25" t="str">
        <f>IF($N280="","",INDEX('_calc'!$F$2:$F$3001,$N280))</f>
        <v/>
      </c>
      <c r="I280" s="27" t="str">
        <f>IF($N280="","",INDEX('_calc'!$H$2:$H$3001,$N280))</f>
        <v/>
      </c>
      <c r="J280" s="27" t="str">
        <f>IF($N280="","",INDEX('_calc'!$I$2:$I$3001,$N280))</f>
        <v/>
      </c>
      <c r="K280" s="28" t="str">
        <f>IF($N280="","",IF(OR(I280="",J280=""),"",J280-I280))</f>
        <v/>
      </c>
      <c r="L280" s="29" t="str">
        <f>IF($N280="","",INDEX('_calc'!$J$2:$J$3001,$N280))</f>
        <v/>
      </c>
      <c r="M280" s="2" t="str">
        <f>IF($N280="","",IF(AND(G280=0,H280=0),"수량 없음",IF(G280=0,"신규 (전년 수량 없음)",IF(H280=0,"당해 수량 없음",""))))</f>
        <v/>
      </c>
      <c r="N280" t="str">
        <f>IF($B280="","",MATCH($B280,'_calc'!$L$2:$L$3001,0))</f>
        <v/>
      </c>
    </row>
    <row r="281">
      <c r="B281" s="24" t="str">
        <f>IF(ROW()-ROW($B$8)&gt;nComp,"",ROW()-ROW($B$8))</f>
        <v/>
      </c>
      <c r="C281" t="str">
        <f>IF($N281="","",INDEX('_calc'!$A$2:$A$3001,$N281))</f>
        <v/>
      </c>
      <c r="D281" s="25" t="str">
        <f>IF($N281="","",INDEX('_calc'!$C$2:$C$3001,$N281))</f>
        <v/>
      </c>
      <c r="E281" s="25" t="str">
        <f>IF($N281="","",INDEX('_calc'!$D$2:$D$3001,$N281))</f>
        <v/>
      </c>
      <c r="F281" s="26" t="str">
        <f>IF($N281="","",IF($E$8=0,"",E281/$E$8))</f>
        <v/>
      </c>
      <c r="G281" s="25" t="str">
        <f>IF($N281="","",INDEX('_calc'!$E$2:$E$3001,$N281))</f>
        <v/>
      </c>
      <c r="H281" s="25" t="str">
        <f>IF($N281="","",INDEX('_calc'!$F$2:$F$3001,$N281))</f>
        <v/>
      </c>
      <c r="I281" s="27" t="str">
        <f>IF($N281="","",INDEX('_calc'!$H$2:$H$3001,$N281))</f>
        <v/>
      </c>
      <c r="J281" s="27" t="str">
        <f>IF($N281="","",INDEX('_calc'!$I$2:$I$3001,$N281))</f>
        <v/>
      </c>
      <c r="K281" s="28" t="str">
        <f>IF($N281="","",IF(OR(I281="",J281=""),"",J281-I281))</f>
        <v/>
      </c>
      <c r="L281" s="29" t="str">
        <f>IF($N281="","",INDEX('_calc'!$J$2:$J$3001,$N281))</f>
        <v/>
      </c>
      <c r="M281" s="2" t="str">
        <f>IF($N281="","",IF(AND(G281=0,H281=0),"수량 없음",IF(G281=0,"신규 (전년 수량 없음)",IF(H281=0,"당해 수량 없음",""))))</f>
        <v/>
      </c>
      <c r="N281" t="str">
        <f>IF($B281="","",MATCH($B281,'_calc'!$L$2:$L$3001,0))</f>
        <v/>
      </c>
    </row>
    <row r="282">
      <c r="B282" s="24" t="str">
        <f>IF(ROW()-ROW($B$8)&gt;nComp,"",ROW()-ROW($B$8))</f>
        <v/>
      </c>
      <c r="C282" t="str">
        <f>IF($N282="","",INDEX('_calc'!$A$2:$A$3001,$N282))</f>
        <v/>
      </c>
      <c r="D282" s="25" t="str">
        <f>IF($N282="","",INDEX('_calc'!$C$2:$C$3001,$N282))</f>
        <v/>
      </c>
      <c r="E282" s="25" t="str">
        <f>IF($N282="","",INDEX('_calc'!$D$2:$D$3001,$N282))</f>
        <v/>
      </c>
      <c r="F282" s="26" t="str">
        <f>IF($N282="","",IF($E$8=0,"",E282/$E$8))</f>
        <v/>
      </c>
      <c r="G282" s="25" t="str">
        <f>IF($N282="","",INDEX('_calc'!$E$2:$E$3001,$N282))</f>
        <v/>
      </c>
      <c r="H282" s="25" t="str">
        <f>IF($N282="","",INDEX('_calc'!$F$2:$F$3001,$N282))</f>
        <v/>
      </c>
      <c r="I282" s="27" t="str">
        <f>IF($N282="","",INDEX('_calc'!$H$2:$H$3001,$N282))</f>
        <v/>
      </c>
      <c r="J282" s="27" t="str">
        <f>IF($N282="","",INDEX('_calc'!$I$2:$I$3001,$N282))</f>
        <v/>
      </c>
      <c r="K282" s="28" t="str">
        <f>IF($N282="","",IF(OR(I282="",J282=""),"",J282-I282))</f>
        <v/>
      </c>
      <c r="L282" s="29" t="str">
        <f>IF($N282="","",INDEX('_calc'!$J$2:$J$3001,$N282))</f>
        <v/>
      </c>
      <c r="M282" s="2" t="str">
        <f>IF($N282="","",IF(AND(G282=0,H282=0),"수량 없음",IF(G282=0,"신규 (전년 수량 없음)",IF(H282=0,"당해 수량 없음",""))))</f>
        <v/>
      </c>
      <c r="N282" t="str">
        <f>IF($B282="","",MATCH($B282,'_calc'!$L$2:$L$3001,0))</f>
        <v/>
      </c>
    </row>
    <row r="283">
      <c r="B283" s="24" t="str">
        <f>IF(ROW()-ROW($B$8)&gt;nComp,"",ROW()-ROW($B$8))</f>
        <v/>
      </c>
      <c r="C283" t="str">
        <f>IF($N283="","",INDEX('_calc'!$A$2:$A$3001,$N283))</f>
        <v/>
      </c>
      <c r="D283" s="25" t="str">
        <f>IF($N283="","",INDEX('_calc'!$C$2:$C$3001,$N283))</f>
        <v/>
      </c>
      <c r="E283" s="25" t="str">
        <f>IF($N283="","",INDEX('_calc'!$D$2:$D$3001,$N283))</f>
        <v/>
      </c>
      <c r="F283" s="26" t="str">
        <f>IF($N283="","",IF($E$8=0,"",E283/$E$8))</f>
        <v/>
      </c>
      <c r="G283" s="25" t="str">
        <f>IF($N283="","",INDEX('_calc'!$E$2:$E$3001,$N283))</f>
        <v/>
      </c>
      <c r="H283" s="25" t="str">
        <f>IF($N283="","",INDEX('_calc'!$F$2:$F$3001,$N283))</f>
        <v/>
      </c>
      <c r="I283" s="27" t="str">
        <f>IF($N283="","",INDEX('_calc'!$H$2:$H$3001,$N283))</f>
        <v/>
      </c>
      <c r="J283" s="27" t="str">
        <f>IF($N283="","",INDEX('_calc'!$I$2:$I$3001,$N283))</f>
        <v/>
      </c>
      <c r="K283" s="28" t="str">
        <f>IF($N283="","",IF(OR(I283="",J283=""),"",J283-I283))</f>
        <v/>
      </c>
      <c r="L283" s="29" t="str">
        <f>IF($N283="","",INDEX('_calc'!$J$2:$J$3001,$N283))</f>
        <v/>
      </c>
      <c r="M283" s="2" t="str">
        <f>IF($N283="","",IF(AND(G283=0,H283=0),"수량 없음",IF(G283=0,"신규 (전년 수량 없음)",IF(H283=0,"당해 수량 없음",""))))</f>
        <v/>
      </c>
      <c r="N283" t="str">
        <f>IF($B283="","",MATCH($B283,'_calc'!$L$2:$L$3001,0))</f>
        <v/>
      </c>
    </row>
    <row r="284">
      <c r="B284" s="24" t="str">
        <f>IF(ROW()-ROW($B$8)&gt;nComp,"",ROW()-ROW($B$8))</f>
        <v/>
      </c>
      <c r="C284" t="str">
        <f>IF($N284="","",INDEX('_calc'!$A$2:$A$3001,$N284))</f>
        <v/>
      </c>
      <c r="D284" s="25" t="str">
        <f>IF($N284="","",INDEX('_calc'!$C$2:$C$3001,$N284))</f>
        <v/>
      </c>
      <c r="E284" s="25" t="str">
        <f>IF($N284="","",INDEX('_calc'!$D$2:$D$3001,$N284))</f>
        <v/>
      </c>
      <c r="F284" s="26" t="str">
        <f>IF($N284="","",IF($E$8=0,"",E284/$E$8))</f>
        <v/>
      </c>
      <c r="G284" s="25" t="str">
        <f>IF($N284="","",INDEX('_calc'!$E$2:$E$3001,$N284))</f>
        <v/>
      </c>
      <c r="H284" s="25" t="str">
        <f>IF($N284="","",INDEX('_calc'!$F$2:$F$3001,$N284))</f>
        <v/>
      </c>
      <c r="I284" s="27" t="str">
        <f>IF($N284="","",INDEX('_calc'!$H$2:$H$3001,$N284))</f>
        <v/>
      </c>
      <c r="J284" s="27" t="str">
        <f>IF($N284="","",INDEX('_calc'!$I$2:$I$3001,$N284))</f>
        <v/>
      </c>
      <c r="K284" s="28" t="str">
        <f>IF($N284="","",IF(OR(I284="",J284=""),"",J284-I284))</f>
        <v/>
      </c>
      <c r="L284" s="29" t="str">
        <f>IF($N284="","",INDEX('_calc'!$J$2:$J$3001,$N284))</f>
        <v/>
      </c>
      <c r="M284" s="2" t="str">
        <f>IF($N284="","",IF(AND(G284=0,H284=0),"수량 없음",IF(G284=0,"신규 (전년 수량 없음)",IF(H284=0,"당해 수량 없음",""))))</f>
        <v/>
      </c>
      <c r="N284" t="str">
        <f>IF($B284="","",MATCH($B284,'_calc'!$L$2:$L$3001,0))</f>
        <v/>
      </c>
    </row>
    <row r="285">
      <c r="B285" s="24" t="str">
        <f>IF(ROW()-ROW($B$8)&gt;nComp,"",ROW()-ROW($B$8))</f>
        <v/>
      </c>
      <c r="C285" t="str">
        <f>IF($N285="","",INDEX('_calc'!$A$2:$A$3001,$N285))</f>
        <v/>
      </c>
      <c r="D285" s="25" t="str">
        <f>IF($N285="","",INDEX('_calc'!$C$2:$C$3001,$N285))</f>
        <v/>
      </c>
      <c r="E285" s="25" t="str">
        <f>IF($N285="","",INDEX('_calc'!$D$2:$D$3001,$N285))</f>
        <v/>
      </c>
      <c r="F285" s="26" t="str">
        <f>IF($N285="","",IF($E$8=0,"",E285/$E$8))</f>
        <v/>
      </c>
      <c r="G285" s="25" t="str">
        <f>IF($N285="","",INDEX('_calc'!$E$2:$E$3001,$N285))</f>
        <v/>
      </c>
      <c r="H285" s="25" t="str">
        <f>IF($N285="","",INDEX('_calc'!$F$2:$F$3001,$N285))</f>
        <v/>
      </c>
      <c r="I285" s="27" t="str">
        <f>IF($N285="","",INDEX('_calc'!$H$2:$H$3001,$N285))</f>
        <v/>
      </c>
      <c r="J285" s="27" t="str">
        <f>IF($N285="","",INDEX('_calc'!$I$2:$I$3001,$N285))</f>
        <v/>
      </c>
      <c r="K285" s="28" t="str">
        <f>IF($N285="","",IF(OR(I285="",J285=""),"",J285-I285))</f>
        <v/>
      </c>
      <c r="L285" s="29" t="str">
        <f>IF($N285="","",INDEX('_calc'!$J$2:$J$3001,$N285))</f>
        <v/>
      </c>
      <c r="M285" s="2" t="str">
        <f>IF($N285="","",IF(AND(G285=0,H285=0),"수량 없음",IF(G285=0,"신규 (전년 수량 없음)",IF(H285=0,"당해 수량 없음",""))))</f>
        <v/>
      </c>
      <c r="N285" t="str">
        <f>IF($B285="","",MATCH($B285,'_calc'!$L$2:$L$3001,0))</f>
        <v/>
      </c>
    </row>
    <row r="286">
      <c r="B286" s="24" t="str">
        <f>IF(ROW()-ROW($B$8)&gt;nComp,"",ROW()-ROW($B$8))</f>
        <v/>
      </c>
      <c r="C286" t="str">
        <f>IF($N286="","",INDEX('_calc'!$A$2:$A$3001,$N286))</f>
        <v/>
      </c>
      <c r="D286" s="25" t="str">
        <f>IF($N286="","",INDEX('_calc'!$C$2:$C$3001,$N286))</f>
        <v/>
      </c>
      <c r="E286" s="25" t="str">
        <f>IF($N286="","",INDEX('_calc'!$D$2:$D$3001,$N286))</f>
        <v/>
      </c>
      <c r="F286" s="26" t="str">
        <f>IF($N286="","",IF($E$8=0,"",E286/$E$8))</f>
        <v/>
      </c>
      <c r="G286" s="25" t="str">
        <f>IF($N286="","",INDEX('_calc'!$E$2:$E$3001,$N286))</f>
        <v/>
      </c>
      <c r="H286" s="25" t="str">
        <f>IF($N286="","",INDEX('_calc'!$F$2:$F$3001,$N286))</f>
        <v/>
      </c>
      <c r="I286" s="27" t="str">
        <f>IF($N286="","",INDEX('_calc'!$H$2:$H$3001,$N286))</f>
        <v/>
      </c>
      <c r="J286" s="27" t="str">
        <f>IF($N286="","",INDEX('_calc'!$I$2:$I$3001,$N286))</f>
        <v/>
      </c>
      <c r="K286" s="28" t="str">
        <f>IF($N286="","",IF(OR(I286="",J286=""),"",J286-I286))</f>
        <v/>
      </c>
      <c r="L286" s="29" t="str">
        <f>IF($N286="","",INDEX('_calc'!$J$2:$J$3001,$N286))</f>
        <v/>
      </c>
      <c r="M286" s="2" t="str">
        <f>IF($N286="","",IF(AND(G286=0,H286=0),"수량 없음",IF(G286=0,"신규 (전년 수량 없음)",IF(H286=0,"당해 수량 없음",""))))</f>
        <v/>
      </c>
      <c r="N286" t="str">
        <f>IF($B286="","",MATCH($B286,'_calc'!$L$2:$L$3001,0))</f>
        <v/>
      </c>
    </row>
    <row r="287">
      <c r="B287" s="24" t="str">
        <f>IF(ROW()-ROW($B$8)&gt;nComp,"",ROW()-ROW($B$8))</f>
        <v/>
      </c>
      <c r="C287" t="str">
        <f>IF($N287="","",INDEX('_calc'!$A$2:$A$3001,$N287))</f>
        <v/>
      </c>
      <c r="D287" s="25" t="str">
        <f>IF($N287="","",INDEX('_calc'!$C$2:$C$3001,$N287))</f>
        <v/>
      </c>
      <c r="E287" s="25" t="str">
        <f>IF($N287="","",INDEX('_calc'!$D$2:$D$3001,$N287))</f>
        <v/>
      </c>
      <c r="F287" s="26" t="str">
        <f>IF($N287="","",IF($E$8=0,"",E287/$E$8))</f>
        <v/>
      </c>
      <c r="G287" s="25" t="str">
        <f>IF($N287="","",INDEX('_calc'!$E$2:$E$3001,$N287))</f>
        <v/>
      </c>
      <c r="H287" s="25" t="str">
        <f>IF($N287="","",INDEX('_calc'!$F$2:$F$3001,$N287))</f>
        <v/>
      </c>
      <c r="I287" s="27" t="str">
        <f>IF($N287="","",INDEX('_calc'!$H$2:$H$3001,$N287))</f>
        <v/>
      </c>
      <c r="J287" s="27" t="str">
        <f>IF($N287="","",INDEX('_calc'!$I$2:$I$3001,$N287))</f>
        <v/>
      </c>
      <c r="K287" s="28" t="str">
        <f>IF($N287="","",IF(OR(I287="",J287=""),"",J287-I287))</f>
        <v/>
      </c>
      <c r="L287" s="29" t="str">
        <f>IF($N287="","",INDEX('_calc'!$J$2:$J$3001,$N287))</f>
        <v/>
      </c>
      <c r="M287" s="2" t="str">
        <f>IF($N287="","",IF(AND(G287=0,H287=0),"수량 없음",IF(G287=0,"신규 (전년 수량 없음)",IF(H287=0,"당해 수량 없음",""))))</f>
        <v/>
      </c>
      <c r="N287" t="str">
        <f>IF($B287="","",MATCH($B287,'_calc'!$L$2:$L$3001,0))</f>
        <v/>
      </c>
    </row>
    <row r="288">
      <c r="B288" s="24" t="str">
        <f>IF(ROW()-ROW($B$8)&gt;nComp,"",ROW()-ROW($B$8))</f>
        <v/>
      </c>
      <c r="C288" t="str">
        <f>IF($N288="","",INDEX('_calc'!$A$2:$A$3001,$N288))</f>
        <v/>
      </c>
      <c r="D288" s="25" t="str">
        <f>IF($N288="","",INDEX('_calc'!$C$2:$C$3001,$N288))</f>
        <v/>
      </c>
      <c r="E288" s="25" t="str">
        <f>IF($N288="","",INDEX('_calc'!$D$2:$D$3001,$N288))</f>
        <v/>
      </c>
      <c r="F288" s="26" t="str">
        <f>IF($N288="","",IF($E$8=0,"",E288/$E$8))</f>
        <v/>
      </c>
      <c r="G288" s="25" t="str">
        <f>IF($N288="","",INDEX('_calc'!$E$2:$E$3001,$N288))</f>
        <v/>
      </c>
      <c r="H288" s="25" t="str">
        <f>IF($N288="","",INDEX('_calc'!$F$2:$F$3001,$N288))</f>
        <v/>
      </c>
      <c r="I288" s="27" t="str">
        <f>IF($N288="","",INDEX('_calc'!$H$2:$H$3001,$N288))</f>
        <v/>
      </c>
      <c r="J288" s="27" t="str">
        <f>IF($N288="","",INDEX('_calc'!$I$2:$I$3001,$N288))</f>
        <v/>
      </c>
      <c r="K288" s="28" t="str">
        <f>IF($N288="","",IF(OR(I288="",J288=""),"",J288-I288))</f>
        <v/>
      </c>
      <c r="L288" s="29" t="str">
        <f>IF($N288="","",INDEX('_calc'!$J$2:$J$3001,$N288))</f>
        <v/>
      </c>
      <c r="M288" s="2" t="str">
        <f>IF($N288="","",IF(AND(G288=0,H288=0),"수량 없음",IF(G288=0,"신규 (전년 수량 없음)",IF(H288=0,"당해 수량 없음",""))))</f>
        <v/>
      </c>
      <c r="N288" t="str">
        <f>IF($B288="","",MATCH($B288,'_calc'!$L$2:$L$3001,0))</f>
        <v/>
      </c>
    </row>
    <row r="289">
      <c r="B289" s="24" t="str">
        <f>IF(ROW()-ROW($B$8)&gt;nComp,"",ROW()-ROW($B$8))</f>
        <v/>
      </c>
      <c r="C289" t="str">
        <f>IF($N289="","",INDEX('_calc'!$A$2:$A$3001,$N289))</f>
        <v/>
      </c>
      <c r="D289" s="25" t="str">
        <f>IF($N289="","",INDEX('_calc'!$C$2:$C$3001,$N289))</f>
        <v/>
      </c>
      <c r="E289" s="25" t="str">
        <f>IF($N289="","",INDEX('_calc'!$D$2:$D$3001,$N289))</f>
        <v/>
      </c>
      <c r="F289" s="26" t="str">
        <f>IF($N289="","",IF($E$8=0,"",E289/$E$8))</f>
        <v/>
      </c>
      <c r="G289" s="25" t="str">
        <f>IF($N289="","",INDEX('_calc'!$E$2:$E$3001,$N289))</f>
        <v/>
      </c>
      <c r="H289" s="25" t="str">
        <f>IF($N289="","",INDEX('_calc'!$F$2:$F$3001,$N289))</f>
        <v/>
      </c>
      <c r="I289" s="27" t="str">
        <f>IF($N289="","",INDEX('_calc'!$H$2:$H$3001,$N289))</f>
        <v/>
      </c>
      <c r="J289" s="27" t="str">
        <f>IF($N289="","",INDEX('_calc'!$I$2:$I$3001,$N289))</f>
        <v/>
      </c>
      <c r="K289" s="28" t="str">
        <f>IF($N289="","",IF(OR(I289="",J289=""),"",J289-I289))</f>
        <v/>
      </c>
      <c r="L289" s="29" t="str">
        <f>IF($N289="","",INDEX('_calc'!$J$2:$J$3001,$N289))</f>
        <v/>
      </c>
      <c r="M289" s="2" t="str">
        <f>IF($N289="","",IF(AND(G289=0,H289=0),"수량 없음",IF(G289=0,"신규 (전년 수량 없음)",IF(H289=0,"당해 수량 없음",""))))</f>
        <v/>
      </c>
      <c r="N289" t="str">
        <f>IF($B289="","",MATCH($B289,'_calc'!$L$2:$L$3001,0))</f>
        <v/>
      </c>
    </row>
    <row r="290">
      <c r="B290" s="24" t="str">
        <f>IF(ROW()-ROW($B$8)&gt;nComp,"",ROW()-ROW($B$8))</f>
        <v/>
      </c>
      <c r="C290" t="str">
        <f>IF($N290="","",INDEX('_calc'!$A$2:$A$3001,$N290))</f>
        <v/>
      </c>
      <c r="D290" s="25" t="str">
        <f>IF($N290="","",INDEX('_calc'!$C$2:$C$3001,$N290))</f>
        <v/>
      </c>
      <c r="E290" s="25" t="str">
        <f>IF($N290="","",INDEX('_calc'!$D$2:$D$3001,$N290))</f>
        <v/>
      </c>
      <c r="F290" s="26" t="str">
        <f>IF($N290="","",IF($E$8=0,"",E290/$E$8))</f>
        <v/>
      </c>
      <c r="G290" s="25" t="str">
        <f>IF($N290="","",INDEX('_calc'!$E$2:$E$3001,$N290))</f>
        <v/>
      </c>
      <c r="H290" s="25" t="str">
        <f>IF($N290="","",INDEX('_calc'!$F$2:$F$3001,$N290))</f>
        <v/>
      </c>
      <c r="I290" s="27" t="str">
        <f>IF($N290="","",INDEX('_calc'!$H$2:$H$3001,$N290))</f>
        <v/>
      </c>
      <c r="J290" s="27" t="str">
        <f>IF($N290="","",INDEX('_calc'!$I$2:$I$3001,$N290))</f>
        <v/>
      </c>
      <c r="K290" s="28" t="str">
        <f>IF($N290="","",IF(OR(I290="",J290=""),"",J290-I290))</f>
        <v/>
      </c>
      <c r="L290" s="29" t="str">
        <f>IF($N290="","",INDEX('_calc'!$J$2:$J$3001,$N290))</f>
        <v/>
      </c>
      <c r="M290" s="2" t="str">
        <f>IF($N290="","",IF(AND(G290=0,H290=0),"수량 없음",IF(G290=0,"신규 (전년 수량 없음)",IF(H290=0,"당해 수량 없음",""))))</f>
        <v/>
      </c>
      <c r="N290" t="str">
        <f>IF($B290="","",MATCH($B290,'_calc'!$L$2:$L$3001,0))</f>
        <v/>
      </c>
    </row>
    <row r="291">
      <c r="B291" s="24" t="str">
        <f>IF(ROW()-ROW($B$8)&gt;nComp,"",ROW()-ROW($B$8))</f>
        <v/>
      </c>
      <c r="C291" t="str">
        <f>IF($N291="","",INDEX('_calc'!$A$2:$A$3001,$N291))</f>
        <v/>
      </c>
      <c r="D291" s="25" t="str">
        <f>IF($N291="","",INDEX('_calc'!$C$2:$C$3001,$N291))</f>
        <v/>
      </c>
      <c r="E291" s="25" t="str">
        <f>IF($N291="","",INDEX('_calc'!$D$2:$D$3001,$N291))</f>
        <v/>
      </c>
      <c r="F291" s="26" t="str">
        <f>IF($N291="","",IF($E$8=0,"",E291/$E$8))</f>
        <v/>
      </c>
      <c r="G291" s="25" t="str">
        <f>IF($N291="","",INDEX('_calc'!$E$2:$E$3001,$N291))</f>
        <v/>
      </c>
      <c r="H291" s="25" t="str">
        <f>IF($N291="","",INDEX('_calc'!$F$2:$F$3001,$N291))</f>
        <v/>
      </c>
      <c r="I291" s="27" t="str">
        <f>IF($N291="","",INDEX('_calc'!$H$2:$H$3001,$N291))</f>
        <v/>
      </c>
      <c r="J291" s="27" t="str">
        <f>IF($N291="","",INDEX('_calc'!$I$2:$I$3001,$N291))</f>
        <v/>
      </c>
      <c r="K291" s="28" t="str">
        <f>IF($N291="","",IF(OR(I291="",J291=""),"",J291-I291))</f>
        <v/>
      </c>
      <c r="L291" s="29" t="str">
        <f>IF($N291="","",INDEX('_calc'!$J$2:$J$3001,$N291))</f>
        <v/>
      </c>
      <c r="M291" s="2" t="str">
        <f>IF($N291="","",IF(AND(G291=0,H291=0),"수량 없음",IF(G291=0,"신규 (전년 수량 없음)",IF(H291=0,"당해 수량 없음",""))))</f>
        <v/>
      </c>
      <c r="N291" t="str">
        <f>IF($B291="","",MATCH($B291,'_calc'!$L$2:$L$3001,0))</f>
        <v/>
      </c>
    </row>
    <row r="292">
      <c r="B292" s="24" t="str">
        <f>IF(ROW()-ROW($B$8)&gt;nComp,"",ROW()-ROW($B$8))</f>
        <v/>
      </c>
      <c r="C292" t="str">
        <f>IF($N292="","",INDEX('_calc'!$A$2:$A$3001,$N292))</f>
        <v/>
      </c>
      <c r="D292" s="25" t="str">
        <f>IF($N292="","",INDEX('_calc'!$C$2:$C$3001,$N292))</f>
        <v/>
      </c>
      <c r="E292" s="25" t="str">
        <f>IF($N292="","",INDEX('_calc'!$D$2:$D$3001,$N292))</f>
        <v/>
      </c>
      <c r="F292" s="26" t="str">
        <f>IF($N292="","",IF($E$8=0,"",E292/$E$8))</f>
        <v/>
      </c>
      <c r="G292" s="25" t="str">
        <f>IF($N292="","",INDEX('_calc'!$E$2:$E$3001,$N292))</f>
        <v/>
      </c>
      <c r="H292" s="25" t="str">
        <f>IF($N292="","",INDEX('_calc'!$F$2:$F$3001,$N292))</f>
        <v/>
      </c>
      <c r="I292" s="27" t="str">
        <f>IF($N292="","",INDEX('_calc'!$H$2:$H$3001,$N292))</f>
        <v/>
      </c>
      <c r="J292" s="27" t="str">
        <f>IF($N292="","",INDEX('_calc'!$I$2:$I$3001,$N292))</f>
        <v/>
      </c>
      <c r="K292" s="28" t="str">
        <f>IF($N292="","",IF(OR(I292="",J292=""),"",J292-I292))</f>
        <v/>
      </c>
      <c r="L292" s="29" t="str">
        <f>IF($N292="","",INDEX('_calc'!$J$2:$J$3001,$N292))</f>
        <v/>
      </c>
      <c r="M292" s="2" t="str">
        <f>IF($N292="","",IF(AND(G292=0,H292=0),"수량 없음",IF(G292=0,"신규 (전년 수량 없음)",IF(H292=0,"당해 수량 없음",""))))</f>
        <v/>
      </c>
      <c r="N292" t="str">
        <f>IF($B292="","",MATCH($B292,'_calc'!$L$2:$L$3001,0))</f>
        <v/>
      </c>
    </row>
    <row r="293">
      <c r="B293" s="24" t="str">
        <f>IF(ROW()-ROW($B$8)&gt;nComp,"",ROW()-ROW($B$8))</f>
        <v/>
      </c>
      <c r="C293" t="str">
        <f>IF($N293="","",INDEX('_calc'!$A$2:$A$3001,$N293))</f>
        <v/>
      </c>
      <c r="D293" s="25" t="str">
        <f>IF($N293="","",INDEX('_calc'!$C$2:$C$3001,$N293))</f>
        <v/>
      </c>
      <c r="E293" s="25" t="str">
        <f>IF($N293="","",INDEX('_calc'!$D$2:$D$3001,$N293))</f>
        <v/>
      </c>
      <c r="F293" s="26" t="str">
        <f>IF($N293="","",IF($E$8=0,"",E293/$E$8))</f>
        <v/>
      </c>
      <c r="G293" s="25" t="str">
        <f>IF($N293="","",INDEX('_calc'!$E$2:$E$3001,$N293))</f>
        <v/>
      </c>
      <c r="H293" s="25" t="str">
        <f>IF($N293="","",INDEX('_calc'!$F$2:$F$3001,$N293))</f>
        <v/>
      </c>
      <c r="I293" s="27" t="str">
        <f>IF($N293="","",INDEX('_calc'!$H$2:$H$3001,$N293))</f>
        <v/>
      </c>
      <c r="J293" s="27" t="str">
        <f>IF($N293="","",INDEX('_calc'!$I$2:$I$3001,$N293))</f>
        <v/>
      </c>
      <c r="K293" s="28" t="str">
        <f>IF($N293="","",IF(OR(I293="",J293=""),"",J293-I293))</f>
        <v/>
      </c>
      <c r="L293" s="29" t="str">
        <f>IF($N293="","",INDEX('_calc'!$J$2:$J$3001,$N293))</f>
        <v/>
      </c>
      <c r="M293" s="2" t="str">
        <f>IF($N293="","",IF(AND(G293=0,H293=0),"수량 없음",IF(G293=0,"신규 (전년 수량 없음)",IF(H293=0,"당해 수량 없음",""))))</f>
        <v/>
      </c>
      <c r="N293" t="str">
        <f>IF($B293="","",MATCH($B293,'_calc'!$L$2:$L$3001,0))</f>
        <v/>
      </c>
    </row>
    <row r="294">
      <c r="B294" s="24" t="str">
        <f>IF(ROW()-ROW($B$8)&gt;nComp,"",ROW()-ROW($B$8))</f>
        <v/>
      </c>
      <c r="C294" t="str">
        <f>IF($N294="","",INDEX('_calc'!$A$2:$A$3001,$N294))</f>
        <v/>
      </c>
      <c r="D294" s="25" t="str">
        <f>IF($N294="","",INDEX('_calc'!$C$2:$C$3001,$N294))</f>
        <v/>
      </c>
      <c r="E294" s="25" t="str">
        <f>IF($N294="","",INDEX('_calc'!$D$2:$D$3001,$N294))</f>
        <v/>
      </c>
      <c r="F294" s="26" t="str">
        <f>IF($N294="","",IF($E$8=0,"",E294/$E$8))</f>
        <v/>
      </c>
      <c r="G294" s="25" t="str">
        <f>IF($N294="","",INDEX('_calc'!$E$2:$E$3001,$N294))</f>
        <v/>
      </c>
      <c r="H294" s="25" t="str">
        <f>IF($N294="","",INDEX('_calc'!$F$2:$F$3001,$N294))</f>
        <v/>
      </c>
      <c r="I294" s="27" t="str">
        <f>IF($N294="","",INDEX('_calc'!$H$2:$H$3001,$N294))</f>
        <v/>
      </c>
      <c r="J294" s="27" t="str">
        <f>IF($N294="","",INDEX('_calc'!$I$2:$I$3001,$N294))</f>
        <v/>
      </c>
      <c r="K294" s="28" t="str">
        <f>IF($N294="","",IF(OR(I294="",J294=""),"",J294-I294))</f>
        <v/>
      </c>
      <c r="L294" s="29" t="str">
        <f>IF($N294="","",INDEX('_calc'!$J$2:$J$3001,$N294))</f>
        <v/>
      </c>
      <c r="M294" s="2" t="str">
        <f>IF($N294="","",IF(AND(G294=0,H294=0),"수량 없음",IF(G294=0,"신규 (전년 수량 없음)",IF(H294=0,"당해 수량 없음",""))))</f>
        <v/>
      </c>
      <c r="N294" t="str">
        <f>IF($B294="","",MATCH($B294,'_calc'!$L$2:$L$3001,0))</f>
        <v/>
      </c>
    </row>
    <row r="295">
      <c r="B295" s="24" t="str">
        <f>IF(ROW()-ROW($B$8)&gt;nComp,"",ROW()-ROW($B$8))</f>
        <v/>
      </c>
      <c r="C295" t="str">
        <f>IF($N295="","",INDEX('_calc'!$A$2:$A$3001,$N295))</f>
        <v/>
      </c>
      <c r="D295" s="25" t="str">
        <f>IF($N295="","",INDEX('_calc'!$C$2:$C$3001,$N295))</f>
        <v/>
      </c>
      <c r="E295" s="25" t="str">
        <f>IF($N295="","",INDEX('_calc'!$D$2:$D$3001,$N295))</f>
        <v/>
      </c>
      <c r="F295" s="26" t="str">
        <f>IF($N295="","",IF($E$8=0,"",E295/$E$8))</f>
        <v/>
      </c>
      <c r="G295" s="25" t="str">
        <f>IF($N295="","",INDEX('_calc'!$E$2:$E$3001,$N295))</f>
        <v/>
      </c>
      <c r="H295" s="25" t="str">
        <f>IF($N295="","",INDEX('_calc'!$F$2:$F$3001,$N295))</f>
        <v/>
      </c>
      <c r="I295" s="27" t="str">
        <f>IF($N295="","",INDEX('_calc'!$H$2:$H$3001,$N295))</f>
        <v/>
      </c>
      <c r="J295" s="27" t="str">
        <f>IF($N295="","",INDEX('_calc'!$I$2:$I$3001,$N295))</f>
        <v/>
      </c>
      <c r="K295" s="28" t="str">
        <f>IF($N295="","",IF(OR(I295="",J295=""),"",J295-I295))</f>
        <v/>
      </c>
      <c r="L295" s="29" t="str">
        <f>IF($N295="","",INDEX('_calc'!$J$2:$J$3001,$N295))</f>
        <v/>
      </c>
      <c r="M295" s="2" t="str">
        <f>IF($N295="","",IF(AND(G295=0,H295=0),"수량 없음",IF(G295=0,"신규 (전년 수량 없음)",IF(H295=0,"당해 수량 없음",""))))</f>
        <v/>
      </c>
      <c r="N295" t="str">
        <f>IF($B295="","",MATCH($B295,'_calc'!$L$2:$L$3001,0))</f>
        <v/>
      </c>
    </row>
    <row r="296">
      <c r="B296" s="24" t="str">
        <f>IF(ROW()-ROW($B$8)&gt;nComp,"",ROW()-ROW($B$8))</f>
        <v/>
      </c>
      <c r="C296" t="str">
        <f>IF($N296="","",INDEX('_calc'!$A$2:$A$3001,$N296))</f>
        <v/>
      </c>
      <c r="D296" s="25" t="str">
        <f>IF($N296="","",INDEX('_calc'!$C$2:$C$3001,$N296))</f>
        <v/>
      </c>
      <c r="E296" s="25" t="str">
        <f>IF($N296="","",INDEX('_calc'!$D$2:$D$3001,$N296))</f>
        <v/>
      </c>
      <c r="F296" s="26" t="str">
        <f>IF($N296="","",IF($E$8=0,"",E296/$E$8))</f>
        <v/>
      </c>
      <c r="G296" s="25" t="str">
        <f>IF($N296="","",INDEX('_calc'!$E$2:$E$3001,$N296))</f>
        <v/>
      </c>
      <c r="H296" s="25" t="str">
        <f>IF($N296="","",INDEX('_calc'!$F$2:$F$3001,$N296))</f>
        <v/>
      </c>
      <c r="I296" s="27" t="str">
        <f>IF($N296="","",INDEX('_calc'!$H$2:$H$3001,$N296))</f>
        <v/>
      </c>
      <c r="J296" s="27" t="str">
        <f>IF($N296="","",INDEX('_calc'!$I$2:$I$3001,$N296))</f>
        <v/>
      </c>
      <c r="K296" s="28" t="str">
        <f>IF($N296="","",IF(OR(I296="",J296=""),"",J296-I296))</f>
        <v/>
      </c>
      <c r="L296" s="29" t="str">
        <f>IF($N296="","",INDEX('_calc'!$J$2:$J$3001,$N296))</f>
        <v/>
      </c>
      <c r="M296" s="2" t="str">
        <f>IF($N296="","",IF(AND(G296=0,H296=0),"수량 없음",IF(G296=0,"신규 (전년 수량 없음)",IF(H296=0,"당해 수량 없음",""))))</f>
        <v/>
      </c>
      <c r="N296" t="str">
        <f>IF($B296="","",MATCH($B296,'_calc'!$L$2:$L$3001,0))</f>
        <v/>
      </c>
    </row>
    <row r="297">
      <c r="B297" s="24" t="str">
        <f>IF(ROW()-ROW($B$8)&gt;nComp,"",ROW()-ROW($B$8))</f>
        <v/>
      </c>
      <c r="C297" t="str">
        <f>IF($N297="","",INDEX('_calc'!$A$2:$A$3001,$N297))</f>
        <v/>
      </c>
      <c r="D297" s="25" t="str">
        <f>IF($N297="","",INDEX('_calc'!$C$2:$C$3001,$N297))</f>
        <v/>
      </c>
      <c r="E297" s="25" t="str">
        <f>IF($N297="","",INDEX('_calc'!$D$2:$D$3001,$N297))</f>
        <v/>
      </c>
      <c r="F297" s="26" t="str">
        <f>IF($N297="","",IF($E$8=0,"",E297/$E$8))</f>
        <v/>
      </c>
      <c r="G297" s="25" t="str">
        <f>IF($N297="","",INDEX('_calc'!$E$2:$E$3001,$N297))</f>
        <v/>
      </c>
      <c r="H297" s="25" t="str">
        <f>IF($N297="","",INDEX('_calc'!$F$2:$F$3001,$N297))</f>
        <v/>
      </c>
      <c r="I297" s="27" t="str">
        <f>IF($N297="","",INDEX('_calc'!$H$2:$H$3001,$N297))</f>
        <v/>
      </c>
      <c r="J297" s="27" t="str">
        <f>IF($N297="","",INDEX('_calc'!$I$2:$I$3001,$N297))</f>
        <v/>
      </c>
      <c r="K297" s="28" t="str">
        <f>IF($N297="","",IF(OR(I297="",J297=""),"",J297-I297))</f>
        <v/>
      </c>
      <c r="L297" s="29" t="str">
        <f>IF($N297="","",INDEX('_calc'!$J$2:$J$3001,$N297))</f>
        <v/>
      </c>
      <c r="M297" s="2" t="str">
        <f>IF($N297="","",IF(AND(G297=0,H297=0),"수량 없음",IF(G297=0,"신규 (전년 수량 없음)",IF(H297=0,"당해 수량 없음",""))))</f>
        <v/>
      </c>
      <c r="N297" t="str">
        <f>IF($B297="","",MATCH($B297,'_calc'!$L$2:$L$3001,0))</f>
        <v/>
      </c>
    </row>
    <row r="298">
      <c r="B298" s="24" t="str">
        <f>IF(ROW()-ROW($B$8)&gt;nComp,"",ROW()-ROW($B$8))</f>
        <v/>
      </c>
      <c r="C298" t="str">
        <f>IF($N298="","",INDEX('_calc'!$A$2:$A$3001,$N298))</f>
        <v/>
      </c>
      <c r="D298" s="25" t="str">
        <f>IF($N298="","",INDEX('_calc'!$C$2:$C$3001,$N298))</f>
        <v/>
      </c>
      <c r="E298" s="25" t="str">
        <f>IF($N298="","",INDEX('_calc'!$D$2:$D$3001,$N298))</f>
        <v/>
      </c>
      <c r="F298" s="26" t="str">
        <f>IF($N298="","",IF($E$8=0,"",E298/$E$8))</f>
        <v/>
      </c>
      <c r="G298" s="25" t="str">
        <f>IF($N298="","",INDEX('_calc'!$E$2:$E$3001,$N298))</f>
        <v/>
      </c>
      <c r="H298" s="25" t="str">
        <f>IF($N298="","",INDEX('_calc'!$F$2:$F$3001,$N298))</f>
        <v/>
      </c>
      <c r="I298" s="27" t="str">
        <f>IF($N298="","",INDEX('_calc'!$H$2:$H$3001,$N298))</f>
        <v/>
      </c>
      <c r="J298" s="27" t="str">
        <f>IF($N298="","",INDEX('_calc'!$I$2:$I$3001,$N298))</f>
        <v/>
      </c>
      <c r="K298" s="28" t="str">
        <f>IF($N298="","",IF(OR(I298="",J298=""),"",J298-I298))</f>
        <v/>
      </c>
      <c r="L298" s="29" t="str">
        <f>IF($N298="","",INDEX('_calc'!$J$2:$J$3001,$N298))</f>
        <v/>
      </c>
      <c r="M298" s="2" t="str">
        <f>IF($N298="","",IF(AND(G298=0,H298=0),"수량 없음",IF(G298=0,"신규 (전년 수량 없음)",IF(H298=0,"당해 수량 없음",""))))</f>
        <v/>
      </c>
      <c r="N298" t="str">
        <f>IF($B298="","",MATCH($B298,'_calc'!$L$2:$L$3001,0))</f>
        <v/>
      </c>
    </row>
    <row r="299">
      <c r="B299" s="24" t="str">
        <f>IF(ROW()-ROW($B$8)&gt;nComp,"",ROW()-ROW($B$8))</f>
        <v/>
      </c>
      <c r="C299" t="str">
        <f>IF($N299="","",INDEX('_calc'!$A$2:$A$3001,$N299))</f>
        <v/>
      </c>
      <c r="D299" s="25" t="str">
        <f>IF($N299="","",INDEX('_calc'!$C$2:$C$3001,$N299))</f>
        <v/>
      </c>
      <c r="E299" s="25" t="str">
        <f>IF($N299="","",INDEX('_calc'!$D$2:$D$3001,$N299))</f>
        <v/>
      </c>
      <c r="F299" s="26" t="str">
        <f>IF($N299="","",IF($E$8=0,"",E299/$E$8))</f>
        <v/>
      </c>
      <c r="G299" s="25" t="str">
        <f>IF($N299="","",INDEX('_calc'!$E$2:$E$3001,$N299))</f>
        <v/>
      </c>
      <c r="H299" s="25" t="str">
        <f>IF($N299="","",INDEX('_calc'!$F$2:$F$3001,$N299))</f>
        <v/>
      </c>
      <c r="I299" s="27" t="str">
        <f>IF($N299="","",INDEX('_calc'!$H$2:$H$3001,$N299))</f>
        <v/>
      </c>
      <c r="J299" s="27" t="str">
        <f>IF($N299="","",INDEX('_calc'!$I$2:$I$3001,$N299))</f>
        <v/>
      </c>
      <c r="K299" s="28" t="str">
        <f>IF($N299="","",IF(OR(I299="",J299=""),"",J299-I299))</f>
        <v/>
      </c>
      <c r="L299" s="29" t="str">
        <f>IF($N299="","",INDEX('_calc'!$J$2:$J$3001,$N299))</f>
        <v/>
      </c>
      <c r="M299" s="2" t="str">
        <f>IF($N299="","",IF(AND(G299=0,H299=0),"수량 없음",IF(G299=0,"신규 (전년 수량 없음)",IF(H299=0,"당해 수량 없음",""))))</f>
        <v/>
      </c>
      <c r="N299" t="str">
        <f>IF($B299="","",MATCH($B299,'_calc'!$L$2:$L$3001,0))</f>
        <v/>
      </c>
    </row>
    <row r="300">
      <c r="B300" s="24" t="str">
        <f>IF(ROW()-ROW($B$8)&gt;nComp,"",ROW()-ROW($B$8))</f>
        <v/>
      </c>
      <c r="C300" t="str">
        <f>IF($N300="","",INDEX('_calc'!$A$2:$A$3001,$N300))</f>
        <v/>
      </c>
      <c r="D300" s="25" t="str">
        <f>IF($N300="","",INDEX('_calc'!$C$2:$C$3001,$N300))</f>
        <v/>
      </c>
      <c r="E300" s="25" t="str">
        <f>IF($N300="","",INDEX('_calc'!$D$2:$D$3001,$N300))</f>
        <v/>
      </c>
      <c r="F300" s="26" t="str">
        <f>IF($N300="","",IF($E$8=0,"",E300/$E$8))</f>
        <v/>
      </c>
      <c r="G300" s="25" t="str">
        <f>IF($N300="","",INDEX('_calc'!$E$2:$E$3001,$N300))</f>
        <v/>
      </c>
      <c r="H300" s="25" t="str">
        <f>IF($N300="","",INDEX('_calc'!$F$2:$F$3001,$N300))</f>
        <v/>
      </c>
      <c r="I300" s="27" t="str">
        <f>IF($N300="","",INDEX('_calc'!$H$2:$H$3001,$N300))</f>
        <v/>
      </c>
      <c r="J300" s="27" t="str">
        <f>IF($N300="","",INDEX('_calc'!$I$2:$I$3001,$N300))</f>
        <v/>
      </c>
      <c r="K300" s="28" t="str">
        <f>IF($N300="","",IF(OR(I300="",J300=""),"",J300-I300))</f>
        <v/>
      </c>
      <c r="L300" s="29" t="str">
        <f>IF($N300="","",INDEX('_calc'!$J$2:$J$3001,$N300))</f>
        <v/>
      </c>
      <c r="M300" s="2" t="str">
        <f>IF($N300="","",IF(AND(G300=0,H300=0),"수량 없음",IF(G300=0,"신규 (전년 수량 없음)",IF(H300=0,"당해 수량 없음",""))))</f>
        <v/>
      </c>
      <c r="N300" t="str">
        <f>IF($B300="","",MATCH($B300,'_calc'!$L$2:$L$3001,0))</f>
        <v/>
      </c>
    </row>
    <row r="301">
      <c r="B301" s="24" t="str">
        <f>IF(ROW()-ROW($B$8)&gt;nComp,"",ROW()-ROW($B$8))</f>
        <v/>
      </c>
      <c r="C301" t="str">
        <f>IF($N301="","",INDEX('_calc'!$A$2:$A$3001,$N301))</f>
        <v/>
      </c>
      <c r="D301" s="25" t="str">
        <f>IF($N301="","",INDEX('_calc'!$C$2:$C$3001,$N301))</f>
        <v/>
      </c>
      <c r="E301" s="25" t="str">
        <f>IF($N301="","",INDEX('_calc'!$D$2:$D$3001,$N301))</f>
        <v/>
      </c>
      <c r="F301" s="26" t="str">
        <f>IF($N301="","",IF($E$8=0,"",E301/$E$8))</f>
        <v/>
      </c>
      <c r="G301" s="25" t="str">
        <f>IF($N301="","",INDEX('_calc'!$E$2:$E$3001,$N301))</f>
        <v/>
      </c>
      <c r="H301" s="25" t="str">
        <f>IF($N301="","",INDEX('_calc'!$F$2:$F$3001,$N301))</f>
        <v/>
      </c>
      <c r="I301" s="27" t="str">
        <f>IF($N301="","",INDEX('_calc'!$H$2:$H$3001,$N301))</f>
        <v/>
      </c>
      <c r="J301" s="27" t="str">
        <f>IF($N301="","",INDEX('_calc'!$I$2:$I$3001,$N301))</f>
        <v/>
      </c>
      <c r="K301" s="28" t="str">
        <f>IF($N301="","",IF(OR(I301="",J301=""),"",J301-I301))</f>
        <v/>
      </c>
      <c r="L301" s="29" t="str">
        <f>IF($N301="","",INDEX('_calc'!$J$2:$J$3001,$N301))</f>
        <v/>
      </c>
      <c r="M301" s="2" t="str">
        <f>IF($N301="","",IF(AND(G301=0,H301=0),"수량 없음",IF(G301=0,"신규 (전년 수량 없음)",IF(H301=0,"당해 수량 없음",""))))</f>
        <v/>
      </c>
      <c r="N301" t="str">
        <f>IF($B301="","",MATCH($B301,'_calc'!$L$2:$L$3001,0))</f>
        <v/>
      </c>
    </row>
    <row r="302">
      <c r="B302" s="24" t="str">
        <f>IF(ROW()-ROW($B$8)&gt;nComp,"",ROW()-ROW($B$8))</f>
        <v/>
      </c>
      <c r="C302" t="str">
        <f>IF($N302="","",INDEX('_calc'!$A$2:$A$3001,$N302))</f>
        <v/>
      </c>
      <c r="D302" s="25" t="str">
        <f>IF($N302="","",INDEX('_calc'!$C$2:$C$3001,$N302))</f>
        <v/>
      </c>
      <c r="E302" s="25" t="str">
        <f>IF($N302="","",INDEX('_calc'!$D$2:$D$3001,$N302))</f>
        <v/>
      </c>
      <c r="F302" s="26" t="str">
        <f>IF($N302="","",IF($E$8=0,"",E302/$E$8))</f>
        <v/>
      </c>
      <c r="G302" s="25" t="str">
        <f>IF($N302="","",INDEX('_calc'!$E$2:$E$3001,$N302))</f>
        <v/>
      </c>
      <c r="H302" s="25" t="str">
        <f>IF($N302="","",INDEX('_calc'!$F$2:$F$3001,$N302))</f>
        <v/>
      </c>
      <c r="I302" s="27" t="str">
        <f>IF($N302="","",INDEX('_calc'!$H$2:$H$3001,$N302))</f>
        <v/>
      </c>
      <c r="J302" s="27" t="str">
        <f>IF($N302="","",INDEX('_calc'!$I$2:$I$3001,$N302))</f>
        <v/>
      </c>
      <c r="K302" s="28" t="str">
        <f>IF($N302="","",IF(OR(I302="",J302=""),"",J302-I302))</f>
        <v/>
      </c>
      <c r="L302" s="29" t="str">
        <f>IF($N302="","",INDEX('_calc'!$J$2:$J$3001,$N302))</f>
        <v/>
      </c>
      <c r="M302" s="2" t="str">
        <f>IF($N302="","",IF(AND(G302=0,H302=0),"수량 없음",IF(G302=0,"신규 (전년 수량 없음)",IF(H302=0,"당해 수량 없음",""))))</f>
        <v/>
      </c>
      <c r="N302" t="str">
        <f>IF($B302="","",MATCH($B302,'_calc'!$L$2:$L$3001,0))</f>
        <v/>
      </c>
    </row>
    <row r="303">
      <c r="B303" s="24" t="str">
        <f>IF(ROW()-ROW($B$8)&gt;nComp,"",ROW()-ROW($B$8))</f>
        <v/>
      </c>
      <c r="C303" t="str">
        <f>IF($N303="","",INDEX('_calc'!$A$2:$A$3001,$N303))</f>
        <v/>
      </c>
      <c r="D303" s="25" t="str">
        <f>IF($N303="","",INDEX('_calc'!$C$2:$C$3001,$N303))</f>
        <v/>
      </c>
      <c r="E303" s="25" t="str">
        <f>IF($N303="","",INDEX('_calc'!$D$2:$D$3001,$N303))</f>
        <v/>
      </c>
      <c r="F303" s="26" t="str">
        <f>IF($N303="","",IF($E$8=0,"",E303/$E$8))</f>
        <v/>
      </c>
      <c r="G303" s="25" t="str">
        <f>IF($N303="","",INDEX('_calc'!$E$2:$E$3001,$N303))</f>
        <v/>
      </c>
      <c r="H303" s="25" t="str">
        <f>IF($N303="","",INDEX('_calc'!$F$2:$F$3001,$N303))</f>
        <v/>
      </c>
      <c r="I303" s="27" t="str">
        <f>IF($N303="","",INDEX('_calc'!$H$2:$H$3001,$N303))</f>
        <v/>
      </c>
      <c r="J303" s="27" t="str">
        <f>IF($N303="","",INDEX('_calc'!$I$2:$I$3001,$N303))</f>
        <v/>
      </c>
      <c r="K303" s="28" t="str">
        <f>IF($N303="","",IF(OR(I303="",J303=""),"",J303-I303))</f>
        <v/>
      </c>
      <c r="L303" s="29" t="str">
        <f>IF($N303="","",INDEX('_calc'!$J$2:$J$3001,$N303))</f>
        <v/>
      </c>
      <c r="M303" s="2" t="str">
        <f>IF($N303="","",IF(AND(G303=0,H303=0),"수량 없음",IF(G303=0,"신규 (전년 수량 없음)",IF(H303=0,"당해 수량 없음",""))))</f>
        <v/>
      </c>
      <c r="N303" t="str">
        <f>IF($B303="","",MATCH($B303,'_calc'!$L$2:$L$3001,0))</f>
        <v/>
      </c>
    </row>
    <row r="304">
      <c r="B304" s="24" t="str">
        <f>IF(ROW()-ROW($B$8)&gt;nComp,"",ROW()-ROW($B$8))</f>
        <v/>
      </c>
      <c r="C304" t="str">
        <f>IF($N304="","",INDEX('_calc'!$A$2:$A$3001,$N304))</f>
        <v/>
      </c>
      <c r="D304" s="25" t="str">
        <f>IF($N304="","",INDEX('_calc'!$C$2:$C$3001,$N304))</f>
        <v/>
      </c>
      <c r="E304" s="25" t="str">
        <f>IF($N304="","",INDEX('_calc'!$D$2:$D$3001,$N304))</f>
        <v/>
      </c>
      <c r="F304" s="26" t="str">
        <f>IF($N304="","",IF($E$8=0,"",E304/$E$8))</f>
        <v/>
      </c>
      <c r="G304" s="25" t="str">
        <f>IF($N304="","",INDEX('_calc'!$E$2:$E$3001,$N304))</f>
        <v/>
      </c>
      <c r="H304" s="25" t="str">
        <f>IF($N304="","",INDEX('_calc'!$F$2:$F$3001,$N304))</f>
        <v/>
      </c>
      <c r="I304" s="27" t="str">
        <f>IF($N304="","",INDEX('_calc'!$H$2:$H$3001,$N304))</f>
        <v/>
      </c>
      <c r="J304" s="27" t="str">
        <f>IF($N304="","",INDEX('_calc'!$I$2:$I$3001,$N304))</f>
        <v/>
      </c>
      <c r="K304" s="28" t="str">
        <f>IF($N304="","",IF(OR(I304="",J304=""),"",J304-I304))</f>
        <v/>
      </c>
      <c r="L304" s="29" t="str">
        <f>IF($N304="","",INDEX('_calc'!$J$2:$J$3001,$N304))</f>
        <v/>
      </c>
      <c r="M304" s="2" t="str">
        <f>IF($N304="","",IF(AND(G304=0,H304=0),"수량 없음",IF(G304=0,"신규 (전년 수량 없음)",IF(H304=0,"당해 수량 없음",""))))</f>
        <v/>
      </c>
      <c r="N304" t="str">
        <f>IF($B304="","",MATCH($B304,'_calc'!$L$2:$L$3001,0))</f>
        <v/>
      </c>
    </row>
    <row r="305">
      <c r="B305" s="24" t="str">
        <f>IF(ROW()-ROW($B$8)&gt;nComp,"",ROW()-ROW($B$8))</f>
        <v/>
      </c>
      <c r="C305" t="str">
        <f>IF($N305="","",INDEX('_calc'!$A$2:$A$3001,$N305))</f>
        <v/>
      </c>
      <c r="D305" s="25" t="str">
        <f>IF($N305="","",INDEX('_calc'!$C$2:$C$3001,$N305))</f>
        <v/>
      </c>
      <c r="E305" s="25" t="str">
        <f>IF($N305="","",INDEX('_calc'!$D$2:$D$3001,$N305))</f>
        <v/>
      </c>
      <c r="F305" s="26" t="str">
        <f>IF($N305="","",IF($E$8=0,"",E305/$E$8))</f>
        <v/>
      </c>
      <c r="G305" s="25" t="str">
        <f>IF($N305="","",INDEX('_calc'!$E$2:$E$3001,$N305))</f>
        <v/>
      </c>
      <c r="H305" s="25" t="str">
        <f>IF($N305="","",INDEX('_calc'!$F$2:$F$3001,$N305))</f>
        <v/>
      </c>
      <c r="I305" s="27" t="str">
        <f>IF($N305="","",INDEX('_calc'!$H$2:$H$3001,$N305))</f>
        <v/>
      </c>
      <c r="J305" s="27" t="str">
        <f>IF($N305="","",INDEX('_calc'!$I$2:$I$3001,$N305))</f>
        <v/>
      </c>
      <c r="K305" s="28" t="str">
        <f>IF($N305="","",IF(OR(I305="",J305=""),"",J305-I305))</f>
        <v/>
      </c>
      <c r="L305" s="29" t="str">
        <f>IF($N305="","",INDEX('_calc'!$J$2:$J$3001,$N305))</f>
        <v/>
      </c>
      <c r="M305" s="2" t="str">
        <f>IF($N305="","",IF(AND(G305=0,H305=0),"수량 없음",IF(G305=0,"신규 (전년 수량 없음)",IF(H305=0,"당해 수량 없음",""))))</f>
        <v/>
      </c>
      <c r="N305" t="str">
        <f>IF($B305="","",MATCH($B305,'_calc'!$L$2:$L$3001,0))</f>
        <v/>
      </c>
    </row>
    <row r="306">
      <c r="B306" s="24" t="str">
        <f>IF(ROW()-ROW($B$8)&gt;nComp,"",ROW()-ROW($B$8))</f>
        <v/>
      </c>
      <c r="C306" t="str">
        <f>IF($N306="","",INDEX('_calc'!$A$2:$A$3001,$N306))</f>
        <v/>
      </c>
      <c r="D306" s="25" t="str">
        <f>IF($N306="","",INDEX('_calc'!$C$2:$C$3001,$N306))</f>
        <v/>
      </c>
      <c r="E306" s="25" t="str">
        <f>IF($N306="","",INDEX('_calc'!$D$2:$D$3001,$N306))</f>
        <v/>
      </c>
      <c r="F306" s="26" t="str">
        <f>IF($N306="","",IF($E$8=0,"",E306/$E$8))</f>
        <v/>
      </c>
      <c r="G306" s="25" t="str">
        <f>IF($N306="","",INDEX('_calc'!$E$2:$E$3001,$N306))</f>
        <v/>
      </c>
      <c r="H306" s="25" t="str">
        <f>IF($N306="","",INDEX('_calc'!$F$2:$F$3001,$N306))</f>
        <v/>
      </c>
      <c r="I306" s="27" t="str">
        <f>IF($N306="","",INDEX('_calc'!$H$2:$H$3001,$N306))</f>
        <v/>
      </c>
      <c r="J306" s="27" t="str">
        <f>IF($N306="","",INDEX('_calc'!$I$2:$I$3001,$N306))</f>
        <v/>
      </c>
      <c r="K306" s="28" t="str">
        <f>IF($N306="","",IF(OR(I306="",J306=""),"",J306-I306))</f>
        <v/>
      </c>
      <c r="L306" s="29" t="str">
        <f>IF($N306="","",INDEX('_calc'!$J$2:$J$3001,$N306))</f>
        <v/>
      </c>
      <c r="M306" s="2" t="str">
        <f>IF($N306="","",IF(AND(G306=0,H306=0),"수량 없음",IF(G306=0,"신규 (전년 수량 없음)",IF(H306=0,"당해 수량 없음",""))))</f>
        <v/>
      </c>
      <c r="N306" t="str">
        <f>IF($B306="","",MATCH($B306,'_calc'!$L$2:$L$3001,0))</f>
        <v/>
      </c>
    </row>
    <row r="307">
      <c r="B307" s="24" t="str">
        <f>IF(ROW()-ROW($B$8)&gt;nComp,"",ROW()-ROW($B$8))</f>
        <v/>
      </c>
      <c r="C307" t="str">
        <f>IF($N307="","",INDEX('_calc'!$A$2:$A$3001,$N307))</f>
        <v/>
      </c>
      <c r="D307" s="25" t="str">
        <f>IF($N307="","",INDEX('_calc'!$C$2:$C$3001,$N307))</f>
        <v/>
      </c>
      <c r="E307" s="25" t="str">
        <f>IF($N307="","",INDEX('_calc'!$D$2:$D$3001,$N307))</f>
        <v/>
      </c>
      <c r="F307" s="26" t="str">
        <f>IF($N307="","",IF($E$8=0,"",E307/$E$8))</f>
        <v/>
      </c>
      <c r="G307" s="25" t="str">
        <f>IF($N307="","",INDEX('_calc'!$E$2:$E$3001,$N307))</f>
        <v/>
      </c>
      <c r="H307" s="25" t="str">
        <f>IF($N307="","",INDEX('_calc'!$F$2:$F$3001,$N307))</f>
        <v/>
      </c>
      <c r="I307" s="27" t="str">
        <f>IF($N307="","",INDEX('_calc'!$H$2:$H$3001,$N307))</f>
        <v/>
      </c>
      <c r="J307" s="27" t="str">
        <f>IF($N307="","",INDEX('_calc'!$I$2:$I$3001,$N307))</f>
        <v/>
      </c>
      <c r="K307" s="28" t="str">
        <f>IF($N307="","",IF(OR(I307="",J307=""),"",J307-I307))</f>
        <v/>
      </c>
      <c r="L307" s="29" t="str">
        <f>IF($N307="","",INDEX('_calc'!$J$2:$J$3001,$N307))</f>
        <v/>
      </c>
      <c r="M307" s="2" t="str">
        <f>IF($N307="","",IF(AND(G307=0,H307=0),"수량 없음",IF(G307=0,"신규 (전년 수량 없음)",IF(H307=0,"당해 수량 없음",""))))</f>
        <v/>
      </c>
      <c r="N307" t="str">
        <f>IF($B307="","",MATCH($B307,'_calc'!$L$2:$L$3001,0))</f>
        <v/>
      </c>
    </row>
    <row r="308">
      <c r="B308" s="24" t="str">
        <f>IF(ROW()-ROW($B$8)&gt;nComp,"",ROW()-ROW($B$8))</f>
        <v/>
      </c>
      <c r="C308" t="str">
        <f>IF($N308="","",INDEX('_calc'!$A$2:$A$3001,$N308))</f>
        <v/>
      </c>
      <c r="D308" s="25" t="str">
        <f>IF($N308="","",INDEX('_calc'!$C$2:$C$3001,$N308))</f>
        <v/>
      </c>
      <c r="E308" s="25" t="str">
        <f>IF($N308="","",INDEX('_calc'!$D$2:$D$3001,$N308))</f>
        <v/>
      </c>
      <c r="F308" s="26" t="str">
        <f>IF($N308="","",IF($E$8=0,"",E308/$E$8))</f>
        <v/>
      </c>
      <c r="G308" s="25" t="str">
        <f>IF($N308="","",INDEX('_calc'!$E$2:$E$3001,$N308))</f>
        <v/>
      </c>
      <c r="H308" s="25" t="str">
        <f>IF($N308="","",INDEX('_calc'!$F$2:$F$3001,$N308))</f>
        <v/>
      </c>
      <c r="I308" s="27" t="str">
        <f>IF($N308="","",INDEX('_calc'!$H$2:$H$3001,$N308))</f>
        <v/>
      </c>
      <c r="J308" s="27" t="str">
        <f>IF($N308="","",INDEX('_calc'!$I$2:$I$3001,$N308))</f>
        <v/>
      </c>
      <c r="K308" s="28" t="str">
        <f>IF($N308="","",IF(OR(I308="",J308=""),"",J308-I308))</f>
        <v/>
      </c>
      <c r="L308" s="29" t="str">
        <f>IF($N308="","",INDEX('_calc'!$J$2:$J$3001,$N308))</f>
        <v/>
      </c>
      <c r="M308" s="2" t="str">
        <f>IF($N308="","",IF(AND(G308=0,H308=0),"수량 없음",IF(G308=0,"신규 (전년 수량 없음)",IF(H308=0,"당해 수량 없음",""))))</f>
        <v/>
      </c>
      <c r="N308" t="str">
        <f>IF($B308="","",MATCH($B308,'_calc'!$L$2:$L$3001,0))</f>
        <v/>
      </c>
    </row>
    <row r="309">
      <c r="B309" s="24" t="str">
        <f>IF(ROW()-ROW($B$8)&gt;nComp,"",ROW()-ROW($B$8))</f>
        <v/>
      </c>
      <c r="C309" t="str">
        <f>IF($N309="","",INDEX('_calc'!$A$2:$A$3001,$N309))</f>
        <v/>
      </c>
      <c r="D309" s="25" t="str">
        <f>IF($N309="","",INDEX('_calc'!$C$2:$C$3001,$N309))</f>
        <v/>
      </c>
      <c r="E309" s="25" t="str">
        <f>IF($N309="","",INDEX('_calc'!$D$2:$D$3001,$N309))</f>
        <v/>
      </c>
      <c r="F309" s="26" t="str">
        <f>IF($N309="","",IF($E$8=0,"",E309/$E$8))</f>
        <v/>
      </c>
      <c r="G309" s="25" t="str">
        <f>IF($N309="","",INDEX('_calc'!$E$2:$E$3001,$N309))</f>
        <v/>
      </c>
      <c r="H309" s="25" t="str">
        <f>IF($N309="","",INDEX('_calc'!$F$2:$F$3001,$N309))</f>
        <v/>
      </c>
      <c r="I309" s="27" t="str">
        <f>IF($N309="","",INDEX('_calc'!$H$2:$H$3001,$N309))</f>
        <v/>
      </c>
      <c r="J309" s="27" t="str">
        <f>IF($N309="","",INDEX('_calc'!$I$2:$I$3001,$N309))</f>
        <v/>
      </c>
      <c r="K309" s="28" t="str">
        <f>IF($N309="","",IF(OR(I309="",J309=""),"",J309-I309))</f>
        <v/>
      </c>
      <c r="L309" s="29" t="str">
        <f>IF($N309="","",INDEX('_calc'!$J$2:$J$3001,$N309))</f>
        <v/>
      </c>
      <c r="M309" s="2" t="str">
        <f>IF($N309="","",IF(AND(G309=0,H309=0),"수량 없음",IF(G309=0,"신규 (전년 수량 없음)",IF(H309=0,"당해 수량 없음",""))))</f>
        <v/>
      </c>
      <c r="N309" t="str">
        <f>IF($B309="","",MATCH($B309,'_calc'!$L$2:$L$3001,0))</f>
        <v/>
      </c>
    </row>
    <row r="310">
      <c r="B310" s="24" t="str">
        <f>IF(ROW()-ROW($B$8)&gt;nComp,"",ROW()-ROW($B$8))</f>
        <v/>
      </c>
      <c r="C310" t="str">
        <f>IF($N310="","",INDEX('_calc'!$A$2:$A$3001,$N310))</f>
        <v/>
      </c>
      <c r="D310" s="25" t="str">
        <f>IF($N310="","",INDEX('_calc'!$C$2:$C$3001,$N310))</f>
        <v/>
      </c>
      <c r="E310" s="25" t="str">
        <f>IF($N310="","",INDEX('_calc'!$D$2:$D$3001,$N310))</f>
        <v/>
      </c>
      <c r="F310" s="26" t="str">
        <f>IF($N310="","",IF($E$8=0,"",E310/$E$8))</f>
        <v/>
      </c>
      <c r="G310" s="25" t="str">
        <f>IF($N310="","",INDEX('_calc'!$E$2:$E$3001,$N310))</f>
        <v/>
      </c>
      <c r="H310" s="25" t="str">
        <f>IF($N310="","",INDEX('_calc'!$F$2:$F$3001,$N310))</f>
        <v/>
      </c>
      <c r="I310" s="27" t="str">
        <f>IF($N310="","",INDEX('_calc'!$H$2:$H$3001,$N310))</f>
        <v/>
      </c>
      <c r="J310" s="27" t="str">
        <f>IF($N310="","",INDEX('_calc'!$I$2:$I$3001,$N310))</f>
        <v/>
      </c>
      <c r="K310" s="28" t="str">
        <f>IF($N310="","",IF(OR(I310="",J310=""),"",J310-I310))</f>
        <v/>
      </c>
      <c r="L310" s="29" t="str">
        <f>IF($N310="","",INDEX('_calc'!$J$2:$J$3001,$N310))</f>
        <v/>
      </c>
      <c r="M310" s="2" t="str">
        <f>IF($N310="","",IF(AND(G310=0,H310=0),"수량 없음",IF(G310=0,"신규 (전년 수량 없음)",IF(H310=0,"당해 수량 없음",""))))</f>
        <v/>
      </c>
      <c r="N310" t="str">
        <f>IF($B310="","",MATCH($B310,'_calc'!$L$2:$L$3001,0))</f>
        <v/>
      </c>
    </row>
    <row r="311">
      <c r="B311" s="24" t="str">
        <f>IF(ROW()-ROW($B$8)&gt;nComp,"",ROW()-ROW($B$8))</f>
        <v/>
      </c>
      <c r="C311" t="str">
        <f>IF($N311="","",INDEX('_calc'!$A$2:$A$3001,$N311))</f>
        <v/>
      </c>
      <c r="D311" s="25" t="str">
        <f>IF($N311="","",INDEX('_calc'!$C$2:$C$3001,$N311))</f>
        <v/>
      </c>
      <c r="E311" s="25" t="str">
        <f>IF($N311="","",INDEX('_calc'!$D$2:$D$3001,$N311))</f>
        <v/>
      </c>
      <c r="F311" s="26" t="str">
        <f>IF($N311="","",IF($E$8=0,"",E311/$E$8))</f>
        <v/>
      </c>
      <c r="G311" s="25" t="str">
        <f>IF($N311="","",INDEX('_calc'!$E$2:$E$3001,$N311))</f>
        <v/>
      </c>
      <c r="H311" s="25" t="str">
        <f>IF($N311="","",INDEX('_calc'!$F$2:$F$3001,$N311))</f>
        <v/>
      </c>
      <c r="I311" s="27" t="str">
        <f>IF($N311="","",INDEX('_calc'!$H$2:$H$3001,$N311))</f>
        <v/>
      </c>
      <c r="J311" s="27" t="str">
        <f>IF($N311="","",INDEX('_calc'!$I$2:$I$3001,$N311))</f>
        <v/>
      </c>
      <c r="K311" s="28" t="str">
        <f>IF($N311="","",IF(OR(I311="",J311=""),"",J311-I311))</f>
        <v/>
      </c>
      <c r="L311" s="29" t="str">
        <f>IF($N311="","",INDEX('_calc'!$J$2:$J$3001,$N311))</f>
        <v/>
      </c>
      <c r="M311" s="2" t="str">
        <f>IF($N311="","",IF(AND(G311=0,H311=0),"수량 없음",IF(G311=0,"신규 (전년 수량 없음)",IF(H311=0,"당해 수량 없음",""))))</f>
        <v/>
      </c>
      <c r="N311" t="str">
        <f>IF($B311="","",MATCH($B311,'_calc'!$L$2:$L$3001,0))</f>
        <v/>
      </c>
    </row>
    <row r="312">
      <c r="B312" s="24" t="str">
        <f>IF(ROW()-ROW($B$8)&gt;nComp,"",ROW()-ROW($B$8))</f>
        <v/>
      </c>
      <c r="C312" t="str">
        <f>IF($N312="","",INDEX('_calc'!$A$2:$A$3001,$N312))</f>
        <v/>
      </c>
      <c r="D312" s="25" t="str">
        <f>IF($N312="","",INDEX('_calc'!$C$2:$C$3001,$N312))</f>
        <v/>
      </c>
      <c r="E312" s="25" t="str">
        <f>IF($N312="","",INDEX('_calc'!$D$2:$D$3001,$N312))</f>
        <v/>
      </c>
      <c r="F312" s="26" t="str">
        <f>IF($N312="","",IF($E$8=0,"",E312/$E$8))</f>
        <v/>
      </c>
      <c r="G312" s="25" t="str">
        <f>IF($N312="","",INDEX('_calc'!$E$2:$E$3001,$N312))</f>
        <v/>
      </c>
      <c r="H312" s="25" t="str">
        <f>IF($N312="","",INDEX('_calc'!$F$2:$F$3001,$N312))</f>
        <v/>
      </c>
      <c r="I312" s="27" t="str">
        <f>IF($N312="","",INDEX('_calc'!$H$2:$H$3001,$N312))</f>
        <v/>
      </c>
      <c r="J312" s="27" t="str">
        <f>IF($N312="","",INDEX('_calc'!$I$2:$I$3001,$N312))</f>
        <v/>
      </c>
      <c r="K312" s="28" t="str">
        <f>IF($N312="","",IF(OR(I312="",J312=""),"",J312-I312))</f>
        <v/>
      </c>
      <c r="L312" s="29" t="str">
        <f>IF($N312="","",INDEX('_calc'!$J$2:$J$3001,$N312))</f>
        <v/>
      </c>
      <c r="M312" s="2" t="str">
        <f>IF($N312="","",IF(AND(G312=0,H312=0),"수량 없음",IF(G312=0,"신규 (전년 수량 없음)",IF(H312=0,"당해 수량 없음",""))))</f>
        <v/>
      </c>
      <c r="N312" t="str">
        <f>IF($B312="","",MATCH($B312,'_calc'!$L$2:$L$3001,0))</f>
        <v/>
      </c>
    </row>
    <row r="313">
      <c r="B313" s="24" t="str">
        <f>IF(ROW()-ROW($B$8)&gt;nComp,"",ROW()-ROW($B$8))</f>
        <v/>
      </c>
      <c r="C313" t="str">
        <f>IF($N313="","",INDEX('_calc'!$A$2:$A$3001,$N313))</f>
        <v/>
      </c>
      <c r="D313" s="25" t="str">
        <f>IF($N313="","",INDEX('_calc'!$C$2:$C$3001,$N313))</f>
        <v/>
      </c>
      <c r="E313" s="25" t="str">
        <f>IF($N313="","",INDEX('_calc'!$D$2:$D$3001,$N313))</f>
        <v/>
      </c>
      <c r="F313" s="26" t="str">
        <f>IF($N313="","",IF($E$8=0,"",E313/$E$8))</f>
        <v/>
      </c>
      <c r="G313" s="25" t="str">
        <f>IF($N313="","",INDEX('_calc'!$E$2:$E$3001,$N313))</f>
        <v/>
      </c>
      <c r="H313" s="25" t="str">
        <f>IF($N313="","",INDEX('_calc'!$F$2:$F$3001,$N313))</f>
        <v/>
      </c>
      <c r="I313" s="27" t="str">
        <f>IF($N313="","",INDEX('_calc'!$H$2:$H$3001,$N313))</f>
        <v/>
      </c>
      <c r="J313" s="27" t="str">
        <f>IF($N313="","",INDEX('_calc'!$I$2:$I$3001,$N313))</f>
        <v/>
      </c>
      <c r="K313" s="28" t="str">
        <f>IF($N313="","",IF(OR(I313="",J313=""),"",J313-I313))</f>
        <v/>
      </c>
      <c r="L313" s="29" t="str">
        <f>IF($N313="","",INDEX('_calc'!$J$2:$J$3001,$N313))</f>
        <v/>
      </c>
      <c r="M313" s="2" t="str">
        <f>IF($N313="","",IF(AND(G313=0,H313=0),"수량 없음",IF(G313=0,"신규 (전년 수량 없음)",IF(H313=0,"당해 수량 없음",""))))</f>
        <v/>
      </c>
      <c r="N313" t="str">
        <f>IF($B313="","",MATCH($B313,'_calc'!$L$2:$L$3001,0))</f>
        <v/>
      </c>
    </row>
    <row r="314">
      <c r="B314" s="24" t="str">
        <f>IF(ROW()-ROW($B$8)&gt;nComp,"",ROW()-ROW($B$8))</f>
        <v/>
      </c>
      <c r="C314" t="str">
        <f>IF($N314="","",INDEX('_calc'!$A$2:$A$3001,$N314))</f>
        <v/>
      </c>
      <c r="D314" s="25" t="str">
        <f>IF($N314="","",INDEX('_calc'!$C$2:$C$3001,$N314))</f>
        <v/>
      </c>
      <c r="E314" s="25" t="str">
        <f>IF($N314="","",INDEX('_calc'!$D$2:$D$3001,$N314))</f>
        <v/>
      </c>
      <c r="F314" s="26" t="str">
        <f>IF($N314="","",IF($E$8=0,"",E314/$E$8))</f>
        <v/>
      </c>
      <c r="G314" s="25" t="str">
        <f>IF($N314="","",INDEX('_calc'!$E$2:$E$3001,$N314))</f>
        <v/>
      </c>
      <c r="H314" s="25" t="str">
        <f>IF($N314="","",INDEX('_calc'!$F$2:$F$3001,$N314))</f>
        <v/>
      </c>
      <c r="I314" s="27" t="str">
        <f>IF($N314="","",INDEX('_calc'!$H$2:$H$3001,$N314))</f>
        <v/>
      </c>
      <c r="J314" s="27" t="str">
        <f>IF($N314="","",INDEX('_calc'!$I$2:$I$3001,$N314))</f>
        <v/>
      </c>
      <c r="K314" s="28" t="str">
        <f>IF($N314="","",IF(OR(I314="",J314=""),"",J314-I314))</f>
        <v/>
      </c>
      <c r="L314" s="29" t="str">
        <f>IF($N314="","",INDEX('_calc'!$J$2:$J$3001,$N314))</f>
        <v/>
      </c>
      <c r="M314" s="2" t="str">
        <f>IF($N314="","",IF(AND(G314=0,H314=0),"수량 없음",IF(G314=0,"신규 (전년 수량 없음)",IF(H314=0,"당해 수량 없음",""))))</f>
        <v/>
      </c>
      <c r="N314" t="str">
        <f>IF($B314="","",MATCH($B314,'_calc'!$L$2:$L$3001,0))</f>
        <v/>
      </c>
    </row>
    <row r="315">
      <c r="B315" s="24" t="str">
        <f>IF(ROW()-ROW($B$8)&gt;nComp,"",ROW()-ROW($B$8))</f>
        <v/>
      </c>
      <c r="C315" t="str">
        <f>IF($N315="","",INDEX('_calc'!$A$2:$A$3001,$N315))</f>
        <v/>
      </c>
      <c r="D315" s="25" t="str">
        <f>IF($N315="","",INDEX('_calc'!$C$2:$C$3001,$N315))</f>
        <v/>
      </c>
      <c r="E315" s="25" t="str">
        <f>IF($N315="","",INDEX('_calc'!$D$2:$D$3001,$N315))</f>
        <v/>
      </c>
      <c r="F315" s="26" t="str">
        <f>IF($N315="","",IF($E$8=0,"",E315/$E$8))</f>
        <v/>
      </c>
      <c r="G315" s="25" t="str">
        <f>IF($N315="","",INDEX('_calc'!$E$2:$E$3001,$N315))</f>
        <v/>
      </c>
      <c r="H315" s="25" t="str">
        <f>IF($N315="","",INDEX('_calc'!$F$2:$F$3001,$N315))</f>
        <v/>
      </c>
      <c r="I315" s="27" t="str">
        <f>IF($N315="","",INDEX('_calc'!$H$2:$H$3001,$N315))</f>
        <v/>
      </c>
      <c r="J315" s="27" t="str">
        <f>IF($N315="","",INDEX('_calc'!$I$2:$I$3001,$N315))</f>
        <v/>
      </c>
      <c r="K315" s="28" t="str">
        <f>IF($N315="","",IF(OR(I315="",J315=""),"",J315-I315))</f>
        <v/>
      </c>
      <c r="L315" s="29" t="str">
        <f>IF($N315="","",INDEX('_calc'!$J$2:$J$3001,$N315))</f>
        <v/>
      </c>
      <c r="M315" s="2" t="str">
        <f>IF($N315="","",IF(AND(G315=0,H315=0),"수량 없음",IF(G315=0,"신규 (전년 수량 없음)",IF(H315=0,"당해 수량 없음",""))))</f>
        <v/>
      </c>
      <c r="N315" t="str">
        <f>IF($B315="","",MATCH($B315,'_calc'!$L$2:$L$3001,0))</f>
        <v/>
      </c>
    </row>
    <row r="316">
      <c r="B316" s="24" t="str">
        <f>IF(ROW()-ROW($B$8)&gt;nComp,"",ROW()-ROW($B$8))</f>
        <v/>
      </c>
      <c r="C316" t="str">
        <f>IF($N316="","",INDEX('_calc'!$A$2:$A$3001,$N316))</f>
        <v/>
      </c>
      <c r="D316" s="25" t="str">
        <f>IF($N316="","",INDEX('_calc'!$C$2:$C$3001,$N316))</f>
        <v/>
      </c>
      <c r="E316" s="25" t="str">
        <f>IF($N316="","",INDEX('_calc'!$D$2:$D$3001,$N316))</f>
        <v/>
      </c>
      <c r="F316" s="26" t="str">
        <f>IF($N316="","",IF($E$8=0,"",E316/$E$8))</f>
        <v/>
      </c>
      <c r="G316" s="25" t="str">
        <f>IF($N316="","",INDEX('_calc'!$E$2:$E$3001,$N316))</f>
        <v/>
      </c>
      <c r="H316" s="25" t="str">
        <f>IF($N316="","",INDEX('_calc'!$F$2:$F$3001,$N316))</f>
        <v/>
      </c>
      <c r="I316" s="27" t="str">
        <f>IF($N316="","",INDEX('_calc'!$H$2:$H$3001,$N316))</f>
        <v/>
      </c>
      <c r="J316" s="27" t="str">
        <f>IF($N316="","",INDEX('_calc'!$I$2:$I$3001,$N316))</f>
        <v/>
      </c>
      <c r="K316" s="28" t="str">
        <f>IF($N316="","",IF(OR(I316="",J316=""),"",J316-I316))</f>
        <v/>
      </c>
      <c r="L316" s="29" t="str">
        <f>IF($N316="","",INDEX('_calc'!$J$2:$J$3001,$N316))</f>
        <v/>
      </c>
      <c r="M316" s="2" t="str">
        <f>IF($N316="","",IF(AND(G316=0,H316=0),"수량 없음",IF(G316=0,"신규 (전년 수량 없음)",IF(H316=0,"당해 수량 없음",""))))</f>
        <v/>
      </c>
      <c r="N316" t="str">
        <f>IF($B316="","",MATCH($B316,'_calc'!$L$2:$L$3001,0))</f>
        <v/>
      </c>
    </row>
    <row r="317">
      <c r="B317" s="24" t="str">
        <f>IF(ROW()-ROW($B$8)&gt;nComp,"",ROW()-ROW($B$8))</f>
        <v/>
      </c>
      <c r="C317" t="str">
        <f>IF($N317="","",INDEX('_calc'!$A$2:$A$3001,$N317))</f>
        <v/>
      </c>
      <c r="D317" s="25" t="str">
        <f>IF($N317="","",INDEX('_calc'!$C$2:$C$3001,$N317))</f>
        <v/>
      </c>
      <c r="E317" s="25" t="str">
        <f>IF($N317="","",INDEX('_calc'!$D$2:$D$3001,$N317))</f>
        <v/>
      </c>
      <c r="F317" s="26" t="str">
        <f>IF($N317="","",IF($E$8=0,"",E317/$E$8))</f>
        <v/>
      </c>
      <c r="G317" s="25" t="str">
        <f>IF($N317="","",INDEX('_calc'!$E$2:$E$3001,$N317))</f>
        <v/>
      </c>
      <c r="H317" s="25" t="str">
        <f>IF($N317="","",INDEX('_calc'!$F$2:$F$3001,$N317))</f>
        <v/>
      </c>
      <c r="I317" s="27" t="str">
        <f>IF($N317="","",INDEX('_calc'!$H$2:$H$3001,$N317))</f>
        <v/>
      </c>
      <c r="J317" s="27" t="str">
        <f>IF($N317="","",INDEX('_calc'!$I$2:$I$3001,$N317))</f>
        <v/>
      </c>
      <c r="K317" s="28" t="str">
        <f>IF($N317="","",IF(OR(I317="",J317=""),"",J317-I317))</f>
        <v/>
      </c>
      <c r="L317" s="29" t="str">
        <f>IF($N317="","",INDEX('_calc'!$J$2:$J$3001,$N317))</f>
        <v/>
      </c>
      <c r="M317" s="2" t="str">
        <f>IF($N317="","",IF(AND(G317=0,H317=0),"수량 없음",IF(G317=0,"신규 (전년 수량 없음)",IF(H317=0,"당해 수량 없음",""))))</f>
        <v/>
      </c>
      <c r="N317" t="str">
        <f>IF($B317="","",MATCH($B317,'_calc'!$L$2:$L$3001,0))</f>
        <v/>
      </c>
    </row>
    <row r="318">
      <c r="B318" s="24" t="str">
        <f>IF(ROW()-ROW($B$8)&gt;nComp,"",ROW()-ROW($B$8))</f>
        <v/>
      </c>
      <c r="C318" t="str">
        <f>IF($N318="","",INDEX('_calc'!$A$2:$A$3001,$N318))</f>
        <v/>
      </c>
      <c r="D318" s="25" t="str">
        <f>IF($N318="","",INDEX('_calc'!$C$2:$C$3001,$N318))</f>
        <v/>
      </c>
      <c r="E318" s="25" t="str">
        <f>IF($N318="","",INDEX('_calc'!$D$2:$D$3001,$N318))</f>
        <v/>
      </c>
      <c r="F318" s="26" t="str">
        <f>IF($N318="","",IF($E$8=0,"",E318/$E$8))</f>
        <v/>
      </c>
      <c r="G318" s="25" t="str">
        <f>IF($N318="","",INDEX('_calc'!$E$2:$E$3001,$N318))</f>
        <v/>
      </c>
      <c r="H318" s="25" t="str">
        <f>IF($N318="","",INDEX('_calc'!$F$2:$F$3001,$N318))</f>
        <v/>
      </c>
      <c r="I318" s="27" t="str">
        <f>IF($N318="","",INDEX('_calc'!$H$2:$H$3001,$N318))</f>
        <v/>
      </c>
      <c r="J318" s="27" t="str">
        <f>IF($N318="","",INDEX('_calc'!$I$2:$I$3001,$N318))</f>
        <v/>
      </c>
      <c r="K318" s="28" t="str">
        <f>IF($N318="","",IF(OR(I318="",J318=""),"",J318-I318))</f>
        <v/>
      </c>
      <c r="L318" s="29" t="str">
        <f>IF($N318="","",INDEX('_calc'!$J$2:$J$3001,$N318))</f>
        <v/>
      </c>
      <c r="M318" s="2" t="str">
        <f>IF($N318="","",IF(AND(G318=0,H318=0),"수량 없음",IF(G318=0,"신규 (전년 수량 없음)",IF(H318=0,"당해 수량 없음",""))))</f>
        <v/>
      </c>
      <c r="N318" t="str">
        <f>IF($B318="","",MATCH($B318,'_calc'!$L$2:$L$3001,0))</f>
        <v/>
      </c>
    </row>
    <row r="319">
      <c r="B319" s="24" t="str">
        <f>IF(ROW()-ROW($B$8)&gt;nComp,"",ROW()-ROW($B$8))</f>
        <v/>
      </c>
      <c r="C319" t="str">
        <f>IF($N319="","",INDEX('_calc'!$A$2:$A$3001,$N319))</f>
        <v/>
      </c>
      <c r="D319" s="25" t="str">
        <f>IF($N319="","",INDEX('_calc'!$C$2:$C$3001,$N319))</f>
        <v/>
      </c>
      <c r="E319" s="25" t="str">
        <f>IF($N319="","",INDEX('_calc'!$D$2:$D$3001,$N319))</f>
        <v/>
      </c>
      <c r="F319" s="26" t="str">
        <f>IF($N319="","",IF($E$8=0,"",E319/$E$8))</f>
        <v/>
      </c>
      <c r="G319" s="25" t="str">
        <f>IF($N319="","",INDEX('_calc'!$E$2:$E$3001,$N319))</f>
        <v/>
      </c>
      <c r="H319" s="25" t="str">
        <f>IF($N319="","",INDEX('_calc'!$F$2:$F$3001,$N319))</f>
        <v/>
      </c>
      <c r="I319" s="27" t="str">
        <f>IF($N319="","",INDEX('_calc'!$H$2:$H$3001,$N319))</f>
        <v/>
      </c>
      <c r="J319" s="27" t="str">
        <f>IF($N319="","",INDEX('_calc'!$I$2:$I$3001,$N319))</f>
        <v/>
      </c>
      <c r="K319" s="28" t="str">
        <f>IF($N319="","",IF(OR(I319="",J319=""),"",J319-I319))</f>
        <v/>
      </c>
      <c r="L319" s="29" t="str">
        <f>IF($N319="","",INDEX('_calc'!$J$2:$J$3001,$N319))</f>
        <v/>
      </c>
      <c r="M319" s="2" t="str">
        <f>IF($N319="","",IF(AND(G319=0,H319=0),"수량 없음",IF(G319=0,"신규 (전년 수량 없음)",IF(H319=0,"당해 수량 없음",""))))</f>
        <v/>
      </c>
      <c r="N319" t="str">
        <f>IF($B319="","",MATCH($B319,'_calc'!$L$2:$L$3001,0))</f>
        <v/>
      </c>
    </row>
    <row r="320">
      <c r="B320" s="24" t="str">
        <f>IF(ROW()-ROW($B$8)&gt;nComp,"",ROW()-ROW($B$8))</f>
        <v/>
      </c>
      <c r="C320" t="str">
        <f>IF($N320="","",INDEX('_calc'!$A$2:$A$3001,$N320))</f>
        <v/>
      </c>
      <c r="D320" s="25" t="str">
        <f>IF($N320="","",INDEX('_calc'!$C$2:$C$3001,$N320))</f>
        <v/>
      </c>
      <c r="E320" s="25" t="str">
        <f>IF($N320="","",INDEX('_calc'!$D$2:$D$3001,$N320))</f>
        <v/>
      </c>
      <c r="F320" s="26" t="str">
        <f>IF($N320="","",IF($E$8=0,"",E320/$E$8))</f>
        <v/>
      </c>
      <c r="G320" s="25" t="str">
        <f>IF($N320="","",INDEX('_calc'!$E$2:$E$3001,$N320))</f>
        <v/>
      </c>
      <c r="H320" s="25" t="str">
        <f>IF($N320="","",INDEX('_calc'!$F$2:$F$3001,$N320))</f>
        <v/>
      </c>
      <c r="I320" s="27" t="str">
        <f>IF($N320="","",INDEX('_calc'!$H$2:$H$3001,$N320))</f>
        <v/>
      </c>
      <c r="J320" s="27" t="str">
        <f>IF($N320="","",INDEX('_calc'!$I$2:$I$3001,$N320))</f>
        <v/>
      </c>
      <c r="K320" s="28" t="str">
        <f>IF($N320="","",IF(OR(I320="",J320=""),"",J320-I320))</f>
        <v/>
      </c>
      <c r="L320" s="29" t="str">
        <f>IF($N320="","",INDEX('_calc'!$J$2:$J$3001,$N320))</f>
        <v/>
      </c>
      <c r="M320" s="2" t="str">
        <f>IF($N320="","",IF(AND(G320=0,H320=0),"수량 없음",IF(G320=0,"신규 (전년 수량 없음)",IF(H320=0,"당해 수량 없음",""))))</f>
        <v/>
      </c>
      <c r="N320" t="str">
        <f>IF($B320="","",MATCH($B320,'_calc'!$L$2:$L$3001,0))</f>
        <v/>
      </c>
    </row>
    <row r="321">
      <c r="B321" s="24" t="str">
        <f>IF(ROW()-ROW($B$8)&gt;nComp,"",ROW()-ROW($B$8))</f>
        <v/>
      </c>
      <c r="C321" t="str">
        <f>IF($N321="","",INDEX('_calc'!$A$2:$A$3001,$N321))</f>
        <v/>
      </c>
      <c r="D321" s="25" t="str">
        <f>IF($N321="","",INDEX('_calc'!$C$2:$C$3001,$N321))</f>
        <v/>
      </c>
      <c r="E321" s="25" t="str">
        <f>IF($N321="","",INDEX('_calc'!$D$2:$D$3001,$N321))</f>
        <v/>
      </c>
      <c r="F321" s="26" t="str">
        <f>IF($N321="","",IF($E$8=0,"",E321/$E$8))</f>
        <v/>
      </c>
      <c r="G321" s="25" t="str">
        <f>IF($N321="","",INDEX('_calc'!$E$2:$E$3001,$N321))</f>
        <v/>
      </c>
      <c r="H321" s="25" t="str">
        <f>IF($N321="","",INDEX('_calc'!$F$2:$F$3001,$N321))</f>
        <v/>
      </c>
      <c r="I321" s="27" t="str">
        <f>IF($N321="","",INDEX('_calc'!$H$2:$H$3001,$N321))</f>
        <v/>
      </c>
      <c r="J321" s="27" t="str">
        <f>IF($N321="","",INDEX('_calc'!$I$2:$I$3001,$N321))</f>
        <v/>
      </c>
      <c r="K321" s="28" t="str">
        <f>IF($N321="","",IF(OR(I321="",J321=""),"",J321-I321))</f>
        <v/>
      </c>
      <c r="L321" s="29" t="str">
        <f>IF($N321="","",INDEX('_calc'!$J$2:$J$3001,$N321))</f>
        <v/>
      </c>
      <c r="M321" s="2" t="str">
        <f>IF($N321="","",IF(AND(G321=0,H321=0),"수량 없음",IF(G321=0,"신규 (전년 수량 없음)",IF(H321=0,"당해 수량 없음",""))))</f>
        <v/>
      </c>
      <c r="N321" t="str">
        <f>IF($B321="","",MATCH($B321,'_calc'!$L$2:$L$3001,0))</f>
        <v/>
      </c>
    </row>
    <row r="322">
      <c r="B322" s="24" t="str">
        <f>IF(ROW()-ROW($B$8)&gt;nComp,"",ROW()-ROW($B$8))</f>
        <v/>
      </c>
      <c r="C322" t="str">
        <f>IF($N322="","",INDEX('_calc'!$A$2:$A$3001,$N322))</f>
        <v/>
      </c>
      <c r="D322" s="25" t="str">
        <f>IF($N322="","",INDEX('_calc'!$C$2:$C$3001,$N322))</f>
        <v/>
      </c>
      <c r="E322" s="25" t="str">
        <f>IF($N322="","",INDEX('_calc'!$D$2:$D$3001,$N322))</f>
        <v/>
      </c>
      <c r="F322" s="26" t="str">
        <f>IF($N322="","",IF($E$8=0,"",E322/$E$8))</f>
        <v/>
      </c>
      <c r="G322" s="25" t="str">
        <f>IF($N322="","",INDEX('_calc'!$E$2:$E$3001,$N322))</f>
        <v/>
      </c>
      <c r="H322" s="25" t="str">
        <f>IF($N322="","",INDEX('_calc'!$F$2:$F$3001,$N322))</f>
        <v/>
      </c>
      <c r="I322" s="27" t="str">
        <f>IF($N322="","",INDEX('_calc'!$H$2:$H$3001,$N322))</f>
        <v/>
      </c>
      <c r="J322" s="27" t="str">
        <f>IF($N322="","",INDEX('_calc'!$I$2:$I$3001,$N322))</f>
        <v/>
      </c>
      <c r="K322" s="28" t="str">
        <f>IF($N322="","",IF(OR(I322="",J322=""),"",J322-I322))</f>
        <v/>
      </c>
      <c r="L322" s="29" t="str">
        <f>IF($N322="","",INDEX('_calc'!$J$2:$J$3001,$N322))</f>
        <v/>
      </c>
      <c r="M322" s="2" t="str">
        <f>IF($N322="","",IF(AND(G322=0,H322=0),"수량 없음",IF(G322=0,"신규 (전년 수량 없음)",IF(H322=0,"당해 수량 없음",""))))</f>
        <v/>
      </c>
      <c r="N322" t="str">
        <f>IF($B322="","",MATCH($B322,'_calc'!$L$2:$L$3001,0))</f>
        <v/>
      </c>
    </row>
    <row r="323">
      <c r="B323" s="24" t="str">
        <f>IF(ROW()-ROW($B$8)&gt;nComp,"",ROW()-ROW($B$8))</f>
        <v/>
      </c>
      <c r="C323" t="str">
        <f>IF($N323="","",INDEX('_calc'!$A$2:$A$3001,$N323))</f>
        <v/>
      </c>
      <c r="D323" s="25" t="str">
        <f>IF($N323="","",INDEX('_calc'!$C$2:$C$3001,$N323))</f>
        <v/>
      </c>
      <c r="E323" s="25" t="str">
        <f>IF($N323="","",INDEX('_calc'!$D$2:$D$3001,$N323))</f>
        <v/>
      </c>
      <c r="F323" s="26" t="str">
        <f>IF($N323="","",IF($E$8=0,"",E323/$E$8))</f>
        <v/>
      </c>
      <c r="G323" s="25" t="str">
        <f>IF($N323="","",INDEX('_calc'!$E$2:$E$3001,$N323))</f>
        <v/>
      </c>
      <c r="H323" s="25" t="str">
        <f>IF($N323="","",INDEX('_calc'!$F$2:$F$3001,$N323))</f>
        <v/>
      </c>
      <c r="I323" s="27" t="str">
        <f>IF($N323="","",INDEX('_calc'!$H$2:$H$3001,$N323))</f>
        <v/>
      </c>
      <c r="J323" s="27" t="str">
        <f>IF($N323="","",INDEX('_calc'!$I$2:$I$3001,$N323))</f>
        <v/>
      </c>
      <c r="K323" s="28" t="str">
        <f>IF($N323="","",IF(OR(I323="",J323=""),"",J323-I323))</f>
        <v/>
      </c>
      <c r="L323" s="29" t="str">
        <f>IF($N323="","",INDEX('_calc'!$J$2:$J$3001,$N323))</f>
        <v/>
      </c>
      <c r="M323" s="2" t="str">
        <f>IF($N323="","",IF(AND(G323=0,H323=0),"수량 없음",IF(G323=0,"신규 (전년 수량 없음)",IF(H323=0,"당해 수량 없음",""))))</f>
        <v/>
      </c>
      <c r="N323" t="str">
        <f>IF($B323="","",MATCH($B323,'_calc'!$L$2:$L$3001,0))</f>
        <v/>
      </c>
    </row>
    <row r="324">
      <c r="B324" s="24" t="str">
        <f>IF(ROW()-ROW($B$8)&gt;nComp,"",ROW()-ROW($B$8))</f>
        <v/>
      </c>
      <c r="C324" t="str">
        <f>IF($N324="","",INDEX('_calc'!$A$2:$A$3001,$N324))</f>
        <v/>
      </c>
      <c r="D324" s="25" t="str">
        <f>IF($N324="","",INDEX('_calc'!$C$2:$C$3001,$N324))</f>
        <v/>
      </c>
      <c r="E324" s="25" t="str">
        <f>IF($N324="","",INDEX('_calc'!$D$2:$D$3001,$N324))</f>
        <v/>
      </c>
      <c r="F324" s="26" t="str">
        <f>IF($N324="","",IF($E$8=0,"",E324/$E$8))</f>
        <v/>
      </c>
      <c r="G324" s="25" t="str">
        <f>IF($N324="","",INDEX('_calc'!$E$2:$E$3001,$N324))</f>
        <v/>
      </c>
      <c r="H324" s="25" t="str">
        <f>IF($N324="","",INDEX('_calc'!$F$2:$F$3001,$N324))</f>
        <v/>
      </c>
      <c r="I324" s="27" t="str">
        <f>IF($N324="","",INDEX('_calc'!$H$2:$H$3001,$N324))</f>
        <v/>
      </c>
      <c r="J324" s="27" t="str">
        <f>IF($N324="","",INDEX('_calc'!$I$2:$I$3001,$N324))</f>
        <v/>
      </c>
      <c r="K324" s="28" t="str">
        <f>IF($N324="","",IF(OR(I324="",J324=""),"",J324-I324))</f>
        <v/>
      </c>
      <c r="L324" s="29" t="str">
        <f>IF($N324="","",INDEX('_calc'!$J$2:$J$3001,$N324))</f>
        <v/>
      </c>
      <c r="M324" s="2" t="str">
        <f>IF($N324="","",IF(AND(G324=0,H324=0),"수량 없음",IF(G324=0,"신규 (전년 수량 없음)",IF(H324=0,"당해 수량 없음",""))))</f>
        <v/>
      </c>
      <c r="N324" t="str">
        <f>IF($B324="","",MATCH($B324,'_calc'!$L$2:$L$3001,0))</f>
        <v/>
      </c>
    </row>
    <row r="325">
      <c r="B325" s="24" t="str">
        <f>IF(ROW()-ROW($B$8)&gt;nComp,"",ROW()-ROW($B$8))</f>
        <v/>
      </c>
      <c r="C325" t="str">
        <f>IF($N325="","",INDEX('_calc'!$A$2:$A$3001,$N325))</f>
        <v/>
      </c>
      <c r="D325" s="25" t="str">
        <f>IF($N325="","",INDEX('_calc'!$C$2:$C$3001,$N325))</f>
        <v/>
      </c>
      <c r="E325" s="25" t="str">
        <f>IF($N325="","",INDEX('_calc'!$D$2:$D$3001,$N325))</f>
        <v/>
      </c>
      <c r="F325" s="26" t="str">
        <f>IF($N325="","",IF($E$8=0,"",E325/$E$8))</f>
        <v/>
      </c>
      <c r="G325" s="25" t="str">
        <f>IF($N325="","",INDEX('_calc'!$E$2:$E$3001,$N325))</f>
        <v/>
      </c>
      <c r="H325" s="25" t="str">
        <f>IF($N325="","",INDEX('_calc'!$F$2:$F$3001,$N325))</f>
        <v/>
      </c>
      <c r="I325" s="27" t="str">
        <f>IF($N325="","",INDEX('_calc'!$H$2:$H$3001,$N325))</f>
        <v/>
      </c>
      <c r="J325" s="27" t="str">
        <f>IF($N325="","",INDEX('_calc'!$I$2:$I$3001,$N325))</f>
        <v/>
      </c>
      <c r="K325" s="28" t="str">
        <f>IF($N325="","",IF(OR(I325="",J325=""),"",J325-I325))</f>
        <v/>
      </c>
      <c r="L325" s="29" t="str">
        <f>IF($N325="","",INDEX('_calc'!$J$2:$J$3001,$N325))</f>
        <v/>
      </c>
      <c r="M325" s="2" t="str">
        <f>IF($N325="","",IF(AND(G325=0,H325=0),"수량 없음",IF(G325=0,"신규 (전년 수량 없음)",IF(H325=0,"당해 수량 없음",""))))</f>
        <v/>
      </c>
      <c r="N325" t="str">
        <f>IF($B325="","",MATCH($B325,'_calc'!$L$2:$L$3001,0))</f>
        <v/>
      </c>
    </row>
    <row r="326">
      <c r="B326" s="24" t="str">
        <f>IF(ROW()-ROW($B$8)&gt;nComp,"",ROW()-ROW($B$8))</f>
        <v/>
      </c>
      <c r="C326" t="str">
        <f>IF($N326="","",INDEX('_calc'!$A$2:$A$3001,$N326))</f>
        <v/>
      </c>
      <c r="D326" s="25" t="str">
        <f>IF($N326="","",INDEX('_calc'!$C$2:$C$3001,$N326))</f>
        <v/>
      </c>
      <c r="E326" s="25" t="str">
        <f>IF($N326="","",INDEX('_calc'!$D$2:$D$3001,$N326))</f>
        <v/>
      </c>
      <c r="F326" s="26" t="str">
        <f>IF($N326="","",IF($E$8=0,"",E326/$E$8))</f>
        <v/>
      </c>
      <c r="G326" s="25" t="str">
        <f>IF($N326="","",INDEX('_calc'!$E$2:$E$3001,$N326))</f>
        <v/>
      </c>
      <c r="H326" s="25" t="str">
        <f>IF($N326="","",INDEX('_calc'!$F$2:$F$3001,$N326))</f>
        <v/>
      </c>
      <c r="I326" s="27" t="str">
        <f>IF($N326="","",INDEX('_calc'!$H$2:$H$3001,$N326))</f>
        <v/>
      </c>
      <c r="J326" s="27" t="str">
        <f>IF($N326="","",INDEX('_calc'!$I$2:$I$3001,$N326))</f>
        <v/>
      </c>
      <c r="K326" s="28" t="str">
        <f>IF($N326="","",IF(OR(I326="",J326=""),"",J326-I326))</f>
        <v/>
      </c>
      <c r="L326" s="29" t="str">
        <f>IF($N326="","",INDEX('_calc'!$J$2:$J$3001,$N326))</f>
        <v/>
      </c>
      <c r="M326" s="2" t="str">
        <f>IF($N326="","",IF(AND(G326=0,H326=0),"수량 없음",IF(G326=0,"신규 (전년 수량 없음)",IF(H326=0,"당해 수량 없음",""))))</f>
        <v/>
      </c>
      <c r="N326" t="str">
        <f>IF($B326="","",MATCH($B326,'_calc'!$L$2:$L$3001,0))</f>
        <v/>
      </c>
    </row>
    <row r="327">
      <c r="B327" s="24" t="str">
        <f>IF(ROW()-ROW($B$8)&gt;nComp,"",ROW()-ROW($B$8))</f>
        <v/>
      </c>
      <c r="C327" t="str">
        <f>IF($N327="","",INDEX('_calc'!$A$2:$A$3001,$N327))</f>
        <v/>
      </c>
      <c r="D327" s="25" t="str">
        <f>IF($N327="","",INDEX('_calc'!$C$2:$C$3001,$N327))</f>
        <v/>
      </c>
      <c r="E327" s="25" t="str">
        <f>IF($N327="","",INDEX('_calc'!$D$2:$D$3001,$N327))</f>
        <v/>
      </c>
      <c r="F327" s="26" t="str">
        <f>IF($N327="","",IF($E$8=0,"",E327/$E$8))</f>
        <v/>
      </c>
      <c r="G327" s="25" t="str">
        <f>IF($N327="","",INDEX('_calc'!$E$2:$E$3001,$N327))</f>
        <v/>
      </c>
      <c r="H327" s="25" t="str">
        <f>IF($N327="","",INDEX('_calc'!$F$2:$F$3001,$N327))</f>
        <v/>
      </c>
      <c r="I327" s="27" t="str">
        <f>IF($N327="","",INDEX('_calc'!$H$2:$H$3001,$N327))</f>
        <v/>
      </c>
      <c r="J327" s="27" t="str">
        <f>IF($N327="","",INDEX('_calc'!$I$2:$I$3001,$N327))</f>
        <v/>
      </c>
      <c r="K327" s="28" t="str">
        <f>IF($N327="","",IF(OR(I327="",J327=""),"",J327-I327))</f>
        <v/>
      </c>
      <c r="L327" s="29" t="str">
        <f>IF($N327="","",INDEX('_calc'!$J$2:$J$3001,$N327))</f>
        <v/>
      </c>
      <c r="M327" s="2" t="str">
        <f>IF($N327="","",IF(AND(G327=0,H327=0),"수량 없음",IF(G327=0,"신규 (전년 수량 없음)",IF(H327=0,"당해 수량 없음",""))))</f>
        <v/>
      </c>
      <c r="N327" t="str">
        <f>IF($B327="","",MATCH($B327,'_calc'!$L$2:$L$3001,0))</f>
        <v/>
      </c>
    </row>
    <row r="328">
      <c r="B328" s="24" t="str">
        <f>IF(ROW()-ROW($B$8)&gt;nComp,"",ROW()-ROW($B$8))</f>
        <v/>
      </c>
      <c r="C328" t="str">
        <f>IF($N328="","",INDEX('_calc'!$A$2:$A$3001,$N328))</f>
        <v/>
      </c>
      <c r="D328" s="25" t="str">
        <f>IF($N328="","",INDEX('_calc'!$C$2:$C$3001,$N328))</f>
        <v/>
      </c>
      <c r="E328" s="25" t="str">
        <f>IF($N328="","",INDEX('_calc'!$D$2:$D$3001,$N328))</f>
        <v/>
      </c>
      <c r="F328" s="26" t="str">
        <f>IF($N328="","",IF($E$8=0,"",E328/$E$8))</f>
        <v/>
      </c>
      <c r="G328" s="25" t="str">
        <f>IF($N328="","",INDEX('_calc'!$E$2:$E$3001,$N328))</f>
        <v/>
      </c>
      <c r="H328" s="25" t="str">
        <f>IF($N328="","",INDEX('_calc'!$F$2:$F$3001,$N328))</f>
        <v/>
      </c>
      <c r="I328" s="27" t="str">
        <f>IF($N328="","",INDEX('_calc'!$H$2:$H$3001,$N328))</f>
        <v/>
      </c>
      <c r="J328" s="27" t="str">
        <f>IF($N328="","",INDEX('_calc'!$I$2:$I$3001,$N328))</f>
        <v/>
      </c>
      <c r="K328" s="28" t="str">
        <f>IF($N328="","",IF(OR(I328="",J328=""),"",J328-I328))</f>
        <v/>
      </c>
      <c r="L328" s="29" t="str">
        <f>IF($N328="","",INDEX('_calc'!$J$2:$J$3001,$N328))</f>
        <v/>
      </c>
      <c r="M328" s="2" t="str">
        <f>IF($N328="","",IF(AND(G328=0,H328=0),"수량 없음",IF(G328=0,"신규 (전년 수량 없음)",IF(H328=0,"당해 수량 없음",""))))</f>
        <v/>
      </c>
      <c r="N328" t="str">
        <f>IF($B328="","",MATCH($B328,'_calc'!$L$2:$L$3001,0))</f>
        <v/>
      </c>
    </row>
    <row r="329">
      <c r="B329" s="24" t="str">
        <f>IF(ROW()-ROW($B$8)&gt;nComp,"",ROW()-ROW($B$8))</f>
        <v/>
      </c>
      <c r="C329" t="str">
        <f>IF($N329="","",INDEX('_calc'!$A$2:$A$3001,$N329))</f>
        <v/>
      </c>
      <c r="D329" s="25" t="str">
        <f>IF($N329="","",INDEX('_calc'!$C$2:$C$3001,$N329))</f>
        <v/>
      </c>
      <c r="E329" s="25" t="str">
        <f>IF($N329="","",INDEX('_calc'!$D$2:$D$3001,$N329))</f>
        <v/>
      </c>
      <c r="F329" s="26" t="str">
        <f>IF($N329="","",IF($E$8=0,"",E329/$E$8))</f>
        <v/>
      </c>
      <c r="G329" s="25" t="str">
        <f>IF($N329="","",INDEX('_calc'!$E$2:$E$3001,$N329))</f>
        <v/>
      </c>
      <c r="H329" s="25" t="str">
        <f>IF($N329="","",INDEX('_calc'!$F$2:$F$3001,$N329))</f>
        <v/>
      </c>
      <c r="I329" s="27" t="str">
        <f>IF($N329="","",INDEX('_calc'!$H$2:$H$3001,$N329))</f>
        <v/>
      </c>
      <c r="J329" s="27" t="str">
        <f>IF($N329="","",INDEX('_calc'!$I$2:$I$3001,$N329))</f>
        <v/>
      </c>
      <c r="K329" s="28" t="str">
        <f>IF($N329="","",IF(OR(I329="",J329=""),"",J329-I329))</f>
        <v/>
      </c>
      <c r="L329" s="29" t="str">
        <f>IF($N329="","",INDEX('_calc'!$J$2:$J$3001,$N329))</f>
        <v/>
      </c>
      <c r="M329" s="2" t="str">
        <f>IF($N329="","",IF(AND(G329=0,H329=0),"수량 없음",IF(G329=0,"신규 (전년 수량 없음)",IF(H329=0,"당해 수량 없음",""))))</f>
        <v/>
      </c>
      <c r="N329" t="str">
        <f>IF($B329="","",MATCH($B329,'_calc'!$L$2:$L$3001,0))</f>
        <v/>
      </c>
    </row>
    <row r="330">
      <c r="B330" s="24" t="str">
        <f>IF(ROW()-ROW($B$8)&gt;nComp,"",ROW()-ROW($B$8))</f>
        <v/>
      </c>
      <c r="C330" t="str">
        <f>IF($N330="","",INDEX('_calc'!$A$2:$A$3001,$N330))</f>
        <v/>
      </c>
      <c r="D330" s="25" t="str">
        <f>IF($N330="","",INDEX('_calc'!$C$2:$C$3001,$N330))</f>
        <v/>
      </c>
      <c r="E330" s="25" t="str">
        <f>IF($N330="","",INDEX('_calc'!$D$2:$D$3001,$N330))</f>
        <v/>
      </c>
      <c r="F330" s="26" t="str">
        <f>IF($N330="","",IF($E$8=0,"",E330/$E$8))</f>
        <v/>
      </c>
      <c r="G330" s="25" t="str">
        <f>IF($N330="","",INDEX('_calc'!$E$2:$E$3001,$N330))</f>
        <v/>
      </c>
      <c r="H330" s="25" t="str">
        <f>IF($N330="","",INDEX('_calc'!$F$2:$F$3001,$N330))</f>
        <v/>
      </c>
      <c r="I330" s="27" t="str">
        <f>IF($N330="","",INDEX('_calc'!$H$2:$H$3001,$N330))</f>
        <v/>
      </c>
      <c r="J330" s="27" t="str">
        <f>IF($N330="","",INDEX('_calc'!$I$2:$I$3001,$N330))</f>
        <v/>
      </c>
      <c r="K330" s="28" t="str">
        <f>IF($N330="","",IF(OR(I330="",J330=""),"",J330-I330))</f>
        <v/>
      </c>
      <c r="L330" s="29" t="str">
        <f>IF($N330="","",INDEX('_calc'!$J$2:$J$3001,$N330))</f>
        <v/>
      </c>
      <c r="M330" s="2" t="str">
        <f>IF($N330="","",IF(AND(G330=0,H330=0),"수량 없음",IF(G330=0,"신규 (전년 수량 없음)",IF(H330=0,"당해 수량 없음",""))))</f>
        <v/>
      </c>
      <c r="N330" t="str">
        <f>IF($B330="","",MATCH($B330,'_calc'!$L$2:$L$3001,0))</f>
        <v/>
      </c>
    </row>
    <row r="331">
      <c r="B331" s="24" t="str">
        <f>IF(ROW()-ROW($B$8)&gt;nComp,"",ROW()-ROW($B$8))</f>
        <v/>
      </c>
      <c r="C331" t="str">
        <f>IF($N331="","",INDEX('_calc'!$A$2:$A$3001,$N331))</f>
        <v/>
      </c>
      <c r="D331" s="25" t="str">
        <f>IF($N331="","",INDEX('_calc'!$C$2:$C$3001,$N331))</f>
        <v/>
      </c>
      <c r="E331" s="25" t="str">
        <f>IF($N331="","",INDEX('_calc'!$D$2:$D$3001,$N331))</f>
        <v/>
      </c>
      <c r="F331" s="26" t="str">
        <f>IF($N331="","",IF($E$8=0,"",E331/$E$8))</f>
        <v/>
      </c>
      <c r="G331" s="25" t="str">
        <f>IF($N331="","",INDEX('_calc'!$E$2:$E$3001,$N331))</f>
        <v/>
      </c>
      <c r="H331" s="25" t="str">
        <f>IF($N331="","",INDEX('_calc'!$F$2:$F$3001,$N331))</f>
        <v/>
      </c>
      <c r="I331" s="27" t="str">
        <f>IF($N331="","",INDEX('_calc'!$H$2:$H$3001,$N331))</f>
        <v/>
      </c>
      <c r="J331" s="27" t="str">
        <f>IF($N331="","",INDEX('_calc'!$I$2:$I$3001,$N331))</f>
        <v/>
      </c>
      <c r="K331" s="28" t="str">
        <f>IF($N331="","",IF(OR(I331="",J331=""),"",J331-I331))</f>
        <v/>
      </c>
      <c r="L331" s="29" t="str">
        <f>IF($N331="","",INDEX('_calc'!$J$2:$J$3001,$N331))</f>
        <v/>
      </c>
      <c r="M331" s="2" t="str">
        <f>IF($N331="","",IF(AND(G331=0,H331=0),"수량 없음",IF(G331=0,"신규 (전년 수량 없음)",IF(H331=0,"당해 수량 없음",""))))</f>
        <v/>
      </c>
      <c r="N331" t="str">
        <f>IF($B331="","",MATCH($B331,'_calc'!$L$2:$L$3001,0))</f>
        <v/>
      </c>
    </row>
    <row r="332">
      <c r="B332" s="24" t="str">
        <f>IF(ROW()-ROW($B$8)&gt;nComp,"",ROW()-ROW($B$8))</f>
        <v/>
      </c>
      <c r="C332" t="str">
        <f>IF($N332="","",INDEX('_calc'!$A$2:$A$3001,$N332))</f>
        <v/>
      </c>
      <c r="D332" s="25" t="str">
        <f>IF($N332="","",INDEX('_calc'!$C$2:$C$3001,$N332))</f>
        <v/>
      </c>
      <c r="E332" s="25" t="str">
        <f>IF($N332="","",INDEX('_calc'!$D$2:$D$3001,$N332))</f>
        <v/>
      </c>
      <c r="F332" s="26" t="str">
        <f>IF($N332="","",IF($E$8=0,"",E332/$E$8))</f>
        <v/>
      </c>
      <c r="G332" s="25" t="str">
        <f>IF($N332="","",INDEX('_calc'!$E$2:$E$3001,$N332))</f>
        <v/>
      </c>
      <c r="H332" s="25" t="str">
        <f>IF($N332="","",INDEX('_calc'!$F$2:$F$3001,$N332))</f>
        <v/>
      </c>
      <c r="I332" s="27" t="str">
        <f>IF($N332="","",INDEX('_calc'!$H$2:$H$3001,$N332))</f>
        <v/>
      </c>
      <c r="J332" s="27" t="str">
        <f>IF($N332="","",INDEX('_calc'!$I$2:$I$3001,$N332))</f>
        <v/>
      </c>
      <c r="K332" s="28" t="str">
        <f>IF($N332="","",IF(OR(I332="",J332=""),"",J332-I332))</f>
        <v/>
      </c>
      <c r="L332" s="29" t="str">
        <f>IF($N332="","",INDEX('_calc'!$J$2:$J$3001,$N332))</f>
        <v/>
      </c>
      <c r="M332" s="2" t="str">
        <f>IF($N332="","",IF(AND(G332=0,H332=0),"수량 없음",IF(G332=0,"신규 (전년 수량 없음)",IF(H332=0,"당해 수량 없음",""))))</f>
        <v/>
      </c>
      <c r="N332" t="str">
        <f>IF($B332="","",MATCH($B332,'_calc'!$L$2:$L$3001,0))</f>
        <v/>
      </c>
    </row>
    <row r="333">
      <c r="B333" s="24" t="str">
        <f>IF(ROW()-ROW($B$8)&gt;nComp,"",ROW()-ROW($B$8))</f>
        <v/>
      </c>
      <c r="C333" t="str">
        <f>IF($N333="","",INDEX('_calc'!$A$2:$A$3001,$N333))</f>
        <v/>
      </c>
      <c r="D333" s="25" t="str">
        <f>IF($N333="","",INDEX('_calc'!$C$2:$C$3001,$N333))</f>
        <v/>
      </c>
      <c r="E333" s="25" t="str">
        <f>IF($N333="","",INDEX('_calc'!$D$2:$D$3001,$N333))</f>
        <v/>
      </c>
      <c r="F333" s="26" t="str">
        <f>IF($N333="","",IF($E$8=0,"",E333/$E$8))</f>
        <v/>
      </c>
      <c r="G333" s="25" t="str">
        <f>IF($N333="","",INDEX('_calc'!$E$2:$E$3001,$N333))</f>
        <v/>
      </c>
      <c r="H333" s="25" t="str">
        <f>IF($N333="","",INDEX('_calc'!$F$2:$F$3001,$N333))</f>
        <v/>
      </c>
      <c r="I333" s="27" t="str">
        <f>IF($N333="","",INDEX('_calc'!$H$2:$H$3001,$N333))</f>
        <v/>
      </c>
      <c r="J333" s="27" t="str">
        <f>IF($N333="","",INDEX('_calc'!$I$2:$I$3001,$N333))</f>
        <v/>
      </c>
      <c r="K333" s="28" t="str">
        <f>IF($N333="","",IF(OR(I333="",J333=""),"",J333-I333))</f>
        <v/>
      </c>
      <c r="L333" s="29" t="str">
        <f>IF($N333="","",INDEX('_calc'!$J$2:$J$3001,$N333))</f>
        <v/>
      </c>
      <c r="M333" s="2" t="str">
        <f>IF($N333="","",IF(AND(G333=0,H333=0),"수량 없음",IF(G333=0,"신규 (전년 수량 없음)",IF(H333=0,"당해 수량 없음",""))))</f>
        <v/>
      </c>
      <c r="N333" t="str">
        <f>IF($B333="","",MATCH($B333,'_calc'!$L$2:$L$3001,0))</f>
        <v/>
      </c>
    </row>
    <row r="334">
      <c r="B334" s="24" t="str">
        <f>IF(ROW()-ROW($B$8)&gt;nComp,"",ROW()-ROW($B$8))</f>
        <v/>
      </c>
      <c r="C334" t="str">
        <f>IF($N334="","",INDEX('_calc'!$A$2:$A$3001,$N334))</f>
        <v/>
      </c>
      <c r="D334" s="25" t="str">
        <f>IF($N334="","",INDEX('_calc'!$C$2:$C$3001,$N334))</f>
        <v/>
      </c>
      <c r="E334" s="25" t="str">
        <f>IF($N334="","",INDEX('_calc'!$D$2:$D$3001,$N334))</f>
        <v/>
      </c>
      <c r="F334" s="26" t="str">
        <f>IF($N334="","",IF($E$8=0,"",E334/$E$8))</f>
        <v/>
      </c>
      <c r="G334" s="25" t="str">
        <f>IF($N334="","",INDEX('_calc'!$E$2:$E$3001,$N334))</f>
        <v/>
      </c>
      <c r="H334" s="25" t="str">
        <f>IF($N334="","",INDEX('_calc'!$F$2:$F$3001,$N334))</f>
        <v/>
      </c>
      <c r="I334" s="27" t="str">
        <f>IF($N334="","",INDEX('_calc'!$H$2:$H$3001,$N334))</f>
        <v/>
      </c>
      <c r="J334" s="27" t="str">
        <f>IF($N334="","",INDEX('_calc'!$I$2:$I$3001,$N334))</f>
        <v/>
      </c>
      <c r="K334" s="28" t="str">
        <f>IF($N334="","",IF(OR(I334="",J334=""),"",J334-I334))</f>
        <v/>
      </c>
      <c r="L334" s="29" t="str">
        <f>IF($N334="","",INDEX('_calc'!$J$2:$J$3001,$N334))</f>
        <v/>
      </c>
      <c r="M334" s="2" t="str">
        <f>IF($N334="","",IF(AND(G334=0,H334=0),"수량 없음",IF(G334=0,"신규 (전년 수량 없음)",IF(H334=0,"당해 수량 없음",""))))</f>
        <v/>
      </c>
      <c r="N334" t="str">
        <f>IF($B334="","",MATCH($B334,'_calc'!$L$2:$L$3001,0))</f>
        <v/>
      </c>
    </row>
    <row r="335">
      <c r="B335" s="24" t="str">
        <f>IF(ROW()-ROW($B$8)&gt;nComp,"",ROW()-ROW($B$8))</f>
        <v/>
      </c>
      <c r="C335" t="str">
        <f>IF($N335="","",INDEX('_calc'!$A$2:$A$3001,$N335))</f>
        <v/>
      </c>
      <c r="D335" s="25" t="str">
        <f>IF($N335="","",INDEX('_calc'!$C$2:$C$3001,$N335))</f>
        <v/>
      </c>
      <c r="E335" s="25" t="str">
        <f>IF($N335="","",INDEX('_calc'!$D$2:$D$3001,$N335))</f>
        <v/>
      </c>
      <c r="F335" s="26" t="str">
        <f>IF($N335="","",IF($E$8=0,"",E335/$E$8))</f>
        <v/>
      </c>
      <c r="G335" s="25" t="str">
        <f>IF($N335="","",INDEX('_calc'!$E$2:$E$3001,$N335))</f>
        <v/>
      </c>
      <c r="H335" s="25" t="str">
        <f>IF($N335="","",INDEX('_calc'!$F$2:$F$3001,$N335))</f>
        <v/>
      </c>
      <c r="I335" s="27" t="str">
        <f>IF($N335="","",INDEX('_calc'!$H$2:$H$3001,$N335))</f>
        <v/>
      </c>
      <c r="J335" s="27" t="str">
        <f>IF($N335="","",INDEX('_calc'!$I$2:$I$3001,$N335))</f>
        <v/>
      </c>
      <c r="K335" s="28" t="str">
        <f>IF($N335="","",IF(OR(I335="",J335=""),"",J335-I335))</f>
        <v/>
      </c>
      <c r="L335" s="29" t="str">
        <f>IF($N335="","",INDEX('_calc'!$J$2:$J$3001,$N335))</f>
        <v/>
      </c>
      <c r="M335" s="2" t="str">
        <f>IF($N335="","",IF(AND(G335=0,H335=0),"수량 없음",IF(G335=0,"신규 (전년 수량 없음)",IF(H335=0,"당해 수량 없음",""))))</f>
        <v/>
      </c>
      <c r="N335" t="str">
        <f>IF($B335="","",MATCH($B335,'_calc'!$L$2:$L$3001,0))</f>
        <v/>
      </c>
    </row>
    <row r="336">
      <c r="B336" s="24" t="str">
        <f>IF(ROW()-ROW($B$8)&gt;nComp,"",ROW()-ROW($B$8))</f>
        <v/>
      </c>
      <c r="C336" t="str">
        <f>IF($N336="","",INDEX('_calc'!$A$2:$A$3001,$N336))</f>
        <v/>
      </c>
      <c r="D336" s="25" t="str">
        <f>IF($N336="","",INDEX('_calc'!$C$2:$C$3001,$N336))</f>
        <v/>
      </c>
      <c r="E336" s="25" t="str">
        <f>IF($N336="","",INDEX('_calc'!$D$2:$D$3001,$N336))</f>
        <v/>
      </c>
      <c r="F336" s="26" t="str">
        <f>IF($N336="","",IF($E$8=0,"",E336/$E$8))</f>
        <v/>
      </c>
      <c r="G336" s="25" t="str">
        <f>IF($N336="","",INDEX('_calc'!$E$2:$E$3001,$N336))</f>
        <v/>
      </c>
      <c r="H336" s="25" t="str">
        <f>IF($N336="","",INDEX('_calc'!$F$2:$F$3001,$N336))</f>
        <v/>
      </c>
      <c r="I336" s="27" t="str">
        <f>IF($N336="","",INDEX('_calc'!$H$2:$H$3001,$N336))</f>
        <v/>
      </c>
      <c r="J336" s="27" t="str">
        <f>IF($N336="","",INDEX('_calc'!$I$2:$I$3001,$N336))</f>
        <v/>
      </c>
      <c r="K336" s="28" t="str">
        <f>IF($N336="","",IF(OR(I336="",J336=""),"",J336-I336))</f>
        <v/>
      </c>
      <c r="L336" s="29" t="str">
        <f>IF($N336="","",INDEX('_calc'!$J$2:$J$3001,$N336))</f>
        <v/>
      </c>
      <c r="M336" s="2" t="str">
        <f>IF($N336="","",IF(AND(G336=0,H336=0),"수량 없음",IF(G336=0,"신규 (전년 수량 없음)",IF(H336=0,"당해 수량 없음",""))))</f>
        <v/>
      </c>
      <c r="N336" t="str">
        <f>IF($B336="","",MATCH($B336,'_calc'!$L$2:$L$3001,0))</f>
        <v/>
      </c>
    </row>
    <row r="337">
      <c r="B337" s="24" t="str">
        <f>IF(ROW()-ROW($B$8)&gt;nComp,"",ROW()-ROW($B$8))</f>
        <v/>
      </c>
      <c r="C337" t="str">
        <f>IF($N337="","",INDEX('_calc'!$A$2:$A$3001,$N337))</f>
        <v/>
      </c>
      <c r="D337" s="25" t="str">
        <f>IF($N337="","",INDEX('_calc'!$C$2:$C$3001,$N337))</f>
        <v/>
      </c>
      <c r="E337" s="25" t="str">
        <f>IF($N337="","",INDEX('_calc'!$D$2:$D$3001,$N337))</f>
        <v/>
      </c>
      <c r="F337" s="26" t="str">
        <f>IF($N337="","",IF($E$8=0,"",E337/$E$8))</f>
        <v/>
      </c>
      <c r="G337" s="25" t="str">
        <f>IF($N337="","",INDEX('_calc'!$E$2:$E$3001,$N337))</f>
        <v/>
      </c>
      <c r="H337" s="25" t="str">
        <f>IF($N337="","",INDEX('_calc'!$F$2:$F$3001,$N337))</f>
        <v/>
      </c>
      <c r="I337" s="27" t="str">
        <f>IF($N337="","",INDEX('_calc'!$H$2:$H$3001,$N337))</f>
        <v/>
      </c>
      <c r="J337" s="27" t="str">
        <f>IF($N337="","",INDEX('_calc'!$I$2:$I$3001,$N337))</f>
        <v/>
      </c>
      <c r="K337" s="28" t="str">
        <f>IF($N337="","",IF(OR(I337="",J337=""),"",J337-I337))</f>
        <v/>
      </c>
      <c r="L337" s="29" t="str">
        <f>IF($N337="","",INDEX('_calc'!$J$2:$J$3001,$N337))</f>
        <v/>
      </c>
      <c r="M337" s="2" t="str">
        <f>IF($N337="","",IF(AND(G337=0,H337=0),"수량 없음",IF(G337=0,"신규 (전년 수량 없음)",IF(H337=0,"당해 수량 없음",""))))</f>
        <v/>
      </c>
      <c r="N337" t="str">
        <f>IF($B337="","",MATCH($B337,'_calc'!$L$2:$L$3001,0))</f>
        <v/>
      </c>
    </row>
    <row r="338">
      <c r="B338" s="24" t="str">
        <f>IF(ROW()-ROW($B$8)&gt;nComp,"",ROW()-ROW($B$8))</f>
        <v/>
      </c>
      <c r="C338" t="str">
        <f>IF($N338="","",INDEX('_calc'!$A$2:$A$3001,$N338))</f>
        <v/>
      </c>
      <c r="D338" s="25" t="str">
        <f>IF($N338="","",INDEX('_calc'!$C$2:$C$3001,$N338))</f>
        <v/>
      </c>
      <c r="E338" s="25" t="str">
        <f>IF($N338="","",INDEX('_calc'!$D$2:$D$3001,$N338))</f>
        <v/>
      </c>
      <c r="F338" s="26" t="str">
        <f>IF($N338="","",IF($E$8=0,"",E338/$E$8))</f>
        <v/>
      </c>
      <c r="G338" s="25" t="str">
        <f>IF($N338="","",INDEX('_calc'!$E$2:$E$3001,$N338))</f>
        <v/>
      </c>
      <c r="H338" s="25" t="str">
        <f>IF($N338="","",INDEX('_calc'!$F$2:$F$3001,$N338))</f>
        <v/>
      </c>
      <c r="I338" s="27" t="str">
        <f>IF($N338="","",INDEX('_calc'!$H$2:$H$3001,$N338))</f>
        <v/>
      </c>
      <c r="J338" s="27" t="str">
        <f>IF($N338="","",INDEX('_calc'!$I$2:$I$3001,$N338))</f>
        <v/>
      </c>
      <c r="K338" s="28" t="str">
        <f>IF($N338="","",IF(OR(I338="",J338=""),"",J338-I338))</f>
        <v/>
      </c>
      <c r="L338" s="29" t="str">
        <f>IF($N338="","",INDEX('_calc'!$J$2:$J$3001,$N338))</f>
        <v/>
      </c>
      <c r="M338" s="2" t="str">
        <f>IF($N338="","",IF(AND(G338=0,H338=0),"수량 없음",IF(G338=0,"신규 (전년 수량 없음)",IF(H338=0,"당해 수량 없음",""))))</f>
        <v/>
      </c>
      <c r="N338" t="str">
        <f>IF($B338="","",MATCH($B338,'_calc'!$L$2:$L$3001,0))</f>
        <v/>
      </c>
    </row>
    <row r="339">
      <c r="B339" s="24" t="str">
        <f>IF(ROW()-ROW($B$8)&gt;nComp,"",ROW()-ROW($B$8))</f>
        <v/>
      </c>
      <c r="C339" t="str">
        <f>IF($N339="","",INDEX('_calc'!$A$2:$A$3001,$N339))</f>
        <v/>
      </c>
      <c r="D339" s="25" t="str">
        <f>IF($N339="","",INDEX('_calc'!$C$2:$C$3001,$N339))</f>
        <v/>
      </c>
      <c r="E339" s="25" t="str">
        <f>IF($N339="","",INDEX('_calc'!$D$2:$D$3001,$N339))</f>
        <v/>
      </c>
      <c r="F339" s="26" t="str">
        <f>IF($N339="","",IF($E$8=0,"",E339/$E$8))</f>
        <v/>
      </c>
      <c r="G339" s="25" t="str">
        <f>IF($N339="","",INDEX('_calc'!$E$2:$E$3001,$N339))</f>
        <v/>
      </c>
      <c r="H339" s="25" t="str">
        <f>IF($N339="","",INDEX('_calc'!$F$2:$F$3001,$N339))</f>
        <v/>
      </c>
      <c r="I339" s="27" t="str">
        <f>IF($N339="","",INDEX('_calc'!$H$2:$H$3001,$N339))</f>
        <v/>
      </c>
      <c r="J339" s="27" t="str">
        <f>IF($N339="","",INDEX('_calc'!$I$2:$I$3001,$N339))</f>
        <v/>
      </c>
      <c r="K339" s="28" t="str">
        <f>IF($N339="","",IF(OR(I339="",J339=""),"",J339-I339))</f>
        <v/>
      </c>
      <c r="L339" s="29" t="str">
        <f>IF($N339="","",INDEX('_calc'!$J$2:$J$3001,$N339))</f>
        <v/>
      </c>
      <c r="M339" s="2" t="str">
        <f>IF($N339="","",IF(AND(G339=0,H339=0),"수량 없음",IF(G339=0,"신규 (전년 수량 없음)",IF(H339=0,"당해 수량 없음",""))))</f>
        <v/>
      </c>
      <c r="N339" t="str">
        <f>IF($B339="","",MATCH($B339,'_calc'!$L$2:$L$3001,0))</f>
        <v/>
      </c>
    </row>
    <row r="340">
      <c r="B340" s="24" t="str">
        <f>IF(ROW()-ROW($B$8)&gt;nComp,"",ROW()-ROW($B$8))</f>
        <v/>
      </c>
      <c r="C340" t="str">
        <f>IF($N340="","",INDEX('_calc'!$A$2:$A$3001,$N340))</f>
        <v/>
      </c>
      <c r="D340" s="25" t="str">
        <f>IF($N340="","",INDEX('_calc'!$C$2:$C$3001,$N340))</f>
        <v/>
      </c>
      <c r="E340" s="25" t="str">
        <f>IF($N340="","",INDEX('_calc'!$D$2:$D$3001,$N340))</f>
        <v/>
      </c>
      <c r="F340" s="26" t="str">
        <f>IF($N340="","",IF($E$8=0,"",E340/$E$8))</f>
        <v/>
      </c>
      <c r="G340" s="25" t="str">
        <f>IF($N340="","",INDEX('_calc'!$E$2:$E$3001,$N340))</f>
        <v/>
      </c>
      <c r="H340" s="25" t="str">
        <f>IF($N340="","",INDEX('_calc'!$F$2:$F$3001,$N340))</f>
        <v/>
      </c>
      <c r="I340" s="27" t="str">
        <f>IF($N340="","",INDEX('_calc'!$H$2:$H$3001,$N340))</f>
        <v/>
      </c>
      <c r="J340" s="27" t="str">
        <f>IF($N340="","",INDEX('_calc'!$I$2:$I$3001,$N340))</f>
        <v/>
      </c>
      <c r="K340" s="28" t="str">
        <f>IF($N340="","",IF(OR(I340="",J340=""),"",J340-I340))</f>
        <v/>
      </c>
      <c r="L340" s="29" t="str">
        <f>IF($N340="","",INDEX('_calc'!$J$2:$J$3001,$N340))</f>
        <v/>
      </c>
      <c r="M340" s="2" t="str">
        <f>IF($N340="","",IF(AND(G340=0,H340=0),"수량 없음",IF(G340=0,"신규 (전년 수량 없음)",IF(H340=0,"당해 수량 없음",""))))</f>
        <v/>
      </c>
      <c r="N340" t="str">
        <f>IF($B340="","",MATCH($B340,'_calc'!$L$2:$L$3001,0))</f>
        <v/>
      </c>
    </row>
    <row r="341">
      <c r="B341" s="24" t="str">
        <f>IF(ROW()-ROW($B$8)&gt;nComp,"",ROW()-ROW($B$8))</f>
        <v/>
      </c>
      <c r="C341" t="str">
        <f>IF($N341="","",INDEX('_calc'!$A$2:$A$3001,$N341))</f>
        <v/>
      </c>
      <c r="D341" s="25" t="str">
        <f>IF($N341="","",INDEX('_calc'!$C$2:$C$3001,$N341))</f>
        <v/>
      </c>
      <c r="E341" s="25" t="str">
        <f>IF($N341="","",INDEX('_calc'!$D$2:$D$3001,$N341))</f>
        <v/>
      </c>
      <c r="F341" s="26" t="str">
        <f>IF($N341="","",IF($E$8=0,"",E341/$E$8))</f>
        <v/>
      </c>
      <c r="G341" s="25" t="str">
        <f>IF($N341="","",INDEX('_calc'!$E$2:$E$3001,$N341))</f>
        <v/>
      </c>
      <c r="H341" s="25" t="str">
        <f>IF($N341="","",INDEX('_calc'!$F$2:$F$3001,$N341))</f>
        <v/>
      </c>
      <c r="I341" s="27" t="str">
        <f>IF($N341="","",INDEX('_calc'!$H$2:$H$3001,$N341))</f>
        <v/>
      </c>
      <c r="J341" s="27" t="str">
        <f>IF($N341="","",INDEX('_calc'!$I$2:$I$3001,$N341))</f>
        <v/>
      </c>
      <c r="K341" s="28" t="str">
        <f>IF($N341="","",IF(OR(I341="",J341=""),"",J341-I341))</f>
        <v/>
      </c>
      <c r="L341" s="29" t="str">
        <f>IF($N341="","",INDEX('_calc'!$J$2:$J$3001,$N341))</f>
        <v/>
      </c>
      <c r="M341" s="2" t="str">
        <f>IF($N341="","",IF(AND(G341=0,H341=0),"수량 없음",IF(G341=0,"신규 (전년 수량 없음)",IF(H341=0,"당해 수량 없음",""))))</f>
        <v/>
      </c>
      <c r="N341" t="str">
        <f>IF($B341="","",MATCH($B341,'_calc'!$L$2:$L$3001,0))</f>
        <v/>
      </c>
    </row>
    <row r="342">
      <c r="B342" s="24" t="str">
        <f>IF(ROW()-ROW($B$8)&gt;nComp,"",ROW()-ROW($B$8))</f>
        <v/>
      </c>
      <c r="C342" t="str">
        <f>IF($N342="","",INDEX('_calc'!$A$2:$A$3001,$N342))</f>
        <v/>
      </c>
      <c r="D342" s="25" t="str">
        <f>IF($N342="","",INDEX('_calc'!$C$2:$C$3001,$N342))</f>
        <v/>
      </c>
      <c r="E342" s="25" t="str">
        <f>IF($N342="","",INDEX('_calc'!$D$2:$D$3001,$N342))</f>
        <v/>
      </c>
      <c r="F342" s="26" t="str">
        <f>IF($N342="","",IF($E$8=0,"",E342/$E$8))</f>
        <v/>
      </c>
      <c r="G342" s="25" t="str">
        <f>IF($N342="","",INDEX('_calc'!$E$2:$E$3001,$N342))</f>
        <v/>
      </c>
      <c r="H342" s="25" t="str">
        <f>IF($N342="","",INDEX('_calc'!$F$2:$F$3001,$N342))</f>
        <v/>
      </c>
      <c r="I342" s="27" t="str">
        <f>IF($N342="","",INDEX('_calc'!$H$2:$H$3001,$N342))</f>
        <v/>
      </c>
      <c r="J342" s="27" t="str">
        <f>IF($N342="","",INDEX('_calc'!$I$2:$I$3001,$N342))</f>
        <v/>
      </c>
      <c r="K342" s="28" t="str">
        <f>IF($N342="","",IF(OR(I342="",J342=""),"",J342-I342))</f>
        <v/>
      </c>
      <c r="L342" s="29" t="str">
        <f>IF($N342="","",INDEX('_calc'!$J$2:$J$3001,$N342))</f>
        <v/>
      </c>
      <c r="M342" s="2" t="str">
        <f>IF($N342="","",IF(AND(G342=0,H342=0),"수량 없음",IF(G342=0,"신규 (전년 수량 없음)",IF(H342=0,"당해 수량 없음",""))))</f>
        <v/>
      </c>
      <c r="N342" t="str">
        <f>IF($B342="","",MATCH($B342,'_calc'!$L$2:$L$3001,0))</f>
        <v/>
      </c>
    </row>
    <row r="343">
      <c r="B343" s="24" t="str">
        <f>IF(ROW()-ROW($B$8)&gt;nComp,"",ROW()-ROW($B$8))</f>
        <v/>
      </c>
      <c r="C343" t="str">
        <f>IF($N343="","",INDEX('_calc'!$A$2:$A$3001,$N343))</f>
        <v/>
      </c>
      <c r="D343" s="25" t="str">
        <f>IF($N343="","",INDEX('_calc'!$C$2:$C$3001,$N343))</f>
        <v/>
      </c>
      <c r="E343" s="25" t="str">
        <f>IF($N343="","",INDEX('_calc'!$D$2:$D$3001,$N343))</f>
        <v/>
      </c>
      <c r="F343" s="26" t="str">
        <f>IF($N343="","",IF($E$8=0,"",E343/$E$8))</f>
        <v/>
      </c>
      <c r="G343" s="25" t="str">
        <f>IF($N343="","",INDEX('_calc'!$E$2:$E$3001,$N343))</f>
        <v/>
      </c>
      <c r="H343" s="25" t="str">
        <f>IF($N343="","",INDEX('_calc'!$F$2:$F$3001,$N343))</f>
        <v/>
      </c>
      <c r="I343" s="27" t="str">
        <f>IF($N343="","",INDEX('_calc'!$H$2:$H$3001,$N343))</f>
        <v/>
      </c>
      <c r="J343" s="27" t="str">
        <f>IF($N343="","",INDEX('_calc'!$I$2:$I$3001,$N343))</f>
        <v/>
      </c>
      <c r="K343" s="28" t="str">
        <f>IF($N343="","",IF(OR(I343="",J343=""),"",J343-I343))</f>
        <v/>
      </c>
      <c r="L343" s="29" t="str">
        <f>IF($N343="","",INDEX('_calc'!$J$2:$J$3001,$N343))</f>
        <v/>
      </c>
      <c r="M343" s="2" t="str">
        <f>IF($N343="","",IF(AND(G343=0,H343=0),"수량 없음",IF(G343=0,"신규 (전년 수량 없음)",IF(H343=0,"당해 수량 없음",""))))</f>
        <v/>
      </c>
      <c r="N343" t="str">
        <f>IF($B343="","",MATCH($B343,'_calc'!$L$2:$L$3001,0))</f>
        <v/>
      </c>
    </row>
    <row r="344">
      <c r="B344" s="24" t="str">
        <f>IF(ROW()-ROW($B$8)&gt;nComp,"",ROW()-ROW($B$8))</f>
        <v/>
      </c>
      <c r="C344" t="str">
        <f>IF($N344="","",INDEX('_calc'!$A$2:$A$3001,$N344))</f>
        <v/>
      </c>
      <c r="D344" s="25" t="str">
        <f>IF($N344="","",INDEX('_calc'!$C$2:$C$3001,$N344))</f>
        <v/>
      </c>
      <c r="E344" s="25" t="str">
        <f>IF($N344="","",INDEX('_calc'!$D$2:$D$3001,$N344))</f>
        <v/>
      </c>
      <c r="F344" s="26" t="str">
        <f>IF($N344="","",IF($E$8=0,"",E344/$E$8))</f>
        <v/>
      </c>
      <c r="G344" s="25" t="str">
        <f>IF($N344="","",INDEX('_calc'!$E$2:$E$3001,$N344))</f>
        <v/>
      </c>
      <c r="H344" s="25" t="str">
        <f>IF($N344="","",INDEX('_calc'!$F$2:$F$3001,$N344))</f>
        <v/>
      </c>
      <c r="I344" s="27" t="str">
        <f>IF($N344="","",INDEX('_calc'!$H$2:$H$3001,$N344))</f>
        <v/>
      </c>
      <c r="J344" s="27" t="str">
        <f>IF($N344="","",INDEX('_calc'!$I$2:$I$3001,$N344))</f>
        <v/>
      </c>
      <c r="K344" s="28" t="str">
        <f>IF($N344="","",IF(OR(I344="",J344=""),"",J344-I344))</f>
        <v/>
      </c>
      <c r="L344" s="29" t="str">
        <f>IF($N344="","",INDEX('_calc'!$J$2:$J$3001,$N344))</f>
        <v/>
      </c>
      <c r="M344" s="2" t="str">
        <f>IF($N344="","",IF(AND(G344=0,H344=0),"수량 없음",IF(G344=0,"신규 (전년 수량 없음)",IF(H344=0,"당해 수량 없음",""))))</f>
        <v/>
      </c>
      <c r="N344" t="str">
        <f>IF($B344="","",MATCH($B344,'_calc'!$L$2:$L$3001,0))</f>
        <v/>
      </c>
    </row>
    <row r="345">
      <c r="B345" s="24" t="str">
        <f>IF(ROW()-ROW($B$8)&gt;nComp,"",ROW()-ROW($B$8))</f>
        <v/>
      </c>
      <c r="C345" t="str">
        <f>IF($N345="","",INDEX('_calc'!$A$2:$A$3001,$N345))</f>
        <v/>
      </c>
      <c r="D345" s="25" t="str">
        <f>IF($N345="","",INDEX('_calc'!$C$2:$C$3001,$N345))</f>
        <v/>
      </c>
      <c r="E345" s="25" t="str">
        <f>IF($N345="","",INDEX('_calc'!$D$2:$D$3001,$N345))</f>
        <v/>
      </c>
      <c r="F345" s="26" t="str">
        <f>IF($N345="","",IF($E$8=0,"",E345/$E$8))</f>
        <v/>
      </c>
      <c r="G345" s="25" t="str">
        <f>IF($N345="","",INDEX('_calc'!$E$2:$E$3001,$N345))</f>
        <v/>
      </c>
      <c r="H345" s="25" t="str">
        <f>IF($N345="","",INDEX('_calc'!$F$2:$F$3001,$N345))</f>
        <v/>
      </c>
      <c r="I345" s="27" t="str">
        <f>IF($N345="","",INDEX('_calc'!$H$2:$H$3001,$N345))</f>
        <v/>
      </c>
      <c r="J345" s="27" t="str">
        <f>IF($N345="","",INDEX('_calc'!$I$2:$I$3001,$N345))</f>
        <v/>
      </c>
      <c r="K345" s="28" t="str">
        <f>IF($N345="","",IF(OR(I345="",J345=""),"",J345-I345))</f>
        <v/>
      </c>
      <c r="L345" s="29" t="str">
        <f>IF($N345="","",INDEX('_calc'!$J$2:$J$3001,$N345))</f>
        <v/>
      </c>
      <c r="M345" s="2" t="str">
        <f>IF($N345="","",IF(AND(G345=0,H345=0),"수량 없음",IF(G345=0,"신규 (전년 수량 없음)",IF(H345=0,"당해 수량 없음",""))))</f>
        <v/>
      </c>
      <c r="N345" t="str">
        <f>IF($B345="","",MATCH($B345,'_calc'!$L$2:$L$3001,0))</f>
        <v/>
      </c>
    </row>
    <row r="346">
      <c r="B346" s="24" t="str">
        <f>IF(ROW()-ROW($B$8)&gt;nComp,"",ROW()-ROW($B$8))</f>
        <v/>
      </c>
      <c r="C346" t="str">
        <f>IF($N346="","",INDEX('_calc'!$A$2:$A$3001,$N346))</f>
        <v/>
      </c>
      <c r="D346" s="25" t="str">
        <f>IF($N346="","",INDEX('_calc'!$C$2:$C$3001,$N346))</f>
        <v/>
      </c>
      <c r="E346" s="25" t="str">
        <f>IF($N346="","",INDEX('_calc'!$D$2:$D$3001,$N346))</f>
        <v/>
      </c>
      <c r="F346" s="26" t="str">
        <f>IF($N346="","",IF($E$8=0,"",E346/$E$8))</f>
        <v/>
      </c>
      <c r="G346" s="25" t="str">
        <f>IF($N346="","",INDEX('_calc'!$E$2:$E$3001,$N346))</f>
        <v/>
      </c>
      <c r="H346" s="25" t="str">
        <f>IF($N346="","",INDEX('_calc'!$F$2:$F$3001,$N346))</f>
        <v/>
      </c>
      <c r="I346" s="27" t="str">
        <f>IF($N346="","",INDEX('_calc'!$H$2:$H$3001,$N346))</f>
        <v/>
      </c>
      <c r="J346" s="27" t="str">
        <f>IF($N346="","",INDEX('_calc'!$I$2:$I$3001,$N346))</f>
        <v/>
      </c>
      <c r="K346" s="28" t="str">
        <f>IF($N346="","",IF(OR(I346="",J346=""),"",J346-I346))</f>
        <v/>
      </c>
      <c r="L346" s="29" t="str">
        <f>IF($N346="","",INDEX('_calc'!$J$2:$J$3001,$N346))</f>
        <v/>
      </c>
      <c r="M346" s="2" t="str">
        <f>IF($N346="","",IF(AND(G346=0,H346=0),"수량 없음",IF(G346=0,"신규 (전년 수량 없음)",IF(H346=0,"당해 수량 없음",""))))</f>
        <v/>
      </c>
      <c r="N346" t="str">
        <f>IF($B346="","",MATCH($B346,'_calc'!$L$2:$L$3001,0))</f>
        <v/>
      </c>
    </row>
    <row r="347">
      <c r="B347" s="24" t="str">
        <f>IF(ROW()-ROW($B$8)&gt;nComp,"",ROW()-ROW($B$8))</f>
        <v/>
      </c>
      <c r="C347" t="str">
        <f>IF($N347="","",INDEX('_calc'!$A$2:$A$3001,$N347))</f>
        <v/>
      </c>
      <c r="D347" s="25" t="str">
        <f>IF($N347="","",INDEX('_calc'!$C$2:$C$3001,$N347))</f>
        <v/>
      </c>
      <c r="E347" s="25" t="str">
        <f>IF($N347="","",INDEX('_calc'!$D$2:$D$3001,$N347))</f>
        <v/>
      </c>
      <c r="F347" s="26" t="str">
        <f>IF($N347="","",IF($E$8=0,"",E347/$E$8))</f>
        <v/>
      </c>
      <c r="G347" s="25" t="str">
        <f>IF($N347="","",INDEX('_calc'!$E$2:$E$3001,$N347))</f>
        <v/>
      </c>
      <c r="H347" s="25" t="str">
        <f>IF($N347="","",INDEX('_calc'!$F$2:$F$3001,$N347))</f>
        <v/>
      </c>
      <c r="I347" s="27" t="str">
        <f>IF($N347="","",INDEX('_calc'!$H$2:$H$3001,$N347))</f>
        <v/>
      </c>
      <c r="J347" s="27" t="str">
        <f>IF($N347="","",INDEX('_calc'!$I$2:$I$3001,$N347))</f>
        <v/>
      </c>
      <c r="K347" s="28" t="str">
        <f>IF($N347="","",IF(OR(I347="",J347=""),"",J347-I347))</f>
        <v/>
      </c>
      <c r="L347" s="29" t="str">
        <f>IF($N347="","",INDEX('_calc'!$J$2:$J$3001,$N347))</f>
        <v/>
      </c>
      <c r="M347" s="2" t="str">
        <f>IF($N347="","",IF(AND(G347=0,H347=0),"수량 없음",IF(G347=0,"신규 (전년 수량 없음)",IF(H347=0,"당해 수량 없음",""))))</f>
        <v/>
      </c>
      <c r="N347" t="str">
        <f>IF($B347="","",MATCH($B347,'_calc'!$L$2:$L$3001,0))</f>
        <v/>
      </c>
    </row>
    <row r="348">
      <c r="B348" s="24" t="str">
        <f>IF(ROW()-ROW($B$8)&gt;nComp,"",ROW()-ROW($B$8))</f>
        <v/>
      </c>
      <c r="C348" t="str">
        <f>IF($N348="","",INDEX('_calc'!$A$2:$A$3001,$N348))</f>
        <v/>
      </c>
      <c r="D348" s="25" t="str">
        <f>IF($N348="","",INDEX('_calc'!$C$2:$C$3001,$N348))</f>
        <v/>
      </c>
      <c r="E348" s="25" t="str">
        <f>IF($N348="","",INDEX('_calc'!$D$2:$D$3001,$N348))</f>
        <v/>
      </c>
      <c r="F348" s="26" t="str">
        <f>IF($N348="","",IF($E$8=0,"",E348/$E$8))</f>
        <v/>
      </c>
      <c r="G348" s="25" t="str">
        <f>IF($N348="","",INDEX('_calc'!$E$2:$E$3001,$N348))</f>
        <v/>
      </c>
      <c r="H348" s="25" t="str">
        <f>IF($N348="","",INDEX('_calc'!$F$2:$F$3001,$N348))</f>
        <v/>
      </c>
      <c r="I348" s="27" t="str">
        <f>IF($N348="","",INDEX('_calc'!$H$2:$H$3001,$N348))</f>
        <v/>
      </c>
      <c r="J348" s="27" t="str">
        <f>IF($N348="","",INDEX('_calc'!$I$2:$I$3001,$N348))</f>
        <v/>
      </c>
      <c r="K348" s="28" t="str">
        <f>IF($N348="","",IF(OR(I348="",J348=""),"",J348-I348))</f>
        <v/>
      </c>
      <c r="L348" s="29" t="str">
        <f>IF($N348="","",INDEX('_calc'!$J$2:$J$3001,$N348))</f>
        <v/>
      </c>
      <c r="M348" s="2" t="str">
        <f>IF($N348="","",IF(AND(G348=0,H348=0),"수량 없음",IF(G348=0,"신규 (전년 수량 없음)",IF(H348=0,"당해 수량 없음",""))))</f>
        <v/>
      </c>
      <c r="N348" t="str">
        <f>IF($B348="","",MATCH($B348,'_calc'!$L$2:$L$3001,0))</f>
        <v/>
      </c>
    </row>
    <row r="349">
      <c r="B349" s="24" t="str">
        <f>IF(ROW()-ROW($B$8)&gt;nComp,"",ROW()-ROW($B$8))</f>
        <v/>
      </c>
      <c r="C349" t="str">
        <f>IF($N349="","",INDEX('_calc'!$A$2:$A$3001,$N349))</f>
        <v/>
      </c>
      <c r="D349" s="25" t="str">
        <f>IF($N349="","",INDEX('_calc'!$C$2:$C$3001,$N349))</f>
        <v/>
      </c>
      <c r="E349" s="25" t="str">
        <f>IF($N349="","",INDEX('_calc'!$D$2:$D$3001,$N349))</f>
        <v/>
      </c>
      <c r="F349" s="26" t="str">
        <f>IF($N349="","",IF($E$8=0,"",E349/$E$8))</f>
        <v/>
      </c>
      <c r="G349" s="25" t="str">
        <f>IF($N349="","",INDEX('_calc'!$E$2:$E$3001,$N349))</f>
        <v/>
      </c>
      <c r="H349" s="25" t="str">
        <f>IF($N349="","",INDEX('_calc'!$F$2:$F$3001,$N349))</f>
        <v/>
      </c>
      <c r="I349" s="27" t="str">
        <f>IF($N349="","",INDEX('_calc'!$H$2:$H$3001,$N349))</f>
        <v/>
      </c>
      <c r="J349" s="27" t="str">
        <f>IF($N349="","",INDEX('_calc'!$I$2:$I$3001,$N349))</f>
        <v/>
      </c>
      <c r="K349" s="28" t="str">
        <f>IF($N349="","",IF(OR(I349="",J349=""),"",J349-I349))</f>
        <v/>
      </c>
      <c r="L349" s="29" t="str">
        <f>IF($N349="","",INDEX('_calc'!$J$2:$J$3001,$N349))</f>
        <v/>
      </c>
      <c r="M349" s="2" t="str">
        <f>IF($N349="","",IF(AND(G349=0,H349=0),"수량 없음",IF(G349=0,"신규 (전년 수량 없음)",IF(H349=0,"당해 수량 없음",""))))</f>
        <v/>
      </c>
      <c r="N349" t="str">
        <f>IF($B349="","",MATCH($B349,'_calc'!$L$2:$L$3001,0))</f>
        <v/>
      </c>
    </row>
    <row r="350">
      <c r="B350" s="24" t="str">
        <f>IF(ROW()-ROW($B$8)&gt;nComp,"",ROW()-ROW($B$8))</f>
        <v/>
      </c>
      <c r="C350" t="str">
        <f>IF($N350="","",INDEX('_calc'!$A$2:$A$3001,$N350))</f>
        <v/>
      </c>
      <c r="D350" s="25" t="str">
        <f>IF($N350="","",INDEX('_calc'!$C$2:$C$3001,$N350))</f>
        <v/>
      </c>
      <c r="E350" s="25" t="str">
        <f>IF($N350="","",INDEX('_calc'!$D$2:$D$3001,$N350))</f>
        <v/>
      </c>
      <c r="F350" s="26" t="str">
        <f>IF($N350="","",IF($E$8=0,"",E350/$E$8))</f>
        <v/>
      </c>
      <c r="G350" s="25" t="str">
        <f>IF($N350="","",INDEX('_calc'!$E$2:$E$3001,$N350))</f>
        <v/>
      </c>
      <c r="H350" s="25" t="str">
        <f>IF($N350="","",INDEX('_calc'!$F$2:$F$3001,$N350))</f>
        <v/>
      </c>
      <c r="I350" s="27" t="str">
        <f>IF($N350="","",INDEX('_calc'!$H$2:$H$3001,$N350))</f>
        <v/>
      </c>
      <c r="J350" s="27" t="str">
        <f>IF($N350="","",INDEX('_calc'!$I$2:$I$3001,$N350))</f>
        <v/>
      </c>
      <c r="K350" s="28" t="str">
        <f>IF($N350="","",IF(OR(I350="",J350=""),"",J350-I350))</f>
        <v/>
      </c>
      <c r="L350" s="29" t="str">
        <f>IF($N350="","",INDEX('_calc'!$J$2:$J$3001,$N350))</f>
        <v/>
      </c>
      <c r="M350" s="2" t="str">
        <f>IF($N350="","",IF(AND(G350=0,H350=0),"수량 없음",IF(G350=0,"신규 (전년 수량 없음)",IF(H350=0,"당해 수량 없음",""))))</f>
        <v/>
      </c>
      <c r="N350" t="str">
        <f>IF($B350="","",MATCH($B350,'_calc'!$L$2:$L$3001,0))</f>
        <v/>
      </c>
    </row>
    <row r="351">
      <c r="B351" s="24" t="str">
        <f>IF(ROW()-ROW($B$8)&gt;nComp,"",ROW()-ROW($B$8))</f>
        <v/>
      </c>
      <c r="C351" t="str">
        <f>IF($N351="","",INDEX('_calc'!$A$2:$A$3001,$N351))</f>
        <v/>
      </c>
      <c r="D351" s="25" t="str">
        <f>IF($N351="","",INDEX('_calc'!$C$2:$C$3001,$N351))</f>
        <v/>
      </c>
      <c r="E351" s="25" t="str">
        <f>IF($N351="","",INDEX('_calc'!$D$2:$D$3001,$N351))</f>
        <v/>
      </c>
      <c r="F351" s="26" t="str">
        <f>IF($N351="","",IF($E$8=0,"",E351/$E$8))</f>
        <v/>
      </c>
      <c r="G351" s="25" t="str">
        <f>IF($N351="","",INDEX('_calc'!$E$2:$E$3001,$N351))</f>
        <v/>
      </c>
      <c r="H351" s="25" t="str">
        <f>IF($N351="","",INDEX('_calc'!$F$2:$F$3001,$N351))</f>
        <v/>
      </c>
      <c r="I351" s="27" t="str">
        <f>IF($N351="","",INDEX('_calc'!$H$2:$H$3001,$N351))</f>
        <v/>
      </c>
      <c r="J351" s="27" t="str">
        <f>IF($N351="","",INDEX('_calc'!$I$2:$I$3001,$N351))</f>
        <v/>
      </c>
      <c r="K351" s="28" t="str">
        <f>IF($N351="","",IF(OR(I351="",J351=""),"",J351-I351))</f>
        <v/>
      </c>
      <c r="L351" s="29" t="str">
        <f>IF($N351="","",INDEX('_calc'!$J$2:$J$3001,$N351))</f>
        <v/>
      </c>
      <c r="M351" s="2" t="str">
        <f>IF($N351="","",IF(AND(G351=0,H351=0),"수량 없음",IF(G351=0,"신규 (전년 수량 없음)",IF(H351=0,"당해 수량 없음",""))))</f>
        <v/>
      </c>
      <c r="N351" t="str">
        <f>IF($B351="","",MATCH($B351,'_calc'!$L$2:$L$3001,0))</f>
        <v/>
      </c>
    </row>
    <row r="352">
      <c r="B352" s="24" t="str">
        <f>IF(ROW()-ROW($B$8)&gt;nComp,"",ROW()-ROW($B$8))</f>
        <v/>
      </c>
      <c r="C352" t="str">
        <f>IF($N352="","",INDEX('_calc'!$A$2:$A$3001,$N352))</f>
        <v/>
      </c>
      <c r="D352" s="25" t="str">
        <f>IF($N352="","",INDEX('_calc'!$C$2:$C$3001,$N352))</f>
        <v/>
      </c>
      <c r="E352" s="25" t="str">
        <f>IF($N352="","",INDEX('_calc'!$D$2:$D$3001,$N352))</f>
        <v/>
      </c>
      <c r="F352" s="26" t="str">
        <f>IF($N352="","",IF($E$8=0,"",E352/$E$8))</f>
        <v/>
      </c>
      <c r="G352" s="25" t="str">
        <f>IF($N352="","",INDEX('_calc'!$E$2:$E$3001,$N352))</f>
        <v/>
      </c>
      <c r="H352" s="25" t="str">
        <f>IF($N352="","",INDEX('_calc'!$F$2:$F$3001,$N352))</f>
        <v/>
      </c>
      <c r="I352" s="27" t="str">
        <f>IF($N352="","",INDEX('_calc'!$H$2:$H$3001,$N352))</f>
        <v/>
      </c>
      <c r="J352" s="27" t="str">
        <f>IF($N352="","",INDEX('_calc'!$I$2:$I$3001,$N352))</f>
        <v/>
      </c>
      <c r="K352" s="28" t="str">
        <f>IF($N352="","",IF(OR(I352="",J352=""),"",J352-I352))</f>
        <v/>
      </c>
      <c r="L352" s="29" t="str">
        <f>IF($N352="","",INDEX('_calc'!$J$2:$J$3001,$N352))</f>
        <v/>
      </c>
      <c r="M352" s="2" t="str">
        <f>IF($N352="","",IF(AND(G352=0,H352=0),"수량 없음",IF(G352=0,"신규 (전년 수량 없음)",IF(H352=0,"당해 수량 없음",""))))</f>
        <v/>
      </c>
      <c r="N352" t="str">
        <f>IF($B352="","",MATCH($B352,'_calc'!$L$2:$L$3001,0))</f>
        <v/>
      </c>
    </row>
    <row r="353">
      <c r="B353" s="24" t="str">
        <f>IF(ROW()-ROW($B$8)&gt;nComp,"",ROW()-ROW($B$8))</f>
        <v/>
      </c>
      <c r="C353" t="str">
        <f>IF($N353="","",INDEX('_calc'!$A$2:$A$3001,$N353))</f>
        <v/>
      </c>
      <c r="D353" s="25" t="str">
        <f>IF($N353="","",INDEX('_calc'!$C$2:$C$3001,$N353))</f>
        <v/>
      </c>
      <c r="E353" s="25" t="str">
        <f>IF($N353="","",INDEX('_calc'!$D$2:$D$3001,$N353))</f>
        <v/>
      </c>
      <c r="F353" s="26" t="str">
        <f>IF($N353="","",IF($E$8=0,"",E353/$E$8))</f>
        <v/>
      </c>
      <c r="G353" s="25" t="str">
        <f>IF($N353="","",INDEX('_calc'!$E$2:$E$3001,$N353))</f>
        <v/>
      </c>
      <c r="H353" s="25" t="str">
        <f>IF($N353="","",INDEX('_calc'!$F$2:$F$3001,$N353))</f>
        <v/>
      </c>
      <c r="I353" s="27" t="str">
        <f>IF($N353="","",INDEX('_calc'!$H$2:$H$3001,$N353))</f>
        <v/>
      </c>
      <c r="J353" s="27" t="str">
        <f>IF($N353="","",INDEX('_calc'!$I$2:$I$3001,$N353))</f>
        <v/>
      </c>
      <c r="K353" s="28" t="str">
        <f>IF($N353="","",IF(OR(I353="",J353=""),"",J353-I353))</f>
        <v/>
      </c>
      <c r="L353" s="29" t="str">
        <f>IF($N353="","",INDEX('_calc'!$J$2:$J$3001,$N353))</f>
        <v/>
      </c>
      <c r="M353" s="2" t="str">
        <f>IF($N353="","",IF(AND(G353=0,H353=0),"수량 없음",IF(G353=0,"신규 (전년 수량 없음)",IF(H353=0,"당해 수량 없음",""))))</f>
        <v/>
      </c>
      <c r="N353" t="str">
        <f>IF($B353="","",MATCH($B353,'_calc'!$L$2:$L$3001,0))</f>
        <v/>
      </c>
    </row>
    <row r="354">
      <c r="B354" s="24" t="str">
        <f>IF(ROW()-ROW($B$8)&gt;nComp,"",ROW()-ROW($B$8))</f>
        <v/>
      </c>
      <c r="C354" t="str">
        <f>IF($N354="","",INDEX('_calc'!$A$2:$A$3001,$N354))</f>
        <v/>
      </c>
      <c r="D354" s="25" t="str">
        <f>IF($N354="","",INDEX('_calc'!$C$2:$C$3001,$N354))</f>
        <v/>
      </c>
      <c r="E354" s="25" t="str">
        <f>IF($N354="","",INDEX('_calc'!$D$2:$D$3001,$N354))</f>
        <v/>
      </c>
      <c r="F354" s="26" t="str">
        <f>IF($N354="","",IF($E$8=0,"",E354/$E$8))</f>
        <v/>
      </c>
      <c r="G354" s="25" t="str">
        <f>IF($N354="","",INDEX('_calc'!$E$2:$E$3001,$N354))</f>
        <v/>
      </c>
      <c r="H354" s="25" t="str">
        <f>IF($N354="","",INDEX('_calc'!$F$2:$F$3001,$N354))</f>
        <v/>
      </c>
      <c r="I354" s="27" t="str">
        <f>IF($N354="","",INDEX('_calc'!$H$2:$H$3001,$N354))</f>
        <v/>
      </c>
      <c r="J354" s="27" t="str">
        <f>IF($N354="","",INDEX('_calc'!$I$2:$I$3001,$N354))</f>
        <v/>
      </c>
      <c r="K354" s="28" t="str">
        <f>IF($N354="","",IF(OR(I354="",J354=""),"",J354-I354))</f>
        <v/>
      </c>
      <c r="L354" s="29" t="str">
        <f>IF($N354="","",INDEX('_calc'!$J$2:$J$3001,$N354))</f>
        <v/>
      </c>
      <c r="M354" s="2" t="str">
        <f>IF($N354="","",IF(AND(G354=0,H354=0),"수량 없음",IF(G354=0,"신규 (전년 수량 없음)",IF(H354=0,"당해 수량 없음",""))))</f>
        <v/>
      </c>
      <c r="N354" t="str">
        <f>IF($B354="","",MATCH($B354,'_calc'!$L$2:$L$3001,0))</f>
        <v/>
      </c>
    </row>
    <row r="355">
      <c r="B355" s="24" t="str">
        <f>IF(ROW()-ROW($B$8)&gt;nComp,"",ROW()-ROW($B$8))</f>
        <v/>
      </c>
      <c r="C355" t="str">
        <f>IF($N355="","",INDEX('_calc'!$A$2:$A$3001,$N355))</f>
        <v/>
      </c>
      <c r="D355" s="25" t="str">
        <f>IF($N355="","",INDEX('_calc'!$C$2:$C$3001,$N355))</f>
        <v/>
      </c>
      <c r="E355" s="25" t="str">
        <f>IF($N355="","",INDEX('_calc'!$D$2:$D$3001,$N355))</f>
        <v/>
      </c>
      <c r="F355" s="26" t="str">
        <f>IF($N355="","",IF($E$8=0,"",E355/$E$8))</f>
        <v/>
      </c>
      <c r="G355" s="25" t="str">
        <f>IF($N355="","",INDEX('_calc'!$E$2:$E$3001,$N355))</f>
        <v/>
      </c>
      <c r="H355" s="25" t="str">
        <f>IF($N355="","",INDEX('_calc'!$F$2:$F$3001,$N355))</f>
        <v/>
      </c>
      <c r="I355" s="27" t="str">
        <f>IF($N355="","",INDEX('_calc'!$H$2:$H$3001,$N355))</f>
        <v/>
      </c>
      <c r="J355" s="27" t="str">
        <f>IF($N355="","",INDEX('_calc'!$I$2:$I$3001,$N355))</f>
        <v/>
      </c>
      <c r="K355" s="28" t="str">
        <f>IF($N355="","",IF(OR(I355="",J355=""),"",J355-I355))</f>
        <v/>
      </c>
      <c r="L355" s="29" t="str">
        <f>IF($N355="","",INDEX('_calc'!$J$2:$J$3001,$N355))</f>
        <v/>
      </c>
      <c r="M355" s="2" t="str">
        <f>IF($N355="","",IF(AND(G355=0,H355=0),"수량 없음",IF(G355=0,"신규 (전년 수량 없음)",IF(H355=0,"당해 수량 없음",""))))</f>
        <v/>
      </c>
      <c r="N355" t="str">
        <f>IF($B355="","",MATCH($B355,'_calc'!$L$2:$L$3001,0))</f>
        <v/>
      </c>
    </row>
    <row r="356">
      <c r="B356" s="24" t="str">
        <f>IF(ROW()-ROW($B$8)&gt;nComp,"",ROW()-ROW($B$8))</f>
        <v/>
      </c>
      <c r="C356" t="str">
        <f>IF($N356="","",INDEX('_calc'!$A$2:$A$3001,$N356))</f>
        <v/>
      </c>
      <c r="D356" s="25" t="str">
        <f>IF($N356="","",INDEX('_calc'!$C$2:$C$3001,$N356))</f>
        <v/>
      </c>
      <c r="E356" s="25" t="str">
        <f>IF($N356="","",INDEX('_calc'!$D$2:$D$3001,$N356))</f>
        <v/>
      </c>
      <c r="F356" s="26" t="str">
        <f>IF($N356="","",IF($E$8=0,"",E356/$E$8))</f>
        <v/>
      </c>
      <c r="G356" s="25" t="str">
        <f>IF($N356="","",INDEX('_calc'!$E$2:$E$3001,$N356))</f>
        <v/>
      </c>
      <c r="H356" s="25" t="str">
        <f>IF($N356="","",INDEX('_calc'!$F$2:$F$3001,$N356))</f>
        <v/>
      </c>
      <c r="I356" s="27" t="str">
        <f>IF($N356="","",INDEX('_calc'!$H$2:$H$3001,$N356))</f>
        <v/>
      </c>
      <c r="J356" s="27" t="str">
        <f>IF($N356="","",INDEX('_calc'!$I$2:$I$3001,$N356))</f>
        <v/>
      </c>
      <c r="K356" s="28" t="str">
        <f>IF($N356="","",IF(OR(I356="",J356=""),"",J356-I356))</f>
        <v/>
      </c>
      <c r="L356" s="29" t="str">
        <f>IF($N356="","",INDEX('_calc'!$J$2:$J$3001,$N356))</f>
        <v/>
      </c>
      <c r="M356" s="2" t="str">
        <f>IF($N356="","",IF(AND(G356=0,H356=0),"수량 없음",IF(G356=0,"신규 (전년 수량 없음)",IF(H356=0,"당해 수량 없음",""))))</f>
        <v/>
      </c>
      <c r="N356" t="str">
        <f>IF($B356="","",MATCH($B356,'_calc'!$L$2:$L$3001,0))</f>
        <v/>
      </c>
    </row>
    <row r="357">
      <c r="B357" s="24" t="str">
        <f>IF(ROW()-ROW($B$8)&gt;nComp,"",ROW()-ROW($B$8))</f>
        <v/>
      </c>
      <c r="C357" t="str">
        <f>IF($N357="","",INDEX('_calc'!$A$2:$A$3001,$N357))</f>
        <v/>
      </c>
      <c r="D357" s="25" t="str">
        <f>IF($N357="","",INDEX('_calc'!$C$2:$C$3001,$N357))</f>
        <v/>
      </c>
      <c r="E357" s="25" t="str">
        <f>IF($N357="","",INDEX('_calc'!$D$2:$D$3001,$N357))</f>
        <v/>
      </c>
      <c r="F357" s="26" t="str">
        <f>IF($N357="","",IF($E$8=0,"",E357/$E$8))</f>
        <v/>
      </c>
      <c r="G357" s="25" t="str">
        <f>IF($N357="","",INDEX('_calc'!$E$2:$E$3001,$N357))</f>
        <v/>
      </c>
      <c r="H357" s="25" t="str">
        <f>IF($N357="","",INDEX('_calc'!$F$2:$F$3001,$N357))</f>
        <v/>
      </c>
      <c r="I357" s="27" t="str">
        <f>IF($N357="","",INDEX('_calc'!$H$2:$H$3001,$N357))</f>
        <v/>
      </c>
      <c r="J357" s="27" t="str">
        <f>IF($N357="","",INDEX('_calc'!$I$2:$I$3001,$N357))</f>
        <v/>
      </c>
      <c r="K357" s="28" t="str">
        <f>IF($N357="","",IF(OR(I357="",J357=""),"",J357-I357))</f>
        <v/>
      </c>
      <c r="L357" s="29" t="str">
        <f>IF($N357="","",INDEX('_calc'!$J$2:$J$3001,$N357))</f>
        <v/>
      </c>
      <c r="M357" s="2" t="str">
        <f>IF($N357="","",IF(AND(G357=0,H357=0),"수량 없음",IF(G357=0,"신규 (전년 수량 없음)",IF(H357=0,"당해 수량 없음",""))))</f>
        <v/>
      </c>
      <c r="N357" t="str">
        <f>IF($B357="","",MATCH($B357,'_calc'!$L$2:$L$3001,0))</f>
        <v/>
      </c>
    </row>
    <row r="358">
      <c r="B358" s="24" t="str">
        <f>IF(ROW()-ROW($B$8)&gt;nComp,"",ROW()-ROW($B$8))</f>
        <v/>
      </c>
      <c r="C358" t="str">
        <f>IF($N358="","",INDEX('_calc'!$A$2:$A$3001,$N358))</f>
        <v/>
      </c>
      <c r="D358" s="25" t="str">
        <f>IF($N358="","",INDEX('_calc'!$C$2:$C$3001,$N358))</f>
        <v/>
      </c>
      <c r="E358" s="25" t="str">
        <f>IF($N358="","",INDEX('_calc'!$D$2:$D$3001,$N358))</f>
        <v/>
      </c>
      <c r="F358" s="26" t="str">
        <f>IF($N358="","",IF($E$8=0,"",E358/$E$8))</f>
        <v/>
      </c>
      <c r="G358" s="25" t="str">
        <f>IF($N358="","",INDEX('_calc'!$E$2:$E$3001,$N358))</f>
        <v/>
      </c>
      <c r="H358" s="25" t="str">
        <f>IF($N358="","",INDEX('_calc'!$F$2:$F$3001,$N358))</f>
        <v/>
      </c>
      <c r="I358" s="27" t="str">
        <f>IF($N358="","",INDEX('_calc'!$H$2:$H$3001,$N358))</f>
        <v/>
      </c>
      <c r="J358" s="27" t="str">
        <f>IF($N358="","",INDEX('_calc'!$I$2:$I$3001,$N358))</f>
        <v/>
      </c>
      <c r="K358" s="28" t="str">
        <f>IF($N358="","",IF(OR(I358="",J358=""),"",J358-I358))</f>
        <v/>
      </c>
      <c r="L358" s="29" t="str">
        <f>IF($N358="","",INDEX('_calc'!$J$2:$J$3001,$N358))</f>
        <v/>
      </c>
      <c r="M358" s="2" t="str">
        <f>IF($N358="","",IF(AND(G358=0,H358=0),"수량 없음",IF(G358=0,"신규 (전년 수량 없음)",IF(H358=0,"당해 수량 없음",""))))</f>
        <v/>
      </c>
      <c r="N358" t="str">
        <f>IF($B358="","",MATCH($B358,'_calc'!$L$2:$L$3001,0))</f>
        <v/>
      </c>
    </row>
    <row r="359">
      <c r="B359" s="24" t="str">
        <f>IF(ROW()-ROW($B$8)&gt;nComp,"",ROW()-ROW($B$8))</f>
        <v/>
      </c>
      <c r="C359" t="str">
        <f>IF($N359="","",INDEX('_calc'!$A$2:$A$3001,$N359))</f>
        <v/>
      </c>
      <c r="D359" s="25" t="str">
        <f>IF($N359="","",INDEX('_calc'!$C$2:$C$3001,$N359))</f>
        <v/>
      </c>
      <c r="E359" s="25" t="str">
        <f>IF($N359="","",INDEX('_calc'!$D$2:$D$3001,$N359))</f>
        <v/>
      </c>
      <c r="F359" s="26" t="str">
        <f>IF($N359="","",IF($E$8=0,"",E359/$E$8))</f>
        <v/>
      </c>
      <c r="G359" s="25" t="str">
        <f>IF($N359="","",INDEX('_calc'!$E$2:$E$3001,$N359))</f>
        <v/>
      </c>
      <c r="H359" s="25" t="str">
        <f>IF($N359="","",INDEX('_calc'!$F$2:$F$3001,$N359))</f>
        <v/>
      </c>
      <c r="I359" s="27" t="str">
        <f>IF($N359="","",INDEX('_calc'!$H$2:$H$3001,$N359))</f>
        <v/>
      </c>
      <c r="J359" s="27" t="str">
        <f>IF($N359="","",INDEX('_calc'!$I$2:$I$3001,$N359))</f>
        <v/>
      </c>
      <c r="K359" s="28" t="str">
        <f>IF($N359="","",IF(OR(I359="",J359=""),"",J359-I359))</f>
        <v/>
      </c>
      <c r="L359" s="29" t="str">
        <f>IF($N359="","",INDEX('_calc'!$J$2:$J$3001,$N359))</f>
        <v/>
      </c>
      <c r="M359" s="2" t="str">
        <f>IF($N359="","",IF(AND(G359=0,H359=0),"수량 없음",IF(G359=0,"신규 (전년 수량 없음)",IF(H359=0,"당해 수량 없음",""))))</f>
        <v/>
      </c>
      <c r="N359" t="str">
        <f>IF($B359="","",MATCH($B359,'_calc'!$L$2:$L$3001,0))</f>
        <v/>
      </c>
    </row>
    <row r="360">
      <c r="B360" s="24" t="str">
        <f>IF(ROW()-ROW($B$8)&gt;nComp,"",ROW()-ROW($B$8))</f>
        <v/>
      </c>
      <c r="C360" t="str">
        <f>IF($N360="","",INDEX('_calc'!$A$2:$A$3001,$N360))</f>
        <v/>
      </c>
      <c r="D360" s="25" t="str">
        <f>IF($N360="","",INDEX('_calc'!$C$2:$C$3001,$N360))</f>
        <v/>
      </c>
      <c r="E360" s="25" t="str">
        <f>IF($N360="","",INDEX('_calc'!$D$2:$D$3001,$N360))</f>
        <v/>
      </c>
      <c r="F360" s="26" t="str">
        <f>IF($N360="","",IF($E$8=0,"",E360/$E$8))</f>
        <v/>
      </c>
      <c r="G360" s="25" t="str">
        <f>IF($N360="","",INDEX('_calc'!$E$2:$E$3001,$N360))</f>
        <v/>
      </c>
      <c r="H360" s="25" t="str">
        <f>IF($N360="","",INDEX('_calc'!$F$2:$F$3001,$N360))</f>
        <v/>
      </c>
      <c r="I360" s="27" t="str">
        <f>IF($N360="","",INDEX('_calc'!$H$2:$H$3001,$N360))</f>
        <v/>
      </c>
      <c r="J360" s="27" t="str">
        <f>IF($N360="","",INDEX('_calc'!$I$2:$I$3001,$N360))</f>
        <v/>
      </c>
      <c r="K360" s="28" t="str">
        <f>IF($N360="","",IF(OR(I360="",J360=""),"",J360-I360))</f>
        <v/>
      </c>
      <c r="L360" s="29" t="str">
        <f>IF($N360="","",INDEX('_calc'!$J$2:$J$3001,$N360))</f>
        <v/>
      </c>
      <c r="M360" s="2" t="str">
        <f>IF($N360="","",IF(AND(G360=0,H360=0),"수량 없음",IF(G360=0,"신규 (전년 수량 없음)",IF(H360=0,"당해 수량 없음",""))))</f>
        <v/>
      </c>
      <c r="N360" t="str">
        <f>IF($B360="","",MATCH($B360,'_calc'!$L$2:$L$3001,0))</f>
        <v/>
      </c>
    </row>
    <row r="361">
      <c r="B361" s="24" t="str">
        <f>IF(ROW()-ROW($B$8)&gt;nComp,"",ROW()-ROW($B$8))</f>
        <v/>
      </c>
      <c r="C361" t="str">
        <f>IF($N361="","",INDEX('_calc'!$A$2:$A$3001,$N361))</f>
        <v/>
      </c>
      <c r="D361" s="25" t="str">
        <f>IF($N361="","",INDEX('_calc'!$C$2:$C$3001,$N361))</f>
        <v/>
      </c>
      <c r="E361" s="25" t="str">
        <f>IF($N361="","",INDEX('_calc'!$D$2:$D$3001,$N361))</f>
        <v/>
      </c>
      <c r="F361" s="26" t="str">
        <f>IF($N361="","",IF($E$8=0,"",E361/$E$8))</f>
        <v/>
      </c>
      <c r="G361" s="25" t="str">
        <f>IF($N361="","",INDEX('_calc'!$E$2:$E$3001,$N361))</f>
        <v/>
      </c>
      <c r="H361" s="25" t="str">
        <f>IF($N361="","",INDEX('_calc'!$F$2:$F$3001,$N361))</f>
        <v/>
      </c>
      <c r="I361" s="27" t="str">
        <f>IF($N361="","",INDEX('_calc'!$H$2:$H$3001,$N361))</f>
        <v/>
      </c>
      <c r="J361" s="27" t="str">
        <f>IF($N361="","",INDEX('_calc'!$I$2:$I$3001,$N361))</f>
        <v/>
      </c>
      <c r="K361" s="28" t="str">
        <f>IF($N361="","",IF(OR(I361="",J361=""),"",J361-I361))</f>
        <v/>
      </c>
      <c r="L361" s="29" t="str">
        <f>IF($N361="","",INDEX('_calc'!$J$2:$J$3001,$N361))</f>
        <v/>
      </c>
      <c r="M361" s="2" t="str">
        <f>IF($N361="","",IF(AND(G361=0,H361=0),"수량 없음",IF(G361=0,"신규 (전년 수량 없음)",IF(H361=0,"당해 수량 없음",""))))</f>
        <v/>
      </c>
      <c r="N361" t="str">
        <f>IF($B361="","",MATCH($B361,'_calc'!$L$2:$L$3001,0))</f>
        <v/>
      </c>
    </row>
    <row r="362">
      <c r="B362" s="24" t="str">
        <f>IF(ROW()-ROW($B$8)&gt;nComp,"",ROW()-ROW($B$8))</f>
        <v/>
      </c>
      <c r="C362" t="str">
        <f>IF($N362="","",INDEX('_calc'!$A$2:$A$3001,$N362))</f>
        <v/>
      </c>
      <c r="D362" s="25" t="str">
        <f>IF($N362="","",INDEX('_calc'!$C$2:$C$3001,$N362))</f>
        <v/>
      </c>
      <c r="E362" s="25" t="str">
        <f>IF($N362="","",INDEX('_calc'!$D$2:$D$3001,$N362))</f>
        <v/>
      </c>
      <c r="F362" s="26" t="str">
        <f>IF($N362="","",IF($E$8=0,"",E362/$E$8))</f>
        <v/>
      </c>
      <c r="G362" s="25" t="str">
        <f>IF($N362="","",INDEX('_calc'!$E$2:$E$3001,$N362))</f>
        <v/>
      </c>
      <c r="H362" s="25" t="str">
        <f>IF($N362="","",INDEX('_calc'!$F$2:$F$3001,$N362))</f>
        <v/>
      </c>
      <c r="I362" s="27" t="str">
        <f>IF($N362="","",INDEX('_calc'!$H$2:$H$3001,$N362))</f>
        <v/>
      </c>
      <c r="J362" s="27" t="str">
        <f>IF($N362="","",INDEX('_calc'!$I$2:$I$3001,$N362))</f>
        <v/>
      </c>
      <c r="K362" s="28" t="str">
        <f>IF($N362="","",IF(OR(I362="",J362=""),"",J362-I362))</f>
        <v/>
      </c>
      <c r="L362" s="29" t="str">
        <f>IF($N362="","",INDEX('_calc'!$J$2:$J$3001,$N362))</f>
        <v/>
      </c>
      <c r="M362" s="2" t="str">
        <f>IF($N362="","",IF(AND(G362=0,H362=0),"수량 없음",IF(G362=0,"신규 (전년 수량 없음)",IF(H362=0,"당해 수량 없음",""))))</f>
        <v/>
      </c>
      <c r="N362" t="str">
        <f>IF($B362="","",MATCH($B362,'_calc'!$L$2:$L$3001,0))</f>
        <v/>
      </c>
    </row>
    <row r="363">
      <c r="B363" s="24" t="str">
        <f>IF(ROW()-ROW($B$8)&gt;nComp,"",ROW()-ROW($B$8))</f>
        <v/>
      </c>
      <c r="C363" t="str">
        <f>IF($N363="","",INDEX('_calc'!$A$2:$A$3001,$N363))</f>
        <v/>
      </c>
      <c r="D363" s="25" t="str">
        <f>IF($N363="","",INDEX('_calc'!$C$2:$C$3001,$N363))</f>
        <v/>
      </c>
      <c r="E363" s="25" t="str">
        <f>IF($N363="","",INDEX('_calc'!$D$2:$D$3001,$N363))</f>
        <v/>
      </c>
      <c r="F363" s="26" t="str">
        <f>IF($N363="","",IF($E$8=0,"",E363/$E$8))</f>
        <v/>
      </c>
      <c r="G363" s="25" t="str">
        <f>IF($N363="","",INDEX('_calc'!$E$2:$E$3001,$N363))</f>
        <v/>
      </c>
      <c r="H363" s="25" t="str">
        <f>IF($N363="","",INDEX('_calc'!$F$2:$F$3001,$N363))</f>
        <v/>
      </c>
      <c r="I363" s="27" t="str">
        <f>IF($N363="","",INDEX('_calc'!$H$2:$H$3001,$N363))</f>
        <v/>
      </c>
      <c r="J363" s="27" t="str">
        <f>IF($N363="","",INDEX('_calc'!$I$2:$I$3001,$N363))</f>
        <v/>
      </c>
      <c r="K363" s="28" t="str">
        <f>IF($N363="","",IF(OR(I363="",J363=""),"",J363-I363))</f>
        <v/>
      </c>
      <c r="L363" s="29" t="str">
        <f>IF($N363="","",INDEX('_calc'!$J$2:$J$3001,$N363))</f>
        <v/>
      </c>
      <c r="M363" s="2" t="str">
        <f>IF($N363="","",IF(AND(G363=0,H363=0),"수량 없음",IF(G363=0,"신규 (전년 수량 없음)",IF(H363=0,"당해 수량 없음",""))))</f>
        <v/>
      </c>
      <c r="N363" t="str">
        <f>IF($B363="","",MATCH($B363,'_calc'!$L$2:$L$3001,0))</f>
        <v/>
      </c>
    </row>
    <row r="364">
      <c r="B364" s="24" t="str">
        <f>IF(ROW()-ROW($B$8)&gt;nComp,"",ROW()-ROW($B$8))</f>
        <v/>
      </c>
      <c r="C364" t="str">
        <f>IF($N364="","",INDEX('_calc'!$A$2:$A$3001,$N364))</f>
        <v/>
      </c>
      <c r="D364" s="25" t="str">
        <f>IF($N364="","",INDEX('_calc'!$C$2:$C$3001,$N364))</f>
        <v/>
      </c>
      <c r="E364" s="25" t="str">
        <f>IF($N364="","",INDEX('_calc'!$D$2:$D$3001,$N364))</f>
        <v/>
      </c>
      <c r="F364" s="26" t="str">
        <f>IF($N364="","",IF($E$8=0,"",E364/$E$8))</f>
        <v/>
      </c>
      <c r="G364" s="25" t="str">
        <f>IF($N364="","",INDEX('_calc'!$E$2:$E$3001,$N364))</f>
        <v/>
      </c>
      <c r="H364" s="25" t="str">
        <f>IF($N364="","",INDEX('_calc'!$F$2:$F$3001,$N364))</f>
        <v/>
      </c>
      <c r="I364" s="27" t="str">
        <f>IF($N364="","",INDEX('_calc'!$H$2:$H$3001,$N364))</f>
        <v/>
      </c>
      <c r="J364" s="27" t="str">
        <f>IF($N364="","",INDEX('_calc'!$I$2:$I$3001,$N364))</f>
        <v/>
      </c>
      <c r="K364" s="28" t="str">
        <f>IF($N364="","",IF(OR(I364="",J364=""),"",J364-I364))</f>
        <v/>
      </c>
      <c r="L364" s="29" t="str">
        <f>IF($N364="","",INDEX('_calc'!$J$2:$J$3001,$N364))</f>
        <v/>
      </c>
      <c r="M364" s="2" t="str">
        <f>IF($N364="","",IF(AND(G364=0,H364=0),"수량 없음",IF(G364=0,"신규 (전년 수량 없음)",IF(H364=0,"당해 수량 없음",""))))</f>
        <v/>
      </c>
      <c r="N364" t="str">
        <f>IF($B364="","",MATCH($B364,'_calc'!$L$2:$L$3001,0))</f>
        <v/>
      </c>
    </row>
    <row r="365">
      <c r="B365" s="24" t="str">
        <f>IF(ROW()-ROW($B$8)&gt;nComp,"",ROW()-ROW($B$8))</f>
        <v/>
      </c>
      <c r="C365" t="str">
        <f>IF($N365="","",INDEX('_calc'!$A$2:$A$3001,$N365))</f>
        <v/>
      </c>
      <c r="D365" s="25" t="str">
        <f>IF($N365="","",INDEX('_calc'!$C$2:$C$3001,$N365))</f>
        <v/>
      </c>
      <c r="E365" s="25" t="str">
        <f>IF($N365="","",INDEX('_calc'!$D$2:$D$3001,$N365))</f>
        <v/>
      </c>
      <c r="F365" s="26" t="str">
        <f>IF($N365="","",IF($E$8=0,"",E365/$E$8))</f>
        <v/>
      </c>
      <c r="G365" s="25" t="str">
        <f>IF($N365="","",INDEX('_calc'!$E$2:$E$3001,$N365))</f>
        <v/>
      </c>
      <c r="H365" s="25" t="str">
        <f>IF($N365="","",INDEX('_calc'!$F$2:$F$3001,$N365))</f>
        <v/>
      </c>
      <c r="I365" s="27" t="str">
        <f>IF($N365="","",INDEX('_calc'!$H$2:$H$3001,$N365))</f>
        <v/>
      </c>
      <c r="J365" s="27" t="str">
        <f>IF($N365="","",INDEX('_calc'!$I$2:$I$3001,$N365))</f>
        <v/>
      </c>
      <c r="K365" s="28" t="str">
        <f>IF($N365="","",IF(OR(I365="",J365=""),"",J365-I365))</f>
        <v/>
      </c>
      <c r="L365" s="29" t="str">
        <f>IF($N365="","",INDEX('_calc'!$J$2:$J$3001,$N365))</f>
        <v/>
      </c>
      <c r="M365" s="2" t="str">
        <f>IF($N365="","",IF(AND(G365=0,H365=0),"수량 없음",IF(G365=0,"신규 (전년 수량 없음)",IF(H365=0,"당해 수량 없음",""))))</f>
        <v/>
      </c>
      <c r="N365" t="str">
        <f>IF($B365="","",MATCH($B365,'_calc'!$L$2:$L$3001,0))</f>
        <v/>
      </c>
    </row>
    <row r="366">
      <c r="B366" s="24" t="str">
        <f>IF(ROW()-ROW($B$8)&gt;nComp,"",ROW()-ROW($B$8))</f>
        <v/>
      </c>
      <c r="C366" t="str">
        <f>IF($N366="","",INDEX('_calc'!$A$2:$A$3001,$N366))</f>
        <v/>
      </c>
      <c r="D366" s="25" t="str">
        <f>IF($N366="","",INDEX('_calc'!$C$2:$C$3001,$N366))</f>
        <v/>
      </c>
      <c r="E366" s="25" t="str">
        <f>IF($N366="","",INDEX('_calc'!$D$2:$D$3001,$N366))</f>
        <v/>
      </c>
      <c r="F366" s="26" t="str">
        <f>IF($N366="","",IF($E$8=0,"",E366/$E$8))</f>
        <v/>
      </c>
      <c r="G366" s="25" t="str">
        <f>IF($N366="","",INDEX('_calc'!$E$2:$E$3001,$N366))</f>
        <v/>
      </c>
      <c r="H366" s="25" t="str">
        <f>IF($N366="","",INDEX('_calc'!$F$2:$F$3001,$N366))</f>
        <v/>
      </c>
      <c r="I366" s="27" t="str">
        <f>IF($N366="","",INDEX('_calc'!$H$2:$H$3001,$N366))</f>
        <v/>
      </c>
      <c r="J366" s="27" t="str">
        <f>IF($N366="","",INDEX('_calc'!$I$2:$I$3001,$N366))</f>
        <v/>
      </c>
      <c r="K366" s="28" t="str">
        <f>IF($N366="","",IF(OR(I366="",J366=""),"",J366-I366))</f>
        <v/>
      </c>
      <c r="L366" s="29" t="str">
        <f>IF($N366="","",INDEX('_calc'!$J$2:$J$3001,$N366))</f>
        <v/>
      </c>
      <c r="M366" s="2" t="str">
        <f>IF($N366="","",IF(AND(G366=0,H366=0),"수량 없음",IF(G366=0,"신규 (전년 수량 없음)",IF(H366=0,"당해 수량 없음",""))))</f>
        <v/>
      </c>
      <c r="N366" t="str">
        <f>IF($B366="","",MATCH($B366,'_calc'!$L$2:$L$3001,0))</f>
        <v/>
      </c>
    </row>
    <row r="367">
      <c r="B367" s="24" t="str">
        <f>IF(ROW()-ROW($B$8)&gt;nComp,"",ROW()-ROW($B$8))</f>
        <v/>
      </c>
      <c r="C367" t="str">
        <f>IF($N367="","",INDEX('_calc'!$A$2:$A$3001,$N367))</f>
        <v/>
      </c>
      <c r="D367" s="25" t="str">
        <f>IF($N367="","",INDEX('_calc'!$C$2:$C$3001,$N367))</f>
        <v/>
      </c>
      <c r="E367" s="25" t="str">
        <f>IF($N367="","",INDEX('_calc'!$D$2:$D$3001,$N367))</f>
        <v/>
      </c>
      <c r="F367" s="26" t="str">
        <f>IF($N367="","",IF($E$8=0,"",E367/$E$8))</f>
        <v/>
      </c>
      <c r="G367" s="25" t="str">
        <f>IF($N367="","",INDEX('_calc'!$E$2:$E$3001,$N367))</f>
        <v/>
      </c>
      <c r="H367" s="25" t="str">
        <f>IF($N367="","",INDEX('_calc'!$F$2:$F$3001,$N367))</f>
        <v/>
      </c>
      <c r="I367" s="27" t="str">
        <f>IF($N367="","",INDEX('_calc'!$H$2:$H$3001,$N367))</f>
        <v/>
      </c>
      <c r="J367" s="27" t="str">
        <f>IF($N367="","",INDEX('_calc'!$I$2:$I$3001,$N367))</f>
        <v/>
      </c>
      <c r="K367" s="28" t="str">
        <f>IF($N367="","",IF(OR(I367="",J367=""),"",J367-I367))</f>
        <v/>
      </c>
      <c r="L367" s="29" t="str">
        <f>IF($N367="","",INDEX('_calc'!$J$2:$J$3001,$N367))</f>
        <v/>
      </c>
      <c r="M367" s="2" t="str">
        <f>IF($N367="","",IF(AND(G367=0,H367=0),"수량 없음",IF(G367=0,"신규 (전년 수량 없음)",IF(H367=0,"당해 수량 없음",""))))</f>
        <v/>
      </c>
      <c r="N367" t="str">
        <f>IF($B367="","",MATCH($B367,'_calc'!$L$2:$L$3001,0))</f>
        <v/>
      </c>
    </row>
    <row r="368">
      <c r="B368" s="24" t="str">
        <f>IF(ROW()-ROW($B$8)&gt;nComp,"",ROW()-ROW($B$8))</f>
        <v/>
      </c>
      <c r="C368" t="str">
        <f>IF($N368="","",INDEX('_calc'!$A$2:$A$3001,$N368))</f>
        <v/>
      </c>
      <c r="D368" s="25" t="str">
        <f>IF($N368="","",INDEX('_calc'!$C$2:$C$3001,$N368))</f>
        <v/>
      </c>
      <c r="E368" s="25" t="str">
        <f>IF($N368="","",INDEX('_calc'!$D$2:$D$3001,$N368))</f>
        <v/>
      </c>
      <c r="F368" s="26" t="str">
        <f>IF($N368="","",IF($E$8=0,"",E368/$E$8))</f>
        <v/>
      </c>
      <c r="G368" s="25" t="str">
        <f>IF($N368="","",INDEX('_calc'!$E$2:$E$3001,$N368))</f>
        <v/>
      </c>
      <c r="H368" s="25" t="str">
        <f>IF($N368="","",INDEX('_calc'!$F$2:$F$3001,$N368))</f>
        <v/>
      </c>
      <c r="I368" s="27" t="str">
        <f>IF($N368="","",INDEX('_calc'!$H$2:$H$3001,$N368))</f>
        <v/>
      </c>
      <c r="J368" s="27" t="str">
        <f>IF($N368="","",INDEX('_calc'!$I$2:$I$3001,$N368))</f>
        <v/>
      </c>
      <c r="K368" s="28" t="str">
        <f>IF($N368="","",IF(OR(I368="",J368=""),"",J368-I368))</f>
        <v/>
      </c>
      <c r="L368" s="29" t="str">
        <f>IF($N368="","",INDEX('_calc'!$J$2:$J$3001,$N368))</f>
        <v/>
      </c>
      <c r="M368" s="2" t="str">
        <f>IF($N368="","",IF(AND(G368=0,H368=0),"수량 없음",IF(G368=0,"신규 (전년 수량 없음)",IF(H368=0,"당해 수량 없음",""))))</f>
        <v/>
      </c>
      <c r="N368" t="str">
        <f>IF($B368="","",MATCH($B368,'_calc'!$L$2:$L$3001,0))</f>
        <v/>
      </c>
    </row>
    <row r="369">
      <c r="B369" s="24" t="str">
        <f>IF(ROW()-ROW($B$8)&gt;nComp,"",ROW()-ROW($B$8))</f>
        <v/>
      </c>
      <c r="C369" t="str">
        <f>IF($N369="","",INDEX('_calc'!$A$2:$A$3001,$N369))</f>
        <v/>
      </c>
      <c r="D369" s="25" t="str">
        <f>IF($N369="","",INDEX('_calc'!$C$2:$C$3001,$N369))</f>
        <v/>
      </c>
      <c r="E369" s="25" t="str">
        <f>IF($N369="","",INDEX('_calc'!$D$2:$D$3001,$N369))</f>
        <v/>
      </c>
      <c r="F369" s="26" t="str">
        <f>IF($N369="","",IF($E$8=0,"",E369/$E$8))</f>
        <v/>
      </c>
      <c r="G369" s="25" t="str">
        <f>IF($N369="","",INDEX('_calc'!$E$2:$E$3001,$N369))</f>
        <v/>
      </c>
      <c r="H369" s="25" t="str">
        <f>IF($N369="","",INDEX('_calc'!$F$2:$F$3001,$N369))</f>
        <v/>
      </c>
      <c r="I369" s="27" t="str">
        <f>IF($N369="","",INDEX('_calc'!$H$2:$H$3001,$N369))</f>
        <v/>
      </c>
      <c r="J369" s="27" t="str">
        <f>IF($N369="","",INDEX('_calc'!$I$2:$I$3001,$N369))</f>
        <v/>
      </c>
      <c r="K369" s="28" t="str">
        <f>IF($N369="","",IF(OR(I369="",J369=""),"",J369-I369))</f>
        <v/>
      </c>
      <c r="L369" s="29" t="str">
        <f>IF($N369="","",INDEX('_calc'!$J$2:$J$3001,$N369))</f>
        <v/>
      </c>
      <c r="M369" s="2" t="str">
        <f>IF($N369="","",IF(AND(G369=0,H369=0),"수량 없음",IF(G369=0,"신규 (전년 수량 없음)",IF(H369=0,"당해 수량 없음",""))))</f>
        <v/>
      </c>
      <c r="N369" t="str">
        <f>IF($B369="","",MATCH($B369,'_calc'!$L$2:$L$3001,0))</f>
        <v/>
      </c>
    </row>
    <row r="370">
      <c r="B370" s="24" t="str">
        <f>IF(ROW()-ROW($B$8)&gt;nComp,"",ROW()-ROW($B$8))</f>
        <v/>
      </c>
      <c r="C370" t="str">
        <f>IF($N370="","",INDEX('_calc'!$A$2:$A$3001,$N370))</f>
        <v/>
      </c>
      <c r="D370" s="25" t="str">
        <f>IF($N370="","",INDEX('_calc'!$C$2:$C$3001,$N370))</f>
        <v/>
      </c>
      <c r="E370" s="25" t="str">
        <f>IF($N370="","",INDEX('_calc'!$D$2:$D$3001,$N370))</f>
        <v/>
      </c>
      <c r="F370" s="26" t="str">
        <f>IF($N370="","",IF($E$8=0,"",E370/$E$8))</f>
        <v/>
      </c>
      <c r="G370" s="25" t="str">
        <f>IF($N370="","",INDEX('_calc'!$E$2:$E$3001,$N370))</f>
        <v/>
      </c>
      <c r="H370" s="25" t="str">
        <f>IF($N370="","",INDEX('_calc'!$F$2:$F$3001,$N370))</f>
        <v/>
      </c>
      <c r="I370" s="27" t="str">
        <f>IF($N370="","",INDEX('_calc'!$H$2:$H$3001,$N370))</f>
        <v/>
      </c>
      <c r="J370" s="27" t="str">
        <f>IF($N370="","",INDEX('_calc'!$I$2:$I$3001,$N370))</f>
        <v/>
      </c>
      <c r="K370" s="28" t="str">
        <f>IF($N370="","",IF(OR(I370="",J370=""),"",J370-I370))</f>
        <v/>
      </c>
      <c r="L370" s="29" t="str">
        <f>IF($N370="","",INDEX('_calc'!$J$2:$J$3001,$N370))</f>
        <v/>
      </c>
      <c r="M370" s="2" t="str">
        <f>IF($N370="","",IF(AND(G370=0,H370=0),"수량 없음",IF(G370=0,"신규 (전년 수량 없음)",IF(H370=0,"당해 수량 없음",""))))</f>
        <v/>
      </c>
      <c r="N370" t="str">
        <f>IF($B370="","",MATCH($B370,'_calc'!$L$2:$L$3001,0))</f>
        <v/>
      </c>
    </row>
    <row r="371">
      <c r="B371" s="24" t="str">
        <f>IF(ROW()-ROW($B$8)&gt;nComp,"",ROW()-ROW($B$8))</f>
        <v/>
      </c>
      <c r="C371" t="str">
        <f>IF($N371="","",INDEX('_calc'!$A$2:$A$3001,$N371))</f>
        <v/>
      </c>
      <c r="D371" s="25" t="str">
        <f>IF($N371="","",INDEX('_calc'!$C$2:$C$3001,$N371))</f>
        <v/>
      </c>
      <c r="E371" s="25" t="str">
        <f>IF($N371="","",INDEX('_calc'!$D$2:$D$3001,$N371))</f>
        <v/>
      </c>
      <c r="F371" s="26" t="str">
        <f>IF($N371="","",IF($E$8=0,"",E371/$E$8))</f>
        <v/>
      </c>
      <c r="G371" s="25" t="str">
        <f>IF($N371="","",INDEX('_calc'!$E$2:$E$3001,$N371))</f>
        <v/>
      </c>
      <c r="H371" s="25" t="str">
        <f>IF($N371="","",INDEX('_calc'!$F$2:$F$3001,$N371))</f>
        <v/>
      </c>
      <c r="I371" s="27" t="str">
        <f>IF($N371="","",INDEX('_calc'!$H$2:$H$3001,$N371))</f>
        <v/>
      </c>
      <c r="J371" s="27" t="str">
        <f>IF($N371="","",INDEX('_calc'!$I$2:$I$3001,$N371))</f>
        <v/>
      </c>
      <c r="K371" s="28" t="str">
        <f>IF($N371="","",IF(OR(I371="",J371=""),"",J371-I371))</f>
        <v/>
      </c>
      <c r="L371" s="29" t="str">
        <f>IF($N371="","",INDEX('_calc'!$J$2:$J$3001,$N371))</f>
        <v/>
      </c>
      <c r="M371" s="2" t="str">
        <f>IF($N371="","",IF(AND(G371=0,H371=0),"수량 없음",IF(G371=0,"신규 (전년 수량 없음)",IF(H371=0,"당해 수량 없음",""))))</f>
        <v/>
      </c>
      <c r="N371" t="str">
        <f>IF($B371="","",MATCH($B371,'_calc'!$L$2:$L$3001,0))</f>
        <v/>
      </c>
    </row>
    <row r="372">
      <c r="B372" s="24" t="str">
        <f>IF(ROW()-ROW($B$8)&gt;nComp,"",ROW()-ROW($B$8))</f>
        <v/>
      </c>
      <c r="C372" t="str">
        <f>IF($N372="","",INDEX('_calc'!$A$2:$A$3001,$N372))</f>
        <v/>
      </c>
      <c r="D372" s="25" t="str">
        <f>IF($N372="","",INDEX('_calc'!$C$2:$C$3001,$N372))</f>
        <v/>
      </c>
      <c r="E372" s="25" t="str">
        <f>IF($N372="","",INDEX('_calc'!$D$2:$D$3001,$N372))</f>
        <v/>
      </c>
      <c r="F372" s="26" t="str">
        <f>IF($N372="","",IF($E$8=0,"",E372/$E$8))</f>
        <v/>
      </c>
      <c r="G372" s="25" t="str">
        <f>IF($N372="","",INDEX('_calc'!$E$2:$E$3001,$N372))</f>
        <v/>
      </c>
      <c r="H372" s="25" t="str">
        <f>IF($N372="","",INDEX('_calc'!$F$2:$F$3001,$N372))</f>
        <v/>
      </c>
      <c r="I372" s="27" t="str">
        <f>IF($N372="","",INDEX('_calc'!$H$2:$H$3001,$N372))</f>
        <v/>
      </c>
      <c r="J372" s="27" t="str">
        <f>IF($N372="","",INDEX('_calc'!$I$2:$I$3001,$N372))</f>
        <v/>
      </c>
      <c r="K372" s="28" t="str">
        <f>IF($N372="","",IF(OR(I372="",J372=""),"",J372-I372))</f>
        <v/>
      </c>
      <c r="L372" s="29" t="str">
        <f>IF($N372="","",INDEX('_calc'!$J$2:$J$3001,$N372))</f>
        <v/>
      </c>
      <c r="M372" s="2" t="str">
        <f>IF($N372="","",IF(AND(G372=0,H372=0),"수량 없음",IF(G372=0,"신규 (전년 수량 없음)",IF(H372=0,"당해 수량 없음",""))))</f>
        <v/>
      </c>
      <c r="N372" t="str">
        <f>IF($B372="","",MATCH($B372,'_calc'!$L$2:$L$3001,0))</f>
        <v/>
      </c>
    </row>
    <row r="373">
      <c r="B373" s="24" t="str">
        <f>IF(ROW()-ROW($B$8)&gt;nComp,"",ROW()-ROW($B$8))</f>
        <v/>
      </c>
      <c r="C373" t="str">
        <f>IF($N373="","",INDEX('_calc'!$A$2:$A$3001,$N373))</f>
        <v/>
      </c>
      <c r="D373" s="25" t="str">
        <f>IF($N373="","",INDEX('_calc'!$C$2:$C$3001,$N373))</f>
        <v/>
      </c>
      <c r="E373" s="25" t="str">
        <f>IF($N373="","",INDEX('_calc'!$D$2:$D$3001,$N373))</f>
        <v/>
      </c>
      <c r="F373" s="26" t="str">
        <f>IF($N373="","",IF($E$8=0,"",E373/$E$8))</f>
        <v/>
      </c>
      <c r="G373" s="25" t="str">
        <f>IF($N373="","",INDEX('_calc'!$E$2:$E$3001,$N373))</f>
        <v/>
      </c>
      <c r="H373" s="25" t="str">
        <f>IF($N373="","",INDEX('_calc'!$F$2:$F$3001,$N373))</f>
        <v/>
      </c>
      <c r="I373" s="27" t="str">
        <f>IF($N373="","",INDEX('_calc'!$H$2:$H$3001,$N373))</f>
        <v/>
      </c>
      <c r="J373" s="27" t="str">
        <f>IF($N373="","",INDEX('_calc'!$I$2:$I$3001,$N373))</f>
        <v/>
      </c>
      <c r="K373" s="28" t="str">
        <f>IF($N373="","",IF(OR(I373="",J373=""),"",J373-I373))</f>
        <v/>
      </c>
      <c r="L373" s="29" t="str">
        <f>IF($N373="","",INDEX('_calc'!$J$2:$J$3001,$N373))</f>
        <v/>
      </c>
      <c r="M373" s="2" t="str">
        <f>IF($N373="","",IF(AND(G373=0,H373=0),"수량 없음",IF(G373=0,"신규 (전년 수량 없음)",IF(H373=0,"당해 수량 없음",""))))</f>
        <v/>
      </c>
      <c r="N373" t="str">
        <f>IF($B373="","",MATCH($B373,'_calc'!$L$2:$L$3001,0))</f>
        <v/>
      </c>
    </row>
    <row r="374">
      <c r="B374" s="24" t="str">
        <f>IF(ROW()-ROW($B$8)&gt;nComp,"",ROW()-ROW($B$8))</f>
        <v/>
      </c>
      <c r="C374" t="str">
        <f>IF($N374="","",INDEX('_calc'!$A$2:$A$3001,$N374))</f>
        <v/>
      </c>
      <c r="D374" s="25" t="str">
        <f>IF($N374="","",INDEX('_calc'!$C$2:$C$3001,$N374))</f>
        <v/>
      </c>
      <c r="E374" s="25" t="str">
        <f>IF($N374="","",INDEX('_calc'!$D$2:$D$3001,$N374))</f>
        <v/>
      </c>
      <c r="F374" s="26" t="str">
        <f>IF($N374="","",IF($E$8=0,"",E374/$E$8))</f>
        <v/>
      </c>
      <c r="G374" s="25" t="str">
        <f>IF($N374="","",INDEX('_calc'!$E$2:$E$3001,$N374))</f>
        <v/>
      </c>
      <c r="H374" s="25" t="str">
        <f>IF($N374="","",INDEX('_calc'!$F$2:$F$3001,$N374))</f>
        <v/>
      </c>
      <c r="I374" s="27" t="str">
        <f>IF($N374="","",INDEX('_calc'!$H$2:$H$3001,$N374))</f>
        <v/>
      </c>
      <c r="J374" s="27" t="str">
        <f>IF($N374="","",INDEX('_calc'!$I$2:$I$3001,$N374))</f>
        <v/>
      </c>
      <c r="K374" s="28" t="str">
        <f>IF($N374="","",IF(OR(I374="",J374=""),"",J374-I374))</f>
        <v/>
      </c>
      <c r="L374" s="29" t="str">
        <f>IF($N374="","",INDEX('_calc'!$J$2:$J$3001,$N374))</f>
        <v/>
      </c>
      <c r="M374" s="2" t="str">
        <f>IF($N374="","",IF(AND(G374=0,H374=0),"수량 없음",IF(G374=0,"신규 (전년 수량 없음)",IF(H374=0,"당해 수량 없음",""))))</f>
        <v/>
      </c>
      <c r="N374" t="str">
        <f>IF($B374="","",MATCH($B374,'_calc'!$L$2:$L$3001,0))</f>
        <v/>
      </c>
    </row>
    <row r="375">
      <c r="B375" s="24" t="str">
        <f>IF(ROW()-ROW($B$8)&gt;nComp,"",ROW()-ROW($B$8))</f>
        <v/>
      </c>
      <c r="C375" t="str">
        <f>IF($N375="","",INDEX('_calc'!$A$2:$A$3001,$N375))</f>
        <v/>
      </c>
      <c r="D375" s="25" t="str">
        <f>IF($N375="","",INDEX('_calc'!$C$2:$C$3001,$N375))</f>
        <v/>
      </c>
      <c r="E375" s="25" t="str">
        <f>IF($N375="","",INDEX('_calc'!$D$2:$D$3001,$N375))</f>
        <v/>
      </c>
      <c r="F375" s="26" t="str">
        <f>IF($N375="","",IF($E$8=0,"",E375/$E$8))</f>
        <v/>
      </c>
      <c r="G375" s="25" t="str">
        <f>IF($N375="","",INDEX('_calc'!$E$2:$E$3001,$N375))</f>
        <v/>
      </c>
      <c r="H375" s="25" t="str">
        <f>IF($N375="","",INDEX('_calc'!$F$2:$F$3001,$N375))</f>
        <v/>
      </c>
      <c r="I375" s="27" t="str">
        <f>IF($N375="","",INDEX('_calc'!$H$2:$H$3001,$N375))</f>
        <v/>
      </c>
      <c r="J375" s="27" t="str">
        <f>IF($N375="","",INDEX('_calc'!$I$2:$I$3001,$N375))</f>
        <v/>
      </c>
      <c r="K375" s="28" t="str">
        <f>IF($N375="","",IF(OR(I375="",J375=""),"",J375-I375))</f>
        <v/>
      </c>
      <c r="L375" s="29" t="str">
        <f>IF($N375="","",INDEX('_calc'!$J$2:$J$3001,$N375))</f>
        <v/>
      </c>
      <c r="M375" s="2" t="str">
        <f>IF($N375="","",IF(AND(G375=0,H375=0),"수량 없음",IF(G375=0,"신규 (전년 수량 없음)",IF(H375=0,"당해 수량 없음",""))))</f>
        <v/>
      </c>
      <c r="N375" t="str">
        <f>IF($B375="","",MATCH($B375,'_calc'!$L$2:$L$3001,0))</f>
        <v/>
      </c>
    </row>
    <row r="376">
      <c r="B376" s="24" t="str">
        <f>IF(ROW()-ROW($B$8)&gt;nComp,"",ROW()-ROW($B$8))</f>
        <v/>
      </c>
      <c r="C376" t="str">
        <f>IF($N376="","",INDEX('_calc'!$A$2:$A$3001,$N376))</f>
        <v/>
      </c>
      <c r="D376" s="25" t="str">
        <f>IF($N376="","",INDEX('_calc'!$C$2:$C$3001,$N376))</f>
        <v/>
      </c>
      <c r="E376" s="25" t="str">
        <f>IF($N376="","",INDEX('_calc'!$D$2:$D$3001,$N376))</f>
        <v/>
      </c>
      <c r="F376" s="26" t="str">
        <f>IF($N376="","",IF($E$8=0,"",E376/$E$8))</f>
        <v/>
      </c>
      <c r="G376" s="25" t="str">
        <f>IF($N376="","",INDEX('_calc'!$E$2:$E$3001,$N376))</f>
        <v/>
      </c>
      <c r="H376" s="25" t="str">
        <f>IF($N376="","",INDEX('_calc'!$F$2:$F$3001,$N376))</f>
        <v/>
      </c>
      <c r="I376" s="27" t="str">
        <f>IF($N376="","",INDEX('_calc'!$H$2:$H$3001,$N376))</f>
        <v/>
      </c>
      <c r="J376" s="27" t="str">
        <f>IF($N376="","",INDEX('_calc'!$I$2:$I$3001,$N376))</f>
        <v/>
      </c>
      <c r="K376" s="28" t="str">
        <f>IF($N376="","",IF(OR(I376="",J376=""),"",J376-I376))</f>
        <v/>
      </c>
      <c r="L376" s="29" t="str">
        <f>IF($N376="","",INDEX('_calc'!$J$2:$J$3001,$N376))</f>
        <v/>
      </c>
      <c r="M376" s="2" t="str">
        <f>IF($N376="","",IF(AND(G376=0,H376=0),"수량 없음",IF(G376=0,"신규 (전년 수량 없음)",IF(H376=0,"당해 수량 없음",""))))</f>
        <v/>
      </c>
      <c r="N376" t="str">
        <f>IF($B376="","",MATCH($B376,'_calc'!$L$2:$L$3001,0))</f>
        <v/>
      </c>
    </row>
    <row r="377">
      <c r="B377" s="24" t="str">
        <f>IF(ROW()-ROW($B$8)&gt;nComp,"",ROW()-ROW($B$8))</f>
        <v/>
      </c>
      <c r="C377" t="str">
        <f>IF($N377="","",INDEX('_calc'!$A$2:$A$3001,$N377))</f>
        <v/>
      </c>
      <c r="D377" s="25" t="str">
        <f>IF($N377="","",INDEX('_calc'!$C$2:$C$3001,$N377))</f>
        <v/>
      </c>
      <c r="E377" s="25" t="str">
        <f>IF($N377="","",INDEX('_calc'!$D$2:$D$3001,$N377))</f>
        <v/>
      </c>
      <c r="F377" s="26" t="str">
        <f>IF($N377="","",IF($E$8=0,"",E377/$E$8))</f>
        <v/>
      </c>
      <c r="G377" s="25" t="str">
        <f>IF($N377="","",INDEX('_calc'!$E$2:$E$3001,$N377))</f>
        <v/>
      </c>
      <c r="H377" s="25" t="str">
        <f>IF($N377="","",INDEX('_calc'!$F$2:$F$3001,$N377))</f>
        <v/>
      </c>
      <c r="I377" s="27" t="str">
        <f>IF($N377="","",INDEX('_calc'!$H$2:$H$3001,$N377))</f>
        <v/>
      </c>
      <c r="J377" s="27" t="str">
        <f>IF($N377="","",INDEX('_calc'!$I$2:$I$3001,$N377))</f>
        <v/>
      </c>
      <c r="K377" s="28" t="str">
        <f>IF($N377="","",IF(OR(I377="",J377=""),"",J377-I377))</f>
        <v/>
      </c>
      <c r="L377" s="29" t="str">
        <f>IF($N377="","",INDEX('_calc'!$J$2:$J$3001,$N377))</f>
        <v/>
      </c>
      <c r="M377" s="2" t="str">
        <f>IF($N377="","",IF(AND(G377=0,H377=0),"수량 없음",IF(G377=0,"신규 (전년 수량 없음)",IF(H377=0,"당해 수량 없음",""))))</f>
        <v/>
      </c>
      <c r="N377" t="str">
        <f>IF($B377="","",MATCH($B377,'_calc'!$L$2:$L$3001,0))</f>
        <v/>
      </c>
    </row>
    <row r="378">
      <c r="B378" s="24" t="str">
        <f>IF(ROW()-ROW($B$8)&gt;nComp,"",ROW()-ROW($B$8))</f>
        <v/>
      </c>
      <c r="C378" t="str">
        <f>IF($N378="","",INDEX('_calc'!$A$2:$A$3001,$N378))</f>
        <v/>
      </c>
      <c r="D378" s="25" t="str">
        <f>IF($N378="","",INDEX('_calc'!$C$2:$C$3001,$N378))</f>
        <v/>
      </c>
      <c r="E378" s="25" t="str">
        <f>IF($N378="","",INDEX('_calc'!$D$2:$D$3001,$N378))</f>
        <v/>
      </c>
      <c r="F378" s="26" t="str">
        <f>IF($N378="","",IF($E$8=0,"",E378/$E$8))</f>
        <v/>
      </c>
      <c r="G378" s="25" t="str">
        <f>IF($N378="","",INDEX('_calc'!$E$2:$E$3001,$N378))</f>
        <v/>
      </c>
      <c r="H378" s="25" t="str">
        <f>IF($N378="","",INDEX('_calc'!$F$2:$F$3001,$N378))</f>
        <v/>
      </c>
      <c r="I378" s="27" t="str">
        <f>IF($N378="","",INDEX('_calc'!$H$2:$H$3001,$N378))</f>
        <v/>
      </c>
      <c r="J378" s="27" t="str">
        <f>IF($N378="","",INDEX('_calc'!$I$2:$I$3001,$N378))</f>
        <v/>
      </c>
      <c r="K378" s="28" t="str">
        <f>IF($N378="","",IF(OR(I378="",J378=""),"",J378-I378))</f>
        <v/>
      </c>
      <c r="L378" s="29" t="str">
        <f>IF($N378="","",INDEX('_calc'!$J$2:$J$3001,$N378))</f>
        <v/>
      </c>
      <c r="M378" s="2" t="str">
        <f>IF($N378="","",IF(AND(G378=0,H378=0),"수량 없음",IF(G378=0,"신규 (전년 수량 없음)",IF(H378=0,"당해 수량 없음",""))))</f>
        <v/>
      </c>
      <c r="N378" t="str">
        <f>IF($B378="","",MATCH($B378,'_calc'!$L$2:$L$3001,0))</f>
        <v/>
      </c>
    </row>
    <row r="379">
      <c r="B379" s="24" t="str">
        <f>IF(ROW()-ROW($B$8)&gt;nComp,"",ROW()-ROW($B$8))</f>
        <v/>
      </c>
      <c r="C379" t="str">
        <f>IF($N379="","",INDEX('_calc'!$A$2:$A$3001,$N379))</f>
        <v/>
      </c>
      <c r="D379" s="25" t="str">
        <f>IF($N379="","",INDEX('_calc'!$C$2:$C$3001,$N379))</f>
        <v/>
      </c>
      <c r="E379" s="25" t="str">
        <f>IF($N379="","",INDEX('_calc'!$D$2:$D$3001,$N379))</f>
        <v/>
      </c>
      <c r="F379" s="26" t="str">
        <f>IF($N379="","",IF($E$8=0,"",E379/$E$8))</f>
        <v/>
      </c>
      <c r="G379" s="25" t="str">
        <f>IF($N379="","",INDEX('_calc'!$E$2:$E$3001,$N379))</f>
        <v/>
      </c>
      <c r="H379" s="25" t="str">
        <f>IF($N379="","",INDEX('_calc'!$F$2:$F$3001,$N379))</f>
        <v/>
      </c>
      <c r="I379" s="27" t="str">
        <f>IF($N379="","",INDEX('_calc'!$H$2:$H$3001,$N379))</f>
        <v/>
      </c>
      <c r="J379" s="27" t="str">
        <f>IF($N379="","",INDEX('_calc'!$I$2:$I$3001,$N379))</f>
        <v/>
      </c>
      <c r="K379" s="28" t="str">
        <f>IF($N379="","",IF(OR(I379="",J379=""),"",J379-I379))</f>
        <v/>
      </c>
      <c r="L379" s="29" t="str">
        <f>IF($N379="","",INDEX('_calc'!$J$2:$J$3001,$N379))</f>
        <v/>
      </c>
      <c r="M379" s="2" t="str">
        <f>IF($N379="","",IF(AND(G379=0,H379=0),"수량 없음",IF(G379=0,"신규 (전년 수량 없음)",IF(H379=0,"당해 수량 없음",""))))</f>
        <v/>
      </c>
      <c r="N379" t="str">
        <f>IF($B379="","",MATCH($B379,'_calc'!$L$2:$L$3001,0))</f>
        <v/>
      </c>
    </row>
    <row r="380">
      <c r="B380" s="24" t="str">
        <f>IF(ROW()-ROW($B$8)&gt;nComp,"",ROW()-ROW($B$8))</f>
        <v/>
      </c>
      <c r="C380" t="str">
        <f>IF($N380="","",INDEX('_calc'!$A$2:$A$3001,$N380))</f>
        <v/>
      </c>
      <c r="D380" s="25" t="str">
        <f>IF($N380="","",INDEX('_calc'!$C$2:$C$3001,$N380))</f>
        <v/>
      </c>
      <c r="E380" s="25" t="str">
        <f>IF($N380="","",INDEX('_calc'!$D$2:$D$3001,$N380))</f>
        <v/>
      </c>
      <c r="F380" s="26" t="str">
        <f>IF($N380="","",IF($E$8=0,"",E380/$E$8))</f>
        <v/>
      </c>
      <c r="G380" s="25" t="str">
        <f>IF($N380="","",INDEX('_calc'!$E$2:$E$3001,$N380))</f>
        <v/>
      </c>
      <c r="H380" s="25" t="str">
        <f>IF($N380="","",INDEX('_calc'!$F$2:$F$3001,$N380))</f>
        <v/>
      </c>
      <c r="I380" s="27" t="str">
        <f>IF($N380="","",INDEX('_calc'!$H$2:$H$3001,$N380))</f>
        <v/>
      </c>
      <c r="J380" s="27" t="str">
        <f>IF($N380="","",INDEX('_calc'!$I$2:$I$3001,$N380))</f>
        <v/>
      </c>
      <c r="K380" s="28" t="str">
        <f>IF($N380="","",IF(OR(I380="",J380=""),"",J380-I380))</f>
        <v/>
      </c>
      <c r="L380" s="29" t="str">
        <f>IF($N380="","",INDEX('_calc'!$J$2:$J$3001,$N380))</f>
        <v/>
      </c>
      <c r="M380" s="2" t="str">
        <f>IF($N380="","",IF(AND(G380=0,H380=0),"수량 없음",IF(G380=0,"신규 (전년 수량 없음)",IF(H380=0,"당해 수량 없음",""))))</f>
        <v/>
      </c>
      <c r="N380" t="str">
        <f>IF($B380="","",MATCH($B380,'_calc'!$L$2:$L$3001,0))</f>
        <v/>
      </c>
    </row>
    <row r="381">
      <c r="B381" s="24" t="str">
        <f>IF(ROW()-ROW($B$8)&gt;nComp,"",ROW()-ROW($B$8))</f>
        <v/>
      </c>
      <c r="C381" t="str">
        <f>IF($N381="","",INDEX('_calc'!$A$2:$A$3001,$N381))</f>
        <v/>
      </c>
      <c r="D381" s="25" t="str">
        <f>IF($N381="","",INDEX('_calc'!$C$2:$C$3001,$N381))</f>
        <v/>
      </c>
      <c r="E381" s="25" t="str">
        <f>IF($N381="","",INDEX('_calc'!$D$2:$D$3001,$N381))</f>
        <v/>
      </c>
      <c r="F381" s="26" t="str">
        <f>IF($N381="","",IF($E$8=0,"",E381/$E$8))</f>
        <v/>
      </c>
      <c r="G381" s="25" t="str">
        <f>IF($N381="","",INDEX('_calc'!$E$2:$E$3001,$N381))</f>
        <v/>
      </c>
      <c r="H381" s="25" t="str">
        <f>IF($N381="","",INDEX('_calc'!$F$2:$F$3001,$N381))</f>
        <v/>
      </c>
      <c r="I381" s="27" t="str">
        <f>IF($N381="","",INDEX('_calc'!$H$2:$H$3001,$N381))</f>
        <v/>
      </c>
      <c r="J381" s="27" t="str">
        <f>IF($N381="","",INDEX('_calc'!$I$2:$I$3001,$N381))</f>
        <v/>
      </c>
      <c r="K381" s="28" t="str">
        <f>IF($N381="","",IF(OR(I381="",J381=""),"",J381-I381))</f>
        <v/>
      </c>
      <c r="L381" s="29" t="str">
        <f>IF($N381="","",INDEX('_calc'!$J$2:$J$3001,$N381))</f>
        <v/>
      </c>
      <c r="M381" s="2" t="str">
        <f>IF($N381="","",IF(AND(G381=0,H381=0),"수량 없음",IF(G381=0,"신규 (전년 수량 없음)",IF(H381=0,"당해 수량 없음",""))))</f>
        <v/>
      </c>
      <c r="N381" t="str">
        <f>IF($B381="","",MATCH($B381,'_calc'!$L$2:$L$3001,0))</f>
        <v/>
      </c>
    </row>
    <row r="382">
      <c r="B382" s="24" t="str">
        <f>IF(ROW()-ROW($B$8)&gt;nComp,"",ROW()-ROW($B$8))</f>
        <v/>
      </c>
      <c r="C382" t="str">
        <f>IF($N382="","",INDEX('_calc'!$A$2:$A$3001,$N382))</f>
        <v/>
      </c>
      <c r="D382" s="25" t="str">
        <f>IF($N382="","",INDEX('_calc'!$C$2:$C$3001,$N382))</f>
        <v/>
      </c>
      <c r="E382" s="25" t="str">
        <f>IF($N382="","",INDEX('_calc'!$D$2:$D$3001,$N382))</f>
        <v/>
      </c>
      <c r="F382" s="26" t="str">
        <f>IF($N382="","",IF($E$8=0,"",E382/$E$8))</f>
        <v/>
      </c>
      <c r="G382" s="25" t="str">
        <f>IF($N382="","",INDEX('_calc'!$E$2:$E$3001,$N382))</f>
        <v/>
      </c>
      <c r="H382" s="25" t="str">
        <f>IF($N382="","",INDEX('_calc'!$F$2:$F$3001,$N382))</f>
        <v/>
      </c>
      <c r="I382" s="27" t="str">
        <f>IF($N382="","",INDEX('_calc'!$H$2:$H$3001,$N382))</f>
        <v/>
      </c>
      <c r="J382" s="27" t="str">
        <f>IF($N382="","",INDEX('_calc'!$I$2:$I$3001,$N382))</f>
        <v/>
      </c>
      <c r="K382" s="28" t="str">
        <f>IF($N382="","",IF(OR(I382="",J382=""),"",J382-I382))</f>
        <v/>
      </c>
      <c r="L382" s="29" t="str">
        <f>IF($N382="","",INDEX('_calc'!$J$2:$J$3001,$N382))</f>
        <v/>
      </c>
      <c r="M382" s="2" t="str">
        <f>IF($N382="","",IF(AND(G382=0,H382=0),"수량 없음",IF(G382=0,"신규 (전년 수량 없음)",IF(H382=0,"당해 수량 없음",""))))</f>
        <v/>
      </c>
      <c r="N382" t="str">
        <f>IF($B382="","",MATCH($B382,'_calc'!$L$2:$L$3001,0))</f>
        <v/>
      </c>
    </row>
    <row r="383">
      <c r="B383" s="24" t="str">
        <f>IF(ROW()-ROW($B$8)&gt;nComp,"",ROW()-ROW($B$8))</f>
        <v/>
      </c>
      <c r="C383" t="str">
        <f>IF($N383="","",INDEX('_calc'!$A$2:$A$3001,$N383))</f>
        <v/>
      </c>
      <c r="D383" s="25" t="str">
        <f>IF($N383="","",INDEX('_calc'!$C$2:$C$3001,$N383))</f>
        <v/>
      </c>
      <c r="E383" s="25" t="str">
        <f>IF($N383="","",INDEX('_calc'!$D$2:$D$3001,$N383))</f>
        <v/>
      </c>
      <c r="F383" s="26" t="str">
        <f>IF($N383="","",IF($E$8=0,"",E383/$E$8))</f>
        <v/>
      </c>
      <c r="G383" s="25" t="str">
        <f>IF($N383="","",INDEX('_calc'!$E$2:$E$3001,$N383))</f>
        <v/>
      </c>
      <c r="H383" s="25" t="str">
        <f>IF($N383="","",INDEX('_calc'!$F$2:$F$3001,$N383))</f>
        <v/>
      </c>
      <c r="I383" s="27" t="str">
        <f>IF($N383="","",INDEX('_calc'!$H$2:$H$3001,$N383))</f>
        <v/>
      </c>
      <c r="J383" s="27" t="str">
        <f>IF($N383="","",INDEX('_calc'!$I$2:$I$3001,$N383))</f>
        <v/>
      </c>
      <c r="K383" s="28" t="str">
        <f>IF($N383="","",IF(OR(I383="",J383=""),"",J383-I383))</f>
        <v/>
      </c>
      <c r="L383" s="29" t="str">
        <f>IF($N383="","",INDEX('_calc'!$J$2:$J$3001,$N383))</f>
        <v/>
      </c>
      <c r="M383" s="2" t="str">
        <f>IF($N383="","",IF(AND(G383=0,H383=0),"수량 없음",IF(G383=0,"신규 (전년 수량 없음)",IF(H383=0,"당해 수량 없음",""))))</f>
        <v/>
      </c>
      <c r="N383" t="str">
        <f>IF($B383="","",MATCH($B383,'_calc'!$L$2:$L$3001,0))</f>
        <v/>
      </c>
    </row>
    <row r="384">
      <c r="B384" s="24" t="str">
        <f>IF(ROW()-ROW($B$8)&gt;nComp,"",ROW()-ROW($B$8))</f>
        <v/>
      </c>
      <c r="C384" t="str">
        <f>IF($N384="","",INDEX('_calc'!$A$2:$A$3001,$N384))</f>
        <v/>
      </c>
      <c r="D384" s="25" t="str">
        <f>IF($N384="","",INDEX('_calc'!$C$2:$C$3001,$N384))</f>
        <v/>
      </c>
      <c r="E384" s="25" t="str">
        <f>IF($N384="","",INDEX('_calc'!$D$2:$D$3001,$N384))</f>
        <v/>
      </c>
      <c r="F384" s="26" t="str">
        <f>IF($N384="","",IF($E$8=0,"",E384/$E$8))</f>
        <v/>
      </c>
      <c r="G384" s="25" t="str">
        <f>IF($N384="","",INDEX('_calc'!$E$2:$E$3001,$N384))</f>
        <v/>
      </c>
      <c r="H384" s="25" t="str">
        <f>IF($N384="","",INDEX('_calc'!$F$2:$F$3001,$N384))</f>
        <v/>
      </c>
      <c r="I384" s="27" t="str">
        <f>IF($N384="","",INDEX('_calc'!$H$2:$H$3001,$N384))</f>
        <v/>
      </c>
      <c r="J384" s="27" t="str">
        <f>IF($N384="","",INDEX('_calc'!$I$2:$I$3001,$N384))</f>
        <v/>
      </c>
      <c r="K384" s="28" t="str">
        <f>IF($N384="","",IF(OR(I384="",J384=""),"",J384-I384))</f>
        <v/>
      </c>
      <c r="L384" s="29" t="str">
        <f>IF($N384="","",INDEX('_calc'!$J$2:$J$3001,$N384))</f>
        <v/>
      </c>
      <c r="M384" s="2" t="str">
        <f>IF($N384="","",IF(AND(G384=0,H384=0),"수량 없음",IF(G384=0,"신규 (전년 수량 없음)",IF(H384=0,"당해 수량 없음",""))))</f>
        <v/>
      </c>
      <c r="N384" t="str">
        <f>IF($B384="","",MATCH($B384,'_calc'!$L$2:$L$3001,0))</f>
        <v/>
      </c>
    </row>
    <row r="385">
      <c r="B385" s="24" t="str">
        <f>IF(ROW()-ROW($B$8)&gt;nComp,"",ROW()-ROW($B$8))</f>
        <v/>
      </c>
      <c r="C385" t="str">
        <f>IF($N385="","",INDEX('_calc'!$A$2:$A$3001,$N385))</f>
        <v/>
      </c>
      <c r="D385" s="25" t="str">
        <f>IF($N385="","",INDEX('_calc'!$C$2:$C$3001,$N385))</f>
        <v/>
      </c>
      <c r="E385" s="25" t="str">
        <f>IF($N385="","",INDEX('_calc'!$D$2:$D$3001,$N385))</f>
        <v/>
      </c>
      <c r="F385" s="26" t="str">
        <f>IF($N385="","",IF($E$8=0,"",E385/$E$8))</f>
        <v/>
      </c>
      <c r="G385" s="25" t="str">
        <f>IF($N385="","",INDEX('_calc'!$E$2:$E$3001,$N385))</f>
        <v/>
      </c>
      <c r="H385" s="25" t="str">
        <f>IF($N385="","",INDEX('_calc'!$F$2:$F$3001,$N385))</f>
        <v/>
      </c>
      <c r="I385" s="27" t="str">
        <f>IF($N385="","",INDEX('_calc'!$H$2:$H$3001,$N385))</f>
        <v/>
      </c>
      <c r="J385" s="27" t="str">
        <f>IF($N385="","",INDEX('_calc'!$I$2:$I$3001,$N385))</f>
        <v/>
      </c>
      <c r="K385" s="28" t="str">
        <f>IF($N385="","",IF(OR(I385="",J385=""),"",J385-I385))</f>
        <v/>
      </c>
      <c r="L385" s="29" t="str">
        <f>IF($N385="","",INDEX('_calc'!$J$2:$J$3001,$N385))</f>
        <v/>
      </c>
      <c r="M385" s="2" t="str">
        <f>IF($N385="","",IF(AND(G385=0,H385=0),"수량 없음",IF(G385=0,"신규 (전년 수량 없음)",IF(H385=0,"당해 수량 없음",""))))</f>
        <v/>
      </c>
      <c r="N385" t="str">
        <f>IF($B385="","",MATCH($B385,'_calc'!$L$2:$L$3001,0))</f>
        <v/>
      </c>
    </row>
    <row r="386">
      <c r="B386" s="24" t="str">
        <f>IF(ROW()-ROW($B$8)&gt;nComp,"",ROW()-ROW($B$8))</f>
        <v/>
      </c>
      <c r="C386" t="str">
        <f>IF($N386="","",INDEX('_calc'!$A$2:$A$3001,$N386))</f>
        <v/>
      </c>
      <c r="D386" s="25" t="str">
        <f>IF($N386="","",INDEX('_calc'!$C$2:$C$3001,$N386))</f>
        <v/>
      </c>
      <c r="E386" s="25" t="str">
        <f>IF($N386="","",INDEX('_calc'!$D$2:$D$3001,$N386))</f>
        <v/>
      </c>
      <c r="F386" s="26" t="str">
        <f>IF($N386="","",IF($E$8=0,"",E386/$E$8))</f>
        <v/>
      </c>
      <c r="G386" s="25" t="str">
        <f>IF($N386="","",INDEX('_calc'!$E$2:$E$3001,$N386))</f>
        <v/>
      </c>
      <c r="H386" s="25" t="str">
        <f>IF($N386="","",INDEX('_calc'!$F$2:$F$3001,$N386))</f>
        <v/>
      </c>
      <c r="I386" s="27" t="str">
        <f>IF($N386="","",INDEX('_calc'!$H$2:$H$3001,$N386))</f>
        <v/>
      </c>
      <c r="J386" s="27" t="str">
        <f>IF($N386="","",INDEX('_calc'!$I$2:$I$3001,$N386))</f>
        <v/>
      </c>
      <c r="K386" s="28" t="str">
        <f>IF($N386="","",IF(OR(I386="",J386=""),"",J386-I386))</f>
        <v/>
      </c>
      <c r="L386" s="29" t="str">
        <f>IF($N386="","",INDEX('_calc'!$J$2:$J$3001,$N386))</f>
        <v/>
      </c>
      <c r="M386" s="2" t="str">
        <f>IF($N386="","",IF(AND(G386=0,H386=0),"수량 없음",IF(G386=0,"신규 (전년 수량 없음)",IF(H386=0,"당해 수량 없음",""))))</f>
        <v/>
      </c>
      <c r="N386" t="str">
        <f>IF($B386="","",MATCH($B386,'_calc'!$L$2:$L$3001,0))</f>
        <v/>
      </c>
    </row>
    <row r="387">
      <c r="B387" s="24" t="str">
        <f>IF(ROW()-ROW($B$8)&gt;nComp,"",ROW()-ROW($B$8))</f>
        <v/>
      </c>
      <c r="C387" t="str">
        <f>IF($N387="","",INDEX('_calc'!$A$2:$A$3001,$N387))</f>
        <v/>
      </c>
      <c r="D387" s="25" t="str">
        <f>IF($N387="","",INDEX('_calc'!$C$2:$C$3001,$N387))</f>
        <v/>
      </c>
      <c r="E387" s="25" t="str">
        <f>IF($N387="","",INDEX('_calc'!$D$2:$D$3001,$N387))</f>
        <v/>
      </c>
      <c r="F387" s="26" t="str">
        <f>IF($N387="","",IF($E$8=0,"",E387/$E$8))</f>
        <v/>
      </c>
      <c r="G387" s="25" t="str">
        <f>IF($N387="","",INDEX('_calc'!$E$2:$E$3001,$N387))</f>
        <v/>
      </c>
      <c r="H387" s="25" t="str">
        <f>IF($N387="","",INDEX('_calc'!$F$2:$F$3001,$N387))</f>
        <v/>
      </c>
      <c r="I387" s="27" t="str">
        <f>IF($N387="","",INDEX('_calc'!$H$2:$H$3001,$N387))</f>
        <v/>
      </c>
      <c r="J387" s="27" t="str">
        <f>IF($N387="","",INDEX('_calc'!$I$2:$I$3001,$N387))</f>
        <v/>
      </c>
      <c r="K387" s="28" t="str">
        <f>IF($N387="","",IF(OR(I387="",J387=""),"",J387-I387))</f>
        <v/>
      </c>
      <c r="L387" s="29" t="str">
        <f>IF($N387="","",INDEX('_calc'!$J$2:$J$3001,$N387))</f>
        <v/>
      </c>
      <c r="M387" s="2" t="str">
        <f>IF($N387="","",IF(AND(G387=0,H387=0),"수량 없음",IF(G387=0,"신규 (전년 수량 없음)",IF(H387=0,"당해 수량 없음",""))))</f>
        <v/>
      </c>
      <c r="N387" t="str">
        <f>IF($B387="","",MATCH($B387,'_calc'!$L$2:$L$3001,0))</f>
        <v/>
      </c>
    </row>
    <row r="388">
      <c r="B388" s="24" t="str">
        <f>IF(ROW()-ROW($B$8)&gt;nComp,"",ROW()-ROW($B$8))</f>
        <v/>
      </c>
      <c r="C388" t="str">
        <f>IF($N388="","",INDEX('_calc'!$A$2:$A$3001,$N388))</f>
        <v/>
      </c>
      <c r="D388" s="25" t="str">
        <f>IF($N388="","",INDEX('_calc'!$C$2:$C$3001,$N388))</f>
        <v/>
      </c>
      <c r="E388" s="25" t="str">
        <f>IF($N388="","",INDEX('_calc'!$D$2:$D$3001,$N388))</f>
        <v/>
      </c>
      <c r="F388" s="26" t="str">
        <f>IF($N388="","",IF($E$8=0,"",E388/$E$8))</f>
        <v/>
      </c>
      <c r="G388" s="25" t="str">
        <f>IF($N388="","",INDEX('_calc'!$E$2:$E$3001,$N388))</f>
        <v/>
      </c>
      <c r="H388" s="25" t="str">
        <f>IF($N388="","",INDEX('_calc'!$F$2:$F$3001,$N388))</f>
        <v/>
      </c>
      <c r="I388" s="27" t="str">
        <f>IF($N388="","",INDEX('_calc'!$H$2:$H$3001,$N388))</f>
        <v/>
      </c>
      <c r="J388" s="27" t="str">
        <f>IF($N388="","",INDEX('_calc'!$I$2:$I$3001,$N388))</f>
        <v/>
      </c>
      <c r="K388" s="28" t="str">
        <f>IF($N388="","",IF(OR(I388="",J388=""),"",J388-I388))</f>
        <v/>
      </c>
      <c r="L388" s="29" t="str">
        <f>IF($N388="","",INDEX('_calc'!$J$2:$J$3001,$N388))</f>
        <v/>
      </c>
      <c r="M388" s="2" t="str">
        <f>IF($N388="","",IF(AND(G388=0,H388=0),"수량 없음",IF(G388=0,"신규 (전년 수량 없음)",IF(H388=0,"당해 수량 없음",""))))</f>
        <v/>
      </c>
      <c r="N388" t="str">
        <f>IF($B388="","",MATCH($B388,'_calc'!$L$2:$L$3001,0))</f>
        <v/>
      </c>
    </row>
    <row r="389">
      <c r="B389" s="24" t="str">
        <f>IF(ROW()-ROW($B$8)&gt;nComp,"",ROW()-ROW($B$8))</f>
        <v/>
      </c>
      <c r="C389" t="str">
        <f>IF($N389="","",INDEX('_calc'!$A$2:$A$3001,$N389))</f>
        <v/>
      </c>
      <c r="D389" s="25" t="str">
        <f>IF($N389="","",INDEX('_calc'!$C$2:$C$3001,$N389))</f>
        <v/>
      </c>
      <c r="E389" s="25" t="str">
        <f>IF($N389="","",INDEX('_calc'!$D$2:$D$3001,$N389))</f>
        <v/>
      </c>
      <c r="F389" s="26" t="str">
        <f>IF($N389="","",IF($E$8=0,"",E389/$E$8))</f>
        <v/>
      </c>
      <c r="G389" s="25" t="str">
        <f>IF($N389="","",INDEX('_calc'!$E$2:$E$3001,$N389))</f>
        <v/>
      </c>
      <c r="H389" s="25" t="str">
        <f>IF($N389="","",INDEX('_calc'!$F$2:$F$3001,$N389))</f>
        <v/>
      </c>
      <c r="I389" s="27" t="str">
        <f>IF($N389="","",INDEX('_calc'!$H$2:$H$3001,$N389))</f>
        <v/>
      </c>
      <c r="J389" s="27" t="str">
        <f>IF($N389="","",INDEX('_calc'!$I$2:$I$3001,$N389))</f>
        <v/>
      </c>
      <c r="K389" s="28" t="str">
        <f>IF($N389="","",IF(OR(I389="",J389=""),"",J389-I389))</f>
        <v/>
      </c>
      <c r="L389" s="29" t="str">
        <f>IF($N389="","",INDEX('_calc'!$J$2:$J$3001,$N389))</f>
        <v/>
      </c>
      <c r="M389" s="2" t="str">
        <f>IF($N389="","",IF(AND(G389=0,H389=0),"수량 없음",IF(G389=0,"신규 (전년 수량 없음)",IF(H389=0,"당해 수량 없음",""))))</f>
        <v/>
      </c>
      <c r="N389" t="str">
        <f>IF($B389="","",MATCH($B389,'_calc'!$L$2:$L$3001,0))</f>
        <v/>
      </c>
    </row>
    <row r="390">
      <c r="B390" s="24" t="str">
        <f>IF(ROW()-ROW($B$8)&gt;nComp,"",ROW()-ROW($B$8))</f>
        <v/>
      </c>
      <c r="C390" t="str">
        <f>IF($N390="","",INDEX('_calc'!$A$2:$A$3001,$N390))</f>
        <v/>
      </c>
      <c r="D390" s="25" t="str">
        <f>IF($N390="","",INDEX('_calc'!$C$2:$C$3001,$N390))</f>
        <v/>
      </c>
      <c r="E390" s="25" t="str">
        <f>IF($N390="","",INDEX('_calc'!$D$2:$D$3001,$N390))</f>
        <v/>
      </c>
      <c r="F390" s="26" t="str">
        <f>IF($N390="","",IF($E$8=0,"",E390/$E$8))</f>
        <v/>
      </c>
      <c r="G390" s="25" t="str">
        <f>IF($N390="","",INDEX('_calc'!$E$2:$E$3001,$N390))</f>
        <v/>
      </c>
      <c r="H390" s="25" t="str">
        <f>IF($N390="","",INDEX('_calc'!$F$2:$F$3001,$N390))</f>
        <v/>
      </c>
      <c r="I390" s="27" t="str">
        <f>IF($N390="","",INDEX('_calc'!$H$2:$H$3001,$N390))</f>
        <v/>
      </c>
      <c r="J390" s="27" t="str">
        <f>IF($N390="","",INDEX('_calc'!$I$2:$I$3001,$N390))</f>
        <v/>
      </c>
      <c r="K390" s="28" t="str">
        <f>IF($N390="","",IF(OR(I390="",J390=""),"",J390-I390))</f>
        <v/>
      </c>
      <c r="L390" s="29" t="str">
        <f>IF($N390="","",INDEX('_calc'!$J$2:$J$3001,$N390))</f>
        <v/>
      </c>
      <c r="M390" s="2" t="str">
        <f>IF($N390="","",IF(AND(G390=0,H390=0),"수량 없음",IF(G390=0,"신규 (전년 수량 없음)",IF(H390=0,"당해 수량 없음",""))))</f>
        <v/>
      </c>
      <c r="N390" t="str">
        <f>IF($B390="","",MATCH($B390,'_calc'!$L$2:$L$3001,0))</f>
        <v/>
      </c>
    </row>
    <row r="391">
      <c r="B391" s="24" t="str">
        <f>IF(ROW()-ROW($B$8)&gt;nComp,"",ROW()-ROW($B$8))</f>
        <v/>
      </c>
      <c r="C391" t="str">
        <f>IF($N391="","",INDEX('_calc'!$A$2:$A$3001,$N391))</f>
        <v/>
      </c>
      <c r="D391" s="25" t="str">
        <f>IF($N391="","",INDEX('_calc'!$C$2:$C$3001,$N391))</f>
        <v/>
      </c>
      <c r="E391" s="25" t="str">
        <f>IF($N391="","",INDEX('_calc'!$D$2:$D$3001,$N391))</f>
        <v/>
      </c>
      <c r="F391" s="26" t="str">
        <f>IF($N391="","",IF($E$8=0,"",E391/$E$8))</f>
        <v/>
      </c>
      <c r="G391" s="25" t="str">
        <f>IF($N391="","",INDEX('_calc'!$E$2:$E$3001,$N391))</f>
        <v/>
      </c>
      <c r="H391" s="25" t="str">
        <f>IF($N391="","",INDEX('_calc'!$F$2:$F$3001,$N391))</f>
        <v/>
      </c>
      <c r="I391" s="27" t="str">
        <f>IF($N391="","",INDEX('_calc'!$H$2:$H$3001,$N391))</f>
        <v/>
      </c>
      <c r="J391" s="27" t="str">
        <f>IF($N391="","",INDEX('_calc'!$I$2:$I$3001,$N391))</f>
        <v/>
      </c>
      <c r="K391" s="28" t="str">
        <f>IF($N391="","",IF(OR(I391="",J391=""),"",J391-I391))</f>
        <v/>
      </c>
      <c r="L391" s="29" t="str">
        <f>IF($N391="","",INDEX('_calc'!$J$2:$J$3001,$N391))</f>
        <v/>
      </c>
      <c r="M391" s="2" t="str">
        <f>IF($N391="","",IF(AND(G391=0,H391=0),"수량 없음",IF(G391=0,"신규 (전년 수량 없음)",IF(H391=0,"당해 수량 없음",""))))</f>
        <v/>
      </c>
      <c r="N391" t="str">
        <f>IF($B391="","",MATCH($B391,'_calc'!$L$2:$L$3001,0))</f>
        <v/>
      </c>
    </row>
    <row r="392">
      <c r="B392" s="24" t="str">
        <f>IF(ROW()-ROW($B$8)&gt;nComp,"",ROW()-ROW($B$8))</f>
        <v/>
      </c>
      <c r="C392" t="str">
        <f>IF($N392="","",INDEX('_calc'!$A$2:$A$3001,$N392))</f>
        <v/>
      </c>
      <c r="D392" s="25" t="str">
        <f>IF($N392="","",INDEX('_calc'!$C$2:$C$3001,$N392))</f>
        <v/>
      </c>
      <c r="E392" s="25" t="str">
        <f>IF($N392="","",INDEX('_calc'!$D$2:$D$3001,$N392))</f>
        <v/>
      </c>
      <c r="F392" s="26" t="str">
        <f>IF($N392="","",IF($E$8=0,"",E392/$E$8))</f>
        <v/>
      </c>
      <c r="G392" s="25" t="str">
        <f>IF($N392="","",INDEX('_calc'!$E$2:$E$3001,$N392))</f>
        <v/>
      </c>
      <c r="H392" s="25" t="str">
        <f>IF($N392="","",INDEX('_calc'!$F$2:$F$3001,$N392))</f>
        <v/>
      </c>
      <c r="I392" s="27" t="str">
        <f>IF($N392="","",INDEX('_calc'!$H$2:$H$3001,$N392))</f>
        <v/>
      </c>
      <c r="J392" s="27" t="str">
        <f>IF($N392="","",INDEX('_calc'!$I$2:$I$3001,$N392))</f>
        <v/>
      </c>
      <c r="K392" s="28" t="str">
        <f>IF($N392="","",IF(OR(I392="",J392=""),"",J392-I392))</f>
        <v/>
      </c>
      <c r="L392" s="29" t="str">
        <f>IF($N392="","",INDEX('_calc'!$J$2:$J$3001,$N392))</f>
        <v/>
      </c>
      <c r="M392" s="2" t="str">
        <f>IF($N392="","",IF(AND(G392=0,H392=0),"수량 없음",IF(G392=0,"신규 (전년 수량 없음)",IF(H392=0,"당해 수량 없음",""))))</f>
        <v/>
      </c>
      <c r="N392" t="str">
        <f>IF($B392="","",MATCH($B392,'_calc'!$L$2:$L$3001,0))</f>
        <v/>
      </c>
    </row>
    <row r="393">
      <c r="B393" s="24" t="str">
        <f>IF(ROW()-ROW($B$8)&gt;nComp,"",ROW()-ROW($B$8))</f>
        <v/>
      </c>
      <c r="C393" t="str">
        <f>IF($N393="","",INDEX('_calc'!$A$2:$A$3001,$N393))</f>
        <v/>
      </c>
      <c r="D393" s="25" t="str">
        <f>IF($N393="","",INDEX('_calc'!$C$2:$C$3001,$N393))</f>
        <v/>
      </c>
      <c r="E393" s="25" t="str">
        <f>IF($N393="","",INDEX('_calc'!$D$2:$D$3001,$N393))</f>
        <v/>
      </c>
      <c r="F393" s="26" t="str">
        <f>IF($N393="","",IF($E$8=0,"",E393/$E$8))</f>
        <v/>
      </c>
      <c r="G393" s="25" t="str">
        <f>IF($N393="","",INDEX('_calc'!$E$2:$E$3001,$N393))</f>
        <v/>
      </c>
      <c r="H393" s="25" t="str">
        <f>IF($N393="","",INDEX('_calc'!$F$2:$F$3001,$N393))</f>
        <v/>
      </c>
      <c r="I393" s="27" t="str">
        <f>IF($N393="","",INDEX('_calc'!$H$2:$H$3001,$N393))</f>
        <v/>
      </c>
      <c r="J393" s="27" t="str">
        <f>IF($N393="","",INDEX('_calc'!$I$2:$I$3001,$N393))</f>
        <v/>
      </c>
      <c r="K393" s="28" t="str">
        <f>IF($N393="","",IF(OR(I393="",J393=""),"",J393-I393))</f>
        <v/>
      </c>
      <c r="L393" s="29" t="str">
        <f>IF($N393="","",INDEX('_calc'!$J$2:$J$3001,$N393))</f>
        <v/>
      </c>
      <c r="M393" s="2" t="str">
        <f>IF($N393="","",IF(AND(G393=0,H393=0),"수량 없음",IF(G393=0,"신규 (전년 수량 없음)",IF(H393=0,"당해 수량 없음",""))))</f>
        <v/>
      </c>
      <c r="N393" t="str">
        <f>IF($B393="","",MATCH($B393,'_calc'!$L$2:$L$3001,0))</f>
        <v/>
      </c>
    </row>
    <row r="394">
      <c r="B394" s="24" t="str">
        <f>IF(ROW()-ROW($B$8)&gt;nComp,"",ROW()-ROW($B$8))</f>
        <v/>
      </c>
      <c r="C394" t="str">
        <f>IF($N394="","",INDEX('_calc'!$A$2:$A$3001,$N394))</f>
        <v/>
      </c>
      <c r="D394" s="25" t="str">
        <f>IF($N394="","",INDEX('_calc'!$C$2:$C$3001,$N394))</f>
        <v/>
      </c>
      <c r="E394" s="25" t="str">
        <f>IF($N394="","",INDEX('_calc'!$D$2:$D$3001,$N394))</f>
        <v/>
      </c>
      <c r="F394" s="26" t="str">
        <f>IF($N394="","",IF($E$8=0,"",E394/$E$8))</f>
        <v/>
      </c>
      <c r="G394" s="25" t="str">
        <f>IF($N394="","",INDEX('_calc'!$E$2:$E$3001,$N394))</f>
        <v/>
      </c>
      <c r="H394" s="25" t="str">
        <f>IF($N394="","",INDEX('_calc'!$F$2:$F$3001,$N394))</f>
        <v/>
      </c>
      <c r="I394" s="27" t="str">
        <f>IF($N394="","",INDEX('_calc'!$H$2:$H$3001,$N394))</f>
        <v/>
      </c>
      <c r="J394" s="27" t="str">
        <f>IF($N394="","",INDEX('_calc'!$I$2:$I$3001,$N394))</f>
        <v/>
      </c>
      <c r="K394" s="28" t="str">
        <f>IF($N394="","",IF(OR(I394="",J394=""),"",J394-I394))</f>
        <v/>
      </c>
      <c r="L394" s="29" t="str">
        <f>IF($N394="","",INDEX('_calc'!$J$2:$J$3001,$N394))</f>
        <v/>
      </c>
      <c r="M394" s="2" t="str">
        <f>IF($N394="","",IF(AND(G394=0,H394=0),"수량 없음",IF(G394=0,"신규 (전년 수량 없음)",IF(H394=0,"당해 수량 없음",""))))</f>
        <v/>
      </c>
      <c r="N394" t="str">
        <f>IF($B394="","",MATCH($B394,'_calc'!$L$2:$L$3001,0))</f>
        <v/>
      </c>
    </row>
    <row r="395">
      <c r="B395" s="24" t="str">
        <f>IF(ROW()-ROW($B$8)&gt;nComp,"",ROW()-ROW($B$8))</f>
        <v/>
      </c>
      <c r="C395" t="str">
        <f>IF($N395="","",INDEX('_calc'!$A$2:$A$3001,$N395))</f>
        <v/>
      </c>
      <c r="D395" s="25" t="str">
        <f>IF($N395="","",INDEX('_calc'!$C$2:$C$3001,$N395))</f>
        <v/>
      </c>
      <c r="E395" s="25" t="str">
        <f>IF($N395="","",INDEX('_calc'!$D$2:$D$3001,$N395))</f>
        <v/>
      </c>
      <c r="F395" s="26" t="str">
        <f>IF($N395="","",IF($E$8=0,"",E395/$E$8))</f>
        <v/>
      </c>
      <c r="G395" s="25" t="str">
        <f>IF($N395="","",INDEX('_calc'!$E$2:$E$3001,$N395))</f>
        <v/>
      </c>
      <c r="H395" s="25" t="str">
        <f>IF($N395="","",INDEX('_calc'!$F$2:$F$3001,$N395))</f>
        <v/>
      </c>
      <c r="I395" s="27" t="str">
        <f>IF($N395="","",INDEX('_calc'!$H$2:$H$3001,$N395))</f>
        <v/>
      </c>
      <c r="J395" s="27" t="str">
        <f>IF($N395="","",INDEX('_calc'!$I$2:$I$3001,$N395))</f>
        <v/>
      </c>
      <c r="K395" s="28" t="str">
        <f>IF($N395="","",IF(OR(I395="",J395=""),"",J395-I395))</f>
        <v/>
      </c>
      <c r="L395" s="29" t="str">
        <f>IF($N395="","",INDEX('_calc'!$J$2:$J$3001,$N395))</f>
        <v/>
      </c>
      <c r="M395" s="2" t="str">
        <f>IF($N395="","",IF(AND(G395=0,H395=0),"수량 없음",IF(G395=0,"신규 (전년 수량 없음)",IF(H395=0,"당해 수량 없음",""))))</f>
        <v/>
      </c>
      <c r="N395" t="str">
        <f>IF($B395="","",MATCH($B395,'_calc'!$L$2:$L$3001,0))</f>
        <v/>
      </c>
    </row>
    <row r="396">
      <c r="B396" s="24" t="str">
        <f>IF(ROW()-ROW($B$8)&gt;nComp,"",ROW()-ROW($B$8))</f>
        <v/>
      </c>
      <c r="C396" t="str">
        <f>IF($N396="","",INDEX('_calc'!$A$2:$A$3001,$N396))</f>
        <v/>
      </c>
      <c r="D396" s="25" t="str">
        <f>IF($N396="","",INDEX('_calc'!$C$2:$C$3001,$N396))</f>
        <v/>
      </c>
      <c r="E396" s="25" t="str">
        <f>IF($N396="","",INDEX('_calc'!$D$2:$D$3001,$N396))</f>
        <v/>
      </c>
      <c r="F396" s="26" t="str">
        <f>IF($N396="","",IF($E$8=0,"",E396/$E$8))</f>
        <v/>
      </c>
      <c r="G396" s="25" t="str">
        <f>IF($N396="","",INDEX('_calc'!$E$2:$E$3001,$N396))</f>
        <v/>
      </c>
      <c r="H396" s="25" t="str">
        <f>IF($N396="","",INDEX('_calc'!$F$2:$F$3001,$N396))</f>
        <v/>
      </c>
      <c r="I396" s="27" t="str">
        <f>IF($N396="","",INDEX('_calc'!$H$2:$H$3001,$N396))</f>
        <v/>
      </c>
      <c r="J396" s="27" t="str">
        <f>IF($N396="","",INDEX('_calc'!$I$2:$I$3001,$N396))</f>
        <v/>
      </c>
      <c r="K396" s="28" t="str">
        <f>IF($N396="","",IF(OR(I396="",J396=""),"",J396-I396))</f>
        <v/>
      </c>
      <c r="L396" s="29" t="str">
        <f>IF($N396="","",INDEX('_calc'!$J$2:$J$3001,$N396))</f>
        <v/>
      </c>
      <c r="M396" s="2" t="str">
        <f>IF($N396="","",IF(AND(G396=0,H396=0),"수량 없음",IF(G396=0,"신규 (전년 수량 없음)",IF(H396=0,"당해 수량 없음",""))))</f>
        <v/>
      </c>
      <c r="N396" t="str">
        <f>IF($B396="","",MATCH($B396,'_calc'!$L$2:$L$3001,0))</f>
        <v/>
      </c>
    </row>
    <row r="397">
      <c r="B397" s="24" t="str">
        <f>IF(ROW()-ROW($B$8)&gt;nComp,"",ROW()-ROW($B$8))</f>
        <v/>
      </c>
      <c r="C397" t="str">
        <f>IF($N397="","",INDEX('_calc'!$A$2:$A$3001,$N397))</f>
        <v/>
      </c>
      <c r="D397" s="25" t="str">
        <f>IF($N397="","",INDEX('_calc'!$C$2:$C$3001,$N397))</f>
        <v/>
      </c>
      <c r="E397" s="25" t="str">
        <f>IF($N397="","",INDEX('_calc'!$D$2:$D$3001,$N397))</f>
        <v/>
      </c>
      <c r="F397" s="26" t="str">
        <f>IF($N397="","",IF($E$8=0,"",E397/$E$8))</f>
        <v/>
      </c>
      <c r="G397" s="25" t="str">
        <f>IF($N397="","",INDEX('_calc'!$E$2:$E$3001,$N397))</f>
        <v/>
      </c>
      <c r="H397" s="25" t="str">
        <f>IF($N397="","",INDEX('_calc'!$F$2:$F$3001,$N397))</f>
        <v/>
      </c>
      <c r="I397" s="27" t="str">
        <f>IF($N397="","",INDEX('_calc'!$H$2:$H$3001,$N397))</f>
        <v/>
      </c>
      <c r="J397" s="27" t="str">
        <f>IF($N397="","",INDEX('_calc'!$I$2:$I$3001,$N397))</f>
        <v/>
      </c>
      <c r="K397" s="28" t="str">
        <f>IF($N397="","",IF(OR(I397="",J397=""),"",J397-I397))</f>
        <v/>
      </c>
      <c r="L397" s="29" t="str">
        <f>IF($N397="","",INDEX('_calc'!$J$2:$J$3001,$N397))</f>
        <v/>
      </c>
      <c r="M397" s="2" t="str">
        <f>IF($N397="","",IF(AND(G397=0,H397=0),"수량 없음",IF(G397=0,"신규 (전년 수량 없음)",IF(H397=0,"당해 수량 없음",""))))</f>
        <v/>
      </c>
      <c r="N397" t="str">
        <f>IF($B397="","",MATCH($B397,'_calc'!$L$2:$L$3001,0))</f>
        <v/>
      </c>
    </row>
    <row r="398">
      <c r="B398" s="24" t="str">
        <f>IF(ROW()-ROW($B$8)&gt;nComp,"",ROW()-ROW($B$8))</f>
        <v/>
      </c>
      <c r="C398" t="str">
        <f>IF($N398="","",INDEX('_calc'!$A$2:$A$3001,$N398))</f>
        <v/>
      </c>
      <c r="D398" s="25" t="str">
        <f>IF($N398="","",INDEX('_calc'!$C$2:$C$3001,$N398))</f>
        <v/>
      </c>
      <c r="E398" s="25" t="str">
        <f>IF($N398="","",INDEX('_calc'!$D$2:$D$3001,$N398))</f>
        <v/>
      </c>
      <c r="F398" s="26" t="str">
        <f>IF($N398="","",IF($E$8=0,"",E398/$E$8))</f>
        <v/>
      </c>
      <c r="G398" s="25" t="str">
        <f>IF($N398="","",INDEX('_calc'!$E$2:$E$3001,$N398))</f>
        <v/>
      </c>
      <c r="H398" s="25" t="str">
        <f>IF($N398="","",INDEX('_calc'!$F$2:$F$3001,$N398))</f>
        <v/>
      </c>
      <c r="I398" s="27" t="str">
        <f>IF($N398="","",INDEX('_calc'!$H$2:$H$3001,$N398))</f>
        <v/>
      </c>
      <c r="J398" s="27" t="str">
        <f>IF($N398="","",INDEX('_calc'!$I$2:$I$3001,$N398))</f>
        <v/>
      </c>
      <c r="K398" s="28" t="str">
        <f>IF($N398="","",IF(OR(I398="",J398=""),"",J398-I398))</f>
        <v/>
      </c>
      <c r="L398" s="29" t="str">
        <f>IF($N398="","",INDEX('_calc'!$J$2:$J$3001,$N398))</f>
        <v/>
      </c>
      <c r="M398" s="2" t="str">
        <f>IF($N398="","",IF(AND(G398=0,H398=0),"수량 없음",IF(G398=0,"신규 (전년 수량 없음)",IF(H398=0,"당해 수량 없음",""))))</f>
        <v/>
      </c>
      <c r="N398" t="str">
        <f>IF($B398="","",MATCH($B398,'_calc'!$L$2:$L$3001,0))</f>
        <v/>
      </c>
    </row>
    <row r="399">
      <c r="B399" s="24" t="str">
        <f>IF(ROW()-ROW($B$8)&gt;nComp,"",ROW()-ROW($B$8))</f>
        <v/>
      </c>
      <c r="C399" t="str">
        <f>IF($N399="","",INDEX('_calc'!$A$2:$A$3001,$N399))</f>
        <v/>
      </c>
      <c r="D399" s="25" t="str">
        <f>IF($N399="","",INDEX('_calc'!$C$2:$C$3001,$N399))</f>
        <v/>
      </c>
      <c r="E399" s="25" t="str">
        <f>IF($N399="","",INDEX('_calc'!$D$2:$D$3001,$N399))</f>
        <v/>
      </c>
      <c r="F399" s="26" t="str">
        <f>IF($N399="","",IF($E$8=0,"",E399/$E$8))</f>
        <v/>
      </c>
      <c r="G399" s="25" t="str">
        <f>IF($N399="","",INDEX('_calc'!$E$2:$E$3001,$N399))</f>
        <v/>
      </c>
      <c r="H399" s="25" t="str">
        <f>IF($N399="","",INDEX('_calc'!$F$2:$F$3001,$N399))</f>
        <v/>
      </c>
      <c r="I399" s="27" t="str">
        <f>IF($N399="","",INDEX('_calc'!$H$2:$H$3001,$N399))</f>
        <v/>
      </c>
      <c r="J399" s="27" t="str">
        <f>IF($N399="","",INDEX('_calc'!$I$2:$I$3001,$N399))</f>
        <v/>
      </c>
      <c r="K399" s="28" t="str">
        <f>IF($N399="","",IF(OR(I399="",J399=""),"",J399-I399))</f>
        <v/>
      </c>
      <c r="L399" s="29" t="str">
        <f>IF($N399="","",INDEX('_calc'!$J$2:$J$3001,$N399))</f>
        <v/>
      </c>
      <c r="M399" s="2" t="str">
        <f>IF($N399="","",IF(AND(G399=0,H399=0),"수량 없음",IF(G399=0,"신규 (전년 수량 없음)",IF(H399=0,"당해 수량 없음",""))))</f>
        <v/>
      </c>
      <c r="N399" t="str">
        <f>IF($B399="","",MATCH($B399,'_calc'!$L$2:$L$3001,0))</f>
        <v/>
      </c>
    </row>
    <row r="400">
      <c r="B400" s="24" t="str">
        <f>IF(ROW()-ROW($B$8)&gt;nComp,"",ROW()-ROW($B$8))</f>
        <v/>
      </c>
      <c r="C400" t="str">
        <f>IF($N400="","",INDEX('_calc'!$A$2:$A$3001,$N400))</f>
        <v/>
      </c>
      <c r="D400" s="25" t="str">
        <f>IF($N400="","",INDEX('_calc'!$C$2:$C$3001,$N400))</f>
        <v/>
      </c>
      <c r="E400" s="25" t="str">
        <f>IF($N400="","",INDEX('_calc'!$D$2:$D$3001,$N400))</f>
        <v/>
      </c>
      <c r="F400" s="26" t="str">
        <f>IF($N400="","",IF($E$8=0,"",E400/$E$8))</f>
        <v/>
      </c>
      <c r="G400" s="25" t="str">
        <f>IF($N400="","",INDEX('_calc'!$E$2:$E$3001,$N400))</f>
        <v/>
      </c>
      <c r="H400" s="25" t="str">
        <f>IF($N400="","",INDEX('_calc'!$F$2:$F$3001,$N400))</f>
        <v/>
      </c>
      <c r="I400" s="27" t="str">
        <f>IF($N400="","",INDEX('_calc'!$H$2:$H$3001,$N400))</f>
        <v/>
      </c>
      <c r="J400" s="27" t="str">
        <f>IF($N400="","",INDEX('_calc'!$I$2:$I$3001,$N400))</f>
        <v/>
      </c>
      <c r="K400" s="28" t="str">
        <f>IF($N400="","",IF(OR(I400="",J400=""),"",J400-I400))</f>
        <v/>
      </c>
      <c r="L400" s="29" t="str">
        <f>IF($N400="","",INDEX('_calc'!$J$2:$J$3001,$N400))</f>
        <v/>
      </c>
      <c r="M400" s="2" t="str">
        <f>IF($N400="","",IF(AND(G400=0,H400=0),"수량 없음",IF(G400=0,"신규 (전년 수량 없음)",IF(H400=0,"당해 수량 없음",""))))</f>
        <v/>
      </c>
      <c r="N400" t="str">
        <f>IF($B400="","",MATCH($B400,'_calc'!$L$2:$L$3001,0))</f>
        <v/>
      </c>
    </row>
    <row r="401">
      <c r="B401" s="24" t="str">
        <f>IF(ROW()-ROW($B$8)&gt;nComp,"",ROW()-ROW($B$8))</f>
        <v/>
      </c>
      <c r="C401" t="str">
        <f>IF($N401="","",INDEX('_calc'!$A$2:$A$3001,$N401))</f>
        <v/>
      </c>
      <c r="D401" s="25" t="str">
        <f>IF($N401="","",INDEX('_calc'!$C$2:$C$3001,$N401))</f>
        <v/>
      </c>
      <c r="E401" s="25" t="str">
        <f>IF($N401="","",INDEX('_calc'!$D$2:$D$3001,$N401))</f>
        <v/>
      </c>
      <c r="F401" s="26" t="str">
        <f>IF($N401="","",IF($E$8=0,"",E401/$E$8))</f>
        <v/>
      </c>
      <c r="G401" s="25" t="str">
        <f>IF($N401="","",INDEX('_calc'!$E$2:$E$3001,$N401))</f>
        <v/>
      </c>
      <c r="H401" s="25" t="str">
        <f>IF($N401="","",INDEX('_calc'!$F$2:$F$3001,$N401))</f>
        <v/>
      </c>
      <c r="I401" s="27" t="str">
        <f>IF($N401="","",INDEX('_calc'!$H$2:$H$3001,$N401))</f>
        <v/>
      </c>
      <c r="J401" s="27" t="str">
        <f>IF($N401="","",INDEX('_calc'!$I$2:$I$3001,$N401))</f>
        <v/>
      </c>
      <c r="K401" s="28" t="str">
        <f>IF($N401="","",IF(OR(I401="",J401=""),"",J401-I401))</f>
        <v/>
      </c>
      <c r="L401" s="29" t="str">
        <f>IF($N401="","",INDEX('_calc'!$J$2:$J$3001,$N401))</f>
        <v/>
      </c>
      <c r="M401" s="2" t="str">
        <f>IF($N401="","",IF(AND(G401=0,H401=0),"수량 없음",IF(G401=0,"신규 (전년 수량 없음)",IF(H401=0,"당해 수량 없음",""))))</f>
        <v/>
      </c>
      <c r="N401" t="str">
        <f>IF($B401="","",MATCH($B401,'_calc'!$L$2:$L$3001,0))</f>
        <v/>
      </c>
    </row>
    <row r="402">
      <c r="B402" s="24" t="str">
        <f>IF(ROW()-ROW($B$8)&gt;nComp,"",ROW()-ROW($B$8))</f>
        <v/>
      </c>
      <c r="C402" t="str">
        <f>IF($N402="","",INDEX('_calc'!$A$2:$A$3001,$N402))</f>
        <v/>
      </c>
      <c r="D402" s="25" t="str">
        <f>IF($N402="","",INDEX('_calc'!$C$2:$C$3001,$N402))</f>
        <v/>
      </c>
      <c r="E402" s="25" t="str">
        <f>IF($N402="","",INDEX('_calc'!$D$2:$D$3001,$N402))</f>
        <v/>
      </c>
      <c r="F402" s="26" t="str">
        <f>IF($N402="","",IF($E$8=0,"",E402/$E$8))</f>
        <v/>
      </c>
      <c r="G402" s="25" t="str">
        <f>IF($N402="","",INDEX('_calc'!$E$2:$E$3001,$N402))</f>
        <v/>
      </c>
      <c r="H402" s="25" t="str">
        <f>IF($N402="","",INDEX('_calc'!$F$2:$F$3001,$N402))</f>
        <v/>
      </c>
      <c r="I402" s="27" t="str">
        <f>IF($N402="","",INDEX('_calc'!$H$2:$H$3001,$N402))</f>
        <v/>
      </c>
      <c r="J402" s="27" t="str">
        <f>IF($N402="","",INDEX('_calc'!$I$2:$I$3001,$N402))</f>
        <v/>
      </c>
      <c r="K402" s="28" t="str">
        <f>IF($N402="","",IF(OR(I402="",J402=""),"",J402-I402))</f>
        <v/>
      </c>
      <c r="L402" s="29" t="str">
        <f>IF($N402="","",INDEX('_calc'!$J$2:$J$3001,$N402))</f>
        <v/>
      </c>
      <c r="M402" s="2" t="str">
        <f>IF($N402="","",IF(AND(G402=0,H402=0),"수량 없음",IF(G402=0,"신규 (전년 수량 없음)",IF(H402=0,"당해 수량 없음",""))))</f>
        <v/>
      </c>
      <c r="N402" t="str">
        <f>IF($B402="","",MATCH($B402,'_calc'!$L$2:$L$3001,0))</f>
        <v/>
      </c>
    </row>
    <row r="403">
      <c r="B403" s="24" t="str">
        <f>IF(ROW()-ROW($B$8)&gt;nComp,"",ROW()-ROW($B$8))</f>
        <v/>
      </c>
      <c r="C403" t="str">
        <f>IF($N403="","",INDEX('_calc'!$A$2:$A$3001,$N403))</f>
        <v/>
      </c>
      <c r="D403" s="25" t="str">
        <f>IF($N403="","",INDEX('_calc'!$C$2:$C$3001,$N403))</f>
        <v/>
      </c>
      <c r="E403" s="25" t="str">
        <f>IF($N403="","",INDEX('_calc'!$D$2:$D$3001,$N403))</f>
        <v/>
      </c>
      <c r="F403" s="26" t="str">
        <f>IF($N403="","",IF($E$8=0,"",E403/$E$8))</f>
        <v/>
      </c>
      <c r="G403" s="25" t="str">
        <f>IF($N403="","",INDEX('_calc'!$E$2:$E$3001,$N403))</f>
        <v/>
      </c>
      <c r="H403" s="25" t="str">
        <f>IF($N403="","",INDEX('_calc'!$F$2:$F$3001,$N403))</f>
        <v/>
      </c>
      <c r="I403" s="27" t="str">
        <f>IF($N403="","",INDEX('_calc'!$H$2:$H$3001,$N403))</f>
        <v/>
      </c>
      <c r="J403" s="27" t="str">
        <f>IF($N403="","",INDEX('_calc'!$I$2:$I$3001,$N403))</f>
        <v/>
      </c>
      <c r="K403" s="28" t="str">
        <f>IF($N403="","",IF(OR(I403="",J403=""),"",J403-I403))</f>
        <v/>
      </c>
      <c r="L403" s="29" t="str">
        <f>IF($N403="","",INDEX('_calc'!$J$2:$J$3001,$N403))</f>
        <v/>
      </c>
      <c r="M403" s="2" t="str">
        <f>IF($N403="","",IF(AND(G403=0,H403=0),"수량 없음",IF(G403=0,"신규 (전년 수량 없음)",IF(H403=0,"당해 수량 없음",""))))</f>
        <v/>
      </c>
      <c r="N403" t="str">
        <f>IF($B403="","",MATCH($B403,'_calc'!$L$2:$L$3001,0))</f>
        <v/>
      </c>
    </row>
    <row r="404">
      <c r="B404" s="24" t="str">
        <f>IF(ROW()-ROW($B$8)&gt;nComp,"",ROW()-ROW($B$8))</f>
        <v/>
      </c>
      <c r="C404" t="str">
        <f>IF($N404="","",INDEX('_calc'!$A$2:$A$3001,$N404))</f>
        <v/>
      </c>
      <c r="D404" s="25" t="str">
        <f>IF($N404="","",INDEX('_calc'!$C$2:$C$3001,$N404))</f>
        <v/>
      </c>
      <c r="E404" s="25" t="str">
        <f>IF($N404="","",INDEX('_calc'!$D$2:$D$3001,$N404))</f>
        <v/>
      </c>
      <c r="F404" s="26" t="str">
        <f>IF($N404="","",IF($E$8=0,"",E404/$E$8))</f>
        <v/>
      </c>
      <c r="G404" s="25" t="str">
        <f>IF($N404="","",INDEX('_calc'!$E$2:$E$3001,$N404))</f>
        <v/>
      </c>
      <c r="H404" s="25" t="str">
        <f>IF($N404="","",INDEX('_calc'!$F$2:$F$3001,$N404))</f>
        <v/>
      </c>
      <c r="I404" s="27" t="str">
        <f>IF($N404="","",INDEX('_calc'!$H$2:$H$3001,$N404))</f>
        <v/>
      </c>
      <c r="J404" s="27" t="str">
        <f>IF($N404="","",INDEX('_calc'!$I$2:$I$3001,$N404))</f>
        <v/>
      </c>
      <c r="K404" s="28" t="str">
        <f>IF($N404="","",IF(OR(I404="",J404=""),"",J404-I404))</f>
        <v/>
      </c>
      <c r="L404" s="29" t="str">
        <f>IF($N404="","",INDEX('_calc'!$J$2:$J$3001,$N404))</f>
        <v/>
      </c>
      <c r="M404" s="2" t="str">
        <f>IF($N404="","",IF(AND(G404=0,H404=0),"수량 없음",IF(G404=0,"신규 (전년 수량 없음)",IF(H404=0,"당해 수량 없음",""))))</f>
        <v/>
      </c>
      <c r="N404" t="str">
        <f>IF($B404="","",MATCH($B404,'_calc'!$L$2:$L$3001,0))</f>
        <v/>
      </c>
    </row>
    <row r="405">
      <c r="B405" s="24" t="str">
        <f>IF(ROW()-ROW($B$8)&gt;nComp,"",ROW()-ROW($B$8))</f>
        <v/>
      </c>
      <c r="C405" t="str">
        <f>IF($N405="","",INDEX('_calc'!$A$2:$A$3001,$N405))</f>
        <v/>
      </c>
      <c r="D405" s="25" t="str">
        <f>IF($N405="","",INDEX('_calc'!$C$2:$C$3001,$N405))</f>
        <v/>
      </c>
      <c r="E405" s="25" t="str">
        <f>IF($N405="","",INDEX('_calc'!$D$2:$D$3001,$N405))</f>
        <v/>
      </c>
      <c r="F405" s="26" t="str">
        <f>IF($N405="","",IF($E$8=0,"",E405/$E$8))</f>
        <v/>
      </c>
      <c r="G405" s="25" t="str">
        <f>IF($N405="","",INDEX('_calc'!$E$2:$E$3001,$N405))</f>
        <v/>
      </c>
      <c r="H405" s="25" t="str">
        <f>IF($N405="","",INDEX('_calc'!$F$2:$F$3001,$N405))</f>
        <v/>
      </c>
      <c r="I405" s="27" t="str">
        <f>IF($N405="","",INDEX('_calc'!$H$2:$H$3001,$N405))</f>
        <v/>
      </c>
      <c r="J405" s="27" t="str">
        <f>IF($N405="","",INDEX('_calc'!$I$2:$I$3001,$N405))</f>
        <v/>
      </c>
      <c r="K405" s="28" t="str">
        <f>IF($N405="","",IF(OR(I405="",J405=""),"",J405-I405))</f>
        <v/>
      </c>
      <c r="L405" s="29" t="str">
        <f>IF($N405="","",INDEX('_calc'!$J$2:$J$3001,$N405))</f>
        <v/>
      </c>
      <c r="M405" s="2" t="str">
        <f>IF($N405="","",IF(AND(G405=0,H405=0),"수량 없음",IF(G405=0,"신규 (전년 수량 없음)",IF(H405=0,"당해 수량 없음",""))))</f>
        <v/>
      </c>
      <c r="N405" t="str">
        <f>IF($B405="","",MATCH($B405,'_calc'!$L$2:$L$3001,0))</f>
        <v/>
      </c>
    </row>
    <row r="406">
      <c r="B406" s="24" t="str">
        <f>IF(ROW()-ROW($B$8)&gt;nComp,"",ROW()-ROW($B$8))</f>
        <v/>
      </c>
      <c r="C406" t="str">
        <f>IF($N406="","",INDEX('_calc'!$A$2:$A$3001,$N406))</f>
        <v/>
      </c>
      <c r="D406" s="25" t="str">
        <f>IF($N406="","",INDEX('_calc'!$C$2:$C$3001,$N406))</f>
        <v/>
      </c>
      <c r="E406" s="25" t="str">
        <f>IF($N406="","",INDEX('_calc'!$D$2:$D$3001,$N406))</f>
        <v/>
      </c>
      <c r="F406" s="26" t="str">
        <f>IF($N406="","",IF($E$8=0,"",E406/$E$8))</f>
        <v/>
      </c>
      <c r="G406" s="25" t="str">
        <f>IF($N406="","",INDEX('_calc'!$E$2:$E$3001,$N406))</f>
        <v/>
      </c>
      <c r="H406" s="25" t="str">
        <f>IF($N406="","",INDEX('_calc'!$F$2:$F$3001,$N406))</f>
        <v/>
      </c>
      <c r="I406" s="27" t="str">
        <f>IF($N406="","",INDEX('_calc'!$H$2:$H$3001,$N406))</f>
        <v/>
      </c>
      <c r="J406" s="27" t="str">
        <f>IF($N406="","",INDEX('_calc'!$I$2:$I$3001,$N406))</f>
        <v/>
      </c>
      <c r="K406" s="28" t="str">
        <f>IF($N406="","",IF(OR(I406="",J406=""),"",J406-I406))</f>
        <v/>
      </c>
      <c r="L406" s="29" t="str">
        <f>IF($N406="","",INDEX('_calc'!$J$2:$J$3001,$N406))</f>
        <v/>
      </c>
      <c r="M406" s="2" t="str">
        <f>IF($N406="","",IF(AND(G406=0,H406=0),"수량 없음",IF(G406=0,"신규 (전년 수량 없음)",IF(H406=0,"당해 수량 없음",""))))</f>
        <v/>
      </c>
      <c r="N406" t="str">
        <f>IF($B406="","",MATCH($B406,'_calc'!$L$2:$L$3001,0))</f>
        <v/>
      </c>
    </row>
    <row r="407">
      <c r="B407" s="24" t="str">
        <f>IF(ROW()-ROW($B$8)&gt;nComp,"",ROW()-ROW($B$8))</f>
        <v/>
      </c>
      <c r="C407" t="str">
        <f>IF($N407="","",INDEX('_calc'!$A$2:$A$3001,$N407))</f>
        <v/>
      </c>
      <c r="D407" s="25" t="str">
        <f>IF($N407="","",INDEX('_calc'!$C$2:$C$3001,$N407))</f>
        <v/>
      </c>
      <c r="E407" s="25" t="str">
        <f>IF($N407="","",INDEX('_calc'!$D$2:$D$3001,$N407))</f>
        <v/>
      </c>
      <c r="F407" s="26" t="str">
        <f>IF($N407="","",IF($E$8=0,"",E407/$E$8))</f>
        <v/>
      </c>
      <c r="G407" s="25" t="str">
        <f>IF($N407="","",INDEX('_calc'!$E$2:$E$3001,$N407))</f>
        <v/>
      </c>
      <c r="H407" s="25" t="str">
        <f>IF($N407="","",INDEX('_calc'!$F$2:$F$3001,$N407))</f>
        <v/>
      </c>
      <c r="I407" s="27" t="str">
        <f>IF($N407="","",INDEX('_calc'!$H$2:$H$3001,$N407))</f>
        <v/>
      </c>
      <c r="J407" s="27" t="str">
        <f>IF($N407="","",INDEX('_calc'!$I$2:$I$3001,$N407))</f>
        <v/>
      </c>
      <c r="K407" s="28" t="str">
        <f>IF($N407="","",IF(OR(I407="",J407=""),"",J407-I407))</f>
        <v/>
      </c>
      <c r="L407" s="29" t="str">
        <f>IF($N407="","",INDEX('_calc'!$J$2:$J$3001,$N407))</f>
        <v/>
      </c>
      <c r="M407" s="2" t="str">
        <f>IF($N407="","",IF(AND(G407=0,H407=0),"수량 없음",IF(G407=0,"신규 (전년 수량 없음)",IF(H407=0,"당해 수량 없음",""))))</f>
        <v/>
      </c>
      <c r="N407" t="str">
        <f>IF($B407="","",MATCH($B407,'_calc'!$L$2:$L$3001,0))</f>
        <v/>
      </c>
    </row>
    <row r="408">
      <c r="B408" s="24" t="str">
        <f>IF(ROW()-ROW($B$8)&gt;nComp,"",ROW()-ROW($B$8))</f>
        <v/>
      </c>
      <c r="C408" t="str">
        <f>IF($N408="","",INDEX('_calc'!$A$2:$A$3001,$N408))</f>
        <v/>
      </c>
      <c r="D408" s="25" t="str">
        <f>IF($N408="","",INDEX('_calc'!$C$2:$C$3001,$N408))</f>
        <v/>
      </c>
      <c r="E408" s="25" t="str">
        <f>IF($N408="","",INDEX('_calc'!$D$2:$D$3001,$N408))</f>
        <v/>
      </c>
      <c r="F408" s="26" t="str">
        <f>IF($N408="","",IF($E$8=0,"",E408/$E$8))</f>
        <v/>
      </c>
      <c r="G408" s="25" t="str">
        <f>IF($N408="","",INDEX('_calc'!$E$2:$E$3001,$N408))</f>
        <v/>
      </c>
      <c r="H408" s="25" t="str">
        <f>IF($N408="","",INDEX('_calc'!$F$2:$F$3001,$N408))</f>
        <v/>
      </c>
      <c r="I408" s="27" t="str">
        <f>IF($N408="","",INDEX('_calc'!$H$2:$H$3001,$N408))</f>
        <v/>
      </c>
      <c r="J408" s="27" t="str">
        <f>IF($N408="","",INDEX('_calc'!$I$2:$I$3001,$N408))</f>
        <v/>
      </c>
      <c r="K408" s="28" t="str">
        <f>IF($N408="","",IF(OR(I408="",J408=""),"",J408-I408))</f>
        <v/>
      </c>
      <c r="L408" s="29" t="str">
        <f>IF($N408="","",INDEX('_calc'!$J$2:$J$3001,$N408))</f>
        <v/>
      </c>
      <c r="M408" s="2" t="str">
        <f>IF($N408="","",IF(AND(G408=0,H408=0),"수량 없음",IF(G408=0,"신규 (전년 수량 없음)",IF(H408=0,"당해 수량 없음",""))))</f>
        <v/>
      </c>
      <c r="N408" t="str">
        <f>IF($B408="","",MATCH($B408,'_calc'!$L$2:$L$3001,0))</f>
        <v/>
      </c>
    </row>
    <row r="409">
      <c r="B409" s="24" t="str">
        <f>IF(ROW()-ROW($B$8)&gt;nComp,"",ROW()-ROW($B$8))</f>
        <v/>
      </c>
      <c r="C409" t="str">
        <f>IF($N409="","",INDEX('_calc'!$A$2:$A$3001,$N409))</f>
        <v/>
      </c>
      <c r="D409" s="25" t="str">
        <f>IF($N409="","",INDEX('_calc'!$C$2:$C$3001,$N409))</f>
        <v/>
      </c>
      <c r="E409" s="25" t="str">
        <f>IF($N409="","",INDEX('_calc'!$D$2:$D$3001,$N409))</f>
        <v/>
      </c>
      <c r="F409" s="26" t="str">
        <f>IF($N409="","",IF($E$8=0,"",E409/$E$8))</f>
        <v/>
      </c>
      <c r="G409" s="25" t="str">
        <f>IF($N409="","",INDEX('_calc'!$E$2:$E$3001,$N409))</f>
        <v/>
      </c>
      <c r="H409" s="25" t="str">
        <f>IF($N409="","",INDEX('_calc'!$F$2:$F$3001,$N409))</f>
        <v/>
      </c>
      <c r="I409" s="27" t="str">
        <f>IF($N409="","",INDEX('_calc'!$H$2:$H$3001,$N409))</f>
        <v/>
      </c>
      <c r="J409" s="27" t="str">
        <f>IF($N409="","",INDEX('_calc'!$I$2:$I$3001,$N409))</f>
        <v/>
      </c>
      <c r="K409" s="28" t="str">
        <f>IF($N409="","",IF(OR(I409="",J409=""),"",J409-I409))</f>
        <v/>
      </c>
      <c r="L409" s="29" t="str">
        <f>IF($N409="","",INDEX('_calc'!$J$2:$J$3001,$N409))</f>
        <v/>
      </c>
      <c r="M409" s="2" t="str">
        <f>IF($N409="","",IF(AND(G409=0,H409=0),"수량 없음",IF(G409=0,"신규 (전년 수량 없음)",IF(H409=0,"당해 수량 없음",""))))</f>
        <v/>
      </c>
      <c r="N409" t="str">
        <f>IF($B409="","",MATCH($B409,'_calc'!$L$2:$L$3001,0))</f>
        <v/>
      </c>
    </row>
    <row r="410">
      <c r="B410" s="24" t="str">
        <f>IF(ROW()-ROW($B$8)&gt;nComp,"",ROW()-ROW($B$8))</f>
        <v/>
      </c>
      <c r="C410" t="str">
        <f>IF($N410="","",INDEX('_calc'!$A$2:$A$3001,$N410))</f>
        <v/>
      </c>
      <c r="D410" s="25" t="str">
        <f>IF($N410="","",INDEX('_calc'!$C$2:$C$3001,$N410))</f>
        <v/>
      </c>
      <c r="E410" s="25" t="str">
        <f>IF($N410="","",INDEX('_calc'!$D$2:$D$3001,$N410))</f>
        <v/>
      </c>
      <c r="F410" s="26" t="str">
        <f>IF($N410="","",IF($E$8=0,"",E410/$E$8))</f>
        <v/>
      </c>
      <c r="G410" s="25" t="str">
        <f>IF($N410="","",INDEX('_calc'!$E$2:$E$3001,$N410))</f>
        <v/>
      </c>
      <c r="H410" s="25" t="str">
        <f>IF($N410="","",INDEX('_calc'!$F$2:$F$3001,$N410))</f>
        <v/>
      </c>
      <c r="I410" s="27" t="str">
        <f>IF($N410="","",INDEX('_calc'!$H$2:$H$3001,$N410))</f>
        <v/>
      </c>
      <c r="J410" s="27" t="str">
        <f>IF($N410="","",INDEX('_calc'!$I$2:$I$3001,$N410))</f>
        <v/>
      </c>
      <c r="K410" s="28" t="str">
        <f>IF($N410="","",IF(OR(I410="",J410=""),"",J410-I410))</f>
        <v/>
      </c>
      <c r="L410" s="29" t="str">
        <f>IF($N410="","",INDEX('_calc'!$J$2:$J$3001,$N410))</f>
        <v/>
      </c>
      <c r="M410" s="2" t="str">
        <f>IF($N410="","",IF(AND(G410=0,H410=0),"수량 없음",IF(G410=0,"신규 (전년 수량 없음)",IF(H410=0,"당해 수량 없음",""))))</f>
        <v/>
      </c>
      <c r="N410" t="str">
        <f>IF($B410="","",MATCH($B410,'_calc'!$L$2:$L$3001,0))</f>
        <v/>
      </c>
    </row>
    <row r="411">
      <c r="B411" s="24" t="str">
        <f>IF(ROW()-ROW($B$8)&gt;nComp,"",ROW()-ROW($B$8))</f>
        <v/>
      </c>
      <c r="C411" t="str">
        <f>IF($N411="","",INDEX('_calc'!$A$2:$A$3001,$N411))</f>
        <v/>
      </c>
      <c r="D411" s="25" t="str">
        <f>IF($N411="","",INDEX('_calc'!$C$2:$C$3001,$N411))</f>
        <v/>
      </c>
      <c r="E411" s="25" t="str">
        <f>IF($N411="","",INDEX('_calc'!$D$2:$D$3001,$N411))</f>
        <v/>
      </c>
      <c r="F411" s="26" t="str">
        <f>IF($N411="","",IF($E$8=0,"",E411/$E$8))</f>
        <v/>
      </c>
      <c r="G411" s="25" t="str">
        <f>IF($N411="","",INDEX('_calc'!$E$2:$E$3001,$N411))</f>
        <v/>
      </c>
      <c r="H411" s="25" t="str">
        <f>IF($N411="","",INDEX('_calc'!$F$2:$F$3001,$N411))</f>
        <v/>
      </c>
      <c r="I411" s="27" t="str">
        <f>IF($N411="","",INDEX('_calc'!$H$2:$H$3001,$N411))</f>
        <v/>
      </c>
      <c r="J411" s="27" t="str">
        <f>IF($N411="","",INDEX('_calc'!$I$2:$I$3001,$N411))</f>
        <v/>
      </c>
      <c r="K411" s="28" t="str">
        <f>IF($N411="","",IF(OR(I411="",J411=""),"",J411-I411))</f>
        <v/>
      </c>
      <c r="L411" s="29" t="str">
        <f>IF($N411="","",INDEX('_calc'!$J$2:$J$3001,$N411))</f>
        <v/>
      </c>
      <c r="M411" s="2" t="str">
        <f>IF($N411="","",IF(AND(G411=0,H411=0),"수량 없음",IF(G411=0,"신규 (전년 수량 없음)",IF(H411=0,"당해 수량 없음",""))))</f>
        <v/>
      </c>
      <c r="N411" t="str">
        <f>IF($B411="","",MATCH($B411,'_calc'!$L$2:$L$3001,0))</f>
        <v/>
      </c>
    </row>
    <row r="412">
      <c r="B412" s="24" t="str">
        <f>IF(ROW()-ROW($B$8)&gt;nComp,"",ROW()-ROW($B$8))</f>
        <v/>
      </c>
      <c r="C412" t="str">
        <f>IF($N412="","",INDEX('_calc'!$A$2:$A$3001,$N412))</f>
        <v/>
      </c>
      <c r="D412" s="25" t="str">
        <f>IF($N412="","",INDEX('_calc'!$C$2:$C$3001,$N412))</f>
        <v/>
      </c>
      <c r="E412" s="25" t="str">
        <f>IF($N412="","",INDEX('_calc'!$D$2:$D$3001,$N412))</f>
        <v/>
      </c>
      <c r="F412" s="26" t="str">
        <f>IF($N412="","",IF($E$8=0,"",E412/$E$8))</f>
        <v/>
      </c>
      <c r="G412" s="25" t="str">
        <f>IF($N412="","",INDEX('_calc'!$E$2:$E$3001,$N412))</f>
        <v/>
      </c>
      <c r="H412" s="25" t="str">
        <f>IF($N412="","",INDEX('_calc'!$F$2:$F$3001,$N412))</f>
        <v/>
      </c>
      <c r="I412" s="27" t="str">
        <f>IF($N412="","",INDEX('_calc'!$H$2:$H$3001,$N412))</f>
        <v/>
      </c>
      <c r="J412" s="27" t="str">
        <f>IF($N412="","",INDEX('_calc'!$I$2:$I$3001,$N412))</f>
        <v/>
      </c>
      <c r="K412" s="28" t="str">
        <f>IF($N412="","",IF(OR(I412="",J412=""),"",J412-I412))</f>
        <v/>
      </c>
      <c r="L412" s="29" t="str">
        <f>IF($N412="","",INDEX('_calc'!$J$2:$J$3001,$N412))</f>
        <v/>
      </c>
      <c r="M412" s="2" t="str">
        <f>IF($N412="","",IF(AND(G412=0,H412=0),"수량 없음",IF(G412=0,"신규 (전년 수량 없음)",IF(H412=0,"당해 수량 없음",""))))</f>
        <v/>
      </c>
      <c r="N412" t="str">
        <f>IF($B412="","",MATCH($B412,'_calc'!$L$2:$L$3001,0))</f>
        <v/>
      </c>
    </row>
    <row r="413">
      <c r="B413" s="24" t="str">
        <f>IF(ROW()-ROW($B$8)&gt;nComp,"",ROW()-ROW($B$8))</f>
        <v/>
      </c>
      <c r="C413" t="str">
        <f>IF($N413="","",INDEX('_calc'!$A$2:$A$3001,$N413))</f>
        <v/>
      </c>
      <c r="D413" s="25" t="str">
        <f>IF($N413="","",INDEX('_calc'!$C$2:$C$3001,$N413))</f>
        <v/>
      </c>
      <c r="E413" s="25" t="str">
        <f>IF($N413="","",INDEX('_calc'!$D$2:$D$3001,$N413))</f>
        <v/>
      </c>
      <c r="F413" s="26" t="str">
        <f>IF($N413="","",IF($E$8=0,"",E413/$E$8))</f>
        <v/>
      </c>
      <c r="G413" s="25" t="str">
        <f>IF($N413="","",INDEX('_calc'!$E$2:$E$3001,$N413))</f>
        <v/>
      </c>
      <c r="H413" s="25" t="str">
        <f>IF($N413="","",INDEX('_calc'!$F$2:$F$3001,$N413))</f>
        <v/>
      </c>
      <c r="I413" s="27" t="str">
        <f>IF($N413="","",INDEX('_calc'!$H$2:$H$3001,$N413))</f>
        <v/>
      </c>
      <c r="J413" s="27" t="str">
        <f>IF($N413="","",INDEX('_calc'!$I$2:$I$3001,$N413))</f>
        <v/>
      </c>
      <c r="K413" s="28" t="str">
        <f>IF($N413="","",IF(OR(I413="",J413=""),"",J413-I413))</f>
        <v/>
      </c>
      <c r="L413" s="29" t="str">
        <f>IF($N413="","",INDEX('_calc'!$J$2:$J$3001,$N413))</f>
        <v/>
      </c>
      <c r="M413" s="2" t="str">
        <f>IF($N413="","",IF(AND(G413=0,H413=0),"수량 없음",IF(G413=0,"신규 (전년 수량 없음)",IF(H413=0,"당해 수량 없음",""))))</f>
        <v/>
      </c>
      <c r="N413" t="str">
        <f>IF($B413="","",MATCH($B413,'_calc'!$L$2:$L$3001,0))</f>
        <v/>
      </c>
    </row>
    <row r="414">
      <c r="B414" s="24" t="str">
        <f>IF(ROW()-ROW($B$8)&gt;nComp,"",ROW()-ROW($B$8))</f>
        <v/>
      </c>
      <c r="C414" t="str">
        <f>IF($N414="","",INDEX('_calc'!$A$2:$A$3001,$N414))</f>
        <v/>
      </c>
      <c r="D414" s="25" t="str">
        <f>IF($N414="","",INDEX('_calc'!$C$2:$C$3001,$N414))</f>
        <v/>
      </c>
      <c r="E414" s="25" t="str">
        <f>IF($N414="","",INDEX('_calc'!$D$2:$D$3001,$N414))</f>
        <v/>
      </c>
      <c r="F414" s="26" t="str">
        <f>IF($N414="","",IF($E$8=0,"",E414/$E$8))</f>
        <v/>
      </c>
      <c r="G414" s="25" t="str">
        <f>IF($N414="","",INDEX('_calc'!$E$2:$E$3001,$N414))</f>
        <v/>
      </c>
      <c r="H414" s="25" t="str">
        <f>IF($N414="","",INDEX('_calc'!$F$2:$F$3001,$N414))</f>
        <v/>
      </c>
      <c r="I414" s="27" t="str">
        <f>IF($N414="","",INDEX('_calc'!$H$2:$H$3001,$N414))</f>
        <v/>
      </c>
      <c r="J414" s="27" t="str">
        <f>IF($N414="","",INDEX('_calc'!$I$2:$I$3001,$N414))</f>
        <v/>
      </c>
      <c r="K414" s="28" t="str">
        <f>IF($N414="","",IF(OR(I414="",J414=""),"",J414-I414))</f>
        <v/>
      </c>
      <c r="L414" s="29" t="str">
        <f>IF($N414="","",INDEX('_calc'!$J$2:$J$3001,$N414))</f>
        <v/>
      </c>
      <c r="M414" s="2" t="str">
        <f>IF($N414="","",IF(AND(G414=0,H414=0),"수량 없음",IF(G414=0,"신규 (전년 수량 없음)",IF(H414=0,"당해 수량 없음",""))))</f>
        <v/>
      </c>
      <c r="N414" t="str">
        <f>IF($B414="","",MATCH($B414,'_calc'!$L$2:$L$3001,0))</f>
        <v/>
      </c>
    </row>
    <row r="415">
      <c r="B415" s="24" t="str">
        <f>IF(ROW()-ROW($B$8)&gt;nComp,"",ROW()-ROW($B$8))</f>
        <v/>
      </c>
      <c r="C415" t="str">
        <f>IF($N415="","",INDEX('_calc'!$A$2:$A$3001,$N415))</f>
        <v/>
      </c>
      <c r="D415" s="25" t="str">
        <f>IF($N415="","",INDEX('_calc'!$C$2:$C$3001,$N415))</f>
        <v/>
      </c>
      <c r="E415" s="25" t="str">
        <f>IF($N415="","",INDEX('_calc'!$D$2:$D$3001,$N415))</f>
        <v/>
      </c>
      <c r="F415" s="26" t="str">
        <f>IF($N415="","",IF($E$8=0,"",E415/$E$8))</f>
        <v/>
      </c>
      <c r="G415" s="25" t="str">
        <f>IF($N415="","",INDEX('_calc'!$E$2:$E$3001,$N415))</f>
        <v/>
      </c>
      <c r="H415" s="25" t="str">
        <f>IF($N415="","",INDEX('_calc'!$F$2:$F$3001,$N415))</f>
        <v/>
      </c>
      <c r="I415" s="27" t="str">
        <f>IF($N415="","",INDEX('_calc'!$H$2:$H$3001,$N415))</f>
        <v/>
      </c>
      <c r="J415" s="27" t="str">
        <f>IF($N415="","",INDEX('_calc'!$I$2:$I$3001,$N415))</f>
        <v/>
      </c>
      <c r="K415" s="28" t="str">
        <f>IF($N415="","",IF(OR(I415="",J415=""),"",J415-I415))</f>
        <v/>
      </c>
      <c r="L415" s="29" t="str">
        <f>IF($N415="","",INDEX('_calc'!$J$2:$J$3001,$N415))</f>
        <v/>
      </c>
      <c r="M415" s="2" t="str">
        <f>IF($N415="","",IF(AND(G415=0,H415=0),"수량 없음",IF(G415=0,"신규 (전년 수량 없음)",IF(H415=0,"당해 수량 없음",""))))</f>
        <v/>
      </c>
      <c r="N415" t="str">
        <f>IF($B415="","",MATCH($B415,'_calc'!$L$2:$L$3001,0))</f>
        <v/>
      </c>
    </row>
    <row r="416">
      <c r="B416" s="24" t="str">
        <f>IF(ROW()-ROW($B$8)&gt;nComp,"",ROW()-ROW($B$8))</f>
        <v/>
      </c>
      <c r="C416" t="str">
        <f>IF($N416="","",INDEX('_calc'!$A$2:$A$3001,$N416))</f>
        <v/>
      </c>
      <c r="D416" s="25" t="str">
        <f>IF($N416="","",INDEX('_calc'!$C$2:$C$3001,$N416))</f>
        <v/>
      </c>
      <c r="E416" s="25" t="str">
        <f>IF($N416="","",INDEX('_calc'!$D$2:$D$3001,$N416))</f>
        <v/>
      </c>
      <c r="F416" s="26" t="str">
        <f>IF($N416="","",IF($E$8=0,"",E416/$E$8))</f>
        <v/>
      </c>
      <c r="G416" s="25" t="str">
        <f>IF($N416="","",INDEX('_calc'!$E$2:$E$3001,$N416))</f>
        <v/>
      </c>
      <c r="H416" s="25" t="str">
        <f>IF($N416="","",INDEX('_calc'!$F$2:$F$3001,$N416))</f>
        <v/>
      </c>
      <c r="I416" s="27" t="str">
        <f>IF($N416="","",INDEX('_calc'!$H$2:$H$3001,$N416))</f>
        <v/>
      </c>
      <c r="J416" s="27" t="str">
        <f>IF($N416="","",INDEX('_calc'!$I$2:$I$3001,$N416))</f>
        <v/>
      </c>
      <c r="K416" s="28" t="str">
        <f>IF($N416="","",IF(OR(I416="",J416=""),"",J416-I416))</f>
        <v/>
      </c>
      <c r="L416" s="29" t="str">
        <f>IF($N416="","",INDEX('_calc'!$J$2:$J$3001,$N416))</f>
        <v/>
      </c>
      <c r="M416" s="2" t="str">
        <f>IF($N416="","",IF(AND(G416=0,H416=0),"수량 없음",IF(G416=0,"신규 (전년 수량 없음)",IF(H416=0,"당해 수량 없음",""))))</f>
        <v/>
      </c>
      <c r="N416" t="str">
        <f>IF($B416="","",MATCH($B416,'_calc'!$L$2:$L$3001,0))</f>
        <v/>
      </c>
    </row>
    <row r="417">
      <c r="B417" s="24" t="str">
        <f>IF(ROW()-ROW($B$8)&gt;nComp,"",ROW()-ROW($B$8))</f>
        <v/>
      </c>
      <c r="C417" t="str">
        <f>IF($N417="","",INDEX('_calc'!$A$2:$A$3001,$N417))</f>
        <v/>
      </c>
      <c r="D417" s="25" t="str">
        <f>IF($N417="","",INDEX('_calc'!$C$2:$C$3001,$N417))</f>
        <v/>
      </c>
      <c r="E417" s="25" t="str">
        <f>IF($N417="","",INDEX('_calc'!$D$2:$D$3001,$N417))</f>
        <v/>
      </c>
      <c r="F417" s="26" t="str">
        <f>IF($N417="","",IF($E$8=0,"",E417/$E$8))</f>
        <v/>
      </c>
      <c r="G417" s="25" t="str">
        <f>IF($N417="","",INDEX('_calc'!$E$2:$E$3001,$N417))</f>
        <v/>
      </c>
      <c r="H417" s="25" t="str">
        <f>IF($N417="","",INDEX('_calc'!$F$2:$F$3001,$N417))</f>
        <v/>
      </c>
      <c r="I417" s="27" t="str">
        <f>IF($N417="","",INDEX('_calc'!$H$2:$H$3001,$N417))</f>
        <v/>
      </c>
      <c r="J417" s="27" t="str">
        <f>IF($N417="","",INDEX('_calc'!$I$2:$I$3001,$N417))</f>
        <v/>
      </c>
      <c r="K417" s="28" t="str">
        <f>IF($N417="","",IF(OR(I417="",J417=""),"",J417-I417))</f>
        <v/>
      </c>
      <c r="L417" s="29" t="str">
        <f>IF($N417="","",INDEX('_calc'!$J$2:$J$3001,$N417))</f>
        <v/>
      </c>
      <c r="M417" s="2" t="str">
        <f>IF($N417="","",IF(AND(G417=0,H417=0),"수량 없음",IF(G417=0,"신규 (전년 수량 없음)",IF(H417=0,"당해 수량 없음",""))))</f>
        <v/>
      </c>
      <c r="N417" t="str">
        <f>IF($B417="","",MATCH($B417,'_calc'!$L$2:$L$3001,0))</f>
        <v/>
      </c>
    </row>
    <row r="418">
      <c r="B418" s="24" t="str">
        <f>IF(ROW()-ROW($B$8)&gt;nComp,"",ROW()-ROW($B$8))</f>
        <v/>
      </c>
      <c r="C418" t="str">
        <f>IF($N418="","",INDEX('_calc'!$A$2:$A$3001,$N418))</f>
        <v/>
      </c>
      <c r="D418" s="25" t="str">
        <f>IF($N418="","",INDEX('_calc'!$C$2:$C$3001,$N418))</f>
        <v/>
      </c>
      <c r="E418" s="25" t="str">
        <f>IF($N418="","",INDEX('_calc'!$D$2:$D$3001,$N418))</f>
        <v/>
      </c>
      <c r="F418" s="26" t="str">
        <f>IF($N418="","",IF($E$8=0,"",E418/$E$8))</f>
        <v/>
      </c>
      <c r="G418" s="25" t="str">
        <f>IF($N418="","",INDEX('_calc'!$E$2:$E$3001,$N418))</f>
        <v/>
      </c>
      <c r="H418" s="25" t="str">
        <f>IF($N418="","",INDEX('_calc'!$F$2:$F$3001,$N418))</f>
        <v/>
      </c>
      <c r="I418" s="27" t="str">
        <f>IF($N418="","",INDEX('_calc'!$H$2:$H$3001,$N418))</f>
        <v/>
      </c>
      <c r="J418" s="27" t="str">
        <f>IF($N418="","",INDEX('_calc'!$I$2:$I$3001,$N418))</f>
        <v/>
      </c>
      <c r="K418" s="28" t="str">
        <f>IF($N418="","",IF(OR(I418="",J418=""),"",J418-I418))</f>
        <v/>
      </c>
      <c r="L418" s="29" t="str">
        <f>IF($N418="","",INDEX('_calc'!$J$2:$J$3001,$N418))</f>
        <v/>
      </c>
      <c r="M418" s="2" t="str">
        <f>IF($N418="","",IF(AND(G418=0,H418=0),"수량 없음",IF(G418=0,"신규 (전년 수량 없음)",IF(H418=0,"당해 수량 없음",""))))</f>
        <v/>
      </c>
      <c r="N418" t="str">
        <f>IF($B418="","",MATCH($B418,'_calc'!$L$2:$L$3001,0))</f>
        <v/>
      </c>
    </row>
    <row r="419">
      <c r="B419" s="24" t="str">
        <f>IF(ROW()-ROW($B$8)&gt;nComp,"",ROW()-ROW($B$8))</f>
        <v/>
      </c>
      <c r="C419" t="str">
        <f>IF($N419="","",INDEX('_calc'!$A$2:$A$3001,$N419))</f>
        <v/>
      </c>
      <c r="D419" s="25" t="str">
        <f>IF($N419="","",INDEX('_calc'!$C$2:$C$3001,$N419))</f>
        <v/>
      </c>
      <c r="E419" s="25" t="str">
        <f>IF($N419="","",INDEX('_calc'!$D$2:$D$3001,$N419))</f>
        <v/>
      </c>
      <c r="F419" s="26" t="str">
        <f>IF($N419="","",IF($E$8=0,"",E419/$E$8))</f>
        <v/>
      </c>
      <c r="G419" s="25" t="str">
        <f>IF($N419="","",INDEX('_calc'!$E$2:$E$3001,$N419))</f>
        <v/>
      </c>
      <c r="H419" s="25" t="str">
        <f>IF($N419="","",INDEX('_calc'!$F$2:$F$3001,$N419))</f>
        <v/>
      </c>
      <c r="I419" s="27" t="str">
        <f>IF($N419="","",INDEX('_calc'!$H$2:$H$3001,$N419))</f>
        <v/>
      </c>
      <c r="J419" s="27" t="str">
        <f>IF($N419="","",INDEX('_calc'!$I$2:$I$3001,$N419))</f>
        <v/>
      </c>
      <c r="K419" s="28" t="str">
        <f>IF($N419="","",IF(OR(I419="",J419=""),"",J419-I419))</f>
        <v/>
      </c>
      <c r="L419" s="29" t="str">
        <f>IF($N419="","",INDEX('_calc'!$J$2:$J$3001,$N419))</f>
        <v/>
      </c>
      <c r="M419" s="2" t="str">
        <f>IF($N419="","",IF(AND(G419=0,H419=0),"수량 없음",IF(G419=0,"신규 (전년 수량 없음)",IF(H419=0,"당해 수량 없음",""))))</f>
        <v/>
      </c>
      <c r="N419" t="str">
        <f>IF($B419="","",MATCH($B419,'_calc'!$L$2:$L$3001,0))</f>
        <v/>
      </c>
    </row>
    <row r="420">
      <c r="B420" s="24" t="str">
        <f>IF(ROW()-ROW($B$8)&gt;nComp,"",ROW()-ROW($B$8))</f>
        <v/>
      </c>
      <c r="C420" t="str">
        <f>IF($N420="","",INDEX('_calc'!$A$2:$A$3001,$N420))</f>
        <v/>
      </c>
      <c r="D420" s="25" t="str">
        <f>IF($N420="","",INDEX('_calc'!$C$2:$C$3001,$N420))</f>
        <v/>
      </c>
      <c r="E420" s="25" t="str">
        <f>IF($N420="","",INDEX('_calc'!$D$2:$D$3001,$N420))</f>
        <v/>
      </c>
      <c r="F420" s="26" t="str">
        <f>IF($N420="","",IF($E$8=0,"",E420/$E$8))</f>
        <v/>
      </c>
      <c r="G420" s="25" t="str">
        <f>IF($N420="","",INDEX('_calc'!$E$2:$E$3001,$N420))</f>
        <v/>
      </c>
      <c r="H420" s="25" t="str">
        <f>IF($N420="","",INDEX('_calc'!$F$2:$F$3001,$N420))</f>
        <v/>
      </c>
      <c r="I420" s="27" t="str">
        <f>IF($N420="","",INDEX('_calc'!$H$2:$H$3001,$N420))</f>
        <v/>
      </c>
      <c r="J420" s="27" t="str">
        <f>IF($N420="","",INDEX('_calc'!$I$2:$I$3001,$N420))</f>
        <v/>
      </c>
      <c r="K420" s="28" t="str">
        <f>IF($N420="","",IF(OR(I420="",J420=""),"",J420-I420))</f>
        <v/>
      </c>
      <c r="L420" s="29" t="str">
        <f>IF($N420="","",INDEX('_calc'!$J$2:$J$3001,$N420))</f>
        <v/>
      </c>
      <c r="M420" s="2" t="str">
        <f>IF($N420="","",IF(AND(G420=0,H420=0),"수량 없음",IF(G420=0,"신규 (전년 수량 없음)",IF(H420=0,"당해 수량 없음",""))))</f>
        <v/>
      </c>
      <c r="N420" t="str">
        <f>IF($B420="","",MATCH($B420,'_calc'!$L$2:$L$3001,0))</f>
        <v/>
      </c>
    </row>
    <row r="421">
      <c r="B421" s="24" t="str">
        <f>IF(ROW()-ROW($B$8)&gt;nComp,"",ROW()-ROW($B$8))</f>
        <v/>
      </c>
      <c r="C421" t="str">
        <f>IF($N421="","",INDEX('_calc'!$A$2:$A$3001,$N421))</f>
        <v/>
      </c>
      <c r="D421" s="25" t="str">
        <f>IF($N421="","",INDEX('_calc'!$C$2:$C$3001,$N421))</f>
        <v/>
      </c>
      <c r="E421" s="25" t="str">
        <f>IF($N421="","",INDEX('_calc'!$D$2:$D$3001,$N421))</f>
        <v/>
      </c>
      <c r="F421" s="26" t="str">
        <f>IF($N421="","",IF($E$8=0,"",E421/$E$8))</f>
        <v/>
      </c>
      <c r="G421" s="25" t="str">
        <f>IF($N421="","",INDEX('_calc'!$E$2:$E$3001,$N421))</f>
        <v/>
      </c>
      <c r="H421" s="25" t="str">
        <f>IF($N421="","",INDEX('_calc'!$F$2:$F$3001,$N421))</f>
        <v/>
      </c>
      <c r="I421" s="27" t="str">
        <f>IF($N421="","",INDEX('_calc'!$H$2:$H$3001,$N421))</f>
        <v/>
      </c>
      <c r="J421" s="27" t="str">
        <f>IF($N421="","",INDEX('_calc'!$I$2:$I$3001,$N421))</f>
        <v/>
      </c>
      <c r="K421" s="28" t="str">
        <f>IF($N421="","",IF(OR(I421="",J421=""),"",J421-I421))</f>
        <v/>
      </c>
      <c r="L421" s="29" t="str">
        <f>IF($N421="","",INDEX('_calc'!$J$2:$J$3001,$N421))</f>
        <v/>
      </c>
      <c r="M421" s="2" t="str">
        <f>IF($N421="","",IF(AND(G421=0,H421=0),"수량 없음",IF(G421=0,"신규 (전년 수량 없음)",IF(H421=0,"당해 수량 없음",""))))</f>
        <v/>
      </c>
      <c r="N421" t="str">
        <f>IF($B421="","",MATCH($B421,'_calc'!$L$2:$L$3001,0))</f>
        <v/>
      </c>
    </row>
    <row r="422">
      <c r="B422" s="24" t="str">
        <f>IF(ROW()-ROW($B$8)&gt;nComp,"",ROW()-ROW($B$8))</f>
        <v/>
      </c>
      <c r="C422" t="str">
        <f>IF($N422="","",INDEX('_calc'!$A$2:$A$3001,$N422))</f>
        <v/>
      </c>
      <c r="D422" s="25" t="str">
        <f>IF($N422="","",INDEX('_calc'!$C$2:$C$3001,$N422))</f>
        <v/>
      </c>
      <c r="E422" s="25" t="str">
        <f>IF($N422="","",INDEX('_calc'!$D$2:$D$3001,$N422))</f>
        <v/>
      </c>
      <c r="F422" s="26" t="str">
        <f>IF($N422="","",IF($E$8=0,"",E422/$E$8))</f>
        <v/>
      </c>
      <c r="G422" s="25" t="str">
        <f>IF($N422="","",INDEX('_calc'!$E$2:$E$3001,$N422))</f>
        <v/>
      </c>
      <c r="H422" s="25" t="str">
        <f>IF($N422="","",INDEX('_calc'!$F$2:$F$3001,$N422))</f>
        <v/>
      </c>
      <c r="I422" s="27" t="str">
        <f>IF($N422="","",INDEX('_calc'!$H$2:$H$3001,$N422))</f>
        <v/>
      </c>
      <c r="J422" s="27" t="str">
        <f>IF($N422="","",INDEX('_calc'!$I$2:$I$3001,$N422))</f>
        <v/>
      </c>
      <c r="K422" s="28" t="str">
        <f>IF($N422="","",IF(OR(I422="",J422=""),"",J422-I422))</f>
        <v/>
      </c>
      <c r="L422" s="29" t="str">
        <f>IF($N422="","",INDEX('_calc'!$J$2:$J$3001,$N422))</f>
        <v/>
      </c>
      <c r="M422" s="2" t="str">
        <f>IF($N422="","",IF(AND(G422=0,H422=0),"수량 없음",IF(G422=0,"신규 (전년 수량 없음)",IF(H422=0,"당해 수량 없음",""))))</f>
        <v/>
      </c>
      <c r="N422" t="str">
        <f>IF($B422="","",MATCH($B422,'_calc'!$L$2:$L$3001,0))</f>
        <v/>
      </c>
    </row>
    <row r="423">
      <c r="B423" s="24" t="str">
        <f>IF(ROW()-ROW($B$8)&gt;nComp,"",ROW()-ROW($B$8))</f>
        <v/>
      </c>
      <c r="C423" t="str">
        <f>IF($N423="","",INDEX('_calc'!$A$2:$A$3001,$N423))</f>
        <v/>
      </c>
      <c r="D423" s="25" t="str">
        <f>IF($N423="","",INDEX('_calc'!$C$2:$C$3001,$N423))</f>
        <v/>
      </c>
      <c r="E423" s="25" t="str">
        <f>IF($N423="","",INDEX('_calc'!$D$2:$D$3001,$N423))</f>
        <v/>
      </c>
      <c r="F423" s="26" t="str">
        <f>IF($N423="","",IF($E$8=0,"",E423/$E$8))</f>
        <v/>
      </c>
      <c r="G423" s="25" t="str">
        <f>IF($N423="","",INDEX('_calc'!$E$2:$E$3001,$N423))</f>
        <v/>
      </c>
      <c r="H423" s="25" t="str">
        <f>IF($N423="","",INDEX('_calc'!$F$2:$F$3001,$N423))</f>
        <v/>
      </c>
      <c r="I423" s="27" t="str">
        <f>IF($N423="","",INDEX('_calc'!$H$2:$H$3001,$N423))</f>
        <v/>
      </c>
      <c r="J423" s="27" t="str">
        <f>IF($N423="","",INDEX('_calc'!$I$2:$I$3001,$N423))</f>
        <v/>
      </c>
      <c r="K423" s="28" t="str">
        <f>IF($N423="","",IF(OR(I423="",J423=""),"",J423-I423))</f>
        <v/>
      </c>
      <c r="L423" s="29" t="str">
        <f>IF($N423="","",INDEX('_calc'!$J$2:$J$3001,$N423))</f>
        <v/>
      </c>
      <c r="M423" s="2" t="str">
        <f>IF($N423="","",IF(AND(G423=0,H423=0),"수량 없음",IF(G423=0,"신규 (전년 수량 없음)",IF(H423=0,"당해 수량 없음",""))))</f>
        <v/>
      </c>
      <c r="N423" t="str">
        <f>IF($B423="","",MATCH($B423,'_calc'!$L$2:$L$3001,0))</f>
        <v/>
      </c>
    </row>
    <row r="424">
      <c r="B424" s="24" t="str">
        <f>IF(ROW()-ROW($B$8)&gt;nComp,"",ROW()-ROW($B$8))</f>
        <v/>
      </c>
      <c r="C424" t="str">
        <f>IF($N424="","",INDEX('_calc'!$A$2:$A$3001,$N424))</f>
        <v/>
      </c>
      <c r="D424" s="25" t="str">
        <f>IF($N424="","",INDEX('_calc'!$C$2:$C$3001,$N424))</f>
        <v/>
      </c>
      <c r="E424" s="25" t="str">
        <f>IF($N424="","",INDEX('_calc'!$D$2:$D$3001,$N424))</f>
        <v/>
      </c>
      <c r="F424" s="26" t="str">
        <f>IF($N424="","",IF($E$8=0,"",E424/$E$8))</f>
        <v/>
      </c>
      <c r="G424" s="25" t="str">
        <f>IF($N424="","",INDEX('_calc'!$E$2:$E$3001,$N424))</f>
        <v/>
      </c>
      <c r="H424" s="25" t="str">
        <f>IF($N424="","",INDEX('_calc'!$F$2:$F$3001,$N424))</f>
        <v/>
      </c>
      <c r="I424" s="27" t="str">
        <f>IF($N424="","",INDEX('_calc'!$H$2:$H$3001,$N424))</f>
        <v/>
      </c>
      <c r="J424" s="27" t="str">
        <f>IF($N424="","",INDEX('_calc'!$I$2:$I$3001,$N424))</f>
        <v/>
      </c>
      <c r="K424" s="28" t="str">
        <f>IF($N424="","",IF(OR(I424="",J424=""),"",J424-I424))</f>
        <v/>
      </c>
      <c r="L424" s="29" t="str">
        <f>IF($N424="","",INDEX('_calc'!$J$2:$J$3001,$N424))</f>
        <v/>
      </c>
      <c r="M424" s="2" t="str">
        <f>IF($N424="","",IF(AND(G424=0,H424=0),"수량 없음",IF(G424=0,"신규 (전년 수량 없음)",IF(H424=0,"당해 수량 없음",""))))</f>
        <v/>
      </c>
      <c r="N424" t="str">
        <f>IF($B424="","",MATCH($B424,'_calc'!$L$2:$L$3001,0))</f>
        <v/>
      </c>
    </row>
    <row r="425">
      <c r="B425" s="24" t="str">
        <f>IF(ROW()-ROW($B$8)&gt;nComp,"",ROW()-ROW($B$8))</f>
        <v/>
      </c>
      <c r="C425" t="str">
        <f>IF($N425="","",INDEX('_calc'!$A$2:$A$3001,$N425))</f>
        <v/>
      </c>
      <c r="D425" s="25" t="str">
        <f>IF($N425="","",INDEX('_calc'!$C$2:$C$3001,$N425))</f>
        <v/>
      </c>
      <c r="E425" s="25" t="str">
        <f>IF($N425="","",INDEX('_calc'!$D$2:$D$3001,$N425))</f>
        <v/>
      </c>
      <c r="F425" s="26" t="str">
        <f>IF($N425="","",IF($E$8=0,"",E425/$E$8))</f>
        <v/>
      </c>
      <c r="G425" s="25" t="str">
        <f>IF($N425="","",INDEX('_calc'!$E$2:$E$3001,$N425))</f>
        <v/>
      </c>
      <c r="H425" s="25" t="str">
        <f>IF($N425="","",INDEX('_calc'!$F$2:$F$3001,$N425))</f>
        <v/>
      </c>
      <c r="I425" s="27" t="str">
        <f>IF($N425="","",INDEX('_calc'!$H$2:$H$3001,$N425))</f>
        <v/>
      </c>
      <c r="J425" s="27" t="str">
        <f>IF($N425="","",INDEX('_calc'!$I$2:$I$3001,$N425))</f>
        <v/>
      </c>
      <c r="K425" s="28" t="str">
        <f>IF($N425="","",IF(OR(I425="",J425=""),"",J425-I425))</f>
        <v/>
      </c>
      <c r="L425" s="29" t="str">
        <f>IF($N425="","",INDEX('_calc'!$J$2:$J$3001,$N425))</f>
        <v/>
      </c>
      <c r="M425" s="2" t="str">
        <f>IF($N425="","",IF(AND(G425=0,H425=0),"수량 없음",IF(G425=0,"신규 (전년 수량 없음)",IF(H425=0,"당해 수량 없음",""))))</f>
        <v/>
      </c>
      <c r="N425" t="str">
        <f>IF($B425="","",MATCH($B425,'_calc'!$L$2:$L$3001,0))</f>
        <v/>
      </c>
    </row>
    <row r="426">
      <c r="B426" s="24" t="str">
        <f>IF(ROW()-ROW($B$8)&gt;nComp,"",ROW()-ROW($B$8))</f>
        <v/>
      </c>
      <c r="C426" t="str">
        <f>IF($N426="","",INDEX('_calc'!$A$2:$A$3001,$N426))</f>
        <v/>
      </c>
      <c r="D426" s="25" t="str">
        <f>IF($N426="","",INDEX('_calc'!$C$2:$C$3001,$N426))</f>
        <v/>
      </c>
      <c r="E426" s="25" t="str">
        <f>IF($N426="","",INDEX('_calc'!$D$2:$D$3001,$N426))</f>
        <v/>
      </c>
      <c r="F426" s="26" t="str">
        <f>IF($N426="","",IF($E$8=0,"",E426/$E$8))</f>
        <v/>
      </c>
      <c r="G426" s="25" t="str">
        <f>IF($N426="","",INDEX('_calc'!$E$2:$E$3001,$N426))</f>
        <v/>
      </c>
      <c r="H426" s="25" t="str">
        <f>IF($N426="","",INDEX('_calc'!$F$2:$F$3001,$N426))</f>
        <v/>
      </c>
      <c r="I426" s="27" t="str">
        <f>IF($N426="","",INDEX('_calc'!$H$2:$H$3001,$N426))</f>
        <v/>
      </c>
      <c r="J426" s="27" t="str">
        <f>IF($N426="","",INDEX('_calc'!$I$2:$I$3001,$N426))</f>
        <v/>
      </c>
      <c r="K426" s="28" t="str">
        <f>IF($N426="","",IF(OR(I426="",J426=""),"",J426-I426))</f>
        <v/>
      </c>
      <c r="L426" s="29" t="str">
        <f>IF($N426="","",INDEX('_calc'!$J$2:$J$3001,$N426))</f>
        <v/>
      </c>
      <c r="M426" s="2" t="str">
        <f>IF($N426="","",IF(AND(G426=0,H426=0),"수량 없음",IF(G426=0,"신규 (전년 수량 없음)",IF(H426=0,"당해 수량 없음",""))))</f>
        <v/>
      </c>
      <c r="N426" t="str">
        <f>IF($B426="","",MATCH($B426,'_calc'!$L$2:$L$3001,0))</f>
        <v/>
      </c>
    </row>
    <row r="427">
      <c r="B427" s="24" t="str">
        <f>IF(ROW()-ROW($B$8)&gt;nComp,"",ROW()-ROW($B$8))</f>
        <v/>
      </c>
      <c r="C427" t="str">
        <f>IF($N427="","",INDEX('_calc'!$A$2:$A$3001,$N427))</f>
        <v/>
      </c>
      <c r="D427" s="25" t="str">
        <f>IF($N427="","",INDEX('_calc'!$C$2:$C$3001,$N427))</f>
        <v/>
      </c>
      <c r="E427" s="25" t="str">
        <f>IF($N427="","",INDEX('_calc'!$D$2:$D$3001,$N427))</f>
        <v/>
      </c>
      <c r="F427" s="26" t="str">
        <f>IF($N427="","",IF($E$8=0,"",E427/$E$8))</f>
        <v/>
      </c>
      <c r="G427" s="25" t="str">
        <f>IF($N427="","",INDEX('_calc'!$E$2:$E$3001,$N427))</f>
        <v/>
      </c>
      <c r="H427" s="25" t="str">
        <f>IF($N427="","",INDEX('_calc'!$F$2:$F$3001,$N427))</f>
        <v/>
      </c>
      <c r="I427" s="27" t="str">
        <f>IF($N427="","",INDEX('_calc'!$H$2:$H$3001,$N427))</f>
        <v/>
      </c>
      <c r="J427" s="27" t="str">
        <f>IF($N427="","",INDEX('_calc'!$I$2:$I$3001,$N427))</f>
        <v/>
      </c>
      <c r="K427" s="28" t="str">
        <f>IF($N427="","",IF(OR(I427="",J427=""),"",J427-I427))</f>
        <v/>
      </c>
      <c r="L427" s="29" t="str">
        <f>IF($N427="","",INDEX('_calc'!$J$2:$J$3001,$N427))</f>
        <v/>
      </c>
      <c r="M427" s="2" t="str">
        <f>IF($N427="","",IF(AND(G427=0,H427=0),"수량 없음",IF(G427=0,"신규 (전년 수량 없음)",IF(H427=0,"당해 수량 없음",""))))</f>
        <v/>
      </c>
      <c r="N427" t="str">
        <f>IF($B427="","",MATCH($B427,'_calc'!$L$2:$L$3001,0))</f>
        <v/>
      </c>
    </row>
    <row r="428">
      <c r="B428" s="24" t="str">
        <f>IF(ROW()-ROW($B$8)&gt;nComp,"",ROW()-ROW($B$8))</f>
        <v/>
      </c>
      <c r="C428" t="str">
        <f>IF($N428="","",INDEX('_calc'!$A$2:$A$3001,$N428))</f>
        <v/>
      </c>
      <c r="D428" s="25" t="str">
        <f>IF($N428="","",INDEX('_calc'!$C$2:$C$3001,$N428))</f>
        <v/>
      </c>
      <c r="E428" s="25" t="str">
        <f>IF($N428="","",INDEX('_calc'!$D$2:$D$3001,$N428))</f>
        <v/>
      </c>
      <c r="F428" s="26" t="str">
        <f>IF($N428="","",IF($E$8=0,"",E428/$E$8))</f>
        <v/>
      </c>
      <c r="G428" s="25" t="str">
        <f>IF($N428="","",INDEX('_calc'!$E$2:$E$3001,$N428))</f>
        <v/>
      </c>
      <c r="H428" s="25" t="str">
        <f>IF($N428="","",INDEX('_calc'!$F$2:$F$3001,$N428))</f>
        <v/>
      </c>
      <c r="I428" s="27" t="str">
        <f>IF($N428="","",INDEX('_calc'!$H$2:$H$3001,$N428))</f>
        <v/>
      </c>
      <c r="J428" s="27" t="str">
        <f>IF($N428="","",INDEX('_calc'!$I$2:$I$3001,$N428))</f>
        <v/>
      </c>
      <c r="K428" s="28" t="str">
        <f>IF($N428="","",IF(OR(I428="",J428=""),"",J428-I428))</f>
        <v/>
      </c>
      <c r="L428" s="29" t="str">
        <f>IF($N428="","",INDEX('_calc'!$J$2:$J$3001,$N428))</f>
        <v/>
      </c>
      <c r="M428" s="2" t="str">
        <f>IF($N428="","",IF(AND(G428=0,H428=0),"수량 없음",IF(G428=0,"신규 (전년 수량 없음)",IF(H428=0,"당해 수량 없음",""))))</f>
        <v/>
      </c>
      <c r="N428" t="str">
        <f>IF($B428="","",MATCH($B428,'_calc'!$L$2:$L$3001,0))</f>
        <v/>
      </c>
    </row>
    <row r="429">
      <c r="B429" s="24" t="str">
        <f>IF(ROW()-ROW($B$8)&gt;nComp,"",ROW()-ROW($B$8))</f>
        <v/>
      </c>
      <c r="C429" t="str">
        <f>IF($N429="","",INDEX('_calc'!$A$2:$A$3001,$N429))</f>
        <v/>
      </c>
      <c r="D429" s="25" t="str">
        <f>IF($N429="","",INDEX('_calc'!$C$2:$C$3001,$N429))</f>
        <v/>
      </c>
      <c r="E429" s="25" t="str">
        <f>IF($N429="","",INDEX('_calc'!$D$2:$D$3001,$N429))</f>
        <v/>
      </c>
      <c r="F429" s="26" t="str">
        <f>IF($N429="","",IF($E$8=0,"",E429/$E$8))</f>
        <v/>
      </c>
      <c r="G429" s="25" t="str">
        <f>IF($N429="","",INDEX('_calc'!$E$2:$E$3001,$N429))</f>
        <v/>
      </c>
      <c r="H429" s="25" t="str">
        <f>IF($N429="","",INDEX('_calc'!$F$2:$F$3001,$N429))</f>
        <v/>
      </c>
      <c r="I429" s="27" t="str">
        <f>IF($N429="","",INDEX('_calc'!$H$2:$H$3001,$N429))</f>
        <v/>
      </c>
      <c r="J429" s="27" t="str">
        <f>IF($N429="","",INDEX('_calc'!$I$2:$I$3001,$N429))</f>
        <v/>
      </c>
      <c r="K429" s="28" t="str">
        <f>IF($N429="","",IF(OR(I429="",J429=""),"",J429-I429))</f>
        <v/>
      </c>
      <c r="L429" s="29" t="str">
        <f>IF($N429="","",INDEX('_calc'!$J$2:$J$3001,$N429))</f>
        <v/>
      </c>
      <c r="M429" s="2" t="str">
        <f>IF($N429="","",IF(AND(G429=0,H429=0),"수량 없음",IF(G429=0,"신규 (전년 수량 없음)",IF(H429=0,"당해 수량 없음",""))))</f>
        <v/>
      </c>
      <c r="N429" t="str">
        <f>IF($B429="","",MATCH($B429,'_calc'!$L$2:$L$3001,0))</f>
        <v/>
      </c>
    </row>
    <row r="430">
      <c r="B430" s="24" t="str">
        <f>IF(ROW()-ROW($B$8)&gt;nComp,"",ROW()-ROW($B$8))</f>
        <v/>
      </c>
      <c r="C430" t="str">
        <f>IF($N430="","",INDEX('_calc'!$A$2:$A$3001,$N430))</f>
        <v/>
      </c>
      <c r="D430" s="25" t="str">
        <f>IF($N430="","",INDEX('_calc'!$C$2:$C$3001,$N430))</f>
        <v/>
      </c>
      <c r="E430" s="25" t="str">
        <f>IF($N430="","",INDEX('_calc'!$D$2:$D$3001,$N430))</f>
        <v/>
      </c>
      <c r="F430" s="26" t="str">
        <f>IF($N430="","",IF($E$8=0,"",E430/$E$8))</f>
        <v/>
      </c>
      <c r="G430" s="25" t="str">
        <f>IF($N430="","",INDEX('_calc'!$E$2:$E$3001,$N430))</f>
        <v/>
      </c>
      <c r="H430" s="25" t="str">
        <f>IF($N430="","",INDEX('_calc'!$F$2:$F$3001,$N430))</f>
        <v/>
      </c>
      <c r="I430" s="27" t="str">
        <f>IF($N430="","",INDEX('_calc'!$H$2:$H$3001,$N430))</f>
        <v/>
      </c>
      <c r="J430" s="27" t="str">
        <f>IF($N430="","",INDEX('_calc'!$I$2:$I$3001,$N430))</f>
        <v/>
      </c>
      <c r="K430" s="28" t="str">
        <f>IF($N430="","",IF(OR(I430="",J430=""),"",J430-I430))</f>
        <v/>
      </c>
      <c r="L430" s="29" t="str">
        <f>IF($N430="","",INDEX('_calc'!$J$2:$J$3001,$N430))</f>
        <v/>
      </c>
      <c r="M430" s="2" t="str">
        <f>IF($N430="","",IF(AND(G430=0,H430=0),"수량 없음",IF(G430=0,"신규 (전년 수량 없음)",IF(H430=0,"당해 수량 없음",""))))</f>
        <v/>
      </c>
      <c r="N430" t="str">
        <f>IF($B430="","",MATCH($B430,'_calc'!$L$2:$L$3001,0))</f>
        <v/>
      </c>
    </row>
    <row r="431">
      <c r="B431" s="24" t="str">
        <f>IF(ROW()-ROW($B$8)&gt;nComp,"",ROW()-ROW($B$8))</f>
        <v/>
      </c>
      <c r="C431" t="str">
        <f>IF($N431="","",INDEX('_calc'!$A$2:$A$3001,$N431))</f>
        <v/>
      </c>
      <c r="D431" s="25" t="str">
        <f>IF($N431="","",INDEX('_calc'!$C$2:$C$3001,$N431))</f>
        <v/>
      </c>
      <c r="E431" s="25" t="str">
        <f>IF($N431="","",INDEX('_calc'!$D$2:$D$3001,$N431))</f>
        <v/>
      </c>
      <c r="F431" s="26" t="str">
        <f>IF($N431="","",IF($E$8=0,"",E431/$E$8))</f>
        <v/>
      </c>
      <c r="G431" s="25" t="str">
        <f>IF($N431="","",INDEX('_calc'!$E$2:$E$3001,$N431))</f>
        <v/>
      </c>
      <c r="H431" s="25" t="str">
        <f>IF($N431="","",INDEX('_calc'!$F$2:$F$3001,$N431))</f>
        <v/>
      </c>
      <c r="I431" s="27" t="str">
        <f>IF($N431="","",INDEX('_calc'!$H$2:$H$3001,$N431))</f>
        <v/>
      </c>
      <c r="J431" s="27" t="str">
        <f>IF($N431="","",INDEX('_calc'!$I$2:$I$3001,$N431))</f>
        <v/>
      </c>
      <c r="K431" s="28" t="str">
        <f>IF($N431="","",IF(OR(I431="",J431=""),"",J431-I431))</f>
        <v/>
      </c>
      <c r="L431" s="29" t="str">
        <f>IF($N431="","",INDEX('_calc'!$J$2:$J$3001,$N431))</f>
        <v/>
      </c>
      <c r="M431" s="2" t="str">
        <f>IF($N431="","",IF(AND(G431=0,H431=0),"수량 없음",IF(G431=0,"신규 (전년 수량 없음)",IF(H431=0,"당해 수량 없음",""))))</f>
        <v/>
      </c>
      <c r="N431" t="str">
        <f>IF($B431="","",MATCH($B431,'_calc'!$L$2:$L$3001,0))</f>
        <v/>
      </c>
    </row>
    <row r="432">
      <c r="B432" s="24" t="str">
        <f>IF(ROW()-ROW($B$8)&gt;nComp,"",ROW()-ROW($B$8))</f>
        <v/>
      </c>
      <c r="C432" t="str">
        <f>IF($N432="","",INDEX('_calc'!$A$2:$A$3001,$N432))</f>
        <v/>
      </c>
      <c r="D432" s="25" t="str">
        <f>IF($N432="","",INDEX('_calc'!$C$2:$C$3001,$N432))</f>
        <v/>
      </c>
      <c r="E432" s="25" t="str">
        <f>IF($N432="","",INDEX('_calc'!$D$2:$D$3001,$N432))</f>
        <v/>
      </c>
      <c r="F432" s="26" t="str">
        <f>IF($N432="","",IF($E$8=0,"",E432/$E$8))</f>
        <v/>
      </c>
      <c r="G432" s="25" t="str">
        <f>IF($N432="","",INDEX('_calc'!$E$2:$E$3001,$N432))</f>
        <v/>
      </c>
      <c r="H432" s="25" t="str">
        <f>IF($N432="","",INDEX('_calc'!$F$2:$F$3001,$N432))</f>
        <v/>
      </c>
      <c r="I432" s="27" t="str">
        <f>IF($N432="","",INDEX('_calc'!$H$2:$H$3001,$N432))</f>
        <v/>
      </c>
      <c r="J432" s="27" t="str">
        <f>IF($N432="","",INDEX('_calc'!$I$2:$I$3001,$N432))</f>
        <v/>
      </c>
      <c r="K432" s="28" t="str">
        <f>IF($N432="","",IF(OR(I432="",J432=""),"",J432-I432))</f>
        <v/>
      </c>
      <c r="L432" s="29" t="str">
        <f>IF($N432="","",INDEX('_calc'!$J$2:$J$3001,$N432))</f>
        <v/>
      </c>
      <c r="M432" s="2" t="str">
        <f>IF($N432="","",IF(AND(G432=0,H432=0),"수량 없음",IF(G432=0,"신규 (전년 수량 없음)",IF(H432=0,"당해 수량 없음",""))))</f>
        <v/>
      </c>
      <c r="N432" t="str">
        <f>IF($B432="","",MATCH($B432,'_calc'!$L$2:$L$3001,0))</f>
        <v/>
      </c>
    </row>
    <row r="433">
      <c r="B433" s="24" t="str">
        <f>IF(ROW()-ROW($B$8)&gt;nComp,"",ROW()-ROW($B$8))</f>
        <v/>
      </c>
      <c r="C433" t="str">
        <f>IF($N433="","",INDEX('_calc'!$A$2:$A$3001,$N433))</f>
        <v/>
      </c>
      <c r="D433" s="25" t="str">
        <f>IF($N433="","",INDEX('_calc'!$C$2:$C$3001,$N433))</f>
        <v/>
      </c>
      <c r="E433" s="25" t="str">
        <f>IF($N433="","",INDEX('_calc'!$D$2:$D$3001,$N433))</f>
        <v/>
      </c>
      <c r="F433" s="26" t="str">
        <f>IF($N433="","",IF($E$8=0,"",E433/$E$8))</f>
        <v/>
      </c>
      <c r="G433" s="25" t="str">
        <f>IF($N433="","",INDEX('_calc'!$E$2:$E$3001,$N433))</f>
        <v/>
      </c>
      <c r="H433" s="25" t="str">
        <f>IF($N433="","",INDEX('_calc'!$F$2:$F$3001,$N433))</f>
        <v/>
      </c>
      <c r="I433" s="27" t="str">
        <f>IF($N433="","",INDEX('_calc'!$H$2:$H$3001,$N433))</f>
        <v/>
      </c>
      <c r="J433" s="27" t="str">
        <f>IF($N433="","",INDEX('_calc'!$I$2:$I$3001,$N433))</f>
        <v/>
      </c>
      <c r="K433" s="28" t="str">
        <f>IF($N433="","",IF(OR(I433="",J433=""),"",J433-I433))</f>
        <v/>
      </c>
      <c r="L433" s="29" t="str">
        <f>IF($N433="","",INDEX('_calc'!$J$2:$J$3001,$N433))</f>
        <v/>
      </c>
      <c r="M433" s="2" t="str">
        <f>IF($N433="","",IF(AND(G433=0,H433=0),"수량 없음",IF(G433=0,"신규 (전년 수량 없음)",IF(H433=0,"당해 수량 없음",""))))</f>
        <v/>
      </c>
      <c r="N433" t="str">
        <f>IF($B433="","",MATCH($B433,'_calc'!$L$2:$L$3001,0))</f>
        <v/>
      </c>
    </row>
    <row r="434">
      <c r="B434" s="24" t="str">
        <f>IF(ROW()-ROW($B$8)&gt;nComp,"",ROW()-ROW($B$8))</f>
        <v/>
      </c>
      <c r="C434" t="str">
        <f>IF($N434="","",INDEX('_calc'!$A$2:$A$3001,$N434))</f>
        <v/>
      </c>
      <c r="D434" s="25" t="str">
        <f>IF($N434="","",INDEX('_calc'!$C$2:$C$3001,$N434))</f>
        <v/>
      </c>
      <c r="E434" s="25" t="str">
        <f>IF($N434="","",INDEX('_calc'!$D$2:$D$3001,$N434))</f>
        <v/>
      </c>
      <c r="F434" s="26" t="str">
        <f>IF($N434="","",IF($E$8=0,"",E434/$E$8))</f>
        <v/>
      </c>
      <c r="G434" s="25" t="str">
        <f>IF($N434="","",INDEX('_calc'!$E$2:$E$3001,$N434))</f>
        <v/>
      </c>
      <c r="H434" s="25" t="str">
        <f>IF($N434="","",INDEX('_calc'!$F$2:$F$3001,$N434))</f>
        <v/>
      </c>
      <c r="I434" s="27" t="str">
        <f>IF($N434="","",INDEX('_calc'!$H$2:$H$3001,$N434))</f>
        <v/>
      </c>
      <c r="J434" s="27" t="str">
        <f>IF($N434="","",INDEX('_calc'!$I$2:$I$3001,$N434))</f>
        <v/>
      </c>
      <c r="K434" s="28" t="str">
        <f>IF($N434="","",IF(OR(I434="",J434=""),"",J434-I434))</f>
        <v/>
      </c>
      <c r="L434" s="29" t="str">
        <f>IF($N434="","",INDEX('_calc'!$J$2:$J$3001,$N434))</f>
        <v/>
      </c>
      <c r="M434" s="2" t="str">
        <f>IF($N434="","",IF(AND(G434=0,H434=0),"수량 없음",IF(G434=0,"신규 (전년 수량 없음)",IF(H434=0,"당해 수량 없음",""))))</f>
        <v/>
      </c>
      <c r="N434" t="str">
        <f>IF($B434="","",MATCH($B434,'_calc'!$L$2:$L$3001,0))</f>
        <v/>
      </c>
    </row>
    <row r="435">
      <c r="B435" s="24" t="str">
        <f>IF(ROW()-ROW($B$8)&gt;nComp,"",ROW()-ROW($B$8))</f>
        <v/>
      </c>
      <c r="C435" t="str">
        <f>IF($N435="","",INDEX('_calc'!$A$2:$A$3001,$N435))</f>
        <v/>
      </c>
      <c r="D435" s="25" t="str">
        <f>IF($N435="","",INDEX('_calc'!$C$2:$C$3001,$N435))</f>
        <v/>
      </c>
      <c r="E435" s="25" t="str">
        <f>IF($N435="","",INDEX('_calc'!$D$2:$D$3001,$N435))</f>
        <v/>
      </c>
      <c r="F435" s="26" t="str">
        <f>IF($N435="","",IF($E$8=0,"",E435/$E$8))</f>
        <v/>
      </c>
      <c r="G435" s="25" t="str">
        <f>IF($N435="","",INDEX('_calc'!$E$2:$E$3001,$N435))</f>
        <v/>
      </c>
      <c r="H435" s="25" t="str">
        <f>IF($N435="","",INDEX('_calc'!$F$2:$F$3001,$N435))</f>
        <v/>
      </c>
      <c r="I435" s="27" t="str">
        <f>IF($N435="","",INDEX('_calc'!$H$2:$H$3001,$N435))</f>
        <v/>
      </c>
      <c r="J435" s="27" t="str">
        <f>IF($N435="","",INDEX('_calc'!$I$2:$I$3001,$N435))</f>
        <v/>
      </c>
      <c r="K435" s="28" t="str">
        <f>IF($N435="","",IF(OR(I435="",J435=""),"",J435-I435))</f>
        <v/>
      </c>
      <c r="L435" s="29" t="str">
        <f>IF($N435="","",INDEX('_calc'!$J$2:$J$3001,$N435))</f>
        <v/>
      </c>
      <c r="M435" s="2" t="str">
        <f>IF($N435="","",IF(AND(G435=0,H435=0),"수량 없음",IF(G435=0,"신규 (전년 수량 없음)",IF(H435=0,"당해 수량 없음",""))))</f>
        <v/>
      </c>
      <c r="N435" t="str">
        <f>IF($B435="","",MATCH($B435,'_calc'!$L$2:$L$3001,0))</f>
        <v/>
      </c>
    </row>
    <row r="436">
      <c r="B436" s="24" t="str">
        <f>IF(ROW()-ROW($B$8)&gt;nComp,"",ROW()-ROW($B$8))</f>
        <v/>
      </c>
      <c r="C436" t="str">
        <f>IF($N436="","",INDEX('_calc'!$A$2:$A$3001,$N436))</f>
        <v/>
      </c>
      <c r="D436" s="25" t="str">
        <f>IF($N436="","",INDEX('_calc'!$C$2:$C$3001,$N436))</f>
        <v/>
      </c>
      <c r="E436" s="25" t="str">
        <f>IF($N436="","",INDEX('_calc'!$D$2:$D$3001,$N436))</f>
        <v/>
      </c>
      <c r="F436" s="26" t="str">
        <f>IF($N436="","",IF($E$8=0,"",E436/$E$8))</f>
        <v/>
      </c>
      <c r="G436" s="25" t="str">
        <f>IF($N436="","",INDEX('_calc'!$E$2:$E$3001,$N436))</f>
        <v/>
      </c>
      <c r="H436" s="25" t="str">
        <f>IF($N436="","",INDEX('_calc'!$F$2:$F$3001,$N436))</f>
        <v/>
      </c>
      <c r="I436" s="27" t="str">
        <f>IF($N436="","",INDEX('_calc'!$H$2:$H$3001,$N436))</f>
        <v/>
      </c>
      <c r="J436" s="27" t="str">
        <f>IF($N436="","",INDEX('_calc'!$I$2:$I$3001,$N436))</f>
        <v/>
      </c>
      <c r="K436" s="28" t="str">
        <f>IF($N436="","",IF(OR(I436="",J436=""),"",J436-I436))</f>
        <v/>
      </c>
      <c r="L436" s="29" t="str">
        <f>IF($N436="","",INDEX('_calc'!$J$2:$J$3001,$N436))</f>
        <v/>
      </c>
      <c r="M436" s="2" t="str">
        <f>IF($N436="","",IF(AND(G436=0,H436=0),"수량 없음",IF(G436=0,"신규 (전년 수량 없음)",IF(H436=0,"당해 수량 없음",""))))</f>
        <v/>
      </c>
      <c r="N436" t="str">
        <f>IF($B436="","",MATCH($B436,'_calc'!$L$2:$L$3001,0))</f>
        <v/>
      </c>
    </row>
    <row r="437">
      <c r="B437" s="24" t="str">
        <f>IF(ROW()-ROW($B$8)&gt;nComp,"",ROW()-ROW($B$8))</f>
        <v/>
      </c>
      <c r="C437" t="str">
        <f>IF($N437="","",INDEX('_calc'!$A$2:$A$3001,$N437))</f>
        <v/>
      </c>
      <c r="D437" s="25" t="str">
        <f>IF($N437="","",INDEX('_calc'!$C$2:$C$3001,$N437))</f>
        <v/>
      </c>
      <c r="E437" s="25" t="str">
        <f>IF($N437="","",INDEX('_calc'!$D$2:$D$3001,$N437))</f>
        <v/>
      </c>
      <c r="F437" s="26" t="str">
        <f>IF($N437="","",IF($E$8=0,"",E437/$E$8))</f>
        <v/>
      </c>
      <c r="G437" s="25" t="str">
        <f>IF($N437="","",INDEX('_calc'!$E$2:$E$3001,$N437))</f>
        <v/>
      </c>
      <c r="H437" s="25" t="str">
        <f>IF($N437="","",INDEX('_calc'!$F$2:$F$3001,$N437))</f>
        <v/>
      </c>
      <c r="I437" s="27" t="str">
        <f>IF($N437="","",INDEX('_calc'!$H$2:$H$3001,$N437))</f>
        <v/>
      </c>
      <c r="J437" s="27" t="str">
        <f>IF($N437="","",INDEX('_calc'!$I$2:$I$3001,$N437))</f>
        <v/>
      </c>
      <c r="K437" s="28" t="str">
        <f>IF($N437="","",IF(OR(I437="",J437=""),"",J437-I437))</f>
        <v/>
      </c>
      <c r="L437" s="29" t="str">
        <f>IF($N437="","",INDEX('_calc'!$J$2:$J$3001,$N437))</f>
        <v/>
      </c>
      <c r="M437" s="2" t="str">
        <f>IF($N437="","",IF(AND(G437=0,H437=0),"수량 없음",IF(G437=0,"신규 (전년 수량 없음)",IF(H437=0,"당해 수량 없음",""))))</f>
        <v/>
      </c>
      <c r="N437" t="str">
        <f>IF($B437="","",MATCH($B437,'_calc'!$L$2:$L$3001,0))</f>
        <v/>
      </c>
    </row>
    <row r="438">
      <c r="B438" s="24" t="str">
        <f>IF(ROW()-ROW($B$8)&gt;nComp,"",ROW()-ROW($B$8))</f>
        <v/>
      </c>
      <c r="C438" t="str">
        <f>IF($N438="","",INDEX('_calc'!$A$2:$A$3001,$N438))</f>
        <v/>
      </c>
      <c r="D438" s="25" t="str">
        <f>IF($N438="","",INDEX('_calc'!$C$2:$C$3001,$N438))</f>
        <v/>
      </c>
      <c r="E438" s="25" t="str">
        <f>IF($N438="","",INDEX('_calc'!$D$2:$D$3001,$N438))</f>
        <v/>
      </c>
      <c r="F438" s="26" t="str">
        <f>IF($N438="","",IF($E$8=0,"",E438/$E$8))</f>
        <v/>
      </c>
      <c r="G438" s="25" t="str">
        <f>IF($N438="","",INDEX('_calc'!$E$2:$E$3001,$N438))</f>
        <v/>
      </c>
      <c r="H438" s="25" t="str">
        <f>IF($N438="","",INDEX('_calc'!$F$2:$F$3001,$N438))</f>
        <v/>
      </c>
      <c r="I438" s="27" t="str">
        <f>IF($N438="","",INDEX('_calc'!$H$2:$H$3001,$N438))</f>
        <v/>
      </c>
      <c r="J438" s="27" t="str">
        <f>IF($N438="","",INDEX('_calc'!$I$2:$I$3001,$N438))</f>
        <v/>
      </c>
      <c r="K438" s="28" t="str">
        <f>IF($N438="","",IF(OR(I438="",J438=""),"",J438-I438))</f>
        <v/>
      </c>
      <c r="L438" s="29" t="str">
        <f>IF($N438="","",INDEX('_calc'!$J$2:$J$3001,$N438))</f>
        <v/>
      </c>
      <c r="M438" s="2" t="str">
        <f>IF($N438="","",IF(AND(G438=0,H438=0),"수량 없음",IF(G438=0,"신규 (전년 수량 없음)",IF(H438=0,"당해 수량 없음",""))))</f>
        <v/>
      </c>
      <c r="N438" t="str">
        <f>IF($B438="","",MATCH($B438,'_calc'!$L$2:$L$3001,0))</f>
        <v/>
      </c>
    </row>
    <row r="439">
      <c r="B439" s="24" t="str">
        <f>IF(ROW()-ROW($B$8)&gt;nComp,"",ROW()-ROW($B$8))</f>
        <v/>
      </c>
      <c r="C439" t="str">
        <f>IF($N439="","",INDEX('_calc'!$A$2:$A$3001,$N439))</f>
        <v/>
      </c>
      <c r="D439" s="25" t="str">
        <f>IF($N439="","",INDEX('_calc'!$C$2:$C$3001,$N439))</f>
        <v/>
      </c>
      <c r="E439" s="25" t="str">
        <f>IF($N439="","",INDEX('_calc'!$D$2:$D$3001,$N439))</f>
        <v/>
      </c>
      <c r="F439" s="26" t="str">
        <f>IF($N439="","",IF($E$8=0,"",E439/$E$8))</f>
        <v/>
      </c>
      <c r="G439" s="25" t="str">
        <f>IF($N439="","",INDEX('_calc'!$E$2:$E$3001,$N439))</f>
        <v/>
      </c>
      <c r="H439" s="25" t="str">
        <f>IF($N439="","",INDEX('_calc'!$F$2:$F$3001,$N439))</f>
        <v/>
      </c>
      <c r="I439" s="27" t="str">
        <f>IF($N439="","",INDEX('_calc'!$H$2:$H$3001,$N439))</f>
        <v/>
      </c>
      <c r="J439" s="27" t="str">
        <f>IF($N439="","",INDEX('_calc'!$I$2:$I$3001,$N439))</f>
        <v/>
      </c>
      <c r="K439" s="28" t="str">
        <f>IF($N439="","",IF(OR(I439="",J439=""),"",J439-I439))</f>
        <v/>
      </c>
      <c r="L439" s="29" t="str">
        <f>IF($N439="","",INDEX('_calc'!$J$2:$J$3001,$N439))</f>
        <v/>
      </c>
      <c r="M439" s="2" t="str">
        <f>IF($N439="","",IF(AND(G439=0,H439=0),"수량 없음",IF(G439=0,"신규 (전년 수량 없음)",IF(H439=0,"당해 수량 없음",""))))</f>
        <v/>
      </c>
      <c r="N439" t="str">
        <f>IF($B439="","",MATCH($B439,'_calc'!$L$2:$L$3001,0))</f>
        <v/>
      </c>
    </row>
    <row r="440">
      <c r="B440" s="24" t="str">
        <f>IF(ROW()-ROW($B$8)&gt;nComp,"",ROW()-ROW($B$8))</f>
        <v/>
      </c>
      <c r="C440" t="str">
        <f>IF($N440="","",INDEX('_calc'!$A$2:$A$3001,$N440))</f>
        <v/>
      </c>
      <c r="D440" s="25" t="str">
        <f>IF($N440="","",INDEX('_calc'!$C$2:$C$3001,$N440))</f>
        <v/>
      </c>
      <c r="E440" s="25" t="str">
        <f>IF($N440="","",INDEX('_calc'!$D$2:$D$3001,$N440))</f>
        <v/>
      </c>
      <c r="F440" s="26" t="str">
        <f>IF($N440="","",IF($E$8=0,"",E440/$E$8))</f>
        <v/>
      </c>
      <c r="G440" s="25" t="str">
        <f>IF($N440="","",INDEX('_calc'!$E$2:$E$3001,$N440))</f>
        <v/>
      </c>
      <c r="H440" s="25" t="str">
        <f>IF($N440="","",INDEX('_calc'!$F$2:$F$3001,$N440))</f>
        <v/>
      </c>
      <c r="I440" s="27" t="str">
        <f>IF($N440="","",INDEX('_calc'!$H$2:$H$3001,$N440))</f>
        <v/>
      </c>
      <c r="J440" s="27" t="str">
        <f>IF($N440="","",INDEX('_calc'!$I$2:$I$3001,$N440))</f>
        <v/>
      </c>
      <c r="K440" s="28" t="str">
        <f>IF($N440="","",IF(OR(I440="",J440=""),"",J440-I440))</f>
        <v/>
      </c>
      <c r="L440" s="29" t="str">
        <f>IF($N440="","",INDEX('_calc'!$J$2:$J$3001,$N440))</f>
        <v/>
      </c>
      <c r="M440" s="2" t="str">
        <f>IF($N440="","",IF(AND(G440=0,H440=0),"수량 없음",IF(G440=0,"신규 (전년 수량 없음)",IF(H440=0,"당해 수량 없음",""))))</f>
        <v/>
      </c>
      <c r="N440" t="str">
        <f>IF($B440="","",MATCH($B440,'_calc'!$L$2:$L$3001,0))</f>
        <v/>
      </c>
    </row>
    <row r="441">
      <c r="B441" s="24" t="str">
        <f>IF(ROW()-ROW($B$8)&gt;nComp,"",ROW()-ROW($B$8))</f>
        <v/>
      </c>
      <c r="C441" t="str">
        <f>IF($N441="","",INDEX('_calc'!$A$2:$A$3001,$N441))</f>
        <v/>
      </c>
      <c r="D441" s="25" t="str">
        <f>IF($N441="","",INDEX('_calc'!$C$2:$C$3001,$N441))</f>
        <v/>
      </c>
      <c r="E441" s="25" t="str">
        <f>IF($N441="","",INDEX('_calc'!$D$2:$D$3001,$N441))</f>
        <v/>
      </c>
      <c r="F441" s="26" t="str">
        <f>IF($N441="","",IF($E$8=0,"",E441/$E$8))</f>
        <v/>
      </c>
      <c r="G441" s="25" t="str">
        <f>IF($N441="","",INDEX('_calc'!$E$2:$E$3001,$N441))</f>
        <v/>
      </c>
      <c r="H441" s="25" t="str">
        <f>IF($N441="","",INDEX('_calc'!$F$2:$F$3001,$N441))</f>
        <v/>
      </c>
      <c r="I441" s="27" t="str">
        <f>IF($N441="","",INDEX('_calc'!$H$2:$H$3001,$N441))</f>
        <v/>
      </c>
      <c r="J441" s="27" t="str">
        <f>IF($N441="","",INDEX('_calc'!$I$2:$I$3001,$N441))</f>
        <v/>
      </c>
      <c r="K441" s="28" t="str">
        <f>IF($N441="","",IF(OR(I441="",J441=""),"",J441-I441))</f>
        <v/>
      </c>
      <c r="L441" s="29" t="str">
        <f>IF($N441="","",INDEX('_calc'!$J$2:$J$3001,$N441))</f>
        <v/>
      </c>
      <c r="M441" s="2" t="str">
        <f>IF($N441="","",IF(AND(G441=0,H441=0),"수량 없음",IF(G441=0,"신규 (전년 수량 없음)",IF(H441=0,"당해 수량 없음",""))))</f>
        <v/>
      </c>
      <c r="N441" t="str">
        <f>IF($B441="","",MATCH($B441,'_calc'!$L$2:$L$3001,0))</f>
        <v/>
      </c>
    </row>
    <row r="442">
      <c r="B442" s="24" t="str">
        <f>IF(ROW()-ROW($B$8)&gt;nComp,"",ROW()-ROW($B$8))</f>
        <v/>
      </c>
      <c r="C442" t="str">
        <f>IF($N442="","",INDEX('_calc'!$A$2:$A$3001,$N442))</f>
        <v/>
      </c>
      <c r="D442" s="25" t="str">
        <f>IF($N442="","",INDEX('_calc'!$C$2:$C$3001,$N442))</f>
        <v/>
      </c>
      <c r="E442" s="25" t="str">
        <f>IF($N442="","",INDEX('_calc'!$D$2:$D$3001,$N442))</f>
        <v/>
      </c>
      <c r="F442" s="26" t="str">
        <f>IF($N442="","",IF($E$8=0,"",E442/$E$8))</f>
        <v/>
      </c>
      <c r="G442" s="25" t="str">
        <f>IF($N442="","",INDEX('_calc'!$E$2:$E$3001,$N442))</f>
        <v/>
      </c>
      <c r="H442" s="25" t="str">
        <f>IF($N442="","",INDEX('_calc'!$F$2:$F$3001,$N442))</f>
        <v/>
      </c>
      <c r="I442" s="27" t="str">
        <f>IF($N442="","",INDEX('_calc'!$H$2:$H$3001,$N442))</f>
        <v/>
      </c>
      <c r="J442" s="27" t="str">
        <f>IF($N442="","",INDEX('_calc'!$I$2:$I$3001,$N442))</f>
        <v/>
      </c>
      <c r="K442" s="28" t="str">
        <f>IF($N442="","",IF(OR(I442="",J442=""),"",J442-I442))</f>
        <v/>
      </c>
      <c r="L442" s="29" t="str">
        <f>IF($N442="","",INDEX('_calc'!$J$2:$J$3001,$N442))</f>
        <v/>
      </c>
      <c r="M442" s="2" t="str">
        <f>IF($N442="","",IF(AND(G442=0,H442=0),"수량 없음",IF(G442=0,"신규 (전년 수량 없음)",IF(H442=0,"당해 수량 없음",""))))</f>
        <v/>
      </c>
      <c r="N442" t="str">
        <f>IF($B442="","",MATCH($B442,'_calc'!$L$2:$L$3001,0))</f>
        <v/>
      </c>
    </row>
    <row r="443">
      <c r="B443" s="24" t="str">
        <f>IF(ROW()-ROW($B$8)&gt;nComp,"",ROW()-ROW($B$8))</f>
        <v/>
      </c>
      <c r="C443" t="str">
        <f>IF($N443="","",INDEX('_calc'!$A$2:$A$3001,$N443))</f>
        <v/>
      </c>
      <c r="D443" s="25" t="str">
        <f>IF($N443="","",INDEX('_calc'!$C$2:$C$3001,$N443))</f>
        <v/>
      </c>
      <c r="E443" s="25" t="str">
        <f>IF($N443="","",INDEX('_calc'!$D$2:$D$3001,$N443))</f>
        <v/>
      </c>
      <c r="F443" s="26" t="str">
        <f>IF($N443="","",IF($E$8=0,"",E443/$E$8))</f>
        <v/>
      </c>
      <c r="G443" s="25" t="str">
        <f>IF($N443="","",INDEX('_calc'!$E$2:$E$3001,$N443))</f>
        <v/>
      </c>
      <c r="H443" s="25" t="str">
        <f>IF($N443="","",INDEX('_calc'!$F$2:$F$3001,$N443))</f>
        <v/>
      </c>
      <c r="I443" s="27" t="str">
        <f>IF($N443="","",INDEX('_calc'!$H$2:$H$3001,$N443))</f>
        <v/>
      </c>
      <c r="J443" s="27" t="str">
        <f>IF($N443="","",INDEX('_calc'!$I$2:$I$3001,$N443))</f>
        <v/>
      </c>
      <c r="K443" s="28" t="str">
        <f>IF($N443="","",IF(OR(I443="",J443=""),"",J443-I443))</f>
        <v/>
      </c>
      <c r="L443" s="29" t="str">
        <f>IF($N443="","",INDEX('_calc'!$J$2:$J$3001,$N443))</f>
        <v/>
      </c>
      <c r="M443" s="2" t="str">
        <f>IF($N443="","",IF(AND(G443=0,H443=0),"수량 없음",IF(G443=0,"신규 (전년 수량 없음)",IF(H443=0,"당해 수량 없음",""))))</f>
        <v/>
      </c>
      <c r="N443" t="str">
        <f>IF($B443="","",MATCH($B443,'_calc'!$L$2:$L$3001,0))</f>
        <v/>
      </c>
    </row>
    <row r="444">
      <c r="B444" s="24" t="str">
        <f>IF(ROW()-ROW($B$8)&gt;nComp,"",ROW()-ROW($B$8))</f>
        <v/>
      </c>
      <c r="C444" t="str">
        <f>IF($N444="","",INDEX('_calc'!$A$2:$A$3001,$N444))</f>
        <v/>
      </c>
      <c r="D444" s="25" t="str">
        <f>IF($N444="","",INDEX('_calc'!$C$2:$C$3001,$N444))</f>
        <v/>
      </c>
      <c r="E444" s="25" t="str">
        <f>IF($N444="","",INDEX('_calc'!$D$2:$D$3001,$N444))</f>
        <v/>
      </c>
      <c r="F444" s="26" t="str">
        <f>IF($N444="","",IF($E$8=0,"",E444/$E$8))</f>
        <v/>
      </c>
      <c r="G444" s="25" t="str">
        <f>IF($N444="","",INDEX('_calc'!$E$2:$E$3001,$N444))</f>
        <v/>
      </c>
      <c r="H444" s="25" t="str">
        <f>IF($N444="","",INDEX('_calc'!$F$2:$F$3001,$N444))</f>
        <v/>
      </c>
      <c r="I444" s="27" t="str">
        <f>IF($N444="","",INDEX('_calc'!$H$2:$H$3001,$N444))</f>
        <v/>
      </c>
      <c r="J444" s="27" t="str">
        <f>IF($N444="","",INDEX('_calc'!$I$2:$I$3001,$N444))</f>
        <v/>
      </c>
      <c r="K444" s="28" t="str">
        <f>IF($N444="","",IF(OR(I444="",J444=""),"",J444-I444))</f>
        <v/>
      </c>
      <c r="L444" s="29" t="str">
        <f>IF($N444="","",INDEX('_calc'!$J$2:$J$3001,$N444))</f>
        <v/>
      </c>
      <c r="M444" s="2" t="str">
        <f>IF($N444="","",IF(AND(G444=0,H444=0),"수량 없음",IF(G444=0,"신규 (전년 수량 없음)",IF(H444=0,"당해 수량 없음",""))))</f>
        <v/>
      </c>
      <c r="N444" t="str">
        <f>IF($B444="","",MATCH($B444,'_calc'!$L$2:$L$3001,0))</f>
        <v/>
      </c>
    </row>
    <row r="445">
      <c r="B445" s="24" t="str">
        <f>IF(ROW()-ROW($B$8)&gt;nComp,"",ROW()-ROW($B$8))</f>
        <v/>
      </c>
      <c r="C445" t="str">
        <f>IF($N445="","",INDEX('_calc'!$A$2:$A$3001,$N445))</f>
        <v/>
      </c>
      <c r="D445" s="25" t="str">
        <f>IF($N445="","",INDEX('_calc'!$C$2:$C$3001,$N445))</f>
        <v/>
      </c>
      <c r="E445" s="25" t="str">
        <f>IF($N445="","",INDEX('_calc'!$D$2:$D$3001,$N445))</f>
        <v/>
      </c>
      <c r="F445" s="26" t="str">
        <f>IF($N445="","",IF($E$8=0,"",E445/$E$8))</f>
        <v/>
      </c>
      <c r="G445" s="25" t="str">
        <f>IF($N445="","",INDEX('_calc'!$E$2:$E$3001,$N445))</f>
        <v/>
      </c>
      <c r="H445" s="25" t="str">
        <f>IF($N445="","",INDEX('_calc'!$F$2:$F$3001,$N445))</f>
        <v/>
      </c>
      <c r="I445" s="27" t="str">
        <f>IF($N445="","",INDEX('_calc'!$H$2:$H$3001,$N445))</f>
        <v/>
      </c>
      <c r="J445" s="27" t="str">
        <f>IF($N445="","",INDEX('_calc'!$I$2:$I$3001,$N445))</f>
        <v/>
      </c>
      <c r="K445" s="28" t="str">
        <f>IF($N445="","",IF(OR(I445="",J445=""),"",J445-I445))</f>
        <v/>
      </c>
      <c r="L445" s="29" t="str">
        <f>IF($N445="","",INDEX('_calc'!$J$2:$J$3001,$N445))</f>
        <v/>
      </c>
      <c r="M445" s="2" t="str">
        <f>IF($N445="","",IF(AND(G445=0,H445=0),"수량 없음",IF(G445=0,"신규 (전년 수량 없음)",IF(H445=0,"당해 수량 없음",""))))</f>
        <v/>
      </c>
      <c r="N445" t="str">
        <f>IF($B445="","",MATCH($B445,'_calc'!$L$2:$L$3001,0))</f>
        <v/>
      </c>
    </row>
    <row r="446">
      <c r="B446" s="24" t="str">
        <f>IF(ROW()-ROW($B$8)&gt;nComp,"",ROW()-ROW($B$8))</f>
        <v/>
      </c>
      <c r="C446" t="str">
        <f>IF($N446="","",INDEX('_calc'!$A$2:$A$3001,$N446))</f>
        <v/>
      </c>
      <c r="D446" s="25" t="str">
        <f>IF($N446="","",INDEX('_calc'!$C$2:$C$3001,$N446))</f>
        <v/>
      </c>
      <c r="E446" s="25" t="str">
        <f>IF($N446="","",INDEX('_calc'!$D$2:$D$3001,$N446))</f>
        <v/>
      </c>
      <c r="F446" s="26" t="str">
        <f>IF($N446="","",IF($E$8=0,"",E446/$E$8))</f>
        <v/>
      </c>
      <c r="G446" s="25" t="str">
        <f>IF($N446="","",INDEX('_calc'!$E$2:$E$3001,$N446))</f>
        <v/>
      </c>
      <c r="H446" s="25" t="str">
        <f>IF($N446="","",INDEX('_calc'!$F$2:$F$3001,$N446))</f>
        <v/>
      </c>
      <c r="I446" s="27" t="str">
        <f>IF($N446="","",INDEX('_calc'!$H$2:$H$3001,$N446))</f>
        <v/>
      </c>
      <c r="J446" s="27" t="str">
        <f>IF($N446="","",INDEX('_calc'!$I$2:$I$3001,$N446))</f>
        <v/>
      </c>
      <c r="K446" s="28" t="str">
        <f>IF($N446="","",IF(OR(I446="",J446=""),"",J446-I446))</f>
        <v/>
      </c>
      <c r="L446" s="29" t="str">
        <f>IF($N446="","",INDEX('_calc'!$J$2:$J$3001,$N446))</f>
        <v/>
      </c>
      <c r="M446" s="2" t="str">
        <f>IF($N446="","",IF(AND(G446=0,H446=0),"수량 없음",IF(G446=0,"신규 (전년 수량 없음)",IF(H446=0,"당해 수량 없음",""))))</f>
        <v/>
      </c>
      <c r="N446" t="str">
        <f>IF($B446="","",MATCH($B446,'_calc'!$L$2:$L$3001,0))</f>
        <v/>
      </c>
    </row>
    <row r="447">
      <c r="B447" s="24" t="str">
        <f>IF(ROW()-ROW($B$8)&gt;nComp,"",ROW()-ROW($B$8))</f>
        <v/>
      </c>
      <c r="C447" t="str">
        <f>IF($N447="","",INDEX('_calc'!$A$2:$A$3001,$N447))</f>
        <v/>
      </c>
      <c r="D447" s="25" t="str">
        <f>IF($N447="","",INDEX('_calc'!$C$2:$C$3001,$N447))</f>
        <v/>
      </c>
      <c r="E447" s="25" t="str">
        <f>IF($N447="","",INDEX('_calc'!$D$2:$D$3001,$N447))</f>
        <v/>
      </c>
      <c r="F447" s="26" t="str">
        <f>IF($N447="","",IF($E$8=0,"",E447/$E$8))</f>
        <v/>
      </c>
      <c r="G447" s="25" t="str">
        <f>IF($N447="","",INDEX('_calc'!$E$2:$E$3001,$N447))</f>
        <v/>
      </c>
      <c r="H447" s="25" t="str">
        <f>IF($N447="","",INDEX('_calc'!$F$2:$F$3001,$N447))</f>
        <v/>
      </c>
      <c r="I447" s="27" t="str">
        <f>IF($N447="","",INDEX('_calc'!$H$2:$H$3001,$N447))</f>
        <v/>
      </c>
      <c r="J447" s="27" t="str">
        <f>IF($N447="","",INDEX('_calc'!$I$2:$I$3001,$N447))</f>
        <v/>
      </c>
      <c r="K447" s="28" t="str">
        <f>IF($N447="","",IF(OR(I447="",J447=""),"",J447-I447))</f>
        <v/>
      </c>
      <c r="L447" s="29" t="str">
        <f>IF($N447="","",INDEX('_calc'!$J$2:$J$3001,$N447))</f>
        <v/>
      </c>
      <c r="M447" s="2" t="str">
        <f>IF($N447="","",IF(AND(G447=0,H447=0),"수량 없음",IF(G447=0,"신규 (전년 수량 없음)",IF(H447=0,"당해 수량 없음",""))))</f>
        <v/>
      </c>
      <c r="N447" t="str">
        <f>IF($B447="","",MATCH($B447,'_calc'!$L$2:$L$3001,0))</f>
        <v/>
      </c>
    </row>
    <row r="448">
      <c r="B448" s="24" t="str">
        <f>IF(ROW()-ROW($B$8)&gt;nComp,"",ROW()-ROW($B$8))</f>
        <v/>
      </c>
      <c r="C448" t="str">
        <f>IF($N448="","",INDEX('_calc'!$A$2:$A$3001,$N448))</f>
        <v/>
      </c>
      <c r="D448" s="25" t="str">
        <f>IF($N448="","",INDEX('_calc'!$C$2:$C$3001,$N448))</f>
        <v/>
      </c>
      <c r="E448" s="25" t="str">
        <f>IF($N448="","",INDEX('_calc'!$D$2:$D$3001,$N448))</f>
        <v/>
      </c>
      <c r="F448" s="26" t="str">
        <f>IF($N448="","",IF($E$8=0,"",E448/$E$8))</f>
        <v/>
      </c>
      <c r="G448" s="25" t="str">
        <f>IF($N448="","",INDEX('_calc'!$E$2:$E$3001,$N448))</f>
        <v/>
      </c>
      <c r="H448" s="25" t="str">
        <f>IF($N448="","",INDEX('_calc'!$F$2:$F$3001,$N448))</f>
        <v/>
      </c>
      <c r="I448" s="27" t="str">
        <f>IF($N448="","",INDEX('_calc'!$H$2:$H$3001,$N448))</f>
        <v/>
      </c>
      <c r="J448" s="27" t="str">
        <f>IF($N448="","",INDEX('_calc'!$I$2:$I$3001,$N448))</f>
        <v/>
      </c>
      <c r="K448" s="28" t="str">
        <f>IF($N448="","",IF(OR(I448="",J448=""),"",J448-I448))</f>
        <v/>
      </c>
      <c r="L448" s="29" t="str">
        <f>IF($N448="","",INDEX('_calc'!$J$2:$J$3001,$N448))</f>
        <v/>
      </c>
      <c r="M448" s="2" t="str">
        <f>IF($N448="","",IF(AND(G448=0,H448=0),"수량 없음",IF(G448=0,"신규 (전년 수량 없음)",IF(H448=0,"당해 수량 없음",""))))</f>
        <v/>
      </c>
      <c r="N448" t="str">
        <f>IF($B448="","",MATCH($B448,'_calc'!$L$2:$L$3001,0))</f>
        <v/>
      </c>
    </row>
    <row r="449">
      <c r="B449" s="24" t="str">
        <f>IF(ROW()-ROW($B$8)&gt;nComp,"",ROW()-ROW($B$8))</f>
        <v/>
      </c>
      <c r="C449" t="str">
        <f>IF($N449="","",INDEX('_calc'!$A$2:$A$3001,$N449))</f>
        <v/>
      </c>
      <c r="D449" s="25" t="str">
        <f>IF($N449="","",INDEX('_calc'!$C$2:$C$3001,$N449))</f>
        <v/>
      </c>
      <c r="E449" s="25" t="str">
        <f>IF($N449="","",INDEX('_calc'!$D$2:$D$3001,$N449))</f>
        <v/>
      </c>
      <c r="F449" s="26" t="str">
        <f>IF($N449="","",IF($E$8=0,"",E449/$E$8))</f>
        <v/>
      </c>
      <c r="G449" s="25" t="str">
        <f>IF($N449="","",INDEX('_calc'!$E$2:$E$3001,$N449))</f>
        <v/>
      </c>
      <c r="H449" s="25" t="str">
        <f>IF($N449="","",INDEX('_calc'!$F$2:$F$3001,$N449))</f>
        <v/>
      </c>
      <c r="I449" s="27" t="str">
        <f>IF($N449="","",INDEX('_calc'!$H$2:$H$3001,$N449))</f>
        <v/>
      </c>
      <c r="J449" s="27" t="str">
        <f>IF($N449="","",INDEX('_calc'!$I$2:$I$3001,$N449))</f>
        <v/>
      </c>
      <c r="K449" s="28" t="str">
        <f>IF($N449="","",IF(OR(I449="",J449=""),"",J449-I449))</f>
        <v/>
      </c>
      <c r="L449" s="29" t="str">
        <f>IF($N449="","",INDEX('_calc'!$J$2:$J$3001,$N449))</f>
        <v/>
      </c>
      <c r="M449" s="2" t="str">
        <f>IF($N449="","",IF(AND(G449=0,H449=0),"수량 없음",IF(G449=0,"신규 (전년 수량 없음)",IF(H449=0,"당해 수량 없음",""))))</f>
        <v/>
      </c>
      <c r="N449" t="str">
        <f>IF($B449="","",MATCH($B449,'_calc'!$L$2:$L$3001,0))</f>
        <v/>
      </c>
    </row>
    <row r="450">
      <c r="B450" s="24" t="str">
        <f>IF(ROW()-ROW($B$8)&gt;nComp,"",ROW()-ROW($B$8))</f>
        <v/>
      </c>
      <c r="C450" t="str">
        <f>IF($N450="","",INDEX('_calc'!$A$2:$A$3001,$N450))</f>
        <v/>
      </c>
      <c r="D450" s="25" t="str">
        <f>IF($N450="","",INDEX('_calc'!$C$2:$C$3001,$N450))</f>
        <v/>
      </c>
      <c r="E450" s="25" t="str">
        <f>IF($N450="","",INDEX('_calc'!$D$2:$D$3001,$N450))</f>
        <v/>
      </c>
      <c r="F450" s="26" t="str">
        <f>IF($N450="","",IF($E$8=0,"",E450/$E$8))</f>
        <v/>
      </c>
      <c r="G450" s="25" t="str">
        <f>IF($N450="","",INDEX('_calc'!$E$2:$E$3001,$N450))</f>
        <v/>
      </c>
      <c r="H450" s="25" t="str">
        <f>IF($N450="","",INDEX('_calc'!$F$2:$F$3001,$N450))</f>
        <v/>
      </c>
      <c r="I450" s="27" t="str">
        <f>IF($N450="","",INDEX('_calc'!$H$2:$H$3001,$N450))</f>
        <v/>
      </c>
      <c r="J450" s="27" t="str">
        <f>IF($N450="","",INDEX('_calc'!$I$2:$I$3001,$N450))</f>
        <v/>
      </c>
      <c r="K450" s="28" t="str">
        <f>IF($N450="","",IF(OR(I450="",J450=""),"",J450-I450))</f>
        <v/>
      </c>
      <c r="L450" s="29" t="str">
        <f>IF($N450="","",INDEX('_calc'!$J$2:$J$3001,$N450))</f>
        <v/>
      </c>
      <c r="M450" s="2" t="str">
        <f>IF($N450="","",IF(AND(G450=0,H450=0),"수량 없음",IF(G450=0,"신규 (전년 수량 없음)",IF(H450=0,"당해 수량 없음",""))))</f>
        <v/>
      </c>
      <c r="N450" t="str">
        <f>IF($B450="","",MATCH($B450,'_calc'!$L$2:$L$3001,0))</f>
        <v/>
      </c>
    </row>
    <row r="451">
      <c r="B451" s="24" t="str">
        <f>IF(ROW()-ROW($B$8)&gt;nComp,"",ROW()-ROW($B$8))</f>
        <v/>
      </c>
      <c r="C451" t="str">
        <f>IF($N451="","",INDEX('_calc'!$A$2:$A$3001,$N451))</f>
        <v/>
      </c>
      <c r="D451" s="25" t="str">
        <f>IF($N451="","",INDEX('_calc'!$C$2:$C$3001,$N451))</f>
        <v/>
      </c>
      <c r="E451" s="25" t="str">
        <f>IF($N451="","",INDEX('_calc'!$D$2:$D$3001,$N451))</f>
        <v/>
      </c>
      <c r="F451" s="26" t="str">
        <f>IF($N451="","",IF($E$8=0,"",E451/$E$8))</f>
        <v/>
      </c>
      <c r="G451" s="25" t="str">
        <f>IF($N451="","",INDEX('_calc'!$E$2:$E$3001,$N451))</f>
        <v/>
      </c>
      <c r="H451" s="25" t="str">
        <f>IF($N451="","",INDEX('_calc'!$F$2:$F$3001,$N451))</f>
        <v/>
      </c>
      <c r="I451" s="27" t="str">
        <f>IF($N451="","",INDEX('_calc'!$H$2:$H$3001,$N451))</f>
        <v/>
      </c>
      <c r="J451" s="27" t="str">
        <f>IF($N451="","",INDEX('_calc'!$I$2:$I$3001,$N451))</f>
        <v/>
      </c>
      <c r="K451" s="28" t="str">
        <f>IF($N451="","",IF(OR(I451="",J451=""),"",J451-I451))</f>
        <v/>
      </c>
      <c r="L451" s="29" t="str">
        <f>IF($N451="","",INDEX('_calc'!$J$2:$J$3001,$N451))</f>
        <v/>
      </c>
      <c r="M451" s="2" t="str">
        <f>IF($N451="","",IF(AND(G451=0,H451=0),"수량 없음",IF(G451=0,"신규 (전년 수량 없음)",IF(H451=0,"당해 수량 없음",""))))</f>
        <v/>
      </c>
      <c r="N451" t="str">
        <f>IF($B451="","",MATCH($B451,'_calc'!$L$2:$L$3001,0))</f>
        <v/>
      </c>
    </row>
    <row r="452">
      <c r="B452" s="24" t="str">
        <f>IF(ROW()-ROW($B$8)&gt;nComp,"",ROW()-ROW($B$8))</f>
        <v/>
      </c>
      <c r="C452" t="str">
        <f>IF($N452="","",INDEX('_calc'!$A$2:$A$3001,$N452))</f>
        <v/>
      </c>
      <c r="D452" s="25" t="str">
        <f>IF($N452="","",INDEX('_calc'!$C$2:$C$3001,$N452))</f>
        <v/>
      </c>
      <c r="E452" s="25" t="str">
        <f>IF($N452="","",INDEX('_calc'!$D$2:$D$3001,$N452))</f>
        <v/>
      </c>
      <c r="F452" s="26" t="str">
        <f>IF($N452="","",IF($E$8=0,"",E452/$E$8))</f>
        <v/>
      </c>
      <c r="G452" s="25" t="str">
        <f>IF($N452="","",INDEX('_calc'!$E$2:$E$3001,$N452))</f>
        <v/>
      </c>
      <c r="H452" s="25" t="str">
        <f>IF($N452="","",INDEX('_calc'!$F$2:$F$3001,$N452))</f>
        <v/>
      </c>
      <c r="I452" s="27" t="str">
        <f>IF($N452="","",INDEX('_calc'!$H$2:$H$3001,$N452))</f>
        <v/>
      </c>
      <c r="J452" s="27" t="str">
        <f>IF($N452="","",INDEX('_calc'!$I$2:$I$3001,$N452))</f>
        <v/>
      </c>
      <c r="K452" s="28" t="str">
        <f>IF($N452="","",IF(OR(I452="",J452=""),"",J452-I452))</f>
        <v/>
      </c>
      <c r="L452" s="29" t="str">
        <f>IF($N452="","",INDEX('_calc'!$J$2:$J$3001,$N452))</f>
        <v/>
      </c>
      <c r="M452" s="2" t="str">
        <f>IF($N452="","",IF(AND(G452=0,H452=0),"수량 없음",IF(G452=0,"신규 (전년 수량 없음)",IF(H452=0,"당해 수량 없음",""))))</f>
        <v/>
      </c>
      <c r="N452" t="str">
        <f>IF($B452="","",MATCH($B452,'_calc'!$L$2:$L$3001,0))</f>
        <v/>
      </c>
    </row>
    <row r="453">
      <c r="B453" s="24" t="str">
        <f>IF(ROW()-ROW($B$8)&gt;nComp,"",ROW()-ROW($B$8))</f>
        <v/>
      </c>
      <c r="C453" t="str">
        <f>IF($N453="","",INDEX('_calc'!$A$2:$A$3001,$N453))</f>
        <v/>
      </c>
      <c r="D453" s="25" t="str">
        <f>IF($N453="","",INDEX('_calc'!$C$2:$C$3001,$N453))</f>
        <v/>
      </c>
      <c r="E453" s="25" t="str">
        <f>IF($N453="","",INDEX('_calc'!$D$2:$D$3001,$N453))</f>
        <v/>
      </c>
      <c r="F453" s="26" t="str">
        <f>IF($N453="","",IF($E$8=0,"",E453/$E$8))</f>
        <v/>
      </c>
      <c r="G453" s="25" t="str">
        <f>IF($N453="","",INDEX('_calc'!$E$2:$E$3001,$N453))</f>
        <v/>
      </c>
      <c r="H453" s="25" t="str">
        <f>IF($N453="","",INDEX('_calc'!$F$2:$F$3001,$N453))</f>
        <v/>
      </c>
      <c r="I453" s="27" t="str">
        <f>IF($N453="","",INDEX('_calc'!$H$2:$H$3001,$N453))</f>
        <v/>
      </c>
      <c r="J453" s="27" t="str">
        <f>IF($N453="","",INDEX('_calc'!$I$2:$I$3001,$N453))</f>
        <v/>
      </c>
      <c r="K453" s="28" t="str">
        <f>IF($N453="","",IF(OR(I453="",J453=""),"",J453-I453))</f>
        <v/>
      </c>
      <c r="L453" s="29" t="str">
        <f>IF($N453="","",INDEX('_calc'!$J$2:$J$3001,$N453))</f>
        <v/>
      </c>
      <c r="M453" s="2" t="str">
        <f>IF($N453="","",IF(AND(G453=0,H453=0),"수량 없음",IF(G453=0,"신규 (전년 수량 없음)",IF(H453=0,"당해 수량 없음",""))))</f>
        <v/>
      </c>
      <c r="N453" t="str">
        <f>IF($B453="","",MATCH($B453,'_calc'!$L$2:$L$3001,0))</f>
        <v/>
      </c>
    </row>
    <row r="454">
      <c r="B454" s="24" t="str">
        <f>IF(ROW()-ROW($B$8)&gt;nComp,"",ROW()-ROW($B$8))</f>
        <v/>
      </c>
      <c r="C454" t="str">
        <f>IF($N454="","",INDEX('_calc'!$A$2:$A$3001,$N454))</f>
        <v/>
      </c>
      <c r="D454" s="25" t="str">
        <f>IF($N454="","",INDEX('_calc'!$C$2:$C$3001,$N454))</f>
        <v/>
      </c>
      <c r="E454" s="25" t="str">
        <f>IF($N454="","",INDEX('_calc'!$D$2:$D$3001,$N454))</f>
        <v/>
      </c>
      <c r="F454" s="26" t="str">
        <f>IF($N454="","",IF($E$8=0,"",E454/$E$8))</f>
        <v/>
      </c>
      <c r="G454" s="25" t="str">
        <f>IF($N454="","",INDEX('_calc'!$E$2:$E$3001,$N454))</f>
        <v/>
      </c>
      <c r="H454" s="25" t="str">
        <f>IF($N454="","",INDEX('_calc'!$F$2:$F$3001,$N454))</f>
        <v/>
      </c>
      <c r="I454" s="27" t="str">
        <f>IF($N454="","",INDEX('_calc'!$H$2:$H$3001,$N454))</f>
        <v/>
      </c>
      <c r="J454" s="27" t="str">
        <f>IF($N454="","",INDEX('_calc'!$I$2:$I$3001,$N454))</f>
        <v/>
      </c>
      <c r="K454" s="28" t="str">
        <f>IF($N454="","",IF(OR(I454="",J454=""),"",J454-I454))</f>
        <v/>
      </c>
      <c r="L454" s="29" t="str">
        <f>IF($N454="","",INDEX('_calc'!$J$2:$J$3001,$N454))</f>
        <v/>
      </c>
      <c r="M454" s="2" t="str">
        <f>IF($N454="","",IF(AND(G454=0,H454=0),"수량 없음",IF(G454=0,"신규 (전년 수량 없음)",IF(H454=0,"당해 수량 없음",""))))</f>
        <v/>
      </c>
      <c r="N454" t="str">
        <f>IF($B454="","",MATCH($B454,'_calc'!$L$2:$L$3001,0))</f>
        <v/>
      </c>
    </row>
    <row r="455">
      <c r="B455" s="24" t="str">
        <f>IF(ROW()-ROW($B$8)&gt;nComp,"",ROW()-ROW($B$8))</f>
        <v/>
      </c>
      <c r="C455" t="str">
        <f>IF($N455="","",INDEX('_calc'!$A$2:$A$3001,$N455))</f>
        <v/>
      </c>
      <c r="D455" s="25" t="str">
        <f>IF($N455="","",INDEX('_calc'!$C$2:$C$3001,$N455))</f>
        <v/>
      </c>
      <c r="E455" s="25" t="str">
        <f>IF($N455="","",INDEX('_calc'!$D$2:$D$3001,$N455))</f>
        <v/>
      </c>
      <c r="F455" s="26" t="str">
        <f>IF($N455="","",IF($E$8=0,"",E455/$E$8))</f>
        <v/>
      </c>
      <c r="G455" s="25" t="str">
        <f>IF($N455="","",INDEX('_calc'!$E$2:$E$3001,$N455))</f>
        <v/>
      </c>
      <c r="H455" s="25" t="str">
        <f>IF($N455="","",INDEX('_calc'!$F$2:$F$3001,$N455))</f>
        <v/>
      </c>
      <c r="I455" s="27" t="str">
        <f>IF($N455="","",INDEX('_calc'!$H$2:$H$3001,$N455))</f>
        <v/>
      </c>
      <c r="J455" s="27" t="str">
        <f>IF($N455="","",INDEX('_calc'!$I$2:$I$3001,$N455))</f>
        <v/>
      </c>
      <c r="K455" s="28" t="str">
        <f>IF($N455="","",IF(OR(I455="",J455=""),"",J455-I455))</f>
        <v/>
      </c>
      <c r="L455" s="29" t="str">
        <f>IF($N455="","",INDEX('_calc'!$J$2:$J$3001,$N455))</f>
        <v/>
      </c>
      <c r="M455" s="2" t="str">
        <f>IF($N455="","",IF(AND(G455=0,H455=0),"수량 없음",IF(G455=0,"신규 (전년 수량 없음)",IF(H455=0,"당해 수량 없음",""))))</f>
        <v/>
      </c>
      <c r="N455" t="str">
        <f>IF($B455="","",MATCH($B455,'_calc'!$L$2:$L$3001,0))</f>
        <v/>
      </c>
    </row>
    <row r="456">
      <c r="B456" s="24" t="str">
        <f>IF(ROW()-ROW($B$8)&gt;nComp,"",ROW()-ROW($B$8))</f>
        <v/>
      </c>
      <c r="C456" t="str">
        <f>IF($N456="","",INDEX('_calc'!$A$2:$A$3001,$N456))</f>
        <v/>
      </c>
      <c r="D456" s="25" t="str">
        <f>IF($N456="","",INDEX('_calc'!$C$2:$C$3001,$N456))</f>
        <v/>
      </c>
      <c r="E456" s="25" t="str">
        <f>IF($N456="","",INDEX('_calc'!$D$2:$D$3001,$N456))</f>
        <v/>
      </c>
      <c r="F456" s="26" t="str">
        <f>IF($N456="","",IF($E$8=0,"",E456/$E$8))</f>
        <v/>
      </c>
      <c r="G456" s="25" t="str">
        <f>IF($N456="","",INDEX('_calc'!$E$2:$E$3001,$N456))</f>
        <v/>
      </c>
      <c r="H456" s="25" t="str">
        <f>IF($N456="","",INDEX('_calc'!$F$2:$F$3001,$N456))</f>
        <v/>
      </c>
      <c r="I456" s="27" t="str">
        <f>IF($N456="","",INDEX('_calc'!$H$2:$H$3001,$N456))</f>
        <v/>
      </c>
      <c r="J456" s="27" t="str">
        <f>IF($N456="","",INDEX('_calc'!$I$2:$I$3001,$N456))</f>
        <v/>
      </c>
      <c r="K456" s="28" t="str">
        <f>IF($N456="","",IF(OR(I456="",J456=""),"",J456-I456))</f>
        <v/>
      </c>
      <c r="L456" s="29" t="str">
        <f>IF($N456="","",INDEX('_calc'!$J$2:$J$3001,$N456))</f>
        <v/>
      </c>
      <c r="M456" s="2" t="str">
        <f>IF($N456="","",IF(AND(G456=0,H456=0),"수량 없음",IF(G456=0,"신규 (전년 수량 없음)",IF(H456=0,"당해 수량 없음",""))))</f>
        <v/>
      </c>
      <c r="N456" t="str">
        <f>IF($B456="","",MATCH($B456,'_calc'!$L$2:$L$3001,0))</f>
        <v/>
      </c>
    </row>
    <row r="457">
      <c r="B457" s="24" t="str">
        <f>IF(ROW()-ROW($B$8)&gt;nComp,"",ROW()-ROW($B$8))</f>
        <v/>
      </c>
      <c r="C457" t="str">
        <f>IF($N457="","",INDEX('_calc'!$A$2:$A$3001,$N457))</f>
        <v/>
      </c>
      <c r="D457" s="25" t="str">
        <f>IF($N457="","",INDEX('_calc'!$C$2:$C$3001,$N457))</f>
        <v/>
      </c>
      <c r="E457" s="25" t="str">
        <f>IF($N457="","",INDEX('_calc'!$D$2:$D$3001,$N457))</f>
        <v/>
      </c>
      <c r="F457" s="26" t="str">
        <f>IF($N457="","",IF($E$8=0,"",E457/$E$8))</f>
        <v/>
      </c>
      <c r="G457" s="25" t="str">
        <f>IF($N457="","",INDEX('_calc'!$E$2:$E$3001,$N457))</f>
        <v/>
      </c>
      <c r="H457" s="25" t="str">
        <f>IF($N457="","",INDEX('_calc'!$F$2:$F$3001,$N457))</f>
        <v/>
      </c>
      <c r="I457" s="27" t="str">
        <f>IF($N457="","",INDEX('_calc'!$H$2:$H$3001,$N457))</f>
        <v/>
      </c>
      <c r="J457" s="27" t="str">
        <f>IF($N457="","",INDEX('_calc'!$I$2:$I$3001,$N457))</f>
        <v/>
      </c>
      <c r="K457" s="28" t="str">
        <f>IF($N457="","",IF(OR(I457="",J457=""),"",J457-I457))</f>
        <v/>
      </c>
      <c r="L457" s="29" t="str">
        <f>IF($N457="","",INDEX('_calc'!$J$2:$J$3001,$N457))</f>
        <v/>
      </c>
      <c r="M457" s="2" t="str">
        <f>IF($N457="","",IF(AND(G457=0,H457=0),"수량 없음",IF(G457=0,"신규 (전년 수량 없음)",IF(H457=0,"당해 수량 없음",""))))</f>
        <v/>
      </c>
      <c r="N457" t="str">
        <f>IF($B457="","",MATCH($B457,'_calc'!$L$2:$L$3001,0))</f>
        <v/>
      </c>
    </row>
    <row r="458">
      <c r="B458" s="24" t="str">
        <f>IF(ROW()-ROW($B$8)&gt;nComp,"",ROW()-ROW($B$8))</f>
        <v/>
      </c>
      <c r="C458" t="str">
        <f>IF($N458="","",INDEX('_calc'!$A$2:$A$3001,$N458))</f>
        <v/>
      </c>
      <c r="D458" s="25" t="str">
        <f>IF($N458="","",INDEX('_calc'!$C$2:$C$3001,$N458))</f>
        <v/>
      </c>
      <c r="E458" s="25" t="str">
        <f>IF($N458="","",INDEX('_calc'!$D$2:$D$3001,$N458))</f>
        <v/>
      </c>
      <c r="F458" s="26" t="str">
        <f>IF($N458="","",IF($E$8=0,"",E458/$E$8))</f>
        <v/>
      </c>
      <c r="G458" s="25" t="str">
        <f>IF($N458="","",INDEX('_calc'!$E$2:$E$3001,$N458))</f>
        <v/>
      </c>
      <c r="H458" s="25" t="str">
        <f>IF($N458="","",INDEX('_calc'!$F$2:$F$3001,$N458))</f>
        <v/>
      </c>
      <c r="I458" s="27" t="str">
        <f>IF($N458="","",INDEX('_calc'!$H$2:$H$3001,$N458))</f>
        <v/>
      </c>
      <c r="J458" s="27" t="str">
        <f>IF($N458="","",INDEX('_calc'!$I$2:$I$3001,$N458))</f>
        <v/>
      </c>
      <c r="K458" s="28" t="str">
        <f>IF($N458="","",IF(OR(I458="",J458=""),"",J458-I458))</f>
        <v/>
      </c>
      <c r="L458" s="29" t="str">
        <f>IF($N458="","",INDEX('_calc'!$J$2:$J$3001,$N458))</f>
        <v/>
      </c>
      <c r="M458" s="2" t="str">
        <f>IF($N458="","",IF(AND(G458=0,H458=0),"수량 없음",IF(G458=0,"신규 (전년 수량 없음)",IF(H458=0,"당해 수량 없음",""))))</f>
        <v/>
      </c>
      <c r="N458" t="str">
        <f>IF($B458="","",MATCH($B458,'_calc'!$L$2:$L$3001,0))</f>
        <v/>
      </c>
    </row>
    <row r="459">
      <c r="B459" s="24" t="str">
        <f>IF(ROW()-ROW($B$8)&gt;nComp,"",ROW()-ROW($B$8))</f>
        <v/>
      </c>
      <c r="C459" t="str">
        <f>IF($N459="","",INDEX('_calc'!$A$2:$A$3001,$N459))</f>
        <v/>
      </c>
      <c r="D459" s="25" t="str">
        <f>IF($N459="","",INDEX('_calc'!$C$2:$C$3001,$N459))</f>
        <v/>
      </c>
      <c r="E459" s="25" t="str">
        <f>IF($N459="","",INDEX('_calc'!$D$2:$D$3001,$N459))</f>
        <v/>
      </c>
      <c r="F459" s="26" t="str">
        <f>IF($N459="","",IF($E$8=0,"",E459/$E$8))</f>
        <v/>
      </c>
      <c r="G459" s="25" t="str">
        <f>IF($N459="","",INDEX('_calc'!$E$2:$E$3001,$N459))</f>
        <v/>
      </c>
      <c r="H459" s="25" t="str">
        <f>IF($N459="","",INDEX('_calc'!$F$2:$F$3001,$N459))</f>
        <v/>
      </c>
      <c r="I459" s="27" t="str">
        <f>IF($N459="","",INDEX('_calc'!$H$2:$H$3001,$N459))</f>
        <v/>
      </c>
      <c r="J459" s="27" t="str">
        <f>IF($N459="","",INDEX('_calc'!$I$2:$I$3001,$N459))</f>
        <v/>
      </c>
      <c r="K459" s="28" t="str">
        <f>IF($N459="","",IF(OR(I459="",J459=""),"",J459-I459))</f>
        <v/>
      </c>
      <c r="L459" s="29" t="str">
        <f>IF($N459="","",INDEX('_calc'!$J$2:$J$3001,$N459))</f>
        <v/>
      </c>
      <c r="M459" s="2" t="str">
        <f>IF($N459="","",IF(AND(G459=0,H459=0),"수량 없음",IF(G459=0,"신규 (전년 수량 없음)",IF(H459=0,"당해 수량 없음",""))))</f>
        <v/>
      </c>
      <c r="N459" t="str">
        <f>IF($B459="","",MATCH($B459,'_calc'!$L$2:$L$3001,0))</f>
        <v/>
      </c>
    </row>
    <row r="460">
      <c r="B460" s="24" t="str">
        <f>IF(ROW()-ROW($B$8)&gt;nComp,"",ROW()-ROW($B$8))</f>
        <v/>
      </c>
      <c r="C460" t="str">
        <f>IF($N460="","",INDEX('_calc'!$A$2:$A$3001,$N460))</f>
        <v/>
      </c>
      <c r="D460" s="25" t="str">
        <f>IF($N460="","",INDEX('_calc'!$C$2:$C$3001,$N460))</f>
        <v/>
      </c>
      <c r="E460" s="25" t="str">
        <f>IF($N460="","",INDEX('_calc'!$D$2:$D$3001,$N460))</f>
        <v/>
      </c>
      <c r="F460" s="26" t="str">
        <f>IF($N460="","",IF($E$8=0,"",E460/$E$8))</f>
        <v/>
      </c>
      <c r="G460" s="25" t="str">
        <f>IF($N460="","",INDEX('_calc'!$E$2:$E$3001,$N460))</f>
        <v/>
      </c>
      <c r="H460" s="25" t="str">
        <f>IF($N460="","",INDEX('_calc'!$F$2:$F$3001,$N460))</f>
        <v/>
      </c>
      <c r="I460" s="27" t="str">
        <f>IF($N460="","",INDEX('_calc'!$H$2:$H$3001,$N460))</f>
        <v/>
      </c>
      <c r="J460" s="27" t="str">
        <f>IF($N460="","",INDEX('_calc'!$I$2:$I$3001,$N460))</f>
        <v/>
      </c>
      <c r="K460" s="28" t="str">
        <f>IF($N460="","",IF(OR(I460="",J460=""),"",J460-I460))</f>
        <v/>
      </c>
      <c r="L460" s="29" t="str">
        <f>IF($N460="","",INDEX('_calc'!$J$2:$J$3001,$N460))</f>
        <v/>
      </c>
      <c r="M460" s="2" t="str">
        <f>IF($N460="","",IF(AND(G460=0,H460=0),"수량 없음",IF(G460=0,"신규 (전년 수량 없음)",IF(H460=0,"당해 수량 없음",""))))</f>
        <v/>
      </c>
      <c r="N460" t="str">
        <f>IF($B460="","",MATCH($B460,'_calc'!$L$2:$L$3001,0))</f>
        <v/>
      </c>
    </row>
    <row r="461">
      <c r="B461" s="24" t="str">
        <f>IF(ROW()-ROW($B$8)&gt;nComp,"",ROW()-ROW($B$8))</f>
        <v/>
      </c>
      <c r="C461" t="str">
        <f>IF($N461="","",INDEX('_calc'!$A$2:$A$3001,$N461))</f>
        <v/>
      </c>
      <c r="D461" s="25" t="str">
        <f>IF($N461="","",INDEX('_calc'!$C$2:$C$3001,$N461))</f>
        <v/>
      </c>
      <c r="E461" s="25" t="str">
        <f>IF($N461="","",INDEX('_calc'!$D$2:$D$3001,$N461))</f>
        <v/>
      </c>
      <c r="F461" s="26" t="str">
        <f>IF($N461="","",IF($E$8=0,"",E461/$E$8))</f>
        <v/>
      </c>
      <c r="G461" s="25" t="str">
        <f>IF($N461="","",INDEX('_calc'!$E$2:$E$3001,$N461))</f>
        <v/>
      </c>
      <c r="H461" s="25" t="str">
        <f>IF($N461="","",INDEX('_calc'!$F$2:$F$3001,$N461))</f>
        <v/>
      </c>
      <c r="I461" s="27" t="str">
        <f>IF($N461="","",INDEX('_calc'!$H$2:$H$3001,$N461))</f>
        <v/>
      </c>
      <c r="J461" s="27" t="str">
        <f>IF($N461="","",INDEX('_calc'!$I$2:$I$3001,$N461))</f>
        <v/>
      </c>
      <c r="K461" s="28" t="str">
        <f>IF($N461="","",IF(OR(I461="",J461=""),"",J461-I461))</f>
        <v/>
      </c>
      <c r="L461" s="29" t="str">
        <f>IF($N461="","",INDEX('_calc'!$J$2:$J$3001,$N461))</f>
        <v/>
      </c>
      <c r="M461" s="2" t="str">
        <f>IF($N461="","",IF(AND(G461=0,H461=0),"수량 없음",IF(G461=0,"신규 (전년 수량 없음)",IF(H461=0,"당해 수량 없음",""))))</f>
        <v/>
      </c>
      <c r="N461" t="str">
        <f>IF($B461="","",MATCH($B461,'_calc'!$L$2:$L$3001,0))</f>
        <v/>
      </c>
    </row>
    <row r="462">
      <c r="B462" s="24" t="str">
        <f>IF(ROW()-ROW($B$8)&gt;nComp,"",ROW()-ROW($B$8))</f>
        <v/>
      </c>
      <c r="C462" t="str">
        <f>IF($N462="","",INDEX('_calc'!$A$2:$A$3001,$N462))</f>
        <v/>
      </c>
      <c r="D462" s="25" t="str">
        <f>IF($N462="","",INDEX('_calc'!$C$2:$C$3001,$N462))</f>
        <v/>
      </c>
      <c r="E462" s="25" t="str">
        <f>IF($N462="","",INDEX('_calc'!$D$2:$D$3001,$N462))</f>
        <v/>
      </c>
      <c r="F462" s="26" t="str">
        <f>IF($N462="","",IF($E$8=0,"",E462/$E$8))</f>
        <v/>
      </c>
      <c r="G462" s="25" t="str">
        <f>IF($N462="","",INDEX('_calc'!$E$2:$E$3001,$N462))</f>
        <v/>
      </c>
      <c r="H462" s="25" t="str">
        <f>IF($N462="","",INDEX('_calc'!$F$2:$F$3001,$N462))</f>
        <v/>
      </c>
      <c r="I462" s="27" t="str">
        <f>IF($N462="","",INDEX('_calc'!$H$2:$H$3001,$N462))</f>
        <v/>
      </c>
      <c r="J462" s="27" t="str">
        <f>IF($N462="","",INDEX('_calc'!$I$2:$I$3001,$N462))</f>
        <v/>
      </c>
      <c r="K462" s="28" t="str">
        <f>IF($N462="","",IF(OR(I462="",J462=""),"",J462-I462))</f>
        <v/>
      </c>
      <c r="L462" s="29" t="str">
        <f>IF($N462="","",INDEX('_calc'!$J$2:$J$3001,$N462))</f>
        <v/>
      </c>
      <c r="M462" s="2" t="str">
        <f>IF($N462="","",IF(AND(G462=0,H462=0),"수량 없음",IF(G462=0,"신규 (전년 수량 없음)",IF(H462=0,"당해 수량 없음",""))))</f>
        <v/>
      </c>
      <c r="N462" t="str">
        <f>IF($B462="","",MATCH($B462,'_calc'!$L$2:$L$3001,0))</f>
        <v/>
      </c>
    </row>
    <row r="463">
      <c r="B463" s="24" t="str">
        <f>IF(ROW()-ROW($B$8)&gt;nComp,"",ROW()-ROW($B$8))</f>
        <v/>
      </c>
      <c r="C463" t="str">
        <f>IF($N463="","",INDEX('_calc'!$A$2:$A$3001,$N463))</f>
        <v/>
      </c>
      <c r="D463" s="25" t="str">
        <f>IF($N463="","",INDEX('_calc'!$C$2:$C$3001,$N463))</f>
        <v/>
      </c>
      <c r="E463" s="25" t="str">
        <f>IF($N463="","",INDEX('_calc'!$D$2:$D$3001,$N463))</f>
        <v/>
      </c>
      <c r="F463" s="26" t="str">
        <f>IF($N463="","",IF($E$8=0,"",E463/$E$8))</f>
        <v/>
      </c>
      <c r="G463" s="25" t="str">
        <f>IF($N463="","",INDEX('_calc'!$E$2:$E$3001,$N463))</f>
        <v/>
      </c>
      <c r="H463" s="25" t="str">
        <f>IF($N463="","",INDEX('_calc'!$F$2:$F$3001,$N463))</f>
        <v/>
      </c>
      <c r="I463" s="27" t="str">
        <f>IF($N463="","",INDEX('_calc'!$H$2:$H$3001,$N463))</f>
        <v/>
      </c>
      <c r="J463" s="27" t="str">
        <f>IF($N463="","",INDEX('_calc'!$I$2:$I$3001,$N463))</f>
        <v/>
      </c>
      <c r="K463" s="28" t="str">
        <f>IF($N463="","",IF(OR(I463="",J463=""),"",J463-I463))</f>
        <v/>
      </c>
      <c r="L463" s="29" t="str">
        <f>IF($N463="","",INDEX('_calc'!$J$2:$J$3001,$N463))</f>
        <v/>
      </c>
      <c r="M463" s="2" t="str">
        <f>IF($N463="","",IF(AND(G463=0,H463=0),"수량 없음",IF(G463=0,"신규 (전년 수량 없음)",IF(H463=0,"당해 수량 없음",""))))</f>
        <v/>
      </c>
      <c r="N463" t="str">
        <f>IF($B463="","",MATCH($B463,'_calc'!$L$2:$L$3001,0))</f>
        <v/>
      </c>
    </row>
    <row r="464">
      <c r="B464" s="24" t="str">
        <f>IF(ROW()-ROW($B$8)&gt;nComp,"",ROW()-ROW($B$8))</f>
        <v/>
      </c>
      <c r="C464" t="str">
        <f>IF($N464="","",INDEX('_calc'!$A$2:$A$3001,$N464))</f>
        <v/>
      </c>
      <c r="D464" s="25" t="str">
        <f>IF($N464="","",INDEX('_calc'!$C$2:$C$3001,$N464))</f>
        <v/>
      </c>
      <c r="E464" s="25" t="str">
        <f>IF($N464="","",INDEX('_calc'!$D$2:$D$3001,$N464))</f>
        <v/>
      </c>
      <c r="F464" s="26" t="str">
        <f>IF($N464="","",IF($E$8=0,"",E464/$E$8))</f>
        <v/>
      </c>
      <c r="G464" s="25" t="str">
        <f>IF($N464="","",INDEX('_calc'!$E$2:$E$3001,$N464))</f>
        <v/>
      </c>
      <c r="H464" s="25" t="str">
        <f>IF($N464="","",INDEX('_calc'!$F$2:$F$3001,$N464))</f>
        <v/>
      </c>
      <c r="I464" s="27" t="str">
        <f>IF($N464="","",INDEX('_calc'!$H$2:$H$3001,$N464))</f>
        <v/>
      </c>
      <c r="J464" s="27" t="str">
        <f>IF($N464="","",INDEX('_calc'!$I$2:$I$3001,$N464))</f>
        <v/>
      </c>
      <c r="K464" s="28" t="str">
        <f>IF($N464="","",IF(OR(I464="",J464=""),"",J464-I464))</f>
        <v/>
      </c>
      <c r="L464" s="29" t="str">
        <f>IF($N464="","",INDEX('_calc'!$J$2:$J$3001,$N464))</f>
        <v/>
      </c>
      <c r="M464" s="2" t="str">
        <f>IF($N464="","",IF(AND(G464=0,H464=0),"수량 없음",IF(G464=0,"신규 (전년 수량 없음)",IF(H464=0,"당해 수량 없음",""))))</f>
        <v/>
      </c>
      <c r="N464" t="str">
        <f>IF($B464="","",MATCH($B464,'_calc'!$L$2:$L$3001,0))</f>
        <v/>
      </c>
    </row>
    <row r="465">
      <c r="B465" s="24" t="str">
        <f>IF(ROW()-ROW($B$8)&gt;nComp,"",ROW()-ROW($B$8))</f>
        <v/>
      </c>
      <c r="C465" t="str">
        <f>IF($N465="","",INDEX('_calc'!$A$2:$A$3001,$N465))</f>
        <v/>
      </c>
      <c r="D465" s="25" t="str">
        <f>IF($N465="","",INDEX('_calc'!$C$2:$C$3001,$N465))</f>
        <v/>
      </c>
      <c r="E465" s="25" t="str">
        <f>IF($N465="","",INDEX('_calc'!$D$2:$D$3001,$N465))</f>
        <v/>
      </c>
      <c r="F465" s="26" t="str">
        <f>IF($N465="","",IF($E$8=0,"",E465/$E$8))</f>
        <v/>
      </c>
      <c r="G465" s="25" t="str">
        <f>IF($N465="","",INDEX('_calc'!$E$2:$E$3001,$N465))</f>
        <v/>
      </c>
      <c r="H465" s="25" t="str">
        <f>IF($N465="","",INDEX('_calc'!$F$2:$F$3001,$N465))</f>
        <v/>
      </c>
      <c r="I465" s="27" t="str">
        <f>IF($N465="","",INDEX('_calc'!$H$2:$H$3001,$N465))</f>
        <v/>
      </c>
      <c r="J465" s="27" t="str">
        <f>IF($N465="","",INDEX('_calc'!$I$2:$I$3001,$N465))</f>
        <v/>
      </c>
      <c r="K465" s="28" t="str">
        <f>IF($N465="","",IF(OR(I465="",J465=""),"",J465-I465))</f>
        <v/>
      </c>
      <c r="L465" s="29" t="str">
        <f>IF($N465="","",INDEX('_calc'!$J$2:$J$3001,$N465))</f>
        <v/>
      </c>
      <c r="M465" s="2" t="str">
        <f>IF($N465="","",IF(AND(G465=0,H465=0),"수량 없음",IF(G465=0,"신규 (전년 수량 없음)",IF(H465=0,"당해 수량 없음",""))))</f>
        <v/>
      </c>
      <c r="N465" t="str">
        <f>IF($B465="","",MATCH($B465,'_calc'!$L$2:$L$3001,0))</f>
        <v/>
      </c>
    </row>
    <row r="466">
      <c r="B466" s="24" t="str">
        <f>IF(ROW()-ROW($B$8)&gt;nComp,"",ROW()-ROW($B$8))</f>
        <v/>
      </c>
      <c r="C466" t="str">
        <f>IF($N466="","",INDEX('_calc'!$A$2:$A$3001,$N466))</f>
        <v/>
      </c>
      <c r="D466" s="25" t="str">
        <f>IF($N466="","",INDEX('_calc'!$C$2:$C$3001,$N466))</f>
        <v/>
      </c>
      <c r="E466" s="25" t="str">
        <f>IF($N466="","",INDEX('_calc'!$D$2:$D$3001,$N466))</f>
        <v/>
      </c>
      <c r="F466" s="26" t="str">
        <f>IF($N466="","",IF($E$8=0,"",E466/$E$8))</f>
        <v/>
      </c>
      <c r="G466" s="25" t="str">
        <f>IF($N466="","",INDEX('_calc'!$E$2:$E$3001,$N466))</f>
        <v/>
      </c>
      <c r="H466" s="25" t="str">
        <f>IF($N466="","",INDEX('_calc'!$F$2:$F$3001,$N466))</f>
        <v/>
      </c>
      <c r="I466" s="27" t="str">
        <f>IF($N466="","",INDEX('_calc'!$H$2:$H$3001,$N466))</f>
        <v/>
      </c>
      <c r="J466" s="27" t="str">
        <f>IF($N466="","",INDEX('_calc'!$I$2:$I$3001,$N466))</f>
        <v/>
      </c>
      <c r="K466" s="28" t="str">
        <f>IF($N466="","",IF(OR(I466="",J466=""),"",J466-I466))</f>
        <v/>
      </c>
      <c r="L466" s="29" t="str">
        <f>IF($N466="","",INDEX('_calc'!$J$2:$J$3001,$N466))</f>
        <v/>
      </c>
      <c r="M466" s="2" t="str">
        <f>IF($N466="","",IF(AND(G466=0,H466=0),"수량 없음",IF(G466=0,"신규 (전년 수량 없음)",IF(H466=0,"당해 수량 없음",""))))</f>
        <v/>
      </c>
      <c r="N466" t="str">
        <f>IF($B466="","",MATCH($B466,'_calc'!$L$2:$L$3001,0))</f>
        <v/>
      </c>
    </row>
    <row r="467">
      <c r="B467" s="24" t="str">
        <f>IF(ROW()-ROW($B$8)&gt;nComp,"",ROW()-ROW($B$8))</f>
        <v/>
      </c>
      <c r="C467" t="str">
        <f>IF($N467="","",INDEX('_calc'!$A$2:$A$3001,$N467))</f>
        <v/>
      </c>
      <c r="D467" s="25" t="str">
        <f>IF($N467="","",INDEX('_calc'!$C$2:$C$3001,$N467))</f>
        <v/>
      </c>
      <c r="E467" s="25" t="str">
        <f>IF($N467="","",INDEX('_calc'!$D$2:$D$3001,$N467))</f>
        <v/>
      </c>
      <c r="F467" s="26" t="str">
        <f>IF($N467="","",IF($E$8=0,"",E467/$E$8))</f>
        <v/>
      </c>
      <c r="G467" s="25" t="str">
        <f>IF($N467="","",INDEX('_calc'!$E$2:$E$3001,$N467))</f>
        <v/>
      </c>
      <c r="H467" s="25" t="str">
        <f>IF($N467="","",INDEX('_calc'!$F$2:$F$3001,$N467))</f>
        <v/>
      </c>
      <c r="I467" s="27" t="str">
        <f>IF($N467="","",INDEX('_calc'!$H$2:$H$3001,$N467))</f>
        <v/>
      </c>
      <c r="J467" s="27" t="str">
        <f>IF($N467="","",INDEX('_calc'!$I$2:$I$3001,$N467))</f>
        <v/>
      </c>
      <c r="K467" s="28" t="str">
        <f>IF($N467="","",IF(OR(I467="",J467=""),"",J467-I467))</f>
        <v/>
      </c>
      <c r="L467" s="29" t="str">
        <f>IF($N467="","",INDEX('_calc'!$J$2:$J$3001,$N467))</f>
        <v/>
      </c>
      <c r="M467" s="2" t="str">
        <f>IF($N467="","",IF(AND(G467=0,H467=0),"수량 없음",IF(G467=0,"신규 (전년 수량 없음)",IF(H467=0,"당해 수량 없음",""))))</f>
        <v/>
      </c>
      <c r="N467" t="str">
        <f>IF($B467="","",MATCH($B467,'_calc'!$L$2:$L$3001,0))</f>
        <v/>
      </c>
    </row>
    <row r="468">
      <c r="B468" s="24" t="str">
        <f>IF(ROW()-ROW($B$8)&gt;nComp,"",ROW()-ROW($B$8))</f>
        <v/>
      </c>
      <c r="C468" t="str">
        <f>IF($N468="","",INDEX('_calc'!$A$2:$A$3001,$N468))</f>
        <v/>
      </c>
      <c r="D468" s="25" t="str">
        <f>IF($N468="","",INDEX('_calc'!$C$2:$C$3001,$N468))</f>
        <v/>
      </c>
      <c r="E468" s="25" t="str">
        <f>IF($N468="","",INDEX('_calc'!$D$2:$D$3001,$N468))</f>
        <v/>
      </c>
      <c r="F468" s="26" t="str">
        <f>IF($N468="","",IF($E$8=0,"",E468/$E$8))</f>
        <v/>
      </c>
      <c r="G468" s="25" t="str">
        <f>IF($N468="","",INDEX('_calc'!$E$2:$E$3001,$N468))</f>
        <v/>
      </c>
      <c r="H468" s="25" t="str">
        <f>IF($N468="","",INDEX('_calc'!$F$2:$F$3001,$N468))</f>
        <v/>
      </c>
      <c r="I468" s="27" t="str">
        <f>IF($N468="","",INDEX('_calc'!$H$2:$H$3001,$N468))</f>
        <v/>
      </c>
      <c r="J468" s="27" t="str">
        <f>IF($N468="","",INDEX('_calc'!$I$2:$I$3001,$N468))</f>
        <v/>
      </c>
      <c r="K468" s="28" t="str">
        <f>IF($N468="","",IF(OR(I468="",J468=""),"",J468-I468))</f>
        <v/>
      </c>
      <c r="L468" s="29" t="str">
        <f>IF($N468="","",INDEX('_calc'!$J$2:$J$3001,$N468))</f>
        <v/>
      </c>
      <c r="M468" s="2" t="str">
        <f>IF($N468="","",IF(AND(G468=0,H468=0),"수량 없음",IF(G468=0,"신규 (전년 수량 없음)",IF(H468=0,"당해 수량 없음",""))))</f>
        <v/>
      </c>
      <c r="N468" t="str">
        <f>IF($B468="","",MATCH($B468,'_calc'!$L$2:$L$3001,0))</f>
        <v/>
      </c>
    </row>
    <row r="469">
      <c r="B469" s="24" t="str">
        <f>IF(ROW()-ROW($B$8)&gt;nComp,"",ROW()-ROW($B$8))</f>
        <v/>
      </c>
      <c r="C469" t="str">
        <f>IF($N469="","",INDEX('_calc'!$A$2:$A$3001,$N469))</f>
        <v/>
      </c>
      <c r="D469" s="25" t="str">
        <f>IF($N469="","",INDEX('_calc'!$C$2:$C$3001,$N469))</f>
        <v/>
      </c>
      <c r="E469" s="25" t="str">
        <f>IF($N469="","",INDEX('_calc'!$D$2:$D$3001,$N469))</f>
        <v/>
      </c>
      <c r="F469" s="26" t="str">
        <f>IF($N469="","",IF($E$8=0,"",E469/$E$8))</f>
        <v/>
      </c>
      <c r="G469" s="25" t="str">
        <f>IF($N469="","",INDEX('_calc'!$E$2:$E$3001,$N469))</f>
        <v/>
      </c>
      <c r="H469" s="25" t="str">
        <f>IF($N469="","",INDEX('_calc'!$F$2:$F$3001,$N469))</f>
        <v/>
      </c>
      <c r="I469" s="27" t="str">
        <f>IF($N469="","",INDEX('_calc'!$H$2:$H$3001,$N469))</f>
        <v/>
      </c>
      <c r="J469" s="27" t="str">
        <f>IF($N469="","",INDEX('_calc'!$I$2:$I$3001,$N469))</f>
        <v/>
      </c>
      <c r="K469" s="28" t="str">
        <f>IF($N469="","",IF(OR(I469="",J469=""),"",J469-I469))</f>
        <v/>
      </c>
      <c r="L469" s="29" t="str">
        <f>IF($N469="","",INDEX('_calc'!$J$2:$J$3001,$N469))</f>
        <v/>
      </c>
      <c r="M469" s="2" t="str">
        <f>IF($N469="","",IF(AND(G469=0,H469=0),"수량 없음",IF(G469=0,"신규 (전년 수량 없음)",IF(H469=0,"당해 수량 없음",""))))</f>
        <v/>
      </c>
      <c r="N469" t="str">
        <f>IF($B469="","",MATCH($B469,'_calc'!$L$2:$L$3001,0))</f>
        <v/>
      </c>
    </row>
    <row r="470">
      <c r="B470" s="24" t="str">
        <f>IF(ROW()-ROW($B$8)&gt;nComp,"",ROW()-ROW($B$8))</f>
        <v/>
      </c>
      <c r="C470" t="str">
        <f>IF($N470="","",INDEX('_calc'!$A$2:$A$3001,$N470))</f>
        <v/>
      </c>
      <c r="D470" s="25" t="str">
        <f>IF($N470="","",INDEX('_calc'!$C$2:$C$3001,$N470))</f>
        <v/>
      </c>
      <c r="E470" s="25" t="str">
        <f>IF($N470="","",INDEX('_calc'!$D$2:$D$3001,$N470))</f>
        <v/>
      </c>
      <c r="F470" s="26" t="str">
        <f>IF($N470="","",IF($E$8=0,"",E470/$E$8))</f>
        <v/>
      </c>
      <c r="G470" s="25" t="str">
        <f>IF($N470="","",INDEX('_calc'!$E$2:$E$3001,$N470))</f>
        <v/>
      </c>
      <c r="H470" s="25" t="str">
        <f>IF($N470="","",INDEX('_calc'!$F$2:$F$3001,$N470))</f>
        <v/>
      </c>
      <c r="I470" s="27" t="str">
        <f>IF($N470="","",INDEX('_calc'!$H$2:$H$3001,$N470))</f>
        <v/>
      </c>
      <c r="J470" s="27" t="str">
        <f>IF($N470="","",INDEX('_calc'!$I$2:$I$3001,$N470))</f>
        <v/>
      </c>
      <c r="K470" s="28" t="str">
        <f>IF($N470="","",IF(OR(I470="",J470=""),"",J470-I470))</f>
        <v/>
      </c>
      <c r="L470" s="29" t="str">
        <f>IF($N470="","",INDEX('_calc'!$J$2:$J$3001,$N470))</f>
        <v/>
      </c>
      <c r="M470" s="2" t="str">
        <f>IF($N470="","",IF(AND(G470=0,H470=0),"수량 없음",IF(G470=0,"신규 (전년 수량 없음)",IF(H470=0,"당해 수량 없음",""))))</f>
        <v/>
      </c>
      <c r="N470" t="str">
        <f>IF($B470="","",MATCH($B470,'_calc'!$L$2:$L$3001,0))</f>
        <v/>
      </c>
    </row>
    <row r="471">
      <c r="B471" s="24" t="str">
        <f>IF(ROW()-ROW($B$8)&gt;nComp,"",ROW()-ROW($B$8))</f>
        <v/>
      </c>
      <c r="C471" t="str">
        <f>IF($N471="","",INDEX('_calc'!$A$2:$A$3001,$N471))</f>
        <v/>
      </c>
      <c r="D471" s="25" t="str">
        <f>IF($N471="","",INDEX('_calc'!$C$2:$C$3001,$N471))</f>
        <v/>
      </c>
      <c r="E471" s="25" t="str">
        <f>IF($N471="","",INDEX('_calc'!$D$2:$D$3001,$N471))</f>
        <v/>
      </c>
      <c r="F471" s="26" t="str">
        <f>IF($N471="","",IF($E$8=0,"",E471/$E$8))</f>
        <v/>
      </c>
      <c r="G471" s="25" t="str">
        <f>IF($N471="","",INDEX('_calc'!$E$2:$E$3001,$N471))</f>
        <v/>
      </c>
      <c r="H471" s="25" t="str">
        <f>IF($N471="","",INDEX('_calc'!$F$2:$F$3001,$N471))</f>
        <v/>
      </c>
      <c r="I471" s="27" t="str">
        <f>IF($N471="","",INDEX('_calc'!$H$2:$H$3001,$N471))</f>
        <v/>
      </c>
      <c r="J471" s="27" t="str">
        <f>IF($N471="","",INDEX('_calc'!$I$2:$I$3001,$N471))</f>
        <v/>
      </c>
      <c r="K471" s="28" t="str">
        <f>IF($N471="","",IF(OR(I471="",J471=""),"",J471-I471))</f>
        <v/>
      </c>
      <c r="L471" s="29" t="str">
        <f>IF($N471="","",INDEX('_calc'!$J$2:$J$3001,$N471))</f>
        <v/>
      </c>
      <c r="M471" s="2" t="str">
        <f>IF($N471="","",IF(AND(G471=0,H471=0),"수량 없음",IF(G471=0,"신규 (전년 수량 없음)",IF(H471=0,"당해 수량 없음",""))))</f>
        <v/>
      </c>
      <c r="N471" t="str">
        <f>IF($B471="","",MATCH($B471,'_calc'!$L$2:$L$3001,0))</f>
        <v/>
      </c>
    </row>
    <row r="472">
      <c r="B472" s="24" t="str">
        <f>IF(ROW()-ROW($B$8)&gt;nComp,"",ROW()-ROW($B$8))</f>
        <v/>
      </c>
      <c r="C472" t="str">
        <f>IF($N472="","",INDEX('_calc'!$A$2:$A$3001,$N472))</f>
        <v/>
      </c>
      <c r="D472" s="25" t="str">
        <f>IF($N472="","",INDEX('_calc'!$C$2:$C$3001,$N472))</f>
        <v/>
      </c>
      <c r="E472" s="25" t="str">
        <f>IF($N472="","",INDEX('_calc'!$D$2:$D$3001,$N472))</f>
        <v/>
      </c>
      <c r="F472" s="26" t="str">
        <f>IF($N472="","",IF($E$8=0,"",E472/$E$8))</f>
        <v/>
      </c>
      <c r="G472" s="25" t="str">
        <f>IF($N472="","",INDEX('_calc'!$E$2:$E$3001,$N472))</f>
        <v/>
      </c>
      <c r="H472" s="25" t="str">
        <f>IF($N472="","",INDEX('_calc'!$F$2:$F$3001,$N472))</f>
        <v/>
      </c>
      <c r="I472" s="27" t="str">
        <f>IF($N472="","",INDEX('_calc'!$H$2:$H$3001,$N472))</f>
        <v/>
      </c>
      <c r="J472" s="27" t="str">
        <f>IF($N472="","",INDEX('_calc'!$I$2:$I$3001,$N472))</f>
        <v/>
      </c>
      <c r="K472" s="28" t="str">
        <f>IF($N472="","",IF(OR(I472="",J472=""),"",J472-I472))</f>
        <v/>
      </c>
      <c r="L472" s="29" t="str">
        <f>IF($N472="","",INDEX('_calc'!$J$2:$J$3001,$N472))</f>
        <v/>
      </c>
      <c r="M472" s="2" t="str">
        <f>IF($N472="","",IF(AND(G472=0,H472=0),"수량 없음",IF(G472=0,"신규 (전년 수량 없음)",IF(H472=0,"당해 수량 없음",""))))</f>
        <v/>
      </c>
      <c r="N472" t="str">
        <f>IF($B472="","",MATCH($B472,'_calc'!$L$2:$L$3001,0))</f>
        <v/>
      </c>
    </row>
    <row r="473">
      <c r="B473" s="24" t="str">
        <f>IF(ROW()-ROW($B$8)&gt;nComp,"",ROW()-ROW($B$8))</f>
        <v/>
      </c>
      <c r="C473" t="str">
        <f>IF($N473="","",INDEX('_calc'!$A$2:$A$3001,$N473))</f>
        <v/>
      </c>
      <c r="D473" s="25" t="str">
        <f>IF($N473="","",INDEX('_calc'!$C$2:$C$3001,$N473))</f>
        <v/>
      </c>
      <c r="E473" s="25" t="str">
        <f>IF($N473="","",INDEX('_calc'!$D$2:$D$3001,$N473))</f>
        <v/>
      </c>
      <c r="F473" s="26" t="str">
        <f>IF($N473="","",IF($E$8=0,"",E473/$E$8))</f>
        <v/>
      </c>
      <c r="G473" s="25" t="str">
        <f>IF($N473="","",INDEX('_calc'!$E$2:$E$3001,$N473))</f>
        <v/>
      </c>
      <c r="H473" s="25" t="str">
        <f>IF($N473="","",INDEX('_calc'!$F$2:$F$3001,$N473))</f>
        <v/>
      </c>
      <c r="I473" s="27" t="str">
        <f>IF($N473="","",INDEX('_calc'!$H$2:$H$3001,$N473))</f>
        <v/>
      </c>
      <c r="J473" s="27" t="str">
        <f>IF($N473="","",INDEX('_calc'!$I$2:$I$3001,$N473))</f>
        <v/>
      </c>
      <c r="K473" s="28" t="str">
        <f>IF($N473="","",IF(OR(I473="",J473=""),"",J473-I473))</f>
        <v/>
      </c>
      <c r="L473" s="29" t="str">
        <f>IF($N473="","",INDEX('_calc'!$J$2:$J$3001,$N473))</f>
        <v/>
      </c>
      <c r="M473" s="2" t="str">
        <f>IF($N473="","",IF(AND(G473=0,H473=0),"수량 없음",IF(G473=0,"신규 (전년 수량 없음)",IF(H473=0,"당해 수량 없음",""))))</f>
        <v/>
      </c>
      <c r="N473" t="str">
        <f>IF($B473="","",MATCH($B473,'_calc'!$L$2:$L$3001,0))</f>
        <v/>
      </c>
    </row>
    <row r="474">
      <c r="B474" s="24" t="str">
        <f>IF(ROW()-ROW($B$8)&gt;nComp,"",ROW()-ROW($B$8))</f>
        <v/>
      </c>
      <c r="C474" t="str">
        <f>IF($N474="","",INDEX('_calc'!$A$2:$A$3001,$N474))</f>
        <v/>
      </c>
      <c r="D474" s="25" t="str">
        <f>IF($N474="","",INDEX('_calc'!$C$2:$C$3001,$N474))</f>
        <v/>
      </c>
      <c r="E474" s="25" t="str">
        <f>IF($N474="","",INDEX('_calc'!$D$2:$D$3001,$N474))</f>
        <v/>
      </c>
      <c r="F474" s="26" t="str">
        <f>IF($N474="","",IF($E$8=0,"",E474/$E$8))</f>
        <v/>
      </c>
      <c r="G474" s="25" t="str">
        <f>IF($N474="","",INDEX('_calc'!$E$2:$E$3001,$N474))</f>
        <v/>
      </c>
      <c r="H474" s="25" t="str">
        <f>IF($N474="","",INDEX('_calc'!$F$2:$F$3001,$N474))</f>
        <v/>
      </c>
      <c r="I474" s="27" t="str">
        <f>IF($N474="","",INDEX('_calc'!$H$2:$H$3001,$N474))</f>
        <v/>
      </c>
      <c r="J474" s="27" t="str">
        <f>IF($N474="","",INDEX('_calc'!$I$2:$I$3001,$N474))</f>
        <v/>
      </c>
      <c r="K474" s="28" t="str">
        <f>IF($N474="","",IF(OR(I474="",J474=""),"",J474-I474))</f>
        <v/>
      </c>
      <c r="L474" s="29" t="str">
        <f>IF($N474="","",INDEX('_calc'!$J$2:$J$3001,$N474))</f>
        <v/>
      </c>
      <c r="M474" s="2" t="str">
        <f>IF($N474="","",IF(AND(G474=0,H474=0),"수량 없음",IF(G474=0,"신규 (전년 수량 없음)",IF(H474=0,"당해 수량 없음",""))))</f>
        <v/>
      </c>
      <c r="N474" t="str">
        <f>IF($B474="","",MATCH($B474,'_calc'!$L$2:$L$3001,0))</f>
        <v/>
      </c>
    </row>
    <row r="475">
      <c r="B475" s="24" t="str">
        <f>IF(ROW()-ROW($B$8)&gt;nComp,"",ROW()-ROW($B$8))</f>
        <v/>
      </c>
      <c r="C475" t="str">
        <f>IF($N475="","",INDEX('_calc'!$A$2:$A$3001,$N475))</f>
        <v/>
      </c>
      <c r="D475" s="25" t="str">
        <f>IF($N475="","",INDEX('_calc'!$C$2:$C$3001,$N475))</f>
        <v/>
      </c>
      <c r="E475" s="25" t="str">
        <f>IF($N475="","",INDEX('_calc'!$D$2:$D$3001,$N475))</f>
        <v/>
      </c>
      <c r="F475" s="26" t="str">
        <f>IF($N475="","",IF($E$8=0,"",E475/$E$8))</f>
        <v/>
      </c>
      <c r="G475" s="25" t="str">
        <f>IF($N475="","",INDEX('_calc'!$E$2:$E$3001,$N475))</f>
        <v/>
      </c>
      <c r="H475" s="25" t="str">
        <f>IF($N475="","",INDEX('_calc'!$F$2:$F$3001,$N475))</f>
        <v/>
      </c>
      <c r="I475" s="27" t="str">
        <f>IF($N475="","",INDEX('_calc'!$H$2:$H$3001,$N475))</f>
        <v/>
      </c>
      <c r="J475" s="27" t="str">
        <f>IF($N475="","",INDEX('_calc'!$I$2:$I$3001,$N475))</f>
        <v/>
      </c>
      <c r="K475" s="28" t="str">
        <f>IF($N475="","",IF(OR(I475="",J475=""),"",J475-I475))</f>
        <v/>
      </c>
      <c r="L475" s="29" t="str">
        <f>IF($N475="","",INDEX('_calc'!$J$2:$J$3001,$N475))</f>
        <v/>
      </c>
      <c r="M475" s="2" t="str">
        <f>IF($N475="","",IF(AND(G475=0,H475=0),"수량 없음",IF(G475=0,"신규 (전년 수량 없음)",IF(H475=0,"당해 수량 없음",""))))</f>
        <v/>
      </c>
      <c r="N475" t="str">
        <f>IF($B475="","",MATCH($B475,'_calc'!$L$2:$L$3001,0))</f>
        <v/>
      </c>
    </row>
    <row r="476">
      <c r="B476" s="24" t="str">
        <f>IF(ROW()-ROW($B$8)&gt;nComp,"",ROW()-ROW($B$8))</f>
        <v/>
      </c>
      <c r="C476" t="str">
        <f>IF($N476="","",INDEX('_calc'!$A$2:$A$3001,$N476))</f>
        <v/>
      </c>
      <c r="D476" s="25" t="str">
        <f>IF($N476="","",INDEX('_calc'!$C$2:$C$3001,$N476))</f>
        <v/>
      </c>
      <c r="E476" s="25" t="str">
        <f>IF($N476="","",INDEX('_calc'!$D$2:$D$3001,$N476))</f>
        <v/>
      </c>
      <c r="F476" s="26" t="str">
        <f>IF($N476="","",IF($E$8=0,"",E476/$E$8))</f>
        <v/>
      </c>
      <c r="G476" s="25" t="str">
        <f>IF($N476="","",INDEX('_calc'!$E$2:$E$3001,$N476))</f>
        <v/>
      </c>
      <c r="H476" s="25" t="str">
        <f>IF($N476="","",INDEX('_calc'!$F$2:$F$3001,$N476))</f>
        <v/>
      </c>
      <c r="I476" s="27" t="str">
        <f>IF($N476="","",INDEX('_calc'!$H$2:$H$3001,$N476))</f>
        <v/>
      </c>
      <c r="J476" s="27" t="str">
        <f>IF($N476="","",INDEX('_calc'!$I$2:$I$3001,$N476))</f>
        <v/>
      </c>
      <c r="K476" s="28" t="str">
        <f>IF($N476="","",IF(OR(I476="",J476=""),"",J476-I476))</f>
        <v/>
      </c>
      <c r="L476" s="29" t="str">
        <f>IF($N476="","",INDEX('_calc'!$J$2:$J$3001,$N476))</f>
        <v/>
      </c>
      <c r="M476" s="2" t="str">
        <f>IF($N476="","",IF(AND(G476=0,H476=0),"수량 없음",IF(G476=0,"신규 (전년 수량 없음)",IF(H476=0,"당해 수량 없음",""))))</f>
        <v/>
      </c>
      <c r="N476" t="str">
        <f>IF($B476="","",MATCH($B476,'_calc'!$L$2:$L$3001,0))</f>
        <v/>
      </c>
    </row>
    <row r="477">
      <c r="B477" s="24" t="str">
        <f>IF(ROW()-ROW($B$8)&gt;nComp,"",ROW()-ROW($B$8))</f>
        <v/>
      </c>
      <c r="C477" t="str">
        <f>IF($N477="","",INDEX('_calc'!$A$2:$A$3001,$N477))</f>
        <v/>
      </c>
      <c r="D477" s="25" t="str">
        <f>IF($N477="","",INDEX('_calc'!$C$2:$C$3001,$N477))</f>
        <v/>
      </c>
      <c r="E477" s="25" t="str">
        <f>IF($N477="","",INDEX('_calc'!$D$2:$D$3001,$N477))</f>
        <v/>
      </c>
      <c r="F477" s="26" t="str">
        <f>IF($N477="","",IF($E$8=0,"",E477/$E$8))</f>
        <v/>
      </c>
      <c r="G477" s="25" t="str">
        <f>IF($N477="","",INDEX('_calc'!$E$2:$E$3001,$N477))</f>
        <v/>
      </c>
      <c r="H477" s="25" t="str">
        <f>IF($N477="","",INDEX('_calc'!$F$2:$F$3001,$N477))</f>
        <v/>
      </c>
      <c r="I477" s="27" t="str">
        <f>IF($N477="","",INDEX('_calc'!$H$2:$H$3001,$N477))</f>
        <v/>
      </c>
      <c r="J477" s="27" t="str">
        <f>IF($N477="","",INDEX('_calc'!$I$2:$I$3001,$N477))</f>
        <v/>
      </c>
      <c r="K477" s="28" t="str">
        <f>IF($N477="","",IF(OR(I477="",J477=""),"",J477-I477))</f>
        <v/>
      </c>
      <c r="L477" s="29" t="str">
        <f>IF($N477="","",INDEX('_calc'!$J$2:$J$3001,$N477))</f>
        <v/>
      </c>
      <c r="M477" s="2" t="str">
        <f>IF($N477="","",IF(AND(G477=0,H477=0),"수량 없음",IF(G477=0,"신규 (전년 수량 없음)",IF(H477=0,"당해 수량 없음",""))))</f>
        <v/>
      </c>
      <c r="N477" t="str">
        <f>IF($B477="","",MATCH($B477,'_calc'!$L$2:$L$3001,0))</f>
        <v/>
      </c>
    </row>
    <row r="478">
      <c r="B478" s="24" t="str">
        <f>IF(ROW()-ROW($B$8)&gt;nComp,"",ROW()-ROW($B$8))</f>
        <v/>
      </c>
      <c r="C478" t="str">
        <f>IF($N478="","",INDEX('_calc'!$A$2:$A$3001,$N478))</f>
        <v/>
      </c>
      <c r="D478" s="25" t="str">
        <f>IF($N478="","",INDEX('_calc'!$C$2:$C$3001,$N478))</f>
        <v/>
      </c>
      <c r="E478" s="25" t="str">
        <f>IF($N478="","",INDEX('_calc'!$D$2:$D$3001,$N478))</f>
        <v/>
      </c>
      <c r="F478" s="26" t="str">
        <f>IF($N478="","",IF($E$8=0,"",E478/$E$8))</f>
        <v/>
      </c>
      <c r="G478" s="25" t="str">
        <f>IF($N478="","",INDEX('_calc'!$E$2:$E$3001,$N478))</f>
        <v/>
      </c>
      <c r="H478" s="25" t="str">
        <f>IF($N478="","",INDEX('_calc'!$F$2:$F$3001,$N478))</f>
        <v/>
      </c>
      <c r="I478" s="27" t="str">
        <f>IF($N478="","",INDEX('_calc'!$H$2:$H$3001,$N478))</f>
        <v/>
      </c>
      <c r="J478" s="27" t="str">
        <f>IF($N478="","",INDEX('_calc'!$I$2:$I$3001,$N478))</f>
        <v/>
      </c>
      <c r="K478" s="28" t="str">
        <f>IF($N478="","",IF(OR(I478="",J478=""),"",J478-I478))</f>
        <v/>
      </c>
      <c r="L478" s="29" t="str">
        <f>IF($N478="","",INDEX('_calc'!$J$2:$J$3001,$N478))</f>
        <v/>
      </c>
      <c r="M478" s="2" t="str">
        <f>IF($N478="","",IF(AND(G478=0,H478=0),"수량 없음",IF(G478=0,"신규 (전년 수량 없음)",IF(H478=0,"당해 수량 없음",""))))</f>
        <v/>
      </c>
      <c r="N478" t="str">
        <f>IF($B478="","",MATCH($B478,'_calc'!$L$2:$L$3001,0))</f>
        <v/>
      </c>
    </row>
    <row r="479">
      <c r="B479" s="24" t="str">
        <f>IF(ROW()-ROW($B$8)&gt;nComp,"",ROW()-ROW($B$8))</f>
        <v/>
      </c>
      <c r="C479" t="str">
        <f>IF($N479="","",INDEX('_calc'!$A$2:$A$3001,$N479))</f>
        <v/>
      </c>
      <c r="D479" s="25" t="str">
        <f>IF($N479="","",INDEX('_calc'!$C$2:$C$3001,$N479))</f>
        <v/>
      </c>
      <c r="E479" s="25" t="str">
        <f>IF($N479="","",INDEX('_calc'!$D$2:$D$3001,$N479))</f>
        <v/>
      </c>
      <c r="F479" s="26" t="str">
        <f>IF($N479="","",IF($E$8=0,"",E479/$E$8))</f>
        <v/>
      </c>
      <c r="G479" s="25" t="str">
        <f>IF($N479="","",INDEX('_calc'!$E$2:$E$3001,$N479))</f>
        <v/>
      </c>
      <c r="H479" s="25" t="str">
        <f>IF($N479="","",INDEX('_calc'!$F$2:$F$3001,$N479))</f>
        <v/>
      </c>
      <c r="I479" s="27" t="str">
        <f>IF($N479="","",INDEX('_calc'!$H$2:$H$3001,$N479))</f>
        <v/>
      </c>
      <c r="J479" s="27" t="str">
        <f>IF($N479="","",INDEX('_calc'!$I$2:$I$3001,$N479))</f>
        <v/>
      </c>
      <c r="K479" s="28" t="str">
        <f>IF($N479="","",IF(OR(I479="",J479=""),"",J479-I479))</f>
        <v/>
      </c>
      <c r="L479" s="29" t="str">
        <f>IF($N479="","",INDEX('_calc'!$J$2:$J$3001,$N479))</f>
        <v/>
      </c>
      <c r="M479" s="2" t="str">
        <f>IF($N479="","",IF(AND(G479=0,H479=0),"수량 없음",IF(G479=0,"신규 (전년 수량 없음)",IF(H479=0,"당해 수량 없음",""))))</f>
        <v/>
      </c>
      <c r="N479" t="str">
        <f>IF($B479="","",MATCH($B479,'_calc'!$L$2:$L$3001,0))</f>
        <v/>
      </c>
    </row>
    <row r="480">
      <c r="B480" s="24" t="str">
        <f>IF(ROW()-ROW($B$8)&gt;nComp,"",ROW()-ROW($B$8))</f>
        <v/>
      </c>
      <c r="C480" t="str">
        <f>IF($N480="","",INDEX('_calc'!$A$2:$A$3001,$N480))</f>
        <v/>
      </c>
      <c r="D480" s="25" t="str">
        <f>IF($N480="","",INDEX('_calc'!$C$2:$C$3001,$N480))</f>
        <v/>
      </c>
      <c r="E480" s="25" t="str">
        <f>IF($N480="","",INDEX('_calc'!$D$2:$D$3001,$N480))</f>
        <v/>
      </c>
      <c r="F480" s="26" t="str">
        <f>IF($N480="","",IF($E$8=0,"",E480/$E$8))</f>
        <v/>
      </c>
      <c r="G480" s="25" t="str">
        <f>IF($N480="","",INDEX('_calc'!$E$2:$E$3001,$N480))</f>
        <v/>
      </c>
      <c r="H480" s="25" t="str">
        <f>IF($N480="","",INDEX('_calc'!$F$2:$F$3001,$N480))</f>
        <v/>
      </c>
      <c r="I480" s="27" t="str">
        <f>IF($N480="","",INDEX('_calc'!$H$2:$H$3001,$N480))</f>
        <v/>
      </c>
      <c r="J480" s="27" t="str">
        <f>IF($N480="","",INDEX('_calc'!$I$2:$I$3001,$N480))</f>
        <v/>
      </c>
      <c r="K480" s="28" t="str">
        <f>IF($N480="","",IF(OR(I480="",J480=""),"",J480-I480))</f>
        <v/>
      </c>
      <c r="L480" s="29" t="str">
        <f>IF($N480="","",INDEX('_calc'!$J$2:$J$3001,$N480))</f>
        <v/>
      </c>
      <c r="M480" s="2" t="str">
        <f>IF($N480="","",IF(AND(G480=0,H480=0),"수량 없음",IF(G480=0,"신규 (전년 수량 없음)",IF(H480=0,"당해 수량 없음",""))))</f>
        <v/>
      </c>
      <c r="N480" t="str">
        <f>IF($B480="","",MATCH($B480,'_calc'!$L$2:$L$3001,0))</f>
        <v/>
      </c>
    </row>
    <row r="481">
      <c r="B481" s="24" t="str">
        <f>IF(ROW()-ROW($B$8)&gt;nComp,"",ROW()-ROW($B$8))</f>
        <v/>
      </c>
      <c r="C481" t="str">
        <f>IF($N481="","",INDEX('_calc'!$A$2:$A$3001,$N481))</f>
        <v/>
      </c>
      <c r="D481" s="25" t="str">
        <f>IF($N481="","",INDEX('_calc'!$C$2:$C$3001,$N481))</f>
        <v/>
      </c>
      <c r="E481" s="25" t="str">
        <f>IF($N481="","",INDEX('_calc'!$D$2:$D$3001,$N481))</f>
        <v/>
      </c>
      <c r="F481" s="26" t="str">
        <f>IF($N481="","",IF($E$8=0,"",E481/$E$8))</f>
        <v/>
      </c>
      <c r="G481" s="25" t="str">
        <f>IF($N481="","",INDEX('_calc'!$E$2:$E$3001,$N481))</f>
        <v/>
      </c>
      <c r="H481" s="25" t="str">
        <f>IF($N481="","",INDEX('_calc'!$F$2:$F$3001,$N481))</f>
        <v/>
      </c>
      <c r="I481" s="27" t="str">
        <f>IF($N481="","",INDEX('_calc'!$H$2:$H$3001,$N481))</f>
        <v/>
      </c>
      <c r="J481" s="27" t="str">
        <f>IF($N481="","",INDEX('_calc'!$I$2:$I$3001,$N481))</f>
        <v/>
      </c>
      <c r="K481" s="28" t="str">
        <f>IF($N481="","",IF(OR(I481="",J481=""),"",J481-I481))</f>
        <v/>
      </c>
      <c r="L481" s="29" t="str">
        <f>IF($N481="","",INDEX('_calc'!$J$2:$J$3001,$N481))</f>
        <v/>
      </c>
      <c r="M481" s="2" t="str">
        <f>IF($N481="","",IF(AND(G481=0,H481=0),"수량 없음",IF(G481=0,"신규 (전년 수량 없음)",IF(H481=0,"당해 수량 없음",""))))</f>
        <v/>
      </c>
      <c r="N481" t="str">
        <f>IF($B481="","",MATCH($B481,'_calc'!$L$2:$L$3001,0))</f>
        <v/>
      </c>
    </row>
    <row r="482">
      <c r="B482" s="24" t="str">
        <f>IF(ROW()-ROW($B$8)&gt;nComp,"",ROW()-ROW($B$8))</f>
        <v/>
      </c>
      <c r="C482" t="str">
        <f>IF($N482="","",INDEX('_calc'!$A$2:$A$3001,$N482))</f>
        <v/>
      </c>
      <c r="D482" s="25" t="str">
        <f>IF($N482="","",INDEX('_calc'!$C$2:$C$3001,$N482))</f>
        <v/>
      </c>
      <c r="E482" s="25" t="str">
        <f>IF($N482="","",INDEX('_calc'!$D$2:$D$3001,$N482))</f>
        <v/>
      </c>
      <c r="F482" s="26" t="str">
        <f>IF($N482="","",IF($E$8=0,"",E482/$E$8))</f>
        <v/>
      </c>
      <c r="G482" s="25" t="str">
        <f>IF($N482="","",INDEX('_calc'!$E$2:$E$3001,$N482))</f>
        <v/>
      </c>
      <c r="H482" s="25" t="str">
        <f>IF($N482="","",INDEX('_calc'!$F$2:$F$3001,$N482))</f>
        <v/>
      </c>
      <c r="I482" s="27" t="str">
        <f>IF($N482="","",INDEX('_calc'!$H$2:$H$3001,$N482))</f>
        <v/>
      </c>
      <c r="J482" s="27" t="str">
        <f>IF($N482="","",INDEX('_calc'!$I$2:$I$3001,$N482))</f>
        <v/>
      </c>
      <c r="K482" s="28" t="str">
        <f>IF($N482="","",IF(OR(I482="",J482=""),"",J482-I482))</f>
        <v/>
      </c>
      <c r="L482" s="29" t="str">
        <f>IF($N482="","",INDEX('_calc'!$J$2:$J$3001,$N482))</f>
        <v/>
      </c>
      <c r="M482" s="2" t="str">
        <f>IF($N482="","",IF(AND(G482=0,H482=0),"수량 없음",IF(G482=0,"신규 (전년 수량 없음)",IF(H482=0,"당해 수량 없음",""))))</f>
        <v/>
      </c>
      <c r="N482" t="str">
        <f>IF($B482="","",MATCH($B482,'_calc'!$L$2:$L$3001,0))</f>
        <v/>
      </c>
    </row>
    <row r="483">
      <c r="B483" s="24" t="str">
        <f>IF(ROW()-ROW($B$8)&gt;nComp,"",ROW()-ROW($B$8))</f>
        <v/>
      </c>
      <c r="C483" t="str">
        <f>IF($N483="","",INDEX('_calc'!$A$2:$A$3001,$N483))</f>
        <v/>
      </c>
      <c r="D483" s="25" t="str">
        <f>IF($N483="","",INDEX('_calc'!$C$2:$C$3001,$N483))</f>
        <v/>
      </c>
      <c r="E483" s="25" t="str">
        <f>IF($N483="","",INDEX('_calc'!$D$2:$D$3001,$N483))</f>
        <v/>
      </c>
      <c r="F483" s="26" t="str">
        <f>IF($N483="","",IF($E$8=0,"",E483/$E$8))</f>
        <v/>
      </c>
      <c r="G483" s="25" t="str">
        <f>IF($N483="","",INDEX('_calc'!$E$2:$E$3001,$N483))</f>
        <v/>
      </c>
      <c r="H483" s="25" t="str">
        <f>IF($N483="","",INDEX('_calc'!$F$2:$F$3001,$N483))</f>
        <v/>
      </c>
      <c r="I483" s="27" t="str">
        <f>IF($N483="","",INDEX('_calc'!$H$2:$H$3001,$N483))</f>
        <v/>
      </c>
      <c r="J483" s="27" t="str">
        <f>IF($N483="","",INDEX('_calc'!$I$2:$I$3001,$N483))</f>
        <v/>
      </c>
      <c r="K483" s="28" t="str">
        <f>IF($N483="","",IF(OR(I483="",J483=""),"",J483-I483))</f>
        <v/>
      </c>
      <c r="L483" s="29" t="str">
        <f>IF($N483="","",INDEX('_calc'!$J$2:$J$3001,$N483))</f>
        <v/>
      </c>
      <c r="M483" s="2" t="str">
        <f>IF($N483="","",IF(AND(G483=0,H483=0),"수량 없음",IF(G483=0,"신규 (전년 수량 없음)",IF(H483=0,"당해 수량 없음",""))))</f>
        <v/>
      </c>
      <c r="N483" t="str">
        <f>IF($B483="","",MATCH($B483,'_calc'!$L$2:$L$3001,0))</f>
        <v/>
      </c>
    </row>
    <row r="484">
      <c r="B484" s="24" t="str">
        <f>IF(ROW()-ROW($B$8)&gt;nComp,"",ROW()-ROW($B$8))</f>
        <v/>
      </c>
      <c r="C484" t="str">
        <f>IF($N484="","",INDEX('_calc'!$A$2:$A$3001,$N484))</f>
        <v/>
      </c>
      <c r="D484" s="25" t="str">
        <f>IF($N484="","",INDEX('_calc'!$C$2:$C$3001,$N484))</f>
        <v/>
      </c>
      <c r="E484" s="25" t="str">
        <f>IF($N484="","",INDEX('_calc'!$D$2:$D$3001,$N484))</f>
        <v/>
      </c>
      <c r="F484" s="26" t="str">
        <f>IF($N484="","",IF($E$8=0,"",E484/$E$8))</f>
        <v/>
      </c>
      <c r="G484" s="25" t="str">
        <f>IF($N484="","",INDEX('_calc'!$E$2:$E$3001,$N484))</f>
        <v/>
      </c>
      <c r="H484" s="25" t="str">
        <f>IF($N484="","",INDEX('_calc'!$F$2:$F$3001,$N484))</f>
        <v/>
      </c>
      <c r="I484" s="27" t="str">
        <f>IF($N484="","",INDEX('_calc'!$H$2:$H$3001,$N484))</f>
        <v/>
      </c>
      <c r="J484" s="27" t="str">
        <f>IF($N484="","",INDEX('_calc'!$I$2:$I$3001,$N484))</f>
        <v/>
      </c>
      <c r="K484" s="28" t="str">
        <f>IF($N484="","",IF(OR(I484="",J484=""),"",J484-I484))</f>
        <v/>
      </c>
      <c r="L484" s="29" t="str">
        <f>IF($N484="","",INDEX('_calc'!$J$2:$J$3001,$N484))</f>
        <v/>
      </c>
      <c r="M484" s="2" t="str">
        <f>IF($N484="","",IF(AND(G484=0,H484=0),"수량 없음",IF(G484=0,"신규 (전년 수량 없음)",IF(H484=0,"당해 수량 없음",""))))</f>
        <v/>
      </c>
      <c r="N484" t="str">
        <f>IF($B484="","",MATCH($B484,'_calc'!$L$2:$L$3001,0))</f>
        <v/>
      </c>
    </row>
    <row r="485">
      <c r="B485" s="24" t="str">
        <f>IF(ROW()-ROW($B$8)&gt;nComp,"",ROW()-ROW($B$8))</f>
        <v/>
      </c>
      <c r="C485" t="str">
        <f>IF($N485="","",INDEX('_calc'!$A$2:$A$3001,$N485))</f>
        <v/>
      </c>
      <c r="D485" s="25" t="str">
        <f>IF($N485="","",INDEX('_calc'!$C$2:$C$3001,$N485))</f>
        <v/>
      </c>
      <c r="E485" s="25" t="str">
        <f>IF($N485="","",INDEX('_calc'!$D$2:$D$3001,$N485))</f>
        <v/>
      </c>
      <c r="F485" s="26" t="str">
        <f>IF($N485="","",IF($E$8=0,"",E485/$E$8))</f>
        <v/>
      </c>
      <c r="G485" s="25" t="str">
        <f>IF($N485="","",INDEX('_calc'!$E$2:$E$3001,$N485))</f>
        <v/>
      </c>
      <c r="H485" s="25" t="str">
        <f>IF($N485="","",INDEX('_calc'!$F$2:$F$3001,$N485))</f>
        <v/>
      </c>
      <c r="I485" s="27" t="str">
        <f>IF($N485="","",INDEX('_calc'!$H$2:$H$3001,$N485))</f>
        <v/>
      </c>
      <c r="J485" s="27" t="str">
        <f>IF($N485="","",INDEX('_calc'!$I$2:$I$3001,$N485))</f>
        <v/>
      </c>
      <c r="K485" s="28" t="str">
        <f>IF($N485="","",IF(OR(I485="",J485=""),"",J485-I485))</f>
        <v/>
      </c>
      <c r="L485" s="29" t="str">
        <f>IF($N485="","",INDEX('_calc'!$J$2:$J$3001,$N485))</f>
        <v/>
      </c>
      <c r="M485" s="2" t="str">
        <f>IF($N485="","",IF(AND(G485=0,H485=0),"수량 없음",IF(G485=0,"신규 (전년 수량 없음)",IF(H485=0,"당해 수량 없음",""))))</f>
        <v/>
      </c>
      <c r="N485" t="str">
        <f>IF($B485="","",MATCH($B485,'_calc'!$L$2:$L$3001,0))</f>
        <v/>
      </c>
    </row>
    <row r="486">
      <c r="B486" s="24" t="str">
        <f>IF(ROW()-ROW($B$8)&gt;nComp,"",ROW()-ROW($B$8))</f>
        <v/>
      </c>
      <c r="C486" t="str">
        <f>IF($N486="","",INDEX('_calc'!$A$2:$A$3001,$N486))</f>
        <v/>
      </c>
      <c r="D486" s="25" t="str">
        <f>IF($N486="","",INDEX('_calc'!$C$2:$C$3001,$N486))</f>
        <v/>
      </c>
      <c r="E486" s="25" t="str">
        <f>IF($N486="","",INDEX('_calc'!$D$2:$D$3001,$N486))</f>
        <v/>
      </c>
      <c r="F486" s="26" t="str">
        <f>IF($N486="","",IF($E$8=0,"",E486/$E$8))</f>
        <v/>
      </c>
      <c r="G486" s="25" t="str">
        <f>IF($N486="","",INDEX('_calc'!$E$2:$E$3001,$N486))</f>
        <v/>
      </c>
      <c r="H486" s="25" t="str">
        <f>IF($N486="","",INDEX('_calc'!$F$2:$F$3001,$N486))</f>
        <v/>
      </c>
      <c r="I486" s="27" t="str">
        <f>IF($N486="","",INDEX('_calc'!$H$2:$H$3001,$N486))</f>
        <v/>
      </c>
      <c r="J486" s="27" t="str">
        <f>IF($N486="","",INDEX('_calc'!$I$2:$I$3001,$N486))</f>
        <v/>
      </c>
      <c r="K486" s="28" t="str">
        <f>IF($N486="","",IF(OR(I486="",J486=""),"",J486-I486))</f>
        <v/>
      </c>
      <c r="L486" s="29" t="str">
        <f>IF($N486="","",INDEX('_calc'!$J$2:$J$3001,$N486))</f>
        <v/>
      </c>
      <c r="M486" s="2" t="str">
        <f>IF($N486="","",IF(AND(G486=0,H486=0),"수량 없음",IF(G486=0,"신규 (전년 수량 없음)",IF(H486=0,"당해 수량 없음",""))))</f>
        <v/>
      </c>
      <c r="N486" t="str">
        <f>IF($B486="","",MATCH($B486,'_calc'!$L$2:$L$3001,0))</f>
        <v/>
      </c>
    </row>
    <row r="487">
      <c r="B487" s="24" t="str">
        <f>IF(ROW()-ROW($B$8)&gt;nComp,"",ROW()-ROW($B$8))</f>
        <v/>
      </c>
      <c r="C487" t="str">
        <f>IF($N487="","",INDEX('_calc'!$A$2:$A$3001,$N487))</f>
        <v/>
      </c>
      <c r="D487" s="25" t="str">
        <f>IF($N487="","",INDEX('_calc'!$C$2:$C$3001,$N487))</f>
        <v/>
      </c>
      <c r="E487" s="25" t="str">
        <f>IF($N487="","",INDEX('_calc'!$D$2:$D$3001,$N487))</f>
        <v/>
      </c>
      <c r="F487" s="26" t="str">
        <f>IF($N487="","",IF($E$8=0,"",E487/$E$8))</f>
        <v/>
      </c>
      <c r="G487" s="25" t="str">
        <f>IF($N487="","",INDEX('_calc'!$E$2:$E$3001,$N487))</f>
        <v/>
      </c>
      <c r="H487" s="25" t="str">
        <f>IF($N487="","",INDEX('_calc'!$F$2:$F$3001,$N487))</f>
        <v/>
      </c>
      <c r="I487" s="27" t="str">
        <f>IF($N487="","",INDEX('_calc'!$H$2:$H$3001,$N487))</f>
        <v/>
      </c>
      <c r="J487" s="27" t="str">
        <f>IF($N487="","",INDEX('_calc'!$I$2:$I$3001,$N487))</f>
        <v/>
      </c>
      <c r="K487" s="28" t="str">
        <f>IF($N487="","",IF(OR(I487="",J487=""),"",J487-I487))</f>
        <v/>
      </c>
      <c r="L487" s="29" t="str">
        <f>IF($N487="","",INDEX('_calc'!$J$2:$J$3001,$N487))</f>
        <v/>
      </c>
      <c r="M487" s="2" t="str">
        <f>IF($N487="","",IF(AND(G487=0,H487=0),"수량 없음",IF(G487=0,"신규 (전년 수량 없음)",IF(H487=0,"당해 수량 없음",""))))</f>
        <v/>
      </c>
      <c r="N487" t="str">
        <f>IF($B487="","",MATCH($B487,'_calc'!$L$2:$L$3001,0))</f>
        <v/>
      </c>
    </row>
    <row r="488">
      <c r="B488" s="24" t="str">
        <f>IF(ROW()-ROW($B$8)&gt;nComp,"",ROW()-ROW($B$8))</f>
        <v/>
      </c>
      <c r="C488" t="str">
        <f>IF($N488="","",INDEX('_calc'!$A$2:$A$3001,$N488))</f>
        <v/>
      </c>
      <c r="D488" s="25" t="str">
        <f>IF($N488="","",INDEX('_calc'!$C$2:$C$3001,$N488))</f>
        <v/>
      </c>
      <c r="E488" s="25" t="str">
        <f>IF($N488="","",INDEX('_calc'!$D$2:$D$3001,$N488))</f>
        <v/>
      </c>
      <c r="F488" s="26" t="str">
        <f>IF($N488="","",IF($E$8=0,"",E488/$E$8))</f>
        <v/>
      </c>
      <c r="G488" s="25" t="str">
        <f>IF($N488="","",INDEX('_calc'!$E$2:$E$3001,$N488))</f>
        <v/>
      </c>
      <c r="H488" s="25" t="str">
        <f>IF($N488="","",INDEX('_calc'!$F$2:$F$3001,$N488))</f>
        <v/>
      </c>
      <c r="I488" s="27" t="str">
        <f>IF($N488="","",INDEX('_calc'!$H$2:$H$3001,$N488))</f>
        <v/>
      </c>
      <c r="J488" s="27" t="str">
        <f>IF($N488="","",INDEX('_calc'!$I$2:$I$3001,$N488))</f>
        <v/>
      </c>
      <c r="K488" s="28" t="str">
        <f>IF($N488="","",IF(OR(I488="",J488=""),"",J488-I488))</f>
        <v/>
      </c>
      <c r="L488" s="29" t="str">
        <f>IF($N488="","",INDEX('_calc'!$J$2:$J$3001,$N488))</f>
        <v/>
      </c>
      <c r="M488" s="2" t="str">
        <f>IF($N488="","",IF(AND(G488=0,H488=0),"수량 없음",IF(G488=0,"신규 (전년 수량 없음)",IF(H488=0,"당해 수량 없음",""))))</f>
        <v/>
      </c>
      <c r="N488" t="str">
        <f>IF($B488="","",MATCH($B488,'_calc'!$L$2:$L$3001,0))</f>
        <v/>
      </c>
    </row>
    <row r="489">
      <c r="B489" s="24" t="str">
        <f>IF(ROW()-ROW($B$8)&gt;nComp,"",ROW()-ROW($B$8))</f>
        <v/>
      </c>
      <c r="C489" t="str">
        <f>IF($N489="","",INDEX('_calc'!$A$2:$A$3001,$N489))</f>
        <v/>
      </c>
      <c r="D489" s="25" t="str">
        <f>IF($N489="","",INDEX('_calc'!$C$2:$C$3001,$N489))</f>
        <v/>
      </c>
      <c r="E489" s="25" t="str">
        <f>IF($N489="","",INDEX('_calc'!$D$2:$D$3001,$N489))</f>
        <v/>
      </c>
      <c r="F489" s="26" t="str">
        <f>IF($N489="","",IF($E$8=0,"",E489/$E$8))</f>
        <v/>
      </c>
      <c r="G489" s="25" t="str">
        <f>IF($N489="","",INDEX('_calc'!$E$2:$E$3001,$N489))</f>
        <v/>
      </c>
      <c r="H489" s="25" t="str">
        <f>IF($N489="","",INDEX('_calc'!$F$2:$F$3001,$N489))</f>
        <v/>
      </c>
      <c r="I489" s="27" t="str">
        <f>IF($N489="","",INDEX('_calc'!$H$2:$H$3001,$N489))</f>
        <v/>
      </c>
      <c r="J489" s="27" t="str">
        <f>IF($N489="","",INDEX('_calc'!$I$2:$I$3001,$N489))</f>
        <v/>
      </c>
      <c r="K489" s="28" t="str">
        <f>IF($N489="","",IF(OR(I489="",J489=""),"",J489-I489))</f>
        <v/>
      </c>
      <c r="L489" s="29" t="str">
        <f>IF($N489="","",INDEX('_calc'!$J$2:$J$3001,$N489))</f>
        <v/>
      </c>
      <c r="M489" s="2" t="str">
        <f>IF($N489="","",IF(AND(G489=0,H489=0),"수량 없음",IF(G489=0,"신규 (전년 수량 없음)",IF(H489=0,"당해 수량 없음",""))))</f>
        <v/>
      </c>
      <c r="N489" t="str">
        <f>IF($B489="","",MATCH($B489,'_calc'!$L$2:$L$3001,0))</f>
        <v/>
      </c>
    </row>
    <row r="490">
      <c r="B490" s="24" t="str">
        <f>IF(ROW()-ROW($B$8)&gt;nComp,"",ROW()-ROW($B$8))</f>
        <v/>
      </c>
      <c r="C490" t="str">
        <f>IF($N490="","",INDEX('_calc'!$A$2:$A$3001,$N490))</f>
        <v/>
      </c>
      <c r="D490" s="25" t="str">
        <f>IF($N490="","",INDEX('_calc'!$C$2:$C$3001,$N490))</f>
        <v/>
      </c>
      <c r="E490" s="25" t="str">
        <f>IF($N490="","",INDEX('_calc'!$D$2:$D$3001,$N490))</f>
        <v/>
      </c>
      <c r="F490" s="26" t="str">
        <f>IF($N490="","",IF($E$8=0,"",E490/$E$8))</f>
        <v/>
      </c>
      <c r="G490" s="25" t="str">
        <f>IF($N490="","",INDEX('_calc'!$E$2:$E$3001,$N490))</f>
        <v/>
      </c>
      <c r="H490" s="25" t="str">
        <f>IF($N490="","",INDEX('_calc'!$F$2:$F$3001,$N490))</f>
        <v/>
      </c>
      <c r="I490" s="27" t="str">
        <f>IF($N490="","",INDEX('_calc'!$H$2:$H$3001,$N490))</f>
        <v/>
      </c>
      <c r="J490" s="27" t="str">
        <f>IF($N490="","",INDEX('_calc'!$I$2:$I$3001,$N490))</f>
        <v/>
      </c>
      <c r="K490" s="28" t="str">
        <f>IF($N490="","",IF(OR(I490="",J490=""),"",J490-I490))</f>
        <v/>
      </c>
      <c r="L490" s="29" t="str">
        <f>IF($N490="","",INDEX('_calc'!$J$2:$J$3001,$N490))</f>
        <v/>
      </c>
      <c r="M490" s="2" t="str">
        <f>IF($N490="","",IF(AND(G490=0,H490=0),"수량 없음",IF(G490=0,"신규 (전년 수량 없음)",IF(H490=0,"당해 수량 없음",""))))</f>
        <v/>
      </c>
      <c r="N490" t="str">
        <f>IF($B490="","",MATCH($B490,'_calc'!$L$2:$L$3001,0))</f>
        <v/>
      </c>
    </row>
    <row r="491">
      <c r="B491" s="24" t="str">
        <f>IF(ROW()-ROW($B$8)&gt;nComp,"",ROW()-ROW($B$8))</f>
        <v/>
      </c>
      <c r="C491" t="str">
        <f>IF($N491="","",INDEX('_calc'!$A$2:$A$3001,$N491))</f>
        <v/>
      </c>
      <c r="D491" s="25" t="str">
        <f>IF($N491="","",INDEX('_calc'!$C$2:$C$3001,$N491))</f>
        <v/>
      </c>
      <c r="E491" s="25" t="str">
        <f>IF($N491="","",INDEX('_calc'!$D$2:$D$3001,$N491))</f>
        <v/>
      </c>
      <c r="F491" s="26" t="str">
        <f>IF($N491="","",IF($E$8=0,"",E491/$E$8))</f>
        <v/>
      </c>
      <c r="G491" s="25" t="str">
        <f>IF($N491="","",INDEX('_calc'!$E$2:$E$3001,$N491))</f>
        <v/>
      </c>
      <c r="H491" s="25" t="str">
        <f>IF($N491="","",INDEX('_calc'!$F$2:$F$3001,$N491))</f>
        <v/>
      </c>
      <c r="I491" s="27" t="str">
        <f>IF($N491="","",INDEX('_calc'!$H$2:$H$3001,$N491))</f>
        <v/>
      </c>
      <c r="J491" s="27" t="str">
        <f>IF($N491="","",INDEX('_calc'!$I$2:$I$3001,$N491))</f>
        <v/>
      </c>
      <c r="K491" s="28" t="str">
        <f>IF($N491="","",IF(OR(I491="",J491=""),"",J491-I491))</f>
        <v/>
      </c>
      <c r="L491" s="29" t="str">
        <f>IF($N491="","",INDEX('_calc'!$J$2:$J$3001,$N491))</f>
        <v/>
      </c>
      <c r="M491" s="2" t="str">
        <f>IF($N491="","",IF(AND(G491=0,H491=0),"수량 없음",IF(G491=0,"신규 (전년 수량 없음)",IF(H491=0,"당해 수량 없음",""))))</f>
        <v/>
      </c>
      <c r="N491" t="str">
        <f>IF($B491="","",MATCH($B491,'_calc'!$L$2:$L$3001,0))</f>
        <v/>
      </c>
    </row>
    <row r="492">
      <c r="B492" s="24" t="str">
        <f>IF(ROW()-ROW($B$8)&gt;nComp,"",ROW()-ROW($B$8))</f>
        <v/>
      </c>
      <c r="C492" t="str">
        <f>IF($N492="","",INDEX('_calc'!$A$2:$A$3001,$N492))</f>
        <v/>
      </c>
      <c r="D492" s="25" t="str">
        <f>IF($N492="","",INDEX('_calc'!$C$2:$C$3001,$N492))</f>
        <v/>
      </c>
      <c r="E492" s="25" t="str">
        <f>IF($N492="","",INDEX('_calc'!$D$2:$D$3001,$N492))</f>
        <v/>
      </c>
      <c r="F492" s="26" t="str">
        <f>IF($N492="","",IF($E$8=0,"",E492/$E$8))</f>
        <v/>
      </c>
      <c r="G492" s="25" t="str">
        <f>IF($N492="","",INDEX('_calc'!$E$2:$E$3001,$N492))</f>
        <v/>
      </c>
      <c r="H492" s="25" t="str">
        <f>IF($N492="","",INDEX('_calc'!$F$2:$F$3001,$N492))</f>
        <v/>
      </c>
      <c r="I492" s="27" t="str">
        <f>IF($N492="","",INDEX('_calc'!$H$2:$H$3001,$N492))</f>
        <v/>
      </c>
      <c r="J492" s="27" t="str">
        <f>IF($N492="","",INDEX('_calc'!$I$2:$I$3001,$N492))</f>
        <v/>
      </c>
      <c r="K492" s="28" t="str">
        <f>IF($N492="","",IF(OR(I492="",J492=""),"",J492-I492))</f>
        <v/>
      </c>
      <c r="L492" s="29" t="str">
        <f>IF($N492="","",INDEX('_calc'!$J$2:$J$3001,$N492))</f>
        <v/>
      </c>
      <c r="M492" s="2" t="str">
        <f>IF($N492="","",IF(AND(G492=0,H492=0),"수량 없음",IF(G492=0,"신규 (전년 수량 없음)",IF(H492=0,"당해 수량 없음",""))))</f>
        <v/>
      </c>
      <c r="N492" t="str">
        <f>IF($B492="","",MATCH($B492,'_calc'!$L$2:$L$3001,0))</f>
        <v/>
      </c>
    </row>
    <row r="493">
      <c r="B493" s="24" t="str">
        <f>IF(ROW()-ROW($B$8)&gt;nComp,"",ROW()-ROW($B$8))</f>
        <v/>
      </c>
      <c r="C493" t="str">
        <f>IF($N493="","",INDEX('_calc'!$A$2:$A$3001,$N493))</f>
        <v/>
      </c>
      <c r="D493" s="25" t="str">
        <f>IF($N493="","",INDEX('_calc'!$C$2:$C$3001,$N493))</f>
        <v/>
      </c>
      <c r="E493" s="25" t="str">
        <f>IF($N493="","",INDEX('_calc'!$D$2:$D$3001,$N493))</f>
        <v/>
      </c>
      <c r="F493" s="26" t="str">
        <f>IF($N493="","",IF($E$8=0,"",E493/$E$8))</f>
        <v/>
      </c>
      <c r="G493" s="25" t="str">
        <f>IF($N493="","",INDEX('_calc'!$E$2:$E$3001,$N493))</f>
        <v/>
      </c>
      <c r="H493" s="25" t="str">
        <f>IF($N493="","",INDEX('_calc'!$F$2:$F$3001,$N493))</f>
        <v/>
      </c>
      <c r="I493" s="27" t="str">
        <f>IF($N493="","",INDEX('_calc'!$H$2:$H$3001,$N493))</f>
        <v/>
      </c>
      <c r="J493" s="27" t="str">
        <f>IF($N493="","",INDEX('_calc'!$I$2:$I$3001,$N493))</f>
        <v/>
      </c>
      <c r="K493" s="28" t="str">
        <f>IF($N493="","",IF(OR(I493="",J493=""),"",J493-I493))</f>
        <v/>
      </c>
      <c r="L493" s="29" t="str">
        <f>IF($N493="","",INDEX('_calc'!$J$2:$J$3001,$N493))</f>
        <v/>
      </c>
      <c r="M493" s="2" t="str">
        <f>IF($N493="","",IF(AND(G493=0,H493=0),"수량 없음",IF(G493=0,"신규 (전년 수량 없음)",IF(H493=0,"당해 수량 없음",""))))</f>
        <v/>
      </c>
      <c r="N493" t="str">
        <f>IF($B493="","",MATCH($B493,'_calc'!$L$2:$L$3001,0))</f>
        <v/>
      </c>
    </row>
    <row r="494">
      <c r="B494" s="24" t="str">
        <f>IF(ROW()-ROW($B$8)&gt;nComp,"",ROW()-ROW($B$8))</f>
        <v/>
      </c>
      <c r="C494" t="str">
        <f>IF($N494="","",INDEX('_calc'!$A$2:$A$3001,$N494))</f>
        <v/>
      </c>
      <c r="D494" s="25" t="str">
        <f>IF($N494="","",INDEX('_calc'!$C$2:$C$3001,$N494))</f>
        <v/>
      </c>
      <c r="E494" s="25" t="str">
        <f>IF($N494="","",INDEX('_calc'!$D$2:$D$3001,$N494))</f>
        <v/>
      </c>
      <c r="F494" s="26" t="str">
        <f>IF($N494="","",IF($E$8=0,"",E494/$E$8))</f>
        <v/>
      </c>
      <c r="G494" s="25" t="str">
        <f>IF($N494="","",INDEX('_calc'!$E$2:$E$3001,$N494))</f>
        <v/>
      </c>
      <c r="H494" s="25" t="str">
        <f>IF($N494="","",INDEX('_calc'!$F$2:$F$3001,$N494))</f>
        <v/>
      </c>
      <c r="I494" s="27" t="str">
        <f>IF($N494="","",INDEX('_calc'!$H$2:$H$3001,$N494))</f>
        <v/>
      </c>
      <c r="J494" s="27" t="str">
        <f>IF($N494="","",INDEX('_calc'!$I$2:$I$3001,$N494))</f>
        <v/>
      </c>
      <c r="K494" s="28" t="str">
        <f>IF($N494="","",IF(OR(I494="",J494=""),"",J494-I494))</f>
        <v/>
      </c>
      <c r="L494" s="29" t="str">
        <f>IF($N494="","",INDEX('_calc'!$J$2:$J$3001,$N494))</f>
        <v/>
      </c>
      <c r="M494" s="2" t="str">
        <f>IF($N494="","",IF(AND(G494=0,H494=0),"수량 없음",IF(G494=0,"신규 (전년 수량 없음)",IF(H494=0,"당해 수량 없음",""))))</f>
        <v/>
      </c>
      <c r="N494" t="str">
        <f>IF($B494="","",MATCH($B494,'_calc'!$L$2:$L$3001,0))</f>
        <v/>
      </c>
    </row>
    <row r="495">
      <c r="B495" s="24" t="str">
        <f>IF(ROW()-ROW($B$8)&gt;nComp,"",ROW()-ROW($B$8))</f>
        <v/>
      </c>
      <c r="C495" t="str">
        <f>IF($N495="","",INDEX('_calc'!$A$2:$A$3001,$N495))</f>
        <v/>
      </c>
      <c r="D495" s="25" t="str">
        <f>IF($N495="","",INDEX('_calc'!$C$2:$C$3001,$N495))</f>
        <v/>
      </c>
      <c r="E495" s="25" t="str">
        <f>IF($N495="","",INDEX('_calc'!$D$2:$D$3001,$N495))</f>
        <v/>
      </c>
      <c r="F495" s="26" t="str">
        <f>IF($N495="","",IF($E$8=0,"",E495/$E$8))</f>
        <v/>
      </c>
      <c r="G495" s="25" t="str">
        <f>IF($N495="","",INDEX('_calc'!$E$2:$E$3001,$N495))</f>
        <v/>
      </c>
      <c r="H495" s="25" t="str">
        <f>IF($N495="","",INDEX('_calc'!$F$2:$F$3001,$N495))</f>
        <v/>
      </c>
      <c r="I495" s="27" t="str">
        <f>IF($N495="","",INDEX('_calc'!$H$2:$H$3001,$N495))</f>
        <v/>
      </c>
      <c r="J495" s="27" t="str">
        <f>IF($N495="","",INDEX('_calc'!$I$2:$I$3001,$N495))</f>
        <v/>
      </c>
      <c r="K495" s="28" t="str">
        <f>IF($N495="","",IF(OR(I495="",J495=""),"",J495-I495))</f>
        <v/>
      </c>
      <c r="L495" s="29" t="str">
        <f>IF($N495="","",INDEX('_calc'!$J$2:$J$3001,$N495))</f>
        <v/>
      </c>
      <c r="M495" s="2" t="str">
        <f>IF($N495="","",IF(AND(G495=0,H495=0),"수량 없음",IF(G495=0,"신규 (전년 수량 없음)",IF(H495=0,"당해 수량 없음",""))))</f>
        <v/>
      </c>
      <c r="N495" t="str">
        <f>IF($B495="","",MATCH($B495,'_calc'!$L$2:$L$3001,0))</f>
        <v/>
      </c>
    </row>
    <row r="496">
      <c r="B496" s="24" t="str">
        <f>IF(ROW()-ROW($B$8)&gt;nComp,"",ROW()-ROW($B$8))</f>
        <v/>
      </c>
      <c r="C496" t="str">
        <f>IF($N496="","",INDEX('_calc'!$A$2:$A$3001,$N496))</f>
        <v/>
      </c>
      <c r="D496" s="25" t="str">
        <f>IF($N496="","",INDEX('_calc'!$C$2:$C$3001,$N496))</f>
        <v/>
      </c>
      <c r="E496" s="25" t="str">
        <f>IF($N496="","",INDEX('_calc'!$D$2:$D$3001,$N496))</f>
        <v/>
      </c>
      <c r="F496" s="26" t="str">
        <f>IF($N496="","",IF($E$8=0,"",E496/$E$8))</f>
        <v/>
      </c>
      <c r="G496" s="25" t="str">
        <f>IF($N496="","",INDEX('_calc'!$E$2:$E$3001,$N496))</f>
        <v/>
      </c>
      <c r="H496" s="25" t="str">
        <f>IF($N496="","",INDEX('_calc'!$F$2:$F$3001,$N496))</f>
        <v/>
      </c>
      <c r="I496" s="27" t="str">
        <f>IF($N496="","",INDEX('_calc'!$H$2:$H$3001,$N496))</f>
        <v/>
      </c>
      <c r="J496" s="27" t="str">
        <f>IF($N496="","",INDEX('_calc'!$I$2:$I$3001,$N496))</f>
        <v/>
      </c>
      <c r="K496" s="28" t="str">
        <f>IF($N496="","",IF(OR(I496="",J496=""),"",J496-I496))</f>
        <v/>
      </c>
      <c r="L496" s="29" t="str">
        <f>IF($N496="","",INDEX('_calc'!$J$2:$J$3001,$N496))</f>
        <v/>
      </c>
      <c r="M496" s="2" t="str">
        <f>IF($N496="","",IF(AND(G496=0,H496=0),"수량 없음",IF(G496=0,"신규 (전년 수량 없음)",IF(H496=0,"당해 수량 없음",""))))</f>
        <v/>
      </c>
      <c r="N496" t="str">
        <f>IF($B496="","",MATCH($B496,'_calc'!$L$2:$L$3001,0))</f>
        <v/>
      </c>
    </row>
    <row r="497">
      <c r="B497" s="24" t="str">
        <f>IF(ROW()-ROW($B$8)&gt;nComp,"",ROW()-ROW($B$8))</f>
        <v/>
      </c>
      <c r="C497" t="str">
        <f>IF($N497="","",INDEX('_calc'!$A$2:$A$3001,$N497))</f>
        <v/>
      </c>
      <c r="D497" s="25" t="str">
        <f>IF($N497="","",INDEX('_calc'!$C$2:$C$3001,$N497))</f>
        <v/>
      </c>
      <c r="E497" s="25" t="str">
        <f>IF($N497="","",INDEX('_calc'!$D$2:$D$3001,$N497))</f>
        <v/>
      </c>
      <c r="F497" s="26" t="str">
        <f>IF($N497="","",IF($E$8=0,"",E497/$E$8))</f>
        <v/>
      </c>
      <c r="G497" s="25" t="str">
        <f>IF($N497="","",INDEX('_calc'!$E$2:$E$3001,$N497))</f>
        <v/>
      </c>
      <c r="H497" s="25" t="str">
        <f>IF($N497="","",INDEX('_calc'!$F$2:$F$3001,$N497))</f>
        <v/>
      </c>
      <c r="I497" s="27" t="str">
        <f>IF($N497="","",INDEX('_calc'!$H$2:$H$3001,$N497))</f>
        <v/>
      </c>
      <c r="J497" s="27" t="str">
        <f>IF($N497="","",INDEX('_calc'!$I$2:$I$3001,$N497))</f>
        <v/>
      </c>
      <c r="K497" s="28" t="str">
        <f>IF($N497="","",IF(OR(I497="",J497=""),"",J497-I497))</f>
        <v/>
      </c>
      <c r="L497" s="29" t="str">
        <f>IF($N497="","",INDEX('_calc'!$J$2:$J$3001,$N497))</f>
        <v/>
      </c>
      <c r="M497" s="2" t="str">
        <f>IF($N497="","",IF(AND(G497=0,H497=0),"수량 없음",IF(G497=0,"신규 (전년 수량 없음)",IF(H497=0,"당해 수량 없음",""))))</f>
        <v/>
      </c>
      <c r="N497" t="str">
        <f>IF($B497="","",MATCH($B497,'_calc'!$L$2:$L$3001,0))</f>
        <v/>
      </c>
    </row>
    <row r="498">
      <c r="B498" s="24" t="str">
        <f>IF(ROW()-ROW($B$8)&gt;nComp,"",ROW()-ROW($B$8))</f>
        <v/>
      </c>
      <c r="C498" t="str">
        <f>IF($N498="","",INDEX('_calc'!$A$2:$A$3001,$N498))</f>
        <v/>
      </c>
      <c r="D498" s="25" t="str">
        <f>IF($N498="","",INDEX('_calc'!$C$2:$C$3001,$N498))</f>
        <v/>
      </c>
      <c r="E498" s="25" t="str">
        <f>IF($N498="","",INDEX('_calc'!$D$2:$D$3001,$N498))</f>
        <v/>
      </c>
      <c r="F498" s="26" t="str">
        <f>IF($N498="","",IF($E$8=0,"",E498/$E$8))</f>
        <v/>
      </c>
      <c r="G498" s="25" t="str">
        <f>IF($N498="","",INDEX('_calc'!$E$2:$E$3001,$N498))</f>
        <v/>
      </c>
      <c r="H498" s="25" t="str">
        <f>IF($N498="","",INDEX('_calc'!$F$2:$F$3001,$N498))</f>
        <v/>
      </c>
      <c r="I498" s="27" t="str">
        <f>IF($N498="","",INDEX('_calc'!$H$2:$H$3001,$N498))</f>
        <v/>
      </c>
      <c r="J498" s="27" t="str">
        <f>IF($N498="","",INDEX('_calc'!$I$2:$I$3001,$N498))</f>
        <v/>
      </c>
      <c r="K498" s="28" t="str">
        <f>IF($N498="","",IF(OR(I498="",J498=""),"",J498-I498))</f>
        <v/>
      </c>
      <c r="L498" s="29" t="str">
        <f>IF($N498="","",INDEX('_calc'!$J$2:$J$3001,$N498))</f>
        <v/>
      </c>
      <c r="M498" s="2" t="str">
        <f>IF($N498="","",IF(AND(G498=0,H498=0),"수량 없음",IF(G498=0,"신규 (전년 수량 없음)",IF(H498=0,"당해 수량 없음",""))))</f>
        <v/>
      </c>
      <c r="N498" t="str">
        <f>IF($B498="","",MATCH($B498,'_calc'!$L$2:$L$3001,0))</f>
        <v/>
      </c>
    </row>
    <row r="499">
      <c r="B499" s="24" t="str">
        <f>IF(ROW()-ROW($B$8)&gt;nComp,"",ROW()-ROW($B$8))</f>
        <v/>
      </c>
      <c r="C499" t="str">
        <f>IF($N499="","",INDEX('_calc'!$A$2:$A$3001,$N499))</f>
        <v/>
      </c>
      <c r="D499" s="25" t="str">
        <f>IF($N499="","",INDEX('_calc'!$C$2:$C$3001,$N499))</f>
        <v/>
      </c>
      <c r="E499" s="25" t="str">
        <f>IF($N499="","",INDEX('_calc'!$D$2:$D$3001,$N499))</f>
        <v/>
      </c>
      <c r="F499" s="26" t="str">
        <f>IF($N499="","",IF($E$8=0,"",E499/$E$8))</f>
        <v/>
      </c>
      <c r="G499" s="25" t="str">
        <f>IF($N499="","",INDEX('_calc'!$E$2:$E$3001,$N499))</f>
        <v/>
      </c>
      <c r="H499" s="25" t="str">
        <f>IF($N499="","",INDEX('_calc'!$F$2:$F$3001,$N499))</f>
        <v/>
      </c>
      <c r="I499" s="27" t="str">
        <f>IF($N499="","",INDEX('_calc'!$H$2:$H$3001,$N499))</f>
        <v/>
      </c>
      <c r="J499" s="27" t="str">
        <f>IF($N499="","",INDEX('_calc'!$I$2:$I$3001,$N499))</f>
        <v/>
      </c>
      <c r="K499" s="28" t="str">
        <f>IF($N499="","",IF(OR(I499="",J499=""),"",J499-I499))</f>
        <v/>
      </c>
      <c r="L499" s="29" t="str">
        <f>IF($N499="","",INDEX('_calc'!$J$2:$J$3001,$N499))</f>
        <v/>
      </c>
      <c r="M499" s="2" t="str">
        <f>IF($N499="","",IF(AND(G499=0,H499=0),"수량 없음",IF(G499=0,"신규 (전년 수량 없음)",IF(H499=0,"당해 수량 없음",""))))</f>
        <v/>
      </c>
      <c r="N499" t="str">
        <f>IF($B499="","",MATCH($B499,'_calc'!$L$2:$L$3001,0))</f>
        <v/>
      </c>
    </row>
    <row r="500">
      <c r="B500" s="24" t="str">
        <f>IF(ROW()-ROW($B$8)&gt;nComp,"",ROW()-ROW($B$8))</f>
        <v/>
      </c>
      <c r="C500" t="str">
        <f>IF($N500="","",INDEX('_calc'!$A$2:$A$3001,$N500))</f>
        <v/>
      </c>
      <c r="D500" s="25" t="str">
        <f>IF($N500="","",INDEX('_calc'!$C$2:$C$3001,$N500))</f>
        <v/>
      </c>
      <c r="E500" s="25" t="str">
        <f>IF($N500="","",INDEX('_calc'!$D$2:$D$3001,$N500))</f>
        <v/>
      </c>
      <c r="F500" s="26" t="str">
        <f>IF($N500="","",IF($E$8=0,"",E500/$E$8))</f>
        <v/>
      </c>
      <c r="G500" s="25" t="str">
        <f>IF($N500="","",INDEX('_calc'!$E$2:$E$3001,$N500))</f>
        <v/>
      </c>
      <c r="H500" s="25" t="str">
        <f>IF($N500="","",INDEX('_calc'!$F$2:$F$3001,$N500))</f>
        <v/>
      </c>
      <c r="I500" s="27" t="str">
        <f>IF($N500="","",INDEX('_calc'!$H$2:$H$3001,$N500))</f>
        <v/>
      </c>
      <c r="J500" s="27" t="str">
        <f>IF($N500="","",INDEX('_calc'!$I$2:$I$3001,$N500))</f>
        <v/>
      </c>
      <c r="K500" s="28" t="str">
        <f>IF($N500="","",IF(OR(I500="",J500=""),"",J500-I500))</f>
        <v/>
      </c>
      <c r="L500" s="29" t="str">
        <f>IF($N500="","",INDEX('_calc'!$J$2:$J$3001,$N500))</f>
        <v/>
      </c>
      <c r="M500" s="2" t="str">
        <f>IF($N500="","",IF(AND(G500=0,H500=0),"수량 없음",IF(G500=0,"신규 (전년 수량 없음)",IF(H500=0,"당해 수량 없음",""))))</f>
        <v/>
      </c>
      <c r="N500" t="str">
        <f>IF($B500="","",MATCH($B500,'_calc'!$L$2:$L$3001,0))</f>
        <v/>
      </c>
    </row>
    <row r="501">
      <c r="B501" s="24" t="str">
        <f>IF(ROW()-ROW($B$8)&gt;nComp,"",ROW()-ROW($B$8))</f>
        <v/>
      </c>
      <c r="C501" t="str">
        <f>IF($N501="","",INDEX('_calc'!$A$2:$A$3001,$N501))</f>
        <v/>
      </c>
      <c r="D501" s="25" t="str">
        <f>IF($N501="","",INDEX('_calc'!$C$2:$C$3001,$N501))</f>
        <v/>
      </c>
      <c r="E501" s="25" t="str">
        <f>IF($N501="","",INDEX('_calc'!$D$2:$D$3001,$N501))</f>
        <v/>
      </c>
      <c r="F501" s="26" t="str">
        <f>IF($N501="","",IF($E$8=0,"",E501/$E$8))</f>
        <v/>
      </c>
      <c r="G501" s="25" t="str">
        <f>IF($N501="","",INDEX('_calc'!$E$2:$E$3001,$N501))</f>
        <v/>
      </c>
      <c r="H501" s="25" t="str">
        <f>IF($N501="","",INDEX('_calc'!$F$2:$F$3001,$N501))</f>
        <v/>
      </c>
      <c r="I501" s="27" t="str">
        <f>IF($N501="","",INDEX('_calc'!$H$2:$H$3001,$N501))</f>
        <v/>
      </c>
      <c r="J501" s="27" t="str">
        <f>IF($N501="","",INDEX('_calc'!$I$2:$I$3001,$N501))</f>
        <v/>
      </c>
      <c r="K501" s="28" t="str">
        <f>IF($N501="","",IF(OR(I501="",J501=""),"",J501-I501))</f>
        <v/>
      </c>
      <c r="L501" s="29" t="str">
        <f>IF($N501="","",INDEX('_calc'!$J$2:$J$3001,$N501))</f>
        <v/>
      </c>
      <c r="M501" s="2" t="str">
        <f>IF($N501="","",IF(AND(G501=0,H501=0),"수량 없음",IF(G501=0,"신규 (전년 수량 없음)",IF(H501=0,"당해 수량 없음",""))))</f>
        <v/>
      </c>
      <c r="N501" t="str">
        <f>IF($B501="","",MATCH($B501,'_calc'!$L$2:$L$3001,0))</f>
        <v/>
      </c>
    </row>
    <row r="502">
      <c r="B502" s="24" t="str">
        <f>IF(ROW()-ROW($B$8)&gt;nComp,"",ROW()-ROW($B$8))</f>
        <v/>
      </c>
      <c r="C502" t="str">
        <f>IF($N502="","",INDEX('_calc'!$A$2:$A$3001,$N502))</f>
        <v/>
      </c>
      <c r="D502" s="25" t="str">
        <f>IF($N502="","",INDEX('_calc'!$C$2:$C$3001,$N502))</f>
        <v/>
      </c>
      <c r="E502" s="25" t="str">
        <f>IF($N502="","",INDEX('_calc'!$D$2:$D$3001,$N502))</f>
        <v/>
      </c>
      <c r="F502" s="26" t="str">
        <f>IF($N502="","",IF($E$8=0,"",E502/$E$8))</f>
        <v/>
      </c>
      <c r="G502" s="25" t="str">
        <f>IF($N502="","",INDEX('_calc'!$E$2:$E$3001,$N502))</f>
        <v/>
      </c>
      <c r="H502" s="25" t="str">
        <f>IF($N502="","",INDEX('_calc'!$F$2:$F$3001,$N502))</f>
        <v/>
      </c>
      <c r="I502" s="27" t="str">
        <f>IF($N502="","",INDEX('_calc'!$H$2:$H$3001,$N502))</f>
        <v/>
      </c>
      <c r="J502" s="27" t="str">
        <f>IF($N502="","",INDEX('_calc'!$I$2:$I$3001,$N502))</f>
        <v/>
      </c>
      <c r="K502" s="28" t="str">
        <f>IF($N502="","",IF(OR(I502="",J502=""),"",J502-I502))</f>
        <v/>
      </c>
      <c r="L502" s="29" t="str">
        <f>IF($N502="","",INDEX('_calc'!$J$2:$J$3001,$N502))</f>
        <v/>
      </c>
      <c r="M502" s="2" t="str">
        <f>IF($N502="","",IF(AND(G502=0,H502=0),"수량 없음",IF(G502=0,"신규 (전년 수량 없음)",IF(H502=0,"당해 수량 없음",""))))</f>
        <v/>
      </c>
      <c r="N502" t="str">
        <f>IF($B502="","",MATCH($B502,'_calc'!$L$2:$L$3001,0))</f>
        <v/>
      </c>
    </row>
    <row r="503">
      <c r="B503" s="24" t="str">
        <f>IF(ROW()-ROW($B$8)&gt;nComp,"",ROW()-ROW($B$8))</f>
        <v/>
      </c>
      <c r="C503" t="str">
        <f>IF($N503="","",INDEX('_calc'!$A$2:$A$3001,$N503))</f>
        <v/>
      </c>
      <c r="D503" s="25" t="str">
        <f>IF($N503="","",INDEX('_calc'!$C$2:$C$3001,$N503))</f>
        <v/>
      </c>
      <c r="E503" s="25" t="str">
        <f>IF($N503="","",INDEX('_calc'!$D$2:$D$3001,$N503))</f>
        <v/>
      </c>
      <c r="F503" s="26" t="str">
        <f>IF($N503="","",IF($E$8=0,"",E503/$E$8))</f>
        <v/>
      </c>
      <c r="G503" s="25" t="str">
        <f>IF($N503="","",INDEX('_calc'!$E$2:$E$3001,$N503))</f>
        <v/>
      </c>
      <c r="H503" s="25" t="str">
        <f>IF($N503="","",INDEX('_calc'!$F$2:$F$3001,$N503))</f>
        <v/>
      </c>
      <c r="I503" s="27" t="str">
        <f>IF($N503="","",INDEX('_calc'!$H$2:$H$3001,$N503))</f>
        <v/>
      </c>
      <c r="J503" s="27" t="str">
        <f>IF($N503="","",INDEX('_calc'!$I$2:$I$3001,$N503))</f>
        <v/>
      </c>
      <c r="K503" s="28" t="str">
        <f>IF($N503="","",IF(OR(I503="",J503=""),"",J503-I503))</f>
        <v/>
      </c>
      <c r="L503" s="29" t="str">
        <f>IF($N503="","",INDEX('_calc'!$J$2:$J$3001,$N503))</f>
        <v/>
      </c>
      <c r="M503" s="2" t="str">
        <f>IF($N503="","",IF(AND(G503=0,H503=0),"수량 없음",IF(G503=0,"신규 (전년 수량 없음)",IF(H503=0,"당해 수량 없음",""))))</f>
        <v/>
      </c>
      <c r="N503" t="str">
        <f>IF($B503="","",MATCH($B503,'_calc'!$L$2:$L$3001,0))</f>
        <v/>
      </c>
    </row>
    <row r="504">
      <c r="B504" s="24" t="str">
        <f>IF(ROW()-ROW($B$8)&gt;nComp,"",ROW()-ROW($B$8))</f>
        <v/>
      </c>
      <c r="C504" t="str">
        <f>IF($N504="","",INDEX('_calc'!$A$2:$A$3001,$N504))</f>
        <v/>
      </c>
      <c r="D504" s="25" t="str">
        <f>IF($N504="","",INDEX('_calc'!$C$2:$C$3001,$N504))</f>
        <v/>
      </c>
      <c r="E504" s="25" t="str">
        <f>IF($N504="","",INDEX('_calc'!$D$2:$D$3001,$N504))</f>
        <v/>
      </c>
      <c r="F504" s="26" t="str">
        <f>IF($N504="","",IF($E$8=0,"",E504/$E$8))</f>
        <v/>
      </c>
      <c r="G504" s="25" t="str">
        <f>IF($N504="","",INDEX('_calc'!$E$2:$E$3001,$N504))</f>
        <v/>
      </c>
      <c r="H504" s="25" t="str">
        <f>IF($N504="","",INDEX('_calc'!$F$2:$F$3001,$N504))</f>
        <v/>
      </c>
      <c r="I504" s="27" t="str">
        <f>IF($N504="","",INDEX('_calc'!$H$2:$H$3001,$N504))</f>
        <v/>
      </c>
      <c r="J504" s="27" t="str">
        <f>IF($N504="","",INDEX('_calc'!$I$2:$I$3001,$N504))</f>
        <v/>
      </c>
      <c r="K504" s="28" t="str">
        <f>IF($N504="","",IF(OR(I504="",J504=""),"",J504-I504))</f>
        <v/>
      </c>
      <c r="L504" s="29" t="str">
        <f>IF($N504="","",INDEX('_calc'!$J$2:$J$3001,$N504))</f>
        <v/>
      </c>
      <c r="M504" s="2" t="str">
        <f>IF($N504="","",IF(AND(G504=0,H504=0),"수량 없음",IF(G504=0,"신규 (전년 수량 없음)",IF(H504=0,"당해 수량 없음",""))))</f>
        <v/>
      </c>
      <c r="N504" t="str">
        <f>IF($B504="","",MATCH($B504,'_calc'!$L$2:$L$3001,0))</f>
        <v/>
      </c>
    </row>
    <row r="505">
      <c r="B505" s="24" t="str">
        <f>IF(ROW()-ROW($B$8)&gt;nComp,"",ROW()-ROW($B$8))</f>
        <v/>
      </c>
      <c r="C505" t="str">
        <f>IF($N505="","",INDEX('_calc'!$A$2:$A$3001,$N505))</f>
        <v/>
      </c>
      <c r="D505" s="25" t="str">
        <f>IF($N505="","",INDEX('_calc'!$C$2:$C$3001,$N505))</f>
        <v/>
      </c>
      <c r="E505" s="25" t="str">
        <f>IF($N505="","",INDEX('_calc'!$D$2:$D$3001,$N505))</f>
        <v/>
      </c>
      <c r="F505" s="26" t="str">
        <f>IF($N505="","",IF($E$8=0,"",E505/$E$8))</f>
        <v/>
      </c>
      <c r="G505" s="25" t="str">
        <f>IF($N505="","",INDEX('_calc'!$E$2:$E$3001,$N505))</f>
        <v/>
      </c>
      <c r="H505" s="25" t="str">
        <f>IF($N505="","",INDEX('_calc'!$F$2:$F$3001,$N505))</f>
        <v/>
      </c>
      <c r="I505" s="27" t="str">
        <f>IF($N505="","",INDEX('_calc'!$H$2:$H$3001,$N505))</f>
        <v/>
      </c>
      <c r="J505" s="27" t="str">
        <f>IF($N505="","",INDEX('_calc'!$I$2:$I$3001,$N505))</f>
        <v/>
      </c>
      <c r="K505" s="28" t="str">
        <f>IF($N505="","",IF(OR(I505="",J505=""),"",J505-I505))</f>
        <v/>
      </c>
      <c r="L505" s="29" t="str">
        <f>IF($N505="","",INDEX('_calc'!$J$2:$J$3001,$N505))</f>
        <v/>
      </c>
      <c r="M505" s="2" t="str">
        <f>IF($N505="","",IF(AND(G505=0,H505=0),"수량 없음",IF(G505=0,"신규 (전년 수량 없음)",IF(H505=0,"당해 수량 없음",""))))</f>
        <v/>
      </c>
      <c r="N505" t="str">
        <f>IF($B505="","",MATCH($B505,'_calc'!$L$2:$L$3001,0))</f>
        <v/>
      </c>
    </row>
    <row r="506">
      <c r="B506" s="24" t="str">
        <f>IF(ROW()-ROW($B$8)&gt;nComp,"",ROW()-ROW($B$8))</f>
        <v/>
      </c>
      <c r="C506" t="str">
        <f>IF($N506="","",INDEX('_calc'!$A$2:$A$3001,$N506))</f>
        <v/>
      </c>
      <c r="D506" s="25" t="str">
        <f>IF($N506="","",INDEX('_calc'!$C$2:$C$3001,$N506))</f>
        <v/>
      </c>
      <c r="E506" s="25" t="str">
        <f>IF($N506="","",INDEX('_calc'!$D$2:$D$3001,$N506))</f>
        <v/>
      </c>
      <c r="F506" s="26" t="str">
        <f>IF($N506="","",IF($E$8=0,"",E506/$E$8))</f>
        <v/>
      </c>
      <c r="G506" s="25" t="str">
        <f>IF($N506="","",INDEX('_calc'!$E$2:$E$3001,$N506))</f>
        <v/>
      </c>
      <c r="H506" s="25" t="str">
        <f>IF($N506="","",INDEX('_calc'!$F$2:$F$3001,$N506))</f>
        <v/>
      </c>
      <c r="I506" s="27" t="str">
        <f>IF($N506="","",INDEX('_calc'!$H$2:$H$3001,$N506))</f>
        <v/>
      </c>
      <c r="J506" s="27" t="str">
        <f>IF($N506="","",INDEX('_calc'!$I$2:$I$3001,$N506))</f>
        <v/>
      </c>
      <c r="K506" s="28" t="str">
        <f>IF($N506="","",IF(OR(I506="",J506=""),"",J506-I506))</f>
        <v/>
      </c>
      <c r="L506" s="29" t="str">
        <f>IF($N506="","",INDEX('_calc'!$J$2:$J$3001,$N506))</f>
        <v/>
      </c>
      <c r="M506" s="2" t="str">
        <f>IF($N506="","",IF(AND(G506=0,H506=0),"수량 없음",IF(G506=0,"신규 (전년 수량 없음)",IF(H506=0,"당해 수량 없음",""))))</f>
        <v/>
      </c>
      <c r="N506" t="str">
        <f>IF($B506="","",MATCH($B506,'_calc'!$L$2:$L$3001,0))</f>
        <v/>
      </c>
    </row>
    <row r="507">
      <c r="B507" s="24" t="str">
        <f>IF(ROW()-ROW($B$8)&gt;nComp,"",ROW()-ROW($B$8))</f>
        <v/>
      </c>
      <c r="C507" t="str">
        <f>IF($N507="","",INDEX('_calc'!$A$2:$A$3001,$N507))</f>
        <v/>
      </c>
      <c r="D507" s="25" t="str">
        <f>IF($N507="","",INDEX('_calc'!$C$2:$C$3001,$N507))</f>
        <v/>
      </c>
      <c r="E507" s="25" t="str">
        <f>IF($N507="","",INDEX('_calc'!$D$2:$D$3001,$N507))</f>
        <v/>
      </c>
      <c r="F507" s="26" t="str">
        <f>IF($N507="","",IF($E$8=0,"",E507/$E$8))</f>
        <v/>
      </c>
      <c r="G507" s="25" t="str">
        <f>IF($N507="","",INDEX('_calc'!$E$2:$E$3001,$N507))</f>
        <v/>
      </c>
      <c r="H507" s="25" t="str">
        <f>IF($N507="","",INDEX('_calc'!$F$2:$F$3001,$N507))</f>
        <v/>
      </c>
      <c r="I507" s="27" t="str">
        <f>IF($N507="","",INDEX('_calc'!$H$2:$H$3001,$N507))</f>
        <v/>
      </c>
      <c r="J507" s="27" t="str">
        <f>IF($N507="","",INDEX('_calc'!$I$2:$I$3001,$N507))</f>
        <v/>
      </c>
      <c r="K507" s="28" t="str">
        <f>IF($N507="","",IF(OR(I507="",J507=""),"",J507-I507))</f>
        <v/>
      </c>
      <c r="L507" s="29" t="str">
        <f>IF($N507="","",INDEX('_calc'!$J$2:$J$3001,$N507))</f>
        <v/>
      </c>
      <c r="M507" s="2" t="str">
        <f>IF($N507="","",IF(AND(G507=0,H507=0),"수량 없음",IF(G507=0,"신규 (전년 수량 없음)",IF(H507=0,"당해 수량 없음",""))))</f>
        <v/>
      </c>
      <c r="N507" t="str">
        <f>IF($B507="","",MATCH($B507,'_calc'!$L$2:$L$3001,0))</f>
        <v/>
      </c>
    </row>
    <row r="508">
      <c r="B508" s="24" t="str">
        <f>IF(ROW()-ROW($B$8)&gt;nComp,"",ROW()-ROW($B$8))</f>
        <v/>
      </c>
      <c r="C508" t="str">
        <f>IF($N508="","",INDEX('_calc'!$A$2:$A$3001,$N508))</f>
        <v/>
      </c>
      <c r="D508" s="25" t="str">
        <f>IF($N508="","",INDEX('_calc'!$C$2:$C$3001,$N508))</f>
        <v/>
      </c>
      <c r="E508" s="25" t="str">
        <f>IF($N508="","",INDEX('_calc'!$D$2:$D$3001,$N508))</f>
        <v/>
      </c>
      <c r="F508" s="26" t="str">
        <f>IF($N508="","",IF($E$8=0,"",E508/$E$8))</f>
        <v/>
      </c>
      <c r="G508" s="25" t="str">
        <f>IF($N508="","",INDEX('_calc'!$E$2:$E$3001,$N508))</f>
        <v/>
      </c>
      <c r="H508" s="25" t="str">
        <f>IF($N508="","",INDEX('_calc'!$F$2:$F$3001,$N508))</f>
        <v/>
      </c>
      <c r="I508" s="27" t="str">
        <f>IF($N508="","",INDEX('_calc'!$H$2:$H$3001,$N508))</f>
        <v/>
      </c>
      <c r="J508" s="27" t="str">
        <f>IF($N508="","",INDEX('_calc'!$I$2:$I$3001,$N508))</f>
        <v/>
      </c>
      <c r="K508" s="28" t="str">
        <f>IF($N508="","",IF(OR(I508="",J508=""),"",J508-I508))</f>
        <v/>
      </c>
      <c r="L508" s="29" t="str">
        <f>IF($N508="","",INDEX('_calc'!$J$2:$J$3001,$N508))</f>
        <v/>
      </c>
      <c r="M508" s="2" t="str">
        <f>IF($N508="","",IF(AND(G508=0,H508=0),"수량 없음",IF(G508=0,"신규 (전년 수량 없음)",IF(H508=0,"당해 수량 없음",""))))</f>
        <v/>
      </c>
      <c r="N508" t="str">
        <f>IF($B508="","",MATCH($B508,'_calc'!$L$2:$L$3001,0))</f>
        <v/>
      </c>
    </row>
    <row r="509">
      <c r="B509" s="24" t="str">
        <f>IF(ROW()-ROW($B$8)&gt;nComp,"",ROW()-ROW($B$8))</f>
        <v/>
      </c>
      <c r="C509" t="str">
        <f>IF($N509="","",INDEX('_calc'!$A$2:$A$3001,$N509))</f>
        <v/>
      </c>
      <c r="D509" s="25" t="str">
        <f>IF($N509="","",INDEX('_calc'!$C$2:$C$3001,$N509))</f>
        <v/>
      </c>
      <c r="E509" s="25" t="str">
        <f>IF($N509="","",INDEX('_calc'!$D$2:$D$3001,$N509))</f>
        <v/>
      </c>
      <c r="F509" s="26" t="str">
        <f>IF($N509="","",IF($E$8=0,"",E509/$E$8))</f>
        <v/>
      </c>
      <c r="G509" s="25" t="str">
        <f>IF($N509="","",INDEX('_calc'!$E$2:$E$3001,$N509))</f>
        <v/>
      </c>
      <c r="H509" s="25" t="str">
        <f>IF($N509="","",INDEX('_calc'!$F$2:$F$3001,$N509))</f>
        <v/>
      </c>
      <c r="I509" s="27" t="str">
        <f>IF($N509="","",INDEX('_calc'!$H$2:$H$3001,$N509))</f>
        <v/>
      </c>
      <c r="J509" s="27" t="str">
        <f>IF($N509="","",INDEX('_calc'!$I$2:$I$3001,$N509))</f>
        <v/>
      </c>
      <c r="K509" s="28" t="str">
        <f>IF($N509="","",IF(OR(I509="",J509=""),"",J509-I509))</f>
        <v/>
      </c>
      <c r="L509" s="29" t="str">
        <f>IF($N509="","",INDEX('_calc'!$J$2:$J$3001,$N509))</f>
        <v/>
      </c>
      <c r="M509" s="2" t="str">
        <f>IF($N509="","",IF(AND(G509=0,H509=0),"수량 없음",IF(G509=0,"신규 (전년 수량 없음)",IF(H509=0,"당해 수량 없음",""))))</f>
        <v/>
      </c>
      <c r="N509" t="str">
        <f>IF($B509="","",MATCH($B509,'_calc'!$L$2:$L$3001,0))</f>
        <v/>
      </c>
    </row>
    <row r="510">
      <c r="B510" s="24" t="str">
        <f>IF(ROW()-ROW($B$8)&gt;nComp,"",ROW()-ROW($B$8))</f>
        <v/>
      </c>
      <c r="C510" t="str">
        <f>IF($N510="","",INDEX('_calc'!$A$2:$A$3001,$N510))</f>
        <v/>
      </c>
      <c r="D510" s="25" t="str">
        <f>IF($N510="","",INDEX('_calc'!$C$2:$C$3001,$N510))</f>
        <v/>
      </c>
      <c r="E510" s="25" t="str">
        <f>IF($N510="","",INDEX('_calc'!$D$2:$D$3001,$N510))</f>
        <v/>
      </c>
      <c r="F510" s="26" t="str">
        <f>IF($N510="","",IF($E$8=0,"",E510/$E$8))</f>
        <v/>
      </c>
      <c r="G510" s="25" t="str">
        <f>IF($N510="","",INDEX('_calc'!$E$2:$E$3001,$N510))</f>
        <v/>
      </c>
      <c r="H510" s="25" t="str">
        <f>IF($N510="","",INDEX('_calc'!$F$2:$F$3001,$N510))</f>
        <v/>
      </c>
      <c r="I510" s="27" t="str">
        <f>IF($N510="","",INDEX('_calc'!$H$2:$H$3001,$N510))</f>
        <v/>
      </c>
      <c r="J510" s="27" t="str">
        <f>IF($N510="","",INDEX('_calc'!$I$2:$I$3001,$N510))</f>
        <v/>
      </c>
      <c r="K510" s="28" t="str">
        <f>IF($N510="","",IF(OR(I510="",J510=""),"",J510-I510))</f>
        <v/>
      </c>
      <c r="L510" s="29" t="str">
        <f>IF($N510="","",INDEX('_calc'!$J$2:$J$3001,$N510))</f>
        <v/>
      </c>
      <c r="M510" s="2" t="str">
        <f>IF($N510="","",IF(AND(G510=0,H510=0),"수량 없음",IF(G510=0,"신규 (전년 수량 없음)",IF(H510=0,"당해 수량 없음",""))))</f>
        <v/>
      </c>
      <c r="N510" t="str">
        <f>IF($B510="","",MATCH($B510,'_calc'!$L$2:$L$3001,0))</f>
        <v/>
      </c>
    </row>
    <row r="511">
      <c r="B511" s="24" t="str">
        <f>IF(ROW()-ROW($B$8)&gt;nComp,"",ROW()-ROW($B$8))</f>
        <v/>
      </c>
      <c r="C511" t="str">
        <f>IF($N511="","",INDEX('_calc'!$A$2:$A$3001,$N511))</f>
        <v/>
      </c>
      <c r="D511" s="25" t="str">
        <f>IF($N511="","",INDEX('_calc'!$C$2:$C$3001,$N511))</f>
        <v/>
      </c>
      <c r="E511" s="25" t="str">
        <f>IF($N511="","",INDEX('_calc'!$D$2:$D$3001,$N511))</f>
        <v/>
      </c>
      <c r="F511" s="26" t="str">
        <f>IF($N511="","",IF($E$8=0,"",E511/$E$8))</f>
        <v/>
      </c>
      <c r="G511" s="25" t="str">
        <f>IF($N511="","",INDEX('_calc'!$E$2:$E$3001,$N511))</f>
        <v/>
      </c>
      <c r="H511" s="25" t="str">
        <f>IF($N511="","",INDEX('_calc'!$F$2:$F$3001,$N511))</f>
        <v/>
      </c>
      <c r="I511" s="27" t="str">
        <f>IF($N511="","",INDEX('_calc'!$H$2:$H$3001,$N511))</f>
        <v/>
      </c>
      <c r="J511" s="27" t="str">
        <f>IF($N511="","",INDEX('_calc'!$I$2:$I$3001,$N511))</f>
        <v/>
      </c>
      <c r="K511" s="28" t="str">
        <f>IF($N511="","",IF(OR(I511="",J511=""),"",J511-I511))</f>
        <v/>
      </c>
      <c r="L511" s="29" t="str">
        <f>IF($N511="","",INDEX('_calc'!$J$2:$J$3001,$N511))</f>
        <v/>
      </c>
      <c r="M511" s="2" t="str">
        <f>IF($N511="","",IF(AND(G511=0,H511=0),"수량 없음",IF(G511=0,"신규 (전년 수량 없음)",IF(H511=0,"당해 수량 없음",""))))</f>
        <v/>
      </c>
      <c r="N511" t="str">
        <f>IF($B511="","",MATCH($B511,'_calc'!$L$2:$L$3001,0))</f>
        <v/>
      </c>
    </row>
    <row r="512">
      <c r="B512" s="24" t="str">
        <f>IF(ROW()-ROW($B$8)&gt;nComp,"",ROW()-ROW($B$8))</f>
        <v/>
      </c>
      <c r="C512" t="str">
        <f>IF($N512="","",INDEX('_calc'!$A$2:$A$3001,$N512))</f>
        <v/>
      </c>
      <c r="D512" s="25" t="str">
        <f>IF($N512="","",INDEX('_calc'!$C$2:$C$3001,$N512))</f>
        <v/>
      </c>
      <c r="E512" s="25" t="str">
        <f>IF($N512="","",INDEX('_calc'!$D$2:$D$3001,$N512))</f>
        <v/>
      </c>
      <c r="F512" s="26" t="str">
        <f>IF($N512="","",IF($E$8=0,"",E512/$E$8))</f>
        <v/>
      </c>
      <c r="G512" s="25" t="str">
        <f>IF($N512="","",INDEX('_calc'!$E$2:$E$3001,$N512))</f>
        <v/>
      </c>
      <c r="H512" s="25" t="str">
        <f>IF($N512="","",INDEX('_calc'!$F$2:$F$3001,$N512))</f>
        <v/>
      </c>
      <c r="I512" s="27" t="str">
        <f>IF($N512="","",INDEX('_calc'!$H$2:$H$3001,$N512))</f>
        <v/>
      </c>
      <c r="J512" s="27" t="str">
        <f>IF($N512="","",INDEX('_calc'!$I$2:$I$3001,$N512))</f>
        <v/>
      </c>
      <c r="K512" s="28" t="str">
        <f>IF($N512="","",IF(OR(I512="",J512=""),"",J512-I512))</f>
        <v/>
      </c>
      <c r="L512" s="29" t="str">
        <f>IF($N512="","",INDEX('_calc'!$J$2:$J$3001,$N512))</f>
        <v/>
      </c>
      <c r="M512" s="2" t="str">
        <f>IF($N512="","",IF(AND(G512=0,H512=0),"수량 없음",IF(G512=0,"신규 (전년 수량 없음)",IF(H512=0,"당해 수량 없음",""))))</f>
        <v/>
      </c>
      <c r="N512" t="str">
        <f>IF($B512="","",MATCH($B512,'_calc'!$L$2:$L$3001,0))</f>
        <v/>
      </c>
    </row>
    <row r="513">
      <c r="B513" s="24" t="str">
        <f>IF(ROW()-ROW($B$8)&gt;nComp,"",ROW()-ROW($B$8))</f>
        <v/>
      </c>
      <c r="C513" t="str">
        <f>IF($N513="","",INDEX('_calc'!$A$2:$A$3001,$N513))</f>
        <v/>
      </c>
      <c r="D513" s="25" t="str">
        <f>IF($N513="","",INDEX('_calc'!$C$2:$C$3001,$N513))</f>
        <v/>
      </c>
      <c r="E513" s="25" t="str">
        <f>IF($N513="","",INDEX('_calc'!$D$2:$D$3001,$N513))</f>
        <v/>
      </c>
      <c r="F513" s="26" t="str">
        <f>IF($N513="","",IF($E$8=0,"",E513/$E$8))</f>
        <v/>
      </c>
      <c r="G513" s="25" t="str">
        <f>IF($N513="","",INDEX('_calc'!$E$2:$E$3001,$N513))</f>
        <v/>
      </c>
      <c r="H513" s="25" t="str">
        <f>IF($N513="","",INDEX('_calc'!$F$2:$F$3001,$N513))</f>
        <v/>
      </c>
      <c r="I513" s="27" t="str">
        <f>IF($N513="","",INDEX('_calc'!$H$2:$H$3001,$N513))</f>
        <v/>
      </c>
      <c r="J513" s="27" t="str">
        <f>IF($N513="","",INDEX('_calc'!$I$2:$I$3001,$N513))</f>
        <v/>
      </c>
      <c r="K513" s="28" t="str">
        <f>IF($N513="","",IF(OR(I513="",J513=""),"",J513-I513))</f>
        <v/>
      </c>
      <c r="L513" s="29" t="str">
        <f>IF($N513="","",INDEX('_calc'!$J$2:$J$3001,$N513))</f>
        <v/>
      </c>
      <c r="M513" s="2" t="str">
        <f>IF($N513="","",IF(AND(G513=0,H513=0),"수량 없음",IF(G513=0,"신규 (전년 수량 없음)",IF(H513=0,"당해 수량 없음",""))))</f>
        <v/>
      </c>
      <c r="N513" t="str">
        <f>IF($B513="","",MATCH($B513,'_calc'!$L$2:$L$3001,0))</f>
        <v/>
      </c>
    </row>
    <row r="514">
      <c r="B514" s="24" t="str">
        <f>IF(ROW()-ROW($B$8)&gt;nComp,"",ROW()-ROW($B$8))</f>
        <v/>
      </c>
      <c r="C514" t="str">
        <f>IF($N514="","",INDEX('_calc'!$A$2:$A$3001,$N514))</f>
        <v/>
      </c>
      <c r="D514" s="25" t="str">
        <f>IF($N514="","",INDEX('_calc'!$C$2:$C$3001,$N514))</f>
        <v/>
      </c>
      <c r="E514" s="25" t="str">
        <f>IF($N514="","",INDEX('_calc'!$D$2:$D$3001,$N514))</f>
        <v/>
      </c>
      <c r="F514" s="26" t="str">
        <f>IF($N514="","",IF($E$8=0,"",E514/$E$8))</f>
        <v/>
      </c>
      <c r="G514" s="25" t="str">
        <f>IF($N514="","",INDEX('_calc'!$E$2:$E$3001,$N514))</f>
        <v/>
      </c>
      <c r="H514" s="25" t="str">
        <f>IF($N514="","",INDEX('_calc'!$F$2:$F$3001,$N514))</f>
        <v/>
      </c>
      <c r="I514" s="27" t="str">
        <f>IF($N514="","",INDEX('_calc'!$H$2:$H$3001,$N514))</f>
        <v/>
      </c>
      <c r="J514" s="27" t="str">
        <f>IF($N514="","",INDEX('_calc'!$I$2:$I$3001,$N514))</f>
        <v/>
      </c>
      <c r="K514" s="28" t="str">
        <f>IF($N514="","",IF(OR(I514="",J514=""),"",J514-I514))</f>
        <v/>
      </c>
      <c r="L514" s="29" t="str">
        <f>IF($N514="","",INDEX('_calc'!$J$2:$J$3001,$N514))</f>
        <v/>
      </c>
      <c r="M514" s="2" t="str">
        <f>IF($N514="","",IF(AND(G514=0,H514=0),"수량 없음",IF(G514=0,"신규 (전년 수량 없음)",IF(H514=0,"당해 수량 없음",""))))</f>
        <v/>
      </c>
      <c r="N514" t="str">
        <f>IF($B514="","",MATCH($B514,'_calc'!$L$2:$L$3001,0))</f>
        <v/>
      </c>
    </row>
    <row r="515">
      <c r="B515" s="24" t="str">
        <f>IF(ROW()-ROW($B$8)&gt;nComp,"",ROW()-ROW($B$8))</f>
        <v/>
      </c>
      <c r="C515" t="str">
        <f>IF($N515="","",INDEX('_calc'!$A$2:$A$3001,$N515))</f>
        <v/>
      </c>
      <c r="D515" s="25" t="str">
        <f>IF($N515="","",INDEX('_calc'!$C$2:$C$3001,$N515))</f>
        <v/>
      </c>
      <c r="E515" s="25" t="str">
        <f>IF($N515="","",INDEX('_calc'!$D$2:$D$3001,$N515))</f>
        <v/>
      </c>
      <c r="F515" s="26" t="str">
        <f>IF($N515="","",IF($E$8=0,"",E515/$E$8))</f>
        <v/>
      </c>
      <c r="G515" s="25" t="str">
        <f>IF($N515="","",INDEX('_calc'!$E$2:$E$3001,$N515))</f>
        <v/>
      </c>
      <c r="H515" s="25" t="str">
        <f>IF($N515="","",INDEX('_calc'!$F$2:$F$3001,$N515))</f>
        <v/>
      </c>
      <c r="I515" s="27" t="str">
        <f>IF($N515="","",INDEX('_calc'!$H$2:$H$3001,$N515))</f>
        <v/>
      </c>
      <c r="J515" s="27" t="str">
        <f>IF($N515="","",INDEX('_calc'!$I$2:$I$3001,$N515))</f>
        <v/>
      </c>
      <c r="K515" s="28" t="str">
        <f>IF($N515="","",IF(OR(I515="",J515=""),"",J515-I515))</f>
        <v/>
      </c>
      <c r="L515" s="29" t="str">
        <f>IF($N515="","",INDEX('_calc'!$J$2:$J$3001,$N515))</f>
        <v/>
      </c>
      <c r="M515" s="2" t="str">
        <f>IF($N515="","",IF(AND(G515=0,H515=0),"수량 없음",IF(G515=0,"신규 (전년 수량 없음)",IF(H515=0,"당해 수량 없음",""))))</f>
        <v/>
      </c>
      <c r="N515" t="str">
        <f>IF($B515="","",MATCH($B515,'_calc'!$L$2:$L$3001,0))</f>
        <v/>
      </c>
    </row>
    <row r="516">
      <c r="B516" s="24" t="str">
        <f>IF(ROW()-ROW($B$8)&gt;nComp,"",ROW()-ROW($B$8))</f>
        <v/>
      </c>
      <c r="C516" t="str">
        <f>IF($N516="","",INDEX('_calc'!$A$2:$A$3001,$N516))</f>
        <v/>
      </c>
      <c r="D516" s="25" t="str">
        <f>IF($N516="","",INDEX('_calc'!$C$2:$C$3001,$N516))</f>
        <v/>
      </c>
      <c r="E516" s="25" t="str">
        <f>IF($N516="","",INDEX('_calc'!$D$2:$D$3001,$N516))</f>
        <v/>
      </c>
      <c r="F516" s="26" t="str">
        <f>IF($N516="","",IF($E$8=0,"",E516/$E$8))</f>
        <v/>
      </c>
      <c r="G516" s="25" t="str">
        <f>IF($N516="","",INDEX('_calc'!$E$2:$E$3001,$N516))</f>
        <v/>
      </c>
      <c r="H516" s="25" t="str">
        <f>IF($N516="","",INDEX('_calc'!$F$2:$F$3001,$N516))</f>
        <v/>
      </c>
      <c r="I516" s="27" t="str">
        <f>IF($N516="","",INDEX('_calc'!$H$2:$H$3001,$N516))</f>
        <v/>
      </c>
      <c r="J516" s="27" t="str">
        <f>IF($N516="","",INDEX('_calc'!$I$2:$I$3001,$N516))</f>
        <v/>
      </c>
      <c r="K516" s="28" t="str">
        <f>IF($N516="","",IF(OR(I516="",J516=""),"",J516-I516))</f>
        <v/>
      </c>
      <c r="L516" s="29" t="str">
        <f>IF($N516="","",INDEX('_calc'!$J$2:$J$3001,$N516))</f>
        <v/>
      </c>
      <c r="M516" s="2" t="str">
        <f>IF($N516="","",IF(AND(G516=0,H516=0),"수량 없음",IF(G516=0,"신규 (전년 수량 없음)",IF(H516=0,"당해 수량 없음",""))))</f>
        <v/>
      </c>
      <c r="N516" t="str">
        <f>IF($B516="","",MATCH($B516,'_calc'!$L$2:$L$3001,0))</f>
        <v/>
      </c>
    </row>
    <row r="517">
      <c r="B517" s="24" t="str">
        <f>IF(ROW()-ROW($B$8)&gt;nComp,"",ROW()-ROW($B$8))</f>
        <v/>
      </c>
      <c r="C517" t="str">
        <f>IF($N517="","",INDEX('_calc'!$A$2:$A$3001,$N517))</f>
        <v/>
      </c>
      <c r="D517" s="25" t="str">
        <f>IF($N517="","",INDEX('_calc'!$C$2:$C$3001,$N517))</f>
        <v/>
      </c>
      <c r="E517" s="25" t="str">
        <f>IF($N517="","",INDEX('_calc'!$D$2:$D$3001,$N517))</f>
        <v/>
      </c>
      <c r="F517" s="26" t="str">
        <f>IF($N517="","",IF($E$8=0,"",E517/$E$8))</f>
        <v/>
      </c>
      <c r="G517" s="25" t="str">
        <f>IF($N517="","",INDEX('_calc'!$E$2:$E$3001,$N517))</f>
        <v/>
      </c>
      <c r="H517" s="25" t="str">
        <f>IF($N517="","",INDEX('_calc'!$F$2:$F$3001,$N517))</f>
        <v/>
      </c>
      <c r="I517" s="27" t="str">
        <f>IF($N517="","",INDEX('_calc'!$H$2:$H$3001,$N517))</f>
        <v/>
      </c>
      <c r="J517" s="27" t="str">
        <f>IF($N517="","",INDEX('_calc'!$I$2:$I$3001,$N517))</f>
        <v/>
      </c>
      <c r="K517" s="28" t="str">
        <f>IF($N517="","",IF(OR(I517="",J517=""),"",J517-I517))</f>
        <v/>
      </c>
      <c r="L517" s="29" t="str">
        <f>IF($N517="","",INDEX('_calc'!$J$2:$J$3001,$N517))</f>
        <v/>
      </c>
      <c r="M517" s="2" t="str">
        <f>IF($N517="","",IF(AND(G517=0,H517=0),"수량 없음",IF(G517=0,"신규 (전년 수량 없음)",IF(H517=0,"당해 수량 없음",""))))</f>
        <v/>
      </c>
      <c r="N517" t="str">
        <f>IF($B517="","",MATCH($B517,'_calc'!$L$2:$L$3001,0))</f>
        <v/>
      </c>
    </row>
    <row r="518">
      <c r="B518" s="24" t="str">
        <f>IF(ROW()-ROW($B$8)&gt;nComp,"",ROW()-ROW($B$8))</f>
        <v/>
      </c>
      <c r="C518" t="str">
        <f>IF($N518="","",INDEX('_calc'!$A$2:$A$3001,$N518))</f>
        <v/>
      </c>
      <c r="D518" s="25" t="str">
        <f>IF($N518="","",INDEX('_calc'!$C$2:$C$3001,$N518))</f>
        <v/>
      </c>
      <c r="E518" s="25" t="str">
        <f>IF($N518="","",INDEX('_calc'!$D$2:$D$3001,$N518))</f>
        <v/>
      </c>
      <c r="F518" s="26" t="str">
        <f>IF($N518="","",IF($E$8=0,"",E518/$E$8))</f>
        <v/>
      </c>
      <c r="G518" s="25" t="str">
        <f>IF($N518="","",INDEX('_calc'!$E$2:$E$3001,$N518))</f>
        <v/>
      </c>
      <c r="H518" s="25" t="str">
        <f>IF($N518="","",INDEX('_calc'!$F$2:$F$3001,$N518))</f>
        <v/>
      </c>
      <c r="I518" s="27" t="str">
        <f>IF($N518="","",INDEX('_calc'!$H$2:$H$3001,$N518))</f>
        <v/>
      </c>
      <c r="J518" s="27" t="str">
        <f>IF($N518="","",INDEX('_calc'!$I$2:$I$3001,$N518))</f>
        <v/>
      </c>
      <c r="K518" s="28" t="str">
        <f>IF($N518="","",IF(OR(I518="",J518=""),"",J518-I518))</f>
        <v/>
      </c>
      <c r="L518" s="29" t="str">
        <f>IF($N518="","",INDEX('_calc'!$J$2:$J$3001,$N518))</f>
        <v/>
      </c>
      <c r="M518" s="2" t="str">
        <f>IF($N518="","",IF(AND(G518=0,H518=0),"수량 없음",IF(G518=0,"신규 (전년 수량 없음)",IF(H518=0,"당해 수량 없음",""))))</f>
        <v/>
      </c>
      <c r="N518" t="str">
        <f>IF($B518="","",MATCH($B518,'_calc'!$L$2:$L$3001,0))</f>
        <v/>
      </c>
    </row>
    <row r="519">
      <c r="B519" s="24" t="str">
        <f>IF(ROW()-ROW($B$8)&gt;nComp,"",ROW()-ROW($B$8))</f>
        <v/>
      </c>
      <c r="C519" t="str">
        <f>IF($N519="","",INDEX('_calc'!$A$2:$A$3001,$N519))</f>
        <v/>
      </c>
      <c r="D519" s="25" t="str">
        <f>IF($N519="","",INDEX('_calc'!$C$2:$C$3001,$N519))</f>
        <v/>
      </c>
      <c r="E519" s="25" t="str">
        <f>IF($N519="","",INDEX('_calc'!$D$2:$D$3001,$N519))</f>
        <v/>
      </c>
      <c r="F519" s="26" t="str">
        <f>IF($N519="","",IF($E$8=0,"",E519/$E$8))</f>
        <v/>
      </c>
      <c r="G519" s="25" t="str">
        <f>IF($N519="","",INDEX('_calc'!$E$2:$E$3001,$N519))</f>
        <v/>
      </c>
      <c r="H519" s="25" t="str">
        <f>IF($N519="","",INDEX('_calc'!$F$2:$F$3001,$N519))</f>
        <v/>
      </c>
      <c r="I519" s="27" t="str">
        <f>IF($N519="","",INDEX('_calc'!$H$2:$H$3001,$N519))</f>
        <v/>
      </c>
      <c r="J519" s="27" t="str">
        <f>IF($N519="","",INDEX('_calc'!$I$2:$I$3001,$N519))</f>
        <v/>
      </c>
      <c r="K519" s="28" t="str">
        <f>IF($N519="","",IF(OR(I519="",J519=""),"",J519-I519))</f>
        <v/>
      </c>
      <c r="L519" s="29" t="str">
        <f>IF($N519="","",INDEX('_calc'!$J$2:$J$3001,$N519))</f>
        <v/>
      </c>
      <c r="M519" s="2" t="str">
        <f>IF($N519="","",IF(AND(G519=0,H519=0),"수량 없음",IF(G519=0,"신규 (전년 수량 없음)",IF(H519=0,"당해 수량 없음",""))))</f>
        <v/>
      </c>
      <c r="N519" t="str">
        <f>IF($B519="","",MATCH($B519,'_calc'!$L$2:$L$3001,0))</f>
        <v/>
      </c>
    </row>
    <row r="520">
      <c r="B520" s="24" t="str">
        <f>IF(ROW()-ROW($B$8)&gt;nComp,"",ROW()-ROW($B$8))</f>
        <v/>
      </c>
      <c r="C520" t="str">
        <f>IF($N520="","",INDEX('_calc'!$A$2:$A$3001,$N520))</f>
        <v/>
      </c>
      <c r="D520" s="25" t="str">
        <f>IF($N520="","",INDEX('_calc'!$C$2:$C$3001,$N520))</f>
        <v/>
      </c>
      <c r="E520" s="25" t="str">
        <f>IF($N520="","",INDEX('_calc'!$D$2:$D$3001,$N520))</f>
        <v/>
      </c>
      <c r="F520" s="26" t="str">
        <f>IF($N520="","",IF($E$8=0,"",E520/$E$8))</f>
        <v/>
      </c>
      <c r="G520" s="25" t="str">
        <f>IF($N520="","",INDEX('_calc'!$E$2:$E$3001,$N520))</f>
        <v/>
      </c>
      <c r="H520" s="25" t="str">
        <f>IF($N520="","",INDEX('_calc'!$F$2:$F$3001,$N520))</f>
        <v/>
      </c>
      <c r="I520" s="27" t="str">
        <f>IF($N520="","",INDEX('_calc'!$H$2:$H$3001,$N520))</f>
        <v/>
      </c>
      <c r="J520" s="27" t="str">
        <f>IF($N520="","",INDEX('_calc'!$I$2:$I$3001,$N520))</f>
        <v/>
      </c>
      <c r="K520" s="28" t="str">
        <f>IF($N520="","",IF(OR(I520="",J520=""),"",J520-I520))</f>
        <v/>
      </c>
      <c r="L520" s="29" t="str">
        <f>IF($N520="","",INDEX('_calc'!$J$2:$J$3001,$N520))</f>
        <v/>
      </c>
      <c r="M520" s="2" t="str">
        <f>IF($N520="","",IF(AND(G520=0,H520=0),"수량 없음",IF(G520=0,"신규 (전년 수량 없음)",IF(H520=0,"당해 수량 없음",""))))</f>
        <v/>
      </c>
      <c r="N520" t="str">
        <f>IF($B520="","",MATCH($B520,'_calc'!$L$2:$L$3001,0))</f>
        <v/>
      </c>
    </row>
    <row r="521">
      <c r="B521" s="24" t="str">
        <f>IF(ROW()-ROW($B$8)&gt;nComp,"",ROW()-ROW($B$8))</f>
        <v/>
      </c>
      <c r="C521" t="str">
        <f>IF($N521="","",INDEX('_calc'!$A$2:$A$3001,$N521))</f>
        <v/>
      </c>
      <c r="D521" s="25" t="str">
        <f>IF($N521="","",INDEX('_calc'!$C$2:$C$3001,$N521))</f>
        <v/>
      </c>
      <c r="E521" s="25" t="str">
        <f>IF($N521="","",INDEX('_calc'!$D$2:$D$3001,$N521))</f>
        <v/>
      </c>
      <c r="F521" s="26" t="str">
        <f>IF($N521="","",IF($E$8=0,"",E521/$E$8))</f>
        <v/>
      </c>
      <c r="G521" s="25" t="str">
        <f>IF($N521="","",INDEX('_calc'!$E$2:$E$3001,$N521))</f>
        <v/>
      </c>
      <c r="H521" s="25" t="str">
        <f>IF($N521="","",INDEX('_calc'!$F$2:$F$3001,$N521))</f>
        <v/>
      </c>
      <c r="I521" s="27" t="str">
        <f>IF($N521="","",INDEX('_calc'!$H$2:$H$3001,$N521))</f>
        <v/>
      </c>
      <c r="J521" s="27" t="str">
        <f>IF($N521="","",INDEX('_calc'!$I$2:$I$3001,$N521))</f>
        <v/>
      </c>
      <c r="K521" s="28" t="str">
        <f>IF($N521="","",IF(OR(I521="",J521=""),"",J521-I521))</f>
        <v/>
      </c>
      <c r="L521" s="29" t="str">
        <f>IF($N521="","",INDEX('_calc'!$J$2:$J$3001,$N521))</f>
        <v/>
      </c>
      <c r="M521" s="2" t="str">
        <f>IF($N521="","",IF(AND(G521=0,H521=0),"수량 없음",IF(G521=0,"신규 (전년 수량 없음)",IF(H521=0,"당해 수량 없음",""))))</f>
        <v/>
      </c>
      <c r="N521" t="str">
        <f>IF($B521="","",MATCH($B521,'_calc'!$L$2:$L$3001,0))</f>
        <v/>
      </c>
    </row>
    <row r="522">
      <c r="B522" s="24" t="str">
        <f>IF(ROW()-ROW($B$8)&gt;nComp,"",ROW()-ROW($B$8))</f>
        <v/>
      </c>
      <c r="C522" t="str">
        <f>IF($N522="","",INDEX('_calc'!$A$2:$A$3001,$N522))</f>
        <v/>
      </c>
      <c r="D522" s="25" t="str">
        <f>IF($N522="","",INDEX('_calc'!$C$2:$C$3001,$N522))</f>
        <v/>
      </c>
      <c r="E522" s="25" t="str">
        <f>IF($N522="","",INDEX('_calc'!$D$2:$D$3001,$N522))</f>
        <v/>
      </c>
      <c r="F522" s="26" t="str">
        <f>IF($N522="","",IF($E$8=0,"",E522/$E$8))</f>
        <v/>
      </c>
      <c r="G522" s="25" t="str">
        <f>IF($N522="","",INDEX('_calc'!$E$2:$E$3001,$N522))</f>
        <v/>
      </c>
      <c r="H522" s="25" t="str">
        <f>IF($N522="","",INDEX('_calc'!$F$2:$F$3001,$N522))</f>
        <v/>
      </c>
      <c r="I522" s="27" t="str">
        <f>IF($N522="","",INDEX('_calc'!$H$2:$H$3001,$N522))</f>
        <v/>
      </c>
      <c r="J522" s="27" t="str">
        <f>IF($N522="","",INDEX('_calc'!$I$2:$I$3001,$N522))</f>
        <v/>
      </c>
      <c r="K522" s="28" t="str">
        <f>IF($N522="","",IF(OR(I522="",J522=""),"",J522-I522))</f>
        <v/>
      </c>
      <c r="L522" s="29" t="str">
        <f>IF($N522="","",INDEX('_calc'!$J$2:$J$3001,$N522))</f>
        <v/>
      </c>
      <c r="M522" s="2" t="str">
        <f>IF($N522="","",IF(AND(G522=0,H522=0),"수량 없음",IF(G522=0,"신규 (전년 수량 없음)",IF(H522=0,"당해 수량 없음",""))))</f>
        <v/>
      </c>
      <c r="N522" t="str">
        <f>IF($B522="","",MATCH($B522,'_calc'!$L$2:$L$3001,0))</f>
        <v/>
      </c>
    </row>
    <row r="523">
      <c r="B523" s="24" t="str">
        <f>IF(ROW()-ROW($B$8)&gt;nComp,"",ROW()-ROW($B$8))</f>
        <v/>
      </c>
      <c r="C523" t="str">
        <f>IF($N523="","",INDEX('_calc'!$A$2:$A$3001,$N523))</f>
        <v/>
      </c>
      <c r="D523" s="25" t="str">
        <f>IF($N523="","",INDEX('_calc'!$C$2:$C$3001,$N523))</f>
        <v/>
      </c>
      <c r="E523" s="25" t="str">
        <f>IF($N523="","",INDEX('_calc'!$D$2:$D$3001,$N523))</f>
        <v/>
      </c>
      <c r="F523" s="26" t="str">
        <f>IF($N523="","",IF($E$8=0,"",E523/$E$8))</f>
        <v/>
      </c>
      <c r="G523" s="25" t="str">
        <f>IF($N523="","",INDEX('_calc'!$E$2:$E$3001,$N523))</f>
        <v/>
      </c>
      <c r="H523" s="25" t="str">
        <f>IF($N523="","",INDEX('_calc'!$F$2:$F$3001,$N523))</f>
        <v/>
      </c>
      <c r="I523" s="27" t="str">
        <f>IF($N523="","",INDEX('_calc'!$H$2:$H$3001,$N523))</f>
        <v/>
      </c>
      <c r="J523" s="27" t="str">
        <f>IF($N523="","",INDEX('_calc'!$I$2:$I$3001,$N523))</f>
        <v/>
      </c>
      <c r="K523" s="28" t="str">
        <f>IF($N523="","",IF(OR(I523="",J523=""),"",J523-I523))</f>
        <v/>
      </c>
      <c r="L523" s="29" t="str">
        <f>IF($N523="","",INDEX('_calc'!$J$2:$J$3001,$N523))</f>
        <v/>
      </c>
      <c r="M523" s="2" t="str">
        <f>IF($N523="","",IF(AND(G523=0,H523=0),"수량 없음",IF(G523=0,"신규 (전년 수량 없음)",IF(H523=0,"당해 수량 없음",""))))</f>
        <v/>
      </c>
      <c r="N523" t="str">
        <f>IF($B523="","",MATCH($B523,'_calc'!$L$2:$L$3001,0))</f>
        <v/>
      </c>
    </row>
    <row r="524">
      <c r="B524" s="24" t="str">
        <f>IF(ROW()-ROW($B$8)&gt;nComp,"",ROW()-ROW($B$8))</f>
        <v/>
      </c>
      <c r="C524" t="str">
        <f>IF($N524="","",INDEX('_calc'!$A$2:$A$3001,$N524))</f>
        <v/>
      </c>
      <c r="D524" s="25" t="str">
        <f>IF($N524="","",INDEX('_calc'!$C$2:$C$3001,$N524))</f>
        <v/>
      </c>
      <c r="E524" s="25" t="str">
        <f>IF($N524="","",INDEX('_calc'!$D$2:$D$3001,$N524))</f>
        <v/>
      </c>
      <c r="F524" s="26" t="str">
        <f>IF($N524="","",IF($E$8=0,"",E524/$E$8))</f>
        <v/>
      </c>
      <c r="G524" s="25" t="str">
        <f>IF($N524="","",INDEX('_calc'!$E$2:$E$3001,$N524))</f>
        <v/>
      </c>
      <c r="H524" s="25" t="str">
        <f>IF($N524="","",INDEX('_calc'!$F$2:$F$3001,$N524))</f>
        <v/>
      </c>
      <c r="I524" s="27" t="str">
        <f>IF($N524="","",INDEX('_calc'!$H$2:$H$3001,$N524))</f>
        <v/>
      </c>
      <c r="J524" s="27" t="str">
        <f>IF($N524="","",INDEX('_calc'!$I$2:$I$3001,$N524))</f>
        <v/>
      </c>
      <c r="K524" s="28" t="str">
        <f>IF($N524="","",IF(OR(I524="",J524=""),"",J524-I524))</f>
        <v/>
      </c>
      <c r="L524" s="29" t="str">
        <f>IF($N524="","",INDEX('_calc'!$J$2:$J$3001,$N524))</f>
        <v/>
      </c>
      <c r="M524" s="2" t="str">
        <f>IF($N524="","",IF(AND(G524=0,H524=0),"수량 없음",IF(G524=0,"신규 (전년 수량 없음)",IF(H524=0,"당해 수량 없음",""))))</f>
        <v/>
      </c>
      <c r="N524" t="str">
        <f>IF($B524="","",MATCH($B524,'_calc'!$L$2:$L$3001,0))</f>
        <v/>
      </c>
    </row>
    <row r="525">
      <c r="B525" s="24" t="str">
        <f>IF(ROW()-ROW($B$8)&gt;nComp,"",ROW()-ROW($B$8))</f>
        <v/>
      </c>
      <c r="C525" t="str">
        <f>IF($N525="","",INDEX('_calc'!$A$2:$A$3001,$N525))</f>
        <v/>
      </c>
      <c r="D525" s="25" t="str">
        <f>IF($N525="","",INDEX('_calc'!$C$2:$C$3001,$N525))</f>
        <v/>
      </c>
      <c r="E525" s="25" t="str">
        <f>IF($N525="","",INDEX('_calc'!$D$2:$D$3001,$N525))</f>
        <v/>
      </c>
      <c r="F525" s="26" t="str">
        <f>IF($N525="","",IF($E$8=0,"",E525/$E$8))</f>
        <v/>
      </c>
      <c r="G525" s="25" t="str">
        <f>IF($N525="","",INDEX('_calc'!$E$2:$E$3001,$N525))</f>
        <v/>
      </c>
      <c r="H525" s="25" t="str">
        <f>IF($N525="","",INDEX('_calc'!$F$2:$F$3001,$N525))</f>
        <v/>
      </c>
      <c r="I525" s="27" t="str">
        <f>IF($N525="","",INDEX('_calc'!$H$2:$H$3001,$N525))</f>
        <v/>
      </c>
      <c r="J525" s="27" t="str">
        <f>IF($N525="","",INDEX('_calc'!$I$2:$I$3001,$N525))</f>
        <v/>
      </c>
      <c r="K525" s="28" t="str">
        <f>IF($N525="","",IF(OR(I525="",J525=""),"",J525-I525))</f>
        <v/>
      </c>
      <c r="L525" s="29" t="str">
        <f>IF($N525="","",INDEX('_calc'!$J$2:$J$3001,$N525))</f>
        <v/>
      </c>
      <c r="M525" s="2" t="str">
        <f>IF($N525="","",IF(AND(G525=0,H525=0),"수량 없음",IF(G525=0,"신규 (전년 수량 없음)",IF(H525=0,"당해 수량 없음",""))))</f>
        <v/>
      </c>
      <c r="N525" t="str">
        <f>IF($B525="","",MATCH($B525,'_calc'!$L$2:$L$3001,0))</f>
        <v/>
      </c>
    </row>
    <row r="526">
      <c r="B526" s="24" t="str">
        <f>IF(ROW()-ROW($B$8)&gt;nComp,"",ROW()-ROW($B$8))</f>
        <v/>
      </c>
      <c r="C526" t="str">
        <f>IF($N526="","",INDEX('_calc'!$A$2:$A$3001,$N526))</f>
        <v/>
      </c>
      <c r="D526" s="25" t="str">
        <f>IF($N526="","",INDEX('_calc'!$C$2:$C$3001,$N526))</f>
        <v/>
      </c>
      <c r="E526" s="25" t="str">
        <f>IF($N526="","",INDEX('_calc'!$D$2:$D$3001,$N526))</f>
        <v/>
      </c>
      <c r="F526" s="26" t="str">
        <f>IF($N526="","",IF($E$8=0,"",E526/$E$8))</f>
        <v/>
      </c>
      <c r="G526" s="25" t="str">
        <f>IF($N526="","",INDEX('_calc'!$E$2:$E$3001,$N526))</f>
        <v/>
      </c>
      <c r="H526" s="25" t="str">
        <f>IF($N526="","",INDEX('_calc'!$F$2:$F$3001,$N526))</f>
        <v/>
      </c>
      <c r="I526" s="27" t="str">
        <f>IF($N526="","",INDEX('_calc'!$H$2:$H$3001,$N526))</f>
        <v/>
      </c>
      <c r="J526" s="27" t="str">
        <f>IF($N526="","",INDEX('_calc'!$I$2:$I$3001,$N526))</f>
        <v/>
      </c>
      <c r="K526" s="28" t="str">
        <f>IF($N526="","",IF(OR(I526="",J526=""),"",J526-I526))</f>
        <v/>
      </c>
      <c r="L526" s="29" t="str">
        <f>IF($N526="","",INDEX('_calc'!$J$2:$J$3001,$N526))</f>
        <v/>
      </c>
      <c r="M526" s="2" t="str">
        <f>IF($N526="","",IF(AND(G526=0,H526=0),"수량 없음",IF(G526=0,"신규 (전년 수량 없음)",IF(H526=0,"당해 수량 없음",""))))</f>
        <v/>
      </c>
      <c r="N526" t="str">
        <f>IF($B526="","",MATCH($B526,'_calc'!$L$2:$L$3001,0))</f>
        <v/>
      </c>
    </row>
    <row r="527">
      <c r="B527" s="24" t="str">
        <f>IF(ROW()-ROW($B$8)&gt;nComp,"",ROW()-ROW($B$8))</f>
        <v/>
      </c>
      <c r="C527" t="str">
        <f>IF($N527="","",INDEX('_calc'!$A$2:$A$3001,$N527))</f>
        <v/>
      </c>
      <c r="D527" s="25" t="str">
        <f>IF($N527="","",INDEX('_calc'!$C$2:$C$3001,$N527))</f>
        <v/>
      </c>
      <c r="E527" s="25" t="str">
        <f>IF($N527="","",INDEX('_calc'!$D$2:$D$3001,$N527))</f>
        <v/>
      </c>
      <c r="F527" s="26" t="str">
        <f>IF($N527="","",IF($E$8=0,"",E527/$E$8))</f>
        <v/>
      </c>
      <c r="G527" s="25" t="str">
        <f>IF($N527="","",INDEX('_calc'!$E$2:$E$3001,$N527))</f>
        <v/>
      </c>
      <c r="H527" s="25" t="str">
        <f>IF($N527="","",INDEX('_calc'!$F$2:$F$3001,$N527))</f>
        <v/>
      </c>
      <c r="I527" s="27" t="str">
        <f>IF($N527="","",INDEX('_calc'!$H$2:$H$3001,$N527))</f>
        <v/>
      </c>
      <c r="J527" s="27" t="str">
        <f>IF($N527="","",INDEX('_calc'!$I$2:$I$3001,$N527))</f>
        <v/>
      </c>
      <c r="K527" s="28" t="str">
        <f>IF($N527="","",IF(OR(I527="",J527=""),"",J527-I527))</f>
        <v/>
      </c>
      <c r="L527" s="29" t="str">
        <f>IF($N527="","",INDEX('_calc'!$J$2:$J$3001,$N527))</f>
        <v/>
      </c>
      <c r="M527" s="2" t="str">
        <f>IF($N527="","",IF(AND(G527=0,H527=0),"수량 없음",IF(G527=0,"신규 (전년 수량 없음)",IF(H527=0,"당해 수량 없음",""))))</f>
        <v/>
      </c>
      <c r="N527" t="str">
        <f>IF($B527="","",MATCH($B527,'_calc'!$L$2:$L$3001,0))</f>
        <v/>
      </c>
    </row>
    <row r="528">
      <c r="B528" s="24" t="str">
        <f>IF(ROW()-ROW($B$8)&gt;nComp,"",ROW()-ROW($B$8))</f>
        <v/>
      </c>
      <c r="C528" t="str">
        <f>IF($N528="","",INDEX('_calc'!$A$2:$A$3001,$N528))</f>
        <v/>
      </c>
      <c r="D528" s="25" t="str">
        <f>IF($N528="","",INDEX('_calc'!$C$2:$C$3001,$N528))</f>
        <v/>
      </c>
      <c r="E528" s="25" t="str">
        <f>IF($N528="","",INDEX('_calc'!$D$2:$D$3001,$N528))</f>
        <v/>
      </c>
      <c r="F528" s="26" t="str">
        <f>IF($N528="","",IF($E$8=0,"",E528/$E$8))</f>
        <v/>
      </c>
      <c r="G528" s="25" t="str">
        <f>IF($N528="","",INDEX('_calc'!$E$2:$E$3001,$N528))</f>
        <v/>
      </c>
      <c r="H528" s="25" t="str">
        <f>IF($N528="","",INDEX('_calc'!$F$2:$F$3001,$N528))</f>
        <v/>
      </c>
      <c r="I528" s="27" t="str">
        <f>IF($N528="","",INDEX('_calc'!$H$2:$H$3001,$N528))</f>
        <v/>
      </c>
      <c r="J528" s="27" t="str">
        <f>IF($N528="","",INDEX('_calc'!$I$2:$I$3001,$N528))</f>
        <v/>
      </c>
      <c r="K528" s="28" t="str">
        <f>IF($N528="","",IF(OR(I528="",J528=""),"",J528-I528))</f>
        <v/>
      </c>
      <c r="L528" s="29" t="str">
        <f>IF($N528="","",INDEX('_calc'!$J$2:$J$3001,$N528))</f>
        <v/>
      </c>
      <c r="M528" s="2" t="str">
        <f>IF($N528="","",IF(AND(G528=0,H528=0),"수량 없음",IF(G528=0,"신규 (전년 수량 없음)",IF(H528=0,"당해 수량 없음",""))))</f>
        <v/>
      </c>
      <c r="N528" t="str">
        <f>IF($B528="","",MATCH($B528,'_calc'!$L$2:$L$3001,0))</f>
        <v/>
      </c>
    </row>
    <row r="529">
      <c r="B529" s="24" t="str">
        <f>IF(ROW()-ROW($B$8)&gt;nComp,"",ROW()-ROW($B$8))</f>
        <v/>
      </c>
      <c r="C529" t="str">
        <f>IF($N529="","",INDEX('_calc'!$A$2:$A$3001,$N529))</f>
        <v/>
      </c>
      <c r="D529" s="25" t="str">
        <f>IF($N529="","",INDEX('_calc'!$C$2:$C$3001,$N529))</f>
        <v/>
      </c>
      <c r="E529" s="25" t="str">
        <f>IF($N529="","",INDEX('_calc'!$D$2:$D$3001,$N529))</f>
        <v/>
      </c>
      <c r="F529" s="26" t="str">
        <f>IF($N529="","",IF($E$8=0,"",E529/$E$8))</f>
        <v/>
      </c>
      <c r="G529" s="25" t="str">
        <f>IF($N529="","",INDEX('_calc'!$E$2:$E$3001,$N529))</f>
        <v/>
      </c>
      <c r="H529" s="25" t="str">
        <f>IF($N529="","",INDEX('_calc'!$F$2:$F$3001,$N529))</f>
        <v/>
      </c>
      <c r="I529" s="27" t="str">
        <f>IF($N529="","",INDEX('_calc'!$H$2:$H$3001,$N529))</f>
        <v/>
      </c>
      <c r="J529" s="27" t="str">
        <f>IF($N529="","",INDEX('_calc'!$I$2:$I$3001,$N529))</f>
        <v/>
      </c>
      <c r="K529" s="28" t="str">
        <f>IF($N529="","",IF(OR(I529="",J529=""),"",J529-I529))</f>
        <v/>
      </c>
      <c r="L529" s="29" t="str">
        <f>IF($N529="","",INDEX('_calc'!$J$2:$J$3001,$N529))</f>
        <v/>
      </c>
      <c r="M529" s="2" t="str">
        <f>IF($N529="","",IF(AND(G529=0,H529=0),"수량 없음",IF(G529=0,"신규 (전년 수량 없음)",IF(H529=0,"당해 수량 없음",""))))</f>
        <v/>
      </c>
      <c r="N529" t="str">
        <f>IF($B529="","",MATCH($B529,'_calc'!$L$2:$L$3001,0))</f>
        <v/>
      </c>
    </row>
    <row r="530">
      <c r="B530" s="24" t="str">
        <f>IF(ROW()-ROW($B$8)&gt;nComp,"",ROW()-ROW($B$8))</f>
        <v/>
      </c>
      <c r="C530" t="str">
        <f>IF($N530="","",INDEX('_calc'!$A$2:$A$3001,$N530))</f>
        <v/>
      </c>
      <c r="D530" s="25" t="str">
        <f>IF($N530="","",INDEX('_calc'!$C$2:$C$3001,$N530))</f>
        <v/>
      </c>
      <c r="E530" s="25" t="str">
        <f>IF($N530="","",INDEX('_calc'!$D$2:$D$3001,$N530))</f>
        <v/>
      </c>
      <c r="F530" s="26" t="str">
        <f>IF($N530="","",IF($E$8=0,"",E530/$E$8))</f>
        <v/>
      </c>
      <c r="G530" s="25" t="str">
        <f>IF($N530="","",INDEX('_calc'!$E$2:$E$3001,$N530))</f>
        <v/>
      </c>
      <c r="H530" s="25" t="str">
        <f>IF($N530="","",INDEX('_calc'!$F$2:$F$3001,$N530))</f>
        <v/>
      </c>
      <c r="I530" s="27" t="str">
        <f>IF($N530="","",INDEX('_calc'!$H$2:$H$3001,$N530))</f>
        <v/>
      </c>
      <c r="J530" s="27" t="str">
        <f>IF($N530="","",INDEX('_calc'!$I$2:$I$3001,$N530))</f>
        <v/>
      </c>
      <c r="K530" s="28" t="str">
        <f>IF($N530="","",IF(OR(I530="",J530=""),"",J530-I530))</f>
        <v/>
      </c>
      <c r="L530" s="29" t="str">
        <f>IF($N530="","",INDEX('_calc'!$J$2:$J$3001,$N530))</f>
        <v/>
      </c>
      <c r="M530" s="2" t="str">
        <f>IF($N530="","",IF(AND(G530=0,H530=0),"수량 없음",IF(G530=0,"신규 (전년 수량 없음)",IF(H530=0,"당해 수량 없음",""))))</f>
        <v/>
      </c>
      <c r="N530" t="str">
        <f>IF($B530="","",MATCH($B530,'_calc'!$L$2:$L$3001,0))</f>
        <v/>
      </c>
    </row>
    <row r="531">
      <c r="B531" s="24" t="str">
        <f>IF(ROW()-ROW($B$8)&gt;nComp,"",ROW()-ROW($B$8))</f>
        <v/>
      </c>
      <c r="C531" t="str">
        <f>IF($N531="","",INDEX('_calc'!$A$2:$A$3001,$N531))</f>
        <v/>
      </c>
      <c r="D531" s="25" t="str">
        <f>IF($N531="","",INDEX('_calc'!$C$2:$C$3001,$N531))</f>
        <v/>
      </c>
      <c r="E531" s="25" t="str">
        <f>IF($N531="","",INDEX('_calc'!$D$2:$D$3001,$N531))</f>
        <v/>
      </c>
      <c r="F531" s="26" t="str">
        <f>IF($N531="","",IF($E$8=0,"",E531/$E$8))</f>
        <v/>
      </c>
      <c r="G531" s="25" t="str">
        <f>IF($N531="","",INDEX('_calc'!$E$2:$E$3001,$N531))</f>
        <v/>
      </c>
      <c r="H531" s="25" t="str">
        <f>IF($N531="","",INDEX('_calc'!$F$2:$F$3001,$N531))</f>
        <v/>
      </c>
      <c r="I531" s="27" t="str">
        <f>IF($N531="","",INDEX('_calc'!$H$2:$H$3001,$N531))</f>
        <v/>
      </c>
      <c r="J531" s="27" t="str">
        <f>IF($N531="","",INDEX('_calc'!$I$2:$I$3001,$N531))</f>
        <v/>
      </c>
      <c r="K531" s="28" t="str">
        <f>IF($N531="","",IF(OR(I531="",J531=""),"",J531-I531))</f>
        <v/>
      </c>
      <c r="L531" s="29" t="str">
        <f>IF($N531="","",INDEX('_calc'!$J$2:$J$3001,$N531))</f>
        <v/>
      </c>
      <c r="M531" s="2" t="str">
        <f>IF($N531="","",IF(AND(G531=0,H531=0),"수량 없음",IF(G531=0,"신규 (전년 수량 없음)",IF(H531=0,"당해 수량 없음",""))))</f>
        <v/>
      </c>
      <c r="N531" t="str">
        <f>IF($B531="","",MATCH($B531,'_calc'!$L$2:$L$3001,0))</f>
        <v/>
      </c>
    </row>
    <row r="532">
      <c r="B532" s="24" t="str">
        <f>IF(ROW()-ROW($B$8)&gt;nComp,"",ROW()-ROW($B$8))</f>
        <v/>
      </c>
      <c r="C532" t="str">
        <f>IF($N532="","",INDEX('_calc'!$A$2:$A$3001,$N532))</f>
        <v/>
      </c>
      <c r="D532" s="25" t="str">
        <f>IF($N532="","",INDEX('_calc'!$C$2:$C$3001,$N532))</f>
        <v/>
      </c>
      <c r="E532" s="25" t="str">
        <f>IF($N532="","",INDEX('_calc'!$D$2:$D$3001,$N532))</f>
        <v/>
      </c>
      <c r="F532" s="26" t="str">
        <f>IF($N532="","",IF($E$8=0,"",E532/$E$8))</f>
        <v/>
      </c>
      <c r="G532" s="25" t="str">
        <f>IF($N532="","",INDEX('_calc'!$E$2:$E$3001,$N532))</f>
        <v/>
      </c>
      <c r="H532" s="25" t="str">
        <f>IF($N532="","",INDEX('_calc'!$F$2:$F$3001,$N532))</f>
        <v/>
      </c>
      <c r="I532" s="27" t="str">
        <f>IF($N532="","",INDEX('_calc'!$H$2:$H$3001,$N532))</f>
        <v/>
      </c>
      <c r="J532" s="27" t="str">
        <f>IF($N532="","",INDEX('_calc'!$I$2:$I$3001,$N532))</f>
        <v/>
      </c>
      <c r="K532" s="28" t="str">
        <f>IF($N532="","",IF(OR(I532="",J532=""),"",J532-I532))</f>
        <v/>
      </c>
      <c r="L532" s="29" t="str">
        <f>IF($N532="","",INDEX('_calc'!$J$2:$J$3001,$N532))</f>
        <v/>
      </c>
      <c r="M532" s="2" t="str">
        <f>IF($N532="","",IF(AND(G532=0,H532=0),"수량 없음",IF(G532=0,"신규 (전년 수량 없음)",IF(H532=0,"당해 수량 없음",""))))</f>
        <v/>
      </c>
      <c r="N532" t="str">
        <f>IF($B532="","",MATCH($B532,'_calc'!$L$2:$L$3001,0))</f>
        <v/>
      </c>
    </row>
    <row r="533">
      <c r="B533" s="24" t="str">
        <f>IF(ROW()-ROW($B$8)&gt;nComp,"",ROW()-ROW($B$8))</f>
        <v/>
      </c>
      <c r="C533" t="str">
        <f>IF($N533="","",INDEX('_calc'!$A$2:$A$3001,$N533))</f>
        <v/>
      </c>
      <c r="D533" s="25" t="str">
        <f>IF($N533="","",INDEX('_calc'!$C$2:$C$3001,$N533))</f>
        <v/>
      </c>
      <c r="E533" s="25" t="str">
        <f>IF($N533="","",INDEX('_calc'!$D$2:$D$3001,$N533))</f>
        <v/>
      </c>
      <c r="F533" s="26" t="str">
        <f>IF($N533="","",IF($E$8=0,"",E533/$E$8))</f>
        <v/>
      </c>
      <c r="G533" s="25" t="str">
        <f>IF($N533="","",INDEX('_calc'!$E$2:$E$3001,$N533))</f>
        <v/>
      </c>
      <c r="H533" s="25" t="str">
        <f>IF($N533="","",INDEX('_calc'!$F$2:$F$3001,$N533))</f>
        <v/>
      </c>
      <c r="I533" s="27" t="str">
        <f>IF($N533="","",INDEX('_calc'!$H$2:$H$3001,$N533))</f>
        <v/>
      </c>
      <c r="J533" s="27" t="str">
        <f>IF($N533="","",INDEX('_calc'!$I$2:$I$3001,$N533))</f>
        <v/>
      </c>
      <c r="K533" s="28" t="str">
        <f>IF($N533="","",IF(OR(I533="",J533=""),"",J533-I533))</f>
        <v/>
      </c>
      <c r="L533" s="29" t="str">
        <f>IF($N533="","",INDEX('_calc'!$J$2:$J$3001,$N533))</f>
        <v/>
      </c>
      <c r="M533" s="2" t="str">
        <f>IF($N533="","",IF(AND(G533=0,H533=0),"수량 없음",IF(G533=0,"신규 (전년 수량 없음)",IF(H533=0,"당해 수량 없음",""))))</f>
        <v/>
      </c>
      <c r="N533" t="str">
        <f>IF($B533="","",MATCH($B533,'_calc'!$L$2:$L$3001,0))</f>
        <v/>
      </c>
    </row>
    <row r="534">
      <c r="B534" s="24" t="str">
        <f>IF(ROW()-ROW($B$8)&gt;nComp,"",ROW()-ROW($B$8))</f>
        <v/>
      </c>
      <c r="C534" t="str">
        <f>IF($N534="","",INDEX('_calc'!$A$2:$A$3001,$N534))</f>
        <v/>
      </c>
      <c r="D534" s="25" t="str">
        <f>IF($N534="","",INDEX('_calc'!$C$2:$C$3001,$N534))</f>
        <v/>
      </c>
      <c r="E534" s="25" t="str">
        <f>IF($N534="","",INDEX('_calc'!$D$2:$D$3001,$N534))</f>
        <v/>
      </c>
      <c r="F534" s="26" t="str">
        <f>IF($N534="","",IF($E$8=0,"",E534/$E$8))</f>
        <v/>
      </c>
      <c r="G534" s="25" t="str">
        <f>IF($N534="","",INDEX('_calc'!$E$2:$E$3001,$N534))</f>
        <v/>
      </c>
      <c r="H534" s="25" t="str">
        <f>IF($N534="","",INDEX('_calc'!$F$2:$F$3001,$N534))</f>
        <v/>
      </c>
      <c r="I534" s="27" t="str">
        <f>IF($N534="","",INDEX('_calc'!$H$2:$H$3001,$N534))</f>
        <v/>
      </c>
      <c r="J534" s="27" t="str">
        <f>IF($N534="","",INDEX('_calc'!$I$2:$I$3001,$N534))</f>
        <v/>
      </c>
      <c r="K534" s="28" t="str">
        <f>IF($N534="","",IF(OR(I534="",J534=""),"",J534-I534))</f>
        <v/>
      </c>
      <c r="L534" s="29" t="str">
        <f>IF($N534="","",INDEX('_calc'!$J$2:$J$3001,$N534))</f>
        <v/>
      </c>
      <c r="M534" s="2" t="str">
        <f>IF($N534="","",IF(AND(G534=0,H534=0),"수량 없음",IF(G534=0,"신규 (전년 수량 없음)",IF(H534=0,"당해 수량 없음",""))))</f>
        <v/>
      </c>
      <c r="N534" t="str">
        <f>IF($B534="","",MATCH($B534,'_calc'!$L$2:$L$3001,0))</f>
        <v/>
      </c>
    </row>
    <row r="535">
      <c r="B535" s="24" t="str">
        <f>IF(ROW()-ROW($B$8)&gt;nComp,"",ROW()-ROW($B$8))</f>
        <v/>
      </c>
      <c r="C535" t="str">
        <f>IF($N535="","",INDEX('_calc'!$A$2:$A$3001,$N535))</f>
        <v/>
      </c>
      <c r="D535" s="25" t="str">
        <f>IF($N535="","",INDEX('_calc'!$C$2:$C$3001,$N535))</f>
        <v/>
      </c>
      <c r="E535" s="25" t="str">
        <f>IF($N535="","",INDEX('_calc'!$D$2:$D$3001,$N535))</f>
        <v/>
      </c>
      <c r="F535" s="26" t="str">
        <f>IF($N535="","",IF($E$8=0,"",E535/$E$8))</f>
        <v/>
      </c>
      <c r="G535" s="25" t="str">
        <f>IF($N535="","",INDEX('_calc'!$E$2:$E$3001,$N535))</f>
        <v/>
      </c>
      <c r="H535" s="25" t="str">
        <f>IF($N535="","",INDEX('_calc'!$F$2:$F$3001,$N535))</f>
        <v/>
      </c>
      <c r="I535" s="27" t="str">
        <f>IF($N535="","",INDEX('_calc'!$H$2:$H$3001,$N535))</f>
        <v/>
      </c>
      <c r="J535" s="27" t="str">
        <f>IF($N535="","",INDEX('_calc'!$I$2:$I$3001,$N535))</f>
        <v/>
      </c>
      <c r="K535" s="28" t="str">
        <f>IF($N535="","",IF(OR(I535="",J535=""),"",J535-I535))</f>
        <v/>
      </c>
      <c r="L535" s="29" t="str">
        <f>IF($N535="","",INDEX('_calc'!$J$2:$J$3001,$N535))</f>
        <v/>
      </c>
      <c r="M535" s="2" t="str">
        <f>IF($N535="","",IF(AND(G535=0,H535=0),"수량 없음",IF(G535=0,"신규 (전년 수량 없음)",IF(H535=0,"당해 수량 없음",""))))</f>
        <v/>
      </c>
      <c r="N535" t="str">
        <f>IF($B535="","",MATCH($B535,'_calc'!$L$2:$L$3001,0))</f>
        <v/>
      </c>
    </row>
    <row r="536">
      <c r="B536" s="24" t="str">
        <f>IF(ROW()-ROW($B$8)&gt;nComp,"",ROW()-ROW($B$8))</f>
        <v/>
      </c>
      <c r="C536" t="str">
        <f>IF($N536="","",INDEX('_calc'!$A$2:$A$3001,$N536))</f>
        <v/>
      </c>
      <c r="D536" s="25" t="str">
        <f>IF($N536="","",INDEX('_calc'!$C$2:$C$3001,$N536))</f>
        <v/>
      </c>
      <c r="E536" s="25" t="str">
        <f>IF($N536="","",INDEX('_calc'!$D$2:$D$3001,$N536))</f>
        <v/>
      </c>
      <c r="F536" s="26" t="str">
        <f>IF($N536="","",IF($E$8=0,"",E536/$E$8))</f>
        <v/>
      </c>
      <c r="G536" s="25" t="str">
        <f>IF($N536="","",INDEX('_calc'!$E$2:$E$3001,$N536))</f>
        <v/>
      </c>
      <c r="H536" s="25" t="str">
        <f>IF($N536="","",INDEX('_calc'!$F$2:$F$3001,$N536))</f>
        <v/>
      </c>
      <c r="I536" s="27" t="str">
        <f>IF($N536="","",INDEX('_calc'!$H$2:$H$3001,$N536))</f>
        <v/>
      </c>
      <c r="J536" s="27" t="str">
        <f>IF($N536="","",INDEX('_calc'!$I$2:$I$3001,$N536))</f>
        <v/>
      </c>
      <c r="K536" s="28" t="str">
        <f>IF($N536="","",IF(OR(I536="",J536=""),"",J536-I536))</f>
        <v/>
      </c>
      <c r="L536" s="29" t="str">
        <f>IF($N536="","",INDEX('_calc'!$J$2:$J$3001,$N536))</f>
        <v/>
      </c>
      <c r="M536" s="2" t="str">
        <f>IF($N536="","",IF(AND(G536=0,H536=0),"수량 없음",IF(G536=0,"신규 (전년 수량 없음)",IF(H536=0,"당해 수량 없음",""))))</f>
        <v/>
      </c>
      <c r="N536" t="str">
        <f>IF($B536="","",MATCH($B536,'_calc'!$L$2:$L$3001,0))</f>
        <v/>
      </c>
    </row>
    <row r="537">
      <c r="B537" s="24" t="str">
        <f>IF(ROW()-ROW($B$8)&gt;nComp,"",ROW()-ROW($B$8))</f>
        <v/>
      </c>
      <c r="C537" t="str">
        <f>IF($N537="","",INDEX('_calc'!$A$2:$A$3001,$N537))</f>
        <v/>
      </c>
      <c r="D537" s="25" t="str">
        <f>IF($N537="","",INDEX('_calc'!$C$2:$C$3001,$N537))</f>
        <v/>
      </c>
      <c r="E537" s="25" t="str">
        <f>IF($N537="","",INDEX('_calc'!$D$2:$D$3001,$N537))</f>
        <v/>
      </c>
      <c r="F537" s="26" t="str">
        <f>IF($N537="","",IF($E$8=0,"",E537/$E$8))</f>
        <v/>
      </c>
      <c r="G537" s="25" t="str">
        <f>IF($N537="","",INDEX('_calc'!$E$2:$E$3001,$N537))</f>
        <v/>
      </c>
      <c r="H537" s="25" t="str">
        <f>IF($N537="","",INDEX('_calc'!$F$2:$F$3001,$N537))</f>
        <v/>
      </c>
      <c r="I537" s="27" t="str">
        <f>IF($N537="","",INDEX('_calc'!$H$2:$H$3001,$N537))</f>
        <v/>
      </c>
      <c r="J537" s="27" t="str">
        <f>IF($N537="","",INDEX('_calc'!$I$2:$I$3001,$N537))</f>
        <v/>
      </c>
      <c r="K537" s="28" t="str">
        <f>IF($N537="","",IF(OR(I537="",J537=""),"",J537-I537))</f>
        <v/>
      </c>
      <c r="L537" s="29" t="str">
        <f>IF($N537="","",INDEX('_calc'!$J$2:$J$3001,$N537))</f>
        <v/>
      </c>
      <c r="M537" s="2" t="str">
        <f>IF($N537="","",IF(AND(G537=0,H537=0),"수량 없음",IF(G537=0,"신규 (전년 수량 없음)",IF(H537=0,"당해 수량 없음",""))))</f>
        <v/>
      </c>
      <c r="N537" t="str">
        <f>IF($B537="","",MATCH($B537,'_calc'!$L$2:$L$3001,0))</f>
        <v/>
      </c>
    </row>
    <row r="538">
      <c r="B538" s="24" t="str">
        <f>IF(ROW()-ROW($B$8)&gt;nComp,"",ROW()-ROW($B$8))</f>
        <v/>
      </c>
      <c r="C538" t="str">
        <f>IF($N538="","",INDEX('_calc'!$A$2:$A$3001,$N538))</f>
        <v/>
      </c>
      <c r="D538" s="25" t="str">
        <f>IF($N538="","",INDEX('_calc'!$C$2:$C$3001,$N538))</f>
        <v/>
      </c>
      <c r="E538" s="25" t="str">
        <f>IF($N538="","",INDEX('_calc'!$D$2:$D$3001,$N538))</f>
        <v/>
      </c>
      <c r="F538" s="26" t="str">
        <f>IF($N538="","",IF($E$8=0,"",E538/$E$8))</f>
        <v/>
      </c>
      <c r="G538" s="25" t="str">
        <f>IF($N538="","",INDEX('_calc'!$E$2:$E$3001,$N538))</f>
        <v/>
      </c>
      <c r="H538" s="25" t="str">
        <f>IF($N538="","",INDEX('_calc'!$F$2:$F$3001,$N538))</f>
        <v/>
      </c>
      <c r="I538" s="27" t="str">
        <f>IF($N538="","",INDEX('_calc'!$H$2:$H$3001,$N538))</f>
        <v/>
      </c>
      <c r="J538" s="27" t="str">
        <f>IF($N538="","",INDEX('_calc'!$I$2:$I$3001,$N538))</f>
        <v/>
      </c>
      <c r="K538" s="28" t="str">
        <f>IF($N538="","",IF(OR(I538="",J538=""),"",J538-I538))</f>
        <v/>
      </c>
      <c r="L538" s="29" t="str">
        <f>IF($N538="","",INDEX('_calc'!$J$2:$J$3001,$N538))</f>
        <v/>
      </c>
      <c r="M538" s="2" t="str">
        <f>IF($N538="","",IF(AND(G538=0,H538=0),"수량 없음",IF(G538=0,"신규 (전년 수량 없음)",IF(H538=0,"당해 수량 없음",""))))</f>
        <v/>
      </c>
      <c r="N538" t="str">
        <f>IF($B538="","",MATCH($B538,'_calc'!$L$2:$L$3001,0))</f>
        <v/>
      </c>
    </row>
    <row r="539">
      <c r="B539" s="24" t="str">
        <f>IF(ROW()-ROW($B$8)&gt;nComp,"",ROW()-ROW($B$8))</f>
        <v/>
      </c>
      <c r="C539" t="str">
        <f>IF($N539="","",INDEX('_calc'!$A$2:$A$3001,$N539))</f>
        <v/>
      </c>
      <c r="D539" s="25" t="str">
        <f>IF($N539="","",INDEX('_calc'!$C$2:$C$3001,$N539))</f>
        <v/>
      </c>
      <c r="E539" s="25" t="str">
        <f>IF($N539="","",INDEX('_calc'!$D$2:$D$3001,$N539))</f>
        <v/>
      </c>
      <c r="F539" s="26" t="str">
        <f>IF($N539="","",IF($E$8=0,"",E539/$E$8))</f>
        <v/>
      </c>
      <c r="G539" s="25" t="str">
        <f>IF($N539="","",INDEX('_calc'!$E$2:$E$3001,$N539))</f>
        <v/>
      </c>
      <c r="H539" s="25" t="str">
        <f>IF($N539="","",INDEX('_calc'!$F$2:$F$3001,$N539))</f>
        <v/>
      </c>
      <c r="I539" s="27" t="str">
        <f>IF($N539="","",INDEX('_calc'!$H$2:$H$3001,$N539))</f>
        <v/>
      </c>
      <c r="J539" s="27" t="str">
        <f>IF($N539="","",INDEX('_calc'!$I$2:$I$3001,$N539))</f>
        <v/>
      </c>
      <c r="K539" s="28" t="str">
        <f>IF($N539="","",IF(OR(I539="",J539=""),"",J539-I539))</f>
        <v/>
      </c>
      <c r="L539" s="29" t="str">
        <f>IF($N539="","",INDEX('_calc'!$J$2:$J$3001,$N539))</f>
        <v/>
      </c>
      <c r="M539" s="2" t="str">
        <f>IF($N539="","",IF(AND(G539=0,H539=0),"수량 없음",IF(G539=0,"신규 (전년 수량 없음)",IF(H539=0,"당해 수량 없음",""))))</f>
        <v/>
      </c>
      <c r="N539" t="str">
        <f>IF($B539="","",MATCH($B539,'_calc'!$L$2:$L$3001,0))</f>
        <v/>
      </c>
    </row>
    <row r="540">
      <c r="B540" s="24" t="str">
        <f>IF(ROW()-ROW($B$8)&gt;nComp,"",ROW()-ROW($B$8))</f>
        <v/>
      </c>
      <c r="C540" t="str">
        <f>IF($N540="","",INDEX('_calc'!$A$2:$A$3001,$N540))</f>
        <v/>
      </c>
      <c r="D540" s="25" t="str">
        <f>IF($N540="","",INDEX('_calc'!$C$2:$C$3001,$N540))</f>
        <v/>
      </c>
      <c r="E540" s="25" t="str">
        <f>IF($N540="","",INDEX('_calc'!$D$2:$D$3001,$N540))</f>
        <v/>
      </c>
      <c r="F540" s="26" t="str">
        <f>IF($N540="","",IF($E$8=0,"",E540/$E$8))</f>
        <v/>
      </c>
      <c r="G540" s="25" t="str">
        <f>IF($N540="","",INDEX('_calc'!$E$2:$E$3001,$N540))</f>
        <v/>
      </c>
      <c r="H540" s="25" t="str">
        <f>IF($N540="","",INDEX('_calc'!$F$2:$F$3001,$N540))</f>
        <v/>
      </c>
      <c r="I540" s="27" t="str">
        <f>IF($N540="","",INDEX('_calc'!$H$2:$H$3001,$N540))</f>
        <v/>
      </c>
      <c r="J540" s="27" t="str">
        <f>IF($N540="","",INDEX('_calc'!$I$2:$I$3001,$N540))</f>
        <v/>
      </c>
      <c r="K540" s="28" t="str">
        <f>IF($N540="","",IF(OR(I540="",J540=""),"",J540-I540))</f>
        <v/>
      </c>
      <c r="L540" s="29" t="str">
        <f>IF($N540="","",INDEX('_calc'!$J$2:$J$3001,$N540))</f>
        <v/>
      </c>
      <c r="M540" s="2" t="str">
        <f>IF($N540="","",IF(AND(G540=0,H540=0),"수량 없음",IF(G540=0,"신규 (전년 수량 없음)",IF(H540=0,"당해 수량 없음",""))))</f>
        <v/>
      </c>
      <c r="N540" t="str">
        <f>IF($B540="","",MATCH($B540,'_calc'!$L$2:$L$3001,0))</f>
        <v/>
      </c>
    </row>
    <row r="541">
      <c r="B541" s="24" t="str">
        <f>IF(ROW()-ROW($B$8)&gt;nComp,"",ROW()-ROW($B$8))</f>
        <v/>
      </c>
      <c r="C541" t="str">
        <f>IF($N541="","",INDEX('_calc'!$A$2:$A$3001,$N541))</f>
        <v/>
      </c>
      <c r="D541" s="25" t="str">
        <f>IF($N541="","",INDEX('_calc'!$C$2:$C$3001,$N541))</f>
        <v/>
      </c>
      <c r="E541" s="25" t="str">
        <f>IF($N541="","",INDEX('_calc'!$D$2:$D$3001,$N541))</f>
        <v/>
      </c>
      <c r="F541" s="26" t="str">
        <f>IF($N541="","",IF($E$8=0,"",E541/$E$8))</f>
        <v/>
      </c>
      <c r="G541" s="25" t="str">
        <f>IF($N541="","",INDEX('_calc'!$E$2:$E$3001,$N541))</f>
        <v/>
      </c>
      <c r="H541" s="25" t="str">
        <f>IF($N541="","",INDEX('_calc'!$F$2:$F$3001,$N541))</f>
        <v/>
      </c>
      <c r="I541" s="27" t="str">
        <f>IF($N541="","",INDEX('_calc'!$H$2:$H$3001,$N541))</f>
        <v/>
      </c>
      <c r="J541" s="27" t="str">
        <f>IF($N541="","",INDEX('_calc'!$I$2:$I$3001,$N541))</f>
        <v/>
      </c>
      <c r="K541" s="28" t="str">
        <f>IF($N541="","",IF(OR(I541="",J541=""),"",J541-I541))</f>
        <v/>
      </c>
      <c r="L541" s="29" t="str">
        <f>IF($N541="","",INDEX('_calc'!$J$2:$J$3001,$N541))</f>
        <v/>
      </c>
      <c r="M541" s="2" t="str">
        <f>IF($N541="","",IF(AND(G541=0,H541=0),"수량 없음",IF(G541=0,"신규 (전년 수량 없음)",IF(H541=0,"당해 수량 없음",""))))</f>
        <v/>
      </c>
      <c r="N541" t="str">
        <f>IF($B541="","",MATCH($B541,'_calc'!$L$2:$L$3001,0))</f>
        <v/>
      </c>
    </row>
    <row r="542">
      <c r="B542" s="24" t="str">
        <f>IF(ROW()-ROW($B$8)&gt;nComp,"",ROW()-ROW($B$8))</f>
        <v/>
      </c>
      <c r="C542" t="str">
        <f>IF($N542="","",INDEX('_calc'!$A$2:$A$3001,$N542))</f>
        <v/>
      </c>
      <c r="D542" s="25" t="str">
        <f>IF($N542="","",INDEX('_calc'!$C$2:$C$3001,$N542))</f>
        <v/>
      </c>
      <c r="E542" s="25" t="str">
        <f>IF($N542="","",INDEX('_calc'!$D$2:$D$3001,$N542))</f>
        <v/>
      </c>
      <c r="F542" s="26" t="str">
        <f>IF($N542="","",IF($E$8=0,"",E542/$E$8))</f>
        <v/>
      </c>
      <c r="G542" s="25" t="str">
        <f>IF($N542="","",INDEX('_calc'!$E$2:$E$3001,$N542))</f>
        <v/>
      </c>
      <c r="H542" s="25" t="str">
        <f>IF($N542="","",INDEX('_calc'!$F$2:$F$3001,$N542))</f>
        <v/>
      </c>
      <c r="I542" s="27" t="str">
        <f>IF($N542="","",INDEX('_calc'!$H$2:$H$3001,$N542))</f>
        <v/>
      </c>
      <c r="J542" s="27" t="str">
        <f>IF($N542="","",INDEX('_calc'!$I$2:$I$3001,$N542))</f>
        <v/>
      </c>
      <c r="K542" s="28" t="str">
        <f>IF($N542="","",IF(OR(I542="",J542=""),"",J542-I542))</f>
        <v/>
      </c>
      <c r="L542" s="29" t="str">
        <f>IF($N542="","",INDEX('_calc'!$J$2:$J$3001,$N542))</f>
        <v/>
      </c>
      <c r="M542" s="2" t="str">
        <f>IF($N542="","",IF(AND(G542=0,H542=0),"수량 없음",IF(G542=0,"신규 (전년 수량 없음)",IF(H542=0,"당해 수량 없음",""))))</f>
        <v/>
      </c>
      <c r="N542" t="str">
        <f>IF($B542="","",MATCH($B542,'_calc'!$L$2:$L$3001,0))</f>
        <v/>
      </c>
    </row>
    <row r="543">
      <c r="B543" s="24" t="str">
        <f>IF(ROW()-ROW($B$8)&gt;nComp,"",ROW()-ROW($B$8))</f>
        <v/>
      </c>
      <c r="C543" t="str">
        <f>IF($N543="","",INDEX('_calc'!$A$2:$A$3001,$N543))</f>
        <v/>
      </c>
      <c r="D543" s="25" t="str">
        <f>IF($N543="","",INDEX('_calc'!$C$2:$C$3001,$N543))</f>
        <v/>
      </c>
      <c r="E543" s="25" t="str">
        <f>IF($N543="","",INDEX('_calc'!$D$2:$D$3001,$N543))</f>
        <v/>
      </c>
      <c r="F543" s="26" t="str">
        <f>IF($N543="","",IF($E$8=0,"",E543/$E$8))</f>
        <v/>
      </c>
      <c r="G543" s="25" t="str">
        <f>IF($N543="","",INDEX('_calc'!$E$2:$E$3001,$N543))</f>
        <v/>
      </c>
      <c r="H543" s="25" t="str">
        <f>IF($N543="","",INDEX('_calc'!$F$2:$F$3001,$N543))</f>
        <v/>
      </c>
      <c r="I543" s="27" t="str">
        <f>IF($N543="","",INDEX('_calc'!$H$2:$H$3001,$N543))</f>
        <v/>
      </c>
      <c r="J543" s="27" t="str">
        <f>IF($N543="","",INDEX('_calc'!$I$2:$I$3001,$N543))</f>
        <v/>
      </c>
      <c r="K543" s="28" t="str">
        <f>IF($N543="","",IF(OR(I543="",J543=""),"",J543-I543))</f>
        <v/>
      </c>
      <c r="L543" s="29" t="str">
        <f>IF($N543="","",INDEX('_calc'!$J$2:$J$3001,$N543))</f>
        <v/>
      </c>
      <c r="M543" s="2" t="str">
        <f>IF($N543="","",IF(AND(G543=0,H543=0),"수량 없음",IF(G543=0,"신규 (전년 수량 없음)",IF(H543=0,"당해 수량 없음",""))))</f>
        <v/>
      </c>
      <c r="N543" t="str">
        <f>IF($B543="","",MATCH($B543,'_calc'!$L$2:$L$3001,0))</f>
        <v/>
      </c>
    </row>
    <row r="544">
      <c r="B544" s="24" t="str">
        <f>IF(ROW()-ROW($B$8)&gt;nComp,"",ROW()-ROW($B$8))</f>
        <v/>
      </c>
      <c r="C544" t="str">
        <f>IF($N544="","",INDEX('_calc'!$A$2:$A$3001,$N544))</f>
        <v/>
      </c>
      <c r="D544" s="25" t="str">
        <f>IF($N544="","",INDEX('_calc'!$C$2:$C$3001,$N544))</f>
        <v/>
      </c>
      <c r="E544" s="25" t="str">
        <f>IF($N544="","",INDEX('_calc'!$D$2:$D$3001,$N544))</f>
        <v/>
      </c>
      <c r="F544" s="26" t="str">
        <f>IF($N544="","",IF($E$8=0,"",E544/$E$8))</f>
        <v/>
      </c>
      <c r="G544" s="25" t="str">
        <f>IF($N544="","",INDEX('_calc'!$E$2:$E$3001,$N544))</f>
        <v/>
      </c>
      <c r="H544" s="25" t="str">
        <f>IF($N544="","",INDEX('_calc'!$F$2:$F$3001,$N544))</f>
        <v/>
      </c>
      <c r="I544" s="27" t="str">
        <f>IF($N544="","",INDEX('_calc'!$H$2:$H$3001,$N544))</f>
        <v/>
      </c>
      <c r="J544" s="27" t="str">
        <f>IF($N544="","",INDEX('_calc'!$I$2:$I$3001,$N544))</f>
        <v/>
      </c>
      <c r="K544" s="28" t="str">
        <f>IF($N544="","",IF(OR(I544="",J544=""),"",J544-I544))</f>
        <v/>
      </c>
      <c r="L544" s="29" t="str">
        <f>IF($N544="","",INDEX('_calc'!$J$2:$J$3001,$N544))</f>
        <v/>
      </c>
      <c r="M544" s="2" t="str">
        <f>IF($N544="","",IF(AND(G544=0,H544=0),"수량 없음",IF(G544=0,"신규 (전년 수량 없음)",IF(H544=0,"당해 수량 없음",""))))</f>
        <v/>
      </c>
      <c r="N544" t="str">
        <f>IF($B544="","",MATCH($B544,'_calc'!$L$2:$L$3001,0))</f>
        <v/>
      </c>
    </row>
    <row r="545">
      <c r="B545" s="24" t="str">
        <f>IF(ROW()-ROW($B$8)&gt;nComp,"",ROW()-ROW($B$8))</f>
        <v/>
      </c>
      <c r="C545" t="str">
        <f>IF($N545="","",INDEX('_calc'!$A$2:$A$3001,$N545))</f>
        <v/>
      </c>
      <c r="D545" s="25" t="str">
        <f>IF($N545="","",INDEX('_calc'!$C$2:$C$3001,$N545))</f>
        <v/>
      </c>
      <c r="E545" s="25" t="str">
        <f>IF($N545="","",INDEX('_calc'!$D$2:$D$3001,$N545))</f>
        <v/>
      </c>
      <c r="F545" s="26" t="str">
        <f>IF($N545="","",IF($E$8=0,"",E545/$E$8))</f>
        <v/>
      </c>
      <c r="G545" s="25" t="str">
        <f>IF($N545="","",INDEX('_calc'!$E$2:$E$3001,$N545))</f>
        <v/>
      </c>
      <c r="H545" s="25" t="str">
        <f>IF($N545="","",INDEX('_calc'!$F$2:$F$3001,$N545))</f>
        <v/>
      </c>
      <c r="I545" s="27" t="str">
        <f>IF($N545="","",INDEX('_calc'!$H$2:$H$3001,$N545))</f>
        <v/>
      </c>
      <c r="J545" s="27" t="str">
        <f>IF($N545="","",INDEX('_calc'!$I$2:$I$3001,$N545))</f>
        <v/>
      </c>
      <c r="K545" s="28" t="str">
        <f>IF($N545="","",IF(OR(I545="",J545=""),"",J545-I545))</f>
        <v/>
      </c>
      <c r="L545" s="29" t="str">
        <f>IF($N545="","",INDEX('_calc'!$J$2:$J$3001,$N545))</f>
        <v/>
      </c>
      <c r="M545" s="2" t="str">
        <f>IF($N545="","",IF(AND(G545=0,H545=0),"수량 없음",IF(G545=0,"신규 (전년 수량 없음)",IF(H545=0,"당해 수량 없음",""))))</f>
        <v/>
      </c>
      <c r="N545" t="str">
        <f>IF($B545="","",MATCH($B545,'_calc'!$L$2:$L$3001,0))</f>
        <v/>
      </c>
    </row>
    <row r="546">
      <c r="B546" s="24" t="str">
        <f>IF(ROW()-ROW($B$8)&gt;nComp,"",ROW()-ROW($B$8))</f>
        <v/>
      </c>
      <c r="C546" t="str">
        <f>IF($N546="","",INDEX('_calc'!$A$2:$A$3001,$N546))</f>
        <v/>
      </c>
      <c r="D546" s="25" t="str">
        <f>IF($N546="","",INDEX('_calc'!$C$2:$C$3001,$N546))</f>
        <v/>
      </c>
      <c r="E546" s="25" t="str">
        <f>IF($N546="","",INDEX('_calc'!$D$2:$D$3001,$N546))</f>
        <v/>
      </c>
      <c r="F546" s="26" t="str">
        <f>IF($N546="","",IF($E$8=0,"",E546/$E$8))</f>
        <v/>
      </c>
      <c r="G546" s="25" t="str">
        <f>IF($N546="","",INDEX('_calc'!$E$2:$E$3001,$N546))</f>
        <v/>
      </c>
      <c r="H546" s="25" t="str">
        <f>IF($N546="","",INDEX('_calc'!$F$2:$F$3001,$N546))</f>
        <v/>
      </c>
      <c r="I546" s="27" t="str">
        <f>IF($N546="","",INDEX('_calc'!$H$2:$H$3001,$N546))</f>
        <v/>
      </c>
      <c r="J546" s="27" t="str">
        <f>IF($N546="","",INDEX('_calc'!$I$2:$I$3001,$N546))</f>
        <v/>
      </c>
      <c r="K546" s="28" t="str">
        <f>IF($N546="","",IF(OR(I546="",J546=""),"",J546-I546))</f>
        <v/>
      </c>
      <c r="L546" s="29" t="str">
        <f>IF($N546="","",INDEX('_calc'!$J$2:$J$3001,$N546))</f>
        <v/>
      </c>
      <c r="M546" s="2" t="str">
        <f>IF($N546="","",IF(AND(G546=0,H546=0),"수량 없음",IF(G546=0,"신규 (전년 수량 없음)",IF(H546=0,"당해 수량 없음",""))))</f>
        <v/>
      </c>
      <c r="N546" t="str">
        <f>IF($B546="","",MATCH($B546,'_calc'!$L$2:$L$3001,0))</f>
        <v/>
      </c>
    </row>
    <row r="547">
      <c r="B547" s="24" t="str">
        <f>IF(ROW()-ROW($B$8)&gt;nComp,"",ROW()-ROW($B$8))</f>
        <v/>
      </c>
      <c r="C547" t="str">
        <f>IF($N547="","",INDEX('_calc'!$A$2:$A$3001,$N547))</f>
        <v/>
      </c>
      <c r="D547" s="25" t="str">
        <f>IF($N547="","",INDEX('_calc'!$C$2:$C$3001,$N547))</f>
        <v/>
      </c>
      <c r="E547" s="25" t="str">
        <f>IF($N547="","",INDEX('_calc'!$D$2:$D$3001,$N547))</f>
        <v/>
      </c>
      <c r="F547" s="26" t="str">
        <f>IF($N547="","",IF($E$8=0,"",E547/$E$8))</f>
        <v/>
      </c>
      <c r="G547" s="25" t="str">
        <f>IF($N547="","",INDEX('_calc'!$E$2:$E$3001,$N547))</f>
        <v/>
      </c>
      <c r="H547" s="25" t="str">
        <f>IF($N547="","",INDEX('_calc'!$F$2:$F$3001,$N547))</f>
        <v/>
      </c>
      <c r="I547" s="27" t="str">
        <f>IF($N547="","",INDEX('_calc'!$H$2:$H$3001,$N547))</f>
        <v/>
      </c>
      <c r="J547" s="27" t="str">
        <f>IF($N547="","",INDEX('_calc'!$I$2:$I$3001,$N547))</f>
        <v/>
      </c>
      <c r="K547" s="28" t="str">
        <f>IF($N547="","",IF(OR(I547="",J547=""),"",J547-I547))</f>
        <v/>
      </c>
      <c r="L547" s="29" t="str">
        <f>IF($N547="","",INDEX('_calc'!$J$2:$J$3001,$N547))</f>
        <v/>
      </c>
      <c r="M547" s="2" t="str">
        <f>IF($N547="","",IF(AND(G547=0,H547=0),"수량 없음",IF(G547=0,"신규 (전년 수량 없음)",IF(H547=0,"당해 수량 없음",""))))</f>
        <v/>
      </c>
      <c r="N547" t="str">
        <f>IF($B547="","",MATCH($B547,'_calc'!$L$2:$L$3001,0))</f>
        <v/>
      </c>
    </row>
    <row r="548">
      <c r="B548" s="24" t="str">
        <f>IF(ROW()-ROW($B$8)&gt;nComp,"",ROW()-ROW($B$8))</f>
        <v/>
      </c>
      <c r="C548" t="str">
        <f>IF($N548="","",INDEX('_calc'!$A$2:$A$3001,$N548))</f>
        <v/>
      </c>
      <c r="D548" s="25" t="str">
        <f>IF($N548="","",INDEX('_calc'!$C$2:$C$3001,$N548))</f>
        <v/>
      </c>
      <c r="E548" s="25" t="str">
        <f>IF($N548="","",INDEX('_calc'!$D$2:$D$3001,$N548))</f>
        <v/>
      </c>
      <c r="F548" s="26" t="str">
        <f>IF($N548="","",IF($E$8=0,"",E548/$E$8))</f>
        <v/>
      </c>
      <c r="G548" s="25" t="str">
        <f>IF($N548="","",INDEX('_calc'!$E$2:$E$3001,$N548))</f>
        <v/>
      </c>
      <c r="H548" s="25" t="str">
        <f>IF($N548="","",INDEX('_calc'!$F$2:$F$3001,$N548))</f>
        <v/>
      </c>
      <c r="I548" s="27" t="str">
        <f>IF($N548="","",INDEX('_calc'!$H$2:$H$3001,$N548))</f>
        <v/>
      </c>
      <c r="J548" s="27" t="str">
        <f>IF($N548="","",INDEX('_calc'!$I$2:$I$3001,$N548))</f>
        <v/>
      </c>
      <c r="K548" s="28" t="str">
        <f>IF($N548="","",IF(OR(I548="",J548=""),"",J548-I548))</f>
        <v/>
      </c>
      <c r="L548" s="29" t="str">
        <f>IF($N548="","",INDEX('_calc'!$J$2:$J$3001,$N548))</f>
        <v/>
      </c>
      <c r="M548" s="2" t="str">
        <f>IF($N548="","",IF(AND(G548=0,H548=0),"수량 없음",IF(G548=0,"신규 (전년 수량 없음)",IF(H548=0,"당해 수량 없음",""))))</f>
        <v/>
      </c>
      <c r="N548" t="str">
        <f>IF($B548="","",MATCH($B548,'_calc'!$L$2:$L$3001,0))</f>
        <v/>
      </c>
    </row>
    <row r="549">
      <c r="B549" s="24" t="str">
        <f>IF(ROW()-ROW($B$8)&gt;nComp,"",ROW()-ROW($B$8))</f>
        <v/>
      </c>
      <c r="C549" t="str">
        <f>IF($N549="","",INDEX('_calc'!$A$2:$A$3001,$N549))</f>
        <v/>
      </c>
      <c r="D549" s="25" t="str">
        <f>IF($N549="","",INDEX('_calc'!$C$2:$C$3001,$N549))</f>
        <v/>
      </c>
      <c r="E549" s="25" t="str">
        <f>IF($N549="","",INDEX('_calc'!$D$2:$D$3001,$N549))</f>
        <v/>
      </c>
      <c r="F549" s="26" t="str">
        <f>IF($N549="","",IF($E$8=0,"",E549/$E$8))</f>
        <v/>
      </c>
      <c r="G549" s="25" t="str">
        <f>IF($N549="","",INDEX('_calc'!$E$2:$E$3001,$N549))</f>
        <v/>
      </c>
      <c r="H549" s="25" t="str">
        <f>IF($N549="","",INDEX('_calc'!$F$2:$F$3001,$N549))</f>
        <v/>
      </c>
      <c r="I549" s="27" t="str">
        <f>IF($N549="","",INDEX('_calc'!$H$2:$H$3001,$N549))</f>
        <v/>
      </c>
      <c r="J549" s="27" t="str">
        <f>IF($N549="","",INDEX('_calc'!$I$2:$I$3001,$N549))</f>
        <v/>
      </c>
      <c r="K549" s="28" t="str">
        <f>IF($N549="","",IF(OR(I549="",J549=""),"",J549-I549))</f>
        <v/>
      </c>
      <c r="L549" s="29" t="str">
        <f>IF($N549="","",INDEX('_calc'!$J$2:$J$3001,$N549))</f>
        <v/>
      </c>
      <c r="M549" s="2" t="str">
        <f>IF($N549="","",IF(AND(G549=0,H549=0),"수량 없음",IF(G549=0,"신규 (전년 수량 없음)",IF(H549=0,"당해 수량 없음",""))))</f>
        <v/>
      </c>
      <c r="N549" t="str">
        <f>IF($B549="","",MATCH($B549,'_calc'!$L$2:$L$3001,0))</f>
        <v/>
      </c>
    </row>
    <row r="550">
      <c r="B550" s="24" t="str">
        <f>IF(ROW()-ROW($B$8)&gt;nComp,"",ROW()-ROW($B$8))</f>
        <v/>
      </c>
      <c r="C550" t="str">
        <f>IF($N550="","",INDEX('_calc'!$A$2:$A$3001,$N550))</f>
        <v/>
      </c>
      <c r="D550" s="25" t="str">
        <f>IF($N550="","",INDEX('_calc'!$C$2:$C$3001,$N550))</f>
        <v/>
      </c>
      <c r="E550" s="25" t="str">
        <f>IF($N550="","",INDEX('_calc'!$D$2:$D$3001,$N550))</f>
        <v/>
      </c>
      <c r="F550" s="26" t="str">
        <f>IF($N550="","",IF($E$8=0,"",E550/$E$8))</f>
        <v/>
      </c>
      <c r="G550" s="25" t="str">
        <f>IF($N550="","",INDEX('_calc'!$E$2:$E$3001,$N550))</f>
        <v/>
      </c>
      <c r="H550" s="25" t="str">
        <f>IF($N550="","",INDEX('_calc'!$F$2:$F$3001,$N550))</f>
        <v/>
      </c>
      <c r="I550" s="27" t="str">
        <f>IF($N550="","",INDEX('_calc'!$H$2:$H$3001,$N550))</f>
        <v/>
      </c>
      <c r="J550" s="27" t="str">
        <f>IF($N550="","",INDEX('_calc'!$I$2:$I$3001,$N550))</f>
        <v/>
      </c>
      <c r="K550" s="28" t="str">
        <f>IF($N550="","",IF(OR(I550="",J550=""),"",J550-I550))</f>
        <v/>
      </c>
      <c r="L550" s="29" t="str">
        <f>IF($N550="","",INDEX('_calc'!$J$2:$J$3001,$N550))</f>
        <v/>
      </c>
      <c r="M550" s="2" t="str">
        <f>IF($N550="","",IF(AND(G550=0,H550=0),"수량 없음",IF(G550=0,"신규 (전년 수량 없음)",IF(H550=0,"당해 수량 없음",""))))</f>
        <v/>
      </c>
      <c r="N550" t="str">
        <f>IF($B550="","",MATCH($B550,'_calc'!$L$2:$L$3001,0))</f>
        <v/>
      </c>
    </row>
    <row r="551">
      <c r="B551" s="24" t="str">
        <f>IF(ROW()-ROW($B$8)&gt;nComp,"",ROW()-ROW($B$8))</f>
        <v/>
      </c>
      <c r="C551" t="str">
        <f>IF($N551="","",INDEX('_calc'!$A$2:$A$3001,$N551))</f>
        <v/>
      </c>
      <c r="D551" s="25" t="str">
        <f>IF($N551="","",INDEX('_calc'!$C$2:$C$3001,$N551))</f>
        <v/>
      </c>
      <c r="E551" s="25" t="str">
        <f>IF($N551="","",INDEX('_calc'!$D$2:$D$3001,$N551))</f>
        <v/>
      </c>
      <c r="F551" s="26" t="str">
        <f>IF($N551="","",IF($E$8=0,"",E551/$E$8))</f>
        <v/>
      </c>
      <c r="G551" s="25" t="str">
        <f>IF($N551="","",INDEX('_calc'!$E$2:$E$3001,$N551))</f>
        <v/>
      </c>
      <c r="H551" s="25" t="str">
        <f>IF($N551="","",INDEX('_calc'!$F$2:$F$3001,$N551))</f>
        <v/>
      </c>
      <c r="I551" s="27" t="str">
        <f>IF($N551="","",INDEX('_calc'!$H$2:$H$3001,$N551))</f>
        <v/>
      </c>
      <c r="J551" s="27" t="str">
        <f>IF($N551="","",INDEX('_calc'!$I$2:$I$3001,$N551))</f>
        <v/>
      </c>
      <c r="K551" s="28" t="str">
        <f>IF($N551="","",IF(OR(I551="",J551=""),"",J551-I551))</f>
        <v/>
      </c>
      <c r="L551" s="29" t="str">
        <f>IF($N551="","",INDEX('_calc'!$J$2:$J$3001,$N551))</f>
        <v/>
      </c>
      <c r="M551" s="2" t="str">
        <f>IF($N551="","",IF(AND(G551=0,H551=0),"수량 없음",IF(G551=0,"신규 (전년 수량 없음)",IF(H551=0,"당해 수량 없음",""))))</f>
        <v/>
      </c>
      <c r="N551" t="str">
        <f>IF($B551="","",MATCH($B551,'_calc'!$L$2:$L$3001,0))</f>
        <v/>
      </c>
    </row>
    <row r="552">
      <c r="B552" s="24" t="str">
        <f>IF(ROW()-ROW($B$8)&gt;nComp,"",ROW()-ROW($B$8))</f>
        <v/>
      </c>
      <c r="C552" t="str">
        <f>IF($N552="","",INDEX('_calc'!$A$2:$A$3001,$N552))</f>
        <v/>
      </c>
      <c r="D552" s="25" t="str">
        <f>IF($N552="","",INDEX('_calc'!$C$2:$C$3001,$N552))</f>
        <v/>
      </c>
      <c r="E552" s="25" t="str">
        <f>IF($N552="","",INDEX('_calc'!$D$2:$D$3001,$N552))</f>
        <v/>
      </c>
      <c r="F552" s="26" t="str">
        <f>IF($N552="","",IF($E$8=0,"",E552/$E$8))</f>
        <v/>
      </c>
      <c r="G552" s="25" t="str">
        <f>IF($N552="","",INDEX('_calc'!$E$2:$E$3001,$N552))</f>
        <v/>
      </c>
      <c r="H552" s="25" t="str">
        <f>IF($N552="","",INDEX('_calc'!$F$2:$F$3001,$N552))</f>
        <v/>
      </c>
      <c r="I552" s="27" t="str">
        <f>IF($N552="","",INDEX('_calc'!$H$2:$H$3001,$N552))</f>
        <v/>
      </c>
      <c r="J552" s="27" t="str">
        <f>IF($N552="","",INDEX('_calc'!$I$2:$I$3001,$N552))</f>
        <v/>
      </c>
      <c r="K552" s="28" t="str">
        <f>IF($N552="","",IF(OR(I552="",J552=""),"",J552-I552))</f>
        <v/>
      </c>
      <c r="L552" s="29" t="str">
        <f>IF($N552="","",INDEX('_calc'!$J$2:$J$3001,$N552))</f>
        <v/>
      </c>
      <c r="M552" s="2" t="str">
        <f>IF($N552="","",IF(AND(G552=0,H552=0),"수량 없음",IF(G552=0,"신규 (전년 수량 없음)",IF(H552=0,"당해 수량 없음",""))))</f>
        <v/>
      </c>
      <c r="N552" t="str">
        <f>IF($B552="","",MATCH($B552,'_calc'!$L$2:$L$3001,0))</f>
        <v/>
      </c>
    </row>
    <row r="553">
      <c r="B553" s="24" t="str">
        <f>IF(ROW()-ROW($B$8)&gt;nComp,"",ROW()-ROW($B$8))</f>
        <v/>
      </c>
      <c r="C553" t="str">
        <f>IF($N553="","",INDEX('_calc'!$A$2:$A$3001,$N553))</f>
        <v/>
      </c>
      <c r="D553" s="25" t="str">
        <f>IF($N553="","",INDEX('_calc'!$C$2:$C$3001,$N553))</f>
        <v/>
      </c>
      <c r="E553" s="25" t="str">
        <f>IF($N553="","",INDEX('_calc'!$D$2:$D$3001,$N553))</f>
        <v/>
      </c>
      <c r="F553" s="26" t="str">
        <f>IF($N553="","",IF($E$8=0,"",E553/$E$8))</f>
        <v/>
      </c>
      <c r="G553" s="25" t="str">
        <f>IF($N553="","",INDEX('_calc'!$E$2:$E$3001,$N553))</f>
        <v/>
      </c>
      <c r="H553" s="25" t="str">
        <f>IF($N553="","",INDEX('_calc'!$F$2:$F$3001,$N553))</f>
        <v/>
      </c>
      <c r="I553" s="27" t="str">
        <f>IF($N553="","",INDEX('_calc'!$H$2:$H$3001,$N553))</f>
        <v/>
      </c>
      <c r="J553" s="27" t="str">
        <f>IF($N553="","",INDEX('_calc'!$I$2:$I$3001,$N553))</f>
        <v/>
      </c>
      <c r="K553" s="28" t="str">
        <f>IF($N553="","",IF(OR(I553="",J553=""),"",J553-I553))</f>
        <v/>
      </c>
      <c r="L553" s="29" t="str">
        <f>IF($N553="","",INDEX('_calc'!$J$2:$J$3001,$N553))</f>
        <v/>
      </c>
      <c r="M553" s="2" t="str">
        <f>IF($N553="","",IF(AND(G553=0,H553=0),"수량 없음",IF(G553=0,"신규 (전년 수량 없음)",IF(H553=0,"당해 수량 없음",""))))</f>
        <v/>
      </c>
      <c r="N553" t="str">
        <f>IF($B553="","",MATCH($B553,'_calc'!$L$2:$L$3001,0))</f>
        <v/>
      </c>
    </row>
    <row r="554">
      <c r="B554" s="24" t="str">
        <f>IF(ROW()-ROW($B$8)&gt;nComp,"",ROW()-ROW($B$8))</f>
        <v/>
      </c>
      <c r="C554" t="str">
        <f>IF($N554="","",INDEX('_calc'!$A$2:$A$3001,$N554))</f>
        <v/>
      </c>
      <c r="D554" s="25" t="str">
        <f>IF($N554="","",INDEX('_calc'!$C$2:$C$3001,$N554))</f>
        <v/>
      </c>
      <c r="E554" s="25" t="str">
        <f>IF($N554="","",INDEX('_calc'!$D$2:$D$3001,$N554))</f>
        <v/>
      </c>
      <c r="F554" s="26" t="str">
        <f>IF($N554="","",IF($E$8=0,"",E554/$E$8))</f>
        <v/>
      </c>
      <c r="G554" s="25" t="str">
        <f>IF($N554="","",INDEX('_calc'!$E$2:$E$3001,$N554))</f>
        <v/>
      </c>
      <c r="H554" s="25" t="str">
        <f>IF($N554="","",INDEX('_calc'!$F$2:$F$3001,$N554))</f>
        <v/>
      </c>
      <c r="I554" s="27" t="str">
        <f>IF($N554="","",INDEX('_calc'!$H$2:$H$3001,$N554))</f>
        <v/>
      </c>
      <c r="J554" s="27" t="str">
        <f>IF($N554="","",INDEX('_calc'!$I$2:$I$3001,$N554))</f>
        <v/>
      </c>
      <c r="K554" s="28" t="str">
        <f>IF($N554="","",IF(OR(I554="",J554=""),"",J554-I554))</f>
        <v/>
      </c>
      <c r="L554" s="29" t="str">
        <f>IF($N554="","",INDEX('_calc'!$J$2:$J$3001,$N554))</f>
        <v/>
      </c>
      <c r="M554" s="2" t="str">
        <f>IF($N554="","",IF(AND(G554=0,H554=0),"수량 없음",IF(G554=0,"신규 (전년 수량 없음)",IF(H554=0,"당해 수량 없음",""))))</f>
        <v/>
      </c>
      <c r="N554" t="str">
        <f>IF($B554="","",MATCH($B554,'_calc'!$L$2:$L$3001,0))</f>
        <v/>
      </c>
    </row>
    <row r="555">
      <c r="B555" s="24" t="str">
        <f>IF(ROW()-ROW($B$8)&gt;nComp,"",ROW()-ROW($B$8))</f>
        <v/>
      </c>
      <c r="C555" t="str">
        <f>IF($N555="","",INDEX('_calc'!$A$2:$A$3001,$N555))</f>
        <v/>
      </c>
      <c r="D555" s="25" t="str">
        <f>IF($N555="","",INDEX('_calc'!$C$2:$C$3001,$N555))</f>
        <v/>
      </c>
      <c r="E555" s="25" t="str">
        <f>IF($N555="","",INDEX('_calc'!$D$2:$D$3001,$N555))</f>
        <v/>
      </c>
      <c r="F555" s="26" t="str">
        <f>IF($N555="","",IF($E$8=0,"",E555/$E$8))</f>
        <v/>
      </c>
      <c r="G555" s="25" t="str">
        <f>IF($N555="","",INDEX('_calc'!$E$2:$E$3001,$N555))</f>
        <v/>
      </c>
      <c r="H555" s="25" t="str">
        <f>IF($N555="","",INDEX('_calc'!$F$2:$F$3001,$N555))</f>
        <v/>
      </c>
      <c r="I555" s="27" t="str">
        <f>IF($N555="","",INDEX('_calc'!$H$2:$H$3001,$N555))</f>
        <v/>
      </c>
      <c r="J555" s="27" t="str">
        <f>IF($N555="","",INDEX('_calc'!$I$2:$I$3001,$N555))</f>
        <v/>
      </c>
      <c r="K555" s="28" t="str">
        <f>IF($N555="","",IF(OR(I555="",J555=""),"",J555-I555))</f>
        <v/>
      </c>
      <c r="L555" s="29" t="str">
        <f>IF($N555="","",INDEX('_calc'!$J$2:$J$3001,$N555))</f>
        <v/>
      </c>
      <c r="M555" s="2" t="str">
        <f>IF($N555="","",IF(AND(G555=0,H555=0),"수량 없음",IF(G555=0,"신규 (전년 수량 없음)",IF(H555=0,"당해 수량 없음",""))))</f>
        <v/>
      </c>
      <c r="N555" t="str">
        <f>IF($B555="","",MATCH($B555,'_calc'!$L$2:$L$3001,0))</f>
        <v/>
      </c>
    </row>
    <row r="556">
      <c r="B556" s="24" t="str">
        <f>IF(ROW()-ROW($B$8)&gt;nComp,"",ROW()-ROW($B$8))</f>
        <v/>
      </c>
      <c r="C556" t="str">
        <f>IF($N556="","",INDEX('_calc'!$A$2:$A$3001,$N556))</f>
        <v/>
      </c>
      <c r="D556" s="25" t="str">
        <f>IF($N556="","",INDEX('_calc'!$C$2:$C$3001,$N556))</f>
        <v/>
      </c>
      <c r="E556" s="25" t="str">
        <f>IF($N556="","",INDEX('_calc'!$D$2:$D$3001,$N556))</f>
        <v/>
      </c>
      <c r="F556" s="26" t="str">
        <f>IF($N556="","",IF($E$8=0,"",E556/$E$8))</f>
        <v/>
      </c>
      <c r="G556" s="25" t="str">
        <f>IF($N556="","",INDEX('_calc'!$E$2:$E$3001,$N556))</f>
        <v/>
      </c>
      <c r="H556" s="25" t="str">
        <f>IF($N556="","",INDEX('_calc'!$F$2:$F$3001,$N556))</f>
        <v/>
      </c>
      <c r="I556" s="27" t="str">
        <f>IF($N556="","",INDEX('_calc'!$H$2:$H$3001,$N556))</f>
        <v/>
      </c>
      <c r="J556" s="27" t="str">
        <f>IF($N556="","",INDEX('_calc'!$I$2:$I$3001,$N556))</f>
        <v/>
      </c>
      <c r="K556" s="28" t="str">
        <f>IF($N556="","",IF(OR(I556="",J556=""),"",J556-I556))</f>
        <v/>
      </c>
      <c r="L556" s="29" t="str">
        <f>IF($N556="","",INDEX('_calc'!$J$2:$J$3001,$N556))</f>
        <v/>
      </c>
      <c r="M556" s="2" t="str">
        <f>IF($N556="","",IF(AND(G556=0,H556=0),"수량 없음",IF(G556=0,"신규 (전년 수량 없음)",IF(H556=0,"당해 수량 없음",""))))</f>
        <v/>
      </c>
      <c r="N556" t="str">
        <f>IF($B556="","",MATCH($B556,'_calc'!$L$2:$L$3001,0))</f>
        <v/>
      </c>
    </row>
    <row r="557">
      <c r="B557" s="24" t="str">
        <f>IF(ROW()-ROW($B$8)&gt;nComp,"",ROW()-ROW($B$8))</f>
        <v/>
      </c>
      <c r="C557" t="str">
        <f>IF($N557="","",INDEX('_calc'!$A$2:$A$3001,$N557))</f>
        <v/>
      </c>
      <c r="D557" s="25" t="str">
        <f>IF($N557="","",INDEX('_calc'!$C$2:$C$3001,$N557))</f>
        <v/>
      </c>
      <c r="E557" s="25" t="str">
        <f>IF($N557="","",INDEX('_calc'!$D$2:$D$3001,$N557))</f>
        <v/>
      </c>
      <c r="F557" s="26" t="str">
        <f>IF($N557="","",IF($E$8=0,"",E557/$E$8))</f>
        <v/>
      </c>
      <c r="G557" s="25" t="str">
        <f>IF($N557="","",INDEX('_calc'!$E$2:$E$3001,$N557))</f>
        <v/>
      </c>
      <c r="H557" s="25" t="str">
        <f>IF($N557="","",INDEX('_calc'!$F$2:$F$3001,$N557))</f>
        <v/>
      </c>
      <c r="I557" s="27" t="str">
        <f>IF($N557="","",INDEX('_calc'!$H$2:$H$3001,$N557))</f>
        <v/>
      </c>
      <c r="J557" s="27" t="str">
        <f>IF($N557="","",INDEX('_calc'!$I$2:$I$3001,$N557))</f>
        <v/>
      </c>
      <c r="K557" s="28" t="str">
        <f>IF($N557="","",IF(OR(I557="",J557=""),"",J557-I557))</f>
        <v/>
      </c>
      <c r="L557" s="29" t="str">
        <f>IF($N557="","",INDEX('_calc'!$J$2:$J$3001,$N557))</f>
        <v/>
      </c>
      <c r="M557" s="2" t="str">
        <f>IF($N557="","",IF(AND(G557=0,H557=0),"수량 없음",IF(G557=0,"신규 (전년 수량 없음)",IF(H557=0,"당해 수량 없음",""))))</f>
        <v/>
      </c>
      <c r="N557" t="str">
        <f>IF($B557="","",MATCH($B557,'_calc'!$L$2:$L$3001,0))</f>
        <v/>
      </c>
    </row>
    <row r="558">
      <c r="B558" s="24" t="str">
        <f>IF(ROW()-ROW($B$8)&gt;nComp,"",ROW()-ROW($B$8))</f>
        <v/>
      </c>
      <c r="C558" t="str">
        <f>IF($N558="","",INDEX('_calc'!$A$2:$A$3001,$N558))</f>
        <v/>
      </c>
      <c r="D558" s="25" t="str">
        <f>IF($N558="","",INDEX('_calc'!$C$2:$C$3001,$N558))</f>
        <v/>
      </c>
      <c r="E558" s="25" t="str">
        <f>IF($N558="","",INDEX('_calc'!$D$2:$D$3001,$N558))</f>
        <v/>
      </c>
      <c r="F558" s="26" t="str">
        <f>IF($N558="","",IF($E$8=0,"",E558/$E$8))</f>
        <v/>
      </c>
      <c r="G558" s="25" t="str">
        <f>IF($N558="","",INDEX('_calc'!$E$2:$E$3001,$N558))</f>
        <v/>
      </c>
      <c r="H558" s="25" t="str">
        <f>IF($N558="","",INDEX('_calc'!$F$2:$F$3001,$N558))</f>
        <v/>
      </c>
      <c r="I558" s="27" t="str">
        <f>IF($N558="","",INDEX('_calc'!$H$2:$H$3001,$N558))</f>
        <v/>
      </c>
      <c r="J558" s="27" t="str">
        <f>IF($N558="","",INDEX('_calc'!$I$2:$I$3001,$N558))</f>
        <v/>
      </c>
      <c r="K558" s="28" t="str">
        <f>IF($N558="","",IF(OR(I558="",J558=""),"",J558-I558))</f>
        <v/>
      </c>
      <c r="L558" s="29" t="str">
        <f>IF($N558="","",INDEX('_calc'!$J$2:$J$3001,$N558))</f>
        <v/>
      </c>
      <c r="M558" s="2" t="str">
        <f>IF($N558="","",IF(AND(G558=0,H558=0),"수량 없음",IF(G558=0,"신규 (전년 수량 없음)",IF(H558=0,"당해 수량 없음",""))))</f>
        <v/>
      </c>
      <c r="N558" t="str">
        <f>IF($B558="","",MATCH($B558,'_calc'!$L$2:$L$3001,0))</f>
        <v/>
      </c>
    </row>
    <row r="559">
      <c r="B559" s="24" t="str">
        <f>IF(ROW()-ROW($B$8)&gt;nComp,"",ROW()-ROW($B$8))</f>
        <v/>
      </c>
      <c r="C559" t="str">
        <f>IF($N559="","",INDEX('_calc'!$A$2:$A$3001,$N559))</f>
        <v/>
      </c>
      <c r="D559" s="25" t="str">
        <f>IF($N559="","",INDEX('_calc'!$C$2:$C$3001,$N559))</f>
        <v/>
      </c>
      <c r="E559" s="25" t="str">
        <f>IF($N559="","",INDEX('_calc'!$D$2:$D$3001,$N559))</f>
        <v/>
      </c>
      <c r="F559" s="26" t="str">
        <f>IF($N559="","",IF($E$8=0,"",E559/$E$8))</f>
        <v/>
      </c>
      <c r="G559" s="25" t="str">
        <f>IF($N559="","",INDEX('_calc'!$E$2:$E$3001,$N559))</f>
        <v/>
      </c>
      <c r="H559" s="25" t="str">
        <f>IF($N559="","",INDEX('_calc'!$F$2:$F$3001,$N559))</f>
        <v/>
      </c>
      <c r="I559" s="27" t="str">
        <f>IF($N559="","",INDEX('_calc'!$H$2:$H$3001,$N559))</f>
        <v/>
      </c>
      <c r="J559" s="27" t="str">
        <f>IF($N559="","",INDEX('_calc'!$I$2:$I$3001,$N559))</f>
        <v/>
      </c>
      <c r="K559" s="28" t="str">
        <f>IF($N559="","",IF(OR(I559="",J559=""),"",J559-I559))</f>
        <v/>
      </c>
      <c r="L559" s="29" t="str">
        <f>IF($N559="","",INDEX('_calc'!$J$2:$J$3001,$N559))</f>
        <v/>
      </c>
      <c r="M559" s="2" t="str">
        <f>IF($N559="","",IF(AND(G559=0,H559=0),"수량 없음",IF(G559=0,"신규 (전년 수량 없음)",IF(H559=0,"당해 수량 없음",""))))</f>
        <v/>
      </c>
      <c r="N559" t="str">
        <f>IF($B559="","",MATCH($B559,'_calc'!$L$2:$L$3001,0))</f>
        <v/>
      </c>
    </row>
    <row r="560">
      <c r="B560" s="24" t="str">
        <f>IF(ROW()-ROW($B$8)&gt;nComp,"",ROW()-ROW($B$8))</f>
        <v/>
      </c>
      <c r="C560" t="str">
        <f>IF($N560="","",INDEX('_calc'!$A$2:$A$3001,$N560))</f>
        <v/>
      </c>
      <c r="D560" s="25" t="str">
        <f>IF($N560="","",INDEX('_calc'!$C$2:$C$3001,$N560))</f>
        <v/>
      </c>
      <c r="E560" s="25" t="str">
        <f>IF($N560="","",INDEX('_calc'!$D$2:$D$3001,$N560))</f>
        <v/>
      </c>
      <c r="F560" s="26" t="str">
        <f>IF($N560="","",IF($E$8=0,"",E560/$E$8))</f>
        <v/>
      </c>
      <c r="G560" s="25" t="str">
        <f>IF($N560="","",INDEX('_calc'!$E$2:$E$3001,$N560))</f>
        <v/>
      </c>
      <c r="H560" s="25" t="str">
        <f>IF($N560="","",INDEX('_calc'!$F$2:$F$3001,$N560))</f>
        <v/>
      </c>
      <c r="I560" s="27" t="str">
        <f>IF($N560="","",INDEX('_calc'!$H$2:$H$3001,$N560))</f>
        <v/>
      </c>
      <c r="J560" s="27" t="str">
        <f>IF($N560="","",INDEX('_calc'!$I$2:$I$3001,$N560))</f>
        <v/>
      </c>
      <c r="K560" s="28" t="str">
        <f>IF($N560="","",IF(OR(I560="",J560=""),"",J560-I560))</f>
        <v/>
      </c>
      <c r="L560" s="29" t="str">
        <f>IF($N560="","",INDEX('_calc'!$J$2:$J$3001,$N560))</f>
        <v/>
      </c>
      <c r="M560" s="2" t="str">
        <f>IF($N560="","",IF(AND(G560=0,H560=0),"수량 없음",IF(G560=0,"신규 (전년 수량 없음)",IF(H560=0,"당해 수량 없음",""))))</f>
        <v/>
      </c>
      <c r="N560" t="str">
        <f>IF($B560="","",MATCH($B560,'_calc'!$L$2:$L$3001,0))</f>
        <v/>
      </c>
    </row>
    <row r="561">
      <c r="B561" s="24" t="str">
        <f>IF(ROW()-ROW($B$8)&gt;nComp,"",ROW()-ROW($B$8))</f>
        <v/>
      </c>
      <c r="C561" t="str">
        <f>IF($N561="","",INDEX('_calc'!$A$2:$A$3001,$N561))</f>
        <v/>
      </c>
      <c r="D561" s="25" t="str">
        <f>IF($N561="","",INDEX('_calc'!$C$2:$C$3001,$N561))</f>
        <v/>
      </c>
      <c r="E561" s="25" t="str">
        <f>IF($N561="","",INDEX('_calc'!$D$2:$D$3001,$N561))</f>
        <v/>
      </c>
      <c r="F561" s="26" t="str">
        <f>IF($N561="","",IF($E$8=0,"",E561/$E$8))</f>
        <v/>
      </c>
      <c r="G561" s="25" t="str">
        <f>IF($N561="","",INDEX('_calc'!$E$2:$E$3001,$N561))</f>
        <v/>
      </c>
      <c r="H561" s="25" t="str">
        <f>IF($N561="","",INDEX('_calc'!$F$2:$F$3001,$N561))</f>
        <v/>
      </c>
      <c r="I561" s="27" t="str">
        <f>IF($N561="","",INDEX('_calc'!$H$2:$H$3001,$N561))</f>
        <v/>
      </c>
      <c r="J561" s="27" t="str">
        <f>IF($N561="","",INDEX('_calc'!$I$2:$I$3001,$N561))</f>
        <v/>
      </c>
      <c r="K561" s="28" t="str">
        <f>IF($N561="","",IF(OR(I561="",J561=""),"",J561-I561))</f>
        <v/>
      </c>
      <c r="L561" s="29" t="str">
        <f>IF($N561="","",INDEX('_calc'!$J$2:$J$3001,$N561))</f>
        <v/>
      </c>
      <c r="M561" s="2" t="str">
        <f>IF($N561="","",IF(AND(G561=0,H561=0),"수량 없음",IF(G561=0,"신규 (전년 수량 없음)",IF(H561=0,"당해 수량 없음",""))))</f>
        <v/>
      </c>
      <c r="N561" t="str">
        <f>IF($B561="","",MATCH($B561,'_calc'!$L$2:$L$3001,0))</f>
        <v/>
      </c>
    </row>
    <row r="562">
      <c r="B562" s="24" t="str">
        <f>IF(ROW()-ROW($B$8)&gt;nComp,"",ROW()-ROW($B$8))</f>
        <v/>
      </c>
      <c r="C562" t="str">
        <f>IF($N562="","",INDEX('_calc'!$A$2:$A$3001,$N562))</f>
        <v/>
      </c>
      <c r="D562" s="25" t="str">
        <f>IF($N562="","",INDEX('_calc'!$C$2:$C$3001,$N562))</f>
        <v/>
      </c>
      <c r="E562" s="25" t="str">
        <f>IF($N562="","",INDEX('_calc'!$D$2:$D$3001,$N562))</f>
        <v/>
      </c>
      <c r="F562" s="26" t="str">
        <f>IF($N562="","",IF($E$8=0,"",E562/$E$8))</f>
        <v/>
      </c>
      <c r="G562" s="25" t="str">
        <f>IF($N562="","",INDEX('_calc'!$E$2:$E$3001,$N562))</f>
        <v/>
      </c>
      <c r="H562" s="25" t="str">
        <f>IF($N562="","",INDEX('_calc'!$F$2:$F$3001,$N562))</f>
        <v/>
      </c>
      <c r="I562" s="27" t="str">
        <f>IF($N562="","",INDEX('_calc'!$H$2:$H$3001,$N562))</f>
        <v/>
      </c>
      <c r="J562" s="27" t="str">
        <f>IF($N562="","",INDEX('_calc'!$I$2:$I$3001,$N562))</f>
        <v/>
      </c>
      <c r="K562" s="28" t="str">
        <f>IF($N562="","",IF(OR(I562="",J562=""),"",J562-I562))</f>
        <v/>
      </c>
      <c r="L562" s="29" t="str">
        <f>IF($N562="","",INDEX('_calc'!$J$2:$J$3001,$N562))</f>
        <v/>
      </c>
      <c r="M562" s="2" t="str">
        <f>IF($N562="","",IF(AND(G562=0,H562=0),"수량 없음",IF(G562=0,"신규 (전년 수량 없음)",IF(H562=0,"당해 수량 없음",""))))</f>
        <v/>
      </c>
      <c r="N562" t="str">
        <f>IF($B562="","",MATCH($B562,'_calc'!$L$2:$L$3001,0))</f>
        <v/>
      </c>
    </row>
    <row r="563">
      <c r="B563" s="24" t="str">
        <f>IF(ROW()-ROW($B$8)&gt;nComp,"",ROW()-ROW($B$8))</f>
        <v/>
      </c>
      <c r="C563" t="str">
        <f>IF($N563="","",INDEX('_calc'!$A$2:$A$3001,$N563))</f>
        <v/>
      </c>
      <c r="D563" s="25" t="str">
        <f>IF($N563="","",INDEX('_calc'!$C$2:$C$3001,$N563))</f>
        <v/>
      </c>
      <c r="E563" s="25" t="str">
        <f>IF($N563="","",INDEX('_calc'!$D$2:$D$3001,$N563))</f>
        <v/>
      </c>
      <c r="F563" s="26" t="str">
        <f>IF($N563="","",IF($E$8=0,"",E563/$E$8))</f>
        <v/>
      </c>
      <c r="G563" s="25" t="str">
        <f>IF($N563="","",INDEX('_calc'!$E$2:$E$3001,$N563))</f>
        <v/>
      </c>
      <c r="H563" s="25" t="str">
        <f>IF($N563="","",INDEX('_calc'!$F$2:$F$3001,$N563))</f>
        <v/>
      </c>
      <c r="I563" s="27" t="str">
        <f>IF($N563="","",INDEX('_calc'!$H$2:$H$3001,$N563))</f>
        <v/>
      </c>
      <c r="J563" s="27" t="str">
        <f>IF($N563="","",INDEX('_calc'!$I$2:$I$3001,$N563))</f>
        <v/>
      </c>
      <c r="K563" s="28" t="str">
        <f>IF($N563="","",IF(OR(I563="",J563=""),"",J563-I563))</f>
        <v/>
      </c>
      <c r="L563" s="29" t="str">
        <f>IF($N563="","",INDEX('_calc'!$J$2:$J$3001,$N563))</f>
        <v/>
      </c>
      <c r="M563" s="2" t="str">
        <f>IF($N563="","",IF(AND(G563=0,H563=0),"수량 없음",IF(G563=0,"신규 (전년 수량 없음)",IF(H563=0,"당해 수량 없음",""))))</f>
        <v/>
      </c>
      <c r="N563" t="str">
        <f>IF($B563="","",MATCH($B563,'_calc'!$L$2:$L$3001,0))</f>
        <v/>
      </c>
    </row>
    <row r="564">
      <c r="B564" s="24" t="str">
        <f>IF(ROW()-ROW($B$8)&gt;nComp,"",ROW()-ROW($B$8))</f>
        <v/>
      </c>
      <c r="C564" t="str">
        <f>IF($N564="","",INDEX('_calc'!$A$2:$A$3001,$N564))</f>
        <v/>
      </c>
      <c r="D564" s="25" t="str">
        <f>IF($N564="","",INDEX('_calc'!$C$2:$C$3001,$N564))</f>
        <v/>
      </c>
      <c r="E564" s="25" t="str">
        <f>IF($N564="","",INDEX('_calc'!$D$2:$D$3001,$N564))</f>
        <v/>
      </c>
      <c r="F564" s="26" t="str">
        <f>IF($N564="","",IF($E$8=0,"",E564/$E$8))</f>
        <v/>
      </c>
      <c r="G564" s="25" t="str">
        <f>IF($N564="","",INDEX('_calc'!$E$2:$E$3001,$N564))</f>
        <v/>
      </c>
      <c r="H564" s="25" t="str">
        <f>IF($N564="","",INDEX('_calc'!$F$2:$F$3001,$N564))</f>
        <v/>
      </c>
      <c r="I564" s="27" t="str">
        <f>IF($N564="","",INDEX('_calc'!$H$2:$H$3001,$N564))</f>
        <v/>
      </c>
      <c r="J564" s="27" t="str">
        <f>IF($N564="","",INDEX('_calc'!$I$2:$I$3001,$N564))</f>
        <v/>
      </c>
      <c r="K564" s="28" t="str">
        <f>IF($N564="","",IF(OR(I564="",J564=""),"",J564-I564))</f>
        <v/>
      </c>
      <c r="L564" s="29" t="str">
        <f>IF($N564="","",INDEX('_calc'!$J$2:$J$3001,$N564))</f>
        <v/>
      </c>
      <c r="M564" s="2" t="str">
        <f>IF($N564="","",IF(AND(G564=0,H564=0),"수량 없음",IF(G564=0,"신규 (전년 수량 없음)",IF(H564=0,"당해 수량 없음",""))))</f>
        <v/>
      </c>
      <c r="N564" t="str">
        <f>IF($B564="","",MATCH($B564,'_calc'!$L$2:$L$3001,0))</f>
        <v/>
      </c>
    </row>
    <row r="565">
      <c r="B565" s="24" t="str">
        <f>IF(ROW()-ROW($B$8)&gt;nComp,"",ROW()-ROW($B$8))</f>
        <v/>
      </c>
      <c r="C565" t="str">
        <f>IF($N565="","",INDEX('_calc'!$A$2:$A$3001,$N565))</f>
        <v/>
      </c>
      <c r="D565" s="25" t="str">
        <f>IF($N565="","",INDEX('_calc'!$C$2:$C$3001,$N565))</f>
        <v/>
      </c>
      <c r="E565" s="25" t="str">
        <f>IF($N565="","",INDEX('_calc'!$D$2:$D$3001,$N565))</f>
        <v/>
      </c>
      <c r="F565" s="26" t="str">
        <f>IF($N565="","",IF($E$8=0,"",E565/$E$8))</f>
        <v/>
      </c>
      <c r="G565" s="25" t="str">
        <f>IF($N565="","",INDEX('_calc'!$E$2:$E$3001,$N565))</f>
        <v/>
      </c>
      <c r="H565" s="25" t="str">
        <f>IF($N565="","",INDEX('_calc'!$F$2:$F$3001,$N565))</f>
        <v/>
      </c>
      <c r="I565" s="27" t="str">
        <f>IF($N565="","",INDEX('_calc'!$H$2:$H$3001,$N565))</f>
        <v/>
      </c>
      <c r="J565" s="27" t="str">
        <f>IF($N565="","",INDEX('_calc'!$I$2:$I$3001,$N565))</f>
        <v/>
      </c>
      <c r="K565" s="28" t="str">
        <f>IF($N565="","",IF(OR(I565="",J565=""),"",J565-I565))</f>
        <v/>
      </c>
      <c r="L565" s="29" t="str">
        <f>IF($N565="","",INDEX('_calc'!$J$2:$J$3001,$N565))</f>
        <v/>
      </c>
      <c r="M565" s="2" t="str">
        <f>IF($N565="","",IF(AND(G565=0,H565=0),"수량 없음",IF(G565=0,"신규 (전년 수량 없음)",IF(H565=0,"당해 수량 없음",""))))</f>
        <v/>
      </c>
      <c r="N565" t="str">
        <f>IF($B565="","",MATCH($B565,'_calc'!$L$2:$L$3001,0))</f>
        <v/>
      </c>
    </row>
    <row r="566">
      <c r="B566" s="24" t="str">
        <f>IF(ROW()-ROW($B$8)&gt;nComp,"",ROW()-ROW($B$8))</f>
        <v/>
      </c>
      <c r="C566" t="str">
        <f>IF($N566="","",INDEX('_calc'!$A$2:$A$3001,$N566))</f>
        <v/>
      </c>
      <c r="D566" s="25" t="str">
        <f>IF($N566="","",INDEX('_calc'!$C$2:$C$3001,$N566))</f>
        <v/>
      </c>
      <c r="E566" s="25" t="str">
        <f>IF($N566="","",INDEX('_calc'!$D$2:$D$3001,$N566))</f>
        <v/>
      </c>
      <c r="F566" s="26" t="str">
        <f>IF($N566="","",IF($E$8=0,"",E566/$E$8))</f>
        <v/>
      </c>
      <c r="G566" s="25" t="str">
        <f>IF($N566="","",INDEX('_calc'!$E$2:$E$3001,$N566))</f>
        <v/>
      </c>
      <c r="H566" s="25" t="str">
        <f>IF($N566="","",INDEX('_calc'!$F$2:$F$3001,$N566))</f>
        <v/>
      </c>
      <c r="I566" s="27" t="str">
        <f>IF($N566="","",INDEX('_calc'!$H$2:$H$3001,$N566))</f>
        <v/>
      </c>
      <c r="J566" s="27" t="str">
        <f>IF($N566="","",INDEX('_calc'!$I$2:$I$3001,$N566))</f>
        <v/>
      </c>
      <c r="K566" s="28" t="str">
        <f>IF($N566="","",IF(OR(I566="",J566=""),"",J566-I566))</f>
        <v/>
      </c>
      <c r="L566" s="29" t="str">
        <f>IF($N566="","",INDEX('_calc'!$J$2:$J$3001,$N566))</f>
        <v/>
      </c>
      <c r="M566" s="2" t="str">
        <f>IF($N566="","",IF(AND(G566=0,H566=0),"수량 없음",IF(G566=0,"신규 (전년 수량 없음)",IF(H566=0,"당해 수량 없음",""))))</f>
        <v/>
      </c>
      <c r="N566" t="str">
        <f>IF($B566="","",MATCH($B566,'_calc'!$L$2:$L$3001,0))</f>
        <v/>
      </c>
    </row>
    <row r="567">
      <c r="B567" s="24" t="str">
        <f>IF(ROW()-ROW($B$8)&gt;nComp,"",ROW()-ROW($B$8))</f>
        <v/>
      </c>
      <c r="C567" t="str">
        <f>IF($N567="","",INDEX('_calc'!$A$2:$A$3001,$N567))</f>
        <v/>
      </c>
      <c r="D567" s="25" t="str">
        <f>IF($N567="","",INDEX('_calc'!$C$2:$C$3001,$N567))</f>
        <v/>
      </c>
      <c r="E567" s="25" t="str">
        <f>IF($N567="","",INDEX('_calc'!$D$2:$D$3001,$N567))</f>
        <v/>
      </c>
      <c r="F567" s="26" t="str">
        <f>IF($N567="","",IF($E$8=0,"",E567/$E$8))</f>
        <v/>
      </c>
      <c r="G567" s="25" t="str">
        <f>IF($N567="","",INDEX('_calc'!$E$2:$E$3001,$N567))</f>
        <v/>
      </c>
      <c r="H567" s="25" t="str">
        <f>IF($N567="","",INDEX('_calc'!$F$2:$F$3001,$N567))</f>
        <v/>
      </c>
      <c r="I567" s="27" t="str">
        <f>IF($N567="","",INDEX('_calc'!$H$2:$H$3001,$N567))</f>
        <v/>
      </c>
      <c r="J567" s="27" t="str">
        <f>IF($N567="","",INDEX('_calc'!$I$2:$I$3001,$N567))</f>
        <v/>
      </c>
      <c r="K567" s="28" t="str">
        <f>IF($N567="","",IF(OR(I567="",J567=""),"",J567-I567))</f>
        <v/>
      </c>
      <c r="L567" s="29" t="str">
        <f>IF($N567="","",INDEX('_calc'!$J$2:$J$3001,$N567))</f>
        <v/>
      </c>
      <c r="M567" s="2" t="str">
        <f>IF($N567="","",IF(AND(G567=0,H567=0),"수량 없음",IF(G567=0,"신규 (전년 수량 없음)",IF(H567=0,"당해 수량 없음",""))))</f>
        <v/>
      </c>
      <c r="N567" t="str">
        <f>IF($B567="","",MATCH($B567,'_calc'!$L$2:$L$3001,0))</f>
        <v/>
      </c>
    </row>
    <row r="568">
      <c r="B568" s="24" t="str">
        <f>IF(ROW()-ROW($B$8)&gt;nComp,"",ROW()-ROW($B$8))</f>
        <v/>
      </c>
      <c r="C568" t="str">
        <f>IF($N568="","",INDEX('_calc'!$A$2:$A$3001,$N568))</f>
        <v/>
      </c>
      <c r="D568" s="25" t="str">
        <f>IF($N568="","",INDEX('_calc'!$C$2:$C$3001,$N568))</f>
        <v/>
      </c>
      <c r="E568" s="25" t="str">
        <f>IF($N568="","",INDEX('_calc'!$D$2:$D$3001,$N568))</f>
        <v/>
      </c>
      <c r="F568" s="26" t="str">
        <f>IF($N568="","",IF($E$8=0,"",E568/$E$8))</f>
        <v/>
      </c>
      <c r="G568" s="25" t="str">
        <f>IF($N568="","",INDEX('_calc'!$E$2:$E$3001,$N568))</f>
        <v/>
      </c>
      <c r="H568" s="25" t="str">
        <f>IF($N568="","",INDEX('_calc'!$F$2:$F$3001,$N568))</f>
        <v/>
      </c>
      <c r="I568" s="27" t="str">
        <f>IF($N568="","",INDEX('_calc'!$H$2:$H$3001,$N568))</f>
        <v/>
      </c>
      <c r="J568" s="27" t="str">
        <f>IF($N568="","",INDEX('_calc'!$I$2:$I$3001,$N568))</f>
        <v/>
      </c>
      <c r="K568" s="28" t="str">
        <f>IF($N568="","",IF(OR(I568="",J568=""),"",J568-I568))</f>
        <v/>
      </c>
      <c r="L568" s="29" t="str">
        <f>IF($N568="","",INDEX('_calc'!$J$2:$J$3001,$N568))</f>
        <v/>
      </c>
      <c r="M568" s="2" t="str">
        <f>IF($N568="","",IF(AND(G568=0,H568=0),"수량 없음",IF(G568=0,"신규 (전년 수량 없음)",IF(H568=0,"당해 수량 없음",""))))</f>
        <v/>
      </c>
      <c r="N568" t="str">
        <f>IF($B568="","",MATCH($B568,'_calc'!$L$2:$L$3001,0))</f>
        <v/>
      </c>
    </row>
    <row r="569">
      <c r="B569" s="24" t="str">
        <f>IF(ROW()-ROW($B$8)&gt;nComp,"",ROW()-ROW($B$8))</f>
        <v/>
      </c>
      <c r="C569" t="str">
        <f>IF($N569="","",INDEX('_calc'!$A$2:$A$3001,$N569))</f>
        <v/>
      </c>
      <c r="D569" s="25" t="str">
        <f>IF($N569="","",INDEX('_calc'!$C$2:$C$3001,$N569))</f>
        <v/>
      </c>
      <c r="E569" s="25" t="str">
        <f>IF($N569="","",INDEX('_calc'!$D$2:$D$3001,$N569))</f>
        <v/>
      </c>
      <c r="F569" s="26" t="str">
        <f>IF($N569="","",IF($E$8=0,"",E569/$E$8))</f>
        <v/>
      </c>
      <c r="G569" s="25" t="str">
        <f>IF($N569="","",INDEX('_calc'!$E$2:$E$3001,$N569))</f>
        <v/>
      </c>
      <c r="H569" s="25" t="str">
        <f>IF($N569="","",INDEX('_calc'!$F$2:$F$3001,$N569))</f>
        <v/>
      </c>
      <c r="I569" s="27" t="str">
        <f>IF($N569="","",INDEX('_calc'!$H$2:$H$3001,$N569))</f>
        <v/>
      </c>
      <c r="J569" s="27" t="str">
        <f>IF($N569="","",INDEX('_calc'!$I$2:$I$3001,$N569))</f>
        <v/>
      </c>
      <c r="K569" s="28" t="str">
        <f>IF($N569="","",IF(OR(I569="",J569=""),"",J569-I569))</f>
        <v/>
      </c>
      <c r="L569" s="29" t="str">
        <f>IF($N569="","",INDEX('_calc'!$J$2:$J$3001,$N569))</f>
        <v/>
      </c>
      <c r="M569" s="2" t="str">
        <f>IF($N569="","",IF(AND(G569=0,H569=0),"수량 없음",IF(G569=0,"신규 (전년 수량 없음)",IF(H569=0,"당해 수량 없음",""))))</f>
        <v/>
      </c>
      <c r="N569" t="str">
        <f>IF($B569="","",MATCH($B569,'_calc'!$L$2:$L$3001,0))</f>
        <v/>
      </c>
    </row>
    <row r="570">
      <c r="B570" s="24" t="str">
        <f>IF(ROW()-ROW($B$8)&gt;nComp,"",ROW()-ROW($B$8))</f>
        <v/>
      </c>
      <c r="C570" t="str">
        <f>IF($N570="","",INDEX('_calc'!$A$2:$A$3001,$N570))</f>
        <v/>
      </c>
      <c r="D570" s="25" t="str">
        <f>IF($N570="","",INDEX('_calc'!$C$2:$C$3001,$N570))</f>
        <v/>
      </c>
      <c r="E570" s="25" t="str">
        <f>IF($N570="","",INDEX('_calc'!$D$2:$D$3001,$N570))</f>
        <v/>
      </c>
      <c r="F570" s="26" t="str">
        <f>IF($N570="","",IF($E$8=0,"",E570/$E$8))</f>
        <v/>
      </c>
      <c r="G570" s="25" t="str">
        <f>IF($N570="","",INDEX('_calc'!$E$2:$E$3001,$N570))</f>
        <v/>
      </c>
      <c r="H570" s="25" t="str">
        <f>IF($N570="","",INDEX('_calc'!$F$2:$F$3001,$N570))</f>
        <v/>
      </c>
      <c r="I570" s="27" t="str">
        <f>IF($N570="","",INDEX('_calc'!$H$2:$H$3001,$N570))</f>
        <v/>
      </c>
      <c r="J570" s="27" t="str">
        <f>IF($N570="","",INDEX('_calc'!$I$2:$I$3001,$N570))</f>
        <v/>
      </c>
      <c r="K570" s="28" t="str">
        <f>IF($N570="","",IF(OR(I570="",J570=""),"",J570-I570))</f>
        <v/>
      </c>
      <c r="L570" s="29" t="str">
        <f>IF($N570="","",INDEX('_calc'!$J$2:$J$3001,$N570))</f>
        <v/>
      </c>
      <c r="M570" s="2" t="str">
        <f>IF($N570="","",IF(AND(G570=0,H570=0),"수량 없음",IF(G570=0,"신규 (전년 수량 없음)",IF(H570=0,"당해 수량 없음",""))))</f>
        <v/>
      </c>
      <c r="N570" t="str">
        <f>IF($B570="","",MATCH($B570,'_calc'!$L$2:$L$3001,0))</f>
        <v/>
      </c>
    </row>
    <row r="571">
      <c r="B571" s="24" t="str">
        <f>IF(ROW()-ROW($B$8)&gt;nComp,"",ROW()-ROW($B$8))</f>
        <v/>
      </c>
      <c r="C571" t="str">
        <f>IF($N571="","",INDEX('_calc'!$A$2:$A$3001,$N571))</f>
        <v/>
      </c>
      <c r="D571" s="25" t="str">
        <f>IF($N571="","",INDEX('_calc'!$C$2:$C$3001,$N571))</f>
        <v/>
      </c>
      <c r="E571" s="25" t="str">
        <f>IF($N571="","",INDEX('_calc'!$D$2:$D$3001,$N571))</f>
        <v/>
      </c>
      <c r="F571" s="26" t="str">
        <f>IF($N571="","",IF($E$8=0,"",E571/$E$8))</f>
        <v/>
      </c>
      <c r="G571" s="25" t="str">
        <f>IF($N571="","",INDEX('_calc'!$E$2:$E$3001,$N571))</f>
        <v/>
      </c>
      <c r="H571" s="25" t="str">
        <f>IF($N571="","",INDEX('_calc'!$F$2:$F$3001,$N571))</f>
        <v/>
      </c>
      <c r="I571" s="27" t="str">
        <f>IF($N571="","",INDEX('_calc'!$H$2:$H$3001,$N571))</f>
        <v/>
      </c>
      <c r="J571" s="27" t="str">
        <f>IF($N571="","",INDEX('_calc'!$I$2:$I$3001,$N571))</f>
        <v/>
      </c>
      <c r="K571" s="28" t="str">
        <f>IF($N571="","",IF(OR(I571="",J571=""),"",J571-I571))</f>
        <v/>
      </c>
      <c r="L571" s="29" t="str">
        <f>IF($N571="","",INDEX('_calc'!$J$2:$J$3001,$N571))</f>
        <v/>
      </c>
      <c r="M571" s="2" t="str">
        <f>IF($N571="","",IF(AND(G571=0,H571=0),"수량 없음",IF(G571=0,"신규 (전년 수량 없음)",IF(H571=0,"당해 수량 없음",""))))</f>
        <v/>
      </c>
      <c r="N571" t="str">
        <f>IF($B571="","",MATCH($B571,'_calc'!$L$2:$L$3001,0))</f>
        <v/>
      </c>
    </row>
    <row r="572">
      <c r="B572" s="24" t="str">
        <f>IF(ROW()-ROW($B$8)&gt;nComp,"",ROW()-ROW($B$8))</f>
        <v/>
      </c>
      <c r="C572" t="str">
        <f>IF($N572="","",INDEX('_calc'!$A$2:$A$3001,$N572))</f>
        <v/>
      </c>
      <c r="D572" s="25" t="str">
        <f>IF($N572="","",INDEX('_calc'!$C$2:$C$3001,$N572))</f>
        <v/>
      </c>
      <c r="E572" s="25" t="str">
        <f>IF($N572="","",INDEX('_calc'!$D$2:$D$3001,$N572))</f>
        <v/>
      </c>
      <c r="F572" s="26" t="str">
        <f>IF($N572="","",IF($E$8=0,"",E572/$E$8))</f>
        <v/>
      </c>
      <c r="G572" s="25" t="str">
        <f>IF($N572="","",INDEX('_calc'!$E$2:$E$3001,$N572))</f>
        <v/>
      </c>
      <c r="H572" s="25" t="str">
        <f>IF($N572="","",INDEX('_calc'!$F$2:$F$3001,$N572))</f>
        <v/>
      </c>
      <c r="I572" s="27" t="str">
        <f>IF($N572="","",INDEX('_calc'!$H$2:$H$3001,$N572))</f>
        <v/>
      </c>
      <c r="J572" s="27" t="str">
        <f>IF($N572="","",INDEX('_calc'!$I$2:$I$3001,$N572))</f>
        <v/>
      </c>
      <c r="K572" s="28" t="str">
        <f>IF($N572="","",IF(OR(I572="",J572=""),"",J572-I572))</f>
        <v/>
      </c>
      <c r="L572" s="29" t="str">
        <f>IF($N572="","",INDEX('_calc'!$J$2:$J$3001,$N572))</f>
        <v/>
      </c>
      <c r="M572" s="2" t="str">
        <f>IF($N572="","",IF(AND(G572=0,H572=0),"수량 없음",IF(G572=0,"신규 (전년 수량 없음)",IF(H572=0,"당해 수량 없음",""))))</f>
        <v/>
      </c>
      <c r="N572" t="str">
        <f>IF($B572="","",MATCH($B572,'_calc'!$L$2:$L$3001,0))</f>
        <v/>
      </c>
    </row>
    <row r="573">
      <c r="B573" s="24" t="str">
        <f>IF(ROW()-ROW($B$8)&gt;nComp,"",ROW()-ROW($B$8))</f>
        <v/>
      </c>
      <c r="C573" t="str">
        <f>IF($N573="","",INDEX('_calc'!$A$2:$A$3001,$N573))</f>
        <v/>
      </c>
      <c r="D573" s="25" t="str">
        <f>IF($N573="","",INDEX('_calc'!$C$2:$C$3001,$N573))</f>
        <v/>
      </c>
      <c r="E573" s="25" t="str">
        <f>IF($N573="","",INDEX('_calc'!$D$2:$D$3001,$N573))</f>
        <v/>
      </c>
      <c r="F573" s="26" t="str">
        <f>IF($N573="","",IF($E$8=0,"",E573/$E$8))</f>
        <v/>
      </c>
      <c r="G573" s="25" t="str">
        <f>IF($N573="","",INDEX('_calc'!$E$2:$E$3001,$N573))</f>
        <v/>
      </c>
      <c r="H573" s="25" t="str">
        <f>IF($N573="","",INDEX('_calc'!$F$2:$F$3001,$N573))</f>
        <v/>
      </c>
      <c r="I573" s="27" t="str">
        <f>IF($N573="","",INDEX('_calc'!$H$2:$H$3001,$N573))</f>
        <v/>
      </c>
      <c r="J573" s="27" t="str">
        <f>IF($N573="","",INDEX('_calc'!$I$2:$I$3001,$N573))</f>
        <v/>
      </c>
      <c r="K573" s="28" t="str">
        <f>IF($N573="","",IF(OR(I573="",J573=""),"",J573-I573))</f>
        <v/>
      </c>
      <c r="L573" s="29" t="str">
        <f>IF($N573="","",INDEX('_calc'!$J$2:$J$3001,$N573))</f>
        <v/>
      </c>
      <c r="M573" s="2" t="str">
        <f>IF($N573="","",IF(AND(G573=0,H573=0),"수량 없음",IF(G573=0,"신규 (전년 수량 없음)",IF(H573=0,"당해 수량 없음",""))))</f>
        <v/>
      </c>
      <c r="N573" t="str">
        <f>IF($B573="","",MATCH($B573,'_calc'!$L$2:$L$3001,0))</f>
        <v/>
      </c>
    </row>
    <row r="574">
      <c r="B574" s="24" t="str">
        <f>IF(ROW()-ROW($B$8)&gt;nComp,"",ROW()-ROW($B$8))</f>
        <v/>
      </c>
      <c r="C574" t="str">
        <f>IF($N574="","",INDEX('_calc'!$A$2:$A$3001,$N574))</f>
        <v/>
      </c>
      <c r="D574" s="25" t="str">
        <f>IF($N574="","",INDEX('_calc'!$C$2:$C$3001,$N574))</f>
        <v/>
      </c>
      <c r="E574" s="25" t="str">
        <f>IF($N574="","",INDEX('_calc'!$D$2:$D$3001,$N574))</f>
        <v/>
      </c>
      <c r="F574" s="26" t="str">
        <f>IF($N574="","",IF($E$8=0,"",E574/$E$8))</f>
        <v/>
      </c>
      <c r="G574" s="25" t="str">
        <f>IF($N574="","",INDEX('_calc'!$E$2:$E$3001,$N574))</f>
        <v/>
      </c>
      <c r="H574" s="25" t="str">
        <f>IF($N574="","",INDEX('_calc'!$F$2:$F$3001,$N574))</f>
        <v/>
      </c>
      <c r="I574" s="27" t="str">
        <f>IF($N574="","",INDEX('_calc'!$H$2:$H$3001,$N574))</f>
        <v/>
      </c>
      <c r="J574" s="27" t="str">
        <f>IF($N574="","",INDEX('_calc'!$I$2:$I$3001,$N574))</f>
        <v/>
      </c>
      <c r="K574" s="28" t="str">
        <f>IF($N574="","",IF(OR(I574="",J574=""),"",J574-I574))</f>
        <v/>
      </c>
      <c r="L574" s="29" t="str">
        <f>IF($N574="","",INDEX('_calc'!$J$2:$J$3001,$N574))</f>
        <v/>
      </c>
      <c r="M574" s="2" t="str">
        <f>IF($N574="","",IF(AND(G574=0,H574=0),"수량 없음",IF(G574=0,"신규 (전년 수량 없음)",IF(H574=0,"당해 수량 없음",""))))</f>
        <v/>
      </c>
      <c r="N574" t="str">
        <f>IF($B574="","",MATCH($B574,'_calc'!$L$2:$L$3001,0))</f>
        <v/>
      </c>
    </row>
    <row r="575">
      <c r="B575" s="24" t="str">
        <f>IF(ROW()-ROW($B$8)&gt;nComp,"",ROW()-ROW($B$8))</f>
        <v/>
      </c>
      <c r="C575" t="str">
        <f>IF($N575="","",INDEX('_calc'!$A$2:$A$3001,$N575))</f>
        <v/>
      </c>
      <c r="D575" s="25" t="str">
        <f>IF($N575="","",INDEX('_calc'!$C$2:$C$3001,$N575))</f>
        <v/>
      </c>
      <c r="E575" s="25" t="str">
        <f>IF($N575="","",INDEX('_calc'!$D$2:$D$3001,$N575))</f>
        <v/>
      </c>
      <c r="F575" s="26" t="str">
        <f>IF($N575="","",IF($E$8=0,"",E575/$E$8))</f>
        <v/>
      </c>
      <c r="G575" s="25" t="str">
        <f>IF($N575="","",INDEX('_calc'!$E$2:$E$3001,$N575))</f>
        <v/>
      </c>
      <c r="H575" s="25" t="str">
        <f>IF($N575="","",INDEX('_calc'!$F$2:$F$3001,$N575))</f>
        <v/>
      </c>
      <c r="I575" s="27" t="str">
        <f>IF($N575="","",INDEX('_calc'!$H$2:$H$3001,$N575))</f>
        <v/>
      </c>
      <c r="J575" s="27" t="str">
        <f>IF($N575="","",INDEX('_calc'!$I$2:$I$3001,$N575))</f>
        <v/>
      </c>
      <c r="K575" s="28" t="str">
        <f>IF($N575="","",IF(OR(I575="",J575=""),"",J575-I575))</f>
        <v/>
      </c>
      <c r="L575" s="29" t="str">
        <f>IF($N575="","",INDEX('_calc'!$J$2:$J$3001,$N575))</f>
        <v/>
      </c>
      <c r="M575" s="2" t="str">
        <f>IF($N575="","",IF(AND(G575=0,H575=0),"수량 없음",IF(G575=0,"신규 (전년 수량 없음)",IF(H575=0,"당해 수량 없음",""))))</f>
        <v/>
      </c>
      <c r="N575" t="str">
        <f>IF($B575="","",MATCH($B575,'_calc'!$L$2:$L$3001,0))</f>
        <v/>
      </c>
    </row>
    <row r="576">
      <c r="B576" s="24" t="str">
        <f>IF(ROW()-ROW($B$8)&gt;nComp,"",ROW()-ROW($B$8))</f>
        <v/>
      </c>
      <c r="C576" t="str">
        <f>IF($N576="","",INDEX('_calc'!$A$2:$A$3001,$N576))</f>
        <v/>
      </c>
      <c r="D576" s="25" t="str">
        <f>IF($N576="","",INDEX('_calc'!$C$2:$C$3001,$N576))</f>
        <v/>
      </c>
      <c r="E576" s="25" t="str">
        <f>IF($N576="","",INDEX('_calc'!$D$2:$D$3001,$N576))</f>
        <v/>
      </c>
      <c r="F576" s="26" t="str">
        <f>IF($N576="","",IF($E$8=0,"",E576/$E$8))</f>
        <v/>
      </c>
      <c r="G576" s="25" t="str">
        <f>IF($N576="","",INDEX('_calc'!$E$2:$E$3001,$N576))</f>
        <v/>
      </c>
      <c r="H576" s="25" t="str">
        <f>IF($N576="","",INDEX('_calc'!$F$2:$F$3001,$N576))</f>
        <v/>
      </c>
      <c r="I576" s="27" t="str">
        <f>IF($N576="","",INDEX('_calc'!$H$2:$H$3001,$N576))</f>
        <v/>
      </c>
      <c r="J576" s="27" t="str">
        <f>IF($N576="","",INDEX('_calc'!$I$2:$I$3001,$N576))</f>
        <v/>
      </c>
      <c r="K576" s="28" t="str">
        <f>IF($N576="","",IF(OR(I576="",J576=""),"",J576-I576))</f>
        <v/>
      </c>
      <c r="L576" s="29" t="str">
        <f>IF($N576="","",INDEX('_calc'!$J$2:$J$3001,$N576))</f>
        <v/>
      </c>
      <c r="M576" s="2" t="str">
        <f>IF($N576="","",IF(AND(G576=0,H576=0),"수량 없음",IF(G576=0,"신규 (전년 수량 없음)",IF(H576=0,"당해 수량 없음",""))))</f>
        <v/>
      </c>
      <c r="N576" t="str">
        <f>IF($B576="","",MATCH($B576,'_calc'!$L$2:$L$3001,0))</f>
        <v/>
      </c>
    </row>
    <row r="577">
      <c r="B577" s="24" t="str">
        <f>IF(ROW()-ROW($B$8)&gt;nComp,"",ROW()-ROW($B$8))</f>
        <v/>
      </c>
      <c r="C577" t="str">
        <f>IF($N577="","",INDEX('_calc'!$A$2:$A$3001,$N577))</f>
        <v/>
      </c>
      <c r="D577" s="25" t="str">
        <f>IF($N577="","",INDEX('_calc'!$C$2:$C$3001,$N577))</f>
        <v/>
      </c>
      <c r="E577" s="25" t="str">
        <f>IF($N577="","",INDEX('_calc'!$D$2:$D$3001,$N577))</f>
        <v/>
      </c>
      <c r="F577" s="26" t="str">
        <f>IF($N577="","",IF($E$8=0,"",E577/$E$8))</f>
        <v/>
      </c>
      <c r="G577" s="25" t="str">
        <f>IF($N577="","",INDEX('_calc'!$E$2:$E$3001,$N577))</f>
        <v/>
      </c>
      <c r="H577" s="25" t="str">
        <f>IF($N577="","",INDEX('_calc'!$F$2:$F$3001,$N577))</f>
        <v/>
      </c>
      <c r="I577" s="27" t="str">
        <f>IF($N577="","",INDEX('_calc'!$H$2:$H$3001,$N577))</f>
        <v/>
      </c>
      <c r="J577" s="27" t="str">
        <f>IF($N577="","",INDEX('_calc'!$I$2:$I$3001,$N577))</f>
        <v/>
      </c>
      <c r="K577" s="28" t="str">
        <f>IF($N577="","",IF(OR(I577="",J577=""),"",J577-I577))</f>
        <v/>
      </c>
      <c r="L577" s="29" t="str">
        <f>IF($N577="","",INDEX('_calc'!$J$2:$J$3001,$N577))</f>
        <v/>
      </c>
      <c r="M577" s="2" t="str">
        <f>IF($N577="","",IF(AND(G577=0,H577=0),"수량 없음",IF(G577=0,"신규 (전년 수량 없음)",IF(H577=0,"당해 수량 없음",""))))</f>
        <v/>
      </c>
      <c r="N577" t="str">
        <f>IF($B577="","",MATCH($B577,'_calc'!$L$2:$L$3001,0))</f>
        <v/>
      </c>
    </row>
    <row r="578">
      <c r="B578" s="24" t="str">
        <f>IF(ROW()-ROW($B$8)&gt;nComp,"",ROW()-ROW($B$8))</f>
        <v/>
      </c>
      <c r="C578" t="str">
        <f>IF($N578="","",INDEX('_calc'!$A$2:$A$3001,$N578))</f>
        <v/>
      </c>
      <c r="D578" s="25" t="str">
        <f>IF($N578="","",INDEX('_calc'!$C$2:$C$3001,$N578))</f>
        <v/>
      </c>
      <c r="E578" s="25" t="str">
        <f>IF($N578="","",INDEX('_calc'!$D$2:$D$3001,$N578))</f>
        <v/>
      </c>
      <c r="F578" s="26" t="str">
        <f>IF($N578="","",IF($E$8=0,"",E578/$E$8))</f>
        <v/>
      </c>
      <c r="G578" s="25" t="str">
        <f>IF($N578="","",INDEX('_calc'!$E$2:$E$3001,$N578))</f>
        <v/>
      </c>
      <c r="H578" s="25" t="str">
        <f>IF($N578="","",INDEX('_calc'!$F$2:$F$3001,$N578))</f>
        <v/>
      </c>
      <c r="I578" s="27" t="str">
        <f>IF($N578="","",INDEX('_calc'!$H$2:$H$3001,$N578))</f>
        <v/>
      </c>
      <c r="J578" s="27" t="str">
        <f>IF($N578="","",INDEX('_calc'!$I$2:$I$3001,$N578))</f>
        <v/>
      </c>
      <c r="K578" s="28" t="str">
        <f>IF($N578="","",IF(OR(I578="",J578=""),"",J578-I578))</f>
        <v/>
      </c>
      <c r="L578" s="29" t="str">
        <f>IF($N578="","",INDEX('_calc'!$J$2:$J$3001,$N578))</f>
        <v/>
      </c>
      <c r="M578" s="2" t="str">
        <f>IF($N578="","",IF(AND(G578=0,H578=0),"수량 없음",IF(G578=0,"신규 (전년 수량 없음)",IF(H578=0,"당해 수량 없음",""))))</f>
        <v/>
      </c>
      <c r="N578" t="str">
        <f>IF($B578="","",MATCH($B578,'_calc'!$L$2:$L$3001,0))</f>
        <v/>
      </c>
    </row>
    <row r="579">
      <c r="B579" s="24" t="str">
        <f>IF(ROW()-ROW($B$8)&gt;nComp,"",ROW()-ROW($B$8))</f>
        <v/>
      </c>
      <c r="C579" t="str">
        <f>IF($N579="","",INDEX('_calc'!$A$2:$A$3001,$N579))</f>
        <v/>
      </c>
      <c r="D579" s="25" t="str">
        <f>IF($N579="","",INDEX('_calc'!$C$2:$C$3001,$N579))</f>
        <v/>
      </c>
      <c r="E579" s="25" t="str">
        <f>IF($N579="","",INDEX('_calc'!$D$2:$D$3001,$N579))</f>
        <v/>
      </c>
      <c r="F579" s="26" t="str">
        <f>IF($N579="","",IF($E$8=0,"",E579/$E$8))</f>
        <v/>
      </c>
      <c r="G579" s="25" t="str">
        <f>IF($N579="","",INDEX('_calc'!$E$2:$E$3001,$N579))</f>
        <v/>
      </c>
      <c r="H579" s="25" t="str">
        <f>IF($N579="","",INDEX('_calc'!$F$2:$F$3001,$N579))</f>
        <v/>
      </c>
      <c r="I579" s="27" t="str">
        <f>IF($N579="","",INDEX('_calc'!$H$2:$H$3001,$N579))</f>
        <v/>
      </c>
      <c r="J579" s="27" t="str">
        <f>IF($N579="","",INDEX('_calc'!$I$2:$I$3001,$N579))</f>
        <v/>
      </c>
      <c r="K579" s="28" t="str">
        <f>IF($N579="","",IF(OR(I579="",J579=""),"",J579-I579))</f>
        <v/>
      </c>
      <c r="L579" s="29" t="str">
        <f>IF($N579="","",INDEX('_calc'!$J$2:$J$3001,$N579))</f>
        <v/>
      </c>
      <c r="M579" s="2" t="str">
        <f>IF($N579="","",IF(AND(G579=0,H579=0),"수량 없음",IF(G579=0,"신규 (전년 수량 없음)",IF(H579=0,"당해 수량 없음",""))))</f>
        <v/>
      </c>
      <c r="N579" t="str">
        <f>IF($B579="","",MATCH($B579,'_calc'!$L$2:$L$3001,0))</f>
        <v/>
      </c>
    </row>
    <row r="580">
      <c r="B580" s="24" t="str">
        <f>IF(ROW()-ROW($B$8)&gt;nComp,"",ROW()-ROW($B$8))</f>
        <v/>
      </c>
      <c r="C580" t="str">
        <f>IF($N580="","",INDEX('_calc'!$A$2:$A$3001,$N580))</f>
        <v/>
      </c>
      <c r="D580" s="25" t="str">
        <f>IF($N580="","",INDEX('_calc'!$C$2:$C$3001,$N580))</f>
        <v/>
      </c>
      <c r="E580" s="25" t="str">
        <f>IF($N580="","",INDEX('_calc'!$D$2:$D$3001,$N580))</f>
        <v/>
      </c>
      <c r="F580" s="26" t="str">
        <f>IF($N580="","",IF($E$8=0,"",E580/$E$8))</f>
        <v/>
      </c>
      <c r="G580" s="25" t="str">
        <f>IF($N580="","",INDEX('_calc'!$E$2:$E$3001,$N580))</f>
        <v/>
      </c>
      <c r="H580" s="25" t="str">
        <f>IF($N580="","",INDEX('_calc'!$F$2:$F$3001,$N580))</f>
        <v/>
      </c>
      <c r="I580" s="27" t="str">
        <f>IF($N580="","",INDEX('_calc'!$H$2:$H$3001,$N580))</f>
        <v/>
      </c>
      <c r="J580" s="27" t="str">
        <f>IF($N580="","",INDEX('_calc'!$I$2:$I$3001,$N580))</f>
        <v/>
      </c>
      <c r="K580" s="28" t="str">
        <f>IF($N580="","",IF(OR(I580="",J580=""),"",J580-I580))</f>
        <v/>
      </c>
      <c r="L580" s="29" t="str">
        <f>IF($N580="","",INDEX('_calc'!$J$2:$J$3001,$N580))</f>
        <v/>
      </c>
      <c r="M580" s="2" t="str">
        <f>IF($N580="","",IF(AND(G580=0,H580=0),"수량 없음",IF(G580=0,"신규 (전년 수량 없음)",IF(H580=0,"당해 수량 없음",""))))</f>
        <v/>
      </c>
      <c r="N580" t="str">
        <f>IF($B580="","",MATCH($B580,'_calc'!$L$2:$L$3001,0))</f>
        <v/>
      </c>
    </row>
    <row r="581">
      <c r="B581" s="24" t="str">
        <f>IF(ROW()-ROW($B$8)&gt;nComp,"",ROW()-ROW($B$8))</f>
        <v/>
      </c>
      <c r="C581" t="str">
        <f>IF($N581="","",INDEX('_calc'!$A$2:$A$3001,$N581))</f>
        <v/>
      </c>
      <c r="D581" s="25" t="str">
        <f>IF($N581="","",INDEX('_calc'!$C$2:$C$3001,$N581))</f>
        <v/>
      </c>
      <c r="E581" s="25" t="str">
        <f>IF($N581="","",INDEX('_calc'!$D$2:$D$3001,$N581))</f>
        <v/>
      </c>
      <c r="F581" s="26" t="str">
        <f>IF($N581="","",IF($E$8=0,"",E581/$E$8))</f>
        <v/>
      </c>
      <c r="G581" s="25" t="str">
        <f>IF($N581="","",INDEX('_calc'!$E$2:$E$3001,$N581))</f>
        <v/>
      </c>
      <c r="H581" s="25" t="str">
        <f>IF($N581="","",INDEX('_calc'!$F$2:$F$3001,$N581))</f>
        <v/>
      </c>
      <c r="I581" s="27" t="str">
        <f>IF($N581="","",INDEX('_calc'!$H$2:$H$3001,$N581))</f>
        <v/>
      </c>
      <c r="J581" s="27" t="str">
        <f>IF($N581="","",INDEX('_calc'!$I$2:$I$3001,$N581))</f>
        <v/>
      </c>
      <c r="K581" s="28" t="str">
        <f>IF($N581="","",IF(OR(I581="",J581=""),"",J581-I581))</f>
        <v/>
      </c>
      <c r="L581" s="29" t="str">
        <f>IF($N581="","",INDEX('_calc'!$J$2:$J$3001,$N581))</f>
        <v/>
      </c>
      <c r="M581" s="2" t="str">
        <f>IF($N581="","",IF(AND(G581=0,H581=0),"수량 없음",IF(G581=0,"신규 (전년 수량 없음)",IF(H581=0,"당해 수량 없음",""))))</f>
        <v/>
      </c>
      <c r="N581" t="str">
        <f>IF($B581="","",MATCH($B581,'_calc'!$L$2:$L$3001,0))</f>
        <v/>
      </c>
    </row>
    <row r="582">
      <c r="B582" s="24" t="str">
        <f>IF(ROW()-ROW($B$8)&gt;nComp,"",ROW()-ROW($B$8))</f>
        <v/>
      </c>
      <c r="C582" t="str">
        <f>IF($N582="","",INDEX('_calc'!$A$2:$A$3001,$N582))</f>
        <v/>
      </c>
      <c r="D582" s="25" t="str">
        <f>IF($N582="","",INDEX('_calc'!$C$2:$C$3001,$N582))</f>
        <v/>
      </c>
      <c r="E582" s="25" t="str">
        <f>IF($N582="","",INDEX('_calc'!$D$2:$D$3001,$N582))</f>
        <v/>
      </c>
      <c r="F582" s="26" t="str">
        <f>IF($N582="","",IF($E$8=0,"",E582/$E$8))</f>
        <v/>
      </c>
      <c r="G582" s="25" t="str">
        <f>IF($N582="","",INDEX('_calc'!$E$2:$E$3001,$N582))</f>
        <v/>
      </c>
      <c r="H582" s="25" t="str">
        <f>IF($N582="","",INDEX('_calc'!$F$2:$F$3001,$N582))</f>
        <v/>
      </c>
      <c r="I582" s="27" t="str">
        <f>IF($N582="","",INDEX('_calc'!$H$2:$H$3001,$N582))</f>
        <v/>
      </c>
      <c r="J582" s="27" t="str">
        <f>IF($N582="","",INDEX('_calc'!$I$2:$I$3001,$N582))</f>
        <v/>
      </c>
      <c r="K582" s="28" t="str">
        <f>IF($N582="","",IF(OR(I582="",J582=""),"",J582-I582))</f>
        <v/>
      </c>
      <c r="L582" s="29" t="str">
        <f>IF($N582="","",INDEX('_calc'!$J$2:$J$3001,$N582))</f>
        <v/>
      </c>
      <c r="M582" s="2" t="str">
        <f>IF($N582="","",IF(AND(G582=0,H582=0),"수량 없음",IF(G582=0,"신규 (전년 수량 없음)",IF(H582=0,"당해 수량 없음",""))))</f>
        <v/>
      </c>
      <c r="N582" t="str">
        <f>IF($B582="","",MATCH($B582,'_calc'!$L$2:$L$3001,0))</f>
        <v/>
      </c>
    </row>
    <row r="583">
      <c r="B583" s="24" t="str">
        <f>IF(ROW()-ROW($B$8)&gt;nComp,"",ROW()-ROW($B$8))</f>
        <v/>
      </c>
      <c r="C583" t="str">
        <f>IF($N583="","",INDEX('_calc'!$A$2:$A$3001,$N583))</f>
        <v/>
      </c>
      <c r="D583" s="25" t="str">
        <f>IF($N583="","",INDEX('_calc'!$C$2:$C$3001,$N583))</f>
        <v/>
      </c>
      <c r="E583" s="25" t="str">
        <f>IF($N583="","",INDEX('_calc'!$D$2:$D$3001,$N583))</f>
        <v/>
      </c>
      <c r="F583" s="26" t="str">
        <f>IF($N583="","",IF($E$8=0,"",E583/$E$8))</f>
        <v/>
      </c>
      <c r="G583" s="25" t="str">
        <f>IF($N583="","",INDEX('_calc'!$E$2:$E$3001,$N583))</f>
        <v/>
      </c>
      <c r="H583" s="25" t="str">
        <f>IF($N583="","",INDEX('_calc'!$F$2:$F$3001,$N583))</f>
        <v/>
      </c>
      <c r="I583" s="27" t="str">
        <f>IF($N583="","",INDEX('_calc'!$H$2:$H$3001,$N583))</f>
        <v/>
      </c>
      <c r="J583" s="27" t="str">
        <f>IF($N583="","",INDEX('_calc'!$I$2:$I$3001,$N583))</f>
        <v/>
      </c>
      <c r="K583" s="28" t="str">
        <f>IF($N583="","",IF(OR(I583="",J583=""),"",J583-I583))</f>
        <v/>
      </c>
      <c r="L583" s="29" t="str">
        <f>IF($N583="","",INDEX('_calc'!$J$2:$J$3001,$N583))</f>
        <v/>
      </c>
      <c r="M583" s="2" t="str">
        <f>IF($N583="","",IF(AND(G583=0,H583=0),"수량 없음",IF(G583=0,"신규 (전년 수량 없음)",IF(H583=0,"당해 수량 없음",""))))</f>
        <v/>
      </c>
      <c r="N583" t="str">
        <f>IF($B583="","",MATCH($B583,'_calc'!$L$2:$L$3001,0))</f>
        <v/>
      </c>
    </row>
    <row r="584">
      <c r="B584" s="24" t="str">
        <f>IF(ROW()-ROW($B$8)&gt;nComp,"",ROW()-ROW($B$8))</f>
        <v/>
      </c>
      <c r="C584" t="str">
        <f>IF($N584="","",INDEX('_calc'!$A$2:$A$3001,$N584))</f>
        <v/>
      </c>
      <c r="D584" s="25" t="str">
        <f>IF($N584="","",INDEX('_calc'!$C$2:$C$3001,$N584))</f>
        <v/>
      </c>
      <c r="E584" s="25" t="str">
        <f>IF($N584="","",INDEX('_calc'!$D$2:$D$3001,$N584))</f>
        <v/>
      </c>
      <c r="F584" s="26" t="str">
        <f>IF($N584="","",IF($E$8=0,"",E584/$E$8))</f>
        <v/>
      </c>
      <c r="G584" s="25" t="str">
        <f>IF($N584="","",INDEX('_calc'!$E$2:$E$3001,$N584))</f>
        <v/>
      </c>
      <c r="H584" s="25" t="str">
        <f>IF($N584="","",INDEX('_calc'!$F$2:$F$3001,$N584))</f>
        <v/>
      </c>
      <c r="I584" s="27" t="str">
        <f>IF($N584="","",INDEX('_calc'!$H$2:$H$3001,$N584))</f>
        <v/>
      </c>
      <c r="J584" s="27" t="str">
        <f>IF($N584="","",INDEX('_calc'!$I$2:$I$3001,$N584))</f>
        <v/>
      </c>
      <c r="K584" s="28" t="str">
        <f>IF($N584="","",IF(OR(I584="",J584=""),"",J584-I584))</f>
        <v/>
      </c>
      <c r="L584" s="29" t="str">
        <f>IF($N584="","",INDEX('_calc'!$J$2:$J$3001,$N584))</f>
        <v/>
      </c>
      <c r="M584" s="2" t="str">
        <f>IF($N584="","",IF(AND(G584=0,H584=0),"수량 없음",IF(G584=0,"신규 (전년 수량 없음)",IF(H584=0,"당해 수량 없음",""))))</f>
        <v/>
      </c>
      <c r="N584" t="str">
        <f>IF($B584="","",MATCH($B584,'_calc'!$L$2:$L$3001,0))</f>
        <v/>
      </c>
    </row>
    <row r="585">
      <c r="B585" s="24" t="str">
        <f>IF(ROW()-ROW($B$8)&gt;nComp,"",ROW()-ROW($B$8))</f>
        <v/>
      </c>
      <c r="C585" t="str">
        <f>IF($N585="","",INDEX('_calc'!$A$2:$A$3001,$N585))</f>
        <v/>
      </c>
      <c r="D585" s="25" t="str">
        <f>IF($N585="","",INDEX('_calc'!$C$2:$C$3001,$N585))</f>
        <v/>
      </c>
      <c r="E585" s="25" t="str">
        <f>IF($N585="","",INDEX('_calc'!$D$2:$D$3001,$N585))</f>
        <v/>
      </c>
      <c r="F585" s="26" t="str">
        <f>IF($N585="","",IF($E$8=0,"",E585/$E$8))</f>
        <v/>
      </c>
      <c r="G585" s="25" t="str">
        <f>IF($N585="","",INDEX('_calc'!$E$2:$E$3001,$N585))</f>
        <v/>
      </c>
      <c r="H585" s="25" t="str">
        <f>IF($N585="","",INDEX('_calc'!$F$2:$F$3001,$N585))</f>
        <v/>
      </c>
      <c r="I585" s="27" t="str">
        <f>IF($N585="","",INDEX('_calc'!$H$2:$H$3001,$N585))</f>
        <v/>
      </c>
      <c r="J585" s="27" t="str">
        <f>IF($N585="","",INDEX('_calc'!$I$2:$I$3001,$N585))</f>
        <v/>
      </c>
      <c r="K585" s="28" t="str">
        <f>IF($N585="","",IF(OR(I585="",J585=""),"",J585-I585))</f>
        <v/>
      </c>
      <c r="L585" s="29" t="str">
        <f>IF($N585="","",INDEX('_calc'!$J$2:$J$3001,$N585))</f>
        <v/>
      </c>
      <c r="M585" s="2" t="str">
        <f>IF($N585="","",IF(AND(G585=0,H585=0),"수량 없음",IF(G585=0,"신규 (전년 수량 없음)",IF(H585=0,"당해 수량 없음",""))))</f>
        <v/>
      </c>
      <c r="N585" t="str">
        <f>IF($B585="","",MATCH($B585,'_calc'!$L$2:$L$3001,0))</f>
        <v/>
      </c>
    </row>
    <row r="586">
      <c r="B586" s="24" t="str">
        <f>IF(ROW()-ROW($B$8)&gt;nComp,"",ROW()-ROW($B$8))</f>
        <v/>
      </c>
      <c r="C586" t="str">
        <f>IF($N586="","",INDEX('_calc'!$A$2:$A$3001,$N586))</f>
        <v/>
      </c>
      <c r="D586" s="25" t="str">
        <f>IF($N586="","",INDEX('_calc'!$C$2:$C$3001,$N586))</f>
        <v/>
      </c>
      <c r="E586" s="25" t="str">
        <f>IF($N586="","",INDEX('_calc'!$D$2:$D$3001,$N586))</f>
        <v/>
      </c>
      <c r="F586" s="26" t="str">
        <f>IF($N586="","",IF($E$8=0,"",E586/$E$8))</f>
        <v/>
      </c>
      <c r="G586" s="25" t="str">
        <f>IF($N586="","",INDEX('_calc'!$E$2:$E$3001,$N586))</f>
        <v/>
      </c>
      <c r="H586" s="25" t="str">
        <f>IF($N586="","",INDEX('_calc'!$F$2:$F$3001,$N586))</f>
        <v/>
      </c>
      <c r="I586" s="27" t="str">
        <f>IF($N586="","",INDEX('_calc'!$H$2:$H$3001,$N586))</f>
        <v/>
      </c>
      <c r="J586" s="27" t="str">
        <f>IF($N586="","",INDEX('_calc'!$I$2:$I$3001,$N586))</f>
        <v/>
      </c>
      <c r="K586" s="28" t="str">
        <f>IF($N586="","",IF(OR(I586="",J586=""),"",J586-I586))</f>
        <v/>
      </c>
      <c r="L586" s="29" t="str">
        <f>IF($N586="","",INDEX('_calc'!$J$2:$J$3001,$N586))</f>
        <v/>
      </c>
      <c r="M586" s="2" t="str">
        <f>IF($N586="","",IF(AND(G586=0,H586=0),"수량 없음",IF(G586=0,"신규 (전년 수량 없음)",IF(H586=0,"당해 수량 없음",""))))</f>
        <v/>
      </c>
      <c r="N586" t="str">
        <f>IF($B586="","",MATCH($B586,'_calc'!$L$2:$L$3001,0))</f>
        <v/>
      </c>
    </row>
    <row r="587">
      <c r="B587" s="24" t="str">
        <f>IF(ROW()-ROW($B$8)&gt;nComp,"",ROW()-ROW($B$8))</f>
        <v/>
      </c>
      <c r="C587" t="str">
        <f>IF($N587="","",INDEX('_calc'!$A$2:$A$3001,$N587))</f>
        <v/>
      </c>
      <c r="D587" s="25" t="str">
        <f>IF($N587="","",INDEX('_calc'!$C$2:$C$3001,$N587))</f>
        <v/>
      </c>
      <c r="E587" s="25" t="str">
        <f>IF($N587="","",INDEX('_calc'!$D$2:$D$3001,$N587))</f>
        <v/>
      </c>
      <c r="F587" s="26" t="str">
        <f>IF($N587="","",IF($E$8=0,"",E587/$E$8))</f>
        <v/>
      </c>
      <c r="G587" s="25" t="str">
        <f>IF($N587="","",INDEX('_calc'!$E$2:$E$3001,$N587))</f>
        <v/>
      </c>
      <c r="H587" s="25" t="str">
        <f>IF($N587="","",INDEX('_calc'!$F$2:$F$3001,$N587))</f>
        <v/>
      </c>
      <c r="I587" s="27" t="str">
        <f>IF($N587="","",INDEX('_calc'!$H$2:$H$3001,$N587))</f>
        <v/>
      </c>
      <c r="J587" s="27" t="str">
        <f>IF($N587="","",INDEX('_calc'!$I$2:$I$3001,$N587))</f>
        <v/>
      </c>
      <c r="K587" s="28" t="str">
        <f>IF($N587="","",IF(OR(I587="",J587=""),"",J587-I587))</f>
        <v/>
      </c>
      <c r="L587" s="29" t="str">
        <f>IF($N587="","",INDEX('_calc'!$J$2:$J$3001,$N587))</f>
        <v/>
      </c>
      <c r="M587" s="2" t="str">
        <f>IF($N587="","",IF(AND(G587=0,H587=0),"수량 없음",IF(G587=0,"신규 (전년 수량 없음)",IF(H587=0,"당해 수량 없음",""))))</f>
        <v/>
      </c>
      <c r="N587" t="str">
        <f>IF($B587="","",MATCH($B587,'_calc'!$L$2:$L$3001,0))</f>
        <v/>
      </c>
    </row>
    <row r="588">
      <c r="B588" s="24" t="str">
        <f>IF(ROW()-ROW($B$8)&gt;nComp,"",ROW()-ROW($B$8))</f>
        <v/>
      </c>
      <c r="C588" t="str">
        <f>IF($N588="","",INDEX('_calc'!$A$2:$A$3001,$N588))</f>
        <v/>
      </c>
      <c r="D588" s="25" t="str">
        <f>IF($N588="","",INDEX('_calc'!$C$2:$C$3001,$N588))</f>
        <v/>
      </c>
      <c r="E588" s="25" t="str">
        <f>IF($N588="","",INDEX('_calc'!$D$2:$D$3001,$N588))</f>
        <v/>
      </c>
      <c r="F588" s="26" t="str">
        <f>IF($N588="","",IF($E$8=0,"",E588/$E$8))</f>
        <v/>
      </c>
      <c r="G588" s="25" t="str">
        <f>IF($N588="","",INDEX('_calc'!$E$2:$E$3001,$N588))</f>
        <v/>
      </c>
      <c r="H588" s="25" t="str">
        <f>IF($N588="","",INDEX('_calc'!$F$2:$F$3001,$N588))</f>
        <v/>
      </c>
      <c r="I588" s="27" t="str">
        <f>IF($N588="","",INDEX('_calc'!$H$2:$H$3001,$N588))</f>
        <v/>
      </c>
      <c r="J588" s="27" t="str">
        <f>IF($N588="","",INDEX('_calc'!$I$2:$I$3001,$N588))</f>
        <v/>
      </c>
      <c r="K588" s="28" t="str">
        <f>IF($N588="","",IF(OR(I588="",J588=""),"",J588-I588))</f>
        <v/>
      </c>
      <c r="L588" s="29" t="str">
        <f>IF($N588="","",INDEX('_calc'!$J$2:$J$3001,$N588))</f>
        <v/>
      </c>
      <c r="M588" s="2" t="str">
        <f>IF($N588="","",IF(AND(G588=0,H588=0),"수량 없음",IF(G588=0,"신규 (전년 수량 없음)",IF(H588=0,"당해 수량 없음",""))))</f>
        <v/>
      </c>
      <c r="N588" t="str">
        <f>IF($B588="","",MATCH($B588,'_calc'!$L$2:$L$3001,0))</f>
        <v/>
      </c>
    </row>
    <row r="589">
      <c r="B589" s="24" t="str">
        <f>IF(ROW()-ROW($B$8)&gt;nComp,"",ROW()-ROW($B$8))</f>
        <v/>
      </c>
      <c r="C589" t="str">
        <f>IF($N589="","",INDEX('_calc'!$A$2:$A$3001,$N589))</f>
        <v/>
      </c>
      <c r="D589" s="25" t="str">
        <f>IF($N589="","",INDEX('_calc'!$C$2:$C$3001,$N589))</f>
        <v/>
      </c>
      <c r="E589" s="25" t="str">
        <f>IF($N589="","",INDEX('_calc'!$D$2:$D$3001,$N589))</f>
        <v/>
      </c>
      <c r="F589" s="26" t="str">
        <f>IF($N589="","",IF($E$8=0,"",E589/$E$8))</f>
        <v/>
      </c>
      <c r="G589" s="25" t="str">
        <f>IF($N589="","",INDEX('_calc'!$E$2:$E$3001,$N589))</f>
        <v/>
      </c>
      <c r="H589" s="25" t="str">
        <f>IF($N589="","",INDEX('_calc'!$F$2:$F$3001,$N589))</f>
        <v/>
      </c>
      <c r="I589" s="27" t="str">
        <f>IF($N589="","",INDEX('_calc'!$H$2:$H$3001,$N589))</f>
        <v/>
      </c>
      <c r="J589" s="27" t="str">
        <f>IF($N589="","",INDEX('_calc'!$I$2:$I$3001,$N589))</f>
        <v/>
      </c>
      <c r="K589" s="28" t="str">
        <f>IF($N589="","",IF(OR(I589="",J589=""),"",J589-I589))</f>
        <v/>
      </c>
      <c r="L589" s="29" t="str">
        <f>IF($N589="","",INDEX('_calc'!$J$2:$J$3001,$N589))</f>
        <v/>
      </c>
      <c r="M589" s="2" t="str">
        <f>IF($N589="","",IF(AND(G589=0,H589=0),"수량 없음",IF(G589=0,"신규 (전년 수량 없음)",IF(H589=0,"당해 수량 없음",""))))</f>
        <v/>
      </c>
      <c r="N589" t="str">
        <f>IF($B589="","",MATCH($B589,'_calc'!$L$2:$L$3001,0))</f>
        <v/>
      </c>
    </row>
    <row r="590">
      <c r="B590" s="24" t="str">
        <f>IF(ROW()-ROW($B$8)&gt;nComp,"",ROW()-ROW($B$8))</f>
        <v/>
      </c>
      <c r="C590" t="str">
        <f>IF($N590="","",INDEX('_calc'!$A$2:$A$3001,$N590))</f>
        <v/>
      </c>
      <c r="D590" s="25" t="str">
        <f>IF($N590="","",INDEX('_calc'!$C$2:$C$3001,$N590))</f>
        <v/>
      </c>
      <c r="E590" s="25" t="str">
        <f>IF($N590="","",INDEX('_calc'!$D$2:$D$3001,$N590))</f>
        <v/>
      </c>
      <c r="F590" s="26" t="str">
        <f>IF($N590="","",IF($E$8=0,"",E590/$E$8))</f>
        <v/>
      </c>
      <c r="G590" s="25" t="str">
        <f>IF($N590="","",INDEX('_calc'!$E$2:$E$3001,$N590))</f>
        <v/>
      </c>
      <c r="H590" s="25" t="str">
        <f>IF($N590="","",INDEX('_calc'!$F$2:$F$3001,$N590))</f>
        <v/>
      </c>
      <c r="I590" s="27" t="str">
        <f>IF($N590="","",INDEX('_calc'!$H$2:$H$3001,$N590))</f>
        <v/>
      </c>
      <c r="J590" s="27" t="str">
        <f>IF($N590="","",INDEX('_calc'!$I$2:$I$3001,$N590))</f>
        <v/>
      </c>
      <c r="K590" s="28" t="str">
        <f>IF($N590="","",IF(OR(I590="",J590=""),"",J590-I590))</f>
        <v/>
      </c>
      <c r="L590" s="29" t="str">
        <f>IF($N590="","",INDEX('_calc'!$J$2:$J$3001,$N590))</f>
        <v/>
      </c>
      <c r="M590" s="2" t="str">
        <f>IF($N590="","",IF(AND(G590=0,H590=0),"수량 없음",IF(G590=0,"신규 (전년 수량 없음)",IF(H590=0,"당해 수량 없음",""))))</f>
        <v/>
      </c>
      <c r="N590" t="str">
        <f>IF($B590="","",MATCH($B590,'_calc'!$L$2:$L$3001,0))</f>
        <v/>
      </c>
    </row>
    <row r="591">
      <c r="B591" s="24" t="str">
        <f>IF(ROW()-ROW($B$8)&gt;nComp,"",ROW()-ROW($B$8))</f>
        <v/>
      </c>
      <c r="C591" t="str">
        <f>IF($N591="","",INDEX('_calc'!$A$2:$A$3001,$N591))</f>
        <v/>
      </c>
      <c r="D591" s="25" t="str">
        <f>IF($N591="","",INDEX('_calc'!$C$2:$C$3001,$N591))</f>
        <v/>
      </c>
      <c r="E591" s="25" t="str">
        <f>IF($N591="","",INDEX('_calc'!$D$2:$D$3001,$N591))</f>
        <v/>
      </c>
      <c r="F591" s="26" t="str">
        <f>IF($N591="","",IF($E$8=0,"",E591/$E$8))</f>
        <v/>
      </c>
      <c r="G591" s="25" t="str">
        <f>IF($N591="","",INDEX('_calc'!$E$2:$E$3001,$N591))</f>
        <v/>
      </c>
      <c r="H591" s="25" t="str">
        <f>IF($N591="","",INDEX('_calc'!$F$2:$F$3001,$N591))</f>
        <v/>
      </c>
      <c r="I591" s="27" t="str">
        <f>IF($N591="","",INDEX('_calc'!$H$2:$H$3001,$N591))</f>
        <v/>
      </c>
      <c r="J591" s="27" t="str">
        <f>IF($N591="","",INDEX('_calc'!$I$2:$I$3001,$N591))</f>
        <v/>
      </c>
      <c r="K591" s="28" t="str">
        <f>IF($N591="","",IF(OR(I591="",J591=""),"",J591-I591))</f>
        <v/>
      </c>
      <c r="L591" s="29" t="str">
        <f>IF($N591="","",INDEX('_calc'!$J$2:$J$3001,$N591))</f>
        <v/>
      </c>
      <c r="M591" s="2" t="str">
        <f>IF($N591="","",IF(AND(G591=0,H591=0),"수량 없음",IF(G591=0,"신규 (전년 수량 없음)",IF(H591=0,"당해 수량 없음",""))))</f>
        <v/>
      </c>
      <c r="N591" t="str">
        <f>IF($B591="","",MATCH($B591,'_calc'!$L$2:$L$3001,0))</f>
        <v/>
      </c>
    </row>
    <row r="592">
      <c r="B592" s="24" t="str">
        <f>IF(ROW()-ROW($B$8)&gt;nComp,"",ROW()-ROW($B$8))</f>
        <v/>
      </c>
      <c r="C592" t="str">
        <f>IF($N592="","",INDEX('_calc'!$A$2:$A$3001,$N592))</f>
        <v/>
      </c>
      <c r="D592" s="25" t="str">
        <f>IF($N592="","",INDEX('_calc'!$C$2:$C$3001,$N592))</f>
        <v/>
      </c>
      <c r="E592" s="25" t="str">
        <f>IF($N592="","",INDEX('_calc'!$D$2:$D$3001,$N592))</f>
        <v/>
      </c>
      <c r="F592" s="26" t="str">
        <f>IF($N592="","",IF($E$8=0,"",E592/$E$8))</f>
        <v/>
      </c>
      <c r="G592" s="25" t="str">
        <f>IF($N592="","",INDEX('_calc'!$E$2:$E$3001,$N592))</f>
        <v/>
      </c>
      <c r="H592" s="25" t="str">
        <f>IF($N592="","",INDEX('_calc'!$F$2:$F$3001,$N592))</f>
        <v/>
      </c>
      <c r="I592" s="27" t="str">
        <f>IF($N592="","",INDEX('_calc'!$H$2:$H$3001,$N592))</f>
        <v/>
      </c>
      <c r="J592" s="27" t="str">
        <f>IF($N592="","",INDEX('_calc'!$I$2:$I$3001,$N592))</f>
        <v/>
      </c>
      <c r="K592" s="28" t="str">
        <f>IF($N592="","",IF(OR(I592="",J592=""),"",J592-I592))</f>
        <v/>
      </c>
      <c r="L592" s="29" t="str">
        <f>IF($N592="","",INDEX('_calc'!$J$2:$J$3001,$N592))</f>
        <v/>
      </c>
      <c r="M592" s="2" t="str">
        <f>IF($N592="","",IF(AND(G592=0,H592=0),"수량 없음",IF(G592=0,"신규 (전년 수량 없음)",IF(H592=0,"당해 수량 없음",""))))</f>
        <v/>
      </c>
      <c r="N592" t="str">
        <f>IF($B592="","",MATCH($B592,'_calc'!$L$2:$L$3001,0))</f>
        <v/>
      </c>
    </row>
    <row r="593">
      <c r="B593" s="24" t="str">
        <f>IF(ROW()-ROW($B$8)&gt;nComp,"",ROW()-ROW($B$8))</f>
        <v/>
      </c>
      <c r="C593" t="str">
        <f>IF($N593="","",INDEX('_calc'!$A$2:$A$3001,$N593))</f>
        <v/>
      </c>
      <c r="D593" s="25" t="str">
        <f>IF($N593="","",INDEX('_calc'!$C$2:$C$3001,$N593))</f>
        <v/>
      </c>
      <c r="E593" s="25" t="str">
        <f>IF($N593="","",INDEX('_calc'!$D$2:$D$3001,$N593))</f>
        <v/>
      </c>
      <c r="F593" s="26" t="str">
        <f>IF($N593="","",IF($E$8=0,"",E593/$E$8))</f>
        <v/>
      </c>
      <c r="G593" s="25" t="str">
        <f>IF($N593="","",INDEX('_calc'!$E$2:$E$3001,$N593))</f>
        <v/>
      </c>
      <c r="H593" s="25" t="str">
        <f>IF($N593="","",INDEX('_calc'!$F$2:$F$3001,$N593))</f>
        <v/>
      </c>
      <c r="I593" s="27" t="str">
        <f>IF($N593="","",INDEX('_calc'!$H$2:$H$3001,$N593))</f>
        <v/>
      </c>
      <c r="J593" s="27" t="str">
        <f>IF($N593="","",INDEX('_calc'!$I$2:$I$3001,$N593))</f>
        <v/>
      </c>
      <c r="K593" s="28" t="str">
        <f>IF($N593="","",IF(OR(I593="",J593=""),"",J593-I593))</f>
        <v/>
      </c>
      <c r="L593" s="29" t="str">
        <f>IF($N593="","",INDEX('_calc'!$J$2:$J$3001,$N593))</f>
        <v/>
      </c>
      <c r="M593" s="2" t="str">
        <f>IF($N593="","",IF(AND(G593=0,H593=0),"수량 없음",IF(G593=0,"신규 (전년 수량 없음)",IF(H593=0,"당해 수량 없음",""))))</f>
        <v/>
      </c>
      <c r="N593" t="str">
        <f>IF($B593="","",MATCH($B593,'_calc'!$L$2:$L$3001,0))</f>
        <v/>
      </c>
    </row>
    <row r="594">
      <c r="B594" s="24" t="str">
        <f>IF(ROW()-ROW($B$8)&gt;nComp,"",ROW()-ROW($B$8))</f>
        <v/>
      </c>
      <c r="C594" t="str">
        <f>IF($N594="","",INDEX('_calc'!$A$2:$A$3001,$N594))</f>
        <v/>
      </c>
      <c r="D594" s="25" t="str">
        <f>IF($N594="","",INDEX('_calc'!$C$2:$C$3001,$N594))</f>
        <v/>
      </c>
      <c r="E594" s="25" t="str">
        <f>IF($N594="","",INDEX('_calc'!$D$2:$D$3001,$N594))</f>
        <v/>
      </c>
      <c r="F594" s="26" t="str">
        <f>IF($N594="","",IF($E$8=0,"",E594/$E$8))</f>
        <v/>
      </c>
      <c r="G594" s="25" t="str">
        <f>IF($N594="","",INDEX('_calc'!$E$2:$E$3001,$N594))</f>
        <v/>
      </c>
      <c r="H594" s="25" t="str">
        <f>IF($N594="","",INDEX('_calc'!$F$2:$F$3001,$N594))</f>
        <v/>
      </c>
      <c r="I594" s="27" t="str">
        <f>IF($N594="","",INDEX('_calc'!$H$2:$H$3001,$N594))</f>
        <v/>
      </c>
      <c r="J594" s="27" t="str">
        <f>IF($N594="","",INDEX('_calc'!$I$2:$I$3001,$N594))</f>
        <v/>
      </c>
      <c r="K594" s="28" t="str">
        <f>IF($N594="","",IF(OR(I594="",J594=""),"",J594-I594))</f>
        <v/>
      </c>
      <c r="L594" s="29" t="str">
        <f>IF($N594="","",INDEX('_calc'!$J$2:$J$3001,$N594))</f>
        <v/>
      </c>
      <c r="M594" s="2" t="str">
        <f>IF($N594="","",IF(AND(G594=0,H594=0),"수량 없음",IF(G594=0,"신규 (전년 수량 없음)",IF(H594=0,"당해 수량 없음",""))))</f>
        <v/>
      </c>
      <c r="N594" t="str">
        <f>IF($B594="","",MATCH($B594,'_calc'!$L$2:$L$3001,0))</f>
        <v/>
      </c>
    </row>
    <row r="595">
      <c r="B595" s="24" t="str">
        <f>IF(ROW()-ROW($B$8)&gt;nComp,"",ROW()-ROW($B$8))</f>
        <v/>
      </c>
      <c r="C595" t="str">
        <f>IF($N595="","",INDEX('_calc'!$A$2:$A$3001,$N595))</f>
        <v/>
      </c>
      <c r="D595" s="25" t="str">
        <f>IF($N595="","",INDEX('_calc'!$C$2:$C$3001,$N595))</f>
        <v/>
      </c>
      <c r="E595" s="25" t="str">
        <f>IF($N595="","",INDEX('_calc'!$D$2:$D$3001,$N595))</f>
        <v/>
      </c>
      <c r="F595" s="26" t="str">
        <f>IF($N595="","",IF($E$8=0,"",E595/$E$8))</f>
        <v/>
      </c>
      <c r="G595" s="25" t="str">
        <f>IF($N595="","",INDEX('_calc'!$E$2:$E$3001,$N595))</f>
        <v/>
      </c>
      <c r="H595" s="25" t="str">
        <f>IF($N595="","",INDEX('_calc'!$F$2:$F$3001,$N595))</f>
        <v/>
      </c>
      <c r="I595" s="27" t="str">
        <f>IF($N595="","",INDEX('_calc'!$H$2:$H$3001,$N595))</f>
        <v/>
      </c>
      <c r="J595" s="27" t="str">
        <f>IF($N595="","",INDEX('_calc'!$I$2:$I$3001,$N595))</f>
        <v/>
      </c>
      <c r="K595" s="28" t="str">
        <f>IF($N595="","",IF(OR(I595="",J595=""),"",J595-I595))</f>
        <v/>
      </c>
      <c r="L595" s="29" t="str">
        <f>IF($N595="","",INDEX('_calc'!$J$2:$J$3001,$N595))</f>
        <v/>
      </c>
      <c r="M595" s="2" t="str">
        <f>IF($N595="","",IF(AND(G595=0,H595=0),"수량 없음",IF(G595=0,"신규 (전년 수량 없음)",IF(H595=0,"당해 수량 없음",""))))</f>
        <v/>
      </c>
      <c r="N595" t="str">
        <f>IF($B595="","",MATCH($B595,'_calc'!$L$2:$L$3001,0))</f>
        <v/>
      </c>
    </row>
    <row r="596">
      <c r="B596" s="24" t="str">
        <f>IF(ROW()-ROW($B$8)&gt;nComp,"",ROW()-ROW($B$8))</f>
        <v/>
      </c>
      <c r="C596" t="str">
        <f>IF($N596="","",INDEX('_calc'!$A$2:$A$3001,$N596))</f>
        <v/>
      </c>
      <c r="D596" s="25" t="str">
        <f>IF($N596="","",INDEX('_calc'!$C$2:$C$3001,$N596))</f>
        <v/>
      </c>
      <c r="E596" s="25" t="str">
        <f>IF($N596="","",INDEX('_calc'!$D$2:$D$3001,$N596))</f>
        <v/>
      </c>
      <c r="F596" s="26" t="str">
        <f>IF($N596="","",IF($E$8=0,"",E596/$E$8))</f>
        <v/>
      </c>
      <c r="G596" s="25" t="str">
        <f>IF($N596="","",INDEX('_calc'!$E$2:$E$3001,$N596))</f>
        <v/>
      </c>
      <c r="H596" s="25" t="str">
        <f>IF($N596="","",INDEX('_calc'!$F$2:$F$3001,$N596))</f>
        <v/>
      </c>
      <c r="I596" s="27" t="str">
        <f>IF($N596="","",INDEX('_calc'!$H$2:$H$3001,$N596))</f>
        <v/>
      </c>
      <c r="J596" s="27" t="str">
        <f>IF($N596="","",INDEX('_calc'!$I$2:$I$3001,$N596))</f>
        <v/>
      </c>
      <c r="K596" s="28" t="str">
        <f>IF($N596="","",IF(OR(I596="",J596=""),"",J596-I596))</f>
        <v/>
      </c>
      <c r="L596" s="29" t="str">
        <f>IF($N596="","",INDEX('_calc'!$J$2:$J$3001,$N596))</f>
        <v/>
      </c>
      <c r="M596" s="2" t="str">
        <f>IF($N596="","",IF(AND(G596=0,H596=0),"수량 없음",IF(G596=0,"신규 (전년 수량 없음)",IF(H596=0,"당해 수량 없음",""))))</f>
        <v/>
      </c>
      <c r="N596" t="str">
        <f>IF($B596="","",MATCH($B596,'_calc'!$L$2:$L$3001,0))</f>
        <v/>
      </c>
    </row>
    <row r="597">
      <c r="B597" s="24" t="str">
        <f>IF(ROW()-ROW($B$8)&gt;nComp,"",ROW()-ROW($B$8))</f>
        <v/>
      </c>
      <c r="C597" t="str">
        <f>IF($N597="","",INDEX('_calc'!$A$2:$A$3001,$N597))</f>
        <v/>
      </c>
      <c r="D597" s="25" t="str">
        <f>IF($N597="","",INDEX('_calc'!$C$2:$C$3001,$N597))</f>
        <v/>
      </c>
      <c r="E597" s="25" t="str">
        <f>IF($N597="","",INDEX('_calc'!$D$2:$D$3001,$N597))</f>
        <v/>
      </c>
      <c r="F597" s="26" t="str">
        <f>IF($N597="","",IF($E$8=0,"",E597/$E$8))</f>
        <v/>
      </c>
      <c r="G597" s="25" t="str">
        <f>IF($N597="","",INDEX('_calc'!$E$2:$E$3001,$N597))</f>
        <v/>
      </c>
      <c r="H597" s="25" t="str">
        <f>IF($N597="","",INDEX('_calc'!$F$2:$F$3001,$N597))</f>
        <v/>
      </c>
      <c r="I597" s="27" t="str">
        <f>IF($N597="","",INDEX('_calc'!$H$2:$H$3001,$N597))</f>
        <v/>
      </c>
      <c r="J597" s="27" t="str">
        <f>IF($N597="","",INDEX('_calc'!$I$2:$I$3001,$N597))</f>
        <v/>
      </c>
      <c r="K597" s="28" t="str">
        <f>IF($N597="","",IF(OR(I597="",J597=""),"",J597-I597))</f>
        <v/>
      </c>
      <c r="L597" s="29" t="str">
        <f>IF($N597="","",INDEX('_calc'!$J$2:$J$3001,$N597))</f>
        <v/>
      </c>
      <c r="M597" s="2" t="str">
        <f>IF($N597="","",IF(AND(G597=0,H597=0),"수량 없음",IF(G597=0,"신규 (전년 수량 없음)",IF(H597=0,"당해 수량 없음",""))))</f>
        <v/>
      </c>
      <c r="N597" t="str">
        <f>IF($B597="","",MATCH($B597,'_calc'!$L$2:$L$3001,0))</f>
        <v/>
      </c>
    </row>
    <row r="598">
      <c r="B598" s="24" t="str">
        <f>IF(ROW()-ROW($B$8)&gt;nComp,"",ROW()-ROW($B$8))</f>
        <v/>
      </c>
      <c r="C598" t="str">
        <f>IF($N598="","",INDEX('_calc'!$A$2:$A$3001,$N598))</f>
        <v/>
      </c>
      <c r="D598" s="25" t="str">
        <f>IF($N598="","",INDEX('_calc'!$C$2:$C$3001,$N598))</f>
        <v/>
      </c>
      <c r="E598" s="25" t="str">
        <f>IF($N598="","",INDEX('_calc'!$D$2:$D$3001,$N598))</f>
        <v/>
      </c>
      <c r="F598" s="26" t="str">
        <f>IF($N598="","",IF($E$8=0,"",E598/$E$8))</f>
        <v/>
      </c>
      <c r="G598" s="25" t="str">
        <f>IF($N598="","",INDEX('_calc'!$E$2:$E$3001,$N598))</f>
        <v/>
      </c>
      <c r="H598" s="25" t="str">
        <f>IF($N598="","",INDEX('_calc'!$F$2:$F$3001,$N598))</f>
        <v/>
      </c>
      <c r="I598" s="27" t="str">
        <f>IF($N598="","",INDEX('_calc'!$H$2:$H$3001,$N598))</f>
        <v/>
      </c>
      <c r="J598" s="27" t="str">
        <f>IF($N598="","",INDEX('_calc'!$I$2:$I$3001,$N598))</f>
        <v/>
      </c>
      <c r="K598" s="28" t="str">
        <f>IF($N598="","",IF(OR(I598="",J598=""),"",J598-I598))</f>
        <v/>
      </c>
      <c r="L598" s="29" t="str">
        <f>IF($N598="","",INDEX('_calc'!$J$2:$J$3001,$N598))</f>
        <v/>
      </c>
      <c r="M598" s="2" t="str">
        <f>IF($N598="","",IF(AND(G598=0,H598=0),"수량 없음",IF(G598=0,"신규 (전년 수량 없음)",IF(H598=0,"당해 수량 없음",""))))</f>
        <v/>
      </c>
      <c r="N598" t="str">
        <f>IF($B598="","",MATCH($B598,'_calc'!$L$2:$L$3001,0))</f>
        <v/>
      </c>
    </row>
    <row r="599">
      <c r="B599" s="24" t="str">
        <f>IF(ROW()-ROW($B$8)&gt;nComp,"",ROW()-ROW($B$8))</f>
        <v/>
      </c>
      <c r="C599" t="str">
        <f>IF($N599="","",INDEX('_calc'!$A$2:$A$3001,$N599))</f>
        <v/>
      </c>
      <c r="D599" s="25" t="str">
        <f>IF($N599="","",INDEX('_calc'!$C$2:$C$3001,$N599))</f>
        <v/>
      </c>
      <c r="E599" s="25" t="str">
        <f>IF($N599="","",INDEX('_calc'!$D$2:$D$3001,$N599))</f>
        <v/>
      </c>
      <c r="F599" s="26" t="str">
        <f>IF($N599="","",IF($E$8=0,"",E599/$E$8))</f>
        <v/>
      </c>
      <c r="G599" s="25" t="str">
        <f>IF($N599="","",INDEX('_calc'!$E$2:$E$3001,$N599))</f>
        <v/>
      </c>
      <c r="H599" s="25" t="str">
        <f>IF($N599="","",INDEX('_calc'!$F$2:$F$3001,$N599))</f>
        <v/>
      </c>
      <c r="I599" s="27" t="str">
        <f>IF($N599="","",INDEX('_calc'!$H$2:$H$3001,$N599))</f>
        <v/>
      </c>
      <c r="J599" s="27" t="str">
        <f>IF($N599="","",INDEX('_calc'!$I$2:$I$3001,$N599))</f>
        <v/>
      </c>
      <c r="K599" s="28" t="str">
        <f>IF($N599="","",IF(OR(I599="",J599=""),"",J599-I599))</f>
        <v/>
      </c>
      <c r="L599" s="29" t="str">
        <f>IF($N599="","",INDEX('_calc'!$J$2:$J$3001,$N599))</f>
        <v/>
      </c>
      <c r="M599" s="2" t="str">
        <f>IF($N599="","",IF(AND(G599=0,H599=0),"수량 없음",IF(G599=0,"신규 (전년 수량 없음)",IF(H599=0,"당해 수량 없음",""))))</f>
        <v/>
      </c>
      <c r="N599" t="str">
        <f>IF($B599="","",MATCH($B599,'_calc'!$L$2:$L$3001,0))</f>
        <v/>
      </c>
    </row>
    <row r="600">
      <c r="B600" s="24" t="str">
        <f>IF(ROW()-ROW($B$8)&gt;nComp,"",ROW()-ROW($B$8))</f>
        <v/>
      </c>
      <c r="C600" t="str">
        <f>IF($N600="","",INDEX('_calc'!$A$2:$A$3001,$N600))</f>
        <v/>
      </c>
      <c r="D600" s="25" t="str">
        <f>IF($N600="","",INDEX('_calc'!$C$2:$C$3001,$N600))</f>
        <v/>
      </c>
      <c r="E600" s="25" t="str">
        <f>IF($N600="","",INDEX('_calc'!$D$2:$D$3001,$N600))</f>
        <v/>
      </c>
      <c r="F600" s="26" t="str">
        <f>IF($N600="","",IF($E$8=0,"",E600/$E$8))</f>
        <v/>
      </c>
      <c r="G600" s="25" t="str">
        <f>IF($N600="","",INDEX('_calc'!$E$2:$E$3001,$N600))</f>
        <v/>
      </c>
      <c r="H600" s="25" t="str">
        <f>IF($N600="","",INDEX('_calc'!$F$2:$F$3001,$N600))</f>
        <v/>
      </c>
      <c r="I600" s="27" t="str">
        <f>IF($N600="","",INDEX('_calc'!$H$2:$H$3001,$N600))</f>
        <v/>
      </c>
      <c r="J600" s="27" t="str">
        <f>IF($N600="","",INDEX('_calc'!$I$2:$I$3001,$N600))</f>
        <v/>
      </c>
      <c r="K600" s="28" t="str">
        <f>IF($N600="","",IF(OR(I600="",J600=""),"",J600-I600))</f>
        <v/>
      </c>
      <c r="L600" s="29" t="str">
        <f>IF($N600="","",INDEX('_calc'!$J$2:$J$3001,$N600))</f>
        <v/>
      </c>
      <c r="M600" s="2" t="str">
        <f>IF($N600="","",IF(AND(G600=0,H600=0),"수량 없음",IF(G600=0,"신규 (전년 수량 없음)",IF(H600=0,"당해 수량 없음",""))))</f>
        <v/>
      </c>
      <c r="N600" t="str">
        <f>IF($B600="","",MATCH($B600,'_calc'!$L$2:$L$3001,0))</f>
        <v/>
      </c>
    </row>
    <row r="601">
      <c r="B601" s="24" t="str">
        <f>IF(ROW()-ROW($B$8)&gt;nComp,"",ROW()-ROW($B$8))</f>
        <v/>
      </c>
      <c r="C601" t="str">
        <f>IF($N601="","",INDEX('_calc'!$A$2:$A$3001,$N601))</f>
        <v/>
      </c>
      <c r="D601" s="25" t="str">
        <f>IF($N601="","",INDEX('_calc'!$C$2:$C$3001,$N601))</f>
        <v/>
      </c>
      <c r="E601" s="25" t="str">
        <f>IF($N601="","",INDEX('_calc'!$D$2:$D$3001,$N601))</f>
        <v/>
      </c>
      <c r="F601" s="26" t="str">
        <f>IF($N601="","",IF($E$8=0,"",E601/$E$8))</f>
        <v/>
      </c>
      <c r="G601" s="25" t="str">
        <f>IF($N601="","",INDEX('_calc'!$E$2:$E$3001,$N601))</f>
        <v/>
      </c>
      <c r="H601" s="25" t="str">
        <f>IF($N601="","",INDEX('_calc'!$F$2:$F$3001,$N601))</f>
        <v/>
      </c>
      <c r="I601" s="27" t="str">
        <f>IF($N601="","",INDEX('_calc'!$H$2:$H$3001,$N601))</f>
        <v/>
      </c>
      <c r="J601" s="27" t="str">
        <f>IF($N601="","",INDEX('_calc'!$I$2:$I$3001,$N601))</f>
        <v/>
      </c>
      <c r="K601" s="28" t="str">
        <f>IF($N601="","",IF(OR(I601="",J601=""),"",J601-I601))</f>
        <v/>
      </c>
      <c r="L601" s="29" t="str">
        <f>IF($N601="","",INDEX('_calc'!$J$2:$J$3001,$N601))</f>
        <v/>
      </c>
      <c r="M601" s="2" t="str">
        <f>IF($N601="","",IF(AND(G601=0,H601=0),"수량 없음",IF(G601=0,"신규 (전년 수량 없음)",IF(H601=0,"당해 수량 없음",""))))</f>
        <v/>
      </c>
      <c r="N601" t="str">
        <f>IF($B601="","",MATCH($B601,'_calc'!$L$2:$L$3001,0))</f>
        <v/>
      </c>
    </row>
    <row r="602">
      <c r="B602" s="24" t="str">
        <f>IF(ROW()-ROW($B$8)&gt;nComp,"",ROW()-ROW($B$8))</f>
        <v/>
      </c>
      <c r="C602" t="str">
        <f>IF($N602="","",INDEX('_calc'!$A$2:$A$3001,$N602))</f>
        <v/>
      </c>
      <c r="D602" s="25" t="str">
        <f>IF($N602="","",INDEX('_calc'!$C$2:$C$3001,$N602))</f>
        <v/>
      </c>
      <c r="E602" s="25" t="str">
        <f>IF($N602="","",INDEX('_calc'!$D$2:$D$3001,$N602))</f>
        <v/>
      </c>
      <c r="F602" s="26" t="str">
        <f>IF($N602="","",IF($E$8=0,"",E602/$E$8))</f>
        <v/>
      </c>
      <c r="G602" s="25" t="str">
        <f>IF($N602="","",INDEX('_calc'!$E$2:$E$3001,$N602))</f>
        <v/>
      </c>
      <c r="H602" s="25" t="str">
        <f>IF($N602="","",INDEX('_calc'!$F$2:$F$3001,$N602))</f>
        <v/>
      </c>
      <c r="I602" s="27" t="str">
        <f>IF($N602="","",INDEX('_calc'!$H$2:$H$3001,$N602))</f>
        <v/>
      </c>
      <c r="J602" s="27" t="str">
        <f>IF($N602="","",INDEX('_calc'!$I$2:$I$3001,$N602))</f>
        <v/>
      </c>
      <c r="K602" s="28" t="str">
        <f>IF($N602="","",IF(OR(I602="",J602=""),"",J602-I602))</f>
        <v/>
      </c>
      <c r="L602" s="29" t="str">
        <f>IF($N602="","",INDEX('_calc'!$J$2:$J$3001,$N602))</f>
        <v/>
      </c>
      <c r="M602" s="2" t="str">
        <f>IF($N602="","",IF(AND(G602=0,H602=0),"수량 없음",IF(G602=0,"신규 (전년 수량 없음)",IF(H602=0,"당해 수량 없음",""))))</f>
        <v/>
      </c>
      <c r="N602" t="str">
        <f>IF($B602="","",MATCH($B602,'_calc'!$L$2:$L$3001,0))</f>
        <v/>
      </c>
    </row>
    <row r="603">
      <c r="B603" s="24" t="str">
        <f>IF(ROW()-ROW($B$8)&gt;nComp,"",ROW()-ROW($B$8))</f>
        <v/>
      </c>
      <c r="C603" t="str">
        <f>IF($N603="","",INDEX('_calc'!$A$2:$A$3001,$N603))</f>
        <v/>
      </c>
      <c r="D603" s="25" t="str">
        <f>IF($N603="","",INDEX('_calc'!$C$2:$C$3001,$N603))</f>
        <v/>
      </c>
      <c r="E603" s="25" t="str">
        <f>IF($N603="","",INDEX('_calc'!$D$2:$D$3001,$N603))</f>
        <v/>
      </c>
      <c r="F603" s="26" t="str">
        <f>IF($N603="","",IF($E$8=0,"",E603/$E$8))</f>
        <v/>
      </c>
      <c r="G603" s="25" t="str">
        <f>IF($N603="","",INDEX('_calc'!$E$2:$E$3001,$N603))</f>
        <v/>
      </c>
      <c r="H603" s="25" t="str">
        <f>IF($N603="","",INDEX('_calc'!$F$2:$F$3001,$N603))</f>
        <v/>
      </c>
      <c r="I603" s="27" t="str">
        <f>IF($N603="","",INDEX('_calc'!$H$2:$H$3001,$N603))</f>
        <v/>
      </c>
      <c r="J603" s="27" t="str">
        <f>IF($N603="","",INDEX('_calc'!$I$2:$I$3001,$N603))</f>
        <v/>
      </c>
      <c r="K603" s="28" t="str">
        <f>IF($N603="","",IF(OR(I603="",J603=""),"",J603-I603))</f>
        <v/>
      </c>
      <c r="L603" s="29" t="str">
        <f>IF($N603="","",INDEX('_calc'!$J$2:$J$3001,$N603))</f>
        <v/>
      </c>
      <c r="M603" s="2" t="str">
        <f>IF($N603="","",IF(AND(G603=0,H603=0),"수량 없음",IF(G603=0,"신규 (전년 수량 없음)",IF(H603=0,"당해 수량 없음",""))))</f>
        <v/>
      </c>
      <c r="N603" t="str">
        <f>IF($B603="","",MATCH($B603,'_calc'!$L$2:$L$3001,0))</f>
        <v/>
      </c>
    </row>
    <row r="604">
      <c r="B604" s="24" t="str">
        <f>IF(ROW()-ROW($B$8)&gt;nComp,"",ROW()-ROW($B$8))</f>
        <v/>
      </c>
      <c r="C604" t="str">
        <f>IF($N604="","",INDEX('_calc'!$A$2:$A$3001,$N604))</f>
        <v/>
      </c>
      <c r="D604" s="25" t="str">
        <f>IF($N604="","",INDEX('_calc'!$C$2:$C$3001,$N604))</f>
        <v/>
      </c>
      <c r="E604" s="25" t="str">
        <f>IF($N604="","",INDEX('_calc'!$D$2:$D$3001,$N604))</f>
        <v/>
      </c>
      <c r="F604" s="26" t="str">
        <f>IF($N604="","",IF($E$8=0,"",E604/$E$8))</f>
        <v/>
      </c>
      <c r="G604" s="25" t="str">
        <f>IF($N604="","",INDEX('_calc'!$E$2:$E$3001,$N604))</f>
        <v/>
      </c>
      <c r="H604" s="25" t="str">
        <f>IF($N604="","",INDEX('_calc'!$F$2:$F$3001,$N604))</f>
        <v/>
      </c>
      <c r="I604" s="27" t="str">
        <f>IF($N604="","",INDEX('_calc'!$H$2:$H$3001,$N604))</f>
        <v/>
      </c>
      <c r="J604" s="27" t="str">
        <f>IF($N604="","",INDEX('_calc'!$I$2:$I$3001,$N604))</f>
        <v/>
      </c>
      <c r="K604" s="28" t="str">
        <f>IF($N604="","",IF(OR(I604="",J604=""),"",J604-I604))</f>
        <v/>
      </c>
      <c r="L604" s="29" t="str">
        <f>IF($N604="","",INDEX('_calc'!$J$2:$J$3001,$N604))</f>
        <v/>
      </c>
      <c r="M604" s="2" t="str">
        <f>IF($N604="","",IF(AND(G604=0,H604=0),"수량 없음",IF(G604=0,"신규 (전년 수량 없음)",IF(H604=0,"당해 수량 없음",""))))</f>
        <v/>
      </c>
      <c r="N604" t="str">
        <f>IF($B604="","",MATCH($B604,'_calc'!$L$2:$L$3001,0))</f>
        <v/>
      </c>
    </row>
    <row r="605">
      <c r="B605" s="24" t="str">
        <f>IF(ROW()-ROW($B$8)&gt;nComp,"",ROW()-ROW($B$8))</f>
        <v/>
      </c>
      <c r="C605" t="str">
        <f>IF($N605="","",INDEX('_calc'!$A$2:$A$3001,$N605))</f>
        <v/>
      </c>
      <c r="D605" s="25" t="str">
        <f>IF($N605="","",INDEX('_calc'!$C$2:$C$3001,$N605))</f>
        <v/>
      </c>
      <c r="E605" s="25" t="str">
        <f>IF($N605="","",INDEX('_calc'!$D$2:$D$3001,$N605))</f>
        <v/>
      </c>
      <c r="F605" s="26" t="str">
        <f>IF($N605="","",IF($E$8=0,"",E605/$E$8))</f>
        <v/>
      </c>
      <c r="G605" s="25" t="str">
        <f>IF($N605="","",INDEX('_calc'!$E$2:$E$3001,$N605))</f>
        <v/>
      </c>
      <c r="H605" s="25" t="str">
        <f>IF($N605="","",INDEX('_calc'!$F$2:$F$3001,$N605))</f>
        <v/>
      </c>
      <c r="I605" s="27" t="str">
        <f>IF($N605="","",INDEX('_calc'!$H$2:$H$3001,$N605))</f>
        <v/>
      </c>
      <c r="J605" s="27" t="str">
        <f>IF($N605="","",INDEX('_calc'!$I$2:$I$3001,$N605))</f>
        <v/>
      </c>
      <c r="K605" s="28" t="str">
        <f>IF($N605="","",IF(OR(I605="",J605=""),"",J605-I605))</f>
        <v/>
      </c>
      <c r="L605" s="29" t="str">
        <f>IF($N605="","",INDEX('_calc'!$J$2:$J$3001,$N605))</f>
        <v/>
      </c>
      <c r="M605" s="2" t="str">
        <f>IF($N605="","",IF(AND(G605=0,H605=0),"수량 없음",IF(G605=0,"신규 (전년 수량 없음)",IF(H605=0,"당해 수량 없음",""))))</f>
        <v/>
      </c>
      <c r="N605" t="str">
        <f>IF($B605="","",MATCH($B605,'_calc'!$L$2:$L$3001,0))</f>
        <v/>
      </c>
    </row>
    <row r="606">
      <c r="B606" s="24" t="str">
        <f>IF(ROW()-ROW($B$8)&gt;nComp,"",ROW()-ROW($B$8))</f>
        <v/>
      </c>
      <c r="C606" t="str">
        <f>IF($N606="","",INDEX('_calc'!$A$2:$A$3001,$N606))</f>
        <v/>
      </c>
      <c r="D606" s="25" t="str">
        <f>IF($N606="","",INDEX('_calc'!$C$2:$C$3001,$N606))</f>
        <v/>
      </c>
      <c r="E606" s="25" t="str">
        <f>IF($N606="","",INDEX('_calc'!$D$2:$D$3001,$N606))</f>
        <v/>
      </c>
      <c r="F606" s="26" t="str">
        <f>IF($N606="","",IF($E$8=0,"",E606/$E$8))</f>
        <v/>
      </c>
      <c r="G606" s="25" t="str">
        <f>IF($N606="","",INDEX('_calc'!$E$2:$E$3001,$N606))</f>
        <v/>
      </c>
      <c r="H606" s="25" t="str">
        <f>IF($N606="","",INDEX('_calc'!$F$2:$F$3001,$N606))</f>
        <v/>
      </c>
      <c r="I606" s="27" t="str">
        <f>IF($N606="","",INDEX('_calc'!$H$2:$H$3001,$N606))</f>
        <v/>
      </c>
      <c r="J606" s="27" t="str">
        <f>IF($N606="","",INDEX('_calc'!$I$2:$I$3001,$N606))</f>
        <v/>
      </c>
      <c r="K606" s="28" t="str">
        <f>IF($N606="","",IF(OR(I606="",J606=""),"",J606-I606))</f>
        <v/>
      </c>
      <c r="L606" s="29" t="str">
        <f>IF($N606="","",INDEX('_calc'!$J$2:$J$3001,$N606))</f>
        <v/>
      </c>
      <c r="M606" s="2" t="str">
        <f>IF($N606="","",IF(AND(G606=0,H606=0),"수량 없음",IF(G606=0,"신규 (전년 수량 없음)",IF(H606=0,"당해 수량 없음",""))))</f>
        <v/>
      </c>
      <c r="N606" t="str">
        <f>IF($B606="","",MATCH($B606,'_calc'!$L$2:$L$3001,0))</f>
        <v/>
      </c>
    </row>
    <row r="607">
      <c r="B607" s="24" t="str">
        <f>IF(ROW()-ROW($B$8)&gt;nComp,"",ROW()-ROW($B$8))</f>
        <v/>
      </c>
      <c r="C607" t="str">
        <f>IF($N607="","",INDEX('_calc'!$A$2:$A$3001,$N607))</f>
        <v/>
      </c>
      <c r="D607" s="25" t="str">
        <f>IF($N607="","",INDEX('_calc'!$C$2:$C$3001,$N607))</f>
        <v/>
      </c>
      <c r="E607" s="25" t="str">
        <f>IF($N607="","",INDEX('_calc'!$D$2:$D$3001,$N607))</f>
        <v/>
      </c>
      <c r="F607" s="26" t="str">
        <f>IF($N607="","",IF($E$8=0,"",E607/$E$8))</f>
        <v/>
      </c>
      <c r="G607" s="25" t="str">
        <f>IF($N607="","",INDEX('_calc'!$E$2:$E$3001,$N607))</f>
        <v/>
      </c>
      <c r="H607" s="25" t="str">
        <f>IF($N607="","",INDEX('_calc'!$F$2:$F$3001,$N607))</f>
        <v/>
      </c>
      <c r="I607" s="27" t="str">
        <f>IF($N607="","",INDEX('_calc'!$H$2:$H$3001,$N607))</f>
        <v/>
      </c>
      <c r="J607" s="27" t="str">
        <f>IF($N607="","",INDEX('_calc'!$I$2:$I$3001,$N607))</f>
        <v/>
      </c>
      <c r="K607" s="28" t="str">
        <f>IF($N607="","",IF(OR(I607="",J607=""),"",J607-I607))</f>
        <v/>
      </c>
      <c r="L607" s="29" t="str">
        <f>IF($N607="","",INDEX('_calc'!$J$2:$J$3001,$N607))</f>
        <v/>
      </c>
      <c r="M607" s="2" t="str">
        <f>IF($N607="","",IF(AND(G607=0,H607=0),"수량 없음",IF(G607=0,"신규 (전년 수량 없음)",IF(H607=0,"당해 수량 없음",""))))</f>
        <v/>
      </c>
      <c r="N607" t="str">
        <f>IF($B607="","",MATCH($B607,'_calc'!$L$2:$L$3001,0))</f>
        <v/>
      </c>
    </row>
    <row r="608">
      <c r="B608" s="24" t="str">
        <f>IF(ROW()-ROW($B$8)&gt;nComp,"",ROW()-ROW($B$8))</f>
        <v/>
      </c>
      <c r="C608" t="str">
        <f>IF($N608="","",INDEX('_calc'!$A$2:$A$3001,$N608))</f>
        <v/>
      </c>
      <c r="D608" s="25" t="str">
        <f>IF($N608="","",INDEX('_calc'!$C$2:$C$3001,$N608))</f>
        <v/>
      </c>
      <c r="E608" s="25" t="str">
        <f>IF($N608="","",INDEX('_calc'!$D$2:$D$3001,$N608))</f>
        <v/>
      </c>
      <c r="F608" s="26" t="str">
        <f>IF($N608="","",IF($E$8=0,"",E608/$E$8))</f>
        <v/>
      </c>
      <c r="G608" s="25" t="str">
        <f>IF($N608="","",INDEX('_calc'!$E$2:$E$3001,$N608))</f>
        <v/>
      </c>
      <c r="H608" s="25" t="str">
        <f>IF($N608="","",INDEX('_calc'!$F$2:$F$3001,$N608))</f>
        <v/>
      </c>
      <c r="I608" s="27" t="str">
        <f>IF($N608="","",INDEX('_calc'!$H$2:$H$3001,$N608))</f>
        <v/>
      </c>
      <c r="J608" s="27" t="str">
        <f>IF($N608="","",INDEX('_calc'!$I$2:$I$3001,$N608))</f>
        <v/>
      </c>
      <c r="K608" s="28" t="str">
        <f>IF($N608="","",IF(OR(I608="",J608=""),"",J608-I608))</f>
        <v/>
      </c>
      <c r="L608" s="29" t="str">
        <f>IF($N608="","",INDEX('_calc'!$J$2:$J$3001,$N608))</f>
        <v/>
      </c>
      <c r="M608" s="2" t="str">
        <f>IF($N608="","",IF(AND(G608=0,H608=0),"수량 없음",IF(G608=0,"신규 (전년 수량 없음)",IF(H608=0,"당해 수량 없음",""))))</f>
        <v/>
      </c>
      <c r="N608" t="str">
        <f>IF($B608="","",MATCH($B608,'_calc'!$L$2:$L$3001,0))</f>
        <v/>
      </c>
    </row>
    <row r="609">
      <c r="B609" s="24" t="str">
        <f>IF(ROW()-ROW($B$8)&gt;nComp,"",ROW()-ROW($B$8))</f>
        <v/>
      </c>
      <c r="C609" t="str">
        <f>IF($N609="","",INDEX('_calc'!$A$2:$A$3001,$N609))</f>
        <v/>
      </c>
      <c r="D609" s="25" t="str">
        <f>IF($N609="","",INDEX('_calc'!$C$2:$C$3001,$N609))</f>
        <v/>
      </c>
      <c r="E609" s="25" t="str">
        <f>IF($N609="","",INDEX('_calc'!$D$2:$D$3001,$N609))</f>
        <v/>
      </c>
      <c r="F609" s="26" t="str">
        <f>IF($N609="","",IF($E$8=0,"",E609/$E$8))</f>
        <v/>
      </c>
      <c r="G609" s="25" t="str">
        <f>IF($N609="","",INDEX('_calc'!$E$2:$E$3001,$N609))</f>
        <v/>
      </c>
      <c r="H609" s="25" t="str">
        <f>IF($N609="","",INDEX('_calc'!$F$2:$F$3001,$N609))</f>
        <v/>
      </c>
      <c r="I609" s="27" t="str">
        <f>IF($N609="","",INDEX('_calc'!$H$2:$H$3001,$N609))</f>
        <v/>
      </c>
      <c r="J609" s="27" t="str">
        <f>IF($N609="","",INDEX('_calc'!$I$2:$I$3001,$N609))</f>
        <v/>
      </c>
      <c r="K609" s="28" t="str">
        <f>IF($N609="","",IF(OR(I609="",J609=""),"",J609-I609))</f>
        <v/>
      </c>
      <c r="L609" s="29" t="str">
        <f>IF($N609="","",INDEX('_calc'!$J$2:$J$3001,$N609))</f>
        <v/>
      </c>
      <c r="M609" s="2" t="str">
        <f>IF($N609="","",IF(AND(G609=0,H609=0),"수량 없음",IF(G609=0,"신규 (전년 수량 없음)",IF(H609=0,"당해 수량 없음",""))))</f>
        <v/>
      </c>
      <c r="N609" t="str">
        <f>IF($B609="","",MATCH($B609,'_calc'!$L$2:$L$3001,0))</f>
        <v/>
      </c>
    </row>
    <row r="610">
      <c r="B610" s="24" t="str">
        <f>IF(ROW()-ROW($B$8)&gt;nComp,"",ROW()-ROW($B$8))</f>
        <v/>
      </c>
      <c r="C610" t="str">
        <f>IF($N610="","",INDEX('_calc'!$A$2:$A$3001,$N610))</f>
        <v/>
      </c>
      <c r="D610" s="25" t="str">
        <f>IF($N610="","",INDEX('_calc'!$C$2:$C$3001,$N610))</f>
        <v/>
      </c>
      <c r="E610" s="25" t="str">
        <f>IF($N610="","",INDEX('_calc'!$D$2:$D$3001,$N610))</f>
        <v/>
      </c>
      <c r="F610" s="26" t="str">
        <f>IF($N610="","",IF($E$8=0,"",E610/$E$8))</f>
        <v/>
      </c>
      <c r="G610" s="25" t="str">
        <f>IF($N610="","",INDEX('_calc'!$E$2:$E$3001,$N610))</f>
        <v/>
      </c>
      <c r="H610" s="25" t="str">
        <f>IF($N610="","",INDEX('_calc'!$F$2:$F$3001,$N610))</f>
        <v/>
      </c>
      <c r="I610" s="27" t="str">
        <f>IF($N610="","",INDEX('_calc'!$H$2:$H$3001,$N610))</f>
        <v/>
      </c>
      <c r="J610" s="27" t="str">
        <f>IF($N610="","",INDEX('_calc'!$I$2:$I$3001,$N610))</f>
        <v/>
      </c>
      <c r="K610" s="28" t="str">
        <f>IF($N610="","",IF(OR(I610="",J610=""),"",J610-I610))</f>
        <v/>
      </c>
      <c r="L610" s="29" t="str">
        <f>IF($N610="","",INDEX('_calc'!$J$2:$J$3001,$N610))</f>
        <v/>
      </c>
      <c r="M610" s="2" t="str">
        <f>IF($N610="","",IF(AND(G610=0,H610=0),"수량 없음",IF(G610=0,"신규 (전년 수량 없음)",IF(H610=0,"당해 수량 없음",""))))</f>
        <v/>
      </c>
      <c r="N610" t="str">
        <f>IF($B610="","",MATCH($B610,'_calc'!$L$2:$L$3001,0))</f>
        <v/>
      </c>
    </row>
    <row r="611">
      <c r="B611" s="24" t="str">
        <f>IF(ROW()-ROW($B$8)&gt;nComp,"",ROW()-ROW($B$8))</f>
        <v/>
      </c>
      <c r="C611" t="str">
        <f>IF($N611="","",INDEX('_calc'!$A$2:$A$3001,$N611))</f>
        <v/>
      </c>
      <c r="D611" s="25" t="str">
        <f>IF($N611="","",INDEX('_calc'!$C$2:$C$3001,$N611))</f>
        <v/>
      </c>
      <c r="E611" s="25" t="str">
        <f>IF($N611="","",INDEX('_calc'!$D$2:$D$3001,$N611))</f>
        <v/>
      </c>
      <c r="F611" s="26" t="str">
        <f>IF($N611="","",IF($E$8=0,"",E611/$E$8))</f>
        <v/>
      </c>
      <c r="G611" s="25" t="str">
        <f>IF($N611="","",INDEX('_calc'!$E$2:$E$3001,$N611))</f>
        <v/>
      </c>
      <c r="H611" s="25" t="str">
        <f>IF($N611="","",INDEX('_calc'!$F$2:$F$3001,$N611))</f>
        <v/>
      </c>
      <c r="I611" s="27" t="str">
        <f>IF($N611="","",INDEX('_calc'!$H$2:$H$3001,$N611))</f>
        <v/>
      </c>
      <c r="J611" s="27" t="str">
        <f>IF($N611="","",INDEX('_calc'!$I$2:$I$3001,$N611))</f>
        <v/>
      </c>
      <c r="K611" s="28" t="str">
        <f>IF($N611="","",IF(OR(I611="",J611=""),"",J611-I611))</f>
        <v/>
      </c>
      <c r="L611" s="29" t="str">
        <f>IF($N611="","",INDEX('_calc'!$J$2:$J$3001,$N611))</f>
        <v/>
      </c>
      <c r="M611" s="2" t="str">
        <f>IF($N611="","",IF(AND(G611=0,H611=0),"수량 없음",IF(G611=0,"신규 (전년 수량 없음)",IF(H611=0,"당해 수량 없음",""))))</f>
        <v/>
      </c>
      <c r="N611" t="str">
        <f>IF($B611="","",MATCH($B611,'_calc'!$L$2:$L$3001,0))</f>
        <v/>
      </c>
    </row>
    <row r="612">
      <c r="B612" s="24" t="str">
        <f>IF(ROW()-ROW($B$8)&gt;nComp,"",ROW()-ROW($B$8))</f>
        <v/>
      </c>
      <c r="C612" t="str">
        <f>IF($N612="","",INDEX('_calc'!$A$2:$A$3001,$N612))</f>
        <v/>
      </c>
      <c r="D612" s="25" t="str">
        <f>IF($N612="","",INDEX('_calc'!$C$2:$C$3001,$N612))</f>
        <v/>
      </c>
      <c r="E612" s="25" t="str">
        <f>IF($N612="","",INDEX('_calc'!$D$2:$D$3001,$N612))</f>
        <v/>
      </c>
      <c r="F612" s="26" t="str">
        <f>IF($N612="","",IF($E$8=0,"",E612/$E$8))</f>
        <v/>
      </c>
      <c r="G612" s="25" t="str">
        <f>IF($N612="","",INDEX('_calc'!$E$2:$E$3001,$N612))</f>
        <v/>
      </c>
      <c r="H612" s="25" t="str">
        <f>IF($N612="","",INDEX('_calc'!$F$2:$F$3001,$N612))</f>
        <v/>
      </c>
      <c r="I612" s="27" t="str">
        <f>IF($N612="","",INDEX('_calc'!$H$2:$H$3001,$N612))</f>
        <v/>
      </c>
      <c r="J612" s="27" t="str">
        <f>IF($N612="","",INDEX('_calc'!$I$2:$I$3001,$N612))</f>
        <v/>
      </c>
      <c r="K612" s="28" t="str">
        <f>IF($N612="","",IF(OR(I612="",J612=""),"",J612-I612))</f>
        <v/>
      </c>
      <c r="L612" s="29" t="str">
        <f>IF($N612="","",INDEX('_calc'!$J$2:$J$3001,$N612))</f>
        <v/>
      </c>
      <c r="M612" s="2" t="str">
        <f>IF($N612="","",IF(AND(G612=0,H612=0),"수량 없음",IF(G612=0,"신규 (전년 수량 없음)",IF(H612=0,"당해 수량 없음",""))))</f>
        <v/>
      </c>
      <c r="N612" t="str">
        <f>IF($B612="","",MATCH($B612,'_calc'!$L$2:$L$3001,0))</f>
        <v/>
      </c>
    </row>
    <row r="613">
      <c r="B613" s="24" t="str">
        <f>IF(ROW()-ROW($B$8)&gt;nComp,"",ROW()-ROW($B$8))</f>
        <v/>
      </c>
      <c r="C613" t="str">
        <f>IF($N613="","",INDEX('_calc'!$A$2:$A$3001,$N613))</f>
        <v/>
      </c>
      <c r="D613" s="25" t="str">
        <f>IF($N613="","",INDEX('_calc'!$C$2:$C$3001,$N613))</f>
        <v/>
      </c>
      <c r="E613" s="25" t="str">
        <f>IF($N613="","",INDEX('_calc'!$D$2:$D$3001,$N613))</f>
        <v/>
      </c>
      <c r="F613" s="26" t="str">
        <f>IF($N613="","",IF($E$8=0,"",E613/$E$8))</f>
        <v/>
      </c>
      <c r="G613" s="25" t="str">
        <f>IF($N613="","",INDEX('_calc'!$E$2:$E$3001,$N613))</f>
        <v/>
      </c>
      <c r="H613" s="25" t="str">
        <f>IF($N613="","",INDEX('_calc'!$F$2:$F$3001,$N613))</f>
        <v/>
      </c>
      <c r="I613" s="27" t="str">
        <f>IF($N613="","",INDEX('_calc'!$H$2:$H$3001,$N613))</f>
        <v/>
      </c>
      <c r="J613" s="27" t="str">
        <f>IF($N613="","",INDEX('_calc'!$I$2:$I$3001,$N613))</f>
        <v/>
      </c>
      <c r="K613" s="28" t="str">
        <f>IF($N613="","",IF(OR(I613="",J613=""),"",J613-I613))</f>
        <v/>
      </c>
      <c r="L613" s="29" t="str">
        <f>IF($N613="","",INDEX('_calc'!$J$2:$J$3001,$N613))</f>
        <v/>
      </c>
      <c r="M613" s="2" t="str">
        <f>IF($N613="","",IF(AND(G613=0,H613=0),"수량 없음",IF(G613=0,"신규 (전년 수량 없음)",IF(H613=0,"당해 수량 없음",""))))</f>
        <v/>
      </c>
      <c r="N613" t="str">
        <f>IF($B613="","",MATCH($B613,'_calc'!$L$2:$L$3001,0))</f>
        <v/>
      </c>
    </row>
    <row r="614">
      <c r="B614" s="24" t="str">
        <f>IF(ROW()-ROW($B$8)&gt;nComp,"",ROW()-ROW($B$8))</f>
        <v/>
      </c>
      <c r="C614" t="str">
        <f>IF($N614="","",INDEX('_calc'!$A$2:$A$3001,$N614))</f>
        <v/>
      </c>
      <c r="D614" s="25" t="str">
        <f>IF($N614="","",INDEX('_calc'!$C$2:$C$3001,$N614))</f>
        <v/>
      </c>
      <c r="E614" s="25" t="str">
        <f>IF($N614="","",INDEX('_calc'!$D$2:$D$3001,$N614))</f>
        <v/>
      </c>
      <c r="F614" s="26" t="str">
        <f>IF($N614="","",IF($E$8=0,"",E614/$E$8))</f>
        <v/>
      </c>
      <c r="G614" s="25" t="str">
        <f>IF($N614="","",INDEX('_calc'!$E$2:$E$3001,$N614))</f>
        <v/>
      </c>
      <c r="H614" s="25" t="str">
        <f>IF($N614="","",INDEX('_calc'!$F$2:$F$3001,$N614))</f>
        <v/>
      </c>
      <c r="I614" s="27" t="str">
        <f>IF($N614="","",INDEX('_calc'!$H$2:$H$3001,$N614))</f>
        <v/>
      </c>
      <c r="J614" s="27" t="str">
        <f>IF($N614="","",INDEX('_calc'!$I$2:$I$3001,$N614))</f>
        <v/>
      </c>
      <c r="K614" s="28" t="str">
        <f>IF($N614="","",IF(OR(I614="",J614=""),"",J614-I614))</f>
        <v/>
      </c>
      <c r="L614" s="29" t="str">
        <f>IF($N614="","",INDEX('_calc'!$J$2:$J$3001,$N614))</f>
        <v/>
      </c>
      <c r="M614" s="2" t="str">
        <f>IF($N614="","",IF(AND(G614=0,H614=0),"수량 없음",IF(G614=0,"신규 (전년 수량 없음)",IF(H614=0,"당해 수량 없음",""))))</f>
        <v/>
      </c>
      <c r="N614" t="str">
        <f>IF($B614="","",MATCH($B614,'_calc'!$L$2:$L$3001,0))</f>
        <v/>
      </c>
    </row>
    <row r="615">
      <c r="B615" s="24" t="str">
        <f>IF(ROW()-ROW($B$8)&gt;nComp,"",ROW()-ROW($B$8))</f>
        <v/>
      </c>
      <c r="C615" t="str">
        <f>IF($N615="","",INDEX('_calc'!$A$2:$A$3001,$N615))</f>
        <v/>
      </c>
      <c r="D615" s="25" t="str">
        <f>IF($N615="","",INDEX('_calc'!$C$2:$C$3001,$N615))</f>
        <v/>
      </c>
      <c r="E615" s="25" t="str">
        <f>IF($N615="","",INDEX('_calc'!$D$2:$D$3001,$N615))</f>
        <v/>
      </c>
      <c r="F615" s="26" t="str">
        <f>IF($N615="","",IF($E$8=0,"",E615/$E$8))</f>
        <v/>
      </c>
      <c r="G615" s="25" t="str">
        <f>IF($N615="","",INDEX('_calc'!$E$2:$E$3001,$N615))</f>
        <v/>
      </c>
      <c r="H615" s="25" t="str">
        <f>IF($N615="","",INDEX('_calc'!$F$2:$F$3001,$N615))</f>
        <v/>
      </c>
      <c r="I615" s="27" t="str">
        <f>IF($N615="","",INDEX('_calc'!$H$2:$H$3001,$N615))</f>
        <v/>
      </c>
      <c r="J615" s="27" t="str">
        <f>IF($N615="","",INDEX('_calc'!$I$2:$I$3001,$N615))</f>
        <v/>
      </c>
      <c r="K615" s="28" t="str">
        <f>IF($N615="","",IF(OR(I615="",J615=""),"",J615-I615))</f>
        <v/>
      </c>
      <c r="L615" s="29" t="str">
        <f>IF($N615="","",INDEX('_calc'!$J$2:$J$3001,$N615))</f>
        <v/>
      </c>
      <c r="M615" s="2" t="str">
        <f>IF($N615="","",IF(AND(G615=0,H615=0),"수량 없음",IF(G615=0,"신규 (전년 수량 없음)",IF(H615=0,"당해 수량 없음",""))))</f>
        <v/>
      </c>
      <c r="N615" t="str">
        <f>IF($B615="","",MATCH($B615,'_calc'!$L$2:$L$3001,0))</f>
        <v/>
      </c>
    </row>
    <row r="616">
      <c r="B616" s="24" t="str">
        <f>IF(ROW()-ROW($B$8)&gt;nComp,"",ROW()-ROW($B$8))</f>
        <v/>
      </c>
      <c r="C616" t="str">
        <f>IF($N616="","",INDEX('_calc'!$A$2:$A$3001,$N616))</f>
        <v/>
      </c>
      <c r="D616" s="25" t="str">
        <f>IF($N616="","",INDEX('_calc'!$C$2:$C$3001,$N616))</f>
        <v/>
      </c>
      <c r="E616" s="25" t="str">
        <f>IF($N616="","",INDEX('_calc'!$D$2:$D$3001,$N616))</f>
        <v/>
      </c>
      <c r="F616" s="26" t="str">
        <f>IF($N616="","",IF($E$8=0,"",E616/$E$8))</f>
        <v/>
      </c>
      <c r="G616" s="25" t="str">
        <f>IF($N616="","",INDEX('_calc'!$E$2:$E$3001,$N616))</f>
        <v/>
      </c>
      <c r="H616" s="25" t="str">
        <f>IF($N616="","",INDEX('_calc'!$F$2:$F$3001,$N616))</f>
        <v/>
      </c>
      <c r="I616" s="27" t="str">
        <f>IF($N616="","",INDEX('_calc'!$H$2:$H$3001,$N616))</f>
        <v/>
      </c>
      <c r="J616" s="27" t="str">
        <f>IF($N616="","",INDEX('_calc'!$I$2:$I$3001,$N616))</f>
        <v/>
      </c>
      <c r="K616" s="28" t="str">
        <f>IF($N616="","",IF(OR(I616="",J616=""),"",J616-I616))</f>
        <v/>
      </c>
      <c r="L616" s="29" t="str">
        <f>IF($N616="","",INDEX('_calc'!$J$2:$J$3001,$N616))</f>
        <v/>
      </c>
      <c r="M616" s="2" t="str">
        <f>IF($N616="","",IF(AND(G616=0,H616=0),"수량 없음",IF(G616=0,"신규 (전년 수량 없음)",IF(H616=0,"당해 수량 없음",""))))</f>
        <v/>
      </c>
      <c r="N616" t="str">
        <f>IF($B616="","",MATCH($B616,'_calc'!$L$2:$L$3001,0))</f>
        <v/>
      </c>
    </row>
    <row r="617">
      <c r="B617" s="24" t="str">
        <f>IF(ROW()-ROW($B$8)&gt;nComp,"",ROW()-ROW($B$8))</f>
        <v/>
      </c>
      <c r="C617" t="str">
        <f>IF($N617="","",INDEX('_calc'!$A$2:$A$3001,$N617))</f>
        <v/>
      </c>
      <c r="D617" s="25" t="str">
        <f>IF($N617="","",INDEX('_calc'!$C$2:$C$3001,$N617))</f>
        <v/>
      </c>
      <c r="E617" s="25" t="str">
        <f>IF($N617="","",INDEX('_calc'!$D$2:$D$3001,$N617))</f>
        <v/>
      </c>
      <c r="F617" s="26" t="str">
        <f>IF($N617="","",IF($E$8=0,"",E617/$E$8))</f>
        <v/>
      </c>
      <c r="G617" s="25" t="str">
        <f>IF($N617="","",INDEX('_calc'!$E$2:$E$3001,$N617))</f>
        <v/>
      </c>
      <c r="H617" s="25" t="str">
        <f>IF($N617="","",INDEX('_calc'!$F$2:$F$3001,$N617))</f>
        <v/>
      </c>
      <c r="I617" s="27" t="str">
        <f>IF($N617="","",INDEX('_calc'!$H$2:$H$3001,$N617))</f>
        <v/>
      </c>
      <c r="J617" s="27" t="str">
        <f>IF($N617="","",INDEX('_calc'!$I$2:$I$3001,$N617))</f>
        <v/>
      </c>
      <c r="K617" s="28" t="str">
        <f>IF($N617="","",IF(OR(I617="",J617=""),"",J617-I617))</f>
        <v/>
      </c>
      <c r="L617" s="29" t="str">
        <f>IF($N617="","",INDEX('_calc'!$J$2:$J$3001,$N617))</f>
        <v/>
      </c>
      <c r="M617" s="2" t="str">
        <f>IF($N617="","",IF(AND(G617=0,H617=0),"수량 없음",IF(G617=0,"신규 (전년 수량 없음)",IF(H617=0,"당해 수량 없음",""))))</f>
        <v/>
      </c>
      <c r="N617" t="str">
        <f>IF($B617="","",MATCH($B617,'_calc'!$L$2:$L$3001,0))</f>
        <v/>
      </c>
    </row>
    <row r="618">
      <c r="B618" s="24" t="str">
        <f>IF(ROW()-ROW($B$8)&gt;nComp,"",ROW()-ROW($B$8))</f>
        <v/>
      </c>
      <c r="C618" t="str">
        <f>IF($N618="","",INDEX('_calc'!$A$2:$A$3001,$N618))</f>
        <v/>
      </c>
      <c r="D618" s="25" t="str">
        <f>IF($N618="","",INDEX('_calc'!$C$2:$C$3001,$N618))</f>
        <v/>
      </c>
      <c r="E618" s="25" t="str">
        <f>IF($N618="","",INDEX('_calc'!$D$2:$D$3001,$N618))</f>
        <v/>
      </c>
      <c r="F618" s="26" t="str">
        <f>IF($N618="","",IF($E$8=0,"",E618/$E$8))</f>
        <v/>
      </c>
      <c r="G618" s="25" t="str">
        <f>IF($N618="","",INDEX('_calc'!$E$2:$E$3001,$N618))</f>
        <v/>
      </c>
      <c r="H618" s="25" t="str">
        <f>IF($N618="","",INDEX('_calc'!$F$2:$F$3001,$N618))</f>
        <v/>
      </c>
      <c r="I618" s="27" t="str">
        <f>IF($N618="","",INDEX('_calc'!$H$2:$H$3001,$N618))</f>
        <v/>
      </c>
      <c r="J618" s="27" t="str">
        <f>IF($N618="","",INDEX('_calc'!$I$2:$I$3001,$N618))</f>
        <v/>
      </c>
      <c r="K618" s="28" t="str">
        <f>IF($N618="","",IF(OR(I618="",J618=""),"",J618-I618))</f>
        <v/>
      </c>
      <c r="L618" s="29" t="str">
        <f>IF($N618="","",INDEX('_calc'!$J$2:$J$3001,$N618))</f>
        <v/>
      </c>
      <c r="M618" s="2" t="str">
        <f>IF($N618="","",IF(AND(G618=0,H618=0),"수량 없음",IF(G618=0,"신규 (전년 수량 없음)",IF(H618=0,"당해 수량 없음",""))))</f>
        <v/>
      </c>
      <c r="N618" t="str">
        <f>IF($B618="","",MATCH($B618,'_calc'!$L$2:$L$3001,0))</f>
        <v/>
      </c>
    </row>
    <row r="619">
      <c r="B619" s="24" t="str">
        <f>IF(ROW()-ROW($B$8)&gt;nComp,"",ROW()-ROW($B$8))</f>
        <v/>
      </c>
      <c r="C619" t="str">
        <f>IF($N619="","",INDEX('_calc'!$A$2:$A$3001,$N619))</f>
        <v/>
      </c>
      <c r="D619" s="25" t="str">
        <f>IF($N619="","",INDEX('_calc'!$C$2:$C$3001,$N619))</f>
        <v/>
      </c>
      <c r="E619" s="25" t="str">
        <f>IF($N619="","",INDEX('_calc'!$D$2:$D$3001,$N619))</f>
        <v/>
      </c>
      <c r="F619" s="26" t="str">
        <f>IF($N619="","",IF($E$8=0,"",E619/$E$8))</f>
        <v/>
      </c>
      <c r="G619" s="25" t="str">
        <f>IF($N619="","",INDEX('_calc'!$E$2:$E$3001,$N619))</f>
        <v/>
      </c>
      <c r="H619" s="25" t="str">
        <f>IF($N619="","",INDEX('_calc'!$F$2:$F$3001,$N619))</f>
        <v/>
      </c>
      <c r="I619" s="27" t="str">
        <f>IF($N619="","",INDEX('_calc'!$H$2:$H$3001,$N619))</f>
        <v/>
      </c>
      <c r="J619" s="27" t="str">
        <f>IF($N619="","",INDEX('_calc'!$I$2:$I$3001,$N619))</f>
        <v/>
      </c>
      <c r="K619" s="28" t="str">
        <f>IF($N619="","",IF(OR(I619="",J619=""),"",J619-I619))</f>
        <v/>
      </c>
      <c r="L619" s="29" t="str">
        <f>IF($N619="","",INDEX('_calc'!$J$2:$J$3001,$N619))</f>
        <v/>
      </c>
      <c r="M619" s="2" t="str">
        <f>IF($N619="","",IF(AND(G619=0,H619=0),"수량 없음",IF(G619=0,"신규 (전년 수량 없음)",IF(H619=0,"당해 수량 없음",""))))</f>
        <v/>
      </c>
      <c r="N619" t="str">
        <f>IF($B619="","",MATCH($B619,'_calc'!$L$2:$L$3001,0))</f>
        <v/>
      </c>
    </row>
    <row r="620">
      <c r="B620" s="24" t="str">
        <f>IF(ROW()-ROW($B$8)&gt;nComp,"",ROW()-ROW($B$8))</f>
        <v/>
      </c>
      <c r="C620" t="str">
        <f>IF($N620="","",INDEX('_calc'!$A$2:$A$3001,$N620))</f>
        <v/>
      </c>
      <c r="D620" s="25" t="str">
        <f>IF($N620="","",INDEX('_calc'!$C$2:$C$3001,$N620))</f>
        <v/>
      </c>
      <c r="E620" s="25" t="str">
        <f>IF($N620="","",INDEX('_calc'!$D$2:$D$3001,$N620))</f>
        <v/>
      </c>
      <c r="F620" s="26" t="str">
        <f>IF($N620="","",IF($E$8=0,"",E620/$E$8))</f>
        <v/>
      </c>
      <c r="G620" s="25" t="str">
        <f>IF($N620="","",INDEX('_calc'!$E$2:$E$3001,$N620))</f>
        <v/>
      </c>
      <c r="H620" s="25" t="str">
        <f>IF($N620="","",INDEX('_calc'!$F$2:$F$3001,$N620))</f>
        <v/>
      </c>
      <c r="I620" s="27" t="str">
        <f>IF($N620="","",INDEX('_calc'!$H$2:$H$3001,$N620))</f>
        <v/>
      </c>
      <c r="J620" s="27" t="str">
        <f>IF($N620="","",INDEX('_calc'!$I$2:$I$3001,$N620))</f>
        <v/>
      </c>
      <c r="K620" s="28" t="str">
        <f>IF($N620="","",IF(OR(I620="",J620=""),"",J620-I620))</f>
        <v/>
      </c>
      <c r="L620" s="29" t="str">
        <f>IF($N620="","",INDEX('_calc'!$J$2:$J$3001,$N620))</f>
        <v/>
      </c>
      <c r="M620" s="2" t="str">
        <f>IF($N620="","",IF(AND(G620=0,H620=0),"수량 없음",IF(G620=0,"신규 (전년 수량 없음)",IF(H620=0,"당해 수량 없음",""))))</f>
        <v/>
      </c>
      <c r="N620" t="str">
        <f>IF($B620="","",MATCH($B620,'_calc'!$L$2:$L$3001,0))</f>
        <v/>
      </c>
    </row>
    <row r="621">
      <c r="B621" s="24" t="str">
        <f>IF(ROW()-ROW($B$8)&gt;nComp,"",ROW()-ROW($B$8))</f>
        <v/>
      </c>
      <c r="C621" t="str">
        <f>IF($N621="","",INDEX('_calc'!$A$2:$A$3001,$N621))</f>
        <v/>
      </c>
      <c r="D621" s="25" t="str">
        <f>IF($N621="","",INDEX('_calc'!$C$2:$C$3001,$N621))</f>
        <v/>
      </c>
      <c r="E621" s="25" t="str">
        <f>IF($N621="","",INDEX('_calc'!$D$2:$D$3001,$N621))</f>
        <v/>
      </c>
      <c r="F621" s="26" t="str">
        <f>IF($N621="","",IF($E$8=0,"",E621/$E$8))</f>
        <v/>
      </c>
      <c r="G621" s="25" t="str">
        <f>IF($N621="","",INDEX('_calc'!$E$2:$E$3001,$N621))</f>
        <v/>
      </c>
      <c r="H621" s="25" t="str">
        <f>IF($N621="","",INDEX('_calc'!$F$2:$F$3001,$N621))</f>
        <v/>
      </c>
      <c r="I621" s="27" t="str">
        <f>IF($N621="","",INDEX('_calc'!$H$2:$H$3001,$N621))</f>
        <v/>
      </c>
      <c r="J621" s="27" t="str">
        <f>IF($N621="","",INDEX('_calc'!$I$2:$I$3001,$N621))</f>
        <v/>
      </c>
      <c r="K621" s="28" t="str">
        <f>IF($N621="","",IF(OR(I621="",J621=""),"",J621-I621))</f>
        <v/>
      </c>
      <c r="L621" s="29" t="str">
        <f>IF($N621="","",INDEX('_calc'!$J$2:$J$3001,$N621))</f>
        <v/>
      </c>
      <c r="M621" s="2" t="str">
        <f>IF($N621="","",IF(AND(G621=0,H621=0),"수량 없음",IF(G621=0,"신규 (전년 수량 없음)",IF(H621=0,"당해 수량 없음",""))))</f>
        <v/>
      </c>
      <c r="N621" t="str">
        <f>IF($B621="","",MATCH($B621,'_calc'!$L$2:$L$3001,0))</f>
        <v/>
      </c>
    </row>
    <row r="622">
      <c r="B622" s="24" t="str">
        <f>IF(ROW()-ROW($B$8)&gt;nComp,"",ROW()-ROW($B$8))</f>
        <v/>
      </c>
      <c r="C622" t="str">
        <f>IF($N622="","",INDEX('_calc'!$A$2:$A$3001,$N622))</f>
        <v/>
      </c>
      <c r="D622" s="25" t="str">
        <f>IF($N622="","",INDEX('_calc'!$C$2:$C$3001,$N622))</f>
        <v/>
      </c>
      <c r="E622" s="25" t="str">
        <f>IF($N622="","",INDEX('_calc'!$D$2:$D$3001,$N622))</f>
        <v/>
      </c>
      <c r="F622" s="26" t="str">
        <f>IF($N622="","",IF($E$8=0,"",E622/$E$8))</f>
        <v/>
      </c>
      <c r="G622" s="25" t="str">
        <f>IF($N622="","",INDEX('_calc'!$E$2:$E$3001,$N622))</f>
        <v/>
      </c>
      <c r="H622" s="25" t="str">
        <f>IF($N622="","",INDEX('_calc'!$F$2:$F$3001,$N622))</f>
        <v/>
      </c>
      <c r="I622" s="27" t="str">
        <f>IF($N622="","",INDEX('_calc'!$H$2:$H$3001,$N622))</f>
        <v/>
      </c>
      <c r="J622" s="27" t="str">
        <f>IF($N622="","",INDEX('_calc'!$I$2:$I$3001,$N622))</f>
        <v/>
      </c>
      <c r="K622" s="28" t="str">
        <f>IF($N622="","",IF(OR(I622="",J622=""),"",J622-I622))</f>
        <v/>
      </c>
      <c r="L622" s="29" t="str">
        <f>IF($N622="","",INDEX('_calc'!$J$2:$J$3001,$N622))</f>
        <v/>
      </c>
      <c r="M622" s="2" t="str">
        <f>IF($N622="","",IF(AND(G622=0,H622=0),"수량 없음",IF(G622=0,"신규 (전년 수량 없음)",IF(H622=0,"당해 수량 없음",""))))</f>
        <v/>
      </c>
      <c r="N622" t="str">
        <f>IF($B622="","",MATCH($B622,'_calc'!$L$2:$L$3001,0))</f>
        <v/>
      </c>
    </row>
    <row r="623">
      <c r="B623" s="24" t="str">
        <f>IF(ROW()-ROW($B$8)&gt;nComp,"",ROW()-ROW($B$8))</f>
        <v/>
      </c>
      <c r="C623" t="str">
        <f>IF($N623="","",INDEX('_calc'!$A$2:$A$3001,$N623))</f>
        <v/>
      </c>
      <c r="D623" s="25" t="str">
        <f>IF($N623="","",INDEX('_calc'!$C$2:$C$3001,$N623))</f>
        <v/>
      </c>
      <c r="E623" s="25" t="str">
        <f>IF($N623="","",INDEX('_calc'!$D$2:$D$3001,$N623))</f>
        <v/>
      </c>
      <c r="F623" s="26" t="str">
        <f>IF($N623="","",IF($E$8=0,"",E623/$E$8))</f>
        <v/>
      </c>
      <c r="G623" s="25" t="str">
        <f>IF($N623="","",INDEX('_calc'!$E$2:$E$3001,$N623))</f>
        <v/>
      </c>
      <c r="H623" s="25" t="str">
        <f>IF($N623="","",INDEX('_calc'!$F$2:$F$3001,$N623))</f>
        <v/>
      </c>
      <c r="I623" s="27" t="str">
        <f>IF($N623="","",INDEX('_calc'!$H$2:$H$3001,$N623))</f>
        <v/>
      </c>
      <c r="J623" s="27" t="str">
        <f>IF($N623="","",INDEX('_calc'!$I$2:$I$3001,$N623))</f>
        <v/>
      </c>
      <c r="K623" s="28" t="str">
        <f>IF($N623="","",IF(OR(I623="",J623=""),"",J623-I623))</f>
        <v/>
      </c>
      <c r="L623" s="29" t="str">
        <f>IF($N623="","",INDEX('_calc'!$J$2:$J$3001,$N623))</f>
        <v/>
      </c>
      <c r="M623" s="2" t="str">
        <f>IF($N623="","",IF(AND(G623=0,H623=0),"수량 없음",IF(G623=0,"신규 (전년 수량 없음)",IF(H623=0,"당해 수량 없음",""))))</f>
        <v/>
      </c>
      <c r="N623" t="str">
        <f>IF($B623="","",MATCH($B623,'_calc'!$L$2:$L$3001,0))</f>
        <v/>
      </c>
    </row>
    <row r="624">
      <c r="B624" s="24" t="str">
        <f>IF(ROW()-ROW($B$8)&gt;nComp,"",ROW()-ROW($B$8))</f>
        <v/>
      </c>
      <c r="C624" t="str">
        <f>IF($N624="","",INDEX('_calc'!$A$2:$A$3001,$N624))</f>
        <v/>
      </c>
      <c r="D624" s="25" t="str">
        <f>IF($N624="","",INDEX('_calc'!$C$2:$C$3001,$N624))</f>
        <v/>
      </c>
      <c r="E624" s="25" t="str">
        <f>IF($N624="","",INDEX('_calc'!$D$2:$D$3001,$N624))</f>
        <v/>
      </c>
      <c r="F624" s="26" t="str">
        <f>IF($N624="","",IF($E$8=0,"",E624/$E$8))</f>
        <v/>
      </c>
      <c r="G624" s="25" t="str">
        <f>IF($N624="","",INDEX('_calc'!$E$2:$E$3001,$N624))</f>
        <v/>
      </c>
      <c r="H624" s="25" t="str">
        <f>IF($N624="","",INDEX('_calc'!$F$2:$F$3001,$N624))</f>
        <v/>
      </c>
      <c r="I624" s="27" t="str">
        <f>IF($N624="","",INDEX('_calc'!$H$2:$H$3001,$N624))</f>
        <v/>
      </c>
      <c r="J624" s="27" t="str">
        <f>IF($N624="","",INDEX('_calc'!$I$2:$I$3001,$N624))</f>
        <v/>
      </c>
      <c r="K624" s="28" t="str">
        <f>IF($N624="","",IF(OR(I624="",J624=""),"",J624-I624))</f>
        <v/>
      </c>
      <c r="L624" s="29" t="str">
        <f>IF($N624="","",INDEX('_calc'!$J$2:$J$3001,$N624))</f>
        <v/>
      </c>
      <c r="M624" s="2" t="str">
        <f>IF($N624="","",IF(AND(G624=0,H624=0),"수량 없음",IF(G624=0,"신규 (전년 수량 없음)",IF(H624=0,"당해 수량 없음",""))))</f>
        <v/>
      </c>
      <c r="N624" t="str">
        <f>IF($B624="","",MATCH($B624,'_calc'!$L$2:$L$3001,0))</f>
        <v/>
      </c>
    </row>
    <row r="625">
      <c r="B625" s="24" t="str">
        <f>IF(ROW()-ROW($B$8)&gt;nComp,"",ROW()-ROW($B$8))</f>
        <v/>
      </c>
      <c r="C625" t="str">
        <f>IF($N625="","",INDEX('_calc'!$A$2:$A$3001,$N625))</f>
        <v/>
      </c>
      <c r="D625" s="25" t="str">
        <f>IF($N625="","",INDEX('_calc'!$C$2:$C$3001,$N625))</f>
        <v/>
      </c>
      <c r="E625" s="25" t="str">
        <f>IF($N625="","",INDEX('_calc'!$D$2:$D$3001,$N625))</f>
        <v/>
      </c>
      <c r="F625" s="26" t="str">
        <f>IF($N625="","",IF($E$8=0,"",E625/$E$8))</f>
        <v/>
      </c>
      <c r="G625" s="25" t="str">
        <f>IF($N625="","",INDEX('_calc'!$E$2:$E$3001,$N625))</f>
        <v/>
      </c>
      <c r="H625" s="25" t="str">
        <f>IF($N625="","",INDEX('_calc'!$F$2:$F$3001,$N625))</f>
        <v/>
      </c>
      <c r="I625" s="27" t="str">
        <f>IF($N625="","",INDEX('_calc'!$H$2:$H$3001,$N625))</f>
        <v/>
      </c>
      <c r="J625" s="27" t="str">
        <f>IF($N625="","",INDEX('_calc'!$I$2:$I$3001,$N625))</f>
        <v/>
      </c>
      <c r="K625" s="28" t="str">
        <f>IF($N625="","",IF(OR(I625="",J625=""),"",J625-I625))</f>
        <v/>
      </c>
      <c r="L625" s="29" t="str">
        <f>IF($N625="","",INDEX('_calc'!$J$2:$J$3001,$N625))</f>
        <v/>
      </c>
      <c r="M625" s="2" t="str">
        <f>IF($N625="","",IF(AND(G625=0,H625=0),"수량 없음",IF(G625=0,"신규 (전년 수량 없음)",IF(H625=0,"당해 수량 없음",""))))</f>
        <v/>
      </c>
      <c r="N625" t="str">
        <f>IF($B625="","",MATCH($B625,'_calc'!$L$2:$L$3001,0))</f>
        <v/>
      </c>
    </row>
    <row r="626">
      <c r="B626" s="24" t="str">
        <f>IF(ROW()-ROW($B$8)&gt;nComp,"",ROW()-ROW($B$8))</f>
        <v/>
      </c>
      <c r="C626" t="str">
        <f>IF($N626="","",INDEX('_calc'!$A$2:$A$3001,$N626))</f>
        <v/>
      </c>
      <c r="D626" s="25" t="str">
        <f>IF($N626="","",INDEX('_calc'!$C$2:$C$3001,$N626))</f>
        <v/>
      </c>
      <c r="E626" s="25" t="str">
        <f>IF($N626="","",INDEX('_calc'!$D$2:$D$3001,$N626))</f>
        <v/>
      </c>
      <c r="F626" s="26" t="str">
        <f>IF($N626="","",IF($E$8=0,"",E626/$E$8))</f>
        <v/>
      </c>
      <c r="G626" s="25" t="str">
        <f>IF($N626="","",INDEX('_calc'!$E$2:$E$3001,$N626))</f>
        <v/>
      </c>
      <c r="H626" s="25" t="str">
        <f>IF($N626="","",INDEX('_calc'!$F$2:$F$3001,$N626))</f>
        <v/>
      </c>
      <c r="I626" s="27" t="str">
        <f>IF($N626="","",INDEX('_calc'!$H$2:$H$3001,$N626))</f>
        <v/>
      </c>
      <c r="J626" s="27" t="str">
        <f>IF($N626="","",INDEX('_calc'!$I$2:$I$3001,$N626))</f>
        <v/>
      </c>
      <c r="K626" s="28" t="str">
        <f>IF($N626="","",IF(OR(I626="",J626=""),"",J626-I626))</f>
        <v/>
      </c>
      <c r="L626" s="29" t="str">
        <f>IF($N626="","",INDEX('_calc'!$J$2:$J$3001,$N626))</f>
        <v/>
      </c>
      <c r="M626" s="2" t="str">
        <f>IF($N626="","",IF(AND(G626=0,H626=0),"수량 없음",IF(G626=0,"신규 (전년 수량 없음)",IF(H626=0,"당해 수량 없음",""))))</f>
        <v/>
      </c>
      <c r="N626" t="str">
        <f>IF($B626="","",MATCH($B626,'_calc'!$L$2:$L$3001,0))</f>
        <v/>
      </c>
    </row>
    <row r="627">
      <c r="B627" s="24" t="str">
        <f>IF(ROW()-ROW($B$8)&gt;nComp,"",ROW()-ROW($B$8))</f>
        <v/>
      </c>
      <c r="C627" t="str">
        <f>IF($N627="","",INDEX('_calc'!$A$2:$A$3001,$N627))</f>
        <v/>
      </c>
      <c r="D627" s="25" t="str">
        <f>IF($N627="","",INDEX('_calc'!$C$2:$C$3001,$N627))</f>
        <v/>
      </c>
      <c r="E627" s="25" t="str">
        <f>IF($N627="","",INDEX('_calc'!$D$2:$D$3001,$N627))</f>
        <v/>
      </c>
      <c r="F627" s="26" t="str">
        <f>IF($N627="","",IF($E$8=0,"",E627/$E$8))</f>
        <v/>
      </c>
      <c r="G627" s="25" t="str">
        <f>IF($N627="","",INDEX('_calc'!$E$2:$E$3001,$N627))</f>
        <v/>
      </c>
      <c r="H627" s="25" t="str">
        <f>IF($N627="","",INDEX('_calc'!$F$2:$F$3001,$N627))</f>
        <v/>
      </c>
      <c r="I627" s="27" t="str">
        <f>IF($N627="","",INDEX('_calc'!$H$2:$H$3001,$N627))</f>
        <v/>
      </c>
      <c r="J627" s="27" t="str">
        <f>IF($N627="","",INDEX('_calc'!$I$2:$I$3001,$N627))</f>
        <v/>
      </c>
      <c r="K627" s="28" t="str">
        <f>IF($N627="","",IF(OR(I627="",J627=""),"",J627-I627))</f>
        <v/>
      </c>
      <c r="L627" s="29" t="str">
        <f>IF($N627="","",INDEX('_calc'!$J$2:$J$3001,$N627))</f>
        <v/>
      </c>
      <c r="M627" s="2" t="str">
        <f>IF($N627="","",IF(AND(G627=0,H627=0),"수량 없음",IF(G627=0,"신규 (전년 수량 없음)",IF(H627=0,"당해 수량 없음",""))))</f>
        <v/>
      </c>
      <c r="N627" t="str">
        <f>IF($B627="","",MATCH($B627,'_calc'!$L$2:$L$3001,0))</f>
        <v/>
      </c>
    </row>
    <row r="628">
      <c r="B628" s="24" t="str">
        <f>IF(ROW()-ROW($B$8)&gt;nComp,"",ROW()-ROW($B$8))</f>
        <v/>
      </c>
      <c r="C628" t="str">
        <f>IF($N628="","",INDEX('_calc'!$A$2:$A$3001,$N628))</f>
        <v/>
      </c>
      <c r="D628" s="25" t="str">
        <f>IF($N628="","",INDEX('_calc'!$C$2:$C$3001,$N628))</f>
        <v/>
      </c>
      <c r="E628" s="25" t="str">
        <f>IF($N628="","",INDEX('_calc'!$D$2:$D$3001,$N628))</f>
        <v/>
      </c>
      <c r="F628" s="26" t="str">
        <f>IF($N628="","",IF($E$8=0,"",E628/$E$8))</f>
        <v/>
      </c>
      <c r="G628" s="25" t="str">
        <f>IF($N628="","",INDEX('_calc'!$E$2:$E$3001,$N628))</f>
        <v/>
      </c>
      <c r="H628" s="25" t="str">
        <f>IF($N628="","",INDEX('_calc'!$F$2:$F$3001,$N628))</f>
        <v/>
      </c>
      <c r="I628" s="27" t="str">
        <f>IF($N628="","",INDEX('_calc'!$H$2:$H$3001,$N628))</f>
        <v/>
      </c>
      <c r="J628" s="27" t="str">
        <f>IF($N628="","",INDEX('_calc'!$I$2:$I$3001,$N628))</f>
        <v/>
      </c>
      <c r="K628" s="28" t="str">
        <f>IF($N628="","",IF(OR(I628="",J628=""),"",J628-I628))</f>
        <v/>
      </c>
      <c r="L628" s="29" t="str">
        <f>IF($N628="","",INDEX('_calc'!$J$2:$J$3001,$N628))</f>
        <v/>
      </c>
      <c r="M628" s="2" t="str">
        <f>IF($N628="","",IF(AND(G628=0,H628=0),"수량 없음",IF(G628=0,"신규 (전년 수량 없음)",IF(H628=0,"당해 수량 없음",""))))</f>
        <v/>
      </c>
      <c r="N628" t="str">
        <f>IF($B628="","",MATCH($B628,'_calc'!$L$2:$L$3001,0))</f>
        <v/>
      </c>
    </row>
    <row r="629">
      <c r="B629" s="24" t="str">
        <f>IF(ROW()-ROW($B$8)&gt;nComp,"",ROW()-ROW($B$8))</f>
        <v/>
      </c>
      <c r="C629" t="str">
        <f>IF($N629="","",INDEX('_calc'!$A$2:$A$3001,$N629))</f>
        <v/>
      </c>
      <c r="D629" s="25" t="str">
        <f>IF($N629="","",INDEX('_calc'!$C$2:$C$3001,$N629))</f>
        <v/>
      </c>
      <c r="E629" s="25" t="str">
        <f>IF($N629="","",INDEX('_calc'!$D$2:$D$3001,$N629))</f>
        <v/>
      </c>
      <c r="F629" s="26" t="str">
        <f>IF($N629="","",IF($E$8=0,"",E629/$E$8))</f>
        <v/>
      </c>
      <c r="G629" s="25" t="str">
        <f>IF($N629="","",INDEX('_calc'!$E$2:$E$3001,$N629))</f>
        <v/>
      </c>
      <c r="H629" s="25" t="str">
        <f>IF($N629="","",INDEX('_calc'!$F$2:$F$3001,$N629))</f>
        <v/>
      </c>
      <c r="I629" s="27" t="str">
        <f>IF($N629="","",INDEX('_calc'!$H$2:$H$3001,$N629))</f>
        <v/>
      </c>
      <c r="J629" s="27" t="str">
        <f>IF($N629="","",INDEX('_calc'!$I$2:$I$3001,$N629))</f>
        <v/>
      </c>
      <c r="K629" s="28" t="str">
        <f>IF($N629="","",IF(OR(I629="",J629=""),"",J629-I629))</f>
        <v/>
      </c>
      <c r="L629" s="29" t="str">
        <f>IF($N629="","",INDEX('_calc'!$J$2:$J$3001,$N629))</f>
        <v/>
      </c>
      <c r="M629" s="2" t="str">
        <f>IF($N629="","",IF(AND(G629=0,H629=0),"수량 없음",IF(G629=0,"신규 (전년 수량 없음)",IF(H629=0,"당해 수량 없음",""))))</f>
        <v/>
      </c>
      <c r="N629" t="str">
        <f>IF($B629="","",MATCH($B629,'_calc'!$L$2:$L$3001,0))</f>
        <v/>
      </c>
    </row>
    <row r="630">
      <c r="B630" s="24" t="str">
        <f>IF(ROW()-ROW($B$8)&gt;nComp,"",ROW()-ROW($B$8))</f>
        <v/>
      </c>
      <c r="C630" t="str">
        <f>IF($N630="","",INDEX('_calc'!$A$2:$A$3001,$N630))</f>
        <v/>
      </c>
      <c r="D630" s="25" t="str">
        <f>IF($N630="","",INDEX('_calc'!$C$2:$C$3001,$N630))</f>
        <v/>
      </c>
      <c r="E630" s="25" t="str">
        <f>IF($N630="","",INDEX('_calc'!$D$2:$D$3001,$N630))</f>
        <v/>
      </c>
      <c r="F630" s="26" t="str">
        <f>IF($N630="","",IF($E$8=0,"",E630/$E$8))</f>
        <v/>
      </c>
      <c r="G630" s="25" t="str">
        <f>IF($N630="","",INDEX('_calc'!$E$2:$E$3001,$N630))</f>
        <v/>
      </c>
      <c r="H630" s="25" t="str">
        <f>IF($N630="","",INDEX('_calc'!$F$2:$F$3001,$N630))</f>
        <v/>
      </c>
      <c r="I630" s="27" t="str">
        <f>IF($N630="","",INDEX('_calc'!$H$2:$H$3001,$N630))</f>
        <v/>
      </c>
      <c r="J630" s="27" t="str">
        <f>IF($N630="","",INDEX('_calc'!$I$2:$I$3001,$N630))</f>
        <v/>
      </c>
      <c r="K630" s="28" t="str">
        <f>IF($N630="","",IF(OR(I630="",J630=""),"",J630-I630))</f>
        <v/>
      </c>
      <c r="L630" s="29" t="str">
        <f>IF($N630="","",INDEX('_calc'!$J$2:$J$3001,$N630))</f>
        <v/>
      </c>
      <c r="M630" s="2" t="str">
        <f>IF($N630="","",IF(AND(G630=0,H630=0),"수량 없음",IF(G630=0,"신규 (전년 수량 없음)",IF(H630=0,"당해 수량 없음",""))))</f>
        <v/>
      </c>
      <c r="N630" t="str">
        <f>IF($B630="","",MATCH($B630,'_calc'!$L$2:$L$3001,0))</f>
        <v/>
      </c>
    </row>
    <row r="631">
      <c r="B631" s="24" t="str">
        <f>IF(ROW()-ROW($B$8)&gt;nComp,"",ROW()-ROW($B$8))</f>
        <v/>
      </c>
      <c r="C631" t="str">
        <f>IF($N631="","",INDEX('_calc'!$A$2:$A$3001,$N631))</f>
        <v/>
      </c>
      <c r="D631" s="25" t="str">
        <f>IF($N631="","",INDEX('_calc'!$C$2:$C$3001,$N631))</f>
        <v/>
      </c>
      <c r="E631" s="25" t="str">
        <f>IF($N631="","",INDEX('_calc'!$D$2:$D$3001,$N631))</f>
        <v/>
      </c>
      <c r="F631" s="26" t="str">
        <f>IF($N631="","",IF($E$8=0,"",E631/$E$8))</f>
        <v/>
      </c>
      <c r="G631" s="25" t="str">
        <f>IF($N631="","",INDEX('_calc'!$E$2:$E$3001,$N631))</f>
        <v/>
      </c>
      <c r="H631" s="25" t="str">
        <f>IF($N631="","",INDEX('_calc'!$F$2:$F$3001,$N631))</f>
        <v/>
      </c>
      <c r="I631" s="27" t="str">
        <f>IF($N631="","",INDEX('_calc'!$H$2:$H$3001,$N631))</f>
        <v/>
      </c>
      <c r="J631" s="27" t="str">
        <f>IF($N631="","",INDEX('_calc'!$I$2:$I$3001,$N631))</f>
        <v/>
      </c>
      <c r="K631" s="28" t="str">
        <f>IF($N631="","",IF(OR(I631="",J631=""),"",J631-I631))</f>
        <v/>
      </c>
      <c r="L631" s="29" t="str">
        <f>IF($N631="","",INDEX('_calc'!$J$2:$J$3001,$N631))</f>
        <v/>
      </c>
      <c r="M631" s="2" t="str">
        <f>IF($N631="","",IF(AND(G631=0,H631=0),"수량 없음",IF(G631=0,"신규 (전년 수량 없음)",IF(H631=0,"당해 수량 없음",""))))</f>
        <v/>
      </c>
      <c r="N631" t="str">
        <f>IF($B631="","",MATCH($B631,'_calc'!$L$2:$L$3001,0))</f>
        <v/>
      </c>
    </row>
    <row r="632">
      <c r="B632" s="24" t="str">
        <f>IF(ROW()-ROW($B$8)&gt;nComp,"",ROW()-ROW($B$8))</f>
        <v/>
      </c>
      <c r="C632" t="str">
        <f>IF($N632="","",INDEX('_calc'!$A$2:$A$3001,$N632))</f>
        <v/>
      </c>
      <c r="D632" s="25" t="str">
        <f>IF($N632="","",INDEX('_calc'!$C$2:$C$3001,$N632))</f>
        <v/>
      </c>
      <c r="E632" s="25" t="str">
        <f>IF($N632="","",INDEX('_calc'!$D$2:$D$3001,$N632))</f>
        <v/>
      </c>
      <c r="F632" s="26" t="str">
        <f>IF($N632="","",IF($E$8=0,"",E632/$E$8))</f>
        <v/>
      </c>
      <c r="G632" s="25" t="str">
        <f>IF($N632="","",INDEX('_calc'!$E$2:$E$3001,$N632))</f>
        <v/>
      </c>
      <c r="H632" s="25" t="str">
        <f>IF($N632="","",INDEX('_calc'!$F$2:$F$3001,$N632))</f>
        <v/>
      </c>
      <c r="I632" s="27" t="str">
        <f>IF($N632="","",INDEX('_calc'!$H$2:$H$3001,$N632))</f>
        <v/>
      </c>
      <c r="J632" s="27" t="str">
        <f>IF($N632="","",INDEX('_calc'!$I$2:$I$3001,$N632))</f>
        <v/>
      </c>
      <c r="K632" s="28" t="str">
        <f>IF($N632="","",IF(OR(I632="",J632=""),"",J632-I632))</f>
        <v/>
      </c>
      <c r="L632" s="29" t="str">
        <f>IF($N632="","",INDEX('_calc'!$J$2:$J$3001,$N632))</f>
        <v/>
      </c>
      <c r="M632" s="2" t="str">
        <f>IF($N632="","",IF(AND(G632=0,H632=0),"수량 없음",IF(G632=0,"신규 (전년 수량 없음)",IF(H632=0,"당해 수량 없음",""))))</f>
        <v/>
      </c>
      <c r="N632" t="str">
        <f>IF($B632="","",MATCH($B632,'_calc'!$L$2:$L$3001,0))</f>
        <v/>
      </c>
    </row>
    <row r="633">
      <c r="B633" s="24" t="str">
        <f>IF(ROW()-ROW($B$8)&gt;nComp,"",ROW()-ROW($B$8))</f>
        <v/>
      </c>
      <c r="C633" t="str">
        <f>IF($N633="","",INDEX('_calc'!$A$2:$A$3001,$N633))</f>
        <v/>
      </c>
      <c r="D633" s="25" t="str">
        <f>IF($N633="","",INDEX('_calc'!$C$2:$C$3001,$N633))</f>
        <v/>
      </c>
      <c r="E633" s="25" t="str">
        <f>IF($N633="","",INDEX('_calc'!$D$2:$D$3001,$N633))</f>
        <v/>
      </c>
      <c r="F633" s="26" t="str">
        <f>IF($N633="","",IF($E$8=0,"",E633/$E$8))</f>
        <v/>
      </c>
      <c r="G633" s="25" t="str">
        <f>IF($N633="","",INDEX('_calc'!$E$2:$E$3001,$N633))</f>
        <v/>
      </c>
      <c r="H633" s="25" t="str">
        <f>IF($N633="","",INDEX('_calc'!$F$2:$F$3001,$N633))</f>
        <v/>
      </c>
      <c r="I633" s="27" t="str">
        <f>IF($N633="","",INDEX('_calc'!$H$2:$H$3001,$N633))</f>
        <v/>
      </c>
      <c r="J633" s="27" t="str">
        <f>IF($N633="","",INDEX('_calc'!$I$2:$I$3001,$N633))</f>
        <v/>
      </c>
      <c r="K633" s="28" t="str">
        <f>IF($N633="","",IF(OR(I633="",J633=""),"",J633-I633))</f>
        <v/>
      </c>
      <c r="L633" s="29" t="str">
        <f>IF($N633="","",INDEX('_calc'!$J$2:$J$3001,$N633))</f>
        <v/>
      </c>
      <c r="M633" s="2" t="str">
        <f>IF($N633="","",IF(AND(G633=0,H633=0),"수량 없음",IF(G633=0,"신규 (전년 수량 없음)",IF(H633=0,"당해 수량 없음",""))))</f>
        <v/>
      </c>
      <c r="N633" t="str">
        <f>IF($B633="","",MATCH($B633,'_calc'!$L$2:$L$3001,0))</f>
        <v/>
      </c>
    </row>
    <row r="634">
      <c r="B634" s="24" t="str">
        <f>IF(ROW()-ROW($B$8)&gt;nComp,"",ROW()-ROW($B$8))</f>
        <v/>
      </c>
      <c r="C634" t="str">
        <f>IF($N634="","",INDEX('_calc'!$A$2:$A$3001,$N634))</f>
        <v/>
      </c>
      <c r="D634" s="25" t="str">
        <f>IF($N634="","",INDEX('_calc'!$C$2:$C$3001,$N634))</f>
        <v/>
      </c>
      <c r="E634" s="25" t="str">
        <f>IF($N634="","",INDEX('_calc'!$D$2:$D$3001,$N634))</f>
        <v/>
      </c>
      <c r="F634" s="26" t="str">
        <f>IF($N634="","",IF($E$8=0,"",E634/$E$8))</f>
        <v/>
      </c>
      <c r="G634" s="25" t="str">
        <f>IF($N634="","",INDEX('_calc'!$E$2:$E$3001,$N634))</f>
        <v/>
      </c>
      <c r="H634" s="25" t="str">
        <f>IF($N634="","",INDEX('_calc'!$F$2:$F$3001,$N634))</f>
        <v/>
      </c>
      <c r="I634" s="27" t="str">
        <f>IF($N634="","",INDEX('_calc'!$H$2:$H$3001,$N634))</f>
        <v/>
      </c>
      <c r="J634" s="27" t="str">
        <f>IF($N634="","",INDEX('_calc'!$I$2:$I$3001,$N634))</f>
        <v/>
      </c>
      <c r="K634" s="28" t="str">
        <f>IF($N634="","",IF(OR(I634="",J634=""),"",J634-I634))</f>
        <v/>
      </c>
      <c r="L634" s="29" t="str">
        <f>IF($N634="","",INDEX('_calc'!$J$2:$J$3001,$N634))</f>
        <v/>
      </c>
      <c r="M634" s="2" t="str">
        <f>IF($N634="","",IF(AND(G634=0,H634=0),"수량 없음",IF(G634=0,"신규 (전년 수량 없음)",IF(H634=0,"당해 수량 없음",""))))</f>
        <v/>
      </c>
      <c r="N634" t="str">
        <f>IF($B634="","",MATCH($B634,'_calc'!$L$2:$L$3001,0))</f>
        <v/>
      </c>
    </row>
    <row r="635">
      <c r="B635" s="24" t="str">
        <f>IF(ROW()-ROW($B$8)&gt;nComp,"",ROW()-ROW($B$8))</f>
        <v/>
      </c>
      <c r="C635" t="str">
        <f>IF($N635="","",INDEX('_calc'!$A$2:$A$3001,$N635))</f>
        <v/>
      </c>
      <c r="D635" s="25" t="str">
        <f>IF($N635="","",INDEX('_calc'!$C$2:$C$3001,$N635))</f>
        <v/>
      </c>
      <c r="E635" s="25" t="str">
        <f>IF($N635="","",INDEX('_calc'!$D$2:$D$3001,$N635))</f>
        <v/>
      </c>
      <c r="F635" s="26" t="str">
        <f>IF($N635="","",IF($E$8=0,"",E635/$E$8))</f>
        <v/>
      </c>
      <c r="G635" s="25" t="str">
        <f>IF($N635="","",INDEX('_calc'!$E$2:$E$3001,$N635))</f>
        <v/>
      </c>
      <c r="H635" s="25" t="str">
        <f>IF($N635="","",INDEX('_calc'!$F$2:$F$3001,$N635))</f>
        <v/>
      </c>
      <c r="I635" s="27" t="str">
        <f>IF($N635="","",INDEX('_calc'!$H$2:$H$3001,$N635))</f>
        <v/>
      </c>
      <c r="J635" s="27" t="str">
        <f>IF($N635="","",INDEX('_calc'!$I$2:$I$3001,$N635))</f>
        <v/>
      </c>
      <c r="K635" s="28" t="str">
        <f>IF($N635="","",IF(OR(I635="",J635=""),"",J635-I635))</f>
        <v/>
      </c>
      <c r="L635" s="29" t="str">
        <f>IF($N635="","",INDEX('_calc'!$J$2:$J$3001,$N635))</f>
        <v/>
      </c>
      <c r="M635" s="2" t="str">
        <f>IF($N635="","",IF(AND(G635=0,H635=0),"수량 없음",IF(G635=0,"신규 (전년 수량 없음)",IF(H635=0,"당해 수량 없음",""))))</f>
        <v/>
      </c>
      <c r="N635" t="str">
        <f>IF($B635="","",MATCH($B635,'_calc'!$L$2:$L$3001,0))</f>
        <v/>
      </c>
    </row>
    <row r="636">
      <c r="B636" s="24" t="str">
        <f>IF(ROW()-ROW($B$8)&gt;nComp,"",ROW()-ROW($B$8))</f>
        <v/>
      </c>
      <c r="C636" t="str">
        <f>IF($N636="","",INDEX('_calc'!$A$2:$A$3001,$N636))</f>
        <v/>
      </c>
      <c r="D636" s="25" t="str">
        <f>IF($N636="","",INDEX('_calc'!$C$2:$C$3001,$N636))</f>
        <v/>
      </c>
      <c r="E636" s="25" t="str">
        <f>IF($N636="","",INDEX('_calc'!$D$2:$D$3001,$N636))</f>
        <v/>
      </c>
      <c r="F636" s="26" t="str">
        <f>IF($N636="","",IF($E$8=0,"",E636/$E$8))</f>
        <v/>
      </c>
      <c r="G636" s="25" t="str">
        <f>IF($N636="","",INDEX('_calc'!$E$2:$E$3001,$N636))</f>
        <v/>
      </c>
      <c r="H636" s="25" t="str">
        <f>IF($N636="","",INDEX('_calc'!$F$2:$F$3001,$N636))</f>
        <v/>
      </c>
      <c r="I636" s="27" t="str">
        <f>IF($N636="","",INDEX('_calc'!$H$2:$H$3001,$N636))</f>
        <v/>
      </c>
      <c r="J636" s="27" t="str">
        <f>IF($N636="","",INDEX('_calc'!$I$2:$I$3001,$N636))</f>
        <v/>
      </c>
      <c r="K636" s="28" t="str">
        <f>IF($N636="","",IF(OR(I636="",J636=""),"",J636-I636))</f>
        <v/>
      </c>
      <c r="L636" s="29" t="str">
        <f>IF($N636="","",INDEX('_calc'!$J$2:$J$3001,$N636))</f>
        <v/>
      </c>
      <c r="M636" s="2" t="str">
        <f>IF($N636="","",IF(AND(G636=0,H636=0),"수량 없음",IF(G636=0,"신규 (전년 수량 없음)",IF(H636=0,"당해 수량 없음",""))))</f>
        <v/>
      </c>
      <c r="N636" t="str">
        <f>IF($B636="","",MATCH($B636,'_calc'!$L$2:$L$3001,0))</f>
        <v/>
      </c>
    </row>
    <row r="637">
      <c r="B637" s="24" t="str">
        <f>IF(ROW()-ROW($B$8)&gt;nComp,"",ROW()-ROW($B$8))</f>
        <v/>
      </c>
      <c r="C637" t="str">
        <f>IF($N637="","",INDEX('_calc'!$A$2:$A$3001,$N637))</f>
        <v/>
      </c>
      <c r="D637" s="25" t="str">
        <f>IF($N637="","",INDEX('_calc'!$C$2:$C$3001,$N637))</f>
        <v/>
      </c>
      <c r="E637" s="25" t="str">
        <f>IF($N637="","",INDEX('_calc'!$D$2:$D$3001,$N637))</f>
        <v/>
      </c>
      <c r="F637" s="26" t="str">
        <f>IF($N637="","",IF($E$8=0,"",E637/$E$8))</f>
        <v/>
      </c>
      <c r="G637" s="25" t="str">
        <f>IF($N637="","",INDEX('_calc'!$E$2:$E$3001,$N637))</f>
        <v/>
      </c>
      <c r="H637" s="25" t="str">
        <f>IF($N637="","",INDEX('_calc'!$F$2:$F$3001,$N637))</f>
        <v/>
      </c>
      <c r="I637" s="27" t="str">
        <f>IF($N637="","",INDEX('_calc'!$H$2:$H$3001,$N637))</f>
        <v/>
      </c>
      <c r="J637" s="27" t="str">
        <f>IF($N637="","",INDEX('_calc'!$I$2:$I$3001,$N637))</f>
        <v/>
      </c>
      <c r="K637" s="28" t="str">
        <f>IF($N637="","",IF(OR(I637="",J637=""),"",J637-I637))</f>
        <v/>
      </c>
      <c r="L637" s="29" t="str">
        <f>IF($N637="","",INDEX('_calc'!$J$2:$J$3001,$N637))</f>
        <v/>
      </c>
      <c r="M637" s="2" t="str">
        <f>IF($N637="","",IF(AND(G637=0,H637=0),"수량 없음",IF(G637=0,"신규 (전년 수량 없음)",IF(H637=0,"당해 수량 없음",""))))</f>
        <v/>
      </c>
      <c r="N637" t="str">
        <f>IF($B637="","",MATCH($B637,'_calc'!$L$2:$L$3001,0))</f>
        <v/>
      </c>
    </row>
    <row r="638">
      <c r="B638" s="24" t="str">
        <f>IF(ROW()-ROW($B$8)&gt;nComp,"",ROW()-ROW($B$8))</f>
        <v/>
      </c>
      <c r="C638" t="str">
        <f>IF($N638="","",INDEX('_calc'!$A$2:$A$3001,$N638))</f>
        <v/>
      </c>
      <c r="D638" s="25" t="str">
        <f>IF($N638="","",INDEX('_calc'!$C$2:$C$3001,$N638))</f>
        <v/>
      </c>
      <c r="E638" s="25" t="str">
        <f>IF($N638="","",INDEX('_calc'!$D$2:$D$3001,$N638))</f>
        <v/>
      </c>
      <c r="F638" s="26" t="str">
        <f>IF($N638="","",IF($E$8=0,"",E638/$E$8))</f>
        <v/>
      </c>
      <c r="G638" s="25" t="str">
        <f>IF($N638="","",INDEX('_calc'!$E$2:$E$3001,$N638))</f>
        <v/>
      </c>
      <c r="H638" s="25" t="str">
        <f>IF($N638="","",INDEX('_calc'!$F$2:$F$3001,$N638))</f>
        <v/>
      </c>
      <c r="I638" s="27" t="str">
        <f>IF($N638="","",INDEX('_calc'!$H$2:$H$3001,$N638))</f>
        <v/>
      </c>
      <c r="J638" s="27" t="str">
        <f>IF($N638="","",INDEX('_calc'!$I$2:$I$3001,$N638))</f>
        <v/>
      </c>
      <c r="K638" s="28" t="str">
        <f>IF($N638="","",IF(OR(I638="",J638=""),"",J638-I638))</f>
        <v/>
      </c>
      <c r="L638" s="29" t="str">
        <f>IF($N638="","",INDEX('_calc'!$J$2:$J$3001,$N638))</f>
        <v/>
      </c>
      <c r="M638" s="2" t="str">
        <f>IF($N638="","",IF(AND(G638=0,H638=0),"수량 없음",IF(G638=0,"신규 (전년 수량 없음)",IF(H638=0,"당해 수량 없음",""))))</f>
        <v/>
      </c>
      <c r="N638" t="str">
        <f>IF($B638="","",MATCH($B638,'_calc'!$L$2:$L$3001,0))</f>
        <v/>
      </c>
    </row>
    <row r="639">
      <c r="B639" s="24" t="str">
        <f>IF(ROW()-ROW($B$8)&gt;nComp,"",ROW()-ROW($B$8))</f>
        <v/>
      </c>
      <c r="C639" t="str">
        <f>IF($N639="","",INDEX('_calc'!$A$2:$A$3001,$N639))</f>
        <v/>
      </c>
      <c r="D639" s="25" t="str">
        <f>IF($N639="","",INDEX('_calc'!$C$2:$C$3001,$N639))</f>
        <v/>
      </c>
      <c r="E639" s="25" t="str">
        <f>IF($N639="","",INDEX('_calc'!$D$2:$D$3001,$N639))</f>
        <v/>
      </c>
      <c r="F639" s="26" t="str">
        <f>IF($N639="","",IF($E$8=0,"",E639/$E$8))</f>
        <v/>
      </c>
      <c r="G639" s="25" t="str">
        <f>IF($N639="","",INDEX('_calc'!$E$2:$E$3001,$N639))</f>
        <v/>
      </c>
      <c r="H639" s="25" t="str">
        <f>IF($N639="","",INDEX('_calc'!$F$2:$F$3001,$N639))</f>
        <v/>
      </c>
      <c r="I639" s="27" t="str">
        <f>IF($N639="","",INDEX('_calc'!$H$2:$H$3001,$N639))</f>
        <v/>
      </c>
      <c r="J639" s="27" t="str">
        <f>IF($N639="","",INDEX('_calc'!$I$2:$I$3001,$N639))</f>
        <v/>
      </c>
      <c r="K639" s="28" t="str">
        <f>IF($N639="","",IF(OR(I639="",J639=""),"",J639-I639))</f>
        <v/>
      </c>
      <c r="L639" s="29" t="str">
        <f>IF($N639="","",INDEX('_calc'!$J$2:$J$3001,$N639))</f>
        <v/>
      </c>
      <c r="M639" s="2" t="str">
        <f>IF($N639="","",IF(AND(G639=0,H639=0),"수량 없음",IF(G639=0,"신규 (전년 수량 없음)",IF(H639=0,"당해 수량 없음",""))))</f>
        <v/>
      </c>
      <c r="N639" t="str">
        <f>IF($B639="","",MATCH($B639,'_calc'!$L$2:$L$3001,0))</f>
        <v/>
      </c>
    </row>
    <row r="640">
      <c r="B640" s="24" t="str">
        <f>IF(ROW()-ROW($B$8)&gt;nComp,"",ROW()-ROW($B$8))</f>
        <v/>
      </c>
      <c r="C640" t="str">
        <f>IF($N640="","",INDEX('_calc'!$A$2:$A$3001,$N640))</f>
        <v/>
      </c>
      <c r="D640" s="25" t="str">
        <f>IF($N640="","",INDEX('_calc'!$C$2:$C$3001,$N640))</f>
        <v/>
      </c>
      <c r="E640" s="25" t="str">
        <f>IF($N640="","",INDEX('_calc'!$D$2:$D$3001,$N640))</f>
        <v/>
      </c>
      <c r="F640" s="26" t="str">
        <f>IF($N640="","",IF($E$8=0,"",E640/$E$8))</f>
        <v/>
      </c>
      <c r="G640" s="25" t="str">
        <f>IF($N640="","",INDEX('_calc'!$E$2:$E$3001,$N640))</f>
        <v/>
      </c>
      <c r="H640" s="25" t="str">
        <f>IF($N640="","",INDEX('_calc'!$F$2:$F$3001,$N640))</f>
        <v/>
      </c>
      <c r="I640" s="27" t="str">
        <f>IF($N640="","",INDEX('_calc'!$H$2:$H$3001,$N640))</f>
        <v/>
      </c>
      <c r="J640" s="27" t="str">
        <f>IF($N640="","",INDEX('_calc'!$I$2:$I$3001,$N640))</f>
        <v/>
      </c>
      <c r="K640" s="28" t="str">
        <f>IF($N640="","",IF(OR(I640="",J640=""),"",J640-I640))</f>
        <v/>
      </c>
      <c r="L640" s="29" t="str">
        <f>IF($N640="","",INDEX('_calc'!$J$2:$J$3001,$N640))</f>
        <v/>
      </c>
      <c r="M640" s="2" t="str">
        <f>IF($N640="","",IF(AND(G640=0,H640=0),"수량 없음",IF(G640=0,"신규 (전년 수량 없음)",IF(H640=0,"당해 수량 없음",""))))</f>
        <v/>
      </c>
      <c r="N640" t="str">
        <f>IF($B640="","",MATCH($B640,'_calc'!$L$2:$L$3001,0))</f>
        <v/>
      </c>
    </row>
    <row r="641">
      <c r="B641" s="24" t="str">
        <f>IF(ROW()-ROW($B$8)&gt;nComp,"",ROW()-ROW($B$8))</f>
        <v/>
      </c>
      <c r="C641" t="str">
        <f>IF($N641="","",INDEX('_calc'!$A$2:$A$3001,$N641))</f>
        <v/>
      </c>
      <c r="D641" s="25" t="str">
        <f>IF($N641="","",INDEX('_calc'!$C$2:$C$3001,$N641))</f>
        <v/>
      </c>
      <c r="E641" s="25" t="str">
        <f>IF($N641="","",INDEX('_calc'!$D$2:$D$3001,$N641))</f>
        <v/>
      </c>
      <c r="F641" s="26" t="str">
        <f>IF($N641="","",IF($E$8=0,"",E641/$E$8))</f>
        <v/>
      </c>
      <c r="G641" s="25" t="str">
        <f>IF($N641="","",INDEX('_calc'!$E$2:$E$3001,$N641))</f>
        <v/>
      </c>
      <c r="H641" s="25" t="str">
        <f>IF($N641="","",INDEX('_calc'!$F$2:$F$3001,$N641))</f>
        <v/>
      </c>
      <c r="I641" s="27" t="str">
        <f>IF($N641="","",INDEX('_calc'!$H$2:$H$3001,$N641))</f>
        <v/>
      </c>
      <c r="J641" s="27" t="str">
        <f>IF($N641="","",INDEX('_calc'!$I$2:$I$3001,$N641))</f>
        <v/>
      </c>
      <c r="K641" s="28" t="str">
        <f>IF($N641="","",IF(OR(I641="",J641=""),"",J641-I641))</f>
        <v/>
      </c>
      <c r="L641" s="29" t="str">
        <f>IF($N641="","",INDEX('_calc'!$J$2:$J$3001,$N641))</f>
        <v/>
      </c>
      <c r="M641" s="2" t="str">
        <f>IF($N641="","",IF(AND(G641=0,H641=0),"수량 없음",IF(G641=0,"신규 (전년 수량 없음)",IF(H641=0,"당해 수량 없음",""))))</f>
        <v/>
      </c>
      <c r="N641" t="str">
        <f>IF($B641="","",MATCH($B641,'_calc'!$L$2:$L$3001,0))</f>
        <v/>
      </c>
    </row>
    <row r="642">
      <c r="B642" s="24" t="str">
        <f>IF(ROW()-ROW($B$8)&gt;nComp,"",ROW()-ROW($B$8))</f>
        <v/>
      </c>
      <c r="C642" t="str">
        <f>IF($N642="","",INDEX('_calc'!$A$2:$A$3001,$N642))</f>
        <v/>
      </c>
      <c r="D642" s="25" t="str">
        <f>IF($N642="","",INDEX('_calc'!$C$2:$C$3001,$N642))</f>
        <v/>
      </c>
      <c r="E642" s="25" t="str">
        <f>IF($N642="","",INDEX('_calc'!$D$2:$D$3001,$N642))</f>
        <v/>
      </c>
      <c r="F642" s="26" t="str">
        <f>IF($N642="","",IF($E$8=0,"",E642/$E$8))</f>
        <v/>
      </c>
      <c r="G642" s="25" t="str">
        <f>IF($N642="","",INDEX('_calc'!$E$2:$E$3001,$N642))</f>
        <v/>
      </c>
      <c r="H642" s="25" t="str">
        <f>IF($N642="","",INDEX('_calc'!$F$2:$F$3001,$N642))</f>
        <v/>
      </c>
      <c r="I642" s="27" t="str">
        <f>IF($N642="","",INDEX('_calc'!$H$2:$H$3001,$N642))</f>
        <v/>
      </c>
      <c r="J642" s="27" t="str">
        <f>IF($N642="","",INDEX('_calc'!$I$2:$I$3001,$N642))</f>
        <v/>
      </c>
      <c r="K642" s="28" t="str">
        <f>IF($N642="","",IF(OR(I642="",J642=""),"",J642-I642))</f>
        <v/>
      </c>
      <c r="L642" s="29" t="str">
        <f>IF($N642="","",INDEX('_calc'!$J$2:$J$3001,$N642))</f>
        <v/>
      </c>
      <c r="M642" s="2" t="str">
        <f>IF($N642="","",IF(AND(G642=0,H642=0),"수량 없음",IF(G642=0,"신규 (전년 수량 없음)",IF(H642=0,"당해 수량 없음",""))))</f>
        <v/>
      </c>
      <c r="N642" t="str">
        <f>IF($B642="","",MATCH($B642,'_calc'!$L$2:$L$3001,0))</f>
        <v/>
      </c>
    </row>
    <row r="643">
      <c r="B643" s="24" t="str">
        <f>IF(ROW()-ROW($B$8)&gt;nComp,"",ROW()-ROW($B$8))</f>
        <v/>
      </c>
      <c r="C643" t="str">
        <f>IF($N643="","",INDEX('_calc'!$A$2:$A$3001,$N643))</f>
        <v/>
      </c>
      <c r="D643" s="25" t="str">
        <f>IF($N643="","",INDEX('_calc'!$C$2:$C$3001,$N643))</f>
        <v/>
      </c>
      <c r="E643" s="25" t="str">
        <f>IF($N643="","",INDEX('_calc'!$D$2:$D$3001,$N643))</f>
        <v/>
      </c>
      <c r="F643" s="26" t="str">
        <f>IF($N643="","",IF($E$8=0,"",E643/$E$8))</f>
        <v/>
      </c>
      <c r="G643" s="25" t="str">
        <f>IF($N643="","",INDEX('_calc'!$E$2:$E$3001,$N643))</f>
        <v/>
      </c>
      <c r="H643" s="25" t="str">
        <f>IF($N643="","",INDEX('_calc'!$F$2:$F$3001,$N643))</f>
        <v/>
      </c>
      <c r="I643" s="27" t="str">
        <f>IF($N643="","",INDEX('_calc'!$H$2:$H$3001,$N643))</f>
        <v/>
      </c>
      <c r="J643" s="27" t="str">
        <f>IF($N643="","",INDEX('_calc'!$I$2:$I$3001,$N643))</f>
        <v/>
      </c>
      <c r="K643" s="28" t="str">
        <f>IF($N643="","",IF(OR(I643="",J643=""),"",J643-I643))</f>
        <v/>
      </c>
      <c r="L643" s="29" t="str">
        <f>IF($N643="","",INDEX('_calc'!$J$2:$J$3001,$N643))</f>
        <v/>
      </c>
      <c r="M643" s="2" t="str">
        <f>IF($N643="","",IF(AND(G643=0,H643=0),"수량 없음",IF(G643=0,"신규 (전년 수량 없음)",IF(H643=0,"당해 수량 없음",""))))</f>
        <v/>
      </c>
      <c r="N643" t="str">
        <f>IF($B643="","",MATCH($B643,'_calc'!$L$2:$L$3001,0))</f>
        <v/>
      </c>
    </row>
    <row r="644">
      <c r="B644" s="24" t="str">
        <f>IF(ROW()-ROW($B$8)&gt;nComp,"",ROW()-ROW($B$8))</f>
        <v/>
      </c>
      <c r="C644" t="str">
        <f>IF($N644="","",INDEX('_calc'!$A$2:$A$3001,$N644))</f>
        <v/>
      </c>
      <c r="D644" s="25" t="str">
        <f>IF($N644="","",INDEX('_calc'!$C$2:$C$3001,$N644))</f>
        <v/>
      </c>
      <c r="E644" s="25" t="str">
        <f>IF($N644="","",INDEX('_calc'!$D$2:$D$3001,$N644))</f>
        <v/>
      </c>
      <c r="F644" s="26" t="str">
        <f>IF($N644="","",IF($E$8=0,"",E644/$E$8))</f>
        <v/>
      </c>
      <c r="G644" s="25" t="str">
        <f>IF($N644="","",INDEX('_calc'!$E$2:$E$3001,$N644))</f>
        <v/>
      </c>
      <c r="H644" s="25" t="str">
        <f>IF($N644="","",INDEX('_calc'!$F$2:$F$3001,$N644))</f>
        <v/>
      </c>
      <c r="I644" s="27" t="str">
        <f>IF($N644="","",INDEX('_calc'!$H$2:$H$3001,$N644))</f>
        <v/>
      </c>
      <c r="J644" s="27" t="str">
        <f>IF($N644="","",INDEX('_calc'!$I$2:$I$3001,$N644))</f>
        <v/>
      </c>
      <c r="K644" s="28" t="str">
        <f>IF($N644="","",IF(OR(I644="",J644=""),"",J644-I644))</f>
        <v/>
      </c>
      <c r="L644" s="29" t="str">
        <f>IF($N644="","",INDEX('_calc'!$J$2:$J$3001,$N644))</f>
        <v/>
      </c>
      <c r="M644" s="2" t="str">
        <f>IF($N644="","",IF(AND(G644=0,H644=0),"수량 없음",IF(G644=0,"신규 (전년 수량 없음)",IF(H644=0,"당해 수량 없음",""))))</f>
        <v/>
      </c>
      <c r="N644" t="str">
        <f>IF($B644="","",MATCH($B644,'_calc'!$L$2:$L$3001,0))</f>
        <v/>
      </c>
    </row>
    <row r="645">
      <c r="B645" s="24" t="str">
        <f>IF(ROW()-ROW($B$8)&gt;nComp,"",ROW()-ROW($B$8))</f>
        <v/>
      </c>
      <c r="C645" t="str">
        <f>IF($N645="","",INDEX('_calc'!$A$2:$A$3001,$N645))</f>
        <v/>
      </c>
      <c r="D645" s="25" t="str">
        <f>IF($N645="","",INDEX('_calc'!$C$2:$C$3001,$N645))</f>
        <v/>
      </c>
      <c r="E645" s="25" t="str">
        <f>IF($N645="","",INDEX('_calc'!$D$2:$D$3001,$N645))</f>
        <v/>
      </c>
      <c r="F645" s="26" t="str">
        <f>IF($N645="","",IF($E$8=0,"",E645/$E$8))</f>
        <v/>
      </c>
      <c r="G645" s="25" t="str">
        <f>IF($N645="","",INDEX('_calc'!$E$2:$E$3001,$N645))</f>
        <v/>
      </c>
      <c r="H645" s="25" t="str">
        <f>IF($N645="","",INDEX('_calc'!$F$2:$F$3001,$N645))</f>
        <v/>
      </c>
      <c r="I645" s="27" t="str">
        <f>IF($N645="","",INDEX('_calc'!$H$2:$H$3001,$N645))</f>
        <v/>
      </c>
      <c r="J645" s="27" t="str">
        <f>IF($N645="","",INDEX('_calc'!$I$2:$I$3001,$N645))</f>
        <v/>
      </c>
      <c r="K645" s="28" t="str">
        <f>IF($N645="","",IF(OR(I645="",J645=""),"",J645-I645))</f>
        <v/>
      </c>
      <c r="L645" s="29" t="str">
        <f>IF($N645="","",INDEX('_calc'!$J$2:$J$3001,$N645))</f>
        <v/>
      </c>
      <c r="M645" s="2" t="str">
        <f>IF($N645="","",IF(AND(G645=0,H645=0),"수량 없음",IF(G645=0,"신규 (전년 수량 없음)",IF(H645=0,"당해 수량 없음",""))))</f>
        <v/>
      </c>
      <c r="N645" t="str">
        <f>IF($B645="","",MATCH($B645,'_calc'!$L$2:$L$3001,0))</f>
        <v/>
      </c>
    </row>
    <row r="646">
      <c r="B646" s="24" t="str">
        <f>IF(ROW()-ROW($B$8)&gt;nComp,"",ROW()-ROW($B$8))</f>
        <v/>
      </c>
      <c r="C646" t="str">
        <f>IF($N646="","",INDEX('_calc'!$A$2:$A$3001,$N646))</f>
        <v/>
      </c>
      <c r="D646" s="25" t="str">
        <f>IF($N646="","",INDEX('_calc'!$C$2:$C$3001,$N646))</f>
        <v/>
      </c>
      <c r="E646" s="25" t="str">
        <f>IF($N646="","",INDEX('_calc'!$D$2:$D$3001,$N646))</f>
        <v/>
      </c>
      <c r="F646" s="26" t="str">
        <f>IF($N646="","",IF($E$8=0,"",E646/$E$8))</f>
        <v/>
      </c>
      <c r="G646" s="25" t="str">
        <f>IF($N646="","",INDEX('_calc'!$E$2:$E$3001,$N646))</f>
        <v/>
      </c>
      <c r="H646" s="25" t="str">
        <f>IF($N646="","",INDEX('_calc'!$F$2:$F$3001,$N646))</f>
        <v/>
      </c>
      <c r="I646" s="27" t="str">
        <f>IF($N646="","",INDEX('_calc'!$H$2:$H$3001,$N646))</f>
        <v/>
      </c>
      <c r="J646" s="27" t="str">
        <f>IF($N646="","",INDEX('_calc'!$I$2:$I$3001,$N646))</f>
        <v/>
      </c>
      <c r="K646" s="28" t="str">
        <f>IF($N646="","",IF(OR(I646="",J646=""),"",J646-I646))</f>
        <v/>
      </c>
      <c r="L646" s="29" t="str">
        <f>IF($N646="","",INDEX('_calc'!$J$2:$J$3001,$N646))</f>
        <v/>
      </c>
      <c r="M646" s="2" t="str">
        <f>IF($N646="","",IF(AND(G646=0,H646=0),"수량 없음",IF(G646=0,"신규 (전년 수량 없음)",IF(H646=0,"당해 수량 없음",""))))</f>
        <v/>
      </c>
      <c r="N646" t="str">
        <f>IF($B646="","",MATCH($B646,'_calc'!$L$2:$L$3001,0))</f>
        <v/>
      </c>
    </row>
    <row r="647">
      <c r="B647" s="24" t="str">
        <f>IF(ROW()-ROW($B$8)&gt;nComp,"",ROW()-ROW($B$8))</f>
        <v/>
      </c>
      <c r="C647" t="str">
        <f>IF($N647="","",INDEX('_calc'!$A$2:$A$3001,$N647))</f>
        <v/>
      </c>
      <c r="D647" s="25" t="str">
        <f>IF($N647="","",INDEX('_calc'!$C$2:$C$3001,$N647))</f>
        <v/>
      </c>
      <c r="E647" s="25" t="str">
        <f>IF($N647="","",INDEX('_calc'!$D$2:$D$3001,$N647))</f>
        <v/>
      </c>
      <c r="F647" s="26" t="str">
        <f>IF($N647="","",IF($E$8=0,"",E647/$E$8))</f>
        <v/>
      </c>
      <c r="G647" s="25" t="str">
        <f>IF($N647="","",INDEX('_calc'!$E$2:$E$3001,$N647))</f>
        <v/>
      </c>
      <c r="H647" s="25" t="str">
        <f>IF($N647="","",INDEX('_calc'!$F$2:$F$3001,$N647))</f>
        <v/>
      </c>
      <c r="I647" s="27" t="str">
        <f>IF($N647="","",INDEX('_calc'!$H$2:$H$3001,$N647))</f>
        <v/>
      </c>
      <c r="J647" s="27" t="str">
        <f>IF($N647="","",INDEX('_calc'!$I$2:$I$3001,$N647))</f>
        <v/>
      </c>
      <c r="K647" s="28" t="str">
        <f>IF($N647="","",IF(OR(I647="",J647=""),"",J647-I647))</f>
        <v/>
      </c>
      <c r="L647" s="29" t="str">
        <f>IF($N647="","",INDEX('_calc'!$J$2:$J$3001,$N647))</f>
        <v/>
      </c>
      <c r="M647" s="2" t="str">
        <f>IF($N647="","",IF(AND(G647=0,H647=0),"수량 없음",IF(G647=0,"신규 (전년 수량 없음)",IF(H647=0,"당해 수량 없음",""))))</f>
        <v/>
      </c>
      <c r="N647" t="str">
        <f>IF($B647="","",MATCH($B647,'_calc'!$L$2:$L$3001,0))</f>
        <v/>
      </c>
    </row>
    <row r="648">
      <c r="B648" s="24" t="str">
        <f>IF(ROW()-ROW($B$8)&gt;nComp,"",ROW()-ROW($B$8))</f>
        <v/>
      </c>
      <c r="C648" t="str">
        <f>IF($N648="","",INDEX('_calc'!$A$2:$A$3001,$N648))</f>
        <v/>
      </c>
      <c r="D648" s="25" t="str">
        <f>IF($N648="","",INDEX('_calc'!$C$2:$C$3001,$N648))</f>
        <v/>
      </c>
      <c r="E648" s="25" t="str">
        <f>IF($N648="","",INDEX('_calc'!$D$2:$D$3001,$N648))</f>
        <v/>
      </c>
      <c r="F648" s="26" t="str">
        <f>IF($N648="","",IF($E$8=0,"",E648/$E$8))</f>
        <v/>
      </c>
      <c r="G648" s="25" t="str">
        <f>IF($N648="","",INDEX('_calc'!$E$2:$E$3001,$N648))</f>
        <v/>
      </c>
      <c r="H648" s="25" t="str">
        <f>IF($N648="","",INDEX('_calc'!$F$2:$F$3001,$N648))</f>
        <v/>
      </c>
      <c r="I648" s="27" t="str">
        <f>IF($N648="","",INDEX('_calc'!$H$2:$H$3001,$N648))</f>
        <v/>
      </c>
      <c r="J648" s="27" t="str">
        <f>IF($N648="","",INDEX('_calc'!$I$2:$I$3001,$N648))</f>
        <v/>
      </c>
      <c r="K648" s="28" t="str">
        <f>IF($N648="","",IF(OR(I648="",J648=""),"",J648-I648))</f>
        <v/>
      </c>
      <c r="L648" s="29" t="str">
        <f>IF($N648="","",INDEX('_calc'!$J$2:$J$3001,$N648))</f>
        <v/>
      </c>
      <c r="M648" s="2" t="str">
        <f>IF($N648="","",IF(AND(G648=0,H648=0),"수량 없음",IF(G648=0,"신규 (전년 수량 없음)",IF(H648=0,"당해 수량 없음",""))))</f>
        <v/>
      </c>
      <c r="N648" t="str">
        <f>IF($B648="","",MATCH($B648,'_calc'!$L$2:$L$3001,0))</f>
        <v/>
      </c>
    </row>
    <row r="649">
      <c r="B649" s="24" t="str">
        <f>IF(ROW()-ROW($B$8)&gt;nComp,"",ROW()-ROW($B$8))</f>
        <v/>
      </c>
      <c r="C649" t="str">
        <f>IF($N649="","",INDEX('_calc'!$A$2:$A$3001,$N649))</f>
        <v/>
      </c>
      <c r="D649" s="25" t="str">
        <f>IF($N649="","",INDEX('_calc'!$C$2:$C$3001,$N649))</f>
        <v/>
      </c>
      <c r="E649" s="25" t="str">
        <f>IF($N649="","",INDEX('_calc'!$D$2:$D$3001,$N649))</f>
        <v/>
      </c>
      <c r="F649" s="26" t="str">
        <f>IF($N649="","",IF($E$8=0,"",E649/$E$8))</f>
        <v/>
      </c>
      <c r="G649" s="25" t="str">
        <f>IF($N649="","",INDEX('_calc'!$E$2:$E$3001,$N649))</f>
        <v/>
      </c>
      <c r="H649" s="25" t="str">
        <f>IF($N649="","",INDEX('_calc'!$F$2:$F$3001,$N649))</f>
        <v/>
      </c>
      <c r="I649" s="27" t="str">
        <f>IF($N649="","",INDEX('_calc'!$H$2:$H$3001,$N649))</f>
        <v/>
      </c>
      <c r="J649" s="27" t="str">
        <f>IF($N649="","",INDEX('_calc'!$I$2:$I$3001,$N649))</f>
        <v/>
      </c>
      <c r="K649" s="28" t="str">
        <f>IF($N649="","",IF(OR(I649="",J649=""),"",J649-I649))</f>
        <v/>
      </c>
      <c r="L649" s="29" t="str">
        <f>IF($N649="","",INDEX('_calc'!$J$2:$J$3001,$N649))</f>
        <v/>
      </c>
      <c r="M649" s="2" t="str">
        <f>IF($N649="","",IF(AND(G649=0,H649=0),"수량 없음",IF(G649=0,"신규 (전년 수량 없음)",IF(H649=0,"당해 수량 없음",""))))</f>
        <v/>
      </c>
      <c r="N649" t="str">
        <f>IF($B649="","",MATCH($B649,'_calc'!$L$2:$L$3001,0))</f>
        <v/>
      </c>
    </row>
    <row r="650">
      <c r="B650" s="24" t="str">
        <f>IF(ROW()-ROW($B$8)&gt;nComp,"",ROW()-ROW($B$8))</f>
        <v/>
      </c>
      <c r="C650" t="str">
        <f>IF($N650="","",INDEX('_calc'!$A$2:$A$3001,$N650))</f>
        <v/>
      </c>
      <c r="D650" s="25" t="str">
        <f>IF($N650="","",INDEX('_calc'!$C$2:$C$3001,$N650))</f>
        <v/>
      </c>
      <c r="E650" s="25" t="str">
        <f>IF($N650="","",INDEX('_calc'!$D$2:$D$3001,$N650))</f>
        <v/>
      </c>
      <c r="F650" s="26" t="str">
        <f>IF($N650="","",IF($E$8=0,"",E650/$E$8))</f>
        <v/>
      </c>
      <c r="G650" s="25" t="str">
        <f>IF($N650="","",INDEX('_calc'!$E$2:$E$3001,$N650))</f>
        <v/>
      </c>
      <c r="H650" s="25" t="str">
        <f>IF($N650="","",INDEX('_calc'!$F$2:$F$3001,$N650))</f>
        <v/>
      </c>
      <c r="I650" s="27" t="str">
        <f>IF($N650="","",INDEX('_calc'!$H$2:$H$3001,$N650))</f>
        <v/>
      </c>
      <c r="J650" s="27" t="str">
        <f>IF($N650="","",INDEX('_calc'!$I$2:$I$3001,$N650))</f>
        <v/>
      </c>
      <c r="K650" s="28" t="str">
        <f>IF($N650="","",IF(OR(I650="",J650=""),"",J650-I650))</f>
        <v/>
      </c>
      <c r="L650" s="29" t="str">
        <f>IF($N650="","",INDEX('_calc'!$J$2:$J$3001,$N650))</f>
        <v/>
      </c>
      <c r="M650" s="2" t="str">
        <f>IF($N650="","",IF(AND(G650=0,H650=0),"수량 없음",IF(G650=0,"신규 (전년 수량 없음)",IF(H650=0,"당해 수량 없음",""))))</f>
        <v/>
      </c>
      <c r="N650" t="str">
        <f>IF($B650="","",MATCH($B650,'_calc'!$L$2:$L$3001,0))</f>
        <v/>
      </c>
    </row>
    <row r="651">
      <c r="B651" s="24" t="str">
        <f>IF(ROW()-ROW($B$8)&gt;nComp,"",ROW()-ROW($B$8))</f>
        <v/>
      </c>
      <c r="C651" t="str">
        <f>IF($N651="","",INDEX('_calc'!$A$2:$A$3001,$N651))</f>
        <v/>
      </c>
      <c r="D651" s="25" t="str">
        <f>IF($N651="","",INDEX('_calc'!$C$2:$C$3001,$N651))</f>
        <v/>
      </c>
      <c r="E651" s="25" t="str">
        <f>IF($N651="","",INDEX('_calc'!$D$2:$D$3001,$N651))</f>
        <v/>
      </c>
      <c r="F651" s="26" t="str">
        <f>IF($N651="","",IF($E$8=0,"",E651/$E$8))</f>
        <v/>
      </c>
      <c r="G651" s="25" t="str">
        <f>IF($N651="","",INDEX('_calc'!$E$2:$E$3001,$N651))</f>
        <v/>
      </c>
      <c r="H651" s="25" t="str">
        <f>IF($N651="","",INDEX('_calc'!$F$2:$F$3001,$N651))</f>
        <v/>
      </c>
      <c r="I651" s="27" t="str">
        <f>IF($N651="","",INDEX('_calc'!$H$2:$H$3001,$N651))</f>
        <v/>
      </c>
      <c r="J651" s="27" t="str">
        <f>IF($N651="","",INDEX('_calc'!$I$2:$I$3001,$N651))</f>
        <v/>
      </c>
      <c r="K651" s="28" t="str">
        <f>IF($N651="","",IF(OR(I651="",J651=""),"",J651-I651))</f>
        <v/>
      </c>
      <c r="L651" s="29" t="str">
        <f>IF($N651="","",INDEX('_calc'!$J$2:$J$3001,$N651))</f>
        <v/>
      </c>
      <c r="M651" s="2" t="str">
        <f>IF($N651="","",IF(AND(G651=0,H651=0),"수량 없음",IF(G651=0,"신규 (전년 수량 없음)",IF(H651=0,"당해 수량 없음",""))))</f>
        <v/>
      </c>
      <c r="N651" t="str">
        <f>IF($B651="","",MATCH($B651,'_calc'!$L$2:$L$3001,0))</f>
        <v/>
      </c>
    </row>
    <row r="652">
      <c r="B652" s="24" t="str">
        <f>IF(ROW()-ROW($B$8)&gt;nComp,"",ROW()-ROW($B$8))</f>
        <v/>
      </c>
      <c r="C652" t="str">
        <f>IF($N652="","",INDEX('_calc'!$A$2:$A$3001,$N652))</f>
        <v/>
      </c>
      <c r="D652" s="25" t="str">
        <f>IF($N652="","",INDEX('_calc'!$C$2:$C$3001,$N652))</f>
        <v/>
      </c>
      <c r="E652" s="25" t="str">
        <f>IF($N652="","",INDEX('_calc'!$D$2:$D$3001,$N652))</f>
        <v/>
      </c>
      <c r="F652" s="26" t="str">
        <f>IF($N652="","",IF($E$8=0,"",E652/$E$8))</f>
        <v/>
      </c>
      <c r="G652" s="25" t="str">
        <f>IF($N652="","",INDEX('_calc'!$E$2:$E$3001,$N652))</f>
        <v/>
      </c>
      <c r="H652" s="25" t="str">
        <f>IF($N652="","",INDEX('_calc'!$F$2:$F$3001,$N652))</f>
        <v/>
      </c>
      <c r="I652" s="27" t="str">
        <f>IF($N652="","",INDEX('_calc'!$H$2:$H$3001,$N652))</f>
        <v/>
      </c>
      <c r="J652" s="27" t="str">
        <f>IF($N652="","",INDEX('_calc'!$I$2:$I$3001,$N652))</f>
        <v/>
      </c>
      <c r="K652" s="28" t="str">
        <f>IF($N652="","",IF(OR(I652="",J652=""),"",J652-I652))</f>
        <v/>
      </c>
      <c r="L652" s="29" t="str">
        <f>IF($N652="","",INDEX('_calc'!$J$2:$J$3001,$N652))</f>
        <v/>
      </c>
      <c r="M652" s="2" t="str">
        <f>IF($N652="","",IF(AND(G652=0,H652=0),"수량 없음",IF(G652=0,"신규 (전년 수량 없음)",IF(H652=0,"당해 수량 없음",""))))</f>
        <v/>
      </c>
      <c r="N652" t="str">
        <f>IF($B652="","",MATCH($B652,'_calc'!$L$2:$L$3001,0))</f>
        <v/>
      </c>
    </row>
    <row r="653">
      <c r="B653" s="24" t="str">
        <f>IF(ROW()-ROW($B$8)&gt;nComp,"",ROW()-ROW($B$8))</f>
        <v/>
      </c>
      <c r="C653" t="str">
        <f>IF($N653="","",INDEX('_calc'!$A$2:$A$3001,$N653))</f>
        <v/>
      </c>
      <c r="D653" s="25" t="str">
        <f>IF($N653="","",INDEX('_calc'!$C$2:$C$3001,$N653))</f>
        <v/>
      </c>
      <c r="E653" s="25" t="str">
        <f>IF($N653="","",INDEX('_calc'!$D$2:$D$3001,$N653))</f>
        <v/>
      </c>
      <c r="F653" s="26" t="str">
        <f>IF($N653="","",IF($E$8=0,"",E653/$E$8))</f>
        <v/>
      </c>
      <c r="G653" s="25" t="str">
        <f>IF($N653="","",INDEX('_calc'!$E$2:$E$3001,$N653))</f>
        <v/>
      </c>
      <c r="H653" s="25" t="str">
        <f>IF($N653="","",INDEX('_calc'!$F$2:$F$3001,$N653))</f>
        <v/>
      </c>
      <c r="I653" s="27" t="str">
        <f>IF($N653="","",INDEX('_calc'!$H$2:$H$3001,$N653))</f>
        <v/>
      </c>
      <c r="J653" s="27" t="str">
        <f>IF($N653="","",INDEX('_calc'!$I$2:$I$3001,$N653))</f>
        <v/>
      </c>
      <c r="K653" s="28" t="str">
        <f>IF($N653="","",IF(OR(I653="",J653=""),"",J653-I653))</f>
        <v/>
      </c>
      <c r="L653" s="29" t="str">
        <f>IF($N653="","",INDEX('_calc'!$J$2:$J$3001,$N653))</f>
        <v/>
      </c>
      <c r="M653" s="2" t="str">
        <f>IF($N653="","",IF(AND(G653=0,H653=0),"수량 없음",IF(G653=0,"신규 (전년 수량 없음)",IF(H653=0,"당해 수량 없음",""))))</f>
        <v/>
      </c>
      <c r="N653" t="str">
        <f>IF($B653="","",MATCH($B653,'_calc'!$L$2:$L$3001,0))</f>
        <v/>
      </c>
    </row>
    <row r="654">
      <c r="B654" s="24" t="str">
        <f>IF(ROW()-ROW($B$8)&gt;nComp,"",ROW()-ROW($B$8))</f>
        <v/>
      </c>
      <c r="C654" t="str">
        <f>IF($N654="","",INDEX('_calc'!$A$2:$A$3001,$N654))</f>
        <v/>
      </c>
      <c r="D654" s="25" t="str">
        <f>IF($N654="","",INDEX('_calc'!$C$2:$C$3001,$N654))</f>
        <v/>
      </c>
      <c r="E654" s="25" t="str">
        <f>IF($N654="","",INDEX('_calc'!$D$2:$D$3001,$N654))</f>
        <v/>
      </c>
      <c r="F654" s="26" t="str">
        <f>IF($N654="","",IF($E$8=0,"",E654/$E$8))</f>
        <v/>
      </c>
      <c r="G654" s="25" t="str">
        <f>IF($N654="","",INDEX('_calc'!$E$2:$E$3001,$N654))</f>
        <v/>
      </c>
      <c r="H654" s="25" t="str">
        <f>IF($N654="","",INDEX('_calc'!$F$2:$F$3001,$N654))</f>
        <v/>
      </c>
      <c r="I654" s="27" t="str">
        <f>IF($N654="","",INDEX('_calc'!$H$2:$H$3001,$N654))</f>
        <v/>
      </c>
      <c r="J654" s="27" t="str">
        <f>IF($N654="","",INDEX('_calc'!$I$2:$I$3001,$N654))</f>
        <v/>
      </c>
      <c r="K654" s="28" t="str">
        <f>IF($N654="","",IF(OR(I654="",J654=""),"",J654-I654))</f>
        <v/>
      </c>
      <c r="L654" s="29" t="str">
        <f>IF($N654="","",INDEX('_calc'!$J$2:$J$3001,$N654))</f>
        <v/>
      </c>
      <c r="M654" s="2" t="str">
        <f>IF($N654="","",IF(AND(G654=0,H654=0),"수량 없음",IF(G654=0,"신규 (전년 수량 없음)",IF(H654=0,"당해 수량 없음",""))))</f>
        <v/>
      </c>
      <c r="N654" t="str">
        <f>IF($B654="","",MATCH($B654,'_calc'!$L$2:$L$3001,0))</f>
        <v/>
      </c>
    </row>
    <row r="655">
      <c r="B655" s="24" t="str">
        <f>IF(ROW()-ROW($B$8)&gt;nComp,"",ROW()-ROW($B$8))</f>
        <v/>
      </c>
      <c r="C655" t="str">
        <f>IF($N655="","",INDEX('_calc'!$A$2:$A$3001,$N655))</f>
        <v/>
      </c>
      <c r="D655" s="25" t="str">
        <f>IF($N655="","",INDEX('_calc'!$C$2:$C$3001,$N655))</f>
        <v/>
      </c>
      <c r="E655" s="25" t="str">
        <f>IF($N655="","",INDEX('_calc'!$D$2:$D$3001,$N655))</f>
        <v/>
      </c>
      <c r="F655" s="26" t="str">
        <f>IF($N655="","",IF($E$8=0,"",E655/$E$8))</f>
        <v/>
      </c>
      <c r="G655" s="25" t="str">
        <f>IF($N655="","",INDEX('_calc'!$E$2:$E$3001,$N655))</f>
        <v/>
      </c>
      <c r="H655" s="25" t="str">
        <f>IF($N655="","",INDEX('_calc'!$F$2:$F$3001,$N655))</f>
        <v/>
      </c>
      <c r="I655" s="27" t="str">
        <f>IF($N655="","",INDEX('_calc'!$H$2:$H$3001,$N655))</f>
        <v/>
      </c>
      <c r="J655" s="27" t="str">
        <f>IF($N655="","",INDEX('_calc'!$I$2:$I$3001,$N655))</f>
        <v/>
      </c>
      <c r="K655" s="28" t="str">
        <f>IF($N655="","",IF(OR(I655="",J655=""),"",J655-I655))</f>
        <v/>
      </c>
      <c r="L655" s="29" t="str">
        <f>IF($N655="","",INDEX('_calc'!$J$2:$J$3001,$N655))</f>
        <v/>
      </c>
      <c r="M655" s="2" t="str">
        <f>IF($N655="","",IF(AND(G655=0,H655=0),"수량 없음",IF(G655=0,"신규 (전년 수량 없음)",IF(H655=0,"당해 수량 없음",""))))</f>
        <v/>
      </c>
      <c r="N655" t="str">
        <f>IF($B655="","",MATCH($B655,'_calc'!$L$2:$L$3001,0))</f>
        <v/>
      </c>
    </row>
    <row r="656">
      <c r="B656" s="24" t="str">
        <f>IF(ROW()-ROW($B$8)&gt;nComp,"",ROW()-ROW($B$8))</f>
        <v/>
      </c>
      <c r="C656" t="str">
        <f>IF($N656="","",INDEX('_calc'!$A$2:$A$3001,$N656))</f>
        <v/>
      </c>
      <c r="D656" s="25" t="str">
        <f>IF($N656="","",INDEX('_calc'!$C$2:$C$3001,$N656))</f>
        <v/>
      </c>
      <c r="E656" s="25" t="str">
        <f>IF($N656="","",INDEX('_calc'!$D$2:$D$3001,$N656))</f>
        <v/>
      </c>
      <c r="F656" s="26" t="str">
        <f>IF($N656="","",IF($E$8=0,"",E656/$E$8))</f>
        <v/>
      </c>
      <c r="G656" s="25" t="str">
        <f>IF($N656="","",INDEX('_calc'!$E$2:$E$3001,$N656))</f>
        <v/>
      </c>
      <c r="H656" s="25" t="str">
        <f>IF($N656="","",INDEX('_calc'!$F$2:$F$3001,$N656))</f>
        <v/>
      </c>
      <c r="I656" s="27" t="str">
        <f>IF($N656="","",INDEX('_calc'!$H$2:$H$3001,$N656))</f>
        <v/>
      </c>
      <c r="J656" s="27" t="str">
        <f>IF($N656="","",INDEX('_calc'!$I$2:$I$3001,$N656))</f>
        <v/>
      </c>
      <c r="K656" s="28" t="str">
        <f>IF($N656="","",IF(OR(I656="",J656=""),"",J656-I656))</f>
        <v/>
      </c>
      <c r="L656" s="29" t="str">
        <f>IF($N656="","",INDEX('_calc'!$J$2:$J$3001,$N656))</f>
        <v/>
      </c>
      <c r="M656" s="2" t="str">
        <f>IF($N656="","",IF(AND(G656=0,H656=0),"수량 없음",IF(G656=0,"신규 (전년 수량 없음)",IF(H656=0,"당해 수량 없음",""))))</f>
        <v/>
      </c>
      <c r="N656" t="str">
        <f>IF($B656="","",MATCH($B656,'_calc'!$L$2:$L$3001,0))</f>
        <v/>
      </c>
    </row>
    <row r="657">
      <c r="B657" s="24" t="str">
        <f>IF(ROW()-ROW($B$8)&gt;nComp,"",ROW()-ROW($B$8))</f>
        <v/>
      </c>
      <c r="C657" t="str">
        <f>IF($N657="","",INDEX('_calc'!$A$2:$A$3001,$N657))</f>
        <v/>
      </c>
      <c r="D657" s="25" t="str">
        <f>IF($N657="","",INDEX('_calc'!$C$2:$C$3001,$N657))</f>
        <v/>
      </c>
      <c r="E657" s="25" t="str">
        <f>IF($N657="","",INDEX('_calc'!$D$2:$D$3001,$N657))</f>
        <v/>
      </c>
      <c r="F657" s="26" t="str">
        <f>IF($N657="","",IF($E$8=0,"",E657/$E$8))</f>
        <v/>
      </c>
      <c r="G657" s="25" t="str">
        <f>IF($N657="","",INDEX('_calc'!$E$2:$E$3001,$N657))</f>
        <v/>
      </c>
      <c r="H657" s="25" t="str">
        <f>IF($N657="","",INDEX('_calc'!$F$2:$F$3001,$N657))</f>
        <v/>
      </c>
      <c r="I657" s="27" t="str">
        <f>IF($N657="","",INDEX('_calc'!$H$2:$H$3001,$N657))</f>
        <v/>
      </c>
      <c r="J657" s="27" t="str">
        <f>IF($N657="","",INDEX('_calc'!$I$2:$I$3001,$N657))</f>
        <v/>
      </c>
      <c r="K657" s="28" t="str">
        <f>IF($N657="","",IF(OR(I657="",J657=""),"",J657-I657))</f>
        <v/>
      </c>
      <c r="L657" s="29" t="str">
        <f>IF($N657="","",INDEX('_calc'!$J$2:$J$3001,$N657))</f>
        <v/>
      </c>
      <c r="M657" s="2" t="str">
        <f>IF($N657="","",IF(AND(G657=0,H657=0),"수량 없음",IF(G657=0,"신규 (전년 수량 없음)",IF(H657=0,"당해 수량 없음",""))))</f>
        <v/>
      </c>
      <c r="N657" t="str">
        <f>IF($B657="","",MATCH($B657,'_calc'!$L$2:$L$3001,0))</f>
        <v/>
      </c>
    </row>
    <row r="658">
      <c r="B658" s="24" t="str">
        <f>IF(ROW()-ROW($B$8)&gt;nComp,"",ROW()-ROW($B$8))</f>
        <v/>
      </c>
      <c r="C658" t="str">
        <f>IF($N658="","",INDEX('_calc'!$A$2:$A$3001,$N658))</f>
        <v/>
      </c>
      <c r="D658" s="25" t="str">
        <f>IF($N658="","",INDEX('_calc'!$C$2:$C$3001,$N658))</f>
        <v/>
      </c>
      <c r="E658" s="25" t="str">
        <f>IF($N658="","",INDEX('_calc'!$D$2:$D$3001,$N658))</f>
        <v/>
      </c>
      <c r="F658" s="26" t="str">
        <f>IF($N658="","",IF($E$8=0,"",E658/$E$8))</f>
        <v/>
      </c>
      <c r="G658" s="25" t="str">
        <f>IF($N658="","",INDEX('_calc'!$E$2:$E$3001,$N658))</f>
        <v/>
      </c>
      <c r="H658" s="25" t="str">
        <f>IF($N658="","",INDEX('_calc'!$F$2:$F$3001,$N658))</f>
        <v/>
      </c>
      <c r="I658" s="27" t="str">
        <f>IF($N658="","",INDEX('_calc'!$H$2:$H$3001,$N658))</f>
        <v/>
      </c>
      <c r="J658" s="27" t="str">
        <f>IF($N658="","",INDEX('_calc'!$I$2:$I$3001,$N658))</f>
        <v/>
      </c>
      <c r="K658" s="28" t="str">
        <f>IF($N658="","",IF(OR(I658="",J658=""),"",J658-I658))</f>
        <v/>
      </c>
      <c r="L658" s="29" t="str">
        <f>IF($N658="","",INDEX('_calc'!$J$2:$J$3001,$N658))</f>
        <v/>
      </c>
      <c r="M658" s="2" t="str">
        <f>IF($N658="","",IF(AND(G658=0,H658=0),"수량 없음",IF(G658=0,"신규 (전년 수량 없음)",IF(H658=0,"당해 수량 없음",""))))</f>
        <v/>
      </c>
      <c r="N658" t="str">
        <f>IF($B658="","",MATCH($B658,'_calc'!$L$2:$L$3001,0))</f>
        <v/>
      </c>
    </row>
    <row r="659">
      <c r="B659" s="24" t="str">
        <f>IF(ROW()-ROW($B$8)&gt;nComp,"",ROW()-ROW($B$8))</f>
        <v/>
      </c>
      <c r="C659" t="str">
        <f>IF($N659="","",INDEX('_calc'!$A$2:$A$3001,$N659))</f>
        <v/>
      </c>
      <c r="D659" s="25" t="str">
        <f>IF($N659="","",INDEX('_calc'!$C$2:$C$3001,$N659))</f>
        <v/>
      </c>
      <c r="E659" s="25" t="str">
        <f>IF($N659="","",INDEX('_calc'!$D$2:$D$3001,$N659))</f>
        <v/>
      </c>
      <c r="F659" s="26" t="str">
        <f>IF($N659="","",IF($E$8=0,"",E659/$E$8))</f>
        <v/>
      </c>
      <c r="G659" s="25" t="str">
        <f>IF($N659="","",INDEX('_calc'!$E$2:$E$3001,$N659))</f>
        <v/>
      </c>
      <c r="H659" s="25" t="str">
        <f>IF($N659="","",INDEX('_calc'!$F$2:$F$3001,$N659))</f>
        <v/>
      </c>
      <c r="I659" s="27" t="str">
        <f>IF($N659="","",INDEX('_calc'!$H$2:$H$3001,$N659))</f>
        <v/>
      </c>
      <c r="J659" s="27" t="str">
        <f>IF($N659="","",INDEX('_calc'!$I$2:$I$3001,$N659))</f>
        <v/>
      </c>
      <c r="K659" s="28" t="str">
        <f>IF($N659="","",IF(OR(I659="",J659=""),"",J659-I659))</f>
        <v/>
      </c>
      <c r="L659" s="29" t="str">
        <f>IF($N659="","",INDEX('_calc'!$J$2:$J$3001,$N659))</f>
        <v/>
      </c>
      <c r="M659" s="2" t="str">
        <f>IF($N659="","",IF(AND(G659=0,H659=0),"수량 없음",IF(G659=0,"신규 (전년 수량 없음)",IF(H659=0,"당해 수량 없음",""))))</f>
        <v/>
      </c>
      <c r="N659" t="str">
        <f>IF($B659="","",MATCH($B659,'_calc'!$L$2:$L$3001,0))</f>
        <v/>
      </c>
    </row>
    <row r="660">
      <c r="B660" s="24" t="str">
        <f>IF(ROW()-ROW($B$8)&gt;nComp,"",ROW()-ROW($B$8))</f>
        <v/>
      </c>
      <c r="C660" t="str">
        <f>IF($N660="","",INDEX('_calc'!$A$2:$A$3001,$N660))</f>
        <v/>
      </c>
      <c r="D660" s="25" t="str">
        <f>IF($N660="","",INDEX('_calc'!$C$2:$C$3001,$N660))</f>
        <v/>
      </c>
      <c r="E660" s="25" t="str">
        <f>IF($N660="","",INDEX('_calc'!$D$2:$D$3001,$N660))</f>
        <v/>
      </c>
      <c r="F660" s="26" t="str">
        <f>IF($N660="","",IF($E$8=0,"",E660/$E$8))</f>
        <v/>
      </c>
      <c r="G660" s="25" t="str">
        <f>IF($N660="","",INDEX('_calc'!$E$2:$E$3001,$N660))</f>
        <v/>
      </c>
      <c r="H660" s="25" t="str">
        <f>IF($N660="","",INDEX('_calc'!$F$2:$F$3001,$N660))</f>
        <v/>
      </c>
      <c r="I660" s="27" t="str">
        <f>IF($N660="","",INDEX('_calc'!$H$2:$H$3001,$N660))</f>
        <v/>
      </c>
      <c r="J660" s="27" t="str">
        <f>IF($N660="","",INDEX('_calc'!$I$2:$I$3001,$N660))</f>
        <v/>
      </c>
      <c r="K660" s="28" t="str">
        <f>IF($N660="","",IF(OR(I660="",J660=""),"",J660-I660))</f>
        <v/>
      </c>
      <c r="L660" s="29" t="str">
        <f>IF($N660="","",INDEX('_calc'!$J$2:$J$3001,$N660))</f>
        <v/>
      </c>
      <c r="M660" s="2" t="str">
        <f>IF($N660="","",IF(AND(G660=0,H660=0),"수량 없음",IF(G660=0,"신규 (전년 수량 없음)",IF(H660=0,"당해 수량 없음",""))))</f>
        <v/>
      </c>
      <c r="N660" t="str">
        <f>IF($B660="","",MATCH($B660,'_calc'!$L$2:$L$3001,0))</f>
        <v/>
      </c>
    </row>
    <row r="661">
      <c r="B661" s="24" t="str">
        <f>IF(ROW()-ROW($B$8)&gt;nComp,"",ROW()-ROW($B$8))</f>
        <v/>
      </c>
      <c r="C661" t="str">
        <f>IF($N661="","",INDEX('_calc'!$A$2:$A$3001,$N661))</f>
        <v/>
      </c>
      <c r="D661" s="25" t="str">
        <f>IF($N661="","",INDEX('_calc'!$C$2:$C$3001,$N661))</f>
        <v/>
      </c>
      <c r="E661" s="25" t="str">
        <f>IF($N661="","",INDEX('_calc'!$D$2:$D$3001,$N661))</f>
        <v/>
      </c>
      <c r="F661" s="26" t="str">
        <f>IF($N661="","",IF($E$8=0,"",E661/$E$8))</f>
        <v/>
      </c>
      <c r="G661" s="25" t="str">
        <f>IF($N661="","",INDEX('_calc'!$E$2:$E$3001,$N661))</f>
        <v/>
      </c>
      <c r="H661" s="25" t="str">
        <f>IF($N661="","",INDEX('_calc'!$F$2:$F$3001,$N661))</f>
        <v/>
      </c>
      <c r="I661" s="27" t="str">
        <f>IF($N661="","",INDEX('_calc'!$H$2:$H$3001,$N661))</f>
        <v/>
      </c>
      <c r="J661" s="27" t="str">
        <f>IF($N661="","",INDEX('_calc'!$I$2:$I$3001,$N661))</f>
        <v/>
      </c>
      <c r="K661" s="28" t="str">
        <f>IF($N661="","",IF(OR(I661="",J661=""),"",J661-I661))</f>
        <v/>
      </c>
      <c r="L661" s="29" t="str">
        <f>IF($N661="","",INDEX('_calc'!$J$2:$J$3001,$N661))</f>
        <v/>
      </c>
      <c r="M661" s="2" t="str">
        <f>IF($N661="","",IF(AND(G661=0,H661=0),"수량 없음",IF(G661=0,"신규 (전년 수량 없음)",IF(H661=0,"당해 수량 없음",""))))</f>
        <v/>
      </c>
      <c r="N661" t="str">
        <f>IF($B661="","",MATCH($B661,'_calc'!$L$2:$L$3001,0))</f>
        <v/>
      </c>
    </row>
    <row r="662">
      <c r="B662" s="24" t="str">
        <f>IF(ROW()-ROW($B$8)&gt;nComp,"",ROW()-ROW($B$8))</f>
        <v/>
      </c>
      <c r="C662" t="str">
        <f>IF($N662="","",INDEX('_calc'!$A$2:$A$3001,$N662))</f>
        <v/>
      </c>
      <c r="D662" s="25" t="str">
        <f>IF($N662="","",INDEX('_calc'!$C$2:$C$3001,$N662))</f>
        <v/>
      </c>
      <c r="E662" s="25" t="str">
        <f>IF($N662="","",INDEX('_calc'!$D$2:$D$3001,$N662))</f>
        <v/>
      </c>
      <c r="F662" s="26" t="str">
        <f>IF($N662="","",IF($E$8=0,"",E662/$E$8))</f>
        <v/>
      </c>
      <c r="G662" s="25" t="str">
        <f>IF($N662="","",INDEX('_calc'!$E$2:$E$3001,$N662))</f>
        <v/>
      </c>
      <c r="H662" s="25" t="str">
        <f>IF($N662="","",INDEX('_calc'!$F$2:$F$3001,$N662))</f>
        <v/>
      </c>
      <c r="I662" s="27" t="str">
        <f>IF($N662="","",INDEX('_calc'!$H$2:$H$3001,$N662))</f>
        <v/>
      </c>
      <c r="J662" s="27" t="str">
        <f>IF($N662="","",INDEX('_calc'!$I$2:$I$3001,$N662))</f>
        <v/>
      </c>
      <c r="K662" s="28" t="str">
        <f>IF($N662="","",IF(OR(I662="",J662=""),"",J662-I662))</f>
        <v/>
      </c>
      <c r="L662" s="29" t="str">
        <f>IF($N662="","",INDEX('_calc'!$J$2:$J$3001,$N662))</f>
        <v/>
      </c>
      <c r="M662" s="2" t="str">
        <f>IF($N662="","",IF(AND(G662=0,H662=0),"수량 없음",IF(G662=0,"신규 (전년 수량 없음)",IF(H662=0,"당해 수량 없음",""))))</f>
        <v/>
      </c>
      <c r="N662" t="str">
        <f>IF($B662="","",MATCH($B662,'_calc'!$L$2:$L$3001,0))</f>
        <v/>
      </c>
    </row>
    <row r="663">
      <c r="B663" s="24" t="str">
        <f>IF(ROW()-ROW($B$8)&gt;nComp,"",ROW()-ROW($B$8))</f>
        <v/>
      </c>
      <c r="C663" t="str">
        <f>IF($N663="","",INDEX('_calc'!$A$2:$A$3001,$N663))</f>
        <v/>
      </c>
      <c r="D663" s="25" t="str">
        <f>IF($N663="","",INDEX('_calc'!$C$2:$C$3001,$N663))</f>
        <v/>
      </c>
      <c r="E663" s="25" t="str">
        <f>IF($N663="","",INDEX('_calc'!$D$2:$D$3001,$N663))</f>
        <v/>
      </c>
      <c r="F663" s="26" t="str">
        <f>IF($N663="","",IF($E$8=0,"",E663/$E$8))</f>
        <v/>
      </c>
      <c r="G663" s="25" t="str">
        <f>IF($N663="","",INDEX('_calc'!$E$2:$E$3001,$N663))</f>
        <v/>
      </c>
      <c r="H663" s="25" t="str">
        <f>IF($N663="","",INDEX('_calc'!$F$2:$F$3001,$N663))</f>
        <v/>
      </c>
      <c r="I663" s="27" t="str">
        <f>IF($N663="","",INDEX('_calc'!$H$2:$H$3001,$N663))</f>
        <v/>
      </c>
      <c r="J663" s="27" t="str">
        <f>IF($N663="","",INDEX('_calc'!$I$2:$I$3001,$N663))</f>
        <v/>
      </c>
      <c r="K663" s="28" t="str">
        <f>IF($N663="","",IF(OR(I663="",J663=""),"",J663-I663))</f>
        <v/>
      </c>
      <c r="L663" s="29" t="str">
        <f>IF($N663="","",INDEX('_calc'!$J$2:$J$3001,$N663))</f>
        <v/>
      </c>
      <c r="M663" s="2" t="str">
        <f>IF($N663="","",IF(AND(G663=0,H663=0),"수량 없음",IF(G663=0,"신규 (전년 수량 없음)",IF(H663=0,"당해 수량 없음",""))))</f>
        <v/>
      </c>
      <c r="N663" t="str">
        <f>IF($B663="","",MATCH($B663,'_calc'!$L$2:$L$3001,0))</f>
        <v/>
      </c>
    </row>
    <row r="664">
      <c r="B664" s="24" t="str">
        <f>IF(ROW()-ROW($B$8)&gt;nComp,"",ROW()-ROW($B$8))</f>
        <v/>
      </c>
      <c r="C664" t="str">
        <f>IF($N664="","",INDEX('_calc'!$A$2:$A$3001,$N664))</f>
        <v/>
      </c>
      <c r="D664" s="25" t="str">
        <f>IF($N664="","",INDEX('_calc'!$C$2:$C$3001,$N664))</f>
        <v/>
      </c>
      <c r="E664" s="25" t="str">
        <f>IF($N664="","",INDEX('_calc'!$D$2:$D$3001,$N664))</f>
        <v/>
      </c>
      <c r="F664" s="26" t="str">
        <f>IF($N664="","",IF($E$8=0,"",E664/$E$8))</f>
        <v/>
      </c>
      <c r="G664" s="25" t="str">
        <f>IF($N664="","",INDEX('_calc'!$E$2:$E$3001,$N664))</f>
        <v/>
      </c>
      <c r="H664" s="25" t="str">
        <f>IF($N664="","",INDEX('_calc'!$F$2:$F$3001,$N664))</f>
        <v/>
      </c>
      <c r="I664" s="27" t="str">
        <f>IF($N664="","",INDEX('_calc'!$H$2:$H$3001,$N664))</f>
        <v/>
      </c>
      <c r="J664" s="27" t="str">
        <f>IF($N664="","",INDEX('_calc'!$I$2:$I$3001,$N664))</f>
        <v/>
      </c>
      <c r="K664" s="28" t="str">
        <f>IF($N664="","",IF(OR(I664="",J664=""),"",J664-I664))</f>
        <v/>
      </c>
      <c r="L664" s="29" t="str">
        <f>IF($N664="","",INDEX('_calc'!$J$2:$J$3001,$N664))</f>
        <v/>
      </c>
      <c r="M664" s="2" t="str">
        <f>IF($N664="","",IF(AND(G664=0,H664=0),"수량 없음",IF(G664=0,"신규 (전년 수량 없음)",IF(H664=0,"당해 수량 없음",""))))</f>
        <v/>
      </c>
      <c r="N664" t="str">
        <f>IF($B664="","",MATCH($B664,'_calc'!$L$2:$L$3001,0))</f>
        <v/>
      </c>
    </row>
    <row r="665">
      <c r="B665" s="24" t="str">
        <f>IF(ROW()-ROW($B$8)&gt;nComp,"",ROW()-ROW($B$8))</f>
        <v/>
      </c>
      <c r="C665" t="str">
        <f>IF($N665="","",INDEX('_calc'!$A$2:$A$3001,$N665))</f>
        <v/>
      </c>
      <c r="D665" s="25" t="str">
        <f>IF($N665="","",INDEX('_calc'!$C$2:$C$3001,$N665))</f>
        <v/>
      </c>
      <c r="E665" s="25" t="str">
        <f>IF($N665="","",INDEX('_calc'!$D$2:$D$3001,$N665))</f>
        <v/>
      </c>
      <c r="F665" s="26" t="str">
        <f>IF($N665="","",IF($E$8=0,"",E665/$E$8))</f>
        <v/>
      </c>
      <c r="G665" s="25" t="str">
        <f>IF($N665="","",INDEX('_calc'!$E$2:$E$3001,$N665))</f>
        <v/>
      </c>
      <c r="H665" s="25" t="str">
        <f>IF($N665="","",INDEX('_calc'!$F$2:$F$3001,$N665))</f>
        <v/>
      </c>
      <c r="I665" s="27" t="str">
        <f>IF($N665="","",INDEX('_calc'!$H$2:$H$3001,$N665))</f>
        <v/>
      </c>
      <c r="J665" s="27" t="str">
        <f>IF($N665="","",INDEX('_calc'!$I$2:$I$3001,$N665))</f>
        <v/>
      </c>
      <c r="K665" s="28" t="str">
        <f>IF($N665="","",IF(OR(I665="",J665=""),"",J665-I665))</f>
        <v/>
      </c>
      <c r="L665" s="29" t="str">
        <f>IF($N665="","",INDEX('_calc'!$J$2:$J$3001,$N665))</f>
        <v/>
      </c>
      <c r="M665" s="2" t="str">
        <f>IF($N665="","",IF(AND(G665=0,H665=0),"수량 없음",IF(G665=0,"신규 (전년 수량 없음)",IF(H665=0,"당해 수량 없음",""))))</f>
        <v/>
      </c>
      <c r="N665" t="str">
        <f>IF($B665="","",MATCH($B665,'_calc'!$L$2:$L$3001,0))</f>
        <v/>
      </c>
    </row>
    <row r="666">
      <c r="B666" s="24" t="str">
        <f>IF(ROW()-ROW($B$8)&gt;nComp,"",ROW()-ROW($B$8))</f>
        <v/>
      </c>
      <c r="C666" t="str">
        <f>IF($N666="","",INDEX('_calc'!$A$2:$A$3001,$N666))</f>
        <v/>
      </c>
      <c r="D666" s="25" t="str">
        <f>IF($N666="","",INDEX('_calc'!$C$2:$C$3001,$N666))</f>
        <v/>
      </c>
      <c r="E666" s="25" t="str">
        <f>IF($N666="","",INDEX('_calc'!$D$2:$D$3001,$N666))</f>
        <v/>
      </c>
      <c r="F666" s="26" t="str">
        <f>IF($N666="","",IF($E$8=0,"",E666/$E$8))</f>
        <v/>
      </c>
      <c r="G666" s="25" t="str">
        <f>IF($N666="","",INDEX('_calc'!$E$2:$E$3001,$N666))</f>
        <v/>
      </c>
      <c r="H666" s="25" t="str">
        <f>IF($N666="","",INDEX('_calc'!$F$2:$F$3001,$N666))</f>
        <v/>
      </c>
      <c r="I666" s="27" t="str">
        <f>IF($N666="","",INDEX('_calc'!$H$2:$H$3001,$N666))</f>
        <v/>
      </c>
      <c r="J666" s="27" t="str">
        <f>IF($N666="","",INDEX('_calc'!$I$2:$I$3001,$N666))</f>
        <v/>
      </c>
      <c r="K666" s="28" t="str">
        <f>IF($N666="","",IF(OR(I666="",J666=""),"",J666-I666))</f>
        <v/>
      </c>
      <c r="L666" s="29" t="str">
        <f>IF($N666="","",INDEX('_calc'!$J$2:$J$3001,$N666))</f>
        <v/>
      </c>
      <c r="M666" s="2" t="str">
        <f>IF($N666="","",IF(AND(G666=0,H666=0),"수량 없음",IF(G666=0,"신규 (전년 수량 없음)",IF(H666=0,"당해 수량 없음",""))))</f>
        <v/>
      </c>
      <c r="N666" t="str">
        <f>IF($B666="","",MATCH($B666,'_calc'!$L$2:$L$3001,0))</f>
        <v/>
      </c>
    </row>
    <row r="667">
      <c r="B667" s="24" t="str">
        <f>IF(ROW()-ROW($B$8)&gt;nComp,"",ROW()-ROW($B$8))</f>
        <v/>
      </c>
      <c r="C667" t="str">
        <f>IF($N667="","",INDEX('_calc'!$A$2:$A$3001,$N667))</f>
        <v/>
      </c>
      <c r="D667" s="25" t="str">
        <f>IF($N667="","",INDEX('_calc'!$C$2:$C$3001,$N667))</f>
        <v/>
      </c>
      <c r="E667" s="25" t="str">
        <f>IF($N667="","",INDEX('_calc'!$D$2:$D$3001,$N667))</f>
        <v/>
      </c>
      <c r="F667" s="26" t="str">
        <f>IF($N667="","",IF($E$8=0,"",E667/$E$8))</f>
        <v/>
      </c>
      <c r="G667" s="25" t="str">
        <f>IF($N667="","",INDEX('_calc'!$E$2:$E$3001,$N667))</f>
        <v/>
      </c>
      <c r="H667" s="25" t="str">
        <f>IF($N667="","",INDEX('_calc'!$F$2:$F$3001,$N667))</f>
        <v/>
      </c>
      <c r="I667" s="27" t="str">
        <f>IF($N667="","",INDEX('_calc'!$H$2:$H$3001,$N667))</f>
        <v/>
      </c>
      <c r="J667" s="27" t="str">
        <f>IF($N667="","",INDEX('_calc'!$I$2:$I$3001,$N667))</f>
        <v/>
      </c>
      <c r="K667" s="28" t="str">
        <f>IF($N667="","",IF(OR(I667="",J667=""),"",J667-I667))</f>
        <v/>
      </c>
      <c r="L667" s="29" t="str">
        <f>IF($N667="","",INDEX('_calc'!$J$2:$J$3001,$N667))</f>
        <v/>
      </c>
      <c r="M667" s="2" t="str">
        <f>IF($N667="","",IF(AND(G667=0,H667=0),"수량 없음",IF(G667=0,"신규 (전년 수량 없음)",IF(H667=0,"당해 수량 없음",""))))</f>
        <v/>
      </c>
      <c r="N667" t="str">
        <f>IF($B667="","",MATCH($B667,'_calc'!$L$2:$L$3001,0))</f>
        <v/>
      </c>
    </row>
    <row r="668">
      <c r="B668" s="24" t="str">
        <f>IF(ROW()-ROW($B$8)&gt;nComp,"",ROW()-ROW($B$8))</f>
        <v/>
      </c>
      <c r="C668" t="str">
        <f>IF($N668="","",INDEX('_calc'!$A$2:$A$3001,$N668))</f>
        <v/>
      </c>
      <c r="D668" s="25" t="str">
        <f>IF($N668="","",INDEX('_calc'!$C$2:$C$3001,$N668))</f>
        <v/>
      </c>
      <c r="E668" s="25" t="str">
        <f>IF($N668="","",INDEX('_calc'!$D$2:$D$3001,$N668))</f>
        <v/>
      </c>
      <c r="F668" s="26" t="str">
        <f>IF($N668="","",IF($E$8=0,"",E668/$E$8))</f>
        <v/>
      </c>
      <c r="G668" s="25" t="str">
        <f>IF($N668="","",INDEX('_calc'!$E$2:$E$3001,$N668))</f>
        <v/>
      </c>
      <c r="H668" s="25" t="str">
        <f>IF($N668="","",INDEX('_calc'!$F$2:$F$3001,$N668))</f>
        <v/>
      </c>
      <c r="I668" s="27" t="str">
        <f>IF($N668="","",INDEX('_calc'!$H$2:$H$3001,$N668))</f>
        <v/>
      </c>
      <c r="J668" s="27" t="str">
        <f>IF($N668="","",INDEX('_calc'!$I$2:$I$3001,$N668))</f>
        <v/>
      </c>
      <c r="K668" s="28" t="str">
        <f>IF($N668="","",IF(OR(I668="",J668=""),"",J668-I668))</f>
        <v/>
      </c>
      <c r="L668" s="29" t="str">
        <f>IF($N668="","",INDEX('_calc'!$J$2:$J$3001,$N668))</f>
        <v/>
      </c>
      <c r="M668" s="2" t="str">
        <f>IF($N668="","",IF(AND(G668=0,H668=0),"수량 없음",IF(G668=0,"신규 (전년 수량 없음)",IF(H668=0,"당해 수량 없음",""))))</f>
        <v/>
      </c>
      <c r="N668" t="str">
        <f>IF($B668="","",MATCH($B668,'_calc'!$L$2:$L$3001,0))</f>
        <v/>
      </c>
    </row>
    <row r="669">
      <c r="B669" s="24" t="str">
        <f>IF(ROW()-ROW($B$8)&gt;nComp,"",ROW()-ROW($B$8))</f>
        <v/>
      </c>
      <c r="C669" t="str">
        <f>IF($N669="","",INDEX('_calc'!$A$2:$A$3001,$N669))</f>
        <v/>
      </c>
      <c r="D669" s="25" t="str">
        <f>IF($N669="","",INDEX('_calc'!$C$2:$C$3001,$N669))</f>
        <v/>
      </c>
      <c r="E669" s="25" t="str">
        <f>IF($N669="","",INDEX('_calc'!$D$2:$D$3001,$N669))</f>
        <v/>
      </c>
      <c r="F669" s="26" t="str">
        <f>IF($N669="","",IF($E$8=0,"",E669/$E$8))</f>
        <v/>
      </c>
      <c r="G669" s="25" t="str">
        <f>IF($N669="","",INDEX('_calc'!$E$2:$E$3001,$N669))</f>
        <v/>
      </c>
      <c r="H669" s="25" t="str">
        <f>IF($N669="","",INDEX('_calc'!$F$2:$F$3001,$N669))</f>
        <v/>
      </c>
      <c r="I669" s="27" t="str">
        <f>IF($N669="","",INDEX('_calc'!$H$2:$H$3001,$N669))</f>
        <v/>
      </c>
      <c r="J669" s="27" t="str">
        <f>IF($N669="","",INDEX('_calc'!$I$2:$I$3001,$N669))</f>
        <v/>
      </c>
      <c r="K669" s="28" t="str">
        <f>IF($N669="","",IF(OR(I669="",J669=""),"",J669-I669))</f>
        <v/>
      </c>
      <c r="L669" s="29" t="str">
        <f>IF($N669="","",INDEX('_calc'!$J$2:$J$3001,$N669))</f>
        <v/>
      </c>
      <c r="M669" s="2" t="str">
        <f>IF($N669="","",IF(AND(G669=0,H669=0),"수량 없음",IF(G669=0,"신규 (전년 수량 없음)",IF(H669=0,"당해 수량 없음",""))))</f>
        <v/>
      </c>
      <c r="N669" t="str">
        <f>IF($B669="","",MATCH($B669,'_calc'!$L$2:$L$3001,0))</f>
        <v/>
      </c>
    </row>
    <row r="670">
      <c r="B670" s="24" t="str">
        <f>IF(ROW()-ROW($B$8)&gt;nComp,"",ROW()-ROW($B$8))</f>
        <v/>
      </c>
      <c r="C670" t="str">
        <f>IF($N670="","",INDEX('_calc'!$A$2:$A$3001,$N670))</f>
        <v/>
      </c>
      <c r="D670" s="25" t="str">
        <f>IF($N670="","",INDEX('_calc'!$C$2:$C$3001,$N670))</f>
        <v/>
      </c>
      <c r="E670" s="25" t="str">
        <f>IF($N670="","",INDEX('_calc'!$D$2:$D$3001,$N670))</f>
        <v/>
      </c>
      <c r="F670" s="26" t="str">
        <f>IF($N670="","",IF($E$8=0,"",E670/$E$8))</f>
        <v/>
      </c>
      <c r="G670" s="25" t="str">
        <f>IF($N670="","",INDEX('_calc'!$E$2:$E$3001,$N670))</f>
        <v/>
      </c>
      <c r="H670" s="25" t="str">
        <f>IF($N670="","",INDEX('_calc'!$F$2:$F$3001,$N670))</f>
        <v/>
      </c>
      <c r="I670" s="27" t="str">
        <f>IF($N670="","",INDEX('_calc'!$H$2:$H$3001,$N670))</f>
        <v/>
      </c>
      <c r="J670" s="27" t="str">
        <f>IF($N670="","",INDEX('_calc'!$I$2:$I$3001,$N670))</f>
        <v/>
      </c>
      <c r="K670" s="28" t="str">
        <f>IF($N670="","",IF(OR(I670="",J670=""),"",J670-I670))</f>
        <v/>
      </c>
      <c r="L670" s="29" t="str">
        <f>IF($N670="","",INDEX('_calc'!$J$2:$J$3001,$N670))</f>
        <v/>
      </c>
      <c r="M670" s="2" t="str">
        <f>IF($N670="","",IF(AND(G670=0,H670=0),"수량 없음",IF(G670=0,"신규 (전년 수량 없음)",IF(H670=0,"당해 수량 없음",""))))</f>
        <v/>
      </c>
      <c r="N670" t="str">
        <f>IF($B670="","",MATCH($B670,'_calc'!$L$2:$L$3001,0))</f>
        <v/>
      </c>
    </row>
    <row r="671">
      <c r="B671" s="24" t="str">
        <f>IF(ROW()-ROW($B$8)&gt;nComp,"",ROW()-ROW($B$8))</f>
        <v/>
      </c>
      <c r="C671" t="str">
        <f>IF($N671="","",INDEX('_calc'!$A$2:$A$3001,$N671))</f>
        <v/>
      </c>
      <c r="D671" s="25" t="str">
        <f>IF($N671="","",INDEX('_calc'!$C$2:$C$3001,$N671))</f>
        <v/>
      </c>
      <c r="E671" s="25" t="str">
        <f>IF($N671="","",INDEX('_calc'!$D$2:$D$3001,$N671))</f>
        <v/>
      </c>
      <c r="F671" s="26" t="str">
        <f>IF($N671="","",IF($E$8=0,"",E671/$E$8))</f>
        <v/>
      </c>
      <c r="G671" s="25" t="str">
        <f>IF($N671="","",INDEX('_calc'!$E$2:$E$3001,$N671))</f>
        <v/>
      </c>
      <c r="H671" s="25" t="str">
        <f>IF($N671="","",INDEX('_calc'!$F$2:$F$3001,$N671))</f>
        <v/>
      </c>
      <c r="I671" s="27" t="str">
        <f>IF($N671="","",INDEX('_calc'!$H$2:$H$3001,$N671))</f>
        <v/>
      </c>
      <c r="J671" s="27" t="str">
        <f>IF($N671="","",INDEX('_calc'!$I$2:$I$3001,$N671))</f>
        <v/>
      </c>
      <c r="K671" s="28" t="str">
        <f>IF($N671="","",IF(OR(I671="",J671=""),"",J671-I671))</f>
        <v/>
      </c>
      <c r="L671" s="29" t="str">
        <f>IF($N671="","",INDEX('_calc'!$J$2:$J$3001,$N671))</f>
        <v/>
      </c>
      <c r="M671" s="2" t="str">
        <f>IF($N671="","",IF(AND(G671=0,H671=0),"수량 없음",IF(G671=0,"신규 (전년 수량 없음)",IF(H671=0,"당해 수량 없음",""))))</f>
        <v/>
      </c>
      <c r="N671" t="str">
        <f>IF($B671="","",MATCH($B671,'_calc'!$L$2:$L$3001,0))</f>
        <v/>
      </c>
    </row>
    <row r="672">
      <c r="B672" s="24" t="str">
        <f>IF(ROW()-ROW($B$8)&gt;nComp,"",ROW()-ROW($B$8))</f>
        <v/>
      </c>
      <c r="C672" t="str">
        <f>IF($N672="","",INDEX('_calc'!$A$2:$A$3001,$N672))</f>
        <v/>
      </c>
      <c r="D672" s="25" t="str">
        <f>IF($N672="","",INDEX('_calc'!$C$2:$C$3001,$N672))</f>
        <v/>
      </c>
      <c r="E672" s="25" t="str">
        <f>IF($N672="","",INDEX('_calc'!$D$2:$D$3001,$N672))</f>
        <v/>
      </c>
      <c r="F672" s="26" t="str">
        <f>IF($N672="","",IF($E$8=0,"",E672/$E$8))</f>
        <v/>
      </c>
      <c r="G672" s="25" t="str">
        <f>IF($N672="","",INDEX('_calc'!$E$2:$E$3001,$N672))</f>
        <v/>
      </c>
      <c r="H672" s="25" t="str">
        <f>IF($N672="","",INDEX('_calc'!$F$2:$F$3001,$N672))</f>
        <v/>
      </c>
      <c r="I672" s="27" t="str">
        <f>IF($N672="","",INDEX('_calc'!$H$2:$H$3001,$N672))</f>
        <v/>
      </c>
      <c r="J672" s="27" t="str">
        <f>IF($N672="","",INDEX('_calc'!$I$2:$I$3001,$N672))</f>
        <v/>
      </c>
      <c r="K672" s="28" t="str">
        <f>IF($N672="","",IF(OR(I672="",J672=""),"",J672-I672))</f>
        <v/>
      </c>
      <c r="L672" s="29" t="str">
        <f>IF($N672="","",INDEX('_calc'!$J$2:$J$3001,$N672))</f>
        <v/>
      </c>
      <c r="M672" s="2" t="str">
        <f>IF($N672="","",IF(AND(G672=0,H672=0),"수량 없음",IF(G672=0,"신규 (전년 수량 없음)",IF(H672=0,"당해 수량 없음",""))))</f>
        <v/>
      </c>
      <c r="N672" t="str">
        <f>IF($B672="","",MATCH($B672,'_calc'!$L$2:$L$3001,0))</f>
        <v/>
      </c>
    </row>
    <row r="673">
      <c r="B673" s="24" t="str">
        <f>IF(ROW()-ROW($B$8)&gt;nComp,"",ROW()-ROW($B$8))</f>
        <v/>
      </c>
      <c r="C673" t="str">
        <f>IF($N673="","",INDEX('_calc'!$A$2:$A$3001,$N673))</f>
        <v/>
      </c>
      <c r="D673" s="25" t="str">
        <f>IF($N673="","",INDEX('_calc'!$C$2:$C$3001,$N673))</f>
        <v/>
      </c>
      <c r="E673" s="25" t="str">
        <f>IF($N673="","",INDEX('_calc'!$D$2:$D$3001,$N673))</f>
        <v/>
      </c>
      <c r="F673" s="26" t="str">
        <f>IF($N673="","",IF($E$8=0,"",E673/$E$8))</f>
        <v/>
      </c>
      <c r="G673" s="25" t="str">
        <f>IF($N673="","",INDEX('_calc'!$E$2:$E$3001,$N673))</f>
        <v/>
      </c>
      <c r="H673" s="25" t="str">
        <f>IF($N673="","",INDEX('_calc'!$F$2:$F$3001,$N673))</f>
        <v/>
      </c>
      <c r="I673" s="27" t="str">
        <f>IF($N673="","",INDEX('_calc'!$H$2:$H$3001,$N673))</f>
        <v/>
      </c>
      <c r="J673" s="27" t="str">
        <f>IF($N673="","",INDEX('_calc'!$I$2:$I$3001,$N673))</f>
        <v/>
      </c>
      <c r="K673" s="28" t="str">
        <f>IF($N673="","",IF(OR(I673="",J673=""),"",J673-I673))</f>
        <v/>
      </c>
      <c r="L673" s="29" t="str">
        <f>IF($N673="","",INDEX('_calc'!$J$2:$J$3001,$N673))</f>
        <v/>
      </c>
      <c r="M673" s="2" t="str">
        <f>IF($N673="","",IF(AND(G673=0,H673=0),"수량 없음",IF(G673=0,"신규 (전년 수량 없음)",IF(H673=0,"당해 수량 없음",""))))</f>
        <v/>
      </c>
      <c r="N673" t="str">
        <f>IF($B673="","",MATCH($B673,'_calc'!$L$2:$L$3001,0))</f>
        <v/>
      </c>
    </row>
    <row r="674">
      <c r="B674" s="24" t="str">
        <f>IF(ROW()-ROW($B$8)&gt;nComp,"",ROW()-ROW($B$8))</f>
        <v/>
      </c>
      <c r="C674" t="str">
        <f>IF($N674="","",INDEX('_calc'!$A$2:$A$3001,$N674))</f>
        <v/>
      </c>
      <c r="D674" s="25" t="str">
        <f>IF($N674="","",INDEX('_calc'!$C$2:$C$3001,$N674))</f>
        <v/>
      </c>
      <c r="E674" s="25" t="str">
        <f>IF($N674="","",INDEX('_calc'!$D$2:$D$3001,$N674))</f>
        <v/>
      </c>
      <c r="F674" s="26" t="str">
        <f>IF($N674="","",IF($E$8=0,"",E674/$E$8))</f>
        <v/>
      </c>
      <c r="G674" s="25" t="str">
        <f>IF($N674="","",INDEX('_calc'!$E$2:$E$3001,$N674))</f>
        <v/>
      </c>
      <c r="H674" s="25" t="str">
        <f>IF($N674="","",INDEX('_calc'!$F$2:$F$3001,$N674))</f>
        <v/>
      </c>
      <c r="I674" s="27" t="str">
        <f>IF($N674="","",INDEX('_calc'!$H$2:$H$3001,$N674))</f>
        <v/>
      </c>
      <c r="J674" s="27" t="str">
        <f>IF($N674="","",INDEX('_calc'!$I$2:$I$3001,$N674))</f>
        <v/>
      </c>
      <c r="K674" s="28" t="str">
        <f>IF($N674="","",IF(OR(I674="",J674=""),"",J674-I674))</f>
        <v/>
      </c>
      <c r="L674" s="29" t="str">
        <f>IF($N674="","",INDEX('_calc'!$J$2:$J$3001,$N674))</f>
        <v/>
      </c>
      <c r="M674" s="2" t="str">
        <f>IF($N674="","",IF(AND(G674=0,H674=0),"수량 없음",IF(G674=0,"신규 (전년 수량 없음)",IF(H674=0,"당해 수량 없음",""))))</f>
        <v/>
      </c>
      <c r="N674" t="str">
        <f>IF($B674="","",MATCH($B674,'_calc'!$L$2:$L$3001,0))</f>
        <v/>
      </c>
    </row>
    <row r="675">
      <c r="B675" s="24" t="str">
        <f>IF(ROW()-ROW($B$8)&gt;nComp,"",ROW()-ROW($B$8))</f>
        <v/>
      </c>
      <c r="C675" t="str">
        <f>IF($N675="","",INDEX('_calc'!$A$2:$A$3001,$N675))</f>
        <v/>
      </c>
      <c r="D675" s="25" t="str">
        <f>IF($N675="","",INDEX('_calc'!$C$2:$C$3001,$N675))</f>
        <v/>
      </c>
      <c r="E675" s="25" t="str">
        <f>IF($N675="","",INDEX('_calc'!$D$2:$D$3001,$N675))</f>
        <v/>
      </c>
      <c r="F675" s="26" t="str">
        <f>IF($N675="","",IF($E$8=0,"",E675/$E$8))</f>
        <v/>
      </c>
      <c r="G675" s="25" t="str">
        <f>IF($N675="","",INDEX('_calc'!$E$2:$E$3001,$N675))</f>
        <v/>
      </c>
      <c r="H675" s="25" t="str">
        <f>IF($N675="","",INDEX('_calc'!$F$2:$F$3001,$N675))</f>
        <v/>
      </c>
      <c r="I675" s="27" t="str">
        <f>IF($N675="","",INDEX('_calc'!$H$2:$H$3001,$N675))</f>
        <v/>
      </c>
      <c r="J675" s="27" t="str">
        <f>IF($N675="","",INDEX('_calc'!$I$2:$I$3001,$N675))</f>
        <v/>
      </c>
      <c r="K675" s="28" t="str">
        <f>IF($N675="","",IF(OR(I675="",J675=""),"",J675-I675))</f>
        <v/>
      </c>
      <c r="L675" s="29" t="str">
        <f>IF($N675="","",INDEX('_calc'!$J$2:$J$3001,$N675))</f>
        <v/>
      </c>
      <c r="M675" s="2" t="str">
        <f>IF($N675="","",IF(AND(G675=0,H675=0),"수량 없음",IF(G675=0,"신규 (전년 수량 없음)",IF(H675=0,"당해 수량 없음",""))))</f>
        <v/>
      </c>
      <c r="N675" t="str">
        <f>IF($B675="","",MATCH($B675,'_calc'!$L$2:$L$3001,0))</f>
        <v/>
      </c>
    </row>
    <row r="676">
      <c r="B676" s="24" t="str">
        <f>IF(ROW()-ROW($B$8)&gt;nComp,"",ROW()-ROW($B$8))</f>
        <v/>
      </c>
      <c r="C676" t="str">
        <f>IF($N676="","",INDEX('_calc'!$A$2:$A$3001,$N676))</f>
        <v/>
      </c>
      <c r="D676" s="25" t="str">
        <f>IF($N676="","",INDEX('_calc'!$C$2:$C$3001,$N676))</f>
        <v/>
      </c>
      <c r="E676" s="25" t="str">
        <f>IF($N676="","",INDEX('_calc'!$D$2:$D$3001,$N676))</f>
        <v/>
      </c>
      <c r="F676" s="26" t="str">
        <f>IF($N676="","",IF($E$8=0,"",E676/$E$8))</f>
        <v/>
      </c>
      <c r="G676" s="25" t="str">
        <f>IF($N676="","",INDEX('_calc'!$E$2:$E$3001,$N676))</f>
        <v/>
      </c>
      <c r="H676" s="25" t="str">
        <f>IF($N676="","",INDEX('_calc'!$F$2:$F$3001,$N676))</f>
        <v/>
      </c>
      <c r="I676" s="27" t="str">
        <f>IF($N676="","",INDEX('_calc'!$H$2:$H$3001,$N676))</f>
        <v/>
      </c>
      <c r="J676" s="27" t="str">
        <f>IF($N676="","",INDEX('_calc'!$I$2:$I$3001,$N676))</f>
        <v/>
      </c>
      <c r="K676" s="28" t="str">
        <f>IF($N676="","",IF(OR(I676="",J676=""),"",J676-I676))</f>
        <v/>
      </c>
      <c r="L676" s="29" t="str">
        <f>IF($N676="","",INDEX('_calc'!$J$2:$J$3001,$N676))</f>
        <v/>
      </c>
      <c r="M676" s="2" t="str">
        <f>IF($N676="","",IF(AND(G676=0,H676=0),"수량 없음",IF(G676=0,"신규 (전년 수량 없음)",IF(H676=0,"당해 수량 없음",""))))</f>
        <v/>
      </c>
      <c r="N676" t="str">
        <f>IF($B676="","",MATCH($B676,'_calc'!$L$2:$L$3001,0))</f>
        <v/>
      </c>
    </row>
    <row r="677">
      <c r="B677" s="24" t="str">
        <f>IF(ROW()-ROW($B$8)&gt;nComp,"",ROW()-ROW($B$8))</f>
        <v/>
      </c>
      <c r="C677" t="str">
        <f>IF($N677="","",INDEX('_calc'!$A$2:$A$3001,$N677))</f>
        <v/>
      </c>
      <c r="D677" s="25" t="str">
        <f>IF($N677="","",INDEX('_calc'!$C$2:$C$3001,$N677))</f>
        <v/>
      </c>
      <c r="E677" s="25" t="str">
        <f>IF($N677="","",INDEX('_calc'!$D$2:$D$3001,$N677))</f>
        <v/>
      </c>
      <c r="F677" s="26" t="str">
        <f>IF($N677="","",IF($E$8=0,"",E677/$E$8))</f>
        <v/>
      </c>
      <c r="G677" s="25" t="str">
        <f>IF($N677="","",INDEX('_calc'!$E$2:$E$3001,$N677))</f>
        <v/>
      </c>
      <c r="H677" s="25" t="str">
        <f>IF($N677="","",INDEX('_calc'!$F$2:$F$3001,$N677))</f>
        <v/>
      </c>
      <c r="I677" s="27" t="str">
        <f>IF($N677="","",INDEX('_calc'!$H$2:$H$3001,$N677))</f>
        <v/>
      </c>
      <c r="J677" s="27" t="str">
        <f>IF($N677="","",INDEX('_calc'!$I$2:$I$3001,$N677))</f>
        <v/>
      </c>
      <c r="K677" s="28" t="str">
        <f>IF($N677="","",IF(OR(I677="",J677=""),"",J677-I677))</f>
        <v/>
      </c>
      <c r="L677" s="29" t="str">
        <f>IF($N677="","",INDEX('_calc'!$J$2:$J$3001,$N677))</f>
        <v/>
      </c>
      <c r="M677" s="2" t="str">
        <f>IF($N677="","",IF(AND(G677=0,H677=0),"수량 없음",IF(G677=0,"신규 (전년 수량 없음)",IF(H677=0,"당해 수량 없음",""))))</f>
        <v/>
      </c>
      <c r="N677" t="str">
        <f>IF($B677="","",MATCH($B677,'_calc'!$L$2:$L$3001,0))</f>
        <v/>
      </c>
    </row>
    <row r="678">
      <c r="B678" s="24" t="str">
        <f>IF(ROW()-ROW($B$8)&gt;nComp,"",ROW()-ROW($B$8))</f>
        <v/>
      </c>
      <c r="C678" t="str">
        <f>IF($N678="","",INDEX('_calc'!$A$2:$A$3001,$N678))</f>
        <v/>
      </c>
      <c r="D678" s="25" t="str">
        <f>IF($N678="","",INDEX('_calc'!$C$2:$C$3001,$N678))</f>
        <v/>
      </c>
      <c r="E678" s="25" t="str">
        <f>IF($N678="","",INDEX('_calc'!$D$2:$D$3001,$N678))</f>
        <v/>
      </c>
      <c r="F678" s="26" t="str">
        <f>IF($N678="","",IF($E$8=0,"",E678/$E$8))</f>
        <v/>
      </c>
      <c r="G678" s="25" t="str">
        <f>IF($N678="","",INDEX('_calc'!$E$2:$E$3001,$N678))</f>
        <v/>
      </c>
      <c r="H678" s="25" t="str">
        <f>IF($N678="","",INDEX('_calc'!$F$2:$F$3001,$N678))</f>
        <v/>
      </c>
      <c r="I678" s="27" t="str">
        <f>IF($N678="","",INDEX('_calc'!$H$2:$H$3001,$N678))</f>
        <v/>
      </c>
      <c r="J678" s="27" t="str">
        <f>IF($N678="","",INDEX('_calc'!$I$2:$I$3001,$N678))</f>
        <v/>
      </c>
      <c r="K678" s="28" t="str">
        <f>IF($N678="","",IF(OR(I678="",J678=""),"",J678-I678))</f>
        <v/>
      </c>
      <c r="L678" s="29" t="str">
        <f>IF($N678="","",INDEX('_calc'!$J$2:$J$3001,$N678))</f>
        <v/>
      </c>
      <c r="M678" s="2" t="str">
        <f>IF($N678="","",IF(AND(G678=0,H678=0),"수량 없음",IF(G678=0,"신규 (전년 수량 없음)",IF(H678=0,"당해 수량 없음",""))))</f>
        <v/>
      </c>
      <c r="N678" t="str">
        <f>IF($B678="","",MATCH($B678,'_calc'!$L$2:$L$3001,0))</f>
        <v/>
      </c>
    </row>
    <row r="679">
      <c r="B679" s="24" t="str">
        <f>IF(ROW()-ROW($B$8)&gt;nComp,"",ROW()-ROW($B$8))</f>
        <v/>
      </c>
      <c r="C679" t="str">
        <f>IF($N679="","",INDEX('_calc'!$A$2:$A$3001,$N679))</f>
        <v/>
      </c>
      <c r="D679" s="25" t="str">
        <f>IF($N679="","",INDEX('_calc'!$C$2:$C$3001,$N679))</f>
        <v/>
      </c>
      <c r="E679" s="25" t="str">
        <f>IF($N679="","",INDEX('_calc'!$D$2:$D$3001,$N679))</f>
        <v/>
      </c>
      <c r="F679" s="26" t="str">
        <f>IF($N679="","",IF($E$8=0,"",E679/$E$8))</f>
        <v/>
      </c>
      <c r="G679" s="25" t="str">
        <f>IF($N679="","",INDEX('_calc'!$E$2:$E$3001,$N679))</f>
        <v/>
      </c>
      <c r="H679" s="25" t="str">
        <f>IF($N679="","",INDEX('_calc'!$F$2:$F$3001,$N679))</f>
        <v/>
      </c>
      <c r="I679" s="27" t="str">
        <f>IF($N679="","",INDEX('_calc'!$H$2:$H$3001,$N679))</f>
        <v/>
      </c>
      <c r="J679" s="27" t="str">
        <f>IF($N679="","",INDEX('_calc'!$I$2:$I$3001,$N679))</f>
        <v/>
      </c>
      <c r="K679" s="28" t="str">
        <f>IF($N679="","",IF(OR(I679="",J679=""),"",J679-I679))</f>
        <v/>
      </c>
      <c r="L679" s="29" t="str">
        <f>IF($N679="","",INDEX('_calc'!$J$2:$J$3001,$N679))</f>
        <v/>
      </c>
      <c r="M679" s="2" t="str">
        <f>IF($N679="","",IF(AND(G679=0,H679=0),"수량 없음",IF(G679=0,"신규 (전년 수량 없음)",IF(H679=0,"당해 수량 없음",""))))</f>
        <v/>
      </c>
      <c r="N679" t="str">
        <f>IF($B679="","",MATCH($B679,'_calc'!$L$2:$L$3001,0))</f>
        <v/>
      </c>
    </row>
    <row r="680">
      <c r="B680" s="24" t="str">
        <f>IF(ROW()-ROW($B$8)&gt;nComp,"",ROW()-ROW($B$8))</f>
        <v/>
      </c>
      <c r="C680" t="str">
        <f>IF($N680="","",INDEX('_calc'!$A$2:$A$3001,$N680))</f>
        <v/>
      </c>
      <c r="D680" s="25" t="str">
        <f>IF($N680="","",INDEX('_calc'!$C$2:$C$3001,$N680))</f>
        <v/>
      </c>
      <c r="E680" s="25" t="str">
        <f>IF($N680="","",INDEX('_calc'!$D$2:$D$3001,$N680))</f>
        <v/>
      </c>
      <c r="F680" s="26" t="str">
        <f>IF($N680="","",IF($E$8=0,"",E680/$E$8))</f>
        <v/>
      </c>
      <c r="G680" s="25" t="str">
        <f>IF($N680="","",INDEX('_calc'!$E$2:$E$3001,$N680))</f>
        <v/>
      </c>
      <c r="H680" s="25" t="str">
        <f>IF($N680="","",INDEX('_calc'!$F$2:$F$3001,$N680))</f>
        <v/>
      </c>
      <c r="I680" s="27" t="str">
        <f>IF($N680="","",INDEX('_calc'!$H$2:$H$3001,$N680))</f>
        <v/>
      </c>
      <c r="J680" s="27" t="str">
        <f>IF($N680="","",INDEX('_calc'!$I$2:$I$3001,$N680))</f>
        <v/>
      </c>
      <c r="K680" s="28" t="str">
        <f>IF($N680="","",IF(OR(I680="",J680=""),"",J680-I680))</f>
        <v/>
      </c>
      <c r="L680" s="29" t="str">
        <f>IF($N680="","",INDEX('_calc'!$J$2:$J$3001,$N680))</f>
        <v/>
      </c>
      <c r="M680" s="2" t="str">
        <f>IF($N680="","",IF(AND(G680=0,H680=0),"수량 없음",IF(G680=0,"신규 (전년 수량 없음)",IF(H680=0,"당해 수량 없음",""))))</f>
        <v/>
      </c>
      <c r="N680" t="str">
        <f>IF($B680="","",MATCH($B680,'_calc'!$L$2:$L$3001,0))</f>
        <v/>
      </c>
    </row>
    <row r="681">
      <c r="B681" s="24" t="str">
        <f>IF(ROW()-ROW($B$8)&gt;nComp,"",ROW()-ROW($B$8))</f>
        <v/>
      </c>
      <c r="C681" t="str">
        <f>IF($N681="","",INDEX('_calc'!$A$2:$A$3001,$N681))</f>
        <v/>
      </c>
      <c r="D681" s="25" t="str">
        <f>IF($N681="","",INDEX('_calc'!$C$2:$C$3001,$N681))</f>
        <v/>
      </c>
      <c r="E681" s="25" t="str">
        <f>IF($N681="","",INDEX('_calc'!$D$2:$D$3001,$N681))</f>
        <v/>
      </c>
      <c r="F681" s="26" t="str">
        <f>IF($N681="","",IF($E$8=0,"",E681/$E$8))</f>
        <v/>
      </c>
      <c r="G681" s="25" t="str">
        <f>IF($N681="","",INDEX('_calc'!$E$2:$E$3001,$N681))</f>
        <v/>
      </c>
      <c r="H681" s="25" t="str">
        <f>IF($N681="","",INDEX('_calc'!$F$2:$F$3001,$N681))</f>
        <v/>
      </c>
      <c r="I681" s="27" t="str">
        <f>IF($N681="","",INDEX('_calc'!$H$2:$H$3001,$N681))</f>
        <v/>
      </c>
      <c r="J681" s="27" t="str">
        <f>IF($N681="","",INDEX('_calc'!$I$2:$I$3001,$N681))</f>
        <v/>
      </c>
      <c r="K681" s="28" t="str">
        <f>IF($N681="","",IF(OR(I681="",J681=""),"",J681-I681))</f>
        <v/>
      </c>
      <c r="L681" s="29" t="str">
        <f>IF($N681="","",INDEX('_calc'!$J$2:$J$3001,$N681))</f>
        <v/>
      </c>
      <c r="M681" s="2" t="str">
        <f>IF($N681="","",IF(AND(G681=0,H681=0),"수량 없음",IF(G681=0,"신규 (전년 수량 없음)",IF(H681=0,"당해 수량 없음",""))))</f>
        <v/>
      </c>
      <c r="N681" t="str">
        <f>IF($B681="","",MATCH($B681,'_calc'!$L$2:$L$3001,0))</f>
        <v/>
      </c>
    </row>
    <row r="682">
      <c r="B682" s="24" t="str">
        <f>IF(ROW()-ROW($B$8)&gt;nComp,"",ROW()-ROW($B$8))</f>
        <v/>
      </c>
      <c r="C682" t="str">
        <f>IF($N682="","",INDEX('_calc'!$A$2:$A$3001,$N682))</f>
        <v/>
      </c>
      <c r="D682" s="25" t="str">
        <f>IF($N682="","",INDEX('_calc'!$C$2:$C$3001,$N682))</f>
        <v/>
      </c>
      <c r="E682" s="25" t="str">
        <f>IF($N682="","",INDEX('_calc'!$D$2:$D$3001,$N682))</f>
        <v/>
      </c>
      <c r="F682" s="26" t="str">
        <f>IF($N682="","",IF($E$8=0,"",E682/$E$8))</f>
        <v/>
      </c>
      <c r="G682" s="25" t="str">
        <f>IF($N682="","",INDEX('_calc'!$E$2:$E$3001,$N682))</f>
        <v/>
      </c>
      <c r="H682" s="25" t="str">
        <f>IF($N682="","",INDEX('_calc'!$F$2:$F$3001,$N682))</f>
        <v/>
      </c>
      <c r="I682" s="27" t="str">
        <f>IF($N682="","",INDEX('_calc'!$H$2:$H$3001,$N682))</f>
        <v/>
      </c>
      <c r="J682" s="27" t="str">
        <f>IF($N682="","",INDEX('_calc'!$I$2:$I$3001,$N682))</f>
        <v/>
      </c>
      <c r="K682" s="28" t="str">
        <f>IF($N682="","",IF(OR(I682="",J682=""),"",J682-I682))</f>
        <v/>
      </c>
      <c r="L682" s="29" t="str">
        <f>IF($N682="","",INDEX('_calc'!$J$2:$J$3001,$N682))</f>
        <v/>
      </c>
      <c r="M682" s="2" t="str">
        <f>IF($N682="","",IF(AND(G682=0,H682=0),"수량 없음",IF(G682=0,"신규 (전년 수량 없음)",IF(H682=0,"당해 수량 없음",""))))</f>
        <v/>
      </c>
      <c r="N682" t="str">
        <f>IF($B682="","",MATCH($B682,'_calc'!$L$2:$L$3001,0))</f>
        <v/>
      </c>
    </row>
    <row r="683">
      <c r="B683" s="24" t="str">
        <f>IF(ROW()-ROW($B$8)&gt;nComp,"",ROW()-ROW($B$8))</f>
        <v/>
      </c>
      <c r="C683" t="str">
        <f>IF($N683="","",INDEX('_calc'!$A$2:$A$3001,$N683))</f>
        <v/>
      </c>
      <c r="D683" s="25" t="str">
        <f>IF($N683="","",INDEX('_calc'!$C$2:$C$3001,$N683))</f>
        <v/>
      </c>
      <c r="E683" s="25" t="str">
        <f>IF($N683="","",INDEX('_calc'!$D$2:$D$3001,$N683))</f>
        <v/>
      </c>
      <c r="F683" s="26" t="str">
        <f>IF($N683="","",IF($E$8=0,"",E683/$E$8))</f>
        <v/>
      </c>
      <c r="G683" s="25" t="str">
        <f>IF($N683="","",INDEX('_calc'!$E$2:$E$3001,$N683))</f>
        <v/>
      </c>
      <c r="H683" s="25" t="str">
        <f>IF($N683="","",INDEX('_calc'!$F$2:$F$3001,$N683))</f>
        <v/>
      </c>
      <c r="I683" s="27" t="str">
        <f>IF($N683="","",INDEX('_calc'!$H$2:$H$3001,$N683))</f>
        <v/>
      </c>
      <c r="J683" s="27" t="str">
        <f>IF($N683="","",INDEX('_calc'!$I$2:$I$3001,$N683))</f>
        <v/>
      </c>
      <c r="K683" s="28" t="str">
        <f>IF($N683="","",IF(OR(I683="",J683=""),"",J683-I683))</f>
        <v/>
      </c>
      <c r="L683" s="29" t="str">
        <f>IF($N683="","",INDEX('_calc'!$J$2:$J$3001,$N683))</f>
        <v/>
      </c>
      <c r="M683" s="2" t="str">
        <f>IF($N683="","",IF(AND(G683=0,H683=0),"수량 없음",IF(G683=0,"신규 (전년 수량 없음)",IF(H683=0,"당해 수량 없음",""))))</f>
        <v/>
      </c>
      <c r="N683" t="str">
        <f>IF($B683="","",MATCH($B683,'_calc'!$L$2:$L$3001,0))</f>
        <v/>
      </c>
    </row>
    <row r="684">
      <c r="B684" s="24" t="str">
        <f>IF(ROW()-ROW($B$8)&gt;nComp,"",ROW()-ROW($B$8))</f>
        <v/>
      </c>
      <c r="C684" t="str">
        <f>IF($N684="","",INDEX('_calc'!$A$2:$A$3001,$N684))</f>
        <v/>
      </c>
      <c r="D684" s="25" t="str">
        <f>IF($N684="","",INDEX('_calc'!$C$2:$C$3001,$N684))</f>
        <v/>
      </c>
      <c r="E684" s="25" t="str">
        <f>IF($N684="","",INDEX('_calc'!$D$2:$D$3001,$N684))</f>
        <v/>
      </c>
      <c r="F684" s="26" t="str">
        <f>IF($N684="","",IF($E$8=0,"",E684/$E$8))</f>
        <v/>
      </c>
      <c r="G684" s="25" t="str">
        <f>IF($N684="","",INDEX('_calc'!$E$2:$E$3001,$N684))</f>
        <v/>
      </c>
      <c r="H684" s="25" t="str">
        <f>IF($N684="","",INDEX('_calc'!$F$2:$F$3001,$N684))</f>
        <v/>
      </c>
      <c r="I684" s="27" t="str">
        <f>IF($N684="","",INDEX('_calc'!$H$2:$H$3001,$N684))</f>
        <v/>
      </c>
      <c r="J684" s="27" t="str">
        <f>IF($N684="","",INDEX('_calc'!$I$2:$I$3001,$N684))</f>
        <v/>
      </c>
      <c r="K684" s="28" t="str">
        <f>IF($N684="","",IF(OR(I684="",J684=""),"",J684-I684))</f>
        <v/>
      </c>
      <c r="L684" s="29" t="str">
        <f>IF($N684="","",INDEX('_calc'!$J$2:$J$3001,$N684))</f>
        <v/>
      </c>
      <c r="M684" s="2" t="str">
        <f>IF($N684="","",IF(AND(G684=0,H684=0),"수량 없음",IF(G684=0,"신규 (전년 수량 없음)",IF(H684=0,"당해 수량 없음",""))))</f>
        <v/>
      </c>
      <c r="N684" t="str">
        <f>IF($B684="","",MATCH($B684,'_calc'!$L$2:$L$3001,0))</f>
        <v/>
      </c>
    </row>
    <row r="685">
      <c r="B685" s="24" t="str">
        <f>IF(ROW()-ROW($B$8)&gt;nComp,"",ROW()-ROW($B$8))</f>
        <v/>
      </c>
      <c r="C685" t="str">
        <f>IF($N685="","",INDEX('_calc'!$A$2:$A$3001,$N685))</f>
        <v/>
      </c>
      <c r="D685" s="25" t="str">
        <f>IF($N685="","",INDEX('_calc'!$C$2:$C$3001,$N685))</f>
        <v/>
      </c>
      <c r="E685" s="25" t="str">
        <f>IF($N685="","",INDEX('_calc'!$D$2:$D$3001,$N685))</f>
        <v/>
      </c>
      <c r="F685" s="26" t="str">
        <f>IF($N685="","",IF($E$8=0,"",E685/$E$8))</f>
        <v/>
      </c>
      <c r="G685" s="25" t="str">
        <f>IF($N685="","",INDEX('_calc'!$E$2:$E$3001,$N685))</f>
        <v/>
      </c>
      <c r="H685" s="25" t="str">
        <f>IF($N685="","",INDEX('_calc'!$F$2:$F$3001,$N685))</f>
        <v/>
      </c>
      <c r="I685" s="27" t="str">
        <f>IF($N685="","",INDEX('_calc'!$H$2:$H$3001,$N685))</f>
        <v/>
      </c>
      <c r="J685" s="27" t="str">
        <f>IF($N685="","",INDEX('_calc'!$I$2:$I$3001,$N685))</f>
        <v/>
      </c>
      <c r="K685" s="28" t="str">
        <f>IF($N685="","",IF(OR(I685="",J685=""),"",J685-I685))</f>
        <v/>
      </c>
      <c r="L685" s="29" t="str">
        <f>IF($N685="","",INDEX('_calc'!$J$2:$J$3001,$N685))</f>
        <v/>
      </c>
      <c r="M685" s="2" t="str">
        <f>IF($N685="","",IF(AND(G685=0,H685=0),"수량 없음",IF(G685=0,"신규 (전년 수량 없음)",IF(H685=0,"당해 수량 없음",""))))</f>
        <v/>
      </c>
      <c r="N685" t="str">
        <f>IF($B685="","",MATCH($B685,'_calc'!$L$2:$L$3001,0))</f>
        <v/>
      </c>
    </row>
    <row r="686">
      <c r="B686" s="24" t="str">
        <f>IF(ROW()-ROW($B$8)&gt;nComp,"",ROW()-ROW($B$8))</f>
        <v/>
      </c>
      <c r="C686" t="str">
        <f>IF($N686="","",INDEX('_calc'!$A$2:$A$3001,$N686))</f>
        <v/>
      </c>
      <c r="D686" s="25" t="str">
        <f>IF($N686="","",INDEX('_calc'!$C$2:$C$3001,$N686))</f>
        <v/>
      </c>
      <c r="E686" s="25" t="str">
        <f>IF($N686="","",INDEX('_calc'!$D$2:$D$3001,$N686))</f>
        <v/>
      </c>
      <c r="F686" s="26" t="str">
        <f>IF($N686="","",IF($E$8=0,"",E686/$E$8))</f>
        <v/>
      </c>
      <c r="G686" s="25" t="str">
        <f>IF($N686="","",INDEX('_calc'!$E$2:$E$3001,$N686))</f>
        <v/>
      </c>
      <c r="H686" s="25" t="str">
        <f>IF($N686="","",INDEX('_calc'!$F$2:$F$3001,$N686))</f>
        <v/>
      </c>
      <c r="I686" s="27" t="str">
        <f>IF($N686="","",INDEX('_calc'!$H$2:$H$3001,$N686))</f>
        <v/>
      </c>
      <c r="J686" s="27" t="str">
        <f>IF($N686="","",INDEX('_calc'!$I$2:$I$3001,$N686))</f>
        <v/>
      </c>
      <c r="K686" s="28" t="str">
        <f>IF($N686="","",IF(OR(I686="",J686=""),"",J686-I686))</f>
        <v/>
      </c>
      <c r="L686" s="29" t="str">
        <f>IF($N686="","",INDEX('_calc'!$J$2:$J$3001,$N686))</f>
        <v/>
      </c>
      <c r="M686" s="2" t="str">
        <f>IF($N686="","",IF(AND(G686=0,H686=0),"수량 없음",IF(G686=0,"신규 (전년 수량 없음)",IF(H686=0,"당해 수량 없음",""))))</f>
        <v/>
      </c>
      <c r="N686" t="str">
        <f>IF($B686="","",MATCH($B686,'_calc'!$L$2:$L$3001,0))</f>
        <v/>
      </c>
    </row>
    <row r="687">
      <c r="B687" s="24" t="str">
        <f>IF(ROW()-ROW($B$8)&gt;nComp,"",ROW()-ROW($B$8))</f>
        <v/>
      </c>
      <c r="C687" t="str">
        <f>IF($N687="","",INDEX('_calc'!$A$2:$A$3001,$N687))</f>
        <v/>
      </c>
      <c r="D687" s="25" t="str">
        <f>IF($N687="","",INDEX('_calc'!$C$2:$C$3001,$N687))</f>
        <v/>
      </c>
      <c r="E687" s="25" t="str">
        <f>IF($N687="","",INDEX('_calc'!$D$2:$D$3001,$N687))</f>
        <v/>
      </c>
      <c r="F687" s="26" t="str">
        <f>IF($N687="","",IF($E$8=0,"",E687/$E$8))</f>
        <v/>
      </c>
      <c r="G687" s="25" t="str">
        <f>IF($N687="","",INDEX('_calc'!$E$2:$E$3001,$N687))</f>
        <v/>
      </c>
      <c r="H687" s="25" t="str">
        <f>IF($N687="","",INDEX('_calc'!$F$2:$F$3001,$N687))</f>
        <v/>
      </c>
      <c r="I687" s="27" t="str">
        <f>IF($N687="","",INDEX('_calc'!$H$2:$H$3001,$N687))</f>
        <v/>
      </c>
      <c r="J687" s="27" t="str">
        <f>IF($N687="","",INDEX('_calc'!$I$2:$I$3001,$N687))</f>
        <v/>
      </c>
      <c r="K687" s="28" t="str">
        <f>IF($N687="","",IF(OR(I687="",J687=""),"",J687-I687))</f>
        <v/>
      </c>
      <c r="L687" s="29" t="str">
        <f>IF($N687="","",INDEX('_calc'!$J$2:$J$3001,$N687))</f>
        <v/>
      </c>
      <c r="M687" s="2" t="str">
        <f>IF($N687="","",IF(AND(G687=0,H687=0),"수량 없음",IF(G687=0,"신규 (전년 수량 없음)",IF(H687=0,"당해 수량 없음",""))))</f>
        <v/>
      </c>
      <c r="N687" t="str">
        <f>IF($B687="","",MATCH($B687,'_calc'!$L$2:$L$3001,0))</f>
        <v/>
      </c>
    </row>
    <row r="688">
      <c r="B688" s="24" t="str">
        <f>IF(ROW()-ROW($B$8)&gt;nComp,"",ROW()-ROW($B$8))</f>
        <v/>
      </c>
      <c r="C688" t="str">
        <f>IF($N688="","",INDEX('_calc'!$A$2:$A$3001,$N688))</f>
        <v/>
      </c>
      <c r="D688" s="25" t="str">
        <f>IF($N688="","",INDEX('_calc'!$C$2:$C$3001,$N688))</f>
        <v/>
      </c>
      <c r="E688" s="25" t="str">
        <f>IF($N688="","",INDEX('_calc'!$D$2:$D$3001,$N688))</f>
        <v/>
      </c>
      <c r="F688" s="26" t="str">
        <f>IF($N688="","",IF($E$8=0,"",E688/$E$8))</f>
        <v/>
      </c>
      <c r="G688" s="25" t="str">
        <f>IF($N688="","",INDEX('_calc'!$E$2:$E$3001,$N688))</f>
        <v/>
      </c>
      <c r="H688" s="25" t="str">
        <f>IF($N688="","",INDEX('_calc'!$F$2:$F$3001,$N688))</f>
        <v/>
      </c>
      <c r="I688" s="27" t="str">
        <f>IF($N688="","",INDEX('_calc'!$H$2:$H$3001,$N688))</f>
        <v/>
      </c>
      <c r="J688" s="27" t="str">
        <f>IF($N688="","",INDEX('_calc'!$I$2:$I$3001,$N688))</f>
        <v/>
      </c>
      <c r="K688" s="28" t="str">
        <f>IF($N688="","",IF(OR(I688="",J688=""),"",J688-I688))</f>
        <v/>
      </c>
      <c r="L688" s="29" t="str">
        <f>IF($N688="","",INDEX('_calc'!$J$2:$J$3001,$N688))</f>
        <v/>
      </c>
      <c r="M688" s="2" t="str">
        <f>IF($N688="","",IF(AND(G688=0,H688=0),"수량 없음",IF(G688=0,"신규 (전년 수량 없음)",IF(H688=0,"당해 수량 없음",""))))</f>
        <v/>
      </c>
      <c r="N688" t="str">
        <f>IF($B688="","",MATCH($B688,'_calc'!$L$2:$L$3001,0))</f>
        <v/>
      </c>
    </row>
    <row r="689">
      <c r="B689" s="24" t="str">
        <f>IF(ROW()-ROW($B$8)&gt;nComp,"",ROW()-ROW($B$8))</f>
        <v/>
      </c>
      <c r="C689" t="str">
        <f>IF($N689="","",INDEX('_calc'!$A$2:$A$3001,$N689))</f>
        <v/>
      </c>
      <c r="D689" s="25" t="str">
        <f>IF($N689="","",INDEX('_calc'!$C$2:$C$3001,$N689))</f>
        <v/>
      </c>
      <c r="E689" s="25" t="str">
        <f>IF($N689="","",INDEX('_calc'!$D$2:$D$3001,$N689))</f>
        <v/>
      </c>
      <c r="F689" s="26" t="str">
        <f>IF($N689="","",IF($E$8=0,"",E689/$E$8))</f>
        <v/>
      </c>
      <c r="G689" s="25" t="str">
        <f>IF($N689="","",INDEX('_calc'!$E$2:$E$3001,$N689))</f>
        <v/>
      </c>
      <c r="H689" s="25" t="str">
        <f>IF($N689="","",INDEX('_calc'!$F$2:$F$3001,$N689))</f>
        <v/>
      </c>
      <c r="I689" s="27" t="str">
        <f>IF($N689="","",INDEX('_calc'!$H$2:$H$3001,$N689))</f>
        <v/>
      </c>
      <c r="J689" s="27" t="str">
        <f>IF($N689="","",INDEX('_calc'!$I$2:$I$3001,$N689))</f>
        <v/>
      </c>
      <c r="K689" s="28" t="str">
        <f>IF($N689="","",IF(OR(I689="",J689=""),"",J689-I689))</f>
        <v/>
      </c>
      <c r="L689" s="29" t="str">
        <f>IF($N689="","",INDEX('_calc'!$J$2:$J$3001,$N689))</f>
        <v/>
      </c>
      <c r="M689" s="2" t="str">
        <f>IF($N689="","",IF(AND(G689=0,H689=0),"수량 없음",IF(G689=0,"신규 (전년 수량 없음)",IF(H689=0,"당해 수량 없음",""))))</f>
        <v/>
      </c>
      <c r="N689" t="str">
        <f>IF($B689="","",MATCH($B689,'_calc'!$L$2:$L$3001,0))</f>
        <v/>
      </c>
    </row>
    <row r="690">
      <c r="B690" s="24" t="str">
        <f>IF(ROW()-ROW($B$8)&gt;nComp,"",ROW()-ROW($B$8))</f>
        <v/>
      </c>
      <c r="C690" t="str">
        <f>IF($N690="","",INDEX('_calc'!$A$2:$A$3001,$N690))</f>
        <v/>
      </c>
      <c r="D690" s="25" t="str">
        <f>IF($N690="","",INDEX('_calc'!$C$2:$C$3001,$N690))</f>
        <v/>
      </c>
      <c r="E690" s="25" t="str">
        <f>IF($N690="","",INDEX('_calc'!$D$2:$D$3001,$N690))</f>
        <v/>
      </c>
      <c r="F690" s="26" t="str">
        <f>IF($N690="","",IF($E$8=0,"",E690/$E$8))</f>
        <v/>
      </c>
      <c r="G690" s="25" t="str">
        <f>IF($N690="","",INDEX('_calc'!$E$2:$E$3001,$N690))</f>
        <v/>
      </c>
      <c r="H690" s="25" t="str">
        <f>IF($N690="","",INDEX('_calc'!$F$2:$F$3001,$N690))</f>
        <v/>
      </c>
      <c r="I690" s="27" t="str">
        <f>IF($N690="","",INDEX('_calc'!$H$2:$H$3001,$N690))</f>
        <v/>
      </c>
      <c r="J690" s="27" t="str">
        <f>IF($N690="","",INDEX('_calc'!$I$2:$I$3001,$N690))</f>
        <v/>
      </c>
      <c r="K690" s="28" t="str">
        <f>IF($N690="","",IF(OR(I690="",J690=""),"",J690-I690))</f>
        <v/>
      </c>
      <c r="L690" s="29" t="str">
        <f>IF($N690="","",INDEX('_calc'!$J$2:$J$3001,$N690))</f>
        <v/>
      </c>
      <c r="M690" s="2" t="str">
        <f>IF($N690="","",IF(AND(G690=0,H690=0),"수량 없음",IF(G690=0,"신규 (전년 수량 없음)",IF(H690=0,"당해 수량 없음",""))))</f>
        <v/>
      </c>
      <c r="N690" t="str">
        <f>IF($B690="","",MATCH($B690,'_calc'!$L$2:$L$3001,0))</f>
        <v/>
      </c>
    </row>
    <row r="691">
      <c r="B691" s="24" t="str">
        <f>IF(ROW()-ROW($B$8)&gt;nComp,"",ROW()-ROW($B$8))</f>
        <v/>
      </c>
      <c r="C691" t="str">
        <f>IF($N691="","",INDEX('_calc'!$A$2:$A$3001,$N691))</f>
        <v/>
      </c>
      <c r="D691" s="25" t="str">
        <f>IF($N691="","",INDEX('_calc'!$C$2:$C$3001,$N691))</f>
        <v/>
      </c>
      <c r="E691" s="25" t="str">
        <f>IF($N691="","",INDEX('_calc'!$D$2:$D$3001,$N691))</f>
        <v/>
      </c>
      <c r="F691" s="26" t="str">
        <f>IF($N691="","",IF($E$8=0,"",E691/$E$8))</f>
        <v/>
      </c>
      <c r="G691" s="25" t="str">
        <f>IF($N691="","",INDEX('_calc'!$E$2:$E$3001,$N691))</f>
        <v/>
      </c>
      <c r="H691" s="25" t="str">
        <f>IF($N691="","",INDEX('_calc'!$F$2:$F$3001,$N691))</f>
        <v/>
      </c>
      <c r="I691" s="27" t="str">
        <f>IF($N691="","",INDEX('_calc'!$H$2:$H$3001,$N691))</f>
        <v/>
      </c>
      <c r="J691" s="27" t="str">
        <f>IF($N691="","",INDEX('_calc'!$I$2:$I$3001,$N691))</f>
        <v/>
      </c>
      <c r="K691" s="28" t="str">
        <f>IF($N691="","",IF(OR(I691="",J691=""),"",J691-I691))</f>
        <v/>
      </c>
      <c r="L691" s="29" t="str">
        <f>IF($N691="","",INDEX('_calc'!$J$2:$J$3001,$N691))</f>
        <v/>
      </c>
      <c r="M691" s="2" t="str">
        <f>IF($N691="","",IF(AND(G691=0,H691=0),"수량 없음",IF(G691=0,"신규 (전년 수량 없음)",IF(H691=0,"당해 수량 없음",""))))</f>
        <v/>
      </c>
      <c r="N691" t="str">
        <f>IF($B691="","",MATCH($B691,'_calc'!$L$2:$L$3001,0))</f>
        <v/>
      </c>
    </row>
    <row r="692">
      <c r="B692" s="24" t="str">
        <f>IF(ROW()-ROW($B$8)&gt;nComp,"",ROW()-ROW($B$8))</f>
        <v/>
      </c>
      <c r="C692" t="str">
        <f>IF($N692="","",INDEX('_calc'!$A$2:$A$3001,$N692))</f>
        <v/>
      </c>
      <c r="D692" s="25" t="str">
        <f>IF($N692="","",INDEX('_calc'!$C$2:$C$3001,$N692))</f>
        <v/>
      </c>
      <c r="E692" s="25" t="str">
        <f>IF($N692="","",INDEX('_calc'!$D$2:$D$3001,$N692))</f>
        <v/>
      </c>
      <c r="F692" s="26" t="str">
        <f>IF($N692="","",IF($E$8=0,"",E692/$E$8))</f>
        <v/>
      </c>
      <c r="G692" s="25" t="str">
        <f>IF($N692="","",INDEX('_calc'!$E$2:$E$3001,$N692))</f>
        <v/>
      </c>
      <c r="H692" s="25" t="str">
        <f>IF($N692="","",INDEX('_calc'!$F$2:$F$3001,$N692))</f>
        <v/>
      </c>
      <c r="I692" s="27" t="str">
        <f>IF($N692="","",INDEX('_calc'!$H$2:$H$3001,$N692))</f>
        <v/>
      </c>
      <c r="J692" s="27" t="str">
        <f>IF($N692="","",INDEX('_calc'!$I$2:$I$3001,$N692))</f>
        <v/>
      </c>
      <c r="K692" s="28" t="str">
        <f>IF($N692="","",IF(OR(I692="",J692=""),"",J692-I692))</f>
        <v/>
      </c>
      <c r="L692" s="29" t="str">
        <f>IF($N692="","",INDEX('_calc'!$J$2:$J$3001,$N692))</f>
        <v/>
      </c>
      <c r="M692" s="2" t="str">
        <f>IF($N692="","",IF(AND(G692=0,H692=0),"수량 없음",IF(G692=0,"신규 (전년 수량 없음)",IF(H692=0,"당해 수량 없음",""))))</f>
        <v/>
      </c>
      <c r="N692" t="str">
        <f>IF($B692="","",MATCH($B692,'_calc'!$L$2:$L$3001,0))</f>
        <v/>
      </c>
    </row>
    <row r="693">
      <c r="B693" s="24" t="str">
        <f>IF(ROW()-ROW($B$8)&gt;nComp,"",ROW()-ROW($B$8))</f>
        <v/>
      </c>
      <c r="C693" t="str">
        <f>IF($N693="","",INDEX('_calc'!$A$2:$A$3001,$N693))</f>
        <v/>
      </c>
      <c r="D693" s="25" t="str">
        <f>IF($N693="","",INDEX('_calc'!$C$2:$C$3001,$N693))</f>
        <v/>
      </c>
      <c r="E693" s="25" t="str">
        <f>IF($N693="","",INDEX('_calc'!$D$2:$D$3001,$N693))</f>
        <v/>
      </c>
      <c r="F693" s="26" t="str">
        <f>IF($N693="","",IF($E$8=0,"",E693/$E$8))</f>
        <v/>
      </c>
      <c r="G693" s="25" t="str">
        <f>IF($N693="","",INDEX('_calc'!$E$2:$E$3001,$N693))</f>
        <v/>
      </c>
      <c r="H693" s="25" t="str">
        <f>IF($N693="","",INDEX('_calc'!$F$2:$F$3001,$N693))</f>
        <v/>
      </c>
      <c r="I693" s="27" t="str">
        <f>IF($N693="","",INDEX('_calc'!$H$2:$H$3001,$N693))</f>
        <v/>
      </c>
      <c r="J693" s="27" t="str">
        <f>IF($N693="","",INDEX('_calc'!$I$2:$I$3001,$N693))</f>
        <v/>
      </c>
      <c r="K693" s="28" t="str">
        <f>IF($N693="","",IF(OR(I693="",J693=""),"",J693-I693))</f>
        <v/>
      </c>
      <c r="L693" s="29" t="str">
        <f>IF($N693="","",INDEX('_calc'!$J$2:$J$3001,$N693))</f>
        <v/>
      </c>
      <c r="M693" s="2" t="str">
        <f>IF($N693="","",IF(AND(G693=0,H693=0),"수량 없음",IF(G693=0,"신규 (전년 수량 없음)",IF(H693=0,"당해 수량 없음",""))))</f>
        <v/>
      </c>
      <c r="N693" t="str">
        <f>IF($B693="","",MATCH($B693,'_calc'!$L$2:$L$3001,0))</f>
        <v/>
      </c>
    </row>
    <row r="694">
      <c r="B694" s="24" t="str">
        <f>IF(ROW()-ROW($B$8)&gt;nComp,"",ROW()-ROW($B$8))</f>
        <v/>
      </c>
      <c r="C694" t="str">
        <f>IF($N694="","",INDEX('_calc'!$A$2:$A$3001,$N694))</f>
        <v/>
      </c>
      <c r="D694" s="25" t="str">
        <f>IF($N694="","",INDEX('_calc'!$C$2:$C$3001,$N694))</f>
        <v/>
      </c>
      <c r="E694" s="25" t="str">
        <f>IF($N694="","",INDEX('_calc'!$D$2:$D$3001,$N694))</f>
        <v/>
      </c>
      <c r="F694" s="26" t="str">
        <f>IF($N694="","",IF($E$8=0,"",E694/$E$8))</f>
        <v/>
      </c>
      <c r="G694" s="25" t="str">
        <f>IF($N694="","",INDEX('_calc'!$E$2:$E$3001,$N694))</f>
        <v/>
      </c>
      <c r="H694" s="25" t="str">
        <f>IF($N694="","",INDEX('_calc'!$F$2:$F$3001,$N694))</f>
        <v/>
      </c>
      <c r="I694" s="27" t="str">
        <f>IF($N694="","",INDEX('_calc'!$H$2:$H$3001,$N694))</f>
        <v/>
      </c>
      <c r="J694" s="27" t="str">
        <f>IF($N694="","",INDEX('_calc'!$I$2:$I$3001,$N694))</f>
        <v/>
      </c>
      <c r="K694" s="28" t="str">
        <f>IF($N694="","",IF(OR(I694="",J694=""),"",J694-I694))</f>
        <v/>
      </c>
      <c r="L694" s="29" t="str">
        <f>IF($N694="","",INDEX('_calc'!$J$2:$J$3001,$N694))</f>
        <v/>
      </c>
      <c r="M694" s="2" t="str">
        <f>IF($N694="","",IF(AND(G694=0,H694=0),"수량 없음",IF(G694=0,"신규 (전년 수량 없음)",IF(H694=0,"당해 수량 없음",""))))</f>
        <v/>
      </c>
      <c r="N694" t="str">
        <f>IF($B694="","",MATCH($B694,'_calc'!$L$2:$L$3001,0))</f>
        <v/>
      </c>
    </row>
    <row r="695">
      <c r="B695" s="24" t="str">
        <f>IF(ROW()-ROW($B$8)&gt;nComp,"",ROW()-ROW($B$8))</f>
        <v/>
      </c>
      <c r="C695" t="str">
        <f>IF($N695="","",INDEX('_calc'!$A$2:$A$3001,$N695))</f>
        <v/>
      </c>
      <c r="D695" s="25" t="str">
        <f>IF($N695="","",INDEX('_calc'!$C$2:$C$3001,$N695))</f>
        <v/>
      </c>
      <c r="E695" s="25" t="str">
        <f>IF($N695="","",INDEX('_calc'!$D$2:$D$3001,$N695))</f>
        <v/>
      </c>
      <c r="F695" s="26" t="str">
        <f>IF($N695="","",IF($E$8=0,"",E695/$E$8))</f>
        <v/>
      </c>
      <c r="G695" s="25" t="str">
        <f>IF($N695="","",INDEX('_calc'!$E$2:$E$3001,$N695))</f>
        <v/>
      </c>
      <c r="H695" s="25" t="str">
        <f>IF($N695="","",INDEX('_calc'!$F$2:$F$3001,$N695))</f>
        <v/>
      </c>
      <c r="I695" s="27" t="str">
        <f>IF($N695="","",INDEX('_calc'!$H$2:$H$3001,$N695))</f>
        <v/>
      </c>
      <c r="J695" s="27" t="str">
        <f>IF($N695="","",INDEX('_calc'!$I$2:$I$3001,$N695))</f>
        <v/>
      </c>
      <c r="K695" s="28" t="str">
        <f>IF($N695="","",IF(OR(I695="",J695=""),"",J695-I695))</f>
        <v/>
      </c>
      <c r="L695" s="29" t="str">
        <f>IF($N695="","",INDEX('_calc'!$J$2:$J$3001,$N695))</f>
        <v/>
      </c>
      <c r="M695" s="2" t="str">
        <f>IF($N695="","",IF(AND(G695=0,H695=0),"수량 없음",IF(G695=0,"신규 (전년 수량 없음)",IF(H695=0,"당해 수량 없음",""))))</f>
        <v/>
      </c>
      <c r="N695" t="str">
        <f>IF($B695="","",MATCH($B695,'_calc'!$L$2:$L$3001,0))</f>
        <v/>
      </c>
    </row>
    <row r="696">
      <c r="B696" s="24" t="str">
        <f>IF(ROW()-ROW($B$8)&gt;nComp,"",ROW()-ROW($B$8))</f>
        <v/>
      </c>
      <c r="C696" t="str">
        <f>IF($N696="","",INDEX('_calc'!$A$2:$A$3001,$N696))</f>
        <v/>
      </c>
      <c r="D696" s="25" t="str">
        <f>IF($N696="","",INDEX('_calc'!$C$2:$C$3001,$N696))</f>
        <v/>
      </c>
      <c r="E696" s="25" t="str">
        <f>IF($N696="","",INDEX('_calc'!$D$2:$D$3001,$N696))</f>
        <v/>
      </c>
      <c r="F696" s="26" t="str">
        <f>IF($N696="","",IF($E$8=0,"",E696/$E$8))</f>
        <v/>
      </c>
      <c r="G696" s="25" t="str">
        <f>IF($N696="","",INDEX('_calc'!$E$2:$E$3001,$N696))</f>
        <v/>
      </c>
      <c r="H696" s="25" t="str">
        <f>IF($N696="","",INDEX('_calc'!$F$2:$F$3001,$N696))</f>
        <v/>
      </c>
      <c r="I696" s="27" t="str">
        <f>IF($N696="","",INDEX('_calc'!$H$2:$H$3001,$N696))</f>
        <v/>
      </c>
      <c r="J696" s="27" t="str">
        <f>IF($N696="","",INDEX('_calc'!$I$2:$I$3001,$N696))</f>
        <v/>
      </c>
      <c r="K696" s="28" t="str">
        <f>IF($N696="","",IF(OR(I696="",J696=""),"",J696-I696))</f>
        <v/>
      </c>
      <c r="L696" s="29" t="str">
        <f>IF($N696="","",INDEX('_calc'!$J$2:$J$3001,$N696))</f>
        <v/>
      </c>
      <c r="M696" s="2" t="str">
        <f>IF($N696="","",IF(AND(G696=0,H696=0),"수량 없음",IF(G696=0,"신규 (전년 수량 없음)",IF(H696=0,"당해 수량 없음",""))))</f>
        <v/>
      </c>
      <c r="N696" t="str">
        <f>IF($B696="","",MATCH($B696,'_calc'!$L$2:$L$3001,0))</f>
        <v/>
      </c>
    </row>
    <row r="697">
      <c r="B697" s="24" t="str">
        <f>IF(ROW()-ROW($B$8)&gt;nComp,"",ROW()-ROW($B$8))</f>
        <v/>
      </c>
      <c r="C697" t="str">
        <f>IF($N697="","",INDEX('_calc'!$A$2:$A$3001,$N697))</f>
        <v/>
      </c>
      <c r="D697" s="25" t="str">
        <f>IF($N697="","",INDEX('_calc'!$C$2:$C$3001,$N697))</f>
        <v/>
      </c>
      <c r="E697" s="25" t="str">
        <f>IF($N697="","",INDEX('_calc'!$D$2:$D$3001,$N697))</f>
        <v/>
      </c>
      <c r="F697" s="26" t="str">
        <f>IF($N697="","",IF($E$8=0,"",E697/$E$8))</f>
        <v/>
      </c>
      <c r="G697" s="25" t="str">
        <f>IF($N697="","",INDEX('_calc'!$E$2:$E$3001,$N697))</f>
        <v/>
      </c>
      <c r="H697" s="25" t="str">
        <f>IF($N697="","",INDEX('_calc'!$F$2:$F$3001,$N697))</f>
        <v/>
      </c>
      <c r="I697" s="27" t="str">
        <f>IF($N697="","",INDEX('_calc'!$H$2:$H$3001,$N697))</f>
        <v/>
      </c>
      <c r="J697" s="27" t="str">
        <f>IF($N697="","",INDEX('_calc'!$I$2:$I$3001,$N697))</f>
        <v/>
      </c>
      <c r="K697" s="28" t="str">
        <f>IF($N697="","",IF(OR(I697="",J697=""),"",J697-I697))</f>
        <v/>
      </c>
      <c r="L697" s="29" t="str">
        <f>IF($N697="","",INDEX('_calc'!$J$2:$J$3001,$N697))</f>
        <v/>
      </c>
      <c r="M697" s="2" t="str">
        <f>IF($N697="","",IF(AND(G697=0,H697=0),"수량 없음",IF(G697=0,"신규 (전년 수량 없음)",IF(H697=0,"당해 수량 없음",""))))</f>
        <v/>
      </c>
      <c r="N697" t="str">
        <f>IF($B697="","",MATCH($B697,'_calc'!$L$2:$L$3001,0))</f>
        <v/>
      </c>
    </row>
    <row r="698">
      <c r="B698" s="24" t="str">
        <f>IF(ROW()-ROW($B$8)&gt;nComp,"",ROW()-ROW($B$8))</f>
        <v/>
      </c>
      <c r="C698" t="str">
        <f>IF($N698="","",INDEX('_calc'!$A$2:$A$3001,$N698))</f>
        <v/>
      </c>
      <c r="D698" s="25" t="str">
        <f>IF($N698="","",INDEX('_calc'!$C$2:$C$3001,$N698))</f>
        <v/>
      </c>
      <c r="E698" s="25" t="str">
        <f>IF($N698="","",INDEX('_calc'!$D$2:$D$3001,$N698))</f>
        <v/>
      </c>
      <c r="F698" s="26" t="str">
        <f>IF($N698="","",IF($E$8=0,"",E698/$E$8))</f>
        <v/>
      </c>
      <c r="G698" s="25" t="str">
        <f>IF($N698="","",INDEX('_calc'!$E$2:$E$3001,$N698))</f>
        <v/>
      </c>
      <c r="H698" s="25" t="str">
        <f>IF($N698="","",INDEX('_calc'!$F$2:$F$3001,$N698))</f>
        <v/>
      </c>
      <c r="I698" s="27" t="str">
        <f>IF($N698="","",INDEX('_calc'!$H$2:$H$3001,$N698))</f>
        <v/>
      </c>
      <c r="J698" s="27" t="str">
        <f>IF($N698="","",INDEX('_calc'!$I$2:$I$3001,$N698))</f>
        <v/>
      </c>
      <c r="K698" s="28" t="str">
        <f>IF($N698="","",IF(OR(I698="",J698=""),"",J698-I698))</f>
        <v/>
      </c>
      <c r="L698" s="29" t="str">
        <f>IF($N698="","",INDEX('_calc'!$J$2:$J$3001,$N698))</f>
        <v/>
      </c>
      <c r="M698" s="2" t="str">
        <f>IF($N698="","",IF(AND(G698=0,H698=0),"수량 없음",IF(G698=0,"신규 (전년 수량 없음)",IF(H698=0,"당해 수량 없음",""))))</f>
        <v/>
      </c>
      <c r="N698" t="str">
        <f>IF($B698="","",MATCH($B698,'_calc'!$L$2:$L$3001,0))</f>
        <v/>
      </c>
    </row>
    <row r="699">
      <c r="B699" s="24" t="str">
        <f>IF(ROW()-ROW($B$8)&gt;nComp,"",ROW()-ROW($B$8))</f>
        <v/>
      </c>
      <c r="C699" t="str">
        <f>IF($N699="","",INDEX('_calc'!$A$2:$A$3001,$N699))</f>
        <v/>
      </c>
      <c r="D699" s="25" t="str">
        <f>IF($N699="","",INDEX('_calc'!$C$2:$C$3001,$N699))</f>
        <v/>
      </c>
      <c r="E699" s="25" t="str">
        <f>IF($N699="","",INDEX('_calc'!$D$2:$D$3001,$N699))</f>
        <v/>
      </c>
      <c r="F699" s="26" t="str">
        <f>IF($N699="","",IF($E$8=0,"",E699/$E$8))</f>
        <v/>
      </c>
      <c r="G699" s="25" t="str">
        <f>IF($N699="","",INDEX('_calc'!$E$2:$E$3001,$N699))</f>
        <v/>
      </c>
      <c r="H699" s="25" t="str">
        <f>IF($N699="","",INDEX('_calc'!$F$2:$F$3001,$N699))</f>
        <v/>
      </c>
      <c r="I699" s="27" t="str">
        <f>IF($N699="","",INDEX('_calc'!$H$2:$H$3001,$N699))</f>
        <v/>
      </c>
      <c r="J699" s="27" t="str">
        <f>IF($N699="","",INDEX('_calc'!$I$2:$I$3001,$N699))</f>
        <v/>
      </c>
      <c r="K699" s="28" t="str">
        <f>IF($N699="","",IF(OR(I699="",J699=""),"",J699-I699))</f>
        <v/>
      </c>
      <c r="L699" s="29" t="str">
        <f>IF($N699="","",INDEX('_calc'!$J$2:$J$3001,$N699))</f>
        <v/>
      </c>
      <c r="M699" s="2" t="str">
        <f>IF($N699="","",IF(AND(G699=0,H699=0),"수량 없음",IF(G699=0,"신규 (전년 수량 없음)",IF(H699=0,"당해 수량 없음",""))))</f>
        <v/>
      </c>
      <c r="N699" t="str">
        <f>IF($B699="","",MATCH($B699,'_calc'!$L$2:$L$3001,0))</f>
        <v/>
      </c>
    </row>
    <row r="700">
      <c r="B700" s="24" t="str">
        <f>IF(ROW()-ROW($B$8)&gt;nComp,"",ROW()-ROW($B$8))</f>
        <v/>
      </c>
      <c r="C700" t="str">
        <f>IF($N700="","",INDEX('_calc'!$A$2:$A$3001,$N700))</f>
        <v/>
      </c>
      <c r="D700" s="25" t="str">
        <f>IF($N700="","",INDEX('_calc'!$C$2:$C$3001,$N700))</f>
        <v/>
      </c>
      <c r="E700" s="25" t="str">
        <f>IF($N700="","",INDEX('_calc'!$D$2:$D$3001,$N700))</f>
        <v/>
      </c>
      <c r="F700" s="26" t="str">
        <f>IF($N700="","",IF($E$8=0,"",E700/$E$8))</f>
        <v/>
      </c>
      <c r="G700" s="25" t="str">
        <f>IF($N700="","",INDEX('_calc'!$E$2:$E$3001,$N700))</f>
        <v/>
      </c>
      <c r="H700" s="25" t="str">
        <f>IF($N700="","",INDEX('_calc'!$F$2:$F$3001,$N700))</f>
        <v/>
      </c>
      <c r="I700" s="27" t="str">
        <f>IF($N700="","",INDEX('_calc'!$H$2:$H$3001,$N700))</f>
        <v/>
      </c>
      <c r="J700" s="27" t="str">
        <f>IF($N700="","",INDEX('_calc'!$I$2:$I$3001,$N700))</f>
        <v/>
      </c>
      <c r="K700" s="28" t="str">
        <f>IF($N700="","",IF(OR(I700="",J700=""),"",J700-I700))</f>
        <v/>
      </c>
      <c r="L700" s="29" t="str">
        <f>IF($N700="","",INDEX('_calc'!$J$2:$J$3001,$N700))</f>
        <v/>
      </c>
      <c r="M700" s="2" t="str">
        <f>IF($N700="","",IF(AND(G700=0,H700=0),"수량 없음",IF(G700=0,"신규 (전년 수량 없음)",IF(H700=0,"당해 수량 없음",""))))</f>
        <v/>
      </c>
      <c r="N700" t="str">
        <f>IF($B700="","",MATCH($B700,'_calc'!$L$2:$L$3001,0))</f>
        <v/>
      </c>
    </row>
    <row r="701">
      <c r="B701" s="24" t="str">
        <f>IF(ROW()-ROW($B$8)&gt;nComp,"",ROW()-ROW($B$8))</f>
        <v/>
      </c>
      <c r="C701" t="str">
        <f>IF($N701="","",INDEX('_calc'!$A$2:$A$3001,$N701))</f>
        <v/>
      </c>
      <c r="D701" s="25" t="str">
        <f>IF($N701="","",INDEX('_calc'!$C$2:$C$3001,$N701))</f>
        <v/>
      </c>
      <c r="E701" s="25" t="str">
        <f>IF($N701="","",INDEX('_calc'!$D$2:$D$3001,$N701))</f>
        <v/>
      </c>
      <c r="F701" s="26" t="str">
        <f>IF($N701="","",IF($E$8=0,"",E701/$E$8))</f>
        <v/>
      </c>
      <c r="G701" s="25" t="str">
        <f>IF($N701="","",INDEX('_calc'!$E$2:$E$3001,$N701))</f>
        <v/>
      </c>
      <c r="H701" s="25" t="str">
        <f>IF($N701="","",INDEX('_calc'!$F$2:$F$3001,$N701))</f>
        <v/>
      </c>
      <c r="I701" s="27" t="str">
        <f>IF($N701="","",INDEX('_calc'!$H$2:$H$3001,$N701))</f>
        <v/>
      </c>
      <c r="J701" s="27" t="str">
        <f>IF($N701="","",INDEX('_calc'!$I$2:$I$3001,$N701))</f>
        <v/>
      </c>
      <c r="K701" s="28" t="str">
        <f>IF($N701="","",IF(OR(I701="",J701=""),"",J701-I701))</f>
        <v/>
      </c>
      <c r="L701" s="29" t="str">
        <f>IF($N701="","",INDEX('_calc'!$J$2:$J$3001,$N701))</f>
        <v/>
      </c>
      <c r="M701" s="2" t="str">
        <f>IF($N701="","",IF(AND(G701=0,H701=0),"수량 없음",IF(G701=0,"신규 (전년 수량 없음)",IF(H701=0,"당해 수량 없음",""))))</f>
        <v/>
      </c>
      <c r="N701" t="str">
        <f>IF($B701="","",MATCH($B701,'_calc'!$L$2:$L$3001,0))</f>
        <v/>
      </c>
    </row>
    <row r="702">
      <c r="B702" s="24" t="str">
        <f>IF(ROW()-ROW($B$8)&gt;nComp,"",ROW()-ROW($B$8))</f>
        <v/>
      </c>
      <c r="C702" t="str">
        <f>IF($N702="","",INDEX('_calc'!$A$2:$A$3001,$N702))</f>
        <v/>
      </c>
      <c r="D702" s="25" t="str">
        <f>IF($N702="","",INDEX('_calc'!$C$2:$C$3001,$N702))</f>
        <v/>
      </c>
      <c r="E702" s="25" t="str">
        <f>IF($N702="","",INDEX('_calc'!$D$2:$D$3001,$N702))</f>
        <v/>
      </c>
      <c r="F702" s="26" t="str">
        <f>IF($N702="","",IF($E$8=0,"",E702/$E$8))</f>
        <v/>
      </c>
      <c r="G702" s="25" t="str">
        <f>IF($N702="","",INDEX('_calc'!$E$2:$E$3001,$N702))</f>
        <v/>
      </c>
      <c r="H702" s="25" t="str">
        <f>IF($N702="","",INDEX('_calc'!$F$2:$F$3001,$N702))</f>
        <v/>
      </c>
      <c r="I702" s="27" t="str">
        <f>IF($N702="","",INDEX('_calc'!$H$2:$H$3001,$N702))</f>
        <v/>
      </c>
      <c r="J702" s="27" t="str">
        <f>IF($N702="","",INDEX('_calc'!$I$2:$I$3001,$N702))</f>
        <v/>
      </c>
      <c r="K702" s="28" t="str">
        <f>IF($N702="","",IF(OR(I702="",J702=""),"",J702-I702))</f>
        <v/>
      </c>
      <c r="L702" s="29" t="str">
        <f>IF($N702="","",INDEX('_calc'!$J$2:$J$3001,$N702))</f>
        <v/>
      </c>
      <c r="M702" s="2" t="str">
        <f>IF($N702="","",IF(AND(G702=0,H702=0),"수량 없음",IF(G702=0,"신규 (전년 수량 없음)",IF(H702=0,"당해 수량 없음",""))))</f>
        <v/>
      </c>
      <c r="N702" t="str">
        <f>IF($B702="","",MATCH($B702,'_calc'!$L$2:$L$3001,0))</f>
        <v/>
      </c>
    </row>
    <row r="703">
      <c r="B703" s="24" t="str">
        <f>IF(ROW()-ROW($B$8)&gt;nComp,"",ROW()-ROW($B$8))</f>
        <v/>
      </c>
      <c r="C703" t="str">
        <f>IF($N703="","",INDEX('_calc'!$A$2:$A$3001,$N703))</f>
        <v/>
      </c>
      <c r="D703" s="25" t="str">
        <f>IF($N703="","",INDEX('_calc'!$C$2:$C$3001,$N703))</f>
        <v/>
      </c>
      <c r="E703" s="25" t="str">
        <f>IF($N703="","",INDEX('_calc'!$D$2:$D$3001,$N703))</f>
        <v/>
      </c>
      <c r="F703" s="26" t="str">
        <f>IF($N703="","",IF($E$8=0,"",E703/$E$8))</f>
        <v/>
      </c>
      <c r="G703" s="25" t="str">
        <f>IF($N703="","",INDEX('_calc'!$E$2:$E$3001,$N703))</f>
        <v/>
      </c>
      <c r="H703" s="25" t="str">
        <f>IF($N703="","",INDEX('_calc'!$F$2:$F$3001,$N703))</f>
        <v/>
      </c>
      <c r="I703" s="27" t="str">
        <f>IF($N703="","",INDEX('_calc'!$H$2:$H$3001,$N703))</f>
        <v/>
      </c>
      <c r="J703" s="27" t="str">
        <f>IF($N703="","",INDEX('_calc'!$I$2:$I$3001,$N703))</f>
        <v/>
      </c>
      <c r="K703" s="28" t="str">
        <f>IF($N703="","",IF(OR(I703="",J703=""),"",J703-I703))</f>
        <v/>
      </c>
      <c r="L703" s="29" t="str">
        <f>IF($N703="","",INDEX('_calc'!$J$2:$J$3001,$N703))</f>
        <v/>
      </c>
      <c r="M703" s="2" t="str">
        <f>IF($N703="","",IF(AND(G703=0,H703=0),"수량 없음",IF(G703=0,"신규 (전년 수량 없음)",IF(H703=0,"당해 수량 없음",""))))</f>
        <v/>
      </c>
      <c r="N703" t="str">
        <f>IF($B703="","",MATCH($B703,'_calc'!$L$2:$L$3001,0))</f>
        <v/>
      </c>
    </row>
    <row r="704">
      <c r="B704" s="24" t="str">
        <f>IF(ROW()-ROW($B$8)&gt;nComp,"",ROW()-ROW($B$8))</f>
        <v/>
      </c>
      <c r="C704" t="str">
        <f>IF($N704="","",INDEX('_calc'!$A$2:$A$3001,$N704))</f>
        <v/>
      </c>
      <c r="D704" s="25" t="str">
        <f>IF($N704="","",INDEX('_calc'!$C$2:$C$3001,$N704))</f>
        <v/>
      </c>
      <c r="E704" s="25" t="str">
        <f>IF($N704="","",INDEX('_calc'!$D$2:$D$3001,$N704))</f>
        <v/>
      </c>
      <c r="F704" s="26" t="str">
        <f>IF($N704="","",IF($E$8=0,"",E704/$E$8))</f>
        <v/>
      </c>
      <c r="G704" s="25" t="str">
        <f>IF($N704="","",INDEX('_calc'!$E$2:$E$3001,$N704))</f>
        <v/>
      </c>
      <c r="H704" s="25" t="str">
        <f>IF($N704="","",INDEX('_calc'!$F$2:$F$3001,$N704))</f>
        <v/>
      </c>
      <c r="I704" s="27" t="str">
        <f>IF($N704="","",INDEX('_calc'!$H$2:$H$3001,$N704))</f>
        <v/>
      </c>
      <c r="J704" s="27" t="str">
        <f>IF($N704="","",INDEX('_calc'!$I$2:$I$3001,$N704))</f>
        <v/>
      </c>
      <c r="K704" s="28" t="str">
        <f>IF($N704="","",IF(OR(I704="",J704=""),"",J704-I704))</f>
        <v/>
      </c>
      <c r="L704" s="29" t="str">
        <f>IF($N704="","",INDEX('_calc'!$J$2:$J$3001,$N704))</f>
        <v/>
      </c>
      <c r="M704" s="2" t="str">
        <f>IF($N704="","",IF(AND(G704=0,H704=0),"수량 없음",IF(G704=0,"신규 (전년 수량 없음)",IF(H704=0,"당해 수량 없음",""))))</f>
        <v/>
      </c>
      <c r="N704" t="str">
        <f>IF($B704="","",MATCH($B704,'_calc'!$L$2:$L$3001,0))</f>
        <v/>
      </c>
    </row>
    <row r="705">
      <c r="B705" s="24" t="str">
        <f>IF(ROW()-ROW($B$8)&gt;nComp,"",ROW()-ROW($B$8))</f>
        <v/>
      </c>
      <c r="C705" t="str">
        <f>IF($N705="","",INDEX('_calc'!$A$2:$A$3001,$N705))</f>
        <v/>
      </c>
      <c r="D705" s="25" t="str">
        <f>IF($N705="","",INDEX('_calc'!$C$2:$C$3001,$N705))</f>
        <v/>
      </c>
      <c r="E705" s="25" t="str">
        <f>IF($N705="","",INDEX('_calc'!$D$2:$D$3001,$N705))</f>
        <v/>
      </c>
      <c r="F705" s="26" t="str">
        <f>IF($N705="","",IF($E$8=0,"",E705/$E$8))</f>
        <v/>
      </c>
      <c r="G705" s="25" t="str">
        <f>IF($N705="","",INDEX('_calc'!$E$2:$E$3001,$N705))</f>
        <v/>
      </c>
      <c r="H705" s="25" t="str">
        <f>IF($N705="","",INDEX('_calc'!$F$2:$F$3001,$N705))</f>
        <v/>
      </c>
      <c r="I705" s="27" t="str">
        <f>IF($N705="","",INDEX('_calc'!$H$2:$H$3001,$N705))</f>
        <v/>
      </c>
      <c r="J705" s="27" t="str">
        <f>IF($N705="","",INDEX('_calc'!$I$2:$I$3001,$N705))</f>
        <v/>
      </c>
      <c r="K705" s="28" t="str">
        <f>IF($N705="","",IF(OR(I705="",J705=""),"",J705-I705))</f>
        <v/>
      </c>
      <c r="L705" s="29" t="str">
        <f>IF($N705="","",INDEX('_calc'!$J$2:$J$3001,$N705))</f>
        <v/>
      </c>
      <c r="M705" s="2" t="str">
        <f>IF($N705="","",IF(AND(G705=0,H705=0),"수량 없음",IF(G705=0,"신규 (전년 수량 없음)",IF(H705=0,"당해 수량 없음",""))))</f>
        <v/>
      </c>
      <c r="N705" t="str">
        <f>IF($B705="","",MATCH($B705,'_calc'!$L$2:$L$3001,0))</f>
        <v/>
      </c>
    </row>
    <row r="706">
      <c r="B706" s="24" t="str">
        <f>IF(ROW()-ROW($B$8)&gt;nComp,"",ROW()-ROW($B$8))</f>
        <v/>
      </c>
      <c r="C706" t="str">
        <f>IF($N706="","",INDEX('_calc'!$A$2:$A$3001,$N706))</f>
        <v/>
      </c>
      <c r="D706" s="25" t="str">
        <f>IF($N706="","",INDEX('_calc'!$C$2:$C$3001,$N706))</f>
        <v/>
      </c>
      <c r="E706" s="25" t="str">
        <f>IF($N706="","",INDEX('_calc'!$D$2:$D$3001,$N706))</f>
        <v/>
      </c>
      <c r="F706" s="26" t="str">
        <f>IF($N706="","",IF($E$8=0,"",E706/$E$8))</f>
        <v/>
      </c>
      <c r="G706" s="25" t="str">
        <f>IF($N706="","",INDEX('_calc'!$E$2:$E$3001,$N706))</f>
        <v/>
      </c>
      <c r="H706" s="25" t="str">
        <f>IF($N706="","",INDEX('_calc'!$F$2:$F$3001,$N706))</f>
        <v/>
      </c>
      <c r="I706" s="27" t="str">
        <f>IF($N706="","",INDEX('_calc'!$H$2:$H$3001,$N706))</f>
        <v/>
      </c>
      <c r="J706" s="27" t="str">
        <f>IF($N706="","",INDEX('_calc'!$I$2:$I$3001,$N706))</f>
        <v/>
      </c>
      <c r="K706" s="28" t="str">
        <f>IF($N706="","",IF(OR(I706="",J706=""),"",J706-I706))</f>
        <v/>
      </c>
      <c r="L706" s="29" t="str">
        <f>IF($N706="","",INDEX('_calc'!$J$2:$J$3001,$N706))</f>
        <v/>
      </c>
      <c r="M706" s="2" t="str">
        <f>IF($N706="","",IF(AND(G706=0,H706=0),"수량 없음",IF(G706=0,"신규 (전년 수량 없음)",IF(H706=0,"당해 수량 없음",""))))</f>
        <v/>
      </c>
      <c r="N706" t="str">
        <f>IF($B706="","",MATCH($B706,'_calc'!$L$2:$L$3001,0))</f>
        <v/>
      </c>
    </row>
    <row r="707">
      <c r="B707" s="24" t="str">
        <f>IF(ROW()-ROW($B$8)&gt;nComp,"",ROW()-ROW($B$8))</f>
        <v/>
      </c>
      <c r="C707" t="str">
        <f>IF($N707="","",INDEX('_calc'!$A$2:$A$3001,$N707))</f>
        <v/>
      </c>
      <c r="D707" s="25" t="str">
        <f>IF($N707="","",INDEX('_calc'!$C$2:$C$3001,$N707))</f>
        <v/>
      </c>
      <c r="E707" s="25" t="str">
        <f>IF($N707="","",INDEX('_calc'!$D$2:$D$3001,$N707))</f>
        <v/>
      </c>
      <c r="F707" s="26" t="str">
        <f>IF($N707="","",IF($E$8=0,"",E707/$E$8))</f>
        <v/>
      </c>
      <c r="G707" s="25" t="str">
        <f>IF($N707="","",INDEX('_calc'!$E$2:$E$3001,$N707))</f>
        <v/>
      </c>
      <c r="H707" s="25" t="str">
        <f>IF($N707="","",INDEX('_calc'!$F$2:$F$3001,$N707))</f>
        <v/>
      </c>
      <c r="I707" s="27" t="str">
        <f>IF($N707="","",INDEX('_calc'!$H$2:$H$3001,$N707))</f>
        <v/>
      </c>
      <c r="J707" s="27" t="str">
        <f>IF($N707="","",INDEX('_calc'!$I$2:$I$3001,$N707))</f>
        <v/>
      </c>
      <c r="K707" s="28" t="str">
        <f>IF($N707="","",IF(OR(I707="",J707=""),"",J707-I707))</f>
        <v/>
      </c>
      <c r="L707" s="29" t="str">
        <f>IF($N707="","",INDEX('_calc'!$J$2:$J$3001,$N707))</f>
        <v/>
      </c>
      <c r="M707" s="2" t="str">
        <f>IF($N707="","",IF(AND(G707=0,H707=0),"수량 없음",IF(G707=0,"신규 (전년 수량 없음)",IF(H707=0,"당해 수량 없음",""))))</f>
        <v/>
      </c>
      <c r="N707" t="str">
        <f>IF($B707="","",MATCH($B707,'_calc'!$L$2:$L$3001,0))</f>
        <v/>
      </c>
    </row>
    <row r="708">
      <c r="B708" s="24" t="str">
        <f>IF(ROW()-ROW($B$8)&gt;nComp,"",ROW()-ROW($B$8))</f>
        <v/>
      </c>
      <c r="C708" t="str">
        <f>IF($N708="","",INDEX('_calc'!$A$2:$A$3001,$N708))</f>
        <v/>
      </c>
      <c r="D708" s="25" t="str">
        <f>IF($N708="","",INDEX('_calc'!$C$2:$C$3001,$N708))</f>
        <v/>
      </c>
      <c r="E708" s="25" t="str">
        <f>IF($N708="","",INDEX('_calc'!$D$2:$D$3001,$N708))</f>
        <v/>
      </c>
      <c r="F708" s="26" t="str">
        <f>IF($N708="","",IF($E$8=0,"",E708/$E$8))</f>
        <v/>
      </c>
      <c r="G708" s="25" t="str">
        <f>IF($N708="","",INDEX('_calc'!$E$2:$E$3001,$N708))</f>
        <v/>
      </c>
      <c r="H708" s="25" t="str">
        <f>IF($N708="","",INDEX('_calc'!$F$2:$F$3001,$N708))</f>
        <v/>
      </c>
      <c r="I708" s="27" t="str">
        <f>IF($N708="","",INDEX('_calc'!$H$2:$H$3001,$N708))</f>
        <v/>
      </c>
      <c r="J708" s="27" t="str">
        <f>IF($N708="","",INDEX('_calc'!$I$2:$I$3001,$N708))</f>
        <v/>
      </c>
      <c r="K708" s="28" t="str">
        <f>IF($N708="","",IF(OR(I708="",J708=""),"",J708-I708))</f>
        <v/>
      </c>
      <c r="L708" s="29" t="str">
        <f>IF($N708="","",INDEX('_calc'!$J$2:$J$3001,$N708))</f>
        <v/>
      </c>
      <c r="M708" s="2" t="str">
        <f>IF($N708="","",IF(AND(G708=0,H708=0),"수량 없음",IF(G708=0,"신규 (전년 수량 없음)",IF(H708=0,"당해 수량 없음",""))))</f>
        <v/>
      </c>
      <c r="N708" t="str">
        <f>IF($B708="","",MATCH($B708,'_calc'!$L$2:$L$3001,0))</f>
        <v/>
      </c>
    </row>
    <row r="709">
      <c r="B709" s="24" t="str">
        <f>IF(ROW()-ROW($B$8)&gt;nComp,"",ROW()-ROW($B$8))</f>
        <v/>
      </c>
      <c r="C709" t="str">
        <f>IF($N709="","",INDEX('_calc'!$A$2:$A$3001,$N709))</f>
        <v/>
      </c>
      <c r="D709" s="25" t="str">
        <f>IF($N709="","",INDEX('_calc'!$C$2:$C$3001,$N709))</f>
        <v/>
      </c>
      <c r="E709" s="25" t="str">
        <f>IF($N709="","",INDEX('_calc'!$D$2:$D$3001,$N709))</f>
        <v/>
      </c>
      <c r="F709" s="26" t="str">
        <f>IF($N709="","",IF($E$8=0,"",E709/$E$8))</f>
        <v/>
      </c>
      <c r="G709" s="25" t="str">
        <f>IF($N709="","",INDEX('_calc'!$E$2:$E$3001,$N709))</f>
        <v/>
      </c>
      <c r="H709" s="25" t="str">
        <f>IF($N709="","",INDEX('_calc'!$F$2:$F$3001,$N709))</f>
        <v/>
      </c>
      <c r="I709" s="27" t="str">
        <f>IF($N709="","",INDEX('_calc'!$H$2:$H$3001,$N709))</f>
        <v/>
      </c>
      <c r="J709" s="27" t="str">
        <f>IF($N709="","",INDEX('_calc'!$I$2:$I$3001,$N709))</f>
        <v/>
      </c>
      <c r="K709" s="28" t="str">
        <f>IF($N709="","",IF(OR(I709="",J709=""),"",J709-I709))</f>
        <v/>
      </c>
      <c r="L709" s="29" t="str">
        <f>IF($N709="","",INDEX('_calc'!$J$2:$J$3001,$N709))</f>
        <v/>
      </c>
      <c r="M709" s="2" t="str">
        <f>IF($N709="","",IF(AND(G709=0,H709=0),"수량 없음",IF(G709=0,"신규 (전년 수량 없음)",IF(H709=0,"당해 수량 없음",""))))</f>
        <v/>
      </c>
      <c r="N709" t="str">
        <f>IF($B709="","",MATCH($B709,'_calc'!$L$2:$L$3001,0))</f>
        <v/>
      </c>
    </row>
    <row r="710">
      <c r="B710" s="24" t="str">
        <f>IF(ROW()-ROW($B$8)&gt;nComp,"",ROW()-ROW($B$8))</f>
        <v/>
      </c>
      <c r="C710" t="str">
        <f>IF($N710="","",INDEX('_calc'!$A$2:$A$3001,$N710))</f>
        <v/>
      </c>
      <c r="D710" s="25" t="str">
        <f>IF($N710="","",INDEX('_calc'!$C$2:$C$3001,$N710))</f>
        <v/>
      </c>
      <c r="E710" s="25" t="str">
        <f>IF($N710="","",INDEX('_calc'!$D$2:$D$3001,$N710))</f>
        <v/>
      </c>
      <c r="F710" s="26" t="str">
        <f>IF($N710="","",IF($E$8=0,"",E710/$E$8))</f>
        <v/>
      </c>
      <c r="G710" s="25" t="str">
        <f>IF($N710="","",INDEX('_calc'!$E$2:$E$3001,$N710))</f>
        <v/>
      </c>
      <c r="H710" s="25" t="str">
        <f>IF($N710="","",INDEX('_calc'!$F$2:$F$3001,$N710))</f>
        <v/>
      </c>
      <c r="I710" s="27" t="str">
        <f>IF($N710="","",INDEX('_calc'!$H$2:$H$3001,$N710))</f>
        <v/>
      </c>
      <c r="J710" s="27" t="str">
        <f>IF($N710="","",INDEX('_calc'!$I$2:$I$3001,$N710))</f>
        <v/>
      </c>
      <c r="K710" s="28" t="str">
        <f>IF($N710="","",IF(OR(I710="",J710=""),"",J710-I710))</f>
        <v/>
      </c>
      <c r="L710" s="29" t="str">
        <f>IF($N710="","",INDEX('_calc'!$J$2:$J$3001,$N710))</f>
        <v/>
      </c>
      <c r="M710" s="2" t="str">
        <f>IF($N710="","",IF(AND(G710=0,H710=0),"수량 없음",IF(G710=0,"신규 (전년 수량 없음)",IF(H710=0,"당해 수량 없음",""))))</f>
        <v/>
      </c>
      <c r="N710" t="str">
        <f>IF($B710="","",MATCH($B710,'_calc'!$L$2:$L$3001,0))</f>
        <v/>
      </c>
    </row>
    <row r="711">
      <c r="B711" s="24" t="str">
        <f>IF(ROW()-ROW($B$8)&gt;nComp,"",ROW()-ROW($B$8))</f>
        <v/>
      </c>
      <c r="C711" t="str">
        <f>IF($N711="","",INDEX('_calc'!$A$2:$A$3001,$N711))</f>
        <v/>
      </c>
      <c r="D711" s="25" t="str">
        <f>IF($N711="","",INDEX('_calc'!$C$2:$C$3001,$N711))</f>
        <v/>
      </c>
      <c r="E711" s="25" t="str">
        <f>IF($N711="","",INDEX('_calc'!$D$2:$D$3001,$N711))</f>
        <v/>
      </c>
      <c r="F711" s="26" t="str">
        <f>IF($N711="","",IF($E$8=0,"",E711/$E$8))</f>
        <v/>
      </c>
      <c r="G711" s="25" t="str">
        <f>IF($N711="","",INDEX('_calc'!$E$2:$E$3001,$N711))</f>
        <v/>
      </c>
      <c r="H711" s="25" t="str">
        <f>IF($N711="","",INDEX('_calc'!$F$2:$F$3001,$N711))</f>
        <v/>
      </c>
      <c r="I711" s="27" t="str">
        <f>IF($N711="","",INDEX('_calc'!$H$2:$H$3001,$N711))</f>
        <v/>
      </c>
      <c r="J711" s="27" t="str">
        <f>IF($N711="","",INDEX('_calc'!$I$2:$I$3001,$N711))</f>
        <v/>
      </c>
      <c r="K711" s="28" t="str">
        <f>IF($N711="","",IF(OR(I711="",J711=""),"",J711-I711))</f>
        <v/>
      </c>
      <c r="L711" s="29" t="str">
        <f>IF($N711="","",INDEX('_calc'!$J$2:$J$3001,$N711))</f>
        <v/>
      </c>
      <c r="M711" s="2" t="str">
        <f>IF($N711="","",IF(AND(G711=0,H711=0),"수량 없음",IF(G711=0,"신규 (전년 수량 없음)",IF(H711=0,"당해 수량 없음",""))))</f>
        <v/>
      </c>
      <c r="N711" t="str">
        <f>IF($B711="","",MATCH($B711,'_calc'!$L$2:$L$3001,0))</f>
        <v/>
      </c>
    </row>
    <row r="712">
      <c r="B712" s="24" t="str">
        <f>IF(ROW()-ROW($B$8)&gt;nComp,"",ROW()-ROW($B$8))</f>
        <v/>
      </c>
      <c r="C712" t="str">
        <f>IF($N712="","",INDEX('_calc'!$A$2:$A$3001,$N712))</f>
        <v/>
      </c>
      <c r="D712" s="25" t="str">
        <f>IF($N712="","",INDEX('_calc'!$C$2:$C$3001,$N712))</f>
        <v/>
      </c>
      <c r="E712" s="25" t="str">
        <f>IF($N712="","",INDEX('_calc'!$D$2:$D$3001,$N712))</f>
        <v/>
      </c>
      <c r="F712" s="26" t="str">
        <f>IF($N712="","",IF($E$8=0,"",E712/$E$8))</f>
        <v/>
      </c>
      <c r="G712" s="25" t="str">
        <f>IF($N712="","",INDEX('_calc'!$E$2:$E$3001,$N712))</f>
        <v/>
      </c>
      <c r="H712" s="25" t="str">
        <f>IF($N712="","",INDEX('_calc'!$F$2:$F$3001,$N712))</f>
        <v/>
      </c>
      <c r="I712" s="27" t="str">
        <f>IF($N712="","",INDEX('_calc'!$H$2:$H$3001,$N712))</f>
        <v/>
      </c>
      <c r="J712" s="27" t="str">
        <f>IF($N712="","",INDEX('_calc'!$I$2:$I$3001,$N712))</f>
        <v/>
      </c>
      <c r="K712" s="28" t="str">
        <f>IF($N712="","",IF(OR(I712="",J712=""),"",J712-I712))</f>
        <v/>
      </c>
      <c r="L712" s="29" t="str">
        <f>IF($N712="","",INDEX('_calc'!$J$2:$J$3001,$N712))</f>
        <v/>
      </c>
      <c r="M712" s="2" t="str">
        <f>IF($N712="","",IF(AND(G712=0,H712=0),"수량 없음",IF(G712=0,"신규 (전년 수량 없음)",IF(H712=0,"당해 수량 없음",""))))</f>
        <v/>
      </c>
      <c r="N712" t="str">
        <f>IF($B712="","",MATCH($B712,'_calc'!$L$2:$L$3001,0))</f>
        <v/>
      </c>
    </row>
    <row r="713">
      <c r="B713" s="24" t="str">
        <f>IF(ROW()-ROW($B$8)&gt;nComp,"",ROW()-ROW($B$8))</f>
        <v/>
      </c>
      <c r="C713" t="str">
        <f>IF($N713="","",INDEX('_calc'!$A$2:$A$3001,$N713))</f>
        <v/>
      </c>
      <c r="D713" s="25" t="str">
        <f>IF($N713="","",INDEX('_calc'!$C$2:$C$3001,$N713))</f>
        <v/>
      </c>
      <c r="E713" s="25" t="str">
        <f>IF($N713="","",INDEX('_calc'!$D$2:$D$3001,$N713))</f>
        <v/>
      </c>
      <c r="F713" s="26" t="str">
        <f>IF($N713="","",IF($E$8=0,"",E713/$E$8))</f>
        <v/>
      </c>
      <c r="G713" s="25" t="str">
        <f>IF($N713="","",INDEX('_calc'!$E$2:$E$3001,$N713))</f>
        <v/>
      </c>
      <c r="H713" s="25" t="str">
        <f>IF($N713="","",INDEX('_calc'!$F$2:$F$3001,$N713))</f>
        <v/>
      </c>
      <c r="I713" s="27" t="str">
        <f>IF($N713="","",INDEX('_calc'!$H$2:$H$3001,$N713))</f>
        <v/>
      </c>
      <c r="J713" s="27" t="str">
        <f>IF($N713="","",INDEX('_calc'!$I$2:$I$3001,$N713))</f>
        <v/>
      </c>
      <c r="K713" s="28" t="str">
        <f>IF($N713="","",IF(OR(I713="",J713=""),"",J713-I713))</f>
        <v/>
      </c>
      <c r="L713" s="29" t="str">
        <f>IF($N713="","",INDEX('_calc'!$J$2:$J$3001,$N713))</f>
        <v/>
      </c>
      <c r="M713" s="2" t="str">
        <f>IF($N713="","",IF(AND(G713=0,H713=0),"수량 없음",IF(G713=0,"신규 (전년 수량 없음)",IF(H713=0,"당해 수량 없음",""))))</f>
        <v/>
      </c>
      <c r="N713" t="str">
        <f>IF($B713="","",MATCH($B713,'_calc'!$L$2:$L$3001,0))</f>
        <v/>
      </c>
    </row>
    <row r="714">
      <c r="B714" s="24" t="str">
        <f>IF(ROW()-ROW($B$8)&gt;nComp,"",ROW()-ROW($B$8))</f>
        <v/>
      </c>
      <c r="C714" t="str">
        <f>IF($N714="","",INDEX('_calc'!$A$2:$A$3001,$N714))</f>
        <v/>
      </c>
      <c r="D714" s="25" t="str">
        <f>IF($N714="","",INDEX('_calc'!$C$2:$C$3001,$N714))</f>
        <v/>
      </c>
      <c r="E714" s="25" t="str">
        <f>IF($N714="","",INDEX('_calc'!$D$2:$D$3001,$N714))</f>
        <v/>
      </c>
      <c r="F714" s="26" t="str">
        <f>IF($N714="","",IF($E$8=0,"",E714/$E$8))</f>
        <v/>
      </c>
      <c r="G714" s="25" t="str">
        <f>IF($N714="","",INDEX('_calc'!$E$2:$E$3001,$N714))</f>
        <v/>
      </c>
      <c r="H714" s="25" t="str">
        <f>IF($N714="","",INDEX('_calc'!$F$2:$F$3001,$N714))</f>
        <v/>
      </c>
      <c r="I714" s="27" t="str">
        <f>IF($N714="","",INDEX('_calc'!$H$2:$H$3001,$N714))</f>
        <v/>
      </c>
      <c r="J714" s="27" t="str">
        <f>IF($N714="","",INDEX('_calc'!$I$2:$I$3001,$N714))</f>
        <v/>
      </c>
      <c r="K714" s="28" t="str">
        <f>IF($N714="","",IF(OR(I714="",J714=""),"",J714-I714))</f>
        <v/>
      </c>
      <c r="L714" s="29" t="str">
        <f>IF($N714="","",INDEX('_calc'!$J$2:$J$3001,$N714))</f>
        <v/>
      </c>
      <c r="M714" s="2" t="str">
        <f>IF($N714="","",IF(AND(G714=0,H714=0),"수량 없음",IF(G714=0,"신규 (전년 수량 없음)",IF(H714=0,"당해 수량 없음",""))))</f>
        <v/>
      </c>
      <c r="N714" t="str">
        <f>IF($B714="","",MATCH($B714,'_calc'!$L$2:$L$3001,0))</f>
        <v/>
      </c>
    </row>
    <row r="715">
      <c r="B715" s="24" t="str">
        <f>IF(ROW()-ROW($B$8)&gt;nComp,"",ROW()-ROW($B$8))</f>
        <v/>
      </c>
      <c r="C715" t="str">
        <f>IF($N715="","",INDEX('_calc'!$A$2:$A$3001,$N715))</f>
        <v/>
      </c>
      <c r="D715" s="25" t="str">
        <f>IF($N715="","",INDEX('_calc'!$C$2:$C$3001,$N715))</f>
        <v/>
      </c>
      <c r="E715" s="25" t="str">
        <f>IF($N715="","",INDEX('_calc'!$D$2:$D$3001,$N715))</f>
        <v/>
      </c>
      <c r="F715" s="26" t="str">
        <f>IF($N715="","",IF($E$8=0,"",E715/$E$8))</f>
        <v/>
      </c>
      <c r="G715" s="25" t="str">
        <f>IF($N715="","",INDEX('_calc'!$E$2:$E$3001,$N715))</f>
        <v/>
      </c>
      <c r="H715" s="25" t="str">
        <f>IF($N715="","",INDEX('_calc'!$F$2:$F$3001,$N715))</f>
        <v/>
      </c>
      <c r="I715" s="27" t="str">
        <f>IF($N715="","",INDEX('_calc'!$H$2:$H$3001,$N715))</f>
        <v/>
      </c>
      <c r="J715" s="27" t="str">
        <f>IF($N715="","",INDEX('_calc'!$I$2:$I$3001,$N715))</f>
        <v/>
      </c>
      <c r="K715" s="28" t="str">
        <f>IF($N715="","",IF(OR(I715="",J715=""),"",J715-I715))</f>
        <v/>
      </c>
      <c r="L715" s="29" t="str">
        <f>IF($N715="","",INDEX('_calc'!$J$2:$J$3001,$N715))</f>
        <v/>
      </c>
      <c r="M715" s="2" t="str">
        <f>IF($N715="","",IF(AND(G715=0,H715=0),"수량 없음",IF(G715=0,"신규 (전년 수량 없음)",IF(H715=0,"당해 수량 없음",""))))</f>
        <v/>
      </c>
      <c r="N715" t="str">
        <f>IF($B715="","",MATCH($B715,'_calc'!$L$2:$L$3001,0))</f>
        <v/>
      </c>
    </row>
    <row r="716">
      <c r="B716" s="24" t="str">
        <f>IF(ROW()-ROW($B$8)&gt;nComp,"",ROW()-ROW($B$8))</f>
        <v/>
      </c>
      <c r="C716" t="str">
        <f>IF($N716="","",INDEX('_calc'!$A$2:$A$3001,$N716))</f>
        <v/>
      </c>
      <c r="D716" s="25" t="str">
        <f>IF($N716="","",INDEX('_calc'!$C$2:$C$3001,$N716))</f>
        <v/>
      </c>
      <c r="E716" s="25" t="str">
        <f>IF($N716="","",INDEX('_calc'!$D$2:$D$3001,$N716))</f>
        <v/>
      </c>
      <c r="F716" s="26" t="str">
        <f>IF($N716="","",IF($E$8=0,"",E716/$E$8))</f>
        <v/>
      </c>
      <c r="G716" s="25" t="str">
        <f>IF($N716="","",INDEX('_calc'!$E$2:$E$3001,$N716))</f>
        <v/>
      </c>
      <c r="H716" s="25" t="str">
        <f>IF($N716="","",INDEX('_calc'!$F$2:$F$3001,$N716))</f>
        <v/>
      </c>
      <c r="I716" s="27" t="str">
        <f>IF($N716="","",INDEX('_calc'!$H$2:$H$3001,$N716))</f>
        <v/>
      </c>
      <c r="J716" s="27" t="str">
        <f>IF($N716="","",INDEX('_calc'!$I$2:$I$3001,$N716))</f>
        <v/>
      </c>
      <c r="K716" s="28" t="str">
        <f>IF($N716="","",IF(OR(I716="",J716=""),"",J716-I716))</f>
        <v/>
      </c>
      <c r="L716" s="29" t="str">
        <f>IF($N716="","",INDEX('_calc'!$J$2:$J$3001,$N716))</f>
        <v/>
      </c>
      <c r="M716" s="2" t="str">
        <f>IF($N716="","",IF(AND(G716=0,H716=0),"수량 없음",IF(G716=0,"신규 (전년 수량 없음)",IF(H716=0,"당해 수량 없음",""))))</f>
        <v/>
      </c>
      <c r="N716" t="str">
        <f>IF($B716="","",MATCH($B716,'_calc'!$L$2:$L$3001,0))</f>
        <v/>
      </c>
    </row>
    <row r="717">
      <c r="B717" s="24" t="str">
        <f>IF(ROW()-ROW($B$8)&gt;nComp,"",ROW()-ROW($B$8))</f>
        <v/>
      </c>
      <c r="C717" t="str">
        <f>IF($N717="","",INDEX('_calc'!$A$2:$A$3001,$N717))</f>
        <v/>
      </c>
      <c r="D717" s="25" t="str">
        <f>IF($N717="","",INDEX('_calc'!$C$2:$C$3001,$N717))</f>
        <v/>
      </c>
      <c r="E717" s="25" t="str">
        <f>IF($N717="","",INDEX('_calc'!$D$2:$D$3001,$N717))</f>
        <v/>
      </c>
      <c r="F717" s="26" t="str">
        <f>IF($N717="","",IF($E$8=0,"",E717/$E$8))</f>
        <v/>
      </c>
      <c r="G717" s="25" t="str">
        <f>IF($N717="","",INDEX('_calc'!$E$2:$E$3001,$N717))</f>
        <v/>
      </c>
      <c r="H717" s="25" t="str">
        <f>IF($N717="","",INDEX('_calc'!$F$2:$F$3001,$N717))</f>
        <v/>
      </c>
      <c r="I717" s="27" t="str">
        <f>IF($N717="","",INDEX('_calc'!$H$2:$H$3001,$N717))</f>
        <v/>
      </c>
      <c r="J717" s="27" t="str">
        <f>IF($N717="","",INDEX('_calc'!$I$2:$I$3001,$N717))</f>
        <v/>
      </c>
      <c r="K717" s="28" t="str">
        <f>IF($N717="","",IF(OR(I717="",J717=""),"",J717-I717))</f>
        <v/>
      </c>
      <c r="L717" s="29" t="str">
        <f>IF($N717="","",INDEX('_calc'!$J$2:$J$3001,$N717))</f>
        <v/>
      </c>
      <c r="M717" s="2" t="str">
        <f>IF($N717="","",IF(AND(G717=0,H717=0),"수량 없음",IF(G717=0,"신규 (전년 수량 없음)",IF(H717=0,"당해 수량 없음",""))))</f>
        <v/>
      </c>
      <c r="N717" t="str">
        <f>IF($B717="","",MATCH($B717,'_calc'!$L$2:$L$3001,0))</f>
        <v/>
      </c>
    </row>
    <row r="718">
      <c r="B718" s="24" t="str">
        <f>IF(ROW()-ROW($B$8)&gt;nComp,"",ROW()-ROW($B$8))</f>
        <v/>
      </c>
      <c r="C718" t="str">
        <f>IF($N718="","",INDEX('_calc'!$A$2:$A$3001,$N718))</f>
        <v/>
      </c>
      <c r="D718" s="25" t="str">
        <f>IF($N718="","",INDEX('_calc'!$C$2:$C$3001,$N718))</f>
        <v/>
      </c>
      <c r="E718" s="25" t="str">
        <f>IF($N718="","",INDEX('_calc'!$D$2:$D$3001,$N718))</f>
        <v/>
      </c>
      <c r="F718" s="26" t="str">
        <f>IF($N718="","",IF($E$8=0,"",E718/$E$8))</f>
        <v/>
      </c>
      <c r="G718" s="25" t="str">
        <f>IF($N718="","",INDEX('_calc'!$E$2:$E$3001,$N718))</f>
        <v/>
      </c>
      <c r="H718" s="25" t="str">
        <f>IF($N718="","",INDEX('_calc'!$F$2:$F$3001,$N718))</f>
        <v/>
      </c>
      <c r="I718" s="27" t="str">
        <f>IF($N718="","",INDEX('_calc'!$H$2:$H$3001,$N718))</f>
        <v/>
      </c>
      <c r="J718" s="27" t="str">
        <f>IF($N718="","",INDEX('_calc'!$I$2:$I$3001,$N718))</f>
        <v/>
      </c>
      <c r="K718" s="28" t="str">
        <f>IF($N718="","",IF(OR(I718="",J718=""),"",J718-I718))</f>
        <v/>
      </c>
      <c r="L718" s="29" t="str">
        <f>IF($N718="","",INDEX('_calc'!$J$2:$J$3001,$N718))</f>
        <v/>
      </c>
      <c r="M718" s="2" t="str">
        <f>IF($N718="","",IF(AND(G718=0,H718=0),"수량 없음",IF(G718=0,"신규 (전년 수량 없음)",IF(H718=0,"당해 수량 없음",""))))</f>
        <v/>
      </c>
      <c r="N718" t="str">
        <f>IF($B718="","",MATCH($B718,'_calc'!$L$2:$L$3001,0))</f>
        <v/>
      </c>
    </row>
    <row r="719">
      <c r="B719" s="24" t="str">
        <f>IF(ROW()-ROW($B$8)&gt;nComp,"",ROW()-ROW($B$8))</f>
        <v/>
      </c>
      <c r="C719" t="str">
        <f>IF($N719="","",INDEX('_calc'!$A$2:$A$3001,$N719))</f>
        <v/>
      </c>
      <c r="D719" s="25" t="str">
        <f>IF($N719="","",INDEX('_calc'!$C$2:$C$3001,$N719))</f>
        <v/>
      </c>
      <c r="E719" s="25" t="str">
        <f>IF($N719="","",INDEX('_calc'!$D$2:$D$3001,$N719))</f>
        <v/>
      </c>
      <c r="F719" s="26" t="str">
        <f>IF($N719="","",IF($E$8=0,"",E719/$E$8))</f>
        <v/>
      </c>
      <c r="G719" s="25" t="str">
        <f>IF($N719="","",INDEX('_calc'!$E$2:$E$3001,$N719))</f>
        <v/>
      </c>
      <c r="H719" s="25" t="str">
        <f>IF($N719="","",INDEX('_calc'!$F$2:$F$3001,$N719))</f>
        <v/>
      </c>
      <c r="I719" s="27" t="str">
        <f>IF($N719="","",INDEX('_calc'!$H$2:$H$3001,$N719))</f>
        <v/>
      </c>
      <c r="J719" s="27" t="str">
        <f>IF($N719="","",INDEX('_calc'!$I$2:$I$3001,$N719))</f>
        <v/>
      </c>
      <c r="K719" s="28" t="str">
        <f>IF($N719="","",IF(OR(I719="",J719=""),"",J719-I719))</f>
        <v/>
      </c>
      <c r="L719" s="29" t="str">
        <f>IF($N719="","",INDEX('_calc'!$J$2:$J$3001,$N719))</f>
        <v/>
      </c>
      <c r="M719" s="2" t="str">
        <f>IF($N719="","",IF(AND(G719=0,H719=0),"수량 없음",IF(G719=0,"신규 (전년 수량 없음)",IF(H719=0,"당해 수량 없음",""))))</f>
        <v/>
      </c>
      <c r="N719" t="str">
        <f>IF($B719="","",MATCH($B719,'_calc'!$L$2:$L$3001,0))</f>
        <v/>
      </c>
    </row>
    <row r="720">
      <c r="B720" s="24" t="str">
        <f>IF(ROW()-ROW($B$8)&gt;nComp,"",ROW()-ROW($B$8))</f>
        <v/>
      </c>
      <c r="C720" t="str">
        <f>IF($N720="","",INDEX('_calc'!$A$2:$A$3001,$N720))</f>
        <v/>
      </c>
      <c r="D720" s="25" t="str">
        <f>IF($N720="","",INDEX('_calc'!$C$2:$C$3001,$N720))</f>
        <v/>
      </c>
      <c r="E720" s="25" t="str">
        <f>IF($N720="","",INDEX('_calc'!$D$2:$D$3001,$N720))</f>
        <v/>
      </c>
      <c r="F720" s="26" t="str">
        <f>IF($N720="","",IF($E$8=0,"",E720/$E$8))</f>
        <v/>
      </c>
      <c r="G720" s="25" t="str">
        <f>IF($N720="","",INDEX('_calc'!$E$2:$E$3001,$N720))</f>
        <v/>
      </c>
      <c r="H720" s="25" t="str">
        <f>IF($N720="","",INDEX('_calc'!$F$2:$F$3001,$N720))</f>
        <v/>
      </c>
      <c r="I720" s="27" t="str">
        <f>IF($N720="","",INDEX('_calc'!$H$2:$H$3001,$N720))</f>
        <v/>
      </c>
      <c r="J720" s="27" t="str">
        <f>IF($N720="","",INDEX('_calc'!$I$2:$I$3001,$N720))</f>
        <v/>
      </c>
      <c r="K720" s="28" t="str">
        <f>IF($N720="","",IF(OR(I720="",J720=""),"",J720-I720))</f>
        <v/>
      </c>
      <c r="L720" s="29" t="str">
        <f>IF($N720="","",INDEX('_calc'!$J$2:$J$3001,$N720))</f>
        <v/>
      </c>
      <c r="M720" s="2" t="str">
        <f>IF($N720="","",IF(AND(G720=0,H720=0),"수량 없음",IF(G720=0,"신규 (전년 수량 없음)",IF(H720=0,"당해 수량 없음",""))))</f>
        <v/>
      </c>
      <c r="N720" t="str">
        <f>IF($B720="","",MATCH($B720,'_calc'!$L$2:$L$3001,0))</f>
        <v/>
      </c>
    </row>
    <row r="721">
      <c r="B721" s="24" t="str">
        <f>IF(ROW()-ROW($B$8)&gt;nComp,"",ROW()-ROW($B$8))</f>
        <v/>
      </c>
      <c r="C721" t="str">
        <f>IF($N721="","",INDEX('_calc'!$A$2:$A$3001,$N721))</f>
        <v/>
      </c>
      <c r="D721" s="25" t="str">
        <f>IF($N721="","",INDEX('_calc'!$C$2:$C$3001,$N721))</f>
        <v/>
      </c>
      <c r="E721" s="25" t="str">
        <f>IF($N721="","",INDEX('_calc'!$D$2:$D$3001,$N721))</f>
        <v/>
      </c>
      <c r="F721" s="26" t="str">
        <f>IF($N721="","",IF($E$8=0,"",E721/$E$8))</f>
        <v/>
      </c>
      <c r="G721" s="25" t="str">
        <f>IF($N721="","",INDEX('_calc'!$E$2:$E$3001,$N721))</f>
        <v/>
      </c>
      <c r="H721" s="25" t="str">
        <f>IF($N721="","",INDEX('_calc'!$F$2:$F$3001,$N721))</f>
        <v/>
      </c>
      <c r="I721" s="27" t="str">
        <f>IF($N721="","",INDEX('_calc'!$H$2:$H$3001,$N721))</f>
        <v/>
      </c>
      <c r="J721" s="27" t="str">
        <f>IF($N721="","",INDEX('_calc'!$I$2:$I$3001,$N721))</f>
        <v/>
      </c>
      <c r="K721" s="28" t="str">
        <f>IF($N721="","",IF(OR(I721="",J721=""),"",J721-I721))</f>
        <v/>
      </c>
      <c r="L721" s="29" t="str">
        <f>IF($N721="","",INDEX('_calc'!$J$2:$J$3001,$N721))</f>
        <v/>
      </c>
      <c r="M721" s="2" t="str">
        <f>IF($N721="","",IF(AND(G721=0,H721=0),"수량 없음",IF(G721=0,"신규 (전년 수량 없음)",IF(H721=0,"당해 수량 없음",""))))</f>
        <v/>
      </c>
      <c r="N721" t="str">
        <f>IF($B721="","",MATCH($B721,'_calc'!$L$2:$L$3001,0))</f>
        <v/>
      </c>
    </row>
    <row r="722">
      <c r="B722" s="24" t="str">
        <f>IF(ROW()-ROW($B$8)&gt;nComp,"",ROW()-ROW($B$8))</f>
        <v/>
      </c>
      <c r="C722" t="str">
        <f>IF($N722="","",INDEX('_calc'!$A$2:$A$3001,$N722))</f>
        <v/>
      </c>
      <c r="D722" s="25" t="str">
        <f>IF($N722="","",INDEX('_calc'!$C$2:$C$3001,$N722))</f>
        <v/>
      </c>
      <c r="E722" s="25" t="str">
        <f>IF($N722="","",INDEX('_calc'!$D$2:$D$3001,$N722))</f>
        <v/>
      </c>
      <c r="F722" s="26" t="str">
        <f>IF($N722="","",IF($E$8=0,"",E722/$E$8))</f>
        <v/>
      </c>
      <c r="G722" s="25" t="str">
        <f>IF($N722="","",INDEX('_calc'!$E$2:$E$3001,$N722))</f>
        <v/>
      </c>
      <c r="H722" s="25" t="str">
        <f>IF($N722="","",INDEX('_calc'!$F$2:$F$3001,$N722))</f>
        <v/>
      </c>
      <c r="I722" s="27" t="str">
        <f>IF($N722="","",INDEX('_calc'!$H$2:$H$3001,$N722))</f>
        <v/>
      </c>
      <c r="J722" s="27" t="str">
        <f>IF($N722="","",INDEX('_calc'!$I$2:$I$3001,$N722))</f>
        <v/>
      </c>
      <c r="K722" s="28" t="str">
        <f>IF($N722="","",IF(OR(I722="",J722=""),"",J722-I722))</f>
        <v/>
      </c>
      <c r="L722" s="29" t="str">
        <f>IF($N722="","",INDEX('_calc'!$J$2:$J$3001,$N722))</f>
        <v/>
      </c>
      <c r="M722" s="2" t="str">
        <f>IF($N722="","",IF(AND(G722=0,H722=0),"수량 없음",IF(G722=0,"신규 (전년 수량 없음)",IF(H722=0,"당해 수량 없음",""))))</f>
        <v/>
      </c>
      <c r="N722" t="str">
        <f>IF($B722="","",MATCH($B722,'_calc'!$L$2:$L$3001,0))</f>
        <v/>
      </c>
    </row>
    <row r="723">
      <c r="B723" s="24" t="str">
        <f>IF(ROW()-ROW($B$8)&gt;nComp,"",ROW()-ROW($B$8))</f>
        <v/>
      </c>
      <c r="C723" t="str">
        <f>IF($N723="","",INDEX('_calc'!$A$2:$A$3001,$N723))</f>
        <v/>
      </c>
      <c r="D723" s="25" t="str">
        <f>IF($N723="","",INDEX('_calc'!$C$2:$C$3001,$N723))</f>
        <v/>
      </c>
      <c r="E723" s="25" t="str">
        <f>IF($N723="","",INDEX('_calc'!$D$2:$D$3001,$N723))</f>
        <v/>
      </c>
      <c r="F723" s="26" t="str">
        <f>IF($N723="","",IF($E$8=0,"",E723/$E$8))</f>
        <v/>
      </c>
      <c r="G723" s="25" t="str">
        <f>IF($N723="","",INDEX('_calc'!$E$2:$E$3001,$N723))</f>
        <v/>
      </c>
      <c r="H723" s="25" t="str">
        <f>IF($N723="","",INDEX('_calc'!$F$2:$F$3001,$N723))</f>
        <v/>
      </c>
      <c r="I723" s="27" t="str">
        <f>IF($N723="","",INDEX('_calc'!$H$2:$H$3001,$N723))</f>
        <v/>
      </c>
      <c r="J723" s="27" t="str">
        <f>IF($N723="","",INDEX('_calc'!$I$2:$I$3001,$N723))</f>
        <v/>
      </c>
      <c r="K723" s="28" t="str">
        <f>IF($N723="","",IF(OR(I723="",J723=""),"",J723-I723))</f>
        <v/>
      </c>
      <c r="L723" s="29" t="str">
        <f>IF($N723="","",INDEX('_calc'!$J$2:$J$3001,$N723))</f>
        <v/>
      </c>
      <c r="M723" s="2" t="str">
        <f>IF($N723="","",IF(AND(G723=0,H723=0),"수량 없음",IF(G723=0,"신규 (전년 수량 없음)",IF(H723=0,"당해 수량 없음",""))))</f>
        <v/>
      </c>
      <c r="N723" t="str">
        <f>IF($B723="","",MATCH($B723,'_calc'!$L$2:$L$3001,0))</f>
        <v/>
      </c>
    </row>
    <row r="724">
      <c r="B724" s="24" t="str">
        <f>IF(ROW()-ROW($B$8)&gt;nComp,"",ROW()-ROW($B$8))</f>
        <v/>
      </c>
      <c r="C724" t="str">
        <f>IF($N724="","",INDEX('_calc'!$A$2:$A$3001,$N724))</f>
        <v/>
      </c>
      <c r="D724" s="25" t="str">
        <f>IF($N724="","",INDEX('_calc'!$C$2:$C$3001,$N724))</f>
        <v/>
      </c>
      <c r="E724" s="25" t="str">
        <f>IF($N724="","",INDEX('_calc'!$D$2:$D$3001,$N724))</f>
        <v/>
      </c>
      <c r="F724" s="26" t="str">
        <f>IF($N724="","",IF($E$8=0,"",E724/$E$8))</f>
        <v/>
      </c>
      <c r="G724" s="25" t="str">
        <f>IF($N724="","",INDEX('_calc'!$E$2:$E$3001,$N724))</f>
        <v/>
      </c>
      <c r="H724" s="25" t="str">
        <f>IF($N724="","",INDEX('_calc'!$F$2:$F$3001,$N724))</f>
        <v/>
      </c>
      <c r="I724" s="27" t="str">
        <f>IF($N724="","",INDEX('_calc'!$H$2:$H$3001,$N724))</f>
        <v/>
      </c>
      <c r="J724" s="27" t="str">
        <f>IF($N724="","",INDEX('_calc'!$I$2:$I$3001,$N724))</f>
        <v/>
      </c>
      <c r="K724" s="28" t="str">
        <f>IF($N724="","",IF(OR(I724="",J724=""),"",J724-I724))</f>
        <v/>
      </c>
      <c r="L724" s="29" t="str">
        <f>IF($N724="","",INDEX('_calc'!$J$2:$J$3001,$N724))</f>
        <v/>
      </c>
      <c r="M724" s="2" t="str">
        <f>IF($N724="","",IF(AND(G724=0,H724=0),"수량 없음",IF(G724=0,"신규 (전년 수량 없음)",IF(H724=0,"당해 수량 없음",""))))</f>
        <v/>
      </c>
      <c r="N724" t="str">
        <f>IF($B724="","",MATCH($B724,'_calc'!$L$2:$L$3001,0))</f>
        <v/>
      </c>
    </row>
    <row r="725">
      <c r="B725" s="24" t="str">
        <f>IF(ROW()-ROW($B$8)&gt;nComp,"",ROW()-ROW($B$8))</f>
        <v/>
      </c>
      <c r="C725" t="str">
        <f>IF($N725="","",INDEX('_calc'!$A$2:$A$3001,$N725))</f>
        <v/>
      </c>
      <c r="D725" s="25" t="str">
        <f>IF($N725="","",INDEX('_calc'!$C$2:$C$3001,$N725))</f>
        <v/>
      </c>
      <c r="E725" s="25" t="str">
        <f>IF($N725="","",INDEX('_calc'!$D$2:$D$3001,$N725))</f>
        <v/>
      </c>
      <c r="F725" s="26" t="str">
        <f>IF($N725="","",IF($E$8=0,"",E725/$E$8))</f>
        <v/>
      </c>
      <c r="G725" s="25" t="str">
        <f>IF($N725="","",INDEX('_calc'!$E$2:$E$3001,$N725))</f>
        <v/>
      </c>
      <c r="H725" s="25" t="str">
        <f>IF($N725="","",INDEX('_calc'!$F$2:$F$3001,$N725))</f>
        <v/>
      </c>
      <c r="I725" s="27" t="str">
        <f>IF($N725="","",INDEX('_calc'!$H$2:$H$3001,$N725))</f>
        <v/>
      </c>
      <c r="J725" s="27" t="str">
        <f>IF($N725="","",INDEX('_calc'!$I$2:$I$3001,$N725))</f>
        <v/>
      </c>
      <c r="K725" s="28" t="str">
        <f>IF($N725="","",IF(OR(I725="",J725=""),"",J725-I725))</f>
        <v/>
      </c>
      <c r="L725" s="29" t="str">
        <f>IF($N725="","",INDEX('_calc'!$J$2:$J$3001,$N725))</f>
        <v/>
      </c>
      <c r="M725" s="2" t="str">
        <f>IF($N725="","",IF(AND(G725=0,H725=0),"수량 없음",IF(G725=0,"신규 (전년 수량 없음)",IF(H725=0,"당해 수량 없음",""))))</f>
        <v/>
      </c>
      <c r="N725" t="str">
        <f>IF($B725="","",MATCH($B725,'_calc'!$L$2:$L$3001,0))</f>
        <v/>
      </c>
    </row>
    <row r="726">
      <c r="B726" s="24" t="str">
        <f>IF(ROW()-ROW($B$8)&gt;nComp,"",ROW()-ROW($B$8))</f>
        <v/>
      </c>
      <c r="C726" t="str">
        <f>IF($N726="","",INDEX('_calc'!$A$2:$A$3001,$N726))</f>
        <v/>
      </c>
      <c r="D726" s="25" t="str">
        <f>IF($N726="","",INDEX('_calc'!$C$2:$C$3001,$N726))</f>
        <v/>
      </c>
      <c r="E726" s="25" t="str">
        <f>IF($N726="","",INDEX('_calc'!$D$2:$D$3001,$N726))</f>
        <v/>
      </c>
      <c r="F726" s="26" t="str">
        <f>IF($N726="","",IF($E$8=0,"",E726/$E$8))</f>
        <v/>
      </c>
      <c r="G726" s="25" t="str">
        <f>IF($N726="","",INDEX('_calc'!$E$2:$E$3001,$N726))</f>
        <v/>
      </c>
      <c r="H726" s="25" t="str">
        <f>IF($N726="","",INDEX('_calc'!$F$2:$F$3001,$N726))</f>
        <v/>
      </c>
      <c r="I726" s="27" t="str">
        <f>IF($N726="","",INDEX('_calc'!$H$2:$H$3001,$N726))</f>
        <v/>
      </c>
      <c r="J726" s="27" t="str">
        <f>IF($N726="","",INDEX('_calc'!$I$2:$I$3001,$N726))</f>
        <v/>
      </c>
      <c r="K726" s="28" t="str">
        <f>IF($N726="","",IF(OR(I726="",J726=""),"",J726-I726))</f>
        <v/>
      </c>
      <c r="L726" s="29" t="str">
        <f>IF($N726="","",INDEX('_calc'!$J$2:$J$3001,$N726))</f>
        <v/>
      </c>
      <c r="M726" s="2" t="str">
        <f>IF($N726="","",IF(AND(G726=0,H726=0),"수량 없음",IF(G726=0,"신규 (전년 수량 없음)",IF(H726=0,"당해 수량 없음",""))))</f>
        <v/>
      </c>
      <c r="N726" t="str">
        <f>IF($B726="","",MATCH($B726,'_calc'!$L$2:$L$3001,0))</f>
        <v/>
      </c>
    </row>
    <row r="727">
      <c r="B727" s="24" t="str">
        <f>IF(ROW()-ROW($B$8)&gt;nComp,"",ROW()-ROW($B$8))</f>
        <v/>
      </c>
      <c r="C727" t="str">
        <f>IF($N727="","",INDEX('_calc'!$A$2:$A$3001,$N727))</f>
        <v/>
      </c>
      <c r="D727" s="25" t="str">
        <f>IF($N727="","",INDEX('_calc'!$C$2:$C$3001,$N727))</f>
        <v/>
      </c>
      <c r="E727" s="25" t="str">
        <f>IF($N727="","",INDEX('_calc'!$D$2:$D$3001,$N727))</f>
        <v/>
      </c>
      <c r="F727" s="26" t="str">
        <f>IF($N727="","",IF($E$8=0,"",E727/$E$8))</f>
        <v/>
      </c>
      <c r="G727" s="25" t="str">
        <f>IF($N727="","",INDEX('_calc'!$E$2:$E$3001,$N727))</f>
        <v/>
      </c>
      <c r="H727" s="25" t="str">
        <f>IF($N727="","",INDEX('_calc'!$F$2:$F$3001,$N727))</f>
        <v/>
      </c>
      <c r="I727" s="27" t="str">
        <f>IF($N727="","",INDEX('_calc'!$H$2:$H$3001,$N727))</f>
        <v/>
      </c>
      <c r="J727" s="27" t="str">
        <f>IF($N727="","",INDEX('_calc'!$I$2:$I$3001,$N727))</f>
        <v/>
      </c>
      <c r="K727" s="28" t="str">
        <f>IF($N727="","",IF(OR(I727="",J727=""),"",J727-I727))</f>
        <v/>
      </c>
      <c r="L727" s="29" t="str">
        <f>IF($N727="","",INDEX('_calc'!$J$2:$J$3001,$N727))</f>
        <v/>
      </c>
      <c r="M727" s="2" t="str">
        <f>IF($N727="","",IF(AND(G727=0,H727=0),"수량 없음",IF(G727=0,"신규 (전년 수량 없음)",IF(H727=0,"당해 수량 없음",""))))</f>
        <v/>
      </c>
      <c r="N727" t="str">
        <f>IF($B727="","",MATCH($B727,'_calc'!$L$2:$L$3001,0))</f>
        <v/>
      </c>
    </row>
    <row r="728">
      <c r="B728" s="24" t="str">
        <f>IF(ROW()-ROW($B$8)&gt;nComp,"",ROW()-ROW($B$8))</f>
        <v/>
      </c>
      <c r="C728" t="str">
        <f>IF($N728="","",INDEX('_calc'!$A$2:$A$3001,$N728))</f>
        <v/>
      </c>
      <c r="D728" s="25" t="str">
        <f>IF($N728="","",INDEX('_calc'!$C$2:$C$3001,$N728))</f>
        <v/>
      </c>
      <c r="E728" s="25" t="str">
        <f>IF($N728="","",INDEX('_calc'!$D$2:$D$3001,$N728))</f>
        <v/>
      </c>
      <c r="F728" s="26" t="str">
        <f>IF($N728="","",IF($E$8=0,"",E728/$E$8))</f>
        <v/>
      </c>
      <c r="G728" s="25" t="str">
        <f>IF($N728="","",INDEX('_calc'!$E$2:$E$3001,$N728))</f>
        <v/>
      </c>
      <c r="H728" s="25" t="str">
        <f>IF($N728="","",INDEX('_calc'!$F$2:$F$3001,$N728))</f>
        <v/>
      </c>
      <c r="I728" s="27" t="str">
        <f>IF($N728="","",INDEX('_calc'!$H$2:$H$3001,$N728))</f>
        <v/>
      </c>
      <c r="J728" s="27" t="str">
        <f>IF($N728="","",INDEX('_calc'!$I$2:$I$3001,$N728))</f>
        <v/>
      </c>
      <c r="K728" s="28" t="str">
        <f>IF($N728="","",IF(OR(I728="",J728=""),"",J728-I728))</f>
        <v/>
      </c>
      <c r="L728" s="29" t="str">
        <f>IF($N728="","",INDEX('_calc'!$J$2:$J$3001,$N728))</f>
        <v/>
      </c>
      <c r="M728" s="2" t="str">
        <f>IF($N728="","",IF(AND(G728=0,H728=0),"수량 없음",IF(G728=0,"신규 (전년 수량 없음)",IF(H728=0,"당해 수량 없음",""))))</f>
        <v/>
      </c>
      <c r="N728" t="str">
        <f>IF($B728="","",MATCH($B728,'_calc'!$L$2:$L$3001,0))</f>
        <v/>
      </c>
    </row>
    <row r="729">
      <c r="B729" s="24" t="str">
        <f>IF(ROW()-ROW($B$8)&gt;nComp,"",ROW()-ROW($B$8))</f>
        <v/>
      </c>
      <c r="C729" t="str">
        <f>IF($N729="","",INDEX('_calc'!$A$2:$A$3001,$N729))</f>
        <v/>
      </c>
      <c r="D729" s="25" t="str">
        <f>IF($N729="","",INDEX('_calc'!$C$2:$C$3001,$N729))</f>
        <v/>
      </c>
      <c r="E729" s="25" t="str">
        <f>IF($N729="","",INDEX('_calc'!$D$2:$D$3001,$N729))</f>
        <v/>
      </c>
      <c r="F729" s="26" t="str">
        <f>IF($N729="","",IF($E$8=0,"",E729/$E$8))</f>
        <v/>
      </c>
      <c r="G729" s="25" t="str">
        <f>IF($N729="","",INDEX('_calc'!$E$2:$E$3001,$N729))</f>
        <v/>
      </c>
      <c r="H729" s="25" t="str">
        <f>IF($N729="","",INDEX('_calc'!$F$2:$F$3001,$N729))</f>
        <v/>
      </c>
      <c r="I729" s="27" t="str">
        <f>IF($N729="","",INDEX('_calc'!$H$2:$H$3001,$N729))</f>
        <v/>
      </c>
      <c r="J729" s="27" t="str">
        <f>IF($N729="","",INDEX('_calc'!$I$2:$I$3001,$N729))</f>
        <v/>
      </c>
      <c r="K729" s="28" t="str">
        <f>IF($N729="","",IF(OR(I729="",J729=""),"",J729-I729))</f>
        <v/>
      </c>
      <c r="L729" s="29" t="str">
        <f>IF($N729="","",INDEX('_calc'!$J$2:$J$3001,$N729))</f>
        <v/>
      </c>
      <c r="M729" s="2" t="str">
        <f>IF($N729="","",IF(AND(G729=0,H729=0),"수량 없음",IF(G729=0,"신규 (전년 수량 없음)",IF(H729=0,"당해 수량 없음",""))))</f>
        <v/>
      </c>
      <c r="N729" t="str">
        <f>IF($B729="","",MATCH($B729,'_calc'!$L$2:$L$3001,0))</f>
        <v/>
      </c>
    </row>
    <row r="730">
      <c r="B730" s="24" t="str">
        <f>IF(ROW()-ROW($B$8)&gt;nComp,"",ROW()-ROW($B$8))</f>
        <v/>
      </c>
      <c r="C730" t="str">
        <f>IF($N730="","",INDEX('_calc'!$A$2:$A$3001,$N730))</f>
        <v/>
      </c>
      <c r="D730" s="25" t="str">
        <f>IF($N730="","",INDEX('_calc'!$C$2:$C$3001,$N730))</f>
        <v/>
      </c>
      <c r="E730" s="25" t="str">
        <f>IF($N730="","",INDEX('_calc'!$D$2:$D$3001,$N730))</f>
        <v/>
      </c>
      <c r="F730" s="26" t="str">
        <f>IF($N730="","",IF($E$8=0,"",E730/$E$8))</f>
        <v/>
      </c>
      <c r="G730" s="25" t="str">
        <f>IF($N730="","",INDEX('_calc'!$E$2:$E$3001,$N730))</f>
        <v/>
      </c>
      <c r="H730" s="25" t="str">
        <f>IF($N730="","",INDEX('_calc'!$F$2:$F$3001,$N730))</f>
        <v/>
      </c>
      <c r="I730" s="27" t="str">
        <f>IF($N730="","",INDEX('_calc'!$H$2:$H$3001,$N730))</f>
        <v/>
      </c>
      <c r="J730" s="27" t="str">
        <f>IF($N730="","",INDEX('_calc'!$I$2:$I$3001,$N730))</f>
        <v/>
      </c>
      <c r="K730" s="28" t="str">
        <f>IF($N730="","",IF(OR(I730="",J730=""),"",J730-I730))</f>
        <v/>
      </c>
      <c r="L730" s="29" t="str">
        <f>IF($N730="","",INDEX('_calc'!$J$2:$J$3001,$N730))</f>
        <v/>
      </c>
      <c r="M730" s="2" t="str">
        <f>IF($N730="","",IF(AND(G730=0,H730=0),"수량 없음",IF(G730=0,"신규 (전년 수량 없음)",IF(H730=0,"당해 수량 없음",""))))</f>
        <v/>
      </c>
      <c r="N730" t="str">
        <f>IF($B730="","",MATCH($B730,'_calc'!$L$2:$L$3001,0))</f>
        <v/>
      </c>
    </row>
    <row r="731">
      <c r="B731" s="24" t="str">
        <f>IF(ROW()-ROW($B$8)&gt;nComp,"",ROW()-ROW($B$8))</f>
        <v/>
      </c>
      <c r="C731" t="str">
        <f>IF($N731="","",INDEX('_calc'!$A$2:$A$3001,$N731))</f>
        <v/>
      </c>
      <c r="D731" s="25" t="str">
        <f>IF($N731="","",INDEX('_calc'!$C$2:$C$3001,$N731))</f>
        <v/>
      </c>
      <c r="E731" s="25" t="str">
        <f>IF($N731="","",INDEX('_calc'!$D$2:$D$3001,$N731))</f>
        <v/>
      </c>
      <c r="F731" s="26" t="str">
        <f>IF($N731="","",IF($E$8=0,"",E731/$E$8))</f>
        <v/>
      </c>
      <c r="G731" s="25" t="str">
        <f>IF($N731="","",INDEX('_calc'!$E$2:$E$3001,$N731))</f>
        <v/>
      </c>
      <c r="H731" s="25" t="str">
        <f>IF($N731="","",INDEX('_calc'!$F$2:$F$3001,$N731))</f>
        <v/>
      </c>
      <c r="I731" s="27" t="str">
        <f>IF($N731="","",INDEX('_calc'!$H$2:$H$3001,$N731))</f>
        <v/>
      </c>
      <c r="J731" s="27" t="str">
        <f>IF($N731="","",INDEX('_calc'!$I$2:$I$3001,$N731))</f>
        <v/>
      </c>
      <c r="K731" s="28" t="str">
        <f>IF($N731="","",IF(OR(I731="",J731=""),"",J731-I731))</f>
        <v/>
      </c>
      <c r="L731" s="29" t="str">
        <f>IF($N731="","",INDEX('_calc'!$J$2:$J$3001,$N731))</f>
        <v/>
      </c>
      <c r="M731" s="2" t="str">
        <f>IF($N731="","",IF(AND(G731=0,H731=0),"수량 없음",IF(G731=0,"신규 (전년 수량 없음)",IF(H731=0,"당해 수량 없음",""))))</f>
        <v/>
      </c>
      <c r="N731" t="str">
        <f>IF($B731="","",MATCH($B731,'_calc'!$L$2:$L$3001,0))</f>
        <v/>
      </c>
    </row>
    <row r="732">
      <c r="B732" s="24" t="str">
        <f>IF(ROW()-ROW($B$8)&gt;nComp,"",ROW()-ROW($B$8))</f>
        <v/>
      </c>
      <c r="C732" t="str">
        <f>IF($N732="","",INDEX('_calc'!$A$2:$A$3001,$N732))</f>
        <v/>
      </c>
      <c r="D732" s="25" t="str">
        <f>IF($N732="","",INDEX('_calc'!$C$2:$C$3001,$N732))</f>
        <v/>
      </c>
      <c r="E732" s="25" t="str">
        <f>IF($N732="","",INDEX('_calc'!$D$2:$D$3001,$N732))</f>
        <v/>
      </c>
      <c r="F732" s="26" t="str">
        <f>IF($N732="","",IF($E$8=0,"",E732/$E$8))</f>
        <v/>
      </c>
      <c r="G732" s="25" t="str">
        <f>IF($N732="","",INDEX('_calc'!$E$2:$E$3001,$N732))</f>
        <v/>
      </c>
      <c r="H732" s="25" t="str">
        <f>IF($N732="","",INDEX('_calc'!$F$2:$F$3001,$N732))</f>
        <v/>
      </c>
      <c r="I732" s="27" t="str">
        <f>IF($N732="","",INDEX('_calc'!$H$2:$H$3001,$N732))</f>
        <v/>
      </c>
      <c r="J732" s="27" t="str">
        <f>IF($N732="","",INDEX('_calc'!$I$2:$I$3001,$N732))</f>
        <v/>
      </c>
      <c r="K732" s="28" t="str">
        <f>IF($N732="","",IF(OR(I732="",J732=""),"",J732-I732))</f>
        <v/>
      </c>
      <c r="L732" s="29" t="str">
        <f>IF($N732="","",INDEX('_calc'!$J$2:$J$3001,$N732))</f>
        <v/>
      </c>
      <c r="M732" s="2" t="str">
        <f>IF($N732="","",IF(AND(G732=0,H732=0),"수량 없음",IF(G732=0,"신규 (전년 수량 없음)",IF(H732=0,"당해 수량 없음",""))))</f>
        <v/>
      </c>
      <c r="N732" t="str">
        <f>IF($B732="","",MATCH($B732,'_calc'!$L$2:$L$3001,0))</f>
        <v/>
      </c>
    </row>
    <row r="733">
      <c r="B733" s="24" t="str">
        <f>IF(ROW()-ROW($B$8)&gt;nComp,"",ROW()-ROW($B$8))</f>
        <v/>
      </c>
      <c r="C733" t="str">
        <f>IF($N733="","",INDEX('_calc'!$A$2:$A$3001,$N733))</f>
        <v/>
      </c>
      <c r="D733" s="25" t="str">
        <f>IF($N733="","",INDEX('_calc'!$C$2:$C$3001,$N733))</f>
        <v/>
      </c>
      <c r="E733" s="25" t="str">
        <f>IF($N733="","",INDEX('_calc'!$D$2:$D$3001,$N733))</f>
        <v/>
      </c>
      <c r="F733" s="26" t="str">
        <f>IF($N733="","",IF($E$8=0,"",E733/$E$8))</f>
        <v/>
      </c>
      <c r="G733" s="25" t="str">
        <f>IF($N733="","",INDEX('_calc'!$E$2:$E$3001,$N733))</f>
        <v/>
      </c>
      <c r="H733" s="25" t="str">
        <f>IF($N733="","",INDEX('_calc'!$F$2:$F$3001,$N733))</f>
        <v/>
      </c>
      <c r="I733" s="27" t="str">
        <f>IF($N733="","",INDEX('_calc'!$H$2:$H$3001,$N733))</f>
        <v/>
      </c>
      <c r="J733" s="27" t="str">
        <f>IF($N733="","",INDEX('_calc'!$I$2:$I$3001,$N733))</f>
        <v/>
      </c>
      <c r="K733" s="28" t="str">
        <f>IF($N733="","",IF(OR(I733="",J733=""),"",J733-I733))</f>
        <v/>
      </c>
      <c r="L733" s="29" t="str">
        <f>IF($N733="","",INDEX('_calc'!$J$2:$J$3001,$N733))</f>
        <v/>
      </c>
      <c r="M733" s="2" t="str">
        <f>IF($N733="","",IF(AND(G733=0,H733=0),"수량 없음",IF(G733=0,"신규 (전년 수량 없음)",IF(H733=0,"당해 수량 없음",""))))</f>
        <v/>
      </c>
      <c r="N733" t="str">
        <f>IF($B733="","",MATCH($B733,'_calc'!$L$2:$L$3001,0))</f>
        <v/>
      </c>
    </row>
    <row r="734">
      <c r="B734" s="24" t="str">
        <f>IF(ROW()-ROW($B$8)&gt;nComp,"",ROW()-ROW($B$8))</f>
        <v/>
      </c>
      <c r="C734" t="str">
        <f>IF($N734="","",INDEX('_calc'!$A$2:$A$3001,$N734))</f>
        <v/>
      </c>
      <c r="D734" s="25" t="str">
        <f>IF($N734="","",INDEX('_calc'!$C$2:$C$3001,$N734))</f>
        <v/>
      </c>
      <c r="E734" s="25" t="str">
        <f>IF($N734="","",INDEX('_calc'!$D$2:$D$3001,$N734))</f>
        <v/>
      </c>
      <c r="F734" s="26" t="str">
        <f>IF($N734="","",IF($E$8=0,"",E734/$E$8))</f>
        <v/>
      </c>
      <c r="G734" s="25" t="str">
        <f>IF($N734="","",INDEX('_calc'!$E$2:$E$3001,$N734))</f>
        <v/>
      </c>
      <c r="H734" s="25" t="str">
        <f>IF($N734="","",INDEX('_calc'!$F$2:$F$3001,$N734))</f>
        <v/>
      </c>
      <c r="I734" s="27" t="str">
        <f>IF($N734="","",INDEX('_calc'!$H$2:$H$3001,$N734))</f>
        <v/>
      </c>
      <c r="J734" s="27" t="str">
        <f>IF($N734="","",INDEX('_calc'!$I$2:$I$3001,$N734))</f>
        <v/>
      </c>
      <c r="K734" s="28" t="str">
        <f>IF($N734="","",IF(OR(I734="",J734=""),"",J734-I734))</f>
        <v/>
      </c>
      <c r="L734" s="29" t="str">
        <f>IF($N734="","",INDEX('_calc'!$J$2:$J$3001,$N734))</f>
        <v/>
      </c>
      <c r="M734" s="2" t="str">
        <f>IF($N734="","",IF(AND(G734=0,H734=0),"수량 없음",IF(G734=0,"신규 (전년 수량 없음)",IF(H734=0,"당해 수량 없음",""))))</f>
        <v/>
      </c>
      <c r="N734" t="str">
        <f>IF($B734="","",MATCH($B734,'_calc'!$L$2:$L$3001,0))</f>
        <v/>
      </c>
    </row>
    <row r="735">
      <c r="B735" s="24" t="str">
        <f>IF(ROW()-ROW($B$8)&gt;nComp,"",ROW()-ROW($B$8))</f>
        <v/>
      </c>
      <c r="C735" t="str">
        <f>IF($N735="","",INDEX('_calc'!$A$2:$A$3001,$N735))</f>
        <v/>
      </c>
      <c r="D735" s="25" t="str">
        <f>IF($N735="","",INDEX('_calc'!$C$2:$C$3001,$N735))</f>
        <v/>
      </c>
      <c r="E735" s="25" t="str">
        <f>IF($N735="","",INDEX('_calc'!$D$2:$D$3001,$N735))</f>
        <v/>
      </c>
      <c r="F735" s="26" t="str">
        <f>IF($N735="","",IF($E$8=0,"",E735/$E$8))</f>
        <v/>
      </c>
      <c r="G735" s="25" t="str">
        <f>IF($N735="","",INDEX('_calc'!$E$2:$E$3001,$N735))</f>
        <v/>
      </c>
      <c r="H735" s="25" t="str">
        <f>IF($N735="","",INDEX('_calc'!$F$2:$F$3001,$N735))</f>
        <v/>
      </c>
      <c r="I735" s="27" t="str">
        <f>IF($N735="","",INDEX('_calc'!$H$2:$H$3001,$N735))</f>
        <v/>
      </c>
      <c r="J735" s="27" t="str">
        <f>IF($N735="","",INDEX('_calc'!$I$2:$I$3001,$N735))</f>
        <v/>
      </c>
      <c r="K735" s="28" t="str">
        <f>IF($N735="","",IF(OR(I735="",J735=""),"",J735-I735))</f>
        <v/>
      </c>
      <c r="L735" s="29" t="str">
        <f>IF($N735="","",INDEX('_calc'!$J$2:$J$3001,$N735))</f>
        <v/>
      </c>
      <c r="M735" s="2" t="str">
        <f>IF($N735="","",IF(AND(G735=0,H735=0),"수량 없음",IF(G735=0,"신규 (전년 수량 없음)",IF(H735=0,"당해 수량 없음",""))))</f>
        <v/>
      </c>
      <c r="N735" t="str">
        <f>IF($B735="","",MATCH($B735,'_calc'!$L$2:$L$3001,0))</f>
        <v/>
      </c>
    </row>
    <row r="736">
      <c r="B736" s="24" t="str">
        <f>IF(ROW()-ROW($B$8)&gt;nComp,"",ROW()-ROW($B$8))</f>
        <v/>
      </c>
      <c r="C736" t="str">
        <f>IF($N736="","",INDEX('_calc'!$A$2:$A$3001,$N736))</f>
        <v/>
      </c>
      <c r="D736" s="25" t="str">
        <f>IF($N736="","",INDEX('_calc'!$C$2:$C$3001,$N736))</f>
        <v/>
      </c>
      <c r="E736" s="25" t="str">
        <f>IF($N736="","",INDEX('_calc'!$D$2:$D$3001,$N736))</f>
        <v/>
      </c>
      <c r="F736" s="26" t="str">
        <f>IF($N736="","",IF($E$8=0,"",E736/$E$8))</f>
        <v/>
      </c>
      <c r="G736" s="25" t="str">
        <f>IF($N736="","",INDEX('_calc'!$E$2:$E$3001,$N736))</f>
        <v/>
      </c>
      <c r="H736" s="25" t="str">
        <f>IF($N736="","",INDEX('_calc'!$F$2:$F$3001,$N736))</f>
        <v/>
      </c>
      <c r="I736" s="27" t="str">
        <f>IF($N736="","",INDEX('_calc'!$H$2:$H$3001,$N736))</f>
        <v/>
      </c>
      <c r="J736" s="27" t="str">
        <f>IF($N736="","",INDEX('_calc'!$I$2:$I$3001,$N736))</f>
        <v/>
      </c>
      <c r="K736" s="28" t="str">
        <f>IF($N736="","",IF(OR(I736="",J736=""),"",J736-I736))</f>
        <v/>
      </c>
      <c r="L736" s="29" t="str">
        <f>IF($N736="","",INDEX('_calc'!$J$2:$J$3001,$N736))</f>
        <v/>
      </c>
      <c r="M736" s="2" t="str">
        <f>IF($N736="","",IF(AND(G736=0,H736=0),"수량 없음",IF(G736=0,"신규 (전년 수량 없음)",IF(H736=0,"당해 수량 없음",""))))</f>
        <v/>
      </c>
      <c r="N736" t="str">
        <f>IF($B736="","",MATCH($B736,'_calc'!$L$2:$L$3001,0))</f>
        <v/>
      </c>
    </row>
    <row r="737">
      <c r="B737" s="24" t="str">
        <f>IF(ROW()-ROW($B$8)&gt;nComp,"",ROW()-ROW($B$8))</f>
        <v/>
      </c>
      <c r="C737" t="str">
        <f>IF($N737="","",INDEX('_calc'!$A$2:$A$3001,$N737))</f>
        <v/>
      </c>
      <c r="D737" s="25" t="str">
        <f>IF($N737="","",INDEX('_calc'!$C$2:$C$3001,$N737))</f>
        <v/>
      </c>
      <c r="E737" s="25" t="str">
        <f>IF($N737="","",INDEX('_calc'!$D$2:$D$3001,$N737))</f>
        <v/>
      </c>
      <c r="F737" s="26" t="str">
        <f>IF($N737="","",IF($E$8=0,"",E737/$E$8))</f>
        <v/>
      </c>
      <c r="G737" s="25" t="str">
        <f>IF($N737="","",INDEX('_calc'!$E$2:$E$3001,$N737))</f>
        <v/>
      </c>
      <c r="H737" s="25" t="str">
        <f>IF($N737="","",INDEX('_calc'!$F$2:$F$3001,$N737))</f>
        <v/>
      </c>
      <c r="I737" s="27" t="str">
        <f>IF($N737="","",INDEX('_calc'!$H$2:$H$3001,$N737))</f>
        <v/>
      </c>
      <c r="J737" s="27" t="str">
        <f>IF($N737="","",INDEX('_calc'!$I$2:$I$3001,$N737))</f>
        <v/>
      </c>
      <c r="K737" s="28" t="str">
        <f>IF($N737="","",IF(OR(I737="",J737=""),"",J737-I737))</f>
        <v/>
      </c>
      <c r="L737" s="29" t="str">
        <f>IF($N737="","",INDEX('_calc'!$J$2:$J$3001,$N737))</f>
        <v/>
      </c>
      <c r="M737" s="2" t="str">
        <f>IF($N737="","",IF(AND(G737=0,H737=0),"수량 없음",IF(G737=0,"신규 (전년 수량 없음)",IF(H737=0,"당해 수량 없음",""))))</f>
        <v/>
      </c>
      <c r="N737" t="str">
        <f>IF($B737="","",MATCH($B737,'_calc'!$L$2:$L$3001,0))</f>
        <v/>
      </c>
    </row>
    <row r="738">
      <c r="B738" s="24" t="str">
        <f>IF(ROW()-ROW($B$8)&gt;nComp,"",ROW()-ROW($B$8))</f>
        <v/>
      </c>
      <c r="C738" t="str">
        <f>IF($N738="","",INDEX('_calc'!$A$2:$A$3001,$N738))</f>
        <v/>
      </c>
      <c r="D738" s="25" t="str">
        <f>IF($N738="","",INDEX('_calc'!$C$2:$C$3001,$N738))</f>
        <v/>
      </c>
      <c r="E738" s="25" t="str">
        <f>IF($N738="","",INDEX('_calc'!$D$2:$D$3001,$N738))</f>
        <v/>
      </c>
      <c r="F738" s="26" t="str">
        <f>IF($N738="","",IF($E$8=0,"",E738/$E$8))</f>
        <v/>
      </c>
      <c r="G738" s="25" t="str">
        <f>IF($N738="","",INDEX('_calc'!$E$2:$E$3001,$N738))</f>
        <v/>
      </c>
      <c r="H738" s="25" t="str">
        <f>IF($N738="","",INDEX('_calc'!$F$2:$F$3001,$N738))</f>
        <v/>
      </c>
      <c r="I738" s="27" t="str">
        <f>IF($N738="","",INDEX('_calc'!$H$2:$H$3001,$N738))</f>
        <v/>
      </c>
      <c r="J738" s="27" t="str">
        <f>IF($N738="","",INDEX('_calc'!$I$2:$I$3001,$N738))</f>
        <v/>
      </c>
      <c r="K738" s="28" t="str">
        <f>IF($N738="","",IF(OR(I738="",J738=""),"",J738-I738))</f>
        <v/>
      </c>
      <c r="L738" s="29" t="str">
        <f>IF($N738="","",INDEX('_calc'!$J$2:$J$3001,$N738))</f>
        <v/>
      </c>
      <c r="M738" s="2" t="str">
        <f>IF($N738="","",IF(AND(G738=0,H738=0),"수량 없음",IF(G738=0,"신규 (전년 수량 없음)",IF(H738=0,"당해 수량 없음",""))))</f>
        <v/>
      </c>
      <c r="N738" t="str">
        <f>IF($B738="","",MATCH($B738,'_calc'!$L$2:$L$3001,0))</f>
        <v/>
      </c>
    </row>
    <row r="739">
      <c r="B739" s="24" t="str">
        <f>IF(ROW()-ROW($B$8)&gt;nComp,"",ROW()-ROW($B$8))</f>
        <v/>
      </c>
      <c r="C739" t="str">
        <f>IF($N739="","",INDEX('_calc'!$A$2:$A$3001,$N739))</f>
        <v/>
      </c>
      <c r="D739" s="25" t="str">
        <f>IF($N739="","",INDEX('_calc'!$C$2:$C$3001,$N739))</f>
        <v/>
      </c>
      <c r="E739" s="25" t="str">
        <f>IF($N739="","",INDEX('_calc'!$D$2:$D$3001,$N739))</f>
        <v/>
      </c>
      <c r="F739" s="26" t="str">
        <f>IF($N739="","",IF($E$8=0,"",E739/$E$8))</f>
        <v/>
      </c>
      <c r="G739" s="25" t="str">
        <f>IF($N739="","",INDEX('_calc'!$E$2:$E$3001,$N739))</f>
        <v/>
      </c>
      <c r="H739" s="25" t="str">
        <f>IF($N739="","",INDEX('_calc'!$F$2:$F$3001,$N739))</f>
        <v/>
      </c>
      <c r="I739" s="27" t="str">
        <f>IF($N739="","",INDEX('_calc'!$H$2:$H$3001,$N739))</f>
        <v/>
      </c>
      <c r="J739" s="27" t="str">
        <f>IF($N739="","",INDEX('_calc'!$I$2:$I$3001,$N739))</f>
        <v/>
      </c>
      <c r="K739" s="28" t="str">
        <f>IF($N739="","",IF(OR(I739="",J739=""),"",J739-I739))</f>
        <v/>
      </c>
      <c r="L739" s="29" t="str">
        <f>IF($N739="","",INDEX('_calc'!$J$2:$J$3001,$N739))</f>
        <v/>
      </c>
      <c r="M739" s="2" t="str">
        <f>IF($N739="","",IF(AND(G739=0,H739=0),"수량 없음",IF(G739=0,"신규 (전년 수량 없음)",IF(H739=0,"당해 수량 없음",""))))</f>
        <v/>
      </c>
      <c r="N739" t="str">
        <f>IF($B739="","",MATCH($B739,'_calc'!$L$2:$L$3001,0))</f>
        <v/>
      </c>
    </row>
    <row r="740">
      <c r="B740" s="24" t="str">
        <f>IF(ROW()-ROW($B$8)&gt;nComp,"",ROW()-ROW($B$8))</f>
        <v/>
      </c>
      <c r="C740" t="str">
        <f>IF($N740="","",INDEX('_calc'!$A$2:$A$3001,$N740))</f>
        <v/>
      </c>
      <c r="D740" s="25" t="str">
        <f>IF($N740="","",INDEX('_calc'!$C$2:$C$3001,$N740))</f>
        <v/>
      </c>
      <c r="E740" s="25" t="str">
        <f>IF($N740="","",INDEX('_calc'!$D$2:$D$3001,$N740))</f>
        <v/>
      </c>
      <c r="F740" s="26" t="str">
        <f>IF($N740="","",IF($E$8=0,"",E740/$E$8))</f>
        <v/>
      </c>
      <c r="G740" s="25" t="str">
        <f>IF($N740="","",INDEX('_calc'!$E$2:$E$3001,$N740))</f>
        <v/>
      </c>
      <c r="H740" s="25" t="str">
        <f>IF($N740="","",INDEX('_calc'!$F$2:$F$3001,$N740))</f>
        <v/>
      </c>
      <c r="I740" s="27" t="str">
        <f>IF($N740="","",INDEX('_calc'!$H$2:$H$3001,$N740))</f>
        <v/>
      </c>
      <c r="J740" s="27" t="str">
        <f>IF($N740="","",INDEX('_calc'!$I$2:$I$3001,$N740))</f>
        <v/>
      </c>
      <c r="K740" s="28" t="str">
        <f>IF($N740="","",IF(OR(I740="",J740=""),"",J740-I740))</f>
        <v/>
      </c>
      <c r="L740" s="29" t="str">
        <f>IF($N740="","",INDEX('_calc'!$J$2:$J$3001,$N740))</f>
        <v/>
      </c>
      <c r="M740" s="2" t="str">
        <f>IF($N740="","",IF(AND(G740=0,H740=0),"수량 없음",IF(G740=0,"신규 (전년 수량 없음)",IF(H740=0,"당해 수량 없음",""))))</f>
        <v/>
      </c>
      <c r="N740" t="str">
        <f>IF($B740="","",MATCH($B740,'_calc'!$L$2:$L$3001,0))</f>
        <v/>
      </c>
    </row>
    <row r="741">
      <c r="B741" s="24" t="str">
        <f>IF(ROW()-ROW($B$8)&gt;nComp,"",ROW()-ROW($B$8))</f>
        <v/>
      </c>
      <c r="C741" t="str">
        <f>IF($N741="","",INDEX('_calc'!$A$2:$A$3001,$N741))</f>
        <v/>
      </c>
      <c r="D741" s="25" t="str">
        <f>IF($N741="","",INDEX('_calc'!$C$2:$C$3001,$N741))</f>
        <v/>
      </c>
      <c r="E741" s="25" t="str">
        <f>IF($N741="","",INDEX('_calc'!$D$2:$D$3001,$N741))</f>
        <v/>
      </c>
      <c r="F741" s="26" t="str">
        <f>IF($N741="","",IF($E$8=0,"",E741/$E$8))</f>
        <v/>
      </c>
      <c r="G741" s="25" t="str">
        <f>IF($N741="","",INDEX('_calc'!$E$2:$E$3001,$N741))</f>
        <v/>
      </c>
      <c r="H741" s="25" t="str">
        <f>IF($N741="","",INDEX('_calc'!$F$2:$F$3001,$N741))</f>
        <v/>
      </c>
      <c r="I741" s="27" t="str">
        <f>IF($N741="","",INDEX('_calc'!$H$2:$H$3001,$N741))</f>
        <v/>
      </c>
      <c r="J741" s="27" t="str">
        <f>IF($N741="","",INDEX('_calc'!$I$2:$I$3001,$N741))</f>
        <v/>
      </c>
      <c r="K741" s="28" t="str">
        <f>IF($N741="","",IF(OR(I741="",J741=""),"",J741-I741))</f>
        <v/>
      </c>
      <c r="L741" s="29" t="str">
        <f>IF($N741="","",INDEX('_calc'!$J$2:$J$3001,$N741))</f>
        <v/>
      </c>
      <c r="M741" s="2" t="str">
        <f>IF($N741="","",IF(AND(G741=0,H741=0),"수량 없음",IF(G741=0,"신규 (전년 수량 없음)",IF(H741=0,"당해 수량 없음",""))))</f>
        <v/>
      </c>
      <c r="N741" t="str">
        <f>IF($B741="","",MATCH($B741,'_calc'!$L$2:$L$3001,0))</f>
        <v/>
      </c>
    </row>
    <row r="742">
      <c r="B742" s="24" t="str">
        <f>IF(ROW()-ROW($B$8)&gt;nComp,"",ROW()-ROW($B$8))</f>
        <v/>
      </c>
      <c r="C742" t="str">
        <f>IF($N742="","",INDEX('_calc'!$A$2:$A$3001,$N742))</f>
        <v/>
      </c>
      <c r="D742" s="25" t="str">
        <f>IF($N742="","",INDEX('_calc'!$C$2:$C$3001,$N742))</f>
        <v/>
      </c>
      <c r="E742" s="25" t="str">
        <f>IF($N742="","",INDEX('_calc'!$D$2:$D$3001,$N742))</f>
        <v/>
      </c>
      <c r="F742" s="26" t="str">
        <f>IF($N742="","",IF($E$8=0,"",E742/$E$8))</f>
        <v/>
      </c>
      <c r="G742" s="25" t="str">
        <f>IF($N742="","",INDEX('_calc'!$E$2:$E$3001,$N742))</f>
        <v/>
      </c>
      <c r="H742" s="25" t="str">
        <f>IF($N742="","",INDEX('_calc'!$F$2:$F$3001,$N742))</f>
        <v/>
      </c>
      <c r="I742" s="27" t="str">
        <f>IF($N742="","",INDEX('_calc'!$H$2:$H$3001,$N742))</f>
        <v/>
      </c>
      <c r="J742" s="27" t="str">
        <f>IF($N742="","",INDEX('_calc'!$I$2:$I$3001,$N742))</f>
        <v/>
      </c>
      <c r="K742" s="28" t="str">
        <f>IF($N742="","",IF(OR(I742="",J742=""),"",J742-I742))</f>
        <v/>
      </c>
      <c r="L742" s="29" t="str">
        <f>IF($N742="","",INDEX('_calc'!$J$2:$J$3001,$N742))</f>
        <v/>
      </c>
      <c r="M742" s="2" t="str">
        <f>IF($N742="","",IF(AND(G742=0,H742=0),"수량 없음",IF(G742=0,"신규 (전년 수량 없음)",IF(H742=0,"당해 수량 없음",""))))</f>
        <v/>
      </c>
      <c r="N742" t="str">
        <f>IF($B742="","",MATCH($B742,'_calc'!$L$2:$L$3001,0))</f>
        <v/>
      </c>
    </row>
    <row r="743">
      <c r="B743" s="24" t="str">
        <f>IF(ROW()-ROW($B$8)&gt;nComp,"",ROW()-ROW($B$8))</f>
        <v/>
      </c>
      <c r="C743" t="str">
        <f>IF($N743="","",INDEX('_calc'!$A$2:$A$3001,$N743))</f>
        <v/>
      </c>
      <c r="D743" s="25" t="str">
        <f>IF($N743="","",INDEX('_calc'!$C$2:$C$3001,$N743))</f>
        <v/>
      </c>
      <c r="E743" s="25" t="str">
        <f>IF($N743="","",INDEX('_calc'!$D$2:$D$3001,$N743))</f>
        <v/>
      </c>
      <c r="F743" s="26" t="str">
        <f>IF($N743="","",IF($E$8=0,"",E743/$E$8))</f>
        <v/>
      </c>
      <c r="G743" s="25" t="str">
        <f>IF($N743="","",INDEX('_calc'!$E$2:$E$3001,$N743))</f>
        <v/>
      </c>
      <c r="H743" s="25" t="str">
        <f>IF($N743="","",INDEX('_calc'!$F$2:$F$3001,$N743))</f>
        <v/>
      </c>
      <c r="I743" s="27" t="str">
        <f>IF($N743="","",INDEX('_calc'!$H$2:$H$3001,$N743))</f>
        <v/>
      </c>
      <c r="J743" s="27" t="str">
        <f>IF($N743="","",INDEX('_calc'!$I$2:$I$3001,$N743))</f>
        <v/>
      </c>
      <c r="K743" s="28" t="str">
        <f>IF($N743="","",IF(OR(I743="",J743=""),"",J743-I743))</f>
        <v/>
      </c>
      <c r="L743" s="29" t="str">
        <f>IF($N743="","",INDEX('_calc'!$J$2:$J$3001,$N743))</f>
        <v/>
      </c>
      <c r="M743" s="2" t="str">
        <f>IF($N743="","",IF(AND(G743=0,H743=0),"수량 없음",IF(G743=0,"신규 (전년 수량 없음)",IF(H743=0,"당해 수량 없음",""))))</f>
        <v/>
      </c>
      <c r="N743" t="str">
        <f>IF($B743="","",MATCH($B743,'_calc'!$L$2:$L$3001,0))</f>
        <v/>
      </c>
    </row>
    <row r="744">
      <c r="B744" s="24" t="str">
        <f>IF(ROW()-ROW($B$8)&gt;nComp,"",ROW()-ROW($B$8))</f>
        <v/>
      </c>
      <c r="C744" t="str">
        <f>IF($N744="","",INDEX('_calc'!$A$2:$A$3001,$N744))</f>
        <v/>
      </c>
      <c r="D744" s="25" t="str">
        <f>IF($N744="","",INDEX('_calc'!$C$2:$C$3001,$N744))</f>
        <v/>
      </c>
      <c r="E744" s="25" t="str">
        <f>IF($N744="","",INDEX('_calc'!$D$2:$D$3001,$N744))</f>
        <v/>
      </c>
      <c r="F744" s="26" t="str">
        <f>IF($N744="","",IF($E$8=0,"",E744/$E$8))</f>
        <v/>
      </c>
      <c r="G744" s="25" t="str">
        <f>IF($N744="","",INDEX('_calc'!$E$2:$E$3001,$N744))</f>
        <v/>
      </c>
      <c r="H744" s="25" t="str">
        <f>IF($N744="","",INDEX('_calc'!$F$2:$F$3001,$N744))</f>
        <v/>
      </c>
      <c r="I744" s="27" t="str">
        <f>IF($N744="","",INDEX('_calc'!$H$2:$H$3001,$N744))</f>
        <v/>
      </c>
      <c r="J744" s="27" t="str">
        <f>IF($N744="","",INDEX('_calc'!$I$2:$I$3001,$N744))</f>
        <v/>
      </c>
      <c r="K744" s="28" t="str">
        <f>IF($N744="","",IF(OR(I744="",J744=""),"",J744-I744))</f>
        <v/>
      </c>
      <c r="L744" s="29" t="str">
        <f>IF($N744="","",INDEX('_calc'!$J$2:$J$3001,$N744))</f>
        <v/>
      </c>
      <c r="M744" s="2" t="str">
        <f>IF($N744="","",IF(AND(G744=0,H744=0),"수량 없음",IF(G744=0,"신규 (전년 수량 없음)",IF(H744=0,"당해 수량 없음",""))))</f>
        <v/>
      </c>
      <c r="N744" t="str">
        <f>IF($B744="","",MATCH($B744,'_calc'!$L$2:$L$3001,0))</f>
        <v/>
      </c>
    </row>
    <row r="745">
      <c r="B745" s="24" t="str">
        <f>IF(ROW()-ROW($B$8)&gt;nComp,"",ROW()-ROW($B$8))</f>
        <v/>
      </c>
      <c r="C745" t="str">
        <f>IF($N745="","",INDEX('_calc'!$A$2:$A$3001,$N745))</f>
        <v/>
      </c>
      <c r="D745" s="25" t="str">
        <f>IF($N745="","",INDEX('_calc'!$C$2:$C$3001,$N745))</f>
        <v/>
      </c>
      <c r="E745" s="25" t="str">
        <f>IF($N745="","",INDEX('_calc'!$D$2:$D$3001,$N745))</f>
        <v/>
      </c>
      <c r="F745" s="26" t="str">
        <f>IF($N745="","",IF($E$8=0,"",E745/$E$8))</f>
        <v/>
      </c>
      <c r="G745" s="25" t="str">
        <f>IF($N745="","",INDEX('_calc'!$E$2:$E$3001,$N745))</f>
        <v/>
      </c>
      <c r="H745" s="25" t="str">
        <f>IF($N745="","",INDEX('_calc'!$F$2:$F$3001,$N745))</f>
        <v/>
      </c>
      <c r="I745" s="27" t="str">
        <f>IF($N745="","",INDEX('_calc'!$H$2:$H$3001,$N745))</f>
        <v/>
      </c>
      <c r="J745" s="27" t="str">
        <f>IF($N745="","",INDEX('_calc'!$I$2:$I$3001,$N745))</f>
        <v/>
      </c>
      <c r="K745" s="28" t="str">
        <f>IF($N745="","",IF(OR(I745="",J745=""),"",J745-I745))</f>
        <v/>
      </c>
      <c r="L745" s="29" t="str">
        <f>IF($N745="","",INDEX('_calc'!$J$2:$J$3001,$N745))</f>
        <v/>
      </c>
      <c r="M745" s="2" t="str">
        <f>IF($N745="","",IF(AND(G745=0,H745=0),"수량 없음",IF(G745=0,"신규 (전년 수량 없음)",IF(H745=0,"당해 수량 없음",""))))</f>
        <v/>
      </c>
      <c r="N745" t="str">
        <f>IF($B745="","",MATCH($B745,'_calc'!$L$2:$L$3001,0))</f>
        <v/>
      </c>
    </row>
    <row r="746">
      <c r="B746" s="24" t="str">
        <f>IF(ROW()-ROW($B$8)&gt;nComp,"",ROW()-ROW($B$8))</f>
        <v/>
      </c>
      <c r="C746" t="str">
        <f>IF($N746="","",INDEX('_calc'!$A$2:$A$3001,$N746))</f>
        <v/>
      </c>
      <c r="D746" s="25" t="str">
        <f>IF($N746="","",INDEX('_calc'!$C$2:$C$3001,$N746))</f>
        <v/>
      </c>
      <c r="E746" s="25" t="str">
        <f>IF($N746="","",INDEX('_calc'!$D$2:$D$3001,$N746))</f>
        <v/>
      </c>
      <c r="F746" s="26" t="str">
        <f>IF($N746="","",IF($E$8=0,"",E746/$E$8))</f>
        <v/>
      </c>
      <c r="G746" s="25" t="str">
        <f>IF($N746="","",INDEX('_calc'!$E$2:$E$3001,$N746))</f>
        <v/>
      </c>
      <c r="H746" s="25" t="str">
        <f>IF($N746="","",INDEX('_calc'!$F$2:$F$3001,$N746))</f>
        <v/>
      </c>
      <c r="I746" s="27" t="str">
        <f>IF($N746="","",INDEX('_calc'!$H$2:$H$3001,$N746))</f>
        <v/>
      </c>
      <c r="J746" s="27" t="str">
        <f>IF($N746="","",INDEX('_calc'!$I$2:$I$3001,$N746))</f>
        <v/>
      </c>
      <c r="K746" s="28" t="str">
        <f>IF($N746="","",IF(OR(I746="",J746=""),"",J746-I746))</f>
        <v/>
      </c>
      <c r="L746" s="29" t="str">
        <f>IF($N746="","",INDEX('_calc'!$J$2:$J$3001,$N746))</f>
        <v/>
      </c>
      <c r="M746" s="2" t="str">
        <f>IF($N746="","",IF(AND(G746=0,H746=0),"수량 없음",IF(G746=0,"신규 (전년 수량 없음)",IF(H746=0,"당해 수량 없음",""))))</f>
        <v/>
      </c>
      <c r="N746" t="str">
        <f>IF($B746="","",MATCH($B746,'_calc'!$L$2:$L$3001,0))</f>
        <v/>
      </c>
    </row>
    <row r="747">
      <c r="B747" s="24" t="str">
        <f>IF(ROW()-ROW($B$8)&gt;nComp,"",ROW()-ROW($B$8))</f>
        <v/>
      </c>
      <c r="C747" t="str">
        <f>IF($N747="","",INDEX('_calc'!$A$2:$A$3001,$N747))</f>
        <v/>
      </c>
      <c r="D747" s="25" t="str">
        <f>IF($N747="","",INDEX('_calc'!$C$2:$C$3001,$N747))</f>
        <v/>
      </c>
      <c r="E747" s="25" t="str">
        <f>IF($N747="","",INDEX('_calc'!$D$2:$D$3001,$N747))</f>
        <v/>
      </c>
      <c r="F747" s="26" t="str">
        <f>IF($N747="","",IF($E$8=0,"",E747/$E$8))</f>
        <v/>
      </c>
      <c r="G747" s="25" t="str">
        <f>IF($N747="","",INDEX('_calc'!$E$2:$E$3001,$N747))</f>
        <v/>
      </c>
      <c r="H747" s="25" t="str">
        <f>IF($N747="","",INDEX('_calc'!$F$2:$F$3001,$N747))</f>
        <v/>
      </c>
      <c r="I747" s="27" t="str">
        <f>IF($N747="","",INDEX('_calc'!$H$2:$H$3001,$N747))</f>
        <v/>
      </c>
      <c r="J747" s="27" t="str">
        <f>IF($N747="","",INDEX('_calc'!$I$2:$I$3001,$N747))</f>
        <v/>
      </c>
      <c r="K747" s="28" t="str">
        <f>IF($N747="","",IF(OR(I747="",J747=""),"",J747-I747))</f>
        <v/>
      </c>
      <c r="L747" s="29" t="str">
        <f>IF($N747="","",INDEX('_calc'!$J$2:$J$3001,$N747))</f>
        <v/>
      </c>
      <c r="M747" s="2" t="str">
        <f>IF($N747="","",IF(AND(G747=0,H747=0),"수량 없음",IF(G747=0,"신규 (전년 수량 없음)",IF(H747=0,"당해 수량 없음",""))))</f>
        <v/>
      </c>
      <c r="N747" t="str">
        <f>IF($B747="","",MATCH($B747,'_calc'!$L$2:$L$3001,0))</f>
        <v/>
      </c>
    </row>
    <row r="748">
      <c r="B748" s="24" t="str">
        <f>IF(ROW()-ROW($B$8)&gt;nComp,"",ROW()-ROW($B$8))</f>
        <v/>
      </c>
      <c r="C748" t="str">
        <f>IF($N748="","",INDEX('_calc'!$A$2:$A$3001,$N748))</f>
        <v/>
      </c>
      <c r="D748" s="25" t="str">
        <f>IF($N748="","",INDEX('_calc'!$C$2:$C$3001,$N748))</f>
        <v/>
      </c>
      <c r="E748" s="25" t="str">
        <f>IF($N748="","",INDEX('_calc'!$D$2:$D$3001,$N748))</f>
        <v/>
      </c>
      <c r="F748" s="26" t="str">
        <f>IF($N748="","",IF($E$8=0,"",E748/$E$8))</f>
        <v/>
      </c>
      <c r="G748" s="25" t="str">
        <f>IF($N748="","",INDEX('_calc'!$E$2:$E$3001,$N748))</f>
        <v/>
      </c>
      <c r="H748" s="25" t="str">
        <f>IF($N748="","",INDEX('_calc'!$F$2:$F$3001,$N748))</f>
        <v/>
      </c>
      <c r="I748" s="27" t="str">
        <f>IF($N748="","",INDEX('_calc'!$H$2:$H$3001,$N748))</f>
        <v/>
      </c>
      <c r="J748" s="27" t="str">
        <f>IF($N748="","",INDEX('_calc'!$I$2:$I$3001,$N748))</f>
        <v/>
      </c>
      <c r="K748" s="28" t="str">
        <f>IF($N748="","",IF(OR(I748="",J748=""),"",J748-I748))</f>
        <v/>
      </c>
      <c r="L748" s="29" t="str">
        <f>IF($N748="","",INDEX('_calc'!$J$2:$J$3001,$N748))</f>
        <v/>
      </c>
      <c r="M748" s="2" t="str">
        <f>IF($N748="","",IF(AND(G748=0,H748=0),"수량 없음",IF(G748=0,"신규 (전년 수량 없음)",IF(H748=0,"당해 수량 없음",""))))</f>
        <v/>
      </c>
      <c r="N748" t="str">
        <f>IF($B748="","",MATCH($B748,'_calc'!$L$2:$L$3001,0))</f>
        <v/>
      </c>
    </row>
    <row r="749">
      <c r="B749" s="24" t="str">
        <f>IF(ROW()-ROW($B$8)&gt;nComp,"",ROW()-ROW($B$8))</f>
        <v/>
      </c>
      <c r="C749" t="str">
        <f>IF($N749="","",INDEX('_calc'!$A$2:$A$3001,$N749))</f>
        <v/>
      </c>
      <c r="D749" s="25" t="str">
        <f>IF($N749="","",INDEX('_calc'!$C$2:$C$3001,$N749))</f>
        <v/>
      </c>
      <c r="E749" s="25" t="str">
        <f>IF($N749="","",INDEX('_calc'!$D$2:$D$3001,$N749))</f>
        <v/>
      </c>
      <c r="F749" s="26" t="str">
        <f>IF($N749="","",IF($E$8=0,"",E749/$E$8))</f>
        <v/>
      </c>
      <c r="G749" s="25" t="str">
        <f>IF($N749="","",INDEX('_calc'!$E$2:$E$3001,$N749))</f>
        <v/>
      </c>
      <c r="H749" s="25" t="str">
        <f>IF($N749="","",INDEX('_calc'!$F$2:$F$3001,$N749))</f>
        <v/>
      </c>
      <c r="I749" s="27" t="str">
        <f>IF($N749="","",INDEX('_calc'!$H$2:$H$3001,$N749))</f>
        <v/>
      </c>
      <c r="J749" s="27" t="str">
        <f>IF($N749="","",INDEX('_calc'!$I$2:$I$3001,$N749))</f>
        <v/>
      </c>
      <c r="K749" s="28" t="str">
        <f>IF($N749="","",IF(OR(I749="",J749=""),"",J749-I749))</f>
        <v/>
      </c>
      <c r="L749" s="29" t="str">
        <f>IF($N749="","",INDEX('_calc'!$J$2:$J$3001,$N749))</f>
        <v/>
      </c>
      <c r="M749" s="2" t="str">
        <f>IF($N749="","",IF(AND(G749=0,H749=0),"수량 없음",IF(G749=0,"신규 (전년 수량 없음)",IF(H749=0,"당해 수량 없음",""))))</f>
        <v/>
      </c>
      <c r="N749" t="str">
        <f>IF($B749="","",MATCH($B749,'_calc'!$L$2:$L$3001,0))</f>
        <v/>
      </c>
    </row>
    <row r="750">
      <c r="B750" s="24" t="str">
        <f>IF(ROW()-ROW($B$8)&gt;nComp,"",ROW()-ROW($B$8))</f>
        <v/>
      </c>
      <c r="C750" t="str">
        <f>IF($N750="","",INDEX('_calc'!$A$2:$A$3001,$N750))</f>
        <v/>
      </c>
      <c r="D750" s="25" t="str">
        <f>IF($N750="","",INDEX('_calc'!$C$2:$C$3001,$N750))</f>
        <v/>
      </c>
      <c r="E750" s="25" t="str">
        <f>IF($N750="","",INDEX('_calc'!$D$2:$D$3001,$N750))</f>
        <v/>
      </c>
      <c r="F750" s="26" t="str">
        <f>IF($N750="","",IF($E$8=0,"",E750/$E$8))</f>
        <v/>
      </c>
      <c r="G750" s="25" t="str">
        <f>IF($N750="","",INDEX('_calc'!$E$2:$E$3001,$N750))</f>
        <v/>
      </c>
      <c r="H750" s="25" t="str">
        <f>IF($N750="","",INDEX('_calc'!$F$2:$F$3001,$N750))</f>
        <v/>
      </c>
      <c r="I750" s="27" t="str">
        <f>IF($N750="","",INDEX('_calc'!$H$2:$H$3001,$N750))</f>
        <v/>
      </c>
      <c r="J750" s="27" t="str">
        <f>IF($N750="","",INDEX('_calc'!$I$2:$I$3001,$N750))</f>
        <v/>
      </c>
      <c r="K750" s="28" t="str">
        <f>IF($N750="","",IF(OR(I750="",J750=""),"",J750-I750))</f>
        <v/>
      </c>
      <c r="L750" s="29" t="str">
        <f>IF($N750="","",INDEX('_calc'!$J$2:$J$3001,$N750))</f>
        <v/>
      </c>
      <c r="M750" s="2" t="str">
        <f>IF($N750="","",IF(AND(G750=0,H750=0),"수량 없음",IF(G750=0,"신규 (전년 수량 없음)",IF(H750=0,"당해 수량 없음",""))))</f>
        <v/>
      </c>
      <c r="N750" t="str">
        <f>IF($B750="","",MATCH($B750,'_calc'!$L$2:$L$3001,0))</f>
        <v/>
      </c>
    </row>
    <row r="751">
      <c r="B751" s="24" t="str">
        <f>IF(ROW()-ROW($B$8)&gt;nComp,"",ROW()-ROW($B$8))</f>
        <v/>
      </c>
      <c r="C751" t="str">
        <f>IF($N751="","",INDEX('_calc'!$A$2:$A$3001,$N751))</f>
        <v/>
      </c>
      <c r="D751" s="25" t="str">
        <f>IF($N751="","",INDEX('_calc'!$C$2:$C$3001,$N751))</f>
        <v/>
      </c>
      <c r="E751" s="25" t="str">
        <f>IF($N751="","",INDEX('_calc'!$D$2:$D$3001,$N751))</f>
        <v/>
      </c>
      <c r="F751" s="26" t="str">
        <f>IF($N751="","",IF($E$8=0,"",E751/$E$8))</f>
        <v/>
      </c>
      <c r="G751" s="25" t="str">
        <f>IF($N751="","",INDEX('_calc'!$E$2:$E$3001,$N751))</f>
        <v/>
      </c>
      <c r="H751" s="25" t="str">
        <f>IF($N751="","",INDEX('_calc'!$F$2:$F$3001,$N751))</f>
        <v/>
      </c>
      <c r="I751" s="27" t="str">
        <f>IF($N751="","",INDEX('_calc'!$H$2:$H$3001,$N751))</f>
        <v/>
      </c>
      <c r="J751" s="27" t="str">
        <f>IF($N751="","",INDEX('_calc'!$I$2:$I$3001,$N751))</f>
        <v/>
      </c>
      <c r="K751" s="28" t="str">
        <f>IF($N751="","",IF(OR(I751="",J751=""),"",J751-I751))</f>
        <v/>
      </c>
      <c r="L751" s="29" t="str">
        <f>IF($N751="","",INDEX('_calc'!$J$2:$J$3001,$N751))</f>
        <v/>
      </c>
      <c r="M751" s="2" t="str">
        <f>IF($N751="","",IF(AND(G751=0,H751=0),"수량 없음",IF(G751=0,"신규 (전년 수량 없음)",IF(H751=0,"당해 수량 없음",""))))</f>
        <v/>
      </c>
      <c r="N751" t="str">
        <f>IF($B751="","",MATCH($B751,'_calc'!$L$2:$L$3001,0))</f>
        <v/>
      </c>
    </row>
    <row r="752">
      <c r="B752" s="24" t="str">
        <f>IF(ROW()-ROW($B$8)&gt;nComp,"",ROW()-ROW($B$8))</f>
        <v/>
      </c>
      <c r="C752" t="str">
        <f>IF($N752="","",INDEX('_calc'!$A$2:$A$3001,$N752))</f>
        <v/>
      </c>
      <c r="D752" s="25" t="str">
        <f>IF($N752="","",INDEX('_calc'!$C$2:$C$3001,$N752))</f>
        <v/>
      </c>
      <c r="E752" s="25" t="str">
        <f>IF($N752="","",INDEX('_calc'!$D$2:$D$3001,$N752))</f>
        <v/>
      </c>
      <c r="F752" s="26" t="str">
        <f>IF($N752="","",IF($E$8=0,"",E752/$E$8))</f>
        <v/>
      </c>
      <c r="G752" s="25" t="str">
        <f>IF($N752="","",INDEX('_calc'!$E$2:$E$3001,$N752))</f>
        <v/>
      </c>
      <c r="H752" s="25" t="str">
        <f>IF($N752="","",INDEX('_calc'!$F$2:$F$3001,$N752))</f>
        <v/>
      </c>
      <c r="I752" s="27" t="str">
        <f>IF($N752="","",INDEX('_calc'!$H$2:$H$3001,$N752))</f>
        <v/>
      </c>
      <c r="J752" s="27" t="str">
        <f>IF($N752="","",INDEX('_calc'!$I$2:$I$3001,$N752))</f>
        <v/>
      </c>
      <c r="K752" s="28" t="str">
        <f>IF($N752="","",IF(OR(I752="",J752=""),"",J752-I752))</f>
        <v/>
      </c>
      <c r="L752" s="29" t="str">
        <f>IF($N752="","",INDEX('_calc'!$J$2:$J$3001,$N752))</f>
        <v/>
      </c>
      <c r="M752" s="2" t="str">
        <f>IF($N752="","",IF(AND(G752=0,H752=0),"수량 없음",IF(G752=0,"신규 (전년 수량 없음)",IF(H752=0,"당해 수량 없음",""))))</f>
        <v/>
      </c>
      <c r="N752" t="str">
        <f>IF($B752="","",MATCH($B752,'_calc'!$L$2:$L$3001,0))</f>
        <v/>
      </c>
    </row>
    <row r="753">
      <c r="B753" s="24" t="str">
        <f>IF(ROW()-ROW($B$8)&gt;nComp,"",ROW()-ROW($B$8))</f>
        <v/>
      </c>
      <c r="C753" t="str">
        <f>IF($N753="","",INDEX('_calc'!$A$2:$A$3001,$N753))</f>
        <v/>
      </c>
      <c r="D753" s="25" t="str">
        <f>IF($N753="","",INDEX('_calc'!$C$2:$C$3001,$N753))</f>
        <v/>
      </c>
      <c r="E753" s="25" t="str">
        <f>IF($N753="","",INDEX('_calc'!$D$2:$D$3001,$N753))</f>
        <v/>
      </c>
      <c r="F753" s="26" t="str">
        <f>IF($N753="","",IF($E$8=0,"",E753/$E$8))</f>
        <v/>
      </c>
      <c r="G753" s="25" t="str">
        <f>IF($N753="","",INDEX('_calc'!$E$2:$E$3001,$N753))</f>
        <v/>
      </c>
      <c r="H753" s="25" t="str">
        <f>IF($N753="","",INDEX('_calc'!$F$2:$F$3001,$N753))</f>
        <v/>
      </c>
      <c r="I753" s="27" t="str">
        <f>IF($N753="","",INDEX('_calc'!$H$2:$H$3001,$N753))</f>
        <v/>
      </c>
      <c r="J753" s="27" t="str">
        <f>IF($N753="","",INDEX('_calc'!$I$2:$I$3001,$N753))</f>
        <v/>
      </c>
      <c r="K753" s="28" t="str">
        <f>IF($N753="","",IF(OR(I753="",J753=""),"",J753-I753))</f>
        <v/>
      </c>
      <c r="L753" s="29" t="str">
        <f>IF($N753="","",INDEX('_calc'!$J$2:$J$3001,$N753))</f>
        <v/>
      </c>
      <c r="M753" s="2" t="str">
        <f>IF($N753="","",IF(AND(G753=0,H753=0),"수량 없음",IF(G753=0,"신규 (전년 수량 없음)",IF(H753=0,"당해 수량 없음",""))))</f>
        <v/>
      </c>
      <c r="N753" t="str">
        <f>IF($B753="","",MATCH($B753,'_calc'!$L$2:$L$3001,0))</f>
        <v/>
      </c>
    </row>
    <row r="754">
      <c r="B754" s="24" t="str">
        <f>IF(ROW()-ROW($B$8)&gt;nComp,"",ROW()-ROW($B$8))</f>
        <v/>
      </c>
      <c r="C754" t="str">
        <f>IF($N754="","",INDEX('_calc'!$A$2:$A$3001,$N754))</f>
        <v/>
      </c>
      <c r="D754" s="25" t="str">
        <f>IF($N754="","",INDEX('_calc'!$C$2:$C$3001,$N754))</f>
        <v/>
      </c>
      <c r="E754" s="25" t="str">
        <f>IF($N754="","",INDEX('_calc'!$D$2:$D$3001,$N754))</f>
        <v/>
      </c>
      <c r="F754" s="26" t="str">
        <f>IF($N754="","",IF($E$8=0,"",E754/$E$8))</f>
        <v/>
      </c>
      <c r="G754" s="25" t="str">
        <f>IF($N754="","",INDEX('_calc'!$E$2:$E$3001,$N754))</f>
        <v/>
      </c>
      <c r="H754" s="25" t="str">
        <f>IF($N754="","",INDEX('_calc'!$F$2:$F$3001,$N754))</f>
        <v/>
      </c>
      <c r="I754" s="27" t="str">
        <f>IF($N754="","",INDEX('_calc'!$H$2:$H$3001,$N754))</f>
        <v/>
      </c>
      <c r="J754" s="27" t="str">
        <f>IF($N754="","",INDEX('_calc'!$I$2:$I$3001,$N754))</f>
        <v/>
      </c>
      <c r="K754" s="28" t="str">
        <f>IF($N754="","",IF(OR(I754="",J754=""),"",J754-I754))</f>
        <v/>
      </c>
      <c r="L754" s="29" t="str">
        <f>IF($N754="","",INDEX('_calc'!$J$2:$J$3001,$N754))</f>
        <v/>
      </c>
      <c r="M754" s="2" t="str">
        <f>IF($N754="","",IF(AND(G754=0,H754=0),"수량 없음",IF(G754=0,"신규 (전년 수량 없음)",IF(H754=0,"당해 수량 없음",""))))</f>
        <v/>
      </c>
      <c r="N754" t="str">
        <f>IF($B754="","",MATCH($B754,'_calc'!$L$2:$L$3001,0))</f>
        <v/>
      </c>
    </row>
    <row r="755">
      <c r="B755" s="24" t="str">
        <f>IF(ROW()-ROW($B$8)&gt;nComp,"",ROW()-ROW($B$8))</f>
        <v/>
      </c>
      <c r="C755" t="str">
        <f>IF($N755="","",INDEX('_calc'!$A$2:$A$3001,$N755))</f>
        <v/>
      </c>
      <c r="D755" s="25" t="str">
        <f>IF($N755="","",INDEX('_calc'!$C$2:$C$3001,$N755))</f>
        <v/>
      </c>
      <c r="E755" s="25" t="str">
        <f>IF($N755="","",INDEX('_calc'!$D$2:$D$3001,$N755))</f>
        <v/>
      </c>
      <c r="F755" s="26" t="str">
        <f>IF($N755="","",IF($E$8=0,"",E755/$E$8))</f>
        <v/>
      </c>
      <c r="G755" s="25" t="str">
        <f>IF($N755="","",INDEX('_calc'!$E$2:$E$3001,$N755))</f>
        <v/>
      </c>
      <c r="H755" s="25" t="str">
        <f>IF($N755="","",INDEX('_calc'!$F$2:$F$3001,$N755))</f>
        <v/>
      </c>
      <c r="I755" s="27" t="str">
        <f>IF($N755="","",INDEX('_calc'!$H$2:$H$3001,$N755))</f>
        <v/>
      </c>
      <c r="J755" s="27" t="str">
        <f>IF($N755="","",INDEX('_calc'!$I$2:$I$3001,$N755))</f>
        <v/>
      </c>
      <c r="K755" s="28" t="str">
        <f>IF($N755="","",IF(OR(I755="",J755=""),"",J755-I755))</f>
        <v/>
      </c>
      <c r="L755" s="29" t="str">
        <f>IF($N755="","",INDEX('_calc'!$J$2:$J$3001,$N755))</f>
        <v/>
      </c>
      <c r="M755" s="2" t="str">
        <f>IF($N755="","",IF(AND(G755=0,H755=0),"수량 없음",IF(G755=0,"신규 (전년 수량 없음)",IF(H755=0,"당해 수량 없음",""))))</f>
        <v/>
      </c>
      <c r="N755" t="str">
        <f>IF($B755="","",MATCH($B755,'_calc'!$L$2:$L$3001,0))</f>
        <v/>
      </c>
    </row>
    <row r="756">
      <c r="B756" s="24" t="str">
        <f>IF(ROW()-ROW($B$8)&gt;nComp,"",ROW()-ROW($B$8))</f>
        <v/>
      </c>
      <c r="C756" t="str">
        <f>IF($N756="","",INDEX('_calc'!$A$2:$A$3001,$N756))</f>
        <v/>
      </c>
      <c r="D756" s="25" t="str">
        <f>IF($N756="","",INDEX('_calc'!$C$2:$C$3001,$N756))</f>
        <v/>
      </c>
      <c r="E756" s="25" t="str">
        <f>IF($N756="","",INDEX('_calc'!$D$2:$D$3001,$N756))</f>
        <v/>
      </c>
      <c r="F756" s="26" t="str">
        <f>IF($N756="","",IF($E$8=0,"",E756/$E$8))</f>
        <v/>
      </c>
      <c r="G756" s="25" t="str">
        <f>IF($N756="","",INDEX('_calc'!$E$2:$E$3001,$N756))</f>
        <v/>
      </c>
      <c r="H756" s="25" t="str">
        <f>IF($N756="","",INDEX('_calc'!$F$2:$F$3001,$N756))</f>
        <v/>
      </c>
      <c r="I756" s="27" t="str">
        <f>IF($N756="","",INDEX('_calc'!$H$2:$H$3001,$N756))</f>
        <v/>
      </c>
      <c r="J756" s="27" t="str">
        <f>IF($N756="","",INDEX('_calc'!$I$2:$I$3001,$N756))</f>
        <v/>
      </c>
      <c r="K756" s="28" t="str">
        <f>IF($N756="","",IF(OR(I756="",J756=""),"",J756-I756))</f>
        <v/>
      </c>
      <c r="L756" s="29" t="str">
        <f>IF($N756="","",INDEX('_calc'!$J$2:$J$3001,$N756))</f>
        <v/>
      </c>
      <c r="M756" s="2" t="str">
        <f>IF($N756="","",IF(AND(G756=0,H756=0),"수량 없음",IF(G756=0,"신규 (전년 수량 없음)",IF(H756=0,"당해 수량 없음",""))))</f>
        <v/>
      </c>
      <c r="N756" t="str">
        <f>IF($B756="","",MATCH($B756,'_calc'!$L$2:$L$3001,0))</f>
        <v/>
      </c>
    </row>
    <row r="757">
      <c r="B757" s="24" t="str">
        <f>IF(ROW()-ROW($B$8)&gt;nComp,"",ROW()-ROW($B$8))</f>
        <v/>
      </c>
      <c r="C757" t="str">
        <f>IF($N757="","",INDEX('_calc'!$A$2:$A$3001,$N757))</f>
        <v/>
      </c>
      <c r="D757" s="25" t="str">
        <f>IF($N757="","",INDEX('_calc'!$C$2:$C$3001,$N757))</f>
        <v/>
      </c>
      <c r="E757" s="25" t="str">
        <f>IF($N757="","",INDEX('_calc'!$D$2:$D$3001,$N757))</f>
        <v/>
      </c>
      <c r="F757" s="26" t="str">
        <f>IF($N757="","",IF($E$8=0,"",E757/$E$8))</f>
        <v/>
      </c>
      <c r="G757" s="25" t="str">
        <f>IF($N757="","",INDEX('_calc'!$E$2:$E$3001,$N757))</f>
        <v/>
      </c>
      <c r="H757" s="25" t="str">
        <f>IF($N757="","",INDEX('_calc'!$F$2:$F$3001,$N757))</f>
        <v/>
      </c>
      <c r="I757" s="27" t="str">
        <f>IF($N757="","",INDEX('_calc'!$H$2:$H$3001,$N757))</f>
        <v/>
      </c>
      <c r="J757" s="27" t="str">
        <f>IF($N757="","",INDEX('_calc'!$I$2:$I$3001,$N757))</f>
        <v/>
      </c>
      <c r="K757" s="28" t="str">
        <f>IF($N757="","",IF(OR(I757="",J757=""),"",J757-I757))</f>
        <v/>
      </c>
      <c r="L757" s="29" t="str">
        <f>IF($N757="","",INDEX('_calc'!$J$2:$J$3001,$N757))</f>
        <v/>
      </c>
      <c r="M757" s="2" t="str">
        <f>IF($N757="","",IF(AND(G757=0,H757=0),"수량 없음",IF(G757=0,"신규 (전년 수량 없음)",IF(H757=0,"당해 수량 없음",""))))</f>
        <v/>
      </c>
      <c r="N757" t="str">
        <f>IF($B757="","",MATCH($B757,'_calc'!$L$2:$L$3001,0))</f>
        <v/>
      </c>
    </row>
    <row r="758">
      <c r="B758" s="24" t="str">
        <f>IF(ROW()-ROW($B$8)&gt;nComp,"",ROW()-ROW($B$8))</f>
        <v/>
      </c>
      <c r="C758" t="str">
        <f>IF($N758="","",INDEX('_calc'!$A$2:$A$3001,$N758))</f>
        <v/>
      </c>
      <c r="D758" s="25" t="str">
        <f>IF($N758="","",INDEX('_calc'!$C$2:$C$3001,$N758))</f>
        <v/>
      </c>
      <c r="E758" s="25" t="str">
        <f>IF($N758="","",INDEX('_calc'!$D$2:$D$3001,$N758))</f>
        <v/>
      </c>
      <c r="F758" s="26" t="str">
        <f>IF($N758="","",IF($E$8=0,"",E758/$E$8))</f>
        <v/>
      </c>
      <c r="G758" s="25" t="str">
        <f>IF($N758="","",INDEX('_calc'!$E$2:$E$3001,$N758))</f>
        <v/>
      </c>
      <c r="H758" s="25" t="str">
        <f>IF($N758="","",INDEX('_calc'!$F$2:$F$3001,$N758))</f>
        <v/>
      </c>
      <c r="I758" s="27" t="str">
        <f>IF($N758="","",INDEX('_calc'!$H$2:$H$3001,$N758))</f>
        <v/>
      </c>
      <c r="J758" s="27" t="str">
        <f>IF($N758="","",INDEX('_calc'!$I$2:$I$3001,$N758))</f>
        <v/>
      </c>
      <c r="K758" s="28" t="str">
        <f>IF($N758="","",IF(OR(I758="",J758=""),"",J758-I758))</f>
        <v/>
      </c>
      <c r="L758" s="29" t="str">
        <f>IF($N758="","",INDEX('_calc'!$J$2:$J$3001,$N758))</f>
        <v/>
      </c>
      <c r="M758" s="2" t="str">
        <f>IF($N758="","",IF(AND(G758=0,H758=0),"수량 없음",IF(G758=0,"신규 (전년 수량 없음)",IF(H758=0,"당해 수량 없음",""))))</f>
        <v/>
      </c>
      <c r="N758" t="str">
        <f>IF($B758="","",MATCH($B758,'_calc'!$L$2:$L$3001,0))</f>
        <v/>
      </c>
    </row>
    <row r="759">
      <c r="B759" s="24" t="str">
        <f>IF(ROW()-ROW($B$8)&gt;nComp,"",ROW()-ROW($B$8))</f>
        <v/>
      </c>
      <c r="C759" t="str">
        <f>IF($N759="","",INDEX('_calc'!$A$2:$A$3001,$N759))</f>
        <v/>
      </c>
      <c r="D759" s="25" t="str">
        <f>IF($N759="","",INDEX('_calc'!$C$2:$C$3001,$N759))</f>
        <v/>
      </c>
      <c r="E759" s="25" t="str">
        <f>IF($N759="","",INDEX('_calc'!$D$2:$D$3001,$N759))</f>
        <v/>
      </c>
      <c r="F759" s="26" t="str">
        <f>IF($N759="","",IF($E$8=0,"",E759/$E$8))</f>
        <v/>
      </c>
      <c r="G759" s="25" t="str">
        <f>IF($N759="","",INDEX('_calc'!$E$2:$E$3001,$N759))</f>
        <v/>
      </c>
      <c r="H759" s="25" t="str">
        <f>IF($N759="","",INDEX('_calc'!$F$2:$F$3001,$N759))</f>
        <v/>
      </c>
      <c r="I759" s="27" t="str">
        <f>IF($N759="","",INDEX('_calc'!$H$2:$H$3001,$N759))</f>
        <v/>
      </c>
      <c r="J759" s="27" t="str">
        <f>IF($N759="","",INDEX('_calc'!$I$2:$I$3001,$N759))</f>
        <v/>
      </c>
      <c r="K759" s="28" t="str">
        <f>IF($N759="","",IF(OR(I759="",J759=""),"",J759-I759))</f>
        <v/>
      </c>
      <c r="L759" s="29" t="str">
        <f>IF($N759="","",INDEX('_calc'!$J$2:$J$3001,$N759))</f>
        <v/>
      </c>
      <c r="M759" s="2" t="str">
        <f>IF($N759="","",IF(AND(G759=0,H759=0),"수량 없음",IF(G759=0,"신규 (전년 수량 없음)",IF(H759=0,"당해 수량 없음",""))))</f>
        <v/>
      </c>
      <c r="N759" t="str">
        <f>IF($B759="","",MATCH($B759,'_calc'!$L$2:$L$3001,0))</f>
        <v/>
      </c>
    </row>
    <row r="760">
      <c r="B760" s="24" t="str">
        <f>IF(ROW()-ROW($B$8)&gt;nComp,"",ROW()-ROW($B$8))</f>
        <v/>
      </c>
      <c r="C760" t="str">
        <f>IF($N760="","",INDEX('_calc'!$A$2:$A$3001,$N760))</f>
        <v/>
      </c>
      <c r="D760" s="25" t="str">
        <f>IF($N760="","",INDEX('_calc'!$C$2:$C$3001,$N760))</f>
        <v/>
      </c>
      <c r="E760" s="25" t="str">
        <f>IF($N760="","",INDEX('_calc'!$D$2:$D$3001,$N760))</f>
        <v/>
      </c>
      <c r="F760" s="26" t="str">
        <f>IF($N760="","",IF($E$8=0,"",E760/$E$8))</f>
        <v/>
      </c>
      <c r="G760" s="25" t="str">
        <f>IF($N760="","",INDEX('_calc'!$E$2:$E$3001,$N760))</f>
        <v/>
      </c>
      <c r="H760" s="25" t="str">
        <f>IF($N760="","",INDEX('_calc'!$F$2:$F$3001,$N760))</f>
        <v/>
      </c>
      <c r="I760" s="27" t="str">
        <f>IF($N760="","",INDEX('_calc'!$H$2:$H$3001,$N760))</f>
        <v/>
      </c>
      <c r="J760" s="27" t="str">
        <f>IF($N760="","",INDEX('_calc'!$I$2:$I$3001,$N760))</f>
        <v/>
      </c>
      <c r="K760" s="28" t="str">
        <f>IF($N760="","",IF(OR(I760="",J760=""),"",J760-I760))</f>
        <v/>
      </c>
      <c r="L760" s="29" t="str">
        <f>IF($N760="","",INDEX('_calc'!$J$2:$J$3001,$N760))</f>
        <v/>
      </c>
      <c r="M760" s="2" t="str">
        <f>IF($N760="","",IF(AND(G760=0,H760=0),"수량 없음",IF(G760=0,"신규 (전년 수량 없음)",IF(H760=0,"당해 수량 없음",""))))</f>
        <v/>
      </c>
      <c r="N760" t="str">
        <f>IF($B760="","",MATCH($B760,'_calc'!$L$2:$L$3001,0))</f>
        <v/>
      </c>
    </row>
    <row r="761">
      <c r="B761" s="24" t="str">
        <f>IF(ROW()-ROW($B$8)&gt;nComp,"",ROW()-ROW($B$8))</f>
        <v/>
      </c>
      <c r="C761" t="str">
        <f>IF($N761="","",INDEX('_calc'!$A$2:$A$3001,$N761))</f>
        <v/>
      </c>
      <c r="D761" s="25" t="str">
        <f>IF($N761="","",INDEX('_calc'!$C$2:$C$3001,$N761))</f>
        <v/>
      </c>
      <c r="E761" s="25" t="str">
        <f>IF($N761="","",INDEX('_calc'!$D$2:$D$3001,$N761))</f>
        <v/>
      </c>
      <c r="F761" s="26" t="str">
        <f>IF($N761="","",IF($E$8=0,"",E761/$E$8))</f>
        <v/>
      </c>
      <c r="G761" s="25" t="str">
        <f>IF($N761="","",INDEX('_calc'!$E$2:$E$3001,$N761))</f>
        <v/>
      </c>
      <c r="H761" s="25" t="str">
        <f>IF($N761="","",INDEX('_calc'!$F$2:$F$3001,$N761))</f>
        <v/>
      </c>
      <c r="I761" s="27" t="str">
        <f>IF($N761="","",INDEX('_calc'!$H$2:$H$3001,$N761))</f>
        <v/>
      </c>
      <c r="J761" s="27" t="str">
        <f>IF($N761="","",INDEX('_calc'!$I$2:$I$3001,$N761))</f>
        <v/>
      </c>
      <c r="K761" s="28" t="str">
        <f>IF($N761="","",IF(OR(I761="",J761=""),"",J761-I761))</f>
        <v/>
      </c>
      <c r="L761" s="29" t="str">
        <f>IF($N761="","",INDEX('_calc'!$J$2:$J$3001,$N761))</f>
        <v/>
      </c>
      <c r="M761" s="2" t="str">
        <f>IF($N761="","",IF(AND(G761=0,H761=0),"수량 없음",IF(G761=0,"신규 (전년 수량 없음)",IF(H761=0,"당해 수량 없음",""))))</f>
        <v/>
      </c>
      <c r="N761" t="str">
        <f>IF($B761="","",MATCH($B761,'_calc'!$L$2:$L$3001,0))</f>
        <v/>
      </c>
    </row>
    <row r="762">
      <c r="B762" s="24" t="str">
        <f>IF(ROW()-ROW($B$8)&gt;nComp,"",ROW()-ROW($B$8))</f>
        <v/>
      </c>
      <c r="C762" t="str">
        <f>IF($N762="","",INDEX('_calc'!$A$2:$A$3001,$N762))</f>
        <v/>
      </c>
      <c r="D762" s="25" t="str">
        <f>IF($N762="","",INDEX('_calc'!$C$2:$C$3001,$N762))</f>
        <v/>
      </c>
      <c r="E762" s="25" t="str">
        <f>IF($N762="","",INDEX('_calc'!$D$2:$D$3001,$N762))</f>
        <v/>
      </c>
      <c r="F762" s="26" t="str">
        <f>IF($N762="","",IF($E$8=0,"",E762/$E$8))</f>
        <v/>
      </c>
      <c r="G762" s="25" t="str">
        <f>IF($N762="","",INDEX('_calc'!$E$2:$E$3001,$N762))</f>
        <v/>
      </c>
      <c r="H762" s="25" t="str">
        <f>IF($N762="","",INDEX('_calc'!$F$2:$F$3001,$N762))</f>
        <v/>
      </c>
      <c r="I762" s="27" t="str">
        <f>IF($N762="","",INDEX('_calc'!$H$2:$H$3001,$N762))</f>
        <v/>
      </c>
      <c r="J762" s="27" t="str">
        <f>IF($N762="","",INDEX('_calc'!$I$2:$I$3001,$N762))</f>
        <v/>
      </c>
      <c r="K762" s="28" t="str">
        <f>IF($N762="","",IF(OR(I762="",J762=""),"",J762-I762))</f>
        <v/>
      </c>
      <c r="L762" s="29" t="str">
        <f>IF($N762="","",INDEX('_calc'!$J$2:$J$3001,$N762))</f>
        <v/>
      </c>
      <c r="M762" s="2" t="str">
        <f>IF($N762="","",IF(AND(G762=0,H762=0),"수량 없음",IF(G762=0,"신규 (전년 수량 없음)",IF(H762=0,"당해 수량 없음",""))))</f>
        <v/>
      </c>
      <c r="N762" t="str">
        <f>IF($B762="","",MATCH($B762,'_calc'!$L$2:$L$3001,0))</f>
        <v/>
      </c>
    </row>
    <row r="763">
      <c r="B763" s="24" t="str">
        <f>IF(ROW()-ROW($B$8)&gt;nComp,"",ROW()-ROW($B$8))</f>
        <v/>
      </c>
      <c r="C763" t="str">
        <f>IF($N763="","",INDEX('_calc'!$A$2:$A$3001,$N763))</f>
        <v/>
      </c>
      <c r="D763" s="25" t="str">
        <f>IF($N763="","",INDEX('_calc'!$C$2:$C$3001,$N763))</f>
        <v/>
      </c>
      <c r="E763" s="25" t="str">
        <f>IF($N763="","",INDEX('_calc'!$D$2:$D$3001,$N763))</f>
        <v/>
      </c>
      <c r="F763" s="26" t="str">
        <f>IF($N763="","",IF($E$8=0,"",E763/$E$8))</f>
        <v/>
      </c>
      <c r="G763" s="25" t="str">
        <f>IF($N763="","",INDEX('_calc'!$E$2:$E$3001,$N763))</f>
        <v/>
      </c>
      <c r="H763" s="25" t="str">
        <f>IF($N763="","",INDEX('_calc'!$F$2:$F$3001,$N763))</f>
        <v/>
      </c>
      <c r="I763" s="27" t="str">
        <f>IF($N763="","",INDEX('_calc'!$H$2:$H$3001,$N763))</f>
        <v/>
      </c>
      <c r="J763" s="27" t="str">
        <f>IF($N763="","",INDEX('_calc'!$I$2:$I$3001,$N763))</f>
        <v/>
      </c>
      <c r="K763" s="28" t="str">
        <f>IF($N763="","",IF(OR(I763="",J763=""),"",J763-I763))</f>
        <v/>
      </c>
      <c r="L763" s="29" t="str">
        <f>IF($N763="","",INDEX('_calc'!$J$2:$J$3001,$N763))</f>
        <v/>
      </c>
      <c r="M763" s="2" t="str">
        <f>IF($N763="","",IF(AND(G763=0,H763=0),"수량 없음",IF(G763=0,"신규 (전년 수량 없음)",IF(H763=0,"당해 수량 없음",""))))</f>
        <v/>
      </c>
      <c r="N763" t="str">
        <f>IF($B763="","",MATCH($B763,'_calc'!$L$2:$L$3001,0))</f>
        <v/>
      </c>
    </row>
    <row r="764">
      <c r="B764" s="24" t="str">
        <f>IF(ROW()-ROW($B$8)&gt;nComp,"",ROW()-ROW($B$8))</f>
        <v/>
      </c>
      <c r="C764" t="str">
        <f>IF($N764="","",INDEX('_calc'!$A$2:$A$3001,$N764))</f>
        <v/>
      </c>
      <c r="D764" s="25" t="str">
        <f>IF($N764="","",INDEX('_calc'!$C$2:$C$3001,$N764))</f>
        <v/>
      </c>
      <c r="E764" s="25" t="str">
        <f>IF($N764="","",INDEX('_calc'!$D$2:$D$3001,$N764))</f>
        <v/>
      </c>
      <c r="F764" s="26" t="str">
        <f>IF($N764="","",IF($E$8=0,"",E764/$E$8))</f>
        <v/>
      </c>
      <c r="G764" s="25" t="str">
        <f>IF($N764="","",INDEX('_calc'!$E$2:$E$3001,$N764))</f>
        <v/>
      </c>
      <c r="H764" s="25" t="str">
        <f>IF($N764="","",INDEX('_calc'!$F$2:$F$3001,$N764))</f>
        <v/>
      </c>
      <c r="I764" s="27" t="str">
        <f>IF($N764="","",INDEX('_calc'!$H$2:$H$3001,$N764))</f>
        <v/>
      </c>
      <c r="J764" s="27" t="str">
        <f>IF($N764="","",INDEX('_calc'!$I$2:$I$3001,$N764))</f>
        <v/>
      </c>
      <c r="K764" s="28" t="str">
        <f>IF($N764="","",IF(OR(I764="",J764=""),"",J764-I764))</f>
        <v/>
      </c>
      <c r="L764" s="29" t="str">
        <f>IF($N764="","",INDEX('_calc'!$J$2:$J$3001,$N764))</f>
        <v/>
      </c>
      <c r="M764" s="2" t="str">
        <f>IF($N764="","",IF(AND(G764=0,H764=0),"수량 없음",IF(G764=0,"신규 (전년 수량 없음)",IF(H764=0,"당해 수량 없음",""))))</f>
        <v/>
      </c>
      <c r="N764" t="str">
        <f>IF($B764="","",MATCH($B764,'_calc'!$L$2:$L$3001,0))</f>
        <v/>
      </c>
    </row>
    <row r="765">
      <c r="B765" s="24" t="str">
        <f>IF(ROW()-ROW($B$8)&gt;nComp,"",ROW()-ROW($B$8))</f>
        <v/>
      </c>
      <c r="C765" t="str">
        <f>IF($N765="","",INDEX('_calc'!$A$2:$A$3001,$N765))</f>
        <v/>
      </c>
      <c r="D765" s="25" t="str">
        <f>IF($N765="","",INDEX('_calc'!$C$2:$C$3001,$N765))</f>
        <v/>
      </c>
      <c r="E765" s="25" t="str">
        <f>IF($N765="","",INDEX('_calc'!$D$2:$D$3001,$N765))</f>
        <v/>
      </c>
      <c r="F765" s="26" t="str">
        <f>IF($N765="","",IF($E$8=0,"",E765/$E$8))</f>
        <v/>
      </c>
      <c r="G765" s="25" t="str">
        <f>IF($N765="","",INDEX('_calc'!$E$2:$E$3001,$N765))</f>
        <v/>
      </c>
      <c r="H765" s="25" t="str">
        <f>IF($N765="","",INDEX('_calc'!$F$2:$F$3001,$N765))</f>
        <v/>
      </c>
      <c r="I765" s="27" t="str">
        <f>IF($N765="","",INDEX('_calc'!$H$2:$H$3001,$N765))</f>
        <v/>
      </c>
      <c r="J765" s="27" t="str">
        <f>IF($N765="","",INDEX('_calc'!$I$2:$I$3001,$N765))</f>
        <v/>
      </c>
      <c r="K765" s="28" t="str">
        <f>IF($N765="","",IF(OR(I765="",J765=""),"",J765-I765))</f>
        <v/>
      </c>
      <c r="L765" s="29" t="str">
        <f>IF($N765="","",INDEX('_calc'!$J$2:$J$3001,$N765))</f>
        <v/>
      </c>
      <c r="M765" s="2" t="str">
        <f>IF($N765="","",IF(AND(G765=0,H765=0),"수량 없음",IF(G765=0,"신규 (전년 수량 없음)",IF(H765=0,"당해 수량 없음",""))))</f>
        <v/>
      </c>
      <c r="N765" t="str">
        <f>IF($B765="","",MATCH($B765,'_calc'!$L$2:$L$3001,0))</f>
        <v/>
      </c>
    </row>
    <row r="766">
      <c r="B766" s="24" t="str">
        <f>IF(ROW()-ROW($B$8)&gt;nComp,"",ROW()-ROW($B$8))</f>
        <v/>
      </c>
      <c r="C766" t="str">
        <f>IF($N766="","",INDEX('_calc'!$A$2:$A$3001,$N766))</f>
        <v/>
      </c>
      <c r="D766" s="25" t="str">
        <f>IF($N766="","",INDEX('_calc'!$C$2:$C$3001,$N766))</f>
        <v/>
      </c>
      <c r="E766" s="25" t="str">
        <f>IF($N766="","",INDEX('_calc'!$D$2:$D$3001,$N766))</f>
        <v/>
      </c>
      <c r="F766" s="26" t="str">
        <f>IF($N766="","",IF($E$8=0,"",E766/$E$8))</f>
        <v/>
      </c>
      <c r="G766" s="25" t="str">
        <f>IF($N766="","",INDEX('_calc'!$E$2:$E$3001,$N766))</f>
        <v/>
      </c>
      <c r="H766" s="25" t="str">
        <f>IF($N766="","",INDEX('_calc'!$F$2:$F$3001,$N766))</f>
        <v/>
      </c>
      <c r="I766" s="27" t="str">
        <f>IF($N766="","",INDEX('_calc'!$H$2:$H$3001,$N766))</f>
        <v/>
      </c>
      <c r="J766" s="27" t="str">
        <f>IF($N766="","",INDEX('_calc'!$I$2:$I$3001,$N766))</f>
        <v/>
      </c>
      <c r="K766" s="28" t="str">
        <f>IF($N766="","",IF(OR(I766="",J766=""),"",J766-I766))</f>
        <v/>
      </c>
      <c r="L766" s="29" t="str">
        <f>IF($N766="","",INDEX('_calc'!$J$2:$J$3001,$N766))</f>
        <v/>
      </c>
      <c r="M766" s="2" t="str">
        <f>IF($N766="","",IF(AND(G766=0,H766=0),"수량 없음",IF(G766=0,"신규 (전년 수량 없음)",IF(H766=0,"당해 수량 없음",""))))</f>
        <v/>
      </c>
      <c r="N766" t="str">
        <f>IF($B766="","",MATCH($B766,'_calc'!$L$2:$L$3001,0))</f>
        <v/>
      </c>
    </row>
    <row r="767">
      <c r="B767" s="24" t="str">
        <f>IF(ROW()-ROW($B$8)&gt;nComp,"",ROW()-ROW($B$8))</f>
        <v/>
      </c>
      <c r="C767" t="str">
        <f>IF($N767="","",INDEX('_calc'!$A$2:$A$3001,$N767))</f>
        <v/>
      </c>
      <c r="D767" s="25" t="str">
        <f>IF($N767="","",INDEX('_calc'!$C$2:$C$3001,$N767))</f>
        <v/>
      </c>
      <c r="E767" s="25" t="str">
        <f>IF($N767="","",INDEX('_calc'!$D$2:$D$3001,$N767))</f>
        <v/>
      </c>
      <c r="F767" s="26" t="str">
        <f>IF($N767="","",IF($E$8=0,"",E767/$E$8))</f>
        <v/>
      </c>
      <c r="G767" s="25" t="str">
        <f>IF($N767="","",INDEX('_calc'!$E$2:$E$3001,$N767))</f>
        <v/>
      </c>
      <c r="H767" s="25" t="str">
        <f>IF($N767="","",INDEX('_calc'!$F$2:$F$3001,$N767))</f>
        <v/>
      </c>
      <c r="I767" s="27" t="str">
        <f>IF($N767="","",INDEX('_calc'!$H$2:$H$3001,$N767))</f>
        <v/>
      </c>
      <c r="J767" s="27" t="str">
        <f>IF($N767="","",INDEX('_calc'!$I$2:$I$3001,$N767))</f>
        <v/>
      </c>
      <c r="K767" s="28" t="str">
        <f>IF($N767="","",IF(OR(I767="",J767=""),"",J767-I767))</f>
        <v/>
      </c>
      <c r="L767" s="29" t="str">
        <f>IF($N767="","",INDEX('_calc'!$J$2:$J$3001,$N767))</f>
        <v/>
      </c>
      <c r="M767" s="2" t="str">
        <f>IF($N767="","",IF(AND(G767=0,H767=0),"수량 없음",IF(G767=0,"신규 (전년 수량 없음)",IF(H767=0,"당해 수량 없음",""))))</f>
        <v/>
      </c>
      <c r="N767" t="str">
        <f>IF($B767="","",MATCH($B767,'_calc'!$L$2:$L$3001,0))</f>
        <v/>
      </c>
    </row>
    <row r="768">
      <c r="B768" s="24" t="str">
        <f>IF(ROW()-ROW($B$8)&gt;nComp,"",ROW()-ROW($B$8))</f>
        <v/>
      </c>
      <c r="C768" t="str">
        <f>IF($N768="","",INDEX('_calc'!$A$2:$A$3001,$N768))</f>
        <v/>
      </c>
      <c r="D768" s="25" t="str">
        <f>IF($N768="","",INDEX('_calc'!$C$2:$C$3001,$N768))</f>
        <v/>
      </c>
      <c r="E768" s="25" t="str">
        <f>IF($N768="","",INDEX('_calc'!$D$2:$D$3001,$N768))</f>
        <v/>
      </c>
      <c r="F768" s="26" t="str">
        <f>IF($N768="","",IF($E$8=0,"",E768/$E$8))</f>
        <v/>
      </c>
      <c r="G768" s="25" t="str">
        <f>IF($N768="","",INDEX('_calc'!$E$2:$E$3001,$N768))</f>
        <v/>
      </c>
      <c r="H768" s="25" t="str">
        <f>IF($N768="","",INDEX('_calc'!$F$2:$F$3001,$N768))</f>
        <v/>
      </c>
      <c r="I768" s="27" t="str">
        <f>IF($N768="","",INDEX('_calc'!$H$2:$H$3001,$N768))</f>
        <v/>
      </c>
      <c r="J768" s="27" t="str">
        <f>IF($N768="","",INDEX('_calc'!$I$2:$I$3001,$N768))</f>
        <v/>
      </c>
      <c r="K768" s="28" t="str">
        <f>IF($N768="","",IF(OR(I768="",J768=""),"",J768-I768))</f>
        <v/>
      </c>
      <c r="L768" s="29" t="str">
        <f>IF($N768="","",INDEX('_calc'!$J$2:$J$3001,$N768))</f>
        <v/>
      </c>
      <c r="M768" s="2" t="str">
        <f>IF($N768="","",IF(AND(G768=0,H768=0),"수량 없음",IF(G768=0,"신규 (전년 수량 없음)",IF(H768=0,"당해 수량 없음",""))))</f>
        <v/>
      </c>
      <c r="N768" t="str">
        <f>IF($B768="","",MATCH($B768,'_calc'!$L$2:$L$3001,0))</f>
        <v/>
      </c>
    </row>
    <row r="769">
      <c r="B769" s="24" t="str">
        <f>IF(ROW()-ROW($B$8)&gt;nComp,"",ROW()-ROW($B$8))</f>
        <v/>
      </c>
      <c r="C769" t="str">
        <f>IF($N769="","",INDEX('_calc'!$A$2:$A$3001,$N769))</f>
        <v/>
      </c>
      <c r="D769" s="25" t="str">
        <f>IF($N769="","",INDEX('_calc'!$C$2:$C$3001,$N769))</f>
        <v/>
      </c>
      <c r="E769" s="25" t="str">
        <f>IF($N769="","",INDEX('_calc'!$D$2:$D$3001,$N769))</f>
        <v/>
      </c>
      <c r="F769" s="26" t="str">
        <f>IF($N769="","",IF($E$8=0,"",E769/$E$8))</f>
        <v/>
      </c>
      <c r="G769" s="25" t="str">
        <f>IF($N769="","",INDEX('_calc'!$E$2:$E$3001,$N769))</f>
        <v/>
      </c>
      <c r="H769" s="25" t="str">
        <f>IF($N769="","",INDEX('_calc'!$F$2:$F$3001,$N769))</f>
        <v/>
      </c>
      <c r="I769" s="27" t="str">
        <f>IF($N769="","",INDEX('_calc'!$H$2:$H$3001,$N769))</f>
        <v/>
      </c>
      <c r="J769" s="27" t="str">
        <f>IF($N769="","",INDEX('_calc'!$I$2:$I$3001,$N769))</f>
        <v/>
      </c>
      <c r="K769" s="28" t="str">
        <f>IF($N769="","",IF(OR(I769="",J769=""),"",J769-I769))</f>
        <v/>
      </c>
      <c r="L769" s="29" t="str">
        <f>IF($N769="","",INDEX('_calc'!$J$2:$J$3001,$N769))</f>
        <v/>
      </c>
      <c r="M769" s="2" t="str">
        <f>IF($N769="","",IF(AND(G769=0,H769=0),"수량 없음",IF(G769=0,"신규 (전년 수량 없음)",IF(H769=0,"당해 수량 없음",""))))</f>
        <v/>
      </c>
      <c r="N769" t="str">
        <f>IF($B769="","",MATCH($B769,'_calc'!$L$2:$L$3001,0))</f>
        <v/>
      </c>
    </row>
    <row r="770">
      <c r="B770" s="24" t="str">
        <f>IF(ROW()-ROW($B$8)&gt;nComp,"",ROW()-ROW($B$8))</f>
        <v/>
      </c>
      <c r="C770" t="str">
        <f>IF($N770="","",INDEX('_calc'!$A$2:$A$3001,$N770))</f>
        <v/>
      </c>
      <c r="D770" s="25" t="str">
        <f>IF($N770="","",INDEX('_calc'!$C$2:$C$3001,$N770))</f>
        <v/>
      </c>
      <c r="E770" s="25" t="str">
        <f>IF($N770="","",INDEX('_calc'!$D$2:$D$3001,$N770))</f>
        <v/>
      </c>
      <c r="F770" s="26" t="str">
        <f>IF($N770="","",IF($E$8=0,"",E770/$E$8))</f>
        <v/>
      </c>
      <c r="G770" s="25" t="str">
        <f>IF($N770="","",INDEX('_calc'!$E$2:$E$3001,$N770))</f>
        <v/>
      </c>
      <c r="H770" s="25" t="str">
        <f>IF($N770="","",INDEX('_calc'!$F$2:$F$3001,$N770))</f>
        <v/>
      </c>
      <c r="I770" s="27" t="str">
        <f>IF($N770="","",INDEX('_calc'!$H$2:$H$3001,$N770))</f>
        <v/>
      </c>
      <c r="J770" s="27" t="str">
        <f>IF($N770="","",INDEX('_calc'!$I$2:$I$3001,$N770))</f>
        <v/>
      </c>
      <c r="K770" s="28" t="str">
        <f>IF($N770="","",IF(OR(I770="",J770=""),"",J770-I770))</f>
        <v/>
      </c>
      <c r="L770" s="29" t="str">
        <f>IF($N770="","",INDEX('_calc'!$J$2:$J$3001,$N770))</f>
        <v/>
      </c>
      <c r="M770" s="2" t="str">
        <f>IF($N770="","",IF(AND(G770=0,H770=0),"수량 없음",IF(G770=0,"신규 (전년 수량 없음)",IF(H770=0,"당해 수량 없음",""))))</f>
        <v/>
      </c>
      <c r="N770" t="str">
        <f>IF($B770="","",MATCH($B770,'_calc'!$L$2:$L$3001,0))</f>
        <v/>
      </c>
    </row>
    <row r="771">
      <c r="B771" s="24" t="str">
        <f>IF(ROW()-ROW($B$8)&gt;nComp,"",ROW()-ROW($B$8))</f>
        <v/>
      </c>
      <c r="C771" t="str">
        <f>IF($N771="","",INDEX('_calc'!$A$2:$A$3001,$N771))</f>
        <v/>
      </c>
      <c r="D771" s="25" t="str">
        <f>IF($N771="","",INDEX('_calc'!$C$2:$C$3001,$N771))</f>
        <v/>
      </c>
      <c r="E771" s="25" t="str">
        <f>IF($N771="","",INDEX('_calc'!$D$2:$D$3001,$N771))</f>
        <v/>
      </c>
      <c r="F771" s="26" t="str">
        <f>IF($N771="","",IF($E$8=0,"",E771/$E$8))</f>
        <v/>
      </c>
      <c r="G771" s="25" t="str">
        <f>IF($N771="","",INDEX('_calc'!$E$2:$E$3001,$N771))</f>
        <v/>
      </c>
      <c r="H771" s="25" t="str">
        <f>IF($N771="","",INDEX('_calc'!$F$2:$F$3001,$N771))</f>
        <v/>
      </c>
      <c r="I771" s="27" t="str">
        <f>IF($N771="","",INDEX('_calc'!$H$2:$H$3001,$N771))</f>
        <v/>
      </c>
      <c r="J771" s="27" t="str">
        <f>IF($N771="","",INDEX('_calc'!$I$2:$I$3001,$N771))</f>
        <v/>
      </c>
      <c r="K771" s="28" t="str">
        <f>IF($N771="","",IF(OR(I771="",J771=""),"",J771-I771))</f>
        <v/>
      </c>
      <c r="L771" s="29" t="str">
        <f>IF($N771="","",INDEX('_calc'!$J$2:$J$3001,$N771))</f>
        <v/>
      </c>
      <c r="M771" s="2" t="str">
        <f>IF($N771="","",IF(AND(G771=0,H771=0),"수량 없음",IF(G771=0,"신규 (전년 수량 없음)",IF(H771=0,"당해 수량 없음",""))))</f>
        <v/>
      </c>
      <c r="N771" t="str">
        <f>IF($B771="","",MATCH($B771,'_calc'!$L$2:$L$3001,0))</f>
        <v/>
      </c>
    </row>
    <row r="772">
      <c r="B772" s="24" t="str">
        <f>IF(ROW()-ROW($B$8)&gt;nComp,"",ROW()-ROW($B$8))</f>
        <v/>
      </c>
      <c r="C772" t="str">
        <f>IF($N772="","",INDEX('_calc'!$A$2:$A$3001,$N772))</f>
        <v/>
      </c>
      <c r="D772" s="25" t="str">
        <f>IF($N772="","",INDEX('_calc'!$C$2:$C$3001,$N772))</f>
        <v/>
      </c>
      <c r="E772" s="25" t="str">
        <f>IF($N772="","",INDEX('_calc'!$D$2:$D$3001,$N772))</f>
        <v/>
      </c>
      <c r="F772" s="26" t="str">
        <f>IF($N772="","",IF($E$8=0,"",E772/$E$8))</f>
        <v/>
      </c>
      <c r="G772" s="25" t="str">
        <f>IF($N772="","",INDEX('_calc'!$E$2:$E$3001,$N772))</f>
        <v/>
      </c>
      <c r="H772" s="25" t="str">
        <f>IF($N772="","",INDEX('_calc'!$F$2:$F$3001,$N772))</f>
        <v/>
      </c>
      <c r="I772" s="27" t="str">
        <f>IF($N772="","",INDEX('_calc'!$H$2:$H$3001,$N772))</f>
        <v/>
      </c>
      <c r="J772" s="27" t="str">
        <f>IF($N772="","",INDEX('_calc'!$I$2:$I$3001,$N772))</f>
        <v/>
      </c>
      <c r="K772" s="28" t="str">
        <f>IF($N772="","",IF(OR(I772="",J772=""),"",J772-I772))</f>
        <v/>
      </c>
      <c r="L772" s="29" t="str">
        <f>IF($N772="","",INDEX('_calc'!$J$2:$J$3001,$N772))</f>
        <v/>
      </c>
      <c r="M772" s="2" t="str">
        <f>IF($N772="","",IF(AND(G772=0,H772=0),"수량 없음",IF(G772=0,"신규 (전년 수량 없음)",IF(H772=0,"당해 수량 없음",""))))</f>
        <v/>
      </c>
      <c r="N772" t="str">
        <f>IF($B772="","",MATCH($B772,'_calc'!$L$2:$L$3001,0))</f>
        <v/>
      </c>
    </row>
    <row r="773">
      <c r="B773" s="24" t="str">
        <f>IF(ROW()-ROW($B$8)&gt;nComp,"",ROW()-ROW($B$8))</f>
        <v/>
      </c>
      <c r="C773" t="str">
        <f>IF($N773="","",INDEX('_calc'!$A$2:$A$3001,$N773))</f>
        <v/>
      </c>
      <c r="D773" s="25" t="str">
        <f>IF($N773="","",INDEX('_calc'!$C$2:$C$3001,$N773))</f>
        <v/>
      </c>
      <c r="E773" s="25" t="str">
        <f>IF($N773="","",INDEX('_calc'!$D$2:$D$3001,$N773))</f>
        <v/>
      </c>
      <c r="F773" s="26" t="str">
        <f>IF($N773="","",IF($E$8=0,"",E773/$E$8))</f>
        <v/>
      </c>
      <c r="G773" s="25" t="str">
        <f>IF($N773="","",INDEX('_calc'!$E$2:$E$3001,$N773))</f>
        <v/>
      </c>
      <c r="H773" s="25" t="str">
        <f>IF($N773="","",INDEX('_calc'!$F$2:$F$3001,$N773))</f>
        <v/>
      </c>
      <c r="I773" s="27" t="str">
        <f>IF($N773="","",INDEX('_calc'!$H$2:$H$3001,$N773))</f>
        <v/>
      </c>
      <c r="J773" s="27" t="str">
        <f>IF($N773="","",INDEX('_calc'!$I$2:$I$3001,$N773))</f>
        <v/>
      </c>
      <c r="K773" s="28" t="str">
        <f>IF($N773="","",IF(OR(I773="",J773=""),"",J773-I773))</f>
        <v/>
      </c>
      <c r="L773" s="29" t="str">
        <f>IF($N773="","",INDEX('_calc'!$J$2:$J$3001,$N773))</f>
        <v/>
      </c>
      <c r="M773" s="2" t="str">
        <f>IF($N773="","",IF(AND(G773=0,H773=0),"수량 없음",IF(G773=0,"신규 (전년 수량 없음)",IF(H773=0,"당해 수량 없음",""))))</f>
        <v/>
      </c>
      <c r="N773" t="str">
        <f>IF($B773="","",MATCH($B773,'_calc'!$L$2:$L$3001,0))</f>
        <v/>
      </c>
    </row>
    <row r="774">
      <c r="B774" s="24" t="str">
        <f>IF(ROW()-ROW($B$8)&gt;nComp,"",ROW()-ROW($B$8))</f>
        <v/>
      </c>
      <c r="C774" t="str">
        <f>IF($N774="","",INDEX('_calc'!$A$2:$A$3001,$N774))</f>
        <v/>
      </c>
      <c r="D774" s="25" t="str">
        <f>IF($N774="","",INDEX('_calc'!$C$2:$C$3001,$N774))</f>
        <v/>
      </c>
      <c r="E774" s="25" t="str">
        <f>IF($N774="","",INDEX('_calc'!$D$2:$D$3001,$N774))</f>
        <v/>
      </c>
      <c r="F774" s="26" t="str">
        <f>IF($N774="","",IF($E$8=0,"",E774/$E$8))</f>
        <v/>
      </c>
      <c r="G774" s="25" t="str">
        <f>IF($N774="","",INDEX('_calc'!$E$2:$E$3001,$N774))</f>
        <v/>
      </c>
      <c r="H774" s="25" t="str">
        <f>IF($N774="","",INDEX('_calc'!$F$2:$F$3001,$N774))</f>
        <v/>
      </c>
      <c r="I774" s="27" t="str">
        <f>IF($N774="","",INDEX('_calc'!$H$2:$H$3001,$N774))</f>
        <v/>
      </c>
      <c r="J774" s="27" t="str">
        <f>IF($N774="","",INDEX('_calc'!$I$2:$I$3001,$N774))</f>
        <v/>
      </c>
      <c r="K774" s="28" t="str">
        <f>IF($N774="","",IF(OR(I774="",J774=""),"",J774-I774))</f>
        <v/>
      </c>
      <c r="L774" s="29" t="str">
        <f>IF($N774="","",INDEX('_calc'!$J$2:$J$3001,$N774))</f>
        <v/>
      </c>
      <c r="M774" s="2" t="str">
        <f>IF($N774="","",IF(AND(G774=0,H774=0),"수량 없음",IF(G774=0,"신규 (전년 수량 없음)",IF(H774=0,"당해 수량 없음",""))))</f>
        <v/>
      </c>
      <c r="N774" t="str">
        <f>IF($B774="","",MATCH($B774,'_calc'!$L$2:$L$3001,0))</f>
        <v/>
      </c>
    </row>
    <row r="775">
      <c r="B775" s="24" t="str">
        <f>IF(ROW()-ROW($B$8)&gt;nComp,"",ROW()-ROW($B$8))</f>
        <v/>
      </c>
      <c r="C775" t="str">
        <f>IF($N775="","",INDEX('_calc'!$A$2:$A$3001,$N775))</f>
        <v/>
      </c>
      <c r="D775" s="25" t="str">
        <f>IF($N775="","",INDEX('_calc'!$C$2:$C$3001,$N775))</f>
        <v/>
      </c>
      <c r="E775" s="25" t="str">
        <f>IF($N775="","",INDEX('_calc'!$D$2:$D$3001,$N775))</f>
        <v/>
      </c>
      <c r="F775" s="26" t="str">
        <f>IF($N775="","",IF($E$8=0,"",E775/$E$8))</f>
        <v/>
      </c>
      <c r="G775" s="25" t="str">
        <f>IF($N775="","",INDEX('_calc'!$E$2:$E$3001,$N775))</f>
        <v/>
      </c>
      <c r="H775" s="25" t="str">
        <f>IF($N775="","",INDEX('_calc'!$F$2:$F$3001,$N775))</f>
        <v/>
      </c>
      <c r="I775" s="27" t="str">
        <f>IF($N775="","",INDEX('_calc'!$H$2:$H$3001,$N775))</f>
        <v/>
      </c>
      <c r="J775" s="27" t="str">
        <f>IF($N775="","",INDEX('_calc'!$I$2:$I$3001,$N775))</f>
        <v/>
      </c>
      <c r="K775" s="28" t="str">
        <f>IF($N775="","",IF(OR(I775="",J775=""),"",J775-I775))</f>
        <v/>
      </c>
      <c r="L775" s="29" t="str">
        <f>IF($N775="","",INDEX('_calc'!$J$2:$J$3001,$N775))</f>
        <v/>
      </c>
      <c r="M775" s="2" t="str">
        <f>IF($N775="","",IF(AND(G775=0,H775=0),"수량 없음",IF(G775=0,"신규 (전년 수량 없음)",IF(H775=0,"당해 수량 없음",""))))</f>
        <v/>
      </c>
      <c r="N775" t="str">
        <f>IF($B775="","",MATCH($B775,'_calc'!$L$2:$L$3001,0))</f>
        <v/>
      </c>
    </row>
    <row r="776">
      <c r="B776" s="24" t="str">
        <f>IF(ROW()-ROW($B$8)&gt;nComp,"",ROW()-ROW($B$8))</f>
        <v/>
      </c>
      <c r="C776" t="str">
        <f>IF($N776="","",INDEX('_calc'!$A$2:$A$3001,$N776))</f>
        <v/>
      </c>
      <c r="D776" s="25" t="str">
        <f>IF($N776="","",INDEX('_calc'!$C$2:$C$3001,$N776))</f>
        <v/>
      </c>
      <c r="E776" s="25" t="str">
        <f>IF($N776="","",INDEX('_calc'!$D$2:$D$3001,$N776))</f>
        <v/>
      </c>
      <c r="F776" s="26" t="str">
        <f>IF($N776="","",IF($E$8=0,"",E776/$E$8))</f>
        <v/>
      </c>
      <c r="G776" s="25" t="str">
        <f>IF($N776="","",INDEX('_calc'!$E$2:$E$3001,$N776))</f>
        <v/>
      </c>
      <c r="H776" s="25" t="str">
        <f>IF($N776="","",INDEX('_calc'!$F$2:$F$3001,$N776))</f>
        <v/>
      </c>
      <c r="I776" s="27" t="str">
        <f>IF($N776="","",INDEX('_calc'!$H$2:$H$3001,$N776))</f>
        <v/>
      </c>
      <c r="J776" s="27" t="str">
        <f>IF($N776="","",INDEX('_calc'!$I$2:$I$3001,$N776))</f>
        <v/>
      </c>
      <c r="K776" s="28" t="str">
        <f>IF($N776="","",IF(OR(I776="",J776=""),"",J776-I776))</f>
        <v/>
      </c>
      <c r="L776" s="29" t="str">
        <f>IF($N776="","",INDEX('_calc'!$J$2:$J$3001,$N776))</f>
        <v/>
      </c>
      <c r="M776" s="2" t="str">
        <f>IF($N776="","",IF(AND(G776=0,H776=0),"수량 없음",IF(G776=0,"신규 (전년 수량 없음)",IF(H776=0,"당해 수량 없음",""))))</f>
        <v/>
      </c>
      <c r="N776" t="str">
        <f>IF($B776="","",MATCH($B776,'_calc'!$L$2:$L$3001,0))</f>
        <v/>
      </c>
    </row>
    <row r="777">
      <c r="B777" s="24" t="str">
        <f>IF(ROW()-ROW($B$8)&gt;nComp,"",ROW()-ROW($B$8))</f>
        <v/>
      </c>
      <c r="C777" t="str">
        <f>IF($N777="","",INDEX('_calc'!$A$2:$A$3001,$N777))</f>
        <v/>
      </c>
      <c r="D777" s="25" t="str">
        <f>IF($N777="","",INDEX('_calc'!$C$2:$C$3001,$N777))</f>
        <v/>
      </c>
      <c r="E777" s="25" t="str">
        <f>IF($N777="","",INDEX('_calc'!$D$2:$D$3001,$N777))</f>
        <v/>
      </c>
      <c r="F777" s="26" t="str">
        <f>IF($N777="","",IF($E$8=0,"",E777/$E$8))</f>
        <v/>
      </c>
      <c r="G777" s="25" t="str">
        <f>IF($N777="","",INDEX('_calc'!$E$2:$E$3001,$N777))</f>
        <v/>
      </c>
      <c r="H777" s="25" t="str">
        <f>IF($N777="","",INDEX('_calc'!$F$2:$F$3001,$N777))</f>
        <v/>
      </c>
      <c r="I777" s="27" t="str">
        <f>IF($N777="","",INDEX('_calc'!$H$2:$H$3001,$N777))</f>
        <v/>
      </c>
      <c r="J777" s="27" t="str">
        <f>IF($N777="","",INDEX('_calc'!$I$2:$I$3001,$N777))</f>
        <v/>
      </c>
      <c r="K777" s="28" t="str">
        <f>IF($N777="","",IF(OR(I777="",J777=""),"",J777-I777))</f>
        <v/>
      </c>
      <c r="L777" s="29" t="str">
        <f>IF($N777="","",INDEX('_calc'!$J$2:$J$3001,$N777))</f>
        <v/>
      </c>
      <c r="M777" s="2" t="str">
        <f>IF($N777="","",IF(AND(G777=0,H777=0),"수량 없음",IF(G777=0,"신규 (전년 수량 없음)",IF(H777=0,"당해 수량 없음",""))))</f>
        <v/>
      </c>
      <c r="N777" t="str">
        <f>IF($B777="","",MATCH($B777,'_calc'!$L$2:$L$3001,0))</f>
        <v/>
      </c>
    </row>
    <row r="778">
      <c r="B778" s="24" t="str">
        <f>IF(ROW()-ROW($B$8)&gt;nComp,"",ROW()-ROW($B$8))</f>
        <v/>
      </c>
      <c r="C778" t="str">
        <f>IF($N778="","",INDEX('_calc'!$A$2:$A$3001,$N778))</f>
        <v/>
      </c>
      <c r="D778" s="25" t="str">
        <f>IF($N778="","",INDEX('_calc'!$C$2:$C$3001,$N778))</f>
        <v/>
      </c>
      <c r="E778" s="25" t="str">
        <f>IF($N778="","",INDEX('_calc'!$D$2:$D$3001,$N778))</f>
        <v/>
      </c>
      <c r="F778" s="26" t="str">
        <f>IF($N778="","",IF($E$8=0,"",E778/$E$8))</f>
        <v/>
      </c>
      <c r="G778" s="25" t="str">
        <f>IF($N778="","",INDEX('_calc'!$E$2:$E$3001,$N778))</f>
        <v/>
      </c>
      <c r="H778" s="25" t="str">
        <f>IF($N778="","",INDEX('_calc'!$F$2:$F$3001,$N778))</f>
        <v/>
      </c>
      <c r="I778" s="27" t="str">
        <f>IF($N778="","",INDEX('_calc'!$H$2:$H$3001,$N778))</f>
        <v/>
      </c>
      <c r="J778" s="27" t="str">
        <f>IF($N778="","",INDEX('_calc'!$I$2:$I$3001,$N778))</f>
        <v/>
      </c>
      <c r="K778" s="28" t="str">
        <f>IF($N778="","",IF(OR(I778="",J778=""),"",J778-I778))</f>
        <v/>
      </c>
      <c r="L778" s="29" t="str">
        <f>IF($N778="","",INDEX('_calc'!$J$2:$J$3001,$N778))</f>
        <v/>
      </c>
      <c r="M778" s="2" t="str">
        <f>IF($N778="","",IF(AND(G778=0,H778=0),"수량 없음",IF(G778=0,"신규 (전년 수량 없음)",IF(H778=0,"당해 수량 없음",""))))</f>
        <v/>
      </c>
      <c r="N778" t="str">
        <f>IF($B778="","",MATCH($B778,'_calc'!$L$2:$L$3001,0))</f>
        <v/>
      </c>
    </row>
    <row r="779">
      <c r="B779" s="24" t="str">
        <f>IF(ROW()-ROW($B$8)&gt;nComp,"",ROW()-ROW($B$8))</f>
        <v/>
      </c>
      <c r="C779" t="str">
        <f>IF($N779="","",INDEX('_calc'!$A$2:$A$3001,$N779))</f>
        <v/>
      </c>
      <c r="D779" s="25" t="str">
        <f>IF($N779="","",INDEX('_calc'!$C$2:$C$3001,$N779))</f>
        <v/>
      </c>
      <c r="E779" s="25" t="str">
        <f>IF($N779="","",INDEX('_calc'!$D$2:$D$3001,$N779))</f>
        <v/>
      </c>
      <c r="F779" s="26" t="str">
        <f>IF($N779="","",IF($E$8=0,"",E779/$E$8))</f>
        <v/>
      </c>
      <c r="G779" s="25" t="str">
        <f>IF($N779="","",INDEX('_calc'!$E$2:$E$3001,$N779))</f>
        <v/>
      </c>
      <c r="H779" s="25" t="str">
        <f>IF($N779="","",INDEX('_calc'!$F$2:$F$3001,$N779))</f>
        <v/>
      </c>
      <c r="I779" s="27" t="str">
        <f>IF($N779="","",INDEX('_calc'!$H$2:$H$3001,$N779))</f>
        <v/>
      </c>
      <c r="J779" s="27" t="str">
        <f>IF($N779="","",INDEX('_calc'!$I$2:$I$3001,$N779))</f>
        <v/>
      </c>
      <c r="K779" s="28" t="str">
        <f>IF($N779="","",IF(OR(I779="",J779=""),"",J779-I779))</f>
        <v/>
      </c>
      <c r="L779" s="29" t="str">
        <f>IF($N779="","",INDEX('_calc'!$J$2:$J$3001,$N779))</f>
        <v/>
      </c>
      <c r="M779" s="2" t="str">
        <f>IF($N779="","",IF(AND(G779=0,H779=0),"수량 없음",IF(G779=0,"신규 (전년 수량 없음)",IF(H779=0,"당해 수량 없음",""))))</f>
        <v/>
      </c>
      <c r="N779" t="str">
        <f>IF($B779="","",MATCH($B779,'_calc'!$L$2:$L$3001,0))</f>
        <v/>
      </c>
    </row>
    <row r="780">
      <c r="B780" s="24" t="str">
        <f>IF(ROW()-ROW($B$8)&gt;nComp,"",ROW()-ROW($B$8))</f>
        <v/>
      </c>
      <c r="C780" t="str">
        <f>IF($N780="","",INDEX('_calc'!$A$2:$A$3001,$N780))</f>
        <v/>
      </c>
      <c r="D780" s="25" t="str">
        <f>IF($N780="","",INDEX('_calc'!$C$2:$C$3001,$N780))</f>
        <v/>
      </c>
      <c r="E780" s="25" t="str">
        <f>IF($N780="","",INDEX('_calc'!$D$2:$D$3001,$N780))</f>
        <v/>
      </c>
      <c r="F780" s="26" t="str">
        <f>IF($N780="","",IF($E$8=0,"",E780/$E$8))</f>
        <v/>
      </c>
      <c r="G780" s="25" t="str">
        <f>IF($N780="","",INDEX('_calc'!$E$2:$E$3001,$N780))</f>
        <v/>
      </c>
      <c r="H780" s="25" t="str">
        <f>IF($N780="","",INDEX('_calc'!$F$2:$F$3001,$N780))</f>
        <v/>
      </c>
      <c r="I780" s="27" t="str">
        <f>IF($N780="","",INDEX('_calc'!$H$2:$H$3001,$N780))</f>
        <v/>
      </c>
      <c r="J780" s="27" t="str">
        <f>IF($N780="","",INDEX('_calc'!$I$2:$I$3001,$N780))</f>
        <v/>
      </c>
      <c r="K780" s="28" t="str">
        <f>IF($N780="","",IF(OR(I780="",J780=""),"",J780-I780))</f>
        <v/>
      </c>
      <c r="L780" s="29" t="str">
        <f>IF($N780="","",INDEX('_calc'!$J$2:$J$3001,$N780))</f>
        <v/>
      </c>
      <c r="M780" s="2" t="str">
        <f>IF($N780="","",IF(AND(G780=0,H780=0),"수량 없음",IF(G780=0,"신규 (전년 수량 없음)",IF(H780=0,"당해 수량 없음",""))))</f>
        <v/>
      </c>
      <c r="N780" t="str">
        <f>IF($B780="","",MATCH($B780,'_calc'!$L$2:$L$3001,0))</f>
        <v/>
      </c>
    </row>
    <row r="781">
      <c r="B781" s="24" t="str">
        <f>IF(ROW()-ROW($B$8)&gt;nComp,"",ROW()-ROW($B$8))</f>
        <v/>
      </c>
      <c r="C781" t="str">
        <f>IF($N781="","",INDEX('_calc'!$A$2:$A$3001,$N781))</f>
        <v/>
      </c>
      <c r="D781" s="25" t="str">
        <f>IF($N781="","",INDEX('_calc'!$C$2:$C$3001,$N781))</f>
        <v/>
      </c>
      <c r="E781" s="25" t="str">
        <f>IF($N781="","",INDEX('_calc'!$D$2:$D$3001,$N781))</f>
        <v/>
      </c>
      <c r="F781" s="26" t="str">
        <f>IF($N781="","",IF($E$8=0,"",E781/$E$8))</f>
        <v/>
      </c>
      <c r="G781" s="25" t="str">
        <f>IF($N781="","",INDEX('_calc'!$E$2:$E$3001,$N781))</f>
        <v/>
      </c>
      <c r="H781" s="25" t="str">
        <f>IF($N781="","",INDEX('_calc'!$F$2:$F$3001,$N781))</f>
        <v/>
      </c>
      <c r="I781" s="27" t="str">
        <f>IF($N781="","",INDEX('_calc'!$H$2:$H$3001,$N781))</f>
        <v/>
      </c>
      <c r="J781" s="27" t="str">
        <f>IF($N781="","",INDEX('_calc'!$I$2:$I$3001,$N781))</f>
        <v/>
      </c>
      <c r="K781" s="28" t="str">
        <f>IF($N781="","",IF(OR(I781="",J781=""),"",J781-I781))</f>
        <v/>
      </c>
      <c r="L781" s="29" t="str">
        <f>IF($N781="","",INDEX('_calc'!$J$2:$J$3001,$N781))</f>
        <v/>
      </c>
      <c r="M781" s="2" t="str">
        <f>IF($N781="","",IF(AND(G781=0,H781=0),"수량 없음",IF(G781=0,"신규 (전년 수량 없음)",IF(H781=0,"당해 수량 없음",""))))</f>
        <v/>
      </c>
      <c r="N781" t="str">
        <f>IF($B781="","",MATCH($B781,'_calc'!$L$2:$L$3001,0))</f>
        <v/>
      </c>
    </row>
    <row r="782">
      <c r="B782" s="24" t="str">
        <f>IF(ROW()-ROW($B$8)&gt;nComp,"",ROW()-ROW($B$8))</f>
        <v/>
      </c>
      <c r="C782" t="str">
        <f>IF($N782="","",INDEX('_calc'!$A$2:$A$3001,$N782))</f>
        <v/>
      </c>
      <c r="D782" s="25" t="str">
        <f>IF($N782="","",INDEX('_calc'!$C$2:$C$3001,$N782))</f>
        <v/>
      </c>
      <c r="E782" s="25" t="str">
        <f>IF($N782="","",INDEX('_calc'!$D$2:$D$3001,$N782))</f>
        <v/>
      </c>
      <c r="F782" s="26" t="str">
        <f>IF($N782="","",IF($E$8=0,"",E782/$E$8))</f>
        <v/>
      </c>
      <c r="G782" s="25" t="str">
        <f>IF($N782="","",INDEX('_calc'!$E$2:$E$3001,$N782))</f>
        <v/>
      </c>
      <c r="H782" s="25" t="str">
        <f>IF($N782="","",INDEX('_calc'!$F$2:$F$3001,$N782))</f>
        <v/>
      </c>
      <c r="I782" s="27" t="str">
        <f>IF($N782="","",INDEX('_calc'!$H$2:$H$3001,$N782))</f>
        <v/>
      </c>
      <c r="J782" s="27" t="str">
        <f>IF($N782="","",INDEX('_calc'!$I$2:$I$3001,$N782))</f>
        <v/>
      </c>
      <c r="K782" s="28" t="str">
        <f>IF($N782="","",IF(OR(I782="",J782=""),"",J782-I782))</f>
        <v/>
      </c>
      <c r="L782" s="29" t="str">
        <f>IF($N782="","",INDEX('_calc'!$J$2:$J$3001,$N782))</f>
        <v/>
      </c>
      <c r="M782" s="2" t="str">
        <f>IF($N782="","",IF(AND(G782=0,H782=0),"수량 없음",IF(G782=0,"신규 (전년 수량 없음)",IF(H782=0,"당해 수량 없음",""))))</f>
        <v/>
      </c>
      <c r="N782" t="str">
        <f>IF($B782="","",MATCH($B782,'_calc'!$L$2:$L$3001,0))</f>
        <v/>
      </c>
    </row>
    <row r="783">
      <c r="B783" s="24" t="str">
        <f>IF(ROW()-ROW($B$8)&gt;nComp,"",ROW()-ROW($B$8))</f>
        <v/>
      </c>
      <c r="C783" t="str">
        <f>IF($N783="","",INDEX('_calc'!$A$2:$A$3001,$N783))</f>
        <v/>
      </c>
      <c r="D783" s="25" t="str">
        <f>IF($N783="","",INDEX('_calc'!$C$2:$C$3001,$N783))</f>
        <v/>
      </c>
      <c r="E783" s="25" t="str">
        <f>IF($N783="","",INDEX('_calc'!$D$2:$D$3001,$N783))</f>
        <v/>
      </c>
      <c r="F783" s="26" t="str">
        <f>IF($N783="","",IF($E$8=0,"",E783/$E$8))</f>
        <v/>
      </c>
      <c r="G783" s="25" t="str">
        <f>IF($N783="","",INDEX('_calc'!$E$2:$E$3001,$N783))</f>
        <v/>
      </c>
      <c r="H783" s="25" t="str">
        <f>IF($N783="","",INDEX('_calc'!$F$2:$F$3001,$N783))</f>
        <v/>
      </c>
      <c r="I783" s="27" t="str">
        <f>IF($N783="","",INDEX('_calc'!$H$2:$H$3001,$N783))</f>
        <v/>
      </c>
      <c r="J783" s="27" t="str">
        <f>IF($N783="","",INDEX('_calc'!$I$2:$I$3001,$N783))</f>
        <v/>
      </c>
      <c r="K783" s="28" t="str">
        <f>IF($N783="","",IF(OR(I783="",J783=""),"",J783-I783))</f>
        <v/>
      </c>
      <c r="L783" s="29" t="str">
        <f>IF($N783="","",INDEX('_calc'!$J$2:$J$3001,$N783))</f>
        <v/>
      </c>
      <c r="M783" s="2" t="str">
        <f>IF($N783="","",IF(AND(G783=0,H783=0),"수량 없음",IF(G783=0,"신규 (전년 수량 없음)",IF(H783=0,"당해 수량 없음",""))))</f>
        <v/>
      </c>
      <c r="N783" t="str">
        <f>IF($B783="","",MATCH($B783,'_calc'!$L$2:$L$3001,0))</f>
        <v/>
      </c>
    </row>
    <row r="784">
      <c r="B784" s="24" t="str">
        <f>IF(ROW()-ROW($B$8)&gt;nComp,"",ROW()-ROW($B$8))</f>
        <v/>
      </c>
      <c r="C784" t="str">
        <f>IF($N784="","",INDEX('_calc'!$A$2:$A$3001,$N784))</f>
        <v/>
      </c>
      <c r="D784" s="25" t="str">
        <f>IF($N784="","",INDEX('_calc'!$C$2:$C$3001,$N784))</f>
        <v/>
      </c>
      <c r="E784" s="25" t="str">
        <f>IF($N784="","",INDEX('_calc'!$D$2:$D$3001,$N784))</f>
        <v/>
      </c>
      <c r="F784" s="26" t="str">
        <f>IF($N784="","",IF($E$8=0,"",E784/$E$8))</f>
        <v/>
      </c>
      <c r="G784" s="25" t="str">
        <f>IF($N784="","",INDEX('_calc'!$E$2:$E$3001,$N784))</f>
        <v/>
      </c>
      <c r="H784" s="25" t="str">
        <f>IF($N784="","",INDEX('_calc'!$F$2:$F$3001,$N784))</f>
        <v/>
      </c>
      <c r="I784" s="27" t="str">
        <f>IF($N784="","",INDEX('_calc'!$H$2:$H$3001,$N784))</f>
        <v/>
      </c>
      <c r="J784" s="27" t="str">
        <f>IF($N784="","",INDEX('_calc'!$I$2:$I$3001,$N784))</f>
        <v/>
      </c>
      <c r="K784" s="28" t="str">
        <f>IF($N784="","",IF(OR(I784="",J784=""),"",J784-I784))</f>
        <v/>
      </c>
      <c r="L784" s="29" t="str">
        <f>IF($N784="","",INDEX('_calc'!$J$2:$J$3001,$N784))</f>
        <v/>
      </c>
      <c r="M784" s="2" t="str">
        <f>IF($N784="","",IF(AND(G784=0,H784=0),"수량 없음",IF(G784=0,"신규 (전년 수량 없음)",IF(H784=0,"당해 수량 없음",""))))</f>
        <v/>
      </c>
      <c r="N784" t="str">
        <f>IF($B784="","",MATCH($B784,'_calc'!$L$2:$L$3001,0))</f>
        <v/>
      </c>
    </row>
    <row r="785">
      <c r="B785" s="24" t="str">
        <f>IF(ROW()-ROW($B$8)&gt;nComp,"",ROW()-ROW($B$8))</f>
        <v/>
      </c>
      <c r="C785" t="str">
        <f>IF($N785="","",INDEX('_calc'!$A$2:$A$3001,$N785))</f>
        <v/>
      </c>
      <c r="D785" s="25" t="str">
        <f>IF($N785="","",INDEX('_calc'!$C$2:$C$3001,$N785))</f>
        <v/>
      </c>
      <c r="E785" s="25" t="str">
        <f>IF($N785="","",INDEX('_calc'!$D$2:$D$3001,$N785))</f>
        <v/>
      </c>
      <c r="F785" s="26" t="str">
        <f>IF($N785="","",IF($E$8=0,"",E785/$E$8))</f>
        <v/>
      </c>
      <c r="G785" s="25" t="str">
        <f>IF($N785="","",INDEX('_calc'!$E$2:$E$3001,$N785))</f>
        <v/>
      </c>
      <c r="H785" s="25" t="str">
        <f>IF($N785="","",INDEX('_calc'!$F$2:$F$3001,$N785))</f>
        <v/>
      </c>
      <c r="I785" s="27" t="str">
        <f>IF($N785="","",INDEX('_calc'!$H$2:$H$3001,$N785))</f>
        <v/>
      </c>
      <c r="J785" s="27" t="str">
        <f>IF($N785="","",INDEX('_calc'!$I$2:$I$3001,$N785))</f>
        <v/>
      </c>
      <c r="K785" s="28" t="str">
        <f>IF($N785="","",IF(OR(I785="",J785=""),"",J785-I785))</f>
        <v/>
      </c>
      <c r="L785" s="29" t="str">
        <f>IF($N785="","",INDEX('_calc'!$J$2:$J$3001,$N785))</f>
        <v/>
      </c>
      <c r="M785" s="2" t="str">
        <f>IF($N785="","",IF(AND(G785=0,H785=0),"수량 없음",IF(G785=0,"신규 (전년 수량 없음)",IF(H785=0,"당해 수량 없음",""))))</f>
        <v/>
      </c>
      <c r="N785" t="str">
        <f>IF($B785="","",MATCH($B785,'_calc'!$L$2:$L$3001,0))</f>
        <v/>
      </c>
    </row>
    <row r="786">
      <c r="B786" s="24" t="str">
        <f>IF(ROW()-ROW($B$8)&gt;nComp,"",ROW()-ROW($B$8))</f>
        <v/>
      </c>
      <c r="C786" t="str">
        <f>IF($N786="","",INDEX('_calc'!$A$2:$A$3001,$N786))</f>
        <v/>
      </c>
      <c r="D786" s="25" t="str">
        <f>IF($N786="","",INDEX('_calc'!$C$2:$C$3001,$N786))</f>
        <v/>
      </c>
      <c r="E786" s="25" t="str">
        <f>IF($N786="","",INDEX('_calc'!$D$2:$D$3001,$N786))</f>
        <v/>
      </c>
      <c r="F786" s="26" t="str">
        <f>IF($N786="","",IF($E$8=0,"",E786/$E$8))</f>
        <v/>
      </c>
      <c r="G786" s="25" t="str">
        <f>IF($N786="","",INDEX('_calc'!$E$2:$E$3001,$N786))</f>
        <v/>
      </c>
      <c r="H786" s="25" t="str">
        <f>IF($N786="","",INDEX('_calc'!$F$2:$F$3001,$N786))</f>
        <v/>
      </c>
      <c r="I786" s="27" t="str">
        <f>IF($N786="","",INDEX('_calc'!$H$2:$H$3001,$N786))</f>
        <v/>
      </c>
      <c r="J786" s="27" t="str">
        <f>IF($N786="","",INDEX('_calc'!$I$2:$I$3001,$N786))</f>
        <v/>
      </c>
      <c r="K786" s="28" t="str">
        <f>IF($N786="","",IF(OR(I786="",J786=""),"",J786-I786))</f>
        <v/>
      </c>
      <c r="L786" s="29" t="str">
        <f>IF($N786="","",INDEX('_calc'!$J$2:$J$3001,$N786))</f>
        <v/>
      </c>
      <c r="M786" s="2" t="str">
        <f>IF($N786="","",IF(AND(G786=0,H786=0),"수량 없음",IF(G786=0,"신규 (전년 수량 없음)",IF(H786=0,"당해 수량 없음",""))))</f>
        <v/>
      </c>
      <c r="N786" t="str">
        <f>IF($B786="","",MATCH($B786,'_calc'!$L$2:$L$3001,0))</f>
        <v/>
      </c>
    </row>
    <row r="787">
      <c r="B787" s="24" t="str">
        <f>IF(ROW()-ROW($B$8)&gt;nComp,"",ROW()-ROW($B$8))</f>
        <v/>
      </c>
      <c r="C787" t="str">
        <f>IF($N787="","",INDEX('_calc'!$A$2:$A$3001,$N787))</f>
        <v/>
      </c>
      <c r="D787" s="25" t="str">
        <f>IF($N787="","",INDEX('_calc'!$C$2:$C$3001,$N787))</f>
        <v/>
      </c>
      <c r="E787" s="25" t="str">
        <f>IF($N787="","",INDEX('_calc'!$D$2:$D$3001,$N787))</f>
        <v/>
      </c>
      <c r="F787" s="26" t="str">
        <f>IF($N787="","",IF($E$8=0,"",E787/$E$8))</f>
        <v/>
      </c>
      <c r="G787" s="25" t="str">
        <f>IF($N787="","",INDEX('_calc'!$E$2:$E$3001,$N787))</f>
        <v/>
      </c>
      <c r="H787" s="25" t="str">
        <f>IF($N787="","",INDEX('_calc'!$F$2:$F$3001,$N787))</f>
        <v/>
      </c>
      <c r="I787" s="27" t="str">
        <f>IF($N787="","",INDEX('_calc'!$H$2:$H$3001,$N787))</f>
        <v/>
      </c>
      <c r="J787" s="27" t="str">
        <f>IF($N787="","",INDEX('_calc'!$I$2:$I$3001,$N787))</f>
        <v/>
      </c>
      <c r="K787" s="28" t="str">
        <f>IF($N787="","",IF(OR(I787="",J787=""),"",J787-I787))</f>
        <v/>
      </c>
      <c r="L787" s="29" t="str">
        <f>IF($N787="","",INDEX('_calc'!$J$2:$J$3001,$N787))</f>
        <v/>
      </c>
      <c r="M787" s="2" t="str">
        <f>IF($N787="","",IF(AND(G787=0,H787=0),"수량 없음",IF(G787=0,"신규 (전년 수량 없음)",IF(H787=0,"당해 수량 없음",""))))</f>
        <v/>
      </c>
      <c r="N787" t="str">
        <f>IF($B787="","",MATCH($B787,'_calc'!$L$2:$L$3001,0))</f>
        <v/>
      </c>
    </row>
    <row r="788">
      <c r="B788" s="24" t="str">
        <f>IF(ROW()-ROW($B$8)&gt;nComp,"",ROW()-ROW($B$8))</f>
        <v/>
      </c>
      <c r="C788" t="str">
        <f>IF($N788="","",INDEX('_calc'!$A$2:$A$3001,$N788))</f>
        <v/>
      </c>
      <c r="D788" s="25" t="str">
        <f>IF($N788="","",INDEX('_calc'!$C$2:$C$3001,$N788))</f>
        <v/>
      </c>
      <c r="E788" s="25" t="str">
        <f>IF($N788="","",INDEX('_calc'!$D$2:$D$3001,$N788))</f>
        <v/>
      </c>
      <c r="F788" s="26" t="str">
        <f>IF($N788="","",IF($E$8=0,"",E788/$E$8))</f>
        <v/>
      </c>
      <c r="G788" s="25" t="str">
        <f>IF($N788="","",INDEX('_calc'!$E$2:$E$3001,$N788))</f>
        <v/>
      </c>
      <c r="H788" s="25" t="str">
        <f>IF($N788="","",INDEX('_calc'!$F$2:$F$3001,$N788))</f>
        <v/>
      </c>
      <c r="I788" s="27" t="str">
        <f>IF($N788="","",INDEX('_calc'!$H$2:$H$3001,$N788))</f>
        <v/>
      </c>
      <c r="J788" s="27" t="str">
        <f>IF($N788="","",INDEX('_calc'!$I$2:$I$3001,$N788))</f>
        <v/>
      </c>
      <c r="K788" s="28" t="str">
        <f>IF($N788="","",IF(OR(I788="",J788=""),"",J788-I788))</f>
        <v/>
      </c>
      <c r="L788" s="29" t="str">
        <f>IF($N788="","",INDEX('_calc'!$J$2:$J$3001,$N788))</f>
        <v/>
      </c>
      <c r="M788" s="2" t="str">
        <f>IF($N788="","",IF(AND(G788=0,H788=0),"수량 없음",IF(G788=0,"신규 (전년 수량 없음)",IF(H788=0,"당해 수량 없음",""))))</f>
        <v/>
      </c>
      <c r="N788" t="str">
        <f>IF($B788="","",MATCH($B788,'_calc'!$L$2:$L$3001,0))</f>
        <v/>
      </c>
    </row>
    <row r="789">
      <c r="B789" s="24" t="str">
        <f>IF(ROW()-ROW($B$8)&gt;nComp,"",ROW()-ROW($B$8))</f>
        <v/>
      </c>
      <c r="C789" t="str">
        <f>IF($N789="","",INDEX('_calc'!$A$2:$A$3001,$N789))</f>
        <v/>
      </c>
      <c r="D789" s="25" t="str">
        <f>IF($N789="","",INDEX('_calc'!$C$2:$C$3001,$N789))</f>
        <v/>
      </c>
      <c r="E789" s="25" t="str">
        <f>IF($N789="","",INDEX('_calc'!$D$2:$D$3001,$N789))</f>
        <v/>
      </c>
      <c r="F789" s="26" t="str">
        <f>IF($N789="","",IF($E$8=0,"",E789/$E$8))</f>
        <v/>
      </c>
      <c r="G789" s="25" t="str">
        <f>IF($N789="","",INDEX('_calc'!$E$2:$E$3001,$N789))</f>
        <v/>
      </c>
      <c r="H789" s="25" t="str">
        <f>IF($N789="","",INDEX('_calc'!$F$2:$F$3001,$N789))</f>
        <v/>
      </c>
      <c r="I789" s="27" t="str">
        <f>IF($N789="","",INDEX('_calc'!$H$2:$H$3001,$N789))</f>
        <v/>
      </c>
      <c r="J789" s="27" t="str">
        <f>IF($N789="","",INDEX('_calc'!$I$2:$I$3001,$N789))</f>
        <v/>
      </c>
      <c r="K789" s="28" t="str">
        <f>IF($N789="","",IF(OR(I789="",J789=""),"",J789-I789))</f>
        <v/>
      </c>
      <c r="L789" s="29" t="str">
        <f>IF($N789="","",INDEX('_calc'!$J$2:$J$3001,$N789))</f>
        <v/>
      </c>
      <c r="M789" s="2" t="str">
        <f>IF($N789="","",IF(AND(G789=0,H789=0),"수량 없음",IF(G789=0,"신규 (전년 수량 없음)",IF(H789=0,"당해 수량 없음",""))))</f>
        <v/>
      </c>
      <c r="N789" t="str">
        <f>IF($B789="","",MATCH($B789,'_calc'!$L$2:$L$3001,0))</f>
        <v/>
      </c>
    </row>
    <row r="790">
      <c r="B790" s="24" t="str">
        <f>IF(ROW()-ROW($B$8)&gt;nComp,"",ROW()-ROW($B$8))</f>
        <v/>
      </c>
      <c r="C790" t="str">
        <f>IF($N790="","",INDEX('_calc'!$A$2:$A$3001,$N790))</f>
        <v/>
      </c>
      <c r="D790" s="25" t="str">
        <f>IF($N790="","",INDEX('_calc'!$C$2:$C$3001,$N790))</f>
        <v/>
      </c>
      <c r="E790" s="25" t="str">
        <f>IF($N790="","",INDEX('_calc'!$D$2:$D$3001,$N790))</f>
        <v/>
      </c>
      <c r="F790" s="26" t="str">
        <f>IF($N790="","",IF($E$8=0,"",E790/$E$8))</f>
        <v/>
      </c>
      <c r="G790" s="25" t="str">
        <f>IF($N790="","",INDEX('_calc'!$E$2:$E$3001,$N790))</f>
        <v/>
      </c>
      <c r="H790" s="25" t="str">
        <f>IF($N790="","",INDEX('_calc'!$F$2:$F$3001,$N790))</f>
        <v/>
      </c>
      <c r="I790" s="27" t="str">
        <f>IF($N790="","",INDEX('_calc'!$H$2:$H$3001,$N790))</f>
        <v/>
      </c>
      <c r="J790" s="27" t="str">
        <f>IF($N790="","",INDEX('_calc'!$I$2:$I$3001,$N790))</f>
        <v/>
      </c>
      <c r="K790" s="28" t="str">
        <f>IF($N790="","",IF(OR(I790="",J790=""),"",J790-I790))</f>
        <v/>
      </c>
      <c r="L790" s="29" t="str">
        <f>IF($N790="","",INDEX('_calc'!$J$2:$J$3001,$N790))</f>
        <v/>
      </c>
      <c r="M790" s="2" t="str">
        <f>IF($N790="","",IF(AND(G790=0,H790=0),"수량 없음",IF(G790=0,"신규 (전년 수량 없음)",IF(H790=0,"당해 수량 없음",""))))</f>
        <v/>
      </c>
      <c r="N790" t="str">
        <f>IF($B790="","",MATCH($B790,'_calc'!$L$2:$L$3001,0))</f>
        <v/>
      </c>
    </row>
    <row r="791">
      <c r="B791" s="24" t="str">
        <f>IF(ROW()-ROW($B$8)&gt;nComp,"",ROW()-ROW($B$8))</f>
        <v/>
      </c>
      <c r="C791" t="str">
        <f>IF($N791="","",INDEX('_calc'!$A$2:$A$3001,$N791))</f>
        <v/>
      </c>
      <c r="D791" s="25" t="str">
        <f>IF($N791="","",INDEX('_calc'!$C$2:$C$3001,$N791))</f>
        <v/>
      </c>
      <c r="E791" s="25" t="str">
        <f>IF($N791="","",INDEX('_calc'!$D$2:$D$3001,$N791))</f>
        <v/>
      </c>
      <c r="F791" s="26" t="str">
        <f>IF($N791="","",IF($E$8=0,"",E791/$E$8))</f>
        <v/>
      </c>
      <c r="G791" s="25" t="str">
        <f>IF($N791="","",INDEX('_calc'!$E$2:$E$3001,$N791))</f>
        <v/>
      </c>
      <c r="H791" s="25" t="str">
        <f>IF($N791="","",INDEX('_calc'!$F$2:$F$3001,$N791))</f>
        <v/>
      </c>
      <c r="I791" s="27" t="str">
        <f>IF($N791="","",INDEX('_calc'!$H$2:$H$3001,$N791))</f>
        <v/>
      </c>
      <c r="J791" s="27" t="str">
        <f>IF($N791="","",INDEX('_calc'!$I$2:$I$3001,$N791))</f>
        <v/>
      </c>
      <c r="K791" s="28" t="str">
        <f>IF($N791="","",IF(OR(I791="",J791=""),"",J791-I791))</f>
        <v/>
      </c>
      <c r="L791" s="29" t="str">
        <f>IF($N791="","",INDEX('_calc'!$J$2:$J$3001,$N791))</f>
        <v/>
      </c>
      <c r="M791" s="2" t="str">
        <f>IF($N791="","",IF(AND(G791=0,H791=0),"수량 없음",IF(G791=0,"신규 (전년 수량 없음)",IF(H791=0,"당해 수량 없음",""))))</f>
        <v/>
      </c>
      <c r="N791" t="str">
        <f>IF($B791="","",MATCH($B791,'_calc'!$L$2:$L$3001,0))</f>
        <v/>
      </c>
    </row>
    <row r="792">
      <c r="B792" s="24" t="str">
        <f>IF(ROW()-ROW($B$8)&gt;nComp,"",ROW()-ROW($B$8))</f>
        <v/>
      </c>
      <c r="C792" t="str">
        <f>IF($N792="","",INDEX('_calc'!$A$2:$A$3001,$N792))</f>
        <v/>
      </c>
      <c r="D792" s="25" t="str">
        <f>IF($N792="","",INDEX('_calc'!$C$2:$C$3001,$N792))</f>
        <v/>
      </c>
      <c r="E792" s="25" t="str">
        <f>IF($N792="","",INDEX('_calc'!$D$2:$D$3001,$N792))</f>
        <v/>
      </c>
      <c r="F792" s="26" t="str">
        <f>IF($N792="","",IF($E$8=0,"",E792/$E$8))</f>
        <v/>
      </c>
      <c r="G792" s="25" t="str">
        <f>IF($N792="","",INDEX('_calc'!$E$2:$E$3001,$N792))</f>
        <v/>
      </c>
      <c r="H792" s="25" t="str">
        <f>IF($N792="","",INDEX('_calc'!$F$2:$F$3001,$N792))</f>
        <v/>
      </c>
      <c r="I792" s="27" t="str">
        <f>IF($N792="","",INDEX('_calc'!$H$2:$H$3001,$N792))</f>
        <v/>
      </c>
      <c r="J792" s="27" t="str">
        <f>IF($N792="","",INDEX('_calc'!$I$2:$I$3001,$N792))</f>
        <v/>
      </c>
      <c r="K792" s="28" t="str">
        <f>IF($N792="","",IF(OR(I792="",J792=""),"",J792-I792))</f>
        <v/>
      </c>
      <c r="L792" s="29" t="str">
        <f>IF($N792="","",INDEX('_calc'!$J$2:$J$3001,$N792))</f>
        <v/>
      </c>
      <c r="M792" s="2" t="str">
        <f>IF($N792="","",IF(AND(G792=0,H792=0),"수량 없음",IF(G792=0,"신규 (전년 수량 없음)",IF(H792=0,"당해 수량 없음",""))))</f>
        <v/>
      </c>
      <c r="N792" t="str">
        <f>IF($B792="","",MATCH($B792,'_calc'!$L$2:$L$3001,0))</f>
        <v/>
      </c>
    </row>
    <row r="793">
      <c r="B793" s="24" t="str">
        <f>IF(ROW()-ROW($B$8)&gt;nComp,"",ROW()-ROW($B$8))</f>
        <v/>
      </c>
      <c r="C793" t="str">
        <f>IF($N793="","",INDEX('_calc'!$A$2:$A$3001,$N793))</f>
        <v/>
      </c>
      <c r="D793" s="25" t="str">
        <f>IF($N793="","",INDEX('_calc'!$C$2:$C$3001,$N793))</f>
        <v/>
      </c>
      <c r="E793" s="25" t="str">
        <f>IF($N793="","",INDEX('_calc'!$D$2:$D$3001,$N793))</f>
        <v/>
      </c>
      <c r="F793" s="26" t="str">
        <f>IF($N793="","",IF($E$8=0,"",E793/$E$8))</f>
        <v/>
      </c>
      <c r="G793" s="25" t="str">
        <f>IF($N793="","",INDEX('_calc'!$E$2:$E$3001,$N793))</f>
        <v/>
      </c>
      <c r="H793" s="25" t="str">
        <f>IF($N793="","",INDEX('_calc'!$F$2:$F$3001,$N793))</f>
        <v/>
      </c>
      <c r="I793" s="27" t="str">
        <f>IF($N793="","",INDEX('_calc'!$H$2:$H$3001,$N793))</f>
        <v/>
      </c>
      <c r="J793" s="27" t="str">
        <f>IF($N793="","",INDEX('_calc'!$I$2:$I$3001,$N793))</f>
        <v/>
      </c>
      <c r="K793" s="28" t="str">
        <f>IF($N793="","",IF(OR(I793="",J793=""),"",J793-I793))</f>
        <v/>
      </c>
      <c r="L793" s="29" t="str">
        <f>IF($N793="","",INDEX('_calc'!$J$2:$J$3001,$N793))</f>
        <v/>
      </c>
      <c r="M793" s="2" t="str">
        <f>IF($N793="","",IF(AND(G793=0,H793=0),"수량 없음",IF(G793=0,"신규 (전년 수량 없음)",IF(H793=0,"당해 수량 없음",""))))</f>
        <v/>
      </c>
      <c r="N793" t="str">
        <f>IF($B793="","",MATCH($B793,'_calc'!$L$2:$L$3001,0))</f>
        <v/>
      </c>
    </row>
    <row r="794">
      <c r="B794" s="24" t="str">
        <f>IF(ROW()-ROW($B$8)&gt;nComp,"",ROW()-ROW($B$8))</f>
        <v/>
      </c>
      <c r="C794" t="str">
        <f>IF($N794="","",INDEX('_calc'!$A$2:$A$3001,$N794))</f>
        <v/>
      </c>
      <c r="D794" s="25" t="str">
        <f>IF($N794="","",INDEX('_calc'!$C$2:$C$3001,$N794))</f>
        <v/>
      </c>
      <c r="E794" s="25" t="str">
        <f>IF($N794="","",INDEX('_calc'!$D$2:$D$3001,$N794))</f>
        <v/>
      </c>
      <c r="F794" s="26" t="str">
        <f>IF($N794="","",IF($E$8=0,"",E794/$E$8))</f>
        <v/>
      </c>
      <c r="G794" s="25" t="str">
        <f>IF($N794="","",INDEX('_calc'!$E$2:$E$3001,$N794))</f>
        <v/>
      </c>
      <c r="H794" s="25" t="str">
        <f>IF($N794="","",INDEX('_calc'!$F$2:$F$3001,$N794))</f>
        <v/>
      </c>
      <c r="I794" s="27" t="str">
        <f>IF($N794="","",INDEX('_calc'!$H$2:$H$3001,$N794))</f>
        <v/>
      </c>
      <c r="J794" s="27" t="str">
        <f>IF($N794="","",INDEX('_calc'!$I$2:$I$3001,$N794))</f>
        <v/>
      </c>
      <c r="K794" s="28" t="str">
        <f>IF($N794="","",IF(OR(I794="",J794=""),"",J794-I794))</f>
        <v/>
      </c>
      <c r="L794" s="29" t="str">
        <f>IF($N794="","",INDEX('_calc'!$J$2:$J$3001,$N794))</f>
        <v/>
      </c>
      <c r="M794" s="2" t="str">
        <f>IF($N794="","",IF(AND(G794=0,H794=0),"수량 없음",IF(G794=0,"신규 (전년 수량 없음)",IF(H794=0,"당해 수량 없음",""))))</f>
        <v/>
      </c>
      <c r="N794" t="str">
        <f>IF($B794="","",MATCH($B794,'_calc'!$L$2:$L$3001,0))</f>
        <v/>
      </c>
    </row>
    <row r="795">
      <c r="B795" s="24" t="str">
        <f>IF(ROW()-ROW($B$8)&gt;nComp,"",ROW()-ROW($B$8))</f>
        <v/>
      </c>
      <c r="C795" t="str">
        <f>IF($N795="","",INDEX('_calc'!$A$2:$A$3001,$N795))</f>
        <v/>
      </c>
      <c r="D795" s="25" t="str">
        <f>IF($N795="","",INDEX('_calc'!$C$2:$C$3001,$N795))</f>
        <v/>
      </c>
      <c r="E795" s="25" t="str">
        <f>IF($N795="","",INDEX('_calc'!$D$2:$D$3001,$N795))</f>
        <v/>
      </c>
      <c r="F795" s="26" t="str">
        <f>IF($N795="","",IF($E$8=0,"",E795/$E$8))</f>
        <v/>
      </c>
      <c r="G795" s="25" t="str">
        <f>IF($N795="","",INDEX('_calc'!$E$2:$E$3001,$N795))</f>
        <v/>
      </c>
      <c r="H795" s="25" t="str">
        <f>IF($N795="","",INDEX('_calc'!$F$2:$F$3001,$N795))</f>
        <v/>
      </c>
      <c r="I795" s="27" t="str">
        <f>IF($N795="","",INDEX('_calc'!$H$2:$H$3001,$N795))</f>
        <v/>
      </c>
      <c r="J795" s="27" t="str">
        <f>IF($N795="","",INDEX('_calc'!$I$2:$I$3001,$N795))</f>
        <v/>
      </c>
      <c r="K795" s="28" t="str">
        <f>IF($N795="","",IF(OR(I795="",J795=""),"",J795-I795))</f>
        <v/>
      </c>
      <c r="L795" s="29" t="str">
        <f>IF($N795="","",INDEX('_calc'!$J$2:$J$3001,$N795))</f>
        <v/>
      </c>
      <c r="M795" s="2" t="str">
        <f>IF($N795="","",IF(AND(G795=0,H795=0),"수량 없음",IF(G795=0,"신규 (전년 수량 없음)",IF(H795=0,"당해 수량 없음",""))))</f>
        <v/>
      </c>
      <c r="N795" t="str">
        <f>IF($B795="","",MATCH($B795,'_calc'!$L$2:$L$3001,0))</f>
        <v/>
      </c>
    </row>
    <row r="796">
      <c r="B796" s="24" t="str">
        <f>IF(ROW()-ROW($B$8)&gt;nComp,"",ROW()-ROW($B$8))</f>
        <v/>
      </c>
      <c r="C796" t="str">
        <f>IF($N796="","",INDEX('_calc'!$A$2:$A$3001,$N796))</f>
        <v/>
      </c>
      <c r="D796" s="25" t="str">
        <f>IF($N796="","",INDEX('_calc'!$C$2:$C$3001,$N796))</f>
        <v/>
      </c>
      <c r="E796" s="25" t="str">
        <f>IF($N796="","",INDEX('_calc'!$D$2:$D$3001,$N796))</f>
        <v/>
      </c>
      <c r="F796" s="26" t="str">
        <f>IF($N796="","",IF($E$8=0,"",E796/$E$8))</f>
        <v/>
      </c>
      <c r="G796" s="25" t="str">
        <f>IF($N796="","",INDEX('_calc'!$E$2:$E$3001,$N796))</f>
        <v/>
      </c>
      <c r="H796" s="25" t="str">
        <f>IF($N796="","",INDEX('_calc'!$F$2:$F$3001,$N796))</f>
        <v/>
      </c>
      <c r="I796" s="27" t="str">
        <f>IF($N796="","",INDEX('_calc'!$H$2:$H$3001,$N796))</f>
        <v/>
      </c>
      <c r="J796" s="27" t="str">
        <f>IF($N796="","",INDEX('_calc'!$I$2:$I$3001,$N796))</f>
        <v/>
      </c>
      <c r="K796" s="28" t="str">
        <f>IF($N796="","",IF(OR(I796="",J796=""),"",J796-I796))</f>
        <v/>
      </c>
      <c r="L796" s="29" t="str">
        <f>IF($N796="","",INDEX('_calc'!$J$2:$J$3001,$N796))</f>
        <v/>
      </c>
      <c r="M796" s="2" t="str">
        <f>IF($N796="","",IF(AND(G796=0,H796=0),"수량 없음",IF(G796=0,"신규 (전년 수량 없음)",IF(H796=0,"당해 수량 없음",""))))</f>
        <v/>
      </c>
      <c r="N796" t="str">
        <f>IF($B796="","",MATCH($B796,'_calc'!$L$2:$L$3001,0))</f>
        <v/>
      </c>
    </row>
    <row r="797">
      <c r="B797" s="24" t="str">
        <f>IF(ROW()-ROW($B$8)&gt;nComp,"",ROW()-ROW($B$8))</f>
        <v/>
      </c>
      <c r="C797" t="str">
        <f>IF($N797="","",INDEX('_calc'!$A$2:$A$3001,$N797))</f>
        <v/>
      </c>
      <c r="D797" s="25" t="str">
        <f>IF($N797="","",INDEX('_calc'!$C$2:$C$3001,$N797))</f>
        <v/>
      </c>
      <c r="E797" s="25" t="str">
        <f>IF($N797="","",INDEX('_calc'!$D$2:$D$3001,$N797))</f>
        <v/>
      </c>
      <c r="F797" s="26" t="str">
        <f>IF($N797="","",IF($E$8=0,"",E797/$E$8))</f>
        <v/>
      </c>
      <c r="G797" s="25" t="str">
        <f>IF($N797="","",INDEX('_calc'!$E$2:$E$3001,$N797))</f>
        <v/>
      </c>
      <c r="H797" s="25" t="str">
        <f>IF($N797="","",INDEX('_calc'!$F$2:$F$3001,$N797))</f>
        <v/>
      </c>
      <c r="I797" s="27" t="str">
        <f>IF($N797="","",INDEX('_calc'!$H$2:$H$3001,$N797))</f>
        <v/>
      </c>
      <c r="J797" s="27" t="str">
        <f>IF($N797="","",INDEX('_calc'!$I$2:$I$3001,$N797))</f>
        <v/>
      </c>
      <c r="K797" s="28" t="str">
        <f>IF($N797="","",IF(OR(I797="",J797=""),"",J797-I797))</f>
        <v/>
      </c>
      <c r="L797" s="29" t="str">
        <f>IF($N797="","",INDEX('_calc'!$J$2:$J$3001,$N797))</f>
        <v/>
      </c>
      <c r="M797" s="2" t="str">
        <f>IF($N797="","",IF(AND(G797=0,H797=0),"수량 없음",IF(G797=0,"신규 (전년 수량 없음)",IF(H797=0,"당해 수량 없음",""))))</f>
        <v/>
      </c>
      <c r="N797" t="str">
        <f>IF($B797="","",MATCH($B797,'_calc'!$L$2:$L$3001,0))</f>
        <v/>
      </c>
    </row>
    <row r="798">
      <c r="B798" s="24" t="str">
        <f>IF(ROW()-ROW($B$8)&gt;nComp,"",ROW()-ROW($B$8))</f>
        <v/>
      </c>
      <c r="C798" t="str">
        <f>IF($N798="","",INDEX('_calc'!$A$2:$A$3001,$N798))</f>
        <v/>
      </c>
      <c r="D798" s="25" t="str">
        <f>IF($N798="","",INDEX('_calc'!$C$2:$C$3001,$N798))</f>
        <v/>
      </c>
      <c r="E798" s="25" t="str">
        <f>IF($N798="","",INDEX('_calc'!$D$2:$D$3001,$N798))</f>
        <v/>
      </c>
      <c r="F798" s="26" t="str">
        <f>IF($N798="","",IF($E$8=0,"",E798/$E$8))</f>
        <v/>
      </c>
      <c r="G798" s="25" t="str">
        <f>IF($N798="","",INDEX('_calc'!$E$2:$E$3001,$N798))</f>
        <v/>
      </c>
      <c r="H798" s="25" t="str">
        <f>IF($N798="","",INDEX('_calc'!$F$2:$F$3001,$N798))</f>
        <v/>
      </c>
      <c r="I798" s="27" t="str">
        <f>IF($N798="","",INDEX('_calc'!$H$2:$H$3001,$N798))</f>
        <v/>
      </c>
      <c r="J798" s="27" t="str">
        <f>IF($N798="","",INDEX('_calc'!$I$2:$I$3001,$N798))</f>
        <v/>
      </c>
      <c r="K798" s="28" t="str">
        <f>IF($N798="","",IF(OR(I798="",J798=""),"",J798-I798))</f>
        <v/>
      </c>
      <c r="L798" s="29" t="str">
        <f>IF($N798="","",INDEX('_calc'!$J$2:$J$3001,$N798))</f>
        <v/>
      </c>
      <c r="M798" s="2" t="str">
        <f>IF($N798="","",IF(AND(G798=0,H798=0),"수량 없음",IF(G798=0,"신규 (전년 수량 없음)",IF(H798=0,"당해 수량 없음",""))))</f>
        <v/>
      </c>
      <c r="N798" t="str">
        <f>IF($B798="","",MATCH($B798,'_calc'!$L$2:$L$3001,0))</f>
        <v/>
      </c>
    </row>
    <row r="799">
      <c r="B799" s="24" t="str">
        <f>IF(ROW()-ROW($B$8)&gt;nComp,"",ROW()-ROW($B$8))</f>
        <v/>
      </c>
      <c r="C799" t="str">
        <f>IF($N799="","",INDEX('_calc'!$A$2:$A$3001,$N799))</f>
        <v/>
      </c>
      <c r="D799" s="25" t="str">
        <f>IF($N799="","",INDEX('_calc'!$C$2:$C$3001,$N799))</f>
        <v/>
      </c>
      <c r="E799" s="25" t="str">
        <f>IF($N799="","",INDEX('_calc'!$D$2:$D$3001,$N799))</f>
        <v/>
      </c>
      <c r="F799" s="26" t="str">
        <f>IF($N799="","",IF($E$8=0,"",E799/$E$8))</f>
        <v/>
      </c>
      <c r="G799" s="25" t="str">
        <f>IF($N799="","",INDEX('_calc'!$E$2:$E$3001,$N799))</f>
        <v/>
      </c>
      <c r="H799" s="25" t="str">
        <f>IF($N799="","",INDEX('_calc'!$F$2:$F$3001,$N799))</f>
        <v/>
      </c>
      <c r="I799" s="27" t="str">
        <f>IF($N799="","",INDEX('_calc'!$H$2:$H$3001,$N799))</f>
        <v/>
      </c>
      <c r="J799" s="27" t="str">
        <f>IF($N799="","",INDEX('_calc'!$I$2:$I$3001,$N799))</f>
        <v/>
      </c>
      <c r="K799" s="28" t="str">
        <f>IF($N799="","",IF(OR(I799="",J799=""),"",J799-I799))</f>
        <v/>
      </c>
      <c r="L799" s="29" t="str">
        <f>IF($N799="","",INDEX('_calc'!$J$2:$J$3001,$N799))</f>
        <v/>
      </c>
      <c r="M799" s="2" t="str">
        <f>IF($N799="","",IF(AND(G799=0,H799=0),"수량 없음",IF(G799=0,"신규 (전년 수량 없음)",IF(H799=0,"당해 수량 없음",""))))</f>
        <v/>
      </c>
      <c r="N799" t="str">
        <f>IF($B799="","",MATCH($B799,'_calc'!$L$2:$L$3001,0))</f>
        <v/>
      </c>
    </row>
    <row r="800">
      <c r="B800" s="24" t="str">
        <f>IF(ROW()-ROW($B$8)&gt;nComp,"",ROW()-ROW($B$8))</f>
        <v/>
      </c>
      <c r="C800" t="str">
        <f>IF($N800="","",INDEX('_calc'!$A$2:$A$3001,$N800))</f>
        <v/>
      </c>
      <c r="D800" s="25" t="str">
        <f>IF($N800="","",INDEX('_calc'!$C$2:$C$3001,$N800))</f>
        <v/>
      </c>
      <c r="E800" s="25" t="str">
        <f>IF($N800="","",INDEX('_calc'!$D$2:$D$3001,$N800))</f>
        <v/>
      </c>
      <c r="F800" s="26" t="str">
        <f>IF($N800="","",IF($E$8=0,"",E800/$E$8))</f>
        <v/>
      </c>
      <c r="G800" s="25" t="str">
        <f>IF($N800="","",INDEX('_calc'!$E$2:$E$3001,$N800))</f>
        <v/>
      </c>
      <c r="H800" s="25" t="str">
        <f>IF($N800="","",INDEX('_calc'!$F$2:$F$3001,$N800))</f>
        <v/>
      </c>
      <c r="I800" s="27" t="str">
        <f>IF($N800="","",INDEX('_calc'!$H$2:$H$3001,$N800))</f>
        <v/>
      </c>
      <c r="J800" s="27" t="str">
        <f>IF($N800="","",INDEX('_calc'!$I$2:$I$3001,$N800))</f>
        <v/>
      </c>
      <c r="K800" s="28" t="str">
        <f>IF($N800="","",IF(OR(I800="",J800=""),"",J800-I800))</f>
        <v/>
      </c>
      <c r="L800" s="29" t="str">
        <f>IF($N800="","",INDEX('_calc'!$J$2:$J$3001,$N800))</f>
        <v/>
      </c>
      <c r="M800" s="2" t="str">
        <f>IF($N800="","",IF(AND(G800=0,H800=0),"수량 없음",IF(G800=0,"신규 (전년 수량 없음)",IF(H800=0,"당해 수량 없음",""))))</f>
        <v/>
      </c>
      <c r="N800" t="str">
        <f>IF($B800="","",MATCH($B800,'_calc'!$L$2:$L$3001,0))</f>
        <v/>
      </c>
    </row>
    <row r="801">
      <c r="B801" s="24" t="str">
        <f>IF(ROW()-ROW($B$8)&gt;nComp,"",ROW()-ROW($B$8))</f>
        <v/>
      </c>
      <c r="C801" t="str">
        <f>IF($N801="","",INDEX('_calc'!$A$2:$A$3001,$N801))</f>
        <v/>
      </c>
      <c r="D801" s="25" t="str">
        <f>IF($N801="","",INDEX('_calc'!$C$2:$C$3001,$N801))</f>
        <v/>
      </c>
      <c r="E801" s="25" t="str">
        <f>IF($N801="","",INDEX('_calc'!$D$2:$D$3001,$N801))</f>
        <v/>
      </c>
      <c r="F801" s="26" t="str">
        <f>IF($N801="","",IF($E$8=0,"",E801/$E$8))</f>
        <v/>
      </c>
      <c r="G801" s="25" t="str">
        <f>IF($N801="","",INDEX('_calc'!$E$2:$E$3001,$N801))</f>
        <v/>
      </c>
      <c r="H801" s="25" t="str">
        <f>IF($N801="","",INDEX('_calc'!$F$2:$F$3001,$N801))</f>
        <v/>
      </c>
      <c r="I801" s="27" t="str">
        <f>IF($N801="","",INDEX('_calc'!$H$2:$H$3001,$N801))</f>
        <v/>
      </c>
      <c r="J801" s="27" t="str">
        <f>IF($N801="","",INDEX('_calc'!$I$2:$I$3001,$N801))</f>
        <v/>
      </c>
      <c r="K801" s="28" t="str">
        <f>IF($N801="","",IF(OR(I801="",J801=""),"",J801-I801))</f>
        <v/>
      </c>
      <c r="L801" s="29" t="str">
        <f>IF($N801="","",INDEX('_calc'!$J$2:$J$3001,$N801))</f>
        <v/>
      </c>
      <c r="M801" s="2" t="str">
        <f>IF($N801="","",IF(AND(G801=0,H801=0),"수량 없음",IF(G801=0,"신규 (전년 수량 없음)",IF(H801=0,"당해 수량 없음",""))))</f>
        <v/>
      </c>
      <c r="N801" t="str">
        <f>IF($B801="","",MATCH($B801,'_calc'!$L$2:$L$3001,0))</f>
        <v/>
      </c>
    </row>
    <row r="802">
      <c r="B802" s="24" t="str">
        <f>IF(ROW()-ROW($B$8)&gt;nComp,"",ROW()-ROW($B$8))</f>
        <v/>
      </c>
      <c r="C802" t="str">
        <f>IF($N802="","",INDEX('_calc'!$A$2:$A$3001,$N802))</f>
        <v/>
      </c>
      <c r="D802" s="25" t="str">
        <f>IF($N802="","",INDEX('_calc'!$C$2:$C$3001,$N802))</f>
        <v/>
      </c>
      <c r="E802" s="25" t="str">
        <f>IF($N802="","",INDEX('_calc'!$D$2:$D$3001,$N802))</f>
        <v/>
      </c>
      <c r="F802" s="26" t="str">
        <f>IF($N802="","",IF($E$8=0,"",E802/$E$8))</f>
        <v/>
      </c>
      <c r="G802" s="25" t="str">
        <f>IF($N802="","",INDEX('_calc'!$E$2:$E$3001,$N802))</f>
        <v/>
      </c>
      <c r="H802" s="25" t="str">
        <f>IF($N802="","",INDEX('_calc'!$F$2:$F$3001,$N802))</f>
        <v/>
      </c>
      <c r="I802" s="27" t="str">
        <f>IF($N802="","",INDEX('_calc'!$H$2:$H$3001,$N802))</f>
        <v/>
      </c>
      <c r="J802" s="27" t="str">
        <f>IF($N802="","",INDEX('_calc'!$I$2:$I$3001,$N802))</f>
        <v/>
      </c>
      <c r="K802" s="28" t="str">
        <f>IF($N802="","",IF(OR(I802="",J802=""),"",J802-I802))</f>
        <v/>
      </c>
      <c r="L802" s="29" t="str">
        <f>IF($N802="","",INDEX('_calc'!$J$2:$J$3001,$N802))</f>
        <v/>
      </c>
      <c r="M802" s="2" t="str">
        <f>IF($N802="","",IF(AND(G802=0,H802=0),"수량 없음",IF(G802=0,"신규 (전년 수량 없음)",IF(H802=0,"당해 수량 없음",""))))</f>
        <v/>
      </c>
      <c r="N802" t="str">
        <f>IF($B802="","",MATCH($B802,'_calc'!$L$2:$L$3001,0))</f>
        <v/>
      </c>
    </row>
    <row r="803">
      <c r="B803" s="24" t="str">
        <f>IF(ROW()-ROW($B$8)&gt;nComp,"",ROW()-ROW($B$8))</f>
        <v/>
      </c>
      <c r="C803" t="str">
        <f>IF($N803="","",INDEX('_calc'!$A$2:$A$3001,$N803))</f>
        <v/>
      </c>
      <c r="D803" s="25" t="str">
        <f>IF($N803="","",INDEX('_calc'!$C$2:$C$3001,$N803))</f>
        <v/>
      </c>
      <c r="E803" s="25" t="str">
        <f>IF($N803="","",INDEX('_calc'!$D$2:$D$3001,$N803))</f>
        <v/>
      </c>
      <c r="F803" s="26" t="str">
        <f>IF($N803="","",IF($E$8=0,"",E803/$E$8))</f>
        <v/>
      </c>
      <c r="G803" s="25" t="str">
        <f>IF($N803="","",INDEX('_calc'!$E$2:$E$3001,$N803))</f>
        <v/>
      </c>
      <c r="H803" s="25" t="str">
        <f>IF($N803="","",INDEX('_calc'!$F$2:$F$3001,$N803))</f>
        <v/>
      </c>
      <c r="I803" s="27" t="str">
        <f>IF($N803="","",INDEX('_calc'!$H$2:$H$3001,$N803))</f>
        <v/>
      </c>
      <c r="J803" s="27" t="str">
        <f>IF($N803="","",INDEX('_calc'!$I$2:$I$3001,$N803))</f>
        <v/>
      </c>
      <c r="K803" s="28" t="str">
        <f>IF($N803="","",IF(OR(I803="",J803=""),"",J803-I803))</f>
        <v/>
      </c>
      <c r="L803" s="29" t="str">
        <f>IF($N803="","",INDEX('_calc'!$J$2:$J$3001,$N803))</f>
        <v/>
      </c>
      <c r="M803" s="2" t="str">
        <f>IF($N803="","",IF(AND(G803=0,H803=0),"수량 없음",IF(G803=0,"신규 (전년 수량 없음)",IF(H803=0,"당해 수량 없음",""))))</f>
        <v/>
      </c>
      <c r="N803" t="str">
        <f>IF($B803="","",MATCH($B803,'_calc'!$L$2:$L$3001,0))</f>
        <v/>
      </c>
    </row>
    <row r="804">
      <c r="B804" s="24" t="str">
        <f>IF(ROW()-ROW($B$8)&gt;nComp,"",ROW()-ROW($B$8))</f>
        <v/>
      </c>
      <c r="C804" t="str">
        <f>IF($N804="","",INDEX('_calc'!$A$2:$A$3001,$N804))</f>
        <v/>
      </c>
      <c r="D804" s="25" t="str">
        <f>IF($N804="","",INDEX('_calc'!$C$2:$C$3001,$N804))</f>
        <v/>
      </c>
      <c r="E804" s="25" t="str">
        <f>IF($N804="","",INDEX('_calc'!$D$2:$D$3001,$N804))</f>
        <v/>
      </c>
      <c r="F804" s="26" t="str">
        <f>IF($N804="","",IF($E$8=0,"",E804/$E$8))</f>
        <v/>
      </c>
      <c r="G804" s="25" t="str">
        <f>IF($N804="","",INDEX('_calc'!$E$2:$E$3001,$N804))</f>
        <v/>
      </c>
      <c r="H804" s="25" t="str">
        <f>IF($N804="","",INDEX('_calc'!$F$2:$F$3001,$N804))</f>
        <v/>
      </c>
      <c r="I804" s="27" t="str">
        <f>IF($N804="","",INDEX('_calc'!$H$2:$H$3001,$N804))</f>
        <v/>
      </c>
      <c r="J804" s="27" t="str">
        <f>IF($N804="","",INDEX('_calc'!$I$2:$I$3001,$N804))</f>
        <v/>
      </c>
      <c r="K804" s="28" t="str">
        <f>IF($N804="","",IF(OR(I804="",J804=""),"",J804-I804))</f>
        <v/>
      </c>
      <c r="L804" s="29" t="str">
        <f>IF($N804="","",INDEX('_calc'!$J$2:$J$3001,$N804))</f>
        <v/>
      </c>
      <c r="M804" s="2" t="str">
        <f>IF($N804="","",IF(AND(G804=0,H804=0),"수량 없음",IF(G804=0,"신규 (전년 수량 없음)",IF(H804=0,"당해 수량 없음",""))))</f>
        <v/>
      </c>
      <c r="N804" t="str">
        <f>IF($B804="","",MATCH($B804,'_calc'!$L$2:$L$3001,0))</f>
        <v/>
      </c>
    </row>
    <row r="805">
      <c r="B805" s="24" t="str">
        <f>IF(ROW()-ROW($B$8)&gt;nComp,"",ROW()-ROW($B$8))</f>
        <v/>
      </c>
      <c r="C805" t="str">
        <f>IF($N805="","",INDEX('_calc'!$A$2:$A$3001,$N805))</f>
        <v/>
      </c>
      <c r="D805" s="25" t="str">
        <f>IF($N805="","",INDEX('_calc'!$C$2:$C$3001,$N805))</f>
        <v/>
      </c>
      <c r="E805" s="25" t="str">
        <f>IF($N805="","",INDEX('_calc'!$D$2:$D$3001,$N805))</f>
        <v/>
      </c>
      <c r="F805" s="26" t="str">
        <f>IF($N805="","",IF($E$8=0,"",E805/$E$8))</f>
        <v/>
      </c>
      <c r="G805" s="25" t="str">
        <f>IF($N805="","",INDEX('_calc'!$E$2:$E$3001,$N805))</f>
        <v/>
      </c>
      <c r="H805" s="25" t="str">
        <f>IF($N805="","",INDEX('_calc'!$F$2:$F$3001,$N805))</f>
        <v/>
      </c>
      <c r="I805" s="27" t="str">
        <f>IF($N805="","",INDEX('_calc'!$H$2:$H$3001,$N805))</f>
        <v/>
      </c>
      <c r="J805" s="27" t="str">
        <f>IF($N805="","",INDEX('_calc'!$I$2:$I$3001,$N805))</f>
        <v/>
      </c>
      <c r="K805" s="28" t="str">
        <f>IF($N805="","",IF(OR(I805="",J805=""),"",J805-I805))</f>
        <v/>
      </c>
      <c r="L805" s="29" t="str">
        <f>IF($N805="","",INDEX('_calc'!$J$2:$J$3001,$N805))</f>
        <v/>
      </c>
      <c r="M805" s="2" t="str">
        <f>IF($N805="","",IF(AND(G805=0,H805=0),"수량 없음",IF(G805=0,"신규 (전년 수량 없음)",IF(H805=0,"당해 수량 없음",""))))</f>
        <v/>
      </c>
      <c r="N805" t="str">
        <f>IF($B805="","",MATCH($B805,'_calc'!$L$2:$L$3001,0))</f>
        <v/>
      </c>
    </row>
    <row r="806">
      <c r="B806" s="24" t="str">
        <f>IF(ROW()-ROW($B$8)&gt;nComp,"",ROW()-ROW($B$8))</f>
        <v/>
      </c>
      <c r="C806" t="str">
        <f>IF($N806="","",INDEX('_calc'!$A$2:$A$3001,$N806))</f>
        <v/>
      </c>
      <c r="D806" s="25" t="str">
        <f>IF($N806="","",INDEX('_calc'!$C$2:$C$3001,$N806))</f>
        <v/>
      </c>
      <c r="E806" s="25" t="str">
        <f>IF($N806="","",INDEX('_calc'!$D$2:$D$3001,$N806))</f>
        <v/>
      </c>
      <c r="F806" s="26" t="str">
        <f>IF($N806="","",IF($E$8=0,"",E806/$E$8))</f>
        <v/>
      </c>
      <c r="G806" s="25" t="str">
        <f>IF($N806="","",INDEX('_calc'!$E$2:$E$3001,$N806))</f>
        <v/>
      </c>
      <c r="H806" s="25" t="str">
        <f>IF($N806="","",INDEX('_calc'!$F$2:$F$3001,$N806))</f>
        <v/>
      </c>
      <c r="I806" s="27" t="str">
        <f>IF($N806="","",INDEX('_calc'!$H$2:$H$3001,$N806))</f>
        <v/>
      </c>
      <c r="J806" s="27" t="str">
        <f>IF($N806="","",INDEX('_calc'!$I$2:$I$3001,$N806))</f>
        <v/>
      </c>
      <c r="K806" s="28" t="str">
        <f>IF($N806="","",IF(OR(I806="",J806=""),"",J806-I806))</f>
        <v/>
      </c>
      <c r="L806" s="29" t="str">
        <f>IF($N806="","",INDEX('_calc'!$J$2:$J$3001,$N806))</f>
        <v/>
      </c>
      <c r="M806" s="2" t="str">
        <f>IF($N806="","",IF(AND(G806=0,H806=0),"수량 없음",IF(G806=0,"신규 (전년 수량 없음)",IF(H806=0,"당해 수량 없음",""))))</f>
        <v/>
      </c>
      <c r="N806" t="str">
        <f>IF($B806="","",MATCH($B806,'_calc'!$L$2:$L$3001,0))</f>
        <v/>
      </c>
    </row>
    <row r="807">
      <c r="B807" s="24" t="str">
        <f>IF(ROW()-ROW($B$8)&gt;nComp,"",ROW()-ROW($B$8))</f>
        <v/>
      </c>
      <c r="C807" t="str">
        <f>IF($N807="","",INDEX('_calc'!$A$2:$A$3001,$N807))</f>
        <v/>
      </c>
      <c r="D807" s="25" t="str">
        <f>IF($N807="","",INDEX('_calc'!$C$2:$C$3001,$N807))</f>
        <v/>
      </c>
      <c r="E807" s="25" t="str">
        <f>IF($N807="","",INDEX('_calc'!$D$2:$D$3001,$N807))</f>
        <v/>
      </c>
      <c r="F807" s="26" t="str">
        <f>IF($N807="","",IF($E$8=0,"",E807/$E$8))</f>
        <v/>
      </c>
      <c r="G807" s="25" t="str">
        <f>IF($N807="","",INDEX('_calc'!$E$2:$E$3001,$N807))</f>
        <v/>
      </c>
      <c r="H807" s="25" t="str">
        <f>IF($N807="","",INDEX('_calc'!$F$2:$F$3001,$N807))</f>
        <v/>
      </c>
      <c r="I807" s="27" t="str">
        <f>IF($N807="","",INDEX('_calc'!$H$2:$H$3001,$N807))</f>
        <v/>
      </c>
      <c r="J807" s="27" t="str">
        <f>IF($N807="","",INDEX('_calc'!$I$2:$I$3001,$N807))</f>
        <v/>
      </c>
      <c r="K807" s="28" t="str">
        <f>IF($N807="","",IF(OR(I807="",J807=""),"",J807-I807))</f>
        <v/>
      </c>
      <c r="L807" s="29" t="str">
        <f>IF($N807="","",INDEX('_calc'!$J$2:$J$3001,$N807))</f>
        <v/>
      </c>
      <c r="M807" s="2" t="str">
        <f>IF($N807="","",IF(AND(G807=0,H807=0),"수량 없음",IF(G807=0,"신규 (전년 수량 없음)",IF(H807=0,"당해 수량 없음",""))))</f>
        <v/>
      </c>
      <c r="N807" t="str">
        <f>IF($B807="","",MATCH($B807,'_calc'!$L$2:$L$3001,0))</f>
        <v/>
      </c>
    </row>
    <row r="808">
      <c r="B808" s="24" t="str">
        <f>IF(ROW()-ROW($B$8)&gt;nComp,"",ROW()-ROW($B$8))</f>
        <v/>
      </c>
      <c r="C808" t="str">
        <f>IF($N808="","",INDEX('_calc'!$A$2:$A$3001,$N808))</f>
        <v/>
      </c>
      <c r="D808" s="25" t="str">
        <f>IF($N808="","",INDEX('_calc'!$C$2:$C$3001,$N808))</f>
        <v/>
      </c>
      <c r="E808" s="25" t="str">
        <f>IF($N808="","",INDEX('_calc'!$D$2:$D$3001,$N808))</f>
        <v/>
      </c>
      <c r="F808" s="26" t="str">
        <f>IF($N808="","",IF($E$8=0,"",E808/$E$8))</f>
        <v/>
      </c>
      <c r="G808" s="25" t="str">
        <f>IF($N808="","",INDEX('_calc'!$E$2:$E$3001,$N808))</f>
        <v/>
      </c>
      <c r="H808" s="25" t="str">
        <f>IF($N808="","",INDEX('_calc'!$F$2:$F$3001,$N808))</f>
        <v/>
      </c>
      <c r="I808" s="27" t="str">
        <f>IF($N808="","",INDEX('_calc'!$H$2:$H$3001,$N808))</f>
        <v/>
      </c>
      <c r="J808" s="27" t="str">
        <f>IF($N808="","",INDEX('_calc'!$I$2:$I$3001,$N808))</f>
        <v/>
      </c>
      <c r="K808" s="28" t="str">
        <f>IF($N808="","",IF(OR(I808="",J808=""),"",J808-I808))</f>
        <v/>
      </c>
      <c r="L808" s="29" t="str">
        <f>IF($N808="","",INDEX('_calc'!$J$2:$J$3001,$N808))</f>
        <v/>
      </c>
      <c r="M808" s="2" t="str">
        <f>IF($N808="","",IF(AND(G808=0,H808=0),"수량 없음",IF(G808=0,"신규 (전년 수량 없음)",IF(H808=0,"당해 수량 없음",""))))</f>
        <v/>
      </c>
      <c r="N808" t="str">
        <f>IF($B808="","",MATCH($B808,'_calc'!$L$2:$L$3001,0))</f>
        <v/>
      </c>
    </row>
    <row r="809">
      <c r="B809" s="24" t="str">
        <f>IF(ROW()-ROW($B$8)&gt;nComp,"",ROW()-ROW($B$8))</f>
        <v/>
      </c>
      <c r="C809" t="str">
        <f>IF($N809="","",INDEX('_calc'!$A$2:$A$3001,$N809))</f>
        <v/>
      </c>
      <c r="D809" s="25" t="str">
        <f>IF($N809="","",INDEX('_calc'!$C$2:$C$3001,$N809))</f>
        <v/>
      </c>
      <c r="E809" s="25" t="str">
        <f>IF($N809="","",INDEX('_calc'!$D$2:$D$3001,$N809))</f>
        <v/>
      </c>
      <c r="F809" s="26" t="str">
        <f>IF($N809="","",IF($E$8=0,"",E809/$E$8))</f>
        <v/>
      </c>
      <c r="G809" s="25" t="str">
        <f>IF($N809="","",INDEX('_calc'!$E$2:$E$3001,$N809))</f>
        <v/>
      </c>
      <c r="H809" s="25" t="str">
        <f>IF($N809="","",INDEX('_calc'!$F$2:$F$3001,$N809))</f>
        <v/>
      </c>
      <c r="I809" s="27" t="str">
        <f>IF($N809="","",INDEX('_calc'!$H$2:$H$3001,$N809))</f>
        <v/>
      </c>
      <c r="J809" s="27" t="str">
        <f>IF($N809="","",INDEX('_calc'!$I$2:$I$3001,$N809))</f>
        <v/>
      </c>
      <c r="K809" s="28" t="str">
        <f>IF($N809="","",IF(OR(I809="",J809=""),"",J809-I809))</f>
        <v/>
      </c>
      <c r="L809" s="29" t="str">
        <f>IF($N809="","",INDEX('_calc'!$J$2:$J$3001,$N809))</f>
        <v/>
      </c>
      <c r="M809" s="2" t="str">
        <f>IF($N809="","",IF(AND(G809=0,H809=0),"수량 없음",IF(G809=0,"신규 (전년 수량 없음)",IF(H809=0,"당해 수량 없음",""))))</f>
        <v/>
      </c>
      <c r="N809" t="str">
        <f>IF($B809="","",MATCH($B809,'_calc'!$L$2:$L$3001,0))</f>
        <v/>
      </c>
    </row>
    <row r="810">
      <c r="B810" s="24" t="str">
        <f>IF(ROW()-ROW($B$8)&gt;nComp,"",ROW()-ROW($B$8))</f>
        <v/>
      </c>
      <c r="C810" t="str">
        <f>IF($N810="","",INDEX('_calc'!$A$2:$A$3001,$N810))</f>
        <v/>
      </c>
      <c r="D810" s="25" t="str">
        <f>IF($N810="","",INDEX('_calc'!$C$2:$C$3001,$N810))</f>
        <v/>
      </c>
      <c r="E810" s="25" t="str">
        <f>IF($N810="","",INDEX('_calc'!$D$2:$D$3001,$N810))</f>
        <v/>
      </c>
      <c r="F810" s="26" t="str">
        <f>IF($N810="","",IF($E$8=0,"",E810/$E$8))</f>
        <v/>
      </c>
      <c r="G810" s="25" t="str">
        <f>IF($N810="","",INDEX('_calc'!$E$2:$E$3001,$N810))</f>
        <v/>
      </c>
      <c r="H810" s="25" t="str">
        <f>IF($N810="","",INDEX('_calc'!$F$2:$F$3001,$N810))</f>
        <v/>
      </c>
      <c r="I810" s="27" t="str">
        <f>IF($N810="","",INDEX('_calc'!$H$2:$H$3001,$N810))</f>
        <v/>
      </c>
      <c r="J810" s="27" t="str">
        <f>IF($N810="","",INDEX('_calc'!$I$2:$I$3001,$N810))</f>
        <v/>
      </c>
      <c r="K810" s="28" t="str">
        <f>IF($N810="","",IF(OR(I810="",J810=""),"",J810-I810))</f>
        <v/>
      </c>
      <c r="L810" s="29" t="str">
        <f>IF($N810="","",INDEX('_calc'!$J$2:$J$3001,$N810))</f>
        <v/>
      </c>
      <c r="M810" s="2" t="str">
        <f>IF($N810="","",IF(AND(G810=0,H810=0),"수량 없음",IF(G810=0,"신규 (전년 수량 없음)",IF(H810=0,"당해 수량 없음",""))))</f>
        <v/>
      </c>
      <c r="N810" t="str">
        <f>IF($B810="","",MATCH($B810,'_calc'!$L$2:$L$3001,0))</f>
        <v/>
      </c>
    </row>
    <row r="811">
      <c r="B811" s="24" t="str">
        <f>IF(ROW()-ROW($B$8)&gt;nComp,"",ROW()-ROW($B$8))</f>
        <v/>
      </c>
      <c r="C811" t="str">
        <f>IF($N811="","",INDEX('_calc'!$A$2:$A$3001,$N811))</f>
        <v/>
      </c>
      <c r="D811" s="25" t="str">
        <f>IF($N811="","",INDEX('_calc'!$C$2:$C$3001,$N811))</f>
        <v/>
      </c>
      <c r="E811" s="25" t="str">
        <f>IF($N811="","",INDEX('_calc'!$D$2:$D$3001,$N811))</f>
        <v/>
      </c>
      <c r="F811" s="26" t="str">
        <f>IF($N811="","",IF($E$8=0,"",E811/$E$8))</f>
        <v/>
      </c>
      <c r="G811" s="25" t="str">
        <f>IF($N811="","",INDEX('_calc'!$E$2:$E$3001,$N811))</f>
        <v/>
      </c>
      <c r="H811" s="25" t="str">
        <f>IF($N811="","",INDEX('_calc'!$F$2:$F$3001,$N811))</f>
        <v/>
      </c>
      <c r="I811" s="27" t="str">
        <f>IF($N811="","",INDEX('_calc'!$H$2:$H$3001,$N811))</f>
        <v/>
      </c>
      <c r="J811" s="27" t="str">
        <f>IF($N811="","",INDEX('_calc'!$I$2:$I$3001,$N811))</f>
        <v/>
      </c>
      <c r="K811" s="28" t="str">
        <f>IF($N811="","",IF(OR(I811="",J811=""),"",J811-I811))</f>
        <v/>
      </c>
      <c r="L811" s="29" t="str">
        <f>IF($N811="","",INDEX('_calc'!$J$2:$J$3001,$N811))</f>
        <v/>
      </c>
      <c r="M811" s="2" t="str">
        <f>IF($N811="","",IF(AND(G811=0,H811=0),"수량 없음",IF(G811=0,"신규 (전년 수량 없음)",IF(H811=0,"당해 수량 없음",""))))</f>
        <v/>
      </c>
      <c r="N811" t="str">
        <f>IF($B811="","",MATCH($B811,'_calc'!$L$2:$L$3001,0))</f>
        <v/>
      </c>
    </row>
    <row r="812">
      <c r="B812" s="24" t="str">
        <f>IF(ROW()-ROW($B$8)&gt;nComp,"",ROW()-ROW($B$8))</f>
        <v/>
      </c>
      <c r="C812" t="str">
        <f>IF($N812="","",INDEX('_calc'!$A$2:$A$3001,$N812))</f>
        <v/>
      </c>
      <c r="D812" s="25" t="str">
        <f>IF($N812="","",INDEX('_calc'!$C$2:$C$3001,$N812))</f>
        <v/>
      </c>
      <c r="E812" s="25" t="str">
        <f>IF($N812="","",INDEX('_calc'!$D$2:$D$3001,$N812))</f>
        <v/>
      </c>
      <c r="F812" s="26" t="str">
        <f>IF($N812="","",IF($E$8=0,"",E812/$E$8))</f>
        <v/>
      </c>
      <c r="G812" s="25" t="str">
        <f>IF($N812="","",INDEX('_calc'!$E$2:$E$3001,$N812))</f>
        <v/>
      </c>
      <c r="H812" s="25" t="str">
        <f>IF($N812="","",INDEX('_calc'!$F$2:$F$3001,$N812))</f>
        <v/>
      </c>
      <c r="I812" s="27" t="str">
        <f>IF($N812="","",INDEX('_calc'!$H$2:$H$3001,$N812))</f>
        <v/>
      </c>
      <c r="J812" s="27" t="str">
        <f>IF($N812="","",INDEX('_calc'!$I$2:$I$3001,$N812))</f>
        <v/>
      </c>
      <c r="K812" s="28" t="str">
        <f>IF($N812="","",IF(OR(I812="",J812=""),"",J812-I812))</f>
        <v/>
      </c>
      <c r="L812" s="29" t="str">
        <f>IF($N812="","",INDEX('_calc'!$J$2:$J$3001,$N812))</f>
        <v/>
      </c>
      <c r="M812" s="2" t="str">
        <f>IF($N812="","",IF(AND(G812=0,H812=0),"수량 없음",IF(G812=0,"신규 (전년 수량 없음)",IF(H812=0,"당해 수량 없음",""))))</f>
        <v/>
      </c>
      <c r="N812" t="str">
        <f>IF($B812="","",MATCH($B812,'_calc'!$L$2:$L$3001,0))</f>
        <v/>
      </c>
    </row>
    <row r="813">
      <c r="B813" s="24" t="str">
        <f>IF(ROW()-ROW($B$8)&gt;nComp,"",ROW()-ROW($B$8))</f>
        <v/>
      </c>
      <c r="C813" t="str">
        <f>IF($N813="","",INDEX('_calc'!$A$2:$A$3001,$N813))</f>
        <v/>
      </c>
      <c r="D813" s="25" t="str">
        <f>IF($N813="","",INDEX('_calc'!$C$2:$C$3001,$N813))</f>
        <v/>
      </c>
      <c r="E813" s="25" t="str">
        <f>IF($N813="","",INDEX('_calc'!$D$2:$D$3001,$N813))</f>
        <v/>
      </c>
      <c r="F813" s="26" t="str">
        <f>IF($N813="","",IF($E$8=0,"",E813/$E$8))</f>
        <v/>
      </c>
      <c r="G813" s="25" t="str">
        <f>IF($N813="","",INDEX('_calc'!$E$2:$E$3001,$N813))</f>
        <v/>
      </c>
      <c r="H813" s="25" t="str">
        <f>IF($N813="","",INDEX('_calc'!$F$2:$F$3001,$N813))</f>
        <v/>
      </c>
      <c r="I813" s="27" t="str">
        <f>IF($N813="","",INDEX('_calc'!$H$2:$H$3001,$N813))</f>
        <v/>
      </c>
      <c r="J813" s="27" t="str">
        <f>IF($N813="","",INDEX('_calc'!$I$2:$I$3001,$N813))</f>
        <v/>
      </c>
      <c r="K813" s="28" t="str">
        <f>IF($N813="","",IF(OR(I813="",J813=""),"",J813-I813))</f>
        <v/>
      </c>
      <c r="L813" s="29" t="str">
        <f>IF($N813="","",INDEX('_calc'!$J$2:$J$3001,$N813))</f>
        <v/>
      </c>
      <c r="M813" s="2" t="str">
        <f>IF($N813="","",IF(AND(G813=0,H813=0),"수량 없음",IF(G813=0,"신규 (전년 수량 없음)",IF(H813=0,"당해 수량 없음",""))))</f>
        <v/>
      </c>
      <c r="N813" t="str">
        <f>IF($B813="","",MATCH($B813,'_calc'!$L$2:$L$3001,0))</f>
        <v/>
      </c>
    </row>
    <row r="814">
      <c r="B814" s="24" t="str">
        <f>IF(ROW()-ROW($B$8)&gt;nComp,"",ROW()-ROW($B$8))</f>
        <v/>
      </c>
      <c r="C814" t="str">
        <f>IF($N814="","",INDEX('_calc'!$A$2:$A$3001,$N814))</f>
        <v/>
      </c>
      <c r="D814" s="25" t="str">
        <f>IF($N814="","",INDEX('_calc'!$C$2:$C$3001,$N814))</f>
        <v/>
      </c>
      <c r="E814" s="25" t="str">
        <f>IF($N814="","",INDEX('_calc'!$D$2:$D$3001,$N814))</f>
        <v/>
      </c>
      <c r="F814" s="26" t="str">
        <f>IF($N814="","",IF($E$8=0,"",E814/$E$8))</f>
        <v/>
      </c>
      <c r="G814" s="25" t="str">
        <f>IF($N814="","",INDEX('_calc'!$E$2:$E$3001,$N814))</f>
        <v/>
      </c>
      <c r="H814" s="25" t="str">
        <f>IF($N814="","",INDEX('_calc'!$F$2:$F$3001,$N814))</f>
        <v/>
      </c>
      <c r="I814" s="27" t="str">
        <f>IF($N814="","",INDEX('_calc'!$H$2:$H$3001,$N814))</f>
        <v/>
      </c>
      <c r="J814" s="27" t="str">
        <f>IF($N814="","",INDEX('_calc'!$I$2:$I$3001,$N814))</f>
        <v/>
      </c>
      <c r="K814" s="28" t="str">
        <f>IF($N814="","",IF(OR(I814="",J814=""),"",J814-I814))</f>
        <v/>
      </c>
      <c r="L814" s="29" t="str">
        <f>IF($N814="","",INDEX('_calc'!$J$2:$J$3001,$N814))</f>
        <v/>
      </c>
      <c r="M814" s="2" t="str">
        <f>IF($N814="","",IF(AND(G814=0,H814=0),"수량 없음",IF(G814=0,"신규 (전년 수량 없음)",IF(H814=0,"당해 수량 없음",""))))</f>
        <v/>
      </c>
      <c r="N814" t="str">
        <f>IF($B814="","",MATCH($B814,'_calc'!$L$2:$L$3001,0))</f>
        <v/>
      </c>
    </row>
    <row r="815">
      <c r="B815" s="24" t="str">
        <f>IF(ROW()-ROW($B$8)&gt;nComp,"",ROW()-ROW($B$8))</f>
        <v/>
      </c>
      <c r="C815" t="str">
        <f>IF($N815="","",INDEX('_calc'!$A$2:$A$3001,$N815))</f>
        <v/>
      </c>
      <c r="D815" s="25" t="str">
        <f>IF($N815="","",INDEX('_calc'!$C$2:$C$3001,$N815))</f>
        <v/>
      </c>
      <c r="E815" s="25" t="str">
        <f>IF($N815="","",INDEX('_calc'!$D$2:$D$3001,$N815))</f>
        <v/>
      </c>
      <c r="F815" s="26" t="str">
        <f>IF($N815="","",IF($E$8=0,"",E815/$E$8))</f>
        <v/>
      </c>
      <c r="G815" s="25" t="str">
        <f>IF($N815="","",INDEX('_calc'!$E$2:$E$3001,$N815))</f>
        <v/>
      </c>
      <c r="H815" s="25" t="str">
        <f>IF($N815="","",INDEX('_calc'!$F$2:$F$3001,$N815))</f>
        <v/>
      </c>
      <c r="I815" s="27" t="str">
        <f>IF($N815="","",INDEX('_calc'!$H$2:$H$3001,$N815))</f>
        <v/>
      </c>
      <c r="J815" s="27" t="str">
        <f>IF($N815="","",INDEX('_calc'!$I$2:$I$3001,$N815))</f>
        <v/>
      </c>
      <c r="K815" s="28" t="str">
        <f>IF($N815="","",IF(OR(I815="",J815=""),"",J815-I815))</f>
        <v/>
      </c>
      <c r="L815" s="29" t="str">
        <f>IF($N815="","",INDEX('_calc'!$J$2:$J$3001,$N815))</f>
        <v/>
      </c>
      <c r="M815" s="2" t="str">
        <f>IF($N815="","",IF(AND(G815=0,H815=0),"수량 없음",IF(G815=0,"신규 (전년 수량 없음)",IF(H815=0,"당해 수량 없음",""))))</f>
        <v/>
      </c>
      <c r="N815" t="str">
        <f>IF($B815="","",MATCH($B815,'_calc'!$L$2:$L$3001,0))</f>
        <v/>
      </c>
    </row>
    <row r="816">
      <c r="B816" s="24" t="str">
        <f>IF(ROW()-ROW($B$8)&gt;nComp,"",ROW()-ROW($B$8))</f>
        <v/>
      </c>
      <c r="C816" t="str">
        <f>IF($N816="","",INDEX('_calc'!$A$2:$A$3001,$N816))</f>
        <v/>
      </c>
      <c r="D816" s="25" t="str">
        <f>IF($N816="","",INDEX('_calc'!$C$2:$C$3001,$N816))</f>
        <v/>
      </c>
      <c r="E816" s="25" t="str">
        <f>IF($N816="","",INDEX('_calc'!$D$2:$D$3001,$N816))</f>
        <v/>
      </c>
      <c r="F816" s="26" t="str">
        <f>IF($N816="","",IF($E$8=0,"",E816/$E$8))</f>
        <v/>
      </c>
      <c r="G816" s="25" t="str">
        <f>IF($N816="","",INDEX('_calc'!$E$2:$E$3001,$N816))</f>
        <v/>
      </c>
      <c r="H816" s="25" t="str">
        <f>IF($N816="","",INDEX('_calc'!$F$2:$F$3001,$N816))</f>
        <v/>
      </c>
      <c r="I816" s="27" t="str">
        <f>IF($N816="","",INDEX('_calc'!$H$2:$H$3001,$N816))</f>
        <v/>
      </c>
      <c r="J816" s="27" t="str">
        <f>IF($N816="","",INDEX('_calc'!$I$2:$I$3001,$N816))</f>
        <v/>
      </c>
      <c r="K816" s="28" t="str">
        <f>IF($N816="","",IF(OR(I816="",J816=""),"",J816-I816))</f>
        <v/>
      </c>
      <c r="L816" s="29" t="str">
        <f>IF($N816="","",INDEX('_calc'!$J$2:$J$3001,$N816))</f>
        <v/>
      </c>
      <c r="M816" s="2" t="str">
        <f>IF($N816="","",IF(AND(G816=0,H816=0),"수량 없음",IF(G816=0,"신규 (전년 수량 없음)",IF(H816=0,"당해 수량 없음",""))))</f>
        <v/>
      </c>
      <c r="N816" t="str">
        <f>IF($B816="","",MATCH($B816,'_calc'!$L$2:$L$3001,0))</f>
        <v/>
      </c>
    </row>
    <row r="817">
      <c r="B817" s="24" t="str">
        <f>IF(ROW()-ROW($B$8)&gt;nComp,"",ROW()-ROW($B$8))</f>
        <v/>
      </c>
      <c r="C817" t="str">
        <f>IF($N817="","",INDEX('_calc'!$A$2:$A$3001,$N817))</f>
        <v/>
      </c>
      <c r="D817" s="25" t="str">
        <f>IF($N817="","",INDEX('_calc'!$C$2:$C$3001,$N817))</f>
        <v/>
      </c>
      <c r="E817" s="25" t="str">
        <f>IF($N817="","",INDEX('_calc'!$D$2:$D$3001,$N817))</f>
        <v/>
      </c>
      <c r="F817" s="26" t="str">
        <f>IF($N817="","",IF($E$8=0,"",E817/$E$8))</f>
        <v/>
      </c>
      <c r="G817" s="25" t="str">
        <f>IF($N817="","",INDEX('_calc'!$E$2:$E$3001,$N817))</f>
        <v/>
      </c>
      <c r="H817" s="25" t="str">
        <f>IF($N817="","",INDEX('_calc'!$F$2:$F$3001,$N817))</f>
        <v/>
      </c>
      <c r="I817" s="27" t="str">
        <f>IF($N817="","",INDEX('_calc'!$H$2:$H$3001,$N817))</f>
        <v/>
      </c>
      <c r="J817" s="27" t="str">
        <f>IF($N817="","",INDEX('_calc'!$I$2:$I$3001,$N817))</f>
        <v/>
      </c>
      <c r="K817" s="28" t="str">
        <f>IF($N817="","",IF(OR(I817="",J817=""),"",J817-I817))</f>
        <v/>
      </c>
      <c r="L817" s="29" t="str">
        <f>IF($N817="","",INDEX('_calc'!$J$2:$J$3001,$N817))</f>
        <v/>
      </c>
      <c r="M817" s="2" t="str">
        <f>IF($N817="","",IF(AND(G817=0,H817=0),"수량 없음",IF(G817=0,"신규 (전년 수량 없음)",IF(H817=0,"당해 수량 없음",""))))</f>
        <v/>
      </c>
      <c r="N817" t="str">
        <f>IF($B817="","",MATCH($B817,'_calc'!$L$2:$L$3001,0))</f>
        <v/>
      </c>
    </row>
    <row r="818">
      <c r="B818" s="24" t="str">
        <f>IF(ROW()-ROW($B$8)&gt;nComp,"",ROW()-ROW($B$8))</f>
        <v/>
      </c>
      <c r="C818" t="str">
        <f>IF($N818="","",INDEX('_calc'!$A$2:$A$3001,$N818))</f>
        <v/>
      </c>
      <c r="D818" s="25" t="str">
        <f>IF($N818="","",INDEX('_calc'!$C$2:$C$3001,$N818))</f>
        <v/>
      </c>
      <c r="E818" s="25" t="str">
        <f>IF($N818="","",INDEX('_calc'!$D$2:$D$3001,$N818))</f>
        <v/>
      </c>
      <c r="F818" s="26" t="str">
        <f>IF($N818="","",IF($E$8=0,"",E818/$E$8))</f>
        <v/>
      </c>
      <c r="G818" s="25" t="str">
        <f>IF($N818="","",INDEX('_calc'!$E$2:$E$3001,$N818))</f>
        <v/>
      </c>
      <c r="H818" s="25" t="str">
        <f>IF($N818="","",INDEX('_calc'!$F$2:$F$3001,$N818))</f>
        <v/>
      </c>
      <c r="I818" s="27" t="str">
        <f>IF($N818="","",INDEX('_calc'!$H$2:$H$3001,$N818))</f>
        <v/>
      </c>
      <c r="J818" s="27" t="str">
        <f>IF($N818="","",INDEX('_calc'!$I$2:$I$3001,$N818))</f>
        <v/>
      </c>
      <c r="K818" s="28" t="str">
        <f>IF($N818="","",IF(OR(I818="",J818=""),"",J818-I818))</f>
        <v/>
      </c>
      <c r="L818" s="29" t="str">
        <f>IF($N818="","",INDEX('_calc'!$J$2:$J$3001,$N818))</f>
        <v/>
      </c>
      <c r="M818" s="2" t="str">
        <f>IF($N818="","",IF(AND(G818=0,H818=0),"수량 없음",IF(G818=0,"신규 (전년 수량 없음)",IF(H818=0,"당해 수량 없음",""))))</f>
        <v/>
      </c>
      <c r="N818" t="str">
        <f>IF($B818="","",MATCH($B818,'_calc'!$L$2:$L$3001,0))</f>
        <v/>
      </c>
    </row>
    <row r="819">
      <c r="B819" s="24" t="str">
        <f>IF(ROW()-ROW($B$8)&gt;nComp,"",ROW()-ROW($B$8))</f>
        <v/>
      </c>
      <c r="C819" t="str">
        <f>IF($N819="","",INDEX('_calc'!$A$2:$A$3001,$N819))</f>
        <v/>
      </c>
      <c r="D819" s="25" t="str">
        <f>IF($N819="","",INDEX('_calc'!$C$2:$C$3001,$N819))</f>
        <v/>
      </c>
      <c r="E819" s="25" t="str">
        <f>IF($N819="","",INDEX('_calc'!$D$2:$D$3001,$N819))</f>
        <v/>
      </c>
      <c r="F819" s="26" t="str">
        <f>IF($N819="","",IF($E$8=0,"",E819/$E$8))</f>
        <v/>
      </c>
      <c r="G819" s="25" t="str">
        <f>IF($N819="","",INDEX('_calc'!$E$2:$E$3001,$N819))</f>
        <v/>
      </c>
      <c r="H819" s="25" t="str">
        <f>IF($N819="","",INDEX('_calc'!$F$2:$F$3001,$N819))</f>
        <v/>
      </c>
      <c r="I819" s="27" t="str">
        <f>IF($N819="","",INDEX('_calc'!$H$2:$H$3001,$N819))</f>
        <v/>
      </c>
      <c r="J819" s="27" t="str">
        <f>IF($N819="","",INDEX('_calc'!$I$2:$I$3001,$N819))</f>
        <v/>
      </c>
      <c r="K819" s="28" t="str">
        <f>IF($N819="","",IF(OR(I819="",J819=""),"",J819-I819))</f>
        <v/>
      </c>
      <c r="L819" s="29" t="str">
        <f>IF($N819="","",INDEX('_calc'!$J$2:$J$3001,$N819))</f>
        <v/>
      </c>
      <c r="M819" s="2" t="str">
        <f>IF($N819="","",IF(AND(G819=0,H819=0),"수량 없음",IF(G819=0,"신규 (전년 수량 없음)",IF(H819=0,"당해 수량 없음",""))))</f>
        <v/>
      </c>
      <c r="N819" t="str">
        <f>IF($B819="","",MATCH($B819,'_calc'!$L$2:$L$3001,0))</f>
        <v/>
      </c>
    </row>
    <row r="820">
      <c r="B820" s="24" t="str">
        <f>IF(ROW()-ROW($B$8)&gt;nComp,"",ROW()-ROW($B$8))</f>
        <v/>
      </c>
      <c r="C820" t="str">
        <f>IF($N820="","",INDEX('_calc'!$A$2:$A$3001,$N820))</f>
        <v/>
      </c>
      <c r="D820" s="25" t="str">
        <f>IF($N820="","",INDEX('_calc'!$C$2:$C$3001,$N820))</f>
        <v/>
      </c>
      <c r="E820" s="25" t="str">
        <f>IF($N820="","",INDEX('_calc'!$D$2:$D$3001,$N820))</f>
        <v/>
      </c>
      <c r="F820" s="26" t="str">
        <f>IF($N820="","",IF($E$8=0,"",E820/$E$8))</f>
        <v/>
      </c>
      <c r="G820" s="25" t="str">
        <f>IF($N820="","",INDEX('_calc'!$E$2:$E$3001,$N820))</f>
        <v/>
      </c>
      <c r="H820" s="25" t="str">
        <f>IF($N820="","",INDEX('_calc'!$F$2:$F$3001,$N820))</f>
        <v/>
      </c>
      <c r="I820" s="27" t="str">
        <f>IF($N820="","",INDEX('_calc'!$H$2:$H$3001,$N820))</f>
        <v/>
      </c>
      <c r="J820" s="27" t="str">
        <f>IF($N820="","",INDEX('_calc'!$I$2:$I$3001,$N820))</f>
        <v/>
      </c>
      <c r="K820" s="28" t="str">
        <f>IF($N820="","",IF(OR(I820="",J820=""),"",J820-I820))</f>
        <v/>
      </c>
      <c r="L820" s="29" t="str">
        <f>IF($N820="","",INDEX('_calc'!$J$2:$J$3001,$N820))</f>
        <v/>
      </c>
      <c r="M820" s="2" t="str">
        <f>IF($N820="","",IF(AND(G820=0,H820=0),"수량 없음",IF(G820=0,"신규 (전년 수량 없음)",IF(H820=0,"당해 수량 없음",""))))</f>
        <v/>
      </c>
      <c r="N820" t="str">
        <f>IF($B820="","",MATCH($B820,'_calc'!$L$2:$L$3001,0))</f>
        <v/>
      </c>
    </row>
    <row r="821">
      <c r="B821" s="24" t="str">
        <f>IF(ROW()-ROW($B$8)&gt;nComp,"",ROW()-ROW($B$8))</f>
        <v/>
      </c>
      <c r="C821" t="str">
        <f>IF($N821="","",INDEX('_calc'!$A$2:$A$3001,$N821))</f>
        <v/>
      </c>
      <c r="D821" s="25" t="str">
        <f>IF($N821="","",INDEX('_calc'!$C$2:$C$3001,$N821))</f>
        <v/>
      </c>
      <c r="E821" s="25" t="str">
        <f>IF($N821="","",INDEX('_calc'!$D$2:$D$3001,$N821))</f>
        <v/>
      </c>
      <c r="F821" s="26" t="str">
        <f>IF($N821="","",IF($E$8=0,"",E821/$E$8))</f>
        <v/>
      </c>
      <c r="G821" s="25" t="str">
        <f>IF($N821="","",INDEX('_calc'!$E$2:$E$3001,$N821))</f>
        <v/>
      </c>
      <c r="H821" s="25" t="str">
        <f>IF($N821="","",INDEX('_calc'!$F$2:$F$3001,$N821))</f>
        <v/>
      </c>
      <c r="I821" s="27" t="str">
        <f>IF($N821="","",INDEX('_calc'!$H$2:$H$3001,$N821))</f>
        <v/>
      </c>
      <c r="J821" s="27" t="str">
        <f>IF($N821="","",INDEX('_calc'!$I$2:$I$3001,$N821))</f>
        <v/>
      </c>
      <c r="K821" s="28" t="str">
        <f>IF($N821="","",IF(OR(I821="",J821=""),"",J821-I821))</f>
        <v/>
      </c>
      <c r="L821" s="29" t="str">
        <f>IF($N821="","",INDEX('_calc'!$J$2:$J$3001,$N821))</f>
        <v/>
      </c>
      <c r="M821" s="2" t="str">
        <f>IF($N821="","",IF(AND(G821=0,H821=0),"수량 없음",IF(G821=0,"신규 (전년 수량 없음)",IF(H821=0,"당해 수량 없음",""))))</f>
        <v/>
      </c>
      <c r="N821" t="str">
        <f>IF($B821="","",MATCH($B821,'_calc'!$L$2:$L$3001,0))</f>
        <v/>
      </c>
    </row>
    <row r="822">
      <c r="B822" s="24" t="str">
        <f>IF(ROW()-ROW($B$8)&gt;nComp,"",ROW()-ROW($B$8))</f>
        <v/>
      </c>
      <c r="C822" t="str">
        <f>IF($N822="","",INDEX('_calc'!$A$2:$A$3001,$N822))</f>
        <v/>
      </c>
      <c r="D822" s="25" t="str">
        <f>IF($N822="","",INDEX('_calc'!$C$2:$C$3001,$N822))</f>
        <v/>
      </c>
      <c r="E822" s="25" t="str">
        <f>IF($N822="","",INDEX('_calc'!$D$2:$D$3001,$N822))</f>
        <v/>
      </c>
      <c r="F822" s="26" t="str">
        <f>IF($N822="","",IF($E$8=0,"",E822/$E$8))</f>
        <v/>
      </c>
      <c r="G822" s="25" t="str">
        <f>IF($N822="","",INDEX('_calc'!$E$2:$E$3001,$N822))</f>
        <v/>
      </c>
      <c r="H822" s="25" t="str">
        <f>IF($N822="","",INDEX('_calc'!$F$2:$F$3001,$N822))</f>
        <v/>
      </c>
      <c r="I822" s="27" t="str">
        <f>IF($N822="","",INDEX('_calc'!$H$2:$H$3001,$N822))</f>
        <v/>
      </c>
      <c r="J822" s="27" t="str">
        <f>IF($N822="","",INDEX('_calc'!$I$2:$I$3001,$N822))</f>
        <v/>
      </c>
      <c r="K822" s="28" t="str">
        <f>IF($N822="","",IF(OR(I822="",J822=""),"",J822-I822))</f>
        <v/>
      </c>
      <c r="L822" s="29" t="str">
        <f>IF($N822="","",INDEX('_calc'!$J$2:$J$3001,$N822))</f>
        <v/>
      </c>
      <c r="M822" s="2" t="str">
        <f>IF($N822="","",IF(AND(G822=0,H822=0),"수량 없음",IF(G822=0,"신규 (전년 수량 없음)",IF(H822=0,"당해 수량 없음",""))))</f>
        <v/>
      </c>
      <c r="N822" t="str">
        <f>IF($B822="","",MATCH($B822,'_calc'!$L$2:$L$3001,0))</f>
        <v/>
      </c>
    </row>
    <row r="823">
      <c r="B823" s="24" t="str">
        <f>IF(ROW()-ROW($B$8)&gt;nComp,"",ROW()-ROW($B$8))</f>
        <v/>
      </c>
      <c r="C823" t="str">
        <f>IF($N823="","",INDEX('_calc'!$A$2:$A$3001,$N823))</f>
        <v/>
      </c>
      <c r="D823" s="25" t="str">
        <f>IF($N823="","",INDEX('_calc'!$C$2:$C$3001,$N823))</f>
        <v/>
      </c>
      <c r="E823" s="25" t="str">
        <f>IF($N823="","",INDEX('_calc'!$D$2:$D$3001,$N823))</f>
        <v/>
      </c>
      <c r="F823" s="26" t="str">
        <f>IF($N823="","",IF($E$8=0,"",E823/$E$8))</f>
        <v/>
      </c>
      <c r="G823" s="25" t="str">
        <f>IF($N823="","",INDEX('_calc'!$E$2:$E$3001,$N823))</f>
        <v/>
      </c>
      <c r="H823" s="25" t="str">
        <f>IF($N823="","",INDEX('_calc'!$F$2:$F$3001,$N823))</f>
        <v/>
      </c>
      <c r="I823" s="27" t="str">
        <f>IF($N823="","",INDEX('_calc'!$H$2:$H$3001,$N823))</f>
        <v/>
      </c>
      <c r="J823" s="27" t="str">
        <f>IF($N823="","",INDEX('_calc'!$I$2:$I$3001,$N823))</f>
        <v/>
      </c>
      <c r="K823" s="28" t="str">
        <f>IF($N823="","",IF(OR(I823="",J823=""),"",J823-I823))</f>
        <v/>
      </c>
      <c r="L823" s="29" t="str">
        <f>IF($N823="","",INDEX('_calc'!$J$2:$J$3001,$N823))</f>
        <v/>
      </c>
      <c r="M823" s="2" t="str">
        <f>IF($N823="","",IF(AND(G823=0,H823=0),"수량 없음",IF(G823=0,"신규 (전년 수량 없음)",IF(H823=0,"당해 수량 없음",""))))</f>
        <v/>
      </c>
      <c r="N823" t="str">
        <f>IF($B823="","",MATCH($B823,'_calc'!$L$2:$L$3001,0))</f>
        <v/>
      </c>
    </row>
    <row r="824">
      <c r="B824" s="24" t="str">
        <f>IF(ROW()-ROW($B$8)&gt;nComp,"",ROW()-ROW($B$8))</f>
        <v/>
      </c>
      <c r="C824" t="str">
        <f>IF($N824="","",INDEX('_calc'!$A$2:$A$3001,$N824))</f>
        <v/>
      </c>
      <c r="D824" s="25" t="str">
        <f>IF($N824="","",INDEX('_calc'!$C$2:$C$3001,$N824))</f>
        <v/>
      </c>
      <c r="E824" s="25" t="str">
        <f>IF($N824="","",INDEX('_calc'!$D$2:$D$3001,$N824))</f>
        <v/>
      </c>
      <c r="F824" s="26" t="str">
        <f>IF($N824="","",IF($E$8=0,"",E824/$E$8))</f>
        <v/>
      </c>
      <c r="G824" s="25" t="str">
        <f>IF($N824="","",INDEX('_calc'!$E$2:$E$3001,$N824))</f>
        <v/>
      </c>
      <c r="H824" s="25" t="str">
        <f>IF($N824="","",INDEX('_calc'!$F$2:$F$3001,$N824))</f>
        <v/>
      </c>
      <c r="I824" s="27" t="str">
        <f>IF($N824="","",INDEX('_calc'!$H$2:$H$3001,$N824))</f>
        <v/>
      </c>
      <c r="J824" s="27" t="str">
        <f>IF($N824="","",INDEX('_calc'!$I$2:$I$3001,$N824))</f>
        <v/>
      </c>
      <c r="K824" s="28" t="str">
        <f>IF($N824="","",IF(OR(I824="",J824=""),"",J824-I824))</f>
        <v/>
      </c>
      <c r="L824" s="29" t="str">
        <f>IF($N824="","",INDEX('_calc'!$J$2:$J$3001,$N824))</f>
        <v/>
      </c>
      <c r="M824" s="2" t="str">
        <f>IF($N824="","",IF(AND(G824=0,H824=0),"수량 없음",IF(G824=0,"신규 (전년 수량 없음)",IF(H824=0,"당해 수량 없음",""))))</f>
        <v/>
      </c>
      <c r="N824" t="str">
        <f>IF($B824="","",MATCH($B824,'_calc'!$L$2:$L$3001,0))</f>
        <v/>
      </c>
    </row>
    <row r="825">
      <c r="B825" s="24" t="str">
        <f>IF(ROW()-ROW($B$8)&gt;nComp,"",ROW()-ROW($B$8))</f>
        <v/>
      </c>
      <c r="C825" t="str">
        <f>IF($N825="","",INDEX('_calc'!$A$2:$A$3001,$N825))</f>
        <v/>
      </c>
      <c r="D825" s="25" t="str">
        <f>IF($N825="","",INDEX('_calc'!$C$2:$C$3001,$N825))</f>
        <v/>
      </c>
      <c r="E825" s="25" t="str">
        <f>IF($N825="","",INDEX('_calc'!$D$2:$D$3001,$N825))</f>
        <v/>
      </c>
      <c r="F825" s="26" t="str">
        <f>IF($N825="","",IF($E$8=0,"",E825/$E$8))</f>
        <v/>
      </c>
      <c r="G825" s="25" t="str">
        <f>IF($N825="","",INDEX('_calc'!$E$2:$E$3001,$N825))</f>
        <v/>
      </c>
      <c r="H825" s="25" t="str">
        <f>IF($N825="","",INDEX('_calc'!$F$2:$F$3001,$N825))</f>
        <v/>
      </c>
      <c r="I825" s="27" t="str">
        <f>IF($N825="","",INDEX('_calc'!$H$2:$H$3001,$N825))</f>
        <v/>
      </c>
      <c r="J825" s="27" t="str">
        <f>IF($N825="","",INDEX('_calc'!$I$2:$I$3001,$N825))</f>
        <v/>
      </c>
      <c r="K825" s="28" t="str">
        <f>IF($N825="","",IF(OR(I825="",J825=""),"",J825-I825))</f>
        <v/>
      </c>
      <c r="L825" s="29" t="str">
        <f>IF($N825="","",INDEX('_calc'!$J$2:$J$3001,$N825))</f>
        <v/>
      </c>
      <c r="M825" s="2" t="str">
        <f>IF($N825="","",IF(AND(G825=0,H825=0),"수량 없음",IF(G825=0,"신규 (전년 수량 없음)",IF(H825=0,"당해 수량 없음",""))))</f>
        <v/>
      </c>
      <c r="N825" t="str">
        <f>IF($B825="","",MATCH($B825,'_calc'!$L$2:$L$3001,0))</f>
        <v/>
      </c>
    </row>
    <row r="826">
      <c r="B826" s="24" t="str">
        <f>IF(ROW()-ROW($B$8)&gt;nComp,"",ROW()-ROW($B$8))</f>
        <v/>
      </c>
      <c r="C826" t="str">
        <f>IF($N826="","",INDEX('_calc'!$A$2:$A$3001,$N826))</f>
        <v/>
      </c>
      <c r="D826" s="25" t="str">
        <f>IF($N826="","",INDEX('_calc'!$C$2:$C$3001,$N826))</f>
        <v/>
      </c>
      <c r="E826" s="25" t="str">
        <f>IF($N826="","",INDEX('_calc'!$D$2:$D$3001,$N826))</f>
        <v/>
      </c>
      <c r="F826" s="26" t="str">
        <f>IF($N826="","",IF($E$8=0,"",E826/$E$8))</f>
        <v/>
      </c>
      <c r="G826" s="25" t="str">
        <f>IF($N826="","",INDEX('_calc'!$E$2:$E$3001,$N826))</f>
        <v/>
      </c>
      <c r="H826" s="25" t="str">
        <f>IF($N826="","",INDEX('_calc'!$F$2:$F$3001,$N826))</f>
        <v/>
      </c>
      <c r="I826" s="27" t="str">
        <f>IF($N826="","",INDEX('_calc'!$H$2:$H$3001,$N826))</f>
        <v/>
      </c>
      <c r="J826" s="27" t="str">
        <f>IF($N826="","",INDEX('_calc'!$I$2:$I$3001,$N826))</f>
        <v/>
      </c>
      <c r="K826" s="28" t="str">
        <f>IF($N826="","",IF(OR(I826="",J826=""),"",J826-I826))</f>
        <v/>
      </c>
      <c r="L826" s="29" t="str">
        <f>IF($N826="","",INDEX('_calc'!$J$2:$J$3001,$N826))</f>
        <v/>
      </c>
      <c r="M826" s="2" t="str">
        <f>IF($N826="","",IF(AND(G826=0,H826=0),"수량 없음",IF(G826=0,"신규 (전년 수량 없음)",IF(H826=0,"당해 수량 없음",""))))</f>
        <v/>
      </c>
      <c r="N826" t="str">
        <f>IF($B826="","",MATCH($B826,'_calc'!$L$2:$L$3001,0))</f>
        <v/>
      </c>
    </row>
    <row r="827">
      <c r="B827" s="24" t="str">
        <f>IF(ROW()-ROW($B$8)&gt;nComp,"",ROW()-ROW($B$8))</f>
        <v/>
      </c>
      <c r="C827" t="str">
        <f>IF($N827="","",INDEX('_calc'!$A$2:$A$3001,$N827))</f>
        <v/>
      </c>
      <c r="D827" s="25" t="str">
        <f>IF($N827="","",INDEX('_calc'!$C$2:$C$3001,$N827))</f>
        <v/>
      </c>
      <c r="E827" s="25" t="str">
        <f>IF($N827="","",INDEX('_calc'!$D$2:$D$3001,$N827))</f>
        <v/>
      </c>
      <c r="F827" s="26" t="str">
        <f>IF($N827="","",IF($E$8=0,"",E827/$E$8))</f>
        <v/>
      </c>
      <c r="G827" s="25" t="str">
        <f>IF($N827="","",INDEX('_calc'!$E$2:$E$3001,$N827))</f>
        <v/>
      </c>
      <c r="H827" s="25" t="str">
        <f>IF($N827="","",INDEX('_calc'!$F$2:$F$3001,$N827))</f>
        <v/>
      </c>
      <c r="I827" s="27" t="str">
        <f>IF($N827="","",INDEX('_calc'!$H$2:$H$3001,$N827))</f>
        <v/>
      </c>
      <c r="J827" s="27" t="str">
        <f>IF($N827="","",INDEX('_calc'!$I$2:$I$3001,$N827))</f>
        <v/>
      </c>
      <c r="K827" s="28" t="str">
        <f>IF($N827="","",IF(OR(I827="",J827=""),"",J827-I827))</f>
        <v/>
      </c>
      <c r="L827" s="29" t="str">
        <f>IF($N827="","",INDEX('_calc'!$J$2:$J$3001,$N827))</f>
        <v/>
      </c>
      <c r="M827" s="2" t="str">
        <f>IF($N827="","",IF(AND(G827=0,H827=0),"수량 없음",IF(G827=0,"신규 (전년 수량 없음)",IF(H827=0,"당해 수량 없음",""))))</f>
        <v/>
      </c>
      <c r="N827" t="str">
        <f>IF($B827="","",MATCH($B827,'_calc'!$L$2:$L$3001,0))</f>
        <v/>
      </c>
    </row>
    <row r="828">
      <c r="B828" s="24" t="str">
        <f>IF(ROW()-ROW($B$8)&gt;nComp,"",ROW()-ROW($B$8))</f>
        <v/>
      </c>
      <c r="C828" t="str">
        <f>IF($N828="","",INDEX('_calc'!$A$2:$A$3001,$N828))</f>
        <v/>
      </c>
      <c r="D828" s="25" t="str">
        <f>IF($N828="","",INDEX('_calc'!$C$2:$C$3001,$N828))</f>
        <v/>
      </c>
      <c r="E828" s="25" t="str">
        <f>IF($N828="","",INDEX('_calc'!$D$2:$D$3001,$N828))</f>
        <v/>
      </c>
      <c r="F828" s="26" t="str">
        <f>IF($N828="","",IF($E$8=0,"",E828/$E$8))</f>
        <v/>
      </c>
      <c r="G828" s="25" t="str">
        <f>IF($N828="","",INDEX('_calc'!$E$2:$E$3001,$N828))</f>
        <v/>
      </c>
      <c r="H828" s="25" t="str">
        <f>IF($N828="","",INDEX('_calc'!$F$2:$F$3001,$N828))</f>
        <v/>
      </c>
      <c r="I828" s="27" t="str">
        <f>IF($N828="","",INDEX('_calc'!$H$2:$H$3001,$N828))</f>
        <v/>
      </c>
      <c r="J828" s="27" t="str">
        <f>IF($N828="","",INDEX('_calc'!$I$2:$I$3001,$N828))</f>
        <v/>
      </c>
      <c r="K828" s="28" t="str">
        <f>IF($N828="","",IF(OR(I828="",J828=""),"",J828-I828))</f>
        <v/>
      </c>
      <c r="L828" s="29" t="str">
        <f>IF($N828="","",INDEX('_calc'!$J$2:$J$3001,$N828))</f>
        <v/>
      </c>
      <c r="M828" s="2" t="str">
        <f>IF($N828="","",IF(AND(G828=0,H828=0),"수량 없음",IF(G828=0,"신규 (전년 수량 없음)",IF(H828=0,"당해 수량 없음",""))))</f>
        <v/>
      </c>
      <c r="N828" t="str">
        <f>IF($B828="","",MATCH($B828,'_calc'!$L$2:$L$3001,0))</f>
        <v/>
      </c>
    </row>
    <row r="829">
      <c r="B829" s="24" t="str">
        <f>IF(ROW()-ROW($B$8)&gt;nComp,"",ROW()-ROW($B$8))</f>
        <v/>
      </c>
      <c r="C829" t="str">
        <f>IF($N829="","",INDEX('_calc'!$A$2:$A$3001,$N829))</f>
        <v/>
      </c>
      <c r="D829" s="25" t="str">
        <f>IF($N829="","",INDEX('_calc'!$C$2:$C$3001,$N829))</f>
        <v/>
      </c>
      <c r="E829" s="25" t="str">
        <f>IF($N829="","",INDEX('_calc'!$D$2:$D$3001,$N829))</f>
        <v/>
      </c>
      <c r="F829" s="26" t="str">
        <f>IF($N829="","",IF($E$8=0,"",E829/$E$8))</f>
        <v/>
      </c>
      <c r="G829" s="25" t="str">
        <f>IF($N829="","",INDEX('_calc'!$E$2:$E$3001,$N829))</f>
        <v/>
      </c>
      <c r="H829" s="25" t="str">
        <f>IF($N829="","",INDEX('_calc'!$F$2:$F$3001,$N829))</f>
        <v/>
      </c>
      <c r="I829" s="27" t="str">
        <f>IF($N829="","",INDEX('_calc'!$H$2:$H$3001,$N829))</f>
        <v/>
      </c>
      <c r="J829" s="27" t="str">
        <f>IF($N829="","",INDEX('_calc'!$I$2:$I$3001,$N829))</f>
        <v/>
      </c>
      <c r="K829" s="28" t="str">
        <f>IF($N829="","",IF(OR(I829="",J829=""),"",J829-I829))</f>
        <v/>
      </c>
      <c r="L829" s="29" t="str">
        <f>IF($N829="","",INDEX('_calc'!$J$2:$J$3001,$N829))</f>
        <v/>
      </c>
      <c r="M829" s="2" t="str">
        <f>IF($N829="","",IF(AND(G829=0,H829=0),"수량 없음",IF(G829=0,"신규 (전년 수량 없음)",IF(H829=0,"당해 수량 없음",""))))</f>
        <v/>
      </c>
      <c r="N829" t="str">
        <f>IF($B829="","",MATCH($B829,'_calc'!$L$2:$L$3001,0))</f>
        <v/>
      </c>
    </row>
    <row r="830">
      <c r="B830" s="24" t="str">
        <f>IF(ROW()-ROW($B$8)&gt;nComp,"",ROW()-ROW($B$8))</f>
        <v/>
      </c>
      <c r="C830" t="str">
        <f>IF($N830="","",INDEX('_calc'!$A$2:$A$3001,$N830))</f>
        <v/>
      </c>
      <c r="D830" s="25" t="str">
        <f>IF($N830="","",INDEX('_calc'!$C$2:$C$3001,$N830))</f>
        <v/>
      </c>
      <c r="E830" s="25" t="str">
        <f>IF($N830="","",INDEX('_calc'!$D$2:$D$3001,$N830))</f>
        <v/>
      </c>
      <c r="F830" s="26" t="str">
        <f>IF($N830="","",IF($E$8=0,"",E830/$E$8))</f>
        <v/>
      </c>
      <c r="G830" s="25" t="str">
        <f>IF($N830="","",INDEX('_calc'!$E$2:$E$3001,$N830))</f>
        <v/>
      </c>
      <c r="H830" s="25" t="str">
        <f>IF($N830="","",INDEX('_calc'!$F$2:$F$3001,$N830))</f>
        <v/>
      </c>
      <c r="I830" s="27" t="str">
        <f>IF($N830="","",INDEX('_calc'!$H$2:$H$3001,$N830))</f>
        <v/>
      </c>
      <c r="J830" s="27" t="str">
        <f>IF($N830="","",INDEX('_calc'!$I$2:$I$3001,$N830))</f>
        <v/>
      </c>
      <c r="K830" s="28" t="str">
        <f>IF($N830="","",IF(OR(I830="",J830=""),"",J830-I830))</f>
        <v/>
      </c>
      <c r="L830" s="29" t="str">
        <f>IF($N830="","",INDEX('_calc'!$J$2:$J$3001,$N830))</f>
        <v/>
      </c>
      <c r="M830" s="2" t="str">
        <f>IF($N830="","",IF(AND(G830=0,H830=0),"수량 없음",IF(G830=0,"신규 (전년 수량 없음)",IF(H830=0,"당해 수량 없음",""))))</f>
        <v/>
      </c>
      <c r="N830" t="str">
        <f>IF($B830="","",MATCH($B830,'_calc'!$L$2:$L$3001,0))</f>
        <v/>
      </c>
    </row>
    <row r="831">
      <c r="B831" s="24" t="str">
        <f>IF(ROW()-ROW($B$8)&gt;nComp,"",ROW()-ROW($B$8))</f>
        <v/>
      </c>
      <c r="C831" t="str">
        <f>IF($N831="","",INDEX('_calc'!$A$2:$A$3001,$N831))</f>
        <v/>
      </c>
      <c r="D831" s="25" t="str">
        <f>IF($N831="","",INDEX('_calc'!$C$2:$C$3001,$N831))</f>
        <v/>
      </c>
      <c r="E831" s="25" t="str">
        <f>IF($N831="","",INDEX('_calc'!$D$2:$D$3001,$N831))</f>
        <v/>
      </c>
      <c r="F831" s="26" t="str">
        <f>IF($N831="","",IF($E$8=0,"",E831/$E$8))</f>
        <v/>
      </c>
      <c r="G831" s="25" t="str">
        <f>IF($N831="","",INDEX('_calc'!$E$2:$E$3001,$N831))</f>
        <v/>
      </c>
      <c r="H831" s="25" t="str">
        <f>IF($N831="","",INDEX('_calc'!$F$2:$F$3001,$N831))</f>
        <v/>
      </c>
      <c r="I831" s="27" t="str">
        <f>IF($N831="","",INDEX('_calc'!$H$2:$H$3001,$N831))</f>
        <v/>
      </c>
      <c r="J831" s="27" t="str">
        <f>IF($N831="","",INDEX('_calc'!$I$2:$I$3001,$N831))</f>
        <v/>
      </c>
      <c r="K831" s="28" t="str">
        <f>IF($N831="","",IF(OR(I831="",J831=""),"",J831-I831))</f>
        <v/>
      </c>
      <c r="L831" s="29" t="str">
        <f>IF($N831="","",INDEX('_calc'!$J$2:$J$3001,$N831))</f>
        <v/>
      </c>
      <c r="M831" s="2" t="str">
        <f>IF($N831="","",IF(AND(G831=0,H831=0),"수량 없음",IF(G831=0,"신규 (전년 수량 없음)",IF(H831=0,"당해 수량 없음",""))))</f>
        <v/>
      </c>
      <c r="N831" t="str">
        <f>IF($B831="","",MATCH($B831,'_calc'!$L$2:$L$3001,0))</f>
        <v/>
      </c>
    </row>
    <row r="832">
      <c r="B832" s="24" t="str">
        <f>IF(ROW()-ROW($B$8)&gt;nComp,"",ROW()-ROW($B$8))</f>
        <v/>
      </c>
      <c r="C832" t="str">
        <f>IF($N832="","",INDEX('_calc'!$A$2:$A$3001,$N832))</f>
        <v/>
      </c>
      <c r="D832" s="25" t="str">
        <f>IF($N832="","",INDEX('_calc'!$C$2:$C$3001,$N832))</f>
        <v/>
      </c>
      <c r="E832" s="25" t="str">
        <f>IF($N832="","",INDEX('_calc'!$D$2:$D$3001,$N832))</f>
        <v/>
      </c>
      <c r="F832" s="26" t="str">
        <f>IF($N832="","",IF($E$8=0,"",E832/$E$8))</f>
        <v/>
      </c>
      <c r="G832" s="25" t="str">
        <f>IF($N832="","",INDEX('_calc'!$E$2:$E$3001,$N832))</f>
        <v/>
      </c>
      <c r="H832" s="25" t="str">
        <f>IF($N832="","",INDEX('_calc'!$F$2:$F$3001,$N832))</f>
        <v/>
      </c>
      <c r="I832" s="27" t="str">
        <f>IF($N832="","",INDEX('_calc'!$H$2:$H$3001,$N832))</f>
        <v/>
      </c>
      <c r="J832" s="27" t="str">
        <f>IF($N832="","",INDEX('_calc'!$I$2:$I$3001,$N832))</f>
        <v/>
      </c>
      <c r="K832" s="28" t="str">
        <f>IF($N832="","",IF(OR(I832="",J832=""),"",J832-I832))</f>
        <v/>
      </c>
      <c r="L832" s="29" t="str">
        <f>IF($N832="","",INDEX('_calc'!$J$2:$J$3001,$N832))</f>
        <v/>
      </c>
      <c r="M832" s="2" t="str">
        <f>IF($N832="","",IF(AND(G832=0,H832=0),"수량 없음",IF(G832=0,"신규 (전년 수량 없음)",IF(H832=0,"당해 수량 없음",""))))</f>
        <v/>
      </c>
      <c r="N832" t="str">
        <f>IF($B832="","",MATCH($B832,'_calc'!$L$2:$L$3001,0))</f>
        <v/>
      </c>
    </row>
    <row r="833">
      <c r="B833" s="24" t="str">
        <f>IF(ROW()-ROW($B$8)&gt;nComp,"",ROW()-ROW($B$8))</f>
        <v/>
      </c>
      <c r="C833" t="str">
        <f>IF($N833="","",INDEX('_calc'!$A$2:$A$3001,$N833))</f>
        <v/>
      </c>
      <c r="D833" s="25" t="str">
        <f>IF($N833="","",INDEX('_calc'!$C$2:$C$3001,$N833))</f>
        <v/>
      </c>
      <c r="E833" s="25" t="str">
        <f>IF($N833="","",INDEX('_calc'!$D$2:$D$3001,$N833))</f>
        <v/>
      </c>
      <c r="F833" s="26" t="str">
        <f>IF($N833="","",IF($E$8=0,"",E833/$E$8))</f>
        <v/>
      </c>
      <c r="G833" s="25" t="str">
        <f>IF($N833="","",INDEX('_calc'!$E$2:$E$3001,$N833))</f>
        <v/>
      </c>
      <c r="H833" s="25" t="str">
        <f>IF($N833="","",INDEX('_calc'!$F$2:$F$3001,$N833))</f>
        <v/>
      </c>
      <c r="I833" s="27" t="str">
        <f>IF($N833="","",INDEX('_calc'!$H$2:$H$3001,$N833))</f>
        <v/>
      </c>
      <c r="J833" s="27" t="str">
        <f>IF($N833="","",INDEX('_calc'!$I$2:$I$3001,$N833))</f>
        <v/>
      </c>
      <c r="K833" s="28" t="str">
        <f>IF($N833="","",IF(OR(I833="",J833=""),"",J833-I833))</f>
        <v/>
      </c>
      <c r="L833" s="29" t="str">
        <f>IF($N833="","",INDEX('_calc'!$J$2:$J$3001,$N833))</f>
        <v/>
      </c>
      <c r="M833" s="2" t="str">
        <f>IF($N833="","",IF(AND(G833=0,H833=0),"수량 없음",IF(G833=0,"신규 (전년 수량 없음)",IF(H833=0,"당해 수량 없음",""))))</f>
        <v/>
      </c>
      <c r="N833" t="str">
        <f>IF($B833="","",MATCH($B833,'_calc'!$L$2:$L$3001,0))</f>
        <v/>
      </c>
    </row>
    <row r="834">
      <c r="B834" s="24" t="str">
        <f>IF(ROW()-ROW($B$8)&gt;nComp,"",ROW()-ROW($B$8))</f>
        <v/>
      </c>
      <c r="C834" t="str">
        <f>IF($N834="","",INDEX('_calc'!$A$2:$A$3001,$N834))</f>
        <v/>
      </c>
      <c r="D834" s="25" t="str">
        <f>IF($N834="","",INDEX('_calc'!$C$2:$C$3001,$N834))</f>
        <v/>
      </c>
      <c r="E834" s="25" t="str">
        <f>IF($N834="","",INDEX('_calc'!$D$2:$D$3001,$N834))</f>
        <v/>
      </c>
      <c r="F834" s="26" t="str">
        <f>IF($N834="","",IF($E$8=0,"",E834/$E$8))</f>
        <v/>
      </c>
      <c r="G834" s="25" t="str">
        <f>IF($N834="","",INDEX('_calc'!$E$2:$E$3001,$N834))</f>
        <v/>
      </c>
      <c r="H834" s="25" t="str">
        <f>IF($N834="","",INDEX('_calc'!$F$2:$F$3001,$N834))</f>
        <v/>
      </c>
      <c r="I834" s="27" t="str">
        <f>IF($N834="","",INDEX('_calc'!$H$2:$H$3001,$N834))</f>
        <v/>
      </c>
      <c r="J834" s="27" t="str">
        <f>IF($N834="","",INDEX('_calc'!$I$2:$I$3001,$N834))</f>
        <v/>
      </c>
      <c r="K834" s="28" t="str">
        <f>IF($N834="","",IF(OR(I834="",J834=""),"",J834-I834))</f>
        <v/>
      </c>
      <c r="L834" s="29" t="str">
        <f>IF($N834="","",INDEX('_calc'!$J$2:$J$3001,$N834))</f>
        <v/>
      </c>
      <c r="M834" s="2" t="str">
        <f>IF($N834="","",IF(AND(G834=0,H834=0),"수량 없음",IF(G834=0,"신규 (전년 수량 없음)",IF(H834=0,"당해 수량 없음",""))))</f>
        <v/>
      </c>
      <c r="N834" t="str">
        <f>IF($B834="","",MATCH($B834,'_calc'!$L$2:$L$3001,0))</f>
        <v/>
      </c>
    </row>
    <row r="835">
      <c r="B835" s="24" t="str">
        <f>IF(ROW()-ROW($B$8)&gt;nComp,"",ROW()-ROW($B$8))</f>
        <v/>
      </c>
      <c r="C835" t="str">
        <f>IF($N835="","",INDEX('_calc'!$A$2:$A$3001,$N835))</f>
        <v/>
      </c>
      <c r="D835" s="25" t="str">
        <f>IF($N835="","",INDEX('_calc'!$C$2:$C$3001,$N835))</f>
        <v/>
      </c>
      <c r="E835" s="25" t="str">
        <f>IF($N835="","",INDEX('_calc'!$D$2:$D$3001,$N835))</f>
        <v/>
      </c>
      <c r="F835" s="26" t="str">
        <f>IF($N835="","",IF($E$8=0,"",E835/$E$8))</f>
        <v/>
      </c>
      <c r="G835" s="25" t="str">
        <f>IF($N835="","",INDEX('_calc'!$E$2:$E$3001,$N835))</f>
        <v/>
      </c>
      <c r="H835" s="25" t="str">
        <f>IF($N835="","",INDEX('_calc'!$F$2:$F$3001,$N835))</f>
        <v/>
      </c>
      <c r="I835" s="27" t="str">
        <f>IF($N835="","",INDEX('_calc'!$H$2:$H$3001,$N835))</f>
        <v/>
      </c>
      <c r="J835" s="27" t="str">
        <f>IF($N835="","",INDEX('_calc'!$I$2:$I$3001,$N835))</f>
        <v/>
      </c>
      <c r="K835" s="28" t="str">
        <f>IF($N835="","",IF(OR(I835="",J835=""),"",J835-I835))</f>
        <v/>
      </c>
      <c r="L835" s="29" t="str">
        <f>IF($N835="","",INDEX('_calc'!$J$2:$J$3001,$N835))</f>
        <v/>
      </c>
      <c r="M835" s="2" t="str">
        <f>IF($N835="","",IF(AND(G835=0,H835=0),"수량 없음",IF(G835=0,"신규 (전년 수량 없음)",IF(H835=0,"당해 수량 없음",""))))</f>
        <v/>
      </c>
      <c r="N835" t="str">
        <f>IF($B835="","",MATCH($B835,'_calc'!$L$2:$L$3001,0))</f>
        <v/>
      </c>
    </row>
    <row r="836">
      <c r="B836" s="24" t="str">
        <f>IF(ROW()-ROW($B$8)&gt;nComp,"",ROW()-ROW($B$8))</f>
        <v/>
      </c>
      <c r="C836" t="str">
        <f>IF($N836="","",INDEX('_calc'!$A$2:$A$3001,$N836))</f>
        <v/>
      </c>
      <c r="D836" s="25" t="str">
        <f>IF($N836="","",INDEX('_calc'!$C$2:$C$3001,$N836))</f>
        <v/>
      </c>
      <c r="E836" s="25" t="str">
        <f>IF($N836="","",INDEX('_calc'!$D$2:$D$3001,$N836))</f>
        <v/>
      </c>
      <c r="F836" s="26" t="str">
        <f>IF($N836="","",IF($E$8=0,"",E836/$E$8))</f>
        <v/>
      </c>
      <c r="G836" s="25" t="str">
        <f>IF($N836="","",INDEX('_calc'!$E$2:$E$3001,$N836))</f>
        <v/>
      </c>
      <c r="H836" s="25" t="str">
        <f>IF($N836="","",INDEX('_calc'!$F$2:$F$3001,$N836))</f>
        <v/>
      </c>
      <c r="I836" s="27" t="str">
        <f>IF($N836="","",INDEX('_calc'!$H$2:$H$3001,$N836))</f>
        <v/>
      </c>
      <c r="J836" s="27" t="str">
        <f>IF($N836="","",INDEX('_calc'!$I$2:$I$3001,$N836))</f>
        <v/>
      </c>
      <c r="K836" s="28" t="str">
        <f>IF($N836="","",IF(OR(I836="",J836=""),"",J836-I836))</f>
        <v/>
      </c>
      <c r="L836" s="29" t="str">
        <f>IF($N836="","",INDEX('_calc'!$J$2:$J$3001,$N836))</f>
        <v/>
      </c>
      <c r="M836" s="2" t="str">
        <f>IF($N836="","",IF(AND(G836=0,H836=0),"수량 없음",IF(G836=0,"신규 (전년 수량 없음)",IF(H836=0,"당해 수량 없음",""))))</f>
        <v/>
      </c>
      <c r="N836" t="str">
        <f>IF($B836="","",MATCH($B836,'_calc'!$L$2:$L$3001,0))</f>
        <v/>
      </c>
    </row>
    <row r="837">
      <c r="B837" s="24" t="str">
        <f>IF(ROW()-ROW($B$8)&gt;nComp,"",ROW()-ROW($B$8))</f>
        <v/>
      </c>
      <c r="C837" t="str">
        <f>IF($N837="","",INDEX('_calc'!$A$2:$A$3001,$N837))</f>
        <v/>
      </c>
      <c r="D837" s="25" t="str">
        <f>IF($N837="","",INDEX('_calc'!$C$2:$C$3001,$N837))</f>
        <v/>
      </c>
      <c r="E837" s="25" t="str">
        <f>IF($N837="","",INDEX('_calc'!$D$2:$D$3001,$N837))</f>
        <v/>
      </c>
      <c r="F837" s="26" t="str">
        <f>IF($N837="","",IF($E$8=0,"",E837/$E$8))</f>
        <v/>
      </c>
      <c r="G837" s="25" t="str">
        <f>IF($N837="","",INDEX('_calc'!$E$2:$E$3001,$N837))</f>
        <v/>
      </c>
      <c r="H837" s="25" t="str">
        <f>IF($N837="","",INDEX('_calc'!$F$2:$F$3001,$N837))</f>
        <v/>
      </c>
      <c r="I837" s="27" t="str">
        <f>IF($N837="","",INDEX('_calc'!$H$2:$H$3001,$N837))</f>
        <v/>
      </c>
      <c r="J837" s="27" t="str">
        <f>IF($N837="","",INDEX('_calc'!$I$2:$I$3001,$N837))</f>
        <v/>
      </c>
      <c r="K837" s="28" t="str">
        <f>IF($N837="","",IF(OR(I837="",J837=""),"",J837-I837))</f>
        <v/>
      </c>
      <c r="L837" s="29" t="str">
        <f>IF($N837="","",INDEX('_calc'!$J$2:$J$3001,$N837))</f>
        <v/>
      </c>
      <c r="M837" s="2" t="str">
        <f>IF($N837="","",IF(AND(G837=0,H837=0),"수량 없음",IF(G837=0,"신규 (전년 수량 없음)",IF(H837=0,"당해 수량 없음",""))))</f>
        <v/>
      </c>
      <c r="N837" t="str">
        <f>IF($B837="","",MATCH($B837,'_calc'!$L$2:$L$3001,0))</f>
        <v/>
      </c>
    </row>
    <row r="838">
      <c r="B838" s="24" t="str">
        <f>IF(ROW()-ROW($B$8)&gt;nComp,"",ROW()-ROW($B$8))</f>
        <v/>
      </c>
      <c r="C838" t="str">
        <f>IF($N838="","",INDEX('_calc'!$A$2:$A$3001,$N838))</f>
        <v/>
      </c>
      <c r="D838" s="25" t="str">
        <f>IF($N838="","",INDEX('_calc'!$C$2:$C$3001,$N838))</f>
        <v/>
      </c>
      <c r="E838" s="25" t="str">
        <f>IF($N838="","",INDEX('_calc'!$D$2:$D$3001,$N838))</f>
        <v/>
      </c>
      <c r="F838" s="26" t="str">
        <f>IF($N838="","",IF($E$8=0,"",E838/$E$8))</f>
        <v/>
      </c>
      <c r="G838" s="25" t="str">
        <f>IF($N838="","",INDEX('_calc'!$E$2:$E$3001,$N838))</f>
        <v/>
      </c>
      <c r="H838" s="25" t="str">
        <f>IF($N838="","",INDEX('_calc'!$F$2:$F$3001,$N838))</f>
        <v/>
      </c>
      <c r="I838" s="27" t="str">
        <f>IF($N838="","",INDEX('_calc'!$H$2:$H$3001,$N838))</f>
        <v/>
      </c>
      <c r="J838" s="27" t="str">
        <f>IF($N838="","",INDEX('_calc'!$I$2:$I$3001,$N838))</f>
        <v/>
      </c>
      <c r="K838" s="28" t="str">
        <f>IF($N838="","",IF(OR(I838="",J838=""),"",J838-I838))</f>
        <v/>
      </c>
      <c r="L838" s="29" t="str">
        <f>IF($N838="","",INDEX('_calc'!$J$2:$J$3001,$N838))</f>
        <v/>
      </c>
      <c r="M838" s="2" t="str">
        <f>IF($N838="","",IF(AND(G838=0,H838=0),"수량 없음",IF(G838=0,"신규 (전년 수량 없음)",IF(H838=0,"당해 수량 없음",""))))</f>
        <v/>
      </c>
      <c r="N838" t="str">
        <f>IF($B838="","",MATCH($B838,'_calc'!$L$2:$L$3001,0))</f>
        <v/>
      </c>
    </row>
    <row r="839">
      <c r="B839" s="24" t="str">
        <f>IF(ROW()-ROW($B$8)&gt;nComp,"",ROW()-ROW($B$8))</f>
        <v/>
      </c>
      <c r="C839" t="str">
        <f>IF($N839="","",INDEX('_calc'!$A$2:$A$3001,$N839))</f>
        <v/>
      </c>
      <c r="D839" s="25" t="str">
        <f>IF($N839="","",INDEX('_calc'!$C$2:$C$3001,$N839))</f>
        <v/>
      </c>
      <c r="E839" s="25" t="str">
        <f>IF($N839="","",INDEX('_calc'!$D$2:$D$3001,$N839))</f>
        <v/>
      </c>
      <c r="F839" s="26" t="str">
        <f>IF($N839="","",IF($E$8=0,"",E839/$E$8))</f>
        <v/>
      </c>
      <c r="G839" s="25" t="str">
        <f>IF($N839="","",INDEX('_calc'!$E$2:$E$3001,$N839))</f>
        <v/>
      </c>
      <c r="H839" s="25" t="str">
        <f>IF($N839="","",INDEX('_calc'!$F$2:$F$3001,$N839))</f>
        <v/>
      </c>
      <c r="I839" s="27" t="str">
        <f>IF($N839="","",INDEX('_calc'!$H$2:$H$3001,$N839))</f>
        <v/>
      </c>
      <c r="J839" s="27" t="str">
        <f>IF($N839="","",INDEX('_calc'!$I$2:$I$3001,$N839))</f>
        <v/>
      </c>
      <c r="K839" s="28" t="str">
        <f>IF($N839="","",IF(OR(I839="",J839=""),"",J839-I839))</f>
        <v/>
      </c>
      <c r="L839" s="29" t="str">
        <f>IF($N839="","",INDEX('_calc'!$J$2:$J$3001,$N839))</f>
        <v/>
      </c>
      <c r="M839" s="2" t="str">
        <f>IF($N839="","",IF(AND(G839=0,H839=0),"수량 없음",IF(G839=0,"신규 (전년 수량 없음)",IF(H839=0,"당해 수량 없음",""))))</f>
        <v/>
      </c>
      <c r="N839" t="str">
        <f>IF($B839="","",MATCH($B839,'_calc'!$L$2:$L$3001,0))</f>
        <v/>
      </c>
    </row>
    <row r="840">
      <c r="B840" s="24" t="str">
        <f>IF(ROW()-ROW($B$8)&gt;nComp,"",ROW()-ROW($B$8))</f>
        <v/>
      </c>
      <c r="C840" t="str">
        <f>IF($N840="","",INDEX('_calc'!$A$2:$A$3001,$N840))</f>
        <v/>
      </c>
      <c r="D840" s="25" t="str">
        <f>IF($N840="","",INDEX('_calc'!$C$2:$C$3001,$N840))</f>
        <v/>
      </c>
      <c r="E840" s="25" t="str">
        <f>IF($N840="","",INDEX('_calc'!$D$2:$D$3001,$N840))</f>
        <v/>
      </c>
      <c r="F840" s="26" t="str">
        <f>IF($N840="","",IF($E$8=0,"",E840/$E$8))</f>
        <v/>
      </c>
      <c r="G840" s="25" t="str">
        <f>IF($N840="","",INDEX('_calc'!$E$2:$E$3001,$N840))</f>
        <v/>
      </c>
      <c r="H840" s="25" t="str">
        <f>IF($N840="","",INDEX('_calc'!$F$2:$F$3001,$N840))</f>
        <v/>
      </c>
      <c r="I840" s="27" t="str">
        <f>IF($N840="","",INDEX('_calc'!$H$2:$H$3001,$N840))</f>
        <v/>
      </c>
      <c r="J840" s="27" t="str">
        <f>IF($N840="","",INDEX('_calc'!$I$2:$I$3001,$N840))</f>
        <v/>
      </c>
      <c r="K840" s="28" t="str">
        <f>IF($N840="","",IF(OR(I840="",J840=""),"",J840-I840))</f>
        <v/>
      </c>
      <c r="L840" s="29" t="str">
        <f>IF($N840="","",INDEX('_calc'!$J$2:$J$3001,$N840))</f>
        <v/>
      </c>
      <c r="M840" s="2" t="str">
        <f>IF($N840="","",IF(AND(G840=0,H840=0),"수량 없음",IF(G840=0,"신규 (전년 수량 없음)",IF(H840=0,"당해 수량 없음",""))))</f>
        <v/>
      </c>
      <c r="N840" t="str">
        <f>IF($B840="","",MATCH($B840,'_calc'!$L$2:$L$3001,0))</f>
        <v/>
      </c>
    </row>
    <row r="841">
      <c r="B841" s="24" t="str">
        <f>IF(ROW()-ROW($B$8)&gt;nComp,"",ROW()-ROW($B$8))</f>
        <v/>
      </c>
      <c r="C841" t="str">
        <f>IF($N841="","",INDEX('_calc'!$A$2:$A$3001,$N841))</f>
        <v/>
      </c>
      <c r="D841" s="25" t="str">
        <f>IF($N841="","",INDEX('_calc'!$C$2:$C$3001,$N841))</f>
        <v/>
      </c>
      <c r="E841" s="25" t="str">
        <f>IF($N841="","",INDEX('_calc'!$D$2:$D$3001,$N841))</f>
        <v/>
      </c>
      <c r="F841" s="26" t="str">
        <f>IF($N841="","",IF($E$8=0,"",E841/$E$8))</f>
        <v/>
      </c>
      <c r="G841" s="25" t="str">
        <f>IF($N841="","",INDEX('_calc'!$E$2:$E$3001,$N841))</f>
        <v/>
      </c>
      <c r="H841" s="25" t="str">
        <f>IF($N841="","",INDEX('_calc'!$F$2:$F$3001,$N841))</f>
        <v/>
      </c>
      <c r="I841" s="27" t="str">
        <f>IF($N841="","",INDEX('_calc'!$H$2:$H$3001,$N841))</f>
        <v/>
      </c>
      <c r="J841" s="27" t="str">
        <f>IF($N841="","",INDEX('_calc'!$I$2:$I$3001,$N841))</f>
        <v/>
      </c>
      <c r="K841" s="28" t="str">
        <f>IF($N841="","",IF(OR(I841="",J841=""),"",J841-I841))</f>
        <v/>
      </c>
      <c r="L841" s="29" t="str">
        <f>IF($N841="","",INDEX('_calc'!$J$2:$J$3001,$N841))</f>
        <v/>
      </c>
      <c r="M841" s="2" t="str">
        <f>IF($N841="","",IF(AND(G841=0,H841=0),"수량 없음",IF(G841=0,"신규 (전년 수량 없음)",IF(H841=0,"당해 수량 없음",""))))</f>
        <v/>
      </c>
      <c r="N841" t="str">
        <f>IF($B841="","",MATCH($B841,'_calc'!$L$2:$L$3001,0))</f>
        <v/>
      </c>
    </row>
    <row r="842">
      <c r="B842" s="24" t="str">
        <f>IF(ROW()-ROW($B$8)&gt;nComp,"",ROW()-ROW($B$8))</f>
        <v/>
      </c>
      <c r="C842" t="str">
        <f>IF($N842="","",INDEX('_calc'!$A$2:$A$3001,$N842))</f>
        <v/>
      </c>
      <c r="D842" s="25" t="str">
        <f>IF($N842="","",INDEX('_calc'!$C$2:$C$3001,$N842))</f>
        <v/>
      </c>
      <c r="E842" s="25" t="str">
        <f>IF($N842="","",INDEX('_calc'!$D$2:$D$3001,$N842))</f>
        <v/>
      </c>
      <c r="F842" s="26" t="str">
        <f>IF($N842="","",IF($E$8=0,"",E842/$E$8))</f>
        <v/>
      </c>
      <c r="G842" s="25" t="str">
        <f>IF($N842="","",INDEX('_calc'!$E$2:$E$3001,$N842))</f>
        <v/>
      </c>
      <c r="H842" s="25" t="str">
        <f>IF($N842="","",INDEX('_calc'!$F$2:$F$3001,$N842))</f>
        <v/>
      </c>
      <c r="I842" s="27" t="str">
        <f>IF($N842="","",INDEX('_calc'!$H$2:$H$3001,$N842))</f>
        <v/>
      </c>
      <c r="J842" s="27" t="str">
        <f>IF($N842="","",INDEX('_calc'!$I$2:$I$3001,$N842))</f>
        <v/>
      </c>
      <c r="K842" s="28" t="str">
        <f>IF($N842="","",IF(OR(I842="",J842=""),"",J842-I842))</f>
        <v/>
      </c>
      <c r="L842" s="29" t="str">
        <f>IF($N842="","",INDEX('_calc'!$J$2:$J$3001,$N842))</f>
        <v/>
      </c>
      <c r="M842" s="2" t="str">
        <f>IF($N842="","",IF(AND(G842=0,H842=0),"수량 없음",IF(G842=0,"신규 (전년 수량 없음)",IF(H842=0,"당해 수량 없음",""))))</f>
        <v/>
      </c>
      <c r="N842" t="str">
        <f>IF($B842="","",MATCH($B842,'_calc'!$L$2:$L$3001,0))</f>
        <v/>
      </c>
    </row>
    <row r="843">
      <c r="B843" s="24" t="str">
        <f>IF(ROW()-ROW($B$8)&gt;nComp,"",ROW()-ROW($B$8))</f>
        <v/>
      </c>
      <c r="C843" t="str">
        <f>IF($N843="","",INDEX('_calc'!$A$2:$A$3001,$N843))</f>
        <v/>
      </c>
      <c r="D843" s="25" t="str">
        <f>IF($N843="","",INDEX('_calc'!$C$2:$C$3001,$N843))</f>
        <v/>
      </c>
      <c r="E843" s="25" t="str">
        <f>IF($N843="","",INDEX('_calc'!$D$2:$D$3001,$N843))</f>
        <v/>
      </c>
      <c r="F843" s="26" t="str">
        <f>IF($N843="","",IF($E$8=0,"",E843/$E$8))</f>
        <v/>
      </c>
      <c r="G843" s="25" t="str">
        <f>IF($N843="","",INDEX('_calc'!$E$2:$E$3001,$N843))</f>
        <v/>
      </c>
      <c r="H843" s="25" t="str">
        <f>IF($N843="","",INDEX('_calc'!$F$2:$F$3001,$N843))</f>
        <v/>
      </c>
      <c r="I843" s="27" t="str">
        <f>IF($N843="","",INDEX('_calc'!$H$2:$H$3001,$N843))</f>
        <v/>
      </c>
      <c r="J843" s="27" t="str">
        <f>IF($N843="","",INDEX('_calc'!$I$2:$I$3001,$N843))</f>
        <v/>
      </c>
      <c r="K843" s="28" t="str">
        <f>IF($N843="","",IF(OR(I843="",J843=""),"",J843-I843))</f>
        <v/>
      </c>
      <c r="L843" s="29" t="str">
        <f>IF($N843="","",INDEX('_calc'!$J$2:$J$3001,$N843))</f>
        <v/>
      </c>
      <c r="M843" s="2" t="str">
        <f>IF($N843="","",IF(AND(G843=0,H843=0),"수량 없음",IF(G843=0,"신규 (전년 수량 없음)",IF(H843=0,"당해 수량 없음",""))))</f>
        <v/>
      </c>
      <c r="N843" t="str">
        <f>IF($B843="","",MATCH($B843,'_calc'!$L$2:$L$3001,0))</f>
        <v/>
      </c>
    </row>
    <row r="844">
      <c r="B844" s="24" t="str">
        <f>IF(ROW()-ROW($B$8)&gt;nComp,"",ROW()-ROW($B$8))</f>
        <v/>
      </c>
      <c r="C844" t="str">
        <f>IF($N844="","",INDEX('_calc'!$A$2:$A$3001,$N844))</f>
        <v/>
      </c>
      <c r="D844" s="25" t="str">
        <f>IF($N844="","",INDEX('_calc'!$C$2:$C$3001,$N844))</f>
        <v/>
      </c>
      <c r="E844" s="25" t="str">
        <f>IF($N844="","",INDEX('_calc'!$D$2:$D$3001,$N844))</f>
        <v/>
      </c>
      <c r="F844" s="26" t="str">
        <f>IF($N844="","",IF($E$8=0,"",E844/$E$8))</f>
        <v/>
      </c>
      <c r="G844" s="25" t="str">
        <f>IF($N844="","",INDEX('_calc'!$E$2:$E$3001,$N844))</f>
        <v/>
      </c>
      <c r="H844" s="25" t="str">
        <f>IF($N844="","",INDEX('_calc'!$F$2:$F$3001,$N844))</f>
        <v/>
      </c>
      <c r="I844" s="27" t="str">
        <f>IF($N844="","",INDEX('_calc'!$H$2:$H$3001,$N844))</f>
        <v/>
      </c>
      <c r="J844" s="27" t="str">
        <f>IF($N844="","",INDEX('_calc'!$I$2:$I$3001,$N844))</f>
        <v/>
      </c>
      <c r="K844" s="28" t="str">
        <f>IF($N844="","",IF(OR(I844="",J844=""),"",J844-I844))</f>
        <v/>
      </c>
      <c r="L844" s="29" t="str">
        <f>IF($N844="","",INDEX('_calc'!$J$2:$J$3001,$N844))</f>
        <v/>
      </c>
      <c r="M844" s="2" t="str">
        <f>IF($N844="","",IF(AND(G844=0,H844=0),"수량 없음",IF(G844=0,"신규 (전년 수량 없음)",IF(H844=0,"당해 수량 없음",""))))</f>
        <v/>
      </c>
      <c r="N844" t="str">
        <f>IF($B844="","",MATCH($B844,'_calc'!$L$2:$L$3001,0))</f>
        <v/>
      </c>
    </row>
    <row r="845">
      <c r="B845" s="24" t="str">
        <f>IF(ROW()-ROW($B$8)&gt;nComp,"",ROW()-ROW($B$8))</f>
        <v/>
      </c>
      <c r="C845" t="str">
        <f>IF($N845="","",INDEX('_calc'!$A$2:$A$3001,$N845))</f>
        <v/>
      </c>
      <c r="D845" s="25" t="str">
        <f>IF($N845="","",INDEX('_calc'!$C$2:$C$3001,$N845))</f>
        <v/>
      </c>
      <c r="E845" s="25" t="str">
        <f>IF($N845="","",INDEX('_calc'!$D$2:$D$3001,$N845))</f>
        <v/>
      </c>
      <c r="F845" s="26" t="str">
        <f>IF($N845="","",IF($E$8=0,"",E845/$E$8))</f>
        <v/>
      </c>
      <c r="G845" s="25" t="str">
        <f>IF($N845="","",INDEX('_calc'!$E$2:$E$3001,$N845))</f>
        <v/>
      </c>
      <c r="H845" s="25" t="str">
        <f>IF($N845="","",INDEX('_calc'!$F$2:$F$3001,$N845))</f>
        <v/>
      </c>
      <c r="I845" s="27" t="str">
        <f>IF($N845="","",INDEX('_calc'!$H$2:$H$3001,$N845))</f>
        <v/>
      </c>
      <c r="J845" s="27" t="str">
        <f>IF($N845="","",INDEX('_calc'!$I$2:$I$3001,$N845))</f>
        <v/>
      </c>
      <c r="K845" s="28" t="str">
        <f>IF($N845="","",IF(OR(I845="",J845=""),"",J845-I845))</f>
        <v/>
      </c>
      <c r="L845" s="29" t="str">
        <f>IF($N845="","",INDEX('_calc'!$J$2:$J$3001,$N845))</f>
        <v/>
      </c>
      <c r="M845" s="2" t="str">
        <f>IF($N845="","",IF(AND(G845=0,H845=0),"수량 없음",IF(G845=0,"신규 (전년 수량 없음)",IF(H845=0,"당해 수량 없음",""))))</f>
        <v/>
      </c>
      <c r="N845" t="str">
        <f>IF($B845="","",MATCH($B845,'_calc'!$L$2:$L$3001,0))</f>
        <v/>
      </c>
    </row>
    <row r="846">
      <c r="B846" s="24" t="str">
        <f>IF(ROW()-ROW($B$8)&gt;nComp,"",ROW()-ROW($B$8))</f>
        <v/>
      </c>
      <c r="C846" t="str">
        <f>IF($N846="","",INDEX('_calc'!$A$2:$A$3001,$N846))</f>
        <v/>
      </c>
      <c r="D846" s="25" t="str">
        <f>IF($N846="","",INDEX('_calc'!$C$2:$C$3001,$N846))</f>
        <v/>
      </c>
      <c r="E846" s="25" t="str">
        <f>IF($N846="","",INDEX('_calc'!$D$2:$D$3001,$N846))</f>
        <v/>
      </c>
      <c r="F846" s="26" t="str">
        <f>IF($N846="","",IF($E$8=0,"",E846/$E$8))</f>
        <v/>
      </c>
      <c r="G846" s="25" t="str">
        <f>IF($N846="","",INDEX('_calc'!$E$2:$E$3001,$N846))</f>
        <v/>
      </c>
      <c r="H846" s="25" t="str">
        <f>IF($N846="","",INDEX('_calc'!$F$2:$F$3001,$N846))</f>
        <v/>
      </c>
      <c r="I846" s="27" t="str">
        <f>IF($N846="","",INDEX('_calc'!$H$2:$H$3001,$N846))</f>
        <v/>
      </c>
      <c r="J846" s="27" t="str">
        <f>IF($N846="","",INDEX('_calc'!$I$2:$I$3001,$N846))</f>
        <v/>
      </c>
      <c r="K846" s="28" t="str">
        <f>IF($N846="","",IF(OR(I846="",J846=""),"",J846-I846))</f>
        <v/>
      </c>
      <c r="L846" s="29" t="str">
        <f>IF($N846="","",INDEX('_calc'!$J$2:$J$3001,$N846))</f>
        <v/>
      </c>
      <c r="M846" s="2" t="str">
        <f>IF($N846="","",IF(AND(G846=0,H846=0),"수량 없음",IF(G846=0,"신규 (전년 수량 없음)",IF(H846=0,"당해 수량 없음",""))))</f>
        <v/>
      </c>
      <c r="N846" t="str">
        <f>IF($B846="","",MATCH($B846,'_calc'!$L$2:$L$3001,0))</f>
        <v/>
      </c>
    </row>
    <row r="847">
      <c r="B847" s="24" t="str">
        <f>IF(ROW()-ROW($B$8)&gt;nComp,"",ROW()-ROW($B$8))</f>
        <v/>
      </c>
      <c r="C847" t="str">
        <f>IF($N847="","",INDEX('_calc'!$A$2:$A$3001,$N847))</f>
        <v/>
      </c>
      <c r="D847" s="25" t="str">
        <f>IF($N847="","",INDEX('_calc'!$C$2:$C$3001,$N847))</f>
        <v/>
      </c>
      <c r="E847" s="25" t="str">
        <f>IF($N847="","",INDEX('_calc'!$D$2:$D$3001,$N847))</f>
        <v/>
      </c>
      <c r="F847" s="26" t="str">
        <f>IF($N847="","",IF($E$8=0,"",E847/$E$8))</f>
        <v/>
      </c>
      <c r="G847" s="25" t="str">
        <f>IF($N847="","",INDEX('_calc'!$E$2:$E$3001,$N847))</f>
        <v/>
      </c>
      <c r="H847" s="25" t="str">
        <f>IF($N847="","",INDEX('_calc'!$F$2:$F$3001,$N847))</f>
        <v/>
      </c>
      <c r="I847" s="27" t="str">
        <f>IF($N847="","",INDEX('_calc'!$H$2:$H$3001,$N847))</f>
        <v/>
      </c>
      <c r="J847" s="27" t="str">
        <f>IF($N847="","",INDEX('_calc'!$I$2:$I$3001,$N847))</f>
        <v/>
      </c>
      <c r="K847" s="28" t="str">
        <f>IF($N847="","",IF(OR(I847="",J847=""),"",J847-I847))</f>
        <v/>
      </c>
      <c r="L847" s="29" t="str">
        <f>IF($N847="","",INDEX('_calc'!$J$2:$J$3001,$N847))</f>
        <v/>
      </c>
      <c r="M847" s="2" t="str">
        <f>IF($N847="","",IF(AND(G847=0,H847=0),"수량 없음",IF(G847=0,"신규 (전년 수량 없음)",IF(H847=0,"당해 수량 없음",""))))</f>
        <v/>
      </c>
      <c r="N847" t="str">
        <f>IF($B847="","",MATCH($B847,'_calc'!$L$2:$L$3001,0))</f>
        <v/>
      </c>
    </row>
    <row r="848">
      <c r="B848" s="24" t="str">
        <f>IF(ROW()-ROW($B$8)&gt;nComp,"",ROW()-ROW($B$8))</f>
        <v/>
      </c>
      <c r="C848" t="str">
        <f>IF($N848="","",INDEX('_calc'!$A$2:$A$3001,$N848))</f>
        <v/>
      </c>
      <c r="D848" s="25" t="str">
        <f>IF($N848="","",INDEX('_calc'!$C$2:$C$3001,$N848))</f>
        <v/>
      </c>
      <c r="E848" s="25" t="str">
        <f>IF($N848="","",INDEX('_calc'!$D$2:$D$3001,$N848))</f>
        <v/>
      </c>
      <c r="F848" s="26" t="str">
        <f>IF($N848="","",IF($E$8=0,"",E848/$E$8))</f>
        <v/>
      </c>
      <c r="G848" s="25" t="str">
        <f>IF($N848="","",INDEX('_calc'!$E$2:$E$3001,$N848))</f>
        <v/>
      </c>
      <c r="H848" s="25" t="str">
        <f>IF($N848="","",INDEX('_calc'!$F$2:$F$3001,$N848))</f>
        <v/>
      </c>
      <c r="I848" s="27" t="str">
        <f>IF($N848="","",INDEX('_calc'!$H$2:$H$3001,$N848))</f>
        <v/>
      </c>
      <c r="J848" s="27" t="str">
        <f>IF($N848="","",INDEX('_calc'!$I$2:$I$3001,$N848))</f>
        <v/>
      </c>
      <c r="K848" s="28" t="str">
        <f>IF($N848="","",IF(OR(I848="",J848=""),"",J848-I848))</f>
        <v/>
      </c>
      <c r="L848" s="29" t="str">
        <f>IF($N848="","",INDEX('_calc'!$J$2:$J$3001,$N848))</f>
        <v/>
      </c>
      <c r="M848" s="2" t="str">
        <f>IF($N848="","",IF(AND(G848=0,H848=0),"수량 없음",IF(G848=0,"신규 (전년 수량 없음)",IF(H848=0,"당해 수량 없음",""))))</f>
        <v/>
      </c>
      <c r="N848" t="str">
        <f>IF($B848="","",MATCH($B848,'_calc'!$L$2:$L$3001,0))</f>
        <v/>
      </c>
    </row>
    <row r="849">
      <c r="B849" s="24" t="str">
        <f>IF(ROW()-ROW($B$8)&gt;nComp,"",ROW()-ROW($B$8))</f>
        <v/>
      </c>
      <c r="C849" t="str">
        <f>IF($N849="","",INDEX('_calc'!$A$2:$A$3001,$N849))</f>
        <v/>
      </c>
      <c r="D849" s="25" t="str">
        <f>IF($N849="","",INDEX('_calc'!$C$2:$C$3001,$N849))</f>
        <v/>
      </c>
      <c r="E849" s="25" t="str">
        <f>IF($N849="","",INDEX('_calc'!$D$2:$D$3001,$N849))</f>
        <v/>
      </c>
      <c r="F849" s="26" t="str">
        <f>IF($N849="","",IF($E$8=0,"",E849/$E$8))</f>
        <v/>
      </c>
      <c r="G849" s="25" t="str">
        <f>IF($N849="","",INDEX('_calc'!$E$2:$E$3001,$N849))</f>
        <v/>
      </c>
      <c r="H849" s="25" t="str">
        <f>IF($N849="","",INDEX('_calc'!$F$2:$F$3001,$N849))</f>
        <v/>
      </c>
      <c r="I849" s="27" t="str">
        <f>IF($N849="","",INDEX('_calc'!$H$2:$H$3001,$N849))</f>
        <v/>
      </c>
      <c r="J849" s="27" t="str">
        <f>IF($N849="","",INDEX('_calc'!$I$2:$I$3001,$N849))</f>
        <v/>
      </c>
      <c r="K849" s="28" t="str">
        <f>IF($N849="","",IF(OR(I849="",J849=""),"",J849-I849))</f>
        <v/>
      </c>
      <c r="L849" s="29" t="str">
        <f>IF($N849="","",INDEX('_calc'!$J$2:$J$3001,$N849))</f>
        <v/>
      </c>
      <c r="M849" s="2" t="str">
        <f>IF($N849="","",IF(AND(G849=0,H849=0),"수량 없음",IF(G849=0,"신규 (전년 수량 없음)",IF(H849=0,"당해 수량 없음",""))))</f>
        <v/>
      </c>
      <c r="N849" t="str">
        <f>IF($B849="","",MATCH($B849,'_calc'!$L$2:$L$3001,0))</f>
        <v/>
      </c>
    </row>
    <row r="850">
      <c r="B850" s="24" t="str">
        <f>IF(ROW()-ROW($B$8)&gt;nComp,"",ROW()-ROW($B$8))</f>
        <v/>
      </c>
      <c r="C850" t="str">
        <f>IF($N850="","",INDEX('_calc'!$A$2:$A$3001,$N850))</f>
        <v/>
      </c>
      <c r="D850" s="25" t="str">
        <f>IF($N850="","",INDEX('_calc'!$C$2:$C$3001,$N850))</f>
        <v/>
      </c>
      <c r="E850" s="25" t="str">
        <f>IF($N850="","",INDEX('_calc'!$D$2:$D$3001,$N850))</f>
        <v/>
      </c>
      <c r="F850" s="26" t="str">
        <f>IF($N850="","",IF($E$8=0,"",E850/$E$8))</f>
        <v/>
      </c>
      <c r="G850" s="25" t="str">
        <f>IF($N850="","",INDEX('_calc'!$E$2:$E$3001,$N850))</f>
        <v/>
      </c>
      <c r="H850" s="25" t="str">
        <f>IF($N850="","",INDEX('_calc'!$F$2:$F$3001,$N850))</f>
        <v/>
      </c>
      <c r="I850" s="27" t="str">
        <f>IF($N850="","",INDEX('_calc'!$H$2:$H$3001,$N850))</f>
        <v/>
      </c>
      <c r="J850" s="27" t="str">
        <f>IF($N850="","",INDEX('_calc'!$I$2:$I$3001,$N850))</f>
        <v/>
      </c>
      <c r="K850" s="28" t="str">
        <f>IF($N850="","",IF(OR(I850="",J850=""),"",J850-I850))</f>
        <v/>
      </c>
      <c r="L850" s="29" t="str">
        <f>IF($N850="","",INDEX('_calc'!$J$2:$J$3001,$N850))</f>
        <v/>
      </c>
      <c r="M850" s="2" t="str">
        <f>IF($N850="","",IF(AND(G850=0,H850=0),"수량 없음",IF(G850=0,"신규 (전년 수량 없음)",IF(H850=0,"당해 수량 없음",""))))</f>
        <v/>
      </c>
      <c r="N850" t="str">
        <f>IF($B850="","",MATCH($B850,'_calc'!$L$2:$L$3001,0))</f>
        <v/>
      </c>
    </row>
    <row r="851">
      <c r="B851" s="24" t="str">
        <f>IF(ROW()-ROW($B$8)&gt;nComp,"",ROW()-ROW($B$8))</f>
        <v/>
      </c>
      <c r="C851" t="str">
        <f>IF($N851="","",INDEX('_calc'!$A$2:$A$3001,$N851))</f>
        <v/>
      </c>
      <c r="D851" s="25" t="str">
        <f>IF($N851="","",INDEX('_calc'!$C$2:$C$3001,$N851))</f>
        <v/>
      </c>
      <c r="E851" s="25" t="str">
        <f>IF($N851="","",INDEX('_calc'!$D$2:$D$3001,$N851))</f>
        <v/>
      </c>
      <c r="F851" s="26" t="str">
        <f>IF($N851="","",IF($E$8=0,"",E851/$E$8))</f>
        <v/>
      </c>
      <c r="G851" s="25" t="str">
        <f>IF($N851="","",INDEX('_calc'!$E$2:$E$3001,$N851))</f>
        <v/>
      </c>
      <c r="H851" s="25" t="str">
        <f>IF($N851="","",INDEX('_calc'!$F$2:$F$3001,$N851))</f>
        <v/>
      </c>
      <c r="I851" s="27" t="str">
        <f>IF($N851="","",INDEX('_calc'!$H$2:$H$3001,$N851))</f>
        <v/>
      </c>
      <c r="J851" s="27" t="str">
        <f>IF($N851="","",INDEX('_calc'!$I$2:$I$3001,$N851))</f>
        <v/>
      </c>
      <c r="K851" s="28" t="str">
        <f>IF($N851="","",IF(OR(I851="",J851=""),"",J851-I851))</f>
        <v/>
      </c>
      <c r="L851" s="29" t="str">
        <f>IF($N851="","",INDEX('_calc'!$J$2:$J$3001,$N851))</f>
        <v/>
      </c>
      <c r="M851" s="2" t="str">
        <f>IF($N851="","",IF(AND(G851=0,H851=0),"수량 없음",IF(G851=0,"신규 (전년 수량 없음)",IF(H851=0,"당해 수량 없음",""))))</f>
        <v/>
      </c>
      <c r="N851" t="str">
        <f>IF($B851="","",MATCH($B851,'_calc'!$L$2:$L$3001,0))</f>
        <v/>
      </c>
    </row>
    <row r="852">
      <c r="B852" s="24" t="str">
        <f>IF(ROW()-ROW($B$8)&gt;nComp,"",ROW()-ROW($B$8))</f>
        <v/>
      </c>
      <c r="C852" t="str">
        <f>IF($N852="","",INDEX('_calc'!$A$2:$A$3001,$N852))</f>
        <v/>
      </c>
      <c r="D852" s="25" t="str">
        <f>IF($N852="","",INDEX('_calc'!$C$2:$C$3001,$N852))</f>
        <v/>
      </c>
      <c r="E852" s="25" t="str">
        <f>IF($N852="","",INDEX('_calc'!$D$2:$D$3001,$N852))</f>
        <v/>
      </c>
      <c r="F852" s="26" t="str">
        <f>IF($N852="","",IF($E$8=0,"",E852/$E$8))</f>
        <v/>
      </c>
      <c r="G852" s="25" t="str">
        <f>IF($N852="","",INDEX('_calc'!$E$2:$E$3001,$N852))</f>
        <v/>
      </c>
      <c r="H852" s="25" t="str">
        <f>IF($N852="","",INDEX('_calc'!$F$2:$F$3001,$N852))</f>
        <v/>
      </c>
      <c r="I852" s="27" t="str">
        <f>IF($N852="","",INDEX('_calc'!$H$2:$H$3001,$N852))</f>
        <v/>
      </c>
      <c r="J852" s="27" t="str">
        <f>IF($N852="","",INDEX('_calc'!$I$2:$I$3001,$N852))</f>
        <v/>
      </c>
      <c r="K852" s="28" t="str">
        <f>IF($N852="","",IF(OR(I852="",J852=""),"",J852-I852))</f>
        <v/>
      </c>
      <c r="L852" s="29" t="str">
        <f>IF($N852="","",INDEX('_calc'!$J$2:$J$3001,$N852))</f>
        <v/>
      </c>
      <c r="M852" s="2" t="str">
        <f>IF($N852="","",IF(AND(G852=0,H852=0),"수량 없음",IF(G852=0,"신규 (전년 수량 없음)",IF(H852=0,"당해 수량 없음",""))))</f>
        <v/>
      </c>
      <c r="N852" t="str">
        <f>IF($B852="","",MATCH($B852,'_calc'!$L$2:$L$3001,0))</f>
        <v/>
      </c>
    </row>
    <row r="853">
      <c r="B853" s="24" t="str">
        <f>IF(ROW()-ROW($B$8)&gt;nComp,"",ROW()-ROW($B$8))</f>
        <v/>
      </c>
      <c r="C853" t="str">
        <f>IF($N853="","",INDEX('_calc'!$A$2:$A$3001,$N853))</f>
        <v/>
      </c>
      <c r="D853" s="25" t="str">
        <f>IF($N853="","",INDEX('_calc'!$C$2:$C$3001,$N853))</f>
        <v/>
      </c>
      <c r="E853" s="25" t="str">
        <f>IF($N853="","",INDEX('_calc'!$D$2:$D$3001,$N853))</f>
        <v/>
      </c>
      <c r="F853" s="26" t="str">
        <f>IF($N853="","",IF($E$8=0,"",E853/$E$8))</f>
        <v/>
      </c>
      <c r="G853" s="25" t="str">
        <f>IF($N853="","",INDEX('_calc'!$E$2:$E$3001,$N853))</f>
        <v/>
      </c>
      <c r="H853" s="25" t="str">
        <f>IF($N853="","",INDEX('_calc'!$F$2:$F$3001,$N853))</f>
        <v/>
      </c>
      <c r="I853" s="27" t="str">
        <f>IF($N853="","",INDEX('_calc'!$H$2:$H$3001,$N853))</f>
        <v/>
      </c>
      <c r="J853" s="27" t="str">
        <f>IF($N853="","",INDEX('_calc'!$I$2:$I$3001,$N853))</f>
        <v/>
      </c>
      <c r="K853" s="28" t="str">
        <f>IF($N853="","",IF(OR(I853="",J853=""),"",J853-I853))</f>
        <v/>
      </c>
      <c r="L853" s="29" t="str">
        <f>IF($N853="","",INDEX('_calc'!$J$2:$J$3001,$N853))</f>
        <v/>
      </c>
      <c r="M853" s="2" t="str">
        <f>IF($N853="","",IF(AND(G853=0,H853=0),"수량 없음",IF(G853=0,"신규 (전년 수량 없음)",IF(H853=0,"당해 수량 없음",""))))</f>
        <v/>
      </c>
      <c r="N853" t="str">
        <f>IF($B853="","",MATCH($B853,'_calc'!$L$2:$L$3001,0))</f>
        <v/>
      </c>
    </row>
    <row r="854">
      <c r="B854" s="24" t="str">
        <f>IF(ROW()-ROW($B$8)&gt;nComp,"",ROW()-ROW($B$8))</f>
        <v/>
      </c>
      <c r="C854" t="str">
        <f>IF($N854="","",INDEX('_calc'!$A$2:$A$3001,$N854))</f>
        <v/>
      </c>
      <c r="D854" s="25" t="str">
        <f>IF($N854="","",INDEX('_calc'!$C$2:$C$3001,$N854))</f>
        <v/>
      </c>
      <c r="E854" s="25" t="str">
        <f>IF($N854="","",INDEX('_calc'!$D$2:$D$3001,$N854))</f>
        <v/>
      </c>
      <c r="F854" s="26" t="str">
        <f>IF($N854="","",IF($E$8=0,"",E854/$E$8))</f>
        <v/>
      </c>
      <c r="G854" s="25" t="str">
        <f>IF($N854="","",INDEX('_calc'!$E$2:$E$3001,$N854))</f>
        <v/>
      </c>
      <c r="H854" s="25" t="str">
        <f>IF($N854="","",INDEX('_calc'!$F$2:$F$3001,$N854))</f>
        <v/>
      </c>
      <c r="I854" s="27" t="str">
        <f>IF($N854="","",INDEX('_calc'!$H$2:$H$3001,$N854))</f>
        <v/>
      </c>
      <c r="J854" s="27" t="str">
        <f>IF($N854="","",INDEX('_calc'!$I$2:$I$3001,$N854))</f>
        <v/>
      </c>
      <c r="K854" s="28" t="str">
        <f>IF($N854="","",IF(OR(I854="",J854=""),"",J854-I854))</f>
        <v/>
      </c>
      <c r="L854" s="29" t="str">
        <f>IF($N854="","",INDEX('_calc'!$J$2:$J$3001,$N854))</f>
        <v/>
      </c>
      <c r="M854" s="2" t="str">
        <f>IF($N854="","",IF(AND(G854=0,H854=0),"수량 없음",IF(G854=0,"신규 (전년 수량 없음)",IF(H854=0,"당해 수량 없음",""))))</f>
        <v/>
      </c>
      <c r="N854" t="str">
        <f>IF($B854="","",MATCH($B854,'_calc'!$L$2:$L$3001,0))</f>
        <v/>
      </c>
    </row>
    <row r="855">
      <c r="B855" s="24" t="str">
        <f>IF(ROW()-ROW($B$8)&gt;nComp,"",ROW()-ROW($B$8))</f>
        <v/>
      </c>
      <c r="C855" t="str">
        <f>IF($N855="","",INDEX('_calc'!$A$2:$A$3001,$N855))</f>
        <v/>
      </c>
      <c r="D855" s="25" t="str">
        <f>IF($N855="","",INDEX('_calc'!$C$2:$C$3001,$N855))</f>
        <v/>
      </c>
      <c r="E855" s="25" t="str">
        <f>IF($N855="","",INDEX('_calc'!$D$2:$D$3001,$N855))</f>
        <v/>
      </c>
      <c r="F855" s="26" t="str">
        <f>IF($N855="","",IF($E$8=0,"",E855/$E$8))</f>
        <v/>
      </c>
      <c r="G855" s="25" t="str">
        <f>IF($N855="","",INDEX('_calc'!$E$2:$E$3001,$N855))</f>
        <v/>
      </c>
      <c r="H855" s="25" t="str">
        <f>IF($N855="","",INDEX('_calc'!$F$2:$F$3001,$N855))</f>
        <v/>
      </c>
      <c r="I855" s="27" t="str">
        <f>IF($N855="","",INDEX('_calc'!$H$2:$H$3001,$N855))</f>
        <v/>
      </c>
      <c r="J855" s="27" t="str">
        <f>IF($N855="","",INDEX('_calc'!$I$2:$I$3001,$N855))</f>
        <v/>
      </c>
      <c r="K855" s="28" t="str">
        <f>IF($N855="","",IF(OR(I855="",J855=""),"",J855-I855))</f>
        <v/>
      </c>
      <c r="L855" s="29" t="str">
        <f>IF($N855="","",INDEX('_calc'!$J$2:$J$3001,$N855))</f>
        <v/>
      </c>
      <c r="M855" s="2" t="str">
        <f>IF($N855="","",IF(AND(G855=0,H855=0),"수량 없음",IF(G855=0,"신규 (전년 수량 없음)",IF(H855=0,"당해 수량 없음",""))))</f>
        <v/>
      </c>
      <c r="N855" t="str">
        <f>IF($B855="","",MATCH($B855,'_calc'!$L$2:$L$3001,0))</f>
        <v/>
      </c>
    </row>
    <row r="856">
      <c r="B856" s="24" t="str">
        <f>IF(ROW()-ROW($B$8)&gt;nComp,"",ROW()-ROW($B$8))</f>
        <v/>
      </c>
      <c r="C856" t="str">
        <f>IF($N856="","",INDEX('_calc'!$A$2:$A$3001,$N856))</f>
        <v/>
      </c>
      <c r="D856" s="25" t="str">
        <f>IF($N856="","",INDEX('_calc'!$C$2:$C$3001,$N856))</f>
        <v/>
      </c>
      <c r="E856" s="25" t="str">
        <f>IF($N856="","",INDEX('_calc'!$D$2:$D$3001,$N856))</f>
        <v/>
      </c>
      <c r="F856" s="26" t="str">
        <f>IF($N856="","",IF($E$8=0,"",E856/$E$8))</f>
        <v/>
      </c>
      <c r="G856" s="25" t="str">
        <f>IF($N856="","",INDEX('_calc'!$E$2:$E$3001,$N856))</f>
        <v/>
      </c>
      <c r="H856" s="25" t="str">
        <f>IF($N856="","",INDEX('_calc'!$F$2:$F$3001,$N856))</f>
        <v/>
      </c>
      <c r="I856" s="27" t="str">
        <f>IF($N856="","",INDEX('_calc'!$H$2:$H$3001,$N856))</f>
        <v/>
      </c>
      <c r="J856" s="27" t="str">
        <f>IF($N856="","",INDEX('_calc'!$I$2:$I$3001,$N856))</f>
        <v/>
      </c>
      <c r="K856" s="28" t="str">
        <f>IF($N856="","",IF(OR(I856="",J856=""),"",J856-I856))</f>
        <v/>
      </c>
      <c r="L856" s="29" t="str">
        <f>IF($N856="","",INDEX('_calc'!$J$2:$J$3001,$N856))</f>
        <v/>
      </c>
      <c r="M856" s="2" t="str">
        <f>IF($N856="","",IF(AND(G856=0,H856=0),"수량 없음",IF(G856=0,"신규 (전년 수량 없음)",IF(H856=0,"당해 수량 없음",""))))</f>
        <v/>
      </c>
      <c r="N856" t="str">
        <f>IF($B856="","",MATCH($B856,'_calc'!$L$2:$L$3001,0))</f>
        <v/>
      </c>
    </row>
    <row r="857">
      <c r="B857" s="24" t="str">
        <f>IF(ROW()-ROW($B$8)&gt;nComp,"",ROW()-ROW($B$8))</f>
        <v/>
      </c>
      <c r="C857" t="str">
        <f>IF($N857="","",INDEX('_calc'!$A$2:$A$3001,$N857))</f>
        <v/>
      </c>
      <c r="D857" s="25" t="str">
        <f>IF($N857="","",INDEX('_calc'!$C$2:$C$3001,$N857))</f>
        <v/>
      </c>
      <c r="E857" s="25" t="str">
        <f>IF($N857="","",INDEX('_calc'!$D$2:$D$3001,$N857))</f>
        <v/>
      </c>
      <c r="F857" s="26" t="str">
        <f>IF($N857="","",IF($E$8=0,"",E857/$E$8))</f>
        <v/>
      </c>
      <c r="G857" s="25" t="str">
        <f>IF($N857="","",INDEX('_calc'!$E$2:$E$3001,$N857))</f>
        <v/>
      </c>
      <c r="H857" s="25" t="str">
        <f>IF($N857="","",INDEX('_calc'!$F$2:$F$3001,$N857))</f>
        <v/>
      </c>
      <c r="I857" s="27" t="str">
        <f>IF($N857="","",INDEX('_calc'!$H$2:$H$3001,$N857))</f>
        <v/>
      </c>
      <c r="J857" s="27" t="str">
        <f>IF($N857="","",INDEX('_calc'!$I$2:$I$3001,$N857))</f>
        <v/>
      </c>
      <c r="K857" s="28" t="str">
        <f>IF($N857="","",IF(OR(I857="",J857=""),"",J857-I857))</f>
        <v/>
      </c>
      <c r="L857" s="29" t="str">
        <f>IF($N857="","",INDEX('_calc'!$J$2:$J$3001,$N857))</f>
        <v/>
      </c>
      <c r="M857" s="2" t="str">
        <f>IF($N857="","",IF(AND(G857=0,H857=0),"수량 없음",IF(G857=0,"신규 (전년 수량 없음)",IF(H857=0,"당해 수량 없음",""))))</f>
        <v/>
      </c>
      <c r="N857" t="str">
        <f>IF($B857="","",MATCH($B857,'_calc'!$L$2:$L$3001,0))</f>
        <v/>
      </c>
    </row>
    <row r="858">
      <c r="B858" s="24" t="str">
        <f>IF(ROW()-ROW($B$8)&gt;nComp,"",ROW()-ROW($B$8))</f>
        <v/>
      </c>
      <c r="C858" t="str">
        <f>IF($N858="","",INDEX('_calc'!$A$2:$A$3001,$N858))</f>
        <v/>
      </c>
      <c r="D858" s="25" t="str">
        <f>IF($N858="","",INDEX('_calc'!$C$2:$C$3001,$N858))</f>
        <v/>
      </c>
      <c r="E858" s="25" t="str">
        <f>IF($N858="","",INDEX('_calc'!$D$2:$D$3001,$N858))</f>
        <v/>
      </c>
      <c r="F858" s="26" t="str">
        <f>IF($N858="","",IF($E$8=0,"",E858/$E$8))</f>
        <v/>
      </c>
      <c r="G858" s="25" t="str">
        <f>IF($N858="","",INDEX('_calc'!$E$2:$E$3001,$N858))</f>
        <v/>
      </c>
      <c r="H858" s="25" t="str">
        <f>IF($N858="","",INDEX('_calc'!$F$2:$F$3001,$N858))</f>
        <v/>
      </c>
      <c r="I858" s="27" t="str">
        <f>IF($N858="","",INDEX('_calc'!$H$2:$H$3001,$N858))</f>
        <v/>
      </c>
      <c r="J858" s="27" t="str">
        <f>IF($N858="","",INDEX('_calc'!$I$2:$I$3001,$N858))</f>
        <v/>
      </c>
      <c r="K858" s="28" t="str">
        <f>IF($N858="","",IF(OR(I858="",J858=""),"",J858-I858))</f>
        <v/>
      </c>
      <c r="L858" s="29" t="str">
        <f>IF($N858="","",INDEX('_calc'!$J$2:$J$3001,$N858))</f>
        <v/>
      </c>
      <c r="M858" s="2" t="str">
        <f>IF($N858="","",IF(AND(G858=0,H858=0),"수량 없음",IF(G858=0,"신규 (전년 수량 없음)",IF(H858=0,"당해 수량 없음",""))))</f>
        <v/>
      </c>
      <c r="N858" t="str">
        <f>IF($B858="","",MATCH($B858,'_calc'!$L$2:$L$3001,0))</f>
        <v/>
      </c>
    </row>
    <row r="859">
      <c r="B859" s="24" t="str">
        <f>IF(ROW()-ROW($B$8)&gt;nComp,"",ROW()-ROW($B$8))</f>
        <v/>
      </c>
      <c r="C859" t="str">
        <f>IF($N859="","",INDEX('_calc'!$A$2:$A$3001,$N859))</f>
        <v/>
      </c>
      <c r="D859" s="25" t="str">
        <f>IF($N859="","",INDEX('_calc'!$C$2:$C$3001,$N859))</f>
        <v/>
      </c>
      <c r="E859" s="25" t="str">
        <f>IF($N859="","",INDEX('_calc'!$D$2:$D$3001,$N859))</f>
        <v/>
      </c>
      <c r="F859" s="26" t="str">
        <f>IF($N859="","",IF($E$8=0,"",E859/$E$8))</f>
        <v/>
      </c>
      <c r="G859" s="25" t="str">
        <f>IF($N859="","",INDEX('_calc'!$E$2:$E$3001,$N859))</f>
        <v/>
      </c>
      <c r="H859" s="25" t="str">
        <f>IF($N859="","",INDEX('_calc'!$F$2:$F$3001,$N859))</f>
        <v/>
      </c>
      <c r="I859" s="27" t="str">
        <f>IF($N859="","",INDEX('_calc'!$H$2:$H$3001,$N859))</f>
        <v/>
      </c>
      <c r="J859" s="27" t="str">
        <f>IF($N859="","",INDEX('_calc'!$I$2:$I$3001,$N859))</f>
        <v/>
      </c>
      <c r="K859" s="28" t="str">
        <f>IF($N859="","",IF(OR(I859="",J859=""),"",J859-I859))</f>
        <v/>
      </c>
      <c r="L859" s="29" t="str">
        <f>IF($N859="","",INDEX('_calc'!$J$2:$J$3001,$N859))</f>
        <v/>
      </c>
      <c r="M859" s="2" t="str">
        <f>IF($N859="","",IF(AND(G859=0,H859=0),"수량 없음",IF(G859=0,"신규 (전년 수량 없음)",IF(H859=0,"당해 수량 없음",""))))</f>
        <v/>
      </c>
      <c r="N859" t="str">
        <f>IF($B859="","",MATCH($B859,'_calc'!$L$2:$L$3001,0))</f>
        <v/>
      </c>
    </row>
    <row r="860">
      <c r="B860" s="24" t="str">
        <f>IF(ROW()-ROW($B$8)&gt;nComp,"",ROW()-ROW($B$8))</f>
        <v/>
      </c>
      <c r="C860" t="str">
        <f>IF($N860="","",INDEX('_calc'!$A$2:$A$3001,$N860))</f>
        <v/>
      </c>
      <c r="D860" s="25" t="str">
        <f>IF($N860="","",INDEX('_calc'!$C$2:$C$3001,$N860))</f>
        <v/>
      </c>
      <c r="E860" s="25" t="str">
        <f>IF($N860="","",INDEX('_calc'!$D$2:$D$3001,$N860))</f>
        <v/>
      </c>
      <c r="F860" s="26" t="str">
        <f>IF($N860="","",IF($E$8=0,"",E860/$E$8))</f>
        <v/>
      </c>
      <c r="G860" s="25" t="str">
        <f>IF($N860="","",INDEX('_calc'!$E$2:$E$3001,$N860))</f>
        <v/>
      </c>
      <c r="H860" s="25" t="str">
        <f>IF($N860="","",INDEX('_calc'!$F$2:$F$3001,$N860))</f>
        <v/>
      </c>
      <c r="I860" s="27" t="str">
        <f>IF($N860="","",INDEX('_calc'!$H$2:$H$3001,$N860))</f>
        <v/>
      </c>
      <c r="J860" s="27" t="str">
        <f>IF($N860="","",INDEX('_calc'!$I$2:$I$3001,$N860))</f>
        <v/>
      </c>
      <c r="K860" s="28" t="str">
        <f>IF($N860="","",IF(OR(I860="",J860=""),"",J860-I860))</f>
        <v/>
      </c>
      <c r="L860" s="29" t="str">
        <f>IF($N860="","",INDEX('_calc'!$J$2:$J$3001,$N860))</f>
        <v/>
      </c>
      <c r="M860" s="2" t="str">
        <f>IF($N860="","",IF(AND(G860=0,H860=0),"수량 없음",IF(G860=0,"신규 (전년 수량 없음)",IF(H860=0,"당해 수량 없음",""))))</f>
        <v/>
      </c>
      <c r="N860" t="str">
        <f>IF($B860="","",MATCH($B860,'_calc'!$L$2:$L$3001,0))</f>
        <v/>
      </c>
    </row>
    <row r="861">
      <c r="B861" s="24" t="str">
        <f>IF(ROW()-ROW($B$8)&gt;nComp,"",ROW()-ROW($B$8))</f>
        <v/>
      </c>
      <c r="C861" t="str">
        <f>IF($N861="","",INDEX('_calc'!$A$2:$A$3001,$N861))</f>
        <v/>
      </c>
      <c r="D861" s="25" t="str">
        <f>IF($N861="","",INDEX('_calc'!$C$2:$C$3001,$N861))</f>
        <v/>
      </c>
      <c r="E861" s="25" t="str">
        <f>IF($N861="","",INDEX('_calc'!$D$2:$D$3001,$N861))</f>
        <v/>
      </c>
      <c r="F861" s="26" t="str">
        <f>IF($N861="","",IF($E$8=0,"",E861/$E$8))</f>
        <v/>
      </c>
      <c r="G861" s="25" t="str">
        <f>IF($N861="","",INDEX('_calc'!$E$2:$E$3001,$N861))</f>
        <v/>
      </c>
      <c r="H861" s="25" t="str">
        <f>IF($N861="","",INDEX('_calc'!$F$2:$F$3001,$N861))</f>
        <v/>
      </c>
      <c r="I861" s="27" t="str">
        <f>IF($N861="","",INDEX('_calc'!$H$2:$H$3001,$N861))</f>
        <v/>
      </c>
      <c r="J861" s="27" t="str">
        <f>IF($N861="","",INDEX('_calc'!$I$2:$I$3001,$N861))</f>
        <v/>
      </c>
      <c r="K861" s="28" t="str">
        <f>IF($N861="","",IF(OR(I861="",J861=""),"",J861-I861))</f>
        <v/>
      </c>
      <c r="L861" s="29" t="str">
        <f>IF($N861="","",INDEX('_calc'!$J$2:$J$3001,$N861))</f>
        <v/>
      </c>
      <c r="M861" s="2" t="str">
        <f>IF($N861="","",IF(AND(G861=0,H861=0),"수량 없음",IF(G861=0,"신규 (전년 수량 없음)",IF(H861=0,"당해 수량 없음",""))))</f>
        <v/>
      </c>
      <c r="N861" t="str">
        <f>IF($B861="","",MATCH($B861,'_calc'!$L$2:$L$3001,0))</f>
        <v/>
      </c>
    </row>
    <row r="862">
      <c r="B862" s="24" t="str">
        <f>IF(ROW()-ROW($B$8)&gt;nComp,"",ROW()-ROW($B$8))</f>
        <v/>
      </c>
      <c r="C862" t="str">
        <f>IF($N862="","",INDEX('_calc'!$A$2:$A$3001,$N862))</f>
        <v/>
      </c>
      <c r="D862" s="25" t="str">
        <f>IF($N862="","",INDEX('_calc'!$C$2:$C$3001,$N862))</f>
        <v/>
      </c>
      <c r="E862" s="25" t="str">
        <f>IF($N862="","",INDEX('_calc'!$D$2:$D$3001,$N862))</f>
        <v/>
      </c>
      <c r="F862" s="26" t="str">
        <f>IF($N862="","",IF($E$8=0,"",E862/$E$8))</f>
        <v/>
      </c>
      <c r="G862" s="25" t="str">
        <f>IF($N862="","",INDEX('_calc'!$E$2:$E$3001,$N862))</f>
        <v/>
      </c>
      <c r="H862" s="25" t="str">
        <f>IF($N862="","",INDEX('_calc'!$F$2:$F$3001,$N862))</f>
        <v/>
      </c>
      <c r="I862" s="27" t="str">
        <f>IF($N862="","",INDEX('_calc'!$H$2:$H$3001,$N862))</f>
        <v/>
      </c>
      <c r="J862" s="27" t="str">
        <f>IF($N862="","",INDEX('_calc'!$I$2:$I$3001,$N862))</f>
        <v/>
      </c>
      <c r="K862" s="28" t="str">
        <f>IF($N862="","",IF(OR(I862="",J862=""),"",J862-I862))</f>
        <v/>
      </c>
      <c r="L862" s="29" t="str">
        <f>IF($N862="","",INDEX('_calc'!$J$2:$J$3001,$N862))</f>
        <v/>
      </c>
      <c r="M862" s="2" t="str">
        <f>IF($N862="","",IF(AND(G862=0,H862=0),"수량 없음",IF(G862=0,"신규 (전년 수량 없음)",IF(H862=0,"당해 수량 없음",""))))</f>
        <v/>
      </c>
      <c r="N862" t="str">
        <f>IF($B862="","",MATCH($B862,'_calc'!$L$2:$L$3001,0))</f>
        <v/>
      </c>
    </row>
    <row r="863">
      <c r="B863" s="24" t="str">
        <f>IF(ROW()-ROW($B$8)&gt;nComp,"",ROW()-ROW($B$8))</f>
        <v/>
      </c>
      <c r="C863" t="str">
        <f>IF($N863="","",INDEX('_calc'!$A$2:$A$3001,$N863))</f>
        <v/>
      </c>
      <c r="D863" s="25" t="str">
        <f>IF($N863="","",INDEX('_calc'!$C$2:$C$3001,$N863))</f>
        <v/>
      </c>
      <c r="E863" s="25" t="str">
        <f>IF($N863="","",INDEX('_calc'!$D$2:$D$3001,$N863))</f>
        <v/>
      </c>
      <c r="F863" s="26" t="str">
        <f>IF($N863="","",IF($E$8=0,"",E863/$E$8))</f>
        <v/>
      </c>
      <c r="G863" s="25" t="str">
        <f>IF($N863="","",INDEX('_calc'!$E$2:$E$3001,$N863))</f>
        <v/>
      </c>
      <c r="H863" s="25" t="str">
        <f>IF($N863="","",INDEX('_calc'!$F$2:$F$3001,$N863))</f>
        <v/>
      </c>
      <c r="I863" s="27" t="str">
        <f>IF($N863="","",INDEX('_calc'!$H$2:$H$3001,$N863))</f>
        <v/>
      </c>
      <c r="J863" s="27" t="str">
        <f>IF($N863="","",INDEX('_calc'!$I$2:$I$3001,$N863))</f>
        <v/>
      </c>
      <c r="K863" s="28" t="str">
        <f>IF($N863="","",IF(OR(I863="",J863=""),"",J863-I863))</f>
        <v/>
      </c>
      <c r="L863" s="29" t="str">
        <f>IF($N863="","",INDEX('_calc'!$J$2:$J$3001,$N863))</f>
        <v/>
      </c>
      <c r="M863" s="2" t="str">
        <f>IF($N863="","",IF(AND(G863=0,H863=0),"수량 없음",IF(G863=0,"신규 (전년 수량 없음)",IF(H863=0,"당해 수량 없음",""))))</f>
        <v/>
      </c>
      <c r="N863" t="str">
        <f>IF($B863="","",MATCH($B863,'_calc'!$L$2:$L$3001,0))</f>
        <v/>
      </c>
    </row>
    <row r="864">
      <c r="B864" s="24" t="str">
        <f>IF(ROW()-ROW($B$8)&gt;nComp,"",ROW()-ROW($B$8))</f>
        <v/>
      </c>
      <c r="C864" t="str">
        <f>IF($N864="","",INDEX('_calc'!$A$2:$A$3001,$N864))</f>
        <v/>
      </c>
      <c r="D864" s="25" t="str">
        <f>IF($N864="","",INDEX('_calc'!$C$2:$C$3001,$N864))</f>
        <v/>
      </c>
      <c r="E864" s="25" t="str">
        <f>IF($N864="","",INDEX('_calc'!$D$2:$D$3001,$N864))</f>
        <v/>
      </c>
      <c r="F864" s="26" t="str">
        <f>IF($N864="","",IF($E$8=0,"",E864/$E$8))</f>
        <v/>
      </c>
      <c r="G864" s="25" t="str">
        <f>IF($N864="","",INDEX('_calc'!$E$2:$E$3001,$N864))</f>
        <v/>
      </c>
      <c r="H864" s="25" t="str">
        <f>IF($N864="","",INDEX('_calc'!$F$2:$F$3001,$N864))</f>
        <v/>
      </c>
      <c r="I864" s="27" t="str">
        <f>IF($N864="","",INDEX('_calc'!$H$2:$H$3001,$N864))</f>
        <v/>
      </c>
      <c r="J864" s="27" t="str">
        <f>IF($N864="","",INDEX('_calc'!$I$2:$I$3001,$N864))</f>
        <v/>
      </c>
      <c r="K864" s="28" t="str">
        <f>IF($N864="","",IF(OR(I864="",J864=""),"",J864-I864))</f>
        <v/>
      </c>
      <c r="L864" s="29" t="str">
        <f>IF($N864="","",INDEX('_calc'!$J$2:$J$3001,$N864))</f>
        <v/>
      </c>
      <c r="M864" s="2" t="str">
        <f>IF($N864="","",IF(AND(G864=0,H864=0),"수량 없음",IF(G864=0,"신규 (전년 수량 없음)",IF(H864=0,"당해 수량 없음",""))))</f>
        <v/>
      </c>
      <c r="N864" t="str">
        <f>IF($B864="","",MATCH($B864,'_calc'!$L$2:$L$3001,0))</f>
        <v/>
      </c>
    </row>
    <row r="865">
      <c r="B865" s="24" t="str">
        <f>IF(ROW()-ROW($B$8)&gt;nComp,"",ROW()-ROW($B$8))</f>
        <v/>
      </c>
      <c r="C865" t="str">
        <f>IF($N865="","",INDEX('_calc'!$A$2:$A$3001,$N865))</f>
        <v/>
      </c>
      <c r="D865" s="25" t="str">
        <f>IF($N865="","",INDEX('_calc'!$C$2:$C$3001,$N865))</f>
        <v/>
      </c>
      <c r="E865" s="25" t="str">
        <f>IF($N865="","",INDEX('_calc'!$D$2:$D$3001,$N865))</f>
        <v/>
      </c>
      <c r="F865" s="26" t="str">
        <f>IF($N865="","",IF($E$8=0,"",E865/$E$8))</f>
        <v/>
      </c>
      <c r="G865" s="25" t="str">
        <f>IF($N865="","",INDEX('_calc'!$E$2:$E$3001,$N865))</f>
        <v/>
      </c>
      <c r="H865" s="25" t="str">
        <f>IF($N865="","",INDEX('_calc'!$F$2:$F$3001,$N865))</f>
        <v/>
      </c>
      <c r="I865" s="27" t="str">
        <f>IF($N865="","",INDEX('_calc'!$H$2:$H$3001,$N865))</f>
        <v/>
      </c>
      <c r="J865" s="27" t="str">
        <f>IF($N865="","",INDEX('_calc'!$I$2:$I$3001,$N865))</f>
        <v/>
      </c>
      <c r="K865" s="28" t="str">
        <f>IF($N865="","",IF(OR(I865="",J865=""),"",J865-I865))</f>
        <v/>
      </c>
      <c r="L865" s="29" t="str">
        <f>IF($N865="","",INDEX('_calc'!$J$2:$J$3001,$N865))</f>
        <v/>
      </c>
      <c r="M865" s="2" t="str">
        <f>IF($N865="","",IF(AND(G865=0,H865=0),"수량 없음",IF(G865=0,"신규 (전년 수량 없음)",IF(H865=0,"당해 수량 없음",""))))</f>
        <v/>
      </c>
      <c r="N865" t="str">
        <f>IF($B865="","",MATCH($B865,'_calc'!$L$2:$L$3001,0))</f>
        <v/>
      </c>
    </row>
    <row r="866">
      <c r="B866" s="24" t="str">
        <f>IF(ROW()-ROW($B$8)&gt;nComp,"",ROW()-ROW($B$8))</f>
        <v/>
      </c>
      <c r="C866" t="str">
        <f>IF($N866="","",INDEX('_calc'!$A$2:$A$3001,$N866))</f>
        <v/>
      </c>
      <c r="D866" s="25" t="str">
        <f>IF($N866="","",INDEX('_calc'!$C$2:$C$3001,$N866))</f>
        <v/>
      </c>
      <c r="E866" s="25" t="str">
        <f>IF($N866="","",INDEX('_calc'!$D$2:$D$3001,$N866))</f>
        <v/>
      </c>
      <c r="F866" s="26" t="str">
        <f>IF($N866="","",IF($E$8=0,"",E866/$E$8))</f>
        <v/>
      </c>
      <c r="G866" s="25" t="str">
        <f>IF($N866="","",INDEX('_calc'!$E$2:$E$3001,$N866))</f>
        <v/>
      </c>
      <c r="H866" s="25" t="str">
        <f>IF($N866="","",INDEX('_calc'!$F$2:$F$3001,$N866))</f>
        <v/>
      </c>
      <c r="I866" s="27" t="str">
        <f>IF($N866="","",INDEX('_calc'!$H$2:$H$3001,$N866))</f>
        <v/>
      </c>
      <c r="J866" s="27" t="str">
        <f>IF($N866="","",INDEX('_calc'!$I$2:$I$3001,$N866))</f>
        <v/>
      </c>
      <c r="K866" s="28" t="str">
        <f>IF($N866="","",IF(OR(I866="",J866=""),"",J866-I866))</f>
        <v/>
      </c>
      <c r="L866" s="29" t="str">
        <f>IF($N866="","",INDEX('_calc'!$J$2:$J$3001,$N866))</f>
        <v/>
      </c>
      <c r="M866" s="2" t="str">
        <f>IF($N866="","",IF(AND(G866=0,H866=0),"수량 없음",IF(G866=0,"신규 (전년 수량 없음)",IF(H866=0,"당해 수량 없음",""))))</f>
        <v/>
      </c>
      <c r="N866" t="str">
        <f>IF($B866="","",MATCH($B866,'_calc'!$L$2:$L$3001,0))</f>
        <v/>
      </c>
    </row>
    <row r="867">
      <c r="B867" s="24" t="str">
        <f>IF(ROW()-ROW($B$8)&gt;nComp,"",ROW()-ROW($B$8))</f>
        <v/>
      </c>
      <c r="C867" t="str">
        <f>IF($N867="","",INDEX('_calc'!$A$2:$A$3001,$N867))</f>
        <v/>
      </c>
      <c r="D867" s="25" t="str">
        <f>IF($N867="","",INDEX('_calc'!$C$2:$C$3001,$N867))</f>
        <v/>
      </c>
      <c r="E867" s="25" t="str">
        <f>IF($N867="","",INDEX('_calc'!$D$2:$D$3001,$N867))</f>
        <v/>
      </c>
      <c r="F867" s="26" t="str">
        <f>IF($N867="","",IF($E$8=0,"",E867/$E$8))</f>
        <v/>
      </c>
      <c r="G867" s="25" t="str">
        <f>IF($N867="","",INDEX('_calc'!$E$2:$E$3001,$N867))</f>
        <v/>
      </c>
      <c r="H867" s="25" t="str">
        <f>IF($N867="","",INDEX('_calc'!$F$2:$F$3001,$N867))</f>
        <v/>
      </c>
      <c r="I867" s="27" t="str">
        <f>IF($N867="","",INDEX('_calc'!$H$2:$H$3001,$N867))</f>
        <v/>
      </c>
      <c r="J867" s="27" t="str">
        <f>IF($N867="","",INDEX('_calc'!$I$2:$I$3001,$N867))</f>
        <v/>
      </c>
      <c r="K867" s="28" t="str">
        <f>IF($N867="","",IF(OR(I867="",J867=""),"",J867-I867))</f>
        <v/>
      </c>
      <c r="L867" s="29" t="str">
        <f>IF($N867="","",INDEX('_calc'!$J$2:$J$3001,$N867))</f>
        <v/>
      </c>
      <c r="M867" s="2" t="str">
        <f>IF($N867="","",IF(AND(G867=0,H867=0),"수량 없음",IF(G867=0,"신규 (전년 수량 없음)",IF(H867=0,"당해 수량 없음",""))))</f>
        <v/>
      </c>
      <c r="N867" t="str">
        <f>IF($B867="","",MATCH($B867,'_calc'!$L$2:$L$3001,0))</f>
        <v/>
      </c>
    </row>
    <row r="868">
      <c r="B868" s="24" t="str">
        <f>IF(ROW()-ROW($B$8)&gt;nComp,"",ROW()-ROW($B$8))</f>
        <v/>
      </c>
      <c r="C868" t="str">
        <f>IF($N868="","",INDEX('_calc'!$A$2:$A$3001,$N868))</f>
        <v/>
      </c>
      <c r="D868" s="25" t="str">
        <f>IF($N868="","",INDEX('_calc'!$C$2:$C$3001,$N868))</f>
        <v/>
      </c>
      <c r="E868" s="25" t="str">
        <f>IF($N868="","",INDEX('_calc'!$D$2:$D$3001,$N868))</f>
        <v/>
      </c>
      <c r="F868" s="26" t="str">
        <f>IF($N868="","",IF($E$8=0,"",E868/$E$8))</f>
        <v/>
      </c>
      <c r="G868" s="25" t="str">
        <f>IF($N868="","",INDEX('_calc'!$E$2:$E$3001,$N868))</f>
        <v/>
      </c>
      <c r="H868" s="25" t="str">
        <f>IF($N868="","",INDEX('_calc'!$F$2:$F$3001,$N868))</f>
        <v/>
      </c>
      <c r="I868" s="27" t="str">
        <f>IF($N868="","",INDEX('_calc'!$H$2:$H$3001,$N868))</f>
        <v/>
      </c>
      <c r="J868" s="27" t="str">
        <f>IF($N868="","",INDEX('_calc'!$I$2:$I$3001,$N868))</f>
        <v/>
      </c>
      <c r="K868" s="28" t="str">
        <f>IF($N868="","",IF(OR(I868="",J868=""),"",J868-I868))</f>
        <v/>
      </c>
      <c r="L868" s="29" t="str">
        <f>IF($N868="","",INDEX('_calc'!$J$2:$J$3001,$N868))</f>
        <v/>
      </c>
      <c r="M868" s="2" t="str">
        <f>IF($N868="","",IF(AND(G868=0,H868=0),"수량 없음",IF(G868=0,"신규 (전년 수량 없음)",IF(H868=0,"당해 수량 없음",""))))</f>
        <v/>
      </c>
      <c r="N868" t="str">
        <f>IF($B868="","",MATCH($B868,'_calc'!$L$2:$L$3001,0))</f>
        <v/>
      </c>
    </row>
    <row r="869">
      <c r="B869" s="24" t="str">
        <f>IF(ROW()-ROW($B$8)&gt;nComp,"",ROW()-ROW($B$8))</f>
        <v/>
      </c>
      <c r="C869" t="str">
        <f>IF($N869="","",INDEX('_calc'!$A$2:$A$3001,$N869))</f>
        <v/>
      </c>
      <c r="D869" s="25" t="str">
        <f>IF($N869="","",INDEX('_calc'!$C$2:$C$3001,$N869))</f>
        <v/>
      </c>
      <c r="E869" s="25" t="str">
        <f>IF($N869="","",INDEX('_calc'!$D$2:$D$3001,$N869))</f>
        <v/>
      </c>
      <c r="F869" s="26" t="str">
        <f>IF($N869="","",IF($E$8=0,"",E869/$E$8))</f>
        <v/>
      </c>
      <c r="G869" s="25" t="str">
        <f>IF($N869="","",INDEX('_calc'!$E$2:$E$3001,$N869))</f>
        <v/>
      </c>
      <c r="H869" s="25" t="str">
        <f>IF($N869="","",INDEX('_calc'!$F$2:$F$3001,$N869))</f>
        <v/>
      </c>
      <c r="I869" s="27" t="str">
        <f>IF($N869="","",INDEX('_calc'!$H$2:$H$3001,$N869))</f>
        <v/>
      </c>
      <c r="J869" s="27" t="str">
        <f>IF($N869="","",INDEX('_calc'!$I$2:$I$3001,$N869))</f>
        <v/>
      </c>
      <c r="K869" s="28" t="str">
        <f>IF($N869="","",IF(OR(I869="",J869=""),"",J869-I869))</f>
        <v/>
      </c>
      <c r="L869" s="29" t="str">
        <f>IF($N869="","",INDEX('_calc'!$J$2:$J$3001,$N869))</f>
        <v/>
      </c>
      <c r="M869" s="2" t="str">
        <f>IF($N869="","",IF(AND(G869=0,H869=0),"수량 없음",IF(G869=0,"신규 (전년 수량 없음)",IF(H869=0,"당해 수량 없음",""))))</f>
        <v/>
      </c>
      <c r="N869" t="str">
        <f>IF($B869="","",MATCH($B869,'_calc'!$L$2:$L$3001,0))</f>
        <v/>
      </c>
    </row>
    <row r="870">
      <c r="B870" s="24" t="str">
        <f>IF(ROW()-ROW($B$8)&gt;nComp,"",ROW()-ROW($B$8))</f>
        <v/>
      </c>
      <c r="C870" t="str">
        <f>IF($N870="","",INDEX('_calc'!$A$2:$A$3001,$N870))</f>
        <v/>
      </c>
      <c r="D870" s="25" t="str">
        <f>IF($N870="","",INDEX('_calc'!$C$2:$C$3001,$N870))</f>
        <v/>
      </c>
      <c r="E870" s="25" t="str">
        <f>IF($N870="","",INDEX('_calc'!$D$2:$D$3001,$N870))</f>
        <v/>
      </c>
      <c r="F870" s="26" t="str">
        <f>IF($N870="","",IF($E$8=0,"",E870/$E$8))</f>
        <v/>
      </c>
      <c r="G870" s="25" t="str">
        <f>IF($N870="","",INDEX('_calc'!$E$2:$E$3001,$N870))</f>
        <v/>
      </c>
      <c r="H870" s="25" t="str">
        <f>IF($N870="","",INDEX('_calc'!$F$2:$F$3001,$N870))</f>
        <v/>
      </c>
      <c r="I870" s="27" t="str">
        <f>IF($N870="","",INDEX('_calc'!$H$2:$H$3001,$N870))</f>
        <v/>
      </c>
      <c r="J870" s="27" t="str">
        <f>IF($N870="","",INDEX('_calc'!$I$2:$I$3001,$N870))</f>
        <v/>
      </c>
      <c r="K870" s="28" t="str">
        <f>IF($N870="","",IF(OR(I870="",J870=""),"",J870-I870))</f>
        <v/>
      </c>
      <c r="L870" s="29" t="str">
        <f>IF($N870="","",INDEX('_calc'!$J$2:$J$3001,$N870))</f>
        <v/>
      </c>
      <c r="M870" s="2" t="str">
        <f>IF($N870="","",IF(AND(G870=0,H870=0),"수량 없음",IF(G870=0,"신규 (전년 수량 없음)",IF(H870=0,"당해 수량 없음",""))))</f>
        <v/>
      </c>
      <c r="N870" t="str">
        <f>IF($B870="","",MATCH($B870,'_calc'!$L$2:$L$3001,0))</f>
        <v/>
      </c>
    </row>
    <row r="871">
      <c r="B871" s="24" t="str">
        <f>IF(ROW()-ROW($B$8)&gt;nComp,"",ROW()-ROW($B$8))</f>
        <v/>
      </c>
      <c r="C871" t="str">
        <f>IF($N871="","",INDEX('_calc'!$A$2:$A$3001,$N871))</f>
        <v/>
      </c>
      <c r="D871" s="25" t="str">
        <f>IF($N871="","",INDEX('_calc'!$C$2:$C$3001,$N871))</f>
        <v/>
      </c>
      <c r="E871" s="25" t="str">
        <f>IF($N871="","",INDEX('_calc'!$D$2:$D$3001,$N871))</f>
        <v/>
      </c>
      <c r="F871" s="26" t="str">
        <f>IF($N871="","",IF($E$8=0,"",E871/$E$8))</f>
        <v/>
      </c>
      <c r="G871" s="25" t="str">
        <f>IF($N871="","",INDEX('_calc'!$E$2:$E$3001,$N871))</f>
        <v/>
      </c>
      <c r="H871" s="25" t="str">
        <f>IF($N871="","",INDEX('_calc'!$F$2:$F$3001,$N871))</f>
        <v/>
      </c>
      <c r="I871" s="27" t="str">
        <f>IF($N871="","",INDEX('_calc'!$H$2:$H$3001,$N871))</f>
        <v/>
      </c>
      <c r="J871" s="27" t="str">
        <f>IF($N871="","",INDEX('_calc'!$I$2:$I$3001,$N871))</f>
        <v/>
      </c>
      <c r="K871" s="28" t="str">
        <f>IF($N871="","",IF(OR(I871="",J871=""),"",J871-I871))</f>
        <v/>
      </c>
      <c r="L871" s="29" t="str">
        <f>IF($N871="","",INDEX('_calc'!$J$2:$J$3001,$N871))</f>
        <v/>
      </c>
      <c r="M871" s="2" t="str">
        <f>IF($N871="","",IF(AND(G871=0,H871=0),"수량 없음",IF(G871=0,"신규 (전년 수량 없음)",IF(H871=0,"당해 수량 없음",""))))</f>
        <v/>
      </c>
      <c r="N871" t="str">
        <f>IF($B871="","",MATCH($B871,'_calc'!$L$2:$L$3001,0))</f>
        <v/>
      </c>
    </row>
    <row r="872">
      <c r="B872" s="24" t="str">
        <f>IF(ROW()-ROW($B$8)&gt;nComp,"",ROW()-ROW($B$8))</f>
        <v/>
      </c>
      <c r="C872" t="str">
        <f>IF($N872="","",INDEX('_calc'!$A$2:$A$3001,$N872))</f>
        <v/>
      </c>
      <c r="D872" s="25" t="str">
        <f>IF($N872="","",INDEX('_calc'!$C$2:$C$3001,$N872))</f>
        <v/>
      </c>
      <c r="E872" s="25" t="str">
        <f>IF($N872="","",INDEX('_calc'!$D$2:$D$3001,$N872))</f>
        <v/>
      </c>
      <c r="F872" s="26" t="str">
        <f>IF($N872="","",IF($E$8=0,"",E872/$E$8))</f>
        <v/>
      </c>
      <c r="G872" s="25" t="str">
        <f>IF($N872="","",INDEX('_calc'!$E$2:$E$3001,$N872))</f>
        <v/>
      </c>
      <c r="H872" s="25" t="str">
        <f>IF($N872="","",INDEX('_calc'!$F$2:$F$3001,$N872))</f>
        <v/>
      </c>
      <c r="I872" s="27" t="str">
        <f>IF($N872="","",INDEX('_calc'!$H$2:$H$3001,$N872))</f>
        <v/>
      </c>
      <c r="J872" s="27" t="str">
        <f>IF($N872="","",INDEX('_calc'!$I$2:$I$3001,$N872))</f>
        <v/>
      </c>
      <c r="K872" s="28" t="str">
        <f>IF($N872="","",IF(OR(I872="",J872=""),"",J872-I872))</f>
        <v/>
      </c>
      <c r="L872" s="29" t="str">
        <f>IF($N872="","",INDEX('_calc'!$J$2:$J$3001,$N872))</f>
        <v/>
      </c>
      <c r="M872" s="2" t="str">
        <f>IF($N872="","",IF(AND(G872=0,H872=0),"수량 없음",IF(G872=0,"신규 (전년 수량 없음)",IF(H872=0,"당해 수량 없음",""))))</f>
        <v/>
      </c>
      <c r="N872" t="str">
        <f>IF($B872="","",MATCH($B872,'_calc'!$L$2:$L$3001,0))</f>
        <v/>
      </c>
    </row>
    <row r="873">
      <c r="B873" s="24" t="str">
        <f>IF(ROW()-ROW($B$8)&gt;nComp,"",ROW()-ROW($B$8))</f>
        <v/>
      </c>
      <c r="C873" t="str">
        <f>IF($N873="","",INDEX('_calc'!$A$2:$A$3001,$N873))</f>
        <v/>
      </c>
      <c r="D873" s="25" t="str">
        <f>IF($N873="","",INDEX('_calc'!$C$2:$C$3001,$N873))</f>
        <v/>
      </c>
      <c r="E873" s="25" t="str">
        <f>IF($N873="","",INDEX('_calc'!$D$2:$D$3001,$N873))</f>
        <v/>
      </c>
      <c r="F873" s="26" t="str">
        <f>IF($N873="","",IF($E$8=0,"",E873/$E$8))</f>
        <v/>
      </c>
      <c r="G873" s="25" t="str">
        <f>IF($N873="","",INDEX('_calc'!$E$2:$E$3001,$N873))</f>
        <v/>
      </c>
      <c r="H873" s="25" t="str">
        <f>IF($N873="","",INDEX('_calc'!$F$2:$F$3001,$N873))</f>
        <v/>
      </c>
      <c r="I873" s="27" t="str">
        <f>IF($N873="","",INDEX('_calc'!$H$2:$H$3001,$N873))</f>
        <v/>
      </c>
      <c r="J873" s="27" t="str">
        <f>IF($N873="","",INDEX('_calc'!$I$2:$I$3001,$N873))</f>
        <v/>
      </c>
      <c r="K873" s="28" t="str">
        <f>IF($N873="","",IF(OR(I873="",J873=""),"",J873-I873))</f>
        <v/>
      </c>
      <c r="L873" s="29" t="str">
        <f>IF($N873="","",INDEX('_calc'!$J$2:$J$3001,$N873))</f>
        <v/>
      </c>
      <c r="M873" s="2" t="str">
        <f>IF($N873="","",IF(AND(G873=0,H873=0),"수량 없음",IF(G873=0,"신규 (전년 수량 없음)",IF(H873=0,"당해 수량 없음",""))))</f>
        <v/>
      </c>
      <c r="N873" t="str">
        <f>IF($B873="","",MATCH($B873,'_calc'!$L$2:$L$3001,0))</f>
        <v/>
      </c>
    </row>
    <row r="874">
      <c r="B874" s="24" t="str">
        <f>IF(ROW()-ROW($B$8)&gt;nComp,"",ROW()-ROW($B$8))</f>
        <v/>
      </c>
      <c r="C874" t="str">
        <f>IF($N874="","",INDEX('_calc'!$A$2:$A$3001,$N874))</f>
        <v/>
      </c>
      <c r="D874" s="25" t="str">
        <f>IF($N874="","",INDEX('_calc'!$C$2:$C$3001,$N874))</f>
        <v/>
      </c>
      <c r="E874" s="25" t="str">
        <f>IF($N874="","",INDEX('_calc'!$D$2:$D$3001,$N874))</f>
        <v/>
      </c>
      <c r="F874" s="26" t="str">
        <f>IF($N874="","",IF($E$8=0,"",E874/$E$8))</f>
        <v/>
      </c>
      <c r="G874" s="25" t="str">
        <f>IF($N874="","",INDEX('_calc'!$E$2:$E$3001,$N874))</f>
        <v/>
      </c>
      <c r="H874" s="25" t="str">
        <f>IF($N874="","",INDEX('_calc'!$F$2:$F$3001,$N874))</f>
        <v/>
      </c>
      <c r="I874" s="27" t="str">
        <f>IF($N874="","",INDEX('_calc'!$H$2:$H$3001,$N874))</f>
        <v/>
      </c>
      <c r="J874" s="27" t="str">
        <f>IF($N874="","",INDEX('_calc'!$I$2:$I$3001,$N874))</f>
        <v/>
      </c>
      <c r="K874" s="28" t="str">
        <f>IF($N874="","",IF(OR(I874="",J874=""),"",J874-I874))</f>
        <v/>
      </c>
      <c r="L874" s="29" t="str">
        <f>IF($N874="","",INDEX('_calc'!$J$2:$J$3001,$N874))</f>
        <v/>
      </c>
      <c r="M874" s="2" t="str">
        <f>IF($N874="","",IF(AND(G874=0,H874=0),"수량 없음",IF(G874=0,"신규 (전년 수량 없음)",IF(H874=0,"당해 수량 없음",""))))</f>
        <v/>
      </c>
      <c r="N874" t="str">
        <f>IF($B874="","",MATCH($B874,'_calc'!$L$2:$L$3001,0))</f>
        <v/>
      </c>
    </row>
    <row r="875">
      <c r="B875" s="24" t="str">
        <f>IF(ROW()-ROW($B$8)&gt;nComp,"",ROW()-ROW($B$8))</f>
        <v/>
      </c>
      <c r="C875" t="str">
        <f>IF($N875="","",INDEX('_calc'!$A$2:$A$3001,$N875))</f>
        <v/>
      </c>
      <c r="D875" s="25" t="str">
        <f>IF($N875="","",INDEX('_calc'!$C$2:$C$3001,$N875))</f>
        <v/>
      </c>
      <c r="E875" s="25" t="str">
        <f>IF($N875="","",INDEX('_calc'!$D$2:$D$3001,$N875))</f>
        <v/>
      </c>
      <c r="F875" s="26" t="str">
        <f>IF($N875="","",IF($E$8=0,"",E875/$E$8))</f>
        <v/>
      </c>
      <c r="G875" s="25" t="str">
        <f>IF($N875="","",INDEX('_calc'!$E$2:$E$3001,$N875))</f>
        <v/>
      </c>
      <c r="H875" s="25" t="str">
        <f>IF($N875="","",INDEX('_calc'!$F$2:$F$3001,$N875))</f>
        <v/>
      </c>
      <c r="I875" s="27" t="str">
        <f>IF($N875="","",INDEX('_calc'!$H$2:$H$3001,$N875))</f>
        <v/>
      </c>
      <c r="J875" s="27" t="str">
        <f>IF($N875="","",INDEX('_calc'!$I$2:$I$3001,$N875))</f>
        <v/>
      </c>
      <c r="K875" s="28" t="str">
        <f>IF($N875="","",IF(OR(I875="",J875=""),"",J875-I875))</f>
        <v/>
      </c>
      <c r="L875" s="29" t="str">
        <f>IF($N875="","",INDEX('_calc'!$J$2:$J$3001,$N875))</f>
        <v/>
      </c>
      <c r="M875" s="2" t="str">
        <f>IF($N875="","",IF(AND(G875=0,H875=0),"수량 없음",IF(G875=0,"신규 (전년 수량 없음)",IF(H875=0,"당해 수량 없음",""))))</f>
        <v/>
      </c>
      <c r="N875" t="str">
        <f>IF($B875="","",MATCH($B875,'_calc'!$L$2:$L$3001,0))</f>
        <v/>
      </c>
    </row>
    <row r="876">
      <c r="B876" s="24" t="str">
        <f>IF(ROW()-ROW($B$8)&gt;nComp,"",ROW()-ROW($B$8))</f>
        <v/>
      </c>
      <c r="C876" t="str">
        <f>IF($N876="","",INDEX('_calc'!$A$2:$A$3001,$N876))</f>
        <v/>
      </c>
      <c r="D876" s="25" t="str">
        <f>IF($N876="","",INDEX('_calc'!$C$2:$C$3001,$N876))</f>
        <v/>
      </c>
      <c r="E876" s="25" t="str">
        <f>IF($N876="","",INDEX('_calc'!$D$2:$D$3001,$N876))</f>
        <v/>
      </c>
      <c r="F876" s="26" t="str">
        <f>IF($N876="","",IF($E$8=0,"",E876/$E$8))</f>
        <v/>
      </c>
      <c r="G876" s="25" t="str">
        <f>IF($N876="","",INDEX('_calc'!$E$2:$E$3001,$N876))</f>
        <v/>
      </c>
      <c r="H876" s="25" t="str">
        <f>IF($N876="","",INDEX('_calc'!$F$2:$F$3001,$N876))</f>
        <v/>
      </c>
      <c r="I876" s="27" t="str">
        <f>IF($N876="","",INDEX('_calc'!$H$2:$H$3001,$N876))</f>
        <v/>
      </c>
      <c r="J876" s="27" t="str">
        <f>IF($N876="","",INDEX('_calc'!$I$2:$I$3001,$N876))</f>
        <v/>
      </c>
      <c r="K876" s="28" t="str">
        <f>IF($N876="","",IF(OR(I876="",J876=""),"",J876-I876))</f>
        <v/>
      </c>
      <c r="L876" s="29" t="str">
        <f>IF($N876="","",INDEX('_calc'!$J$2:$J$3001,$N876))</f>
        <v/>
      </c>
      <c r="M876" s="2" t="str">
        <f>IF($N876="","",IF(AND(G876=0,H876=0),"수량 없음",IF(G876=0,"신규 (전년 수량 없음)",IF(H876=0,"당해 수량 없음",""))))</f>
        <v/>
      </c>
      <c r="N876" t="str">
        <f>IF($B876="","",MATCH($B876,'_calc'!$L$2:$L$3001,0))</f>
        <v/>
      </c>
    </row>
    <row r="877">
      <c r="B877" s="24" t="str">
        <f>IF(ROW()-ROW($B$8)&gt;nComp,"",ROW()-ROW($B$8))</f>
        <v/>
      </c>
      <c r="C877" t="str">
        <f>IF($N877="","",INDEX('_calc'!$A$2:$A$3001,$N877))</f>
        <v/>
      </c>
      <c r="D877" s="25" t="str">
        <f>IF($N877="","",INDEX('_calc'!$C$2:$C$3001,$N877))</f>
        <v/>
      </c>
      <c r="E877" s="25" t="str">
        <f>IF($N877="","",INDEX('_calc'!$D$2:$D$3001,$N877))</f>
        <v/>
      </c>
      <c r="F877" s="26" t="str">
        <f>IF($N877="","",IF($E$8=0,"",E877/$E$8))</f>
        <v/>
      </c>
      <c r="G877" s="25" t="str">
        <f>IF($N877="","",INDEX('_calc'!$E$2:$E$3001,$N877))</f>
        <v/>
      </c>
      <c r="H877" s="25" t="str">
        <f>IF($N877="","",INDEX('_calc'!$F$2:$F$3001,$N877))</f>
        <v/>
      </c>
      <c r="I877" s="27" t="str">
        <f>IF($N877="","",INDEX('_calc'!$H$2:$H$3001,$N877))</f>
        <v/>
      </c>
      <c r="J877" s="27" t="str">
        <f>IF($N877="","",INDEX('_calc'!$I$2:$I$3001,$N877))</f>
        <v/>
      </c>
      <c r="K877" s="28" t="str">
        <f>IF($N877="","",IF(OR(I877="",J877=""),"",J877-I877))</f>
        <v/>
      </c>
      <c r="L877" s="29" t="str">
        <f>IF($N877="","",INDEX('_calc'!$J$2:$J$3001,$N877))</f>
        <v/>
      </c>
      <c r="M877" s="2" t="str">
        <f>IF($N877="","",IF(AND(G877=0,H877=0),"수량 없음",IF(G877=0,"신규 (전년 수량 없음)",IF(H877=0,"당해 수량 없음",""))))</f>
        <v/>
      </c>
      <c r="N877" t="str">
        <f>IF($B877="","",MATCH($B877,'_calc'!$L$2:$L$3001,0))</f>
        <v/>
      </c>
    </row>
    <row r="878">
      <c r="B878" s="24" t="str">
        <f>IF(ROW()-ROW($B$8)&gt;nComp,"",ROW()-ROW($B$8))</f>
        <v/>
      </c>
      <c r="C878" t="str">
        <f>IF($N878="","",INDEX('_calc'!$A$2:$A$3001,$N878))</f>
        <v/>
      </c>
      <c r="D878" s="25" t="str">
        <f>IF($N878="","",INDEX('_calc'!$C$2:$C$3001,$N878))</f>
        <v/>
      </c>
      <c r="E878" s="25" t="str">
        <f>IF($N878="","",INDEX('_calc'!$D$2:$D$3001,$N878))</f>
        <v/>
      </c>
      <c r="F878" s="26" t="str">
        <f>IF($N878="","",IF($E$8=0,"",E878/$E$8))</f>
        <v/>
      </c>
      <c r="G878" s="25" t="str">
        <f>IF($N878="","",INDEX('_calc'!$E$2:$E$3001,$N878))</f>
        <v/>
      </c>
      <c r="H878" s="25" t="str">
        <f>IF($N878="","",INDEX('_calc'!$F$2:$F$3001,$N878))</f>
        <v/>
      </c>
      <c r="I878" s="27" t="str">
        <f>IF($N878="","",INDEX('_calc'!$H$2:$H$3001,$N878))</f>
        <v/>
      </c>
      <c r="J878" s="27" t="str">
        <f>IF($N878="","",INDEX('_calc'!$I$2:$I$3001,$N878))</f>
        <v/>
      </c>
      <c r="K878" s="28" t="str">
        <f>IF($N878="","",IF(OR(I878="",J878=""),"",J878-I878))</f>
        <v/>
      </c>
      <c r="L878" s="29" t="str">
        <f>IF($N878="","",INDEX('_calc'!$J$2:$J$3001,$N878))</f>
        <v/>
      </c>
      <c r="M878" s="2" t="str">
        <f>IF($N878="","",IF(AND(G878=0,H878=0),"수량 없음",IF(G878=0,"신규 (전년 수량 없음)",IF(H878=0,"당해 수량 없음",""))))</f>
        <v/>
      </c>
      <c r="N878" t="str">
        <f>IF($B878="","",MATCH($B878,'_calc'!$L$2:$L$3001,0))</f>
        <v/>
      </c>
    </row>
    <row r="879">
      <c r="B879" s="24" t="str">
        <f>IF(ROW()-ROW($B$8)&gt;nComp,"",ROW()-ROW($B$8))</f>
        <v/>
      </c>
      <c r="C879" t="str">
        <f>IF($N879="","",INDEX('_calc'!$A$2:$A$3001,$N879))</f>
        <v/>
      </c>
      <c r="D879" s="25" t="str">
        <f>IF($N879="","",INDEX('_calc'!$C$2:$C$3001,$N879))</f>
        <v/>
      </c>
      <c r="E879" s="25" t="str">
        <f>IF($N879="","",INDEX('_calc'!$D$2:$D$3001,$N879))</f>
        <v/>
      </c>
      <c r="F879" s="26" t="str">
        <f>IF($N879="","",IF($E$8=0,"",E879/$E$8))</f>
        <v/>
      </c>
      <c r="G879" s="25" t="str">
        <f>IF($N879="","",INDEX('_calc'!$E$2:$E$3001,$N879))</f>
        <v/>
      </c>
      <c r="H879" s="25" t="str">
        <f>IF($N879="","",INDEX('_calc'!$F$2:$F$3001,$N879))</f>
        <v/>
      </c>
      <c r="I879" s="27" t="str">
        <f>IF($N879="","",INDEX('_calc'!$H$2:$H$3001,$N879))</f>
        <v/>
      </c>
      <c r="J879" s="27" t="str">
        <f>IF($N879="","",INDEX('_calc'!$I$2:$I$3001,$N879))</f>
        <v/>
      </c>
      <c r="K879" s="28" t="str">
        <f>IF($N879="","",IF(OR(I879="",J879=""),"",J879-I879))</f>
        <v/>
      </c>
      <c r="L879" s="29" t="str">
        <f>IF($N879="","",INDEX('_calc'!$J$2:$J$3001,$N879))</f>
        <v/>
      </c>
      <c r="M879" s="2" t="str">
        <f>IF($N879="","",IF(AND(G879=0,H879=0),"수량 없음",IF(G879=0,"신규 (전년 수량 없음)",IF(H879=0,"당해 수량 없음",""))))</f>
        <v/>
      </c>
      <c r="N879" t="str">
        <f>IF($B879="","",MATCH($B879,'_calc'!$L$2:$L$3001,0))</f>
        <v/>
      </c>
    </row>
    <row r="880">
      <c r="B880" s="24" t="str">
        <f>IF(ROW()-ROW($B$8)&gt;nComp,"",ROW()-ROW($B$8))</f>
        <v/>
      </c>
      <c r="C880" t="str">
        <f>IF($N880="","",INDEX('_calc'!$A$2:$A$3001,$N880))</f>
        <v/>
      </c>
      <c r="D880" s="25" t="str">
        <f>IF($N880="","",INDEX('_calc'!$C$2:$C$3001,$N880))</f>
        <v/>
      </c>
      <c r="E880" s="25" t="str">
        <f>IF($N880="","",INDEX('_calc'!$D$2:$D$3001,$N880))</f>
        <v/>
      </c>
      <c r="F880" s="26" t="str">
        <f>IF($N880="","",IF($E$8=0,"",E880/$E$8))</f>
        <v/>
      </c>
      <c r="G880" s="25" t="str">
        <f>IF($N880="","",INDEX('_calc'!$E$2:$E$3001,$N880))</f>
        <v/>
      </c>
      <c r="H880" s="25" t="str">
        <f>IF($N880="","",INDEX('_calc'!$F$2:$F$3001,$N880))</f>
        <v/>
      </c>
      <c r="I880" s="27" t="str">
        <f>IF($N880="","",INDEX('_calc'!$H$2:$H$3001,$N880))</f>
        <v/>
      </c>
      <c r="J880" s="27" t="str">
        <f>IF($N880="","",INDEX('_calc'!$I$2:$I$3001,$N880))</f>
        <v/>
      </c>
      <c r="K880" s="28" t="str">
        <f>IF($N880="","",IF(OR(I880="",J880=""),"",J880-I880))</f>
        <v/>
      </c>
      <c r="L880" s="29" t="str">
        <f>IF($N880="","",INDEX('_calc'!$J$2:$J$3001,$N880))</f>
        <v/>
      </c>
      <c r="M880" s="2" t="str">
        <f>IF($N880="","",IF(AND(G880=0,H880=0),"수량 없음",IF(G880=0,"신규 (전년 수량 없음)",IF(H880=0,"당해 수량 없음",""))))</f>
        <v/>
      </c>
      <c r="N880" t="str">
        <f>IF($B880="","",MATCH($B880,'_calc'!$L$2:$L$3001,0))</f>
        <v/>
      </c>
    </row>
    <row r="881">
      <c r="B881" s="24" t="str">
        <f>IF(ROW()-ROW($B$8)&gt;nComp,"",ROW()-ROW($B$8))</f>
        <v/>
      </c>
      <c r="C881" t="str">
        <f>IF($N881="","",INDEX('_calc'!$A$2:$A$3001,$N881))</f>
        <v/>
      </c>
      <c r="D881" s="25" t="str">
        <f>IF($N881="","",INDEX('_calc'!$C$2:$C$3001,$N881))</f>
        <v/>
      </c>
      <c r="E881" s="25" t="str">
        <f>IF($N881="","",INDEX('_calc'!$D$2:$D$3001,$N881))</f>
        <v/>
      </c>
      <c r="F881" s="26" t="str">
        <f>IF($N881="","",IF($E$8=0,"",E881/$E$8))</f>
        <v/>
      </c>
      <c r="G881" s="25" t="str">
        <f>IF($N881="","",INDEX('_calc'!$E$2:$E$3001,$N881))</f>
        <v/>
      </c>
      <c r="H881" s="25" t="str">
        <f>IF($N881="","",INDEX('_calc'!$F$2:$F$3001,$N881))</f>
        <v/>
      </c>
      <c r="I881" s="27" t="str">
        <f>IF($N881="","",INDEX('_calc'!$H$2:$H$3001,$N881))</f>
        <v/>
      </c>
      <c r="J881" s="27" t="str">
        <f>IF($N881="","",INDEX('_calc'!$I$2:$I$3001,$N881))</f>
        <v/>
      </c>
      <c r="K881" s="28" t="str">
        <f>IF($N881="","",IF(OR(I881="",J881=""),"",J881-I881))</f>
        <v/>
      </c>
      <c r="L881" s="29" t="str">
        <f>IF($N881="","",INDEX('_calc'!$J$2:$J$3001,$N881))</f>
        <v/>
      </c>
      <c r="M881" s="2" t="str">
        <f>IF($N881="","",IF(AND(G881=0,H881=0),"수량 없음",IF(G881=0,"신규 (전년 수량 없음)",IF(H881=0,"당해 수량 없음",""))))</f>
        <v/>
      </c>
      <c r="N881" t="str">
        <f>IF($B881="","",MATCH($B881,'_calc'!$L$2:$L$3001,0))</f>
        <v/>
      </c>
    </row>
    <row r="882">
      <c r="B882" s="24" t="str">
        <f>IF(ROW()-ROW($B$8)&gt;nComp,"",ROW()-ROW($B$8))</f>
        <v/>
      </c>
      <c r="C882" t="str">
        <f>IF($N882="","",INDEX('_calc'!$A$2:$A$3001,$N882))</f>
        <v/>
      </c>
      <c r="D882" s="25" t="str">
        <f>IF($N882="","",INDEX('_calc'!$C$2:$C$3001,$N882))</f>
        <v/>
      </c>
      <c r="E882" s="25" t="str">
        <f>IF($N882="","",INDEX('_calc'!$D$2:$D$3001,$N882))</f>
        <v/>
      </c>
      <c r="F882" s="26" t="str">
        <f>IF($N882="","",IF($E$8=0,"",E882/$E$8))</f>
        <v/>
      </c>
      <c r="G882" s="25" t="str">
        <f>IF($N882="","",INDEX('_calc'!$E$2:$E$3001,$N882))</f>
        <v/>
      </c>
      <c r="H882" s="25" t="str">
        <f>IF($N882="","",INDEX('_calc'!$F$2:$F$3001,$N882))</f>
        <v/>
      </c>
      <c r="I882" s="27" t="str">
        <f>IF($N882="","",INDEX('_calc'!$H$2:$H$3001,$N882))</f>
        <v/>
      </c>
      <c r="J882" s="27" t="str">
        <f>IF($N882="","",INDEX('_calc'!$I$2:$I$3001,$N882))</f>
        <v/>
      </c>
      <c r="K882" s="28" t="str">
        <f>IF($N882="","",IF(OR(I882="",J882=""),"",J882-I882))</f>
        <v/>
      </c>
      <c r="L882" s="29" t="str">
        <f>IF($N882="","",INDEX('_calc'!$J$2:$J$3001,$N882))</f>
        <v/>
      </c>
      <c r="M882" s="2" t="str">
        <f>IF($N882="","",IF(AND(G882=0,H882=0),"수량 없음",IF(G882=0,"신규 (전년 수량 없음)",IF(H882=0,"당해 수량 없음",""))))</f>
        <v/>
      </c>
      <c r="N882" t="str">
        <f>IF($B882="","",MATCH($B882,'_calc'!$L$2:$L$3001,0))</f>
        <v/>
      </c>
    </row>
    <row r="883">
      <c r="B883" s="24" t="str">
        <f>IF(ROW()-ROW($B$8)&gt;nComp,"",ROW()-ROW($B$8))</f>
        <v/>
      </c>
      <c r="C883" t="str">
        <f>IF($N883="","",INDEX('_calc'!$A$2:$A$3001,$N883))</f>
        <v/>
      </c>
      <c r="D883" s="25" t="str">
        <f>IF($N883="","",INDEX('_calc'!$C$2:$C$3001,$N883))</f>
        <v/>
      </c>
      <c r="E883" s="25" t="str">
        <f>IF($N883="","",INDEX('_calc'!$D$2:$D$3001,$N883))</f>
        <v/>
      </c>
      <c r="F883" s="26" t="str">
        <f>IF($N883="","",IF($E$8=0,"",E883/$E$8))</f>
        <v/>
      </c>
      <c r="G883" s="25" t="str">
        <f>IF($N883="","",INDEX('_calc'!$E$2:$E$3001,$N883))</f>
        <v/>
      </c>
      <c r="H883" s="25" t="str">
        <f>IF($N883="","",INDEX('_calc'!$F$2:$F$3001,$N883))</f>
        <v/>
      </c>
      <c r="I883" s="27" t="str">
        <f>IF($N883="","",INDEX('_calc'!$H$2:$H$3001,$N883))</f>
        <v/>
      </c>
      <c r="J883" s="27" t="str">
        <f>IF($N883="","",INDEX('_calc'!$I$2:$I$3001,$N883))</f>
        <v/>
      </c>
      <c r="K883" s="28" t="str">
        <f>IF($N883="","",IF(OR(I883="",J883=""),"",J883-I883))</f>
        <v/>
      </c>
      <c r="L883" s="29" t="str">
        <f>IF($N883="","",INDEX('_calc'!$J$2:$J$3001,$N883))</f>
        <v/>
      </c>
      <c r="M883" s="2" t="str">
        <f>IF($N883="","",IF(AND(G883=0,H883=0),"수량 없음",IF(G883=0,"신규 (전년 수량 없음)",IF(H883=0,"당해 수량 없음",""))))</f>
        <v/>
      </c>
      <c r="N883" t="str">
        <f>IF($B883="","",MATCH($B883,'_calc'!$L$2:$L$3001,0))</f>
        <v/>
      </c>
    </row>
    <row r="884">
      <c r="B884" s="24" t="str">
        <f>IF(ROW()-ROW($B$8)&gt;nComp,"",ROW()-ROW($B$8))</f>
        <v/>
      </c>
      <c r="C884" t="str">
        <f>IF($N884="","",INDEX('_calc'!$A$2:$A$3001,$N884))</f>
        <v/>
      </c>
      <c r="D884" s="25" t="str">
        <f>IF($N884="","",INDEX('_calc'!$C$2:$C$3001,$N884))</f>
        <v/>
      </c>
      <c r="E884" s="25" t="str">
        <f>IF($N884="","",INDEX('_calc'!$D$2:$D$3001,$N884))</f>
        <v/>
      </c>
      <c r="F884" s="26" t="str">
        <f>IF($N884="","",IF($E$8=0,"",E884/$E$8))</f>
        <v/>
      </c>
      <c r="G884" s="25" t="str">
        <f>IF($N884="","",INDEX('_calc'!$E$2:$E$3001,$N884))</f>
        <v/>
      </c>
      <c r="H884" s="25" t="str">
        <f>IF($N884="","",INDEX('_calc'!$F$2:$F$3001,$N884))</f>
        <v/>
      </c>
      <c r="I884" s="27" t="str">
        <f>IF($N884="","",INDEX('_calc'!$H$2:$H$3001,$N884))</f>
        <v/>
      </c>
      <c r="J884" s="27" t="str">
        <f>IF($N884="","",INDEX('_calc'!$I$2:$I$3001,$N884))</f>
        <v/>
      </c>
      <c r="K884" s="28" t="str">
        <f>IF($N884="","",IF(OR(I884="",J884=""),"",J884-I884))</f>
        <v/>
      </c>
      <c r="L884" s="29" t="str">
        <f>IF($N884="","",INDEX('_calc'!$J$2:$J$3001,$N884))</f>
        <v/>
      </c>
      <c r="M884" s="2" t="str">
        <f>IF($N884="","",IF(AND(G884=0,H884=0),"수량 없음",IF(G884=0,"신규 (전년 수량 없음)",IF(H884=0,"당해 수량 없음",""))))</f>
        <v/>
      </c>
      <c r="N884" t="str">
        <f>IF($B884="","",MATCH($B884,'_calc'!$L$2:$L$3001,0))</f>
        <v/>
      </c>
    </row>
    <row r="885">
      <c r="B885" s="24" t="str">
        <f>IF(ROW()-ROW($B$8)&gt;nComp,"",ROW()-ROW($B$8))</f>
        <v/>
      </c>
      <c r="C885" t="str">
        <f>IF($N885="","",INDEX('_calc'!$A$2:$A$3001,$N885))</f>
        <v/>
      </c>
      <c r="D885" s="25" t="str">
        <f>IF($N885="","",INDEX('_calc'!$C$2:$C$3001,$N885))</f>
        <v/>
      </c>
      <c r="E885" s="25" t="str">
        <f>IF($N885="","",INDEX('_calc'!$D$2:$D$3001,$N885))</f>
        <v/>
      </c>
      <c r="F885" s="26" t="str">
        <f>IF($N885="","",IF($E$8=0,"",E885/$E$8))</f>
        <v/>
      </c>
      <c r="G885" s="25" t="str">
        <f>IF($N885="","",INDEX('_calc'!$E$2:$E$3001,$N885))</f>
        <v/>
      </c>
      <c r="H885" s="25" t="str">
        <f>IF($N885="","",INDEX('_calc'!$F$2:$F$3001,$N885))</f>
        <v/>
      </c>
      <c r="I885" s="27" t="str">
        <f>IF($N885="","",INDEX('_calc'!$H$2:$H$3001,$N885))</f>
        <v/>
      </c>
      <c r="J885" s="27" t="str">
        <f>IF($N885="","",INDEX('_calc'!$I$2:$I$3001,$N885))</f>
        <v/>
      </c>
      <c r="K885" s="28" t="str">
        <f>IF($N885="","",IF(OR(I885="",J885=""),"",J885-I885))</f>
        <v/>
      </c>
      <c r="L885" s="29" t="str">
        <f>IF($N885="","",INDEX('_calc'!$J$2:$J$3001,$N885))</f>
        <v/>
      </c>
      <c r="M885" s="2" t="str">
        <f>IF($N885="","",IF(AND(G885=0,H885=0),"수량 없음",IF(G885=0,"신규 (전년 수량 없음)",IF(H885=0,"당해 수량 없음",""))))</f>
        <v/>
      </c>
      <c r="N885" t="str">
        <f>IF($B885="","",MATCH($B885,'_calc'!$L$2:$L$3001,0))</f>
        <v/>
      </c>
    </row>
    <row r="886">
      <c r="B886" s="24" t="str">
        <f>IF(ROW()-ROW($B$8)&gt;nComp,"",ROW()-ROW($B$8))</f>
        <v/>
      </c>
      <c r="C886" t="str">
        <f>IF($N886="","",INDEX('_calc'!$A$2:$A$3001,$N886))</f>
        <v/>
      </c>
      <c r="D886" s="25" t="str">
        <f>IF($N886="","",INDEX('_calc'!$C$2:$C$3001,$N886))</f>
        <v/>
      </c>
      <c r="E886" s="25" t="str">
        <f>IF($N886="","",INDEX('_calc'!$D$2:$D$3001,$N886))</f>
        <v/>
      </c>
      <c r="F886" s="26" t="str">
        <f>IF($N886="","",IF($E$8=0,"",E886/$E$8))</f>
        <v/>
      </c>
      <c r="G886" s="25" t="str">
        <f>IF($N886="","",INDEX('_calc'!$E$2:$E$3001,$N886))</f>
        <v/>
      </c>
      <c r="H886" s="25" t="str">
        <f>IF($N886="","",INDEX('_calc'!$F$2:$F$3001,$N886))</f>
        <v/>
      </c>
      <c r="I886" s="27" t="str">
        <f>IF($N886="","",INDEX('_calc'!$H$2:$H$3001,$N886))</f>
        <v/>
      </c>
      <c r="J886" s="27" t="str">
        <f>IF($N886="","",INDEX('_calc'!$I$2:$I$3001,$N886))</f>
        <v/>
      </c>
      <c r="K886" s="28" t="str">
        <f>IF($N886="","",IF(OR(I886="",J886=""),"",J886-I886))</f>
        <v/>
      </c>
      <c r="L886" s="29" t="str">
        <f>IF($N886="","",INDEX('_calc'!$J$2:$J$3001,$N886))</f>
        <v/>
      </c>
      <c r="M886" s="2" t="str">
        <f>IF($N886="","",IF(AND(G886=0,H886=0),"수량 없음",IF(G886=0,"신규 (전년 수량 없음)",IF(H886=0,"당해 수량 없음",""))))</f>
        <v/>
      </c>
      <c r="N886" t="str">
        <f>IF($B886="","",MATCH($B886,'_calc'!$L$2:$L$3001,0))</f>
        <v/>
      </c>
    </row>
    <row r="887">
      <c r="B887" s="24" t="str">
        <f>IF(ROW()-ROW($B$8)&gt;nComp,"",ROW()-ROW($B$8))</f>
        <v/>
      </c>
      <c r="C887" t="str">
        <f>IF($N887="","",INDEX('_calc'!$A$2:$A$3001,$N887))</f>
        <v/>
      </c>
      <c r="D887" s="25" t="str">
        <f>IF($N887="","",INDEX('_calc'!$C$2:$C$3001,$N887))</f>
        <v/>
      </c>
      <c r="E887" s="25" t="str">
        <f>IF($N887="","",INDEX('_calc'!$D$2:$D$3001,$N887))</f>
        <v/>
      </c>
      <c r="F887" s="26" t="str">
        <f>IF($N887="","",IF($E$8=0,"",E887/$E$8))</f>
        <v/>
      </c>
      <c r="G887" s="25" t="str">
        <f>IF($N887="","",INDEX('_calc'!$E$2:$E$3001,$N887))</f>
        <v/>
      </c>
      <c r="H887" s="25" t="str">
        <f>IF($N887="","",INDEX('_calc'!$F$2:$F$3001,$N887))</f>
        <v/>
      </c>
      <c r="I887" s="27" t="str">
        <f>IF($N887="","",INDEX('_calc'!$H$2:$H$3001,$N887))</f>
        <v/>
      </c>
      <c r="J887" s="27" t="str">
        <f>IF($N887="","",INDEX('_calc'!$I$2:$I$3001,$N887))</f>
        <v/>
      </c>
      <c r="K887" s="28" t="str">
        <f>IF($N887="","",IF(OR(I887="",J887=""),"",J887-I887))</f>
        <v/>
      </c>
      <c r="L887" s="29" t="str">
        <f>IF($N887="","",INDEX('_calc'!$J$2:$J$3001,$N887))</f>
        <v/>
      </c>
      <c r="M887" s="2" t="str">
        <f>IF($N887="","",IF(AND(G887=0,H887=0),"수량 없음",IF(G887=0,"신규 (전년 수량 없음)",IF(H887=0,"당해 수량 없음",""))))</f>
        <v/>
      </c>
      <c r="N887" t="str">
        <f>IF($B887="","",MATCH($B887,'_calc'!$L$2:$L$3001,0))</f>
        <v/>
      </c>
    </row>
    <row r="888">
      <c r="B888" s="24" t="str">
        <f>IF(ROW()-ROW($B$8)&gt;nComp,"",ROW()-ROW($B$8))</f>
        <v/>
      </c>
      <c r="C888" t="str">
        <f>IF($N888="","",INDEX('_calc'!$A$2:$A$3001,$N888))</f>
        <v/>
      </c>
      <c r="D888" s="25" t="str">
        <f>IF($N888="","",INDEX('_calc'!$C$2:$C$3001,$N888))</f>
        <v/>
      </c>
      <c r="E888" s="25" t="str">
        <f>IF($N888="","",INDEX('_calc'!$D$2:$D$3001,$N888))</f>
        <v/>
      </c>
      <c r="F888" s="26" t="str">
        <f>IF($N888="","",IF($E$8=0,"",E888/$E$8))</f>
        <v/>
      </c>
      <c r="G888" s="25" t="str">
        <f>IF($N888="","",INDEX('_calc'!$E$2:$E$3001,$N888))</f>
        <v/>
      </c>
      <c r="H888" s="25" t="str">
        <f>IF($N888="","",INDEX('_calc'!$F$2:$F$3001,$N888))</f>
        <v/>
      </c>
      <c r="I888" s="27" t="str">
        <f>IF($N888="","",INDEX('_calc'!$H$2:$H$3001,$N888))</f>
        <v/>
      </c>
      <c r="J888" s="27" t="str">
        <f>IF($N888="","",INDEX('_calc'!$I$2:$I$3001,$N888))</f>
        <v/>
      </c>
      <c r="K888" s="28" t="str">
        <f>IF($N888="","",IF(OR(I888="",J888=""),"",J888-I888))</f>
        <v/>
      </c>
      <c r="L888" s="29" t="str">
        <f>IF($N888="","",INDEX('_calc'!$J$2:$J$3001,$N888))</f>
        <v/>
      </c>
      <c r="M888" s="2" t="str">
        <f>IF($N888="","",IF(AND(G888=0,H888=0),"수량 없음",IF(G888=0,"신규 (전년 수량 없음)",IF(H888=0,"당해 수량 없음",""))))</f>
        <v/>
      </c>
      <c r="N888" t="str">
        <f>IF($B888="","",MATCH($B888,'_calc'!$L$2:$L$3001,0))</f>
        <v/>
      </c>
    </row>
    <row r="889">
      <c r="B889" s="24" t="str">
        <f>IF(ROW()-ROW($B$8)&gt;nComp,"",ROW()-ROW($B$8))</f>
        <v/>
      </c>
      <c r="C889" t="str">
        <f>IF($N889="","",INDEX('_calc'!$A$2:$A$3001,$N889))</f>
        <v/>
      </c>
      <c r="D889" s="25" t="str">
        <f>IF($N889="","",INDEX('_calc'!$C$2:$C$3001,$N889))</f>
        <v/>
      </c>
      <c r="E889" s="25" t="str">
        <f>IF($N889="","",INDEX('_calc'!$D$2:$D$3001,$N889))</f>
        <v/>
      </c>
      <c r="F889" s="26" t="str">
        <f>IF($N889="","",IF($E$8=0,"",E889/$E$8))</f>
        <v/>
      </c>
      <c r="G889" s="25" t="str">
        <f>IF($N889="","",INDEX('_calc'!$E$2:$E$3001,$N889))</f>
        <v/>
      </c>
      <c r="H889" s="25" t="str">
        <f>IF($N889="","",INDEX('_calc'!$F$2:$F$3001,$N889))</f>
        <v/>
      </c>
      <c r="I889" s="27" t="str">
        <f>IF($N889="","",INDEX('_calc'!$H$2:$H$3001,$N889))</f>
        <v/>
      </c>
      <c r="J889" s="27" t="str">
        <f>IF($N889="","",INDEX('_calc'!$I$2:$I$3001,$N889))</f>
        <v/>
      </c>
      <c r="K889" s="28" t="str">
        <f>IF($N889="","",IF(OR(I889="",J889=""),"",J889-I889))</f>
        <v/>
      </c>
      <c r="L889" s="29" t="str">
        <f>IF($N889="","",INDEX('_calc'!$J$2:$J$3001,$N889))</f>
        <v/>
      </c>
      <c r="M889" s="2" t="str">
        <f>IF($N889="","",IF(AND(G889=0,H889=0),"수량 없음",IF(G889=0,"신규 (전년 수량 없음)",IF(H889=0,"당해 수량 없음",""))))</f>
        <v/>
      </c>
      <c r="N889" t="str">
        <f>IF($B889="","",MATCH($B889,'_calc'!$L$2:$L$3001,0))</f>
        <v/>
      </c>
    </row>
    <row r="890">
      <c r="B890" s="24" t="str">
        <f>IF(ROW()-ROW($B$8)&gt;nComp,"",ROW()-ROW($B$8))</f>
        <v/>
      </c>
      <c r="C890" t="str">
        <f>IF($N890="","",INDEX('_calc'!$A$2:$A$3001,$N890))</f>
        <v/>
      </c>
      <c r="D890" s="25" t="str">
        <f>IF($N890="","",INDEX('_calc'!$C$2:$C$3001,$N890))</f>
        <v/>
      </c>
      <c r="E890" s="25" t="str">
        <f>IF($N890="","",INDEX('_calc'!$D$2:$D$3001,$N890))</f>
        <v/>
      </c>
      <c r="F890" s="26" t="str">
        <f>IF($N890="","",IF($E$8=0,"",E890/$E$8))</f>
        <v/>
      </c>
      <c r="G890" s="25" t="str">
        <f>IF($N890="","",INDEX('_calc'!$E$2:$E$3001,$N890))</f>
        <v/>
      </c>
      <c r="H890" s="25" t="str">
        <f>IF($N890="","",INDEX('_calc'!$F$2:$F$3001,$N890))</f>
        <v/>
      </c>
      <c r="I890" s="27" t="str">
        <f>IF($N890="","",INDEX('_calc'!$H$2:$H$3001,$N890))</f>
        <v/>
      </c>
      <c r="J890" s="27" t="str">
        <f>IF($N890="","",INDEX('_calc'!$I$2:$I$3001,$N890))</f>
        <v/>
      </c>
      <c r="K890" s="28" t="str">
        <f>IF($N890="","",IF(OR(I890="",J890=""),"",J890-I890))</f>
        <v/>
      </c>
      <c r="L890" s="29" t="str">
        <f>IF($N890="","",INDEX('_calc'!$J$2:$J$3001,$N890))</f>
        <v/>
      </c>
      <c r="M890" s="2" t="str">
        <f>IF($N890="","",IF(AND(G890=0,H890=0),"수량 없음",IF(G890=0,"신규 (전년 수량 없음)",IF(H890=0,"당해 수량 없음",""))))</f>
        <v/>
      </c>
      <c r="N890" t="str">
        <f>IF($B890="","",MATCH($B890,'_calc'!$L$2:$L$3001,0))</f>
        <v/>
      </c>
    </row>
    <row r="891">
      <c r="B891" s="24" t="str">
        <f>IF(ROW()-ROW($B$8)&gt;nComp,"",ROW()-ROW($B$8))</f>
        <v/>
      </c>
      <c r="C891" t="str">
        <f>IF($N891="","",INDEX('_calc'!$A$2:$A$3001,$N891))</f>
        <v/>
      </c>
      <c r="D891" s="25" t="str">
        <f>IF($N891="","",INDEX('_calc'!$C$2:$C$3001,$N891))</f>
        <v/>
      </c>
      <c r="E891" s="25" t="str">
        <f>IF($N891="","",INDEX('_calc'!$D$2:$D$3001,$N891))</f>
        <v/>
      </c>
      <c r="F891" s="26" t="str">
        <f>IF($N891="","",IF($E$8=0,"",E891/$E$8))</f>
        <v/>
      </c>
      <c r="G891" s="25" t="str">
        <f>IF($N891="","",INDEX('_calc'!$E$2:$E$3001,$N891))</f>
        <v/>
      </c>
      <c r="H891" s="25" t="str">
        <f>IF($N891="","",INDEX('_calc'!$F$2:$F$3001,$N891))</f>
        <v/>
      </c>
      <c r="I891" s="27" t="str">
        <f>IF($N891="","",INDEX('_calc'!$H$2:$H$3001,$N891))</f>
        <v/>
      </c>
      <c r="J891" s="27" t="str">
        <f>IF($N891="","",INDEX('_calc'!$I$2:$I$3001,$N891))</f>
        <v/>
      </c>
      <c r="K891" s="28" t="str">
        <f>IF($N891="","",IF(OR(I891="",J891=""),"",J891-I891))</f>
        <v/>
      </c>
      <c r="L891" s="29" t="str">
        <f>IF($N891="","",INDEX('_calc'!$J$2:$J$3001,$N891))</f>
        <v/>
      </c>
      <c r="M891" s="2" t="str">
        <f>IF($N891="","",IF(AND(G891=0,H891=0),"수량 없음",IF(G891=0,"신규 (전년 수량 없음)",IF(H891=0,"당해 수량 없음",""))))</f>
        <v/>
      </c>
      <c r="N891" t="str">
        <f>IF($B891="","",MATCH($B891,'_calc'!$L$2:$L$3001,0))</f>
        <v/>
      </c>
    </row>
    <row r="892">
      <c r="B892" s="24" t="str">
        <f>IF(ROW()-ROW($B$8)&gt;nComp,"",ROW()-ROW($B$8))</f>
        <v/>
      </c>
      <c r="C892" t="str">
        <f>IF($N892="","",INDEX('_calc'!$A$2:$A$3001,$N892))</f>
        <v/>
      </c>
      <c r="D892" s="25" t="str">
        <f>IF($N892="","",INDEX('_calc'!$C$2:$C$3001,$N892))</f>
        <v/>
      </c>
      <c r="E892" s="25" t="str">
        <f>IF($N892="","",INDEX('_calc'!$D$2:$D$3001,$N892))</f>
        <v/>
      </c>
      <c r="F892" s="26" t="str">
        <f>IF($N892="","",IF($E$8=0,"",E892/$E$8))</f>
        <v/>
      </c>
      <c r="G892" s="25" t="str">
        <f>IF($N892="","",INDEX('_calc'!$E$2:$E$3001,$N892))</f>
        <v/>
      </c>
      <c r="H892" s="25" t="str">
        <f>IF($N892="","",INDEX('_calc'!$F$2:$F$3001,$N892))</f>
        <v/>
      </c>
      <c r="I892" s="27" t="str">
        <f>IF($N892="","",INDEX('_calc'!$H$2:$H$3001,$N892))</f>
        <v/>
      </c>
      <c r="J892" s="27" t="str">
        <f>IF($N892="","",INDEX('_calc'!$I$2:$I$3001,$N892))</f>
        <v/>
      </c>
      <c r="K892" s="28" t="str">
        <f>IF($N892="","",IF(OR(I892="",J892=""),"",J892-I892))</f>
        <v/>
      </c>
      <c r="L892" s="29" t="str">
        <f>IF($N892="","",INDEX('_calc'!$J$2:$J$3001,$N892))</f>
        <v/>
      </c>
      <c r="M892" s="2" t="str">
        <f>IF($N892="","",IF(AND(G892=0,H892=0),"수량 없음",IF(G892=0,"신규 (전년 수량 없음)",IF(H892=0,"당해 수량 없음",""))))</f>
        <v/>
      </c>
      <c r="N892" t="str">
        <f>IF($B892="","",MATCH($B892,'_calc'!$L$2:$L$3001,0))</f>
        <v/>
      </c>
    </row>
    <row r="893">
      <c r="B893" s="24" t="str">
        <f>IF(ROW()-ROW($B$8)&gt;nComp,"",ROW()-ROW($B$8))</f>
        <v/>
      </c>
      <c r="C893" t="str">
        <f>IF($N893="","",INDEX('_calc'!$A$2:$A$3001,$N893))</f>
        <v/>
      </c>
      <c r="D893" s="25" t="str">
        <f>IF($N893="","",INDEX('_calc'!$C$2:$C$3001,$N893))</f>
        <v/>
      </c>
      <c r="E893" s="25" t="str">
        <f>IF($N893="","",INDEX('_calc'!$D$2:$D$3001,$N893))</f>
        <v/>
      </c>
      <c r="F893" s="26" t="str">
        <f>IF($N893="","",IF($E$8=0,"",E893/$E$8))</f>
        <v/>
      </c>
      <c r="G893" s="25" t="str">
        <f>IF($N893="","",INDEX('_calc'!$E$2:$E$3001,$N893))</f>
        <v/>
      </c>
      <c r="H893" s="25" t="str">
        <f>IF($N893="","",INDEX('_calc'!$F$2:$F$3001,$N893))</f>
        <v/>
      </c>
      <c r="I893" s="27" t="str">
        <f>IF($N893="","",INDEX('_calc'!$H$2:$H$3001,$N893))</f>
        <v/>
      </c>
      <c r="J893" s="27" t="str">
        <f>IF($N893="","",INDEX('_calc'!$I$2:$I$3001,$N893))</f>
        <v/>
      </c>
      <c r="K893" s="28" t="str">
        <f>IF($N893="","",IF(OR(I893="",J893=""),"",J893-I893))</f>
        <v/>
      </c>
      <c r="L893" s="29" t="str">
        <f>IF($N893="","",INDEX('_calc'!$J$2:$J$3001,$N893))</f>
        <v/>
      </c>
      <c r="M893" s="2" t="str">
        <f>IF($N893="","",IF(AND(G893=0,H893=0),"수량 없음",IF(G893=0,"신규 (전년 수량 없음)",IF(H893=0,"당해 수량 없음",""))))</f>
        <v/>
      </c>
      <c r="N893" t="str">
        <f>IF($B893="","",MATCH($B893,'_calc'!$L$2:$L$3001,0))</f>
        <v/>
      </c>
    </row>
    <row r="894">
      <c r="B894" s="24" t="str">
        <f>IF(ROW()-ROW($B$8)&gt;nComp,"",ROW()-ROW($B$8))</f>
        <v/>
      </c>
      <c r="C894" t="str">
        <f>IF($N894="","",INDEX('_calc'!$A$2:$A$3001,$N894))</f>
        <v/>
      </c>
      <c r="D894" s="25" t="str">
        <f>IF($N894="","",INDEX('_calc'!$C$2:$C$3001,$N894))</f>
        <v/>
      </c>
      <c r="E894" s="25" t="str">
        <f>IF($N894="","",INDEX('_calc'!$D$2:$D$3001,$N894))</f>
        <v/>
      </c>
      <c r="F894" s="26" t="str">
        <f>IF($N894="","",IF($E$8=0,"",E894/$E$8))</f>
        <v/>
      </c>
      <c r="G894" s="25" t="str">
        <f>IF($N894="","",INDEX('_calc'!$E$2:$E$3001,$N894))</f>
        <v/>
      </c>
      <c r="H894" s="25" t="str">
        <f>IF($N894="","",INDEX('_calc'!$F$2:$F$3001,$N894))</f>
        <v/>
      </c>
      <c r="I894" s="27" t="str">
        <f>IF($N894="","",INDEX('_calc'!$H$2:$H$3001,$N894))</f>
        <v/>
      </c>
      <c r="J894" s="27" t="str">
        <f>IF($N894="","",INDEX('_calc'!$I$2:$I$3001,$N894))</f>
        <v/>
      </c>
      <c r="K894" s="28" t="str">
        <f>IF($N894="","",IF(OR(I894="",J894=""),"",J894-I894))</f>
        <v/>
      </c>
      <c r="L894" s="29" t="str">
        <f>IF($N894="","",INDEX('_calc'!$J$2:$J$3001,$N894))</f>
        <v/>
      </c>
      <c r="M894" s="2" t="str">
        <f>IF($N894="","",IF(AND(G894=0,H894=0),"수량 없음",IF(G894=0,"신규 (전년 수량 없음)",IF(H894=0,"당해 수량 없음",""))))</f>
        <v/>
      </c>
      <c r="N894" t="str">
        <f>IF($B894="","",MATCH($B894,'_calc'!$L$2:$L$3001,0))</f>
        <v/>
      </c>
    </row>
    <row r="895">
      <c r="B895" s="24" t="str">
        <f>IF(ROW()-ROW($B$8)&gt;nComp,"",ROW()-ROW($B$8))</f>
        <v/>
      </c>
      <c r="C895" t="str">
        <f>IF($N895="","",INDEX('_calc'!$A$2:$A$3001,$N895))</f>
        <v/>
      </c>
      <c r="D895" s="25" t="str">
        <f>IF($N895="","",INDEX('_calc'!$C$2:$C$3001,$N895))</f>
        <v/>
      </c>
      <c r="E895" s="25" t="str">
        <f>IF($N895="","",INDEX('_calc'!$D$2:$D$3001,$N895))</f>
        <v/>
      </c>
      <c r="F895" s="26" t="str">
        <f>IF($N895="","",IF($E$8=0,"",E895/$E$8))</f>
        <v/>
      </c>
      <c r="G895" s="25" t="str">
        <f>IF($N895="","",INDEX('_calc'!$E$2:$E$3001,$N895))</f>
        <v/>
      </c>
      <c r="H895" s="25" t="str">
        <f>IF($N895="","",INDEX('_calc'!$F$2:$F$3001,$N895))</f>
        <v/>
      </c>
      <c r="I895" s="27" t="str">
        <f>IF($N895="","",INDEX('_calc'!$H$2:$H$3001,$N895))</f>
        <v/>
      </c>
      <c r="J895" s="27" t="str">
        <f>IF($N895="","",INDEX('_calc'!$I$2:$I$3001,$N895))</f>
        <v/>
      </c>
      <c r="K895" s="28" t="str">
        <f>IF($N895="","",IF(OR(I895="",J895=""),"",J895-I895))</f>
        <v/>
      </c>
      <c r="L895" s="29" t="str">
        <f>IF($N895="","",INDEX('_calc'!$J$2:$J$3001,$N895))</f>
        <v/>
      </c>
      <c r="M895" s="2" t="str">
        <f>IF($N895="","",IF(AND(G895=0,H895=0),"수량 없음",IF(G895=0,"신규 (전년 수량 없음)",IF(H895=0,"당해 수량 없음",""))))</f>
        <v/>
      </c>
      <c r="N895" t="str">
        <f>IF($B895="","",MATCH($B895,'_calc'!$L$2:$L$3001,0))</f>
        <v/>
      </c>
    </row>
    <row r="896">
      <c r="B896" s="24" t="str">
        <f>IF(ROW()-ROW($B$8)&gt;nComp,"",ROW()-ROW($B$8))</f>
        <v/>
      </c>
      <c r="C896" t="str">
        <f>IF($N896="","",INDEX('_calc'!$A$2:$A$3001,$N896))</f>
        <v/>
      </c>
      <c r="D896" s="25" t="str">
        <f>IF($N896="","",INDEX('_calc'!$C$2:$C$3001,$N896))</f>
        <v/>
      </c>
      <c r="E896" s="25" t="str">
        <f>IF($N896="","",INDEX('_calc'!$D$2:$D$3001,$N896))</f>
        <v/>
      </c>
      <c r="F896" s="26" t="str">
        <f>IF($N896="","",IF($E$8=0,"",E896/$E$8))</f>
        <v/>
      </c>
      <c r="G896" s="25" t="str">
        <f>IF($N896="","",INDEX('_calc'!$E$2:$E$3001,$N896))</f>
        <v/>
      </c>
      <c r="H896" s="25" t="str">
        <f>IF($N896="","",INDEX('_calc'!$F$2:$F$3001,$N896))</f>
        <v/>
      </c>
      <c r="I896" s="27" t="str">
        <f>IF($N896="","",INDEX('_calc'!$H$2:$H$3001,$N896))</f>
        <v/>
      </c>
      <c r="J896" s="27" t="str">
        <f>IF($N896="","",INDEX('_calc'!$I$2:$I$3001,$N896))</f>
        <v/>
      </c>
      <c r="K896" s="28" t="str">
        <f>IF($N896="","",IF(OR(I896="",J896=""),"",J896-I896))</f>
        <v/>
      </c>
      <c r="L896" s="29" t="str">
        <f>IF($N896="","",INDEX('_calc'!$J$2:$J$3001,$N896))</f>
        <v/>
      </c>
      <c r="M896" s="2" t="str">
        <f>IF($N896="","",IF(AND(G896=0,H896=0),"수량 없음",IF(G896=0,"신규 (전년 수량 없음)",IF(H896=0,"당해 수량 없음",""))))</f>
        <v/>
      </c>
      <c r="N896" t="str">
        <f>IF($B896="","",MATCH($B896,'_calc'!$L$2:$L$3001,0))</f>
        <v/>
      </c>
    </row>
    <row r="897">
      <c r="B897" s="24" t="str">
        <f>IF(ROW()-ROW($B$8)&gt;nComp,"",ROW()-ROW($B$8))</f>
        <v/>
      </c>
      <c r="C897" t="str">
        <f>IF($N897="","",INDEX('_calc'!$A$2:$A$3001,$N897))</f>
        <v/>
      </c>
      <c r="D897" s="25" t="str">
        <f>IF($N897="","",INDEX('_calc'!$C$2:$C$3001,$N897))</f>
        <v/>
      </c>
      <c r="E897" s="25" t="str">
        <f>IF($N897="","",INDEX('_calc'!$D$2:$D$3001,$N897))</f>
        <v/>
      </c>
      <c r="F897" s="26" t="str">
        <f>IF($N897="","",IF($E$8=0,"",E897/$E$8))</f>
        <v/>
      </c>
      <c r="G897" s="25" t="str">
        <f>IF($N897="","",INDEX('_calc'!$E$2:$E$3001,$N897))</f>
        <v/>
      </c>
      <c r="H897" s="25" t="str">
        <f>IF($N897="","",INDEX('_calc'!$F$2:$F$3001,$N897))</f>
        <v/>
      </c>
      <c r="I897" s="27" t="str">
        <f>IF($N897="","",INDEX('_calc'!$H$2:$H$3001,$N897))</f>
        <v/>
      </c>
      <c r="J897" s="27" t="str">
        <f>IF($N897="","",INDEX('_calc'!$I$2:$I$3001,$N897))</f>
        <v/>
      </c>
      <c r="K897" s="28" t="str">
        <f>IF($N897="","",IF(OR(I897="",J897=""),"",J897-I897))</f>
        <v/>
      </c>
      <c r="L897" s="29" t="str">
        <f>IF($N897="","",INDEX('_calc'!$J$2:$J$3001,$N897))</f>
        <v/>
      </c>
      <c r="M897" s="2" t="str">
        <f>IF($N897="","",IF(AND(G897=0,H897=0),"수량 없음",IF(G897=0,"신규 (전년 수량 없음)",IF(H897=0,"당해 수량 없음",""))))</f>
        <v/>
      </c>
      <c r="N897" t="str">
        <f>IF($B897="","",MATCH($B897,'_calc'!$L$2:$L$3001,0))</f>
        <v/>
      </c>
    </row>
    <row r="898">
      <c r="B898" s="24" t="str">
        <f>IF(ROW()-ROW($B$8)&gt;nComp,"",ROW()-ROW($B$8))</f>
        <v/>
      </c>
      <c r="C898" t="str">
        <f>IF($N898="","",INDEX('_calc'!$A$2:$A$3001,$N898))</f>
        <v/>
      </c>
      <c r="D898" s="25" t="str">
        <f>IF($N898="","",INDEX('_calc'!$C$2:$C$3001,$N898))</f>
        <v/>
      </c>
      <c r="E898" s="25" t="str">
        <f>IF($N898="","",INDEX('_calc'!$D$2:$D$3001,$N898))</f>
        <v/>
      </c>
      <c r="F898" s="26" t="str">
        <f>IF($N898="","",IF($E$8=0,"",E898/$E$8))</f>
        <v/>
      </c>
      <c r="G898" s="25" t="str">
        <f>IF($N898="","",INDEX('_calc'!$E$2:$E$3001,$N898))</f>
        <v/>
      </c>
      <c r="H898" s="25" t="str">
        <f>IF($N898="","",INDEX('_calc'!$F$2:$F$3001,$N898))</f>
        <v/>
      </c>
      <c r="I898" s="27" t="str">
        <f>IF($N898="","",INDEX('_calc'!$H$2:$H$3001,$N898))</f>
        <v/>
      </c>
      <c r="J898" s="27" t="str">
        <f>IF($N898="","",INDEX('_calc'!$I$2:$I$3001,$N898))</f>
        <v/>
      </c>
      <c r="K898" s="28" t="str">
        <f>IF($N898="","",IF(OR(I898="",J898=""),"",J898-I898))</f>
        <v/>
      </c>
      <c r="L898" s="29" t="str">
        <f>IF($N898="","",INDEX('_calc'!$J$2:$J$3001,$N898))</f>
        <v/>
      </c>
      <c r="M898" s="2" t="str">
        <f>IF($N898="","",IF(AND(G898=0,H898=0),"수량 없음",IF(G898=0,"신규 (전년 수량 없음)",IF(H898=0,"당해 수량 없음",""))))</f>
        <v/>
      </c>
      <c r="N898" t="str">
        <f>IF($B898="","",MATCH($B898,'_calc'!$L$2:$L$3001,0))</f>
        <v/>
      </c>
    </row>
    <row r="899">
      <c r="B899" s="24" t="str">
        <f>IF(ROW()-ROW($B$8)&gt;nComp,"",ROW()-ROW($B$8))</f>
        <v/>
      </c>
      <c r="C899" t="str">
        <f>IF($N899="","",INDEX('_calc'!$A$2:$A$3001,$N899))</f>
        <v/>
      </c>
      <c r="D899" s="25" t="str">
        <f>IF($N899="","",INDEX('_calc'!$C$2:$C$3001,$N899))</f>
        <v/>
      </c>
      <c r="E899" s="25" t="str">
        <f>IF($N899="","",INDEX('_calc'!$D$2:$D$3001,$N899))</f>
        <v/>
      </c>
      <c r="F899" s="26" t="str">
        <f>IF($N899="","",IF($E$8=0,"",E899/$E$8))</f>
        <v/>
      </c>
      <c r="G899" s="25" t="str">
        <f>IF($N899="","",INDEX('_calc'!$E$2:$E$3001,$N899))</f>
        <v/>
      </c>
      <c r="H899" s="25" t="str">
        <f>IF($N899="","",INDEX('_calc'!$F$2:$F$3001,$N899))</f>
        <v/>
      </c>
      <c r="I899" s="27" t="str">
        <f>IF($N899="","",INDEX('_calc'!$H$2:$H$3001,$N899))</f>
        <v/>
      </c>
      <c r="J899" s="27" t="str">
        <f>IF($N899="","",INDEX('_calc'!$I$2:$I$3001,$N899))</f>
        <v/>
      </c>
      <c r="K899" s="28" t="str">
        <f>IF($N899="","",IF(OR(I899="",J899=""),"",J899-I899))</f>
        <v/>
      </c>
      <c r="L899" s="29" t="str">
        <f>IF($N899="","",INDEX('_calc'!$J$2:$J$3001,$N899))</f>
        <v/>
      </c>
      <c r="M899" s="2" t="str">
        <f>IF($N899="","",IF(AND(G899=0,H899=0),"수량 없음",IF(G899=0,"신규 (전년 수량 없음)",IF(H899=0,"당해 수량 없음",""))))</f>
        <v/>
      </c>
      <c r="N899" t="str">
        <f>IF($B899="","",MATCH($B899,'_calc'!$L$2:$L$3001,0))</f>
        <v/>
      </c>
    </row>
    <row r="900">
      <c r="B900" s="24" t="str">
        <f>IF(ROW()-ROW($B$8)&gt;nComp,"",ROW()-ROW($B$8))</f>
        <v/>
      </c>
      <c r="C900" t="str">
        <f>IF($N900="","",INDEX('_calc'!$A$2:$A$3001,$N900))</f>
        <v/>
      </c>
      <c r="D900" s="25" t="str">
        <f>IF($N900="","",INDEX('_calc'!$C$2:$C$3001,$N900))</f>
        <v/>
      </c>
      <c r="E900" s="25" t="str">
        <f>IF($N900="","",INDEX('_calc'!$D$2:$D$3001,$N900))</f>
        <v/>
      </c>
      <c r="F900" s="26" t="str">
        <f>IF($N900="","",IF($E$8=0,"",E900/$E$8))</f>
        <v/>
      </c>
      <c r="G900" s="25" t="str">
        <f>IF($N900="","",INDEX('_calc'!$E$2:$E$3001,$N900))</f>
        <v/>
      </c>
      <c r="H900" s="25" t="str">
        <f>IF($N900="","",INDEX('_calc'!$F$2:$F$3001,$N900))</f>
        <v/>
      </c>
      <c r="I900" s="27" t="str">
        <f>IF($N900="","",INDEX('_calc'!$H$2:$H$3001,$N900))</f>
        <v/>
      </c>
      <c r="J900" s="27" t="str">
        <f>IF($N900="","",INDEX('_calc'!$I$2:$I$3001,$N900))</f>
        <v/>
      </c>
      <c r="K900" s="28" t="str">
        <f>IF($N900="","",IF(OR(I900="",J900=""),"",J900-I900))</f>
        <v/>
      </c>
      <c r="L900" s="29" t="str">
        <f>IF($N900="","",INDEX('_calc'!$J$2:$J$3001,$N900))</f>
        <v/>
      </c>
      <c r="M900" s="2" t="str">
        <f>IF($N900="","",IF(AND(G900=0,H900=0),"수량 없음",IF(G900=0,"신규 (전년 수량 없음)",IF(H900=0,"당해 수량 없음",""))))</f>
        <v/>
      </c>
      <c r="N900" t="str">
        <f>IF($B900="","",MATCH($B900,'_calc'!$L$2:$L$3001,0))</f>
        <v/>
      </c>
    </row>
    <row r="901">
      <c r="B901" s="24" t="str">
        <f>IF(ROW()-ROW($B$8)&gt;nComp,"",ROW()-ROW($B$8))</f>
        <v/>
      </c>
      <c r="C901" t="str">
        <f>IF($N901="","",INDEX('_calc'!$A$2:$A$3001,$N901))</f>
        <v/>
      </c>
      <c r="D901" s="25" t="str">
        <f>IF($N901="","",INDEX('_calc'!$C$2:$C$3001,$N901))</f>
        <v/>
      </c>
      <c r="E901" s="25" t="str">
        <f>IF($N901="","",INDEX('_calc'!$D$2:$D$3001,$N901))</f>
        <v/>
      </c>
      <c r="F901" s="26" t="str">
        <f>IF($N901="","",IF($E$8=0,"",E901/$E$8))</f>
        <v/>
      </c>
      <c r="G901" s="25" t="str">
        <f>IF($N901="","",INDEX('_calc'!$E$2:$E$3001,$N901))</f>
        <v/>
      </c>
      <c r="H901" s="25" t="str">
        <f>IF($N901="","",INDEX('_calc'!$F$2:$F$3001,$N901))</f>
        <v/>
      </c>
      <c r="I901" s="27" t="str">
        <f>IF($N901="","",INDEX('_calc'!$H$2:$H$3001,$N901))</f>
        <v/>
      </c>
      <c r="J901" s="27" t="str">
        <f>IF($N901="","",INDEX('_calc'!$I$2:$I$3001,$N901))</f>
        <v/>
      </c>
      <c r="K901" s="28" t="str">
        <f>IF($N901="","",IF(OR(I901="",J901=""),"",J901-I901))</f>
        <v/>
      </c>
      <c r="L901" s="29" t="str">
        <f>IF($N901="","",INDEX('_calc'!$J$2:$J$3001,$N901))</f>
        <v/>
      </c>
      <c r="M901" s="2" t="str">
        <f>IF($N901="","",IF(AND(G901=0,H901=0),"수량 없음",IF(G901=0,"신규 (전년 수량 없음)",IF(H901=0,"당해 수량 없음",""))))</f>
        <v/>
      </c>
      <c r="N901" t="str">
        <f>IF($B901="","",MATCH($B901,'_calc'!$L$2:$L$3001,0))</f>
        <v/>
      </c>
    </row>
    <row r="902">
      <c r="B902" s="24" t="str">
        <f>IF(ROW()-ROW($B$8)&gt;nComp,"",ROW()-ROW($B$8))</f>
        <v/>
      </c>
      <c r="C902" t="str">
        <f>IF($N902="","",INDEX('_calc'!$A$2:$A$3001,$N902))</f>
        <v/>
      </c>
      <c r="D902" s="25" t="str">
        <f>IF($N902="","",INDEX('_calc'!$C$2:$C$3001,$N902))</f>
        <v/>
      </c>
      <c r="E902" s="25" t="str">
        <f>IF($N902="","",INDEX('_calc'!$D$2:$D$3001,$N902))</f>
        <v/>
      </c>
      <c r="F902" s="26" t="str">
        <f>IF($N902="","",IF($E$8=0,"",E902/$E$8))</f>
        <v/>
      </c>
      <c r="G902" s="25" t="str">
        <f>IF($N902="","",INDEX('_calc'!$E$2:$E$3001,$N902))</f>
        <v/>
      </c>
      <c r="H902" s="25" t="str">
        <f>IF($N902="","",INDEX('_calc'!$F$2:$F$3001,$N902))</f>
        <v/>
      </c>
      <c r="I902" s="27" t="str">
        <f>IF($N902="","",INDEX('_calc'!$H$2:$H$3001,$N902))</f>
        <v/>
      </c>
      <c r="J902" s="27" t="str">
        <f>IF($N902="","",INDEX('_calc'!$I$2:$I$3001,$N902))</f>
        <v/>
      </c>
      <c r="K902" s="28" t="str">
        <f>IF($N902="","",IF(OR(I902="",J902=""),"",J902-I902))</f>
        <v/>
      </c>
      <c r="L902" s="29" t="str">
        <f>IF($N902="","",INDEX('_calc'!$J$2:$J$3001,$N902))</f>
        <v/>
      </c>
      <c r="M902" s="2" t="str">
        <f>IF($N902="","",IF(AND(G902=0,H902=0),"수량 없음",IF(G902=0,"신규 (전년 수량 없음)",IF(H902=0,"당해 수량 없음",""))))</f>
        <v/>
      </c>
      <c r="N902" t="str">
        <f>IF($B902="","",MATCH($B902,'_calc'!$L$2:$L$3001,0))</f>
        <v/>
      </c>
    </row>
    <row r="903">
      <c r="B903" s="24" t="str">
        <f>IF(ROW()-ROW($B$8)&gt;nComp,"",ROW()-ROW($B$8))</f>
        <v/>
      </c>
      <c r="C903" t="str">
        <f>IF($N903="","",INDEX('_calc'!$A$2:$A$3001,$N903))</f>
        <v/>
      </c>
      <c r="D903" s="25" t="str">
        <f>IF($N903="","",INDEX('_calc'!$C$2:$C$3001,$N903))</f>
        <v/>
      </c>
      <c r="E903" s="25" t="str">
        <f>IF($N903="","",INDEX('_calc'!$D$2:$D$3001,$N903))</f>
        <v/>
      </c>
      <c r="F903" s="26" t="str">
        <f>IF($N903="","",IF($E$8=0,"",E903/$E$8))</f>
        <v/>
      </c>
      <c r="G903" s="25" t="str">
        <f>IF($N903="","",INDEX('_calc'!$E$2:$E$3001,$N903))</f>
        <v/>
      </c>
      <c r="H903" s="25" t="str">
        <f>IF($N903="","",INDEX('_calc'!$F$2:$F$3001,$N903))</f>
        <v/>
      </c>
      <c r="I903" s="27" t="str">
        <f>IF($N903="","",INDEX('_calc'!$H$2:$H$3001,$N903))</f>
        <v/>
      </c>
      <c r="J903" s="27" t="str">
        <f>IF($N903="","",INDEX('_calc'!$I$2:$I$3001,$N903))</f>
        <v/>
      </c>
      <c r="K903" s="28" t="str">
        <f>IF($N903="","",IF(OR(I903="",J903=""),"",J903-I903))</f>
        <v/>
      </c>
      <c r="L903" s="29" t="str">
        <f>IF($N903="","",INDEX('_calc'!$J$2:$J$3001,$N903))</f>
        <v/>
      </c>
      <c r="M903" s="2" t="str">
        <f>IF($N903="","",IF(AND(G903=0,H903=0),"수량 없음",IF(G903=0,"신규 (전년 수량 없음)",IF(H903=0,"당해 수량 없음",""))))</f>
        <v/>
      </c>
      <c r="N903" t="str">
        <f>IF($B903="","",MATCH($B903,'_calc'!$L$2:$L$3001,0))</f>
        <v/>
      </c>
    </row>
    <row r="904">
      <c r="B904" s="24" t="str">
        <f>IF(ROW()-ROW($B$8)&gt;nComp,"",ROW()-ROW($B$8))</f>
        <v/>
      </c>
      <c r="C904" t="str">
        <f>IF($N904="","",INDEX('_calc'!$A$2:$A$3001,$N904))</f>
        <v/>
      </c>
      <c r="D904" s="25" t="str">
        <f>IF($N904="","",INDEX('_calc'!$C$2:$C$3001,$N904))</f>
        <v/>
      </c>
      <c r="E904" s="25" t="str">
        <f>IF($N904="","",INDEX('_calc'!$D$2:$D$3001,$N904))</f>
        <v/>
      </c>
      <c r="F904" s="26" t="str">
        <f>IF($N904="","",IF($E$8=0,"",E904/$E$8))</f>
        <v/>
      </c>
      <c r="G904" s="25" t="str">
        <f>IF($N904="","",INDEX('_calc'!$E$2:$E$3001,$N904))</f>
        <v/>
      </c>
      <c r="H904" s="25" t="str">
        <f>IF($N904="","",INDEX('_calc'!$F$2:$F$3001,$N904))</f>
        <v/>
      </c>
      <c r="I904" s="27" t="str">
        <f>IF($N904="","",INDEX('_calc'!$H$2:$H$3001,$N904))</f>
        <v/>
      </c>
      <c r="J904" s="27" t="str">
        <f>IF($N904="","",INDEX('_calc'!$I$2:$I$3001,$N904))</f>
        <v/>
      </c>
      <c r="K904" s="28" t="str">
        <f>IF($N904="","",IF(OR(I904="",J904=""),"",J904-I904))</f>
        <v/>
      </c>
      <c r="L904" s="29" t="str">
        <f>IF($N904="","",INDEX('_calc'!$J$2:$J$3001,$N904))</f>
        <v/>
      </c>
      <c r="M904" s="2" t="str">
        <f>IF($N904="","",IF(AND(G904=0,H904=0),"수량 없음",IF(G904=0,"신규 (전년 수량 없음)",IF(H904=0,"당해 수량 없음",""))))</f>
        <v/>
      </c>
      <c r="N904" t="str">
        <f>IF($B904="","",MATCH($B904,'_calc'!$L$2:$L$3001,0))</f>
        <v/>
      </c>
    </row>
    <row r="905">
      <c r="B905" s="24" t="str">
        <f>IF(ROW()-ROW($B$8)&gt;nComp,"",ROW()-ROW($B$8))</f>
        <v/>
      </c>
      <c r="C905" t="str">
        <f>IF($N905="","",INDEX('_calc'!$A$2:$A$3001,$N905))</f>
        <v/>
      </c>
      <c r="D905" s="25" t="str">
        <f>IF($N905="","",INDEX('_calc'!$C$2:$C$3001,$N905))</f>
        <v/>
      </c>
      <c r="E905" s="25" t="str">
        <f>IF($N905="","",INDEX('_calc'!$D$2:$D$3001,$N905))</f>
        <v/>
      </c>
      <c r="F905" s="26" t="str">
        <f>IF($N905="","",IF($E$8=0,"",E905/$E$8))</f>
        <v/>
      </c>
      <c r="G905" s="25" t="str">
        <f>IF($N905="","",INDEX('_calc'!$E$2:$E$3001,$N905))</f>
        <v/>
      </c>
      <c r="H905" s="25" t="str">
        <f>IF($N905="","",INDEX('_calc'!$F$2:$F$3001,$N905))</f>
        <v/>
      </c>
      <c r="I905" s="27" t="str">
        <f>IF($N905="","",INDEX('_calc'!$H$2:$H$3001,$N905))</f>
        <v/>
      </c>
      <c r="J905" s="27" t="str">
        <f>IF($N905="","",INDEX('_calc'!$I$2:$I$3001,$N905))</f>
        <v/>
      </c>
      <c r="K905" s="28" t="str">
        <f>IF($N905="","",IF(OR(I905="",J905=""),"",J905-I905))</f>
        <v/>
      </c>
      <c r="L905" s="29" t="str">
        <f>IF($N905="","",INDEX('_calc'!$J$2:$J$3001,$N905))</f>
        <v/>
      </c>
      <c r="M905" s="2" t="str">
        <f>IF($N905="","",IF(AND(G905=0,H905=0),"수량 없음",IF(G905=0,"신규 (전년 수량 없음)",IF(H905=0,"당해 수량 없음",""))))</f>
        <v/>
      </c>
      <c r="N905" t="str">
        <f>IF($B905="","",MATCH($B905,'_calc'!$L$2:$L$3001,0))</f>
        <v/>
      </c>
    </row>
    <row r="906">
      <c r="B906" s="24" t="str">
        <f>IF(ROW()-ROW($B$8)&gt;nComp,"",ROW()-ROW($B$8))</f>
        <v/>
      </c>
      <c r="C906" t="str">
        <f>IF($N906="","",INDEX('_calc'!$A$2:$A$3001,$N906))</f>
        <v/>
      </c>
      <c r="D906" s="25" t="str">
        <f>IF($N906="","",INDEX('_calc'!$C$2:$C$3001,$N906))</f>
        <v/>
      </c>
      <c r="E906" s="25" t="str">
        <f>IF($N906="","",INDEX('_calc'!$D$2:$D$3001,$N906))</f>
        <v/>
      </c>
      <c r="F906" s="26" t="str">
        <f>IF($N906="","",IF($E$8=0,"",E906/$E$8))</f>
        <v/>
      </c>
      <c r="G906" s="25" t="str">
        <f>IF($N906="","",INDEX('_calc'!$E$2:$E$3001,$N906))</f>
        <v/>
      </c>
      <c r="H906" s="25" t="str">
        <f>IF($N906="","",INDEX('_calc'!$F$2:$F$3001,$N906))</f>
        <v/>
      </c>
      <c r="I906" s="27" t="str">
        <f>IF($N906="","",INDEX('_calc'!$H$2:$H$3001,$N906))</f>
        <v/>
      </c>
      <c r="J906" s="27" t="str">
        <f>IF($N906="","",INDEX('_calc'!$I$2:$I$3001,$N906))</f>
        <v/>
      </c>
      <c r="K906" s="28" t="str">
        <f>IF($N906="","",IF(OR(I906="",J906=""),"",J906-I906))</f>
        <v/>
      </c>
      <c r="L906" s="29" t="str">
        <f>IF($N906="","",INDEX('_calc'!$J$2:$J$3001,$N906))</f>
        <v/>
      </c>
      <c r="M906" s="2" t="str">
        <f>IF($N906="","",IF(AND(G906=0,H906=0),"수량 없음",IF(G906=0,"신규 (전년 수량 없음)",IF(H906=0,"당해 수량 없음",""))))</f>
        <v/>
      </c>
      <c r="N906" t="str">
        <f>IF($B906="","",MATCH($B906,'_calc'!$L$2:$L$3001,0))</f>
        <v/>
      </c>
    </row>
    <row r="907">
      <c r="B907" s="24" t="str">
        <f>IF(ROW()-ROW($B$8)&gt;nComp,"",ROW()-ROW($B$8))</f>
        <v/>
      </c>
      <c r="C907" t="str">
        <f>IF($N907="","",INDEX('_calc'!$A$2:$A$3001,$N907))</f>
        <v/>
      </c>
      <c r="D907" s="25" t="str">
        <f>IF($N907="","",INDEX('_calc'!$C$2:$C$3001,$N907))</f>
        <v/>
      </c>
      <c r="E907" s="25" t="str">
        <f>IF($N907="","",INDEX('_calc'!$D$2:$D$3001,$N907))</f>
        <v/>
      </c>
      <c r="F907" s="26" t="str">
        <f>IF($N907="","",IF($E$8=0,"",E907/$E$8))</f>
        <v/>
      </c>
      <c r="G907" s="25" t="str">
        <f>IF($N907="","",INDEX('_calc'!$E$2:$E$3001,$N907))</f>
        <v/>
      </c>
      <c r="H907" s="25" t="str">
        <f>IF($N907="","",INDEX('_calc'!$F$2:$F$3001,$N907))</f>
        <v/>
      </c>
      <c r="I907" s="27" t="str">
        <f>IF($N907="","",INDEX('_calc'!$H$2:$H$3001,$N907))</f>
        <v/>
      </c>
      <c r="J907" s="27" t="str">
        <f>IF($N907="","",INDEX('_calc'!$I$2:$I$3001,$N907))</f>
        <v/>
      </c>
      <c r="K907" s="28" t="str">
        <f>IF($N907="","",IF(OR(I907="",J907=""),"",J907-I907))</f>
        <v/>
      </c>
      <c r="L907" s="29" t="str">
        <f>IF($N907="","",INDEX('_calc'!$J$2:$J$3001,$N907))</f>
        <v/>
      </c>
      <c r="M907" s="2" t="str">
        <f>IF($N907="","",IF(AND(G907=0,H907=0),"수량 없음",IF(G907=0,"신규 (전년 수량 없음)",IF(H907=0,"당해 수량 없음",""))))</f>
        <v/>
      </c>
      <c r="N907" t="str">
        <f>IF($B907="","",MATCH($B907,'_calc'!$L$2:$L$3001,0))</f>
        <v/>
      </c>
    </row>
    <row r="908">
      <c r="B908" s="24" t="str">
        <f>IF(ROW()-ROW($B$8)&gt;nComp,"",ROW()-ROW($B$8))</f>
        <v/>
      </c>
      <c r="C908" t="str">
        <f>IF($N908="","",INDEX('_calc'!$A$2:$A$3001,$N908))</f>
        <v/>
      </c>
      <c r="D908" s="25" t="str">
        <f>IF($N908="","",INDEX('_calc'!$C$2:$C$3001,$N908))</f>
        <v/>
      </c>
      <c r="E908" s="25" t="str">
        <f>IF($N908="","",INDEX('_calc'!$D$2:$D$3001,$N908))</f>
        <v/>
      </c>
      <c r="F908" s="26" t="str">
        <f>IF($N908="","",IF($E$8=0,"",E908/$E$8))</f>
        <v/>
      </c>
      <c r="G908" s="25" t="str">
        <f>IF($N908="","",INDEX('_calc'!$E$2:$E$3001,$N908))</f>
        <v/>
      </c>
      <c r="H908" s="25" t="str">
        <f>IF($N908="","",INDEX('_calc'!$F$2:$F$3001,$N908))</f>
        <v/>
      </c>
      <c r="I908" s="27" t="str">
        <f>IF($N908="","",INDEX('_calc'!$H$2:$H$3001,$N908))</f>
        <v/>
      </c>
      <c r="J908" s="27" t="str">
        <f>IF($N908="","",INDEX('_calc'!$I$2:$I$3001,$N908))</f>
        <v/>
      </c>
      <c r="K908" s="28" t="str">
        <f>IF($N908="","",IF(OR(I908="",J908=""),"",J908-I908))</f>
        <v/>
      </c>
      <c r="L908" s="29" t="str">
        <f>IF($N908="","",INDEX('_calc'!$J$2:$J$3001,$N908))</f>
        <v/>
      </c>
      <c r="M908" s="2" t="str">
        <f>IF($N908="","",IF(AND(G908=0,H908=0),"수량 없음",IF(G908=0,"신규 (전년 수량 없음)",IF(H908=0,"당해 수량 없음",""))))</f>
        <v/>
      </c>
      <c r="N908" t="str">
        <f>IF($B908="","",MATCH($B908,'_calc'!$L$2:$L$3001,0))</f>
        <v/>
      </c>
    </row>
    <row r="909">
      <c r="B909" s="24" t="str">
        <f>IF(ROW()-ROW($B$8)&gt;nComp,"",ROW()-ROW($B$8))</f>
        <v/>
      </c>
      <c r="C909" t="str">
        <f>IF($N909="","",INDEX('_calc'!$A$2:$A$3001,$N909))</f>
        <v/>
      </c>
      <c r="D909" s="25" t="str">
        <f>IF($N909="","",INDEX('_calc'!$C$2:$C$3001,$N909))</f>
        <v/>
      </c>
      <c r="E909" s="25" t="str">
        <f>IF($N909="","",INDEX('_calc'!$D$2:$D$3001,$N909))</f>
        <v/>
      </c>
      <c r="F909" s="26" t="str">
        <f>IF($N909="","",IF($E$8=0,"",E909/$E$8))</f>
        <v/>
      </c>
      <c r="G909" s="25" t="str">
        <f>IF($N909="","",INDEX('_calc'!$E$2:$E$3001,$N909))</f>
        <v/>
      </c>
      <c r="H909" s="25" t="str">
        <f>IF($N909="","",INDEX('_calc'!$F$2:$F$3001,$N909))</f>
        <v/>
      </c>
      <c r="I909" s="27" t="str">
        <f>IF($N909="","",INDEX('_calc'!$H$2:$H$3001,$N909))</f>
        <v/>
      </c>
      <c r="J909" s="27" t="str">
        <f>IF($N909="","",INDEX('_calc'!$I$2:$I$3001,$N909))</f>
        <v/>
      </c>
      <c r="K909" s="28" t="str">
        <f>IF($N909="","",IF(OR(I909="",J909=""),"",J909-I909))</f>
        <v/>
      </c>
      <c r="L909" s="29" t="str">
        <f>IF($N909="","",INDEX('_calc'!$J$2:$J$3001,$N909))</f>
        <v/>
      </c>
      <c r="M909" s="2" t="str">
        <f>IF($N909="","",IF(AND(G909=0,H909=0),"수량 없음",IF(G909=0,"신규 (전년 수량 없음)",IF(H909=0,"당해 수량 없음",""))))</f>
        <v/>
      </c>
      <c r="N909" t="str">
        <f>IF($B909="","",MATCH($B909,'_calc'!$L$2:$L$3001,0))</f>
        <v/>
      </c>
    </row>
    <row r="910">
      <c r="B910" s="24" t="str">
        <f>IF(ROW()-ROW($B$8)&gt;nComp,"",ROW()-ROW($B$8))</f>
        <v/>
      </c>
      <c r="C910" t="str">
        <f>IF($N910="","",INDEX('_calc'!$A$2:$A$3001,$N910))</f>
        <v/>
      </c>
      <c r="D910" s="25" t="str">
        <f>IF($N910="","",INDEX('_calc'!$C$2:$C$3001,$N910))</f>
        <v/>
      </c>
      <c r="E910" s="25" t="str">
        <f>IF($N910="","",INDEX('_calc'!$D$2:$D$3001,$N910))</f>
        <v/>
      </c>
      <c r="F910" s="26" t="str">
        <f>IF($N910="","",IF($E$8=0,"",E910/$E$8))</f>
        <v/>
      </c>
      <c r="G910" s="25" t="str">
        <f>IF($N910="","",INDEX('_calc'!$E$2:$E$3001,$N910))</f>
        <v/>
      </c>
      <c r="H910" s="25" t="str">
        <f>IF($N910="","",INDEX('_calc'!$F$2:$F$3001,$N910))</f>
        <v/>
      </c>
      <c r="I910" s="27" t="str">
        <f>IF($N910="","",INDEX('_calc'!$H$2:$H$3001,$N910))</f>
        <v/>
      </c>
      <c r="J910" s="27" t="str">
        <f>IF($N910="","",INDEX('_calc'!$I$2:$I$3001,$N910))</f>
        <v/>
      </c>
      <c r="K910" s="28" t="str">
        <f>IF($N910="","",IF(OR(I910="",J910=""),"",J910-I910))</f>
        <v/>
      </c>
      <c r="L910" s="29" t="str">
        <f>IF($N910="","",INDEX('_calc'!$J$2:$J$3001,$N910))</f>
        <v/>
      </c>
      <c r="M910" s="2" t="str">
        <f>IF($N910="","",IF(AND(G910=0,H910=0),"수량 없음",IF(G910=0,"신규 (전년 수량 없음)",IF(H910=0,"당해 수량 없음",""))))</f>
        <v/>
      </c>
      <c r="N910" t="str">
        <f>IF($B910="","",MATCH($B910,'_calc'!$L$2:$L$3001,0))</f>
        <v/>
      </c>
    </row>
    <row r="911">
      <c r="B911" s="24" t="str">
        <f>IF(ROW()-ROW($B$8)&gt;nComp,"",ROW()-ROW($B$8))</f>
        <v/>
      </c>
      <c r="C911" t="str">
        <f>IF($N911="","",INDEX('_calc'!$A$2:$A$3001,$N911))</f>
        <v/>
      </c>
      <c r="D911" s="25" t="str">
        <f>IF($N911="","",INDEX('_calc'!$C$2:$C$3001,$N911))</f>
        <v/>
      </c>
      <c r="E911" s="25" t="str">
        <f>IF($N911="","",INDEX('_calc'!$D$2:$D$3001,$N911))</f>
        <v/>
      </c>
      <c r="F911" s="26" t="str">
        <f>IF($N911="","",IF($E$8=0,"",E911/$E$8))</f>
        <v/>
      </c>
      <c r="G911" s="25" t="str">
        <f>IF($N911="","",INDEX('_calc'!$E$2:$E$3001,$N911))</f>
        <v/>
      </c>
      <c r="H911" s="25" t="str">
        <f>IF($N911="","",INDEX('_calc'!$F$2:$F$3001,$N911))</f>
        <v/>
      </c>
      <c r="I911" s="27" t="str">
        <f>IF($N911="","",INDEX('_calc'!$H$2:$H$3001,$N911))</f>
        <v/>
      </c>
      <c r="J911" s="27" t="str">
        <f>IF($N911="","",INDEX('_calc'!$I$2:$I$3001,$N911))</f>
        <v/>
      </c>
      <c r="K911" s="28" t="str">
        <f>IF($N911="","",IF(OR(I911="",J911=""),"",J911-I911))</f>
        <v/>
      </c>
      <c r="L911" s="29" t="str">
        <f>IF($N911="","",INDEX('_calc'!$J$2:$J$3001,$N911))</f>
        <v/>
      </c>
      <c r="M911" s="2" t="str">
        <f>IF($N911="","",IF(AND(G911=0,H911=0),"수량 없음",IF(G911=0,"신규 (전년 수량 없음)",IF(H911=0,"당해 수량 없음",""))))</f>
        <v/>
      </c>
      <c r="N911" t="str">
        <f>IF($B911="","",MATCH($B911,'_calc'!$L$2:$L$3001,0))</f>
        <v/>
      </c>
    </row>
    <row r="912">
      <c r="B912" s="24" t="str">
        <f>IF(ROW()-ROW($B$8)&gt;nComp,"",ROW()-ROW($B$8))</f>
        <v/>
      </c>
      <c r="C912" t="str">
        <f>IF($N912="","",INDEX('_calc'!$A$2:$A$3001,$N912))</f>
        <v/>
      </c>
      <c r="D912" s="25" t="str">
        <f>IF($N912="","",INDEX('_calc'!$C$2:$C$3001,$N912))</f>
        <v/>
      </c>
      <c r="E912" s="25" t="str">
        <f>IF($N912="","",INDEX('_calc'!$D$2:$D$3001,$N912))</f>
        <v/>
      </c>
      <c r="F912" s="26" t="str">
        <f>IF($N912="","",IF($E$8=0,"",E912/$E$8))</f>
        <v/>
      </c>
      <c r="G912" s="25" t="str">
        <f>IF($N912="","",INDEX('_calc'!$E$2:$E$3001,$N912))</f>
        <v/>
      </c>
      <c r="H912" s="25" t="str">
        <f>IF($N912="","",INDEX('_calc'!$F$2:$F$3001,$N912))</f>
        <v/>
      </c>
      <c r="I912" s="27" t="str">
        <f>IF($N912="","",INDEX('_calc'!$H$2:$H$3001,$N912))</f>
        <v/>
      </c>
      <c r="J912" s="27" t="str">
        <f>IF($N912="","",INDEX('_calc'!$I$2:$I$3001,$N912))</f>
        <v/>
      </c>
      <c r="K912" s="28" t="str">
        <f>IF($N912="","",IF(OR(I912="",J912=""),"",J912-I912))</f>
        <v/>
      </c>
      <c r="L912" s="29" t="str">
        <f>IF($N912="","",INDEX('_calc'!$J$2:$J$3001,$N912))</f>
        <v/>
      </c>
      <c r="M912" s="2" t="str">
        <f>IF($N912="","",IF(AND(G912=0,H912=0),"수량 없음",IF(G912=0,"신규 (전년 수량 없음)",IF(H912=0,"당해 수량 없음",""))))</f>
        <v/>
      </c>
      <c r="N912" t="str">
        <f>IF($B912="","",MATCH($B912,'_calc'!$L$2:$L$3001,0))</f>
        <v/>
      </c>
    </row>
    <row r="913">
      <c r="B913" s="24" t="str">
        <f>IF(ROW()-ROW($B$8)&gt;nComp,"",ROW()-ROW($B$8))</f>
        <v/>
      </c>
      <c r="C913" t="str">
        <f>IF($N913="","",INDEX('_calc'!$A$2:$A$3001,$N913))</f>
        <v/>
      </c>
      <c r="D913" s="25" t="str">
        <f>IF($N913="","",INDEX('_calc'!$C$2:$C$3001,$N913))</f>
        <v/>
      </c>
      <c r="E913" s="25" t="str">
        <f>IF($N913="","",INDEX('_calc'!$D$2:$D$3001,$N913))</f>
        <v/>
      </c>
      <c r="F913" s="26" t="str">
        <f>IF($N913="","",IF($E$8=0,"",E913/$E$8))</f>
        <v/>
      </c>
      <c r="G913" s="25" t="str">
        <f>IF($N913="","",INDEX('_calc'!$E$2:$E$3001,$N913))</f>
        <v/>
      </c>
      <c r="H913" s="25" t="str">
        <f>IF($N913="","",INDEX('_calc'!$F$2:$F$3001,$N913))</f>
        <v/>
      </c>
      <c r="I913" s="27" t="str">
        <f>IF($N913="","",INDEX('_calc'!$H$2:$H$3001,$N913))</f>
        <v/>
      </c>
      <c r="J913" s="27" t="str">
        <f>IF($N913="","",INDEX('_calc'!$I$2:$I$3001,$N913))</f>
        <v/>
      </c>
      <c r="K913" s="28" t="str">
        <f>IF($N913="","",IF(OR(I913="",J913=""),"",J913-I913))</f>
        <v/>
      </c>
      <c r="L913" s="29" t="str">
        <f>IF($N913="","",INDEX('_calc'!$J$2:$J$3001,$N913))</f>
        <v/>
      </c>
      <c r="M913" s="2" t="str">
        <f>IF($N913="","",IF(AND(G913=0,H913=0),"수량 없음",IF(G913=0,"신규 (전년 수량 없음)",IF(H913=0,"당해 수량 없음",""))))</f>
        <v/>
      </c>
      <c r="N913" t="str">
        <f>IF($B913="","",MATCH($B913,'_calc'!$L$2:$L$3001,0))</f>
        <v/>
      </c>
    </row>
    <row r="914">
      <c r="B914" s="24" t="str">
        <f>IF(ROW()-ROW($B$8)&gt;nComp,"",ROW()-ROW($B$8))</f>
        <v/>
      </c>
      <c r="C914" t="str">
        <f>IF($N914="","",INDEX('_calc'!$A$2:$A$3001,$N914))</f>
        <v/>
      </c>
      <c r="D914" s="25" t="str">
        <f>IF($N914="","",INDEX('_calc'!$C$2:$C$3001,$N914))</f>
        <v/>
      </c>
      <c r="E914" s="25" t="str">
        <f>IF($N914="","",INDEX('_calc'!$D$2:$D$3001,$N914))</f>
        <v/>
      </c>
      <c r="F914" s="26" t="str">
        <f>IF($N914="","",IF($E$8=0,"",E914/$E$8))</f>
        <v/>
      </c>
      <c r="G914" s="25" t="str">
        <f>IF($N914="","",INDEX('_calc'!$E$2:$E$3001,$N914))</f>
        <v/>
      </c>
      <c r="H914" s="25" t="str">
        <f>IF($N914="","",INDEX('_calc'!$F$2:$F$3001,$N914))</f>
        <v/>
      </c>
      <c r="I914" s="27" t="str">
        <f>IF($N914="","",INDEX('_calc'!$H$2:$H$3001,$N914))</f>
        <v/>
      </c>
      <c r="J914" s="27" t="str">
        <f>IF($N914="","",INDEX('_calc'!$I$2:$I$3001,$N914))</f>
        <v/>
      </c>
      <c r="K914" s="28" t="str">
        <f>IF($N914="","",IF(OR(I914="",J914=""),"",J914-I914))</f>
        <v/>
      </c>
      <c r="L914" s="29" t="str">
        <f>IF($N914="","",INDEX('_calc'!$J$2:$J$3001,$N914))</f>
        <v/>
      </c>
      <c r="M914" s="2" t="str">
        <f>IF($N914="","",IF(AND(G914=0,H914=0),"수량 없음",IF(G914=0,"신규 (전년 수량 없음)",IF(H914=0,"당해 수량 없음",""))))</f>
        <v/>
      </c>
      <c r="N914" t="str">
        <f>IF($B914="","",MATCH($B914,'_calc'!$L$2:$L$3001,0))</f>
        <v/>
      </c>
    </row>
    <row r="915">
      <c r="B915" s="24" t="str">
        <f>IF(ROW()-ROW($B$8)&gt;nComp,"",ROW()-ROW($B$8))</f>
        <v/>
      </c>
      <c r="C915" t="str">
        <f>IF($N915="","",INDEX('_calc'!$A$2:$A$3001,$N915))</f>
        <v/>
      </c>
      <c r="D915" s="25" t="str">
        <f>IF($N915="","",INDEX('_calc'!$C$2:$C$3001,$N915))</f>
        <v/>
      </c>
      <c r="E915" s="25" t="str">
        <f>IF($N915="","",INDEX('_calc'!$D$2:$D$3001,$N915))</f>
        <v/>
      </c>
      <c r="F915" s="26" t="str">
        <f>IF($N915="","",IF($E$8=0,"",E915/$E$8))</f>
        <v/>
      </c>
      <c r="G915" s="25" t="str">
        <f>IF($N915="","",INDEX('_calc'!$E$2:$E$3001,$N915))</f>
        <v/>
      </c>
      <c r="H915" s="25" t="str">
        <f>IF($N915="","",INDEX('_calc'!$F$2:$F$3001,$N915))</f>
        <v/>
      </c>
      <c r="I915" s="27" t="str">
        <f>IF($N915="","",INDEX('_calc'!$H$2:$H$3001,$N915))</f>
        <v/>
      </c>
      <c r="J915" s="27" t="str">
        <f>IF($N915="","",INDEX('_calc'!$I$2:$I$3001,$N915))</f>
        <v/>
      </c>
      <c r="K915" s="28" t="str">
        <f>IF($N915="","",IF(OR(I915="",J915=""),"",J915-I915))</f>
        <v/>
      </c>
      <c r="L915" s="29" t="str">
        <f>IF($N915="","",INDEX('_calc'!$J$2:$J$3001,$N915))</f>
        <v/>
      </c>
      <c r="M915" s="2" t="str">
        <f>IF($N915="","",IF(AND(G915=0,H915=0),"수량 없음",IF(G915=0,"신규 (전년 수량 없음)",IF(H915=0,"당해 수량 없음",""))))</f>
        <v/>
      </c>
      <c r="N915" t="str">
        <f>IF($B915="","",MATCH($B915,'_calc'!$L$2:$L$3001,0))</f>
        <v/>
      </c>
    </row>
    <row r="916">
      <c r="B916" s="24" t="str">
        <f>IF(ROW()-ROW($B$8)&gt;nComp,"",ROW()-ROW($B$8))</f>
        <v/>
      </c>
      <c r="C916" t="str">
        <f>IF($N916="","",INDEX('_calc'!$A$2:$A$3001,$N916))</f>
        <v/>
      </c>
      <c r="D916" s="25" t="str">
        <f>IF($N916="","",INDEX('_calc'!$C$2:$C$3001,$N916))</f>
        <v/>
      </c>
      <c r="E916" s="25" t="str">
        <f>IF($N916="","",INDEX('_calc'!$D$2:$D$3001,$N916))</f>
        <v/>
      </c>
      <c r="F916" s="26" t="str">
        <f>IF($N916="","",IF($E$8=0,"",E916/$E$8))</f>
        <v/>
      </c>
      <c r="G916" s="25" t="str">
        <f>IF($N916="","",INDEX('_calc'!$E$2:$E$3001,$N916))</f>
        <v/>
      </c>
      <c r="H916" s="25" t="str">
        <f>IF($N916="","",INDEX('_calc'!$F$2:$F$3001,$N916))</f>
        <v/>
      </c>
      <c r="I916" s="27" t="str">
        <f>IF($N916="","",INDEX('_calc'!$H$2:$H$3001,$N916))</f>
        <v/>
      </c>
      <c r="J916" s="27" t="str">
        <f>IF($N916="","",INDEX('_calc'!$I$2:$I$3001,$N916))</f>
        <v/>
      </c>
      <c r="K916" s="28" t="str">
        <f>IF($N916="","",IF(OR(I916="",J916=""),"",J916-I916))</f>
        <v/>
      </c>
      <c r="L916" s="29" t="str">
        <f>IF($N916="","",INDEX('_calc'!$J$2:$J$3001,$N916))</f>
        <v/>
      </c>
      <c r="M916" s="2" t="str">
        <f>IF($N916="","",IF(AND(G916=0,H916=0),"수량 없음",IF(G916=0,"신규 (전년 수량 없음)",IF(H916=0,"당해 수량 없음",""))))</f>
        <v/>
      </c>
      <c r="N916" t="str">
        <f>IF($B916="","",MATCH($B916,'_calc'!$L$2:$L$3001,0))</f>
        <v/>
      </c>
    </row>
    <row r="917">
      <c r="B917" s="24" t="str">
        <f>IF(ROW()-ROW($B$8)&gt;nComp,"",ROW()-ROW($B$8))</f>
        <v/>
      </c>
      <c r="C917" t="str">
        <f>IF($N917="","",INDEX('_calc'!$A$2:$A$3001,$N917))</f>
        <v/>
      </c>
      <c r="D917" s="25" t="str">
        <f>IF($N917="","",INDEX('_calc'!$C$2:$C$3001,$N917))</f>
        <v/>
      </c>
      <c r="E917" s="25" t="str">
        <f>IF($N917="","",INDEX('_calc'!$D$2:$D$3001,$N917))</f>
        <v/>
      </c>
      <c r="F917" s="26" t="str">
        <f>IF($N917="","",IF($E$8=0,"",E917/$E$8))</f>
        <v/>
      </c>
      <c r="G917" s="25" t="str">
        <f>IF($N917="","",INDEX('_calc'!$E$2:$E$3001,$N917))</f>
        <v/>
      </c>
      <c r="H917" s="25" t="str">
        <f>IF($N917="","",INDEX('_calc'!$F$2:$F$3001,$N917))</f>
        <v/>
      </c>
      <c r="I917" s="27" t="str">
        <f>IF($N917="","",INDEX('_calc'!$H$2:$H$3001,$N917))</f>
        <v/>
      </c>
      <c r="J917" s="27" t="str">
        <f>IF($N917="","",INDEX('_calc'!$I$2:$I$3001,$N917))</f>
        <v/>
      </c>
      <c r="K917" s="28" t="str">
        <f>IF($N917="","",IF(OR(I917="",J917=""),"",J917-I917))</f>
        <v/>
      </c>
      <c r="L917" s="29" t="str">
        <f>IF($N917="","",INDEX('_calc'!$J$2:$J$3001,$N917))</f>
        <v/>
      </c>
      <c r="M917" s="2" t="str">
        <f>IF($N917="","",IF(AND(G917=0,H917=0),"수량 없음",IF(G917=0,"신규 (전년 수량 없음)",IF(H917=0,"당해 수량 없음",""))))</f>
        <v/>
      </c>
      <c r="N917" t="str">
        <f>IF($B917="","",MATCH($B917,'_calc'!$L$2:$L$3001,0))</f>
        <v/>
      </c>
    </row>
    <row r="918">
      <c r="B918" s="24" t="str">
        <f>IF(ROW()-ROW($B$8)&gt;nComp,"",ROW()-ROW($B$8))</f>
        <v/>
      </c>
      <c r="C918" t="str">
        <f>IF($N918="","",INDEX('_calc'!$A$2:$A$3001,$N918))</f>
        <v/>
      </c>
      <c r="D918" s="25" t="str">
        <f>IF($N918="","",INDEX('_calc'!$C$2:$C$3001,$N918))</f>
        <v/>
      </c>
      <c r="E918" s="25" t="str">
        <f>IF($N918="","",INDEX('_calc'!$D$2:$D$3001,$N918))</f>
        <v/>
      </c>
      <c r="F918" s="26" t="str">
        <f>IF($N918="","",IF($E$8=0,"",E918/$E$8))</f>
        <v/>
      </c>
      <c r="G918" s="25" t="str">
        <f>IF($N918="","",INDEX('_calc'!$E$2:$E$3001,$N918))</f>
        <v/>
      </c>
      <c r="H918" s="25" t="str">
        <f>IF($N918="","",INDEX('_calc'!$F$2:$F$3001,$N918))</f>
        <v/>
      </c>
      <c r="I918" s="27" t="str">
        <f>IF($N918="","",INDEX('_calc'!$H$2:$H$3001,$N918))</f>
        <v/>
      </c>
      <c r="J918" s="27" t="str">
        <f>IF($N918="","",INDEX('_calc'!$I$2:$I$3001,$N918))</f>
        <v/>
      </c>
      <c r="K918" s="28" t="str">
        <f>IF($N918="","",IF(OR(I918="",J918=""),"",J918-I918))</f>
        <v/>
      </c>
      <c r="L918" s="29" t="str">
        <f>IF($N918="","",INDEX('_calc'!$J$2:$J$3001,$N918))</f>
        <v/>
      </c>
      <c r="M918" s="2" t="str">
        <f>IF($N918="","",IF(AND(G918=0,H918=0),"수량 없음",IF(G918=0,"신규 (전년 수량 없음)",IF(H918=0,"당해 수량 없음",""))))</f>
        <v/>
      </c>
      <c r="N918" t="str">
        <f>IF($B918="","",MATCH($B918,'_calc'!$L$2:$L$3001,0))</f>
        <v/>
      </c>
    </row>
    <row r="919">
      <c r="B919" s="24" t="str">
        <f>IF(ROW()-ROW($B$8)&gt;nComp,"",ROW()-ROW($B$8))</f>
        <v/>
      </c>
      <c r="C919" t="str">
        <f>IF($N919="","",INDEX('_calc'!$A$2:$A$3001,$N919))</f>
        <v/>
      </c>
      <c r="D919" s="25" t="str">
        <f>IF($N919="","",INDEX('_calc'!$C$2:$C$3001,$N919))</f>
        <v/>
      </c>
      <c r="E919" s="25" t="str">
        <f>IF($N919="","",INDEX('_calc'!$D$2:$D$3001,$N919))</f>
        <v/>
      </c>
      <c r="F919" s="26" t="str">
        <f>IF($N919="","",IF($E$8=0,"",E919/$E$8))</f>
        <v/>
      </c>
      <c r="G919" s="25" t="str">
        <f>IF($N919="","",INDEX('_calc'!$E$2:$E$3001,$N919))</f>
        <v/>
      </c>
      <c r="H919" s="25" t="str">
        <f>IF($N919="","",INDEX('_calc'!$F$2:$F$3001,$N919))</f>
        <v/>
      </c>
      <c r="I919" s="27" t="str">
        <f>IF($N919="","",INDEX('_calc'!$H$2:$H$3001,$N919))</f>
        <v/>
      </c>
      <c r="J919" s="27" t="str">
        <f>IF($N919="","",INDEX('_calc'!$I$2:$I$3001,$N919))</f>
        <v/>
      </c>
      <c r="K919" s="28" t="str">
        <f>IF($N919="","",IF(OR(I919="",J919=""),"",J919-I919))</f>
        <v/>
      </c>
      <c r="L919" s="29" t="str">
        <f>IF($N919="","",INDEX('_calc'!$J$2:$J$3001,$N919))</f>
        <v/>
      </c>
      <c r="M919" s="2" t="str">
        <f>IF($N919="","",IF(AND(G919=0,H919=0),"수량 없음",IF(G919=0,"신규 (전년 수량 없음)",IF(H919=0,"당해 수량 없음",""))))</f>
        <v/>
      </c>
      <c r="N919" t="str">
        <f>IF($B919="","",MATCH($B919,'_calc'!$L$2:$L$3001,0))</f>
        <v/>
      </c>
    </row>
    <row r="920">
      <c r="B920" s="24" t="str">
        <f>IF(ROW()-ROW($B$8)&gt;nComp,"",ROW()-ROW($B$8))</f>
        <v/>
      </c>
      <c r="C920" t="str">
        <f>IF($N920="","",INDEX('_calc'!$A$2:$A$3001,$N920))</f>
        <v/>
      </c>
      <c r="D920" s="25" t="str">
        <f>IF($N920="","",INDEX('_calc'!$C$2:$C$3001,$N920))</f>
        <v/>
      </c>
      <c r="E920" s="25" t="str">
        <f>IF($N920="","",INDEX('_calc'!$D$2:$D$3001,$N920))</f>
        <v/>
      </c>
      <c r="F920" s="26" t="str">
        <f>IF($N920="","",IF($E$8=0,"",E920/$E$8))</f>
        <v/>
      </c>
      <c r="G920" s="25" t="str">
        <f>IF($N920="","",INDEX('_calc'!$E$2:$E$3001,$N920))</f>
        <v/>
      </c>
      <c r="H920" s="25" t="str">
        <f>IF($N920="","",INDEX('_calc'!$F$2:$F$3001,$N920))</f>
        <v/>
      </c>
      <c r="I920" s="27" t="str">
        <f>IF($N920="","",INDEX('_calc'!$H$2:$H$3001,$N920))</f>
        <v/>
      </c>
      <c r="J920" s="27" t="str">
        <f>IF($N920="","",INDEX('_calc'!$I$2:$I$3001,$N920))</f>
        <v/>
      </c>
      <c r="K920" s="28" t="str">
        <f>IF($N920="","",IF(OR(I920="",J920=""),"",J920-I920))</f>
        <v/>
      </c>
      <c r="L920" s="29" t="str">
        <f>IF($N920="","",INDEX('_calc'!$J$2:$J$3001,$N920))</f>
        <v/>
      </c>
      <c r="M920" s="2" t="str">
        <f>IF($N920="","",IF(AND(G920=0,H920=0),"수량 없음",IF(G920=0,"신규 (전년 수량 없음)",IF(H920=0,"당해 수량 없음",""))))</f>
        <v/>
      </c>
      <c r="N920" t="str">
        <f>IF($B920="","",MATCH($B920,'_calc'!$L$2:$L$3001,0))</f>
        <v/>
      </c>
    </row>
    <row r="921">
      <c r="B921" s="24" t="str">
        <f>IF(ROW()-ROW($B$8)&gt;nComp,"",ROW()-ROW($B$8))</f>
        <v/>
      </c>
      <c r="C921" t="str">
        <f>IF($N921="","",INDEX('_calc'!$A$2:$A$3001,$N921))</f>
        <v/>
      </c>
      <c r="D921" s="25" t="str">
        <f>IF($N921="","",INDEX('_calc'!$C$2:$C$3001,$N921))</f>
        <v/>
      </c>
      <c r="E921" s="25" t="str">
        <f>IF($N921="","",INDEX('_calc'!$D$2:$D$3001,$N921))</f>
        <v/>
      </c>
      <c r="F921" s="26" t="str">
        <f>IF($N921="","",IF($E$8=0,"",E921/$E$8))</f>
        <v/>
      </c>
      <c r="G921" s="25" t="str">
        <f>IF($N921="","",INDEX('_calc'!$E$2:$E$3001,$N921))</f>
        <v/>
      </c>
      <c r="H921" s="25" t="str">
        <f>IF($N921="","",INDEX('_calc'!$F$2:$F$3001,$N921))</f>
        <v/>
      </c>
      <c r="I921" s="27" t="str">
        <f>IF($N921="","",INDEX('_calc'!$H$2:$H$3001,$N921))</f>
        <v/>
      </c>
      <c r="J921" s="27" t="str">
        <f>IF($N921="","",INDEX('_calc'!$I$2:$I$3001,$N921))</f>
        <v/>
      </c>
      <c r="K921" s="28" t="str">
        <f>IF($N921="","",IF(OR(I921="",J921=""),"",J921-I921))</f>
        <v/>
      </c>
      <c r="L921" s="29" t="str">
        <f>IF($N921="","",INDEX('_calc'!$J$2:$J$3001,$N921))</f>
        <v/>
      </c>
      <c r="M921" s="2" t="str">
        <f>IF($N921="","",IF(AND(G921=0,H921=0),"수량 없음",IF(G921=0,"신규 (전년 수량 없음)",IF(H921=0,"당해 수량 없음",""))))</f>
        <v/>
      </c>
      <c r="N921" t="str">
        <f>IF($B921="","",MATCH($B921,'_calc'!$L$2:$L$3001,0))</f>
        <v/>
      </c>
    </row>
    <row r="922">
      <c r="B922" s="24" t="str">
        <f>IF(ROW()-ROW($B$8)&gt;nComp,"",ROW()-ROW($B$8))</f>
        <v/>
      </c>
      <c r="C922" t="str">
        <f>IF($N922="","",INDEX('_calc'!$A$2:$A$3001,$N922))</f>
        <v/>
      </c>
      <c r="D922" s="25" t="str">
        <f>IF($N922="","",INDEX('_calc'!$C$2:$C$3001,$N922))</f>
        <v/>
      </c>
      <c r="E922" s="25" t="str">
        <f>IF($N922="","",INDEX('_calc'!$D$2:$D$3001,$N922))</f>
        <v/>
      </c>
      <c r="F922" s="26" t="str">
        <f>IF($N922="","",IF($E$8=0,"",E922/$E$8))</f>
        <v/>
      </c>
      <c r="G922" s="25" t="str">
        <f>IF($N922="","",INDEX('_calc'!$E$2:$E$3001,$N922))</f>
        <v/>
      </c>
      <c r="H922" s="25" t="str">
        <f>IF($N922="","",INDEX('_calc'!$F$2:$F$3001,$N922))</f>
        <v/>
      </c>
      <c r="I922" s="27" t="str">
        <f>IF($N922="","",INDEX('_calc'!$H$2:$H$3001,$N922))</f>
        <v/>
      </c>
      <c r="J922" s="27" t="str">
        <f>IF($N922="","",INDEX('_calc'!$I$2:$I$3001,$N922))</f>
        <v/>
      </c>
      <c r="K922" s="28" t="str">
        <f>IF($N922="","",IF(OR(I922="",J922=""),"",J922-I922))</f>
        <v/>
      </c>
      <c r="L922" s="29" t="str">
        <f>IF($N922="","",INDEX('_calc'!$J$2:$J$3001,$N922))</f>
        <v/>
      </c>
      <c r="M922" s="2" t="str">
        <f>IF($N922="","",IF(AND(G922=0,H922=0),"수량 없음",IF(G922=0,"신규 (전년 수량 없음)",IF(H922=0,"당해 수량 없음",""))))</f>
        <v/>
      </c>
      <c r="N922" t="str">
        <f>IF($B922="","",MATCH($B922,'_calc'!$L$2:$L$3001,0))</f>
        <v/>
      </c>
    </row>
    <row r="923">
      <c r="B923" s="24" t="str">
        <f>IF(ROW()-ROW($B$8)&gt;nComp,"",ROW()-ROW($B$8))</f>
        <v/>
      </c>
      <c r="C923" t="str">
        <f>IF($N923="","",INDEX('_calc'!$A$2:$A$3001,$N923))</f>
        <v/>
      </c>
      <c r="D923" s="25" t="str">
        <f>IF($N923="","",INDEX('_calc'!$C$2:$C$3001,$N923))</f>
        <v/>
      </c>
      <c r="E923" s="25" t="str">
        <f>IF($N923="","",INDEX('_calc'!$D$2:$D$3001,$N923))</f>
        <v/>
      </c>
      <c r="F923" s="26" t="str">
        <f>IF($N923="","",IF($E$8=0,"",E923/$E$8))</f>
        <v/>
      </c>
      <c r="G923" s="25" t="str">
        <f>IF($N923="","",INDEX('_calc'!$E$2:$E$3001,$N923))</f>
        <v/>
      </c>
      <c r="H923" s="25" t="str">
        <f>IF($N923="","",INDEX('_calc'!$F$2:$F$3001,$N923))</f>
        <v/>
      </c>
      <c r="I923" s="27" t="str">
        <f>IF($N923="","",INDEX('_calc'!$H$2:$H$3001,$N923))</f>
        <v/>
      </c>
      <c r="J923" s="27" t="str">
        <f>IF($N923="","",INDEX('_calc'!$I$2:$I$3001,$N923))</f>
        <v/>
      </c>
      <c r="K923" s="28" t="str">
        <f>IF($N923="","",IF(OR(I923="",J923=""),"",J923-I923))</f>
        <v/>
      </c>
      <c r="L923" s="29" t="str">
        <f>IF($N923="","",INDEX('_calc'!$J$2:$J$3001,$N923))</f>
        <v/>
      </c>
      <c r="M923" s="2" t="str">
        <f>IF($N923="","",IF(AND(G923=0,H923=0),"수량 없음",IF(G923=0,"신규 (전년 수량 없음)",IF(H923=0,"당해 수량 없음",""))))</f>
        <v/>
      </c>
      <c r="N923" t="str">
        <f>IF($B923="","",MATCH($B923,'_calc'!$L$2:$L$3001,0))</f>
        <v/>
      </c>
    </row>
    <row r="924">
      <c r="B924" s="24" t="str">
        <f>IF(ROW()-ROW($B$8)&gt;nComp,"",ROW()-ROW($B$8))</f>
        <v/>
      </c>
      <c r="C924" t="str">
        <f>IF($N924="","",INDEX('_calc'!$A$2:$A$3001,$N924))</f>
        <v/>
      </c>
      <c r="D924" s="25" t="str">
        <f>IF($N924="","",INDEX('_calc'!$C$2:$C$3001,$N924))</f>
        <v/>
      </c>
      <c r="E924" s="25" t="str">
        <f>IF($N924="","",INDEX('_calc'!$D$2:$D$3001,$N924))</f>
        <v/>
      </c>
      <c r="F924" s="26" t="str">
        <f>IF($N924="","",IF($E$8=0,"",E924/$E$8))</f>
        <v/>
      </c>
      <c r="G924" s="25" t="str">
        <f>IF($N924="","",INDEX('_calc'!$E$2:$E$3001,$N924))</f>
        <v/>
      </c>
      <c r="H924" s="25" t="str">
        <f>IF($N924="","",INDEX('_calc'!$F$2:$F$3001,$N924))</f>
        <v/>
      </c>
      <c r="I924" s="27" t="str">
        <f>IF($N924="","",INDEX('_calc'!$H$2:$H$3001,$N924))</f>
        <v/>
      </c>
      <c r="J924" s="27" t="str">
        <f>IF($N924="","",INDEX('_calc'!$I$2:$I$3001,$N924))</f>
        <v/>
      </c>
      <c r="K924" s="28" t="str">
        <f>IF($N924="","",IF(OR(I924="",J924=""),"",J924-I924))</f>
        <v/>
      </c>
      <c r="L924" s="29" t="str">
        <f>IF($N924="","",INDEX('_calc'!$J$2:$J$3001,$N924))</f>
        <v/>
      </c>
      <c r="M924" s="2" t="str">
        <f>IF($N924="","",IF(AND(G924=0,H924=0),"수량 없음",IF(G924=0,"신규 (전년 수량 없음)",IF(H924=0,"당해 수량 없음",""))))</f>
        <v/>
      </c>
      <c r="N924" t="str">
        <f>IF($B924="","",MATCH($B924,'_calc'!$L$2:$L$3001,0))</f>
        <v/>
      </c>
    </row>
    <row r="925">
      <c r="B925" s="24" t="str">
        <f>IF(ROW()-ROW($B$8)&gt;nComp,"",ROW()-ROW($B$8))</f>
        <v/>
      </c>
      <c r="C925" t="str">
        <f>IF($N925="","",INDEX('_calc'!$A$2:$A$3001,$N925))</f>
        <v/>
      </c>
      <c r="D925" s="25" t="str">
        <f>IF($N925="","",INDEX('_calc'!$C$2:$C$3001,$N925))</f>
        <v/>
      </c>
      <c r="E925" s="25" t="str">
        <f>IF($N925="","",INDEX('_calc'!$D$2:$D$3001,$N925))</f>
        <v/>
      </c>
      <c r="F925" s="26" t="str">
        <f>IF($N925="","",IF($E$8=0,"",E925/$E$8))</f>
        <v/>
      </c>
      <c r="G925" s="25" t="str">
        <f>IF($N925="","",INDEX('_calc'!$E$2:$E$3001,$N925))</f>
        <v/>
      </c>
      <c r="H925" s="25" t="str">
        <f>IF($N925="","",INDEX('_calc'!$F$2:$F$3001,$N925))</f>
        <v/>
      </c>
      <c r="I925" s="27" t="str">
        <f>IF($N925="","",INDEX('_calc'!$H$2:$H$3001,$N925))</f>
        <v/>
      </c>
      <c r="J925" s="27" t="str">
        <f>IF($N925="","",INDEX('_calc'!$I$2:$I$3001,$N925))</f>
        <v/>
      </c>
      <c r="K925" s="28" t="str">
        <f>IF($N925="","",IF(OR(I925="",J925=""),"",J925-I925))</f>
        <v/>
      </c>
      <c r="L925" s="29" t="str">
        <f>IF($N925="","",INDEX('_calc'!$J$2:$J$3001,$N925))</f>
        <v/>
      </c>
      <c r="M925" s="2" t="str">
        <f>IF($N925="","",IF(AND(G925=0,H925=0),"수량 없음",IF(G925=0,"신규 (전년 수량 없음)",IF(H925=0,"당해 수량 없음",""))))</f>
        <v/>
      </c>
      <c r="N925" t="str">
        <f>IF($B925="","",MATCH($B925,'_calc'!$L$2:$L$3001,0))</f>
        <v/>
      </c>
    </row>
    <row r="926">
      <c r="B926" s="24" t="str">
        <f>IF(ROW()-ROW($B$8)&gt;nComp,"",ROW()-ROW($B$8))</f>
        <v/>
      </c>
      <c r="C926" t="str">
        <f>IF($N926="","",INDEX('_calc'!$A$2:$A$3001,$N926))</f>
        <v/>
      </c>
      <c r="D926" s="25" t="str">
        <f>IF($N926="","",INDEX('_calc'!$C$2:$C$3001,$N926))</f>
        <v/>
      </c>
      <c r="E926" s="25" t="str">
        <f>IF($N926="","",INDEX('_calc'!$D$2:$D$3001,$N926))</f>
        <v/>
      </c>
      <c r="F926" s="26" t="str">
        <f>IF($N926="","",IF($E$8=0,"",E926/$E$8))</f>
        <v/>
      </c>
      <c r="G926" s="25" t="str">
        <f>IF($N926="","",INDEX('_calc'!$E$2:$E$3001,$N926))</f>
        <v/>
      </c>
      <c r="H926" s="25" t="str">
        <f>IF($N926="","",INDEX('_calc'!$F$2:$F$3001,$N926))</f>
        <v/>
      </c>
      <c r="I926" s="27" t="str">
        <f>IF($N926="","",INDEX('_calc'!$H$2:$H$3001,$N926))</f>
        <v/>
      </c>
      <c r="J926" s="27" t="str">
        <f>IF($N926="","",INDEX('_calc'!$I$2:$I$3001,$N926))</f>
        <v/>
      </c>
      <c r="K926" s="28" t="str">
        <f>IF($N926="","",IF(OR(I926="",J926=""),"",J926-I926))</f>
        <v/>
      </c>
      <c r="L926" s="29" t="str">
        <f>IF($N926="","",INDEX('_calc'!$J$2:$J$3001,$N926))</f>
        <v/>
      </c>
      <c r="M926" s="2" t="str">
        <f>IF($N926="","",IF(AND(G926=0,H926=0),"수량 없음",IF(G926=0,"신규 (전년 수량 없음)",IF(H926=0,"당해 수량 없음",""))))</f>
        <v/>
      </c>
      <c r="N926" t="str">
        <f>IF($B926="","",MATCH($B926,'_calc'!$L$2:$L$3001,0))</f>
        <v/>
      </c>
    </row>
    <row r="927">
      <c r="B927" s="24" t="str">
        <f>IF(ROW()-ROW($B$8)&gt;nComp,"",ROW()-ROW($B$8))</f>
        <v/>
      </c>
      <c r="C927" t="str">
        <f>IF($N927="","",INDEX('_calc'!$A$2:$A$3001,$N927))</f>
        <v/>
      </c>
      <c r="D927" s="25" t="str">
        <f>IF($N927="","",INDEX('_calc'!$C$2:$C$3001,$N927))</f>
        <v/>
      </c>
      <c r="E927" s="25" t="str">
        <f>IF($N927="","",INDEX('_calc'!$D$2:$D$3001,$N927))</f>
        <v/>
      </c>
      <c r="F927" s="26" t="str">
        <f>IF($N927="","",IF($E$8=0,"",E927/$E$8))</f>
        <v/>
      </c>
      <c r="G927" s="25" t="str">
        <f>IF($N927="","",INDEX('_calc'!$E$2:$E$3001,$N927))</f>
        <v/>
      </c>
      <c r="H927" s="25" t="str">
        <f>IF($N927="","",INDEX('_calc'!$F$2:$F$3001,$N927))</f>
        <v/>
      </c>
      <c r="I927" s="27" t="str">
        <f>IF($N927="","",INDEX('_calc'!$H$2:$H$3001,$N927))</f>
        <v/>
      </c>
      <c r="J927" s="27" t="str">
        <f>IF($N927="","",INDEX('_calc'!$I$2:$I$3001,$N927))</f>
        <v/>
      </c>
      <c r="K927" s="28" t="str">
        <f>IF($N927="","",IF(OR(I927="",J927=""),"",J927-I927))</f>
        <v/>
      </c>
      <c r="L927" s="29" t="str">
        <f>IF($N927="","",INDEX('_calc'!$J$2:$J$3001,$N927))</f>
        <v/>
      </c>
      <c r="M927" s="2" t="str">
        <f>IF($N927="","",IF(AND(G927=0,H927=0),"수량 없음",IF(G927=0,"신규 (전년 수량 없음)",IF(H927=0,"당해 수량 없음",""))))</f>
        <v/>
      </c>
      <c r="N927" t="str">
        <f>IF($B927="","",MATCH($B927,'_calc'!$L$2:$L$3001,0))</f>
        <v/>
      </c>
    </row>
    <row r="928">
      <c r="B928" s="24" t="str">
        <f>IF(ROW()-ROW($B$8)&gt;nComp,"",ROW()-ROW($B$8))</f>
        <v/>
      </c>
      <c r="C928" t="str">
        <f>IF($N928="","",INDEX('_calc'!$A$2:$A$3001,$N928))</f>
        <v/>
      </c>
      <c r="D928" s="25" t="str">
        <f>IF($N928="","",INDEX('_calc'!$C$2:$C$3001,$N928))</f>
        <v/>
      </c>
      <c r="E928" s="25" t="str">
        <f>IF($N928="","",INDEX('_calc'!$D$2:$D$3001,$N928))</f>
        <v/>
      </c>
      <c r="F928" s="26" t="str">
        <f>IF($N928="","",IF($E$8=0,"",E928/$E$8))</f>
        <v/>
      </c>
      <c r="G928" s="25" t="str">
        <f>IF($N928="","",INDEX('_calc'!$E$2:$E$3001,$N928))</f>
        <v/>
      </c>
      <c r="H928" s="25" t="str">
        <f>IF($N928="","",INDEX('_calc'!$F$2:$F$3001,$N928))</f>
        <v/>
      </c>
      <c r="I928" s="27" t="str">
        <f>IF($N928="","",INDEX('_calc'!$H$2:$H$3001,$N928))</f>
        <v/>
      </c>
      <c r="J928" s="27" t="str">
        <f>IF($N928="","",INDEX('_calc'!$I$2:$I$3001,$N928))</f>
        <v/>
      </c>
      <c r="K928" s="28" t="str">
        <f>IF($N928="","",IF(OR(I928="",J928=""),"",J928-I928))</f>
        <v/>
      </c>
      <c r="L928" s="29" t="str">
        <f>IF($N928="","",INDEX('_calc'!$J$2:$J$3001,$N928))</f>
        <v/>
      </c>
      <c r="M928" s="2" t="str">
        <f>IF($N928="","",IF(AND(G928=0,H928=0),"수량 없음",IF(G928=0,"신규 (전년 수량 없음)",IF(H928=0,"당해 수량 없음",""))))</f>
        <v/>
      </c>
      <c r="N928" t="str">
        <f>IF($B928="","",MATCH($B928,'_calc'!$L$2:$L$3001,0))</f>
        <v/>
      </c>
    </row>
    <row r="929">
      <c r="B929" s="24" t="str">
        <f>IF(ROW()-ROW($B$8)&gt;nComp,"",ROW()-ROW($B$8))</f>
        <v/>
      </c>
      <c r="C929" t="str">
        <f>IF($N929="","",INDEX('_calc'!$A$2:$A$3001,$N929))</f>
        <v/>
      </c>
      <c r="D929" s="25" t="str">
        <f>IF($N929="","",INDEX('_calc'!$C$2:$C$3001,$N929))</f>
        <v/>
      </c>
      <c r="E929" s="25" t="str">
        <f>IF($N929="","",INDEX('_calc'!$D$2:$D$3001,$N929))</f>
        <v/>
      </c>
      <c r="F929" s="26" t="str">
        <f>IF($N929="","",IF($E$8=0,"",E929/$E$8))</f>
        <v/>
      </c>
      <c r="G929" s="25" t="str">
        <f>IF($N929="","",INDEX('_calc'!$E$2:$E$3001,$N929))</f>
        <v/>
      </c>
      <c r="H929" s="25" t="str">
        <f>IF($N929="","",INDEX('_calc'!$F$2:$F$3001,$N929))</f>
        <v/>
      </c>
      <c r="I929" s="27" t="str">
        <f>IF($N929="","",INDEX('_calc'!$H$2:$H$3001,$N929))</f>
        <v/>
      </c>
      <c r="J929" s="27" t="str">
        <f>IF($N929="","",INDEX('_calc'!$I$2:$I$3001,$N929))</f>
        <v/>
      </c>
      <c r="K929" s="28" t="str">
        <f>IF($N929="","",IF(OR(I929="",J929=""),"",J929-I929))</f>
        <v/>
      </c>
      <c r="L929" s="29" t="str">
        <f>IF($N929="","",INDEX('_calc'!$J$2:$J$3001,$N929))</f>
        <v/>
      </c>
      <c r="M929" s="2" t="str">
        <f>IF($N929="","",IF(AND(G929=0,H929=0),"수량 없음",IF(G929=0,"신규 (전년 수량 없음)",IF(H929=0,"당해 수량 없음",""))))</f>
        <v/>
      </c>
      <c r="N929" t="str">
        <f>IF($B929="","",MATCH($B929,'_calc'!$L$2:$L$3001,0))</f>
        <v/>
      </c>
    </row>
    <row r="930">
      <c r="B930" s="24" t="str">
        <f>IF(ROW()-ROW($B$8)&gt;nComp,"",ROW()-ROW($B$8))</f>
        <v/>
      </c>
      <c r="C930" t="str">
        <f>IF($N930="","",INDEX('_calc'!$A$2:$A$3001,$N930))</f>
        <v/>
      </c>
      <c r="D930" s="25" t="str">
        <f>IF($N930="","",INDEX('_calc'!$C$2:$C$3001,$N930))</f>
        <v/>
      </c>
      <c r="E930" s="25" t="str">
        <f>IF($N930="","",INDEX('_calc'!$D$2:$D$3001,$N930))</f>
        <v/>
      </c>
      <c r="F930" s="26" t="str">
        <f>IF($N930="","",IF($E$8=0,"",E930/$E$8))</f>
        <v/>
      </c>
      <c r="G930" s="25" t="str">
        <f>IF($N930="","",INDEX('_calc'!$E$2:$E$3001,$N930))</f>
        <v/>
      </c>
      <c r="H930" s="25" t="str">
        <f>IF($N930="","",INDEX('_calc'!$F$2:$F$3001,$N930))</f>
        <v/>
      </c>
      <c r="I930" s="27" t="str">
        <f>IF($N930="","",INDEX('_calc'!$H$2:$H$3001,$N930))</f>
        <v/>
      </c>
      <c r="J930" s="27" t="str">
        <f>IF($N930="","",INDEX('_calc'!$I$2:$I$3001,$N930))</f>
        <v/>
      </c>
      <c r="K930" s="28" t="str">
        <f>IF($N930="","",IF(OR(I930="",J930=""),"",J930-I930))</f>
        <v/>
      </c>
      <c r="L930" s="29" t="str">
        <f>IF($N930="","",INDEX('_calc'!$J$2:$J$3001,$N930))</f>
        <v/>
      </c>
      <c r="M930" s="2" t="str">
        <f>IF($N930="","",IF(AND(G930=0,H930=0),"수량 없음",IF(G930=0,"신규 (전년 수량 없음)",IF(H930=0,"당해 수량 없음",""))))</f>
        <v/>
      </c>
      <c r="N930" t="str">
        <f>IF($B930="","",MATCH($B930,'_calc'!$L$2:$L$3001,0))</f>
        <v/>
      </c>
    </row>
    <row r="931">
      <c r="B931" s="24" t="str">
        <f>IF(ROW()-ROW($B$8)&gt;nComp,"",ROW()-ROW($B$8))</f>
        <v/>
      </c>
      <c r="C931" t="str">
        <f>IF($N931="","",INDEX('_calc'!$A$2:$A$3001,$N931))</f>
        <v/>
      </c>
      <c r="D931" s="25" t="str">
        <f>IF($N931="","",INDEX('_calc'!$C$2:$C$3001,$N931))</f>
        <v/>
      </c>
      <c r="E931" s="25" t="str">
        <f>IF($N931="","",INDEX('_calc'!$D$2:$D$3001,$N931))</f>
        <v/>
      </c>
      <c r="F931" s="26" t="str">
        <f>IF($N931="","",IF($E$8=0,"",E931/$E$8))</f>
        <v/>
      </c>
      <c r="G931" s="25" t="str">
        <f>IF($N931="","",INDEX('_calc'!$E$2:$E$3001,$N931))</f>
        <v/>
      </c>
      <c r="H931" s="25" t="str">
        <f>IF($N931="","",INDEX('_calc'!$F$2:$F$3001,$N931))</f>
        <v/>
      </c>
      <c r="I931" s="27" t="str">
        <f>IF($N931="","",INDEX('_calc'!$H$2:$H$3001,$N931))</f>
        <v/>
      </c>
      <c r="J931" s="27" t="str">
        <f>IF($N931="","",INDEX('_calc'!$I$2:$I$3001,$N931))</f>
        <v/>
      </c>
      <c r="K931" s="28" t="str">
        <f>IF($N931="","",IF(OR(I931="",J931=""),"",J931-I931))</f>
        <v/>
      </c>
      <c r="L931" s="29" t="str">
        <f>IF($N931="","",INDEX('_calc'!$J$2:$J$3001,$N931))</f>
        <v/>
      </c>
      <c r="M931" s="2" t="str">
        <f>IF($N931="","",IF(AND(G931=0,H931=0),"수량 없음",IF(G931=0,"신규 (전년 수량 없음)",IF(H931=0,"당해 수량 없음",""))))</f>
        <v/>
      </c>
      <c r="N931" t="str">
        <f>IF($B931="","",MATCH($B931,'_calc'!$L$2:$L$3001,0))</f>
        <v/>
      </c>
    </row>
    <row r="932">
      <c r="B932" s="24" t="str">
        <f>IF(ROW()-ROW($B$8)&gt;nComp,"",ROW()-ROW($B$8))</f>
        <v/>
      </c>
      <c r="C932" t="str">
        <f>IF($N932="","",INDEX('_calc'!$A$2:$A$3001,$N932))</f>
        <v/>
      </c>
      <c r="D932" s="25" t="str">
        <f>IF($N932="","",INDEX('_calc'!$C$2:$C$3001,$N932))</f>
        <v/>
      </c>
      <c r="E932" s="25" t="str">
        <f>IF($N932="","",INDEX('_calc'!$D$2:$D$3001,$N932))</f>
        <v/>
      </c>
      <c r="F932" s="26" t="str">
        <f>IF($N932="","",IF($E$8=0,"",E932/$E$8))</f>
        <v/>
      </c>
      <c r="G932" s="25" t="str">
        <f>IF($N932="","",INDEX('_calc'!$E$2:$E$3001,$N932))</f>
        <v/>
      </c>
      <c r="H932" s="25" t="str">
        <f>IF($N932="","",INDEX('_calc'!$F$2:$F$3001,$N932))</f>
        <v/>
      </c>
      <c r="I932" s="27" t="str">
        <f>IF($N932="","",INDEX('_calc'!$H$2:$H$3001,$N932))</f>
        <v/>
      </c>
      <c r="J932" s="27" t="str">
        <f>IF($N932="","",INDEX('_calc'!$I$2:$I$3001,$N932))</f>
        <v/>
      </c>
      <c r="K932" s="28" t="str">
        <f>IF($N932="","",IF(OR(I932="",J932=""),"",J932-I932))</f>
        <v/>
      </c>
      <c r="L932" s="29" t="str">
        <f>IF($N932="","",INDEX('_calc'!$J$2:$J$3001,$N932))</f>
        <v/>
      </c>
      <c r="M932" s="2" t="str">
        <f>IF($N932="","",IF(AND(G932=0,H932=0),"수량 없음",IF(G932=0,"신규 (전년 수량 없음)",IF(H932=0,"당해 수량 없음",""))))</f>
        <v/>
      </c>
      <c r="N932" t="str">
        <f>IF($B932="","",MATCH($B932,'_calc'!$L$2:$L$3001,0))</f>
        <v/>
      </c>
    </row>
    <row r="933">
      <c r="B933" s="24" t="str">
        <f>IF(ROW()-ROW($B$8)&gt;nComp,"",ROW()-ROW($B$8))</f>
        <v/>
      </c>
      <c r="C933" t="str">
        <f>IF($N933="","",INDEX('_calc'!$A$2:$A$3001,$N933))</f>
        <v/>
      </c>
      <c r="D933" s="25" t="str">
        <f>IF($N933="","",INDEX('_calc'!$C$2:$C$3001,$N933))</f>
        <v/>
      </c>
      <c r="E933" s="25" t="str">
        <f>IF($N933="","",INDEX('_calc'!$D$2:$D$3001,$N933))</f>
        <v/>
      </c>
      <c r="F933" s="26" t="str">
        <f>IF($N933="","",IF($E$8=0,"",E933/$E$8))</f>
        <v/>
      </c>
      <c r="G933" s="25" t="str">
        <f>IF($N933="","",INDEX('_calc'!$E$2:$E$3001,$N933))</f>
        <v/>
      </c>
      <c r="H933" s="25" t="str">
        <f>IF($N933="","",INDEX('_calc'!$F$2:$F$3001,$N933))</f>
        <v/>
      </c>
      <c r="I933" s="27" t="str">
        <f>IF($N933="","",INDEX('_calc'!$H$2:$H$3001,$N933))</f>
        <v/>
      </c>
      <c r="J933" s="27" t="str">
        <f>IF($N933="","",INDEX('_calc'!$I$2:$I$3001,$N933))</f>
        <v/>
      </c>
      <c r="K933" s="28" t="str">
        <f>IF($N933="","",IF(OR(I933="",J933=""),"",J933-I933))</f>
        <v/>
      </c>
      <c r="L933" s="29" t="str">
        <f>IF($N933="","",INDEX('_calc'!$J$2:$J$3001,$N933))</f>
        <v/>
      </c>
      <c r="M933" s="2" t="str">
        <f>IF($N933="","",IF(AND(G933=0,H933=0),"수량 없음",IF(G933=0,"신규 (전년 수량 없음)",IF(H933=0,"당해 수량 없음",""))))</f>
        <v/>
      </c>
      <c r="N933" t="str">
        <f>IF($B933="","",MATCH($B933,'_calc'!$L$2:$L$3001,0))</f>
        <v/>
      </c>
    </row>
    <row r="934">
      <c r="B934" s="24" t="str">
        <f>IF(ROW()-ROW($B$8)&gt;nComp,"",ROW()-ROW($B$8))</f>
        <v/>
      </c>
      <c r="C934" t="str">
        <f>IF($N934="","",INDEX('_calc'!$A$2:$A$3001,$N934))</f>
        <v/>
      </c>
      <c r="D934" s="25" t="str">
        <f>IF($N934="","",INDEX('_calc'!$C$2:$C$3001,$N934))</f>
        <v/>
      </c>
      <c r="E934" s="25" t="str">
        <f>IF($N934="","",INDEX('_calc'!$D$2:$D$3001,$N934))</f>
        <v/>
      </c>
      <c r="F934" s="26" t="str">
        <f>IF($N934="","",IF($E$8=0,"",E934/$E$8))</f>
        <v/>
      </c>
      <c r="G934" s="25" t="str">
        <f>IF($N934="","",INDEX('_calc'!$E$2:$E$3001,$N934))</f>
        <v/>
      </c>
      <c r="H934" s="25" t="str">
        <f>IF($N934="","",INDEX('_calc'!$F$2:$F$3001,$N934))</f>
        <v/>
      </c>
      <c r="I934" s="27" t="str">
        <f>IF($N934="","",INDEX('_calc'!$H$2:$H$3001,$N934))</f>
        <v/>
      </c>
      <c r="J934" s="27" t="str">
        <f>IF($N934="","",INDEX('_calc'!$I$2:$I$3001,$N934))</f>
        <v/>
      </c>
      <c r="K934" s="28" t="str">
        <f>IF($N934="","",IF(OR(I934="",J934=""),"",J934-I934))</f>
        <v/>
      </c>
      <c r="L934" s="29" t="str">
        <f>IF($N934="","",INDEX('_calc'!$J$2:$J$3001,$N934))</f>
        <v/>
      </c>
      <c r="M934" s="2" t="str">
        <f>IF($N934="","",IF(AND(G934=0,H934=0),"수량 없음",IF(G934=0,"신규 (전년 수량 없음)",IF(H934=0,"당해 수량 없음",""))))</f>
        <v/>
      </c>
      <c r="N934" t="str">
        <f>IF($B934="","",MATCH($B934,'_calc'!$L$2:$L$3001,0))</f>
        <v/>
      </c>
    </row>
    <row r="935">
      <c r="B935" s="24" t="str">
        <f>IF(ROW()-ROW($B$8)&gt;nComp,"",ROW()-ROW($B$8))</f>
        <v/>
      </c>
      <c r="C935" t="str">
        <f>IF($N935="","",INDEX('_calc'!$A$2:$A$3001,$N935))</f>
        <v/>
      </c>
      <c r="D935" s="25" t="str">
        <f>IF($N935="","",INDEX('_calc'!$C$2:$C$3001,$N935))</f>
        <v/>
      </c>
      <c r="E935" s="25" t="str">
        <f>IF($N935="","",INDEX('_calc'!$D$2:$D$3001,$N935))</f>
        <v/>
      </c>
      <c r="F935" s="26" t="str">
        <f>IF($N935="","",IF($E$8=0,"",E935/$E$8))</f>
        <v/>
      </c>
      <c r="G935" s="25" t="str">
        <f>IF($N935="","",INDEX('_calc'!$E$2:$E$3001,$N935))</f>
        <v/>
      </c>
      <c r="H935" s="25" t="str">
        <f>IF($N935="","",INDEX('_calc'!$F$2:$F$3001,$N935))</f>
        <v/>
      </c>
      <c r="I935" s="27" t="str">
        <f>IF($N935="","",INDEX('_calc'!$H$2:$H$3001,$N935))</f>
        <v/>
      </c>
      <c r="J935" s="27" t="str">
        <f>IF($N935="","",INDEX('_calc'!$I$2:$I$3001,$N935))</f>
        <v/>
      </c>
      <c r="K935" s="28" t="str">
        <f>IF($N935="","",IF(OR(I935="",J935=""),"",J935-I935))</f>
        <v/>
      </c>
      <c r="L935" s="29" t="str">
        <f>IF($N935="","",INDEX('_calc'!$J$2:$J$3001,$N935))</f>
        <v/>
      </c>
      <c r="M935" s="2" t="str">
        <f>IF($N935="","",IF(AND(G935=0,H935=0),"수량 없음",IF(G935=0,"신규 (전년 수량 없음)",IF(H935=0,"당해 수량 없음",""))))</f>
        <v/>
      </c>
      <c r="N935" t="str">
        <f>IF($B935="","",MATCH($B935,'_calc'!$L$2:$L$3001,0))</f>
        <v/>
      </c>
    </row>
    <row r="936">
      <c r="B936" s="24" t="str">
        <f>IF(ROW()-ROW($B$8)&gt;nComp,"",ROW()-ROW($B$8))</f>
        <v/>
      </c>
      <c r="C936" t="str">
        <f>IF($N936="","",INDEX('_calc'!$A$2:$A$3001,$N936))</f>
        <v/>
      </c>
      <c r="D936" s="25" t="str">
        <f>IF($N936="","",INDEX('_calc'!$C$2:$C$3001,$N936))</f>
        <v/>
      </c>
      <c r="E936" s="25" t="str">
        <f>IF($N936="","",INDEX('_calc'!$D$2:$D$3001,$N936))</f>
        <v/>
      </c>
      <c r="F936" s="26" t="str">
        <f>IF($N936="","",IF($E$8=0,"",E936/$E$8))</f>
        <v/>
      </c>
      <c r="G936" s="25" t="str">
        <f>IF($N936="","",INDEX('_calc'!$E$2:$E$3001,$N936))</f>
        <v/>
      </c>
      <c r="H936" s="25" t="str">
        <f>IF($N936="","",INDEX('_calc'!$F$2:$F$3001,$N936))</f>
        <v/>
      </c>
      <c r="I936" s="27" t="str">
        <f>IF($N936="","",INDEX('_calc'!$H$2:$H$3001,$N936))</f>
        <v/>
      </c>
      <c r="J936" s="27" t="str">
        <f>IF($N936="","",INDEX('_calc'!$I$2:$I$3001,$N936))</f>
        <v/>
      </c>
      <c r="K936" s="28" t="str">
        <f>IF($N936="","",IF(OR(I936="",J936=""),"",J936-I936))</f>
        <v/>
      </c>
      <c r="L936" s="29" t="str">
        <f>IF($N936="","",INDEX('_calc'!$J$2:$J$3001,$N936))</f>
        <v/>
      </c>
      <c r="M936" s="2" t="str">
        <f>IF($N936="","",IF(AND(G936=0,H936=0),"수량 없음",IF(G936=0,"신규 (전년 수량 없음)",IF(H936=0,"당해 수량 없음",""))))</f>
        <v/>
      </c>
      <c r="N936" t="str">
        <f>IF($B936="","",MATCH($B936,'_calc'!$L$2:$L$3001,0))</f>
        <v/>
      </c>
    </row>
    <row r="937">
      <c r="B937" s="24" t="str">
        <f>IF(ROW()-ROW($B$8)&gt;nComp,"",ROW()-ROW($B$8))</f>
        <v/>
      </c>
      <c r="C937" t="str">
        <f>IF($N937="","",INDEX('_calc'!$A$2:$A$3001,$N937))</f>
        <v/>
      </c>
      <c r="D937" s="25" t="str">
        <f>IF($N937="","",INDEX('_calc'!$C$2:$C$3001,$N937))</f>
        <v/>
      </c>
      <c r="E937" s="25" t="str">
        <f>IF($N937="","",INDEX('_calc'!$D$2:$D$3001,$N937))</f>
        <v/>
      </c>
      <c r="F937" s="26" t="str">
        <f>IF($N937="","",IF($E$8=0,"",E937/$E$8))</f>
        <v/>
      </c>
      <c r="G937" s="25" t="str">
        <f>IF($N937="","",INDEX('_calc'!$E$2:$E$3001,$N937))</f>
        <v/>
      </c>
      <c r="H937" s="25" t="str">
        <f>IF($N937="","",INDEX('_calc'!$F$2:$F$3001,$N937))</f>
        <v/>
      </c>
      <c r="I937" s="27" t="str">
        <f>IF($N937="","",INDEX('_calc'!$H$2:$H$3001,$N937))</f>
        <v/>
      </c>
      <c r="J937" s="27" t="str">
        <f>IF($N937="","",INDEX('_calc'!$I$2:$I$3001,$N937))</f>
        <v/>
      </c>
      <c r="K937" s="28" t="str">
        <f>IF($N937="","",IF(OR(I937="",J937=""),"",J937-I937))</f>
        <v/>
      </c>
      <c r="L937" s="29" t="str">
        <f>IF($N937="","",INDEX('_calc'!$J$2:$J$3001,$N937))</f>
        <v/>
      </c>
      <c r="M937" s="2" t="str">
        <f>IF($N937="","",IF(AND(G937=0,H937=0),"수량 없음",IF(G937=0,"신규 (전년 수량 없음)",IF(H937=0,"당해 수량 없음",""))))</f>
        <v/>
      </c>
      <c r="N937" t="str">
        <f>IF($B937="","",MATCH($B937,'_calc'!$L$2:$L$3001,0))</f>
        <v/>
      </c>
    </row>
    <row r="938">
      <c r="B938" s="24" t="str">
        <f>IF(ROW()-ROW($B$8)&gt;nComp,"",ROW()-ROW($B$8))</f>
        <v/>
      </c>
      <c r="C938" t="str">
        <f>IF($N938="","",INDEX('_calc'!$A$2:$A$3001,$N938))</f>
        <v/>
      </c>
      <c r="D938" s="25" t="str">
        <f>IF($N938="","",INDEX('_calc'!$C$2:$C$3001,$N938))</f>
        <v/>
      </c>
      <c r="E938" s="25" t="str">
        <f>IF($N938="","",INDEX('_calc'!$D$2:$D$3001,$N938))</f>
        <v/>
      </c>
      <c r="F938" s="26" t="str">
        <f>IF($N938="","",IF($E$8=0,"",E938/$E$8))</f>
        <v/>
      </c>
      <c r="G938" s="25" t="str">
        <f>IF($N938="","",INDEX('_calc'!$E$2:$E$3001,$N938))</f>
        <v/>
      </c>
      <c r="H938" s="25" t="str">
        <f>IF($N938="","",INDEX('_calc'!$F$2:$F$3001,$N938))</f>
        <v/>
      </c>
      <c r="I938" s="27" t="str">
        <f>IF($N938="","",INDEX('_calc'!$H$2:$H$3001,$N938))</f>
        <v/>
      </c>
      <c r="J938" s="27" t="str">
        <f>IF($N938="","",INDEX('_calc'!$I$2:$I$3001,$N938))</f>
        <v/>
      </c>
      <c r="K938" s="28" t="str">
        <f>IF($N938="","",IF(OR(I938="",J938=""),"",J938-I938))</f>
        <v/>
      </c>
      <c r="L938" s="29" t="str">
        <f>IF($N938="","",INDEX('_calc'!$J$2:$J$3001,$N938))</f>
        <v/>
      </c>
      <c r="M938" s="2" t="str">
        <f>IF($N938="","",IF(AND(G938=0,H938=0),"수량 없음",IF(G938=0,"신규 (전년 수량 없음)",IF(H938=0,"당해 수량 없음",""))))</f>
        <v/>
      </c>
      <c r="N938" t="str">
        <f>IF($B938="","",MATCH($B938,'_calc'!$L$2:$L$3001,0))</f>
        <v/>
      </c>
    </row>
    <row r="939">
      <c r="B939" s="24" t="str">
        <f>IF(ROW()-ROW($B$8)&gt;nComp,"",ROW()-ROW($B$8))</f>
        <v/>
      </c>
      <c r="C939" t="str">
        <f>IF($N939="","",INDEX('_calc'!$A$2:$A$3001,$N939))</f>
        <v/>
      </c>
      <c r="D939" s="25" t="str">
        <f>IF($N939="","",INDEX('_calc'!$C$2:$C$3001,$N939))</f>
        <v/>
      </c>
      <c r="E939" s="25" t="str">
        <f>IF($N939="","",INDEX('_calc'!$D$2:$D$3001,$N939))</f>
        <v/>
      </c>
      <c r="F939" s="26" t="str">
        <f>IF($N939="","",IF($E$8=0,"",E939/$E$8))</f>
        <v/>
      </c>
      <c r="G939" s="25" t="str">
        <f>IF($N939="","",INDEX('_calc'!$E$2:$E$3001,$N939))</f>
        <v/>
      </c>
      <c r="H939" s="25" t="str">
        <f>IF($N939="","",INDEX('_calc'!$F$2:$F$3001,$N939))</f>
        <v/>
      </c>
      <c r="I939" s="27" t="str">
        <f>IF($N939="","",INDEX('_calc'!$H$2:$H$3001,$N939))</f>
        <v/>
      </c>
      <c r="J939" s="27" t="str">
        <f>IF($N939="","",INDEX('_calc'!$I$2:$I$3001,$N939))</f>
        <v/>
      </c>
      <c r="K939" s="28" t="str">
        <f>IF($N939="","",IF(OR(I939="",J939=""),"",J939-I939))</f>
        <v/>
      </c>
      <c r="L939" s="29" t="str">
        <f>IF($N939="","",INDEX('_calc'!$J$2:$J$3001,$N939))</f>
        <v/>
      </c>
      <c r="M939" s="2" t="str">
        <f>IF($N939="","",IF(AND(G939=0,H939=0),"수량 없음",IF(G939=0,"신규 (전년 수량 없음)",IF(H939=0,"당해 수량 없음",""))))</f>
        <v/>
      </c>
      <c r="N939" t="str">
        <f>IF($B939="","",MATCH($B939,'_calc'!$L$2:$L$3001,0))</f>
        <v/>
      </c>
    </row>
    <row r="940">
      <c r="B940" s="24" t="str">
        <f>IF(ROW()-ROW($B$8)&gt;nComp,"",ROW()-ROW($B$8))</f>
        <v/>
      </c>
      <c r="C940" t="str">
        <f>IF($N940="","",INDEX('_calc'!$A$2:$A$3001,$N940))</f>
        <v/>
      </c>
      <c r="D940" s="25" t="str">
        <f>IF($N940="","",INDEX('_calc'!$C$2:$C$3001,$N940))</f>
        <v/>
      </c>
      <c r="E940" s="25" t="str">
        <f>IF($N940="","",INDEX('_calc'!$D$2:$D$3001,$N940))</f>
        <v/>
      </c>
      <c r="F940" s="26" t="str">
        <f>IF($N940="","",IF($E$8=0,"",E940/$E$8))</f>
        <v/>
      </c>
      <c r="G940" s="25" t="str">
        <f>IF($N940="","",INDEX('_calc'!$E$2:$E$3001,$N940))</f>
        <v/>
      </c>
      <c r="H940" s="25" t="str">
        <f>IF($N940="","",INDEX('_calc'!$F$2:$F$3001,$N940))</f>
        <v/>
      </c>
      <c r="I940" s="27" t="str">
        <f>IF($N940="","",INDEX('_calc'!$H$2:$H$3001,$N940))</f>
        <v/>
      </c>
      <c r="J940" s="27" t="str">
        <f>IF($N940="","",INDEX('_calc'!$I$2:$I$3001,$N940))</f>
        <v/>
      </c>
      <c r="K940" s="28" t="str">
        <f>IF($N940="","",IF(OR(I940="",J940=""),"",J940-I940))</f>
        <v/>
      </c>
      <c r="L940" s="29" t="str">
        <f>IF($N940="","",INDEX('_calc'!$J$2:$J$3001,$N940))</f>
        <v/>
      </c>
      <c r="M940" s="2" t="str">
        <f>IF($N940="","",IF(AND(G940=0,H940=0),"수량 없음",IF(G940=0,"신규 (전년 수량 없음)",IF(H940=0,"당해 수량 없음",""))))</f>
        <v/>
      </c>
      <c r="N940" t="str">
        <f>IF($B940="","",MATCH($B940,'_calc'!$L$2:$L$3001,0))</f>
        <v/>
      </c>
    </row>
    <row r="941">
      <c r="B941" s="24" t="str">
        <f>IF(ROW()-ROW($B$8)&gt;nComp,"",ROW()-ROW($B$8))</f>
        <v/>
      </c>
      <c r="C941" t="str">
        <f>IF($N941="","",INDEX('_calc'!$A$2:$A$3001,$N941))</f>
        <v/>
      </c>
      <c r="D941" s="25" t="str">
        <f>IF($N941="","",INDEX('_calc'!$C$2:$C$3001,$N941))</f>
        <v/>
      </c>
      <c r="E941" s="25" t="str">
        <f>IF($N941="","",INDEX('_calc'!$D$2:$D$3001,$N941))</f>
        <v/>
      </c>
      <c r="F941" s="26" t="str">
        <f>IF($N941="","",IF($E$8=0,"",E941/$E$8))</f>
        <v/>
      </c>
      <c r="G941" s="25" t="str">
        <f>IF($N941="","",INDEX('_calc'!$E$2:$E$3001,$N941))</f>
        <v/>
      </c>
      <c r="H941" s="25" t="str">
        <f>IF($N941="","",INDEX('_calc'!$F$2:$F$3001,$N941))</f>
        <v/>
      </c>
      <c r="I941" s="27" t="str">
        <f>IF($N941="","",INDEX('_calc'!$H$2:$H$3001,$N941))</f>
        <v/>
      </c>
      <c r="J941" s="27" t="str">
        <f>IF($N941="","",INDEX('_calc'!$I$2:$I$3001,$N941))</f>
        <v/>
      </c>
      <c r="K941" s="28" t="str">
        <f>IF($N941="","",IF(OR(I941="",J941=""),"",J941-I941))</f>
        <v/>
      </c>
      <c r="L941" s="29" t="str">
        <f>IF($N941="","",INDEX('_calc'!$J$2:$J$3001,$N941))</f>
        <v/>
      </c>
      <c r="M941" s="2" t="str">
        <f>IF($N941="","",IF(AND(G941=0,H941=0),"수량 없음",IF(G941=0,"신규 (전년 수량 없음)",IF(H941=0,"당해 수량 없음",""))))</f>
        <v/>
      </c>
      <c r="N941" t="str">
        <f>IF($B941="","",MATCH($B941,'_calc'!$L$2:$L$3001,0))</f>
        <v/>
      </c>
    </row>
    <row r="942">
      <c r="B942" s="24" t="str">
        <f>IF(ROW()-ROW($B$8)&gt;nComp,"",ROW()-ROW($B$8))</f>
        <v/>
      </c>
      <c r="C942" t="str">
        <f>IF($N942="","",INDEX('_calc'!$A$2:$A$3001,$N942))</f>
        <v/>
      </c>
      <c r="D942" s="25" t="str">
        <f>IF($N942="","",INDEX('_calc'!$C$2:$C$3001,$N942))</f>
        <v/>
      </c>
      <c r="E942" s="25" t="str">
        <f>IF($N942="","",INDEX('_calc'!$D$2:$D$3001,$N942))</f>
        <v/>
      </c>
      <c r="F942" s="26" t="str">
        <f>IF($N942="","",IF($E$8=0,"",E942/$E$8))</f>
        <v/>
      </c>
      <c r="G942" s="25" t="str">
        <f>IF($N942="","",INDEX('_calc'!$E$2:$E$3001,$N942))</f>
        <v/>
      </c>
      <c r="H942" s="25" t="str">
        <f>IF($N942="","",INDEX('_calc'!$F$2:$F$3001,$N942))</f>
        <v/>
      </c>
      <c r="I942" s="27" t="str">
        <f>IF($N942="","",INDEX('_calc'!$H$2:$H$3001,$N942))</f>
        <v/>
      </c>
      <c r="J942" s="27" t="str">
        <f>IF($N942="","",INDEX('_calc'!$I$2:$I$3001,$N942))</f>
        <v/>
      </c>
      <c r="K942" s="28" t="str">
        <f>IF($N942="","",IF(OR(I942="",J942=""),"",J942-I942))</f>
        <v/>
      </c>
      <c r="L942" s="29" t="str">
        <f>IF($N942="","",INDEX('_calc'!$J$2:$J$3001,$N942))</f>
        <v/>
      </c>
      <c r="M942" s="2" t="str">
        <f>IF($N942="","",IF(AND(G942=0,H942=0),"수량 없음",IF(G942=0,"신규 (전년 수량 없음)",IF(H942=0,"당해 수량 없음",""))))</f>
        <v/>
      </c>
      <c r="N942" t="str">
        <f>IF($B942="","",MATCH($B942,'_calc'!$L$2:$L$3001,0))</f>
        <v/>
      </c>
    </row>
    <row r="943">
      <c r="B943" s="24" t="str">
        <f>IF(ROW()-ROW($B$8)&gt;nComp,"",ROW()-ROW($B$8))</f>
        <v/>
      </c>
      <c r="C943" t="str">
        <f>IF($N943="","",INDEX('_calc'!$A$2:$A$3001,$N943))</f>
        <v/>
      </c>
      <c r="D943" s="25" t="str">
        <f>IF($N943="","",INDEX('_calc'!$C$2:$C$3001,$N943))</f>
        <v/>
      </c>
      <c r="E943" s="25" t="str">
        <f>IF($N943="","",INDEX('_calc'!$D$2:$D$3001,$N943))</f>
        <v/>
      </c>
      <c r="F943" s="26" t="str">
        <f>IF($N943="","",IF($E$8=0,"",E943/$E$8))</f>
        <v/>
      </c>
      <c r="G943" s="25" t="str">
        <f>IF($N943="","",INDEX('_calc'!$E$2:$E$3001,$N943))</f>
        <v/>
      </c>
      <c r="H943" s="25" t="str">
        <f>IF($N943="","",INDEX('_calc'!$F$2:$F$3001,$N943))</f>
        <v/>
      </c>
      <c r="I943" s="27" t="str">
        <f>IF($N943="","",INDEX('_calc'!$H$2:$H$3001,$N943))</f>
        <v/>
      </c>
      <c r="J943" s="27" t="str">
        <f>IF($N943="","",INDEX('_calc'!$I$2:$I$3001,$N943))</f>
        <v/>
      </c>
      <c r="K943" s="28" t="str">
        <f>IF($N943="","",IF(OR(I943="",J943=""),"",J943-I943))</f>
        <v/>
      </c>
      <c r="L943" s="29" t="str">
        <f>IF($N943="","",INDEX('_calc'!$J$2:$J$3001,$N943))</f>
        <v/>
      </c>
      <c r="M943" s="2" t="str">
        <f>IF($N943="","",IF(AND(G943=0,H943=0),"수량 없음",IF(G943=0,"신규 (전년 수량 없음)",IF(H943=0,"당해 수량 없음",""))))</f>
        <v/>
      </c>
      <c r="N943" t="str">
        <f>IF($B943="","",MATCH($B943,'_calc'!$L$2:$L$3001,0))</f>
        <v/>
      </c>
    </row>
    <row r="944">
      <c r="B944" s="24" t="str">
        <f>IF(ROW()-ROW($B$8)&gt;nComp,"",ROW()-ROW($B$8))</f>
        <v/>
      </c>
      <c r="C944" t="str">
        <f>IF($N944="","",INDEX('_calc'!$A$2:$A$3001,$N944))</f>
        <v/>
      </c>
      <c r="D944" s="25" t="str">
        <f>IF($N944="","",INDEX('_calc'!$C$2:$C$3001,$N944))</f>
        <v/>
      </c>
      <c r="E944" s="25" t="str">
        <f>IF($N944="","",INDEX('_calc'!$D$2:$D$3001,$N944))</f>
        <v/>
      </c>
      <c r="F944" s="26" t="str">
        <f>IF($N944="","",IF($E$8=0,"",E944/$E$8))</f>
        <v/>
      </c>
      <c r="G944" s="25" t="str">
        <f>IF($N944="","",INDEX('_calc'!$E$2:$E$3001,$N944))</f>
        <v/>
      </c>
      <c r="H944" s="25" t="str">
        <f>IF($N944="","",INDEX('_calc'!$F$2:$F$3001,$N944))</f>
        <v/>
      </c>
      <c r="I944" s="27" t="str">
        <f>IF($N944="","",INDEX('_calc'!$H$2:$H$3001,$N944))</f>
        <v/>
      </c>
      <c r="J944" s="27" t="str">
        <f>IF($N944="","",INDEX('_calc'!$I$2:$I$3001,$N944))</f>
        <v/>
      </c>
      <c r="K944" s="28" t="str">
        <f>IF($N944="","",IF(OR(I944="",J944=""),"",J944-I944))</f>
        <v/>
      </c>
      <c r="L944" s="29" t="str">
        <f>IF($N944="","",INDEX('_calc'!$J$2:$J$3001,$N944))</f>
        <v/>
      </c>
      <c r="M944" s="2" t="str">
        <f>IF($N944="","",IF(AND(G944=0,H944=0),"수량 없음",IF(G944=0,"신규 (전년 수량 없음)",IF(H944=0,"당해 수량 없음",""))))</f>
        <v/>
      </c>
      <c r="N944" t="str">
        <f>IF($B944="","",MATCH($B944,'_calc'!$L$2:$L$3001,0))</f>
        <v/>
      </c>
    </row>
    <row r="945">
      <c r="B945" s="24" t="str">
        <f>IF(ROW()-ROW($B$8)&gt;nComp,"",ROW()-ROW($B$8))</f>
        <v/>
      </c>
      <c r="C945" t="str">
        <f>IF($N945="","",INDEX('_calc'!$A$2:$A$3001,$N945))</f>
        <v/>
      </c>
      <c r="D945" s="25" t="str">
        <f>IF($N945="","",INDEX('_calc'!$C$2:$C$3001,$N945))</f>
        <v/>
      </c>
      <c r="E945" s="25" t="str">
        <f>IF($N945="","",INDEX('_calc'!$D$2:$D$3001,$N945))</f>
        <v/>
      </c>
      <c r="F945" s="26" t="str">
        <f>IF($N945="","",IF($E$8=0,"",E945/$E$8))</f>
        <v/>
      </c>
      <c r="G945" s="25" t="str">
        <f>IF($N945="","",INDEX('_calc'!$E$2:$E$3001,$N945))</f>
        <v/>
      </c>
      <c r="H945" s="25" t="str">
        <f>IF($N945="","",INDEX('_calc'!$F$2:$F$3001,$N945))</f>
        <v/>
      </c>
      <c r="I945" s="27" t="str">
        <f>IF($N945="","",INDEX('_calc'!$H$2:$H$3001,$N945))</f>
        <v/>
      </c>
      <c r="J945" s="27" t="str">
        <f>IF($N945="","",INDEX('_calc'!$I$2:$I$3001,$N945))</f>
        <v/>
      </c>
      <c r="K945" s="28" t="str">
        <f>IF($N945="","",IF(OR(I945="",J945=""),"",J945-I945))</f>
        <v/>
      </c>
      <c r="L945" s="29" t="str">
        <f>IF($N945="","",INDEX('_calc'!$J$2:$J$3001,$N945))</f>
        <v/>
      </c>
      <c r="M945" s="2" t="str">
        <f>IF($N945="","",IF(AND(G945=0,H945=0),"수량 없음",IF(G945=0,"신규 (전년 수량 없음)",IF(H945=0,"당해 수량 없음",""))))</f>
        <v/>
      </c>
      <c r="N945" t="str">
        <f>IF($B945="","",MATCH($B945,'_calc'!$L$2:$L$3001,0))</f>
        <v/>
      </c>
    </row>
    <row r="946">
      <c r="B946" s="24" t="str">
        <f>IF(ROW()-ROW($B$8)&gt;nComp,"",ROW()-ROW($B$8))</f>
        <v/>
      </c>
      <c r="C946" t="str">
        <f>IF($N946="","",INDEX('_calc'!$A$2:$A$3001,$N946))</f>
        <v/>
      </c>
      <c r="D946" s="25" t="str">
        <f>IF($N946="","",INDEX('_calc'!$C$2:$C$3001,$N946))</f>
        <v/>
      </c>
      <c r="E946" s="25" t="str">
        <f>IF($N946="","",INDEX('_calc'!$D$2:$D$3001,$N946))</f>
        <v/>
      </c>
      <c r="F946" s="26" t="str">
        <f>IF($N946="","",IF($E$8=0,"",E946/$E$8))</f>
        <v/>
      </c>
      <c r="G946" s="25" t="str">
        <f>IF($N946="","",INDEX('_calc'!$E$2:$E$3001,$N946))</f>
        <v/>
      </c>
      <c r="H946" s="25" t="str">
        <f>IF($N946="","",INDEX('_calc'!$F$2:$F$3001,$N946))</f>
        <v/>
      </c>
      <c r="I946" s="27" t="str">
        <f>IF($N946="","",INDEX('_calc'!$H$2:$H$3001,$N946))</f>
        <v/>
      </c>
      <c r="J946" s="27" t="str">
        <f>IF($N946="","",INDEX('_calc'!$I$2:$I$3001,$N946))</f>
        <v/>
      </c>
      <c r="K946" s="28" t="str">
        <f>IF($N946="","",IF(OR(I946="",J946=""),"",J946-I946))</f>
        <v/>
      </c>
      <c r="L946" s="29" t="str">
        <f>IF($N946="","",INDEX('_calc'!$J$2:$J$3001,$N946))</f>
        <v/>
      </c>
      <c r="M946" s="2" t="str">
        <f>IF($N946="","",IF(AND(G946=0,H946=0),"수량 없음",IF(G946=0,"신규 (전년 수량 없음)",IF(H946=0,"당해 수량 없음",""))))</f>
        <v/>
      </c>
      <c r="N946" t="str">
        <f>IF($B946="","",MATCH($B946,'_calc'!$L$2:$L$3001,0))</f>
        <v/>
      </c>
    </row>
    <row r="947">
      <c r="B947" s="24" t="str">
        <f>IF(ROW()-ROW($B$8)&gt;nComp,"",ROW()-ROW($B$8))</f>
        <v/>
      </c>
      <c r="C947" t="str">
        <f>IF($N947="","",INDEX('_calc'!$A$2:$A$3001,$N947))</f>
        <v/>
      </c>
      <c r="D947" s="25" t="str">
        <f>IF($N947="","",INDEX('_calc'!$C$2:$C$3001,$N947))</f>
        <v/>
      </c>
      <c r="E947" s="25" t="str">
        <f>IF($N947="","",INDEX('_calc'!$D$2:$D$3001,$N947))</f>
        <v/>
      </c>
      <c r="F947" s="26" t="str">
        <f>IF($N947="","",IF($E$8=0,"",E947/$E$8))</f>
        <v/>
      </c>
      <c r="G947" s="25" t="str">
        <f>IF($N947="","",INDEX('_calc'!$E$2:$E$3001,$N947))</f>
        <v/>
      </c>
      <c r="H947" s="25" t="str">
        <f>IF($N947="","",INDEX('_calc'!$F$2:$F$3001,$N947))</f>
        <v/>
      </c>
      <c r="I947" s="27" t="str">
        <f>IF($N947="","",INDEX('_calc'!$H$2:$H$3001,$N947))</f>
        <v/>
      </c>
      <c r="J947" s="27" t="str">
        <f>IF($N947="","",INDEX('_calc'!$I$2:$I$3001,$N947))</f>
        <v/>
      </c>
      <c r="K947" s="28" t="str">
        <f>IF($N947="","",IF(OR(I947="",J947=""),"",J947-I947))</f>
        <v/>
      </c>
      <c r="L947" s="29" t="str">
        <f>IF($N947="","",INDEX('_calc'!$J$2:$J$3001,$N947))</f>
        <v/>
      </c>
      <c r="M947" s="2" t="str">
        <f>IF($N947="","",IF(AND(G947=0,H947=0),"수량 없음",IF(G947=0,"신규 (전년 수량 없음)",IF(H947=0,"당해 수량 없음",""))))</f>
        <v/>
      </c>
      <c r="N947" t="str">
        <f>IF($B947="","",MATCH($B947,'_calc'!$L$2:$L$3001,0))</f>
        <v/>
      </c>
    </row>
    <row r="948">
      <c r="B948" s="24" t="str">
        <f>IF(ROW()-ROW($B$8)&gt;nComp,"",ROW()-ROW($B$8))</f>
        <v/>
      </c>
      <c r="C948" t="str">
        <f>IF($N948="","",INDEX('_calc'!$A$2:$A$3001,$N948))</f>
        <v/>
      </c>
      <c r="D948" s="25" t="str">
        <f>IF($N948="","",INDEX('_calc'!$C$2:$C$3001,$N948))</f>
        <v/>
      </c>
      <c r="E948" s="25" t="str">
        <f>IF($N948="","",INDEX('_calc'!$D$2:$D$3001,$N948))</f>
        <v/>
      </c>
      <c r="F948" s="26" t="str">
        <f>IF($N948="","",IF($E$8=0,"",E948/$E$8))</f>
        <v/>
      </c>
      <c r="G948" s="25" t="str">
        <f>IF($N948="","",INDEX('_calc'!$E$2:$E$3001,$N948))</f>
        <v/>
      </c>
      <c r="H948" s="25" t="str">
        <f>IF($N948="","",INDEX('_calc'!$F$2:$F$3001,$N948))</f>
        <v/>
      </c>
      <c r="I948" s="27" t="str">
        <f>IF($N948="","",INDEX('_calc'!$H$2:$H$3001,$N948))</f>
        <v/>
      </c>
      <c r="J948" s="27" t="str">
        <f>IF($N948="","",INDEX('_calc'!$I$2:$I$3001,$N948))</f>
        <v/>
      </c>
      <c r="K948" s="28" t="str">
        <f>IF($N948="","",IF(OR(I948="",J948=""),"",J948-I948))</f>
        <v/>
      </c>
      <c r="L948" s="29" t="str">
        <f>IF($N948="","",INDEX('_calc'!$J$2:$J$3001,$N948))</f>
        <v/>
      </c>
      <c r="M948" s="2" t="str">
        <f>IF($N948="","",IF(AND(G948=0,H948=0),"수량 없음",IF(G948=0,"신규 (전년 수량 없음)",IF(H948=0,"당해 수량 없음",""))))</f>
        <v/>
      </c>
      <c r="N948" t="str">
        <f>IF($B948="","",MATCH($B948,'_calc'!$L$2:$L$3001,0))</f>
        <v/>
      </c>
    </row>
    <row r="949">
      <c r="B949" s="24" t="str">
        <f>IF(ROW()-ROW($B$8)&gt;nComp,"",ROW()-ROW($B$8))</f>
        <v/>
      </c>
      <c r="C949" t="str">
        <f>IF($N949="","",INDEX('_calc'!$A$2:$A$3001,$N949))</f>
        <v/>
      </c>
      <c r="D949" s="25" t="str">
        <f>IF($N949="","",INDEX('_calc'!$C$2:$C$3001,$N949))</f>
        <v/>
      </c>
      <c r="E949" s="25" t="str">
        <f>IF($N949="","",INDEX('_calc'!$D$2:$D$3001,$N949))</f>
        <v/>
      </c>
      <c r="F949" s="26" t="str">
        <f>IF($N949="","",IF($E$8=0,"",E949/$E$8))</f>
        <v/>
      </c>
      <c r="G949" s="25" t="str">
        <f>IF($N949="","",INDEX('_calc'!$E$2:$E$3001,$N949))</f>
        <v/>
      </c>
      <c r="H949" s="25" t="str">
        <f>IF($N949="","",INDEX('_calc'!$F$2:$F$3001,$N949))</f>
        <v/>
      </c>
      <c r="I949" s="27" t="str">
        <f>IF($N949="","",INDEX('_calc'!$H$2:$H$3001,$N949))</f>
        <v/>
      </c>
      <c r="J949" s="27" t="str">
        <f>IF($N949="","",INDEX('_calc'!$I$2:$I$3001,$N949))</f>
        <v/>
      </c>
      <c r="K949" s="28" t="str">
        <f>IF($N949="","",IF(OR(I949="",J949=""),"",J949-I949))</f>
        <v/>
      </c>
      <c r="L949" s="29" t="str">
        <f>IF($N949="","",INDEX('_calc'!$J$2:$J$3001,$N949))</f>
        <v/>
      </c>
      <c r="M949" s="2" t="str">
        <f>IF($N949="","",IF(AND(G949=0,H949=0),"수량 없음",IF(G949=0,"신규 (전년 수량 없음)",IF(H949=0,"당해 수량 없음",""))))</f>
        <v/>
      </c>
      <c r="N949" t="str">
        <f>IF($B949="","",MATCH($B949,'_calc'!$L$2:$L$3001,0))</f>
        <v/>
      </c>
    </row>
    <row r="950">
      <c r="B950" s="24" t="str">
        <f>IF(ROW()-ROW($B$8)&gt;nComp,"",ROW()-ROW($B$8))</f>
        <v/>
      </c>
      <c r="C950" t="str">
        <f>IF($N950="","",INDEX('_calc'!$A$2:$A$3001,$N950))</f>
        <v/>
      </c>
      <c r="D950" s="25" t="str">
        <f>IF($N950="","",INDEX('_calc'!$C$2:$C$3001,$N950))</f>
        <v/>
      </c>
      <c r="E950" s="25" t="str">
        <f>IF($N950="","",INDEX('_calc'!$D$2:$D$3001,$N950))</f>
        <v/>
      </c>
      <c r="F950" s="26" t="str">
        <f>IF($N950="","",IF($E$8=0,"",E950/$E$8))</f>
        <v/>
      </c>
      <c r="G950" s="25" t="str">
        <f>IF($N950="","",INDEX('_calc'!$E$2:$E$3001,$N950))</f>
        <v/>
      </c>
      <c r="H950" s="25" t="str">
        <f>IF($N950="","",INDEX('_calc'!$F$2:$F$3001,$N950))</f>
        <v/>
      </c>
      <c r="I950" s="27" t="str">
        <f>IF($N950="","",INDEX('_calc'!$H$2:$H$3001,$N950))</f>
        <v/>
      </c>
      <c r="J950" s="27" t="str">
        <f>IF($N950="","",INDEX('_calc'!$I$2:$I$3001,$N950))</f>
        <v/>
      </c>
      <c r="K950" s="28" t="str">
        <f>IF($N950="","",IF(OR(I950="",J950=""),"",J950-I950))</f>
        <v/>
      </c>
      <c r="L950" s="29" t="str">
        <f>IF($N950="","",INDEX('_calc'!$J$2:$J$3001,$N950))</f>
        <v/>
      </c>
      <c r="M950" s="2" t="str">
        <f>IF($N950="","",IF(AND(G950=0,H950=0),"수량 없음",IF(G950=0,"신규 (전년 수량 없음)",IF(H950=0,"당해 수량 없음",""))))</f>
        <v/>
      </c>
      <c r="N950" t="str">
        <f>IF($B950="","",MATCH($B950,'_calc'!$L$2:$L$3001,0))</f>
        <v/>
      </c>
    </row>
    <row r="951">
      <c r="B951" s="24" t="str">
        <f>IF(ROW()-ROW($B$8)&gt;nComp,"",ROW()-ROW($B$8))</f>
        <v/>
      </c>
      <c r="C951" t="str">
        <f>IF($N951="","",INDEX('_calc'!$A$2:$A$3001,$N951))</f>
        <v/>
      </c>
      <c r="D951" s="25" t="str">
        <f>IF($N951="","",INDEX('_calc'!$C$2:$C$3001,$N951))</f>
        <v/>
      </c>
      <c r="E951" s="25" t="str">
        <f>IF($N951="","",INDEX('_calc'!$D$2:$D$3001,$N951))</f>
        <v/>
      </c>
      <c r="F951" s="26" t="str">
        <f>IF($N951="","",IF($E$8=0,"",E951/$E$8))</f>
        <v/>
      </c>
      <c r="G951" s="25" t="str">
        <f>IF($N951="","",INDEX('_calc'!$E$2:$E$3001,$N951))</f>
        <v/>
      </c>
      <c r="H951" s="25" t="str">
        <f>IF($N951="","",INDEX('_calc'!$F$2:$F$3001,$N951))</f>
        <v/>
      </c>
      <c r="I951" s="27" t="str">
        <f>IF($N951="","",INDEX('_calc'!$H$2:$H$3001,$N951))</f>
        <v/>
      </c>
      <c r="J951" s="27" t="str">
        <f>IF($N951="","",INDEX('_calc'!$I$2:$I$3001,$N951))</f>
        <v/>
      </c>
      <c r="K951" s="28" t="str">
        <f>IF($N951="","",IF(OR(I951="",J951=""),"",J951-I951))</f>
        <v/>
      </c>
      <c r="L951" s="29" t="str">
        <f>IF($N951="","",INDEX('_calc'!$J$2:$J$3001,$N951))</f>
        <v/>
      </c>
      <c r="M951" s="2" t="str">
        <f>IF($N951="","",IF(AND(G951=0,H951=0),"수량 없음",IF(G951=0,"신규 (전년 수량 없음)",IF(H951=0,"당해 수량 없음",""))))</f>
        <v/>
      </c>
      <c r="N951" t="str">
        <f>IF($B951="","",MATCH($B951,'_calc'!$L$2:$L$3001,0))</f>
        <v/>
      </c>
    </row>
    <row r="952">
      <c r="B952" s="24" t="str">
        <f>IF(ROW()-ROW($B$8)&gt;nComp,"",ROW()-ROW($B$8))</f>
        <v/>
      </c>
      <c r="C952" t="str">
        <f>IF($N952="","",INDEX('_calc'!$A$2:$A$3001,$N952))</f>
        <v/>
      </c>
      <c r="D952" s="25" t="str">
        <f>IF($N952="","",INDEX('_calc'!$C$2:$C$3001,$N952))</f>
        <v/>
      </c>
      <c r="E952" s="25" t="str">
        <f>IF($N952="","",INDEX('_calc'!$D$2:$D$3001,$N952))</f>
        <v/>
      </c>
      <c r="F952" s="26" t="str">
        <f>IF($N952="","",IF($E$8=0,"",E952/$E$8))</f>
        <v/>
      </c>
      <c r="G952" s="25" t="str">
        <f>IF($N952="","",INDEX('_calc'!$E$2:$E$3001,$N952))</f>
        <v/>
      </c>
      <c r="H952" s="25" t="str">
        <f>IF($N952="","",INDEX('_calc'!$F$2:$F$3001,$N952))</f>
        <v/>
      </c>
      <c r="I952" s="27" t="str">
        <f>IF($N952="","",INDEX('_calc'!$H$2:$H$3001,$N952))</f>
        <v/>
      </c>
      <c r="J952" s="27" t="str">
        <f>IF($N952="","",INDEX('_calc'!$I$2:$I$3001,$N952))</f>
        <v/>
      </c>
      <c r="K952" s="28" t="str">
        <f>IF($N952="","",IF(OR(I952="",J952=""),"",J952-I952))</f>
        <v/>
      </c>
      <c r="L952" s="29" t="str">
        <f>IF($N952="","",INDEX('_calc'!$J$2:$J$3001,$N952))</f>
        <v/>
      </c>
      <c r="M952" s="2" t="str">
        <f>IF($N952="","",IF(AND(G952=0,H952=0),"수량 없음",IF(G952=0,"신규 (전년 수량 없음)",IF(H952=0,"당해 수량 없음",""))))</f>
        <v/>
      </c>
      <c r="N952" t="str">
        <f>IF($B952="","",MATCH($B952,'_calc'!$L$2:$L$3001,0))</f>
        <v/>
      </c>
    </row>
    <row r="953">
      <c r="B953" s="24" t="str">
        <f>IF(ROW()-ROW($B$8)&gt;nComp,"",ROW()-ROW($B$8))</f>
        <v/>
      </c>
      <c r="C953" t="str">
        <f>IF($N953="","",INDEX('_calc'!$A$2:$A$3001,$N953))</f>
        <v/>
      </c>
      <c r="D953" s="25" t="str">
        <f>IF($N953="","",INDEX('_calc'!$C$2:$C$3001,$N953))</f>
        <v/>
      </c>
      <c r="E953" s="25" t="str">
        <f>IF($N953="","",INDEX('_calc'!$D$2:$D$3001,$N953))</f>
        <v/>
      </c>
      <c r="F953" s="26" t="str">
        <f>IF($N953="","",IF($E$8=0,"",E953/$E$8))</f>
        <v/>
      </c>
      <c r="G953" s="25" t="str">
        <f>IF($N953="","",INDEX('_calc'!$E$2:$E$3001,$N953))</f>
        <v/>
      </c>
      <c r="H953" s="25" t="str">
        <f>IF($N953="","",INDEX('_calc'!$F$2:$F$3001,$N953))</f>
        <v/>
      </c>
      <c r="I953" s="27" t="str">
        <f>IF($N953="","",INDEX('_calc'!$H$2:$H$3001,$N953))</f>
        <v/>
      </c>
      <c r="J953" s="27" t="str">
        <f>IF($N953="","",INDEX('_calc'!$I$2:$I$3001,$N953))</f>
        <v/>
      </c>
      <c r="K953" s="28" t="str">
        <f>IF($N953="","",IF(OR(I953="",J953=""),"",J953-I953))</f>
        <v/>
      </c>
      <c r="L953" s="29" t="str">
        <f>IF($N953="","",INDEX('_calc'!$J$2:$J$3001,$N953))</f>
        <v/>
      </c>
      <c r="M953" s="2" t="str">
        <f>IF($N953="","",IF(AND(G953=0,H953=0),"수량 없음",IF(G953=0,"신규 (전년 수량 없음)",IF(H953=0,"당해 수량 없음",""))))</f>
        <v/>
      </c>
      <c r="N953" t="str">
        <f>IF($B953="","",MATCH($B953,'_calc'!$L$2:$L$3001,0))</f>
        <v/>
      </c>
    </row>
    <row r="954">
      <c r="B954" s="24" t="str">
        <f>IF(ROW()-ROW($B$8)&gt;nComp,"",ROW()-ROW($B$8))</f>
        <v/>
      </c>
      <c r="C954" t="str">
        <f>IF($N954="","",INDEX('_calc'!$A$2:$A$3001,$N954))</f>
        <v/>
      </c>
      <c r="D954" s="25" t="str">
        <f>IF($N954="","",INDEX('_calc'!$C$2:$C$3001,$N954))</f>
        <v/>
      </c>
      <c r="E954" s="25" t="str">
        <f>IF($N954="","",INDEX('_calc'!$D$2:$D$3001,$N954))</f>
        <v/>
      </c>
      <c r="F954" s="26" t="str">
        <f>IF($N954="","",IF($E$8=0,"",E954/$E$8))</f>
        <v/>
      </c>
      <c r="G954" s="25" t="str">
        <f>IF($N954="","",INDEX('_calc'!$E$2:$E$3001,$N954))</f>
        <v/>
      </c>
      <c r="H954" s="25" t="str">
        <f>IF($N954="","",INDEX('_calc'!$F$2:$F$3001,$N954))</f>
        <v/>
      </c>
      <c r="I954" s="27" t="str">
        <f>IF($N954="","",INDEX('_calc'!$H$2:$H$3001,$N954))</f>
        <v/>
      </c>
      <c r="J954" s="27" t="str">
        <f>IF($N954="","",INDEX('_calc'!$I$2:$I$3001,$N954))</f>
        <v/>
      </c>
      <c r="K954" s="28" t="str">
        <f>IF($N954="","",IF(OR(I954="",J954=""),"",J954-I954))</f>
        <v/>
      </c>
      <c r="L954" s="29" t="str">
        <f>IF($N954="","",INDEX('_calc'!$J$2:$J$3001,$N954))</f>
        <v/>
      </c>
      <c r="M954" s="2" t="str">
        <f>IF($N954="","",IF(AND(G954=0,H954=0),"수량 없음",IF(G954=0,"신규 (전년 수량 없음)",IF(H954=0,"당해 수량 없음",""))))</f>
        <v/>
      </c>
      <c r="N954" t="str">
        <f>IF($B954="","",MATCH($B954,'_calc'!$L$2:$L$3001,0))</f>
        <v/>
      </c>
    </row>
    <row r="955">
      <c r="B955" s="24" t="str">
        <f>IF(ROW()-ROW($B$8)&gt;nComp,"",ROW()-ROW($B$8))</f>
        <v/>
      </c>
      <c r="C955" t="str">
        <f>IF($N955="","",INDEX('_calc'!$A$2:$A$3001,$N955))</f>
        <v/>
      </c>
      <c r="D955" s="25" t="str">
        <f>IF($N955="","",INDEX('_calc'!$C$2:$C$3001,$N955))</f>
        <v/>
      </c>
      <c r="E955" s="25" t="str">
        <f>IF($N955="","",INDEX('_calc'!$D$2:$D$3001,$N955))</f>
        <v/>
      </c>
      <c r="F955" s="26" t="str">
        <f>IF($N955="","",IF($E$8=0,"",E955/$E$8))</f>
        <v/>
      </c>
      <c r="G955" s="25" t="str">
        <f>IF($N955="","",INDEX('_calc'!$E$2:$E$3001,$N955))</f>
        <v/>
      </c>
      <c r="H955" s="25" t="str">
        <f>IF($N955="","",INDEX('_calc'!$F$2:$F$3001,$N955))</f>
        <v/>
      </c>
      <c r="I955" s="27" t="str">
        <f>IF($N955="","",INDEX('_calc'!$H$2:$H$3001,$N955))</f>
        <v/>
      </c>
      <c r="J955" s="27" t="str">
        <f>IF($N955="","",INDEX('_calc'!$I$2:$I$3001,$N955))</f>
        <v/>
      </c>
      <c r="K955" s="28" t="str">
        <f>IF($N955="","",IF(OR(I955="",J955=""),"",J955-I955))</f>
        <v/>
      </c>
      <c r="L955" s="29" t="str">
        <f>IF($N955="","",INDEX('_calc'!$J$2:$J$3001,$N955))</f>
        <v/>
      </c>
      <c r="M955" s="2" t="str">
        <f>IF($N955="","",IF(AND(G955=0,H955=0),"수량 없음",IF(G955=0,"신규 (전년 수량 없음)",IF(H955=0,"당해 수량 없음",""))))</f>
        <v/>
      </c>
      <c r="N955" t="str">
        <f>IF($B955="","",MATCH($B955,'_calc'!$L$2:$L$3001,0))</f>
        <v/>
      </c>
    </row>
    <row r="956">
      <c r="B956" s="24" t="str">
        <f>IF(ROW()-ROW($B$8)&gt;nComp,"",ROW()-ROW($B$8))</f>
        <v/>
      </c>
      <c r="C956" t="str">
        <f>IF($N956="","",INDEX('_calc'!$A$2:$A$3001,$N956))</f>
        <v/>
      </c>
      <c r="D956" s="25" t="str">
        <f>IF($N956="","",INDEX('_calc'!$C$2:$C$3001,$N956))</f>
        <v/>
      </c>
      <c r="E956" s="25" t="str">
        <f>IF($N956="","",INDEX('_calc'!$D$2:$D$3001,$N956))</f>
        <v/>
      </c>
      <c r="F956" s="26" t="str">
        <f>IF($N956="","",IF($E$8=0,"",E956/$E$8))</f>
        <v/>
      </c>
      <c r="G956" s="25" t="str">
        <f>IF($N956="","",INDEX('_calc'!$E$2:$E$3001,$N956))</f>
        <v/>
      </c>
      <c r="H956" s="25" t="str">
        <f>IF($N956="","",INDEX('_calc'!$F$2:$F$3001,$N956))</f>
        <v/>
      </c>
      <c r="I956" s="27" t="str">
        <f>IF($N956="","",INDEX('_calc'!$H$2:$H$3001,$N956))</f>
        <v/>
      </c>
      <c r="J956" s="27" t="str">
        <f>IF($N956="","",INDEX('_calc'!$I$2:$I$3001,$N956))</f>
        <v/>
      </c>
      <c r="K956" s="28" t="str">
        <f>IF($N956="","",IF(OR(I956="",J956=""),"",J956-I956))</f>
        <v/>
      </c>
      <c r="L956" s="29" t="str">
        <f>IF($N956="","",INDEX('_calc'!$J$2:$J$3001,$N956))</f>
        <v/>
      </c>
      <c r="M956" s="2" t="str">
        <f>IF($N956="","",IF(AND(G956=0,H956=0),"수량 없음",IF(G956=0,"신규 (전년 수량 없음)",IF(H956=0,"당해 수량 없음",""))))</f>
        <v/>
      </c>
      <c r="N956" t="str">
        <f>IF($B956="","",MATCH($B956,'_calc'!$L$2:$L$3001,0))</f>
        <v/>
      </c>
    </row>
    <row r="957">
      <c r="B957" s="24" t="str">
        <f>IF(ROW()-ROW($B$8)&gt;nComp,"",ROW()-ROW($B$8))</f>
        <v/>
      </c>
      <c r="C957" t="str">
        <f>IF($N957="","",INDEX('_calc'!$A$2:$A$3001,$N957))</f>
        <v/>
      </c>
      <c r="D957" s="25" t="str">
        <f>IF($N957="","",INDEX('_calc'!$C$2:$C$3001,$N957))</f>
        <v/>
      </c>
      <c r="E957" s="25" t="str">
        <f>IF($N957="","",INDEX('_calc'!$D$2:$D$3001,$N957))</f>
        <v/>
      </c>
      <c r="F957" s="26" t="str">
        <f>IF($N957="","",IF($E$8=0,"",E957/$E$8))</f>
        <v/>
      </c>
      <c r="G957" s="25" t="str">
        <f>IF($N957="","",INDEX('_calc'!$E$2:$E$3001,$N957))</f>
        <v/>
      </c>
      <c r="H957" s="25" t="str">
        <f>IF($N957="","",INDEX('_calc'!$F$2:$F$3001,$N957))</f>
        <v/>
      </c>
      <c r="I957" s="27" t="str">
        <f>IF($N957="","",INDEX('_calc'!$H$2:$H$3001,$N957))</f>
        <v/>
      </c>
      <c r="J957" s="27" t="str">
        <f>IF($N957="","",INDEX('_calc'!$I$2:$I$3001,$N957))</f>
        <v/>
      </c>
      <c r="K957" s="28" t="str">
        <f>IF($N957="","",IF(OR(I957="",J957=""),"",J957-I957))</f>
        <v/>
      </c>
      <c r="L957" s="29" t="str">
        <f>IF($N957="","",INDEX('_calc'!$J$2:$J$3001,$N957))</f>
        <v/>
      </c>
      <c r="M957" s="2" t="str">
        <f>IF($N957="","",IF(AND(G957=0,H957=0),"수량 없음",IF(G957=0,"신규 (전년 수량 없음)",IF(H957=0,"당해 수량 없음",""))))</f>
        <v/>
      </c>
      <c r="N957" t="str">
        <f>IF($B957="","",MATCH($B957,'_calc'!$L$2:$L$3001,0))</f>
        <v/>
      </c>
    </row>
    <row r="958">
      <c r="B958" s="24" t="str">
        <f>IF(ROW()-ROW($B$8)&gt;nComp,"",ROW()-ROW($B$8))</f>
        <v/>
      </c>
      <c r="C958" t="str">
        <f>IF($N958="","",INDEX('_calc'!$A$2:$A$3001,$N958))</f>
        <v/>
      </c>
      <c r="D958" s="25" t="str">
        <f>IF($N958="","",INDEX('_calc'!$C$2:$C$3001,$N958))</f>
        <v/>
      </c>
      <c r="E958" s="25" t="str">
        <f>IF($N958="","",INDEX('_calc'!$D$2:$D$3001,$N958))</f>
        <v/>
      </c>
      <c r="F958" s="26" t="str">
        <f>IF($N958="","",IF($E$8=0,"",E958/$E$8))</f>
        <v/>
      </c>
      <c r="G958" s="25" t="str">
        <f>IF($N958="","",INDEX('_calc'!$E$2:$E$3001,$N958))</f>
        <v/>
      </c>
      <c r="H958" s="25" t="str">
        <f>IF($N958="","",INDEX('_calc'!$F$2:$F$3001,$N958))</f>
        <v/>
      </c>
      <c r="I958" s="27" t="str">
        <f>IF($N958="","",INDEX('_calc'!$H$2:$H$3001,$N958))</f>
        <v/>
      </c>
      <c r="J958" s="27" t="str">
        <f>IF($N958="","",INDEX('_calc'!$I$2:$I$3001,$N958))</f>
        <v/>
      </c>
      <c r="K958" s="28" t="str">
        <f>IF($N958="","",IF(OR(I958="",J958=""),"",J958-I958))</f>
        <v/>
      </c>
      <c r="L958" s="29" t="str">
        <f>IF($N958="","",INDEX('_calc'!$J$2:$J$3001,$N958))</f>
        <v/>
      </c>
      <c r="M958" s="2" t="str">
        <f>IF($N958="","",IF(AND(G958=0,H958=0),"수량 없음",IF(G958=0,"신규 (전년 수량 없음)",IF(H958=0,"당해 수량 없음",""))))</f>
        <v/>
      </c>
      <c r="N958" t="str">
        <f>IF($B958="","",MATCH($B958,'_calc'!$L$2:$L$3001,0))</f>
        <v/>
      </c>
    </row>
    <row r="959">
      <c r="B959" s="24" t="str">
        <f>IF(ROW()-ROW($B$8)&gt;nComp,"",ROW()-ROW($B$8))</f>
        <v/>
      </c>
      <c r="C959" t="str">
        <f>IF($N959="","",INDEX('_calc'!$A$2:$A$3001,$N959))</f>
        <v/>
      </c>
      <c r="D959" s="25" t="str">
        <f>IF($N959="","",INDEX('_calc'!$C$2:$C$3001,$N959))</f>
        <v/>
      </c>
      <c r="E959" s="25" t="str">
        <f>IF($N959="","",INDEX('_calc'!$D$2:$D$3001,$N959))</f>
        <v/>
      </c>
      <c r="F959" s="26" t="str">
        <f>IF($N959="","",IF($E$8=0,"",E959/$E$8))</f>
        <v/>
      </c>
      <c r="G959" s="25" t="str">
        <f>IF($N959="","",INDEX('_calc'!$E$2:$E$3001,$N959))</f>
        <v/>
      </c>
      <c r="H959" s="25" t="str">
        <f>IF($N959="","",INDEX('_calc'!$F$2:$F$3001,$N959))</f>
        <v/>
      </c>
      <c r="I959" s="27" t="str">
        <f>IF($N959="","",INDEX('_calc'!$H$2:$H$3001,$N959))</f>
        <v/>
      </c>
      <c r="J959" s="27" t="str">
        <f>IF($N959="","",INDEX('_calc'!$I$2:$I$3001,$N959))</f>
        <v/>
      </c>
      <c r="K959" s="28" t="str">
        <f>IF($N959="","",IF(OR(I959="",J959=""),"",J959-I959))</f>
        <v/>
      </c>
      <c r="L959" s="29" t="str">
        <f>IF($N959="","",INDEX('_calc'!$J$2:$J$3001,$N959))</f>
        <v/>
      </c>
      <c r="M959" s="2" t="str">
        <f>IF($N959="","",IF(AND(G959=0,H959=0),"수량 없음",IF(G959=0,"신규 (전년 수량 없음)",IF(H959=0,"당해 수량 없음",""))))</f>
        <v/>
      </c>
      <c r="N959" t="str">
        <f>IF($B959="","",MATCH($B959,'_calc'!$L$2:$L$3001,0))</f>
        <v/>
      </c>
    </row>
    <row r="960">
      <c r="B960" s="24" t="str">
        <f>IF(ROW()-ROW($B$8)&gt;nComp,"",ROW()-ROW($B$8))</f>
        <v/>
      </c>
      <c r="C960" t="str">
        <f>IF($N960="","",INDEX('_calc'!$A$2:$A$3001,$N960))</f>
        <v/>
      </c>
      <c r="D960" s="25" t="str">
        <f>IF($N960="","",INDEX('_calc'!$C$2:$C$3001,$N960))</f>
        <v/>
      </c>
      <c r="E960" s="25" t="str">
        <f>IF($N960="","",INDEX('_calc'!$D$2:$D$3001,$N960))</f>
        <v/>
      </c>
      <c r="F960" s="26" t="str">
        <f>IF($N960="","",IF($E$8=0,"",E960/$E$8))</f>
        <v/>
      </c>
      <c r="G960" s="25" t="str">
        <f>IF($N960="","",INDEX('_calc'!$E$2:$E$3001,$N960))</f>
        <v/>
      </c>
      <c r="H960" s="25" t="str">
        <f>IF($N960="","",INDEX('_calc'!$F$2:$F$3001,$N960))</f>
        <v/>
      </c>
      <c r="I960" s="27" t="str">
        <f>IF($N960="","",INDEX('_calc'!$H$2:$H$3001,$N960))</f>
        <v/>
      </c>
      <c r="J960" s="27" t="str">
        <f>IF($N960="","",INDEX('_calc'!$I$2:$I$3001,$N960))</f>
        <v/>
      </c>
      <c r="K960" s="28" t="str">
        <f>IF($N960="","",IF(OR(I960="",J960=""),"",J960-I960))</f>
        <v/>
      </c>
      <c r="L960" s="29" t="str">
        <f>IF($N960="","",INDEX('_calc'!$J$2:$J$3001,$N960))</f>
        <v/>
      </c>
      <c r="M960" s="2" t="str">
        <f>IF($N960="","",IF(AND(G960=0,H960=0),"수량 없음",IF(G960=0,"신규 (전년 수량 없음)",IF(H960=0,"당해 수량 없음",""))))</f>
        <v/>
      </c>
      <c r="N960" t="str">
        <f>IF($B960="","",MATCH($B960,'_calc'!$L$2:$L$3001,0))</f>
        <v/>
      </c>
    </row>
    <row r="961">
      <c r="B961" s="24" t="str">
        <f>IF(ROW()-ROW($B$8)&gt;nComp,"",ROW()-ROW($B$8))</f>
        <v/>
      </c>
      <c r="C961" t="str">
        <f>IF($N961="","",INDEX('_calc'!$A$2:$A$3001,$N961))</f>
        <v/>
      </c>
      <c r="D961" s="25" t="str">
        <f>IF($N961="","",INDEX('_calc'!$C$2:$C$3001,$N961))</f>
        <v/>
      </c>
      <c r="E961" s="25" t="str">
        <f>IF($N961="","",INDEX('_calc'!$D$2:$D$3001,$N961))</f>
        <v/>
      </c>
      <c r="F961" s="26" t="str">
        <f>IF($N961="","",IF($E$8=0,"",E961/$E$8))</f>
        <v/>
      </c>
      <c r="G961" s="25" t="str">
        <f>IF($N961="","",INDEX('_calc'!$E$2:$E$3001,$N961))</f>
        <v/>
      </c>
      <c r="H961" s="25" t="str">
        <f>IF($N961="","",INDEX('_calc'!$F$2:$F$3001,$N961))</f>
        <v/>
      </c>
      <c r="I961" s="27" t="str">
        <f>IF($N961="","",INDEX('_calc'!$H$2:$H$3001,$N961))</f>
        <v/>
      </c>
      <c r="J961" s="27" t="str">
        <f>IF($N961="","",INDEX('_calc'!$I$2:$I$3001,$N961))</f>
        <v/>
      </c>
      <c r="K961" s="28" t="str">
        <f>IF($N961="","",IF(OR(I961="",J961=""),"",J961-I961))</f>
        <v/>
      </c>
      <c r="L961" s="29" t="str">
        <f>IF($N961="","",INDEX('_calc'!$J$2:$J$3001,$N961))</f>
        <v/>
      </c>
      <c r="M961" s="2" t="str">
        <f>IF($N961="","",IF(AND(G961=0,H961=0),"수량 없음",IF(G961=0,"신규 (전년 수량 없음)",IF(H961=0,"당해 수량 없음",""))))</f>
        <v/>
      </c>
      <c r="N961" t="str">
        <f>IF($B961="","",MATCH($B961,'_calc'!$L$2:$L$3001,0))</f>
        <v/>
      </c>
    </row>
    <row r="962">
      <c r="B962" s="24" t="str">
        <f>IF(ROW()-ROW($B$8)&gt;nComp,"",ROW()-ROW($B$8))</f>
        <v/>
      </c>
      <c r="C962" t="str">
        <f>IF($N962="","",INDEX('_calc'!$A$2:$A$3001,$N962))</f>
        <v/>
      </c>
      <c r="D962" s="25" t="str">
        <f>IF($N962="","",INDEX('_calc'!$C$2:$C$3001,$N962))</f>
        <v/>
      </c>
      <c r="E962" s="25" t="str">
        <f>IF($N962="","",INDEX('_calc'!$D$2:$D$3001,$N962))</f>
        <v/>
      </c>
      <c r="F962" s="26" t="str">
        <f>IF($N962="","",IF($E$8=0,"",E962/$E$8))</f>
        <v/>
      </c>
      <c r="G962" s="25" t="str">
        <f>IF($N962="","",INDEX('_calc'!$E$2:$E$3001,$N962))</f>
        <v/>
      </c>
      <c r="H962" s="25" t="str">
        <f>IF($N962="","",INDEX('_calc'!$F$2:$F$3001,$N962))</f>
        <v/>
      </c>
      <c r="I962" s="27" t="str">
        <f>IF($N962="","",INDEX('_calc'!$H$2:$H$3001,$N962))</f>
        <v/>
      </c>
      <c r="J962" s="27" t="str">
        <f>IF($N962="","",INDEX('_calc'!$I$2:$I$3001,$N962))</f>
        <v/>
      </c>
      <c r="K962" s="28" t="str">
        <f>IF($N962="","",IF(OR(I962="",J962=""),"",J962-I962))</f>
        <v/>
      </c>
      <c r="L962" s="29" t="str">
        <f>IF($N962="","",INDEX('_calc'!$J$2:$J$3001,$N962))</f>
        <v/>
      </c>
      <c r="M962" s="2" t="str">
        <f>IF($N962="","",IF(AND(G962=0,H962=0),"수량 없음",IF(G962=0,"신규 (전년 수량 없음)",IF(H962=0,"당해 수량 없음",""))))</f>
        <v/>
      </c>
      <c r="N962" t="str">
        <f>IF($B962="","",MATCH($B962,'_calc'!$L$2:$L$3001,0))</f>
        <v/>
      </c>
    </row>
    <row r="963">
      <c r="B963" s="24" t="str">
        <f>IF(ROW()-ROW($B$8)&gt;nComp,"",ROW()-ROW($B$8))</f>
        <v/>
      </c>
      <c r="C963" t="str">
        <f>IF($N963="","",INDEX('_calc'!$A$2:$A$3001,$N963))</f>
        <v/>
      </c>
      <c r="D963" s="25" t="str">
        <f>IF($N963="","",INDEX('_calc'!$C$2:$C$3001,$N963))</f>
        <v/>
      </c>
      <c r="E963" s="25" t="str">
        <f>IF($N963="","",INDEX('_calc'!$D$2:$D$3001,$N963))</f>
        <v/>
      </c>
      <c r="F963" s="26" t="str">
        <f>IF($N963="","",IF($E$8=0,"",E963/$E$8))</f>
        <v/>
      </c>
      <c r="G963" s="25" t="str">
        <f>IF($N963="","",INDEX('_calc'!$E$2:$E$3001,$N963))</f>
        <v/>
      </c>
      <c r="H963" s="25" t="str">
        <f>IF($N963="","",INDEX('_calc'!$F$2:$F$3001,$N963))</f>
        <v/>
      </c>
      <c r="I963" s="27" t="str">
        <f>IF($N963="","",INDEX('_calc'!$H$2:$H$3001,$N963))</f>
        <v/>
      </c>
      <c r="J963" s="27" t="str">
        <f>IF($N963="","",INDEX('_calc'!$I$2:$I$3001,$N963))</f>
        <v/>
      </c>
      <c r="K963" s="28" t="str">
        <f>IF($N963="","",IF(OR(I963="",J963=""),"",J963-I963))</f>
        <v/>
      </c>
      <c r="L963" s="29" t="str">
        <f>IF($N963="","",INDEX('_calc'!$J$2:$J$3001,$N963))</f>
        <v/>
      </c>
      <c r="M963" s="2" t="str">
        <f>IF($N963="","",IF(AND(G963=0,H963=0),"수량 없음",IF(G963=0,"신규 (전년 수량 없음)",IF(H963=0,"당해 수량 없음",""))))</f>
        <v/>
      </c>
      <c r="N963" t="str">
        <f>IF($B963="","",MATCH($B963,'_calc'!$L$2:$L$3001,0))</f>
        <v/>
      </c>
    </row>
    <row r="964">
      <c r="B964" s="24" t="str">
        <f>IF(ROW()-ROW($B$8)&gt;nComp,"",ROW()-ROW($B$8))</f>
        <v/>
      </c>
      <c r="C964" t="str">
        <f>IF($N964="","",INDEX('_calc'!$A$2:$A$3001,$N964))</f>
        <v/>
      </c>
      <c r="D964" s="25" t="str">
        <f>IF($N964="","",INDEX('_calc'!$C$2:$C$3001,$N964))</f>
        <v/>
      </c>
      <c r="E964" s="25" t="str">
        <f>IF($N964="","",INDEX('_calc'!$D$2:$D$3001,$N964))</f>
        <v/>
      </c>
      <c r="F964" s="26" t="str">
        <f>IF($N964="","",IF($E$8=0,"",E964/$E$8))</f>
        <v/>
      </c>
      <c r="G964" s="25" t="str">
        <f>IF($N964="","",INDEX('_calc'!$E$2:$E$3001,$N964))</f>
        <v/>
      </c>
      <c r="H964" s="25" t="str">
        <f>IF($N964="","",INDEX('_calc'!$F$2:$F$3001,$N964))</f>
        <v/>
      </c>
      <c r="I964" s="27" t="str">
        <f>IF($N964="","",INDEX('_calc'!$H$2:$H$3001,$N964))</f>
        <v/>
      </c>
      <c r="J964" s="27" t="str">
        <f>IF($N964="","",INDEX('_calc'!$I$2:$I$3001,$N964))</f>
        <v/>
      </c>
      <c r="K964" s="28" t="str">
        <f>IF($N964="","",IF(OR(I964="",J964=""),"",J964-I964))</f>
        <v/>
      </c>
      <c r="L964" s="29" t="str">
        <f>IF($N964="","",INDEX('_calc'!$J$2:$J$3001,$N964))</f>
        <v/>
      </c>
      <c r="M964" s="2" t="str">
        <f>IF($N964="","",IF(AND(G964=0,H964=0),"수량 없음",IF(G964=0,"신규 (전년 수량 없음)",IF(H964=0,"당해 수량 없음",""))))</f>
        <v/>
      </c>
      <c r="N964" t="str">
        <f>IF($B964="","",MATCH($B964,'_calc'!$L$2:$L$3001,0))</f>
        <v/>
      </c>
    </row>
    <row r="965">
      <c r="B965" s="24" t="str">
        <f>IF(ROW()-ROW($B$8)&gt;nComp,"",ROW()-ROW($B$8))</f>
        <v/>
      </c>
      <c r="C965" t="str">
        <f>IF($N965="","",INDEX('_calc'!$A$2:$A$3001,$N965))</f>
        <v/>
      </c>
      <c r="D965" s="25" t="str">
        <f>IF($N965="","",INDEX('_calc'!$C$2:$C$3001,$N965))</f>
        <v/>
      </c>
      <c r="E965" s="25" t="str">
        <f>IF($N965="","",INDEX('_calc'!$D$2:$D$3001,$N965))</f>
        <v/>
      </c>
      <c r="F965" s="26" t="str">
        <f>IF($N965="","",IF($E$8=0,"",E965/$E$8))</f>
        <v/>
      </c>
      <c r="G965" s="25" t="str">
        <f>IF($N965="","",INDEX('_calc'!$E$2:$E$3001,$N965))</f>
        <v/>
      </c>
      <c r="H965" s="25" t="str">
        <f>IF($N965="","",INDEX('_calc'!$F$2:$F$3001,$N965))</f>
        <v/>
      </c>
      <c r="I965" s="27" t="str">
        <f>IF($N965="","",INDEX('_calc'!$H$2:$H$3001,$N965))</f>
        <v/>
      </c>
      <c r="J965" s="27" t="str">
        <f>IF($N965="","",INDEX('_calc'!$I$2:$I$3001,$N965))</f>
        <v/>
      </c>
      <c r="K965" s="28" t="str">
        <f>IF($N965="","",IF(OR(I965="",J965=""),"",J965-I965))</f>
        <v/>
      </c>
      <c r="L965" s="29" t="str">
        <f>IF($N965="","",INDEX('_calc'!$J$2:$J$3001,$N965))</f>
        <v/>
      </c>
      <c r="M965" s="2" t="str">
        <f>IF($N965="","",IF(AND(G965=0,H965=0),"수량 없음",IF(G965=0,"신규 (전년 수량 없음)",IF(H965=0,"당해 수량 없음",""))))</f>
        <v/>
      </c>
      <c r="N965" t="str">
        <f>IF($B965="","",MATCH($B965,'_calc'!$L$2:$L$3001,0))</f>
        <v/>
      </c>
    </row>
    <row r="966">
      <c r="B966" s="24" t="str">
        <f>IF(ROW()-ROW($B$8)&gt;nComp,"",ROW()-ROW($B$8))</f>
        <v/>
      </c>
      <c r="C966" t="str">
        <f>IF($N966="","",INDEX('_calc'!$A$2:$A$3001,$N966))</f>
        <v/>
      </c>
      <c r="D966" s="25" t="str">
        <f>IF($N966="","",INDEX('_calc'!$C$2:$C$3001,$N966))</f>
        <v/>
      </c>
      <c r="E966" s="25" t="str">
        <f>IF($N966="","",INDEX('_calc'!$D$2:$D$3001,$N966))</f>
        <v/>
      </c>
      <c r="F966" s="26" t="str">
        <f>IF($N966="","",IF($E$8=0,"",E966/$E$8))</f>
        <v/>
      </c>
      <c r="G966" s="25" t="str">
        <f>IF($N966="","",INDEX('_calc'!$E$2:$E$3001,$N966))</f>
        <v/>
      </c>
      <c r="H966" s="25" t="str">
        <f>IF($N966="","",INDEX('_calc'!$F$2:$F$3001,$N966))</f>
        <v/>
      </c>
      <c r="I966" s="27" t="str">
        <f>IF($N966="","",INDEX('_calc'!$H$2:$H$3001,$N966))</f>
        <v/>
      </c>
      <c r="J966" s="27" t="str">
        <f>IF($N966="","",INDEX('_calc'!$I$2:$I$3001,$N966))</f>
        <v/>
      </c>
      <c r="K966" s="28" t="str">
        <f>IF($N966="","",IF(OR(I966="",J966=""),"",J966-I966))</f>
        <v/>
      </c>
      <c r="L966" s="29" t="str">
        <f>IF($N966="","",INDEX('_calc'!$J$2:$J$3001,$N966))</f>
        <v/>
      </c>
      <c r="M966" s="2" t="str">
        <f>IF($N966="","",IF(AND(G966=0,H966=0),"수량 없음",IF(G966=0,"신규 (전년 수량 없음)",IF(H966=0,"당해 수량 없음",""))))</f>
        <v/>
      </c>
      <c r="N966" t="str">
        <f>IF($B966="","",MATCH($B966,'_calc'!$L$2:$L$3001,0))</f>
        <v/>
      </c>
    </row>
    <row r="967">
      <c r="B967" s="24" t="str">
        <f>IF(ROW()-ROW($B$8)&gt;nComp,"",ROW()-ROW($B$8))</f>
        <v/>
      </c>
      <c r="C967" t="str">
        <f>IF($N967="","",INDEX('_calc'!$A$2:$A$3001,$N967))</f>
        <v/>
      </c>
      <c r="D967" s="25" t="str">
        <f>IF($N967="","",INDEX('_calc'!$C$2:$C$3001,$N967))</f>
        <v/>
      </c>
      <c r="E967" s="25" t="str">
        <f>IF($N967="","",INDEX('_calc'!$D$2:$D$3001,$N967))</f>
        <v/>
      </c>
      <c r="F967" s="26" t="str">
        <f>IF($N967="","",IF($E$8=0,"",E967/$E$8))</f>
        <v/>
      </c>
      <c r="G967" s="25" t="str">
        <f>IF($N967="","",INDEX('_calc'!$E$2:$E$3001,$N967))</f>
        <v/>
      </c>
      <c r="H967" s="25" t="str">
        <f>IF($N967="","",INDEX('_calc'!$F$2:$F$3001,$N967))</f>
        <v/>
      </c>
      <c r="I967" s="27" t="str">
        <f>IF($N967="","",INDEX('_calc'!$H$2:$H$3001,$N967))</f>
        <v/>
      </c>
      <c r="J967" s="27" t="str">
        <f>IF($N967="","",INDEX('_calc'!$I$2:$I$3001,$N967))</f>
        <v/>
      </c>
      <c r="K967" s="28" t="str">
        <f>IF($N967="","",IF(OR(I967="",J967=""),"",J967-I967))</f>
        <v/>
      </c>
      <c r="L967" s="29" t="str">
        <f>IF($N967="","",INDEX('_calc'!$J$2:$J$3001,$N967))</f>
        <v/>
      </c>
      <c r="M967" s="2" t="str">
        <f>IF($N967="","",IF(AND(G967=0,H967=0),"수량 없음",IF(G967=0,"신규 (전년 수량 없음)",IF(H967=0,"당해 수량 없음",""))))</f>
        <v/>
      </c>
      <c r="N967" t="str">
        <f>IF($B967="","",MATCH($B967,'_calc'!$L$2:$L$3001,0))</f>
        <v/>
      </c>
    </row>
    <row r="968">
      <c r="B968" s="24" t="str">
        <f>IF(ROW()-ROW($B$8)&gt;nComp,"",ROW()-ROW($B$8))</f>
        <v/>
      </c>
      <c r="C968" t="str">
        <f>IF($N968="","",INDEX('_calc'!$A$2:$A$3001,$N968))</f>
        <v/>
      </c>
      <c r="D968" s="25" t="str">
        <f>IF($N968="","",INDEX('_calc'!$C$2:$C$3001,$N968))</f>
        <v/>
      </c>
      <c r="E968" s="25" t="str">
        <f>IF($N968="","",INDEX('_calc'!$D$2:$D$3001,$N968))</f>
        <v/>
      </c>
      <c r="F968" s="26" t="str">
        <f>IF($N968="","",IF($E$8=0,"",E968/$E$8))</f>
        <v/>
      </c>
      <c r="G968" s="25" t="str">
        <f>IF($N968="","",INDEX('_calc'!$E$2:$E$3001,$N968))</f>
        <v/>
      </c>
      <c r="H968" s="25" t="str">
        <f>IF($N968="","",INDEX('_calc'!$F$2:$F$3001,$N968))</f>
        <v/>
      </c>
      <c r="I968" s="27" t="str">
        <f>IF($N968="","",INDEX('_calc'!$H$2:$H$3001,$N968))</f>
        <v/>
      </c>
      <c r="J968" s="27" t="str">
        <f>IF($N968="","",INDEX('_calc'!$I$2:$I$3001,$N968))</f>
        <v/>
      </c>
      <c r="K968" s="28" t="str">
        <f>IF($N968="","",IF(OR(I968="",J968=""),"",J968-I968))</f>
        <v/>
      </c>
      <c r="L968" s="29" t="str">
        <f>IF($N968="","",INDEX('_calc'!$J$2:$J$3001,$N968))</f>
        <v/>
      </c>
      <c r="M968" s="2" t="str">
        <f>IF($N968="","",IF(AND(G968=0,H968=0),"수량 없음",IF(G968=0,"신규 (전년 수량 없음)",IF(H968=0,"당해 수량 없음",""))))</f>
        <v/>
      </c>
      <c r="N968" t="str">
        <f>IF($B968="","",MATCH($B968,'_calc'!$L$2:$L$3001,0))</f>
        <v/>
      </c>
    </row>
    <row r="969">
      <c r="B969" s="24" t="str">
        <f>IF(ROW()-ROW($B$8)&gt;nComp,"",ROW()-ROW($B$8))</f>
        <v/>
      </c>
      <c r="C969" t="str">
        <f>IF($N969="","",INDEX('_calc'!$A$2:$A$3001,$N969))</f>
        <v/>
      </c>
      <c r="D969" s="25" t="str">
        <f>IF($N969="","",INDEX('_calc'!$C$2:$C$3001,$N969))</f>
        <v/>
      </c>
      <c r="E969" s="25" t="str">
        <f>IF($N969="","",INDEX('_calc'!$D$2:$D$3001,$N969))</f>
        <v/>
      </c>
      <c r="F969" s="26" t="str">
        <f>IF($N969="","",IF($E$8=0,"",E969/$E$8))</f>
        <v/>
      </c>
      <c r="G969" s="25" t="str">
        <f>IF($N969="","",INDEX('_calc'!$E$2:$E$3001,$N969))</f>
        <v/>
      </c>
      <c r="H969" s="25" t="str">
        <f>IF($N969="","",INDEX('_calc'!$F$2:$F$3001,$N969))</f>
        <v/>
      </c>
      <c r="I969" s="27" t="str">
        <f>IF($N969="","",INDEX('_calc'!$H$2:$H$3001,$N969))</f>
        <v/>
      </c>
      <c r="J969" s="27" t="str">
        <f>IF($N969="","",INDEX('_calc'!$I$2:$I$3001,$N969))</f>
        <v/>
      </c>
      <c r="K969" s="28" t="str">
        <f>IF($N969="","",IF(OR(I969="",J969=""),"",J969-I969))</f>
        <v/>
      </c>
      <c r="L969" s="29" t="str">
        <f>IF($N969="","",INDEX('_calc'!$J$2:$J$3001,$N969))</f>
        <v/>
      </c>
      <c r="M969" s="2" t="str">
        <f>IF($N969="","",IF(AND(G969=0,H969=0),"수량 없음",IF(G969=0,"신규 (전년 수량 없음)",IF(H969=0,"당해 수량 없음",""))))</f>
        <v/>
      </c>
      <c r="N969" t="str">
        <f>IF($B969="","",MATCH($B969,'_calc'!$L$2:$L$3001,0))</f>
        <v/>
      </c>
    </row>
    <row r="970">
      <c r="B970" s="24" t="str">
        <f>IF(ROW()-ROW($B$8)&gt;nComp,"",ROW()-ROW($B$8))</f>
        <v/>
      </c>
      <c r="C970" t="str">
        <f>IF($N970="","",INDEX('_calc'!$A$2:$A$3001,$N970))</f>
        <v/>
      </c>
      <c r="D970" s="25" t="str">
        <f>IF($N970="","",INDEX('_calc'!$C$2:$C$3001,$N970))</f>
        <v/>
      </c>
      <c r="E970" s="25" t="str">
        <f>IF($N970="","",INDEX('_calc'!$D$2:$D$3001,$N970))</f>
        <v/>
      </c>
      <c r="F970" s="26" t="str">
        <f>IF($N970="","",IF($E$8=0,"",E970/$E$8))</f>
        <v/>
      </c>
      <c r="G970" s="25" t="str">
        <f>IF($N970="","",INDEX('_calc'!$E$2:$E$3001,$N970))</f>
        <v/>
      </c>
      <c r="H970" s="25" t="str">
        <f>IF($N970="","",INDEX('_calc'!$F$2:$F$3001,$N970))</f>
        <v/>
      </c>
      <c r="I970" s="27" t="str">
        <f>IF($N970="","",INDEX('_calc'!$H$2:$H$3001,$N970))</f>
        <v/>
      </c>
      <c r="J970" s="27" t="str">
        <f>IF($N970="","",INDEX('_calc'!$I$2:$I$3001,$N970))</f>
        <v/>
      </c>
      <c r="K970" s="28" t="str">
        <f>IF($N970="","",IF(OR(I970="",J970=""),"",J970-I970))</f>
        <v/>
      </c>
      <c r="L970" s="29" t="str">
        <f>IF($N970="","",INDEX('_calc'!$J$2:$J$3001,$N970))</f>
        <v/>
      </c>
      <c r="M970" s="2" t="str">
        <f>IF($N970="","",IF(AND(G970=0,H970=0),"수량 없음",IF(G970=0,"신규 (전년 수량 없음)",IF(H970=0,"당해 수량 없음",""))))</f>
        <v/>
      </c>
      <c r="N970" t="str">
        <f>IF($B970="","",MATCH($B970,'_calc'!$L$2:$L$3001,0))</f>
        <v/>
      </c>
    </row>
    <row r="971">
      <c r="B971" s="24" t="str">
        <f>IF(ROW()-ROW($B$8)&gt;nComp,"",ROW()-ROW($B$8))</f>
        <v/>
      </c>
      <c r="C971" t="str">
        <f>IF($N971="","",INDEX('_calc'!$A$2:$A$3001,$N971))</f>
        <v/>
      </c>
      <c r="D971" s="25" t="str">
        <f>IF($N971="","",INDEX('_calc'!$C$2:$C$3001,$N971))</f>
        <v/>
      </c>
      <c r="E971" s="25" t="str">
        <f>IF($N971="","",INDEX('_calc'!$D$2:$D$3001,$N971))</f>
        <v/>
      </c>
      <c r="F971" s="26" t="str">
        <f>IF($N971="","",IF($E$8=0,"",E971/$E$8))</f>
        <v/>
      </c>
      <c r="G971" s="25" t="str">
        <f>IF($N971="","",INDEX('_calc'!$E$2:$E$3001,$N971))</f>
        <v/>
      </c>
      <c r="H971" s="25" t="str">
        <f>IF($N971="","",INDEX('_calc'!$F$2:$F$3001,$N971))</f>
        <v/>
      </c>
      <c r="I971" s="27" t="str">
        <f>IF($N971="","",INDEX('_calc'!$H$2:$H$3001,$N971))</f>
        <v/>
      </c>
      <c r="J971" s="27" t="str">
        <f>IF($N971="","",INDEX('_calc'!$I$2:$I$3001,$N971))</f>
        <v/>
      </c>
      <c r="K971" s="28" t="str">
        <f>IF($N971="","",IF(OR(I971="",J971=""),"",J971-I971))</f>
        <v/>
      </c>
      <c r="L971" s="29" t="str">
        <f>IF($N971="","",INDEX('_calc'!$J$2:$J$3001,$N971))</f>
        <v/>
      </c>
      <c r="M971" s="2" t="str">
        <f>IF($N971="","",IF(AND(G971=0,H971=0),"수량 없음",IF(G971=0,"신규 (전년 수량 없음)",IF(H971=0,"당해 수량 없음",""))))</f>
        <v/>
      </c>
      <c r="N971" t="str">
        <f>IF($B971="","",MATCH($B971,'_calc'!$L$2:$L$3001,0))</f>
        <v/>
      </c>
    </row>
    <row r="972">
      <c r="B972" s="24" t="str">
        <f>IF(ROW()-ROW($B$8)&gt;nComp,"",ROW()-ROW($B$8))</f>
        <v/>
      </c>
      <c r="C972" t="str">
        <f>IF($N972="","",INDEX('_calc'!$A$2:$A$3001,$N972))</f>
        <v/>
      </c>
      <c r="D972" s="25" t="str">
        <f>IF($N972="","",INDEX('_calc'!$C$2:$C$3001,$N972))</f>
        <v/>
      </c>
      <c r="E972" s="25" t="str">
        <f>IF($N972="","",INDEX('_calc'!$D$2:$D$3001,$N972))</f>
        <v/>
      </c>
      <c r="F972" s="26" t="str">
        <f>IF($N972="","",IF($E$8=0,"",E972/$E$8))</f>
        <v/>
      </c>
      <c r="G972" s="25" t="str">
        <f>IF($N972="","",INDEX('_calc'!$E$2:$E$3001,$N972))</f>
        <v/>
      </c>
      <c r="H972" s="25" t="str">
        <f>IF($N972="","",INDEX('_calc'!$F$2:$F$3001,$N972))</f>
        <v/>
      </c>
      <c r="I972" s="27" t="str">
        <f>IF($N972="","",INDEX('_calc'!$H$2:$H$3001,$N972))</f>
        <v/>
      </c>
      <c r="J972" s="27" t="str">
        <f>IF($N972="","",INDEX('_calc'!$I$2:$I$3001,$N972))</f>
        <v/>
      </c>
      <c r="K972" s="28" t="str">
        <f>IF($N972="","",IF(OR(I972="",J972=""),"",J972-I972))</f>
        <v/>
      </c>
      <c r="L972" s="29" t="str">
        <f>IF($N972="","",INDEX('_calc'!$J$2:$J$3001,$N972))</f>
        <v/>
      </c>
      <c r="M972" s="2" t="str">
        <f>IF($N972="","",IF(AND(G972=0,H972=0),"수량 없음",IF(G972=0,"신규 (전년 수량 없음)",IF(H972=0,"당해 수량 없음",""))))</f>
        <v/>
      </c>
      <c r="N972" t="str">
        <f>IF($B972="","",MATCH($B972,'_calc'!$L$2:$L$3001,0))</f>
        <v/>
      </c>
    </row>
    <row r="973">
      <c r="B973" s="24" t="str">
        <f>IF(ROW()-ROW($B$8)&gt;nComp,"",ROW()-ROW($B$8))</f>
        <v/>
      </c>
      <c r="C973" t="str">
        <f>IF($N973="","",INDEX('_calc'!$A$2:$A$3001,$N973))</f>
        <v/>
      </c>
      <c r="D973" s="25" t="str">
        <f>IF($N973="","",INDEX('_calc'!$C$2:$C$3001,$N973))</f>
        <v/>
      </c>
      <c r="E973" s="25" t="str">
        <f>IF($N973="","",INDEX('_calc'!$D$2:$D$3001,$N973))</f>
        <v/>
      </c>
      <c r="F973" s="26" t="str">
        <f>IF($N973="","",IF($E$8=0,"",E973/$E$8))</f>
        <v/>
      </c>
      <c r="G973" s="25" t="str">
        <f>IF($N973="","",INDEX('_calc'!$E$2:$E$3001,$N973))</f>
        <v/>
      </c>
      <c r="H973" s="25" t="str">
        <f>IF($N973="","",INDEX('_calc'!$F$2:$F$3001,$N973))</f>
        <v/>
      </c>
      <c r="I973" s="27" t="str">
        <f>IF($N973="","",INDEX('_calc'!$H$2:$H$3001,$N973))</f>
        <v/>
      </c>
      <c r="J973" s="27" t="str">
        <f>IF($N973="","",INDEX('_calc'!$I$2:$I$3001,$N973))</f>
        <v/>
      </c>
      <c r="K973" s="28" t="str">
        <f>IF($N973="","",IF(OR(I973="",J973=""),"",J973-I973))</f>
        <v/>
      </c>
      <c r="L973" s="29" t="str">
        <f>IF($N973="","",INDEX('_calc'!$J$2:$J$3001,$N973))</f>
        <v/>
      </c>
      <c r="M973" s="2" t="str">
        <f>IF($N973="","",IF(AND(G973=0,H973=0),"수량 없음",IF(G973=0,"신규 (전년 수량 없음)",IF(H973=0,"당해 수량 없음",""))))</f>
        <v/>
      </c>
      <c r="N973" t="str">
        <f>IF($B973="","",MATCH($B973,'_calc'!$L$2:$L$3001,0))</f>
        <v/>
      </c>
    </row>
    <row r="974">
      <c r="B974" s="24" t="str">
        <f>IF(ROW()-ROW($B$8)&gt;nComp,"",ROW()-ROW($B$8))</f>
        <v/>
      </c>
      <c r="C974" t="str">
        <f>IF($N974="","",INDEX('_calc'!$A$2:$A$3001,$N974))</f>
        <v/>
      </c>
      <c r="D974" s="25" t="str">
        <f>IF($N974="","",INDEX('_calc'!$C$2:$C$3001,$N974))</f>
        <v/>
      </c>
      <c r="E974" s="25" t="str">
        <f>IF($N974="","",INDEX('_calc'!$D$2:$D$3001,$N974))</f>
        <v/>
      </c>
      <c r="F974" s="26" t="str">
        <f>IF($N974="","",IF($E$8=0,"",E974/$E$8))</f>
        <v/>
      </c>
      <c r="G974" s="25" t="str">
        <f>IF($N974="","",INDEX('_calc'!$E$2:$E$3001,$N974))</f>
        <v/>
      </c>
      <c r="H974" s="25" t="str">
        <f>IF($N974="","",INDEX('_calc'!$F$2:$F$3001,$N974))</f>
        <v/>
      </c>
      <c r="I974" s="27" t="str">
        <f>IF($N974="","",INDEX('_calc'!$H$2:$H$3001,$N974))</f>
        <v/>
      </c>
      <c r="J974" s="27" t="str">
        <f>IF($N974="","",INDEX('_calc'!$I$2:$I$3001,$N974))</f>
        <v/>
      </c>
      <c r="K974" s="28" t="str">
        <f>IF($N974="","",IF(OR(I974="",J974=""),"",J974-I974))</f>
        <v/>
      </c>
      <c r="L974" s="29" t="str">
        <f>IF($N974="","",INDEX('_calc'!$J$2:$J$3001,$N974))</f>
        <v/>
      </c>
      <c r="M974" s="2" t="str">
        <f>IF($N974="","",IF(AND(G974=0,H974=0),"수량 없음",IF(G974=0,"신규 (전년 수량 없음)",IF(H974=0,"당해 수량 없음",""))))</f>
        <v/>
      </c>
      <c r="N974" t="str">
        <f>IF($B974="","",MATCH($B974,'_calc'!$L$2:$L$3001,0))</f>
        <v/>
      </c>
    </row>
    <row r="975">
      <c r="B975" s="24" t="str">
        <f>IF(ROW()-ROW($B$8)&gt;nComp,"",ROW()-ROW($B$8))</f>
        <v/>
      </c>
      <c r="C975" t="str">
        <f>IF($N975="","",INDEX('_calc'!$A$2:$A$3001,$N975))</f>
        <v/>
      </c>
      <c r="D975" s="25" t="str">
        <f>IF($N975="","",INDEX('_calc'!$C$2:$C$3001,$N975))</f>
        <v/>
      </c>
      <c r="E975" s="25" t="str">
        <f>IF($N975="","",INDEX('_calc'!$D$2:$D$3001,$N975))</f>
        <v/>
      </c>
      <c r="F975" s="26" t="str">
        <f>IF($N975="","",IF($E$8=0,"",E975/$E$8))</f>
        <v/>
      </c>
      <c r="G975" s="25" t="str">
        <f>IF($N975="","",INDEX('_calc'!$E$2:$E$3001,$N975))</f>
        <v/>
      </c>
      <c r="H975" s="25" t="str">
        <f>IF($N975="","",INDEX('_calc'!$F$2:$F$3001,$N975))</f>
        <v/>
      </c>
      <c r="I975" s="27" t="str">
        <f>IF($N975="","",INDEX('_calc'!$H$2:$H$3001,$N975))</f>
        <v/>
      </c>
      <c r="J975" s="27" t="str">
        <f>IF($N975="","",INDEX('_calc'!$I$2:$I$3001,$N975))</f>
        <v/>
      </c>
      <c r="K975" s="28" t="str">
        <f>IF($N975="","",IF(OR(I975="",J975=""),"",J975-I975))</f>
        <v/>
      </c>
      <c r="L975" s="29" t="str">
        <f>IF($N975="","",INDEX('_calc'!$J$2:$J$3001,$N975))</f>
        <v/>
      </c>
      <c r="M975" s="2" t="str">
        <f>IF($N975="","",IF(AND(G975=0,H975=0),"수량 없음",IF(G975=0,"신규 (전년 수량 없음)",IF(H975=0,"당해 수량 없음",""))))</f>
        <v/>
      </c>
      <c r="N975" t="str">
        <f>IF($B975="","",MATCH($B975,'_calc'!$L$2:$L$3001,0))</f>
        <v/>
      </c>
    </row>
    <row r="976">
      <c r="B976" s="24" t="str">
        <f>IF(ROW()-ROW($B$8)&gt;nComp,"",ROW()-ROW($B$8))</f>
        <v/>
      </c>
      <c r="C976" t="str">
        <f>IF($N976="","",INDEX('_calc'!$A$2:$A$3001,$N976))</f>
        <v/>
      </c>
      <c r="D976" s="25" t="str">
        <f>IF($N976="","",INDEX('_calc'!$C$2:$C$3001,$N976))</f>
        <v/>
      </c>
      <c r="E976" s="25" t="str">
        <f>IF($N976="","",INDEX('_calc'!$D$2:$D$3001,$N976))</f>
        <v/>
      </c>
      <c r="F976" s="26" t="str">
        <f>IF($N976="","",IF($E$8=0,"",E976/$E$8))</f>
        <v/>
      </c>
      <c r="G976" s="25" t="str">
        <f>IF($N976="","",INDEX('_calc'!$E$2:$E$3001,$N976))</f>
        <v/>
      </c>
      <c r="H976" s="25" t="str">
        <f>IF($N976="","",INDEX('_calc'!$F$2:$F$3001,$N976))</f>
        <v/>
      </c>
      <c r="I976" s="27" t="str">
        <f>IF($N976="","",INDEX('_calc'!$H$2:$H$3001,$N976))</f>
        <v/>
      </c>
      <c r="J976" s="27" t="str">
        <f>IF($N976="","",INDEX('_calc'!$I$2:$I$3001,$N976))</f>
        <v/>
      </c>
      <c r="K976" s="28" t="str">
        <f>IF($N976="","",IF(OR(I976="",J976=""),"",J976-I976))</f>
        <v/>
      </c>
      <c r="L976" s="29" t="str">
        <f>IF($N976="","",INDEX('_calc'!$J$2:$J$3001,$N976))</f>
        <v/>
      </c>
      <c r="M976" s="2" t="str">
        <f>IF($N976="","",IF(AND(G976=0,H976=0),"수량 없음",IF(G976=0,"신규 (전년 수량 없음)",IF(H976=0,"당해 수량 없음",""))))</f>
        <v/>
      </c>
      <c r="N976" t="str">
        <f>IF($B976="","",MATCH($B976,'_calc'!$L$2:$L$3001,0))</f>
        <v/>
      </c>
    </row>
    <row r="977">
      <c r="B977" s="24" t="str">
        <f>IF(ROW()-ROW($B$8)&gt;nComp,"",ROW()-ROW($B$8))</f>
        <v/>
      </c>
      <c r="C977" t="str">
        <f>IF($N977="","",INDEX('_calc'!$A$2:$A$3001,$N977))</f>
        <v/>
      </c>
      <c r="D977" s="25" t="str">
        <f>IF($N977="","",INDEX('_calc'!$C$2:$C$3001,$N977))</f>
        <v/>
      </c>
      <c r="E977" s="25" t="str">
        <f>IF($N977="","",INDEX('_calc'!$D$2:$D$3001,$N977))</f>
        <v/>
      </c>
      <c r="F977" s="26" t="str">
        <f>IF($N977="","",IF($E$8=0,"",E977/$E$8))</f>
        <v/>
      </c>
      <c r="G977" s="25" t="str">
        <f>IF($N977="","",INDEX('_calc'!$E$2:$E$3001,$N977))</f>
        <v/>
      </c>
      <c r="H977" s="25" t="str">
        <f>IF($N977="","",INDEX('_calc'!$F$2:$F$3001,$N977))</f>
        <v/>
      </c>
      <c r="I977" s="27" t="str">
        <f>IF($N977="","",INDEX('_calc'!$H$2:$H$3001,$N977))</f>
        <v/>
      </c>
      <c r="J977" s="27" t="str">
        <f>IF($N977="","",INDEX('_calc'!$I$2:$I$3001,$N977))</f>
        <v/>
      </c>
      <c r="K977" s="28" t="str">
        <f>IF($N977="","",IF(OR(I977="",J977=""),"",J977-I977))</f>
        <v/>
      </c>
      <c r="L977" s="29" t="str">
        <f>IF($N977="","",INDEX('_calc'!$J$2:$J$3001,$N977))</f>
        <v/>
      </c>
      <c r="M977" s="2" t="str">
        <f>IF($N977="","",IF(AND(G977=0,H977=0),"수량 없음",IF(G977=0,"신규 (전년 수량 없음)",IF(H977=0,"당해 수량 없음",""))))</f>
        <v/>
      </c>
      <c r="N977" t="str">
        <f>IF($B977="","",MATCH($B977,'_calc'!$L$2:$L$3001,0))</f>
        <v/>
      </c>
    </row>
    <row r="978">
      <c r="B978" s="24" t="str">
        <f>IF(ROW()-ROW($B$8)&gt;nComp,"",ROW()-ROW($B$8))</f>
        <v/>
      </c>
      <c r="C978" t="str">
        <f>IF($N978="","",INDEX('_calc'!$A$2:$A$3001,$N978))</f>
        <v/>
      </c>
      <c r="D978" s="25" t="str">
        <f>IF($N978="","",INDEX('_calc'!$C$2:$C$3001,$N978))</f>
        <v/>
      </c>
      <c r="E978" s="25" t="str">
        <f>IF($N978="","",INDEX('_calc'!$D$2:$D$3001,$N978))</f>
        <v/>
      </c>
      <c r="F978" s="26" t="str">
        <f>IF($N978="","",IF($E$8=0,"",E978/$E$8))</f>
        <v/>
      </c>
      <c r="G978" s="25" t="str">
        <f>IF($N978="","",INDEX('_calc'!$E$2:$E$3001,$N978))</f>
        <v/>
      </c>
      <c r="H978" s="25" t="str">
        <f>IF($N978="","",INDEX('_calc'!$F$2:$F$3001,$N978))</f>
        <v/>
      </c>
      <c r="I978" s="27" t="str">
        <f>IF($N978="","",INDEX('_calc'!$H$2:$H$3001,$N978))</f>
        <v/>
      </c>
      <c r="J978" s="27" t="str">
        <f>IF($N978="","",INDEX('_calc'!$I$2:$I$3001,$N978))</f>
        <v/>
      </c>
      <c r="K978" s="28" t="str">
        <f>IF($N978="","",IF(OR(I978="",J978=""),"",J978-I978))</f>
        <v/>
      </c>
      <c r="L978" s="29" t="str">
        <f>IF($N978="","",INDEX('_calc'!$J$2:$J$3001,$N978))</f>
        <v/>
      </c>
      <c r="M978" s="2" t="str">
        <f>IF($N978="","",IF(AND(G978=0,H978=0),"수량 없음",IF(G978=0,"신규 (전년 수량 없음)",IF(H978=0,"당해 수량 없음",""))))</f>
        <v/>
      </c>
      <c r="N978" t="str">
        <f>IF($B978="","",MATCH($B978,'_calc'!$L$2:$L$3001,0))</f>
        <v/>
      </c>
    </row>
    <row r="979">
      <c r="B979" s="24" t="str">
        <f>IF(ROW()-ROW($B$8)&gt;nComp,"",ROW()-ROW($B$8))</f>
        <v/>
      </c>
      <c r="C979" t="str">
        <f>IF($N979="","",INDEX('_calc'!$A$2:$A$3001,$N979))</f>
        <v/>
      </c>
      <c r="D979" s="25" t="str">
        <f>IF($N979="","",INDEX('_calc'!$C$2:$C$3001,$N979))</f>
        <v/>
      </c>
      <c r="E979" s="25" t="str">
        <f>IF($N979="","",INDEX('_calc'!$D$2:$D$3001,$N979))</f>
        <v/>
      </c>
      <c r="F979" s="26" t="str">
        <f>IF($N979="","",IF($E$8=0,"",E979/$E$8))</f>
        <v/>
      </c>
      <c r="G979" s="25" t="str">
        <f>IF($N979="","",INDEX('_calc'!$E$2:$E$3001,$N979))</f>
        <v/>
      </c>
      <c r="H979" s="25" t="str">
        <f>IF($N979="","",INDEX('_calc'!$F$2:$F$3001,$N979))</f>
        <v/>
      </c>
      <c r="I979" s="27" t="str">
        <f>IF($N979="","",INDEX('_calc'!$H$2:$H$3001,$N979))</f>
        <v/>
      </c>
      <c r="J979" s="27" t="str">
        <f>IF($N979="","",INDEX('_calc'!$I$2:$I$3001,$N979))</f>
        <v/>
      </c>
      <c r="K979" s="28" t="str">
        <f>IF($N979="","",IF(OR(I979="",J979=""),"",J979-I979))</f>
        <v/>
      </c>
      <c r="L979" s="29" t="str">
        <f>IF($N979="","",INDEX('_calc'!$J$2:$J$3001,$N979))</f>
        <v/>
      </c>
      <c r="M979" s="2" t="str">
        <f>IF($N979="","",IF(AND(G979=0,H979=0),"수량 없음",IF(G979=0,"신규 (전년 수량 없음)",IF(H979=0,"당해 수량 없음",""))))</f>
        <v/>
      </c>
      <c r="N979" t="str">
        <f>IF($B979="","",MATCH($B979,'_calc'!$L$2:$L$3001,0))</f>
        <v/>
      </c>
    </row>
    <row r="980">
      <c r="B980" s="24" t="str">
        <f>IF(ROW()-ROW($B$8)&gt;nComp,"",ROW()-ROW($B$8))</f>
        <v/>
      </c>
      <c r="C980" t="str">
        <f>IF($N980="","",INDEX('_calc'!$A$2:$A$3001,$N980))</f>
        <v/>
      </c>
      <c r="D980" s="25" t="str">
        <f>IF($N980="","",INDEX('_calc'!$C$2:$C$3001,$N980))</f>
        <v/>
      </c>
      <c r="E980" s="25" t="str">
        <f>IF($N980="","",INDEX('_calc'!$D$2:$D$3001,$N980))</f>
        <v/>
      </c>
      <c r="F980" s="26" t="str">
        <f>IF($N980="","",IF($E$8=0,"",E980/$E$8))</f>
        <v/>
      </c>
      <c r="G980" s="25" t="str">
        <f>IF($N980="","",INDEX('_calc'!$E$2:$E$3001,$N980))</f>
        <v/>
      </c>
      <c r="H980" s="25" t="str">
        <f>IF($N980="","",INDEX('_calc'!$F$2:$F$3001,$N980))</f>
        <v/>
      </c>
      <c r="I980" s="27" t="str">
        <f>IF($N980="","",INDEX('_calc'!$H$2:$H$3001,$N980))</f>
        <v/>
      </c>
      <c r="J980" s="27" t="str">
        <f>IF($N980="","",INDEX('_calc'!$I$2:$I$3001,$N980))</f>
        <v/>
      </c>
      <c r="K980" s="28" t="str">
        <f>IF($N980="","",IF(OR(I980="",J980=""),"",J980-I980))</f>
        <v/>
      </c>
      <c r="L980" s="29" t="str">
        <f>IF($N980="","",INDEX('_calc'!$J$2:$J$3001,$N980))</f>
        <v/>
      </c>
      <c r="M980" s="2" t="str">
        <f>IF($N980="","",IF(AND(G980=0,H980=0),"수량 없음",IF(G980=0,"신규 (전년 수량 없음)",IF(H980=0,"당해 수량 없음",""))))</f>
        <v/>
      </c>
      <c r="N980" t="str">
        <f>IF($B980="","",MATCH($B980,'_calc'!$L$2:$L$3001,0))</f>
        <v/>
      </c>
    </row>
    <row r="981">
      <c r="B981" s="24" t="str">
        <f>IF(ROW()-ROW($B$8)&gt;nComp,"",ROW()-ROW($B$8))</f>
        <v/>
      </c>
      <c r="C981" t="str">
        <f>IF($N981="","",INDEX('_calc'!$A$2:$A$3001,$N981))</f>
        <v/>
      </c>
      <c r="D981" s="25" t="str">
        <f>IF($N981="","",INDEX('_calc'!$C$2:$C$3001,$N981))</f>
        <v/>
      </c>
      <c r="E981" s="25" t="str">
        <f>IF($N981="","",INDEX('_calc'!$D$2:$D$3001,$N981))</f>
        <v/>
      </c>
      <c r="F981" s="26" t="str">
        <f>IF($N981="","",IF($E$8=0,"",E981/$E$8))</f>
        <v/>
      </c>
      <c r="G981" s="25" t="str">
        <f>IF($N981="","",INDEX('_calc'!$E$2:$E$3001,$N981))</f>
        <v/>
      </c>
      <c r="H981" s="25" t="str">
        <f>IF($N981="","",INDEX('_calc'!$F$2:$F$3001,$N981))</f>
        <v/>
      </c>
      <c r="I981" s="27" t="str">
        <f>IF($N981="","",INDEX('_calc'!$H$2:$H$3001,$N981))</f>
        <v/>
      </c>
      <c r="J981" s="27" t="str">
        <f>IF($N981="","",INDEX('_calc'!$I$2:$I$3001,$N981))</f>
        <v/>
      </c>
      <c r="K981" s="28" t="str">
        <f>IF($N981="","",IF(OR(I981="",J981=""),"",J981-I981))</f>
        <v/>
      </c>
      <c r="L981" s="29" t="str">
        <f>IF($N981="","",INDEX('_calc'!$J$2:$J$3001,$N981))</f>
        <v/>
      </c>
      <c r="M981" s="2" t="str">
        <f>IF($N981="","",IF(AND(G981=0,H981=0),"수량 없음",IF(G981=0,"신규 (전년 수량 없음)",IF(H981=0,"당해 수량 없음",""))))</f>
        <v/>
      </c>
      <c r="N981" t="str">
        <f>IF($B981="","",MATCH($B981,'_calc'!$L$2:$L$3001,0))</f>
        <v/>
      </c>
    </row>
    <row r="982">
      <c r="B982" s="24" t="str">
        <f>IF(ROW()-ROW($B$8)&gt;nComp,"",ROW()-ROW($B$8))</f>
        <v/>
      </c>
      <c r="C982" t="str">
        <f>IF($N982="","",INDEX('_calc'!$A$2:$A$3001,$N982))</f>
        <v/>
      </c>
      <c r="D982" s="25" t="str">
        <f>IF($N982="","",INDEX('_calc'!$C$2:$C$3001,$N982))</f>
        <v/>
      </c>
      <c r="E982" s="25" t="str">
        <f>IF($N982="","",INDEX('_calc'!$D$2:$D$3001,$N982))</f>
        <v/>
      </c>
      <c r="F982" s="26" t="str">
        <f>IF($N982="","",IF($E$8=0,"",E982/$E$8))</f>
        <v/>
      </c>
      <c r="G982" s="25" t="str">
        <f>IF($N982="","",INDEX('_calc'!$E$2:$E$3001,$N982))</f>
        <v/>
      </c>
      <c r="H982" s="25" t="str">
        <f>IF($N982="","",INDEX('_calc'!$F$2:$F$3001,$N982))</f>
        <v/>
      </c>
      <c r="I982" s="27" t="str">
        <f>IF($N982="","",INDEX('_calc'!$H$2:$H$3001,$N982))</f>
        <v/>
      </c>
      <c r="J982" s="27" t="str">
        <f>IF($N982="","",INDEX('_calc'!$I$2:$I$3001,$N982))</f>
        <v/>
      </c>
      <c r="K982" s="28" t="str">
        <f>IF($N982="","",IF(OR(I982="",J982=""),"",J982-I982))</f>
        <v/>
      </c>
      <c r="L982" s="29" t="str">
        <f>IF($N982="","",INDEX('_calc'!$J$2:$J$3001,$N982))</f>
        <v/>
      </c>
      <c r="M982" s="2" t="str">
        <f>IF($N982="","",IF(AND(G982=0,H982=0),"수량 없음",IF(G982=0,"신규 (전년 수량 없음)",IF(H982=0,"당해 수량 없음",""))))</f>
        <v/>
      </c>
      <c r="N982" t="str">
        <f>IF($B982="","",MATCH($B982,'_calc'!$L$2:$L$3001,0))</f>
        <v/>
      </c>
    </row>
    <row r="983">
      <c r="B983" s="24" t="str">
        <f>IF(ROW()-ROW($B$8)&gt;nComp,"",ROW()-ROW($B$8))</f>
        <v/>
      </c>
      <c r="C983" t="str">
        <f>IF($N983="","",INDEX('_calc'!$A$2:$A$3001,$N983))</f>
        <v/>
      </c>
      <c r="D983" s="25" t="str">
        <f>IF($N983="","",INDEX('_calc'!$C$2:$C$3001,$N983))</f>
        <v/>
      </c>
      <c r="E983" s="25" t="str">
        <f>IF($N983="","",INDEX('_calc'!$D$2:$D$3001,$N983))</f>
        <v/>
      </c>
      <c r="F983" s="26" t="str">
        <f>IF($N983="","",IF($E$8=0,"",E983/$E$8))</f>
        <v/>
      </c>
      <c r="G983" s="25" t="str">
        <f>IF($N983="","",INDEX('_calc'!$E$2:$E$3001,$N983))</f>
        <v/>
      </c>
      <c r="H983" s="25" t="str">
        <f>IF($N983="","",INDEX('_calc'!$F$2:$F$3001,$N983))</f>
        <v/>
      </c>
      <c r="I983" s="27" t="str">
        <f>IF($N983="","",INDEX('_calc'!$H$2:$H$3001,$N983))</f>
        <v/>
      </c>
      <c r="J983" s="27" t="str">
        <f>IF($N983="","",INDEX('_calc'!$I$2:$I$3001,$N983))</f>
        <v/>
      </c>
      <c r="K983" s="28" t="str">
        <f>IF($N983="","",IF(OR(I983="",J983=""),"",J983-I983))</f>
        <v/>
      </c>
      <c r="L983" s="29" t="str">
        <f>IF($N983="","",INDEX('_calc'!$J$2:$J$3001,$N983))</f>
        <v/>
      </c>
      <c r="M983" s="2" t="str">
        <f>IF($N983="","",IF(AND(G983=0,H983=0),"수량 없음",IF(G983=0,"신규 (전년 수량 없음)",IF(H983=0,"당해 수량 없음",""))))</f>
        <v/>
      </c>
      <c r="N983" t="str">
        <f>IF($B983="","",MATCH($B983,'_calc'!$L$2:$L$3001,0))</f>
        <v/>
      </c>
    </row>
    <row r="984">
      <c r="B984" s="24" t="str">
        <f>IF(ROW()-ROW($B$8)&gt;nComp,"",ROW()-ROW($B$8))</f>
        <v/>
      </c>
      <c r="C984" t="str">
        <f>IF($N984="","",INDEX('_calc'!$A$2:$A$3001,$N984))</f>
        <v/>
      </c>
      <c r="D984" s="25" t="str">
        <f>IF($N984="","",INDEX('_calc'!$C$2:$C$3001,$N984))</f>
        <v/>
      </c>
      <c r="E984" s="25" t="str">
        <f>IF($N984="","",INDEX('_calc'!$D$2:$D$3001,$N984))</f>
        <v/>
      </c>
      <c r="F984" s="26" t="str">
        <f>IF($N984="","",IF($E$8=0,"",E984/$E$8))</f>
        <v/>
      </c>
      <c r="G984" s="25" t="str">
        <f>IF($N984="","",INDEX('_calc'!$E$2:$E$3001,$N984))</f>
        <v/>
      </c>
      <c r="H984" s="25" t="str">
        <f>IF($N984="","",INDEX('_calc'!$F$2:$F$3001,$N984))</f>
        <v/>
      </c>
      <c r="I984" s="27" t="str">
        <f>IF($N984="","",INDEX('_calc'!$H$2:$H$3001,$N984))</f>
        <v/>
      </c>
      <c r="J984" s="27" t="str">
        <f>IF($N984="","",INDEX('_calc'!$I$2:$I$3001,$N984))</f>
        <v/>
      </c>
      <c r="K984" s="28" t="str">
        <f>IF($N984="","",IF(OR(I984="",J984=""),"",J984-I984))</f>
        <v/>
      </c>
      <c r="L984" s="29" t="str">
        <f>IF($N984="","",INDEX('_calc'!$J$2:$J$3001,$N984))</f>
        <v/>
      </c>
      <c r="M984" s="2" t="str">
        <f>IF($N984="","",IF(AND(G984=0,H984=0),"수량 없음",IF(G984=0,"신규 (전년 수량 없음)",IF(H984=0,"당해 수량 없음",""))))</f>
        <v/>
      </c>
      <c r="N984" t="str">
        <f>IF($B984="","",MATCH($B984,'_calc'!$L$2:$L$3001,0))</f>
        <v/>
      </c>
    </row>
    <row r="985">
      <c r="B985" s="24" t="str">
        <f>IF(ROW()-ROW($B$8)&gt;nComp,"",ROW()-ROW($B$8))</f>
        <v/>
      </c>
      <c r="C985" t="str">
        <f>IF($N985="","",INDEX('_calc'!$A$2:$A$3001,$N985))</f>
        <v/>
      </c>
      <c r="D985" s="25" t="str">
        <f>IF($N985="","",INDEX('_calc'!$C$2:$C$3001,$N985))</f>
        <v/>
      </c>
      <c r="E985" s="25" t="str">
        <f>IF($N985="","",INDEX('_calc'!$D$2:$D$3001,$N985))</f>
        <v/>
      </c>
      <c r="F985" s="26" t="str">
        <f>IF($N985="","",IF($E$8=0,"",E985/$E$8))</f>
        <v/>
      </c>
      <c r="G985" s="25" t="str">
        <f>IF($N985="","",INDEX('_calc'!$E$2:$E$3001,$N985))</f>
        <v/>
      </c>
      <c r="H985" s="25" t="str">
        <f>IF($N985="","",INDEX('_calc'!$F$2:$F$3001,$N985))</f>
        <v/>
      </c>
      <c r="I985" s="27" t="str">
        <f>IF($N985="","",INDEX('_calc'!$H$2:$H$3001,$N985))</f>
        <v/>
      </c>
      <c r="J985" s="27" t="str">
        <f>IF($N985="","",INDEX('_calc'!$I$2:$I$3001,$N985))</f>
        <v/>
      </c>
      <c r="K985" s="28" t="str">
        <f>IF($N985="","",IF(OR(I985="",J985=""),"",J985-I985))</f>
        <v/>
      </c>
      <c r="L985" s="29" t="str">
        <f>IF($N985="","",INDEX('_calc'!$J$2:$J$3001,$N985))</f>
        <v/>
      </c>
      <c r="M985" s="2" t="str">
        <f>IF($N985="","",IF(AND(G985=0,H985=0),"수량 없음",IF(G985=0,"신규 (전년 수량 없음)",IF(H985=0,"당해 수량 없음",""))))</f>
        <v/>
      </c>
      <c r="N985" t="str">
        <f>IF($B985="","",MATCH($B985,'_calc'!$L$2:$L$3001,0))</f>
        <v/>
      </c>
    </row>
    <row r="986">
      <c r="B986" s="24" t="str">
        <f>IF(ROW()-ROW($B$8)&gt;nComp,"",ROW()-ROW($B$8))</f>
        <v/>
      </c>
      <c r="C986" t="str">
        <f>IF($N986="","",INDEX('_calc'!$A$2:$A$3001,$N986))</f>
        <v/>
      </c>
      <c r="D986" s="25" t="str">
        <f>IF($N986="","",INDEX('_calc'!$C$2:$C$3001,$N986))</f>
        <v/>
      </c>
      <c r="E986" s="25" t="str">
        <f>IF($N986="","",INDEX('_calc'!$D$2:$D$3001,$N986))</f>
        <v/>
      </c>
      <c r="F986" s="26" t="str">
        <f>IF($N986="","",IF($E$8=0,"",E986/$E$8))</f>
        <v/>
      </c>
      <c r="G986" s="25" t="str">
        <f>IF($N986="","",INDEX('_calc'!$E$2:$E$3001,$N986))</f>
        <v/>
      </c>
      <c r="H986" s="25" t="str">
        <f>IF($N986="","",INDEX('_calc'!$F$2:$F$3001,$N986))</f>
        <v/>
      </c>
      <c r="I986" s="27" t="str">
        <f>IF($N986="","",INDEX('_calc'!$H$2:$H$3001,$N986))</f>
        <v/>
      </c>
      <c r="J986" s="27" t="str">
        <f>IF($N986="","",INDEX('_calc'!$I$2:$I$3001,$N986))</f>
        <v/>
      </c>
      <c r="K986" s="28" t="str">
        <f>IF($N986="","",IF(OR(I986="",J986=""),"",J986-I986))</f>
        <v/>
      </c>
      <c r="L986" s="29" t="str">
        <f>IF($N986="","",INDEX('_calc'!$J$2:$J$3001,$N986))</f>
        <v/>
      </c>
      <c r="M986" s="2" t="str">
        <f>IF($N986="","",IF(AND(G986=0,H986=0),"수량 없음",IF(G986=0,"신규 (전년 수량 없음)",IF(H986=0,"당해 수량 없음",""))))</f>
        <v/>
      </c>
      <c r="N986" t="str">
        <f>IF($B986="","",MATCH($B986,'_calc'!$L$2:$L$3001,0))</f>
        <v/>
      </c>
    </row>
    <row r="987">
      <c r="B987" s="24" t="str">
        <f>IF(ROW()-ROW($B$8)&gt;nComp,"",ROW()-ROW($B$8))</f>
        <v/>
      </c>
      <c r="C987" t="str">
        <f>IF($N987="","",INDEX('_calc'!$A$2:$A$3001,$N987))</f>
        <v/>
      </c>
      <c r="D987" s="25" t="str">
        <f>IF($N987="","",INDEX('_calc'!$C$2:$C$3001,$N987))</f>
        <v/>
      </c>
      <c r="E987" s="25" t="str">
        <f>IF($N987="","",INDEX('_calc'!$D$2:$D$3001,$N987))</f>
        <v/>
      </c>
      <c r="F987" s="26" t="str">
        <f>IF($N987="","",IF($E$8=0,"",E987/$E$8))</f>
        <v/>
      </c>
      <c r="G987" s="25" t="str">
        <f>IF($N987="","",INDEX('_calc'!$E$2:$E$3001,$N987))</f>
        <v/>
      </c>
      <c r="H987" s="25" t="str">
        <f>IF($N987="","",INDEX('_calc'!$F$2:$F$3001,$N987))</f>
        <v/>
      </c>
      <c r="I987" s="27" t="str">
        <f>IF($N987="","",INDEX('_calc'!$H$2:$H$3001,$N987))</f>
        <v/>
      </c>
      <c r="J987" s="27" t="str">
        <f>IF($N987="","",INDEX('_calc'!$I$2:$I$3001,$N987))</f>
        <v/>
      </c>
      <c r="K987" s="28" t="str">
        <f>IF($N987="","",IF(OR(I987="",J987=""),"",J987-I987))</f>
        <v/>
      </c>
      <c r="L987" s="29" t="str">
        <f>IF($N987="","",INDEX('_calc'!$J$2:$J$3001,$N987))</f>
        <v/>
      </c>
      <c r="M987" s="2" t="str">
        <f>IF($N987="","",IF(AND(G987=0,H987=0),"수량 없음",IF(G987=0,"신규 (전년 수량 없음)",IF(H987=0,"당해 수량 없음",""))))</f>
        <v/>
      </c>
      <c r="N987" t="str">
        <f>IF($B987="","",MATCH($B987,'_calc'!$L$2:$L$3001,0))</f>
        <v/>
      </c>
    </row>
    <row r="988">
      <c r="B988" s="24" t="str">
        <f>IF(ROW()-ROW($B$8)&gt;nComp,"",ROW()-ROW($B$8))</f>
        <v/>
      </c>
      <c r="C988" t="str">
        <f>IF($N988="","",INDEX('_calc'!$A$2:$A$3001,$N988))</f>
        <v/>
      </c>
      <c r="D988" s="25" t="str">
        <f>IF($N988="","",INDEX('_calc'!$C$2:$C$3001,$N988))</f>
        <v/>
      </c>
      <c r="E988" s="25" t="str">
        <f>IF($N988="","",INDEX('_calc'!$D$2:$D$3001,$N988))</f>
        <v/>
      </c>
      <c r="F988" s="26" t="str">
        <f>IF($N988="","",IF($E$8=0,"",E988/$E$8))</f>
        <v/>
      </c>
      <c r="G988" s="25" t="str">
        <f>IF($N988="","",INDEX('_calc'!$E$2:$E$3001,$N988))</f>
        <v/>
      </c>
      <c r="H988" s="25" t="str">
        <f>IF($N988="","",INDEX('_calc'!$F$2:$F$3001,$N988))</f>
        <v/>
      </c>
      <c r="I988" s="27" t="str">
        <f>IF($N988="","",INDEX('_calc'!$H$2:$H$3001,$N988))</f>
        <v/>
      </c>
      <c r="J988" s="27" t="str">
        <f>IF($N988="","",INDEX('_calc'!$I$2:$I$3001,$N988))</f>
        <v/>
      </c>
      <c r="K988" s="28" t="str">
        <f>IF($N988="","",IF(OR(I988="",J988=""),"",J988-I988))</f>
        <v/>
      </c>
      <c r="L988" s="29" t="str">
        <f>IF($N988="","",INDEX('_calc'!$J$2:$J$3001,$N988))</f>
        <v/>
      </c>
      <c r="M988" s="2" t="str">
        <f>IF($N988="","",IF(AND(G988=0,H988=0),"수량 없음",IF(G988=0,"신규 (전년 수량 없음)",IF(H988=0,"당해 수량 없음",""))))</f>
        <v/>
      </c>
      <c r="N988" t="str">
        <f>IF($B988="","",MATCH($B988,'_calc'!$L$2:$L$3001,0))</f>
        <v/>
      </c>
    </row>
    <row r="989">
      <c r="B989" s="24" t="str">
        <f>IF(ROW()-ROW($B$8)&gt;nComp,"",ROW()-ROW($B$8))</f>
        <v/>
      </c>
      <c r="C989" t="str">
        <f>IF($N989="","",INDEX('_calc'!$A$2:$A$3001,$N989))</f>
        <v/>
      </c>
      <c r="D989" s="25" t="str">
        <f>IF($N989="","",INDEX('_calc'!$C$2:$C$3001,$N989))</f>
        <v/>
      </c>
      <c r="E989" s="25" t="str">
        <f>IF($N989="","",INDEX('_calc'!$D$2:$D$3001,$N989))</f>
        <v/>
      </c>
      <c r="F989" s="26" t="str">
        <f>IF($N989="","",IF($E$8=0,"",E989/$E$8))</f>
        <v/>
      </c>
      <c r="G989" s="25" t="str">
        <f>IF($N989="","",INDEX('_calc'!$E$2:$E$3001,$N989))</f>
        <v/>
      </c>
      <c r="H989" s="25" t="str">
        <f>IF($N989="","",INDEX('_calc'!$F$2:$F$3001,$N989))</f>
        <v/>
      </c>
      <c r="I989" s="27" t="str">
        <f>IF($N989="","",INDEX('_calc'!$H$2:$H$3001,$N989))</f>
        <v/>
      </c>
      <c r="J989" s="27" t="str">
        <f>IF($N989="","",INDEX('_calc'!$I$2:$I$3001,$N989))</f>
        <v/>
      </c>
      <c r="K989" s="28" t="str">
        <f>IF($N989="","",IF(OR(I989="",J989=""),"",J989-I989))</f>
        <v/>
      </c>
      <c r="L989" s="29" t="str">
        <f>IF($N989="","",INDEX('_calc'!$J$2:$J$3001,$N989))</f>
        <v/>
      </c>
      <c r="M989" s="2" t="str">
        <f>IF($N989="","",IF(AND(G989=0,H989=0),"수량 없음",IF(G989=0,"신규 (전년 수량 없음)",IF(H989=0,"당해 수량 없음",""))))</f>
        <v/>
      </c>
      <c r="N989" t="str">
        <f>IF($B989="","",MATCH($B989,'_calc'!$L$2:$L$3001,0))</f>
        <v/>
      </c>
    </row>
    <row r="990">
      <c r="B990" s="24" t="str">
        <f>IF(ROW()-ROW($B$8)&gt;nComp,"",ROW()-ROW($B$8))</f>
        <v/>
      </c>
      <c r="C990" t="str">
        <f>IF($N990="","",INDEX('_calc'!$A$2:$A$3001,$N990))</f>
        <v/>
      </c>
      <c r="D990" s="25" t="str">
        <f>IF($N990="","",INDEX('_calc'!$C$2:$C$3001,$N990))</f>
        <v/>
      </c>
      <c r="E990" s="25" t="str">
        <f>IF($N990="","",INDEX('_calc'!$D$2:$D$3001,$N990))</f>
        <v/>
      </c>
      <c r="F990" s="26" t="str">
        <f>IF($N990="","",IF($E$8=0,"",E990/$E$8))</f>
        <v/>
      </c>
      <c r="G990" s="25" t="str">
        <f>IF($N990="","",INDEX('_calc'!$E$2:$E$3001,$N990))</f>
        <v/>
      </c>
      <c r="H990" s="25" t="str">
        <f>IF($N990="","",INDEX('_calc'!$F$2:$F$3001,$N990))</f>
        <v/>
      </c>
      <c r="I990" s="27" t="str">
        <f>IF($N990="","",INDEX('_calc'!$H$2:$H$3001,$N990))</f>
        <v/>
      </c>
      <c r="J990" s="27" t="str">
        <f>IF($N990="","",INDEX('_calc'!$I$2:$I$3001,$N990))</f>
        <v/>
      </c>
      <c r="K990" s="28" t="str">
        <f>IF($N990="","",IF(OR(I990="",J990=""),"",J990-I990))</f>
        <v/>
      </c>
      <c r="L990" s="29" t="str">
        <f>IF($N990="","",INDEX('_calc'!$J$2:$J$3001,$N990))</f>
        <v/>
      </c>
      <c r="M990" s="2" t="str">
        <f>IF($N990="","",IF(AND(G990=0,H990=0),"수량 없음",IF(G990=0,"신규 (전년 수량 없음)",IF(H990=0,"당해 수량 없음",""))))</f>
        <v/>
      </c>
      <c r="N990" t="str">
        <f>IF($B990="","",MATCH($B990,'_calc'!$L$2:$L$3001,0))</f>
        <v/>
      </c>
    </row>
    <row r="991">
      <c r="B991" s="24" t="str">
        <f>IF(ROW()-ROW($B$8)&gt;nComp,"",ROW()-ROW($B$8))</f>
        <v/>
      </c>
      <c r="C991" t="str">
        <f>IF($N991="","",INDEX('_calc'!$A$2:$A$3001,$N991))</f>
        <v/>
      </c>
      <c r="D991" s="25" t="str">
        <f>IF($N991="","",INDEX('_calc'!$C$2:$C$3001,$N991))</f>
        <v/>
      </c>
      <c r="E991" s="25" t="str">
        <f>IF($N991="","",INDEX('_calc'!$D$2:$D$3001,$N991))</f>
        <v/>
      </c>
      <c r="F991" s="26" t="str">
        <f>IF($N991="","",IF($E$8=0,"",E991/$E$8))</f>
        <v/>
      </c>
      <c r="G991" s="25" t="str">
        <f>IF($N991="","",INDEX('_calc'!$E$2:$E$3001,$N991))</f>
        <v/>
      </c>
      <c r="H991" s="25" t="str">
        <f>IF($N991="","",INDEX('_calc'!$F$2:$F$3001,$N991))</f>
        <v/>
      </c>
      <c r="I991" s="27" t="str">
        <f>IF($N991="","",INDEX('_calc'!$H$2:$H$3001,$N991))</f>
        <v/>
      </c>
      <c r="J991" s="27" t="str">
        <f>IF($N991="","",INDEX('_calc'!$I$2:$I$3001,$N991))</f>
        <v/>
      </c>
      <c r="K991" s="28" t="str">
        <f>IF($N991="","",IF(OR(I991="",J991=""),"",J991-I991))</f>
        <v/>
      </c>
      <c r="L991" s="29" t="str">
        <f>IF($N991="","",INDEX('_calc'!$J$2:$J$3001,$N991))</f>
        <v/>
      </c>
      <c r="M991" s="2" t="str">
        <f>IF($N991="","",IF(AND(G991=0,H991=0),"수량 없음",IF(G991=0,"신규 (전년 수량 없음)",IF(H991=0,"당해 수량 없음",""))))</f>
        <v/>
      </c>
      <c r="N991" t="str">
        <f>IF($B991="","",MATCH($B991,'_calc'!$L$2:$L$3001,0))</f>
        <v/>
      </c>
    </row>
    <row r="992">
      <c r="B992" s="24" t="str">
        <f>IF(ROW()-ROW($B$8)&gt;nComp,"",ROW()-ROW($B$8))</f>
        <v/>
      </c>
      <c r="C992" t="str">
        <f>IF($N992="","",INDEX('_calc'!$A$2:$A$3001,$N992))</f>
        <v/>
      </c>
      <c r="D992" s="25" t="str">
        <f>IF($N992="","",INDEX('_calc'!$C$2:$C$3001,$N992))</f>
        <v/>
      </c>
      <c r="E992" s="25" t="str">
        <f>IF($N992="","",INDEX('_calc'!$D$2:$D$3001,$N992))</f>
        <v/>
      </c>
      <c r="F992" s="26" t="str">
        <f>IF($N992="","",IF($E$8=0,"",E992/$E$8))</f>
        <v/>
      </c>
      <c r="G992" s="25" t="str">
        <f>IF($N992="","",INDEX('_calc'!$E$2:$E$3001,$N992))</f>
        <v/>
      </c>
      <c r="H992" s="25" t="str">
        <f>IF($N992="","",INDEX('_calc'!$F$2:$F$3001,$N992))</f>
        <v/>
      </c>
      <c r="I992" s="27" t="str">
        <f>IF($N992="","",INDEX('_calc'!$H$2:$H$3001,$N992))</f>
        <v/>
      </c>
      <c r="J992" s="27" t="str">
        <f>IF($N992="","",INDEX('_calc'!$I$2:$I$3001,$N992))</f>
        <v/>
      </c>
      <c r="K992" s="28" t="str">
        <f>IF($N992="","",IF(OR(I992="",J992=""),"",J992-I992))</f>
        <v/>
      </c>
      <c r="L992" s="29" t="str">
        <f>IF($N992="","",INDEX('_calc'!$J$2:$J$3001,$N992))</f>
        <v/>
      </c>
      <c r="M992" s="2" t="str">
        <f>IF($N992="","",IF(AND(G992=0,H992=0),"수량 없음",IF(G992=0,"신규 (전년 수량 없음)",IF(H992=0,"당해 수량 없음",""))))</f>
        <v/>
      </c>
      <c r="N992" t="str">
        <f>IF($B992="","",MATCH($B992,'_calc'!$L$2:$L$3001,0))</f>
        <v/>
      </c>
    </row>
    <row r="993">
      <c r="B993" s="24" t="str">
        <f>IF(ROW()-ROW($B$8)&gt;nComp,"",ROW()-ROW($B$8))</f>
        <v/>
      </c>
      <c r="C993" t="str">
        <f>IF($N993="","",INDEX('_calc'!$A$2:$A$3001,$N993))</f>
        <v/>
      </c>
      <c r="D993" s="25" t="str">
        <f>IF($N993="","",INDEX('_calc'!$C$2:$C$3001,$N993))</f>
        <v/>
      </c>
      <c r="E993" s="25" t="str">
        <f>IF($N993="","",INDEX('_calc'!$D$2:$D$3001,$N993))</f>
        <v/>
      </c>
      <c r="F993" s="26" t="str">
        <f>IF($N993="","",IF($E$8=0,"",E993/$E$8))</f>
        <v/>
      </c>
      <c r="G993" s="25" t="str">
        <f>IF($N993="","",INDEX('_calc'!$E$2:$E$3001,$N993))</f>
        <v/>
      </c>
      <c r="H993" s="25" t="str">
        <f>IF($N993="","",INDEX('_calc'!$F$2:$F$3001,$N993))</f>
        <v/>
      </c>
      <c r="I993" s="27" t="str">
        <f>IF($N993="","",INDEX('_calc'!$H$2:$H$3001,$N993))</f>
        <v/>
      </c>
      <c r="J993" s="27" t="str">
        <f>IF($N993="","",INDEX('_calc'!$I$2:$I$3001,$N993))</f>
        <v/>
      </c>
      <c r="K993" s="28" t="str">
        <f>IF($N993="","",IF(OR(I993="",J993=""),"",J993-I993))</f>
        <v/>
      </c>
      <c r="L993" s="29" t="str">
        <f>IF($N993="","",INDEX('_calc'!$J$2:$J$3001,$N993))</f>
        <v/>
      </c>
      <c r="M993" s="2" t="str">
        <f>IF($N993="","",IF(AND(G993=0,H993=0),"수량 없음",IF(G993=0,"신규 (전년 수량 없음)",IF(H993=0,"당해 수량 없음",""))))</f>
        <v/>
      </c>
      <c r="N993" t="str">
        <f>IF($B993="","",MATCH($B993,'_calc'!$L$2:$L$3001,0))</f>
        <v/>
      </c>
    </row>
    <row r="994">
      <c r="B994" s="24" t="str">
        <f>IF(ROW()-ROW($B$8)&gt;nComp,"",ROW()-ROW($B$8))</f>
        <v/>
      </c>
      <c r="C994" t="str">
        <f>IF($N994="","",INDEX('_calc'!$A$2:$A$3001,$N994))</f>
        <v/>
      </c>
      <c r="D994" s="25" t="str">
        <f>IF($N994="","",INDEX('_calc'!$C$2:$C$3001,$N994))</f>
        <v/>
      </c>
      <c r="E994" s="25" t="str">
        <f>IF($N994="","",INDEX('_calc'!$D$2:$D$3001,$N994))</f>
        <v/>
      </c>
      <c r="F994" s="26" t="str">
        <f>IF($N994="","",IF($E$8=0,"",E994/$E$8))</f>
        <v/>
      </c>
      <c r="G994" s="25" t="str">
        <f>IF($N994="","",INDEX('_calc'!$E$2:$E$3001,$N994))</f>
        <v/>
      </c>
      <c r="H994" s="25" t="str">
        <f>IF($N994="","",INDEX('_calc'!$F$2:$F$3001,$N994))</f>
        <v/>
      </c>
      <c r="I994" s="27" t="str">
        <f>IF($N994="","",INDEX('_calc'!$H$2:$H$3001,$N994))</f>
        <v/>
      </c>
      <c r="J994" s="27" t="str">
        <f>IF($N994="","",INDEX('_calc'!$I$2:$I$3001,$N994))</f>
        <v/>
      </c>
      <c r="K994" s="28" t="str">
        <f>IF($N994="","",IF(OR(I994="",J994=""),"",J994-I994))</f>
        <v/>
      </c>
      <c r="L994" s="29" t="str">
        <f>IF($N994="","",INDEX('_calc'!$J$2:$J$3001,$N994))</f>
        <v/>
      </c>
      <c r="M994" s="2" t="str">
        <f>IF($N994="","",IF(AND(G994=0,H994=0),"수량 없음",IF(G994=0,"신규 (전년 수량 없음)",IF(H994=0,"당해 수량 없음",""))))</f>
        <v/>
      </c>
      <c r="N994" t="str">
        <f>IF($B994="","",MATCH($B994,'_calc'!$L$2:$L$3001,0))</f>
        <v/>
      </c>
    </row>
    <row r="995">
      <c r="B995" s="24" t="str">
        <f>IF(ROW()-ROW($B$8)&gt;nComp,"",ROW()-ROW($B$8))</f>
        <v/>
      </c>
      <c r="C995" t="str">
        <f>IF($N995="","",INDEX('_calc'!$A$2:$A$3001,$N995))</f>
        <v/>
      </c>
      <c r="D995" s="25" t="str">
        <f>IF($N995="","",INDEX('_calc'!$C$2:$C$3001,$N995))</f>
        <v/>
      </c>
      <c r="E995" s="25" t="str">
        <f>IF($N995="","",INDEX('_calc'!$D$2:$D$3001,$N995))</f>
        <v/>
      </c>
      <c r="F995" s="26" t="str">
        <f>IF($N995="","",IF($E$8=0,"",E995/$E$8))</f>
        <v/>
      </c>
      <c r="G995" s="25" t="str">
        <f>IF($N995="","",INDEX('_calc'!$E$2:$E$3001,$N995))</f>
        <v/>
      </c>
      <c r="H995" s="25" t="str">
        <f>IF($N995="","",INDEX('_calc'!$F$2:$F$3001,$N995))</f>
        <v/>
      </c>
      <c r="I995" s="27" t="str">
        <f>IF($N995="","",INDEX('_calc'!$H$2:$H$3001,$N995))</f>
        <v/>
      </c>
      <c r="J995" s="27" t="str">
        <f>IF($N995="","",INDEX('_calc'!$I$2:$I$3001,$N995))</f>
        <v/>
      </c>
      <c r="K995" s="28" t="str">
        <f>IF($N995="","",IF(OR(I995="",J995=""),"",J995-I995))</f>
        <v/>
      </c>
      <c r="L995" s="29" t="str">
        <f>IF($N995="","",INDEX('_calc'!$J$2:$J$3001,$N995))</f>
        <v/>
      </c>
      <c r="M995" s="2" t="str">
        <f>IF($N995="","",IF(AND(G995=0,H995=0),"수량 없음",IF(G995=0,"신규 (전년 수량 없음)",IF(H995=0,"당해 수량 없음",""))))</f>
        <v/>
      </c>
      <c r="N995" t="str">
        <f>IF($B995="","",MATCH($B995,'_calc'!$L$2:$L$3001,0))</f>
        <v/>
      </c>
    </row>
    <row r="996">
      <c r="B996" s="24" t="str">
        <f>IF(ROW()-ROW($B$8)&gt;nComp,"",ROW()-ROW($B$8))</f>
        <v/>
      </c>
      <c r="C996" t="str">
        <f>IF($N996="","",INDEX('_calc'!$A$2:$A$3001,$N996))</f>
        <v/>
      </c>
      <c r="D996" s="25" t="str">
        <f>IF($N996="","",INDEX('_calc'!$C$2:$C$3001,$N996))</f>
        <v/>
      </c>
      <c r="E996" s="25" t="str">
        <f>IF($N996="","",INDEX('_calc'!$D$2:$D$3001,$N996))</f>
        <v/>
      </c>
      <c r="F996" s="26" t="str">
        <f>IF($N996="","",IF($E$8=0,"",E996/$E$8))</f>
        <v/>
      </c>
      <c r="G996" s="25" t="str">
        <f>IF($N996="","",INDEX('_calc'!$E$2:$E$3001,$N996))</f>
        <v/>
      </c>
      <c r="H996" s="25" t="str">
        <f>IF($N996="","",INDEX('_calc'!$F$2:$F$3001,$N996))</f>
        <v/>
      </c>
      <c r="I996" s="27" t="str">
        <f>IF($N996="","",INDEX('_calc'!$H$2:$H$3001,$N996))</f>
        <v/>
      </c>
      <c r="J996" s="27" t="str">
        <f>IF($N996="","",INDEX('_calc'!$I$2:$I$3001,$N996))</f>
        <v/>
      </c>
      <c r="K996" s="28" t="str">
        <f>IF($N996="","",IF(OR(I996="",J996=""),"",J996-I996))</f>
        <v/>
      </c>
      <c r="L996" s="29" t="str">
        <f>IF($N996="","",INDEX('_calc'!$J$2:$J$3001,$N996))</f>
        <v/>
      </c>
      <c r="M996" s="2" t="str">
        <f>IF($N996="","",IF(AND(G996=0,H996=0),"수량 없음",IF(G996=0,"신규 (전년 수량 없음)",IF(H996=0,"당해 수량 없음",""))))</f>
        <v/>
      </c>
      <c r="N996" t="str">
        <f>IF($B996="","",MATCH($B996,'_calc'!$L$2:$L$3001,0))</f>
        <v/>
      </c>
    </row>
    <row r="997">
      <c r="B997" s="24" t="str">
        <f>IF(ROW()-ROW($B$8)&gt;nComp,"",ROW()-ROW($B$8))</f>
        <v/>
      </c>
      <c r="C997" t="str">
        <f>IF($N997="","",INDEX('_calc'!$A$2:$A$3001,$N997))</f>
        <v/>
      </c>
      <c r="D997" s="25" t="str">
        <f>IF($N997="","",INDEX('_calc'!$C$2:$C$3001,$N997))</f>
        <v/>
      </c>
      <c r="E997" s="25" t="str">
        <f>IF($N997="","",INDEX('_calc'!$D$2:$D$3001,$N997))</f>
        <v/>
      </c>
      <c r="F997" s="26" t="str">
        <f>IF($N997="","",IF($E$8=0,"",E997/$E$8))</f>
        <v/>
      </c>
      <c r="G997" s="25" t="str">
        <f>IF($N997="","",INDEX('_calc'!$E$2:$E$3001,$N997))</f>
        <v/>
      </c>
      <c r="H997" s="25" t="str">
        <f>IF($N997="","",INDEX('_calc'!$F$2:$F$3001,$N997))</f>
        <v/>
      </c>
      <c r="I997" s="27" t="str">
        <f>IF($N997="","",INDEX('_calc'!$H$2:$H$3001,$N997))</f>
        <v/>
      </c>
      <c r="J997" s="27" t="str">
        <f>IF($N997="","",INDEX('_calc'!$I$2:$I$3001,$N997))</f>
        <v/>
      </c>
      <c r="K997" s="28" t="str">
        <f>IF($N997="","",IF(OR(I997="",J997=""),"",J997-I997))</f>
        <v/>
      </c>
      <c r="L997" s="29" t="str">
        <f>IF($N997="","",INDEX('_calc'!$J$2:$J$3001,$N997))</f>
        <v/>
      </c>
      <c r="M997" s="2" t="str">
        <f>IF($N997="","",IF(AND(G997=0,H997=0),"수량 없음",IF(G997=0,"신규 (전년 수량 없음)",IF(H997=0,"당해 수량 없음",""))))</f>
        <v/>
      </c>
      <c r="N997" t="str">
        <f>IF($B997="","",MATCH($B997,'_calc'!$L$2:$L$3001,0))</f>
        <v/>
      </c>
    </row>
    <row r="998">
      <c r="B998" s="24" t="str">
        <f>IF(ROW()-ROW($B$8)&gt;nComp,"",ROW()-ROW($B$8))</f>
        <v/>
      </c>
      <c r="C998" t="str">
        <f>IF($N998="","",INDEX('_calc'!$A$2:$A$3001,$N998))</f>
        <v/>
      </c>
      <c r="D998" s="25" t="str">
        <f>IF($N998="","",INDEX('_calc'!$C$2:$C$3001,$N998))</f>
        <v/>
      </c>
      <c r="E998" s="25" t="str">
        <f>IF($N998="","",INDEX('_calc'!$D$2:$D$3001,$N998))</f>
        <v/>
      </c>
      <c r="F998" s="26" t="str">
        <f>IF($N998="","",IF($E$8=0,"",E998/$E$8))</f>
        <v/>
      </c>
      <c r="G998" s="25" t="str">
        <f>IF($N998="","",INDEX('_calc'!$E$2:$E$3001,$N998))</f>
        <v/>
      </c>
      <c r="H998" s="25" t="str">
        <f>IF($N998="","",INDEX('_calc'!$F$2:$F$3001,$N998))</f>
        <v/>
      </c>
      <c r="I998" s="27" t="str">
        <f>IF($N998="","",INDEX('_calc'!$H$2:$H$3001,$N998))</f>
        <v/>
      </c>
      <c r="J998" s="27" t="str">
        <f>IF($N998="","",INDEX('_calc'!$I$2:$I$3001,$N998))</f>
        <v/>
      </c>
      <c r="K998" s="28" t="str">
        <f>IF($N998="","",IF(OR(I998="",J998=""),"",J998-I998))</f>
        <v/>
      </c>
      <c r="L998" s="29" t="str">
        <f>IF($N998="","",INDEX('_calc'!$J$2:$J$3001,$N998))</f>
        <v/>
      </c>
      <c r="M998" s="2" t="str">
        <f>IF($N998="","",IF(AND(G998=0,H998=0),"수량 없음",IF(G998=0,"신규 (전년 수량 없음)",IF(H998=0,"당해 수량 없음",""))))</f>
        <v/>
      </c>
      <c r="N998" t="str">
        <f>IF($B998="","",MATCH($B998,'_calc'!$L$2:$L$3001,0))</f>
        <v/>
      </c>
    </row>
    <row r="999">
      <c r="B999" s="24" t="str">
        <f>IF(ROW()-ROW($B$8)&gt;nComp,"",ROW()-ROW($B$8))</f>
        <v/>
      </c>
      <c r="C999" t="str">
        <f>IF($N999="","",INDEX('_calc'!$A$2:$A$3001,$N999))</f>
        <v/>
      </c>
      <c r="D999" s="25" t="str">
        <f>IF($N999="","",INDEX('_calc'!$C$2:$C$3001,$N999))</f>
        <v/>
      </c>
      <c r="E999" s="25" t="str">
        <f>IF($N999="","",INDEX('_calc'!$D$2:$D$3001,$N999))</f>
        <v/>
      </c>
      <c r="F999" s="26" t="str">
        <f>IF($N999="","",IF($E$8=0,"",E999/$E$8))</f>
        <v/>
      </c>
      <c r="G999" s="25" t="str">
        <f>IF($N999="","",INDEX('_calc'!$E$2:$E$3001,$N999))</f>
        <v/>
      </c>
      <c r="H999" s="25" t="str">
        <f>IF($N999="","",INDEX('_calc'!$F$2:$F$3001,$N999))</f>
        <v/>
      </c>
      <c r="I999" s="27" t="str">
        <f>IF($N999="","",INDEX('_calc'!$H$2:$H$3001,$N999))</f>
        <v/>
      </c>
      <c r="J999" s="27" t="str">
        <f>IF($N999="","",INDEX('_calc'!$I$2:$I$3001,$N999))</f>
        <v/>
      </c>
      <c r="K999" s="28" t="str">
        <f>IF($N999="","",IF(OR(I999="",J999=""),"",J999-I999))</f>
        <v/>
      </c>
      <c r="L999" s="29" t="str">
        <f>IF($N999="","",INDEX('_calc'!$J$2:$J$3001,$N999))</f>
        <v/>
      </c>
      <c r="M999" s="2" t="str">
        <f>IF($N999="","",IF(AND(G999=0,H999=0),"수량 없음",IF(G999=0,"신규 (전년 수량 없음)",IF(H999=0,"당해 수량 없음",""))))</f>
        <v/>
      </c>
      <c r="N999" t="str">
        <f>IF($B999="","",MATCH($B999,'_calc'!$L$2:$L$3001,0))</f>
        <v/>
      </c>
    </row>
    <row r="1000">
      <c r="B1000" s="24" t="str">
        <f>IF(ROW()-ROW($B$8)&gt;nComp,"",ROW()-ROW($B$8))</f>
        <v/>
      </c>
      <c r="C1000" t="str">
        <f>IF($N1000="","",INDEX('_calc'!$A$2:$A$3001,$N1000))</f>
        <v/>
      </c>
      <c r="D1000" s="25" t="str">
        <f>IF($N1000="","",INDEX('_calc'!$C$2:$C$3001,$N1000))</f>
        <v/>
      </c>
      <c r="E1000" s="25" t="str">
        <f>IF($N1000="","",INDEX('_calc'!$D$2:$D$3001,$N1000))</f>
        <v/>
      </c>
      <c r="F1000" s="26" t="str">
        <f>IF($N1000="","",IF($E$8=0,"",E1000/$E$8))</f>
        <v/>
      </c>
      <c r="G1000" s="25" t="str">
        <f>IF($N1000="","",INDEX('_calc'!$E$2:$E$3001,$N1000))</f>
        <v/>
      </c>
      <c r="H1000" s="25" t="str">
        <f>IF($N1000="","",INDEX('_calc'!$F$2:$F$3001,$N1000))</f>
        <v/>
      </c>
      <c r="I1000" s="27" t="str">
        <f>IF($N1000="","",INDEX('_calc'!$H$2:$H$3001,$N1000))</f>
        <v/>
      </c>
      <c r="J1000" s="27" t="str">
        <f>IF($N1000="","",INDEX('_calc'!$I$2:$I$3001,$N1000))</f>
        <v/>
      </c>
      <c r="K1000" s="28" t="str">
        <f>IF($N1000="","",IF(OR(I1000="",J1000=""),"",J1000-I1000))</f>
        <v/>
      </c>
      <c r="L1000" s="29" t="str">
        <f>IF($N1000="","",INDEX('_calc'!$J$2:$J$3001,$N1000))</f>
        <v/>
      </c>
      <c r="M1000" s="2" t="str">
        <f>IF($N1000="","",IF(AND(G1000=0,H1000=0),"수량 없음",IF(G1000=0,"신규 (전년 수량 없음)",IF(H1000=0,"당해 수량 없음",""))))</f>
        <v/>
      </c>
      <c r="N1000" t="str">
        <f>IF($B1000="","",MATCH($B1000,'_calc'!$L$2:$L$3001,0))</f>
        <v/>
      </c>
    </row>
    <row r="1001">
      <c r="B1001" s="24" t="str">
        <f>IF(ROW()-ROW($B$8)&gt;nComp,"",ROW()-ROW($B$8))</f>
        <v/>
      </c>
      <c r="C1001" t="str">
        <f>IF($N1001="","",INDEX('_calc'!$A$2:$A$3001,$N1001))</f>
        <v/>
      </c>
      <c r="D1001" s="25" t="str">
        <f>IF($N1001="","",INDEX('_calc'!$C$2:$C$3001,$N1001))</f>
        <v/>
      </c>
      <c r="E1001" s="25" t="str">
        <f>IF($N1001="","",INDEX('_calc'!$D$2:$D$3001,$N1001))</f>
        <v/>
      </c>
      <c r="F1001" s="26" t="str">
        <f>IF($N1001="","",IF($E$8=0,"",E1001/$E$8))</f>
        <v/>
      </c>
      <c r="G1001" s="25" t="str">
        <f>IF($N1001="","",INDEX('_calc'!$E$2:$E$3001,$N1001))</f>
        <v/>
      </c>
      <c r="H1001" s="25" t="str">
        <f>IF($N1001="","",INDEX('_calc'!$F$2:$F$3001,$N1001))</f>
        <v/>
      </c>
      <c r="I1001" s="27" t="str">
        <f>IF($N1001="","",INDEX('_calc'!$H$2:$H$3001,$N1001))</f>
        <v/>
      </c>
      <c r="J1001" s="27" t="str">
        <f>IF($N1001="","",INDEX('_calc'!$I$2:$I$3001,$N1001))</f>
        <v/>
      </c>
      <c r="K1001" s="28" t="str">
        <f>IF($N1001="","",IF(OR(I1001="",J1001=""),"",J1001-I1001))</f>
        <v/>
      </c>
      <c r="L1001" s="29" t="str">
        <f>IF($N1001="","",INDEX('_calc'!$J$2:$J$3001,$N1001))</f>
        <v/>
      </c>
      <c r="M1001" s="2" t="str">
        <f>IF($N1001="","",IF(AND(G1001=0,H1001=0),"수량 없음",IF(G1001=0,"신규 (전년 수량 없음)",IF(H1001=0,"당해 수량 없음",""))))</f>
        <v/>
      </c>
      <c r="N1001" t="str">
        <f>IF($B1001="","",MATCH($B1001,'_calc'!$L$2:$L$3001,0))</f>
        <v/>
      </c>
    </row>
    <row r="1002">
      <c r="B1002" s="24" t="str">
        <f>IF(ROW()-ROW($B$8)&gt;nComp,"",ROW()-ROW($B$8))</f>
        <v/>
      </c>
      <c r="C1002" t="str">
        <f>IF($N1002="","",INDEX('_calc'!$A$2:$A$3001,$N1002))</f>
        <v/>
      </c>
      <c r="D1002" s="25" t="str">
        <f>IF($N1002="","",INDEX('_calc'!$C$2:$C$3001,$N1002))</f>
        <v/>
      </c>
      <c r="E1002" s="25" t="str">
        <f>IF($N1002="","",INDEX('_calc'!$D$2:$D$3001,$N1002))</f>
        <v/>
      </c>
      <c r="F1002" s="26" t="str">
        <f>IF($N1002="","",IF($E$8=0,"",E1002/$E$8))</f>
        <v/>
      </c>
      <c r="G1002" s="25" t="str">
        <f>IF($N1002="","",INDEX('_calc'!$E$2:$E$3001,$N1002))</f>
        <v/>
      </c>
      <c r="H1002" s="25" t="str">
        <f>IF($N1002="","",INDEX('_calc'!$F$2:$F$3001,$N1002))</f>
        <v/>
      </c>
      <c r="I1002" s="27" t="str">
        <f>IF($N1002="","",INDEX('_calc'!$H$2:$H$3001,$N1002))</f>
        <v/>
      </c>
      <c r="J1002" s="27" t="str">
        <f>IF($N1002="","",INDEX('_calc'!$I$2:$I$3001,$N1002))</f>
        <v/>
      </c>
      <c r="K1002" s="28" t="str">
        <f>IF($N1002="","",IF(OR(I1002="",J1002=""),"",J1002-I1002))</f>
        <v/>
      </c>
      <c r="L1002" s="29" t="str">
        <f>IF($N1002="","",INDEX('_calc'!$J$2:$J$3001,$N1002))</f>
        <v/>
      </c>
      <c r="M1002" s="2" t="str">
        <f>IF($N1002="","",IF(AND(G1002=0,H1002=0),"수량 없음",IF(G1002=0,"신규 (전년 수량 없음)",IF(H1002=0,"당해 수량 없음",""))))</f>
        <v/>
      </c>
      <c r="N1002" t="str">
        <f>IF($B1002="","",MATCH($B1002,'_calc'!$L$2:$L$3001,0))</f>
        <v/>
      </c>
    </row>
    <row r="1003">
      <c r="B1003" s="24" t="str">
        <f>IF(ROW()-ROW($B$8)&gt;nComp,"",ROW()-ROW($B$8))</f>
        <v/>
      </c>
      <c r="C1003" t="str">
        <f>IF($N1003="","",INDEX('_calc'!$A$2:$A$3001,$N1003))</f>
        <v/>
      </c>
      <c r="D1003" s="25" t="str">
        <f>IF($N1003="","",INDEX('_calc'!$C$2:$C$3001,$N1003))</f>
        <v/>
      </c>
      <c r="E1003" s="25" t="str">
        <f>IF($N1003="","",INDEX('_calc'!$D$2:$D$3001,$N1003))</f>
        <v/>
      </c>
      <c r="F1003" s="26" t="str">
        <f>IF($N1003="","",IF($E$8=0,"",E1003/$E$8))</f>
        <v/>
      </c>
      <c r="G1003" s="25" t="str">
        <f>IF($N1003="","",INDEX('_calc'!$E$2:$E$3001,$N1003))</f>
        <v/>
      </c>
      <c r="H1003" s="25" t="str">
        <f>IF($N1003="","",INDEX('_calc'!$F$2:$F$3001,$N1003))</f>
        <v/>
      </c>
      <c r="I1003" s="27" t="str">
        <f>IF($N1003="","",INDEX('_calc'!$H$2:$H$3001,$N1003))</f>
        <v/>
      </c>
      <c r="J1003" s="27" t="str">
        <f>IF($N1003="","",INDEX('_calc'!$I$2:$I$3001,$N1003))</f>
        <v/>
      </c>
      <c r="K1003" s="28" t="str">
        <f>IF($N1003="","",IF(OR(I1003="",J1003=""),"",J1003-I1003))</f>
        <v/>
      </c>
      <c r="L1003" s="29" t="str">
        <f>IF($N1003="","",INDEX('_calc'!$J$2:$J$3001,$N1003))</f>
        <v/>
      </c>
      <c r="M1003" s="2" t="str">
        <f>IF($N1003="","",IF(AND(G1003=0,H1003=0),"수량 없음",IF(G1003=0,"신규 (전년 수량 없음)",IF(H1003=0,"당해 수량 없음",""))))</f>
        <v/>
      </c>
      <c r="N1003" t="str">
        <f>IF($B1003="","",MATCH($B1003,'_calc'!$L$2:$L$3001,0))</f>
        <v/>
      </c>
    </row>
    <row r="1004">
      <c r="B1004" s="24" t="str">
        <f>IF(ROW()-ROW($B$8)&gt;nComp,"",ROW()-ROW($B$8))</f>
        <v/>
      </c>
      <c r="C1004" t="str">
        <f>IF($N1004="","",INDEX('_calc'!$A$2:$A$3001,$N1004))</f>
        <v/>
      </c>
      <c r="D1004" s="25" t="str">
        <f>IF($N1004="","",INDEX('_calc'!$C$2:$C$3001,$N1004))</f>
        <v/>
      </c>
      <c r="E1004" s="25" t="str">
        <f>IF($N1004="","",INDEX('_calc'!$D$2:$D$3001,$N1004))</f>
        <v/>
      </c>
      <c r="F1004" s="26" t="str">
        <f>IF($N1004="","",IF($E$8=0,"",E1004/$E$8))</f>
        <v/>
      </c>
      <c r="G1004" s="25" t="str">
        <f>IF($N1004="","",INDEX('_calc'!$E$2:$E$3001,$N1004))</f>
        <v/>
      </c>
      <c r="H1004" s="25" t="str">
        <f>IF($N1004="","",INDEX('_calc'!$F$2:$F$3001,$N1004))</f>
        <v/>
      </c>
      <c r="I1004" s="27" t="str">
        <f>IF($N1004="","",INDEX('_calc'!$H$2:$H$3001,$N1004))</f>
        <v/>
      </c>
      <c r="J1004" s="27" t="str">
        <f>IF($N1004="","",INDEX('_calc'!$I$2:$I$3001,$N1004))</f>
        <v/>
      </c>
      <c r="K1004" s="28" t="str">
        <f>IF($N1004="","",IF(OR(I1004="",J1004=""),"",J1004-I1004))</f>
        <v/>
      </c>
      <c r="L1004" s="29" t="str">
        <f>IF($N1004="","",INDEX('_calc'!$J$2:$J$3001,$N1004))</f>
        <v/>
      </c>
      <c r="M1004" s="2" t="str">
        <f>IF($N1004="","",IF(AND(G1004=0,H1004=0),"수량 없음",IF(G1004=0,"신규 (전년 수량 없음)",IF(H1004=0,"당해 수량 없음",""))))</f>
        <v/>
      </c>
      <c r="N1004" t="str">
        <f>IF($B1004="","",MATCH($B1004,'_calc'!$L$2:$L$3001,0))</f>
        <v/>
      </c>
    </row>
    <row r="1005">
      <c r="B1005" s="24" t="str">
        <f>IF(ROW()-ROW($B$8)&gt;nComp,"",ROW()-ROW($B$8))</f>
        <v/>
      </c>
      <c r="C1005" t="str">
        <f>IF($N1005="","",INDEX('_calc'!$A$2:$A$3001,$N1005))</f>
        <v/>
      </c>
      <c r="D1005" s="25" t="str">
        <f>IF($N1005="","",INDEX('_calc'!$C$2:$C$3001,$N1005))</f>
        <v/>
      </c>
      <c r="E1005" s="25" t="str">
        <f>IF($N1005="","",INDEX('_calc'!$D$2:$D$3001,$N1005))</f>
        <v/>
      </c>
      <c r="F1005" s="26" t="str">
        <f>IF($N1005="","",IF($E$8=0,"",E1005/$E$8))</f>
        <v/>
      </c>
      <c r="G1005" s="25" t="str">
        <f>IF($N1005="","",INDEX('_calc'!$E$2:$E$3001,$N1005))</f>
        <v/>
      </c>
      <c r="H1005" s="25" t="str">
        <f>IF($N1005="","",INDEX('_calc'!$F$2:$F$3001,$N1005))</f>
        <v/>
      </c>
      <c r="I1005" s="27" t="str">
        <f>IF($N1005="","",INDEX('_calc'!$H$2:$H$3001,$N1005))</f>
        <v/>
      </c>
      <c r="J1005" s="27" t="str">
        <f>IF($N1005="","",INDEX('_calc'!$I$2:$I$3001,$N1005))</f>
        <v/>
      </c>
      <c r="K1005" s="28" t="str">
        <f>IF($N1005="","",IF(OR(I1005="",J1005=""),"",J1005-I1005))</f>
        <v/>
      </c>
      <c r="L1005" s="29" t="str">
        <f>IF($N1005="","",INDEX('_calc'!$J$2:$J$3001,$N1005))</f>
        <v/>
      </c>
      <c r="M1005" s="2" t="str">
        <f>IF($N1005="","",IF(AND(G1005=0,H1005=0),"수량 없음",IF(G1005=0,"신규 (전년 수량 없음)",IF(H1005=0,"당해 수량 없음",""))))</f>
        <v/>
      </c>
      <c r="N1005" t="str">
        <f>IF($B1005="","",MATCH($B1005,'_calc'!$L$2:$L$3001,0))</f>
        <v/>
      </c>
    </row>
    <row r="1006">
      <c r="B1006" s="24" t="str">
        <f>IF(ROW()-ROW($B$8)&gt;nComp,"",ROW()-ROW($B$8))</f>
        <v/>
      </c>
      <c r="C1006" t="str">
        <f>IF($N1006="","",INDEX('_calc'!$A$2:$A$3001,$N1006))</f>
        <v/>
      </c>
      <c r="D1006" s="25" t="str">
        <f>IF($N1006="","",INDEX('_calc'!$C$2:$C$3001,$N1006))</f>
        <v/>
      </c>
      <c r="E1006" s="25" t="str">
        <f>IF($N1006="","",INDEX('_calc'!$D$2:$D$3001,$N1006))</f>
        <v/>
      </c>
      <c r="F1006" s="26" t="str">
        <f>IF($N1006="","",IF($E$8=0,"",E1006/$E$8))</f>
        <v/>
      </c>
      <c r="G1006" s="25" t="str">
        <f>IF($N1006="","",INDEX('_calc'!$E$2:$E$3001,$N1006))</f>
        <v/>
      </c>
      <c r="H1006" s="25" t="str">
        <f>IF($N1006="","",INDEX('_calc'!$F$2:$F$3001,$N1006))</f>
        <v/>
      </c>
      <c r="I1006" s="27" t="str">
        <f>IF($N1006="","",INDEX('_calc'!$H$2:$H$3001,$N1006))</f>
        <v/>
      </c>
      <c r="J1006" s="27" t="str">
        <f>IF($N1006="","",INDEX('_calc'!$I$2:$I$3001,$N1006))</f>
        <v/>
      </c>
      <c r="K1006" s="28" t="str">
        <f>IF($N1006="","",IF(OR(I1006="",J1006=""),"",J1006-I1006))</f>
        <v/>
      </c>
      <c r="L1006" s="29" t="str">
        <f>IF($N1006="","",INDEX('_calc'!$J$2:$J$3001,$N1006))</f>
        <v/>
      </c>
      <c r="M1006" s="2" t="str">
        <f>IF($N1006="","",IF(AND(G1006=0,H1006=0),"수량 없음",IF(G1006=0,"신규 (전년 수량 없음)",IF(H1006=0,"당해 수량 없음",""))))</f>
        <v/>
      </c>
      <c r="N1006" t="str">
        <f>IF($B1006="","",MATCH($B1006,'_calc'!$L$2:$L$3001,0))</f>
        <v/>
      </c>
    </row>
    <row r="1007">
      <c r="B1007" s="24" t="str">
        <f>IF(ROW()-ROW($B$8)&gt;nComp,"",ROW()-ROW($B$8))</f>
        <v/>
      </c>
      <c r="C1007" t="str">
        <f>IF($N1007="","",INDEX('_calc'!$A$2:$A$3001,$N1007))</f>
        <v/>
      </c>
      <c r="D1007" s="25" t="str">
        <f>IF($N1007="","",INDEX('_calc'!$C$2:$C$3001,$N1007))</f>
        <v/>
      </c>
      <c r="E1007" s="25" t="str">
        <f>IF($N1007="","",INDEX('_calc'!$D$2:$D$3001,$N1007))</f>
        <v/>
      </c>
      <c r="F1007" s="26" t="str">
        <f>IF($N1007="","",IF($E$8=0,"",E1007/$E$8))</f>
        <v/>
      </c>
      <c r="G1007" s="25" t="str">
        <f>IF($N1007="","",INDEX('_calc'!$E$2:$E$3001,$N1007))</f>
        <v/>
      </c>
      <c r="H1007" s="25" t="str">
        <f>IF($N1007="","",INDEX('_calc'!$F$2:$F$3001,$N1007))</f>
        <v/>
      </c>
      <c r="I1007" s="27" t="str">
        <f>IF($N1007="","",INDEX('_calc'!$H$2:$H$3001,$N1007))</f>
        <v/>
      </c>
      <c r="J1007" s="27" t="str">
        <f>IF($N1007="","",INDEX('_calc'!$I$2:$I$3001,$N1007))</f>
        <v/>
      </c>
      <c r="K1007" s="28" t="str">
        <f>IF($N1007="","",IF(OR(I1007="",J1007=""),"",J1007-I1007))</f>
        <v/>
      </c>
      <c r="L1007" s="29" t="str">
        <f>IF($N1007="","",INDEX('_calc'!$J$2:$J$3001,$N1007))</f>
        <v/>
      </c>
      <c r="M1007" s="2" t="str">
        <f>IF($N1007="","",IF(AND(G1007=0,H1007=0),"수량 없음",IF(G1007=0,"신규 (전년 수량 없음)",IF(H1007=0,"당해 수량 없음",""))))</f>
        <v/>
      </c>
      <c r="N1007" t="str">
        <f>IF($B1007="","",MATCH($B1007,'_calc'!$L$2:$L$3001,0))</f>
        <v/>
      </c>
    </row>
    <row r="1008">
      <c r="B1008" s="24" t="str">
        <f>IF(ROW()-ROW($B$8)&gt;nComp,"",ROW()-ROW($B$8))</f>
        <v/>
      </c>
      <c r="C1008" t="str">
        <f>IF($N1008="","",INDEX('_calc'!$A$2:$A$3001,$N1008))</f>
        <v/>
      </c>
      <c r="D1008" s="25" t="str">
        <f>IF($N1008="","",INDEX('_calc'!$C$2:$C$3001,$N1008))</f>
        <v/>
      </c>
      <c r="E1008" s="25" t="str">
        <f>IF($N1008="","",INDEX('_calc'!$D$2:$D$3001,$N1008))</f>
        <v/>
      </c>
      <c r="F1008" s="26" t="str">
        <f>IF($N1008="","",IF($E$8=0,"",E1008/$E$8))</f>
        <v/>
      </c>
      <c r="G1008" s="25" t="str">
        <f>IF($N1008="","",INDEX('_calc'!$E$2:$E$3001,$N1008))</f>
        <v/>
      </c>
      <c r="H1008" s="25" t="str">
        <f>IF($N1008="","",INDEX('_calc'!$F$2:$F$3001,$N1008))</f>
        <v/>
      </c>
      <c r="I1008" s="27" t="str">
        <f>IF($N1008="","",INDEX('_calc'!$H$2:$H$3001,$N1008))</f>
        <v/>
      </c>
      <c r="J1008" s="27" t="str">
        <f>IF($N1008="","",INDEX('_calc'!$I$2:$I$3001,$N1008))</f>
        <v/>
      </c>
      <c r="K1008" s="28" t="str">
        <f>IF($N1008="","",IF(OR(I1008="",J1008=""),"",J1008-I1008))</f>
        <v/>
      </c>
      <c r="L1008" s="29" t="str">
        <f>IF($N1008="","",INDEX('_calc'!$J$2:$J$3001,$N1008))</f>
        <v/>
      </c>
      <c r="M1008" s="2" t="str">
        <f>IF($N1008="","",IF(AND(G1008=0,H1008=0),"수량 없음",IF(G1008=0,"신규 (전년 수량 없음)",IF(H1008=0,"당해 수량 없음",""))))</f>
        <v/>
      </c>
      <c r="N1008" t="str">
        <f>IF($B1008="","",MATCH($B1008,'_calc'!$L$2:$L$3001,0))</f>
        <v/>
      </c>
    </row>
    <row r="1009">
      <c r="B1009" s="24" t="str">
        <f>IF(ROW()-ROW($B$8)&gt;nComp,"",ROW()-ROW($B$8))</f>
        <v/>
      </c>
      <c r="C1009" t="str">
        <f>IF($N1009="","",INDEX('_calc'!$A$2:$A$3001,$N1009))</f>
        <v/>
      </c>
      <c r="D1009" s="25" t="str">
        <f>IF($N1009="","",INDEX('_calc'!$C$2:$C$3001,$N1009))</f>
        <v/>
      </c>
      <c r="E1009" s="25" t="str">
        <f>IF($N1009="","",INDEX('_calc'!$D$2:$D$3001,$N1009))</f>
        <v/>
      </c>
      <c r="F1009" s="26" t="str">
        <f>IF($N1009="","",IF($E$8=0,"",E1009/$E$8))</f>
        <v/>
      </c>
      <c r="G1009" s="25" t="str">
        <f>IF($N1009="","",INDEX('_calc'!$E$2:$E$3001,$N1009))</f>
        <v/>
      </c>
      <c r="H1009" s="25" t="str">
        <f>IF($N1009="","",INDEX('_calc'!$F$2:$F$3001,$N1009))</f>
        <v/>
      </c>
      <c r="I1009" s="27" t="str">
        <f>IF($N1009="","",INDEX('_calc'!$H$2:$H$3001,$N1009))</f>
        <v/>
      </c>
      <c r="J1009" s="27" t="str">
        <f>IF($N1009="","",INDEX('_calc'!$I$2:$I$3001,$N1009))</f>
        <v/>
      </c>
      <c r="K1009" s="28" t="str">
        <f>IF($N1009="","",IF(OR(I1009="",J1009=""),"",J1009-I1009))</f>
        <v/>
      </c>
      <c r="L1009" s="29" t="str">
        <f>IF($N1009="","",INDEX('_calc'!$J$2:$J$3001,$N1009))</f>
        <v/>
      </c>
      <c r="M1009" s="2" t="str">
        <f>IF($N1009="","",IF(AND(G1009=0,H1009=0),"수량 없음",IF(G1009=0,"신규 (전년 수량 없음)",IF(H1009=0,"당해 수량 없음",""))))</f>
        <v/>
      </c>
      <c r="N1009" t="str">
        <f>IF($B1009="","",MATCH($B1009,'_calc'!$L$2:$L$3001,0))</f>
        <v/>
      </c>
    </row>
    <row r="1010">
      <c r="B1010" s="24" t="str">
        <f>IF(ROW()-ROW($B$8)&gt;nComp,"",ROW()-ROW($B$8))</f>
        <v/>
      </c>
      <c r="C1010" t="str">
        <f>IF($N1010="","",INDEX('_calc'!$A$2:$A$3001,$N1010))</f>
        <v/>
      </c>
      <c r="D1010" s="25" t="str">
        <f>IF($N1010="","",INDEX('_calc'!$C$2:$C$3001,$N1010))</f>
        <v/>
      </c>
      <c r="E1010" s="25" t="str">
        <f>IF($N1010="","",INDEX('_calc'!$D$2:$D$3001,$N1010))</f>
        <v/>
      </c>
      <c r="F1010" s="26" t="str">
        <f>IF($N1010="","",IF($E$8=0,"",E1010/$E$8))</f>
        <v/>
      </c>
      <c r="G1010" s="25" t="str">
        <f>IF($N1010="","",INDEX('_calc'!$E$2:$E$3001,$N1010))</f>
        <v/>
      </c>
      <c r="H1010" s="25" t="str">
        <f>IF($N1010="","",INDEX('_calc'!$F$2:$F$3001,$N1010))</f>
        <v/>
      </c>
      <c r="I1010" s="27" t="str">
        <f>IF($N1010="","",INDEX('_calc'!$H$2:$H$3001,$N1010))</f>
        <v/>
      </c>
      <c r="J1010" s="27" t="str">
        <f>IF($N1010="","",INDEX('_calc'!$I$2:$I$3001,$N1010))</f>
        <v/>
      </c>
      <c r="K1010" s="28" t="str">
        <f>IF($N1010="","",IF(OR(I1010="",J1010=""),"",J1010-I1010))</f>
        <v/>
      </c>
      <c r="L1010" s="29" t="str">
        <f>IF($N1010="","",INDEX('_calc'!$J$2:$J$3001,$N1010))</f>
        <v/>
      </c>
      <c r="M1010" s="2" t="str">
        <f>IF($N1010="","",IF(AND(G1010=0,H1010=0),"수량 없음",IF(G1010=0,"신규 (전년 수량 없음)",IF(H1010=0,"당해 수량 없음",""))))</f>
        <v/>
      </c>
      <c r="N1010" t="str">
        <f>IF($B1010="","",MATCH($B1010,'_calc'!$L$2:$L$3001,0))</f>
        <v/>
      </c>
    </row>
    <row r="1011">
      <c r="B1011" s="24" t="str">
        <f>IF(ROW()-ROW($B$8)&gt;nComp,"",ROW()-ROW($B$8))</f>
        <v/>
      </c>
      <c r="C1011" t="str">
        <f>IF($N1011="","",INDEX('_calc'!$A$2:$A$3001,$N1011))</f>
        <v/>
      </c>
      <c r="D1011" s="25" t="str">
        <f>IF($N1011="","",INDEX('_calc'!$C$2:$C$3001,$N1011))</f>
        <v/>
      </c>
      <c r="E1011" s="25" t="str">
        <f>IF($N1011="","",INDEX('_calc'!$D$2:$D$3001,$N1011))</f>
        <v/>
      </c>
      <c r="F1011" s="26" t="str">
        <f>IF($N1011="","",IF($E$8=0,"",E1011/$E$8))</f>
        <v/>
      </c>
      <c r="G1011" s="25" t="str">
        <f>IF($N1011="","",INDEX('_calc'!$E$2:$E$3001,$N1011))</f>
        <v/>
      </c>
      <c r="H1011" s="25" t="str">
        <f>IF($N1011="","",INDEX('_calc'!$F$2:$F$3001,$N1011))</f>
        <v/>
      </c>
      <c r="I1011" s="27" t="str">
        <f>IF($N1011="","",INDEX('_calc'!$H$2:$H$3001,$N1011))</f>
        <v/>
      </c>
      <c r="J1011" s="27" t="str">
        <f>IF($N1011="","",INDEX('_calc'!$I$2:$I$3001,$N1011))</f>
        <v/>
      </c>
      <c r="K1011" s="28" t="str">
        <f>IF($N1011="","",IF(OR(I1011="",J1011=""),"",J1011-I1011))</f>
        <v/>
      </c>
      <c r="L1011" s="29" t="str">
        <f>IF($N1011="","",INDEX('_calc'!$J$2:$J$3001,$N1011))</f>
        <v/>
      </c>
      <c r="M1011" s="2" t="str">
        <f>IF($N1011="","",IF(AND(G1011=0,H1011=0),"수량 없음",IF(G1011=0,"신규 (전년 수량 없음)",IF(H1011=0,"당해 수량 없음",""))))</f>
        <v/>
      </c>
      <c r="N1011" t="str">
        <f>IF($B1011="","",MATCH($B1011,'_calc'!$L$2:$L$3001,0))</f>
        <v/>
      </c>
    </row>
    <row r="1012">
      <c r="B1012" s="24" t="str">
        <f>IF(ROW()-ROW($B$8)&gt;nComp,"",ROW()-ROW($B$8))</f>
        <v/>
      </c>
      <c r="C1012" t="str">
        <f>IF($N1012="","",INDEX('_calc'!$A$2:$A$3001,$N1012))</f>
        <v/>
      </c>
      <c r="D1012" s="25" t="str">
        <f>IF($N1012="","",INDEX('_calc'!$C$2:$C$3001,$N1012))</f>
        <v/>
      </c>
      <c r="E1012" s="25" t="str">
        <f>IF($N1012="","",INDEX('_calc'!$D$2:$D$3001,$N1012))</f>
        <v/>
      </c>
      <c r="F1012" s="26" t="str">
        <f>IF($N1012="","",IF($E$8=0,"",E1012/$E$8))</f>
        <v/>
      </c>
      <c r="G1012" s="25" t="str">
        <f>IF($N1012="","",INDEX('_calc'!$E$2:$E$3001,$N1012))</f>
        <v/>
      </c>
      <c r="H1012" s="25" t="str">
        <f>IF($N1012="","",INDEX('_calc'!$F$2:$F$3001,$N1012))</f>
        <v/>
      </c>
      <c r="I1012" s="27" t="str">
        <f>IF($N1012="","",INDEX('_calc'!$H$2:$H$3001,$N1012))</f>
        <v/>
      </c>
      <c r="J1012" s="27" t="str">
        <f>IF($N1012="","",INDEX('_calc'!$I$2:$I$3001,$N1012))</f>
        <v/>
      </c>
      <c r="K1012" s="28" t="str">
        <f>IF($N1012="","",IF(OR(I1012="",J1012=""),"",J1012-I1012))</f>
        <v/>
      </c>
      <c r="L1012" s="29" t="str">
        <f>IF($N1012="","",INDEX('_calc'!$J$2:$J$3001,$N1012))</f>
        <v/>
      </c>
      <c r="M1012" s="2" t="str">
        <f>IF($N1012="","",IF(AND(G1012=0,H1012=0),"수량 없음",IF(G1012=0,"신규 (전년 수량 없음)",IF(H1012=0,"당해 수량 없음",""))))</f>
        <v/>
      </c>
      <c r="N1012" t="str">
        <f>IF($B1012="","",MATCH($B1012,'_calc'!$L$2:$L$3001,0))</f>
        <v/>
      </c>
    </row>
    <row r="1013">
      <c r="B1013" s="24" t="str">
        <f>IF(ROW()-ROW($B$8)&gt;nComp,"",ROW()-ROW($B$8))</f>
        <v/>
      </c>
      <c r="C1013" t="str">
        <f>IF($N1013="","",INDEX('_calc'!$A$2:$A$3001,$N1013))</f>
        <v/>
      </c>
      <c r="D1013" s="25" t="str">
        <f>IF($N1013="","",INDEX('_calc'!$C$2:$C$3001,$N1013))</f>
        <v/>
      </c>
      <c r="E1013" s="25" t="str">
        <f>IF($N1013="","",INDEX('_calc'!$D$2:$D$3001,$N1013))</f>
        <v/>
      </c>
      <c r="F1013" s="26" t="str">
        <f>IF($N1013="","",IF($E$8=0,"",E1013/$E$8))</f>
        <v/>
      </c>
      <c r="G1013" s="25" t="str">
        <f>IF($N1013="","",INDEX('_calc'!$E$2:$E$3001,$N1013))</f>
        <v/>
      </c>
      <c r="H1013" s="25" t="str">
        <f>IF($N1013="","",INDEX('_calc'!$F$2:$F$3001,$N1013))</f>
        <v/>
      </c>
      <c r="I1013" s="27" t="str">
        <f>IF($N1013="","",INDEX('_calc'!$H$2:$H$3001,$N1013))</f>
        <v/>
      </c>
      <c r="J1013" s="27" t="str">
        <f>IF($N1013="","",INDEX('_calc'!$I$2:$I$3001,$N1013))</f>
        <v/>
      </c>
      <c r="K1013" s="28" t="str">
        <f>IF($N1013="","",IF(OR(I1013="",J1013=""),"",J1013-I1013))</f>
        <v/>
      </c>
      <c r="L1013" s="29" t="str">
        <f>IF($N1013="","",INDEX('_calc'!$J$2:$J$3001,$N1013))</f>
        <v/>
      </c>
      <c r="M1013" s="2" t="str">
        <f>IF($N1013="","",IF(AND(G1013=0,H1013=0),"수량 없음",IF(G1013=0,"신규 (전년 수량 없음)",IF(H1013=0,"당해 수량 없음",""))))</f>
        <v/>
      </c>
      <c r="N1013" t="str">
        <f>IF($B1013="","",MATCH($B1013,'_calc'!$L$2:$L$3001,0))</f>
        <v/>
      </c>
    </row>
    <row r="1014">
      <c r="B1014" s="24" t="str">
        <f>IF(ROW()-ROW($B$8)&gt;nComp,"",ROW()-ROW($B$8))</f>
        <v/>
      </c>
      <c r="C1014" t="str">
        <f>IF($N1014="","",INDEX('_calc'!$A$2:$A$3001,$N1014))</f>
        <v/>
      </c>
      <c r="D1014" s="25" t="str">
        <f>IF($N1014="","",INDEX('_calc'!$C$2:$C$3001,$N1014))</f>
        <v/>
      </c>
      <c r="E1014" s="25" t="str">
        <f>IF($N1014="","",INDEX('_calc'!$D$2:$D$3001,$N1014))</f>
        <v/>
      </c>
      <c r="F1014" s="26" t="str">
        <f>IF($N1014="","",IF($E$8=0,"",E1014/$E$8))</f>
        <v/>
      </c>
      <c r="G1014" s="25" t="str">
        <f>IF($N1014="","",INDEX('_calc'!$E$2:$E$3001,$N1014))</f>
        <v/>
      </c>
      <c r="H1014" s="25" t="str">
        <f>IF($N1014="","",INDEX('_calc'!$F$2:$F$3001,$N1014))</f>
        <v/>
      </c>
      <c r="I1014" s="27" t="str">
        <f>IF($N1014="","",INDEX('_calc'!$H$2:$H$3001,$N1014))</f>
        <v/>
      </c>
      <c r="J1014" s="27" t="str">
        <f>IF($N1014="","",INDEX('_calc'!$I$2:$I$3001,$N1014))</f>
        <v/>
      </c>
      <c r="K1014" s="28" t="str">
        <f>IF($N1014="","",IF(OR(I1014="",J1014=""),"",J1014-I1014))</f>
        <v/>
      </c>
      <c r="L1014" s="29" t="str">
        <f>IF($N1014="","",INDEX('_calc'!$J$2:$J$3001,$N1014))</f>
        <v/>
      </c>
      <c r="M1014" s="2" t="str">
        <f>IF($N1014="","",IF(AND(G1014=0,H1014=0),"수량 없음",IF(G1014=0,"신규 (전년 수량 없음)",IF(H1014=0,"당해 수량 없음",""))))</f>
        <v/>
      </c>
      <c r="N1014" t="str">
        <f>IF($B1014="","",MATCH($B1014,'_calc'!$L$2:$L$3001,0))</f>
        <v/>
      </c>
    </row>
    <row r="1015">
      <c r="B1015" s="24" t="str">
        <f>IF(ROW()-ROW($B$8)&gt;nComp,"",ROW()-ROW($B$8))</f>
        <v/>
      </c>
      <c r="C1015" t="str">
        <f>IF($N1015="","",INDEX('_calc'!$A$2:$A$3001,$N1015))</f>
        <v/>
      </c>
      <c r="D1015" s="25" t="str">
        <f>IF($N1015="","",INDEX('_calc'!$C$2:$C$3001,$N1015))</f>
        <v/>
      </c>
      <c r="E1015" s="25" t="str">
        <f>IF($N1015="","",INDEX('_calc'!$D$2:$D$3001,$N1015))</f>
        <v/>
      </c>
      <c r="F1015" s="26" t="str">
        <f>IF($N1015="","",IF($E$8=0,"",E1015/$E$8))</f>
        <v/>
      </c>
      <c r="G1015" s="25" t="str">
        <f>IF($N1015="","",INDEX('_calc'!$E$2:$E$3001,$N1015))</f>
        <v/>
      </c>
      <c r="H1015" s="25" t="str">
        <f>IF($N1015="","",INDEX('_calc'!$F$2:$F$3001,$N1015))</f>
        <v/>
      </c>
      <c r="I1015" s="27" t="str">
        <f>IF($N1015="","",INDEX('_calc'!$H$2:$H$3001,$N1015))</f>
        <v/>
      </c>
      <c r="J1015" s="27" t="str">
        <f>IF($N1015="","",INDEX('_calc'!$I$2:$I$3001,$N1015))</f>
        <v/>
      </c>
      <c r="K1015" s="28" t="str">
        <f>IF($N1015="","",IF(OR(I1015="",J1015=""),"",J1015-I1015))</f>
        <v/>
      </c>
      <c r="L1015" s="29" t="str">
        <f>IF($N1015="","",INDEX('_calc'!$J$2:$J$3001,$N1015))</f>
        <v/>
      </c>
      <c r="M1015" s="2" t="str">
        <f>IF($N1015="","",IF(AND(G1015=0,H1015=0),"수량 없음",IF(G1015=0,"신규 (전년 수량 없음)",IF(H1015=0,"당해 수량 없음",""))))</f>
        <v/>
      </c>
      <c r="N1015" t="str">
        <f>IF($B1015="","",MATCH($B1015,'_calc'!$L$2:$L$3001,0))</f>
        <v/>
      </c>
    </row>
    <row r="1016">
      <c r="B1016" s="24" t="str">
        <f>IF(ROW()-ROW($B$8)&gt;nComp,"",ROW()-ROW($B$8))</f>
        <v/>
      </c>
      <c r="C1016" t="str">
        <f>IF($N1016="","",INDEX('_calc'!$A$2:$A$3001,$N1016))</f>
        <v/>
      </c>
      <c r="D1016" s="25" t="str">
        <f>IF($N1016="","",INDEX('_calc'!$C$2:$C$3001,$N1016))</f>
        <v/>
      </c>
      <c r="E1016" s="25" t="str">
        <f>IF($N1016="","",INDEX('_calc'!$D$2:$D$3001,$N1016))</f>
        <v/>
      </c>
      <c r="F1016" s="26" t="str">
        <f>IF($N1016="","",IF($E$8=0,"",E1016/$E$8))</f>
        <v/>
      </c>
      <c r="G1016" s="25" t="str">
        <f>IF($N1016="","",INDEX('_calc'!$E$2:$E$3001,$N1016))</f>
        <v/>
      </c>
      <c r="H1016" s="25" t="str">
        <f>IF($N1016="","",INDEX('_calc'!$F$2:$F$3001,$N1016))</f>
        <v/>
      </c>
      <c r="I1016" s="27" t="str">
        <f>IF($N1016="","",INDEX('_calc'!$H$2:$H$3001,$N1016))</f>
        <v/>
      </c>
      <c r="J1016" s="27" t="str">
        <f>IF($N1016="","",INDEX('_calc'!$I$2:$I$3001,$N1016))</f>
        <v/>
      </c>
      <c r="K1016" s="28" t="str">
        <f>IF($N1016="","",IF(OR(I1016="",J1016=""),"",J1016-I1016))</f>
        <v/>
      </c>
      <c r="L1016" s="29" t="str">
        <f>IF($N1016="","",INDEX('_calc'!$J$2:$J$3001,$N1016))</f>
        <v/>
      </c>
      <c r="M1016" s="2" t="str">
        <f>IF($N1016="","",IF(AND(G1016=0,H1016=0),"수량 없음",IF(G1016=0,"신규 (전년 수량 없음)",IF(H1016=0,"당해 수량 없음",""))))</f>
        <v/>
      </c>
      <c r="N1016" t="str">
        <f>IF($B1016="","",MATCH($B1016,'_calc'!$L$2:$L$3001,0))</f>
        <v/>
      </c>
    </row>
    <row r="1017">
      <c r="B1017" s="24" t="str">
        <f>IF(ROW()-ROW($B$8)&gt;nComp,"",ROW()-ROW($B$8))</f>
        <v/>
      </c>
      <c r="C1017" t="str">
        <f>IF($N1017="","",INDEX('_calc'!$A$2:$A$3001,$N1017))</f>
        <v/>
      </c>
      <c r="D1017" s="25" t="str">
        <f>IF($N1017="","",INDEX('_calc'!$C$2:$C$3001,$N1017))</f>
        <v/>
      </c>
      <c r="E1017" s="25" t="str">
        <f>IF($N1017="","",INDEX('_calc'!$D$2:$D$3001,$N1017))</f>
        <v/>
      </c>
      <c r="F1017" s="26" t="str">
        <f>IF($N1017="","",IF($E$8=0,"",E1017/$E$8))</f>
        <v/>
      </c>
      <c r="G1017" s="25" t="str">
        <f>IF($N1017="","",INDEX('_calc'!$E$2:$E$3001,$N1017))</f>
        <v/>
      </c>
      <c r="H1017" s="25" t="str">
        <f>IF($N1017="","",INDEX('_calc'!$F$2:$F$3001,$N1017))</f>
        <v/>
      </c>
      <c r="I1017" s="27" t="str">
        <f>IF($N1017="","",INDEX('_calc'!$H$2:$H$3001,$N1017))</f>
        <v/>
      </c>
      <c r="J1017" s="27" t="str">
        <f>IF($N1017="","",INDEX('_calc'!$I$2:$I$3001,$N1017))</f>
        <v/>
      </c>
      <c r="K1017" s="28" t="str">
        <f>IF($N1017="","",IF(OR(I1017="",J1017=""),"",J1017-I1017))</f>
        <v/>
      </c>
      <c r="L1017" s="29" t="str">
        <f>IF($N1017="","",INDEX('_calc'!$J$2:$J$3001,$N1017))</f>
        <v/>
      </c>
      <c r="M1017" s="2" t="str">
        <f>IF($N1017="","",IF(AND(G1017=0,H1017=0),"수량 없음",IF(G1017=0,"신규 (전년 수량 없음)",IF(H1017=0,"당해 수량 없음",""))))</f>
        <v/>
      </c>
      <c r="N1017" t="str">
        <f>IF($B1017="","",MATCH($B1017,'_calc'!$L$2:$L$3001,0))</f>
        <v/>
      </c>
    </row>
    <row r="1018">
      <c r="B1018" s="24" t="str">
        <f>IF(ROW()-ROW($B$8)&gt;nComp,"",ROW()-ROW($B$8))</f>
        <v/>
      </c>
      <c r="C1018" t="str">
        <f>IF($N1018="","",INDEX('_calc'!$A$2:$A$3001,$N1018))</f>
        <v/>
      </c>
      <c r="D1018" s="25" t="str">
        <f>IF($N1018="","",INDEX('_calc'!$C$2:$C$3001,$N1018))</f>
        <v/>
      </c>
      <c r="E1018" s="25" t="str">
        <f>IF($N1018="","",INDEX('_calc'!$D$2:$D$3001,$N1018))</f>
        <v/>
      </c>
      <c r="F1018" s="26" t="str">
        <f>IF($N1018="","",IF($E$8=0,"",E1018/$E$8))</f>
        <v/>
      </c>
      <c r="G1018" s="25" t="str">
        <f>IF($N1018="","",INDEX('_calc'!$E$2:$E$3001,$N1018))</f>
        <v/>
      </c>
      <c r="H1018" s="25" t="str">
        <f>IF($N1018="","",INDEX('_calc'!$F$2:$F$3001,$N1018))</f>
        <v/>
      </c>
      <c r="I1018" s="27" t="str">
        <f>IF($N1018="","",INDEX('_calc'!$H$2:$H$3001,$N1018))</f>
        <v/>
      </c>
      <c r="J1018" s="27" t="str">
        <f>IF($N1018="","",INDEX('_calc'!$I$2:$I$3001,$N1018))</f>
        <v/>
      </c>
      <c r="K1018" s="28" t="str">
        <f>IF($N1018="","",IF(OR(I1018="",J1018=""),"",J1018-I1018))</f>
        <v/>
      </c>
      <c r="L1018" s="29" t="str">
        <f>IF($N1018="","",INDEX('_calc'!$J$2:$J$3001,$N1018))</f>
        <v/>
      </c>
      <c r="M1018" s="2" t="str">
        <f>IF($N1018="","",IF(AND(G1018=0,H1018=0),"수량 없음",IF(G1018=0,"신규 (전년 수량 없음)",IF(H1018=0,"당해 수량 없음",""))))</f>
        <v/>
      </c>
      <c r="N1018" t="str">
        <f>IF($B1018="","",MATCH($B1018,'_calc'!$L$2:$L$3001,0))</f>
        <v/>
      </c>
    </row>
    <row r="1019">
      <c r="B1019" s="24" t="str">
        <f>IF(ROW()-ROW($B$8)&gt;nComp,"",ROW()-ROW($B$8))</f>
        <v/>
      </c>
      <c r="C1019" t="str">
        <f>IF($N1019="","",INDEX('_calc'!$A$2:$A$3001,$N1019))</f>
        <v/>
      </c>
      <c r="D1019" s="25" t="str">
        <f>IF($N1019="","",INDEX('_calc'!$C$2:$C$3001,$N1019))</f>
        <v/>
      </c>
      <c r="E1019" s="25" t="str">
        <f>IF($N1019="","",INDEX('_calc'!$D$2:$D$3001,$N1019))</f>
        <v/>
      </c>
      <c r="F1019" s="26" t="str">
        <f>IF($N1019="","",IF($E$8=0,"",E1019/$E$8))</f>
        <v/>
      </c>
      <c r="G1019" s="25" t="str">
        <f>IF($N1019="","",INDEX('_calc'!$E$2:$E$3001,$N1019))</f>
        <v/>
      </c>
      <c r="H1019" s="25" t="str">
        <f>IF($N1019="","",INDEX('_calc'!$F$2:$F$3001,$N1019))</f>
        <v/>
      </c>
      <c r="I1019" s="27" t="str">
        <f>IF($N1019="","",INDEX('_calc'!$H$2:$H$3001,$N1019))</f>
        <v/>
      </c>
      <c r="J1019" s="27" t="str">
        <f>IF($N1019="","",INDEX('_calc'!$I$2:$I$3001,$N1019))</f>
        <v/>
      </c>
      <c r="K1019" s="28" t="str">
        <f>IF($N1019="","",IF(OR(I1019="",J1019=""),"",J1019-I1019))</f>
        <v/>
      </c>
      <c r="L1019" s="29" t="str">
        <f>IF($N1019="","",INDEX('_calc'!$J$2:$J$3001,$N1019))</f>
        <v/>
      </c>
      <c r="M1019" s="2" t="str">
        <f>IF($N1019="","",IF(AND(G1019=0,H1019=0),"수량 없음",IF(G1019=0,"신규 (전년 수량 없음)",IF(H1019=0,"당해 수량 없음",""))))</f>
        <v/>
      </c>
      <c r="N1019" t="str">
        <f>IF($B1019="","",MATCH($B1019,'_calc'!$L$2:$L$3001,0))</f>
        <v/>
      </c>
    </row>
    <row r="1020">
      <c r="B1020" s="24" t="str">
        <f>IF(ROW()-ROW($B$8)&gt;nComp,"",ROW()-ROW($B$8))</f>
        <v/>
      </c>
      <c r="C1020" t="str">
        <f>IF($N1020="","",INDEX('_calc'!$A$2:$A$3001,$N1020))</f>
        <v/>
      </c>
      <c r="D1020" s="25" t="str">
        <f>IF($N1020="","",INDEX('_calc'!$C$2:$C$3001,$N1020))</f>
        <v/>
      </c>
      <c r="E1020" s="25" t="str">
        <f>IF($N1020="","",INDEX('_calc'!$D$2:$D$3001,$N1020))</f>
        <v/>
      </c>
      <c r="F1020" s="26" t="str">
        <f>IF($N1020="","",IF($E$8=0,"",E1020/$E$8))</f>
        <v/>
      </c>
      <c r="G1020" s="25" t="str">
        <f>IF($N1020="","",INDEX('_calc'!$E$2:$E$3001,$N1020))</f>
        <v/>
      </c>
      <c r="H1020" s="25" t="str">
        <f>IF($N1020="","",INDEX('_calc'!$F$2:$F$3001,$N1020))</f>
        <v/>
      </c>
      <c r="I1020" s="27" t="str">
        <f>IF($N1020="","",INDEX('_calc'!$H$2:$H$3001,$N1020))</f>
        <v/>
      </c>
      <c r="J1020" s="27" t="str">
        <f>IF($N1020="","",INDEX('_calc'!$I$2:$I$3001,$N1020))</f>
        <v/>
      </c>
      <c r="K1020" s="28" t="str">
        <f>IF($N1020="","",IF(OR(I1020="",J1020=""),"",J1020-I1020))</f>
        <v/>
      </c>
      <c r="L1020" s="29" t="str">
        <f>IF($N1020="","",INDEX('_calc'!$J$2:$J$3001,$N1020))</f>
        <v/>
      </c>
      <c r="M1020" s="2" t="str">
        <f>IF($N1020="","",IF(AND(G1020=0,H1020=0),"수량 없음",IF(G1020=0,"신규 (전년 수량 없음)",IF(H1020=0,"당해 수량 없음",""))))</f>
        <v/>
      </c>
      <c r="N1020" t="str">
        <f>IF($B1020="","",MATCH($B1020,'_calc'!$L$2:$L$3001,0))</f>
        <v/>
      </c>
    </row>
    <row r="1021">
      <c r="B1021" s="24" t="str">
        <f>IF(ROW()-ROW($B$8)&gt;nComp,"",ROW()-ROW($B$8))</f>
        <v/>
      </c>
      <c r="C1021" t="str">
        <f>IF($N1021="","",INDEX('_calc'!$A$2:$A$3001,$N1021))</f>
        <v/>
      </c>
      <c r="D1021" s="25" t="str">
        <f>IF($N1021="","",INDEX('_calc'!$C$2:$C$3001,$N1021))</f>
        <v/>
      </c>
      <c r="E1021" s="25" t="str">
        <f>IF($N1021="","",INDEX('_calc'!$D$2:$D$3001,$N1021))</f>
        <v/>
      </c>
      <c r="F1021" s="26" t="str">
        <f>IF($N1021="","",IF($E$8=0,"",E1021/$E$8))</f>
        <v/>
      </c>
      <c r="G1021" s="25" t="str">
        <f>IF($N1021="","",INDEX('_calc'!$E$2:$E$3001,$N1021))</f>
        <v/>
      </c>
      <c r="H1021" s="25" t="str">
        <f>IF($N1021="","",INDEX('_calc'!$F$2:$F$3001,$N1021))</f>
        <v/>
      </c>
      <c r="I1021" s="27" t="str">
        <f>IF($N1021="","",INDEX('_calc'!$H$2:$H$3001,$N1021))</f>
        <v/>
      </c>
      <c r="J1021" s="27" t="str">
        <f>IF($N1021="","",INDEX('_calc'!$I$2:$I$3001,$N1021))</f>
        <v/>
      </c>
      <c r="K1021" s="28" t="str">
        <f>IF($N1021="","",IF(OR(I1021="",J1021=""),"",J1021-I1021))</f>
        <v/>
      </c>
      <c r="L1021" s="29" t="str">
        <f>IF($N1021="","",INDEX('_calc'!$J$2:$J$3001,$N1021))</f>
        <v/>
      </c>
      <c r="M1021" s="2" t="str">
        <f>IF($N1021="","",IF(AND(G1021=0,H1021=0),"수량 없음",IF(G1021=0,"신규 (전년 수량 없음)",IF(H1021=0,"당해 수량 없음",""))))</f>
        <v/>
      </c>
      <c r="N1021" t="str">
        <f>IF($B1021="","",MATCH($B1021,'_calc'!$L$2:$L$3001,0))</f>
        <v/>
      </c>
    </row>
    <row r="1022">
      <c r="B1022" s="24" t="str">
        <f>IF(ROW()-ROW($B$8)&gt;nComp,"",ROW()-ROW($B$8))</f>
        <v/>
      </c>
      <c r="C1022" t="str">
        <f>IF($N1022="","",INDEX('_calc'!$A$2:$A$3001,$N1022))</f>
        <v/>
      </c>
      <c r="D1022" s="25" t="str">
        <f>IF($N1022="","",INDEX('_calc'!$C$2:$C$3001,$N1022))</f>
        <v/>
      </c>
      <c r="E1022" s="25" t="str">
        <f>IF($N1022="","",INDEX('_calc'!$D$2:$D$3001,$N1022))</f>
        <v/>
      </c>
      <c r="F1022" s="26" t="str">
        <f>IF($N1022="","",IF($E$8=0,"",E1022/$E$8))</f>
        <v/>
      </c>
      <c r="G1022" s="25" t="str">
        <f>IF($N1022="","",INDEX('_calc'!$E$2:$E$3001,$N1022))</f>
        <v/>
      </c>
      <c r="H1022" s="25" t="str">
        <f>IF($N1022="","",INDEX('_calc'!$F$2:$F$3001,$N1022))</f>
        <v/>
      </c>
      <c r="I1022" s="27" t="str">
        <f>IF($N1022="","",INDEX('_calc'!$H$2:$H$3001,$N1022))</f>
        <v/>
      </c>
      <c r="J1022" s="27" t="str">
        <f>IF($N1022="","",INDEX('_calc'!$I$2:$I$3001,$N1022))</f>
        <v/>
      </c>
      <c r="K1022" s="28" t="str">
        <f>IF($N1022="","",IF(OR(I1022="",J1022=""),"",J1022-I1022))</f>
        <v/>
      </c>
      <c r="L1022" s="29" t="str">
        <f>IF($N1022="","",INDEX('_calc'!$J$2:$J$3001,$N1022))</f>
        <v/>
      </c>
      <c r="M1022" s="2" t="str">
        <f>IF($N1022="","",IF(AND(G1022=0,H1022=0),"수량 없음",IF(G1022=0,"신규 (전년 수량 없음)",IF(H1022=0,"당해 수량 없음",""))))</f>
        <v/>
      </c>
      <c r="N1022" t="str">
        <f>IF($B1022="","",MATCH($B1022,'_calc'!$L$2:$L$3001,0))</f>
        <v/>
      </c>
    </row>
    <row r="1023">
      <c r="B1023" s="24" t="str">
        <f>IF(ROW()-ROW($B$8)&gt;nComp,"",ROW()-ROW($B$8))</f>
        <v/>
      </c>
      <c r="C1023" t="str">
        <f>IF($N1023="","",INDEX('_calc'!$A$2:$A$3001,$N1023))</f>
        <v/>
      </c>
      <c r="D1023" s="25" t="str">
        <f>IF($N1023="","",INDEX('_calc'!$C$2:$C$3001,$N1023))</f>
        <v/>
      </c>
      <c r="E1023" s="25" t="str">
        <f>IF($N1023="","",INDEX('_calc'!$D$2:$D$3001,$N1023))</f>
        <v/>
      </c>
      <c r="F1023" s="26" t="str">
        <f>IF($N1023="","",IF($E$8=0,"",E1023/$E$8))</f>
        <v/>
      </c>
      <c r="G1023" s="25" t="str">
        <f>IF($N1023="","",INDEX('_calc'!$E$2:$E$3001,$N1023))</f>
        <v/>
      </c>
      <c r="H1023" s="25" t="str">
        <f>IF($N1023="","",INDEX('_calc'!$F$2:$F$3001,$N1023))</f>
        <v/>
      </c>
      <c r="I1023" s="27" t="str">
        <f>IF($N1023="","",INDEX('_calc'!$H$2:$H$3001,$N1023))</f>
        <v/>
      </c>
      <c r="J1023" s="27" t="str">
        <f>IF($N1023="","",INDEX('_calc'!$I$2:$I$3001,$N1023))</f>
        <v/>
      </c>
      <c r="K1023" s="28" t="str">
        <f>IF($N1023="","",IF(OR(I1023="",J1023=""),"",J1023-I1023))</f>
        <v/>
      </c>
      <c r="L1023" s="29" t="str">
        <f>IF($N1023="","",INDEX('_calc'!$J$2:$J$3001,$N1023))</f>
        <v/>
      </c>
      <c r="M1023" s="2" t="str">
        <f>IF($N1023="","",IF(AND(G1023=0,H1023=0),"수량 없음",IF(G1023=0,"신규 (전년 수량 없음)",IF(H1023=0,"당해 수량 없음",""))))</f>
        <v/>
      </c>
      <c r="N1023" t="str">
        <f>IF($B1023="","",MATCH($B1023,'_calc'!$L$2:$L$3001,0))</f>
        <v/>
      </c>
    </row>
    <row r="1024">
      <c r="B1024" s="24" t="str">
        <f>IF(ROW()-ROW($B$8)&gt;nComp,"",ROW()-ROW($B$8))</f>
        <v/>
      </c>
      <c r="C1024" t="str">
        <f>IF($N1024="","",INDEX('_calc'!$A$2:$A$3001,$N1024))</f>
        <v/>
      </c>
      <c r="D1024" s="25" t="str">
        <f>IF($N1024="","",INDEX('_calc'!$C$2:$C$3001,$N1024))</f>
        <v/>
      </c>
      <c r="E1024" s="25" t="str">
        <f>IF($N1024="","",INDEX('_calc'!$D$2:$D$3001,$N1024))</f>
        <v/>
      </c>
      <c r="F1024" s="26" t="str">
        <f>IF($N1024="","",IF($E$8=0,"",E1024/$E$8))</f>
        <v/>
      </c>
      <c r="G1024" s="25" t="str">
        <f>IF($N1024="","",INDEX('_calc'!$E$2:$E$3001,$N1024))</f>
        <v/>
      </c>
      <c r="H1024" s="25" t="str">
        <f>IF($N1024="","",INDEX('_calc'!$F$2:$F$3001,$N1024))</f>
        <v/>
      </c>
      <c r="I1024" s="27" t="str">
        <f>IF($N1024="","",INDEX('_calc'!$H$2:$H$3001,$N1024))</f>
        <v/>
      </c>
      <c r="J1024" s="27" t="str">
        <f>IF($N1024="","",INDEX('_calc'!$I$2:$I$3001,$N1024))</f>
        <v/>
      </c>
      <c r="K1024" s="28" t="str">
        <f>IF($N1024="","",IF(OR(I1024="",J1024=""),"",J1024-I1024))</f>
        <v/>
      </c>
      <c r="L1024" s="29" t="str">
        <f>IF($N1024="","",INDEX('_calc'!$J$2:$J$3001,$N1024))</f>
        <v/>
      </c>
      <c r="M1024" s="2" t="str">
        <f>IF($N1024="","",IF(AND(G1024=0,H1024=0),"수량 없음",IF(G1024=0,"신규 (전년 수량 없음)",IF(H1024=0,"당해 수량 없음",""))))</f>
        <v/>
      </c>
      <c r="N1024" t="str">
        <f>IF($B1024="","",MATCH($B1024,'_calc'!$L$2:$L$3001,0))</f>
        <v/>
      </c>
    </row>
    <row r="1025">
      <c r="B1025" s="24" t="str">
        <f>IF(ROW()-ROW($B$8)&gt;nComp,"",ROW()-ROW($B$8))</f>
        <v/>
      </c>
      <c r="C1025" t="str">
        <f>IF($N1025="","",INDEX('_calc'!$A$2:$A$3001,$N1025))</f>
        <v/>
      </c>
      <c r="D1025" s="25" t="str">
        <f>IF($N1025="","",INDEX('_calc'!$C$2:$C$3001,$N1025))</f>
        <v/>
      </c>
      <c r="E1025" s="25" t="str">
        <f>IF($N1025="","",INDEX('_calc'!$D$2:$D$3001,$N1025))</f>
        <v/>
      </c>
      <c r="F1025" s="26" t="str">
        <f>IF($N1025="","",IF($E$8=0,"",E1025/$E$8))</f>
        <v/>
      </c>
      <c r="G1025" s="25" t="str">
        <f>IF($N1025="","",INDEX('_calc'!$E$2:$E$3001,$N1025))</f>
        <v/>
      </c>
      <c r="H1025" s="25" t="str">
        <f>IF($N1025="","",INDEX('_calc'!$F$2:$F$3001,$N1025))</f>
        <v/>
      </c>
      <c r="I1025" s="27" t="str">
        <f>IF($N1025="","",INDEX('_calc'!$H$2:$H$3001,$N1025))</f>
        <v/>
      </c>
      <c r="J1025" s="27" t="str">
        <f>IF($N1025="","",INDEX('_calc'!$I$2:$I$3001,$N1025))</f>
        <v/>
      </c>
      <c r="K1025" s="28" t="str">
        <f>IF($N1025="","",IF(OR(I1025="",J1025=""),"",J1025-I1025))</f>
        <v/>
      </c>
      <c r="L1025" s="29" t="str">
        <f>IF($N1025="","",INDEX('_calc'!$J$2:$J$3001,$N1025))</f>
        <v/>
      </c>
      <c r="M1025" s="2" t="str">
        <f>IF($N1025="","",IF(AND(G1025=0,H1025=0),"수량 없음",IF(G1025=0,"신규 (전년 수량 없음)",IF(H1025=0,"당해 수량 없음",""))))</f>
        <v/>
      </c>
      <c r="N1025" t="str">
        <f>IF($B1025="","",MATCH($B1025,'_calc'!$L$2:$L$3001,0))</f>
        <v/>
      </c>
    </row>
    <row r="1026">
      <c r="B1026" s="24" t="str">
        <f>IF(ROW()-ROW($B$8)&gt;nComp,"",ROW()-ROW($B$8))</f>
        <v/>
      </c>
      <c r="C1026" t="str">
        <f>IF($N1026="","",INDEX('_calc'!$A$2:$A$3001,$N1026))</f>
        <v/>
      </c>
      <c r="D1026" s="25" t="str">
        <f>IF($N1026="","",INDEX('_calc'!$C$2:$C$3001,$N1026))</f>
        <v/>
      </c>
      <c r="E1026" s="25" t="str">
        <f>IF($N1026="","",INDEX('_calc'!$D$2:$D$3001,$N1026))</f>
        <v/>
      </c>
      <c r="F1026" s="26" t="str">
        <f>IF($N1026="","",IF($E$8=0,"",E1026/$E$8))</f>
        <v/>
      </c>
      <c r="G1026" s="25" t="str">
        <f>IF($N1026="","",INDEX('_calc'!$E$2:$E$3001,$N1026))</f>
        <v/>
      </c>
      <c r="H1026" s="25" t="str">
        <f>IF($N1026="","",INDEX('_calc'!$F$2:$F$3001,$N1026))</f>
        <v/>
      </c>
      <c r="I1026" s="27" t="str">
        <f>IF($N1026="","",INDEX('_calc'!$H$2:$H$3001,$N1026))</f>
        <v/>
      </c>
      <c r="J1026" s="27" t="str">
        <f>IF($N1026="","",INDEX('_calc'!$I$2:$I$3001,$N1026))</f>
        <v/>
      </c>
      <c r="K1026" s="28" t="str">
        <f>IF($N1026="","",IF(OR(I1026="",J1026=""),"",J1026-I1026))</f>
        <v/>
      </c>
      <c r="L1026" s="29" t="str">
        <f>IF($N1026="","",INDEX('_calc'!$J$2:$J$3001,$N1026))</f>
        <v/>
      </c>
      <c r="M1026" s="2" t="str">
        <f>IF($N1026="","",IF(AND(G1026=0,H1026=0),"수량 없음",IF(G1026=0,"신규 (전년 수량 없음)",IF(H1026=0,"당해 수량 없음",""))))</f>
        <v/>
      </c>
      <c r="N1026" t="str">
        <f>IF($B1026="","",MATCH($B1026,'_calc'!$L$2:$L$3001,0))</f>
        <v/>
      </c>
    </row>
    <row r="1027">
      <c r="B1027" s="24" t="str">
        <f>IF(ROW()-ROW($B$8)&gt;nComp,"",ROW()-ROW($B$8))</f>
        <v/>
      </c>
      <c r="C1027" t="str">
        <f>IF($N1027="","",INDEX('_calc'!$A$2:$A$3001,$N1027))</f>
        <v/>
      </c>
      <c r="D1027" s="25" t="str">
        <f>IF($N1027="","",INDEX('_calc'!$C$2:$C$3001,$N1027))</f>
        <v/>
      </c>
      <c r="E1027" s="25" t="str">
        <f>IF($N1027="","",INDEX('_calc'!$D$2:$D$3001,$N1027))</f>
        <v/>
      </c>
      <c r="F1027" s="26" t="str">
        <f>IF($N1027="","",IF($E$8=0,"",E1027/$E$8))</f>
        <v/>
      </c>
      <c r="G1027" s="25" t="str">
        <f>IF($N1027="","",INDEX('_calc'!$E$2:$E$3001,$N1027))</f>
        <v/>
      </c>
      <c r="H1027" s="25" t="str">
        <f>IF($N1027="","",INDEX('_calc'!$F$2:$F$3001,$N1027))</f>
        <v/>
      </c>
      <c r="I1027" s="27" t="str">
        <f>IF($N1027="","",INDEX('_calc'!$H$2:$H$3001,$N1027))</f>
        <v/>
      </c>
      <c r="J1027" s="27" t="str">
        <f>IF($N1027="","",INDEX('_calc'!$I$2:$I$3001,$N1027))</f>
        <v/>
      </c>
      <c r="K1027" s="28" t="str">
        <f>IF($N1027="","",IF(OR(I1027="",J1027=""),"",J1027-I1027))</f>
        <v/>
      </c>
      <c r="L1027" s="29" t="str">
        <f>IF($N1027="","",INDEX('_calc'!$J$2:$J$3001,$N1027))</f>
        <v/>
      </c>
      <c r="M1027" s="2" t="str">
        <f>IF($N1027="","",IF(AND(G1027=0,H1027=0),"수량 없음",IF(G1027=0,"신규 (전년 수량 없음)",IF(H1027=0,"당해 수량 없음",""))))</f>
        <v/>
      </c>
      <c r="N1027" t="str">
        <f>IF($B1027="","",MATCH($B1027,'_calc'!$L$2:$L$3001,0))</f>
        <v/>
      </c>
    </row>
    <row r="1028">
      <c r="B1028" s="24" t="str">
        <f>IF(ROW()-ROW($B$8)&gt;nComp,"",ROW()-ROW($B$8))</f>
        <v/>
      </c>
      <c r="C1028" t="str">
        <f>IF($N1028="","",INDEX('_calc'!$A$2:$A$3001,$N1028))</f>
        <v/>
      </c>
      <c r="D1028" s="25" t="str">
        <f>IF($N1028="","",INDEX('_calc'!$C$2:$C$3001,$N1028))</f>
        <v/>
      </c>
      <c r="E1028" s="25" t="str">
        <f>IF($N1028="","",INDEX('_calc'!$D$2:$D$3001,$N1028))</f>
        <v/>
      </c>
      <c r="F1028" s="26" t="str">
        <f>IF($N1028="","",IF($E$8=0,"",E1028/$E$8))</f>
        <v/>
      </c>
      <c r="G1028" s="25" t="str">
        <f>IF($N1028="","",INDEX('_calc'!$E$2:$E$3001,$N1028))</f>
        <v/>
      </c>
      <c r="H1028" s="25" t="str">
        <f>IF($N1028="","",INDEX('_calc'!$F$2:$F$3001,$N1028))</f>
        <v/>
      </c>
      <c r="I1028" s="27" t="str">
        <f>IF($N1028="","",INDEX('_calc'!$H$2:$H$3001,$N1028))</f>
        <v/>
      </c>
      <c r="J1028" s="27" t="str">
        <f>IF($N1028="","",INDEX('_calc'!$I$2:$I$3001,$N1028))</f>
        <v/>
      </c>
      <c r="K1028" s="28" t="str">
        <f>IF($N1028="","",IF(OR(I1028="",J1028=""),"",J1028-I1028))</f>
        <v/>
      </c>
      <c r="L1028" s="29" t="str">
        <f>IF($N1028="","",INDEX('_calc'!$J$2:$J$3001,$N1028))</f>
        <v/>
      </c>
      <c r="M1028" s="2" t="str">
        <f>IF($N1028="","",IF(AND(G1028=0,H1028=0),"수량 없음",IF(G1028=0,"신규 (전년 수량 없음)",IF(H1028=0,"당해 수량 없음",""))))</f>
        <v/>
      </c>
      <c r="N1028" t="str">
        <f>IF($B1028="","",MATCH($B1028,'_calc'!$L$2:$L$3001,0))</f>
        <v/>
      </c>
    </row>
    <row r="1029">
      <c r="B1029" s="24" t="str">
        <f>IF(ROW()-ROW($B$8)&gt;nComp,"",ROW()-ROW($B$8))</f>
        <v/>
      </c>
      <c r="C1029" t="str">
        <f>IF($N1029="","",INDEX('_calc'!$A$2:$A$3001,$N1029))</f>
        <v/>
      </c>
      <c r="D1029" s="25" t="str">
        <f>IF($N1029="","",INDEX('_calc'!$C$2:$C$3001,$N1029))</f>
        <v/>
      </c>
      <c r="E1029" s="25" t="str">
        <f>IF($N1029="","",INDEX('_calc'!$D$2:$D$3001,$N1029))</f>
        <v/>
      </c>
      <c r="F1029" s="26" t="str">
        <f>IF($N1029="","",IF($E$8=0,"",E1029/$E$8))</f>
        <v/>
      </c>
      <c r="G1029" s="25" t="str">
        <f>IF($N1029="","",INDEX('_calc'!$E$2:$E$3001,$N1029))</f>
        <v/>
      </c>
      <c r="H1029" s="25" t="str">
        <f>IF($N1029="","",INDEX('_calc'!$F$2:$F$3001,$N1029))</f>
        <v/>
      </c>
      <c r="I1029" s="27" t="str">
        <f>IF($N1029="","",INDEX('_calc'!$H$2:$H$3001,$N1029))</f>
        <v/>
      </c>
      <c r="J1029" s="27" t="str">
        <f>IF($N1029="","",INDEX('_calc'!$I$2:$I$3001,$N1029))</f>
        <v/>
      </c>
      <c r="K1029" s="28" t="str">
        <f>IF($N1029="","",IF(OR(I1029="",J1029=""),"",J1029-I1029))</f>
        <v/>
      </c>
      <c r="L1029" s="29" t="str">
        <f>IF($N1029="","",INDEX('_calc'!$J$2:$J$3001,$N1029))</f>
        <v/>
      </c>
      <c r="M1029" s="2" t="str">
        <f>IF($N1029="","",IF(AND(G1029=0,H1029=0),"수량 없음",IF(G1029=0,"신규 (전년 수량 없음)",IF(H1029=0,"당해 수량 없음",""))))</f>
        <v/>
      </c>
      <c r="N1029" t="str">
        <f>IF($B1029="","",MATCH($B1029,'_calc'!$L$2:$L$3001,0))</f>
        <v/>
      </c>
    </row>
    <row r="1030">
      <c r="B1030" s="24" t="str">
        <f>IF(ROW()-ROW($B$8)&gt;nComp,"",ROW()-ROW($B$8))</f>
        <v/>
      </c>
      <c r="C1030" t="str">
        <f>IF($N1030="","",INDEX('_calc'!$A$2:$A$3001,$N1030))</f>
        <v/>
      </c>
      <c r="D1030" s="25" t="str">
        <f>IF($N1030="","",INDEX('_calc'!$C$2:$C$3001,$N1030))</f>
        <v/>
      </c>
      <c r="E1030" s="25" t="str">
        <f>IF($N1030="","",INDEX('_calc'!$D$2:$D$3001,$N1030))</f>
        <v/>
      </c>
      <c r="F1030" s="26" t="str">
        <f>IF($N1030="","",IF($E$8=0,"",E1030/$E$8))</f>
        <v/>
      </c>
      <c r="G1030" s="25" t="str">
        <f>IF($N1030="","",INDEX('_calc'!$E$2:$E$3001,$N1030))</f>
        <v/>
      </c>
      <c r="H1030" s="25" t="str">
        <f>IF($N1030="","",INDEX('_calc'!$F$2:$F$3001,$N1030))</f>
        <v/>
      </c>
      <c r="I1030" s="27" t="str">
        <f>IF($N1030="","",INDEX('_calc'!$H$2:$H$3001,$N1030))</f>
        <v/>
      </c>
      <c r="J1030" s="27" t="str">
        <f>IF($N1030="","",INDEX('_calc'!$I$2:$I$3001,$N1030))</f>
        <v/>
      </c>
      <c r="K1030" s="28" t="str">
        <f>IF($N1030="","",IF(OR(I1030="",J1030=""),"",J1030-I1030))</f>
        <v/>
      </c>
      <c r="L1030" s="29" t="str">
        <f>IF($N1030="","",INDEX('_calc'!$J$2:$J$3001,$N1030))</f>
        <v/>
      </c>
      <c r="M1030" s="2" t="str">
        <f>IF($N1030="","",IF(AND(G1030=0,H1030=0),"수량 없음",IF(G1030=0,"신규 (전년 수량 없음)",IF(H1030=0,"당해 수량 없음",""))))</f>
        <v/>
      </c>
      <c r="N1030" t="str">
        <f>IF($B1030="","",MATCH($B1030,'_calc'!$L$2:$L$3001,0))</f>
        <v/>
      </c>
    </row>
    <row r="1031">
      <c r="B1031" s="24" t="str">
        <f>IF(ROW()-ROW($B$8)&gt;nComp,"",ROW()-ROW($B$8))</f>
        <v/>
      </c>
      <c r="C1031" t="str">
        <f>IF($N1031="","",INDEX('_calc'!$A$2:$A$3001,$N1031))</f>
        <v/>
      </c>
      <c r="D1031" s="25" t="str">
        <f>IF($N1031="","",INDEX('_calc'!$C$2:$C$3001,$N1031))</f>
        <v/>
      </c>
      <c r="E1031" s="25" t="str">
        <f>IF($N1031="","",INDEX('_calc'!$D$2:$D$3001,$N1031))</f>
        <v/>
      </c>
      <c r="F1031" s="26" t="str">
        <f>IF($N1031="","",IF($E$8=0,"",E1031/$E$8))</f>
        <v/>
      </c>
      <c r="G1031" s="25" t="str">
        <f>IF($N1031="","",INDEX('_calc'!$E$2:$E$3001,$N1031))</f>
        <v/>
      </c>
      <c r="H1031" s="25" t="str">
        <f>IF($N1031="","",INDEX('_calc'!$F$2:$F$3001,$N1031))</f>
        <v/>
      </c>
      <c r="I1031" s="27" t="str">
        <f>IF($N1031="","",INDEX('_calc'!$H$2:$H$3001,$N1031))</f>
        <v/>
      </c>
      <c r="J1031" s="27" t="str">
        <f>IF($N1031="","",INDEX('_calc'!$I$2:$I$3001,$N1031))</f>
        <v/>
      </c>
      <c r="K1031" s="28" t="str">
        <f>IF($N1031="","",IF(OR(I1031="",J1031=""),"",J1031-I1031))</f>
        <v/>
      </c>
      <c r="L1031" s="29" t="str">
        <f>IF($N1031="","",INDEX('_calc'!$J$2:$J$3001,$N1031))</f>
        <v/>
      </c>
      <c r="M1031" s="2" t="str">
        <f>IF($N1031="","",IF(AND(G1031=0,H1031=0),"수량 없음",IF(G1031=0,"신규 (전년 수량 없음)",IF(H1031=0,"당해 수량 없음",""))))</f>
        <v/>
      </c>
      <c r="N1031" t="str">
        <f>IF($B1031="","",MATCH($B1031,'_calc'!$L$2:$L$3001,0))</f>
        <v/>
      </c>
    </row>
    <row r="1032">
      <c r="B1032" s="24" t="str">
        <f>IF(ROW()-ROW($B$8)&gt;nComp,"",ROW()-ROW($B$8))</f>
        <v/>
      </c>
      <c r="C1032" t="str">
        <f>IF($N1032="","",INDEX('_calc'!$A$2:$A$3001,$N1032))</f>
        <v/>
      </c>
      <c r="D1032" s="25" t="str">
        <f>IF($N1032="","",INDEX('_calc'!$C$2:$C$3001,$N1032))</f>
        <v/>
      </c>
      <c r="E1032" s="25" t="str">
        <f>IF($N1032="","",INDEX('_calc'!$D$2:$D$3001,$N1032))</f>
        <v/>
      </c>
      <c r="F1032" s="26" t="str">
        <f>IF($N1032="","",IF($E$8=0,"",E1032/$E$8))</f>
        <v/>
      </c>
      <c r="G1032" s="25" t="str">
        <f>IF($N1032="","",INDEX('_calc'!$E$2:$E$3001,$N1032))</f>
        <v/>
      </c>
      <c r="H1032" s="25" t="str">
        <f>IF($N1032="","",INDEX('_calc'!$F$2:$F$3001,$N1032))</f>
        <v/>
      </c>
      <c r="I1032" s="27" t="str">
        <f>IF($N1032="","",INDEX('_calc'!$H$2:$H$3001,$N1032))</f>
        <v/>
      </c>
      <c r="J1032" s="27" t="str">
        <f>IF($N1032="","",INDEX('_calc'!$I$2:$I$3001,$N1032))</f>
        <v/>
      </c>
      <c r="K1032" s="28" t="str">
        <f>IF($N1032="","",IF(OR(I1032="",J1032=""),"",J1032-I1032))</f>
        <v/>
      </c>
      <c r="L1032" s="29" t="str">
        <f>IF($N1032="","",INDEX('_calc'!$J$2:$J$3001,$N1032))</f>
        <v/>
      </c>
      <c r="M1032" s="2" t="str">
        <f>IF($N1032="","",IF(AND(G1032=0,H1032=0),"수량 없음",IF(G1032=0,"신규 (전년 수량 없음)",IF(H1032=0,"당해 수량 없음",""))))</f>
        <v/>
      </c>
      <c r="N1032" t="str">
        <f>IF($B1032="","",MATCH($B1032,'_calc'!$L$2:$L$3001,0))</f>
        <v/>
      </c>
    </row>
    <row r="1033">
      <c r="B1033" s="24" t="str">
        <f>IF(ROW()-ROW($B$8)&gt;nComp,"",ROW()-ROW($B$8))</f>
        <v/>
      </c>
      <c r="C1033" t="str">
        <f>IF($N1033="","",INDEX('_calc'!$A$2:$A$3001,$N1033))</f>
        <v/>
      </c>
      <c r="D1033" s="25" t="str">
        <f>IF($N1033="","",INDEX('_calc'!$C$2:$C$3001,$N1033))</f>
        <v/>
      </c>
      <c r="E1033" s="25" t="str">
        <f>IF($N1033="","",INDEX('_calc'!$D$2:$D$3001,$N1033))</f>
        <v/>
      </c>
      <c r="F1033" s="26" t="str">
        <f>IF($N1033="","",IF($E$8=0,"",E1033/$E$8))</f>
        <v/>
      </c>
      <c r="G1033" s="25" t="str">
        <f>IF($N1033="","",INDEX('_calc'!$E$2:$E$3001,$N1033))</f>
        <v/>
      </c>
      <c r="H1033" s="25" t="str">
        <f>IF($N1033="","",INDEX('_calc'!$F$2:$F$3001,$N1033))</f>
        <v/>
      </c>
      <c r="I1033" s="27" t="str">
        <f>IF($N1033="","",INDEX('_calc'!$H$2:$H$3001,$N1033))</f>
        <v/>
      </c>
      <c r="J1033" s="27" t="str">
        <f>IF($N1033="","",INDEX('_calc'!$I$2:$I$3001,$N1033))</f>
        <v/>
      </c>
      <c r="K1033" s="28" t="str">
        <f>IF($N1033="","",IF(OR(I1033="",J1033=""),"",J1033-I1033))</f>
        <v/>
      </c>
      <c r="L1033" s="29" t="str">
        <f>IF($N1033="","",INDEX('_calc'!$J$2:$J$3001,$N1033))</f>
        <v/>
      </c>
      <c r="M1033" s="2" t="str">
        <f>IF($N1033="","",IF(AND(G1033=0,H1033=0),"수량 없음",IF(G1033=0,"신규 (전년 수량 없음)",IF(H1033=0,"당해 수량 없음",""))))</f>
        <v/>
      </c>
      <c r="N1033" t="str">
        <f>IF($B1033="","",MATCH($B1033,'_calc'!$L$2:$L$3001,0))</f>
        <v/>
      </c>
    </row>
    <row r="1034">
      <c r="B1034" s="24" t="str">
        <f>IF(ROW()-ROW($B$8)&gt;nComp,"",ROW()-ROW($B$8))</f>
        <v/>
      </c>
      <c r="C1034" t="str">
        <f>IF($N1034="","",INDEX('_calc'!$A$2:$A$3001,$N1034))</f>
        <v/>
      </c>
      <c r="D1034" s="25" t="str">
        <f>IF($N1034="","",INDEX('_calc'!$C$2:$C$3001,$N1034))</f>
        <v/>
      </c>
      <c r="E1034" s="25" t="str">
        <f>IF($N1034="","",INDEX('_calc'!$D$2:$D$3001,$N1034))</f>
        <v/>
      </c>
      <c r="F1034" s="26" t="str">
        <f>IF($N1034="","",IF($E$8=0,"",E1034/$E$8))</f>
        <v/>
      </c>
      <c r="G1034" s="25" t="str">
        <f>IF($N1034="","",INDEX('_calc'!$E$2:$E$3001,$N1034))</f>
        <v/>
      </c>
      <c r="H1034" s="25" t="str">
        <f>IF($N1034="","",INDEX('_calc'!$F$2:$F$3001,$N1034))</f>
        <v/>
      </c>
      <c r="I1034" s="27" t="str">
        <f>IF($N1034="","",INDEX('_calc'!$H$2:$H$3001,$N1034))</f>
        <v/>
      </c>
      <c r="J1034" s="27" t="str">
        <f>IF($N1034="","",INDEX('_calc'!$I$2:$I$3001,$N1034))</f>
        <v/>
      </c>
      <c r="K1034" s="28" t="str">
        <f>IF($N1034="","",IF(OR(I1034="",J1034=""),"",J1034-I1034))</f>
        <v/>
      </c>
      <c r="L1034" s="29" t="str">
        <f>IF($N1034="","",INDEX('_calc'!$J$2:$J$3001,$N1034))</f>
        <v/>
      </c>
      <c r="M1034" s="2" t="str">
        <f>IF($N1034="","",IF(AND(G1034=0,H1034=0),"수량 없음",IF(G1034=0,"신규 (전년 수량 없음)",IF(H1034=0,"당해 수량 없음",""))))</f>
        <v/>
      </c>
      <c r="N1034" t="str">
        <f>IF($B1034="","",MATCH($B1034,'_calc'!$L$2:$L$3001,0))</f>
        <v/>
      </c>
    </row>
    <row r="1035">
      <c r="B1035" s="24" t="str">
        <f>IF(ROW()-ROW($B$8)&gt;nComp,"",ROW()-ROW($B$8))</f>
        <v/>
      </c>
      <c r="C1035" t="str">
        <f>IF($N1035="","",INDEX('_calc'!$A$2:$A$3001,$N1035))</f>
        <v/>
      </c>
      <c r="D1035" s="25" t="str">
        <f>IF($N1035="","",INDEX('_calc'!$C$2:$C$3001,$N1035))</f>
        <v/>
      </c>
      <c r="E1035" s="25" t="str">
        <f>IF($N1035="","",INDEX('_calc'!$D$2:$D$3001,$N1035))</f>
        <v/>
      </c>
      <c r="F1035" s="26" t="str">
        <f>IF($N1035="","",IF($E$8=0,"",E1035/$E$8))</f>
        <v/>
      </c>
      <c r="G1035" s="25" t="str">
        <f>IF($N1035="","",INDEX('_calc'!$E$2:$E$3001,$N1035))</f>
        <v/>
      </c>
      <c r="H1035" s="25" t="str">
        <f>IF($N1035="","",INDEX('_calc'!$F$2:$F$3001,$N1035))</f>
        <v/>
      </c>
      <c r="I1035" s="27" t="str">
        <f>IF($N1035="","",INDEX('_calc'!$H$2:$H$3001,$N1035))</f>
        <v/>
      </c>
      <c r="J1035" s="27" t="str">
        <f>IF($N1035="","",INDEX('_calc'!$I$2:$I$3001,$N1035))</f>
        <v/>
      </c>
      <c r="K1035" s="28" t="str">
        <f>IF($N1035="","",IF(OR(I1035="",J1035=""),"",J1035-I1035))</f>
        <v/>
      </c>
      <c r="L1035" s="29" t="str">
        <f>IF($N1035="","",INDEX('_calc'!$J$2:$J$3001,$N1035))</f>
        <v/>
      </c>
      <c r="M1035" s="2" t="str">
        <f>IF($N1035="","",IF(AND(G1035=0,H1035=0),"수량 없음",IF(G1035=0,"신규 (전년 수량 없음)",IF(H1035=0,"당해 수량 없음",""))))</f>
        <v/>
      </c>
      <c r="N1035" t="str">
        <f>IF($B1035="","",MATCH($B1035,'_calc'!$L$2:$L$3001,0))</f>
        <v/>
      </c>
    </row>
    <row r="1036">
      <c r="B1036" s="24" t="str">
        <f>IF(ROW()-ROW($B$8)&gt;nComp,"",ROW()-ROW($B$8))</f>
        <v/>
      </c>
      <c r="C1036" t="str">
        <f>IF($N1036="","",INDEX('_calc'!$A$2:$A$3001,$N1036))</f>
        <v/>
      </c>
      <c r="D1036" s="25" t="str">
        <f>IF($N1036="","",INDEX('_calc'!$C$2:$C$3001,$N1036))</f>
        <v/>
      </c>
      <c r="E1036" s="25" t="str">
        <f>IF($N1036="","",INDEX('_calc'!$D$2:$D$3001,$N1036))</f>
        <v/>
      </c>
      <c r="F1036" s="26" t="str">
        <f>IF($N1036="","",IF($E$8=0,"",E1036/$E$8))</f>
        <v/>
      </c>
      <c r="G1036" s="25" t="str">
        <f>IF($N1036="","",INDEX('_calc'!$E$2:$E$3001,$N1036))</f>
        <v/>
      </c>
      <c r="H1036" s="25" t="str">
        <f>IF($N1036="","",INDEX('_calc'!$F$2:$F$3001,$N1036))</f>
        <v/>
      </c>
      <c r="I1036" s="27" t="str">
        <f>IF($N1036="","",INDEX('_calc'!$H$2:$H$3001,$N1036))</f>
        <v/>
      </c>
      <c r="J1036" s="27" t="str">
        <f>IF($N1036="","",INDEX('_calc'!$I$2:$I$3001,$N1036))</f>
        <v/>
      </c>
      <c r="K1036" s="28" t="str">
        <f>IF($N1036="","",IF(OR(I1036="",J1036=""),"",J1036-I1036))</f>
        <v/>
      </c>
      <c r="L1036" s="29" t="str">
        <f>IF($N1036="","",INDEX('_calc'!$J$2:$J$3001,$N1036))</f>
        <v/>
      </c>
      <c r="M1036" s="2" t="str">
        <f>IF($N1036="","",IF(AND(G1036=0,H1036=0),"수량 없음",IF(G1036=0,"신규 (전년 수량 없음)",IF(H1036=0,"당해 수량 없음",""))))</f>
        <v/>
      </c>
      <c r="N1036" t="str">
        <f>IF($B1036="","",MATCH($B1036,'_calc'!$L$2:$L$3001,0))</f>
        <v/>
      </c>
    </row>
    <row r="1037">
      <c r="B1037" s="24" t="str">
        <f>IF(ROW()-ROW($B$8)&gt;nComp,"",ROW()-ROW($B$8))</f>
        <v/>
      </c>
      <c r="C1037" t="str">
        <f>IF($N1037="","",INDEX('_calc'!$A$2:$A$3001,$N1037))</f>
        <v/>
      </c>
      <c r="D1037" s="25" t="str">
        <f>IF($N1037="","",INDEX('_calc'!$C$2:$C$3001,$N1037))</f>
        <v/>
      </c>
      <c r="E1037" s="25" t="str">
        <f>IF($N1037="","",INDEX('_calc'!$D$2:$D$3001,$N1037))</f>
        <v/>
      </c>
      <c r="F1037" s="26" t="str">
        <f>IF($N1037="","",IF($E$8=0,"",E1037/$E$8))</f>
        <v/>
      </c>
      <c r="G1037" s="25" t="str">
        <f>IF($N1037="","",INDEX('_calc'!$E$2:$E$3001,$N1037))</f>
        <v/>
      </c>
      <c r="H1037" s="25" t="str">
        <f>IF($N1037="","",INDEX('_calc'!$F$2:$F$3001,$N1037))</f>
        <v/>
      </c>
      <c r="I1037" s="27" t="str">
        <f>IF($N1037="","",INDEX('_calc'!$H$2:$H$3001,$N1037))</f>
        <v/>
      </c>
      <c r="J1037" s="27" t="str">
        <f>IF($N1037="","",INDEX('_calc'!$I$2:$I$3001,$N1037))</f>
        <v/>
      </c>
      <c r="K1037" s="28" t="str">
        <f>IF($N1037="","",IF(OR(I1037="",J1037=""),"",J1037-I1037))</f>
        <v/>
      </c>
      <c r="L1037" s="29" t="str">
        <f>IF($N1037="","",INDEX('_calc'!$J$2:$J$3001,$N1037))</f>
        <v/>
      </c>
      <c r="M1037" s="2" t="str">
        <f>IF($N1037="","",IF(AND(G1037=0,H1037=0),"수량 없음",IF(G1037=0,"신규 (전년 수량 없음)",IF(H1037=0,"당해 수량 없음",""))))</f>
        <v/>
      </c>
      <c r="N1037" t="str">
        <f>IF($B1037="","",MATCH($B1037,'_calc'!$L$2:$L$3001,0))</f>
        <v/>
      </c>
    </row>
    <row r="1038">
      <c r="B1038" s="24" t="str">
        <f>IF(ROW()-ROW($B$8)&gt;nComp,"",ROW()-ROW($B$8))</f>
        <v/>
      </c>
      <c r="C1038" t="str">
        <f>IF($N1038="","",INDEX('_calc'!$A$2:$A$3001,$N1038))</f>
        <v/>
      </c>
      <c r="D1038" s="25" t="str">
        <f>IF($N1038="","",INDEX('_calc'!$C$2:$C$3001,$N1038))</f>
        <v/>
      </c>
      <c r="E1038" s="25" t="str">
        <f>IF($N1038="","",INDEX('_calc'!$D$2:$D$3001,$N1038))</f>
        <v/>
      </c>
      <c r="F1038" s="26" t="str">
        <f>IF($N1038="","",IF($E$8=0,"",E1038/$E$8))</f>
        <v/>
      </c>
      <c r="G1038" s="25" t="str">
        <f>IF($N1038="","",INDEX('_calc'!$E$2:$E$3001,$N1038))</f>
        <v/>
      </c>
      <c r="H1038" s="25" t="str">
        <f>IF($N1038="","",INDEX('_calc'!$F$2:$F$3001,$N1038))</f>
        <v/>
      </c>
      <c r="I1038" s="27" t="str">
        <f>IF($N1038="","",INDEX('_calc'!$H$2:$H$3001,$N1038))</f>
        <v/>
      </c>
      <c r="J1038" s="27" t="str">
        <f>IF($N1038="","",INDEX('_calc'!$I$2:$I$3001,$N1038))</f>
        <v/>
      </c>
      <c r="K1038" s="28" t="str">
        <f>IF($N1038="","",IF(OR(I1038="",J1038=""),"",J1038-I1038))</f>
        <v/>
      </c>
      <c r="L1038" s="29" t="str">
        <f>IF($N1038="","",INDEX('_calc'!$J$2:$J$3001,$N1038))</f>
        <v/>
      </c>
      <c r="M1038" s="2" t="str">
        <f>IF($N1038="","",IF(AND(G1038=0,H1038=0),"수량 없음",IF(G1038=0,"신규 (전년 수량 없음)",IF(H1038=0,"당해 수량 없음",""))))</f>
        <v/>
      </c>
      <c r="N1038" t="str">
        <f>IF($B1038="","",MATCH($B1038,'_calc'!$L$2:$L$3001,0))</f>
        <v/>
      </c>
    </row>
    <row r="1039">
      <c r="B1039" s="24" t="str">
        <f>IF(ROW()-ROW($B$8)&gt;nComp,"",ROW()-ROW($B$8))</f>
        <v/>
      </c>
      <c r="C1039" t="str">
        <f>IF($N1039="","",INDEX('_calc'!$A$2:$A$3001,$N1039))</f>
        <v/>
      </c>
      <c r="D1039" s="25" t="str">
        <f>IF($N1039="","",INDEX('_calc'!$C$2:$C$3001,$N1039))</f>
        <v/>
      </c>
      <c r="E1039" s="25" t="str">
        <f>IF($N1039="","",INDEX('_calc'!$D$2:$D$3001,$N1039))</f>
        <v/>
      </c>
      <c r="F1039" s="26" t="str">
        <f>IF($N1039="","",IF($E$8=0,"",E1039/$E$8))</f>
        <v/>
      </c>
      <c r="G1039" s="25" t="str">
        <f>IF($N1039="","",INDEX('_calc'!$E$2:$E$3001,$N1039))</f>
        <v/>
      </c>
      <c r="H1039" s="25" t="str">
        <f>IF($N1039="","",INDEX('_calc'!$F$2:$F$3001,$N1039))</f>
        <v/>
      </c>
      <c r="I1039" s="27" t="str">
        <f>IF($N1039="","",INDEX('_calc'!$H$2:$H$3001,$N1039))</f>
        <v/>
      </c>
      <c r="J1039" s="27" t="str">
        <f>IF($N1039="","",INDEX('_calc'!$I$2:$I$3001,$N1039))</f>
        <v/>
      </c>
      <c r="K1039" s="28" t="str">
        <f>IF($N1039="","",IF(OR(I1039="",J1039=""),"",J1039-I1039))</f>
        <v/>
      </c>
      <c r="L1039" s="29" t="str">
        <f>IF($N1039="","",INDEX('_calc'!$J$2:$J$3001,$N1039))</f>
        <v/>
      </c>
      <c r="M1039" s="2" t="str">
        <f>IF($N1039="","",IF(AND(G1039=0,H1039=0),"수량 없음",IF(G1039=0,"신규 (전년 수량 없음)",IF(H1039=0,"당해 수량 없음",""))))</f>
        <v/>
      </c>
      <c r="N1039" t="str">
        <f>IF($B1039="","",MATCH($B1039,'_calc'!$L$2:$L$3001,0))</f>
        <v/>
      </c>
    </row>
    <row r="1040">
      <c r="B1040" s="24" t="str">
        <f>IF(ROW()-ROW($B$8)&gt;nComp,"",ROW()-ROW($B$8))</f>
        <v/>
      </c>
      <c r="C1040" t="str">
        <f>IF($N1040="","",INDEX('_calc'!$A$2:$A$3001,$N1040))</f>
        <v/>
      </c>
      <c r="D1040" s="25" t="str">
        <f>IF($N1040="","",INDEX('_calc'!$C$2:$C$3001,$N1040))</f>
        <v/>
      </c>
      <c r="E1040" s="25" t="str">
        <f>IF($N1040="","",INDEX('_calc'!$D$2:$D$3001,$N1040))</f>
        <v/>
      </c>
      <c r="F1040" s="26" t="str">
        <f>IF($N1040="","",IF($E$8=0,"",E1040/$E$8))</f>
        <v/>
      </c>
      <c r="G1040" s="25" t="str">
        <f>IF($N1040="","",INDEX('_calc'!$E$2:$E$3001,$N1040))</f>
        <v/>
      </c>
      <c r="H1040" s="25" t="str">
        <f>IF($N1040="","",INDEX('_calc'!$F$2:$F$3001,$N1040))</f>
        <v/>
      </c>
      <c r="I1040" s="27" t="str">
        <f>IF($N1040="","",INDEX('_calc'!$H$2:$H$3001,$N1040))</f>
        <v/>
      </c>
      <c r="J1040" s="27" t="str">
        <f>IF($N1040="","",INDEX('_calc'!$I$2:$I$3001,$N1040))</f>
        <v/>
      </c>
      <c r="K1040" s="28" t="str">
        <f>IF($N1040="","",IF(OR(I1040="",J1040=""),"",J1040-I1040))</f>
        <v/>
      </c>
      <c r="L1040" s="29" t="str">
        <f>IF($N1040="","",INDEX('_calc'!$J$2:$J$3001,$N1040))</f>
        <v/>
      </c>
      <c r="M1040" s="2" t="str">
        <f>IF($N1040="","",IF(AND(G1040=0,H1040=0),"수량 없음",IF(G1040=0,"신규 (전년 수량 없음)",IF(H1040=0,"당해 수량 없음",""))))</f>
        <v/>
      </c>
      <c r="N1040" t="str">
        <f>IF($B1040="","",MATCH($B1040,'_calc'!$L$2:$L$3001,0))</f>
        <v/>
      </c>
    </row>
    <row r="1041">
      <c r="B1041" s="24" t="str">
        <f>IF(ROW()-ROW($B$8)&gt;nComp,"",ROW()-ROW($B$8))</f>
        <v/>
      </c>
      <c r="C1041" t="str">
        <f>IF($N1041="","",INDEX('_calc'!$A$2:$A$3001,$N1041))</f>
        <v/>
      </c>
      <c r="D1041" s="25" t="str">
        <f>IF($N1041="","",INDEX('_calc'!$C$2:$C$3001,$N1041))</f>
        <v/>
      </c>
      <c r="E1041" s="25" t="str">
        <f>IF($N1041="","",INDEX('_calc'!$D$2:$D$3001,$N1041))</f>
        <v/>
      </c>
      <c r="F1041" s="26" t="str">
        <f>IF($N1041="","",IF($E$8=0,"",E1041/$E$8))</f>
        <v/>
      </c>
      <c r="G1041" s="25" t="str">
        <f>IF($N1041="","",INDEX('_calc'!$E$2:$E$3001,$N1041))</f>
        <v/>
      </c>
      <c r="H1041" s="25" t="str">
        <f>IF($N1041="","",INDEX('_calc'!$F$2:$F$3001,$N1041))</f>
        <v/>
      </c>
      <c r="I1041" s="27" t="str">
        <f>IF($N1041="","",INDEX('_calc'!$H$2:$H$3001,$N1041))</f>
        <v/>
      </c>
      <c r="J1041" s="27" t="str">
        <f>IF($N1041="","",INDEX('_calc'!$I$2:$I$3001,$N1041))</f>
        <v/>
      </c>
      <c r="K1041" s="28" t="str">
        <f>IF($N1041="","",IF(OR(I1041="",J1041=""),"",J1041-I1041))</f>
        <v/>
      </c>
      <c r="L1041" s="29" t="str">
        <f>IF($N1041="","",INDEX('_calc'!$J$2:$J$3001,$N1041))</f>
        <v/>
      </c>
      <c r="M1041" s="2" t="str">
        <f>IF($N1041="","",IF(AND(G1041=0,H1041=0),"수량 없음",IF(G1041=0,"신규 (전년 수량 없음)",IF(H1041=0,"당해 수량 없음",""))))</f>
        <v/>
      </c>
      <c r="N1041" t="str">
        <f>IF($B1041="","",MATCH($B1041,'_calc'!$L$2:$L$3001,0))</f>
        <v/>
      </c>
    </row>
    <row r="1042">
      <c r="B1042" s="24" t="str">
        <f>IF(ROW()-ROW($B$8)&gt;nComp,"",ROW()-ROW($B$8))</f>
        <v/>
      </c>
      <c r="C1042" t="str">
        <f>IF($N1042="","",INDEX('_calc'!$A$2:$A$3001,$N1042))</f>
        <v/>
      </c>
      <c r="D1042" s="25" t="str">
        <f>IF($N1042="","",INDEX('_calc'!$C$2:$C$3001,$N1042))</f>
        <v/>
      </c>
      <c r="E1042" s="25" t="str">
        <f>IF($N1042="","",INDEX('_calc'!$D$2:$D$3001,$N1042))</f>
        <v/>
      </c>
      <c r="F1042" s="26" t="str">
        <f>IF($N1042="","",IF($E$8=0,"",E1042/$E$8))</f>
        <v/>
      </c>
      <c r="G1042" s="25" t="str">
        <f>IF($N1042="","",INDEX('_calc'!$E$2:$E$3001,$N1042))</f>
        <v/>
      </c>
      <c r="H1042" s="25" t="str">
        <f>IF($N1042="","",INDEX('_calc'!$F$2:$F$3001,$N1042))</f>
        <v/>
      </c>
      <c r="I1042" s="27" t="str">
        <f>IF($N1042="","",INDEX('_calc'!$H$2:$H$3001,$N1042))</f>
        <v/>
      </c>
      <c r="J1042" s="27" t="str">
        <f>IF($N1042="","",INDEX('_calc'!$I$2:$I$3001,$N1042))</f>
        <v/>
      </c>
      <c r="K1042" s="28" t="str">
        <f>IF($N1042="","",IF(OR(I1042="",J1042=""),"",J1042-I1042))</f>
        <v/>
      </c>
      <c r="L1042" s="29" t="str">
        <f>IF($N1042="","",INDEX('_calc'!$J$2:$J$3001,$N1042))</f>
        <v/>
      </c>
      <c r="M1042" s="2" t="str">
        <f>IF($N1042="","",IF(AND(G1042=0,H1042=0),"수량 없음",IF(G1042=0,"신규 (전년 수량 없음)",IF(H1042=0,"당해 수량 없음",""))))</f>
        <v/>
      </c>
      <c r="N1042" t="str">
        <f>IF($B1042="","",MATCH($B1042,'_calc'!$L$2:$L$3001,0))</f>
        <v/>
      </c>
    </row>
    <row r="1043">
      <c r="B1043" s="24" t="str">
        <f>IF(ROW()-ROW($B$8)&gt;nComp,"",ROW()-ROW($B$8))</f>
        <v/>
      </c>
      <c r="C1043" t="str">
        <f>IF($N1043="","",INDEX('_calc'!$A$2:$A$3001,$N1043))</f>
        <v/>
      </c>
      <c r="D1043" s="25" t="str">
        <f>IF($N1043="","",INDEX('_calc'!$C$2:$C$3001,$N1043))</f>
        <v/>
      </c>
      <c r="E1043" s="25" t="str">
        <f>IF($N1043="","",INDEX('_calc'!$D$2:$D$3001,$N1043))</f>
        <v/>
      </c>
      <c r="F1043" s="26" t="str">
        <f>IF($N1043="","",IF($E$8=0,"",E1043/$E$8))</f>
        <v/>
      </c>
      <c r="G1043" s="25" t="str">
        <f>IF($N1043="","",INDEX('_calc'!$E$2:$E$3001,$N1043))</f>
        <v/>
      </c>
      <c r="H1043" s="25" t="str">
        <f>IF($N1043="","",INDEX('_calc'!$F$2:$F$3001,$N1043))</f>
        <v/>
      </c>
      <c r="I1043" s="27" t="str">
        <f>IF($N1043="","",INDEX('_calc'!$H$2:$H$3001,$N1043))</f>
        <v/>
      </c>
      <c r="J1043" s="27" t="str">
        <f>IF($N1043="","",INDEX('_calc'!$I$2:$I$3001,$N1043))</f>
        <v/>
      </c>
      <c r="K1043" s="28" t="str">
        <f>IF($N1043="","",IF(OR(I1043="",J1043=""),"",J1043-I1043))</f>
        <v/>
      </c>
      <c r="L1043" s="29" t="str">
        <f>IF($N1043="","",INDEX('_calc'!$J$2:$J$3001,$N1043))</f>
        <v/>
      </c>
      <c r="M1043" s="2" t="str">
        <f>IF($N1043="","",IF(AND(G1043=0,H1043=0),"수량 없음",IF(G1043=0,"신규 (전년 수량 없음)",IF(H1043=0,"당해 수량 없음",""))))</f>
        <v/>
      </c>
      <c r="N1043" t="str">
        <f>IF($B1043="","",MATCH($B1043,'_calc'!$L$2:$L$3001,0))</f>
        <v/>
      </c>
    </row>
    <row r="1044">
      <c r="B1044" s="24" t="str">
        <f>IF(ROW()-ROW($B$8)&gt;nComp,"",ROW()-ROW($B$8))</f>
        <v/>
      </c>
      <c r="C1044" t="str">
        <f>IF($N1044="","",INDEX('_calc'!$A$2:$A$3001,$N1044))</f>
        <v/>
      </c>
      <c r="D1044" s="25" t="str">
        <f>IF($N1044="","",INDEX('_calc'!$C$2:$C$3001,$N1044))</f>
        <v/>
      </c>
      <c r="E1044" s="25" t="str">
        <f>IF($N1044="","",INDEX('_calc'!$D$2:$D$3001,$N1044))</f>
        <v/>
      </c>
      <c r="F1044" s="26" t="str">
        <f>IF($N1044="","",IF($E$8=0,"",E1044/$E$8))</f>
        <v/>
      </c>
      <c r="G1044" s="25" t="str">
        <f>IF($N1044="","",INDEX('_calc'!$E$2:$E$3001,$N1044))</f>
        <v/>
      </c>
      <c r="H1044" s="25" t="str">
        <f>IF($N1044="","",INDEX('_calc'!$F$2:$F$3001,$N1044))</f>
        <v/>
      </c>
      <c r="I1044" s="27" t="str">
        <f>IF($N1044="","",INDEX('_calc'!$H$2:$H$3001,$N1044))</f>
        <v/>
      </c>
      <c r="J1044" s="27" t="str">
        <f>IF($N1044="","",INDEX('_calc'!$I$2:$I$3001,$N1044))</f>
        <v/>
      </c>
      <c r="K1044" s="28" t="str">
        <f>IF($N1044="","",IF(OR(I1044="",J1044=""),"",J1044-I1044))</f>
        <v/>
      </c>
      <c r="L1044" s="29" t="str">
        <f>IF($N1044="","",INDEX('_calc'!$J$2:$J$3001,$N1044))</f>
        <v/>
      </c>
      <c r="M1044" s="2" t="str">
        <f>IF($N1044="","",IF(AND(G1044=0,H1044=0),"수량 없음",IF(G1044=0,"신규 (전년 수량 없음)",IF(H1044=0,"당해 수량 없음",""))))</f>
        <v/>
      </c>
      <c r="N1044" t="str">
        <f>IF($B1044="","",MATCH($B1044,'_calc'!$L$2:$L$3001,0))</f>
        <v/>
      </c>
    </row>
    <row r="1045">
      <c r="B1045" s="24" t="str">
        <f>IF(ROW()-ROW($B$8)&gt;nComp,"",ROW()-ROW($B$8))</f>
        <v/>
      </c>
      <c r="C1045" t="str">
        <f>IF($N1045="","",INDEX('_calc'!$A$2:$A$3001,$N1045))</f>
        <v/>
      </c>
      <c r="D1045" s="25" t="str">
        <f>IF($N1045="","",INDEX('_calc'!$C$2:$C$3001,$N1045))</f>
        <v/>
      </c>
      <c r="E1045" s="25" t="str">
        <f>IF($N1045="","",INDEX('_calc'!$D$2:$D$3001,$N1045))</f>
        <v/>
      </c>
      <c r="F1045" s="26" t="str">
        <f>IF($N1045="","",IF($E$8=0,"",E1045/$E$8))</f>
        <v/>
      </c>
      <c r="G1045" s="25" t="str">
        <f>IF($N1045="","",INDEX('_calc'!$E$2:$E$3001,$N1045))</f>
        <v/>
      </c>
      <c r="H1045" s="25" t="str">
        <f>IF($N1045="","",INDEX('_calc'!$F$2:$F$3001,$N1045))</f>
        <v/>
      </c>
      <c r="I1045" s="27" t="str">
        <f>IF($N1045="","",INDEX('_calc'!$H$2:$H$3001,$N1045))</f>
        <v/>
      </c>
      <c r="J1045" s="27" t="str">
        <f>IF($N1045="","",INDEX('_calc'!$I$2:$I$3001,$N1045))</f>
        <v/>
      </c>
      <c r="K1045" s="28" t="str">
        <f>IF($N1045="","",IF(OR(I1045="",J1045=""),"",J1045-I1045))</f>
        <v/>
      </c>
      <c r="L1045" s="29" t="str">
        <f>IF($N1045="","",INDEX('_calc'!$J$2:$J$3001,$N1045))</f>
        <v/>
      </c>
      <c r="M1045" s="2" t="str">
        <f>IF($N1045="","",IF(AND(G1045=0,H1045=0),"수량 없음",IF(G1045=0,"신규 (전년 수량 없음)",IF(H1045=0,"당해 수량 없음",""))))</f>
        <v/>
      </c>
      <c r="N1045" t="str">
        <f>IF($B1045="","",MATCH($B1045,'_calc'!$L$2:$L$3001,0))</f>
        <v/>
      </c>
    </row>
    <row r="1046">
      <c r="B1046" s="24" t="str">
        <f>IF(ROW()-ROW($B$8)&gt;nComp,"",ROW()-ROW($B$8))</f>
        <v/>
      </c>
      <c r="C1046" t="str">
        <f>IF($N1046="","",INDEX('_calc'!$A$2:$A$3001,$N1046))</f>
        <v/>
      </c>
      <c r="D1046" s="25" t="str">
        <f>IF($N1046="","",INDEX('_calc'!$C$2:$C$3001,$N1046))</f>
        <v/>
      </c>
      <c r="E1046" s="25" t="str">
        <f>IF($N1046="","",INDEX('_calc'!$D$2:$D$3001,$N1046))</f>
        <v/>
      </c>
      <c r="F1046" s="26" t="str">
        <f>IF($N1046="","",IF($E$8=0,"",E1046/$E$8))</f>
        <v/>
      </c>
      <c r="G1046" s="25" t="str">
        <f>IF($N1046="","",INDEX('_calc'!$E$2:$E$3001,$N1046))</f>
        <v/>
      </c>
      <c r="H1046" s="25" t="str">
        <f>IF($N1046="","",INDEX('_calc'!$F$2:$F$3001,$N1046))</f>
        <v/>
      </c>
      <c r="I1046" s="27" t="str">
        <f>IF($N1046="","",INDEX('_calc'!$H$2:$H$3001,$N1046))</f>
        <v/>
      </c>
      <c r="J1046" s="27" t="str">
        <f>IF($N1046="","",INDEX('_calc'!$I$2:$I$3001,$N1046))</f>
        <v/>
      </c>
      <c r="K1046" s="28" t="str">
        <f>IF($N1046="","",IF(OR(I1046="",J1046=""),"",J1046-I1046))</f>
        <v/>
      </c>
      <c r="L1046" s="29" t="str">
        <f>IF($N1046="","",INDEX('_calc'!$J$2:$J$3001,$N1046))</f>
        <v/>
      </c>
      <c r="M1046" s="2" t="str">
        <f>IF($N1046="","",IF(AND(G1046=0,H1046=0),"수량 없음",IF(G1046=0,"신규 (전년 수량 없음)",IF(H1046=0,"당해 수량 없음",""))))</f>
        <v/>
      </c>
      <c r="N1046" t="str">
        <f>IF($B1046="","",MATCH($B1046,'_calc'!$L$2:$L$3001,0))</f>
        <v/>
      </c>
    </row>
    <row r="1047">
      <c r="B1047" s="24" t="str">
        <f>IF(ROW()-ROW($B$8)&gt;nComp,"",ROW()-ROW($B$8))</f>
        <v/>
      </c>
      <c r="C1047" t="str">
        <f>IF($N1047="","",INDEX('_calc'!$A$2:$A$3001,$N1047))</f>
        <v/>
      </c>
      <c r="D1047" s="25" t="str">
        <f>IF($N1047="","",INDEX('_calc'!$C$2:$C$3001,$N1047))</f>
        <v/>
      </c>
      <c r="E1047" s="25" t="str">
        <f>IF($N1047="","",INDEX('_calc'!$D$2:$D$3001,$N1047))</f>
        <v/>
      </c>
      <c r="F1047" s="26" t="str">
        <f>IF($N1047="","",IF($E$8=0,"",E1047/$E$8))</f>
        <v/>
      </c>
      <c r="G1047" s="25" t="str">
        <f>IF($N1047="","",INDEX('_calc'!$E$2:$E$3001,$N1047))</f>
        <v/>
      </c>
      <c r="H1047" s="25" t="str">
        <f>IF($N1047="","",INDEX('_calc'!$F$2:$F$3001,$N1047))</f>
        <v/>
      </c>
      <c r="I1047" s="27" t="str">
        <f>IF($N1047="","",INDEX('_calc'!$H$2:$H$3001,$N1047))</f>
        <v/>
      </c>
      <c r="J1047" s="27" t="str">
        <f>IF($N1047="","",INDEX('_calc'!$I$2:$I$3001,$N1047))</f>
        <v/>
      </c>
      <c r="K1047" s="28" t="str">
        <f>IF($N1047="","",IF(OR(I1047="",J1047=""),"",J1047-I1047))</f>
        <v/>
      </c>
      <c r="L1047" s="29" t="str">
        <f>IF($N1047="","",INDEX('_calc'!$J$2:$J$3001,$N1047))</f>
        <v/>
      </c>
      <c r="M1047" s="2" t="str">
        <f>IF($N1047="","",IF(AND(G1047=0,H1047=0),"수량 없음",IF(G1047=0,"신규 (전년 수량 없음)",IF(H1047=0,"당해 수량 없음",""))))</f>
        <v/>
      </c>
      <c r="N1047" t="str">
        <f>IF($B1047="","",MATCH($B1047,'_calc'!$L$2:$L$3001,0))</f>
        <v/>
      </c>
    </row>
    <row r="1048">
      <c r="B1048" s="24" t="str">
        <f>IF(ROW()-ROW($B$8)&gt;nComp,"",ROW()-ROW($B$8))</f>
        <v/>
      </c>
      <c r="C1048" t="str">
        <f>IF($N1048="","",INDEX('_calc'!$A$2:$A$3001,$N1048))</f>
        <v/>
      </c>
      <c r="D1048" s="25" t="str">
        <f>IF($N1048="","",INDEX('_calc'!$C$2:$C$3001,$N1048))</f>
        <v/>
      </c>
      <c r="E1048" s="25" t="str">
        <f>IF($N1048="","",INDEX('_calc'!$D$2:$D$3001,$N1048))</f>
        <v/>
      </c>
      <c r="F1048" s="26" t="str">
        <f>IF($N1048="","",IF($E$8=0,"",E1048/$E$8))</f>
        <v/>
      </c>
      <c r="G1048" s="25" t="str">
        <f>IF($N1048="","",INDEX('_calc'!$E$2:$E$3001,$N1048))</f>
        <v/>
      </c>
      <c r="H1048" s="25" t="str">
        <f>IF($N1048="","",INDEX('_calc'!$F$2:$F$3001,$N1048))</f>
        <v/>
      </c>
      <c r="I1048" s="27" t="str">
        <f>IF($N1048="","",INDEX('_calc'!$H$2:$H$3001,$N1048))</f>
        <v/>
      </c>
      <c r="J1048" s="27" t="str">
        <f>IF($N1048="","",INDEX('_calc'!$I$2:$I$3001,$N1048))</f>
        <v/>
      </c>
      <c r="K1048" s="28" t="str">
        <f>IF($N1048="","",IF(OR(I1048="",J1048=""),"",J1048-I1048))</f>
        <v/>
      </c>
      <c r="L1048" s="29" t="str">
        <f>IF($N1048="","",INDEX('_calc'!$J$2:$J$3001,$N1048))</f>
        <v/>
      </c>
      <c r="M1048" s="2" t="str">
        <f>IF($N1048="","",IF(AND(G1048=0,H1048=0),"수량 없음",IF(G1048=0,"신규 (전년 수량 없음)",IF(H1048=0,"당해 수량 없음",""))))</f>
        <v/>
      </c>
      <c r="N1048" t="str">
        <f>IF($B1048="","",MATCH($B1048,'_calc'!$L$2:$L$3001,0))</f>
        <v/>
      </c>
    </row>
    <row r="1049">
      <c r="B1049" s="24" t="str">
        <f>IF(ROW()-ROW($B$8)&gt;nComp,"",ROW()-ROW($B$8))</f>
        <v/>
      </c>
      <c r="C1049" t="str">
        <f>IF($N1049="","",INDEX('_calc'!$A$2:$A$3001,$N1049))</f>
        <v/>
      </c>
      <c r="D1049" s="25" t="str">
        <f>IF($N1049="","",INDEX('_calc'!$C$2:$C$3001,$N1049))</f>
        <v/>
      </c>
      <c r="E1049" s="25" t="str">
        <f>IF($N1049="","",INDEX('_calc'!$D$2:$D$3001,$N1049))</f>
        <v/>
      </c>
      <c r="F1049" s="26" t="str">
        <f>IF($N1049="","",IF($E$8=0,"",E1049/$E$8))</f>
        <v/>
      </c>
      <c r="G1049" s="25" t="str">
        <f>IF($N1049="","",INDEX('_calc'!$E$2:$E$3001,$N1049))</f>
        <v/>
      </c>
      <c r="H1049" s="25" t="str">
        <f>IF($N1049="","",INDEX('_calc'!$F$2:$F$3001,$N1049))</f>
        <v/>
      </c>
      <c r="I1049" s="27" t="str">
        <f>IF($N1049="","",INDEX('_calc'!$H$2:$H$3001,$N1049))</f>
        <v/>
      </c>
      <c r="J1049" s="27" t="str">
        <f>IF($N1049="","",INDEX('_calc'!$I$2:$I$3001,$N1049))</f>
        <v/>
      </c>
      <c r="K1049" s="28" t="str">
        <f>IF($N1049="","",IF(OR(I1049="",J1049=""),"",J1049-I1049))</f>
        <v/>
      </c>
      <c r="L1049" s="29" t="str">
        <f>IF($N1049="","",INDEX('_calc'!$J$2:$J$3001,$N1049))</f>
        <v/>
      </c>
      <c r="M1049" s="2" t="str">
        <f>IF($N1049="","",IF(AND(G1049=0,H1049=0),"수량 없음",IF(G1049=0,"신규 (전년 수량 없음)",IF(H1049=0,"당해 수량 없음",""))))</f>
        <v/>
      </c>
      <c r="N1049" t="str">
        <f>IF($B1049="","",MATCH($B1049,'_calc'!$L$2:$L$3001,0))</f>
        <v/>
      </c>
    </row>
    <row r="1050">
      <c r="B1050" s="24" t="str">
        <f>IF(ROW()-ROW($B$8)&gt;nComp,"",ROW()-ROW($B$8))</f>
        <v/>
      </c>
      <c r="C1050" t="str">
        <f>IF($N1050="","",INDEX('_calc'!$A$2:$A$3001,$N1050))</f>
        <v/>
      </c>
      <c r="D1050" s="25" t="str">
        <f>IF($N1050="","",INDEX('_calc'!$C$2:$C$3001,$N1050))</f>
        <v/>
      </c>
      <c r="E1050" s="25" t="str">
        <f>IF($N1050="","",INDEX('_calc'!$D$2:$D$3001,$N1050))</f>
        <v/>
      </c>
      <c r="F1050" s="26" t="str">
        <f>IF($N1050="","",IF($E$8=0,"",E1050/$E$8))</f>
        <v/>
      </c>
      <c r="G1050" s="25" t="str">
        <f>IF($N1050="","",INDEX('_calc'!$E$2:$E$3001,$N1050))</f>
        <v/>
      </c>
      <c r="H1050" s="25" t="str">
        <f>IF($N1050="","",INDEX('_calc'!$F$2:$F$3001,$N1050))</f>
        <v/>
      </c>
      <c r="I1050" s="27" t="str">
        <f>IF($N1050="","",INDEX('_calc'!$H$2:$H$3001,$N1050))</f>
        <v/>
      </c>
      <c r="J1050" s="27" t="str">
        <f>IF($N1050="","",INDEX('_calc'!$I$2:$I$3001,$N1050))</f>
        <v/>
      </c>
      <c r="K1050" s="28" t="str">
        <f>IF($N1050="","",IF(OR(I1050="",J1050=""),"",J1050-I1050))</f>
        <v/>
      </c>
      <c r="L1050" s="29" t="str">
        <f>IF($N1050="","",INDEX('_calc'!$J$2:$J$3001,$N1050))</f>
        <v/>
      </c>
      <c r="M1050" s="2" t="str">
        <f>IF($N1050="","",IF(AND(G1050=0,H1050=0),"수량 없음",IF(G1050=0,"신규 (전년 수량 없음)",IF(H1050=0,"당해 수량 없음",""))))</f>
        <v/>
      </c>
      <c r="N1050" t="str">
        <f>IF($B1050="","",MATCH($B1050,'_calc'!$L$2:$L$3001,0))</f>
        <v/>
      </c>
    </row>
    <row r="1051">
      <c r="B1051" s="24" t="str">
        <f>IF(ROW()-ROW($B$8)&gt;nComp,"",ROW()-ROW($B$8))</f>
        <v/>
      </c>
      <c r="C1051" t="str">
        <f>IF($N1051="","",INDEX('_calc'!$A$2:$A$3001,$N1051))</f>
        <v/>
      </c>
      <c r="D1051" s="25" t="str">
        <f>IF($N1051="","",INDEX('_calc'!$C$2:$C$3001,$N1051))</f>
        <v/>
      </c>
      <c r="E1051" s="25" t="str">
        <f>IF($N1051="","",INDEX('_calc'!$D$2:$D$3001,$N1051))</f>
        <v/>
      </c>
      <c r="F1051" s="26" t="str">
        <f>IF($N1051="","",IF($E$8=0,"",E1051/$E$8))</f>
        <v/>
      </c>
      <c r="G1051" s="25" t="str">
        <f>IF($N1051="","",INDEX('_calc'!$E$2:$E$3001,$N1051))</f>
        <v/>
      </c>
      <c r="H1051" s="25" t="str">
        <f>IF($N1051="","",INDEX('_calc'!$F$2:$F$3001,$N1051))</f>
        <v/>
      </c>
      <c r="I1051" s="27" t="str">
        <f>IF($N1051="","",INDEX('_calc'!$H$2:$H$3001,$N1051))</f>
        <v/>
      </c>
      <c r="J1051" s="27" t="str">
        <f>IF($N1051="","",INDEX('_calc'!$I$2:$I$3001,$N1051))</f>
        <v/>
      </c>
      <c r="K1051" s="28" t="str">
        <f>IF($N1051="","",IF(OR(I1051="",J1051=""),"",J1051-I1051))</f>
        <v/>
      </c>
      <c r="L1051" s="29" t="str">
        <f>IF($N1051="","",INDEX('_calc'!$J$2:$J$3001,$N1051))</f>
        <v/>
      </c>
      <c r="M1051" s="2" t="str">
        <f>IF($N1051="","",IF(AND(G1051=0,H1051=0),"수량 없음",IF(G1051=0,"신규 (전년 수량 없음)",IF(H1051=0,"당해 수량 없음",""))))</f>
        <v/>
      </c>
      <c r="N1051" t="str">
        <f>IF($B1051="","",MATCH($B1051,'_calc'!$L$2:$L$3001,0))</f>
        <v/>
      </c>
    </row>
    <row r="1052">
      <c r="B1052" s="24" t="str">
        <f>IF(ROW()-ROW($B$8)&gt;nComp,"",ROW()-ROW($B$8))</f>
        <v/>
      </c>
      <c r="C1052" t="str">
        <f>IF($N1052="","",INDEX('_calc'!$A$2:$A$3001,$N1052))</f>
        <v/>
      </c>
      <c r="D1052" s="25" t="str">
        <f>IF($N1052="","",INDEX('_calc'!$C$2:$C$3001,$N1052))</f>
        <v/>
      </c>
      <c r="E1052" s="25" t="str">
        <f>IF($N1052="","",INDEX('_calc'!$D$2:$D$3001,$N1052))</f>
        <v/>
      </c>
      <c r="F1052" s="26" t="str">
        <f>IF($N1052="","",IF($E$8=0,"",E1052/$E$8))</f>
        <v/>
      </c>
      <c r="G1052" s="25" t="str">
        <f>IF($N1052="","",INDEX('_calc'!$E$2:$E$3001,$N1052))</f>
        <v/>
      </c>
      <c r="H1052" s="25" t="str">
        <f>IF($N1052="","",INDEX('_calc'!$F$2:$F$3001,$N1052))</f>
        <v/>
      </c>
      <c r="I1052" s="27" t="str">
        <f>IF($N1052="","",INDEX('_calc'!$H$2:$H$3001,$N1052))</f>
        <v/>
      </c>
      <c r="J1052" s="27" t="str">
        <f>IF($N1052="","",INDEX('_calc'!$I$2:$I$3001,$N1052))</f>
        <v/>
      </c>
      <c r="K1052" s="28" t="str">
        <f>IF($N1052="","",IF(OR(I1052="",J1052=""),"",J1052-I1052))</f>
        <v/>
      </c>
      <c r="L1052" s="29" t="str">
        <f>IF($N1052="","",INDEX('_calc'!$J$2:$J$3001,$N1052))</f>
        <v/>
      </c>
      <c r="M1052" s="2" t="str">
        <f>IF($N1052="","",IF(AND(G1052=0,H1052=0),"수량 없음",IF(G1052=0,"신규 (전년 수량 없음)",IF(H1052=0,"당해 수량 없음",""))))</f>
        <v/>
      </c>
      <c r="N1052" t="str">
        <f>IF($B1052="","",MATCH($B1052,'_calc'!$L$2:$L$3001,0))</f>
        <v/>
      </c>
    </row>
    <row r="1053">
      <c r="B1053" s="24" t="str">
        <f>IF(ROW()-ROW($B$8)&gt;nComp,"",ROW()-ROW($B$8))</f>
        <v/>
      </c>
      <c r="C1053" t="str">
        <f>IF($N1053="","",INDEX('_calc'!$A$2:$A$3001,$N1053))</f>
        <v/>
      </c>
      <c r="D1053" s="25" t="str">
        <f>IF($N1053="","",INDEX('_calc'!$C$2:$C$3001,$N1053))</f>
        <v/>
      </c>
      <c r="E1053" s="25" t="str">
        <f>IF($N1053="","",INDEX('_calc'!$D$2:$D$3001,$N1053))</f>
        <v/>
      </c>
      <c r="F1053" s="26" t="str">
        <f>IF($N1053="","",IF($E$8=0,"",E1053/$E$8))</f>
        <v/>
      </c>
      <c r="G1053" s="25" t="str">
        <f>IF($N1053="","",INDEX('_calc'!$E$2:$E$3001,$N1053))</f>
        <v/>
      </c>
      <c r="H1053" s="25" t="str">
        <f>IF($N1053="","",INDEX('_calc'!$F$2:$F$3001,$N1053))</f>
        <v/>
      </c>
      <c r="I1053" s="27" t="str">
        <f>IF($N1053="","",INDEX('_calc'!$H$2:$H$3001,$N1053))</f>
        <v/>
      </c>
      <c r="J1053" s="27" t="str">
        <f>IF($N1053="","",INDEX('_calc'!$I$2:$I$3001,$N1053))</f>
        <v/>
      </c>
      <c r="K1053" s="28" t="str">
        <f>IF($N1053="","",IF(OR(I1053="",J1053=""),"",J1053-I1053))</f>
        <v/>
      </c>
      <c r="L1053" s="29" t="str">
        <f>IF($N1053="","",INDEX('_calc'!$J$2:$J$3001,$N1053))</f>
        <v/>
      </c>
      <c r="M1053" s="2" t="str">
        <f>IF($N1053="","",IF(AND(G1053=0,H1053=0),"수량 없음",IF(G1053=0,"신규 (전년 수량 없음)",IF(H1053=0,"당해 수량 없음",""))))</f>
        <v/>
      </c>
      <c r="N1053" t="str">
        <f>IF($B1053="","",MATCH($B1053,'_calc'!$L$2:$L$3001,0))</f>
        <v/>
      </c>
    </row>
    <row r="1054">
      <c r="B1054" s="24" t="str">
        <f>IF(ROW()-ROW($B$8)&gt;nComp,"",ROW()-ROW($B$8))</f>
        <v/>
      </c>
      <c r="C1054" t="str">
        <f>IF($N1054="","",INDEX('_calc'!$A$2:$A$3001,$N1054))</f>
        <v/>
      </c>
      <c r="D1054" s="25" t="str">
        <f>IF($N1054="","",INDEX('_calc'!$C$2:$C$3001,$N1054))</f>
        <v/>
      </c>
      <c r="E1054" s="25" t="str">
        <f>IF($N1054="","",INDEX('_calc'!$D$2:$D$3001,$N1054))</f>
        <v/>
      </c>
      <c r="F1054" s="26" t="str">
        <f>IF($N1054="","",IF($E$8=0,"",E1054/$E$8))</f>
        <v/>
      </c>
      <c r="G1054" s="25" t="str">
        <f>IF($N1054="","",INDEX('_calc'!$E$2:$E$3001,$N1054))</f>
        <v/>
      </c>
      <c r="H1054" s="25" t="str">
        <f>IF($N1054="","",INDEX('_calc'!$F$2:$F$3001,$N1054))</f>
        <v/>
      </c>
      <c r="I1054" s="27" t="str">
        <f>IF($N1054="","",INDEX('_calc'!$H$2:$H$3001,$N1054))</f>
        <v/>
      </c>
      <c r="J1054" s="27" t="str">
        <f>IF($N1054="","",INDEX('_calc'!$I$2:$I$3001,$N1054))</f>
        <v/>
      </c>
      <c r="K1054" s="28" t="str">
        <f>IF($N1054="","",IF(OR(I1054="",J1054=""),"",J1054-I1054))</f>
        <v/>
      </c>
      <c r="L1054" s="29" t="str">
        <f>IF($N1054="","",INDEX('_calc'!$J$2:$J$3001,$N1054))</f>
        <v/>
      </c>
      <c r="M1054" s="2" t="str">
        <f>IF($N1054="","",IF(AND(G1054=0,H1054=0),"수량 없음",IF(G1054=0,"신규 (전년 수량 없음)",IF(H1054=0,"당해 수량 없음",""))))</f>
        <v/>
      </c>
      <c r="N1054" t="str">
        <f>IF($B1054="","",MATCH($B1054,'_calc'!$L$2:$L$3001,0))</f>
        <v/>
      </c>
    </row>
    <row r="1055">
      <c r="B1055" s="24" t="str">
        <f>IF(ROW()-ROW($B$8)&gt;nComp,"",ROW()-ROW($B$8))</f>
        <v/>
      </c>
      <c r="C1055" t="str">
        <f>IF($N1055="","",INDEX('_calc'!$A$2:$A$3001,$N1055))</f>
        <v/>
      </c>
      <c r="D1055" s="25" t="str">
        <f>IF($N1055="","",INDEX('_calc'!$C$2:$C$3001,$N1055))</f>
        <v/>
      </c>
      <c r="E1055" s="25" t="str">
        <f>IF($N1055="","",INDEX('_calc'!$D$2:$D$3001,$N1055))</f>
        <v/>
      </c>
      <c r="F1055" s="26" t="str">
        <f>IF($N1055="","",IF($E$8=0,"",E1055/$E$8))</f>
        <v/>
      </c>
      <c r="G1055" s="25" t="str">
        <f>IF($N1055="","",INDEX('_calc'!$E$2:$E$3001,$N1055))</f>
        <v/>
      </c>
      <c r="H1055" s="25" t="str">
        <f>IF($N1055="","",INDEX('_calc'!$F$2:$F$3001,$N1055))</f>
        <v/>
      </c>
      <c r="I1055" s="27" t="str">
        <f>IF($N1055="","",INDEX('_calc'!$H$2:$H$3001,$N1055))</f>
        <v/>
      </c>
      <c r="J1055" s="27" t="str">
        <f>IF($N1055="","",INDEX('_calc'!$I$2:$I$3001,$N1055))</f>
        <v/>
      </c>
      <c r="K1055" s="28" t="str">
        <f>IF($N1055="","",IF(OR(I1055="",J1055=""),"",J1055-I1055))</f>
        <v/>
      </c>
      <c r="L1055" s="29" t="str">
        <f>IF($N1055="","",INDEX('_calc'!$J$2:$J$3001,$N1055))</f>
        <v/>
      </c>
      <c r="M1055" s="2" t="str">
        <f>IF($N1055="","",IF(AND(G1055=0,H1055=0),"수량 없음",IF(G1055=0,"신규 (전년 수량 없음)",IF(H1055=0,"당해 수량 없음",""))))</f>
        <v/>
      </c>
      <c r="N1055" t="str">
        <f>IF($B1055="","",MATCH($B1055,'_calc'!$L$2:$L$3001,0))</f>
        <v/>
      </c>
    </row>
    <row r="1056">
      <c r="B1056" s="24" t="str">
        <f>IF(ROW()-ROW($B$8)&gt;nComp,"",ROW()-ROW($B$8))</f>
        <v/>
      </c>
      <c r="C1056" t="str">
        <f>IF($N1056="","",INDEX('_calc'!$A$2:$A$3001,$N1056))</f>
        <v/>
      </c>
      <c r="D1056" s="25" t="str">
        <f>IF($N1056="","",INDEX('_calc'!$C$2:$C$3001,$N1056))</f>
        <v/>
      </c>
      <c r="E1056" s="25" t="str">
        <f>IF($N1056="","",INDEX('_calc'!$D$2:$D$3001,$N1056))</f>
        <v/>
      </c>
      <c r="F1056" s="26" t="str">
        <f>IF($N1056="","",IF($E$8=0,"",E1056/$E$8))</f>
        <v/>
      </c>
      <c r="G1056" s="25" t="str">
        <f>IF($N1056="","",INDEX('_calc'!$E$2:$E$3001,$N1056))</f>
        <v/>
      </c>
      <c r="H1056" s="25" t="str">
        <f>IF($N1056="","",INDEX('_calc'!$F$2:$F$3001,$N1056))</f>
        <v/>
      </c>
      <c r="I1056" s="27" t="str">
        <f>IF($N1056="","",INDEX('_calc'!$H$2:$H$3001,$N1056))</f>
        <v/>
      </c>
      <c r="J1056" s="27" t="str">
        <f>IF($N1056="","",INDEX('_calc'!$I$2:$I$3001,$N1056))</f>
        <v/>
      </c>
      <c r="K1056" s="28" t="str">
        <f>IF($N1056="","",IF(OR(I1056="",J1056=""),"",J1056-I1056))</f>
        <v/>
      </c>
      <c r="L1056" s="29" t="str">
        <f>IF($N1056="","",INDEX('_calc'!$J$2:$J$3001,$N1056))</f>
        <v/>
      </c>
      <c r="M1056" s="2" t="str">
        <f>IF($N1056="","",IF(AND(G1056=0,H1056=0),"수량 없음",IF(G1056=0,"신규 (전년 수량 없음)",IF(H1056=0,"당해 수량 없음",""))))</f>
        <v/>
      </c>
      <c r="N1056" t="str">
        <f>IF($B1056="","",MATCH($B1056,'_calc'!$L$2:$L$3001,0))</f>
        <v/>
      </c>
    </row>
    <row r="1057">
      <c r="B1057" s="24" t="str">
        <f>IF(ROW()-ROW($B$8)&gt;nComp,"",ROW()-ROW($B$8))</f>
        <v/>
      </c>
      <c r="C1057" t="str">
        <f>IF($N1057="","",INDEX('_calc'!$A$2:$A$3001,$N1057))</f>
        <v/>
      </c>
      <c r="D1057" s="25" t="str">
        <f>IF($N1057="","",INDEX('_calc'!$C$2:$C$3001,$N1057))</f>
        <v/>
      </c>
      <c r="E1057" s="25" t="str">
        <f>IF($N1057="","",INDEX('_calc'!$D$2:$D$3001,$N1057))</f>
        <v/>
      </c>
      <c r="F1057" s="26" t="str">
        <f>IF($N1057="","",IF($E$8=0,"",E1057/$E$8))</f>
        <v/>
      </c>
      <c r="G1057" s="25" t="str">
        <f>IF($N1057="","",INDEX('_calc'!$E$2:$E$3001,$N1057))</f>
        <v/>
      </c>
      <c r="H1057" s="25" t="str">
        <f>IF($N1057="","",INDEX('_calc'!$F$2:$F$3001,$N1057))</f>
        <v/>
      </c>
      <c r="I1057" s="27" t="str">
        <f>IF($N1057="","",INDEX('_calc'!$H$2:$H$3001,$N1057))</f>
        <v/>
      </c>
      <c r="J1057" s="27" t="str">
        <f>IF($N1057="","",INDEX('_calc'!$I$2:$I$3001,$N1057))</f>
        <v/>
      </c>
      <c r="K1057" s="28" t="str">
        <f>IF($N1057="","",IF(OR(I1057="",J1057=""),"",J1057-I1057))</f>
        <v/>
      </c>
      <c r="L1057" s="29" t="str">
        <f>IF($N1057="","",INDEX('_calc'!$J$2:$J$3001,$N1057))</f>
        <v/>
      </c>
      <c r="M1057" s="2" t="str">
        <f>IF($N1057="","",IF(AND(G1057=0,H1057=0),"수량 없음",IF(G1057=0,"신규 (전년 수량 없음)",IF(H1057=0,"당해 수량 없음",""))))</f>
        <v/>
      </c>
      <c r="N1057" t="str">
        <f>IF($B1057="","",MATCH($B1057,'_calc'!$L$2:$L$3001,0))</f>
        <v/>
      </c>
    </row>
    <row r="1058">
      <c r="B1058" s="24" t="str">
        <f>IF(ROW()-ROW($B$8)&gt;nComp,"",ROW()-ROW($B$8))</f>
        <v/>
      </c>
      <c r="C1058" t="str">
        <f>IF($N1058="","",INDEX('_calc'!$A$2:$A$3001,$N1058))</f>
        <v/>
      </c>
      <c r="D1058" s="25" t="str">
        <f>IF($N1058="","",INDEX('_calc'!$C$2:$C$3001,$N1058))</f>
        <v/>
      </c>
      <c r="E1058" s="25" t="str">
        <f>IF($N1058="","",INDEX('_calc'!$D$2:$D$3001,$N1058))</f>
        <v/>
      </c>
      <c r="F1058" s="26" t="str">
        <f>IF($N1058="","",IF($E$8=0,"",E1058/$E$8))</f>
        <v/>
      </c>
      <c r="G1058" s="25" t="str">
        <f>IF($N1058="","",INDEX('_calc'!$E$2:$E$3001,$N1058))</f>
        <v/>
      </c>
      <c r="H1058" s="25" t="str">
        <f>IF($N1058="","",INDEX('_calc'!$F$2:$F$3001,$N1058))</f>
        <v/>
      </c>
      <c r="I1058" s="27" t="str">
        <f>IF($N1058="","",INDEX('_calc'!$H$2:$H$3001,$N1058))</f>
        <v/>
      </c>
      <c r="J1058" s="27" t="str">
        <f>IF($N1058="","",INDEX('_calc'!$I$2:$I$3001,$N1058))</f>
        <v/>
      </c>
      <c r="K1058" s="28" t="str">
        <f>IF($N1058="","",IF(OR(I1058="",J1058=""),"",J1058-I1058))</f>
        <v/>
      </c>
      <c r="L1058" s="29" t="str">
        <f>IF($N1058="","",INDEX('_calc'!$J$2:$J$3001,$N1058))</f>
        <v/>
      </c>
      <c r="M1058" s="2" t="str">
        <f>IF($N1058="","",IF(AND(G1058=0,H1058=0),"수량 없음",IF(G1058=0,"신규 (전년 수량 없음)",IF(H1058=0,"당해 수량 없음",""))))</f>
        <v/>
      </c>
      <c r="N1058" t="str">
        <f>IF($B1058="","",MATCH($B1058,'_calc'!$L$2:$L$3001,0))</f>
        <v/>
      </c>
    </row>
    <row r="1059">
      <c r="B1059" s="24" t="str">
        <f>IF(ROW()-ROW($B$8)&gt;nComp,"",ROW()-ROW($B$8))</f>
        <v/>
      </c>
      <c r="C1059" t="str">
        <f>IF($N1059="","",INDEX('_calc'!$A$2:$A$3001,$N1059))</f>
        <v/>
      </c>
      <c r="D1059" s="25" t="str">
        <f>IF($N1059="","",INDEX('_calc'!$C$2:$C$3001,$N1059))</f>
        <v/>
      </c>
      <c r="E1059" s="25" t="str">
        <f>IF($N1059="","",INDEX('_calc'!$D$2:$D$3001,$N1059))</f>
        <v/>
      </c>
      <c r="F1059" s="26" t="str">
        <f>IF($N1059="","",IF($E$8=0,"",E1059/$E$8))</f>
        <v/>
      </c>
      <c r="G1059" s="25" t="str">
        <f>IF($N1059="","",INDEX('_calc'!$E$2:$E$3001,$N1059))</f>
        <v/>
      </c>
      <c r="H1059" s="25" t="str">
        <f>IF($N1059="","",INDEX('_calc'!$F$2:$F$3001,$N1059))</f>
        <v/>
      </c>
      <c r="I1059" s="27" t="str">
        <f>IF($N1059="","",INDEX('_calc'!$H$2:$H$3001,$N1059))</f>
        <v/>
      </c>
      <c r="J1059" s="27" t="str">
        <f>IF($N1059="","",INDEX('_calc'!$I$2:$I$3001,$N1059))</f>
        <v/>
      </c>
      <c r="K1059" s="28" t="str">
        <f>IF($N1059="","",IF(OR(I1059="",J1059=""),"",J1059-I1059))</f>
        <v/>
      </c>
      <c r="L1059" s="29" t="str">
        <f>IF($N1059="","",INDEX('_calc'!$J$2:$J$3001,$N1059))</f>
        <v/>
      </c>
      <c r="M1059" s="2" t="str">
        <f>IF($N1059="","",IF(AND(G1059=0,H1059=0),"수량 없음",IF(G1059=0,"신규 (전년 수량 없음)",IF(H1059=0,"당해 수량 없음",""))))</f>
        <v/>
      </c>
      <c r="N1059" t="str">
        <f>IF($B1059="","",MATCH($B1059,'_calc'!$L$2:$L$3001,0))</f>
        <v/>
      </c>
    </row>
    <row r="1060">
      <c r="B1060" s="24" t="str">
        <f>IF(ROW()-ROW($B$8)&gt;nComp,"",ROW()-ROW($B$8))</f>
        <v/>
      </c>
      <c r="C1060" t="str">
        <f>IF($N1060="","",INDEX('_calc'!$A$2:$A$3001,$N1060))</f>
        <v/>
      </c>
      <c r="D1060" s="25" t="str">
        <f>IF($N1060="","",INDEX('_calc'!$C$2:$C$3001,$N1060))</f>
        <v/>
      </c>
      <c r="E1060" s="25" t="str">
        <f>IF($N1060="","",INDEX('_calc'!$D$2:$D$3001,$N1060))</f>
        <v/>
      </c>
      <c r="F1060" s="26" t="str">
        <f>IF($N1060="","",IF($E$8=0,"",E1060/$E$8))</f>
        <v/>
      </c>
      <c r="G1060" s="25" t="str">
        <f>IF($N1060="","",INDEX('_calc'!$E$2:$E$3001,$N1060))</f>
        <v/>
      </c>
      <c r="H1060" s="25" t="str">
        <f>IF($N1060="","",INDEX('_calc'!$F$2:$F$3001,$N1060))</f>
        <v/>
      </c>
      <c r="I1060" s="27" t="str">
        <f>IF($N1060="","",INDEX('_calc'!$H$2:$H$3001,$N1060))</f>
        <v/>
      </c>
      <c r="J1060" s="27" t="str">
        <f>IF($N1060="","",INDEX('_calc'!$I$2:$I$3001,$N1060))</f>
        <v/>
      </c>
      <c r="K1060" s="28" t="str">
        <f>IF($N1060="","",IF(OR(I1060="",J1060=""),"",J1060-I1060))</f>
        <v/>
      </c>
      <c r="L1060" s="29" t="str">
        <f>IF($N1060="","",INDEX('_calc'!$J$2:$J$3001,$N1060))</f>
        <v/>
      </c>
      <c r="M1060" s="2" t="str">
        <f>IF($N1060="","",IF(AND(G1060=0,H1060=0),"수량 없음",IF(G1060=0,"신규 (전년 수량 없음)",IF(H1060=0,"당해 수량 없음",""))))</f>
        <v/>
      </c>
      <c r="N1060" t="str">
        <f>IF($B1060="","",MATCH($B1060,'_calc'!$L$2:$L$3001,0))</f>
        <v/>
      </c>
    </row>
    <row r="1061">
      <c r="B1061" s="24" t="str">
        <f>IF(ROW()-ROW($B$8)&gt;nComp,"",ROW()-ROW($B$8))</f>
        <v/>
      </c>
      <c r="C1061" t="str">
        <f>IF($N1061="","",INDEX('_calc'!$A$2:$A$3001,$N1061))</f>
        <v/>
      </c>
      <c r="D1061" s="25" t="str">
        <f>IF($N1061="","",INDEX('_calc'!$C$2:$C$3001,$N1061))</f>
        <v/>
      </c>
      <c r="E1061" s="25" t="str">
        <f>IF($N1061="","",INDEX('_calc'!$D$2:$D$3001,$N1061))</f>
        <v/>
      </c>
      <c r="F1061" s="26" t="str">
        <f>IF($N1061="","",IF($E$8=0,"",E1061/$E$8))</f>
        <v/>
      </c>
      <c r="G1061" s="25" t="str">
        <f>IF($N1061="","",INDEX('_calc'!$E$2:$E$3001,$N1061))</f>
        <v/>
      </c>
      <c r="H1061" s="25" t="str">
        <f>IF($N1061="","",INDEX('_calc'!$F$2:$F$3001,$N1061))</f>
        <v/>
      </c>
      <c r="I1061" s="27" t="str">
        <f>IF($N1061="","",INDEX('_calc'!$H$2:$H$3001,$N1061))</f>
        <v/>
      </c>
      <c r="J1061" s="27" t="str">
        <f>IF($N1061="","",INDEX('_calc'!$I$2:$I$3001,$N1061))</f>
        <v/>
      </c>
      <c r="K1061" s="28" t="str">
        <f>IF($N1061="","",IF(OR(I1061="",J1061=""),"",J1061-I1061))</f>
        <v/>
      </c>
      <c r="L1061" s="29" t="str">
        <f>IF($N1061="","",INDEX('_calc'!$J$2:$J$3001,$N1061))</f>
        <v/>
      </c>
      <c r="M1061" s="2" t="str">
        <f>IF($N1061="","",IF(AND(G1061=0,H1061=0),"수량 없음",IF(G1061=0,"신규 (전년 수량 없음)",IF(H1061=0,"당해 수량 없음",""))))</f>
        <v/>
      </c>
      <c r="N1061" t="str">
        <f>IF($B1061="","",MATCH($B1061,'_calc'!$L$2:$L$3001,0))</f>
        <v/>
      </c>
    </row>
    <row r="1062">
      <c r="B1062" s="24" t="str">
        <f>IF(ROW()-ROW($B$8)&gt;nComp,"",ROW()-ROW($B$8))</f>
        <v/>
      </c>
      <c r="C1062" t="str">
        <f>IF($N1062="","",INDEX('_calc'!$A$2:$A$3001,$N1062))</f>
        <v/>
      </c>
      <c r="D1062" s="25" t="str">
        <f>IF($N1062="","",INDEX('_calc'!$C$2:$C$3001,$N1062))</f>
        <v/>
      </c>
      <c r="E1062" s="25" t="str">
        <f>IF($N1062="","",INDEX('_calc'!$D$2:$D$3001,$N1062))</f>
        <v/>
      </c>
      <c r="F1062" s="26" t="str">
        <f>IF($N1062="","",IF($E$8=0,"",E1062/$E$8))</f>
        <v/>
      </c>
      <c r="G1062" s="25" t="str">
        <f>IF($N1062="","",INDEX('_calc'!$E$2:$E$3001,$N1062))</f>
        <v/>
      </c>
      <c r="H1062" s="25" t="str">
        <f>IF($N1062="","",INDEX('_calc'!$F$2:$F$3001,$N1062))</f>
        <v/>
      </c>
      <c r="I1062" s="27" t="str">
        <f>IF($N1062="","",INDEX('_calc'!$H$2:$H$3001,$N1062))</f>
        <v/>
      </c>
      <c r="J1062" s="27" t="str">
        <f>IF($N1062="","",INDEX('_calc'!$I$2:$I$3001,$N1062))</f>
        <v/>
      </c>
      <c r="K1062" s="28" t="str">
        <f>IF($N1062="","",IF(OR(I1062="",J1062=""),"",J1062-I1062))</f>
        <v/>
      </c>
      <c r="L1062" s="29" t="str">
        <f>IF($N1062="","",INDEX('_calc'!$J$2:$J$3001,$N1062))</f>
        <v/>
      </c>
      <c r="M1062" s="2" t="str">
        <f>IF($N1062="","",IF(AND(G1062=0,H1062=0),"수량 없음",IF(G1062=0,"신규 (전년 수량 없음)",IF(H1062=0,"당해 수량 없음",""))))</f>
        <v/>
      </c>
      <c r="N1062" t="str">
        <f>IF($B1062="","",MATCH($B1062,'_calc'!$L$2:$L$3001,0))</f>
        <v/>
      </c>
    </row>
    <row r="1063">
      <c r="B1063" s="24" t="str">
        <f>IF(ROW()-ROW($B$8)&gt;nComp,"",ROW()-ROW($B$8))</f>
        <v/>
      </c>
      <c r="C1063" t="str">
        <f>IF($N1063="","",INDEX('_calc'!$A$2:$A$3001,$N1063))</f>
        <v/>
      </c>
      <c r="D1063" s="25" t="str">
        <f>IF($N1063="","",INDEX('_calc'!$C$2:$C$3001,$N1063))</f>
        <v/>
      </c>
      <c r="E1063" s="25" t="str">
        <f>IF($N1063="","",INDEX('_calc'!$D$2:$D$3001,$N1063))</f>
        <v/>
      </c>
      <c r="F1063" s="26" t="str">
        <f>IF($N1063="","",IF($E$8=0,"",E1063/$E$8))</f>
        <v/>
      </c>
      <c r="G1063" s="25" t="str">
        <f>IF($N1063="","",INDEX('_calc'!$E$2:$E$3001,$N1063))</f>
        <v/>
      </c>
      <c r="H1063" s="25" t="str">
        <f>IF($N1063="","",INDEX('_calc'!$F$2:$F$3001,$N1063))</f>
        <v/>
      </c>
      <c r="I1063" s="27" t="str">
        <f>IF($N1063="","",INDEX('_calc'!$H$2:$H$3001,$N1063))</f>
        <v/>
      </c>
      <c r="J1063" s="27" t="str">
        <f>IF($N1063="","",INDEX('_calc'!$I$2:$I$3001,$N1063))</f>
        <v/>
      </c>
      <c r="K1063" s="28" t="str">
        <f>IF($N1063="","",IF(OR(I1063="",J1063=""),"",J1063-I1063))</f>
        <v/>
      </c>
      <c r="L1063" s="29" t="str">
        <f>IF($N1063="","",INDEX('_calc'!$J$2:$J$3001,$N1063))</f>
        <v/>
      </c>
      <c r="M1063" s="2" t="str">
        <f>IF($N1063="","",IF(AND(G1063=0,H1063=0),"수량 없음",IF(G1063=0,"신규 (전년 수량 없음)",IF(H1063=0,"당해 수량 없음",""))))</f>
        <v/>
      </c>
      <c r="N1063" t="str">
        <f>IF($B1063="","",MATCH($B1063,'_calc'!$L$2:$L$3001,0))</f>
        <v/>
      </c>
    </row>
    <row r="1064">
      <c r="B1064" s="24" t="str">
        <f>IF(ROW()-ROW($B$8)&gt;nComp,"",ROW()-ROW($B$8))</f>
        <v/>
      </c>
      <c r="C1064" t="str">
        <f>IF($N1064="","",INDEX('_calc'!$A$2:$A$3001,$N1064))</f>
        <v/>
      </c>
      <c r="D1064" s="25" t="str">
        <f>IF($N1064="","",INDEX('_calc'!$C$2:$C$3001,$N1064))</f>
        <v/>
      </c>
      <c r="E1064" s="25" t="str">
        <f>IF($N1064="","",INDEX('_calc'!$D$2:$D$3001,$N1064))</f>
        <v/>
      </c>
      <c r="F1064" s="26" t="str">
        <f>IF($N1064="","",IF($E$8=0,"",E1064/$E$8))</f>
        <v/>
      </c>
      <c r="G1064" s="25" t="str">
        <f>IF($N1064="","",INDEX('_calc'!$E$2:$E$3001,$N1064))</f>
        <v/>
      </c>
      <c r="H1064" s="25" t="str">
        <f>IF($N1064="","",INDEX('_calc'!$F$2:$F$3001,$N1064))</f>
        <v/>
      </c>
      <c r="I1064" s="27" t="str">
        <f>IF($N1064="","",INDEX('_calc'!$H$2:$H$3001,$N1064))</f>
        <v/>
      </c>
      <c r="J1064" s="27" t="str">
        <f>IF($N1064="","",INDEX('_calc'!$I$2:$I$3001,$N1064))</f>
        <v/>
      </c>
      <c r="K1064" s="28" t="str">
        <f>IF($N1064="","",IF(OR(I1064="",J1064=""),"",J1064-I1064))</f>
        <v/>
      </c>
      <c r="L1064" s="29" t="str">
        <f>IF($N1064="","",INDEX('_calc'!$J$2:$J$3001,$N1064))</f>
        <v/>
      </c>
      <c r="M1064" s="2" t="str">
        <f>IF($N1064="","",IF(AND(G1064=0,H1064=0),"수량 없음",IF(G1064=0,"신규 (전년 수량 없음)",IF(H1064=0,"당해 수량 없음",""))))</f>
        <v/>
      </c>
      <c r="N1064" t="str">
        <f>IF($B1064="","",MATCH($B1064,'_calc'!$L$2:$L$3001,0))</f>
        <v/>
      </c>
    </row>
    <row r="1065">
      <c r="B1065" s="24" t="str">
        <f>IF(ROW()-ROW($B$8)&gt;nComp,"",ROW()-ROW($B$8))</f>
        <v/>
      </c>
      <c r="C1065" t="str">
        <f>IF($N1065="","",INDEX('_calc'!$A$2:$A$3001,$N1065))</f>
        <v/>
      </c>
      <c r="D1065" s="25" t="str">
        <f>IF($N1065="","",INDEX('_calc'!$C$2:$C$3001,$N1065))</f>
        <v/>
      </c>
      <c r="E1065" s="25" t="str">
        <f>IF($N1065="","",INDEX('_calc'!$D$2:$D$3001,$N1065))</f>
        <v/>
      </c>
      <c r="F1065" s="26" t="str">
        <f>IF($N1065="","",IF($E$8=0,"",E1065/$E$8))</f>
        <v/>
      </c>
      <c r="G1065" s="25" t="str">
        <f>IF($N1065="","",INDEX('_calc'!$E$2:$E$3001,$N1065))</f>
        <v/>
      </c>
      <c r="H1065" s="25" t="str">
        <f>IF($N1065="","",INDEX('_calc'!$F$2:$F$3001,$N1065))</f>
        <v/>
      </c>
      <c r="I1065" s="27" t="str">
        <f>IF($N1065="","",INDEX('_calc'!$H$2:$H$3001,$N1065))</f>
        <v/>
      </c>
      <c r="J1065" s="27" t="str">
        <f>IF($N1065="","",INDEX('_calc'!$I$2:$I$3001,$N1065))</f>
        <v/>
      </c>
      <c r="K1065" s="28" t="str">
        <f>IF($N1065="","",IF(OR(I1065="",J1065=""),"",J1065-I1065))</f>
        <v/>
      </c>
      <c r="L1065" s="29" t="str">
        <f>IF($N1065="","",INDEX('_calc'!$J$2:$J$3001,$N1065))</f>
        <v/>
      </c>
      <c r="M1065" s="2" t="str">
        <f>IF($N1065="","",IF(AND(G1065=0,H1065=0),"수량 없음",IF(G1065=0,"신규 (전년 수량 없음)",IF(H1065=0,"당해 수량 없음",""))))</f>
        <v/>
      </c>
      <c r="N1065" t="str">
        <f>IF($B1065="","",MATCH($B1065,'_calc'!$L$2:$L$3001,0))</f>
        <v/>
      </c>
    </row>
    <row r="1066">
      <c r="B1066" s="24" t="str">
        <f>IF(ROW()-ROW($B$8)&gt;nComp,"",ROW()-ROW($B$8))</f>
        <v/>
      </c>
      <c r="C1066" t="str">
        <f>IF($N1066="","",INDEX('_calc'!$A$2:$A$3001,$N1066))</f>
        <v/>
      </c>
      <c r="D1066" s="25" t="str">
        <f>IF($N1066="","",INDEX('_calc'!$C$2:$C$3001,$N1066))</f>
        <v/>
      </c>
      <c r="E1066" s="25" t="str">
        <f>IF($N1066="","",INDEX('_calc'!$D$2:$D$3001,$N1066))</f>
        <v/>
      </c>
      <c r="F1066" s="26" t="str">
        <f>IF($N1066="","",IF($E$8=0,"",E1066/$E$8))</f>
        <v/>
      </c>
      <c r="G1066" s="25" t="str">
        <f>IF($N1066="","",INDEX('_calc'!$E$2:$E$3001,$N1066))</f>
        <v/>
      </c>
      <c r="H1066" s="25" t="str">
        <f>IF($N1066="","",INDEX('_calc'!$F$2:$F$3001,$N1066))</f>
        <v/>
      </c>
      <c r="I1066" s="27" t="str">
        <f>IF($N1066="","",INDEX('_calc'!$H$2:$H$3001,$N1066))</f>
        <v/>
      </c>
      <c r="J1066" s="27" t="str">
        <f>IF($N1066="","",INDEX('_calc'!$I$2:$I$3001,$N1066))</f>
        <v/>
      </c>
      <c r="K1066" s="28" t="str">
        <f>IF($N1066="","",IF(OR(I1066="",J1066=""),"",J1066-I1066))</f>
        <v/>
      </c>
      <c r="L1066" s="29" t="str">
        <f>IF($N1066="","",INDEX('_calc'!$J$2:$J$3001,$N1066))</f>
        <v/>
      </c>
      <c r="M1066" s="2" t="str">
        <f>IF($N1066="","",IF(AND(G1066=0,H1066=0),"수량 없음",IF(G1066=0,"신규 (전년 수량 없음)",IF(H1066=0,"당해 수량 없음",""))))</f>
        <v/>
      </c>
      <c r="N1066" t="str">
        <f>IF($B1066="","",MATCH($B1066,'_calc'!$L$2:$L$3001,0))</f>
        <v/>
      </c>
    </row>
    <row r="1067">
      <c r="B1067" s="24" t="str">
        <f>IF(ROW()-ROW($B$8)&gt;nComp,"",ROW()-ROW($B$8))</f>
        <v/>
      </c>
      <c r="C1067" t="str">
        <f>IF($N1067="","",INDEX('_calc'!$A$2:$A$3001,$N1067))</f>
        <v/>
      </c>
      <c r="D1067" s="25" t="str">
        <f>IF($N1067="","",INDEX('_calc'!$C$2:$C$3001,$N1067))</f>
        <v/>
      </c>
      <c r="E1067" s="25" t="str">
        <f>IF($N1067="","",INDEX('_calc'!$D$2:$D$3001,$N1067))</f>
        <v/>
      </c>
      <c r="F1067" s="26" t="str">
        <f>IF($N1067="","",IF($E$8=0,"",E1067/$E$8))</f>
        <v/>
      </c>
      <c r="G1067" s="25" t="str">
        <f>IF($N1067="","",INDEX('_calc'!$E$2:$E$3001,$N1067))</f>
        <v/>
      </c>
      <c r="H1067" s="25" t="str">
        <f>IF($N1067="","",INDEX('_calc'!$F$2:$F$3001,$N1067))</f>
        <v/>
      </c>
      <c r="I1067" s="27" t="str">
        <f>IF($N1067="","",INDEX('_calc'!$H$2:$H$3001,$N1067))</f>
        <v/>
      </c>
      <c r="J1067" s="27" t="str">
        <f>IF($N1067="","",INDEX('_calc'!$I$2:$I$3001,$N1067))</f>
        <v/>
      </c>
      <c r="K1067" s="28" t="str">
        <f>IF($N1067="","",IF(OR(I1067="",J1067=""),"",J1067-I1067))</f>
        <v/>
      </c>
      <c r="L1067" s="29" t="str">
        <f>IF($N1067="","",INDEX('_calc'!$J$2:$J$3001,$N1067))</f>
        <v/>
      </c>
      <c r="M1067" s="2" t="str">
        <f>IF($N1067="","",IF(AND(G1067=0,H1067=0),"수량 없음",IF(G1067=0,"신규 (전년 수량 없음)",IF(H1067=0,"당해 수량 없음",""))))</f>
        <v/>
      </c>
      <c r="N1067" t="str">
        <f>IF($B1067="","",MATCH($B1067,'_calc'!$L$2:$L$3001,0))</f>
        <v/>
      </c>
    </row>
    <row r="1068">
      <c r="B1068" s="24" t="str">
        <f>IF(ROW()-ROW($B$8)&gt;nComp,"",ROW()-ROW($B$8))</f>
        <v/>
      </c>
      <c r="C1068" t="str">
        <f>IF($N1068="","",INDEX('_calc'!$A$2:$A$3001,$N1068))</f>
        <v/>
      </c>
      <c r="D1068" s="25" t="str">
        <f>IF($N1068="","",INDEX('_calc'!$C$2:$C$3001,$N1068))</f>
        <v/>
      </c>
      <c r="E1068" s="25" t="str">
        <f>IF($N1068="","",INDEX('_calc'!$D$2:$D$3001,$N1068))</f>
        <v/>
      </c>
      <c r="F1068" s="26" t="str">
        <f>IF($N1068="","",IF($E$8=0,"",E1068/$E$8))</f>
        <v/>
      </c>
      <c r="G1068" s="25" t="str">
        <f>IF($N1068="","",INDEX('_calc'!$E$2:$E$3001,$N1068))</f>
        <v/>
      </c>
      <c r="H1068" s="25" t="str">
        <f>IF($N1068="","",INDEX('_calc'!$F$2:$F$3001,$N1068))</f>
        <v/>
      </c>
      <c r="I1068" s="27" t="str">
        <f>IF($N1068="","",INDEX('_calc'!$H$2:$H$3001,$N1068))</f>
        <v/>
      </c>
      <c r="J1068" s="27" t="str">
        <f>IF($N1068="","",INDEX('_calc'!$I$2:$I$3001,$N1068))</f>
        <v/>
      </c>
      <c r="K1068" s="28" t="str">
        <f>IF($N1068="","",IF(OR(I1068="",J1068=""),"",J1068-I1068))</f>
        <v/>
      </c>
      <c r="L1068" s="29" t="str">
        <f>IF($N1068="","",INDEX('_calc'!$J$2:$J$3001,$N1068))</f>
        <v/>
      </c>
      <c r="M1068" s="2" t="str">
        <f>IF($N1068="","",IF(AND(G1068=0,H1068=0),"수량 없음",IF(G1068=0,"신규 (전년 수량 없음)",IF(H1068=0,"당해 수량 없음",""))))</f>
        <v/>
      </c>
      <c r="N1068" t="str">
        <f>IF($B1068="","",MATCH($B1068,'_calc'!$L$2:$L$3001,0))</f>
        <v/>
      </c>
    </row>
    <row r="1069">
      <c r="B1069" s="24" t="str">
        <f>IF(ROW()-ROW($B$8)&gt;nComp,"",ROW()-ROW($B$8))</f>
        <v/>
      </c>
      <c r="C1069" t="str">
        <f>IF($N1069="","",INDEX('_calc'!$A$2:$A$3001,$N1069))</f>
        <v/>
      </c>
      <c r="D1069" s="25" t="str">
        <f>IF($N1069="","",INDEX('_calc'!$C$2:$C$3001,$N1069))</f>
        <v/>
      </c>
      <c r="E1069" s="25" t="str">
        <f>IF($N1069="","",INDEX('_calc'!$D$2:$D$3001,$N1069))</f>
        <v/>
      </c>
      <c r="F1069" s="26" t="str">
        <f>IF($N1069="","",IF($E$8=0,"",E1069/$E$8))</f>
        <v/>
      </c>
      <c r="G1069" s="25" t="str">
        <f>IF($N1069="","",INDEX('_calc'!$E$2:$E$3001,$N1069))</f>
        <v/>
      </c>
      <c r="H1069" s="25" t="str">
        <f>IF($N1069="","",INDEX('_calc'!$F$2:$F$3001,$N1069))</f>
        <v/>
      </c>
      <c r="I1069" s="27" t="str">
        <f>IF($N1069="","",INDEX('_calc'!$H$2:$H$3001,$N1069))</f>
        <v/>
      </c>
      <c r="J1069" s="27" t="str">
        <f>IF($N1069="","",INDEX('_calc'!$I$2:$I$3001,$N1069))</f>
        <v/>
      </c>
      <c r="K1069" s="28" t="str">
        <f>IF($N1069="","",IF(OR(I1069="",J1069=""),"",J1069-I1069))</f>
        <v/>
      </c>
      <c r="L1069" s="29" t="str">
        <f>IF($N1069="","",INDEX('_calc'!$J$2:$J$3001,$N1069))</f>
        <v/>
      </c>
      <c r="M1069" s="2" t="str">
        <f>IF($N1069="","",IF(AND(G1069=0,H1069=0),"수량 없음",IF(G1069=0,"신규 (전년 수량 없음)",IF(H1069=0,"당해 수량 없음",""))))</f>
        <v/>
      </c>
      <c r="N1069" t="str">
        <f>IF($B1069="","",MATCH($B1069,'_calc'!$L$2:$L$3001,0))</f>
        <v/>
      </c>
    </row>
    <row r="1070">
      <c r="B1070" s="24" t="str">
        <f>IF(ROW()-ROW($B$8)&gt;nComp,"",ROW()-ROW($B$8))</f>
        <v/>
      </c>
      <c r="C1070" t="str">
        <f>IF($N1070="","",INDEX('_calc'!$A$2:$A$3001,$N1070))</f>
        <v/>
      </c>
      <c r="D1070" s="25" t="str">
        <f>IF($N1070="","",INDEX('_calc'!$C$2:$C$3001,$N1070))</f>
        <v/>
      </c>
      <c r="E1070" s="25" t="str">
        <f>IF($N1070="","",INDEX('_calc'!$D$2:$D$3001,$N1070))</f>
        <v/>
      </c>
      <c r="F1070" s="26" t="str">
        <f>IF($N1070="","",IF($E$8=0,"",E1070/$E$8))</f>
        <v/>
      </c>
      <c r="G1070" s="25" t="str">
        <f>IF($N1070="","",INDEX('_calc'!$E$2:$E$3001,$N1070))</f>
        <v/>
      </c>
      <c r="H1070" s="25" t="str">
        <f>IF($N1070="","",INDEX('_calc'!$F$2:$F$3001,$N1070))</f>
        <v/>
      </c>
      <c r="I1070" s="27" t="str">
        <f>IF($N1070="","",INDEX('_calc'!$H$2:$H$3001,$N1070))</f>
        <v/>
      </c>
      <c r="J1070" s="27" t="str">
        <f>IF($N1070="","",INDEX('_calc'!$I$2:$I$3001,$N1070))</f>
        <v/>
      </c>
      <c r="K1070" s="28" t="str">
        <f>IF($N1070="","",IF(OR(I1070="",J1070=""),"",J1070-I1070))</f>
        <v/>
      </c>
      <c r="L1070" s="29" t="str">
        <f>IF($N1070="","",INDEX('_calc'!$J$2:$J$3001,$N1070))</f>
        <v/>
      </c>
      <c r="M1070" s="2" t="str">
        <f>IF($N1070="","",IF(AND(G1070=0,H1070=0),"수량 없음",IF(G1070=0,"신규 (전년 수량 없음)",IF(H1070=0,"당해 수량 없음",""))))</f>
        <v/>
      </c>
      <c r="N1070" t="str">
        <f>IF($B1070="","",MATCH($B1070,'_calc'!$L$2:$L$3001,0))</f>
        <v/>
      </c>
    </row>
    <row r="1071">
      <c r="B1071" s="24" t="str">
        <f>IF(ROW()-ROW($B$8)&gt;nComp,"",ROW()-ROW($B$8))</f>
        <v/>
      </c>
      <c r="C1071" t="str">
        <f>IF($N1071="","",INDEX('_calc'!$A$2:$A$3001,$N1071))</f>
        <v/>
      </c>
      <c r="D1071" s="25" t="str">
        <f>IF($N1071="","",INDEX('_calc'!$C$2:$C$3001,$N1071))</f>
        <v/>
      </c>
      <c r="E1071" s="25" t="str">
        <f>IF($N1071="","",INDEX('_calc'!$D$2:$D$3001,$N1071))</f>
        <v/>
      </c>
      <c r="F1071" s="26" t="str">
        <f>IF($N1071="","",IF($E$8=0,"",E1071/$E$8))</f>
        <v/>
      </c>
      <c r="G1071" s="25" t="str">
        <f>IF($N1071="","",INDEX('_calc'!$E$2:$E$3001,$N1071))</f>
        <v/>
      </c>
      <c r="H1071" s="25" t="str">
        <f>IF($N1071="","",INDEX('_calc'!$F$2:$F$3001,$N1071))</f>
        <v/>
      </c>
      <c r="I1071" s="27" t="str">
        <f>IF($N1071="","",INDEX('_calc'!$H$2:$H$3001,$N1071))</f>
        <v/>
      </c>
      <c r="J1071" s="27" t="str">
        <f>IF($N1071="","",INDEX('_calc'!$I$2:$I$3001,$N1071))</f>
        <v/>
      </c>
      <c r="K1071" s="28" t="str">
        <f>IF($N1071="","",IF(OR(I1071="",J1071=""),"",J1071-I1071))</f>
        <v/>
      </c>
      <c r="L1071" s="29" t="str">
        <f>IF($N1071="","",INDEX('_calc'!$J$2:$J$3001,$N1071))</f>
        <v/>
      </c>
      <c r="M1071" s="2" t="str">
        <f>IF($N1071="","",IF(AND(G1071=0,H1071=0),"수량 없음",IF(G1071=0,"신규 (전년 수량 없음)",IF(H1071=0,"당해 수량 없음",""))))</f>
        <v/>
      </c>
      <c r="N1071" t="str">
        <f>IF($B1071="","",MATCH($B1071,'_calc'!$L$2:$L$3001,0))</f>
        <v/>
      </c>
    </row>
    <row r="1072">
      <c r="B1072" s="24" t="str">
        <f>IF(ROW()-ROW($B$8)&gt;nComp,"",ROW()-ROW($B$8))</f>
        <v/>
      </c>
      <c r="C1072" t="str">
        <f>IF($N1072="","",INDEX('_calc'!$A$2:$A$3001,$N1072))</f>
        <v/>
      </c>
      <c r="D1072" s="25" t="str">
        <f>IF($N1072="","",INDEX('_calc'!$C$2:$C$3001,$N1072))</f>
        <v/>
      </c>
      <c r="E1072" s="25" t="str">
        <f>IF($N1072="","",INDEX('_calc'!$D$2:$D$3001,$N1072))</f>
        <v/>
      </c>
      <c r="F1072" s="26" t="str">
        <f>IF($N1072="","",IF($E$8=0,"",E1072/$E$8))</f>
        <v/>
      </c>
      <c r="G1072" s="25" t="str">
        <f>IF($N1072="","",INDEX('_calc'!$E$2:$E$3001,$N1072))</f>
        <v/>
      </c>
      <c r="H1072" s="25" t="str">
        <f>IF($N1072="","",INDEX('_calc'!$F$2:$F$3001,$N1072))</f>
        <v/>
      </c>
      <c r="I1072" s="27" t="str">
        <f>IF($N1072="","",INDEX('_calc'!$H$2:$H$3001,$N1072))</f>
        <v/>
      </c>
      <c r="J1072" s="27" t="str">
        <f>IF($N1072="","",INDEX('_calc'!$I$2:$I$3001,$N1072))</f>
        <v/>
      </c>
      <c r="K1072" s="28" t="str">
        <f>IF($N1072="","",IF(OR(I1072="",J1072=""),"",J1072-I1072))</f>
        <v/>
      </c>
      <c r="L1072" s="29" t="str">
        <f>IF($N1072="","",INDEX('_calc'!$J$2:$J$3001,$N1072))</f>
        <v/>
      </c>
      <c r="M1072" s="2" t="str">
        <f>IF($N1072="","",IF(AND(G1072=0,H1072=0),"수량 없음",IF(G1072=0,"신규 (전년 수량 없음)",IF(H1072=0,"당해 수량 없음",""))))</f>
        <v/>
      </c>
      <c r="N1072" t="str">
        <f>IF($B1072="","",MATCH($B1072,'_calc'!$L$2:$L$3001,0))</f>
        <v/>
      </c>
    </row>
    <row r="1073">
      <c r="B1073" s="24" t="str">
        <f>IF(ROW()-ROW($B$8)&gt;nComp,"",ROW()-ROW($B$8))</f>
        <v/>
      </c>
      <c r="C1073" t="str">
        <f>IF($N1073="","",INDEX('_calc'!$A$2:$A$3001,$N1073))</f>
        <v/>
      </c>
      <c r="D1073" s="25" t="str">
        <f>IF($N1073="","",INDEX('_calc'!$C$2:$C$3001,$N1073))</f>
        <v/>
      </c>
      <c r="E1073" s="25" t="str">
        <f>IF($N1073="","",INDEX('_calc'!$D$2:$D$3001,$N1073))</f>
        <v/>
      </c>
      <c r="F1073" s="26" t="str">
        <f>IF($N1073="","",IF($E$8=0,"",E1073/$E$8))</f>
        <v/>
      </c>
      <c r="G1073" s="25" t="str">
        <f>IF($N1073="","",INDEX('_calc'!$E$2:$E$3001,$N1073))</f>
        <v/>
      </c>
      <c r="H1073" s="25" t="str">
        <f>IF($N1073="","",INDEX('_calc'!$F$2:$F$3001,$N1073))</f>
        <v/>
      </c>
      <c r="I1073" s="27" t="str">
        <f>IF($N1073="","",INDEX('_calc'!$H$2:$H$3001,$N1073))</f>
        <v/>
      </c>
      <c r="J1073" s="27" t="str">
        <f>IF($N1073="","",INDEX('_calc'!$I$2:$I$3001,$N1073))</f>
        <v/>
      </c>
      <c r="K1073" s="28" t="str">
        <f>IF($N1073="","",IF(OR(I1073="",J1073=""),"",J1073-I1073))</f>
        <v/>
      </c>
      <c r="L1073" s="29" t="str">
        <f>IF($N1073="","",INDEX('_calc'!$J$2:$J$3001,$N1073))</f>
        <v/>
      </c>
      <c r="M1073" s="2" t="str">
        <f>IF($N1073="","",IF(AND(G1073=0,H1073=0),"수량 없음",IF(G1073=0,"신규 (전년 수량 없음)",IF(H1073=0,"당해 수량 없음",""))))</f>
        <v/>
      </c>
      <c r="N1073" t="str">
        <f>IF($B1073="","",MATCH($B1073,'_calc'!$L$2:$L$3001,0))</f>
        <v/>
      </c>
    </row>
    <row r="1074">
      <c r="B1074" s="24" t="str">
        <f>IF(ROW()-ROW($B$8)&gt;nComp,"",ROW()-ROW($B$8))</f>
        <v/>
      </c>
      <c r="C1074" t="str">
        <f>IF($N1074="","",INDEX('_calc'!$A$2:$A$3001,$N1074))</f>
        <v/>
      </c>
      <c r="D1074" s="25" t="str">
        <f>IF($N1074="","",INDEX('_calc'!$C$2:$C$3001,$N1074))</f>
        <v/>
      </c>
      <c r="E1074" s="25" t="str">
        <f>IF($N1074="","",INDEX('_calc'!$D$2:$D$3001,$N1074))</f>
        <v/>
      </c>
      <c r="F1074" s="26" t="str">
        <f>IF($N1074="","",IF($E$8=0,"",E1074/$E$8))</f>
        <v/>
      </c>
      <c r="G1074" s="25" t="str">
        <f>IF($N1074="","",INDEX('_calc'!$E$2:$E$3001,$N1074))</f>
        <v/>
      </c>
      <c r="H1074" s="25" t="str">
        <f>IF($N1074="","",INDEX('_calc'!$F$2:$F$3001,$N1074))</f>
        <v/>
      </c>
      <c r="I1074" s="27" t="str">
        <f>IF($N1074="","",INDEX('_calc'!$H$2:$H$3001,$N1074))</f>
        <v/>
      </c>
      <c r="J1074" s="27" t="str">
        <f>IF($N1074="","",INDEX('_calc'!$I$2:$I$3001,$N1074))</f>
        <v/>
      </c>
      <c r="K1074" s="28" t="str">
        <f>IF($N1074="","",IF(OR(I1074="",J1074=""),"",J1074-I1074))</f>
        <v/>
      </c>
      <c r="L1074" s="29" t="str">
        <f>IF($N1074="","",INDEX('_calc'!$J$2:$J$3001,$N1074))</f>
        <v/>
      </c>
      <c r="M1074" s="2" t="str">
        <f>IF($N1074="","",IF(AND(G1074=0,H1074=0),"수량 없음",IF(G1074=0,"신규 (전년 수량 없음)",IF(H1074=0,"당해 수량 없음",""))))</f>
        <v/>
      </c>
      <c r="N1074" t="str">
        <f>IF($B1074="","",MATCH($B1074,'_calc'!$L$2:$L$3001,0))</f>
        <v/>
      </c>
    </row>
    <row r="1075">
      <c r="B1075" s="24" t="str">
        <f>IF(ROW()-ROW($B$8)&gt;nComp,"",ROW()-ROW($B$8))</f>
        <v/>
      </c>
      <c r="C1075" t="str">
        <f>IF($N1075="","",INDEX('_calc'!$A$2:$A$3001,$N1075))</f>
        <v/>
      </c>
      <c r="D1075" s="25" t="str">
        <f>IF($N1075="","",INDEX('_calc'!$C$2:$C$3001,$N1075))</f>
        <v/>
      </c>
      <c r="E1075" s="25" t="str">
        <f>IF($N1075="","",INDEX('_calc'!$D$2:$D$3001,$N1075))</f>
        <v/>
      </c>
      <c r="F1075" s="26" t="str">
        <f>IF($N1075="","",IF($E$8=0,"",E1075/$E$8))</f>
        <v/>
      </c>
      <c r="G1075" s="25" t="str">
        <f>IF($N1075="","",INDEX('_calc'!$E$2:$E$3001,$N1075))</f>
        <v/>
      </c>
      <c r="H1075" s="25" t="str">
        <f>IF($N1075="","",INDEX('_calc'!$F$2:$F$3001,$N1075))</f>
        <v/>
      </c>
      <c r="I1075" s="27" t="str">
        <f>IF($N1075="","",INDEX('_calc'!$H$2:$H$3001,$N1075))</f>
        <v/>
      </c>
      <c r="J1075" s="27" t="str">
        <f>IF($N1075="","",INDEX('_calc'!$I$2:$I$3001,$N1075))</f>
        <v/>
      </c>
      <c r="K1075" s="28" t="str">
        <f>IF($N1075="","",IF(OR(I1075="",J1075=""),"",J1075-I1075))</f>
        <v/>
      </c>
      <c r="L1075" s="29" t="str">
        <f>IF($N1075="","",INDEX('_calc'!$J$2:$J$3001,$N1075))</f>
        <v/>
      </c>
      <c r="M1075" s="2" t="str">
        <f>IF($N1075="","",IF(AND(G1075=0,H1075=0),"수량 없음",IF(G1075=0,"신규 (전년 수량 없음)",IF(H1075=0,"당해 수량 없음",""))))</f>
        <v/>
      </c>
      <c r="N1075" t="str">
        <f>IF($B1075="","",MATCH($B1075,'_calc'!$L$2:$L$3001,0))</f>
        <v/>
      </c>
    </row>
    <row r="1076">
      <c r="B1076" s="24" t="str">
        <f>IF(ROW()-ROW($B$8)&gt;nComp,"",ROW()-ROW($B$8))</f>
        <v/>
      </c>
      <c r="C1076" t="str">
        <f>IF($N1076="","",INDEX('_calc'!$A$2:$A$3001,$N1076))</f>
        <v/>
      </c>
      <c r="D1076" s="25" t="str">
        <f>IF($N1076="","",INDEX('_calc'!$C$2:$C$3001,$N1076))</f>
        <v/>
      </c>
      <c r="E1076" s="25" t="str">
        <f>IF($N1076="","",INDEX('_calc'!$D$2:$D$3001,$N1076))</f>
        <v/>
      </c>
      <c r="F1076" s="26" t="str">
        <f>IF($N1076="","",IF($E$8=0,"",E1076/$E$8))</f>
        <v/>
      </c>
      <c r="G1076" s="25" t="str">
        <f>IF($N1076="","",INDEX('_calc'!$E$2:$E$3001,$N1076))</f>
        <v/>
      </c>
      <c r="H1076" s="25" t="str">
        <f>IF($N1076="","",INDEX('_calc'!$F$2:$F$3001,$N1076))</f>
        <v/>
      </c>
      <c r="I1076" s="27" t="str">
        <f>IF($N1076="","",INDEX('_calc'!$H$2:$H$3001,$N1076))</f>
        <v/>
      </c>
      <c r="J1076" s="27" t="str">
        <f>IF($N1076="","",INDEX('_calc'!$I$2:$I$3001,$N1076))</f>
        <v/>
      </c>
      <c r="K1076" s="28" t="str">
        <f>IF($N1076="","",IF(OR(I1076="",J1076=""),"",J1076-I1076))</f>
        <v/>
      </c>
      <c r="L1076" s="29" t="str">
        <f>IF($N1076="","",INDEX('_calc'!$J$2:$J$3001,$N1076))</f>
        <v/>
      </c>
      <c r="M1076" s="2" t="str">
        <f>IF($N1076="","",IF(AND(G1076=0,H1076=0),"수량 없음",IF(G1076=0,"신규 (전년 수량 없음)",IF(H1076=0,"당해 수량 없음",""))))</f>
        <v/>
      </c>
      <c r="N1076" t="str">
        <f>IF($B1076="","",MATCH($B1076,'_calc'!$L$2:$L$3001,0))</f>
        <v/>
      </c>
    </row>
    <row r="1077">
      <c r="B1077" s="24" t="str">
        <f>IF(ROW()-ROW($B$8)&gt;nComp,"",ROW()-ROW($B$8))</f>
        <v/>
      </c>
      <c r="C1077" t="str">
        <f>IF($N1077="","",INDEX('_calc'!$A$2:$A$3001,$N1077))</f>
        <v/>
      </c>
      <c r="D1077" s="25" t="str">
        <f>IF($N1077="","",INDEX('_calc'!$C$2:$C$3001,$N1077))</f>
        <v/>
      </c>
      <c r="E1077" s="25" t="str">
        <f>IF($N1077="","",INDEX('_calc'!$D$2:$D$3001,$N1077))</f>
        <v/>
      </c>
      <c r="F1077" s="26" t="str">
        <f>IF($N1077="","",IF($E$8=0,"",E1077/$E$8))</f>
        <v/>
      </c>
      <c r="G1077" s="25" t="str">
        <f>IF($N1077="","",INDEX('_calc'!$E$2:$E$3001,$N1077))</f>
        <v/>
      </c>
      <c r="H1077" s="25" t="str">
        <f>IF($N1077="","",INDEX('_calc'!$F$2:$F$3001,$N1077))</f>
        <v/>
      </c>
      <c r="I1077" s="27" t="str">
        <f>IF($N1077="","",INDEX('_calc'!$H$2:$H$3001,$N1077))</f>
        <v/>
      </c>
      <c r="J1077" s="27" t="str">
        <f>IF($N1077="","",INDEX('_calc'!$I$2:$I$3001,$N1077))</f>
        <v/>
      </c>
      <c r="K1077" s="28" t="str">
        <f>IF($N1077="","",IF(OR(I1077="",J1077=""),"",J1077-I1077))</f>
        <v/>
      </c>
      <c r="L1077" s="29" t="str">
        <f>IF($N1077="","",INDEX('_calc'!$J$2:$J$3001,$N1077))</f>
        <v/>
      </c>
      <c r="M1077" s="2" t="str">
        <f>IF($N1077="","",IF(AND(G1077=0,H1077=0),"수량 없음",IF(G1077=0,"신규 (전년 수량 없음)",IF(H1077=0,"당해 수량 없음",""))))</f>
        <v/>
      </c>
      <c r="N1077" t="str">
        <f>IF($B1077="","",MATCH($B1077,'_calc'!$L$2:$L$3001,0))</f>
        <v/>
      </c>
    </row>
    <row r="1078">
      <c r="B1078" s="24" t="str">
        <f>IF(ROW()-ROW($B$8)&gt;nComp,"",ROW()-ROW($B$8))</f>
        <v/>
      </c>
      <c r="C1078" t="str">
        <f>IF($N1078="","",INDEX('_calc'!$A$2:$A$3001,$N1078))</f>
        <v/>
      </c>
      <c r="D1078" s="25" t="str">
        <f>IF($N1078="","",INDEX('_calc'!$C$2:$C$3001,$N1078))</f>
        <v/>
      </c>
      <c r="E1078" s="25" t="str">
        <f>IF($N1078="","",INDEX('_calc'!$D$2:$D$3001,$N1078))</f>
        <v/>
      </c>
      <c r="F1078" s="26" t="str">
        <f>IF($N1078="","",IF($E$8=0,"",E1078/$E$8))</f>
        <v/>
      </c>
      <c r="G1078" s="25" t="str">
        <f>IF($N1078="","",INDEX('_calc'!$E$2:$E$3001,$N1078))</f>
        <v/>
      </c>
      <c r="H1078" s="25" t="str">
        <f>IF($N1078="","",INDEX('_calc'!$F$2:$F$3001,$N1078))</f>
        <v/>
      </c>
      <c r="I1078" s="27" t="str">
        <f>IF($N1078="","",INDEX('_calc'!$H$2:$H$3001,$N1078))</f>
        <v/>
      </c>
      <c r="J1078" s="27" t="str">
        <f>IF($N1078="","",INDEX('_calc'!$I$2:$I$3001,$N1078))</f>
        <v/>
      </c>
      <c r="K1078" s="28" t="str">
        <f>IF($N1078="","",IF(OR(I1078="",J1078=""),"",J1078-I1078))</f>
        <v/>
      </c>
      <c r="L1078" s="29" t="str">
        <f>IF($N1078="","",INDEX('_calc'!$J$2:$J$3001,$N1078))</f>
        <v/>
      </c>
      <c r="M1078" s="2" t="str">
        <f>IF($N1078="","",IF(AND(G1078=0,H1078=0),"수량 없음",IF(G1078=0,"신규 (전년 수량 없음)",IF(H1078=0,"당해 수량 없음",""))))</f>
        <v/>
      </c>
      <c r="N1078" t="str">
        <f>IF($B1078="","",MATCH($B1078,'_calc'!$L$2:$L$3001,0))</f>
        <v/>
      </c>
    </row>
    <row r="1079">
      <c r="B1079" s="24" t="str">
        <f>IF(ROW()-ROW($B$8)&gt;nComp,"",ROW()-ROW($B$8))</f>
        <v/>
      </c>
      <c r="C1079" t="str">
        <f>IF($N1079="","",INDEX('_calc'!$A$2:$A$3001,$N1079))</f>
        <v/>
      </c>
      <c r="D1079" s="25" t="str">
        <f>IF($N1079="","",INDEX('_calc'!$C$2:$C$3001,$N1079))</f>
        <v/>
      </c>
      <c r="E1079" s="25" t="str">
        <f>IF($N1079="","",INDEX('_calc'!$D$2:$D$3001,$N1079))</f>
        <v/>
      </c>
      <c r="F1079" s="26" t="str">
        <f>IF($N1079="","",IF($E$8=0,"",E1079/$E$8))</f>
        <v/>
      </c>
      <c r="G1079" s="25" t="str">
        <f>IF($N1079="","",INDEX('_calc'!$E$2:$E$3001,$N1079))</f>
        <v/>
      </c>
      <c r="H1079" s="25" t="str">
        <f>IF($N1079="","",INDEX('_calc'!$F$2:$F$3001,$N1079))</f>
        <v/>
      </c>
      <c r="I1079" s="27" t="str">
        <f>IF($N1079="","",INDEX('_calc'!$H$2:$H$3001,$N1079))</f>
        <v/>
      </c>
      <c r="J1079" s="27" t="str">
        <f>IF($N1079="","",INDEX('_calc'!$I$2:$I$3001,$N1079))</f>
        <v/>
      </c>
      <c r="K1079" s="28" t="str">
        <f>IF($N1079="","",IF(OR(I1079="",J1079=""),"",J1079-I1079))</f>
        <v/>
      </c>
      <c r="L1079" s="29" t="str">
        <f>IF($N1079="","",INDEX('_calc'!$J$2:$J$3001,$N1079))</f>
        <v/>
      </c>
      <c r="M1079" s="2" t="str">
        <f>IF($N1079="","",IF(AND(G1079=0,H1079=0),"수량 없음",IF(G1079=0,"신규 (전년 수량 없음)",IF(H1079=0,"당해 수량 없음",""))))</f>
        <v/>
      </c>
      <c r="N1079" t="str">
        <f>IF($B1079="","",MATCH($B1079,'_calc'!$L$2:$L$3001,0))</f>
        <v/>
      </c>
    </row>
    <row r="1080">
      <c r="B1080" s="24" t="str">
        <f>IF(ROW()-ROW($B$8)&gt;nComp,"",ROW()-ROW($B$8))</f>
        <v/>
      </c>
      <c r="C1080" t="str">
        <f>IF($N1080="","",INDEX('_calc'!$A$2:$A$3001,$N1080))</f>
        <v/>
      </c>
      <c r="D1080" s="25" t="str">
        <f>IF($N1080="","",INDEX('_calc'!$C$2:$C$3001,$N1080))</f>
        <v/>
      </c>
      <c r="E1080" s="25" t="str">
        <f>IF($N1080="","",INDEX('_calc'!$D$2:$D$3001,$N1080))</f>
        <v/>
      </c>
      <c r="F1080" s="26" t="str">
        <f>IF($N1080="","",IF($E$8=0,"",E1080/$E$8))</f>
        <v/>
      </c>
      <c r="G1080" s="25" t="str">
        <f>IF($N1080="","",INDEX('_calc'!$E$2:$E$3001,$N1080))</f>
        <v/>
      </c>
      <c r="H1080" s="25" t="str">
        <f>IF($N1080="","",INDEX('_calc'!$F$2:$F$3001,$N1080))</f>
        <v/>
      </c>
      <c r="I1080" s="27" t="str">
        <f>IF($N1080="","",INDEX('_calc'!$H$2:$H$3001,$N1080))</f>
        <v/>
      </c>
      <c r="J1080" s="27" t="str">
        <f>IF($N1080="","",INDEX('_calc'!$I$2:$I$3001,$N1080))</f>
        <v/>
      </c>
      <c r="K1080" s="28" t="str">
        <f>IF($N1080="","",IF(OR(I1080="",J1080=""),"",J1080-I1080))</f>
        <v/>
      </c>
      <c r="L1080" s="29" t="str">
        <f>IF($N1080="","",INDEX('_calc'!$J$2:$J$3001,$N1080))</f>
        <v/>
      </c>
      <c r="M1080" s="2" t="str">
        <f>IF($N1080="","",IF(AND(G1080=0,H1080=0),"수량 없음",IF(G1080=0,"신규 (전년 수량 없음)",IF(H1080=0,"당해 수량 없음",""))))</f>
        <v/>
      </c>
      <c r="N1080" t="str">
        <f>IF($B1080="","",MATCH($B1080,'_calc'!$L$2:$L$3001,0))</f>
        <v/>
      </c>
    </row>
    <row r="1081">
      <c r="B1081" s="24" t="str">
        <f>IF(ROW()-ROW($B$8)&gt;nComp,"",ROW()-ROW($B$8))</f>
        <v/>
      </c>
      <c r="C1081" t="str">
        <f>IF($N1081="","",INDEX('_calc'!$A$2:$A$3001,$N1081))</f>
        <v/>
      </c>
      <c r="D1081" s="25" t="str">
        <f>IF($N1081="","",INDEX('_calc'!$C$2:$C$3001,$N1081))</f>
        <v/>
      </c>
      <c r="E1081" s="25" t="str">
        <f>IF($N1081="","",INDEX('_calc'!$D$2:$D$3001,$N1081))</f>
        <v/>
      </c>
      <c r="F1081" s="26" t="str">
        <f>IF($N1081="","",IF($E$8=0,"",E1081/$E$8))</f>
        <v/>
      </c>
      <c r="G1081" s="25" t="str">
        <f>IF($N1081="","",INDEX('_calc'!$E$2:$E$3001,$N1081))</f>
        <v/>
      </c>
      <c r="H1081" s="25" t="str">
        <f>IF($N1081="","",INDEX('_calc'!$F$2:$F$3001,$N1081))</f>
        <v/>
      </c>
      <c r="I1081" s="27" t="str">
        <f>IF($N1081="","",INDEX('_calc'!$H$2:$H$3001,$N1081))</f>
        <v/>
      </c>
      <c r="J1081" s="27" t="str">
        <f>IF($N1081="","",INDEX('_calc'!$I$2:$I$3001,$N1081))</f>
        <v/>
      </c>
      <c r="K1081" s="28" t="str">
        <f>IF($N1081="","",IF(OR(I1081="",J1081=""),"",J1081-I1081))</f>
        <v/>
      </c>
      <c r="L1081" s="29" t="str">
        <f>IF($N1081="","",INDEX('_calc'!$J$2:$J$3001,$N1081))</f>
        <v/>
      </c>
      <c r="M1081" s="2" t="str">
        <f>IF($N1081="","",IF(AND(G1081=0,H1081=0),"수량 없음",IF(G1081=0,"신규 (전년 수량 없음)",IF(H1081=0,"당해 수량 없음",""))))</f>
        <v/>
      </c>
      <c r="N1081" t="str">
        <f>IF($B1081="","",MATCH($B1081,'_calc'!$L$2:$L$3001,0))</f>
        <v/>
      </c>
    </row>
    <row r="1082">
      <c r="B1082" s="24" t="str">
        <f>IF(ROW()-ROW($B$8)&gt;nComp,"",ROW()-ROW($B$8))</f>
        <v/>
      </c>
      <c r="C1082" t="str">
        <f>IF($N1082="","",INDEX('_calc'!$A$2:$A$3001,$N1082))</f>
        <v/>
      </c>
      <c r="D1082" s="25" t="str">
        <f>IF($N1082="","",INDEX('_calc'!$C$2:$C$3001,$N1082))</f>
        <v/>
      </c>
      <c r="E1082" s="25" t="str">
        <f>IF($N1082="","",INDEX('_calc'!$D$2:$D$3001,$N1082))</f>
        <v/>
      </c>
      <c r="F1082" s="26" t="str">
        <f>IF($N1082="","",IF($E$8=0,"",E1082/$E$8))</f>
        <v/>
      </c>
      <c r="G1082" s="25" t="str">
        <f>IF($N1082="","",INDEX('_calc'!$E$2:$E$3001,$N1082))</f>
        <v/>
      </c>
      <c r="H1082" s="25" t="str">
        <f>IF($N1082="","",INDEX('_calc'!$F$2:$F$3001,$N1082))</f>
        <v/>
      </c>
      <c r="I1082" s="27" t="str">
        <f>IF($N1082="","",INDEX('_calc'!$H$2:$H$3001,$N1082))</f>
        <v/>
      </c>
      <c r="J1082" s="27" t="str">
        <f>IF($N1082="","",INDEX('_calc'!$I$2:$I$3001,$N1082))</f>
        <v/>
      </c>
      <c r="K1082" s="28" t="str">
        <f>IF($N1082="","",IF(OR(I1082="",J1082=""),"",J1082-I1082))</f>
        <v/>
      </c>
      <c r="L1082" s="29" t="str">
        <f>IF($N1082="","",INDEX('_calc'!$J$2:$J$3001,$N1082))</f>
        <v/>
      </c>
      <c r="M1082" s="2" t="str">
        <f>IF($N1082="","",IF(AND(G1082=0,H1082=0),"수량 없음",IF(G1082=0,"신규 (전년 수량 없음)",IF(H1082=0,"당해 수량 없음",""))))</f>
        <v/>
      </c>
      <c r="N1082" t="str">
        <f>IF($B1082="","",MATCH($B1082,'_calc'!$L$2:$L$3001,0))</f>
        <v/>
      </c>
    </row>
    <row r="1083">
      <c r="B1083" s="24" t="str">
        <f>IF(ROW()-ROW($B$8)&gt;nComp,"",ROW()-ROW($B$8))</f>
        <v/>
      </c>
      <c r="C1083" t="str">
        <f>IF($N1083="","",INDEX('_calc'!$A$2:$A$3001,$N1083))</f>
        <v/>
      </c>
      <c r="D1083" s="25" t="str">
        <f>IF($N1083="","",INDEX('_calc'!$C$2:$C$3001,$N1083))</f>
        <v/>
      </c>
      <c r="E1083" s="25" t="str">
        <f>IF($N1083="","",INDEX('_calc'!$D$2:$D$3001,$N1083))</f>
        <v/>
      </c>
      <c r="F1083" s="26" t="str">
        <f>IF($N1083="","",IF($E$8=0,"",E1083/$E$8))</f>
        <v/>
      </c>
      <c r="G1083" s="25" t="str">
        <f>IF($N1083="","",INDEX('_calc'!$E$2:$E$3001,$N1083))</f>
        <v/>
      </c>
      <c r="H1083" s="25" t="str">
        <f>IF($N1083="","",INDEX('_calc'!$F$2:$F$3001,$N1083))</f>
        <v/>
      </c>
      <c r="I1083" s="27" t="str">
        <f>IF($N1083="","",INDEX('_calc'!$H$2:$H$3001,$N1083))</f>
        <v/>
      </c>
      <c r="J1083" s="27" t="str">
        <f>IF($N1083="","",INDEX('_calc'!$I$2:$I$3001,$N1083))</f>
        <v/>
      </c>
      <c r="K1083" s="28" t="str">
        <f>IF($N1083="","",IF(OR(I1083="",J1083=""),"",J1083-I1083))</f>
        <v/>
      </c>
      <c r="L1083" s="29" t="str">
        <f>IF($N1083="","",INDEX('_calc'!$J$2:$J$3001,$N1083))</f>
        <v/>
      </c>
      <c r="M1083" s="2" t="str">
        <f>IF($N1083="","",IF(AND(G1083=0,H1083=0),"수량 없음",IF(G1083=0,"신규 (전년 수량 없음)",IF(H1083=0,"당해 수량 없음",""))))</f>
        <v/>
      </c>
      <c r="N1083" t="str">
        <f>IF($B1083="","",MATCH($B1083,'_calc'!$L$2:$L$3001,0))</f>
        <v/>
      </c>
    </row>
    <row r="1084">
      <c r="B1084" s="24" t="str">
        <f>IF(ROW()-ROW($B$8)&gt;nComp,"",ROW()-ROW($B$8))</f>
        <v/>
      </c>
      <c r="C1084" t="str">
        <f>IF($N1084="","",INDEX('_calc'!$A$2:$A$3001,$N1084))</f>
        <v/>
      </c>
      <c r="D1084" s="25" t="str">
        <f>IF($N1084="","",INDEX('_calc'!$C$2:$C$3001,$N1084))</f>
        <v/>
      </c>
      <c r="E1084" s="25" t="str">
        <f>IF($N1084="","",INDEX('_calc'!$D$2:$D$3001,$N1084))</f>
        <v/>
      </c>
      <c r="F1084" s="26" t="str">
        <f>IF($N1084="","",IF($E$8=0,"",E1084/$E$8))</f>
        <v/>
      </c>
      <c r="G1084" s="25" t="str">
        <f>IF($N1084="","",INDEX('_calc'!$E$2:$E$3001,$N1084))</f>
        <v/>
      </c>
      <c r="H1084" s="25" t="str">
        <f>IF($N1084="","",INDEX('_calc'!$F$2:$F$3001,$N1084))</f>
        <v/>
      </c>
      <c r="I1084" s="27" t="str">
        <f>IF($N1084="","",INDEX('_calc'!$H$2:$H$3001,$N1084))</f>
        <v/>
      </c>
      <c r="J1084" s="27" t="str">
        <f>IF($N1084="","",INDEX('_calc'!$I$2:$I$3001,$N1084))</f>
        <v/>
      </c>
      <c r="K1084" s="28" t="str">
        <f>IF($N1084="","",IF(OR(I1084="",J1084=""),"",J1084-I1084))</f>
        <v/>
      </c>
      <c r="L1084" s="29" t="str">
        <f>IF($N1084="","",INDEX('_calc'!$J$2:$J$3001,$N1084))</f>
        <v/>
      </c>
      <c r="M1084" s="2" t="str">
        <f>IF($N1084="","",IF(AND(G1084=0,H1084=0),"수량 없음",IF(G1084=0,"신규 (전년 수량 없음)",IF(H1084=0,"당해 수량 없음",""))))</f>
        <v/>
      </c>
      <c r="N1084" t="str">
        <f>IF($B1084="","",MATCH($B1084,'_calc'!$L$2:$L$3001,0))</f>
        <v/>
      </c>
    </row>
    <row r="1085">
      <c r="B1085" s="24" t="str">
        <f>IF(ROW()-ROW($B$8)&gt;nComp,"",ROW()-ROW($B$8))</f>
        <v/>
      </c>
      <c r="C1085" t="str">
        <f>IF($N1085="","",INDEX('_calc'!$A$2:$A$3001,$N1085))</f>
        <v/>
      </c>
      <c r="D1085" s="25" t="str">
        <f>IF($N1085="","",INDEX('_calc'!$C$2:$C$3001,$N1085))</f>
        <v/>
      </c>
      <c r="E1085" s="25" t="str">
        <f>IF($N1085="","",INDEX('_calc'!$D$2:$D$3001,$N1085))</f>
        <v/>
      </c>
      <c r="F1085" s="26" t="str">
        <f>IF($N1085="","",IF($E$8=0,"",E1085/$E$8))</f>
        <v/>
      </c>
      <c r="G1085" s="25" t="str">
        <f>IF($N1085="","",INDEX('_calc'!$E$2:$E$3001,$N1085))</f>
        <v/>
      </c>
      <c r="H1085" s="25" t="str">
        <f>IF($N1085="","",INDEX('_calc'!$F$2:$F$3001,$N1085))</f>
        <v/>
      </c>
      <c r="I1085" s="27" t="str">
        <f>IF($N1085="","",INDEX('_calc'!$H$2:$H$3001,$N1085))</f>
        <v/>
      </c>
      <c r="J1085" s="27" t="str">
        <f>IF($N1085="","",INDEX('_calc'!$I$2:$I$3001,$N1085))</f>
        <v/>
      </c>
      <c r="K1085" s="28" t="str">
        <f>IF($N1085="","",IF(OR(I1085="",J1085=""),"",J1085-I1085))</f>
        <v/>
      </c>
      <c r="L1085" s="29" t="str">
        <f>IF($N1085="","",INDEX('_calc'!$J$2:$J$3001,$N1085))</f>
        <v/>
      </c>
      <c r="M1085" s="2" t="str">
        <f>IF($N1085="","",IF(AND(G1085=0,H1085=0),"수량 없음",IF(G1085=0,"신규 (전년 수량 없음)",IF(H1085=0,"당해 수량 없음",""))))</f>
        <v/>
      </c>
      <c r="N1085" t="str">
        <f>IF($B1085="","",MATCH($B1085,'_calc'!$L$2:$L$3001,0))</f>
        <v/>
      </c>
    </row>
    <row r="1086">
      <c r="B1086" s="24" t="str">
        <f>IF(ROW()-ROW($B$8)&gt;nComp,"",ROW()-ROW($B$8))</f>
        <v/>
      </c>
      <c r="C1086" t="str">
        <f>IF($N1086="","",INDEX('_calc'!$A$2:$A$3001,$N1086))</f>
        <v/>
      </c>
      <c r="D1086" s="25" t="str">
        <f>IF($N1086="","",INDEX('_calc'!$C$2:$C$3001,$N1086))</f>
        <v/>
      </c>
      <c r="E1086" s="25" t="str">
        <f>IF($N1086="","",INDEX('_calc'!$D$2:$D$3001,$N1086))</f>
        <v/>
      </c>
      <c r="F1086" s="26" t="str">
        <f>IF($N1086="","",IF($E$8=0,"",E1086/$E$8))</f>
        <v/>
      </c>
      <c r="G1086" s="25" t="str">
        <f>IF($N1086="","",INDEX('_calc'!$E$2:$E$3001,$N1086))</f>
        <v/>
      </c>
      <c r="H1086" s="25" t="str">
        <f>IF($N1086="","",INDEX('_calc'!$F$2:$F$3001,$N1086))</f>
        <v/>
      </c>
      <c r="I1086" s="27" t="str">
        <f>IF($N1086="","",INDEX('_calc'!$H$2:$H$3001,$N1086))</f>
        <v/>
      </c>
      <c r="J1086" s="27" t="str">
        <f>IF($N1086="","",INDEX('_calc'!$I$2:$I$3001,$N1086))</f>
        <v/>
      </c>
      <c r="K1086" s="28" t="str">
        <f>IF($N1086="","",IF(OR(I1086="",J1086=""),"",J1086-I1086))</f>
        <v/>
      </c>
      <c r="L1086" s="29" t="str">
        <f>IF($N1086="","",INDEX('_calc'!$J$2:$J$3001,$N1086))</f>
        <v/>
      </c>
      <c r="M1086" s="2" t="str">
        <f>IF($N1086="","",IF(AND(G1086=0,H1086=0),"수량 없음",IF(G1086=0,"신규 (전년 수량 없음)",IF(H1086=0,"당해 수량 없음",""))))</f>
        <v/>
      </c>
      <c r="N1086" t="str">
        <f>IF($B1086="","",MATCH($B1086,'_calc'!$L$2:$L$3001,0))</f>
        <v/>
      </c>
    </row>
    <row r="1087">
      <c r="B1087" s="24" t="str">
        <f>IF(ROW()-ROW($B$8)&gt;nComp,"",ROW()-ROW($B$8))</f>
        <v/>
      </c>
      <c r="C1087" t="str">
        <f>IF($N1087="","",INDEX('_calc'!$A$2:$A$3001,$N1087))</f>
        <v/>
      </c>
      <c r="D1087" s="25" t="str">
        <f>IF($N1087="","",INDEX('_calc'!$C$2:$C$3001,$N1087))</f>
        <v/>
      </c>
      <c r="E1087" s="25" t="str">
        <f>IF($N1087="","",INDEX('_calc'!$D$2:$D$3001,$N1087))</f>
        <v/>
      </c>
      <c r="F1087" s="26" t="str">
        <f>IF($N1087="","",IF($E$8=0,"",E1087/$E$8))</f>
        <v/>
      </c>
      <c r="G1087" s="25" t="str">
        <f>IF($N1087="","",INDEX('_calc'!$E$2:$E$3001,$N1087))</f>
        <v/>
      </c>
      <c r="H1087" s="25" t="str">
        <f>IF($N1087="","",INDEX('_calc'!$F$2:$F$3001,$N1087))</f>
        <v/>
      </c>
      <c r="I1087" s="27" t="str">
        <f>IF($N1087="","",INDEX('_calc'!$H$2:$H$3001,$N1087))</f>
        <v/>
      </c>
      <c r="J1087" s="27" t="str">
        <f>IF($N1087="","",INDEX('_calc'!$I$2:$I$3001,$N1087))</f>
        <v/>
      </c>
      <c r="K1087" s="28" t="str">
        <f>IF($N1087="","",IF(OR(I1087="",J1087=""),"",J1087-I1087))</f>
        <v/>
      </c>
      <c r="L1087" s="29" t="str">
        <f>IF($N1087="","",INDEX('_calc'!$J$2:$J$3001,$N1087))</f>
        <v/>
      </c>
      <c r="M1087" s="2" t="str">
        <f>IF($N1087="","",IF(AND(G1087=0,H1087=0),"수량 없음",IF(G1087=0,"신규 (전년 수량 없음)",IF(H1087=0,"당해 수량 없음",""))))</f>
        <v/>
      </c>
      <c r="N1087" t="str">
        <f>IF($B1087="","",MATCH($B1087,'_calc'!$L$2:$L$3001,0))</f>
        <v/>
      </c>
    </row>
    <row r="1088">
      <c r="B1088" s="24" t="str">
        <f>IF(ROW()-ROW($B$8)&gt;nComp,"",ROW()-ROW($B$8))</f>
        <v/>
      </c>
      <c r="C1088" t="str">
        <f>IF($N1088="","",INDEX('_calc'!$A$2:$A$3001,$N1088))</f>
        <v/>
      </c>
      <c r="D1088" s="25" t="str">
        <f>IF($N1088="","",INDEX('_calc'!$C$2:$C$3001,$N1088))</f>
        <v/>
      </c>
      <c r="E1088" s="25" t="str">
        <f>IF($N1088="","",INDEX('_calc'!$D$2:$D$3001,$N1088))</f>
        <v/>
      </c>
      <c r="F1088" s="26" t="str">
        <f>IF($N1088="","",IF($E$8=0,"",E1088/$E$8))</f>
        <v/>
      </c>
      <c r="G1088" s="25" t="str">
        <f>IF($N1088="","",INDEX('_calc'!$E$2:$E$3001,$N1088))</f>
        <v/>
      </c>
      <c r="H1088" s="25" t="str">
        <f>IF($N1088="","",INDEX('_calc'!$F$2:$F$3001,$N1088))</f>
        <v/>
      </c>
      <c r="I1088" s="27" t="str">
        <f>IF($N1088="","",INDEX('_calc'!$H$2:$H$3001,$N1088))</f>
        <v/>
      </c>
      <c r="J1088" s="27" t="str">
        <f>IF($N1088="","",INDEX('_calc'!$I$2:$I$3001,$N1088))</f>
        <v/>
      </c>
      <c r="K1088" s="28" t="str">
        <f>IF($N1088="","",IF(OR(I1088="",J1088=""),"",J1088-I1088))</f>
        <v/>
      </c>
      <c r="L1088" s="29" t="str">
        <f>IF($N1088="","",INDEX('_calc'!$J$2:$J$3001,$N1088))</f>
        <v/>
      </c>
      <c r="M1088" s="2" t="str">
        <f>IF($N1088="","",IF(AND(G1088=0,H1088=0),"수량 없음",IF(G1088=0,"신규 (전년 수량 없음)",IF(H1088=0,"당해 수량 없음",""))))</f>
        <v/>
      </c>
      <c r="N1088" t="str">
        <f>IF($B1088="","",MATCH($B1088,'_calc'!$L$2:$L$3001,0))</f>
        <v/>
      </c>
    </row>
    <row r="1089">
      <c r="B1089" s="24" t="str">
        <f>IF(ROW()-ROW($B$8)&gt;nComp,"",ROW()-ROW($B$8))</f>
        <v/>
      </c>
      <c r="C1089" t="str">
        <f>IF($N1089="","",INDEX('_calc'!$A$2:$A$3001,$N1089))</f>
        <v/>
      </c>
      <c r="D1089" s="25" t="str">
        <f>IF($N1089="","",INDEX('_calc'!$C$2:$C$3001,$N1089))</f>
        <v/>
      </c>
      <c r="E1089" s="25" t="str">
        <f>IF($N1089="","",INDEX('_calc'!$D$2:$D$3001,$N1089))</f>
        <v/>
      </c>
      <c r="F1089" s="26" t="str">
        <f>IF($N1089="","",IF($E$8=0,"",E1089/$E$8))</f>
        <v/>
      </c>
      <c r="G1089" s="25" t="str">
        <f>IF($N1089="","",INDEX('_calc'!$E$2:$E$3001,$N1089))</f>
        <v/>
      </c>
      <c r="H1089" s="25" t="str">
        <f>IF($N1089="","",INDEX('_calc'!$F$2:$F$3001,$N1089))</f>
        <v/>
      </c>
      <c r="I1089" s="27" t="str">
        <f>IF($N1089="","",INDEX('_calc'!$H$2:$H$3001,$N1089))</f>
        <v/>
      </c>
      <c r="J1089" s="27" t="str">
        <f>IF($N1089="","",INDEX('_calc'!$I$2:$I$3001,$N1089))</f>
        <v/>
      </c>
      <c r="K1089" s="28" t="str">
        <f>IF($N1089="","",IF(OR(I1089="",J1089=""),"",J1089-I1089))</f>
        <v/>
      </c>
      <c r="L1089" s="29" t="str">
        <f>IF($N1089="","",INDEX('_calc'!$J$2:$J$3001,$N1089))</f>
        <v/>
      </c>
      <c r="M1089" s="2" t="str">
        <f>IF($N1089="","",IF(AND(G1089=0,H1089=0),"수량 없음",IF(G1089=0,"신규 (전년 수량 없음)",IF(H1089=0,"당해 수량 없음",""))))</f>
        <v/>
      </c>
      <c r="N1089" t="str">
        <f>IF($B1089="","",MATCH($B1089,'_calc'!$L$2:$L$3001,0))</f>
        <v/>
      </c>
    </row>
    <row r="1090">
      <c r="B1090" s="24" t="str">
        <f>IF(ROW()-ROW($B$8)&gt;nComp,"",ROW()-ROW($B$8))</f>
        <v/>
      </c>
      <c r="C1090" t="str">
        <f>IF($N1090="","",INDEX('_calc'!$A$2:$A$3001,$N1090))</f>
        <v/>
      </c>
      <c r="D1090" s="25" t="str">
        <f>IF($N1090="","",INDEX('_calc'!$C$2:$C$3001,$N1090))</f>
        <v/>
      </c>
      <c r="E1090" s="25" t="str">
        <f>IF($N1090="","",INDEX('_calc'!$D$2:$D$3001,$N1090))</f>
        <v/>
      </c>
      <c r="F1090" s="26" t="str">
        <f>IF($N1090="","",IF($E$8=0,"",E1090/$E$8))</f>
        <v/>
      </c>
      <c r="G1090" s="25" t="str">
        <f>IF($N1090="","",INDEX('_calc'!$E$2:$E$3001,$N1090))</f>
        <v/>
      </c>
      <c r="H1090" s="25" t="str">
        <f>IF($N1090="","",INDEX('_calc'!$F$2:$F$3001,$N1090))</f>
        <v/>
      </c>
      <c r="I1090" s="27" t="str">
        <f>IF($N1090="","",INDEX('_calc'!$H$2:$H$3001,$N1090))</f>
        <v/>
      </c>
      <c r="J1090" s="27" t="str">
        <f>IF($N1090="","",INDEX('_calc'!$I$2:$I$3001,$N1090))</f>
        <v/>
      </c>
      <c r="K1090" s="28" t="str">
        <f>IF($N1090="","",IF(OR(I1090="",J1090=""),"",J1090-I1090))</f>
        <v/>
      </c>
      <c r="L1090" s="29" t="str">
        <f>IF($N1090="","",INDEX('_calc'!$J$2:$J$3001,$N1090))</f>
        <v/>
      </c>
      <c r="M1090" s="2" t="str">
        <f>IF($N1090="","",IF(AND(G1090=0,H1090=0),"수량 없음",IF(G1090=0,"신규 (전년 수량 없음)",IF(H1090=0,"당해 수량 없음",""))))</f>
        <v/>
      </c>
      <c r="N1090" t="str">
        <f>IF($B1090="","",MATCH($B1090,'_calc'!$L$2:$L$3001,0))</f>
        <v/>
      </c>
    </row>
    <row r="1091">
      <c r="B1091" s="24" t="str">
        <f>IF(ROW()-ROW($B$8)&gt;nComp,"",ROW()-ROW($B$8))</f>
        <v/>
      </c>
      <c r="C1091" t="str">
        <f>IF($N1091="","",INDEX('_calc'!$A$2:$A$3001,$N1091))</f>
        <v/>
      </c>
      <c r="D1091" s="25" t="str">
        <f>IF($N1091="","",INDEX('_calc'!$C$2:$C$3001,$N1091))</f>
        <v/>
      </c>
      <c r="E1091" s="25" t="str">
        <f>IF($N1091="","",INDEX('_calc'!$D$2:$D$3001,$N1091))</f>
        <v/>
      </c>
      <c r="F1091" s="26" t="str">
        <f>IF($N1091="","",IF($E$8=0,"",E1091/$E$8))</f>
        <v/>
      </c>
      <c r="G1091" s="25" t="str">
        <f>IF($N1091="","",INDEX('_calc'!$E$2:$E$3001,$N1091))</f>
        <v/>
      </c>
      <c r="H1091" s="25" t="str">
        <f>IF($N1091="","",INDEX('_calc'!$F$2:$F$3001,$N1091))</f>
        <v/>
      </c>
      <c r="I1091" s="27" t="str">
        <f>IF($N1091="","",INDEX('_calc'!$H$2:$H$3001,$N1091))</f>
        <v/>
      </c>
      <c r="J1091" s="27" t="str">
        <f>IF($N1091="","",INDEX('_calc'!$I$2:$I$3001,$N1091))</f>
        <v/>
      </c>
      <c r="K1091" s="28" t="str">
        <f>IF($N1091="","",IF(OR(I1091="",J1091=""),"",J1091-I1091))</f>
        <v/>
      </c>
      <c r="L1091" s="29" t="str">
        <f>IF($N1091="","",INDEX('_calc'!$J$2:$J$3001,$N1091))</f>
        <v/>
      </c>
      <c r="M1091" s="2" t="str">
        <f>IF($N1091="","",IF(AND(G1091=0,H1091=0),"수량 없음",IF(G1091=0,"신규 (전년 수량 없음)",IF(H1091=0,"당해 수량 없음",""))))</f>
        <v/>
      </c>
      <c r="N1091" t="str">
        <f>IF($B1091="","",MATCH($B1091,'_calc'!$L$2:$L$3001,0))</f>
        <v/>
      </c>
    </row>
    <row r="1092">
      <c r="B1092" s="24" t="str">
        <f>IF(ROW()-ROW($B$8)&gt;nComp,"",ROW()-ROW($B$8))</f>
        <v/>
      </c>
      <c r="C1092" t="str">
        <f>IF($N1092="","",INDEX('_calc'!$A$2:$A$3001,$N1092))</f>
        <v/>
      </c>
      <c r="D1092" s="25" t="str">
        <f>IF($N1092="","",INDEX('_calc'!$C$2:$C$3001,$N1092))</f>
        <v/>
      </c>
      <c r="E1092" s="25" t="str">
        <f>IF($N1092="","",INDEX('_calc'!$D$2:$D$3001,$N1092))</f>
        <v/>
      </c>
      <c r="F1092" s="26" t="str">
        <f>IF($N1092="","",IF($E$8=0,"",E1092/$E$8))</f>
        <v/>
      </c>
      <c r="G1092" s="25" t="str">
        <f>IF($N1092="","",INDEX('_calc'!$E$2:$E$3001,$N1092))</f>
        <v/>
      </c>
      <c r="H1092" s="25" t="str">
        <f>IF($N1092="","",INDEX('_calc'!$F$2:$F$3001,$N1092))</f>
        <v/>
      </c>
      <c r="I1092" s="27" t="str">
        <f>IF($N1092="","",INDEX('_calc'!$H$2:$H$3001,$N1092))</f>
        <v/>
      </c>
      <c r="J1092" s="27" t="str">
        <f>IF($N1092="","",INDEX('_calc'!$I$2:$I$3001,$N1092))</f>
        <v/>
      </c>
      <c r="K1092" s="28" t="str">
        <f>IF($N1092="","",IF(OR(I1092="",J1092=""),"",J1092-I1092))</f>
        <v/>
      </c>
      <c r="L1092" s="29" t="str">
        <f>IF($N1092="","",INDEX('_calc'!$J$2:$J$3001,$N1092))</f>
        <v/>
      </c>
      <c r="M1092" s="2" t="str">
        <f>IF($N1092="","",IF(AND(G1092=0,H1092=0),"수량 없음",IF(G1092=0,"신규 (전년 수량 없음)",IF(H1092=0,"당해 수량 없음",""))))</f>
        <v/>
      </c>
      <c r="N1092" t="str">
        <f>IF($B1092="","",MATCH($B1092,'_calc'!$L$2:$L$3001,0))</f>
        <v/>
      </c>
    </row>
    <row r="1093">
      <c r="B1093" s="24" t="str">
        <f>IF(ROW()-ROW($B$8)&gt;nComp,"",ROW()-ROW($B$8))</f>
        <v/>
      </c>
      <c r="C1093" t="str">
        <f>IF($N1093="","",INDEX('_calc'!$A$2:$A$3001,$N1093))</f>
        <v/>
      </c>
      <c r="D1093" s="25" t="str">
        <f>IF($N1093="","",INDEX('_calc'!$C$2:$C$3001,$N1093))</f>
        <v/>
      </c>
      <c r="E1093" s="25" t="str">
        <f>IF($N1093="","",INDEX('_calc'!$D$2:$D$3001,$N1093))</f>
        <v/>
      </c>
      <c r="F1093" s="26" t="str">
        <f>IF($N1093="","",IF($E$8=0,"",E1093/$E$8))</f>
        <v/>
      </c>
      <c r="G1093" s="25" t="str">
        <f>IF($N1093="","",INDEX('_calc'!$E$2:$E$3001,$N1093))</f>
        <v/>
      </c>
      <c r="H1093" s="25" t="str">
        <f>IF($N1093="","",INDEX('_calc'!$F$2:$F$3001,$N1093))</f>
        <v/>
      </c>
      <c r="I1093" s="27" t="str">
        <f>IF($N1093="","",INDEX('_calc'!$H$2:$H$3001,$N1093))</f>
        <v/>
      </c>
      <c r="J1093" s="27" t="str">
        <f>IF($N1093="","",INDEX('_calc'!$I$2:$I$3001,$N1093))</f>
        <v/>
      </c>
      <c r="K1093" s="28" t="str">
        <f>IF($N1093="","",IF(OR(I1093="",J1093=""),"",J1093-I1093))</f>
        <v/>
      </c>
      <c r="L1093" s="29" t="str">
        <f>IF($N1093="","",INDEX('_calc'!$J$2:$J$3001,$N1093))</f>
        <v/>
      </c>
      <c r="M1093" s="2" t="str">
        <f>IF($N1093="","",IF(AND(G1093=0,H1093=0),"수량 없음",IF(G1093=0,"신규 (전년 수량 없음)",IF(H1093=0,"당해 수량 없음",""))))</f>
        <v/>
      </c>
      <c r="N1093" t="str">
        <f>IF($B1093="","",MATCH($B1093,'_calc'!$L$2:$L$3001,0))</f>
        <v/>
      </c>
    </row>
    <row r="1094">
      <c r="B1094" s="24" t="str">
        <f>IF(ROW()-ROW($B$8)&gt;nComp,"",ROW()-ROW($B$8))</f>
        <v/>
      </c>
      <c r="C1094" t="str">
        <f>IF($N1094="","",INDEX('_calc'!$A$2:$A$3001,$N1094))</f>
        <v/>
      </c>
      <c r="D1094" s="25" t="str">
        <f>IF($N1094="","",INDEX('_calc'!$C$2:$C$3001,$N1094))</f>
        <v/>
      </c>
      <c r="E1094" s="25" t="str">
        <f>IF($N1094="","",INDEX('_calc'!$D$2:$D$3001,$N1094))</f>
        <v/>
      </c>
      <c r="F1094" s="26" t="str">
        <f>IF($N1094="","",IF($E$8=0,"",E1094/$E$8))</f>
        <v/>
      </c>
      <c r="G1094" s="25" t="str">
        <f>IF($N1094="","",INDEX('_calc'!$E$2:$E$3001,$N1094))</f>
        <v/>
      </c>
      <c r="H1094" s="25" t="str">
        <f>IF($N1094="","",INDEX('_calc'!$F$2:$F$3001,$N1094))</f>
        <v/>
      </c>
      <c r="I1094" s="27" t="str">
        <f>IF($N1094="","",INDEX('_calc'!$H$2:$H$3001,$N1094))</f>
        <v/>
      </c>
      <c r="J1094" s="27" t="str">
        <f>IF($N1094="","",INDEX('_calc'!$I$2:$I$3001,$N1094))</f>
        <v/>
      </c>
      <c r="K1094" s="28" t="str">
        <f>IF($N1094="","",IF(OR(I1094="",J1094=""),"",J1094-I1094))</f>
        <v/>
      </c>
      <c r="L1094" s="29" t="str">
        <f>IF($N1094="","",INDEX('_calc'!$J$2:$J$3001,$N1094))</f>
        <v/>
      </c>
      <c r="M1094" s="2" t="str">
        <f>IF($N1094="","",IF(AND(G1094=0,H1094=0),"수량 없음",IF(G1094=0,"신규 (전년 수량 없음)",IF(H1094=0,"당해 수량 없음",""))))</f>
        <v/>
      </c>
      <c r="N1094" t="str">
        <f>IF($B1094="","",MATCH($B1094,'_calc'!$L$2:$L$3001,0))</f>
        <v/>
      </c>
    </row>
    <row r="1095">
      <c r="B1095" s="24" t="str">
        <f>IF(ROW()-ROW($B$8)&gt;nComp,"",ROW()-ROW($B$8))</f>
        <v/>
      </c>
      <c r="C1095" t="str">
        <f>IF($N1095="","",INDEX('_calc'!$A$2:$A$3001,$N1095))</f>
        <v/>
      </c>
      <c r="D1095" s="25" t="str">
        <f>IF($N1095="","",INDEX('_calc'!$C$2:$C$3001,$N1095))</f>
        <v/>
      </c>
      <c r="E1095" s="25" t="str">
        <f>IF($N1095="","",INDEX('_calc'!$D$2:$D$3001,$N1095))</f>
        <v/>
      </c>
      <c r="F1095" s="26" t="str">
        <f>IF($N1095="","",IF($E$8=0,"",E1095/$E$8))</f>
        <v/>
      </c>
      <c r="G1095" s="25" t="str">
        <f>IF($N1095="","",INDEX('_calc'!$E$2:$E$3001,$N1095))</f>
        <v/>
      </c>
      <c r="H1095" s="25" t="str">
        <f>IF($N1095="","",INDEX('_calc'!$F$2:$F$3001,$N1095))</f>
        <v/>
      </c>
      <c r="I1095" s="27" t="str">
        <f>IF($N1095="","",INDEX('_calc'!$H$2:$H$3001,$N1095))</f>
        <v/>
      </c>
      <c r="J1095" s="27" t="str">
        <f>IF($N1095="","",INDEX('_calc'!$I$2:$I$3001,$N1095))</f>
        <v/>
      </c>
      <c r="K1095" s="28" t="str">
        <f>IF($N1095="","",IF(OR(I1095="",J1095=""),"",J1095-I1095))</f>
        <v/>
      </c>
      <c r="L1095" s="29" t="str">
        <f>IF($N1095="","",INDEX('_calc'!$J$2:$J$3001,$N1095))</f>
        <v/>
      </c>
      <c r="M1095" s="2" t="str">
        <f>IF($N1095="","",IF(AND(G1095=0,H1095=0),"수량 없음",IF(G1095=0,"신규 (전년 수량 없음)",IF(H1095=0,"당해 수량 없음",""))))</f>
        <v/>
      </c>
      <c r="N1095" t="str">
        <f>IF($B1095="","",MATCH($B1095,'_calc'!$L$2:$L$3001,0))</f>
        <v/>
      </c>
    </row>
    <row r="1096">
      <c r="B1096" s="24" t="str">
        <f>IF(ROW()-ROW($B$8)&gt;nComp,"",ROW()-ROW($B$8))</f>
        <v/>
      </c>
      <c r="C1096" t="str">
        <f>IF($N1096="","",INDEX('_calc'!$A$2:$A$3001,$N1096))</f>
        <v/>
      </c>
      <c r="D1096" s="25" t="str">
        <f>IF($N1096="","",INDEX('_calc'!$C$2:$C$3001,$N1096))</f>
        <v/>
      </c>
      <c r="E1096" s="25" t="str">
        <f>IF($N1096="","",INDEX('_calc'!$D$2:$D$3001,$N1096))</f>
        <v/>
      </c>
      <c r="F1096" s="26" t="str">
        <f>IF($N1096="","",IF($E$8=0,"",E1096/$E$8))</f>
        <v/>
      </c>
      <c r="G1096" s="25" t="str">
        <f>IF($N1096="","",INDEX('_calc'!$E$2:$E$3001,$N1096))</f>
        <v/>
      </c>
      <c r="H1096" s="25" t="str">
        <f>IF($N1096="","",INDEX('_calc'!$F$2:$F$3001,$N1096))</f>
        <v/>
      </c>
      <c r="I1096" s="27" t="str">
        <f>IF($N1096="","",INDEX('_calc'!$H$2:$H$3001,$N1096))</f>
        <v/>
      </c>
      <c r="J1096" s="27" t="str">
        <f>IF($N1096="","",INDEX('_calc'!$I$2:$I$3001,$N1096))</f>
        <v/>
      </c>
      <c r="K1096" s="28" t="str">
        <f>IF($N1096="","",IF(OR(I1096="",J1096=""),"",J1096-I1096))</f>
        <v/>
      </c>
      <c r="L1096" s="29" t="str">
        <f>IF($N1096="","",INDEX('_calc'!$J$2:$J$3001,$N1096))</f>
        <v/>
      </c>
      <c r="M1096" s="2" t="str">
        <f>IF($N1096="","",IF(AND(G1096=0,H1096=0),"수량 없음",IF(G1096=0,"신규 (전년 수량 없음)",IF(H1096=0,"당해 수량 없음",""))))</f>
        <v/>
      </c>
      <c r="N1096" t="str">
        <f>IF($B1096="","",MATCH($B1096,'_calc'!$L$2:$L$3001,0))</f>
        <v/>
      </c>
    </row>
    <row r="1097">
      <c r="B1097" s="24" t="str">
        <f>IF(ROW()-ROW($B$8)&gt;nComp,"",ROW()-ROW($B$8))</f>
        <v/>
      </c>
      <c r="C1097" t="str">
        <f>IF($N1097="","",INDEX('_calc'!$A$2:$A$3001,$N1097))</f>
        <v/>
      </c>
      <c r="D1097" s="25" t="str">
        <f>IF($N1097="","",INDEX('_calc'!$C$2:$C$3001,$N1097))</f>
        <v/>
      </c>
      <c r="E1097" s="25" t="str">
        <f>IF($N1097="","",INDEX('_calc'!$D$2:$D$3001,$N1097))</f>
        <v/>
      </c>
      <c r="F1097" s="26" t="str">
        <f>IF($N1097="","",IF($E$8=0,"",E1097/$E$8))</f>
        <v/>
      </c>
      <c r="G1097" s="25" t="str">
        <f>IF($N1097="","",INDEX('_calc'!$E$2:$E$3001,$N1097))</f>
        <v/>
      </c>
      <c r="H1097" s="25" t="str">
        <f>IF($N1097="","",INDEX('_calc'!$F$2:$F$3001,$N1097))</f>
        <v/>
      </c>
      <c r="I1097" s="27" t="str">
        <f>IF($N1097="","",INDEX('_calc'!$H$2:$H$3001,$N1097))</f>
        <v/>
      </c>
      <c r="J1097" s="27" t="str">
        <f>IF($N1097="","",INDEX('_calc'!$I$2:$I$3001,$N1097))</f>
        <v/>
      </c>
      <c r="K1097" s="28" t="str">
        <f>IF($N1097="","",IF(OR(I1097="",J1097=""),"",J1097-I1097))</f>
        <v/>
      </c>
      <c r="L1097" s="29" t="str">
        <f>IF($N1097="","",INDEX('_calc'!$J$2:$J$3001,$N1097))</f>
        <v/>
      </c>
      <c r="M1097" s="2" t="str">
        <f>IF($N1097="","",IF(AND(G1097=0,H1097=0),"수량 없음",IF(G1097=0,"신규 (전년 수량 없음)",IF(H1097=0,"당해 수량 없음",""))))</f>
        <v/>
      </c>
      <c r="N1097" t="str">
        <f>IF($B1097="","",MATCH($B1097,'_calc'!$L$2:$L$3001,0))</f>
        <v/>
      </c>
    </row>
    <row r="1098">
      <c r="B1098" s="24" t="str">
        <f>IF(ROW()-ROW($B$8)&gt;nComp,"",ROW()-ROW($B$8))</f>
        <v/>
      </c>
      <c r="C1098" t="str">
        <f>IF($N1098="","",INDEX('_calc'!$A$2:$A$3001,$N1098))</f>
        <v/>
      </c>
      <c r="D1098" s="25" t="str">
        <f>IF($N1098="","",INDEX('_calc'!$C$2:$C$3001,$N1098))</f>
        <v/>
      </c>
      <c r="E1098" s="25" t="str">
        <f>IF($N1098="","",INDEX('_calc'!$D$2:$D$3001,$N1098))</f>
        <v/>
      </c>
      <c r="F1098" s="26" t="str">
        <f>IF($N1098="","",IF($E$8=0,"",E1098/$E$8))</f>
        <v/>
      </c>
      <c r="G1098" s="25" t="str">
        <f>IF($N1098="","",INDEX('_calc'!$E$2:$E$3001,$N1098))</f>
        <v/>
      </c>
      <c r="H1098" s="25" t="str">
        <f>IF($N1098="","",INDEX('_calc'!$F$2:$F$3001,$N1098))</f>
        <v/>
      </c>
      <c r="I1098" s="27" t="str">
        <f>IF($N1098="","",INDEX('_calc'!$H$2:$H$3001,$N1098))</f>
        <v/>
      </c>
      <c r="J1098" s="27" t="str">
        <f>IF($N1098="","",INDEX('_calc'!$I$2:$I$3001,$N1098))</f>
        <v/>
      </c>
      <c r="K1098" s="28" t="str">
        <f>IF($N1098="","",IF(OR(I1098="",J1098=""),"",J1098-I1098))</f>
        <v/>
      </c>
      <c r="L1098" s="29" t="str">
        <f>IF($N1098="","",INDEX('_calc'!$J$2:$J$3001,$N1098))</f>
        <v/>
      </c>
      <c r="M1098" s="2" t="str">
        <f>IF($N1098="","",IF(AND(G1098=0,H1098=0),"수량 없음",IF(G1098=0,"신규 (전년 수량 없음)",IF(H1098=0,"당해 수량 없음",""))))</f>
        <v/>
      </c>
      <c r="N1098" t="str">
        <f>IF($B1098="","",MATCH($B1098,'_calc'!$L$2:$L$3001,0))</f>
        <v/>
      </c>
    </row>
    <row r="1099">
      <c r="B1099" s="24" t="str">
        <f>IF(ROW()-ROW($B$8)&gt;nComp,"",ROW()-ROW($B$8))</f>
        <v/>
      </c>
      <c r="C1099" t="str">
        <f>IF($N1099="","",INDEX('_calc'!$A$2:$A$3001,$N1099))</f>
        <v/>
      </c>
      <c r="D1099" s="25" t="str">
        <f>IF($N1099="","",INDEX('_calc'!$C$2:$C$3001,$N1099))</f>
        <v/>
      </c>
      <c r="E1099" s="25" t="str">
        <f>IF($N1099="","",INDEX('_calc'!$D$2:$D$3001,$N1099))</f>
        <v/>
      </c>
      <c r="F1099" s="26" t="str">
        <f>IF($N1099="","",IF($E$8=0,"",E1099/$E$8))</f>
        <v/>
      </c>
      <c r="G1099" s="25" t="str">
        <f>IF($N1099="","",INDEX('_calc'!$E$2:$E$3001,$N1099))</f>
        <v/>
      </c>
      <c r="H1099" s="25" t="str">
        <f>IF($N1099="","",INDEX('_calc'!$F$2:$F$3001,$N1099))</f>
        <v/>
      </c>
      <c r="I1099" s="27" t="str">
        <f>IF($N1099="","",INDEX('_calc'!$H$2:$H$3001,$N1099))</f>
        <v/>
      </c>
      <c r="J1099" s="27" t="str">
        <f>IF($N1099="","",INDEX('_calc'!$I$2:$I$3001,$N1099))</f>
        <v/>
      </c>
      <c r="K1099" s="28" t="str">
        <f>IF($N1099="","",IF(OR(I1099="",J1099=""),"",J1099-I1099))</f>
        <v/>
      </c>
      <c r="L1099" s="29" t="str">
        <f>IF($N1099="","",INDEX('_calc'!$J$2:$J$3001,$N1099))</f>
        <v/>
      </c>
      <c r="M1099" s="2" t="str">
        <f>IF($N1099="","",IF(AND(G1099=0,H1099=0),"수량 없음",IF(G1099=0,"신규 (전년 수량 없음)",IF(H1099=0,"당해 수량 없음",""))))</f>
        <v/>
      </c>
      <c r="N1099" t="str">
        <f>IF($B1099="","",MATCH($B1099,'_calc'!$L$2:$L$3001,0))</f>
        <v/>
      </c>
    </row>
    <row r="1100">
      <c r="B1100" s="24" t="str">
        <f>IF(ROW()-ROW($B$8)&gt;nComp,"",ROW()-ROW($B$8))</f>
        <v/>
      </c>
      <c r="C1100" t="str">
        <f>IF($N1100="","",INDEX('_calc'!$A$2:$A$3001,$N1100))</f>
        <v/>
      </c>
      <c r="D1100" s="25" t="str">
        <f>IF($N1100="","",INDEX('_calc'!$C$2:$C$3001,$N1100))</f>
        <v/>
      </c>
      <c r="E1100" s="25" t="str">
        <f>IF($N1100="","",INDEX('_calc'!$D$2:$D$3001,$N1100))</f>
        <v/>
      </c>
      <c r="F1100" s="26" t="str">
        <f>IF($N1100="","",IF($E$8=0,"",E1100/$E$8))</f>
        <v/>
      </c>
      <c r="G1100" s="25" t="str">
        <f>IF($N1100="","",INDEX('_calc'!$E$2:$E$3001,$N1100))</f>
        <v/>
      </c>
      <c r="H1100" s="25" t="str">
        <f>IF($N1100="","",INDEX('_calc'!$F$2:$F$3001,$N1100))</f>
        <v/>
      </c>
      <c r="I1100" s="27" t="str">
        <f>IF($N1100="","",INDEX('_calc'!$H$2:$H$3001,$N1100))</f>
        <v/>
      </c>
      <c r="J1100" s="27" t="str">
        <f>IF($N1100="","",INDEX('_calc'!$I$2:$I$3001,$N1100))</f>
        <v/>
      </c>
      <c r="K1100" s="28" t="str">
        <f>IF($N1100="","",IF(OR(I1100="",J1100=""),"",J1100-I1100))</f>
        <v/>
      </c>
      <c r="L1100" s="29" t="str">
        <f>IF($N1100="","",INDEX('_calc'!$J$2:$J$3001,$N1100))</f>
        <v/>
      </c>
      <c r="M1100" s="2" t="str">
        <f>IF($N1100="","",IF(AND(G1100=0,H1100=0),"수량 없음",IF(G1100=0,"신규 (전년 수량 없음)",IF(H1100=0,"당해 수량 없음",""))))</f>
        <v/>
      </c>
      <c r="N1100" t="str">
        <f>IF($B1100="","",MATCH($B1100,'_calc'!$L$2:$L$3001,0))</f>
        <v/>
      </c>
    </row>
    <row r="1101">
      <c r="B1101" s="24" t="str">
        <f>IF(ROW()-ROW($B$8)&gt;nComp,"",ROW()-ROW($B$8))</f>
        <v/>
      </c>
      <c r="C1101" t="str">
        <f>IF($N1101="","",INDEX('_calc'!$A$2:$A$3001,$N1101))</f>
        <v/>
      </c>
      <c r="D1101" s="25" t="str">
        <f>IF($N1101="","",INDEX('_calc'!$C$2:$C$3001,$N1101))</f>
        <v/>
      </c>
      <c r="E1101" s="25" t="str">
        <f>IF($N1101="","",INDEX('_calc'!$D$2:$D$3001,$N1101))</f>
        <v/>
      </c>
      <c r="F1101" s="26" t="str">
        <f>IF($N1101="","",IF($E$8=0,"",E1101/$E$8))</f>
        <v/>
      </c>
      <c r="G1101" s="25" t="str">
        <f>IF($N1101="","",INDEX('_calc'!$E$2:$E$3001,$N1101))</f>
        <v/>
      </c>
      <c r="H1101" s="25" t="str">
        <f>IF($N1101="","",INDEX('_calc'!$F$2:$F$3001,$N1101))</f>
        <v/>
      </c>
      <c r="I1101" s="27" t="str">
        <f>IF($N1101="","",INDEX('_calc'!$H$2:$H$3001,$N1101))</f>
        <v/>
      </c>
      <c r="J1101" s="27" t="str">
        <f>IF($N1101="","",INDEX('_calc'!$I$2:$I$3001,$N1101))</f>
        <v/>
      </c>
      <c r="K1101" s="28" t="str">
        <f>IF($N1101="","",IF(OR(I1101="",J1101=""),"",J1101-I1101))</f>
        <v/>
      </c>
      <c r="L1101" s="29" t="str">
        <f>IF($N1101="","",INDEX('_calc'!$J$2:$J$3001,$N1101))</f>
        <v/>
      </c>
      <c r="M1101" s="2" t="str">
        <f>IF($N1101="","",IF(AND(G1101=0,H1101=0),"수량 없음",IF(G1101=0,"신규 (전년 수량 없음)",IF(H1101=0,"당해 수량 없음",""))))</f>
        <v/>
      </c>
      <c r="N1101" t="str">
        <f>IF($B1101="","",MATCH($B1101,'_calc'!$L$2:$L$3001,0))</f>
        <v/>
      </c>
    </row>
    <row r="1102">
      <c r="B1102" s="24" t="str">
        <f>IF(ROW()-ROW($B$8)&gt;nComp,"",ROW()-ROW($B$8))</f>
        <v/>
      </c>
      <c r="C1102" t="str">
        <f>IF($N1102="","",INDEX('_calc'!$A$2:$A$3001,$N1102))</f>
        <v/>
      </c>
      <c r="D1102" s="25" t="str">
        <f>IF($N1102="","",INDEX('_calc'!$C$2:$C$3001,$N1102))</f>
        <v/>
      </c>
      <c r="E1102" s="25" t="str">
        <f>IF($N1102="","",INDEX('_calc'!$D$2:$D$3001,$N1102))</f>
        <v/>
      </c>
      <c r="F1102" s="26" t="str">
        <f>IF($N1102="","",IF($E$8=0,"",E1102/$E$8))</f>
        <v/>
      </c>
      <c r="G1102" s="25" t="str">
        <f>IF($N1102="","",INDEX('_calc'!$E$2:$E$3001,$N1102))</f>
        <v/>
      </c>
      <c r="H1102" s="25" t="str">
        <f>IF($N1102="","",INDEX('_calc'!$F$2:$F$3001,$N1102))</f>
        <v/>
      </c>
      <c r="I1102" s="27" t="str">
        <f>IF($N1102="","",INDEX('_calc'!$H$2:$H$3001,$N1102))</f>
        <v/>
      </c>
      <c r="J1102" s="27" t="str">
        <f>IF($N1102="","",INDEX('_calc'!$I$2:$I$3001,$N1102))</f>
        <v/>
      </c>
      <c r="K1102" s="28" t="str">
        <f>IF($N1102="","",IF(OR(I1102="",J1102=""),"",J1102-I1102))</f>
        <v/>
      </c>
      <c r="L1102" s="29" t="str">
        <f>IF($N1102="","",INDEX('_calc'!$J$2:$J$3001,$N1102))</f>
        <v/>
      </c>
      <c r="M1102" s="2" t="str">
        <f>IF($N1102="","",IF(AND(G1102=0,H1102=0),"수량 없음",IF(G1102=0,"신규 (전년 수량 없음)",IF(H1102=0,"당해 수량 없음",""))))</f>
        <v/>
      </c>
      <c r="N1102" t="str">
        <f>IF($B1102="","",MATCH($B1102,'_calc'!$L$2:$L$3001,0))</f>
        <v/>
      </c>
    </row>
    <row r="1103">
      <c r="B1103" s="24" t="str">
        <f>IF(ROW()-ROW($B$8)&gt;nComp,"",ROW()-ROW($B$8))</f>
        <v/>
      </c>
      <c r="C1103" t="str">
        <f>IF($N1103="","",INDEX('_calc'!$A$2:$A$3001,$N1103))</f>
        <v/>
      </c>
      <c r="D1103" s="25" t="str">
        <f>IF($N1103="","",INDEX('_calc'!$C$2:$C$3001,$N1103))</f>
        <v/>
      </c>
      <c r="E1103" s="25" t="str">
        <f>IF($N1103="","",INDEX('_calc'!$D$2:$D$3001,$N1103))</f>
        <v/>
      </c>
      <c r="F1103" s="26" t="str">
        <f>IF($N1103="","",IF($E$8=0,"",E1103/$E$8))</f>
        <v/>
      </c>
      <c r="G1103" s="25" t="str">
        <f>IF($N1103="","",INDEX('_calc'!$E$2:$E$3001,$N1103))</f>
        <v/>
      </c>
      <c r="H1103" s="25" t="str">
        <f>IF($N1103="","",INDEX('_calc'!$F$2:$F$3001,$N1103))</f>
        <v/>
      </c>
      <c r="I1103" s="27" t="str">
        <f>IF($N1103="","",INDEX('_calc'!$H$2:$H$3001,$N1103))</f>
        <v/>
      </c>
      <c r="J1103" s="27" t="str">
        <f>IF($N1103="","",INDEX('_calc'!$I$2:$I$3001,$N1103))</f>
        <v/>
      </c>
      <c r="K1103" s="28" t="str">
        <f>IF($N1103="","",IF(OR(I1103="",J1103=""),"",J1103-I1103))</f>
        <v/>
      </c>
      <c r="L1103" s="29" t="str">
        <f>IF($N1103="","",INDEX('_calc'!$J$2:$J$3001,$N1103))</f>
        <v/>
      </c>
      <c r="M1103" s="2" t="str">
        <f>IF($N1103="","",IF(AND(G1103=0,H1103=0),"수량 없음",IF(G1103=0,"신규 (전년 수량 없음)",IF(H1103=0,"당해 수량 없음",""))))</f>
        <v/>
      </c>
      <c r="N1103" t="str">
        <f>IF($B1103="","",MATCH($B1103,'_calc'!$L$2:$L$3001,0))</f>
        <v/>
      </c>
    </row>
    <row r="1104">
      <c r="B1104" s="24" t="str">
        <f>IF(ROW()-ROW($B$8)&gt;nComp,"",ROW()-ROW($B$8))</f>
        <v/>
      </c>
      <c r="C1104" t="str">
        <f>IF($N1104="","",INDEX('_calc'!$A$2:$A$3001,$N1104))</f>
        <v/>
      </c>
      <c r="D1104" s="25" t="str">
        <f>IF($N1104="","",INDEX('_calc'!$C$2:$C$3001,$N1104))</f>
        <v/>
      </c>
      <c r="E1104" s="25" t="str">
        <f>IF($N1104="","",INDEX('_calc'!$D$2:$D$3001,$N1104))</f>
        <v/>
      </c>
      <c r="F1104" s="26" t="str">
        <f>IF($N1104="","",IF($E$8=0,"",E1104/$E$8))</f>
        <v/>
      </c>
      <c r="G1104" s="25" t="str">
        <f>IF($N1104="","",INDEX('_calc'!$E$2:$E$3001,$N1104))</f>
        <v/>
      </c>
      <c r="H1104" s="25" t="str">
        <f>IF($N1104="","",INDEX('_calc'!$F$2:$F$3001,$N1104))</f>
        <v/>
      </c>
      <c r="I1104" s="27" t="str">
        <f>IF($N1104="","",INDEX('_calc'!$H$2:$H$3001,$N1104))</f>
        <v/>
      </c>
      <c r="J1104" s="27" t="str">
        <f>IF($N1104="","",INDEX('_calc'!$I$2:$I$3001,$N1104))</f>
        <v/>
      </c>
      <c r="K1104" s="28" t="str">
        <f>IF($N1104="","",IF(OR(I1104="",J1104=""),"",J1104-I1104))</f>
        <v/>
      </c>
      <c r="L1104" s="29" t="str">
        <f>IF($N1104="","",INDEX('_calc'!$J$2:$J$3001,$N1104))</f>
        <v/>
      </c>
      <c r="M1104" s="2" t="str">
        <f>IF($N1104="","",IF(AND(G1104=0,H1104=0),"수량 없음",IF(G1104=0,"신규 (전년 수량 없음)",IF(H1104=0,"당해 수량 없음",""))))</f>
        <v/>
      </c>
      <c r="N1104" t="str">
        <f>IF($B1104="","",MATCH($B1104,'_calc'!$L$2:$L$3001,0))</f>
        <v/>
      </c>
    </row>
    <row r="1105">
      <c r="B1105" s="24" t="str">
        <f>IF(ROW()-ROW($B$8)&gt;nComp,"",ROW()-ROW($B$8))</f>
        <v/>
      </c>
      <c r="C1105" t="str">
        <f>IF($N1105="","",INDEX('_calc'!$A$2:$A$3001,$N1105))</f>
        <v/>
      </c>
      <c r="D1105" s="25" t="str">
        <f>IF($N1105="","",INDEX('_calc'!$C$2:$C$3001,$N1105))</f>
        <v/>
      </c>
      <c r="E1105" s="25" t="str">
        <f>IF($N1105="","",INDEX('_calc'!$D$2:$D$3001,$N1105))</f>
        <v/>
      </c>
      <c r="F1105" s="26" t="str">
        <f>IF($N1105="","",IF($E$8=0,"",E1105/$E$8))</f>
        <v/>
      </c>
      <c r="G1105" s="25" t="str">
        <f>IF($N1105="","",INDEX('_calc'!$E$2:$E$3001,$N1105))</f>
        <v/>
      </c>
      <c r="H1105" s="25" t="str">
        <f>IF($N1105="","",INDEX('_calc'!$F$2:$F$3001,$N1105))</f>
        <v/>
      </c>
      <c r="I1105" s="27" t="str">
        <f>IF($N1105="","",INDEX('_calc'!$H$2:$H$3001,$N1105))</f>
        <v/>
      </c>
      <c r="J1105" s="27" t="str">
        <f>IF($N1105="","",INDEX('_calc'!$I$2:$I$3001,$N1105))</f>
        <v/>
      </c>
      <c r="K1105" s="28" t="str">
        <f>IF($N1105="","",IF(OR(I1105="",J1105=""),"",J1105-I1105))</f>
        <v/>
      </c>
      <c r="L1105" s="29" t="str">
        <f>IF($N1105="","",INDEX('_calc'!$J$2:$J$3001,$N1105))</f>
        <v/>
      </c>
      <c r="M1105" s="2" t="str">
        <f>IF($N1105="","",IF(AND(G1105=0,H1105=0),"수량 없음",IF(G1105=0,"신규 (전년 수량 없음)",IF(H1105=0,"당해 수량 없음",""))))</f>
        <v/>
      </c>
      <c r="N1105" t="str">
        <f>IF($B1105="","",MATCH($B1105,'_calc'!$L$2:$L$3001,0))</f>
        <v/>
      </c>
    </row>
    <row r="1106">
      <c r="B1106" s="24" t="str">
        <f>IF(ROW()-ROW($B$8)&gt;nComp,"",ROW()-ROW($B$8))</f>
        <v/>
      </c>
      <c r="C1106" t="str">
        <f>IF($N1106="","",INDEX('_calc'!$A$2:$A$3001,$N1106))</f>
        <v/>
      </c>
      <c r="D1106" s="25" t="str">
        <f>IF($N1106="","",INDEX('_calc'!$C$2:$C$3001,$N1106))</f>
        <v/>
      </c>
      <c r="E1106" s="25" t="str">
        <f>IF($N1106="","",INDEX('_calc'!$D$2:$D$3001,$N1106))</f>
        <v/>
      </c>
      <c r="F1106" s="26" t="str">
        <f>IF($N1106="","",IF($E$8=0,"",E1106/$E$8))</f>
        <v/>
      </c>
      <c r="G1106" s="25" t="str">
        <f>IF($N1106="","",INDEX('_calc'!$E$2:$E$3001,$N1106))</f>
        <v/>
      </c>
      <c r="H1106" s="25" t="str">
        <f>IF($N1106="","",INDEX('_calc'!$F$2:$F$3001,$N1106))</f>
        <v/>
      </c>
      <c r="I1106" s="27" t="str">
        <f>IF($N1106="","",INDEX('_calc'!$H$2:$H$3001,$N1106))</f>
        <v/>
      </c>
      <c r="J1106" s="27" t="str">
        <f>IF($N1106="","",INDEX('_calc'!$I$2:$I$3001,$N1106))</f>
        <v/>
      </c>
      <c r="K1106" s="28" t="str">
        <f>IF($N1106="","",IF(OR(I1106="",J1106=""),"",J1106-I1106))</f>
        <v/>
      </c>
      <c r="L1106" s="29" t="str">
        <f>IF($N1106="","",INDEX('_calc'!$J$2:$J$3001,$N1106))</f>
        <v/>
      </c>
      <c r="M1106" s="2" t="str">
        <f>IF($N1106="","",IF(AND(G1106=0,H1106=0),"수량 없음",IF(G1106=0,"신규 (전년 수량 없음)",IF(H1106=0,"당해 수량 없음",""))))</f>
        <v/>
      </c>
      <c r="N1106" t="str">
        <f>IF($B1106="","",MATCH($B1106,'_calc'!$L$2:$L$3001,0))</f>
        <v/>
      </c>
    </row>
    <row r="1107">
      <c r="B1107" s="24" t="str">
        <f>IF(ROW()-ROW($B$8)&gt;nComp,"",ROW()-ROW($B$8))</f>
        <v/>
      </c>
      <c r="C1107" t="str">
        <f>IF($N1107="","",INDEX('_calc'!$A$2:$A$3001,$N1107))</f>
        <v/>
      </c>
      <c r="D1107" s="25" t="str">
        <f>IF($N1107="","",INDEX('_calc'!$C$2:$C$3001,$N1107))</f>
        <v/>
      </c>
      <c r="E1107" s="25" t="str">
        <f>IF($N1107="","",INDEX('_calc'!$D$2:$D$3001,$N1107))</f>
        <v/>
      </c>
      <c r="F1107" s="26" t="str">
        <f>IF($N1107="","",IF($E$8=0,"",E1107/$E$8))</f>
        <v/>
      </c>
      <c r="G1107" s="25" t="str">
        <f>IF($N1107="","",INDEX('_calc'!$E$2:$E$3001,$N1107))</f>
        <v/>
      </c>
      <c r="H1107" s="25" t="str">
        <f>IF($N1107="","",INDEX('_calc'!$F$2:$F$3001,$N1107))</f>
        <v/>
      </c>
      <c r="I1107" s="27" t="str">
        <f>IF($N1107="","",INDEX('_calc'!$H$2:$H$3001,$N1107))</f>
        <v/>
      </c>
      <c r="J1107" s="27" t="str">
        <f>IF($N1107="","",INDEX('_calc'!$I$2:$I$3001,$N1107))</f>
        <v/>
      </c>
      <c r="K1107" s="28" t="str">
        <f>IF($N1107="","",IF(OR(I1107="",J1107=""),"",J1107-I1107))</f>
        <v/>
      </c>
      <c r="L1107" s="29" t="str">
        <f>IF($N1107="","",INDEX('_calc'!$J$2:$J$3001,$N1107))</f>
        <v/>
      </c>
      <c r="M1107" s="2" t="str">
        <f>IF($N1107="","",IF(AND(G1107=0,H1107=0),"수량 없음",IF(G1107=0,"신규 (전년 수량 없음)",IF(H1107=0,"당해 수량 없음",""))))</f>
        <v/>
      </c>
      <c r="N1107" t="str">
        <f>IF($B1107="","",MATCH($B1107,'_calc'!$L$2:$L$3001,0))</f>
        <v/>
      </c>
    </row>
    <row r="1108">
      <c r="B1108" s="24" t="str">
        <f>IF(ROW()-ROW($B$8)&gt;nComp,"",ROW()-ROW($B$8))</f>
        <v/>
      </c>
      <c r="C1108" t="str">
        <f>IF($N1108="","",INDEX('_calc'!$A$2:$A$3001,$N1108))</f>
        <v/>
      </c>
      <c r="D1108" s="25" t="str">
        <f>IF($N1108="","",INDEX('_calc'!$C$2:$C$3001,$N1108))</f>
        <v/>
      </c>
      <c r="E1108" s="25" t="str">
        <f>IF($N1108="","",INDEX('_calc'!$D$2:$D$3001,$N1108))</f>
        <v/>
      </c>
      <c r="F1108" s="26" t="str">
        <f>IF($N1108="","",IF($E$8=0,"",E1108/$E$8))</f>
        <v/>
      </c>
      <c r="G1108" s="25" t="str">
        <f>IF($N1108="","",INDEX('_calc'!$E$2:$E$3001,$N1108))</f>
        <v/>
      </c>
      <c r="H1108" s="25" t="str">
        <f>IF($N1108="","",INDEX('_calc'!$F$2:$F$3001,$N1108))</f>
        <v/>
      </c>
      <c r="I1108" s="27" t="str">
        <f>IF($N1108="","",INDEX('_calc'!$H$2:$H$3001,$N1108))</f>
        <v/>
      </c>
      <c r="J1108" s="27" t="str">
        <f>IF($N1108="","",INDEX('_calc'!$I$2:$I$3001,$N1108))</f>
        <v/>
      </c>
      <c r="K1108" s="28" t="str">
        <f>IF($N1108="","",IF(OR(I1108="",J1108=""),"",J1108-I1108))</f>
        <v/>
      </c>
      <c r="L1108" s="29" t="str">
        <f>IF($N1108="","",INDEX('_calc'!$J$2:$J$3001,$N1108))</f>
        <v/>
      </c>
      <c r="M1108" s="2" t="str">
        <f>IF($N1108="","",IF(AND(G1108=0,H1108=0),"수량 없음",IF(G1108=0,"신규 (전년 수량 없음)",IF(H1108=0,"당해 수량 없음",""))))</f>
        <v/>
      </c>
      <c r="N1108" t="str">
        <f>IF($B1108="","",MATCH($B1108,'_calc'!$L$2:$L$3001,0))</f>
        <v/>
      </c>
    </row>
    <row r="1109">
      <c r="B1109" s="24" t="str">
        <f>IF(ROW()-ROW($B$8)&gt;nComp,"",ROW()-ROW($B$8))</f>
        <v/>
      </c>
      <c r="C1109" t="str">
        <f>IF($N1109="","",INDEX('_calc'!$A$2:$A$3001,$N1109))</f>
        <v/>
      </c>
      <c r="D1109" s="25" t="str">
        <f>IF($N1109="","",INDEX('_calc'!$C$2:$C$3001,$N1109))</f>
        <v/>
      </c>
      <c r="E1109" s="25" t="str">
        <f>IF($N1109="","",INDEX('_calc'!$D$2:$D$3001,$N1109))</f>
        <v/>
      </c>
      <c r="F1109" s="26" t="str">
        <f>IF($N1109="","",IF($E$8=0,"",E1109/$E$8))</f>
        <v/>
      </c>
      <c r="G1109" s="25" t="str">
        <f>IF($N1109="","",INDEX('_calc'!$E$2:$E$3001,$N1109))</f>
        <v/>
      </c>
      <c r="H1109" s="25" t="str">
        <f>IF($N1109="","",INDEX('_calc'!$F$2:$F$3001,$N1109))</f>
        <v/>
      </c>
      <c r="I1109" s="27" t="str">
        <f>IF($N1109="","",INDEX('_calc'!$H$2:$H$3001,$N1109))</f>
        <v/>
      </c>
      <c r="J1109" s="27" t="str">
        <f>IF($N1109="","",INDEX('_calc'!$I$2:$I$3001,$N1109))</f>
        <v/>
      </c>
      <c r="K1109" s="28" t="str">
        <f>IF($N1109="","",IF(OR(I1109="",J1109=""),"",J1109-I1109))</f>
        <v/>
      </c>
      <c r="L1109" s="29" t="str">
        <f>IF($N1109="","",INDEX('_calc'!$J$2:$J$3001,$N1109))</f>
        <v/>
      </c>
      <c r="M1109" s="2" t="str">
        <f>IF($N1109="","",IF(AND(G1109=0,H1109=0),"수량 없음",IF(G1109=0,"신규 (전년 수량 없음)",IF(H1109=0,"당해 수량 없음",""))))</f>
        <v/>
      </c>
      <c r="N1109" t="str">
        <f>IF($B1109="","",MATCH($B1109,'_calc'!$L$2:$L$3001,0))</f>
        <v/>
      </c>
    </row>
    <row r="1110">
      <c r="B1110" s="24" t="str">
        <f>IF(ROW()-ROW($B$8)&gt;nComp,"",ROW()-ROW($B$8))</f>
        <v/>
      </c>
      <c r="C1110" t="str">
        <f>IF($N1110="","",INDEX('_calc'!$A$2:$A$3001,$N1110))</f>
        <v/>
      </c>
      <c r="D1110" s="25" t="str">
        <f>IF($N1110="","",INDEX('_calc'!$C$2:$C$3001,$N1110))</f>
        <v/>
      </c>
      <c r="E1110" s="25" t="str">
        <f>IF($N1110="","",INDEX('_calc'!$D$2:$D$3001,$N1110))</f>
        <v/>
      </c>
      <c r="F1110" s="26" t="str">
        <f>IF($N1110="","",IF($E$8=0,"",E1110/$E$8))</f>
        <v/>
      </c>
      <c r="G1110" s="25" t="str">
        <f>IF($N1110="","",INDEX('_calc'!$E$2:$E$3001,$N1110))</f>
        <v/>
      </c>
      <c r="H1110" s="25" t="str">
        <f>IF($N1110="","",INDEX('_calc'!$F$2:$F$3001,$N1110))</f>
        <v/>
      </c>
      <c r="I1110" s="27" t="str">
        <f>IF($N1110="","",INDEX('_calc'!$H$2:$H$3001,$N1110))</f>
        <v/>
      </c>
      <c r="J1110" s="27" t="str">
        <f>IF($N1110="","",INDEX('_calc'!$I$2:$I$3001,$N1110))</f>
        <v/>
      </c>
      <c r="K1110" s="28" t="str">
        <f>IF($N1110="","",IF(OR(I1110="",J1110=""),"",J1110-I1110))</f>
        <v/>
      </c>
      <c r="L1110" s="29" t="str">
        <f>IF($N1110="","",INDEX('_calc'!$J$2:$J$3001,$N1110))</f>
        <v/>
      </c>
      <c r="M1110" s="2" t="str">
        <f>IF($N1110="","",IF(AND(G1110=0,H1110=0),"수량 없음",IF(G1110=0,"신규 (전년 수량 없음)",IF(H1110=0,"당해 수량 없음",""))))</f>
        <v/>
      </c>
      <c r="N1110" t="str">
        <f>IF($B1110="","",MATCH($B1110,'_calc'!$L$2:$L$3001,0))</f>
        <v/>
      </c>
    </row>
    <row r="1111">
      <c r="B1111" s="24" t="str">
        <f>IF(ROW()-ROW($B$8)&gt;nComp,"",ROW()-ROW($B$8))</f>
        <v/>
      </c>
      <c r="C1111" t="str">
        <f>IF($N1111="","",INDEX('_calc'!$A$2:$A$3001,$N1111))</f>
        <v/>
      </c>
      <c r="D1111" s="25" t="str">
        <f>IF($N1111="","",INDEX('_calc'!$C$2:$C$3001,$N1111))</f>
        <v/>
      </c>
      <c r="E1111" s="25" t="str">
        <f>IF($N1111="","",INDEX('_calc'!$D$2:$D$3001,$N1111))</f>
        <v/>
      </c>
      <c r="F1111" s="26" t="str">
        <f>IF($N1111="","",IF($E$8=0,"",E1111/$E$8))</f>
        <v/>
      </c>
      <c r="G1111" s="25" t="str">
        <f>IF($N1111="","",INDEX('_calc'!$E$2:$E$3001,$N1111))</f>
        <v/>
      </c>
      <c r="H1111" s="25" t="str">
        <f>IF($N1111="","",INDEX('_calc'!$F$2:$F$3001,$N1111))</f>
        <v/>
      </c>
      <c r="I1111" s="27" t="str">
        <f>IF($N1111="","",INDEX('_calc'!$H$2:$H$3001,$N1111))</f>
        <v/>
      </c>
      <c r="J1111" s="27" t="str">
        <f>IF($N1111="","",INDEX('_calc'!$I$2:$I$3001,$N1111))</f>
        <v/>
      </c>
      <c r="K1111" s="28" t="str">
        <f>IF($N1111="","",IF(OR(I1111="",J1111=""),"",J1111-I1111))</f>
        <v/>
      </c>
      <c r="L1111" s="29" t="str">
        <f>IF($N1111="","",INDEX('_calc'!$J$2:$J$3001,$N1111))</f>
        <v/>
      </c>
      <c r="M1111" s="2" t="str">
        <f>IF($N1111="","",IF(AND(G1111=0,H1111=0),"수량 없음",IF(G1111=0,"신규 (전년 수량 없음)",IF(H1111=0,"당해 수량 없음",""))))</f>
        <v/>
      </c>
      <c r="N1111" t="str">
        <f>IF($B1111="","",MATCH($B1111,'_calc'!$L$2:$L$3001,0))</f>
        <v/>
      </c>
    </row>
    <row r="1112">
      <c r="B1112" s="24" t="str">
        <f>IF(ROW()-ROW($B$8)&gt;nComp,"",ROW()-ROW($B$8))</f>
        <v/>
      </c>
      <c r="C1112" t="str">
        <f>IF($N1112="","",INDEX('_calc'!$A$2:$A$3001,$N1112))</f>
        <v/>
      </c>
      <c r="D1112" s="25" t="str">
        <f>IF($N1112="","",INDEX('_calc'!$C$2:$C$3001,$N1112))</f>
        <v/>
      </c>
      <c r="E1112" s="25" t="str">
        <f>IF($N1112="","",INDEX('_calc'!$D$2:$D$3001,$N1112))</f>
        <v/>
      </c>
      <c r="F1112" s="26" t="str">
        <f>IF($N1112="","",IF($E$8=0,"",E1112/$E$8))</f>
        <v/>
      </c>
      <c r="G1112" s="25" t="str">
        <f>IF($N1112="","",INDEX('_calc'!$E$2:$E$3001,$N1112))</f>
        <v/>
      </c>
      <c r="H1112" s="25" t="str">
        <f>IF($N1112="","",INDEX('_calc'!$F$2:$F$3001,$N1112))</f>
        <v/>
      </c>
      <c r="I1112" s="27" t="str">
        <f>IF($N1112="","",INDEX('_calc'!$H$2:$H$3001,$N1112))</f>
        <v/>
      </c>
      <c r="J1112" s="27" t="str">
        <f>IF($N1112="","",INDEX('_calc'!$I$2:$I$3001,$N1112))</f>
        <v/>
      </c>
      <c r="K1112" s="28" t="str">
        <f>IF($N1112="","",IF(OR(I1112="",J1112=""),"",J1112-I1112))</f>
        <v/>
      </c>
      <c r="L1112" s="29" t="str">
        <f>IF($N1112="","",INDEX('_calc'!$J$2:$J$3001,$N1112))</f>
        <v/>
      </c>
      <c r="M1112" s="2" t="str">
        <f>IF($N1112="","",IF(AND(G1112=0,H1112=0),"수량 없음",IF(G1112=0,"신규 (전년 수량 없음)",IF(H1112=0,"당해 수량 없음",""))))</f>
        <v/>
      </c>
      <c r="N1112" t="str">
        <f>IF($B1112="","",MATCH($B1112,'_calc'!$L$2:$L$3001,0))</f>
        <v/>
      </c>
    </row>
    <row r="1113">
      <c r="B1113" s="24" t="str">
        <f>IF(ROW()-ROW($B$8)&gt;nComp,"",ROW()-ROW($B$8))</f>
        <v/>
      </c>
      <c r="C1113" t="str">
        <f>IF($N1113="","",INDEX('_calc'!$A$2:$A$3001,$N1113))</f>
        <v/>
      </c>
      <c r="D1113" s="25" t="str">
        <f>IF($N1113="","",INDEX('_calc'!$C$2:$C$3001,$N1113))</f>
        <v/>
      </c>
      <c r="E1113" s="25" t="str">
        <f>IF($N1113="","",INDEX('_calc'!$D$2:$D$3001,$N1113))</f>
        <v/>
      </c>
      <c r="F1113" s="26" t="str">
        <f>IF($N1113="","",IF($E$8=0,"",E1113/$E$8))</f>
        <v/>
      </c>
      <c r="G1113" s="25" t="str">
        <f>IF($N1113="","",INDEX('_calc'!$E$2:$E$3001,$N1113))</f>
        <v/>
      </c>
      <c r="H1113" s="25" t="str">
        <f>IF($N1113="","",INDEX('_calc'!$F$2:$F$3001,$N1113))</f>
        <v/>
      </c>
      <c r="I1113" s="27" t="str">
        <f>IF($N1113="","",INDEX('_calc'!$H$2:$H$3001,$N1113))</f>
        <v/>
      </c>
      <c r="J1113" s="27" t="str">
        <f>IF($N1113="","",INDEX('_calc'!$I$2:$I$3001,$N1113))</f>
        <v/>
      </c>
      <c r="K1113" s="28" t="str">
        <f>IF($N1113="","",IF(OR(I1113="",J1113=""),"",J1113-I1113))</f>
        <v/>
      </c>
      <c r="L1113" s="29" t="str">
        <f>IF($N1113="","",INDEX('_calc'!$J$2:$J$3001,$N1113))</f>
        <v/>
      </c>
      <c r="M1113" s="2" t="str">
        <f>IF($N1113="","",IF(AND(G1113=0,H1113=0),"수량 없음",IF(G1113=0,"신규 (전년 수량 없음)",IF(H1113=0,"당해 수량 없음",""))))</f>
        <v/>
      </c>
      <c r="N1113" t="str">
        <f>IF($B1113="","",MATCH($B1113,'_calc'!$L$2:$L$3001,0))</f>
        <v/>
      </c>
    </row>
    <row r="1114">
      <c r="B1114" s="24" t="str">
        <f>IF(ROW()-ROW($B$8)&gt;nComp,"",ROW()-ROW($B$8))</f>
        <v/>
      </c>
      <c r="C1114" t="str">
        <f>IF($N1114="","",INDEX('_calc'!$A$2:$A$3001,$N1114))</f>
        <v/>
      </c>
      <c r="D1114" s="25" t="str">
        <f>IF($N1114="","",INDEX('_calc'!$C$2:$C$3001,$N1114))</f>
        <v/>
      </c>
      <c r="E1114" s="25" t="str">
        <f>IF($N1114="","",INDEX('_calc'!$D$2:$D$3001,$N1114))</f>
        <v/>
      </c>
      <c r="F1114" s="26" t="str">
        <f>IF($N1114="","",IF($E$8=0,"",E1114/$E$8))</f>
        <v/>
      </c>
      <c r="G1114" s="25" t="str">
        <f>IF($N1114="","",INDEX('_calc'!$E$2:$E$3001,$N1114))</f>
        <v/>
      </c>
      <c r="H1114" s="25" t="str">
        <f>IF($N1114="","",INDEX('_calc'!$F$2:$F$3001,$N1114))</f>
        <v/>
      </c>
      <c r="I1114" s="27" t="str">
        <f>IF($N1114="","",INDEX('_calc'!$H$2:$H$3001,$N1114))</f>
        <v/>
      </c>
      <c r="J1114" s="27" t="str">
        <f>IF($N1114="","",INDEX('_calc'!$I$2:$I$3001,$N1114))</f>
        <v/>
      </c>
      <c r="K1114" s="28" t="str">
        <f>IF($N1114="","",IF(OR(I1114="",J1114=""),"",J1114-I1114))</f>
        <v/>
      </c>
      <c r="L1114" s="29" t="str">
        <f>IF($N1114="","",INDEX('_calc'!$J$2:$J$3001,$N1114))</f>
        <v/>
      </c>
      <c r="M1114" s="2" t="str">
        <f>IF($N1114="","",IF(AND(G1114=0,H1114=0),"수량 없음",IF(G1114=0,"신규 (전년 수량 없음)",IF(H1114=0,"당해 수량 없음",""))))</f>
        <v/>
      </c>
      <c r="N1114" t="str">
        <f>IF($B1114="","",MATCH($B1114,'_calc'!$L$2:$L$3001,0))</f>
        <v/>
      </c>
    </row>
    <row r="1115">
      <c r="B1115" s="24" t="str">
        <f>IF(ROW()-ROW($B$8)&gt;nComp,"",ROW()-ROW($B$8))</f>
        <v/>
      </c>
      <c r="C1115" t="str">
        <f>IF($N1115="","",INDEX('_calc'!$A$2:$A$3001,$N1115))</f>
        <v/>
      </c>
      <c r="D1115" s="25" t="str">
        <f>IF($N1115="","",INDEX('_calc'!$C$2:$C$3001,$N1115))</f>
        <v/>
      </c>
      <c r="E1115" s="25" t="str">
        <f>IF($N1115="","",INDEX('_calc'!$D$2:$D$3001,$N1115))</f>
        <v/>
      </c>
      <c r="F1115" s="26" t="str">
        <f>IF($N1115="","",IF($E$8=0,"",E1115/$E$8))</f>
        <v/>
      </c>
      <c r="G1115" s="25" t="str">
        <f>IF($N1115="","",INDEX('_calc'!$E$2:$E$3001,$N1115))</f>
        <v/>
      </c>
      <c r="H1115" s="25" t="str">
        <f>IF($N1115="","",INDEX('_calc'!$F$2:$F$3001,$N1115))</f>
        <v/>
      </c>
      <c r="I1115" s="27" t="str">
        <f>IF($N1115="","",INDEX('_calc'!$H$2:$H$3001,$N1115))</f>
        <v/>
      </c>
      <c r="J1115" s="27" t="str">
        <f>IF($N1115="","",INDEX('_calc'!$I$2:$I$3001,$N1115))</f>
        <v/>
      </c>
      <c r="K1115" s="28" t="str">
        <f>IF($N1115="","",IF(OR(I1115="",J1115=""),"",J1115-I1115))</f>
        <v/>
      </c>
      <c r="L1115" s="29" t="str">
        <f>IF($N1115="","",INDEX('_calc'!$J$2:$J$3001,$N1115))</f>
        <v/>
      </c>
      <c r="M1115" s="2" t="str">
        <f>IF($N1115="","",IF(AND(G1115=0,H1115=0),"수량 없음",IF(G1115=0,"신규 (전년 수량 없음)",IF(H1115=0,"당해 수량 없음",""))))</f>
        <v/>
      </c>
      <c r="N1115" t="str">
        <f>IF($B1115="","",MATCH($B1115,'_calc'!$L$2:$L$3001,0))</f>
        <v/>
      </c>
    </row>
    <row r="1116">
      <c r="B1116" s="24" t="str">
        <f>IF(ROW()-ROW($B$8)&gt;nComp,"",ROW()-ROW($B$8))</f>
        <v/>
      </c>
      <c r="C1116" t="str">
        <f>IF($N1116="","",INDEX('_calc'!$A$2:$A$3001,$N1116))</f>
        <v/>
      </c>
      <c r="D1116" s="25" t="str">
        <f>IF($N1116="","",INDEX('_calc'!$C$2:$C$3001,$N1116))</f>
        <v/>
      </c>
      <c r="E1116" s="25" t="str">
        <f>IF($N1116="","",INDEX('_calc'!$D$2:$D$3001,$N1116))</f>
        <v/>
      </c>
      <c r="F1116" s="26" t="str">
        <f>IF($N1116="","",IF($E$8=0,"",E1116/$E$8))</f>
        <v/>
      </c>
      <c r="G1116" s="25" t="str">
        <f>IF($N1116="","",INDEX('_calc'!$E$2:$E$3001,$N1116))</f>
        <v/>
      </c>
      <c r="H1116" s="25" t="str">
        <f>IF($N1116="","",INDEX('_calc'!$F$2:$F$3001,$N1116))</f>
        <v/>
      </c>
      <c r="I1116" s="27" t="str">
        <f>IF($N1116="","",INDEX('_calc'!$H$2:$H$3001,$N1116))</f>
        <v/>
      </c>
      <c r="J1116" s="27" t="str">
        <f>IF($N1116="","",INDEX('_calc'!$I$2:$I$3001,$N1116))</f>
        <v/>
      </c>
      <c r="K1116" s="28" t="str">
        <f>IF($N1116="","",IF(OR(I1116="",J1116=""),"",J1116-I1116))</f>
        <v/>
      </c>
      <c r="L1116" s="29" t="str">
        <f>IF($N1116="","",INDEX('_calc'!$J$2:$J$3001,$N1116))</f>
        <v/>
      </c>
      <c r="M1116" s="2" t="str">
        <f>IF($N1116="","",IF(AND(G1116=0,H1116=0),"수량 없음",IF(G1116=0,"신규 (전년 수량 없음)",IF(H1116=0,"당해 수량 없음",""))))</f>
        <v/>
      </c>
      <c r="N1116" t="str">
        <f>IF($B1116="","",MATCH($B1116,'_calc'!$L$2:$L$3001,0))</f>
        <v/>
      </c>
    </row>
    <row r="1117">
      <c r="B1117" s="24" t="str">
        <f>IF(ROW()-ROW($B$8)&gt;nComp,"",ROW()-ROW($B$8))</f>
        <v/>
      </c>
      <c r="C1117" t="str">
        <f>IF($N1117="","",INDEX('_calc'!$A$2:$A$3001,$N1117))</f>
        <v/>
      </c>
      <c r="D1117" s="25" t="str">
        <f>IF($N1117="","",INDEX('_calc'!$C$2:$C$3001,$N1117))</f>
        <v/>
      </c>
      <c r="E1117" s="25" t="str">
        <f>IF($N1117="","",INDEX('_calc'!$D$2:$D$3001,$N1117))</f>
        <v/>
      </c>
      <c r="F1117" s="26" t="str">
        <f>IF($N1117="","",IF($E$8=0,"",E1117/$E$8))</f>
        <v/>
      </c>
      <c r="G1117" s="25" t="str">
        <f>IF($N1117="","",INDEX('_calc'!$E$2:$E$3001,$N1117))</f>
        <v/>
      </c>
      <c r="H1117" s="25" t="str">
        <f>IF($N1117="","",INDEX('_calc'!$F$2:$F$3001,$N1117))</f>
        <v/>
      </c>
      <c r="I1117" s="27" t="str">
        <f>IF($N1117="","",INDEX('_calc'!$H$2:$H$3001,$N1117))</f>
        <v/>
      </c>
      <c r="J1117" s="27" t="str">
        <f>IF($N1117="","",INDEX('_calc'!$I$2:$I$3001,$N1117))</f>
        <v/>
      </c>
      <c r="K1117" s="28" t="str">
        <f>IF($N1117="","",IF(OR(I1117="",J1117=""),"",J1117-I1117))</f>
        <v/>
      </c>
      <c r="L1117" s="29" t="str">
        <f>IF($N1117="","",INDEX('_calc'!$J$2:$J$3001,$N1117))</f>
        <v/>
      </c>
      <c r="M1117" s="2" t="str">
        <f>IF($N1117="","",IF(AND(G1117=0,H1117=0),"수량 없음",IF(G1117=0,"신규 (전년 수량 없음)",IF(H1117=0,"당해 수량 없음",""))))</f>
        <v/>
      </c>
      <c r="N1117" t="str">
        <f>IF($B1117="","",MATCH($B1117,'_calc'!$L$2:$L$3001,0))</f>
        <v/>
      </c>
    </row>
    <row r="1118">
      <c r="B1118" s="24" t="str">
        <f>IF(ROW()-ROW($B$8)&gt;nComp,"",ROW()-ROW($B$8))</f>
        <v/>
      </c>
      <c r="C1118" t="str">
        <f>IF($N1118="","",INDEX('_calc'!$A$2:$A$3001,$N1118))</f>
        <v/>
      </c>
      <c r="D1118" s="25" t="str">
        <f>IF($N1118="","",INDEX('_calc'!$C$2:$C$3001,$N1118))</f>
        <v/>
      </c>
      <c r="E1118" s="25" t="str">
        <f>IF($N1118="","",INDEX('_calc'!$D$2:$D$3001,$N1118))</f>
        <v/>
      </c>
      <c r="F1118" s="26" t="str">
        <f>IF($N1118="","",IF($E$8=0,"",E1118/$E$8))</f>
        <v/>
      </c>
      <c r="G1118" s="25" t="str">
        <f>IF($N1118="","",INDEX('_calc'!$E$2:$E$3001,$N1118))</f>
        <v/>
      </c>
      <c r="H1118" s="25" t="str">
        <f>IF($N1118="","",INDEX('_calc'!$F$2:$F$3001,$N1118))</f>
        <v/>
      </c>
      <c r="I1118" s="27" t="str">
        <f>IF($N1118="","",INDEX('_calc'!$H$2:$H$3001,$N1118))</f>
        <v/>
      </c>
      <c r="J1118" s="27" t="str">
        <f>IF($N1118="","",INDEX('_calc'!$I$2:$I$3001,$N1118))</f>
        <v/>
      </c>
      <c r="K1118" s="28" t="str">
        <f>IF($N1118="","",IF(OR(I1118="",J1118=""),"",J1118-I1118))</f>
        <v/>
      </c>
      <c r="L1118" s="29" t="str">
        <f>IF($N1118="","",INDEX('_calc'!$J$2:$J$3001,$N1118))</f>
        <v/>
      </c>
      <c r="M1118" s="2" t="str">
        <f>IF($N1118="","",IF(AND(G1118=0,H1118=0),"수량 없음",IF(G1118=0,"신규 (전년 수량 없음)",IF(H1118=0,"당해 수량 없음",""))))</f>
        <v/>
      </c>
      <c r="N1118" t="str">
        <f>IF($B1118="","",MATCH($B1118,'_calc'!$L$2:$L$3001,0))</f>
        <v/>
      </c>
    </row>
    <row r="1119">
      <c r="B1119" s="24" t="str">
        <f>IF(ROW()-ROW($B$8)&gt;nComp,"",ROW()-ROW($B$8))</f>
        <v/>
      </c>
      <c r="C1119" t="str">
        <f>IF($N1119="","",INDEX('_calc'!$A$2:$A$3001,$N1119))</f>
        <v/>
      </c>
      <c r="D1119" s="25" t="str">
        <f>IF($N1119="","",INDEX('_calc'!$C$2:$C$3001,$N1119))</f>
        <v/>
      </c>
      <c r="E1119" s="25" t="str">
        <f>IF($N1119="","",INDEX('_calc'!$D$2:$D$3001,$N1119))</f>
        <v/>
      </c>
      <c r="F1119" s="26" t="str">
        <f>IF($N1119="","",IF($E$8=0,"",E1119/$E$8))</f>
        <v/>
      </c>
      <c r="G1119" s="25" t="str">
        <f>IF($N1119="","",INDEX('_calc'!$E$2:$E$3001,$N1119))</f>
        <v/>
      </c>
      <c r="H1119" s="25" t="str">
        <f>IF($N1119="","",INDEX('_calc'!$F$2:$F$3001,$N1119))</f>
        <v/>
      </c>
      <c r="I1119" s="27" t="str">
        <f>IF($N1119="","",INDEX('_calc'!$H$2:$H$3001,$N1119))</f>
        <v/>
      </c>
      <c r="J1119" s="27" t="str">
        <f>IF($N1119="","",INDEX('_calc'!$I$2:$I$3001,$N1119))</f>
        <v/>
      </c>
      <c r="K1119" s="28" t="str">
        <f>IF($N1119="","",IF(OR(I1119="",J1119=""),"",J1119-I1119))</f>
        <v/>
      </c>
      <c r="L1119" s="29" t="str">
        <f>IF($N1119="","",INDEX('_calc'!$J$2:$J$3001,$N1119))</f>
        <v/>
      </c>
      <c r="M1119" s="2" t="str">
        <f>IF($N1119="","",IF(AND(G1119=0,H1119=0),"수량 없음",IF(G1119=0,"신규 (전년 수량 없음)",IF(H1119=0,"당해 수량 없음",""))))</f>
        <v/>
      </c>
      <c r="N1119" t="str">
        <f>IF($B1119="","",MATCH($B1119,'_calc'!$L$2:$L$3001,0))</f>
        <v/>
      </c>
    </row>
    <row r="1120">
      <c r="B1120" s="24" t="str">
        <f>IF(ROW()-ROW($B$8)&gt;nComp,"",ROW()-ROW($B$8))</f>
        <v/>
      </c>
      <c r="C1120" t="str">
        <f>IF($N1120="","",INDEX('_calc'!$A$2:$A$3001,$N1120))</f>
        <v/>
      </c>
      <c r="D1120" s="25" t="str">
        <f>IF($N1120="","",INDEX('_calc'!$C$2:$C$3001,$N1120))</f>
        <v/>
      </c>
      <c r="E1120" s="25" t="str">
        <f>IF($N1120="","",INDEX('_calc'!$D$2:$D$3001,$N1120))</f>
        <v/>
      </c>
      <c r="F1120" s="26" t="str">
        <f>IF($N1120="","",IF($E$8=0,"",E1120/$E$8))</f>
        <v/>
      </c>
      <c r="G1120" s="25" t="str">
        <f>IF($N1120="","",INDEX('_calc'!$E$2:$E$3001,$N1120))</f>
        <v/>
      </c>
      <c r="H1120" s="25" t="str">
        <f>IF($N1120="","",INDEX('_calc'!$F$2:$F$3001,$N1120))</f>
        <v/>
      </c>
      <c r="I1120" s="27" t="str">
        <f>IF($N1120="","",INDEX('_calc'!$H$2:$H$3001,$N1120))</f>
        <v/>
      </c>
      <c r="J1120" s="27" t="str">
        <f>IF($N1120="","",INDEX('_calc'!$I$2:$I$3001,$N1120))</f>
        <v/>
      </c>
      <c r="K1120" s="28" t="str">
        <f>IF($N1120="","",IF(OR(I1120="",J1120=""),"",J1120-I1120))</f>
        <v/>
      </c>
      <c r="L1120" s="29" t="str">
        <f>IF($N1120="","",INDEX('_calc'!$J$2:$J$3001,$N1120))</f>
        <v/>
      </c>
      <c r="M1120" s="2" t="str">
        <f>IF($N1120="","",IF(AND(G1120=0,H1120=0),"수량 없음",IF(G1120=0,"신규 (전년 수량 없음)",IF(H1120=0,"당해 수량 없음",""))))</f>
        <v/>
      </c>
      <c r="N1120" t="str">
        <f>IF($B1120="","",MATCH($B1120,'_calc'!$L$2:$L$3001,0))</f>
        <v/>
      </c>
    </row>
    <row r="1121">
      <c r="B1121" s="24" t="str">
        <f>IF(ROW()-ROW($B$8)&gt;nComp,"",ROW()-ROW($B$8))</f>
        <v/>
      </c>
      <c r="C1121" t="str">
        <f>IF($N1121="","",INDEX('_calc'!$A$2:$A$3001,$N1121))</f>
        <v/>
      </c>
      <c r="D1121" s="25" t="str">
        <f>IF($N1121="","",INDEX('_calc'!$C$2:$C$3001,$N1121))</f>
        <v/>
      </c>
      <c r="E1121" s="25" t="str">
        <f>IF($N1121="","",INDEX('_calc'!$D$2:$D$3001,$N1121))</f>
        <v/>
      </c>
      <c r="F1121" s="26" t="str">
        <f>IF($N1121="","",IF($E$8=0,"",E1121/$E$8))</f>
        <v/>
      </c>
      <c r="G1121" s="25" t="str">
        <f>IF($N1121="","",INDEX('_calc'!$E$2:$E$3001,$N1121))</f>
        <v/>
      </c>
      <c r="H1121" s="25" t="str">
        <f>IF($N1121="","",INDEX('_calc'!$F$2:$F$3001,$N1121))</f>
        <v/>
      </c>
      <c r="I1121" s="27" t="str">
        <f>IF($N1121="","",INDEX('_calc'!$H$2:$H$3001,$N1121))</f>
        <v/>
      </c>
      <c r="J1121" s="27" t="str">
        <f>IF($N1121="","",INDEX('_calc'!$I$2:$I$3001,$N1121))</f>
        <v/>
      </c>
      <c r="K1121" s="28" t="str">
        <f>IF($N1121="","",IF(OR(I1121="",J1121=""),"",J1121-I1121))</f>
        <v/>
      </c>
      <c r="L1121" s="29" t="str">
        <f>IF($N1121="","",INDEX('_calc'!$J$2:$J$3001,$N1121))</f>
        <v/>
      </c>
      <c r="M1121" s="2" t="str">
        <f>IF($N1121="","",IF(AND(G1121=0,H1121=0),"수량 없음",IF(G1121=0,"신규 (전년 수량 없음)",IF(H1121=0,"당해 수량 없음",""))))</f>
        <v/>
      </c>
      <c r="N1121" t="str">
        <f>IF($B1121="","",MATCH($B1121,'_calc'!$L$2:$L$3001,0))</f>
        <v/>
      </c>
    </row>
    <row r="1122">
      <c r="B1122" s="24" t="str">
        <f>IF(ROW()-ROW($B$8)&gt;nComp,"",ROW()-ROW($B$8))</f>
        <v/>
      </c>
      <c r="C1122" t="str">
        <f>IF($N1122="","",INDEX('_calc'!$A$2:$A$3001,$N1122))</f>
        <v/>
      </c>
      <c r="D1122" s="25" t="str">
        <f>IF($N1122="","",INDEX('_calc'!$C$2:$C$3001,$N1122))</f>
        <v/>
      </c>
      <c r="E1122" s="25" t="str">
        <f>IF($N1122="","",INDEX('_calc'!$D$2:$D$3001,$N1122))</f>
        <v/>
      </c>
      <c r="F1122" s="26" t="str">
        <f>IF($N1122="","",IF($E$8=0,"",E1122/$E$8))</f>
        <v/>
      </c>
      <c r="G1122" s="25" t="str">
        <f>IF($N1122="","",INDEX('_calc'!$E$2:$E$3001,$N1122))</f>
        <v/>
      </c>
      <c r="H1122" s="25" t="str">
        <f>IF($N1122="","",INDEX('_calc'!$F$2:$F$3001,$N1122))</f>
        <v/>
      </c>
      <c r="I1122" s="27" t="str">
        <f>IF($N1122="","",INDEX('_calc'!$H$2:$H$3001,$N1122))</f>
        <v/>
      </c>
      <c r="J1122" s="27" t="str">
        <f>IF($N1122="","",INDEX('_calc'!$I$2:$I$3001,$N1122))</f>
        <v/>
      </c>
      <c r="K1122" s="28" t="str">
        <f>IF($N1122="","",IF(OR(I1122="",J1122=""),"",J1122-I1122))</f>
        <v/>
      </c>
      <c r="L1122" s="29" t="str">
        <f>IF($N1122="","",INDEX('_calc'!$J$2:$J$3001,$N1122))</f>
        <v/>
      </c>
      <c r="M1122" s="2" t="str">
        <f>IF($N1122="","",IF(AND(G1122=0,H1122=0),"수량 없음",IF(G1122=0,"신규 (전년 수량 없음)",IF(H1122=0,"당해 수량 없음",""))))</f>
        <v/>
      </c>
      <c r="N1122" t="str">
        <f>IF($B1122="","",MATCH($B1122,'_calc'!$L$2:$L$3001,0))</f>
        <v/>
      </c>
    </row>
    <row r="1123">
      <c r="B1123" s="24" t="str">
        <f>IF(ROW()-ROW($B$8)&gt;nComp,"",ROW()-ROW($B$8))</f>
        <v/>
      </c>
      <c r="C1123" t="str">
        <f>IF($N1123="","",INDEX('_calc'!$A$2:$A$3001,$N1123))</f>
        <v/>
      </c>
      <c r="D1123" s="25" t="str">
        <f>IF($N1123="","",INDEX('_calc'!$C$2:$C$3001,$N1123))</f>
        <v/>
      </c>
      <c r="E1123" s="25" t="str">
        <f>IF($N1123="","",INDEX('_calc'!$D$2:$D$3001,$N1123))</f>
        <v/>
      </c>
      <c r="F1123" s="26" t="str">
        <f>IF($N1123="","",IF($E$8=0,"",E1123/$E$8))</f>
        <v/>
      </c>
      <c r="G1123" s="25" t="str">
        <f>IF($N1123="","",INDEX('_calc'!$E$2:$E$3001,$N1123))</f>
        <v/>
      </c>
      <c r="H1123" s="25" t="str">
        <f>IF($N1123="","",INDEX('_calc'!$F$2:$F$3001,$N1123))</f>
        <v/>
      </c>
      <c r="I1123" s="27" t="str">
        <f>IF($N1123="","",INDEX('_calc'!$H$2:$H$3001,$N1123))</f>
        <v/>
      </c>
      <c r="J1123" s="27" t="str">
        <f>IF($N1123="","",INDEX('_calc'!$I$2:$I$3001,$N1123))</f>
        <v/>
      </c>
      <c r="K1123" s="28" t="str">
        <f>IF($N1123="","",IF(OR(I1123="",J1123=""),"",J1123-I1123))</f>
        <v/>
      </c>
      <c r="L1123" s="29" t="str">
        <f>IF($N1123="","",INDEX('_calc'!$J$2:$J$3001,$N1123))</f>
        <v/>
      </c>
      <c r="M1123" s="2" t="str">
        <f>IF($N1123="","",IF(AND(G1123=0,H1123=0),"수량 없음",IF(G1123=0,"신규 (전년 수량 없음)",IF(H1123=0,"당해 수량 없음",""))))</f>
        <v/>
      </c>
      <c r="N1123" t="str">
        <f>IF($B1123="","",MATCH($B1123,'_calc'!$L$2:$L$3001,0))</f>
        <v/>
      </c>
    </row>
    <row r="1124">
      <c r="B1124" s="24" t="str">
        <f>IF(ROW()-ROW($B$8)&gt;nComp,"",ROW()-ROW($B$8))</f>
        <v/>
      </c>
      <c r="C1124" t="str">
        <f>IF($N1124="","",INDEX('_calc'!$A$2:$A$3001,$N1124))</f>
        <v/>
      </c>
      <c r="D1124" s="25" t="str">
        <f>IF($N1124="","",INDEX('_calc'!$C$2:$C$3001,$N1124))</f>
        <v/>
      </c>
      <c r="E1124" s="25" t="str">
        <f>IF($N1124="","",INDEX('_calc'!$D$2:$D$3001,$N1124))</f>
        <v/>
      </c>
      <c r="F1124" s="26" t="str">
        <f>IF($N1124="","",IF($E$8=0,"",E1124/$E$8))</f>
        <v/>
      </c>
      <c r="G1124" s="25" t="str">
        <f>IF($N1124="","",INDEX('_calc'!$E$2:$E$3001,$N1124))</f>
        <v/>
      </c>
      <c r="H1124" s="25" t="str">
        <f>IF($N1124="","",INDEX('_calc'!$F$2:$F$3001,$N1124))</f>
        <v/>
      </c>
      <c r="I1124" s="27" t="str">
        <f>IF($N1124="","",INDEX('_calc'!$H$2:$H$3001,$N1124))</f>
        <v/>
      </c>
      <c r="J1124" s="27" t="str">
        <f>IF($N1124="","",INDEX('_calc'!$I$2:$I$3001,$N1124))</f>
        <v/>
      </c>
      <c r="K1124" s="28" t="str">
        <f>IF($N1124="","",IF(OR(I1124="",J1124=""),"",J1124-I1124))</f>
        <v/>
      </c>
      <c r="L1124" s="29" t="str">
        <f>IF($N1124="","",INDEX('_calc'!$J$2:$J$3001,$N1124))</f>
        <v/>
      </c>
      <c r="M1124" s="2" t="str">
        <f>IF($N1124="","",IF(AND(G1124=0,H1124=0),"수량 없음",IF(G1124=0,"신규 (전년 수량 없음)",IF(H1124=0,"당해 수량 없음",""))))</f>
        <v/>
      </c>
      <c r="N1124" t="str">
        <f>IF($B1124="","",MATCH($B1124,'_calc'!$L$2:$L$3001,0))</f>
        <v/>
      </c>
    </row>
    <row r="1125">
      <c r="B1125" s="24" t="str">
        <f>IF(ROW()-ROW($B$8)&gt;nComp,"",ROW()-ROW($B$8))</f>
        <v/>
      </c>
      <c r="C1125" t="str">
        <f>IF($N1125="","",INDEX('_calc'!$A$2:$A$3001,$N1125))</f>
        <v/>
      </c>
      <c r="D1125" s="25" t="str">
        <f>IF($N1125="","",INDEX('_calc'!$C$2:$C$3001,$N1125))</f>
        <v/>
      </c>
      <c r="E1125" s="25" t="str">
        <f>IF($N1125="","",INDEX('_calc'!$D$2:$D$3001,$N1125))</f>
        <v/>
      </c>
      <c r="F1125" s="26" t="str">
        <f>IF($N1125="","",IF($E$8=0,"",E1125/$E$8))</f>
        <v/>
      </c>
      <c r="G1125" s="25" t="str">
        <f>IF($N1125="","",INDEX('_calc'!$E$2:$E$3001,$N1125))</f>
        <v/>
      </c>
      <c r="H1125" s="25" t="str">
        <f>IF($N1125="","",INDEX('_calc'!$F$2:$F$3001,$N1125))</f>
        <v/>
      </c>
      <c r="I1125" s="27" t="str">
        <f>IF($N1125="","",INDEX('_calc'!$H$2:$H$3001,$N1125))</f>
        <v/>
      </c>
      <c r="J1125" s="27" t="str">
        <f>IF($N1125="","",INDEX('_calc'!$I$2:$I$3001,$N1125))</f>
        <v/>
      </c>
      <c r="K1125" s="28" t="str">
        <f>IF($N1125="","",IF(OR(I1125="",J1125=""),"",J1125-I1125))</f>
        <v/>
      </c>
      <c r="L1125" s="29" t="str">
        <f>IF($N1125="","",INDEX('_calc'!$J$2:$J$3001,$N1125))</f>
        <v/>
      </c>
      <c r="M1125" s="2" t="str">
        <f>IF($N1125="","",IF(AND(G1125=0,H1125=0),"수량 없음",IF(G1125=0,"신규 (전년 수량 없음)",IF(H1125=0,"당해 수량 없음",""))))</f>
        <v/>
      </c>
      <c r="N1125" t="str">
        <f>IF($B1125="","",MATCH($B1125,'_calc'!$L$2:$L$3001,0))</f>
        <v/>
      </c>
    </row>
    <row r="1126">
      <c r="B1126" s="24" t="str">
        <f>IF(ROW()-ROW($B$8)&gt;nComp,"",ROW()-ROW($B$8))</f>
        <v/>
      </c>
      <c r="C1126" t="str">
        <f>IF($N1126="","",INDEX('_calc'!$A$2:$A$3001,$N1126))</f>
        <v/>
      </c>
      <c r="D1126" s="25" t="str">
        <f>IF($N1126="","",INDEX('_calc'!$C$2:$C$3001,$N1126))</f>
        <v/>
      </c>
      <c r="E1126" s="25" t="str">
        <f>IF($N1126="","",INDEX('_calc'!$D$2:$D$3001,$N1126))</f>
        <v/>
      </c>
      <c r="F1126" s="26" t="str">
        <f>IF($N1126="","",IF($E$8=0,"",E1126/$E$8))</f>
        <v/>
      </c>
      <c r="G1126" s="25" t="str">
        <f>IF($N1126="","",INDEX('_calc'!$E$2:$E$3001,$N1126))</f>
        <v/>
      </c>
      <c r="H1126" s="25" t="str">
        <f>IF($N1126="","",INDEX('_calc'!$F$2:$F$3001,$N1126))</f>
        <v/>
      </c>
      <c r="I1126" s="27" t="str">
        <f>IF($N1126="","",INDEX('_calc'!$H$2:$H$3001,$N1126))</f>
        <v/>
      </c>
      <c r="J1126" s="27" t="str">
        <f>IF($N1126="","",INDEX('_calc'!$I$2:$I$3001,$N1126))</f>
        <v/>
      </c>
      <c r="K1126" s="28" t="str">
        <f>IF($N1126="","",IF(OR(I1126="",J1126=""),"",J1126-I1126))</f>
        <v/>
      </c>
      <c r="L1126" s="29" t="str">
        <f>IF($N1126="","",INDEX('_calc'!$J$2:$J$3001,$N1126))</f>
        <v/>
      </c>
      <c r="M1126" s="2" t="str">
        <f>IF($N1126="","",IF(AND(G1126=0,H1126=0),"수량 없음",IF(G1126=0,"신규 (전년 수량 없음)",IF(H1126=0,"당해 수량 없음",""))))</f>
        <v/>
      </c>
      <c r="N1126" t="str">
        <f>IF($B1126="","",MATCH($B1126,'_calc'!$L$2:$L$3001,0))</f>
        <v/>
      </c>
    </row>
    <row r="1127">
      <c r="B1127" s="24" t="str">
        <f>IF(ROW()-ROW($B$8)&gt;nComp,"",ROW()-ROW($B$8))</f>
        <v/>
      </c>
      <c r="C1127" t="str">
        <f>IF($N1127="","",INDEX('_calc'!$A$2:$A$3001,$N1127))</f>
        <v/>
      </c>
      <c r="D1127" s="25" t="str">
        <f>IF($N1127="","",INDEX('_calc'!$C$2:$C$3001,$N1127))</f>
        <v/>
      </c>
      <c r="E1127" s="25" t="str">
        <f>IF($N1127="","",INDEX('_calc'!$D$2:$D$3001,$N1127))</f>
        <v/>
      </c>
      <c r="F1127" s="26" t="str">
        <f>IF($N1127="","",IF($E$8=0,"",E1127/$E$8))</f>
        <v/>
      </c>
      <c r="G1127" s="25" t="str">
        <f>IF($N1127="","",INDEX('_calc'!$E$2:$E$3001,$N1127))</f>
        <v/>
      </c>
      <c r="H1127" s="25" t="str">
        <f>IF($N1127="","",INDEX('_calc'!$F$2:$F$3001,$N1127))</f>
        <v/>
      </c>
      <c r="I1127" s="27" t="str">
        <f>IF($N1127="","",INDEX('_calc'!$H$2:$H$3001,$N1127))</f>
        <v/>
      </c>
      <c r="J1127" s="27" t="str">
        <f>IF($N1127="","",INDEX('_calc'!$I$2:$I$3001,$N1127))</f>
        <v/>
      </c>
      <c r="K1127" s="28" t="str">
        <f>IF($N1127="","",IF(OR(I1127="",J1127=""),"",J1127-I1127))</f>
        <v/>
      </c>
      <c r="L1127" s="29" t="str">
        <f>IF($N1127="","",INDEX('_calc'!$J$2:$J$3001,$N1127))</f>
        <v/>
      </c>
      <c r="M1127" s="2" t="str">
        <f>IF($N1127="","",IF(AND(G1127=0,H1127=0),"수량 없음",IF(G1127=0,"신규 (전년 수량 없음)",IF(H1127=0,"당해 수량 없음",""))))</f>
        <v/>
      </c>
      <c r="N1127" t="str">
        <f>IF($B1127="","",MATCH($B1127,'_calc'!$L$2:$L$3001,0))</f>
        <v/>
      </c>
    </row>
    <row r="1128">
      <c r="B1128" s="24" t="str">
        <f>IF(ROW()-ROW($B$8)&gt;nComp,"",ROW()-ROW($B$8))</f>
        <v/>
      </c>
      <c r="C1128" t="str">
        <f>IF($N1128="","",INDEX('_calc'!$A$2:$A$3001,$N1128))</f>
        <v/>
      </c>
      <c r="D1128" s="25" t="str">
        <f>IF($N1128="","",INDEX('_calc'!$C$2:$C$3001,$N1128))</f>
        <v/>
      </c>
      <c r="E1128" s="25" t="str">
        <f>IF($N1128="","",INDEX('_calc'!$D$2:$D$3001,$N1128))</f>
        <v/>
      </c>
      <c r="F1128" s="26" t="str">
        <f>IF($N1128="","",IF($E$8=0,"",E1128/$E$8))</f>
        <v/>
      </c>
      <c r="G1128" s="25" t="str">
        <f>IF($N1128="","",INDEX('_calc'!$E$2:$E$3001,$N1128))</f>
        <v/>
      </c>
      <c r="H1128" s="25" t="str">
        <f>IF($N1128="","",INDEX('_calc'!$F$2:$F$3001,$N1128))</f>
        <v/>
      </c>
      <c r="I1128" s="27" t="str">
        <f>IF($N1128="","",INDEX('_calc'!$H$2:$H$3001,$N1128))</f>
        <v/>
      </c>
      <c r="J1128" s="27" t="str">
        <f>IF($N1128="","",INDEX('_calc'!$I$2:$I$3001,$N1128))</f>
        <v/>
      </c>
      <c r="K1128" s="28" t="str">
        <f>IF($N1128="","",IF(OR(I1128="",J1128=""),"",J1128-I1128))</f>
        <v/>
      </c>
      <c r="L1128" s="29" t="str">
        <f>IF($N1128="","",INDEX('_calc'!$J$2:$J$3001,$N1128))</f>
        <v/>
      </c>
      <c r="M1128" s="2" t="str">
        <f>IF($N1128="","",IF(AND(G1128=0,H1128=0),"수량 없음",IF(G1128=0,"신규 (전년 수량 없음)",IF(H1128=0,"당해 수량 없음",""))))</f>
        <v/>
      </c>
      <c r="N1128" t="str">
        <f>IF($B1128="","",MATCH($B1128,'_calc'!$L$2:$L$3001,0))</f>
        <v/>
      </c>
    </row>
    <row r="1129">
      <c r="B1129" s="24" t="str">
        <f>IF(ROW()-ROW($B$8)&gt;nComp,"",ROW()-ROW($B$8))</f>
        <v/>
      </c>
      <c r="C1129" t="str">
        <f>IF($N1129="","",INDEX('_calc'!$A$2:$A$3001,$N1129))</f>
        <v/>
      </c>
      <c r="D1129" s="25" t="str">
        <f>IF($N1129="","",INDEX('_calc'!$C$2:$C$3001,$N1129))</f>
        <v/>
      </c>
      <c r="E1129" s="25" t="str">
        <f>IF($N1129="","",INDEX('_calc'!$D$2:$D$3001,$N1129))</f>
        <v/>
      </c>
      <c r="F1129" s="26" t="str">
        <f>IF($N1129="","",IF($E$8=0,"",E1129/$E$8))</f>
        <v/>
      </c>
      <c r="G1129" s="25" t="str">
        <f>IF($N1129="","",INDEX('_calc'!$E$2:$E$3001,$N1129))</f>
        <v/>
      </c>
      <c r="H1129" s="25" t="str">
        <f>IF($N1129="","",INDEX('_calc'!$F$2:$F$3001,$N1129))</f>
        <v/>
      </c>
      <c r="I1129" s="27" t="str">
        <f>IF($N1129="","",INDEX('_calc'!$H$2:$H$3001,$N1129))</f>
        <v/>
      </c>
      <c r="J1129" s="27" t="str">
        <f>IF($N1129="","",INDEX('_calc'!$I$2:$I$3001,$N1129))</f>
        <v/>
      </c>
      <c r="K1129" s="28" t="str">
        <f>IF($N1129="","",IF(OR(I1129="",J1129=""),"",J1129-I1129))</f>
        <v/>
      </c>
      <c r="L1129" s="29" t="str">
        <f>IF($N1129="","",INDEX('_calc'!$J$2:$J$3001,$N1129))</f>
        <v/>
      </c>
      <c r="M1129" s="2" t="str">
        <f>IF($N1129="","",IF(AND(G1129=0,H1129=0),"수량 없음",IF(G1129=0,"신규 (전년 수량 없음)",IF(H1129=0,"당해 수량 없음",""))))</f>
        <v/>
      </c>
      <c r="N1129" t="str">
        <f>IF($B1129="","",MATCH($B1129,'_calc'!$L$2:$L$3001,0))</f>
        <v/>
      </c>
    </row>
    <row r="1130">
      <c r="B1130" s="24" t="str">
        <f>IF(ROW()-ROW($B$8)&gt;nComp,"",ROW()-ROW($B$8))</f>
        <v/>
      </c>
      <c r="C1130" t="str">
        <f>IF($N1130="","",INDEX('_calc'!$A$2:$A$3001,$N1130))</f>
        <v/>
      </c>
      <c r="D1130" s="25" t="str">
        <f>IF($N1130="","",INDEX('_calc'!$C$2:$C$3001,$N1130))</f>
        <v/>
      </c>
      <c r="E1130" s="25" t="str">
        <f>IF($N1130="","",INDEX('_calc'!$D$2:$D$3001,$N1130))</f>
        <v/>
      </c>
      <c r="F1130" s="26" t="str">
        <f>IF($N1130="","",IF($E$8=0,"",E1130/$E$8))</f>
        <v/>
      </c>
      <c r="G1130" s="25" t="str">
        <f>IF($N1130="","",INDEX('_calc'!$E$2:$E$3001,$N1130))</f>
        <v/>
      </c>
      <c r="H1130" s="25" t="str">
        <f>IF($N1130="","",INDEX('_calc'!$F$2:$F$3001,$N1130))</f>
        <v/>
      </c>
      <c r="I1130" s="27" t="str">
        <f>IF($N1130="","",INDEX('_calc'!$H$2:$H$3001,$N1130))</f>
        <v/>
      </c>
      <c r="J1130" s="27" t="str">
        <f>IF($N1130="","",INDEX('_calc'!$I$2:$I$3001,$N1130))</f>
        <v/>
      </c>
      <c r="K1130" s="28" t="str">
        <f>IF($N1130="","",IF(OR(I1130="",J1130=""),"",J1130-I1130))</f>
        <v/>
      </c>
      <c r="L1130" s="29" t="str">
        <f>IF($N1130="","",INDEX('_calc'!$J$2:$J$3001,$N1130))</f>
        <v/>
      </c>
      <c r="M1130" s="2" t="str">
        <f>IF($N1130="","",IF(AND(G1130=0,H1130=0),"수량 없음",IF(G1130=0,"신규 (전년 수량 없음)",IF(H1130=0,"당해 수량 없음",""))))</f>
        <v/>
      </c>
      <c r="N1130" t="str">
        <f>IF($B1130="","",MATCH($B1130,'_calc'!$L$2:$L$3001,0))</f>
        <v/>
      </c>
    </row>
    <row r="1131">
      <c r="B1131" s="24" t="str">
        <f>IF(ROW()-ROW($B$8)&gt;nComp,"",ROW()-ROW($B$8))</f>
        <v/>
      </c>
      <c r="C1131" t="str">
        <f>IF($N1131="","",INDEX('_calc'!$A$2:$A$3001,$N1131))</f>
        <v/>
      </c>
      <c r="D1131" s="25" t="str">
        <f>IF($N1131="","",INDEX('_calc'!$C$2:$C$3001,$N1131))</f>
        <v/>
      </c>
      <c r="E1131" s="25" t="str">
        <f>IF($N1131="","",INDEX('_calc'!$D$2:$D$3001,$N1131))</f>
        <v/>
      </c>
      <c r="F1131" s="26" t="str">
        <f>IF($N1131="","",IF($E$8=0,"",E1131/$E$8))</f>
        <v/>
      </c>
      <c r="G1131" s="25" t="str">
        <f>IF($N1131="","",INDEX('_calc'!$E$2:$E$3001,$N1131))</f>
        <v/>
      </c>
      <c r="H1131" s="25" t="str">
        <f>IF($N1131="","",INDEX('_calc'!$F$2:$F$3001,$N1131))</f>
        <v/>
      </c>
      <c r="I1131" s="27" t="str">
        <f>IF($N1131="","",INDEX('_calc'!$H$2:$H$3001,$N1131))</f>
        <v/>
      </c>
      <c r="J1131" s="27" t="str">
        <f>IF($N1131="","",INDEX('_calc'!$I$2:$I$3001,$N1131))</f>
        <v/>
      </c>
      <c r="K1131" s="28" t="str">
        <f>IF($N1131="","",IF(OR(I1131="",J1131=""),"",J1131-I1131))</f>
        <v/>
      </c>
      <c r="L1131" s="29" t="str">
        <f>IF($N1131="","",INDEX('_calc'!$J$2:$J$3001,$N1131))</f>
        <v/>
      </c>
      <c r="M1131" s="2" t="str">
        <f>IF($N1131="","",IF(AND(G1131=0,H1131=0),"수량 없음",IF(G1131=0,"신규 (전년 수량 없음)",IF(H1131=0,"당해 수량 없음",""))))</f>
        <v/>
      </c>
      <c r="N1131" t="str">
        <f>IF($B1131="","",MATCH($B1131,'_calc'!$L$2:$L$3001,0))</f>
        <v/>
      </c>
    </row>
    <row r="1132">
      <c r="B1132" s="24" t="str">
        <f>IF(ROW()-ROW($B$8)&gt;nComp,"",ROW()-ROW($B$8))</f>
        <v/>
      </c>
      <c r="C1132" t="str">
        <f>IF($N1132="","",INDEX('_calc'!$A$2:$A$3001,$N1132))</f>
        <v/>
      </c>
      <c r="D1132" s="25" t="str">
        <f>IF($N1132="","",INDEX('_calc'!$C$2:$C$3001,$N1132))</f>
        <v/>
      </c>
      <c r="E1132" s="25" t="str">
        <f>IF($N1132="","",INDEX('_calc'!$D$2:$D$3001,$N1132))</f>
        <v/>
      </c>
      <c r="F1132" s="26" t="str">
        <f>IF($N1132="","",IF($E$8=0,"",E1132/$E$8))</f>
        <v/>
      </c>
      <c r="G1132" s="25" t="str">
        <f>IF($N1132="","",INDEX('_calc'!$E$2:$E$3001,$N1132))</f>
        <v/>
      </c>
      <c r="H1132" s="25" t="str">
        <f>IF($N1132="","",INDEX('_calc'!$F$2:$F$3001,$N1132))</f>
        <v/>
      </c>
      <c r="I1132" s="27" t="str">
        <f>IF($N1132="","",INDEX('_calc'!$H$2:$H$3001,$N1132))</f>
        <v/>
      </c>
      <c r="J1132" s="27" t="str">
        <f>IF($N1132="","",INDEX('_calc'!$I$2:$I$3001,$N1132))</f>
        <v/>
      </c>
      <c r="K1132" s="28" t="str">
        <f>IF($N1132="","",IF(OR(I1132="",J1132=""),"",J1132-I1132))</f>
        <v/>
      </c>
      <c r="L1132" s="29" t="str">
        <f>IF($N1132="","",INDEX('_calc'!$J$2:$J$3001,$N1132))</f>
        <v/>
      </c>
      <c r="M1132" s="2" t="str">
        <f>IF($N1132="","",IF(AND(G1132=0,H1132=0),"수량 없음",IF(G1132=0,"신규 (전년 수량 없음)",IF(H1132=0,"당해 수량 없음",""))))</f>
        <v/>
      </c>
      <c r="N1132" t="str">
        <f>IF($B1132="","",MATCH($B1132,'_calc'!$L$2:$L$3001,0))</f>
        <v/>
      </c>
    </row>
    <row r="1133">
      <c r="B1133" s="24" t="str">
        <f>IF(ROW()-ROW($B$8)&gt;nComp,"",ROW()-ROW($B$8))</f>
        <v/>
      </c>
      <c r="C1133" t="str">
        <f>IF($N1133="","",INDEX('_calc'!$A$2:$A$3001,$N1133))</f>
        <v/>
      </c>
      <c r="D1133" s="25" t="str">
        <f>IF($N1133="","",INDEX('_calc'!$C$2:$C$3001,$N1133))</f>
        <v/>
      </c>
      <c r="E1133" s="25" t="str">
        <f>IF($N1133="","",INDEX('_calc'!$D$2:$D$3001,$N1133))</f>
        <v/>
      </c>
      <c r="F1133" s="26" t="str">
        <f>IF($N1133="","",IF($E$8=0,"",E1133/$E$8))</f>
        <v/>
      </c>
      <c r="G1133" s="25" t="str">
        <f>IF($N1133="","",INDEX('_calc'!$E$2:$E$3001,$N1133))</f>
        <v/>
      </c>
      <c r="H1133" s="25" t="str">
        <f>IF($N1133="","",INDEX('_calc'!$F$2:$F$3001,$N1133))</f>
        <v/>
      </c>
      <c r="I1133" s="27" t="str">
        <f>IF($N1133="","",INDEX('_calc'!$H$2:$H$3001,$N1133))</f>
        <v/>
      </c>
      <c r="J1133" s="27" t="str">
        <f>IF($N1133="","",INDEX('_calc'!$I$2:$I$3001,$N1133))</f>
        <v/>
      </c>
      <c r="K1133" s="28" t="str">
        <f>IF($N1133="","",IF(OR(I1133="",J1133=""),"",J1133-I1133))</f>
        <v/>
      </c>
      <c r="L1133" s="29" t="str">
        <f>IF($N1133="","",INDEX('_calc'!$J$2:$J$3001,$N1133))</f>
        <v/>
      </c>
      <c r="M1133" s="2" t="str">
        <f>IF($N1133="","",IF(AND(G1133=0,H1133=0),"수량 없음",IF(G1133=0,"신규 (전년 수량 없음)",IF(H1133=0,"당해 수량 없음",""))))</f>
        <v/>
      </c>
      <c r="N1133" t="str">
        <f>IF($B1133="","",MATCH($B1133,'_calc'!$L$2:$L$3001,0))</f>
        <v/>
      </c>
    </row>
    <row r="1134">
      <c r="B1134" s="24" t="str">
        <f>IF(ROW()-ROW($B$8)&gt;nComp,"",ROW()-ROW($B$8))</f>
        <v/>
      </c>
      <c r="C1134" t="str">
        <f>IF($N1134="","",INDEX('_calc'!$A$2:$A$3001,$N1134))</f>
        <v/>
      </c>
      <c r="D1134" s="25" t="str">
        <f>IF($N1134="","",INDEX('_calc'!$C$2:$C$3001,$N1134))</f>
        <v/>
      </c>
      <c r="E1134" s="25" t="str">
        <f>IF($N1134="","",INDEX('_calc'!$D$2:$D$3001,$N1134))</f>
        <v/>
      </c>
      <c r="F1134" s="26" t="str">
        <f>IF($N1134="","",IF($E$8=0,"",E1134/$E$8))</f>
        <v/>
      </c>
      <c r="G1134" s="25" t="str">
        <f>IF($N1134="","",INDEX('_calc'!$E$2:$E$3001,$N1134))</f>
        <v/>
      </c>
      <c r="H1134" s="25" t="str">
        <f>IF($N1134="","",INDEX('_calc'!$F$2:$F$3001,$N1134))</f>
        <v/>
      </c>
      <c r="I1134" s="27" t="str">
        <f>IF($N1134="","",INDEX('_calc'!$H$2:$H$3001,$N1134))</f>
        <v/>
      </c>
      <c r="J1134" s="27" t="str">
        <f>IF($N1134="","",INDEX('_calc'!$I$2:$I$3001,$N1134))</f>
        <v/>
      </c>
      <c r="K1134" s="28" t="str">
        <f>IF($N1134="","",IF(OR(I1134="",J1134=""),"",J1134-I1134))</f>
        <v/>
      </c>
      <c r="L1134" s="29" t="str">
        <f>IF($N1134="","",INDEX('_calc'!$J$2:$J$3001,$N1134))</f>
        <v/>
      </c>
      <c r="M1134" s="2" t="str">
        <f>IF($N1134="","",IF(AND(G1134=0,H1134=0),"수량 없음",IF(G1134=0,"신규 (전년 수량 없음)",IF(H1134=0,"당해 수량 없음",""))))</f>
        <v/>
      </c>
      <c r="N1134" t="str">
        <f>IF($B1134="","",MATCH($B1134,'_calc'!$L$2:$L$3001,0))</f>
        <v/>
      </c>
    </row>
    <row r="1135">
      <c r="B1135" s="24" t="str">
        <f>IF(ROW()-ROW($B$8)&gt;nComp,"",ROW()-ROW($B$8))</f>
        <v/>
      </c>
      <c r="C1135" t="str">
        <f>IF($N1135="","",INDEX('_calc'!$A$2:$A$3001,$N1135))</f>
        <v/>
      </c>
      <c r="D1135" s="25" t="str">
        <f>IF($N1135="","",INDEX('_calc'!$C$2:$C$3001,$N1135))</f>
        <v/>
      </c>
      <c r="E1135" s="25" t="str">
        <f>IF($N1135="","",INDEX('_calc'!$D$2:$D$3001,$N1135))</f>
        <v/>
      </c>
      <c r="F1135" s="26" t="str">
        <f>IF($N1135="","",IF($E$8=0,"",E1135/$E$8))</f>
        <v/>
      </c>
      <c r="G1135" s="25" t="str">
        <f>IF($N1135="","",INDEX('_calc'!$E$2:$E$3001,$N1135))</f>
        <v/>
      </c>
      <c r="H1135" s="25" t="str">
        <f>IF($N1135="","",INDEX('_calc'!$F$2:$F$3001,$N1135))</f>
        <v/>
      </c>
      <c r="I1135" s="27" t="str">
        <f>IF($N1135="","",INDEX('_calc'!$H$2:$H$3001,$N1135))</f>
        <v/>
      </c>
      <c r="J1135" s="27" t="str">
        <f>IF($N1135="","",INDEX('_calc'!$I$2:$I$3001,$N1135))</f>
        <v/>
      </c>
      <c r="K1135" s="28" t="str">
        <f>IF($N1135="","",IF(OR(I1135="",J1135=""),"",J1135-I1135))</f>
        <v/>
      </c>
      <c r="L1135" s="29" t="str">
        <f>IF($N1135="","",INDEX('_calc'!$J$2:$J$3001,$N1135))</f>
        <v/>
      </c>
      <c r="M1135" s="2" t="str">
        <f>IF($N1135="","",IF(AND(G1135=0,H1135=0),"수량 없음",IF(G1135=0,"신규 (전년 수량 없음)",IF(H1135=0,"당해 수량 없음",""))))</f>
        <v/>
      </c>
      <c r="N1135" t="str">
        <f>IF($B1135="","",MATCH($B1135,'_calc'!$L$2:$L$3001,0))</f>
        <v/>
      </c>
    </row>
    <row r="1136">
      <c r="B1136" s="24" t="str">
        <f>IF(ROW()-ROW($B$8)&gt;nComp,"",ROW()-ROW($B$8))</f>
        <v/>
      </c>
      <c r="C1136" t="str">
        <f>IF($N1136="","",INDEX('_calc'!$A$2:$A$3001,$N1136))</f>
        <v/>
      </c>
      <c r="D1136" s="25" t="str">
        <f>IF($N1136="","",INDEX('_calc'!$C$2:$C$3001,$N1136))</f>
        <v/>
      </c>
      <c r="E1136" s="25" t="str">
        <f>IF($N1136="","",INDEX('_calc'!$D$2:$D$3001,$N1136))</f>
        <v/>
      </c>
      <c r="F1136" s="26" t="str">
        <f>IF($N1136="","",IF($E$8=0,"",E1136/$E$8))</f>
        <v/>
      </c>
      <c r="G1136" s="25" t="str">
        <f>IF($N1136="","",INDEX('_calc'!$E$2:$E$3001,$N1136))</f>
        <v/>
      </c>
      <c r="H1136" s="25" t="str">
        <f>IF($N1136="","",INDEX('_calc'!$F$2:$F$3001,$N1136))</f>
        <v/>
      </c>
      <c r="I1136" s="27" t="str">
        <f>IF($N1136="","",INDEX('_calc'!$H$2:$H$3001,$N1136))</f>
        <v/>
      </c>
      <c r="J1136" s="27" t="str">
        <f>IF($N1136="","",INDEX('_calc'!$I$2:$I$3001,$N1136))</f>
        <v/>
      </c>
      <c r="K1136" s="28" t="str">
        <f>IF($N1136="","",IF(OR(I1136="",J1136=""),"",J1136-I1136))</f>
        <v/>
      </c>
      <c r="L1136" s="29" t="str">
        <f>IF($N1136="","",INDEX('_calc'!$J$2:$J$3001,$N1136))</f>
        <v/>
      </c>
      <c r="M1136" s="2" t="str">
        <f>IF($N1136="","",IF(AND(G1136=0,H1136=0),"수량 없음",IF(G1136=0,"신규 (전년 수량 없음)",IF(H1136=0,"당해 수량 없음",""))))</f>
        <v/>
      </c>
      <c r="N1136" t="str">
        <f>IF($B1136="","",MATCH($B1136,'_calc'!$L$2:$L$3001,0))</f>
        <v/>
      </c>
    </row>
    <row r="1137">
      <c r="B1137" s="24" t="str">
        <f>IF(ROW()-ROW($B$8)&gt;nComp,"",ROW()-ROW($B$8))</f>
        <v/>
      </c>
      <c r="C1137" t="str">
        <f>IF($N1137="","",INDEX('_calc'!$A$2:$A$3001,$N1137))</f>
        <v/>
      </c>
      <c r="D1137" s="25" t="str">
        <f>IF($N1137="","",INDEX('_calc'!$C$2:$C$3001,$N1137))</f>
        <v/>
      </c>
      <c r="E1137" s="25" t="str">
        <f>IF($N1137="","",INDEX('_calc'!$D$2:$D$3001,$N1137))</f>
        <v/>
      </c>
      <c r="F1137" s="26" t="str">
        <f>IF($N1137="","",IF($E$8=0,"",E1137/$E$8))</f>
        <v/>
      </c>
      <c r="G1137" s="25" t="str">
        <f>IF($N1137="","",INDEX('_calc'!$E$2:$E$3001,$N1137))</f>
        <v/>
      </c>
      <c r="H1137" s="25" t="str">
        <f>IF($N1137="","",INDEX('_calc'!$F$2:$F$3001,$N1137))</f>
        <v/>
      </c>
      <c r="I1137" s="27" t="str">
        <f>IF($N1137="","",INDEX('_calc'!$H$2:$H$3001,$N1137))</f>
        <v/>
      </c>
      <c r="J1137" s="27" t="str">
        <f>IF($N1137="","",INDEX('_calc'!$I$2:$I$3001,$N1137))</f>
        <v/>
      </c>
      <c r="K1137" s="28" t="str">
        <f>IF($N1137="","",IF(OR(I1137="",J1137=""),"",J1137-I1137))</f>
        <v/>
      </c>
      <c r="L1137" s="29" t="str">
        <f>IF($N1137="","",INDEX('_calc'!$J$2:$J$3001,$N1137))</f>
        <v/>
      </c>
      <c r="M1137" s="2" t="str">
        <f>IF($N1137="","",IF(AND(G1137=0,H1137=0),"수량 없음",IF(G1137=0,"신규 (전년 수량 없음)",IF(H1137=0,"당해 수량 없음",""))))</f>
        <v/>
      </c>
      <c r="N1137" t="str">
        <f>IF($B1137="","",MATCH($B1137,'_calc'!$L$2:$L$3001,0))</f>
        <v/>
      </c>
    </row>
    <row r="1138">
      <c r="B1138" s="24" t="str">
        <f>IF(ROW()-ROW($B$8)&gt;nComp,"",ROW()-ROW($B$8))</f>
        <v/>
      </c>
      <c r="C1138" t="str">
        <f>IF($N1138="","",INDEX('_calc'!$A$2:$A$3001,$N1138))</f>
        <v/>
      </c>
      <c r="D1138" s="25" t="str">
        <f>IF($N1138="","",INDEX('_calc'!$C$2:$C$3001,$N1138))</f>
        <v/>
      </c>
      <c r="E1138" s="25" t="str">
        <f>IF($N1138="","",INDEX('_calc'!$D$2:$D$3001,$N1138))</f>
        <v/>
      </c>
      <c r="F1138" s="26" t="str">
        <f>IF($N1138="","",IF($E$8=0,"",E1138/$E$8))</f>
        <v/>
      </c>
      <c r="G1138" s="25" t="str">
        <f>IF($N1138="","",INDEX('_calc'!$E$2:$E$3001,$N1138))</f>
        <v/>
      </c>
      <c r="H1138" s="25" t="str">
        <f>IF($N1138="","",INDEX('_calc'!$F$2:$F$3001,$N1138))</f>
        <v/>
      </c>
      <c r="I1138" s="27" t="str">
        <f>IF($N1138="","",INDEX('_calc'!$H$2:$H$3001,$N1138))</f>
        <v/>
      </c>
      <c r="J1138" s="27" t="str">
        <f>IF($N1138="","",INDEX('_calc'!$I$2:$I$3001,$N1138))</f>
        <v/>
      </c>
      <c r="K1138" s="28" t="str">
        <f>IF($N1138="","",IF(OR(I1138="",J1138=""),"",J1138-I1138))</f>
        <v/>
      </c>
      <c r="L1138" s="29" t="str">
        <f>IF($N1138="","",INDEX('_calc'!$J$2:$J$3001,$N1138))</f>
        <v/>
      </c>
      <c r="M1138" s="2" t="str">
        <f>IF($N1138="","",IF(AND(G1138=0,H1138=0),"수량 없음",IF(G1138=0,"신규 (전년 수량 없음)",IF(H1138=0,"당해 수량 없음",""))))</f>
        <v/>
      </c>
      <c r="N1138" t="str">
        <f>IF($B1138="","",MATCH($B1138,'_calc'!$L$2:$L$3001,0))</f>
        <v/>
      </c>
    </row>
    <row r="1139">
      <c r="B1139" s="24" t="str">
        <f>IF(ROW()-ROW($B$8)&gt;nComp,"",ROW()-ROW($B$8))</f>
        <v/>
      </c>
      <c r="C1139" t="str">
        <f>IF($N1139="","",INDEX('_calc'!$A$2:$A$3001,$N1139))</f>
        <v/>
      </c>
      <c r="D1139" s="25" t="str">
        <f>IF($N1139="","",INDEX('_calc'!$C$2:$C$3001,$N1139))</f>
        <v/>
      </c>
      <c r="E1139" s="25" t="str">
        <f>IF($N1139="","",INDEX('_calc'!$D$2:$D$3001,$N1139))</f>
        <v/>
      </c>
      <c r="F1139" s="26" t="str">
        <f>IF($N1139="","",IF($E$8=0,"",E1139/$E$8))</f>
        <v/>
      </c>
      <c r="G1139" s="25" t="str">
        <f>IF($N1139="","",INDEX('_calc'!$E$2:$E$3001,$N1139))</f>
        <v/>
      </c>
      <c r="H1139" s="25" t="str">
        <f>IF($N1139="","",INDEX('_calc'!$F$2:$F$3001,$N1139))</f>
        <v/>
      </c>
      <c r="I1139" s="27" t="str">
        <f>IF($N1139="","",INDEX('_calc'!$H$2:$H$3001,$N1139))</f>
        <v/>
      </c>
      <c r="J1139" s="27" t="str">
        <f>IF($N1139="","",INDEX('_calc'!$I$2:$I$3001,$N1139))</f>
        <v/>
      </c>
      <c r="K1139" s="28" t="str">
        <f>IF($N1139="","",IF(OR(I1139="",J1139=""),"",J1139-I1139))</f>
        <v/>
      </c>
      <c r="L1139" s="29" t="str">
        <f>IF($N1139="","",INDEX('_calc'!$J$2:$J$3001,$N1139))</f>
        <v/>
      </c>
      <c r="M1139" s="2" t="str">
        <f>IF($N1139="","",IF(AND(G1139=0,H1139=0),"수량 없음",IF(G1139=0,"신규 (전년 수량 없음)",IF(H1139=0,"당해 수량 없음",""))))</f>
        <v/>
      </c>
      <c r="N1139" t="str">
        <f>IF($B1139="","",MATCH($B1139,'_calc'!$L$2:$L$3001,0))</f>
        <v/>
      </c>
    </row>
    <row r="1140">
      <c r="B1140" s="24" t="str">
        <f>IF(ROW()-ROW($B$8)&gt;nComp,"",ROW()-ROW($B$8))</f>
        <v/>
      </c>
      <c r="C1140" t="str">
        <f>IF($N1140="","",INDEX('_calc'!$A$2:$A$3001,$N1140))</f>
        <v/>
      </c>
      <c r="D1140" s="25" t="str">
        <f>IF($N1140="","",INDEX('_calc'!$C$2:$C$3001,$N1140))</f>
        <v/>
      </c>
      <c r="E1140" s="25" t="str">
        <f>IF($N1140="","",INDEX('_calc'!$D$2:$D$3001,$N1140))</f>
        <v/>
      </c>
      <c r="F1140" s="26" t="str">
        <f>IF($N1140="","",IF($E$8=0,"",E1140/$E$8))</f>
        <v/>
      </c>
      <c r="G1140" s="25" t="str">
        <f>IF($N1140="","",INDEX('_calc'!$E$2:$E$3001,$N1140))</f>
        <v/>
      </c>
      <c r="H1140" s="25" t="str">
        <f>IF($N1140="","",INDEX('_calc'!$F$2:$F$3001,$N1140))</f>
        <v/>
      </c>
      <c r="I1140" s="27" t="str">
        <f>IF($N1140="","",INDEX('_calc'!$H$2:$H$3001,$N1140))</f>
        <v/>
      </c>
      <c r="J1140" s="27" t="str">
        <f>IF($N1140="","",INDEX('_calc'!$I$2:$I$3001,$N1140))</f>
        <v/>
      </c>
      <c r="K1140" s="28" t="str">
        <f>IF($N1140="","",IF(OR(I1140="",J1140=""),"",J1140-I1140))</f>
        <v/>
      </c>
      <c r="L1140" s="29" t="str">
        <f>IF($N1140="","",INDEX('_calc'!$J$2:$J$3001,$N1140))</f>
        <v/>
      </c>
      <c r="M1140" s="2" t="str">
        <f>IF($N1140="","",IF(AND(G1140=0,H1140=0),"수량 없음",IF(G1140=0,"신규 (전년 수량 없음)",IF(H1140=0,"당해 수량 없음",""))))</f>
        <v/>
      </c>
      <c r="N1140" t="str">
        <f>IF($B1140="","",MATCH($B1140,'_calc'!$L$2:$L$3001,0))</f>
        <v/>
      </c>
    </row>
    <row r="1141">
      <c r="B1141" s="24" t="str">
        <f>IF(ROW()-ROW($B$8)&gt;nComp,"",ROW()-ROW($B$8))</f>
        <v/>
      </c>
      <c r="C1141" t="str">
        <f>IF($N1141="","",INDEX('_calc'!$A$2:$A$3001,$N1141))</f>
        <v/>
      </c>
      <c r="D1141" s="25" t="str">
        <f>IF($N1141="","",INDEX('_calc'!$C$2:$C$3001,$N1141))</f>
        <v/>
      </c>
      <c r="E1141" s="25" t="str">
        <f>IF($N1141="","",INDEX('_calc'!$D$2:$D$3001,$N1141))</f>
        <v/>
      </c>
      <c r="F1141" s="26" t="str">
        <f>IF($N1141="","",IF($E$8=0,"",E1141/$E$8))</f>
        <v/>
      </c>
      <c r="G1141" s="25" t="str">
        <f>IF($N1141="","",INDEX('_calc'!$E$2:$E$3001,$N1141))</f>
        <v/>
      </c>
      <c r="H1141" s="25" t="str">
        <f>IF($N1141="","",INDEX('_calc'!$F$2:$F$3001,$N1141))</f>
        <v/>
      </c>
      <c r="I1141" s="27" t="str">
        <f>IF($N1141="","",INDEX('_calc'!$H$2:$H$3001,$N1141))</f>
        <v/>
      </c>
      <c r="J1141" s="27" t="str">
        <f>IF($N1141="","",INDEX('_calc'!$I$2:$I$3001,$N1141))</f>
        <v/>
      </c>
      <c r="K1141" s="28" t="str">
        <f>IF($N1141="","",IF(OR(I1141="",J1141=""),"",J1141-I1141))</f>
        <v/>
      </c>
      <c r="L1141" s="29" t="str">
        <f>IF($N1141="","",INDEX('_calc'!$J$2:$J$3001,$N1141))</f>
        <v/>
      </c>
      <c r="M1141" s="2" t="str">
        <f>IF($N1141="","",IF(AND(G1141=0,H1141=0),"수량 없음",IF(G1141=0,"신규 (전년 수량 없음)",IF(H1141=0,"당해 수량 없음",""))))</f>
        <v/>
      </c>
      <c r="N1141" t="str">
        <f>IF($B1141="","",MATCH($B1141,'_calc'!$L$2:$L$3001,0))</f>
        <v/>
      </c>
    </row>
    <row r="1142">
      <c r="B1142" s="24" t="str">
        <f>IF(ROW()-ROW($B$8)&gt;nComp,"",ROW()-ROW($B$8))</f>
        <v/>
      </c>
      <c r="C1142" t="str">
        <f>IF($N1142="","",INDEX('_calc'!$A$2:$A$3001,$N1142))</f>
        <v/>
      </c>
      <c r="D1142" s="25" t="str">
        <f>IF($N1142="","",INDEX('_calc'!$C$2:$C$3001,$N1142))</f>
        <v/>
      </c>
      <c r="E1142" s="25" t="str">
        <f>IF($N1142="","",INDEX('_calc'!$D$2:$D$3001,$N1142))</f>
        <v/>
      </c>
      <c r="F1142" s="26" t="str">
        <f>IF($N1142="","",IF($E$8=0,"",E1142/$E$8))</f>
        <v/>
      </c>
      <c r="G1142" s="25" t="str">
        <f>IF($N1142="","",INDEX('_calc'!$E$2:$E$3001,$N1142))</f>
        <v/>
      </c>
      <c r="H1142" s="25" t="str">
        <f>IF($N1142="","",INDEX('_calc'!$F$2:$F$3001,$N1142))</f>
        <v/>
      </c>
      <c r="I1142" s="27" t="str">
        <f>IF($N1142="","",INDEX('_calc'!$H$2:$H$3001,$N1142))</f>
        <v/>
      </c>
      <c r="J1142" s="27" t="str">
        <f>IF($N1142="","",INDEX('_calc'!$I$2:$I$3001,$N1142))</f>
        <v/>
      </c>
      <c r="K1142" s="28" t="str">
        <f>IF($N1142="","",IF(OR(I1142="",J1142=""),"",J1142-I1142))</f>
        <v/>
      </c>
      <c r="L1142" s="29" t="str">
        <f>IF($N1142="","",INDEX('_calc'!$J$2:$J$3001,$N1142))</f>
        <v/>
      </c>
      <c r="M1142" s="2" t="str">
        <f>IF($N1142="","",IF(AND(G1142=0,H1142=0),"수량 없음",IF(G1142=0,"신규 (전년 수량 없음)",IF(H1142=0,"당해 수량 없음",""))))</f>
        <v/>
      </c>
      <c r="N1142" t="str">
        <f>IF($B1142="","",MATCH($B1142,'_calc'!$L$2:$L$3001,0))</f>
        <v/>
      </c>
    </row>
    <row r="1143">
      <c r="B1143" s="24" t="str">
        <f>IF(ROW()-ROW($B$8)&gt;nComp,"",ROW()-ROW($B$8))</f>
        <v/>
      </c>
      <c r="C1143" t="str">
        <f>IF($N1143="","",INDEX('_calc'!$A$2:$A$3001,$N1143))</f>
        <v/>
      </c>
      <c r="D1143" s="25" t="str">
        <f>IF($N1143="","",INDEX('_calc'!$C$2:$C$3001,$N1143))</f>
        <v/>
      </c>
      <c r="E1143" s="25" t="str">
        <f>IF($N1143="","",INDEX('_calc'!$D$2:$D$3001,$N1143))</f>
        <v/>
      </c>
      <c r="F1143" s="26" t="str">
        <f>IF($N1143="","",IF($E$8=0,"",E1143/$E$8))</f>
        <v/>
      </c>
      <c r="G1143" s="25" t="str">
        <f>IF($N1143="","",INDEX('_calc'!$E$2:$E$3001,$N1143))</f>
        <v/>
      </c>
      <c r="H1143" s="25" t="str">
        <f>IF($N1143="","",INDEX('_calc'!$F$2:$F$3001,$N1143))</f>
        <v/>
      </c>
      <c r="I1143" s="27" t="str">
        <f>IF($N1143="","",INDEX('_calc'!$H$2:$H$3001,$N1143))</f>
        <v/>
      </c>
      <c r="J1143" s="27" t="str">
        <f>IF($N1143="","",INDEX('_calc'!$I$2:$I$3001,$N1143))</f>
        <v/>
      </c>
      <c r="K1143" s="28" t="str">
        <f>IF($N1143="","",IF(OR(I1143="",J1143=""),"",J1143-I1143))</f>
        <v/>
      </c>
      <c r="L1143" s="29" t="str">
        <f>IF($N1143="","",INDEX('_calc'!$J$2:$J$3001,$N1143))</f>
        <v/>
      </c>
      <c r="M1143" s="2" t="str">
        <f>IF($N1143="","",IF(AND(G1143=0,H1143=0),"수량 없음",IF(G1143=0,"신규 (전년 수량 없음)",IF(H1143=0,"당해 수량 없음",""))))</f>
        <v/>
      </c>
      <c r="N1143" t="str">
        <f>IF($B1143="","",MATCH($B1143,'_calc'!$L$2:$L$3001,0))</f>
        <v/>
      </c>
    </row>
    <row r="1144">
      <c r="B1144" s="24" t="str">
        <f>IF(ROW()-ROW($B$8)&gt;nComp,"",ROW()-ROW($B$8))</f>
        <v/>
      </c>
      <c r="C1144" t="str">
        <f>IF($N1144="","",INDEX('_calc'!$A$2:$A$3001,$N1144))</f>
        <v/>
      </c>
      <c r="D1144" s="25" t="str">
        <f>IF($N1144="","",INDEX('_calc'!$C$2:$C$3001,$N1144))</f>
        <v/>
      </c>
      <c r="E1144" s="25" t="str">
        <f>IF($N1144="","",INDEX('_calc'!$D$2:$D$3001,$N1144))</f>
        <v/>
      </c>
      <c r="F1144" s="26" t="str">
        <f>IF($N1144="","",IF($E$8=0,"",E1144/$E$8))</f>
        <v/>
      </c>
      <c r="G1144" s="25" t="str">
        <f>IF($N1144="","",INDEX('_calc'!$E$2:$E$3001,$N1144))</f>
        <v/>
      </c>
      <c r="H1144" s="25" t="str">
        <f>IF($N1144="","",INDEX('_calc'!$F$2:$F$3001,$N1144))</f>
        <v/>
      </c>
      <c r="I1144" s="27" t="str">
        <f>IF($N1144="","",INDEX('_calc'!$H$2:$H$3001,$N1144))</f>
        <v/>
      </c>
      <c r="J1144" s="27" t="str">
        <f>IF($N1144="","",INDEX('_calc'!$I$2:$I$3001,$N1144))</f>
        <v/>
      </c>
      <c r="K1144" s="28" t="str">
        <f>IF($N1144="","",IF(OR(I1144="",J1144=""),"",J1144-I1144))</f>
        <v/>
      </c>
      <c r="L1144" s="29" t="str">
        <f>IF($N1144="","",INDEX('_calc'!$J$2:$J$3001,$N1144))</f>
        <v/>
      </c>
      <c r="M1144" s="2" t="str">
        <f>IF($N1144="","",IF(AND(G1144=0,H1144=0),"수량 없음",IF(G1144=0,"신규 (전년 수량 없음)",IF(H1144=0,"당해 수량 없음",""))))</f>
        <v/>
      </c>
      <c r="N1144" t="str">
        <f>IF($B1144="","",MATCH($B1144,'_calc'!$L$2:$L$3001,0))</f>
        <v/>
      </c>
    </row>
    <row r="1145">
      <c r="B1145" s="24" t="str">
        <f>IF(ROW()-ROW($B$8)&gt;nComp,"",ROW()-ROW($B$8))</f>
        <v/>
      </c>
      <c r="C1145" t="str">
        <f>IF($N1145="","",INDEX('_calc'!$A$2:$A$3001,$N1145))</f>
        <v/>
      </c>
      <c r="D1145" s="25" t="str">
        <f>IF($N1145="","",INDEX('_calc'!$C$2:$C$3001,$N1145))</f>
        <v/>
      </c>
      <c r="E1145" s="25" t="str">
        <f>IF($N1145="","",INDEX('_calc'!$D$2:$D$3001,$N1145))</f>
        <v/>
      </c>
      <c r="F1145" s="26" t="str">
        <f>IF($N1145="","",IF($E$8=0,"",E1145/$E$8))</f>
        <v/>
      </c>
      <c r="G1145" s="25" t="str">
        <f>IF($N1145="","",INDEX('_calc'!$E$2:$E$3001,$N1145))</f>
        <v/>
      </c>
      <c r="H1145" s="25" t="str">
        <f>IF($N1145="","",INDEX('_calc'!$F$2:$F$3001,$N1145))</f>
        <v/>
      </c>
      <c r="I1145" s="27" t="str">
        <f>IF($N1145="","",INDEX('_calc'!$H$2:$H$3001,$N1145))</f>
        <v/>
      </c>
      <c r="J1145" s="27" t="str">
        <f>IF($N1145="","",INDEX('_calc'!$I$2:$I$3001,$N1145))</f>
        <v/>
      </c>
      <c r="K1145" s="28" t="str">
        <f>IF($N1145="","",IF(OR(I1145="",J1145=""),"",J1145-I1145))</f>
        <v/>
      </c>
      <c r="L1145" s="29" t="str">
        <f>IF($N1145="","",INDEX('_calc'!$J$2:$J$3001,$N1145))</f>
        <v/>
      </c>
      <c r="M1145" s="2" t="str">
        <f>IF($N1145="","",IF(AND(G1145=0,H1145=0),"수량 없음",IF(G1145=0,"신규 (전년 수량 없음)",IF(H1145=0,"당해 수량 없음",""))))</f>
        <v/>
      </c>
      <c r="N1145" t="str">
        <f>IF($B1145="","",MATCH($B1145,'_calc'!$L$2:$L$3001,0))</f>
        <v/>
      </c>
    </row>
    <row r="1146">
      <c r="B1146" s="24" t="str">
        <f>IF(ROW()-ROW($B$8)&gt;nComp,"",ROW()-ROW($B$8))</f>
        <v/>
      </c>
      <c r="C1146" t="str">
        <f>IF($N1146="","",INDEX('_calc'!$A$2:$A$3001,$N1146))</f>
        <v/>
      </c>
      <c r="D1146" s="25" t="str">
        <f>IF($N1146="","",INDEX('_calc'!$C$2:$C$3001,$N1146))</f>
        <v/>
      </c>
      <c r="E1146" s="25" t="str">
        <f>IF($N1146="","",INDEX('_calc'!$D$2:$D$3001,$N1146))</f>
        <v/>
      </c>
      <c r="F1146" s="26" t="str">
        <f>IF($N1146="","",IF($E$8=0,"",E1146/$E$8))</f>
        <v/>
      </c>
      <c r="G1146" s="25" t="str">
        <f>IF($N1146="","",INDEX('_calc'!$E$2:$E$3001,$N1146))</f>
        <v/>
      </c>
      <c r="H1146" s="25" t="str">
        <f>IF($N1146="","",INDEX('_calc'!$F$2:$F$3001,$N1146))</f>
        <v/>
      </c>
      <c r="I1146" s="27" t="str">
        <f>IF($N1146="","",INDEX('_calc'!$H$2:$H$3001,$N1146))</f>
        <v/>
      </c>
      <c r="J1146" s="27" t="str">
        <f>IF($N1146="","",INDEX('_calc'!$I$2:$I$3001,$N1146))</f>
        <v/>
      </c>
      <c r="K1146" s="28" t="str">
        <f>IF($N1146="","",IF(OR(I1146="",J1146=""),"",J1146-I1146))</f>
        <v/>
      </c>
      <c r="L1146" s="29" t="str">
        <f>IF($N1146="","",INDEX('_calc'!$J$2:$J$3001,$N1146))</f>
        <v/>
      </c>
      <c r="M1146" s="2" t="str">
        <f>IF($N1146="","",IF(AND(G1146=0,H1146=0),"수량 없음",IF(G1146=0,"신규 (전년 수량 없음)",IF(H1146=0,"당해 수량 없음",""))))</f>
        <v/>
      </c>
      <c r="N1146" t="str">
        <f>IF($B1146="","",MATCH($B1146,'_calc'!$L$2:$L$3001,0))</f>
        <v/>
      </c>
    </row>
    <row r="1147">
      <c r="B1147" s="24" t="str">
        <f>IF(ROW()-ROW($B$8)&gt;nComp,"",ROW()-ROW($B$8))</f>
        <v/>
      </c>
      <c r="C1147" t="str">
        <f>IF($N1147="","",INDEX('_calc'!$A$2:$A$3001,$N1147))</f>
        <v/>
      </c>
      <c r="D1147" s="25" t="str">
        <f>IF($N1147="","",INDEX('_calc'!$C$2:$C$3001,$N1147))</f>
        <v/>
      </c>
      <c r="E1147" s="25" t="str">
        <f>IF($N1147="","",INDEX('_calc'!$D$2:$D$3001,$N1147))</f>
        <v/>
      </c>
      <c r="F1147" s="26" t="str">
        <f>IF($N1147="","",IF($E$8=0,"",E1147/$E$8))</f>
        <v/>
      </c>
      <c r="G1147" s="25" t="str">
        <f>IF($N1147="","",INDEX('_calc'!$E$2:$E$3001,$N1147))</f>
        <v/>
      </c>
      <c r="H1147" s="25" t="str">
        <f>IF($N1147="","",INDEX('_calc'!$F$2:$F$3001,$N1147))</f>
        <v/>
      </c>
      <c r="I1147" s="27" t="str">
        <f>IF($N1147="","",INDEX('_calc'!$H$2:$H$3001,$N1147))</f>
        <v/>
      </c>
      <c r="J1147" s="27" t="str">
        <f>IF($N1147="","",INDEX('_calc'!$I$2:$I$3001,$N1147))</f>
        <v/>
      </c>
      <c r="K1147" s="28" t="str">
        <f>IF($N1147="","",IF(OR(I1147="",J1147=""),"",J1147-I1147))</f>
        <v/>
      </c>
      <c r="L1147" s="29" t="str">
        <f>IF($N1147="","",INDEX('_calc'!$J$2:$J$3001,$N1147))</f>
        <v/>
      </c>
      <c r="M1147" s="2" t="str">
        <f>IF($N1147="","",IF(AND(G1147=0,H1147=0),"수량 없음",IF(G1147=0,"신규 (전년 수량 없음)",IF(H1147=0,"당해 수량 없음",""))))</f>
        <v/>
      </c>
      <c r="N1147" t="str">
        <f>IF($B1147="","",MATCH($B1147,'_calc'!$L$2:$L$3001,0))</f>
        <v/>
      </c>
    </row>
    <row r="1148">
      <c r="B1148" s="24" t="str">
        <f>IF(ROW()-ROW($B$8)&gt;nComp,"",ROW()-ROW($B$8))</f>
        <v/>
      </c>
      <c r="C1148" t="str">
        <f>IF($N1148="","",INDEX('_calc'!$A$2:$A$3001,$N1148))</f>
        <v/>
      </c>
      <c r="D1148" s="25" t="str">
        <f>IF($N1148="","",INDEX('_calc'!$C$2:$C$3001,$N1148))</f>
        <v/>
      </c>
      <c r="E1148" s="25" t="str">
        <f>IF($N1148="","",INDEX('_calc'!$D$2:$D$3001,$N1148))</f>
        <v/>
      </c>
      <c r="F1148" s="26" t="str">
        <f>IF($N1148="","",IF($E$8=0,"",E1148/$E$8))</f>
        <v/>
      </c>
      <c r="G1148" s="25" t="str">
        <f>IF($N1148="","",INDEX('_calc'!$E$2:$E$3001,$N1148))</f>
        <v/>
      </c>
      <c r="H1148" s="25" t="str">
        <f>IF($N1148="","",INDEX('_calc'!$F$2:$F$3001,$N1148))</f>
        <v/>
      </c>
      <c r="I1148" s="27" t="str">
        <f>IF($N1148="","",INDEX('_calc'!$H$2:$H$3001,$N1148))</f>
        <v/>
      </c>
      <c r="J1148" s="27" t="str">
        <f>IF($N1148="","",INDEX('_calc'!$I$2:$I$3001,$N1148))</f>
        <v/>
      </c>
      <c r="K1148" s="28" t="str">
        <f>IF($N1148="","",IF(OR(I1148="",J1148=""),"",J1148-I1148))</f>
        <v/>
      </c>
      <c r="L1148" s="29" t="str">
        <f>IF($N1148="","",INDEX('_calc'!$J$2:$J$3001,$N1148))</f>
        <v/>
      </c>
      <c r="M1148" s="2" t="str">
        <f>IF($N1148="","",IF(AND(G1148=0,H1148=0),"수량 없음",IF(G1148=0,"신규 (전년 수량 없음)",IF(H1148=0,"당해 수량 없음",""))))</f>
        <v/>
      </c>
      <c r="N1148" t="str">
        <f>IF($B1148="","",MATCH($B1148,'_calc'!$L$2:$L$3001,0))</f>
        <v/>
      </c>
    </row>
    <row r="1149">
      <c r="B1149" s="24" t="str">
        <f>IF(ROW()-ROW($B$8)&gt;nComp,"",ROW()-ROW($B$8))</f>
        <v/>
      </c>
      <c r="C1149" t="str">
        <f>IF($N1149="","",INDEX('_calc'!$A$2:$A$3001,$N1149))</f>
        <v/>
      </c>
      <c r="D1149" s="25" t="str">
        <f>IF($N1149="","",INDEX('_calc'!$C$2:$C$3001,$N1149))</f>
        <v/>
      </c>
      <c r="E1149" s="25" t="str">
        <f>IF($N1149="","",INDEX('_calc'!$D$2:$D$3001,$N1149))</f>
        <v/>
      </c>
      <c r="F1149" s="26" t="str">
        <f>IF($N1149="","",IF($E$8=0,"",E1149/$E$8))</f>
        <v/>
      </c>
      <c r="G1149" s="25" t="str">
        <f>IF($N1149="","",INDEX('_calc'!$E$2:$E$3001,$N1149))</f>
        <v/>
      </c>
      <c r="H1149" s="25" t="str">
        <f>IF($N1149="","",INDEX('_calc'!$F$2:$F$3001,$N1149))</f>
        <v/>
      </c>
      <c r="I1149" s="27" t="str">
        <f>IF($N1149="","",INDEX('_calc'!$H$2:$H$3001,$N1149))</f>
        <v/>
      </c>
      <c r="J1149" s="27" t="str">
        <f>IF($N1149="","",INDEX('_calc'!$I$2:$I$3001,$N1149))</f>
        <v/>
      </c>
      <c r="K1149" s="28" t="str">
        <f>IF($N1149="","",IF(OR(I1149="",J1149=""),"",J1149-I1149))</f>
        <v/>
      </c>
      <c r="L1149" s="29" t="str">
        <f>IF($N1149="","",INDEX('_calc'!$J$2:$J$3001,$N1149))</f>
        <v/>
      </c>
      <c r="M1149" s="2" t="str">
        <f>IF($N1149="","",IF(AND(G1149=0,H1149=0),"수량 없음",IF(G1149=0,"신규 (전년 수량 없음)",IF(H1149=0,"당해 수량 없음",""))))</f>
        <v/>
      </c>
      <c r="N1149" t="str">
        <f>IF($B1149="","",MATCH($B1149,'_calc'!$L$2:$L$3001,0))</f>
        <v/>
      </c>
    </row>
    <row r="1150">
      <c r="B1150" s="24" t="str">
        <f>IF(ROW()-ROW($B$8)&gt;nComp,"",ROW()-ROW($B$8))</f>
        <v/>
      </c>
      <c r="C1150" t="str">
        <f>IF($N1150="","",INDEX('_calc'!$A$2:$A$3001,$N1150))</f>
        <v/>
      </c>
      <c r="D1150" s="25" t="str">
        <f>IF($N1150="","",INDEX('_calc'!$C$2:$C$3001,$N1150))</f>
        <v/>
      </c>
      <c r="E1150" s="25" t="str">
        <f>IF($N1150="","",INDEX('_calc'!$D$2:$D$3001,$N1150))</f>
        <v/>
      </c>
      <c r="F1150" s="26" t="str">
        <f>IF($N1150="","",IF($E$8=0,"",E1150/$E$8))</f>
        <v/>
      </c>
      <c r="G1150" s="25" t="str">
        <f>IF($N1150="","",INDEX('_calc'!$E$2:$E$3001,$N1150))</f>
        <v/>
      </c>
      <c r="H1150" s="25" t="str">
        <f>IF($N1150="","",INDEX('_calc'!$F$2:$F$3001,$N1150))</f>
        <v/>
      </c>
      <c r="I1150" s="27" t="str">
        <f>IF($N1150="","",INDEX('_calc'!$H$2:$H$3001,$N1150))</f>
        <v/>
      </c>
      <c r="J1150" s="27" t="str">
        <f>IF($N1150="","",INDEX('_calc'!$I$2:$I$3001,$N1150))</f>
        <v/>
      </c>
      <c r="K1150" s="28" t="str">
        <f>IF($N1150="","",IF(OR(I1150="",J1150=""),"",J1150-I1150))</f>
        <v/>
      </c>
      <c r="L1150" s="29" t="str">
        <f>IF($N1150="","",INDEX('_calc'!$J$2:$J$3001,$N1150))</f>
        <v/>
      </c>
      <c r="M1150" s="2" t="str">
        <f>IF($N1150="","",IF(AND(G1150=0,H1150=0),"수량 없음",IF(G1150=0,"신규 (전년 수량 없음)",IF(H1150=0,"당해 수량 없음",""))))</f>
        <v/>
      </c>
      <c r="N1150" t="str">
        <f>IF($B1150="","",MATCH($B1150,'_calc'!$L$2:$L$3001,0))</f>
        <v/>
      </c>
    </row>
    <row r="1151">
      <c r="B1151" s="24" t="str">
        <f>IF(ROW()-ROW($B$8)&gt;nComp,"",ROW()-ROW($B$8))</f>
        <v/>
      </c>
      <c r="C1151" t="str">
        <f>IF($N1151="","",INDEX('_calc'!$A$2:$A$3001,$N1151))</f>
        <v/>
      </c>
      <c r="D1151" s="25" t="str">
        <f>IF($N1151="","",INDEX('_calc'!$C$2:$C$3001,$N1151))</f>
        <v/>
      </c>
      <c r="E1151" s="25" t="str">
        <f>IF($N1151="","",INDEX('_calc'!$D$2:$D$3001,$N1151))</f>
        <v/>
      </c>
      <c r="F1151" s="26" t="str">
        <f>IF($N1151="","",IF($E$8=0,"",E1151/$E$8))</f>
        <v/>
      </c>
      <c r="G1151" s="25" t="str">
        <f>IF($N1151="","",INDEX('_calc'!$E$2:$E$3001,$N1151))</f>
        <v/>
      </c>
      <c r="H1151" s="25" t="str">
        <f>IF($N1151="","",INDEX('_calc'!$F$2:$F$3001,$N1151))</f>
        <v/>
      </c>
      <c r="I1151" s="27" t="str">
        <f>IF($N1151="","",INDEX('_calc'!$H$2:$H$3001,$N1151))</f>
        <v/>
      </c>
      <c r="J1151" s="27" t="str">
        <f>IF($N1151="","",INDEX('_calc'!$I$2:$I$3001,$N1151))</f>
        <v/>
      </c>
      <c r="K1151" s="28" t="str">
        <f>IF($N1151="","",IF(OR(I1151="",J1151=""),"",J1151-I1151))</f>
        <v/>
      </c>
      <c r="L1151" s="29" t="str">
        <f>IF($N1151="","",INDEX('_calc'!$J$2:$J$3001,$N1151))</f>
        <v/>
      </c>
      <c r="M1151" s="2" t="str">
        <f>IF($N1151="","",IF(AND(G1151=0,H1151=0),"수량 없음",IF(G1151=0,"신규 (전년 수량 없음)",IF(H1151=0,"당해 수량 없음",""))))</f>
        <v/>
      </c>
      <c r="N1151" t="str">
        <f>IF($B1151="","",MATCH($B1151,'_calc'!$L$2:$L$3001,0))</f>
        <v/>
      </c>
    </row>
    <row r="1152">
      <c r="B1152" s="24" t="str">
        <f>IF(ROW()-ROW($B$8)&gt;nComp,"",ROW()-ROW($B$8))</f>
        <v/>
      </c>
      <c r="C1152" t="str">
        <f>IF($N1152="","",INDEX('_calc'!$A$2:$A$3001,$N1152))</f>
        <v/>
      </c>
      <c r="D1152" s="25" t="str">
        <f>IF($N1152="","",INDEX('_calc'!$C$2:$C$3001,$N1152))</f>
        <v/>
      </c>
      <c r="E1152" s="25" t="str">
        <f>IF($N1152="","",INDEX('_calc'!$D$2:$D$3001,$N1152))</f>
        <v/>
      </c>
      <c r="F1152" s="26" t="str">
        <f>IF($N1152="","",IF($E$8=0,"",E1152/$E$8))</f>
        <v/>
      </c>
      <c r="G1152" s="25" t="str">
        <f>IF($N1152="","",INDEX('_calc'!$E$2:$E$3001,$N1152))</f>
        <v/>
      </c>
      <c r="H1152" s="25" t="str">
        <f>IF($N1152="","",INDEX('_calc'!$F$2:$F$3001,$N1152))</f>
        <v/>
      </c>
      <c r="I1152" s="27" t="str">
        <f>IF($N1152="","",INDEX('_calc'!$H$2:$H$3001,$N1152))</f>
        <v/>
      </c>
      <c r="J1152" s="27" t="str">
        <f>IF($N1152="","",INDEX('_calc'!$I$2:$I$3001,$N1152))</f>
        <v/>
      </c>
      <c r="K1152" s="28" t="str">
        <f>IF($N1152="","",IF(OR(I1152="",J1152=""),"",J1152-I1152))</f>
        <v/>
      </c>
      <c r="L1152" s="29" t="str">
        <f>IF($N1152="","",INDEX('_calc'!$J$2:$J$3001,$N1152))</f>
        <v/>
      </c>
      <c r="M1152" s="2" t="str">
        <f>IF($N1152="","",IF(AND(G1152=0,H1152=0),"수량 없음",IF(G1152=0,"신규 (전년 수량 없음)",IF(H1152=0,"당해 수량 없음",""))))</f>
        <v/>
      </c>
      <c r="N1152" t="str">
        <f>IF($B1152="","",MATCH($B1152,'_calc'!$L$2:$L$3001,0))</f>
        <v/>
      </c>
    </row>
    <row r="1153">
      <c r="B1153" s="24" t="str">
        <f>IF(ROW()-ROW($B$8)&gt;nComp,"",ROW()-ROW($B$8))</f>
        <v/>
      </c>
      <c r="C1153" t="str">
        <f>IF($N1153="","",INDEX('_calc'!$A$2:$A$3001,$N1153))</f>
        <v/>
      </c>
      <c r="D1153" s="25" t="str">
        <f>IF($N1153="","",INDEX('_calc'!$C$2:$C$3001,$N1153))</f>
        <v/>
      </c>
      <c r="E1153" s="25" t="str">
        <f>IF($N1153="","",INDEX('_calc'!$D$2:$D$3001,$N1153))</f>
        <v/>
      </c>
      <c r="F1153" s="26" t="str">
        <f>IF($N1153="","",IF($E$8=0,"",E1153/$E$8))</f>
        <v/>
      </c>
      <c r="G1153" s="25" t="str">
        <f>IF($N1153="","",INDEX('_calc'!$E$2:$E$3001,$N1153))</f>
        <v/>
      </c>
      <c r="H1153" s="25" t="str">
        <f>IF($N1153="","",INDEX('_calc'!$F$2:$F$3001,$N1153))</f>
        <v/>
      </c>
      <c r="I1153" s="27" t="str">
        <f>IF($N1153="","",INDEX('_calc'!$H$2:$H$3001,$N1153))</f>
        <v/>
      </c>
      <c r="J1153" s="27" t="str">
        <f>IF($N1153="","",INDEX('_calc'!$I$2:$I$3001,$N1153))</f>
        <v/>
      </c>
      <c r="K1153" s="28" t="str">
        <f>IF($N1153="","",IF(OR(I1153="",J1153=""),"",J1153-I1153))</f>
        <v/>
      </c>
      <c r="L1153" s="29" t="str">
        <f>IF($N1153="","",INDEX('_calc'!$J$2:$J$3001,$N1153))</f>
        <v/>
      </c>
      <c r="M1153" s="2" t="str">
        <f>IF($N1153="","",IF(AND(G1153=0,H1153=0),"수량 없음",IF(G1153=0,"신규 (전년 수량 없음)",IF(H1153=0,"당해 수량 없음",""))))</f>
        <v/>
      </c>
      <c r="N1153" t="str">
        <f>IF($B1153="","",MATCH($B1153,'_calc'!$L$2:$L$3001,0))</f>
        <v/>
      </c>
    </row>
    <row r="1154">
      <c r="B1154" s="24" t="str">
        <f>IF(ROW()-ROW($B$8)&gt;nComp,"",ROW()-ROW($B$8))</f>
        <v/>
      </c>
      <c r="C1154" t="str">
        <f>IF($N1154="","",INDEX('_calc'!$A$2:$A$3001,$N1154))</f>
        <v/>
      </c>
      <c r="D1154" s="25" t="str">
        <f>IF($N1154="","",INDEX('_calc'!$C$2:$C$3001,$N1154))</f>
        <v/>
      </c>
      <c r="E1154" s="25" t="str">
        <f>IF($N1154="","",INDEX('_calc'!$D$2:$D$3001,$N1154))</f>
        <v/>
      </c>
      <c r="F1154" s="26" t="str">
        <f>IF($N1154="","",IF($E$8=0,"",E1154/$E$8))</f>
        <v/>
      </c>
      <c r="G1154" s="25" t="str">
        <f>IF($N1154="","",INDEX('_calc'!$E$2:$E$3001,$N1154))</f>
        <v/>
      </c>
      <c r="H1154" s="25" t="str">
        <f>IF($N1154="","",INDEX('_calc'!$F$2:$F$3001,$N1154))</f>
        <v/>
      </c>
      <c r="I1154" s="27" t="str">
        <f>IF($N1154="","",INDEX('_calc'!$H$2:$H$3001,$N1154))</f>
        <v/>
      </c>
      <c r="J1154" s="27" t="str">
        <f>IF($N1154="","",INDEX('_calc'!$I$2:$I$3001,$N1154))</f>
        <v/>
      </c>
      <c r="K1154" s="28" t="str">
        <f>IF($N1154="","",IF(OR(I1154="",J1154=""),"",J1154-I1154))</f>
        <v/>
      </c>
      <c r="L1154" s="29" t="str">
        <f>IF($N1154="","",INDEX('_calc'!$J$2:$J$3001,$N1154))</f>
        <v/>
      </c>
      <c r="M1154" s="2" t="str">
        <f>IF($N1154="","",IF(AND(G1154=0,H1154=0),"수량 없음",IF(G1154=0,"신규 (전년 수량 없음)",IF(H1154=0,"당해 수량 없음",""))))</f>
        <v/>
      </c>
      <c r="N1154" t="str">
        <f>IF($B1154="","",MATCH($B1154,'_calc'!$L$2:$L$3001,0))</f>
        <v/>
      </c>
    </row>
    <row r="1155">
      <c r="B1155" s="24" t="str">
        <f>IF(ROW()-ROW($B$8)&gt;nComp,"",ROW()-ROW($B$8))</f>
        <v/>
      </c>
      <c r="C1155" t="str">
        <f>IF($N1155="","",INDEX('_calc'!$A$2:$A$3001,$N1155))</f>
        <v/>
      </c>
      <c r="D1155" s="25" t="str">
        <f>IF($N1155="","",INDEX('_calc'!$C$2:$C$3001,$N1155))</f>
        <v/>
      </c>
      <c r="E1155" s="25" t="str">
        <f>IF($N1155="","",INDEX('_calc'!$D$2:$D$3001,$N1155))</f>
        <v/>
      </c>
      <c r="F1155" s="26" t="str">
        <f>IF($N1155="","",IF($E$8=0,"",E1155/$E$8))</f>
        <v/>
      </c>
      <c r="G1155" s="25" t="str">
        <f>IF($N1155="","",INDEX('_calc'!$E$2:$E$3001,$N1155))</f>
        <v/>
      </c>
      <c r="H1155" s="25" t="str">
        <f>IF($N1155="","",INDEX('_calc'!$F$2:$F$3001,$N1155))</f>
        <v/>
      </c>
      <c r="I1155" s="27" t="str">
        <f>IF($N1155="","",INDEX('_calc'!$H$2:$H$3001,$N1155))</f>
        <v/>
      </c>
      <c r="J1155" s="27" t="str">
        <f>IF($N1155="","",INDEX('_calc'!$I$2:$I$3001,$N1155))</f>
        <v/>
      </c>
      <c r="K1155" s="28" t="str">
        <f>IF($N1155="","",IF(OR(I1155="",J1155=""),"",J1155-I1155))</f>
        <v/>
      </c>
      <c r="L1155" s="29" t="str">
        <f>IF($N1155="","",INDEX('_calc'!$J$2:$J$3001,$N1155))</f>
        <v/>
      </c>
      <c r="M1155" s="2" t="str">
        <f>IF($N1155="","",IF(AND(G1155=0,H1155=0),"수량 없음",IF(G1155=0,"신규 (전년 수량 없음)",IF(H1155=0,"당해 수량 없음",""))))</f>
        <v/>
      </c>
      <c r="N1155" t="str">
        <f>IF($B1155="","",MATCH($B1155,'_calc'!$L$2:$L$3001,0))</f>
        <v/>
      </c>
    </row>
    <row r="1156">
      <c r="B1156" s="24" t="str">
        <f>IF(ROW()-ROW($B$8)&gt;nComp,"",ROW()-ROW($B$8))</f>
        <v/>
      </c>
      <c r="C1156" t="str">
        <f>IF($N1156="","",INDEX('_calc'!$A$2:$A$3001,$N1156))</f>
        <v/>
      </c>
      <c r="D1156" s="25" t="str">
        <f>IF($N1156="","",INDEX('_calc'!$C$2:$C$3001,$N1156))</f>
        <v/>
      </c>
      <c r="E1156" s="25" t="str">
        <f>IF($N1156="","",INDEX('_calc'!$D$2:$D$3001,$N1156))</f>
        <v/>
      </c>
      <c r="F1156" s="26" t="str">
        <f>IF($N1156="","",IF($E$8=0,"",E1156/$E$8))</f>
        <v/>
      </c>
      <c r="G1156" s="25" t="str">
        <f>IF($N1156="","",INDEX('_calc'!$E$2:$E$3001,$N1156))</f>
        <v/>
      </c>
      <c r="H1156" s="25" t="str">
        <f>IF($N1156="","",INDEX('_calc'!$F$2:$F$3001,$N1156))</f>
        <v/>
      </c>
      <c r="I1156" s="27" t="str">
        <f>IF($N1156="","",INDEX('_calc'!$H$2:$H$3001,$N1156))</f>
        <v/>
      </c>
      <c r="J1156" s="27" t="str">
        <f>IF($N1156="","",INDEX('_calc'!$I$2:$I$3001,$N1156))</f>
        <v/>
      </c>
      <c r="K1156" s="28" t="str">
        <f>IF($N1156="","",IF(OR(I1156="",J1156=""),"",J1156-I1156))</f>
        <v/>
      </c>
      <c r="L1156" s="29" t="str">
        <f>IF($N1156="","",INDEX('_calc'!$J$2:$J$3001,$N1156))</f>
        <v/>
      </c>
      <c r="M1156" s="2" t="str">
        <f>IF($N1156="","",IF(AND(G1156=0,H1156=0),"수량 없음",IF(G1156=0,"신규 (전년 수량 없음)",IF(H1156=0,"당해 수량 없음",""))))</f>
        <v/>
      </c>
      <c r="N1156" t="str">
        <f>IF($B1156="","",MATCH($B1156,'_calc'!$L$2:$L$3001,0))</f>
        <v/>
      </c>
    </row>
    <row r="1157">
      <c r="B1157" s="24" t="str">
        <f>IF(ROW()-ROW($B$8)&gt;nComp,"",ROW()-ROW($B$8))</f>
        <v/>
      </c>
      <c r="C1157" t="str">
        <f>IF($N1157="","",INDEX('_calc'!$A$2:$A$3001,$N1157))</f>
        <v/>
      </c>
      <c r="D1157" s="25" t="str">
        <f>IF($N1157="","",INDEX('_calc'!$C$2:$C$3001,$N1157))</f>
        <v/>
      </c>
      <c r="E1157" s="25" t="str">
        <f>IF($N1157="","",INDEX('_calc'!$D$2:$D$3001,$N1157))</f>
        <v/>
      </c>
      <c r="F1157" s="26" t="str">
        <f>IF($N1157="","",IF($E$8=0,"",E1157/$E$8))</f>
        <v/>
      </c>
      <c r="G1157" s="25" t="str">
        <f>IF($N1157="","",INDEX('_calc'!$E$2:$E$3001,$N1157))</f>
        <v/>
      </c>
      <c r="H1157" s="25" t="str">
        <f>IF($N1157="","",INDEX('_calc'!$F$2:$F$3001,$N1157))</f>
        <v/>
      </c>
      <c r="I1157" s="27" t="str">
        <f>IF($N1157="","",INDEX('_calc'!$H$2:$H$3001,$N1157))</f>
        <v/>
      </c>
      <c r="J1157" s="27" t="str">
        <f>IF($N1157="","",INDEX('_calc'!$I$2:$I$3001,$N1157))</f>
        <v/>
      </c>
      <c r="K1157" s="28" t="str">
        <f>IF($N1157="","",IF(OR(I1157="",J1157=""),"",J1157-I1157))</f>
        <v/>
      </c>
      <c r="L1157" s="29" t="str">
        <f>IF($N1157="","",INDEX('_calc'!$J$2:$J$3001,$N1157))</f>
        <v/>
      </c>
      <c r="M1157" s="2" t="str">
        <f>IF($N1157="","",IF(AND(G1157=0,H1157=0),"수량 없음",IF(G1157=0,"신규 (전년 수량 없음)",IF(H1157=0,"당해 수량 없음",""))))</f>
        <v/>
      </c>
      <c r="N1157" t="str">
        <f>IF($B1157="","",MATCH($B1157,'_calc'!$L$2:$L$3001,0))</f>
        <v/>
      </c>
    </row>
    <row r="1158">
      <c r="B1158" s="24" t="str">
        <f>IF(ROW()-ROW($B$8)&gt;nComp,"",ROW()-ROW($B$8))</f>
        <v/>
      </c>
      <c r="C1158" t="str">
        <f>IF($N1158="","",INDEX('_calc'!$A$2:$A$3001,$N1158))</f>
        <v/>
      </c>
      <c r="D1158" s="25" t="str">
        <f>IF($N1158="","",INDEX('_calc'!$C$2:$C$3001,$N1158))</f>
        <v/>
      </c>
      <c r="E1158" s="25" t="str">
        <f>IF($N1158="","",INDEX('_calc'!$D$2:$D$3001,$N1158))</f>
        <v/>
      </c>
      <c r="F1158" s="26" t="str">
        <f>IF($N1158="","",IF($E$8=0,"",E1158/$E$8))</f>
        <v/>
      </c>
      <c r="G1158" s="25" t="str">
        <f>IF($N1158="","",INDEX('_calc'!$E$2:$E$3001,$N1158))</f>
        <v/>
      </c>
      <c r="H1158" s="25" t="str">
        <f>IF($N1158="","",INDEX('_calc'!$F$2:$F$3001,$N1158))</f>
        <v/>
      </c>
      <c r="I1158" s="27" t="str">
        <f>IF($N1158="","",INDEX('_calc'!$H$2:$H$3001,$N1158))</f>
        <v/>
      </c>
      <c r="J1158" s="27" t="str">
        <f>IF($N1158="","",INDEX('_calc'!$I$2:$I$3001,$N1158))</f>
        <v/>
      </c>
      <c r="K1158" s="28" t="str">
        <f>IF($N1158="","",IF(OR(I1158="",J1158=""),"",J1158-I1158))</f>
        <v/>
      </c>
      <c r="L1158" s="29" t="str">
        <f>IF($N1158="","",INDEX('_calc'!$J$2:$J$3001,$N1158))</f>
        <v/>
      </c>
      <c r="M1158" s="2" t="str">
        <f>IF($N1158="","",IF(AND(G1158=0,H1158=0),"수량 없음",IF(G1158=0,"신규 (전년 수량 없음)",IF(H1158=0,"당해 수량 없음",""))))</f>
        <v/>
      </c>
      <c r="N1158" t="str">
        <f>IF($B1158="","",MATCH($B1158,'_calc'!$L$2:$L$3001,0))</f>
        <v/>
      </c>
    </row>
    <row r="1159">
      <c r="B1159" s="24" t="str">
        <f>IF(ROW()-ROW($B$8)&gt;nComp,"",ROW()-ROW($B$8))</f>
        <v/>
      </c>
      <c r="C1159" t="str">
        <f>IF($N1159="","",INDEX('_calc'!$A$2:$A$3001,$N1159))</f>
        <v/>
      </c>
      <c r="D1159" s="25" t="str">
        <f>IF($N1159="","",INDEX('_calc'!$C$2:$C$3001,$N1159))</f>
        <v/>
      </c>
      <c r="E1159" s="25" t="str">
        <f>IF($N1159="","",INDEX('_calc'!$D$2:$D$3001,$N1159))</f>
        <v/>
      </c>
      <c r="F1159" s="26" t="str">
        <f>IF($N1159="","",IF($E$8=0,"",E1159/$E$8))</f>
        <v/>
      </c>
      <c r="G1159" s="25" t="str">
        <f>IF($N1159="","",INDEX('_calc'!$E$2:$E$3001,$N1159))</f>
        <v/>
      </c>
      <c r="H1159" s="25" t="str">
        <f>IF($N1159="","",INDEX('_calc'!$F$2:$F$3001,$N1159))</f>
        <v/>
      </c>
      <c r="I1159" s="27" t="str">
        <f>IF($N1159="","",INDEX('_calc'!$H$2:$H$3001,$N1159))</f>
        <v/>
      </c>
      <c r="J1159" s="27" t="str">
        <f>IF($N1159="","",INDEX('_calc'!$I$2:$I$3001,$N1159))</f>
        <v/>
      </c>
      <c r="K1159" s="28" t="str">
        <f>IF($N1159="","",IF(OR(I1159="",J1159=""),"",J1159-I1159))</f>
        <v/>
      </c>
      <c r="L1159" s="29" t="str">
        <f>IF($N1159="","",INDEX('_calc'!$J$2:$J$3001,$N1159))</f>
        <v/>
      </c>
      <c r="M1159" s="2" t="str">
        <f>IF($N1159="","",IF(AND(G1159=0,H1159=0),"수량 없음",IF(G1159=0,"신규 (전년 수량 없음)",IF(H1159=0,"당해 수량 없음",""))))</f>
        <v/>
      </c>
      <c r="N1159" t="str">
        <f>IF($B1159="","",MATCH($B1159,'_calc'!$L$2:$L$3001,0))</f>
        <v/>
      </c>
    </row>
    <row r="1160">
      <c r="B1160" s="24" t="str">
        <f>IF(ROW()-ROW($B$8)&gt;nComp,"",ROW()-ROW($B$8))</f>
        <v/>
      </c>
      <c r="C1160" t="str">
        <f>IF($N1160="","",INDEX('_calc'!$A$2:$A$3001,$N1160))</f>
        <v/>
      </c>
      <c r="D1160" s="25" t="str">
        <f>IF($N1160="","",INDEX('_calc'!$C$2:$C$3001,$N1160))</f>
        <v/>
      </c>
      <c r="E1160" s="25" t="str">
        <f>IF($N1160="","",INDEX('_calc'!$D$2:$D$3001,$N1160))</f>
        <v/>
      </c>
      <c r="F1160" s="26" t="str">
        <f>IF($N1160="","",IF($E$8=0,"",E1160/$E$8))</f>
        <v/>
      </c>
      <c r="G1160" s="25" t="str">
        <f>IF($N1160="","",INDEX('_calc'!$E$2:$E$3001,$N1160))</f>
        <v/>
      </c>
      <c r="H1160" s="25" t="str">
        <f>IF($N1160="","",INDEX('_calc'!$F$2:$F$3001,$N1160))</f>
        <v/>
      </c>
      <c r="I1160" s="27" t="str">
        <f>IF($N1160="","",INDEX('_calc'!$H$2:$H$3001,$N1160))</f>
        <v/>
      </c>
      <c r="J1160" s="27" t="str">
        <f>IF($N1160="","",INDEX('_calc'!$I$2:$I$3001,$N1160))</f>
        <v/>
      </c>
      <c r="K1160" s="28" t="str">
        <f>IF($N1160="","",IF(OR(I1160="",J1160=""),"",J1160-I1160))</f>
        <v/>
      </c>
      <c r="L1160" s="29" t="str">
        <f>IF($N1160="","",INDEX('_calc'!$J$2:$J$3001,$N1160))</f>
        <v/>
      </c>
      <c r="M1160" s="2" t="str">
        <f>IF($N1160="","",IF(AND(G1160=0,H1160=0),"수량 없음",IF(G1160=0,"신규 (전년 수량 없음)",IF(H1160=0,"당해 수량 없음",""))))</f>
        <v/>
      </c>
      <c r="N1160" t="str">
        <f>IF($B1160="","",MATCH($B1160,'_calc'!$L$2:$L$3001,0))</f>
        <v/>
      </c>
    </row>
    <row r="1161">
      <c r="B1161" s="24" t="str">
        <f>IF(ROW()-ROW($B$8)&gt;nComp,"",ROW()-ROW($B$8))</f>
        <v/>
      </c>
      <c r="C1161" t="str">
        <f>IF($N1161="","",INDEX('_calc'!$A$2:$A$3001,$N1161))</f>
        <v/>
      </c>
      <c r="D1161" s="25" t="str">
        <f>IF($N1161="","",INDEX('_calc'!$C$2:$C$3001,$N1161))</f>
        <v/>
      </c>
      <c r="E1161" s="25" t="str">
        <f>IF($N1161="","",INDEX('_calc'!$D$2:$D$3001,$N1161))</f>
        <v/>
      </c>
      <c r="F1161" s="26" t="str">
        <f>IF($N1161="","",IF($E$8=0,"",E1161/$E$8))</f>
        <v/>
      </c>
      <c r="G1161" s="25" t="str">
        <f>IF($N1161="","",INDEX('_calc'!$E$2:$E$3001,$N1161))</f>
        <v/>
      </c>
      <c r="H1161" s="25" t="str">
        <f>IF($N1161="","",INDEX('_calc'!$F$2:$F$3001,$N1161))</f>
        <v/>
      </c>
      <c r="I1161" s="27" t="str">
        <f>IF($N1161="","",INDEX('_calc'!$H$2:$H$3001,$N1161))</f>
        <v/>
      </c>
      <c r="J1161" s="27" t="str">
        <f>IF($N1161="","",INDEX('_calc'!$I$2:$I$3001,$N1161))</f>
        <v/>
      </c>
      <c r="K1161" s="28" t="str">
        <f>IF($N1161="","",IF(OR(I1161="",J1161=""),"",J1161-I1161))</f>
        <v/>
      </c>
      <c r="L1161" s="29" t="str">
        <f>IF($N1161="","",INDEX('_calc'!$J$2:$J$3001,$N1161))</f>
        <v/>
      </c>
      <c r="M1161" s="2" t="str">
        <f>IF($N1161="","",IF(AND(G1161=0,H1161=0),"수량 없음",IF(G1161=0,"신규 (전년 수량 없음)",IF(H1161=0,"당해 수량 없음",""))))</f>
        <v/>
      </c>
      <c r="N1161" t="str">
        <f>IF($B1161="","",MATCH($B1161,'_calc'!$L$2:$L$3001,0))</f>
        <v/>
      </c>
    </row>
    <row r="1162">
      <c r="B1162" s="24" t="str">
        <f>IF(ROW()-ROW($B$8)&gt;nComp,"",ROW()-ROW($B$8))</f>
        <v/>
      </c>
      <c r="C1162" t="str">
        <f>IF($N1162="","",INDEX('_calc'!$A$2:$A$3001,$N1162))</f>
        <v/>
      </c>
      <c r="D1162" s="25" t="str">
        <f>IF($N1162="","",INDEX('_calc'!$C$2:$C$3001,$N1162))</f>
        <v/>
      </c>
      <c r="E1162" s="25" t="str">
        <f>IF($N1162="","",INDEX('_calc'!$D$2:$D$3001,$N1162))</f>
        <v/>
      </c>
      <c r="F1162" s="26" t="str">
        <f>IF($N1162="","",IF($E$8=0,"",E1162/$E$8))</f>
        <v/>
      </c>
      <c r="G1162" s="25" t="str">
        <f>IF($N1162="","",INDEX('_calc'!$E$2:$E$3001,$N1162))</f>
        <v/>
      </c>
      <c r="H1162" s="25" t="str">
        <f>IF($N1162="","",INDEX('_calc'!$F$2:$F$3001,$N1162))</f>
        <v/>
      </c>
      <c r="I1162" s="27" t="str">
        <f>IF($N1162="","",INDEX('_calc'!$H$2:$H$3001,$N1162))</f>
        <v/>
      </c>
      <c r="J1162" s="27" t="str">
        <f>IF($N1162="","",INDEX('_calc'!$I$2:$I$3001,$N1162))</f>
        <v/>
      </c>
      <c r="K1162" s="28" t="str">
        <f>IF($N1162="","",IF(OR(I1162="",J1162=""),"",J1162-I1162))</f>
        <v/>
      </c>
      <c r="L1162" s="29" t="str">
        <f>IF($N1162="","",INDEX('_calc'!$J$2:$J$3001,$N1162))</f>
        <v/>
      </c>
      <c r="M1162" s="2" t="str">
        <f>IF($N1162="","",IF(AND(G1162=0,H1162=0),"수량 없음",IF(G1162=0,"신규 (전년 수량 없음)",IF(H1162=0,"당해 수량 없음",""))))</f>
        <v/>
      </c>
      <c r="N1162" t="str">
        <f>IF($B1162="","",MATCH($B1162,'_calc'!$L$2:$L$3001,0))</f>
        <v/>
      </c>
    </row>
    <row r="1163">
      <c r="B1163" s="24" t="str">
        <f>IF(ROW()-ROW($B$8)&gt;nComp,"",ROW()-ROW($B$8))</f>
        <v/>
      </c>
      <c r="C1163" t="str">
        <f>IF($N1163="","",INDEX('_calc'!$A$2:$A$3001,$N1163))</f>
        <v/>
      </c>
      <c r="D1163" s="25" t="str">
        <f>IF($N1163="","",INDEX('_calc'!$C$2:$C$3001,$N1163))</f>
        <v/>
      </c>
      <c r="E1163" s="25" t="str">
        <f>IF($N1163="","",INDEX('_calc'!$D$2:$D$3001,$N1163))</f>
        <v/>
      </c>
      <c r="F1163" s="26" t="str">
        <f>IF($N1163="","",IF($E$8=0,"",E1163/$E$8))</f>
        <v/>
      </c>
      <c r="G1163" s="25" t="str">
        <f>IF($N1163="","",INDEX('_calc'!$E$2:$E$3001,$N1163))</f>
        <v/>
      </c>
      <c r="H1163" s="25" t="str">
        <f>IF($N1163="","",INDEX('_calc'!$F$2:$F$3001,$N1163))</f>
        <v/>
      </c>
      <c r="I1163" s="27" t="str">
        <f>IF($N1163="","",INDEX('_calc'!$H$2:$H$3001,$N1163))</f>
        <v/>
      </c>
      <c r="J1163" s="27" t="str">
        <f>IF($N1163="","",INDEX('_calc'!$I$2:$I$3001,$N1163))</f>
        <v/>
      </c>
      <c r="K1163" s="28" t="str">
        <f>IF($N1163="","",IF(OR(I1163="",J1163=""),"",J1163-I1163))</f>
        <v/>
      </c>
      <c r="L1163" s="29" t="str">
        <f>IF($N1163="","",INDEX('_calc'!$J$2:$J$3001,$N1163))</f>
        <v/>
      </c>
      <c r="M1163" s="2" t="str">
        <f>IF($N1163="","",IF(AND(G1163=0,H1163=0),"수량 없음",IF(G1163=0,"신규 (전년 수량 없음)",IF(H1163=0,"당해 수량 없음",""))))</f>
        <v/>
      </c>
      <c r="N1163" t="str">
        <f>IF($B1163="","",MATCH($B1163,'_calc'!$L$2:$L$3001,0))</f>
        <v/>
      </c>
    </row>
    <row r="1164">
      <c r="B1164" s="24" t="str">
        <f>IF(ROW()-ROW($B$8)&gt;nComp,"",ROW()-ROW($B$8))</f>
        <v/>
      </c>
      <c r="C1164" t="str">
        <f>IF($N1164="","",INDEX('_calc'!$A$2:$A$3001,$N1164))</f>
        <v/>
      </c>
      <c r="D1164" s="25" t="str">
        <f>IF($N1164="","",INDEX('_calc'!$C$2:$C$3001,$N1164))</f>
        <v/>
      </c>
      <c r="E1164" s="25" t="str">
        <f>IF($N1164="","",INDEX('_calc'!$D$2:$D$3001,$N1164))</f>
        <v/>
      </c>
      <c r="F1164" s="26" t="str">
        <f>IF($N1164="","",IF($E$8=0,"",E1164/$E$8))</f>
        <v/>
      </c>
      <c r="G1164" s="25" t="str">
        <f>IF($N1164="","",INDEX('_calc'!$E$2:$E$3001,$N1164))</f>
        <v/>
      </c>
      <c r="H1164" s="25" t="str">
        <f>IF($N1164="","",INDEX('_calc'!$F$2:$F$3001,$N1164))</f>
        <v/>
      </c>
      <c r="I1164" s="27" t="str">
        <f>IF($N1164="","",INDEX('_calc'!$H$2:$H$3001,$N1164))</f>
        <v/>
      </c>
      <c r="J1164" s="27" t="str">
        <f>IF($N1164="","",INDEX('_calc'!$I$2:$I$3001,$N1164))</f>
        <v/>
      </c>
      <c r="K1164" s="28" t="str">
        <f>IF($N1164="","",IF(OR(I1164="",J1164=""),"",J1164-I1164))</f>
        <v/>
      </c>
      <c r="L1164" s="29" t="str">
        <f>IF($N1164="","",INDEX('_calc'!$J$2:$J$3001,$N1164))</f>
        <v/>
      </c>
      <c r="M1164" s="2" t="str">
        <f>IF($N1164="","",IF(AND(G1164=0,H1164=0),"수량 없음",IF(G1164=0,"신규 (전년 수량 없음)",IF(H1164=0,"당해 수량 없음",""))))</f>
        <v/>
      </c>
      <c r="N1164" t="str">
        <f>IF($B1164="","",MATCH($B1164,'_calc'!$L$2:$L$3001,0))</f>
        <v/>
      </c>
    </row>
    <row r="1165">
      <c r="B1165" s="24" t="str">
        <f>IF(ROW()-ROW($B$8)&gt;nComp,"",ROW()-ROW($B$8))</f>
        <v/>
      </c>
      <c r="C1165" t="str">
        <f>IF($N1165="","",INDEX('_calc'!$A$2:$A$3001,$N1165))</f>
        <v/>
      </c>
      <c r="D1165" s="25" t="str">
        <f>IF($N1165="","",INDEX('_calc'!$C$2:$C$3001,$N1165))</f>
        <v/>
      </c>
      <c r="E1165" s="25" t="str">
        <f>IF($N1165="","",INDEX('_calc'!$D$2:$D$3001,$N1165))</f>
        <v/>
      </c>
      <c r="F1165" s="26" t="str">
        <f>IF($N1165="","",IF($E$8=0,"",E1165/$E$8))</f>
        <v/>
      </c>
      <c r="G1165" s="25" t="str">
        <f>IF($N1165="","",INDEX('_calc'!$E$2:$E$3001,$N1165))</f>
        <v/>
      </c>
      <c r="H1165" s="25" t="str">
        <f>IF($N1165="","",INDEX('_calc'!$F$2:$F$3001,$N1165))</f>
        <v/>
      </c>
      <c r="I1165" s="27" t="str">
        <f>IF($N1165="","",INDEX('_calc'!$H$2:$H$3001,$N1165))</f>
        <v/>
      </c>
      <c r="J1165" s="27" t="str">
        <f>IF($N1165="","",INDEX('_calc'!$I$2:$I$3001,$N1165))</f>
        <v/>
      </c>
      <c r="K1165" s="28" t="str">
        <f>IF($N1165="","",IF(OR(I1165="",J1165=""),"",J1165-I1165))</f>
        <v/>
      </c>
      <c r="L1165" s="29" t="str">
        <f>IF($N1165="","",INDEX('_calc'!$J$2:$J$3001,$N1165))</f>
        <v/>
      </c>
      <c r="M1165" s="2" t="str">
        <f>IF($N1165="","",IF(AND(G1165=0,H1165=0),"수량 없음",IF(G1165=0,"신규 (전년 수량 없음)",IF(H1165=0,"당해 수량 없음",""))))</f>
        <v/>
      </c>
      <c r="N1165" t="str">
        <f>IF($B1165="","",MATCH($B1165,'_calc'!$L$2:$L$3001,0))</f>
        <v/>
      </c>
    </row>
    <row r="1166">
      <c r="B1166" s="24" t="str">
        <f>IF(ROW()-ROW($B$8)&gt;nComp,"",ROW()-ROW($B$8))</f>
        <v/>
      </c>
      <c r="C1166" t="str">
        <f>IF($N1166="","",INDEX('_calc'!$A$2:$A$3001,$N1166))</f>
        <v/>
      </c>
      <c r="D1166" s="25" t="str">
        <f>IF($N1166="","",INDEX('_calc'!$C$2:$C$3001,$N1166))</f>
        <v/>
      </c>
      <c r="E1166" s="25" t="str">
        <f>IF($N1166="","",INDEX('_calc'!$D$2:$D$3001,$N1166))</f>
        <v/>
      </c>
      <c r="F1166" s="26" t="str">
        <f>IF($N1166="","",IF($E$8=0,"",E1166/$E$8))</f>
        <v/>
      </c>
      <c r="G1166" s="25" t="str">
        <f>IF($N1166="","",INDEX('_calc'!$E$2:$E$3001,$N1166))</f>
        <v/>
      </c>
      <c r="H1166" s="25" t="str">
        <f>IF($N1166="","",INDEX('_calc'!$F$2:$F$3001,$N1166))</f>
        <v/>
      </c>
      <c r="I1166" s="27" t="str">
        <f>IF($N1166="","",INDEX('_calc'!$H$2:$H$3001,$N1166))</f>
        <v/>
      </c>
      <c r="J1166" s="27" t="str">
        <f>IF($N1166="","",INDEX('_calc'!$I$2:$I$3001,$N1166))</f>
        <v/>
      </c>
      <c r="K1166" s="28" t="str">
        <f>IF($N1166="","",IF(OR(I1166="",J1166=""),"",J1166-I1166))</f>
        <v/>
      </c>
      <c r="L1166" s="29" t="str">
        <f>IF($N1166="","",INDEX('_calc'!$J$2:$J$3001,$N1166))</f>
        <v/>
      </c>
      <c r="M1166" s="2" t="str">
        <f>IF($N1166="","",IF(AND(G1166=0,H1166=0),"수량 없음",IF(G1166=0,"신규 (전년 수량 없음)",IF(H1166=0,"당해 수량 없음",""))))</f>
        <v/>
      </c>
      <c r="N1166" t="str">
        <f>IF($B1166="","",MATCH($B1166,'_calc'!$L$2:$L$3001,0))</f>
        <v/>
      </c>
    </row>
    <row r="1167">
      <c r="B1167" s="24" t="str">
        <f>IF(ROW()-ROW($B$8)&gt;nComp,"",ROW()-ROW($B$8))</f>
        <v/>
      </c>
      <c r="C1167" t="str">
        <f>IF($N1167="","",INDEX('_calc'!$A$2:$A$3001,$N1167))</f>
        <v/>
      </c>
      <c r="D1167" s="25" t="str">
        <f>IF($N1167="","",INDEX('_calc'!$C$2:$C$3001,$N1167))</f>
        <v/>
      </c>
      <c r="E1167" s="25" t="str">
        <f>IF($N1167="","",INDEX('_calc'!$D$2:$D$3001,$N1167))</f>
        <v/>
      </c>
      <c r="F1167" s="26" t="str">
        <f>IF($N1167="","",IF($E$8=0,"",E1167/$E$8))</f>
        <v/>
      </c>
      <c r="G1167" s="25" t="str">
        <f>IF($N1167="","",INDEX('_calc'!$E$2:$E$3001,$N1167))</f>
        <v/>
      </c>
      <c r="H1167" s="25" t="str">
        <f>IF($N1167="","",INDEX('_calc'!$F$2:$F$3001,$N1167))</f>
        <v/>
      </c>
      <c r="I1167" s="27" t="str">
        <f>IF($N1167="","",INDEX('_calc'!$H$2:$H$3001,$N1167))</f>
        <v/>
      </c>
      <c r="J1167" s="27" t="str">
        <f>IF($N1167="","",INDEX('_calc'!$I$2:$I$3001,$N1167))</f>
        <v/>
      </c>
      <c r="K1167" s="28" t="str">
        <f>IF($N1167="","",IF(OR(I1167="",J1167=""),"",J1167-I1167))</f>
        <v/>
      </c>
      <c r="L1167" s="29" t="str">
        <f>IF($N1167="","",INDEX('_calc'!$J$2:$J$3001,$N1167))</f>
        <v/>
      </c>
      <c r="M1167" s="2" t="str">
        <f>IF($N1167="","",IF(AND(G1167=0,H1167=0),"수량 없음",IF(G1167=0,"신규 (전년 수량 없음)",IF(H1167=0,"당해 수량 없음",""))))</f>
        <v/>
      </c>
      <c r="N1167" t="str">
        <f>IF($B1167="","",MATCH($B1167,'_calc'!$L$2:$L$3001,0))</f>
        <v/>
      </c>
    </row>
    <row r="1168">
      <c r="B1168" s="24" t="str">
        <f>IF(ROW()-ROW($B$8)&gt;nComp,"",ROW()-ROW($B$8))</f>
        <v/>
      </c>
      <c r="C1168" t="str">
        <f>IF($N1168="","",INDEX('_calc'!$A$2:$A$3001,$N1168))</f>
        <v/>
      </c>
      <c r="D1168" s="25" t="str">
        <f>IF($N1168="","",INDEX('_calc'!$C$2:$C$3001,$N1168))</f>
        <v/>
      </c>
      <c r="E1168" s="25" t="str">
        <f>IF($N1168="","",INDEX('_calc'!$D$2:$D$3001,$N1168))</f>
        <v/>
      </c>
      <c r="F1168" s="26" t="str">
        <f>IF($N1168="","",IF($E$8=0,"",E1168/$E$8))</f>
        <v/>
      </c>
      <c r="G1168" s="25" t="str">
        <f>IF($N1168="","",INDEX('_calc'!$E$2:$E$3001,$N1168))</f>
        <v/>
      </c>
      <c r="H1168" s="25" t="str">
        <f>IF($N1168="","",INDEX('_calc'!$F$2:$F$3001,$N1168))</f>
        <v/>
      </c>
      <c r="I1168" s="27" t="str">
        <f>IF($N1168="","",INDEX('_calc'!$H$2:$H$3001,$N1168))</f>
        <v/>
      </c>
      <c r="J1168" s="27" t="str">
        <f>IF($N1168="","",INDEX('_calc'!$I$2:$I$3001,$N1168))</f>
        <v/>
      </c>
      <c r="K1168" s="28" t="str">
        <f>IF($N1168="","",IF(OR(I1168="",J1168=""),"",J1168-I1168))</f>
        <v/>
      </c>
      <c r="L1168" s="29" t="str">
        <f>IF($N1168="","",INDEX('_calc'!$J$2:$J$3001,$N1168))</f>
        <v/>
      </c>
      <c r="M1168" s="2" t="str">
        <f>IF($N1168="","",IF(AND(G1168=0,H1168=0),"수량 없음",IF(G1168=0,"신규 (전년 수량 없음)",IF(H1168=0,"당해 수량 없음",""))))</f>
        <v/>
      </c>
      <c r="N1168" t="str">
        <f>IF($B1168="","",MATCH($B1168,'_calc'!$L$2:$L$3001,0))</f>
        <v/>
      </c>
    </row>
    <row r="1169">
      <c r="B1169" s="24" t="str">
        <f>IF(ROW()-ROW($B$8)&gt;nComp,"",ROW()-ROW($B$8))</f>
        <v/>
      </c>
      <c r="C1169" t="str">
        <f>IF($N1169="","",INDEX('_calc'!$A$2:$A$3001,$N1169))</f>
        <v/>
      </c>
      <c r="D1169" s="25" t="str">
        <f>IF($N1169="","",INDEX('_calc'!$C$2:$C$3001,$N1169))</f>
        <v/>
      </c>
      <c r="E1169" s="25" t="str">
        <f>IF($N1169="","",INDEX('_calc'!$D$2:$D$3001,$N1169))</f>
        <v/>
      </c>
      <c r="F1169" s="26" t="str">
        <f>IF($N1169="","",IF($E$8=0,"",E1169/$E$8))</f>
        <v/>
      </c>
      <c r="G1169" s="25" t="str">
        <f>IF($N1169="","",INDEX('_calc'!$E$2:$E$3001,$N1169))</f>
        <v/>
      </c>
      <c r="H1169" s="25" t="str">
        <f>IF($N1169="","",INDEX('_calc'!$F$2:$F$3001,$N1169))</f>
        <v/>
      </c>
      <c r="I1169" s="27" t="str">
        <f>IF($N1169="","",INDEX('_calc'!$H$2:$H$3001,$N1169))</f>
        <v/>
      </c>
      <c r="J1169" s="27" t="str">
        <f>IF($N1169="","",INDEX('_calc'!$I$2:$I$3001,$N1169))</f>
        <v/>
      </c>
      <c r="K1169" s="28" t="str">
        <f>IF($N1169="","",IF(OR(I1169="",J1169=""),"",J1169-I1169))</f>
        <v/>
      </c>
      <c r="L1169" s="29" t="str">
        <f>IF($N1169="","",INDEX('_calc'!$J$2:$J$3001,$N1169))</f>
        <v/>
      </c>
      <c r="M1169" s="2" t="str">
        <f>IF($N1169="","",IF(AND(G1169=0,H1169=0),"수량 없음",IF(G1169=0,"신규 (전년 수량 없음)",IF(H1169=0,"당해 수량 없음",""))))</f>
        <v/>
      </c>
      <c r="N1169" t="str">
        <f>IF($B1169="","",MATCH($B1169,'_calc'!$L$2:$L$3001,0))</f>
        <v/>
      </c>
    </row>
    <row r="1170">
      <c r="B1170" s="24" t="str">
        <f>IF(ROW()-ROW($B$8)&gt;nComp,"",ROW()-ROW($B$8))</f>
        <v/>
      </c>
      <c r="C1170" t="str">
        <f>IF($N1170="","",INDEX('_calc'!$A$2:$A$3001,$N1170))</f>
        <v/>
      </c>
      <c r="D1170" s="25" t="str">
        <f>IF($N1170="","",INDEX('_calc'!$C$2:$C$3001,$N1170))</f>
        <v/>
      </c>
      <c r="E1170" s="25" t="str">
        <f>IF($N1170="","",INDEX('_calc'!$D$2:$D$3001,$N1170))</f>
        <v/>
      </c>
      <c r="F1170" s="26" t="str">
        <f>IF($N1170="","",IF($E$8=0,"",E1170/$E$8))</f>
        <v/>
      </c>
      <c r="G1170" s="25" t="str">
        <f>IF($N1170="","",INDEX('_calc'!$E$2:$E$3001,$N1170))</f>
        <v/>
      </c>
      <c r="H1170" s="25" t="str">
        <f>IF($N1170="","",INDEX('_calc'!$F$2:$F$3001,$N1170))</f>
        <v/>
      </c>
      <c r="I1170" s="27" t="str">
        <f>IF($N1170="","",INDEX('_calc'!$H$2:$H$3001,$N1170))</f>
        <v/>
      </c>
      <c r="J1170" s="27" t="str">
        <f>IF($N1170="","",INDEX('_calc'!$I$2:$I$3001,$N1170))</f>
        <v/>
      </c>
      <c r="K1170" s="28" t="str">
        <f>IF($N1170="","",IF(OR(I1170="",J1170=""),"",J1170-I1170))</f>
        <v/>
      </c>
      <c r="L1170" s="29" t="str">
        <f>IF($N1170="","",INDEX('_calc'!$J$2:$J$3001,$N1170))</f>
        <v/>
      </c>
      <c r="M1170" s="2" t="str">
        <f>IF($N1170="","",IF(AND(G1170=0,H1170=0),"수량 없음",IF(G1170=0,"신규 (전년 수량 없음)",IF(H1170=0,"당해 수량 없음",""))))</f>
        <v/>
      </c>
      <c r="N1170" t="str">
        <f>IF($B1170="","",MATCH($B1170,'_calc'!$L$2:$L$3001,0))</f>
        <v/>
      </c>
    </row>
    <row r="1171">
      <c r="B1171" s="24" t="str">
        <f>IF(ROW()-ROW($B$8)&gt;nComp,"",ROW()-ROW($B$8))</f>
        <v/>
      </c>
      <c r="C1171" t="str">
        <f>IF($N1171="","",INDEX('_calc'!$A$2:$A$3001,$N1171))</f>
        <v/>
      </c>
      <c r="D1171" s="25" t="str">
        <f>IF($N1171="","",INDEX('_calc'!$C$2:$C$3001,$N1171))</f>
        <v/>
      </c>
      <c r="E1171" s="25" t="str">
        <f>IF($N1171="","",INDEX('_calc'!$D$2:$D$3001,$N1171))</f>
        <v/>
      </c>
      <c r="F1171" s="26" t="str">
        <f>IF($N1171="","",IF($E$8=0,"",E1171/$E$8))</f>
        <v/>
      </c>
      <c r="G1171" s="25" t="str">
        <f>IF($N1171="","",INDEX('_calc'!$E$2:$E$3001,$N1171))</f>
        <v/>
      </c>
      <c r="H1171" s="25" t="str">
        <f>IF($N1171="","",INDEX('_calc'!$F$2:$F$3001,$N1171))</f>
        <v/>
      </c>
      <c r="I1171" s="27" t="str">
        <f>IF($N1171="","",INDEX('_calc'!$H$2:$H$3001,$N1171))</f>
        <v/>
      </c>
      <c r="J1171" s="27" t="str">
        <f>IF($N1171="","",INDEX('_calc'!$I$2:$I$3001,$N1171))</f>
        <v/>
      </c>
      <c r="K1171" s="28" t="str">
        <f>IF($N1171="","",IF(OR(I1171="",J1171=""),"",J1171-I1171))</f>
        <v/>
      </c>
      <c r="L1171" s="29" t="str">
        <f>IF($N1171="","",INDEX('_calc'!$J$2:$J$3001,$N1171))</f>
        <v/>
      </c>
      <c r="M1171" s="2" t="str">
        <f>IF($N1171="","",IF(AND(G1171=0,H1171=0),"수량 없음",IF(G1171=0,"신규 (전년 수량 없음)",IF(H1171=0,"당해 수량 없음",""))))</f>
        <v/>
      </c>
      <c r="N1171" t="str">
        <f>IF($B1171="","",MATCH($B1171,'_calc'!$L$2:$L$3001,0))</f>
        <v/>
      </c>
    </row>
    <row r="1172">
      <c r="B1172" s="24" t="str">
        <f>IF(ROW()-ROW($B$8)&gt;nComp,"",ROW()-ROW($B$8))</f>
        <v/>
      </c>
      <c r="C1172" t="str">
        <f>IF($N1172="","",INDEX('_calc'!$A$2:$A$3001,$N1172))</f>
        <v/>
      </c>
      <c r="D1172" s="25" t="str">
        <f>IF($N1172="","",INDEX('_calc'!$C$2:$C$3001,$N1172))</f>
        <v/>
      </c>
      <c r="E1172" s="25" t="str">
        <f>IF($N1172="","",INDEX('_calc'!$D$2:$D$3001,$N1172))</f>
        <v/>
      </c>
      <c r="F1172" s="26" t="str">
        <f>IF($N1172="","",IF($E$8=0,"",E1172/$E$8))</f>
        <v/>
      </c>
      <c r="G1172" s="25" t="str">
        <f>IF($N1172="","",INDEX('_calc'!$E$2:$E$3001,$N1172))</f>
        <v/>
      </c>
      <c r="H1172" s="25" t="str">
        <f>IF($N1172="","",INDEX('_calc'!$F$2:$F$3001,$N1172))</f>
        <v/>
      </c>
      <c r="I1172" s="27" t="str">
        <f>IF($N1172="","",INDEX('_calc'!$H$2:$H$3001,$N1172))</f>
        <v/>
      </c>
      <c r="J1172" s="27" t="str">
        <f>IF($N1172="","",INDEX('_calc'!$I$2:$I$3001,$N1172))</f>
        <v/>
      </c>
      <c r="K1172" s="28" t="str">
        <f>IF($N1172="","",IF(OR(I1172="",J1172=""),"",J1172-I1172))</f>
        <v/>
      </c>
      <c r="L1172" s="29" t="str">
        <f>IF($N1172="","",INDEX('_calc'!$J$2:$J$3001,$N1172))</f>
        <v/>
      </c>
      <c r="M1172" s="2" t="str">
        <f>IF($N1172="","",IF(AND(G1172=0,H1172=0),"수량 없음",IF(G1172=0,"신규 (전년 수량 없음)",IF(H1172=0,"당해 수량 없음",""))))</f>
        <v/>
      </c>
      <c r="N1172" t="str">
        <f>IF($B1172="","",MATCH($B1172,'_calc'!$L$2:$L$3001,0))</f>
        <v/>
      </c>
    </row>
    <row r="1173">
      <c r="B1173" s="24" t="str">
        <f>IF(ROW()-ROW($B$8)&gt;nComp,"",ROW()-ROW($B$8))</f>
        <v/>
      </c>
      <c r="C1173" t="str">
        <f>IF($N1173="","",INDEX('_calc'!$A$2:$A$3001,$N1173))</f>
        <v/>
      </c>
      <c r="D1173" s="25" t="str">
        <f>IF($N1173="","",INDEX('_calc'!$C$2:$C$3001,$N1173))</f>
        <v/>
      </c>
      <c r="E1173" s="25" t="str">
        <f>IF($N1173="","",INDEX('_calc'!$D$2:$D$3001,$N1173))</f>
        <v/>
      </c>
      <c r="F1173" s="26" t="str">
        <f>IF($N1173="","",IF($E$8=0,"",E1173/$E$8))</f>
        <v/>
      </c>
      <c r="G1173" s="25" t="str">
        <f>IF($N1173="","",INDEX('_calc'!$E$2:$E$3001,$N1173))</f>
        <v/>
      </c>
      <c r="H1173" s="25" t="str">
        <f>IF($N1173="","",INDEX('_calc'!$F$2:$F$3001,$N1173))</f>
        <v/>
      </c>
      <c r="I1173" s="27" t="str">
        <f>IF($N1173="","",INDEX('_calc'!$H$2:$H$3001,$N1173))</f>
        <v/>
      </c>
      <c r="J1173" s="27" t="str">
        <f>IF($N1173="","",INDEX('_calc'!$I$2:$I$3001,$N1173))</f>
        <v/>
      </c>
      <c r="K1173" s="28" t="str">
        <f>IF($N1173="","",IF(OR(I1173="",J1173=""),"",J1173-I1173))</f>
        <v/>
      </c>
      <c r="L1173" s="29" t="str">
        <f>IF($N1173="","",INDEX('_calc'!$J$2:$J$3001,$N1173))</f>
        <v/>
      </c>
      <c r="M1173" s="2" t="str">
        <f>IF($N1173="","",IF(AND(G1173=0,H1173=0),"수량 없음",IF(G1173=0,"신규 (전년 수량 없음)",IF(H1173=0,"당해 수량 없음",""))))</f>
        <v/>
      </c>
      <c r="N1173" t="str">
        <f>IF($B1173="","",MATCH($B1173,'_calc'!$L$2:$L$3001,0))</f>
        <v/>
      </c>
    </row>
    <row r="1174">
      <c r="B1174" s="24" t="str">
        <f>IF(ROW()-ROW($B$8)&gt;nComp,"",ROW()-ROW($B$8))</f>
        <v/>
      </c>
      <c r="C1174" t="str">
        <f>IF($N1174="","",INDEX('_calc'!$A$2:$A$3001,$N1174))</f>
        <v/>
      </c>
      <c r="D1174" s="25" t="str">
        <f>IF($N1174="","",INDEX('_calc'!$C$2:$C$3001,$N1174))</f>
        <v/>
      </c>
      <c r="E1174" s="25" t="str">
        <f>IF($N1174="","",INDEX('_calc'!$D$2:$D$3001,$N1174))</f>
        <v/>
      </c>
      <c r="F1174" s="26" t="str">
        <f>IF($N1174="","",IF($E$8=0,"",E1174/$E$8))</f>
        <v/>
      </c>
      <c r="G1174" s="25" t="str">
        <f>IF($N1174="","",INDEX('_calc'!$E$2:$E$3001,$N1174))</f>
        <v/>
      </c>
      <c r="H1174" s="25" t="str">
        <f>IF($N1174="","",INDEX('_calc'!$F$2:$F$3001,$N1174))</f>
        <v/>
      </c>
      <c r="I1174" s="27" t="str">
        <f>IF($N1174="","",INDEX('_calc'!$H$2:$H$3001,$N1174))</f>
        <v/>
      </c>
      <c r="J1174" s="27" t="str">
        <f>IF($N1174="","",INDEX('_calc'!$I$2:$I$3001,$N1174))</f>
        <v/>
      </c>
      <c r="K1174" s="28" t="str">
        <f>IF($N1174="","",IF(OR(I1174="",J1174=""),"",J1174-I1174))</f>
        <v/>
      </c>
      <c r="L1174" s="29" t="str">
        <f>IF($N1174="","",INDEX('_calc'!$J$2:$J$3001,$N1174))</f>
        <v/>
      </c>
      <c r="M1174" s="2" t="str">
        <f>IF($N1174="","",IF(AND(G1174=0,H1174=0),"수량 없음",IF(G1174=0,"신규 (전년 수량 없음)",IF(H1174=0,"당해 수량 없음",""))))</f>
        <v/>
      </c>
      <c r="N1174" t="str">
        <f>IF($B1174="","",MATCH($B1174,'_calc'!$L$2:$L$3001,0))</f>
        <v/>
      </c>
    </row>
    <row r="1175">
      <c r="B1175" s="24" t="str">
        <f>IF(ROW()-ROW($B$8)&gt;nComp,"",ROW()-ROW($B$8))</f>
        <v/>
      </c>
      <c r="C1175" t="str">
        <f>IF($N1175="","",INDEX('_calc'!$A$2:$A$3001,$N1175))</f>
        <v/>
      </c>
      <c r="D1175" s="25" t="str">
        <f>IF($N1175="","",INDEX('_calc'!$C$2:$C$3001,$N1175))</f>
        <v/>
      </c>
      <c r="E1175" s="25" t="str">
        <f>IF($N1175="","",INDEX('_calc'!$D$2:$D$3001,$N1175))</f>
        <v/>
      </c>
      <c r="F1175" s="26" t="str">
        <f>IF($N1175="","",IF($E$8=0,"",E1175/$E$8))</f>
        <v/>
      </c>
      <c r="G1175" s="25" t="str">
        <f>IF($N1175="","",INDEX('_calc'!$E$2:$E$3001,$N1175))</f>
        <v/>
      </c>
      <c r="H1175" s="25" t="str">
        <f>IF($N1175="","",INDEX('_calc'!$F$2:$F$3001,$N1175))</f>
        <v/>
      </c>
      <c r="I1175" s="27" t="str">
        <f>IF($N1175="","",INDEX('_calc'!$H$2:$H$3001,$N1175))</f>
        <v/>
      </c>
      <c r="J1175" s="27" t="str">
        <f>IF($N1175="","",INDEX('_calc'!$I$2:$I$3001,$N1175))</f>
        <v/>
      </c>
      <c r="K1175" s="28" t="str">
        <f>IF($N1175="","",IF(OR(I1175="",J1175=""),"",J1175-I1175))</f>
        <v/>
      </c>
      <c r="L1175" s="29" t="str">
        <f>IF($N1175="","",INDEX('_calc'!$J$2:$J$3001,$N1175))</f>
        <v/>
      </c>
      <c r="M1175" s="2" t="str">
        <f>IF($N1175="","",IF(AND(G1175=0,H1175=0),"수량 없음",IF(G1175=0,"신규 (전년 수량 없음)",IF(H1175=0,"당해 수량 없음",""))))</f>
        <v/>
      </c>
      <c r="N1175" t="str">
        <f>IF($B1175="","",MATCH($B1175,'_calc'!$L$2:$L$3001,0))</f>
        <v/>
      </c>
    </row>
    <row r="1176">
      <c r="B1176" s="24" t="str">
        <f>IF(ROW()-ROW($B$8)&gt;nComp,"",ROW()-ROW($B$8))</f>
        <v/>
      </c>
      <c r="C1176" t="str">
        <f>IF($N1176="","",INDEX('_calc'!$A$2:$A$3001,$N1176))</f>
        <v/>
      </c>
      <c r="D1176" s="25" t="str">
        <f>IF($N1176="","",INDEX('_calc'!$C$2:$C$3001,$N1176))</f>
        <v/>
      </c>
      <c r="E1176" s="25" t="str">
        <f>IF($N1176="","",INDEX('_calc'!$D$2:$D$3001,$N1176))</f>
        <v/>
      </c>
      <c r="F1176" s="26" t="str">
        <f>IF($N1176="","",IF($E$8=0,"",E1176/$E$8))</f>
        <v/>
      </c>
      <c r="G1176" s="25" t="str">
        <f>IF($N1176="","",INDEX('_calc'!$E$2:$E$3001,$N1176))</f>
        <v/>
      </c>
      <c r="H1176" s="25" t="str">
        <f>IF($N1176="","",INDEX('_calc'!$F$2:$F$3001,$N1176))</f>
        <v/>
      </c>
      <c r="I1176" s="27" t="str">
        <f>IF($N1176="","",INDEX('_calc'!$H$2:$H$3001,$N1176))</f>
        <v/>
      </c>
      <c r="J1176" s="27" t="str">
        <f>IF($N1176="","",INDEX('_calc'!$I$2:$I$3001,$N1176))</f>
        <v/>
      </c>
      <c r="K1176" s="28" t="str">
        <f>IF($N1176="","",IF(OR(I1176="",J1176=""),"",J1176-I1176))</f>
        <v/>
      </c>
      <c r="L1176" s="29" t="str">
        <f>IF($N1176="","",INDEX('_calc'!$J$2:$J$3001,$N1176))</f>
        <v/>
      </c>
      <c r="M1176" s="2" t="str">
        <f>IF($N1176="","",IF(AND(G1176=0,H1176=0),"수량 없음",IF(G1176=0,"신규 (전년 수량 없음)",IF(H1176=0,"당해 수량 없음",""))))</f>
        <v/>
      </c>
      <c r="N1176" t="str">
        <f>IF($B1176="","",MATCH($B1176,'_calc'!$L$2:$L$3001,0))</f>
        <v/>
      </c>
    </row>
    <row r="1177">
      <c r="B1177" s="24" t="str">
        <f>IF(ROW()-ROW($B$8)&gt;nComp,"",ROW()-ROW($B$8))</f>
        <v/>
      </c>
      <c r="C1177" t="str">
        <f>IF($N1177="","",INDEX('_calc'!$A$2:$A$3001,$N1177))</f>
        <v/>
      </c>
      <c r="D1177" s="25" t="str">
        <f>IF($N1177="","",INDEX('_calc'!$C$2:$C$3001,$N1177))</f>
        <v/>
      </c>
      <c r="E1177" s="25" t="str">
        <f>IF($N1177="","",INDEX('_calc'!$D$2:$D$3001,$N1177))</f>
        <v/>
      </c>
      <c r="F1177" s="26" t="str">
        <f>IF($N1177="","",IF($E$8=0,"",E1177/$E$8))</f>
        <v/>
      </c>
      <c r="G1177" s="25" t="str">
        <f>IF($N1177="","",INDEX('_calc'!$E$2:$E$3001,$N1177))</f>
        <v/>
      </c>
      <c r="H1177" s="25" t="str">
        <f>IF($N1177="","",INDEX('_calc'!$F$2:$F$3001,$N1177))</f>
        <v/>
      </c>
      <c r="I1177" s="27" t="str">
        <f>IF($N1177="","",INDEX('_calc'!$H$2:$H$3001,$N1177))</f>
        <v/>
      </c>
      <c r="J1177" s="27" t="str">
        <f>IF($N1177="","",INDEX('_calc'!$I$2:$I$3001,$N1177))</f>
        <v/>
      </c>
      <c r="K1177" s="28" t="str">
        <f>IF($N1177="","",IF(OR(I1177="",J1177=""),"",J1177-I1177))</f>
        <v/>
      </c>
      <c r="L1177" s="29" t="str">
        <f>IF($N1177="","",INDEX('_calc'!$J$2:$J$3001,$N1177))</f>
        <v/>
      </c>
      <c r="M1177" s="2" t="str">
        <f>IF($N1177="","",IF(AND(G1177=0,H1177=0),"수량 없음",IF(G1177=0,"신규 (전년 수량 없음)",IF(H1177=0,"당해 수량 없음",""))))</f>
        <v/>
      </c>
      <c r="N1177" t="str">
        <f>IF($B1177="","",MATCH($B1177,'_calc'!$L$2:$L$3001,0))</f>
        <v/>
      </c>
    </row>
    <row r="1178">
      <c r="B1178" s="24" t="str">
        <f>IF(ROW()-ROW($B$8)&gt;nComp,"",ROW()-ROW($B$8))</f>
        <v/>
      </c>
      <c r="C1178" t="str">
        <f>IF($N1178="","",INDEX('_calc'!$A$2:$A$3001,$N1178))</f>
        <v/>
      </c>
      <c r="D1178" s="25" t="str">
        <f>IF($N1178="","",INDEX('_calc'!$C$2:$C$3001,$N1178))</f>
        <v/>
      </c>
      <c r="E1178" s="25" t="str">
        <f>IF($N1178="","",INDEX('_calc'!$D$2:$D$3001,$N1178))</f>
        <v/>
      </c>
      <c r="F1178" s="26" t="str">
        <f>IF($N1178="","",IF($E$8=0,"",E1178/$E$8))</f>
        <v/>
      </c>
      <c r="G1178" s="25" t="str">
        <f>IF($N1178="","",INDEX('_calc'!$E$2:$E$3001,$N1178))</f>
        <v/>
      </c>
      <c r="H1178" s="25" t="str">
        <f>IF($N1178="","",INDEX('_calc'!$F$2:$F$3001,$N1178))</f>
        <v/>
      </c>
      <c r="I1178" s="27" t="str">
        <f>IF($N1178="","",INDEX('_calc'!$H$2:$H$3001,$N1178))</f>
        <v/>
      </c>
      <c r="J1178" s="27" t="str">
        <f>IF($N1178="","",INDEX('_calc'!$I$2:$I$3001,$N1178))</f>
        <v/>
      </c>
      <c r="K1178" s="28" t="str">
        <f>IF($N1178="","",IF(OR(I1178="",J1178=""),"",J1178-I1178))</f>
        <v/>
      </c>
      <c r="L1178" s="29" t="str">
        <f>IF($N1178="","",INDEX('_calc'!$J$2:$J$3001,$N1178))</f>
        <v/>
      </c>
      <c r="M1178" s="2" t="str">
        <f>IF($N1178="","",IF(AND(G1178=0,H1178=0),"수량 없음",IF(G1178=0,"신규 (전년 수량 없음)",IF(H1178=0,"당해 수량 없음",""))))</f>
        <v/>
      </c>
      <c r="N1178" t="str">
        <f>IF($B1178="","",MATCH($B1178,'_calc'!$L$2:$L$3001,0))</f>
        <v/>
      </c>
    </row>
    <row r="1179">
      <c r="B1179" s="24" t="str">
        <f>IF(ROW()-ROW($B$8)&gt;nComp,"",ROW()-ROW($B$8))</f>
        <v/>
      </c>
      <c r="C1179" t="str">
        <f>IF($N1179="","",INDEX('_calc'!$A$2:$A$3001,$N1179))</f>
        <v/>
      </c>
      <c r="D1179" s="25" t="str">
        <f>IF($N1179="","",INDEX('_calc'!$C$2:$C$3001,$N1179))</f>
        <v/>
      </c>
      <c r="E1179" s="25" t="str">
        <f>IF($N1179="","",INDEX('_calc'!$D$2:$D$3001,$N1179))</f>
        <v/>
      </c>
      <c r="F1179" s="26" t="str">
        <f>IF($N1179="","",IF($E$8=0,"",E1179/$E$8))</f>
        <v/>
      </c>
      <c r="G1179" s="25" t="str">
        <f>IF($N1179="","",INDEX('_calc'!$E$2:$E$3001,$N1179))</f>
        <v/>
      </c>
      <c r="H1179" s="25" t="str">
        <f>IF($N1179="","",INDEX('_calc'!$F$2:$F$3001,$N1179))</f>
        <v/>
      </c>
      <c r="I1179" s="27" t="str">
        <f>IF($N1179="","",INDEX('_calc'!$H$2:$H$3001,$N1179))</f>
        <v/>
      </c>
      <c r="J1179" s="27" t="str">
        <f>IF($N1179="","",INDEX('_calc'!$I$2:$I$3001,$N1179))</f>
        <v/>
      </c>
      <c r="K1179" s="28" t="str">
        <f>IF($N1179="","",IF(OR(I1179="",J1179=""),"",J1179-I1179))</f>
        <v/>
      </c>
      <c r="L1179" s="29" t="str">
        <f>IF($N1179="","",INDEX('_calc'!$J$2:$J$3001,$N1179))</f>
        <v/>
      </c>
      <c r="M1179" s="2" t="str">
        <f>IF($N1179="","",IF(AND(G1179=0,H1179=0),"수량 없음",IF(G1179=0,"신규 (전년 수량 없음)",IF(H1179=0,"당해 수량 없음",""))))</f>
        <v/>
      </c>
      <c r="N1179" t="str">
        <f>IF($B1179="","",MATCH($B1179,'_calc'!$L$2:$L$3001,0))</f>
        <v/>
      </c>
    </row>
    <row r="1180">
      <c r="B1180" s="24" t="str">
        <f>IF(ROW()-ROW($B$8)&gt;nComp,"",ROW()-ROW($B$8))</f>
        <v/>
      </c>
      <c r="C1180" t="str">
        <f>IF($N1180="","",INDEX('_calc'!$A$2:$A$3001,$N1180))</f>
        <v/>
      </c>
      <c r="D1180" s="25" t="str">
        <f>IF($N1180="","",INDEX('_calc'!$C$2:$C$3001,$N1180))</f>
        <v/>
      </c>
      <c r="E1180" s="25" t="str">
        <f>IF($N1180="","",INDEX('_calc'!$D$2:$D$3001,$N1180))</f>
        <v/>
      </c>
      <c r="F1180" s="26" t="str">
        <f>IF($N1180="","",IF($E$8=0,"",E1180/$E$8))</f>
        <v/>
      </c>
      <c r="G1180" s="25" t="str">
        <f>IF($N1180="","",INDEX('_calc'!$E$2:$E$3001,$N1180))</f>
        <v/>
      </c>
      <c r="H1180" s="25" t="str">
        <f>IF($N1180="","",INDEX('_calc'!$F$2:$F$3001,$N1180))</f>
        <v/>
      </c>
      <c r="I1180" s="27" t="str">
        <f>IF($N1180="","",INDEX('_calc'!$H$2:$H$3001,$N1180))</f>
        <v/>
      </c>
      <c r="J1180" s="27" t="str">
        <f>IF($N1180="","",INDEX('_calc'!$I$2:$I$3001,$N1180))</f>
        <v/>
      </c>
      <c r="K1180" s="28" t="str">
        <f>IF($N1180="","",IF(OR(I1180="",J1180=""),"",J1180-I1180))</f>
        <v/>
      </c>
      <c r="L1180" s="29" t="str">
        <f>IF($N1180="","",INDEX('_calc'!$J$2:$J$3001,$N1180))</f>
        <v/>
      </c>
      <c r="M1180" s="2" t="str">
        <f>IF($N1180="","",IF(AND(G1180=0,H1180=0),"수량 없음",IF(G1180=0,"신규 (전년 수량 없음)",IF(H1180=0,"당해 수량 없음",""))))</f>
        <v/>
      </c>
      <c r="N1180" t="str">
        <f>IF($B1180="","",MATCH($B1180,'_calc'!$L$2:$L$3001,0))</f>
        <v/>
      </c>
    </row>
    <row r="1181">
      <c r="B1181" s="24" t="str">
        <f>IF(ROW()-ROW($B$8)&gt;nComp,"",ROW()-ROW($B$8))</f>
        <v/>
      </c>
      <c r="C1181" t="str">
        <f>IF($N1181="","",INDEX('_calc'!$A$2:$A$3001,$N1181))</f>
        <v/>
      </c>
      <c r="D1181" s="25" t="str">
        <f>IF($N1181="","",INDEX('_calc'!$C$2:$C$3001,$N1181))</f>
        <v/>
      </c>
      <c r="E1181" s="25" t="str">
        <f>IF($N1181="","",INDEX('_calc'!$D$2:$D$3001,$N1181))</f>
        <v/>
      </c>
      <c r="F1181" s="26" t="str">
        <f>IF($N1181="","",IF($E$8=0,"",E1181/$E$8))</f>
        <v/>
      </c>
      <c r="G1181" s="25" t="str">
        <f>IF($N1181="","",INDEX('_calc'!$E$2:$E$3001,$N1181))</f>
        <v/>
      </c>
      <c r="H1181" s="25" t="str">
        <f>IF($N1181="","",INDEX('_calc'!$F$2:$F$3001,$N1181))</f>
        <v/>
      </c>
      <c r="I1181" s="27" t="str">
        <f>IF($N1181="","",INDEX('_calc'!$H$2:$H$3001,$N1181))</f>
        <v/>
      </c>
      <c r="J1181" s="27" t="str">
        <f>IF($N1181="","",INDEX('_calc'!$I$2:$I$3001,$N1181))</f>
        <v/>
      </c>
      <c r="K1181" s="28" t="str">
        <f>IF($N1181="","",IF(OR(I1181="",J1181=""),"",J1181-I1181))</f>
        <v/>
      </c>
      <c r="L1181" s="29" t="str">
        <f>IF($N1181="","",INDEX('_calc'!$J$2:$J$3001,$N1181))</f>
        <v/>
      </c>
      <c r="M1181" s="2" t="str">
        <f>IF($N1181="","",IF(AND(G1181=0,H1181=0),"수량 없음",IF(G1181=0,"신규 (전년 수량 없음)",IF(H1181=0,"당해 수량 없음",""))))</f>
        <v/>
      </c>
      <c r="N1181" t="str">
        <f>IF($B1181="","",MATCH($B1181,'_calc'!$L$2:$L$3001,0))</f>
        <v/>
      </c>
    </row>
    <row r="1182">
      <c r="B1182" s="24" t="str">
        <f>IF(ROW()-ROW($B$8)&gt;nComp,"",ROW()-ROW($B$8))</f>
        <v/>
      </c>
      <c r="C1182" t="str">
        <f>IF($N1182="","",INDEX('_calc'!$A$2:$A$3001,$N1182))</f>
        <v/>
      </c>
      <c r="D1182" s="25" t="str">
        <f>IF($N1182="","",INDEX('_calc'!$C$2:$C$3001,$N1182))</f>
        <v/>
      </c>
      <c r="E1182" s="25" t="str">
        <f>IF($N1182="","",INDEX('_calc'!$D$2:$D$3001,$N1182))</f>
        <v/>
      </c>
      <c r="F1182" s="26" t="str">
        <f>IF($N1182="","",IF($E$8=0,"",E1182/$E$8))</f>
        <v/>
      </c>
      <c r="G1182" s="25" t="str">
        <f>IF($N1182="","",INDEX('_calc'!$E$2:$E$3001,$N1182))</f>
        <v/>
      </c>
      <c r="H1182" s="25" t="str">
        <f>IF($N1182="","",INDEX('_calc'!$F$2:$F$3001,$N1182))</f>
        <v/>
      </c>
      <c r="I1182" s="27" t="str">
        <f>IF($N1182="","",INDEX('_calc'!$H$2:$H$3001,$N1182))</f>
        <v/>
      </c>
      <c r="J1182" s="27" t="str">
        <f>IF($N1182="","",INDEX('_calc'!$I$2:$I$3001,$N1182))</f>
        <v/>
      </c>
      <c r="K1182" s="28" t="str">
        <f>IF($N1182="","",IF(OR(I1182="",J1182=""),"",J1182-I1182))</f>
        <v/>
      </c>
      <c r="L1182" s="29" t="str">
        <f>IF($N1182="","",INDEX('_calc'!$J$2:$J$3001,$N1182))</f>
        <v/>
      </c>
      <c r="M1182" s="2" t="str">
        <f>IF($N1182="","",IF(AND(G1182=0,H1182=0),"수량 없음",IF(G1182=0,"신규 (전년 수량 없음)",IF(H1182=0,"당해 수량 없음",""))))</f>
        <v/>
      </c>
      <c r="N1182" t="str">
        <f>IF($B1182="","",MATCH($B1182,'_calc'!$L$2:$L$3001,0))</f>
        <v/>
      </c>
    </row>
    <row r="1183">
      <c r="B1183" s="24" t="str">
        <f>IF(ROW()-ROW($B$8)&gt;nComp,"",ROW()-ROW($B$8))</f>
        <v/>
      </c>
      <c r="C1183" t="str">
        <f>IF($N1183="","",INDEX('_calc'!$A$2:$A$3001,$N1183))</f>
        <v/>
      </c>
      <c r="D1183" s="25" t="str">
        <f>IF($N1183="","",INDEX('_calc'!$C$2:$C$3001,$N1183))</f>
        <v/>
      </c>
      <c r="E1183" s="25" t="str">
        <f>IF($N1183="","",INDEX('_calc'!$D$2:$D$3001,$N1183))</f>
        <v/>
      </c>
      <c r="F1183" s="26" t="str">
        <f>IF($N1183="","",IF($E$8=0,"",E1183/$E$8))</f>
        <v/>
      </c>
      <c r="G1183" s="25" t="str">
        <f>IF($N1183="","",INDEX('_calc'!$E$2:$E$3001,$N1183))</f>
        <v/>
      </c>
      <c r="H1183" s="25" t="str">
        <f>IF($N1183="","",INDEX('_calc'!$F$2:$F$3001,$N1183))</f>
        <v/>
      </c>
      <c r="I1183" s="27" t="str">
        <f>IF($N1183="","",INDEX('_calc'!$H$2:$H$3001,$N1183))</f>
        <v/>
      </c>
      <c r="J1183" s="27" t="str">
        <f>IF($N1183="","",INDEX('_calc'!$I$2:$I$3001,$N1183))</f>
        <v/>
      </c>
      <c r="K1183" s="28" t="str">
        <f>IF($N1183="","",IF(OR(I1183="",J1183=""),"",J1183-I1183))</f>
        <v/>
      </c>
      <c r="L1183" s="29" t="str">
        <f>IF($N1183="","",INDEX('_calc'!$J$2:$J$3001,$N1183))</f>
        <v/>
      </c>
      <c r="M1183" s="2" t="str">
        <f>IF($N1183="","",IF(AND(G1183=0,H1183=0),"수량 없음",IF(G1183=0,"신규 (전년 수량 없음)",IF(H1183=0,"당해 수량 없음",""))))</f>
        <v/>
      </c>
      <c r="N1183" t="str">
        <f>IF($B1183="","",MATCH($B1183,'_calc'!$L$2:$L$3001,0))</f>
        <v/>
      </c>
    </row>
    <row r="1184">
      <c r="B1184" s="24" t="str">
        <f>IF(ROW()-ROW($B$8)&gt;nComp,"",ROW()-ROW($B$8))</f>
        <v/>
      </c>
      <c r="C1184" t="str">
        <f>IF($N1184="","",INDEX('_calc'!$A$2:$A$3001,$N1184))</f>
        <v/>
      </c>
      <c r="D1184" s="25" t="str">
        <f>IF($N1184="","",INDEX('_calc'!$C$2:$C$3001,$N1184))</f>
        <v/>
      </c>
      <c r="E1184" s="25" t="str">
        <f>IF($N1184="","",INDEX('_calc'!$D$2:$D$3001,$N1184))</f>
        <v/>
      </c>
      <c r="F1184" s="26" t="str">
        <f>IF($N1184="","",IF($E$8=0,"",E1184/$E$8))</f>
        <v/>
      </c>
      <c r="G1184" s="25" t="str">
        <f>IF($N1184="","",INDEX('_calc'!$E$2:$E$3001,$N1184))</f>
        <v/>
      </c>
      <c r="H1184" s="25" t="str">
        <f>IF($N1184="","",INDEX('_calc'!$F$2:$F$3001,$N1184))</f>
        <v/>
      </c>
      <c r="I1184" s="27" t="str">
        <f>IF($N1184="","",INDEX('_calc'!$H$2:$H$3001,$N1184))</f>
        <v/>
      </c>
      <c r="J1184" s="27" t="str">
        <f>IF($N1184="","",INDEX('_calc'!$I$2:$I$3001,$N1184))</f>
        <v/>
      </c>
      <c r="K1184" s="28" t="str">
        <f>IF($N1184="","",IF(OR(I1184="",J1184=""),"",J1184-I1184))</f>
        <v/>
      </c>
      <c r="L1184" s="29" t="str">
        <f>IF($N1184="","",INDEX('_calc'!$J$2:$J$3001,$N1184))</f>
        <v/>
      </c>
      <c r="M1184" s="2" t="str">
        <f>IF($N1184="","",IF(AND(G1184=0,H1184=0),"수량 없음",IF(G1184=0,"신규 (전년 수량 없음)",IF(H1184=0,"당해 수량 없음",""))))</f>
        <v/>
      </c>
      <c r="N1184" t="str">
        <f>IF($B1184="","",MATCH($B1184,'_calc'!$L$2:$L$3001,0))</f>
        <v/>
      </c>
    </row>
    <row r="1185">
      <c r="B1185" s="24" t="str">
        <f>IF(ROW()-ROW($B$8)&gt;nComp,"",ROW()-ROW($B$8))</f>
        <v/>
      </c>
      <c r="C1185" t="str">
        <f>IF($N1185="","",INDEX('_calc'!$A$2:$A$3001,$N1185))</f>
        <v/>
      </c>
      <c r="D1185" s="25" t="str">
        <f>IF($N1185="","",INDEX('_calc'!$C$2:$C$3001,$N1185))</f>
        <v/>
      </c>
      <c r="E1185" s="25" t="str">
        <f>IF($N1185="","",INDEX('_calc'!$D$2:$D$3001,$N1185))</f>
        <v/>
      </c>
      <c r="F1185" s="26" t="str">
        <f>IF($N1185="","",IF($E$8=0,"",E1185/$E$8))</f>
        <v/>
      </c>
      <c r="G1185" s="25" t="str">
        <f>IF($N1185="","",INDEX('_calc'!$E$2:$E$3001,$N1185))</f>
        <v/>
      </c>
      <c r="H1185" s="25" t="str">
        <f>IF($N1185="","",INDEX('_calc'!$F$2:$F$3001,$N1185))</f>
        <v/>
      </c>
      <c r="I1185" s="27" t="str">
        <f>IF($N1185="","",INDEX('_calc'!$H$2:$H$3001,$N1185))</f>
        <v/>
      </c>
      <c r="J1185" s="27" t="str">
        <f>IF($N1185="","",INDEX('_calc'!$I$2:$I$3001,$N1185))</f>
        <v/>
      </c>
      <c r="K1185" s="28" t="str">
        <f>IF($N1185="","",IF(OR(I1185="",J1185=""),"",J1185-I1185))</f>
        <v/>
      </c>
      <c r="L1185" s="29" t="str">
        <f>IF($N1185="","",INDEX('_calc'!$J$2:$J$3001,$N1185))</f>
        <v/>
      </c>
      <c r="M1185" s="2" t="str">
        <f>IF($N1185="","",IF(AND(G1185=0,H1185=0),"수량 없음",IF(G1185=0,"신규 (전년 수량 없음)",IF(H1185=0,"당해 수량 없음",""))))</f>
        <v/>
      </c>
      <c r="N1185" t="str">
        <f>IF($B1185="","",MATCH($B1185,'_calc'!$L$2:$L$3001,0))</f>
        <v/>
      </c>
    </row>
    <row r="1186">
      <c r="B1186" s="24" t="str">
        <f>IF(ROW()-ROW($B$8)&gt;nComp,"",ROW()-ROW($B$8))</f>
        <v/>
      </c>
      <c r="C1186" t="str">
        <f>IF($N1186="","",INDEX('_calc'!$A$2:$A$3001,$N1186))</f>
        <v/>
      </c>
      <c r="D1186" s="25" t="str">
        <f>IF($N1186="","",INDEX('_calc'!$C$2:$C$3001,$N1186))</f>
        <v/>
      </c>
      <c r="E1186" s="25" t="str">
        <f>IF($N1186="","",INDEX('_calc'!$D$2:$D$3001,$N1186))</f>
        <v/>
      </c>
      <c r="F1186" s="26" t="str">
        <f>IF($N1186="","",IF($E$8=0,"",E1186/$E$8))</f>
        <v/>
      </c>
      <c r="G1186" s="25" t="str">
        <f>IF($N1186="","",INDEX('_calc'!$E$2:$E$3001,$N1186))</f>
        <v/>
      </c>
      <c r="H1186" s="25" t="str">
        <f>IF($N1186="","",INDEX('_calc'!$F$2:$F$3001,$N1186))</f>
        <v/>
      </c>
      <c r="I1186" s="27" t="str">
        <f>IF($N1186="","",INDEX('_calc'!$H$2:$H$3001,$N1186))</f>
        <v/>
      </c>
      <c r="J1186" s="27" t="str">
        <f>IF($N1186="","",INDEX('_calc'!$I$2:$I$3001,$N1186))</f>
        <v/>
      </c>
      <c r="K1186" s="28" t="str">
        <f>IF($N1186="","",IF(OR(I1186="",J1186=""),"",J1186-I1186))</f>
        <v/>
      </c>
      <c r="L1186" s="29" t="str">
        <f>IF($N1186="","",INDEX('_calc'!$J$2:$J$3001,$N1186))</f>
        <v/>
      </c>
      <c r="M1186" s="2" t="str">
        <f>IF($N1186="","",IF(AND(G1186=0,H1186=0),"수량 없음",IF(G1186=0,"신규 (전년 수량 없음)",IF(H1186=0,"당해 수량 없음",""))))</f>
        <v/>
      </c>
      <c r="N1186" t="str">
        <f>IF($B1186="","",MATCH($B1186,'_calc'!$L$2:$L$3001,0))</f>
        <v/>
      </c>
    </row>
    <row r="1187">
      <c r="B1187" s="24" t="str">
        <f>IF(ROW()-ROW($B$8)&gt;nComp,"",ROW()-ROW($B$8))</f>
        <v/>
      </c>
      <c r="C1187" t="str">
        <f>IF($N1187="","",INDEX('_calc'!$A$2:$A$3001,$N1187))</f>
        <v/>
      </c>
      <c r="D1187" s="25" t="str">
        <f>IF($N1187="","",INDEX('_calc'!$C$2:$C$3001,$N1187))</f>
        <v/>
      </c>
      <c r="E1187" s="25" t="str">
        <f>IF($N1187="","",INDEX('_calc'!$D$2:$D$3001,$N1187))</f>
        <v/>
      </c>
      <c r="F1187" s="26" t="str">
        <f>IF($N1187="","",IF($E$8=0,"",E1187/$E$8))</f>
        <v/>
      </c>
      <c r="G1187" s="25" t="str">
        <f>IF($N1187="","",INDEX('_calc'!$E$2:$E$3001,$N1187))</f>
        <v/>
      </c>
      <c r="H1187" s="25" t="str">
        <f>IF($N1187="","",INDEX('_calc'!$F$2:$F$3001,$N1187))</f>
        <v/>
      </c>
      <c r="I1187" s="27" t="str">
        <f>IF($N1187="","",INDEX('_calc'!$H$2:$H$3001,$N1187))</f>
        <v/>
      </c>
      <c r="J1187" s="27" t="str">
        <f>IF($N1187="","",INDEX('_calc'!$I$2:$I$3001,$N1187))</f>
        <v/>
      </c>
      <c r="K1187" s="28" t="str">
        <f>IF($N1187="","",IF(OR(I1187="",J1187=""),"",J1187-I1187))</f>
        <v/>
      </c>
      <c r="L1187" s="29" t="str">
        <f>IF($N1187="","",INDEX('_calc'!$J$2:$J$3001,$N1187))</f>
        <v/>
      </c>
      <c r="M1187" s="2" t="str">
        <f>IF($N1187="","",IF(AND(G1187=0,H1187=0),"수량 없음",IF(G1187=0,"신규 (전년 수량 없음)",IF(H1187=0,"당해 수량 없음",""))))</f>
        <v/>
      </c>
      <c r="N1187" t="str">
        <f>IF($B1187="","",MATCH($B1187,'_calc'!$L$2:$L$3001,0))</f>
        <v/>
      </c>
    </row>
    <row r="1188">
      <c r="B1188" s="24" t="str">
        <f>IF(ROW()-ROW($B$8)&gt;nComp,"",ROW()-ROW($B$8))</f>
        <v/>
      </c>
      <c r="C1188" t="str">
        <f>IF($N1188="","",INDEX('_calc'!$A$2:$A$3001,$N1188))</f>
        <v/>
      </c>
      <c r="D1188" s="25" t="str">
        <f>IF($N1188="","",INDEX('_calc'!$C$2:$C$3001,$N1188))</f>
        <v/>
      </c>
      <c r="E1188" s="25" t="str">
        <f>IF($N1188="","",INDEX('_calc'!$D$2:$D$3001,$N1188))</f>
        <v/>
      </c>
      <c r="F1188" s="26" t="str">
        <f>IF($N1188="","",IF($E$8=0,"",E1188/$E$8))</f>
        <v/>
      </c>
      <c r="G1188" s="25" t="str">
        <f>IF($N1188="","",INDEX('_calc'!$E$2:$E$3001,$N1188))</f>
        <v/>
      </c>
      <c r="H1188" s="25" t="str">
        <f>IF($N1188="","",INDEX('_calc'!$F$2:$F$3001,$N1188))</f>
        <v/>
      </c>
      <c r="I1188" s="27" t="str">
        <f>IF($N1188="","",INDEX('_calc'!$H$2:$H$3001,$N1188))</f>
        <v/>
      </c>
      <c r="J1188" s="27" t="str">
        <f>IF($N1188="","",INDEX('_calc'!$I$2:$I$3001,$N1188))</f>
        <v/>
      </c>
      <c r="K1188" s="28" t="str">
        <f>IF($N1188="","",IF(OR(I1188="",J1188=""),"",J1188-I1188))</f>
        <v/>
      </c>
      <c r="L1188" s="29" t="str">
        <f>IF($N1188="","",INDEX('_calc'!$J$2:$J$3001,$N1188))</f>
        <v/>
      </c>
      <c r="M1188" s="2" t="str">
        <f>IF($N1188="","",IF(AND(G1188=0,H1188=0),"수량 없음",IF(G1188=0,"신규 (전년 수량 없음)",IF(H1188=0,"당해 수량 없음",""))))</f>
        <v/>
      </c>
      <c r="N1188" t="str">
        <f>IF($B1188="","",MATCH($B1188,'_calc'!$L$2:$L$3001,0))</f>
        <v/>
      </c>
    </row>
    <row r="1189">
      <c r="B1189" s="24" t="str">
        <f>IF(ROW()-ROW($B$8)&gt;nComp,"",ROW()-ROW($B$8))</f>
        <v/>
      </c>
      <c r="C1189" t="str">
        <f>IF($N1189="","",INDEX('_calc'!$A$2:$A$3001,$N1189))</f>
        <v/>
      </c>
      <c r="D1189" s="25" t="str">
        <f>IF($N1189="","",INDEX('_calc'!$C$2:$C$3001,$N1189))</f>
        <v/>
      </c>
      <c r="E1189" s="25" t="str">
        <f>IF($N1189="","",INDEX('_calc'!$D$2:$D$3001,$N1189))</f>
        <v/>
      </c>
      <c r="F1189" s="26" t="str">
        <f>IF($N1189="","",IF($E$8=0,"",E1189/$E$8))</f>
        <v/>
      </c>
      <c r="G1189" s="25" t="str">
        <f>IF($N1189="","",INDEX('_calc'!$E$2:$E$3001,$N1189))</f>
        <v/>
      </c>
      <c r="H1189" s="25" t="str">
        <f>IF($N1189="","",INDEX('_calc'!$F$2:$F$3001,$N1189))</f>
        <v/>
      </c>
      <c r="I1189" s="27" t="str">
        <f>IF($N1189="","",INDEX('_calc'!$H$2:$H$3001,$N1189))</f>
        <v/>
      </c>
      <c r="J1189" s="27" t="str">
        <f>IF($N1189="","",INDEX('_calc'!$I$2:$I$3001,$N1189))</f>
        <v/>
      </c>
      <c r="K1189" s="28" t="str">
        <f>IF($N1189="","",IF(OR(I1189="",J1189=""),"",J1189-I1189))</f>
        <v/>
      </c>
      <c r="L1189" s="29" t="str">
        <f>IF($N1189="","",INDEX('_calc'!$J$2:$J$3001,$N1189))</f>
        <v/>
      </c>
      <c r="M1189" s="2" t="str">
        <f>IF($N1189="","",IF(AND(G1189=0,H1189=0),"수량 없음",IF(G1189=0,"신규 (전년 수량 없음)",IF(H1189=0,"당해 수량 없음",""))))</f>
        <v/>
      </c>
      <c r="N1189" t="str">
        <f>IF($B1189="","",MATCH($B1189,'_calc'!$L$2:$L$3001,0))</f>
        <v/>
      </c>
    </row>
    <row r="1190">
      <c r="B1190" s="24" t="str">
        <f>IF(ROW()-ROW($B$8)&gt;nComp,"",ROW()-ROW($B$8))</f>
        <v/>
      </c>
      <c r="C1190" t="str">
        <f>IF($N1190="","",INDEX('_calc'!$A$2:$A$3001,$N1190))</f>
        <v/>
      </c>
      <c r="D1190" s="25" t="str">
        <f>IF($N1190="","",INDEX('_calc'!$C$2:$C$3001,$N1190))</f>
        <v/>
      </c>
      <c r="E1190" s="25" t="str">
        <f>IF($N1190="","",INDEX('_calc'!$D$2:$D$3001,$N1190))</f>
        <v/>
      </c>
      <c r="F1190" s="26" t="str">
        <f>IF($N1190="","",IF($E$8=0,"",E1190/$E$8))</f>
        <v/>
      </c>
      <c r="G1190" s="25" t="str">
        <f>IF($N1190="","",INDEX('_calc'!$E$2:$E$3001,$N1190))</f>
        <v/>
      </c>
      <c r="H1190" s="25" t="str">
        <f>IF($N1190="","",INDEX('_calc'!$F$2:$F$3001,$N1190))</f>
        <v/>
      </c>
      <c r="I1190" s="27" t="str">
        <f>IF($N1190="","",INDEX('_calc'!$H$2:$H$3001,$N1190))</f>
        <v/>
      </c>
      <c r="J1190" s="27" t="str">
        <f>IF($N1190="","",INDEX('_calc'!$I$2:$I$3001,$N1190))</f>
        <v/>
      </c>
      <c r="K1190" s="28" t="str">
        <f>IF($N1190="","",IF(OR(I1190="",J1190=""),"",J1190-I1190))</f>
        <v/>
      </c>
      <c r="L1190" s="29" t="str">
        <f>IF($N1190="","",INDEX('_calc'!$J$2:$J$3001,$N1190))</f>
        <v/>
      </c>
      <c r="M1190" s="2" t="str">
        <f>IF($N1190="","",IF(AND(G1190=0,H1190=0),"수량 없음",IF(G1190=0,"신규 (전년 수량 없음)",IF(H1190=0,"당해 수량 없음",""))))</f>
        <v/>
      </c>
      <c r="N1190" t="str">
        <f>IF($B1190="","",MATCH($B1190,'_calc'!$L$2:$L$3001,0))</f>
        <v/>
      </c>
    </row>
    <row r="1191">
      <c r="B1191" s="24" t="str">
        <f>IF(ROW()-ROW($B$8)&gt;nComp,"",ROW()-ROW($B$8))</f>
        <v/>
      </c>
      <c r="C1191" t="str">
        <f>IF($N1191="","",INDEX('_calc'!$A$2:$A$3001,$N1191))</f>
        <v/>
      </c>
      <c r="D1191" s="25" t="str">
        <f>IF($N1191="","",INDEX('_calc'!$C$2:$C$3001,$N1191))</f>
        <v/>
      </c>
      <c r="E1191" s="25" t="str">
        <f>IF($N1191="","",INDEX('_calc'!$D$2:$D$3001,$N1191))</f>
        <v/>
      </c>
      <c r="F1191" s="26" t="str">
        <f>IF($N1191="","",IF($E$8=0,"",E1191/$E$8))</f>
        <v/>
      </c>
      <c r="G1191" s="25" t="str">
        <f>IF($N1191="","",INDEX('_calc'!$E$2:$E$3001,$N1191))</f>
        <v/>
      </c>
      <c r="H1191" s="25" t="str">
        <f>IF($N1191="","",INDEX('_calc'!$F$2:$F$3001,$N1191))</f>
        <v/>
      </c>
      <c r="I1191" s="27" t="str">
        <f>IF($N1191="","",INDEX('_calc'!$H$2:$H$3001,$N1191))</f>
        <v/>
      </c>
      <c r="J1191" s="27" t="str">
        <f>IF($N1191="","",INDEX('_calc'!$I$2:$I$3001,$N1191))</f>
        <v/>
      </c>
      <c r="K1191" s="28" t="str">
        <f>IF($N1191="","",IF(OR(I1191="",J1191=""),"",J1191-I1191))</f>
        <v/>
      </c>
      <c r="L1191" s="29" t="str">
        <f>IF($N1191="","",INDEX('_calc'!$J$2:$J$3001,$N1191))</f>
        <v/>
      </c>
      <c r="M1191" s="2" t="str">
        <f>IF($N1191="","",IF(AND(G1191=0,H1191=0),"수량 없음",IF(G1191=0,"신규 (전년 수량 없음)",IF(H1191=0,"당해 수량 없음",""))))</f>
        <v/>
      </c>
      <c r="N1191" t="str">
        <f>IF($B1191="","",MATCH($B1191,'_calc'!$L$2:$L$3001,0))</f>
        <v/>
      </c>
    </row>
    <row r="1192">
      <c r="B1192" s="24" t="str">
        <f>IF(ROW()-ROW($B$8)&gt;nComp,"",ROW()-ROW($B$8))</f>
        <v/>
      </c>
      <c r="C1192" t="str">
        <f>IF($N1192="","",INDEX('_calc'!$A$2:$A$3001,$N1192))</f>
        <v/>
      </c>
      <c r="D1192" s="25" t="str">
        <f>IF($N1192="","",INDEX('_calc'!$C$2:$C$3001,$N1192))</f>
        <v/>
      </c>
      <c r="E1192" s="25" t="str">
        <f>IF($N1192="","",INDEX('_calc'!$D$2:$D$3001,$N1192))</f>
        <v/>
      </c>
      <c r="F1192" s="26" t="str">
        <f>IF($N1192="","",IF($E$8=0,"",E1192/$E$8))</f>
        <v/>
      </c>
      <c r="G1192" s="25" t="str">
        <f>IF($N1192="","",INDEX('_calc'!$E$2:$E$3001,$N1192))</f>
        <v/>
      </c>
      <c r="H1192" s="25" t="str">
        <f>IF($N1192="","",INDEX('_calc'!$F$2:$F$3001,$N1192))</f>
        <v/>
      </c>
      <c r="I1192" s="27" t="str">
        <f>IF($N1192="","",INDEX('_calc'!$H$2:$H$3001,$N1192))</f>
        <v/>
      </c>
      <c r="J1192" s="27" t="str">
        <f>IF($N1192="","",INDEX('_calc'!$I$2:$I$3001,$N1192))</f>
        <v/>
      </c>
      <c r="K1192" s="28" t="str">
        <f>IF($N1192="","",IF(OR(I1192="",J1192=""),"",J1192-I1192))</f>
        <v/>
      </c>
      <c r="L1192" s="29" t="str">
        <f>IF($N1192="","",INDEX('_calc'!$J$2:$J$3001,$N1192))</f>
        <v/>
      </c>
      <c r="M1192" s="2" t="str">
        <f>IF($N1192="","",IF(AND(G1192=0,H1192=0),"수량 없음",IF(G1192=0,"신규 (전년 수량 없음)",IF(H1192=0,"당해 수량 없음",""))))</f>
        <v/>
      </c>
      <c r="N1192" t="str">
        <f>IF($B1192="","",MATCH($B1192,'_calc'!$L$2:$L$3001,0))</f>
        <v/>
      </c>
    </row>
    <row r="1193">
      <c r="B1193" s="24" t="str">
        <f>IF(ROW()-ROW($B$8)&gt;nComp,"",ROW()-ROW($B$8))</f>
        <v/>
      </c>
      <c r="C1193" t="str">
        <f>IF($N1193="","",INDEX('_calc'!$A$2:$A$3001,$N1193))</f>
        <v/>
      </c>
      <c r="D1193" s="25" t="str">
        <f>IF($N1193="","",INDEX('_calc'!$C$2:$C$3001,$N1193))</f>
        <v/>
      </c>
      <c r="E1193" s="25" t="str">
        <f>IF($N1193="","",INDEX('_calc'!$D$2:$D$3001,$N1193))</f>
        <v/>
      </c>
      <c r="F1193" s="26" t="str">
        <f>IF($N1193="","",IF($E$8=0,"",E1193/$E$8))</f>
        <v/>
      </c>
      <c r="G1193" s="25" t="str">
        <f>IF($N1193="","",INDEX('_calc'!$E$2:$E$3001,$N1193))</f>
        <v/>
      </c>
      <c r="H1193" s="25" t="str">
        <f>IF($N1193="","",INDEX('_calc'!$F$2:$F$3001,$N1193))</f>
        <v/>
      </c>
      <c r="I1193" s="27" t="str">
        <f>IF($N1193="","",INDEX('_calc'!$H$2:$H$3001,$N1193))</f>
        <v/>
      </c>
      <c r="J1193" s="27" t="str">
        <f>IF($N1193="","",INDEX('_calc'!$I$2:$I$3001,$N1193))</f>
        <v/>
      </c>
      <c r="K1193" s="28" t="str">
        <f>IF($N1193="","",IF(OR(I1193="",J1193=""),"",J1193-I1193))</f>
        <v/>
      </c>
      <c r="L1193" s="29" t="str">
        <f>IF($N1193="","",INDEX('_calc'!$J$2:$J$3001,$N1193))</f>
        <v/>
      </c>
      <c r="M1193" s="2" t="str">
        <f>IF($N1193="","",IF(AND(G1193=0,H1193=0),"수량 없음",IF(G1193=0,"신규 (전년 수량 없음)",IF(H1193=0,"당해 수량 없음",""))))</f>
        <v/>
      </c>
      <c r="N1193" t="str">
        <f>IF($B1193="","",MATCH($B1193,'_calc'!$L$2:$L$3001,0))</f>
        <v/>
      </c>
    </row>
    <row r="1194">
      <c r="B1194" s="24" t="str">
        <f>IF(ROW()-ROW($B$8)&gt;nComp,"",ROW()-ROW($B$8))</f>
        <v/>
      </c>
      <c r="C1194" t="str">
        <f>IF($N1194="","",INDEX('_calc'!$A$2:$A$3001,$N1194))</f>
        <v/>
      </c>
      <c r="D1194" s="25" t="str">
        <f>IF($N1194="","",INDEX('_calc'!$C$2:$C$3001,$N1194))</f>
        <v/>
      </c>
      <c r="E1194" s="25" t="str">
        <f>IF($N1194="","",INDEX('_calc'!$D$2:$D$3001,$N1194))</f>
        <v/>
      </c>
      <c r="F1194" s="26" t="str">
        <f>IF($N1194="","",IF($E$8=0,"",E1194/$E$8))</f>
        <v/>
      </c>
      <c r="G1194" s="25" t="str">
        <f>IF($N1194="","",INDEX('_calc'!$E$2:$E$3001,$N1194))</f>
        <v/>
      </c>
      <c r="H1194" s="25" t="str">
        <f>IF($N1194="","",INDEX('_calc'!$F$2:$F$3001,$N1194))</f>
        <v/>
      </c>
      <c r="I1194" s="27" t="str">
        <f>IF($N1194="","",INDEX('_calc'!$H$2:$H$3001,$N1194))</f>
        <v/>
      </c>
      <c r="J1194" s="27" t="str">
        <f>IF($N1194="","",INDEX('_calc'!$I$2:$I$3001,$N1194))</f>
        <v/>
      </c>
      <c r="K1194" s="28" t="str">
        <f>IF($N1194="","",IF(OR(I1194="",J1194=""),"",J1194-I1194))</f>
        <v/>
      </c>
      <c r="L1194" s="29" t="str">
        <f>IF($N1194="","",INDEX('_calc'!$J$2:$J$3001,$N1194))</f>
        <v/>
      </c>
      <c r="M1194" s="2" t="str">
        <f>IF($N1194="","",IF(AND(G1194=0,H1194=0),"수량 없음",IF(G1194=0,"신규 (전년 수량 없음)",IF(H1194=0,"당해 수량 없음",""))))</f>
        <v/>
      </c>
      <c r="N1194" t="str">
        <f>IF($B1194="","",MATCH($B1194,'_calc'!$L$2:$L$3001,0))</f>
        <v/>
      </c>
    </row>
    <row r="1195">
      <c r="B1195" s="24" t="str">
        <f>IF(ROW()-ROW($B$8)&gt;nComp,"",ROW()-ROW($B$8))</f>
        <v/>
      </c>
      <c r="C1195" t="str">
        <f>IF($N1195="","",INDEX('_calc'!$A$2:$A$3001,$N1195))</f>
        <v/>
      </c>
      <c r="D1195" s="25" t="str">
        <f>IF($N1195="","",INDEX('_calc'!$C$2:$C$3001,$N1195))</f>
        <v/>
      </c>
      <c r="E1195" s="25" t="str">
        <f>IF($N1195="","",INDEX('_calc'!$D$2:$D$3001,$N1195))</f>
        <v/>
      </c>
      <c r="F1195" s="26" t="str">
        <f>IF($N1195="","",IF($E$8=0,"",E1195/$E$8))</f>
        <v/>
      </c>
      <c r="G1195" s="25" t="str">
        <f>IF($N1195="","",INDEX('_calc'!$E$2:$E$3001,$N1195))</f>
        <v/>
      </c>
      <c r="H1195" s="25" t="str">
        <f>IF($N1195="","",INDEX('_calc'!$F$2:$F$3001,$N1195))</f>
        <v/>
      </c>
      <c r="I1195" s="27" t="str">
        <f>IF($N1195="","",INDEX('_calc'!$H$2:$H$3001,$N1195))</f>
        <v/>
      </c>
      <c r="J1195" s="27" t="str">
        <f>IF($N1195="","",INDEX('_calc'!$I$2:$I$3001,$N1195))</f>
        <v/>
      </c>
      <c r="K1195" s="28" t="str">
        <f>IF($N1195="","",IF(OR(I1195="",J1195=""),"",J1195-I1195))</f>
        <v/>
      </c>
      <c r="L1195" s="29" t="str">
        <f>IF($N1195="","",INDEX('_calc'!$J$2:$J$3001,$N1195))</f>
        <v/>
      </c>
      <c r="M1195" s="2" t="str">
        <f>IF($N1195="","",IF(AND(G1195=0,H1195=0),"수량 없음",IF(G1195=0,"신규 (전년 수량 없음)",IF(H1195=0,"당해 수량 없음",""))))</f>
        <v/>
      </c>
      <c r="N1195" t="str">
        <f>IF($B1195="","",MATCH($B1195,'_calc'!$L$2:$L$3001,0))</f>
        <v/>
      </c>
    </row>
    <row r="1196">
      <c r="B1196" s="24" t="str">
        <f>IF(ROW()-ROW($B$8)&gt;nComp,"",ROW()-ROW($B$8))</f>
        <v/>
      </c>
      <c r="C1196" t="str">
        <f>IF($N1196="","",INDEX('_calc'!$A$2:$A$3001,$N1196))</f>
        <v/>
      </c>
      <c r="D1196" s="25" t="str">
        <f>IF($N1196="","",INDEX('_calc'!$C$2:$C$3001,$N1196))</f>
        <v/>
      </c>
      <c r="E1196" s="25" t="str">
        <f>IF($N1196="","",INDEX('_calc'!$D$2:$D$3001,$N1196))</f>
        <v/>
      </c>
      <c r="F1196" s="26" t="str">
        <f>IF($N1196="","",IF($E$8=0,"",E1196/$E$8))</f>
        <v/>
      </c>
      <c r="G1196" s="25" t="str">
        <f>IF($N1196="","",INDEX('_calc'!$E$2:$E$3001,$N1196))</f>
        <v/>
      </c>
      <c r="H1196" s="25" t="str">
        <f>IF($N1196="","",INDEX('_calc'!$F$2:$F$3001,$N1196))</f>
        <v/>
      </c>
      <c r="I1196" s="27" t="str">
        <f>IF($N1196="","",INDEX('_calc'!$H$2:$H$3001,$N1196))</f>
        <v/>
      </c>
      <c r="J1196" s="27" t="str">
        <f>IF($N1196="","",INDEX('_calc'!$I$2:$I$3001,$N1196))</f>
        <v/>
      </c>
      <c r="K1196" s="28" t="str">
        <f>IF($N1196="","",IF(OR(I1196="",J1196=""),"",J1196-I1196))</f>
        <v/>
      </c>
      <c r="L1196" s="29" t="str">
        <f>IF($N1196="","",INDEX('_calc'!$J$2:$J$3001,$N1196))</f>
        <v/>
      </c>
      <c r="M1196" s="2" t="str">
        <f>IF($N1196="","",IF(AND(G1196=0,H1196=0),"수량 없음",IF(G1196=0,"신규 (전년 수량 없음)",IF(H1196=0,"당해 수량 없음",""))))</f>
        <v/>
      </c>
      <c r="N1196" t="str">
        <f>IF($B1196="","",MATCH($B1196,'_calc'!$L$2:$L$3001,0))</f>
        <v/>
      </c>
    </row>
    <row r="1197">
      <c r="B1197" s="24" t="str">
        <f>IF(ROW()-ROW($B$8)&gt;nComp,"",ROW()-ROW($B$8))</f>
        <v/>
      </c>
      <c r="C1197" t="str">
        <f>IF($N1197="","",INDEX('_calc'!$A$2:$A$3001,$N1197))</f>
        <v/>
      </c>
      <c r="D1197" s="25" t="str">
        <f>IF($N1197="","",INDEX('_calc'!$C$2:$C$3001,$N1197))</f>
        <v/>
      </c>
      <c r="E1197" s="25" t="str">
        <f>IF($N1197="","",INDEX('_calc'!$D$2:$D$3001,$N1197))</f>
        <v/>
      </c>
      <c r="F1197" s="26" t="str">
        <f>IF($N1197="","",IF($E$8=0,"",E1197/$E$8))</f>
        <v/>
      </c>
      <c r="G1197" s="25" t="str">
        <f>IF($N1197="","",INDEX('_calc'!$E$2:$E$3001,$N1197))</f>
        <v/>
      </c>
      <c r="H1197" s="25" t="str">
        <f>IF($N1197="","",INDEX('_calc'!$F$2:$F$3001,$N1197))</f>
        <v/>
      </c>
      <c r="I1197" s="27" t="str">
        <f>IF($N1197="","",INDEX('_calc'!$H$2:$H$3001,$N1197))</f>
        <v/>
      </c>
      <c r="J1197" s="27" t="str">
        <f>IF($N1197="","",INDEX('_calc'!$I$2:$I$3001,$N1197))</f>
        <v/>
      </c>
      <c r="K1197" s="28" t="str">
        <f>IF($N1197="","",IF(OR(I1197="",J1197=""),"",J1197-I1197))</f>
        <v/>
      </c>
      <c r="L1197" s="29" t="str">
        <f>IF($N1197="","",INDEX('_calc'!$J$2:$J$3001,$N1197))</f>
        <v/>
      </c>
      <c r="M1197" s="2" t="str">
        <f>IF($N1197="","",IF(AND(G1197=0,H1197=0),"수량 없음",IF(G1197=0,"신규 (전년 수량 없음)",IF(H1197=0,"당해 수량 없음",""))))</f>
        <v/>
      </c>
      <c r="N1197" t="str">
        <f>IF($B1197="","",MATCH($B1197,'_calc'!$L$2:$L$3001,0))</f>
        <v/>
      </c>
    </row>
    <row r="1198">
      <c r="B1198" s="24" t="str">
        <f>IF(ROW()-ROW($B$8)&gt;nComp,"",ROW()-ROW($B$8))</f>
        <v/>
      </c>
      <c r="C1198" t="str">
        <f>IF($N1198="","",INDEX('_calc'!$A$2:$A$3001,$N1198))</f>
        <v/>
      </c>
      <c r="D1198" s="25" t="str">
        <f>IF($N1198="","",INDEX('_calc'!$C$2:$C$3001,$N1198))</f>
        <v/>
      </c>
      <c r="E1198" s="25" t="str">
        <f>IF($N1198="","",INDEX('_calc'!$D$2:$D$3001,$N1198))</f>
        <v/>
      </c>
      <c r="F1198" s="26" t="str">
        <f>IF($N1198="","",IF($E$8=0,"",E1198/$E$8))</f>
        <v/>
      </c>
      <c r="G1198" s="25" t="str">
        <f>IF($N1198="","",INDEX('_calc'!$E$2:$E$3001,$N1198))</f>
        <v/>
      </c>
      <c r="H1198" s="25" t="str">
        <f>IF($N1198="","",INDEX('_calc'!$F$2:$F$3001,$N1198))</f>
        <v/>
      </c>
      <c r="I1198" s="27" t="str">
        <f>IF($N1198="","",INDEX('_calc'!$H$2:$H$3001,$N1198))</f>
        <v/>
      </c>
      <c r="J1198" s="27" t="str">
        <f>IF($N1198="","",INDEX('_calc'!$I$2:$I$3001,$N1198))</f>
        <v/>
      </c>
      <c r="K1198" s="28" t="str">
        <f>IF($N1198="","",IF(OR(I1198="",J1198=""),"",J1198-I1198))</f>
        <v/>
      </c>
      <c r="L1198" s="29" t="str">
        <f>IF($N1198="","",INDEX('_calc'!$J$2:$J$3001,$N1198))</f>
        <v/>
      </c>
      <c r="M1198" s="2" t="str">
        <f>IF($N1198="","",IF(AND(G1198=0,H1198=0),"수량 없음",IF(G1198=0,"신규 (전년 수량 없음)",IF(H1198=0,"당해 수량 없음",""))))</f>
        <v/>
      </c>
      <c r="N1198" t="str">
        <f>IF($B1198="","",MATCH($B1198,'_calc'!$L$2:$L$3001,0))</f>
        <v/>
      </c>
    </row>
    <row r="1199">
      <c r="B1199" s="24" t="str">
        <f>IF(ROW()-ROW($B$8)&gt;nComp,"",ROW()-ROW($B$8))</f>
        <v/>
      </c>
      <c r="C1199" t="str">
        <f>IF($N1199="","",INDEX('_calc'!$A$2:$A$3001,$N1199))</f>
        <v/>
      </c>
      <c r="D1199" s="25" t="str">
        <f>IF($N1199="","",INDEX('_calc'!$C$2:$C$3001,$N1199))</f>
        <v/>
      </c>
      <c r="E1199" s="25" t="str">
        <f>IF($N1199="","",INDEX('_calc'!$D$2:$D$3001,$N1199))</f>
        <v/>
      </c>
      <c r="F1199" s="26" t="str">
        <f>IF($N1199="","",IF($E$8=0,"",E1199/$E$8))</f>
        <v/>
      </c>
      <c r="G1199" s="25" t="str">
        <f>IF($N1199="","",INDEX('_calc'!$E$2:$E$3001,$N1199))</f>
        <v/>
      </c>
      <c r="H1199" s="25" t="str">
        <f>IF($N1199="","",INDEX('_calc'!$F$2:$F$3001,$N1199))</f>
        <v/>
      </c>
      <c r="I1199" s="27" t="str">
        <f>IF($N1199="","",INDEX('_calc'!$H$2:$H$3001,$N1199))</f>
        <v/>
      </c>
      <c r="J1199" s="27" t="str">
        <f>IF($N1199="","",INDEX('_calc'!$I$2:$I$3001,$N1199))</f>
        <v/>
      </c>
      <c r="K1199" s="28" t="str">
        <f>IF($N1199="","",IF(OR(I1199="",J1199=""),"",J1199-I1199))</f>
        <v/>
      </c>
      <c r="L1199" s="29" t="str">
        <f>IF($N1199="","",INDEX('_calc'!$J$2:$J$3001,$N1199))</f>
        <v/>
      </c>
      <c r="M1199" s="2" t="str">
        <f>IF($N1199="","",IF(AND(G1199=0,H1199=0),"수량 없음",IF(G1199=0,"신규 (전년 수량 없음)",IF(H1199=0,"당해 수량 없음",""))))</f>
        <v/>
      </c>
      <c r="N1199" t="str">
        <f>IF($B1199="","",MATCH($B1199,'_calc'!$L$2:$L$3001,0))</f>
        <v/>
      </c>
    </row>
    <row r="1200">
      <c r="B1200" s="24" t="str">
        <f>IF(ROW()-ROW($B$8)&gt;nComp,"",ROW()-ROW($B$8))</f>
        <v/>
      </c>
      <c r="C1200" t="str">
        <f>IF($N1200="","",INDEX('_calc'!$A$2:$A$3001,$N1200))</f>
        <v/>
      </c>
      <c r="D1200" s="25" t="str">
        <f>IF($N1200="","",INDEX('_calc'!$C$2:$C$3001,$N1200))</f>
        <v/>
      </c>
      <c r="E1200" s="25" t="str">
        <f>IF($N1200="","",INDEX('_calc'!$D$2:$D$3001,$N1200))</f>
        <v/>
      </c>
      <c r="F1200" s="26" t="str">
        <f>IF($N1200="","",IF($E$8=0,"",E1200/$E$8))</f>
        <v/>
      </c>
      <c r="G1200" s="25" t="str">
        <f>IF($N1200="","",INDEX('_calc'!$E$2:$E$3001,$N1200))</f>
        <v/>
      </c>
      <c r="H1200" s="25" t="str">
        <f>IF($N1200="","",INDEX('_calc'!$F$2:$F$3001,$N1200))</f>
        <v/>
      </c>
      <c r="I1200" s="27" t="str">
        <f>IF($N1200="","",INDEX('_calc'!$H$2:$H$3001,$N1200))</f>
        <v/>
      </c>
      <c r="J1200" s="27" t="str">
        <f>IF($N1200="","",INDEX('_calc'!$I$2:$I$3001,$N1200))</f>
        <v/>
      </c>
      <c r="K1200" s="28" t="str">
        <f>IF($N1200="","",IF(OR(I1200="",J1200=""),"",J1200-I1200))</f>
        <v/>
      </c>
      <c r="L1200" s="29" t="str">
        <f>IF($N1200="","",INDEX('_calc'!$J$2:$J$3001,$N1200))</f>
        <v/>
      </c>
      <c r="M1200" s="2" t="str">
        <f>IF($N1200="","",IF(AND(G1200=0,H1200=0),"수량 없음",IF(G1200=0,"신규 (전년 수량 없음)",IF(H1200=0,"당해 수량 없음",""))))</f>
        <v/>
      </c>
      <c r="N1200" t="str">
        <f>IF($B1200="","",MATCH($B1200,'_calc'!$L$2:$L$3001,0))</f>
        <v/>
      </c>
    </row>
    <row r="1201">
      <c r="B1201" s="24" t="str">
        <f>IF(ROW()-ROW($B$8)&gt;nComp,"",ROW()-ROW($B$8))</f>
        <v/>
      </c>
      <c r="C1201" t="str">
        <f>IF($N1201="","",INDEX('_calc'!$A$2:$A$3001,$N1201))</f>
        <v/>
      </c>
      <c r="D1201" s="25" t="str">
        <f>IF($N1201="","",INDEX('_calc'!$C$2:$C$3001,$N1201))</f>
        <v/>
      </c>
      <c r="E1201" s="25" t="str">
        <f>IF($N1201="","",INDEX('_calc'!$D$2:$D$3001,$N1201))</f>
        <v/>
      </c>
      <c r="F1201" s="26" t="str">
        <f>IF($N1201="","",IF($E$8=0,"",E1201/$E$8))</f>
        <v/>
      </c>
      <c r="G1201" s="25" t="str">
        <f>IF($N1201="","",INDEX('_calc'!$E$2:$E$3001,$N1201))</f>
        <v/>
      </c>
      <c r="H1201" s="25" t="str">
        <f>IF($N1201="","",INDEX('_calc'!$F$2:$F$3001,$N1201))</f>
        <v/>
      </c>
      <c r="I1201" s="27" t="str">
        <f>IF($N1201="","",INDEX('_calc'!$H$2:$H$3001,$N1201))</f>
        <v/>
      </c>
      <c r="J1201" s="27" t="str">
        <f>IF($N1201="","",INDEX('_calc'!$I$2:$I$3001,$N1201))</f>
        <v/>
      </c>
      <c r="K1201" s="28" t="str">
        <f>IF($N1201="","",IF(OR(I1201="",J1201=""),"",J1201-I1201))</f>
        <v/>
      </c>
      <c r="L1201" s="29" t="str">
        <f>IF($N1201="","",INDEX('_calc'!$J$2:$J$3001,$N1201))</f>
        <v/>
      </c>
      <c r="M1201" s="2" t="str">
        <f>IF($N1201="","",IF(AND(G1201=0,H1201=0),"수량 없음",IF(G1201=0,"신규 (전년 수량 없음)",IF(H1201=0,"당해 수량 없음",""))))</f>
        <v/>
      </c>
      <c r="N1201" t="str">
        <f>IF($B1201="","",MATCH($B1201,'_calc'!$L$2:$L$3001,0))</f>
        <v/>
      </c>
    </row>
    <row r="1202">
      <c r="B1202" s="24" t="str">
        <f>IF(ROW()-ROW($B$8)&gt;nComp,"",ROW()-ROW($B$8))</f>
        <v/>
      </c>
      <c r="C1202" t="str">
        <f>IF($N1202="","",INDEX('_calc'!$A$2:$A$3001,$N1202))</f>
        <v/>
      </c>
      <c r="D1202" s="25" t="str">
        <f>IF($N1202="","",INDEX('_calc'!$C$2:$C$3001,$N1202))</f>
        <v/>
      </c>
      <c r="E1202" s="25" t="str">
        <f>IF($N1202="","",INDEX('_calc'!$D$2:$D$3001,$N1202))</f>
        <v/>
      </c>
      <c r="F1202" s="26" t="str">
        <f>IF($N1202="","",IF($E$8=0,"",E1202/$E$8))</f>
        <v/>
      </c>
      <c r="G1202" s="25" t="str">
        <f>IF($N1202="","",INDEX('_calc'!$E$2:$E$3001,$N1202))</f>
        <v/>
      </c>
      <c r="H1202" s="25" t="str">
        <f>IF($N1202="","",INDEX('_calc'!$F$2:$F$3001,$N1202))</f>
        <v/>
      </c>
      <c r="I1202" s="27" t="str">
        <f>IF($N1202="","",INDEX('_calc'!$H$2:$H$3001,$N1202))</f>
        <v/>
      </c>
      <c r="J1202" s="27" t="str">
        <f>IF($N1202="","",INDEX('_calc'!$I$2:$I$3001,$N1202))</f>
        <v/>
      </c>
      <c r="K1202" s="28" t="str">
        <f>IF($N1202="","",IF(OR(I1202="",J1202=""),"",J1202-I1202))</f>
        <v/>
      </c>
      <c r="L1202" s="29" t="str">
        <f>IF($N1202="","",INDEX('_calc'!$J$2:$J$3001,$N1202))</f>
        <v/>
      </c>
      <c r="M1202" s="2" t="str">
        <f>IF($N1202="","",IF(AND(G1202=0,H1202=0),"수량 없음",IF(G1202=0,"신규 (전년 수량 없음)",IF(H1202=0,"당해 수량 없음",""))))</f>
        <v/>
      </c>
      <c r="N1202" t="str">
        <f>IF($B1202="","",MATCH($B1202,'_calc'!$L$2:$L$3001,0))</f>
        <v/>
      </c>
    </row>
    <row r="1203">
      <c r="B1203" s="24" t="str">
        <f>IF(ROW()-ROW($B$8)&gt;nComp,"",ROW()-ROW($B$8))</f>
        <v/>
      </c>
      <c r="C1203" t="str">
        <f>IF($N1203="","",INDEX('_calc'!$A$2:$A$3001,$N1203))</f>
        <v/>
      </c>
      <c r="D1203" s="25" t="str">
        <f>IF($N1203="","",INDEX('_calc'!$C$2:$C$3001,$N1203))</f>
        <v/>
      </c>
      <c r="E1203" s="25" t="str">
        <f>IF($N1203="","",INDEX('_calc'!$D$2:$D$3001,$N1203))</f>
        <v/>
      </c>
      <c r="F1203" s="26" t="str">
        <f>IF($N1203="","",IF($E$8=0,"",E1203/$E$8))</f>
        <v/>
      </c>
      <c r="G1203" s="25" t="str">
        <f>IF($N1203="","",INDEX('_calc'!$E$2:$E$3001,$N1203))</f>
        <v/>
      </c>
      <c r="H1203" s="25" t="str">
        <f>IF($N1203="","",INDEX('_calc'!$F$2:$F$3001,$N1203))</f>
        <v/>
      </c>
      <c r="I1203" s="27" t="str">
        <f>IF($N1203="","",INDEX('_calc'!$H$2:$H$3001,$N1203))</f>
        <v/>
      </c>
      <c r="J1203" s="27" t="str">
        <f>IF($N1203="","",INDEX('_calc'!$I$2:$I$3001,$N1203))</f>
        <v/>
      </c>
      <c r="K1203" s="28" t="str">
        <f>IF($N1203="","",IF(OR(I1203="",J1203=""),"",J1203-I1203))</f>
        <v/>
      </c>
      <c r="L1203" s="29" t="str">
        <f>IF($N1203="","",INDEX('_calc'!$J$2:$J$3001,$N1203))</f>
        <v/>
      </c>
      <c r="M1203" s="2" t="str">
        <f>IF($N1203="","",IF(AND(G1203=0,H1203=0),"수량 없음",IF(G1203=0,"신규 (전년 수량 없음)",IF(H1203=0,"당해 수량 없음",""))))</f>
        <v/>
      </c>
      <c r="N1203" t="str">
        <f>IF($B1203="","",MATCH($B1203,'_calc'!$L$2:$L$3001,0))</f>
        <v/>
      </c>
    </row>
    <row r="1204">
      <c r="B1204" s="24" t="str">
        <f>IF(ROW()-ROW($B$8)&gt;nComp,"",ROW()-ROW($B$8))</f>
        <v/>
      </c>
      <c r="C1204" t="str">
        <f>IF($N1204="","",INDEX('_calc'!$A$2:$A$3001,$N1204))</f>
        <v/>
      </c>
      <c r="D1204" s="25" t="str">
        <f>IF($N1204="","",INDEX('_calc'!$C$2:$C$3001,$N1204))</f>
        <v/>
      </c>
      <c r="E1204" s="25" t="str">
        <f>IF($N1204="","",INDEX('_calc'!$D$2:$D$3001,$N1204))</f>
        <v/>
      </c>
      <c r="F1204" s="26" t="str">
        <f>IF($N1204="","",IF($E$8=0,"",E1204/$E$8))</f>
        <v/>
      </c>
      <c r="G1204" s="25" t="str">
        <f>IF($N1204="","",INDEX('_calc'!$E$2:$E$3001,$N1204))</f>
        <v/>
      </c>
      <c r="H1204" s="25" t="str">
        <f>IF($N1204="","",INDEX('_calc'!$F$2:$F$3001,$N1204))</f>
        <v/>
      </c>
      <c r="I1204" s="27" t="str">
        <f>IF($N1204="","",INDEX('_calc'!$H$2:$H$3001,$N1204))</f>
        <v/>
      </c>
      <c r="J1204" s="27" t="str">
        <f>IF($N1204="","",INDEX('_calc'!$I$2:$I$3001,$N1204))</f>
        <v/>
      </c>
      <c r="K1204" s="28" t="str">
        <f>IF($N1204="","",IF(OR(I1204="",J1204=""),"",J1204-I1204))</f>
        <v/>
      </c>
      <c r="L1204" s="29" t="str">
        <f>IF($N1204="","",INDEX('_calc'!$J$2:$J$3001,$N1204))</f>
        <v/>
      </c>
      <c r="M1204" s="2" t="str">
        <f>IF($N1204="","",IF(AND(G1204=0,H1204=0),"수량 없음",IF(G1204=0,"신규 (전년 수량 없음)",IF(H1204=0,"당해 수량 없음",""))))</f>
        <v/>
      </c>
      <c r="N1204" t="str">
        <f>IF($B1204="","",MATCH($B1204,'_calc'!$L$2:$L$3001,0))</f>
        <v/>
      </c>
    </row>
    <row r="1205">
      <c r="B1205" s="24" t="str">
        <f>IF(ROW()-ROW($B$8)&gt;nComp,"",ROW()-ROW($B$8))</f>
        <v/>
      </c>
      <c r="C1205" t="str">
        <f>IF($N1205="","",INDEX('_calc'!$A$2:$A$3001,$N1205))</f>
        <v/>
      </c>
      <c r="D1205" s="25" t="str">
        <f>IF($N1205="","",INDEX('_calc'!$C$2:$C$3001,$N1205))</f>
        <v/>
      </c>
      <c r="E1205" s="25" t="str">
        <f>IF($N1205="","",INDEX('_calc'!$D$2:$D$3001,$N1205))</f>
        <v/>
      </c>
      <c r="F1205" s="26" t="str">
        <f>IF($N1205="","",IF($E$8=0,"",E1205/$E$8))</f>
        <v/>
      </c>
      <c r="G1205" s="25" t="str">
        <f>IF($N1205="","",INDEX('_calc'!$E$2:$E$3001,$N1205))</f>
        <v/>
      </c>
      <c r="H1205" s="25" t="str">
        <f>IF($N1205="","",INDEX('_calc'!$F$2:$F$3001,$N1205))</f>
        <v/>
      </c>
      <c r="I1205" s="27" t="str">
        <f>IF($N1205="","",INDEX('_calc'!$H$2:$H$3001,$N1205))</f>
        <v/>
      </c>
      <c r="J1205" s="27" t="str">
        <f>IF($N1205="","",INDEX('_calc'!$I$2:$I$3001,$N1205))</f>
        <v/>
      </c>
      <c r="K1205" s="28" t="str">
        <f>IF($N1205="","",IF(OR(I1205="",J1205=""),"",J1205-I1205))</f>
        <v/>
      </c>
      <c r="L1205" s="29" t="str">
        <f>IF($N1205="","",INDEX('_calc'!$J$2:$J$3001,$N1205))</f>
        <v/>
      </c>
      <c r="M1205" s="2" t="str">
        <f>IF($N1205="","",IF(AND(G1205=0,H1205=0),"수량 없음",IF(G1205=0,"신규 (전년 수량 없음)",IF(H1205=0,"당해 수량 없음",""))))</f>
        <v/>
      </c>
      <c r="N1205" t="str">
        <f>IF($B1205="","",MATCH($B1205,'_calc'!$L$2:$L$3001,0))</f>
        <v/>
      </c>
    </row>
    <row r="1206">
      <c r="B1206" s="24" t="str">
        <f>IF(ROW()-ROW($B$8)&gt;nComp,"",ROW()-ROW($B$8))</f>
        <v/>
      </c>
      <c r="C1206" t="str">
        <f>IF($N1206="","",INDEX('_calc'!$A$2:$A$3001,$N1206))</f>
        <v/>
      </c>
      <c r="D1206" s="25" t="str">
        <f>IF($N1206="","",INDEX('_calc'!$C$2:$C$3001,$N1206))</f>
        <v/>
      </c>
      <c r="E1206" s="25" t="str">
        <f>IF($N1206="","",INDEX('_calc'!$D$2:$D$3001,$N1206))</f>
        <v/>
      </c>
      <c r="F1206" s="26" t="str">
        <f>IF($N1206="","",IF($E$8=0,"",E1206/$E$8))</f>
        <v/>
      </c>
      <c r="G1206" s="25" t="str">
        <f>IF($N1206="","",INDEX('_calc'!$E$2:$E$3001,$N1206))</f>
        <v/>
      </c>
      <c r="H1206" s="25" t="str">
        <f>IF($N1206="","",INDEX('_calc'!$F$2:$F$3001,$N1206))</f>
        <v/>
      </c>
      <c r="I1206" s="27" t="str">
        <f>IF($N1206="","",INDEX('_calc'!$H$2:$H$3001,$N1206))</f>
        <v/>
      </c>
      <c r="J1206" s="27" t="str">
        <f>IF($N1206="","",INDEX('_calc'!$I$2:$I$3001,$N1206))</f>
        <v/>
      </c>
      <c r="K1206" s="28" t="str">
        <f>IF($N1206="","",IF(OR(I1206="",J1206=""),"",J1206-I1206))</f>
        <v/>
      </c>
      <c r="L1206" s="29" t="str">
        <f>IF($N1206="","",INDEX('_calc'!$J$2:$J$3001,$N1206))</f>
        <v/>
      </c>
      <c r="M1206" s="2" t="str">
        <f>IF($N1206="","",IF(AND(G1206=0,H1206=0),"수량 없음",IF(G1206=0,"신규 (전년 수량 없음)",IF(H1206=0,"당해 수량 없음",""))))</f>
        <v/>
      </c>
      <c r="N1206" t="str">
        <f>IF($B1206="","",MATCH($B1206,'_calc'!$L$2:$L$3001,0))</f>
        <v/>
      </c>
    </row>
    <row r="1207">
      <c r="B1207" s="24" t="str">
        <f>IF(ROW()-ROW($B$8)&gt;nComp,"",ROW()-ROW($B$8))</f>
        <v/>
      </c>
      <c r="C1207" t="str">
        <f>IF($N1207="","",INDEX('_calc'!$A$2:$A$3001,$N1207))</f>
        <v/>
      </c>
      <c r="D1207" s="25" t="str">
        <f>IF($N1207="","",INDEX('_calc'!$C$2:$C$3001,$N1207))</f>
        <v/>
      </c>
      <c r="E1207" s="25" t="str">
        <f>IF($N1207="","",INDEX('_calc'!$D$2:$D$3001,$N1207))</f>
        <v/>
      </c>
      <c r="F1207" s="26" t="str">
        <f>IF($N1207="","",IF($E$8=0,"",E1207/$E$8))</f>
        <v/>
      </c>
      <c r="G1207" s="25" t="str">
        <f>IF($N1207="","",INDEX('_calc'!$E$2:$E$3001,$N1207))</f>
        <v/>
      </c>
      <c r="H1207" s="25" t="str">
        <f>IF($N1207="","",INDEX('_calc'!$F$2:$F$3001,$N1207))</f>
        <v/>
      </c>
      <c r="I1207" s="27" t="str">
        <f>IF($N1207="","",INDEX('_calc'!$H$2:$H$3001,$N1207))</f>
        <v/>
      </c>
      <c r="J1207" s="27" t="str">
        <f>IF($N1207="","",INDEX('_calc'!$I$2:$I$3001,$N1207))</f>
        <v/>
      </c>
      <c r="K1207" s="28" t="str">
        <f>IF($N1207="","",IF(OR(I1207="",J1207=""),"",J1207-I1207))</f>
        <v/>
      </c>
      <c r="L1207" s="29" t="str">
        <f>IF($N1207="","",INDEX('_calc'!$J$2:$J$3001,$N1207))</f>
        <v/>
      </c>
      <c r="M1207" s="2" t="str">
        <f>IF($N1207="","",IF(AND(G1207=0,H1207=0),"수량 없음",IF(G1207=0,"신규 (전년 수량 없음)",IF(H1207=0,"당해 수량 없음",""))))</f>
        <v/>
      </c>
      <c r="N1207" t="str">
        <f>IF($B1207="","",MATCH($B1207,'_calc'!$L$2:$L$3001,0))</f>
        <v/>
      </c>
    </row>
    <row r="1208">
      <c r="B1208" s="24" t="str">
        <f>IF(ROW()-ROW($B$8)&gt;nComp,"",ROW()-ROW($B$8))</f>
        <v/>
      </c>
      <c r="C1208" t="str">
        <f>IF($N1208="","",INDEX('_calc'!$A$2:$A$3001,$N1208))</f>
        <v/>
      </c>
      <c r="D1208" s="25" t="str">
        <f>IF($N1208="","",INDEX('_calc'!$C$2:$C$3001,$N1208))</f>
        <v/>
      </c>
      <c r="E1208" s="25" t="str">
        <f>IF($N1208="","",INDEX('_calc'!$D$2:$D$3001,$N1208))</f>
        <v/>
      </c>
      <c r="F1208" s="26" t="str">
        <f>IF($N1208="","",IF($E$8=0,"",E1208/$E$8))</f>
        <v/>
      </c>
      <c r="G1208" s="25" t="str">
        <f>IF($N1208="","",INDEX('_calc'!$E$2:$E$3001,$N1208))</f>
        <v/>
      </c>
      <c r="H1208" s="25" t="str">
        <f>IF($N1208="","",INDEX('_calc'!$F$2:$F$3001,$N1208))</f>
        <v/>
      </c>
      <c r="I1208" s="27" t="str">
        <f>IF($N1208="","",INDEX('_calc'!$H$2:$H$3001,$N1208))</f>
        <v/>
      </c>
      <c r="J1208" s="27" t="str">
        <f>IF($N1208="","",INDEX('_calc'!$I$2:$I$3001,$N1208))</f>
        <v/>
      </c>
      <c r="K1208" s="28" t="str">
        <f>IF($N1208="","",IF(OR(I1208="",J1208=""),"",J1208-I1208))</f>
        <v/>
      </c>
      <c r="L1208" s="29" t="str">
        <f>IF($N1208="","",INDEX('_calc'!$J$2:$J$3001,$N1208))</f>
        <v/>
      </c>
      <c r="M1208" s="2" t="str">
        <f>IF($N1208="","",IF(AND(G1208=0,H1208=0),"수량 없음",IF(G1208=0,"신규 (전년 수량 없음)",IF(H1208=0,"당해 수량 없음",""))))</f>
        <v/>
      </c>
      <c r="N1208" t="str">
        <f>IF($B1208="","",MATCH($B1208,'_calc'!$L$2:$L$3001,0))</f>
        <v/>
      </c>
    </row>
    <row r="1209">
      <c r="B1209" s="24" t="str">
        <f>IF(ROW()-ROW($B$8)&gt;nComp,"",ROW()-ROW($B$8))</f>
        <v/>
      </c>
      <c r="C1209" t="str">
        <f>IF($N1209="","",INDEX('_calc'!$A$2:$A$3001,$N1209))</f>
        <v/>
      </c>
      <c r="D1209" s="25" t="str">
        <f>IF($N1209="","",INDEX('_calc'!$C$2:$C$3001,$N1209))</f>
        <v/>
      </c>
      <c r="E1209" s="25" t="str">
        <f>IF($N1209="","",INDEX('_calc'!$D$2:$D$3001,$N1209))</f>
        <v/>
      </c>
      <c r="F1209" s="26" t="str">
        <f>IF($N1209="","",IF($E$8=0,"",E1209/$E$8))</f>
        <v/>
      </c>
      <c r="G1209" s="25" t="str">
        <f>IF($N1209="","",INDEX('_calc'!$E$2:$E$3001,$N1209))</f>
        <v/>
      </c>
      <c r="H1209" s="25" t="str">
        <f>IF($N1209="","",INDEX('_calc'!$F$2:$F$3001,$N1209))</f>
        <v/>
      </c>
      <c r="I1209" s="27" t="str">
        <f>IF($N1209="","",INDEX('_calc'!$H$2:$H$3001,$N1209))</f>
        <v/>
      </c>
      <c r="J1209" s="27" t="str">
        <f>IF($N1209="","",INDEX('_calc'!$I$2:$I$3001,$N1209))</f>
        <v/>
      </c>
      <c r="K1209" s="28" t="str">
        <f>IF($N1209="","",IF(OR(I1209="",J1209=""),"",J1209-I1209))</f>
        <v/>
      </c>
      <c r="L1209" s="29" t="str">
        <f>IF($N1209="","",INDEX('_calc'!$J$2:$J$3001,$N1209))</f>
        <v/>
      </c>
      <c r="M1209" s="2" t="str">
        <f>IF($N1209="","",IF(AND(G1209=0,H1209=0),"수량 없음",IF(G1209=0,"신규 (전년 수량 없음)",IF(H1209=0,"당해 수량 없음",""))))</f>
        <v/>
      </c>
      <c r="N1209" t="str">
        <f>IF($B1209="","",MATCH($B1209,'_calc'!$L$2:$L$3001,0))</f>
        <v/>
      </c>
    </row>
    <row r="1210">
      <c r="B1210" s="24" t="str">
        <f>IF(ROW()-ROW($B$8)&gt;nComp,"",ROW()-ROW($B$8))</f>
        <v/>
      </c>
      <c r="C1210" t="str">
        <f>IF($N1210="","",INDEX('_calc'!$A$2:$A$3001,$N1210))</f>
        <v/>
      </c>
      <c r="D1210" s="25" t="str">
        <f>IF($N1210="","",INDEX('_calc'!$C$2:$C$3001,$N1210))</f>
        <v/>
      </c>
      <c r="E1210" s="25" t="str">
        <f>IF($N1210="","",INDEX('_calc'!$D$2:$D$3001,$N1210))</f>
        <v/>
      </c>
      <c r="F1210" s="26" t="str">
        <f>IF($N1210="","",IF($E$8=0,"",E1210/$E$8))</f>
        <v/>
      </c>
      <c r="G1210" s="25" t="str">
        <f>IF($N1210="","",INDEX('_calc'!$E$2:$E$3001,$N1210))</f>
        <v/>
      </c>
      <c r="H1210" s="25" t="str">
        <f>IF($N1210="","",INDEX('_calc'!$F$2:$F$3001,$N1210))</f>
        <v/>
      </c>
      <c r="I1210" s="27" t="str">
        <f>IF($N1210="","",INDEX('_calc'!$H$2:$H$3001,$N1210))</f>
        <v/>
      </c>
      <c r="J1210" s="27" t="str">
        <f>IF($N1210="","",INDEX('_calc'!$I$2:$I$3001,$N1210))</f>
        <v/>
      </c>
      <c r="K1210" s="28" t="str">
        <f>IF($N1210="","",IF(OR(I1210="",J1210=""),"",J1210-I1210))</f>
        <v/>
      </c>
      <c r="L1210" s="29" t="str">
        <f>IF($N1210="","",INDEX('_calc'!$J$2:$J$3001,$N1210))</f>
        <v/>
      </c>
      <c r="M1210" s="2" t="str">
        <f>IF($N1210="","",IF(AND(G1210=0,H1210=0),"수량 없음",IF(G1210=0,"신규 (전년 수량 없음)",IF(H1210=0,"당해 수량 없음",""))))</f>
        <v/>
      </c>
      <c r="N1210" t="str">
        <f>IF($B1210="","",MATCH($B1210,'_calc'!$L$2:$L$3001,0))</f>
        <v/>
      </c>
    </row>
    <row r="1211">
      <c r="B1211" s="24" t="str">
        <f>IF(ROW()-ROW($B$8)&gt;nComp,"",ROW()-ROW($B$8))</f>
        <v/>
      </c>
      <c r="C1211" t="str">
        <f>IF($N1211="","",INDEX('_calc'!$A$2:$A$3001,$N1211))</f>
        <v/>
      </c>
      <c r="D1211" s="25" t="str">
        <f>IF($N1211="","",INDEX('_calc'!$C$2:$C$3001,$N1211))</f>
        <v/>
      </c>
      <c r="E1211" s="25" t="str">
        <f>IF($N1211="","",INDEX('_calc'!$D$2:$D$3001,$N1211))</f>
        <v/>
      </c>
      <c r="F1211" s="26" t="str">
        <f>IF($N1211="","",IF($E$8=0,"",E1211/$E$8))</f>
        <v/>
      </c>
      <c r="G1211" s="25" t="str">
        <f>IF($N1211="","",INDEX('_calc'!$E$2:$E$3001,$N1211))</f>
        <v/>
      </c>
      <c r="H1211" s="25" t="str">
        <f>IF($N1211="","",INDEX('_calc'!$F$2:$F$3001,$N1211))</f>
        <v/>
      </c>
      <c r="I1211" s="27" t="str">
        <f>IF($N1211="","",INDEX('_calc'!$H$2:$H$3001,$N1211))</f>
        <v/>
      </c>
      <c r="J1211" s="27" t="str">
        <f>IF($N1211="","",INDEX('_calc'!$I$2:$I$3001,$N1211))</f>
        <v/>
      </c>
      <c r="K1211" s="28" t="str">
        <f>IF($N1211="","",IF(OR(I1211="",J1211=""),"",J1211-I1211))</f>
        <v/>
      </c>
      <c r="L1211" s="29" t="str">
        <f>IF($N1211="","",INDEX('_calc'!$J$2:$J$3001,$N1211))</f>
        <v/>
      </c>
      <c r="M1211" s="2" t="str">
        <f>IF($N1211="","",IF(AND(G1211=0,H1211=0),"수량 없음",IF(G1211=0,"신규 (전년 수량 없음)",IF(H1211=0,"당해 수량 없음",""))))</f>
        <v/>
      </c>
      <c r="N1211" t="str">
        <f>IF($B1211="","",MATCH($B1211,'_calc'!$L$2:$L$3001,0))</f>
        <v/>
      </c>
    </row>
    <row r="1212">
      <c r="B1212" s="24" t="str">
        <f>IF(ROW()-ROW($B$8)&gt;nComp,"",ROW()-ROW($B$8))</f>
        <v/>
      </c>
      <c r="C1212" t="str">
        <f>IF($N1212="","",INDEX('_calc'!$A$2:$A$3001,$N1212))</f>
        <v/>
      </c>
      <c r="D1212" s="25" t="str">
        <f>IF($N1212="","",INDEX('_calc'!$C$2:$C$3001,$N1212))</f>
        <v/>
      </c>
      <c r="E1212" s="25" t="str">
        <f>IF($N1212="","",INDEX('_calc'!$D$2:$D$3001,$N1212))</f>
        <v/>
      </c>
      <c r="F1212" s="26" t="str">
        <f>IF($N1212="","",IF($E$8=0,"",E1212/$E$8))</f>
        <v/>
      </c>
      <c r="G1212" s="25" t="str">
        <f>IF($N1212="","",INDEX('_calc'!$E$2:$E$3001,$N1212))</f>
        <v/>
      </c>
      <c r="H1212" s="25" t="str">
        <f>IF($N1212="","",INDEX('_calc'!$F$2:$F$3001,$N1212))</f>
        <v/>
      </c>
      <c r="I1212" s="27" t="str">
        <f>IF($N1212="","",INDEX('_calc'!$H$2:$H$3001,$N1212))</f>
        <v/>
      </c>
      <c r="J1212" s="27" t="str">
        <f>IF($N1212="","",INDEX('_calc'!$I$2:$I$3001,$N1212))</f>
        <v/>
      </c>
      <c r="K1212" s="28" t="str">
        <f>IF($N1212="","",IF(OR(I1212="",J1212=""),"",J1212-I1212))</f>
        <v/>
      </c>
      <c r="L1212" s="29" t="str">
        <f>IF($N1212="","",INDEX('_calc'!$J$2:$J$3001,$N1212))</f>
        <v/>
      </c>
      <c r="M1212" s="2" t="str">
        <f>IF($N1212="","",IF(AND(G1212=0,H1212=0),"수량 없음",IF(G1212=0,"신규 (전년 수량 없음)",IF(H1212=0,"당해 수량 없음",""))))</f>
        <v/>
      </c>
      <c r="N1212" t="str">
        <f>IF($B1212="","",MATCH($B1212,'_calc'!$L$2:$L$3001,0))</f>
        <v/>
      </c>
    </row>
    <row r="1213">
      <c r="B1213" s="24" t="str">
        <f>IF(ROW()-ROW($B$8)&gt;nComp,"",ROW()-ROW($B$8))</f>
        <v/>
      </c>
      <c r="C1213" t="str">
        <f>IF($N1213="","",INDEX('_calc'!$A$2:$A$3001,$N1213))</f>
        <v/>
      </c>
      <c r="D1213" s="25" t="str">
        <f>IF($N1213="","",INDEX('_calc'!$C$2:$C$3001,$N1213))</f>
        <v/>
      </c>
      <c r="E1213" s="25" t="str">
        <f>IF($N1213="","",INDEX('_calc'!$D$2:$D$3001,$N1213))</f>
        <v/>
      </c>
      <c r="F1213" s="26" t="str">
        <f>IF($N1213="","",IF($E$8=0,"",E1213/$E$8))</f>
        <v/>
      </c>
      <c r="G1213" s="25" t="str">
        <f>IF($N1213="","",INDEX('_calc'!$E$2:$E$3001,$N1213))</f>
        <v/>
      </c>
      <c r="H1213" s="25" t="str">
        <f>IF($N1213="","",INDEX('_calc'!$F$2:$F$3001,$N1213))</f>
        <v/>
      </c>
      <c r="I1213" s="27" t="str">
        <f>IF($N1213="","",INDEX('_calc'!$H$2:$H$3001,$N1213))</f>
        <v/>
      </c>
      <c r="J1213" s="27" t="str">
        <f>IF($N1213="","",INDEX('_calc'!$I$2:$I$3001,$N1213))</f>
        <v/>
      </c>
      <c r="K1213" s="28" t="str">
        <f>IF($N1213="","",IF(OR(I1213="",J1213=""),"",J1213-I1213))</f>
        <v/>
      </c>
      <c r="L1213" s="29" t="str">
        <f>IF($N1213="","",INDEX('_calc'!$J$2:$J$3001,$N1213))</f>
        <v/>
      </c>
      <c r="M1213" s="2" t="str">
        <f>IF($N1213="","",IF(AND(G1213=0,H1213=0),"수량 없음",IF(G1213=0,"신규 (전년 수량 없음)",IF(H1213=0,"당해 수량 없음",""))))</f>
        <v/>
      </c>
      <c r="N1213" t="str">
        <f>IF($B1213="","",MATCH($B1213,'_calc'!$L$2:$L$3001,0))</f>
        <v/>
      </c>
    </row>
    <row r="1214">
      <c r="B1214" s="24" t="str">
        <f>IF(ROW()-ROW($B$8)&gt;nComp,"",ROW()-ROW($B$8))</f>
        <v/>
      </c>
      <c r="C1214" t="str">
        <f>IF($N1214="","",INDEX('_calc'!$A$2:$A$3001,$N1214))</f>
        <v/>
      </c>
      <c r="D1214" s="25" t="str">
        <f>IF($N1214="","",INDEX('_calc'!$C$2:$C$3001,$N1214))</f>
        <v/>
      </c>
      <c r="E1214" s="25" t="str">
        <f>IF($N1214="","",INDEX('_calc'!$D$2:$D$3001,$N1214))</f>
        <v/>
      </c>
      <c r="F1214" s="26" t="str">
        <f>IF($N1214="","",IF($E$8=0,"",E1214/$E$8))</f>
        <v/>
      </c>
      <c r="G1214" s="25" t="str">
        <f>IF($N1214="","",INDEX('_calc'!$E$2:$E$3001,$N1214))</f>
        <v/>
      </c>
      <c r="H1214" s="25" t="str">
        <f>IF($N1214="","",INDEX('_calc'!$F$2:$F$3001,$N1214))</f>
        <v/>
      </c>
      <c r="I1214" s="27" t="str">
        <f>IF($N1214="","",INDEX('_calc'!$H$2:$H$3001,$N1214))</f>
        <v/>
      </c>
      <c r="J1214" s="27" t="str">
        <f>IF($N1214="","",INDEX('_calc'!$I$2:$I$3001,$N1214))</f>
        <v/>
      </c>
      <c r="K1214" s="28" t="str">
        <f>IF($N1214="","",IF(OR(I1214="",J1214=""),"",J1214-I1214))</f>
        <v/>
      </c>
      <c r="L1214" s="29" t="str">
        <f>IF($N1214="","",INDEX('_calc'!$J$2:$J$3001,$N1214))</f>
        <v/>
      </c>
      <c r="M1214" s="2" t="str">
        <f>IF($N1214="","",IF(AND(G1214=0,H1214=0),"수량 없음",IF(G1214=0,"신규 (전년 수량 없음)",IF(H1214=0,"당해 수량 없음",""))))</f>
        <v/>
      </c>
      <c r="N1214" t="str">
        <f>IF($B1214="","",MATCH($B1214,'_calc'!$L$2:$L$3001,0))</f>
        <v/>
      </c>
    </row>
    <row r="1215">
      <c r="B1215" s="24" t="str">
        <f>IF(ROW()-ROW($B$8)&gt;nComp,"",ROW()-ROW($B$8))</f>
        <v/>
      </c>
      <c r="C1215" t="str">
        <f>IF($N1215="","",INDEX('_calc'!$A$2:$A$3001,$N1215))</f>
        <v/>
      </c>
      <c r="D1215" s="25" t="str">
        <f>IF($N1215="","",INDEX('_calc'!$C$2:$C$3001,$N1215))</f>
        <v/>
      </c>
      <c r="E1215" s="25" t="str">
        <f>IF($N1215="","",INDEX('_calc'!$D$2:$D$3001,$N1215))</f>
        <v/>
      </c>
      <c r="F1215" s="26" t="str">
        <f>IF($N1215="","",IF($E$8=0,"",E1215/$E$8))</f>
        <v/>
      </c>
      <c r="G1215" s="25" t="str">
        <f>IF($N1215="","",INDEX('_calc'!$E$2:$E$3001,$N1215))</f>
        <v/>
      </c>
      <c r="H1215" s="25" t="str">
        <f>IF($N1215="","",INDEX('_calc'!$F$2:$F$3001,$N1215))</f>
        <v/>
      </c>
      <c r="I1215" s="27" t="str">
        <f>IF($N1215="","",INDEX('_calc'!$H$2:$H$3001,$N1215))</f>
        <v/>
      </c>
      <c r="J1215" s="27" t="str">
        <f>IF($N1215="","",INDEX('_calc'!$I$2:$I$3001,$N1215))</f>
        <v/>
      </c>
      <c r="K1215" s="28" t="str">
        <f>IF($N1215="","",IF(OR(I1215="",J1215=""),"",J1215-I1215))</f>
        <v/>
      </c>
      <c r="L1215" s="29" t="str">
        <f>IF($N1215="","",INDEX('_calc'!$J$2:$J$3001,$N1215))</f>
        <v/>
      </c>
      <c r="M1215" s="2" t="str">
        <f>IF($N1215="","",IF(AND(G1215=0,H1215=0),"수량 없음",IF(G1215=0,"신규 (전년 수량 없음)",IF(H1215=0,"당해 수량 없음",""))))</f>
        <v/>
      </c>
      <c r="N1215" t="str">
        <f>IF($B1215="","",MATCH($B1215,'_calc'!$L$2:$L$3001,0))</f>
        <v/>
      </c>
    </row>
    <row r="1216">
      <c r="B1216" s="24" t="str">
        <f>IF(ROW()-ROW($B$8)&gt;nComp,"",ROW()-ROW($B$8))</f>
        <v/>
      </c>
      <c r="C1216" t="str">
        <f>IF($N1216="","",INDEX('_calc'!$A$2:$A$3001,$N1216))</f>
        <v/>
      </c>
      <c r="D1216" s="25" t="str">
        <f>IF($N1216="","",INDEX('_calc'!$C$2:$C$3001,$N1216))</f>
        <v/>
      </c>
      <c r="E1216" s="25" t="str">
        <f>IF($N1216="","",INDEX('_calc'!$D$2:$D$3001,$N1216))</f>
        <v/>
      </c>
      <c r="F1216" s="26" t="str">
        <f>IF($N1216="","",IF($E$8=0,"",E1216/$E$8))</f>
        <v/>
      </c>
      <c r="G1216" s="25" t="str">
        <f>IF($N1216="","",INDEX('_calc'!$E$2:$E$3001,$N1216))</f>
        <v/>
      </c>
      <c r="H1216" s="25" t="str">
        <f>IF($N1216="","",INDEX('_calc'!$F$2:$F$3001,$N1216))</f>
        <v/>
      </c>
      <c r="I1216" s="27" t="str">
        <f>IF($N1216="","",INDEX('_calc'!$H$2:$H$3001,$N1216))</f>
        <v/>
      </c>
      <c r="J1216" s="27" t="str">
        <f>IF($N1216="","",INDEX('_calc'!$I$2:$I$3001,$N1216))</f>
        <v/>
      </c>
      <c r="K1216" s="28" t="str">
        <f>IF($N1216="","",IF(OR(I1216="",J1216=""),"",J1216-I1216))</f>
        <v/>
      </c>
      <c r="L1216" s="29" t="str">
        <f>IF($N1216="","",INDEX('_calc'!$J$2:$J$3001,$N1216))</f>
        <v/>
      </c>
      <c r="M1216" s="2" t="str">
        <f>IF($N1216="","",IF(AND(G1216=0,H1216=0),"수량 없음",IF(G1216=0,"신규 (전년 수량 없음)",IF(H1216=0,"당해 수량 없음",""))))</f>
        <v/>
      </c>
      <c r="N1216" t="str">
        <f>IF($B1216="","",MATCH($B1216,'_calc'!$L$2:$L$3001,0))</f>
        <v/>
      </c>
    </row>
    <row r="1217">
      <c r="B1217" s="24" t="str">
        <f>IF(ROW()-ROW($B$8)&gt;nComp,"",ROW()-ROW($B$8))</f>
        <v/>
      </c>
      <c r="C1217" t="str">
        <f>IF($N1217="","",INDEX('_calc'!$A$2:$A$3001,$N1217))</f>
        <v/>
      </c>
      <c r="D1217" s="25" t="str">
        <f>IF($N1217="","",INDEX('_calc'!$C$2:$C$3001,$N1217))</f>
        <v/>
      </c>
      <c r="E1217" s="25" t="str">
        <f>IF($N1217="","",INDEX('_calc'!$D$2:$D$3001,$N1217))</f>
        <v/>
      </c>
      <c r="F1217" s="26" t="str">
        <f>IF($N1217="","",IF($E$8=0,"",E1217/$E$8))</f>
        <v/>
      </c>
      <c r="G1217" s="25" t="str">
        <f>IF($N1217="","",INDEX('_calc'!$E$2:$E$3001,$N1217))</f>
        <v/>
      </c>
      <c r="H1217" s="25" t="str">
        <f>IF($N1217="","",INDEX('_calc'!$F$2:$F$3001,$N1217))</f>
        <v/>
      </c>
      <c r="I1217" s="27" t="str">
        <f>IF($N1217="","",INDEX('_calc'!$H$2:$H$3001,$N1217))</f>
        <v/>
      </c>
      <c r="J1217" s="27" t="str">
        <f>IF($N1217="","",INDEX('_calc'!$I$2:$I$3001,$N1217))</f>
        <v/>
      </c>
      <c r="K1217" s="28" t="str">
        <f>IF($N1217="","",IF(OR(I1217="",J1217=""),"",J1217-I1217))</f>
        <v/>
      </c>
      <c r="L1217" s="29" t="str">
        <f>IF($N1217="","",INDEX('_calc'!$J$2:$J$3001,$N1217))</f>
        <v/>
      </c>
      <c r="M1217" s="2" t="str">
        <f>IF($N1217="","",IF(AND(G1217=0,H1217=0),"수량 없음",IF(G1217=0,"신규 (전년 수량 없음)",IF(H1217=0,"당해 수량 없음",""))))</f>
        <v/>
      </c>
      <c r="N1217" t="str">
        <f>IF($B1217="","",MATCH($B1217,'_calc'!$L$2:$L$3001,0))</f>
        <v/>
      </c>
    </row>
    <row r="1218">
      <c r="B1218" s="24" t="str">
        <f>IF(ROW()-ROW($B$8)&gt;nComp,"",ROW()-ROW($B$8))</f>
        <v/>
      </c>
      <c r="C1218" t="str">
        <f>IF($N1218="","",INDEX('_calc'!$A$2:$A$3001,$N1218))</f>
        <v/>
      </c>
      <c r="D1218" s="25" t="str">
        <f>IF($N1218="","",INDEX('_calc'!$C$2:$C$3001,$N1218))</f>
        <v/>
      </c>
      <c r="E1218" s="25" t="str">
        <f>IF($N1218="","",INDEX('_calc'!$D$2:$D$3001,$N1218))</f>
        <v/>
      </c>
      <c r="F1218" s="26" t="str">
        <f>IF($N1218="","",IF($E$8=0,"",E1218/$E$8))</f>
        <v/>
      </c>
      <c r="G1218" s="25" t="str">
        <f>IF($N1218="","",INDEX('_calc'!$E$2:$E$3001,$N1218))</f>
        <v/>
      </c>
      <c r="H1218" s="25" t="str">
        <f>IF($N1218="","",INDEX('_calc'!$F$2:$F$3001,$N1218))</f>
        <v/>
      </c>
      <c r="I1218" s="27" t="str">
        <f>IF($N1218="","",INDEX('_calc'!$H$2:$H$3001,$N1218))</f>
        <v/>
      </c>
      <c r="J1218" s="27" t="str">
        <f>IF($N1218="","",INDEX('_calc'!$I$2:$I$3001,$N1218))</f>
        <v/>
      </c>
      <c r="K1218" s="28" t="str">
        <f>IF($N1218="","",IF(OR(I1218="",J1218=""),"",J1218-I1218))</f>
        <v/>
      </c>
      <c r="L1218" s="29" t="str">
        <f>IF($N1218="","",INDEX('_calc'!$J$2:$J$3001,$N1218))</f>
        <v/>
      </c>
      <c r="M1218" s="2" t="str">
        <f>IF($N1218="","",IF(AND(G1218=0,H1218=0),"수량 없음",IF(G1218=0,"신규 (전년 수량 없음)",IF(H1218=0,"당해 수량 없음",""))))</f>
        <v/>
      </c>
      <c r="N1218" t="str">
        <f>IF($B1218="","",MATCH($B1218,'_calc'!$L$2:$L$3001,0))</f>
        <v/>
      </c>
    </row>
    <row r="1219">
      <c r="B1219" s="24" t="str">
        <f>IF(ROW()-ROW($B$8)&gt;nComp,"",ROW()-ROW($B$8))</f>
        <v/>
      </c>
      <c r="C1219" t="str">
        <f>IF($N1219="","",INDEX('_calc'!$A$2:$A$3001,$N1219))</f>
        <v/>
      </c>
      <c r="D1219" s="25" t="str">
        <f>IF($N1219="","",INDEX('_calc'!$C$2:$C$3001,$N1219))</f>
        <v/>
      </c>
      <c r="E1219" s="25" t="str">
        <f>IF($N1219="","",INDEX('_calc'!$D$2:$D$3001,$N1219))</f>
        <v/>
      </c>
      <c r="F1219" s="26" t="str">
        <f>IF($N1219="","",IF($E$8=0,"",E1219/$E$8))</f>
        <v/>
      </c>
      <c r="G1219" s="25" t="str">
        <f>IF($N1219="","",INDEX('_calc'!$E$2:$E$3001,$N1219))</f>
        <v/>
      </c>
      <c r="H1219" s="25" t="str">
        <f>IF($N1219="","",INDEX('_calc'!$F$2:$F$3001,$N1219))</f>
        <v/>
      </c>
      <c r="I1219" s="27" t="str">
        <f>IF($N1219="","",INDEX('_calc'!$H$2:$H$3001,$N1219))</f>
        <v/>
      </c>
      <c r="J1219" s="27" t="str">
        <f>IF($N1219="","",INDEX('_calc'!$I$2:$I$3001,$N1219))</f>
        <v/>
      </c>
      <c r="K1219" s="28" t="str">
        <f>IF($N1219="","",IF(OR(I1219="",J1219=""),"",J1219-I1219))</f>
        <v/>
      </c>
      <c r="L1219" s="29" t="str">
        <f>IF($N1219="","",INDEX('_calc'!$J$2:$J$3001,$N1219))</f>
        <v/>
      </c>
      <c r="M1219" s="2" t="str">
        <f>IF($N1219="","",IF(AND(G1219=0,H1219=0),"수량 없음",IF(G1219=0,"신규 (전년 수량 없음)",IF(H1219=0,"당해 수량 없음",""))))</f>
        <v/>
      </c>
      <c r="N1219" t="str">
        <f>IF($B1219="","",MATCH($B1219,'_calc'!$L$2:$L$3001,0))</f>
        <v/>
      </c>
    </row>
    <row r="1220">
      <c r="B1220" s="24" t="str">
        <f>IF(ROW()-ROW($B$8)&gt;nComp,"",ROW()-ROW($B$8))</f>
        <v/>
      </c>
      <c r="C1220" t="str">
        <f>IF($N1220="","",INDEX('_calc'!$A$2:$A$3001,$N1220))</f>
        <v/>
      </c>
      <c r="D1220" s="25" t="str">
        <f>IF($N1220="","",INDEX('_calc'!$C$2:$C$3001,$N1220))</f>
        <v/>
      </c>
      <c r="E1220" s="25" t="str">
        <f>IF($N1220="","",INDEX('_calc'!$D$2:$D$3001,$N1220))</f>
        <v/>
      </c>
      <c r="F1220" s="26" t="str">
        <f>IF($N1220="","",IF($E$8=0,"",E1220/$E$8))</f>
        <v/>
      </c>
      <c r="G1220" s="25" t="str">
        <f>IF($N1220="","",INDEX('_calc'!$E$2:$E$3001,$N1220))</f>
        <v/>
      </c>
      <c r="H1220" s="25" t="str">
        <f>IF($N1220="","",INDEX('_calc'!$F$2:$F$3001,$N1220))</f>
        <v/>
      </c>
      <c r="I1220" s="27" t="str">
        <f>IF($N1220="","",INDEX('_calc'!$H$2:$H$3001,$N1220))</f>
        <v/>
      </c>
      <c r="J1220" s="27" t="str">
        <f>IF($N1220="","",INDEX('_calc'!$I$2:$I$3001,$N1220))</f>
        <v/>
      </c>
      <c r="K1220" s="28" t="str">
        <f>IF($N1220="","",IF(OR(I1220="",J1220=""),"",J1220-I1220))</f>
        <v/>
      </c>
      <c r="L1220" s="29" t="str">
        <f>IF($N1220="","",INDEX('_calc'!$J$2:$J$3001,$N1220))</f>
        <v/>
      </c>
      <c r="M1220" s="2" t="str">
        <f>IF($N1220="","",IF(AND(G1220=0,H1220=0),"수량 없음",IF(G1220=0,"신규 (전년 수량 없음)",IF(H1220=0,"당해 수량 없음",""))))</f>
        <v/>
      </c>
      <c r="N1220" t="str">
        <f>IF($B1220="","",MATCH($B1220,'_calc'!$L$2:$L$3001,0))</f>
        <v/>
      </c>
    </row>
    <row r="1221">
      <c r="B1221" s="24" t="str">
        <f>IF(ROW()-ROW($B$8)&gt;nComp,"",ROW()-ROW($B$8))</f>
        <v/>
      </c>
      <c r="C1221" t="str">
        <f>IF($N1221="","",INDEX('_calc'!$A$2:$A$3001,$N1221))</f>
        <v/>
      </c>
      <c r="D1221" s="25" t="str">
        <f>IF($N1221="","",INDEX('_calc'!$C$2:$C$3001,$N1221))</f>
        <v/>
      </c>
      <c r="E1221" s="25" t="str">
        <f>IF($N1221="","",INDEX('_calc'!$D$2:$D$3001,$N1221))</f>
        <v/>
      </c>
      <c r="F1221" s="26" t="str">
        <f>IF($N1221="","",IF($E$8=0,"",E1221/$E$8))</f>
        <v/>
      </c>
      <c r="G1221" s="25" t="str">
        <f>IF($N1221="","",INDEX('_calc'!$E$2:$E$3001,$N1221))</f>
        <v/>
      </c>
      <c r="H1221" s="25" t="str">
        <f>IF($N1221="","",INDEX('_calc'!$F$2:$F$3001,$N1221))</f>
        <v/>
      </c>
      <c r="I1221" s="27" t="str">
        <f>IF($N1221="","",INDEX('_calc'!$H$2:$H$3001,$N1221))</f>
        <v/>
      </c>
      <c r="J1221" s="27" t="str">
        <f>IF($N1221="","",INDEX('_calc'!$I$2:$I$3001,$N1221))</f>
        <v/>
      </c>
      <c r="K1221" s="28" t="str">
        <f>IF($N1221="","",IF(OR(I1221="",J1221=""),"",J1221-I1221))</f>
        <v/>
      </c>
      <c r="L1221" s="29" t="str">
        <f>IF($N1221="","",INDEX('_calc'!$J$2:$J$3001,$N1221))</f>
        <v/>
      </c>
      <c r="M1221" s="2" t="str">
        <f>IF($N1221="","",IF(AND(G1221=0,H1221=0),"수량 없음",IF(G1221=0,"신규 (전년 수량 없음)",IF(H1221=0,"당해 수량 없음",""))))</f>
        <v/>
      </c>
      <c r="N1221" t="str">
        <f>IF($B1221="","",MATCH($B1221,'_calc'!$L$2:$L$3001,0))</f>
        <v/>
      </c>
    </row>
    <row r="1222">
      <c r="B1222" s="24" t="str">
        <f>IF(ROW()-ROW($B$8)&gt;nComp,"",ROW()-ROW($B$8))</f>
        <v/>
      </c>
      <c r="C1222" t="str">
        <f>IF($N1222="","",INDEX('_calc'!$A$2:$A$3001,$N1222))</f>
        <v/>
      </c>
      <c r="D1222" s="25" t="str">
        <f>IF($N1222="","",INDEX('_calc'!$C$2:$C$3001,$N1222))</f>
        <v/>
      </c>
      <c r="E1222" s="25" t="str">
        <f>IF($N1222="","",INDEX('_calc'!$D$2:$D$3001,$N1222))</f>
        <v/>
      </c>
      <c r="F1222" s="26" t="str">
        <f>IF($N1222="","",IF($E$8=0,"",E1222/$E$8))</f>
        <v/>
      </c>
      <c r="G1222" s="25" t="str">
        <f>IF($N1222="","",INDEX('_calc'!$E$2:$E$3001,$N1222))</f>
        <v/>
      </c>
      <c r="H1222" s="25" t="str">
        <f>IF($N1222="","",INDEX('_calc'!$F$2:$F$3001,$N1222))</f>
        <v/>
      </c>
      <c r="I1222" s="27" t="str">
        <f>IF($N1222="","",INDEX('_calc'!$H$2:$H$3001,$N1222))</f>
        <v/>
      </c>
      <c r="J1222" s="27" t="str">
        <f>IF($N1222="","",INDEX('_calc'!$I$2:$I$3001,$N1222))</f>
        <v/>
      </c>
      <c r="K1222" s="28" t="str">
        <f>IF($N1222="","",IF(OR(I1222="",J1222=""),"",J1222-I1222))</f>
        <v/>
      </c>
      <c r="L1222" s="29" t="str">
        <f>IF($N1222="","",INDEX('_calc'!$J$2:$J$3001,$N1222))</f>
        <v/>
      </c>
      <c r="M1222" s="2" t="str">
        <f>IF($N1222="","",IF(AND(G1222=0,H1222=0),"수량 없음",IF(G1222=0,"신규 (전년 수량 없음)",IF(H1222=0,"당해 수량 없음",""))))</f>
        <v/>
      </c>
      <c r="N1222" t="str">
        <f>IF($B1222="","",MATCH($B1222,'_calc'!$L$2:$L$3001,0))</f>
        <v/>
      </c>
    </row>
    <row r="1223">
      <c r="B1223" s="24" t="str">
        <f>IF(ROW()-ROW($B$8)&gt;nComp,"",ROW()-ROW($B$8))</f>
        <v/>
      </c>
      <c r="C1223" t="str">
        <f>IF($N1223="","",INDEX('_calc'!$A$2:$A$3001,$N1223))</f>
        <v/>
      </c>
      <c r="D1223" s="25" t="str">
        <f>IF($N1223="","",INDEX('_calc'!$C$2:$C$3001,$N1223))</f>
        <v/>
      </c>
      <c r="E1223" s="25" t="str">
        <f>IF($N1223="","",INDEX('_calc'!$D$2:$D$3001,$N1223))</f>
        <v/>
      </c>
      <c r="F1223" s="26" t="str">
        <f>IF($N1223="","",IF($E$8=0,"",E1223/$E$8))</f>
        <v/>
      </c>
      <c r="G1223" s="25" t="str">
        <f>IF($N1223="","",INDEX('_calc'!$E$2:$E$3001,$N1223))</f>
        <v/>
      </c>
      <c r="H1223" s="25" t="str">
        <f>IF($N1223="","",INDEX('_calc'!$F$2:$F$3001,$N1223))</f>
        <v/>
      </c>
      <c r="I1223" s="27" t="str">
        <f>IF($N1223="","",INDEX('_calc'!$H$2:$H$3001,$N1223))</f>
        <v/>
      </c>
      <c r="J1223" s="27" t="str">
        <f>IF($N1223="","",INDEX('_calc'!$I$2:$I$3001,$N1223))</f>
        <v/>
      </c>
      <c r="K1223" s="28" t="str">
        <f>IF($N1223="","",IF(OR(I1223="",J1223=""),"",J1223-I1223))</f>
        <v/>
      </c>
      <c r="L1223" s="29" t="str">
        <f>IF($N1223="","",INDEX('_calc'!$J$2:$J$3001,$N1223))</f>
        <v/>
      </c>
      <c r="M1223" s="2" t="str">
        <f>IF($N1223="","",IF(AND(G1223=0,H1223=0),"수량 없음",IF(G1223=0,"신규 (전년 수량 없음)",IF(H1223=0,"당해 수량 없음",""))))</f>
        <v/>
      </c>
      <c r="N1223" t="str">
        <f>IF($B1223="","",MATCH($B1223,'_calc'!$L$2:$L$3001,0))</f>
        <v/>
      </c>
    </row>
    <row r="1224">
      <c r="B1224" s="24" t="str">
        <f>IF(ROW()-ROW($B$8)&gt;nComp,"",ROW()-ROW($B$8))</f>
        <v/>
      </c>
      <c r="C1224" t="str">
        <f>IF($N1224="","",INDEX('_calc'!$A$2:$A$3001,$N1224))</f>
        <v/>
      </c>
      <c r="D1224" s="25" t="str">
        <f>IF($N1224="","",INDEX('_calc'!$C$2:$C$3001,$N1224))</f>
        <v/>
      </c>
      <c r="E1224" s="25" t="str">
        <f>IF($N1224="","",INDEX('_calc'!$D$2:$D$3001,$N1224))</f>
        <v/>
      </c>
      <c r="F1224" s="26" t="str">
        <f>IF($N1224="","",IF($E$8=0,"",E1224/$E$8))</f>
        <v/>
      </c>
      <c r="G1224" s="25" t="str">
        <f>IF($N1224="","",INDEX('_calc'!$E$2:$E$3001,$N1224))</f>
        <v/>
      </c>
      <c r="H1224" s="25" t="str">
        <f>IF($N1224="","",INDEX('_calc'!$F$2:$F$3001,$N1224))</f>
        <v/>
      </c>
      <c r="I1224" s="27" t="str">
        <f>IF($N1224="","",INDEX('_calc'!$H$2:$H$3001,$N1224))</f>
        <v/>
      </c>
      <c r="J1224" s="27" t="str">
        <f>IF($N1224="","",INDEX('_calc'!$I$2:$I$3001,$N1224))</f>
        <v/>
      </c>
      <c r="K1224" s="28" t="str">
        <f>IF($N1224="","",IF(OR(I1224="",J1224=""),"",J1224-I1224))</f>
        <v/>
      </c>
      <c r="L1224" s="29" t="str">
        <f>IF($N1224="","",INDEX('_calc'!$J$2:$J$3001,$N1224))</f>
        <v/>
      </c>
      <c r="M1224" s="2" t="str">
        <f>IF($N1224="","",IF(AND(G1224=0,H1224=0),"수량 없음",IF(G1224=0,"신규 (전년 수량 없음)",IF(H1224=0,"당해 수량 없음",""))))</f>
        <v/>
      </c>
      <c r="N1224" t="str">
        <f>IF($B1224="","",MATCH($B1224,'_calc'!$L$2:$L$3001,0))</f>
        <v/>
      </c>
    </row>
    <row r="1225">
      <c r="B1225" s="24" t="str">
        <f>IF(ROW()-ROW($B$8)&gt;nComp,"",ROW()-ROW($B$8))</f>
        <v/>
      </c>
      <c r="C1225" t="str">
        <f>IF($N1225="","",INDEX('_calc'!$A$2:$A$3001,$N1225))</f>
        <v/>
      </c>
      <c r="D1225" s="25" t="str">
        <f>IF($N1225="","",INDEX('_calc'!$C$2:$C$3001,$N1225))</f>
        <v/>
      </c>
      <c r="E1225" s="25" t="str">
        <f>IF($N1225="","",INDEX('_calc'!$D$2:$D$3001,$N1225))</f>
        <v/>
      </c>
      <c r="F1225" s="26" t="str">
        <f>IF($N1225="","",IF($E$8=0,"",E1225/$E$8))</f>
        <v/>
      </c>
      <c r="G1225" s="25" t="str">
        <f>IF($N1225="","",INDEX('_calc'!$E$2:$E$3001,$N1225))</f>
        <v/>
      </c>
      <c r="H1225" s="25" t="str">
        <f>IF($N1225="","",INDEX('_calc'!$F$2:$F$3001,$N1225))</f>
        <v/>
      </c>
      <c r="I1225" s="27" t="str">
        <f>IF($N1225="","",INDEX('_calc'!$H$2:$H$3001,$N1225))</f>
        <v/>
      </c>
      <c r="J1225" s="27" t="str">
        <f>IF($N1225="","",INDEX('_calc'!$I$2:$I$3001,$N1225))</f>
        <v/>
      </c>
      <c r="K1225" s="28" t="str">
        <f>IF($N1225="","",IF(OR(I1225="",J1225=""),"",J1225-I1225))</f>
        <v/>
      </c>
      <c r="L1225" s="29" t="str">
        <f>IF($N1225="","",INDEX('_calc'!$J$2:$J$3001,$N1225))</f>
        <v/>
      </c>
      <c r="M1225" s="2" t="str">
        <f>IF($N1225="","",IF(AND(G1225=0,H1225=0),"수량 없음",IF(G1225=0,"신규 (전년 수량 없음)",IF(H1225=0,"당해 수량 없음",""))))</f>
        <v/>
      </c>
      <c r="N1225" t="str">
        <f>IF($B1225="","",MATCH($B1225,'_calc'!$L$2:$L$3001,0))</f>
        <v/>
      </c>
    </row>
    <row r="1226">
      <c r="B1226" s="24" t="str">
        <f>IF(ROW()-ROW($B$8)&gt;nComp,"",ROW()-ROW($B$8))</f>
        <v/>
      </c>
      <c r="C1226" t="str">
        <f>IF($N1226="","",INDEX('_calc'!$A$2:$A$3001,$N1226))</f>
        <v/>
      </c>
      <c r="D1226" s="25" t="str">
        <f>IF($N1226="","",INDEX('_calc'!$C$2:$C$3001,$N1226))</f>
        <v/>
      </c>
      <c r="E1226" s="25" t="str">
        <f>IF($N1226="","",INDEX('_calc'!$D$2:$D$3001,$N1226))</f>
        <v/>
      </c>
      <c r="F1226" s="26" t="str">
        <f>IF($N1226="","",IF($E$8=0,"",E1226/$E$8))</f>
        <v/>
      </c>
      <c r="G1226" s="25" t="str">
        <f>IF($N1226="","",INDEX('_calc'!$E$2:$E$3001,$N1226))</f>
        <v/>
      </c>
      <c r="H1226" s="25" t="str">
        <f>IF($N1226="","",INDEX('_calc'!$F$2:$F$3001,$N1226))</f>
        <v/>
      </c>
      <c r="I1226" s="27" t="str">
        <f>IF($N1226="","",INDEX('_calc'!$H$2:$H$3001,$N1226))</f>
        <v/>
      </c>
      <c r="J1226" s="27" t="str">
        <f>IF($N1226="","",INDEX('_calc'!$I$2:$I$3001,$N1226))</f>
        <v/>
      </c>
      <c r="K1226" s="28" t="str">
        <f>IF($N1226="","",IF(OR(I1226="",J1226=""),"",J1226-I1226))</f>
        <v/>
      </c>
      <c r="L1226" s="29" t="str">
        <f>IF($N1226="","",INDEX('_calc'!$J$2:$J$3001,$N1226))</f>
        <v/>
      </c>
      <c r="M1226" s="2" t="str">
        <f>IF($N1226="","",IF(AND(G1226=0,H1226=0),"수량 없음",IF(G1226=0,"신규 (전년 수량 없음)",IF(H1226=0,"당해 수량 없음",""))))</f>
        <v/>
      </c>
      <c r="N1226" t="str">
        <f>IF($B1226="","",MATCH($B1226,'_calc'!$L$2:$L$3001,0))</f>
        <v/>
      </c>
    </row>
    <row r="1227">
      <c r="B1227" s="24" t="str">
        <f>IF(ROW()-ROW($B$8)&gt;nComp,"",ROW()-ROW($B$8))</f>
        <v/>
      </c>
      <c r="C1227" t="str">
        <f>IF($N1227="","",INDEX('_calc'!$A$2:$A$3001,$N1227))</f>
        <v/>
      </c>
      <c r="D1227" s="25" t="str">
        <f>IF($N1227="","",INDEX('_calc'!$C$2:$C$3001,$N1227))</f>
        <v/>
      </c>
      <c r="E1227" s="25" t="str">
        <f>IF($N1227="","",INDEX('_calc'!$D$2:$D$3001,$N1227))</f>
        <v/>
      </c>
      <c r="F1227" s="26" t="str">
        <f>IF($N1227="","",IF($E$8=0,"",E1227/$E$8))</f>
        <v/>
      </c>
      <c r="G1227" s="25" t="str">
        <f>IF($N1227="","",INDEX('_calc'!$E$2:$E$3001,$N1227))</f>
        <v/>
      </c>
      <c r="H1227" s="25" t="str">
        <f>IF($N1227="","",INDEX('_calc'!$F$2:$F$3001,$N1227))</f>
        <v/>
      </c>
      <c r="I1227" s="27" t="str">
        <f>IF($N1227="","",INDEX('_calc'!$H$2:$H$3001,$N1227))</f>
        <v/>
      </c>
      <c r="J1227" s="27" t="str">
        <f>IF($N1227="","",INDEX('_calc'!$I$2:$I$3001,$N1227))</f>
        <v/>
      </c>
      <c r="K1227" s="28" t="str">
        <f>IF($N1227="","",IF(OR(I1227="",J1227=""),"",J1227-I1227))</f>
        <v/>
      </c>
      <c r="L1227" s="29" t="str">
        <f>IF($N1227="","",INDEX('_calc'!$J$2:$J$3001,$N1227))</f>
        <v/>
      </c>
      <c r="M1227" s="2" t="str">
        <f>IF($N1227="","",IF(AND(G1227=0,H1227=0),"수량 없음",IF(G1227=0,"신규 (전년 수량 없음)",IF(H1227=0,"당해 수량 없음",""))))</f>
        <v/>
      </c>
      <c r="N1227" t="str">
        <f>IF($B1227="","",MATCH($B1227,'_calc'!$L$2:$L$3001,0))</f>
        <v/>
      </c>
    </row>
    <row r="1228">
      <c r="B1228" s="24" t="str">
        <f>IF(ROW()-ROW($B$8)&gt;nComp,"",ROW()-ROW($B$8))</f>
        <v/>
      </c>
      <c r="C1228" t="str">
        <f>IF($N1228="","",INDEX('_calc'!$A$2:$A$3001,$N1228))</f>
        <v/>
      </c>
      <c r="D1228" s="25" t="str">
        <f>IF($N1228="","",INDEX('_calc'!$C$2:$C$3001,$N1228))</f>
        <v/>
      </c>
      <c r="E1228" s="25" t="str">
        <f>IF($N1228="","",INDEX('_calc'!$D$2:$D$3001,$N1228))</f>
        <v/>
      </c>
      <c r="F1228" s="26" t="str">
        <f>IF($N1228="","",IF($E$8=0,"",E1228/$E$8))</f>
        <v/>
      </c>
      <c r="G1228" s="25" t="str">
        <f>IF($N1228="","",INDEX('_calc'!$E$2:$E$3001,$N1228))</f>
        <v/>
      </c>
      <c r="H1228" s="25" t="str">
        <f>IF($N1228="","",INDEX('_calc'!$F$2:$F$3001,$N1228))</f>
        <v/>
      </c>
      <c r="I1228" s="27" t="str">
        <f>IF($N1228="","",INDEX('_calc'!$H$2:$H$3001,$N1228))</f>
        <v/>
      </c>
      <c r="J1228" s="27" t="str">
        <f>IF($N1228="","",INDEX('_calc'!$I$2:$I$3001,$N1228))</f>
        <v/>
      </c>
      <c r="K1228" s="28" t="str">
        <f>IF($N1228="","",IF(OR(I1228="",J1228=""),"",J1228-I1228))</f>
        <v/>
      </c>
      <c r="L1228" s="29" t="str">
        <f>IF($N1228="","",INDEX('_calc'!$J$2:$J$3001,$N1228))</f>
        <v/>
      </c>
      <c r="M1228" s="2" t="str">
        <f>IF($N1228="","",IF(AND(G1228=0,H1228=0),"수량 없음",IF(G1228=0,"신규 (전년 수량 없음)",IF(H1228=0,"당해 수량 없음",""))))</f>
        <v/>
      </c>
      <c r="N1228" t="str">
        <f>IF($B1228="","",MATCH($B1228,'_calc'!$L$2:$L$3001,0))</f>
        <v/>
      </c>
    </row>
    <row r="1229">
      <c r="B1229" s="24" t="str">
        <f>IF(ROW()-ROW($B$8)&gt;nComp,"",ROW()-ROW($B$8))</f>
        <v/>
      </c>
      <c r="C1229" t="str">
        <f>IF($N1229="","",INDEX('_calc'!$A$2:$A$3001,$N1229))</f>
        <v/>
      </c>
      <c r="D1229" s="25" t="str">
        <f>IF($N1229="","",INDEX('_calc'!$C$2:$C$3001,$N1229))</f>
        <v/>
      </c>
      <c r="E1229" s="25" t="str">
        <f>IF($N1229="","",INDEX('_calc'!$D$2:$D$3001,$N1229))</f>
        <v/>
      </c>
      <c r="F1229" s="26" t="str">
        <f>IF($N1229="","",IF($E$8=0,"",E1229/$E$8))</f>
        <v/>
      </c>
      <c r="G1229" s="25" t="str">
        <f>IF($N1229="","",INDEX('_calc'!$E$2:$E$3001,$N1229))</f>
        <v/>
      </c>
      <c r="H1229" s="25" t="str">
        <f>IF($N1229="","",INDEX('_calc'!$F$2:$F$3001,$N1229))</f>
        <v/>
      </c>
      <c r="I1229" s="27" t="str">
        <f>IF($N1229="","",INDEX('_calc'!$H$2:$H$3001,$N1229))</f>
        <v/>
      </c>
      <c r="J1229" s="27" t="str">
        <f>IF($N1229="","",INDEX('_calc'!$I$2:$I$3001,$N1229))</f>
        <v/>
      </c>
      <c r="K1229" s="28" t="str">
        <f>IF($N1229="","",IF(OR(I1229="",J1229=""),"",J1229-I1229))</f>
        <v/>
      </c>
      <c r="L1229" s="29" t="str">
        <f>IF($N1229="","",INDEX('_calc'!$J$2:$J$3001,$N1229))</f>
        <v/>
      </c>
      <c r="M1229" s="2" t="str">
        <f>IF($N1229="","",IF(AND(G1229=0,H1229=0),"수량 없음",IF(G1229=0,"신규 (전년 수량 없음)",IF(H1229=0,"당해 수량 없음",""))))</f>
        <v/>
      </c>
      <c r="N1229" t="str">
        <f>IF($B1229="","",MATCH($B1229,'_calc'!$L$2:$L$3001,0))</f>
        <v/>
      </c>
    </row>
    <row r="1230">
      <c r="B1230" s="24" t="str">
        <f>IF(ROW()-ROW($B$8)&gt;nComp,"",ROW()-ROW($B$8))</f>
        <v/>
      </c>
      <c r="C1230" t="str">
        <f>IF($N1230="","",INDEX('_calc'!$A$2:$A$3001,$N1230))</f>
        <v/>
      </c>
      <c r="D1230" s="25" t="str">
        <f>IF($N1230="","",INDEX('_calc'!$C$2:$C$3001,$N1230))</f>
        <v/>
      </c>
      <c r="E1230" s="25" t="str">
        <f>IF($N1230="","",INDEX('_calc'!$D$2:$D$3001,$N1230))</f>
        <v/>
      </c>
      <c r="F1230" s="26" t="str">
        <f>IF($N1230="","",IF($E$8=0,"",E1230/$E$8))</f>
        <v/>
      </c>
      <c r="G1230" s="25" t="str">
        <f>IF($N1230="","",INDEX('_calc'!$E$2:$E$3001,$N1230))</f>
        <v/>
      </c>
      <c r="H1230" s="25" t="str">
        <f>IF($N1230="","",INDEX('_calc'!$F$2:$F$3001,$N1230))</f>
        <v/>
      </c>
      <c r="I1230" s="27" t="str">
        <f>IF($N1230="","",INDEX('_calc'!$H$2:$H$3001,$N1230))</f>
        <v/>
      </c>
      <c r="J1230" s="27" t="str">
        <f>IF($N1230="","",INDEX('_calc'!$I$2:$I$3001,$N1230))</f>
        <v/>
      </c>
      <c r="K1230" s="28" t="str">
        <f>IF($N1230="","",IF(OR(I1230="",J1230=""),"",J1230-I1230))</f>
        <v/>
      </c>
      <c r="L1230" s="29" t="str">
        <f>IF($N1230="","",INDEX('_calc'!$J$2:$J$3001,$N1230))</f>
        <v/>
      </c>
      <c r="M1230" s="2" t="str">
        <f>IF($N1230="","",IF(AND(G1230=0,H1230=0),"수량 없음",IF(G1230=0,"신규 (전년 수량 없음)",IF(H1230=0,"당해 수량 없음",""))))</f>
        <v/>
      </c>
      <c r="N1230" t="str">
        <f>IF($B1230="","",MATCH($B1230,'_calc'!$L$2:$L$3001,0))</f>
        <v/>
      </c>
    </row>
    <row r="1231">
      <c r="B1231" s="24" t="str">
        <f>IF(ROW()-ROW($B$8)&gt;nComp,"",ROW()-ROW($B$8))</f>
        <v/>
      </c>
      <c r="C1231" t="str">
        <f>IF($N1231="","",INDEX('_calc'!$A$2:$A$3001,$N1231))</f>
        <v/>
      </c>
      <c r="D1231" s="25" t="str">
        <f>IF($N1231="","",INDEX('_calc'!$C$2:$C$3001,$N1231))</f>
        <v/>
      </c>
      <c r="E1231" s="25" t="str">
        <f>IF($N1231="","",INDEX('_calc'!$D$2:$D$3001,$N1231))</f>
        <v/>
      </c>
      <c r="F1231" s="26" t="str">
        <f>IF($N1231="","",IF($E$8=0,"",E1231/$E$8))</f>
        <v/>
      </c>
      <c r="G1231" s="25" t="str">
        <f>IF($N1231="","",INDEX('_calc'!$E$2:$E$3001,$N1231))</f>
        <v/>
      </c>
      <c r="H1231" s="25" t="str">
        <f>IF($N1231="","",INDEX('_calc'!$F$2:$F$3001,$N1231))</f>
        <v/>
      </c>
      <c r="I1231" s="27" t="str">
        <f>IF($N1231="","",INDEX('_calc'!$H$2:$H$3001,$N1231))</f>
        <v/>
      </c>
      <c r="J1231" s="27" t="str">
        <f>IF($N1231="","",INDEX('_calc'!$I$2:$I$3001,$N1231))</f>
        <v/>
      </c>
      <c r="K1231" s="28" t="str">
        <f>IF($N1231="","",IF(OR(I1231="",J1231=""),"",J1231-I1231))</f>
        <v/>
      </c>
      <c r="L1231" s="29" t="str">
        <f>IF($N1231="","",INDEX('_calc'!$J$2:$J$3001,$N1231))</f>
        <v/>
      </c>
      <c r="M1231" s="2" t="str">
        <f>IF($N1231="","",IF(AND(G1231=0,H1231=0),"수량 없음",IF(G1231=0,"신규 (전년 수량 없음)",IF(H1231=0,"당해 수량 없음",""))))</f>
        <v/>
      </c>
      <c r="N1231" t="str">
        <f>IF($B1231="","",MATCH($B1231,'_calc'!$L$2:$L$3001,0))</f>
        <v/>
      </c>
    </row>
    <row r="1232">
      <c r="B1232" s="24" t="str">
        <f>IF(ROW()-ROW($B$8)&gt;nComp,"",ROW()-ROW($B$8))</f>
        <v/>
      </c>
      <c r="C1232" t="str">
        <f>IF($N1232="","",INDEX('_calc'!$A$2:$A$3001,$N1232))</f>
        <v/>
      </c>
      <c r="D1232" s="25" t="str">
        <f>IF($N1232="","",INDEX('_calc'!$C$2:$C$3001,$N1232))</f>
        <v/>
      </c>
      <c r="E1232" s="25" t="str">
        <f>IF($N1232="","",INDEX('_calc'!$D$2:$D$3001,$N1232))</f>
        <v/>
      </c>
      <c r="F1232" s="26" t="str">
        <f>IF($N1232="","",IF($E$8=0,"",E1232/$E$8))</f>
        <v/>
      </c>
      <c r="G1232" s="25" t="str">
        <f>IF($N1232="","",INDEX('_calc'!$E$2:$E$3001,$N1232))</f>
        <v/>
      </c>
      <c r="H1232" s="25" t="str">
        <f>IF($N1232="","",INDEX('_calc'!$F$2:$F$3001,$N1232))</f>
        <v/>
      </c>
      <c r="I1232" s="27" t="str">
        <f>IF($N1232="","",INDEX('_calc'!$H$2:$H$3001,$N1232))</f>
        <v/>
      </c>
      <c r="J1232" s="27" t="str">
        <f>IF($N1232="","",INDEX('_calc'!$I$2:$I$3001,$N1232))</f>
        <v/>
      </c>
      <c r="K1232" s="28" t="str">
        <f>IF($N1232="","",IF(OR(I1232="",J1232=""),"",J1232-I1232))</f>
        <v/>
      </c>
      <c r="L1232" s="29" t="str">
        <f>IF($N1232="","",INDEX('_calc'!$J$2:$J$3001,$N1232))</f>
        <v/>
      </c>
      <c r="M1232" s="2" t="str">
        <f>IF($N1232="","",IF(AND(G1232=0,H1232=0),"수량 없음",IF(G1232=0,"신규 (전년 수량 없음)",IF(H1232=0,"당해 수량 없음",""))))</f>
        <v/>
      </c>
      <c r="N1232" t="str">
        <f>IF($B1232="","",MATCH($B1232,'_calc'!$L$2:$L$3001,0))</f>
        <v/>
      </c>
    </row>
    <row r="1233">
      <c r="B1233" s="24" t="str">
        <f>IF(ROW()-ROW($B$8)&gt;nComp,"",ROW()-ROW($B$8))</f>
        <v/>
      </c>
      <c r="C1233" t="str">
        <f>IF($N1233="","",INDEX('_calc'!$A$2:$A$3001,$N1233))</f>
        <v/>
      </c>
      <c r="D1233" s="25" t="str">
        <f>IF($N1233="","",INDEX('_calc'!$C$2:$C$3001,$N1233))</f>
        <v/>
      </c>
      <c r="E1233" s="25" t="str">
        <f>IF($N1233="","",INDEX('_calc'!$D$2:$D$3001,$N1233))</f>
        <v/>
      </c>
      <c r="F1233" s="26" t="str">
        <f>IF($N1233="","",IF($E$8=0,"",E1233/$E$8))</f>
        <v/>
      </c>
      <c r="G1233" s="25" t="str">
        <f>IF($N1233="","",INDEX('_calc'!$E$2:$E$3001,$N1233))</f>
        <v/>
      </c>
      <c r="H1233" s="25" t="str">
        <f>IF($N1233="","",INDEX('_calc'!$F$2:$F$3001,$N1233))</f>
        <v/>
      </c>
      <c r="I1233" s="27" t="str">
        <f>IF($N1233="","",INDEX('_calc'!$H$2:$H$3001,$N1233))</f>
        <v/>
      </c>
      <c r="J1233" s="27" t="str">
        <f>IF($N1233="","",INDEX('_calc'!$I$2:$I$3001,$N1233))</f>
        <v/>
      </c>
      <c r="K1233" s="28" t="str">
        <f>IF($N1233="","",IF(OR(I1233="",J1233=""),"",J1233-I1233))</f>
        <v/>
      </c>
      <c r="L1233" s="29" t="str">
        <f>IF($N1233="","",INDEX('_calc'!$J$2:$J$3001,$N1233))</f>
        <v/>
      </c>
      <c r="M1233" s="2" t="str">
        <f>IF($N1233="","",IF(AND(G1233=0,H1233=0),"수량 없음",IF(G1233=0,"신규 (전년 수량 없음)",IF(H1233=0,"당해 수량 없음",""))))</f>
        <v/>
      </c>
      <c r="N1233" t="str">
        <f>IF($B1233="","",MATCH($B1233,'_calc'!$L$2:$L$3001,0))</f>
        <v/>
      </c>
    </row>
    <row r="1234">
      <c r="B1234" s="24" t="str">
        <f>IF(ROW()-ROW($B$8)&gt;nComp,"",ROW()-ROW($B$8))</f>
        <v/>
      </c>
      <c r="C1234" t="str">
        <f>IF($N1234="","",INDEX('_calc'!$A$2:$A$3001,$N1234))</f>
        <v/>
      </c>
      <c r="D1234" s="25" t="str">
        <f>IF($N1234="","",INDEX('_calc'!$C$2:$C$3001,$N1234))</f>
        <v/>
      </c>
      <c r="E1234" s="25" t="str">
        <f>IF($N1234="","",INDEX('_calc'!$D$2:$D$3001,$N1234))</f>
        <v/>
      </c>
      <c r="F1234" s="26" t="str">
        <f>IF($N1234="","",IF($E$8=0,"",E1234/$E$8))</f>
        <v/>
      </c>
      <c r="G1234" s="25" t="str">
        <f>IF($N1234="","",INDEX('_calc'!$E$2:$E$3001,$N1234))</f>
        <v/>
      </c>
      <c r="H1234" s="25" t="str">
        <f>IF($N1234="","",INDEX('_calc'!$F$2:$F$3001,$N1234))</f>
        <v/>
      </c>
      <c r="I1234" s="27" t="str">
        <f>IF($N1234="","",INDEX('_calc'!$H$2:$H$3001,$N1234))</f>
        <v/>
      </c>
      <c r="J1234" s="27" t="str">
        <f>IF($N1234="","",INDEX('_calc'!$I$2:$I$3001,$N1234))</f>
        <v/>
      </c>
      <c r="K1234" s="28" t="str">
        <f>IF($N1234="","",IF(OR(I1234="",J1234=""),"",J1234-I1234))</f>
        <v/>
      </c>
      <c r="L1234" s="29" t="str">
        <f>IF($N1234="","",INDEX('_calc'!$J$2:$J$3001,$N1234))</f>
        <v/>
      </c>
      <c r="M1234" s="2" t="str">
        <f>IF($N1234="","",IF(AND(G1234=0,H1234=0),"수량 없음",IF(G1234=0,"신규 (전년 수량 없음)",IF(H1234=0,"당해 수량 없음",""))))</f>
        <v/>
      </c>
      <c r="N1234" t="str">
        <f>IF($B1234="","",MATCH($B1234,'_calc'!$L$2:$L$3001,0))</f>
        <v/>
      </c>
    </row>
    <row r="1235">
      <c r="B1235" s="24" t="str">
        <f>IF(ROW()-ROW($B$8)&gt;nComp,"",ROW()-ROW($B$8))</f>
        <v/>
      </c>
      <c r="C1235" t="str">
        <f>IF($N1235="","",INDEX('_calc'!$A$2:$A$3001,$N1235))</f>
        <v/>
      </c>
      <c r="D1235" s="25" t="str">
        <f>IF($N1235="","",INDEX('_calc'!$C$2:$C$3001,$N1235))</f>
        <v/>
      </c>
      <c r="E1235" s="25" t="str">
        <f>IF($N1235="","",INDEX('_calc'!$D$2:$D$3001,$N1235))</f>
        <v/>
      </c>
      <c r="F1235" s="26" t="str">
        <f>IF($N1235="","",IF($E$8=0,"",E1235/$E$8))</f>
        <v/>
      </c>
      <c r="G1235" s="25" t="str">
        <f>IF($N1235="","",INDEX('_calc'!$E$2:$E$3001,$N1235))</f>
        <v/>
      </c>
      <c r="H1235" s="25" t="str">
        <f>IF($N1235="","",INDEX('_calc'!$F$2:$F$3001,$N1235))</f>
        <v/>
      </c>
      <c r="I1235" s="27" t="str">
        <f>IF($N1235="","",INDEX('_calc'!$H$2:$H$3001,$N1235))</f>
        <v/>
      </c>
      <c r="J1235" s="27" t="str">
        <f>IF($N1235="","",INDEX('_calc'!$I$2:$I$3001,$N1235))</f>
        <v/>
      </c>
      <c r="K1235" s="28" t="str">
        <f>IF($N1235="","",IF(OR(I1235="",J1235=""),"",J1235-I1235))</f>
        <v/>
      </c>
      <c r="L1235" s="29" t="str">
        <f>IF($N1235="","",INDEX('_calc'!$J$2:$J$3001,$N1235))</f>
        <v/>
      </c>
      <c r="M1235" s="2" t="str">
        <f>IF($N1235="","",IF(AND(G1235=0,H1235=0),"수량 없음",IF(G1235=0,"신규 (전년 수량 없음)",IF(H1235=0,"당해 수량 없음",""))))</f>
        <v/>
      </c>
      <c r="N1235" t="str">
        <f>IF($B1235="","",MATCH($B1235,'_calc'!$L$2:$L$3001,0))</f>
        <v/>
      </c>
    </row>
    <row r="1236">
      <c r="B1236" s="24" t="str">
        <f>IF(ROW()-ROW($B$8)&gt;nComp,"",ROW()-ROW($B$8))</f>
        <v/>
      </c>
      <c r="C1236" t="str">
        <f>IF($N1236="","",INDEX('_calc'!$A$2:$A$3001,$N1236))</f>
        <v/>
      </c>
      <c r="D1236" s="25" t="str">
        <f>IF($N1236="","",INDEX('_calc'!$C$2:$C$3001,$N1236))</f>
        <v/>
      </c>
      <c r="E1236" s="25" t="str">
        <f>IF($N1236="","",INDEX('_calc'!$D$2:$D$3001,$N1236))</f>
        <v/>
      </c>
      <c r="F1236" s="26" t="str">
        <f>IF($N1236="","",IF($E$8=0,"",E1236/$E$8))</f>
        <v/>
      </c>
      <c r="G1236" s="25" t="str">
        <f>IF($N1236="","",INDEX('_calc'!$E$2:$E$3001,$N1236))</f>
        <v/>
      </c>
      <c r="H1236" s="25" t="str">
        <f>IF($N1236="","",INDEX('_calc'!$F$2:$F$3001,$N1236))</f>
        <v/>
      </c>
      <c r="I1236" s="27" t="str">
        <f>IF($N1236="","",INDEX('_calc'!$H$2:$H$3001,$N1236))</f>
        <v/>
      </c>
      <c r="J1236" s="27" t="str">
        <f>IF($N1236="","",INDEX('_calc'!$I$2:$I$3001,$N1236))</f>
        <v/>
      </c>
      <c r="K1236" s="28" t="str">
        <f>IF($N1236="","",IF(OR(I1236="",J1236=""),"",J1236-I1236))</f>
        <v/>
      </c>
      <c r="L1236" s="29" t="str">
        <f>IF($N1236="","",INDEX('_calc'!$J$2:$J$3001,$N1236))</f>
        <v/>
      </c>
      <c r="M1236" s="2" t="str">
        <f>IF($N1236="","",IF(AND(G1236=0,H1236=0),"수량 없음",IF(G1236=0,"신규 (전년 수량 없음)",IF(H1236=0,"당해 수량 없음",""))))</f>
        <v/>
      </c>
      <c r="N1236" t="str">
        <f>IF($B1236="","",MATCH($B1236,'_calc'!$L$2:$L$3001,0))</f>
        <v/>
      </c>
    </row>
    <row r="1237">
      <c r="B1237" s="24" t="str">
        <f>IF(ROW()-ROW($B$8)&gt;nComp,"",ROW()-ROW($B$8))</f>
        <v/>
      </c>
      <c r="C1237" t="str">
        <f>IF($N1237="","",INDEX('_calc'!$A$2:$A$3001,$N1237))</f>
        <v/>
      </c>
      <c r="D1237" s="25" t="str">
        <f>IF($N1237="","",INDEX('_calc'!$C$2:$C$3001,$N1237))</f>
        <v/>
      </c>
      <c r="E1237" s="25" t="str">
        <f>IF($N1237="","",INDEX('_calc'!$D$2:$D$3001,$N1237))</f>
        <v/>
      </c>
      <c r="F1237" s="26" t="str">
        <f>IF($N1237="","",IF($E$8=0,"",E1237/$E$8))</f>
        <v/>
      </c>
      <c r="G1237" s="25" t="str">
        <f>IF($N1237="","",INDEX('_calc'!$E$2:$E$3001,$N1237))</f>
        <v/>
      </c>
      <c r="H1237" s="25" t="str">
        <f>IF($N1237="","",INDEX('_calc'!$F$2:$F$3001,$N1237))</f>
        <v/>
      </c>
      <c r="I1237" s="27" t="str">
        <f>IF($N1237="","",INDEX('_calc'!$H$2:$H$3001,$N1237))</f>
        <v/>
      </c>
      <c r="J1237" s="27" t="str">
        <f>IF($N1237="","",INDEX('_calc'!$I$2:$I$3001,$N1237))</f>
        <v/>
      </c>
      <c r="K1237" s="28" t="str">
        <f>IF($N1237="","",IF(OR(I1237="",J1237=""),"",J1237-I1237))</f>
        <v/>
      </c>
      <c r="L1237" s="29" t="str">
        <f>IF($N1237="","",INDEX('_calc'!$J$2:$J$3001,$N1237))</f>
        <v/>
      </c>
      <c r="M1237" s="2" t="str">
        <f>IF($N1237="","",IF(AND(G1237=0,H1237=0),"수량 없음",IF(G1237=0,"신규 (전년 수량 없음)",IF(H1237=0,"당해 수량 없음",""))))</f>
        <v/>
      </c>
      <c r="N1237" t="str">
        <f>IF($B1237="","",MATCH($B1237,'_calc'!$L$2:$L$3001,0))</f>
        <v/>
      </c>
    </row>
    <row r="1238">
      <c r="B1238" s="24" t="str">
        <f>IF(ROW()-ROW($B$8)&gt;nComp,"",ROW()-ROW($B$8))</f>
        <v/>
      </c>
      <c r="C1238" t="str">
        <f>IF($N1238="","",INDEX('_calc'!$A$2:$A$3001,$N1238))</f>
        <v/>
      </c>
      <c r="D1238" s="25" t="str">
        <f>IF($N1238="","",INDEX('_calc'!$C$2:$C$3001,$N1238))</f>
        <v/>
      </c>
      <c r="E1238" s="25" t="str">
        <f>IF($N1238="","",INDEX('_calc'!$D$2:$D$3001,$N1238))</f>
        <v/>
      </c>
      <c r="F1238" s="26" t="str">
        <f>IF($N1238="","",IF($E$8=0,"",E1238/$E$8))</f>
        <v/>
      </c>
      <c r="G1238" s="25" t="str">
        <f>IF($N1238="","",INDEX('_calc'!$E$2:$E$3001,$N1238))</f>
        <v/>
      </c>
      <c r="H1238" s="25" t="str">
        <f>IF($N1238="","",INDEX('_calc'!$F$2:$F$3001,$N1238))</f>
        <v/>
      </c>
      <c r="I1238" s="27" t="str">
        <f>IF($N1238="","",INDEX('_calc'!$H$2:$H$3001,$N1238))</f>
        <v/>
      </c>
      <c r="J1238" s="27" t="str">
        <f>IF($N1238="","",INDEX('_calc'!$I$2:$I$3001,$N1238))</f>
        <v/>
      </c>
      <c r="K1238" s="28" t="str">
        <f>IF($N1238="","",IF(OR(I1238="",J1238=""),"",J1238-I1238))</f>
        <v/>
      </c>
      <c r="L1238" s="29" t="str">
        <f>IF($N1238="","",INDEX('_calc'!$J$2:$J$3001,$N1238))</f>
        <v/>
      </c>
      <c r="M1238" s="2" t="str">
        <f>IF($N1238="","",IF(AND(G1238=0,H1238=0),"수량 없음",IF(G1238=0,"신규 (전년 수량 없음)",IF(H1238=0,"당해 수량 없음",""))))</f>
        <v/>
      </c>
      <c r="N1238" t="str">
        <f>IF($B1238="","",MATCH($B1238,'_calc'!$L$2:$L$3001,0))</f>
        <v/>
      </c>
    </row>
    <row r="1239">
      <c r="B1239" s="24" t="str">
        <f>IF(ROW()-ROW($B$8)&gt;nComp,"",ROW()-ROW($B$8))</f>
        <v/>
      </c>
      <c r="C1239" t="str">
        <f>IF($N1239="","",INDEX('_calc'!$A$2:$A$3001,$N1239))</f>
        <v/>
      </c>
      <c r="D1239" s="25" t="str">
        <f>IF($N1239="","",INDEX('_calc'!$C$2:$C$3001,$N1239))</f>
        <v/>
      </c>
      <c r="E1239" s="25" t="str">
        <f>IF($N1239="","",INDEX('_calc'!$D$2:$D$3001,$N1239))</f>
        <v/>
      </c>
      <c r="F1239" s="26" t="str">
        <f>IF($N1239="","",IF($E$8=0,"",E1239/$E$8))</f>
        <v/>
      </c>
      <c r="G1239" s="25" t="str">
        <f>IF($N1239="","",INDEX('_calc'!$E$2:$E$3001,$N1239))</f>
        <v/>
      </c>
      <c r="H1239" s="25" t="str">
        <f>IF($N1239="","",INDEX('_calc'!$F$2:$F$3001,$N1239))</f>
        <v/>
      </c>
      <c r="I1239" s="27" t="str">
        <f>IF($N1239="","",INDEX('_calc'!$H$2:$H$3001,$N1239))</f>
        <v/>
      </c>
      <c r="J1239" s="27" t="str">
        <f>IF($N1239="","",INDEX('_calc'!$I$2:$I$3001,$N1239))</f>
        <v/>
      </c>
      <c r="K1239" s="28" t="str">
        <f>IF($N1239="","",IF(OR(I1239="",J1239=""),"",J1239-I1239))</f>
        <v/>
      </c>
      <c r="L1239" s="29" t="str">
        <f>IF($N1239="","",INDEX('_calc'!$J$2:$J$3001,$N1239))</f>
        <v/>
      </c>
      <c r="M1239" s="2" t="str">
        <f>IF($N1239="","",IF(AND(G1239=0,H1239=0),"수량 없음",IF(G1239=0,"신규 (전년 수량 없음)",IF(H1239=0,"당해 수량 없음",""))))</f>
        <v/>
      </c>
      <c r="N1239" t="str">
        <f>IF($B1239="","",MATCH($B1239,'_calc'!$L$2:$L$3001,0))</f>
        <v/>
      </c>
    </row>
    <row r="1240">
      <c r="B1240" s="24" t="str">
        <f>IF(ROW()-ROW($B$8)&gt;nComp,"",ROW()-ROW($B$8))</f>
        <v/>
      </c>
      <c r="C1240" t="str">
        <f>IF($N1240="","",INDEX('_calc'!$A$2:$A$3001,$N1240))</f>
        <v/>
      </c>
      <c r="D1240" s="25" t="str">
        <f>IF($N1240="","",INDEX('_calc'!$C$2:$C$3001,$N1240))</f>
        <v/>
      </c>
      <c r="E1240" s="25" t="str">
        <f>IF($N1240="","",INDEX('_calc'!$D$2:$D$3001,$N1240))</f>
        <v/>
      </c>
      <c r="F1240" s="26" t="str">
        <f>IF($N1240="","",IF($E$8=0,"",E1240/$E$8))</f>
        <v/>
      </c>
      <c r="G1240" s="25" t="str">
        <f>IF($N1240="","",INDEX('_calc'!$E$2:$E$3001,$N1240))</f>
        <v/>
      </c>
      <c r="H1240" s="25" t="str">
        <f>IF($N1240="","",INDEX('_calc'!$F$2:$F$3001,$N1240))</f>
        <v/>
      </c>
      <c r="I1240" s="27" t="str">
        <f>IF($N1240="","",INDEX('_calc'!$H$2:$H$3001,$N1240))</f>
        <v/>
      </c>
      <c r="J1240" s="27" t="str">
        <f>IF($N1240="","",INDEX('_calc'!$I$2:$I$3001,$N1240))</f>
        <v/>
      </c>
      <c r="K1240" s="28" t="str">
        <f>IF($N1240="","",IF(OR(I1240="",J1240=""),"",J1240-I1240))</f>
        <v/>
      </c>
      <c r="L1240" s="29" t="str">
        <f>IF($N1240="","",INDEX('_calc'!$J$2:$J$3001,$N1240))</f>
        <v/>
      </c>
      <c r="M1240" s="2" t="str">
        <f>IF($N1240="","",IF(AND(G1240=0,H1240=0),"수량 없음",IF(G1240=0,"신규 (전년 수량 없음)",IF(H1240=0,"당해 수량 없음",""))))</f>
        <v/>
      </c>
      <c r="N1240" t="str">
        <f>IF($B1240="","",MATCH($B1240,'_calc'!$L$2:$L$3001,0))</f>
        <v/>
      </c>
    </row>
    <row r="1241">
      <c r="B1241" s="24" t="str">
        <f>IF(ROW()-ROW($B$8)&gt;nComp,"",ROW()-ROW($B$8))</f>
        <v/>
      </c>
      <c r="C1241" t="str">
        <f>IF($N1241="","",INDEX('_calc'!$A$2:$A$3001,$N1241))</f>
        <v/>
      </c>
      <c r="D1241" s="25" t="str">
        <f>IF($N1241="","",INDEX('_calc'!$C$2:$C$3001,$N1241))</f>
        <v/>
      </c>
      <c r="E1241" s="25" t="str">
        <f>IF($N1241="","",INDEX('_calc'!$D$2:$D$3001,$N1241))</f>
        <v/>
      </c>
      <c r="F1241" s="26" t="str">
        <f>IF($N1241="","",IF($E$8=0,"",E1241/$E$8))</f>
        <v/>
      </c>
      <c r="G1241" s="25" t="str">
        <f>IF($N1241="","",INDEX('_calc'!$E$2:$E$3001,$N1241))</f>
        <v/>
      </c>
      <c r="H1241" s="25" t="str">
        <f>IF($N1241="","",INDEX('_calc'!$F$2:$F$3001,$N1241))</f>
        <v/>
      </c>
      <c r="I1241" s="27" t="str">
        <f>IF($N1241="","",INDEX('_calc'!$H$2:$H$3001,$N1241))</f>
        <v/>
      </c>
      <c r="J1241" s="27" t="str">
        <f>IF($N1241="","",INDEX('_calc'!$I$2:$I$3001,$N1241))</f>
        <v/>
      </c>
      <c r="K1241" s="28" t="str">
        <f>IF($N1241="","",IF(OR(I1241="",J1241=""),"",J1241-I1241))</f>
        <v/>
      </c>
      <c r="L1241" s="29" t="str">
        <f>IF($N1241="","",INDEX('_calc'!$J$2:$J$3001,$N1241))</f>
        <v/>
      </c>
      <c r="M1241" s="2" t="str">
        <f>IF($N1241="","",IF(AND(G1241=0,H1241=0),"수량 없음",IF(G1241=0,"신규 (전년 수량 없음)",IF(H1241=0,"당해 수량 없음",""))))</f>
        <v/>
      </c>
      <c r="N1241" t="str">
        <f>IF($B1241="","",MATCH($B1241,'_calc'!$L$2:$L$3001,0))</f>
        <v/>
      </c>
    </row>
    <row r="1242">
      <c r="B1242" s="24" t="str">
        <f>IF(ROW()-ROW($B$8)&gt;nComp,"",ROW()-ROW($B$8))</f>
        <v/>
      </c>
      <c r="C1242" t="str">
        <f>IF($N1242="","",INDEX('_calc'!$A$2:$A$3001,$N1242))</f>
        <v/>
      </c>
      <c r="D1242" s="25" t="str">
        <f>IF($N1242="","",INDEX('_calc'!$C$2:$C$3001,$N1242))</f>
        <v/>
      </c>
      <c r="E1242" s="25" t="str">
        <f>IF($N1242="","",INDEX('_calc'!$D$2:$D$3001,$N1242))</f>
        <v/>
      </c>
      <c r="F1242" s="26" t="str">
        <f>IF($N1242="","",IF($E$8=0,"",E1242/$E$8))</f>
        <v/>
      </c>
      <c r="G1242" s="25" t="str">
        <f>IF($N1242="","",INDEX('_calc'!$E$2:$E$3001,$N1242))</f>
        <v/>
      </c>
      <c r="H1242" s="25" t="str">
        <f>IF($N1242="","",INDEX('_calc'!$F$2:$F$3001,$N1242))</f>
        <v/>
      </c>
      <c r="I1242" s="27" t="str">
        <f>IF($N1242="","",INDEX('_calc'!$H$2:$H$3001,$N1242))</f>
        <v/>
      </c>
      <c r="J1242" s="27" t="str">
        <f>IF($N1242="","",INDEX('_calc'!$I$2:$I$3001,$N1242))</f>
        <v/>
      </c>
      <c r="K1242" s="28" t="str">
        <f>IF($N1242="","",IF(OR(I1242="",J1242=""),"",J1242-I1242))</f>
        <v/>
      </c>
      <c r="L1242" s="29" t="str">
        <f>IF($N1242="","",INDEX('_calc'!$J$2:$J$3001,$N1242))</f>
        <v/>
      </c>
      <c r="M1242" s="2" t="str">
        <f>IF($N1242="","",IF(AND(G1242=0,H1242=0),"수량 없음",IF(G1242=0,"신규 (전년 수량 없음)",IF(H1242=0,"당해 수량 없음",""))))</f>
        <v/>
      </c>
      <c r="N1242" t="str">
        <f>IF($B1242="","",MATCH($B1242,'_calc'!$L$2:$L$3001,0))</f>
        <v/>
      </c>
    </row>
    <row r="1243">
      <c r="B1243" s="24" t="str">
        <f>IF(ROW()-ROW($B$8)&gt;nComp,"",ROW()-ROW($B$8))</f>
        <v/>
      </c>
      <c r="C1243" t="str">
        <f>IF($N1243="","",INDEX('_calc'!$A$2:$A$3001,$N1243))</f>
        <v/>
      </c>
      <c r="D1243" s="25" t="str">
        <f>IF($N1243="","",INDEX('_calc'!$C$2:$C$3001,$N1243))</f>
        <v/>
      </c>
      <c r="E1243" s="25" t="str">
        <f>IF($N1243="","",INDEX('_calc'!$D$2:$D$3001,$N1243))</f>
        <v/>
      </c>
      <c r="F1243" s="26" t="str">
        <f>IF($N1243="","",IF($E$8=0,"",E1243/$E$8))</f>
        <v/>
      </c>
      <c r="G1243" s="25" t="str">
        <f>IF($N1243="","",INDEX('_calc'!$E$2:$E$3001,$N1243))</f>
        <v/>
      </c>
      <c r="H1243" s="25" t="str">
        <f>IF($N1243="","",INDEX('_calc'!$F$2:$F$3001,$N1243))</f>
        <v/>
      </c>
      <c r="I1243" s="27" t="str">
        <f>IF($N1243="","",INDEX('_calc'!$H$2:$H$3001,$N1243))</f>
        <v/>
      </c>
      <c r="J1243" s="27" t="str">
        <f>IF($N1243="","",INDEX('_calc'!$I$2:$I$3001,$N1243))</f>
        <v/>
      </c>
      <c r="K1243" s="28" t="str">
        <f>IF($N1243="","",IF(OR(I1243="",J1243=""),"",J1243-I1243))</f>
        <v/>
      </c>
      <c r="L1243" s="29" t="str">
        <f>IF($N1243="","",INDEX('_calc'!$J$2:$J$3001,$N1243))</f>
        <v/>
      </c>
      <c r="M1243" s="2" t="str">
        <f>IF($N1243="","",IF(AND(G1243=0,H1243=0),"수량 없음",IF(G1243=0,"신규 (전년 수량 없음)",IF(H1243=0,"당해 수량 없음",""))))</f>
        <v/>
      </c>
      <c r="N1243" t="str">
        <f>IF($B1243="","",MATCH($B1243,'_calc'!$L$2:$L$3001,0))</f>
        <v/>
      </c>
    </row>
    <row r="1244">
      <c r="B1244" s="24" t="str">
        <f>IF(ROW()-ROW($B$8)&gt;nComp,"",ROW()-ROW($B$8))</f>
        <v/>
      </c>
      <c r="C1244" t="str">
        <f>IF($N1244="","",INDEX('_calc'!$A$2:$A$3001,$N1244))</f>
        <v/>
      </c>
      <c r="D1244" s="25" t="str">
        <f>IF($N1244="","",INDEX('_calc'!$C$2:$C$3001,$N1244))</f>
        <v/>
      </c>
      <c r="E1244" s="25" t="str">
        <f>IF($N1244="","",INDEX('_calc'!$D$2:$D$3001,$N1244))</f>
        <v/>
      </c>
      <c r="F1244" s="26" t="str">
        <f>IF($N1244="","",IF($E$8=0,"",E1244/$E$8))</f>
        <v/>
      </c>
      <c r="G1244" s="25" t="str">
        <f>IF($N1244="","",INDEX('_calc'!$E$2:$E$3001,$N1244))</f>
        <v/>
      </c>
      <c r="H1244" s="25" t="str">
        <f>IF($N1244="","",INDEX('_calc'!$F$2:$F$3001,$N1244))</f>
        <v/>
      </c>
      <c r="I1244" s="27" t="str">
        <f>IF($N1244="","",INDEX('_calc'!$H$2:$H$3001,$N1244))</f>
        <v/>
      </c>
      <c r="J1244" s="27" t="str">
        <f>IF($N1244="","",INDEX('_calc'!$I$2:$I$3001,$N1244))</f>
        <v/>
      </c>
      <c r="K1244" s="28" t="str">
        <f>IF($N1244="","",IF(OR(I1244="",J1244=""),"",J1244-I1244))</f>
        <v/>
      </c>
      <c r="L1244" s="29" t="str">
        <f>IF($N1244="","",INDEX('_calc'!$J$2:$J$3001,$N1244))</f>
        <v/>
      </c>
      <c r="M1244" s="2" t="str">
        <f>IF($N1244="","",IF(AND(G1244=0,H1244=0),"수량 없음",IF(G1244=0,"신규 (전년 수량 없음)",IF(H1244=0,"당해 수량 없음",""))))</f>
        <v/>
      </c>
      <c r="N1244" t="str">
        <f>IF($B1244="","",MATCH($B1244,'_calc'!$L$2:$L$3001,0))</f>
        <v/>
      </c>
    </row>
    <row r="1245">
      <c r="B1245" s="24" t="str">
        <f>IF(ROW()-ROW($B$8)&gt;nComp,"",ROW()-ROW($B$8))</f>
        <v/>
      </c>
      <c r="C1245" t="str">
        <f>IF($N1245="","",INDEX('_calc'!$A$2:$A$3001,$N1245))</f>
        <v/>
      </c>
      <c r="D1245" s="25" t="str">
        <f>IF($N1245="","",INDEX('_calc'!$C$2:$C$3001,$N1245))</f>
        <v/>
      </c>
      <c r="E1245" s="25" t="str">
        <f>IF($N1245="","",INDEX('_calc'!$D$2:$D$3001,$N1245))</f>
        <v/>
      </c>
      <c r="F1245" s="26" t="str">
        <f>IF($N1245="","",IF($E$8=0,"",E1245/$E$8))</f>
        <v/>
      </c>
      <c r="G1245" s="25" t="str">
        <f>IF($N1245="","",INDEX('_calc'!$E$2:$E$3001,$N1245))</f>
        <v/>
      </c>
      <c r="H1245" s="25" t="str">
        <f>IF($N1245="","",INDEX('_calc'!$F$2:$F$3001,$N1245))</f>
        <v/>
      </c>
      <c r="I1245" s="27" t="str">
        <f>IF($N1245="","",INDEX('_calc'!$H$2:$H$3001,$N1245))</f>
        <v/>
      </c>
      <c r="J1245" s="27" t="str">
        <f>IF($N1245="","",INDEX('_calc'!$I$2:$I$3001,$N1245))</f>
        <v/>
      </c>
      <c r="K1245" s="28" t="str">
        <f>IF($N1245="","",IF(OR(I1245="",J1245=""),"",J1245-I1245))</f>
        <v/>
      </c>
      <c r="L1245" s="29" t="str">
        <f>IF($N1245="","",INDEX('_calc'!$J$2:$J$3001,$N1245))</f>
        <v/>
      </c>
      <c r="M1245" s="2" t="str">
        <f>IF($N1245="","",IF(AND(G1245=0,H1245=0),"수량 없음",IF(G1245=0,"신규 (전년 수량 없음)",IF(H1245=0,"당해 수량 없음",""))))</f>
        <v/>
      </c>
      <c r="N1245" t="str">
        <f>IF($B1245="","",MATCH($B1245,'_calc'!$L$2:$L$3001,0))</f>
        <v/>
      </c>
    </row>
    <row r="1246">
      <c r="B1246" s="24" t="str">
        <f>IF(ROW()-ROW($B$8)&gt;nComp,"",ROW()-ROW($B$8))</f>
        <v/>
      </c>
      <c r="C1246" t="str">
        <f>IF($N1246="","",INDEX('_calc'!$A$2:$A$3001,$N1246))</f>
        <v/>
      </c>
      <c r="D1246" s="25" t="str">
        <f>IF($N1246="","",INDEX('_calc'!$C$2:$C$3001,$N1246))</f>
        <v/>
      </c>
      <c r="E1246" s="25" t="str">
        <f>IF($N1246="","",INDEX('_calc'!$D$2:$D$3001,$N1246))</f>
        <v/>
      </c>
      <c r="F1246" s="26" t="str">
        <f>IF($N1246="","",IF($E$8=0,"",E1246/$E$8))</f>
        <v/>
      </c>
      <c r="G1246" s="25" t="str">
        <f>IF($N1246="","",INDEX('_calc'!$E$2:$E$3001,$N1246))</f>
        <v/>
      </c>
      <c r="H1246" s="25" t="str">
        <f>IF($N1246="","",INDEX('_calc'!$F$2:$F$3001,$N1246))</f>
        <v/>
      </c>
      <c r="I1246" s="27" t="str">
        <f>IF($N1246="","",INDEX('_calc'!$H$2:$H$3001,$N1246))</f>
        <v/>
      </c>
      <c r="J1246" s="27" t="str">
        <f>IF($N1246="","",INDEX('_calc'!$I$2:$I$3001,$N1246))</f>
        <v/>
      </c>
      <c r="K1246" s="28" t="str">
        <f>IF($N1246="","",IF(OR(I1246="",J1246=""),"",J1246-I1246))</f>
        <v/>
      </c>
      <c r="L1246" s="29" t="str">
        <f>IF($N1246="","",INDEX('_calc'!$J$2:$J$3001,$N1246))</f>
        <v/>
      </c>
      <c r="M1246" s="2" t="str">
        <f>IF($N1246="","",IF(AND(G1246=0,H1246=0),"수량 없음",IF(G1246=0,"신규 (전년 수량 없음)",IF(H1246=0,"당해 수량 없음",""))))</f>
        <v/>
      </c>
      <c r="N1246" t="str">
        <f>IF($B1246="","",MATCH($B1246,'_calc'!$L$2:$L$3001,0))</f>
        <v/>
      </c>
    </row>
    <row r="1247">
      <c r="B1247" s="24" t="str">
        <f>IF(ROW()-ROW($B$8)&gt;nComp,"",ROW()-ROW($B$8))</f>
        <v/>
      </c>
      <c r="C1247" t="str">
        <f>IF($N1247="","",INDEX('_calc'!$A$2:$A$3001,$N1247))</f>
        <v/>
      </c>
      <c r="D1247" s="25" t="str">
        <f>IF($N1247="","",INDEX('_calc'!$C$2:$C$3001,$N1247))</f>
        <v/>
      </c>
      <c r="E1247" s="25" t="str">
        <f>IF($N1247="","",INDEX('_calc'!$D$2:$D$3001,$N1247))</f>
        <v/>
      </c>
      <c r="F1247" s="26" t="str">
        <f>IF($N1247="","",IF($E$8=0,"",E1247/$E$8))</f>
        <v/>
      </c>
      <c r="G1247" s="25" t="str">
        <f>IF($N1247="","",INDEX('_calc'!$E$2:$E$3001,$N1247))</f>
        <v/>
      </c>
      <c r="H1247" s="25" t="str">
        <f>IF($N1247="","",INDEX('_calc'!$F$2:$F$3001,$N1247))</f>
        <v/>
      </c>
      <c r="I1247" s="27" t="str">
        <f>IF($N1247="","",INDEX('_calc'!$H$2:$H$3001,$N1247))</f>
        <v/>
      </c>
      <c r="J1247" s="27" t="str">
        <f>IF($N1247="","",INDEX('_calc'!$I$2:$I$3001,$N1247))</f>
        <v/>
      </c>
      <c r="K1247" s="28" t="str">
        <f>IF($N1247="","",IF(OR(I1247="",J1247=""),"",J1247-I1247))</f>
        <v/>
      </c>
      <c r="L1247" s="29" t="str">
        <f>IF($N1247="","",INDEX('_calc'!$J$2:$J$3001,$N1247))</f>
        <v/>
      </c>
      <c r="M1247" s="2" t="str">
        <f>IF($N1247="","",IF(AND(G1247=0,H1247=0),"수량 없음",IF(G1247=0,"신규 (전년 수량 없음)",IF(H1247=0,"당해 수량 없음",""))))</f>
        <v/>
      </c>
      <c r="N1247" t="str">
        <f>IF($B1247="","",MATCH($B1247,'_calc'!$L$2:$L$3001,0))</f>
        <v/>
      </c>
    </row>
    <row r="1248">
      <c r="B1248" s="24" t="str">
        <f>IF(ROW()-ROW($B$8)&gt;nComp,"",ROW()-ROW($B$8))</f>
        <v/>
      </c>
      <c r="C1248" t="str">
        <f>IF($N1248="","",INDEX('_calc'!$A$2:$A$3001,$N1248))</f>
        <v/>
      </c>
      <c r="D1248" s="25" t="str">
        <f>IF($N1248="","",INDEX('_calc'!$C$2:$C$3001,$N1248))</f>
        <v/>
      </c>
      <c r="E1248" s="25" t="str">
        <f>IF($N1248="","",INDEX('_calc'!$D$2:$D$3001,$N1248))</f>
        <v/>
      </c>
      <c r="F1248" s="26" t="str">
        <f>IF($N1248="","",IF($E$8=0,"",E1248/$E$8))</f>
        <v/>
      </c>
      <c r="G1248" s="25" t="str">
        <f>IF($N1248="","",INDEX('_calc'!$E$2:$E$3001,$N1248))</f>
        <v/>
      </c>
      <c r="H1248" s="25" t="str">
        <f>IF($N1248="","",INDEX('_calc'!$F$2:$F$3001,$N1248))</f>
        <v/>
      </c>
      <c r="I1248" s="27" t="str">
        <f>IF($N1248="","",INDEX('_calc'!$H$2:$H$3001,$N1248))</f>
        <v/>
      </c>
      <c r="J1248" s="27" t="str">
        <f>IF($N1248="","",INDEX('_calc'!$I$2:$I$3001,$N1248))</f>
        <v/>
      </c>
      <c r="K1248" s="28" t="str">
        <f>IF($N1248="","",IF(OR(I1248="",J1248=""),"",J1248-I1248))</f>
        <v/>
      </c>
      <c r="L1248" s="29" t="str">
        <f>IF($N1248="","",INDEX('_calc'!$J$2:$J$3001,$N1248))</f>
        <v/>
      </c>
      <c r="M1248" s="2" t="str">
        <f>IF($N1248="","",IF(AND(G1248=0,H1248=0),"수량 없음",IF(G1248=0,"신규 (전년 수량 없음)",IF(H1248=0,"당해 수량 없음",""))))</f>
        <v/>
      </c>
      <c r="N1248" t="str">
        <f>IF($B1248="","",MATCH($B1248,'_calc'!$L$2:$L$3001,0))</f>
        <v/>
      </c>
    </row>
    <row r="1249">
      <c r="B1249" s="24" t="str">
        <f>IF(ROW()-ROW($B$8)&gt;nComp,"",ROW()-ROW($B$8))</f>
        <v/>
      </c>
      <c r="C1249" t="str">
        <f>IF($N1249="","",INDEX('_calc'!$A$2:$A$3001,$N1249))</f>
        <v/>
      </c>
      <c r="D1249" s="25" t="str">
        <f>IF($N1249="","",INDEX('_calc'!$C$2:$C$3001,$N1249))</f>
        <v/>
      </c>
      <c r="E1249" s="25" t="str">
        <f>IF($N1249="","",INDEX('_calc'!$D$2:$D$3001,$N1249))</f>
        <v/>
      </c>
      <c r="F1249" s="26" t="str">
        <f>IF($N1249="","",IF($E$8=0,"",E1249/$E$8))</f>
        <v/>
      </c>
      <c r="G1249" s="25" t="str">
        <f>IF($N1249="","",INDEX('_calc'!$E$2:$E$3001,$N1249))</f>
        <v/>
      </c>
      <c r="H1249" s="25" t="str">
        <f>IF($N1249="","",INDEX('_calc'!$F$2:$F$3001,$N1249))</f>
        <v/>
      </c>
      <c r="I1249" s="27" t="str">
        <f>IF($N1249="","",INDEX('_calc'!$H$2:$H$3001,$N1249))</f>
        <v/>
      </c>
      <c r="J1249" s="27" t="str">
        <f>IF($N1249="","",INDEX('_calc'!$I$2:$I$3001,$N1249))</f>
        <v/>
      </c>
      <c r="K1249" s="28" t="str">
        <f>IF($N1249="","",IF(OR(I1249="",J1249=""),"",J1249-I1249))</f>
        <v/>
      </c>
      <c r="L1249" s="29" t="str">
        <f>IF($N1249="","",INDEX('_calc'!$J$2:$J$3001,$N1249))</f>
        <v/>
      </c>
      <c r="M1249" s="2" t="str">
        <f>IF($N1249="","",IF(AND(G1249=0,H1249=0),"수량 없음",IF(G1249=0,"신규 (전년 수량 없음)",IF(H1249=0,"당해 수량 없음",""))))</f>
        <v/>
      </c>
      <c r="N1249" t="str">
        <f>IF($B1249="","",MATCH($B1249,'_calc'!$L$2:$L$3001,0))</f>
        <v/>
      </c>
    </row>
    <row r="1250">
      <c r="B1250" s="24" t="str">
        <f>IF(ROW()-ROW($B$8)&gt;nComp,"",ROW()-ROW($B$8))</f>
        <v/>
      </c>
      <c r="C1250" t="str">
        <f>IF($N1250="","",INDEX('_calc'!$A$2:$A$3001,$N1250))</f>
        <v/>
      </c>
      <c r="D1250" s="25" t="str">
        <f>IF($N1250="","",INDEX('_calc'!$C$2:$C$3001,$N1250))</f>
        <v/>
      </c>
      <c r="E1250" s="25" t="str">
        <f>IF($N1250="","",INDEX('_calc'!$D$2:$D$3001,$N1250))</f>
        <v/>
      </c>
      <c r="F1250" s="26" t="str">
        <f>IF($N1250="","",IF($E$8=0,"",E1250/$E$8))</f>
        <v/>
      </c>
      <c r="G1250" s="25" t="str">
        <f>IF($N1250="","",INDEX('_calc'!$E$2:$E$3001,$N1250))</f>
        <v/>
      </c>
      <c r="H1250" s="25" t="str">
        <f>IF($N1250="","",INDEX('_calc'!$F$2:$F$3001,$N1250))</f>
        <v/>
      </c>
      <c r="I1250" s="27" t="str">
        <f>IF($N1250="","",INDEX('_calc'!$H$2:$H$3001,$N1250))</f>
        <v/>
      </c>
      <c r="J1250" s="27" t="str">
        <f>IF($N1250="","",INDEX('_calc'!$I$2:$I$3001,$N1250))</f>
        <v/>
      </c>
      <c r="K1250" s="28" t="str">
        <f>IF($N1250="","",IF(OR(I1250="",J1250=""),"",J1250-I1250))</f>
        <v/>
      </c>
      <c r="L1250" s="29" t="str">
        <f>IF($N1250="","",INDEX('_calc'!$J$2:$J$3001,$N1250))</f>
        <v/>
      </c>
      <c r="M1250" s="2" t="str">
        <f>IF($N1250="","",IF(AND(G1250=0,H1250=0),"수량 없음",IF(G1250=0,"신규 (전년 수량 없음)",IF(H1250=0,"당해 수량 없음",""))))</f>
        <v/>
      </c>
      <c r="N1250" t="str">
        <f>IF($B1250="","",MATCH($B1250,'_calc'!$L$2:$L$3001,0))</f>
        <v/>
      </c>
    </row>
    <row r="1251">
      <c r="B1251" s="24" t="str">
        <f>IF(ROW()-ROW($B$8)&gt;nComp,"",ROW()-ROW($B$8))</f>
        <v/>
      </c>
      <c r="C1251" t="str">
        <f>IF($N1251="","",INDEX('_calc'!$A$2:$A$3001,$N1251))</f>
        <v/>
      </c>
      <c r="D1251" s="25" t="str">
        <f>IF($N1251="","",INDEX('_calc'!$C$2:$C$3001,$N1251))</f>
        <v/>
      </c>
      <c r="E1251" s="25" t="str">
        <f>IF($N1251="","",INDEX('_calc'!$D$2:$D$3001,$N1251))</f>
        <v/>
      </c>
      <c r="F1251" s="26" t="str">
        <f>IF($N1251="","",IF($E$8=0,"",E1251/$E$8))</f>
        <v/>
      </c>
      <c r="G1251" s="25" t="str">
        <f>IF($N1251="","",INDEX('_calc'!$E$2:$E$3001,$N1251))</f>
        <v/>
      </c>
      <c r="H1251" s="25" t="str">
        <f>IF($N1251="","",INDEX('_calc'!$F$2:$F$3001,$N1251))</f>
        <v/>
      </c>
      <c r="I1251" s="27" t="str">
        <f>IF($N1251="","",INDEX('_calc'!$H$2:$H$3001,$N1251))</f>
        <v/>
      </c>
      <c r="J1251" s="27" t="str">
        <f>IF($N1251="","",INDEX('_calc'!$I$2:$I$3001,$N1251))</f>
        <v/>
      </c>
      <c r="K1251" s="28" t="str">
        <f>IF($N1251="","",IF(OR(I1251="",J1251=""),"",J1251-I1251))</f>
        <v/>
      </c>
      <c r="L1251" s="29" t="str">
        <f>IF($N1251="","",INDEX('_calc'!$J$2:$J$3001,$N1251))</f>
        <v/>
      </c>
      <c r="M1251" s="2" t="str">
        <f>IF($N1251="","",IF(AND(G1251=0,H1251=0),"수량 없음",IF(G1251=0,"신규 (전년 수량 없음)",IF(H1251=0,"당해 수량 없음",""))))</f>
        <v/>
      </c>
      <c r="N1251" t="str">
        <f>IF($B1251="","",MATCH($B1251,'_calc'!$L$2:$L$3001,0))</f>
        <v/>
      </c>
    </row>
    <row r="1252">
      <c r="B1252" s="24" t="str">
        <f>IF(ROW()-ROW($B$8)&gt;nComp,"",ROW()-ROW($B$8))</f>
        <v/>
      </c>
      <c r="C1252" t="str">
        <f>IF($N1252="","",INDEX('_calc'!$A$2:$A$3001,$N1252))</f>
        <v/>
      </c>
      <c r="D1252" s="25" t="str">
        <f>IF($N1252="","",INDEX('_calc'!$C$2:$C$3001,$N1252))</f>
        <v/>
      </c>
      <c r="E1252" s="25" t="str">
        <f>IF($N1252="","",INDEX('_calc'!$D$2:$D$3001,$N1252))</f>
        <v/>
      </c>
      <c r="F1252" s="26" t="str">
        <f>IF($N1252="","",IF($E$8=0,"",E1252/$E$8))</f>
        <v/>
      </c>
      <c r="G1252" s="25" t="str">
        <f>IF($N1252="","",INDEX('_calc'!$E$2:$E$3001,$N1252))</f>
        <v/>
      </c>
      <c r="H1252" s="25" t="str">
        <f>IF($N1252="","",INDEX('_calc'!$F$2:$F$3001,$N1252))</f>
        <v/>
      </c>
      <c r="I1252" s="27" t="str">
        <f>IF($N1252="","",INDEX('_calc'!$H$2:$H$3001,$N1252))</f>
        <v/>
      </c>
      <c r="J1252" s="27" t="str">
        <f>IF($N1252="","",INDEX('_calc'!$I$2:$I$3001,$N1252))</f>
        <v/>
      </c>
      <c r="K1252" s="28" t="str">
        <f>IF($N1252="","",IF(OR(I1252="",J1252=""),"",J1252-I1252))</f>
        <v/>
      </c>
      <c r="L1252" s="29" t="str">
        <f>IF($N1252="","",INDEX('_calc'!$J$2:$J$3001,$N1252))</f>
        <v/>
      </c>
      <c r="M1252" s="2" t="str">
        <f>IF($N1252="","",IF(AND(G1252=0,H1252=0),"수량 없음",IF(G1252=0,"신규 (전년 수량 없음)",IF(H1252=0,"당해 수량 없음",""))))</f>
        <v/>
      </c>
      <c r="N1252" t="str">
        <f>IF($B1252="","",MATCH($B1252,'_calc'!$L$2:$L$3001,0))</f>
        <v/>
      </c>
    </row>
    <row r="1253">
      <c r="B1253" s="24" t="str">
        <f>IF(ROW()-ROW($B$8)&gt;nComp,"",ROW()-ROW($B$8))</f>
        <v/>
      </c>
      <c r="C1253" t="str">
        <f>IF($N1253="","",INDEX('_calc'!$A$2:$A$3001,$N1253))</f>
        <v/>
      </c>
      <c r="D1253" s="25" t="str">
        <f>IF($N1253="","",INDEX('_calc'!$C$2:$C$3001,$N1253))</f>
        <v/>
      </c>
      <c r="E1253" s="25" t="str">
        <f>IF($N1253="","",INDEX('_calc'!$D$2:$D$3001,$N1253))</f>
        <v/>
      </c>
      <c r="F1253" s="26" t="str">
        <f>IF($N1253="","",IF($E$8=0,"",E1253/$E$8))</f>
        <v/>
      </c>
      <c r="G1253" s="25" t="str">
        <f>IF($N1253="","",INDEX('_calc'!$E$2:$E$3001,$N1253))</f>
        <v/>
      </c>
      <c r="H1253" s="25" t="str">
        <f>IF($N1253="","",INDEX('_calc'!$F$2:$F$3001,$N1253))</f>
        <v/>
      </c>
      <c r="I1253" s="27" t="str">
        <f>IF($N1253="","",INDEX('_calc'!$H$2:$H$3001,$N1253))</f>
        <v/>
      </c>
      <c r="J1253" s="27" t="str">
        <f>IF($N1253="","",INDEX('_calc'!$I$2:$I$3001,$N1253))</f>
        <v/>
      </c>
      <c r="K1253" s="28" t="str">
        <f>IF($N1253="","",IF(OR(I1253="",J1253=""),"",J1253-I1253))</f>
        <v/>
      </c>
      <c r="L1253" s="29" t="str">
        <f>IF($N1253="","",INDEX('_calc'!$J$2:$J$3001,$N1253))</f>
        <v/>
      </c>
      <c r="M1253" s="2" t="str">
        <f>IF($N1253="","",IF(AND(G1253=0,H1253=0),"수량 없음",IF(G1253=0,"신규 (전년 수량 없음)",IF(H1253=0,"당해 수량 없음",""))))</f>
        <v/>
      </c>
      <c r="N1253" t="str">
        <f>IF($B1253="","",MATCH($B1253,'_calc'!$L$2:$L$3001,0))</f>
        <v/>
      </c>
    </row>
    <row r="1254">
      <c r="B1254" s="24" t="str">
        <f>IF(ROW()-ROW($B$8)&gt;nComp,"",ROW()-ROW($B$8))</f>
        <v/>
      </c>
      <c r="C1254" t="str">
        <f>IF($N1254="","",INDEX('_calc'!$A$2:$A$3001,$N1254))</f>
        <v/>
      </c>
      <c r="D1254" s="25" t="str">
        <f>IF($N1254="","",INDEX('_calc'!$C$2:$C$3001,$N1254))</f>
        <v/>
      </c>
      <c r="E1254" s="25" t="str">
        <f>IF($N1254="","",INDEX('_calc'!$D$2:$D$3001,$N1254))</f>
        <v/>
      </c>
      <c r="F1254" s="26" t="str">
        <f>IF($N1254="","",IF($E$8=0,"",E1254/$E$8))</f>
        <v/>
      </c>
      <c r="G1254" s="25" t="str">
        <f>IF($N1254="","",INDEX('_calc'!$E$2:$E$3001,$N1254))</f>
        <v/>
      </c>
      <c r="H1254" s="25" t="str">
        <f>IF($N1254="","",INDEX('_calc'!$F$2:$F$3001,$N1254))</f>
        <v/>
      </c>
      <c r="I1254" s="27" t="str">
        <f>IF($N1254="","",INDEX('_calc'!$H$2:$H$3001,$N1254))</f>
        <v/>
      </c>
      <c r="J1254" s="27" t="str">
        <f>IF($N1254="","",INDEX('_calc'!$I$2:$I$3001,$N1254))</f>
        <v/>
      </c>
      <c r="K1254" s="28" t="str">
        <f>IF($N1254="","",IF(OR(I1254="",J1254=""),"",J1254-I1254))</f>
        <v/>
      </c>
      <c r="L1254" s="29" t="str">
        <f>IF($N1254="","",INDEX('_calc'!$J$2:$J$3001,$N1254))</f>
        <v/>
      </c>
      <c r="M1254" s="2" t="str">
        <f>IF($N1254="","",IF(AND(G1254=0,H1254=0),"수량 없음",IF(G1254=0,"신규 (전년 수량 없음)",IF(H1254=0,"당해 수량 없음",""))))</f>
        <v/>
      </c>
      <c r="N1254" t="str">
        <f>IF($B1254="","",MATCH($B1254,'_calc'!$L$2:$L$3001,0))</f>
        <v/>
      </c>
    </row>
    <row r="1255">
      <c r="B1255" s="24" t="str">
        <f>IF(ROW()-ROW($B$8)&gt;nComp,"",ROW()-ROW($B$8))</f>
        <v/>
      </c>
      <c r="C1255" t="str">
        <f>IF($N1255="","",INDEX('_calc'!$A$2:$A$3001,$N1255))</f>
        <v/>
      </c>
      <c r="D1255" s="25" t="str">
        <f>IF($N1255="","",INDEX('_calc'!$C$2:$C$3001,$N1255))</f>
        <v/>
      </c>
      <c r="E1255" s="25" t="str">
        <f>IF($N1255="","",INDEX('_calc'!$D$2:$D$3001,$N1255))</f>
        <v/>
      </c>
      <c r="F1255" s="26" t="str">
        <f>IF($N1255="","",IF($E$8=0,"",E1255/$E$8))</f>
        <v/>
      </c>
      <c r="G1255" s="25" t="str">
        <f>IF($N1255="","",INDEX('_calc'!$E$2:$E$3001,$N1255))</f>
        <v/>
      </c>
      <c r="H1255" s="25" t="str">
        <f>IF($N1255="","",INDEX('_calc'!$F$2:$F$3001,$N1255))</f>
        <v/>
      </c>
      <c r="I1255" s="27" t="str">
        <f>IF($N1255="","",INDEX('_calc'!$H$2:$H$3001,$N1255))</f>
        <v/>
      </c>
      <c r="J1255" s="27" t="str">
        <f>IF($N1255="","",INDEX('_calc'!$I$2:$I$3001,$N1255))</f>
        <v/>
      </c>
      <c r="K1255" s="28" t="str">
        <f>IF($N1255="","",IF(OR(I1255="",J1255=""),"",J1255-I1255))</f>
        <v/>
      </c>
      <c r="L1255" s="29" t="str">
        <f>IF($N1255="","",INDEX('_calc'!$J$2:$J$3001,$N1255))</f>
        <v/>
      </c>
      <c r="M1255" s="2" t="str">
        <f>IF($N1255="","",IF(AND(G1255=0,H1255=0),"수량 없음",IF(G1255=0,"신규 (전년 수량 없음)",IF(H1255=0,"당해 수량 없음",""))))</f>
        <v/>
      </c>
      <c r="N1255" t="str">
        <f>IF($B1255="","",MATCH($B1255,'_calc'!$L$2:$L$3001,0))</f>
        <v/>
      </c>
    </row>
    <row r="1256">
      <c r="B1256" s="24" t="str">
        <f>IF(ROW()-ROW($B$8)&gt;nComp,"",ROW()-ROW($B$8))</f>
        <v/>
      </c>
      <c r="C1256" t="str">
        <f>IF($N1256="","",INDEX('_calc'!$A$2:$A$3001,$N1256))</f>
        <v/>
      </c>
      <c r="D1256" s="25" t="str">
        <f>IF($N1256="","",INDEX('_calc'!$C$2:$C$3001,$N1256))</f>
        <v/>
      </c>
      <c r="E1256" s="25" t="str">
        <f>IF($N1256="","",INDEX('_calc'!$D$2:$D$3001,$N1256))</f>
        <v/>
      </c>
      <c r="F1256" s="26" t="str">
        <f>IF($N1256="","",IF($E$8=0,"",E1256/$E$8))</f>
        <v/>
      </c>
      <c r="G1256" s="25" t="str">
        <f>IF($N1256="","",INDEX('_calc'!$E$2:$E$3001,$N1256))</f>
        <v/>
      </c>
      <c r="H1256" s="25" t="str">
        <f>IF($N1256="","",INDEX('_calc'!$F$2:$F$3001,$N1256))</f>
        <v/>
      </c>
      <c r="I1256" s="27" t="str">
        <f>IF($N1256="","",INDEX('_calc'!$H$2:$H$3001,$N1256))</f>
        <v/>
      </c>
      <c r="J1256" s="27" t="str">
        <f>IF($N1256="","",INDEX('_calc'!$I$2:$I$3001,$N1256))</f>
        <v/>
      </c>
      <c r="K1256" s="28" t="str">
        <f>IF($N1256="","",IF(OR(I1256="",J1256=""),"",J1256-I1256))</f>
        <v/>
      </c>
      <c r="L1256" s="29" t="str">
        <f>IF($N1256="","",INDEX('_calc'!$J$2:$J$3001,$N1256))</f>
        <v/>
      </c>
      <c r="M1256" s="2" t="str">
        <f>IF($N1256="","",IF(AND(G1256=0,H1256=0),"수량 없음",IF(G1256=0,"신규 (전년 수량 없음)",IF(H1256=0,"당해 수량 없음",""))))</f>
        <v/>
      </c>
      <c r="N1256" t="str">
        <f>IF($B1256="","",MATCH($B1256,'_calc'!$L$2:$L$3001,0))</f>
        <v/>
      </c>
    </row>
    <row r="1257">
      <c r="B1257" s="24" t="str">
        <f>IF(ROW()-ROW($B$8)&gt;nComp,"",ROW()-ROW($B$8))</f>
        <v/>
      </c>
      <c r="C1257" t="str">
        <f>IF($N1257="","",INDEX('_calc'!$A$2:$A$3001,$N1257))</f>
        <v/>
      </c>
      <c r="D1257" s="25" t="str">
        <f>IF($N1257="","",INDEX('_calc'!$C$2:$C$3001,$N1257))</f>
        <v/>
      </c>
      <c r="E1257" s="25" t="str">
        <f>IF($N1257="","",INDEX('_calc'!$D$2:$D$3001,$N1257))</f>
        <v/>
      </c>
      <c r="F1257" s="26" t="str">
        <f>IF($N1257="","",IF($E$8=0,"",E1257/$E$8))</f>
        <v/>
      </c>
      <c r="G1257" s="25" t="str">
        <f>IF($N1257="","",INDEX('_calc'!$E$2:$E$3001,$N1257))</f>
        <v/>
      </c>
      <c r="H1257" s="25" t="str">
        <f>IF($N1257="","",INDEX('_calc'!$F$2:$F$3001,$N1257))</f>
        <v/>
      </c>
      <c r="I1257" s="27" t="str">
        <f>IF($N1257="","",INDEX('_calc'!$H$2:$H$3001,$N1257))</f>
        <v/>
      </c>
      <c r="J1257" s="27" t="str">
        <f>IF($N1257="","",INDEX('_calc'!$I$2:$I$3001,$N1257))</f>
        <v/>
      </c>
      <c r="K1257" s="28" t="str">
        <f>IF($N1257="","",IF(OR(I1257="",J1257=""),"",J1257-I1257))</f>
        <v/>
      </c>
      <c r="L1257" s="29" t="str">
        <f>IF($N1257="","",INDEX('_calc'!$J$2:$J$3001,$N1257))</f>
        <v/>
      </c>
      <c r="M1257" s="2" t="str">
        <f>IF($N1257="","",IF(AND(G1257=0,H1257=0),"수량 없음",IF(G1257=0,"신규 (전년 수량 없음)",IF(H1257=0,"당해 수량 없음",""))))</f>
        <v/>
      </c>
      <c r="N1257" t="str">
        <f>IF($B1257="","",MATCH($B1257,'_calc'!$L$2:$L$3001,0))</f>
        <v/>
      </c>
    </row>
    <row r="1258">
      <c r="B1258" s="24" t="str">
        <f>IF(ROW()-ROW($B$8)&gt;nComp,"",ROW()-ROW($B$8))</f>
        <v/>
      </c>
      <c r="C1258" t="str">
        <f>IF($N1258="","",INDEX('_calc'!$A$2:$A$3001,$N1258))</f>
        <v/>
      </c>
      <c r="D1258" s="25" t="str">
        <f>IF($N1258="","",INDEX('_calc'!$C$2:$C$3001,$N1258))</f>
        <v/>
      </c>
      <c r="E1258" s="25" t="str">
        <f>IF($N1258="","",INDEX('_calc'!$D$2:$D$3001,$N1258))</f>
        <v/>
      </c>
      <c r="F1258" s="26" t="str">
        <f>IF($N1258="","",IF($E$8=0,"",E1258/$E$8))</f>
        <v/>
      </c>
      <c r="G1258" s="25" t="str">
        <f>IF($N1258="","",INDEX('_calc'!$E$2:$E$3001,$N1258))</f>
        <v/>
      </c>
      <c r="H1258" s="25" t="str">
        <f>IF($N1258="","",INDEX('_calc'!$F$2:$F$3001,$N1258))</f>
        <v/>
      </c>
      <c r="I1258" s="27" t="str">
        <f>IF($N1258="","",INDEX('_calc'!$H$2:$H$3001,$N1258))</f>
        <v/>
      </c>
      <c r="J1258" s="27" t="str">
        <f>IF($N1258="","",INDEX('_calc'!$I$2:$I$3001,$N1258))</f>
        <v/>
      </c>
      <c r="K1258" s="28" t="str">
        <f>IF($N1258="","",IF(OR(I1258="",J1258=""),"",J1258-I1258))</f>
        <v/>
      </c>
      <c r="L1258" s="29" t="str">
        <f>IF($N1258="","",INDEX('_calc'!$J$2:$J$3001,$N1258))</f>
        <v/>
      </c>
      <c r="M1258" s="2" t="str">
        <f>IF($N1258="","",IF(AND(G1258=0,H1258=0),"수량 없음",IF(G1258=0,"신규 (전년 수량 없음)",IF(H1258=0,"당해 수량 없음",""))))</f>
        <v/>
      </c>
      <c r="N1258" t="str">
        <f>IF($B1258="","",MATCH($B1258,'_calc'!$L$2:$L$3001,0))</f>
        <v/>
      </c>
    </row>
    <row r="1259">
      <c r="B1259" s="24" t="str">
        <f>IF(ROW()-ROW($B$8)&gt;nComp,"",ROW()-ROW($B$8))</f>
        <v/>
      </c>
      <c r="C1259" t="str">
        <f>IF($N1259="","",INDEX('_calc'!$A$2:$A$3001,$N1259))</f>
        <v/>
      </c>
      <c r="D1259" s="25" t="str">
        <f>IF($N1259="","",INDEX('_calc'!$C$2:$C$3001,$N1259))</f>
        <v/>
      </c>
      <c r="E1259" s="25" t="str">
        <f>IF($N1259="","",INDEX('_calc'!$D$2:$D$3001,$N1259))</f>
        <v/>
      </c>
      <c r="F1259" s="26" t="str">
        <f>IF($N1259="","",IF($E$8=0,"",E1259/$E$8))</f>
        <v/>
      </c>
      <c r="G1259" s="25" t="str">
        <f>IF($N1259="","",INDEX('_calc'!$E$2:$E$3001,$N1259))</f>
        <v/>
      </c>
      <c r="H1259" s="25" t="str">
        <f>IF($N1259="","",INDEX('_calc'!$F$2:$F$3001,$N1259))</f>
        <v/>
      </c>
      <c r="I1259" s="27" t="str">
        <f>IF($N1259="","",INDEX('_calc'!$H$2:$H$3001,$N1259))</f>
        <v/>
      </c>
      <c r="J1259" s="27" t="str">
        <f>IF($N1259="","",INDEX('_calc'!$I$2:$I$3001,$N1259))</f>
        <v/>
      </c>
      <c r="K1259" s="28" t="str">
        <f>IF($N1259="","",IF(OR(I1259="",J1259=""),"",J1259-I1259))</f>
        <v/>
      </c>
      <c r="L1259" s="29" t="str">
        <f>IF($N1259="","",INDEX('_calc'!$J$2:$J$3001,$N1259))</f>
        <v/>
      </c>
      <c r="M1259" s="2" t="str">
        <f>IF($N1259="","",IF(AND(G1259=0,H1259=0),"수량 없음",IF(G1259=0,"신규 (전년 수량 없음)",IF(H1259=0,"당해 수량 없음",""))))</f>
        <v/>
      </c>
      <c r="N1259" t="str">
        <f>IF($B1259="","",MATCH($B1259,'_calc'!$L$2:$L$3001,0))</f>
        <v/>
      </c>
    </row>
    <row r="1260">
      <c r="B1260" s="24" t="str">
        <f>IF(ROW()-ROW($B$8)&gt;nComp,"",ROW()-ROW($B$8))</f>
        <v/>
      </c>
      <c r="C1260" t="str">
        <f>IF($N1260="","",INDEX('_calc'!$A$2:$A$3001,$N1260))</f>
        <v/>
      </c>
      <c r="D1260" s="25" t="str">
        <f>IF($N1260="","",INDEX('_calc'!$C$2:$C$3001,$N1260))</f>
        <v/>
      </c>
      <c r="E1260" s="25" t="str">
        <f>IF($N1260="","",INDEX('_calc'!$D$2:$D$3001,$N1260))</f>
        <v/>
      </c>
      <c r="F1260" s="26" t="str">
        <f>IF($N1260="","",IF($E$8=0,"",E1260/$E$8))</f>
        <v/>
      </c>
      <c r="G1260" s="25" t="str">
        <f>IF($N1260="","",INDEX('_calc'!$E$2:$E$3001,$N1260))</f>
        <v/>
      </c>
      <c r="H1260" s="25" t="str">
        <f>IF($N1260="","",INDEX('_calc'!$F$2:$F$3001,$N1260))</f>
        <v/>
      </c>
      <c r="I1260" s="27" t="str">
        <f>IF($N1260="","",INDEX('_calc'!$H$2:$H$3001,$N1260))</f>
        <v/>
      </c>
      <c r="J1260" s="27" t="str">
        <f>IF($N1260="","",INDEX('_calc'!$I$2:$I$3001,$N1260))</f>
        <v/>
      </c>
      <c r="K1260" s="28" t="str">
        <f>IF($N1260="","",IF(OR(I1260="",J1260=""),"",J1260-I1260))</f>
        <v/>
      </c>
      <c r="L1260" s="29" t="str">
        <f>IF($N1260="","",INDEX('_calc'!$J$2:$J$3001,$N1260))</f>
        <v/>
      </c>
      <c r="M1260" s="2" t="str">
        <f>IF($N1260="","",IF(AND(G1260=0,H1260=0),"수량 없음",IF(G1260=0,"신규 (전년 수량 없음)",IF(H1260=0,"당해 수량 없음",""))))</f>
        <v/>
      </c>
      <c r="N1260" t="str">
        <f>IF($B1260="","",MATCH($B1260,'_calc'!$L$2:$L$3001,0))</f>
        <v/>
      </c>
    </row>
    <row r="1261">
      <c r="B1261" s="24" t="str">
        <f>IF(ROW()-ROW($B$8)&gt;nComp,"",ROW()-ROW($B$8))</f>
        <v/>
      </c>
      <c r="C1261" t="str">
        <f>IF($N1261="","",INDEX('_calc'!$A$2:$A$3001,$N1261))</f>
        <v/>
      </c>
      <c r="D1261" s="25" t="str">
        <f>IF($N1261="","",INDEX('_calc'!$C$2:$C$3001,$N1261))</f>
        <v/>
      </c>
      <c r="E1261" s="25" t="str">
        <f>IF($N1261="","",INDEX('_calc'!$D$2:$D$3001,$N1261))</f>
        <v/>
      </c>
      <c r="F1261" s="26" t="str">
        <f>IF($N1261="","",IF($E$8=0,"",E1261/$E$8))</f>
        <v/>
      </c>
      <c r="G1261" s="25" t="str">
        <f>IF($N1261="","",INDEX('_calc'!$E$2:$E$3001,$N1261))</f>
        <v/>
      </c>
      <c r="H1261" s="25" t="str">
        <f>IF($N1261="","",INDEX('_calc'!$F$2:$F$3001,$N1261))</f>
        <v/>
      </c>
      <c r="I1261" s="27" t="str">
        <f>IF($N1261="","",INDEX('_calc'!$H$2:$H$3001,$N1261))</f>
        <v/>
      </c>
      <c r="J1261" s="27" t="str">
        <f>IF($N1261="","",INDEX('_calc'!$I$2:$I$3001,$N1261))</f>
        <v/>
      </c>
      <c r="K1261" s="28" t="str">
        <f>IF($N1261="","",IF(OR(I1261="",J1261=""),"",J1261-I1261))</f>
        <v/>
      </c>
      <c r="L1261" s="29" t="str">
        <f>IF($N1261="","",INDEX('_calc'!$J$2:$J$3001,$N1261))</f>
        <v/>
      </c>
      <c r="M1261" s="2" t="str">
        <f>IF($N1261="","",IF(AND(G1261=0,H1261=0),"수량 없음",IF(G1261=0,"신규 (전년 수량 없음)",IF(H1261=0,"당해 수량 없음",""))))</f>
        <v/>
      </c>
      <c r="N1261" t="str">
        <f>IF($B1261="","",MATCH($B1261,'_calc'!$L$2:$L$3001,0))</f>
        <v/>
      </c>
    </row>
    <row r="1262">
      <c r="B1262" s="24" t="str">
        <f>IF(ROW()-ROW($B$8)&gt;nComp,"",ROW()-ROW($B$8))</f>
        <v/>
      </c>
      <c r="C1262" t="str">
        <f>IF($N1262="","",INDEX('_calc'!$A$2:$A$3001,$N1262))</f>
        <v/>
      </c>
      <c r="D1262" s="25" t="str">
        <f>IF($N1262="","",INDEX('_calc'!$C$2:$C$3001,$N1262))</f>
        <v/>
      </c>
      <c r="E1262" s="25" t="str">
        <f>IF($N1262="","",INDEX('_calc'!$D$2:$D$3001,$N1262))</f>
        <v/>
      </c>
      <c r="F1262" s="26" t="str">
        <f>IF($N1262="","",IF($E$8=0,"",E1262/$E$8))</f>
        <v/>
      </c>
      <c r="G1262" s="25" t="str">
        <f>IF($N1262="","",INDEX('_calc'!$E$2:$E$3001,$N1262))</f>
        <v/>
      </c>
      <c r="H1262" s="25" t="str">
        <f>IF($N1262="","",INDEX('_calc'!$F$2:$F$3001,$N1262))</f>
        <v/>
      </c>
      <c r="I1262" s="27" t="str">
        <f>IF($N1262="","",INDEX('_calc'!$H$2:$H$3001,$N1262))</f>
        <v/>
      </c>
      <c r="J1262" s="27" t="str">
        <f>IF($N1262="","",INDEX('_calc'!$I$2:$I$3001,$N1262))</f>
        <v/>
      </c>
      <c r="K1262" s="28" t="str">
        <f>IF($N1262="","",IF(OR(I1262="",J1262=""),"",J1262-I1262))</f>
        <v/>
      </c>
      <c r="L1262" s="29" t="str">
        <f>IF($N1262="","",INDEX('_calc'!$J$2:$J$3001,$N1262))</f>
        <v/>
      </c>
      <c r="M1262" s="2" t="str">
        <f>IF($N1262="","",IF(AND(G1262=0,H1262=0),"수량 없음",IF(G1262=0,"신규 (전년 수량 없음)",IF(H1262=0,"당해 수량 없음",""))))</f>
        <v/>
      </c>
      <c r="N1262" t="str">
        <f>IF($B1262="","",MATCH($B1262,'_calc'!$L$2:$L$3001,0))</f>
        <v/>
      </c>
    </row>
    <row r="1263">
      <c r="B1263" s="24" t="str">
        <f>IF(ROW()-ROW($B$8)&gt;nComp,"",ROW()-ROW($B$8))</f>
        <v/>
      </c>
      <c r="C1263" t="str">
        <f>IF($N1263="","",INDEX('_calc'!$A$2:$A$3001,$N1263))</f>
        <v/>
      </c>
      <c r="D1263" s="25" t="str">
        <f>IF($N1263="","",INDEX('_calc'!$C$2:$C$3001,$N1263))</f>
        <v/>
      </c>
      <c r="E1263" s="25" t="str">
        <f>IF($N1263="","",INDEX('_calc'!$D$2:$D$3001,$N1263))</f>
        <v/>
      </c>
      <c r="F1263" s="26" t="str">
        <f>IF($N1263="","",IF($E$8=0,"",E1263/$E$8))</f>
        <v/>
      </c>
      <c r="G1263" s="25" t="str">
        <f>IF($N1263="","",INDEX('_calc'!$E$2:$E$3001,$N1263))</f>
        <v/>
      </c>
      <c r="H1263" s="25" t="str">
        <f>IF($N1263="","",INDEX('_calc'!$F$2:$F$3001,$N1263))</f>
        <v/>
      </c>
      <c r="I1263" s="27" t="str">
        <f>IF($N1263="","",INDEX('_calc'!$H$2:$H$3001,$N1263))</f>
        <v/>
      </c>
      <c r="J1263" s="27" t="str">
        <f>IF($N1263="","",INDEX('_calc'!$I$2:$I$3001,$N1263))</f>
        <v/>
      </c>
      <c r="K1263" s="28" t="str">
        <f>IF($N1263="","",IF(OR(I1263="",J1263=""),"",J1263-I1263))</f>
        <v/>
      </c>
      <c r="L1263" s="29" t="str">
        <f>IF($N1263="","",INDEX('_calc'!$J$2:$J$3001,$N1263))</f>
        <v/>
      </c>
      <c r="M1263" s="2" t="str">
        <f>IF($N1263="","",IF(AND(G1263=0,H1263=0),"수량 없음",IF(G1263=0,"신규 (전년 수량 없음)",IF(H1263=0,"당해 수량 없음",""))))</f>
        <v/>
      </c>
      <c r="N1263" t="str">
        <f>IF($B1263="","",MATCH($B1263,'_calc'!$L$2:$L$3001,0))</f>
        <v/>
      </c>
    </row>
    <row r="1264">
      <c r="B1264" s="24" t="str">
        <f>IF(ROW()-ROW($B$8)&gt;nComp,"",ROW()-ROW($B$8))</f>
        <v/>
      </c>
      <c r="C1264" t="str">
        <f>IF($N1264="","",INDEX('_calc'!$A$2:$A$3001,$N1264))</f>
        <v/>
      </c>
      <c r="D1264" s="25" t="str">
        <f>IF($N1264="","",INDEX('_calc'!$C$2:$C$3001,$N1264))</f>
        <v/>
      </c>
      <c r="E1264" s="25" t="str">
        <f>IF($N1264="","",INDEX('_calc'!$D$2:$D$3001,$N1264))</f>
        <v/>
      </c>
      <c r="F1264" s="26" t="str">
        <f>IF($N1264="","",IF($E$8=0,"",E1264/$E$8))</f>
        <v/>
      </c>
      <c r="G1264" s="25" t="str">
        <f>IF($N1264="","",INDEX('_calc'!$E$2:$E$3001,$N1264))</f>
        <v/>
      </c>
      <c r="H1264" s="25" t="str">
        <f>IF($N1264="","",INDEX('_calc'!$F$2:$F$3001,$N1264))</f>
        <v/>
      </c>
      <c r="I1264" s="27" t="str">
        <f>IF($N1264="","",INDEX('_calc'!$H$2:$H$3001,$N1264))</f>
        <v/>
      </c>
      <c r="J1264" s="27" t="str">
        <f>IF($N1264="","",INDEX('_calc'!$I$2:$I$3001,$N1264))</f>
        <v/>
      </c>
      <c r="K1264" s="28" t="str">
        <f>IF($N1264="","",IF(OR(I1264="",J1264=""),"",J1264-I1264))</f>
        <v/>
      </c>
      <c r="L1264" s="29" t="str">
        <f>IF($N1264="","",INDEX('_calc'!$J$2:$J$3001,$N1264))</f>
        <v/>
      </c>
      <c r="M1264" s="2" t="str">
        <f>IF($N1264="","",IF(AND(G1264=0,H1264=0),"수량 없음",IF(G1264=0,"신규 (전년 수량 없음)",IF(H1264=0,"당해 수량 없음",""))))</f>
        <v/>
      </c>
      <c r="N1264" t="str">
        <f>IF($B1264="","",MATCH($B1264,'_calc'!$L$2:$L$3001,0))</f>
        <v/>
      </c>
    </row>
    <row r="1265">
      <c r="B1265" s="24" t="str">
        <f>IF(ROW()-ROW($B$8)&gt;nComp,"",ROW()-ROW($B$8))</f>
        <v/>
      </c>
      <c r="C1265" t="str">
        <f>IF($N1265="","",INDEX('_calc'!$A$2:$A$3001,$N1265))</f>
        <v/>
      </c>
      <c r="D1265" s="25" t="str">
        <f>IF($N1265="","",INDEX('_calc'!$C$2:$C$3001,$N1265))</f>
        <v/>
      </c>
      <c r="E1265" s="25" t="str">
        <f>IF($N1265="","",INDEX('_calc'!$D$2:$D$3001,$N1265))</f>
        <v/>
      </c>
      <c r="F1265" s="26" t="str">
        <f>IF($N1265="","",IF($E$8=0,"",E1265/$E$8))</f>
        <v/>
      </c>
      <c r="G1265" s="25" t="str">
        <f>IF($N1265="","",INDEX('_calc'!$E$2:$E$3001,$N1265))</f>
        <v/>
      </c>
      <c r="H1265" s="25" t="str">
        <f>IF($N1265="","",INDEX('_calc'!$F$2:$F$3001,$N1265))</f>
        <v/>
      </c>
      <c r="I1265" s="27" t="str">
        <f>IF($N1265="","",INDEX('_calc'!$H$2:$H$3001,$N1265))</f>
        <v/>
      </c>
      <c r="J1265" s="27" t="str">
        <f>IF($N1265="","",INDEX('_calc'!$I$2:$I$3001,$N1265))</f>
        <v/>
      </c>
      <c r="K1265" s="28" t="str">
        <f>IF($N1265="","",IF(OR(I1265="",J1265=""),"",J1265-I1265))</f>
        <v/>
      </c>
      <c r="L1265" s="29" t="str">
        <f>IF($N1265="","",INDEX('_calc'!$J$2:$J$3001,$N1265))</f>
        <v/>
      </c>
      <c r="M1265" s="2" t="str">
        <f>IF($N1265="","",IF(AND(G1265=0,H1265=0),"수량 없음",IF(G1265=0,"신규 (전년 수량 없음)",IF(H1265=0,"당해 수량 없음",""))))</f>
        <v/>
      </c>
      <c r="N1265" t="str">
        <f>IF($B1265="","",MATCH($B1265,'_calc'!$L$2:$L$3001,0))</f>
        <v/>
      </c>
    </row>
    <row r="1266">
      <c r="B1266" s="24" t="str">
        <f>IF(ROW()-ROW($B$8)&gt;nComp,"",ROW()-ROW($B$8))</f>
        <v/>
      </c>
      <c r="C1266" t="str">
        <f>IF($N1266="","",INDEX('_calc'!$A$2:$A$3001,$N1266))</f>
        <v/>
      </c>
      <c r="D1266" s="25" t="str">
        <f>IF($N1266="","",INDEX('_calc'!$C$2:$C$3001,$N1266))</f>
        <v/>
      </c>
      <c r="E1266" s="25" t="str">
        <f>IF($N1266="","",INDEX('_calc'!$D$2:$D$3001,$N1266))</f>
        <v/>
      </c>
      <c r="F1266" s="26" t="str">
        <f>IF($N1266="","",IF($E$8=0,"",E1266/$E$8))</f>
        <v/>
      </c>
      <c r="G1266" s="25" t="str">
        <f>IF($N1266="","",INDEX('_calc'!$E$2:$E$3001,$N1266))</f>
        <v/>
      </c>
      <c r="H1266" s="25" t="str">
        <f>IF($N1266="","",INDEX('_calc'!$F$2:$F$3001,$N1266))</f>
        <v/>
      </c>
      <c r="I1266" s="27" t="str">
        <f>IF($N1266="","",INDEX('_calc'!$H$2:$H$3001,$N1266))</f>
        <v/>
      </c>
      <c r="J1266" s="27" t="str">
        <f>IF($N1266="","",INDEX('_calc'!$I$2:$I$3001,$N1266))</f>
        <v/>
      </c>
      <c r="K1266" s="28" t="str">
        <f>IF($N1266="","",IF(OR(I1266="",J1266=""),"",J1266-I1266))</f>
        <v/>
      </c>
      <c r="L1266" s="29" t="str">
        <f>IF($N1266="","",INDEX('_calc'!$J$2:$J$3001,$N1266))</f>
        <v/>
      </c>
      <c r="M1266" s="2" t="str">
        <f>IF($N1266="","",IF(AND(G1266=0,H1266=0),"수량 없음",IF(G1266=0,"신규 (전년 수량 없음)",IF(H1266=0,"당해 수량 없음",""))))</f>
        <v/>
      </c>
      <c r="N1266" t="str">
        <f>IF($B1266="","",MATCH($B1266,'_calc'!$L$2:$L$3001,0))</f>
        <v/>
      </c>
    </row>
    <row r="1267">
      <c r="B1267" s="24" t="str">
        <f>IF(ROW()-ROW($B$8)&gt;nComp,"",ROW()-ROW($B$8))</f>
        <v/>
      </c>
      <c r="C1267" t="str">
        <f>IF($N1267="","",INDEX('_calc'!$A$2:$A$3001,$N1267))</f>
        <v/>
      </c>
      <c r="D1267" s="25" t="str">
        <f>IF($N1267="","",INDEX('_calc'!$C$2:$C$3001,$N1267))</f>
        <v/>
      </c>
      <c r="E1267" s="25" t="str">
        <f>IF($N1267="","",INDEX('_calc'!$D$2:$D$3001,$N1267))</f>
        <v/>
      </c>
      <c r="F1267" s="26" t="str">
        <f>IF($N1267="","",IF($E$8=0,"",E1267/$E$8))</f>
        <v/>
      </c>
      <c r="G1267" s="25" t="str">
        <f>IF($N1267="","",INDEX('_calc'!$E$2:$E$3001,$N1267))</f>
        <v/>
      </c>
      <c r="H1267" s="25" t="str">
        <f>IF($N1267="","",INDEX('_calc'!$F$2:$F$3001,$N1267))</f>
        <v/>
      </c>
      <c r="I1267" s="27" t="str">
        <f>IF($N1267="","",INDEX('_calc'!$H$2:$H$3001,$N1267))</f>
        <v/>
      </c>
      <c r="J1267" s="27" t="str">
        <f>IF($N1267="","",INDEX('_calc'!$I$2:$I$3001,$N1267))</f>
        <v/>
      </c>
      <c r="K1267" s="28" t="str">
        <f>IF($N1267="","",IF(OR(I1267="",J1267=""),"",J1267-I1267))</f>
        <v/>
      </c>
      <c r="L1267" s="29" t="str">
        <f>IF($N1267="","",INDEX('_calc'!$J$2:$J$3001,$N1267))</f>
        <v/>
      </c>
      <c r="M1267" s="2" t="str">
        <f>IF($N1267="","",IF(AND(G1267=0,H1267=0),"수량 없음",IF(G1267=0,"신규 (전년 수량 없음)",IF(H1267=0,"당해 수량 없음",""))))</f>
        <v/>
      </c>
      <c r="N1267" t="str">
        <f>IF($B1267="","",MATCH($B1267,'_calc'!$L$2:$L$3001,0))</f>
        <v/>
      </c>
    </row>
    <row r="1268">
      <c r="B1268" s="24" t="str">
        <f>IF(ROW()-ROW($B$8)&gt;nComp,"",ROW()-ROW($B$8))</f>
        <v/>
      </c>
      <c r="C1268" t="str">
        <f>IF($N1268="","",INDEX('_calc'!$A$2:$A$3001,$N1268))</f>
        <v/>
      </c>
      <c r="D1268" s="25" t="str">
        <f>IF($N1268="","",INDEX('_calc'!$C$2:$C$3001,$N1268))</f>
        <v/>
      </c>
      <c r="E1268" s="25" t="str">
        <f>IF($N1268="","",INDEX('_calc'!$D$2:$D$3001,$N1268))</f>
        <v/>
      </c>
      <c r="F1268" s="26" t="str">
        <f>IF($N1268="","",IF($E$8=0,"",E1268/$E$8))</f>
        <v/>
      </c>
      <c r="G1268" s="25" t="str">
        <f>IF($N1268="","",INDEX('_calc'!$E$2:$E$3001,$N1268))</f>
        <v/>
      </c>
      <c r="H1268" s="25" t="str">
        <f>IF($N1268="","",INDEX('_calc'!$F$2:$F$3001,$N1268))</f>
        <v/>
      </c>
      <c r="I1268" s="27" t="str">
        <f>IF($N1268="","",INDEX('_calc'!$H$2:$H$3001,$N1268))</f>
        <v/>
      </c>
      <c r="J1268" s="27" t="str">
        <f>IF($N1268="","",INDEX('_calc'!$I$2:$I$3001,$N1268))</f>
        <v/>
      </c>
      <c r="K1268" s="28" t="str">
        <f>IF($N1268="","",IF(OR(I1268="",J1268=""),"",J1268-I1268))</f>
        <v/>
      </c>
      <c r="L1268" s="29" t="str">
        <f>IF($N1268="","",INDEX('_calc'!$J$2:$J$3001,$N1268))</f>
        <v/>
      </c>
      <c r="M1268" s="2" t="str">
        <f>IF($N1268="","",IF(AND(G1268=0,H1268=0),"수량 없음",IF(G1268=0,"신규 (전년 수량 없음)",IF(H1268=0,"당해 수량 없음",""))))</f>
        <v/>
      </c>
      <c r="N1268" t="str">
        <f>IF($B1268="","",MATCH($B1268,'_calc'!$L$2:$L$3001,0))</f>
        <v/>
      </c>
    </row>
    <row r="1269">
      <c r="B1269" s="24" t="str">
        <f>IF(ROW()-ROW($B$8)&gt;nComp,"",ROW()-ROW($B$8))</f>
        <v/>
      </c>
      <c r="C1269" t="str">
        <f>IF($N1269="","",INDEX('_calc'!$A$2:$A$3001,$N1269))</f>
        <v/>
      </c>
      <c r="D1269" s="25" t="str">
        <f>IF($N1269="","",INDEX('_calc'!$C$2:$C$3001,$N1269))</f>
        <v/>
      </c>
      <c r="E1269" s="25" t="str">
        <f>IF($N1269="","",INDEX('_calc'!$D$2:$D$3001,$N1269))</f>
        <v/>
      </c>
      <c r="F1269" s="26" t="str">
        <f>IF($N1269="","",IF($E$8=0,"",E1269/$E$8))</f>
        <v/>
      </c>
      <c r="G1269" s="25" t="str">
        <f>IF($N1269="","",INDEX('_calc'!$E$2:$E$3001,$N1269))</f>
        <v/>
      </c>
      <c r="H1269" s="25" t="str">
        <f>IF($N1269="","",INDEX('_calc'!$F$2:$F$3001,$N1269))</f>
        <v/>
      </c>
      <c r="I1269" s="27" t="str">
        <f>IF($N1269="","",INDEX('_calc'!$H$2:$H$3001,$N1269))</f>
        <v/>
      </c>
      <c r="J1269" s="27" t="str">
        <f>IF($N1269="","",INDEX('_calc'!$I$2:$I$3001,$N1269))</f>
        <v/>
      </c>
      <c r="K1269" s="28" t="str">
        <f>IF($N1269="","",IF(OR(I1269="",J1269=""),"",J1269-I1269))</f>
        <v/>
      </c>
      <c r="L1269" s="29" t="str">
        <f>IF($N1269="","",INDEX('_calc'!$J$2:$J$3001,$N1269))</f>
        <v/>
      </c>
      <c r="M1269" s="2" t="str">
        <f>IF($N1269="","",IF(AND(G1269=0,H1269=0),"수량 없음",IF(G1269=0,"신규 (전년 수량 없음)",IF(H1269=0,"당해 수량 없음",""))))</f>
        <v/>
      </c>
      <c r="N1269" t="str">
        <f>IF($B1269="","",MATCH($B1269,'_calc'!$L$2:$L$3001,0))</f>
        <v/>
      </c>
    </row>
    <row r="1270">
      <c r="B1270" s="24" t="str">
        <f>IF(ROW()-ROW($B$8)&gt;nComp,"",ROW()-ROW($B$8))</f>
        <v/>
      </c>
      <c r="C1270" t="str">
        <f>IF($N1270="","",INDEX('_calc'!$A$2:$A$3001,$N1270))</f>
        <v/>
      </c>
      <c r="D1270" s="25" t="str">
        <f>IF($N1270="","",INDEX('_calc'!$C$2:$C$3001,$N1270))</f>
        <v/>
      </c>
      <c r="E1270" s="25" t="str">
        <f>IF($N1270="","",INDEX('_calc'!$D$2:$D$3001,$N1270))</f>
        <v/>
      </c>
      <c r="F1270" s="26" t="str">
        <f>IF($N1270="","",IF($E$8=0,"",E1270/$E$8))</f>
        <v/>
      </c>
      <c r="G1270" s="25" t="str">
        <f>IF($N1270="","",INDEX('_calc'!$E$2:$E$3001,$N1270))</f>
        <v/>
      </c>
      <c r="H1270" s="25" t="str">
        <f>IF($N1270="","",INDEX('_calc'!$F$2:$F$3001,$N1270))</f>
        <v/>
      </c>
      <c r="I1270" s="27" t="str">
        <f>IF($N1270="","",INDEX('_calc'!$H$2:$H$3001,$N1270))</f>
        <v/>
      </c>
      <c r="J1270" s="27" t="str">
        <f>IF($N1270="","",INDEX('_calc'!$I$2:$I$3001,$N1270))</f>
        <v/>
      </c>
      <c r="K1270" s="28" t="str">
        <f>IF($N1270="","",IF(OR(I1270="",J1270=""),"",J1270-I1270))</f>
        <v/>
      </c>
      <c r="L1270" s="29" t="str">
        <f>IF($N1270="","",INDEX('_calc'!$J$2:$J$3001,$N1270))</f>
        <v/>
      </c>
      <c r="M1270" s="2" t="str">
        <f>IF($N1270="","",IF(AND(G1270=0,H1270=0),"수량 없음",IF(G1270=0,"신규 (전년 수량 없음)",IF(H1270=0,"당해 수량 없음",""))))</f>
        <v/>
      </c>
      <c r="N1270" t="str">
        <f>IF($B1270="","",MATCH($B1270,'_calc'!$L$2:$L$3001,0))</f>
        <v/>
      </c>
    </row>
    <row r="1271">
      <c r="B1271" s="24" t="str">
        <f>IF(ROW()-ROW($B$8)&gt;nComp,"",ROW()-ROW($B$8))</f>
        <v/>
      </c>
      <c r="C1271" t="str">
        <f>IF($N1271="","",INDEX('_calc'!$A$2:$A$3001,$N1271))</f>
        <v/>
      </c>
      <c r="D1271" s="25" t="str">
        <f>IF($N1271="","",INDEX('_calc'!$C$2:$C$3001,$N1271))</f>
        <v/>
      </c>
      <c r="E1271" s="25" t="str">
        <f>IF($N1271="","",INDEX('_calc'!$D$2:$D$3001,$N1271))</f>
        <v/>
      </c>
      <c r="F1271" s="26" t="str">
        <f>IF($N1271="","",IF($E$8=0,"",E1271/$E$8))</f>
        <v/>
      </c>
      <c r="G1271" s="25" t="str">
        <f>IF($N1271="","",INDEX('_calc'!$E$2:$E$3001,$N1271))</f>
        <v/>
      </c>
      <c r="H1271" s="25" t="str">
        <f>IF($N1271="","",INDEX('_calc'!$F$2:$F$3001,$N1271))</f>
        <v/>
      </c>
      <c r="I1271" s="27" t="str">
        <f>IF($N1271="","",INDEX('_calc'!$H$2:$H$3001,$N1271))</f>
        <v/>
      </c>
      <c r="J1271" s="27" t="str">
        <f>IF($N1271="","",INDEX('_calc'!$I$2:$I$3001,$N1271))</f>
        <v/>
      </c>
      <c r="K1271" s="28" t="str">
        <f>IF($N1271="","",IF(OR(I1271="",J1271=""),"",J1271-I1271))</f>
        <v/>
      </c>
      <c r="L1271" s="29" t="str">
        <f>IF($N1271="","",INDEX('_calc'!$J$2:$J$3001,$N1271))</f>
        <v/>
      </c>
      <c r="M1271" s="2" t="str">
        <f>IF($N1271="","",IF(AND(G1271=0,H1271=0),"수량 없음",IF(G1271=0,"신규 (전년 수량 없음)",IF(H1271=0,"당해 수량 없음",""))))</f>
        <v/>
      </c>
      <c r="N1271" t="str">
        <f>IF($B1271="","",MATCH($B1271,'_calc'!$L$2:$L$3001,0))</f>
        <v/>
      </c>
    </row>
    <row r="1272">
      <c r="B1272" s="24" t="str">
        <f>IF(ROW()-ROW($B$8)&gt;nComp,"",ROW()-ROW($B$8))</f>
        <v/>
      </c>
      <c r="C1272" t="str">
        <f>IF($N1272="","",INDEX('_calc'!$A$2:$A$3001,$N1272))</f>
        <v/>
      </c>
      <c r="D1272" s="25" t="str">
        <f>IF($N1272="","",INDEX('_calc'!$C$2:$C$3001,$N1272))</f>
        <v/>
      </c>
      <c r="E1272" s="25" t="str">
        <f>IF($N1272="","",INDEX('_calc'!$D$2:$D$3001,$N1272))</f>
        <v/>
      </c>
      <c r="F1272" s="26" t="str">
        <f>IF($N1272="","",IF($E$8=0,"",E1272/$E$8))</f>
        <v/>
      </c>
      <c r="G1272" s="25" t="str">
        <f>IF($N1272="","",INDEX('_calc'!$E$2:$E$3001,$N1272))</f>
        <v/>
      </c>
      <c r="H1272" s="25" t="str">
        <f>IF($N1272="","",INDEX('_calc'!$F$2:$F$3001,$N1272))</f>
        <v/>
      </c>
      <c r="I1272" s="27" t="str">
        <f>IF($N1272="","",INDEX('_calc'!$H$2:$H$3001,$N1272))</f>
        <v/>
      </c>
      <c r="J1272" s="27" t="str">
        <f>IF($N1272="","",INDEX('_calc'!$I$2:$I$3001,$N1272))</f>
        <v/>
      </c>
      <c r="K1272" s="28" t="str">
        <f>IF($N1272="","",IF(OR(I1272="",J1272=""),"",J1272-I1272))</f>
        <v/>
      </c>
      <c r="L1272" s="29" t="str">
        <f>IF($N1272="","",INDEX('_calc'!$J$2:$J$3001,$N1272))</f>
        <v/>
      </c>
      <c r="M1272" s="2" t="str">
        <f>IF($N1272="","",IF(AND(G1272=0,H1272=0),"수량 없음",IF(G1272=0,"신규 (전년 수량 없음)",IF(H1272=0,"당해 수량 없음",""))))</f>
        <v/>
      </c>
      <c r="N1272" t="str">
        <f>IF($B1272="","",MATCH($B1272,'_calc'!$L$2:$L$3001,0))</f>
        <v/>
      </c>
    </row>
    <row r="1273">
      <c r="B1273" s="24" t="str">
        <f>IF(ROW()-ROW($B$8)&gt;nComp,"",ROW()-ROW($B$8))</f>
        <v/>
      </c>
      <c r="C1273" t="str">
        <f>IF($N1273="","",INDEX('_calc'!$A$2:$A$3001,$N1273))</f>
        <v/>
      </c>
      <c r="D1273" s="25" t="str">
        <f>IF($N1273="","",INDEX('_calc'!$C$2:$C$3001,$N1273))</f>
        <v/>
      </c>
      <c r="E1273" s="25" t="str">
        <f>IF($N1273="","",INDEX('_calc'!$D$2:$D$3001,$N1273))</f>
        <v/>
      </c>
      <c r="F1273" s="26" t="str">
        <f>IF($N1273="","",IF($E$8=0,"",E1273/$E$8))</f>
        <v/>
      </c>
      <c r="G1273" s="25" t="str">
        <f>IF($N1273="","",INDEX('_calc'!$E$2:$E$3001,$N1273))</f>
        <v/>
      </c>
      <c r="H1273" s="25" t="str">
        <f>IF($N1273="","",INDEX('_calc'!$F$2:$F$3001,$N1273))</f>
        <v/>
      </c>
      <c r="I1273" s="27" t="str">
        <f>IF($N1273="","",INDEX('_calc'!$H$2:$H$3001,$N1273))</f>
        <v/>
      </c>
      <c r="J1273" s="27" t="str">
        <f>IF($N1273="","",INDEX('_calc'!$I$2:$I$3001,$N1273))</f>
        <v/>
      </c>
      <c r="K1273" s="28" t="str">
        <f>IF($N1273="","",IF(OR(I1273="",J1273=""),"",J1273-I1273))</f>
        <v/>
      </c>
      <c r="L1273" s="29" t="str">
        <f>IF($N1273="","",INDEX('_calc'!$J$2:$J$3001,$N1273))</f>
        <v/>
      </c>
      <c r="M1273" s="2" t="str">
        <f>IF($N1273="","",IF(AND(G1273=0,H1273=0),"수량 없음",IF(G1273=0,"신규 (전년 수량 없음)",IF(H1273=0,"당해 수량 없음",""))))</f>
        <v/>
      </c>
      <c r="N1273" t="str">
        <f>IF($B1273="","",MATCH($B1273,'_calc'!$L$2:$L$3001,0))</f>
        <v/>
      </c>
    </row>
    <row r="1274">
      <c r="B1274" s="24" t="str">
        <f>IF(ROW()-ROW($B$8)&gt;nComp,"",ROW()-ROW($B$8))</f>
        <v/>
      </c>
      <c r="C1274" t="str">
        <f>IF($N1274="","",INDEX('_calc'!$A$2:$A$3001,$N1274))</f>
        <v/>
      </c>
      <c r="D1274" s="25" t="str">
        <f>IF($N1274="","",INDEX('_calc'!$C$2:$C$3001,$N1274))</f>
        <v/>
      </c>
      <c r="E1274" s="25" t="str">
        <f>IF($N1274="","",INDEX('_calc'!$D$2:$D$3001,$N1274))</f>
        <v/>
      </c>
      <c r="F1274" s="26" t="str">
        <f>IF($N1274="","",IF($E$8=0,"",E1274/$E$8))</f>
        <v/>
      </c>
      <c r="G1274" s="25" t="str">
        <f>IF($N1274="","",INDEX('_calc'!$E$2:$E$3001,$N1274))</f>
        <v/>
      </c>
      <c r="H1274" s="25" t="str">
        <f>IF($N1274="","",INDEX('_calc'!$F$2:$F$3001,$N1274))</f>
        <v/>
      </c>
      <c r="I1274" s="27" t="str">
        <f>IF($N1274="","",INDEX('_calc'!$H$2:$H$3001,$N1274))</f>
        <v/>
      </c>
      <c r="J1274" s="27" t="str">
        <f>IF($N1274="","",INDEX('_calc'!$I$2:$I$3001,$N1274))</f>
        <v/>
      </c>
      <c r="K1274" s="28" t="str">
        <f>IF($N1274="","",IF(OR(I1274="",J1274=""),"",J1274-I1274))</f>
        <v/>
      </c>
      <c r="L1274" s="29" t="str">
        <f>IF($N1274="","",INDEX('_calc'!$J$2:$J$3001,$N1274))</f>
        <v/>
      </c>
      <c r="M1274" s="2" t="str">
        <f>IF($N1274="","",IF(AND(G1274=0,H1274=0),"수량 없음",IF(G1274=0,"신규 (전년 수량 없음)",IF(H1274=0,"당해 수량 없음",""))))</f>
        <v/>
      </c>
      <c r="N1274" t="str">
        <f>IF($B1274="","",MATCH($B1274,'_calc'!$L$2:$L$3001,0))</f>
        <v/>
      </c>
    </row>
    <row r="1275">
      <c r="B1275" s="24" t="str">
        <f>IF(ROW()-ROW($B$8)&gt;nComp,"",ROW()-ROW($B$8))</f>
        <v/>
      </c>
      <c r="C1275" t="str">
        <f>IF($N1275="","",INDEX('_calc'!$A$2:$A$3001,$N1275))</f>
        <v/>
      </c>
      <c r="D1275" s="25" t="str">
        <f>IF($N1275="","",INDEX('_calc'!$C$2:$C$3001,$N1275))</f>
        <v/>
      </c>
      <c r="E1275" s="25" t="str">
        <f>IF($N1275="","",INDEX('_calc'!$D$2:$D$3001,$N1275))</f>
        <v/>
      </c>
      <c r="F1275" s="26" t="str">
        <f>IF($N1275="","",IF($E$8=0,"",E1275/$E$8))</f>
        <v/>
      </c>
      <c r="G1275" s="25" t="str">
        <f>IF($N1275="","",INDEX('_calc'!$E$2:$E$3001,$N1275))</f>
        <v/>
      </c>
      <c r="H1275" s="25" t="str">
        <f>IF($N1275="","",INDEX('_calc'!$F$2:$F$3001,$N1275))</f>
        <v/>
      </c>
      <c r="I1275" s="27" t="str">
        <f>IF($N1275="","",INDEX('_calc'!$H$2:$H$3001,$N1275))</f>
        <v/>
      </c>
      <c r="J1275" s="27" t="str">
        <f>IF($N1275="","",INDEX('_calc'!$I$2:$I$3001,$N1275))</f>
        <v/>
      </c>
      <c r="K1275" s="28" t="str">
        <f>IF($N1275="","",IF(OR(I1275="",J1275=""),"",J1275-I1275))</f>
        <v/>
      </c>
      <c r="L1275" s="29" t="str">
        <f>IF($N1275="","",INDEX('_calc'!$J$2:$J$3001,$N1275))</f>
        <v/>
      </c>
      <c r="M1275" s="2" t="str">
        <f>IF($N1275="","",IF(AND(G1275=0,H1275=0),"수량 없음",IF(G1275=0,"신규 (전년 수량 없음)",IF(H1275=0,"당해 수량 없음",""))))</f>
        <v/>
      </c>
      <c r="N1275" t="str">
        <f>IF($B1275="","",MATCH($B1275,'_calc'!$L$2:$L$3001,0))</f>
        <v/>
      </c>
    </row>
    <row r="1276">
      <c r="B1276" s="24" t="str">
        <f>IF(ROW()-ROW($B$8)&gt;nComp,"",ROW()-ROW($B$8))</f>
        <v/>
      </c>
      <c r="C1276" t="str">
        <f>IF($N1276="","",INDEX('_calc'!$A$2:$A$3001,$N1276))</f>
        <v/>
      </c>
      <c r="D1276" s="25" t="str">
        <f>IF($N1276="","",INDEX('_calc'!$C$2:$C$3001,$N1276))</f>
        <v/>
      </c>
      <c r="E1276" s="25" t="str">
        <f>IF($N1276="","",INDEX('_calc'!$D$2:$D$3001,$N1276))</f>
        <v/>
      </c>
      <c r="F1276" s="26" t="str">
        <f>IF($N1276="","",IF($E$8=0,"",E1276/$E$8))</f>
        <v/>
      </c>
      <c r="G1276" s="25" t="str">
        <f>IF($N1276="","",INDEX('_calc'!$E$2:$E$3001,$N1276))</f>
        <v/>
      </c>
      <c r="H1276" s="25" t="str">
        <f>IF($N1276="","",INDEX('_calc'!$F$2:$F$3001,$N1276))</f>
        <v/>
      </c>
      <c r="I1276" s="27" t="str">
        <f>IF($N1276="","",INDEX('_calc'!$H$2:$H$3001,$N1276))</f>
        <v/>
      </c>
      <c r="J1276" s="27" t="str">
        <f>IF($N1276="","",INDEX('_calc'!$I$2:$I$3001,$N1276))</f>
        <v/>
      </c>
      <c r="K1276" s="28" t="str">
        <f>IF($N1276="","",IF(OR(I1276="",J1276=""),"",J1276-I1276))</f>
        <v/>
      </c>
      <c r="L1276" s="29" t="str">
        <f>IF($N1276="","",INDEX('_calc'!$J$2:$J$3001,$N1276))</f>
        <v/>
      </c>
      <c r="M1276" s="2" t="str">
        <f>IF($N1276="","",IF(AND(G1276=0,H1276=0),"수량 없음",IF(G1276=0,"신규 (전년 수량 없음)",IF(H1276=0,"당해 수량 없음",""))))</f>
        <v/>
      </c>
      <c r="N1276" t="str">
        <f>IF($B1276="","",MATCH($B1276,'_calc'!$L$2:$L$3001,0))</f>
        <v/>
      </c>
    </row>
    <row r="1277">
      <c r="B1277" s="24" t="str">
        <f>IF(ROW()-ROW($B$8)&gt;nComp,"",ROW()-ROW($B$8))</f>
        <v/>
      </c>
      <c r="C1277" t="str">
        <f>IF($N1277="","",INDEX('_calc'!$A$2:$A$3001,$N1277))</f>
        <v/>
      </c>
      <c r="D1277" s="25" t="str">
        <f>IF($N1277="","",INDEX('_calc'!$C$2:$C$3001,$N1277))</f>
        <v/>
      </c>
      <c r="E1277" s="25" t="str">
        <f>IF($N1277="","",INDEX('_calc'!$D$2:$D$3001,$N1277))</f>
        <v/>
      </c>
      <c r="F1277" s="26" t="str">
        <f>IF($N1277="","",IF($E$8=0,"",E1277/$E$8))</f>
        <v/>
      </c>
      <c r="G1277" s="25" t="str">
        <f>IF($N1277="","",INDEX('_calc'!$E$2:$E$3001,$N1277))</f>
        <v/>
      </c>
      <c r="H1277" s="25" t="str">
        <f>IF($N1277="","",INDEX('_calc'!$F$2:$F$3001,$N1277))</f>
        <v/>
      </c>
      <c r="I1277" s="27" t="str">
        <f>IF($N1277="","",INDEX('_calc'!$H$2:$H$3001,$N1277))</f>
        <v/>
      </c>
      <c r="J1277" s="27" t="str">
        <f>IF($N1277="","",INDEX('_calc'!$I$2:$I$3001,$N1277))</f>
        <v/>
      </c>
      <c r="K1277" s="28" t="str">
        <f>IF($N1277="","",IF(OR(I1277="",J1277=""),"",J1277-I1277))</f>
        <v/>
      </c>
      <c r="L1277" s="29" t="str">
        <f>IF($N1277="","",INDEX('_calc'!$J$2:$J$3001,$N1277))</f>
        <v/>
      </c>
      <c r="M1277" s="2" t="str">
        <f>IF($N1277="","",IF(AND(G1277=0,H1277=0),"수량 없음",IF(G1277=0,"신규 (전년 수량 없음)",IF(H1277=0,"당해 수량 없음",""))))</f>
        <v/>
      </c>
      <c r="N1277" t="str">
        <f>IF($B1277="","",MATCH($B1277,'_calc'!$L$2:$L$3001,0))</f>
        <v/>
      </c>
    </row>
    <row r="1278">
      <c r="B1278" s="24" t="str">
        <f>IF(ROW()-ROW($B$8)&gt;nComp,"",ROW()-ROW($B$8))</f>
        <v/>
      </c>
      <c r="C1278" t="str">
        <f>IF($N1278="","",INDEX('_calc'!$A$2:$A$3001,$N1278))</f>
        <v/>
      </c>
      <c r="D1278" s="25" t="str">
        <f>IF($N1278="","",INDEX('_calc'!$C$2:$C$3001,$N1278))</f>
        <v/>
      </c>
      <c r="E1278" s="25" t="str">
        <f>IF($N1278="","",INDEX('_calc'!$D$2:$D$3001,$N1278))</f>
        <v/>
      </c>
      <c r="F1278" s="26" t="str">
        <f>IF($N1278="","",IF($E$8=0,"",E1278/$E$8))</f>
        <v/>
      </c>
      <c r="G1278" s="25" t="str">
        <f>IF($N1278="","",INDEX('_calc'!$E$2:$E$3001,$N1278))</f>
        <v/>
      </c>
      <c r="H1278" s="25" t="str">
        <f>IF($N1278="","",INDEX('_calc'!$F$2:$F$3001,$N1278))</f>
        <v/>
      </c>
      <c r="I1278" s="27" t="str">
        <f>IF($N1278="","",INDEX('_calc'!$H$2:$H$3001,$N1278))</f>
        <v/>
      </c>
      <c r="J1278" s="27" t="str">
        <f>IF($N1278="","",INDEX('_calc'!$I$2:$I$3001,$N1278))</f>
        <v/>
      </c>
      <c r="K1278" s="28" t="str">
        <f>IF($N1278="","",IF(OR(I1278="",J1278=""),"",J1278-I1278))</f>
        <v/>
      </c>
      <c r="L1278" s="29" t="str">
        <f>IF($N1278="","",INDEX('_calc'!$J$2:$J$3001,$N1278))</f>
        <v/>
      </c>
      <c r="M1278" s="2" t="str">
        <f>IF($N1278="","",IF(AND(G1278=0,H1278=0),"수량 없음",IF(G1278=0,"신규 (전년 수량 없음)",IF(H1278=0,"당해 수량 없음",""))))</f>
        <v/>
      </c>
      <c r="N1278" t="str">
        <f>IF($B1278="","",MATCH($B1278,'_calc'!$L$2:$L$3001,0))</f>
        <v/>
      </c>
    </row>
    <row r="1279">
      <c r="B1279" s="24" t="str">
        <f>IF(ROW()-ROW($B$8)&gt;nComp,"",ROW()-ROW($B$8))</f>
        <v/>
      </c>
      <c r="C1279" t="str">
        <f>IF($N1279="","",INDEX('_calc'!$A$2:$A$3001,$N1279))</f>
        <v/>
      </c>
      <c r="D1279" s="25" t="str">
        <f>IF($N1279="","",INDEX('_calc'!$C$2:$C$3001,$N1279))</f>
        <v/>
      </c>
      <c r="E1279" s="25" t="str">
        <f>IF($N1279="","",INDEX('_calc'!$D$2:$D$3001,$N1279))</f>
        <v/>
      </c>
      <c r="F1279" s="26" t="str">
        <f>IF($N1279="","",IF($E$8=0,"",E1279/$E$8))</f>
        <v/>
      </c>
      <c r="G1279" s="25" t="str">
        <f>IF($N1279="","",INDEX('_calc'!$E$2:$E$3001,$N1279))</f>
        <v/>
      </c>
      <c r="H1279" s="25" t="str">
        <f>IF($N1279="","",INDEX('_calc'!$F$2:$F$3001,$N1279))</f>
        <v/>
      </c>
      <c r="I1279" s="27" t="str">
        <f>IF($N1279="","",INDEX('_calc'!$H$2:$H$3001,$N1279))</f>
        <v/>
      </c>
      <c r="J1279" s="27" t="str">
        <f>IF($N1279="","",INDEX('_calc'!$I$2:$I$3001,$N1279))</f>
        <v/>
      </c>
      <c r="K1279" s="28" t="str">
        <f>IF($N1279="","",IF(OR(I1279="",J1279=""),"",J1279-I1279))</f>
        <v/>
      </c>
      <c r="L1279" s="29" t="str">
        <f>IF($N1279="","",INDEX('_calc'!$J$2:$J$3001,$N1279))</f>
        <v/>
      </c>
      <c r="M1279" s="2" t="str">
        <f>IF($N1279="","",IF(AND(G1279=0,H1279=0),"수량 없음",IF(G1279=0,"신규 (전년 수량 없음)",IF(H1279=0,"당해 수량 없음",""))))</f>
        <v/>
      </c>
      <c r="N1279" t="str">
        <f>IF($B1279="","",MATCH($B1279,'_calc'!$L$2:$L$3001,0))</f>
        <v/>
      </c>
    </row>
    <row r="1280">
      <c r="B1280" s="24" t="str">
        <f>IF(ROW()-ROW($B$8)&gt;nComp,"",ROW()-ROW($B$8))</f>
        <v/>
      </c>
      <c r="C1280" t="str">
        <f>IF($N1280="","",INDEX('_calc'!$A$2:$A$3001,$N1280))</f>
        <v/>
      </c>
      <c r="D1280" s="25" t="str">
        <f>IF($N1280="","",INDEX('_calc'!$C$2:$C$3001,$N1280))</f>
        <v/>
      </c>
      <c r="E1280" s="25" t="str">
        <f>IF($N1280="","",INDEX('_calc'!$D$2:$D$3001,$N1280))</f>
        <v/>
      </c>
      <c r="F1280" s="26" t="str">
        <f>IF($N1280="","",IF($E$8=0,"",E1280/$E$8))</f>
        <v/>
      </c>
      <c r="G1280" s="25" t="str">
        <f>IF($N1280="","",INDEX('_calc'!$E$2:$E$3001,$N1280))</f>
        <v/>
      </c>
      <c r="H1280" s="25" t="str">
        <f>IF($N1280="","",INDEX('_calc'!$F$2:$F$3001,$N1280))</f>
        <v/>
      </c>
      <c r="I1280" s="27" t="str">
        <f>IF($N1280="","",INDEX('_calc'!$H$2:$H$3001,$N1280))</f>
        <v/>
      </c>
      <c r="J1280" s="27" t="str">
        <f>IF($N1280="","",INDEX('_calc'!$I$2:$I$3001,$N1280))</f>
        <v/>
      </c>
      <c r="K1280" s="28" t="str">
        <f>IF($N1280="","",IF(OR(I1280="",J1280=""),"",J1280-I1280))</f>
        <v/>
      </c>
      <c r="L1280" s="29" t="str">
        <f>IF($N1280="","",INDEX('_calc'!$J$2:$J$3001,$N1280))</f>
        <v/>
      </c>
      <c r="M1280" s="2" t="str">
        <f>IF($N1280="","",IF(AND(G1280=0,H1280=0),"수량 없음",IF(G1280=0,"신규 (전년 수량 없음)",IF(H1280=0,"당해 수량 없음",""))))</f>
        <v/>
      </c>
      <c r="N1280" t="str">
        <f>IF($B1280="","",MATCH($B1280,'_calc'!$L$2:$L$3001,0))</f>
        <v/>
      </c>
    </row>
    <row r="1281">
      <c r="B1281" s="24" t="str">
        <f>IF(ROW()-ROW($B$8)&gt;nComp,"",ROW()-ROW($B$8))</f>
        <v/>
      </c>
      <c r="C1281" t="str">
        <f>IF($N1281="","",INDEX('_calc'!$A$2:$A$3001,$N1281))</f>
        <v/>
      </c>
      <c r="D1281" s="25" t="str">
        <f>IF($N1281="","",INDEX('_calc'!$C$2:$C$3001,$N1281))</f>
        <v/>
      </c>
      <c r="E1281" s="25" t="str">
        <f>IF($N1281="","",INDEX('_calc'!$D$2:$D$3001,$N1281))</f>
        <v/>
      </c>
      <c r="F1281" s="26" t="str">
        <f>IF($N1281="","",IF($E$8=0,"",E1281/$E$8))</f>
        <v/>
      </c>
      <c r="G1281" s="25" t="str">
        <f>IF($N1281="","",INDEX('_calc'!$E$2:$E$3001,$N1281))</f>
        <v/>
      </c>
      <c r="H1281" s="25" t="str">
        <f>IF($N1281="","",INDEX('_calc'!$F$2:$F$3001,$N1281))</f>
        <v/>
      </c>
      <c r="I1281" s="27" t="str">
        <f>IF($N1281="","",INDEX('_calc'!$H$2:$H$3001,$N1281))</f>
        <v/>
      </c>
      <c r="J1281" s="27" t="str">
        <f>IF($N1281="","",INDEX('_calc'!$I$2:$I$3001,$N1281))</f>
        <v/>
      </c>
      <c r="K1281" s="28" t="str">
        <f>IF($N1281="","",IF(OR(I1281="",J1281=""),"",J1281-I1281))</f>
        <v/>
      </c>
      <c r="L1281" s="29" t="str">
        <f>IF($N1281="","",INDEX('_calc'!$J$2:$J$3001,$N1281))</f>
        <v/>
      </c>
      <c r="M1281" s="2" t="str">
        <f>IF($N1281="","",IF(AND(G1281=0,H1281=0),"수량 없음",IF(G1281=0,"신규 (전년 수량 없음)",IF(H1281=0,"당해 수량 없음",""))))</f>
        <v/>
      </c>
      <c r="N1281" t="str">
        <f>IF($B1281="","",MATCH($B1281,'_calc'!$L$2:$L$3001,0))</f>
        <v/>
      </c>
    </row>
    <row r="1282">
      <c r="B1282" s="24" t="str">
        <f>IF(ROW()-ROW($B$8)&gt;nComp,"",ROW()-ROW($B$8))</f>
        <v/>
      </c>
      <c r="C1282" t="str">
        <f>IF($N1282="","",INDEX('_calc'!$A$2:$A$3001,$N1282))</f>
        <v/>
      </c>
      <c r="D1282" s="25" t="str">
        <f>IF($N1282="","",INDEX('_calc'!$C$2:$C$3001,$N1282))</f>
        <v/>
      </c>
      <c r="E1282" s="25" t="str">
        <f>IF($N1282="","",INDEX('_calc'!$D$2:$D$3001,$N1282))</f>
        <v/>
      </c>
      <c r="F1282" s="26" t="str">
        <f>IF($N1282="","",IF($E$8=0,"",E1282/$E$8))</f>
        <v/>
      </c>
      <c r="G1282" s="25" t="str">
        <f>IF($N1282="","",INDEX('_calc'!$E$2:$E$3001,$N1282))</f>
        <v/>
      </c>
      <c r="H1282" s="25" t="str">
        <f>IF($N1282="","",INDEX('_calc'!$F$2:$F$3001,$N1282))</f>
        <v/>
      </c>
      <c r="I1282" s="27" t="str">
        <f>IF($N1282="","",INDEX('_calc'!$H$2:$H$3001,$N1282))</f>
        <v/>
      </c>
      <c r="J1282" s="27" t="str">
        <f>IF($N1282="","",INDEX('_calc'!$I$2:$I$3001,$N1282))</f>
        <v/>
      </c>
      <c r="K1282" s="28" t="str">
        <f>IF($N1282="","",IF(OR(I1282="",J1282=""),"",J1282-I1282))</f>
        <v/>
      </c>
      <c r="L1282" s="29" t="str">
        <f>IF($N1282="","",INDEX('_calc'!$J$2:$J$3001,$N1282))</f>
        <v/>
      </c>
      <c r="M1282" s="2" t="str">
        <f>IF($N1282="","",IF(AND(G1282=0,H1282=0),"수량 없음",IF(G1282=0,"신규 (전년 수량 없음)",IF(H1282=0,"당해 수량 없음",""))))</f>
        <v/>
      </c>
      <c r="N1282" t="str">
        <f>IF($B1282="","",MATCH($B1282,'_calc'!$L$2:$L$3001,0))</f>
        <v/>
      </c>
    </row>
    <row r="1283">
      <c r="B1283" s="24" t="str">
        <f>IF(ROW()-ROW($B$8)&gt;nComp,"",ROW()-ROW($B$8))</f>
        <v/>
      </c>
      <c r="C1283" t="str">
        <f>IF($N1283="","",INDEX('_calc'!$A$2:$A$3001,$N1283))</f>
        <v/>
      </c>
      <c r="D1283" s="25" t="str">
        <f>IF($N1283="","",INDEX('_calc'!$C$2:$C$3001,$N1283))</f>
        <v/>
      </c>
      <c r="E1283" s="25" t="str">
        <f>IF($N1283="","",INDEX('_calc'!$D$2:$D$3001,$N1283))</f>
        <v/>
      </c>
      <c r="F1283" s="26" t="str">
        <f>IF($N1283="","",IF($E$8=0,"",E1283/$E$8))</f>
        <v/>
      </c>
      <c r="G1283" s="25" t="str">
        <f>IF($N1283="","",INDEX('_calc'!$E$2:$E$3001,$N1283))</f>
        <v/>
      </c>
      <c r="H1283" s="25" t="str">
        <f>IF($N1283="","",INDEX('_calc'!$F$2:$F$3001,$N1283))</f>
        <v/>
      </c>
      <c r="I1283" s="27" t="str">
        <f>IF($N1283="","",INDEX('_calc'!$H$2:$H$3001,$N1283))</f>
        <v/>
      </c>
      <c r="J1283" s="27" t="str">
        <f>IF($N1283="","",INDEX('_calc'!$I$2:$I$3001,$N1283))</f>
        <v/>
      </c>
      <c r="K1283" s="28" t="str">
        <f>IF($N1283="","",IF(OR(I1283="",J1283=""),"",J1283-I1283))</f>
        <v/>
      </c>
      <c r="L1283" s="29" t="str">
        <f>IF($N1283="","",INDEX('_calc'!$J$2:$J$3001,$N1283))</f>
        <v/>
      </c>
      <c r="M1283" s="2" t="str">
        <f>IF($N1283="","",IF(AND(G1283=0,H1283=0),"수량 없음",IF(G1283=0,"신규 (전년 수량 없음)",IF(H1283=0,"당해 수량 없음",""))))</f>
        <v/>
      </c>
      <c r="N1283" t="str">
        <f>IF($B1283="","",MATCH($B1283,'_calc'!$L$2:$L$3001,0))</f>
        <v/>
      </c>
    </row>
    <row r="1284">
      <c r="B1284" s="24" t="str">
        <f>IF(ROW()-ROW($B$8)&gt;nComp,"",ROW()-ROW($B$8))</f>
        <v/>
      </c>
      <c r="C1284" t="str">
        <f>IF($N1284="","",INDEX('_calc'!$A$2:$A$3001,$N1284))</f>
        <v/>
      </c>
      <c r="D1284" s="25" t="str">
        <f>IF($N1284="","",INDEX('_calc'!$C$2:$C$3001,$N1284))</f>
        <v/>
      </c>
      <c r="E1284" s="25" t="str">
        <f>IF($N1284="","",INDEX('_calc'!$D$2:$D$3001,$N1284))</f>
        <v/>
      </c>
      <c r="F1284" s="26" t="str">
        <f>IF($N1284="","",IF($E$8=0,"",E1284/$E$8))</f>
        <v/>
      </c>
      <c r="G1284" s="25" t="str">
        <f>IF($N1284="","",INDEX('_calc'!$E$2:$E$3001,$N1284))</f>
        <v/>
      </c>
      <c r="H1284" s="25" t="str">
        <f>IF($N1284="","",INDEX('_calc'!$F$2:$F$3001,$N1284))</f>
        <v/>
      </c>
      <c r="I1284" s="27" t="str">
        <f>IF($N1284="","",INDEX('_calc'!$H$2:$H$3001,$N1284))</f>
        <v/>
      </c>
      <c r="J1284" s="27" t="str">
        <f>IF($N1284="","",INDEX('_calc'!$I$2:$I$3001,$N1284))</f>
        <v/>
      </c>
      <c r="K1284" s="28" t="str">
        <f>IF($N1284="","",IF(OR(I1284="",J1284=""),"",J1284-I1284))</f>
        <v/>
      </c>
      <c r="L1284" s="29" t="str">
        <f>IF($N1284="","",INDEX('_calc'!$J$2:$J$3001,$N1284))</f>
        <v/>
      </c>
      <c r="M1284" s="2" t="str">
        <f>IF($N1284="","",IF(AND(G1284=0,H1284=0),"수량 없음",IF(G1284=0,"신규 (전년 수량 없음)",IF(H1284=0,"당해 수량 없음",""))))</f>
        <v/>
      </c>
      <c r="N1284" t="str">
        <f>IF($B1284="","",MATCH($B1284,'_calc'!$L$2:$L$3001,0))</f>
        <v/>
      </c>
    </row>
    <row r="1285">
      <c r="B1285" s="24" t="str">
        <f>IF(ROW()-ROW($B$8)&gt;nComp,"",ROW()-ROW($B$8))</f>
        <v/>
      </c>
      <c r="C1285" t="str">
        <f>IF($N1285="","",INDEX('_calc'!$A$2:$A$3001,$N1285))</f>
        <v/>
      </c>
      <c r="D1285" s="25" t="str">
        <f>IF($N1285="","",INDEX('_calc'!$C$2:$C$3001,$N1285))</f>
        <v/>
      </c>
      <c r="E1285" s="25" t="str">
        <f>IF($N1285="","",INDEX('_calc'!$D$2:$D$3001,$N1285))</f>
        <v/>
      </c>
      <c r="F1285" s="26" t="str">
        <f>IF($N1285="","",IF($E$8=0,"",E1285/$E$8))</f>
        <v/>
      </c>
      <c r="G1285" s="25" t="str">
        <f>IF($N1285="","",INDEX('_calc'!$E$2:$E$3001,$N1285))</f>
        <v/>
      </c>
      <c r="H1285" s="25" t="str">
        <f>IF($N1285="","",INDEX('_calc'!$F$2:$F$3001,$N1285))</f>
        <v/>
      </c>
      <c r="I1285" s="27" t="str">
        <f>IF($N1285="","",INDEX('_calc'!$H$2:$H$3001,$N1285))</f>
        <v/>
      </c>
      <c r="J1285" s="27" t="str">
        <f>IF($N1285="","",INDEX('_calc'!$I$2:$I$3001,$N1285))</f>
        <v/>
      </c>
      <c r="K1285" s="28" t="str">
        <f>IF($N1285="","",IF(OR(I1285="",J1285=""),"",J1285-I1285))</f>
        <v/>
      </c>
      <c r="L1285" s="29" t="str">
        <f>IF($N1285="","",INDEX('_calc'!$J$2:$J$3001,$N1285))</f>
        <v/>
      </c>
      <c r="M1285" s="2" t="str">
        <f>IF($N1285="","",IF(AND(G1285=0,H1285=0),"수량 없음",IF(G1285=0,"신규 (전년 수량 없음)",IF(H1285=0,"당해 수량 없음",""))))</f>
        <v/>
      </c>
      <c r="N1285" t="str">
        <f>IF($B1285="","",MATCH($B1285,'_calc'!$L$2:$L$3001,0))</f>
        <v/>
      </c>
    </row>
    <row r="1286">
      <c r="B1286" s="24" t="str">
        <f>IF(ROW()-ROW($B$8)&gt;nComp,"",ROW()-ROW($B$8))</f>
        <v/>
      </c>
      <c r="C1286" t="str">
        <f>IF($N1286="","",INDEX('_calc'!$A$2:$A$3001,$N1286))</f>
        <v/>
      </c>
      <c r="D1286" s="25" t="str">
        <f>IF($N1286="","",INDEX('_calc'!$C$2:$C$3001,$N1286))</f>
        <v/>
      </c>
      <c r="E1286" s="25" t="str">
        <f>IF($N1286="","",INDEX('_calc'!$D$2:$D$3001,$N1286))</f>
        <v/>
      </c>
      <c r="F1286" s="26" t="str">
        <f>IF($N1286="","",IF($E$8=0,"",E1286/$E$8))</f>
        <v/>
      </c>
      <c r="G1286" s="25" t="str">
        <f>IF($N1286="","",INDEX('_calc'!$E$2:$E$3001,$N1286))</f>
        <v/>
      </c>
      <c r="H1286" s="25" t="str">
        <f>IF($N1286="","",INDEX('_calc'!$F$2:$F$3001,$N1286))</f>
        <v/>
      </c>
      <c r="I1286" s="27" t="str">
        <f>IF($N1286="","",INDEX('_calc'!$H$2:$H$3001,$N1286))</f>
        <v/>
      </c>
      <c r="J1286" s="27" t="str">
        <f>IF($N1286="","",INDEX('_calc'!$I$2:$I$3001,$N1286))</f>
        <v/>
      </c>
      <c r="K1286" s="28" t="str">
        <f>IF($N1286="","",IF(OR(I1286="",J1286=""),"",J1286-I1286))</f>
        <v/>
      </c>
      <c r="L1286" s="29" t="str">
        <f>IF($N1286="","",INDEX('_calc'!$J$2:$J$3001,$N1286))</f>
        <v/>
      </c>
      <c r="M1286" s="2" t="str">
        <f>IF($N1286="","",IF(AND(G1286=0,H1286=0),"수량 없음",IF(G1286=0,"신규 (전년 수량 없음)",IF(H1286=0,"당해 수량 없음",""))))</f>
        <v/>
      </c>
      <c r="N1286" t="str">
        <f>IF($B1286="","",MATCH($B1286,'_calc'!$L$2:$L$3001,0))</f>
        <v/>
      </c>
    </row>
    <row r="1287">
      <c r="B1287" s="24" t="str">
        <f>IF(ROW()-ROW($B$8)&gt;nComp,"",ROW()-ROW($B$8))</f>
        <v/>
      </c>
      <c r="C1287" t="str">
        <f>IF($N1287="","",INDEX('_calc'!$A$2:$A$3001,$N1287))</f>
        <v/>
      </c>
      <c r="D1287" s="25" t="str">
        <f>IF($N1287="","",INDEX('_calc'!$C$2:$C$3001,$N1287))</f>
        <v/>
      </c>
      <c r="E1287" s="25" t="str">
        <f>IF($N1287="","",INDEX('_calc'!$D$2:$D$3001,$N1287))</f>
        <v/>
      </c>
      <c r="F1287" s="26" t="str">
        <f>IF($N1287="","",IF($E$8=0,"",E1287/$E$8))</f>
        <v/>
      </c>
      <c r="G1287" s="25" t="str">
        <f>IF($N1287="","",INDEX('_calc'!$E$2:$E$3001,$N1287))</f>
        <v/>
      </c>
      <c r="H1287" s="25" t="str">
        <f>IF($N1287="","",INDEX('_calc'!$F$2:$F$3001,$N1287))</f>
        <v/>
      </c>
      <c r="I1287" s="27" t="str">
        <f>IF($N1287="","",INDEX('_calc'!$H$2:$H$3001,$N1287))</f>
        <v/>
      </c>
      <c r="J1287" s="27" t="str">
        <f>IF($N1287="","",INDEX('_calc'!$I$2:$I$3001,$N1287))</f>
        <v/>
      </c>
      <c r="K1287" s="28" t="str">
        <f>IF($N1287="","",IF(OR(I1287="",J1287=""),"",J1287-I1287))</f>
        <v/>
      </c>
      <c r="L1287" s="29" t="str">
        <f>IF($N1287="","",INDEX('_calc'!$J$2:$J$3001,$N1287))</f>
        <v/>
      </c>
      <c r="M1287" s="2" t="str">
        <f>IF($N1287="","",IF(AND(G1287=0,H1287=0),"수량 없음",IF(G1287=0,"신규 (전년 수량 없음)",IF(H1287=0,"당해 수량 없음",""))))</f>
        <v/>
      </c>
      <c r="N1287" t="str">
        <f>IF($B1287="","",MATCH($B1287,'_calc'!$L$2:$L$3001,0))</f>
        <v/>
      </c>
    </row>
    <row r="1288">
      <c r="B1288" s="24" t="str">
        <f>IF(ROW()-ROW($B$8)&gt;nComp,"",ROW()-ROW($B$8))</f>
        <v/>
      </c>
      <c r="C1288" t="str">
        <f>IF($N1288="","",INDEX('_calc'!$A$2:$A$3001,$N1288))</f>
        <v/>
      </c>
      <c r="D1288" s="25" t="str">
        <f>IF($N1288="","",INDEX('_calc'!$C$2:$C$3001,$N1288))</f>
        <v/>
      </c>
      <c r="E1288" s="25" t="str">
        <f>IF($N1288="","",INDEX('_calc'!$D$2:$D$3001,$N1288))</f>
        <v/>
      </c>
      <c r="F1288" s="26" t="str">
        <f>IF($N1288="","",IF($E$8=0,"",E1288/$E$8))</f>
        <v/>
      </c>
      <c r="G1288" s="25" t="str">
        <f>IF($N1288="","",INDEX('_calc'!$E$2:$E$3001,$N1288))</f>
        <v/>
      </c>
      <c r="H1288" s="25" t="str">
        <f>IF($N1288="","",INDEX('_calc'!$F$2:$F$3001,$N1288))</f>
        <v/>
      </c>
      <c r="I1288" s="27" t="str">
        <f>IF($N1288="","",INDEX('_calc'!$H$2:$H$3001,$N1288))</f>
        <v/>
      </c>
      <c r="J1288" s="27" t="str">
        <f>IF($N1288="","",INDEX('_calc'!$I$2:$I$3001,$N1288))</f>
        <v/>
      </c>
      <c r="K1288" s="28" t="str">
        <f>IF($N1288="","",IF(OR(I1288="",J1288=""),"",J1288-I1288))</f>
        <v/>
      </c>
      <c r="L1288" s="29" t="str">
        <f>IF($N1288="","",INDEX('_calc'!$J$2:$J$3001,$N1288))</f>
        <v/>
      </c>
      <c r="M1288" s="2" t="str">
        <f>IF($N1288="","",IF(AND(G1288=0,H1288=0),"수량 없음",IF(G1288=0,"신규 (전년 수량 없음)",IF(H1288=0,"당해 수량 없음",""))))</f>
        <v/>
      </c>
      <c r="N1288" t="str">
        <f>IF($B1288="","",MATCH($B1288,'_calc'!$L$2:$L$3001,0))</f>
        <v/>
      </c>
    </row>
    <row r="1289">
      <c r="B1289" s="24" t="str">
        <f>IF(ROW()-ROW($B$8)&gt;nComp,"",ROW()-ROW($B$8))</f>
        <v/>
      </c>
      <c r="C1289" t="str">
        <f>IF($N1289="","",INDEX('_calc'!$A$2:$A$3001,$N1289))</f>
        <v/>
      </c>
      <c r="D1289" s="25" t="str">
        <f>IF($N1289="","",INDEX('_calc'!$C$2:$C$3001,$N1289))</f>
        <v/>
      </c>
      <c r="E1289" s="25" t="str">
        <f>IF($N1289="","",INDEX('_calc'!$D$2:$D$3001,$N1289))</f>
        <v/>
      </c>
      <c r="F1289" s="26" t="str">
        <f>IF($N1289="","",IF($E$8=0,"",E1289/$E$8))</f>
        <v/>
      </c>
      <c r="G1289" s="25" t="str">
        <f>IF($N1289="","",INDEX('_calc'!$E$2:$E$3001,$N1289))</f>
        <v/>
      </c>
      <c r="H1289" s="25" t="str">
        <f>IF($N1289="","",INDEX('_calc'!$F$2:$F$3001,$N1289))</f>
        <v/>
      </c>
      <c r="I1289" s="27" t="str">
        <f>IF($N1289="","",INDEX('_calc'!$H$2:$H$3001,$N1289))</f>
        <v/>
      </c>
      <c r="J1289" s="27" t="str">
        <f>IF($N1289="","",INDEX('_calc'!$I$2:$I$3001,$N1289))</f>
        <v/>
      </c>
      <c r="K1289" s="28" t="str">
        <f>IF($N1289="","",IF(OR(I1289="",J1289=""),"",J1289-I1289))</f>
        <v/>
      </c>
      <c r="L1289" s="29" t="str">
        <f>IF($N1289="","",INDEX('_calc'!$J$2:$J$3001,$N1289))</f>
        <v/>
      </c>
      <c r="M1289" s="2" t="str">
        <f>IF($N1289="","",IF(AND(G1289=0,H1289=0),"수량 없음",IF(G1289=0,"신규 (전년 수량 없음)",IF(H1289=0,"당해 수량 없음",""))))</f>
        <v/>
      </c>
      <c r="N1289" t="str">
        <f>IF($B1289="","",MATCH($B1289,'_calc'!$L$2:$L$3001,0))</f>
        <v/>
      </c>
    </row>
    <row r="1290">
      <c r="B1290" s="24" t="str">
        <f>IF(ROW()-ROW($B$8)&gt;nComp,"",ROW()-ROW($B$8))</f>
        <v/>
      </c>
      <c r="C1290" t="str">
        <f>IF($N1290="","",INDEX('_calc'!$A$2:$A$3001,$N1290))</f>
        <v/>
      </c>
      <c r="D1290" s="25" t="str">
        <f>IF($N1290="","",INDEX('_calc'!$C$2:$C$3001,$N1290))</f>
        <v/>
      </c>
      <c r="E1290" s="25" t="str">
        <f>IF($N1290="","",INDEX('_calc'!$D$2:$D$3001,$N1290))</f>
        <v/>
      </c>
      <c r="F1290" s="26" t="str">
        <f>IF($N1290="","",IF($E$8=0,"",E1290/$E$8))</f>
        <v/>
      </c>
      <c r="G1290" s="25" t="str">
        <f>IF($N1290="","",INDEX('_calc'!$E$2:$E$3001,$N1290))</f>
        <v/>
      </c>
      <c r="H1290" s="25" t="str">
        <f>IF($N1290="","",INDEX('_calc'!$F$2:$F$3001,$N1290))</f>
        <v/>
      </c>
      <c r="I1290" s="27" t="str">
        <f>IF($N1290="","",INDEX('_calc'!$H$2:$H$3001,$N1290))</f>
        <v/>
      </c>
      <c r="J1290" s="27" t="str">
        <f>IF($N1290="","",INDEX('_calc'!$I$2:$I$3001,$N1290))</f>
        <v/>
      </c>
      <c r="K1290" s="28" t="str">
        <f>IF($N1290="","",IF(OR(I1290="",J1290=""),"",J1290-I1290))</f>
        <v/>
      </c>
      <c r="L1290" s="29" t="str">
        <f>IF($N1290="","",INDEX('_calc'!$J$2:$J$3001,$N1290))</f>
        <v/>
      </c>
      <c r="M1290" s="2" t="str">
        <f>IF($N1290="","",IF(AND(G1290=0,H1290=0),"수량 없음",IF(G1290=0,"신규 (전년 수량 없음)",IF(H1290=0,"당해 수량 없음",""))))</f>
        <v/>
      </c>
      <c r="N1290" t="str">
        <f>IF($B1290="","",MATCH($B1290,'_calc'!$L$2:$L$3001,0))</f>
        <v/>
      </c>
    </row>
    <row r="1291">
      <c r="B1291" s="24" t="str">
        <f>IF(ROW()-ROW($B$8)&gt;nComp,"",ROW()-ROW($B$8))</f>
        <v/>
      </c>
      <c r="C1291" t="str">
        <f>IF($N1291="","",INDEX('_calc'!$A$2:$A$3001,$N1291))</f>
        <v/>
      </c>
      <c r="D1291" s="25" t="str">
        <f>IF($N1291="","",INDEX('_calc'!$C$2:$C$3001,$N1291))</f>
        <v/>
      </c>
      <c r="E1291" s="25" t="str">
        <f>IF($N1291="","",INDEX('_calc'!$D$2:$D$3001,$N1291))</f>
        <v/>
      </c>
      <c r="F1291" s="26" t="str">
        <f>IF($N1291="","",IF($E$8=0,"",E1291/$E$8))</f>
        <v/>
      </c>
      <c r="G1291" s="25" t="str">
        <f>IF($N1291="","",INDEX('_calc'!$E$2:$E$3001,$N1291))</f>
        <v/>
      </c>
      <c r="H1291" s="25" t="str">
        <f>IF($N1291="","",INDEX('_calc'!$F$2:$F$3001,$N1291))</f>
        <v/>
      </c>
      <c r="I1291" s="27" t="str">
        <f>IF($N1291="","",INDEX('_calc'!$H$2:$H$3001,$N1291))</f>
        <v/>
      </c>
      <c r="J1291" s="27" t="str">
        <f>IF($N1291="","",INDEX('_calc'!$I$2:$I$3001,$N1291))</f>
        <v/>
      </c>
      <c r="K1291" s="28" t="str">
        <f>IF($N1291="","",IF(OR(I1291="",J1291=""),"",J1291-I1291))</f>
        <v/>
      </c>
      <c r="L1291" s="29" t="str">
        <f>IF($N1291="","",INDEX('_calc'!$J$2:$J$3001,$N1291))</f>
        <v/>
      </c>
      <c r="M1291" s="2" t="str">
        <f>IF($N1291="","",IF(AND(G1291=0,H1291=0),"수량 없음",IF(G1291=0,"신규 (전년 수량 없음)",IF(H1291=0,"당해 수량 없음",""))))</f>
        <v/>
      </c>
      <c r="N1291" t="str">
        <f>IF($B1291="","",MATCH($B1291,'_calc'!$L$2:$L$3001,0))</f>
        <v/>
      </c>
    </row>
    <row r="1292">
      <c r="B1292" s="24" t="str">
        <f>IF(ROW()-ROW($B$8)&gt;nComp,"",ROW()-ROW($B$8))</f>
        <v/>
      </c>
      <c r="C1292" t="str">
        <f>IF($N1292="","",INDEX('_calc'!$A$2:$A$3001,$N1292))</f>
        <v/>
      </c>
      <c r="D1292" s="25" t="str">
        <f>IF($N1292="","",INDEX('_calc'!$C$2:$C$3001,$N1292))</f>
        <v/>
      </c>
      <c r="E1292" s="25" t="str">
        <f>IF($N1292="","",INDEX('_calc'!$D$2:$D$3001,$N1292))</f>
        <v/>
      </c>
      <c r="F1292" s="26" t="str">
        <f>IF($N1292="","",IF($E$8=0,"",E1292/$E$8))</f>
        <v/>
      </c>
      <c r="G1292" s="25" t="str">
        <f>IF($N1292="","",INDEX('_calc'!$E$2:$E$3001,$N1292))</f>
        <v/>
      </c>
      <c r="H1292" s="25" t="str">
        <f>IF($N1292="","",INDEX('_calc'!$F$2:$F$3001,$N1292))</f>
        <v/>
      </c>
      <c r="I1292" s="27" t="str">
        <f>IF($N1292="","",INDEX('_calc'!$H$2:$H$3001,$N1292))</f>
        <v/>
      </c>
      <c r="J1292" s="27" t="str">
        <f>IF($N1292="","",INDEX('_calc'!$I$2:$I$3001,$N1292))</f>
        <v/>
      </c>
      <c r="K1292" s="28" t="str">
        <f>IF($N1292="","",IF(OR(I1292="",J1292=""),"",J1292-I1292))</f>
        <v/>
      </c>
      <c r="L1292" s="29" t="str">
        <f>IF($N1292="","",INDEX('_calc'!$J$2:$J$3001,$N1292))</f>
        <v/>
      </c>
      <c r="M1292" s="2" t="str">
        <f>IF($N1292="","",IF(AND(G1292=0,H1292=0),"수량 없음",IF(G1292=0,"신규 (전년 수량 없음)",IF(H1292=0,"당해 수량 없음",""))))</f>
        <v/>
      </c>
      <c r="N1292" t="str">
        <f>IF($B1292="","",MATCH($B1292,'_calc'!$L$2:$L$3001,0))</f>
        <v/>
      </c>
    </row>
    <row r="1293">
      <c r="B1293" s="24" t="str">
        <f>IF(ROW()-ROW($B$8)&gt;nComp,"",ROW()-ROW($B$8))</f>
        <v/>
      </c>
      <c r="C1293" t="str">
        <f>IF($N1293="","",INDEX('_calc'!$A$2:$A$3001,$N1293))</f>
        <v/>
      </c>
      <c r="D1293" s="25" t="str">
        <f>IF($N1293="","",INDEX('_calc'!$C$2:$C$3001,$N1293))</f>
        <v/>
      </c>
      <c r="E1293" s="25" t="str">
        <f>IF($N1293="","",INDEX('_calc'!$D$2:$D$3001,$N1293))</f>
        <v/>
      </c>
      <c r="F1293" s="26" t="str">
        <f>IF($N1293="","",IF($E$8=0,"",E1293/$E$8))</f>
        <v/>
      </c>
      <c r="G1293" s="25" t="str">
        <f>IF($N1293="","",INDEX('_calc'!$E$2:$E$3001,$N1293))</f>
        <v/>
      </c>
      <c r="H1293" s="25" t="str">
        <f>IF($N1293="","",INDEX('_calc'!$F$2:$F$3001,$N1293))</f>
        <v/>
      </c>
      <c r="I1293" s="27" t="str">
        <f>IF($N1293="","",INDEX('_calc'!$H$2:$H$3001,$N1293))</f>
        <v/>
      </c>
      <c r="J1293" s="27" t="str">
        <f>IF($N1293="","",INDEX('_calc'!$I$2:$I$3001,$N1293))</f>
        <v/>
      </c>
      <c r="K1293" s="28" t="str">
        <f>IF($N1293="","",IF(OR(I1293="",J1293=""),"",J1293-I1293))</f>
        <v/>
      </c>
      <c r="L1293" s="29" t="str">
        <f>IF($N1293="","",INDEX('_calc'!$J$2:$J$3001,$N1293))</f>
        <v/>
      </c>
      <c r="M1293" s="2" t="str">
        <f>IF($N1293="","",IF(AND(G1293=0,H1293=0),"수량 없음",IF(G1293=0,"신규 (전년 수량 없음)",IF(H1293=0,"당해 수량 없음",""))))</f>
        <v/>
      </c>
      <c r="N1293" t="str">
        <f>IF($B1293="","",MATCH($B1293,'_calc'!$L$2:$L$3001,0))</f>
        <v/>
      </c>
    </row>
    <row r="1294">
      <c r="B1294" s="24" t="str">
        <f>IF(ROW()-ROW($B$8)&gt;nComp,"",ROW()-ROW($B$8))</f>
        <v/>
      </c>
      <c r="C1294" t="str">
        <f>IF($N1294="","",INDEX('_calc'!$A$2:$A$3001,$N1294))</f>
        <v/>
      </c>
      <c r="D1294" s="25" t="str">
        <f>IF($N1294="","",INDEX('_calc'!$C$2:$C$3001,$N1294))</f>
        <v/>
      </c>
      <c r="E1294" s="25" t="str">
        <f>IF($N1294="","",INDEX('_calc'!$D$2:$D$3001,$N1294))</f>
        <v/>
      </c>
      <c r="F1294" s="26" t="str">
        <f>IF($N1294="","",IF($E$8=0,"",E1294/$E$8))</f>
        <v/>
      </c>
      <c r="G1294" s="25" t="str">
        <f>IF($N1294="","",INDEX('_calc'!$E$2:$E$3001,$N1294))</f>
        <v/>
      </c>
      <c r="H1294" s="25" t="str">
        <f>IF($N1294="","",INDEX('_calc'!$F$2:$F$3001,$N1294))</f>
        <v/>
      </c>
      <c r="I1294" s="27" t="str">
        <f>IF($N1294="","",INDEX('_calc'!$H$2:$H$3001,$N1294))</f>
        <v/>
      </c>
      <c r="J1294" s="27" t="str">
        <f>IF($N1294="","",INDEX('_calc'!$I$2:$I$3001,$N1294))</f>
        <v/>
      </c>
      <c r="K1294" s="28" t="str">
        <f>IF($N1294="","",IF(OR(I1294="",J1294=""),"",J1294-I1294))</f>
        <v/>
      </c>
      <c r="L1294" s="29" t="str">
        <f>IF($N1294="","",INDEX('_calc'!$J$2:$J$3001,$N1294))</f>
        <v/>
      </c>
      <c r="M1294" s="2" t="str">
        <f>IF($N1294="","",IF(AND(G1294=0,H1294=0),"수량 없음",IF(G1294=0,"신규 (전년 수량 없음)",IF(H1294=0,"당해 수량 없음",""))))</f>
        <v/>
      </c>
      <c r="N1294" t="str">
        <f>IF($B1294="","",MATCH($B1294,'_calc'!$L$2:$L$3001,0))</f>
        <v/>
      </c>
    </row>
    <row r="1295">
      <c r="B1295" s="24" t="str">
        <f>IF(ROW()-ROW($B$8)&gt;nComp,"",ROW()-ROW($B$8))</f>
        <v/>
      </c>
      <c r="C1295" t="str">
        <f>IF($N1295="","",INDEX('_calc'!$A$2:$A$3001,$N1295))</f>
        <v/>
      </c>
      <c r="D1295" s="25" t="str">
        <f>IF($N1295="","",INDEX('_calc'!$C$2:$C$3001,$N1295))</f>
        <v/>
      </c>
      <c r="E1295" s="25" t="str">
        <f>IF($N1295="","",INDEX('_calc'!$D$2:$D$3001,$N1295))</f>
        <v/>
      </c>
      <c r="F1295" s="26" t="str">
        <f>IF($N1295="","",IF($E$8=0,"",E1295/$E$8))</f>
        <v/>
      </c>
      <c r="G1295" s="25" t="str">
        <f>IF($N1295="","",INDEX('_calc'!$E$2:$E$3001,$N1295))</f>
        <v/>
      </c>
      <c r="H1295" s="25" t="str">
        <f>IF($N1295="","",INDEX('_calc'!$F$2:$F$3001,$N1295))</f>
        <v/>
      </c>
      <c r="I1295" s="27" t="str">
        <f>IF($N1295="","",INDEX('_calc'!$H$2:$H$3001,$N1295))</f>
        <v/>
      </c>
      <c r="J1295" s="27" t="str">
        <f>IF($N1295="","",INDEX('_calc'!$I$2:$I$3001,$N1295))</f>
        <v/>
      </c>
      <c r="K1295" s="28" t="str">
        <f>IF($N1295="","",IF(OR(I1295="",J1295=""),"",J1295-I1295))</f>
        <v/>
      </c>
      <c r="L1295" s="29" t="str">
        <f>IF($N1295="","",INDEX('_calc'!$J$2:$J$3001,$N1295))</f>
        <v/>
      </c>
      <c r="M1295" s="2" t="str">
        <f>IF($N1295="","",IF(AND(G1295=0,H1295=0),"수량 없음",IF(G1295=0,"신규 (전년 수량 없음)",IF(H1295=0,"당해 수량 없음",""))))</f>
        <v/>
      </c>
      <c r="N1295" t="str">
        <f>IF($B1295="","",MATCH($B1295,'_calc'!$L$2:$L$3001,0))</f>
        <v/>
      </c>
    </row>
    <row r="1296">
      <c r="B1296" s="24" t="str">
        <f>IF(ROW()-ROW($B$8)&gt;nComp,"",ROW()-ROW($B$8))</f>
        <v/>
      </c>
      <c r="C1296" t="str">
        <f>IF($N1296="","",INDEX('_calc'!$A$2:$A$3001,$N1296))</f>
        <v/>
      </c>
      <c r="D1296" s="25" t="str">
        <f>IF($N1296="","",INDEX('_calc'!$C$2:$C$3001,$N1296))</f>
        <v/>
      </c>
      <c r="E1296" s="25" t="str">
        <f>IF($N1296="","",INDEX('_calc'!$D$2:$D$3001,$N1296))</f>
        <v/>
      </c>
      <c r="F1296" s="26" t="str">
        <f>IF($N1296="","",IF($E$8=0,"",E1296/$E$8))</f>
        <v/>
      </c>
      <c r="G1296" s="25" t="str">
        <f>IF($N1296="","",INDEX('_calc'!$E$2:$E$3001,$N1296))</f>
        <v/>
      </c>
      <c r="H1296" s="25" t="str">
        <f>IF($N1296="","",INDEX('_calc'!$F$2:$F$3001,$N1296))</f>
        <v/>
      </c>
      <c r="I1296" s="27" t="str">
        <f>IF($N1296="","",INDEX('_calc'!$H$2:$H$3001,$N1296))</f>
        <v/>
      </c>
      <c r="J1296" s="27" t="str">
        <f>IF($N1296="","",INDEX('_calc'!$I$2:$I$3001,$N1296))</f>
        <v/>
      </c>
      <c r="K1296" s="28" t="str">
        <f>IF($N1296="","",IF(OR(I1296="",J1296=""),"",J1296-I1296))</f>
        <v/>
      </c>
      <c r="L1296" s="29" t="str">
        <f>IF($N1296="","",INDEX('_calc'!$J$2:$J$3001,$N1296))</f>
        <v/>
      </c>
      <c r="M1296" s="2" t="str">
        <f>IF($N1296="","",IF(AND(G1296=0,H1296=0),"수량 없음",IF(G1296=0,"신규 (전년 수량 없음)",IF(H1296=0,"당해 수량 없음",""))))</f>
        <v/>
      </c>
      <c r="N1296" t="str">
        <f>IF($B1296="","",MATCH($B1296,'_calc'!$L$2:$L$3001,0))</f>
        <v/>
      </c>
    </row>
    <row r="1297">
      <c r="B1297" s="24" t="str">
        <f>IF(ROW()-ROW($B$8)&gt;nComp,"",ROW()-ROW($B$8))</f>
        <v/>
      </c>
      <c r="C1297" t="str">
        <f>IF($N1297="","",INDEX('_calc'!$A$2:$A$3001,$N1297))</f>
        <v/>
      </c>
      <c r="D1297" s="25" t="str">
        <f>IF($N1297="","",INDEX('_calc'!$C$2:$C$3001,$N1297))</f>
        <v/>
      </c>
      <c r="E1297" s="25" t="str">
        <f>IF($N1297="","",INDEX('_calc'!$D$2:$D$3001,$N1297))</f>
        <v/>
      </c>
      <c r="F1297" s="26" t="str">
        <f>IF($N1297="","",IF($E$8=0,"",E1297/$E$8))</f>
        <v/>
      </c>
      <c r="G1297" s="25" t="str">
        <f>IF($N1297="","",INDEX('_calc'!$E$2:$E$3001,$N1297))</f>
        <v/>
      </c>
      <c r="H1297" s="25" t="str">
        <f>IF($N1297="","",INDEX('_calc'!$F$2:$F$3001,$N1297))</f>
        <v/>
      </c>
      <c r="I1297" s="27" t="str">
        <f>IF($N1297="","",INDEX('_calc'!$H$2:$H$3001,$N1297))</f>
        <v/>
      </c>
      <c r="J1297" s="27" t="str">
        <f>IF($N1297="","",INDEX('_calc'!$I$2:$I$3001,$N1297))</f>
        <v/>
      </c>
      <c r="K1297" s="28" t="str">
        <f>IF($N1297="","",IF(OR(I1297="",J1297=""),"",J1297-I1297))</f>
        <v/>
      </c>
      <c r="L1297" s="29" t="str">
        <f>IF($N1297="","",INDEX('_calc'!$J$2:$J$3001,$N1297))</f>
        <v/>
      </c>
      <c r="M1297" s="2" t="str">
        <f>IF($N1297="","",IF(AND(G1297=0,H1297=0),"수량 없음",IF(G1297=0,"신규 (전년 수량 없음)",IF(H1297=0,"당해 수량 없음",""))))</f>
        <v/>
      </c>
      <c r="N1297" t="str">
        <f>IF($B1297="","",MATCH($B1297,'_calc'!$L$2:$L$3001,0))</f>
        <v/>
      </c>
    </row>
    <row r="1298">
      <c r="B1298" s="24" t="str">
        <f>IF(ROW()-ROW($B$8)&gt;nComp,"",ROW()-ROW($B$8))</f>
        <v/>
      </c>
      <c r="C1298" t="str">
        <f>IF($N1298="","",INDEX('_calc'!$A$2:$A$3001,$N1298))</f>
        <v/>
      </c>
      <c r="D1298" s="25" t="str">
        <f>IF($N1298="","",INDEX('_calc'!$C$2:$C$3001,$N1298))</f>
        <v/>
      </c>
      <c r="E1298" s="25" t="str">
        <f>IF($N1298="","",INDEX('_calc'!$D$2:$D$3001,$N1298))</f>
        <v/>
      </c>
      <c r="F1298" s="26" t="str">
        <f>IF($N1298="","",IF($E$8=0,"",E1298/$E$8))</f>
        <v/>
      </c>
      <c r="G1298" s="25" t="str">
        <f>IF($N1298="","",INDEX('_calc'!$E$2:$E$3001,$N1298))</f>
        <v/>
      </c>
      <c r="H1298" s="25" t="str">
        <f>IF($N1298="","",INDEX('_calc'!$F$2:$F$3001,$N1298))</f>
        <v/>
      </c>
      <c r="I1298" s="27" t="str">
        <f>IF($N1298="","",INDEX('_calc'!$H$2:$H$3001,$N1298))</f>
        <v/>
      </c>
      <c r="J1298" s="27" t="str">
        <f>IF($N1298="","",INDEX('_calc'!$I$2:$I$3001,$N1298))</f>
        <v/>
      </c>
      <c r="K1298" s="28" t="str">
        <f>IF($N1298="","",IF(OR(I1298="",J1298=""),"",J1298-I1298))</f>
        <v/>
      </c>
      <c r="L1298" s="29" t="str">
        <f>IF($N1298="","",INDEX('_calc'!$J$2:$J$3001,$N1298))</f>
        <v/>
      </c>
      <c r="M1298" s="2" t="str">
        <f>IF($N1298="","",IF(AND(G1298=0,H1298=0),"수량 없음",IF(G1298=0,"신규 (전년 수량 없음)",IF(H1298=0,"당해 수량 없음",""))))</f>
        <v/>
      </c>
      <c r="N1298" t="str">
        <f>IF($B1298="","",MATCH($B1298,'_calc'!$L$2:$L$3001,0))</f>
        <v/>
      </c>
    </row>
    <row r="1299">
      <c r="B1299" s="24" t="str">
        <f>IF(ROW()-ROW($B$8)&gt;nComp,"",ROW()-ROW($B$8))</f>
        <v/>
      </c>
      <c r="C1299" t="str">
        <f>IF($N1299="","",INDEX('_calc'!$A$2:$A$3001,$N1299))</f>
        <v/>
      </c>
      <c r="D1299" s="25" t="str">
        <f>IF($N1299="","",INDEX('_calc'!$C$2:$C$3001,$N1299))</f>
        <v/>
      </c>
      <c r="E1299" s="25" t="str">
        <f>IF($N1299="","",INDEX('_calc'!$D$2:$D$3001,$N1299))</f>
        <v/>
      </c>
      <c r="F1299" s="26" t="str">
        <f>IF($N1299="","",IF($E$8=0,"",E1299/$E$8))</f>
        <v/>
      </c>
      <c r="G1299" s="25" t="str">
        <f>IF($N1299="","",INDEX('_calc'!$E$2:$E$3001,$N1299))</f>
        <v/>
      </c>
      <c r="H1299" s="25" t="str">
        <f>IF($N1299="","",INDEX('_calc'!$F$2:$F$3001,$N1299))</f>
        <v/>
      </c>
      <c r="I1299" s="27" t="str">
        <f>IF($N1299="","",INDEX('_calc'!$H$2:$H$3001,$N1299))</f>
        <v/>
      </c>
      <c r="J1299" s="27" t="str">
        <f>IF($N1299="","",INDEX('_calc'!$I$2:$I$3001,$N1299))</f>
        <v/>
      </c>
      <c r="K1299" s="28" t="str">
        <f>IF($N1299="","",IF(OR(I1299="",J1299=""),"",J1299-I1299))</f>
        <v/>
      </c>
      <c r="L1299" s="29" t="str">
        <f>IF($N1299="","",INDEX('_calc'!$J$2:$J$3001,$N1299))</f>
        <v/>
      </c>
      <c r="M1299" s="2" t="str">
        <f>IF($N1299="","",IF(AND(G1299=0,H1299=0),"수량 없음",IF(G1299=0,"신규 (전년 수량 없음)",IF(H1299=0,"당해 수량 없음",""))))</f>
        <v/>
      </c>
      <c r="N1299" t="str">
        <f>IF($B1299="","",MATCH($B1299,'_calc'!$L$2:$L$3001,0))</f>
        <v/>
      </c>
    </row>
    <row r="1300">
      <c r="B1300" s="24" t="str">
        <f>IF(ROW()-ROW($B$8)&gt;nComp,"",ROW()-ROW($B$8))</f>
        <v/>
      </c>
      <c r="C1300" t="str">
        <f>IF($N1300="","",INDEX('_calc'!$A$2:$A$3001,$N1300))</f>
        <v/>
      </c>
      <c r="D1300" s="25" t="str">
        <f>IF($N1300="","",INDEX('_calc'!$C$2:$C$3001,$N1300))</f>
        <v/>
      </c>
      <c r="E1300" s="25" t="str">
        <f>IF($N1300="","",INDEX('_calc'!$D$2:$D$3001,$N1300))</f>
        <v/>
      </c>
      <c r="F1300" s="26" t="str">
        <f>IF($N1300="","",IF($E$8=0,"",E1300/$E$8))</f>
        <v/>
      </c>
      <c r="G1300" s="25" t="str">
        <f>IF($N1300="","",INDEX('_calc'!$E$2:$E$3001,$N1300))</f>
        <v/>
      </c>
      <c r="H1300" s="25" t="str">
        <f>IF($N1300="","",INDEX('_calc'!$F$2:$F$3001,$N1300))</f>
        <v/>
      </c>
      <c r="I1300" s="27" t="str">
        <f>IF($N1300="","",INDEX('_calc'!$H$2:$H$3001,$N1300))</f>
        <v/>
      </c>
      <c r="J1300" s="27" t="str">
        <f>IF($N1300="","",INDEX('_calc'!$I$2:$I$3001,$N1300))</f>
        <v/>
      </c>
      <c r="K1300" s="28" t="str">
        <f>IF($N1300="","",IF(OR(I1300="",J1300=""),"",J1300-I1300))</f>
        <v/>
      </c>
      <c r="L1300" s="29" t="str">
        <f>IF($N1300="","",INDEX('_calc'!$J$2:$J$3001,$N1300))</f>
        <v/>
      </c>
      <c r="M1300" s="2" t="str">
        <f>IF($N1300="","",IF(AND(G1300=0,H1300=0),"수량 없음",IF(G1300=0,"신규 (전년 수량 없음)",IF(H1300=0,"당해 수량 없음",""))))</f>
        <v/>
      </c>
      <c r="N1300" t="str">
        <f>IF($B1300="","",MATCH($B1300,'_calc'!$L$2:$L$3001,0))</f>
        <v/>
      </c>
    </row>
    <row r="1301">
      <c r="B1301" s="24" t="str">
        <f>IF(ROW()-ROW($B$8)&gt;nComp,"",ROW()-ROW($B$8))</f>
        <v/>
      </c>
      <c r="C1301" t="str">
        <f>IF($N1301="","",INDEX('_calc'!$A$2:$A$3001,$N1301))</f>
        <v/>
      </c>
      <c r="D1301" s="25" t="str">
        <f>IF($N1301="","",INDEX('_calc'!$C$2:$C$3001,$N1301))</f>
        <v/>
      </c>
      <c r="E1301" s="25" t="str">
        <f>IF($N1301="","",INDEX('_calc'!$D$2:$D$3001,$N1301))</f>
        <v/>
      </c>
      <c r="F1301" s="26" t="str">
        <f>IF($N1301="","",IF($E$8=0,"",E1301/$E$8))</f>
        <v/>
      </c>
      <c r="G1301" s="25" t="str">
        <f>IF($N1301="","",INDEX('_calc'!$E$2:$E$3001,$N1301))</f>
        <v/>
      </c>
      <c r="H1301" s="25" t="str">
        <f>IF($N1301="","",INDEX('_calc'!$F$2:$F$3001,$N1301))</f>
        <v/>
      </c>
      <c r="I1301" s="27" t="str">
        <f>IF($N1301="","",INDEX('_calc'!$H$2:$H$3001,$N1301))</f>
        <v/>
      </c>
      <c r="J1301" s="27" t="str">
        <f>IF($N1301="","",INDEX('_calc'!$I$2:$I$3001,$N1301))</f>
        <v/>
      </c>
      <c r="K1301" s="28" t="str">
        <f>IF($N1301="","",IF(OR(I1301="",J1301=""),"",J1301-I1301))</f>
        <v/>
      </c>
      <c r="L1301" s="29" t="str">
        <f>IF($N1301="","",INDEX('_calc'!$J$2:$J$3001,$N1301))</f>
        <v/>
      </c>
      <c r="M1301" s="2" t="str">
        <f>IF($N1301="","",IF(AND(G1301=0,H1301=0),"수량 없음",IF(G1301=0,"신규 (전년 수량 없음)",IF(H1301=0,"당해 수량 없음",""))))</f>
        <v/>
      </c>
      <c r="N1301" t="str">
        <f>IF($B1301="","",MATCH($B1301,'_calc'!$L$2:$L$3001,0))</f>
        <v/>
      </c>
    </row>
    <row r="1302">
      <c r="B1302" s="24" t="str">
        <f>IF(ROW()-ROW($B$8)&gt;nComp,"",ROW()-ROW($B$8))</f>
        <v/>
      </c>
      <c r="C1302" t="str">
        <f>IF($N1302="","",INDEX('_calc'!$A$2:$A$3001,$N1302))</f>
        <v/>
      </c>
      <c r="D1302" s="25" t="str">
        <f>IF($N1302="","",INDEX('_calc'!$C$2:$C$3001,$N1302))</f>
        <v/>
      </c>
      <c r="E1302" s="25" t="str">
        <f>IF($N1302="","",INDEX('_calc'!$D$2:$D$3001,$N1302))</f>
        <v/>
      </c>
      <c r="F1302" s="26" t="str">
        <f>IF($N1302="","",IF($E$8=0,"",E1302/$E$8))</f>
        <v/>
      </c>
      <c r="G1302" s="25" t="str">
        <f>IF($N1302="","",INDEX('_calc'!$E$2:$E$3001,$N1302))</f>
        <v/>
      </c>
      <c r="H1302" s="25" t="str">
        <f>IF($N1302="","",INDEX('_calc'!$F$2:$F$3001,$N1302))</f>
        <v/>
      </c>
      <c r="I1302" s="27" t="str">
        <f>IF($N1302="","",INDEX('_calc'!$H$2:$H$3001,$N1302))</f>
        <v/>
      </c>
      <c r="J1302" s="27" t="str">
        <f>IF($N1302="","",INDEX('_calc'!$I$2:$I$3001,$N1302))</f>
        <v/>
      </c>
      <c r="K1302" s="28" t="str">
        <f>IF($N1302="","",IF(OR(I1302="",J1302=""),"",J1302-I1302))</f>
        <v/>
      </c>
      <c r="L1302" s="29" t="str">
        <f>IF($N1302="","",INDEX('_calc'!$J$2:$J$3001,$N1302))</f>
        <v/>
      </c>
      <c r="M1302" s="2" t="str">
        <f>IF($N1302="","",IF(AND(G1302=0,H1302=0),"수량 없음",IF(G1302=0,"신규 (전년 수량 없음)",IF(H1302=0,"당해 수량 없음",""))))</f>
        <v/>
      </c>
      <c r="N1302" t="str">
        <f>IF($B1302="","",MATCH($B1302,'_calc'!$L$2:$L$3001,0))</f>
        <v/>
      </c>
    </row>
    <row r="1303">
      <c r="B1303" s="24" t="str">
        <f>IF(ROW()-ROW($B$8)&gt;nComp,"",ROW()-ROW($B$8))</f>
        <v/>
      </c>
      <c r="C1303" t="str">
        <f>IF($N1303="","",INDEX('_calc'!$A$2:$A$3001,$N1303))</f>
        <v/>
      </c>
      <c r="D1303" s="25" t="str">
        <f>IF($N1303="","",INDEX('_calc'!$C$2:$C$3001,$N1303))</f>
        <v/>
      </c>
      <c r="E1303" s="25" t="str">
        <f>IF($N1303="","",INDEX('_calc'!$D$2:$D$3001,$N1303))</f>
        <v/>
      </c>
      <c r="F1303" s="26" t="str">
        <f>IF($N1303="","",IF($E$8=0,"",E1303/$E$8))</f>
        <v/>
      </c>
      <c r="G1303" s="25" t="str">
        <f>IF($N1303="","",INDEX('_calc'!$E$2:$E$3001,$N1303))</f>
        <v/>
      </c>
      <c r="H1303" s="25" t="str">
        <f>IF($N1303="","",INDEX('_calc'!$F$2:$F$3001,$N1303))</f>
        <v/>
      </c>
      <c r="I1303" s="27" t="str">
        <f>IF($N1303="","",INDEX('_calc'!$H$2:$H$3001,$N1303))</f>
        <v/>
      </c>
      <c r="J1303" s="27" t="str">
        <f>IF($N1303="","",INDEX('_calc'!$I$2:$I$3001,$N1303))</f>
        <v/>
      </c>
      <c r="K1303" s="28" t="str">
        <f>IF($N1303="","",IF(OR(I1303="",J1303=""),"",J1303-I1303))</f>
        <v/>
      </c>
      <c r="L1303" s="29" t="str">
        <f>IF($N1303="","",INDEX('_calc'!$J$2:$J$3001,$N1303))</f>
        <v/>
      </c>
      <c r="M1303" s="2" t="str">
        <f>IF($N1303="","",IF(AND(G1303=0,H1303=0),"수량 없음",IF(G1303=0,"신규 (전년 수량 없음)",IF(H1303=0,"당해 수량 없음",""))))</f>
        <v/>
      </c>
      <c r="N1303" t="str">
        <f>IF($B1303="","",MATCH($B1303,'_calc'!$L$2:$L$3001,0))</f>
        <v/>
      </c>
    </row>
    <row r="1304">
      <c r="B1304" s="24" t="str">
        <f>IF(ROW()-ROW($B$8)&gt;nComp,"",ROW()-ROW($B$8))</f>
        <v/>
      </c>
      <c r="C1304" t="str">
        <f>IF($N1304="","",INDEX('_calc'!$A$2:$A$3001,$N1304))</f>
        <v/>
      </c>
      <c r="D1304" s="25" t="str">
        <f>IF($N1304="","",INDEX('_calc'!$C$2:$C$3001,$N1304))</f>
        <v/>
      </c>
      <c r="E1304" s="25" t="str">
        <f>IF($N1304="","",INDEX('_calc'!$D$2:$D$3001,$N1304))</f>
        <v/>
      </c>
      <c r="F1304" s="26" t="str">
        <f>IF($N1304="","",IF($E$8=0,"",E1304/$E$8))</f>
        <v/>
      </c>
      <c r="G1304" s="25" t="str">
        <f>IF($N1304="","",INDEX('_calc'!$E$2:$E$3001,$N1304))</f>
        <v/>
      </c>
      <c r="H1304" s="25" t="str">
        <f>IF($N1304="","",INDEX('_calc'!$F$2:$F$3001,$N1304))</f>
        <v/>
      </c>
      <c r="I1304" s="27" t="str">
        <f>IF($N1304="","",INDEX('_calc'!$H$2:$H$3001,$N1304))</f>
        <v/>
      </c>
      <c r="J1304" s="27" t="str">
        <f>IF($N1304="","",INDEX('_calc'!$I$2:$I$3001,$N1304))</f>
        <v/>
      </c>
      <c r="K1304" s="28" t="str">
        <f>IF($N1304="","",IF(OR(I1304="",J1304=""),"",J1304-I1304))</f>
        <v/>
      </c>
      <c r="L1304" s="29" t="str">
        <f>IF($N1304="","",INDEX('_calc'!$J$2:$J$3001,$N1304))</f>
        <v/>
      </c>
      <c r="M1304" s="2" t="str">
        <f>IF($N1304="","",IF(AND(G1304=0,H1304=0),"수량 없음",IF(G1304=0,"신규 (전년 수량 없음)",IF(H1304=0,"당해 수량 없음",""))))</f>
        <v/>
      </c>
      <c r="N1304" t="str">
        <f>IF($B1304="","",MATCH($B1304,'_calc'!$L$2:$L$3001,0))</f>
        <v/>
      </c>
    </row>
    <row r="1305">
      <c r="B1305" s="24" t="str">
        <f>IF(ROW()-ROW($B$8)&gt;nComp,"",ROW()-ROW($B$8))</f>
        <v/>
      </c>
      <c r="C1305" t="str">
        <f>IF($N1305="","",INDEX('_calc'!$A$2:$A$3001,$N1305))</f>
        <v/>
      </c>
      <c r="D1305" s="25" t="str">
        <f>IF($N1305="","",INDEX('_calc'!$C$2:$C$3001,$N1305))</f>
        <v/>
      </c>
      <c r="E1305" s="25" t="str">
        <f>IF($N1305="","",INDEX('_calc'!$D$2:$D$3001,$N1305))</f>
        <v/>
      </c>
      <c r="F1305" s="26" t="str">
        <f>IF($N1305="","",IF($E$8=0,"",E1305/$E$8))</f>
        <v/>
      </c>
      <c r="G1305" s="25" t="str">
        <f>IF($N1305="","",INDEX('_calc'!$E$2:$E$3001,$N1305))</f>
        <v/>
      </c>
      <c r="H1305" s="25" t="str">
        <f>IF($N1305="","",INDEX('_calc'!$F$2:$F$3001,$N1305))</f>
        <v/>
      </c>
      <c r="I1305" s="27" t="str">
        <f>IF($N1305="","",INDEX('_calc'!$H$2:$H$3001,$N1305))</f>
        <v/>
      </c>
      <c r="J1305" s="27" t="str">
        <f>IF($N1305="","",INDEX('_calc'!$I$2:$I$3001,$N1305))</f>
        <v/>
      </c>
      <c r="K1305" s="28" t="str">
        <f>IF($N1305="","",IF(OR(I1305="",J1305=""),"",J1305-I1305))</f>
        <v/>
      </c>
      <c r="L1305" s="29" t="str">
        <f>IF($N1305="","",INDEX('_calc'!$J$2:$J$3001,$N1305))</f>
        <v/>
      </c>
      <c r="M1305" s="2" t="str">
        <f>IF($N1305="","",IF(AND(G1305=0,H1305=0),"수량 없음",IF(G1305=0,"신규 (전년 수량 없음)",IF(H1305=0,"당해 수량 없음",""))))</f>
        <v/>
      </c>
      <c r="N1305" t="str">
        <f>IF($B1305="","",MATCH($B1305,'_calc'!$L$2:$L$3001,0))</f>
        <v/>
      </c>
    </row>
    <row r="1306">
      <c r="B1306" s="24" t="str">
        <f>IF(ROW()-ROW($B$8)&gt;nComp,"",ROW()-ROW($B$8))</f>
        <v/>
      </c>
      <c r="C1306" t="str">
        <f>IF($N1306="","",INDEX('_calc'!$A$2:$A$3001,$N1306))</f>
        <v/>
      </c>
      <c r="D1306" s="25" t="str">
        <f>IF($N1306="","",INDEX('_calc'!$C$2:$C$3001,$N1306))</f>
        <v/>
      </c>
      <c r="E1306" s="25" t="str">
        <f>IF($N1306="","",INDEX('_calc'!$D$2:$D$3001,$N1306))</f>
        <v/>
      </c>
      <c r="F1306" s="26" t="str">
        <f>IF($N1306="","",IF($E$8=0,"",E1306/$E$8))</f>
        <v/>
      </c>
      <c r="G1306" s="25" t="str">
        <f>IF($N1306="","",INDEX('_calc'!$E$2:$E$3001,$N1306))</f>
        <v/>
      </c>
      <c r="H1306" s="25" t="str">
        <f>IF($N1306="","",INDEX('_calc'!$F$2:$F$3001,$N1306))</f>
        <v/>
      </c>
      <c r="I1306" s="27" t="str">
        <f>IF($N1306="","",INDEX('_calc'!$H$2:$H$3001,$N1306))</f>
        <v/>
      </c>
      <c r="J1306" s="27" t="str">
        <f>IF($N1306="","",INDEX('_calc'!$I$2:$I$3001,$N1306))</f>
        <v/>
      </c>
      <c r="K1306" s="28" t="str">
        <f>IF($N1306="","",IF(OR(I1306="",J1306=""),"",J1306-I1306))</f>
        <v/>
      </c>
      <c r="L1306" s="29" t="str">
        <f>IF($N1306="","",INDEX('_calc'!$J$2:$J$3001,$N1306))</f>
        <v/>
      </c>
      <c r="M1306" s="2" t="str">
        <f>IF($N1306="","",IF(AND(G1306=0,H1306=0),"수량 없음",IF(G1306=0,"신규 (전년 수량 없음)",IF(H1306=0,"당해 수량 없음",""))))</f>
        <v/>
      </c>
      <c r="N1306" t="str">
        <f>IF($B1306="","",MATCH($B1306,'_calc'!$L$2:$L$3001,0))</f>
        <v/>
      </c>
    </row>
    <row r="1307">
      <c r="B1307" s="24" t="str">
        <f>IF(ROW()-ROW($B$8)&gt;nComp,"",ROW()-ROW($B$8))</f>
        <v/>
      </c>
      <c r="C1307" t="str">
        <f>IF($N1307="","",INDEX('_calc'!$A$2:$A$3001,$N1307))</f>
        <v/>
      </c>
      <c r="D1307" s="25" t="str">
        <f>IF($N1307="","",INDEX('_calc'!$C$2:$C$3001,$N1307))</f>
        <v/>
      </c>
      <c r="E1307" s="25" t="str">
        <f>IF($N1307="","",INDEX('_calc'!$D$2:$D$3001,$N1307))</f>
        <v/>
      </c>
      <c r="F1307" s="26" t="str">
        <f>IF($N1307="","",IF($E$8=0,"",E1307/$E$8))</f>
        <v/>
      </c>
      <c r="G1307" s="25" t="str">
        <f>IF($N1307="","",INDEX('_calc'!$E$2:$E$3001,$N1307))</f>
        <v/>
      </c>
      <c r="H1307" s="25" t="str">
        <f>IF($N1307="","",INDEX('_calc'!$F$2:$F$3001,$N1307))</f>
        <v/>
      </c>
      <c r="I1307" s="27" t="str">
        <f>IF($N1307="","",INDEX('_calc'!$H$2:$H$3001,$N1307))</f>
        <v/>
      </c>
      <c r="J1307" s="27" t="str">
        <f>IF($N1307="","",INDEX('_calc'!$I$2:$I$3001,$N1307))</f>
        <v/>
      </c>
      <c r="K1307" s="28" t="str">
        <f>IF($N1307="","",IF(OR(I1307="",J1307=""),"",J1307-I1307))</f>
        <v/>
      </c>
      <c r="L1307" s="29" t="str">
        <f>IF($N1307="","",INDEX('_calc'!$J$2:$J$3001,$N1307))</f>
        <v/>
      </c>
      <c r="M1307" s="2" t="str">
        <f>IF($N1307="","",IF(AND(G1307=0,H1307=0),"수량 없음",IF(G1307=0,"신규 (전년 수량 없음)",IF(H1307=0,"당해 수량 없음",""))))</f>
        <v/>
      </c>
      <c r="N1307" t="str">
        <f>IF($B1307="","",MATCH($B1307,'_calc'!$L$2:$L$3001,0))</f>
        <v/>
      </c>
    </row>
    <row r="1308">
      <c r="B1308" s="24" t="str">
        <f>IF(ROW()-ROW($B$8)&gt;nComp,"",ROW()-ROW($B$8))</f>
        <v/>
      </c>
      <c r="C1308" t="str">
        <f>IF($N1308="","",INDEX('_calc'!$A$2:$A$3001,$N1308))</f>
        <v/>
      </c>
      <c r="D1308" s="25" t="str">
        <f>IF($N1308="","",INDEX('_calc'!$C$2:$C$3001,$N1308))</f>
        <v/>
      </c>
      <c r="E1308" s="25" t="str">
        <f>IF($N1308="","",INDEX('_calc'!$D$2:$D$3001,$N1308))</f>
        <v/>
      </c>
      <c r="F1308" s="26" t="str">
        <f>IF($N1308="","",IF($E$8=0,"",E1308/$E$8))</f>
        <v/>
      </c>
      <c r="G1308" s="25" t="str">
        <f>IF($N1308="","",INDEX('_calc'!$E$2:$E$3001,$N1308))</f>
        <v/>
      </c>
      <c r="H1308" s="25" t="str">
        <f>IF($N1308="","",INDEX('_calc'!$F$2:$F$3001,$N1308))</f>
        <v/>
      </c>
      <c r="I1308" s="27" t="str">
        <f>IF($N1308="","",INDEX('_calc'!$H$2:$H$3001,$N1308))</f>
        <v/>
      </c>
      <c r="J1308" s="27" t="str">
        <f>IF($N1308="","",INDEX('_calc'!$I$2:$I$3001,$N1308))</f>
        <v/>
      </c>
      <c r="K1308" s="28" t="str">
        <f>IF($N1308="","",IF(OR(I1308="",J1308=""),"",J1308-I1308))</f>
        <v/>
      </c>
      <c r="L1308" s="29" t="str">
        <f>IF($N1308="","",INDEX('_calc'!$J$2:$J$3001,$N1308))</f>
        <v/>
      </c>
      <c r="M1308" s="2" t="str">
        <f>IF($N1308="","",IF(AND(G1308=0,H1308=0),"수량 없음",IF(G1308=0,"신규 (전년 수량 없음)",IF(H1308=0,"당해 수량 없음",""))))</f>
        <v/>
      </c>
      <c r="N1308" t="str">
        <f>IF($B1308="","",MATCH($B1308,'_calc'!$L$2:$L$3001,0))</f>
        <v/>
      </c>
    </row>
    <row r="1309">
      <c r="B1309" s="24" t="str">
        <f>IF(ROW()-ROW($B$8)&gt;nComp,"",ROW()-ROW($B$8))</f>
        <v/>
      </c>
      <c r="C1309" t="str">
        <f>IF($N1309="","",INDEX('_calc'!$A$2:$A$3001,$N1309))</f>
        <v/>
      </c>
      <c r="D1309" s="25" t="str">
        <f>IF($N1309="","",INDEX('_calc'!$C$2:$C$3001,$N1309))</f>
        <v/>
      </c>
      <c r="E1309" s="25" t="str">
        <f>IF($N1309="","",INDEX('_calc'!$D$2:$D$3001,$N1309))</f>
        <v/>
      </c>
      <c r="F1309" s="26" t="str">
        <f>IF($N1309="","",IF($E$8=0,"",E1309/$E$8))</f>
        <v/>
      </c>
      <c r="G1309" s="25" t="str">
        <f>IF($N1309="","",INDEX('_calc'!$E$2:$E$3001,$N1309))</f>
        <v/>
      </c>
      <c r="H1309" s="25" t="str">
        <f>IF($N1309="","",INDEX('_calc'!$F$2:$F$3001,$N1309))</f>
        <v/>
      </c>
      <c r="I1309" s="27" t="str">
        <f>IF($N1309="","",INDEX('_calc'!$H$2:$H$3001,$N1309))</f>
        <v/>
      </c>
      <c r="J1309" s="27" t="str">
        <f>IF($N1309="","",INDEX('_calc'!$I$2:$I$3001,$N1309))</f>
        <v/>
      </c>
      <c r="K1309" s="28" t="str">
        <f>IF($N1309="","",IF(OR(I1309="",J1309=""),"",J1309-I1309))</f>
        <v/>
      </c>
      <c r="L1309" s="29" t="str">
        <f>IF($N1309="","",INDEX('_calc'!$J$2:$J$3001,$N1309))</f>
        <v/>
      </c>
      <c r="M1309" s="2" t="str">
        <f>IF($N1309="","",IF(AND(G1309=0,H1309=0),"수량 없음",IF(G1309=0,"신규 (전년 수량 없음)",IF(H1309=0,"당해 수량 없음",""))))</f>
        <v/>
      </c>
      <c r="N1309" t="str">
        <f>IF($B1309="","",MATCH($B1309,'_calc'!$L$2:$L$3001,0))</f>
        <v/>
      </c>
    </row>
    <row r="1310">
      <c r="B1310" s="24" t="str">
        <f>IF(ROW()-ROW($B$8)&gt;nComp,"",ROW()-ROW($B$8))</f>
        <v/>
      </c>
      <c r="C1310" t="str">
        <f>IF($N1310="","",INDEX('_calc'!$A$2:$A$3001,$N1310))</f>
        <v/>
      </c>
      <c r="D1310" s="25" t="str">
        <f>IF($N1310="","",INDEX('_calc'!$C$2:$C$3001,$N1310))</f>
        <v/>
      </c>
      <c r="E1310" s="25" t="str">
        <f>IF($N1310="","",INDEX('_calc'!$D$2:$D$3001,$N1310))</f>
        <v/>
      </c>
      <c r="F1310" s="26" t="str">
        <f>IF($N1310="","",IF($E$8=0,"",E1310/$E$8))</f>
        <v/>
      </c>
      <c r="G1310" s="25" t="str">
        <f>IF($N1310="","",INDEX('_calc'!$E$2:$E$3001,$N1310))</f>
        <v/>
      </c>
      <c r="H1310" s="25" t="str">
        <f>IF($N1310="","",INDEX('_calc'!$F$2:$F$3001,$N1310))</f>
        <v/>
      </c>
      <c r="I1310" s="27" t="str">
        <f>IF($N1310="","",INDEX('_calc'!$H$2:$H$3001,$N1310))</f>
        <v/>
      </c>
      <c r="J1310" s="27" t="str">
        <f>IF($N1310="","",INDEX('_calc'!$I$2:$I$3001,$N1310))</f>
        <v/>
      </c>
      <c r="K1310" s="28" t="str">
        <f>IF($N1310="","",IF(OR(I1310="",J1310=""),"",J1310-I1310))</f>
        <v/>
      </c>
      <c r="L1310" s="29" t="str">
        <f>IF($N1310="","",INDEX('_calc'!$J$2:$J$3001,$N1310))</f>
        <v/>
      </c>
      <c r="M1310" s="2" t="str">
        <f>IF($N1310="","",IF(AND(G1310=0,H1310=0),"수량 없음",IF(G1310=0,"신규 (전년 수량 없음)",IF(H1310=0,"당해 수량 없음",""))))</f>
        <v/>
      </c>
      <c r="N1310" t="str">
        <f>IF($B1310="","",MATCH($B1310,'_calc'!$L$2:$L$3001,0))</f>
        <v/>
      </c>
    </row>
    <row r="1311">
      <c r="B1311" s="24" t="str">
        <f>IF(ROW()-ROW($B$8)&gt;nComp,"",ROW()-ROW($B$8))</f>
        <v/>
      </c>
      <c r="C1311" t="str">
        <f>IF($N1311="","",INDEX('_calc'!$A$2:$A$3001,$N1311))</f>
        <v/>
      </c>
      <c r="D1311" s="25" t="str">
        <f>IF($N1311="","",INDEX('_calc'!$C$2:$C$3001,$N1311))</f>
        <v/>
      </c>
      <c r="E1311" s="25" t="str">
        <f>IF($N1311="","",INDEX('_calc'!$D$2:$D$3001,$N1311))</f>
        <v/>
      </c>
      <c r="F1311" s="26" t="str">
        <f>IF($N1311="","",IF($E$8=0,"",E1311/$E$8))</f>
        <v/>
      </c>
      <c r="G1311" s="25" t="str">
        <f>IF($N1311="","",INDEX('_calc'!$E$2:$E$3001,$N1311))</f>
        <v/>
      </c>
      <c r="H1311" s="25" t="str">
        <f>IF($N1311="","",INDEX('_calc'!$F$2:$F$3001,$N1311))</f>
        <v/>
      </c>
      <c r="I1311" s="27" t="str">
        <f>IF($N1311="","",INDEX('_calc'!$H$2:$H$3001,$N1311))</f>
        <v/>
      </c>
      <c r="J1311" s="27" t="str">
        <f>IF($N1311="","",INDEX('_calc'!$I$2:$I$3001,$N1311))</f>
        <v/>
      </c>
      <c r="K1311" s="28" t="str">
        <f>IF($N1311="","",IF(OR(I1311="",J1311=""),"",J1311-I1311))</f>
        <v/>
      </c>
      <c r="L1311" s="29" t="str">
        <f>IF($N1311="","",INDEX('_calc'!$J$2:$J$3001,$N1311))</f>
        <v/>
      </c>
      <c r="M1311" s="2" t="str">
        <f>IF($N1311="","",IF(AND(G1311=0,H1311=0),"수량 없음",IF(G1311=0,"신규 (전년 수량 없음)",IF(H1311=0,"당해 수량 없음",""))))</f>
        <v/>
      </c>
      <c r="N1311" t="str">
        <f>IF($B1311="","",MATCH($B1311,'_calc'!$L$2:$L$3001,0))</f>
        <v/>
      </c>
    </row>
    <row r="1312">
      <c r="B1312" s="24" t="str">
        <f>IF(ROW()-ROW($B$8)&gt;nComp,"",ROW()-ROW($B$8))</f>
        <v/>
      </c>
      <c r="C1312" t="str">
        <f>IF($N1312="","",INDEX('_calc'!$A$2:$A$3001,$N1312))</f>
        <v/>
      </c>
      <c r="D1312" s="25" t="str">
        <f>IF($N1312="","",INDEX('_calc'!$C$2:$C$3001,$N1312))</f>
        <v/>
      </c>
      <c r="E1312" s="25" t="str">
        <f>IF($N1312="","",INDEX('_calc'!$D$2:$D$3001,$N1312))</f>
        <v/>
      </c>
      <c r="F1312" s="26" t="str">
        <f>IF($N1312="","",IF($E$8=0,"",E1312/$E$8))</f>
        <v/>
      </c>
      <c r="G1312" s="25" t="str">
        <f>IF($N1312="","",INDEX('_calc'!$E$2:$E$3001,$N1312))</f>
        <v/>
      </c>
      <c r="H1312" s="25" t="str">
        <f>IF($N1312="","",INDEX('_calc'!$F$2:$F$3001,$N1312))</f>
        <v/>
      </c>
      <c r="I1312" s="27" t="str">
        <f>IF($N1312="","",INDEX('_calc'!$H$2:$H$3001,$N1312))</f>
        <v/>
      </c>
      <c r="J1312" s="27" t="str">
        <f>IF($N1312="","",INDEX('_calc'!$I$2:$I$3001,$N1312))</f>
        <v/>
      </c>
      <c r="K1312" s="28" t="str">
        <f>IF($N1312="","",IF(OR(I1312="",J1312=""),"",J1312-I1312))</f>
        <v/>
      </c>
      <c r="L1312" s="29" t="str">
        <f>IF($N1312="","",INDEX('_calc'!$J$2:$J$3001,$N1312))</f>
        <v/>
      </c>
      <c r="M1312" s="2" t="str">
        <f>IF($N1312="","",IF(AND(G1312=0,H1312=0),"수량 없음",IF(G1312=0,"신규 (전년 수량 없음)",IF(H1312=0,"당해 수량 없음",""))))</f>
        <v/>
      </c>
      <c r="N1312" t="str">
        <f>IF($B1312="","",MATCH($B1312,'_calc'!$L$2:$L$3001,0))</f>
        <v/>
      </c>
    </row>
    <row r="1313">
      <c r="B1313" s="24" t="str">
        <f>IF(ROW()-ROW($B$8)&gt;nComp,"",ROW()-ROW($B$8))</f>
        <v/>
      </c>
      <c r="C1313" t="str">
        <f>IF($N1313="","",INDEX('_calc'!$A$2:$A$3001,$N1313))</f>
        <v/>
      </c>
      <c r="D1313" s="25" t="str">
        <f>IF($N1313="","",INDEX('_calc'!$C$2:$C$3001,$N1313))</f>
        <v/>
      </c>
      <c r="E1313" s="25" t="str">
        <f>IF($N1313="","",INDEX('_calc'!$D$2:$D$3001,$N1313))</f>
        <v/>
      </c>
      <c r="F1313" s="26" t="str">
        <f>IF($N1313="","",IF($E$8=0,"",E1313/$E$8))</f>
        <v/>
      </c>
      <c r="G1313" s="25" t="str">
        <f>IF($N1313="","",INDEX('_calc'!$E$2:$E$3001,$N1313))</f>
        <v/>
      </c>
      <c r="H1313" s="25" t="str">
        <f>IF($N1313="","",INDEX('_calc'!$F$2:$F$3001,$N1313))</f>
        <v/>
      </c>
      <c r="I1313" s="27" t="str">
        <f>IF($N1313="","",INDEX('_calc'!$H$2:$H$3001,$N1313))</f>
        <v/>
      </c>
      <c r="J1313" s="27" t="str">
        <f>IF($N1313="","",INDEX('_calc'!$I$2:$I$3001,$N1313))</f>
        <v/>
      </c>
      <c r="K1313" s="28" t="str">
        <f>IF($N1313="","",IF(OR(I1313="",J1313=""),"",J1313-I1313))</f>
        <v/>
      </c>
      <c r="L1313" s="29" t="str">
        <f>IF($N1313="","",INDEX('_calc'!$J$2:$J$3001,$N1313))</f>
        <v/>
      </c>
      <c r="M1313" s="2" t="str">
        <f>IF($N1313="","",IF(AND(G1313=0,H1313=0),"수량 없음",IF(G1313=0,"신규 (전년 수량 없음)",IF(H1313=0,"당해 수량 없음",""))))</f>
        <v/>
      </c>
      <c r="N1313" t="str">
        <f>IF($B1313="","",MATCH($B1313,'_calc'!$L$2:$L$3001,0))</f>
        <v/>
      </c>
    </row>
    <row r="1314">
      <c r="B1314" s="24" t="str">
        <f>IF(ROW()-ROW($B$8)&gt;nComp,"",ROW()-ROW($B$8))</f>
        <v/>
      </c>
      <c r="C1314" t="str">
        <f>IF($N1314="","",INDEX('_calc'!$A$2:$A$3001,$N1314))</f>
        <v/>
      </c>
      <c r="D1314" s="25" t="str">
        <f>IF($N1314="","",INDEX('_calc'!$C$2:$C$3001,$N1314))</f>
        <v/>
      </c>
      <c r="E1314" s="25" t="str">
        <f>IF($N1314="","",INDEX('_calc'!$D$2:$D$3001,$N1314))</f>
        <v/>
      </c>
      <c r="F1314" s="26" t="str">
        <f>IF($N1314="","",IF($E$8=0,"",E1314/$E$8))</f>
        <v/>
      </c>
      <c r="G1314" s="25" t="str">
        <f>IF($N1314="","",INDEX('_calc'!$E$2:$E$3001,$N1314))</f>
        <v/>
      </c>
      <c r="H1314" s="25" t="str">
        <f>IF($N1314="","",INDEX('_calc'!$F$2:$F$3001,$N1314))</f>
        <v/>
      </c>
      <c r="I1314" s="27" t="str">
        <f>IF($N1314="","",INDEX('_calc'!$H$2:$H$3001,$N1314))</f>
        <v/>
      </c>
      <c r="J1314" s="27" t="str">
        <f>IF($N1314="","",INDEX('_calc'!$I$2:$I$3001,$N1314))</f>
        <v/>
      </c>
      <c r="K1314" s="28" t="str">
        <f>IF($N1314="","",IF(OR(I1314="",J1314=""),"",J1314-I1314))</f>
        <v/>
      </c>
      <c r="L1314" s="29" t="str">
        <f>IF($N1314="","",INDEX('_calc'!$J$2:$J$3001,$N1314))</f>
        <v/>
      </c>
      <c r="M1314" s="2" t="str">
        <f>IF($N1314="","",IF(AND(G1314=0,H1314=0),"수량 없음",IF(G1314=0,"신규 (전년 수량 없음)",IF(H1314=0,"당해 수량 없음",""))))</f>
        <v/>
      </c>
      <c r="N1314" t="str">
        <f>IF($B1314="","",MATCH($B1314,'_calc'!$L$2:$L$3001,0))</f>
        <v/>
      </c>
    </row>
    <row r="1315">
      <c r="B1315" s="24" t="str">
        <f>IF(ROW()-ROW($B$8)&gt;nComp,"",ROW()-ROW($B$8))</f>
        <v/>
      </c>
      <c r="C1315" t="str">
        <f>IF($N1315="","",INDEX('_calc'!$A$2:$A$3001,$N1315))</f>
        <v/>
      </c>
      <c r="D1315" s="25" t="str">
        <f>IF($N1315="","",INDEX('_calc'!$C$2:$C$3001,$N1315))</f>
        <v/>
      </c>
      <c r="E1315" s="25" t="str">
        <f>IF($N1315="","",INDEX('_calc'!$D$2:$D$3001,$N1315))</f>
        <v/>
      </c>
      <c r="F1315" s="26" t="str">
        <f>IF($N1315="","",IF($E$8=0,"",E1315/$E$8))</f>
        <v/>
      </c>
      <c r="G1315" s="25" t="str">
        <f>IF($N1315="","",INDEX('_calc'!$E$2:$E$3001,$N1315))</f>
        <v/>
      </c>
      <c r="H1315" s="25" t="str">
        <f>IF($N1315="","",INDEX('_calc'!$F$2:$F$3001,$N1315))</f>
        <v/>
      </c>
      <c r="I1315" s="27" t="str">
        <f>IF($N1315="","",INDEX('_calc'!$H$2:$H$3001,$N1315))</f>
        <v/>
      </c>
      <c r="J1315" s="27" t="str">
        <f>IF($N1315="","",INDEX('_calc'!$I$2:$I$3001,$N1315))</f>
        <v/>
      </c>
      <c r="K1315" s="28" t="str">
        <f>IF($N1315="","",IF(OR(I1315="",J1315=""),"",J1315-I1315))</f>
        <v/>
      </c>
      <c r="L1315" s="29" t="str">
        <f>IF($N1315="","",INDEX('_calc'!$J$2:$J$3001,$N1315))</f>
        <v/>
      </c>
      <c r="M1315" s="2" t="str">
        <f>IF($N1315="","",IF(AND(G1315=0,H1315=0),"수량 없음",IF(G1315=0,"신규 (전년 수량 없음)",IF(H1315=0,"당해 수량 없음",""))))</f>
        <v/>
      </c>
      <c r="N1315" t="str">
        <f>IF($B1315="","",MATCH($B1315,'_calc'!$L$2:$L$3001,0))</f>
        <v/>
      </c>
    </row>
    <row r="1316">
      <c r="B1316" s="24" t="str">
        <f>IF(ROW()-ROW($B$8)&gt;nComp,"",ROW()-ROW($B$8))</f>
        <v/>
      </c>
      <c r="C1316" t="str">
        <f>IF($N1316="","",INDEX('_calc'!$A$2:$A$3001,$N1316))</f>
        <v/>
      </c>
      <c r="D1316" s="25" t="str">
        <f>IF($N1316="","",INDEX('_calc'!$C$2:$C$3001,$N1316))</f>
        <v/>
      </c>
      <c r="E1316" s="25" t="str">
        <f>IF($N1316="","",INDEX('_calc'!$D$2:$D$3001,$N1316))</f>
        <v/>
      </c>
      <c r="F1316" s="26" t="str">
        <f>IF($N1316="","",IF($E$8=0,"",E1316/$E$8))</f>
        <v/>
      </c>
      <c r="G1316" s="25" t="str">
        <f>IF($N1316="","",INDEX('_calc'!$E$2:$E$3001,$N1316))</f>
        <v/>
      </c>
      <c r="H1316" s="25" t="str">
        <f>IF($N1316="","",INDEX('_calc'!$F$2:$F$3001,$N1316))</f>
        <v/>
      </c>
      <c r="I1316" s="27" t="str">
        <f>IF($N1316="","",INDEX('_calc'!$H$2:$H$3001,$N1316))</f>
        <v/>
      </c>
      <c r="J1316" s="27" t="str">
        <f>IF($N1316="","",INDEX('_calc'!$I$2:$I$3001,$N1316))</f>
        <v/>
      </c>
      <c r="K1316" s="28" t="str">
        <f>IF($N1316="","",IF(OR(I1316="",J1316=""),"",J1316-I1316))</f>
        <v/>
      </c>
      <c r="L1316" s="29" t="str">
        <f>IF($N1316="","",INDEX('_calc'!$J$2:$J$3001,$N1316))</f>
        <v/>
      </c>
      <c r="M1316" s="2" t="str">
        <f>IF($N1316="","",IF(AND(G1316=0,H1316=0),"수량 없음",IF(G1316=0,"신규 (전년 수량 없음)",IF(H1316=0,"당해 수량 없음",""))))</f>
        <v/>
      </c>
      <c r="N1316" t="str">
        <f>IF($B1316="","",MATCH($B1316,'_calc'!$L$2:$L$3001,0))</f>
        <v/>
      </c>
    </row>
    <row r="1317">
      <c r="B1317" s="24" t="str">
        <f>IF(ROW()-ROW($B$8)&gt;nComp,"",ROW()-ROW($B$8))</f>
        <v/>
      </c>
      <c r="C1317" t="str">
        <f>IF($N1317="","",INDEX('_calc'!$A$2:$A$3001,$N1317))</f>
        <v/>
      </c>
      <c r="D1317" s="25" t="str">
        <f>IF($N1317="","",INDEX('_calc'!$C$2:$C$3001,$N1317))</f>
        <v/>
      </c>
      <c r="E1317" s="25" t="str">
        <f>IF($N1317="","",INDEX('_calc'!$D$2:$D$3001,$N1317))</f>
        <v/>
      </c>
      <c r="F1317" s="26" t="str">
        <f>IF($N1317="","",IF($E$8=0,"",E1317/$E$8))</f>
        <v/>
      </c>
      <c r="G1317" s="25" t="str">
        <f>IF($N1317="","",INDEX('_calc'!$E$2:$E$3001,$N1317))</f>
        <v/>
      </c>
      <c r="H1317" s="25" t="str">
        <f>IF($N1317="","",INDEX('_calc'!$F$2:$F$3001,$N1317))</f>
        <v/>
      </c>
      <c r="I1317" s="27" t="str">
        <f>IF($N1317="","",INDEX('_calc'!$H$2:$H$3001,$N1317))</f>
        <v/>
      </c>
      <c r="J1317" s="27" t="str">
        <f>IF($N1317="","",INDEX('_calc'!$I$2:$I$3001,$N1317))</f>
        <v/>
      </c>
      <c r="K1317" s="28" t="str">
        <f>IF($N1317="","",IF(OR(I1317="",J1317=""),"",J1317-I1317))</f>
        <v/>
      </c>
      <c r="L1317" s="29" t="str">
        <f>IF($N1317="","",INDEX('_calc'!$J$2:$J$3001,$N1317))</f>
        <v/>
      </c>
      <c r="M1317" s="2" t="str">
        <f>IF($N1317="","",IF(AND(G1317=0,H1317=0),"수량 없음",IF(G1317=0,"신규 (전년 수량 없음)",IF(H1317=0,"당해 수량 없음",""))))</f>
        <v/>
      </c>
      <c r="N1317" t="str">
        <f>IF($B1317="","",MATCH($B1317,'_calc'!$L$2:$L$3001,0))</f>
        <v/>
      </c>
    </row>
    <row r="1318">
      <c r="B1318" s="24" t="str">
        <f>IF(ROW()-ROW($B$8)&gt;nComp,"",ROW()-ROW($B$8))</f>
        <v/>
      </c>
      <c r="C1318" t="str">
        <f>IF($N1318="","",INDEX('_calc'!$A$2:$A$3001,$N1318))</f>
        <v/>
      </c>
      <c r="D1318" s="25" t="str">
        <f>IF($N1318="","",INDEX('_calc'!$C$2:$C$3001,$N1318))</f>
        <v/>
      </c>
      <c r="E1318" s="25" t="str">
        <f>IF($N1318="","",INDEX('_calc'!$D$2:$D$3001,$N1318))</f>
        <v/>
      </c>
      <c r="F1318" s="26" t="str">
        <f>IF($N1318="","",IF($E$8=0,"",E1318/$E$8))</f>
        <v/>
      </c>
      <c r="G1318" s="25" t="str">
        <f>IF($N1318="","",INDEX('_calc'!$E$2:$E$3001,$N1318))</f>
        <v/>
      </c>
      <c r="H1318" s="25" t="str">
        <f>IF($N1318="","",INDEX('_calc'!$F$2:$F$3001,$N1318))</f>
        <v/>
      </c>
      <c r="I1318" s="27" t="str">
        <f>IF($N1318="","",INDEX('_calc'!$H$2:$H$3001,$N1318))</f>
        <v/>
      </c>
      <c r="J1318" s="27" t="str">
        <f>IF($N1318="","",INDEX('_calc'!$I$2:$I$3001,$N1318))</f>
        <v/>
      </c>
      <c r="K1318" s="28" t="str">
        <f>IF($N1318="","",IF(OR(I1318="",J1318=""),"",J1318-I1318))</f>
        <v/>
      </c>
      <c r="L1318" s="29" t="str">
        <f>IF($N1318="","",INDEX('_calc'!$J$2:$J$3001,$N1318))</f>
        <v/>
      </c>
      <c r="M1318" s="2" t="str">
        <f>IF($N1318="","",IF(AND(G1318=0,H1318=0),"수량 없음",IF(G1318=0,"신규 (전년 수량 없음)",IF(H1318=0,"당해 수량 없음",""))))</f>
        <v/>
      </c>
      <c r="N1318" t="str">
        <f>IF($B1318="","",MATCH($B1318,'_calc'!$L$2:$L$3001,0))</f>
        <v/>
      </c>
    </row>
    <row r="1319">
      <c r="B1319" s="24" t="str">
        <f>IF(ROW()-ROW($B$8)&gt;nComp,"",ROW()-ROW($B$8))</f>
        <v/>
      </c>
      <c r="C1319" t="str">
        <f>IF($N1319="","",INDEX('_calc'!$A$2:$A$3001,$N1319))</f>
        <v/>
      </c>
      <c r="D1319" s="25" t="str">
        <f>IF($N1319="","",INDEX('_calc'!$C$2:$C$3001,$N1319))</f>
        <v/>
      </c>
      <c r="E1319" s="25" t="str">
        <f>IF($N1319="","",INDEX('_calc'!$D$2:$D$3001,$N1319))</f>
        <v/>
      </c>
      <c r="F1319" s="26" t="str">
        <f>IF($N1319="","",IF($E$8=0,"",E1319/$E$8))</f>
        <v/>
      </c>
      <c r="G1319" s="25" t="str">
        <f>IF($N1319="","",INDEX('_calc'!$E$2:$E$3001,$N1319))</f>
        <v/>
      </c>
      <c r="H1319" s="25" t="str">
        <f>IF($N1319="","",INDEX('_calc'!$F$2:$F$3001,$N1319))</f>
        <v/>
      </c>
      <c r="I1319" s="27" t="str">
        <f>IF($N1319="","",INDEX('_calc'!$H$2:$H$3001,$N1319))</f>
        <v/>
      </c>
      <c r="J1319" s="27" t="str">
        <f>IF($N1319="","",INDEX('_calc'!$I$2:$I$3001,$N1319))</f>
        <v/>
      </c>
      <c r="K1319" s="28" t="str">
        <f>IF($N1319="","",IF(OR(I1319="",J1319=""),"",J1319-I1319))</f>
        <v/>
      </c>
      <c r="L1319" s="29" t="str">
        <f>IF($N1319="","",INDEX('_calc'!$J$2:$J$3001,$N1319))</f>
        <v/>
      </c>
      <c r="M1319" s="2" t="str">
        <f>IF($N1319="","",IF(AND(G1319=0,H1319=0),"수량 없음",IF(G1319=0,"신규 (전년 수량 없음)",IF(H1319=0,"당해 수량 없음",""))))</f>
        <v/>
      </c>
      <c r="N1319" t="str">
        <f>IF($B1319="","",MATCH($B1319,'_calc'!$L$2:$L$3001,0))</f>
        <v/>
      </c>
    </row>
    <row r="1320">
      <c r="B1320" s="24" t="str">
        <f>IF(ROW()-ROW($B$8)&gt;nComp,"",ROW()-ROW($B$8))</f>
        <v/>
      </c>
      <c r="C1320" t="str">
        <f>IF($N1320="","",INDEX('_calc'!$A$2:$A$3001,$N1320))</f>
        <v/>
      </c>
      <c r="D1320" s="25" t="str">
        <f>IF($N1320="","",INDEX('_calc'!$C$2:$C$3001,$N1320))</f>
        <v/>
      </c>
      <c r="E1320" s="25" t="str">
        <f>IF($N1320="","",INDEX('_calc'!$D$2:$D$3001,$N1320))</f>
        <v/>
      </c>
      <c r="F1320" s="26" t="str">
        <f>IF($N1320="","",IF($E$8=0,"",E1320/$E$8))</f>
        <v/>
      </c>
      <c r="G1320" s="25" t="str">
        <f>IF($N1320="","",INDEX('_calc'!$E$2:$E$3001,$N1320))</f>
        <v/>
      </c>
      <c r="H1320" s="25" t="str">
        <f>IF($N1320="","",INDEX('_calc'!$F$2:$F$3001,$N1320))</f>
        <v/>
      </c>
      <c r="I1320" s="27" t="str">
        <f>IF($N1320="","",INDEX('_calc'!$H$2:$H$3001,$N1320))</f>
        <v/>
      </c>
      <c r="J1320" s="27" t="str">
        <f>IF($N1320="","",INDEX('_calc'!$I$2:$I$3001,$N1320))</f>
        <v/>
      </c>
      <c r="K1320" s="28" t="str">
        <f>IF($N1320="","",IF(OR(I1320="",J1320=""),"",J1320-I1320))</f>
        <v/>
      </c>
      <c r="L1320" s="29" t="str">
        <f>IF($N1320="","",INDEX('_calc'!$J$2:$J$3001,$N1320))</f>
        <v/>
      </c>
      <c r="M1320" s="2" t="str">
        <f>IF($N1320="","",IF(AND(G1320=0,H1320=0),"수량 없음",IF(G1320=0,"신규 (전년 수량 없음)",IF(H1320=0,"당해 수량 없음",""))))</f>
        <v/>
      </c>
      <c r="N1320" t="str">
        <f>IF($B1320="","",MATCH($B1320,'_calc'!$L$2:$L$3001,0))</f>
        <v/>
      </c>
    </row>
    <row r="1321">
      <c r="B1321" s="24" t="str">
        <f>IF(ROW()-ROW($B$8)&gt;nComp,"",ROW()-ROW($B$8))</f>
        <v/>
      </c>
      <c r="C1321" t="str">
        <f>IF($N1321="","",INDEX('_calc'!$A$2:$A$3001,$N1321))</f>
        <v/>
      </c>
      <c r="D1321" s="25" t="str">
        <f>IF($N1321="","",INDEX('_calc'!$C$2:$C$3001,$N1321))</f>
        <v/>
      </c>
      <c r="E1321" s="25" t="str">
        <f>IF($N1321="","",INDEX('_calc'!$D$2:$D$3001,$N1321))</f>
        <v/>
      </c>
      <c r="F1321" s="26" t="str">
        <f>IF($N1321="","",IF($E$8=0,"",E1321/$E$8))</f>
        <v/>
      </c>
      <c r="G1321" s="25" t="str">
        <f>IF($N1321="","",INDEX('_calc'!$E$2:$E$3001,$N1321))</f>
        <v/>
      </c>
      <c r="H1321" s="25" t="str">
        <f>IF($N1321="","",INDEX('_calc'!$F$2:$F$3001,$N1321))</f>
        <v/>
      </c>
      <c r="I1321" s="27" t="str">
        <f>IF($N1321="","",INDEX('_calc'!$H$2:$H$3001,$N1321))</f>
        <v/>
      </c>
      <c r="J1321" s="27" t="str">
        <f>IF($N1321="","",INDEX('_calc'!$I$2:$I$3001,$N1321))</f>
        <v/>
      </c>
      <c r="K1321" s="28" t="str">
        <f>IF($N1321="","",IF(OR(I1321="",J1321=""),"",J1321-I1321))</f>
        <v/>
      </c>
      <c r="L1321" s="29" t="str">
        <f>IF($N1321="","",INDEX('_calc'!$J$2:$J$3001,$N1321))</f>
        <v/>
      </c>
      <c r="M1321" s="2" t="str">
        <f>IF($N1321="","",IF(AND(G1321=0,H1321=0),"수량 없음",IF(G1321=0,"신규 (전년 수량 없음)",IF(H1321=0,"당해 수량 없음",""))))</f>
        <v/>
      </c>
      <c r="N1321" t="str">
        <f>IF($B1321="","",MATCH($B1321,'_calc'!$L$2:$L$3001,0))</f>
        <v/>
      </c>
    </row>
    <row r="1322">
      <c r="B1322" s="24" t="str">
        <f>IF(ROW()-ROW($B$8)&gt;nComp,"",ROW()-ROW($B$8))</f>
        <v/>
      </c>
      <c r="C1322" t="str">
        <f>IF($N1322="","",INDEX('_calc'!$A$2:$A$3001,$N1322))</f>
        <v/>
      </c>
      <c r="D1322" s="25" t="str">
        <f>IF($N1322="","",INDEX('_calc'!$C$2:$C$3001,$N1322))</f>
        <v/>
      </c>
      <c r="E1322" s="25" t="str">
        <f>IF($N1322="","",INDEX('_calc'!$D$2:$D$3001,$N1322))</f>
        <v/>
      </c>
      <c r="F1322" s="26" t="str">
        <f>IF($N1322="","",IF($E$8=0,"",E1322/$E$8))</f>
        <v/>
      </c>
      <c r="G1322" s="25" t="str">
        <f>IF($N1322="","",INDEX('_calc'!$E$2:$E$3001,$N1322))</f>
        <v/>
      </c>
      <c r="H1322" s="25" t="str">
        <f>IF($N1322="","",INDEX('_calc'!$F$2:$F$3001,$N1322))</f>
        <v/>
      </c>
      <c r="I1322" s="27" t="str">
        <f>IF($N1322="","",INDEX('_calc'!$H$2:$H$3001,$N1322))</f>
        <v/>
      </c>
      <c r="J1322" s="27" t="str">
        <f>IF($N1322="","",INDEX('_calc'!$I$2:$I$3001,$N1322))</f>
        <v/>
      </c>
      <c r="K1322" s="28" t="str">
        <f>IF($N1322="","",IF(OR(I1322="",J1322=""),"",J1322-I1322))</f>
        <v/>
      </c>
      <c r="L1322" s="29" t="str">
        <f>IF($N1322="","",INDEX('_calc'!$J$2:$J$3001,$N1322))</f>
        <v/>
      </c>
      <c r="M1322" s="2" t="str">
        <f>IF($N1322="","",IF(AND(G1322=0,H1322=0),"수량 없음",IF(G1322=0,"신규 (전년 수량 없음)",IF(H1322=0,"당해 수량 없음",""))))</f>
        <v/>
      </c>
      <c r="N1322" t="str">
        <f>IF($B1322="","",MATCH($B1322,'_calc'!$L$2:$L$3001,0))</f>
        <v/>
      </c>
    </row>
    <row r="1323">
      <c r="B1323" s="24" t="str">
        <f>IF(ROW()-ROW($B$8)&gt;nComp,"",ROW()-ROW($B$8))</f>
        <v/>
      </c>
      <c r="C1323" t="str">
        <f>IF($N1323="","",INDEX('_calc'!$A$2:$A$3001,$N1323))</f>
        <v/>
      </c>
      <c r="D1323" s="25" t="str">
        <f>IF($N1323="","",INDEX('_calc'!$C$2:$C$3001,$N1323))</f>
        <v/>
      </c>
      <c r="E1323" s="25" t="str">
        <f>IF($N1323="","",INDEX('_calc'!$D$2:$D$3001,$N1323))</f>
        <v/>
      </c>
      <c r="F1323" s="26" t="str">
        <f>IF($N1323="","",IF($E$8=0,"",E1323/$E$8))</f>
        <v/>
      </c>
      <c r="G1323" s="25" t="str">
        <f>IF($N1323="","",INDEX('_calc'!$E$2:$E$3001,$N1323))</f>
        <v/>
      </c>
      <c r="H1323" s="25" t="str">
        <f>IF($N1323="","",INDEX('_calc'!$F$2:$F$3001,$N1323))</f>
        <v/>
      </c>
      <c r="I1323" s="27" t="str">
        <f>IF($N1323="","",INDEX('_calc'!$H$2:$H$3001,$N1323))</f>
        <v/>
      </c>
      <c r="J1323" s="27" t="str">
        <f>IF($N1323="","",INDEX('_calc'!$I$2:$I$3001,$N1323))</f>
        <v/>
      </c>
      <c r="K1323" s="28" t="str">
        <f>IF($N1323="","",IF(OR(I1323="",J1323=""),"",J1323-I1323))</f>
        <v/>
      </c>
      <c r="L1323" s="29" t="str">
        <f>IF($N1323="","",INDEX('_calc'!$J$2:$J$3001,$N1323))</f>
        <v/>
      </c>
      <c r="M1323" s="2" t="str">
        <f>IF($N1323="","",IF(AND(G1323=0,H1323=0),"수량 없음",IF(G1323=0,"신규 (전년 수량 없음)",IF(H1323=0,"당해 수량 없음",""))))</f>
        <v/>
      </c>
      <c r="N1323" t="str">
        <f>IF($B1323="","",MATCH($B1323,'_calc'!$L$2:$L$3001,0))</f>
        <v/>
      </c>
    </row>
    <row r="1324">
      <c r="B1324" s="24" t="str">
        <f>IF(ROW()-ROW($B$8)&gt;nComp,"",ROW()-ROW($B$8))</f>
        <v/>
      </c>
      <c r="C1324" t="str">
        <f>IF($N1324="","",INDEX('_calc'!$A$2:$A$3001,$N1324))</f>
        <v/>
      </c>
      <c r="D1324" s="25" t="str">
        <f>IF($N1324="","",INDEX('_calc'!$C$2:$C$3001,$N1324))</f>
        <v/>
      </c>
      <c r="E1324" s="25" t="str">
        <f>IF($N1324="","",INDEX('_calc'!$D$2:$D$3001,$N1324))</f>
        <v/>
      </c>
      <c r="F1324" s="26" t="str">
        <f>IF($N1324="","",IF($E$8=0,"",E1324/$E$8))</f>
        <v/>
      </c>
      <c r="G1324" s="25" t="str">
        <f>IF($N1324="","",INDEX('_calc'!$E$2:$E$3001,$N1324))</f>
        <v/>
      </c>
      <c r="H1324" s="25" t="str">
        <f>IF($N1324="","",INDEX('_calc'!$F$2:$F$3001,$N1324))</f>
        <v/>
      </c>
      <c r="I1324" s="27" t="str">
        <f>IF($N1324="","",INDEX('_calc'!$H$2:$H$3001,$N1324))</f>
        <v/>
      </c>
      <c r="J1324" s="27" t="str">
        <f>IF($N1324="","",INDEX('_calc'!$I$2:$I$3001,$N1324))</f>
        <v/>
      </c>
      <c r="K1324" s="28" t="str">
        <f>IF($N1324="","",IF(OR(I1324="",J1324=""),"",J1324-I1324))</f>
        <v/>
      </c>
      <c r="L1324" s="29" t="str">
        <f>IF($N1324="","",INDEX('_calc'!$J$2:$J$3001,$N1324))</f>
        <v/>
      </c>
      <c r="M1324" s="2" t="str">
        <f>IF($N1324="","",IF(AND(G1324=0,H1324=0),"수량 없음",IF(G1324=0,"신규 (전년 수량 없음)",IF(H1324=0,"당해 수량 없음",""))))</f>
        <v/>
      </c>
      <c r="N1324" t="str">
        <f>IF($B1324="","",MATCH($B1324,'_calc'!$L$2:$L$3001,0))</f>
        <v/>
      </c>
    </row>
    <row r="1325">
      <c r="B1325" s="24" t="str">
        <f>IF(ROW()-ROW($B$8)&gt;nComp,"",ROW()-ROW($B$8))</f>
        <v/>
      </c>
      <c r="C1325" t="str">
        <f>IF($N1325="","",INDEX('_calc'!$A$2:$A$3001,$N1325))</f>
        <v/>
      </c>
      <c r="D1325" s="25" t="str">
        <f>IF($N1325="","",INDEX('_calc'!$C$2:$C$3001,$N1325))</f>
        <v/>
      </c>
      <c r="E1325" s="25" t="str">
        <f>IF($N1325="","",INDEX('_calc'!$D$2:$D$3001,$N1325))</f>
        <v/>
      </c>
      <c r="F1325" s="26" t="str">
        <f>IF($N1325="","",IF($E$8=0,"",E1325/$E$8))</f>
        <v/>
      </c>
      <c r="G1325" s="25" t="str">
        <f>IF($N1325="","",INDEX('_calc'!$E$2:$E$3001,$N1325))</f>
        <v/>
      </c>
      <c r="H1325" s="25" t="str">
        <f>IF($N1325="","",INDEX('_calc'!$F$2:$F$3001,$N1325))</f>
        <v/>
      </c>
      <c r="I1325" s="27" t="str">
        <f>IF($N1325="","",INDEX('_calc'!$H$2:$H$3001,$N1325))</f>
        <v/>
      </c>
      <c r="J1325" s="27" t="str">
        <f>IF($N1325="","",INDEX('_calc'!$I$2:$I$3001,$N1325))</f>
        <v/>
      </c>
      <c r="K1325" s="28" t="str">
        <f>IF($N1325="","",IF(OR(I1325="",J1325=""),"",J1325-I1325))</f>
        <v/>
      </c>
      <c r="L1325" s="29" t="str">
        <f>IF($N1325="","",INDEX('_calc'!$J$2:$J$3001,$N1325))</f>
        <v/>
      </c>
      <c r="M1325" s="2" t="str">
        <f>IF($N1325="","",IF(AND(G1325=0,H1325=0),"수량 없음",IF(G1325=0,"신규 (전년 수량 없음)",IF(H1325=0,"당해 수량 없음",""))))</f>
        <v/>
      </c>
      <c r="N1325" t="str">
        <f>IF($B1325="","",MATCH($B1325,'_calc'!$L$2:$L$3001,0))</f>
        <v/>
      </c>
    </row>
    <row r="1326">
      <c r="B1326" s="24" t="str">
        <f>IF(ROW()-ROW($B$8)&gt;nComp,"",ROW()-ROW($B$8))</f>
        <v/>
      </c>
      <c r="C1326" t="str">
        <f>IF($N1326="","",INDEX('_calc'!$A$2:$A$3001,$N1326))</f>
        <v/>
      </c>
      <c r="D1326" s="25" t="str">
        <f>IF($N1326="","",INDEX('_calc'!$C$2:$C$3001,$N1326))</f>
        <v/>
      </c>
      <c r="E1326" s="25" t="str">
        <f>IF($N1326="","",INDEX('_calc'!$D$2:$D$3001,$N1326))</f>
        <v/>
      </c>
      <c r="F1326" s="26" t="str">
        <f>IF($N1326="","",IF($E$8=0,"",E1326/$E$8))</f>
        <v/>
      </c>
      <c r="G1326" s="25" t="str">
        <f>IF($N1326="","",INDEX('_calc'!$E$2:$E$3001,$N1326))</f>
        <v/>
      </c>
      <c r="H1326" s="25" t="str">
        <f>IF($N1326="","",INDEX('_calc'!$F$2:$F$3001,$N1326))</f>
        <v/>
      </c>
      <c r="I1326" s="27" t="str">
        <f>IF($N1326="","",INDEX('_calc'!$H$2:$H$3001,$N1326))</f>
        <v/>
      </c>
      <c r="J1326" s="27" t="str">
        <f>IF($N1326="","",INDEX('_calc'!$I$2:$I$3001,$N1326))</f>
        <v/>
      </c>
      <c r="K1326" s="28" t="str">
        <f>IF($N1326="","",IF(OR(I1326="",J1326=""),"",J1326-I1326))</f>
        <v/>
      </c>
      <c r="L1326" s="29" t="str">
        <f>IF($N1326="","",INDEX('_calc'!$J$2:$J$3001,$N1326))</f>
        <v/>
      </c>
      <c r="M1326" s="2" t="str">
        <f>IF($N1326="","",IF(AND(G1326=0,H1326=0),"수량 없음",IF(G1326=0,"신규 (전년 수량 없음)",IF(H1326=0,"당해 수량 없음",""))))</f>
        <v/>
      </c>
      <c r="N1326" t="str">
        <f>IF($B1326="","",MATCH($B1326,'_calc'!$L$2:$L$3001,0))</f>
        <v/>
      </c>
    </row>
    <row r="1327">
      <c r="B1327" s="24" t="str">
        <f>IF(ROW()-ROW($B$8)&gt;nComp,"",ROW()-ROW($B$8))</f>
        <v/>
      </c>
      <c r="C1327" t="str">
        <f>IF($N1327="","",INDEX('_calc'!$A$2:$A$3001,$N1327))</f>
        <v/>
      </c>
      <c r="D1327" s="25" t="str">
        <f>IF($N1327="","",INDEX('_calc'!$C$2:$C$3001,$N1327))</f>
        <v/>
      </c>
      <c r="E1327" s="25" t="str">
        <f>IF($N1327="","",INDEX('_calc'!$D$2:$D$3001,$N1327))</f>
        <v/>
      </c>
      <c r="F1327" s="26" t="str">
        <f>IF($N1327="","",IF($E$8=0,"",E1327/$E$8))</f>
        <v/>
      </c>
      <c r="G1327" s="25" t="str">
        <f>IF($N1327="","",INDEX('_calc'!$E$2:$E$3001,$N1327))</f>
        <v/>
      </c>
      <c r="H1327" s="25" t="str">
        <f>IF($N1327="","",INDEX('_calc'!$F$2:$F$3001,$N1327))</f>
        <v/>
      </c>
      <c r="I1327" s="27" t="str">
        <f>IF($N1327="","",INDEX('_calc'!$H$2:$H$3001,$N1327))</f>
        <v/>
      </c>
      <c r="J1327" s="27" t="str">
        <f>IF($N1327="","",INDEX('_calc'!$I$2:$I$3001,$N1327))</f>
        <v/>
      </c>
      <c r="K1327" s="28" t="str">
        <f>IF($N1327="","",IF(OR(I1327="",J1327=""),"",J1327-I1327))</f>
        <v/>
      </c>
      <c r="L1327" s="29" t="str">
        <f>IF($N1327="","",INDEX('_calc'!$J$2:$J$3001,$N1327))</f>
        <v/>
      </c>
      <c r="M1327" s="2" t="str">
        <f>IF($N1327="","",IF(AND(G1327=0,H1327=0),"수량 없음",IF(G1327=0,"신규 (전년 수량 없음)",IF(H1327=0,"당해 수량 없음",""))))</f>
        <v/>
      </c>
      <c r="N1327" t="str">
        <f>IF($B1327="","",MATCH($B1327,'_calc'!$L$2:$L$3001,0))</f>
        <v/>
      </c>
    </row>
    <row r="1328">
      <c r="B1328" s="24" t="str">
        <f>IF(ROW()-ROW($B$8)&gt;nComp,"",ROW()-ROW($B$8))</f>
        <v/>
      </c>
      <c r="C1328" t="str">
        <f>IF($N1328="","",INDEX('_calc'!$A$2:$A$3001,$N1328))</f>
        <v/>
      </c>
      <c r="D1328" s="25" t="str">
        <f>IF($N1328="","",INDEX('_calc'!$C$2:$C$3001,$N1328))</f>
        <v/>
      </c>
      <c r="E1328" s="25" t="str">
        <f>IF($N1328="","",INDEX('_calc'!$D$2:$D$3001,$N1328))</f>
        <v/>
      </c>
      <c r="F1328" s="26" t="str">
        <f>IF($N1328="","",IF($E$8=0,"",E1328/$E$8))</f>
        <v/>
      </c>
      <c r="G1328" s="25" t="str">
        <f>IF($N1328="","",INDEX('_calc'!$E$2:$E$3001,$N1328))</f>
        <v/>
      </c>
      <c r="H1328" s="25" t="str">
        <f>IF($N1328="","",INDEX('_calc'!$F$2:$F$3001,$N1328))</f>
        <v/>
      </c>
      <c r="I1328" s="27" t="str">
        <f>IF($N1328="","",INDEX('_calc'!$H$2:$H$3001,$N1328))</f>
        <v/>
      </c>
      <c r="J1328" s="27" t="str">
        <f>IF($N1328="","",INDEX('_calc'!$I$2:$I$3001,$N1328))</f>
        <v/>
      </c>
      <c r="K1328" s="28" t="str">
        <f>IF($N1328="","",IF(OR(I1328="",J1328=""),"",J1328-I1328))</f>
        <v/>
      </c>
      <c r="L1328" s="29" t="str">
        <f>IF($N1328="","",INDEX('_calc'!$J$2:$J$3001,$N1328))</f>
        <v/>
      </c>
      <c r="M1328" s="2" t="str">
        <f>IF($N1328="","",IF(AND(G1328=0,H1328=0),"수량 없음",IF(G1328=0,"신규 (전년 수량 없음)",IF(H1328=0,"당해 수량 없음",""))))</f>
        <v/>
      </c>
      <c r="N1328" t="str">
        <f>IF($B1328="","",MATCH($B1328,'_calc'!$L$2:$L$3001,0))</f>
        <v/>
      </c>
    </row>
    <row r="1329">
      <c r="B1329" s="24" t="str">
        <f>IF(ROW()-ROW($B$8)&gt;nComp,"",ROW()-ROW($B$8))</f>
        <v/>
      </c>
      <c r="C1329" t="str">
        <f>IF($N1329="","",INDEX('_calc'!$A$2:$A$3001,$N1329))</f>
        <v/>
      </c>
      <c r="D1329" s="25" t="str">
        <f>IF($N1329="","",INDEX('_calc'!$C$2:$C$3001,$N1329))</f>
        <v/>
      </c>
      <c r="E1329" s="25" t="str">
        <f>IF($N1329="","",INDEX('_calc'!$D$2:$D$3001,$N1329))</f>
        <v/>
      </c>
      <c r="F1329" s="26" t="str">
        <f>IF($N1329="","",IF($E$8=0,"",E1329/$E$8))</f>
        <v/>
      </c>
      <c r="G1329" s="25" t="str">
        <f>IF($N1329="","",INDEX('_calc'!$E$2:$E$3001,$N1329))</f>
        <v/>
      </c>
      <c r="H1329" s="25" t="str">
        <f>IF($N1329="","",INDEX('_calc'!$F$2:$F$3001,$N1329))</f>
        <v/>
      </c>
      <c r="I1329" s="27" t="str">
        <f>IF($N1329="","",INDEX('_calc'!$H$2:$H$3001,$N1329))</f>
        <v/>
      </c>
      <c r="J1329" s="27" t="str">
        <f>IF($N1329="","",INDEX('_calc'!$I$2:$I$3001,$N1329))</f>
        <v/>
      </c>
      <c r="K1329" s="28" t="str">
        <f>IF($N1329="","",IF(OR(I1329="",J1329=""),"",J1329-I1329))</f>
        <v/>
      </c>
      <c r="L1329" s="29" t="str">
        <f>IF($N1329="","",INDEX('_calc'!$J$2:$J$3001,$N1329))</f>
        <v/>
      </c>
      <c r="M1329" s="2" t="str">
        <f>IF($N1329="","",IF(AND(G1329=0,H1329=0),"수량 없음",IF(G1329=0,"신규 (전년 수량 없음)",IF(H1329=0,"당해 수량 없음",""))))</f>
        <v/>
      </c>
      <c r="N1329" t="str">
        <f>IF($B1329="","",MATCH($B1329,'_calc'!$L$2:$L$3001,0))</f>
        <v/>
      </c>
    </row>
    <row r="1330">
      <c r="B1330" s="24" t="str">
        <f>IF(ROW()-ROW($B$8)&gt;nComp,"",ROW()-ROW($B$8))</f>
        <v/>
      </c>
      <c r="C1330" t="str">
        <f>IF($N1330="","",INDEX('_calc'!$A$2:$A$3001,$N1330))</f>
        <v/>
      </c>
      <c r="D1330" s="25" t="str">
        <f>IF($N1330="","",INDEX('_calc'!$C$2:$C$3001,$N1330))</f>
        <v/>
      </c>
      <c r="E1330" s="25" t="str">
        <f>IF($N1330="","",INDEX('_calc'!$D$2:$D$3001,$N1330))</f>
        <v/>
      </c>
      <c r="F1330" s="26" t="str">
        <f>IF($N1330="","",IF($E$8=0,"",E1330/$E$8))</f>
        <v/>
      </c>
      <c r="G1330" s="25" t="str">
        <f>IF($N1330="","",INDEX('_calc'!$E$2:$E$3001,$N1330))</f>
        <v/>
      </c>
      <c r="H1330" s="25" t="str">
        <f>IF($N1330="","",INDEX('_calc'!$F$2:$F$3001,$N1330))</f>
        <v/>
      </c>
      <c r="I1330" s="27" t="str">
        <f>IF($N1330="","",INDEX('_calc'!$H$2:$H$3001,$N1330))</f>
        <v/>
      </c>
      <c r="J1330" s="27" t="str">
        <f>IF($N1330="","",INDEX('_calc'!$I$2:$I$3001,$N1330))</f>
        <v/>
      </c>
      <c r="K1330" s="28" t="str">
        <f>IF($N1330="","",IF(OR(I1330="",J1330=""),"",J1330-I1330))</f>
        <v/>
      </c>
      <c r="L1330" s="29" t="str">
        <f>IF($N1330="","",INDEX('_calc'!$J$2:$J$3001,$N1330))</f>
        <v/>
      </c>
      <c r="M1330" s="2" t="str">
        <f>IF($N1330="","",IF(AND(G1330=0,H1330=0),"수량 없음",IF(G1330=0,"신규 (전년 수량 없음)",IF(H1330=0,"당해 수량 없음",""))))</f>
        <v/>
      </c>
      <c r="N1330" t="str">
        <f>IF($B1330="","",MATCH($B1330,'_calc'!$L$2:$L$3001,0))</f>
        <v/>
      </c>
    </row>
    <row r="1331">
      <c r="B1331" s="24" t="str">
        <f>IF(ROW()-ROW($B$8)&gt;nComp,"",ROW()-ROW($B$8))</f>
        <v/>
      </c>
      <c r="C1331" t="str">
        <f>IF($N1331="","",INDEX('_calc'!$A$2:$A$3001,$N1331))</f>
        <v/>
      </c>
      <c r="D1331" s="25" t="str">
        <f>IF($N1331="","",INDEX('_calc'!$C$2:$C$3001,$N1331))</f>
        <v/>
      </c>
      <c r="E1331" s="25" t="str">
        <f>IF($N1331="","",INDEX('_calc'!$D$2:$D$3001,$N1331))</f>
        <v/>
      </c>
      <c r="F1331" s="26" t="str">
        <f>IF($N1331="","",IF($E$8=0,"",E1331/$E$8))</f>
        <v/>
      </c>
      <c r="G1331" s="25" t="str">
        <f>IF($N1331="","",INDEX('_calc'!$E$2:$E$3001,$N1331))</f>
        <v/>
      </c>
      <c r="H1331" s="25" t="str">
        <f>IF($N1331="","",INDEX('_calc'!$F$2:$F$3001,$N1331))</f>
        <v/>
      </c>
      <c r="I1331" s="27" t="str">
        <f>IF($N1331="","",INDEX('_calc'!$H$2:$H$3001,$N1331))</f>
        <v/>
      </c>
      <c r="J1331" s="27" t="str">
        <f>IF($N1331="","",INDEX('_calc'!$I$2:$I$3001,$N1331))</f>
        <v/>
      </c>
      <c r="K1331" s="28" t="str">
        <f>IF($N1331="","",IF(OR(I1331="",J1331=""),"",J1331-I1331))</f>
        <v/>
      </c>
      <c r="L1331" s="29" t="str">
        <f>IF($N1331="","",INDEX('_calc'!$J$2:$J$3001,$N1331))</f>
        <v/>
      </c>
      <c r="M1331" s="2" t="str">
        <f>IF($N1331="","",IF(AND(G1331=0,H1331=0),"수량 없음",IF(G1331=0,"신규 (전년 수량 없음)",IF(H1331=0,"당해 수량 없음",""))))</f>
        <v/>
      </c>
      <c r="N1331" t="str">
        <f>IF($B1331="","",MATCH($B1331,'_calc'!$L$2:$L$3001,0))</f>
        <v/>
      </c>
    </row>
    <row r="1332">
      <c r="B1332" s="24" t="str">
        <f>IF(ROW()-ROW($B$8)&gt;nComp,"",ROW()-ROW($B$8))</f>
        <v/>
      </c>
      <c r="C1332" t="str">
        <f>IF($N1332="","",INDEX('_calc'!$A$2:$A$3001,$N1332))</f>
        <v/>
      </c>
      <c r="D1332" s="25" t="str">
        <f>IF($N1332="","",INDEX('_calc'!$C$2:$C$3001,$N1332))</f>
        <v/>
      </c>
      <c r="E1332" s="25" t="str">
        <f>IF($N1332="","",INDEX('_calc'!$D$2:$D$3001,$N1332))</f>
        <v/>
      </c>
      <c r="F1332" s="26" t="str">
        <f>IF($N1332="","",IF($E$8=0,"",E1332/$E$8))</f>
        <v/>
      </c>
      <c r="G1332" s="25" t="str">
        <f>IF($N1332="","",INDEX('_calc'!$E$2:$E$3001,$N1332))</f>
        <v/>
      </c>
      <c r="H1332" s="25" t="str">
        <f>IF($N1332="","",INDEX('_calc'!$F$2:$F$3001,$N1332))</f>
        <v/>
      </c>
      <c r="I1332" s="27" t="str">
        <f>IF($N1332="","",INDEX('_calc'!$H$2:$H$3001,$N1332))</f>
        <v/>
      </c>
      <c r="J1332" s="27" t="str">
        <f>IF($N1332="","",INDEX('_calc'!$I$2:$I$3001,$N1332))</f>
        <v/>
      </c>
      <c r="K1332" s="28" t="str">
        <f>IF($N1332="","",IF(OR(I1332="",J1332=""),"",J1332-I1332))</f>
        <v/>
      </c>
      <c r="L1332" s="29" t="str">
        <f>IF($N1332="","",INDEX('_calc'!$J$2:$J$3001,$N1332))</f>
        <v/>
      </c>
      <c r="M1332" s="2" t="str">
        <f>IF($N1332="","",IF(AND(G1332=0,H1332=0),"수량 없음",IF(G1332=0,"신규 (전년 수량 없음)",IF(H1332=0,"당해 수량 없음",""))))</f>
        <v/>
      </c>
      <c r="N1332" t="str">
        <f>IF($B1332="","",MATCH($B1332,'_calc'!$L$2:$L$3001,0))</f>
        <v/>
      </c>
    </row>
    <row r="1333">
      <c r="B1333" s="24" t="str">
        <f>IF(ROW()-ROW($B$8)&gt;nComp,"",ROW()-ROW($B$8))</f>
        <v/>
      </c>
      <c r="C1333" t="str">
        <f>IF($N1333="","",INDEX('_calc'!$A$2:$A$3001,$N1333))</f>
        <v/>
      </c>
      <c r="D1333" s="25" t="str">
        <f>IF($N1333="","",INDEX('_calc'!$C$2:$C$3001,$N1333))</f>
        <v/>
      </c>
      <c r="E1333" s="25" t="str">
        <f>IF($N1333="","",INDEX('_calc'!$D$2:$D$3001,$N1333))</f>
        <v/>
      </c>
      <c r="F1333" s="26" t="str">
        <f>IF($N1333="","",IF($E$8=0,"",E1333/$E$8))</f>
        <v/>
      </c>
      <c r="G1333" s="25" t="str">
        <f>IF($N1333="","",INDEX('_calc'!$E$2:$E$3001,$N1333))</f>
        <v/>
      </c>
      <c r="H1333" s="25" t="str">
        <f>IF($N1333="","",INDEX('_calc'!$F$2:$F$3001,$N1333))</f>
        <v/>
      </c>
      <c r="I1333" s="27" t="str">
        <f>IF($N1333="","",INDEX('_calc'!$H$2:$H$3001,$N1333))</f>
        <v/>
      </c>
      <c r="J1333" s="27" t="str">
        <f>IF($N1333="","",INDEX('_calc'!$I$2:$I$3001,$N1333))</f>
        <v/>
      </c>
      <c r="K1333" s="28" t="str">
        <f>IF($N1333="","",IF(OR(I1333="",J1333=""),"",J1333-I1333))</f>
        <v/>
      </c>
      <c r="L1333" s="29" t="str">
        <f>IF($N1333="","",INDEX('_calc'!$J$2:$J$3001,$N1333))</f>
        <v/>
      </c>
      <c r="M1333" s="2" t="str">
        <f>IF($N1333="","",IF(AND(G1333=0,H1333=0),"수량 없음",IF(G1333=0,"신규 (전년 수량 없음)",IF(H1333=0,"당해 수량 없음",""))))</f>
        <v/>
      </c>
      <c r="N1333" t="str">
        <f>IF($B1333="","",MATCH($B1333,'_calc'!$L$2:$L$3001,0))</f>
        <v/>
      </c>
    </row>
    <row r="1334">
      <c r="B1334" s="24" t="str">
        <f>IF(ROW()-ROW($B$8)&gt;nComp,"",ROW()-ROW($B$8))</f>
        <v/>
      </c>
      <c r="C1334" t="str">
        <f>IF($N1334="","",INDEX('_calc'!$A$2:$A$3001,$N1334))</f>
        <v/>
      </c>
      <c r="D1334" s="25" t="str">
        <f>IF($N1334="","",INDEX('_calc'!$C$2:$C$3001,$N1334))</f>
        <v/>
      </c>
      <c r="E1334" s="25" t="str">
        <f>IF($N1334="","",INDEX('_calc'!$D$2:$D$3001,$N1334))</f>
        <v/>
      </c>
      <c r="F1334" s="26" t="str">
        <f>IF($N1334="","",IF($E$8=0,"",E1334/$E$8))</f>
        <v/>
      </c>
      <c r="G1334" s="25" t="str">
        <f>IF($N1334="","",INDEX('_calc'!$E$2:$E$3001,$N1334))</f>
        <v/>
      </c>
      <c r="H1334" s="25" t="str">
        <f>IF($N1334="","",INDEX('_calc'!$F$2:$F$3001,$N1334))</f>
        <v/>
      </c>
      <c r="I1334" s="27" t="str">
        <f>IF($N1334="","",INDEX('_calc'!$H$2:$H$3001,$N1334))</f>
        <v/>
      </c>
      <c r="J1334" s="27" t="str">
        <f>IF($N1334="","",INDEX('_calc'!$I$2:$I$3001,$N1334))</f>
        <v/>
      </c>
      <c r="K1334" s="28" t="str">
        <f>IF($N1334="","",IF(OR(I1334="",J1334=""),"",J1334-I1334))</f>
        <v/>
      </c>
      <c r="L1334" s="29" t="str">
        <f>IF($N1334="","",INDEX('_calc'!$J$2:$J$3001,$N1334))</f>
        <v/>
      </c>
      <c r="M1334" s="2" t="str">
        <f>IF($N1334="","",IF(AND(G1334=0,H1334=0),"수량 없음",IF(G1334=0,"신규 (전년 수량 없음)",IF(H1334=0,"당해 수량 없음",""))))</f>
        <v/>
      </c>
      <c r="N1334" t="str">
        <f>IF($B1334="","",MATCH($B1334,'_calc'!$L$2:$L$3001,0))</f>
        <v/>
      </c>
    </row>
    <row r="1335">
      <c r="B1335" s="24" t="str">
        <f>IF(ROW()-ROW($B$8)&gt;nComp,"",ROW()-ROW($B$8))</f>
        <v/>
      </c>
      <c r="C1335" t="str">
        <f>IF($N1335="","",INDEX('_calc'!$A$2:$A$3001,$N1335))</f>
        <v/>
      </c>
      <c r="D1335" s="25" t="str">
        <f>IF($N1335="","",INDEX('_calc'!$C$2:$C$3001,$N1335))</f>
        <v/>
      </c>
      <c r="E1335" s="25" t="str">
        <f>IF($N1335="","",INDEX('_calc'!$D$2:$D$3001,$N1335))</f>
        <v/>
      </c>
      <c r="F1335" s="26" t="str">
        <f>IF($N1335="","",IF($E$8=0,"",E1335/$E$8))</f>
        <v/>
      </c>
      <c r="G1335" s="25" t="str">
        <f>IF($N1335="","",INDEX('_calc'!$E$2:$E$3001,$N1335))</f>
        <v/>
      </c>
      <c r="H1335" s="25" t="str">
        <f>IF($N1335="","",INDEX('_calc'!$F$2:$F$3001,$N1335))</f>
        <v/>
      </c>
      <c r="I1335" s="27" t="str">
        <f>IF($N1335="","",INDEX('_calc'!$H$2:$H$3001,$N1335))</f>
        <v/>
      </c>
      <c r="J1335" s="27" t="str">
        <f>IF($N1335="","",INDEX('_calc'!$I$2:$I$3001,$N1335))</f>
        <v/>
      </c>
      <c r="K1335" s="28" t="str">
        <f>IF($N1335="","",IF(OR(I1335="",J1335=""),"",J1335-I1335))</f>
        <v/>
      </c>
      <c r="L1335" s="29" t="str">
        <f>IF($N1335="","",INDEX('_calc'!$J$2:$J$3001,$N1335))</f>
        <v/>
      </c>
      <c r="M1335" s="2" t="str">
        <f>IF($N1335="","",IF(AND(G1335=0,H1335=0),"수량 없음",IF(G1335=0,"신규 (전년 수량 없음)",IF(H1335=0,"당해 수량 없음",""))))</f>
        <v/>
      </c>
      <c r="N1335" t="str">
        <f>IF($B1335="","",MATCH($B1335,'_calc'!$L$2:$L$3001,0))</f>
        <v/>
      </c>
    </row>
    <row r="1336">
      <c r="B1336" s="24" t="str">
        <f>IF(ROW()-ROW($B$8)&gt;nComp,"",ROW()-ROW($B$8))</f>
        <v/>
      </c>
      <c r="C1336" t="str">
        <f>IF($N1336="","",INDEX('_calc'!$A$2:$A$3001,$N1336))</f>
        <v/>
      </c>
      <c r="D1336" s="25" t="str">
        <f>IF($N1336="","",INDEX('_calc'!$C$2:$C$3001,$N1336))</f>
        <v/>
      </c>
      <c r="E1336" s="25" t="str">
        <f>IF($N1336="","",INDEX('_calc'!$D$2:$D$3001,$N1336))</f>
        <v/>
      </c>
      <c r="F1336" s="26" t="str">
        <f>IF($N1336="","",IF($E$8=0,"",E1336/$E$8))</f>
        <v/>
      </c>
      <c r="G1336" s="25" t="str">
        <f>IF($N1336="","",INDEX('_calc'!$E$2:$E$3001,$N1336))</f>
        <v/>
      </c>
      <c r="H1336" s="25" t="str">
        <f>IF($N1336="","",INDEX('_calc'!$F$2:$F$3001,$N1336))</f>
        <v/>
      </c>
      <c r="I1336" s="27" t="str">
        <f>IF($N1336="","",INDEX('_calc'!$H$2:$H$3001,$N1336))</f>
        <v/>
      </c>
      <c r="J1336" s="27" t="str">
        <f>IF($N1336="","",INDEX('_calc'!$I$2:$I$3001,$N1336))</f>
        <v/>
      </c>
      <c r="K1336" s="28" t="str">
        <f>IF($N1336="","",IF(OR(I1336="",J1336=""),"",J1336-I1336))</f>
        <v/>
      </c>
      <c r="L1336" s="29" t="str">
        <f>IF($N1336="","",INDEX('_calc'!$J$2:$J$3001,$N1336))</f>
        <v/>
      </c>
      <c r="M1336" s="2" t="str">
        <f>IF($N1336="","",IF(AND(G1336=0,H1336=0),"수량 없음",IF(G1336=0,"신규 (전년 수량 없음)",IF(H1336=0,"당해 수량 없음",""))))</f>
        <v/>
      </c>
      <c r="N1336" t="str">
        <f>IF($B1336="","",MATCH($B1336,'_calc'!$L$2:$L$3001,0))</f>
        <v/>
      </c>
    </row>
    <row r="1337">
      <c r="B1337" s="24" t="str">
        <f>IF(ROW()-ROW($B$8)&gt;nComp,"",ROW()-ROW($B$8))</f>
        <v/>
      </c>
      <c r="C1337" t="str">
        <f>IF($N1337="","",INDEX('_calc'!$A$2:$A$3001,$N1337))</f>
        <v/>
      </c>
      <c r="D1337" s="25" t="str">
        <f>IF($N1337="","",INDEX('_calc'!$C$2:$C$3001,$N1337))</f>
        <v/>
      </c>
      <c r="E1337" s="25" t="str">
        <f>IF($N1337="","",INDEX('_calc'!$D$2:$D$3001,$N1337))</f>
        <v/>
      </c>
      <c r="F1337" s="26" t="str">
        <f>IF($N1337="","",IF($E$8=0,"",E1337/$E$8))</f>
        <v/>
      </c>
      <c r="G1337" s="25" t="str">
        <f>IF($N1337="","",INDEX('_calc'!$E$2:$E$3001,$N1337))</f>
        <v/>
      </c>
      <c r="H1337" s="25" t="str">
        <f>IF($N1337="","",INDEX('_calc'!$F$2:$F$3001,$N1337))</f>
        <v/>
      </c>
      <c r="I1337" s="27" t="str">
        <f>IF($N1337="","",INDEX('_calc'!$H$2:$H$3001,$N1337))</f>
        <v/>
      </c>
      <c r="J1337" s="27" t="str">
        <f>IF($N1337="","",INDEX('_calc'!$I$2:$I$3001,$N1337))</f>
        <v/>
      </c>
      <c r="K1337" s="28" t="str">
        <f>IF($N1337="","",IF(OR(I1337="",J1337=""),"",J1337-I1337))</f>
        <v/>
      </c>
      <c r="L1337" s="29" t="str">
        <f>IF($N1337="","",INDEX('_calc'!$J$2:$J$3001,$N1337))</f>
        <v/>
      </c>
      <c r="M1337" s="2" t="str">
        <f>IF($N1337="","",IF(AND(G1337=0,H1337=0),"수량 없음",IF(G1337=0,"신규 (전년 수량 없음)",IF(H1337=0,"당해 수량 없음",""))))</f>
        <v/>
      </c>
      <c r="N1337" t="str">
        <f>IF($B1337="","",MATCH($B1337,'_calc'!$L$2:$L$3001,0))</f>
        <v/>
      </c>
    </row>
    <row r="1338">
      <c r="B1338" s="24" t="str">
        <f>IF(ROW()-ROW($B$8)&gt;nComp,"",ROW()-ROW($B$8))</f>
        <v/>
      </c>
      <c r="C1338" t="str">
        <f>IF($N1338="","",INDEX('_calc'!$A$2:$A$3001,$N1338))</f>
        <v/>
      </c>
      <c r="D1338" s="25" t="str">
        <f>IF($N1338="","",INDEX('_calc'!$C$2:$C$3001,$N1338))</f>
        <v/>
      </c>
      <c r="E1338" s="25" t="str">
        <f>IF($N1338="","",INDEX('_calc'!$D$2:$D$3001,$N1338))</f>
        <v/>
      </c>
      <c r="F1338" s="26" t="str">
        <f>IF($N1338="","",IF($E$8=0,"",E1338/$E$8))</f>
        <v/>
      </c>
      <c r="G1338" s="25" t="str">
        <f>IF($N1338="","",INDEX('_calc'!$E$2:$E$3001,$N1338))</f>
        <v/>
      </c>
      <c r="H1338" s="25" t="str">
        <f>IF($N1338="","",INDEX('_calc'!$F$2:$F$3001,$N1338))</f>
        <v/>
      </c>
      <c r="I1338" s="27" t="str">
        <f>IF($N1338="","",INDEX('_calc'!$H$2:$H$3001,$N1338))</f>
        <v/>
      </c>
      <c r="J1338" s="27" t="str">
        <f>IF($N1338="","",INDEX('_calc'!$I$2:$I$3001,$N1338))</f>
        <v/>
      </c>
      <c r="K1338" s="28" t="str">
        <f>IF($N1338="","",IF(OR(I1338="",J1338=""),"",J1338-I1338))</f>
        <v/>
      </c>
      <c r="L1338" s="29" t="str">
        <f>IF($N1338="","",INDEX('_calc'!$J$2:$J$3001,$N1338))</f>
        <v/>
      </c>
      <c r="M1338" s="2" t="str">
        <f>IF($N1338="","",IF(AND(G1338=0,H1338=0),"수량 없음",IF(G1338=0,"신규 (전년 수량 없음)",IF(H1338=0,"당해 수량 없음",""))))</f>
        <v/>
      </c>
      <c r="N1338" t="str">
        <f>IF($B1338="","",MATCH($B1338,'_calc'!$L$2:$L$3001,0))</f>
        <v/>
      </c>
    </row>
    <row r="1339">
      <c r="B1339" s="24" t="str">
        <f>IF(ROW()-ROW($B$8)&gt;nComp,"",ROW()-ROW($B$8))</f>
        <v/>
      </c>
      <c r="C1339" t="str">
        <f>IF($N1339="","",INDEX('_calc'!$A$2:$A$3001,$N1339))</f>
        <v/>
      </c>
      <c r="D1339" s="25" t="str">
        <f>IF($N1339="","",INDEX('_calc'!$C$2:$C$3001,$N1339))</f>
        <v/>
      </c>
      <c r="E1339" s="25" t="str">
        <f>IF($N1339="","",INDEX('_calc'!$D$2:$D$3001,$N1339))</f>
        <v/>
      </c>
      <c r="F1339" s="26" t="str">
        <f>IF($N1339="","",IF($E$8=0,"",E1339/$E$8))</f>
        <v/>
      </c>
      <c r="G1339" s="25" t="str">
        <f>IF($N1339="","",INDEX('_calc'!$E$2:$E$3001,$N1339))</f>
        <v/>
      </c>
      <c r="H1339" s="25" t="str">
        <f>IF($N1339="","",INDEX('_calc'!$F$2:$F$3001,$N1339))</f>
        <v/>
      </c>
      <c r="I1339" s="27" t="str">
        <f>IF($N1339="","",INDEX('_calc'!$H$2:$H$3001,$N1339))</f>
        <v/>
      </c>
      <c r="J1339" s="27" t="str">
        <f>IF($N1339="","",INDEX('_calc'!$I$2:$I$3001,$N1339))</f>
        <v/>
      </c>
      <c r="K1339" s="28" t="str">
        <f>IF($N1339="","",IF(OR(I1339="",J1339=""),"",J1339-I1339))</f>
        <v/>
      </c>
      <c r="L1339" s="29" t="str">
        <f>IF($N1339="","",INDEX('_calc'!$J$2:$J$3001,$N1339))</f>
        <v/>
      </c>
      <c r="M1339" s="2" t="str">
        <f>IF($N1339="","",IF(AND(G1339=0,H1339=0),"수량 없음",IF(G1339=0,"신규 (전년 수량 없음)",IF(H1339=0,"당해 수량 없음",""))))</f>
        <v/>
      </c>
      <c r="N1339" t="str">
        <f>IF($B1339="","",MATCH($B1339,'_calc'!$L$2:$L$3001,0))</f>
        <v/>
      </c>
    </row>
    <row r="1340">
      <c r="B1340" s="24" t="str">
        <f>IF(ROW()-ROW($B$8)&gt;nComp,"",ROW()-ROW($B$8))</f>
        <v/>
      </c>
      <c r="C1340" t="str">
        <f>IF($N1340="","",INDEX('_calc'!$A$2:$A$3001,$N1340))</f>
        <v/>
      </c>
      <c r="D1340" s="25" t="str">
        <f>IF($N1340="","",INDEX('_calc'!$C$2:$C$3001,$N1340))</f>
        <v/>
      </c>
      <c r="E1340" s="25" t="str">
        <f>IF($N1340="","",INDEX('_calc'!$D$2:$D$3001,$N1340))</f>
        <v/>
      </c>
      <c r="F1340" s="26" t="str">
        <f>IF($N1340="","",IF($E$8=0,"",E1340/$E$8))</f>
        <v/>
      </c>
      <c r="G1340" s="25" t="str">
        <f>IF($N1340="","",INDEX('_calc'!$E$2:$E$3001,$N1340))</f>
        <v/>
      </c>
      <c r="H1340" s="25" t="str">
        <f>IF($N1340="","",INDEX('_calc'!$F$2:$F$3001,$N1340))</f>
        <v/>
      </c>
      <c r="I1340" s="27" t="str">
        <f>IF($N1340="","",INDEX('_calc'!$H$2:$H$3001,$N1340))</f>
        <v/>
      </c>
      <c r="J1340" s="27" t="str">
        <f>IF($N1340="","",INDEX('_calc'!$I$2:$I$3001,$N1340))</f>
        <v/>
      </c>
      <c r="K1340" s="28" t="str">
        <f>IF($N1340="","",IF(OR(I1340="",J1340=""),"",J1340-I1340))</f>
        <v/>
      </c>
      <c r="L1340" s="29" t="str">
        <f>IF($N1340="","",INDEX('_calc'!$J$2:$J$3001,$N1340))</f>
        <v/>
      </c>
      <c r="M1340" s="2" t="str">
        <f>IF($N1340="","",IF(AND(G1340=0,H1340=0),"수량 없음",IF(G1340=0,"신규 (전년 수량 없음)",IF(H1340=0,"당해 수량 없음",""))))</f>
        <v/>
      </c>
      <c r="N1340" t="str">
        <f>IF($B1340="","",MATCH($B1340,'_calc'!$L$2:$L$3001,0))</f>
        <v/>
      </c>
    </row>
    <row r="1341">
      <c r="B1341" s="24" t="str">
        <f>IF(ROW()-ROW($B$8)&gt;nComp,"",ROW()-ROW($B$8))</f>
        <v/>
      </c>
      <c r="C1341" t="str">
        <f>IF($N1341="","",INDEX('_calc'!$A$2:$A$3001,$N1341))</f>
        <v/>
      </c>
      <c r="D1341" s="25" t="str">
        <f>IF($N1341="","",INDEX('_calc'!$C$2:$C$3001,$N1341))</f>
        <v/>
      </c>
      <c r="E1341" s="25" t="str">
        <f>IF($N1341="","",INDEX('_calc'!$D$2:$D$3001,$N1341))</f>
        <v/>
      </c>
      <c r="F1341" s="26" t="str">
        <f>IF($N1341="","",IF($E$8=0,"",E1341/$E$8))</f>
        <v/>
      </c>
      <c r="G1341" s="25" t="str">
        <f>IF($N1341="","",INDEX('_calc'!$E$2:$E$3001,$N1341))</f>
        <v/>
      </c>
      <c r="H1341" s="25" t="str">
        <f>IF($N1341="","",INDEX('_calc'!$F$2:$F$3001,$N1341))</f>
        <v/>
      </c>
      <c r="I1341" s="27" t="str">
        <f>IF($N1341="","",INDEX('_calc'!$H$2:$H$3001,$N1341))</f>
        <v/>
      </c>
      <c r="J1341" s="27" t="str">
        <f>IF($N1341="","",INDEX('_calc'!$I$2:$I$3001,$N1341))</f>
        <v/>
      </c>
      <c r="K1341" s="28" t="str">
        <f>IF($N1341="","",IF(OR(I1341="",J1341=""),"",J1341-I1341))</f>
        <v/>
      </c>
      <c r="L1341" s="29" t="str">
        <f>IF($N1341="","",INDEX('_calc'!$J$2:$J$3001,$N1341))</f>
        <v/>
      </c>
      <c r="M1341" s="2" t="str">
        <f>IF($N1341="","",IF(AND(G1341=0,H1341=0),"수량 없음",IF(G1341=0,"신규 (전년 수량 없음)",IF(H1341=0,"당해 수량 없음",""))))</f>
        <v/>
      </c>
      <c r="N1341" t="str">
        <f>IF($B1341="","",MATCH($B1341,'_calc'!$L$2:$L$3001,0))</f>
        <v/>
      </c>
    </row>
    <row r="1342">
      <c r="B1342" s="24" t="str">
        <f>IF(ROW()-ROW($B$8)&gt;nComp,"",ROW()-ROW($B$8))</f>
        <v/>
      </c>
      <c r="C1342" t="str">
        <f>IF($N1342="","",INDEX('_calc'!$A$2:$A$3001,$N1342))</f>
        <v/>
      </c>
      <c r="D1342" s="25" t="str">
        <f>IF($N1342="","",INDEX('_calc'!$C$2:$C$3001,$N1342))</f>
        <v/>
      </c>
      <c r="E1342" s="25" t="str">
        <f>IF($N1342="","",INDEX('_calc'!$D$2:$D$3001,$N1342))</f>
        <v/>
      </c>
      <c r="F1342" s="26" t="str">
        <f>IF($N1342="","",IF($E$8=0,"",E1342/$E$8))</f>
        <v/>
      </c>
      <c r="G1342" s="25" t="str">
        <f>IF($N1342="","",INDEX('_calc'!$E$2:$E$3001,$N1342))</f>
        <v/>
      </c>
      <c r="H1342" s="25" t="str">
        <f>IF($N1342="","",INDEX('_calc'!$F$2:$F$3001,$N1342))</f>
        <v/>
      </c>
      <c r="I1342" s="27" t="str">
        <f>IF($N1342="","",INDEX('_calc'!$H$2:$H$3001,$N1342))</f>
        <v/>
      </c>
      <c r="J1342" s="27" t="str">
        <f>IF($N1342="","",INDEX('_calc'!$I$2:$I$3001,$N1342))</f>
        <v/>
      </c>
      <c r="K1342" s="28" t="str">
        <f>IF($N1342="","",IF(OR(I1342="",J1342=""),"",J1342-I1342))</f>
        <v/>
      </c>
      <c r="L1342" s="29" t="str">
        <f>IF($N1342="","",INDEX('_calc'!$J$2:$J$3001,$N1342))</f>
        <v/>
      </c>
      <c r="M1342" s="2" t="str">
        <f>IF($N1342="","",IF(AND(G1342=0,H1342=0),"수량 없음",IF(G1342=0,"신규 (전년 수량 없음)",IF(H1342=0,"당해 수량 없음",""))))</f>
        <v/>
      </c>
      <c r="N1342" t="str">
        <f>IF($B1342="","",MATCH($B1342,'_calc'!$L$2:$L$3001,0))</f>
        <v/>
      </c>
    </row>
    <row r="1343">
      <c r="B1343" s="24" t="str">
        <f>IF(ROW()-ROW($B$8)&gt;nComp,"",ROW()-ROW($B$8))</f>
        <v/>
      </c>
      <c r="C1343" t="str">
        <f>IF($N1343="","",INDEX('_calc'!$A$2:$A$3001,$N1343))</f>
        <v/>
      </c>
      <c r="D1343" s="25" t="str">
        <f>IF($N1343="","",INDEX('_calc'!$C$2:$C$3001,$N1343))</f>
        <v/>
      </c>
      <c r="E1343" s="25" t="str">
        <f>IF($N1343="","",INDEX('_calc'!$D$2:$D$3001,$N1343))</f>
        <v/>
      </c>
      <c r="F1343" s="26" t="str">
        <f>IF($N1343="","",IF($E$8=0,"",E1343/$E$8))</f>
        <v/>
      </c>
      <c r="G1343" s="25" t="str">
        <f>IF($N1343="","",INDEX('_calc'!$E$2:$E$3001,$N1343))</f>
        <v/>
      </c>
      <c r="H1343" s="25" t="str">
        <f>IF($N1343="","",INDEX('_calc'!$F$2:$F$3001,$N1343))</f>
        <v/>
      </c>
      <c r="I1343" s="27" t="str">
        <f>IF($N1343="","",INDEX('_calc'!$H$2:$H$3001,$N1343))</f>
        <v/>
      </c>
      <c r="J1343" s="27" t="str">
        <f>IF($N1343="","",INDEX('_calc'!$I$2:$I$3001,$N1343))</f>
        <v/>
      </c>
      <c r="K1343" s="28" t="str">
        <f>IF($N1343="","",IF(OR(I1343="",J1343=""),"",J1343-I1343))</f>
        <v/>
      </c>
      <c r="L1343" s="29" t="str">
        <f>IF($N1343="","",INDEX('_calc'!$J$2:$J$3001,$N1343))</f>
        <v/>
      </c>
      <c r="M1343" s="2" t="str">
        <f>IF($N1343="","",IF(AND(G1343=0,H1343=0),"수량 없음",IF(G1343=0,"신규 (전년 수량 없음)",IF(H1343=0,"당해 수량 없음",""))))</f>
        <v/>
      </c>
      <c r="N1343" t="str">
        <f>IF($B1343="","",MATCH($B1343,'_calc'!$L$2:$L$3001,0))</f>
        <v/>
      </c>
    </row>
    <row r="1344">
      <c r="B1344" s="24" t="str">
        <f>IF(ROW()-ROW($B$8)&gt;nComp,"",ROW()-ROW($B$8))</f>
        <v/>
      </c>
      <c r="C1344" t="str">
        <f>IF($N1344="","",INDEX('_calc'!$A$2:$A$3001,$N1344))</f>
        <v/>
      </c>
      <c r="D1344" s="25" t="str">
        <f>IF($N1344="","",INDEX('_calc'!$C$2:$C$3001,$N1344))</f>
        <v/>
      </c>
      <c r="E1344" s="25" t="str">
        <f>IF($N1344="","",INDEX('_calc'!$D$2:$D$3001,$N1344))</f>
        <v/>
      </c>
      <c r="F1344" s="26" t="str">
        <f>IF($N1344="","",IF($E$8=0,"",E1344/$E$8))</f>
        <v/>
      </c>
      <c r="G1344" s="25" t="str">
        <f>IF($N1344="","",INDEX('_calc'!$E$2:$E$3001,$N1344))</f>
        <v/>
      </c>
      <c r="H1344" s="25" t="str">
        <f>IF($N1344="","",INDEX('_calc'!$F$2:$F$3001,$N1344))</f>
        <v/>
      </c>
      <c r="I1344" s="27" t="str">
        <f>IF($N1344="","",INDEX('_calc'!$H$2:$H$3001,$N1344))</f>
        <v/>
      </c>
      <c r="J1344" s="27" t="str">
        <f>IF($N1344="","",INDEX('_calc'!$I$2:$I$3001,$N1344))</f>
        <v/>
      </c>
      <c r="K1344" s="28" t="str">
        <f>IF($N1344="","",IF(OR(I1344="",J1344=""),"",J1344-I1344))</f>
        <v/>
      </c>
      <c r="L1344" s="29" t="str">
        <f>IF($N1344="","",INDEX('_calc'!$J$2:$J$3001,$N1344))</f>
        <v/>
      </c>
      <c r="M1344" s="2" t="str">
        <f>IF($N1344="","",IF(AND(G1344=0,H1344=0),"수량 없음",IF(G1344=0,"신규 (전년 수량 없음)",IF(H1344=0,"당해 수량 없음",""))))</f>
        <v/>
      </c>
      <c r="N1344" t="str">
        <f>IF($B1344="","",MATCH($B1344,'_calc'!$L$2:$L$3001,0))</f>
        <v/>
      </c>
    </row>
    <row r="1345">
      <c r="B1345" s="24" t="str">
        <f>IF(ROW()-ROW($B$8)&gt;nComp,"",ROW()-ROW($B$8))</f>
        <v/>
      </c>
      <c r="C1345" t="str">
        <f>IF($N1345="","",INDEX('_calc'!$A$2:$A$3001,$N1345))</f>
        <v/>
      </c>
      <c r="D1345" s="25" t="str">
        <f>IF($N1345="","",INDEX('_calc'!$C$2:$C$3001,$N1345))</f>
        <v/>
      </c>
      <c r="E1345" s="25" t="str">
        <f>IF($N1345="","",INDEX('_calc'!$D$2:$D$3001,$N1345))</f>
        <v/>
      </c>
      <c r="F1345" s="26" t="str">
        <f>IF($N1345="","",IF($E$8=0,"",E1345/$E$8))</f>
        <v/>
      </c>
      <c r="G1345" s="25" t="str">
        <f>IF($N1345="","",INDEX('_calc'!$E$2:$E$3001,$N1345))</f>
        <v/>
      </c>
      <c r="H1345" s="25" t="str">
        <f>IF($N1345="","",INDEX('_calc'!$F$2:$F$3001,$N1345))</f>
        <v/>
      </c>
      <c r="I1345" s="27" t="str">
        <f>IF($N1345="","",INDEX('_calc'!$H$2:$H$3001,$N1345))</f>
        <v/>
      </c>
      <c r="J1345" s="27" t="str">
        <f>IF($N1345="","",INDEX('_calc'!$I$2:$I$3001,$N1345))</f>
        <v/>
      </c>
      <c r="K1345" s="28" t="str">
        <f>IF($N1345="","",IF(OR(I1345="",J1345=""),"",J1345-I1345))</f>
        <v/>
      </c>
      <c r="L1345" s="29" t="str">
        <f>IF($N1345="","",INDEX('_calc'!$J$2:$J$3001,$N1345))</f>
        <v/>
      </c>
      <c r="M1345" s="2" t="str">
        <f>IF($N1345="","",IF(AND(G1345=0,H1345=0),"수량 없음",IF(G1345=0,"신규 (전년 수량 없음)",IF(H1345=0,"당해 수량 없음",""))))</f>
        <v/>
      </c>
      <c r="N1345" t="str">
        <f>IF($B1345="","",MATCH($B1345,'_calc'!$L$2:$L$3001,0))</f>
        <v/>
      </c>
    </row>
    <row r="1346">
      <c r="B1346" s="24" t="str">
        <f>IF(ROW()-ROW($B$8)&gt;nComp,"",ROW()-ROW($B$8))</f>
        <v/>
      </c>
      <c r="C1346" t="str">
        <f>IF($N1346="","",INDEX('_calc'!$A$2:$A$3001,$N1346))</f>
        <v/>
      </c>
      <c r="D1346" s="25" t="str">
        <f>IF($N1346="","",INDEX('_calc'!$C$2:$C$3001,$N1346))</f>
        <v/>
      </c>
      <c r="E1346" s="25" t="str">
        <f>IF($N1346="","",INDEX('_calc'!$D$2:$D$3001,$N1346))</f>
        <v/>
      </c>
      <c r="F1346" s="26" t="str">
        <f>IF($N1346="","",IF($E$8=0,"",E1346/$E$8))</f>
        <v/>
      </c>
      <c r="G1346" s="25" t="str">
        <f>IF($N1346="","",INDEX('_calc'!$E$2:$E$3001,$N1346))</f>
        <v/>
      </c>
      <c r="H1346" s="25" t="str">
        <f>IF($N1346="","",INDEX('_calc'!$F$2:$F$3001,$N1346))</f>
        <v/>
      </c>
      <c r="I1346" s="27" t="str">
        <f>IF($N1346="","",INDEX('_calc'!$H$2:$H$3001,$N1346))</f>
        <v/>
      </c>
      <c r="J1346" s="27" t="str">
        <f>IF($N1346="","",INDEX('_calc'!$I$2:$I$3001,$N1346))</f>
        <v/>
      </c>
      <c r="K1346" s="28" t="str">
        <f>IF($N1346="","",IF(OR(I1346="",J1346=""),"",J1346-I1346))</f>
        <v/>
      </c>
      <c r="L1346" s="29" t="str">
        <f>IF($N1346="","",INDEX('_calc'!$J$2:$J$3001,$N1346))</f>
        <v/>
      </c>
      <c r="M1346" s="2" t="str">
        <f>IF($N1346="","",IF(AND(G1346=0,H1346=0),"수량 없음",IF(G1346=0,"신규 (전년 수량 없음)",IF(H1346=0,"당해 수량 없음",""))))</f>
        <v/>
      </c>
      <c r="N1346" t="str">
        <f>IF($B1346="","",MATCH($B1346,'_calc'!$L$2:$L$3001,0))</f>
        <v/>
      </c>
    </row>
    <row r="1347">
      <c r="B1347" s="24" t="str">
        <f>IF(ROW()-ROW($B$8)&gt;nComp,"",ROW()-ROW($B$8))</f>
        <v/>
      </c>
      <c r="C1347" t="str">
        <f>IF($N1347="","",INDEX('_calc'!$A$2:$A$3001,$N1347))</f>
        <v/>
      </c>
      <c r="D1347" s="25" t="str">
        <f>IF($N1347="","",INDEX('_calc'!$C$2:$C$3001,$N1347))</f>
        <v/>
      </c>
      <c r="E1347" s="25" t="str">
        <f>IF($N1347="","",INDEX('_calc'!$D$2:$D$3001,$N1347))</f>
        <v/>
      </c>
      <c r="F1347" s="26" t="str">
        <f>IF($N1347="","",IF($E$8=0,"",E1347/$E$8))</f>
        <v/>
      </c>
      <c r="G1347" s="25" t="str">
        <f>IF($N1347="","",INDEX('_calc'!$E$2:$E$3001,$N1347))</f>
        <v/>
      </c>
      <c r="H1347" s="25" t="str">
        <f>IF($N1347="","",INDEX('_calc'!$F$2:$F$3001,$N1347))</f>
        <v/>
      </c>
      <c r="I1347" s="27" t="str">
        <f>IF($N1347="","",INDEX('_calc'!$H$2:$H$3001,$N1347))</f>
        <v/>
      </c>
      <c r="J1347" s="27" t="str">
        <f>IF($N1347="","",INDEX('_calc'!$I$2:$I$3001,$N1347))</f>
        <v/>
      </c>
      <c r="K1347" s="28" t="str">
        <f>IF($N1347="","",IF(OR(I1347="",J1347=""),"",J1347-I1347))</f>
        <v/>
      </c>
      <c r="L1347" s="29" t="str">
        <f>IF($N1347="","",INDEX('_calc'!$J$2:$J$3001,$N1347))</f>
        <v/>
      </c>
      <c r="M1347" s="2" t="str">
        <f>IF($N1347="","",IF(AND(G1347=0,H1347=0),"수량 없음",IF(G1347=0,"신규 (전년 수량 없음)",IF(H1347=0,"당해 수량 없음",""))))</f>
        <v/>
      </c>
      <c r="N1347" t="str">
        <f>IF($B1347="","",MATCH($B1347,'_calc'!$L$2:$L$3001,0))</f>
        <v/>
      </c>
    </row>
    <row r="1348">
      <c r="B1348" s="24" t="str">
        <f>IF(ROW()-ROW($B$8)&gt;nComp,"",ROW()-ROW($B$8))</f>
        <v/>
      </c>
      <c r="C1348" t="str">
        <f>IF($N1348="","",INDEX('_calc'!$A$2:$A$3001,$N1348))</f>
        <v/>
      </c>
      <c r="D1348" s="25" t="str">
        <f>IF($N1348="","",INDEX('_calc'!$C$2:$C$3001,$N1348))</f>
        <v/>
      </c>
      <c r="E1348" s="25" t="str">
        <f>IF($N1348="","",INDEX('_calc'!$D$2:$D$3001,$N1348))</f>
        <v/>
      </c>
      <c r="F1348" s="26" t="str">
        <f>IF($N1348="","",IF($E$8=0,"",E1348/$E$8))</f>
        <v/>
      </c>
      <c r="G1348" s="25" t="str">
        <f>IF($N1348="","",INDEX('_calc'!$E$2:$E$3001,$N1348))</f>
        <v/>
      </c>
      <c r="H1348" s="25" t="str">
        <f>IF($N1348="","",INDEX('_calc'!$F$2:$F$3001,$N1348))</f>
        <v/>
      </c>
      <c r="I1348" s="27" t="str">
        <f>IF($N1348="","",INDEX('_calc'!$H$2:$H$3001,$N1348))</f>
        <v/>
      </c>
      <c r="J1348" s="27" t="str">
        <f>IF($N1348="","",INDEX('_calc'!$I$2:$I$3001,$N1348))</f>
        <v/>
      </c>
      <c r="K1348" s="28" t="str">
        <f>IF($N1348="","",IF(OR(I1348="",J1348=""),"",J1348-I1348))</f>
        <v/>
      </c>
      <c r="L1348" s="29" t="str">
        <f>IF($N1348="","",INDEX('_calc'!$J$2:$J$3001,$N1348))</f>
        <v/>
      </c>
      <c r="M1348" s="2" t="str">
        <f>IF($N1348="","",IF(AND(G1348=0,H1348=0),"수량 없음",IF(G1348=0,"신규 (전년 수량 없음)",IF(H1348=0,"당해 수량 없음",""))))</f>
        <v/>
      </c>
      <c r="N1348" t="str">
        <f>IF($B1348="","",MATCH($B1348,'_calc'!$L$2:$L$3001,0))</f>
        <v/>
      </c>
    </row>
    <row r="1349">
      <c r="B1349" s="24" t="str">
        <f>IF(ROW()-ROW($B$8)&gt;nComp,"",ROW()-ROW($B$8))</f>
        <v/>
      </c>
      <c r="C1349" t="str">
        <f>IF($N1349="","",INDEX('_calc'!$A$2:$A$3001,$N1349))</f>
        <v/>
      </c>
      <c r="D1349" s="25" t="str">
        <f>IF($N1349="","",INDEX('_calc'!$C$2:$C$3001,$N1349))</f>
        <v/>
      </c>
      <c r="E1349" s="25" t="str">
        <f>IF($N1349="","",INDEX('_calc'!$D$2:$D$3001,$N1349))</f>
        <v/>
      </c>
      <c r="F1349" s="26" t="str">
        <f>IF($N1349="","",IF($E$8=0,"",E1349/$E$8))</f>
        <v/>
      </c>
      <c r="G1349" s="25" t="str">
        <f>IF($N1349="","",INDEX('_calc'!$E$2:$E$3001,$N1349))</f>
        <v/>
      </c>
      <c r="H1349" s="25" t="str">
        <f>IF($N1349="","",INDEX('_calc'!$F$2:$F$3001,$N1349))</f>
        <v/>
      </c>
      <c r="I1349" s="27" t="str">
        <f>IF($N1349="","",INDEX('_calc'!$H$2:$H$3001,$N1349))</f>
        <v/>
      </c>
      <c r="J1349" s="27" t="str">
        <f>IF($N1349="","",INDEX('_calc'!$I$2:$I$3001,$N1349))</f>
        <v/>
      </c>
      <c r="K1349" s="28" t="str">
        <f>IF($N1349="","",IF(OR(I1349="",J1349=""),"",J1349-I1349))</f>
        <v/>
      </c>
      <c r="L1349" s="29" t="str">
        <f>IF($N1349="","",INDEX('_calc'!$J$2:$J$3001,$N1349))</f>
        <v/>
      </c>
      <c r="M1349" s="2" t="str">
        <f>IF($N1349="","",IF(AND(G1349=0,H1349=0),"수량 없음",IF(G1349=0,"신규 (전년 수량 없음)",IF(H1349=0,"당해 수량 없음",""))))</f>
        <v/>
      </c>
      <c r="N1349" t="str">
        <f>IF($B1349="","",MATCH($B1349,'_calc'!$L$2:$L$3001,0))</f>
        <v/>
      </c>
    </row>
    <row r="1350">
      <c r="B1350" s="24" t="str">
        <f>IF(ROW()-ROW($B$8)&gt;nComp,"",ROW()-ROW($B$8))</f>
        <v/>
      </c>
      <c r="C1350" t="str">
        <f>IF($N1350="","",INDEX('_calc'!$A$2:$A$3001,$N1350))</f>
        <v/>
      </c>
      <c r="D1350" s="25" t="str">
        <f>IF($N1350="","",INDEX('_calc'!$C$2:$C$3001,$N1350))</f>
        <v/>
      </c>
      <c r="E1350" s="25" t="str">
        <f>IF($N1350="","",INDEX('_calc'!$D$2:$D$3001,$N1350))</f>
        <v/>
      </c>
      <c r="F1350" s="26" t="str">
        <f>IF($N1350="","",IF($E$8=0,"",E1350/$E$8))</f>
        <v/>
      </c>
      <c r="G1350" s="25" t="str">
        <f>IF($N1350="","",INDEX('_calc'!$E$2:$E$3001,$N1350))</f>
        <v/>
      </c>
      <c r="H1350" s="25" t="str">
        <f>IF($N1350="","",INDEX('_calc'!$F$2:$F$3001,$N1350))</f>
        <v/>
      </c>
      <c r="I1350" s="27" t="str">
        <f>IF($N1350="","",INDEX('_calc'!$H$2:$H$3001,$N1350))</f>
        <v/>
      </c>
      <c r="J1350" s="27" t="str">
        <f>IF($N1350="","",INDEX('_calc'!$I$2:$I$3001,$N1350))</f>
        <v/>
      </c>
      <c r="K1350" s="28" t="str">
        <f>IF($N1350="","",IF(OR(I1350="",J1350=""),"",J1350-I1350))</f>
        <v/>
      </c>
      <c r="L1350" s="29" t="str">
        <f>IF($N1350="","",INDEX('_calc'!$J$2:$J$3001,$N1350))</f>
        <v/>
      </c>
      <c r="M1350" s="2" t="str">
        <f>IF($N1350="","",IF(AND(G1350=0,H1350=0),"수량 없음",IF(G1350=0,"신규 (전년 수량 없음)",IF(H1350=0,"당해 수량 없음",""))))</f>
        <v/>
      </c>
      <c r="N1350" t="str">
        <f>IF($B1350="","",MATCH($B1350,'_calc'!$L$2:$L$3001,0))</f>
        <v/>
      </c>
    </row>
    <row r="1351">
      <c r="B1351" s="24" t="str">
        <f>IF(ROW()-ROW($B$8)&gt;nComp,"",ROW()-ROW($B$8))</f>
        <v/>
      </c>
      <c r="C1351" t="str">
        <f>IF($N1351="","",INDEX('_calc'!$A$2:$A$3001,$N1351))</f>
        <v/>
      </c>
      <c r="D1351" s="25" t="str">
        <f>IF($N1351="","",INDEX('_calc'!$C$2:$C$3001,$N1351))</f>
        <v/>
      </c>
      <c r="E1351" s="25" t="str">
        <f>IF($N1351="","",INDEX('_calc'!$D$2:$D$3001,$N1351))</f>
        <v/>
      </c>
      <c r="F1351" s="26" t="str">
        <f>IF($N1351="","",IF($E$8=0,"",E1351/$E$8))</f>
        <v/>
      </c>
      <c r="G1351" s="25" t="str">
        <f>IF($N1351="","",INDEX('_calc'!$E$2:$E$3001,$N1351))</f>
        <v/>
      </c>
      <c r="H1351" s="25" t="str">
        <f>IF($N1351="","",INDEX('_calc'!$F$2:$F$3001,$N1351))</f>
        <v/>
      </c>
      <c r="I1351" s="27" t="str">
        <f>IF($N1351="","",INDEX('_calc'!$H$2:$H$3001,$N1351))</f>
        <v/>
      </c>
      <c r="J1351" s="27" t="str">
        <f>IF($N1351="","",INDEX('_calc'!$I$2:$I$3001,$N1351))</f>
        <v/>
      </c>
      <c r="K1351" s="28" t="str">
        <f>IF($N1351="","",IF(OR(I1351="",J1351=""),"",J1351-I1351))</f>
        <v/>
      </c>
      <c r="L1351" s="29" t="str">
        <f>IF($N1351="","",INDEX('_calc'!$J$2:$J$3001,$N1351))</f>
        <v/>
      </c>
      <c r="M1351" s="2" t="str">
        <f>IF($N1351="","",IF(AND(G1351=0,H1351=0),"수량 없음",IF(G1351=0,"신규 (전년 수량 없음)",IF(H1351=0,"당해 수량 없음",""))))</f>
        <v/>
      </c>
      <c r="N1351" t="str">
        <f>IF($B1351="","",MATCH($B1351,'_calc'!$L$2:$L$3001,0))</f>
        <v/>
      </c>
    </row>
    <row r="1352">
      <c r="B1352" s="24" t="str">
        <f>IF(ROW()-ROW($B$8)&gt;nComp,"",ROW()-ROW($B$8))</f>
        <v/>
      </c>
      <c r="C1352" t="str">
        <f>IF($N1352="","",INDEX('_calc'!$A$2:$A$3001,$N1352))</f>
        <v/>
      </c>
      <c r="D1352" s="25" t="str">
        <f>IF($N1352="","",INDEX('_calc'!$C$2:$C$3001,$N1352))</f>
        <v/>
      </c>
      <c r="E1352" s="25" t="str">
        <f>IF($N1352="","",INDEX('_calc'!$D$2:$D$3001,$N1352))</f>
        <v/>
      </c>
      <c r="F1352" s="26" t="str">
        <f>IF($N1352="","",IF($E$8=0,"",E1352/$E$8))</f>
        <v/>
      </c>
      <c r="G1352" s="25" t="str">
        <f>IF($N1352="","",INDEX('_calc'!$E$2:$E$3001,$N1352))</f>
        <v/>
      </c>
      <c r="H1352" s="25" t="str">
        <f>IF($N1352="","",INDEX('_calc'!$F$2:$F$3001,$N1352))</f>
        <v/>
      </c>
      <c r="I1352" s="27" t="str">
        <f>IF($N1352="","",INDEX('_calc'!$H$2:$H$3001,$N1352))</f>
        <v/>
      </c>
      <c r="J1352" s="27" t="str">
        <f>IF($N1352="","",INDEX('_calc'!$I$2:$I$3001,$N1352))</f>
        <v/>
      </c>
      <c r="K1352" s="28" t="str">
        <f>IF($N1352="","",IF(OR(I1352="",J1352=""),"",J1352-I1352))</f>
        <v/>
      </c>
      <c r="L1352" s="29" t="str">
        <f>IF($N1352="","",INDEX('_calc'!$J$2:$J$3001,$N1352))</f>
        <v/>
      </c>
      <c r="M1352" s="2" t="str">
        <f>IF($N1352="","",IF(AND(G1352=0,H1352=0),"수량 없음",IF(G1352=0,"신규 (전년 수량 없음)",IF(H1352=0,"당해 수량 없음",""))))</f>
        <v/>
      </c>
      <c r="N1352" t="str">
        <f>IF($B1352="","",MATCH($B1352,'_calc'!$L$2:$L$3001,0))</f>
        <v/>
      </c>
    </row>
    <row r="1353">
      <c r="B1353" s="24" t="str">
        <f>IF(ROW()-ROW($B$8)&gt;nComp,"",ROW()-ROW($B$8))</f>
        <v/>
      </c>
      <c r="C1353" t="str">
        <f>IF($N1353="","",INDEX('_calc'!$A$2:$A$3001,$N1353))</f>
        <v/>
      </c>
      <c r="D1353" s="25" t="str">
        <f>IF($N1353="","",INDEX('_calc'!$C$2:$C$3001,$N1353))</f>
        <v/>
      </c>
      <c r="E1353" s="25" t="str">
        <f>IF($N1353="","",INDEX('_calc'!$D$2:$D$3001,$N1353))</f>
        <v/>
      </c>
      <c r="F1353" s="26" t="str">
        <f>IF($N1353="","",IF($E$8=0,"",E1353/$E$8))</f>
        <v/>
      </c>
      <c r="G1353" s="25" t="str">
        <f>IF($N1353="","",INDEX('_calc'!$E$2:$E$3001,$N1353))</f>
        <v/>
      </c>
      <c r="H1353" s="25" t="str">
        <f>IF($N1353="","",INDEX('_calc'!$F$2:$F$3001,$N1353))</f>
        <v/>
      </c>
      <c r="I1353" s="27" t="str">
        <f>IF($N1353="","",INDEX('_calc'!$H$2:$H$3001,$N1353))</f>
        <v/>
      </c>
      <c r="J1353" s="27" t="str">
        <f>IF($N1353="","",INDEX('_calc'!$I$2:$I$3001,$N1353))</f>
        <v/>
      </c>
      <c r="K1353" s="28" t="str">
        <f>IF($N1353="","",IF(OR(I1353="",J1353=""),"",J1353-I1353))</f>
        <v/>
      </c>
      <c r="L1353" s="29" t="str">
        <f>IF($N1353="","",INDEX('_calc'!$J$2:$J$3001,$N1353))</f>
        <v/>
      </c>
      <c r="M1353" s="2" t="str">
        <f>IF($N1353="","",IF(AND(G1353=0,H1353=0),"수량 없음",IF(G1353=0,"신규 (전년 수량 없음)",IF(H1353=0,"당해 수량 없음",""))))</f>
        <v/>
      </c>
      <c r="N1353" t="str">
        <f>IF($B1353="","",MATCH($B1353,'_calc'!$L$2:$L$3001,0))</f>
        <v/>
      </c>
    </row>
    <row r="1354">
      <c r="B1354" s="24" t="str">
        <f>IF(ROW()-ROW($B$8)&gt;nComp,"",ROW()-ROW($B$8))</f>
        <v/>
      </c>
      <c r="C1354" t="str">
        <f>IF($N1354="","",INDEX('_calc'!$A$2:$A$3001,$N1354))</f>
        <v/>
      </c>
      <c r="D1354" s="25" t="str">
        <f>IF($N1354="","",INDEX('_calc'!$C$2:$C$3001,$N1354))</f>
        <v/>
      </c>
      <c r="E1354" s="25" t="str">
        <f>IF($N1354="","",INDEX('_calc'!$D$2:$D$3001,$N1354))</f>
        <v/>
      </c>
      <c r="F1354" s="26" t="str">
        <f>IF($N1354="","",IF($E$8=0,"",E1354/$E$8))</f>
        <v/>
      </c>
      <c r="G1354" s="25" t="str">
        <f>IF($N1354="","",INDEX('_calc'!$E$2:$E$3001,$N1354))</f>
        <v/>
      </c>
      <c r="H1354" s="25" t="str">
        <f>IF($N1354="","",INDEX('_calc'!$F$2:$F$3001,$N1354))</f>
        <v/>
      </c>
      <c r="I1354" s="27" t="str">
        <f>IF($N1354="","",INDEX('_calc'!$H$2:$H$3001,$N1354))</f>
        <v/>
      </c>
      <c r="J1354" s="27" t="str">
        <f>IF($N1354="","",INDEX('_calc'!$I$2:$I$3001,$N1354))</f>
        <v/>
      </c>
      <c r="K1354" s="28" t="str">
        <f>IF($N1354="","",IF(OR(I1354="",J1354=""),"",J1354-I1354))</f>
        <v/>
      </c>
      <c r="L1354" s="29" t="str">
        <f>IF($N1354="","",INDEX('_calc'!$J$2:$J$3001,$N1354))</f>
        <v/>
      </c>
      <c r="M1354" s="2" t="str">
        <f>IF($N1354="","",IF(AND(G1354=0,H1354=0),"수량 없음",IF(G1354=0,"신규 (전년 수량 없음)",IF(H1354=0,"당해 수량 없음",""))))</f>
        <v/>
      </c>
      <c r="N1354" t="str">
        <f>IF($B1354="","",MATCH($B1354,'_calc'!$L$2:$L$3001,0))</f>
        <v/>
      </c>
    </row>
    <row r="1355">
      <c r="B1355" s="24" t="str">
        <f>IF(ROW()-ROW($B$8)&gt;nComp,"",ROW()-ROW($B$8))</f>
        <v/>
      </c>
      <c r="C1355" t="str">
        <f>IF($N1355="","",INDEX('_calc'!$A$2:$A$3001,$N1355))</f>
        <v/>
      </c>
      <c r="D1355" s="25" t="str">
        <f>IF($N1355="","",INDEX('_calc'!$C$2:$C$3001,$N1355))</f>
        <v/>
      </c>
      <c r="E1355" s="25" t="str">
        <f>IF($N1355="","",INDEX('_calc'!$D$2:$D$3001,$N1355))</f>
        <v/>
      </c>
      <c r="F1355" s="26" t="str">
        <f>IF($N1355="","",IF($E$8=0,"",E1355/$E$8))</f>
        <v/>
      </c>
      <c r="G1355" s="25" t="str">
        <f>IF($N1355="","",INDEX('_calc'!$E$2:$E$3001,$N1355))</f>
        <v/>
      </c>
      <c r="H1355" s="25" t="str">
        <f>IF($N1355="","",INDEX('_calc'!$F$2:$F$3001,$N1355))</f>
        <v/>
      </c>
      <c r="I1355" s="27" t="str">
        <f>IF($N1355="","",INDEX('_calc'!$H$2:$H$3001,$N1355))</f>
        <v/>
      </c>
      <c r="J1355" s="27" t="str">
        <f>IF($N1355="","",INDEX('_calc'!$I$2:$I$3001,$N1355))</f>
        <v/>
      </c>
      <c r="K1355" s="28" t="str">
        <f>IF($N1355="","",IF(OR(I1355="",J1355=""),"",J1355-I1355))</f>
        <v/>
      </c>
      <c r="L1355" s="29" t="str">
        <f>IF($N1355="","",INDEX('_calc'!$J$2:$J$3001,$N1355))</f>
        <v/>
      </c>
      <c r="M1355" s="2" t="str">
        <f>IF($N1355="","",IF(AND(G1355=0,H1355=0),"수량 없음",IF(G1355=0,"신규 (전년 수량 없음)",IF(H1355=0,"당해 수량 없음",""))))</f>
        <v/>
      </c>
      <c r="N1355" t="str">
        <f>IF($B1355="","",MATCH($B1355,'_calc'!$L$2:$L$3001,0))</f>
        <v/>
      </c>
    </row>
    <row r="1356">
      <c r="B1356" s="24" t="str">
        <f>IF(ROW()-ROW($B$8)&gt;nComp,"",ROW()-ROW($B$8))</f>
        <v/>
      </c>
      <c r="C1356" t="str">
        <f>IF($N1356="","",INDEX('_calc'!$A$2:$A$3001,$N1356))</f>
        <v/>
      </c>
      <c r="D1356" s="25" t="str">
        <f>IF($N1356="","",INDEX('_calc'!$C$2:$C$3001,$N1356))</f>
        <v/>
      </c>
      <c r="E1356" s="25" t="str">
        <f>IF($N1356="","",INDEX('_calc'!$D$2:$D$3001,$N1356))</f>
        <v/>
      </c>
      <c r="F1356" s="26" t="str">
        <f>IF($N1356="","",IF($E$8=0,"",E1356/$E$8))</f>
        <v/>
      </c>
      <c r="G1356" s="25" t="str">
        <f>IF($N1356="","",INDEX('_calc'!$E$2:$E$3001,$N1356))</f>
        <v/>
      </c>
      <c r="H1356" s="25" t="str">
        <f>IF($N1356="","",INDEX('_calc'!$F$2:$F$3001,$N1356))</f>
        <v/>
      </c>
      <c r="I1356" s="27" t="str">
        <f>IF($N1356="","",INDEX('_calc'!$H$2:$H$3001,$N1356))</f>
        <v/>
      </c>
      <c r="J1356" s="27" t="str">
        <f>IF($N1356="","",INDEX('_calc'!$I$2:$I$3001,$N1356))</f>
        <v/>
      </c>
      <c r="K1356" s="28" t="str">
        <f>IF($N1356="","",IF(OR(I1356="",J1356=""),"",J1356-I1356))</f>
        <v/>
      </c>
      <c r="L1356" s="29" t="str">
        <f>IF($N1356="","",INDEX('_calc'!$J$2:$J$3001,$N1356))</f>
        <v/>
      </c>
      <c r="M1356" s="2" t="str">
        <f>IF($N1356="","",IF(AND(G1356=0,H1356=0),"수량 없음",IF(G1356=0,"신규 (전년 수량 없음)",IF(H1356=0,"당해 수량 없음",""))))</f>
        <v/>
      </c>
      <c r="N1356" t="str">
        <f>IF($B1356="","",MATCH($B1356,'_calc'!$L$2:$L$3001,0))</f>
        <v/>
      </c>
    </row>
    <row r="1357">
      <c r="B1357" s="24" t="str">
        <f>IF(ROW()-ROW($B$8)&gt;nComp,"",ROW()-ROW($B$8))</f>
        <v/>
      </c>
      <c r="C1357" t="str">
        <f>IF($N1357="","",INDEX('_calc'!$A$2:$A$3001,$N1357))</f>
        <v/>
      </c>
      <c r="D1357" s="25" t="str">
        <f>IF($N1357="","",INDEX('_calc'!$C$2:$C$3001,$N1357))</f>
        <v/>
      </c>
      <c r="E1357" s="25" t="str">
        <f>IF($N1357="","",INDEX('_calc'!$D$2:$D$3001,$N1357))</f>
        <v/>
      </c>
      <c r="F1357" s="26" t="str">
        <f>IF($N1357="","",IF($E$8=0,"",E1357/$E$8))</f>
        <v/>
      </c>
      <c r="G1357" s="25" t="str">
        <f>IF($N1357="","",INDEX('_calc'!$E$2:$E$3001,$N1357))</f>
        <v/>
      </c>
      <c r="H1357" s="25" t="str">
        <f>IF($N1357="","",INDEX('_calc'!$F$2:$F$3001,$N1357))</f>
        <v/>
      </c>
      <c r="I1357" s="27" t="str">
        <f>IF($N1357="","",INDEX('_calc'!$H$2:$H$3001,$N1357))</f>
        <v/>
      </c>
      <c r="J1357" s="27" t="str">
        <f>IF($N1357="","",INDEX('_calc'!$I$2:$I$3001,$N1357))</f>
        <v/>
      </c>
      <c r="K1357" s="28" t="str">
        <f>IF($N1357="","",IF(OR(I1357="",J1357=""),"",J1357-I1357))</f>
        <v/>
      </c>
      <c r="L1357" s="29" t="str">
        <f>IF($N1357="","",INDEX('_calc'!$J$2:$J$3001,$N1357))</f>
        <v/>
      </c>
      <c r="M1357" s="2" t="str">
        <f>IF($N1357="","",IF(AND(G1357=0,H1357=0),"수량 없음",IF(G1357=0,"신규 (전년 수량 없음)",IF(H1357=0,"당해 수량 없음",""))))</f>
        <v/>
      </c>
      <c r="N1357" t="str">
        <f>IF($B1357="","",MATCH($B1357,'_calc'!$L$2:$L$3001,0))</f>
        <v/>
      </c>
    </row>
    <row r="1358">
      <c r="B1358" s="24" t="str">
        <f>IF(ROW()-ROW($B$8)&gt;nComp,"",ROW()-ROW($B$8))</f>
        <v/>
      </c>
      <c r="C1358" t="str">
        <f>IF($N1358="","",INDEX('_calc'!$A$2:$A$3001,$N1358))</f>
        <v/>
      </c>
      <c r="D1358" s="25" t="str">
        <f>IF($N1358="","",INDEX('_calc'!$C$2:$C$3001,$N1358))</f>
        <v/>
      </c>
      <c r="E1358" s="25" t="str">
        <f>IF($N1358="","",INDEX('_calc'!$D$2:$D$3001,$N1358))</f>
        <v/>
      </c>
      <c r="F1358" s="26" t="str">
        <f>IF($N1358="","",IF($E$8=0,"",E1358/$E$8))</f>
        <v/>
      </c>
      <c r="G1358" s="25" t="str">
        <f>IF($N1358="","",INDEX('_calc'!$E$2:$E$3001,$N1358))</f>
        <v/>
      </c>
      <c r="H1358" s="25" t="str">
        <f>IF($N1358="","",INDEX('_calc'!$F$2:$F$3001,$N1358))</f>
        <v/>
      </c>
      <c r="I1358" s="27" t="str">
        <f>IF($N1358="","",INDEX('_calc'!$H$2:$H$3001,$N1358))</f>
        <v/>
      </c>
      <c r="J1358" s="27" t="str">
        <f>IF($N1358="","",INDEX('_calc'!$I$2:$I$3001,$N1358))</f>
        <v/>
      </c>
      <c r="K1358" s="28" t="str">
        <f>IF($N1358="","",IF(OR(I1358="",J1358=""),"",J1358-I1358))</f>
        <v/>
      </c>
      <c r="L1358" s="29" t="str">
        <f>IF($N1358="","",INDEX('_calc'!$J$2:$J$3001,$N1358))</f>
        <v/>
      </c>
      <c r="M1358" s="2" t="str">
        <f>IF($N1358="","",IF(AND(G1358=0,H1358=0),"수량 없음",IF(G1358=0,"신규 (전년 수량 없음)",IF(H1358=0,"당해 수량 없음",""))))</f>
        <v/>
      </c>
      <c r="N1358" t="str">
        <f>IF($B1358="","",MATCH($B1358,'_calc'!$L$2:$L$3001,0))</f>
        <v/>
      </c>
    </row>
    <row r="1359">
      <c r="B1359" s="24" t="str">
        <f>IF(ROW()-ROW($B$8)&gt;nComp,"",ROW()-ROW($B$8))</f>
        <v/>
      </c>
      <c r="C1359" t="str">
        <f>IF($N1359="","",INDEX('_calc'!$A$2:$A$3001,$N1359))</f>
        <v/>
      </c>
      <c r="D1359" s="25" t="str">
        <f>IF($N1359="","",INDEX('_calc'!$C$2:$C$3001,$N1359))</f>
        <v/>
      </c>
      <c r="E1359" s="25" t="str">
        <f>IF($N1359="","",INDEX('_calc'!$D$2:$D$3001,$N1359))</f>
        <v/>
      </c>
      <c r="F1359" s="26" t="str">
        <f>IF($N1359="","",IF($E$8=0,"",E1359/$E$8))</f>
        <v/>
      </c>
      <c r="G1359" s="25" t="str">
        <f>IF($N1359="","",INDEX('_calc'!$E$2:$E$3001,$N1359))</f>
        <v/>
      </c>
      <c r="H1359" s="25" t="str">
        <f>IF($N1359="","",INDEX('_calc'!$F$2:$F$3001,$N1359))</f>
        <v/>
      </c>
      <c r="I1359" s="27" t="str">
        <f>IF($N1359="","",INDEX('_calc'!$H$2:$H$3001,$N1359))</f>
        <v/>
      </c>
      <c r="J1359" s="27" t="str">
        <f>IF($N1359="","",INDEX('_calc'!$I$2:$I$3001,$N1359))</f>
        <v/>
      </c>
      <c r="K1359" s="28" t="str">
        <f>IF($N1359="","",IF(OR(I1359="",J1359=""),"",J1359-I1359))</f>
        <v/>
      </c>
      <c r="L1359" s="29" t="str">
        <f>IF($N1359="","",INDEX('_calc'!$J$2:$J$3001,$N1359))</f>
        <v/>
      </c>
      <c r="M1359" s="2" t="str">
        <f>IF($N1359="","",IF(AND(G1359=0,H1359=0),"수량 없음",IF(G1359=0,"신규 (전년 수량 없음)",IF(H1359=0,"당해 수량 없음",""))))</f>
        <v/>
      </c>
      <c r="N1359" t="str">
        <f>IF($B1359="","",MATCH($B1359,'_calc'!$L$2:$L$3001,0))</f>
        <v/>
      </c>
    </row>
    <row r="1360">
      <c r="B1360" s="24" t="str">
        <f>IF(ROW()-ROW($B$8)&gt;nComp,"",ROW()-ROW($B$8))</f>
        <v/>
      </c>
      <c r="C1360" t="str">
        <f>IF($N1360="","",INDEX('_calc'!$A$2:$A$3001,$N1360))</f>
        <v/>
      </c>
      <c r="D1360" s="25" t="str">
        <f>IF($N1360="","",INDEX('_calc'!$C$2:$C$3001,$N1360))</f>
        <v/>
      </c>
      <c r="E1360" s="25" t="str">
        <f>IF($N1360="","",INDEX('_calc'!$D$2:$D$3001,$N1360))</f>
        <v/>
      </c>
      <c r="F1360" s="26" t="str">
        <f>IF($N1360="","",IF($E$8=0,"",E1360/$E$8))</f>
        <v/>
      </c>
      <c r="G1360" s="25" t="str">
        <f>IF($N1360="","",INDEX('_calc'!$E$2:$E$3001,$N1360))</f>
        <v/>
      </c>
      <c r="H1360" s="25" t="str">
        <f>IF($N1360="","",INDEX('_calc'!$F$2:$F$3001,$N1360))</f>
        <v/>
      </c>
      <c r="I1360" s="27" t="str">
        <f>IF($N1360="","",INDEX('_calc'!$H$2:$H$3001,$N1360))</f>
        <v/>
      </c>
      <c r="J1360" s="27" t="str">
        <f>IF($N1360="","",INDEX('_calc'!$I$2:$I$3001,$N1360))</f>
        <v/>
      </c>
      <c r="K1360" s="28" t="str">
        <f>IF($N1360="","",IF(OR(I1360="",J1360=""),"",J1360-I1360))</f>
        <v/>
      </c>
      <c r="L1360" s="29" t="str">
        <f>IF($N1360="","",INDEX('_calc'!$J$2:$J$3001,$N1360))</f>
        <v/>
      </c>
      <c r="M1360" s="2" t="str">
        <f>IF($N1360="","",IF(AND(G1360=0,H1360=0),"수량 없음",IF(G1360=0,"신규 (전년 수량 없음)",IF(H1360=0,"당해 수량 없음",""))))</f>
        <v/>
      </c>
      <c r="N1360" t="str">
        <f>IF($B1360="","",MATCH($B1360,'_calc'!$L$2:$L$3001,0))</f>
        <v/>
      </c>
    </row>
    <row r="1361">
      <c r="B1361" s="24" t="str">
        <f>IF(ROW()-ROW($B$8)&gt;nComp,"",ROW()-ROW($B$8))</f>
        <v/>
      </c>
      <c r="C1361" t="str">
        <f>IF($N1361="","",INDEX('_calc'!$A$2:$A$3001,$N1361))</f>
        <v/>
      </c>
      <c r="D1361" s="25" t="str">
        <f>IF($N1361="","",INDEX('_calc'!$C$2:$C$3001,$N1361))</f>
        <v/>
      </c>
      <c r="E1361" s="25" t="str">
        <f>IF($N1361="","",INDEX('_calc'!$D$2:$D$3001,$N1361))</f>
        <v/>
      </c>
      <c r="F1361" s="26" t="str">
        <f>IF($N1361="","",IF($E$8=0,"",E1361/$E$8))</f>
        <v/>
      </c>
      <c r="G1361" s="25" t="str">
        <f>IF($N1361="","",INDEX('_calc'!$E$2:$E$3001,$N1361))</f>
        <v/>
      </c>
      <c r="H1361" s="25" t="str">
        <f>IF($N1361="","",INDEX('_calc'!$F$2:$F$3001,$N1361))</f>
        <v/>
      </c>
      <c r="I1361" s="27" t="str">
        <f>IF($N1361="","",INDEX('_calc'!$H$2:$H$3001,$N1361))</f>
        <v/>
      </c>
      <c r="J1361" s="27" t="str">
        <f>IF($N1361="","",INDEX('_calc'!$I$2:$I$3001,$N1361))</f>
        <v/>
      </c>
      <c r="K1361" s="28" t="str">
        <f>IF($N1361="","",IF(OR(I1361="",J1361=""),"",J1361-I1361))</f>
        <v/>
      </c>
      <c r="L1361" s="29" t="str">
        <f>IF($N1361="","",INDEX('_calc'!$J$2:$J$3001,$N1361))</f>
        <v/>
      </c>
      <c r="M1361" s="2" t="str">
        <f>IF($N1361="","",IF(AND(G1361=0,H1361=0),"수량 없음",IF(G1361=0,"신규 (전년 수량 없음)",IF(H1361=0,"당해 수량 없음",""))))</f>
        <v/>
      </c>
      <c r="N1361" t="str">
        <f>IF($B1361="","",MATCH($B1361,'_calc'!$L$2:$L$3001,0))</f>
        <v/>
      </c>
    </row>
    <row r="1362">
      <c r="B1362" s="24" t="str">
        <f>IF(ROW()-ROW($B$8)&gt;nComp,"",ROW()-ROW($B$8))</f>
        <v/>
      </c>
      <c r="C1362" t="str">
        <f>IF($N1362="","",INDEX('_calc'!$A$2:$A$3001,$N1362))</f>
        <v/>
      </c>
      <c r="D1362" s="25" t="str">
        <f>IF($N1362="","",INDEX('_calc'!$C$2:$C$3001,$N1362))</f>
        <v/>
      </c>
      <c r="E1362" s="25" t="str">
        <f>IF($N1362="","",INDEX('_calc'!$D$2:$D$3001,$N1362))</f>
        <v/>
      </c>
      <c r="F1362" s="26" t="str">
        <f>IF($N1362="","",IF($E$8=0,"",E1362/$E$8))</f>
        <v/>
      </c>
      <c r="G1362" s="25" t="str">
        <f>IF($N1362="","",INDEX('_calc'!$E$2:$E$3001,$N1362))</f>
        <v/>
      </c>
      <c r="H1362" s="25" t="str">
        <f>IF($N1362="","",INDEX('_calc'!$F$2:$F$3001,$N1362))</f>
        <v/>
      </c>
      <c r="I1362" s="27" t="str">
        <f>IF($N1362="","",INDEX('_calc'!$H$2:$H$3001,$N1362))</f>
        <v/>
      </c>
      <c r="J1362" s="27" t="str">
        <f>IF($N1362="","",INDEX('_calc'!$I$2:$I$3001,$N1362))</f>
        <v/>
      </c>
      <c r="K1362" s="28" t="str">
        <f>IF($N1362="","",IF(OR(I1362="",J1362=""),"",J1362-I1362))</f>
        <v/>
      </c>
      <c r="L1362" s="29" t="str">
        <f>IF($N1362="","",INDEX('_calc'!$J$2:$J$3001,$N1362))</f>
        <v/>
      </c>
      <c r="M1362" s="2" t="str">
        <f>IF($N1362="","",IF(AND(G1362=0,H1362=0),"수량 없음",IF(G1362=0,"신규 (전년 수량 없음)",IF(H1362=0,"당해 수량 없음",""))))</f>
        <v/>
      </c>
      <c r="N1362" t="str">
        <f>IF($B1362="","",MATCH($B1362,'_calc'!$L$2:$L$3001,0))</f>
        <v/>
      </c>
    </row>
    <row r="1363">
      <c r="B1363" s="24" t="str">
        <f>IF(ROW()-ROW($B$8)&gt;nComp,"",ROW()-ROW($B$8))</f>
        <v/>
      </c>
      <c r="C1363" t="str">
        <f>IF($N1363="","",INDEX('_calc'!$A$2:$A$3001,$N1363))</f>
        <v/>
      </c>
      <c r="D1363" s="25" t="str">
        <f>IF($N1363="","",INDEX('_calc'!$C$2:$C$3001,$N1363))</f>
        <v/>
      </c>
      <c r="E1363" s="25" t="str">
        <f>IF($N1363="","",INDEX('_calc'!$D$2:$D$3001,$N1363))</f>
        <v/>
      </c>
      <c r="F1363" s="26" t="str">
        <f>IF($N1363="","",IF($E$8=0,"",E1363/$E$8))</f>
        <v/>
      </c>
      <c r="G1363" s="25" t="str">
        <f>IF($N1363="","",INDEX('_calc'!$E$2:$E$3001,$N1363))</f>
        <v/>
      </c>
      <c r="H1363" s="25" t="str">
        <f>IF($N1363="","",INDEX('_calc'!$F$2:$F$3001,$N1363))</f>
        <v/>
      </c>
      <c r="I1363" s="27" t="str">
        <f>IF($N1363="","",INDEX('_calc'!$H$2:$H$3001,$N1363))</f>
        <v/>
      </c>
      <c r="J1363" s="27" t="str">
        <f>IF($N1363="","",INDEX('_calc'!$I$2:$I$3001,$N1363))</f>
        <v/>
      </c>
      <c r="K1363" s="28" t="str">
        <f>IF($N1363="","",IF(OR(I1363="",J1363=""),"",J1363-I1363))</f>
        <v/>
      </c>
      <c r="L1363" s="29" t="str">
        <f>IF($N1363="","",INDEX('_calc'!$J$2:$J$3001,$N1363))</f>
        <v/>
      </c>
      <c r="M1363" s="2" t="str">
        <f>IF($N1363="","",IF(AND(G1363=0,H1363=0),"수량 없음",IF(G1363=0,"신규 (전년 수량 없음)",IF(H1363=0,"당해 수량 없음",""))))</f>
        <v/>
      </c>
      <c r="N1363" t="str">
        <f>IF($B1363="","",MATCH($B1363,'_calc'!$L$2:$L$3001,0))</f>
        <v/>
      </c>
    </row>
    <row r="1364">
      <c r="B1364" s="24" t="str">
        <f>IF(ROW()-ROW($B$8)&gt;nComp,"",ROW()-ROW($B$8))</f>
        <v/>
      </c>
      <c r="C1364" t="str">
        <f>IF($N1364="","",INDEX('_calc'!$A$2:$A$3001,$N1364))</f>
        <v/>
      </c>
      <c r="D1364" s="25" t="str">
        <f>IF($N1364="","",INDEX('_calc'!$C$2:$C$3001,$N1364))</f>
        <v/>
      </c>
      <c r="E1364" s="25" t="str">
        <f>IF($N1364="","",INDEX('_calc'!$D$2:$D$3001,$N1364))</f>
        <v/>
      </c>
      <c r="F1364" s="26" t="str">
        <f>IF($N1364="","",IF($E$8=0,"",E1364/$E$8))</f>
        <v/>
      </c>
      <c r="G1364" s="25" t="str">
        <f>IF($N1364="","",INDEX('_calc'!$E$2:$E$3001,$N1364))</f>
        <v/>
      </c>
      <c r="H1364" s="25" t="str">
        <f>IF($N1364="","",INDEX('_calc'!$F$2:$F$3001,$N1364))</f>
        <v/>
      </c>
      <c r="I1364" s="27" t="str">
        <f>IF($N1364="","",INDEX('_calc'!$H$2:$H$3001,$N1364))</f>
        <v/>
      </c>
      <c r="J1364" s="27" t="str">
        <f>IF($N1364="","",INDEX('_calc'!$I$2:$I$3001,$N1364))</f>
        <v/>
      </c>
      <c r="K1364" s="28" t="str">
        <f>IF($N1364="","",IF(OR(I1364="",J1364=""),"",J1364-I1364))</f>
        <v/>
      </c>
      <c r="L1364" s="29" t="str">
        <f>IF($N1364="","",INDEX('_calc'!$J$2:$J$3001,$N1364))</f>
        <v/>
      </c>
      <c r="M1364" s="2" t="str">
        <f>IF($N1364="","",IF(AND(G1364=0,H1364=0),"수량 없음",IF(G1364=0,"신규 (전년 수량 없음)",IF(H1364=0,"당해 수량 없음",""))))</f>
        <v/>
      </c>
      <c r="N1364" t="str">
        <f>IF($B1364="","",MATCH($B1364,'_calc'!$L$2:$L$3001,0))</f>
        <v/>
      </c>
    </row>
    <row r="1365">
      <c r="B1365" s="24" t="str">
        <f>IF(ROW()-ROW($B$8)&gt;nComp,"",ROW()-ROW($B$8))</f>
        <v/>
      </c>
      <c r="C1365" t="str">
        <f>IF($N1365="","",INDEX('_calc'!$A$2:$A$3001,$N1365))</f>
        <v/>
      </c>
      <c r="D1365" s="25" t="str">
        <f>IF($N1365="","",INDEX('_calc'!$C$2:$C$3001,$N1365))</f>
        <v/>
      </c>
      <c r="E1365" s="25" t="str">
        <f>IF($N1365="","",INDEX('_calc'!$D$2:$D$3001,$N1365))</f>
        <v/>
      </c>
      <c r="F1365" s="26" t="str">
        <f>IF($N1365="","",IF($E$8=0,"",E1365/$E$8))</f>
        <v/>
      </c>
      <c r="G1365" s="25" t="str">
        <f>IF($N1365="","",INDEX('_calc'!$E$2:$E$3001,$N1365))</f>
        <v/>
      </c>
      <c r="H1365" s="25" t="str">
        <f>IF($N1365="","",INDEX('_calc'!$F$2:$F$3001,$N1365))</f>
        <v/>
      </c>
      <c r="I1365" s="27" t="str">
        <f>IF($N1365="","",INDEX('_calc'!$H$2:$H$3001,$N1365))</f>
        <v/>
      </c>
      <c r="J1365" s="27" t="str">
        <f>IF($N1365="","",INDEX('_calc'!$I$2:$I$3001,$N1365))</f>
        <v/>
      </c>
      <c r="K1365" s="28" t="str">
        <f>IF($N1365="","",IF(OR(I1365="",J1365=""),"",J1365-I1365))</f>
        <v/>
      </c>
      <c r="L1365" s="29" t="str">
        <f>IF($N1365="","",INDEX('_calc'!$J$2:$J$3001,$N1365))</f>
        <v/>
      </c>
      <c r="M1365" s="2" t="str">
        <f>IF($N1365="","",IF(AND(G1365=0,H1365=0),"수량 없음",IF(G1365=0,"신규 (전년 수량 없음)",IF(H1365=0,"당해 수량 없음",""))))</f>
        <v/>
      </c>
      <c r="N1365" t="str">
        <f>IF($B1365="","",MATCH($B1365,'_calc'!$L$2:$L$3001,0))</f>
        <v/>
      </c>
    </row>
    <row r="1366">
      <c r="B1366" s="24" t="str">
        <f>IF(ROW()-ROW($B$8)&gt;nComp,"",ROW()-ROW($B$8))</f>
        <v/>
      </c>
      <c r="C1366" t="str">
        <f>IF($N1366="","",INDEX('_calc'!$A$2:$A$3001,$N1366))</f>
        <v/>
      </c>
      <c r="D1366" s="25" t="str">
        <f>IF($N1366="","",INDEX('_calc'!$C$2:$C$3001,$N1366))</f>
        <v/>
      </c>
      <c r="E1366" s="25" t="str">
        <f>IF($N1366="","",INDEX('_calc'!$D$2:$D$3001,$N1366))</f>
        <v/>
      </c>
      <c r="F1366" s="26" t="str">
        <f>IF($N1366="","",IF($E$8=0,"",E1366/$E$8))</f>
        <v/>
      </c>
      <c r="G1366" s="25" t="str">
        <f>IF($N1366="","",INDEX('_calc'!$E$2:$E$3001,$N1366))</f>
        <v/>
      </c>
      <c r="H1366" s="25" t="str">
        <f>IF($N1366="","",INDEX('_calc'!$F$2:$F$3001,$N1366))</f>
        <v/>
      </c>
      <c r="I1366" s="27" t="str">
        <f>IF($N1366="","",INDEX('_calc'!$H$2:$H$3001,$N1366))</f>
        <v/>
      </c>
      <c r="J1366" s="27" t="str">
        <f>IF($N1366="","",INDEX('_calc'!$I$2:$I$3001,$N1366))</f>
        <v/>
      </c>
      <c r="K1366" s="28" t="str">
        <f>IF($N1366="","",IF(OR(I1366="",J1366=""),"",J1366-I1366))</f>
        <v/>
      </c>
      <c r="L1366" s="29" t="str">
        <f>IF($N1366="","",INDEX('_calc'!$J$2:$J$3001,$N1366))</f>
        <v/>
      </c>
      <c r="M1366" s="2" t="str">
        <f>IF($N1366="","",IF(AND(G1366=0,H1366=0),"수량 없음",IF(G1366=0,"신규 (전년 수량 없음)",IF(H1366=0,"당해 수량 없음",""))))</f>
        <v/>
      </c>
      <c r="N1366" t="str">
        <f>IF($B1366="","",MATCH($B1366,'_calc'!$L$2:$L$3001,0))</f>
        <v/>
      </c>
    </row>
    <row r="1367">
      <c r="B1367" s="24" t="str">
        <f>IF(ROW()-ROW($B$8)&gt;nComp,"",ROW()-ROW($B$8))</f>
        <v/>
      </c>
      <c r="C1367" t="str">
        <f>IF($N1367="","",INDEX('_calc'!$A$2:$A$3001,$N1367))</f>
        <v/>
      </c>
      <c r="D1367" s="25" t="str">
        <f>IF($N1367="","",INDEX('_calc'!$C$2:$C$3001,$N1367))</f>
        <v/>
      </c>
      <c r="E1367" s="25" t="str">
        <f>IF($N1367="","",INDEX('_calc'!$D$2:$D$3001,$N1367))</f>
        <v/>
      </c>
      <c r="F1367" s="26" t="str">
        <f>IF($N1367="","",IF($E$8=0,"",E1367/$E$8))</f>
        <v/>
      </c>
      <c r="G1367" s="25" t="str">
        <f>IF($N1367="","",INDEX('_calc'!$E$2:$E$3001,$N1367))</f>
        <v/>
      </c>
      <c r="H1367" s="25" t="str">
        <f>IF($N1367="","",INDEX('_calc'!$F$2:$F$3001,$N1367))</f>
        <v/>
      </c>
      <c r="I1367" s="27" t="str">
        <f>IF($N1367="","",INDEX('_calc'!$H$2:$H$3001,$N1367))</f>
        <v/>
      </c>
      <c r="J1367" s="27" t="str">
        <f>IF($N1367="","",INDEX('_calc'!$I$2:$I$3001,$N1367))</f>
        <v/>
      </c>
      <c r="K1367" s="28" t="str">
        <f>IF($N1367="","",IF(OR(I1367="",J1367=""),"",J1367-I1367))</f>
        <v/>
      </c>
      <c r="L1367" s="29" t="str">
        <f>IF($N1367="","",INDEX('_calc'!$J$2:$J$3001,$N1367))</f>
        <v/>
      </c>
      <c r="M1367" s="2" t="str">
        <f>IF($N1367="","",IF(AND(G1367=0,H1367=0),"수량 없음",IF(G1367=0,"신규 (전년 수량 없음)",IF(H1367=0,"당해 수량 없음",""))))</f>
        <v/>
      </c>
      <c r="N1367" t="str">
        <f>IF($B1367="","",MATCH($B1367,'_calc'!$L$2:$L$3001,0))</f>
        <v/>
      </c>
    </row>
    <row r="1368">
      <c r="B1368" s="24" t="str">
        <f>IF(ROW()-ROW($B$8)&gt;nComp,"",ROW()-ROW($B$8))</f>
        <v/>
      </c>
      <c r="C1368" t="str">
        <f>IF($N1368="","",INDEX('_calc'!$A$2:$A$3001,$N1368))</f>
        <v/>
      </c>
      <c r="D1368" s="25" t="str">
        <f>IF($N1368="","",INDEX('_calc'!$C$2:$C$3001,$N1368))</f>
        <v/>
      </c>
      <c r="E1368" s="25" t="str">
        <f>IF($N1368="","",INDEX('_calc'!$D$2:$D$3001,$N1368))</f>
        <v/>
      </c>
      <c r="F1368" s="26" t="str">
        <f>IF($N1368="","",IF($E$8=0,"",E1368/$E$8))</f>
        <v/>
      </c>
      <c r="G1368" s="25" t="str">
        <f>IF($N1368="","",INDEX('_calc'!$E$2:$E$3001,$N1368))</f>
        <v/>
      </c>
      <c r="H1368" s="25" t="str">
        <f>IF($N1368="","",INDEX('_calc'!$F$2:$F$3001,$N1368))</f>
        <v/>
      </c>
      <c r="I1368" s="27" t="str">
        <f>IF($N1368="","",INDEX('_calc'!$H$2:$H$3001,$N1368))</f>
        <v/>
      </c>
      <c r="J1368" s="27" t="str">
        <f>IF($N1368="","",INDEX('_calc'!$I$2:$I$3001,$N1368))</f>
        <v/>
      </c>
      <c r="K1368" s="28" t="str">
        <f>IF($N1368="","",IF(OR(I1368="",J1368=""),"",J1368-I1368))</f>
        <v/>
      </c>
      <c r="L1368" s="29" t="str">
        <f>IF($N1368="","",INDEX('_calc'!$J$2:$J$3001,$N1368))</f>
        <v/>
      </c>
      <c r="M1368" s="2" t="str">
        <f>IF($N1368="","",IF(AND(G1368=0,H1368=0),"수량 없음",IF(G1368=0,"신규 (전년 수량 없음)",IF(H1368=0,"당해 수량 없음",""))))</f>
        <v/>
      </c>
      <c r="N1368" t="str">
        <f>IF($B1368="","",MATCH($B1368,'_calc'!$L$2:$L$3001,0))</f>
        <v/>
      </c>
    </row>
    <row r="1369">
      <c r="B1369" s="24" t="str">
        <f>IF(ROW()-ROW($B$8)&gt;nComp,"",ROW()-ROW($B$8))</f>
        <v/>
      </c>
      <c r="C1369" t="str">
        <f>IF($N1369="","",INDEX('_calc'!$A$2:$A$3001,$N1369))</f>
        <v/>
      </c>
      <c r="D1369" s="25" t="str">
        <f>IF($N1369="","",INDEX('_calc'!$C$2:$C$3001,$N1369))</f>
        <v/>
      </c>
      <c r="E1369" s="25" t="str">
        <f>IF($N1369="","",INDEX('_calc'!$D$2:$D$3001,$N1369))</f>
        <v/>
      </c>
      <c r="F1369" s="26" t="str">
        <f>IF($N1369="","",IF($E$8=0,"",E1369/$E$8))</f>
        <v/>
      </c>
      <c r="G1369" s="25" t="str">
        <f>IF($N1369="","",INDEX('_calc'!$E$2:$E$3001,$N1369))</f>
        <v/>
      </c>
      <c r="H1369" s="25" t="str">
        <f>IF($N1369="","",INDEX('_calc'!$F$2:$F$3001,$N1369))</f>
        <v/>
      </c>
      <c r="I1369" s="27" t="str">
        <f>IF($N1369="","",INDEX('_calc'!$H$2:$H$3001,$N1369))</f>
        <v/>
      </c>
      <c r="J1369" s="27" t="str">
        <f>IF($N1369="","",INDEX('_calc'!$I$2:$I$3001,$N1369))</f>
        <v/>
      </c>
      <c r="K1369" s="28" t="str">
        <f>IF($N1369="","",IF(OR(I1369="",J1369=""),"",J1369-I1369))</f>
        <v/>
      </c>
      <c r="L1369" s="29" t="str">
        <f>IF($N1369="","",INDEX('_calc'!$J$2:$J$3001,$N1369))</f>
        <v/>
      </c>
      <c r="M1369" s="2" t="str">
        <f>IF($N1369="","",IF(AND(G1369=0,H1369=0),"수량 없음",IF(G1369=0,"신규 (전년 수량 없음)",IF(H1369=0,"당해 수량 없음",""))))</f>
        <v/>
      </c>
      <c r="N1369" t="str">
        <f>IF($B1369="","",MATCH($B1369,'_calc'!$L$2:$L$3001,0))</f>
        <v/>
      </c>
    </row>
    <row r="1370">
      <c r="B1370" s="24" t="str">
        <f>IF(ROW()-ROW($B$8)&gt;nComp,"",ROW()-ROW($B$8))</f>
        <v/>
      </c>
      <c r="C1370" t="str">
        <f>IF($N1370="","",INDEX('_calc'!$A$2:$A$3001,$N1370))</f>
        <v/>
      </c>
      <c r="D1370" s="25" t="str">
        <f>IF($N1370="","",INDEX('_calc'!$C$2:$C$3001,$N1370))</f>
        <v/>
      </c>
      <c r="E1370" s="25" t="str">
        <f>IF($N1370="","",INDEX('_calc'!$D$2:$D$3001,$N1370))</f>
        <v/>
      </c>
      <c r="F1370" s="26" t="str">
        <f>IF($N1370="","",IF($E$8=0,"",E1370/$E$8))</f>
        <v/>
      </c>
      <c r="G1370" s="25" t="str">
        <f>IF($N1370="","",INDEX('_calc'!$E$2:$E$3001,$N1370))</f>
        <v/>
      </c>
      <c r="H1370" s="25" t="str">
        <f>IF($N1370="","",INDEX('_calc'!$F$2:$F$3001,$N1370))</f>
        <v/>
      </c>
      <c r="I1370" s="27" t="str">
        <f>IF($N1370="","",INDEX('_calc'!$H$2:$H$3001,$N1370))</f>
        <v/>
      </c>
      <c r="J1370" s="27" t="str">
        <f>IF($N1370="","",INDEX('_calc'!$I$2:$I$3001,$N1370))</f>
        <v/>
      </c>
      <c r="K1370" s="28" t="str">
        <f>IF($N1370="","",IF(OR(I1370="",J1370=""),"",J1370-I1370))</f>
        <v/>
      </c>
      <c r="L1370" s="29" t="str">
        <f>IF($N1370="","",INDEX('_calc'!$J$2:$J$3001,$N1370))</f>
        <v/>
      </c>
      <c r="M1370" s="2" t="str">
        <f>IF($N1370="","",IF(AND(G1370=0,H1370=0),"수량 없음",IF(G1370=0,"신규 (전년 수량 없음)",IF(H1370=0,"당해 수량 없음",""))))</f>
        <v/>
      </c>
      <c r="N1370" t="str">
        <f>IF($B1370="","",MATCH($B1370,'_calc'!$L$2:$L$3001,0))</f>
        <v/>
      </c>
    </row>
    <row r="1371">
      <c r="B1371" s="24" t="str">
        <f>IF(ROW()-ROW($B$8)&gt;nComp,"",ROW()-ROW($B$8))</f>
        <v/>
      </c>
      <c r="C1371" t="str">
        <f>IF($N1371="","",INDEX('_calc'!$A$2:$A$3001,$N1371))</f>
        <v/>
      </c>
      <c r="D1371" s="25" t="str">
        <f>IF($N1371="","",INDEX('_calc'!$C$2:$C$3001,$N1371))</f>
        <v/>
      </c>
      <c r="E1371" s="25" t="str">
        <f>IF($N1371="","",INDEX('_calc'!$D$2:$D$3001,$N1371))</f>
        <v/>
      </c>
      <c r="F1371" s="26" t="str">
        <f>IF($N1371="","",IF($E$8=0,"",E1371/$E$8))</f>
        <v/>
      </c>
      <c r="G1371" s="25" t="str">
        <f>IF($N1371="","",INDEX('_calc'!$E$2:$E$3001,$N1371))</f>
        <v/>
      </c>
      <c r="H1371" s="25" t="str">
        <f>IF($N1371="","",INDEX('_calc'!$F$2:$F$3001,$N1371))</f>
        <v/>
      </c>
      <c r="I1371" s="27" t="str">
        <f>IF($N1371="","",INDEX('_calc'!$H$2:$H$3001,$N1371))</f>
        <v/>
      </c>
      <c r="J1371" s="27" t="str">
        <f>IF($N1371="","",INDEX('_calc'!$I$2:$I$3001,$N1371))</f>
        <v/>
      </c>
      <c r="K1371" s="28" t="str">
        <f>IF($N1371="","",IF(OR(I1371="",J1371=""),"",J1371-I1371))</f>
        <v/>
      </c>
      <c r="L1371" s="29" t="str">
        <f>IF($N1371="","",INDEX('_calc'!$J$2:$J$3001,$N1371))</f>
        <v/>
      </c>
      <c r="M1371" s="2" t="str">
        <f>IF($N1371="","",IF(AND(G1371=0,H1371=0),"수량 없음",IF(G1371=0,"신규 (전년 수량 없음)",IF(H1371=0,"당해 수량 없음",""))))</f>
        <v/>
      </c>
      <c r="N1371" t="str">
        <f>IF($B1371="","",MATCH($B1371,'_calc'!$L$2:$L$3001,0))</f>
        <v/>
      </c>
    </row>
    <row r="1372">
      <c r="B1372" s="24" t="str">
        <f>IF(ROW()-ROW($B$8)&gt;nComp,"",ROW()-ROW($B$8))</f>
        <v/>
      </c>
      <c r="C1372" t="str">
        <f>IF($N1372="","",INDEX('_calc'!$A$2:$A$3001,$N1372))</f>
        <v/>
      </c>
      <c r="D1372" s="25" t="str">
        <f>IF($N1372="","",INDEX('_calc'!$C$2:$C$3001,$N1372))</f>
        <v/>
      </c>
      <c r="E1372" s="25" t="str">
        <f>IF($N1372="","",INDEX('_calc'!$D$2:$D$3001,$N1372))</f>
        <v/>
      </c>
      <c r="F1372" s="26" t="str">
        <f>IF($N1372="","",IF($E$8=0,"",E1372/$E$8))</f>
        <v/>
      </c>
      <c r="G1372" s="25" t="str">
        <f>IF($N1372="","",INDEX('_calc'!$E$2:$E$3001,$N1372))</f>
        <v/>
      </c>
      <c r="H1372" s="25" t="str">
        <f>IF($N1372="","",INDEX('_calc'!$F$2:$F$3001,$N1372))</f>
        <v/>
      </c>
      <c r="I1372" s="27" t="str">
        <f>IF($N1372="","",INDEX('_calc'!$H$2:$H$3001,$N1372))</f>
        <v/>
      </c>
      <c r="J1372" s="27" t="str">
        <f>IF($N1372="","",INDEX('_calc'!$I$2:$I$3001,$N1372))</f>
        <v/>
      </c>
      <c r="K1372" s="28" t="str">
        <f>IF($N1372="","",IF(OR(I1372="",J1372=""),"",J1372-I1372))</f>
        <v/>
      </c>
      <c r="L1372" s="29" t="str">
        <f>IF($N1372="","",INDEX('_calc'!$J$2:$J$3001,$N1372))</f>
        <v/>
      </c>
      <c r="M1372" s="2" t="str">
        <f>IF($N1372="","",IF(AND(G1372=0,H1372=0),"수량 없음",IF(G1372=0,"신규 (전년 수량 없음)",IF(H1372=0,"당해 수량 없음",""))))</f>
        <v/>
      </c>
      <c r="N1372" t="str">
        <f>IF($B1372="","",MATCH($B1372,'_calc'!$L$2:$L$3001,0))</f>
        <v/>
      </c>
    </row>
    <row r="1373">
      <c r="B1373" s="24" t="str">
        <f>IF(ROW()-ROW($B$8)&gt;nComp,"",ROW()-ROW($B$8))</f>
        <v/>
      </c>
      <c r="C1373" t="str">
        <f>IF($N1373="","",INDEX('_calc'!$A$2:$A$3001,$N1373))</f>
        <v/>
      </c>
      <c r="D1373" s="25" t="str">
        <f>IF($N1373="","",INDEX('_calc'!$C$2:$C$3001,$N1373))</f>
        <v/>
      </c>
      <c r="E1373" s="25" t="str">
        <f>IF($N1373="","",INDEX('_calc'!$D$2:$D$3001,$N1373))</f>
        <v/>
      </c>
      <c r="F1373" s="26" t="str">
        <f>IF($N1373="","",IF($E$8=0,"",E1373/$E$8))</f>
        <v/>
      </c>
      <c r="G1373" s="25" t="str">
        <f>IF($N1373="","",INDEX('_calc'!$E$2:$E$3001,$N1373))</f>
        <v/>
      </c>
      <c r="H1373" s="25" t="str">
        <f>IF($N1373="","",INDEX('_calc'!$F$2:$F$3001,$N1373))</f>
        <v/>
      </c>
      <c r="I1373" s="27" t="str">
        <f>IF($N1373="","",INDEX('_calc'!$H$2:$H$3001,$N1373))</f>
        <v/>
      </c>
      <c r="J1373" s="27" t="str">
        <f>IF($N1373="","",INDEX('_calc'!$I$2:$I$3001,$N1373))</f>
        <v/>
      </c>
      <c r="K1373" s="28" t="str">
        <f>IF($N1373="","",IF(OR(I1373="",J1373=""),"",J1373-I1373))</f>
        <v/>
      </c>
      <c r="L1373" s="29" t="str">
        <f>IF($N1373="","",INDEX('_calc'!$J$2:$J$3001,$N1373))</f>
        <v/>
      </c>
      <c r="M1373" s="2" t="str">
        <f>IF($N1373="","",IF(AND(G1373=0,H1373=0),"수량 없음",IF(G1373=0,"신규 (전년 수량 없음)",IF(H1373=0,"당해 수량 없음",""))))</f>
        <v/>
      </c>
      <c r="N1373" t="str">
        <f>IF($B1373="","",MATCH($B1373,'_calc'!$L$2:$L$3001,0))</f>
        <v/>
      </c>
    </row>
    <row r="1374">
      <c r="B1374" s="24" t="str">
        <f>IF(ROW()-ROW($B$8)&gt;nComp,"",ROW()-ROW($B$8))</f>
        <v/>
      </c>
      <c r="C1374" t="str">
        <f>IF($N1374="","",INDEX('_calc'!$A$2:$A$3001,$N1374))</f>
        <v/>
      </c>
      <c r="D1374" s="25" t="str">
        <f>IF($N1374="","",INDEX('_calc'!$C$2:$C$3001,$N1374))</f>
        <v/>
      </c>
      <c r="E1374" s="25" t="str">
        <f>IF($N1374="","",INDEX('_calc'!$D$2:$D$3001,$N1374))</f>
        <v/>
      </c>
      <c r="F1374" s="26" t="str">
        <f>IF($N1374="","",IF($E$8=0,"",E1374/$E$8))</f>
        <v/>
      </c>
      <c r="G1374" s="25" t="str">
        <f>IF($N1374="","",INDEX('_calc'!$E$2:$E$3001,$N1374))</f>
        <v/>
      </c>
      <c r="H1374" s="25" t="str">
        <f>IF($N1374="","",INDEX('_calc'!$F$2:$F$3001,$N1374))</f>
        <v/>
      </c>
      <c r="I1374" s="27" t="str">
        <f>IF($N1374="","",INDEX('_calc'!$H$2:$H$3001,$N1374))</f>
        <v/>
      </c>
      <c r="J1374" s="27" t="str">
        <f>IF($N1374="","",INDEX('_calc'!$I$2:$I$3001,$N1374))</f>
        <v/>
      </c>
      <c r="K1374" s="28" t="str">
        <f>IF($N1374="","",IF(OR(I1374="",J1374=""),"",J1374-I1374))</f>
        <v/>
      </c>
      <c r="L1374" s="29" t="str">
        <f>IF($N1374="","",INDEX('_calc'!$J$2:$J$3001,$N1374))</f>
        <v/>
      </c>
      <c r="M1374" s="2" t="str">
        <f>IF($N1374="","",IF(AND(G1374=0,H1374=0),"수량 없음",IF(G1374=0,"신규 (전년 수량 없음)",IF(H1374=0,"당해 수량 없음",""))))</f>
        <v/>
      </c>
      <c r="N1374" t="str">
        <f>IF($B1374="","",MATCH($B1374,'_calc'!$L$2:$L$3001,0))</f>
        <v/>
      </c>
    </row>
    <row r="1375">
      <c r="B1375" s="24" t="str">
        <f>IF(ROW()-ROW($B$8)&gt;nComp,"",ROW()-ROW($B$8))</f>
        <v/>
      </c>
      <c r="C1375" t="str">
        <f>IF($N1375="","",INDEX('_calc'!$A$2:$A$3001,$N1375))</f>
        <v/>
      </c>
      <c r="D1375" s="25" t="str">
        <f>IF($N1375="","",INDEX('_calc'!$C$2:$C$3001,$N1375))</f>
        <v/>
      </c>
      <c r="E1375" s="25" t="str">
        <f>IF($N1375="","",INDEX('_calc'!$D$2:$D$3001,$N1375))</f>
        <v/>
      </c>
      <c r="F1375" s="26" t="str">
        <f>IF($N1375="","",IF($E$8=0,"",E1375/$E$8))</f>
        <v/>
      </c>
      <c r="G1375" s="25" t="str">
        <f>IF($N1375="","",INDEX('_calc'!$E$2:$E$3001,$N1375))</f>
        <v/>
      </c>
      <c r="H1375" s="25" t="str">
        <f>IF($N1375="","",INDEX('_calc'!$F$2:$F$3001,$N1375))</f>
        <v/>
      </c>
      <c r="I1375" s="27" t="str">
        <f>IF($N1375="","",INDEX('_calc'!$H$2:$H$3001,$N1375))</f>
        <v/>
      </c>
      <c r="J1375" s="27" t="str">
        <f>IF($N1375="","",INDEX('_calc'!$I$2:$I$3001,$N1375))</f>
        <v/>
      </c>
      <c r="K1375" s="28" t="str">
        <f>IF($N1375="","",IF(OR(I1375="",J1375=""),"",J1375-I1375))</f>
        <v/>
      </c>
      <c r="L1375" s="29" t="str">
        <f>IF($N1375="","",INDEX('_calc'!$J$2:$J$3001,$N1375))</f>
        <v/>
      </c>
      <c r="M1375" s="2" t="str">
        <f>IF($N1375="","",IF(AND(G1375=0,H1375=0),"수량 없음",IF(G1375=0,"신규 (전년 수량 없음)",IF(H1375=0,"당해 수량 없음",""))))</f>
        <v/>
      </c>
      <c r="N1375" t="str">
        <f>IF($B1375="","",MATCH($B1375,'_calc'!$L$2:$L$3001,0))</f>
        <v/>
      </c>
    </row>
    <row r="1376">
      <c r="B1376" s="24" t="str">
        <f>IF(ROW()-ROW($B$8)&gt;nComp,"",ROW()-ROW($B$8))</f>
        <v/>
      </c>
      <c r="C1376" t="str">
        <f>IF($N1376="","",INDEX('_calc'!$A$2:$A$3001,$N1376))</f>
        <v/>
      </c>
      <c r="D1376" s="25" t="str">
        <f>IF($N1376="","",INDEX('_calc'!$C$2:$C$3001,$N1376))</f>
        <v/>
      </c>
      <c r="E1376" s="25" t="str">
        <f>IF($N1376="","",INDEX('_calc'!$D$2:$D$3001,$N1376))</f>
        <v/>
      </c>
      <c r="F1376" s="26" t="str">
        <f>IF($N1376="","",IF($E$8=0,"",E1376/$E$8))</f>
        <v/>
      </c>
      <c r="G1376" s="25" t="str">
        <f>IF($N1376="","",INDEX('_calc'!$E$2:$E$3001,$N1376))</f>
        <v/>
      </c>
      <c r="H1376" s="25" t="str">
        <f>IF($N1376="","",INDEX('_calc'!$F$2:$F$3001,$N1376))</f>
        <v/>
      </c>
      <c r="I1376" s="27" t="str">
        <f>IF($N1376="","",INDEX('_calc'!$H$2:$H$3001,$N1376))</f>
        <v/>
      </c>
      <c r="J1376" s="27" t="str">
        <f>IF($N1376="","",INDEX('_calc'!$I$2:$I$3001,$N1376))</f>
        <v/>
      </c>
      <c r="K1376" s="28" t="str">
        <f>IF($N1376="","",IF(OR(I1376="",J1376=""),"",J1376-I1376))</f>
        <v/>
      </c>
      <c r="L1376" s="29" t="str">
        <f>IF($N1376="","",INDEX('_calc'!$J$2:$J$3001,$N1376))</f>
        <v/>
      </c>
      <c r="M1376" s="2" t="str">
        <f>IF($N1376="","",IF(AND(G1376=0,H1376=0),"수량 없음",IF(G1376=0,"신규 (전년 수량 없음)",IF(H1376=0,"당해 수량 없음",""))))</f>
        <v/>
      </c>
      <c r="N1376" t="str">
        <f>IF($B1376="","",MATCH($B1376,'_calc'!$L$2:$L$3001,0))</f>
        <v/>
      </c>
    </row>
    <row r="1377">
      <c r="B1377" s="24" t="str">
        <f>IF(ROW()-ROW($B$8)&gt;nComp,"",ROW()-ROW($B$8))</f>
        <v/>
      </c>
      <c r="C1377" t="str">
        <f>IF($N1377="","",INDEX('_calc'!$A$2:$A$3001,$N1377))</f>
        <v/>
      </c>
      <c r="D1377" s="25" t="str">
        <f>IF($N1377="","",INDEX('_calc'!$C$2:$C$3001,$N1377))</f>
        <v/>
      </c>
      <c r="E1377" s="25" t="str">
        <f>IF($N1377="","",INDEX('_calc'!$D$2:$D$3001,$N1377))</f>
        <v/>
      </c>
      <c r="F1377" s="26" t="str">
        <f>IF($N1377="","",IF($E$8=0,"",E1377/$E$8))</f>
        <v/>
      </c>
      <c r="G1377" s="25" t="str">
        <f>IF($N1377="","",INDEX('_calc'!$E$2:$E$3001,$N1377))</f>
        <v/>
      </c>
      <c r="H1377" s="25" t="str">
        <f>IF($N1377="","",INDEX('_calc'!$F$2:$F$3001,$N1377))</f>
        <v/>
      </c>
      <c r="I1377" s="27" t="str">
        <f>IF($N1377="","",INDEX('_calc'!$H$2:$H$3001,$N1377))</f>
        <v/>
      </c>
      <c r="J1377" s="27" t="str">
        <f>IF($N1377="","",INDEX('_calc'!$I$2:$I$3001,$N1377))</f>
        <v/>
      </c>
      <c r="K1377" s="28" t="str">
        <f>IF($N1377="","",IF(OR(I1377="",J1377=""),"",J1377-I1377))</f>
        <v/>
      </c>
      <c r="L1377" s="29" t="str">
        <f>IF($N1377="","",INDEX('_calc'!$J$2:$J$3001,$N1377))</f>
        <v/>
      </c>
      <c r="M1377" s="2" t="str">
        <f>IF($N1377="","",IF(AND(G1377=0,H1377=0),"수량 없음",IF(G1377=0,"신규 (전년 수량 없음)",IF(H1377=0,"당해 수량 없음",""))))</f>
        <v/>
      </c>
      <c r="N1377" t="str">
        <f>IF($B1377="","",MATCH($B1377,'_calc'!$L$2:$L$3001,0))</f>
        <v/>
      </c>
    </row>
    <row r="1378">
      <c r="B1378" s="24" t="str">
        <f>IF(ROW()-ROW($B$8)&gt;nComp,"",ROW()-ROW($B$8))</f>
        <v/>
      </c>
      <c r="C1378" t="str">
        <f>IF($N1378="","",INDEX('_calc'!$A$2:$A$3001,$N1378))</f>
        <v/>
      </c>
      <c r="D1378" s="25" t="str">
        <f>IF($N1378="","",INDEX('_calc'!$C$2:$C$3001,$N1378))</f>
        <v/>
      </c>
      <c r="E1378" s="25" t="str">
        <f>IF($N1378="","",INDEX('_calc'!$D$2:$D$3001,$N1378))</f>
        <v/>
      </c>
      <c r="F1378" s="26" t="str">
        <f>IF($N1378="","",IF($E$8=0,"",E1378/$E$8))</f>
        <v/>
      </c>
      <c r="G1378" s="25" t="str">
        <f>IF($N1378="","",INDEX('_calc'!$E$2:$E$3001,$N1378))</f>
        <v/>
      </c>
      <c r="H1378" s="25" t="str">
        <f>IF($N1378="","",INDEX('_calc'!$F$2:$F$3001,$N1378))</f>
        <v/>
      </c>
      <c r="I1378" s="27" t="str">
        <f>IF($N1378="","",INDEX('_calc'!$H$2:$H$3001,$N1378))</f>
        <v/>
      </c>
      <c r="J1378" s="27" t="str">
        <f>IF($N1378="","",INDEX('_calc'!$I$2:$I$3001,$N1378))</f>
        <v/>
      </c>
      <c r="K1378" s="28" t="str">
        <f>IF($N1378="","",IF(OR(I1378="",J1378=""),"",J1378-I1378))</f>
        <v/>
      </c>
      <c r="L1378" s="29" t="str">
        <f>IF($N1378="","",INDEX('_calc'!$J$2:$J$3001,$N1378))</f>
        <v/>
      </c>
      <c r="M1378" s="2" t="str">
        <f>IF($N1378="","",IF(AND(G1378=0,H1378=0),"수량 없음",IF(G1378=0,"신규 (전년 수량 없음)",IF(H1378=0,"당해 수량 없음",""))))</f>
        <v/>
      </c>
      <c r="N1378" t="str">
        <f>IF($B1378="","",MATCH($B1378,'_calc'!$L$2:$L$3001,0))</f>
        <v/>
      </c>
    </row>
    <row r="1379">
      <c r="B1379" s="24" t="str">
        <f>IF(ROW()-ROW($B$8)&gt;nComp,"",ROW()-ROW($B$8))</f>
        <v/>
      </c>
      <c r="C1379" t="str">
        <f>IF($N1379="","",INDEX('_calc'!$A$2:$A$3001,$N1379))</f>
        <v/>
      </c>
      <c r="D1379" s="25" t="str">
        <f>IF($N1379="","",INDEX('_calc'!$C$2:$C$3001,$N1379))</f>
        <v/>
      </c>
      <c r="E1379" s="25" t="str">
        <f>IF($N1379="","",INDEX('_calc'!$D$2:$D$3001,$N1379))</f>
        <v/>
      </c>
      <c r="F1379" s="26" t="str">
        <f>IF($N1379="","",IF($E$8=0,"",E1379/$E$8))</f>
        <v/>
      </c>
      <c r="G1379" s="25" t="str">
        <f>IF($N1379="","",INDEX('_calc'!$E$2:$E$3001,$N1379))</f>
        <v/>
      </c>
      <c r="H1379" s="25" t="str">
        <f>IF($N1379="","",INDEX('_calc'!$F$2:$F$3001,$N1379))</f>
        <v/>
      </c>
      <c r="I1379" s="27" t="str">
        <f>IF($N1379="","",INDEX('_calc'!$H$2:$H$3001,$N1379))</f>
        <v/>
      </c>
      <c r="J1379" s="27" t="str">
        <f>IF($N1379="","",INDEX('_calc'!$I$2:$I$3001,$N1379))</f>
        <v/>
      </c>
      <c r="K1379" s="28" t="str">
        <f>IF($N1379="","",IF(OR(I1379="",J1379=""),"",J1379-I1379))</f>
        <v/>
      </c>
      <c r="L1379" s="29" t="str">
        <f>IF($N1379="","",INDEX('_calc'!$J$2:$J$3001,$N1379))</f>
        <v/>
      </c>
      <c r="M1379" s="2" t="str">
        <f>IF($N1379="","",IF(AND(G1379=0,H1379=0),"수량 없음",IF(G1379=0,"신규 (전년 수량 없음)",IF(H1379=0,"당해 수량 없음",""))))</f>
        <v/>
      </c>
      <c r="N1379" t="str">
        <f>IF($B1379="","",MATCH($B1379,'_calc'!$L$2:$L$3001,0))</f>
        <v/>
      </c>
    </row>
    <row r="1380">
      <c r="B1380" s="24" t="str">
        <f>IF(ROW()-ROW($B$8)&gt;nComp,"",ROW()-ROW($B$8))</f>
        <v/>
      </c>
      <c r="C1380" t="str">
        <f>IF($N1380="","",INDEX('_calc'!$A$2:$A$3001,$N1380))</f>
        <v/>
      </c>
      <c r="D1380" s="25" t="str">
        <f>IF($N1380="","",INDEX('_calc'!$C$2:$C$3001,$N1380))</f>
        <v/>
      </c>
      <c r="E1380" s="25" t="str">
        <f>IF($N1380="","",INDEX('_calc'!$D$2:$D$3001,$N1380))</f>
        <v/>
      </c>
      <c r="F1380" s="26" t="str">
        <f>IF($N1380="","",IF($E$8=0,"",E1380/$E$8))</f>
        <v/>
      </c>
      <c r="G1380" s="25" t="str">
        <f>IF($N1380="","",INDEX('_calc'!$E$2:$E$3001,$N1380))</f>
        <v/>
      </c>
      <c r="H1380" s="25" t="str">
        <f>IF($N1380="","",INDEX('_calc'!$F$2:$F$3001,$N1380))</f>
        <v/>
      </c>
      <c r="I1380" s="27" t="str">
        <f>IF($N1380="","",INDEX('_calc'!$H$2:$H$3001,$N1380))</f>
        <v/>
      </c>
      <c r="J1380" s="27" t="str">
        <f>IF($N1380="","",INDEX('_calc'!$I$2:$I$3001,$N1380))</f>
        <v/>
      </c>
      <c r="K1380" s="28" t="str">
        <f>IF($N1380="","",IF(OR(I1380="",J1380=""),"",J1380-I1380))</f>
        <v/>
      </c>
      <c r="L1380" s="29" t="str">
        <f>IF($N1380="","",INDEX('_calc'!$J$2:$J$3001,$N1380))</f>
        <v/>
      </c>
      <c r="M1380" s="2" t="str">
        <f>IF($N1380="","",IF(AND(G1380=0,H1380=0),"수량 없음",IF(G1380=0,"신규 (전년 수량 없음)",IF(H1380=0,"당해 수량 없음",""))))</f>
        <v/>
      </c>
      <c r="N1380" t="str">
        <f>IF($B1380="","",MATCH($B1380,'_calc'!$L$2:$L$3001,0))</f>
        <v/>
      </c>
    </row>
    <row r="1381">
      <c r="B1381" s="24" t="str">
        <f>IF(ROW()-ROW($B$8)&gt;nComp,"",ROW()-ROW($B$8))</f>
        <v/>
      </c>
      <c r="C1381" t="str">
        <f>IF($N1381="","",INDEX('_calc'!$A$2:$A$3001,$N1381))</f>
        <v/>
      </c>
      <c r="D1381" s="25" t="str">
        <f>IF($N1381="","",INDEX('_calc'!$C$2:$C$3001,$N1381))</f>
        <v/>
      </c>
      <c r="E1381" s="25" t="str">
        <f>IF($N1381="","",INDEX('_calc'!$D$2:$D$3001,$N1381))</f>
        <v/>
      </c>
      <c r="F1381" s="26" t="str">
        <f>IF($N1381="","",IF($E$8=0,"",E1381/$E$8))</f>
        <v/>
      </c>
      <c r="G1381" s="25" t="str">
        <f>IF($N1381="","",INDEX('_calc'!$E$2:$E$3001,$N1381))</f>
        <v/>
      </c>
      <c r="H1381" s="25" t="str">
        <f>IF($N1381="","",INDEX('_calc'!$F$2:$F$3001,$N1381))</f>
        <v/>
      </c>
      <c r="I1381" s="27" t="str">
        <f>IF($N1381="","",INDEX('_calc'!$H$2:$H$3001,$N1381))</f>
        <v/>
      </c>
      <c r="J1381" s="27" t="str">
        <f>IF($N1381="","",INDEX('_calc'!$I$2:$I$3001,$N1381))</f>
        <v/>
      </c>
      <c r="K1381" s="28" t="str">
        <f>IF($N1381="","",IF(OR(I1381="",J1381=""),"",J1381-I1381))</f>
        <v/>
      </c>
      <c r="L1381" s="29" t="str">
        <f>IF($N1381="","",INDEX('_calc'!$J$2:$J$3001,$N1381))</f>
        <v/>
      </c>
      <c r="M1381" s="2" t="str">
        <f>IF($N1381="","",IF(AND(G1381=0,H1381=0),"수량 없음",IF(G1381=0,"신규 (전년 수량 없음)",IF(H1381=0,"당해 수량 없음",""))))</f>
        <v/>
      </c>
      <c r="N1381" t="str">
        <f>IF($B1381="","",MATCH($B1381,'_calc'!$L$2:$L$3001,0))</f>
        <v/>
      </c>
    </row>
    <row r="1382">
      <c r="B1382" s="24" t="str">
        <f>IF(ROW()-ROW($B$8)&gt;nComp,"",ROW()-ROW($B$8))</f>
        <v/>
      </c>
      <c r="C1382" t="str">
        <f>IF($N1382="","",INDEX('_calc'!$A$2:$A$3001,$N1382))</f>
        <v/>
      </c>
      <c r="D1382" s="25" t="str">
        <f>IF($N1382="","",INDEX('_calc'!$C$2:$C$3001,$N1382))</f>
        <v/>
      </c>
      <c r="E1382" s="25" t="str">
        <f>IF($N1382="","",INDEX('_calc'!$D$2:$D$3001,$N1382))</f>
        <v/>
      </c>
      <c r="F1382" s="26" t="str">
        <f>IF($N1382="","",IF($E$8=0,"",E1382/$E$8))</f>
        <v/>
      </c>
      <c r="G1382" s="25" t="str">
        <f>IF($N1382="","",INDEX('_calc'!$E$2:$E$3001,$N1382))</f>
        <v/>
      </c>
      <c r="H1382" s="25" t="str">
        <f>IF($N1382="","",INDEX('_calc'!$F$2:$F$3001,$N1382))</f>
        <v/>
      </c>
      <c r="I1382" s="27" t="str">
        <f>IF($N1382="","",INDEX('_calc'!$H$2:$H$3001,$N1382))</f>
        <v/>
      </c>
      <c r="J1382" s="27" t="str">
        <f>IF($N1382="","",INDEX('_calc'!$I$2:$I$3001,$N1382))</f>
        <v/>
      </c>
      <c r="K1382" s="28" t="str">
        <f>IF($N1382="","",IF(OR(I1382="",J1382=""),"",J1382-I1382))</f>
        <v/>
      </c>
      <c r="L1382" s="29" t="str">
        <f>IF($N1382="","",INDEX('_calc'!$J$2:$J$3001,$N1382))</f>
        <v/>
      </c>
      <c r="M1382" s="2" t="str">
        <f>IF($N1382="","",IF(AND(G1382=0,H1382=0),"수량 없음",IF(G1382=0,"신규 (전년 수량 없음)",IF(H1382=0,"당해 수량 없음",""))))</f>
        <v/>
      </c>
      <c r="N1382" t="str">
        <f>IF($B1382="","",MATCH($B1382,'_calc'!$L$2:$L$3001,0))</f>
        <v/>
      </c>
    </row>
    <row r="1383">
      <c r="B1383" s="24" t="str">
        <f>IF(ROW()-ROW($B$8)&gt;nComp,"",ROW()-ROW($B$8))</f>
        <v/>
      </c>
      <c r="C1383" t="str">
        <f>IF($N1383="","",INDEX('_calc'!$A$2:$A$3001,$N1383))</f>
        <v/>
      </c>
      <c r="D1383" s="25" t="str">
        <f>IF($N1383="","",INDEX('_calc'!$C$2:$C$3001,$N1383))</f>
        <v/>
      </c>
      <c r="E1383" s="25" t="str">
        <f>IF($N1383="","",INDEX('_calc'!$D$2:$D$3001,$N1383))</f>
        <v/>
      </c>
      <c r="F1383" s="26" t="str">
        <f>IF($N1383="","",IF($E$8=0,"",E1383/$E$8))</f>
        <v/>
      </c>
      <c r="G1383" s="25" t="str">
        <f>IF($N1383="","",INDEX('_calc'!$E$2:$E$3001,$N1383))</f>
        <v/>
      </c>
      <c r="H1383" s="25" t="str">
        <f>IF($N1383="","",INDEX('_calc'!$F$2:$F$3001,$N1383))</f>
        <v/>
      </c>
      <c r="I1383" s="27" t="str">
        <f>IF($N1383="","",INDEX('_calc'!$H$2:$H$3001,$N1383))</f>
        <v/>
      </c>
      <c r="J1383" s="27" t="str">
        <f>IF($N1383="","",INDEX('_calc'!$I$2:$I$3001,$N1383))</f>
        <v/>
      </c>
      <c r="K1383" s="28" t="str">
        <f>IF($N1383="","",IF(OR(I1383="",J1383=""),"",J1383-I1383))</f>
        <v/>
      </c>
      <c r="L1383" s="29" t="str">
        <f>IF($N1383="","",INDEX('_calc'!$J$2:$J$3001,$N1383))</f>
        <v/>
      </c>
      <c r="M1383" s="2" t="str">
        <f>IF($N1383="","",IF(AND(G1383=0,H1383=0),"수량 없음",IF(G1383=0,"신규 (전년 수량 없음)",IF(H1383=0,"당해 수량 없음",""))))</f>
        <v/>
      </c>
      <c r="N1383" t="str">
        <f>IF($B1383="","",MATCH($B1383,'_calc'!$L$2:$L$3001,0))</f>
        <v/>
      </c>
    </row>
    <row r="1384">
      <c r="B1384" s="24" t="str">
        <f>IF(ROW()-ROW($B$8)&gt;nComp,"",ROW()-ROW($B$8))</f>
        <v/>
      </c>
      <c r="C1384" t="str">
        <f>IF($N1384="","",INDEX('_calc'!$A$2:$A$3001,$N1384))</f>
        <v/>
      </c>
      <c r="D1384" s="25" t="str">
        <f>IF($N1384="","",INDEX('_calc'!$C$2:$C$3001,$N1384))</f>
        <v/>
      </c>
      <c r="E1384" s="25" t="str">
        <f>IF($N1384="","",INDEX('_calc'!$D$2:$D$3001,$N1384))</f>
        <v/>
      </c>
      <c r="F1384" s="26" t="str">
        <f>IF($N1384="","",IF($E$8=0,"",E1384/$E$8))</f>
        <v/>
      </c>
      <c r="G1384" s="25" t="str">
        <f>IF($N1384="","",INDEX('_calc'!$E$2:$E$3001,$N1384))</f>
        <v/>
      </c>
      <c r="H1384" s="25" t="str">
        <f>IF($N1384="","",INDEX('_calc'!$F$2:$F$3001,$N1384))</f>
        <v/>
      </c>
      <c r="I1384" s="27" t="str">
        <f>IF($N1384="","",INDEX('_calc'!$H$2:$H$3001,$N1384))</f>
        <v/>
      </c>
      <c r="J1384" s="27" t="str">
        <f>IF($N1384="","",INDEX('_calc'!$I$2:$I$3001,$N1384))</f>
        <v/>
      </c>
      <c r="K1384" s="28" t="str">
        <f>IF($N1384="","",IF(OR(I1384="",J1384=""),"",J1384-I1384))</f>
        <v/>
      </c>
      <c r="L1384" s="29" t="str">
        <f>IF($N1384="","",INDEX('_calc'!$J$2:$J$3001,$N1384))</f>
        <v/>
      </c>
      <c r="M1384" s="2" t="str">
        <f>IF($N1384="","",IF(AND(G1384=0,H1384=0),"수량 없음",IF(G1384=0,"신규 (전년 수량 없음)",IF(H1384=0,"당해 수량 없음",""))))</f>
        <v/>
      </c>
      <c r="N1384" t="str">
        <f>IF($B1384="","",MATCH($B1384,'_calc'!$L$2:$L$3001,0))</f>
        <v/>
      </c>
    </row>
    <row r="1385">
      <c r="B1385" s="24" t="str">
        <f>IF(ROW()-ROW($B$8)&gt;nComp,"",ROW()-ROW($B$8))</f>
        <v/>
      </c>
      <c r="C1385" t="str">
        <f>IF($N1385="","",INDEX('_calc'!$A$2:$A$3001,$N1385))</f>
        <v/>
      </c>
      <c r="D1385" s="25" t="str">
        <f>IF($N1385="","",INDEX('_calc'!$C$2:$C$3001,$N1385))</f>
        <v/>
      </c>
      <c r="E1385" s="25" t="str">
        <f>IF($N1385="","",INDEX('_calc'!$D$2:$D$3001,$N1385))</f>
        <v/>
      </c>
      <c r="F1385" s="26" t="str">
        <f>IF($N1385="","",IF($E$8=0,"",E1385/$E$8))</f>
        <v/>
      </c>
      <c r="G1385" s="25" t="str">
        <f>IF($N1385="","",INDEX('_calc'!$E$2:$E$3001,$N1385))</f>
        <v/>
      </c>
      <c r="H1385" s="25" t="str">
        <f>IF($N1385="","",INDEX('_calc'!$F$2:$F$3001,$N1385))</f>
        <v/>
      </c>
      <c r="I1385" s="27" t="str">
        <f>IF($N1385="","",INDEX('_calc'!$H$2:$H$3001,$N1385))</f>
        <v/>
      </c>
      <c r="J1385" s="27" t="str">
        <f>IF($N1385="","",INDEX('_calc'!$I$2:$I$3001,$N1385))</f>
        <v/>
      </c>
      <c r="K1385" s="28" t="str">
        <f>IF($N1385="","",IF(OR(I1385="",J1385=""),"",J1385-I1385))</f>
        <v/>
      </c>
      <c r="L1385" s="29" t="str">
        <f>IF($N1385="","",INDEX('_calc'!$J$2:$J$3001,$N1385))</f>
        <v/>
      </c>
      <c r="M1385" s="2" t="str">
        <f>IF($N1385="","",IF(AND(G1385=0,H1385=0),"수량 없음",IF(G1385=0,"신규 (전년 수량 없음)",IF(H1385=0,"당해 수량 없음",""))))</f>
        <v/>
      </c>
      <c r="N1385" t="str">
        <f>IF($B1385="","",MATCH($B1385,'_calc'!$L$2:$L$3001,0))</f>
        <v/>
      </c>
    </row>
    <row r="1386">
      <c r="B1386" s="24" t="str">
        <f>IF(ROW()-ROW($B$8)&gt;nComp,"",ROW()-ROW($B$8))</f>
        <v/>
      </c>
      <c r="C1386" t="str">
        <f>IF($N1386="","",INDEX('_calc'!$A$2:$A$3001,$N1386))</f>
        <v/>
      </c>
      <c r="D1386" s="25" t="str">
        <f>IF($N1386="","",INDEX('_calc'!$C$2:$C$3001,$N1386))</f>
        <v/>
      </c>
      <c r="E1386" s="25" t="str">
        <f>IF($N1386="","",INDEX('_calc'!$D$2:$D$3001,$N1386))</f>
        <v/>
      </c>
      <c r="F1386" s="26" t="str">
        <f>IF($N1386="","",IF($E$8=0,"",E1386/$E$8))</f>
        <v/>
      </c>
      <c r="G1386" s="25" t="str">
        <f>IF($N1386="","",INDEX('_calc'!$E$2:$E$3001,$N1386))</f>
        <v/>
      </c>
      <c r="H1386" s="25" t="str">
        <f>IF($N1386="","",INDEX('_calc'!$F$2:$F$3001,$N1386))</f>
        <v/>
      </c>
      <c r="I1386" s="27" t="str">
        <f>IF($N1386="","",INDEX('_calc'!$H$2:$H$3001,$N1386))</f>
        <v/>
      </c>
      <c r="J1386" s="27" t="str">
        <f>IF($N1386="","",INDEX('_calc'!$I$2:$I$3001,$N1386))</f>
        <v/>
      </c>
      <c r="K1386" s="28" t="str">
        <f>IF($N1386="","",IF(OR(I1386="",J1386=""),"",J1386-I1386))</f>
        <v/>
      </c>
      <c r="L1386" s="29" t="str">
        <f>IF($N1386="","",INDEX('_calc'!$J$2:$J$3001,$N1386))</f>
        <v/>
      </c>
      <c r="M1386" s="2" t="str">
        <f>IF($N1386="","",IF(AND(G1386=0,H1386=0),"수량 없음",IF(G1386=0,"신규 (전년 수량 없음)",IF(H1386=0,"당해 수량 없음",""))))</f>
        <v/>
      </c>
      <c r="N1386" t="str">
        <f>IF($B1386="","",MATCH($B1386,'_calc'!$L$2:$L$3001,0))</f>
        <v/>
      </c>
    </row>
    <row r="1387">
      <c r="B1387" s="24" t="str">
        <f>IF(ROW()-ROW($B$8)&gt;nComp,"",ROW()-ROW($B$8))</f>
        <v/>
      </c>
      <c r="C1387" t="str">
        <f>IF($N1387="","",INDEX('_calc'!$A$2:$A$3001,$N1387))</f>
        <v/>
      </c>
      <c r="D1387" s="25" t="str">
        <f>IF($N1387="","",INDEX('_calc'!$C$2:$C$3001,$N1387))</f>
        <v/>
      </c>
      <c r="E1387" s="25" t="str">
        <f>IF($N1387="","",INDEX('_calc'!$D$2:$D$3001,$N1387))</f>
        <v/>
      </c>
      <c r="F1387" s="26" t="str">
        <f>IF($N1387="","",IF($E$8=0,"",E1387/$E$8))</f>
        <v/>
      </c>
      <c r="G1387" s="25" t="str">
        <f>IF($N1387="","",INDEX('_calc'!$E$2:$E$3001,$N1387))</f>
        <v/>
      </c>
      <c r="H1387" s="25" t="str">
        <f>IF($N1387="","",INDEX('_calc'!$F$2:$F$3001,$N1387))</f>
        <v/>
      </c>
      <c r="I1387" s="27" t="str">
        <f>IF($N1387="","",INDEX('_calc'!$H$2:$H$3001,$N1387))</f>
        <v/>
      </c>
      <c r="J1387" s="27" t="str">
        <f>IF($N1387="","",INDEX('_calc'!$I$2:$I$3001,$N1387))</f>
        <v/>
      </c>
      <c r="K1387" s="28" t="str">
        <f>IF($N1387="","",IF(OR(I1387="",J1387=""),"",J1387-I1387))</f>
        <v/>
      </c>
      <c r="L1387" s="29" t="str">
        <f>IF($N1387="","",INDEX('_calc'!$J$2:$J$3001,$N1387))</f>
        <v/>
      </c>
      <c r="M1387" s="2" t="str">
        <f>IF($N1387="","",IF(AND(G1387=0,H1387=0),"수량 없음",IF(G1387=0,"신규 (전년 수량 없음)",IF(H1387=0,"당해 수량 없음",""))))</f>
        <v/>
      </c>
      <c r="N1387" t="str">
        <f>IF($B1387="","",MATCH($B1387,'_calc'!$L$2:$L$3001,0))</f>
        <v/>
      </c>
    </row>
    <row r="1388">
      <c r="B1388" s="24" t="str">
        <f>IF(ROW()-ROW($B$8)&gt;nComp,"",ROW()-ROW($B$8))</f>
        <v/>
      </c>
      <c r="C1388" t="str">
        <f>IF($N1388="","",INDEX('_calc'!$A$2:$A$3001,$N1388))</f>
        <v/>
      </c>
      <c r="D1388" s="25" t="str">
        <f>IF($N1388="","",INDEX('_calc'!$C$2:$C$3001,$N1388))</f>
        <v/>
      </c>
      <c r="E1388" s="25" t="str">
        <f>IF($N1388="","",INDEX('_calc'!$D$2:$D$3001,$N1388))</f>
        <v/>
      </c>
      <c r="F1388" s="26" t="str">
        <f>IF($N1388="","",IF($E$8=0,"",E1388/$E$8))</f>
        <v/>
      </c>
      <c r="G1388" s="25" t="str">
        <f>IF($N1388="","",INDEX('_calc'!$E$2:$E$3001,$N1388))</f>
        <v/>
      </c>
      <c r="H1388" s="25" t="str">
        <f>IF($N1388="","",INDEX('_calc'!$F$2:$F$3001,$N1388))</f>
        <v/>
      </c>
      <c r="I1388" s="27" t="str">
        <f>IF($N1388="","",INDEX('_calc'!$H$2:$H$3001,$N1388))</f>
        <v/>
      </c>
      <c r="J1388" s="27" t="str">
        <f>IF($N1388="","",INDEX('_calc'!$I$2:$I$3001,$N1388))</f>
        <v/>
      </c>
      <c r="K1388" s="28" t="str">
        <f>IF($N1388="","",IF(OR(I1388="",J1388=""),"",J1388-I1388))</f>
        <v/>
      </c>
      <c r="L1388" s="29" t="str">
        <f>IF($N1388="","",INDEX('_calc'!$J$2:$J$3001,$N1388))</f>
        <v/>
      </c>
      <c r="M1388" s="2" t="str">
        <f>IF($N1388="","",IF(AND(G1388=0,H1388=0),"수량 없음",IF(G1388=0,"신규 (전년 수량 없음)",IF(H1388=0,"당해 수량 없음",""))))</f>
        <v/>
      </c>
      <c r="N1388" t="str">
        <f>IF($B1388="","",MATCH($B1388,'_calc'!$L$2:$L$3001,0))</f>
        <v/>
      </c>
    </row>
    <row r="1389">
      <c r="B1389" s="24" t="str">
        <f>IF(ROW()-ROW($B$8)&gt;nComp,"",ROW()-ROW($B$8))</f>
        <v/>
      </c>
      <c r="C1389" t="str">
        <f>IF($N1389="","",INDEX('_calc'!$A$2:$A$3001,$N1389))</f>
        <v/>
      </c>
      <c r="D1389" s="25" t="str">
        <f>IF($N1389="","",INDEX('_calc'!$C$2:$C$3001,$N1389))</f>
        <v/>
      </c>
      <c r="E1389" s="25" t="str">
        <f>IF($N1389="","",INDEX('_calc'!$D$2:$D$3001,$N1389))</f>
        <v/>
      </c>
      <c r="F1389" s="26" t="str">
        <f>IF($N1389="","",IF($E$8=0,"",E1389/$E$8))</f>
        <v/>
      </c>
      <c r="G1389" s="25" t="str">
        <f>IF($N1389="","",INDEX('_calc'!$E$2:$E$3001,$N1389))</f>
        <v/>
      </c>
      <c r="H1389" s="25" t="str">
        <f>IF($N1389="","",INDEX('_calc'!$F$2:$F$3001,$N1389))</f>
        <v/>
      </c>
      <c r="I1389" s="27" t="str">
        <f>IF($N1389="","",INDEX('_calc'!$H$2:$H$3001,$N1389))</f>
        <v/>
      </c>
      <c r="J1389" s="27" t="str">
        <f>IF($N1389="","",INDEX('_calc'!$I$2:$I$3001,$N1389))</f>
        <v/>
      </c>
      <c r="K1389" s="28" t="str">
        <f>IF($N1389="","",IF(OR(I1389="",J1389=""),"",J1389-I1389))</f>
        <v/>
      </c>
      <c r="L1389" s="29" t="str">
        <f>IF($N1389="","",INDEX('_calc'!$J$2:$J$3001,$N1389))</f>
        <v/>
      </c>
      <c r="M1389" s="2" t="str">
        <f>IF($N1389="","",IF(AND(G1389=0,H1389=0),"수량 없음",IF(G1389=0,"신규 (전년 수량 없음)",IF(H1389=0,"당해 수량 없음",""))))</f>
        <v/>
      </c>
      <c r="N1389" t="str">
        <f>IF($B1389="","",MATCH($B1389,'_calc'!$L$2:$L$3001,0))</f>
        <v/>
      </c>
    </row>
    <row r="1390">
      <c r="B1390" s="24" t="str">
        <f>IF(ROW()-ROW($B$8)&gt;nComp,"",ROW()-ROW($B$8))</f>
        <v/>
      </c>
      <c r="C1390" t="str">
        <f>IF($N1390="","",INDEX('_calc'!$A$2:$A$3001,$N1390))</f>
        <v/>
      </c>
      <c r="D1390" s="25" t="str">
        <f>IF($N1390="","",INDEX('_calc'!$C$2:$C$3001,$N1390))</f>
        <v/>
      </c>
      <c r="E1390" s="25" t="str">
        <f>IF($N1390="","",INDEX('_calc'!$D$2:$D$3001,$N1390))</f>
        <v/>
      </c>
      <c r="F1390" s="26" t="str">
        <f>IF($N1390="","",IF($E$8=0,"",E1390/$E$8))</f>
        <v/>
      </c>
      <c r="G1390" s="25" t="str">
        <f>IF($N1390="","",INDEX('_calc'!$E$2:$E$3001,$N1390))</f>
        <v/>
      </c>
      <c r="H1390" s="25" t="str">
        <f>IF($N1390="","",INDEX('_calc'!$F$2:$F$3001,$N1390))</f>
        <v/>
      </c>
      <c r="I1390" s="27" t="str">
        <f>IF($N1390="","",INDEX('_calc'!$H$2:$H$3001,$N1390))</f>
        <v/>
      </c>
      <c r="J1390" s="27" t="str">
        <f>IF($N1390="","",INDEX('_calc'!$I$2:$I$3001,$N1390))</f>
        <v/>
      </c>
      <c r="K1390" s="28" t="str">
        <f>IF($N1390="","",IF(OR(I1390="",J1390=""),"",J1390-I1390))</f>
        <v/>
      </c>
      <c r="L1390" s="29" t="str">
        <f>IF($N1390="","",INDEX('_calc'!$J$2:$J$3001,$N1390))</f>
        <v/>
      </c>
      <c r="M1390" s="2" t="str">
        <f>IF($N1390="","",IF(AND(G1390=0,H1390=0),"수량 없음",IF(G1390=0,"신규 (전년 수량 없음)",IF(H1390=0,"당해 수량 없음",""))))</f>
        <v/>
      </c>
      <c r="N1390" t="str">
        <f>IF($B1390="","",MATCH($B1390,'_calc'!$L$2:$L$3001,0))</f>
        <v/>
      </c>
    </row>
    <row r="1391">
      <c r="B1391" s="24" t="str">
        <f>IF(ROW()-ROW($B$8)&gt;nComp,"",ROW()-ROW($B$8))</f>
        <v/>
      </c>
      <c r="C1391" t="str">
        <f>IF($N1391="","",INDEX('_calc'!$A$2:$A$3001,$N1391))</f>
        <v/>
      </c>
      <c r="D1391" s="25" t="str">
        <f>IF($N1391="","",INDEX('_calc'!$C$2:$C$3001,$N1391))</f>
        <v/>
      </c>
      <c r="E1391" s="25" t="str">
        <f>IF($N1391="","",INDEX('_calc'!$D$2:$D$3001,$N1391))</f>
        <v/>
      </c>
      <c r="F1391" s="26" t="str">
        <f>IF($N1391="","",IF($E$8=0,"",E1391/$E$8))</f>
        <v/>
      </c>
      <c r="G1391" s="25" t="str">
        <f>IF($N1391="","",INDEX('_calc'!$E$2:$E$3001,$N1391))</f>
        <v/>
      </c>
      <c r="H1391" s="25" t="str">
        <f>IF($N1391="","",INDEX('_calc'!$F$2:$F$3001,$N1391))</f>
        <v/>
      </c>
      <c r="I1391" s="27" t="str">
        <f>IF($N1391="","",INDEX('_calc'!$H$2:$H$3001,$N1391))</f>
        <v/>
      </c>
      <c r="J1391" s="27" t="str">
        <f>IF($N1391="","",INDEX('_calc'!$I$2:$I$3001,$N1391))</f>
        <v/>
      </c>
      <c r="K1391" s="28" t="str">
        <f>IF($N1391="","",IF(OR(I1391="",J1391=""),"",J1391-I1391))</f>
        <v/>
      </c>
      <c r="L1391" s="29" t="str">
        <f>IF($N1391="","",INDEX('_calc'!$J$2:$J$3001,$N1391))</f>
        <v/>
      </c>
      <c r="M1391" s="2" t="str">
        <f>IF($N1391="","",IF(AND(G1391=0,H1391=0),"수량 없음",IF(G1391=0,"신규 (전년 수량 없음)",IF(H1391=0,"당해 수량 없음",""))))</f>
        <v/>
      </c>
      <c r="N1391" t="str">
        <f>IF($B1391="","",MATCH($B1391,'_calc'!$L$2:$L$3001,0))</f>
        <v/>
      </c>
    </row>
    <row r="1392">
      <c r="B1392" s="24" t="str">
        <f>IF(ROW()-ROW($B$8)&gt;nComp,"",ROW()-ROW($B$8))</f>
        <v/>
      </c>
      <c r="C1392" t="str">
        <f>IF($N1392="","",INDEX('_calc'!$A$2:$A$3001,$N1392))</f>
        <v/>
      </c>
      <c r="D1392" s="25" t="str">
        <f>IF($N1392="","",INDEX('_calc'!$C$2:$C$3001,$N1392))</f>
        <v/>
      </c>
      <c r="E1392" s="25" t="str">
        <f>IF($N1392="","",INDEX('_calc'!$D$2:$D$3001,$N1392))</f>
        <v/>
      </c>
      <c r="F1392" s="26" t="str">
        <f>IF($N1392="","",IF($E$8=0,"",E1392/$E$8))</f>
        <v/>
      </c>
      <c r="G1392" s="25" t="str">
        <f>IF($N1392="","",INDEX('_calc'!$E$2:$E$3001,$N1392))</f>
        <v/>
      </c>
      <c r="H1392" s="25" t="str">
        <f>IF($N1392="","",INDEX('_calc'!$F$2:$F$3001,$N1392))</f>
        <v/>
      </c>
      <c r="I1392" s="27" t="str">
        <f>IF($N1392="","",INDEX('_calc'!$H$2:$H$3001,$N1392))</f>
        <v/>
      </c>
      <c r="J1392" s="27" t="str">
        <f>IF($N1392="","",INDEX('_calc'!$I$2:$I$3001,$N1392))</f>
        <v/>
      </c>
      <c r="K1392" s="28" t="str">
        <f>IF($N1392="","",IF(OR(I1392="",J1392=""),"",J1392-I1392))</f>
        <v/>
      </c>
      <c r="L1392" s="29" t="str">
        <f>IF($N1392="","",INDEX('_calc'!$J$2:$J$3001,$N1392))</f>
        <v/>
      </c>
      <c r="M1392" s="2" t="str">
        <f>IF($N1392="","",IF(AND(G1392=0,H1392=0),"수량 없음",IF(G1392=0,"신규 (전년 수량 없음)",IF(H1392=0,"당해 수량 없음",""))))</f>
        <v/>
      </c>
      <c r="N1392" t="str">
        <f>IF($B1392="","",MATCH($B1392,'_calc'!$L$2:$L$3001,0))</f>
        <v/>
      </c>
    </row>
    <row r="1393">
      <c r="B1393" s="24" t="str">
        <f>IF(ROW()-ROW($B$8)&gt;nComp,"",ROW()-ROW($B$8))</f>
        <v/>
      </c>
      <c r="C1393" t="str">
        <f>IF($N1393="","",INDEX('_calc'!$A$2:$A$3001,$N1393))</f>
        <v/>
      </c>
      <c r="D1393" s="25" t="str">
        <f>IF($N1393="","",INDEX('_calc'!$C$2:$C$3001,$N1393))</f>
        <v/>
      </c>
      <c r="E1393" s="25" t="str">
        <f>IF($N1393="","",INDEX('_calc'!$D$2:$D$3001,$N1393))</f>
        <v/>
      </c>
      <c r="F1393" s="26" t="str">
        <f>IF($N1393="","",IF($E$8=0,"",E1393/$E$8))</f>
        <v/>
      </c>
      <c r="G1393" s="25" t="str">
        <f>IF($N1393="","",INDEX('_calc'!$E$2:$E$3001,$N1393))</f>
        <v/>
      </c>
      <c r="H1393" s="25" t="str">
        <f>IF($N1393="","",INDEX('_calc'!$F$2:$F$3001,$N1393))</f>
        <v/>
      </c>
      <c r="I1393" s="27" t="str">
        <f>IF($N1393="","",INDEX('_calc'!$H$2:$H$3001,$N1393))</f>
        <v/>
      </c>
      <c r="J1393" s="27" t="str">
        <f>IF($N1393="","",INDEX('_calc'!$I$2:$I$3001,$N1393))</f>
        <v/>
      </c>
      <c r="K1393" s="28" t="str">
        <f>IF($N1393="","",IF(OR(I1393="",J1393=""),"",J1393-I1393))</f>
        <v/>
      </c>
      <c r="L1393" s="29" t="str">
        <f>IF($N1393="","",INDEX('_calc'!$J$2:$J$3001,$N1393))</f>
        <v/>
      </c>
      <c r="M1393" s="2" t="str">
        <f>IF($N1393="","",IF(AND(G1393=0,H1393=0),"수량 없음",IF(G1393=0,"신규 (전년 수량 없음)",IF(H1393=0,"당해 수량 없음",""))))</f>
        <v/>
      </c>
      <c r="N1393" t="str">
        <f>IF($B1393="","",MATCH($B1393,'_calc'!$L$2:$L$3001,0))</f>
        <v/>
      </c>
    </row>
    <row r="1394">
      <c r="B1394" s="24" t="str">
        <f>IF(ROW()-ROW($B$8)&gt;nComp,"",ROW()-ROW($B$8))</f>
        <v/>
      </c>
      <c r="C1394" t="str">
        <f>IF($N1394="","",INDEX('_calc'!$A$2:$A$3001,$N1394))</f>
        <v/>
      </c>
      <c r="D1394" s="25" t="str">
        <f>IF($N1394="","",INDEX('_calc'!$C$2:$C$3001,$N1394))</f>
        <v/>
      </c>
      <c r="E1394" s="25" t="str">
        <f>IF($N1394="","",INDEX('_calc'!$D$2:$D$3001,$N1394))</f>
        <v/>
      </c>
      <c r="F1394" s="26" t="str">
        <f>IF($N1394="","",IF($E$8=0,"",E1394/$E$8))</f>
        <v/>
      </c>
      <c r="G1394" s="25" t="str">
        <f>IF($N1394="","",INDEX('_calc'!$E$2:$E$3001,$N1394))</f>
        <v/>
      </c>
      <c r="H1394" s="25" t="str">
        <f>IF($N1394="","",INDEX('_calc'!$F$2:$F$3001,$N1394))</f>
        <v/>
      </c>
      <c r="I1394" s="27" t="str">
        <f>IF($N1394="","",INDEX('_calc'!$H$2:$H$3001,$N1394))</f>
        <v/>
      </c>
      <c r="J1394" s="27" t="str">
        <f>IF($N1394="","",INDEX('_calc'!$I$2:$I$3001,$N1394))</f>
        <v/>
      </c>
      <c r="K1394" s="28" t="str">
        <f>IF($N1394="","",IF(OR(I1394="",J1394=""),"",J1394-I1394))</f>
        <v/>
      </c>
      <c r="L1394" s="29" t="str">
        <f>IF($N1394="","",INDEX('_calc'!$J$2:$J$3001,$N1394))</f>
        <v/>
      </c>
      <c r="M1394" s="2" t="str">
        <f>IF($N1394="","",IF(AND(G1394=0,H1394=0),"수량 없음",IF(G1394=0,"신규 (전년 수량 없음)",IF(H1394=0,"당해 수량 없음",""))))</f>
        <v/>
      </c>
      <c r="N1394" t="str">
        <f>IF($B1394="","",MATCH($B1394,'_calc'!$L$2:$L$3001,0))</f>
        <v/>
      </c>
    </row>
    <row r="1395">
      <c r="B1395" s="24" t="str">
        <f>IF(ROW()-ROW($B$8)&gt;nComp,"",ROW()-ROW($B$8))</f>
        <v/>
      </c>
      <c r="C1395" t="str">
        <f>IF($N1395="","",INDEX('_calc'!$A$2:$A$3001,$N1395))</f>
        <v/>
      </c>
      <c r="D1395" s="25" t="str">
        <f>IF($N1395="","",INDEX('_calc'!$C$2:$C$3001,$N1395))</f>
        <v/>
      </c>
      <c r="E1395" s="25" t="str">
        <f>IF($N1395="","",INDEX('_calc'!$D$2:$D$3001,$N1395))</f>
        <v/>
      </c>
      <c r="F1395" s="26" t="str">
        <f>IF($N1395="","",IF($E$8=0,"",E1395/$E$8))</f>
        <v/>
      </c>
      <c r="G1395" s="25" t="str">
        <f>IF($N1395="","",INDEX('_calc'!$E$2:$E$3001,$N1395))</f>
        <v/>
      </c>
      <c r="H1395" s="25" t="str">
        <f>IF($N1395="","",INDEX('_calc'!$F$2:$F$3001,$N1395))</f>
        <v/>
      </c>
      <c r="I1395" s="27" t="str">
        <f>IF($N1395="","",INDEX('_calc'!$H$2:$H$3001,$N1395))</f>
        <v/>
      </c>
      <c r="J1395" s="27" t="str">
        <f>IF($N1395="","",INDEX('_calc'!$I$2:$I$3001,$N1395))</f>
        <v/>
      </c>
      <c r="K1395" s="28" t="str">
        <f>IF($N1395="","",IF(OR(I1395="",J1395=""),"",J1395-I1395))</f>
        <v/>
      </c>
      <c r="L1395" s="29" t="str">
        <f>IF($N1395="","",INDEX('_calc'!$J$2:$J$3001,$N1395))</f>
        <v/>
      </c>
      <c r="M1395" s="2" t="str">
        <f>IF($N1395="","",IF(AND(G1395=0,H1395=0),"수량 없음",IF(G1395=0,"신규 (전년 수량 없음)",IF(H1395=0,"당해 수량 없음",""))))</f>
        <v/>
      </c>
      <c r="N1395" t="str">
        <f>IF($B1395="","",MATCH($B1395,'_calc'!$L$2:$L$3001,0))</f>
        <v/>
      </c>
    </row>
    <row r="1396">
      <c r="B1396" s="24" t="str">
        <f>IF(ROW()-ROW($B$8)&gt;nComp,"",ROW()-ROW($B$8))</f>
        <v/>
      </c>
      <c r="C1396" t="str">
        <f>IF($N1396="","",INDEX('_calc'!$A$2:$A$3001,$N1396))</f>
        <v/>
      </c>
      <c r="D1396" s="25" t="str">
        <f>IF($N1396="","",INDEX('_calc'!$C$2:$C$3001,$N1396))</f>
        <v/>
      </c>
      <c r="E1396" s="25" t="str">
        <f>IF($N1396="","",INDEX('_calc'!$D$2:$D$3001,$N1396))</f>
        <v/>
      </c>
      <c r="F1396" s="26" t="str">
        <f>IF($N1396="","",IF($E$8=0,"",E1396/$E$8))</f>
        <v/>
      </c>
      <c r="G1396" s="25" t="str">
        <f>IF($N1396="","",INDEX('_calc'!$E$2:$E$3001,$N1396))</f>
        <v/>
      </c>
      <c r="H1396" s="25" t="str">
        <f>IF($N1396="","",INDEX('_calc'!$F$2:$F$3001,$N1396))</f>
        <v/>
      </c>
      <c r="I1396" s="27" t="str">
        <f>IF($N1396="","",INDEX('_calc'!$H$2:$H$3001,$N1396))</f>
        <v/>
      </c>
      <c r="J1396" s="27" t="str">
        <f>IF($N1396="","",INDEX('_calc'!$I$2:$I$3001,$N1396))</f>
        <v/>
      </c>
      <c r="K1396" s="28" t="str">
        <f>IF($N1396="","",IF(OR(I1396="",J1396=""),"",J1396-I1396))</f>
        <v/>
      </c>
      <c r="L1396" s="29" t="str">
        <f>IF($N1396="","",INDEX('_calc'!$J$2:$J$3001,$N1396))</f>
        <v/>
      </c>
      <c r="M1396" s="2" t="str">
        <f>IF($N1396="","",IF(AND(G1396=0,H1396=0),"수량 없음",IF(G1396=0,"신규 (전년 수량 없음)",IF(H1396=0,"당해 수량 없음",""))))</f>
        <v/>
      </c>
      <c r="N1396" t="str">
        <f>IF($B1396="","",MATCH($B1396,'_calc'!$L$2:$L$3001,0))</f>
        <v/>
      </c>
    </row>
    <row r="1397">
      <c r="B1397" s="24" t="str">
        <f>IF(ROW()-ROW($B$8)&gt;nComp,"",ROW()-ROW($B$8))</f>
        <v/>
      </c>
      <c r="C1397" t="str">
        <f>IF($N1397="","",INDEX('_calc'!$A$2:$A$3001,$N1397))</f>
        <v/>
      </c>
      <c r="D1397" s="25" t="str">
        <f>IF($N1397="","",INDEX('_calc'!$C$2:$C$3001,$N1397))</f>
        <v/>
      </c>
      <c r="E1397" s="25" t="str">
        <f>IF($N1397="","",INDEX('_calc'!$D$2:$D$3001,$N1397))</f>
        <v/>
      </c>
      <c r="F1397" s="26" t="str">
        <f>IF($N1397="","",IF($E$8=0,"",E1397/$E$8))</f>
        <v/>
      </c>
      <c r="G1397" s="25" t="str">
        <f>IF($N1397="","",INDEX('_calc'!$E$2:$E$3001,$N1397))</f>
        <v/>
      </c>
      <c r="H1397" s="25" t="str">
        <f>IF($N1397="","",INDEX('_calc'!$F$2:$F$3001,$N1397))</f>
        <v/>
      </c>
      <c r="I1397" s="27" t="str">
        <f>IF($N1397="","",INDEX('_calc'!$H$2:$H$3001,$N1397))</f>
        <v/>
      </c>
      <c r="J1397" s="27" t="str">
        <f>IF($N1397="","",INDEX('_calc'!$I$2:$I$3001,$N1397))</f>
        <v/>
      </c>
      <c r="K1397" s="28" t="str">
        <f>IF($N1397="","",IF(OR(I1397="",J1397=""),"",J1397-I1397))</f>
        <v/>
      </c>
      <c r="L1397" s="29" t="str">
        <f>IF($N1397="","",INDEX('_calc'!$J$2:$J$3001,$N1397))</f>
        <v/>
      </c>
      <c r="M1397" s="2" t="str">
        <f>IF($N1397="","",IF(AND(G1397=0,H1397=0),"수량 없음",IF(G1397=0,"신규 (전년 수량 없음)",IF(H1397=0,"당해 수량 없음",""))))</f>
        <v/>
      </c>
      <c r="N1397" t="str">
        <f>IF($B1397="","",MATCH($B1397,'_calc'!$L$2:$L$3001,0))</f>
        <v/>
      </c>
    </row>
    <row r="1398">
      <c r="B1398" s="24" t="str">
        <f>IF(ROW()-ROW($B$8)&gt;nComp,"",ROW()-ROW($B$8))</f>
        <v/>
      </c>
      <c r="C1398" t="str">
        <f>IF($N1398="","",INDEX('_calc'!$A$2:$A$3001,$N1398))</f>
        <v/>
      </c>
      <c r="D1398" s="25" t="str">
        <f>IF($N1398="","",INDEX('_calc'!$C$2:$C$3001,$N1398))</f>
        <v/>
      </c>
      <c r="E1398" s="25" t="str">
        <f>IF($N1398="","",INDEX('_calc'!$D$2:$D$3001,$N1398))</f>
        <v/>
      </c>
      <c r="F1398" s="26" t="str">
        <f>IF($N1398="","",IF($E$8=0,"",E1398/$E$8))</f>
        <v/>
      </c>
      <c r="G1398" s="25" t="str">
        <f>IF($N1398="","",INDEX('_calc'!$E$2:$E$3001,$N1398))</f>
        <v/>
      </c>
      <c r="H1398" s="25" t="str">
        <f>IF($N1398="","",INDEX('_calc'!$F$2:$F$3001,$N1398))</f>
        <v/>
      </c>
      <c r="I1398" s="27" t="str">
        <f>IF($N1398="","",INDEX('_calc'!$H$2:$H$3001,$N1398))</f>
        <v/>
      </c>
      <c r="J1398" s="27" t="str">
        <f>IF($N1398="","",INDEX('_calc'!$I$2:$I$3001,$N1398))</f>
        <v/>
      </c>
      <c r="K1398" s="28" t="str">
        <f>IF($N1398="","",IF(OR(I1398="",J1398=""),"",J1398-I1398))</f>
        <v/>
      </c>
      <c r="L1398" s="29" t="str">
        <f>IF($N1398="","",INDEX('_calc'!$J$2:$J$3001,$N1398))</f>
        <v/>
      </c>
      <c r="M1398" s="2" t="str">
        <f>IF($N1398="","",IF(AND(G1398=0,H1398=0),"수량 없음",IF(G1398=0,"신규 (전년 수량 없음)",IF(H1398=0,"당해 수량 없음",""))))</f>
        <v/>
      </c>
      <c r="N1398" t="str">
        <f>IF($B1398="","",MATCH($B1398,'_calc'!$L$2:$L$3001,0))</f>
        <v/>
      </c>
    </row>
    <row r="1399">
      <c r="B1399" s="24" t="str">
        <f>IF(ROW()-ROW($B$8)&gt;nComp,"",ROW()-ROW($B$8))</f>
        <v/>
      </c>
      <c r="C1399" t="str">
        <f>IF($N1399="","",INDEX('_calc'!$A$2:$A$3001,$N1399))</f>
        <v/>
      </c>
      <c r="D1399" s="25" t="str">
        <f>IF($N1399="","",INDEX('_calc'!$C$2:$C$3001,$N1399))</f>
        <v/>
      </c>
      <c r="E1399" s="25" t="str">
        <f>IF($N1399="","",INDEX('_calc'!$D$2:$D$3001,$N1399))</f>
        <v/>
      </c>
      <c r="F1399" s="26" t="str">
        <f>IF($N1399="","",IF($E$8=0,"",E1399/$E$8))</f>
        <v/>
      </c>
      <c r="G1399" s="25" t="str">
        <f>IF($N1399="","",INDEX('_calc'!$E$2:$E$3001,$N1399))</f>
        <v/>
      </c>
      <c r="H1399" s="25" t="str">
        <f>IF($N1399="","",INDEX('_calc'!$F$2:$F$3001,$N1399))</f>
        <v/>
      </c>
      <c r="I1399" s="27" t="str">
        <f>IF($N1399="","",INDEX('_calc'!$H$2:$H$3001,$N1399))</f>
        <v/>
      </c>
      <c r="J1399" s="27" t="str">
        <f>IF($N1399="","",INDEX('_calc'!$I$2:$I$3001,$N1399))</f>
        <v/>
      </c>
      <c r="K1399" s="28" t="str">
        <f>IF($N1399="","",IF(OR(I1399="",J1399=""),"",J1399-I1399))</f>
        <v/>
      </c>
      <c r="L1399" s="29" t="str">
        <f>IF($N1399="","",INDEX('_calc'!$J$2:$J$3001,$N1399))</f>
        <v/>
      </c>
      <c r="M1399" s="2" t="str">
        <f>IF($N1399="","",IF(AND(G1399=0,H1399=0),"수량 없음",IF(G1399=0,"신규 (전년 수량 없음)",IF(H1399=0,"당해 수량 없음",""))))</f>
        <v/>
      </c>
      <c r="N1399" t="str">
        <f>IF($B1399="","",MATCH($B1399,'_calc'!$L$2:$L$3001,0))</f>
        <v/>
      </c>
    </row>
    <row r="1400">
      <c r="B1400" s="24" t="str">
        <f>IF(ROW()-ROW($B$8)&gt;nComp,"",ROW()-ROW($B$8))</f>
        <v/>
      </c>
      <c r="C1400" t="str">
        <f>IF($N1400="","",INDEX('_calc'!$A$2:$A$3001,$N1400))</f>
        <v/>
      </c>
      <c r="D1400" s="25" t="str">
        <f>IF($N1400="","",INDEX('_calc'!$C$2:$C$3001,$N1400))</f>
        <v/>
      </c>
      <c r="E1400" s="25" t="str">
        <f>IF($N1400="","",INDEX('_calc'!$D$2:$D$3001,$N1400))</f>
        <v/>
      </c>
      <c r="F1400" s="26" t="str">
        <f>IF($N1400="","",IF($E$8=0,"",E1400/$E$8))</f>
        <v/>
      </c>
      <c r="G1400" s="25" t="str">
        <f>IF($N1400="","",INDEX('_calc'!$E$2:$E$3001,$N1400))</f>
        <v/>
      </c>
      <c r="H1400" s="25" t="str">
        <f>IF($N1400="","",INDEX('_calc'!$F$2:$F$3001,$N1400))</f>
        <v/>
      </c>
      <c r="I1400" s="27" t="str">
        <f>IF($N1400="","",INDEX('_calc'!$H$2:$H$3001,$N1400))</f>
        <v/>
      </c>
      <c r="J1400" s="27" t="str">
        <f>IF($N1400="","",INDEX('_calc'!$I$2:$I$3001,$N1400))</f>
        <v/>
      </c>
      <c r="K1400" s="28" t="str">
        <f>IF($N1400="","",IF(OR(I1400="",J1400=""),"",J1400-I1400))</f>
        <v/>
      </c>
      <c r="L1400" s="29" t="str">
        <f>IF($N1400="","",INDEX('_calc'!$J$2:$J$3001,$N1400))</f>
        <v/>
      </c>
      <c r="M1400" s="2" t="str">
        <f>IF($N1400="","",IF(AND(G1400=0,H1400=0),"수량 없음",IF(G1400=0,"신규 (전년 수량 없음)",IF(H1400=0,"당해 수량 없음",""))))</f>
        <v/>
      </c>
      <c r="N1400" t="str">
        <f>IF($B1400="","",MATCH($B1400,'_calc'!$L$2:$L$3001,0))</f>
        <v/>
      </c>
    </row>
    <row r="1401">
      <c r="B1401" s="24" t="str">
        <f>IF(ROW()-ROW($B$8)&gt;nComp,"",ROW()-ROW($B$8))</f>
        <v/>
      </c>
      <c r="C1401" t="str">
        <f>IF($N1401="","",INDEX('_calc'!$A$2:$A$3001,$N1401))</f>
        <v/>
      </c>
      <c r="D1401" s="25" t="str">
        <f>IF($N1401="","",INDEX('_calc'!$C$2:$C$3001,$N1401))</f>
        <v/>
      </c>
      <c r="E1401" s="25" t="str">
        <f>IF($N1401="","",INDEX('_calc'!$D$2:$D$3001,$N1401))</f>
        <v/>
      </c>
      <c r="F1401" s="26" t="str">
        <f>IF($N1401="","",IF($E$8=0,"",E1401/$E$8))</f>
        <v/>
      </c>
      <c r="G1401" s="25" t="str">
        <f>IF($N1401="","",INDEX('_calc'!$E$2:$E$3001,$N1401))</f>
        <v/>
      </c>
      <c r="H1401" s="25" t="str">
        <f>IF($N1401="","",INDEX('_calc'!$F$2:$F$3001,$N1401))</f>
        <v/>
      </c>
      <c r="I1401" s="27" t="str">
        <f>IF($N1401="","",INDEX('_calc'!$H$2:$H$3001,$N1401))</f>
        <v/>
      </c>
      <c r="J1401" s="27" t="str">
        <f>IF($N1401="","",INDEX('_calc'!$I$2:$I$3001,$N1401))</f>
        <v/>
      </c>
      <c r="K1401" s="28" t="str">
        <f>IF($N1401="","",IF(OR(I1401="",J1401=""),"",J1401-I1401))</f>
        <v/>
      </c>
      <c r="L1401" s="29" t="str">
        <f>IF($N1401="","",INDEX('_calc'!$J$2:$J$3001,$N1401))</f>
        <v/>
      </c>
      <c r="M1401" s="2" t="str">
        <f>IF($N1401="","",IF(AND(G1401=0,H1401=0),"수량 없음",IF(G1401=0,"신규 (전년 수량 없음)",IF(H1401=0,"당해 수량 없음",""))))</f>
        <v/>
      </c>
      <c r="N1401" t="str">
        <f>IF($B1401="","",MATCH($B1401,'_calc'!$L$2:$L$3001,0))</f>
        <v/>
      </c>
    </row>
    <row r="1402">
      <c r="B1402" s="24" t="str">
        <f>IF(ROW()-ROW($B$8)&gt;nComp,"",ROW()-ROW($B$8))</f>
        <v/>
      </c>
      <c r="C1402" t="str">
        <f>IF($N1402="","",INDEX('_calc'!$A$2:$A$3001,$N1402))</f>
        <v/>
      </c>
      <c r="D1402" s="25" t="str">
        <f>IF($N1402="","",INDEX('_calc'!$C$2:$C$3001,$N1402))</f>
        <v/>
      </c>
      <c r="E1402" s="25" t="str">
        <f>IF($N1402="","",INDEX('_calc'!$D$2:$D$3001,$N1402))</f>
        <v/>
      </c>
      <c r="F1402" s="26" t="str">
        <f>IF($N1402="","",IF($E$8=0,"",E1402/$E$8))</f>
        <v/>
      </c>
      <c r="G1402" s="25" t="str">
        <f>IF($N1402="","",INDEX('_calc'!$E$2:$E$3001,$N1402))</f>
        <v/>
      </c>
      <c r="H1402" s="25" t="str">
        <f>IF($N1402="","",INDEX('_calc'!$F$2:$F$3001,$N1402))</f>
        <v/>
      </c>
      <c r="I1402" s="27" t="str">
        <f>IF($N1402="","",INDEX('_calc'!$H$2:$H$3001,$N1402))</f>
        <v/>
      </c>
      <c r="J1402" s="27" t="str">
        <f>IF($N1402="","",INDEX('_calc'!$I$2:$I$3001,$N1402))</f>
        <v/>
      </c>
      <c r="K1402" s="28" t="str">
        <f>IF($N1402="","",IF(OR(I1402="",J1402=""),"",J1402-I1402))</f>
        <v/>
      </c>
      <c r="L1402" s="29" t="str">
        <f>IF($N1402="","",INDEX('_calc'!$J$2:$J$3001,$N1402))</f>
        <v/>
      </c>
      <c r="M1402" s="2" t="str">
        <f>IF($N1402="","",IF(AND(G1402=0,H1402=0),"수량 없음",IF(G1402=0,"신규 (전년 수량 없음)",IF(H1402=0,"당해 수량 없음",""))))</f>
        <v/>
      </c>
      <c r="N1402" t="str">
        <f>IF($B1402="","",MATCH($B1402,'_calc'!$L$2:$L$3001,0))</f>
        <v/>
      </c>
    </row>
    <row r="1403">
      <c r="B1403" s="24" t="str">
        <f>IF(ROW()-ROW($B$8)&gt;nComp,"",ROW()-ROW($B$8))</f>
        <v/>
      </c>
      <c r="C1403" t="str">
        <f>IF($N1403="","",INDEX('_calc'!$A$2:$A$3001,$N1403))</f>
        <v/>
      </c>
      <c r="D1403" s="25" t="str">
        <f>IF($N1403="","",INDEX('_calc'!$C$2:$C$3001,$N1403))</f>
        <v/>
      </c>
      <c r="E1403" s="25" t="str">
        <f>IF($N1403="","",INDEX('_calc'!$D$2:$D$3001,$N1403))</f>
        <v/>
      </c>
      <c r="F1403" s="26" t="str">
        <f>IF($N1403="","",IF($E$8=0,"",E1403/$E$8))</f>
        <v/>
      </c>
      <c r="G1403" s="25" t="str">
        <f>IF($N1403="","",INDEX('_calc'!$E$2:$E$3001,$N1403))</f>
        <v/>
      </c>
      <c r="H1403" s="25" t="str">
        <f>IF($N1403="","",INDEX('_calc'!$F$2:$F$3001,$N1403))</f>
        <v/>
      </c>
      <c r="I1403" s="27" t="str">
        <f>IF($N1403="","",INDEX('_calc'!$H$2:$H$3001,$N1403))</f>
        <v/>
      </c>
      <c r="J1403" s="27" t="str">
        <f>IF($N1403="","",INDEX('_calc'!$I$2:$I$3001,$N1403))</f>
        <v/>
      </c>
      <c r="K1403" s="28" t="str">
        <f>IF($N1403="","",IF(OR(I1403="",J1403=""),"",J1403-I1403))</f>
        <v/>
      </c>
      <c r="L1403" s="29" t="str">
        <f>IF($N1403="","",INDEX('_calc'!$J$2:$J$3001,$N1403))</f>
        <v/>
      </c>
      <c r="M1403" s="2" t="str">
        <f>IF($N1403="","",IF(AND(G1403=0,H1403=0),"수량 없음",IF(G1403=0,"신규 (전년 수량 없음)",IF(H1403=0,"당해 수량 없음",""))))</f>
        <v/>
      </c>
      <c r="N1403" t="str">
        <f>IF($B1403="","",MATCH($B1403,'_calc'!$L$2:$L$3001,0))</f>
        <v/>
      </c>
    </row>
    <row r="1404">
      <c r="B1404" s="24" t="str">
        <f>IF(ROW()-ROW($B$8)&gt;nComp,"",ROW()-ROW($B$8))</f>
        <v/>
      </c>
      <c r="C1404" t="str">
        <f>IF($N1404="","",INDEX('_calc'!$A$2:$A$3001,$N1404))</f>
        <v/>
      </c>
      <c r="D1404" s="25" t="str">
        <f>IF($N1404="","",INDEX('_calc'!$C$2:$C$3001,$N1404))</f>
        <v/>
      </c>
      <c r="E1404" s="25" t="str">
        <f>IF($N1404="","",INDEX('_calc'!$D$2:$D$3001,$N1404))</f>
        <v/>
      </c>
      <c r="F1404" s="26" t="str">
        <f>IF($N1404="","",IF($E$8=0,"",E1404/$E$8))</f>
        <v/>
      </c>
      <c r="G1404" s="25" t="str">
        <f>IF($N1404="","",INDEX('_calc'!$E$2:$E$3001,$N1404))</f>
        <v/>
      </c>
      <c r="H1404" s="25" t="str">
        <f>IF($N1404="","",INDEX('_calc'!$F$2:$F$3001,$N1404))</f>
        <v/>
      </c>
      <c r="I1404" s="27" t="str">
        <f>IF($N1404="","",INDEX('_calc'!$H$2:$H$3001,$N1404))</f>
        <v/>
      </c>
      <c r="J1404" s="27" t="str">
        <f>IF($N1404="","",INDEX('_calc'!$I$2:$I$3001,$N1404))</f>
        <v/>
      </c>
      <c r="K1404" s="28" t="str">
        <f>IF($N1404="","",IF(OR(I1404="",J1404=""),"",J1404-I1404))</f>
        <v/>
      </c>
      <c r="L1404" s="29" t="str">
        <f>IF($N1404="","",INDEX('_calc'!$J$2:$J$3001,$N1404))</f>
        <v/>
      </c>
      <c r="M1404" s="2" t="str">
        <f>IF($N1404="","",IF(AND(G1404=0,H1404=0),"수량 없음",IF(G1404=0,"신규 (전년 수량 없음)",IF(H1404=0,"당해 수량 없음",""))))</f>
        <v/>
      </c>
      <c r="N1404" t="str">
        <f>IF($B1404="","",MATCH($B1404,'_calc'!$L$2:$L$3001,0))</f>
        <v/>
      </c>
    </row>
    <row r="1405">
      <c r="B1405" s="24" t="str">
        <f>IF(ROW()-ROW($B$8)&gt;nComp,"",ROW()-ROW($B$8))</f>
        <v/>
      </c>
      <c r="C1405" t="str">
        <f>IF($N1405="","",INDEX('_calc'!$A$2:$A$3001,$N1405))</f>
        <v/>
      </c>
      <c r="D1405" s="25" t="str">
        <f>IF($N1405="","",INDEX('_calc'!$C$2:$C$3001,$N1405))</f>
        <v/>
      </c>
      <c r="E1405" s="25" t="str">
        <f>IF($N1405="","",INDEX('_calc'!$D$2:$D$3001,$N1405))</f>
        <v/>
      </c>
      <c r="F1405" s="26" t="str">
        <f>IF($N1405="","",IF($E$8=0,"",E1405/$E$8))</f>
        <v/>
      </c>
      <c r="G1405" s="25" t="str">
        <f>IF($N1405="","",INDEX('_calc'!$E$2:$E$3001,$N1405))</f>
        <v/>
      </c>
      <c r="H1405" s="25" t="str">
        <f>IF($N1405="","",INDEX('_calc'!$F$2:$F$3001,$N1405))</f>
        <v/>
      </c>
      <c r="I1405" s="27" t="str">
        <f>IF($N1405="","",INDEX('_calc'!$H$2:$H$3001,$N1405))</f>
        <v/>
      </c>
      <c r="J1405" s="27" t="str">
        <f>IF($N1405="","",INDEX('_calc'!$I$2:$I$3001,$N1405))</f>
        <v/>
      </c>
      <c r="K1405" s="28" t="str">
        <f>IF($N1405="","",IF(OR(I1405="",J1405=""),"",J1405-I1405))</f>
        <v/>
      </c>
      <c r="L1405" s="29" t="str">
        <f>IF($N1405="","",INDEX('_calc'!$J$2:$J$3001,$N1405))</f>
        <v/>
      </c>
      <c r="M1405" s="2" t="str">
        <f>IF($N1405="","",IF(AND(G1405=0,H1405=0),"수량 없음",IF(G1405=0,"신규 (전년 수량 없음)",IF(H1405=0,"당해 수량 없음",""))))</f>
        <v/>
      </c>
      <c r="N1405" t="str">
        <f>IF($B1405="","",MATCH($B1405,'_calc'!$L$2:$L$3001,0))</f>
        <v/>
      </c>
    </row>
    <row r="1406">
      <c r="B1406" s="24" t="str">
        <f>IF(ROW()-ROW($B$8)&gt;nComp,"",ROW()-ROW($B$8))</f>
        <v/>
      </c>
      <c r="C1406" t="str">
        <f>IF($N1406="","",INDEX('_calc'!$A$2:$A$3001,$N1406))</f>
        <v/>
      </c>
      <c r="D1406" s="25" t="str">
        <f>IF($N1406="","",INDEX('_calc'!$C$2:$C$3001,$N1406))</f>
        <v/>
      </c>
      <c r="E1406" s="25" t="str">
        <f>IF($N1406="","",INDEX('_calc'!$D$2:$D$3001,$N1406))</f>
        <v/>
      </c>
      <c r="F1406" s="26" t="str">
        <f>IF($N1406="","",IF($E$8=0,"",E1406/$E$8))</f>
        <v/>
      </c>
      <c r="G1406" s="25" t="str">
        <f>IF($N1406="","",INDEX('_calc'!$E$2:$E$3001,$N1406))</f>
        <v/>
      </c>
      <c r="H1406" s="25" t="str">
        <f>IF($N1406="","",INDEX('_calc'!$F$2:$F$3001,$N1406))</f>
        <v/>
      </c>
      <c r="I1406" s="27" t="str">
        <f>IF($N1406="","",INDEX('_calc'!$H$2:$H$3001,$N1406))</f>
        <v/>
      </c>
      <c r="J1406" s="27" t="str">
        <f>IF($N1406="","",INDEX('_calc'!$I$2:$I$3001,$N1406))</f>
        <v/>
      </c>
      <c r="K1406" s="28" t="str">
        <f>IF($N1406="","",IF(OR(I1406="",J1406=""),"",J1406-I1406))</f>
        <v/>
      </c>
      <c r="L1406" s="29" t="str">
        <f>IF($N1406="","",INDEX('_calc'!$J$2:$J$3001,$N1406))</f>
        <v/>
      </c>
      <c r="M1406" s="2" t="str">
        <f>IF($N1406="","",IF(AND(G1406=0,H1406=0),"수량 없음",IF(G1406=0,"신규 (전년 수량 없음)",IF(H1406=0,"당해 수량 없음",""))))</f>
        <v/>
      </c>
      <c r="N1406" t="str">
        <f>IF($B1406="","",MATCH($B1406,'_calc'!$L$2:$L$3001,0))</f>
        <v/>
      </c>
    </row>
    <row r="1407">
      <c r="B1407" s="24" t="str">
        <f>IF(ROW()-ROW($B$8)&gt;nComp,"",ROW()-ROW($B$8))</f>
        <v/>
      </c>
      <c r="C1407" t="str">
        <f>IF($N1407="","",INDEX('_calc'!$A$2:$A$3001,$N1407))</f>
        <v/>
      </c>
      <c r="D1407" s="25" t="str">
        <f>IF($N1407="","",INDEX('_calc'!$C$2:$C$3001,$N1407))</f>
        <v/>
      </c>
      <c r="E1407" s="25" t="str">
        <f>IF($N1407="","",INDEX('_calc'!$D$2:$D$3001,$N1407))</f>
        <v/>
      </c>
      <c r="F1407" s="26" t="str">
        <f>IF($N1407="","",IF($E$8=0,"",E1407/$E$8))</f>
        <v/>
      </c>
      <c r="G1407" s="25" t="str">
        <f>IF($N1407="","",INDEX('_calc'!$E$2:$E$3001,$N1407))</f>
        <v/>
      </c>
      <c r="H1407" s="25" t="str">
        <f>IF($N1407="","",INDEX('_calc'!$F$2:$F$3001,$N1407))</f>
        <v/>
      </c>
      <c r="I1407" s="27" t="str">
        <f>IF($N1407="","",INDEX('_calc'!$H$2:$H$3001,$N1407))</f>
        <v/>
      </c>
      <c r="J1407" s="27" t="str">
        <f>IF($N1407="","",INDEX('_calc'!$I$2:$I$3001,$N1407))</f>
        <v/>
      </c>
      <c r="K1407" s="28" t="str">
        <f>IF($N1407="","",IF(OR(I1407="",J1407=""),"",J1407-I1407))</f>
        <v/>
      </c>
      <c r="L1407" s="29" t="str">
        <f>IF($N1407="","",INDEX('_calc'!$J$2:$J$3001,$N1407))</f>
        <v/>
      </c>
      <c r="M1407" s="2" t="str">
        <f>IF($N1407="","",IF(AND(G1407=0,H1407=0),"수량 없음",IF(G1407=0,"신규 (전년 수량 없음)",IF(H1407=0,"당해 수량 없음",""))))</f>
        <v/>
      </c>
      <c r="N1407" t="str">
        <f>IF($B1407="","",MATCH($B1407,'_calc'!$L$2:$L$3001,0))</f>
        <v/>
      </c>
    </row>
    <row r="1408">
      <c r="B1408" s="24" t="str">
        <f>IF(ROW()-ROW($B$8)&gt;nComp,"",ROW()-ROW($B$8))</f>
        <v/>
      </c>
      <c r="C1408" t="str">
        <f>IF($N1408="","",INDEX('_calc'!$A$2:$A$3001,$N1408))</f>
        <v/>
      </c>
      <c r="D1408" s="25" t="str">
        <f>IF($N1408="","",INDEX('_calc'!$C$2:$C$3001,$N1408))</f>
        <v/>
      </c>
      <c r="E1408" s="25" t="str">
        <f>IF($N1408="","",INDEX('_calc'!$D$2:$D$3001,$N1408))</f>
        <v/>
      </c>
      <c r="F1408" s="26" t="str">
        <f>IF($N1408="","",IF($E$8=0,"",E1408/$E$8))</f>
        <v/>
      </c>
      <c r="G1408" s="25" t="str">
        <f>IF($N1408="","",INDEX('_calc'!$E$2:$E$3001,$N1408))</f>
        <v/>
      </c>
      <c r="H1408" s="25" t="str">
        <f>IF($N1408="","",INDEX('_calc'!$F$2:$F$3001,$N1408))</f>
        <v/>
      </c>
      <c r="I1408" s="27" t="str">
        <f>IF($N1408="","",INDEX('_calc'!$H$2:$H$3001,$N1408))</f>
        <v/>
      </c>
      <c r="J1408" s="27" t="str">
        <f>IF($N1408="","",INDEX('_calc'!$I$2:$I$3001,$N1408))</f>
        <v/>
      </c>
      <c r="K1408" s="28" t="str">
        <f>IF($N1408="","",IF(OR(I1408="",J1408=""),"",J1408-I1408))</f>
        <v/>
      </c>
      <c r="L1408" s="29" t="str">
        <f>IF($N1408="","",INDEX('_calc'!$J$2:$J$3001,$N1408))</f>
        <v/>
      </c>
      <c r="M1408" s="2" t="str">
        <f>IF($N1408="","",IF(AND(G1408=0,H1408=0),"수량 없음",IF(G1408=0,"신규 (전년 수량 없음)",IF(H1408=0,"당해 수량 없음",""))))</f>
        <v/>
      </c>
      <c r="N1408" t="str">
        <f>IF($B1408="","",MATCH($B1408,'_calc'!$L$2:$L$3001,0))</f>
        <v/>
      </c>
    </row>
    <row r="1409">
      <c r="B1409" s="24" t="str">
        <f>IF(ROW()-ROW($B$8)&gt;nComp,"",ROW()-ROW($B$8))</f>
        <v/>
      </c>
      <c r="C1409" t="str">
        <f>IF($N1409="","",INDEX('_calc'!$A$2:$A$3001,$N1409))</f>
        <v/>
      </c>
      <c r="D1409" s="25" t="str">
        <f>IF($N1409="","",INDEX('_calc'!$C$2:$C$3001,$N1409))</f>
        <v/>
      </c>
      <c r="E1409" s="25" t="str">
        <f>IF($N1409="","",INDEX('_calc'!$D$2:$D$3001,$N1409))</f>
        <v/>
      </c>
      <c r="F1409" s="26" t="str">
        <f>IF($N1409="","",IF($E$8=0,"",E1409/$E$8))</f>
        <v/>
      </c>
      <c r="G1409" s="25" t="str">
        <f>IF($N1409="","",INDEX('_calc'!$E$2:$E$3001,$N1409))</f>
        <v/>
      </c>
      <c r="H1409" s="25" t="str">
        <f>IF($N1409="","",INDEX('_calc'!$F$2:$F$3001,$N1409))</f>
        <v/>
      </c>
      <c r="I1409" s="27" t="str">
        <f>IF($N1409="","",INDEX('_calc'!$H$2:$H$3001,$N1409))</f>
        <v/>
      </c>
      <c r="J1409" s="27" t="str">
        <f>IF($N1409="","",INDEX('_calc'!$I$2:$I$3001,$N1409))</f>
        <v/>
      </c>
      <c r="K1409" s="28" t="str">
        <f>IF($N1409="","",IF(OR(I1409="",J1409=""),"",J1409-I1409))</f>
        <v/>
      </c>
      <c r="L1409" s="29" t="str">
        <f>IF($N1409="","",INDEX('_calc'!$J$2:$J$3001,$N1409))</f>
        <v/>
      </c>
      <c r="M1409" s="2" t="str">
        <f>IF($N1409="","",IF(AND(G1409=0,H1409=0),"수량 없음",IF(G1409=0,"신규 (전년 수량 없음)",IF(H1409=0,"당해 수량 없음",""))))</f>
        <v/>
      </c>
      <c r="N1409" t="str">
        <f>IF($B1409="","",MATCH($B1409,'_calc'!$L$2:$L$3001,0))</f>
        <v/>
      </c>
    </row>
    <row r="1410">
      <c r="B1410" s="24" t="str">
        <f>IF(ROW()-ROW($B$8)&gt;nComp,"",ROW()-ROW($B$8))</f>
        <v/>
      </c>
      <c r="C1410" t="str">
        <f>IF($N1410="","",INDEX('_calc'!$A$2:$A$3001,$N1410))</f>
        <v/>
      </c>
      <c r="D1410" s="25" t="str">
        <f>IF($N1410="","",INDEX('_calc'!$C$2:$C$3001,$N1410))</f>
        <v/>
      </c>
      <c r="E1410" s="25" t="str">
        <f>IF($N1410="","",INDEX('_calc'!$D$2:$D$3001,$N1410))</f>
        <v/>
      </c>
      <c r="F1410" s="26" t="str">
        <f>IF($N1410="","",IF($E$8=0,"",E1410/$E$8))</f>
        <v/>
      </c>
      <c r="G1410" s="25" t="str">
        <f>IF($N1410="","",INDEX('_calc'!$E$2:$E$3001,$N1410))</f>
        <v/>
      </c>
      <c r="H1410" s="25" t="str">
        <f>IF($N1410="","",INDEX('_calc'!$F$2:$F$3001,$N1410))</f>
        <v/>
      </c>
      <c r="I1410" s="27" t="str">
        <f>IF($N1410="","",INDEX('_calc'!$H$2:$H$3001,$N1410))</f>
        <v/>
      </c>
      <c r="J1410" s="27" t="str">
        <f>IF($N1410="","",INDEX('_calc'!$I$2:$I$3001,$N1410))</f>
        <v/>
      </c>
      <c r="K1410" s="28" t="str">
        <f>IF($N1410="","",IF(OR(I1410="",J1410=""),"",J1410-I1410))</f>
        <v/>
      </c>
      <c r="L1410" s="29" t="str">
        <f>IF($N1410="","",INDEX('_calc'!$J$2:$J$3001,$N1410))</f>
        <v/>
      </c>
      <c r="M1410" s="2" t="str">
        <f>IF($N1410="","",IF(AND(G1410=0,H1410=0),"수량 없음",IF(G1410=0,"신규 (전년 수량 없음)",IF(H1410=0,"당해 수량 없음",""))))</f>
        <v/>
      </c>
      <c r="N1410" t="str">
        <f>IF($B1410="","",MATCH($B1410,'_calc'!$L$2:$L$3001,0))</f>
        <v/>
      </c>
    </row>
    <row r="1411">
      <c r="B1411" s="24" t="str">
        <f>IF(ROW()-ROW($B$8)&gt;nComp,"",ROW()-ROW($B$8))</f>
        <v/>
      </c>
      <c r="C1411" t="str">
        <f>IF($N1411="","",INDEX('_calc'!$A$2:$A$3001,$N1411))</f>
        <v/>
      </c>
      <c r="D1411" s="25" t="str">
        <f>IF($N1411="","",INDEX('_calc'!$C$2:$C$3001,$N1411))</f>
        <v/>
      </c>
      <c r="E1411" s="25" t="str">
        <f>IF($N1411="","",INDEX('_calc'!$D$2:$D$3001,$N1411))</f>
        <v/>
      </c>
      <c r="F1411" s="26" t="str">
        <f>IF($N1411="","",IF($E$8=0,"",E1411/$E$8))</f>
        <v/>
      </c>
      <c r="G1411" s="25" t="str">
        <f>IF($N1411="","",INDEX('_calc'!$E$2:$E$3001,$N1411))</f>
        <v/>
      </c>
      <c r="H1411" s="25" t="str">
        <f>IF($N1411="","",INDEX('_calc'!$F$2:$F$3001,$N1411))</f>
        <v/>
      </c>
      <c r="I1411" s="27" t="str">
        <f>IF($N1411="","",INDEX('_calc'!$H$2:$H$3001,$N1411))</f>
        <v/>
      </c>
      <c r="J1411" s="27" t="str">
        <f>IF($N1411="","",INDEX('_calc'!$I$2:$I$3001,$N1411))</f>
        <v/>
      </c>
      <c r="K1411" s="28" t="str">
        <f>IF($N1411="","",IF(OR(I1411="",J1411=""),"",J1411-I1411))</f>
        <v/>
      </c>
      <c r="L1411" s="29" t="str">
        <f>IF($N1411="","",INDEX('_calc'!$J$2:$J$3001,$N1411))</f>
        <v/>
      </c>
      <c r="M1411" s="2" t="str">
        <f>IF($N1411="","",IF(AND(G1411=0,H1411=0),"수량 없음",IF(G1411=0,"신규 (전년 수량 없음)",IF(H1411=0,"당해 수량 없음",""))))</f>
        <v/>
      </c>
      <c r="N1411" t="str">
        <f>IF($B1411="","",MATCH($B1411,'_calc'!$L$2:$L$3001,0))</f>
        <v/>
      </c>
    </row>
    <row r="1412">
      <c r="B1412" s="24" t="str">
        <f>IF(ROW()-ROW($B$8)&gt;nComp,"",ROW()-ROW($B$8))</f>
        <v/>
      </c>
      <c r="C1412" t="str">
        <f>IF($N1412="","",INDEX('_calc'!$A$2:$A$3001,$N1412))</f>
        <v/>
      </c>
      <c r="D1412" s="25" t="str">
        <f>IF($N1412="","",INDEX('_calc'!$C$2:$C$3001,$N1412))</f>
        <v/>
      </c>
      <c r="E1412" s="25" t="str">
        <f>IF($N1412="","",INDEX('_calc'!$D$2:$D$3001,$N1412))</f>
        <v/>
      </c>
      <c r="F1412" s="26" t="str">
        <f>IF($N1412="","",IF($E$8=0,"",E1412/$E$8))</f>
        <v/>
      </c>
      <c r="G1412" s="25" t="str">
        <f>IF($N1412="","",INDEX('_calc'!$E$2:$E$3001,$N1412))</f>
        <v/>
      </c>
      <c r="H1412" s="25" t="str">
        <f>IF($N1412="","",INDEX('_calc'!$F$2:$F$3001,$N1412))</f>
        <v/>
      </c>
      <c r="I1412" s="27" t="str">
        <f>IF($N1412="","",INDEX('_calc'!$H$2:$H$3001,$N1412))</f>
        <v/>
      </c>
      <c r="J1412" s="27" t="str">
        <f>IF($N1412="","",INDEX('_calc'!$I$2:$I$3001,$N1412))</f>
        <v/>
      </c>
      <c r="K1412" s="28" t="str">
        <f>IF($N1412="","",IF(OR(I1412="",J1412=""),"",J1412-I1412))</f>
        <v/>
      </c>
      <c r="L1412" s="29" t="str">
        <f>IF($N1412="","",INDEX('_calc'!$J$2:$J$3001,$N1412))</f>
        <v/>
      </c>
      <c r="M1412" s="2" t="str">
        <f>IF($N1412="","",IF(AND(G1412=0,H1412=0),"수량 없음",IF(G1412=0,"신규 (전년 수량 없음)",IF(H1412=0,"당해 수량 없음",""))))</f>
        <v/>
      </c>
      <c r="N1412" t="str">
        <f>IF($B1412="","",MATCH($B1412,'_calc'!$L$2:$L$3001,0))</f>
        <v/>
      </c>
    </row>
    <row r="1413">
      <c r="B1413" s="24" t="str">
        <f>IF(ROW()-ROW($B$8)&gt;nComp,"",ROW()-ROW($B$8))</f>
        <v/>
      </c>
      <c r="C1413" t="str">
        <f>IF($N1413="","",INDEX('_calc'!$A$2:$A$3001,$N1413))</f>
        <v/>
      </c>
      <c r="D1413" s="25" t="str">
        <f>IF($N1413="","",INDEX('_calc'!$C$2:$C$3001,$N1413))</f>
        <v/>
      </c>
      <c r="E1413" s="25" t="str">
        <f>IF($N1413="","",INDEX('_calc'!$D$2:$D$3001,$N1413))</f>
        <v/>
      </c>
      <c r="F1413" s="26" t="str">
        <f>IF($N1413="","",IF($E$8=0,"",E1413/$E$8))</f>
        <v/>
      </c>
      <c r="G1413" s="25" t="str">
        <f>IF($N1413="","",INDEX('_calc'!$E$2:$E$3001,$N1413))</f>
        <v/>
      </c>
      <c r="H1413" s="25" t="str">
        <f>IF($N1413="","",INDEX('_calc'!$F$2:$F$3001,$N1413))</f>
        <v/>
      </c>
      <c r="I1413" s="27" t="str">
        <f>IF($N1413="","",INDEX('_calc'!$H$2:$H$3001,$N1413))</f>
        <v/>
      </c>
      <c r="J1413" s="27" t="str">
        <f>IF($N1413="","",INDEX('_calc'!$I$2:$I$3001,$N1413))</f>
        <v/>
      </c>
      <c r="K1413" s="28" t="str">
        <f>IF($N1413="","",IF(OR(I1413="",J1413=""),"",J1413-I1413))</f>
        <v/>
      </c>
      <c r="L1413" s="29" t="str">
        <f>IF($N1413="","",INDEX('_calc'!$J$2:$J$3001,$N1413))</f>
        <v/>
      </c>
      <c r="M1413" s="2" t="str">
        <f>IF($N1413="","",IF(AND(G1413=0,H1413=0),"수량 없음",IF(G1413=0,"신규 (전년 수량 없음)",IF(H1413=0,"당해 수량 없음",""))))</f>
        <v/>
      </c>
      <c r="N1413" t="str">
        <f>IF($B1413="","",MATCH($B1413,'_calc'!$L$2:$L$3001,0))</f>
        <v/>
      </c>
    </row>
    <row r="1414">
      <c r="B1414" s="24" t="str">
        <f>IF(ROW()-ROW($B$8)&gt;nComp,"",ROW()-ROW($B$8))</f>
        <v/>
      </c>
      <c r="C1414" t="str">
        <f>IF($N1414="","",INDEX('_calc'!$A$2:$A$3001,$N1414))</f>
        <v/>
      </c>
      <c r="D1414" s="25" t="str">
        <f>IF($N1414="","",INDEX('_calc'!$C$2:$C$3001,$N1414))</f>
        <v/>
      </c>
      <c r="E1414" s="25" t="str">
        <f>IF($N1414="","",INDEX('_calc'!$D$2:$D$3001,$N1414))</f>
        <v/>
      </c>
      <c r="F1414" s="26" t="str">
        <f>IF($N1414="","",IF($E$8=0,"",E1414/$E$8))</f>
        <v/>
      </c>
      <c r="G1414" s="25" t="str">
        <f>IF($N1414="","",INDEX('_calc'!$E$2:$E$3001,$N1414))</f>
        <v/>
      </c>
      <c r="H1414" s="25" t="str">
        <f>IF($N1414="","",INDEX('_calc'!$F$2:$F$3001,$N1414))</f>
        <v/>
      </c>
      <c r="I1414" s="27" t="str">
        <f>IF($N1414="","",INDEX('_calc'!$H$2:$H$3001,$N1414))</f>
        <v/>
      </c>
      <c r="J1414" s="27" t="str">
        <f>IF($N1414="","",INDEX('_calc'!$I$2:$I$3001,$N1414))</f>
        <v/>
      </c>
      <c r="K1414" s="28" t="str">
        <f>IF($N1414="","",IF(OR(I1414="",J1414=""),"",J1414-I1414))</f>
        <v/>
      </c>
      <c r="L1414" s="29" t="str">
        <f>IF($N1414="","",INDEX('_calc'!$J$2:$J$3001,$N1414))</f>
        <v/>
      </c>
      <c r="M1414" s="2" t="str">
        <f>IF($N1414="","",IF(AND(G1414=0,H1414=0),"수량 없음",IF(G1414=0,"신규 (전년 수량 없음)",IF(H1414=0,"당해 수량 없음",""))))</f>
        <v/>
      </c>
      <c r="N1414" t="str">
        <f>IF($B1414="","",MATCH($B1414,'_calc'!$L$2:$L$3001,0))</f>
        <v/>
      </c>
    </row>
    <row r="1415">
      <c r="B1415" s="24" t="str">
        <f>IF(ROW()-ROW($B$8)&gt;nComp,"",ROW()-ROW($B$8))</f>
        <v/>
      </c>
      <c r="C1415" t="str">
        <f>IF($N1415="","",INDEX('_calc'!$A$2:$A$3001,$N1415))</f>
        <v/>
      </c>
      <c r="D1415" s="25" t="str">
        <f>IF($N1415="","",INDEX('_calc'!$C$2:$C$3001,$N1415))</f>
        <v/>
      </c>
      <c r="E1415" s="25" t="str">
        <f>IF($N1415="","",INDEX('_calc'!$D$2:$D$3001,$N1415))</f>
        <v/>
      </c>
      <c r="F1415" s="26" t="str">
        <f>IF($N1415="","",IF($E$8=0,"",E1415/$E$8))</f>
        <v/>
      </c>
      <c r="G1415" s="25" t="str">
        <f>IF($N1415="","",INDEX('_calc'!$E$2:$E$3001,$N1415))</f>
        <v/>
      </c>
      <c r="H1415" s="25" t="str">
        <f>IF($N1415="","",INDEX('_calc'!$F$2:$F$3001,$N1415))</f>
        <v/>
      </c>
      <c r="I1415" s="27" t="str">
        <f>IF($N1415="","",INDEX('_calc'!$H$2:$H$3001,$N1415))</f>
        <v/>
      </c>
      <c r="J1415" s="27" t="str">
        <f>IF($N1415="","",INDEX('_calc'!$I$2:$I$3001,$N1415))</f>
        <v/>
      </c>
      <c r="K1415" s="28" t="str">
        <f>IF($N1415="","",IF(OR(I1415="",J1415=""),"",J1415-I1415))</f>
        <v/>
      </c>
      <c r="L1415" s="29" t="str">
        <f>IF($N1415="","",INDEX('_calc'!$J$2:$J$3001,$N1415))</f>
        <v/>
      </c>
      <c r="M1415" s="2" t="str">
        <f>IF($N1415="","",IF(AND(G1415=0,H1415=0),"수량 없음",IF(G1415=0,"신규 (전년 수량 없음)",IF(H1415=0,"당해 수량 없음",""))))</f>
        <v/>
      </c>
      <c r="N1415" t="str">
        <f>IF($B1415="","",MATCH($B1415,'_calc'!$L$2:$L$3001,0))</f>
        <v/>
      </c>
    </row>
    <row r="1416">
      <c r="B1416" s="24" t="str">
        <f>IF(ROW()-ROW($B$8)&gt;nComp,"",ROW()-ROW($B$8))</f>
        <v/>
      </c>
      <c r="C1416" t="str">
        <f>IF($N1416="","",INDEX('_calc'!$A$2:$A$3001,$N1416))</f>
        <v/>
      </c>
      <c r="D1416" s="25" t="str">
        <f>IF($N1416="","",INDEX('_calc'!$C$2:$C$3001,$N1416))</f>
        <v/>
      </c>
      <c r="E1416" s="25" t="str">
        <f>IF($N1416="","",INDEX('_calc'!$D$2:$D$3001,$N1416))</f>
        <v/>
      </c>
      <c r="F1416" s="26" t="str">
        <f>IF($N1416="","",IF($E$8=0,"",E1416/$E$8))</f>
        <v/>
      </c>
      <c r="G1416" s="25" t="str">
        <f>IF($N1416="","",INDEX('_calc'!$E$2:$E$3001,$N1416))</f>
        <v/>
      </c>
      <c r="H1416" s="25" t="str">
        <f>IF($N1416="","",INDEX('_calc'!$F$2:$F$3001,$N1416))</f>
        <v/>
      </c>
      <c r="I1416" s="27" t="str">
        <f>IF($N1416="","",INDEX('_calc'!$H$2:$H$3001,$N1416))</f>
        <v/>
      </c>
      <c r="J1416" s="27" t="str">
        <f>IF($N1416="","",INDEX('_calc'!$I$2:$I$3001,$N1416))</f>
        <v/>
      </c>
      <c r="K1416" s="28" t="str">
        <f>IF($N1416="","",IF(OR(I1416="",J1416=""),"",J1416-I1416))</f>
        <v/>
      </c>
      <c r="L1416" s="29" t="str">
        <f>IF($N1416="","",INDEX('_calc'!$J$2:$J$3001,$N1416))</f>
        <v/>
      </c>
      <c r="M1416" s="2" t="str">
        <f>IF($N1416="","",IF(AND(G1416=0,H1416=0),"수량 없음",IF(G1416=0,"신규 (전년 수량 없음)",IF(H1416=0,"당해 수량 없음",""))))</f>
        <v/>
      </c>
      <c r="N1416" t="str">
        <f>IF($B1416="","",MATCH($B1416,'_calc'!$L$2:$L$3001,0))</f>
        <v/>
      </c>
    </row>
    <row r="1417">
      <c r="B1417" s="24" t="str">
        <f>IF(ROW()-ROW($B$8)&gt;nComp,"",ROW()-ROW($B$8))</f>
        <v/>
      </c>
      <c r="C1417" t="str">
        <f>IF($N1417="","",INDEX('_calc'!$A$2:$A$3001,$N1417))</f>
        <v/>
      </c>
      <c r="D1417" s="25" t="str">
        <f>IF($N1417="","",INDEX('_calc'!$C$2:$C$3001,$N1417))</f>
        <v/>
      </c>
      <c r="E1417" s="25" t="str">
        <f>IF($N1417="","",INDEX('_calc'!$D$2:$D$3001,$N1417))</f>
        <v/>
      </c>
      <c r="F1417" s="26" t="str">
        <f>IF($N1417="","",IF($E$8=0,"",E1417/$E$8))</f>
        <v/>
      </c>
      <c r="G1417" s="25" t="str">
        <f>IF($N1417="","",INDEX('_calc'!$E$2:$E$3001,$N1417))</f>
        <v/>
      </c>
      <c r="H1417" s="25" t="str">
        <f>IF($N1417="","",INDEX('_calc'!$F$2:$F$3001,$N1417))</f>
        <v/>
      </c>
      <c r="I1417" s="27" t="str">
        <f>IF($N1417="","",INDEX('_calc'!$H$2:$H$3001,$N1417))</f>
        <v/>
      </c>
      <c r="J1417" s="27" t="str">
        <f>IF($N1417="","",INDEX('_calc'!$I$2:$I$3001,$N1417))</f>
        <v/>
      </c>
      <c r="K1417" s="28" t="str">
        <f>IF($N1417="","",IF(OR(I1417="",J1417=""),"",J1417-I1417))</f>
        <v/>
      </c>
      <c r="L1417" s="29" t="str">
        <f>IF($N1417="","",INDEX('_calc'!$J$2:$J$3001,$N1417))</f>
        <v/>
      </c>
      <c r="M1417" s="2" t="str">
        <f>IF($N1417="","",IF(AND(G1417=0,H1417=0),"수량 없음",IF(G1417=0,"신규 (전년 수량 없음)",IF(H1417=0,"당해 수량 없음",""))))</f>
        <v/>
      </c>
      <c r="N1417" t="str">
        <f>IF($B1417="","",MATCH($B1417,'_calc'!$L$2:$L$3001,0))</f>
        <v/>
      </c>
    </row>
    <row r="1418">
      <c r="B1418" s="24" t="str">
        <f>IF(ROW()-ROW($B$8)&gt;nComp,"",ROW()-ROW($B$8))</f>
        <v/>
      </c>
      <c r="C1418" t="str">
        <f>IF($N1418="","",INDEX('_calc'!$A$2:$A$3001,$N1418))</f>
        <v/>
      </c>
      <c r="D1418" s="25" t="str">
        <f>IF($N1418="","",INDEX('_calc'!$C$2:$C$3001,$N1418))</f>
        <v/>
      </c>
      <c r="E1418" s="25" t="str">
        <f>IF($N1418="","",INDEX('_calc'!$D$2:$D$3001,$N1418))</f>
        <v/>
      </c>
      <c r="F1418" s="26" t="str">
        <f>IF($N1418="","",IF($E$8=0,"",E1418/$E$8))</f>
        <v/>
      </c>
      <c r="G1418" s="25" t="str">
        <f>IF($N1418="","",INDEX('_calc'!$E$2:$E$3001,$N1418))</f>
        <v/>
      </c>
      <c r="H1418" s="25" t="str">
        <f>IF($N1418="","",INDEX('_calc'!$F$2:$F$3001,$N1418))</f>
        <v/>
      </c>
      <c r="I1418" s="27" t="str">
        <f>IF($N1418="","",INDEX('_calc'!$H$2:$H$3001,$N1418))</f>
        <v/>
      </c>
      <c r="J1418" s="27" t="str">
        <f>IF($N1418="","",INDEX('_calc'!$I$2:$I$3001,$N1418))</f>
        <v/>
      </c>
      <c r="K1418" s="28" t="str">
        <f>IF($N1418="","",IF(OR(I1418="",J1418=""),"",J1418-I1418))</f>
        <v/>
      </c>
      <c r="L1418" s="29" t="str">
        <f>IF($N1418="","",INDEX('_calc'!$J$2:$J$3001,$N1418))</f>
        <v/>
      </c>
      <c r="M1418" s="2" t="str">
        <f>IF($N1418="","",IF(AND(G1418=0,H1418=0),"수량 없음",IF(G1418=0,"신규 (전년 수량 없음)",IF(H1418=0,"당해 수량 없음",""))))</f>
        <v/>
      </c>
      <c r="N1418" t="str">
        <f>IF($B1418="","",MATCH($B1418,'_calc'!$L$2:$L$3001,0))</f>
        <v/>
      </c>
    </row>
    <row r="1419">
      <c r="B1419" s="24" t="str">
        <f>IF(ROW()-ROW($B$8)&gt;nComp,"",ROW()-ROW($B$8))</f>
        <v/>
      </c>
      <c r="C1419" t="str">
        <f>IF($N1419="","",INDEX('_calc'!$A$2:$A$3001,$N1419))</f>
        <v/>
      </c>
      <c r="D1419" s="25" t="str">
        <f>IF($N1419="","",INDEX('_calc'!$C$2:$C$3001,$N1419))</f>
        <v/>
      </c>
      <c r="E1419" s="25" t="str">
        <f>IF($N1419="","",INDEX('_calc'!$D$2:$D$3001,$N1419))</f>
        <v/>
      </c>
      <c r="F1419" s="26" t="str">
        <f>IF($N1419="","",IF($E$8=0,"",E1419/$E$8))</f>
        <v/>
      </c>
      <c r="G1419" s="25" t="str">
        <f>IF($N1419="","",INDEX('_calc'!$E$2:$E$3001,$N1419))</f>
        <v/>
      </c>
      <c r="H1419" s="25" t="str">
        <f>IF($N1419="","",INDEX('_calc'!$F$2:$F$3001,$N1419))</f>
        <v/>
      </c>
      <c r="I1419" s="27" t="str">
        <f>IF($N1419="","",INDEX('_calc'!$H$2:$H$3001,$N1419))</f>
        <v/>
      </c>
      <c r="J1419" s="27" t="str">
        <f>IF($N1419="","",INDEX('_calc'!$I$2:$I$3001,$N1419))</f>
        <v/>
      </c>
      <c r="K1419" s="28" t="str">
        <f>IF($N1419="","",IF(OR(I1419="",J1419=""),"",J1419-I1419))</f>
        <v/>
      </c>
      <c r="L1419" s="29" t="str">
        <f>IF($N1419="","",INDEX('_calc'!$J$2:$J$3001,$N1419))</f>
        <v/>
      </c>
      <c r="M1419" s="2" t="str">
        <f>IF($N1419="","",IF(AND(G1419=0,H1419=0),"수량 없음",IF(G1419=0,"신규 (전년 수량 없음)",IF(H1419=0,"당해 수량 없음",""))))</f>
        <v/>
      </c>
      <c r="N1419" t="str">
        <f>IF($B1419="","",MATCH($B1419,'_calc'!$L$2:$L$3001,0))</f>
        <v/>
      </c>
    </row>
    <row r="1420">
      <c r="B1420" s="24" t="str">
        <f>IF(ROW()-ROW($B$8)&gt;nComp,"",ROW()-ROW($B$8))</f>
        <v/>
      </c>
      <c r="C1420" t="str">
        <f>IF($N1420="","",INDEX('_calc'!$A$2:$A$3001,$N1420))</f>
        <v/>
      </c>
      <c r="D1420" s="25" t="str">
        <f>IF($N1420="","",INDEX('_calc'!$C$2:$C$3001,$N1420))</f>
        <v/>
      </c>
      <c r="E1420" s="25" t="str">
        <f>IF($N1420="","",INDEX('_calc'!$D$2:$D$3001,$N1420))</f>
        <v/>
      </c>
      <c r="F1420" s="26" t="str">
        <f>IF($N1420="","",IF($E$8=0,"",E1420/$E$8))</f>
        <v/>
      </c>
      <c r="G1420" s="25" t="str">
        <f>IF($N1420="","",INDEX('_calc'!$E$2:$E$3001,$N1420))</f>
        <v/>
      </c>
      <c r="H1420" s="25" t="str">
        <f>IF($N1420="","",INDEX('_calc'!$F$2:$F$3001,$N1420))</f>
        <v/>
      </c>
      <c r="I1420" s="27" t="str">
        <f>IF($N1420="","",INDEX('_calc'!$H$2:$H$3001,$N1420))</f>
        <v/>
      </c>
      <c r="J1420" s="27" t="str">
        <f>IF($N1420="","",INDEX('_calc'!$I$2:$I$3001,$N1420))</f>
        <v/>
      </c>
      <c r="K1420" s="28" t="str">
        <f>IF($N1420="","",IF(OR(I1420="",J1420=""),"",J1420-I1420))</f>
        <v/>
      </c>
      <c r="L1420" s="29" t="str">
        <f>IF($N1420="","",INDEX('_calc'!$J$2:$J$3001,$N1420))</f>
        <v/>
      </c>
      <c r="M1420" s="2" t="str">
        <f>IF($N1420="","",IF(AND(G1420=0,H1420=0),"수량 없음",IF(G1420=0,"신규 (전년 수량 없음)",IF(H1420=0,"당해 수량 없음",""))))</f>
        <v/>
      </c>
      <c r="N1420" t="str">
        <f>IF($B1420="","",MATCH($B1420,'_calc'!$L$2:$L$3001,0))</f>
        <v/>
      </c>
    </row>
    <row r="1421">
      <c r="B1421" s="24" t="str">
        <f>IF(ROW()-ROW($B$8)&gt;nComp,"",ROW()-ROW($B$8))</f>
        <v/>
      </c>
      <c r="C1421" t="str">
        <f>IF($N1421="","",INDEX('_calc'!$A$2:$A$3001,$N1421))</f>
        <v/>
      </c>
      <c r="D1421" s="25" t="str">
        <f>IF($N1421="","",INDEX('_calc'!$C$2:$C$3001,$N1421))</f>
        <v/>
      </c>
      <c r="E1421" s="25" t="str">
        <f>IF($N1421="","",INDEX('_calc'!$D$2:$D$3001,$N1421))</f>
        <v/>
      </c>
      <c r="F1421" s="26" t="str">
        <f>IF($N1421="","",IF($E$8=0,"",E1421/$E$8))</f>
        <v/>
      </c>
      <c r="G1421" s="25" t="str">
        <f>IF($N1421="","",INDEX('_calc'!$E$2:$E$3001,$N1421))</f>
        <v/>
      </c>
      <c r="H1421" s="25" t="str">
        <f>IF($N1421="","",INDEX('_calc'!$F$2:$F$3001,$N1421))</f>
        <v/>
      </c>
      <c r="I1421" s="27" t="str">
        <f>IF($N1421="","",INDEX('_calc'!$H$2:$H$3001,$N1421))</f>
        <v/>
      </c>
      <c r="J1421" s="27" t="str">
        <f>IF($N1421="","",INDEX('_calc'!$I$2:$I$3001,$N1421))</f>
        <v/>
      </c>
      <c r="K1421" s="28" t="str">
        <f>IF($N1421="","",IF(OR(I1421="",J1421=""),"",J1421-I1421))</f>
        <v/>
      </c>
      <c r="L1421" s="29" t="str">
        <f>IF($N1421="","",INDEX('_calc'!$J$2:$J$3001,$N1421))</f>
        <v/>
      </c>
      <c r="M1421" s="2" t="str">
        <f>IF($N1421="","",IF(AND(G1421=0,H1421=0),"수량 없음",IF(G1421=0,"신규 (전년 수량 없음)",IF(H1421=0,"당해 수량 없음",""))))</f>
        <v/>
      </c>
      <c r="N1421" t="str">
        <f>IF($B1421="","",MATCH($B1421,'_calc'!$L$2:$L$3001,0))</f>
        <v/>
      </c>
    </row>
    <row r="1422">
      <c r="B1422" s="24" t="str">
        <f>IF(ROW()-ROW($B$8)&gt;nComp,"",ROW()-ROW($B$8))</f>
        <v/>
      </c>
      <c r="C1422" t="str">
        <f>IF($N1422="","",INDEX('_calc'!$A$2:$A$3001,$N1422))</f>
        <v/>
      </c>
      <c r="D1422" s="25" t="str">
        <f>IF($N1422="","",INDEX('_calc'!$C$2:$C$3001,$N1422))</f>
        <v/>
      </c>
      <c r="E1422" s="25" t="str">
        <f>IF($N1422="","",INDEX('_calc'!$D$2:$D$3001,$N1422))</f>
        <v/>
      </c>
      <c r="F1422" s="26" t="str">
        <f>IF($N1422="","",IF($E$8=0,"",E1422/$E$8))</f>
        <v/>
      </c>
      <c r="G1422" s="25" t="str">
        <f>IF($N1422="","",INDEX('_calc'!$E$2:$E$3001,$N1422))</f>
        <v/>
      </c>
      <c r="H1422" s="25" t="str">
        <f>IF($N1422="","",INDEX('_calc'!$F$2:$F$3001,$N1422))</f>
        <v/>
      </c>
      <c r="I1422" s="27" t="str">
        <f>IF($N1422="","",INDEX('_calc'!$H$2:$H$3001,$N1422))</f>
        <v/>
      </c>
      <c r="J1422" s="27" t="str">
        <f>IF($N1422="","",INDEX('_calc'!$I$2:$I$3001,$N1422))</f>
        <v/>
      </c>
      <c r="K1422" s="28" t="str">
        <f>IF($N1422="","",IF(OR(I1422="",J1422=""),"",J1422-I1422))</f>
        <v/>
      </c>
      <c r="L1422" s="29" t="str">
        <f>IF($N1422="","",INDEX('_calc'!$J$2:$J$3001,$N1422))</f>
        <v/>
      </c>
      <c r="M1422" s="2" t="str">
        <f>IF($N1422="","",IF(AND(G1422=0,H1422=0),"수량 없음",IF(G1422=0,"신규 (전년 수량 없음)",IF(H1422=0,"당해 수량 없음",""))))</f>
        <v/>
      </c>
      <c r="N1422" t="str">
        <f>IF($B1422="","",MATCH($B1422,'_calc'!$L$2:$L$3001,0))</f>
        <v/>
      </c>
    </row>
    <row r="1423">
      <c r="B1423" s="24" t="str">
        <f>IF(ROW()-ROW($B$8)&gt;nComp,"",ROW()-ROW($B$8))</f>
        <v/>
      </c>
      <c r="C1423" t="str">
        <f>IF($N1423="","",INDEX('_calc'!$A$2:$A$3001,$N1423))</f>
        <v/>
      </c>
      <c r="D1423" s="25" t="str">
        <f>IF($N1423="","",INDEX('_calc'!$C$2:$C$3001,$N1423))</f>
        <v/>
      </c>
      <c r="E1423" s="25" t="str">
        <f>IF($N1423="","",INDEX('_calc'!$D$2:$D$3001,$N1423))</f>
        <v/>
      </c>
      <c r="F1423" s="26" t="str">
        <f>IF($N1423="","",IF($E$8=0,"",E1423/$E$8))</f>
        <v/>
      </c>
      <c r="G1423" s="25" t="str">
        <f>IF($N1423="","",INDEX('_calc'!$E$2:$E$3001,$N1423))</f>
        <v/>
      </c>
      <c r="H1423" s="25" t="str">
        <f>IF($N1423="","",INDEX('_calc'!$F$2:$F$3001,$N1423))</f>
        <v/>
      </c>
      <c r="I1423" s="27" t="str">
        <f>IF($N1423="","",INDEX('_calc'!$H$2:$H$3001,$N1423))</f>
        <v/>
      </c>
      <c r="J1423" s="27" t="str">
        <f>IF($N1423="","",INDEX('_calc'!$I$2:$I$3001,$N1423))</f>
        <v/>
      </c>
      <c r="K1423" s="28" t="str">
        <f>IF($N1423="","",IF(OR(I1423="",J1423=""),"",J1423-I1423))</f>
        <v/>
      </c>
      <c r="L1423" s="29" t="str">
        <f>IF($N1423="","",INDEX('_calc'!$J$2:$J$3001,$N1423))</f>
        <v/>
      </c>
      <c r="M1423" s="2" t="str">
        <f>IF($N1423="","",IF(AND(G1423=0,H1423=0),"수량 없음",IF(G1423=0,"신규 (전년 수량 없음)",IF(H1423=0,"당해 수량 없음",""))))</f>
        <v/>
      </c>
      <c r="N1423" t="str">
        <f>IF($B1423="","",MATCH($B1423,'_calc'!$L$2:$L$3001,0))</f>
        <v/>
      </c>
    </row>
    <row r="1424">
      <c r="B1424" s="24" t="str">
        <f>IF(ROW()-ROW($B$8)&gt;nComp,"",ROW()-ROW($B$8))</f>
        <v/>
      </c>
      <c r="C1424" t="str">
        <f>IF($N1424="","",INDEX('_calc'!$A$2:$A$3001,$N1424))</f>
        <v/>
      </c>
      <c r="D1424" s="25" t="str">
        <f>IF($N1424="","",INDEX('_calc'!$C$2:$C$3001,$N1424))</f>
        <v/>
      </c>
      <c r="E1424" s="25" t="str">
        <f>IF($N1424="","",INDEX('_calc'!$D$2:$D$3001,$N1424))</f>
        <v/>
      </c>
      <c r="F1424" s="26" t="str">
        <f>IF($N1424="","",IF($E$8=0,"",E1424/$E$8))</f>
        <v/>
      </c>
      <c r="G1424" s="25" t="str">
        <f>IF($N1424="","",INDEX('_calc'!$E$2:$E$3001,$N1424))</f>
        <v/>
      </c>
      <c r="H1424" s="25" t="str">
        <f>IF($N1424="","",INDEX('_calc'!$F$2:$F$3001,$N1424))</f>
        <v/>
      </c>
      <c r="I1424" s="27" t="str">
        <f>IF($N1424="","",INDEX('_calc'!$H$2:$H$3001,$N1424))</f>
        <v/>
      </c>
      <c r="J1424" s="27" t="str">
        <f>IF($N1424="","",INDEX('_calc'!$I$2:$I$3001,$N1424))</f>
        <v/>
      </c>
      <c r="K1424" s="28" t="str">
        <f>IF($N1424="","",IF(OR(I1424="",J1424=""),"",J1424-I1424))</f>
        <v/>
      </c>
      <c r="L1424" s="29" t="str">
        <f>IF($N1424="","",INDEX('_calc'!$J$2:$J$3001,$N1424))</f>
        <v/>
      </c>
      <c r="M1424" s="2" t="str">
        <f>IF($N1424="","",IF(AND(G1424=0,H1424=0),"수량 없음",IF(G1424=0,"신규 (전년 수량 없음)",IF(H1424=0,"당해 수량 없음",""))))</f>
        <v/>
      </c>
      <c r="N1424" t="str">
        <f>IF($B1424="","",MATCH($B1424,'_calc'!$L$2:$L$3001,0))</f>
        <v/>
      </c>
    </row>
    <row r="1425">
      <c r="B1425" s="24" t="str">
        <f>IF(ROW()-ROW($B$8)&gt;nComp,"",ROW()-ROW($B$8))</f>
        <v/>
      </c>
      <c r="C1425" t="str">
        <f>IF($N1425="","",INDEX('_calc'!$A$2:$A$3001,$N1425))</f>
        <v/>
      </c>
      <c r="D1425" s="25" t="str">
        <f>IF($N1425="","",INDEX('_calc'!$C$2:$C$3001,$N1425))</f>
        <v/>
      </c>
      <c r="E1425" s="25" t="str">
        <f>IF($N1425="","",INDEX('_calc'!$D$2:$D$3001,$N1425))</f>
        <v/>
      </c>
      <c r="F1425" s="26" t="str">
        <f>IF($N1425="","",IF($E$8=0,"",E1425/$E$8))</f>
        <v/>
      </c>
      <c r="G1425" s="25" t="str">
        <f>IF($N1425="","",INDEX('_calc'!$E$2:$E$3001,$N1425))</f>
        <v/>
      </c>
      <c r="H1425" s="25" t="str">
        <f>IF($N1425="","",INDEX('_calc'!$F$2:$F$3001,$N1425))</f>
        <v/>
      </c>
      <c r="I1425" s="27" t="str">
        <f>IF($N1425="","",INDEX('_calc'!$H$2:$H$3001,$N1425))</f>
        <v/>
      </c>
      <c r="J1425" s="27" t="str">
        <f>IF($N1425="","",INDEX('_calc'!$I$2:$I$3001,$N1425))</f>
        <v/>
      </c>
      <c r="K1425" s="28" t="str">
        <f>IF($N1425="","",IF(OR(I1425="",J1425=""),"",J1425-I1425))</f>
        <v/>
      </c>
      <c r="L1425" s="29" t="str">
        <f>IF($N1425="","",INDEX('_calc'!$J$2:$J$3001,$N1425))</f>
        <v/>
      </c>
      <c r="M1425" s="2" t="str">
        <f>IF($N1425="","",IF(AND(G1425=0,H1425=0),"수량 없음",IF(G1425=0,"신규 (전년 수량 없음)",IF(H1425=0,"당해 수량 없음",""))))</f>
        <v/>
      </c>
      <c r="N1425" t="str">
        <f>IF($B1425="","",MATCH($B1425,'_calc'!$L$2:$L$3001,0))</f>
        <v/>
      </c>
    </row>
    <row r="1426">
      <c r="B1426" s="24" t="str">
        <f>IF(ROW()-ROW($B$8)&gt;nComp,"",ROW()-ROW($B$8))</f>
        <v/>
      </c>
      <c r="C1426" t="str">
        <f>IF($N1426="","",INDEX('_calc'!$A$2:$A$3001,$N1426))</f>
        <v/>
      </c>
      <c r="D1426" s="25" t="str">
        <f>IF($N1426="","",INDEX('_calc'!$C$2:$C$3001,$N1426))</f>
        <v/>
      </c>
      <c r="E1426" s="25" t="str">
        <f>IF($N1426="","",INDEX('_calc'!$D$2:$D$3001,$N1426))</f>
        <v/>
      </c>
      <c r="F1426" s="26" t="str">
        <f>IF($N1426="","",IF($E$8=0,"",E1426/$E$8))</f>
        <v/>
      </c>
      <c r="G1426" s="25" t="str">
        <f>IF($N1426="","",INDEX('_calc'!$E$2:$E$3001,$N1426))</f>
        <v/>
      </c>
      <c r="H1426" s="25" t="str">
        <f>IF($N1426="","",INDEX('_calc'!$F$2:$F$3001,$N1426))</f>
        <v/>
      </c>
      <c r="I1426" s="27" t="str">
        <f>IF($N1426="","",INDEX('_calc'!$H$2:$H$3001,$N1426))</f>
        <v/>
      </c>
      <c r="J1426" s="27" t="str">
        <f>IF($N1426="","",INDEX('_calc'!$I$2:$I$3001,$N1426))</f>
        <v/>
      </c>
      <c r="K1426" s="28" t="str">
        <f>IF($N1426="","",IF(OR(I1426="",J1426=""),"",J1426-I1426))</f>
        <v/>
      </c>
      <c r="L1426" s="29" t="str">
        <f>IF($N1426="","",INDEX('_calc'!$J$2:$J$3001,$N1426))</f>
        <v/>
      </c>
      <c r="M1426" s="2" t="str">
        <f>IF($N1426="","",IF(AND(G1426=0,H1426=0),"수량 없음",IF(G1426=0,"신규 (전년 수량 없음)",IF(H1426=0,"당해 수량 없음",""))))</f>
        <v/>
      </c>
      <c r="N1426" t="str">
        <f>IF($B1426="","",MATCH($B1426,'_calc'!$L$2:$L$3001,0))</f>
        <v/>
      </c>
    </row>
    <row r="1427">
      <c r="B1427" s="24" t="str">
        <f>IF(ROW()-ROW($B$8)&gt;nComp,"",ROW()-ROW($B$8))</f>
        <v/>
      </c>
      <c r="C1427" t="str">
        <f>IF($N1427="","",INDEX('_calc'!$A$2:$A$3001,$N1427))</f>
        <v/>
      </c>
      <c r="D1427" s="25" t="str">
        <f>IF($N1427="","",INDEX('_calc'!$C$2:$C$3001,$N1427))</f>
        <v/>
      </c>
      <c r="E1427" s="25" t="str">
        <f>IF($N1427="","",INDEX('_calc'!$D$2:$D$3001,$N1427))</f>
        <v/>
      </c>
      <c r="F1427" s="26" t="str">
        <f>IF($N1427="","",IF($E$8=0,"",E1427/$E$8))</f>
        <v/>
      </c>
      <c r="G1427" s="25" t="str">
        <f>IF($N1427="","",INDEX('_calc'!$E$2:$E$3001,$N1427))</f>
        <v/>
      </c>
      <c r="H1427" s="25" t="str">
        <f>IF($N1427="","",INDEX('_calc'!$F$2:$F$3001,$N1427))</f>
        <v/>
      </c>
      <c r="I1427" s="27" t="str">
        <f>IF($N1427="","",INDEX('_calc'!$H$2:$H$3001,$N1427))</f>
        <v/>
      </c>
      <c r="J1427" s="27" t="str">
        <f>IF($N1427="","",INDEX('_calc'!$I$2:$I$3001,$N1427))</f>
        <v/>
      </c>
      <c r="K1427" s="28" t="str">
        <f>IF($N1427="","",IF(OR(I1427="",J1427=""),"",J1427-I1427))</f>
        <v/>
      </c>
      <c r="L1427" s="29" t="str">
        <f>IF($N1427="","",INDEX('_calc'!$J$2:$J$3001,$N1427))</f>
        <v/>
      </c>
      <c r="M1427" s="2" t="str">
        <f>IF($N1427="","",IF(AND(G1427=0,H1427=0),"수량 없음",IF(G1427=0,"신규 (전년 수량 없음)",IF(H1427=0,"당해 수량 없음",""))))</f>
        <v/>
      </c>
      <c r="N1427" t="str">
        <f>IF($B1427="","",MATCH($B1427,'_calc'!$L$2:$L$3001,0))</f>
        <v/>
      </c>
    </row>
    <row r="1428">
      <c r="B1428" s="24" t="str">
        <f>IF(ROW()-ROW($B$8)&gt;nComp,"",ROW()-ROW($B$8))</f>
        <v/>
      </c>
      <c r="C1428" t="str">
        <f>IF($N1428="","",INDEX('_calc'!$A$2:$A$3001,$N1428))</f>
        <v/>
      </c>
      <c r="D1428" s="25" t="str">
        <f>IF($N1428="","",INDEX('_calc'!$C$2:$C$3001,$N1428))</f>
        <v/>
      </c>
      <c r="E1428" s="25" t="str">
        <f>IF($N1428="","",INDEX('_calc'!$D$2:$D$3001,$N1428))</f>
        <v/>
      </c>
      <c r="F1428" s="26" t="str">
        <f>IF($N1428="","",IF($E$8=0,"",E1428/$E$8))</f>
        <v/>
      </c>
      <c r="G1428" s="25" t="str">
        <f>IF($N1428="","",INDEX('_calc'!$E$2:$E$3001,$N1428))</f>
        <v/>
      </c>
      <c r="H1428" s="25" t="str">
        <f>IF($N1428="","",INDEX('_calc'!$F$2:$F$3001,$N1428))</f>
        <v/>
      </c>
      <c r="I1428" s="27" t="str">
        <f>IF($N1428="","",INDEX('_calc'!$H$2:$H$3001,$N1428))</f>
        <v/>
      </c>
      <c r="J1428" s="27" t="str">
        <f>IF($N1428="","",INDEX('_calc'!$I$2:$I$3001,$N1428))</f>
        <v/>
      </c>
      <c r="K1428" s="28" t="str">
        <f>IF($N1428="","",IF(OR(I1428="",J1428=""),"",J1428-I1428))</f>
        <v/>
      </c>
      <c r="L1428" s="29" t="str">
        <f>IF($N1428="","",INDEX('_calc'!$J$2:$J$3001,$N1428))</f>
        <v/>
      </c>
      <c r="M1428" s="2" t="str">
        <f>IF($N1428="","",IF(AND(G1428=0,H1428=0),"수량 없음",IF(G1428=0,"신규 (전년 수량 없음)",IF(H1428=0,"당해 수량 없음",""))))</f>
        <v/>
      </c>
      <c r="N1428" t="str">
        <f>IF($B1428="","",MATCH($B1428,'_calc'!$L$2:$L$3001,0))</f>
        <v/>
      </c>
    </row>
    <row r="1429">
      <c r="B1429" s="24" t="str">
        <f>IF(ROW()-ROW($B$8)&gt;nComp,"",ROW()-ROW($B$8))</f>
        <v/>
      </c>
      <c r="C1429" t="str">
        <f>IF($N1429="","",INDEX('_calc'!$A$2:$A$3001,$N1429))</f>
        <v/>
      </c>
      <c r="D1429" s="25" t="str">
        <f>IF($N1429="","",INDEX('_calc'!$C$2:$C$3001,$N1429))</f>
        <v/>
      </c>
      <c r="E1429" s="25" t="str">
        <f>IF($N1429="","",INDEX('_calc'!$D$2:$D$3001,$N1429))</f>
        <v/>
      </c>
      <c r="F1429" s="26" t="str">
        <f>IF($N1429="","",IF($E$8=0,"",E1429/$E$8))</f>
        <v/>
      </c>
      <c r="G1429" s="25" t="str">
        <f>IF($N1429="","",INDEX('_calc'!$E$2:$E$3001,$N1429))</f>
        <v/>
      </c>
      <c r="H1429" s="25" t="str">
        <f>IF($N1429="","",INDEX('_calc'!$F$2:$F$3001,$N1429))</f>
        <v/>
      </c>
      <c r="I1429" s="27" t="str">
        <f>IF($N1429="","",INDEX('_calc'!$H$2:$H$3001,$N1429))</f>
        <v/>
      </c>
      <c r="J1429" s="27" t="str">
        <f>IF($N1429="","",INDEX('_calc'!$I$2:$I$3001,$N1429))</f>
        <v/>
      </c>
      <c r="K1429" s="28" t="str">
        <f>IF($N1429="","",IF(OR(I1429="",J1429=""),"",J1429-I1429))</f>
        <v/>
      </c>
      <c r="L1429" s="29" t="str">
        <f>IF($N1429="","",INDEX('_calc'!$J$2:$J$3001,$N1429))</f>
        <v/>
      </c>
      <c r="M1429" s="2" t="str">
        <f>IF($N1429="","",IF(AND(G1429=0,H1429=0),"수량 없음",IF(G1429=0,"신규 (전년 수량 없음)",IF(H1429=0,"당해 수량 없음",""))))</f>
        <v/>
      </c>
      <c r="N1429" t="str">
        <f>IF($B1429="","",MATCH($B1429,'_calc'!$L$2:$L$3001,0))</f>
        <v/>
      </c>
    </row>
    <row r="1430">
      <c r="B1430" s="24" t="str">
        <f>IF(ROW()-ROW($B$8)&gt;nComp,"",ROW()-ROW($B$8))</f>
        <v/>
      </c>
      <c r="C1430" t="str">
        <f>IF($N1430="","",INDEX('_calc'!$A$2:$A$3001,$N1430))</f>
        <v/>
      </c>
      <c r="D1430" s="25" t="str">
        <f>IF($N1430="","",INDEX('_calc'!$C$2:$C$3001,$N1430))</f>
        <v/>
      </c>
      <c r="E1430" s="25" t="str">
        <f>IF($N1430="","",INDEX('_calc'!$D$2:$D$3001,$N1430))</f>
        <v/>
      </c>
      <c r="F1430" s="26" t="str">
        <f>IF($N1430="","",IF($E$8=0,"",E1430/$E$8))</f>
        <v/>
      </c>
      <c r="G1430" s="25" t="str">
        <f>IF($N1430="","",INDEX('_calc'!$E$2:$E$3001,$N1430))</f>
        <v/>
      </c>
      <c r="H1430" s="25" t="str">
        <f>IF($N1430="","",INDEX('_calc'!$F$2:$F$3001,$N1430))</f>
        <v/>
      </c>
      <c r="I1430" s="27" t="str">
        <f>IF($N1430="","",INDEX('_calc'!$H$2:$H$3001,$N1430))</f>
        <v/>
      </c>
      <c r="J1430" s="27" t="str">
        <f>IF($N1430="","",INDEX('_calc'!$I$2:$I$3001,$N1430))</f>
        <v/>
      </c>
      <c r="K1430" s="28" t="str">
        <f>IF($N1430="","",IF(OR(I1430="",J1430=""),"",J1430-I1430))</f>
        <v/>
      </c>
      <c r="L1430" s="29" t="str">
        <f>IF($N1430="","",INDEX('_calc'!$J$2:$J$3001,$N1430))</f>
        <v/>
      </c>
      <c r="M1430" s="2" t="str">
        <f>IF($N1430="","",IF(AND(G1430=0,H1430=0),"수량 없음",IF(G1430=0,"신규 (전년 수량 없음)",IF(H1430=0,"당해 수량 없음",""))))</f>
        <v/>
      </c>
      <c r="N1430" t="str">
        <f>IF($B1430="","",MATCH($B1430,'_calc'!$L$2:$L$3001,0))</f>
        <v/>
      </c>
    </row>
    <row r="1431">
      <c r="B1431" s="24" t="str">
        <f>IF(ROW()-ROW($B$8)&gt;nComp,"",ROW()-ROW($B$8))</f>
        <v/>
      </c>
      <c r="C1431" t="str">
        <f>IF($N1431="","",INDEX('_calc'!$A$2:$A$3001,$N1431))</f>
        <v/>
      </c>
      <c r="D1431" s="25" t="str">
        <f>IF($N1431="","",INDEX('_calc'!$C$2:$C$3001,$N1431))</f>
        <v/>
      </c>
      <c r="E1431" s="25" t="str">
        <f>IF($N1431="","",INDEX('_calc'!$D$2:$D$3001,$N1431))</f>
        <v/>
      </c>
      <c r="F1431" s="26" t="str">
        <f>IF($N1431="","",IF($E$8=0,"",E1431/$E$8))</f>
        <v/>
      </c>
      <c r="G1431" s="25" t="str">
        <f>IF($N1431="","",INDEX('_calc'!$E$2:$E$3001,$N1431))</f>
        <v/>
      </c>
      <c r="H1431" s="25" t="str">
        <f>IF($N1431="","",INDEX('_calc'!$F$2:$F$3001,$N1431))</f>
        <v/>
      </c>
      <c r="I1431" s="27" t="str">
        <f>IF($N1431="","",INDEX('_calc'!$H$2:$H$3001,$N1431))</f>
        <v/>
      </c>
      <c r="J1431" s="27" t="str">
        <f>IF($N1431="","",INDEX('_calc'!$I$2:$I$3001,$N1431))</f>
        <v/>
      </c>
      <c r="K1431" s="28" t="str">
        <f>IF($N1431="","",IF(OR(I1431="",J1431=""),"",J1431-I1431))</f>
        <v/>
      </c>
      <c r="L1431" s="29" t="str">
        <f>IF($N1431="","",INDEX('_calc'!$J$2:$J$3001,$N1431))</f>
        <v/>
      </c>
      <c r="M1431" s="2" t="str">
        <f>IF($N1431="","",IF(AND(G1431=0,H1431=0),"수량 없음",IF(G1431=0,"신규 (전년 수량 없음)",IF(H1431=0,"당해 수량 없음",""))))</f>
        <v/>
      </c>
      <c r="N1431" t="str">
        <f>IF($B1431="","",MATCH($B1431,'_calc'!$L$2:$L$3001,0))</f>
        <v/>
      </c>
    </row>
    <row r="1432">
      <c r="B1432" s="24" t="str">
        <f>IF(ROW()-ROW($B$8)&gt;nComp,"",ROW()-ROW($B$8))</f>
        <v/>
      </c>
      <c r="C1432" t="str">
        <f>IF($N1432="","",INDEX('_calc'!$A$2:$A$3001,$N1432))</f>
        <v/>
      </c>
      <c r="D1432" s="25" t="str">
        <f>IF($N1432="","",INDEX('_calc'!$C$2:$C$3001,$N1432))</f>
        <v/>
      </c>
      <c r="E1432" s="25" t="str">
        <f>IF($N1432="","",INDEX('_calc'!$D$2:$D$3001,$N1432))</f>
        <v/>
      </c>
      <c r="F1432" s="26" t="str">
        <f>IF($N1432="","",IF($E$8=0,"",E1432/$E$8))</f>
        <v/>
      </c>
      <c r="G1432" s="25" t="str">
        <f>IF($N1432="","",INDEX('_calc'!$E$2:$E$3001,$N1432))</f>
        <v/>
      </c>
      <c r="H1432" s="25" t="str">
        <f>IF($N1432="","",INDEX('_calc'!$F$2:$F$3001,$N1432))</f>
        <v/>
      </c>
      <c r="I1432" s="27" t="str">
        <f>IF($N1432="","",INDEX('_calc'!$H$2:$H$3001,$N1432))</f>
        <v/>
      </c>
      <c r="J1432" s="27" t="str">
        <f>IF($N1432="","",INDEX('_calc'!$I$2:$I$3001,$N1432))</f>
        <v/>
      </c>
      <c r="K1432" s="28" t="str">
        <f>IF($N1432="","",IF(OR(I1432="",J1432=""),"",J1432-I1432))</f>
        <v/>
      </c>
      <c r="L1432" s="29" t="str">
        <f>IF($N1432="","",INDEX('_calc'!$J$2:$J$3001,$N1432))</f>
        <v/>
      </c>
      <c r="M1432" s="2" t="str">
        <f>IF($N1432="","",IF(AND(G1432=0,H1432=0),"수량 없음",IF(G1432=0,"신규 (전년 수량 없음)",IF(H1432=0,"당해 수량 없음",""))))</f>
        <v/>
      </c>
      <c r="N1432" t="str">
        <f>IF($B1432="","",MATCH($B1432,'_calc'!$L$2:$L$3001,0))</f>
        <v/>
      </c>
    </row>
    <row r="1433">
      <c r="B1433" s="24" t="str">
        <f>IF(ROW()-ROW($B$8)&gt;nComp,"",ROW()-ROW($B$8))</f>
        <v/>
      </c>
      <c r="C1433" t="str">
        <f>IF($N1433="","",INDEX('_calc'!$A$2:$A$3001,$N1433))</f>
        <v/>
      </c>
      <c r="D1433" s="25" t="str">
        <f>IF($N1433="","",INDEX('_calc'!$C$2:$C$3001,$N1433))</f>
        <v/>
      </c>
      <c r="E1433" s="25" t="str">
        <f>IF($N1433="","",INDEX('_calc'!$D$2:$D$3001,$N1433))</f>
        <v/>
      </c>
      <c r="F1433" s="26" t="str">
        <f>IF($N1433="","",IF($E$8=0,"",E1433/$E$8))</f>
        <v/>
      </c>
      <c r="G1433" s="25" t="str">
        <f>IF($N1433="","",INDEX('_calc'!$E$2:$E$3001,$N1433))</f>
        <v/>
      </c>
      <c r="H1433" s="25" t="str">
        <f>IF($N1433="","",INDEX('_calc'!$F$2:$F$3001,$N1433))</f>
        <v/>
      </c>
      <c r="I1433" s="27" t="str">
        <f>IF($N1433="","",INDEX('_calc'!$H$2:$H$3001,$N1433))</f>
        <v/>
      </c>
      <c r="J1433" s="27" t="str">
        <f>IF($N1433="","",INDEX('_calc'!$I$2:$I$3001,$N1433))</f>
        <v/>
      </c>
      <c r="K1433" s="28" t="str">
        <f>IF($N1433="","",IF(OR(I1433="",J1433=""),"",J1433-I1433))</f>
        <v/>
      </c>
      <c r="L1433" s="29" t="str">
        <f>IF($N1433="","",INDEX('_calc'!$J$2:$J$3001,$N1433))</f>
        <v/>
      </c>
      <c r="M1433" s="2" t="str">
        <f>IF($N1433="","",IF(AND(G1433=0,H1433=0),"수량 없음",IF(G1433=0,"신규 (전년 수량 없음)",IF(H1433=0,"당해 수량 없음",""))))</f>
        <v/>
      </c>
      <c r="N1433" t="str">
        <f>IF($B1433="","",MATCH($B1433,'_calc'!$L$2:$L$3001,0))</f>
        <v/>
      </c>
    </row>
    <row r="1434">
      <c r="B1434" s="24" t="str">
        <f>IF(ROW()-ROW($B$8)&gt;nComp,"",ROW()-ROW($B$8))</f>
        <v/>
      </c>
      <c r="C1434" t="str">
        <f>IF($N1434="","",INDEX('_calc'!$A$2:$A$3001,$N1434))</f>
        <v/>
      </c>
      <c r="D1434" s="25" t="str">
        <f>IF($N1434="","",INDEX('_calc'!$C$2:$C$3001,$N1434))</f>
        <v/>
      </c>
      <c r="E1434" s="25" t="str">
        <f>IF($N1434="","",INDEX('_calc'!$D$2:$D$3001,$N1434))</f>
        <v/>
      </c>
      <c r="F1434" s="26" t="str">
        <f>IF($N1434="","",IF($E$8=0,"",E1434/$E$8))</f>
        <v/>
      </c>
      <c r="G1434" s="25" t="str">
        <f>IF($N1434="","",INDEX('_calc'!$E$2:$E$3001,$N1434))</f>
        <v/>
      </c>
      <c r="H1434" s="25" t="str">
        <f>IF($N1434="","",INDEX('_calc'!$F$2:$F$3001,$N1434))</f>
        <v/>
      </c>
      <c r="I1434" s="27" t="str">
        <f>IF($N1434="","",INDEX('_calc'!$H$2:$H$3001,$N1434))</f>
        <v/>
      </c>
      <c r="J1434" s="27" t="str">
        <f>IF($N1434="","",INDEX('_calc'!$I$2:$I$3001,$N1434))</f>
        <v/>
      </c>
      <c r="K1434" s="28" t="str">
        <f>IF($N1434="","",IF(OR(I1434="",J1434=""),"",J1434-I1434))</f>
        <v/>
      </c>
      <c r="L1434" s="29" t="str">
        <f>IF($N1434="","",INDEX('_calc'!$J$2:$J$3001,$N1434))</f>
        <v/>
      </c>
      <c r="M1434" s="2" t="str">
        <f>IF($N1434="","",IF(AND(G1434=0,H1434=0),"수량 없음",IF(G1434=0,"신규 (전년 수량 없음)",IF(H1434=0,"당해 수량 없음",""))))</f>
        <v/>
      </c>
      <c r="N1434" t="str">
        <f>IF($B1434="","",MATCH($B1434,'_calc'!$L$2:$L$3001,0))</f>
        <v/>
      </c>
    </row>
    <row r="1435">
      <c r="B1435" s="24" t="str">
        <f>IF(ROW()-ROW($B$8)&gt;nComp,"",ROW()-ROW($B$8))</f>
        <v/>
      </c>
      <c r="C1435" t="str">
        <f>IF($N1435="","",INDEX('_calc'!$A$2:$A$3001,$N1435))</f>
        <v/>
      </c>
      <c r="D1435" s="25" t="str">
        <f>IF($N1435="","",INDEX('_calc'!$C$2:$C$3001,$N1435))</f>
        <v/>
      </c>
      <c r="E1435" s="25" t="str">
        <f>IF($N1435="","",INDEX('_calc'!$D$2:$D$3001,$N1435))</f>
        <v/>
      </c>
      <c r="F1435" s="26" t="str">
        <f>IF($N1435="","",IF($E$8=0,"",E1435/$E$8))</f>
        <v/>
      </c>
      <c r="G1435" s="25" t="str">
        <f>IF($N1435="","",INDEX('_calc'!$E$2:$E$3001,$N1435))</f>
        <v/>
      </c>
      <c r="H1435" s="25" t="str">
        <f>IF($N1435="","",INDEX('_calc'!$F$2:$F$3001,$N1435))</f>
        <v/>
      </c>
      <c r="I1435" s="27" t="str">
        <f>IF($N1435="","",INDEX('_calc'!$H$2:$H$3001,$N1435))</f>
        <v/>
      </c>
      <c r="J1435" s="27" t="str">
        <f>IF($N1435="","",INDEX('_calc'!$I$2:$I$3001,$N1435))</f>
        <v/>
      </c>
      <c r="K1435" s="28" t="str">
        <f>IF($N1435="","",IF(OR(I1435="",J1435=""),"",J1435-I1435))</f>
        <v/>
      </c>
      <c r="L1435" s="29" t="str">
        <f>IF($N1435="","",INDEX('_calc'!$J$2:$J$3001,$N1435))</f>
        <v/>
      </c>
      <c r="M1435" s="2" t="str">
        <f>IF($N1435="","",IF(AND(G1435=0,H1435=0),"수량 없음",IF(G1435=0,"신규 (전년 수량 없음)",IF(H1435=0,"당해 수량 없음",""))))</f>
        <v/>
      </c>
      <c r="N1435" t="str">
        <f>IF($B1435="","",MATCH($B1435,'_calc'!$L$2:$L$3001,0))</f>
        <v/>
      </c>
    </row>
    <row r="1436">
      <c r="B1436" s="24" t="str">
        <f>IF(ROW()-ROW($B$8)&gt;nComp,"",ROW()-ROW($B$8))</f>
        <v/>
      </c>
      <c r="C1436" t="str">
        <f>IF($N1436="","",INDEX('_calc'!$A$2:$A$3001,$N1436))</f>
        <v/>
      </c>
      <c r="D1436" s="25" t="str">
        <f>IF($N1436="","",INDEX('_calc'!$C$2:$C$3001,$N1436))</f>
        <v/>
      </c>
      <c r="E1436" s="25" t="str">
        <f>IF($N1436="","",INDEX('_calc'!$D$2:$D$3001,$N1436))</f>
        <v/>
      </c>
      <c r="F1436" s="26" t="str">
        <f>IF($N1436="","",IF($E$8=0,"",E1436/$E$8))</f>
        <v/>
      </c>
      <c r="G1436" s="25" t="str">
        <f>IF($N1436="","",INDEX('_calc'!$E$2:$E$3001,$N1436))</f>
        <v/>
      </c>
      <c r="H1436" s="25" t="str">
        <f>IF($N1436="","",INDEX('_calc'!$F$2:$F$3001,$N1436))</f>
        <v/>
      </c>
      <c r="I1436" s="27" t="str">
        <f>IF($N1436="","",INDEX('_calc'!$H$2:$H$3001,$N1436))</f>
        <v/>
      </c>
      <c r="J1436" s="27" t="str">
        <f>IF($N1436="","",INDEX('_calc'!$I$2:$I$3001,$N1436))</f>
        <v/>
      </c>
      <c r="K1436" s="28" t="str">
        <f>IF($N1436="","",IF(OR(I1436="",J1436=""),"",J1436-I1436))</f>
        <v/>
      </c>
      <c r="L1436" s="29" t="str">
        <f>IF($N1436="","",INDEX('_calc'!$J$2:$J$3001,$N1436))</f>
        <v/>
      </c>
      <c r="M1436" s="2" t="str">
        <f>IF($N1436="","",IF(AND(G1436=0,H1436=0),"수량 없음",IF(G1436=0,"신규 (전년 수량 없음)",IF(H1436=0,"당해 수량 없음",""))))</f>
        <v/>
      </c>
      <c r="N1436" t="str">
        <f>IF($B1436="","",MATCH($B1436,'_calc'!$L$2:$L$3001,0))</f>
        <v/>
      </c>
    </row>
    <row r="1437">
      <c r="B1437" s="24" t="str">
        <f>IF(ROW()-ROW($B$8)&gt;nComp,"",ROW()-ROW($B$8))</f>
        <v/>
      </c>
      <c r="C1437" t="str">
        <f>IF($N1437="","",INDEX('_calc'!$A$2:$A$3001,$N1437))</f>
        <v/>
      </c>
      <c r="D1437" s="25" t="str">
        <f>IF($N1437="","",INDEX('_calc'!$C$2:$C$3001,$N1437))</f>
        <v/>
      </c>
      <c r="E1437" s="25" t="str">
        <f>IF($N1437="","",INDEX('_calc'!$D$2:$D$3001,$N1437))</f>
        <v/>
      </c>
      <c r="F1437" s="26" t="str">
        <f>IF($N1437="","",IF($E$8=0,"",E1437/$E$8))</f>
        <v/>
      </c>
      <c r="G1437" s="25" t="str">
        <f>IF($N1437="","",INDEX('_calc'!$E$2:$E$3001,$N1437))</f>
        <v/>
      </c>
      <c r="H1437" s="25" t="str">
        <f>IF($N1437="","",INDEX('_calc'!$F$2:$F$3001,$N1437))</f>
        <v/>
      </c>
      <c r="I1437" s="27" t="str">
        <f>IF($N1437="","",INDEX('_calc'!$H$2:$H$3001,$N1437))</f>
        <v/>
      </c>
      <c r="J1437" s="27" t="str">
        <f>IF($N1437="","",INDEX('_calc'!$I$2:$I$3001,$N1437))</f>
        <v/>
      </c>
      <c r="K1437" s="28" t="str">
        <f>IF($N1437="","",IF(OR(I1437="",J1437=""),"",J1437-I1437))</f>
        <v/>
      </c>
      <c r="L1437" s="29" t="str">
        <f>IF($N1437="","",INDEX('_calc'!$J$2:$J$3001,$N1437))</f>
        <v/>
      </c>
      <c r="M1437" s="2" t="str">
        <f>IF($N1437="","",IF(AND(G1437=0,H1437=0),"수량 없음",IF(G1437=0,"신규 (전년 수량 없음)",IF(H1437=0,"당해 수량 없음",""))))</f>
        <v/>
      </c>
      <c r="N1437" t="str">
        <f>IF($B1437="","",MATCH($B1437,'_calc'!$L$2:$L$3001,0))</f>
        <v/>
      </c>
    </row>
    <row r="1438">
      <c r="B1438" s="24" t="str">
        <f>IF(ROW()-ROW($B$8)&gt;nComp,"",ROW()-ROW($B$8))</f>
        <v/>
      </c>
      <c r="C1438" t="str">
        <f>IF($N1438="","",INDEX('_calc'!$A$2:$A$3001,$N1438))</f>
        <v/>
      </c>
      <c r="D1438" s="25" t="str">
        <f>IF($N1438="","",INDEX('_calc'!$C$2:$C$3001,$N1438))</f>
        <v/>
      </c>
      <c r="E1438" s="25" t="str">
        <f>IF($N1438="","",INDEX('_calc'!$D$2:$D$3001,$N1438))</f>
        <v/>
      </c>
      <c r="F1438" s="26" t="str">
        <f>IF($N1438="","",IF($E$8=0,"",E1438/$E$8))</f>
        <v/>
      </c>
      <c r="G1438" s="25" t="str">
        <f>IF($N1438="","",INDEX('_calc'!$E$2:$E$3001,$N1438))</f>
        <v/>
      </c>
      <c r="H1438" s="25" t="str">
        <f>IF($N1438="","",INDEX('_calc'!$F$2:$F$3001,$N1438))</f>
        <v/>
      </c>
      <c r="I1438" s="27" t="str">
        <f>IF($N1438="","",INDEX('_calc'!$H$2:$H$3001,$N1438))</f>
        <v/>
      </c>
      <c r="J1438" s="27" t="str">
        <f>IF($N1438="","",INDEX('_calc'!$I$2:$I$3001,$N1438))</f>
        <v/>
      </c>
      <c r="K1438" s="28" t="str">
        <f>IF($N1438="","",IF(OR(I1438="",J1438=""),"",J1438-I1438))</f>
        <v/>
      </c>
      <c r="L1438" s="29" t="str">
        <f>IF($N1438="","",INDEX('_calc'!$J$2:$J$3001,$N1438))</f>
        <v/>
      </c>
      <c r="M1438" s="2" t="str">
        <f>IF($N1438="","",IF(AND(G1438=0,H1438=0),"수량 없음",IF(G1438=0,"신규 (전년 수량 없음)",IF(H1438=0,"당해 수량 없음",""))))</f>
        <v/>
      </c>
      <c r="N1438" t="str">
        <f>IF($B1438="","",MATCH($B1438,'_calc'!$L$2:$L$3001,0))</f>
        <v/>
      </c>
    </row>
    <row r="1439">
      <c r="B1439" s="24" t="str">
        <f>IF(ROW()-ROW($B$8)&gt;nComp,"",ROW()-ROW($B$8))</f>
        <v/>
      </c>
      <c r="C1439" t="str">
        <f>IF($N1439="","",INDEX('_calc'!$A$2:$A$3001,$N1439))</f>
        <v/>
      </c>
      <c r="D1439" s="25" t="str">
        <f>IF($N1439="","",INDEX('_calc'!$C$2:$C$3001,$N1439))</f>
        <v/>
      </c>
      <c r="E1439" s="25" t="str">
        <f>IF($N1439="","",INDEX('_calc'!$D$2:$D$3001,$N1439))</f>
        <v/>
      </c>
      <c r="F1439" s="26" t="str">
        <f>IF($N1439="","",IF($E$8=0,"",E1439/$E$8))</f>
        <v/>
      </c>
      <c r="G1439" s="25" t="str">
        <f>IF($N1439="","",INDEX('_calc'!$E$2:$E$3001,$N1439))</f>
        <v/>
      </c>
      <c r="H1439" s="25" t="str">
        <f>IF($N1439="","",INDEX('_calc'!$F$2:$F$3001,$N1439))</f>
        <v/>
      </c>
      <c r="I1439" s="27" t="str">
        <f>IF($N1439="","",INDEX('_calc'!$H$2:$H$3001,$N1439))</f>
        <v/>
      </c>
      <c r="J1439" s="27" t="str">
        <f>IF($N1439="","",INDEX('_calc'!$I$2:$I$3001,$N1439))</f>
        <v/>
      </c>
      <c r="K1439" s="28" t="str">
        <f>IF($N1439="","",IF(OR(I1439="",J1439=""),"",J1439-I1439))</f>
        <v/>
      </c>
      <c r="L1439" s="29" t="str">
        <f>IF($N1439="","",INDEX('_calc'!$J$2:$J$3001,$N1439))</f>
        <v/>
      </c>
      <c r="M1439" s="2" t="str">
        <f>IF($N1439="","",IF(AND(G1439=0,H1439=0),"수량 없음",IF(G1439=0,"신규 (전년 수량 없음)",IF(H1439=0,"당해 수량 없음",""))))</f>
        <v/>
      </c>
      <c r="N1439" t="str">
        <f>IF($B1439="","",MATCH($B1439,'_calc'!$L$2:$L$3001,0))</f>
        <v/>
      </c>
    </row>
    <row r="1440">
      <c r="B1440" s="24" t="str">
        <f>IF(ROW()-ROW($B$8)&gt;nComp,"",ROW()-ROW($B$8))</f>
        <v/>
      </c>
      <c r="C1440" t="str">
        <f>IF($N1440="","",INDEX('_calc'!$A$2:$A$3001,$N1440))</f>
        <v/>
      </c>
      <c r="D1440" s="25" t="str">
        <f>IF($N1440="","",INDEX('_calc'!$C$2:$C$3001,$N1440))</f>
        <v/>
      </c>
      <c r="E1440" s="25" t="str">
        <f>IF($N1440="","",INDEX('_calc'!$D$2:$D$3001,$N1440))</f>
        <v/>
      </c>
      <c r="F1440" s="26" t="str">
        <f>IF($N1440="","",IF($E$8=0,"",E1440/$E$8))</f>
        <v/>
      </c>
      <c r="G1440" s="25" t="str">
        <f>IF($N1440="","",INDEX('_calc'!$E$2:$E$3001,$N1440))</f>
        <v/>
      </c>
      <c r="H1440" s="25" t="str">
        <f>IF($N1440="","",INDEX('_calc'!$F$2:$F$3001,$N1440))</f>
        <v/>
      </c>
      <c r="I1440" s="27" t="str">
        <f>IF($N1440="","",INDEX('_calc'!$H$2:$H$3001,$N1440))</f>
        <v/>
      </c>
      <c r="J1440" s="27" t="str">
        <f>IF($N1440="","",INDEX('_calc'!$I$2:$I$3001,$N1440))</f>
        <v/>
      </c>
      <c r="K1440" s="28" t="str">
        <f>IF($N1440="","",IF(OR(I1440="",J1440=""),"",J1440-I1440))</f>
        <v/>
      </c>
      <c r="L1440" s="29" t="str">
        <f>IF($N1440="","",INDEX('_calc'!$J$2:$J$3001,$N1440))</f>
        <v/>
      </c>
      <c r="M1440" s="2" t="str">
        <f>IF($N1440="","",IF(AND(G1440=0,H1440=0),"수량 없음",IF(G1440=0,"신규 (전년 수량 없음)",IF(H1440=0,"당해 수량 없음",""))))</f>
        <v/>
      </c>
      <c r="N1440" t="str">
        <f>IF($B1440="","",MATCH($B1440,'_calc'!$L$2:$L$3001,0))</f>
        <v/>
      </c>
    </row>
    <row r="1441">
      <c r="B1441" s="24" t="str">
        <f>IF(ROW()-ROW($B$8)&gt;nComp,"",ROW()-ROW($B$8))</f>
        <v/>
      </c>
      <c r="C1441" t="str">
        <f>IF($N1441="","",INDEX('_calc'!$A$2:$A$3001,$N1441))</f>
        <v/>
      </c>
      <c r="D1441" s="25" t="str">
        <f>IF($N1441="","",INDEX('_calc'!$C$2:$C$3001,$N1441))</f>
        <v/>
      </c>
      <c r="E1441" s="25" t="str">
        <f>IF($N1441="","",INDEX('_calc'!$D$2:$D$3001,$N1441))</f>
        <v/>
      </c>
      <c r="F1441" s="26" t="str">
        <f>IF($N1441="","",IF($E$8=0,"",E1441/$E$8))</f>
        <v/>
      </c>
      <c r="G1441" s="25" t="str">
        <f>IF($N1441="","",INDEX('_calc'!$E$2:$E$3001,$N1441))</f>
        <v/>
      </c>
      <c r="H1441" s="25" t="str">
        <f>IF($N1441="","",INDEX('_calc'!$F$2:$F$3001,$N1441))</f>
        <v/>
      </c>
      <c r="I1441" s="27" t="str">
        <f>IF($N1441="","",INDEX('_calc'!$H$2:$H$3001,$N1441))</f>
        <v/>
      </c>
      <c r="J1441" s="27" t="str">
        <f>IF($N1441="","",INDEX('_calc'!$I$2:$I$3001,$N1441))</f>
        <v/>
      </c>
      <c r="K1441" s="28" t="str">
        <f>IF($N1441="","",IF(OR(I1441="",J1441=""),"",J1441-I1441))</f>
        <v/>
      </c>
      <c r="L1441" s="29" t="str">
        <f>IF($N1441="","",INDEX('_calc'!$J$2:$J$3001,$N1441))</f>
        <v/>
      </c>
      <c r="M1441" s="2" t="str">
        <f>IF($N1441="","",IF(AND(G1441=0,H1441=0),"수량 없음",IF(G1441=0,"신규 (전년 수량 없음)",IF(H1441=0,"당해 수량 없음",""))))</f>
        <v/>
      </c>
      <c r="N1441" t="str">
        <f>IF($B1441="","",MATCH($B1441,'_calc'!$L$2:$L$3001,0))</f>
        <v/>
      </c>
    </row>
    <row r="1442">
      <c r="B1442" s="24" t="str">
        <f>IF(ROW()-ROW($B$8)&gt;nComp,"",ROW()-ROW($B$8))</f>
        <v/>
      </c>
      <c r="C1442" t="str">
        <f>IF($N1442="","",INDEX('_calc'!$A$2:$A$3001,$N1442))</f>
        <v/>
      </c>
      <c r="D1442" s="25" t="str">
        <f>IF($N1442="","",INDEX('_calc'!$C$2:$C$3001,$N1442))</f>
        <v/>
      </c>
      <c r="E1442" s="25" t="str">
        <f>IF($N1442="","",INDEX('_calc'!$D$2:$D$3001,$N1442))</f>
        <v/>
      </c>
      <c r="F1442" s="26" t="str">
        <f>IF($N1442="","",IF($E$8=0,"",E1442/$E$8))</f>
        <v/>
      </c>
      <c r="G1442" s="25" t="str">
        <f>IF($N1442="","",INDEX('_calc'!$E$2:$E$3001,$N1442))</f>
        <v/>
      </c>
      <c r="H1442" s="25" t="str">
        <f>IF($N1442="","",INDEX('_calc'!$F$2:$F$3001,$N1442))</f>
        <v/>
      </c>
      <c r="I1442" s="27" t="str">
        <f>IF($N1442="","",INDEX('_calc'!$H$2:$H$3001,$N1442))</f>
        <v/>
      </c>
      <c r="J1442" s="27" t="str">
        <f>IF($N1442="","",INDEX('_calc'!$I$2:$I$3001,$N1442))</f>
        <v/>
      </c>
      <c r="K1442" s="28" t="str">
        <f>IF($N1442="","",IF(OR(I1442="",J1442=""),"",J1442-I1442))</f>
        <v/>
      </c>
      <c r="L1442" s="29" t="str">
        <f>IF($N1442="","",INDEX('_calc'!$J$2:$J$3001,$N1442))</f>
        <v/>
      </c>
      <c r="M1442" s="2" t="str">
        <f>IF($N1442="","",IF(AND(G1442=0,H1442=0),"수량 없음",IF(G1442=0,"신규 (전년 수량 없음)",IF(H1442=0,"당해 수량 없음",""))))</f>
        <v/>
      </c>
      <c r="N1442" t="str">
        <f>IF($B1442="","",MATCH($B1442,'_calc'!$L$2:$L$3001,0))</f>
        <v/>
      </c>
    </row>
    <row r="1443">
      <c r="B1443" s="24" t="str">
        <f>IF(ROW()-ROW($B$8)&gt;nComp,"",ROW()-ROW($B$8))</f>
        <v/>
      </c>
      <c r="C1443" t="str">
        <f>IF($N1443="","",INDEX('_calc'!$A$2:$A$3001,$N1443))</f>
        <v/>
      </c>
      <c r="D1443" s="25" t="str">
        <f>IF($N1443="","",INDEX('_calc'!$C$2:$C$3001,$N1443))</f>
        <v/>
      </c>
      <c r="E1443" s="25" t="str">
        <f>IF($N1443="","",INDEX('_calc'!$D$2:$D$3001,$N1443))</f>
        <v/>
      </c>
      <c r="F1443" s="26" t="str">
        <f>IF($N1443="","",IF($E$8=0,"",E1443/$E$8))</f>
        <v/>
      </c>
      <c r="G1443" s="25" t="str">
        <f>IF($N1443="","",INDEX('_calc'!$E$2:$E$3001,$N1443))</f>
        <v/>
      </c>
      <c r="H1443" s="25" t="str">
        <f>IF($N1443="","",INDEX('_calc'!$F$2:$F$3001,$N1443))</f>
        <v/>
      </c>
      <c r="I1443" s="27" t="str">
        <f>IF($N1443="","",INDEX('_calc'!$H$2:$H$3001,$N1443))</f>
        <v/>
      </c>
      <c r="J1443" s="27" t="str">
        <f>IF($N1443="","",INDEX('_calc'!$I$2:$I$3001,$N1443))</f>
        <v/>
      </c>
      <c r="K1443" s="28" t="str">
        <f>IF($N1443="","",IF(OR(I1443="",J1443=""),"",J1443-I1443))</f>
        <v/>
      </c>
      <c r="L1443" s="29" t="str">
        <f>IF($N1443="","",INDEX('_calc'!$J$2:$J$3001,$N1443))</f>
        <v/>
      </c>
      <c r="M1443" s="2" t="str">
        <f>IF($N1443="","",IF(AND(G1443=0,H1443=0),"수량 없음",IF(G1443=0,"신규 (전년 수량 없음)",IF(H1443=0,"당해 수량 없음",""))))</f>
        <v/>
      </c>
      <c r="N1443" t="str">
        <f>IF($B1443="","",MATCH($B1443,'_calc'!$L$2:$L$3001,0))</f>
        <v/>
      </c>
    </row>
    <row r="1444">
      <c r="B1444" s="24" t="str">
        <f>IF(ROW()-ROW($B$8)&gt;nComp,"",ROW()-ROW($B$8))</f>
        <v/>
      </c>
      <c r="C1444" t="str">
        <f>IF($N1444="","",INDEX('_calc'!$A$2:$A$3001,$N1444))</f>
        <v/>
      </c>
      <c r="D1444" s="25" t="str">
        <f>IF($N1444="","",INDEX('_calc'!$C$2:$C$3001,$N1444))</f>
        <v/>
      </c>
      <c r="E1444" s="25" t="str">
        <f>IF($N1444="","",INDEX('_calc'!$D$2:$D$3001,$N1444))</f>
        <v/>
      </c>
      <c r="F1444" s="26" t="str">
        <f>IF($N1444="","",IF($E$8=0,"",E1444/$E$8))</f>
        <v/>
      </c>
      <c r="G1444" s="25" t="str">
        <f>IF($N1444="","",INDEX('_calc'!$E$2:$E$3001,$N1444))</f>
        <v/>
      </c>
      <c r="H1444" s="25" t="str">
        <f>IF($N1444="","",INDEX('_calc'!$F$2:$F$3001,$N1444))</f>
        <v/>
      </c>
      <c r="I1444" s="27" t="str">
        <f>IF($N1444="","",INDEX('_calc'!$H$2:$H$3001,$N1444))</f>
        <v/>
      </c>
      <c r="J1444" s="27" t="str">
        <f>IF($N1444="","",INDEX('_calc'!$I$2:$I$3001,$N1444))</f>
        <v/>
      </c>
      <c r="K1444" s="28" t="str">
        <f>IF($N1444="","",IF(OR(I1444="",J1444=""),"",J1444-I1444))</f>
        <v/>
      </c>
      <c r="L1444" s="29" t="str">
        <f>IF($N1444="","",INDEX('_calc'!$J$2:$J$3001,$N1444))</f>
        <v/>
      </c>
      <c r="M1444" s="2" t="str">
        <f>IF($N1444="","",IF(AND(G1444=0,H1444=0),"수량 없음",IF(G1444=0,"신규 (전년 수량 없음)",IF(H1444=0,"당해 수량 없음",""))))</f>
        <v/>
      </c>
      <c r="N1444" t="str">
        <f>IF($B1444="","",MATCH($B1444,'_calc'!$L$2:$L$3001,0))</f>
        <v/>
      </c>
    </row>
    <row r="1445">
      <c r="B1445" s="24" t="str">
        <f>IF(ROW()-ROW($B$8)&gt;nComp,"",ROW()-ROW($B$8))</f>
        <v/>
      </c>
      <c r="C1445" t="str">
        <f>IF($N1445="","",INDEX('_calc'!$A$2:$A$3001,$N1445))</f>
        <v/>
      </c>
      <c r="D1445" s="25" t="str">
        <f>IF($N1445="","",INDEX('_calc'!$C$2:$C$3001,$N1445))</f>
        <v/>
      </c>
      <c r="E1445" s="25" t="str">
        <f>IF($N1445="","",INDEX('_calc'!$D$2:$D$3001,$N1445))</f>
        <v/>
      </c>
      <c r="F1445" s="26" t="str">
        <f>IF($N1445="","",IF($E$8=0,"",E1445/$E$8))</f>
        <v/>
      </c>
      <c r="G1445" s="25" t="str">
        <f>IF($N1445="","",INDEX('_calc'!$E$2:$E$3001,$N1445))</f>
        <v/>
      </c>
      <c r="H1445" s="25" t="str">
        <f>IF($N1445="","",INDEX('_calc'!$F$2:$F$3001,$N1445))</f>
        <v/>
      </c>
      <c r="I1445" s="27" t="str">
        <f>IF($N1445="","",INDEX('_calc'!$H$2:$H$3001,$N1445))</f>
        <v/>
      </c>
      <c r="J1445" s="27" t="str">
        <f>IF($N1445="","",INDEX('_calc'!$I$2:$I$3001,$N1445))</f>
        <v/>
      </c>
      <c r="K1445" s="28" t="str">
        <f>IF($N1445="","",IF(OR(I1445="",J1445=""),"",J1445-I1445))</f>
        <v/>
      </c>
      <c r="L1445" s="29" t="str">
        <f>IF($N1445="","",INDEX('_calc'!$J$2:$J$3001,$N1445))</f>
        <v/>
      </c>
      <c r="M1445" s="2" t="str">
        <f>IF($N1445="","",IF(AND(G1445=0,H1445=0),"수량 없음",IF(G1445=0,"신규 (전년 수량 없음)",IF(H1445=0,"당해 수량 없음",""))))</f>
        <v/>
      </c>
      <c r="N1445" t="str">
        <f>IF($B1445="","",MATCH($B1445,'_calc'!$L$2:$L$3001,0))</f>
        <v/>
      </c>
    </row>
    <row r="1446">
      <c r="B1446" s="24" t="str">
        <f>IF(ROW()-ROW($B$8)&gt;nComp,"",ROW()-ROW($B$8))</f>
        <v/>
      </c>
      <c r="C1446" t="str">
        <f>IF($N1446="","",INDEX('_calc'!$A$2:$A$3001,$N1446))</f>
        <v/>
      </c>
      <c r="D1446" s="25" t="str">
        <f>IF($N1446="","",INDEX('_calc'!$C$2:$C$3001,$N1446))</f>
        <v/>
      </c>
      <c r="E1446" s="25" t="str">
        <f>IF($N1446="","",INDEX('_calc'!$D$2:$D$3001,$N1446))</f>
        <v/>
      </c>
      <c r="F1446" s="26" t="str">
        <f>IF($N1446="","",IF($E$8=0,"",E1446/$E$8))</f>
        <v/>
      </c>
      <c r="G1446" s="25" t="str">
        <f>IF($N1446="","",INDEX('_calc'!$E$2:$E$3001,$N1446))</f>
        <v/>
      </c>
      <c r="H1446" s="25" t="str">
        <f>IF($N1446="","",INDEX('_calc'!$F$2:$F$3001,$N1446))</f>
        <v/>
      </c>
      <c r="I1446" s="27" t="str">
        <f>IF($N1446="","",INDEX('_calc'!$H$2:$H$3001,$N1446))</f>
        <v/>
      </c>
      <c r="J1446" s="27" t="str">
        <f>IF($N1446="","",INDEX('_calc'!$I$2:$I$3001,$N1446))</f>
        <v/>
      </c>
      <c r="K1446" s="28" t="str">
        <f>IF($N1446="","",IF(OR(I1446="",J1446=""),"",J1446-I1446))</f>
        <v/>
      </c>
      <c r="L1446" s="29" t="str">
        <f>IF($N1446="","",INDEX('_calc'!$J$2:$J$3001,$N1446))</f>
        <v/>
      </c>
      <c r="M1446" s="2" t="str">
        <f>IF($N1446="","",IF(AND(G1446=0,H1446=0),"수량 없음",IF(G1446=0,"신규 (전년 수량 없음)",IF(H1446=0,"당해 수량 없음",""))))</f>
        <v/>
      </c>
      <c r="N1446" t="str">
        <f>IF($B1446="","",MATCH($B1446,'_calc'!$L$2:$L$3001,0))</f>
        <v/>
      </c>
    </row>
    <row r="1447">
      <c r="B1447" s="24" t="str">
        <f>IF(ROW()-ROW($B$8)&gt;nComp,"",ROW()-ROW($B$8))</f>
        <v/>
      </c>
      <c r="C1447" t="str">
        <f>IF($N1447="","",INDEX('_calc'!$A$2:$A$3001,$N1447))</f>
        <v/>
      </c>
      <c r="D1447" s="25" t="str">
        <f>IF($N1447="","",INDEX('_calc'!$C$2:$C$3001,$N1447))</f>
        <v/>
      </c>
      <c r="E1447" s="25" t="str">
        <f>IF($N1447="","",INDEX('_calc'!$D$2:$D$3001,$N1447))</f>
        <v/>
      </c>
      <c r="F1447" s="26" t="str">
        <f>IF($N1447="","",IF($E$8=0,"",E1447/$E$8))</f>
        <v/>
      </c>
      <c r="G1447" s="25" t="str">
        <f>IF($N1447="","",INDEX('_calc'!$E$2:$E$3001,$N1447))</f>
        <v/>
      </c>
      <c r="H1447" s="25" t="str">
        <f>IF($N1447="","",INDEX('_calc'!$F$2:$F$3001,$N1447))</f>
        <v/>
      </c>
      <c r="I1447" s="27" t="str">
        <f>IF($N1447="","",INDEX('_calc'!$H$2:$H$3001,$N1447))</f>
        <v/>
      </c>
      <c r="J1447" s="27" t="str">
        <f>IF($N1447="","",INDEX('_calc'!$I$2:$I$3001,$N1447))</f>
        <v/>
      </c>
      <c r="K1447" s="28" t="str">
        <f>IF($N1447="","",IF(OR(I1447="",J1447=""),"",J1447-I1447))</f>
        <v/>
      </c>
      <c r="L1447" s="29" t="str">
        <f>IF($N1447="","",INDEX('_calc'!$J$2:$J$3001,$N1447))</f>
        <v/>
      </c>
      <c r="M1447" s="2" t="str">
        <f>IF($N1447="","",IF(AND(G1447=0,H1447=0),"수량 없음",IF(G1447=0,"신규 (전년 수량 없음)",IF(H1447=0,"당해 수량 없음",""))))</f>
        <v/>
      </c>
      <c r="N1447" t="str">
        <f>IF($B1447="","",MATCH($B1447,'_calc'!$L$2:$L$3001,0))</f>
        <v/>
      </c>
    </row>
    <row r="1448">
      <c r="B1448" s="24" t="str">
        <f>IF(ROW()-ROW($B$8)&gt;nComp,"",ROW()-ROW($B$8))</f>
        <v/>
      </c>
      <c r="C1448" t="str">
        <f>IF($N1448="","",INDEX('_calc'!$A$2:$A$3001,$N1448))</f>
        <v/>
      </c>
      <c r="D1448" s="25" t="str">
        <f>IF($N1448="","",INDEX('_calc'!$C$2:$C$3001,$N1448))</f>
        <v/>
      </c>
      <c r="E1448" s="25" t="str">
        <f>IF($N1448="","",INDEX('_calc'!$D$2:$D$3001,$N1448))</f>
        <v/>
      </c>
      <c r="F1448" s="26" t="str">
        <f>IF($N1448="","",IF($E$8=0,"",E1448/$E$8))</f>
        <v/>
      </c>
      <c r="G1448" s="25" t="str">
        <f>IF($N1448="","",INDEX('_calc'!$E$2:$E$3001,$N1448))</f>
        <v/>
      </c>
      <c r="H1448" s="25" t="str">
        <f>IF($N1448="","",INDEX('_calc'!$F$2:$F$3001,$N1448))</f>
        <v/>
      </c>
      <c r="I1448" s="27" t="str">
        <f>IF($N1448="","",INDEX('_calc'!$H$2:$H$3001,$N1448))</f>
        <v/>
      </c>
      <c r="J1448" s="27" t="str">
        <f>IF($N1448="","",INDEX('_calc'!$I$2:$I$3001,$N1448))</f>
        <v/>
      </c>
      <c r="K1448" s="28" t="str">
        <f>IF($N1448="","",IF(OR(I1448="",J1448=""),"",J1448-I1448))</f>
        <v/>
      </c>
      <c r="L1448" s="29" t="str">
        <f>IF($N1448="","",INDEX('_calc'!$J$2:$J$3001,$N1448))</f>
        <v/>
      </c>
      <c r="M1448" s="2" t="str">
        <f>IF($N1448="","",IF(AND(G1448=0,H1448=0),"수량 없음",IF(G1448=0,"신규 (전년 수량 없음)",IF(H1448=0,"당해 수량 없음",""))))</f>
        <v/>
      </c>
      <c r="N1448" t="str">
        <f>IF($B1448="","",MATCH($B1448,'_calc'!$L$2:$L$3001,0))</f>
        <v/>
      </c>
    </row>
    <row r="1449">
      <c r="B1449" s="24" t="str">
        <f>IF(ROW()-ROW($B$8)&gt;nComp,"",ROW()-ROW($B$8))</f>
        <v/>
      </c>
      <c r="C1449" t="str">
        <f>IF($N1449="","",INDEX('_calc'!$A$2:$A$3001,$N1449))</f>
        <v/>
      </c>
      <c r="D1449" s="25" t="str">
        <f>IF($N1449="","",INDEX('_calc'!$C$2:$C$3001,$N1449))</f>
        <v/>
      </c>
      <c r="E1449" s="25" t="str">
        <f>IF($N1449="","",INDEX('_calc'!$D$2:$D$3001,$N1449))</f>
        <v/>
      </c>
      <c r="F1449" s="26" t="str">
        <f>IF($N1449="","",IF($E$8=0,"",E1449/$E$8))</f>
        <v/>
      </c>
      <c r="G1449" s="25" t="str">
        <f>IF($N1449="","",INDEX('_calc'!$E$2:$E$3001,$N1449))</f>
        <v/>
      </c>
      <c r="H1449" s="25" t="str">
        <f>IF($N1449="","",INDEX('_calc'!$F$2:$F$3001,$N1449))</f>
        <v/>
      </c>
      <c r="I1449" s="27" t="str">
        <f>IF($N1449="","",INDEX('_calc'!$H$2:$H$3001,$N1449))</f>
        <v/>
      </c>
      <c r="J1449" s="27" t="str">
        <f>IF($N1449="","",INDEX('_calc'!$I$2:$I$3001,$N1449))</f>
        <v/>
      </c>
      <c r="K1449" s="28" t="str">
        <f>IF($N1449="","",IF(OR(I1449="",J1449=""),"",J1449-I1449))</f>
        <v/>
      </c>
      <c r="L1449" s="29" t="str">
        <f>IF($N1449="","",INDEX('_calc'!$J$2:$J$3001,$N1449))</f>
        <v/>
      </c>
      <c r="M1449" s="2" t="str">
        <f>IF($N1449="","",IF(AND(G1449=0,H1449=0),"수량 없음",IF(G1449=0,"신규 (전년 수량 없음)",IF(H1449=0,"당해 수량 없음",""))))</f>
        <v/>
      </c>
      <c r="N1449" t="str">
        <f>IF($B1449="","",MATCH($B1449,'_calc'!$L$2:$L$3001,0))</f>
        <v/>
      </c>
    </row>
    <row r="1450">
      <c r="B1450" s="24" t="str">
        <f>IF(ROW()-ROW($B$8)&gt;nComp,"",ROW()-ROW($B$8))</f>
        <v/>
      </c>
      <c r="C1450" t="str">
        <f>IF($N1450="","",INDEX('_calc'!$A$2:$A$3001,$N1450))</f>
        <v/>
      </c>
      <c r="D1450" s="25" t="str">
        <f>IF($N1450="","",INDEX('_calc'!$C$2:$C$3001,$N1450))</f>
        <v/>
      </c>
      <c r="E1450" s="25" t="str">
        <f>IF($N1450="","",INDEX('_calc'!$D$2:$D$3001,$N1450))</f>
        <v/>
      </c>
      <c r="F1450" s="26" t="str">
        <f>IF($N1450="","",IF($E$8=0,"",E1450/$E$8))</f>
        <v/>
      </c>
      <c r="G1450" s="25" t="str">
        <f>IF($N1450="","",INDEX('_calc'!$E$2:$E$3001,$N1450))</f>
        <v/>
      </c>
      <c r="H1450" s="25" t="str">
        <f>IF($N1450="","",INDEX('_calc'!$F$2:$F$3001,$N1450))</f>
        <v/>
      </c>
      <c r="I1450" s="27" t="str">
        <f>IF($N1450="","",INDEX('_calc'!$H$2:$H$3001,$N1450))</f>
        <v/>
      </c>
      <c r="J1450" s="27" t="str">
        <f>IF($N1450="","",INDEX('_calc'!$I$2:$I$3001,$N1450))</f>
        <v/>
      </c>
      <c r="K1450" s="28" t="str">
        <f>IF($N1450="","",IF(OR(I1450="",J1450=""),"",J1450-I1450))</f>
        <v/>
      </c>
      <c r="L1450" s="29" t="str">
        <f>IF($N1450="","",INDEX('_calc'!$J$2:$J$3001,$N1450))</f>
        <v/>
      </c>
      <c r="M1450" s="2" t="str">
        <f>IF($N1450="","",IF(AND(G1450=0,H1450=0),"수량 없음",IF(G1450=0,"신규 (전년 수량 없음)",IF(H1450=0,"당해 수량 없음",""))))</f>
        <v/>
      </c>
      <c r="N1450" t="str">
        <f>IF($B1450="","",MATCH($B1450,'_calc'!$L$2:$L$3001,0))</f>
        <v/>
      </c>
    </row>
    <row r="1451">
      <c r="B1451" s="24" t="str">
        <f>IF(ROW()-ROW($B$8)&gt;nComp,"",ROW()-ROW($B$8))</f>
        <v/>
      </c>
      <c r="C1451" t="str">
        <f>IF($N1451="","",INDEX('_calc'!$A$2:$A$3001,$N1451))</f>
        <v/>
      </c>
      <c r="D1451" s="25" t="str">
        <f>IF($N1451="","",INDEX('_calc'!$C$2:$C$3001,$N1451))</f>
        <v/>
      </c>
      <c r="E1451" s="25" t="str">
        <f>IF($N1451="","",INDEX('_calc'!$D$2:$D$3001,$N1451))</f>
        <v/>
      </c>
      <c r="F1451" s="26" t="str">
        <f>IF($N1451="","",IF($E$8=0,"",E1451/$E$8))</f>
        <v/>
      </c>
      <c r="G1451" s="25" t="str">
        <f>IF($N1451="","",INDEX('_calc'!$E$2:$E$3001,$N1451))</f>
        <v/>
      </c>
      <c r="H1451" s="25" t="str">
        <f>IF($N1451="","",INDEX('_calc'!$F$2:$F$3001,$N1451))</f>
        <v/>
      </c>
      <c r="I1451" s="27" t="str">
        <f>IF($N1451="","",INDEX('_calc'!$H$2:$H$3001,$N1451))</f>
        <v/>
      </c>
      <c r="J1451" s="27" t="str">
        <f>IF($N1451="","",INDEX('_calc'!$I$2:$I$3001,$N1451))</f>
        <v/>
      </c>
      <c r="K1451" s="28" t="str">
        <f>IF($N1451="","",IF(OR(I1451="",J1451=""),"",J1451-I1451))</f>
        <v/>
      </c>
      <c r="L1451" s="29" t="str">
        <f>IF($N1451="","",INDEX('_calc'!$J$2:$J$3001,$N1451))</f>
        <v/>
      </c>
      <c r="M1451" s="2" t="str">
        <f>IF($N1451="","",IF(AND(G1451=0,H1451=0),"수량 없음",IF(G1451=0,"신규 (전년 수량 없음)",IF(H1451=0,"당해 수량 없음",""))))</f>
        <v/>
      </c>
      <c r="N1451" t="str">
        <f>IF($B1451="","",MATCH($B1451,'_calc'!$L$2:$L$3001,0))</f>
        <v/>
      </c>
    </row>
    <row r="1452">
      <c r="B1452" s="24" t="str">
        <f>IF(ROW()-ROW($B$8)&gt;nComp,"",ROW()-ROW($B$8))</f>
        <v/>
      </c>
      <c r="C1452" t="str">
        <f>IF($N1452="","",INDEX('_calc'!$A$2:$A$3001,$N1452))</f>
        <v/>
      </c>
      <c r="D1452" s="25" t="str">
        <f>IF($N1452="","",INDEX('_calc'!$C$2:$C$3001,$N1452))</f>
        <v/>
      </c>
      <c r="E1452" s="25" t="str">
        <f>IF($N1452="","",INDEX('_calc'!$D$2:$D$3001,$N1452))</f>
        <v/>
      </c>
      <c r="F1452" s="26" t="str">
        <f>IF($N1452="","",IF($E$8=0,"",E1452/$E$8))</f>
        <v/>
      </c>
      <c r="G1452" s="25" t="str">
        <f>IF($N1452="","",INDEX('_calc'!$E$2:$E$3001,$N1452))</f>
        <v/>
      </c>
      <c r="H1452" s="25" t="str">
        <f>IF($N1452="","",INDEX('_calc'!$F$2:$F$3001,$N1452))</f>
        <v/>
      </c>
      <c r="I1452" s="27" t="str">
        <f>IF($N1452="","",INDEX('_calc'!$H$2:$H$3001,$N1452))</f>
        <v/>
      </c>
      <c r="J1452" s="27" t="str">
        <f>IF($N1452="","",INDEX('_calc'!$I$2:$I$3001,$N1452))</f>
        <v/>
      </c>
      <c r="K1452" s="28" t="str">
        <f>IF($N1452="","",IF(OR(I1452="",J1452=""),"",J1452-I1452))</f>
        <v/>
      </c>
      <c r="L1452" s="29" t="str">
        <f>IF($N1452="","",INDEX('_calc'!$J$2:$J$3001,$N1452))</f>
        <v/>
      </c>
      <c r="M1452" s="2" t="str">
        <f>IF($N1452="","",IF(AND(G1452=0,H1452=0),"수량 없음",IF(G1452=0,"신규 (전년 수량 없음)",IF(H1452=0,"당해 수량 없음",""))))</f>
        <v/>
      </c>
      <c r="N1452" t="str">
        <f>IF($B1452="","",MATCH($B1452,'_calc'!$L$2:$L$3001,0))</f>
        <v/>
      </c>
    </row>
    <row r="1453">
      <c r="B1453" s="24" t="str">
        <f>IF(ROW()-ROW($B$8)&gt;nComp,"",ROW()-ROW($B$8))</f>
        <v/>
      </c>
      <c r="C1453" t="str">
        <f>IF($N1453="","",INDEX('_calc'!$A$2:$A$3001,$N1453))</f>
        <v/>
      </c>
      <c r="D1453" s="25" t="str">
        <f>IF($N1453="","",INDEX('_calc'!$C$2:$C$3001,$N1453))</f>
        <v/>
      </c>
      <c r="E1453" s="25" t="str">
        <f>IF($N1453="","",INDEX('_calc'!$D$2:$D$3001,$N1453))</f>
        <v/>
      </c>
      <c r="F1453" s="26" t="str">
        <f>IF($N1453="","",IF($E$8=0,"",E1453/$E$8))</f>
        <v/>
      </c>
      <c r="G1453" s="25" t="str">
        <f>IF($N1453="","",INDEX('_calc'!$E$2:$E$3001,$N1453))</f>
        <v/>
      </c>
      <c r="H1453" s="25" t="str">
        <f>IF($N1453="","",INDEX('_calc'!$F$2:$F$3001,$N1453))</f>
        <v/>
      </c>
      <c r="I1453" s="27" t="str">
        <f>IF($N1453="","",INDEX('_calc'!$H$2:$H$3001,$N1453))</f>
        <v/>
      </c>
      <c r="J1453" s="27" t="str">
        <f>IF($N1453="","",INDEX('_calc'!$I$2:$I$3001,$N1453))</f>
        <v/>
      </c>
      <c r="K1453" s="28" t="str">
        <f>IF($N1453="","",IF(OR(I1453="",J1453=""),"",J1453-I1453))</f>
        <v/>
      </c>
      <c r="L1453" s="29" t="str">
        <f>IF($N1453="","",INDEX('_calc'!$J$2:$J$3001,$N1453))</f>
        <v/>
      </c>
      <c r="M1453" s="2" t="str">
        <f>IF($N1453="","",IF(AND(G1453=0,H1453=0),"수량 없음",IF(G1453=0,"신규 (전년 수량 없음)",IF(H1453=0,"당해 수량 없음",""))))</f>
        <v/>
      </c>
      <c r="N1453" t="str">
        <f>IF($B1453="","",MATCH($B1453,'_calc'!$L$2:$L$3001,0))</f>
        <v/>
      </c>
    </row>
    <row r="1454">
      <c r="B1454" s="24" t="str">
        <f>IF(ROW()-ROW($B$8)&gt;nComp,"",ROW()-ROW($B$8))</f>
        <v/>
      </c>
      <c r="C1454" t="str">
        <f>IF($N1454="","",INDEX('_calc'!$A$2:$A$3001,$N1454))</f>
        <v/>
      </c>
      <c r="D1454" s="25" t="str">
        <f>IF($N1454="","",INDEX('_calc'!$C$2:$C$3001,$N1454))</f>
        <v/>
      </c>
      <c r="E1454" s="25" t="str">
        <f>IF($N1454="","",INDEX('_calc'!$D$2:$D$3001,$N1454))</f>
        <v/>
      </c>
      <c r="F1454" s="26" t="str">
        <f>IF($N1454="","",IF($E$8=0,"",E1454/$E$8))</f>
        <v/>
      </c>
      <c r="G1454" s="25" t="str">
        <f>IF($N1454="","",INDEX('_calc'!$E$2:$E$3001,$N1454))</f>
        <v/>
      </c>
      <c r="H1454" s="25" t="str">
        <f>IF($N1454="","",INDEX('_calc'!$F$2:$F$3001,$N1454))</f>
        <v/>
      </c>
      <c r="I1454" s="27" t="str">
        <f>IF($N1454="","",INDEX('_calc'!$H$2:$H$3001,$N1454))</f>
        <v/>
      </c>
      <c r="J1454" s="27" t="str">
        <f>IF($N1454="","",INDEX('_calc'!$I$2:$I$3001,$N1454))</f>
        <v/>
      </c>
      <c r="K1454" s="28" t="str">
        <f>IF($N1454="","",IF(OR(I1454="",J1454=""),"",J1454-I1454))</f>
        <v/>
      </c>
      <c r="L1454" s="29" t="str">
        <f>IF($N1454="","",INDEX('_calc'!$J$2:$J$3001,$N1454))</f>
        <v/>
      </c>
      <c r="M1454" s="2" t="str">
        <f>IF($N1454="","",IF(AND(G1454=0,H1454=0),"수량 없음",IF(G1454=0,"신규 (전년 수량 없음)",IF(H1454=0,"당해 수량 없음",""))))</f>
        <v/>
      </c>
      <c r="N1454" t="str">
        <f>IF($B1454="","",MATCH($B1454,'_calc'!$L$2:$L$3001,0))</f>
        <v/>
      </c>
    </row>
    <row r="1455">
      <c r="B1455" s="24" t="str">
        <f>IF(ROW()-ROW($B$8)&gt;nComp,"",ROW()-ROW($B$8))</f>
        <v/>
      </c>
      <c r="C1455" t="str">
        <f>IF($N1455="","",INDEX('_calc'!$A$2:$A$3001,$N1455))</f>
        <v/>
      </c>
      <c r="D1455" s="25" t="str">
        <f>IF($N1455="","",INDEX('_calc'!$C$2:$C$3001,$N1455))</f>
        <v/>
      </c>
      <c r="E1455" s="25" t="str">
        <f>IF($N1455="","",INDEX('_calc'!$D$2:$D$3001,$N1455))</f>
        <v/>
      </c>
      <c r="F1455" s="26" t="str">
        <f>IF($N1455="","",IF($E$8=0,"",E1455/$E$8))</f>
        <v/>
      </c>
      <c r="G1455" s="25" t="str">
        <f>IF($N1455="","",INDEX('_calc'!$E$2:$E$3001,$N1455))</f>
        <v/>
      </c>
      <c r="H1455" s="25" t="str">
        <f>IF($N1455="","",INDEX('_calc'!$F$2:$F$3001,$N1455))</f>
        <v/>
      </c>
      <c r="I1455" s="27" t="str">
        <f>IF($N1455="","",INDEX('_calc'!$H$2:$H$3001,$N1455))</f>
        <v/>
      </c>
      <c r="J1455" s="27" t="str">
        <f>IF($N1455="","",INDEX('_calc'!$I$2:$I$3001,$N1455))</f>
        <v/>
      </c>
      <c r="K1455" s="28" t="str">
        <f>IF($N1455="","",IF(OR(I1455="",J1455=""),"",J1455-I1455))</f>
        <v/>
      </c>
      <c r="L1455" s="29" t="str">
        <f>IF($N1455="","",INDEX('_calc'!$J$2:$J$3001,$N1455))</f>
        <v/>
      </c>
      <c r="M1455" s="2" t="str">
        <f>IF($N1455="","",IF(AND(G1455=0,H1455=0),"수량 없음",IF(G1455=0,"신규 (전년 수량 없음)",IF(H1455=0,"당해 수량 없음",""))))</f>
        <v/>
      </c>
      <c r="N1455" t="str">
        <f>IF($B1455="","",MATCH($B1455,'_calc'!$L$2:$L$3001,0))</f>
        <v/>
      </c>
    </row>
    <row r="1456">
      <c r="B1456" s="24" t="str">
        <f>IF(ROW()-ROW($B$8)&gt;nComp,"",ROW()-ROW($B$8))</f>
        <v/>
      </c>
      <c r="C1456" t="str">
        <f>IF($N1456="","",INDEX('_calc'!$A$2:$A$3001,$N1456))</f>
        <v/>
      </c>
      <c r="D1456" s="25" t="str">
        <f>IF($N1456="","",INDEX('_calc'!$C$2:$C$3001,$N1456))</f>
        <v/>
      </c>
      <c r="E1456" s="25" t="str">
        <f>IF($N1456="","",INDEX('_calc'!$D$2:$D$3001,$N1456))</f>
        <v/>
      </c>
      <c r="F1456" s="26" t="str">
        <f>IF($N1456="","",IF($E$8=0,"",E1456/$E$8))</f>
        <v/>
      </c>
      <c r="G1456" s="25" t="str">
        <f>IF($N1456="","",INDEX('_calc'!$E$2:$E$3001,$N1456))</f>
        <v/>
      </c>
      <c r="H1456" s="25" t="str">
        <f>IF($N1456="","",INDEX('_calc'!$F$2:$F$3001,$N1456))</f>
        <v/>
      </c>
      <c r="I1456" s="27" t="str">
        <f>IF($N1456="","",INDEX('_calc'!$H$2:$H$3001,$N1456))</f>
        <v/>
      </c>
      <c r="J1456" s="27" t="str">
        <f>IF($N1456="","",INDEX('_calc'!$I$2:$I$3001,$N1456))</f>
        <v/>
      </c>
      <c r="K1456" s="28" t="str">
        <f>IF($N1456="","",IF(OR(I1456="",J1456=""),"",J1456-I1456))</f>
        <v/>
      </c>
      <c r="L1456" s="29" t="str">
        <f>IF($N1456="","",INDEX('_calc'!$J$2:$J$3001,$N1456))</f>
        <v/>
      </c>
      <c r="M1456" s="2" t="str">
        <f>IF($N1456="","",IF(AND(G1456=0,H1456=0),"수량 없음",IF(G1456=0,"신규 (전년 수량 없음)",IF(H1456=0,"당해 수량 없음",""))))</f>
        <v/>
      </c>
      <c r="N1456" t="str">
        <f>IF($B1456="","",MATCH($B1456,'_calc'!$L$2:$L$3001,0))</f>
        <v/>
      </c>
    </row>
    <row r="1457">
      <c r="B1457" s="24" t="str">
        <f>IF(ROW()-ROW($B$8)&gt;nComp,"",ROW()-ROW($B$8))</f>
        <v/>
      </c>
      <c r="C1457" t="str">
        <f>IF($N1457="","",INDEX('_calc'!$A$2:$A$3001,$N1457))</f>
        <v/>
      </c>
      <c r="D1457" s="25" t="str">
        <f>IF($N1457="","",INDEX('_calc'!$C$2:$C$3001,$N1457))</f>
        <v/>
      </c>
      <c r="E1457" s="25" t="str">
        <f>IF($N1457="","",INDEX('_calc'!$D$2:$D$3001,$N1457))</f>
        <v/>
      </c>
      <c r="F1457" s="26" t="str">
        <f>IF($N1457="","",IF($E$8=0,"",E1457/$E$8))</f>
        <v/>
      </c>
      <c r="G1457" s="25" t="str">
        <f>IF($N1457="","",INDEX('_calc'!$E$2:$E$3001,$N1457))</f>
        <v/>
      </c>
      <c r="H1457" s="25" t="str">
        <f>IF($N1457="","",INDEX('_calc'!$F$2:$F$3001,$N1457))</f>
        <v/>
      </c>
      <c r="I1457" s="27" t="str">
        <f>IF($N1457="","",INDEX('_calc'!$H$2:$H$3001,$N1457))</f>
        <v/>
      </c>
      <c r="J1457" s="27" t="str">
        <f>IF($N1457="","",INDEX('_calc'!$I$2:$I$3001,$N1457))</f>
        <v/>
      </c>
      <c r="K1457" s="28" t="str">
        <f>IF($N1457="","",IF(OR(I1457="",J1457=""),"",J1457-I1457))</f>
        <v/>
      </c>
      <c r="L1457" s="29" t="str">
        <f>IF($N1457="","",INDEX('_calc'!$J$2:$J$3001,$N1457))</f>
        <v/>
      </c>
      <c r="M1457" s="2" t="str">
        <f>IF($N1457="","",IF(AND(G1457=0,H1457=0),"수량 없음",IF(G1457=0,"신규 (전년 수량 없음)",IF(H1457=0,"당해 수량 없음",""))))</f>
        <v/>
      </c>
      <c r="N1457" t="str">
        <f>IF($B1457="","",MATCH($B1457,'_calc'!$L$2:$L$3001,0))</f>
        <v/>
      </c>
    </row>
    <row r="1458">
      <c r="B1458" s="24" t="str">
        <f>IF(ROW()-ROW($B$8)&gt;nComp,"",ROW()-ROW($B$8))</f>
        <v/>
      </c>
      <c r="C1458" t="str">
        <f>IF($N1458="","",INDEX('_calc'!$A$2:$A$3001,$N1458))</f>
        <v/>
      </c>
      <c r="D1458" s="25" t="str">
        <f>IF($N1458="","",INDEX('_calc'!$C$2:$C$3001,$N1458))</f>
        <v/>
      </c>
      <c r="E1458" s="25" t="str">
        <f>IF($N1458="","",INDEX('_calc'!$D$2:$D$3001,$N1458))</f>
        <v/>
      </c>
      <c r="F1458" s="26" t="str">
        <f>IF($N1458="","",IF($E$8=0,"",E1458/$E$8))</f>
        <v/>
      </c>
      <c r="G1458" s="25" t="str">
        <f>IF($N1458="","",INDEX('_calc'!$E$2:$E$3001,$N1458))</f>
        <v/>
      </c>
      <c r="H1458" s="25" t="str">
        <f>IF($N1458="","",INDEX('_calc'!$F$2:$F$3001,$N1458))</f>
        <v/>
      </c>
      <c r="I1458" s="27" t="str">
        <f>IF($N1458="","",INDEX('_calc'!$H$2:$H$3001,$N1458))</f>
        <v/>
      </c>
      <c r="J1458" s="27" t="str">
        <f>IF($N1458="","",INDEX('_calc'!$I$2:$I$3001,$N1458))</f>
        <v/>
      </c>
      <c r="K1458" s="28" t="str">
        <f>IF($N1458="","",IF(OR(I1458="",J1458=""),"",J1458-I1458))</f>
        <v/>
      </c>
      <c r="L1458" s="29" t="str">
        <f>IF($N1458="","",INDEX('_calc'!$J$2:$J$3001,$N1458))</f>
        <v/>
      </c>
      <c r="M1458" s="2" t="str">
        <f>IF($N1458="","",IF(AND(G1458=0,H1458=0),"수량 없음",IF(G1458=0,"신규 (전년 수량 없음)",IF(H1458=0,"당해 수량 없음",""))))</f>
        <v/>
      </c>
      <c r="N1458" t="str">
        <f>IF($B1458="","",MATCH($B1458,'_calc'!$L$2:$L$3001,0))</f>
        <v/>
      </c>
    </row>
    <row r="1459">
      <c r="B1459" s="24" t="str">
        <f>IF(ROW()-ROW($B$8)&gt;nComp,"",ROW()-ROW($B$8))</f>
        <v/>
      </c>
      <c r="C1459" t="str">
        <f>IF($N1459="","",INDEX('_calc'!$A$2:$A$3001,$N1459))</f>
        <v/>
      </c>
      <c r="D1459" s="25" t="str">
        <f>IF($N1459="","",INDEX('_calc'!$C$2:$C$3001,$N1459))</f>
        <v/>
      </c>
      <c r="E1459" s="25" t="str">
        <f>IF($N1459="","",INDEX('_calc'!$D$2:$D$3001,$N1459))</f>
        <v/>
      </c>
      <c r="F1459" s="26" t="str">
        <f>IF($N1459="","",IF($E$8=0,"",E1459/$E$8))</f>
        <v/>
      </c>
      <c r="G1459" s="25" t="str">
        <f>IF($N1459="","",INDEX('_calc'!$E$2:$E$3001,$N1459))</f>
        <v/>
      </c>
      <c r="H1459" s="25" t="str">
        <f>IF($N1459="","",INDEX('_calc'!$F$2:$F$3001,$N1459))</f>
        <v/>
      </c>
      <c r="I1459" s="27" t="str">
        <f>IF($N1459="","",INDEX('_calc'!$H$2:$H$3001,$N1459))</f>
        <v/>
      </c>
      <c r="J1459" s="27" t="str">
        <f>IF($N1459="","",INDEX('_calc'!$I$2:$I$3001,$N1459))</f>
        <v/>
      </c>
      <c r="K1459" s="28" t="str">
        <f>IF($N1459="","",IF(OR(I1459="",J1459=""),"",J1459-I1459))</f>
        <v/>
      </c>
      <c r="L1459" s="29" t="str">
        <f>IF($N1459="","",INDEX('_calc'!$J$2:$J$3001,$N1459))</f>
        <v/>
      </c>
      <c r="M1459" s="2" t="str">
        <f>IF($N1459="","",IF(AND(G1459=0,H1459=0),"수량 없음",IF(G1459=0,"신규 (전년 수량 없음)",IF(H1459=0,"당해 수량 없음",""))))</f>
        <v/>
      </c>
      <c r="N1459" t="str">
        <f>IF($B1459="","",MATCH($B1459,'_calc'!$L$2:$L$3001,0))</f>
        <v/>
      </c>
    </row>
    <row r="1460">
      <c r="B1460" s="24" t="str">
        <f>IF(ROW()-ROW($B$8)&gt;nComp,"",ROW()-ROW($B$8))</f>
        <v/>
      </c>
      <c r="C1460" t="str">
        <f>IF($N1460="","",INDEX('_calc'!$A$2:$A$3001,$N1460))</f>
        <v/>
      </c>
      <c r="D1460" s="25" t="str">
        <f>IF($N1460="","",INDEX('_calc'!$C$2:$C$3001,$N1460))</f>
        <v/>
      </c>
      <c r="E1460" s="25" t="str">
        <f>IF($N1460="","",INDEX('_calc'!$D$2:$D$3001,$N1460))</f>
        <v/>
      </c>
      <c r="F1460" s="26" t="str">
        <f>IF($N1460="","",IF($E$8=0,"",E1460/$E$8))</f>
        <v/>
      </c>
      <c r="G1460" s="25" t="str">
        <f>IF($N1460="","",INDEX('_calc'!$E$2:$E$3001,$N1460))</f>
        <v/>
      </c>
      <c r="H1460" s="25" t="str">
        <f>IF($N1460="","",INDEX('_calc'!$F$2:$F$3001,$N1460))</f>
        <v/>
      </c>
      <c r="I1460" s="27" t="str">
        <f>IF($N1460="","",INDEX('_calc'!$H$2:$H$3001,$N1460))</f>
        <v/>
      </c>
      <c r="J1460" s="27" t="str">
        <f>IF($N1460="","",INDEX('_calc'!$I$2:$I$3001,$N1460))</f>
        <v/>
      </c>
      <c r="K1460" s="28" t="str">
        <f>IF($N1460="","",IF(OR(I1460="",J1460=""),"",J1460-I1460))</f>
        <v/>
      </c>
      <c r="L1460" s="29" t="str">
        <f>IF($N1460="","",INDEX('_calc'!$J$2:$J$3001,$N1460))</f>
        <v/>
      </c>
      <c r="M1460" s="2" t="str">
        <f>IF($N1460="","",IF(AND(G1460=0,H1460=0),"수량 없음",IF(G1460=0,"신규 (전년 수량 없음)",IF(H1460=0,"당해 수량 없음",""))))</f>
        <v/>
      </c>
      <c r="N1460" t="str">
        <f>IF($B1460="","",MATCH($B1460,'_calc'!$L$2:$L$3001,0))</f>
        <v/>
      </c>
    </row>
    <row r="1461">
      <c r="B1461" s="24" t="str">
        <f>IF(ROW()-ROW($B$8)&gt;nComp,"",ROW()-ROW($B$8))</f>
        <v/>
      </c>
      <c r="C1461" t="str">
        <f>IF($N1461="","",INDEX('_calc'!$A$2:$A$3001,$N1461))</f>
        <v/>
      </c>
      <c r="D1461" s="25" t="str">
        <f>IF($N1461="","",INDEX('_calc'!$C$2:$C$3001,$N1461))</f>
        <v/>
      </c>
      <c r="E1461" s="25" t="str">
        <f>IF($N1461="","",INDEX('_calc'!$D$2:$D$3001,$N1461))</f>
        <v/>
      </c>
      <c r="F1461" s="26" t="str">
        <f>IF($N1461="","",IF($E$8=0,"",E1461/$E$8))</f>
        <v/>
      </c>
      <c r="G1461" s="25" t="str">
        <f>IF($N1461="","",INDEX('_calc'!$E$2:$E$3001,$N1461))</f>
        <v/>
      </c>
      <c r="H1461" s="25" t="str">
        <f>IF($N1461="","",INDEX('_calc'!$F$2:$F$3001,$N1461))</f>
        <v/>
      </c>
      <c r="I1461" s="27" t="str">
        <f>IF($N1461="","",INDEX('_calc'!$H$2:$H$3001,$N1461))</f>
        <v/>
      </c>
      <c r="J1461" s="27" t="str">
        <f>IF($N1461="","",INDEX('_calc'!$I$2:$I$3001,$N1461))</f>
        <v/>
      </c>
      <c r="K1461" s="28" t="str">
        <f>IF($N1461="","",IF(OR(I1461="",J1461=""),"",J1461-I1461))</f>
        <v/>
      </c>
      <c r="L1461" s="29" t="str">
        <f>IF($N1461="","",INDEX('_calc'!$J$2:$J$3001,$N1461))</f>
        <v/>
      </c>
      <c r="M1461" s="2" t="str">
        <f>IF($N1461="","",IF(AND(G1461=0,H1461=0),"수량 없음",IF(G1461=0,"신규 (전년 수량 없음)",IF(H1461=0,"당해 수량 없음",""))))</f>
        <v/>
      </c>
      <c r="N1461" t="str">
        <f>IF($B1461="","",MATCH($B1461,'_calc'!$L$2:$L$3001,0))</f>
        <v/>
      </c>
    </row>
    <row r="1462">
      <c r="B1462" s="24" t="str">
        <f>IF(ROW()-ROW($B$8)&gt;nComp,"",ROW()-ROW($B$8))</f>
        <v/>
      </c>
      <c r="C1462" t="str">
        <f>IF($N1462="","",INDEX('_calc'!$A$2:$A$3001,$N1462))</f>
        <v/>
      </c>
      <c r="D1462" s="25" t="str">
        <f>IF($N1462="","",INDEX('_calc'!$C$2:$C$3001,$N1462))</f>
        <v/>
      </c>
      <c r="E1462" s="25" t="str">
        <f>IF($N1462="","",INDEX('_calc'!$D$2:$D$3001,$N1462))</f>
        <v/>
      </c>
      <c r="F1462" s="26" t="str">
        <f>IF($N1462="","",IF($E$8=0,"",E1462/$E$8))</f>
        <v/>
      </c>
      <c r="G1462" s="25" t="str">
        <f>IF($N1462="","",INDEX('_calc'!$E$2:$E$3001,$N1462))</f>
        <v/>
      </c>
      <c r="H1462" s="25" t="str">
        <f>IF($N1462="","",INDEX('_calc'!$F$2:$F$3001,$N1462))</f>
        <v/>
      </c>
      <c r="I1462" s="27" t="str">
        <f>IF($N1462="","",INDEX('_calc'!$H$2:$H$3001,$N1462))</f>
        <v/>
      </c>
      <c r="J1462" s="27" t="str">
        <f>IF($N1462="","",INDEX('_calc'!$I$2:$I$3001,$N1462))</f>
        <v/>
      </c>
      <c r="K1462" s="28" t="str">
        <f>IF($N1462="","",IF(OR(I1462="",J1462=""),"",J1462-I1462))</f>
        <v/>
      </c>
      <c r="L1462" s="29" t="str">
        <f>IF($N1462="","",INDEX('_calc'!$J$2:$J$3001,$N1462))</f>
        <v/>
      </c>
      <c r="M1462" s="2" t="str">
        <f>IF($N1462="","",IF(AND(G1462=0,H1462=0),"수량 없음",IF(G1462=0,"신규 (전년 수량 없음)",IF(H1462=0,"당해 수량 없음",""))))</f>
        <v/>
      </c>
      <c r="N1462" t="str">
        <f>IF($B1462="","",MATCH($B1462,'_calc'!$L$2:$L$3001,0))</f>
        <v/>
      </c>
    </row>
    <row r="1463">
      <c r="B1463" s="24" t="str">
        <f>IF(ROW()-ROW($B$8)&gt;nComp,"",ROW()-ROW($B$8))</f>
        <v/>
      </c>
      <c r="C1463" t="str">
        <f>IF($N1463="","",INDEX('_calc'!$A$2:$A$3001,$N1463))</f>
        <v/>
      </c>
      <c r="D1463" s="25" t="str">
        <f>IF($N1463="","",INDEX('_calc'!$C$2:$C$3001,$N1463))</f>
        <v/>
      </c>
      <c r="E1463" s="25" t="str">
        <f>IF($N1463="","",INDEX('_calc'!$D$2:$D$3001,$N1463))</f>
        <v/>
      </c>
      <c r="F1463" s="26" t="str">
        <f>IF($N1463="","",IF($E$8=0,"",E1463/$E$8))</f>
        <v/>
      </c>
      <c r="G1463" s="25" t="str">
        <f>IF($N1463="","",INDEX('_calc'!$E$2:$E$3001,$N1463))</f>
        <v/>
      </c>
      <c r="H1463" s="25" t="str">
        <f>IF($N1463="","",INDEX('_calc'!$F$2:$F$3001,$N1463))</f>
        <v/>
      </c>
      <c r="I1463" s="27" t="str">
        <f>IF($N1463="","",INDEX('_calc'!$H$2:$H$3001,$N1463))</f>
        <v/>
      </c>
      <c r="J1463" s="27" t="str">
        <f>IF($N1463="","",INDEX('_calc'!$I$2:$I$3001,$N1463))</f>
        <v/>
      </c>
      <c r="K1463" s="28" t="str">
        <f>IF($N1463="","",IF(OR(I1463="",J1463=""),"",J1463-I1463))</f>
        <v/>
      </c>
      <c r="L1463" s="29" t="str">
        <f>IF($N1463="","",INDEX('_calc'!$J$2:$J$3001,$N1463))</f>
        <v/>
      </c>
      <c r="M1463" s="2" t="str">
        <f>IF($N1463="","",IF(AND(G1463=0,H1463=0),"수량 없음",IF(G1463=0,"신규 (전년 수량 없음)",IF(H1463=0,"당해 수량 없음",""))))</f>
        <v/>
      </c>
      <c r="N1463" t="str">
        <f>IF($B1463="","",MATCH($B1463,'_calc'!$L$2:$L$3001,0))</f>
        <v/>
      </c>
    </row>
    <row r="1464">
      <c r="B1464" s="24" t="str">
        <f>IF(ROW()-ROW($B$8)&gt;nComp,"",ROW()-ROW($B$8))</f>
        <v/>
      </c>
      <c r="C1464" t="str">
        <f>IF($N1464="","",INDEX('_calc'!$A$2:$A$3001,$N1464))</f>
        <v/>
      </c>
      <c r="D1464" s="25" t="str">
        <f>IF($N1464="","",INDEX('_calc'!$C$2:$C$3001,$N1464))</f>
        <v/>
      </c>
      <c r="E1464" s="25" t="str">
        <f>IF($N1464="","",INDEX('_calc'!$D$2:$D$3001,$N1464))</f>
        <v/>
      </c>
      <c r="F1464" s="26" t="str">
        <f>IF($N1464="","",IF($E$8=0,"",E1464/$E$8))</f>
        <v/>
      </c>
      <c r="G1464" s="25" t="str">
        <f>IF($N1464="","",INDEX('_calc'!$E$2:$E$3001,$N1464))</f>
        <v/>
      </c>
      <c r="H1464" s="25" t="str">
        <f>IF($N1464="","",INDEX('_calc'!$F$2:$F$3001,$N1464))</f>
        <v/>
      </c>
      <c r="I1464" s="27" t="str">
        <f>IF($N1464="","",INDEX('_calc'!$H$2:$H$3001,$N1464))</f>
        <v/>
      </c>
      <c r="J1464" s="27" t="str">
        <f>IF($N1464="","",INDEX('_calc'!$I$2:$I$3001,$N1464))</f>
        <v/>
      </c>
      <c r="K1464" s="28" t="str">
        <f>IF($N1464="","",IF(OR(I1464="",J1464=""),"",J1464-I1464))</f>
        <v/>
      </c>
      <c r="L1464" s="29" t="str">
        <f>IF($N1464="","",INDEX('_calc'!$J$2:$J$3001,$N1464))</f>
        <v/>
      </c>
      <c r="M1464" s="2" t="str">
        <f>IF($N1464="","",IF(AND(G1464=0,H1464=0),"수량 없음",IF(G1464=0,"신규 (전년 수량 없음)",IF(H1464=0,"당해 수량 없음",""))))</f>
        <v/>
      </c>
      <c r="N1464" t="str">
        <f>IF($B1464="","",MATCH($B1464,'_calc'!$L$2:$L$3001,0))</f>
        <v/>
      </c>
    </row>
    <row r="1465">
      <c r="B1465" s="24" t="str">
        <f>IF(ROW()-ROW($B$8)&gt;nComp,"",ROW()-ROW($B$8))</f>
        <v/>
      </c>
      <c r="C1465" t="str">
        <f>IF($N1465="","",INDEX('_calc'!$A$2:$A$3001,$N1465))</f>
        <v/>
      </c>
      <c r="D1465" s="25" t="str">
        <f>IF($N1465="","",INDEX('_calc'!$C$2:$C$3001,$N1465))</f>
        <v/>
      </c>
      <c r="E1465" s="25" t="str">
        <f>IF($N1465="","",INDEX('_calc'!$D$2:$D$3001,$N1465))</f>
        <v/>
      </c>
      <c r="F1465" s="26" t="str">
        <f>IF($N1465="","",IF($E$8=0,"",E1465/$E$8))</f>
        <v/>
      </c>
      <c r="G1465" s="25" t="str">
        <f>IF($N1465="","",INDEX('_calc'!$E$2:$E$3001,$N1465))</f>
        <v/>
      </c>
      <c r="H1465" s="25" t="str">
        <f>IF($N1465="","",INDEX('_calc'!$F$2:$F$3001,$N1465))</f>
        <v/>
      </c>
      <c r="I1465" s="27" t="str">
        <f>IF($N1465="","",INDEX('_calc'!$H$2:$H$3001,$N1465))</f>
        <v/>
      </c>
      <c r="J1465" s="27" t="str">
        <f>IF($N1465="","",INDEX('_calc'!$I$2:$I$3001,$N1465))</f>
        <v/>
      </c>
      <c r="K1465" s="28" t="str">
        <f>IF($N1465="","",IF(OR(I1465="",J1465=""),"",J1465-I1465))</f>
        <v/>
      </c>
      <c r="L1465" s="29" t="str">
        <f>IF($N1465="","",INDEX('_calc'!$J$2:$J$3001,$N1465))</f>
        <v/>
      </c>
      <c r="M1465" s="2" t="str">
        <f>IF($N1465="","",IF(AND(G1465=0,H1465=0),"수량 없음",IF(G1465=0,"신규 (전년 수량 없음)",IF(H1465=0,"당해 수량 없음",""))))</f>
        <v/>
      </c>
      <c r="N1465" t="str">
        <f>IF($B1465="","",MATCH($B1465,'_calc'!$L$2:$L$3001,0))</f>
        <v/>
      </c>
    </row>
    <row r="1466">
      <c r="B1466" s="24" t="str">
        <f>IF(ROW()-ROW($B$8)&gt;nComp,"",ROW()-ROW($B$8))</f>
        <v/>
      </c>
      <c r="C1466" t="str">
        <f>IF($N1466="","",INDEX('_calc'!$A$2:$A$3001,$N1466))</f>
        <v/>
      </c>
      <c r="D1466" s="25" t="str">
        <f>IF($N1466="","",INDEX('_calc'!$C$2:$C$3001,$N1466))</f>
        <v/>
      </c>
      <c r="E1466" s="25" t="str">
        <f>IF($N1466="","",INDEX('_calc'!$D$2:$D$3001,$N1466))</f>
        <v/>
      </c>
      <c r="F1466" s="26" t="str">
        <f>IF($N1466="","",IF($E$8=0,"",E1466/$E$8))</f>
        <v/>
      </c>
      <c r="G1466" s="25" t="str">
        <f>IF($N1466="","",INDEX('_calc'!$E$2:$E$3001,$N1466))</f>
        <v/>
      </c>
      <c r="H1466" s="25" t="str">
        <f>IF($N1466="","",INDEX('_calc'!$F$2:$F$3001,$N1466))</f>
        <v/>
      </c>
      <c r="I1466" s="27" t="str">
        <f>IF($N1466="","",INDEX('_calc'!$H$2:$H$3001,$N1466))</f>
        <v/>
      </c>
      <c r="J1466" s="27" t="str">
        <f>IF($N1466="","",INDEX('_calc'!$I$2:$I$3001,$N1466))</f>
        <v/>
      </c>
      <c r="K1466" s="28" t="str">
        <f>IF($N1466="","",IF(OR(I1466="",J1466=""),"",J1466-I1466))</f>
        <v/>
      </c>
      <c r="L1466" s="29" t="str">
        <f>IF($N1466="","",INDEX('_calc'!$J$2:$J$3001,$N1466))</f>
        <v/>
      </c>
      <c r="M1466" s="2" t="str">
        <f>IF($N1466="","",IF(AND(G1466=0,H1466=0),"수량 없음",IF(G1466=0,"신규 (전년 수량 없음)",IF(H1466=0,"당해 수량 없음",""))))</f>
        <v/>
      </c>
      <c r="N1466" t="str">
        <f>IF($B1466="","",MATCH($B1466,'_calc'!$L$2:$L$3001,0))</f>
        <v/>
      </c>
    </row>
    <row r="1467">
      <c r="B1467" s="24" t="str">
        <f>IF(ROW()-ROW($B$8)&gt;nComp,"",ROW()-ROW($B$8))</f>
        <v/>
      </c>
      <c r="C1467" t="str">
        <f>IF($N1467="","",INDEX('_calc'!$A$2:$A$3001,$N1467))</f>
        <v/>
      </c>
      <c r="D1467" s="25" t="str">
        <f>IF($N1467="","",INDEX('_calc'!$C$2:$C$3001,$N1467))</f>
        <v/>
      </c>
      <c r="E1467" s="25" t="str">
        <f>IF($N1467="","",INDEX('_calc'!$D$2:$D$3001,$N1467))</f>
        <v/>
      </c>
      <c r="F1467" s="26" t="str">
        <f>IF($N1467="","",IF($E$8=0,"",E1467/$E$8))</f>
        <v/>
      </c>
      <c r="G1467" s="25" t="str">
        <f>IF($N1467="","",INDEX('_calc'!$E$2:$E$3001,$N1467))</f>
        <v/>
      </c>
      <c r="H1467" s="25" t="str">
        <f>IF($N1467="","",INDEX('_calc'!$F$2:$F$3001,$N1467))</f>
        <v/>
      </c>
      <c r="I1467" s="27" t="str">
        <f>IF($N1467="","",INDEX('_calc'!$H$2:$H$3001,$N1467))</f>
        <v/>
      </c>
      <c r="J1467" s="27" t="str">
        <f>IF($N1467="","",INDEX('_calc'!$I$2:$I$3001,$N1467))</f>
        <v/>
      </c>
      <c r="K1467" s="28" t="str">
        <f>IF($N1467="","",IF(OR(I1467="",J1467=""),"",J1467-I1467))</f>
        <v/>
      </c>
      <c r="L1467" s="29" t="str">
        <f>IF($N1467="","",INDEX('_calc'!$J$2:$J$3001,$N1467))</f>
        <v/>
      </c>
      <c r="M1467" s="2" t="str">
        <f>IF($N1467="","",IF(AND(G1467=0,H1467=0),"수량 없음",IF(G1467=0,"신규 (전년 수량 없음)",IF(H1467=0,"당해 수량 없음",""))))</f>
        <v/>
      </c>
      <c r="N1467" t="str">
        <f>IF($B1467="","",MATCH($B1467,'_calc'!$L$2:$L$3001,0))</f>
        <v/>
      </c>
    </row>
    <row r="1468">
      <c r="B1468" s="24" t="str">
        <f>IF(ROW()-ROW($B$8)&gt;nComp,"",ROW()-ROW($B$8))</f>
        <v/>
      </c>
      <c r="C1468" t="str">
        <f>IF($N1468="","",INDEX('_calc'!$A$2:$A$3001,$N1468))</f>
        <v/>
      </c>
      <c r="D1468" s="25" t="str">
        <f>IF($N1468="","",INDEX('_calc'!$C$2:$C$3001,$N1468))</f>
        <v/>
      </c>
      <c r="E1468" s="25" t="str">
        <f>IF($N1468="","",INDEX('_calc'!$D$2:$D$3001,$N1468))</f>
        <v/>
      </c>
      <c r="F1468" s="26" t="str">
        <f>IF($N1468="","",IF($E$8=0,"",E1468/$E$8))</f>
        <v/>
      </c>
      <c r="G1468" s="25" t="str">
        <f>IF($N1468="","",INDEX('_calc'!$E$2:$E$3001,$N1468))</f>
        <v/>
      </c>
      <c r="H1468" s="25" t="str">
        <f>IF($N1468="","",INDEX('_calc'!$F$2:$F$3001,$N1468))</f>
        <v/>
      </c>
      <c r="I1468" s="27" t="str">
        <f>IF($N1468="","",INDEX('_calc'!$H$2:$H$3001,$N1468))</f>
        <v/>
      </c>
      <c r="J1468" s="27" t="str">
        <f>IF($N1468="","",INDEX('_calc'!$I$2:$I$3001,$N1468))</f>
        <v/>
      </c>
      <c r="K1468" s="28" t="str">
        <f>IF($N1468="","",IF(OR(I1468="",J1468=""),"",J1468-I1468))</f>
        <v/>
      </c>
      <c r="L1468" s="29" t="str">
        <f>IF($N1468="","",INDEX('_calc'!$J$2:$J$3001,$N1468))</f>
        <v/>
      </c>
      <c r="M1468" s="2" t="str">
        <f>IF($N1468="","",IF(AND(G1468=0,H1468=0),"수량 없음",IF(G1468=0,"신규 (전년 수량 없음)",IF(H1468=0,"당해 수량 없음",""))))</f>
        <v/>
      </c>
      <c r="N1468" t="str">
        <f>IF($B1468="","",MATCH($B1468,'_calc'!$L$2:$L$3001,0))</f>
        <v/>
      </c>
    </row>
    <row r="1469">
      <c r="B1469" s="24" t="str">
        <f>IF(ROW()-ROW($B$8)&gt;nComp,"",ROW()-ROW($B$8))</f>
        <v/>
      </c>
      <c r="C1469" t="str">
        <f>IF($N1469="","",INDEX('_calc'!$A$2:$A$3001,$N1469))</f>
        <v/>
      </c>
      <c r="D1469" s="25" t="str">
        <f>IF($N1469="","",INDEX('_calc'!$C$2:$C$3001,$N1469))</f>
        <v/>
      </c>
      <c r="E1469" s="25" t="str">
        <f>IF($N1469="","",INDEX('_calc'!$D$2:$D$3001,$N1469))</f>
        <v/>
      </c>
      <c r="F1469" s="26" t="str">
        <f>IF($N1469="","",IF($E$8=0,"",E1469/$E$8))</f>
        <v/>
      </c>
      <c r="G1469" s="25" t="str">
        <f>IF($N1469="","",INDEX('_calc'!$E$2:$E$3001,$N1469))</f>
        <v/>
      </c>
      <c r="H1469" s="25" t="str">
        <f>IF($N1469="","",INDEX('_calc'!$F$2:$F$3001,$N1469))</f>
        <v/>
      </c>
      <c r="I1469" s="27" t="str">
        <f>IF($N1469="","",INDEX('_calc'!$H$2:$H$3001,$N1469))</f>
        <v/>
      </c>
      <c r="J1469" s="27" t="str">
        <f>IF($N1469="","",INDEX('_calc'!$I$2:$I$3001,$N1469))</f>
        <v/>
      </c>
      <c r="K1469" s="28" t="str">
        <f>IF($N1469="","",IF(OR(I1469="",J1469=""),"",J1469-I1469))</f>
        <v/>
      </c>
      <c r="L1469" s="29" t="str">
        <f>IF($N1469="","",INDEX('_calc'!$J$2:$J$3001,$N1469))</f>
        <v/>
      </c>
      <c r="M1469" s="2" t="str">
        <f>IF($N1469="","",IF(AND(G1469=0,H1469=0),"수량 없음",IF(G1469=0,"신규 (전년 수량 없음)",IF(H1469=0,"당해 수량 없음",""))))</f>
        <v/>
      </c>
      <c r="N1469" t="str">
        <f>IF($B1469="","",MATCH($B1469,'_calc'!$L$2:$L$3001,0))</f>
        <v/>
      </c>
    </row>
    <row r="1470">
      <c r="B1470" s="24" t="str">
        <f>IF(ROW()-ROW($B$8)&gt;nComp,"",ROW()-ROW($B$8))</f>
        <v/>
      </c>
      <c r="C1470" t="str">
        <f>IF($N1470="","",INDEX('_calc'!$A$2:$A$3001,$N1470))</f>
        <v/>
      </c>
      <c r="D1470" s="25" t="str">
        <f>IF($N1470="","",INDEX('_calc'!$C$2:$C$3001,$N1470))</f>
        <v/>
      </c>
      <c r="E1470" s="25" t="str">
        <f>IF($N1470="","",INDEX('_calc'!$D$2:$D$3001,$N1470))</f>
        <v/>
      </c>
      <c r="F1470" s="26" t="str">
        <f>IF($N1470="","",IF($E$8=0,"",E1470/$E$8))</f>
        <v/>
      </c>
      <c r="G1470" s="25" t="str">
        <f>IF($N1470="","",INDEX('_calc'!$E$2:$E$3001,$N1470))</f>
        <v/>
      </c>
      <c r="H1470" s="25" t="str">
        <f>IF($N1470="","",INDEX('_calc'!$F$2:$F$3001,$N1470))</f>
        <v/>
      </c>
      <c r="I1470" s="27" t="str">
        <f>IF($N1470="","",INDEX('_calc'!$H$2:$H$3001,$N1470))</f>
        <v/>
      </c>
      <c r="J1470" s="27" t="str">
        <f>IF($N1470="","",INDEX('_calc'!$I$2:$I$3001,$N1470))</f>
        <v/>
      </c>
      <c r="K1470" s="28" t="str">
        <f>IF($N1470="","",IF(OR(I1470="",J1470=""),"",J1470-I1470))</f>
        <v/>
      </c>
      <c r="L1470" s="29" t="str">
        <f>IF($N1470="","",INDEX('_calc'!$J$2:$J$3001,$N1470))</f>
        <v/>
      </c>
      <c r="M1470" s="2" t="str">
        <f>IF($N1470="","",IF(AND(G1470=0,H1470=0),"수량 없음",IF(G1470=0,"신규 (전년 수량 없음)",IF(H1470=0,"당해 수량 없음",""))))</f>
        <v/>
      </c>
      <c r="N1470" t="str">
        <f>IF($B1470="","",MATCH($B1470,'_calc'!$L$2:$L$3001,0))</f>
        <v/>
      </c>
    </row>
    <row r="1471">
      <c r="B1471" s="24" t="str">
        <f>IF(ROW()-ROW($B$8)&gt;nComp,"",ROW()-ROW($B$8))</f>
        <v/>
      </c>
      <c r="C1471" t="str">
        <f>IF($N1471="","",INDEX('_calc'!$A$2:$A$3001,$N1471))</f>
        <v/>
      </c>
      <c r="D1471" s="25" t="str">
        <f>IF($N1471="","",INDEX('_calc'!$C$2:$C$3001,$N1471))</f>
        <v/>
      </c>
      <c r="E1471" s="25" t="str">
        <f>IF($N1471="","",INDEX('_calc'!$D$2:$D$3001,$N1471))</f>
        <v/>
      </c>
      <c r="F1471" s="26" t="str">
        <f>IF($N1471="","",IF($E$8=0,"",E1471/$E$8))</f>
        <v/>
      </c>
      <c r="G1471" s="25" t="str">
        <f>IF($N1471="","",INDEX('_calc'!$E$2:$E$3001,$N1471))</f>
        <v/>
      </c>
      <c r="H1471" s="25" t="str">
        <f>IF($N1471="","",INDEX('_calc'!$F$2:$F$3001,$N1471))</f>
        <v/>
      </c>
      <c r="I1471" s="27" t="str">
        <f>IF($N1471="","",INDEX('_calc'!$H$2:$H$3001,$N1471))</f>
        <v/>
      </c>
      <c r="J1471" s="27" t="str">
        <f>IF($N1471="","",INDEX('_calc'!$I$2:$I$3001,$N1471))</f>
        <v/>
      </c>
      <c r="K1471" s="28" t="str">
        <f>IF($N1471="","",IF(OR(I1471="",J1471=""),"",J1471-I1471))</f>
        <v/>
      </c>
      <c r="L1471" s="29" t="str">
        <f>IF($N1471="","",INDEX('_calc'!$J$2:$J$3001,$N1471))</f>
        <v/>
      </c>
      <c r="M1471" s="2" t="str">
        <f>IF($N1471="","",IF(AND(G1471=0,H1471=0),"수량 없음",IF(G1471=0,"신규 (전년 수량 없음)",IF(H1471=0,"당해 수량 없음",""))))</f>
        <v/>
      </c>
      <c r="N1471" t="str">
        <f>IF($B1471="","",MATCH($B1471,'_calc'!$L$2:$L$3001,0))</f>
        <v/>
      </c>
    </row>
    <row r="1472">
      <c r="B1472" s="24" t="str">
        <f>IF(ROW()-ROW($B$8)&gt;nComp,"",ROW()-ROW($B$8))</f>
        <v/>
      </c>
      <c r="C1472" t="str">
        <f>IF($N1472="","",INDEX('_calc'!$A$2:$A$3001,$N1472))</f>
        <v/>
      </c>
      <c r="D1472" s="25" t="str">
        <f>IF($N1472="","",INDEX('_calc'!$C$2:$C$3001,$N1472))</f>
        <v/>
      </c>
      <c r="E1472" s="25" t="str">
        <f>IF($N1472="","",INDEX('_calc'!$D$2:$D$3001,$N1472))</f>
        <v/>
      </c>
      <c r="F1472" s="26" t="str">
        <f>IF($N1472="","",IF($E$8=0,"",E1472/$E$8))</f>
        <v/>
      </c>
      <c r="G1472" s="25" t="str">
        <f>IF($N1472="","",INDEX('_calc'!$E$2:$E$3001,$N1472))</f>
        <v/>
      </c>
      <c r="H1472" s="25" t="str">
        <f>IF($N1472="","",INDEX('_calc'!$F$2:$F$3001,$N1472))</f>
        <v/>
      </c>
      <c r="I1472" s="27" t="str">
        <f>IF($N1472="","",INDEX('_calc'!$H$2:$H$3001,$N1472))</f>
        <v/>
      </c>
      <c r="J1472" s="27" t="str">
        <f>IF($N1472="","",INDEX('_calc'!$I$2:$I$3001,$N1472))</f>
        <v/>
      </c>
      <c r="K1472" s="28" t="str">
        <f>IF($N1472="","",IF(OR(I1472="",J1472=""),"",J1472-I1472))</f>
        <v/>
      </c>
      <c r="L1472" s="29" t="str">
        <f>IF($N1472="","",INDEX('_calc'!$J$2:$J$3001,$N1472))</f>
        <v/>
      </c>
      <c r="M1472" s="2" t="str">
        <f>IF($N1472="","",IF(AND(G1472=0,H1472=0),"수량 없음",IF(G1472=0,"신규 (전년 수량 없음)",IF(H1472=0,"당해 수량 없음",""))))</f>
        <v/>
      </c>
      <c r="N1472" t="str">
        <f>IF($B1472="","",MATCH($B1472,'_calc'!$L$2:$L$3001,0))</f>
        <v/>
      </c>
    </row>
    <row r="1473">
      <c r="B1473" s="24" t="str">
        <f>IF(ROW()-ROW($B$8)&gt;nComp,"",ROW()-ROW($B$8))</f>
        <v/>
      </c>
      <c r="C1473" t="str">
        <f>IF($N1473="","",INDEX('_calc'!$A$2:$A$3001,$N1473))</f>
        <v/>
      </c>
      <c r="D1473" s="25" t="str">
        <f>IF($N1473="","",INDEX('_calc'!$C$2:$C$3001,$N1473))</f>
        <v/>
      </c>
      <c r="E1473" s="25" t="str">
        <f>IF($N1473="","",INDEX('_calc'!$D$2:$D$3001,$N1473))</f>
        <v/>
      </c>
      <c r="F1473" s="26" t="str">
        <f>IF($N1473="","",IF($E$8=0,"",E1473/$E$8))</f>
        <v/>
      </c>
      <c r="G1473" s="25" t="str">
        <f>IF($N1473="","",INDEX('_calc'!$E$2:$E$3001,$N1473))</f>
        <v/>
      </c>
      <c r="H1473" s="25" t="str">
        <f>IF($N1473="","",INDEX('_calc'!$F$2:$F$3001,$N1473))</f>
        <v/>
      </c>
      <c r="I1473" s="27" t="str">
        <f>IF($N1473="","",INDEX('_calc'!$H$2:$H$3001,$N1473))</f>
        <v/>
      </c>
      <c r="J1473" s="27" t="str">
        <f>IF($N1473="","",INDEX('_calc'!$I$2:$I$3001,$N1473))</f>
        <v/>
      </c>
      <c r="K1473" s="28" t="str">
        <f>IF($N1473="","",IF(OR(I1473="",J1473=""),"",J1473-I1473))</f>
        <v/>
      </c>
      <c r="L1473" s="29" t="str">
        <f>IF($N1473="","",INDEX('_calc'!$J$2:$J$3001,$N1473))</f>
        <v/>
      </c>
      <c r="M1473" s="2" t="str">
        <f>IF($N1473="","",IF(AND(G1473=0,H1473=0),"수량 없음",IF(G1473=0,"신규 (전년 수량 없음)",IF(H1473=0,"당해 수량 없음",""))))</f>
        <v/>
      </c>
      <c r="N1473" t="str">
        <f>IF($B1473="","",MATCH($B1473,'_calc'!$L$2:$L$3001,0))</f>
        <v/>
      </c>
    </row>
    <row r="1474">
      <c r="B1474" s="24" t="str">
        <f>IF(ROW()-ROW($B$8)&gt;nComp,"",ROW()-ROW($B$8))</f>
        <v/>
      </c>
      <c r="C1474" t="str">
        <f>IF($N1474="","",INDEX('_calc'!$A$2:$A$3001,$N1474))</f>
        <v/>
      </c>
      <c r="D1474" s="25" t="str">
        <f>IF($N1474="","",INDEX('_calc'!$C$2:$C$3001,$N1474))</f>
        <v/>
      </c>
      <c r="E1474" s="25" t="str">
        <f>IF($N1474="","",INDEX('_calc'!$D$2:$D$3001,$N1474))</f>
        <v/>
      </c>
      <c r="F1474" s="26" t="str">
        <f>IF($N1474="","",IF($E$8=0,"",E1474/$E$8))</f>
        <v/>
      </c>
      <c r="G1474" s="25" t="str">
        <f>IF($N1474="","",INDEX('_calc'!$E$2:$E$3001,$N1474))</f>
        <v/>
      </c>
      <c r="H1474" s="25" t="str">
        <f>IF($N1474="","",INDEX('_calc'!$F$2:$F$3001,$N1474))</f>
        <v/>
      </c>
      <c r="I1474" s="27" t="str">
        <f>IF($N1474="","",INDEX('_calc'!$H$2:$H$3001,$N1474))</f>
        <v/>
      </c>
      <c r="J1474" s="27" t="str">
        <f>IF($N1474="","",INDEX('_calc'!$I$2:$I$3001,$N1474))</f>
        <v/>
      </c>
      <c r="K1474" s="28" t="str">
        <f>IF($N1474="","",IF(OR(I1474="",J1474=""),"",J1474-I1474))</f>
        <v/>
      </c>
      <c r="L1474" s="29" t="str">
        <f>IF($N1474="","",INDEX('_calc'!$J$2:$J$3001,$N1474))</f>
        <v/>
      </c>
      <c r="M1474" s="2" t="str">
        <f>IF($N1474="","",IF(AND(G1474=0,H1474=0),"수량 없음",IF(G1474=0,"신규 (전년 수량 없음)",IF(H1474=0,"당해 수량 없음",""))))</f>
        <v/>
      </c>
      <c r="N1474" t="str">
        <f>IF($B1474="","",MATCH($B1474,'_calc'!$L$2:$L$3001,0))</f>
        <v/>
      </c>
    </row>
    <row r="1475">
      <c r="B1475" s="24" t="str">
        <f>IF(ROW()-ROW($B$8)&gt;nComp,"",ROW()-ROW($B$8))</f>
        <v/>
      </c>
      <c r="C1475" t="str">
        <f>IF($N1475="","",INDEX('_calc'!$A$2:$A$3001,$N1475))</f>
        <v/>
      </c>
      <c r="D1475" s="25" t="str">
        <f>IF($N1475="","",INDEX('_calc'!$C$2:$C$3001,$N1475))</f>
        <v/>
      </c>
      <c r="E1475" s="25" t="str">
        <f>IF($N1475="","",INDEX('_calc'!$D$2:$D$3001,$N1475))</f>
        <v/>
      </c>
      <c r="F1475" s="26" t="str">
        <f>IF($N1475="","",IF($E$8=0,"",E1475/$E$8))</f>
        <v/>
      </c>
      <c r="G1475" s="25" t="str">
        <f>IF($N1475="","",INDEX('_calc'!$E$2:$E$3001,$N1475))</f>
        <v/>
      </c>
      <c r="H1475" s="25" t="str">
        <f>IF($N1475="","",INDEX('_calc'!$F$2:$F$3001,$N1475))</f>
        <v/>
      </c>
      <c r="I1475" s="27" t="str">
        <f>IF($N1475="","",INDEX('_calc'!$H$2:$H$3001,$N1475))</f>
        <v/>
      </c>
      <c r="J1475" s="27" t="str">
        <f>IF($N1475="","",INDEX('_calc'!$I$2:$I$3001,$N1475))</f>
        <v/>
      </c>
      <c r="K1475" s="28" t="str">
        <f>IF($N1475="","",IF(OR(I1475="",J1475=""),"",J1475-I1475))</f>
        <v/>
      </c>
      <c r="L1475" s="29" t="str">
        <f>IF($N1475="","",INDEX('_calc'!$J$2:$J$3001,$N1475))</f>
        <v/>
      </c>
      <c r="M1475" s="2" t="str">
        <f>IF($N1475="","",IF(AND(G1475=0,H1475=0),"수량 없음",IF(G1475=0,"신규 (전년 수량 없음)",IF(H1475=0,"당해 수량 없음",""))))</f>
        <v/>
      </c>
      <c r="N1475" t="str">
        <f>IF($B1475="","",MATCH($B1475,'_calc'!$L$2:$L$3001,0))</f>
        <v/>
      </c>
    </row>
    <row r="1476">
      <c r="B1476" s="24" t="str">
        <f>IF(ROW()-ROW($B$8)&gt;nComp,"",ROW()-ROW($B$8))</f>
        <v/>
      </c>
      <c r="C1476" t="str">
        <f>IF($N1476="","",INDEX('_calc'!$A$2:$A$3001,$N1476))</f>
        <v/>
      </c>
      <c r="D1476" s="25" t="str">
        <f>IF($N1476="","",INDEX('_calc'!$C$2:$C$3001,$N1476))</f>
        <v/>
      </c>
      <c r="E1476" s="25" t="str">
        <f>IF($N1476="","",INDEX('_calc'!$D$2:$D$3001,$N1476))</f>
        <v/>
      </c>
      <c r="F1476" s="26" t="str">
        <f>IF($N1476="","",IF($E$8=0,"",E1476/$E$8))</f>
        <v/>
      </c>
      <c r="G1476" s="25" t="str">
        <f>IF($N1476="","",INDEX('_calc'!$E$2:$E$3001,$N1476))</f>
        <v/>
      </c>
      <c r="H1476" s="25" t="str">
        <f>IF($N1476="","",INDEX('_calc'!$F$2:$F$3001,$N1476))</f>
        <v/>
      </c>
      <c r="I1476" s="27" t="str">
        <f>IF($N1476="","",INDEX('_calc'!$H$2:$H$3001,$N1476))</f>
        <v/>
      </c>
      <c r="J1476" s="27" t="str">
        <f>IF($N1476="","",INDEX('_calc'!$I$2:$I$3001,$N1476))</f>
        <v/>
      </c>
      <c r="K1476" s="28" t="str">
        <f>IF($N1476="","",IF(OR(I1476="",J1476=""),"",J1476-I1476))</f>
        <v/>
      </c>
      <c r="L1476" s="29" t="str">
        <f>IF($N1476="","",INDEX('_calc'!$J$2:$J$3001,$N1476))</f>
        <v/>
      </c>
      <c r="M1476" s="2" t="str">
        <f>IF($N1476="","",IF(AND(G1476=0,H1476=0),"수량 없음",IF(G1476=0,"신규 (전년 수량 없음)",IF(H1476=0,"당해 수량 없음",""))))</f>
        <v/>
      </c>
      <c r="N1476" t="str">
        <f>IF($B1476="","",MATCH($B1476,'_calc'!$L$2:$L$3001,0))</f>
        <v/>
      </c>
    </row>
    <row r="1477">
      <c r="B1477" s="24" t="str">
        <f>IF(ROW()-ROW($B$8)&gt;nComp,"",ROW()-ROW($B$8))</f>
        <v/>
      </c>
      <c r="C1477" t="str">
        <f>IF($N1477="","",INDEX('_calc'!$A$2:$A$3001,$N1477))</f>
        <v/>
      </c>
      <c r="D1477" s="25" t="str">
        <f>IF($N1477="","",INDEX('_calc'!$C$2:$C$3001,$N1477))</f>
        <v/>
      </c>
      <c r="E1477" s="25" t="str">
        <f>IF($N1477="","",INDEX('_calc'!$D$2:$D$3001,$N1477))</f>
        <v/>
      </c>
      <c r="F1477" s="26" t="str">
        <f>IF($N1477="","",IF($E$8=0,"",E1477/$E$8))</f>
        <v/>
      </c>
      <c r="G1477" s="25" t="str">
        <f>IF($N1477="","",INDEX('_calc'!$E$2:$E$3001,$N1477))</f>
        <v/>
      </c>
      <c r="H1477" s="25" t="str">
        <f>IF($N1477="","",INDEX('_calc'!$F$2:$F$3001,$N1477))</f>
        <v/>
      </c>
      <c r="I1477" s="27" t="str">
        <f>IF($N1477="","",INDEX('_calc'!$H$2:$H$3001,$N1477))</f>
        <v/>
      </c>
      <c r="J1477" s="27" t="str">
        <f>IF($N1477="","",INDEX('_calc'!$I$2:$I$3001,$N1477))</f>
        <v/>
      </c>
      <c r="K1477" s="28" t="str">
        <f>IF($N1477="","",IF(OR(I1477="",J1477=""),"",J1477-I1477))</f>
        <v/>
      </c>
      <c r="L1477" s="29" t="str">
        <f>IF($N1477="","",INDEX('_calc'!$J$2:$J$3001,$N1477))</f>
        <v/>
      </c>
      <c r="M1477" s="2" t="str">
        <f>IF($N1477="","",IF(AND(G1477=0,H1477=0),"수량 없음",IF(G1477=0,"신규 (전년 수량 없음)",IF(H1477=0,"당해 수량 없음",""))))</f>
        <v/>
      </c>
      <c r="N1477" t="str">
        <f>IF($B1477="","",MATCH($B1477,'_calc'!$L$2:$L$3001,0))</f>
        <v/>
      </c>
    </row>
    <row r="1478">
      <c r="B1478" s="24" t="str">
        <f>IF(ROW()-ROW($B$8)&gt;nComp,"",ROW()-ROW($B$8))</f>
        <v/>
      </c>
      <c r="C1478" t="str">
        <f>IF($N1478="","",INDEX('_calc'!$A$2:$A$3001,$N1478))</f>
        <v/>
      </c>
      <c r="D1478" s="25" t="str">
        <f>IF($N1478="","",INDEX('_calc'!$C$2:$C$3001,$N1478))</f>
        <v/>
      </c>
      <c r="E1478" s="25" t="str">
        <f>IF($N1478="","",INDEX('_calc'!$D$2:$D$3001,$N1478))</f>
        <v/>
      </c>
      <c r="F1478" s="26" t="str">
        <f>IF($N1478="","",IF($E$8=0,"",E1478/$E$8))</f>
        <v/>
      </c>
      <c r="G1478" s="25" t="str">
        <f>IF($N1478="","",INDEX('_calc'!$E$2:$E$3001,$N1478))</f>
        <v/>
      </c>
      <c r="H1478" s="25" t="str">
        <f>IF($N1478="","",INDEX('_calc'!$F$2:$F$3001,$N1478))</f>
        <v/>
      </c>
      <c r="I1478" s="27" t="str">
        <f>IF($N1478="","",INDEX('_calc'!$H$2:$H$3001,$N1478))</f>
        <v/>
      </c>
      <c r="J1478" s="27" t="str">
        <f>IF($N1478="","",INDEX('_calc'!$I$2:$I$3001,$N1478))</f>
        <v/>
      </c>
      <c r="K1478" s="28" t="str">
        <f>IF($N1478="","",IF(OR(I1478="",J1478=""),"",J1478-I1478))</f>
        <v/>
      </c>
      <c r="L1478" s="29" t="str">
        <f>IF($N1478="","",INDEX('_calc'!$J$2:$J$3001,$N1478))</f>
        <v/>
      </c>
      <c r="M1478" s="2" t="str">
        <f>IF($N1478="","",IF(AND(G1478=0,H1478=0),"수량 없음",IF(G1478=0,"신규 (전년 수량 없음)",IF(H1478=0,"당해 수량 없음",""))))</f>
        <v/>
      </c>
      <c r="N1478" t="str">
        <f>IF($B1478="","",MATCH($B1478,'_calc'!$L$2:$L$3001,0))</f>
        <v/>
      </c>
    </row>
    <row r="1479">
      <c r="B1479" s="24" t="str">
        <f>IF(ROW()-ROW($B$8)&gt;nComp,"",ROW()-ROW($B$8))</f>
        <v/>
      </c>
      <c r="C1479" t="str">
        <f>IF($N1479="","",INDEX('_calc'!$A$2:$A$3001,$N1479))</f>
        <v/>
      </c>
      <c r="D1479" s="25" t="str">
        <f>IF($N1479="","",INDEX('_calc'!$C$2:$C$3001,$N1479))</f>
        <v/>
      </c>
      <c r="E1479" s="25" t="str">
        <f>IF($N1479="","",INDEX('_calc'!$D$2:$D$3001,$N1479))</f>
        <v/>
      </c>
      <c r="F1479" s="26" t="str">
        <f>IF($N1479="","",IF($E$8=0,"",E1479/$E$8))</f>
        <v/>
      </c>
      <c r="G1479" s="25" t="str">
        <f>IF($N1479="","",INDEX('_calc'!$E$2:$E$3001,$N1479))</f>
        <v/>
      </c>
      <c r="H1479" s="25" t="str">
        <f>IF($N1479="","",INDEX('_calc'!$F$2:$F$3001,$N1479))</f>
        <v/>
      </c>
      <c r="I1479" s="27" t="str">
        <f>IF($N1479="","",INDEX('_calc'!$H$2:$H$3001,$N1479))</f>
        <v/>
      </c>
      <c r="J1479" s="27" t="str">
        <f>IF($N1479="","",INDEX('_calc'!$I$2:$I$3001,$N1479))</f>
        <v/>
      </c>
      <c r="K1479" s="28" t="str">
        <f>IF($N1479="","",IF(OR(I1479="",J1479=""),"",J1479-I1479))</f>
        <v/>
      </c>
      <c r="L1479" s="29" t="str">
        <f>IF($N1479="","",INDEX('_calc'!$J$2:$J$3001,$N1479))</f>
        <v/>
      </c>
      <c r="M1479" s="2" t="str">
        <f>IF($N1479="","",IF(AND(G1479=0,H1479=0),"수량 없음",IF(G1479=0,"신규 (전년 수량 없음)",IF(H1479=0,"당해 수량 없음",""))))</f>
        <v/>
      </c>
      <c r="N1479" t="str">
        <f>IF($B1479="","",MATCH($B1479,'_calc'!$L$2:$L$3001,0))</f>
        <v/>
      </c>
    </row>
    <row r="1480">
      <c r="B1480" s="24" t="str">
        <f>IF(ROW()-ROW($B$8)&gt;nComp,"",ROW()-ROW($B$8))</f>
        <v/>
      </c>
      <c r="C1480" t="str">
        <f>IF($N1480="","",INDEX('_calc'!$A$2:$A$3001,$N1480))</f>
        <v/>
      </c>
      <c r="D1480" s="25" t="str">
        <f>IF($N1480="","",INDEX('_calc'!$C$2:$C$3001,$N1480))</f>
        <v/>
      </c>
      <c r="E1480" s="25" t="str">
        <f>IF($N1480="","",INDEX('_calc'!$D$2:$D$3001,$N1480))</f>
        <v/>
      </c>
      <c r="F1480" s="26" t="str">
        <f>IF($N1480="","",IF($E$8=0,"",E1480/$E$8))</f>
        <v/>
      </c>
      <c r="G1480" s="25" t="str">
        <f>IF($N1480="","",INDEX('_calc'!$E$2:$E$3001,$N1480))</f>
        <v/>
      </c>
      <c r="H1480" s="25" t="str">
        <f>IF($N1480="","",INDEX('_calc'!$F$2:$F$3001,$N1480))</f>
        <v/>
      </c>
      <c r="I1480" s="27" t="str">
        <f>IF($N1480="","",INDEX('_calc'!$H$2:$H$3001,$N1480))</f>
        <v/>
      </c>
      <c r="J1480" s="27" t="str">
        <f>IF($N1480="","",INDEX('_calc'!$I$2:$I$3001,$N1480))</f>
        <v/>
      </c>
      <c r="K1480" s="28" t="str">
        <f>IF($N1480="","",IF(OR(I1480="",J1480=""),"",J1480-I1480))</f>
        <v/>
      </c>
      <c r="L1480" s="29" t="str">
        <f>IF($N1480="","",INDEX('_calc'!$J$2:$J$3001,$N1480))</f>
        <v/>
      </c>
      <c r="M1480" s="2" t="str">
        <f>IF($N1480="","",IF(AND(G1480=0,H1480=0),"수량 없음",IF(G1480=0,"신규 (전년 수량 없음)",IF(H1480=0,"당해 수량 없음",""))))</f>
        <v/>
      </c>
      <c r="N1480" t="str">
        <f>IF($B1480="","",MATCH($B1480,'_calc'!$L$2:$L$3001,0))</f>
        <v/>
      </c>
    </row>
    <row r="1481">
      <c r="B1481" s="24" t="str">
        <f>IF(ROW()-ROW($B$8)&gt;nComp,"",ROW()-ROW($B$8))</f>
        <v/>
      </c>
      <c r="C1481" t="str">
        <f>IF($N1481="","",INDEX('_calc'!$A$2:$A$3001,$N1481))</f>
        <v/>
      </c>
      <c r="D1481" s="25" t="str">
        <f>IF($N1481="","",INDEX('_calc'!$C$2:$C$3001,$N1481))</f>
        <v/>
      </c>
      <c r="E1481" s="25" t="str">
        <f>IF($N1481="","",INDEX('_calc'!$D$2:$D$3001,$N1481))</f>
        <v/>
      </c>
      <c r="F1481" s="26" t="str">
        <f>IF($N1481="","",IF($E$8=0,"",E1481/$E$8))</f>
        <v/>
      </c>
      <c r="G1481" s="25" t="str">
        <f>IF($N1481="","",INDEX('_calc'!$E$2:$E$3001,$N1481))</f>
        <v/>
      </c>
      <c r="H1481" s="25" t="str">
        <f>IF($N1481="","",INDEX('_calc'!$F$2:$F$3001,$N1481))</f>
        <v/>
      </c>
      <c r="I1481" s="27" t="str">
        <f>IF($N1481="","",INDEX('_calc'!$H$2:$H$3001,$N1481))</f>
        <v/>
      </c>
      <c r="J1481" s="27" t="str">
        <f>IF($N1481="","",INDEX('_calc'!$I$2:$I$3001,$N1481))</f>
        <v/>
      </c>
      <c r="K1481" s="28" t="str">
        <f>IF($N1481="","",IF(OR(I1481="",J1481=""),"",J1481-I1481))</f>
        <v/>
      </c>
      <c r="L1481" s="29" t="str">
        <f>IF($N1481="","",INDEX('_calc'!$J$2:$J$3001,$N1481))</f>
        <v/>
      </c>
      <c r="M1481" s="2" t="str">
        <f>IF($N1481="","",IF(AND(G1481=0,H1481=0),"수량 없음",IF(G1481=0,"신규 (전년 수량 없음)",IF(H1481=0,"당해 수량 없음",""))))</f>
        <v/>
      </c>
      <c r="N1481" t="str">
        <f>IF($B1481="","",MATCH($B1481,'_calc'!$L$2:$L$3001,0))</f>
        <v/>
      </c>
    </row>
    <row r="1482">
      <c r="B1482" s="24" t="str">
        <f>IF(ROW()-ROW($B$8)&gt;nComp,"",ROW()-ROW($B$8))</f>
        <v/>
      </c>
      <c r="C1482" t="str">
        <f>IF($N1482="","",INDEX('_calc'!$A$2:$A$3001,$N1482))</f>
        <v/>
      </c>
      <c r="D1482" s="25" t="str">
        <f>IF($N1482="","",INDEX('_calc'!$C$2:$C$3001,$N1482))</f>
        <v/>
      </c>
      <c r="E1482" s="25" t="str">
        <f>IF($N1482="","",INDEX('_calc'!$D$2:$D$3001,$N1482))</f>
        <v/>
      </c>
      <c r="F1482" s="26" t="str">
        <f>IF($N1482="","",IF($E$8=0,"",E1482/$E$8))</f>
        <v/>
      </c>
      <c r="G1482" s="25" t="str">
        <f>IF($N1482="","",INDEX('_calc'!$E$2:$E$3001,$N1482))</f>
        <v/>
      </c>
      <c r="H1482" s="25" t="str">
        <f>IF($N1482="","",INDEX('_calc'!$F$2:$F$3001,$N1482))</f>
        <v/>
      </c>
      <c r="I1482" s="27" t="str">
        <f>IF($N1482="","",INDEX('_calc'!$H$2:$H$3001,$N1482))</f>
        <v/>
      </c>
      <c r="J1482" s="27" t="str">
        <f>IF($N1482="","",INDEX('_calc'!$I$2:$I$3001,$N1482))</f>
        <v/>
      </c>
      <c r="K1482" s="28" t="str">
        <f>IF($N1482="","",IF(OR(I1482="",J1482=""),"",J1482-I1482))</f>
        <v/>
      </c>
      <c r="L1482" s="29" t="str">
        <f>IF($N1482="","",INDEX('_calc'!$J$2:$J$3001,$N1482))</f>
        <v/>
      </c>
      <c r="M1482" s="2" t="str">
        <f>IF($N1482="","",IF(AND(G1482=0,H1482=0),"수량 없음",IF(G1482=0,"신규 (전년 수량 없음)",IF(H1482=0,"당해 수량 없음",""))))</f>
        <v/>
      </c>
      <c r="N1482" t="str">
        <f>IF($B1482="","",MATCH($B1482,'_calc'!$L$2:$L$3001,0))</f>
        <v/>
      </c>
    </row>
    <row r="1483">
      <c r="B1483" s="24" t="str">
        <f>IF(ROW()-ROW($B$8)&gt;nComp,"",ROW()-ROW($B$8))</f>
        <v/>
      </c>
      <c r="C1483" t="str">
        <f>IF($N1483="","",INDEX('_calc'!$A$2:$A$3001,$N1483))</f>
        <v/>
      </c>
      <c r="D1483" s="25" t="str">
        <f>IF($N1483="","",INDEX('_calc'!$C$2:$C$3001,$N1483))</f>
        <v/>
      </c>
      <c r="E1483" s="25" t="str">
        <f>IF($N1483="","",INDEX('_calc'!$D$2:$D$3001,$N1483))</f>
        <v/>
      </c>
      <c r="F1483" s="26" t="str">
        <f>IF($N1483="","",IF($E$8=0,"",E1483/$E$8))</f>
        <v/>
      </c>
      <c r="G1483" s="25" t="str">
        <f>IF($N1483="","",INDEX('_calc'!$E$2:$E$3001,$N1483))</f>
        <v/>
      </c>
      <c r="H1483" s="25" t="str">
        <f>IF($N1483="","",INDEX('_calc'!$F$2:$F$3001,$N1483))</f>
        <v/>
      </c>
      <c r="I1483" s="27" t="str">
        <f>IF($N1483="","",INDEX('_calc'!$H$2:$H$3001,$N1483))</f>
        <v/>
      </c>
      <c r="J1483" s="27" t="str">
        <f>IF($N1483="","",INDEX('_calc'!$I$2:$I$3001,$N1483))</f>
        <v/>
      </c>
      <c r="K1483" s="28" t="str">
        <f>IF($N1483="","",IF(OR(I1483="",J1483=""),"",J1483-I1483))</f>
        <v/>
      </c>
      <c r="L1483" s="29" t="str">
        <f>IF($N1483="","",INDEX('_calc'!$J$2:$J$3001,$N1483))</f>
        <v/>
      </c>
      <c r="M1483" s="2" t="str">
        <f>IF($N1483="","",IF(AND(G1483=0,H1483=0),"수량 없음",IF(G1483=0,"신규 (전년 수량 없음)",IF(H1483=0,"당해 수량 없음",""))))</f>
        <v/>
      </c>
      <c r="N1483" t="str">
        <f>IF($B1483="","",MATCH($B1483,'_calc'!$L$2:$L$3001,0))</f>
        <v/>
      </c>
    </row>
    <row r="1484">
      <c r="B1484" s="24" t="str">
        <f>IF(ROW()-ROW($B$8)&gt;nComp,"",ROW()-ROW($B$8))</f>
        <v/>
      </c>
      <c r="C1484" t="str">
        <f>IF($N1484="","",INDEX('_calc'!$A$2:$A$3001,$N1484))</f>
        <v/>
      </c>
      <c r="D1484" s="25" t="str">
        <f>IF($N1484="","",INDEX('_calc'!$C$2:$C$3001,$N1484))</f>
        <v/>
      </c>
      <c r="E1484" s="25" t="str">
        <f>IF($N1484="","",INDEX('_calc'!$D$2:$D$3001,$N1484))</f>
        <v/>
      </c>
      <c r="F1484" s="26" t="str">
        <f>IF($N1484="","",IF($E$8=0,"",E1484/$E$8))</f>
        <v/>
      </c>
      <c r="G1484" s="25" t="str">
        <f>IF($N1484="","",INDEX('_calc'!$E$2:$E$3001,$N1484))</f>
        <v/>
      </c>
      <c r="H1484" s="25" t="str">
        <f>IF($N1484="","",INDEX('_calc'!$F$2:$F$3001,$N1484))</f>
        <v/>
      </c>
      <c r="I1484" s="27" t="str">
        <f>IF($N1484="","",INDEX('_calc'!$H$2:$H$3001,$N1484))</f>
        <v/>
      </c>
      <c r="J1484" s="27" t="str">
        <f>IF($N1484="","",INDEX('_calc'!$I$2:$I$3001,$N1484))</f>
        <v/>
      </c>
      <c r="K1484" s="28" t="str">
        <f>IF($N1484="","",IF(OR(I1484="",J1484=""),"",J1484-I1484))</f>
        <v/>
      </c>
      <c r="L1484" s="29" t="str">
        <f>IF($N1484="","",INDEX('_calc'!$J$2:$J$3001,$N1484))</f>
        <v/>
      </c>
      <c r="M1484" s="2" t="str">
        <f>IF($N1484="","",IF(AND(G1484=0,H1484=0),"수량 없음",IF(G1484=0,"신규 (전년 수량 없음)",IF(H1484=0,"당해 수량 없음",""))))</f>
        <v/>
      </c>
      <c r="N1484" t="str">
        <f>IF($B1484="","",MATCH($B1484,'_calc'!$L$2:$L$3001,0))</f>
        <v/>
      </c>
    </row>
    <row r="1485">
      <c r="B1485" s="24" t="str">
        <f>IF(ROW()-ROW($B$8)&gt;nComp,"",ROW()-ROW($B$8))</f>
        <v/>
      </c>
      <c r="C1485" t="str">
        <f>IF($N1485="","",INDEX('_calc'!$A$2:$A$3001,$N1485))</f>
        <v/>
      </c>
      <c r="D1485" s="25" t="str">
        <f>IF($N1485="","",INDEX('_calc'!$C$2:$C$3001,$N1485))</f>
        <v/>
      </c>
      <c r="E1485" s="25" t="str">
        <f>IF($N1485="","",INDEX('_calc'!$D$2:$D$3001,$N1485))</f>
        <v/>
      </c>
      <c r="F1485" s="26" t="str">
        <f>IF($N1485="","",IF($E$8=0,"",E1485/$E$8))</f>
        <v/>
      </c>
      <c r="G1485" s="25" t="str">
        <f>IF($N1485="","",INDEX('_calc'!$E$2:$E$3001,$N1485))</f>
        <v/>
      </c>
      <c r="H1485" s="25" t="str">
        <f>IF($N1485="","",INDEX('_calc'!$F$2:$F$3001,$N1485))</f>
        <v/>
      </c>
      <c r="I1485" s="27" t="str">
        <f>IF($N1485="","",INDEX('_calc'!$H$2:$H$3001,$N1485))</f>
        <v/>
      </c>
      <c r="J1485" s="27" t="str">
        <f>IF($N1485="","",INDEX('_calc'!$I$2:$I$3001,$N1485))</f>
        <v/>
      </c>
      <c r="K1485" s="28" t="str">
        <f>IF($N1485="","",IF(OR(I1485="",J1485=""),"",J1485-I1485))</f>
        <v/>
      </c>
      <c r="L1485" s="29" t="str">
        <f>IF($N1485="","",INDEX('_calc'!$J$2:$J$3001,$N1485))</f>
        <v/>
      </c>
      <c r="M1485" s="2" t="str">
        <f>IF($N1485="","",IF(AND(G1485=0,H1485=0),"수량 없음",IF(G1485=0,"신규 (전년 수량 없음)",IF(H1485=0,"당해 수량 없음",""))))</f>
        <v/>
      </c>
      <c r="N1485" t="str">
        <f>IF($B1485="","",MATCH($B1485,'_calc'!$L$2:$L$3001,0))</f>
        <v/>
      </c>
    </row>
    <row r="1486">
      <c r="B1486" s="24" t="str">
        <f>IF(ROW()-ROW($B$8)&gt;nComp,"",ROW()-ROW($B$8))</f>
        <v/>
      </c>
      <c r="C1486" t="str">
        <f>IF($N1486="","",INDEX('_calc'!$A$2:$A$3001,$N1486))</f>
        <v/>
      </c>
      <c r="D1486" s="25" t="str">
        <f>IF($N1486="","",INDEX('_calc'!$C$2:$C$3001,$N1486))</f>
        <v/>
      </c>
      <c r="E1486" s="25" t="str">
        <f>IF($N1486="","",INDEX('_calc'!$D$2:$D$3001,$N1486))</f>
        <v/>
      </c>
      <c r="F1486" s="26" t="str">
        <f>IF($N1486="","",IF($E$8=0,"",E1486/$E$8))</f>
        <v/>
      </c>
      <c r="G1486" s="25" t="str">
        <f>IF($N1486="","",INDEX('_calc'!$E$2:$E$3001,$N1486))</f>
        <v/>
      </c>
      <c r="H1486" s="25" t="str">
        <f>IF($N1486="","",INDEX('_calc'!$F$2:$F$3001,$N1486))</f>
        <v/>
      </c>
      <c r="I1486" s="27" t="str">
        <f>IF($N1486="","",INDEX('_calc'!$H$2:$H$3001,$N1486))</f>
        <v/>
      </c>
      <c r="J1486" s="27" t="str">
        <f>IF($N1486="","",INDEX('_calc'!$I$2:$I$3001,$N1486))</f>
        <v/>
      </c>
      <c r="K1486" s="28" t="str">
        <f>IF($N1486="","",IF(OR(I1486="",J1486=""),"",J1486-I1486))</f>
        <v/>
      </c>
      <c r="L1486" s="29" t="str">
        <f>IF($N1486="","",INDEX('_calc'!$J$2:$J$3001,$N1486))</f>
        <v/>
      </c>
      <c r="M1486" s="2" t="str">
        <f>IF($N1486="","",IF(AND(G1486=0,H1486=0),"수량 없음",IF(G1486=0,"신규 (전년 수량 없음)",IF(H1486=0,"당해 수량 없음",""))))</f>
        <v/>
      </c>
      <c r="N1486" t="str">
        <f>IF($B1486="","",MATCH($B1486,'_calc'!$L$2:$L$3001,0))</f>
        <v/>
      </c>
    </row>
    <row r="1487">
      <c r="B1487" s="24" t="str">
        <f>IF(ROW()-ROW($B$8)&gt;nComp,"",ROW()-ROW($B$8))</f>
        <v/>
      </c>
      <c r="C1487" t="str">
        <f>IF($N1487="","",INDEX('_calc'!$A$2:$A$3001,$N1487))</f>
        <v/>
      </c>
      <c r="D1487" s="25" t="str">
        <f>IF($N1487="","",INDEX('_calc'!$C$2:$C$3001,$N1487))</f>
        <v/>
      </c>
      <c r="E1487" s="25" t="str">
        <f>IF($N1487="","",INDEX('_calc'!$D$2:$D$3001,$N1487))</f>
        <v/>
      </c>
      <c r="F1487" s="26" t="str">
        <f>IF($N1487="","",IF($E$8=0,"",E1487/$E$8))</f>
        <v/>
      </c>
      <c r="G1487" s="25" t="str">
        <f>IF($N1487="","",INDEX('_calc'!$E$2:$E$3001,$N1487))</f>
        <v/>
      </c>
      <c r="H1487" s="25" t="str">
        <f>IF($N1487="","",INDEX('_calc'!$F$2:$F$3001,$N1487))</f>
        <v/>
      </c>
      <c r="I1487" s="27" t="str">
        <f>IF($N1487="","",INDEX('_calc'!$H$2:$H$3001,$N1487))</f>
        <v/>
      </c>
      <c r="J1487" s="27" t="str">
        <f>IF($N1487="","",INDEX('_calc'!$I$2:$I$3001,$N1487))</f>
        <v/>
      </c>
      <c r="K1487" s="28" t="str">
        <f>IF($N1487="","",IF(OR(I1487="",J1487=""),"",J1487-I1487))</f>
        <v/>
      </c>
      <c r="L1487" s="29" t="str">
        <f>IF($N1487="","",INDEX('_calc'!$J$2:$J$3001,$N1487))</f>
        <v/>
      </c>
      <c r="M1487" s="2" t="str">
        <f>IF($N1487="","",IF(AND(G1487=0,H1487=0),"수량 없음",IF(G1487=0,"신규 (전년 수량 없음)",IF(H1487=0,"당해 수량 없음",""))))</f>
        <v/>
      </c>
      <c r="N1487" t="str">
        <f>IF($B1487="","",MATCH($B1487,'_calc'!$L$2:$L$3001,0))</f>
        <v/>
      </c>
    </row>
    <row r="1488">
      <c r="B1488" s="24" t="str">
        <f>IF(ROW()-ROW($B$8)&gt;nComp,"",ROW()-ROW($B$8))</f>
        <v/>
      </c>
      <c r="C1488" t="str">
        <f>IF($N1488="","",INDEX('_calc'!$A$2:$A$3001,$N1488))</f>
        <v/>
      </c>
      <c r="D1488" s="25" t="str">
        <f>IF($N1488="","",INDEX('_calc'!$C$2:$C$3001,$N1488))</f>
        <v/>
      </c>
      <c r="E1488" s="25" t="str">
        <f>IF($N1488="","",INDEX('_calc'!$D$2:$D$3001,$N1488))</f>
        <v/>
      </c>
      <c r="F1488" s="26" t="str">
        <f>IF($N1488="","",IF($E$8=0,"",E1488/$E$8))</f>
        <v/>
      </c>
      <c r="G1488" s="25" t="str">
        <f>IF($N1488="","",INDEX('_calc'!$E$2:$E$3001,$N1488))</f>
        <v/>
      </c>
      <c r="H1488" s="25" t="str">
        <f>IF($N1488="","",INDEX('_calc'!$F$2:$F$3001,$N1488))</f>
        <v/>
      </c>
      <c r="I1488" s="27" t="str">
        <f>IF($N1488="","",INDEX('_calc'!$H$2:$H$3001,$N1488))</f>
        <v/>
      </c>
      <c r="J1488" s="27" t="str">
        <f>IF($N1488="","",INDEX('_calc'!$I$2:$I$3001,$N1488))</f>
        <v/>
      </c>
      <c r="K1488" s="28" t="str">
        <f>IF($N1488="","",IF(OR(I1488="",J1488=""),"",J1488-I1488))</f>
        <v/>
      </c>
      <c r="L1488" s="29" t="str">
        <f>IF($N1488="","",INDEX('_calc'!$J$2:$J$3001,$N1488))</f>
        <v/>
      </c>
      <c r="M1488" s="2" t="str">
        <f>IF($N1488="","",IF(AND(G1488=0,H1488=0),"수량 없음",IF(G1488=0,"신규 (전년 수량 없음)",IF(H1488=0,"당해 수량 없음",""))))</f>
        <v/>
      </c>
      <c r="N1488" t="str">
        <f>IF($B1488="","",MATCH($B1488,'_calc'!$L$2:$L$3001,0))</f>
        <v/>
      </c>
    </row>
    <row r="1489">
      <c r="B1489" s="24" t="str">
        <f>IF(ROW()-ROW($B$8)&gt;nComp,"",ROW()-ROW($B$8))</f>
        <v/>
      </c>
      <c r="C1489" t="str">
        <f>IF($N1489="","",INDEX('_calc'!$A$2:$A$3001,$N1489))</f>
        <v/>
      </c>
      <c r="D1489" s="25" t="str">
        <f>IF($N1489="","",INDEX('_calc'!$C$2:$C$3001,$N1489))</f>
        <v/>
      </c>
      <c r="E1489" s="25" t="str">
        <f>IF($N1489="","",INDEX('_calc'!$D$2:$D$3001,$N1489))</f>
        <v/>
      </c>
      <c r="F1489" s="26" t="str">
        <f>IF($N1489="","",IF($E$8=0,"",E1489/$E$8))</f>
        <v/>
      </c>
      <c r="G1489" s="25" t="str">
        <f>IF($N1489="","",INDEX('_calc'!$E$2:$E$3001,$N1489))</f>
        <v/>
      </c>
      <c r="H1489" s="25" t="str">
        <f>IF($N1489="","",INDEX('_calc'!$F$2:$F$3001,$N1489))</f>
        <v/>
      </c>
      <c r="I1489" s="27" t="str">
        <f>IF($N1489="","",INDEX('_calc'!$H$2:$H$3001,$N1489))</f>
        <v/>
      </c>
      <c r="J1489" s="27" t="str">
        <f>IF($N1489="","",INDEX('_calc'!$I$2:$I$3001,$N1489))</f>
        <v/>
      </c>
      <c r="K1489" s="28" t="str">
        <f>IF($N1489="","",IF(OR(I1489="",J1489=""),"",J1489-I1489))</f>
        <v/>
      </c>
      <c r="L1489" s="29" t="str">
        <f>IF($N1489="","",INDEX('_calc'!$J$2:$J$3001,$N1489))</f>
        <v/>
      </c>
      <c r="M1489" s="2" t="str">
        <f>IF($N1489="","",IF(AND(G1489=0,H1489=0),"수량 없음",IF(G1489=0,"신규 (전년 수량 없음)",IF(H1489=0,"당해 수량 없음",""))))</f>
        <v/>
      </c>
      <c r="N1489" t="str">
        <f>IF($B1489="","",MATCH($B1489,'_calc'!$L$2:$L$3001,0))</f>
        <v/>
      </c>
    </row>
    <row r="1490">
      <c r="B1490" s="24" t="str">
        <f>IF(ROW()-ROW($B$8)&gt;nComp,"",ROW()-ROW($B$8))</f>
        <v/>
      </c>
      <c r="C1490" t="str">
        <f>IF($N1490="","",INDEX('_calc'!$A$2:$A$3001,$N1490))</f>
        <v/>
      </c>
      <c r="D1490" s="25" t="str">
        <f>IF($N1490="","",INDEX('_calc'!$C$2:$C$3001,$N1490))</f>
        <v/>
      </c>
      <c r="E1490" s="25" t="str">
        <f>IF($N1490="","",INDEX('_calc'!$D$2:$D$3001,$N1490))</f>
        <v/>
      </c>
      <c r="F1490" s="26" t="str">
        <f>IF($N1490="","",IF($E$8=0,"",E1490/$E$8))</f>
        <v/>
      </c>
      <c r="G1490" s="25" t="str">
        <f>IF($N1490="","",INDEX('_calc'!$E$2:$E$3001,$N1490))</f>
        <v/>
      </c>
      <c r="H1490" s="25" t="str">
        <f>IF($N1490="","",INDEX('_calc'!$F$2:$F$3001,$N1490))</f>
        <v/>
      </c>
      <c r="I1490" s="27" t="str">
        <f>IF($N1490="","",INDEX('_calc'!$H$2:$H$3001,$N1490))</f>
        <v/>
      </c>
      <c r="J1490" s="27" t="str">
        <f>IF($N1490="","",INDEX('_calc'!$I$2:$I$3001,$N1490))</f>
        <v/>
      </c>
      <c r="K1490" s="28" t="str">
        <f>IF($N1490="","",IF(OR(I1490="",J1490=""),"",J1490-I1490))</f>
        <v/>
      </c>
      <c r="L1490" s="29" t="str">
        <f>IF($N1490="","",INDEX('_calc'!$J$2:$J$3001,$N1490))</f>
        <v/>
      </c>
      <c r="M1490" s="2" t="str">
        <f>IF($N1490="","",IF(AND(G1490=0,H1490=0),"수량 없음",IF(G1490=0,"신규 (전년 수량 없음)",IF(H1490=0,"당해 수량 없음",""))))</f>
        <v/>
      </c>
      <c r="N1490" t="str">
        <f>IF($B1490="","",MATCH($B1490,'_calc'!$L$2:$L$3001,0))</f>
        <v/>
      </c>
    </row>
    <row r="1491">
      <c r="B1491" s="24" t="str">
        <f>IF(ROW()-ROW($B$8)&gt;nComp,"",ROW()-ROW($B$8))</f>
        <v/>
      </c>
      <c r="C1491" t="str">
        <f>IF($N1491="","",INDEX('_calc'!$A$2:$A$3001,$N1491))</f>
        <v/>
      </c>
      <c r="D1491" s="25" t="str">
        <f>IF($N1491="","",INDEX('_calc'!$C$2:$C$3001,$N1491))</f>
        <v/>
      </c>
      <c r="E1491" s="25" t="str">
        <f>IF($N1491="","",INDEX('_calc'!$D$2:$D$3001,$N1491))</f>
        <v/>
      </c>
      <c r="F1491" s="26" t="str">
        <f>IF($N1491="","",IF($E$8=0,"",E1491/$E$8))</f>
        <v/>
      </c>
      <c r="G1491" s="25" t="str">
        <f>IF($N1491="","",INDEX('_calc'!$E$2:$E$3001,$N1491))</f>
        <v/>
      </c>
      <c r="H1491" s="25" t="str">
        <f>IF($N1491="","",INDEX('_calc'!$F$2:$F$3001,$N1491))</f>
        <v/>
      </c>
      <c r="I1491" s="27" t="str">
        <f>IF($N1491="","",INDEX('_calc'!$H$2:$H$3001,$N1491))</f>
        <v/>
      </c>
      <c r="J1491" s="27" t="str">
        <f>IF($N1491="","",INDEX('_calc'!$I$2:$I$3001,$N1491))</f>
        <v/>
      </c>
      <c r="K1491" s="28" t="str">
        <f>IF($N1491="","",IF(OR(I1491="",J1491=""),"",J1491-I1491))</f>
        <v/>
      </c>
      <c r="L1491" s="29" t="str">
        <f>IF($N1491="","",INDEX('_calc'!$J$2:$J$3001,$N1491))</f>
        <v/>
      </c>
      <c r="M1491" s="2" t="str">
        <f>IF($N1491="","",IF(AND(G1491=0,H1491=0),"수량 없음",IF(G1491=0,"신규 (전년 수량 없음)",IF(H1491=0,"당해 수량 없음",""))))</f>
        <v/>
      </c>
      <c r="N1491" t="str">
        <f>IF($B1491="","",MATCH($B1491,'_calc'!$L$2:$L$3001,0))</f>
        <v/>
      </c>
    </row>
    <row r="1492">
      <c r="B1492" s="24" t="str">
        <f>IF(ROW()-ROW($B$8)&gt;nComp,"",ROW()-ROW($B$8))</f>
        <v/>
      </c>
      <c r="C1492" t="str">
        <f>IF($N1492="","",INDEX('_calc'!$A$2:$A$3001,$N1492))</f>
        <v/>
      </c>
      <c r="D1492" s="25" t="str">
        <f>IF($N1492="","",INDEX('_calc'!$C$2:$C$3001,$N1492))</f>
        <v/>
      </c>
      <c r="E1492" s="25" t="str">
        <f>IF($N1492="","",INDEX('_calc'!$D$2:$D$3001,$N1492))</f>
        <v/>
      </c>
      <c r="F1492" s="26" t="str">
        <f>IF($N1492="","",IF($E$8=0,"",E1492/$E$8))</f>
        <v/>
      </c>
      <c r="G1492" s="25" t="str">
        <f>IF($N1492="","",INDEX('_calc'!$E$2:$E$3001,$N1492))</f>
        <v/>
      </c>
      <c r="H1492" s="25" t="str">
        <f>IF($N1492="","",INDEX('_calc'!$F$2:$F$3001,$N1492))</f>
        <v/>
      </c>
      <c r="I1492" s="27" t="str">
        <f>IF($N1492="","",INDEX('_calc'!$H$2:$H$3001,$N1492))</f>
        <v/>
      </c>
      <c r="J1492" s="27" t="str">
        <f>IF($N1492="","",INDEX('_calc'!$I$2:$I$3001,$N1492))</f>
        <v/>
      </c>
      <c r="K1492" s="28" t="str">
        <f>IF($N1492="","",IF(OR(I1492="",J1492=""),"",J1492-I1492))</f>
        <v/>
      </c>
      <c r="L1492" s="29" t="str">
        <f>IF($N1492="","",INDEX('_calc'!$J$2:$J$3001,$N1492))</f>
        <v/>
      </c>
      <c r="M1492" s="2" t="str">
        <f>IF($N1492="","",IF(AND(G1492=0,H1492=0),"수량 없음",IF(G1492=0,"신규 (전년 수량 없음)",IF(H1492=0,"당해 수량 없음",""))))</f>
        <v/>
      </c>
      <c r="N1492" t="str">
        <f>IF($B1492="","",MATCH($B1492,'_calc'!$L$2:$L$3001,0))</f>
        <v/>
      </c>
    </row>
    <row r="1493">
      <c r="B1493" s="24" t="str">
        <f>IF(ROW()-ROW($B$8)&gt;nComp,"",ROW()-ROW($B$8))</f>
        <v/>
      </c>
      <c r="C1493" t="str">
        <f>IF($N1493="","",INDEX('_calc'!$A$2:$A$3001,$N1493))</f>
        <v/>
      </c>
      <c r="D1493" s="25" t="str">
        <f>IF($N1493="","",INDEX('_calc'!$C$2:$C$3001,$N1493))</f>
        <v/>
      </c>
      <c r="E1493" s="25" t="str">
        <f>IF($N1493="","",INDEX('_calc'!$D$2:$D$3001,$N1493))</f>
        <v/>
      </c>
      <c r="F1493" s="26" t="str">
        <f>IF($N1493="","",IF($E$8=0,"",E1493/$E$8))</f>
        <v/>
      </c>
      <c r="G1493" s="25" t="str">
        <f>IF($N1493="","",INDEX('_calc'!$E$2:$E$3001,$N1493))</f>
        <v/>
      </c>
      <c r="H1493" s="25" t="str">
        <f>IF($N1493="","",INDEX('_calc'!$F$2:$F$3001,$N1493))</f>
        <v/>
      </c>
      <c r="I1493" s="27" t="str">
        <f>IF($N1493="","",INDEX('_calc'!$H$2:$H$3001,$N1493))</f>
        <v/>
      </c>
      <c r="J1493" s="27" t="str">
        <f>IF($N1493="","",INDEX('_calc'!$I$2:$I$3001,$N1493))</f>
        <v/>
      </c>
      <c r="K1493" s="28" t="str">
        <f>IF($N1493="","",IF(OR(I1493="",J1493=""),"",J1493-I1493))</f>
        <v/>
      </c>
      <c r="L1493" s="29" t="str">
        <f>IF($N1493="","",INDEX('_calc'!$J$2:$J$3001,$N1493))</f>
        <v/>
      </c>
      <c r="M1493" s="2" t="str">
        <f>IF($N1493="","",IF(AND(G1493=0,H1493=0),"수량 없음",IF(G1493=0,"신규 (전년 수량 없음)",IF(H1493=0,"당해 수량 없음",""))))</f>
        <v/>
      </c>
      <c r="N1493" t="str">
        <f>IF($B1493="","",MATCH($B1493,'_calc'!$L$2:$L$3001,0))</f>
        <v/>
      </c>
    </row>
    <row r="1494">
      <c r="B1494" s="24" t="str">
        <f>IF(ROW()-ROW($B$8)&gt;nComp,"",ROW()-ROW($B$8))</f>
        <v/>
      </c>
      <c r="C1494" t="str">
        <f>IF($N1494="","",INDEX('_calc'!$A$2:$A$3001,$N1494))</f>
        <v/>
      </c>
      <c r="D1494" s="25" t="str">
        <f>IF($N1494="","",INDEX('_calc'!$C$2:$C$3001,$N1494))</f>
        <v/>
      </c>
      <c r="E1494" s="25" t="str">
        <f>IF($N1494="","",INDEX('_calc'!$D$2:$D$3001,$N1494))</f>
        <v/>
      </c>
      <c r="F1494" s="26" t="str">
        <f>IF($N1494="","",IF($E$8=0,"",E1494/$E$8))</f>
        <v/>
      </c>
      <c r="G1494" s="25" t="str">
        <f>IF($N1494="","",INDEX('_calc'!$E$2:$E$3001,$N1494))</f>
        <v/>
      </c>
      <c r="H1494" s="25" t="str">
        <f>IF($N1494="","",INDEX('_calc'!$F$2:$F$3001,$N1494))</f>
        <v/>
      </c>
      <c r="I1494" s="27" t="str">
        <f>IF($N1494="","",INDEX('_calc'!$H$2:$H$3001,$N1494))</f>
        <v/>
      </c>
      <c r="J1494" s="27" t="str">
        <f>IF($N1494="","",INDEX('_calc'!$I$2:$I$3001,$N1494))</f>
        <v/>
      </c>
      <c r="K1494" s="28" t="str">
        <f>IF($N1494="","",IF(OR(I1494="",J1494=""),"",J1494-I1494))</f>
        <v/>
      </c>
      <c r="L1494" s="29" t="str">
        <f>IF($N1494="","",INDEX('_calc'!$J$2:$J$3001,$N1494))</f>
        <v/>
      </c>
      <c r="M1494" s="2" t="str">
        <f>IF($N1494="","",IF(AND(G1494=0,H1494=0),"수량 없음",IF(G1494=0,"신규 (전년 수량 없음)",IF(H1494=0,"당해 수량 없음",""))))</f>
        <v/>
      </c>
      <c r="N1494" t="str">
        <f>IF($B1494="","",MATCH($B1494,'_calc'!$L$2:$L$3001,0))</f>
        <v/>
      </c>
    </row>
    <row r="1495">
      <c r="B1495" s="24" t="str">
        <f>IF(ROW()-ROW($B$8)&gt;nComp,"",ROW()-ROW($B$8))</f>
        <v/>
      </c>
      <c r="C1495" t="str">
        <f>IF($N1495="","",INDEX('_calc'!$A$2:$A$3001,$N1495))</f>
        <v/>
      </c>
      <c r="D1495" s="25" t="str">
        <f>IF($N1495="","",INDEX('_calc'!$C$2:$C$3001,$N1495))</f>
        <v/>
      </c>
      <c r="E1495" s="25" t="str">
        <f>IF($N1495="","",INDEX('_calc'!$D$2:$D$3001,$N1495))</f>
        <v/>
      </c>
      <c r="F1495" s="26" t="str">
        <f>IF($N1495="","",IF($E$8=0,"",E1495/$E$8))</f>
        <v/>
      </c>
      <c r="G1495" s="25" t="str">
        <f>IF($N1495="","",INDEX('_calc'!$E$2:$E$3001,$N1495))</f>
        <v/>
      </c>
      <c r="H1495" s="25" t="str">
        <f>IF($N1495="","",INDEX('_calc'!$F$2:$F$3001,$N1495))</f>
        <v/>
      </c>
      <c r="I1495" s="27" t="str">
        <f>IF($N1495="","",INDEX('_calc'!$H$2:$H$3001,$N1495))</f>
        <v/>
      </c>
      <c r="J1495" s="27" t="str">
        <f>IF($N1495="","",INDEX('_calc'!$I$2:$I$3001,$N1495))</f>
        <v/>
      </c>
      <c r="K1495" s="28" t="str">
        <f>IF($N1495="","",IF(OR(I1495="",J1495=""),"",J1495-I1495))</f>
        <v/>
      </c>
      <c r="L1495" s="29" t="str">
        <f>IF($N1495="","",INDEX('_calc'!$J$2:$J$3001,$N1495))</f>
        <v/>
      </c>
      <c r="M1495" s="2" t="str">
        <f>IF($N1495="","",IF(AND(G1495=0,H1495=0),"수량 없음",IF(G1495=0,"신규 (전년 수량 없음)",IF(H1495=0,"당해 수량 없음",""))))</f>
        <v/>
      </c>
      <c r="N1495" t="str">
        <f>IF($B1495="","",MATCH($B1495,'_calc'!$L$2:$L$3001,0))</f>
        <v/>
      </c>
    </row>
    <row r="1496">
      <c r="B1496" s="24" t="str">
        <f>IF(ROW()-ROW($B$8)&gt;nComp,"",ROW()-ROW($B$8))</f>
        <v/>
      </c>
      <c r="C1496" t="str">
        <f>IF($N1496="","",INDEX('_calc'!$A$2:$A$3001,$N1496))</f>
        <v/>
      </c>
      <c r="D1496" s="25" t="str">
        <f>IF($N1496="","",INDEX('_calc'!$C$2:$C$3001,$N1496))</f>
        <v/>
      </c>
      <c r="E1496" s="25" t="str">
        <f>IF($N1496="","",INDEX('_calc'!$D$2:$D$3001,$N1496))</f>
        <v/>
      </c>
      <c r="F1496" s="26" t="str">
        <f>IF($N1496="","",IF($E$8=0,"",E1496/$E$8))</f>
        <v/>
      </c>
      <c r="G1496" s="25" t="str">
        <f>IF($N1496="","",INDEX('_calc'!$E$2:$E$3001,$N1496))</f>
        <v/>
      </c>
      <c r="H1496" s="25" t="str">
        <f>IF($N1496="","",INDEX('_calc'!$F$2:$F$3001,$N1496))</f>
        <v/>
      </c>
      <c r="I1496" s="27" t="str">
        <f>IF($N1496="","",INDEX('_calc'!$H$2:$H$3001,$N1496))</f>
        <v/>
      </c>
      <c r="J1496" s="27" t="str">
        <f>IF($N1496="","",INDEX('_calc'!$I$2:$I$3001,$N1496))</f>
        <v/>
      </c>
      <c r="K1496" s="28" t="str">
        <f>IF($N1496="","",IF(OR(I1496="",J1496=""),"",J1496-I1496))</f>
        <v/>
      </c>
      <c r="L1496" s="29" t="str">
        <f>IF($N1496="","",INDEX('_calc'!$J$2:$J$3001,$N1496))</f>
        <v/>
      </c>
      <c r="M1496" s="2" t="str">
        <f>IF($N1496="","",IF(AND(G1496=0,H1496=0),"수량 없음",IF(G1496=0,"신규 (전년 수량 없음)",IF(H1496=0,"당해 수량 없음",""))))</f>
        <v/>
      </c>
      <c r="N1496" t="str">
        <f>IF($B1496="","",MATCH($B1496,'_calc'!$L$2:$L$3001,0))</f>
        <v/>
      </c>
    </row>
    <row r="1497">
      <c r="B1497" s="24" t="str">
        <f>IF(ROW()-ROW($B$8)&gt;nComp,"",ROW()-ROW($B$8))</f>
        <v/>
      </c>
      <c r="C1497" t="str">
        <f>IF($N1497="","",INDEX('_calc'!$A$2:$A$3001,$N1497))</f>
        <v/>
      </c>
      <c r="D1497" s="25" t="str">
        <f>IF($N1497="","",INDEX('_calc'!$C$2:$C$3001,$N1497))</f>
        <v/>
      </c>
      <c r="E1497" s="25" t="str">
        <f>IF($N1497="","",INDEX('_calc'!$D$2:$D$3001,$N1497))</f>
        <v/>
      </c>
      <c r="F1497" s="26" t="str">
        <f>IF($N1497="","",IF($E$8=0,"",E1497/$E$8))</f>
        <v/>
      </c>
      <c r="G1497" s="25" t="str">
        <f>IF($N1497="","",INDEX('_calc'!$E$2:$E$3001,$N1497))</f>
        <v/>
      </c>
      <c r="H1497" s="25" t="str">
        <f>IF($N1497="","",INDEX('_calc'!$F$2:$F$3001,$N1497))</f>
        <v/>
      </c>
      <c r="I1497" s="27" t="str">
        <f>IF($N1497="","",INDEX('_calc'!$H$2:$H$3001,$N1497))</f>
        <v/>
      </c>
      <c r="J1497" s="27" t="str">
        <f>IF($N1497="","",INDEX('_calc'!$I$2:$I$3001,$N1497))</f>
        <v/>
      </c>
      <c r="K1497" s="28" t="str">
        <f>IF($N1497="","",IF(OR(I1497="",J1497=""),"",J1497-I1497))</f>
        <v/>
      </c>
      <c r="L1497" s="29" t="str">
        <f>IF($N1497="","",INDEX('_calc'!$J$2:$J$3001,$N1497))</f>
        <v/>
      </c>
      <c r="M1497" s="2" t="str">
        <f>IF($N1497="","",IF(AND(G1497=0,H1497=0),"수량 없음",IF(G1497=0,"신규 (전년 수량 없음)",IF(H1497=0,"당해 수량 없음",""))))</f>
        <v/>
      </c>
      <c r="N1497" t="str">
        <f>IF($B1497="","",MATCH($B1497,'_calc'!$L$2:$L$3001,0))</f>
        <v/>
      </c>
    </row>
    <row r="1498">
      <c r="B1498" s="24" t="str">
        <f>IF(ROW()-ROW($B$8)&gt;nComp,"",ROW()-ROW($B$8))</f>
        <v/>
      </c>
      <c r="C1498" t="str">
        <f>IF($N1498="","",INDEX('_calc'!$A$2:$A$3001,$N1498))</f>
        <v/>
      </c>
      <c r="D1498" s="25" t="str">
        <f>IF($N1498="","",INDEX('_calc'!$C$2:$C$3001,$N1498))</f>
        <v/>
      </c>
      <c r="E1498" s="25" t="str">
        <f>IF($N1498="","",INDEX('_calc'!$D$2:$D$3001,$N1498))</f>
        <v/>
      </c>
      <c r="F1498" s="26" t="str">
        <f>IF($N1498="","",IF($E$8=0,"",E1498/$E$8))</f>
        <v/>
      </c>
      <c r="G1498" s="25" t="str">
        <f>IF($N1498="","",INDEX('_calc'!$E$2:$E$3001,$N1498))</f>
        <v/>
      </c>
      <c r="H1498" s="25" t="str">
        <f>IF($N1498="","",INDEX('_calc'!$F$2:$F$3001,$N1498))</f>
        <v/>
      </c>
      <c r="I1498" s="27" t="str">
        <f>IF($N1498="","",INDEX('_calc'!$H$2:$H$3001,$N1498))</f>
        <v/>
      </c>
      <c r="J1498" s="27" t="str">
        <f>IF($N1498="","",INDEX('_calc'!$I$2:$I$3001,$N1498))</f>
        <v/>
      </c>
      <c r="K1498" s="28" t="str">
        <f>IF($N1498="","",IF(OR(I1498="",J1498=""),"",J1498-I1498))</f>
        <v/>
      </c>
      <c r="L1498" s="29" t="str">
        <f>IF($N1498="","",INDEX('_calc'!$J$2:$J$3001,$N1498))</f>
        <v/>
      </c>
      <c r="M1498" s="2" t="str">
        <f>IF($N1498="","",IF(AND(G1498=0,H1498=0),"수량 없음",IF(G1498=0,"신규 (전년 수량 없음)",IF(H1498=0,"당해 수량 없음",""))))</f>
        <v/>
      </c>
      <c r="N1498" t="str">
        <f>IF($B1498="","",MATCH($B1498,'_calc'!$L$2:$L$3001,0))</f>
        <v/>
      </c>
    </row>
    <row r="1499">
      <c r="B1499" s="24" t="str">
        <f>IF(ROW()-ROW($B$8)&gt;nComp,"",ROW()-ROW($B$8))</f>
        <v/>
      </c>
      <c r="C1499" t="str">
        <f>IF($N1499="","",INDEX('_calc'!$A$2:$A$3001,$N1499))</f>
        <v/>
      </c>
      <c r="D1499" s="25" t="str">
        <f>IF($N1499="","",INDEX('_calc'!$C$2:$C$3001,$N1499))</f>
        <v/>
      </c>
      <c r="E1499" s="25" t="str">
        <f>IF($N1499="","",INDEX('_calc'!$D$2:$D$3001,$N1499))</f>
        <v/>
      </c>
      <c r="F1499" s="26" t="str">
        <f>IF($N1499="","",IF($E$8=0,"",E1499/$E$8))</f>
        <v/>
      </c>
      <c r="G1499" s="25" t="str">
        <f>IF($N1499="","",INDEX('_calc'!$E$2:$E$3001,$N1499))</f>
        <v/>
      </c>
      <c r="H1499" s="25" t="str">
        <f>IF($N1499="","",INDEX('_calc'!$F$2:$F$3001,$N1499))</f>
        <v/>
      </c>
      <c r="I1499" s="27" t="str">
        <f>IF($N1499="","",INDEX('_calc'!$H$2:$H$3001,$N1499))</f>
        <v/>
      </c>
      <c r="J1499" s="27" t="str">
        <f>IF($N1499="","",INDEX('_calc'!$I$2:$I$3001,$N1499))</f>
        <v/>
      </c>
      <c r="K1499" s="28" t="str">
        <f>IF($N1499="","",IF(OR(I1499="",J1499=""),"",J1499-I1499))</f>
        <v/>
      </c>
      <c r="L1499" s="29" t="str">
        <f>IF($N1499="","",INDEX('_calc'!$J$2:$J$3001,$N1499))</f>
        <v/>
      </c>
      <c r="M1499" s="2" t="str">
        <f>IF($N1499="","",IF(AND(G1499=0,H1499=0),"수량 없음",IF(G1499=0,"신규 (전년 수량 없음)",IF(H1499=0,"당해 수량 없음",""))))</f>
        <v/>
      </c>
      <c r="N1499" t="str">
        <f>IF($B1499="","",MATCH($B1499,'_calc'!$L$2:$L$3001,0))</f>
        <v/>
      </c>
    </row>
    <row r="1500">
      <c r="B1500" s="24" t="str">
        <f>IF(ROW()-ROW($B$8)&gt;nComp,"",ROW()-ROW($B$8))</f>
        <v/>
      </c>
      <c r="C1500" t="str">
        <f>IF($N1500="","",INDEX('_calc'!$A$2:$A$3001,$N1500))</f>
        <v/>
      </c>
      <c r="D1500" s="25" t="str">
        <f>IF($N1500="","",INDEX('_calc'!$C$2:$C$3001,$N1500))</f>
        <v/>
      </c>
      <c r="E1500" s="25" t="str">
        <f>IF($N1500="","",INDEX('_calc'!$D$2:$D$3001,$N1500))</f>
        <v/>
      </c>
      <c r="F1500" s="26" t="str">
        <f>IF($N1500="","",IF($E$8=0,"",E1500/$E$8))</f>
        <v/>
      </c>
      <c r="G1500" s="25" t="str">
        <f>IF($N1500="","",INDEX('_calc'!$E$2:$E$3001,$N1500))</f>
        <v/>
      </c>
      <c r="H1500" s="25" t="str">
        <f>IF($N1500="","",INDEX('_calc'!$F$2:$F$3001,$N1500))</f>
        <v/>
      </c>
      <c r="I1500" s="27" t="str">
        <f>IF($N1500="","",INDEX('_calc'!$H$2:$H$3001,$N1500))</f>
        <v/>
      </c>
      <c r="J1500" s="27" t="str">
        <f>IF($N1500="","",INDEX('_calc'!$I$2:$I$3001,$N1500))</f>
        <v/>
      </c>
      <c r="K1500" s="28" t="str">
        <f>IF($N1500="","",IF(OR(I1500="",J1500=""),"",J1500-I1500))</f>
        <v/>
      </c>
      <c r="L1500" s="29" t="str">
        <f>IF($N1500="","",INDEX('_calc'!$J$2:$J$3001,$N1500))</f>
        <v/>
      </c>
      <c r="M1500" s="2" t="str">
        <f>IF($N1500="","",IF(AND(G1500=0,H1500=0),"수량 없음",IF(G1500=0,"신규 (전년 수량 없음)",IF(H1500=0,"당해 수량 없음",""))))</f>
        <v/>
      </c>
      <c r="N1500" t="str">
        <f>IF($B1500="","",MATCH($B1500,'_calc'!$L$2:$L$3001,0))</f>
        <v/>
      </c>
    </row>
    <row r="1501">
      <c r="B1501" s="24" t="str">
        <f>IF(ROW()-ROW($B$8)&gt;nComp,"",ROW()-ROW($B$8))</f>
        <v/>
      </c>
      <c r="C1501" t="str">
        <f>IF($N1501="","",INDEX('_calc'!$A$2:$A$3001,$N1501))</f>
        <v/>
      </c>
      <c r="D1501" s="25" t="str">
        <f>IF($N1501="","",INDEX('_calc'!$C$2:$C$3001,$N1501))</f>
        <v/>
      </c>
      <c r="E1501" s="25" t="str">
        <f>IF($N1501="","",INDEX('_calc'!$D$2:$D$3001,$N1501))</f>
        <v/>
      </c>
      <c r="F1501" s="26" t="str">
        <f>IF($N1501="","",IF($E$8=0,"",E1501/$E$8))</f>
        <v/>
      </c>
      <c r="G1501" s="25" t="str">
        <f>IF($N1501="","",INDEX('_calc'!$E$2:$E$3001,$N1501))</f>
        <v/>
      </c>
      <c r="H1501" s="25" t="str">
        <f>IF($N1501="","",INDEX('_calc'!$F$2:$F$3001,$N1501))</f>
        <v/>
      </c>
      <c r="I1501" s="27" t="str">
        <f>IF($N1501="","",INDEX('_calc'!$H$2:$H$3001,$N1501))</f>
        <v/>
      </c>
      <c r="J1501" s="27" t="str">
        <f>IF($N1501="","",INDEX('_calc'!$I$2:$I$3001,$N1501))</f>
        <v/>
      </c>
      <c r="K1501" s="28" t="str">
        <f>IF($N1501="","",IF(OR(I1501="",J1501=""),"",J1501-I1501))</f>
        <v/>
      </c>
      <c r="L1501" s="29" t="str">
        <f>IF($N1501="","",INDEX('_calc'!$J$2:$J$3001,$N1501))</f>
        <v/>
      </c>
      <c r="M1501" s="2" t="str">
        <f>IF($N1501="","",IF(AND(G1501=0,H1501=0),"수량 없음",IF(G1501=0,"신규 (전년 수량 없음)",IF(H1501=0,"당해 수량 없음",""))))</f>
        <v/>
      </c>
      <c r="N1501" t="str">
        <f>IF($B1501="","",MATCH($B1501,'_calc'!$L$2:$L$3001,0))</f>
        <v/>
      </c>
    </row>
    <row r="1502">
      <c r="B1502" s="24" t="str">
        <f>IF(ROW()-ROW($B$8)&gt;nComp,"",ROW()-ROW($B$8))</f>
        <v/>
      </c>
      <c r="C1502" t="str">
        <f>IF($N1502="","",INDEX('_calc'!$A$2:$A$3001,$N1502))</f>
        <v/>
      </c>
      <c r="D1502" s="25" t="str">
        <f>IF($N1502="","",INDEX('_calc'!$C$2:$C$3001,$N1502))</f>
        <v/>
      </c>
      <c r="E1502" s="25" t="str">
        <f>IF($N1502="","",INDEX('_calc'!$D$2:$D$3001,$N1502))</f>
        <v/>
      </c>
      <c r="F1502" s="26" t="str">
        <f>IF($N1502="","",IF($E$8=0,"",E1502/$E$8))</f>
        <v/>
      </c>
      <c r="G1502" s="25" t="str">
        <f>IF($N1502="","",INDEX('_calc'!$E$2:$E$3001,$N1502))</f>
        <v/>
      </c>
      <c r="H1502" s="25" t="str">
        <f>IF($N1502="","",INDEX('_calc'!$F$2:$F$3001,$N1502))</f>
        <v/>
      </c>
      <c r="I1502" s="27" t="str">
        <f>IF($N1502="","",INDEX('_calc'!$H$2:$H$3001,$N1502))</f>
        <v/>
      </c>
      <c r="J1502" s="27" t="str">
        <f>IF($N1502="","",INDEX('_calc'!$I$2:$I$3001,$N1502))</f>
        <v/>
      </c>
      <c r="K1502" s="28" t="str">
        <f>IF($N1502="","",IF(OR(I1502="",J1502=""),"",J1502-I1502))</f>
        <v/>
      </c>
      <c r="L1502" s="29" t="str">
        <f>IF($N1502="","",INDEX('_calc'!$J$2:$J$3001,$N1502))</f>
        <v/>
      </c>
      <c r="M1502" s="2" t="str">
        <f>IF($N1502="","",IF(AND(G1502=0,H1502=0),"수량 없음",IF(G1502=0,"신규 (전년 수량 없음)",IF(H1502=0,"당해 수량 없음",""))))</f>
        <v/>
      </c>
      <c r="N1502" t="str">
        <f>IF($B1502="","",MATCH($B1502,'_calc'!$L$2:$L$3001,0))</f>
        <v/>
      </c>
    </row>
    <row r="1503">
      <c r="B1503" s="24" t="str">
        <f>IF(ROW()-ROW($B$8)&gt;nComp,"",ROW()-ROW($B$8))</f>
        <v/>
      </c>
      <c r="C1503" t="str">
        <f>IF($N1503="","",INDEX('_calc'!$A$2:$A$3001,$N1503))</f>
        <v/>
      </c>
      <c r="D1503" s="25" t="str">
        <f>IF($N1503="","",INDEX('_calc'!$C$2:$C$3001,$N1503))</f>
        <v/>
      </c>
      <c r="E1503" s="25" t="str">
        <f>IF($N1503="","",INDEX('_calc'!$D$2:$D$3001,$N1503))</f>
        <v/>
      </c>
      <c r="F1503" s="26" t="str">
        <f>IF($N1503="","",IF($E$8=0,"",E1503/$E$8))</f>
        <v/>
      </c>
      <c r="G1503" s="25" t="str">
        <f>IF($N1503="","",INDEX('_calc'!$E$2:$E$3001,$N1503))</f>
        <v/>
      </c>
      <c r="H1503" s="25" t="str">
        <f>IF($N1503="","",INDEX('_calc'!$F$2:$F$3001,$N1503))</f>
        <v/>
      </c>
      <c r="I1503" s="27" t="str">
        <f>IF($N1503="","",INDEX('_calc'!$H$2:$H$3001,$N1503))</f>
        <v/>
      </c>
      <c r="J1503" s="27" t="str">
        <f>IF($N1503="","",INDEX('_calc'!$I$2:$I$3001,$N1503))</f>
        <v/>
      </c>
      <c r="K1503" s="28" t="str">
        <f>IF($N1503="","",IF(OR(I1503="",J1503=""),"",J1503-I1503))</f>
        <v/>
      </c>
      <c r="L1503" s="29" t="str">
        <f>IF($N1503="","",INDEX('_calc'!$J$2:$J$3001,$N1503))</f>
        <v/>
      </c>
      <c r="M1503" s="2" t="str">
        <f>IF($N1503="","",IF(AND(G1503=0,H1503=0),"수량 없음",IF(G1503=0,"신규 (전년 수량 없음)",IF(H1503=0,"당해 수량 없음",""))))</f>
        <v/>
      </c>
      <c r="N1503" t="str">
        <f>IF($B1503="","",MATCH($B1503,'_calc'!$L$2:$L$3001,0))</f>
        <v/>
      </c>
    </row>
    <row r="1504">
      <c r="B1504" s="24" t="str">
        <f>IF(ROW()-ROW($B$8)&gt;nComp,"",ROW()-ROW($B$8))</f>
        <v/>
      </c>
      <c r="C1504" t="str">
        <f>IF($N1504="","",INDEX('_calc'!$A$2:$A$3001,$N1504))</f>
        <v/>
      </c>
      <c r="D1504" s="25" t="str">
        <f>IF($N1504="","",INDEX('_calc'!$C$2:$C$3001,$N1504))</f>
        <v/>
      </c>
      <c r="E1504" s="25" t="str">
        <f>IF($N1504="","",INDEX('_calc'!$D$2:$D$3001,$N1504))</f>
        <v/>
      </c>
      <c r="F1504" s="26" t="str">
        <f>IF($N1504="","",IF($E$8=0,"",E1504/$E$8))</f>
        <v/>
      </c>
      <c r="G1504" s="25" t="str">
        <f>IF($N1504="","",INDEX('_calc'!$E$2:$E$3001,$N1504))</f>
        <v/>
      </c>
      <c r="H1504" s="25" t="str">
        <f>IF($N1504="","",INDEX('_calc'!$F$2:$F$3001,$N1504))</f>
        <v/>
      </c>
      <c r="I1504" s="27" t="str">
        <f>IF($N1504="","",INDEX('_calc'!$H$2:$H$3001,$N1504))</f>
        <v/>
      </c>
      <c r="J1504" s="27" t="str">
        <f>IF($N1504="","",INDEX('_calc'!$I$2:$I$3001,$N1504))</f>
        <v/>
      </c>
      <c r="K1504" s="28" t="str">
        <f>IF($N1504="","",IF(OR(I1504="",J1504=""),"",J1504-I1504))</f>
        <v/>
      </c>
      <c r="L1504" s="29" t="str">
        <f>IF($N1504="","",INDEX('_calc'!$J$2:$J$3001,$N1504))</f>
        <v/>
      </c>
      <c r="M1504" s="2" t="str">
        <f>IF($N1504="","",IF(AND(G1504=0,H1504=0),"수량 없음",IF(G1504=0,"신규 (전년 수량 없음)",IF(H1504=0,"당해 수량 없음",""))))</f>
        <v/>
      </c>
      <c r="N1504" t="str">
        <f>IF($B1504="","",MATCH($B1504,'_calc'!$L$2:$L$3001,0))</f>
        <v/>
      </c>
    </row>
    <row r="1505">
      <c r="B1505" s="24" t="str">
        <f>IF(ROW()-ROW($B$8)&gt;nComp,"",ROW()-ROW($B$8))</f>
        <v/>
      </c>
      <c r="C1505" t="str">
        <f>IF($N1505="","",INDEX('_calc'!$A$2:$A$3001,$N1505))</f>
        <v/>
      </c>
      <c r="D1505" s="25" t="str">
        <f>IF($N1505="","",INDEX('_calc'!$C$2:$C$3001,$N1505))</f>
        <v/>
      </c>
      <c r="E1505" s="25" t="str">
        <f>IF($N1505="","",INDEX('_calc'!$D$2:$D$3001,$N1505))</f>
        <v/>
      </c>
      <c r="F1505" s="26" t="str">
        <f>IF($N1505="","",IF($E$8=0,"",E1505/$E$8))</f>
        <v/>
      </c>
      <c r="G1505" s="25" t="str">
        <f>IF($N1505="","",INDEX('_calc'!$E$2:$E$3001,$N1505))</f>
        <v/>
      </c>
      <c r="H1505" s="25" t="str">
        <f>IF($N1505="","",INDEX('_calc'!$F$2:$F$3001,$N1505))</f>
        <v/>
      </c>
      <c r="I1505" s="27" t="str">
        <f>IF($N1505="","",INDEX('_calc'!$H$2:$H$3001,$N1505))</f>
        <v/>
      </c>
      <c r="J1505" s="27" t="str">
        <f>IF($N1505="","",INDEX('_calc'!$I$2:$I$3001,$N1505))</f>
        <v/>
      </c>
      <c r="K1505" s="28" t="str">
        <f>IF($N1505="","",IF(OR(I1505="",J1505=""),"",J1505-I1505))</f>
        <v/>
      </c>
      <c r="L1505" s="29" t="str">
        <f>IF($N1505="","",INDEX('_calc'!$J$2:$J$3001,$N1505))</f>
        <v/>
      </c>
      <c r="M1505" s="2" t="str">
        <f>IF($N1505="","",IF(AND(G1505=0,H1505=0),"수량 없음",IF(G1505=0,"신규 (전년 수량 없음)",IF(H1505=0,"당해 수량 없음",""))))</f>
        <v/>
      </c>
      <c r="N1505" t="str">
        <f>IF($B1505="","",MATCH($B1505,'_calc'!$L$2:$L$3001,0))</f>
        <v/>
      </c>
    </row>
    <row r="1506">
      <c r="B1506" s="24" t="str">
        <f>IF(ROW()-ROW($B$8)&gt;nComp,"",ROW()-ROW($B$8))</f>
        <v/>
      </c>
      <c r="C1506" t="str">
        <f>IF($N1506="","",INDEX('_calc'!$A$2:$A$3001,$N1506))</f>
        <v/>
      </c>
      <c r="D1506" s="25" t="str">
        <f>IF($N1506="","",INDEX('_calc'!$C$2:$C$3001,$N1506))</f>
        <v/>
      </c>
      <c r="E1506" s="25" t="str">
        <f>IF($N1506="","",INDEX('_calc'!$D$2:$D$3001,$N1506))</f>
        <v/>
      </c>
      <c r="F1506" s="26" t="str">
        <f>IF($N1506="","",IF($E$8=0,"",E1506/$E$8))</f>
        <v/>
      </c>
      <c r="G1506" s="25" t="str">
        <f>IF($N1506="","",INDEX('_calc'!$E$2:$E$3001,$N1506))</f>
        <v/>
      </c>
      <c r="H1506" s="25" t="str">
        <f>IF($N1506="","",INDEX('_calc'!$F$2:$F$3001,$N1506))</f>
        <v/>
      </c>
      <c r="I1506" s="27" t="str">
        <f>IF($N1506="","",INDEX('_calc'!$H$2:$H$3001,$N1506))</f>
        <v/>
      </c>
      <c r="J1506" s="27" t="str">
        <f>IF($N1506="","",INDEX('_calc'!$I$2:$I$3001,$N1506))</f>
        <v/>
      </c>
      <c r="K1506" s="28" t="str">
        <f>IF($N1506="","",IF(OR(I1506="",J1506=""),"",J1506-I1506))</f>
        <v/>
      </c>
      <c r="L1506" s="29" t="str">
        <f>IF($N1506="","",INDEX('_calc'!$J$2:$J$3001,$N1506))</f>
        <v/>
      </c>
      <c r="M1506" s="2" t="str">
        <f>IF($N1506="","",IF(AND(G1506=0,H1506=0),"수량 없음",IF(G1506=0,"신규 (전년 수량 없음)",IF(H1506=0,"당해 수량 없음",""))))</f>
        <v/>
      </c>
      <c r="N1506" t="str">
        <f>IF($B1506="","",MATCH($B1506,'_calc'!$L$2:$L$3001,0))</f>
        <v/>
      </c>
    </row>
    <row r="1507">
      <c r="B1507" s="24" t="str">
        <f>IF(ROW()-ROW($B$8)&gt;nComp,"",ROW()-ROW($B$8))</f>
        <v/>
      </c>
      <c r="C1507" t="str">
        <f>IF($N1507="","",INDEX('_calc'!$A$2:$A$3001,$N1507))</f>
        <v/>
      </c>
      <c r="D1507" s="25" t="str">
        <f>IF($N1507="","",INDEX('_calc'!$C$2:$C$3001,$N1507))</f>
        <v/>
      </c>
      <c r="E1507" s="25" t="str">
        <f>IF($N1507="","",INDEX('_calc'!$D$2:$D$3001,$N1507))</f>
        <v/>
      </c>
      <c r="F1507" s="26" t="str">
        <f>IF($N1507="","",IF($E$8=0,"",E1507/$E$8))</f>
        <v/>
      </c>
      <c r="G1507" s="25" t="str">
        <f>IF($N1507="","",INDEX('_calc'!$E$2:$E$3001,$N1507))</f>
        <v/>
      </c>
      <c r="H1507" s="25" t="str">
        <f>IF($N1507="","",INDEX('_calc'!$F$2:$F$3001,$N1507))</f>
        <v/>
      </c>
      <c r="I1507" s="27" t="str">
        <f>IF($N1507="","",INDEX('_calc'!$H$2:$H$3001,$N1507))</f>
        <v/>
      </c>
      <c r="J1507" s="27" t="str">
        <f>IF($N1507="","",INDEX('_calc'!$I$2:$I$3001,$N1507))</f>
        <v/>
      </c>
      <c r="K1507" s="28" t="str">
        <f>IF($N1507="","",IF(OR(I1507="",J1507=""),"",J1507-I1507))</f>
        <v/>
      </c>
      <c r="L1507" s="29" t="str">
        <f>IF($N1507="","",INDEX('_calc'!$J$2:$J$3001,$N1507))</f>
        <v/>
      </c>
      <c r="M1507" s="2" t="str">
        <f>IF($N1507="","",IF(AND(G1507=0,H1507=0),"수량 없음",IF(G1507=0,"신규 (전년 수량 없음)",IF(H1507=0,"당해 수량 없음",""))))</f>
        <v/>
      </c>
      <c r="N1507" t="str">
        <f>IF($B1507="","",MATCH($B1507,'_calc'!$L$2:$L$3001,0))</f>
        <v/>
      </c>
    </row>
    <row r="1508">
      <c r="B1508" s="24" t="str">
        <f>IF(ROW()-ROW($B$8)&gt;nComp,"",ROW()-ROW($B$8))</f>
        <v/>
      </c>
      <c r="C1508" t="str">
        <f>IF($N1508="","",INDEX('_calc'!$A$2:$A$3001,$N1508))</f>
        <v/>
      </c>
      <c r="D1508" s="25" t="str">
        <f>IF($N1508="","",INDEX('_calc'!$C$2:$C$3001,$N1508))</f>
        <v/>
      </c>
      <c r="E1508" s="25" t="str">
        <f>IF($N1508="","",INDEX('_calc'!$D$2:$D$3001,$N1508))</f>
        <v/>
      </c>
      <c r="F1508" s="26" t="str">
        <f>IF($N1508="","",IF($E$8=0,"",E1508/$E$8))</f>
        <v/>
      </c>
      <c r="G1508" s="25" t="str">
        <f>IF($N1508="","",INDEX('_calc'!$E$2:$E$3001,$N1508))</f>
        <v/>
      </c>
      <c r="H1508" s="25" t="str">
        <f>IF($N1508="","",INDEX('_calc'!$F$2:$F$3001,$N1508))</f>
        <v/>
      </c>
      <c r="I1508" s="27" t="str">
        <f>IF($N1508="","",INDEX('_calc'!$H$2:$H$3001,$N1508))</f>
        <v/>
      </c>
      <c r="J1508" s="27" t="str">
        <f>IF($N1508="","",INDEX('_calc'!$I$2:$I$3001,$N1508))</f>
        <v/>
      </c>
      <c r="K1508" s="28" t="str">
        <f>IF($N1508="","",IF(OR(I1508="",J1508=""),"",J1508-I1508))</f>
        <v/>
      </c>
      <c r="L1508" s="29" t="str">
        <f>IF($N1508="","",INDEX('_calc'!$J$2:$J$3001,$N1508))</f>
        <v/>
      </c>
      <c r="M1508" s="2" t="str">
        <f>IF($N1508="","",IF(AND(G1508=0,H1508=0),"수량 없음",IF(G1508=0,"신규 (전년 수량 없음)",IF(H1508=0,"당해 수량 없음",""))))</f>
        <v/>
      </c>
      <c r="N1508" t="str">
        <f>IF($B1508="","",MATCH($B1508,'_calc'!$L$2:$L$3001,0))</f>
        <v/>
      </c>
    </row>
    <row r="1509">
      <c r="B1509" s="24" t="str">
        <f>IF(ROW()-ROW($B$8)&gt;nComp,"",ROW()-ROW($B$8))</f>
        <v/>
      </c>
      <c r="C1509" t="str">
        <f>IF($N1509="","",INDEX('_calc'!$A$2:$A$3001,$N1509))</f>
        <v/>
      </c>
      <c r="D1509" s="25" t="str">
        <f>IF($N1509="","",INDEX('_calc'!$C$2:$C$3001,$N1509))</f>
        <v/>
      </c>
      <c r="E1509" s="25" t="str">
        <f>IF($N1509="","",INDEX('_calc'!$D$2:$D$3001,$N1509))</f>
        <v/>
      </c>
      <c r="F1509" s="26" t="str">
        <f>IF($N1509="","",IF($E$8=0,"",E1509/$E$8))</f>
        <v/>
      </c>
      <c r="G1509" s="25" t="str">
        <f>IF($N1509="","",INDEX('_calc'!$E$2:$E$3001,$N1509))</f>
        <v/>
      </c>
      <c r="H1509" s="25" t="str">
        <f>IF($N1509="","",INDEX('_calc'!$F$2:$F$3001,$N1509))</f>
        <v/>
      </c>
      <c r="I1509" s="27" t="str">
        <f>IF($N1509="","",INDEX('_calc'!$H$2:$H$3001,$N1509))</f>
        <v/>
      </c>
      <c r="J1509" s="27" t="str">
        <f>IF($N1509="","",INDEX('_calc'!$I$2:$I$3001,$N1509))</f>
        <v/>
      </c>
      <c r="K1509" s="28" t="str">
        <f>IF($N1509="","",IF(OR(I1509="",J1509=""),"",J1509-I1509))</f>
        <v/>
      </c>
      <c r="L1509" s="29" t="str">
        <f>IF($N1509="","",INDEX('_calc'!$J$2:$J$3001,$N1509))</f>
        <v/>
      </c>
      <c r="M1509" s="2" t="str">
        <f>IF($N1509="","",IF(AND(G1509=0,H1509=0),"수량 없음",IF(G1509=0,"신규 (전년 수량 없음)",IF(H1509=0,"당해 수량 없음",""))))</f>
        <v/>
      </c>
      <c r="N1509" t="str">
        <f>IF($B1509="","",MATCH($B1509,'_calc'!$L$2:$L$3001,0))</f>
        <v/>
      </c>
    </row>
    <row r="1510">
      <c r="B1510" s="24" t="str">
        <f>IF(ROW()-ROW($B$8)&gt;nComp,"",ROW()-ROW($B$8))</f>
        <v/>
      </c>
      <c r="C1510" t="str">
        <f>IF($N1510="","",INDEX('_calc'!$A$2:$A$3001,$N1510))</f>
        <v/>
      </c>
      <c r="D1510" s="25" t="str">
        <f>IF($N1510="","",INDEX('_calc'!$C$2:$C$3001,$N1510))</f>
        <v/>
      </c>
      <c r="E1510" s="25" t="str">
        <f>IF($N1510="","",INDEX('_calc'!$D$2:$D$3001,$N1510))</f>
        <v/>
      </c>
      <c r="F1510" s="26" t="str">
        <f>IF($N1510="","",IF($E$8=0,"",E1510/$E$8))</f>
        <v/>
      </c>
      <c r="G1510" s="25" t="str">
        <f>IF($N1510="","",INDEX('_calc'!$E$2:$E$3001,$N1510))</f>
        <v/>
      </c>
      <c r="H1510" s="25" t="str">
        <f>IF($N1510="","",INDEX('_calc'!$F$2:$F$3001,$N1510))</f>
        <v/>
      </c>
      <c r="I1510" s="27" t="str">
        <f>IF($N1510="","",INDEX('_calc'!$H$2:$H$3001,$N1510))</f>
        <v/>
      </c>
      <c r="J1510" s="27" t="str">
        <f>IF($N1510="","",INDEX('_calc'!$I$2:$I$3001,$N1510))</f>
        <v/>
      </c>
      <c r="K1510" s="28" t="str">
        <f>IF($N1510="","",IF(OR(I1510="",J1510=""),"",J1510-I1510))</f>
        <v/>
      </c>
      <c r="L1510" s="29" t="str">
        <f>IF($N1510="","",INDEX('_calc'!$J$2:$J$3001,$N1510))</f>
        <v/>
      </c>
      <c r="M1510" s="2" t="str">
        <f>IF($N1510="","",IF(AND(G1510=0,H1510=0),"수량 없음",IF(G1510=0,"신규 (전년 수량 없음)",IF(H1510=0,"당해 수량 없음",""))))</f>
        <v/>
      </c>
      <c r="N1510" t="str">
        <f>IF($B1510="","",MATCH($B1510,'_calc'!$L$2:$L$3001,0))</f>
        <v/>
      </c>
    </row>
    <row r="1511">
      <c r="B1511" s="24" t="str">
        <f>IF(ROW()-ROW($B$8)&gt;nComp,"",ROW()-ROW($B$8))</f>
        <v/>
      </c>
      <c r="C1511" t="str">
        <f>IF($N1511="","",INDEX('_calc'!$A$2:$A$3001,$N1511))</f>
        <v/>
      </c>
      <c r="D1511" s="25" t="str">
        <f>IF($N1511="","",INDEX('_calc'!$C$2:$C$3001,$N1511))</f>
        <v/>
      </c>
      <c r="E1511" s="25" t="str">
        <f>IF($N1511="","",INDEX('_calc'!$D$2:$D$3001,$N1511))</f>
        <v/>
      </c>
      <c r="F1511" s="26" t="str">
        <f>IF($N1511="","",IF($E$8=0,"",E1511/$E$8))</f>
        <v/>
      </c>
      <c r="G1511" s="25" t="str">
        <f>IF($N1511="","",INDEX('_calc'!$E$2:$E$3001,$N1511))</f>
        <v/>
      </c>
      <c r="H1511" s="25" t="str">
        <f>IF($N1511="","",INDEX('_calc'!$F$2:$F$3001,$N1511))</f>
        <v/>
      </c>
      <c r="I1511" s="27" t="str">
        <f>IF($N1511="","",INDEX('_calc'!$H$2:$H$3001,$N1511))</f>
        <v/>
      </c>
      <c r="J1511" s="27" t="str">
        <f>IF($N1511="","",INDEX('_calc'!$I$2:$I$3001,$N1511))</f>
        <v/>
      </c>
      <c r="K1511" s="28" t="str">
        <f>IF($N1511="","",IF(OR(I1511="",J1511=""),"",J1511-I1511))</f>
        <v/>
      </c>
      <c r="L1511" s="29" t="str">
        <f>IF($N1511="","",INDEX('_calc'!$J$2:$J$3001,$N1511))</f>
        <v/>
      </c>
      <c r="M1511" s="2" t="str">
        <f>IF($N1511="","",IF(AND(G1511=0,H1511=0),"수량 없음",IF(G1511=0,"신규 (전년 수량 없음)",IF(H1511=0,"당해 수량 없음",""))))</f>
        <v/>
      </c>
      <c r="N1511" t="str">
        <f>IF($B1511="","",MATCH($B1511,'_calc'!$L$2:$L$3001,0))</f>
        <v/>
      </c>
    </row>
    <row r="1512">
      <c r="B1512" s="24" t="str">
        <f>IF(ROW()-ROW($B$8)&gt;nComp,"",ROW()-ROW($B$8))</f>
        <v/>
      </c>
      <c r="C1512" t="str">
        <f>IF($N1512="","",INDEX('_calc'!$A$2:$A$3001,$N1512))</f>
        <v/>
      </c>
      <c r="D1512" s="25" t="str">
        <f>IF($N1512="","",INDEX('_calc'!$C$2:$C$3001,$N1512))</f>
        <v/>
      </c>
      <c r="E1512" s="25" t="str">
        <f>IF($N1512="","",INDEX('_calc'!$D$2:$D$3001,$N1512))</f>
        <v/>
      </c>
      <c r="F1512" s="26" t="str">
        <f>IF($N1512="","",IF($E$8=0,"",E1512/$E$8))</f>
        <v/>
      </c>
      <c r="G1512" s="25" t="str">
        <f>IF($N1512="","",INDEX('_calc'!$E$2:$E$3001,$N1512))</f>
        <v/>
      </c>
      <c r="H1512" s="25" t="str">
        <f>IF($N1512="","",INDEX('_calc'!$F$2:$F$3001,$N1512))</f>
        <v/>
      </c>
      <c r="I1512" s="27" t="str">
        <f>IF($N1512="","",INDEX('_calc'!$H$2:$H$3001,$N1512))</f>
        <v/>
      </c>
      <c r="J1512" s="27" t="str">
        <f>IF($N1512="","",INDEX('_calc'!$I$2:$I$3001,$N1512))</f>
        <v/>
      </c>
      <c r="K1512" s="28" t="str">
        <f>IF($N1512="","",IF(OR(I1512="",J1512=""),"",J1512-I1512))</f>
        <v/>
      </c>
      <c r="L1512" s="29" t="str">
        <f>IF($N1512="","",INDEX('_calc'!$J$2:$J$3001,$N1512))</f>
        <v/>
      </c>
      <c r="M1512" s="2" t="str">
        <f>IF($N1512="","",IF(AND(G1512=0,H1512=0),"수량 없음",IF(G1512=0,"신규 (전년 수량 없음)",IF(H1512=0,"당해 수량 없음",""))))</f>
        <v/>
      </c>
      <c r="N1512" t="str">
        <f>IF($B1512="","",MATCH($B1512,'_calc'!$L$2:$L$3001,0))</f>
        <v/>
      </c>
    </row>
    <row r="1513">
      <c r="B1513" s="24" t="str">
        <f>IF(ROW()-ROW($B$8)&gt;nComp,"",ROW()-ROW($B$8))</f>
        <v/>
      </c>
      <c r="C1513" t="str">
        <f>IF($N1513="","",INDEX('_calc'!$A$2:$A$3001,$N1513))</f>
        <v/>
      </c>
      <c r="D1513" s="25" t="str">
        <f>IF($N1513="","",INDEX('_calc'!$C$2:$C$3001,$N1513))</f>
        <v/>
      </c>
      <c r="E1513" s="25" t="str">
        <f>IF($N1513="","",INDEX('_calc'!$D$2:$D$3001,$N1513))</f>
        <v/>
      </c>
      <c r="F1513" s="26" t="str">
        <f>IF($N1513="","",IF($E$8=0,"",E1513/$E$8))</f>
        <v/>
      </c>
      <c r="G1513" s="25" t="str">
        <f>IF($N1513="","",INDEX('_calc'!$E$2:$E$3001,$N1513))</f>
        <v/>
      </c>
      <c r="H1513" s="25" t="str">
        <f>IF($N1513="","",INDEX('_calc'!$F$2:$F$3001,$N1513))</f>
        <v/>
      </c>
      <c r="I1513" s="27" t="str">
        <f>IF($N1513="","",INDEX('_calc'!$H$2:$H$3001,$N1513))</f>
        <v/>
      </c>
      <c r="J1513" s="27" t="str">
        <f>IF($N1513="","",INDEX('_calc'!$I$2:$I$3001,$N1513))</f>
        <v/>
      </c>
      <c r="K1513" s="28" t="str">
        <f>IF($N1513="","",IF(OR(I1513="",J1513=""),"",J1513-I1513))</f>
        <v/>
      </c>
      <c r="L1513" s="29" t="str">
        <f>IF($N1513="","",INDEX('_calc'!$J$2:$J$3001,$N1513))</f>
        <v/>
      </c>
      <c r="M1513" s="2" t="str">
        <f>IF($N1513="","",IF(AND(G1513=0,H1513=0),"수량 없음",IF(G1513=0,"신규 (전년 수량 없음)",IF(H1513=0,"당해 수량 없음",""))))</f>
        <v/>
      </c>
      <c r="N1513" t="str">
        <f>IF($B1513="","",MATCH($B1513,'_calc'!$L$2:$L$3001,0))</f>
        <v/>
      </c>
    </row>
    <row r="1514">
      <c r="B1514" s="24" t="str">
        <f>IF(ROW()-ROW($B$8)&gt;nComp,"",ROW()-ROW($B$8))</f>
        <v/>
      </c>
      <c r="C1514" t="str">
        <f>IF($N1514="","",INDEX('_calc'!$A$2:$A$3001,$N1514))</f>
        <v/>
      </c>
      <c r="D1514" s="25" t="str">
        <f>IF($N1514="","",INDEX('_calc'!$C$2:$C$3001,$N1514))</f>
        <v/>
      </c>
      <c r="E1514" s="25" t="str">
        <f>IF($N1514="","",INDEX('_calc'!$D$2:$D$3001,$N1514))</f>
        <v/>
      </c>
      <c r="F1514" s="26" t="str">
        <f>IF($N1514="","",IF($E$8=0,"",E1514/$E$8))</f>
        <v/>
      </c>
      <c r="G1514" s="25" t="str">
        <f>IF($N1514="","",INDEX('_calc'!$E$2:$E$3001,$N1514))</f>
        <v/>
      </c>
      <c r="H1514" s="25" t="str">
        <f>IF($N1514="","",INDEX('_calc'!$F$2:$F$3001,$N1514))</f>
        <v/>
      </c>
      <c r="I1514" s="27" t="str">
        <f>IF($N1514="","",INDEX('_calc'!$H$2:$H$3001,$N1514))</f>
        <v/>
      </c>
      <c r="J1514" s="27" t="str">
        <f>IF($N1514="","",INDEX('_calc'!$I$2:$I$3001,$N1514))</f>
        <v/>
      </c>
      <c r="K1514" s="28" t="str">
        <f>IF($N1514="","",IF(OR(I1514="",J1514=""),"",J1514-I1514))</f>
        <v/>
      </c>
      <c r="L1514" s="29" t="str">
        <f>IF($N1514="","",INDEX('_calc'!$J$2:$J$3001,$N1514))</f>
        <v/>
      </c>
      <c r="M1514" s="2" t="str">
        <f>IF($N1514="","",IF(AND(G1514=0,H1514=0),"수량 없음",IF(G1514=0,"신규 (전년 수량 없음)",IF(H1514=0,"당해 수량 없음",""))))</f>
        <v/>
      </c>
      <c r="N1514" t="str">
        <f>IF($B1514="","",MATCH($B1514,'_calc'!$L$2:$L$3001,0))</f>
        <v/>
      </c>
    </row>
    <row r="1515">
      <c r="B1515" s="24" t="str">
        <f>IF(ROW()-ROW($B$8)&gt;nComp,"",ROW()-ROW($B$8))</f>
        <v/>
      </c>
      <c r="C1515" t="str">
        <f>IF($N1515="","",INDEX('_calc'!$A$2:$A$3001,$N1515))</f>
        <v/>
      </c>
      <c r="D1515" s="25" t="str">
        <f>IF($N1515="","",INDEX('_calc'!$C$2:$C$3001,$N1515))</f>
        <v/>
      </c>
      <c r="E1515" s="25" t="str">
        <f>IF($N1515="","",INDEX('_calc'!$D$2:$D$3001,$N1515))</f>
        <v/>
      </c>
      <c r="F1515" s="26" t="str">
        <f>IF($N1515="","",IF($E$8=0,"",E1515/$E$8))</f>
        <v/>
      </c>
      <c r="G1515" s="25" t="str">
        <f>IF($N1515="","",INDEX('_calc'!$E$2:$E$3001,$N1515))</f>
        <v/>
      </c>
      <c r="H1515" s="25" t="str">
        <f>IF($N1515="","",INDEX('_calc'!$F$2:$F$3001,$N1515))</f>
        <v/>
      </c>
      <c r="I1515" s="27" t="str">
        <f>IF($N1515="","",INDEX('_calc'!$H$2:$H$3001,$N1515))</f>
        <v/>
      </c>
      <c r="J1515" s="27" t="str">
        <f>IF($N1515="","",INDEX('_calc'!$I$2:$I$3001,$N1515))</f>
        <v/>
      </c>
      <c r="K1515" s="28" t="str">
        <f>IF($N1515="","",IF(OR(I1515="",J1515=""),"",J1515-I1515))</f>
        <v/>
      </c>
      <c r="L1515" s="29" t="str">
        <f>IF($N1515="","",INDEX('_calc'!$J$2:$J$3001,$N1515))</f>
        <v/>
      </c>
      <c r="M1515" s="2" t="str">
        <f>IF($N1515="","",IF(AND(G1515=0,H1515=0),"수량 없음",IF(G1515=0,"신규 (전년 수량 없음)",IF(H1515=0,"당해 수량 없음",""))))</f>
        <v/>
      </c>
      <c r="N1515" t="str">
        <f>IF($B1515="","",MATCH($B1515,'_calc'!$L$2:$L$3001,0))</f>
        <v/>
      </c>
    </row>
    <row r="1516">
      <c r="B1516" s="24" t="str">
        <f>IF(ROW()-ROW($B$8)&gt;nComp,"",ROW()-ROW($B$8))</f>
        <v/>
      </c>
      <c r="C1516" t="str">
        <f>IF($N1516="","",INDEX('_calc'!$A$2:$A$3001,$N1516))</f>
        <v/>
      </c>
      <c r="D1516" s="25" t="str">
        <f>IF($N1516="","",INDEX('_calc'!$C$2:$C$3001,$N1516))</f>
        <v/>
      </c>
      <c r="E1516" s="25" t="str">
        <f>IF($N1516="","",INDEX('_calc'!$D$2:$D$3001,$N1516))</f>
        <v/>
      </c>
      <c r="F1516" s="26" t="str">
        <f>IF($N1516="","",IF($E$8=0,"",E1516/$E$8))</f>
        <v/>
      </c>
      <c r="G1516" s="25" t="str">
        <f>IF($N1516="","",INDEX('_calc'!$E$2:$E$3001,$N1516))</f>
        <v/>
      </c>
      <c r="H1516" s="25" t="str">
        <f>IF($N1516="","",INDEX('_calc'!$F$2:$F$3001,$N1516))</f>
        <v/>
      </c>
      <c r="I1516" s="27" t="str">
        <f>IF($N1516="","",INDEX('_calc'!$H$2:$H$3001,$N1516))</f>
        <v/>
      </c>
      <c r="J1516" s="27" t="str">
        <f>IF($N1516="","",INDEX('_calc'!$I$2:$I$3001,$N1516))</f>
        <v/>
      </c>
      <c r="K1516" s="28" t="str">
        <f>IF($N1516="","",IF(OR(I1516="",J1516=""),"",J1516-I1516))</f>
        <v/>
      </c>
      <c r="L1516" s="29" t="str">
        <f>IF($N1516="","",INDEX('_calc'!$J$2:$J$3001,$N1516))</f>
        <v/>
      </c>
      <c r="M1516" s="2" t="str">
        <f>IF($N1516="","",IF(AND(G1516=0,H1516=0),"수량 없음",IF(G1516=0,"신규 (전년 수량 없음)",IF(H1516=0,"당해 수량 없음",""))))</f>
        <v/>
      </c>
      <c r="N1516" t="str">
        <f>IF($B1516="","",MATCH($B1516,'_calc'!$L$2:$L$3001,0))</f>
        <v/>
      </c>
    </row>
    <row r="1517">
      <c r="B1517" s="24" t="str">
        <f>IF(ROW()-ROW($B$8)&gt;nComp,"",ROW()-ROW($B$8))</f>
        <v/>
      </c>
      <c r="C1517" t="str">
        <f>IF($N1517="","",INDEX('_calc'!$A$2:$A$3001,$N1517))</f>
        <v/>
      </c>
      <c r="D1517" s="25" t="str">
        <f>IF($N1517="","",INDEX('_calc'!$C$2:$C$3001,$N1517))</f>
        <v/>
      </c>
      <c r="E1517" s="25" t="str">
        <f>IF($N1517="","",INDEX('_calc'!$D$2:$D$3001,$N1517))</f>
        <v/>
      </c>
      <c r="F1517" s="26" t="str">
        <f>IF($N1517="","",IF($E$8=0,"",E1517/$E$8))</f>
        <v/>
      </c>
      <c r="G1517" s="25" t="str">
        <f>IF($N1517="","",INDEX('_calc'!$E$2:$E$3001,$N1517))</f>
        <v/>
      </c>
      <c r="H1517" s="25" t="str">
        <f>IF($N1517="","",INDEX('_calc'!$F$2:$F$3001,$N1517))</f>
        <v/>
      </c>
      <c r="I1517" s="27" t="str">
        <f>IF($N1517="","",INDEX('_calc'!$H$2:$H$3001,$N1517))</f>
        <v/>
      </c>
      <c r="J1517" s="27" t="str">
        <f>IF($N1517="","",INDEX('_calc'!$I$2:$I$3001,$N1517))</f>
        <v/>
      </c>
      <c r="K1517" s="28" t="str">
        <f>IF($N1517="","",IF(OR(I1517="",J1517=""),"",J1517-I1517))</f>
        <v/>
      </c>
      <c r="L1517" s="29" t="str">
        <f>IF($N1517="","",INDEX('_calc'!$J$2:$J$3001,$N1517))</f>
        <v/>
      </c>
      <c r="M1517" s="2" t="str">
        <f>IF($N1517="","",IF(AND(G1517=0,H1517=0),"수량 없음",IF(G1517=0,"신규 (전년 수량 없음)",IF(H1517=0,"당해 수량 없음",""))))</f>
        <v/>
      </c>
      <c r="N1517" t="str">
        <f>IF($B1517="","",MATCH($B1517,'_calc'!$L$2:$L$3001,0))</f>
        <v/>
      </c>
    </row>
    <row r="1518">
      <c r="B1518" s="24" t="str">
        <f>IF(ROW()-ROW($B$8)&gt;nComp,"",ROW()-ROW($B$8))</f>
        <v/>
      </c>
      <c r="C1518" t="str">
        <f>IF($N1518="","",INDEX('_calc'!$A$2:$A$3001,$N1518))</f>
        <v/>
      </c>
      <c r="D1518" s="25" t="str">
        <f>IF($N1518="","",INDEX('_calc'!$C$2:$C$3001,$N1518))</f>
        <v/>
      </c>
      <c r="E1518" s="25" t="str">
        <f>IF($N1518="","",INDEX('_calc'!$D$2:$D$3001,$N1518))</f>
        <v/>
      </c>
      <c r="F1518" s="26" t="str">
        <f>IF($N1518="","",IF($E$8=0,"",E1518/$E$8))</f>
        <v/>
      </c>
      <c r="G1518" s="25" t="str">
        <f>IF($N1518="","",INDEX('_calc'!$E$2:$E$3001,$N1518))</f>
        <v/>
      </c>
      <c r="H1518" s="25" t="str">
        <f>IF($N1518="","",INDEX('_calc'!$F$2:$F$3001,$N1518))</f>
        <v/>
      </c>
      <c r="I1518" s="27" t="str">
        <f>IF($N1518="","",INDEX('_calc'!$H$2:$H$3001,$N1518))</f>
        <v/>
      </c>
      <c r="J1518" s="27" t="str">
        <f>IF($N1518="","",INDEX('_calc'!$I$2:$I$3001,$N1518))</f>
        <v/>
      </c>
      <c r="K1518" s="28" t="str">
        <f>IF($N1518="","",IF(OR(I1518="",J1518=""),"",J1518-I1518))</f>
        <v/>
      </c>
      <c r="L1518" s="29" t="str">
        <f>IF($N1518="","",INDEX('_calc'!$J$2:$J$3001,$N1518))</f>
        <v/>
      </c>
      <c r="M1518" s="2" t="str">
        <f>IF($N1518="","",IF(AND(G1518=0,H1518=0),"수량 없음",IF(G1518=0,"신규 (전년 수량 없음)",IF(H1518=0,"당해 수량 없음",""))))</f>
        <v/>
      </c>
      <c r="N1518" t="str">
        <f>IF($B1518="","",MATCH($B1518,'_calc'!$L$2:$L$3001,0))</f>
        <v/>
      </c>
    </row>
    <row r="1519">
      <c r="B1519" s="24" t="str">
        <f>IF(ROW()-ROW($B$8)&gt;nComp,"",ROW()-ROW($B$8))</f>
        <v/>
      </c>
      <c r="C1519" t="str">
        <f>IF($N1519="","",INDEX('_calc'!$A$2:$A$3001,$N1519))</f>
        <v/>
      </c>
      <c r="D1519" s="25" t="str">
        <f>IF($N1519="","",INDEX('_calc'!$C$2:$C$3001,$N1519))</f>
        <v/>
      </c>
      <c r="E1519" s="25" t="str">
        <f>IF($N1519="","",INDEX('_calc'!$D$2:$D$3001,$N1519))</f>
        <v/>
      </c>
      <c r="F1519" s="26" t="str">
        <f>IF($N1519="","",IF($E$8=0,"",E1519/$E$8))</f>
        <v/>
      </c>
      <c r="G1519" s="25" t="str">
        <f>IF($N1519="","",INDEX('_calc'!$E$2:$E$3001,$N1519))</f>
        <v/>
      </c>
      <c r="H1519" s="25" t="str">
        <f>IF($N1519="","",INDEX('_calc'!$F$2:$F$3001,$N1519))</f>
        <v/>
      </c>
      <c r="I1519" s="27" t="str">
        <f>IF($N1519="","",INDEX('_calc'!$H$2:$H$3001,$N1519))</f>
        <v/>
      </c>
      <c r="J1519" s="27" t="str">
        <f>IF($N1519="","",INDEX('_calc'!$I$2:$I$3001,$N1519))</f>
        <v/>
      </c>
      <c r="K1519" s="28" t="str">
        <f>IF($N1519="","",IF(OR(I1519="",J1519=""),"",J1519-I1519))</f>
        <v/>
      </c>
      <c r="L1519" s="29" t="str">
        <f>IF($N1519="","",INDEX('_calc'!$J$2:$J$3001,$N1519))</f>
        <v/>
      </c>
      <c r="M1519" s="2" t="str">
        <f>IF($N1519="","",IF(AND(G1519=0,H1519=0),"수량 없음",IF(G1519=0,"신규 (전년 수량 없음)",IF(H1519=0,"당해 수량 없음",""))))</f>
        <v/>
      </c>
      <c r="N1519" t="str">
        <f>IF($B1519="","",MATCH($B1519,'_calc'!$L$2:$L$3001,0))</f>
        <v/>
      </c>
    </row>
    <row r="1520">
      <c r="B1520" s="24" t="str">
        <f>IF(ROW()-ROW($B$8)&gt;nComp,"",ROW()-ROW($B$8))</f>
        <v/>
      </c>
      <c r="C1520" t="str">
        <f>IF($N1520="","",INDEX('_calc'!$A$2:$A$3001,$N1520))</f>
        <v/>
      </c>
      <c r="D1520" s="25" t="str">
        <f>IF($N1520="","",INDEX('_calc'!$C$2:$C$3001,$N1520))</f>
        <v/>
      </c>
      <c r="E1520" s="25" t="str">
        <f>IF($N1520="","",INDEX('_calc'!$D$2:$D$3001,$N1520))</f>
        <v/>
      </c>
      <c r="F1520" s="26" t="str">
        <f>IF($N1520="","",IF($E$8=0,"",E1520/$E$8))</f>
        <v/>
      </c>
      <c r="G1520" s="25" t="str">
        <f>IF($N1520="","",INDEX('_calc'!$E$2:$E$3001,$N1520))</f>
        <v/>
      </c>
      <c r="H1520" s="25" t="str">
        <f>IF($N1520="","",INDEX('_calc'!$F$2:$F$3001,$N1520))</f>
        <v/>
      </c>
      <c r="I1520" s="27" t="str">
        <f>IF($N1520="","",INDEX('_calc'!$H$2:$H$3001,$N1520))</f>
        <v/>
      </c>
      <c r="J1520" s="27" t="str">
        <f>IF($N1520="","",INDEX('_calc'!$I$2:$I$3001,$N1520))</f>
        <v/>
      </c>
      <c r="K1520" s="28" t="str">
        <f>IF($N1520="","",IF(OR(I1520="",J1520=""),"",J1520-I1520))</f>
        <v/>
      </c>
      <c r="L1520" s="29" t="str">
        <f>IF($N1520="","",INDEX('_calc'!$J$2:$J$3001,$N1520))</f>
        <v/>
      </c>
      <c r="M1520" s="2" t="str">
        <f>IF($N1520="","",IF(AND(G1520=0,H1520=0),"수량 없음",IF(G1520=0,"신규 (전년 수량 없음)",IF(H1520=0,"당해 수량 없음",""))))</f>
        <v/>
      </c>
      <c r="N1520" t="str">
        <f>IF($B1520="","",MATCH($B1520,'_calc'!$L$2:$L$3001,0))</f>
        <v/>
      </c>
    </row>
    <row r="1521">
      <c r="B1521" s="24" t="str">
        <f>IF(ROW()-ROW($B$8)&gt;nComp,"",ROW()-ROW($B$8))</f>
        <v/>
      </c>
      <c r="C1521" t="str">
        <f>IF($N1521="","",INDEX('_calc'!$A$2:$A$3001,$N1521))</f>
        <v/>
      </c>
      <c r="D1521" s="25" t="str">
        <f>IF($N1521="","",INDEX('_calc'!$C$2:$C$3001,$N1521))</f>
        <v/>
      </c>
      <c r="E1521" s="25" t="str">
        <f>IF($N1521="","",INDEX('_calc'!$D$2:$D$3001,$N1521))</f>
        <v/>
      </c>
      <c r="F1521" s="26" t="str">
        <f>IF($N1521="","",IF($E$8=0,"",E1521/$E$8))</f>
        <v/>
      </c>
      <c r="G1521" s="25" t="str">
        <f>IF($N1521="","",INDEX('_calc'!$E$2:$E$3001,$N1521))</f>
        <v/>
      </c>
      <c r="H1521" s="25" t="str">
        <f>IF($N1521="","",INDEX('_calc'!$F$2:$F$3001,$N1521))</f>
        <v/>
      </c>
      <c r="I1521" s="27" t="str">
        <f>IF($N1521="","",INDEX('_calc'!$H$2:$H$3001,$N1521))</f>
        <v/>
      </c>
      <c r="J1521" s="27" t="str">
        <f>IF($N1521="","",INDEX('_calc'!$I$2:$I$3001,$N1521))</f>
        <v/>
      </c>
      <c r="K1521" s="28" t="str">
        <f>IF($N1521="","",IF(OR(I1521="",J1521=""),"",J1521-I1521))</f>
        <v/>
      </c>
      <c r="L1521" s="29" t="str">
        <f>IF($N1521="","",INDEX('_calc'!$J$2:$J$3001,$N1521))</f>
        <v/>
      </c>
      <c r="M1521" s="2" t="str">
        <f>IF($N1521="","",IF(AND(G1521=0,H1521=0),"수량 없음",IF(G1521=0,"신규 (전년 수량 없음)",IF(H1521=0,"당해 수량 없음",""))))</f>
        <v/>
      </c>
      <c r="N1521" t="str">
        <f>IF($B1521="","",MATCH($B1521,'_calc'!$L$2:$L$3001,0))</f>
        <v/>
      </c>
    </row>
    <row r="1522">
      <c r="B1522" s="24" t="str">
        <f>IF(ROW()-ROW($B$8)&gt;nComp,"",ROW()-ROW($B$8))</f>
        <v/>
      </c>
      <c r="C1522" t="str">
        <f>IF($N1522="","",INDEX('_calc'!$A$2:$A$3001,$N1522))</f>
        <v/>
      </c>
      <c r="D1522" s="25" t="str">
        <f>IF($N1522="","",INDEX('_calc'!$C$2:$C$3001,$N1522))</f>
        <v/>
      </c>
      <c r="E1522" s="25" t="str">
        <f>IF($N1522="","",INDEX('_calc'!$D$2:$D$3001,$N1522))</f>
        <v/>
      </c>
      <c r="F1522" s="26" t="str">
        <f>IF($N1522="","",IF($E$8=0,"",E1522/$E$8))</f>
        <v/>
      </c>
      <c r="G1522" s="25" t="str">
        <f>IF($N1522="","",INDEX('_calc'!$E$2:$E$3001,$N1522))</f>
        <v/>
      </c>
      <c r="H1522" s="25" t="str">
        <f>IF($N1522="","",INDEX('_calc'!$F$2:$F$3001,$N1522))</f>
        <v/>
      </c>
      <c r="I1522" s="27" t="str">
        <f>IF($N1522="","",INDEX('_calc'!$H$2:$H$3001,$N1522))</f>
        <v/>
      </c>
      <c r="J1522" s="27" t="str">
        <f>IF($N1522="","",INDEX('_calc'!$I$2:$I$3001,$N1522))</f>
        <v/>
      </c>
      <c r="K1522" s="28" t="str">
        <f>IF($N1522="","",IF(OR(I1522="",J1522=""),"",J1522-I1522))</f>
        <v/>
      </c>
      <c r="L1522" s="29" t="str">
        <f>IF($N1522="","",INDEX('_calc'!$J$2:$J$3001,$N1522))</f>
        <v/>
      </c>
      <c r="M1522" s="2" t="str">
        <f>IF($N1522="","",IF(AND(G1522=0,H1522=0),"수량 없음",IF(G1522=0,"신규 (전년 수량 없음)",IF(H1522=0,"당해 수량 없음",""))))</f>
        <v/>
      </c>
      <c r="N1522" t="str">
        <f>IF($B1522="","",MATCH($B1522,'_calc'!$L$2:$L$3001,0))</f>
        <v/>
      </c>
    </row>
    <row r="1523">
      <c r="B1523" s="24" t="str">
        <f>IF(ROW()-ROW($B$8)&gt;nComp,"",ROW()-ROW($B$8))</f>
        <v/>
      </c>
      <c r="C1523" t="str">
        <f>IF($N1523="","",INDEX('_calc'!$A$2:$A$3001,$N1523))</f>
        <v/>
      </c>
      <c r="D1523" s="25" t="str">
        <f>IF($N1523="","",INDEX('_calc'!$C$2:$C$3001,$N1523))</f>
        <v/>
      </c>
      <c r="E1523" s="25" t="str">
        <f>IF($N1523="","",INDEX('_calc'!$D$2:$D$3001,$N1523))</f>
        <v/>
      </c>
      <c r="F1523" s="26" t="str">
        <f>IF($N1523="","",IF($E$8=0,"",E1523/$E$8))</f>
        <v/>
      </c>
      <c r="G1523" s="25" t="str">
        <f>IF($N1523="","",INDEX('_calc'!$E$2:$E$3001,$N1523))</f>
        <v/>
      </c>
      <c r="H1523" s="25" t="str">
        <f>IF($N1523="","",INDEX('_calc'!$F$2:$F$3001,$N1523))</f>
        <v/>
      </c>
      <c r="I1523" s="27" t="str">
        <f>IF($N1523="","",INDEX('_calc'!$H$2:$H$3001,$N1523))</f>
        <v/>
      </c>
      <c r="J1523" s="27" t="str">
        <f>IF($N1523="","",INDEX('_calc'!$I$2:$I$3001,$N1523))</f>
        <v/>
      </c>
      <c r="K1523" s="28" t="str">
        <f>IF($N1523="","",IF(OR(I1523="",J1523=""),"",J1523-I1523))</f>
        <v/>
      </c>
      <c r="L1523" s="29" t="str">
        <f>IF($N1523="","",INDEX('_calc'!$J$2:$J$3001,$N1523))</f>
        <v/>
      </c>
      <c r="M1523" s="2" t="str">
        <f>IF($N1523="","",IF(AND(G1523=0,H1523=0),"수량 없음",IF(G1523=0,"신규 (전년 수량 없음)",IF(H1523=0,"당해 수량 없음",""))))</f>
        <v/>
      </c>
      <c r="N1523" t="str">
        <f>IF($B1523="","",MATCH($B1523,'_calc'!$L$2:$L$3001,0))</f>
        <v/>
      </c>
    </row>
    <row r="1524">
      <c r="B1524" s="24" t="str">
        <f>IF(ROW()-ROW($B$8)&gt;nComp,"",ROW()-ROW($B$8))</f>
        <v/>
      </c>
      <c r="C1524" t="str">
        <f>IF($N1524="","",INDEX('_calc'!$A$2:$A$3001,$N1524))</f>
        <v/>
      </c>
      <c r="D1524" s="25" t="str">
        <f>IF($N1524="","",INDEX('_calc'!$C$2:$C$3001,$N1524))</f>
        <v/>
      </c>
      <c r="E1524" s="25" t="str">
        <f>IF($N1524="","",INDEX('_calc'!$D$2:$D$3001,$N1524))</f>
        <v/>
      </c>
      <c r="F1524" s="26" t="str">
        <f>IF($N1524="","",IF($E$8=0,"",E1524/$E$8))</f>
        <v/>
      </c>
      <c r="G1524" s="25" t="str">
        <f>IF($N1524="","",INDEX('_calc'!$E$2:$E$3001,$N1524))</f>
        <v/>
      </c>
      <c r="H1524" s="25" t="str">
        <f>IF($N1524="","",INDEX('_calc'!$F$2:$F$3001,$N1524))</f>
        <v/>
      </c>
      <c r="I1524" s="27" t="str">
        <f>IF($N1524="","",INDEX('_calc'!$H$2:$H$3001,$N1524))</f>
        <v/>
      </c>
      <c r="J1524" s="27" t="str">
        <f>IF($N1524="","",INDEX('_calc'!$I$2:$I$3001,$N1524))</f>
        <v/>
      </c>
      <c r="K1524" s="28" t="str">
        <f>IF($N1524="","",IF(OR(I1524="",J1524=""),"",J1524-I1524))</f>
        <v/>
      </c>
      <c r="L1524" s="29" t="str">
        <f>IF($N1524="","",INDEX('_calc'!$J$2:$J$3001,$N1524))</f>
        <v/>
      </c>
      <c r="M1524" s="2" t="str">
        <f>IF($N1524="","",IF(AND(G1524=0,H1524=0),"수량 없음",IF(G1524=0,"신규 (전년 수량 없음)",IF(H1524=0,"당해 수량 없음",""))))</f>
        <v/>
      </c>
      <c r="N1524" t="str">
        <f>IF($B1524="","",MATCH($B1524,'_calc'!$L$2:$L$3001,0))</f>
        <v/>
      </c>
    </row>
    <row r="1525">
      <c r="B1525" s="24" t="str">
        <f>IF(ROW()-ROW($B$8)&gt;nComp,"",ROW()-ROW($B$8))</f>
        <v/>
      </c>
      <c r="C1525" t="str">
        <f>IF($N1525="","",INDEX('_calc'!$A$2:$A$3001,$N1525))</f>
        <v/>
      </c>
      <c r="D1525" s="25" t="str">
        <f>IF($N1525="","",INDEX('_calc'!$C$2:$C$3001,$N1525))</f>
        <v/>
      </c>
      <c r="E1525" s="25" t="str">
        <f>IF($N1525="","",INDEX('_calc'!$D$2:$D$3001,$N1525))</f>
        <v/>
      </c>
      <c r="F1525" s="26" t="str">
        <f>IF($N1525="","",IF($E$8=0,"",E1525/$E$8))</f>
        <v/>
      </c>
      <c r="G1525" s="25" t="str">
        <f>IF($N1525="","",INDEX('_calc'!$E$2:$E$3001,$N1525))</f>
        <v/>
      </c>
      <c r="H1525" s="25" t="str">
        <f>IF($N1525="","",INDEX('_calc'!$F$2:$F$3001,$N1525))</f>
        <v/>
      </c>
      <c r="I1525" s="27" t="str">
        <f>IF($N1525="","",INDEX('_calc'!$H$2:$H$3001,$N1525))</f>
        <v/>
      </c>
      <c r="J1525" s="27" t="str">
        <f>IF($N1525="","",INDEX('_calc'!$I$2:$I$3001,$N1525))</f>
        <v/>
      </c>
      <c r="K1525" s="28" t="str">
        <f>IF($N1525="","",IF(OR(I1525="",J1525=""),"",J1525-I1525))</f>
        <v/>
      </c>
      <c r="L1525" s="29" t="str">
        <f>IF($N1525="","",INDEX('_calc'!$J$2:$J$3001,$N1525))</f>
        <v/>
      </c>
      <c r="M1525" s="2" t="str">
        <f>IF($N1525="","",IF(AND(G1525=0,H1525=0),"수량 없음",IF(G1525=0,"신규 (전년 수량 없음)",IF(H1525=0,"당해 수량 없음",""))))</f>
        <v/>
      </c>
      <c r="N1525" t="str">
        <f>IF($B1525="","",MATCH($B1525,'_calc'!$L$2:$L$3001,0))</f>
        <v/>
      </c>
    </row>
    <row r="1526">
      <c r="B1526" s="24" t="str">
        <f>IF(ROW()-ROW($B$8)&gt;nComp,"",ROW()-ROW($B$8))</f>
        <v/>
      </c>
      <c r="C1526" t="str">
        <f>IF($N1526="","",INDEX('_calc'!$A$2:$A$3001,$N1526))</f>
        <v/>
      </c>
      <c r="D1526" s="25" t="str">
        <f>IF($N1526="","",INDEX('_calc'!$C$2:$C$3001,$N1526))</f>
        <v/>
      </c>
      <c r="E1526" s="25" t="str">
        <f>IF($N1526="","",INDEX('_calc'!$D$2:$D$3001,$N1526))</f>
        <v/>
      </c>
      <c r="F1526" s="26" t="str">
        <f>IF($N1526="","",IF($E$8=0,"",E1526/$E$8))</f>
        <v/>
      </c>
      <c r="G1526" s="25" t="str">
        <f>IF($N1526="","",INDEX('_calc'!$E$2:$E$3001,$N1526))</f>
        <v/>
      </c>
      <c r="H1526" s="25" t="str">
        <f>IF($N1526="","",INDEX('_calc'!$F$2:$F$3001,$N1526))</f>
        <v/>
      </c>
      <c r="I1526" s="27" t="str">
        <f>IF($N1526="","",INDEX('_calc'!$H$2:$H$3001,$N1526))</f>
        <v/>
      </c>
      <c r="J1526" s="27" t="str">
        <f>IF($N1526="","",INDEX('_calc'!$I$2:$I$3001,$N1526))</f>
        <v/>
      </c>
      <c r="K1526" s="28" t="str">
        <f>IF($N1526="","",IF(OR(I1526="",J1526=""),"",J1526-I1526))</f>
        <v/>
      </c>
      <c r="L1526" s="29" t="str">
        <f>IF($N1526="","",INDEX('_calc'!$J$2:$J$3001,$N1526))</f>
        <v/>
      </c>
      <c r="M1526" s="2" t="str">
        <f>IF($N1526="","",IF(AND(G1526=0,H1526=0),"수량 없음",IF(G1526=0,"신규 (전년 수량 없음)",IF(H1526=0,"당해 수량 없음",""))))</f>
        <v/>
      </c>
      <c r="N1526" t="str">
        <f>IF($B1526="","",MATCH($B1526,'_calc'!$L$2:$L$3001,0))</f>
        <v/>
      </c>
    </row>
    <row r="1527">
      <c r="B1527" s="24" t="str">
        <f>IF(ROW()-ROW($B$8)&gt;nComp,"",ROW()-ROW($B$8))</f>
        <v/>
      </c>
      <c r="C1527" t="str">
        <f>IF($N1527="","",INDEX('_calc'!$A$2:$A$3001,$N1527))</f>
        <v/>
      </c>
      <c r="D1527" s="25" t="str">
        <f>IF($N1527="","",INDEX('_calc'!$C$2:$C$3001,$N1527))</f>
        <v/>
      </c>
      <c r="E1527" s="25" t="str">
        <f>IF($N1527="","",INDEX('_calc'!$D$2:$D$3001,$N1527))</f>
        <v/>
      </c>
      <c r="F1527" s="26" t="str">
        <f>IF($N1527="","",IF($E$8=0,"",E1527/$E$8))</f>
        <v/>
      </c>
      <c r="G1527" s="25" t="str">
        <f>IF($N1527="","",INDEX('_calc'!$E$2:$E$3001,$N1527))</f>
        <v/>
      </c>
      <c r="H1527" s="25" t="str">
        <f>IF($N1527="","",INDEX('_calc'!$F$2:$F$3001,$N1527))</f>
        <v/>
      </c>
      <c r="I1527" s="27" t="str">
        <f>IF($N1527="","",INDEX('_calc'!$H$2:$H$3001,$N1527))</f>
        <v/>
      </c>
      <c r="J1527" s="27" t="str">
        <f>IF($N1527="","",INDEX('_calc'!$I$2:$I$3001,$N1527))</f>
        <v/>
      </c>
      <c r="K1527" s="28" t="str">
        <f>IF($N1527="","",IF(OR(I1527="",J1527=""),"",J1527-I1527))</f>
        <v/>
      </c>
      <c r="L1527" s="29" t="str">
        <f>IF($N1527="","",INDEX('_calc'!$J$2:$J$3001,$N1527))</f>
        <v/>
      </c>
      <c r="M1527" s="2" t="str">
        <f>IF($N1527="","",IF(AND(G1527=0,H1527=0),"수량 없음",IF(G1527=0,"신규 (전년 수량 없음)",IF(H1527=0,"당해 수량 없음",""))))</f>
        <v/>
      </c>
      <c r="N1527" t="str">
        <f>IF($B1527="","",MATCH($B1527,'_calc'!$L$2:$L$3001,0))</f>
        <v/>
      </c>
    </row>
    <row r="1528">
      <c r="B1528" s="24" t="str">
        <f>IF(ROW()-ROW($B$8)&gt;nComp,"",ROW()-ROW($B$8))</f>
        <v/>
      </c>
      <c r="C1528" t="str">
        <f>IF($N1528="","",INDEX('_calc'!$A$2:$A$3001,$N1528))</f>
        <v/>
      </c>
      <c r="D1528" s="25" t="str">
        <f>IF($N1528="","",INDEX('_calc'!$C$2:$C$3001,$N1528))</f>
        <v/>
      </c>
      <c r="E1528" s="25" t="str">
        <f>IF($N1528="","",INDEX('_calc'!$D$2:$D$3001,$N1528))</f>
        <v/>
      </c>
      <c r="F1528" s="26" t="str">
        <f>IF($N1528="","",IF($E$8=0,"",E1528/$E$8))</f>
        <v/>
      </c>
      <c r="G1528" s="25" t="str">
        <f>IF($N1528="","",INDEX('_calc'!$E$2:$E$3001,$N1528))</f>
        <v/>
      </c>
      <c r="H1528" s="25" t="str">
        <f>IF($N1528="","",INDEX('_calc'!$F$2:$F$3001,$N1528))</f>
        <v/>
      </c>
      <c r="I1528" s="27" t="str">
        <f>IF($N1528="","",INDEX('_calc'!$H$2:$H$3001,$N1528))</f>
        <v/>
      </c>
      <c r="J1528" s="27" t="str">
        <f>IF($N1528="","",INDEX('_calc'!$I$2:$I$3001,$N1528))</f>
        <v/>
      </c>
      <c r="K1528" s="28" t="str">
        <f>IF($N1528="","",IF(OR(I1528="",J1528=""),"",J1528-I1528))</f>
        <v/>
      </c>
      <c r="L1528" s="29" t="str">
        <f>IF($N1528="","",INDEX('_calc'!$J$2:$J$3001,$N1528))</f>
        <v/>
      </c>
      <c r="M1528" s="2" t="str">
        <f>IF($N1528="","",IF(AND(G1528=0,H1528=0),"수량 없음",IF(G1528=0,"신규 (전년 수량 없음)",IF(H1528=0,"당해 수량 없음",""))))</f>
        <v/>
      </c>
      <c r="N1528" t="str">
        <f>IF($B1528="","",MATCH($B1528,'_calc'!$L$2:$L$3001,0))</f>
        <v/>
      </c>
    </row>
    <row r="1529">
      <c r="B1529" s="24" t="str">
        <f>IF(ROW()-ROW($B$8)&gt;nComp,"",ROW()-ROW($B$8))</f>
        <v/>
      </c>
      <c r="C1529" t="str">
        <f>IF($N1529="","",INDEX('_calc'!$A$2:$A$3001,$N1529))</f>
        <v/>
      </c>
      <c r="D1529" s="25" t="str">
        <f>IF($N1529="","",INDEX('_calc'!$C$2:$C$3001,$N1529))</f>
        <v/>
      </c>
      <c r="E1529" s="25" t="str">
        <f>IF($N1529="","",INDEX('_calc'!$D$2:$D$3001,$N1529))</f>
        <v/>
      </c>
      <c r="F1529" s="26" t="str">
        <f>IF($N1529="","",IF($E$8=0,"",E1529/$E$8))</f>
        <v/>
      </c>
      <c r="G1529" s="25" t="str">
        <f>IF($N1529="","",INDEX('_calc'!$E$2:$E$3001,$N1529))</f>
        <v/>
      </c>
      <c r="H1529" s="25" t="str">
        <f>IF($N1529="","",INDEX('_calc'!$F$2:$F$3001,$N1529))</f>
        <v/>
      </c>
      <c r="I1529" s="27" t="str">
        <f>IF($N1529="","",INDEX('_calc'!$H$2:$H$3001,$N1529))</f>
        <v/>
      </c>
      <c r="J1529" s="27" t="str">
        <f>IF($N1529="","",INDEX('_calc'!$I$2:$I$3001,$N1529))</f>
        <v/>
      </c>
      <c r="K1529" s="28" t="str">
        <f>IF($N1529="","",IF(OR(I1529="",J1529=""),"",J1529-I1529))</f>
        <v/>
      </c>
      <c r="L1529" s="29" t="str">
        <f>IF($N1529="","",INDEX('_calc'!$J$2:$J$3001,$N1529))</f>
        <v/>
      </c>
      <c r="M1529" s="2" t="str">
        <f>IF($N1529="","",IF(AND(G1529=0,H1529=0),"수량 없음",IF(G1529=0,"신규 (전년 수량 없음)",IF(H1529=0,"당해 수량 없음",""))))</f>
        <v/>
      </c>
      <c r="N1529" t="str">
        <f>IF($B1529="","",MATCH($B1529,'_calc'!$L$2:$L$3001,0))</f>
        <v/>
      </c>
    </row>
    <row r="1530">
      <c r="B1530" s="24" t="str">
        <f>IF(ROW()-ROW($B$8)&gt;nComp,"",ROW()-ROW($B$8))</f>
        <v/>
      </c>
      <c r="C1530" t="str">
        <f>IF($N1530="","",INDEX('_calc'!$A$2:$A$3001,$N1530))</f>
        <v/>
      </c>
      <c r="D1530" s="25" t="str">
        <f>IF($N1530="","",INDEX('_calc'!$C$2:$C$3001,$N1530))</f>
        <v/>
      </c>
      <c r="E1530" s="25" t="str">
        <f>IF($N1530="","",INDEX('_calc'!$D$2:$D$3001,$N1530))</f>
        <v/>
      </c>
      <c r="F1530" s="26" t="str">
        <f>IF($N1530="","",IF($E$8=0,"",E1530/$E$8))</f>
        <v/>
      </c>
      <c r="G1530" s="25" t="str">
        <f>IF($N1530="","",INDEX('_calc'!$E$2:$E$3001,$N1530))</f>
        <v/>
      </c>
      <c r="H1530" s="25" t="str">
        <f>IF($N1530="","",INDEX('_calc'!$F$2:$F$3001,$N1530))</f>
        <v/>
      </c>
      <c r="I1530" s="27" t="str">
        <f>IF($N1530="","",INDEX('_calc'!$H$2:$H$3001,$N1530))</f>
        <v/>
      </c>
      <c r="J1530" s="27" t="str">
        <f>IF($N1530="","",INDEX('_calc'!$I$2:$I$3001,$N1530))</f>
        <v/>
      </c>
      <c r="K1530" s="28" t="str">
        <f>IF($N1530="","",IF(OR(I1530="",J1530=""),"",J1530-I1530))</f>
        <v/>
      </c>
      <c r="L1530" s="29" t="str">
        <f>IF($N1530="","",INDEX('_calc'!$J$2:$J$3001,$N1530))</f>
        <v/>
      </c>
      <c r="M1530" s="2" t="str">
        <f>IF($N1530="","",IF(AND(G1530=0,H1530=0),"수량 없음",IF(G1530=0,"신규 (전년 수량 없음)",IF(H1530=0,"당해 수량 없음",""))))</f>
        <v/>
      </c>
      <c r="N1530" t="str">
        <f>IF($B1530="","",MATCH($B1530,'_calc'!$L$2:$L$3001,0))</f>
        <v/>
      </c>
    </row>
    <row r="1531">
      <c r="B1531" s="24" t="str">
        <f>IF(ROW()-ROW($B$8)&gt;nComp,"",ROW()-ROW($B$8))</f>
        <v/>
      </c>
      <c r="C1531" t="str">
        <f>IF($N1531="","",INDEX('_calc'!$A$2:$A$3001,$N1531))</f>
        <v/>
      </c>
      <c r="D1531" s="25" t="str">
        <f>IF($N1531="","",INDEX('_calc'!$C$2:$C$3001,$N1531))</f>
        <v/>
      </c>
      <c r="E1531" s="25" t="str">
        <f>IF($N1531="","",INDEX('_calc'!$D$2:$D$3001,$N1531))</f>
        <v/>
      </c>
      <c r="F1531" s="26" t="str">
        <f>IF($N1531="","",IF($E$8=0,"",E1531/$E$8))</f>
        <v/>
      </c>
      <c r="G1531" s="25" t="str">
        <f>IF($N1531="","",INDEX('_calc'!$E$2:$E$3001,$N1531))</f>
        <v/>
      </c>
      <c r="H1531" s="25" t="str">
        <f>IF($N1531="","",INDEX('_calc'!$F$2:$F$3001,$N1531))</f>
        <v/>
      </c>
      <c r="I1531" s="27" t="str">
        <f>IF($N1531="","",INDEX('_calc'!$H$2:$H$3001,$N1531))</f>
        <v/>
      </c>
      <c r="J1531" s="27" t="str">
        <f>IF($N1531="","",INDEX('_calc'!$I$2:$I$3001,$N1531))</f>
        <v/>
      </c>
      <c r="K1531" s="28" t="str">
        <f>IF($N1531="","",IF(OR(I1531="",J1531=""),"",J1531-I1531))</f>
        <v/>
      </c>
      <c r="L1531" s="29" t="str">
        <f>IF($N1531="","",INDEX('_calc'!$J$2:$J$3001,$N1531))</f>
        <v/>
      </c>
      <c r="M1531" s="2" t="str">
        <f>IF($N1531="","",IF(AND(G1531=0,H1531=0),"수량 없음",IF(G1531=0,"신규 (전년 수량 없음)",IF(H1531=0,"당해 수량 없음",""))))</f>
        <v/>
      </c>
      <c r="N1531" t="str">
        <f>IF($B1531="","",MATCH($B1531,'_calc'!$L$2:$L$3001,0))</f>
        <v/>
      </c>
    </row>
    <row r="1532">
      <c r="B1532" s="24" t="str">
        <f>IF(ROW()-ROW($B$8)&gt;nComp,"",ROW()-ROW($B$8))</f>
        <v/>
      </c>
      <c r="C1532" t="str">
        <f>IF($N1532="","",INDEX('_calc'!$A$2:$A$3001,$N1532))</f>
        <v/>
      </c>
      <c r="D1532" s="25" t="str">
        <f>IF($N1532="","",INDEX('_calc'!$C$2:$C$3001,$N1532))</f>
        <v/>
      </c>
      <c r="E1532" s="25" t="str">
        <f>IF($N1532="","",INDEX('_calc'!$D$2:$D$3001,$N1532))</f>
        <v/>
      </c>
      <c r="F1532" s="26" t="str">
        <f>IF($N1532="","",IF($E$8=0,"",E1532/$E$8))</f>
        <v/>
      </c>
      <c r="G1532" s="25" t="str">
        <f>IF($N1532="","",INDEX('_calc'!$E$2:$E$3001,$N1532))</f>
        <v/>
      </c>
      <c r="H1532" s="25" t="str">
        <f>IF($N1532="","",INDEX('_calc'!$F$2:$F$3001,$N1532))</f>
        <v/>
      </c>
      <c r="I1532" s="27" t="str">
        <f>IF($N1532="","",INDEX('_calc'!$H$2:$H$3001,$N1532))</f>
        <v/>
      </c>
      <c r="J1532" s="27" t="str">
        <f>IF($N1532="","",INDEX('_calc'!$I$2:$I$3001,$N1532))</f>
        <v/>
      </c>
      <c r="K1532" s="28" t="str">
        <f>IF($N1532="","",IF(OR(I1532="",J1532=""),"",J1532-I1532))</f>
        <v/>
      </c>
      <c r="L1532" s="29" t="str">
        <f>IF($N1532="","",INDEX('_calc'!$J$2:$J$3001,$N1532))</f>
        <v/>
      </c>
      <c r="M1532" s="2" t="str">
        <f>IF($N1532="","",IF(AND(G1532=0,H1532=0),"수량 없음",IF(G1532=0,"신규 (전년 수량 없음)",IF(H1532=0,"당해 수량 없음",""))))</f>
        <v/>
      </c>
      <c r="N1532" t="str">
        <f>IF($B1532="","",MATCH($B1532,'_calc'!$L$2:$L$3001,0))</f>
        <v/>
      </c>
    </row>
    <row r="1533">
      <c r="B1533" s="24" t="str">
        <f>IF(ROW()-ROW($B$8)&gt;nComp,"",ROW()-ROW($B$8))</f>
        <v/>
      </c>
      <c r="C1533" t="str">
        <f>IF($N1533="","",INDEX('_calc'!$A$2:$A$3001,$N1533))</f>
        <v/>
      </c>
      <c r="D1533" s="25" t="str">
        <f>IF($N1533="","",INDEX('_calc'!$C$2:$C$3001,$N1533))</f>
        <v/>
      </c>
      <c r="E1533" s="25" t="str">
        <f>IF($N1533="","",INDEX('_calc'!$D$2:$D$3001,$N1533))</f>
        <v/>
      </c>
      <c r="F1533" s="26" t="str">
        <f>IF($N1533="","",IF($E$8=0,"",E1533/$E$8))</f>
        <v/>
      </c>
      <c r="G1533" s="25" t="str">
        <f>IF($N1533="","",INDEX('_calc'!$E$2:$E$3001,$N1533))</f>
        <v/>
      </c>
      <c r="H1533" s="25" t="str">
        <f>IF($N1533="","",INDEX('_calc'!$F$2:$F$3001,$N1533))</f>
        <v/>
      </c>
      <c r="I1533" s="27" t="str">
        <f>IF($N1533="","",INDEX('_calc'!$H$2:$H$3001,$N1533))</f>
        <v/>
      </c>
      <c r="J1533" s="27" t="str">
        <f>IF($N1533="","",INDEX('_calc'!$I$2:$I$3001,$N1533))</f>
        <v/>
      </c>
      <c r="K1533" s="28" t="str">
        <f>IF($N1533="","",IF(OR(I1533="",J1533=""),"",J1533-I1533))</f>
        <v/>
      </c>
      <c r="L1533" s="29" t="str">
        <f>IF($N1533="","",INDEX('_calc'!$J$2:$J$3001,$N1533))</f>
        <v/>
      </c>
      <c r="M1533" s="2" t="str">
        <f>IF($N1533="","",IF(AND(G1533=0,H1533=0),"수량 없음",IF(G1533=0,"신규 (전년 수량 없음)",IF(H1533=0,"당해 수량 없음",""))))</f>
        <v/>
      </c>
      <c r="N1533" t="str">
        <f>IF($B1533="","",MATCH($B1533,'_calc'!$L$2:$L$3001,0))</f>
        <v/>
      </c>
    </row>
    <row r="1534">
      <c r="B1534" s="24" t="str">
        <f>IF(ROW()-ROW($B$8)&gt;nComp,"",ROW()-ROW($B$8))</f>
        <v/>
      </c>
      <c r="C1534" t="str">
        <f>IF($N1534="","",INDEX('_calc'!$A$2:$A$3001,$N1534))</f>
        <v/>
      </c>
      <c r="D1534" s="25" t="str">
        <f>IF($N1534="","",INDEX('_calc'!$C$2:$C$3001,$N1534))</f>
        <v/>
      </c>
      <c r="E1534" s="25" t="str">
        <f>IF($N1534="","",INDEX('_calc'!$D$2:$D$3001,$N1534))</f>
        <v/>
      </c>
      <c r="F1534" s="26" t="str">
        <f>IF($N1534="","",IF($E$8=0,"",E1534/$E$8))</f>
        <v/>
      </c>
      <c r="G1534" s="25" t="str">
        <f>IF($N1534="","",INDEX('_calc'!$E$2:$E$3001,$N1534))</f>
        <v/>
      </c>
      <c r="H1534" s="25" t="str">
        <f>IF($N1534="","",INDEX('_calc'!$F$2:$F$3001,$N1534))</f>
        <v/>
      </c>
      <c r="I1534" s="27" t="str">
        <f>IF($N1534="","",INDEX('_calc'!$H$2:$H$3001,$N1534))</f>
        <v/>
      </c>
      <c r="J1534" s="27" t="str">
        <f>IF($N1534="","",INDEX('_calc'!$I$2:$I$3001,$N1534))</f>
        <v/>
      </c>
      <c r="K1534" s="28" t="str">
        <f>IF($N1534="","",IF(OR(I1534="",J1534=""),"",J1534-I1534))</f>
        <v/>
      </c>
      <c r="L1534" s="29" t="str">
        <f>IF($N1534="","",INDEX('_calc'!$J$2:$J$3001,$N1534))</f>
        <v/>
      </c>
      <c r="M1534" s="2" t="str">
        <f>IF($N1534="","",IF(AND(G1534=0,H1534=0),"수량 없음",IF(G1534=0,"신규 (전년 수량 없음)",IF(H1534=0,"당해 수량 없음",""))))</f>
        <v/>
      </c>
      <c r="N1534" t="str">
        <f>IF($B1534="","",MATCH($B1534,'_calc'!$L$2:$L$3001,0))</f>
        <v/>
      </c>
    </row>
    <row r="1535">
      <c r="B1535" s="24" t="str">
        <f>IF(ROW()-ROW($B$8)&gt;nComp,"",ROW()-ROW($B$8))</f>
        <v/>
      </c>
      <c r="C1535" t="str">
        <f>IF($N1535="","",INDEX('_calc'!$A$2:$A$3001,$N1535))</f>
        <v/>
      </c>
      <c r="D1535" s="25" t="str">
        <f>IF($N1535="","",INDEX('_calc'!$C$2:$C$3001,$N1535))</f>
        <v/>
      </c>
      <c r="E1535" s="25" t="str">
        <f>IF($N1535="","",INDEX('_calc'!$D$2:$D$3001,$N1535))</f>
        <v/>
      </c>
      <c r="F1535" s="26" t="str">
        <f>IF($N1535="","",IF($E$8=0,"",E1535/$E$8))</f>
        <v/>
      </c>
      <c r="G1535" s="25" t="str">
        <f>IF($N1535="","",INDEX('_calc'!$E$2:$E$3001,$N1535))</f>
        <v/>
      </c>
      <c r="H1535" s="25" t="str">
        <f>IF($N1535="","",INDEX('_calc'!$F$2:$F$3001,$N1535))</f>
        <v/>
      </c>
      <c r="I1535" s="27" t="str">
        <f>IF($N1535="","",INDEX('_calc'!$H$2:$H$3001,$N1535))</f>
        <v/>
      </c>
      <c r="J1535" s="27" t="str">
        <f>IF($N1535="","",INDEX('_calc'!$I$2:$I$3001,$N1535))</f>
        <v/>
      </c>
      <c r="K1535" s="28" t="str">
        <f>IF($N1535="","",IF(OR(I1535="",J1535=""),"",J1535-I1535))</f>
        <v/>
      </c>
      <c r="L1535" s="29" t="str">
        <f>IF($N1535="","",INDEX('_calc'!$J$2:$J$3001,$N1535))</f>
        <v/>
      </c>
      <c r="M1535" s="2" t="str">
        <f>IF($N1535="","",IF(AND(G1535=0,H1535=0),"수량 없음",IF(G1535=0,"신규 (전년 수량 없음)",IF(H1535=0,"당해 수량 없음",""))))</f>
        <v/>
      </c>
      <c r="N1535" t="str">
        <f>IF($B1535="","",MATCH($B1535,'_calc'!$L$2:$L$3001,0))</f>
        <v/>
      </c>
    </row>
    <row r="1536">
      <c r="B1536" s="24" t="str">
        <f>IF(ROW()-ROW($B$8)&gt;nComp,"",ROW()-ROW($B$8))</f>
        <v/>
      </c>
      <c r="C1536" t="str">
        <f>IF($N1536="","",INDEX('_calc'!$A$2:$A$3001,$N1536))</f>
        <v/>
      </c>
      <c r="D1536" s="25" t="str">
        <f>IF($N1536="","",INDEX('_calc'!$C$2:$C$3001,$N1536))</f>
        <v/>
      </c>
      <c r="E1536" s="25" t="str">
        <f>IF($N1536="","",INDEX('_calc'!$D$2:$D$3001,$N1536))</f>
        <v/>
      </c>
      <c r="F1536" s="26" t="str">
        <f>IF($N1536="","",IF($E$8=0,"",E1536/$E$8))</f>
        <v/>
      </c>
      <c r="G1536" s="25" t="str">
        <f>IF($N1536="","",INDEX('_calc'!$E$2:$E$3001,$N1536))</f>
        <v/>
      </c>
      <c r="H1536" s="25" t="str">
        <f>IF($N1536="","",INDEX('_calc'!$F$2:$F$3001,$N1536))</f>
        <v/>
      </c>
      <c r="I1536" s="27" t="str">
        <f>IF($N1536="","",INDEX('_calc'!$H$2:$H$3001,$N1536))</f>
        <v/>
      </c>
      <c r="J1536" s="27" t="str">
        <f>IF($N1536="","",INDEX('_calc'!$I$2:$I$3001,$N1536))</f>
        <v/>
      </c>
      <c r="K1536" s="28" t="str">
        <f>IF($N1536="","",IF(OR(I1536="",J1536=""),"",J1536-I1536))</f>
        <v/>
      </c>
      <c r="L1536" s="29" t="str">
        <f>IF($N1536="","",INDEX('_calc'!$J$2:$J$3001,$N1536))</f>
        <v/>
      </c>
      <c r="M1536" s="2" t="str">
        <f>IF($N1536="","",IF(AND(G1536=0,H1536=0),"수량 없음",IF(G1536=0,"신규 (전년 수량 없음)",IF(H1536=0,"당해 수량 없음",""))))</f>
        <v/>
      </c>
      <c r="N1536" t="str">
        <f>IF($B1536="","",MATCH($B1536,'_calc'!$L$2:$L$3001,0))</f>
        <v/>
      </c>
    </row>
    <row r="1537">
      <c r="B1537" s="24" t="str">
        <f>IF(ROW()-ROW($B$8)&gt;nComp,"",ROW()-ROW($B$8))</f>
        <v/>
      </c>
      <c r="C1537" t="str">
        <f>IF($N1537="","",INDEX('_calc'!$A$2:$A$3001,$N1537))</f>
        <v/>
      </c>
      <c r="D1537" s="25" t="str">
        <f>IF($N1537="","",INDEX('_calc'!$C$2:$C$3001,$N1537))</f>
        <v/>
      </c>
      <c r="E1537" s="25" t="str">
        <f>IF($N1537="","",INDEX('_calc'!$D$2:$D$3001,$N1537))</f>
        <v/>
      </c>
      <c r="F1537" s="26" t="str">
        <f>IF($N1537="","",IF($E$8=0,"",E1537/$E$8))</f>
        <v/>
      </c>
      <c r="G1537" s="25" t="str">
        <f>IF($N1537="","",INDEX('_calc'!$E$2:$E$3001,$N1537))</f>
        <v/>
      </c>
      <c r="H1537" s="25" t="str">
        <f>IF($N1537="","",INDEX('_calc'!$F$2:$F$3001,$N1537))</f>
        <v/>
      </c>
      <c r="I1537" s="27" t="str">
        <f>IF($N1537="","",INDEX('_calc'!$H$2:$H$3001,$N1537))</f>
        <v/>
      </c>
      <c r="J1537" s="27" t="str">
        <f>IF($N1537="","",INDEX('_calc'!$I$2:$I$3001,$N1537))</f>
        <v/>
      </c>
      <c r="K1537" s="28" t="str">
        <f>IF($N1537="","",IF(OR(I1537="",J1537=""),"",J1537-I1537))</f>
        <v/>
      </c>
      <c r="L1537" s="29" t="str">
        <f>IF($N1537="","",INDEX('_calc'!$J$2:$J$3001,$N1537))</f>
        <v/>
      </c>
      <c r="M1537" s="2" t="str">
        <f>IF($N1537="","",IF(AND(G1537=0,H1537=0),"수량 없음",IF(G1537=0,"신규 (전년 수량 없음)",IF(H1537=0,"당해 수량 없음",""))))</f>
        <v/>
      </c>
      <c r="N1537" t="str">
        <f>IF($B1537="","",MATCH($B1537,'_calc'!$L$2:$L$3001,0))</f>
        <v/>
      </c>
    </row>
    <row r="1538">
      <c r="B1538" s="24" t="str">
        <f>IF(ROW()-ROW($B$8)&gt;nComp,"",ROW()-ROW($B$8))</f>
        <v/>
      </c>
      <c r="C1538" t="str">
        <f>IF($N1538="","",INDEX('_calc'!$A$2:$A$3001,$N1538))</f>
        <v/>
      </c>
      <c r="D1538" s="25" t="str">
        <f>IF($N1538="","",INDEX('_calc'!$C$2:$C$3001,$N1538))</f>
        <v/>
      </c>
      <c r="E1538" s="25" t="str">
        <f>IF($N1538="","",INDEX('_calc'!$D$2:$D$3001,$N1538))</f>
        <v/>
      </c>
      <c r="F1538" s="26" t="str">
        <f>IF($N1538="","",IF($E$8=0,"",E1538/$E$8))</f>
        <v/>
      </c>
      <c r="G1538" s="25" t="str">
        <f>IF($N1538="","",INDEX('_calc'!$E$2:$E$3001,$N1538))</f>
        <v/>
      </c>
      <c r="H1538" s="25" t="str">
        <f>IF($N1538="","",INDEX('_calc'!$F$2:$F$3001,$N1538))</f>
        <v/>
      </c>
      <c r="I1538" s="27" t="str">
        <f>IF($N1538="","",INDEX('_calc'!$H$2:$H$3001,$N1538))</f>
        <v/>
      </c>
      <c r="J1538" s="27" t="str">
        <f>IF($N1538="","",INDEX('_calc'!$I$2:$I$3001,$N1538))</f>
        <v/>
      </c>
      <c r="K1538" s="28" t="str">
        <f>IF($N1538="","",IF(OR(I1538="",J1538=""),"",J1538-I1538))</f>
        <v/>
      </c>
      <c r="L1538" s="29" t="str">
        <f>IF($N1538="","",INDEX('_calc'!$J$2:$J$3001,$N1538))</f>
        <v/>
      </c>
      <c r="M1538" s="2" t="str">
        <f>IF($N1538="","",IF(AND(G1538=0,H1538=0),"수량 없음",IF(G1538=0,"신규 (전년 수량 없음)",IF(H1538=0,"당해 수량 없음",""))))</f>
        <v/>
      </c>
      <c r="N1538" t="str">
        <f>IF($B1538="","",MATCH($B1538,'_calc'!$L$2:$L$3001,0))</f>
        <v/>
      </c>
    </row>
    <row r="1539">
      <c r="B1539" s="24" t="str">
        <f>IF(ROW()-ROW($B$8)&gt;nComp,"",ROW()-ROW($B$8))</f>
        <v/>
      </c>
      <c r="C1539" t="str">
        <f>IF($N1539="","",INDEX('_calc'!$A$2:$A$3001,$N1539))</f>
        <v/>
      </c>
      <c r="D1539" s="25" t="str">
        <f>IF($N1539="","",INDEX('_calc'!$C$2:$C$3001,$N1539))</f>
        <v/>
      </c>
      <c r="E1539" s="25" t="str">
        <f>IF($N1539="","",INDEX('_calc'!$D$2:$D$3001,$N1539))</f>
        <v/>
      </c>
      <c r="F1539" s="26" t="str">
        <f>IF($N1539="","",IF($E$8=0,"",E1539/$E$8))</f>
        <v/>
      </c>
      <c r="G1539" s="25" t="str">
        <f>IF($N1539="","",INDEX('_calc'!$E$2:$E$3001,$N1539))</f>
        <v/>
      </c>
      <c r="H1539" s="25" t="str">
        <f>IF($N1539="","",INDEX('_calc'!$F$2:$F$3001,$N1539))</f>
        <v/>
      </c>
      <c r="I1539" s="27" t="str">
        <f>IF($N1539="","",INDEX('_calc'!$H$2:$H$3001,$N1539))</f>
        <v/>
      </c>
      <c r="J1539" s="27" t="str">
        <f>IF($N1539="","",INDEX('_calc'!$I$2:$I$3001,$N1539))</f>
        <v/>
      </c>
      <c r="K1539" s="28" t="str">
        <f>IF($N1539="","",IF(OR(I1539="",J1539=""),"",J1539-I1539))</f>
        <v/>
      </c>
      <c r="L1539" s="29" t="str">
        <f>IF($N1539="","",INDEX('_calc'!$J$2:$J$3001,$N1539))</f>
        <v/>
      </c>
      <c r="M1539" s="2" t="str">
        <f>IF($N1539="","",IF(AND(G1539=0,H1539=0),"수량 없음",IF(G1539=0,"신규 (전년 수량 없음)",IF(H1539=0,"당해 수량 없음",""))))</f>
        <v/>
      </c>
      <c r="N1539" t="str">
        <f>IF($B1539="","",MATCH($B1539,'_calc'!$L$2:$L$3001,0))</f>
        <v/>
      </c>
    </row>
    <row r="1540">
      <c r="B1540" s="24" t="str">
        <f>IF(ROW()-ROW($B$8)&gt;nComp,"",ROW()-ROW($B$8))</f>
        <v/>
      </c>
      <c r="C1540" t="str">
        <f>IF($N1540="","",INDEX('_calc'!$A$2:$A$3001,$N1540))</f>
        <v/>
      </c>
      <c r="D1540" s="25" t="str">
        <f>IF($N1540="","",INDEX('_calc'!$C$2:$C$3001,$N1540))</f>
        <v/>
      </c>
      <c r="E1540" s="25" t="str">
        <f>IF($N1540="","",INDEX('_calc'!$D$2:$D$3001,$N1540))</f>
        <v/>
      </c>
      <c r="F1540" s="26" t="str">
        <f>IF($N1540="","",IF($E$8=0,"",E1540/$E$8))</f>
        <v/>
      </c>
      <c r="G1540" s="25" t="str">
        <f>IF($N1540="","",INDEX('_calc'!$E$2:$E$3001,$N1540))</f>
        <v/>
      </c>
      <c r="H1540" s="25" t="str">
        <f>IF($N1540="","",INDEX('_calc'!$F$2:$F$3001,$N1540))</f>
        <v/>
      </c>
      <c r="I1540" s="27" t="str">
        <f>IF($N1540="","",INDEX('_calc'!$H$2:$H$3001,$N1540))</f>
        <v/>
      </c>
      <c r="J1540" s="27" t="str">
        <f>IF($N1540="","",INDEX('_calc'!$I$2:$I$3001,$N1540))</f>
        <v/>
      </c>
      <c r="K1540" s="28" t="str">
        <f>IF($N1540="","",IF(OR(I1540="",J1540=""),"",J1540-I1540))</f>
        <v/>
      </c>
      <c r="L1540" s="29" t="str">
        <f>IF($N1540="","",INDEX('_calc'!$J$2:$J$3001,$N1540))</f>
        <v/>
      </c>
      <c r="M1540" s="2" t="str">
        <f>IF($N1540="","",IF(AND(G1540=0,H1540=0),"수량 없음",IF(G1540=0,"신규 (전년 수량 없음)",IF(H1540=0,"당해 수량 없음",""))))</f>
        <v/>
      </c>
      <c r="N1540" t="str">
        <f>IF($B1540="","",MATCH($B1540,'_calc'!$L$2:$L$3001,0))</f>
        <v/>
      </c>
    </row>
    <row r="1541">
      <c r="B1541" s="24" t="str">
        <f>IF(ROW()-ROW($B$8)&gt;nComp,"",ROW()-ROW($B$8))</f>
        <v/>
      </c>
      <c r="C1541" t="str">
        <f>IF($N1541="","",INDEX('_calc'!$A$2:$A$3001,$N1541))</f>
        <v/>
      </c>
      <c r="D1541" s="25" t="str">
        <f>IF($N1541="","",INDEX('_calc'!$C$2:$C$3001,$N1541))</f>
        <v/>
      </c>
      <c r="E1541" s="25" t="str">
        <f>IF($N1541="","",INDEX('_calc'!$D$2:$D$3001,$N1541))</f>
        <v/>
      </c>
      <c r="F1541" s="26" t="str">
        <f>IF($N1541="","",IF($E$8=0,"",E1541/$E$8))</f>
        <v/>
      </c>
      <c r="G1541" s="25" t="str">
        <f>IF($N1541="","",INDEX('_calc'!$E$2:$E$3001,$N1541))</f>
        <v/>
      </c>
      <c r="H1541" s="25" t="str">
        <f>IF($N1541="","",INDEX('_calc'!$F$2:$F$3001,$N1541))</f>
        <v/>
      </c>
      <c r="I1541" s="27" t="str">
        <f>IF($N1541="","",INDEX('_calc'!$H$2:$H$3001,$N1541))</f>
        <v/>
      </c>
      <c r="J1541" s="27" t="str">
        <f>IF($N1541="","",INDEX('_calc'!$I$2:$I$3001,$N1541))</f>
        <v/>
      </c>
      <c r="K1541" s="28" t="str">
        <f>IF($N1541="","",IF(OR(I1541="",J1541=""),"",J1541-I1541))</f>
        <v/>
      </c>
      <c r="L1541" s="29" t="str">
        <f>IF($N1541="","",INDEX('_calc'!$J$2:$J$3001,$N1541))</f>
        <v/>
      </c>
      <c r="M1541" s="2" t="str">
        <f>IF($N1541="","",IF(AND(G1541=0,H1541=0),"수량 없음",IF(G1541=0,"신규 (전년 수량 없음)",IF(H1541=0,"당해 수량 없음",""))))</f>
        <v/>
      </c>
      <c r="N1541" t="str">
        <f>IF($B1541="","",MATCH($B1541,'_calc'!$L$2:$L$3001,0))</f>
        <v/>
      </c>
    </row>
    <row r="1542">
      <c r="B1542" s="24" t="str">
        <f>IF(ROW()-ROW($B$8)&gt;nComp,"",ROW()-ROW($B$8))</f>
        <v/>
      </c>
      <c r="C1542" t="str">
        <f>IF($N1542="","",INDEX('_calc'!$A$2:$A$3001,$N1542))</f>
        <v/>
      </c>
      <c r="D1542" s="25" t="str">
        <f>IF($N1542="","",INDEX('_calc'!$C$2:$C$3001,$N1542))</f>
        <v/>
      </c>
      <c r="E1542" s="25" t="str">
        <f>IF($N1542="","",INDEX('_calc'!$D$2:$D$3001,$N1542))</f>
        <v/>
      </c>
      <c r="F1542" s="26" t="str">
        <f>IF($N1542="","",IF($E$8=0,"",E1542/$E$8))</f>
        <v/>
      </c>
      <c r="G1542" s="25" t="str">
        <f>IF($N1542="","",INDEX('_calc'!$E$2:$E$3001,$N1542))</f>
        <v/>
      </c>
      <c r="H1542" s="25" t="str">
        <f>IF($N1542="","",INDEX('_calc'!$F$2:$F$3001,$N1542))</f>
        <v/>
      </c>
      <c r="I1542" s="27" t="str">
        <f>IF($N1542="","",INDEX('_calc'!$H$2:$H$3001,$N1542))</f>
        <v/>
      </c>
      <c r="J1542" s="27" t="str">
        <f>IF($N1542="","",INDEX('_calc'!$I$2:$I$3001,$N1542))</f>
        <v/>
      </c>
      <c r="K1542" s="28" t="str">
        <f>IF($N1542="","",IF(OR(I1542="",J1542=""),"",J1542-I1542))</f>
        <v/>
      </c>
      <c r="L1542" s="29" t="str">
        <f>IF($N1542="","",INDEX('_calc'!$J$2:$J$3001,$N1542))</f>
        <v/>
      </c>
      <c r="M1542" s="2" t="str">
        <f>IF($N1542="","",IF(AND(G1542=0,H1542=0),"수량 없음",IF(G1542=0,"신규 (전년 수량 없음)",IF(H1542=0,"당해 수량 없음",""))))</f>
        <v/>
      </c>
      <c r="N1542" t="str">
        <f>IF($B1542="","",MATCH($B1542,'_calc'!$L$2:$L$3001,0))</f>
        <v/>
      </c>
    </row>
    <row r="1543">
      <c r="B1543" s="24" t="str">
        <f>IF(ROW()-ROW($B$8)&gt;nComp,"",ROW()-ROW($B$8))</f>
        <v/>
      </c>
      <c r="C1543" t="str">
        <f>IF($N1543="","",INDEX('_calc'!$A$2:$A$3001,$N1543))</f>
        <v/>
      </c>
      <c r="D1543" s="25" t="str">
        <f>IF($N1543="","",INDEX('_calc'!$C$2:$C$3001,$N1543))</f>
        <v/>
      </c>
      <c r="E1543" s="25" t="str">
        <f>IF($N1543="","",INDEX('_calc'!$D$2:$D$3001,$N1543))</f>
        <v/>
      </c>
      <c r="F1543" s="26" t="str">
        <f>IF($N1543="","",IF($E$8=0,"",E1543/$E$8))</f>
        <v/>
      </c>
      <c r="G1543" s="25" t="str">
        <f>IF($N1543="","",INDEX('_calc'!$E$2:$E$3001,$N1543))</f>
        <v/>
      </c>
      <c r="H1543" s="25" t="str">
        <f>IF($N1543="","",INDEX('_calc'!$F$2:$F$3001,$N1543))</f>
        <v/>
      </c>
      <c r="I1543" s="27" t="str">
        <f>IF($N1543="","",INDEX('_calc'!$H$2:$H$3001,$N1543))</f>
        <v/>
      </c>
      <c r="J1543" s="27" t="str">
        <f>IF($N1543="","",INDEX('_calc'!$I$2:$I$3001,$N1543))</f>
        <v/>
      </c>
      <c r="K1543" s="28" t="str">
        <f>IF($N1543="","",IF(OR(I1543="",J1543=""),"",J1543-I1543))</f>
        <v/>
      </c>
      <c r="L1543" s="29" t="str">
        <f>IF($N1543="","",INDEX('_calc'!$J$2:$J$3001,$N1543))</f>
        <v/>
      </c>
      <c r="M1543" s="2" t="str">
        <f>IF($N1543="","",IF(AND(G1543=0,H1543=0),"수량 없음",IF(G1543=0,"신규 (전년 수량 없음)",IF(H1543=0,"당해 수량 없음",""))))</f>
        <v/>
      </c>
      <c r="N1543" t="str">
        <f>IF($B1543="","",MATCH($B1543,'_calc'!$L$2:$L$3001,0))</f>
        <v/>
      </c>
    </row>
    <row r="1544">
      <c r="B1544" s="24" t="str">
        <f>IF(ROW()-ROW($B$8)&gt;nComp,"",ROW()-ROW($B$8))</f>
        <v/>
      </c>
      <c r="C1544" t="str">
        <f>IF($N1544="","",INDEX('_calc'!$A$2:$A$3001,$N1544))</f>
        <v/>
      </c>
      <c r="D1544" s="25" t="str">
        <f>IF($N1544="","",INDEX('_calc'!$C$2:$C$3001,$N1544))</f>
        <v/>
      </c>
      <c r="E1544" s="25" t="str">
        <f>IF($N1544="","",INDEX('_calc'!$D$2:$D$3001,$N1544))</f>
        <v/>
      </c>
      <c r="F1544" s="26" t="str">
        <f>IF($N1544="","",IF($E$8=0,"",E1544/$E$8))</f>
        <v/>
      </c>
      <c r="G1544" s="25" t="str">
        <f>IF($N1544="","",INDEX('_calc'!$E$2:$E$3001,$N1544))</f>
        <v/>
      </c>
      <c r="H1544" s="25" t="str">
        <f>IF($N1544="","",INDEX('_calc'!$F$2:$F$3001,$N1544))</f>
        <v/>
      </c>
      <c r="I1544" s="27" t="str">
        <f>IF($N1544="","",INDEX('_calc'!$H$2:$H$3001,$N1544))</f>
        <v/>
      </c>
      <c r="J1544" s="27" t="str">
        <f>IF($N1544="","",INDEX('_calc'!$I$2:$I$3001,$N1544))</f>
        <v/>
      </c>
      <c r="K1544" s="28" t="str">
        <f>IF($N1544="","",IF(OR(I1544="",J1544=""),"",J1544-I1544))</f>
        <v/>
      </c>
      <c r="L1544" s="29" t="str">
        <f>IF($N1544="","",INDEX('_calc'!$J$2:$J$3001,$N1544))</f>
        <v/>
      </c>
      <c r="M1544" s="2" t="str">
        <f>IF($N1544="","",IF(AND(G1544=0,H1544=0),"수량 없음",IF(G1544=0,"신규 (전년 수량 없음)",IF(H1544=0,"당해 수량 없음",""))))</f>
        <v/>
      </c>
      <c r="N1544" t="str">
        <f>IF($B1544="","",MATCH($B1544,'_calc'!$L$2:$L$3001,0))</f>
        <v/>
      </c>
    </row>
    <row r="1545">
      <c r="B1545" s="24" t="str">
        <f>IF(ROW()-ROW($B$8)&gt;nComp,"",ROW()-ROW($B$8))</f>
        <v/>
      </c>
      <c r="C1545" t="str">
        <f>IF($N1545="","",INDEX('_calc'!$A$2:$A$3001,$N1545))</f>
        <v/>
      </c>
      <c r="D1545" s="25" t="str">
        <f>IF($N1545="","",INDEX('_calc'!$C$2:$C$3001,$N1545))</f>
        <v/>
      </c>
      <c r="E1545" s="25" t="str">
        <f>IF($N1545="","",INDEX('_calc'!$D$2:$D$3001,$N1545))</f>
        <v/>
      </c>
      <c r="F1545" s="26" t="str">
        <f>IF($N1545="","",IF($E$8=0,"",E1545/$E$8))</f>
        <v/>
      </c>
      <c r="G1545" s="25" t="str">
        <f>IF($N1545="","",INDEX('_calc'!$E$2:$E$3001,$N1545))</f>
        <v/>
      </c>
      <c r="H1545" s="25" t="str">
        <f>IF($N1545="","",INDEX('_calc'!$F$2:$F$3001,$N1545))</f>
        <v/>
      </c>
      <c r="I1545" s="27" t="str">
        <f>IF($N1545="","",INDEX('_calc'!$H$2:$H$3001,$N1545))</f>
        <v/>
      </c>
      <c r="J1545" s="27" t="str">
        <f>IF($N1545="","",INDEX('_calc'!$I$2:$I$3001,$N1545))</f>
        <v/>
      </c>
      <c r="K1545" s="28" t="str">
        <f>IF($N1545="","",IF(OR(I1545="",J1545=""),"",J1545-I1545))</f>
        <v/>
      </c>
      <c r="L1545" s="29" t="str">
        <f>IF($N1545="","",INDEX('_calc'!$J$2:$J$3001,$N1545))</f>
        <v/>
      </c>
      <c r="M1545" s="2" t="str">
        <f>IF($N1545="","",IF(AND(G1545=0,H1545=0),"수량 없음",IF(G1545=0,"신규 (전년 수량 없음)",IF(H1545=0,"당해 수량 없음",""))))</f>
        <v/>
      </c>
      <c r="N1545" t="str">
        <f>IF($B1545="","",MATCH($B1545,'_calc'!$L$2:$L$3001,0))</f>
        <v/>
      </c>
    </row>
    <row r="1546">
      <c r="B1546" s="24" t="str">
        <f>IF(ROW()-ROW($B$8)&gt;nComp,"",ROW()-ROW($B$8))</f>
        <v/>
      </c>
      <c r="C1546" t="str">
        <f>IF($N1546="","",INDEX('_calc'!$A$2:$A$3001,$N1546))</f>
        <v/>
      </c>
      <c r="D1546" s="25" t="str">
        <f>IF($N1546="","",INDEX('_calc'!$C$2:$C$3001,$N1546))</f>
        <v/>
      </c>
      <c r="E1546" s="25" t="str">
        <f>IF($N1546="","",INDEX('_calc'!$D$2:$D$3001,$N1546))</f>
        <v/>
      </c>
      <c r="F1546" s="26" t="str">
        <f>IF($N1546="","",IF($E$8=0,"",E1546/$E$8))</f>
        <v/>
      </c>
      <c r="G1546" s="25" t="str">
        <f>IF($N1546="","",INDEX('_calc'!$E$2:$E$3001,$N1546))</f>
        <v/>
      </c>
      <c r="H1546" s="25" t="str">
        <f>IF($N1546="","",INDEX('_calc'!$F$2:$F$3001,$N1546))</f>
        <v/>
      </c>
      <c r="I1546" s="27" t="str">
        <f>IF($N1546="","",INDEX('_calc'!$H$2:$H$3001,$N1546))</f>
        <v/>
      </c>
      <c r="J1546" s="27" t="str">
        <f>IF($N1546="","",INDEX('_calc'!$I$2:$I$3001,$N1546))</f>
        <v/>
      </c>
      <c r="K1546" s="28" t="str">
        <f>IF($N1546="","",IF(OR(I1546="",J1546=""),"",J1546-I1546))</f>
        <v/>
      </c>
      <c r="L1546" s="29" t="str">
        <f>IF($N1546="","",INDEX('_calc'!$J$2:$J$3001,$N1546))</f>
        <v/>
      </c>
      <c r="M1546" s="2" t="str">
        <f>IF($N1546="","",IF(AND(G1546=0,H1546=0),"수량 없음",IF(G1546=0,"신규 (전년 수량 없음)",IF(H1546=0,"당해 수량 없음",""))))</f>
        <v/>
      </c>
      <c r="N1546" t="str">
        <f>IF($B1546="","",MATCH($B1546,'_calc'!$L$2:$L$3001,0))</f>
        <v/>
      </c>
    </row>
    <row r="1547">
      <c r="B1547" s="24" t="str">
        <f>IF(ROW()-ROW($B$8)&gt;nComp,"",ROW()-ROW($B$8))</f>
        <v/>
      </c>
      <c r="C1547" t="str">
        <f>IF($N1547="","",INDEX('_calc'!$A$2:$A$3001,$N1547))</f>
        <v/>
      </c>
      <c r="D1547" s="25" t="str">
        <f>IF($N1547="","",INDEX('_calc'!$C$2:$C$3001,$N1547))</f>
        <v/>
      </c>
      <c r="E1547" s="25" t="str">
        <f>IF($N1547="","",INDEX('_calc'!$D$2:$D$3001,$N1547))</f>
        <v/>
      </c>
      <c r="F1547" s="26" t="str">
        <f>IF($N1547="","",IF($E$8=0,"",E1547/$E$8))</f>
        <v/>
      </c>
      <c r="G1547" s="25" t="str">
        <f>IF($N1547="","",INDEX('_calc'!$E$2:$E$3001,$N1547))</f>
        <v/>
      </c>
      <c r="H1547" s="25" t="str">
        <f>IF($N1547="","",INDEX('_calc'!$F$2:$F$3001,$N1547))</f>
        <v/>
      </c>
      <c r="I1547" s="27" t="str">
        <f>IF($N1547="","",INDEX('_calc'!$H$2:$H$3001,$N1547))</f>
        <v/>
      </c>
      <c r="J1547" s="27" t="str">
        <f>IF($N1547="","",INDEX('_calc'!$I$2:$I$3001,$N1547))</f>
        <v/>
      </c>
      <c r="K1547" s="28" t="str">
        <f>IF($N1547="","",IF(OR(I1547="",J1547=""),"",J1547-I1547))</f>
        <v/>
      </c>
      <c r="L1547" s="29" t="str">
        <f>IF($N1547="","",INDEX('_calc'!$J$2:$J$3001,$N1547))</f>
        <v/>
      </c>
      <c r="M1547" s="2" t="str">
        <f>IF($N1547="","",IF(AND(G1547=0,H1547=0),"수량 없음",IF(G1547=0,"신규 (전년 수량 없음)",IF(H1547=0,"당해 수량 없음",""))))</f>
        <v/>
      </c>
      <c r="N1547" t="str">
        <f>IF($B1547="","",MATCH($B1547,'_calc'!$L$2:$L$3001,0))</f>
        <v/>
      </c>
    </row>
    <row r="1548">
      <c r="B1548" s="24" t="str">
        <f>IF(ROW()-ROW($B$8)&gt;nComp,"",ROW()-ROW($B$8))</f>
        <v/>
      </c>
      <c r="C1548" t="str">
        <f>IF($N1548="","",INDEX('_calc'!$A$2:$A$3001,$N1548))</f>
        <v/>
      </c>
      <c r="D1548" s="25" t="str">
        <f>IF($N1548="","",INDEX('_calc'!$C$2:$C$3001,$N1548))</f>
        <v/>
      </c>
      <c r="E1548" s="25" t="str">
        <f>IF($N1548="","",INDEX('_calc'!$D$2:$D$3001,$N1548))</f>
        <v/>
      </c>
      <c r="F1548" s="26" t="str">
        <f>IF($N1548="","",IF($E$8=0,"",E1548/$E$8))</f>
        <v/>
      </c>
      <c r="G1548" s="25" t="str">
        <f>IF($N1548="","",INDEX('_calc'!$E$2:$E$3001,$N1548))</f>
        <v/>
      </c>
      <c r="H1548" s="25" t="str">
        <f>IF($N1548="","",INDEX('_calc'!$F$2:$F$3001,$N1548))</f>
        <v/>
      </c>
      <c r="I1548" s="27" t="str">
        <f>IF($N1548="","",INDEX('_calc'!$H$2:$H$3001,$N1548))</f>
        <v/>
      </c>
      <c r="J1548" s="27" t="str">
        <f>IF($N1548="","",INDEX('_calc'!$I$2:$I$3001,$N1548))</f>
        <v/>
      </c>
      <c r="K1548" s="28" t="str">
        <f>IF($N1548="","",IF(OR(I1548="",J1548=""),"",J1548-I1548))</f>
        <v/>
      </c>
      <c r="L1548" s="29" t="str">
        <f>IF($N1548="","",INDEX('_calc'!$J$2:$J$3001,$N1548))</f>
        <v/>
      </c>
      <c r="M1548" s="2" t="str">
        <f>IF($N1548="","",IF(AND(G1548=0,H1548=0),"수량 없음",IF(G1548=0,"신규 (전년 수량 없음)",IF(H1548=0,"당해 수량 없음",""))))</f>
        <v/>
      </c>
      <c r="N1548" t="str">
        <f>IF($B1548="","",MATCH($B1548,'_calc'!$L$2:$L$3001,0))</f>
        <v/>
      </c>
    </row>
    <row r="1549">
      <c r="B1549" s="24" t="str">
        <f>IF(ROW()-ROW($B$8)&gt;nComp,"",ROW()-ROW($B$8))</f>
        <v/>
      </c>
      <c r="C1549" t="str">
        <f>IF($N1549="","",INDEX('_calc'!$A$2:$A$3001,$N1549))</f>
        <v/>
      </c>
      <c r="D1549" s="25" t="str">
        <f>IF($N1549="","",INDEX('_calc'!$C$2:$C$3001,$N1549))</f>
        <v/>
      </c>
      <c r="E1549" s="25" t="str">
        <f>IF($N1549="","",INDEX('_calc'!$D$2:$D$3001,$N1549))</f>
        <v/>
      </c>
      <c r="F1549" s="26" t="str">
        <f>IF($N1549="","",IF($E$8=0,"",E1549/$E$8))</f>
        <v/>
      </c>
      <c r="G1549" s="25" t="str">
        <f>IF($N1549="","",INDEX('_calc'!$E$2:$E$3001,$N1549))</f>
        <v/>
      </c>
      <c r="H1549" s="25" t="str">
        <f>IF($N1549="","",INDEX('_calc'!$F$2:$F$3001,$N1549))</f>
        <v/>
      </c>
      <c r="I1549" s="27" t="str">
        <f>IF($N1549="","",INDEX('_calc'!$H$2:$H$3001,$N1549))</f>
        <v/>
      </c>
      <c r="J1549" s="27" t="str">
        <f>IF($N1549="","",INDEX('_calc'!$I$2:$I$3001,$N1549))</f>
        <v/>
      </c>
      <c r="K1549" s="28" t="str">
        <f>IF($N1549="","",IF(OR(I1549="",J1549=""),"",J1549-I1549))</f>
        <v/>
      </c>
      <c r="L1549" s="29" t="str">
        <f>IF($N1549="","",INDEX('_calc'!$J$2:$J$3001,$N1549))</f>
        <v/>
      </c>
      <c r="M1549" s="2" t="str">
        <f>IF($N1549="","",IF(AND(G1549=0,H1549=0),"수량 없음",IF(G1549=0,"신규 (전년 수량 없음)",IF(H1549=0,"당해 수량 없음",""))))</f>
        <v/>
      </c>
      <c r="N1549" t="str">
        <f>IF($B1549="","",MATCH($B1549,'_calc'!$L$2:$L$3001,0))</f>
        <v/>
      </c>
    </row>
    <row r="1550">
      <c r="B1550" s="24" t="str">
        <f>IF(ROW()-ROW($B$8)&gt;nComp,"",ROW()-ROW($B$8))</f>
        <v/>
      </c>
      <c r="C1550" t="str">
        <f>IF($N1550="","",INDEX('_calc'!$A$2:$A$3001,$N1550))</f>
        <v/>
      </c>
      <c r="D1550" s="25" t="str">
        <f>IF($N1550="","",INDEX('_calc'!$C$2:$C$3001,$N1550))</f>
        <v/>
      </c>
      <c r="E1550" s="25" t="str">
        <f>IF($N1550="","",INDEX('_calc'!$D$2:$D$3001,$N1550))</f>
        <v/>
      </c>
      <c r="F1550" s="26" t="str">
        <f>IF($N1550="","",IF($E$8=0,"",E1550/$E$8))</f>
        <v/>
      </c>
      <c r="G1550" s="25" t="str">
        <f>IF($N1550="","",INDEX('_calc'!$E$2:$E$3001,$N1550))</f>
        <v/>
      </c>
      <c r="H1550" s="25" t="str">
        <f>IF($N1550="","",INDEX('_calc'!$F$2:$F$3001,$N1550))</f>
        <v/>
      </c>
      <c r="I1550" s="27" t="str">
        <f>IF($N1550="","",INDEX('_calc'!$H$2:$H$3001,$N1550))</f>
        <v/>
      </c>
      <c r="J1550" s="27" t="str">
        <f>IF($N1550="","",INDEX('_calc'!$I$2:$I$3001,$N1550))</f>
        <v/>
      </c>
      <c r="K1550" s="28" t="str">
        <f>IF($N1550="","",IF(OR(I1550="",J1550=""),"",J1550-I1550))</f>
        <v/>
      </c>
      <c r="L1550" s="29" t="str">
        <f>IF($N1550="","",INDEX('_calc'!$J$2:$J$3001,$N1550))</f>
        <v/>
      </c>
      <c r="M1550" s="2" t="str">
        <f>IF($N1550="","",IF(AND(G1550=0,H1550=0),"수량 없음",IF(G1550=0,"신규 (전년 수량 없음)",IF(H1550=0,"당해 수량 없음",""))))</f>
        <v/>
      </c>
      <c r="N1550" t="str">
        <f>IF($B1550="","",MATCH($B1550,'_calc'!$L$2:$L$3001,0))</f>
        <v/>
      </c>
    </row>
    <row r="1551">
      <c r="B1551" s="24" t="str">
        <f>IF(ROW()-ROW($B$8)&gt;nComp,"",ROW()-ROW($B$8))</f>
        <v/>
      </c>
      <c r="C1551" t="str">
        <f>IF($N1551="","",INDEX('_calc'!$A$2:$A$3001,$N1551))</f>
        <v/>
      </c>
      <c r="D1551" s="25" t="str">
        <f>IF($N1551="","",INDEX('_calc'!$C$2:$C$3001,$N1551))</f>
        <v/>
      </c>
      <c r="E1551" s="25" t="str">
        <f>IF($N1551="","",INDEX('_calc'!$D$2:$D$3001,$N1551))</f>
        <v/>
      </c>
      <c r="F1551" s="26" t="str">
        <f>IF($N1551="","",IF($E$8=0,"",E1551/$E$8))</f>
        <v/>
      </c>
      <c r="G1551" s="25" t="str">
        <f>IF($N1551="","",INDEX('_calc'!$E$2:$E$3001,$N1551))</f>
        <v/>
      </c>
      <c r="H1551" s="25" t="str">
        <f>IF($N1551="","",INDEX('_calc'!$F$2:$F$3001,$N1551))</f>
        <v/>
      </c>
      <c r="I1551" s="27" t="str">
        <f>IF($N1551="","",INDEX('_calc'!$H$2:$H$3001,$N1551))</f>
        <v/>
      </c>
      <c r="J1551" s="27" t="str">
        <f>IF($N1551="","",INDEX('_calc'!$I$2:$I$3001,$N1551))</f>
        <v/>
      </c>
      <c r="K1551" s="28" t="str">
        <f>IF($N1551="","",IF(OR(I1551="",J1551=""),"",J1551-I1551))</f>
        <v/>
      </c>
      <c r="L1551" s="29" t="str">
        <f>IF($N1551="","",INDEX('_calc'!$J$2:$J$3001,$N1551))</f>
        <v/>
      </c>
      <c r="M1551" s="2" t="str">
        <f>IF($N1551="","",IF(AND(G1551=0,H1551=0),"수량 없음",IF(G1551=0,"신규 (전년 수량 없음)",IF(H1551=0,"당해 수량 없음",""))))</f>
        <v/>
      </c>
      <c r="N1551" t="str">
        <f>IF($B1551="","",MATCH($B1551,'_calc'!$L$2:$L$3001,0))</f>
        <v/>
      </c>
    </row>
    <row r="1552">
      <c r="B1552" s="24" t="str">
        <f>IF(ROW()-ROW($B$8)&gt;nComp,"",ROW()-ROW($B$8))</f>
        <v/>
      </c>
      <c r="C1552" t="str">
        <f>IF($N1552="","",INDEX('_calc'!$A$2:$A$3001,$N1552))</f>
        <v/>
      </c>
      <c r="D1552" s="25" t="str">
        <f>IF($N1552="","",INDEX('_calc'!$C$2:$C$3001,$N1552))</f>
        <v/>
      </c>
      <c r="E1552" s="25" t="str">
        <f>IF($N1552="","",INDEX('_calc'!$D$2:$D$3001,$N1552))</f>
        <v/>
      </c>
      <c r="F1552" s="26" t="str">
        <f>IF($N1552="","",IF($E$8=0,"",E1552/$E$8))</f>
        <v/>
      </c>
      <c r="G1552" s="25" t="str">
        <f>IF($N1552="","",INDEX('_calc'!$E$2:$E$3001,$N1552))</f>
        <v/>
      </c>
      <c r="H1552" s="25" t="str">
        <f>IF($N1552="","",INDEX('_calc'!$F$2:$F$3001,$N1552))</f>
        <v/>
      </c>
      <c r="I1552" s="27" t="str">
        <f>IF($N1552="","",INDEX('_calc'!$H$2:$H$3001,$N1552))</f>
        <v/>
      </c>
      <c r="J1552" s="27" t="str">
        <f>IF($N1552="","",INDEX('_calc'!$I$2:$I$3001,$N1552))</f>
        <v/>
      </c>
      <c r="K1552" s="28" t="str">
        <f>IF($N1552="","",IF(OR(I1552="",J1552=""),"",J1552-I1552))</f>
        <v/>
      </c>
      <c r="L1552" s="29" t="str">
        <f>IF($N1552="","",INDEX('_calc'!$J$2:$J$3001,$N1552))</f>
        <v/>
      </c>
      <c r="M1552" s="2" t="str">
        <f>IF($N1552="","",IF(AND(G1552=0,H1552=0),"수량 없음",IF(G1552=0,"신규 (전년 수량 없음)",IF(H1552=0,"당해 수량 없음",""))))</f>
        <v/>
      </c>
      <c r="N1552" t="str">
        <f>IF($B1552="","",MATCH($B1552,'_calc'!$L$2:$L$3001,0))</f>
        <v/>
      </c>
    </row>
    <row r="1553">
      <c r="B1553" s="24" t="str">
        <f>IF(ROW()-ROW($B$8)&gt;nComp,"",ROW()-ROW($B$8))</f>
        <v/>
      </c>
      <c r="C1553" t="str">
        <f>IF($N1553="","",INDEX('_calc'!$A$2:$A$3001,$N1553))</f>
        <v/>
      </c>
      <c r="D1553" s="25" t="str">
        <f>IF($N1553="","",INDEX('_calc'!$C$2:$C$3001,$N1553))</f>
        <v/>
      </c>
      <c r="E1553" s="25" t="str">
        <f>IF($N1553="","",INDEX('_calc'!$D$2:$D$3001,$N1553))</f>
        <v/>
      </c>
      <c r="F1553" s="26" t="str">
        <f>IF($N1553="","",IF($E$8=0,"",E1553/$E$8))</f>
        <v/>
      </c>
      <c r="G1553" s="25" t="str">
        <f>IF($N1553="","",INDEX('_calc'!$E$2:$E$3001,$N1553))</f>
        <v/>
      </c>
      <c r="H1553" s="25" t="str">
        <f>IF($N1553="","",INDEX('_calc'!$F$2:$F$3001,$N1553))</f>
        <v/>
      </c>
      <c r="I1553" s="27" t="str">
        <f>IF($N1553="","",INDEX('_calc'!$H$2:$H$3001,$N1553))</f>
        <v/>
      </c>
      <c r="J1553" s="27" t="str">
        <f>IF($N1553="","",INDEX('_calc'!$I$2:$I$3001,$N1553))</f>
        <v/>
      </c>
      <c r="K1553" s="28" t="str">
        <f>IF($N1553="","",IF(OR(I1553="",J1553=""),"",J1553-I1553))</f>
        <v/>
      </c>
      <c r="L1553" s="29" t="str">
        <f>IF($N1553="","",INDEX('_calc'!$J$2:$J$3001,$N1553))</f>
        <v/>
      </c>
      <c r="M1553" s="2" t="str">
        <f>IF($N1553="","",IF(AND(G1553=0,H1553=0),"수량 없음",IF(G1553=0,"신규 (전년 수량 없음)",IF(H1553=0,"당해 수량 없음",""))))</f>
        <v/>
      </c>
      <c r="N1553" t="str">
        <f>IF($B1553="","",MATCH($B1553,'_calc'!$L$2:$L$3001,0))</f>
        <v/>
      </c>
    </row>
    <row r="1554">
      <c r="B1554" s="24" t="str">
        <f>IF(ROW()-ROW($B$8)&gt;nComp,"",ROW()-ROW($B$8))</f>
        <v/>
      </c>
      <c r="C1554" t="str">
        <f>IF($N1554="","",INDEX('_calc'!$A$2:$A$3001,$N1554))</f>
        <v/>
      </c>
      <c r="D1554" s="25" t="str">
        <f>IF($N1554="","",INDEX('_calc'!$C$2:$C$3001,$N1554))</f>
        <v/>
      </c>
      <c r="E1554" s="25" t="str">
        <f>IF($N1554="","",INDEX('_calc'!$D$2:$D$3001,$N1554))</f>
        <v/>
      </c>
      <c r="F1554" s="26" t="str">
        <f>IF($N1554="","",IF($E$8=0,"",E1554/$E$8))</f>
        <v/>
      </c>
      <c r="G1554" s="25" t="str">
        <f>IF($N1554="","",INDEX('_calc'!$E$2:$E$3001,$N1554))</f>
        <v/>
      </c>
      <c r="H1554" s="25" t="str">
        <f>IF($N1554="","",INDEX('_calc'!$F$2:$F$3001,$N1554))</f>
        <v/>
      </c>
      <c r="I1554" s="27" t="str">
        <f>IF($N1554="","",INDEX('_calc'!$H$2:$H$3001,$N1554))</f>
        <v/>
      </c>
      <c r="J1554" s="27" t="str">
        <f>IF($N1554="","",INDEX('_calc'!$I$2:$I$3001,$N1554))</f>
        <v/>
      </c>
      <c r="K1554" s="28" t="str">
        <f>IF($N1554="","",IF(OR(I1554="",J1554=""),"",J1554-I1554))</f>
        <v/>
      </c>
      <c r="L1554" s="29" t="str">
        <f>IF($N1554="","",INDEX('_calc'!$J$2:$J$3001,$N1554))</f>
        <v/>
      </c>
      <c r="M1554" s="2" t="str">
        <f>IF($N1554="","",IF(AND(G1554=0,H1554=0),"수량 없음",IF(G1554=0,"신규 (전년 수량 없음)",IF(H1554=0,"당해 수량 없음",""))))</f>
        <v/>
      </c>
      <c r="N1554" t="str">
        <f>IF($B1554="","",MATCH($B1554,'_calc'!$L$2:$L$3001,0))</f>
        <v/>
      </c>
    </row>
    <row r="1555">
      <c r="B1555" s="24" t="str">
        <f>IF(ROW()-ROW($B$8)&gt;nComp,"",ROW()-ROW($B$8))</f>
        <v/>
      </c>
      <c r="C1555" t="str">
        <f>IF($N1555="","",INDEX('_calc'!$A$2:$A$3001,$N1555))</f>
        <v/>
      </c>
      <c r="D1555" s="25" t="str">
        <f>IF($N1555="","",INDEX('_calc'!$C$2:$C$3001,$N1555))</f>
        <v/>
      </c>
      <c r="E1555" s="25" t="str">
        <f>IF($N1555="","",INDEX('_calc'!$D$2:$D$3001,$N1555))</f>
        <v/>
      </c>
      <c r="F1555" s="26" t="str">
        <f>IF($N1555="","",IF($E$8=0,"",E1555/$E$8))</f>
        <v/>
      </c>
      <c r="G1555" s="25" t="str">
        <f>IF($N1555="","",INDEX('_calc'!$E$2:$E$3001,$N1555))</f>
        <v/>
      </c>
      <c r="H1555" s="25" t="str">
        <f>IF($N1555="","",INDEX('_calc'!$F$2:$F$3001,$N1555))</f>
        <v/>
      </c>
      <c r="I1555" s="27" t="str">
        <f>IF($N1555="","",INDEX('_calc'!$H$2:$H$3001,$N1555))</f>
        <v/>
      </c>
      <c r="J1555" s="27" t="str">
        <f>IF($N1555="","",INDEX('_calc'!$I$2:$I$3001,$N1555))</f>
        <v/>
      </c>
      <c r="K1555" s="28" t="str">
        <f>IF($N1555="","",IF(OR(I1555="",J1555=""),"",J1555-I1555))</f>
        <v/>
      </c>
      <c r="L1555" s="29" t="str">
        <f>IF($N1555="","",INDEX('_calc'!$J$2:$J$3001,$N1555))</f>
        <v/>
      </c>
      <c r="M1555" s="2" t="str">
        <f>IF($N1555="","",IF(AND(G1555=0,H1555=0),"수량 없음",IF(G1555=0,"신규 (전년 수량 없음)",IF(H1555=0,"당해 수량 없음",""))))</f>
        <v/>
      </c>
      <c r="N1555" t="str">
        <f>IF($B1555="","",MATCH($B1555,'_calc'!$L$2:$L$3001,0))</f>
        <v/>
      </c>
    </row>
    <row r="1556">
      <c r="B1556" s="24" t="str">
        <f>IF(ROW()-ROW($B$8)&gt;nComp,"",ROW()-ROW($B$8))</f>
        <v/>
      </c>
      <c r="C1556" t="str">
        <f>IF($N1556="","",INDEX('_calc'!$A$2:$A$3001,$N1556))</f>
        <v/>
      </c>
      <c r="D1556" s="25" t="str">
        <f>IF($N1556="","",INDEX('_calc'!$C$2:$C$3001,$N1556))</f>
        <v/>
      </c>
      <c r="E1556" s="25" t="str">
        <f>IF($N1556="","",INDEX('_calc'!$D$2:$D$3001,$N1556))</f>
        <v/>
      </c>
      <c r="F1556" s="26" t="str">
        <f>IF($N1556="","",IF($E$8=0,"",E1556/$E$8))</f>
        <v/>
      </c>
      <c r="G1556" s="25" t="str">
        <f>IF($N1556="","",INDEX('_calc'!$E$2:$E$3001,$N1556))</f>
        <v/>
      </c>
      <c r="H1556" s="25" t="str">
        <f>IF($N1556="","",INDEX('_calc'!$F$2:$F$3001,$N1556))</f>
        <v/>
      </c>
      <c r="I1556" s="27" t="str">
        <f>IF($N1556="","",INDEX('_calc'!$H$2:$H$3001,$N1556))</f>
        <v/>
      </c>
      <c r="J1556" s="27" t="str">
        <f>IF($N1556="","",INDEX('_calc'!$I$2:$I$3001,$N1556))</f>
        <v/>
      </c>
      <c r="K1556" s="28" t="str">
        <f>IF($N1556="","",IF(OR(I1556="",J1556=""),"",J1556-I1556))</f>
        <v/>
      </c>
      <c r="L1556" s="29" t="str">
        <f>IF($N1556="","",INDEX('_calc'!$J$2:$J$3001,$N1556))</f>
        <v/>
      </c>
      <c r="M1556" s="2" t="str">
        <f>IF($N1556="","",IF(AND(G1556=0,H1556=0),"수량 없음",IF(G1556=0,"신규 (전년 수량 없음)",IF(H1556=0,"당해 수량 없음",""))))</f>
        <v/>
      </c>
      <c r="N1556" t="str">
        <f>IF($B1556="","",MATCH($B1556,'_calc'!$L$2:$L$3001,0))</f>
        <v/>
      </c>
    </row>
    <row r="1557">
      <c r="B1557" s="24" t="str">
        <f>IF(ROW()-ROW($B$8)&gt;nComp,"",ROW()-ROW($B$8))</f>
        <v/>
      </c>
      <c r="C1557" t="str">
        <f>IF($N1557="","",INDEX('_calc'!$A$2:$A$3001,$N1557))</f>
        <v/>
      </c>
      <c r="D1557" s="25" t="str">
        <f>IF($N1557="","",INDEX('_calc'!$C$2:$C$3001,$N1557))</f>
        <v/>
      </c>
      <c r="E1557" s="25" t="str">
        <f>IF($N1557="","",INDEX('_calc'!$D$2:$D$3001,$N1557))</f>
        <v/>
      </c>
      <c r="F1557" s="26" t="str">
        <f>IF($N1557="","",IF($E$8=0,"",E1557/$E$8))</f>
        <v/>
      </c>
      <c r="G1557" s="25" t="str">
        <f>IF($N1557="","",INDEX('_calc'!$E$2:$E$3001,$N1557))</f>
        <v/>
      </c>
      <c r="H1557" s="25" t="str">
        <f>IF($N1557="","",INDEX('_calc'!$F$2:$F$3001,$N1557))</f>
        <v/>
      </c>
      <c r="I1557" s="27" t="str">
        <f>IF($N1557="","",INDEX('_calc'!$H$2:$H$3001,$N1557))</f>
        <v/>
      </c>
      <c r="J1557" s="27" t="str">
        <f>IF($N1557="","",INDEX('_calc'!$I$2:$I$3001,$N1557))</f>
        <v/>
      </c>
      <c r="K1557" s="28" t="str">
        <f>IF($N1557="","",IF(OR(I1557="",J1557=""),"",J1557-I1557))</f>
        <v/>
      </c>
      <c r="L1557" s="29" t="str">
        <f>IF($N1557="","",INDEX('_calc'!$J$2:$J$3001,$N1557))</f>
        <v/>
      </c>
      <c r="M1557" s="2" t="str">
        <f>IF($N1557="","",IF(AND(G1557=0,H1557=0),"수량 없음",IF(G1557=0,"신규 (전년 수량 없음)",IF(H1557=0,"당해 수량 없음",""))))</f>
        <v/>
      </c>
      <c r="N1557" t="str">
        <f>IF($B1557="","",MATCH($B1557,'_calc'!$L$2:$L$3001,0))</f>
        <v/>
      </c>
    </row>
    <row r="1558">
      <c r="B1558" s="24" t="str">
        <f>IF(ROW()-ROW($B$8)&gt;nComp,"",ROW()-ROW($B$8))</f>
        <v/>
      </c>
      <c r="C1558" t="str">
        <f>IF($N1558="","",INDEX('_calc'!$A$2:$A$3001,$N1558))</f>
        <v/>
      </c>
      <c r="D1558" s="25" t="str">
        <f>IF($N1558="","",INDEX('_calc'!$C$2:$C$3001,$N1558))</f>
        <v/>
      </c>
      <c r="E1558" s="25" t="str">
        <f>IF($N1558="","",INDEX('_calc'!$D$2:$D$3001,$N1558))</f>
        <v/>
      </c>
      <c r="F1558" s="26" t="str">
        <f>IF($N1558="","",IF($E$8=0,"",E1558/$E$8))</f>
        <v/>
      </c>
      <c r="G1558" s="25" t="str">
        <f>IF($N1558="","",INDEX('_calc'!$E$2:$E$3001,$N1558))</f>
        <v/>
      </c>
      <c r="H1558" s="25" t="str">
        <f>IF($N1558="","",INDEX('_calc'!$F$2:$F$3001,$N1558))</f>
        <v/>
      </c>
      <c r="I1558" s="27" t="str">
        <f>IF($N1558="","",INDEX('_calc'!$H$2:$H$3001,$N1558))</f>
        <v/>
      </c>
      <c r="J1558" s="27" t="str">
        <f>IF($N1558="","",INDEX('_calc'!$I$2:$I$3001,$N1558))</f>
        <v/>
      </c>
      <c r="K1558" s="28" t="str">
        <f>IF($N1558="","",IF(OR(I1558="",J1558=""),"",J1558-I1558))</f>
        <v/>
      </c>
      <c r="L1558" s="29" t="str">
        <f>IF($N1558="","",INDEX('_calc'!$J$2:$J$3001,$N1558))</f>
        <v/>
      </c>
      <c r="M1558" s="2" t="str">
        <f>IF($N1558="","",IF(AND(G1558=0,H1558=0),"수량 없음",IF(G1558=0,"신규 (전년 수량 없음)",IF(H1558=0,"당해 수량 없음",""))))</f>
        <v/>
      </c>
      <c r="N1558" t="str">
        <f>IF($B1558="","",MATCH($B1558,'_calc'!$L$2:$L$3001,0))</f>
        <v/>
      </c>
    </row>
    <row r="1559">
      <c r="B1559" s="24" t="str">
        <f>IF(ROW()-ROW($B$8)&gt;nComp,"",ROW()-ROW($B$8))</f>
        <v/>
      </c>
      <c r="C1559" t="str">
        <f>IF($N1559="","",INDEX('_calc'!$A$2:$A$3001,$N1559))</f>
        <v/>
      </c>
      <c r="D1559" s="25" t="str">
        <f>IF($N1559="","",INDEX('_calc'!$C$2:$C$3001,$N1559))</f>
        <v/>
      </c>
      <c r="E1559" s="25" t="str">
        <f>IF($N1559="","",INDEX('_calc'!$D$2:$D$3001,$N1559))</f>
        <v/>
      </c>
      <c r="F1559" s="26" t="str">
        <f>IF($N1559="","",IF($E$8=0,"",E1559/$E$8))</f>
        <v/>
      </c>
      <c r="G1559" s="25" t="str">
        <f>IF($N1559="","",INDEX('_calc'!$E$2:$E$3001,$N1559))</f>
        <v/>
      </c>
      <c r="H1559" s="25" t="str">
        <f>IF($N1559="","",INDEX('_calc'!$F$2:$F$3001,$N1559))</f>
        <v/>
      </c>
      <c r="I1559" s="27" t="str">
        <f>IF($N1559="","",INDEX('_calc'!$H$2:$H$3001,$N1559))</f>
        <v/>
      </c>
      <c r="J1559" s="27" t="str">
        <f>IF($N1559="","",INDEX('_calc'!$I$2:$I$3001,$N1559))</f>
        <v/>
      </c>
      <c r="K1559" s="28" t="str">
        <f>IF($N1559="","",IF(OR(I1559="",J1559=""),"",J1559-I1559))</f>
        <v/>
      </c>
      <c r="L1559" s="29" t="str">
        <f>IF($N1559="","",INDEX('_calc'!$J$2:$J$3001,$N1559))</f>
        <v/>
      </c>
      <c r="M1559" s="2" t="str">
        <f>IF($N1559="","",IF(AND(G1559=0,H1559=0),"수량 없음",IF(G1559=0,"신규 (전년 수량 없음)",IF(H1559=0,"당해 수량 없음",""))))</f>
        <v/>
      </c>
      <c r="N1559" t="str">
        <f>IF($B1559="","",MATCH($B1559,'_calc'!$L$2:$L$3001,0))</f>
        <v/>
      </c>
    </row>
    <row r="1560">
      <c r="B1560" s="24" t="str">
        <f>IF(ROW()-ROW($B$8)&gt;nComp,"",ROW()-ROW($B$8))</f>
        <v/>
      </c>
      <c r="C1560" t="str">
        <f>IF($N1560="","",INDEX('_calc'!$A$2:$A$3001,$N1560))</f>
        <v/>
      </c>
      <c r="D1560" s="25" t="str">
        <f>IF($N1560="","",INDEX('_calc'!$C$2:$C$3001,$N1560))</f>
        <v/>
      </c>
      <c r="E1560" s="25" t="str">
        <f>IF($N1560="","",INDEX('_calc'!$D$2:$D$3001,$N1560))</f>
        <v/>
      </c>
      <c r="F1560" s="26" t="str">
        <f>IF($N1560="","",IF($E$8=0,"",E1560/$E$8))</f>
        <v/>
      </c>
      <c r="G1560" s="25" t="str">
        <f>IF($N1560="","",INDEX('_calc'!$E$2:$E$3001,$N1560))</f>
        <v/>
      </c>
      <c r="H1560" s="25" t="str">
        <f>IF($N1560="","",INDEX('_calc'!$F$2:$F$3001,$N1560))</f>
        <v/>
      </c>
      <c r="I1560" s="27" t="str">
        <f>IF($N1560="","",INDEX('_calc'!$H$2:$H$3001,$N1560))</f>
        <v/>
      </c>
      <c r="J1560" s="27" t="str">
        <f>IF($N1560="","",INDEX('_calc'!$I$2:$I$3001,$N1560))</f>
        <v/>
      </c>
      <c r="K1560" s="28" t="str">
        <f>IF($N1560="","",IF(OR(I1560="",J1560=""),"",J1560-I1560))</f>
        <v/>
      </c>
      <c r="L1560" s="29" t="str">
        <f>IF($N1560="","",INDEX('_calc'!$J$2:$J$3001,$N1560))</f>
        <v/>
      </c>
      <c r="M1560" s="2" t="str">
        <f>IF($N1560="","",IF(AND(G1560=0,H1560=0),"수량 없음",IF(G1560=0,"신규 (전년 수량 없음)",IF(H1560=0,"당해 수량 없음",""))))</f>
        <v/>
      </c>
      <c r="N1560" t="str">
        <f>IF($B1560="","",MATCH($B1560,'_calc'!$L$2:$L$3001,0))</f>
        <v/>
      </c>
    </row>
    <row r="1561">
      <c r="B1561" s="24" t="str">
        <f>IF(ROW()-ROW($B$8)&gt;nComp,"",ROW()-ROW($B$8))</f>
        <v/>
      </c>
      <c r="C1561" t="str">
        <f>IF($N1561="","",INDEX('_calc'!$A$2:$A$3001,$N1561))</f>
        <v/>
      </c>
      <c r="D1561" s="25" t="str">
        <f>IF($N1561="","",INDEX('_calc'!$C$2:$C$3001,$N1561))</f>
        <v/>
      </c>
      <c r="E1561" s="25" t="str">
        <f>IF($N1561="","",INDEX('_calc'!$D$2:$D$3001,$N1561))</f>
        <v/>
      </c>
      <c r="F1561" s="26" t="str">
        <f>IF($N1561="","",IF($E$8=0,"",E1561/$E$8))</f>
        <v/>
      </c>
      <c r="G1561" s="25" t="str">
        <f>IF($N1561="","",INDEX('_calc'!$E$2:$E$3001,$N1561))</f>
        <v/>
      </c>
      <c r="H1561" s="25" t="str">
        <f>IF($N1561="","",INDEX('_calc'!$F$2:$F$3001,$N1561))</f>
        <v/>
      </c>
      <c r="I1561" s="27" t="str">
        <f>IF($N1561="","",INDEX('_calc'!$H$2:$H$3001,$N1561))</f>
        <v/>
      </c>
      <c r="J1561" s="27" t="str">
        <f>IF($N1561="","",INDEX('_calc'!$I$2:$I$3001,$N1561))</f>
        <v/>
      </c>
      <c r="K1561" s="28" t="str">
        <f>IF($N1561="","",IF(OR(I1561="",J1561=""),"",J1561-I1561))</f>
        <v/>
      </c>
      <c r="L1561" s="29" t="str">
        <f>IF($N1561="","",INDEX('_calc'!$J$2:$J$3001,$N1561))</f>
        <v/>
      </c>
      <c r="M1561" s="2" t="str">
        <f>IF($N1561="","",IF(AND(G1561=0,H1561=0),"수량 없음",IF(G1561=0,"신규 (전년 수량 없음)",IF(H1561=0,"당해 수량 없음",""))))</f>
        <v/>
      </c>
      <c r="N1561" t="str">
        <f>IF($B1561="","",MATCH($B1561,'_calc'!$L$2:$L$3001,0))</f>
        <v/>
      </c>
    </row>
    <row r="1562">
      <c r="B1562" s="24" t="str">
        <f>IF(ROW()-ROW($B$8)&gt;nComp,"",ROW()-ROW($B$8))</f>
        <v/>
      </c>
      <c r="C1562" t="str">
        <f>IF($N1562="","",INDEX('_calc'!$A$2:$A$3001,$N1562))</f>
        <v/>
      </c>
      <c r="D1562" s="25" t="str">
        <f>IF($N1562="","",INDEX('_calc'!$C$2:$C$3001,$N1562))</f>
        <v/>
      </c>
      <c r="E1562" s="25" t="str">
        <f>IF($N1562="","",INDEX('_calc'!$D$2:$D$3001,$N1562))</f>
        <v/>
      </c>
      <c r="F1562" s="26" t="str">
        <f>IF($N1562="","",IF($E$8=0,"",E1562/$E$8))</f>
        <v/>
      </c>
      <c r="G1562" s="25" t="str">
        <f>IF($N1562="","",INDEX('_calc'!$E$2:$E$3001,$N1562))</f>
        <v/>
      </c>
      <c r="H1562" s="25" t="str">
        <f>IF($N1562="","",INDEX('_calc'!$F$2:$F$3001,$N1562))</f>
        <v/>
      </c>
      <c r="I1562" s="27" t="str">
        <f>IF($N1562="","",INDEX('_calc'!$H$2:$H$3001,$N1562))</f>
        <v/>
      </c>
      <c r="J1562" s="27" t="str">
        <f>IF($N1562="","",INDEX('_calc'!$I$2:$I$3001,$N1562))</f>
        <v/>
      </c>
      <c r="K1562" s="28" t="str">
        <f>IF($N1562="","",IF(OR(I1562="",J1562=""),"",J1562-I1562))</f>
        <v/>
      </c>
      <c r="L1562" s="29" t="str">
        <f>IF($N1562="","",INDEX('_calc'!$J$2:$J$3001,$N1562))</f>
        <v/>
      </c>
      <c r="M1562" s="2" t="str">
        <f>IF($N1562="","",IF(AND(G1562=0,H1562=0),"수량 없음",IF(G1562=0,"신규 (전년 수량 없음)",IF(H1562=0,"당해 수량 없음",""))))</f>
        <v/>
      </c>
      <c r="N1562" t="str">
        <f>IF($B1562="","",MATCH($B1562,'_calc'!$L$2:$L$3001,0))</f>
        <v/>
      </c>
    </row>
    <row r="1563">
      <c r="B1563" s="24" t="str">
        <f>IF(ROW()-ROW($B$8)&gt;nComp,"",ROW()-ROW($B$8))</f>
        <v/>
      </c>
      <c r="C1563" t="str">
        <f>IF($N1563="","",INDEX('_calc'!$A$2:$A$3001,$N1563))</f>
        <v/>
      </c>
      <c r="D1563" s="25" t="str">
        <f>IF($N1563="","",INDEX('_calc'!$C$2:$C$3001,$N1563))</f>
        <v/>
      </c>
      <c r="E1563" s="25" t="str">
        <f>IF($N1563="","",INDEX('_calc'!$D$2:$D$3001,$N1563))</f>
        <v/>
      </c>
      <c r="F1563" s="26" t="str">
        <f>IF($N1563="","",IF($E$8=0,"",E1563/$E$8))</f>
        <v/>
      </c>
      <c r="G1563" s="25" t="str">
        <f>IF($N1563="","",INDEX('_calc'!$E$2:$E$3001,$N1563))</f>
        <v/>
      </c>
      <c r="H1563" s="25" t="str">
        <f>IF($N1563="","",INDEX('_calc'!$F$2:$F$3001,$N1563))</f>
        <v/>
      </c>
      <c r="I1563" s="27" t="str">
        <f>IF($N1563="","",INDEX('_calc'!$H$2:$H$3001,$N1563))</f>
        <v/>
      </c>
      <c r="J1563" s="27" t="str">
        <f>IF($N1563="","",INDEX('_calc'!$I$2:$I$3001,$N1563))</f>
        <v/>
      </c>
      <c r="K1563" s="28" t="str">
        <f>IF($N1563="","",IF(OR(I1563="",J1563=""),"",J1563-I1563))</f>
        <v/>
      </c>
      <c r="L1563" s="29" t="str">
        <f>IF($N1563="","",INDEX('_calc'!$J$2:$J$3001,$N1563))</f>
        <v/>
      </c>
      <c r="M1563" s="2" t="str">
        <f>IF($N1563="","",IF(AND(G1563=0,H1563=0),"수량 없음",IF(G1563=0,"신규 (전년 수량 없음)",IF(H1563=0,"당해 수량 없음",""))))</f>
        <v/>
      </c>
      <c r="N1563" t="str">
        <f>IF($B1563="","",MATCH($B1563,'_calc'!$L$2:$L$3001,0))</f>
        <v/>
      </c>
    </row>
    <row r="1564">
      <c r="B1564" s="24" t="str">
        <f>IF(ROW()-ROW($B$8)&gt;nComp,"",ROW()-ROW($B$8))</f>
        <v/>
      </c>
      <c r="C1564" t="str">
        <f>IF($N1564="","",INDEX('_calc'!$A$2:$A$3001,$N1564))</f>
        <v/>
      </c>
      <c r="D1564" s="25" t="str">
        <f>IF($N1564="","",INDEX('_calc'!$C$2:$C$3001,$N1564))</f>
        <v/>
      </c>
      <c r="E1564" s="25" t="str">
        <f>IF($N1564="","",INDEX('_calc'!$D$2:$D$3001,$N1564))</f>
        <v/>
      </c>
      <c r="F1564" s="26" t="str">
        <f>IF($N1564="","",IF($E$8=0,"",E1564/$E$8))</f>
        <v/>
      </c>
      <c r="G1564" s="25" t="str">
        <f>IF($N1564="","",INDEX('_calc'!$E$2:$E$3001,$N1564))</f>
        <v/>
      </c>
      <c r="H1564" s="25" t="str">
        <f>IF($N1564="","",INDEX('_calc'!$F$2:$F$3001,$N1564))</f>
        <v/>
      </c>
      <c r="I1564" s="27" t="str">
        <f>IF($N1564="","",INDEX('_calc'!$H$2:$H$3001,$N1564))</f>
        <v/>
      </c>
      <c r="J1564" s="27" t="str">
        <f>IF($N1564="","",INDEX('_calc'!$I$2:$I$3001,$N1564))</f>
        <v/>
      </c>
      <c r="K1564" s="28" t="str">
        <f>IF($N1564="","",IF(OR(I1564="",J1564=""),"",J1564-I1564))</f>
        <v/>
      </c>
      <c r="L1564" s="29" t="str">
        <f>IF($N1564="","",INDEX('_calc'!$J$2:$J$3001,$N1564))</f>
        <v/>
      </c>
      <c r="M1564" s="2" t="str">
        <f>IF($N1564="","",IF(AND(G1564=0,H1564=0),"수량 없음",IF(G1564=0,"신규 (전년 수량 없음)",IF(H1564=0,"당해 수량 없음",""))))</f>
        <v/>
      </c>
      <c r="N1564" t="str">
        <f>IF($B1564="","",MATCH($B1564,'_calc'!$L$2:$L$3001,0))</f>
        <v/>
      </c>
    </row>
    <row r="1565">
      <c r="B1565" s="24" t="str">
        <f>IF(ROW()-ROW($B$8)&gt;nComp,"",ROW()-ROW($B$8))</f>
        <v/>
      </c>
      <c r="C1565" t="str">
        <f>IF($N1565="","",INDEX('_calc'!$A$2:$A$3001,$N1565))</f>
        <v/>
      </c>
      <c r="D1565" s="25" t="str">
        <f>IF($N1565="","",INDEX('_calc'!$C$2:$C$3001,$N1565))</f>
        <v/>
      </c>
      <c r="E1565" s="25" t="str">
        <f>IF($N1565="","",INDEX('_calc'!$D$2:$D$3001,$N1565))</f>
        <v/>
      </c>
      <c r="F1565" s="26" t="str">
        <f>IF($N1565="","",IF($E$8=0,"",E1565/$E$8))</f>
        <v/>
      </c>
      <c r="G1565" s="25" t="str">
        <f>IF($N1565="","",INDEX('_calc'!$E$2:$E$3001,$N1565))</f>
        <v/>
      </c>
      <c r="H1565" s="25" t="str">
        <f>IF($N1565="","",INDEX('_calc'!$F$2:$F$3001,$N1565))</f>
        <v/>
      </c>
      <c r="I1565" s="27" t="str">
        <f>IF($N1565="","",INDEX('_calc'!$H$2:$H$3001,$N1565))</f>
        <v/>
      </c>
      <c r="J1565" s="27" t="str">
        <f>IF($N1565="","",INDEX('_calc'!$I$2:$I$3001,$N1565))</f>
        <v/>
      </c>
      <c r="K1565" s="28" t="str">
        <f>IF($N1565="","",IF(OR(I1565="",J1565=""),"",J1565-I1565))</f>
        <v/>
      </c>
      <c r="L1565" s="29" t="str">
        <f>IF($N1565="","",INDEX('_calc'!$J$2:$J$3001,$N1565))</f>
        <v/>
      </c>
      <c r="M1565" s="2" t="str">
        <f>IF($N1565="","",IF(AND(G1565=0,H1565=0),"수량 없음",IF(G1565=0,"신규 (전년 수량 없음)",IF(H1565=0,"당해 수량 없음",""))))</f>
        <v/>
      </c>
      <c r="N1565" t="str">
        <f>IF($B1565="","",MATCH($B1565,'_calc'!$L$2:$L$3001,0))</f>
        <v/>
      </c>
    </row>
    <row r="1566">
      <c r="B1566" s="24" t="str">
        <f>IF(ROW()-ROW($B$8)&gt;nComp,"",ROW()-ROW($B$8))</f>
        <v/>
      </c>
      <c r="C1566" t="str">
        <f>IF($N1566="","",INDEX('_calc'!$A$2:$A$3001,$N1566))</f>
        <v/>
      </c>
      <c r="D1566" s="25" t="str">
        <f>IF($N1566="","",INDEX('_calc'!$C$2:$C$3001,$N1566))</f>
        <v/>
      </c>
      <c r="E1566" s="25" t="str">
        <f>IF($N1566="","",INDEX('_calc'!$D$2:$D$3001,$N1566))</f>
        <v/>
      </c>
      <c r="F1566" s="26" t="str">
        <f>IF($N1566="","",IF($E$8=0,"",E1566/$E$8))</f>
        <v/>
      </c>
      <c r="G1566" s="25" t="str">
        <f>IF($N1566="","",INDEX('_calc'!$E$2:$E$3001,$N1566))</f>
        <v/>
      </c>
      <c r="H1566" s="25" t="str">
        <f>IF($N1566="","",INDEX('_calc'!$F$2:$F$3001,$N1566))</f>
        <v/>
      </c>
      <c r="I1566" s="27" t="str">
        <f>IF($N1566="","",INDEX('_calc'!$H$2:$H$3001,$N1566))</f>
        <v/>
      </c>
      <c r="J1566" s="27" t="str">
        <f>IF($N1566="","",INDEX('_calc'!$I$2:$I$3001,$N1566))</f>
        <v/>
      </c>
      <c r="K1566" s="28" t="str">
        <f>IF($N1566="","",IF(OR(I1566="",J1566=""),"",J1566-I1566))</f>
        <v/>
      </c>
      <c r="L1566" s="29" t="str">
        <f>IF($N1566="","",INDEX('_calc'!$J$2:$J$3001,$N1566))</f>
        <v/>
      </c>
      <c r="M1566" s="2" t="str">
        <f>IF($N1566="","",IF(AND(G1566=0,H1566=0),"수량 없음",IF(G1566=0,"신규 (전년 수량 없음)",IF(H1566=0,"당해 수량 없음",""))))</f>
        <v/>
      </c>
      <c r="N1566" t="str">
        <f>IF($B1566="","",MATCH($B1566,'_calc'!$L$2:$L$3001,0))</f>
        <v/>
      </c>
    </row>
    <row r="1567">
      <c r="B1567" s="24" t="str">
        <f>IF(ROW()-ROW($B$8)&gt;nComp,"",ROW()-ROW($B$8))</f>
        <v/>
      </c>
      <c r="C1567" t="str">
        <f>IF($N1567="","",INDEX('_calc'!$A$2:$A$3001,$N1567))</f>
        <v/>
      </c>
      <c r="D1567" s="25" t="str">
        <f>IF($N1567="","",INDEX('_calc'!$C$2:$C$3001,$N1567))</f>
        <v/>
      </c>
      <c r="E1567" s="25" t="str">
        <f>IF($N1567="","",INDEX('_calc'!$D$2:$D$3001,$N1567))</f>
        <v/>
      </c>
      <c r="F1567" s="26" t="str">
        <f>IF($N1567="","",IF($E$8=0,"",E1567/$E$8))</f>
        <v/>
      </c>
      <c r="G1567" s="25" t="str">
        <f>IF($N1567="","",INDEX('_calc'!$E$2:$E$3001,$N1567))</f>
        <v/>
      </c>
      <c r="H1567" s="25" t="str">
        <f>IF($N1567="","",INDEX('_calc'!$F$2:$F$3001,$N1567))</f>
        <v/>
      </c>
      <c r="I1567" s="27" t="str">
        <f>IF($N1567="","",INDEX('_calc'!$H$2:$H$3001,$N1567))</f>
        <v/>
      </c>
      <c r="J1567" s="27" t="str">
        <f>IF($N1567="","",INDEX('_calc'!$I$2:$I$3001,$N1567))</f>
        <v/>
      </c>
      <c r="K1567" s="28" t="str">
        <f>IF($N1567="","",IF(OR(I1567="",J1567=""),"",J1567-I1567))</f>
        <v/>
      </c>
      <c r="L1567" s="29" t="str">
        <f>IF($N1567="","",INDEX('_calc'!$J$2:$J$3001,$N1567))</f>
        <v/>
      </c>
      <c r="M1567" s="2" t="str">
        <f>IF($N1567="","",IF(AND(G1567=0,H1567=0),"수량 없음",IF(G1567=0,"신규 (전년 수량 없음)",IF(H1567=0,"당해 수량 없음",""))))</f>
        <v/>
      </c>
      <c r="N1567" t="str">
        <f>IF($B1567="","",MATCH($B1567,'_calc'!$L$2:$L$3001,0))</f>
        <v/>
      </c>
    </row>
    <row r="1568">
      <c r="B1568" s="24" t="str">
        <f>IF(ROW()-ROW($B$8)&gt;nComp,"",ROW()-ROW($B$8))</f>
        <v/>
      </c>
      <c r="C1568" t="str">
        <f>IF($N1568="","",INDEX('_calc'!$A$2:$A$3001,$N1568))</f>
        <v/>
      </c>
      <c r="D1568" s="25" t="str">
        <f>IF($N1568="","",INDEX('_calc'!$C$2:$C$3001,$N1568))</f>
        <v/>
      </c>
      <c r="E1568" s="25" t="str">
        <f>IF($N1568="","",INDEX('_calc'!$D$2:$D$3001,$N1568))</f>
        <v/>
      </c>
      <c r="F1568" s="26" t="str">
        <f>IF($N1568="","",IF($E$8=0,"",E1568/$E$8))</f>
        <v/>
      </c>
      <c r="G1568" s="25" t="str">
        <f>IF($N1568="","",INDEX('_calc'!$E$2:$E$3001,$N1568))</f>
        <v/>
      </c>
      <c r="H1568" s="25" t="str">
        <f>IF($N1568="","",INDEX('_calc'!$F$2:$F$3001,$N1568))</f>
        <v/>
      </c>
      <c r="I1568" s="27" t="str">
        <f>IF($N1568="","",INDEX('_calc'!$H$2:$H$3001,$N1568))</f>
        <v/>
      </c>
      <c r="J1568" s="27" t="str">
        <f>IF($N1568="","",INDEX('_calc'!$I$2:$I$3001,$N1568))</f>
        <v/>
      </c>
      <c r="K1568" s="28" t="str">
        <f>IF($N1568="","",IF(OR(I1568="",J1568=""),"",J1568-I1568))</f>
        <v/>
      </c>
      <c r="L1568" s="29" t="str">
        <f>IF($N1568="","",INDEX('_calc'!$J$2:$J$3001,$N1568))</f>
        <v/>
      </c>
      <c r="M1568" s="2" t="str">
        <f>IF($N1568="","",IF(AND(G1568=0,H1568=0),"수량 없음",IF(G1568=0,"신규 (전년 수량 없음)",IF(H1568=0,"당해 수량 없음",""))))</f>
        <v/>
      </c>
      <c r="N1568" t="str">
        <f>IF($B1568="","",MATCH($B1568,'_calc'!$L$2:$L$3001,0))</f>
        <v/>
      </c>
    </row>
    <row r="1569">
      <c r="B1569" s="24" t="str">
        <f>IF(ROW()-ROW($B$8)&gt;nComp,"",ROW()-ROW($B$8))</f>
        <v/>
      </c>
      <c r="C1569" t="str">
        <f>IF($N1569="","",INDEX('_calc'!$A$2:$A$3001,$N1569))</f>
        <v/>
      </c>
      <c r="D1569" s="25" t="str">
        <f>IF($N1569="","",INDEX('_calc'!$C$2:$C$3001,$N1569))</f>
        <v/>
      </c>
      <c r="E1569" s="25" t="str">
        <f>IF($N1569="","",INDEX('_calc'!$D$2:$D$3001,$N1569))</f>
        <v/>
      </c>
      <c r="F1569" s="26" t="str">
        <f>IF($N1569="","",IF($E$8=0,"",E1569/$E$8))</f>
        <v/>
      </c>
      <c r="G1569" s="25" t="str">
        <f>IF($N1569="","",INDEX('_calc'!$E$2:$E$3001,$N1569))</f>
        <v/>
      </c>
      <c r="H1569" s="25" t="str">
        <f>IF($N1569="","",INDEX('_calc'!$F$2:$F$3001,$N1569))</f>
        <v/>
      </c>
      <c r="I1569" s="27" t="str">
        <f>IF($N1569="","",INDEX('_calc'!$H$2:$H$3001,$N1569))</f>
        <v/>
      </c>
      <c r="J1569" s="27" t="str">
        <f>IF($N1569="","",INDEX('_calc'!$I$2:$I$3001,$N1569))</f>
        <v/>
      </c>
      <c r="K1569" s="28" t="str">
        <f>IF($N1569="","",IF(OR(I1569="",J1569=""),"",J1569-I1569))</f>
        <v/>
      </c>
      <c r="L1569" s="29" t="str">
        <f>IF($N1569="","",INDEX('_calc'!$J$2:$J$3001,$N1569))</f>
        <v/>
      </c>
      <c r="M1569" s="2" t="str">
        <f>IF($N1569="","",IF(AND(G1569=0,H1569=0),"수량 없음",IF(G1569=0,"신규 (전년 수량 없음)",IF(H1569=0,"당해 수량 없음",""))))</f>
        <v/>
      </c>
      <c r="N1569" t="str">
        <f>IF($B1569="","",MATCH($B1569,'_calc'!$L$2:$L$3001,0))</f>
        <v/>
      </c>
    </row>
    <row r="1570">
      <c r="B1570" s="24" t="str">
        <f>IF(ROW()-ROW($B$8)&gt;nComp,"",ROW()-ROW($B$8))</f>
        <v/>
      </c>
      <c r="C1570" t="str">
        <f>IF($N1570="","",INDEX('_calc'!$A$2:$A$3001,$N1570))</f>
        <v/>
      </c>
      <c r="D1570" s="25" t="str">
        <f>IF($N1570="","",INDEX('_calc'!$C$2:$C$3001,$N1570))</f>
        <v/>
      </c>
      <c r="E1570" s="25" t="str">
        <f>IF($N1570="","",INDEX('_calc'!$D$2:$D$3001,$N1570))</f>
        <v/>
      </c>
      <c r="F1570" s="26" t="str">
        <f>IF($N1570="","",IF($E$8=0,"",E1570/$E$8))</f>
        <v/>
      </c>
      <c r="G1570" s="25" t="str">
        <f>IF($N1570="","",INDEX('_calc'!$E$2:$E$3001,$N1570))</f>
        <v/>
      </c>
      <c r="H1570" s="25" t="str">
        <f>IF($N1570="","",INDEX('_calc'!$F$2:$F$3001,$N1570))</f>
        <v/>
      </c>
      <c r="I1570" s="27" t="str">
        <f>IF($N1570="","",INDEX('_calc'!$H$2:$H$3001,$N1570))</f>
        <v/>
      </c>
      <c r="J1570" s="27" t="str">
        <f>IF($N1570="","",INDEX('_calc'!$I$2:$I$3001,$N1570))</f>
        <v/>
      </c>
      <c r="K1570" s="28" t="str">
        <f>IF($N1570="","",IF(OR(I1570="",J1570=""),"",J1570-I1570))</f>
        <v/>
      </c>
      <c r="L1570" s="29" t="str">
        <f>IF($N1570="","",INDEX('_calc'!$J$2:$J$3001,$N1570))</f>
        <v/>
      </c>
      <c r="M1570" s="2" t="str">
        <f>IF($N1570="","",IF(AND(G1570=0,H1570=0),"수량 없음",IF(G1570=0,"신규 (전년 수량 없음)",IF(H1570=0,"당해 수량 없음",""))))</f>
        <v/>
      </c>
      <c r="N1570" t="str">
        <f>IF($B1570="","",MATCH($B1570,'_calc'!$L$2:$L$3001,0))</f>
        <v/>
      </c>
    </row>
    <row r="1571">
      <c r="B1571" s="24" t="str">
        <f>IF(ROW()-ROW($B$8)&gt;nComp,"",ROW()-ROW($B$8))</f>
        <v/>
      </c>
      <c r="C1571" t="str">
        <f>IF($N1571="","",INDEX('_calc'!$A$2:$A$3001,$N1571))</f>
        <v/>
      </c>
      <c r="D1571" s="25" t="str">
        <f>IF($N1571="","",INDEX('_calc'!$C$2:$C$3001,$N1571))</f>
        <v/>
      </c>
      <c r="E1571" s="25" t="str">
        <f>IF($N1571="","",INDEX('_calc'!$D$2:$D$3001,$N1571))</f>
        <v/>
      </c>
      <c r="F1571" s="26" t="str">
        <f>IF($N1571="","",IF($E$8=0,"",E1571/$E$8))</f>
        <v/>
      </c>
      <c r="G1571" s="25" t="str">
        <f>IF($N1571="","",INDEX('_calc'!$E$2:$E$3001,$N1571))</f>
        <v/>
      </c>
      <c r="H1571" s="25" t="str">
        <f>IF($N1571="","",INDEX('_calc'!$F$2:$F$3001,$N1571))</f>
        <v/>
      </c>
      <c r="I1571" s="27" t="str">
        <f>IF($N1571="","",INDEX('_calc'!$H$2:$H$3001,$N1571))</f>
        <v/>
      </c>
      <c r="J1571" s="27" t="str">
        <f>IF($N1571="","",INDEX('_calc'!$I$2:$I$3001,$N1571))</f>
        <v/>
      </c>
      <c r="K1571" s="28" t="str">
        <f>IF($N1571="","",IF(OR(I1571="",J1571=""),"",J1571-I1571))</f>
        <v/>
      </c>
      <c r="L1571" s="29" t="str">
        <f>IF($N1571="","",INDEX('_calc'!$J$2:$J$3001,$N1571))</f>
        <v/>
      </c>
      <c r="M1571" s="2" t="str">
        <f>IF($N1571="","",IF(AND(G1571=0,H1571=0),"수량 없음",IF(G1571=0,"신규 (전년 수량 없음)",IF(H1571=0,"당해 수량 없음",""))))</f>
        <v/>
      </c>
      <c r="N1571" t="str">
        <f>IF($B1571="","",MATCH($B1571,'_calc'!$L$2:$L$3001,0))</f>
        <v/>
      </c>
    </row>
    <row r="1572">
      <c r="B1572" s="24" t="str">
        <f>IF(ROW()-ROW($B$8)&gt;nComp,"",ROW()-ROW($B$8))</f>
        <v/>
      </c>
      <c r="C1572" t="str">
        <f>IF($N1572="","",INDEX('_calc'!$A$2:$A$3001,$N1572))</f>
        <v/>
      </c>
      <c r="D1572" s="25" t="str">
        <f>IF($N1572="","",INDEX('_calc'!$C$2:$C$3001,$N1572))</f>
        <v/>
      </c>
      <c r="E1572" s="25" t="str">
        <f>IF($N1572="","",INDEX('_calc'!$D$2:$D$3001,$N1572))</f>
        <v/>
      </c>
      <c r="F1572" s="26" t="str">
        <f>IF($N1572="","",IF($E$8=0,"",E1572/$E$8))</f>
        <v/>
      </c>
      <c r="G1572" s="25" t="str">
        <f>IF($N1572="","",INDEX('_calc'!$E$2:$E$3001,$N1572))</f>
        <v/>
      </c>
      <c r="H1572" s="25" t="str">
        <f>IF($N1572="","",INDEX('_calc'!$F$2:$F$3001,$N1572))</f>
        <v/>
      </c>
      <c r="I1572" s="27" t="str">
        <f>IF($N1572="","",INDEX('_calc'!$H$2:$H$3001,$N1572))</f>
        <v/>
      </c>
      <c r="J1572" s="27" t="str">
        <f>IF($N1572="","",INDEX('_calc'!$I$2:$I$3001,$N1572))</f>
        <v/>
      </c>
      <c r="K1572" s="28" t="str">
        <f>IF($N1572="","",IF(OR(I1572="",J1572=""),"",J1572-I1572))</f>
        <v/>
      </c>
      <c r="L1572" s="29" t="str">
        <f>IF($N1572="","",INDEX('_calc'!$J$2:$J$3001,$N1572))</f>
        <v/>
      </c>
      <c r="M1572" s="2" t="str">
        <f>IF($N1572="","",IF(AND(G1572=0,H1572=0),"수량 없음",IF(G1572=0,"신규 (전년 수량 없음)",IF(H1572=0,"당해 수량 없음",""))))</f>
        <v/>
      </c>
      <c r="N1572" t="str">
        <f>IF($B1572="","",MATCH($B1572,'_calc'!$L$2:$L$3001,0))</f>
        <v/>
      </c>
    </row>
    <row r="1573">
      <c r="B1573" s="24" t="str">
        <f>IF(ROW()-ROW($B$8)&gt;nComp,"",ROW()-ROW($B$8))</f>
        <v/>
      </c>
      <c r="C1573" t="str">
        <f>IF($N1573="","",INDEX('_calc'!$A$2:$A$3001,$N1573))</f>
        <v/>
      </c>
      <c r="D1573" s="25" t="str">
        <f>IF($N1573="","",INDEX('_calc'!$C$2:$C$3001,$N1573))</f>
        <v/>
      </c>
      <c r="E1573" s="25" t="str">
        <f>IF($N1573="","",INDEX('_calc'!$D$2:$D$3001,$N1573))</f>
        <v/>
      </c>
      <c r="F1573" s="26" t="str">
        <f>IF($N1573="","",IF($E$8=0,"",E1573/$E$8))</f>
        <v/>
      </c>
      <c r="G1573" s="25" t="str">
        <f>IF($N1573="","",INDEX('_calc'!$E$2:$E$3001,$N1573))</f>
        <v/>
      </c>
      <c r="H1573" s="25" t="str">
        <f>IF($N1573="","",INDEX('_calc'!$F$2:$F$3001,$N1573))</f>
        <v/>
      </c>
      <c r="I1573" s="27" t="str">
        <f>IF($N1573="","",INDEX('_calc'!$H$2:$H$3001,$N1573))</f>
        <v/>
      </c>
      <c r="J1573" s="27" t="str">
        <f>IF($N1573="","",INDEX('_calc'!$I$2:$I$3001,$N1573))</f>
        <v/>
      </c>
      <c r="K1573" s="28" t="str">
        <f>IF($N1573="","",IF(OR(I1573="",J1573=""),"",J1573-I1573))</f>
        <v/>
      </c>
      <c r="L1573" s="29" t="str">
        <f>IF($N1573="","",INDEX('_calc'!$J$2:$J$3001,$N1573))</f>
        <v/>
      </c>
      <c r="M1573" s="2" t="str">
        <f>IF($N1573="","",IF(AND(G1573=0,H1573=0),"수량 없음",IF(G1573=0,"신규 (전년 수량 없음)",IF(H1573=0,"당해 수량 없음",""))))</f>
        <v/>
      </c>
      <c r="N1573" t="str">
        <f>IF($B1573="","",MATCH($B1573,'_calc'!$L$2:$L$3001,0))</f>
        <v/>
      </c>
    </row>
    <row r="1574">
      <c r="B1574" s="24" t="str">
        <f>IF(ROW()-ROW($B$8)&gt;nComp,"",ROW()-ROW($B$8))</f>
        <v/>
      </c>
      <c r="C1574" t="str">
        <f>IF($N1574="","",INDEX('_calc'!$A$2:$A$3001,$N1574))</f>
        <v/>
      </c>
      <c r="D1574" s="25" t="str">
        <f>IF($N1574="","",INDEX('_calc'!$C$2:$C$3001,$N1574))</f>
        <v/>
      </c>
      <c r="E1574" s="25" t="str">
        <f>IF($N1574="","",INDEX('_calc'!$D$2:$D$3001,$N1574))</f>
        <v/>
      </c>
      <c r="F1574" s="26" t="str">
        <f>IF($N1574="","",IF($E$8=0,"",E1574/$E$8))</f>
        <v/>
      </c>
      <c r="G1574" s="25" t="str">
        <f>IF($N1574="","",INDEX('_calc'!$E$2:$E$3001,$N1574))</f>
        <v/>
      </c>
      <c r="H1574" s="25" t="str">
        <f>IF($N1574="","",INDEX('_calc'!$F$2:$F$3001,$N1574))</f>
        <v/>
      </c>
      <c r="I1574" s="27" t="str">
        <f>IF($N1574="","",INDEX('_calc'!$H$2:$H$3001,$N1574))</f>
        <v/>
      </c>
      <c r="J1574" s="27" t="str">
        <f>IF($N1574="","",INDEX('_calc'!$I$2:$I$3001,$N1574))</f>
        <v/>
      </c>
      <c r="K1574" s="28" t="str">
        <f>IF($N1574="","",IF(OR(I1574="",J1574=""),"",J1574-I1574))</f>
        <v/>
      </c>
      <c r="L1574" s="29" t="str">
        <f>IF($N1574="","",INDEX('_calc'!$J$2:$J$3001,$N1574))</f>
        <v/>
      </c>
      <c r="M1574" s="2" t="str">
        <f>IF($N1574="","",IF(AND(G1574=0,H1574=0),"수량 없음",IF(G1574=0,"신규 (전년 수량 없음)",IF(H1574=0,"당해 수량 없음",""))))</f>
        <v/>
      </c>
      <c r="N1574" t="str">
        <f>IF($B1574="","",MATCH($B1574,'_calc'!$L$2:$L$3001,0))</f>
        <v/>
      </c>
    </row>
    <row r="1575">
      <c r="B1575" s="24" t="str">
        <f>IF(ROW()-ROW($B$8)&gt;nComp,"",ROW()-ROW($B$8))</f>
        <v/>
      </c>
      <c r="C1575" t="str">
        <f>IF($N1575="","",INDEX('_calc'!$A$2:$A$3001,$N1575))</f>
        <v/>
      </c>
      <c r="D1575" s="25" t="str">
        <f>IF($N1575="","",INDEX('_calc'!$C$2:$C$3001,$N1575))</f>
        <v/>
      </c>
      <c r="E1575" s="25" t="str">
        <f>IF($N1575="","",INDEX('_calc'!$D$2:$D$3001,$N1575))</f>
        <v/>
      </c>
      <c r="F1575" s="26" t="str">
        <f>IF($N1575="","",IF($E$8=0,"",E1575/$E$8))</f>
        <v/>
      </c>
      <c r="G1575" s="25" t="str">
        <f>IF($N1575="","",INDEX('_calc'!$E$2:$E$3001,$N1575))</f>
        <v/>
      </c>
      <c r="H1575" s="25" t="str">
        <f>IF($N1575="","",INDEX('_calc'!$F$2:$F$3001,$N1575))</f>
        <v/>
      </c>
      <c r="I1575" s="27" t="str">
        <f>IF($N1575="","",INDEX('_calc'!$H$2:$H$3001,$N1575))</f>
        <v/>
      </c>
      <c r="J1575" s="27" t="str">
        <f>IF($N1575="","",INDEX('_calc'!$I$2:$I$3001,$N1575))</f>
        <v/>
      </c>
      <c r="K1575" s="28" t="str">
        <f>IF($N1575="","",IF(OR(I1575="",J1575=""),"",J1575-I1575))</f>
        <v/>
      </c>
      <c r="L1575" s="29" t="str">
        <f>IF($N1575="","",INDEX('_calc'!$J$2:$J$3001,$N1575))</f>
        <v/>
      </c>
      <c r="M1575" s="2" t="str">
        <f>IF($N1575="","",IF(AND(G1575=0,H1575=0),"수량 없음",IF(G1575=0,"신규 (전년 수량 없음)",IF(H1575=0,"당해 수량 없음",""))))</f>
        <v/>
      </c>
      <c r="N1575" t="str">
        <f>IF($B1575="","",MATCH($B1575,'_calc'!$L$2:$L$3001,0))</f>
        <v/>
      </c>
    </row>
    <row r="1576">
      <c r="B1576" s="24" t="str">
        <f>IF(ROW()-ROW($B$8)&gt;nComp,"",ROW()-ROW($B$8))</f>
        <v/>
      </c>
      <c r="C1576" t="str">
        <f>IF($N1576="","",INDEX('_calc'!$A$2:$A$3001,$N1576))</f>
        <v/>
      </c>
      <c r="D1576" s="25" t="str">
        <f>IF($N1576="","",INDEX('_calc'!$C$2:$C$3001,$N1576))</f>
        <v/>
      </c>
      <c r="E1576" s="25" t="str">
        <f>IF($N1576="","",INDEX('_calc'!$D$2:$D$3001,$N1576))</f>
        <v/>
      </c>
      <c r="F1576" s="26" t="str">
        <f>IF($N1576="","",IF($E$8=0,"",E1576/$E$8))</f>
        <v/>
      </c>
      <c r="G1576" s="25" t="str">
        <f>IF($N1576="","",INDEX('_calc'!$E$2:$E$3001,$N1576))</f>
        <v/>
      </c>
      <c r="H1576" s="25" t="str">
        <f>IF($N1576="","",INDEX('_calc'!$F$2:$F$3001,$N1576))</f>
        <v/>
      </c>
      <c r="I1576" s="27" t="str">
        <f>IF($N1576="","",INDEX('_calc'!$H$2:$H$3001,$N1576))</f>
        <v/>
      </c>
      <c r="J1576" s="27" t="str">
        <f>IF($N1576="","",INDEX('_calc'!$I$2:$I$3001,$N1576))</f>
        <v/>
      </c>
      <c r="K1576" s="28" t="str">
        <f>IF($N1576="","",IF(OR(I1576="",J1576=""),"",J1576-I1576))</f>
        <v/>
      </c>
      <c r="L1576" s="29" t="str">
        <f>IF($N1576="","",INDEX('_calc'!$J$2:$J$3001,$N1576))</f>
        <v/>
      </c>
      <c r="M1576" s="2" t="str">
        <f>IF($N1576="","",IF(AND(G1576=0,H1576=0),"수량 없음",IF(G1576=0,"신규 (전년 수량 없음)",IF(H1576=0,"당해 수량 없음",""))))</f>
        <v/>
      </c>
      <c r="N1576" t="str">
        <f>IF($B1576="","",MATCH($B1576,'_calc'!$L$2:$L$3001,0))</f>
        <v/>
      </c>
    </row>
    <row r="1577">
      <c r="B1577" s="24" t="str">
        <f>IF(ROW()-ROW($B$8)&gt;nComp,"",ROW()-ROW($B$8))</f>
        <v/>
      </c>
      <c r="C1577" t="str">
        <f>IF($N1577="","",INDEX('_calc'!$A$2:$A$3001,$N1577))</f>
        <v/>
      </c>
      <c r="D1577" s="25" t="str">
        <f>IF($N1577="","",INDEX('_calc'!$C$2:$C$3001,$N1577))</f>
        <v/>
      </c>
      <c r="E1577" s="25" t="str">
        <f>IF($N1577="","",INDEX('_calc'!$D$2:$D$3001,$N1577))</f>
        <v/>
      </c>
      <c r="F1577" s="26" t="str">
        <f>IF($N1577="","",IF($E$8=0,"",E1577/$E$8))</f>
        <v/>
      </c>
      <c r="G1577" s="25" t="str">
        <f>IF($N1577="","",INDEX('_calc'!$E$2:$E$3001,$N1577))</f>
        <v/>
      </c>
      <c r="H1577" s="25" t="str">
        <f>IF($N1577="","",INDEX('_calc'!$F$2:$F$3001,$N1577))</f>
        <v/>
      </c>
      <c r="I1577" s="27" t="str">
        <f>IF($N1577="","",INDEX('_calc'!$H$2:$H$3001,$N1577))</f>
        <v/>
      </c>
      <c r="J1577" s="27" t="str">
        <f>IF($N1577="","",INDEX('_calc'!$I$2:$I$3001,$N1577))</f>
        <v/>
      </c>
      <c r="K1577" s="28" t="str">
        <f>IF($N1577="","",IF(OR(I1577="",J1577=""),"",J1577-I1577))</f>
        <v/>
      </c>
      <c r="L1577" s="29" t="str">
        <f>IF($N1577="","",INDEX('_calc'!$J$2:$J$3001,$N1577))</f>
        <v/>
      </c>
      <c r="M1577" s="2" t="str">
        <f>IF($N1577="","",IF(AND(G1577=0,H1577=0),"수량 없음",IF(G1577=0,"신규 (전년 수량 없음)",IF(H1577=0,"당해 수량 없음",""))))</f>
        <v/>
      </c>
      <c r="N1577" t="str">
        <f>IF($B1577="","",MATCH($B1577,'_calc'!$L$2:$L$3001,0))</f>
        <v/>
      </c>
    </row>
    <row r="1578">
      <c r="B1578" s="24" t="str">
        <f>IF(ROW()-ROW($B$8)&gt;nComp,"",ROW()-ROW($B$8))</f>
        <v/>
      </c>
      <c r="C1578" t="str">
        <f>IF($N1578="","",INDEX('_calc'!$A$2:$A$3001,$N1578))</f>
        <v/>
      </c>
      <c r="D1578" s="25" t="str">
        <f>IF($N1578="","",INDEX('_calc'!$C$2:$C$3001,$N1578))</f>
        <v/>
      </c>
      <c r="E1578" s="25" t="str">
        <f>IF($N1578="","",INDEX('_calc'!$D$2:$D$3001,$N1578))</f>
        <v/>
      </c>
      <c r="F1578" s="26" t="str">
        <f>IF($N1578="","",IF($E$8=0,"",E1578/$E$8))</f>
        <v/>
      </c>
      <c r="G1578" s="25" t="str">
        <f>IF($N1578="","",INDEX('_calc'!$E$2:$E$3001,$N1578))</f>
        <v/>
      </c>
      <c r="H1578" s="25" t="str">
        <f>IF($N1578="","",INDEX('_calc'!$F$2:$F$3001,$N1578))</f>
        <v/>
      </c>
      <c r="I1578" s="27" t="str">
        <f>IF($N1578="","",INDEX('_calc'!$H$2:$H$3001,$N1578))</f>
        <v/>
      </c>
      <c r="J1578" s="27" t="str">
        <f>IF($N1578="","",INDEX('_calc'!$I$2:$I$3001,$N1578))</f>
        <v/>
      </c>
      <c r="K1578" s="28" t="str">
        <f>IF($N1578="","",IF(OR(I1578="",J1578=""),"",J1578-I1578))</f>
        <v/>
      </c>
      <c r="L1578" s="29" t="str">
        <f>IF($N1578="","",INDEX('_calc'!$J$2:$J$3001,$N1578))</f>
        <v/>
      </c>
      <c r="M1578" s="2" t="str">
        <f>IF($N1578="","",IF(AND(G1578=0,H1578=0),"수량 없음",IF(G1578=0,"신규 (전년 수량 없음)",IF(H1578=0,"당해 수량 없음",""))))</f>
        <v/>
      </c>
      <c r="N1578" t="str">
        <f>IF($B1578="","",MATCH($B1578,'_calc'!$L$2:$L$3001,0))</f>
        <v/>
      </c>
    </row>
    <row r="1579">
      <c r="B1579" s="24" t="str">
        <f>IF(ROW()-ROW($B$8)&gt;nComp,"",ROW()-ROW($B$8))</f>
        <v/>
      </c>
      <c r="C1579" t="str">
        <f>IF($N1579="","",INDEX('_calc'!$A$2:$A$3001,$N1579))</f>
        <v/>
      </c>
      <c r="D1579" s="25" t="str">
        <f>IF($N1579="","",INDEX('_calc'!$C$2:$C$3001,$N1579))</f>
        <v/>
      </c>
      <c r="E1579" s="25" t="str">
        <f>IF($N1579="","",INDEX('_calc'!$D$2:$D$3001,$N1579))</f>
        <v/>
      </c>
      <c r="F1579" s="26" t="str">
        <f>IF($N1579="","",IF($E$8=0,"",E1579/$E$8))</f>
        <v/>
      </c>
      <c r="G1579" s="25" t="str">
        <f>IF($N1579="","",INDEX('_calc'!$E$2:$E$3001,$N1579))</f>
        <v/>
      </c>
      <c r="H1579" s="25" t="str">
        <f>IF($N1579="","",INDEX('_calc'!$F$2:$F$3001,$N1579))</f>
        <v/>
      </c>
      <c r="I1579" s="27" t="str">
        <f>IF($N1579="","",INDEX('_calc'!$H$2:$H$3001,$N1579))</f>
        <v/>
      </c>
      <c r="J1579" s="27" t="str">
        <f>IF($N1579="","",INDEX('_calc'!$I$2:$I$3001,$N1579))</f>
        <v/>
      </c>
      <c r="K1579" s="28" t="str">
        <f>IF($N1579="","",IF(OR(I1579="",J1579=""),"",J1579-I1579))</f>
        <v/>
      </c>
      <c r="L1579" s="29" t="str">
        <f>IF($N1579="","",INDEX('_calc'!$J$2:$J$3001,$N1579))</f>
        <v/>
      </c>
      <c r="M1579" s="2" t="str">
        <f>IF($N1579="","",IF(AND(G1579=0,H1579=0),"수량 없음",IF(G1579=0,"신규 (전년 수량 없음)",IF(H1579=0,"당해 수량 없음",""))))</f>
        <v/>
      </c>
      <c r="N1579" t="str">
        <f>IF($B1579="","",MATCH($B1579,'_calc'!$L$2:$L$3001,0))</f>
        <v/>
      </c>
    </row>
    <row r="1580">
      <c r="B1580" s="24" t="str">
        <f>IF(ROW()-ROW($B$8)&gt;nComp,"",ROW()-ROW($B$8))</f>
        <v/>
      </c>
      <c r="C1580" t="str">
        <f>IF($N1580="","",INDEX('_calc'!$A$2:$A$3001,$N1580))</f>
        <v/>
      </c>
      <c r="D1580" s="25" t="str">
        <f>IF($N1580="","",INDEX('_calc'!$C$2:$C$3001,$N1580))</f>
        <v/>
      </c>
      <c r="E1580" s="25" t="str">
        <f>IF($N1580="","",INDEX('_calc'!$D$2:$D$3001,$N1580))</f>
        <v/>
      </c>
      <c r="F1580" s="26" t="str">
        <f>IF($N1580="","",IF($E$8=0,"",E1580/$E$8))</f>
        <v/>
      </c>
      <c r="G1580" s="25" t="str">
        <f>IF($N1580="","",INDEX('_calc'!$E$2:$E$3001,$N1580))</f>
        <v/>
      </c>
      <c r="H1580" s="25" t="str">
        <f>IF($N1580="","",INDEX('_calc'!$F$2:$F$3001,$N1580))</f>
        <v/>
      </c>
      <c r="I1580" s="27" t="str">
        <f>IF($N1580="","",INDEX('_calc'!$H$2:$H$3001,$N1580))</f>
        <v/>
      </c>
      <c r="J1580" s="27" t="str">
        <f>IF($N1580="","",INDEX('_calc'!$I$2:$I$3001,$N1580))</f>
        <v/>
      </c>
      <c r="K1580" s="28" t="str">
        <f>IF($N1580="","",IF(OR(I1580="",J1580=""),"",J1580-I1580))</f>
        <v/>
      </c>
      <c r="L1580" s="29" t="str">
        <f>IF($N1580="","",INDEX('_calc'!$J$2:$J$3001,$N1580))</f>
        <v/>
      </c>
      <c r="M1580" s="2" t="str">
        <f>IF($N1580="","",IF(AND(G1580=0,H1580=0),"수량 없음",IF(G1580=0,"신규 (전년 수량 없음)",IF(H1580=0,"당해 수량 없음",""))))</f>
        <v/>
      </c>
      <c r="N1580" t="str">
        <f>IF($B1580="","",MATCH($B1580,'_calc'!$L$2:$L$3001,0))</f>
        <v/>
      </c>
    </row>
    <row r="1581">
      <c r="B1581" s="24" t="str">
        <f>IF(ROW()-ROW($B$8)&gt;nComp,"",ROW()-ROW($B$8))</f>
        <v/>
      </c>
      <c r="C1581" t="str">
        <f>IF($N1581="","",INDEX('_calc'!$A$2:$A$3001,$N1581))</f>
        <v/>
      </c>
      <c r="D1581" s="25" t="str">
        <f>IF($N1581="","",INDEX('_calc'!$C$2:$C$3001,$N1581))</f>
        <v/>
      </c>
      <c r="E1581" s="25" t="str">
        <f>IF($N1581="","",INDEX('_calc'!$D$2:$D$3001,$N1581))</f>
        <v/>
      </c>
      <c r="F1581" s="26" t="str">
        <f>IF($N1581="","",IF($E$8=0,"",E1581/$E$8))</f>
        <v/>
      </c>
      <c r="G1581" s="25" t="str">
        <f>IF($N1581="","",INDEX('_calc'!$E$2:$E$3001,$N1581))</f>
        <v/>
      </c>
      <c r="H1581" s="25" t="str">
        <f>IF($N1581="","",INDEX('_calc'!$F$2:$F$3001,$N1581))</f>
        <v/>
      </c>
      <c r="I1581" s="27" t="str">
        <f>IF($N1581="","",INDEX('_calc'!$H$2:$H$3001,$N1581))</f>
        <v/>
      </c>
      <c r="J1581" s="27" t="str">
        <f>IF($N1581="","",INDEX('_calc'!$I$2:$I$3001,$N1581))</f>
        <v/>
      </c>
      <c r="K1581" s="28" t="str">
        <f>IF($N1581="","",IF(OR(I1581="",J1581=""),"",J1581-I1581))</f>
        <v/>
      </c>
      <c r="L1581" s="29" t="str">
        <f>IF($N1581="","",INDEX('_calc'!$J$2:$J$3001,$N1581))</f>
        <v/>
      </c>
      <c r="M1581" s="2" t="str">
        <f>IF($N1581="","",IF(AND(G1581=0,H1581=0),"수량 없음",IF(G1581=0,"신규 (전년 수량 없음)",IF(H1581=0,"당해 수량 없음",""))))</f>
        <v/>
      </c>
      <c r="N1581" t="str">
        <f>IF($B1581="","",MATCH($B1581,'_calc'!$L$2:$L$3001,0))</f>
        <v/>
      </c>
    </row>
    <row r="1582">
      <c r="B1582" s="24" t="str">
        <f>IF(ROW()-ROW($B$8)&gt;nComp,"",ROW()-ROW($B$8))</f>
        <v/>
      </c>
      <c r="C1582" t="str">
        <f>IF($N1582="","",INDEX('_calc'!$A$2:$A$3001,$N1582))</f>
        <v/>
      </c>
      <c r="D1582" s="25" t="str">
        <f>IF($N1582="","",INDEX('_calc'!$C$2:$C$3001,$N1582))</f>
        <v/>
      </c>
      <c r="E1582" s="25" t="str">
        <f>IF($N1582="","",INDEX('_calc'!$D$2:$D$3001,$N1582))</f>
        <v/>
      </c>
      <c r="F1582" s="26" t="str">
        <f>IF($N1582="","",IF($E$8=0,"",E1582/$E$8))</f>
        <v/>
      </c>
      <c r="G1582" s="25" t="str">
        <f>IF($N1582="","",INDEX('_calc'!$E$2:$E$3001,$N1582))</f>
        <v/>
      </c>
      <c r="H1582" s="25" t="str">
        <f>IF($N1582="","",INDEX('_calc'!$F$2:$F$3001,$N1582))</f>
        <v/>
      </c>
      <c r="I1582" s="27" t="str">
        <f>IF($N1582="","",INDEX('_calc'!$H$2:$H$3001,$N1582))</f>
        <v/>
      </c>
      <c r="J1582" s="27" t="str">
        <f>IF($N1582="","",INDEX('_calc'!$I$2:$I$3001,$N1582))</f>
        <v/>
      </c>
      <c r="K1582" s="28" t="str">
        <f>IF($N1582="","",IF(OR(I1582="",J1582=""),"",J1582-I1582))</f>
        <v/>
      </c>
      <c r="L1582" s="29" t="str">
        <f>IF($N1582="","",INDEX('_calc'!$J$2:$J$3001,$N1582))</f>
        <v/>
      </c>
      <c r="M1582" s="2" t="str">
        <f>IF($N1582="","",IF(AND(G1582=0,H1582=0),"수량 없음",IF(G1582=0,"신규 (전년 수량 없음)",IF(H1582=0,"당해 수량 없음",""))))</f>
        <v/>
      </c>
      <c r="N1582" t="str">
        <f>IF($B1582="","",MATCH($B1582,'_calc'!$L$2:$L$3001,0))</f>
        <v/>
      </c>
    </row>
    <row r="1583">
      <c r="B1583" s="24" t="str">
        <f>IF(ROW()-ROW($B$8)&gt;nComp,"",ROW()-ROW($B$8))</f>
        <v/>
      </c>
      <c r="C1583" t="str">
        <f>IF($N1583="","",INDEX('_calc'!$A$2:$A$3001,$N1583))</f>
        <v/>
      </c>
      <c r="D1583" s="25" t="str">
        <f>IF($N1583="","",INDEX('_calc'!$C$2:$C$3001,$N1583))</f>
        <v/>
      </c>
      <c r="E1583" s="25" t="str">
        <f>IF($N1583="","",INDEX('_calc'!$D$2:$D$3001,$N1583))</f>
        <v/>
      </c>
      <c r="F1583" s="26" t="str">
        <f>IF($N1583="","",IF($E$8=0,"",E1583/$E$8))</f>
        <v/>
      </c>
      <c r="G1583" s="25" t="str">
        <f>IF($N1583="","",INDEX('_calc'!$E$2:$E$3001,$N1583))</f>
        <v/>
      </c>
      <c r="H1583" s="25" t="str">
        <f>IF($N1583="","",INDEX('_calc'!$F$2:$F$3001,$N1583))</f>
        <v/>
      </c>
      <c r="I1583" s="27" t="str">
        <f>IF($N1583="","",INDEX('_calc'!$H$2:$H$3001,$N1583))</f>
        <v/>
      </c>
      <c r="J1583" s="27" t="str">
        <f>IF($N1583="","",INDEX('_calc'!$I$2:$I$3001,$N1583))</f>
        <v/>
      </c>
      <c r="K1583" s="28" t="str">
        <f>IF($N1583="","",IF(OR(I1583="",J1583=""),"",J1583-I1583))</f>
        <v/>
      </c>
      <c r="L1583" s="29" t="str">
        <f>IF($N1583="","",INDEX('_calc'!$J$2:$J$3001,$N1583))</f>
        <v/>
      </c>
      <c r="M1583" s="2" t="str">
        <f>IF($N1583="","",IF(AND(G1583=0,H1583=0),"수량 없음",IF(G1583=0,"신규 (전년 수량 없음)",IF(H1583=0,"당해 수량 없음",""))))</f>
        <v/>
      </c>
      <c r="N1583" t="str">
        <f>IF($B1583="","",MATCH($B1583,'_calc'!$L$2:$L$3001,0))</f>
        <v/>
      </c>
    </row>
    <row r="1584">
      <c r="B1584" s="24" t="str">
        <f>IF(ROW()-ROW($B$8)&gt;nComp,"",ROW()-ROW($B$8))</f>
        <v/>
      </c>
      <c r="C1584" t="str">
        <f>IF($N1584="","",INDEX('_calc'!$A$2:$A$3001,$N1584))</f>
        <v/>
      </c>
      <c r="D1584" s="25" t="str">
        <f>IF($N1584="","",INDEX('_calc'!$C$2:$C$3001,$N1584))</f>
        <v/>
      </c>
      <c r="E1584" s="25" t="str">
        <f>IF($N1584="","",INDEX('_calc'!$D$2:$D$3001,$N1584))</f>
        <v/>
      </c>
      <c r="F1584" s="26" t="str">
        <f>IF($N1584="","",IF($E$8=0,"",E1584/$E$8))</f>
        <v/>
      </c>
      <c r="G1584" s="25" t="str">
        <f>IF($N1584="","",INDEX('_calc'!$E$2:$E$3001,$N1584))</f>
        <v/>
      </c>
      <c r="H1584" s="25" t="str">
        <f>IF($N1584="","",INDEX('_calc'!$F$2:$F$3001,$N1584))</f>
        <v/>
      </c>
      <c r="I1584" s="27" t="str">
        <f>IF($N1584="","",INDEX('_calc'!$H$2:$H$3001,$N1584))</f>
        <v/>
      </c>
      <c r="J1584" s="27" t="str">
        <f>IF($N1584="","",INDEX('_calc'!$I$2:$I$3001,$N1584))</f>
        <v/>
      </c>
      <c r="K1584" s="28" t="str">
        <f>IF($N1584="","",IF(OR(I1584="",J1584=""),"",J1584-I1584))</f>
        <v/>
      </c>
      <c r="L1584" s="29" t="str">
        <f>IF($N1584="","",INDEX('_calc'!$J$2:$J$3001,$N1584))</f>
        <v/>
      </c>
      <c r="M1584" s="2" t="str">
        <f>IF($N1584="","",IF(AND(G1584=0,H1584=0),"수량 없음",IF(G1584=0,"신규 (전년 수량 없음)",IF(H1584=0,"당해 수량 없음",""))))</f>
        <v/>
      </c>
      <c r="N1584" t="str">
        <f>IF($B1584="","",MATCH($B1584,'_calc'!$L$2:$L$3001,0))</f>
        <v/>
      </c>
    </row>
    <row r="1585">
      <c r="B1585" s="24" t="str">
        <f>IF(ROW()-ROW($B$8)&gt;nComp,"",ROW()-ROW($B$8))</f>
        <v/>
      </c>
      <c r="C1585" t="str">
        <f>IF($N1585="","",INDEX('_calc'!$A$2:$A$3001,$N1585))</f>
        <v/>
      </c>
      <c r="D1585" s="25" t="str">
        <f>IF($N1585="","",INDEX('_calc'!$C$2:$C$3001,$N1585))</f>
        <v/>
      </c>
      <c r="E1585" s="25" t="str">
        <f>IF($N1585="","",INDEX('_calc'!$D$2:$D$3001,$N1585))</f>
        <v/>
      </c>
      <c r="F1585" s="26" t="str">
        <f>IF($N1585="","",IF($E$8=0,"",E1585/$E$8))</f>
        <v/>
      </c>
      <c r="G1585" s="25" t="str">
        <f>IF($N1585="","",INDEX('_calc'!$E$2:$E$3001,$N1585))</f>
        <v/>
      </c>
      <c r="H1585" s="25" t="str">
        <f>IF($N1585="","",INDEX('_calc'!$F$2:$F$3001,$N1585))</f>
        <v/>
      </c>
      <c r="I1585" s="27" t="str">
        <f>IF($N1585="","",INDEX('_calc'!$H$2:$H$3001,$N1585))</f>
        <v/>
      </c>
      <c r="J1585" s="27" t="str">
        <f>IF($N1585="","",INDEX('_calc'!$I$2:$I$3001,$N1585))</f>
        <v/>
      </c>
      <c r="K1585" s="28" t="str">
        <f>IF($N1585="","",IF(OR(I1585="",J1585=""),"",J1585-I1585))</f>
        <v/>
      </c>
      <c r="L1585" s="29" t="str">
        <f>IF($N1585="","",INDEX('_calc'!$J$2:$J$3001,$N1585))</f>
        <v/>
      </c>
      <c r="M1585" s="2" t="str">
        <f>IF($N1585="","",IF(AND(G1585=0,H1585=0),"수량 없음",IF(G1585=0,"신규 (전년 수량 없음)",IF(H1585=0,"당해 수량 없음",""))))</f>
        <v/>
      </c>
      <c r="N1585" t="str">
        <f>IF($B1585="","",MATCH($B1585,'_calc'!$L$2:$L$3001,0))</f>
        <v/>
      </c>
    </row>
    <row r="1586">
      <c r="B1586" s="24" t="str">
        <f>IF(ROW()-ROW($B$8)&gt;nComp,"",ROW()-ROW($B$8))</f>
        <v/>
      </c>
      <c r="C1586" t="str">
        <f>IF($N1586="","",INDEX('_calc'!$A$2:$A$3001,$N1586))</f>
        <v/>
      </c>
      <c r="D1586" s="25" t="str">
        <f>IF($N1586="","",INDEX('_calc'!$C$2:$C$3001,$N1586))</f>
        <v/>
      </c>
      <c r="E1586" s="25" t="str">
        <f>IF($N1586="","",INDEX('_calc'!$D$2:$D$3001,$N1586))</f>
        <v/>
      </c>
      <c r="F1586" s="26" t="str">
        <f>IF($N1586="","",IF($E$8=0,"",E1586/$E$8))</f>
        <v/>
      </c>
      <c r="G1586" s="25" t="str">
        <f>IF($N1586="","",INDEX('_calc'!$E$2:$E$3001,$N1586))</f>
        <v/>
      </c>
      <c r="H1586" s="25" t="str">
        <f>IF($N1586="","",INDEX('_calc'!$F$2:$F$3001,$N1586))</f>
        <v/>
      </c>
      <c r="I1586" s="27" t="str">
        <f>IF($N1586="","",INDEX('_calc'!$H$2:$H$3001,$N1586))</f>
        <v/>
      </c>
      <c r="J1586" s="27" t="str">
        <f>IF($N1586="","",INDEX('_calc'!$I$2:$I$3001,$N1586))</f>
        <v/>
      </c>
      <c r="K1586" s="28" t="str">
        <f>IF($N1586="","",IF(OR(I1586="",J1586=""),"",J1586-I1586))</f>
        <v/>
      </c>
      <c r="L1586" s="29" t="str">
        <f>IF($N1586="","",INDEX('_calc'!$J$2:$J$3001,$N1586))</f>
        <v/>
      </c>
      <c r="M1586" s="2" t="str">
        <f>IF($N1586="","",IF(AND(G1586=0,H1586=0),"수량 없음",IF(G1586=0,"신규 (전년 수량 없음)",IF(H1586=0,"당해 수량 없음",""))))</f>
        <v/>
      </c>
      <c r="N1586" t="str">
        <f>IF($B1586="","",MATCH($B1586,'_calc'!$L$2:$L$3001,0))</f>
        <v/>
      </c>
    </row>
    <row r="1587">
      <c r="B1587" s="24" t="str">
        <f>IF(ROW()-ROW($B$8)&gt;nComp,"",ROW()-ROW($B$8))</f>
        <v/>
      </c>
      <c r="C1587" t="str">
        <f>IF($N1587="","",INDEX('_calc'!$A$2:$A$3001,$N1587))</f>
        <v/>
      </c>
      <c r="D1587" s="25" t="str">
        <f>IF($N1587="","",INDEX('_calc'!$C$2:$C$3001,$N1587))</f>
        <v/>
      </c>
      <c r="E1587" s="25" t="str">
        <f>IF($N1587="","",INDEX('_calc'!$D$2:$D$3001,$N1587))</f>
        <v/>
      </c>
      <c r="F1587" s="26" t="str">
        <f>IF($N1587="","",IF($E$8=0,"",E1587/$E$8))</f>
        <v/>
      </c>
      <c r="G1587" s="25" t="str">
        <f>IF($N1587="","",INDEX('_calc'!$E$2:$E$3001,$N1587))</f>
        <v/>
      </c>
      <c r="H1587" s="25" t="str">
        <f>IF($N1587="","",INDEX('_calc'!$F$2:$F$3001,$N1587))</f>
        <v/>
      </c>
      <c r="I1587" s="27" t="str">
        <f>IF($N1587="","",INDEX('_calc'!$H$2:$H$3001,$N1587))</f>
        <v/>
      </c>
      <c r="J1587" s="27" t="str">
        <f>IF($N1587="","",INDEX('_calc'!$I$2:$I$3001,$N1587))</f>
        <v/>
      </c>
      <c r="K1587" s="28" t="str">
        <f>IF($N1587="","",IF(OR(I1587="",J1587=""),"",J1587-I1587))</f>
        <v/>
      </c>
      <c r="L1587" s="29" t="str">
        <f>IF($N1587="","",INDEX('_calc'!$J$2:$J$3001,$N1587))</f>
        <v/>
      </c>
      <c r="M1587" s="2" t="str">
        <f>IF($N1587="","",IF(AND(G1587=0,H1587=0),"수량 없음",IF(G1587=0,"신규 (전년 수량 없음)",IF(H1587=0,"당해 수량 없음",""))))</f>
        <v/>
      </c>
      <c r="N1587" t="str">
        <f>IF($B1587="","",MATCH($B1587,'_calc'!$L$2:$L$3001,0))</f>
        <v/>
      </c>
    </row>
    <row r="1588">
      <c r="B1588" s="24" t="str">
        <f>IF(ROW()-ROW($B$8)&gt;nComp,"",ROW()-ROW($B$8))</f>
        <v/>
      </c>
      <c r="C1588" t="str">
        <f>IF($N1588="","",INDEX('_calc'!$A$2:$A$3001,$N1588))</f>
        <v/>
      </c>
      <c r="D1588" s="25" t="str">
        <f>IF($N1588="","",INDEX('_calc'!$C$2:$C$3001,$N1588))</f>
        <v/>
      </c>
      <c r="E1588" s="25" t="str">
        <f>IF($N1588="","",INDEX('_calc'!$D$2:$D$3001,$N1588))</f>
        <v/>
      </c>
      <c r="F1588" s="26" t="str">
        <f>IF($N1588="","",IF($E$8=0,"",E1588/$E$8))</f>
        <v/>
      </c>
      <c r="G1588" s="25" t="str">
        <f>IF($N1588="","",INDEX('_calc'!$E$2:$E$3001,$N1588))</f>
        <v/>
      </c>
      <c r="H1588" s="25" t="str">
        <f>IF($N1588="","",INDEX('_calc'!$F$2:$F$3001,$N1588))</f>
        <v/>
      </c>
      <c r="I1588" s="27" t="str">
        <f>IF($N1588="","",INDEX('_calc'!$H$2:$H$3001,$N1588))</f>
        <v/>
      </c>
      <c r="J1588" s="27" t="str">
        <f>IF($N1588="","",INDEX('_calc'!$I$2:$I$3001,$N1588))</f>
        <v/>
      </c>
      <c r="K1588" s="28" t="str">
        <f>IF($N1588="","",IF(OR(I1588="",J1588=""),"",J1588-I1588))</f>
        <v/>
      </c>
      <c r="L1588" s="29" t="str">
        <f>IF($N1588="","",INDEX('_calc'!$J$2:$J$3001,$N1588))</f>
        <v/>
      </c>
      <c r="M1588" s="2" t="str">
        <f>IF($N1588="","",IF(AND(G1588=0,H1588=0),"수량 없음",IF(G1588=0,"신규 (전년 수량 없음)",IF(H1588=0,"당해 수량 없음",""))))</f>
        <v/>
      </c>
      <c r="N1588" t="str">
        <f>IF($B1588="","",MATCH($B1588,'_calc'!$L$2:$L$3001,0))</f>
        <v/>
      </c>
    </row>
    <row r="1589">
      <c r="B1589" s="24" t="str">
        <f>IF(ROW()-ROW($B$8)&gt;nComp,"",ROW()-ROW($B$8))</f>
        <v/>
      </c>
      <c r="C1589" t="str">
        <f>IF($N1589="","",INDEX('_calc'!$A$2:$A$3001,$N1589))</f>
        <v/>
      </c>
      <c r="D1589" s="25" t="str">
        <f>IF($N1589="","",INDEX('_calc'!$C$2:$C$3001,$N1589))</f>
        <v/>
      </c>
      <c r="E1589" s="25" t="str">
        <f>IF($N1589="","",INDEX('_calc'!$D$2:$D$3001,$N1589))</f>
        <v/>
      </c>
      <c r="F1589" s="26" t="str">
        <f>IF($N1589="","",IF($E$8=0,"",E1589/$E$8))</f>
        <v/>
      </c>
      <c r="G1589" s="25" t="str">
        <f>IF($N1589="","",INDEX('_calc'!$E$2:$E$3001,$N1589))</f>
        <v/>
      </c>
      <c r="H1589" s="25" t="str">
        <f>IF($N1589="","",INDEX('_calc'!$F$2:$F$3001,$N1589))</f>
        <v/>
      </c>
      <c r="I1589" s="27" t="str">
        <f>IF($N1589="","",INDEX('_calc'!$H$2:$H$3001,$N1589))</f>
        <v/>
      </c>
      <c r="J1589" s="27" t="str">
        <f>IF($N1589="","",INDEX('_calc'!$I$2:$I$3001,$N1589))</f>
        <v/>
      </c>
      <c r="K1589" s="28" t="str">
        <f>IF($N1589="","",IF(OR(I1589="",J1589=""),"",J1589-I1589))</f>
        <v/>
      </c>
      <c r="L1589" s="29" t="str">
        <f>IF($N1589="","",INDEX('_calc'!$J$2:$J$3001,$N1589))</f>
        <v/>
      </c>
      <c r="M1589" s="2" t="str">
        <f>IF($N1589="","",IF(AND(G1589=0,H1589=0),"수량 없음",IF(G1589=0,"신규 (전년 수량 없음)",IF(H1589=0,"당해 수량 없음",""))))</f>
        <v/>
      </c>
      <c r="N1589" t="str">
        <f>IF($B1589="","",MATCH($B1589,'_calc'!$L$2:$L$3001,0))</f>
        <v/>
      </c>
    </row>
    <row r="1590">
      <c r="B1590" s="24" t="str">
        <f>IF(ROW()-ROW($B$8)&gt;nComp,"",ROW()-ROW($B$8))</f>
        <v/>
      </c>
      <c r="C1590" t="str">
        <f>IF($N1590="","",INDEX('_calc'!$A$2:$A$3001,$N1590))</f>
        <v/>
      </c>
      <c r="D1590" s="25" t="str">
        <f>IF($N1590="","",INDEX('_calc'!$C$2:$C$3001,$N1590))</f>
        <v/>
      </c>
      <c r="E1590" s="25" t="str">
        <f>IF($N1590="","",INDEX('_calc'!$D$2:$D$3001,$N1590))</f>
        <v/>
      </c>
      <c r="F1590" s="26" t="str">
        <f>IF($N1590="","",IF($E$8=0,"",E1590/$E$8))</f>
        <v/>
      </c>
      <c r="G1590" s="25" t="str">
        <f>IF($N1590="","",INDEX('_calc'!$E$2:$E$3001,$N1590))</f>
        <v/>
      </c>
      <c r="H1590" s="25" t="str">
        <f>IF($N1590="","",INDEX('_calc'!$F$2:$F$3001,$N1590))</f>
        <v/>
      </c>
      <c r="I1590" s="27" t="str">
        <f>IF($N1590="","",INDEX('_calc'!$H$2:$H$3001,$N1590))</f>
        <v/>
      </c>
      <c r="J1590" s="27" t="str">
        <f>IF($N1590="","",INDEX('_calc'!$I$2:$I$3001,$N1590))</f>
        <v/>
      </c>
      <c r="K1590" s="28" t="str">
        <f>IF($N1590="","",IF(OR(I1590="",J1590=""),"",J1590-I1590))</f>
        <v/>
      </c>
      <c r="L1590" s="29" t="str">
        <f>IF($N1590="","",INDEX('_calc'!$J$2:$J$3001,$N1590))</f>
        <v/>
      </c>
      <c r="M1590" s="2" t="str">
        <f>IF($N1590="","",IF(AND(G1590=0,H1590=0),"수량 없음",IF(G1590=0,"신규 (전년 수량 없음)",IF(H1590=0,"당해 수량 없음",""))))</f>
        <v/>
      </c>
      <c r="N1590" t="str">
        <f>IF($B1590="","",MATCH($B1590,'_calc'!$L$2:$L$3001,0))</f>
        <v/>
      </c>
    </row>
    <row r="1591">
      <c r="B1591" s="24" t="str">
        <f>IF(ROW()-ROW($B$8)&gt;nComp,"",ROW()-ROW($B$8))</f>
        <v/>
      </c>
      <c r="C1591" t="str">
        <f>IF($N1591="","",INDEX('_calc'!$A$2:$A$3001,$N1591))</f>
        <v/>
      </c>
      <c r="D1591" s="25" t="str">
        <f>IF($N1591="","",INDEX('_calc'!$C$2:$C$3001,$N1591))</f>
        <v/>
      </c>
      <c r="E1591" s="25" t="str">
        <f>IF($N1591="","",INDEX('_calc'!$D$2:$D$3001,$N1591))</f>
        <v/>
      </c>
      <c r="F1591" s="26" t="str">
        <f>IF($N1591="","",IF($E$8=0,"",E1591/$E$8))</f>
        <v/>
      </c>
      <c r="G1591" s="25" t="str">
        <f>IF($N1591="","",INDEX('_calc'!$E$2:$E$3001,$N1591))</f>
        <v/>
      </c>
      <c r="H1591" s="25" t="str">
        <f>IF($N1591="","",INDEX('_calc'!$F$2:$F$3001,$N1591))</f>
        <v/>
      </c>
      <c r="I1591" s="27" t="str">
        <f>IF($N1591="","",INDEX('_calc'!$H$2:$H$3001,$N1591))</f>
        <v/>
      </c>
      <c r="J1591" s="27" t="str">
        <f>IF($N1591="","",INDEX('_calc'!$I$2:$I$3001,$N1591))</f>
        <v/>
      </c>
      <c r="K1591" s="28" t="str">
        <f>IF($N1591="","",IF(OR(I1591="",J1591=""),"",J1591-I1591))</f>
        <v/>
      </c>
      <c r="L1591" s="29" t="str">
        <f>IF($N1591="","",INDEX('_calc'!$J$2:$J$3001,$N1591))</f>
        <v/>
      </c>
      <c r="M1591" s="2" t="str">
        <f>IF($N1591="","",IF(AND(G1591=0,H1591=0),"수량 없음",IF(G1591=0,"신규 (전년 수량 없음)",IF(H1591=0,"당해 수량 없음",""))))</f>
        <v/>
      </c>
      <c r="N1591" t="str">
        <f>IF($B1591="","",MATCH($B1591,'_calc'!$L$2:$L$3001,0))</f>
        <v/>
      </c>
    </row>
    <row r="1592">
      <c r="B1592" s="24" t="str">
        <f>IF(ROW()-ROW($B$8)&gt;nComp,"",ROW()-ROW($B$8))</f>
        <v/>
      </c>
      <c r="C1592" t="str">
        <f>IF($N1592="","",INDEX('_calc'!$A$2:$A$3001,$N1592))</f>
        <v/>
      </c>
      <c r="D1592" s="25" t="str">
        <f>IF($N1592="","",INDEX('_calc'!$C$2:$C$3001,$N1592))</f>
        <v/>
      </c>
      <c r="E1592" s="25" t="str">
        <f>IF($N1592="","",INDEX('_calc'!$D$2:$D$3001,$N1592))</f>
        <v/>
      </c>
      <c r="F1592" s="26" t="str">
        <f>IF($N1592="","",IF($E$8=0,"",E1592/$E$8))</f>
        <v/>
      </c>
      <c r="G1592" s="25" t="str">
        <f>IF($N1592="","",INDEX('_calc'!$E$2:$E$3001,$N1592))</f>
        <v/>
      </c>
      <c r="H1592" s="25" t="str">
        <f>IF($N1592="","",INDEX('_calc'!$F$2:$F$3001,$N1592))</f>
        <v/>
      </c>
      <c r="I1592" s="27" t="str">
        <f>IF($N1592="","",INDEX('_calc'!$H$2:$H$3001,$N1592))</f>
        <v/>
      </c>
      <c r="J1592" s="27" t="str">
        <f>IF($N1592="","",INDEX('_calc'!$I$2:$I$3001,$N1592))</f>
        <v/>
      </c>
      <c r="K1592" s="28" t="str">
        <f>IF($N1592="","",IF(OR(I1592="",J1592=""),"",J1592-I1592))</f>
        <v/>
      </c>
      <c r="L1592" s="29" t="str">
        <f>IF($N1592="","",INDEX('_calc'!$J$2:$J$3001,$N1592))</f>
        <v/>
      </c>
      <c r="M1592" s="2" t="str">
        <f>IF($N1592="","",IF(AND(G1592=0,H1592=0),"수량 없음",IF(G1592=0,"신규 (전년 수량 없음)",IF(H1592=0,"당해 수량 없음",""))))</f>
        <v/>
      </c>
      <c r="N1592" t="str">
        <f>IF($B1592="","",MATCH($B1592,'_calc'!$L$2:$L$3001,0))</f>
        <v/>
      </c>
    </row>
    <row r="1593">
      <c r="B1593" s="24" t="str">
        <f>IF(ROW()-ROW($B$8)&gt;nComp,"",ROW()-ROW($B$8))</f>
        <v/>
      </c>
      <c r="C1593" t="str">
        <f>IF($N1593="","",INDEX('_calc'!$A$2:$A$3001,$N1593))</f>
        <v/>
      </c>
      <c r="D1593" s="25" t="str">
        <f>IF($N1593="","",INDEX('_calc'!$C$2:$C$3001,$N1593))</f>
        <v/>
      </c>
      <c r="E1593" s="25" t="str">
        <f>IF($N1593="","",INDEX('_calc'!$D$2:$D$3001,$N1593))</f>
        <v/>
      </c>
      <c r="F1593" s="26" t="str">
        <f>IF($N1593="","",IF($E$8=0,"",E1593/$E$8))</f>
        <v/>
      </c>
      <c r="G1593" s="25" t="str">
        <f>IF($N1593="","",INDEX('_calc'!$E$2:$E$3001,$N1593))</f>
        <v/>
      </c>
      <c r="H1593" s="25" t="str">
        <f>IF($N1593="","",INDEX('_calc'!$F$2:$F$3001,$N1593))</f>
        <v/>
      </c>
      <c r="I1593" s="27" t="str">
        <f>IF($N1593="","",INDEX('_calc'!$H$2:$H$3001,$N1593))</f>
        <v/>
      </c>
      <c r="J1593" s="27" t="str">
        <f>IF($N1593="","",INDEX('_calc'!$I$2:$I$3001,$N1593))</f>
        <v/>
      </c>
      <c r="K1593" s="28" t="str">
        <f>IF($N1593="","",IF(OR(I1593="",J1593=""),"",J1593-I1593))</f>
        <v/>
      </c>
      <c r="L1593" s="29" t="str">
        <f>IF($N1593="","",INDEX('_calc'!$J$2:$J$3001,$N1593))</f>
        <v/>
      </c>
      <c r="M1593" s="2" t="str">
        <f>IF($N1593="","",IF(AND(G1593=0,H1593=0),"수량 없음",IF(G1593=0,"신규 (전년 수량 없음)",IF(H1593=0,"당해 수량 없음",""))))</f>
        <v/>
      </c>
      <c r="N1593" t="str">
        <f>IF($B1593="","",MATCH($B1593,'_calc'!$L$2:$L$3001,0))</f>
        <v/>
      </c>
    </row>
    <row r="1594">
      <c r="B1594" s="24" t="str">
        <f>IF(ROW()-ROW($B$8)&gt;nComp,"",ROW()-ROW($B$8))</f>
        <v/>
      </c>
      <c r="C1594" t="str">
        <f>IF($N1594="","",INDEX('_calc'!$A$2:$A$3001,$N1594))</f>
        <v/>
      </c>
      <c r="D1594" s="25" t="str">
        <f>IF($N1594="","",INDEX('_calc'!$C$2:$C$3001,$N1594))</f>
        <v/>
      </c>
      <c r="E1594" s="25" t="str">
        <f>IF($N1594="","",INDEX('_calc'!$D$2:$D$3001,$N1594))</f>
        <v/>
      </c>
      <c r="F1594" s="26" t="str">
        <f>IF($N1594="","",IF($E$8=0,"",E1594/$E$8))</f>
        <v/>
      </c>
      <c r="G1594" s="25" t="str">
        <f>IF($N1594="","",INDEX('_calc'!$E$2:$E$3001,$N1594))</f>
        <v/>
      </c>
      <c r="H1594" s="25" t="str">
        <f>IF($N1594="","",INDEX('_calc'!$F$2:$F$3001,$N1594))</f>
        <v/>
      </c>
      <c r="I1594" s="27" t="str">
        <f>IF($N1594="","",INDEX('_calc'!$H$2:$H$3001,$N1594))</f>
        <v/>
      </c>
      <c r="J1594" s="27" t="str">
        <f>IF($N1594="","",INDEX('_calc'!$I$2:$I$3001,$N1594))</f>
        <v/>
      </c>
      <c r="K1594" s="28" t="str">
        <f>IF($N1594="","",IF(OR(I1594="",J1594=""),"",J1594-I1594))</f>
        <v/>
      </c>
      <c r="L1594" s="29" t="str">
        <f>IF($N1594="","",INDEX('_calc'!$J$2:$J$3001,$N1594))</f>
        <v/>
      </c>
      <c r="M1594" s="2" t="str">
        <f>IF($N1594="","",IF(AND(G1594=0,H1594=0),"수량 없음",IF(G1594=0,"신규 (전년 수량 없음)",IF(H1594=0,"당해 수량 없음",""))))</f>
        <v/>
      </c>
      <c r="N1594" t="str">
        <f>IF($B1594="","",MATCH($B1594,'_calc'!$L$2:$L$3001,0))</f>
        <v/>
      </c>
    </row>
    <row r="1595">
      <c r="B1595" s="24" t="str">
        <f>IF(ROW()-ROW($B$8)&gt;nComp,"",ROW()-ROW($B$8))</f>
        <v/>
      </c>
      <c r="C1595" t="str">
        <f>IF($N1595="","",INDEX('_calc'!$A$2:$A$3001,$N1595))</f>
        <v/>
      </c>
      <c r="D1595" s="25" t="str">
        <f>IF($N1595="","",INDEX('_calc'!$C$2:$C$3001,$N1595))</f>
        <v/>
      </c>
      <c r="E1595" s="25" t="str">
        <f>IF($N1595="","",INDEX('_calc'!$D$2:$D$3001,$N1595))</f>
        <v/>
      </c>
      <c r="F1595" s="26" t="str">
        <f>IF($N1595="","",IF($E$8=0,"",E1595/$E$8))</f>
        <v/>
      </c>
      <c r="G1595" s="25" t="str">
        <f>IF($N1595="","",INDEX('_calc'!$E$2:$E$3001,$N1595))</f>
        <v/>
      </c>
      <c r="H1595" s="25" t="str">
        <f>IF($N1595="","",INDEX('_calc'!$F$2:$F$3001,$N1595))</f>
        <v/>
      </c>
      <c r="I1595" s="27" t="str">
        <f>IF($N1595="","",INDEX('_calc'!$H$2:$H$3001,$N1595))</f>
        <v/>
      </c>
      <c r="J1595" s="27" t="str">
        <f>IF($N1595="","",INDEX('_calc'!$I$2:$I$3001,$N1595))</f>
        <v/>
      </c>
      <c r="K1595" s="28" t="str">
        <f>IF($N1595="","",IF(OR(I1595="",J1595=""),"",J1595-I1595))</f>
        <v/>
      </c>
      <c r="L1595" s="29" t="str">
        <f>IF($N1595="","",INDEX('_calc'!$J$2:$J$3001,$N1595))</f>
        <v/>
      </c>
      <c r="M1595" s="2" t="str">
        <f>IF($N1595="","",IF(AND(G1595=0,H1595=0),"수량 없음",IF(G1595=0,"신규 (전년 수량 없음)",IF(H1595=0,"당해 수량 없음",""))))</f>
        <v/>
      </c>
      <c r="N1595" t="str">
        <f>IF($B1595="","",MATCH($B1595,'_calc'!$L$2:$L$3001,0))</f>
        <v/>
      </c>
    </row>
    <row r="1596">
      <c r="B1596" s="24" t="str">
        <f>IF(ROW()-ROW($B$8)&gt;nComp,"",ROW()-ROW($B$8))</f>
        <v/>
      </c>
      <c r="C1596" t="str">
        <f>IF($N1596="","",INDEX('_calc'!$A$2:$A$3001,$N1596))</f>
        <v/>
      </c>
      <c r="D1596" s="25" t="str">
        <f>IF($N1596="","",INDEX('_calc'!$C$2:$C$3001,$N1596))</f>
        <v/>
      </c>
      <c r="E1596" s="25" t="str">
        <f>IF($N1596="","",INDEX('_calc'!$D$2:$D$3001,$N1596))</f>
        <v/>
      </c>
      <c r="F1596" s="26" t="str">
        <f>IF($N1596="","",IF($E$8=0,"",E1596/$E$8))</f>
        <v/>
      </c>
      <c r="G1596" s="25" t="str">
        <f>IF($N1596="","",INDEX('_calc'!$E$2:$E$3001,$N1596))</f>
        <v/>
      </c>
      <c r="H1596" s="25" t="str">
        <f>IF($N1596="","",INDEX('_calc'!$F$2:$F$3001,$N1596))</f>
        <v/>
      </c>
      <c r="I1596" s="27" t="str">
        <f>IF($N1596="","",INDEX('_calc'!$H$2:$H$3001,$N1596))</f>
        <v/>
      </c>
      <c r="J1596" s="27" t="str">
        <f>IF($N1596="","",INDEX('_calc'!$I$2:$I$3001,$N1596))</f>
        <v/>
      </c>
      <c r="K1596" s="28" t="str">
        <f>IF($N1596="","",IF(OR(I1596="",J1596=""),"",J1596-I1596))</f>
        <v/>
      </c>
      <c r="L1596" s="29" t="str">
        <f>IF($N1596="","",INDEX('_calc'!$J$2:$J$3001,$N1596))</f>
        <v/>
      </c>
      <c r="M1596" s="2" t="str">
        <f>IF($N1596="","",IF(AND(G1596=0,H1596=0),"수량 없음",IF(G1596=0,"신규 (전년 수량 없음)",IF(H1596=0,"당해 수량 없음",""))))</f>
        <v/>
      </c>
      <c r="N1596" t="str">
        <f>IF($B1596="","",MATCH($B1596,'_calc'!$L$2:$L$3001,0))</f>
        <v/>
      </c>
    </row>
    <row r="1597">
      <c r="B1597" s="24" t="str">
        <f>IF(ROW()-ROW($B$8)&gt;nComp,"",ROW()-ROW($B$8))</f>
        <v/>
      </c>
      <c r="C1597" t="str">
        <f>IF($N1597="","",INDEX('_calc'!$A$2:$A$3001,$N1597))</f>
        <v/>
      </c>
      <c r="D1597" s="25" t="str">
        <f>IF($N1597="","",INDEX('_calc'!$C$2:$C$3001,$N1597))</f>
        <v/>
      </c>
      <c r="E1597" s="25" t="str">
        <f>IF($N1597="","",INDEX('_calc'!$D$2:$D$3001,$N1597))</f>
        <v/>
      </c>
      <c r="F1597" s="26" t="str">
        <f>IF($N1597="","",IF($E$8=0,"",E1597/$E$8))</f>
        <v/>
      </c>
      <c r="G1597" s="25" t="str">
        <f>IF($N1597="","",INDEX('_calc'!$E$2:$E$3001,$N1597))</f>
        <v/>
      </c>
      <c r="H1597" s="25" t="str">
        <f>IF($N1597="","",INDEX('_calc'!$F$2:$F$3001,$N1597))</f>
        <v/>
      </c>
      <c r="I1597" s="27" t="str">
        <f>IF($N1597="","",INDEX('_calc'!$H$2:$H$3001,$N1597))</f>
        <v/>
      </c>
      <c r="J1597" s="27" t="str">
        <f>IF($N1597="","",INDEX('_calc'!$I$2:$I$3001,$N1597))</f>
        <v/>
      </c>
      <c r="K1597" s="28" t="str">
        <f>IF($N1597="","",IF(OR(I1597="",J1597=""),"",J1597-I1597))</f>
        <v/>
      </c>
      <c r="L1597" s="29" t="str">
        <f>IF($N1597="","",INDEX('_calc'!$J$2:$J$3001,$N1597))</f>
        <v/>
      </c>
      <c r="M1597" s="2" t="str">
        <f>IF($N1597="","",IF(AND(G1597=0,H1597=0),"수량 없음",IF(G1597=0,"신규 (전년 수량 없음)",IF(H1597=0,"당해 수량 없음",""))))</f>
        <v/>
      </c>
      <c r="N1597" t="str">
        <f>IF($B1597="","",MATCH($B1597,'_calc'!$L$2:$L$3001,0))</f>
        <v/>
      </c>
    </row>
    <row r="1598">
      <c r="B1598" s="24" t="str">
        <f>IF(ROW()-ROW($B$8)&gt;nComp,"",ROW()-ROW($B$8))</f>
        <v/>
      </c>
      <c r="C1598" t="str">
        <f>IF($N1598="","",INDEX('_calc'!$A$2:$A$3001,$N1598))</f>
        <v/>
      </c>
      <c r="D1598" s="25" t="str">
        <f>IF($N1598="","",INDEX('_calc'!$C$2:$C$3001,$N1598))</f>
        <v/>
      </c>
      <c r="E1598" s="25" t="str">
        <f>IF($N1598="","",INDEX('_calc'!$D$2:$D$3001,$N1598))</f>
        <v/>
      </c>
      <c r="F1598" s="26" t="str">
        <f>IF($N1598="","",IF($E$8=0,"",E1598/$E$8))</f>
        <v/>
      </c>
      <c r="G1598" s="25" t="str">
        <f>IF($N1598="","",INDEX('_calc'!$E$2:$E$3001,$N1598))</f>
        <v/>
      </c>
      <c r="H1598" s="25" t="str">
        <f>IF($N1598="","",INDEX('_calc'!$F$2:$F$3001,$N1598))</f>
        <v/>
      </c>
      <c r="I1598" s="27" t="str">
        <f>IF($N1598="","",INDEX('_calc'!$H$2:$H$3001,$N1598))</f>
        <v/>
      </c>
      <c r="J1598" s="27" t="str">
        <f>IF($N1598="","",INDEX('_calc'!$I$2:$I$3001,$N1598))</f>
        <v/>
      </c>
      <c r="K1598" s="28" t="str">
        <f>IF($N1598="","",IF(OR(I1598="",J1598=""),"",J1598-I1598))</f>
        <v/>
      </c>
      <c r="L1598" s="29" t="str">
        <f>IF($N1598="","",INDEX('_calc'!$J$2:$J$3001,$N1598))</f>
        <v/>
      </c>
      <c r="M1598" s="2" t="str">
        <f>IF($N1598="","",IF(AND(G1598=0,H1598=0),"수량 없음",IF(G1598=0,"신규 (전년 수량 없음)",IF(H1598=0,"당해 수량 없음",""))))</f>
        <v/>
      </c>
      <c r="N1598" t="str">
        <f>IF($B1598="","",MATCH($B1598,'_calc'!$L$2:$L$3001,0))</f>
        <v/>
      </c>
    </row>
    <row r="1599">
      <c r="B1599" s="24" t="str">
        <f>IF(ROW()-ROW($B$8)&gt;nComp,"",ROW()-ROW($B$8))</f>
        <v/>
      </c>
      <c r="C1599" t="str">
        <f>IF($N1599="","",INDEX('_calc'!$A$2:$A$3001,$N1599))</f>
        <v/>
      </c>
      <c r="D1599" s="25" t="str">
        <f>IF($N1599="","",INDEX('_calc'!$C$2:$C$3001,$N1599))</f>
        <v/>
      </c>
      <c r="E1599" s="25" t="str">
        <f>IF($N1599="","",INDEX('_calc'!$D$2:$D$3001,$N1599))</f>
        <v/>
      </c>
      <c r="F1599" s="26" t="str">
        <f>IF($N1599="","",IF($E$8=0,"",E1599/$E$8))</f>
        <v/>
      </c>
      <c r="G1599" s="25" t="str">
        <f>IF($N1599="","",INDEX('_calc'!$E$2:$E$3001,$N1599))</f>
        <v/>
      </c>
      <c r="H1599" s="25" t="str">
        <f>IF($N1599="","",INDEX('_calc'!$F$2:$F$3001,$N1599))</f>
        <v/>
      </c>
      <c r="I1599" s="27" t="str">
        <f>IF($N1599="","",INDEX('_calc'!$H$2:$H$3001,$N1599))</f>
        <v/>
      </c>
      <c r="J1599" s="27" t="str">
        <f>IF($N1599="","",INDEX('_calc'!$I$2:$I$3001,$N1599))</f>
        <v/>
      </c>
      <c r="K1599" s="28" t="str">
        <f>IF($N1599="","",IF(OR(I1599="",J1599=""),"",J1599-I1599))</f>
        <v/>
      </c>
      <c r="L1599" s="29" t="str">
        <f>IF($N1599="","",INDEX('_calc'!$J$2:$J$3001,$N1599))</f>
        <v/>
      </c>
      <c r="M1599" s="2" t="str">
        <f>IF($N1599="","",IF(AND(G1599=0,H1599=0),"수량 없음",IF(G1599=0,"신규 (전년 수량 없음)",IF(H1599=0,"당해 수량 없음",""))))</f>
        <v/>
      </c>
      <c r="N1599" t="str">
        <f>IF($B1599="","",MATCH($B1599,'_calc'!$L$2:$L$3001,0))</f>
        <v/>
      </c>
    </row>
    <row r="1600">
      <c r="B1600" s="24" t="str">
        <f>IF(ROW()-ROW($B$8)&gt;nComp,"",ROW()-ROW($B$8))</f>
        <v/>
      </c>
      <c r="C1600" t="str">
        <f>IF($N1600="","",INDEX('_calc'!$A$2:$A$3001,$N1600))</f>
        <v/>
      </c>
      <c r="D1600" s="25" t="str">
        <f>IF($N1600="","",INDEX('_calc'!$C$2:$C$3001,$N1600))</f>
        <v/>
      </c>
      <c r="E1600" s="25" t="str">
        <f>IF($N1600="","",INDEX('_calc'!$D$2:$D$3001,$N1600))</f>
        <v/>
      </c>
      <c r="F1600" s="26" t="str">
        <f>IF($N1600="","",IF($E$8=0,"",E1600/$E$8))</f>
        <v/>
      </c>
      <c r="G1600" s="25" t="str">
        <f>IF($N1600="","",INDEX('_calc'!$E$2:$E$3001,$N1600))</f>
        <v/>
      </c>
      <c r="H1600" s="25" t="str">
        <f>IF($N1600="","",INDEX('_calc'!$F$2:$F$3001,$N1600))</f>
        <v/>
      </c>
      <c r="I1600" s="27" t="str">
        <f>IF($N1600="","",INDEX('_calc'!$H$2:$H$3001,$N1600))</f>
        <v/>
      </c>
      <c r="J1600" s="27" t="str">
        <f>IF($N1600="","",INDEX('_calc'!$I$2:$I$3001,$N1600))</f>
        <v/>
      </c>
      <c r="K1600" s="28" t="str">
        <f>IF($N1600="","",IF(OR(I1600="",J1600=""),"",J1600-I1600))</f>
        <v/>
      </c>
      <c r="L1600" s="29" t="str">
        <f>IF($N1600="","",INDEX('_calc'!$J$2:$J$3001,$N1600))</f>
        <v/>
      </c>
      <c r="M1600" s="2" t="str">
        <f>IF($N1600="","",IF(AND(G1600=0,H1600=0),"수량 없음",IF(G1600=0,"신규 (전년 수량 없음)",IF(H1600=0,"당해 수량 없음",""))))</f>
        <v/>
      </c>
      <c r="N1600" t="str">
        <f>IF($B1600="","",MATCH($B1600,'_calc'!$L$2:$L$3001,0))</f>
        <v/>
      </c>
    </row>
    <row r="1601">
      <c r="B1601" s="24" t="str">
        <f>IF(ROW()-ROW($B$8)&gt;nComp,"",ROW()-ROW($B$8))</f>
        <v/>
      </c>
      <c r="C1601" t="str">
        <f>IF($N1601="","",INDEX('_calc'!$A$2:$A$3001,$N1601))</f>
        <v/>
      </c>
      <c r="D1601" s="25" t="str">
        <f>IF($N1601="","",INDEX('_calc'!$C$2:$C$3001,$N1601))</f>
        <v/>
      </c>
      <c r="E1601" s="25" t="str">
        <f>IF($N1601="","",INDEX('_calc'!$D$2:$D$3001,$N1601))</f>
        <v/>
      </c>
      <c r="F1601" s="26" t="str">
        <f>IF($N1601="","",IF($E$8=0,"",E1601/$E$8))</f>
        <v/>
      </c>
      <c r="G1601" s="25" t="str">
        <f>IF($N1601="","",INDEX('_calc'!$E$2:$E$3001,$N1601))</f>
        <v/>
      </c>
      <c r="H1601" s="25" t="str">
        <f>IF($N1601="","",INDEX('_calc'!$F$2:$F$3001,$N1601))</f>
        <v/>
      </c>
      <c r="I1601" s="27" t="str">
        <f>IF($N1601="","",INDEX('_calc'!$H$2:$H$3001,$N1601))</f>
        <v/>
      </c>
      <c r="J1601" s="27" t="str">
        <f>IF($N1601="","",INDEX('_calc'!$I$2:$I$3001,$N1601))</f>
        <v/>
      </c>
      <c r="K1601" s="28" t="str">
        <f>IF($N1601="","",IF(OR(I1601="",J1601=""),"",J1601-I1601))</f>
        <v/>
      </c>
      <c r="L1601" s="29" t="str">
        <f>IF($N1601="","",INDEX('_calc'!$J$2:$J$3001,$N1601))</f>
        <v/>
      </c>
      <c r="M1601" s="2" t="str">
        <f>IF($N1601="","",IF(AND(G1601=0,H1601=0),"수량 없음",IF(G1601=0,"신규 (전년 수량 없음)",IF(H1601=0,"당해 수량 없음",""))))</f>
        <v/>
      </c>
      <c r="N1601" t="str">
        <f>IF($B1601="","",MATCH($B1601,'_calc'!$L$2:$L$3001,0))</f>
        <v/>
      </c>
    </row>
    <row r="1602">
      <c r="B1602" s="24" t="str">
        <f>IF(ROW()-ROW($B$8)&gt;nComp,"",ROW()-ROW($B$8))</f>
        <v/>
      </c>
      <c r="C1602" t="str">
        <f>IF($N1602="","",INDEX('_calc'!$A$2:$A$3001,$N1602))</f>
        <v/>
      </c>
      <c r="D1602" s="25" t="str">
        <f>IF($N1602="","",INDEX('_calc'!$C$2:$C$3001,$N1602))</f>
        <v/>
      </c>
      <c r="E1602" s="25" t="str">
        <f>IF($N1602="","",INDEX('_calc'!$D$2:$D$3001,$N1602))</f>
        <v/>
      </c>
      <c r="F1602" s="26" t="str">
        <f>IF($N1602="","",IF($E$8=0,"",E1602/$E$8))</f>
        <v/>
      </c>
      <c r="G1602" s="25" t="str">
        <f>IF($N1602="","",INDEX('_calc'!$E$2:$E$3001,$N1602))</f>
        <v/>
      </c>
      <c r="H1602" s="25" t="str">
        <f>IF($N1602="","",INDEX('_calc'!$F$2:$F$3001,$N1602))</f>
        <v/>
      </c>
      <c r="I1602" s="27" t="str">
        <f>IF($N1602="","",INDEX('_calc'!$H$2:$H$3001,$N1602))</f>
        <v/>
      </c>
      <c r="J1602" s="27" t="str">
        <f>IF($N1602="","",INDEX('_calc'!$I$2:$I$3001,$N1602))</f>
        <v/>
      </c>
      <c r="K1602" s="28" t="str">
        <f>IF($N1602="","",IF(OR(I1602="",J1602=""),"",J1602-I1602))</f>
        <v/>
      </c>
      <c r="L1602" s="29" t="str">
        <f>IF($N1602="","",INDEX('_calc'!$J$2:$J$3001,$N1602))</f>
        <v/>
      </c>
      <c r="M1602" s="2" t="str">
        <f>IF($N1602="","",IF(AND(G1602=0,H1602=0),"수량 없음",IF(G1602=0,"신규 (전년 수량 없음)",IF(H1602=0,"당해 수량 없음",""))))</f>
        <v/>
      </c>
      <c r="N1602" t="str">
        <f>IF($B1602="","",MATCH($B1602,'_calc'!$L$2:$L$3001,0))</f>
        <v/>
      </c>
    </row>
    <row r="1603">
      <c r="B1603" s="24" t="str">
        <f>IF(ROW()-ROW($B$8)&gt;nComp,"",ROW()-ROW($B$8))</f>
        <v/>
      </c>
      <c r="C1603" t="str">
        <f>IF($N1603="","",INDEX('_calc'!$A$2:$A$3001,$N1603))</f>
        <v/>
      </c>
      <c r="D1603" s="25" t="str">
        <f>IF($N1603="","",INDEX('_calc'!$C$2:$C$3001,$N1603))</f>
        <v/>
      </c>
      <c r="E1603" s="25" t="str">
        <f>IF($N1603="","",INDEX('_calc'!$D$2:$D$3001,$N1603))</f>
        <v/>
      </c>
      <c r="F1603" s="26" t="str">
        <f>IF($N1603="","",IF($E$8=0,"",E1603/$E$8))</f>
        <v/>
      </c>
      <c r="G1603" s="25" t="str">
        <f>IF($N1603="","",INDEX('_calc'!$E$2:$E$3001,$N1603))</f>
        <v/>
      </c>
      <c r="H1603" s="25" t="str">
        <f>IF($N1603="","",INDEX('_calc'!$F$2:$F$3001,$N1603))</f>
        <v/>
      </c>
      <c r="I1603" s="27" t="str">
        <f>IF($N1603="","",INDEX('_calc'!$H$2:$H$3001,$N1603))</f>
        <v/>
      </c>
      <c r="J1603" s="27" t="str">
        <f>IF($N1603="","",INDEX('_calc'!$I$2:$I$3001,$N1603))</f>
        <v/>
      </c>
      <c r="K1603" s="28" t="str">
        <f>IF($N1603="","",IF(OR(I1603="",J1603=""),"",J1603-I1603))</f>
        <v/>
      </c>
      <c r="L1603" s="29" t="str">
        <f>IF($N1603="","",INDEX('_calc'!$J$2:$J$3001,$N1603))</f>
        <v/>
      </c>
      <c r="M1603" s="2" t="str">
        <f>IF($N1603="","",IF(AND(G1603=0,H1603=0),"수량 없음",IF(G1603=0,"신규 (전년 수량 없음)",IF(H1603=0,"당해 수량 없음",""))))</f>
        <v/>
      </c>
      <c r="N1603" t="str">
        <f>IF($B1603="","",MATCH($B1603,'_calc'!$L$2:$L$3001,0))</f>
        <v/>
      </c>
    </row>
    <row r="1604">
      <c r="B1604" s="24" t="str">
        <f>IF(ROW()-ROW($B$8)&gt;nComp,"",ROW()-ROW($B$8))</f>
        <v/>
      </c>
      <c r="C1604" t="str">
        <f>IF($N1604="","",INDEX('_calc'!$A$2:$A$3001,$N1604))</f>
        <v/>
      </c>
      <c r="D1604" s="25" t="str">
        <f>IF($N1604="","",INDEX('_calc'!$C$2:$C$3001,$N1604))</f>
        <v/>
      </c>
      <c r="E1604" s="25" t="str">
        <f>IF($N1604="","",INDEX('_calc'!$D$2:$D$3001,$N1604))</f>
        <v/>
      </c>
      <c r="F1604" s="26" t="str">
        <f>IF($N1604="","",IF($E$8=0,"",E1604/$E$8))</f>
        <v/>
      </c>
      <c r="G1604" s="25" t="str">
        <f>IF($N1604="","",INDEX('_calc'!$E$2:$E$3001,$N1604))</f>
        <v/>
      </c>
      <c r="H1604" s="25" t="str">
        <f>IF($N1604="","",INDEX('_calc'!$F$2:$F$3001,$N1604))</f>
        <v/>
      </c>
      <c r="I1604" s="27" t="str">
        <f>IF($N1604="","",INDEX('_calc'!$H$2:$H$3001,$N1604))</f>
        <v/>
      </c>
      <c r="J1604" s="27" t="str">
        <f>IF($N1604="","",INDEX('_calc'!$I$2:$I$3001,$N1604))</f>
        <v/>
      </c>
      <c r="K1604" s="28" t="str">
        <f>IF($N1604="","",IF(OR(I1604="",J1604=""),"",J1604-I1604))</f>
        <v/>
      </c>
      <c r="L1604" s="29" t="str">
        <f>IF($N1604="","",INDEX('_calc'!$J$2:$J$3001,$N1604))</f>
        <v/>
      </c>
      <c r="M1604" s="2" t="str">
        <f>IF($N1604="","",IF(AND(G1604=0,H1604=0),"수량 없음",IF(G1604=0,"신규 (전년 수량 없음)",IF(H1604=0,"당해 수량 없음",""))))</f>
        <v/>
      </c>
      <c r="N1604" t="str">
        <f>IF($B1604="","",MATCH($B1604,'_calc'!$L$2:$L$3001,0))</f>
        <v/>
      </c>
    </row>
    <row r="1605">
      <c r="B1605" s="24" t="str">
        <f>IF(ROW()-ROW($B$8)&gt;nComp,"",ROW()-ROW($B$8))</f>
        <v/>
      </c>
      <c r="C1605" t="str">
        <f>IF($N1605="","",INDEX('_calc'!$A$2:$A$3001,$N1605))</f>
        <v/>
      </c>
      <c r="D1605" s="25" t="str">
        <f>IF($N1605="","",INDEX('_calc'!$C$2:$C$3001,$N1605))</f>
        <v/>
      </c>
      <c r="E1605" s="25" t="str">
        <f>IF($N1605="","",INDEX('_calc'!$D$2:$D$3001,$N1605))</f>
        <v/>
      </c>
      <c r="F1605" s="26" t="str">
        <f>IF($N1605="","",IF($E$8=0,"",E1605/$E$8))</f>
        <v/>
      </c>
      <c r="G1605" s="25" t="str">
        <f>IF($N1605="","",INDEX('_calc'!$E$2:$E$3001,$N1605))</f>
        <v/>
      </c>
      <c r="H1605" s="25" t="str">
        <f>IF($N1605="","",INDEX('_calc'!$F$2:$F$3001,$N1605))</f>
        <v/>
      </c>
      <c r="I1605" s="27" t="str">
        <f>IF($N1605="","",INDEX('_calc'!$H$2:$H$3001,$N1605))</f>
        <v/>
      </c>
      <c r="J1605" s="27" t="str">
        <f>IF($N1605="","",INDEX('_calc'!$I$2:$I$3001,$N1605))</f>
        <v/>
      </c>
      <c r="K1605" s="28" t="str">
        <f>IF($N1605="","",IF(OR(I1605="",J1605=""),"",J1605-I1605))</f>
        <v/>
      </c>
      <c r="L1605" s="29" t="str">
        <f>IF($N1605="","",INDEX('_calc'!$J$2:$J$3001,$N1605))</f>
        <v/>
      </c>
      <c r="M1605" s="2" t="str">
        <f>IF($N1605="","",IF(AND(G1605=0,H1605=0),"수량 없음",IF(G1605=0,"신규 (전년 수량 없음)",IF(H1605=0,"당해 수량 없음",""))))</f>
        <v/>
      </c>
      <c r="N1605" t="str">
        <f>IF($B1605="","",MATCH($B1605,'_calc'!$L$2:$L$3001,0))</f>
        <v/>
      </c>
    </row>
    <row r="1606">
      <c r="B1606" s="24" t="str">
        <f>IF(ROW()-ROW($B$8)&gt;nComp,"",ROW()-ROW($B$8))</f>
        <v/>
      </c>
      <c r="C1606" t="str">
        <f>IF($N1606="","",INDEX('_calc'!$A$2:$A$3001,$N1606))</f>
        <v/>
      </c>
      <c r="D1606" s="25" t="str">
        <f>IF($N1606="","",INDEX('_calc'!$C$2:$C$3001,$N1606))</f>
        <v/>
      </c>
      <c r="E1606" s="25" t="str">
        <f>IF($N1606="","",INDEX('_calc'!$D$2:$D$3001,$N1606))</f>
        <v/>
      </c>
      <c r="F1606" s="26" t="str">
        <f>IF($N1606="","",IF($E$8=0,"",E1606/$E$8))</f>
        <v/>
      </c>
      <c r="G1606" s="25" t="str">
        <f>IF($N1606="","",INDEX('_calc'!$E$2:$E$3001,$N1606))</f>
        <v/>
      </c>
      <c r="H1606" s="25" t="str">
        <f>IF($N1606="","",INDEX('_calc'!$F$2:$F$3001,$N1606))</f>
        <v/>
      </c>
      <c r="I1606" s="27" t="str">
        <f>IF($N1606="","",INDEX('_calc'!$H$2:$H$3001,$N1606))</f>
        <v/>
      </c>
      <c r="J1606" s="27" t="str">
        <f>IF($N1606="","",INDEX('_calc'!$I$2:$I$3001,$N1606))</f>
        <v/>
      </c>
      <c r="K1606" s="28" t="str">
        <f>IF($N1606="","",IF(OR(I1606="",J1606=""),"",J1606-I1606))</f>
        <v/>
      </c>
      <c r="L1606" s="29" t="str">
        <f>IF($N1606="","",INDEX('_calc'!$J$2:$J$3001,$N1606))</f>
        <v/>
      </c>
      <c r="M1606" s="2" t="str">
        <f>IF($N1606="","",IF(AND(G1606=0,H1606=0),"수량 없음",IF(G1606=0,"신규 (전년 수량 없음)",IF(H1606=0,"당해 수량 없음",""))))</f>
        <v/>
      </c>
      <c r="N1606" t="str">
        <f>IF($B1606="","",MATCH($B1606,'_calc'!$L$2:$L$3001,0))</f>
        <v/>
      </c>
    </row>
    <row r="1607">
      <c r="B1607" s="24" t="str">
        <f>IF(ROW()-ROW($B$8)&gt;nComp,"",ROW()-ROW($B$8))</f>
        <v/>
      </c>
      <c r="C1607" t="str">
        <f>IF($N1607="","",INDEX('_calc'!$A$2:$A$3001,$N1607))</f>
        <v/>
      </c>
      <c r="D1607" s="25" t="str">
        <f>IF($N1607="","",INDEX('_calc'!$C$2:$C$3001,$N1607))</f>
        <v/>
      </c>
      <c r="E1607" s="25" t="str">
        <f>IF($N1607="","",INDEX('_calc'!$D$2:$D$3001,$N1607))</f>
        <v/>
      </c>
      <c r="F1607" s="26" t="str">
        <f>IF($N1607="","",IF($E$8=0,"",E1607/$E$8))</f>
        <v/>
      </c>
      <c r="G1607" s="25" t="str">
        <f>IF($N1607="","",INDEX('_calc'!$E$2:$E$3001,$N1607))</f>
        <v/>
      </c>
      <c r="H1607" s="25" t="str">
        <f>IF($N1607="","",INDEX('_calc'!$F$2:$F$3001,$N1607))</f>
        <v/>
      </c>
      <c r="I1607" s="27" t="str">
        <f>IF($N1607="","",INDEX('_calc'!$H$2:$H$3001,$N1607))</f>
        <v/>
      </c>
      <c r="J1607" s="27" t="str">
        <f>IF($N1607="","",INDEX('_calc'!$I$2:$I$3001,$N1607))</f>
        <v/>
      </c>
      <c r="K1607" s="28" t="str">
        <f>IF($N1607="","",IF(OR(I1607="",J1607=""),"",J1607-I1607))</f>
        <v/>
      </c>
      <c r="L1607" s="29" t="str">
        <f>IF($N1607="","",INDEX('_calc'!$J$2:$J$3001,$N1607))</f>
        <v/>
      </c>
      <c r="M1607" s="2" t="str">
        <f>IF($N1607="","",IF(AND(G1607=0,H1607=0),"수량 없음",IF(G1607=0,"신규 (전년 수량 없음)",IF(H1607=0,"당해 수량 없음",""))))</f>
        <v/>
      </c>
      <c r="N1607" t="str">
        <f>IF($B1607="","",MATCH($B1607,'_calc'!$L$2:$L$3001,0))</f>
        <v/>
      </c>
    </row>
    <row r="1608">
      <c r="B1608" s="24" t="str">
        <f>IF(ROW()-ROW($B$8)&gt;nComp,"",ROW()-ROW($B$8))</f>
        <v/>
      </c>
      <c r="C1608" t="str">
        <f>IF($N1608="","",INDEX('_calc'!$A$2:$A$3001,$N1608))</f>
        <v/>
      </c>
      <c r="D1608" s="25" t="str">
        <f>IF($N1608="","",INDEX('_calc'!$C$2:$C$3001,$N1608))</f>
        <v/>
      </c>
      <c r="E1608" s="25" t="str">
        <f>IF($N1608="","",INDEX('_calc'!$D$2:$D$3001,$N1608))</f>
        <v/>
      </c>
      <c r="F1608" s="26" t="str">
        <f>IF($N1608="","",IF($E$8=0,"",E1608/$E$8))</f>
        <v/>
      </c>
      <c r="G1608" s="25" t="str">
        <f>IF($N1608="","",INDEX('_calc'!$E$2:$E$3001,$N1608))</f>
        <v/>
      </c>
      <c r="H1608" s="25" t="str">
        <f>IF($N1608="","",INDEX('_calc'!$F$2:$F$3001,$N1608))</f>
        <v/>
      </c>
      <c r="I1608" s="27" t="str">
        <f>IF($N1608="","",INDEX('_calc'!$H$2:$H$3001,$N1608))</f>
        <v/>
      </c>
      <c r="J1608" s="27" t="str">
        <f>IF($N1608="","",INDEX('_calc'!$I$2:$I$3001,$N1608))</f>
        <v/>
      </c>
      <c r="K1608" s="28" t="str">
        <f>IF($N1608="","",IF(OR(I1608="",J1608=""),"",J1608-I1608))</f>
        <v/>
      </c>
      <c r="L1608" s="29" t="str">
        <f>IF($N1608="","",INDEX('_calc'!$J$2:$J$3001,$N1608))</f>
        <v/>
      </c>
      <c r="M1608" s="2" t="str">
        <f>IF($N1608="","",IF(AND(G1608=0,H1608=0),"수량 없음",IF(G1608=0,"신규 (전년 수량 없음)",IF(H1608=0,"당해 수량 없음",""))))</f>
        <v/>
      </c>
      <c r="N1608" t="str">
        <f>IF($B1608="","",MATCH($B1608,'_calc'!$L$2:$L$3001,0))</f>
        <v/>
      </c>
    </row>
    <row r="1609">
      <c r="B1609" s="24" t="str">
        <f>IF(ROW()-ROW($B$8)&gt;nComp,"",ROW()-ROW($B$8))</f>
        <v/>
      </c>
      <c r="C1609" t="str">
        <f>IF($N1609="","",INDEX('_calc'!$A$2:$A$3001,$N1609))</f>
        <v/>
      </c>
      <c r="D1609" s="25" t="str">
        <f>IF($N1609="","",INDEX('_calc'!$C$2:$C$3001,$N1609))</f>
        <v/>
      </c>
      <c r="E1609" s="25" t="str">
        <f>IF($N1609="","",INDEX('_calc'!$D$2:$D$3001,$N1609))</f>
        <v/>
      </c>
      <c r="F1609" s="26" t="str">
        <f>IF($N1609="","",IF($E$8=0,"",E1609/$E$8))</f>
        <v/>
      </c>
      <c r="G1609" s="25" t="str">
        <f>IF($N1609="","",INDEX('_calc'!$E$2:$E$3001,$N1609))</f>
        <v/>
      </c>
      <c r="H1609" s="25" t="str">
        <f>IF($N1609="","",INDEX('_calc'!$F$2:$F$3001,$N1609))</f>
        <v/>
      </c>
      <c r="I1609" s="27" t="str">
        <f>IF($N1609="","",INDEX('_calc'!$H$2:$H$3001,$N1609))</f>
        <v/>
      </c>
      <c r="J1609" s="27" t="str">
        <f>IF($N1609="","",INDEX('_calc'!$I$2:$I$3001,$N1609))</f>
        <v/>
      </c>
      <c r="K1609" s="28" t="str">
        <f>IF($N1609="","",IF(OR(I1609="",J1609=""),"",J1609-I1609))</f>
        <v/>
      </c>
      <c r="L1609" s="29" t="str">
        <f>IF($N1609="","",INDEX('_calc'!$J$2:$J$3001,$N1609))</f>
        <v/>
      </c>
      <c r="M1609" s="2" t="str">
        <f>IF($N1609="","",IF(AND(G1609=0,H1609=0),"수량 없음",IF(G1609=0,"신규 (전년 수량 없음)",IF(H1609=0,"당해 수량 없음",""))))</f>
        <v/>
      </c>
      <c r="N1609" t="str">
        <f>IF($B1609="","",MATCH($B1609,'_calc'!$L$2:$L$3001,0))</f>
        <v/>
      </c>
    </row>
    <row r="1610">
      <c r="B1610" s="24" t="str">
        <f>IF(ROW()-ROW($B$8)&gt;nComp,"",ROW()-ROW($B$8))</f>
        <v/>
      </c>
      <c r="C1610" t="str">
        <f>IF($N1610="","",INDEX('_calc'!$A$2:$A$3001,$N1610))</f>
        <v/>
      </c>
      <c r="D1610" s="25" t="str">
        <f>IF($N1610="","",INDEX('_calc'!$C$2:$C$3001,$N1610))</f>
        <v/>
      </c>
      <c r="E1610" s="25" t="str">
        <f>IF($N1610="","",INDEX('_calc'!$D$2:$D$3001,$N1610))</f>
        <v/>
      </c>
      <c r="F1610" s="26" t="str">
        <f>IF($N1610="","",IF($E$8=0,"",E1610/$E$8))</f>
        <v/>
      </c>
      <c r="G1610" s="25" t="str">
        <f>IF($N1610="","",INDEX('_calc'!$E$2:$E$3001,$N1610))</f>
        <v/>
      </c>
      <c r="H1610" s="25" t="str">
        <f>IF($N1610="","",INDEX('_calc'!$F$2:$F$3001,$N1610))</f>
        <v/>
      </c>
      <c r="I1610" s="27" t="str">
        <f>IF($N1610="","",INDEX('_calc'!$H$2:$H$3001,$N1610))</f>
        <v/>
      </c>
      <c r="J1610" s="27" t="str">
        <f>IF($N1610="","",INDEX('_calc'!$I$2:$I$3001,$N1610))</f>
        <v/>
      </c>
      <c r="K1610" s="28" t="str">
        <f>IF($N1610="","",IF(OR(I1610="",J1610=""),"",J1610-I1610))</f>
        <v/>
      </c>
      <c r="L1610" s="29" t="str">
        <f>IF($N1610="","",INDEX('_calc'!$J$2:$J$3001,$N1610))</f>
        <v/>
      </c>
      <c r="M1610" s="2" t="str">
        <f>IF($N1610="","",IF(AND(G1610=0,H1610=0),"수량 없음",IF(G1610=0,"신규 (전년 수량 없음)",IF(H1610=0,"당해 수량 없음",""))))</f>
        <v/>
      </c>
      <c r="N1610" t="str">
        <f>IF($B1610="","",MATCH($B1610,'_calc'!$L$2:$L$3001,0))</f>
        <v/>
      </c>
    </row>
    <row r="1611">
      <c r="B1611" s="24" t="str">
        <f>IF(ROW()-ROW($B$8)&gt;nComp,"",ROW()-ROW($B$8))</f>
        <v/>
      </c>
      <c r="C1611" t="str">
        <f>IF($N1611="","",INDEX('_calc'!$A$2:$A$3001,$N1611))</f>
        <v/>
      </c>
      <c r="D1611" s="25" t="str">
        <f>IF($N1611="","",INDEX('_calc'!$C$2:$C$3001,$N1611))</f>
        <v/>
      </c>
      <c r="E1611" s="25" t="str">
        <f>IF($N1611="","",INDEX('_calc'!$D$2:$D$3001,$N1611))</f>
        <v/>
      </c>
      <c r="F1611" s="26" t="str">
        <f>IF($N1611="","",IF($E$8=0,"",E1611/$E$8))</f>
        <v/>
      </c>
      <c r="G1611" s="25" t="str">
        <f>IF($N1611="","",INDEX('_calc'!$E$2:$E$3001,$N1611))</f>
        <v/>
      </c>
      <c r="H1611" s="25" t="str">
        <f>IF($N1611="","",INDEX('_calc'!$F$2:$F$3001,$N1611))</f>
        <v/>
      </c>
      <c r="I1611" s="27" t="str">
        <f>IF($N1611="","",INDEX('_calc'!$H$2:$H$3001,$N1611))</f>
        <v/>
      </c>
      <c r="J1611" s="27" t="str">
        <f>IF($N1611="","",INDEX('_calc'!$I$2:$I$3001,$N1611))</f>
        <v/>
      </c>
      <c r="K1611" s="28" t="str">
        <f>IF($N1611="","",IF(OR(I1611="",J1611=""),"",J1611-I1611))</f>
        <v/>
      </c>
      <c r="L1611" s="29" t="str">
        <f>IF($N1611="","",INDEX('_calc'!$J$2:$J$3001,$N1611))</f>
        <v/>
      </c>
      <c r="M1611" s="2" t="str">
        <f>IF($N1611="","",IF(AND(G1611=0,H1611=0),"수량 없음",IF(G1611=0,"신규 (전년 수량 없음)",IF(H1611=0,"당해 수량 없음",""))))</f>
        <v/>
      </c>
      <c r="N1611" t="str">
        <f>IF($B1611="","",MATCH($B1611,'_calc'!$L$2:$L$3001,0))</f>
        <v/>
      </c>
    </row>
    <row r="1612">
      <c r="B1612" s="24" t="str">
        <f>IF(ROW()-ROW($B$8)&gt;nComp,"",ROW()-ROW($B$8))</f>
        <v/>
      </c>
      <c r="C1612" t="str">
        <f>IF($N1612="","",INDEX('_calc'!$A$2:$A$3001,$N1612))</f>
        <v/>
      </c>
      <c r="D1612" s="25" t="str">
        <f>IF($N1612="","",INDEX('_calc'!$C$2:$C$3001,$N1612))</f>
        <v/>
      </c>
      <c r="E1612" s="25" t="str">
        <f>IF($N1612="","",INDEX('_calc'!$D$2:$D$3001,$N1612))</f>
        <v/>
      </c>
      <c r="F1612" s="26" t="str">
        <f>IF($N1612="","",IF($E$8=0,"",E1612/$E$8))</f>
        <v/>
      </c>
      <c r="G1612" s="25" t="str">
        <f>IF($N1612="","",INDEX('_calc'!$E$2:$E$3001,$N1612))</f>
        <v/>
      </c>
      <c r="H1612" s="25" t="str">
        <f>IF($N1612="","",INDEX('_calc'!$F$2:$F$3001,$N1612))</f>
        <v/>
      </c>
      <c r="I1612" s="27" t="str">
        <f>IF($N1612="","",INDEX('_calc'!$H$2:$H$3001,$N1612))</f>
        <v/>
      </c>
      <c r="J1612" s="27" t="str">
        <f>IF($N1612="","",INDEX('_calc'!$I$2:$I$3001,$N1612))</f>
        <v/>
      </c>
      <c r="K1612" s="28" t="str">
        <f>IF($N1612="","",IF(OR(I1612="",J1612=""),"",J1612-I1612))</f>
        <v/>
      </c>
      <c r="L1612" s="29" t="str">
        <f>IF($N1612="","",INDEX('_calc'!$J$2:$J$3001,$N1612))</f>
        <v/>
      </c>
      <c r="M1612" s="2" t="str">
        <f>IF($N1612="","",IF(AND(G1612=0,H1612=0),"수량 없음",IF(G1612=0,"신규 (전년 수량 없음)",IF(H1612=0,"당해 수량 없음",""))))</f>
        <v/>
      </c>
      <c r="N1612" t="str">
        <f>IF($B1612="","",MATCH($B1612,'_calc'!$L$2:$L$3001,0))</f>
        <v/>
      </c>
    </row>
    <row r="1613">
      <c r="B1613" s="24" t="str">
        <f>IF(ROW()-ROW($B$8)&gt;nComp,"",ROW()-ROW($B$8))</f>
        <v/>
      </c>
      <c r="C1613" t="str">
        <f>IF($N1613="","",INDEX('_calc'!$A$2:$A$3001,$N1613))</f>
        <v/>
      </c>
      <c r="D1613" s="25" t="str">
        <f>IF($N1613="","",INDEX('_calc'!$C$2:$C$3001,$N1613))</f>
        <v/>
      </c>
      <c r="E1613" s="25" t="str">
        <f>IF($N1613="","",INDEX('_calc'!$D$2:$D$3001,$N1613))</f>
        <v/>
      </c>
      <c r="F1613" s="26" t="str">
        <f>IF($N1613="","",IF($E$8=0,"",E1613/$E$8))</f>
        <v/>
      </c>
      <c r="G1613" s="25" t="str">
        <f>IF($N1613="","",INDEX('_calc'!$E$2:$E$3001,$N1613))</f>
        <v/>
      </c>
      <c r="H1613" s="25" t="str">
        <f>IF($N1613="","",INDEX('_calc'!$F$2:$F$3001,$N1613))</f>
        <v/>
      </c>
      <c r="I1613" s="27" t="str">
        <f>IF($N1613="","",INDEX('_calc'!$H$2:$H$3001,$N1613))</f>
        <v/>
      </c>
      <c r="J1613" s="27" t="str">
        <f>IF($N1613="","",INDEX('_calc'!$I$2:$I$3001,$N1613))</f>
        <v/>
      </c>
      <c r="K1613" s="28" t="str">
        <f>IF($N1613="","",IF(OR(I1613="",J1613=""),"",J1613-I1613))</f>
        <v/>
      </c>
      <c r="L1613" s="29" t="str">
        <f>IF($N1613="","",INDEX('_calc'!$J$2:$J$3001,$N1613))</f>
        <v/>
      </c>
      <c r="M1613" s="2" t="str">
        <f>IF($N1613="","",IF(AND(G1613=0,H1613=0),"수량 없음",IF(G1613=0,"신규 (전년 수량 없음)",IF(H1613=0,"당해 수량 없음",""))))</f>
        <v/>
      </c>
      <c r="N1613" t="str">
        <f>IF($B1613="","",MATCH($B1613,'_calc'!$L$2:$L$3001,0))</f>
        <v/>
      </c>
    </row>
    <row r="1614">
      <c r="B1614" s="24" t="str">
        <f>IF(ROW()-ROW($B$8)&gt;nComp,"",ROW()-ROW($B$8))</f>
        <v/>
      </c>
      <c r="C1614" t="str">
        <f>IF($N1614="","",INDEX('_calc'!$A$2:$A$3001,$N1614))</f>
        <v/>
      </c>
      <c r="D1614" s="25" t="str">
        <f>IF($N1614="","",INDEX('_calc'!$C$2:$C$3001,$N1614))</f>
        <v/>
      </c>
      <c r="E1614" s="25" t="str">
        <f>IF($N1614="","",INDEX('_calc'!$D$2:$D$3001,$N1614))</f>
        <v/>
      </c>
      <c r="F1614" s="26" t="str">
        <f>IF($N1614="","",IF($E$8=0,"",E1614/$E$8))</f>
        <v/>
      </c>
      <c r="G1614" s="25" t="str">
        <f>IF($N1614="","",INDEX('_calc'!$E$2:$E$3001,$N1614))</f>
        <v/>
      </c>
      <c r="H1614" s="25" t="str">
        <f>IF($N1614="","",INDEX('_calc'!$F$2:$F$3001,$N1614))</f>
        <v/>
      </c>
      <c r="I1614" s="27" t="str">
        <f>IF($N1614="","",INDEX('_calc'!$H$2:$H$3001,$N1614))</f>
        <v/>
      </c>
      <c r="J1614" s="27" t="str">
        <f>IF($N1614="","",INDEX('_calc'!$I$2:$I$3001,$N1614))</f>
        <v/>
      </c>
      <c r="K1614" s="28" t="str">
        <f>IF($N1614="","",IF(OR(I1614="",J1614=""),"",J1614-I1614))</f>
        <v/>
      </c>
      <c r="L1614" s="29" t="str">
        <f>IF($N1614="","",INDEX('_calc'!$J$2:$J$3001,$N1614))</f>
        <v/>
      </c>
      <c r="M1614" s="2" t="str">
        <f>IF($N1614="","",IF(AND(G1614=0,H1614=0),"수량 없음",IF(G1614=0,"신규 (전년 수량 없음)",IF(H1614=0,"당해 수량 없음",""))))</f>
        <v/>
      </c>
      <c r="N1614" t="str">
        <f>IF($B1614="","",MATCH($B1614,'_calc'!$L$2:$L$3001,0))</f>
        <v/>
      </c>
    </row>
    <row r="1615">
      <c r="B1615" s="24" t="str">
        <f>IF(ROW()-ROW($B$8)&gt;nComp,"",ROW()-ROW($B$8))</f>
        <v/>
      </c>
      <c r="C1615" t="str">
        <f>IF($N1615="","",INDEX('_calc'!$A$2:$A$3001,$N1615))</f>
        <v/>
      </c>
      <c r="D1615" s="25" t="str">
        <f>IF($N1615="","",INDEX('_calc'!$C$2:$C$3001,$N1615))</f>
        <v/>
      </c>
      <c r="E1615" s="25" t="str">
        <f>IF($N1615="","",INDEX('_calc'!$D$2:$D$3001,$N1615))</f>
        <v/>
      </c>
      <c r="F1615" s="26" t="str">
        <f>IF($N1615="","",IF($E$8=0,"",E1615/$E$8))</f>
        <v/>
      </c>
      <c r="G1615" s="25" t="str">
        <f>IF($N1615="","",INDEX('_calc'!$E$2:$E$3001,$N1615))</f>
        <v/>
      </c>
      <c r="H1615" s="25" t="str">
        <f>IF($N1615="","",INDEX('_calc'!$F$2:$F$3001,$N1615))</f>
        <v/>
      </c>
      <c r="I1615" s="27" t="str">
        <f>IF($N1615="","",INDEX('_calc'!$H$2:$H$3001,$N1615))</f>
        <v/>
      </c>
      <c r="J1615" s="27" t="str">
        <f>IF($N1615="","",INDEX('_calc'!$I$2:$I$3001,$N1615))</f>
        <v/>
      </c>
      <c r="K1615" s="28" t="str">
        <f>IF($N1615="","",IF(OR(I1615="",J1615=""),"",J1615-I1615))</f>
        <v/>
      </c>
      <c r="L1615" s="29" t="str">
        <f>IF($N1615="","",INDEX('_calc'!$J$2:$J$3001,$N1615))</f>
        <v/>
      </c>
      <c r="M1615" s="2" t="str">
        <f>IF($N1615="","",IF(AND(G1615=0,H1615=0),"수량 없음",IF(G1615=0,"신규 (전년 수량 없음)",IF(H1615=0,"당해 수량 없음",""))))</f>
        <v/>
      </c>
      <c r="N1615" t="str">
        <f>IF($B1615="","",MATCH($B1615,'_calc'!$L$2:$L$3001,0))</f>
        <v/>
      </c>
    </row>
    <row r="1616">
      <c r="B1616" s="24" t="str">
        <f>IF(ROW()-ROW($B$8)&gt;nComp,"",ROW()-ROW($B$8))</f>
        <v/>
      </c>
      <c r="C1616" t="str">
        <f>IF($N1616="","",INDEX('_calc'!$A$2:$A$3001,$N1616))</f>
        <v/>
      </c>
      <c r="D1616" s="25" t="str">
        <f>IF($N1616="","",INDEX('_calc'!$C$2:$C$3001,$N1616))</f>
        <v/>
      </c>
      <c r="E1616" s="25" t="str">
        <f>IF($N1616="","",INDEX('_calc'!$D$2:$D$3001,$N1616))</f>
        <v/>
      </c>
      <c r="F1616" s="26" t="str">
        <f>IF($N1616="","",IF($E$8=0,"",E1616/$E$8))</f>
        <v/>
      </c>
      <c r="G1616" s="25" t="str">
        <f>IF($N1616="","",INDEX('_calc'!$E$2:$E$3001,$N1616))</f>
        <v/>
      </c>
      <c r="H1616" s="25" t="str">
        <f>IF($N1616="","",INDEX('_calc'!$F$2:$F$3001,$N1616))</f>
        <v/>
      </c>
      <c r="I1616" s="27" t="str">
        <f>IF($N1616="","",INDEX('_calc'!$H$2:$H$3001,$N1616))</f>
        <v/>
      </c>
      <c r="J1616" s="27" t="str">
        <f>IF($N1616="","",INDEX('_calc'!$I$2:$I$3001,$N1616))</f>
        <v/>
      </c>
      <c r="K1616" s="28" t="str">
        <f>IF($N1616="","",IF(OR(I1616="",J1616=""),"",J1616-I1616))</f>
        <v/>
      </c>
      <c r="L1616" s="29" t="str">
        <f>IF($N1616="","",INDEX('_calc'!$J$2:$J$3001,$N1616))</f>
        <v/>
      </c>
      <c r="M1616" s="2" t="str">
        <f>IF($N1616="","",IF(AND(G1616=0,H1616=0),"수량 없음",IF(G1616=0,"신규 (전년 수량 없음)",IF(H1616=0,"당해 수량 없음",""))))</f>
        <v/>
      </c>
      <c r="N1616" t="str">
        <f>IF($B1616="","",MATCH($B1616,'_calc'!$L$2:$L$3001,0))</f>
        <v/>
      </c>
    </row>
    <row r="1617">
      <c r="B1617" s="24" t="str">
        <f>IF(ROW()-ROW($B$8)&gt;nComp,"",ROW()-ROW($B$8))</f>
        <v/>
      </c>
      <c r="C1617" t="str">
        <f>IF($N1617="","",INDEX('_calc'!$A$2:$A$3001,$N1617))</f>
        <v/>
      </c>
      <c r="D1617" s="25" t="str">
        <f>IF($N1617="","",INDEX('_calc'!$C$2:$C$3001,$N1617))</f>
        <v/>
      </c>
      <c r="E1617" s="25" t="str">
        <f>IF($N1617="","",INDEX('_calc'!$D$2:$D$3001,$N1617))</f>
        <v/>
      </c>
      <c r="F1617" s="26" t="str">
        <f>IF($N1617="","",IF($E$8=0,"",E1617/$E$8))</f>
        <v/>
      </c>
      <c r="G1617" s="25" t="str">
        <f>IF($N1617="","",INDEX('_calc'!$E$2:$E$3001,$N1617))</f>
        <v/>
      </c>
      <c r="H1617" s="25" t="str">
        <f>IF($N1617="","",INDEX('_calc'!$F$2:$F$3001,$N1617))</f>
        <v/>
      </c>
      <c r="I1617" s="27" t="str">
        <f>IF($N1617="","",INDEX('_calc'!$H$2:$H$3001,$N1617))</f>
        <v/>
      </c>
      <c r="J1617" s="27" t="str">
        <f>IF($N1617="","",INDEX('_calc'!$I$2:$I$3001,$N1617))</f>
        <v/>
      </c>
      <c r="K1617" s="28" t="str">
        <f>IF($N1617="","",IF(OR(I1617="",J1617=""),"",J1617-I1617))</f>
        <v/>
      </c>
      <c r="L1617" s="29" t="str">
        <f>IF($N1617="","",INDEX('_calc'!$J$2:$J$3001,$N1617))</f>
        <v/>
      </c>
      <c r="M1617" s="2" t="str">
        <f>IF($N1617="","",IF(AND(G1617=0,H1617=0),"수량 없음",IF(G1617=0,"신규 (전년 수량 없음)",IF(H1617=0,"당해 수량 없음",""))))</f>
        <v/>
      </c>
      <c r="N1617" t="str">
        <f>IF($B1617="","",MATCH($B1617,'_calc'!$L$2:$L$3001,0))</f>
        <v/>
      </c>
    </row>
    <row r="1618">
      <c r="B1618" s="24" t="str">
        <f>IF(ROW()-ROW($B$8)&gt;nComp,"",ROW()-ROW($B$8))</f>
        <v/>
      </c>
      <c r="C1618" t="str">
        <f>IF($N1618="","",INDEX('_calc'!$A$2:$A$3001,$N1618))</f>
        <v/>
      </c>
      <c r="D1618" s="25" t="str">
        <f>IF($N1618="","",INDEX('_calc'!$C$2:$C$3001,$N1618))</f>
        <v/>
      </c>
      <c r="E1618" s="25" t="str">
        <f>IF($N1618="","",INDEX('_calc'!$D$2:$D$3001,$N1618))</f>
        <v/>
      </c>
      <c r="F1618" s="26" t="str">
        <f>IF($N1618="","",IF($E$8=0,"",E1618/$E$8))</f>
        <v/>
      </c>
      <c r="G1618" s="25" t="str">
        <f>IF($N1618="","",INDEX('_calc'!$E$2:$E$3001,$N1618))</f>
        <v/>
      </c>
      <c r="H1618" s="25" t="str">
        <f>IF($N1618="","",INDEX('_calc'!$F$2:$F$3001,$N1618))</f>
        <v/>
      </c>
      <c r="I1618" s="27" t="str">
        <f>IF($N1618="","",INDEX('_calc'!$H$2:$H$3001,$N1618))</f>
        <v/>
      </c>
      <c r="J1618" s="27" t="str">
        <f>IF($N1618="","",INDEX('_calc'!$I$2:$I$3001,$N1618))</f>
        <v/>
      </c>
      <c r="K1618" s="28" t="str">
        <f>IF($N1618="","",IF(OR(I1618="",J1618=""),"",J1618-I1618))</f>
        <v/>
      </c>
      <c r="L1618" s="29" t="str">
        <f>IF($N1618="","",INDEX('_calc'!$J$2:$J$3001,$N1618))</f>
        <v/>
      </c>
      <c r="M1618" s="2" t="str">
        <f>IF($N1618="","",IF(AND(G1618=0,H1618=0),"수량 없음",IF(G1618=0,"신규 (전년 수량 없음)",IF(H1618=0,"당해 수량 없음",""))))</f>
        <v/>
      </c>
      <c r="N1618" t="str">
        <f>IF($B1618="","",MATCH($B1618,'_calc'!$L$2:$L$3001,0))</f>
        <v/>
      </c>
    </row>
    <row r="1619">
      <c r="B1619" s="24" t="str">
        <f>IF(ROW()-ROW($B$8)&gt;nComp,"",ROW()-ROW($B$8))</f>
        <v/>
      </c>
      <c r="C1619" t="str">
        <f>IF($N1619="","",INDEX('_calc'!$A$2:$A$3001,$N1619))</f>
        <v/>
      </c>
      <c r="D1619" s="25" t="str">
        <f>IF($N1619="","",INDEX('_calc'!$C$2:$C$3001,$N1619))</f>
        <v/>
      </c>
      <c r="E1619" s="25" t="str">
        <f>IF($N1619="","",INDEX('_calc'!$D$2:$D$3001,$N1619))</f>
        <v/>
      </c>
      <c r="F1619" s="26" t="str">
        <f>IF($N1619="","",IF($E$8=0,"",E1619/$E$8))</f>
        <v/>
      </c>
      <c r="G1619" s="25" t="str">
        <f>IF($N1619="","",INDEX('_calc'!$E$2:$E$3001,$N1619))</f>
        <v/>
      </c>
      <c r="H1619" s="25" t="str">
        <f>IF($N1619="","",INDEX('_calc'!$F$2:$F$3001,$N1619))</f>
        <v/>
      </c>
      <c r="I1619" s="27" t="str">
        <f>IF($N1619="","",INDEX('_calc'!$H$2:$H$3001,$N1619))</f>
        <v/>
      </c>
      <c r="J1619" s="27" t="str">
        <f>IF($N1619="","",INDEX('_calc'!$I$2:$I$3001,$N1619))</f>
        <v/>
      </c>
      <c r="K1619" s="28" t="str">
        <f>IF($N1619="","",IF(OR(I1619="",J1619=""),"",J1619-I1619))</f>
        <v/>
      </c>
      <c r="L1619" s="29" t="str">
        <f>IF($N1619="","",INDEX('_calc'!$J$2:$J$3001,$N1619))</f>
        <v/>
      </c>
      <c r="M1619" s="2" t="str">
        <f>IF($N1619="","",IF(AND(G1619=0,H1619=0),"수량 없음",IF(G1619=0,"신규 (전년 수량 없음)",IF(H1619=0,"당해 수량 없음",""))))</f>
        <v/>
      </c>
      <c r="N1619" t="str">
        <f>IF($B1619="","",MATCH($B1619,'_calc'!$L$2:$L$3001,0))</f>
        <v/>
      </c>
    </row>
    <row r="1620">
      <c r="B1620" s="24" t="str">
        <f>IF(ROW()-ROW($B$8)&gt;nComp,"",ROW()-ROW($B$8))</f>
        <v/>
      </c>
      <c r="C1620" t="str">
        <f>IF($N1620="","",INDEX('_calc'!$A$2:$A$3001,$N1620))</f>
        <v/>
      </c>
      <c r="D1620" s="25" t="str">
        <f>IF($N1620="","",INDEX('_calc'!$C$2:$C$3001,$N1620))</f>
        <v/>
      </c>
      <c r="E1620" s="25" t="str">
        <f>IF($N1620="","",INDEX('_calc'!$D$2:$D$3001,$N1620))</f>
        <v/>
      </c>
      <c r="F1620" s="26" t="str">
        <f>IF($N1620="","",IF($E$8=0,"",E1620/$E$8))</f>
        <v/>
      </c>
      <c r="G1620" s="25" t="str">
        <f>IF($N1620="","",INDEX('_calc'!$E$2:$E$3001,$N1620))</f>
        <v/>
      </c>
      <c r="H1620" s="25" t="str">
        <f>IF($N1620="","",INDEX('_calc'!$F$2:$F$3001,$N1620))</f>
        <v/>
      </c>
      <c r="I1620" s="27" t="str">
        <f>IF($N1620="","",INDEX('_calc'!$H$2:$H$3001,$N1620))</f>
        <v/>
      </c>
      <c r="J1620" s="27" t="str">
        <f>IF($N1620="","",INDEX('_calc'!$I$2:$I$3001,$N1620))</f>
        <v/>
      </c>
      <c r="K1620" s="28" t="str">
        <f>IF($N1620="","",IF(OR(I1620="",J1620=""),"",J1620-I1620))</f>
        <v/>
      </c>
      <c r="L1620" s="29" t="str">
        <f>IF($N1620="","",INDEX('_calc'!$J$2:$J$3001,$N1620))</f>
        <v/>
      </c>
      <c r="M1620" s="2" t="str">
        <f>IF($N1620="","",IF(AND(G1620=0,H1620=0),"수량 없음",IF(G1620=0,"신규 (전년 수량 없음)",IF(H1620=0,"당해 수량 없음",""))))</f>
        <v/>
      </c>
      <c r="N1620" t="str">
        <f>IF($B1620="","",MATCH($B1620,'_calc'!$L$2:$L$3001,0))</f>
        <v/>
      </c>
    </row>
    <row r="1621">
      <c r="B1621" s="24" t="str">
        <f>IF(ROW()-ROW($B$8)&gt;nComp,"",ROW()-ROW($B$8))</f>
        <v/>
      </c>
      <c r="C1621" t="str">
        <f>IF($N1621="","",INDEX('_calc'!$A$2:$A$3001,$N1621))</f>
        <v/>
      </c>
      <c r="D1621" s="25" t="str">
        <f>IF($N1621="","",INDEX('_calc'!$C$2:$C$3001,$N1621))</f>
        <v/>
      </c>
      <c r="E1621" s="25" t="str">
        <f>IF($N1621="","",INDEX('_calc'!$D$2:$D$3001,$N1621))</f>
        <v/>
      </c>
      <c r="F1621" s="26" t="str">
        <f>IF($N1621="","",IF($E$8=0,"",E1621/$E$8))</f>
        <v/>
      </c>
      <c r="G1621" s="25" t="str">
        <f>IF($N1621="","",INDEX('_calc'!$E$2:$E$3001,$N1621))</f>
        <v/>
      </c>
      <c r="H1621" s="25" t="str">
        <f>IF($N1621="","",INDEX('_calc'!$F$2:$F$3001,$N1621))</f>
        <v/>
      </c>
      <c r="I1621" s="27" t="str">
        <f>IF($N1621="","",INDEX('_calc'!$H$2:$H$3001,$N1621))</f>
        <v/>
      </c>
      <c r="J1621" s="27" t="str">
        <f>IF($N1621="","",INDEX('_calc'!$I$2:$I$3001,$N1621))</f>
        <v/>
      </c>
      <c r="K1621" s="28" t="str">
        <f>IF($N1621="","",IF(OR(I1621="",J1621=""),"",J1621-I1621))</f>
        <v/>
      </c>
      <c r="L1621" s="29" t="str">
        <f>IF($N1621="","",INDEX('_calc'!$J$2:$J$3001,$N1621))</f>
        <v/>
      </c>
      <c r="M1621" s="2" t="str">
        <f>IF($N1621="","",IF(AND(G1621=0,H1621=0),"수량 없음",IF(G1621=0,"신규 (전년 수량 없음)",IF(H1621=0,"당해 수량 없음",""))))</f>
        <v/>
      </c>
      <c r="N1621" t="str">
        <f>IF($B1621="","",MATCH($B1621,'_calc'!$L$2:$L$3001,0))</f>
        <v/>
      </c>
    </row>
    <row r="1622">
      <c r="B1622" s="24" t="str">
        <f>IF(ROW()-ROW($B$8)&gt;nComp,"",ROW()-ROW($B$8))</f>
        <v/>
      </c>
      <c r="C1622" t="str">
        <f>IF($N1622="","",INDEX('_calc'!$A$2:$A$3001,$N1622))</f>
        <v/>
      </c>
      <c r="D1622" s="25" t="str">
        <f>IF($N1622="","",INDEX('_calc'!$C$2:$C$3001,$N1622))</f>
        <v/>
      </c>
      <c r="E1622" s="25" t="str">
        <f>IF($N1622="","",INDEX('_calc'!$D$2:$D$3001,$N1622))</f>
        <v/>
      </c>
      <c r="F1622" s="26" t="str">
        <f>IF($N1622="","",IF($E$8=0,"",E1622/$E$8))</f>
        <v/>
      </c>
      <c r="G1622" s="25" t="str">
        <f>IF($N1622="","",INDEX('_calc'!$E$2:$E$3001,$N1622))</f>
        <v/>
      </c>
      <c r="H1622" s="25" t="str">
        <f>IF($N1622="","",INDEX('_calc'!$F$2:$F$3001,$N1622))</f>
        <v/>
      </c>
      <c r="I1622" s="27" t="str">
        <f>IF($N1622="","",INDEX('_calc'!$H$2:$H$3001,$N1622))</f>
        <v/>
      </c>
      <c r="J1622" s="27" t="str">
        <f>IF($N1622="","",INDEX('_calc'!$I$2:$I$3001,$N1622))</f>
        <v/>
      </c>
      <c r="K1622" s="28" t="str">
        <f>IF($N1622="","",IF(OR(I1622="",J1622=""),"",J1622-I1622))</f>
        <v/>
      </c>
      <c r="L1622" s="29" t="str">
        <f>IF($N1622="","",INDEX('_calc'!$J$2:$J$3001,$N1622))</f>
        <v/>
      </c>
      <c r="M1622" s="2" t="str">
        <f>IF($N1622="","",IF(AND(G1622=0,H1622=0),"수량 없음",IF(G1622=0,"신규 (전년 수량 없음)",IF(H1622=0,"당해 수량 없음",""))))</f>
        <v/>
      </c>
      <c r="N1622" t="str">
        <f>IF($B1622="","",MATCH($B1622,'_calc'!$L$2:$L$3001,0))</f>
        <v/>
      </c>
    </row>
    <row r="1623">
      <c r="B1623" s="24" t="str">
        <f>IF(ROW()-ROW($B$8)&gt;nComp,"",ROW()-ROW($B$8))</f>
        <v/>
      </c>
      <c r="C1623" t="str">
        <f>IF($N1623="","",INDEX('_calc'!$A$2:$A$3001,$N1623))</f>
        <v/>
      </c>
      <c r="D1623" s="25" t="str">
        <f>IF($N1623="","",INDEX('_calc'!$C$2:$C$3001,$N1623))</f>
        <v/>
      </c>
      <c r="E1623" s="25" t="str">
        <f>IF($N1623="","",INDEX('_calc'!$D$2:$D$3001,$N1623))</f>
        <v/>
      </c>
      <c r="F1623" s="26" t="str">
        <f>IF($N1623="","",IF($E$8=0,"",E1623/$E$8))</f>
        <v/>
      </c>
      <c r="G1623" s="25" t="str">
        <f>IF($N1623="","",INDEX('_calc'!$E$2:$E$3001,$N1623))</f>
        <v/>
      </c>
      <c r="H1623" s="25" t="str">
        <f>IF($N1623="","",INDEX('_calc'!$F$2:$F$3001,$N1623))</f>
        <v/>
      </c>
      <c r="I1623" s="27" t="str">
        <f>IF($N1623="","",INDEX('_calc'!$H$2:$H$3001,$N1623))</f>
        <v/>
      </c>
      <c r="J1623" s="27" t="str">
        <f>IF($N1623="","",INDEX('_calc'!$I$2:$I$3001,$N1623))</f>
        <v/>
      </c>
      <c r="K1623" s="28" t="str">
        <f>IF($N1623="","",IF(OR(I1623="",J1623=""),"",J1623-I1623))</f>
        <v/>
      </c>
      <c r="L1623" s="29" t="str">
        <f>IF($N1623="","",INDEX('_calc'!$J$2:$J$3001,$N1623))</f>
        <v/>
      </c>
      <c r="M1623" s="2" t="str">
        <f>IF($N1623="","",IF(AND(G1623=0,H1623=0),"수량 없음",IF(G1623=0,"신규 (전년 수량 없음)",IF(H1623=0,"당해 수량 없음",""))))</f>
        <v/>
      </c>
      <c r="N1623" t="str">
        <f>IF($B1623="","",MATCH($B1623,'_calc'!$L$2:$L$3001,0))</f>
        <v/>
      </c>
    </row>
    <row r="1624">
      <c r="B1624" s="24" t="str">
        <f>IF(ROW()-ROW($B$8)&gt;nComp,"",ROW()-ROW($B$8))</f>
        <v/>
      </c>
      <c r="C1624" t="str">
        <f>IF($N1624="","",INDEX('_calc'!$A$2:$A$3001,$N1624))</f>
        <v/>
      </c>
      <c r="D1624" s="25" t="str">
        <f>IF($N1624="","",INDEX('_calc'!$C$2:$C$3001,$N1624))</f>
        <v/>
      </c>
      <c r="E1624" s="25" t="str">
        <f>IF($N1624="","",INDEX('_calc'!$D$2:$D$3001,$N1624))</f>
        <v/>
      </c>
      <c r="F1624" s="26" t="str">
        <f>IF($N1624="","",IF($E$8=0,"",E1624/$E$8))</f>
        <v/>
      </c>
      <c r="G1624" s="25" t="str">
        <f>IF($N1624="","",INDEX('_calc'!$E$2:$E$3001,$N1624))</f>
        <v/>
      </c>
      <c r="H1624" s="25" t="str">
        <f>IF($N1624="","",INDEX('_calc'!$F$2:$F$3001,$N1624))</f>
        <v/>
      </c>
      <c r="I1624" s="27" t="str">
        <f>IF($N1624="","",INDEX('_calc'!$H$2:$H$3001,$N1624))</f>
        <v/>
      </c>
      <c r="J1624" s="27" t="str">
        <f>IF($N1624="","",INDEX('_calc'!$I$2:$I$3001,$N1624))</f>
        <v/>
      </c>
      <c r="K1624" s="28" t="str">
        <f>IF($N1624="","",IF(OR(I1624="",J1624=""),"",J1624-I1624))</f>
        <v/>
      </c>
      <c r="L1624" s="29" t="str">
        <f>IF($N1624="","",INDEX('_calc'!$J$2:$J$3001,$N1624))</f>
        <v/>
      </c>
      <c r="M1624" s="2" t="str">
        <f>IF($N1624="","",IF(AND(G1624=0,H1624=0),"수량 없음",IF(G1624=0,"신규 (전년 수량 없음)",IF(H1624=0,"당해 수량 없음",""))))</f>
        <v/>
      </c>
      <c r="N1624" t="str">
        <f>IF($B1624="","",MATCH($B1624,'_calc'!$L$2:$L$3001,0))</f>
        <v/>
      </c>
    </row>
    <row r="1625">
      <c r="B1625" s="24" t="str">
        <f>IF(ROW()-ROW($B$8)&gt;nComp,"",ROW()-ROW($B$8))</f>
        <v/>
      </c>
      <c r="C1625" t="str">
        <f>IF($N1625="","",INDEX('_calc'!$A$2:$A$3001,$N1625))</f>
        <v/>
      </c>
      <c r="D1625" s="25" t="str">
        <f>IF($N1625="","",INDEX('_calc'!$C$2:$C$3001,$N1625))</f>
        <v/>
      </c>
      <c r="E1625" s="25" t="str">
        <f>IF($N1625="","",INDEX('_calc'!$D$2:$D$3001,$N1625))</f>
        <v/>
      </c>
      <c r="F1625" s="26" t="str">
        <f>IF($N1625="","",IF($E$8=0,"",E1625/$E$8))</f>
        <v/>
      </c>
      <c r="G1625" s="25" t="str">
        <f>IF($N1625="","",INDEX('_calc'!$E$2:$E$3001,$N1625))</f>
        <v/>
      </c>
      <c r="H1625" s="25" t="str">
        <f>IF($N1625="","",INDEX('_calc'!$F$2:$F$3001,$N1625))</f>
        <v/>
      </c>
      <c r="I1625" s="27" t="str">
        <f>IF($N1625="","",INDEX('_calc'!$H$2:$H$3001,$N1625))</f>
        <v/>
      </c>
      <c r="J1625" s="27" t="str">
        <f>IF($N1625="","",INDEX('_calc'!$I$2:$I$3001,$N1625))</f>
        <v/>
      </c>
      <c r="K1625" s="28" t="str">
        <f>IF($N1625="","",IF(OR(I1625="",J1625=""),"",J1625-I1625))</f>
        <v/>
      </c>
      <c r="L1625" s="29" t="str">
        <f>IF($N1625="","",INDEX('_calc'!$J$2:$J$3001,$N1625))</f>
        <v/>
      </c>
      <c r="M1625" s="2" t="str">
        <f>IF($N1625="","",IF(AND(G1625=0,H1625=0),"수량 없음",IF(G1625=0,"신규 (전년 수량 없음)",IF(H1625=0,"당해 수량 없음",""))))</f>
        <v/>
      </c>
      <c r="N1625" t="str">
        <f>IF($B1625="","",MATCH($B1625,'_calc'!$L$2:$L$3001,0))</f>
        <v/>
      </c>
    </row>
    <row r="1626">
      <c r="B1626" s="24" t="str">
        <f>IF(ROW()-ROW($B$8)&gt;nComp,"",ROW()-ROW($B$8))</f>
        <v/>
      </c>
      <c r="C1626" t="str">
        <f>IF($N1626="","",INDEX('_calc'!$A$2:$A$3001,$N1626))</f>
        <v/>
      </c>
      <c r="D1626" s="25" t="str">
        <f>IF($N1626="","",INDEX('_calc'!$C$2:$C$3001,$N1626))</f>
        <v/>
      </c>
      <c r="E1626" s="25" t="str">
        <f>IF($N1626="","",INDEX('_calc'!$D$2:$D$3001,$N1626))</f>
        <v/>
      </c>
      <c r="F1626" s="26" t="str">
        <f>IF($N1626="","",IF($E$8=0,"",E1626/$E$8))</f>
        <v/>
      </c>
      <c r="G1626" s="25" t="str">
        <f>IF($N1626="","",INDEX('_calc'!$E$2:$E$3001,$N1626))</f>
        <v/>
      </c>
      <c r="H1626" s="25" t="str">
        <f>IF($N1626="","",INDEX('_calc'!$F$2:$F$3001,$N1626))</f>
        <v/>
      </c>
      <c r="I1626" s="27" t="str">
        <f>IF($N1626="","",INDEX('_calc'!$H$2:$H$3001,$N1626))</f>
        <v/>
      </c>
      <c r="J1626" s="27" t="str">
        <f>IF($N1626="","",INDEX('_calc'!$I$2:$I$3001,$N1626))</f>
        <v/>
      </c>
      <c r="K1626" s="28" t="str">
        <f>IF($N1626="","",IF(OR(I1626="",J1626=""),"",J1626-I1626))</f>
        <v/>
      </c>
      <c r="L1626" s="29" t="str">
        <f>IF($N1626="","",INDEX('_calc'!$J$2:$J$3001,$N1626))</f>
        <v/>
      </c>
      <c r="M1626" s="2" t="str">
        <f>IF($N1626="","",IF(AND(G1626=0,H1626=0),"수량 없음",IF(G1626=0,"신규 (전년 수량 없음)",IF(H1626=0,"당해 수량 없음",""))))</f>
        <v/>
      </c>
      <c r="N1626" t="str">
        <f>IF($B1626="","",MATCH($B1626,'_calc'!$L$2:$L$3001,0))</f>
        <v/>
      </c>
    </row>
    <row r="1627">
      <c r="B1627" s="24" t="str">
        <f>IF(ROW()-ROW($B$8)&gt;nComp,"",ROW()-ROW($B$8))</f>
        <v/>
      </c>
      <c r="C1627" t="str">
        <f>IF($N1627="","",INDEX('_calc'!$A$2:$A$3001,$N1627))</f>
        <v/>
      </c>
      <c r="D1627" s="25" t="str">
        <f>IF($N1627="","",INDEX('_calc'!$C$2:$C$3001,$N1627))</f>
        <v/>
      </c>
      <c r="E1627" s="25" t="str">
        <f>IF($N1627="","",INDEX('_calc'!$D$2:$D$3001,$N1627))</f>
        <v/>
      </c>
      <c r="F1627" s="26" t="str">
        <f>IF($N1627="","",IF($E$8=0,"",E1627/$E$8))</f>
        <v/>
      </c>
      <c r="G1627" s="25" t="str">
        <f>IF($N1627="","",INDEX('_calc'!$E$2:$E$3001,$N1627))</f>
        <v/>
      </c>
      <c r="H1627" s="25" t="str">
        <f>IF($N1627="","",INDEX('_calc'!$F$2:$F$3001,$N1627))</f>
        <v/>
      </c>
      <c r="I1627" s="27" t="str">
        <f>IF($N1627="","",INDEX('_calc'!$H$2:$H$3001,$N1627))</f>
        <v/>
      </c>
      <c r="J1627" s="27" t="str">
        <f>IF($N1627="","",INDEX('_calc'!$I$2:$I$3001,$N1627))</f>
        <v/>
      </c>
      <c r="K1627" s="28" t="str">
        <f>IF($N1627="","",IF(OR(I1627="",J1627=""),"",J1627-I1627))</f>
        <v/>
      </c>
      <c r="L1627" s="29" t="str">
        <f>IF($N1627="","",INDEX('_calc'!$J$2:$J$3001,$N1627))</f>
        <v/>
      </c>
      <c r="M1627" s="2" t="str">
        <f>IF($N1627="","",IF(AND(G1627=0,H1627=0),"수량 없음",IF(G1627=0,"신규 (전년 수량 없음)",IF(H1627=0,"당해 수량 없음",""))))</f>
        <v/>
      </c>
      <c r="N1627" t="str">
        <f>IF($B1627="","",MATCH($B1627,'_calc'!$L$2:$L$3001,0))</f>
        <v/>
      </c>
    </row>
    <row r="1628">
      <c r="B1628" s="24" t="str">
        <f>IF(ROW()-ROW($B$8)&gt;nComp,"",ROW()-ROW($B$8))</f>
        <v/>
      </c>
      <c r="C1628" t="str">
        <f>IF($N1628="","",INDEX('_calc'!$A$2:$A$3001,$N1628))</f>
        <v/>
      </c>
      <c r="D1628" s="25" t="str">
        <f>IF($N1628="","",INDEX('_calc'!$C$2:$C$3001,$N1628))</f>
        <v/>
      </c>
      <c r="E1628" s="25" t="str">
        <f>IF($N1628="","",INDEX('_calc'!$D$2:$D$3001,$N1628))</f>
        <v/>
      </c>
      <c r="F1628" s="26" t="str">
        <f>IF($N1628="","",IF($E$8=0,"",E1628/$E$8))</f>
        <v/>
      </c>
      <c r="G1628" s="25" t="str">
        <f>IF($N1628="","",INDEX('_calc'!$E$2:$E$3001,$N1628))</f>
        <v/>
      </c>
      <c r="H1628" s="25" t="str">
        <f>IF($N1628="","",INDEX('_calc'!$F$2:$F$3001,$N1628))</f>
        <v/>
      </c>
      <c r="I1628" s="27" t="str">
        <f>IF($N1628="","",INDEX('_calc'!$H$2:$H$3001,$N1628))</f>
        <v/>
      </c>
      <c r="J1628" s="27" t="str">
        <f>IF($N1628="","",INDEX('_calc'!$I$2:$I$3001,$N1628))</f>
        <v/>
      </c>
      <c r="K1628" s="28" t="str">
        <f>IF($N1628="","",IF(OR(I1628="",J1628=""),"",J1628-I1628))</f>
        <v/>
      </c>
      <c r="L1628" s="29" t="str">
        <f>IF($N1628="","",INDEX('_calc'!$J$2:$J$3001,$N1628))</f>
        <v/>
      </c>
      <c r="M1628" s="2" t="str">
        <f>IF($N1628="","",IF(AND(G1628=0,H1628=0),"수량 없음",IF(G1628=0,"신규 (전년 수량 없음)",IF(H1628=0,"당해 수량 없음",""))))</f>
        <v/>
      </c>
      <c r="N1628" t="str">
        <f>IF($B1628="","",MATCH($B1628,'_calc'!$L$2:$L$3001,0))</f>
        <v/>
      </c>
    </row>
    <row r="1629">
      <c r="B1629" s="24" t="str">
        <f>IF(ROW()-ROW($B$8)&gt;nComp,"",ROW()-ROW($B$8))</f>
        <v/>
      </c>
      <c r="C1629" t="str">
        <f>IF($N1629="","",INDEX('_calc'!$A$2:$A$3001,$N1629))</f>
        <v/>
      </c>
      <c r="D1629" s="25" t="str">
        <f>IF($N1629="","",INDEX('_calc'!$C$2:$C$3001,$N1629))</f>
        <v/>
      </c>
      <c r="E1629" s="25" t="str">
        <f>IF($N1629="","",INDEX('_calc'!$D$2:$D$3001,$N1629))</f>
        <v/>
      </c>
      <c r="F1629" s="26" t="str">
        <f>IF($N1629="","",IF($E$8=0,"",E1629/$E$8))</f>
        <v/>
      </c>
      <c r="G1629" s="25" t="str">
        <f>IF($N1629="","",INDEX('_calc'!$E$2:$E$3001,$N1629))</f>
        <v/>
      </c>
      <c r="H1629" s="25" t="str">
        <f>IF($N1629="","",INDEX('_calc'!$F$2:$F$3001,$N1629))</f>
        <v/>
      </c>
      <c r="I1629" s="27" t="str">
        <f>IF($N1629="","",INDEX('_calc'!$H$2:$H$3001,$N1629))</f>
        <v/>
      </c>
      <c r="J1629" s="27" t="str">
        <f>IF($N1629="","",INDEX('_calc'!$I$2:$I$3001,$N1629))</f>
        <v/>
      </c>
      <c r="K1629" s="28" t="str">
        <f>IF($N1629="","",IF(OR(I1629="",J1629=""),"",J1629-I1629))</f>
        <v/>
      </c>
      <c r="L1629" s="29" t="str">
        <f>IF($N1629="","",INDEX('_calc'!$J$2:$J$3001,$N1629))</f>
        <v/>
      </c>
      <c r="M1629" s="2" t="str">
        <f>IF($N1629="","",IF(AND(G1629=0,H1629=0),"수량 없음",IF(G1629=0,"신규 (전년 수량 없음)",IF(H1629=0,"당해 수량 없음",""))))</f>
        <v/>
      </c>
      <c r="N1629" t="str">
        <f>IF($B1629="","",MATCH($B1629,'_calc'!$L$2:$L$3001,0))</f>
        <v/>
      </c>
    </row>
    <row r="1630">
      <c r="B1630" s="24" t="str">
        <f>IF(ROW()-ROW($B$8)&gt;nComp,"",ROW()-ROW($B$8))</f>
        <v/>
      </c>
      <c r="C1630" t="str">
        <f>IF($N1630="","",INDEX('_calc'!$A$2:$A$3001,$N1630))</f>
        <v/>
      </c>
      <c r="D1630" s="25" t="str">
        <f>IF($N1630="","",INDEX('_calc'!$C$2:$C$3001,$N1630))</f>
        <v/>
      </c>
      <c r="E1630" s="25" t="str">
        <f>IF($N1630="","",INDEX('_calc'!$D$2:$D$3001,$N1630))</f>
        <v/>
      </c>
      <c r="F1630" s="26" t="str">
        <f>IF($N1630="","",IF($E$8=0,"",E1630/$E$8))</f>
        <v/>
      </c>
      <c r="G1630" s="25" t="str">
        <f>IF($N1630="","",INDEX('_calc'!$E$2:$E$3001,$N1630))</f>
        <v/>
      </c>
      <c r="H1630" s="25" t="str">
        <f>IF($N1630="","",INDEX('_calc'!$F$2:$F$3001,$N1630))</f>
        <v/>
      </c>
      <c r="I1630" s="27" t="str">
        <f>IF($N1630="","",INDEX('_calc'!$H$2:$H$3001,$N1630))</f>
        <v/>
      </c>
      <c r="J1630" s="27" t="str">
        <f>IF($N1630="","",INDEX('_calc'!$I$2:$I$3001,$N1630))</f>
        <v/>
      </c>
      <c r="K1630" s="28" t="str">
        <f>IF($N1630="","",IF(OR(I1630="",J1630=""),"",J1630-I1630))</f>
        <v/>
      </c>
      <c r="L1630" s="29" t="str">
        <f>IF($N1630="","",INDEX('_calc'!$J$2:$J$3001,$N1630))</f>
        <v/>
      </c>
      <c r="M1630" s="2" t="str">
        <f>IF($N1630="","",IF(AND(G1630=0,H1630=0),"수량 없음",IF(G1630=0,"신규 (전년 수량 없음)",IF(H1630=0,"당해 수량 없음",""))))</f>
        <v/>
      </c>
      <c r="N1630" t="str">
        <f>IF($B1630="","",MATCH($B1630,'_calc'!$L$2:$L$3001,0))</f>
        <v/>
      </c>
    </row>
    <row r="1631">
      <c r="B1631" s="24" t="str">
        <f>IF(ROW()-ROW($B$8)&gt;nComp,"",ROW()-ROW($B$8))</f>
        <v/>
      </c>
      <c r="C1631" t="str">
        <f>IF($N1631="","",INDEX('_calc'!$A$2:$A$3001,$N1631))</f>
        <v/>
      </c>
      <c r="D1631" s="25" t="str">
        <f>IF($N1631="","",INDEX('_calc'!$C$2:$C$3001,$N1631))</f>
        <v/>
      </c>
      <c r="E1631" s="25" t="str">
        <f>IF($N1631="","",INDEX('_calc'!$D$2:$D$3001,$N1631))</f>
        <v/>
      </c>
      <c r="F1631" s="26" t="str">
        <f>IF($N1631="","",IF($E$8=0,"",E1631/$E$8))</f>
        <v/>
      </c>
      <c r="G1631" s="25" t="str">
        <f>IF($N1631="","",INDEX('_calc'!$E$2:$E$3001,$N1631))</f>
        <v/>
      </c>
      <c r="H1631" s="25" t="str">
        <f>IF($N1631="","",INDEX('_calc'!$F$2:$F$3001,$N1631))</f>
        <v/>
      </c>
      <c r="I1631" s="27" t="str">
        <f>IF($N1631="","",INDEX('_calc'!$H$2:$H$3001,$N1631))</f>
        <v/>
      </c>
      <c r="J1631" s="27" t="str">
        <f>IF($N1631="","",INDEX('_calc'!$I$2:$I$3001,$N1631))</f>
        <v/>
      </c>
      <c r="K1631" s="28" t="str">
        <f>IF($N1631="","",IF(OR(I1631="",J1631=""),"",J1631-I1631))</f>
        <v/>
      </c>
      <c r="L1631" s="29" t="str">
        <f>IF($N1631="","",INDEX('_calc'!$J$2:$J$3001,$N1631))</f>
        <v/>
      </c>
      <c r="M1631" s="2" t="str">
        <f>IF($N1631="","",IF(AND(G1631=0,H1631=0),"수량 없음",IF(G1631=0,"신규 (전년 수량 없음)",IF(H1631=0,"당해 수량 없음",""))))</f>
        <v/>
      </c>
      <c r="N1631" t="str">
        <f>IF($B1631="","",MATCH($B1631,'_calc'!$L$2:$L$3001,0))</f>
        <v/>
      </c>
    </row>
    <row r="1632">
      <c r="B1632" s="24" t="str">
        <f>IF(ROW()-ROW($B$8)&gt;nComp,"",ROW()-ROW($B$8))</f>
        <v/>
      </c>
      <c r="C1632" t="str">
        <f>IF($N1632="","",INDEX('_calc'!$A$2:$A$3001,$N1632))</f>
        <v/>
      </c>
      <c r="D1632" s="25" t="str">
        <f>IF($N1632="","",INDEX('_calc'!$C$2:$C$3001,$N1632))</f>
        <v/>
      </c>
      <c r="E1632" s="25" t="str">
        <f>IF($N1632="","",INDEX('_calc'!$D$2:$D$3001,$N1632))</f>
        <v/>
      </c>
      <c r="F1632" s="26" t="str">
        <f>IF($N1632="","",IF($E$8=0,"",E1632/$E$8))</f>
        <v/>
      </c>
      <c r="G1632" s="25" t="str">
        <f>IF($N1632="","",INDEX('_calc'!$E$2:$E$3001,$N1632))</f>
        <v/>
      </c>
      <c r="H1632" s="25" t="str">
        <f>IF($N1632="","",INDEX('_calc'!$F$2:$F$3001,$N1632))</f>
        <v/>
      </c>
      <c r="I1632" s="27" t="str">
        <f>IF($N1632="","",INDEX('_calc'!$H$2:$H$3001,$N1632))</f>
        <v/>
      </c>
      <c r="J1632" s="27" t="str">
        <f>IF($N1632="","",INDEX('_calc'!$I$2:$I$3001,$N1632))</f>
        <v/>
      </c>
      <c r="K1632" s="28" t="str">
        <f>IF($N1632="","",IF(OR(I1632="",J1632=""),"",J1632-I1632))</f>
        <v/>
      </c>
      <c r="L1632" s="29" t="str">
        <f>IF($N1632="","",INDEX('_calc'!$J$2:$J$3001,$N1632))</f>
        <v/>
      </c>
      <c r="M1632" s="2" t="str">
        <f>IF($N1632="","",IF(AND(G1632=0,H1632=0),"수량 없음",IF(G1632=0,"신규 (전년 수량 없음)",IF(H1632=0,"당해 수량 없음",""))))</f>
        <v/>
      </c>
      <c r="N1632" t="str">
        <f>IF($B1632="","",MATCH($B1632,'_calc'!$L$2:$L$3001,0))</f>
        <v/>
      </c>
    </row>
    <row r="1633">
      <c r="B1633" s="24" t="str">
        <f>IF(ROW()-ROW($B$8)&gt;nComp,"",ROW()-ROW($B$8))</f>
        <v/>
      </c>
      <c r="C1633" t="str">
        <f>IF($N1633="","",INDEX('_calc'!$A$2:$A$3001,$N1633))</f>
        <v/>
      </c>
      <c r="D1633" s="25" t="str">
        <f>IF($N1633="","",INDEX('_calc'!$C$2:$C$3001,$N1633))</f>
        <v/>
      </c>
      <c r="E1633" s="25" t="str">
        <f>IF($N1633="","",INDEX('_calc'!$D$2:$D$3001,$N1633))</f>
        <v/>
      </c>
      <c r="F1633" s="26" t="str">
        <f>IF($N1633="","",IF($E$8=0,"",E1633/$E$8))</f>
        <v/>
      </c>
      <c r="G1633" s="25" t="str">
        <f>IF($N1633="","",INDEX('_calc'!$E$2:$E$3001,$N1633))</f>
        <v/>
      </c>
      <c r="H1633" s="25" t="str">
        <f>IF($N1633="","",INDEX('_calc'!$F$2:$F$3001,$N1633))</f>
        <v/>
      </c>
      <c r="I1633" s="27" t="str">
        <f>IF($N1633="","",INDEX('_calc'!$H$2:$H$3001,$N1633))</f>
        <v/>
      </c>
      <c r="J1633" s="27" t="str">
        <f>IF($N1633="","",INDEX('_calc'!$I$2:$I$3001,$N1633))</f>
        <v/>
      </c>
      <c r="K1633" s="28" t="str">
        <f>IF($N1633="","",IF(OR(I1633="",J1633=""),"",J1633-I1633))</f>
        <v/>
      </c>
      <c r="L1633" s="29" t="str">
        <f>IF($N1633="","",INDEX('_calc'!$J$2:$J$3001,$N1633))</f>
        <v/>
      </c>
      <c r="M1633" s="2" t="str">
        <f>IF($N1633="","",IF(AND(G1633=0,H1633=0),"수량 없음",IF(G1633=0,"신규 (전년 수량 없음)",IF(H1633=0,"당해 수량 없음",""))))</f>
        <v/>
      </c>
      <c r="N1633" t="str">
        <f>IF($B1633="","",MATCH($B1633,'_calc'!$L$2:$L$3001,0))</f>
        <v/>
      </c>
    </row>
    <row r="1634">
      <c r="B1634" s="24" t="str">
        <f>IF(ROW()-ROW($B$8)&gt;nComp,"",ROW()-ROW($B$8))</f>
        <v/>
      </c>
      <c r="C1634" t="str">
        <f>IF($N1634="","",INDEX('_calc'!$A$2:$A$3001,$N1634))</f>
        <v/>
      </c>
      <c r="D1634" s="25" t="str">
        <f>IF($N1634="","",INDEX('_calc'!$C$2:$C$3001,$N1634))</f>
        <v/>
      </c>
      <c r="E1634" s="25" t="str">
        <f>IF($N1634="","",INDEX('_calc'!$D$2:$D$3001,$N1634))</f>
        <v/>
      </c>
      <c r="F1634" s="26" t="str">
        <f>IF($N1634="","",IF($E$8=0,"",E1634/$E$8))</f>
        <v/>
      </c>
      <c r="G1634" s="25" t="str">
        <f>IF($N1634="","",INDEX('_calc'!$E$2:$E$3001,$N1634))</f>
        <v/>
      </c>
      <c r="H1634" s="25" t="str">
        <f>IF($N1634="","",INDEX('_calc'!$F$2:$F$3001,$N1634))</f>
        <v/>
      </c>
      <c r="I1634" s="27" t="str">
        <f>IF($N1634="","",INDEX('_calc'!$H$2:$H$3001,$N1634))</f>
        <v/>
      </c>
      <c r="J1634" s="27" t="str">
        <f>IF($N1634="","",INDEX('_calc'!$I$2:$I$3001,$N1634))</f>
        <v/>
      </c>
      <c r="K1634" s="28" t="str">
        <f>IF($N1634="","",IF(OR(I1634="",J1634=""),"",J1634-I1634))</f>
        <v/>
      </c>
      <c r="L1634" s="29" t="str">
        <f>IF($N1634="","",INDEX('_calc'!$J$2:$J$3001,$N1634))</f>
        <v/>
      </c>
      <c r="M1634" s="2" t="str">
        <f>IF($N1634="","",IF(AND(G1634=0,H1634=0),"수량 없음",IF(G1634=0,"신규 (전년 수량 없음)",IF(H1634=0,"당해 수량 없음",""))))</f>
        <v/>
      </c>
      <c r="N1634" t="str">
        <f>IF($B1634="","",MATCH($B1634,'_calc'!$L$2:$L$3001,0))</f>
        <v/>
      </c>
    </row>
    <row r="1635">
      <c r="B1635" s="24" t="str">
        <f>IF(ROW()-ROW($B$8)&gt;nComp,"",ROW()-ROW($B$8))</f>
        <v/>
      </c>
      <c r="C1635" t="str">
        <f>IF($N1635="","",INDEX('_calc'!$A$2:$A$3001,$N1635))</f>
        <v/>
      </c>
      <c r="D1635" s="25" t="str">
        <f>IF($N1635="","",INDEX('_calc'!$C$2:$C$3001,$N1635))</f>
        <v/>
      </c>
      <c r="E1635" s="25" t="str">
        <f>IF($N1635="","",INDEX('_calc'!$D$2:$D$3001,$N1635))</f>
        <v/>
      </c>
      <c r="F1635" s="26" t="str">
        <f>IF($N1635="","",IF($E$8=0,"",E1635/$E$8))</f>
        <v/>
      </c>
      <c r="G1635" s="25" t="str">
        <f>IF($N1635="","",INDEX('_calc'!$E$2:$E$3001,$N1635))</f>
        <v/>
      </c>
      <c r="H1635" s="25" t="str">
        <f>IF($N1635="","",INDEX('_calc'!$F$2:$F$3001,$N1635))</f>
        <v/>
      </c>
      <c r="I1635" s="27" t="str">
        <f>IF($N1635="","",INDEX('_calc'!$H$2:$H$3001,$N1635))</f>
        <v/>
      </c>
      <c r="J1635" s="27" t="str">
        <f>IF($N1635="","",INDEX('_calc'!$I$2:$I$3001,$N1635))</f>
        <v/>
      </c>
      <c r="K1635" s="28" t="str">
        <f>IF($N1635="","",IF(OR(I1635="",J1635=""),"",J1635-I1635))</f>
        <v/>
      </c>
      <c r="L1635" s="29" t="str">
        <f>IF($N1635="","",INDEX('_calc'!$J$2:$J$3001,$N1635))</f>
        <v/>
      </c>
      <c r="M1635" s="2" t="str">
        <f>IF($N1635="","",IF(AND(G1635=0,H1635=0),"수량 없음",IF(G1635=0,"신규 (전년 수량 없음)",IF(H1635=0,"당해 수량 없음",""))))</f>
        <v/>
      </c>
      <c r="N1635" t="str">
        <f>IF($B1635="","",MATCH($B1635,'_calc'!$L$2:$L$3001,0))</f>
        <v/>
      </c>
    </row>
    <row r="1636">
      <c r="B1636" s="24" t="str">
        <f>IF(ROW()-ROW($B$8)&gt;nComp,"",ROW()-ROW($B$8))</f>
        <v/>
      </c>
      <c r="C1636" t="str">
        <f>IF($N1636="","",INDEX('_calc'!$A$2:$A$3001,$N1636))</f>
        <v/>
      </c>
      <c r="D1636" s="25" t="str">
        <f>IF($N1636="","",INDEX('_calc'!$C$2:$C$3001,$N1636))</f>
        <v/>
      </c>
      <c r="E1636" s="25" t="str">
        <f>IF($N1636="","",INDEX('_calc'!$D$2:$D$3001,$N1636))</f>
        <v/>
      </c>
      <c r="F1636" s="26" t="str">
        <f>IF($N1636="","",IF($E$8=0,"",E1636/$E$8))</f>
        <v/>
      </c>
      <c r="G1636" s="25" t="str">
        <f>IF($N1636="","",INDEX('_calc'!$E$2:$E$3001,$N1636))</f>
        <v/>
      </c>
      <c r="H1636" s="25" t="str">
        <f>IF($N1636="","",INDEX('_calc'!$F$2:$F$3001,$N1636))</f>
        <v/>
      </c>
      <c r="I1636" s="27" t="str">
        <f>IF($N1636="","",INDEX('_calc'!$H$2:$H$3001,$N1636))</f>
        <v/>
      </c>
      <c r="J1636" s="27" t="str">
        <f>IF($N1636="","",INDEX('_calc'!$I$2:$I$3001,$N1636))</f>
        <v/>
      </c>
      <c r="K1636" s="28" t="str">
        <f>IF($N1636="","",IF(OR(I1636="",J1636=""),"",J1636-I1636))</f>
        <v/>
      </c>
      <c r="L1636" s="29" t="str">
        <f>IF($N1636="","",INDEX('_calc'!$J$2:$J$3001,$N1636))</f>
        <v/>
      </c>
      <c r="M1636" s="2" t="str">
        <f>IF($N1636="","",IF(AND(G1636=0,H1636=0),"수량 없음",IF(G1636=0,"신규 (전년 수량 없음)",IF(H1636=0,"당해 수량 없음",""))))</f>
        <v/>
      </c>
      <c r="N1636" t="str">
        <f>IF($B1636="","",MATCH($B1636,'_calc'!$L$2:$L$3001,0))</f>
        <v/>
      </c>
    </row>
    <row r="1637">
      <c r="B1637" s="24" t="str">
        <f>IF(ROW()-ROW($B$8)&gt;nComp,"",ROW()-ROW($B$8))</f>
        <v/>
      </c>
      <c r="C1637" t="str">
        <f>IF($N1637="","",INDEX('_calc'!$A$2:$A$3001,$N1637))</f>
        <v/>
      </c>
      <c r="D1637" s="25" t="str">
        <f>IF($N1637="","",INDEX('_calc'!$C$2:$C$3001,$N1637))</f>
        <v/>
      </c>
      <c r="E1637" s="25" t="str">
        <f>IF($N1637="","",INDEX('_calc'!$D$2:$D$3001,$N1637))</f>
        <v/>
      </c>
      <c r="F1637" s="26" t="str">
        <f>IF($N1637="","",IF($E$8=0,"",E1637/$E$8))</f>
        <v/>
      </c>
      <c r="G1637" s="25" t="str">
        <f>IF($N1637="","",INDEX('_calc'!$E$2:$E$3001,$N1637))</f>
        <v/>
      </c>
      <c r="H1637" s="25" t="str">
        <f>IF($N1637="","",INDEX('_calc'!$F$2:$F$3001,$N1637))</f>
        <v/>
      </c>
      <c r="I1637" s="27" t="str">
        <f>IF($N1637="","",INDEX('_calc'!$H$2:$H$3001,$N1637))</f>
        <v/>
      </c>
      <c r="J1637" s="27" t="str">
        <f>IF($N1637="","",INDEX('_calc'!$I$2:$I$3001,$N1637))</f>
        <v/>
      </c>
      <c r="K1637" s="28" t="str">
        <f>IF($N1637="","",IF(OR(I1637="",J1637=""),"",J1637-I1637))</f>
        <v/>
      </c>
      <c r="L1637" s="29" t="str">
        <f>IF($N1637="","",INDEX('_calc'!$J$2:$J$3001,$N1637))</f>
        <v/>
      </c>
      <c r="M1637" s="2" t="str">
        <f>IF($N1637="","",IF(AND(G1637=0,H1637=0),"수량 없음",IF(G1637=0,"신규 (전년 수량 없음)",IF(H1637=0,"당해 수량 없음",""))))</f>
        <v/>
      </c>
      <c r="N1637" t="str">
        <f>IF($B1637="","",MATCH($B1637,'_calc'!$L$2:$L$3001,0))</f>
        <v/>
      </c>
    </row>
    <row r="1638">
      <c r="B1638" s="24" t="str">
        <f>IF(ROW()-ROW($B$8)&gt;nComp,"",ROW()-ROW($B$8))</f>
        <v/>
      </c>
      <c r="C1638" t="str">
        <f>IF($N1638="","",INDEX('_calc'!$A$2:$A$3001,$N1638))</f>
        <v/>
      </c>
      <c r="D1638" s="25" t="str">
        <f>IF($N1638="","",INDEX('_calc'!$C$2:$C$3001,$N1638))</f>
        <v/>
      </c>
      <c r="E1638" s="25" t="str">
        <f>IF($N1638="","",INDEX('_calc'!$D$2:$D$3001,$N1638))</f>
        <v/>
      </c>
      <c r="F1638" s="26" t="str">
        <f>IF($N1638="","",IF($E$8=0,"",E1638/$E$8))</f>
        <v/>
      </c>
      <c r="G1638" s="25" t="str">
        <f>IF($N1638="","",INDEX('_calc'!$E$2:$E$3001,$N1638))</f>
        <v/>
      </c>
      <c r="H1638" s="25" t="str">
        <f>IF($N1638="","",INDEX('_calc'!$F$2:$F$3001,$N1638))</f>
        <v/>
      </c>
      <c r="I1638" s="27" t="str">
        <f>IF($N1638="","",INDEX('_calc'!$H$2:$H$3001,$N1638))</f>
        <v/>
      </c>
      <c r="J1638" s="27" t="str">
        <f>IF($N1638="","",INDEX('_calc'!$I$2:$I$3001,$N1638))</f>
        <v/>
      </c>
      <c r="K1638" s="28" t="str">
        <f>IF($N1638="","",IF(OR(I1638="",J1638=""),"",J1638-I1638))</f>
        <v/>
      </c>
      <c r="L1638" s="29" t="str">
        <f>IF($N1638="","",INDEX('_calc'!$J$2:$J$3001,$N1638))</f>
        <v/>
      </c>
      <c r="M1638" s="2" t="str">
        <f>IF($N1638="","",IF(AND(G1638=0,H1638=0),"수량 없음",IF(G1638=0,"신규 (전년 수량 없음)",IF(H1638=0,"당해 수량 없음",""))))</f>
        <v/>
      </c>
      <c r="N1638" t="str">
        <f>IF($B1638="","",MATCH($B1638,'_calc'!$L$2:$L$3001,0))</f>
        <v/>
      </c>
    </row>
    <row r="1639">
      <c r="B1639" s="24" t="str">
        <f>IF(ROW()-ROW($B$8)&gt;nComp,"",ROW()-ROW($B$8))</f>
        <v/>
      </c>
      <c r="C1639" t="str">
        <f>IF($N1639="","",INDEX('_calc'!$A$2:$A$3001,$N1639))</f>
        <v/>
      </c>
      <c r="D1639" s="25" t="str">
        <f>IF($N1639="","",INDEX('_calc'!$C$2:$C$3001,$N1639))</f>
        <v/>
      </c>
      <c r="E1639" s="25" t="str">
        <f>IF($N1639="","",INDEX('_calc'!$D$2:$D$3001,$N1639))</f>
        <v/>
      </c>
      <c r="F1639" s="26" t="str">
        <f>IF($N1639="","",IF($E$8=0,"",E1639/$E$8))</f>
        <v/>
      </c>
      <c r="G1639" s="25" t="str">
        <f>IF($N1639="","",INDEX('_calc'!$E$2:$E$3001,$N1639))</f>
        <v/>
      </c>
      <c r="H1639" s="25" t="str">
        <f>IF($N1639="","",INDEX('_calc'!$F$2:$F$3001,$N1639))</f>
        <v/>
      </c>
      <c r="I1639" s="27" t="str">
        <f>IF($N1639="","",INDEX('_calc'!$H$2:$H$3001,$N1639))</f>
        <v/>
      </c>
      <c r="J1639" s="27" t="str">
        <f>IF($N1639="","",INDEX('_calc'!$I$2:$I$3001,$N1639))</f>
        <v/>
      </c>
      <c r="K1639" s="28" t="str">
        <f>IF($N1639="","",IF(OR(I1639="",J1639=""),"",J1639-I1639))</f>
        <v/>
      </c>
      <c r="L1639" s="29" t="str">
        <f>IF($N1639="","",INDEX('_calc'!$J$2:$J$3001,$N1639))</f>
        <v/>
      </c>
      <c r="M1639" s="2" t="str">
        <f>IF($N1639="","",IF(AND(G1639=0,H1639=0),"수량 없음",IF(G1639=0,"신규 (전년 수량 없음)",IF(H1639=0,"당해 수량 없음",""))))</f>
        <v/>
      </c>
      <c r="N1639" t="str">
        <f>IF($B1639="","",MATCH($B1639,'_calc'!$L$2:$L$3001,0))</f>
        <v/>
      </c>
    </row>
    <row r="1640">
      <c r="B1640" s="24" t="str">
        <f>IF(ROW()-ROW($B$8)&gt;nComp,"",ROW()-ROW($B$8))</f>
        <v/>
      </c>
      <c r="C1640" t="str">
        <f>IF($N1640="","",INDEX('_calc'!$A$2:$A$3001,$N1640))</f>
        <v/>
      </c>
      <c r="D1640" s="25" t="str">
        <f>IF($N1640="","",INDEX('_calc'!$C$2:$C$3001,$N1640))</f>
        <v/>
      </c>
      <c r="E1640" s="25" t="str">
        <f>IF($N1640="","",INDEX('_calc'!$D$2:$D$3001,$N1640))</f>
        <v/>
      </c>
      <c r="F1640" s="26" t="str">
        <f>IF($N1640="","",IF($E$8=0,"",E1640/$E$8))</f>
        <v/>
      </c>
      <c r="G1640" s="25" t="str">
        <f>IF($N1640="","",INDEX('_calc'!$E$2:$E$3001,$N1640))</f>
        <v/>
      </c>
      <c r="H1640" s="25" t="str">
        <f>IF($N1640="","",INDEX('_calc'!$F$2:$F$3001,$N1640))</f>
        <v/>
      </c>
      <c r="I1640" s="27" t="str">
        <f>IF($N1640="","",INDEX('_calc'!$H$2:$H$3001,$N1640))</f>
        <v/>
      </c>
      <c r="J1640" s="27" t="str">
        <f>IF($N1640="","",INDEX('_calc'!$I$2:$I$3001,$N1640))</f>
        <v/>
      </c>
      <c r="K1640" s="28" t="str">
        <f>IF($N1640="","",IF(OR(I1640="",J1640=""),"",J1640-I1640))</f>
        <v/>
      </c>
      <c r="L1640" s="29" t="str">
        <f>IF($N1640="","",INDEX('_calc'!$J$2:$J$3001,$N1640))</f>
        <v/>
      </c>
      <c r="M1640" s="2" t="str">
        <f>IF($N1640="","",IF(AND(G1640=0,H1640=0),"수량 없음",IF(G1640=0,"신규 (전년 수량 없음)",IF(H1640=0,"당해 수량 없음",""))))</f>
        <v/>
      </c>
      <c r="N1640" t="str">
        <f>IF($B1640="","",MATCH($B1640,'_calc'!$L$2:$L$3001,0))</f>
        <v/>
      </c>
    </row>
    <row r="1641">
      <c r="B1641" s="24" t="str">
        <f>IF(ROW()-ROW($B$8)&gt;nComp,"",ROW()-ROW($B$8))</f>
        <v/>
      </c>
      <c r="C1641" t="str">
        <f>IF($N1641="","",INDEX('_calc'!$A$2:$A$3001,$N1641))</f>
        <v/>
      </c>
      <c r="D1641" s="25" t="str">
        <f>IF($N1641="","",INDEX('_calc'!$C$2:$C$3001,$N1641))</f>
        <v/>
      </c>
      <c r="E1641" s="25" t="str">
        <f>IF($N1641="","",INDEX('_calc'!$D$2:$D$3001,$N1641))</f>
        <v/>
      </c>
      <c r="F1641" s="26" t="str">
        <f>IF($N1641="","",IF($E$8=0,"",E1641/$E$8))</f>
        <v/>
      </c>
      <c r="G1641" s="25" t="str">
        <f>IF($N1641="","",INDEX('_calc'!$E$2:$E$3001,$N1641))</f>
        <v/>
      </c>
      <c r="H1641" s="25" t="str">
        <f>IF($N1641="","",INDEX('_calc'!$F$2:$F$3001,$N1641))</f>
        <v/>
      </c>
      <c r="I1641" s="27" t="str">
        <f>IF($N1641="","",INDEX('_calc'!$H$2:$H$3001,$N1641))</f>
        <v/>
      </c>
      <c r="J1641" s="27" t="str">
        <f>IF($N1641="","",INDEX('_calc'!$I$2:$I$3001,$N1641))</f>
        <v/>
      </c>
      <c r="K1641" s="28" t="str">
        <f>IF($N1641="","",IF(OR(I1641="",J1641=""),"",J1641-I1641))</f>
        <v/>
      </c>
      <c r="L1641" s="29" t="str">
        <f>IF($N1641="","",INDEX('_calc'!$J$2:$J$3001,$N1641))</f>
        <v/>
      </c>
      <c r="M1641" s="2" t="str">
        <f>IF($N1641="","",IF(AND(G1641=0,H1641=0),"수량 없음",IF(G1641=0,"신규 (전년 수량 없음)",IF(H1641=0,"당해 수량 없음",""))))</f>
        <v/>
      </c>
      <c r="N1641" t="str">
        <f>IF($B1641="","",MATCH($B1641,'_calc'!$L$2:$L$3001,0))</f>
        <v/>
      </c>
    </row>
    <row r="1642">
      <c r="B1642" s="24" t="str">
        <f>IF(ROW()-ROW($B$8)&gt;nComp,"",ROW()-ROW($B$8))</f>
        <v/>
      </c>
      <c r="C1642" t="str">
        <f>IF($N1642="","",INDEX('_calc'!$A$2:$A$3001,$N1642))</f>
        <v/>
      </c>
      <c r="D1642" s="25" t="str">
        <f>IF($N1642="","",INDEX('_calc'!$C$2:$C$3001,$N1642))</f>
        <v/>
      </c>
      <c r="E1642" s="25" t="str">
        <f>IF($N1642="","",INDEX('_calc'!$D$2:$D$3001,$N1642))</f>
        <v/>
      </c>
      <c r="F1642" s="26" t="str">
        <f>IF($N1642="","",IF($E$8=0,"",E1642/$E$8))</f>
        <v/>
      </c>
      <c r="G1642" s="25" t="str">
        <f>IF($N1642="","",INDEX('_calc'!$E$2:$E$3001,$N1642))</f>
        <v/>
      </c>
      <c r="H1642" s="25" t="str">
        <f>IF($N1642="","",INDEX('_calc'!$F$2:$F$3001,$N1642))</f>
        <v/>
      </c>
      <c r="I1642" s="27" t="str">
        <f>IF($N1642="","",INDEX('_calc'!$H$2:$H$3001,$N1642))</f>
        <v/>
      </c>
      <c r="J1642" s="27" t="str">
        <f>IF($N1642="","",INDEX('_calc'!$I$2:$I$3001,$N1642))</f>
        <v/>
      </c>
      <c r="K1642" s="28" t="str">
        <f>IF($N1642="","",IF(OR(I1642="",J1642=""),"",J1642-I1642))</f>
        <v/>
      </c>
      <c r="L1642" s="29" t="str">
        <f>IF($N1642="","",INDEX('_calc'!$J$2:$J$3001,$N1642))</f>
        <v/>
      </c>
      <c r="M1642" s="2" t="str">
        <f>IF($N1642="","",IF(AND(G1642=0,H1642=0),"수량 없음",IF(G1642=0,"신규 (전년 수량 없음)",IF(H1642=0,"당해 수량 없음",""))))</f>
        <v/>
      </c>
      <c r="N1642" t="str">
        <f>IF($B1642="","",MATCH($B1642,'_calc'!$L$2:$L$3001,0))</f>
        <v/>
      </c>
    </row>
    <row r="1643">
      <c r="B1643" s="24" t="str">
        <f>IF(ROW()-ROW($B$8)&gt;nComp,"",ROW()-ROW($B$8))</f>
        <v/>
      </c>
      <c r="C1643" t="str">
        <f>IF($N1643="","",INDEX('_calc'!$A$2:$A$3001,$N1643))</f>
        <v/>
      </c>
      <c r="D1643" s="25" t="str">
        <f>IF($N1643="","",INDEX('_calc'!$C$2:$C$3001,$N1643))</f>
        <v/>
      </c>
      <c r="E1643" s="25" t="str">
        <f>IF($N1643="","",INDEX('_calc'!$D$2:$D$3001,$N1643))</f>
        <v/>
      </c>
      <c r="F1643" s="26" t="str">
        <f>IF($N1643="","",IF($E$8=0,"",E1643/$E$8))</f>
        <v/>
      </c>
      <c r="G1643" s="25" t="str">
        <f>IF($N1643="","",INDEX('_calc'!$E$2:$E$3001,$N1643))</f>
        <v/>
      </c>
      <c r="H1643" s="25" t="str">
        <f>IF($N1643="","",INDEX('_calc'!$F$2:$F$3001,$N1643))</f>
        <v/>
      </c>
      <c r="I1643" s="27" t="str">
        <f>IF($N1643="","",INDEX('_calc'!$H$2:$H$3001,$N1643))</f>
        <v/>
      </c>
      <c r="J1643" s="27" t="str">
        <f>IF($N1643="","",INDEX('_calc'!$I$2:$I$3001,$N1643))</f>
        <v/>
      </c>
      <c r="K1643" s="28" t="str">
        <f>IF($N1643="","",IF(OR(I1643="",J1643=""),"",J1643-I1643))</f>
        <v/>
      </c>
      <c r="L1643" s="29" t="str">
        <f>IF($N1643="","",INDEX('_calc'!$J$2:$J$3001,$N1643))</f>
        <v/>
      </c>
      <c r="M1643" s="2" t="str">
        <f>IF($N1643="","",IF(AND(G1643=0,H1643=0),"수량 없음",IF(G1643=0,"신규 (전년 수량 없음)",IF(H1643=0,"당해 수량 없음",""))))</f>
        <v/>
      </c>
      <c r="N1643" t="str">
        <f>IF($B1643="","",MATCH($B1643,'_calc'!$L$2:$L$3001,0))</f>
        <v/>
      </c>
    </row>
    <row r="1644">
      <c r="B1644" s="24" t="str">
        <f>IF(ROW()-ROW($B$8)&gt;nComp,"",ROW()-ROW($B$8))</f>
        <v/>
      </c>
      <c r="C1644" t="str">
        <f>IF($N1644="","",INDEX('_calc'!$A$2:$A$3001,$N1644))</f>
        <v/>
      </c>
      <c r="D1644" s="25" t="str">
        <f>IF($N1644="","",INDEX('_calc'!$C$2:$C$3001,$N1644))</f>
        <v/>
      </c>
      <c r="E1644" s="25" t="str">
        <f>IF($N1644="","",INDEX('_calc'!$D$2:$D$3001,$N1644))</f>
        <v/>
      </c>
      <c r="F1644" s="26" t="str">
        <f>IF($N1644="","",IF($E$8=0,"",E1644/$E$8))</f>
        <v/>
      </c>
      <c r="G1644" s="25" t="str">
        <f>IF($N1644="","",INDEX('_calc'!$E$2:$E$3001,$N1644))</f>
        <v/>
      </c>
      <c r="H1644" s="25" t="str">
        <f>IF($N1644="","",INDEX('_calc'!$F$2:$F$3001,$N1644))</f>
        <v/>
      </c>
      <c r="I1644" s="27" t="str">
        <f>IF($N1644="","",INDEX('_calc'!$H$2:$H$3001,$N1644))</f>
        <v/>
      </c>
      <c r="J1644" s="27" t="str">
        <f>IF($N1644="","",INDEX('_calc'!$I$2:$I$3001,$N1644))</f>
        <v/>
      </c>
      <c r="K1644" s="28" t="str">
        <f>IF($N1644="","",IF(OR(I1644="",J1644=""),"",J1644-I1644))</f>
        <v/>
      </c>
      <c r="L1644" s="29" t="str">
        <f>IF($N1644="","",INDEX('_calc'!$J$2:$J$3001,$N1644))</f>
        <v/>
      </c>
      <c r="M1644" s="2" t="str">
        <f>IF($N1644="","",IF(AND(G1644=0,H1644=0),"수량 없음",IF(G1644=0,"신규 (전년 수량 없음)",IF(H1644=0,"당해 수량 없음",""))))</f>
        <v/>
      </c>
      <c r="N1644" t="str">
        <f>IF($B1644="","",MATCH($B1644,'_calc'!$L$2:$L$3001,0))</f>
        <v/>
      </c>
    </row>
    <row r="1645">
      <c r="B1645" s="24" t="str">
        <f>IF(ROW()-ROW($B$8)&gt;nComp,"",ROW()-ROW($B$8))</f>
        <v/>
      </c>
      <c r="C1645" t="str">
        <f>IF($N1645="","",INDEX('_calc'!$A$2:$A$3001,$N1645))</f>
        <v/>
      </c>
      <c r="D1645" s="25" t="str">
        <f>IF($N1645="","",INDEX('_calc'!$C$2:$C$3001,$N1645))</f>
        <v/>
      </c>
      <c r="E1645" s="25" t="str">
        <f>IF($N1645="","",INDEX('_calc'!$D$2:$D$3001,$N1645))</f>
        <v/>
      </c>
      <c r="F1645" s="26" t="str">
        <f>IF($N1645="","",IF($E$8=0,"",E1645/$E$8))</f>
        <v/>
      </c>
      <c r="G1645" s="25" t="str">
        <f>IF($N1645="","",INDEX('_calc'!$E$2:$E$3001,$N1645))</f>
        <v/>
      </c>
      <c r="H1645" s="25" t="str">
        <f>IF($N1645="","",INDEX('_calc'!$F$2:$F$3001,$N1645))</f>
        <v/>
      </c>
      <c r="I1645" s="27" t="str">
        <f>IF($N1645="","",INDEX('_calc'!$H$2:$H$3001,$N1645))</f>
        <v/>
      </c>
      <c r="J1645" s="27" t="str">
        <f>IF($N1645="","",INDEX('_calc'!$I$2:$I$3001,$N1645))</f>
        <v/>
      </c>
      <c r="K1645" s="28" t="str">
        <f>IF($N1645="","",IF(OR(I1645="",J1645=""),"",J1645-I1645))</f>
        <v/>
      </c>
      <c r="L1645" s="29" t="str">
        <f>IF($N1645="","",INDEX('_calc'!$J$2:$J$3001,$N1645))</f>
        <v/>
      </c>
      <c r="M1645" s="2" t="str">
        <f>IF($N1645="","",IF(AND(G1645=0,H1645=0),"수량 없음",IF(G1645=0,"신규 (전년 수량 없음)",IF(H1645=0,"당해 수량 없음",""))))</f>
        <v/>
      </c>
      <c r="N1645" t="str">
        <f>IF($B1645="","",MATCH($B1645,'_calc'!$L$2:$L$3001,0))</f>
        <v/>
      </c>
    </row>
    <row r="1646">
      <c r="B1646" s="24" t="str">
        <f>IF(ROW()-ROW($B$8)&gt;nComp,"",ROW()-ROW($B$8))</f>
        <v/>
      </c>
      <c r="C1646" t="str">
        <f>IF($N1646="","",INDEX('_calc'!$A$2:$A$3001,$N1646))</f>
        <v/>
      </c>
      <c r="D1646" s="25" t="str">
        <f>IF($N1646="","",INDEX('_calc'!$C$2:$C$3001,$N1646))</f>
        <v/>
      </c>
      <c r="E1646" s="25" t="str">
        <f>IF($N1646="","",INDEX('_calc'!$D$2:$D$3001,$N1646))</f>
        <v/>
      </c>
      <c r="F1646" s="26" t="str">
        <f>IF($N1646="","",IF($E$8=0,"",E1646/$E$8))</f>
        <v/>
      </c>
      <c r="G1646" s="25" t="str">
        <f>IF($N1646="","",INDEX('_calc'!$E$2:$E$3001,$N1646))</f>
        <v/>
      </c>
      <c r="H1646" s="25" t="str">
        <f>IF($N1646="","",INDEX('_calc'!$F$2:$F$3001,$N1646))</f>
        <v/>
      </c>
      <c r="I1646" s="27" t="str">
        <f>IF($N1646="","",INDEX('_calc'!$H$2:$H$3001,$N1646))</f>
        <v/>
      </c>
      <c r="J1646" s="27" t="str">
        <f>IF($N1646="","",INDEX('_calc'!$I$2:$I$3001,$N1646))</f>
        <v/>
      </c>
      <c r="K1646" s="28" t="str">
        <f>IF($N1646="","",IF(OR(I1646="",J1646=""),"",J1646-I1646))</f>
        <v/>
      </c>
      <c r="L1646" s="29" t="str">
        <f>IF($N1646="","",INDEX('_calc'!$J$2:$J$3001,$N1646))</f>
        <v/>
      </c>
      <c r="M1646" s="2" t="str">
        <f>IF($N1646="","",IF(AND(G1646=0,H1646=0),"수량 없음",IF(G1646=0,"신규 (전년 수량 없음)",IF(H1646=0,"당해 수량 없음",""))))</f>
        <v/>
      </c>
      <c r="N1646" t="str">
        <f>IF($B1646="","",MATCH($B1646,'_calc'!$L$2:$L$3001,0))</f>
        <v/>
      </c>
    </row>
    <row r="1647">
      <c r="B1647" s="24" t="str">
        <f>IF(ROW()-ROW($B$8)&gt;nComp,"",ROW()-ROW($B$8))</f>
        <v/>
      </c>
      <c r="C1647" t="str">
        <f>IF($N1647="","",INDEX('_calc'!$A$2:$A$3001,$N1647))</f>
        <v/>
      </c>
      <c r="D1647" s="25" t="str">
        <f>IF($N1647="","",INDEX('_calc'!$C$2:$C$3001,$N1647))</f>
        <v/>
      </c>
      <c r="E1647" s="25" t="str">
        <f>IF($N1647="","",INDEX('_calc'!$D$2:$D$3001,$N1647))</f>
        <v/>
      </c>
      <c r="F1647" s="26" t="str">
        <f>IF($N1647="","",IF($E$8=0,"",E1647/$E$8))</f>
        <v/>
      </c>
      <c r="G1647" s="25" t="str">
        <f>IF($N1647="","",INDEX('_calc'!$E$2:$E$3001,$N1647))</f>
        <v/>
      </c>
      <c r="H1647" s="25" t="str">
        <f>IF($N1647="","",INDEX('_calc'!$F$2:$F$3001,$N1647))</f>
        <v/>
      </c>
      <c r="I1647" s="27" t="str">
        <f>IF($N1647="","",INDEX('_calc'!$H$2:$H$3001,$N1647))</f>
        <v/>
      </c>
      <c r="J1647" s="27" t="str">
        <f>IF($N1647="","",INDEX('_calc'!$I$2:$I$3001,$N1647))</f>
        <v/>
      </c>
      <c r="K1647" s="28" t="str">
        <f>IF($N1647="","",IF(OR(I1647="",J1647=""),"",J1647-I1647))</f>
        <v/>
      </c>
      <c r="L1647" s="29" t="str">
        <f>IF($N1647="","",INDEX('_calc'!$J$2:$J$3001,$N1647))</f>
        <v/>
      </c>
      <c r="M1647" s="2" t="str">
        <f>IF($N1647="","",IF(AND(G1647=0,H1647=0),"수량 없음",IF(G1647=0,"신규 (전년 수량 없음)",IF(H1647=0,"당해 수량 없음",""))))</f>
        <v/>
      </c>
      <c r="N1647" t="str">
        <f>IF($B1647="","",MATCH($B1647,'_calc'!$L$2:$L$3001,0))</f>
        <v/>
      </c>
    </row>
    <row r="1648">
      <c r="B1648" s="24" t="str">
        <f>IF(ROW()-ROW($B$8)&gt;nComp,"",ROW()-ROW($B$8))</f>
        <v/>
      </c>
      <c r="C1648" t="str">
        <f>IF($N1648="","",INDEX('_calc'!$A$2:$A$3001,$N1648))</f>
        <v/>
      </c>
      <c r="D1648" s="25" t="str">
        <f>IF($N1648="","",INDEX('_calc'!$C$2:$C$3001,$N1648))</f>
        <v/>
      </c>
      <c r="E1648" s="25" t="str">
        <f>IF($N1648="","",INDEX('_calc'!$D$2:$D$3001,$N1648))</f>
        <v/>
      </c>
      <c r="F1648" s="26" t="str">
        <f>IF($N1648="","",IF($E$8=0,"",E1648/$E$8))</f>
        <v/>
      </c>
      <c r="G1648" s="25" t="str">
        <f>IF($N1648="","",INDEX('_calc'!$E$2:$E$3001,$N1648))</f>
        <v/>
      </c>
      <c r="H1648" s="25" t="str">
        <f>IF($N1648="","",INDEX('_calc'!$F$2:$F$3001,$N1648))</f>
        <v/>
      </c>
      <c r="I1648" s="27" t="str">
        <f>IF($N1648="","",INDEX('_calc'!$H$2:$H$3001,$N1648))</f>
        <v/>
      </c>
      <c r="J1648" s="27" t="str">
        <f>IF($N1648="","",INDEX('_calc'!$I$2:$I$3001,$N1648))</f>
        <v/>
      </c>
      <c r="K1648" s="28" t="str">
        <f>IF($N1648="","",IF(OR(I1648="",J1648=""),"",J1648-I1648))</f>
        <v/>
      </c>
      <c r="L1648" s="29" t="str">
        <f>IF($N1648="","",INDEX('_calc'!$J$2:$J$3001,$N1648))</f>
        <v/>
      </c>
      <c r="M1648" s="2" t="str">
        <f>IF($N1648="","",IF(AND(G1648=0,H1648=0),"수량 없음",IF(G1648=0,"신규 (전년 수량 없음)",IF(H1648=0,"당해 수량 없음",""))))</f>
        <v/>
      </c>
      <c r="N1648" t="str">
        <f>IF($B1648="","",MATCH($B1648,'_calc'!$L$2:$L$3001,0))</f>
        <v/>
      </c>
    </row>
    <row r="1649">
      <c r="B1649" s="24" t="str">
        <f>IF(ROW()-ROW($B$8)&gt;nComp,"",ROW()-ROW($B$8))</f>
        <v/>
      </c>
      <c r="C1649" t="str">
        <f>IF($N1649="","",INDEX('_calc'!$A$2:$A$3001,$N1649))</f>
        <v/>
      </c>
      <c r="D1649" s="25" t="str">
        <f>IF($N1649="","",INDEX('_calc'!$C$2:$C$3001,$N1649))</f>
        <v/>
      </c>
      <c r="E1649" s="25" t="str">
        <f>IF($N1649="","",INDEX('_calc'!$D$2:$D$3001,$N1649))</f>
        <v/>
      </c>
      <c r="F1649" s="26" t="str">
        <f>IF($N1649="","",IF($E$8=0,"",E1649/$E$8))</f>
        <v/>
      </c>
      <c r="G1649" s="25" t="str">
        <f>IF($N1649="","",INDEX('_calc'!$E$2:$E$3001,$N1649))</f>
        <v/>
      </c>
      <c r="H1649" s="25" t="str">
        <f>IF($N1649="","",INDEX('_calc'!$F$2:$F$3001,$N1649))</f>
        <v/>
      </c>
      <c r="I1649" s="27" t="str">
        <f>IF($N1649="","",INDEX('_calc'!$H$2:$H$3001,$N1649))</f>
        <v/>
      </c>
      <c r="J1649" s="27" t="str">
        <f>IF($N1649="","",INDEX('_calc'!$I$2:$I$3001,$N1649))</f>
        <v/>
      </c>
      <c r="K1649" s="28" t="str">
        <f>IF($N1649="","",IF(OR(I1649="",J1649=""),"",J1649-I1649))</f>
        <v/>
      </c>
      <c r="L1649" s="29" t="str">
        <f>IF($N1649="","",INDEX('_calc'!$J$2:$J$3001,$N1649))</f>
        <v/>
      </c>
      <c r="M1649" s="2" t="str">
        <f>IF($N1649="","",IF(AND(G1649=0,H1649=0),"수량 없음",IF(G1649=0,"신규 (전년 수량 없음)",IF(H1649=0,"당해 수량 없음",""))))</f>
        <v/>
      </c>
      <c r="N1649" t="str">
        <f>IF($B1649="","",MATCH($B1649,'_calc'!$L$2:$L$3001,0))</f>
        <v/>
      </c>
    </row>
    <row r="1650">
      <c r="B1650" s="24" t="str">
        <f>IF(ROW()-ROW($B$8)&gt;nComp,"",ROW()-ROW($B$8))</f>
        <v/>
      </c>
      <c r="C1650" t="str">
        <f>IF($N1650="","",INDEX('_calc'!$A$2:$A$3001,$N1650))</f>
        <v/>
      </c>
      <c r="D1650" s="25" t="str">
        <f>IF($N1650="","",INDEX('_calc'!$C$2:$C$3001,$N1650))</f>
        <v/>
      </c>
      <c r="E1650" s="25" t="str">
        <f>IF($N1650="","",INDEX('_calc'!$D$2:$D$3001,$N1650))</f>
        <v/>
      </c>
      <c r="F1650" s="26" t="str">
        <f>IF($N1650="","",IF($E$8=0,"",E1650/$E$8))</f>
        <v/>
      </c>
      <c r="G1650" s="25" t="str">
        <f>IF($N1650="","",INDEX('_calc'!$E$2:$E$3001,$N1650))</f>
        <v/>
      </c>
      <c r="H1650" s="25" t="str">
        <f>IF($N1650="","",INDEX('_calc'!$F$2:$F$3001,$N1650))</f>
        <v/>
      </c>
      <c r="I1650" s="27" t="str">
        <f>IF($N1650="","",INDEX('_calc'!$H$2:$H$3001,$N1650))</f>
        <v/>
      </c>
      <c r="J1650" s="27" t="str">
        <f>IF($N1650="","",INDEX('_calc'!$I$2:$I$3001,$N1650))</f>
        <v/>
      </c>
      <c r="K1650" s="28" t="str">
        <f>IF($N1650="","",IF(OR(I1650="",J1650=""),"",J1650-I1650))</f>
        <v/>
      </c>
      <c r="L1650" s="29" t="str">
        <f>IF($N1650="","",INDEX('_calc'!$J$2:$J$3001,$N1650))</f>
        <v/>
      </c>
      <c r="M1650" s="2" t="str">
        <f>IF($N1650="","",IF(AND(G1650=0,H1650=0),"수량 없음",IF(G1650=0,"신규 (전년 수량 없음)",IF(H1650=0,"당해 수량 없음",""))))</f>
        <v/>
      </c>
      <c r="N1650" t="str">
        <f>IF($B1650="","",MATCH($B1650,'_calc'!$L$2:$L$3001,0))</f>
        <v/>
      </c>
    </row>
    <row r="1651">
      <c r="B1651" s="24" t="str">
        <f>IF(ROW()-ROW($B$8)&gt;nComp,"",ROW()-ROW($B$8))</f>
        <v/>
      </c>
      <c r="C1651" t="str">
        <f>IF($N1651="","",INDEX('_calc'!$A$2:$A$3001,$N1651))</f>
        <v/>
      </c>
      <c r="D1651" s="25" t="str">
        <f>IF($N1651="","",INDEX('_calc'!$C$2:$C$3001,$N1651))</f>
        <v/>
      </c>
      <c r="E1651" s="25" t="str">
        <f>IF($N1651="","",INDEX('_calc'!$D$2:$D$3001,$N1651))</f>
        <v/>
      </c>
      <c r="F1651" s="26" t="str">
        <f>IF($N1651="","",IF($E$8=0,"",E1651/$E$8))</f>
        <v/>
      </c>
      <c r="G1651" s="25" t="str">
        <f>IF($N1651="","",INDEX('_calc'!$E$2:$E$3001,$N1651))</f>
        <v/>
      </c>
      <c r="H1651" s="25" t="str">
        <f>IF($N1651="","",INDEX('_calc'!$F$2:$F$3001,$N1651))</f>
        <v/>
      </c>
      <c r="I1651" s="27" t="str">
        <f>IF($N1651="","",INDEX('_calc'!$H$2:$H$3001,$N1651))</f>
        <v/>
      </c>
      <c r="J1651" s="27" t="str">
        <f>IF($N1651="","",INDEX('_calc'!$I$2:$I$3001,$N1651))</f>
        <v/>
      </c>
      <c r="K1651" s="28" t="str">
        <f>IF($N1651="","",IF(OR(I1651="",J1651=""),"",J1651-I1651))</f>
        <v/>
      </c>
      <c r="L1651" s="29" t="str">
        <f>IF($N1651="","",INDEX('_calc'!$J$2:$J$3001,$N1651))</f>
        <v/>
      </c>
      <c r="M1651" s="2" t="str">
        <f>IF($N1651="","",IF(AND(G1651=0,H1651=0),"수량 없음",IF(G1651=0,"신규 (전년 수량 없음)",IF(H1651=0,"당해 수량 없음",""))))</f>
        <v/>
      </c>
      <c r="N1651" t="str">
        <f>IF($B1651="","",MATCH($B1651,'_calc'!$L$2:$L$3001,0))</f>
        <v/>
      </c>
    </row>
    <row r="1652">
      <c r="B1652" s="24" t="str">
        <f>IF(ROW()-ROW($B$8)&gt;nComp,"",ROW()-ROW($B$8))</f>
        <v/>
      </c>
      <c r="C1652" t="str">
        <f>IF($N1652="","",INDEX('_calc'!$A$2:$A$3001,$N1652))</f>
        <v/>
      </c>
      <c r="D1652" s="25" t="str">
        <f>IF($N1652="","",INDEX('_calc'!$C$2:$C$3001,$N1652))</f>
        <v/>
      </c>
      <c r="E1652" s="25" t="str">
        <f>IF($N1652="","",INDEX('_calc'!$D$2:$D$3001,$N1652))</f>
        <v/>
      </c>
      <c r="F1652" s="26" t="str">
        <f>IF($N1652="","",IF($E$8=0,"",E1652/$E$8))</f>
        <v/>
      </c>
      <c r="G1652" s="25" t="str">
        <f>IF($N1652="","",INDEX('_calc'!$E$2:$E$3001,$N1652))</f>
        <v/>
      </c>
      <c r="H1652" s="25" t="str">
        <f>IF($N1652="","",INDEX('_calc'!$F$2:$F$3001,$N1652))</f>
        <v/>
      </c>
      <c r="I1652" s="27" t="str">
        <f>IF($N1652="","",INDEX('_calc'!$H$2:$H$3001,$N1652))</f>
        <v/>
      </c>
      <c r="J1652" s="27" t="str">
        <f>IF($N1652="","",INDEX('_calc'!$I$2:$I$3001,$N1652))</f>
        <v/>
      </c>
      <c r="K1652" s="28" t="str">
        <f>IF($N1652="","",IF(OR(I1652="",J1652=""),"",J1652-I1652))</f>
        <v/>
      </c>
      <c r="L1652" s="29" t="str">
        <f>IF($N1652="","",INDEX('_calc'!$J$2:$J$3001,$N1652))</f>
        <v/>
      </c>
      <c r="M1652" s="2" t="str">
        <f>IF($N1652="","",IF(AND(G1652=0,H1652=0),"수량 없음",IF(G1652=0,"신규 (전년 수량 없음)",IF(H1652=0,"당해 수량 없음",""))))</f>
        <v/>
      </c>
      <c r="N1652" t="str">
        <f>IF($B1652="","",MATCH($B1652,'_calc'!$L$2:$L$3001,0))</f>
        <v/>
      </c>
    </row>
    <row r="1653">
      <c r="B1653" s="24" t="str">
        <f>IF(ROW()-ROW($B$8)&gt;nComp,"",ROW()-ROW($B$8))</f>
        <v/>
      </c>
      <c r="C1653" t="str">
        <f>IF($N1653="","",INDEX('_calc'!$A$2:$A$3001,$N1653))</f>
        <v/>
      </c>
      <c r="D1653" s="25" t="str">
        <f>IF($N1653="","",INDEX('_calc'!$C$2:$C$3001,$N1653))</f>
        <v/>
      </c>
      <c r="E1653" s="25" t="str">
        <f>IF($N1653="","",INDEX('_calc'!$D$2:$D$3001,$N1653))</f>
        <v/>
      </c>
      <c r="F1653" s="26" t="str">
        <f>IF($N1653="","",IF($E$8=0,"",E1653/$E$8))</f>
        <v/>
      </c>
      <c r="G1653" s="25" t="str">
        <f>IF($N1653="","",INDEX('_calc'!$E$2:$E$3001,$N1653))</f>
        <v/>
      </c>
      <c r="H1653" s="25" t="str">
        <f>IF($N1653="","",INDEX('_calc'!$F$2:$F$3001,$N1653))</f>
        <v/>
      </c>
      <c r="I1653" s="27" t="str">
        <f>IF($N1653="","",INDEX('_calc'!$H$2:$H$3001,$N1653))</f>
        <v/>
      </c>
      <c r="J1653" s="27" t="str">
        <f>IF($N1653="","",INDEX('_calc'!$I$2:$I$3001,$N1653))</f>
        <v/>
      </c>
      <c r="K1653" s="28" t="str">
        <f>IF($N1653="","",IF(OR(I1653="",J1653=""),"",J1653-I1653))</f>
        <v/>
      </c>
      <c r="L1653" s="29" t="str">
        <f>IF($N1653="","",INDEX('_calc'!$J$2:$J$3001,$N1653))</f>
        <v/>
      </c>
      <c r="M1653" s="2" t="str">
        <f>IF($N1653="","",IF(AND(G1653=0,H1653=0),"수량 없음",IF(G1653=0,"신규 (전년 수량 없음)",IF(H1653=0,"당해 수량 없음",""))))</f>
        <v/>
      </c>
      <c r="N1653" t="str">
        <f>IF($B1653="","",MATCH($B1653,'_calc'!$L$2:$L$3001,0))</f>
        <v/>
      </c>
    </row>
    <row r="1654">
      <c r="B1654" s="24" t="str">
        <f>IF(ROW()-ROW($B$8)&gt;nComp,"",ROW()-ROW($B$8))</f>
        <v/>
      </c>
      <c r="C1654" t="str">
        <f>IF($N1654="","",INDEX('_calc'!$A$2:$A$3001,$N1654))</f>
        <v/>
      </c>
      <c r="D1654" s="25" t="str">
        <f>IF($N1654="","",INDEX('_calc'!$C$2:$C$3001,$N1654))</f>
        <v/>
      </c>
      <c r="E1654" s="25" t="str">
        <f>IF($N1654="","",INDEX('_calc'!$D$2:$D$3001,$N1654))</f>
        <v/>
      </c>
      <c r="F1654" s="26" t="str">
        <f>IF($N1654="","",IF($E$8=0,"",E1654/$E$8))</f>
        <v/>
      </c>
      <c r="G1654" s="25" t="str">
        <f>IF($N1654="","",INDEX('_calc'!$E$2:$E$3001,$N1654))</f>
        <v/>
      </c>
      <c r="H1654" s="25" t="str">
        <f>IF($N1654="","",INDEX('_calc'!$F$2:$F$3001,$N1654))</f>
        <v/>
      </c>
      <c r="I1654" s="27" t="str">
        <f>IF($N1654="","",INDEX('_calc'!$H$2:$H$3001,$N1654))</f>
        <v/>
      </c>
      <c r="J1654" s="27" t="str">
        <f>IF($N1654="","",INDEX('_calc'!$I$2:$I$3001,$N1654))</f>
        <v/>
      </c>
      <c r="K1654" s="28" t="str">
        <f>IF($N1654="","",IF(OR(I1654="",J1654=""),"",J1654-I1654))</f>
        <v/>
      </c>
      <c r="L1654" s="29" t="str">
        <f>IF($N1654="","",INDEX('_calc'!$J$2:$J$3001,$N1654))</f>
        <v/>
      </c>
      <c r="M1654" s="2" t="str">
        <f>IF($N1654="","",IF(AND(G1654=0,H1654=0),"수량 없음",IF(G1654=0,"신규 (전년 수량 없음)",IF(H1654=0,"당해 수량 없음",""))))</f>
        <v/>
      </c>
      <c r="N1654" t="str">
        <f>IF($B1654="","",MATCH($B1654,'_calc'!$L$2:$L$3001,0))</f>
        <v/>
      </c>
    </row>
    <row r="1655">
      <c r="B1655" s="24" t="str">
        <f>IF(ROW()-ROW($B$8)&gt;nComp,"",ROW()-ROW($B$8))</f>
        <v/>
      </c>
      <c r="C1655" t="str">
        <f>IF($N1655="","",INDEX('_calc'!$A$2:$A$3001,$N1655))</f>
        <v/>
      </c>
      <c r="D1655" s="25" t="str">
        <f>IF($N1655="","",INDEX('_calc'!$C$2:$C$3001,$N1655))</f>
        <v/>
      </c>
      <c r="E1655" s="25" t="str">
        <f>IF($N1655="","",INDEX('_calc'!$D$2:$D$3001,$N1655))</f>
        <v/>
      </c>
      <c r="F1655" s="26" t="str">
        <f>IF($N1655="","",IF($E$8=0,"",E1655/$E$8))</f>
        <v/>
      </c>
      <c r="G1655" s="25" t="str">
        <f>IF($N1655="","",INDEX('_calc'!$E$2:$E$3001,$N1655))</f>
        <v/>
      </c>
      <c r="H1655" s="25" t="str">
        <f>IF($N1655="","",INDEX('_calc'!$F$2:$F$3001,$N1655))</f>
        <v/>
      </c>
      <c r="I1655" s="27" t="str">
        <f>IF($N1655="","",INDEX('_calc'!$H$2:$H$3001,$N1655))</f>
        <v/>
      </c>
      <c r="J1655" s="27" t="str">
        <f>IF($N1655="","",INDEX('_calc'!$I$2:$I$3001,$N1655))</f>
        <v/>
      </c>
      <c r="K1655" s="28" t="str">
        <f>IF($N1655="","",IF(OR(I1655="",J1655=""),"",J1655-I1655))</f>
        <v/>
      </c>
      <c r="L1655" s="29" t="str">
        <f>IF($N1655="","",INDEX('_calc'!$J$2:$J$3001,$N1655))</f>
        <v/>
      </c>
      <c r="M1655" s="2" t="str">
        <f>IF($N1655="","",IF(AND(G1655=0,H1655=0),"수량 없음",IF(G1655=0,"신규 (전년 수량 없음)",IF(H1655=0,"당해 수량 없음",""))))</f>
        <v/>
      </c>
      <c r="N1655" t="str">
        <f>IF($B1655="","",MATCH($B1655,'_calc'!$L$2:$L$3001,0))</f>
        <v/>
      </c>
    </row>
    <row r="1656">
      <c r="B1656" s="24" t="str">
        <f>IF(ROW()-ROW($B$8)&gt;nComp,"",ROW()-ROW($B$8))</f>
        <v/>
      </c>
      <c r="C1656" t="str">
        <f>IF($N1656="","",INDEX('_calc'!$A$2:$A$3001,$N1656))</f>
        <v/>
      </c>
      <c r="D1656" s="25" t="str">
        <f>IF($N1656="","",INDEX('_calc'!$C$2:$C$3001,$N1656))</f>
        <v/>
      </c>
      <c r="E1656" s="25" t="str">
        <f>IF($N1656="","",INDEX('_calc'!$D$2:$D$3001,$N1656))</f>
        <v/>
      </c>
      <c r="F1656" s="26" t="str">
        <f>IF($N1656="","",IF($E$8=0,"",E1656/$E$8))</f>
        <v/>
      </c>
      <c r="G1656" s="25" t="str">
        <f>IF($N1656="","",INDEX('_calc'!$E$2:$E$3001,$N1656))</f>
        <v/>
      </c>
      <c r="H1656" s="25" t="str">
        <f>IF($N1656="","",INDEX('_calc'!$F$2:$F$3001,$N1656))</f>
        <v/>
      </c>
      <c r="I1656" s="27" t="str">
        <f>IF($N1656="","",INDEX('_calc'!$H$2:$H$3001,$N1656))</f>
        <v/>
      </c>
      <c r="J1656" s="27" t="str">
        <f>IF($N1656="","",INDEX('_calc'!$I$2:$I$3001,$N1656))</f>
        <v/>
      </c>
      <c r="K1656" s="28" t="str">
        <f>IF($N1656="","",IF(OR(I1656="",J1656=""),"",J1656-I1656))</f>
        <v/>
      </c>
      <c r="L1656" s="29" t="str">
        <f>IF($N1656="","",INDEX('_calc'!$J$2:$J$3001,$N1656))</f>
        <v/>
      </c>
      <c r="M1656" s="2" t="str">
        <f>IF($N1656="","",IF(AND(G1656=0,H1656=0),"수량 없음",IF(G1656=0,"신규 (전년 수량 없음)",IF(H1656=0,"당해 수량 없음",""))))</f>
        <v/>
      </c>
      <c r="N1656" t="str">
        <f>IF($B1656="","",MATCH($B1656,'_calc'!$L$2:$L$3001,0))</f>
        <v/>
      </c>
    </row>
    <row r="1657">
      <c r="B1657" s="24" t="str">
        <f>IF(ROW()-ROW($B$8)&gt;nComp,"",ROW()-ROW($B$8))</f>
        <v/>
      </c>
      <c r="C1657" t="str">
        <f>IF($N1657="","",INDEX('_calc'!$A$2:$A$3001,$N1657))</f>
        <v/>
      </c>
      <c r="D1657" s="25" t="str">
        <f>IF($N1657="","",INDEX('_calc'!$C$2:$C$3001,$N1657))</f>
        <v/>
      </c>
      <c r="E1657" s="25" t="str">
        <f>IF($N1657="","",INDEX('_calc'!$D$2:$D$3001,$N1657))</f>
        <v/>
      </c>
      <c r="F1657" s="26" t="str">
        <f>IF($N1657="","",IF($E$8=0,"",E1657/$E$8))</f>
        <v/>
      </c>
      <c r="G1657" s="25" t="str">
        <f>IF($N1657="","",INDEX('_calc'!$E$2:$E$3001,$N1657))</f>
        <v/>
      </c>
      <c r="H1657" s="25" t="str">
        <f>IF($N1657="","",INDEX('_calc'!$F$2:$F$3001,$N1657))</f>
        <v/>
      </c>
      <c r="I1657" s="27" t="str">
        <f>IF($N1657="","",INDEX('_calc'!$H$2:$H$3001,$N1657))</f>
        <v/>
      </c>
      <c r="J1657" s="27" t="str">
        <f>IF($N1657="","",INDEX('_calc'!$I$2:$I$3001,$N1657))</f>
        <v/>
      </c>
      <c r="K1657" s="28" t="str">
        <f>IF($N1657="","",IF(OR(I1657="",J1657=""),"",J1657-I1657))</f>
        <v/>
      </c>
      <c r="L1657" s="29" t="str">
        <f>IF($N1657="","",INDEX('_calc'!$J$2:$J$3001,$N1657))</f>
        <v/>
      </c>
      <c r="M1657" s="2" t="str">
        <f>IF($N1657="","",IF(AND(G1657=0,H1657=0),"수량 없음",IF(G1657=0,"신규 (전년 수량 없음)",IF(H1657=0,"당해 수량 없음",""))))</f>
        <v/>
      </c>
      <c r="N1657" t="str">
        <f>IF($B1657="","",MATCH($B1657,'_calc'!$L$2:$L$3001,0))</f>
        <v/>
      </c>
    </row>
    <row r="1658">
      <c r="B1658" s="24" t="str">
        <f>IF(ROW()-ROW($B$8)&gt;nComp,"",ROW()-ROW($B$8))</f>
        <v/>
      </c>
      <c r="C1658" t="str">
        <f>IF($N1658="","",INDEX('_calc'!$A$2:$A$3001,$N1658))</f>
        <v/>
      </c>
      <c r="D1658" s="25" t="str">
        <f>IF($N1658="","",INDEX('_calc'!$C$2:$C$3001,$N1658))</f>
        <v/>
      </c>
      <c r="E1658" s="25" t="str">
        <f>IF($N1658="","",INDEX('_calc'!$D$2:$D$3001,$N1658))</f>
        <v/>
      </c>
      <c r="F1658" s="26" t="str">
        <f>IF($N1658="","",IF($E$8=0,"",E1658/$E$8))</f>
        <v/>
      </c>
      <c r="G1658" s="25" t="str">
        <f>IF($N1658="","",INDEX('_calc'!$E$2:$E$3001,$N1658))</f>
        <v/>
      </c>
      <c r="H1658" s="25" t="str">
        <f>IF($N1658="","",INDEX('_calc'!$F$2:$F$3001,$N1658))</f>
        <v/>
      </c>
      <c r="I1658" s="27" t="str">
        <f>IF($N1658="","",INDEX('_calc'!$H$2:$H$3001,$N1658))</f>
        <v/>
      </c>
      <c r="J1658" s="27" t="str">
        <f>IF($N1658="","",INDEX('_calc'!$I$2:$I$3001,$N1658))</f>
        <v/>
      </c>
      <c r="K1658" s="28" t="str">
        <f>IF($N1658="","",IF(OR(I1658="",J1658=""),"",J1658-I1658))</f>
        <v/>
      </c>
      <c r="L1658" s="29" t="str">
        <f>IF($N1658="","",INDEX('_calc'!$J$2:$J$3001,$N1658))</f>
        <v/>
      </c>
      <c r="M1658" s="2" t="str">
        <f>IF($N1658="","",IF(AND(G1658=0,H1658=0),"수량 없음",IF(G1658=0,"신규 (전년 수량 없음)",IF(H1658=0,"당해 수량 없음",""))))</f>
        <v/>
      </c>
      <c r="N1658" t="str">
        <f>IF($B1658="","",MATCH($B1658,'_calc'!$L$2:$L$3001,0))</f>
        <v/>
      </c>
    </row>
    <row r="1659">
      <c r="B1659" s="24" t="str">
        <f>IF(ROW()-ROW($B$8)&gt;nComp,"",ROW()-ROW($B$8))</f>
        <v/>
      </c>
      <c r="C1659" t="str">
        <f>IF($N1659="","",INDEX('_calc'!$A$2:$A$3001,$N1659))</f>
        <v/>
      </c>
      <c r="D1659" s="25" t="str">
        <f>IF($N1659="","",INDEX('_calc'!$C$2:$C$3001,$N1659))</f>
        <v/>
      </c>
      <c r="E1659" s="25" t="str">
        <f>IF($N1659="","",INDEX('_calc'!$D$2:$D$3001,$N1659))</f>
        <v/>
      </c>
      <c r="F1659" s="26" t="str">
        <f>IF($N1659="","",IF($E$8=0,"",E1659/$E$8))</f>
        <v/>
      </c>
      <c r="G1659" s="25" t="str">
        <f>IF($N1659="","",INDEX('_calc'!$E$2:$E$3001,$N1659))</f>
        <v/>
      </c>
      <c r="H1659" s="25" t="str">
        <f>IF($N1659="","",INDEX('_calc'!$F$2:$F$3001,$N1659))</f>
        <v/>
      </c>
      <c r="I1659" s="27" t="str">
        <f>IF($N1659="","",INDEX('_calc'!$H$2:$H$3001,$N1659))</f>
        <v/>
      </c>
      <c r="J1659" s="27" t="str">
        <f>IF($N1659="","",INDEX('_calc'!$I$2:$I$3001,$N1659))</f>
        <v/>
      </c>
      <c r="K1659" s="28" t="str">
        <f>IF($N1659="","",IF(OR(I1659="",J1659=""),"",J1659-I1659))</f>
        <v/>
      </c>
      <c r="L1659" s="29" t="str">
        <f>IF($N1659="","",INDEX('_calc'!$J$2:$J$3001,$N1659))</f>
        <v/>
      </c>
      <c r="M1659" s="2" t="str">
        <f>IF($N1659="","",IF(AND(G1659=0,H1659=0),"수량 없음",IF(G1659=0,"신규 (전년 수량 없음)",IF(H1659=0,"당해 수량 없음",""))))</f>
        <v/>
      </c>
      <c r="N1659" t="str">
        <f>IF($B1659="","",MATCH($B1659,'_calc'!$L$2:$L$3001,0))</f>
        <v/>
      </c>
    </row>
    <row r="1660">
      <c r="B1660" s="24" t="str">
        <f>IF(ROW()-ROW($B$8)&gt;nComp,"",ROW()-ROW($B$8))</f>
        <v/>
      </c>
      <c r="C1660" t="str">
        <f>IF($N1660="","",INDEX('_calc'!$A$2:$A$3001,$N1660))</f>
        <v/>
      </c>
      <c r="D1660" s="25" t="str">
        <f>IF($N1660="","",INDEX('_calc'!$C$2:$C$3001,$N1660))</f>
        <v/>
      </c>
      <c r="E1660" s="25" t="str">
        <f>IF($N1660="","",INDEX('_calc'!$D$2:$D$3001,$N1660))</f>
        <v/>
      </c>
      <c r="F1660" s="26" t="str">
        <f>IF($N1660="","",IF($E$8=0,"",E1660/$E$8))</f>
        <v/>
      </c>
      <c r="G1660" s="25" t="str">
        <f>IF($N1660="","",INDEX('_calc'!$E$2:$E$3001,$N1660))</f>
        <v/>
      </c>
      <c r="H1660" s="25" t="str">
        <f>IF($N1660="","",INDEX('_calc'!$F$2:$F$3001,$N1660))</f>
        <v/>
      </c>
      <c r="I1660" s="27" t="str">
        <f>IF($N1660="","",INDEX('_calc'!$H$2:$H$3001,$N1660))</f>
        <v/>
      </c>
      <c r="J1660" s="27" t="str">
        <f>IF($N1660="","",INDEX('_calc'!$I$2:$I$3001,$N1660))</f>
        <v/>
      </c>
      <c r="K1660" s="28" t="str">
        <f>IF($N1660="","",IF(OR(I1660="",J1660=""),"",J1660-I1660))</f>
        <v/>
      </c>
      <c r="L1660" s="29" t="str">
        <f>IF($N1660="","",INDEX('_calc'!$J$2:$J$3001,$N1660))</f>
        <v/>
      </c>
      <c r="M1660" s="2" t="str">
        <f>IF($N1660="","",IF(AND(G1660=0,H1660=0),"수량 없음",IF(G1660=0,"신규 (전년 수량 없음)",IF(H1660=0,"당해 수량 없음",""))))</f>
        <v/>
      </c>
      <c r="N1660" t="str">
        <f>IF($B1660="","",MATCH($B1660,'_calc'!$L$2:$L$3001,0))</f>
        <v/>
      </c>
    </row>
    <row r="1661">
      <c r="B1661" s="24" t="str">
        <f>IF(ROW()-ROW($B$8)&gt;nComp,"",ROW()-ROW($B$8))</f>
        <v/>
      </c>
      <c r="C1661" t="str">
        <f>IF($N1661="","",INDEX('_calc'!$A$2:$A$3001,$N1661))</f>
        <v/>
      </c>
      <c r="D1661" s="25" t="str">
        <f>IF($N1661="","",INDEX('_calc'!$C$2:$C$3001,$N1661))</f>
        <v/>
      </c>
      <c r="E1661" s="25" t="str">
        <f>IF($N1661="","",INDEX('_calc'!$D$2:$D$3001,$N1661))</f>
        <v/>
      </c>
      <c r="F1661" s="26" t="str">
        <f>IF($N1661="","",IF($E$8=0,"",E1661/$E$8))</f>
        <v/>
      </c>
      <c r="G1661" s="25" t="str">
        <f>IF($N1661="","",INDEX('_calc'!$E$2:$E$3001,$N1661))</f>
        <v/>
      </c>
      <c r="H1661" s="25" t="str">
        <f>IF($N1661="","",INDEX('_calc'!$F$2:$F$3001,$N1661))</f>
        <v/>
      </c>
      <c r="I1661" s="27" t="str">
        <f>IF($N1661="","",INDEX('_calc'!$H$2:$H$3001,$N1661))</f>
        <v/>
      </c>
      <c r="J1661" s="27" t="str">
        <f>IF($N1661="","",INDEX('_calc'!$I$2:$I$3001,$N1661))</f>
        <v/>
      </c>
      <c r="K1661" s="28" t="str">
        <f>IF($N1661="","",IF(OR(I1661="",J1661=""),"",J1661-I1661))</f>
        <v/>
      </c>
      <c r="L1661" s="29" t="str">
        <f>IF($N1661="","",INDEX('_calc'!$J$2:$J$3001,$N1661))</f>
        <v/>
      </c>
      <c r="M1661" s="2" t="str">
        <f>IF($N1661="","",IF(AND(G1661=0,H1661=0),"수량 없음",IF(G1661=0,"신규 (전년 수량 없음)",IF(H1661=0,"당해 수량 없음",""))))</f>
        <v/>
      </c>
      <c r="N1661" t="str">
        <f>IF($B1661="","",MATCH($B1661,'_calc'!$L$2:$L$3001,0))</f>
        <v/>
      </c>
    </row>
    <row r="1662">
      <c r="B1662" s="24" t="str">
        <f>IF(ROW()-ROW($B$8)&gt;nComp,"",ROW()-ROW($B$8))</f>
        <v/>
      </c>
      <c r="C1662" t="str">
        <f>IF($N1662="","",INDEX('_calc'!$A$2:$A$3001,$N1662))</f>
        <v/>
      </c>
      <c r="D1662" s="25" t="str">
        <f>IF($N1662="","",INDEX('_calc'!$C$2:$C$3001,$N1662))</f>
        <v/>
      </c>
      <c r="E1662" s="25" t="str">
        <f>IF($N1662="","",INDEX('_calc'!$D$2:$D$3001,$N1662))</f>
        <v/>
      </c>
      <c r="F1662" s="26" t="str">
        <f>IF($N1662="","",IF($E$8=0,"",E1662/$E$8))</f>
        <v/>
      </c>
      <c r="G1662" s="25" t="str">
        <f>IF($N1662="","",INDEX('_calc'!$E$2:$E$3001,$N1662))</f>
        <v/>
      </c>
      <c r="H1662" s="25" t="str">
        <f>IF($N1662="","",INDEX('_calc'!$F$2:$F$3001,$N1662))</f>
        <v/>
      </c>
      <c r="I1662" s="27" t="str">
        <f>IF($N1662="","",INDEX('_calc'!$H$2:$H$3001,$N1662))</f>
        <v/>
      </c>
      <c r="J1662" s="27" t="str">
        <f>IF($N1662="","",INDEX('_calc'!$I$2:$I$3001,$N1662))</f>
        <v/>
      </c>
      <c r="K1662" s="28" t="str">
        <f>IF($N1662="","",IF(OR(I1662="",J1662=""),"",J1662-I1662))</f>
        <v/>
      </c>
      <c r="L1662" s="29" t="str">
        <f>IF($N1662="","",INDEX('_calc'!$J$2:$J$3001,$N1662))</f>
        <v/>
      </c>
      <c r="M1662" s="2" t="str">
        <f>IF($N1662="","",IF(AND(G1662=0,H1662=0),"수량 없음",IF(G1662=0,"신규 (전년 수량 없음)",IF(H1662=0,"당해 수량 없음",""))))</f>
        <v/>
      </c>
      <c r="N1662" t="str">
        <f>IF($B1662="","",MATCH($B1662,'_calc'!$L$2:$L$3001,0))</f>
        <v/>
      </c>
    </row>
    <row r="1663">
      <c r="B1663" s="24" t="str">
        <f>IF(ROW()-ROW($B$8)&gt;nComp,"",ROW()-ROW($B$8))</f>
        <v/>
      </c>
      <c r="C1663" t="str">
        <f>IF($N1663="","",INDEX('_calc'!$A$2:$A$3001,$N1663))</f>
        <v/>
      </c>
      <c r="D1663" s="25" t="str">
        <f>IF($N1663="","",INDEX('_calc'!$C$2:$C$3001,$N1663))</f>
        <v/>
      </c>
      <c r="E1663" s="25" t="str">
        <f>IF($N1663="","",INDEX('_calc'!$D$2:$D$3001,$N1663))</f>
        <v/>
      </c>
      <c r="F1663" s="26" t="str">
        <f>IF($N1663="","",IF($E$8=0,"",E1663/$E$8))</f>
        <v/>
      </c>
      <c r="G1663" s="25" t="str">
        <f>IF($N1663="","",INDEX('_calc'!$E$2:$E$3001,$N1663))</f>
        <v/>
      </c>
      <c r="H1663" s="25" t="str">
        <f>IF($N1663="","",INDEX('_calc'!$F$2:$F$3001,$N1663))</f>
        <v/>
      </c>
      <c r="I1663" s="27" t="str">
        <f>IF($N1663="","",INDEX('_calc'!$H$2:$H$3001,$N1663))</f>
        <v/>
      </c>
      <c r="J1663" s="27" t="str">
        <f>IF($N1663="","",INDEX('_calc'!$I$2:$I$3001,$N1663))</f>
        <v/>
      </c>
      <c r="K1663" s="28" t="str">
        <f>IF($N1663="","",IF(OR(I1663="",J1663=""),"",J1663-I1663))</f>
        <v/>
      </c>
      <c r="L1663" s="29" t="str">
        <f>IF($N1663="","",INDEX('_calc'!$J$2:$J$3001,$N1663))</f>
        <v/>
      </c>
      <c r="M1663" s="2" t="str">
        <f>IF($N1663="","",IF(AND(G1663=0,H1663=0),"수량 없음",IF(G1663=0,"신규 (전년 수량 없음)",IF(H1663=0,"당해 수량 없음",""))))</f>
        <v/>
      </c>
      <c r="N1663" t="str">
        <f>IF($B1663="","",MATCH($B1663,'_calc'!$L$2:$L$3001,0))</f>
        <v/>
      </c>
    </row>
    <row r="1664">
      <c r="B1664" s="24" t="str">
        <f>IF(ROW()-ROW($B$8)&gt;nComp,"",ROW()-ROW($B$8))</f>
        <v/>
      </c>
      <c r="C1664" t="str">
        <f>IF($N1664="","",INDEX('_calc'!$A$2:$A$3001,$N1664))</f>
        <v/>
      </c>
      <c r="D1664" s="25" t="str">
        <f>IF($N1664="","",INDEX('_calc'!$C$2:$C$3001,$N1664))</f>
        <v/>
      </c>
      <c r="E1664" s="25" t="str">
        <f>IF($N1664="","",INDEX('_calc'!$D$2:$D$3001,$N1664))</f>
        <v/>
      </c>
      <c r="F1664" s="26" t="str">
        <f>IF($N1664="","",IF($E$8=0,"",E1664/$E$8))</f>
        <v/>
      </c>
      <c r="G1664" s="25" t="str">
        <f>IF($N1664="","",INDEX('_calc'!$E$2:$E$3001,$N1664))</f>
        <v/>
      </c>
      <c r="H1664" s="25" t="str">
        <f>IF($N1664="","",INDEX('_calc'!$F$2:$F$3001,$N1664))</f>
        <v/>
      </c>
      <c r="I1664" s="27" t="str">
        <f>IF($N1664="","",INDEX('_calc'!$H$2:$H$3001,$N1664))</f>
        <v/>
      </c>
      <c r="J1664" s="27" t="str">
        <f>IF($N1664="","",INDEX('_calc'!$I$2:$I$3001,$N1664))</f>
        <v/>
      </c>
      <c r="K1664" s="28" t="str">
        <f>IF($N1664="","",IF(OR(I1664="",J1664=""),"",J1664-I1664))</f>
        <v/>
      </c>
      <c r="L1664" s="29" t="str">
        <f>IF($N1664="","",INDEX('_calc'!$J$2:$J$3001,$N1664))</f>
        <v/>
      </c>
      <c r="M1664" s="2" t="str">
        <f>IF($N1664="","",IF(AND(G1664=0,H1664=0),"수량 없음",IF(G1664=0,"신규 (전년 수량 없음)",IF(H1664=0,"당해 수량 없음",""))))</f>
        <v/>
      </c>
      <c r="N1664" t="str">
        <f>IF($B1664="","",MATCH($B1664,'_calc'!$L$2:$L$3001,0))</f>
        <v/>
      </c>
    </row>
    <row r="1665">
      <c r="B1665" s="24" t="str">
        <f>IF(ROW()-ROW($B$8)&gt;nComp,"",ROW()-ROW($B$8))</f>
        <v/>
      </c>
      <c r="C1665" t="str">
        <f>IF($N1665="","",INDEX('_calc'!$A$2:$A$3001,$N1665))</f>
        <v/>
      </c>
      <c r="D1665" s="25" t="str">
        <f>IF($N1665="","",INDEX('_calc'!$C$2:$C$3001,$N1665))</f>
        <v/>
      </c>
      <c r="E1665" s="25" t="str">
        <f>IF($N1665="","",INDEX('_calc'!$D$2:$D$3001,$N1665))</f>
        <v/>
      </c>
      <c r="F1665" s="26" t="str">
        <f>IF($N1665="","",IF($E$8=0,"",E1665/$E$8))</f>
        <v/>
      </c>
      <c r="G1665" s="25" t="str">
        <f>IF($N1665="","",INDEX('_calc'!$E$2:$E$3001,$N1665))</f>
        <v/>
      </c>
      <c r="H1665" s="25" t="str">
        <f>IF($N1665="","",INDEX('_calc'!$F$2:$F$3001,$N1665))</f>
        <v/>
      </c>
      <c r="I1665" s="27" t="str">
        <f>IF($N1665="","",INDEX('_calc'!$H$2:$H$3001,$N1665))</f>
        <v/>
      </c>
      <c r="J1665" s="27" t="str">
        <f>IF($N1665="","",INDEX('_calc'!$I$2:$I$3001,$N1665))</f>
        <v/>
      </c>
      <c r="K1665" s="28" t="str">
        <f>IF($N1665="","",IF(OR(I1665="",J1665=""),"",J1665-I1665))</f>
        <v/>
      </c>
      <c r="L1665" s="29" t="str">
        <f>IF($N1665="","",INDEX('_calc'!$J$2:$J$3001,$N1665))</f>
        <v/>
      </c>
      <c r="M1665" s="2" t="str">
        <f>IF($N1665="","",IF(AND(G1665=0,H1665=0),"수량 없음",IF(G1665=0,"신규 (전년 수량 없음)",IF(H1665=0,"당해 수량 없음",""))))</f>
        <v/>
      </c>
      <c r="N1665" t="str">
        <f>IF($B1665="","",MATCH($B1665,'_calc'!$L$2:$L$3001,0))</f>
        <v/>
      </c>
    </row>
    <row r="1666">
      <c r="B1666" s="24" t="str">
        <f>IF(ROW()-ROW($B$8)&gt;nComp,"",ROW()-ROW($B$8))</f>
        <v/>
      </c>
      <c r="C1666" t="str">
        <f>IF($N1666="","",INDEX('_calc'!$A$2:$A$3001,$N1666))</f>
        <v/>
      </c>
      <c r="D1666" s="25" t="str">
        <f>IF($N1666="","",INDEX('_calc'!$C$2:$C$3001,$N1666))</f>
        <v/>
      </c>
      <c r="E1666" s="25" t="str">
        <f>IF($N1666="","",INDEX('_calc'!$D$2:$D$3001,$N1666))</f>
        <v/>
      </c>
      <c r="F1666" s="26" t="str">
        <f>IF($N1666="","",IF($E$8=0,"",E1666/$E$8))</f>
        <v/>
      </c>
      <c r="G1666" s="25" t="str">
        <f>IF($N1666="","",INDEX('_calc'!$E$2:$E$3001,$N1666))</f>
        <v/>
      </c>
      <c r="H1666" s="25" t="str">
        <f>IF($N1666="","",INDEX('_calc'!$F$2:$F$3001,$N1666))</f>
        <v/>
      </c>
      <c r="I1666" s="27" t="str">
        <f>IF($N1666="","",INDEX('_calc'!$H$2:$H$3001,$N1666))</f>
        <v/>
      </c>
      <c r="J1666" s="27" t="str">
        <f>IF($N1666="","",INDEX('_calc'!$I$2:$I$3001,$N1666))</f>
        <v/>
      </c>
      <c r="K1666" s="28" t="str">
        <f>IF($N1666="","",IF(OR(I1666="",J1666=""),"",J1666-I1666))</f>
        <v/>
      </c>
      <c r="L1666" s="29" t="str">
        <f>IF($N1666="","",INDEX('_calc'!$J$2:$J$3001,$N1666))</f>
        <v/>
      </c>
      <c r="M1666" s="2" t="str">
        <f>IF($N1666="","",IF(AND(G1666=0,H1666=0),"수량 없음",IF(G1666=0,"신규 (전년 수량 없음)",IF(H1666=0,"당해 수량 없음",""))))</f>
        <v/>
      </c>
      <c r="N1666" t="str">
        <f>IF($B1666="","",MATCH($B1666,'_calc'!$L$2:$L$3001,0))</f>
        <v/>
      </c>
    </row>
    <row r="1667">
      <c r="B1667" s="24" t="str">
        <f>IF(ROW()-ROW($B$8)&gt;nComp,"",ROW()-ROW($B$8))</f>
        <v/>
      </c>
      <c r="C1667" t="str">
        <f>IF($N1667="","",INDEX('_calc'!$A$2:$A$3001,$N1667))</f>
        <v/>
      </c>
      <c r="D1667" s="25" t="str">
        <f>IF($N1667="","",INDEX('_calc'!$C$2:$C$3001,$N1667))</f>
        <v/>
      </c>
      <c r="E1667" s="25" t="str">
        <f>IF($N1667="","",INDEX('_calc'!$D$2:$D$3001,$N1667))</f>
        <v/>
      </c>
      <c r="F1667" s="26" t="str">
        <f>IF($N1667="","",IF($E$8=0,"",E1667/$E$8))</f>
        <v/>
      </c>
      <c r="G1667" s="25" t="str">
        <f>IF($N1667="","",INDEX('_calc'!$E$2:$E$3001,$N1667))</f>
        <v/>
      </c>
      <c r="H1667" s="25" t="str">
        <f>IF($N1667="","",INDEX('_calc'!$F$2:$F$3001,$N1667))</f>
        <v/>
      </c>
      <c r="I1667" s="27" t="str">
        <f>IF($N1667="","",INDEX('_calc'!$H$2:$H$3001,$N1667))</f>
        <v/>
      </c>
      <c r="J1667" s="27" t="str">
        <f>IF($N1667="","",INDEX('_calc'!$I$2:$I$3001,$N1667))</f>
        <v/>
      </c>
      <c r="K1667" s="28" t="str">
        <f>IF($N1667="","",IF(OR(I1667="",J1667=""),"",J1667-I1667))</f>
        <v/>
      </c>
      <c r="L1667" s="29" t="str">
        <f>IF($N1667="","",INDEX('_calc'!$J$2:$J$3001,$N1667))</f>
        <v/>
      </c>
      <c r="M1667" s="2" t="str">
        <f>IF($N1667="","",IF(AND(G1667=0,H1667=0),"수량 없음",IF(G1667=0,"신규 (전년 수량 없음)",IF(H1667=0,"당해 수량 없음",""))))</f>
        <v/>
      </c>
      <c r="N1667" t="str">
        <f>IF($B1667="","",MATCH($B1667,'_calc'!$L$2:$L$3001,0))</f>
        <v/>
      </c>
    </row>
    <row r="1668">
      <c r="B1668" s="24" t="str">
        <f>IF(ROW()-ROW($B$8)&gt;nComp,"",ROW()-ROW($B$8))</f>
        <v/>
      </c>
      <c r="C1668" t="str">
        <f>IF($N1668="","",INDEX('_calc'!$A$2:$A$3001,$N1668))</f>
        <v/>
      </c>
      <c r="D1668" s="25" t="str">
        <f>IF($N1668="","",INDEX('_calc'!$C$2:$C$3001,$N1668))</f>
        <v/>
      </c>
      <c r="E1668" s="25" t="str">
        <f>IF($N1668="","",INDEX('_calc'!$D$2:$D$3001,$N1668))</f>
        <v/>
      </c>
      <c r="F1668" s="26" t="str">
        <f>IF($N1668="","",IF($E$8=0,"",E1668/$E$8))</f>
        <v/>
      </c>
      <c r="G1668" s="25" t="str">
        <f>IF($N1668="","",INDEX('_calc'!$E$2:$E$3001,$N1668))</f>
        <v/>
      </c>
      <c r="H1668" s="25" t="str">
        <f>IF($N1668="","",INDEX('_calc'!$F$2:$F$3001,$N1668))</f>
        <v/>
      </c>
      <c r="I1668" s="27" t="str">
        <f>IF($N1668="","",INDEX('_calc'!$H$2:$H$3001,$N1668))</f>
        <v/>
      </c>
      <c r="J1668" s="27" t="str">
        <f>IF($N1668="","",INDEX('_calc'!$I$2:$I$3001,$N1668))</f>
        <v/>
      </c>
      <c r="K1668" s="28" t="str">
        <f>IF($N1668="","",IF(OR(I1668="",J1668=""),"",J1668-I1668))</f>
        <v/>
      </c>
      <c r="L1668" s="29" t="str">
        <f>IF($N1668="","",INDEX('_calc'!$J$2:$J$3001,$N1668))</f>
        <v/>
      </c>
      <c r="M1668" s="2" t="str">
        <f>IF($N1668="","",IF(AND(G1668=0,H1668=0),"수량 없음",IF(G1668=0,"신규 (전년 수량 없음)",IF(H1668=0,"당해 수량 없음",""))))</f>
        <v/>
      </c>
      <c r="N1668" t="str">
        <f>IF($B1668="","",MATCH($B1668,'_calc'!$L$2:$L$3001,0))</f>
        <v/>
      </c>
    </row>
    <row r="1669">
      <c r="B1669" s="24" t="str">
        <f>IF(ROW()-ROW($B$8)&gt;nComp,"",ROW()-ROW($B$8))</f>
        <v/>
      </c>
      <c r="C1669" t="str">
        <f>IF($N1669="","",INDEX('_calc'!$A$2:$A$3001,$N1669))</f>
        <v/>
      </c>
      <c r="D1669" s="25" t="str">
        <f>IF($N1669="","",INDEX('_calc'!$C$2:$C$3001,$N1669))</f>
        <v/>
      </c>
      <c r="E1669" s="25" t="str">
        <f>IF($N1669="","",INDEX('_calc'!$D$2:$D$3001,$N1669))</f>
        <v/>
      </c>
      <c r="F1669" s="26" t="str">
        <f>IF($N1669="","",IF($E$8=0,"",E1669/$E$8))</f>
        <v/>
      </c>
      <c r="G1669" s="25" t="str">
        <f>IF($N1669="","",INDEX('_calc'!$E$2:$E$3001,$N1669))</f>
        <v/>
      </c>
      <c r="H1669" s="25" t="str">
        <f>IF($N1669="","",INDEX('_calc'!$F$2:$F$3001,$N1669))</f>
        <v/>
      </c>
      <c r="I1669" s="27" t="str">
        <f>IF($N1669="","",INDEX('_calc'!$H$2:$H$3001,$N1669))</f>
        <v/>
      </c>
      <c r="J1669" s="27" t="str">
        <f>IF($N1669="","",INDEX('_calc'!$I$2:$I$3001,$N1669))</f>
        <v/>
      </c>
      <c r="K1669" s="28" t="str">
        <f>IF($N1669="","",IF(OR(I1669="",J1669=""),"",J1669-I1669))</f>
        <v/>
      </c>
      <c r="L1669" s="29" t="str">
        <f>IF($N1669="","",INDEX('_calc'!$J$2:$J$3001,$N1669))</f>
        <v/>
      </c>
      <c r="M1669" s="2" t="str">
        <f>IF($N1669="","",IF(AND(G1669=0,H1669=0),"수량 없음",IF(G1669=0,"신규 (전년 수량 없음)",IF(H1669=0,"당해 수량 없음",""))))</f>
        <v/>
      </c>
      <c r="N1669" t="str">
        <f>IF($B1669="","",MATCH($B1669,'_calc'!$L$2:$L$3001,0))</f>
        <v/>
      </c>
    </row>
    <row r="1670">
      <c r="B1670" s="24" t="str">
        <f>IF(ROW()-ROW($B$8)&gt;nComp,"",ROW()-ROW($B$8))</f>
        <v/>
      </c>
      <c r="C1670" t="str">
        <f>IF($N1670="","",INDEX('_calc'!$A$2:$A$3001,$N1670))</f>
        <v/>
      </c>
      <c r="D1670" s="25" t="str">
        <f>IF($N1670="","",INDEX('_calc'!$C$2:$C$3001,$N1670))</f>
        <v/>
      </c>
      <c r="E1670" s="25" t="str">
        <f>IF($N1670="","",INDEX('_calc'!$D$2:$D$3001,$N1670))</f>
        <v/>
      </c>
      <c r="F1670" s="26" t="str">
        <f>IF($N1670="","",IF($E$8=0,"",E1670/$E$8))</f>
        <v/>
      </c>
      <c r="G1670" s="25" t="str">
        <f>IF($N1670="","",INDEX('_calc'!$E$2:$E$3001,$N1670))</f>
        <v/>
      </c>
      <c r="H1670" s="25" t="str">
        <f>IF($N1670="","",INDEX('_calc'!$F$2:$F$3001,$N1670))</f>
        <v/>
      </c>
      <c r="I1670" s="27" t="str">
        <f>IF($N1670="","",INDEX('_calc'!$H$2:$H$3001,$N1670))</f>
        <v/>
      </c>
      <c r="J1670" s="27" t="str">
        <f>IF($N1670="","",INDEX('_calc'!$I$2:$I$3001,$N1670))</f>
        <v/>
      </c>
      <c r="K1670" s="28" t="str">
        <f>IF($N1670="","",IF(OR(I1670="",J1670=""),"",J1670-I1670))</f>
        <v/>
      </c>
      <c r="L1670" s="29" t="str">
        <f>IF($N1670="","",INDEX('_calc'!$J$2:$J$3001,$N1670))</f>
        <v/>
      </c>
      <c r="M1670" s="2" t="str">
        <f>IF($N1670="","",IF(AND(G1670=0,H1670=0),"수량 없음",IF(G1670=0,"신규 (전년 수량 없음)",IF(H1670=0,"당해 수량 없음",""))))</f>
        <v/>
      </c>
      <c r="N1670" t="str">
        <f>IF($B1670="","",MATCH($B1670,'_calc'!$L$2:$L$3001,0))</f>
        <v/>
      </c>
    </row>
    <row r="1671">
      <c r="B1671" s="24" t="str">
        <f>IF(ROW()-ROW($B$8)&gt;nComp,"",ROW()-ROW($B$8))</f>
        <v/>
      </c>
      <c r="C1671" t="str">
        <f>IF($N1671="","",INDEX('_calc'!$A$2:$A$3001,$N1671))</f>
        <v/>
      </c>
      <c r="D1671" s="25" t="str">
        <f>IF($N1671="","",INDEX('_calc'!$C$2:$C$3001,$N1671))</f>
        <v/>
      </c>
      <c r="E1671" s="25" t="str">
        <f>IF($N1671="","",INDEX('_calc'!$D$2:$D$3001,$N1671))</f>
        <v/>
      </c>
      <c r="F1671" s="26" t="str">
        <f>IF($N1671="","",IF($E$8=0,"",E1671/$E$8))</f>
        <v/>
      </c>
      <c r="G1671" s="25" t="str">
        <f>IF($N1671="","",INDEX('_calc'!$E$2:$E$3001,$N1671))</f>
        <v/>
      </c>
      <c r="H1671" s="25" t="str">
        <f>IF($N1671="","",INDEX('_calc'!$F$2:$F$3001,$N1671))</f>
        <v/>
      </c>
      <c r="I1671" s="27" t="str">
        <f>IF($N1671="","",INDEX('_calc'!$H$2:$H$3001,$N1671))</f>
        <v/>
      </c>
      <c r="J1671" s="27" t="str">
        <f>IF($N1671="","",INDEX('_calc'!$I$2:$I$3001,$N1671))</f>
        <v/>
      </c>
      <c r="K1671" s="28" t="str">
        <f>IF($N1671="","",IF(OR(I1671="",J1671=""),"",J1671-I1671))</f>
        <v/>
      </c>
      <c r="L1671" s="29" t="str">
        <f>IF($N1671="","",INDEX('_calc'!$J$2:$J$3001,$N1671))</f>
        <v/>
      </c>
      <c r="M1671" s="2" t="str">
        <f>IF($N1671="","",IF(AND(G1671=0,H1671=0),"수량 없음",IF(G1671=0,"신규 (전년 수량 없음)",IF(H1671=0,"당해 수량 없음",""))))</f>
        <v/>
      </c>
      <c r="N1671" t="str">
        <f>IF($B1671="","",MATCH($B1671,'_calc'!$L$2:$L$3001,0))</f>
        <v/>
      </c>
    </row>
    <row r="1672">
      <c r="B1672" s="24" t="str">
        <f>IF(ROW()-ROW($B$8)&gt;nComp,"",ROW()-ROW($B$8))</f>
        <v/>
      </c>
      <c r="C1672" t="str">
        <f>IF($N1672="","",INDEX('_calc'!$A$2:$A$3001,$N1672))</f>
        <v/>
      </c>
      <c r="D1672" s="25" t="str">
        <f>IF($N1672="","",INDEX('_calc'!$C$2:$C$3001,$N1672))</f>
        <v/>
      </c>
      <c r="E1672" s="25" t="str">
        <f>IF($N1672="","",INDEX('_calc'!$D$2:$D$3001,$N1672))</f>
        <v/>
      </c>
      <c r="F1672" s="26" t="str">
        <f>IF($N1672="","",IF($E$8=0,"",E1672/$E$8))</f>
        <v/>
      </c>
      <c r="G1672" s="25" t="str">
        <f>IF($N1672="","",INDEX('_calc'!$E$2:$E$3001,$N1672))</f>
        <v/>
      </c>
      <c r="H1672" s="25" t="str">
        <f>IF($N1672="","",INDEX('_calc'!$F$2:$F$3001,$N1672))</f>
        <v/>
      </c>
      <c r="I1672" s="27" t="str">
        <f>IF($N1672="","",INDEX('_calc'!$H$2:$H$3001,$N1672))</f>
        <v/>
      </c>
      <c r="J1672" s="27" t="str">
        <f>IF($N1672="","",INDEX('_calc'!$I$2:$I$3001,$N1672))</f>
        <v/>
      </c>
      <c r="K1672" s="28" t="str">
        <f>IF($N1672="","",IF(OR(I1672="",J1672=""),"",J1672-I1672))</f>
        <v/>
      </c>
      <c r="L1672" s="29" t="str">
        <f>IF($N1672="","",INDEX('_calc'!$J$2:$J$3001,$N1672))</f>
        <v/>
      </c>
      <c r="M1672" s="2" t="str">
        <f>IF($N1672="","",IF(AND(G1672=0,H1672=0),"수량 없음",IF(G1672=0,"신규 (전년 수량 없음)",IF(H1672=0,"당해 수량 없음",""))))</f>
        <v/>
      </c>
      <c r="N1672" t="str">
        <f>IF($B1672="","",MATCH($B1672,'_calc'!$L$2:$L$3001,0))</f>
        <v/>
      </c>
    </row>
    <row r="1673">
      <c r="B1673" s="24" t="str">
        <f>IF(ROW()-ROW($B$8)&gt;nComp,"",ROW()-ROW($B$8))</f>
        <v/>
      </c>
      <c r="C1673" t="str">
        <f>IF($N1673="","",INDEX('_calc'!$A$2:$A$3001,$N1673))</f>
        <v/>
      </c>
      <c r="D1673" s="25" t="str">
        <f>IF($N1673="","",INDEX('_calc'!$C$2:$C$3001,$N1673))</f>
        <v/>
      </c>
      <c r="E1673" s="25" t="str">
        <f>IF($N1673="","",INDEX('_calc'!$D$2:$D$3001,$N1673))</f>
        <v/>
      </c>
      <c r="F1673" s="26" t="str">
        <f>IF($N1673="","",IF($E$8=0,"",E1673/$E$8))</f>
        <v/>
      </c>
      <c r="G1673" s="25" t="str">
        <f>IF($N1673="","",INDEX('_calc'!$E$2:$E$3001,$N1673))</f>
        <v/>
      </c>
      <c r="H1673" s="25" t="str">
        <f>IF($N1673="","",INDEX('_calc'!$F$2:$F$3001,$N1673))</f>
        <v/>
      </c>
      <c r="I1673" s="27" t="str">
        <f>IF($N1673="","",INDEX('_calc'!$H$2:$H$3001,$N1673))</f>
        <v/>
      </c>
      <c r="J1673" s="27" t="str">
        <f>IF($N1673="","",INDEX('_calc'!$I$2:$I$3001,$N1673))</f>
        <v/>
      </c>
      <c r="K1673" s="28" t="str">
        <f>IF($N1673="","",IF(OR(I1673="",J1673=""),"",J1673-I1673))</f>
        <v/>
      </c>
      <c r="L1673" s="29" t="str">
        <f>IF($N1673="","",INDEX('_calc'!$J$2:$J$3001,$N1673))</f>
        <v/>
      </c>
      <c r="M1673" s="2" t="str">
        <f>IF($N1673="","",IF(AND(G1673=0,H1673=0),"수량 없음",IF(G1673=0,"신규 (전년 수량 없음)",IF(H1673=0,"당해 수량 없음",""))))</f>
        <v/>
      </c>
      <c r="N1673" t="str">
        <f>IF($B1673="","",MATCH($B1673,'_calc'!$L$2:$L$3001,0))</f>
        <v/>
      </c>
    </row>
    <row r="1674">
      <c r="B1674" s="24" t="str">
        <f>IF(ROW()-ROW($B$8)&gt;nComp,"",ROW()-ROW($B$8))</f>
        <v/>
      </c>
      <c r="C1674" t="str">
        <f>IF($N1674="","",INDEX('_calc'!$A$2:$A$3001,$N1674))</f>
        <v/>
      </c>
      <c r="D1674" s="25" t="str">
        <f>IF($N1674="","",INDEX('_calc'!$C$2:$C$3001,$N1674))</f>
        <v/>
      </c>
      <c r="E1674" s="25" t="str">
        <f>IF($N1674="","",INDEX('_calc'!$D$2:$D$3001,$N1674))</f>
        <v/>
      </c>
      <c r="F1674" s="26" t="str">
        <f>IF($N1674="","",IF($E$8=0,"",E1674/$E$8))</f>
        <v/>
      </c>
      <c r="G1674" s="25" t="str">
        <f>IF($N1674="","",INDEX('_calc'!$E$2:$E$3001,$N1674))</f>
        <v/>
      </c>
      <c r="H1674" s="25" t="str">
        <f>IF($N1674="","",INDEX('_calc'!$F$2:$F$3001,$N1674))</f>
        <v/>
      </c>
      <c r="I1674" s="27" t="str">
        <f>IF($N1674="","",INDEX('_calc'!$H$2:$H$3001,$N1674))</f>
        <v/>
      </c>
      <c r="J1674" s="27" t="str">
        <f>IF($N1674="","",INDEX('_calc'!$I$2:$I$3001,$N1674))</f>
        <v/>
      </c>
      <c r="K1674" s="28" t="str">
        <f>IF($N1674="","",IF(OR(I1674="",J1674=""),"",J1674-I1674))</f>
        <v/>
      </c>
      <c r="L1674" s="29" t="str">
        <f>IF($N1674="","",INDEX('_calc'!$J$2:$J$3001,$N1674))</f>
        <v/>
      </c>
      <c r="M1674" s="2" t="str">
        <f>IF($N1674="","",IF(AND(G1674=0,H1674=0),"수량 없음",IF(G1674=0,"신규 (전년 수량 없음)",IF(H1674=0,"당해 수량 없음",""))))</f>
        <v/>
      </c>
      <c r="N1674" t="str">
        <f>IF($B1674="","",MATCH($B1674,'_calc'!$L$2:$L$3001,0))</f>
        <v/>
      </c>
    </row>
    <row r="1675">
      <c r="B1675" s="24" t="str">
        <f>IF(ROW()-ROW($B$8)&gt;nComp,"",ROW()-ROW($B$8))</f>
        <v/>
      </c>
      <c r="C1675" t="str">
        <f>IF($N1675="","",INDEX('_calc'!$A$2:$A$3001,$N1675))</f>
        <v/>
      </c>
      <c r="D1675" s="25" t="str">
        <f>IF($N1675="","",INDEX('_calc'!$C$2:$C$3001,$N1675))</f>
        <v/>
      </c>
      <c r="E1675" s="25" t="str">
        <f>IF($N1675="","",INDEX('_calc'!$D$2:$D$3001,$N1675))</f>
        <v/>
      </c>
      <c r="F1675" s="26" t="str">
        <f>IF($N1675="","",IF($E$8=0,"",E1675/$E$8))</f>
        <v/>
      </c>
      <c r="G1675" s="25" t="str">
        <f>IF($N1675="","",INDEX('_calc'!$E$2:$E$3001,$N1675))</f>
        <v/>
      </c>
      <c r="H1675" s="25" t="str">
        <f>IF($N1675="","",INDEX('_calc'!$F$2:$F$3001,$N1675))</f>
        <v/>
      </c>
      <c r="I1675" s="27" t="str">
        <f>IF($N1675="","",INDEX('_calc'!$H$2:$H$3001,$N1675))</f>
        <v/>
      </c>
      <c r="J1675" s="27" t="str">
        <f>IF($N1675="","",INDEX('_calc'!$I$2:$I$3001,$N1675))</f>
        <v/>
      </c>
      <c r="K1675" s="28" t="str">
        <f>IF($N1675="","",IF(OR(I1675="",J1675=""),"",J1675-I1675))</f>
        <v/>
      </c>
      <c r="L1675" s="29" t="str">
        <f>IF($N1675="","",INDEX('_calc'!$J$2:$J$3001,$N1675))</f>
        <v/>
      </c>
      <c r="M1675" s="2" t="str">
        <f>IF($N1675="","",IF(AND(G1675=0,H1675=0),"수량 없음",IF(G1675=0,"신규 (전년 수량 없음)",IF(H1675=0,"당해 수량 없음",""))))</f>
        <v/>
      </c>
      <c r="N1675" t="str">
        <f>IF($B1675="","",MATCH($B1675,'_calc'!$L$2:$L$3001,0))</f>
        <v/>
      </c>
    </row>
    <row r="1676">
      <c r="B1676" s="24" t="str">
        <f>IF(ROW()-ROW($B$8)&gt;nComp,"",ROW()-ROW($B$8))</f>
        <v/>
      </c>
      <c r="C1676" t="str">
        <f>IF($N1676="","",INDEX('_calc'!$A$2:$A$3001,$N1676))</f>
        <v/>
      </c>
      <c r="D1676" s="25" t="str">
        <f>IF($N1676="","",INDEX('_calc'!$C$2:$C$3001,$N1676))</f>
        <v/>
      </c>
      <c r="E1676" s="25" t="str">
        <f>IF($N1676="","",INDEX('_calc'!$D$2:$D$3001,$N1676))</f>
        <v/>
      </c>
      <c r="F1676" s="26" t="str">
        <f>IF($N1676="","",IF($E$8=0,"",E1676/$E$8))</f>
        <v/>
      </c>
      <c r="G1676" s="25" t="str">
        <f>IF($N1676="","",INDEX('_calc'!$E$2:$E$3001,$N1676))</f>
        <v/>
      </c>
      <c r="H1676" s="25" t="str">
        <f>IF($N1676="","",INDEX('_calc'!$F$2:$F$3001,$N1676))</f>
        <v/>
      </c>
      <c r="I1676" s="27" t="str">
        <f>IF($N1676="","",INDEX('_calc'!$H$2:$H$3001,$N1676))</f>
        <v/>
      </c>
      <c r="J1676" s="27" t="str">
        <f>IF($N1676="","",INDEX('_calc'!$I$2:$I$3001,$N1676))</f>
        <v/>
      </c>
      <c r="K1676" s="28" t="str">
        <f>IF($N1676="","",IF(OR(I1676="",J1676=""),"",J1676-I1676))</f>
        <v/>
      </c>
      <c r="L1676" s="29" t="str">
        <f>IF($N1676="","",INDEX('_calc'!$J$2:$J$3001,$N1676))</f>
        <v/>
      </c>
      <c r="M1676" s="2" t="str">
        <f>IF($N1676="","",IF(AND(G1676=0,H1676=0),"수량 없음",IF(G1676=0,"신규 (전년 수량 없음)",IF(H1676=0,"당해 수량 없음",""))))</f>
        <v/>
      </c>
      <c r="N1676" t="str">
        <f>IF($B1676="","",MATCH($B1676,'_calc'!$L$2:$L$3001,0))</f>
        <v/>
      </c>
    </row>
    <row r="1677">
      <c r="B1677" s="24" t="str">
        <f>IF(ROW()-ROW($B$8)&gt;nComp,"",ROW()-ROW($B$8))</f>
        <v/>
      </c>
      <c r="C1677" t="str">
        <f>IF($N1677="","",INDEX('_calc'!$A$2:$A$3001,$N1677))</f>
        <v/>
      </c>
      <c r="D1677" s="25" t="str">
        <f>IF($N1677="","",INDEX('_calc'!$C$2:$C$3001,$N1677))</f>
        <v/>
      </c>
      <c r="E1677" s="25" t="str">
        <f>IF($N1677="","",INDEX('_calc'!$D$2:$D$3001,$N1677))</f>
        <v/>
      </c>
      <c r="F1677" s="26" t="str">
        <f>IF($N1677="","",IF($E$8=0,"",E1677/$E$8))</f>
        <v/>
      </c>
      <c r="G1677" s="25" t="str">
        <f>IF($N1677="","",INDEX('_calc'!$E$2:$E$3001,$N1677))</f>
        <v/>
      </c>
      <c r="H1677" s="25" t="str">
        <f>IF($N1677="","",INDEX('_calc'!$F$2:$F$3001,$N1677))</f>
        <v/>
      </c>
      <c r="I1677" s="27" t="str">
        <f>IF($N1677="","",INDEX('_calc'!$H$2:$H$3001,$N1677))</f>
        <v/>
      </c>
      <c r="J1677" s="27" t="str">
        <f>IF($N1677="","",INDEX('_calc'!$I$2:$I$3001,$N1677))</f>
        <v/>
      </c>
      <c r="K1677" s="28" t="str">
        <f>IF($N1677="","",IF(OR(I1677="",J1677=""),"",J1677-I1677))</f>
        <v/>
      </c>
      <c r="L1677" s="29" t="str">
        <f>IF($N1677="","",INDEX('_calc'!$J$2:$J$3001,$N1677))</f>
        <v/>
      </c>
      <c r="M1677" s="2" t="str">
        <f>IF($N1677="","",IF(AND(G1677=0,H1677=0),"수량 없음",IF(G1677=0,"신규 (전년 수량 없음)",IF(H1677=0,"당해 수량 없음",""))))</f>
        <v/>
      </c>
      <c r="N1677" t="str">
        <f>IF($B1677="","",MATCH($B1677,'_calc'!$L$2:$L$3001,0))</f>
        <v/>
      </c>
    </row>
    <row r="1678">
      <c r="B1678" s="24" t="str">
        <f>IF(ROW()-ROW($B$8)&gt;nComp,"",ROW()-ROW($B$8))</f>
        <v/>
      </c>
      <c r="C1678" t="str">
        <f>IF($N1678="","",INDEX('_calc'!$A$2:$A$3001,$N1678))</f>
        <v/>
      </c>
      <c r="D1678" s="25" t="str">
        <f>IF($N1678="","",INDEX('_calc'!$C$2:$C$3001,$N1678))</f>
        <v/>
      </c>
      <c r="E1678" s="25" t="str">
        <f>IF($N1678="","",INDEX('_calc'!$D$2:$D$3001,$N1678))</f>
        <v/>
      </c>
      <c r="F1678" s="26" t="str">
        <f>IF($N1678="","",IF($E$8=0,"",E1678/$E$8))</f>
        <v/>
      </c>
      <c r="G1678" s="25" t="str">
        <f>IF($N1678="","",INDEX('_calc'!$E$2:$E$3001,$N1678))</f>
        <v/>
      </c>
      <c r="H1678" s="25" t="str">
        <f>IF($N1678="","",INDEX('_calc'!$F$2:$F$3001,$N1678))</f>
        <v/>
      </c>
      <c r="I1678" s="27" t="str">
        <f>IF($N1678="","",INDEX('_calc'!$H$2:$H$3001,$N1678))</f>
        <v/>
      </c>
      <c r="J1678" s="27" t="str">
        <f>IF($N1678="","",INDEX('_calc'!$I$2:$I$3001,$N1678))</f>
        <v/>
      </c>
      <c r="K1678" s="28" t="str">
        <f>IF($N1678="","",IF(OR(I1678="",J1678=""),"",J1678-I1678))</f>
        <v/>
      </c>
      <c r="L1678" s="29" t="str">
        <f>IF($N1678="","",INDEX('_calc'!$J$2:$J$3001,$N1678))</f>
        <v/>
      </c>
      <c r="M1678" s="2" t="str">
        <f>IF($N1678="","",IF(AND(G1678=0,H1678=0),"수량 없음",IF(G1678=0,"신규 (전년 수량 없음)",IF(H1678=0,"당해 수량 없음",""))))</f>
        <v/>
      </c>
      <c r="N1678" t="str">
        <f>IF($B1678="","",MATCH($B1678,'_calc'!$L$2:$L$3001,0))</f>
        <v/>
      </c>
    </row>
    <row r="1679">
      <c r="B1679" s="24" t="str">
        <f>IF(ROW()-ROW($B$8)&gt;nComp,"",ROW()-ROW($B$8))</f>
        <v/>
      </c>
      <c r="C1679" t="str">
        <f>IF($N1679="","",INDEX('_calc'!$A$2:$A$3001,$N1679))</f>
        <v/>
      </c>
      <c r="D1679" s="25" t="str">
        <f>IF($N1679="","",INDEX('_calc'!$C$2:$C$3001,$N1679))</f>
        <v/>
      </c>
      <c r="E1679" s="25" t="str">
        <f>IF($N1679="","",INDEX('_calc'!$D$2:$D$3001,$N1679))</f>
        <v/>
      </c>
      <c r="F1679" s="26" t="str">
        <f>IF($N1679="","",IF($E$8=0,"",E1679/$E$8))</f>
        <v/>
      </c>
      <c r="G1679" s="25" t="str">
        <f>IF($N1679="","",INDEX('_calc'!$E$2:$E$3001,$N1679))</f>
        <v/>
      </c>
      <c r="H1679" s="25" t="str">
        <f>IF($N1679="","",INDEX('_calc'!$F$2:$F$3001,$N1679))</f>
        <v/>
      </c>
      <c r="I1679" s="27" t="str">
        <f>IF($N1679="","",INDEX('_calc'!$H$2:$H$3001,$N1679))</f>
        <v/>
      </c>
      <c r="J1679" s="27" t="str">
        <f>IF($N1679="","",INDEX('_calc'!$I$2:$I$3001,$N1679))</f>
        <v/>
      </c>
      <c r="K1679" s="28" t="str">
        <f>IF($N1679="","",IF(OR(I1679="",J1679=""),"",J1679-I1679))</f>
        <v/>
      </c>
      <c r="L1679" s="29" t="str">
        <f>IF($N1679="","",INDEX('_calc'!$J$2:$J$3001,$N1679))</f>
        <v/>
      </c>
      <c r="M1679" s="2" t="str">
        <f>IF($N1679="","",IF(AND(G1679=0,H1679=0),"수량 없음",IF(G1679=0,"신규 (전년 수량 없음)",IF(H1679=0,"당해 수량 없음",""))))</f>
        <v/>
      </c>
      <c r="N1679" t="str">
        <f>IF($B1679="","",MATCH($B1679,'_calc'!$L$2:$L$3001,0))</f>
        <v/>
      </c>
    </row>
    <row r="1680">
      <c r="B1680" s="24" t="str">
        <f>IF(ROW()-ROW($B$8)&gt;nComp,"",ROW()-ROW($B$8))</f>
        <v/>
      </c>
      <c r="C1680" t="str">
        <f>IF($N1680="","",INDEX('_calc'!$A$2:$A$3001,$N1680))</f>
        <v/>
      </c>
      <c r="D1680" s="25" t="str">
        <f>IF($N1680="","",INDEX('_calc'!$C$2:$C$3001,$N1680))</f>
        <v/>
      </c>
      <c r="E1680" s="25" t="str">
        <f>IF($N1680="","",INDEX('_calc'!$D$2:$D$3001,$N1680))</f>
        <v/>
      </c>
      <c r="F1680" s="26" t="str">
        <f>IF($N1680="","",IF($E$8=0,"",E1680/$E$8))</f>
        <v/>
      </c>
      <c r="G1680" s="25" t="str">
        <f>IF($N1680="","",INDEX('_calc'!$E$2:$E$3001,$N1680))</f>
        <v/>
      </c>
      <c r="H1680" s="25" t="str">
        <f>IF($N1680="","",INDEX('_calc'!$F$2:$F$3001,$N1680))</f>
        <v/>
      </c>
      <c r="I1680" s="27" t="str">
        <f>IF($N1680="","",INDEX('_calc'!$H$2:$H$3001,$N1680))</f>
        <v/>
      </c>
      <c r="J1680" s="27" t="str">
        <f>IF($N1680="","",INDEX('_calc'!$I$2:$I$3001,$N1680))</f>
        <v/>
      </c>
      <c r="K1680" s="28" t="str">
        <f>IF($N1680="","",IF(OR(I1680="",J1680=""),"",J1680-I1680))</f>
        <v/>
      </c>
      <c r="L1680" s="29" t="str">
        <f>IF($N1680="","",INDEX('_calc'!$J$2:$J$3001,$N1680))</f>
        <v/>
      </c>
      <c r="M1680" s="2" t="str">
        <f>IF($N1680="","",IF(AND(G1680=0,H1680=0),"수량 없음",IF(G1680=0,"신규 (전년 수량 없음)",IF(H1680=0,"당해 수량 없음",""))))</f>
        <v/>
      </c>
      <c r="N1680" t="str">
        <f>IF($B1680="","",MATCH($B1680,'_calc'!$L$2:$L$3001,0))</f>
        <v/>
      </c>
    </row>
    <row r="1681">
      <c r="B1681" s="24" t="str">
        <f>IF(ROW()-ROW($B$8)&gt;nComp,"",ROW()-ROW($B$8))</f>
        <v/>
      </c>
      <c r="C1681" t="str">
        <f>IF($N1681="","",INDEX('_calc'!$A$2:$A$3001,$N1681))</f>
        <v/>
      </c>
      <c r="D1681" s="25" t="str">
        <f>IF($N1681="","",INDEX('_calc'!$C$2:$C$3001,$N1681))</f>
        <v/>
      </c>
      <c r="E1681" s="25" t="str">
        <f>IF($N1681="","",INDEX('_calc'!$D$2:$D$3001,$N1681))</f>
        <v/>
      </c>
      <c r="F1681" s="26" t="str">
        <f>IF($N1681="","",IF($E$8=0,"",E1681/$E$8))</f>
        <v/>
      </c>
      <c r="G1681" s="25" t="str">
        <f>IF($N1681="","",INDEX('_calc'!$E$2:$E$3001,$N1681))</f>
        <v/>
      </c>
      <c r="H1681" s="25" t="str">
        <f>IF($N1681="","",INDEX('_calc'!$F$2:$F$3001,$N1681))</f>
        <v/>
      </c>
      <c r="I1681" s="27" t="str">
        <f>IF($N1681="","",INDEX('_calc'!$H$2:$H$3001,$N1681))</f>
        <v/>
      </c>
      <c r="J1681" s="27" t="str">
        <f>IF($N1681="","",INDEX('_calc'!$I$2:$I$3001,$N1681))</f>
        <v/>
      </c>
      <c r="K1681" s="28" t="str">
        <f>IF($N1681="","",IF(OR(I1681="",J1681=""),"",J1681-I1681))</f>
        <v/>
      </c>
      <c r="L1681" s="29" t="str">
        <f>IF($N1681="","",INDEX('_calc'!$J$2:$J$3001,$N1681))</f>
        <v/>
      </c>
      <c r="M1681" s="2" t="str">
        <f>IF($N1681="","",IF(AND(G1681=0,H1681=0),"수량 없음",IF(G1681=0,"신규 (전년 수량 없음)",IF(H1681=0,"당해 수량 없음",""))))</f>
        <v/>
      </c>
      <c r="N1681" t="str">
        <f>IF($B1681="","",MATCH($B1681,'_calc'!$L$2:$L$3001,0))</f>
        <v/>
      </c>
    </row>
    <row r="1682">
      <c r="B1682" s="24" t="str">
        <f>IF(ROW()-ROW($B$8)&gt;nComp,"",ROW()-ROW($B$8))</f>
        <v/>
      </c>
      <c r="C1682" t="str">
        <f>IF($N1682="","",INDEX('_calc'!$A$2:$A$3001,$N1682))</f>
        <v/>
      </c>
      <c r="D1682" s="25" t="str">
        <f>IF($N1682="","",INDEX('_calc'!$C$2:$C$3001,$N1682))</f>
        <v/>
      </c>
      <c r="E1682" s="25" t="str">
        <f>IF($N1682="","",INDEX('_calc'!$D$2:$D$3001,$N1682))</f>
        <v/>
      </c>
      <c r="F1682" s="26" t="str">
        <f>IF($N1682="","",IF($E$8=0,"",E1682/$E$8))</f>
        <v/>
      </c>
      <c r="G1682" s="25" t="str">
        <f>IF($N1682="","",INDEX('_calc'!$E$2:$E$3001,$N1682))</f>
        <v/>
      </c>
      <c r="H1682" s="25" t="str">
        <f>IF($N1682="","",INDEX('_calc'!$F$2:$F$3001,$N1682))</f>
        <v/>
      </c>
      <c r="I1682" s="27" t="str">
        <f>IF($N1682="","",INDEX('_calc'!$H$2:$H$3001,$N1682))</f>
        <v/>
      </c>
      <c r="J1682" s="27" t="str">
        <f>IF($N1682="","",INDEX('_calc'!$I$2:$I$3001,$N1682))</f>
        <v/>
      </c>
      <c r="K1682" s="28" t="str">
        <f>IF($N1682="","",IF(OR(I1682="",J1682=""),"",J1682-I1682))</f>
        <v/>
      </c>
      <c r="L1682" s="29" t="str">
        <f>IF($N1682="","",INDEX('_calc'!$J$2:$J$3001,$N1682))</f>
        <v/>
      </c>
      <c r="M1682" s="2" t="str">
        <f>IF($N1682="","",IF(AND(G1682=0,H1682=0),"수량 없음",IF(G1682=0,"신규 (전년 수량 없음)",IF(H1682=0,"당해 수량 없음",""))))</f>
        <v/>
      </c>
      <c r="N1682" t="str">
        <f>IF($B1682="","",MATCH($B1682,'_calc'!$L$2:$L$3001,0))</f>
        <v/>
      </c>
    </row>
    <row r="1683">
      <c r="B1683" s="24" t="str">
        <f>IF(ROW()-ROW($B$8)&gt;nComp,"",ROW()-ROW($B$8))</f>
        <v/>
      </c>
      <c r="C1683" t="str">
        <f>IF($N1683="","",INDEX('_calc'!$A$2:$A$3001,$N1683))</f>
        <v/>
      </c>
      <c r="D1683" s="25" t="str">
        <f>IF($N1683="","",INDEX('_calc'!$C$2:$C$3001,$N1683))</f>
        <v/>
      </c>
      <c r="E1683" s="25" t="str">
        <f>IF($N1683="","",INDEX('_calc'!$D$2:$D$3001,$N1683))</f>
        <v/>
      </c>
      <c r="F1683" s="26" t="str">
        <f>IF($N1683="","",IF($E$8=0,"",E1683/$E$8))</f>
        <v/>
      </c>
      <c r="G1683" s="25" t="str">
        <f>IF($N1683="","",INDEX('_calc'!$E$2:$E$3001,$N1683))</f>
        <v/>
      </c>
      <c r="H1683" s="25" t="str">
        <f>IF($N1683="","",INDEX('_calc'!$F$2:$F$3001,$N1683))</f>
        <v/>
      </c>
      <c r="I1683" s="27" t="str">
        <f>IF($N1683="","",INDEX('_calc'!$H$2:$H$3001,$N1683))</f>
        <v/>
      </c>
      <c r="J1683" s="27" t="str">
        <f>IF($N1683="","",INDEX('_calc'!$I$2:$I$3001,$N1683))</f>
        <v/>
      </c>
      <c r="K1683" s="28" t="str">
        <f>IF($N1683="","",IF(OR(I1683="",J1683=""),"",J1683-I1683))</f>
        <v/>
      </c>
      <c r="L1683" s="29" t="str">
        <f>IF($N1683="","",INDEX('_calc'!$J$2:$J$3001,$N1683))</f>
        <v/>
      </c>
      <c r="M1683" s="2" t="str">
        <f>IF($N1683="","",IF(AND(G1683=0,H1683=0),"수량 없음",IF(G1683=0,"신규 (전년 수량 없음)",IF(H1683=0,"당해 수량 없음",""))))</f>
        <v/>
      </c>
      <c r="N1683" t="str">
        <f>IF($B1683="","",MATCH($B1683,'_calc'!$L$2:$L$3001,0))</f>
        <v/>
      </c>
    </row>
    <row r="1684">
      <c r="B1684" s="24" t="str">
        <f>IF(ROW()-ROW($B$8)&gt;nComp,"",ROW()-ROW($B$8))</f>
        <v/>
      </c>
      <c r="C1684" t="str">
        <f>IF($N1684="","",INDEX('_calc'!$A$2:$A$3001,$N1684))</f>
        <v/>
      </c>
      <c r="D1684" s="25" t="str">
        <f>IF($N1684="","",INDEX('_calc'!$C$2:$C$3001,$N1684))</f>
        <v/>
      </c>
      <c r="E1684" s="25" t="str">
        <f>IF($N1684="","",INDEX('_calc'!$D$2:$D$3001,$N1684))</f>
        <v/>
      </c>
      <c r="F1684" s="26" t="str">
        <f>IF($N1684="","",IF($E$8=0,"",E1684/$E$8))</f>
        <v/>
      </c>
      <c r="G1684" s="25" t="str">
        <f>IF($N1684="","",INDEX('_calc'!$E$2:$E$3001,$N1684))</f>
        <v/>
      </c>
      <c r="H1684" s="25" t="str">
        <f>IF($N1684="","",INDEX('_calc'!$F$2:$F$3001,$N1684))</f>
        <v/>
      </c>
      <c r="I1684" s="27" t="str">
        <f>IF($N1684="","",INDEX('_calc'!$H$2:$H$3001,$N1684))</f>
        <v/>
      </c>
      <c r="J1684" s="27" t="str">
        <f>IF($N1684="","",INDEX('_calc'!$I$2:$I$3001,$N1684))</f>
        <v/>
      </c>
      <c r="K1684" s="28" t="str">
        <f>IF($N1684="","",IF(OR(I1684="",J1684=""),"",J1684-I1684))</f>
        <v/>
      </c>
      <c r="L1684" s="29" t="str">
        <f>IF($N1684="","",INDEX('_calc'!$J$2:$J$3001,$N1684))</f>
        <v/>
      </c>
      <c r="M1684" s="2" t="str">
        <f>IF($N1684="","",IF(AND(G1684=0,H1684=0),"수량 없음",IF(G1684=0,"신규 (전년 수량 없음)",IF(H1684=0,"당해 수량 없음",""))))</f>
        <v/>
      </c>
      <c r="N1684" t="str">
        <f>IF($B1684="","",MATCH($B1684,'_calc'!$L$2:$L$3001,0))</f>
        <v/>
      </c>
    </row>
    <row r="1685">
      <c r="B1685" s="24" t="str">
        <f>IF(ROW()-ROW($B$8)&gt;nComp,"",ROW()-ROW($B$8))</f>
        <v/>
      </c>
      <c r="C1685" t="str">
        <f>IF($N1685="","",INDEX('_calc'!$A$2:$A$3001,$N1685))</f>
        <v/>
      </c>
      <c r="D1685" s="25" t="str">
        <f>IF($N1685="","",INDEX('_calc'!$C$2:$C$3001,$N1685))</f>
        <v/>
      </c>
      <c r="E1685" s="25" t="str">
        <f>IF($N1685="","",INDEX('_calc'!$D$2:$D$3001,$N1685))</f>
        <v/>
      </c>
      <c r="F1685" s="26" t="str">
        <f>IF($N1685="","",IF($E$8=0,"",E1685/$E$8))</f>
        <v/>
      </c>
      <c r="G1685" s="25" t="str">
        <f>IF($N1685="","",INDEX('_calc'!$E$2:$E$3001,$N1685))</f>
        <v/>
      </c>
      <c r="H1685" s="25" t="str">
        <f>IF($N1685="","",INDEX('_calc'!$F$2:$F$3001,$N1685))</f>
        <v/>
      </c>
      <c r="I1685" s="27" t="str">
        <f>IF($N1685="","",INDEX('_calc'!$H$2:$H$3001,$N1685))</f>
        <v/>
      </c>
      <c r="J1685" s="27" t="str">
        <f>IF($N1685="","",INDEX('_calc'!$I$2:$I$3001,$N1685))</f>
        <v/>
      </c>
      <c r="K1685" s="28" t="str">
        <f>IF($N1685="","",IF(OR(I1685="",J1685=""),"",J1685-I1685))</f>
        <v/>
      </c>
      <c r="L1685" s="29" t="str">
        <f>IF($N1685="","",INDEX('_calc'!$J$2:$J$3001,$N1685))</f>
        <v/>
      </c>
      <c r="M1685" s="2" t="str">
        <f>IF($N1685="","",IF(AND(G1685=0,H1685=0),"수량 없음",IF(G1685=0,"신규 (전년 수량 없음)",IF(H1685=0,"당해 수량 없음",""))))</f>
        <v/>
      </c>
      <c r="N1685" t="str">
        <f>IF($B1685="","",MATCH($B1685,'_calc'!$L$2:$L$3001,0))</f>
        <v/>
      </c>
    </row>
    <row r="1686">
      <c r="B1686" s="24" t="str">
        <f>IF(ROW()-ROW($B$8)&gt;nComp,"",ROW()-ROW($B$8))</f>
        <v/>
      </c>
      <c r="C1686" t="str">
        <f>IF($N1686="","",INDEX('_calc'!$A$2:$A$3001,$N1686))</f>
        <v/>
      </c>
      <c r="D1686" s="25" t="str">
        <f>IF($N1686="","",INDEX('_calc'!$C$2:$C$3001,$N1686))</f>
        <v/>
      </c>
      <c r="E1686" s="25" t="str">
        <f>IF($N1686="","",INDEX('_calc'!$D$2:$D$3001,$N1686))</f>
        <v/>
      </c>
      <c r="F1686" s="26" t="str">
        <f>IF($N1686="","",IF($E$8=0,"",E1686/$E$8))</f>
        <v/>
      </c>
      <c r="G1686" s="25" t="str">
        <f>IF($N1686="","",INDEX('_calc'!$E$2:$E$3001,$N1686))</f>
        <v/>
      </c>
      <c r="H1686" s="25" t="str">
        <f>IF($N1686="","",INDEX('_calc'!$F$2:$F$3001,$N1686))</f>
        <v/>
      </c>
      <c r="I1686" s="27" t="str">
        <f>IF($N1686="","",INDEX('_calc'!$H$2:$H$3001,$N1686))</f>
        <v/>
      </c>
      <c r="J1686" s="27" t="str">
        <f>IF($N1686="","",INDEX('_calc'!$I$2:$I$3001,$N1686))</f>
        <v/>
      </c>
      <c r="K1686" s="28" t="str">
        <f>IF($N1686="","",IF(OR(I1686="",J1686=""),"",J1686-I1686))</f>
        <v/>
      </c>
      <c r="L1686" s="29" t="str">
        <f>IF($N1686="","",INDEX('_calc'!$J$2:$J$3001,$N1686))</f>
        <v/>
      </c>
      <c r="M1686" s="2" t="str">
        <f>IF($N1686="","",IF(AND(G1686=0,H1686=0),"수량 없음",IF(G1686=0,"신규 (전년 수량 없음)",IF(H1686=0,"당해 수량 없음",""))))</f>
        <v/>
      </c>
      <c r="N1686" t="str">
        <f>IF($B1686="","",MATCH($B1686,'_calc'!$L$2:$L$3001,0))</f>
        <v/>
      </c>
    </row>
    <row r="1687">
      <c r="B1687" s="24" t="str">
        <f>IF(ROW()-ROW($B$8)&gt;nComp,"",ROW()-ROW($B$8))</f>
        <v/>
      </c>
      <c r="C1687" t="str">
        <f>IF($N1687="","",INDEX('_calc'!$A$2:$A$3001,$N1687))</f>
        <v/>
      </c>
      <c r="D1687" s="25" t="str">
        <f>IF($N1687="","",INDEX('_calc'!$C$2:$C$3001,$N1687))</f>
        <v/>
      </c>
      <c r="E1687" s="25" t="str">
        <f>IF($N1687="","",INDEX('_calc'!$D$2:$D$3001,$N1687))</f>
        <v/>
      </c>
      <c r="F1687" s="26" t="str">
        <f>IF($N1687="","",IF($E$8=0,"",E1687/$E$8))</f>
        <v/>
      </c>
      <c r="G1687" s="25" t="str">
        <f>IF($N1687="","",INDEX('_calc'!$E$2:$E$3001,$N1687))</f>
        <v/>
      </c>
      <c r="H1687" s="25" t="str">
        <f>IF($N1687="","",INDEX('_calc'!$F$2:$F$3001,$N1687))</f>
        <v/>
      </c>
      <c r="I1687" s="27" t="str">
        <f>IF($N1687="","",INDEX('_calc'!$H$2:$H$3001,$N1687))</f>
        <v/>
      </c>
      <c r="J1687" s="27" t="str">
        <f>IF($N1687="","",INDEX('_calc'!$I$2:$I$3001,$N1687))</f>
        <v/>
      </c>
      <c r="K1687" s="28" t="str">
        <f>IF($N1687="","",IF(OR(I1687="",J1687=""),"",J1687-I1687))</f>
        <v/>
      </c>
      <c r="L1687" s="29" t="str">
        <f>IF($N1687="","",INDEX('_calc'!$J$2:$J$3001,$N1687))</f>
        <v/>
      </c>
      <c r="M1687" s="2" t="str">
        <f>IF($N1687="","",IF(AND(G1687=0,H1687=0),"수량 없음",IF(G1687=0,"신규 (전년 수량 없음)",IF(H1687=0,"당해 수량 없음",""))))</f>
        <v/>
      </c>
      <c r="N1687" t="str">
        <f>IF($B1687="","",MATCH($B1687,'_calc'!$L$2:$L$3001,0))</f>
        <v/>
      </c>
    </row>
    <row r="1688">
      <c r="B1688" s="24" t="str">
        <f>IF(ROW()-ROW($B$8)&gt;nComp,"",ROW()-ROW($B$8))</f>
        <v/>
      </c>
      <c r="C1688" t="str">
        <f>IF($N1688="","",INDEX('_calc'!$A$2:$A$3001,$N1688))</f>
        <v/>
      </c>
      <c r="D1688" s="25" t="str">
        <f>IF($N1688="","",INDEX('_calc'!$C$2:$C$3001,$N1688))</f>
        <v/>
      </c>
      <c r="E1688" s="25" t="str">
        <f>IF($N1688="","",INDEX('_calc'!$D$2:$D$3001,$N1688))</f>
        <v/>
      </c>
      <c r="F1688" s="26" t="str">
        <f>IF($N1688="","",IF($E$8=0,"",E1688/$E$8))</f>
        <v/>
      </c>
      <c r="G1688" s="25" t="str">
        <f>IF($N1688="","",INDEX('_calc'!$E$2:$E$3001,$N1688))</f>
        <v/>
      </c>
      <c r="H1688" s="25" t="str">
        <f>IF($N1688="","",INDEX('_calc'!$F$2:$F$3001,$N1688))</f>
        <v/>
      </c>
      <c r="I1688" s="27" t="str">
        <f>IF($N1688="","",INDEX('_calc'!$H$2:$H$3001,$N1688))</f>
        <v/>
      </c>
      <c r="J1688" s="27" t="str">
        <f>IF($N1688="","",INDEX('_calc'!$I$2:$I$3001,$N1688))</f>
        <v/>
      </c>
      <c r="K1688" s="28" t="str">
        <f>IF($N1688="","",IF(OR(I1688="",J1688=""),"",J1688-I1688))</f>
        <v/>
      </c>
      <c r="L1688" s="29" t="str">
        <f>IF($N1688="","",INDEX('_calc'!$J$2:$J$3001,$N1688))</f>
        <v/>
      </c>
      <c r="M1688" s="2" t="str">
        <f>IF($N1688="","",IF(AND(G1688=0,H1688=0),"수량 없음",IF(G1688=0,"신규 (전년 수량 없음)",IF(H1688=0,"당해 수량 없음",""))))</f>
        <v/>
      </c>
      <c r="N1688" t="str">
        <f>IF($B1688="","",MATCH($B1688,'_calc'!$L$2:$L$3001,0))</f>
        <v/>
      </c>
    </row>
    <row r="1689">
      <c r="B1689" s="24" t="str">
        <f>IF(ROW()-ROW($B$8)&gt;nComp,"",ROW()-ROW($B$8))</f>
        <v/>
      </c>
      <c r="C1689" t="str">
        <f>IF($N1689="","",INDEX('_calc'!$A$2:$A$3001,$N1689))</f>
        <v/>
      </c>
      <c r="D1689" s="25" t="str">
        <f>IF($N1689="","",INDEX('_calc'!$C$2:$C$3001,$N1689))</f>
        <v/>
      </c>
      <c r="E1689" s="25" t="str">
        <f>IF($N1689="","",INDEX('_calc'!$D$2:$D$3001,$N1689))</f>
        <v/>
      </c>
      <c r="F1689" s="26" t="str">
        <f>IF($N1689="","",IF($E$8=0,"",E1689/$E$8))</f>
        <v/>
      </c>
      <c r="G1689" s="25" t="str">
        <f>IF($N1689="","",INDEX('_calc'!$E$2:$E$3001,$N1689))</f>
        <v/>
      </c>
      <c r="H1689" s="25" t="str">
        <f>IF($N1689="","",INDEX('_calc'!$F$2:$F$3001,$N1689))</f>
        <v/>
      </c>
      <c r="I1689" s="27" t="str">
        <f>IF($N1689="","",INDEX('_calc'!$H$2:$H$3001,$N1689))</f>
        <v/>
      </c>
      <c r="J1689" s="27" t="str">
        <f>IF($N1689="","",INDEX('_calc'!$I$2:$I$3001,$N1689))</f>
        <v/>
      </c>
      <c r="K1689" s="28" t="str">
        <f>IF($N1689="","",IF(OR(I1689="",J1689=""),"",J1689-I1689))</f>
        <v/>
      </c>
      <c r="L1689" s="29" t="str">
        <f>IF($N1689="","",INDEX('_calc'!$J$2:$J$3001,$N1689))</f>
        <v/>
      </c>
      <c r="M1689" s="2" t="str">
        <f>IF($N1689="","",IF(AND(G1689=0,H1689=0),"수량 없음",IF(G1689=0,"신규 (전년 수량 없음)",IF(H1689=0,"당해 수량 없음",""))))</f>
        <v/>
      </c>
      <c r="N1689" t="str">
        <f>IF($B1689="","",MATCH($B1689,'_calc'!$L$2:$L$3001,0))</f>
        <v/>
      </c>
    </row>
    <row r="1690">
      <c r="B1690" s="24" t="str">
        <f>IF(ROW()-ROW($B$8)&gt;nComp,"",ROW()-ROW($B$8))</f>
        <v/>
      </c>
      <c r="C1690" t="str">
        <f>IF($N1690="","",INDEX('_calc'!$A$2:$A$3001,$N1690))</f>
        <v/>
      </c>
      <c r="D1690" s="25" t="str">
        <f>IF($N1690="","",INDEX('_calc'!$C$2:$C$3001,$N1690))</f>
        <v/>
      </c>
      <c r="E1690" s="25" t="str">
        <f>IF($N1690="","",INDEX('_calc'!$D$2:$D$3001,$N1690))</f>
        <v/>
      </c>
      <c r="F1690" s="26" t="str">
        <f>IF($N1690="","",IF($E$8=0,"",E1690/$E$8))</f>
        <v/>
      </c>
      <c r="G1690" s="25" t="str">
        <f>IF($N1690="","",INDEX('_calc'!$E$2:$E$3001,$N1690))</f>
        <v/>
      </c>
      <c r="H1690" s="25" t="str">
        <f>IF($N1690="","",INDEX('_calc'!$F$2:$F$3001,$N1690))</f>
        <v/>
      </c>
      <c r="I1690" s="27" t="str">
        <f>IF($N1690="","",INDEX('_calc'!$H$2:$H$3001,$N1690))</f>
        <v/>
      </c>
      <c r="J1690" s="27" t="str">
        <f>IF($N1690="","",INDEX('_calc'!$I$2:$I$3001,$N1690))</f>
        <v/>
      </c>
      <c r="K1690" s="28" t="str">
        <f>IF($N1690="","",IF(OR(I1690="",J1690=""),"",J1690-I1690))</f>
        <v/>
      </c>
      <c r="L1690" s="29" t="str">
        <f>IF($N1690="","",INDEX('_calc'!$J$2:$J$3001,$N1690))</f>
        <v/>
      </c>
      <c r="M1690" s="2" t="str">
        <f>IF($N1690="","",IF(AND(G1690=0,H1690=0),"수량 없음",IF(G1690=0,"신규 (전년 수량 없음)",IF(H1690=0,"당해 수량 없음",""))))</f>
        <v/>
      </c>
      <c r="N1690" t="str">
        <f>IF($B1690="","",MATCH($B1690,'_calc'!$L$2:$L$3001,0))</f>
        <v/>
      </c>
    </row>
    <row r="1691">
      <c r="B1691" s="24" t="str">
        <f>IF(ROW()-ROW($B$8)&gt;nComp,"",ROW()-ROW($B$8))</f>
        <v/>
      </c>
      <c r="C1691" t="str">
        <f>IF($N1691="","",INDEX('_calc'!$A$2:$A$3001,$N1691))</f>
        <v/>
      </c>
      <c r="D1691" s="25" t="str">
        <f>IF($N1691="","",INDEX('_calc'!$C$2:$C$3001,$N1691))</f>
        <v/>
      </c>
      <c r="E1691" s="25" t="str">
        <f>IF($N1691="","",INDEX('_calc'!$D$2:$D$3001,$N1691))</f>
        <v/>
      </c>
      <c r="F1691" s="26" t="str">
        <f>IF($N1691="","",IF($E$8=0,"",E1691/$E$8))</f>
        <v/>
      </c>
      <c r="G1691" s="25" t="str">
        <f>IF($N1691="","",INDEX('_calc'!$E$2:$E$3001,$N1691))</f>
        <v/>
      </c>
      <c r="H1691" s="25" t="str">
        <f>IF($N1691="","",INDEX('_calc'!$F$2:$F$3001,$N1691))</f>
        <v/>
      </c>
      <c r="I1691" s="27" t="str">
        <f>IF($N1691="","",INDEX('_calc'!$H$2:$H$3001,$N1691))</f>
        <v/>
      </c>
      <c r="J1691" s="27" t="str">
        <f>IF($N1691="","",INDEX('_calc'!$I$2:$I$3001,$N1691))</f>
        <v/>
      </c>
      <c r="K1691" s="28" t="str">
        <f>IF($N1691="","",IF(OR(I1691="",J1691=""),"",J1691-I1691))</f>
        <v/>
      </c>
      <c r="L1691" s="29" t="str">
        <f>IF($N1691="","",INDEX('_calc'!$J$2:$J$3001,$N1691))</f>
        <v/>
      </c>
      <c r="M1691" s="2" t="str">
        <f>IF($N1691="","",IF(AND(G1691=0,H1691=0),"수량 없음",IF(G1691=0,"신규 (전년 수량 없음)",IF(H1691=0,"당해 수량 없음",""))))</f>
        <v/>
      </c>
      <c r="N1691" t="str">
        <f>IF($B1691="","",MATCH($B1691,'_calc'!$L$2:$L$3001,0))</f>
        <v/>
      </c>
    </row>
    <row r="1692">
      <c r="B1692" s="24" t="str">
        <f>IF(ROW()-ROW($B$8)&gt;nComp,"",ROW()-ROW($B$8))</f>
        <v/>
      </c>
      <c r="C1692" t="str">
        <f>IF($N1692="","",INDEX('_calc'!$A$2:$A$3001,$N1692))</f>
        <v/>
      </c>
      <c r="D1692" s="25" t="str">
        <f>IF($N1692="","",INDEX('_calc'!$C$2:$C$3001,$N1692))</f>
        <v/>
      </c>
      <c r="E1692" s="25" t="str">
        <f>IF($N1692="","",INDEX('_calc'!$D$2:$D$3001,$N1692))</f>
        <v/>
      </c>
      <c r="F1692" s="26" t="str">
        <f>IF($N1692="","",IF($E$8=0,"",E1692/$E$8))</f>
        <v/>
      </c>
      <c r="G1692" s="25" t="str">
        <f>IF($N1692="","",INDEX('_calc'!$E$2:$E$3001,$N1692))</f>
        <v/>
      </c>
      <c r="H1692" s="25" t="str">
        <f>IF($N1692="","",INDEX('_calc'!$F$2:$F$3001,$N1692))</f>
        <v/>
      </c>
      <c r="I1692" s="27" t="str">
        <f>IF($N1692="","",INDEX('_calc'!$H$2:$H$3001,$N1692))</f>
        <v/>
      </c>
      <c r="J1692" s="27" t="str">
        <f>IF($N1692="","",INDEX('_calc'!$I$2:$I$3001,$N1692))</f>
        <v/>
      </c>
      <c r="K1692" s="28" t="str">
        <f>IF($N1692="","",IF(OR(I1692="",J1692=""),"",J1692-I1692))</f>
        <v/>
      </c>
      <c r="L1692" s="29" t="str">
        <f>IF($N1692="","",INDEX('_calc'!$J$2:$J$3001,$N1692))</f>
        <v/>
      </c>
      <c r="M1692" s="2" t="str">
        <f>IF($N1692="","",IF(AND(G1692=0,H1692=0),"수량 없음",IF(G1692=0,"신규 (전년 수량 없음)",IF(H1692=0,"당해 수량 없음",""))))</f>
        <v/>
      </c>
      <c r="N1692" t="str">
        <f>IF($B1692="","",MATCH($B1692,'_calc'!$L$2:$L$3001,0))</f>
        <v/>
      </c>
    </row>
    <row r="1693">
      <c r="B1693" s="24" t="str">
        <f>IF(ROW()-ROW($B$8)&gt;nComp,"",ROW()-ROW($B$8))</f>
        <v/>
      </c>
      <c r="C1693" t="str">
        <f>IF($N1693="","",INDEX('_calc'!$A$2:$A$3001,$N1693))</f>
        <v/>
      </c>
      <c r="D1693" s="25" t="str">
        <f>IF($N1693="","",INDEX('_calc'!$C$2:$C$3001,$N1693))</f>
        <v/>
      </c>
      <c r="E1693" s="25" t="str">
        <f>IF($N1693="","",INDEX('_calc'!$D$2:$D$3001,$N1693))</f>
        <v/>
      </c>
      <c r="F1693" s="26" t="str">
        <f>IF($N1693="","",IF($E$8=0,"",E1693/$E$8))</f>
        <v/>
      </c>
      <c r="G1693" s="25" t="str">
        <f>IF($N1693="","",INDEX('_calc'!$E$2:$E$3001,$N1693))</f>
        <v/>
      </c>
      <c r="H1693" s="25" t="str">
        <f>IF($N1693="","",INDEX('_calc'!$F$2:$F$3001,$N1693))</f>
        <v/>
      </c>
      <c r="I1693" s="27" t="str">
        <f>IF($N1693="","",INDEX('_calc'!$H$2:$H$3001,$N1693))</f>
        <v/>
      </c>
      <c r="J1693" s="27" t="str">
        <f>IF($N1693="","",INDEX('_calc'!$I$2:$I$3001,$N1693))</f>
        <v/>
      </c>
      <c r="K1693" s="28" t="str">
        <f>IF($N1693="","",IF(OR(I1693="",J1693=""),"",J1693-I1693))</f>
        <v/>
      </c>
      <c r="L1693" s="29" t="str">
        <f>IF($N1693="","",INDEX('_calc'!$J$2:$J$3001,$N1693))</f>
        <v/>
      </c>
      <c r="M1693" s="2" t="str">
        <f>IF($N1693="","",IF(AND(G1693=0,H1693=0),"수량 없음",IF(G1693=0,"신규 (전년 수량 없음)",IF(H1693=0,"당해 수량 없음",""))))</f>
        <v/>
      </c>
      <c r="N1693" t="str">
        <f>IF($B1693="","",MATCH($B1693,'_calc'!$L$2:$L$3001,0))</f>
        <v/>
      </c>
    </row>
    <row r="1694">
      <c r="B1694" s="24" t="str">
        <f>IF(ROW()-ROW($B$8)&gt;nComp,"",ROW()-ROW($B$8))</f>
        <v/>
      </c>
      <c r="C1694" t="str">
        <f>IF($N1694="","",INDEX('_calc'!$A$2:$A$3001,$N1694))</f>
        <v/>
      </c>
      <c r="D1694" s="25" t="str">
        <f>IF($N1694="","",INDEX('_calc'!$C$2:$C$3001,$N1694))</f>
        <v/>
      </c>
      <c r="E1694" s="25" t="str">
        <f>IF($N1694="","",INDEX('_calc'!$D$2:$D$3001,$N1694))</f>
        <v/>
      </c>
      <c r="F1694" s="26" t="str">
        <f>IF($N1694="","",IF($E$8=0,"",E1694/$E$8))</f>
        <v/>
      </c>
      <c r="G1694" s="25" t="str">
        <f>IF($N1694="","",INDEX('_calc'!$E$2:$E$3001,$N1694))</f>
        <v/>
      </c>
      <c r="H1694" s="25" t="str">
        <f>IF($N1694="","",INDEX('_calc'!$F$2:$F$3001,$N1694))</f>
        <v/>
      </c>
      <c r="I1694" s="27" t="str">
        <f>IF($N1694="","",INDEX('_calc'!$H$2:$H$3001,$N1694))</f>
        <v/>
      </c>
      <c r="J1694" s="27" t="str">
        <f>IF($N1694="","",INDEX('_calc'!$I$2:$I$3001,$N1694))</f>
        <v/>
      </c>
      <c r="K1694" s="28" t="str">
        <f>IF($N1694="","",IF(OR(I1694="",J1694=""),"",J1694-I1694))</f>
        <v/>
      </c>
      <c r="L1694" s="29" t="str">
        <f>IF($N1694="","",INDEX('_calc'!$J$2:$J$3001,$N1694))</f>
        <v/>
      </c>
      <c r="M1694" s="2" t="str">
        <f>IF($N1694="","",IF(AND(G1694=0,H1694=0),"수량 없음",IF(G1694=0,"신규 (전년 수량 없음)",IF(H1694=0,"당해 수량 없음",""))))</f>
        <v/>
      </c>
      <c r="N1694" t="str">
        <f>IF($B1694="","",MATCH($B1694,'_calc'!$L$2:$L$3001,0))</f>
        <v/>
      </c>
    </row>
    <row r="1695">
      <c r="B1695" s="24" t="str">
        <f>IF(ROW()-ROW($B$8)&gt;nComp,"",ROW()-ROW($B$8))</f>
        <v/>
      </c>
      <c r="C1695" t="str">
        <f>IF($N1695="","",INDEX('_calc'!$A$2:$A$3001,$N1695))</f>
        <v/>
      </c>
      <c r="D1695" s="25" t="str">
        <f>IF($N1695="","",INDEX('_calc'!$C$2:$C$3001,$N1695))</f>
        <v/>
      </c>
      <c r="E1695" s="25" t="str">
        <f>IF($N1695="","",INDEX('_calc'!$D$2:$D$3001,$N1695))</f>
        <v/>
      </c>
      <c r="F1695" s="26" t="str">
        <f>IF($N1695="","",IF($E$8=0,"",E1695/$E$8))</f>
        <v/>
      </c>
      <c r="G1695" s="25" t="str">
        <f>IF($N1695="","",INDEX('_calc'!$E$2:$E$3001,$N1695))</f>
        <v/>
      </c>
      <c r="H1695" s="25" t="str">
        <f>IF($N1695="","",INDEX('_calc'!$F$2:$F$3001,$N1695))</f>
        <v/>
      </c>
      <c r="I1695" s="27" t="str">
        <f>IF($N1695="","",INDEX('_calc'!$H$2:$H$3001,$N1695))</f>
        <v/>
      </c>
      <c r="J1695" s="27" t="str">
        <f>IF($N1695="","",INDEX('_calc'!$I$2:$I$3001,$N1695))</f>
        <v/>
      </c>
      <c r="K1695" s="28" t="str">
        <f>IF($N1695="","",IF(OR(I1695="",J1695=""),"",J1695-I1695))</f>
        <v/>
      </c>
      <c r="L1695" s="29" t="str">
        <f>IF($N1695="","",INDEX('_calc'!$J$2:$J$3001,$N1695))</f>
        <v/>
      </c>
      <c r="M1695" s="2" t="str">
        <f>IF($N1695="","",IF(AND(G1695=0,H1695=0),"수량 없음",IF(G1695=0,"신규 (전년 수량 없음)",IF(H1695=0,"당해 수량 없음",""))))</f>
        <v/>
      </c>
      <c r="N1695" t="str">
        <f>IF($B1695="","",MATCH($B1695,'_calc'!$L$2:$L$3001,0))</f>
        <v/>
      </c>
    </row>
    <row r="1696">
      <c r="B1696" s="24" t="str">
        <f>IF(ROW()-ROW($B$8)&gt;nComp,"",ROW()-ROW($B$8))</f>
        <v/>
      </c>
      <c r="C1696" t="str">
        <f>IF($N1696="","",INDEX('_calc'!$A$2:$A$3001,$N1696))</f>
        <v/>
      </c>
      <c r="D1696" s="25" t="str">
        <f>IF($N1696="","",INDEX('_calc'!$C$2:$C$3001,$N1696))</f>
        <v/>
      </c>
      <c r="E1696" s="25" t="str">
        <f>IF($N1696="","",INDEX('_calc'!$D$2:$D$3001,$N1696))</f>
        <v/>
      </c>
      <c r="F1696" s="26" t="str">
        <f>IF($N1696="","",IF($E$8=0,"",E1696/$E$8))</f>
        <v/>
      </c>
      <c r="G1696" s="25" t="str">
        <f>IF($N1696="","",INDEX('_calc'!$E$2:$E$3001,$N1696))</f>
        <v/>
      </c>
      <c r="H1696" s="25" t="str">
        <f>IF($N1696="","",INDEX('_calc'!$F$2:$F$3001,$N1696))</f>
        <v/>
      </c>
      <c r="I1696" s="27" t="str">
        <f>IF($N1696="","",INDEX('_calc'!$H$2:$H$3001,$N1696))</f>
        <v/>
      </c>
      <c r="J1696" s="27" t="str">
        <f>IF($N1696="","",INDEX('_calc'!$I$2:$I$3001,$N1696))</f>
        <v/>
      </c>
      <c r="K1696" s="28" t="str">
        <f>IF($N1696="","",IF(OR(I1696="",J1696=""),"",J1696-I1696))</f>
        <v/>
      </c>
      <c r="L1696" s="29" t="str">
        <f>IF($N1696="","",INDEX('_calc'!$J$2:$J$3001,$N1696))</f>
        <v/>
      </c>
      <c r="M1696" s="2" t="str">
        <f>IF($N1696="","",IF(AND(G1696=0,H1696=0),"수량 없음",IF(G1696=0,"신규 (전년 수량 없음)",IF(H1696=0,"당해 수량 없음",""))))</f>
        <v/>
      </c>
      <c r="N1696" t="str">
        <f>IF($B1696="","",MATCH($B1696,'_calc'!$L$2:$L$3001,0))</f>
        <v/>
      </c>
    </row>
    <row r="1697">
      <c r="B1697" s="24" t="str">
        <f>IF(ROW()-ROW($B$8)&gt;nComp,"",ROW()-ROW($B$8))</f>
        <v/>
      </c>
      <c r="C1697" t="str">
        <f>IF($N1697="","",INDEX('_calc'!$A$2:$A$3001,$N1697))</f>
        <v/>
      </c>
      <c r="D1697" s="25" t="str">
        <f>IF($N1697="","",INDEX('_calc'!$C$2:$C$3001,$N1697))</f>
        <v/>
      </c>
      <c r="E1697" s="25" t="str">
        <f>IF($N1697="","",INDEX('_calc'!$D$2:$D$3001,$N1697))</f>
        <v/>
      </c>
      <c r="F1697" s="26" t="str">
        <f>IF($N1697="","",IF($E$8=0,"",E1697/$E$8))</f>
        <v/>
      </c>
      <c r="G1697" s="25" t="str">
        <f>IF($N1697="","",INDEX('_calc'!$E$2:$E$3001,$N1697))</f>
        <v/>
      </c>
      <c r="H1697" s="25" t="str">
        <f>IF($N1697="","",INDEX('_calc'!$F$2:$F$3001,$N1697))</f>
        <v/>
      </c>
      <c r="I1697" s="27" t="str">
        <f>IF($N1697="","",INDEX('_calc'!$H$2:$H$3001,$N1697))</f>
        <v/>
      </c>
      <c r="J1697" s="27" t="str">
        <f>IF($N1697="","",INDEX('_calc'!$I$2:$I$3001,$N1697))</f>
        <v/>
      </c>
      <c r="K1697" s="28" t="str">
        <f>IF($N1697="","",IF(OR(I1697="",J1697=""),"",J1697-I1697))</f>
        <v/>
      </c>
      <c r="L1697" s="29" t="str">
        <f>IF($N1697="","",INDEX('_calc'!$J$2:$J$3001,$N1697))</f>
        <v/>
      </c>
      <c r="M1697" s="2" t="str">
        <f>IF($N1697="","",IF(AND(G1697=0,H1697=0),"수량 없음",IF(G1697=0,"신규 (전년 수량 없음)",IF(H1697=0,"당해 수량 없음",""))))</f>
        <v/>
      </c>
      <c r="N1697" t="str">
        <f>IF($B1697="","",MATCH($B1697,'_calc'!$L$2:$L$3001,0))</f>
        <v/>
      </c>
    </row>
    <row r="1698">
      <c r="B1698" s="24" t="str">
        <f>IF(ROW()-ROW($B$8)&gt;nComp,"",ROW()-ROW($B$8))</f>
        <v/>
      </c>
      <c r="C1698" t="str">
        <f>IF($N1698="","",INDEX('_calc'!$A$2:$A$3001,$N1698))</f>
        <v/>
      </c>
      <c r="D1698" s="25" t="str">
        <f>IF($N1698="","",INDEX('_calc'!$C$2:$C$3001,$N1698))</f>
        <v/>
      </c>
      <c r="E1698" s="25" t="str">
        <f>IF($N1698="","",INDEX('_calc'!$D$2:$D$3001,$N1698))</f>
        <v/>
      </c>
      <c r="F1698" s="26" t="str">
        <f>IF($N1698="","",IF($E$8=0,"",E1698/$E$8))</f>
        <v/>
      </c>
      <c r="G1698" s="25" t="str">
        <f>IF($N1698="","",INDEX('_calc'!$E$2:$E$3001,$N1698))</f>
        <v/>
      </c>
      <c r="H1698" s="25" t="str">
        <f>IF($N1698="","",INDEX('_calc'!$F$2:$F$3001,$N1698))</f>
        <v/>
      </c>
      <c r="I1698" s="27" t="str">
        <f>IF($N1698="","",INDEX('_calc'!$H$2:$H$3001,$N1698))</f>
        <v/>
      </c>
      <c r="J1698" s="27" t="str">
        <f>IF($N1698="","",INDEX('_calc'!$I$2:$I$3001,$N1698))</f>
        <v/>
      </c>
      <c r="K1698" s="28" t="str">
        <f>IF($N1698="","",IF(OR(I1698="",J1698=""),"",J1698-I1698))</f>
        <v/>
      </c>
      <c r="L1698" s="29" t="str">
        <f>IF($N1698="","",INDEX('_calc'!$J$2:$J$3001,$N1698))</f>
        <v/>
      </c>
      <c r="M1698" s="2" t="str">
        <f>IF($N1698="","",IF(AND(G1698=0,H1698=0),"수량 없음",IF(G1698=0,"신규 (전년 수량 없음)",IF(H1698=0,"당해 수량 없음",""))))</f>
        <v/>
      </c>
      <c r="N1698" t="str">
        <f>IF($B1698="","",MATCH($B1698,'_calc'!$L$2:$L$3001,0))</f>
        <v/>
      </c>
    </row>
    <row r="1699">
      <c r="B1699" s="24" t="str">
        <f>IF(ROW()-ROW($B$8)&gt;nComp,"",ROW()-ROW($B$8))</f>
        <v/>
      </c>
      <c r="C1699" t="str">
        <f>IF($N1699="","",INDEX('_calc'!$A$2:$A$3001,$N1699))</f>
        <v/>
      </c>
      <c r="D1699" s="25" t="str">
        <f>IF($N1699="","",INDEX('_calc'!$C$2:$C$3001,$N1699))</f>
        <v/>
      </c>
      <c r="E1699" s="25" t="str">
        <f>IF($N1699="","",INDEX('_calc'!$D$2:$D$3001,$N1699))</f>
        <v/>
      </c>
      <c r="F1699" s="26" t="str">
        <f>IF($N1699="","",IF($E$8=0,"",E1699/$E$8))</f>
        <v/>
      </c>
      <c r="G1699" s="25" t="str">
        <f>IF($N1699="","",INDEX('_calc'!$E$2:$E$3001,$N1699))</f>
        <v/>
      </c>
      <c r="H1699" s="25" t="str">
        <f>IF($N1699="","",INDEX('_calc'!$F$2:$F$3001,$N1699))</f>
        <v/>
      </c>
      <c r="I1699" s="27" t="str">
        <f>IF($N1699="","",INDEX('_calc'!$H$2:$H$3001,$N1699))</f>
        <v/>
      </c>
      <c r="J1699" s="27" t="str">
        <f>IF($N1699="","",INDEX('_calc'!$I$2:$I$3001,$N1699))</f>
        <v/>
      </c>
      <c r="K1699" s="28" t="str">
        <f>IF($N1699="","",IF(OR(I1699="",J1699=""),"",J1699-I1699))</f>
        <v/>
      </c>
      <c r="L1699" s="29" t="str">
        <f>IF($N1699="","",INDEX('_calc'!$J$2:$J$3001,$N1699))</f>
        <v/>
      </c>
      <c r="M1699" s="2" t="str">
        <f>IF($N1699="","",IF(AND(G1699=0,H1699=0),"수량 없음",IF(G1699=0,"신규 (전년 수량 없음)",IF(H1699=0,"당해 수량 없음",""))))</f>
        <v/>
      </c>
      <c r="N1699" t="str">
        <f>IF($B1699="","",MATCH($B1699,'_calc'!$L$2:$L$3001,0))</f>
        <v/>
      </c>
    </row>
    <row r="1700">
      <c r="B1700" s="24" t="str">
        <f>IF(ROW()-ROW($B$8)&gt;nComp,"",ROW()-ROW($B$8))</f>
        <v/>
      </c>
      <c r="C1700" t="str">
        <f>IF($N1700="","",INDEX('_calc'!$A$2:$A$3001,$N1700))</f>
        <v/>
      </c>
      <c r="D1700" s="25" t="str">
        <f>IF($N1700="","",INDEX('_calc'!$C$2:$C$3001,$N1700))</f>
        <v/>
      </c>
      <c r="E1700" s="25" t="str">
        <f>IF($N1700="","",INDEX('_calc'!$D$2:$D$3001,$N1700))</f>
        <v/>
      </c>
      <c r="F1700" s="26" t="str">
        <f>IF($N1700="","",IF($E$8=0,"",E1700/$E$8))</f>
        <v/>
      </c>
      <c r="G1700" s="25" t="str">
        <f>IF($N1700="","",INDEX('_calc'!$E$2:$E$3001,$N1700))</f>
        <v/>
      </c>
      <c r="H1700" s="25" t="str">
        <f>IF($N1700="","",INDEX('_calc'!$F$2:$F$3001,$N1700))</f>
        <v/>
      </c>
      <c r="I1700" s="27" t="str">
        <f>IF($N1700="","",INDEX('_calc'!$H$2:$H$3001,$N1700))</f>
        <v/>
      </c>
      <c r="J1700" s="27" t="str">
        <f>IF($N1700="","",INDEX('_calc'!$I$2:$I$3001,$N1700))</f>
        <v/>
      </c>
      <c r="K1700" s="28" t="str">
        <f>IF($N1700="","",IF(OR(I1700="",J1700=""),"",J1700-I1700))</f>
        <v/>
      </c>
      <c r="L1700" s="29" t="str">
        <f>IF($N1700="","",INDEX('_calc'!$J$2:$J$3001,$N1700))</f>
        <v/>
      </c>
      <c r="M1700" s="2" t="str">
        <f>IF($N1700="","",IF(AND(G1700=0,H1700=0),"수량 없음",IF(G1700=0,"신규 (전년 수량 없음)",IF(H1700=0,"당해 수량 없음",""))))</f>
        <v/>
      </c>
      <c r="N1700" t="str">
        <f>IF($B1700="","",MATCH($B1700,'_calc'!$L$2:$L$3001,0))</f>
        <v/>
      </c>
    </row>
    <row r="1701">
      <c r="B1701" s="24" t="str">
        <f>IF(ROW()-ROW($B$8)&gt;nComp,"",ROW()-ROW($B$8))</f>
        <v/>
      </c>
      <c r="C1701" t="str">
        <f>IF($N1701="","",INDEX('_calc'!$A$2:$A$3001,$N1701))</f>
        <v/>
      </c>
      <c r="D1701" s="25" t="str">
        <f>IF($N1701="","",INDEX('_calc'!$C$2:$C$3001,$N1701))</f>
        <v/>
      </c>
      <c r="E1701" s="25" t="str">
        <f>IF($N1701="","",INDEX('_calc'!$D$2:$D$3001,$N1701))</f>
        <v/>
      </c>
      <c r="F1701" s="26" t="str">
        <f>IF($N1701="","",IF($E$8=0,"",E1701/$E$8))</f>
        <v/>
      </c>
      <c r="G1701" s="25" t="str">
        <f>IF($N1701="","",INDEX('_calc'!$E$2:$E$3001,$N1701))</f>
        <v/>
      </c>
      <c r="H1701" s="25" t="str">
        <f>IF($N1701="","",INDEX('_calc'!$F$2:$F$3001,$N1701))</f>
        <v/>
      </c>
      <c r="I1701" s="27" t="str">
        <f>IF($N1701="","",INDEX('_calc'!$H$2:$H$3001,$N1701))</f>
        <v/>
      </c>
      <c r="J1701" s="27" t="str">
        <f>IF($N1701="","",INDEX('_calc'!$I$2:$I$3001,$N1701))</f>
        <v/>
      </c>
      <c r="K1701" s="28" t="str">
        <f>IF($N1701="","",IF(OR(I1701="",J1701=""),"",J1701-I1701))</f>
        <v/>
      </c>
      <c r="L1701" s="29" t="str">
        <f>IF($N1701="","",INDEX('_calc'!$J$2:$J$3001,$N1701))</f>
        <v/>
      </c>
      <c r="M1701" s="2" t="str">
        <f>IF($N1701="","",IF(AND(G1701=0,H1701=0),"수량 없음",IF(G1701=0,"신규 (전년 수량 없음)",IF(H1701=0,"당해 수량 없음",""))))</f>
        <v/>
      </c>
      <c r="N1701" t="str">
        <f>IF($B1701="","",MATCH($B1701,'_calc'!$L$2:$L$3001,0))</f>
        <v/>
      </c>
    </row>
    <row r="1702">
      <c r="B1702" s="24" t="str">
        <f>IF(ROW()-ROW($B$8)&gt;nComp,"",ROW()-ROW($B$8))</f>
        <v/>
      </c>
      <c r="C1702" t="str">
        <f>IF($N1702="","",INDEX('_calc'!$A$2:$A$3001,$N1702))</f>
        <v/>
      </c>
      <c r="D1702" s="25" t="str">
        <f>IF($N1702="","",INDEX('_calc'!$C$2:$C$3001,$N1702))</f>
        <v/>
      </c>
      <c r="E1702" s="25" t="str">
        <f>IF($N1702="","",INDEX('_calc'!$D$2:$D$3001,$N1702))</f>
        <v/>
      </c>
      <c r="F1702" s="26" t="str">
        <f>IF($N1702="","",IF($E$8=0,"",E1702/$E$8))</f>
        <v/>
      </c>
      <c r="G1702" s="25" t="str">
        <f>IF($N1702="","",INDEX('_calc'!$E$2:$E$3001,$N1702))</f>
        <v/>
      </c>
      <c r="H1702" s="25" t="str">
        <f>IF($N1702="","",INDEX('_calc'!$F$2:$F$3001,$N1702))</f>
        <v/>
      </c>
      <c r="I1702" s="27" t="str">
        <f>IF($N1702="","",INDEX('_calc'!$H$2:$H$3001,$N1702))</f>
        <v/>
      </c>
      <c r="J1702" s="27" t="str">
        <f>IF($N1702="","",INDEX('_calc'!$I$2:$I$3001,$N1702))</f>
        <v/>
      </c>
      <c r="K1702" s="28" t="str">
        <f>IF($N1702="","",IF(OR(I1702="",J1702=""),"",J1702-I1702))</f>
        <v/>
      </c>
      <c r="L1702" s="29" t="str">
        <f>IF($N1702="","",INDEX('_calc'!$J$2:$J$3001,$N1702))</f>
        <v/>
      </c>
      <c r="M1702" s="2" t="str">
        <f>IF($N1702="","",IF(AND(G1702=0,H1702=0),"수량 없음",IF(G1702=0,"신규 (전년 수량 없음)",IF(H1702=0,"당해 수량 없음",""))))</f>
        <v/>
      </c>
      <c r="N1702" t="str">
        <f>IF($B1702="","",MATCH($B1702,'_calc'!$L$2:$L$3001,0))</f>
        <v/>
      </c>
    </row>
    <row r="1703">
      <c r="B1703" s="24" t="str">
        <f>IF(ROW()-ROW($B$8)&gt;nComp,"",ROW()-ROW($B$8))</f>
        <v/>
      </c>
      <c r="C1703" t="str">
        <f>IF($N1703="","",INDEX('_calc'!$A$2:$A$3001,$N1703))</f>
        <v/>
      </c>
      <c r="D1703" s="25" t="str">
        <f>IF($N1703="","",INDEX('_calc'!$C$2:$C$3001,$N1703))</f>
        <v/>
      </c>
      <c r="E1703" s="25" t="str">
        <f>IF($N1703="","",INDEX('_calc'!$D$2:$D$3001,$N1703))</f>
        <v/>
      </c>
      <c r="F1703" s="26" t="str">
        <f>IF($N1703="","",IF($E$8=0,"",E1703/$E$8))</f>
        <v/>
      </c>
      <c r="G1703" s="25" t="str">
        <f>IF($N1703="","",INDEX('_calc'!$E$2:$E$3001,$N1703))</f>
        <v/>
      </c>
      <c r="H1703" s="25" t="str">
        <f>IF($N1703="","",INDEX('_calc'!$F$2:$F$3001,$N1703))</f>
        <v/>
      </c>
      <c r="I1703" s="27" t="str">
        <f>IF($N1703="","",INDEX('_calc'!$H$2:$H$3001,$N1703))</f>
        <v/>
      </c>
      <c r="J1703" s="27" t="str">
        <f>IF($N1703="","",INDEX('_calc'!$I$2:$I$3001,$N1703))</f>
        <v/>
      </c>
      <c r="K1703" s="28" t="str">
        <f>IF($N1703="","",IF(OR(I1703="",J1703=""),"",J1703-I1703))</f>
        <v/>
      </c>
      <c r="L1703" s="29" t="str">
        <f>IF($N1703="","",INDEX('_calc'!$J$2:$J$3001,$N1703))</f>
        <v/>
      </c>
      <c r="M1703" s="2" t="str">
        <f>IF($N1703="","",IF(AND(G1703=0,H1703=0),"수량 없음",IF(G1703=0,"신규 (전년 수량 없음)",IF(H1703=0,"당해 수량 없음",""))))</f>
        <v/>
      </c>
      <c r="N1703" t="str">
        <f>IF($B1703="","",MATCH($B1703,'_calc'!$L$2:$L$3001,0))</f>
        <v/>
      </c>
    </row>
    <row r="1704">
      <c r="B1704" s="24" t="str">
        <f>IF(ROW()-ROW($B$8)&gt;nComp,"",ROW()-ROW($B$8))</f>
        <v/>
      </c>
      <c r="C1704" t="str">
        <f>IF($N1704="","",INDEX('_calc'!$A$2:$A$3001,$N1704))</f>
        <v/>
      </c>
      <c r="D1704" s="25" t="str">
        <f>IF($N1704="","",INDEX('_calc'!$C$2:$C$3001,$N1704))</f>
        <v/>
      </c>
      <c r="E1704" s="25" t="str">
        <f>IF($N1704="","",INDEX('_calc'!$D$2:$D$3001,$N1704))</f>
        <v/>
      </c>
      <c r="F1704" s="26" t="str">
        <f>IF($N1704="","",IF($E$8=0,"",E1704/$E$8))</f>
        <v/>
      </c>
      <c r="G1704" s="25" t="str">
        <f>IF($N1704="","",INDEX('_calc'!$E$2:$E$3001,$N1704))</f>
        <v/>
      </c>
      <c r="H1704" s="25" t="str">
        <f>IF($N1704="","",INDEX('_calc'!$F$2:$F$3001,$N1704))</f>
        <v/>
      </c>
      <c r="I1704" s="27" t="str">
        <f>IF($N1704="","",INDEX('_calc'!$H$2:$H$3001,$N1704))</f>
        <v/>
      </c>
      <c r="J1704" s="27" t="str">
        <f>IF($N1704="","",INDEX('_calc'!$I$2:$I$3001,$N1704))</f>
        <v/>
      </c>
      <c r="K1704" s="28" t="str">
        <f>IF($N1704="","",IF(OR(I1704="",J1704=""),"",J1704-I1704))</f>
        <v/>
      </c>
      <c r="L1704" s="29" t="str">
        <f>IF($N1704="","",INDEX('_calc'!$J$2:$J$3001,$N1704))</f>
        <v/>
      </c>
      <c r="M1704" s="2" t="str">
        <f>IF($N1704="","",IF(AND(G1704=0,H1704=0),"수량 없음",IF(G1704=0,"신규 (전년 수량 없음)",IF(H1704=0,"당해 수량 없음",""))))</f>
        <v/>
      </c>
      <c r="N1704" t="str">
        <f>IF($B1704="","",MATCH($B1704,'_calc'!$L$2:$L$3001,0))</f>
        <v/>
      </c>
    </row>
    <row r="1705">
      <c r="B1705" s="24" t="str">
        <f>IF(ROW()-ROW($B$8)&gt;nComp,"",ROW()-ROW($B$8))</f>
        <v/>
      </c>
      <c r="C1705" t="str">
        <f>IF($N1705="","",INDEX('_calc'!$A$2:$A$3001,$N1705))</f>
        <v/>
      </c>
      <c r="D1705" s="25" t="str">
        <f>IF($N1705="","",INDEX('_calc'!$C$2:$C$3001,$N1705))</f>
        <v/>
      </c>
      <c r="E1705" s="25" t="str">
        <f>IF($N1705="","",INDEX('_calc'!$D$2:$D$3001,$N1705))</f>
        <v/>
      </c>
      <c r="F1705" s="26" t="str">
        <f>IF($N1705="","",IF($E$8=0,"",E1705/$E$8))</f>
        <v/>
      </c>
      <c r="G1705" s="25" t="str">
        <f>IF($N1705="","",INDEX('_calc'!$E$2:$E$3001,$N1705))</f>
        <v/>
      </c>
      <c r="H1705" s="25" t="str">
        <f>IF($N1705="","",INDEX('_calc'!$F$2:$F$3001,$N1705))</f>
        <v/>
      </c>
      <c r="I1705" s="27" t="str">
        <f>IF($N1705="","",INDEX('_calc'!$H$2:$H$3001,$N1705))</f>
        <v/>
      </c>
      <c r="J1705" s="27" t="str">
        <f>IF($N1705="","",INDEX('_calc'!$I$2:$I$3001,$N1705))</f>
        <v/>
      </c>
      <c r="K1705" s="28" t="str">
        <f>IF($N1705="","",IF(OR(I1705="",J1705=""),"",J1705-I1705))</f>
        <v/>
      </c>
      <c r="L1705" s="29" t="str">
        <f>IF($N1705="","",INDEX('_calc'!$J$2:$J$3001,$N1705))</f>
        <v/>
      </c>
      <c r="M1705" s="2" t="str">
        <f>IF($N1705="","",IF(AND(G1705=0,H1705=0),"수량 없음",IF(G1705=0,"신규 (전년 수량 없음)",IF(H1705=0,"당해 수량 없음",""))))</f>
        <v/>
      </c>
      <c r="N1705" t="str">
        <f>IF($B1705="","",MATCH($B1705,'_calc'!$L$2:$L$3001,0))</f>
        <v/>
      </c>
    </row>
    <row r="1706">
      <c r="B1706" s="24" t="str">
        <f>IF(ROW()-ROW($B$8)&gt;nComp,"",ROW()-ROW($B$8))</f>
        <v/>
      </c>
      <c r="C1706" t="str">
        <f>IF($N1706="","",INDEX('_calc'!$A$2:$A$3001,$N1706))</f>
        <v/>
      </c>
      <c r="D1706" s="25" t="str">
        <f>IF($N1706="","",INDEX('_calc'!$C$2:$C$3001,$N1706))</f>
        <v/>
      </c>
      <c r="E1706" s="25" t="str">
        <f>IF($N1706="","",INDEX('_calc'!$D$2:$D$3001,$N1706))</f>
        <v/>
      </c>
      <c r="F1706" s="26" t="str">
        <f>IF($N1706="","",IF($E$8=0,"",E1706/$E$8))</f>
        <v/>
      </c>
      <c r="G1706" s="25" t="str">
        <f>IF($N1706="","",INDEX('_calc'!$E$2:$E$3001,$N1706))</f>
        <v/>
      </c>
      <c r="H1706" s="25" t="str">
        <f>IF($N1706="","",INDEX('_calc'!$F$2:$F$3001,$N1706))</f>
        <v/>
      </c>
      <c r="I1706" s="27" t="str">
        <f>IF($N1706="","",INDEX('_calc'!$H$2:$H$3001,$N1706))</f>
        <v/>
      </c>
      <c r="J1706" s="27" t="str">
        <f>IF($N1706="","",INDEX('_calc'!$I$2:$I$3001,$N1706))</f>
        <v/>
      </c>
      <c r="K1706" s="28" t="str">
        <f>IF($N1706="","",IF(OR(I1706="",J1706=""),"",J1706-I1706))</f>
        <v/>
      </c>
      <c r="L1706" s="29" t="str">
        <f>IF($N1706="","",INDEX('_calc'!$J$2:$J$3001,$N1706))</f>
        <v/>
      </c>
      <c r="M1706" s="2" t="str">
        <f>IF($N1706="","",IF(AND(G1706=0,H1706=0),"수량 없음",IF(G1706=0,"신규 (전년 수량 없음)",IF(H1706=0,"당해 수량 없음",""))))</f>
        <v/>
      </c>
      <c r="N1706" t="str">
        <f>IF($B1706="","",MATCH($B1706,'_calc'!$L$2:$L$3001,0))</f>
        <v/>
      </c>
    </row>
    <row r="1707">
      <c r="B1707" s="24" t="str">
        <f>IF(ROW()-ROW($B$8)&gt;nComp,"",ROW()-ROW($B$8))</f>
        <v/>
      </c>
      <c r="C1707" t="str">
        <f>IF($N1707="","",INDEX('_calc'!$A$2:$A$3001,$N1707))</f>
        <v/>
      </c>
      <c r="D1707" s="25" t="str">
        <f>IF($N1707="","",INDEX('_calc'!$C$2:$C$3001,$N1707))</f>
        <v/>
      </c>
      <c r="E1707" s="25" t="str">
        <f>IF($N1707="","",INDEX('_calc'!$D$2:$D$3001,$N1707))</f>
        <v/>
      </c>
      <c r="F1707" s="26" t="str">
        <f>IF($N1707="","",IF($E$8=0,"",E1707/$E$8))</f>
        <v/>
      </c>
      <c r="G1707" s="25" t="str">
        <f>IF($N1707="","",INDEX('_calc'!$E$2:$E$3001,$N1707))</f>
        <v/>
      </c>
      <c r="H1707" s="25" t="str">
        <f>IF($N1707="","",INDEX('_calc'!$F$2:$F$3001,$N1707))</f>
        <v/>
      </c>
      <c r="I1707" s="27" t="str">
        <f>IF($N1707="","",INDEX('_calc'!$H$2:$H$3001,$N1707))</f>
        <v/>
      </c>
      <c r="J1707" s="27" t="str">
        <f>IF($N1707="","",INDEX('_calc'!$I$2:$I$3001,$N1707))</f>
        <v/>
      </c>
      <c r="K1707" s="28" t="str">
        <f>IF($N1707="","",IF(OR(I1707="",J1707=""),"",J1707-I1707))</f>
        <v/>
      </c>
      <c r="L1707" s="29" t="str">
        <f>IF($N1707="","",INDEX('_calc'!$J$2:$J$3001,$N1707))</f>
        <v/>
      </c>
      <c r="M1707" s="2" t="str">
        <f>IF($N1707="","",IF(AND(G1707=0,H1707=0),"수량 없음",IF(G1707=0,"신규 (전년 수량 없음)",IF(H1707=0,"당해 수량 없음",""))))</f>
        <v/>
      </c>
      <c r="N1707" t="str">
        <f>IF($B1707="","",MATCH($B1707,'_calc'!$L$2:$L$3001,0))</f>
        <v/>
      </c>
    </row>
    <row r="1708">
      <c r="B1708" s="24" t="str">
        <f>IF(ROW()-ROW($B$8)&gt;nComp,"",ROW()-ROW($B$8))</f>
        <v/>
      </c>
      <c r="C1708" t="str">
        <f>IF($N1708="","",INDEX('_calc'!$A$2:$A$3001,$N1708))</f>
        <v/>
      </c>
      <c r="D1708" s="25" t="str">
        <f>IF($N1708="","",INDEX('_calc'!$C$2:$C$3001,$N1708))</f>
        <v/>
      </c>
      <c r="E1708" s="25" t="str">
        <f>IF($N1708="","",INDEX('_calc'!$D$2:$D$3001,$N1708))</f>
        <v/>
      </c>
      <c r="F1708" s="26" t="str">
        <f>IF($N1708="","",IF($E$8=0,"",E1708/$E$8))</f>
        <v/>
      </c>
      <c r="G1708" s="25" t="str">
        <f>IF($N1708="","",INDEX('_calc'!$E$2:$E$3001,$N1708))</f>
        <v/>
      </c>
      <c r="H1708" s="25" t="str">
        <f>IF($N1708="","",INDEX('_calc'!$F$2:$F$3001,$N1708))</f>
        <v/>
      </c>
      <c r="I1708" s="27" t="str">
        <f>IF($N1708="","",INDEX('_calc'!$H$2:$H$3001,$N1708))</f>
        <v/>
      </c>
      <c r="J1708" s="27" t="str">
        <f>IF($N1708="","",INDEX('_calc'!$I$2:$I$3001,$N1708))</f>
        <v/>
      </c>
      <c r="K1708" s="28" t="str">
        <f>IF($N1708="","",IF(OR(I1708="",J1708=""),"",J1708-I1708))</f>
        <v/>
      </c>
      <c r="L1708" s="29" t="str">
        <f>IF($N1708="","",INDEX('_calc'!$J$2:$J$3001,$N1708))</f>
        <v/>
      </c>
      <c r="M1708" s="2" t="str">
        <f>IF($N1708="","",IF(AND(G1708=0,H1708=0),"수량 없음",IF(G1708=0,"신규 (전년 수량 없음)",IF(H1708=0,"당해 수량 없음",""))))</f>
        <v/>
      </c>
      <c r="N1708" t="str">
        <f>IF($B1708="","",MATCH($B1708,'_calc'!$L$2:$L$3001,0))</f>
        <v/>
      </c>
    </row>
    <row r="1709">
      <c r="B1709" s="24" t="str">
        <f>IF(ROW()-ROW($B$8)&gt;nComp,"",ROW()-ROW($B$8))</f>
        <v/>
      </c>
      <c r="C1709" t="str">
        <f>IF($N1709="","",INDEX('_calc'!$A$2:$A$3001,$N1709))</f>
        <v/>
      </c>
      <c r="D1709" s="25" t="str">
        <f>IF($N1709="","",INDEX('_calc'!$C$2:$C$3001,$N1709))</f>
        <v/>
      </c>
      <c r="E1709" s="25" t="str">
        <f>IF($N1709="","",INDEX('_calc'!$D$2:$D$3001,$N1709))</f>
        <v/>
      </c>
      <c r="F1709" s="26" t="str">
        <f>IF($N1709="","",IF($E$8=0,"",E1709/$E$8))</f>
        <v/>
      </c>
      <c r="G1709" s="25" t="str">
        <f>IF($N1709="","",INDEX('_calc'!$E$2:$E$3001,$N1709))</f>
        <v/>
      </c>
      <c r="H1709" s="25" t="str">
        <f>IF($N1709="","",INDEX('_calc'!$F$2:$F$3001,$N1709))</f>
        <v/>
      </c>
      <c r="I1709" s="27" t="str">
        <f>IF($N1709="","",INDEX('_calc'!$H$2:$H$3001,$N1709))</f>
        <v/>
      </c>
      <c r="J1709" s="27" t="str">
        <f>IF($N1709="","",INDEX('_calc'!$I$2:$I$3001,$N1709))</f>
        <v/>
      </c>
      <c r="K1709" s="28" t="str">
        <f>IF($N1709="","",IF(OR(I1709="",J1709=""),"",J1709-I1709))</f>
        <v/>
      </c>
      <c r="L1709" s="29" t="str">
        <f>IF($N1709="","",INDEX('_calc'!$J$2:$J$3001,$N1709))</f>
        <v/>
      </c>
      <c r="M1709" s="2" t="str">
        <f>IF($N1709="","",IF(AND(G1709=0,H1709=0),"수량 없음",IF(G1709=0,"신규 (전년 수량 없음)",IF(H1709=0,"당해 수량 없음",""))))</f>
        <v/>
      </c>
      <c r="N1709" t="str">
        <f>IF($B1709="","",MATCH($B1709,'_calc'!$L$2:$L$3001,0))</f>
        <v/>
      </c>
    </row>
    <row r="1710">
      <c r="B1710" s="24" t="str">
        <f>IF(ROW()-ROW($B$8)&gt;nComp,"",ROW()-ROW($B$8))</f>
        <v/>
      </c>
      <c r="C1710" t="str">
        <f>IF($N1710="","",INDEX('_calc'!$A$2:$A$3001,$N1710))</f>
        <v/>
      </c>
      <c r="D1710" s="25" t="str">
        <f>IF($N1710="","",INDEX('_calc'!$C$2:$C$3001,$N1710))</f>
        <v/>
      </c>
      <c r="E1710" s="25" t="str">
        <f>IF($N1710="","",INDEX('_calc'!$D$2:$D$3001,$N1710))</f>
        <v/>
      </c>
      <c r="F1710" s="26" t="str">
        <f>IF($N1710="","",IF($E$8=0,"",E1710/$E$8))</f>
        <v/>
      </c>
      <c r="G1710" s="25" t="str">
        <f>IF($N1710="","",INDEX('_calc'!$E$2:$E$3001,$N1710))</f>
        <v/>
      </c>
      <c r="H1710" s="25" t="str">
        <f>IF($N1710="","",INDEX('_calc'!$F$2:$F$3001,$N1710))</f>
        <v/>
      </c>
      <c r="I1710" s="27" t="str">
        <f>IF($N1710="","",INDEX('_calc'!$H$2:$H$3001,$N1710))</f>
        <v/>
      </c>
      <c r="J1710" s="27" t="str">
        <f>IF($N1710="","",INDEX('_calc'!$I$2:$I$3001,$N1710))</f>
        <v/>
      </c>
      <c r="K1710" s="28" t="str">
        <f>IF($N1710="","",IF(OR(I1710="",J1710=""),"",J1710-I1710))</f>
        <v/>
      </c>
      <c r="L1710" s="29" t="str">
        <f>IF($N1710="","",INDEX('_calc'!$J$2:$J$3001,$N1710))</f>
        <v/>
      </c>
      <c r="M1710" s="2" t="str">
        <f>IF($N1710="","",IF(AND(G1710=0,H1710=0),"수량 없음",IF(G1710=0,"신규 (전년 수량 없음)",IF(H1710=0,"당해 수량 없음",""))))</f>
        <v/>
      </c>
      <c r="N1710" t="str">
        <f>IF($B1710="","",MATCH($B1710,'_calc'!$L$2:$L$3001,0))</f>
        <v/>
      </c>
    </row>
    <row r="1711">
      <c r="B1711" s="24" t="str">
        <f>IF(ROW()-ROW($B$8)&gt;nComp,"",ROW()-ROW($B$8))</f>
        <v/>
      </c>
      <c r="C1711" t="str">
        <f>IF($N1711="","",INDEX('_calc'!$A$2:$A$3001,$N1711))</f>
        <v/>
      </c>
      <c r="D1711" s="25" t="str">
        <f>IF($N1711="","",INDEX('_calc'!$C$2:$C$3001,$N1711))</f>
        <v/>
      </c>
      <c r="E1711" s="25" t="str">
        <f>IF($N1711="","",INDEX('_calc'!$D$2:$D$3001,$N1711))</f>
        <v/>
      </c>
      <c r="F1711" s="26" t="str">
        <f>IF($N1711="","",IF($E$8=0,"",E1711/$E$8))</f>
        <v/>
      </c>
      <c r="G1711" s="25" t="str">
        <f>IF($N1711="","",INDEX('_calc'!$E$2:$E$3001,$N1711))</f>
        <v/>
      </c>
      <c r="H1711" s="25" t="str">
        <f>IF($N1711="","",INDEX('_calc'!$F$2:$F$3001,$N1711))</f>
        <v/>
      </c>
      <c r="I1711" s="27" t="str">
        <f>IF($N1711="","",INDEX('_calc'!$H$2:$H$3001,$N1711))</f>
        <v/>
      </c>
      <c r="J1711" s="27" t="str">
        <f>IF($N1711="","",INDEX('_calc'!$I$2:$I$3001,$N1711))</f>
        <v/>
      </c>
      <c r="K1711" s="28" t="str">
        <f>IF($N1711="","",IF(OR(I1711="",J1711=""),"",J1711-I1711))</f>
        <v/>
      </c>
      <c r="L1711" s="29" t="str">
        <f>IF($N1711="","",INDEX('_calc'!$J$2:$J$3001,$N1711))</f>
        <v/>
      </c>
      <c r="M1711" s="2" t="str">
        <f>IF($N1711="","",IF(AND(G1711=0,H1711=0),"수량 없음",IF(G1711=0,"신규 (전년 수량 없음)",IF(H1711=0,"당해 수량 없음",""))))</f>
        <v/>
      </c>
      <c r="N1711" t="str">
        <f>IF($B1711="","",MATCH($B1711,'_calc'!$L$2:$L$3001,0))</f>
        <v/>
      </c>
    </row>
    <row r="1712">
      <c r="B1712" s="24" t="str">
        <f>IF(ROW()-ROW($B$8)&gt;nComp,"",ROW()-ROW($B$8))</f>
        <v/>
      </c>
      <c r="C1712" t="str">
        <f>IF($N1712="","",INDEX('_calc'!$A$2:$A$3001,$N1712))</f>
        <v/>
      </c>
      <c r="D1712" s="25" t="str">
        <f>IF($N1712="","",INDEX('_calc'!$C$2:$C$3001,$N1712))</f>
        <v/>
      </c>
      <c r="E1712" s="25" t="str">
        <f>IF($N1712="","",INDEX('_calc'!$D$2:$D$3001,$N1712))</f>
        <v/>
      </c>
      <c r="F1712" s="26" t="str">
        <f>IF($N1712="","",IF($E$8=0,"",E1712/$E$8))</f>
        <v/>
      </c>
      <c r="G1712" s="25" t="str">
        <f>IF($N1712="","",INDEX('_calc'!$E$2:$E$3001,$N1712))</f>
        <v/>
      </c>
      <c r="H1712" s="25" t="str">
        <f>IF($N1712="","",INDEX('_calc'!$F$2:$F$3001,$N1712))</f>
        <v/>
      </c>
      <c r="I1712" s="27" t="str">
        <f>IF($N1712="","",INDEX('_calc'!$H$2:$H$3001,$N1712))</f>
        <v/>
      </c>
      <c r="J1712" s="27" t="str">
        <f>IF($N1712="","",INDEX('_calc'!$I$2:$I$3001,$N1712))</f>
        <v/>
      </c>
      <c r="K1712" s="28" t="str">
        <f>IF($N1712="","",IF(OR(I1712="",J1712=""),"",J1712-I1712))</f>
        <v/>
      </c>
      <c r="L1712" s="29" t="str">
        <f>IF($N1712="","",INDEX('_calc'!$J$2:$J$3001,$N1712))</f>
        <v/>
      </c>
      <c r="M1712" s="2" t="str">
        <f>IF($N1712="","",IF(AND(G1712=0,H1712=0),"수량 없음",IF(G1712=0,"신규 (전년 수량 없음)",IF(H1712=0,"당해 수량 없음",""))))</f>
        <v/>
      </c>
      <c r="N1712" t="str">
        <f>IF($B1712="","",MATCH($B1712,'_calc'!$L$2:$L$3001,0))</f>
        <v/>
      </c>
    </row>
    <row r="1713">
      <c r="B1713" s="24" t="str">
        <f>IF(ROW()-ROW($B$8)&gt;nComp,"",ROW()-ROW($B$8))</f>
        <v/>
      </c>
      <c r="C1713" t="str">
        <f>IF($N1713="","",INDEX('_calc'!$A$2:$A$3001,$N1713))</f>
        <v/>
      </c>
      <c r="D1713" s="25" t="str">
        <f>IF($N1713="","",INDEX('_calc'!$C$2:$C$3001,$N1713))</f>
        <v/>
      </c>
      <c r="E1713" s="25" t="str">
        <f>IF($N1713="","",INDEX('_calc'!$D$2:$D$3001,$N1713))</f>
        <v/>
      </c>
      <c r="F1713" s="26" t="str">
        <f>IF($N1713="","",IF($E$8=0,"",E1713/$E$8))</f>
        <v/>
      </c>
      <c r="G1713" s="25" t="str">
        <f>IF($N1713="","",INDEX('_calc'!$E$2:$E$3001,$N1713))</f>
        <v/>
      </c>
      <c r="H1713" s="25" t="str">
        <f>IF($N1713="","",INDEX('_calc'!$F$2:$F$3001,$N1713))</f>
        <v/>
      </c>
      <c r="I1713" s="27" t="str">
        <f>IF($N1713="","",INDEX('_calc'!$H$2:$H$3001,$N1713))</f>
        <v/>
      </c>
      <c r="J1713" s="27" t="str">
        <f>IF($N1713="","",INDEX('_calc'!$I$2:$I$3001,$N1713))</f>
        <v/>
      </c>
      <c r="K1713" s="28" t="str">
        <f>IF($N1713="","",IF(OR(I1713="",J1713=""),"",J1713-I1713))</f>
        <v/>
      </c>
      <c r="L1713" s="29" t="str">
        <f>IF($N1713="","",INDEX('_calc'!$J$2:$J$3001,$N1713))</f>
        <v/>
      </c>
      <c r="M1713" s="2" t="str">
        <f>IF($N1713="","",IF(AND(G1713=0,H1713=0),"수량 없음",IF(G1713=0,"신규 (전년 수량 없음)",IF(H1713=0,"당해 수량 없음",""))))</f>
        <v/>
      </c>
      <c r="N1713" t="str">
        <f>IF($B1713="","",MATCH($B1713,'_calc'!$L$2:$L$3001,0))</f>
        <v/>
      </c>
    </row>
    <row r="1714">
      <c r="B1714" s="24" t="str">
        <f>IF(ROW()-ROW($B$8)&gt;nComp,"",ROW()-ROW($B$8))</f>
        <v/>
      </c>
      <c r="C1714" t="str">
        <f>IF($N1714="","",INDEX('_calc'!$A$2:$A$3001,$N1714))</f>
        <v/>
      </c>
      <c r="D1714" s="25" t="str">
        <f>IF($N1714="","",INDEX('_calc'!$C$2:$C$3001,$N1714))</f>
        <v/>
      </c>
      <c r="E1714" s="25" t="str">
        <f>IF($N1714="","",INDEX('_calc'!$D$2:$D$3001,$N1714))</f>
        <v/>
      </c>
      <c r="F1714" s="26" t="str">
        <f>IF($N1714="","",IF($E$8=0,"",E1714/$E$8))</f>
        <v/>
      </c>
      <c r="G1714" s="25" t="str">
        <f>IF($N1714="","",INDEX('_calc'!$E$2:$E$3001,$N1714))</f>
        <v/>
      </c>
      <c r="H1714" s="25" t="str">
        <f>IF($N1714="","",INDEX('_calc'!$F$2:$F$3001,$N1714))</f>
        <v/>
      </c>
      <c r="I1714" s="27" t="str">
        <f>IF($N1714="","",INDEX('_calc'!$H$2:$H$3001,$N1714))</f>
        <v/>
      </c>
      <c r="J1714" s="27" t="str">
        <f>IF($N1714="","",INDEX('_calc'!$I$2:$I$3001,$N1714))</f>
        <v/>
      </c>
      <c r="K1714" s="28" t="str">
        <f>IF($N1714="","",IF(OR(I1714="",J1714=""),"",J1714-I1714))</f>
        <v/>
      </c>
      <c r="L1714" s="29" t="str">
        <f>IF($N1714="","",INDEX('_calc'!$J$2:$J$3001,$N1714))</f>
        <v/>
      </c>
      <c r="M1714" s="2" t="str">
        <f>IF($N1714="","",IF(AND(G1714=0,H1714=0),"수량 없음",IF(G1714=0,"신규 (전년 수량 없음)",IF(H1714=0,"당해 수량 없음",""))))</f>
        <v/>
      </c>
      <c r="N1714" t="str">
        <f>IF($B1714="","",MATCH($B1714,'_calc'!$L$2:$L$3001,0))</f>
        <v/>
      </c>
    </row>
    <row r="1715">
      <c r="B1715" s="24" t="str">
        <f>IF(ROW()-ROW($B$8)&gt;nComp,"",ROW()-ROW($B$8))</f>
        <v/>
      </c>
      <c r="C1715" t="str">
        <f>IF($N1715="","",INDEX('_calc'!$A$2:$A$3001,$N1715))</f>
        <v/>
      </c>
      <c r="D1715" s="25" t="str">
        <f>IF($N1715="","",INDEX('_calc'!$C$2:$C$3001,$N1715))</f>
        <v/>
      </c>
      <c r="E1715" s="25" t="str">
        <f>IF($N1715="","",INDEX('_calc'!$D$2:$D$3001,$N1715))</f>
        <v/>
      </c>
      <c r="F1715" s="26" t="str">
        <f>IF($N1715="","",IF($E$8=0,"",E1715/$E$8))</f>
        <v/>
      </c>
      <c r="G1715" s="25" t="str">
        <f>IF($N1715="","",INDEX('_calc'!$E$2:$E$3001,$N1715))</f>
        <v/>
      </c>
      <c r="H1715" s="25" t="str">
        <f>IF($N1715="","",INDEX('_calc'!$F$2:$F$3001,$N1715))</f>
        <v/>
      </c>
      <c r="I1715" s="27" t="str">
        <f>IF($N1715="","",INDEX('_calc'!$H$2:$H$3001,$N1715))</f>
        <v/>
      </c>
      <c r="J1715" s="27" t="str">
        <f>IF($N1715="","",INDEX('_calc'!$I$2:$I$3001,$N1715))</f>
        <v/>
      </c>
      <c r="K1715" s="28" t="str">
        <f>IF($N1715="","",IF(OR(I1715="",J1715=""),"",J1715-I1715))</f>
        <v/>
      </c>
      <c r="L1715" s="29" t="str">
        <f>IF($N1715="","",INDEX('_calc'!$J$2:$J$3001,$N1715))</f>
        <v/>
      </c>
      <c r="M1715" s="2" t="str">
        <f>IF($N1715="","",IF(AND(G1715=0,H1715=0),"수량 없음",IF(G1715=0,"신규 (전년 수량 없음)",IF(H1715=0,"당해 수량 없음",""))))</f>
        <v/>
      </c>
      <c r="N1715" t="str">
        <f>IF($B1715="","",MATCH($B1715,'_calc'!$L$2:$L$3001,0))</f>
        <v/>
      </c>
    </row>
    <row r="1716">
      <c r="B1716" s="24" t="str">
        <f>IF(ROW()-ROW($B$8)&gt;nComp,"",ROW()-ROW($B$8))</f>
        <v/>
      </c>
      <c r="C1716" t="str">
        <f>IF($N1716="","",INDEX('_calc'!$A$2:$A$3001,$N1716))</f>
        <v/>
      </c>
      <c r="D1716" s="25" t="str">
        <f>IF($N1716="","",INDEX('_calc'!$C$2:$C$3001,$N1716))</f>
        <v/>
      </c>
      <c r="E1716" s="25" t="str">
        <f>IF($N1716="","",INDEX('_calc'!$D$2:$D$3001,$N1716))</f>
        <v/>
      </c>
      <c r="F1716" s="26" t="str">
        <f>IF($N1716="","",IF($E$8=0,"",E1716/$E$8))</f>
        <v/>
      </c>
      <c r="G1716" s="25" t="str">
        <f>IF($N1716="","",INDEX('_calc'!$E$2:$E$3001,$N1716))</f>
        <v/>
      </c>
      <c r="H1716" s="25" t="str">
        <f>IF($N1716="","",INDEX('_calc'!$F$2:$F$3001,$N1716))</f>
        <v/>
      </c>
      <c r="I1716" s="27" t="str">
        <f>IF($N1716="","",INDEX('_calc'!$H$2:$H$3001,$N1716))</f>
        <v/>
      </c>
      <c r="J1716" s="27" t="str">
        <f>IF($N1716="","",INDEX('_calc'!$I$2:$I$3001,$N1716))</f>
        <v/>
      </c>
      <c r="K1716" s="28" t="str">
        <f>IF($N1716="","",IF(OR(I1716="",J1716=""),"",J1716-I1716))</f>
        <v/>
      </c>
      <c r="L1716" s="29" t="str">
        <f>IF($N1716="","",INDEX('_calc'!$J$2:$J$3001,$N1716))</f>
        <v/>
      </c>
      <c r="M1716" s="2" t="str">
        <f>IF($N1716="","",IF(AND(G1716=0,H1716=0),"수량 없음",IF(G1716=0,"신규 (전년 수량 없음)",IF(H1716=0,"당해 수량 없음",""))))</f>
        <v/>
      </c>
      <c r="N1716" t="str">
        <f>IF($B1716="","",MATCH($B1716,'_calc'!$L$2:$L$3001,0))</f>
        <v/>
      </c>
    </row>
    <row r="1717">
      <c r="B1717" s="24" t="str">
        <f>IF(ROW()-ROW($B$8)&gt;nComp,"",ROW()-ROW($B$8))</f>
        <v/>
      </c>
      <c r="C1717" t="str">
        <f>IF($N1717="","",INDEX('_calc'!$A$2:$A$3001,$N1717))</f>
        <v/>
      </c>
      <c r="D1717" s="25" t="str">
        <f>IF($N1717="","",INDEX('_calc'!$C$2:$C$3001,$N1717))</f>
        <v/>
      </c>
      <c r="E1717" s="25" t="str">
        <f>IF($N1717="","",INDEX('_calc'!$D$2:$D$3001,$N1717))</f>
        <v/>
      </c>
      <c r="F1717" s="26" t="str">
        <f>IF($N1717="","",IF($E$8=0,"",E1717/$E$8))</f>
        <v/>
      </c>
      <c r="G1717" s="25" t="str">
        <f>IF($N1717="","",INDEX('_calc'!$E$2:$E$3001,$N1717))</f>
        <v/>
      </c>
      <c r="H1717" s="25" t="str">
        <f>IF($N1717="","",INDEX('_calc'!$F$2:$F$3001,$N1717))</f>
        <v/>
      </c>
      <c r="I1717" s="27" t="str">
        <f>IF($N1717="","",INDEX('_calc'!$H$2:$H$3001,$N1717))</f>
        <v/>
      </c>
      <c r="J1717" s="27" t="str">
        <f>IF($N1717="","",INDEX('_calc'!$I$2:$I$3001,$N1717))</f>
        <v/>
      </c>
      <c r="K1717" s="28" t="str">
        <f>IF($N1717="","",IF(OR(I1717="",J1717=""),"",J1717-I1717))</f>
        <v/>
      </c>
      <c r="L1717" s="29" t="str">
        <f>IF($N1717="","",INDEX('_calc'!$J$2:$J$3001,$N1717))</f>
        <v/>
      </c>
      <c r="M1717" s="2" t="str">
        <f>IF($N1717="","",IF(AND(G1717=0,H1717=0),"수량 없음",IF(G1717=0,"신규 (전년 수량 없음)",IF(H1717=0,"당해 수량 없음",""))))</f>
        <v/>
      </c>
      <c r="N1717" t="str">
        <f>IF($B1717="","",MATCH($B1717,'_calc'!$L$2:$L$3001,0))</f>
        <v/>
      </c>
    </row>
    <row r="1718">
      <c r="B1718" s="24" t="str">
        <f>IF(ROW()-ROW($B$8)&gt;nComp,"",ROW()-ROW($B$8))</f>
        <v/>
      </c>
      <c r="C1718" t="str">
        <f>IF($N1718="","",INDEX('_calc'!$A$2:$A$3001,$N1718))</f>
        <v/>
      </c>
      <c r="D1718" s="25" t="str">
        <f>IF($N1718="","",INDEX('_calc'!$C$2:$C$3001,$N1718))</f>
        <v/>
      </c>
      <c r="E1718" s="25" t="str">
        <f>IF($N1718="","",INDEX('_calc'!$D$2:$D$3001,$N1718))</f>
        <v/>
      </c>
      <c r="F1718" s="26" t="str">
        <f>IF($N1718="","",IF($E$8=0,"",E1718/$E$8))</f>
        <v/>
      </c>
      <c r="G1718" s="25" t="str">
        <f>IF($N1718="","",INDEX('_calc'!$E$2:$E$3001,$N1718))</f>
        <v/>
      </c>
      <c r="H1718" s="25" t="str">
        <f>IF($N1718="","",INDEX('_calc'!$F$2:$F$3001,$N1718))</f>
        <v/>
      </c>
      <c r="I1718" s="27" t="str">
        <f>IF($N1718="","",INDEX('_calc'!$H$2:$H$3001,$N1718))</f>
        <v/>
      </c>
      <c r="J1718" s="27" t="str">
        <f>IF($N1718="","",INDEX('_calc'!$I$2:$I$3001,$N1718))</f>
        <v/>
      </c>
      <c r="K1718" s="28" t="str">
        <f>IF($N1718="","",IF(OR(I1718="",J1718=""),"",J1718-I1718))</f>
        <v/>
      </c>
      <c r="L1718" s="29" t="str">
        <f>IF($N1718="","",INDEX('_calc'!$J$2:$J$3001,$N1718))</f>
        <v/>
      </c>
      <c r="M1718" s="2" t="str">
        <f>IF($N1718="","",IF(AND(G1718=0,H1718=0),"수량 없음",IF(G1718=0,"신규 (전년 수량 없음)",IF(H1718=0,"당해 수량 없음",""))))</f>
        <v/>
      </c>
      <c r="N1718" t="str">
        <f>IF($B1718="","",MATCH($B1718,'_calc'!$L$2:$L$3001,0))</f>
        <v/>
      </c>
    </row>
    <row r="1719">
      <c r="B1719" s="24" t="str">
        <f>IF(ROW()-ROW($B$8)&gt;nComp,"",ROW()-ROW($B$8))</f>
        <v/>
      </c>
      <c r="C1719" t="str">
        <f>IF($N1719="","",INDEX('_calc'!$A$2:$A$3001,$N1719))</f>
        <v/>
      </c>
      <c r="D1719" s="25" t="str">
        <f>IF($N1719="","",INDEX('_calc'!$C$2:$C$3001,$N1719))</f>
        <v/>
      </c>
      <c r="E1719" s="25" t="str">
        <f>IF($N1719="","",INDEX('_calc'!$D$2:$D$3001,$N1719))</f>
        <v/>
      </c>
      <c r="F1719" s="26" t="str">
        <f>IF($N1719="","",IF($E$8=0,"",E1719/$E$8))</f>
        <v/>
      </c>
      <c r="G1719" s="25" t="str">
        <f>IF($N1719="","",INDEX('_calc'!$E$2:$E$3001,$N1719))</f>
        <v/>
      </c>
      <c r="H1719" s="25" t="str">
        <f>IF($N1719="","",INDEX('_calc'!$F$2:$F$3001,$N1719))</f>
        <v/>
      </c>
      <c r="I1719" s="27" t="str">
        <f>IF($N1719="","",INDEX('_calc'!$H$2:$H$3001,$N1719))</f>
        <v/>
      </c>
      <c r="J1719" s="27" t="str">
        <f>IF($N1719="","",INDEX('_calc'!$I$2:$I$3001,$N1719))</f>
        <v/>
      </c>
      <c r="K1719" s="28" t="str">
        <f>IF($N1719="","",IF(OR(I1719="",J1719=""),"",J1719-I1719))</f>
        <v/>
      </c>
      <c r="L1719" s="29" t="str">
        <f>IF($N1719="","",INDEX('_calc'!$J$2:$J$3001,$N1719))</f>
        <v/>
      </c>
      <c r="M1719" s="2" t="str">
        <f>IF($N1719="","",IF(AND(G1719=0,H1719=0),"수량 없음",IF(G1719=0,"신규 (전년 수량 없음)",IF(H1719=0,"당해 수량 없음",""))))</f>
        <v/>
      </c>
      <c r="N1719" t="str">
        <f>IF($B1719="","",MATCH($B1719,'_calc'!$L$2:$L$3001,0))</f>
        <v/>
      </c>
    </row>
    <row r="1720">
      <c r="B1720" s="24" t="str">
        <f>IF(ROW()-ROW($B$8)&gt;nComp,"",ROW()-ROW($B$8))</f>
        <v/>
      </c>
      <c r="C1720" t="str">
        <f>IF($N1720="","",INDEX('_calc'!$A$2:$A$3001,$N1720))</f>
        <v/>
      </c>
      <c r="D1720" s="25" t="str">
        <f>IF($N1720="","",INDEX('_calc'!$C$2:$C$3001,$N1720))</f>
        <v/>
      </c>
      <c r="E1720" s="25" t="str">
        <f>IF($N1720="","",INDEX('_calc'!$D$2:$D$3001,$N1720))</f>
        <v/>
      </c>
      <c r="F1720" s="26" t="str">
        <f>IF($N1720="","",IF($E$8=0,"",E1720/$E$8))</f>
        <v/>
      </c>
      <c r="G1720" s="25" t="str">
        <f>IF($N1720="","",INDEX('_calc'!$E$2:$E$3001,$N1720))</f>
        <v/>
      </c>
      <c r="H1720" s="25" t="str">
        <f>IF($N1720="","",INDEX('_calc'!$F$2:$F$3001,$N1720))</f>
        <v/>
      </c>
      <c r="I1720" s="27" t="str">
        <f>IF($N1720="","",INDEX('_calc'!$H$2:$H$3001,$N1720))</f>
        <v/>
      </c>
      <c r="J1720" s="27" t="str">
        <f>IF($N1720="","",INDEX('_calc'!$I$2:$I$3001,$N1720))</f>
        <v/>
      </c>
      <c r="K1720" s="28" t="str">
        <f>IF($N1720="","",IF(OR(I1720="",J1720=""),"",J1720-I1720))</f>
        <v/>
      </c>
      <c r="L1720" s="29" t="str">
        <f>IF($N1720="","",INDEX('_calc'!$J$2:$J$3001,$N1720))</f>
        <v/>
      </c>
      <c r="M1720" s="2" t="str">
        <f>IF($N1720="","",IF(AND(G1720=0,H1720=0),"수량 없음",IF(G1720=0,"신규 (전년 수량 없음)",IF(H1720=0,"당해 수량 없음",""))))</f>
        <v/>
      </c>
      <c r="N1720" t="str">
        <f>IF($B1720="","",MATCH($B1720,'_calc'!$L$2:$L$3001,0))</f>
        <v/>
      </c>
    </row>
    <row r="1721">
      <c r="B1721" s="24" t="str">
        <f>IF(ROW()-ROW($B$8)&gt;nComp,"",ROW()-ROW($B$8))</f>
        <v/>
      </c>
      <c r="C1721" t="str">
        <f>IF($N1721="","",INDEX('_calc'!$A$2:$A$3001,$N1721))</f>
        <v/>
      </c>
      <c r="D1721" s="25" t="str">
        <f>IF($N1721="","",INDEX('_calc'!$C$2:$C$3001,$N1721))</f>
        <v/>
      </c>
      <c r="E1721" s="25" t="str">
        <f>IF($N1721="","",INDEX('_calc'!$D$2:$D$3001,$N1721))</f>
        <v/>
      </c>
      <c r="F1721" s="26" t="str">
        <f>IF($N1721="","",IF($E$8=0,"",E1721/$E$8))</f>
        <v/>
      </c>
      <c r="G1721" s="25" t="str">
        <f>IF($N1721="","",INDEX('_calc'!$E$2:$E$3001,$N1721))</f>
        <v/>
      </c>
      <c r="H1721" s="25" t="str">
        <f>IF($N1721="","",INDEX('_calc'!$F$2:$F$3001,$N1721))</f>
        <v/>
      </c>
      <c r="I1721" s="27" t="str">
        <f>IF($N1721="","",INDEX('_calc'!$H$2:$H$3001,$N1721))</f>
        <v/>
      </c>
      <c r="J1721" s="27" t="str">
        <f>IF($N1721="","",INDEX('_calc'!$I$2:$I$3001,$N1721))</f>
        <v/>
      </c>
      <c r="K1721" s="28" t="str">
        <f>IF($N1721="","",IF(OR(I1721="",J1721=""),"",J1721-I1721))</f>
        <v/>
      </c>
      <c r="L1721" s="29" t="str">
        <f>IF($N1721="","",INDEX('_calc'!$J$2:$J$3001,$N1721))</f>
        <v/>
      </c>
      <c r="M1721" s="2" t="str">
        <f>IF($N1721="","",IF(AND(G1721=0,H1721=0),"수량 없음",IF(G1721=0,"신규 (전년 수량 없음)",IF(H1721=0,"당해 수량 없음",""))))</f>
        <v/>
      </c>
      <c r="N1721" t="str">
        <f>IF($B1721="","",MATCH($B1721,'_calc'!$L$2:$L$3001,0))</f>
        <v/>
      </c>
    </row>
    <row r="1722">
      <c r="B1722" s="24" t="str">
        <f>IF(ROW()-ROW($B$8)&gt;nComp,"",ROW()-ROW($B$8))</f>
        <v/>
      </c>
      <c r="C1722" t="str">
        <f>IF($N1722="","",INDEX('_calc'!$A$2:$A$3001,$N1722))</f>
        <v/>
      </c>
      <c r="D1722" s="25" t="str">
        <f>IF($N1722="","",INDEX('_calc'!$C$2:$C$3001,$N1722))</f>
        <v/>
      </c>
      <c r="E1722" s="25" t="str">
        <f>IF($N1722="","",INDEX('_calc'!$D$2:$D$3001,$N1722))</f>
        <v/>
      </c>
      <c r="F1722" s="26" t="str">
        <f>IF($N1722="","",IF($E$8=0,"",E1722/$E$8))</f>
        <v/>
      </c>
      <c r="G1722" s="25" t="str">
        <f>IF($N1722="","",INDEX('_calc'!$E$2:$E$3001,$N1722))</f>
        <v/>
      </c>
      <c r="H1722" s="25" t="str">
        <f>IF($N1722="","",INDEX('_calc'!$F$2:$F$3001,$N1722))</f>
        <v/>
      </c>
      <c r="I1722" s="27" t="str">
        <f>IF($N1722="","",INDEX('_calc'!$H$2:$H$3001,$N1722))</f>
        <v/>
      </c>
      <c r="J1722" s="27" t="str">
        <f>IF($N1722="","",INDEX('_calc'!$I$2:$I$3001,$N1722))</f>
        <v/>
      </c>
      <c r="K1722" s="28" t="str">
        <f>IF($N1722="","",IF(OR(I1722="",J1722=""),"",J1722-I1722))</f>
        <v/>
      </c>
      <c r="L1722" s="29" t="str">
        <f>IF($N1722="","",INDEX('_calc'!$J$2:$J$3001,$N1722))</f>
        <v/>
      </c>
      <c r="M1722" s="2" t="str">
        <f>IF($N1722="","",IF(AND(G1722=0,H1722=0),"수량 없음",IF(G1722=0,"신규 (전년 수량 없음)",IF(H1722=0,"당해 수량 없음",""))))</f>
        <v/>
      </c>
      <c r="N1722" t="str">
        <f>IF($B1722="","",MATCH($B1722,'_calc'!$L$2:$L$3001,0))</f>
        <v/>
      </c>
    </row>
    <row r="1723">
      <c r="B1723" s="24" t="str">
        <f>IF(ROW()-ROW($B$8)&gt;nComp,"",ROW()-ROW($B$8))</f>
        <v/>
      </c>
      <c r="C1723" t="str">
        <f>IF($N1723="","",INDEX('_calc'!$A$2:$A$3001,$N1723))</f>
        <v/>
      </c>
      <c r="D1723" s="25" t="str">
        <f>IF($N1723="","",INDEX('_calc'!$C$2:$C$3001,$N1723))</f>
        <v/>
      </c>
      <c r="E1723" s="25" t="str">
        <f>IF($N1723="","",INDEX('_calc'!$D$2:$D$3001,$N1723))</f>
        <v/>
      </c>
      <c r="F1723" s="26" t="str">
        <f>IF($N1723="","",IF($E$8=0,"",E1723/$E$8))</f>
        <v/>
      </c>
      <c r="G1723" s="25" t="str">
        <f>IF($N1723="","",INDEX('_calc'!$E$2:$E$3001,$N1723))</f>
        <v/>
      </c>
      <c r="H1723" s="25" t="str">
        <f>IF($N1723="","",INDEX('_calc'!$F$2:$F$3001,$N1723))</f>
        <v/>
      </c>
      <c r="I1723" s="27" t="str">
        <f>IF($N1723="","",INDEX('_calc'!$H$2:$H$3001,$N1723))</f>
        <v/>
      </c>
      <c r="J1723" s="27" t="str">
        <f>IF($N1723="","",INDEX('_calc'!$I$2:$I$3001,$N1723))</f>
        <v/>
      </c>
      <c r="K1723" s="28" t="str">
        <f>IF($N1723="","",IF(OR(I1723="",J1723=""),"",J1723-I1723))</f>
        <v/>
      </c>
      <c r="L1723" s="29" t="str">
        <f>IF($N1723="","",INDEX('_calc'!$J$2:$J$3001,$N1723))</f>
        <v/>
      </c>
      <c r="M1723" s="2" t="str">
        <f>IF($N1723="","",IF(AND(G1723=0,H1723=0),"수량 없음",IF(G1723=0,"신규 (전년 수량 없음)",IF(H1723=0,"당해 수량 없음",""))))</f>
        <v/>
      </c>
      <c r="N1723" t="str">
        <f>IF($B1723="","",MATCH($B1723,'_calc'!$L$2:$L$3001,0))</f>
        <v/>
      </c>
    </row>
    <row r="1724">
      <c r="B1724" s="24" t="str">
        <f>IF(ROW()-ROW($B$8)&gt;nComp,"",ROW()-ROW($B$8))</f>
        <v/>
      </c>
      <c r="C1724" t="str">
        <f>IF($N1724="","",INDEX('_calc'!$A$2:$A$3001,$N1724))</f>
        <v/>
      </c>
      <c r="D1724" s="25" t="str">
        <f>IF($N1724="","",INDEX('_calc'!$C$2:$C$3001,$N1724))</f>
        <v/>
      </c>
      <c r="E1724" s="25" t="str">
        <f>IF($N1724="","",INDEX('_calc'!$D$2:$D$3001,$N1724))</f>
        <v/>
      </c>
      <c r="F1724" s="26" t="str">
        <f>IF($N1724="","",IF($E$8=0,"",E1724/$E$8))</f>
        <v/>
      </c>
      <c r="G1724" s="25" t="str">
        <f>IF($N1724="","",INDEX('_calc'!$E$2:$E$3001,$N1724))</f>
        <v/>
      </c>
      <c r="H1724" s="25" t="str">
        <f>IF($N1724="","",INDEX('_calc'!$F$2:$F$3001,$N1724))</f>
        <v/>
      </c>
      <c r="I1724" s="27" t="str">
        <f>IF($N1724="","",INDEX('_calc'!$H$2:$H$3001,$N1724))</f>
        <v/>
      </c>
      <c r="J1724" s="27" t="str">
        <f>IF($N1724="","",INDEX('_calc'!$I$2:$I$3001,$N1724))</f>
        <v/>
      </c>
      <c r="K1724" s="28" t="str">
        <f>IF($N1724="","",IF(OR(I1724="",J1724=""),"",J1724-I1724))</f>
        <v/>
      </c>
      <c r="L1724" s="29" t="str">
        <f>IF($N1724="","",INDEX('_calc'!$J$2:$J$3001,$N1724))</f>
        <v/>
      </c>
      <c r="M1724" s="2" t="str">
        <f>IF($N1724="","",IF(AND(G1724=0,H1724=0),"수량 없음",IF(G1724=0,"신규 (전년 수량 없음)",IF(H1724=0,"당해 수량 없음",""))))</f>
        <v/>
      </c>
      <c r="N1724" t="str">
        <f>IF($B1724="","",MATCH($B1724,'_calc'!$L$2:$L$3001,0))</f>
        <v/>
      </c>
    </row>
    <row r="1725">
      <c r="B1725" s="24" t="str">
        <f>IF(ROW()-ROW($B$8)&gt;nComp,"",ROW()-ROW($B$8))</f>
        <v/>
      </c>
      <c r="C1725" t="str">
        <f>IF($N1725="","",INDEX('_calc'!$A$2:$A$3001,$N1725))</f>
        <v/>
      </c>
      <c r="D1725" s="25" t="str">
        <f>IF($N1725="","",INDEX('_calc'!$C$2:$C$3001,$N1725))</f>
        <v/>
      </c>
      <c r="E1725" s="25" t="str">
        <f>IF($N1725="","",INDEX('_calc'!$D$2:$D$3001,$N1725))</f>
        <v/>
      </c>
      <c r="F1725" s="26" t="str">
        <f>IF($N1725="","",IF($E$8=0,"",E1725/$E$8))</f>
        <v/>
      </c>
      <c r="G1725" s="25" t="str">
        <f>IF($N1725="","",INDEX('_calc'!$E$2:$E$3001,$N1725))</f>
        <v/>
      </c>
      <c r="H1725" s="25" t="str">
        <f>IF($N1725="","",INDEX('_calc'!$F$2:$F$3001,$N1725))</f>
        <v/>
      </c>
      <c r="I1725" s="27" t="str">
        <f>IF($N1725="","",INDEX('_calc'!$H$2:$H$3001,$N1725))</f>
        <v/>
      </c>
      <c r="J1725" s="27" t="str">
        <f>IF($N1725="","",INDEX('_calc'!$I$2:$I$3001,$N1725))</f>
        <v/>
      </c>
      <c r="K1725" s="28" t="str">
        <f>IF($N1725="","",IF(OR(I1725="",J1725=""),"",J1725-I1725))</f>
        <v/>
      </c>
      <c r="L1725" s="29" t="str">
        <f>IF($N1725="","",INDEX('_calc'!$J$2:$J$3001,$N1725))</f>
        <v/>
      </c>
      <c r="M1725" s="2" t="str">
        <f>IF($N1725="","",IF(AND(G1725=0,H1725=0),"수량 없음",IF(G1725=0,"신규 (전년 수량 없음)",IF(H1725=0,"당해 수량 없음",""))))</f>
        <v/>
      </c>
      <c r="N1725" t="str">
        <f>IF($B1725="","",MATCH($B1725,'_calc'!$L$2:$L$3001,0))</f>
        <v/>
      </c>
    </row>
    <row r="1726">
      <c r="B1726" s="24" t="str">
        <f>IF(ROW()-ROW($B$8)&gt;nComp,"",ROW()-ROW($B$8))</f>
        <v/>
      </c>
      <c r="C1726" t="str">
        <f>IF($N1726="","",INDEX('_calc'!$A$2:$A$3001,$N1726))</f>
        <v/>
      </c>
      <c r="D1726" s="25" t="str">
        <f>IF($N1726="","",INDEX('_calc'!$C$2:$C$3001,$N1726))</f>
        <v/>
      </c>
      <c r="E1726" s="25" t="str">
        <f>IF($N1726="","",INDEX('_calc'!$D$2:$D$3001,$N1726))</f>
        <v/>
      </c>
      <c r="F1726" s="26" t="str">
        <f>IF($N1726="","",IF($E$8=0,"",E1726/$E$8))</f>
        <v/>
      </c>
      <c r="G1726" s="25" t="str">
        <f>IF($N1726="","",INDEX('_calc'!$E$2:$E$3001,$N1726))</f>
        <v/>
      </c>
      <c r="H1726" s="25" t="str">
        <f>IF($N1726="","",INDEX('_calc'!$F$2:$F$3001,$N1726))</f>
        <v/>
      </c>
      <c r="I1726" s="27" t="str">
        <f>IF($N1726="","",INDEX('_calc'!$H$2:$H$3001,$N1726))</f>
        <v/>
      </c>
      <c r="J1726" s="27" t="str">
        <f>IF($N1726="","",INDEX('_calc'!$I$2:$I$3001,$N1726))</f>
        <v/>
      </c>
      <c r="K1726" s="28" t="str">
        <f>IF($N1726="","",IF(OR(I1726="",J1726=""),"",J1726-I1726))</f>
        <v/>
      </c>
      <c r="L1726" s="29" t="str">
        <f>IF($N1726="","",INDEX('_calc'!$J$2:$J$3001,$N1726))</f>
        <v/>
      </c>
      <c r="M1726" s="2" t="str">
        <f>IF($N1726="","",IF(AND(G1726=0,H1726=0),"수량 없음",IF(G1726=0,"신규 (전년 수량 없음)",IF(H1726=0,"당해 수량 없음",""))))</f>
        <v/>
      </c>
      <c r="N1726" t="str">
        <f>IF($B1726="","",MATCH($B1726,'_calc'!$L$2:$L$3001,0))</f>
        <v/>
      </c>
    </row>
    <row r="1727">
      <c r="B1727" s="24" t="str">
        <f>IF(ROW()-ROW($B$8)&gt;nComp,"",ROW()-ROW($B$8))</f>
        <v/>
      </c>
      <c r="C1727" t="str">
        <f>IF($N1727="","",INDEX('_calc'!$A$2:$A$3001,$N1727))</f>
        <v/>
      </c>
      <c r="D1727" s="25" t="str">
        <f>IF($N1727="","",INDEX('_calc'!$C$2:$C$3001,$N1727))</f>
        <v/>
      </c>
      <c r="E1727" s="25" t="str">
        <f>IF($N1727="","",INDEX('_calc'!$D$2:$D$3001,$N1727))</f>
        <v/>
      </c>
      <c r="F1727" s="26" t="str">
        <f>IF($N1727="","",IF($E$8=0,"",E1727/$E$8))</f>
        <v/>
      </c>
      <c r="G1727" s="25" t="str">
        <f>IF($N1727="","",INDEX('_calc'!$E$2:$E$3001,$N1727))</f>
        <v/>
      </c>
      <c r="H1727" s="25" t="str">
        <f>IF($N1727="","",INDEX('_calc'!$F$2:$F$3001,$N1727))</f>
        <v/>
      </c>
      <c r="I1727" s="27" t="str">
        <f>IF($N1727="","",INDEX('_calc'!$H$2:$H$3001,$N1727))</f>
        <v/>
      </c>
      <c r="J1727" s="27" t="str">
        <f>IF($N1727="","",INDEX('_calc'!$I$2:$I$3001,$N1727))</f>
        <v/>
      </c>
      <c r="K1727" s="28" t="str">
        <f>IF($N1727="","",IF(OR(I1727="",J1727=""),"",J1727-I1727))</f>
        <v/>
      </c>
      <c r="L1727" s="29" t="str">
        <f>IF($N1727="","",INDEX('_calc'!$J$2:$J$3001,$N1727))</f>
        <v/>
      </c>
      <c r="M1727" s="2" t="str">
        <f>IF($N1727="","",IF(AND(G1727=0,H1727=0),"수량 없음",IF(G1727=0,"신규 (전년 수량 없음)",IF(H1727=0,"당해 수량 없음",""))))</f>
        <v/>
      </c>
      <c r="N1727" t="str">
        <f>IF($B1727="","",MATCH($B1727,'_calc'!$L$2:$L$3001,0))</f>
        <v/>
      </c>
    </row>
    <row r="1728">
      <c r="B1728" s="24" t="str">
        <f>IF(ROW()-ROW($B$8)&gt;nComp,"",ROW()-ROW($B$8))</f>
        <v/>
      </c>
      <c r="C1728" t="str">
        <f>IF($N1728="","",INDEX('_calc'!$A$2:$A$3001,$N1728))</f>
        <v/>
      </c>
      <c r="D1728" s="25" t="str">
        <f>IF($N1728="","",INDEX('_calc'!$C$2:$C$3001,$N1728))</f>
        <v/>
      </c>
      <c r="E1728" s="25" t="str">
        <f>IF($N1728="","",INDEX('_calc'!$D$2:$D$3001,$N1728))</f>
        <v/>
      </c>
      <c r="F1728" s="26" t="str">
        <f>IF($N1728="","",IF($E$8=0,"",E1728/$E$8))</f>
        <v/>
      </c>
      <c r="G1728" s="25" t="str">
        <f>IF($N1728="","",INDEX('_calc'!$E$2:$E$3001,$N1728))</f>
        <v/>
      </c>
      <c r="H1728" s="25" t="str">
        <f>IF($N1728="","",INDEX('_calc'!$F$2:$F$3001,$N1728))</f>
        <v/>
      </c>
      <c r="I1728" s="27" t="str">
        <f>IF($N1728="","",INDEX('_calc'!$H$2:$H$3001,$N1728))</f>
        <v/>
      </c>
      <c r="J1728" s="27" t="str">
        <f>IF($N1728="","",INDEX('_calc'!$I$2:$I$3001,$N1728))</f>
        <v/>
      </c>
      <c r="K1728" s="28" t="str">
        <f>IF($N1728="","",IF(OR(I1728="",J1728=""),"",J1728-I1728))</f>
        <v/>
      </c>
      <c r="L1728" s="29" t="str">
        <f>IF($N1728="","",INDEX('_calc'!$J$2:$J$3001,$N1728))</f>
        <v/>
      </c>
      <c r="M1728" s="2" t="str">
        <f>IF($N1728="","",IF(AND(G1728=0,H1728=0),"수량 없음",IF(G1728=0,"신규 (전년 수량 없음)",IF(H1728=0,"당해 수량 없음",""))))</f>
        <v/>
      </c>
      <c r="N1728" t="str">
        <f>IF($B1728="","",MATCH($B1728,'_calc'!$L$2:$L$3001,0))</f>
        <v/>
      </c>
    </row>
    <row r="1729">
      <c r="B1729" s="24" t="str">
        <f>IF(ROW()-ROW($B$8)&gt;nComp,"",ROW()-ROW($B$8))</f>
        <v/>
      </c>
      <c r="C1729" t="str">
        <f>IF($N1729="","",INDEX('_calc'!$A$2:$A$3001,$N1729))</f>
        <v/>
      </c>
      <c r="D1729" s="25" t="str">
        <f>IF($N1729="","",INDEX('_calc'!$C$2:$C$3001,$N1729))</f>
        <v/>
      </c>
      <c r="E1729" s="25" t="str">
        <f>IF($N1729="","",INDEX('_calc'!$D$2:$D$3001,$N1729))</f>
        <v/>
      </c>
      <c r="F1729" s="26" t="str">
        <f>IF($N1729="","",IF($E$8=0,"",E1729/$E$8))</f>
        <v/>
      </c>
      <c r="G1729" s="25" t="str">
        <f>IF($N1729="","",INDEX('_calc'!$E$2:$E$3001,$N1729))</f>
        <v/>
      </c>
      <c r="H1729" s="25" t="str">
        <f>IF($N1729="","",INDEX('_calc'!$F$2:$F$3001,$N1729))</f>
        <v/>
      </c>
      <c r="I1729" s="27" t="str">
        <f>IF($N1729="","",INDEX('_calc'!$H$2:$H$3001,$N1729))</f>
        <v/>
      </c>
      <c r="J1729" s="27" t="str">
        <f>IF($N1729="","",INDEX('_calc'!$I$2:$I$3001,$N1729))</f>
        <v/>
      </c>
      <c r="K1729" s="28" t="str">
        <f>IF($N1729="","",IF(OR(I1729="",J1729=""),"",J1729-I1729))</f>
        <v/>
      </c>
      <c r="L1729" s="29" t="str">
        <f>IF($N1729="","",INDEX('_calc'!$J$2:$J$3001,$N1729))</f>
        <v/>
      </c>
      <c r="M1729" s="2" t="str">
        <f>IF($N1729="","",IF(AND(G1729=0,H1729=0),"수량 없음",IF(G1729=0,"신규 (전년 수량 없음)",IF(H1729=0,"당해 수량 없음",""))))</f>
        <v/>
      </c>
      <c r="N1729" t="str">
        <f>IF($B1729="","",MATCH($B1729,'_calc'!$L$2:$L$3001,0))</f>
        <v/>
      </c>
    </row>
    <row r="1730">
      <c r="B1730" s="24" t="str">
        <f>IF(ROW()-ROW($B$8)&gt;nComp,"",ROW()-ROW($B$8))</f>
        <v/>
      </c>
      <c r="C1730" t="str">
        <f>IF($N1730="","",INDEX('_calc'!$A$2:$A$3001,$N1730))</f>
        <v/>
      </c>
      <c r="D1730" s="25" t="str">
        <f>IF($N1730="","",INDEX('_calc'!$C$2:$C$3001,$N1730))</f>
        <v/>
      </c>
      <c r="E1730" s="25" t="str">
        <f>IF($N1730="","",INDEX('_calc'!$D$2:$D$3001,$N1730))</f>
        <v/>
      </c>
      <c r="F1730" s="26" t="str">
        <f>IF($N1730="","",IF($E$8=0,"",E1730/$E$8))</f>
        <v/>
      </c>
      <c r="G1730" s="25" t="str">
        <f>IF($N1730="","",INDEX('_calc'!$E$2:$E$3001,$N1730))</f>
        <v/>
      </c>
      <c r="H1730" s="25" t="str">
        <f>IF($N1730="","",INDEX('_calc'!$F$2:$F$3001,$N1730))</f>
        <v/>
      </c>
      <c r="I1730" s="27" t="str">
        <f>IF($N1730="","",INDEX('_calc'!$H$2:$H$3001,$N1730))</f>
        <v/>
      </c>
      <c r="J1730" s="27" t="str">
        <f>IF($N1730="","",INDEX('_calc'!$I$2:$I$3001,$N1730))</f>
        <v/>
      </c>
      <c r="K1730" s="28" t="str">
        <f>IF($N1730="","",IF(OR(I1730="",J1730=""),"",J1730-I1730))</f>
        <v/>
      </c>
      <c r="L1730" s="29" t="str">
        <f>IF($N1730="","",INDEX('_calc'!$J$2:$J$3001,$N1730))</f>
        <v/>
      </c>
      <c r="M1730" s="2" t="str">
        <f>IF($N1730="","",IF(AND(G1730=0,H1730=0),"수량 없음",IF(G1730=0,"신규 (전년 수량 없음)",IF(H1730=0,"당해 수량 없음",""))))</f>
        <v/>
      </c>
      <c r="N1730" t="str">
        <f>IF($B1730="","",MATCH($B1730,'_calc'!$L$2:$L$3001,0))</f>
        <v/>
      </c>
    </row>
    <row r="1731">
      <c r="B1731" s="24" t="str">
        <f>IF(ROW()-ROW($B$8)&gt;nComp,"",ROW()-ROW($B$8))</f>
        <v/>
      </c>
      <c r="C1731" t="str">
        <f>IF($N1731="","",INDEX('_calc'!$A$2:$A$3001,$N1731))</f>
        <v/>
      </c>
      <c r="D1731" s="25" t="str">
        <f>IF($N1731="","",INDEX('_calc'!$C$2:$C$3001,$N1731))</f>
        <v/>
      </c>
      <c r="E1731" s="25" t="str">
        <f>IF($N1731="","",INDEX('_calc'!$D$2:$D$3001,$N1731))</f>
        <v/>
      </c>
      <c r="F1731" s="26" t="str">
        <f>IF($N1731="","",IF($E$8=0,"",E1731/$E$8))</f>
        <v/>
      </c>
      <c r="G1731" s="25" t="str">
        <f>IF($N1731="","",INDEX('_calc'!$E$2:$E$3001,$N1731))</f>
        <v/>
      </c>
      <c r="H1731" s="25" t="str">
        <f>IF($N1731="","",INDEX('_calc'!$F$2:$F$3001,$N1731))</f>
        <v/>
      </c>
      <c r="I1731" s="27" t="str">
        <f>IF($N1731="","",INDEX('_calc'!$H$2:$H$3001,$N1731))</f>
        <v/>
      </c>
      <c r="J1731" s="27" t="str">
        <f>IF($N1731="","",INDEX('_calc'!$I$2:$I$3001,$N1731))</f>
        <v/>
      </c>
      <c r="K1731" s="28" t="str">
        <f>IF($N1731="","",IF(OR(I1731="",J1731=""),"",J1731-I1731))</f>
        <v/>
      </c>
      <c r="L1731" s="29" t="str">
        <f>IF($N1731="","",INDEX('_calc'!$J$2:$J$3001,$N1731))</f>
        <v/>
      </c>
      <c r="M1731" s="2" t="str">
        <f>IF($N1731="","",IF(AND(G1731=0,H1731=0),"수량 없음",IF(G1731=0,"신규 (전년 수량 없음)",IF(H1731=0,"당해 수량 없음",""))))</f>
        <v/>
      </c>
      <c r="N1731" t="str">
        <f>IF($B1731="","",MATCH($B1731,'_calc'!$L$2:$L$3001,0))</f>
        <v/>
      </c>
    </row>
    <row r="1732">
      <c r="B1732" s="24" t="str">
        <f>IF(ROW()-ROW($B$8)&gt;nComp,"",ROW()-ROW($B$8))</f>
        <v/>
      </c>
      <c r="C1732" t="str">
        <f>IF($N1732="","",INDEX('_calc'!$A$2:$A$3001,$N1732))</f>
        <v/>
      </c>
      <c r="D1732" s="25" t="str">
        <f>IF($N1732="","",INDEX('_calc'!$C$2:$C$3001,$N1732))</f>
        <v/>
      </c>
      <c r="E1732" s="25" t="str">
        <f>IF($N1732="","",INDEX('_calc'!$D$2:$D$3001,$N1732))</f>
        <v/>
      </c>
      <c r="F1732" s="26" t="str">
        <f>IF($N1732="","",IF($E$8=0,"",E1732/$E$8))</f>
        <v/>
      </c>
      <c r="G1732" s="25" t="str">
        <f>IF($N1732="","",INDEX('_calc'!$E$2:$E$3001,$N1732))</f>
        <v/>
      </c>
      <c r="H1732" s="25" t="str">
        <f>IF($N1732="","",INDEX('_calc'!$F$2:$F$3001,$N1732))</f>
        <v/>
      </c>
      <c r="I1732" s="27" t="str">
        <f>IF($N1732="","",INDEX('_calc'!$H$2:$H$3001,$N1732))</f>
        <v/>
      </c>
      <c r="J1732" s="27" t="str">
        <f>IF($N1732="","",INDEX('_calc'!$I$2:$I$3001,$N1732))</f>
        <v/>
      </c>
      <c r="K1732" s="28" t="str">
        <f>IF($N1732="","",IF(OR(I1732="",J1732=""),"",J1732-I1732))</f>
        <v/>
      </c>
      <c r="L1732" s="29" t="str">
        <f>IF($N1732="","",INDEX('_calc'!$J$2:$J$3001,$N1732))</f>
        <v/>
      </c>
      <c r="M1732" s="2" t="str">
        <f>IF($N1732="","",IF(AND(G1732=0,H1732=0),"수량 없음",IF(G1732=0,"신규 (전년 수량 없음)",IF(H1732=0,"당해 수량 없음",""))))</f>
        <v/>
      </c>
      <c r="N1732" t="str">
        <f>IF($B1732="","",MATCH($B1732,'_calc'!$L$2:$L$3001,0))</f>
        <v/>
      </c>
    </row>
    <row r="1733">
      <c r="B1733" s="24" t="str">
        <f>IF(ROW()-ROW($B$8)&gt;nComp,"",ROW()-ROW($B$8))</f>
        <v/>
      </c>
      <c r="C1733" t="str">
        <f>IF($N1733="","",INDEX('_calc'!$A$2:$A$3001,$N1733))</f>
        <v/>
      </c>
      <c r="D1733" s="25" t="str">
        <f>IF($N1733="","",INDEX('_calc'!$C$2:$C$3001,$N1733))</f>
        <v/>
      </c>
      <c r="E1733" s="25" t="str">
        <f>IF($N1733="","",INDEX('_calc'!$D$2:$D$3001,$N1733))</f>
        <v/>
      </c>
      <c r="F1733" s="26" t="str">
        <f>IF($N1733="","",IF($E$8=0,"",E1733/$E$8))</f>
        <v/>
      </c>
      <c r="G1733" s="25" t="str">
        <f>IF($N1733="","",INDEX('_calc'!$E$2:$E$3001,$N1733))</f>
        <v/>
      </c>
      <c r="H1733" s="25" t="str">
        <f>IF($N1733="","",INDEX('_calc'!$F$2:$F$3001,$N1733))</f>
        <v/>
      </c>
      <c r="I1733" s="27" t="str">
        <f>IF($N1733="","",INDEX('_calc'!$H$2:$H$3001,$N1733))</f>
        <v/>
      </c>
      <c r="J1733" s="27" t="str">
        <f>IF($N1733="","",INDEX('_calc'!$I$2:$I$3001,$N1733))</f>
        <v/>
      </c>
      <c r="K1733" s="28" t="str">
        <f>IF($N1733="","",IF(OR(I1733="",J1733=""),"",J1733-I1733))</f>
        <v/>
      </c>
      <c r="L1733" s="29" t="str">
        <f>IF($N1733="","",INDEX('_calc'!$J$2:$J$3001,$N1733))</f>
        <v/>
      </c>
      <c r="M1733" s="2" t="str">
        <f>IF($N1733="","",IF(AND(G1733=0,H1733=0),"수량 없음",IF(G1733=0,"신규 (전년 수량 없음)",IF(H1733=0,"당해 수량 없음",""))))</f>
        <v/>
      </c>
      <c r="N1733" t="str">
        <f>IF($B1733="","",MATCH($B1733,'_calc'!$L$2:$L$3001,0))</f>
        <v/>
      </c>
    </row>
    <row r="1734">
      <c r="B1734" s="24" t="str">
        <f>IF(ROW()-ROW($B$8)&gt;nComp,"",ROW()-ROW($B$8))</f>
        <v/>
      </c>
      <c r="C1734" t="str">
        <f>IF($N1734="","",INDEX('_calc'!$A$2:$A$3001,$N1734))</f>
        <v/>
      </c>
      <c r="D1734" s="25" t="str">
        <f>IF($N1734="","",INDEX('_calc'!$C$2:$C$3001,$N1734))</f>
        <v/>
      </c>
      <c r="E1734" s="25" t="str">
        <f>IF($N1734="","",INDEX('_calc'!$D$2:$D$3001,$N1734))</f>
        <v/>
      </c>
      <c r="F1734" s="26" t="str">
        <f>IF($N1734="","",IF($E$8=0,"",E1734/$E$8))</f>
        <v/>
      </c>
      <c r="G1734" s="25" t="str">
        <f>IF($N1734="","",INDEX('_calc'!$E$2:$E$3001,$N1734))</f>
        <v/>
      </c>
      <c r="H1734" s="25" t="str">
        <f>IF($N1734="","",INDEX('_calc'!$F$2:$F$3001,$N1734))</f>
        <v/>
      </c>
      <c r="I1734" s="27" t="str">
        <f>IF($N1734="","",INDEX('_calc'!$H$2:$H$3001,$N1734))</f>
        <v/>
      </c>
      <c r="J1734" s="27" t="str">
        <f>IF($N1734="","",INDEX('_calc'!$I$2:$I$3001,$N1734))</f>
        <v/>
      </c>
      <c r="K1734" s="28" t="str">
        <f>IF($N1734="","",IF(OR(I1734="",J1734=""),"",J1734-I1734))</f>
        <v/>
      </c>
      <c r="L1734" s="29" t="str">
        <f>IF($N1734="","",INDEX('_calc'!$J$2:$J$3001,$N1734))</f>
        <v/>
      </c>
      <c r="M1734" s="2" t="str">
        <f>IF($N1734="","",IF(AND(G1734=0,H1734=0),"수량 없음",IF(G1734=0,"신규 (전년 수량 없음)",IF(H1734=0,"당해 수량 없음",""))))</f>
        <v/>
      </c>
      <c r="N1734" t="str">
        <f>IF($B1734="","",MATCH($B1734,'_calc'!$L$2:$L$3001,0))</f>
        <v/>
      </c>
    </row>
    <row r="1735">
      <c r="B1735" s="24" t="str">
        <f>IF(ROW()-ROW($B$8)&gt;nComp,"",ROW()-ROW($B$8))</f>
        <v/>
      </c>
      <c r="C1735" t="str">
        <f>IF($N1735="","",INDEX('_calc'!$A$2:$A$3001,$N1735))</f>
        <v/>
      </c>
      <c r="D1735" s="25" t="str">
        <f>IF($N1735="","",INDEX('_calc'!$C$2:$C$3001,$N1735))</f>
        <v/>
      </c>
      <c r="E1735" s="25" t="str">
        <f>IF($N1735="","",INDEX('_calc'!$D$2:$D$3001,$N1735))</f>
        <v/>
      </c>
      <c r="F1735" s="26" t="str">
        <f>IF($N1735="","",IF($E$8=0,"",E1735/$E$8))</f>
        <v/>
      </c>
      <c r="G1735" s="25" t="str">
        <f>IF($N1735="","",INDEX('_calc'!$E$2:$E$3001,$N1735))</f>
        <v/>
      </c>
      <c r="H1735" s="25" t="str">
        <f>IF($N1735="","",INDEX('_calc'!$F$2:$F$3001,$N1735))</f>
        <v/>
      </c>
      <c r="I1735" s="27" t="str">
        <f>IF($N1735="","",INDEX('_calc'!$H$2:$H$3001,$N1735))</f>
        <v/>
      </c>
      <c r="J1735" s="27" t="str">
        <f>IF($N1735="","",INDEX('_calc'!$I$2:$I$3001,$N1735))</f>
        <v/>
      </c>
      <c r="K1735" s="28" t="str">
        <f>IF($N1735="","",IF(OR(I1735="",J1735=""),"",J1735-I1735))</f>
        <v/>
      </c>
      <c r="L1735" s="29" t="str">
        <f>IF($N1735="","",INDEX('_calc'!$J$2:$J$3001,$N1735))</f>
        <v/>
      </c>
      <c r="M1735" s="2" t="str">
        <f>IF($N1735="","",IF(AND(G1735=0,H1735=0),"수량 없음",IF(G1735=0,"신규 (전년 수량 없음)",IF(H1735=0,"당해 수량 없음",""))))</f>
        <v/>
      </c>
      <c r="N1735" t="str">
        <f>IF($B1735="","",MATCH($B1735,'_calc'!$L$2:$L$3001,0))</f>
        <v/>
      </c>
    </row>
    <row r="1736">
      <c r="B1736" s="24" t="str">
        <f>IF(ROW()-ROW($B$8)&gt;nComp,"",ROW()-ROW($B$8))</f>
        <v/>
      </c>
      <c r="C1736" t="str">
        <f>IF($N1736="","",INDEX('_calc'!$A$2:$A$3001,$N1736))</f>
        <v/>
      </c>
      <c r="D1736" s="25" t="str">
        <f>IF($N1736="","",INDEX('_calc'!$C$2:$C$3001,$N1736))</f>
        <v/>
      </c>
      <c r="E1736" s="25" t="str">
        <f>IF($N1736="","",INDEX('_calc'!$D$2:$D$3001,$N1736))</f>
        <v/>
      </c>
      <c r="F1736" s="26" t="str">
        <f>IF($N1736="","",IF($E$8=0,"",E1736/$E$8))</f>
        <v/>
      </c>
      <c r="G1736" s="25" t="str">
        <f>IF($N1736="","",INDEX('_calc'!$E$2:$E$3001,$N1736))</f>
        <v/>
      </c>
      <c r="H1736" s="25" t="str">
        <f>IF($N1736="","",INDEX('_calc'!$F$2:$F$3001,$N1736))</f>
        <v/>
      </c>
      <c r="I1736" s="27" t="str">
        <f>IF($N1736="","",INDEX('_calc'!$H$2:$H$3001,$N1736))</f>
        <v/>
      </c>
      <c r="J1736" s="27" t="str">
        <f>IF($N1736="","",INDEX('_calc'!$I$2:$I$3001,$N1736))</f>
        <v/>
      </c>
      <c r="K1736" s="28" t="str">
        <f>IF($N1736="","",IF(OR(I1736="",J1736=""),"",J1736-I1736))</f>
        <v/>
      </c>
      <c r="L1736" s="29" t="str">
        <f>IF($N1736="","",INDEX('_calc'!$J$2:$J$3001,$N1736))</f>
        <v/>
      </c>
      <c r="M1736" s="2" t="str">
        <f>IF($N1736="","",IF(AND(G1736=0,H1736=0),"수량 없음",IF(G1736=0,"신규 (전년 수량 없음)",IF(H1736=0,"당해 수량 없음",""))))</f>
        <v/>
      </c>
      <c r="N1736" t="str">
        <f>IF($B1736="","",MATCH($B1736,'_calc'!$L$2:$L$3001,0))</f>
        <v/>
      </c>
    </row>
    <row r="1737">
      <c r="B1737" s="24" t="str">
        <f>IF(ROW()-ROW($B$8)&gt;nComp,"",ROW()-ROW($B$8))</f>
        <v/>
      </c>
      <c r="C1737" t="str">
        <f>IF($N1737="","",INDEX('_calc'!$A$2:$A$3001,$N1737))</f>
        <v/>
      </c>
      <c r="D1737" s="25" t="str">
        <f>IF($N1737="","",INDEX('_calc'!$C$2:$C$3001,$N1737))</f>
        <v/>
      </c>
      <c r="E1737" s="25" t="str">
        <f>IF($N1737="","",INDEX('_calc'!$D$2:$D$3001,$N1737))</f>
        <v/>
      </c>
      <c r="F1737" s="26" t="str">
        <f>IF($N1737="","",IF($E$8=0,"",E1737/$E$8))</f>
        <v/>
      </c>
      <c r="G1737" s="25" t="str">
        <f>IF($N1737="","",INDEX('_calc'!$E$2:$E$3001,$N1737))</f>
        <v/>
      </c>
      <c r="H1737" s="25" t="str">
        <f>IF($N1737="","",INDEX('_calc'!$F$2:$F$3001,$N1737))</f>
        <v/>
      </c>
      <c r="I1737" s="27" t="str">
        <f>IF($N1737="","",INDEX('_calc'!$H$2:$H$3001,$N1737))</f>
        <v/>
      </c>
      <c r="J1737" s="27" t="str">
        <f>IF($N1737="","",INDEX('_calc'!$I$2:$I$3001,$N1737))</f>
        <v/>
      </c>
      <c r="K1737" s="28" t="str">
        <f>IF($N1737="","",IF(OR(I1737="",J1737=""),"",J1737-I1737))</f>
        <v/>
      </c>
      <c r="L1737" s="29" t="str">
        <f>IF($N1737="","",INDEX('_calc'!$J$2:$J$3001,$N1737))</f>
        <v/>
      </c>
      <c r="M1737" s="2" t="str">
        <f>IF($N1737="","",IF(AND(G1737=0,H1737=0),"수량 없음",IF(G1737=0,"신규 (전년 수량 없음)",IF(H1737=0,"당해 수량 없음",""))))</f>
        <v/>
      </c>
      <c r="N1737" t="str">
        <f>IF($B1737="","",MATCH($B1737,'_calc'!$L$2:$L$3001,0))</f>
        <v/>
      </c>
    </row>
    <row r="1738">
      <c r="B1738" s="24" t="str">
        <f>IF(ROW()-ROW($B$8)&gt;nComp,"",ROW()-ROW($B$8))</f>
        <v/>
      </c>
      <c r="C1738" t="str">
        <f>IF($N1738="","",INDEX('_calc'!$A$2:$A$3001,$N1738))</f>
        <v/>
      </c>
      <c r="D1738" s="25" t="str">
        <f>IF($N1738="","",INDEX('_calc'!$C$2:$C$3001,$N1738))</f>
        <v/>
      </c>
      <c r="E1738" s="25" t="str">
        <f>IF($N1738="","",INDEX('_calc'!$D$2:$D$3001,$N1738))</f>
        <v/>
      </c>
      <c r="F1738" s="26" t="str">
        <f>IF($N1738="","",IF($E$8=0,"",E1738/$E$8))</f>
        <v/>
      </c>
      <c r="G1738" s="25" t="str">
        <f>IF($N1738="","",INDEX('_calc'!$E$2:$E$3001,$N1738))</f>
        <v/>
      </c>
      <c r="H1738" s="25" t="str">
        <f>IF($N1738="","",INDEX('_calc'!$F$2:$F$3001,$N1738))</f>
        <v/>
      </c>
      <c r="I1738" s="27" t="str">
        <f>IF($N1738="","",INDEX('_calc'!$H$2:$H$3001,$N1738))</f>
        <v/>
      </c>
      <c r="J1738" s="27" t="str">
        <f>IF($N1738="","",INDEX('_calc'!$I$2:$I$3001,$N1738))</f>
        <v/>
      </c>
      <c r="K1738" s="28" t="str">
        <f>IF($N1738="","",IF(OR(I1738="",J1738=""),"",J1738-I1738))</f>
        <v/>
      </c>
      <c r="L1738" s="29" t="str">
        <f>IF($N1738="","",INDEX('_calc'!$J$2:$J$3001,$N1738))</f>
        <v/>
      </c>
      <c r="M1738" s="2" t="str">
        <f>IF($N1738="","",IF(AND(G1738=0,H1738=0),"수량 없음",IF(G1738=0,"신규 (전년 수량 없음)",IF(H1738=0,"당해 수량 없음",""))))</f>
        <v/>
      </c>
      <c r="N1738" t="str">
        <f>IF($B1738="","",MATCH($B1738,'_calc'!$L$2:$L$3001,0))</f>
        <v/>
      </c>
    </row>
    <row r="1739">
      <c r="B1739" s="24" t="str">
        <f>IF(ROW()-ROW($B$8)&gt;nComp,"",ROW()-ROW($B$8))</f>
        <v/>
      </c>
      <c r="C1739" t="str">
        <f>IF($N1739="","",INDEX('_calc'!$A$2:$A$3001,$N1739))</f>
        <v/>
      </c>
      <c r="D1739" s="25" t="str">
        <f>IF($N1739="","",INDEX('_calc'!$C$2:$C$3001,$N1739))</f>
        <v/>
      </c>
      <c r="E1739" s="25" t="str">
        <f>IF($N1739="","",INDEX('_calc'!$D$2:$D$3001,$N1739))</f>
        <v/>
      </c>
      <c r="F1739" s="26" t="str">
        <f>IF($N1739="","",IF($E$8=0,"",E1739/$E$8))</f>
        <v/>
      </c>
      <c r="G1739" s="25" t="str">
        <f>IF($N1739="","",INDEX('_calc'!$E$2:$E$3001,$N1739))</f>
        <v/>
      </c>
      <c r="H1739" s="25" t="str">
        <f>IF($N1739="","",INDEX('_calc'!$F$2:$F$3001,$N1739))</f>
        <v/>
      </c>
      <c r="I1739" s="27" t="str">
        <f>IF($N1739="","",INDEX('_calc'!$H$2:$H$3001,$N1739))</f>
        <v/>
      </c>
      <c r="J1739" s="27" t="str">
        <f>IF($N1739="","",INDEX('_calc'!$I$2:$I$3001,$N1739))</f>
        <v/>
      </c>
      <c r="K1739" s="28" t="str">
        <f>IF($N1739="","",IF(OR(I1739="",J1739=""),"",J1739-I1739))</f>
        <v/>
      </c>
      <c r="L1739" s="29" t="str">
        <f>IF($N1739="","",INDEX('_calc'!$J$2:$J$3001,$N1739))</f>
        <v/>
      </c>
      <c r="M1739" s="2" t="str">
        <f>IF($N1739="","",IF(AND(G1739=0,H1739=0),"수량 없음",IF(G1739=0,"신규 (전년 수량 없음)",IF(H1739=0,"당해 수량 없음",""))))</f>
        <v/>
      </c>
      <c r="N1739" t="str">
        <f>IF($B1739="","",MATCH($B1739,'_calc'!$L$2:$L$3001,0))</f>
        <v/>
      </c>
    </row>
    <row r="1740">
      <c r="B1740" s="24" t="str">
        <f>IF(ROW()-ROW($B$8)&gt;nComp,"",ROW()-ROW($B$8))</f>
        <v/>
      </c>
      <c r="C1740" t="str">
        <f>IF($N1740="","",INDEX('_calc'!$A$2:$A$3001,$N1740))</f>
        <v/>
      </c>
      <c r="D1740" s="25" t="str">
        <f>IF($N1740="","",INDEX('_calc'!$C$2:$C$3001,$N1740))</f>
        <v/>
      </c>
      <c r="E1740" s="25" t="str">
        <f>IF($N1740="","",INDEX('_calc'!$D$2:$D$3001,$N1740))</f>
        <v/>
      </c>
      <c r="F1740" s="26" t="str">
        <f>IF($N1740="","",IF($E$8=0,"",E1740/$E$8))</f>
        <v/>
      </c>
      <c r="G1740" s="25" t="str">
        <f>IF($N1740="","",INDEX('_calc'!$E$2:$E$3001,$N1740))</f>
        <v/>
      </c>
      <c r="H1740" s="25" t="str">
        <f>IF($N1740="","",INDEX('_calc'!$F$2:$F$3001,$N1740))</f>
        <v/>
      </c>
      <c r="I1740" s="27" t="str">
        <f>IF($N1740="","",INDEX('_calc'!$H$2:$H$3001,$N1740))</f>
        <v/>
      </c>
      <c r="J1740" s="27" t="str">
        <f>IF($N1740="","",INDEX('_calc'!$I$2:$I$3001,$N1740))</f>
        <v/>
      </c>
      <c r="K1740" s="28" t="str">
        <f>IF($N1740="","",IF(OR(I1740="",J1740=""),"",J1740-I1740))</f>
        <v/>
      </c>
      <c r="L1740" s="29" t="str">
        <f>IF($N1740="","",INDEX('_calc'!$J$2:$J$3001,$N1740))</f>
        <v/>
      </c>
      <c r="M1740" s="2" t="str">
        <f>IF($N1740="","",IF(AND(G1740=0,H1740=0),"수량 없음",IF(G1740=0,"신규 (전년 수량 없음)",IF(H1740=0,"당해 수량 없음",""))))</f>
        <v/>
      </c>
      <c r="N1740" t="str">
        <f>IF($B1740="","",MATCH($B1740,'_calc'!$L$2:$L$3001,0))</f>
        <v/>
      </c>
    </row>
    <row r="1741">
      <c r="B1741" s="24" t="str">
        <f>IF(ROW()-ROW($B$8)&gt;nComp,"",ROW()-ROW($B$8))</f>
        <v/>
      </c>
      <c r="C1741" t="str">
        <f>IF($N1741="","",INDEX('_calc'!$A$2:$A$3001,$N1741))</f>
        <v/>
      </c>
      <c r="D1741" s="25" t="str">
        <f>IF($N1741="","",INDEX('_calc'!$C$2:$C$3001,$N1741))</f>
        <v/>
      </c>
      <c r="E1741" s="25" t="str">
        <f>IF($N1741="","",INDEX('_calc'!$D$2:$D$3001,$N1741))</f>
        <v/>
      </c>
      <c r="F1741" s="26" t="str">
        <f>IF($N1741="","",IF($E$8=0,"",E1741/$E$8))</f>
        <v/>
      </c>
      <c r="G1741" s="25" t="str">
        <f>IF($N1741="","",INDEX('_calc'!$E$2:$E$3001,$N1741))</f>
        <v/>
      </c>
      <c r="H1741" s="25" t="str">
        <f>IF($N1741="","",INDEX('_calc'!$F$2:$F$3001,$N1741))</f>
        <v/>
      </c>
      <c r="I1741" s="27" t="str">
        <f>IF($N1741="","",INDEX('_calc'!$H$2:$H$3001,$N1741))</f>
        <v/>
      </c>
      <c r="J1741" s="27" t="str">
        <f>IF($N1741="","",INDEX('_calc'!$I$2:$I$3001,$N1741))</f>
        <v/>
      </c>
      <c r="K1741" s="28" t="str">
        <f>IF($N1741="","",IF(OR(I1741="",J1741=""),"",J1741-I1741))</f>
        <v/>
      </c>
      <c r="L1741" s="29" t="str">
        <f>IF($N1741="","",INDEX('_calc'!$J$2:$J$3001,$N1741))</f>
        <v/>
      </c>
      <c r="M1741" s="2" t="str">
        <f>IF($N1741="","",IF(AND(G1741=0,H1741=0),"수량 없음",IF(G1741=0,"신규 (전년 수량 없음)",IF(H1741=0,"당해 수량 없음",""))))</f>
        <v/>
      </c>
      <c r="N1741" t="str">
        <f>IF($B1741="","",MATCH($B1741,'_calc'!$L$2:$L$3001,0))</f>
        <v/>
      </c>
    </row>
    <row r="1742">
      <c r="B1742" s="24" t="str">
        <f>IF(ROW()-ROW($B$8)&gt;nComp,"",ROW()-ROW($B$8))</f>
        <v/>
      </c>
      <c r="C1742" t="str">
        <f>IF($N1742="","",INDEX('_calc'!$A$2:$A$3001,$N1742))</f>
        <v/>
      </c>
      <c r="D1742" s="25" t="str">
        <f>IF($N1742="","",INDEX('_calc'!$C$2:$C$3001,$N1742))</f>
        <v/>
      </c>
      <c r="E1742" s="25" t="str">
        <f>IF($N1742="","",INDEX('_calc'!$D$2:$D$3001,$N1742))</f>
        <v/>
      </c>
      <c r="F1742" s="26" t="str">
        <f>IF($N1742="","",IF($E$8=0,"",E1742/$E$8))</f>
        <v/>
      </c>
      <c r="G1742" s="25" t="str">
        <f>IF($N1742="","",INDEX('_calc'!$E$2:$E$3001,$N1742))</f>
        <v/>
      </c>
      <c r="H1742" s="25" t="str">
        <f>IF($N1742="","",INDEX('_calc'!$F$2:$F$3001,$N1742))</f>
        <v/>
      </c>
      <c r="I1742" s="27" t="str">
        <f>IF($N1742="","",INDEX('_calc'!$H$2:$H$3001,$N1742))</f>
        <v/>
      </c>
      <c r="J1742" s="27" t="str">
        <f>IF($N1742="","",INDEX('_calc'!$I$2:$I$3001,$N1742))</f>
        <v/>
      </c>
      <c r="K1742" s="28" t="str">
        <f>IF($N1742="","",IF(OR(I1742="",J1742=""),"",J1742-I1742))</f>
        <v/>
      </c>
      <c r="L1742" s="29" t="str">
        <f>IF($N1742="","",INDEX('_calc'!$J$2:$J$3001,$N1742))</f>
        <v/>
      </c>
      <c r="M1742" s="2" t="str">
        <f>IF($N1742="","",IF(AND(G1742=0,H1742=0),"수량 없음",IF(G1742=0,"신규 (전년 수량 없음)",IF(H1742=0,"당해 수량 없음",""))))</f>
        <v/>
      </c>
      <c r="N1742" t="str">
        <f>IF($B1742="","",MATCH($B1742,'_calc'!$L$2:$L$3001,0))</f>
        <v/>
      </c>
    </row>
    <row r="1743">
      <c r="B1743" s="24" t="str">
        <f>IF(ROW()-ROW($B$8)&gt;nComp,"",ROW()-ROW($B$8))</f>
        <v/>
      </c>
      <c r="C1743" t="str">
        <f>IF($N1743="","",INDEX('_calc'!$A$2:$A$3001,$N1743))</f>
        <v/>
      </c>
      <c r="D1743" s="25" t="str">
        <f>IF($N1743="","",INDEX('_calc'!$C$2:$C$3001,$N1743))</f>
        <v/>
      </c>
      <c r="E1743" s="25" t="str">
        <f>IF($N1743="","",INDEX('_calc'!$D$2:$D$3001,$N1743))</f>
        <v/>
      </c>
      <c r="F1743" s="26" t="str">
        <f>IF($N1743="","",IF($E$8=0,"",E1743/$E$8))</f>
        <v/>
      </c>
      <c r="G1743" s="25" t="str">
        <f>IF($N1743="","",INDEX('_calc'!$E$2:$E$3001,$N1743))</f>
        <v/>
      </c>
      <c r="H1743" s="25" t="str">
        <f>IF($N1743="","",INDEX('_calc'!$F$2:$F$3001,$N1743))</f>
        <v/>
      </c>
      <c r="I1743" s="27" t="str">
        <f>IF($N1743="","",INDEX('_calc'!$H$2:$H$3001,$N1743))</f>
        <v/>
      </c>
      <c r="J1743" s="27" t="str">
        <f>IF($N1743="","",INDEX('_calc'!$I$2:$I$3001,$N1743))</f>
        <v/>
      </c>
      <c r="K1743" s="28" t="str">
        <f>IF($N1743="","",IF(OR(I1743="",J1743=""),"",J1743-I1743))</f>
        <v/>
      </c>
      <c r="L1743" s="29" t="str">
        <f>IF($N1743="","",INDEX('_calc'!$J$2:$J$3001,$N1743))</f>
        <v/>
      </c>
      <c r="M1743" s="2" t="str">
        <f>IF($N1743="","",IF(AND(G1743=0,H1743=0),"수량 없음",IF(G1743=0,"신규 (전년 수량 없음)",IF(H1743=0,"당해 수량 없음",""))))</f>
        <v/>
      </c>
      <c r="N1743" t="str">
        <f>IF($B1743="","",MATCH($B1743,'_calc'!$L$2:$L$3001,0))</f>
        <v/>
      </c>
    </row>
    <row r="1744">
      <c r="B1744" s="24" t="str">
        <f>IF(ROW()-ROW($B$8)&gt;nComp,"",ROW()-ROW($B$8))</f>
        <v/>
      </c>
      <c r="C1744" t="str">
        <f>IF($N1744="","",INDEX('_calc'!$A$2:$A$3001,$N1744))</f>
        <v/>
      </c>
      <c r="D1744" s="25" t="str">
        <f>IF($N1744="","",INDEX('_calc'!$C$2:$C$3001,$N1744))</f>
        <v/>
      </c>
      <c r="E1744" s="25" t="str">
        <f>IF($N1744="","",INDEX('_calc'!$D$2:$D$3001,$N1744))</f>
        <v/>
      </c>
      <c r="F1744" s="26" t="str">
        <f>IF($N1744="","",IF($E$8=0,"",E1744/$E$8))</f>
        <v/>
      </c>
      <c r="G1744" s="25" t="str">
        <f>IF($N1744="","",INDEX('_calc'!$E$2:$E$3001,$N1744))</f>
        <v/>
      </c>
      <c r="H1744" s="25" t="str">
        <f>IF($N1744="","",INDEX('_calc'!$F$2:$F$3001,$N1744))</f>
        <v/>
      </c>
      <c r="I1744" s="27" t="str">
        <f>IF($N1744="","",INDEX('_calc'!$H$2:$H$3001,$N1744))</f>
        <v/>
      </c>
      <c r="J1744" s="27" t="str">
        <f>IF($N1744="","",INDEX('_calc'!$I$2:$I$3001,$N1744))</f>
        <v/>
      </c>
      <c r="K1744" s="28" t="str">
        <f>IF($N1744="","",IF(OR(I1744="",J1744=""),"",J1744-I1744))</f>
        <v/>
      </c>
      <c r="L1744" s="29" t="str">
        <f>IF($N1744="","",INDEX('_calc'!$J$2:$J$3001,$N1744))</f>
        <v/>
      </c>
      <c r="M1744" s="2" t="str">
        <f>IF($N1744="","",IF(AND(G1744=0,H1744=0),"수량 없음",IF(G1744=0,"신규 (전년 수량 없음)",IF(H1744=0,"당해 수량 없음",""))))</f>
        <v/>
      </c>
      <c r="N1744" t="str">
        <f>IF($B1744="","",MATCH($B1744,'_calc'!$L$2:$L$3001,0))</f>
        <v/>
      </c>
    </row>
    <row r="1745">
      <c r="B1745" s="24" t="str">
        <f>IF(ROW()-ROW($B$8)&gt;nComp,"",ROW()-ROW($B$8))</f>
        <v/>
      </c>
      <c r="C1745" t="str">
        <f>IF($N1745="","",INDEX('_calc'!$A$2:$A$3001,$N1745))</f>
        <v/>
      </c>
      <c r="D1745" s="25" t="str">
        <f>IF($N1745="","",INDEX('_calc'!$C$2:$C$3001,$N1745))</f>
        <v/>
      </c>
      <c r="E1745" s="25" t="str">
        <f>IF($N1745="","",INDEX('_calc'!$D$2:$D$3001,$N1745))</f>
        <v/>
      </c>
      <c r="F1745" s="26" t="str">
        <f>IF($N1745="","",IF($E$8=0,"",E1745/$E$8))</f>
        <v/>
      </c>
      <c r="G1745" s="25" t="str">
        <f>IF($N1745="","",INDEX('_calc'!$E$2:$E$3001,$N1745))</f>
        <v/>
      </c>
      <c r="H1745" s="25" t="str">
        <f>IF($N1745="","",INDEX('_calc'!$F$2:$F$3001,$N1745))</f>
        <v/>
      </c>
      <c r="I1745" s="27" t="str">
        <f>IF($N1745="","",INDEX('_calc'!$H$2:$H$3001,$N1745))</f>
        <v/>
      </c>
      <c r="J1745" s="27" t="str">
        <f>IF($N1745="","",INDEX('_calc'!$I$2:$I$3001,$N1745))</f>
        <v/>
      </c>
      <c r="K1745" s="28" t="str">
        <f>IF($N1745="","",IF(OR(I1745="",J1745=""),"",J1745-I1745))</f>
        <v/>
      </c>
      <c r="L1745" s="29" t="str">
        <f>IF($N1745="","",INDEX('_calc'!$J$2:$J$3001,$N1745))</f>
        <v/>
      </c>
      <c r="M1745" s="2" t="str">
        <f>IF($N1745="","",IF(AND(G1745=0,H1745=0),"수량 없음",IF(G1745=0,"신규 (전년 수량 없음)",IF(H1745=0,"당해 수량 없음",""))))</f>
        <v/>
      </c>
      <c r="N1745" t="str">
        <f>IF($B1745="","",MATCH($B1745,'_calc'!$L$2:$L$3001,0))</f>
        <v/>
      </c>
    </row>
    <row r="1746">
      <c r="B1746" s="24" t="str">
        <f>IF(ROW()-ROW($B$8)&gt;nComp,"",ROW()-ROW($B$8))</f>
        <v/>
      </c>
      <c r="C1746" t="str">
        <f>IF($N1746="","",INDEX('_calc'!$A$2:$A$3001,$N1746))</f>
        <v/>
      </c>
      <c r="D1746" s="25" t="str">
        <f>IF($N1746="","",INDEX('_calc'!$C$2:$C$3001,$N1746))</f>
        <v/>
      </c>
      <c r="E1746" s="25" t="str">
        <f>IF($N1746="","",INDEX('_calc'!$D$2:$D$3001,$N1746))</f>
        <v/>
      </c>
      <c r="F1746" s="26" t="str">
        <f>IF($N1746="","",IF($E$8=0,"",E1746/$E$8))</f>
        <v/>
      </c>
      <c r="G1746" s="25" t="str">
        <f>IF($N1746="","",INDEX('_calc'!$E$2:$E$3001,$N1746))</f>
        <v/>
      </c>
      <c r="H1746" s="25" t="str">
        <f>IF($N1746="","",INDEX('_calc'!$F$2:$F$3001,$N1746))</f>
        <v/>
      </c>
      <c r="I1746" s="27" t="str">
        <f>IF($N1746="","",INDEX('_calc'!$H$2:$H$3001,$N1746))</f>
        <v/>
      </c>
      <c r="J1746" s="27" t="str">
        <f>IF($N1746="","",INDEX('_calc'!$I$2:$I$3001,$N1746))</f>
        <v/>
      </c>
      <c r="K1746" s="28" t="str">
        <f>IF($N1746="","",IF(OR(I1746="",J1746=""),"",J1746-I1746))</f>
        <v/>
      </c>
      <c r="L1746" s="29" t="str">
        <f>IF($N1746="","",INDEX('_calc'!$J$2:$J$3001,$N1746))</f>
        <v/>
      </c>
      <c r="M1746" s="2" t="str">
        <f>IF($N1746="","",IF(AND(G1746=0,H1746=0),"수량 없음",IF(G1746=0,"신규 (전년 수량 없음)",IF(H1746=0,"당해 수량 없음",""))))</f>
        <v/>
      </c>
      <c r="N1746" t="str">
        <f>IF($B1746="","",MATCH($B1746,'_calc'!$L$2:$L$3001,0))</f>
        <v/>
      </c>
    </row>
    <row r="1747">
      <c r="B1747" s="24" t="str">
        <f>IF(ROW()-ROW($B$8)&gt;nComp,"",ROW()-ROW($B$8))</f>
        <v/>
      </c>
      <c r="C1747" t="str">
        <f>IF($N1747="","",INDEX('_calc'!$A$2:$A$3001,$N1747))</f>
        <v/>
      </c>
      <c r="D1747" s="25" t="str">
        <f>IF($N1747="","",INDEX('_calc'!$C$2:$C$3001,$N1747))</f>
        <v/>
      </c>
      <c r="E1747" s="25" t="str">
        <f>IF($N1747="","",INDEX('_calc'!$D$2:$D$3001,$N1747))</f>
        <v/>
      </c>
      <c r="F1747" s="26" t="str">
        <f>IF($N1747="","",IF($E$8=0,"",E1747/$E$8))</f>
        <v/>
      </c>
      <c r="G1747" s="25" t="str">
        <f>IF($N1747="","",INDEX('_calc'!$E$2:$E$3001,$N1747))</f>
        <v/>
      </c>
      <c r="H1747" s="25" t="str">
        <f>IF($N1747="","",INDEX('_calc'!$F$2:$F$3001,$N1747))</f>
        <v/>
      </c>
      <c r="I1747" s="27" t="str">
        <f>IF($N1747="","",INDEX('_calc'!$H$2:$H$3001,$N1747))</f>
        <v/>
      </c>
      <c r="J1747" s="27" t="str">
        <f>IF($N1747="","",INDEX('_calc'!$I$2:$I$3001,$N1747))</f>
        <v/>
      </c>
      <c r="K1747" s="28" t="str">
        <f>IF($N1747="","",IF(OR(I1747="",J1747=""),"",J1747-I1747))</f>
        <v/>
      </c>
      <c r="L1747" s="29" t="str">
        <f>IF($N1747="","",INDEX('_calc'!$J$2:$J$3001,$N1747))</f>
        <v/>
      </c>
      <c r="M1747" s="2" t="str">
        <f>IF($N1747="","",IF(AND(G1747=0,H1747=0),"수량 없음",IF(G1747=0,"신규 (전년 수량 없음)",IF(H1747=0,"당해 수량 없음",""))))</f>
        <v/>
      </c>
      <c r="N1747" t="str">
        <f>IF($B1747="","",MATCH($B1747,'_calc'!$L$2:$L$3001,0))</f>
        <v/>
      </c>
    </row>
    <row r="1748">
      <c r="B1748" s="24" t="str">
        <f>IF(ROW()-ROW($B$8)&gt;nComp,"",ROW()-ROW($B$8))</f>
        <v/>
      </c>
      <c r="C1748" t="str">
        <f>IF($N1748="","",INDEX('_calc'!$A$2:$A$3001,$N1748))</f>
        <v/>
      </c>
      <c r="D1748" s="25" t="str">
        <f>IF($N1748="","",INDEX('_calc'!$C$2:$C$3001,$N1748))</f>
        <v/>
      </c>
      <c r="E1748" s="25" t="str">
        <f>IF($N1748="","",INDEX('_calc'!$D$2:$D$3001,$N1748))</f>
        <v/>
      </c>
      <c r="F1748" s="26" t="str">
        <f>IF($N1748="","",IF($E$8=0,"",E1748/$E$8))</f>
        <v/>
      </c>
      <c r="G1748" s="25" t="str">
        <f>IF($N1748="","",INDEX('_calc'!$E$2:$E$3001,$N1748))</f>
        <v/>
      </c>
      <c r="H1748" s="25" t="str">
        <f>IF($N1748="","",INDEX('_calc'!$F$2:$F$3001,$N1748))</f>
        <v/>
      </c>
      <c r="I1748" s="27" t="str">
        <f>IF($N1748="","",INDEX('_calc'!$H$2:$H$3001,$N1748))</f>
        <v/>
      </c>
      <c r="J1748" s="27" t="str">
        <f>IF($N1748="","",INDEX('_calc'!$I$2:$I$3001,$N1748))</f>
        <v/>
      </c>
      <c r="K1748" s="28" t="str">
        <f>IF($N1748="","",IF(OR(I1748="",J1748=""),"",J1748-I1748))</f>
        <v/>
      </c>
      <c r="L1748" s="29" t="str">
        <f>IF($N1748="","",INDEX('_calc'!$J$2:$J$3001,$N1748))</f>
        <v/>
      </c>
      <c r="M1748" s="2" t="str">
        <f>IF($N1748="","",IF(AND(G1748=0,H1748=0),"수량 없음",IF(G1748=0,"신규 (전년 수량 없음)",IF(H1748=0,"당해 수량 없음",""))))</f>
        <v/>
      </c>
      <c r="N1748" t="str">
        <f>IF($B1748="","",MATCH($B1748,'_calc'!$L$2:$L$3001,0))</f>
        <v/>
      </c>
    </row>
    <row r="1749">
      <c r="B1749" s="24" t="str">
        <f>IF(ROW()-ROW($B$8)&gt;nComp,"",ROW()-ROW($B$8))</f>
        <v/>
      </c>
      <c r="C1749" t="str">
        <f>IF($N1749="","",INDEX('_calc'!$A$2:$A$3001,$N1749))</f>
        <v/>
      </c>
      <c r="D1749" s="25" t="str">
        <f>IF($N1749="","",INDEX('_calc'!$C$2:$C$3001,$N1749))</f>
        <v/>
      </c>
      <c r="E1749" s="25" t="str">
        <f>IF($N1749="","",INDEX('_calc'!$D$2:$D$3001,$N1749))</f>
        <v/>
      </c>
      <c r="F1749" s="26" t="str">
        <f>IF($N1749="","",IF($E$8=0,"",E1749/$E$8))</f>
        <v/>
      </c>
      <c r="G1749" s="25" t="str">
        <f>IF($N1749="","",INDEX('_calc'!$E$2:$E$3001,$N1749))</f>
        <v/>
      </c>
      <c r="H1749" s="25" t="str">
        <f>IF($N1749="","",INDEX('_calc'!$F$2:$F$3001,$N1749))</f>
        <v/>
      </c>
      <c r="I1749" s="27" t="str">
        <f>IF($N1749="","",INDEX('_calc'!$H$2:$H$3001,$N1749))</f>
        <v/>
      </c>
      <c r="J1749" s="27" t="str">
        <f>IF($N1749="","",INDEX('_calc'!$I$2:$I$3001,$N1749))</f>
        <v/>
      </c>
      <c r="K1749" s="28" t="str">
        <f>IF($N1749="","",IF(OR(I1749="",J1749=""),"",J1749-I1749))</f>
        <v/>
      </c>
      <c r="L1749" s="29" t="str">
        <f>IF($N1749="","",INDEX('_calc'!$J$2:$J$3001,$N1749))</f>
        <v/>
      </c>
      <c r="M1749" s="2" t="str">
        <f>IF($N1749="","",IF(AND(G1749=0,H1749=0),"수량 없음",IF(G1749=0,"신규 (전년 수량 없음)",IF(H1749=0,"당해 수량 없음",""))))</f>
        <v/>
      </c>
      <c r="N1749" t="str">
        <f>IF($B1749="","",MATCH($B1749,'_calc'!$L$2:$L$3001,0))</f>
        <v/>
      </c>
    </row>
    <row r="1750">
      <c r="B1750" s="24" t="str">
        <f>IF(ROW()-ROW($B$8)&gt;nComp,"",ROW()-ROW($B$8))</f>
        <v/>
      </c>
      <c r="C1750" t="str">
        <f>IF($N1750="","",INDEX('_calc'!$A$2:$A$3001,$N1750))</f>
        <v/>
      </c>
      <c r="D1750" s="25" t="str">
        <f>IF($N1750="","",INDEX('_calc'!$C$2:$C$3001,$N1750))</f>
        <v/>
      </c>
      <c r="E1750" s="25" t="str">
        <f>IF($N1750="","",INDEX('_calc'!$D$2:$D$3001,$N1750))</f>
        <v/>
      </c>
      <c r="F1750" s="26" t="str">
        <f>IF($N1750="","",IF($E$8=0,"",E1750/$E$8))</f>
        <v/>
      </c>
      <c r="G1750" s="25" t="str">
        <f>IF($N1750="","",INDEX('_calc'!$E$2:$E$3001,$N1750))</f>
        <v/>
      </c>
      <c r="H1750" s="25" t="str">
        <f>IF($N1750="","",INDEX('_calc'!$F$2:$F$3001,$N1750))</f>
        <v/>
      </c>
      <c r="I1750" s="27" t="str">
        <f>IF($N1750="","",INDEX('_calc'!$H$2:$H$3001,$N1750))</f>
        <v/>
      </c>
      <c r="J1750" s="27" t="str">
        <f>IF($N1750="","",INDEX('_calc'!$I$2:$I$3001,$N1750))</f>
        <v/>
      </c>
      <c r="K1750" s="28" t="str">
        <f>IF($N1750="","",IF(OR(I1750="",J1750=""),"",J1750-I1750))</f>
        <v/>
      </c>
      <c r="L1750" s="29" t="str">
        <f>IF($N1750="","",INDEX('_calc'!$J$2:$J$3001,$N1750))</f>
        <v/>
      </c>
      <c r="M1750" s="2" t="str">
        <f>IF($N1750="","",IF(AND(G1750=0,H1750=0),"수량 없음",IF(G1750=0,"신규 (전년 수량 없음)",IF(H1750=0,"당해 수량 없음",""))))</f>
        <v/>
      </c>
      <c r="N1750" t="str">
        <f>IF($B1750="","",MATCH($B1750,'_calc'!$L$2:$L$3001,0))</f>
        <v/>
      </c>
    </row>
    <row r="1751">
      <c r="B1751" s="24" t="str">
        <f>IF(ROW()-ROW($B$8)&gt;nComp,"",ROW()-ROW($B$8))</f>
        <v/>
      </c>
      <c r="C1751" t="str">
        <f>IF($N1751="","",INDEX('_calc'!$A$2:$A$3001,$N1751))</f>
        <v/>
      </c>
      <c r="D1751" s="25" t="str">
        <f>IF($N1751="","",INDEX('_calc'!$C$2:$C$3001,$N1751))</f>
        <v/>
      </c>
      <c r="E1751" s="25" t="str">
        <f>IF($N1751="","",INDEX('_calc'!$D$2:$D$3001,$N1751))</f>
        <v/>
      </c>
      <c r="F1751" s="26" t="str">
        <f>IF($N1751="","",IF($E$8=0,"",E1751/$E$8))</f>
        <v/>
      </c>
      <c r="G1751" s="25" t="str">
        <f>IF($N1751="","",INDEX('_calc'!$E$2:$E$3001,$N1751))</f>
        <v/>
      </c>
      <c r="H1751" s="25" t="str">
        <f>IF($N1751="","",INDEX('_calc'!$F$2:$F$3001,$N1751))</f>
        <v/>
      </c>
      <c r="I1751" s="27" t="str">
        <f>IF($N1751="","",INDEX('_calc'!$H$2:$H$3001,$N1751))</f>
        <v/>
      </c>
      <c r="J1751" s="27" t="str">
        <f>IF($N1751="","",INDEX('_calc'!$I$2:$I$3001,$N1751))</f>
        <v/>
      </c>
      <c r="K1751" s="28" t="str">
        <f>IF($N1751="","",IF(OR(I1751="",J1751=""),"",J1751-I1751))</f>
        <v/>
      </c>
      <c r="L1751" s="29" t="str">
        <f>IF($N1751="","",INDEX('_calc'!$J$2:$J$3001,$N1751))</f>
        <v/>
      </c>
      <c r="M1751" s="2" t="str">
        <f>IF($N1751="","",IF(AND(G1751=0,H1751=0),"수량 없음",IF(G1751=0,"신규 (전년 수량 없음)",IF(H1751=0,"당해 수량 없음",""))))</f>
        <v/>
      </c>
      <c r="N1751" t="str">
        <f>IF($B1751="","",MATCH($B1751,'_calc'!$L$2:$L$3001,0))</f>
        <v/>
      </c>
    </row>
    <row r="1752">
      <c r="B1752" s="24" t="str">
        <f>IF(ROW()-ROW($B$8)&gt;nComp,"",ROW()-ROW($B$8))</f>
        <v/>
      </c>
      <c r="C1752" t="str">
        <f>IF($N1752="","",INDEX('_calc'!$A$2:$A$3001,$N1752))</f>
        <v/>
      </c>
      <c r="D1752" s="25" t="str">
        <f>IF($N1752="","",INDEX('_calc'!$C$2:$C$3001,$N1752))</f>
        <v/>
      </c>
      <c r="E1752" s="25" t="str">
        <f>IF($N1752="","",INDEX('_calc'!$D$2:$D$3001,$N1752))</f>
        <v/>
      </c>
      <c r="F1752" s="26" t="str">
        <f>IF($N1752="","",IF($E$8=0,"",E1752/$E$8))</f>
        <v/>
      </c>
      <c r="G1752" s="25" t="str">
        <f>IF($N1752="","",INDEX('_calc'!$E$2:$E$3001,$N1752))</f>
        <v/>
      </c>
      <c r="H1752" s="25" t="str">
        <f>IF($N1752="","",INDEX('_calc'!$F$2:$F$3001,$N1752))</f>
        <v/>
      </c>
      <c r="I1752" s="27" t="str">
        <f>IF($N1752="","",INDEX('_calc'!$H$2:$H$3001,$N1752))</f>
        <v/>
      </c>
      <c r="J1752" s="27" t="str">
        <f>IF($N1752="","",INDEX('_calc'!$I$2:$I$3001,$N1752))</f>
        <v/>
      </c>
      <c r="K1752" s="28" t="str">
        <f>IF($N1752="","",IF(OR(I1752="",J1752=""),"",J1752-I1752))</f>
        <v/>
      </c>
      <c r="L1752" s="29" t="str">
        <f>IF($N1752="","",INDEX('_calc'!$J$2:$J$3001,$N1752))</f>
        <v/>
      </c>
      <c r="M1752" s="2" t="str">
        <f>IF($N1752="","",IF(AND(G1752=0,H1752=0),"수량 없음",IF(G1752=0,"신규 (전년 수량 없음)",IF(H1752=0,"당해 수량 없음",""))))</f>
        <v/>
      </c>
      <c r="N1752" t="str">
        <f>IF($B1752="","",MATCH($B1752,'_calc'!$L$2:$L$3001,0))</f>
        <v/>
      </c>
    </row>
    <row r="1753">
      <c r="B1753" s="24" t="str">
        <f>IF(ROW()-ROW($B$8)&gt;nComp,"",ROW()-ROW($B$8))</f>
        <v/>
      </c>
      <c r="C1753" t="str">
        <f>IF($N1753="","",INDEX('_calc'!$A$2:$A$3001,$N1753))</f>
        <v/>
      </c>
      <c r="D1753" s="25" t="str">
        <f>IF($N1753="","",INDEX('_calc'!$C$2:$C$3001,$N1753))</f>
        <v/>
      </c>
      <c r="E1753" s="25" t="str">
        <f>IF($N1753="","",INDEX('_calc'!$D$2:$D$3001,$N1753))</f>
        <v/>
      </c>
      <c r="F1753" s="26" t="str">
        <f>IF($N1753="","",IF($E$8=0,"",E1753/$E$8))</f>
        <v/>
      </c>
      <c r="G1753" s="25" t="str">
        <f>IF($N1753="","",INDEX('_calc'!$E$2:$E$3001,$N1753))</f>
        <v/>
      </c>
      <c r="H1753" s="25" t="str">
        <f>IF($N1753="","",INDEX('_calc'!$F$2:$F$3001,$N1753))</f>
        <v/>
      </c>
      <c r="I1753" s="27" t="str">
        <f>IF($N1753="","",INDEX('_calc'!$H$2:$H$3001,$N1753))</f>
        <v/>
      </c>
      <c r="J1753" s="27" t="str">
        <f>IF($N1753="","",INDEX('_calc'!$I$2:$I$3001,$N1753))</f>
        <v/>
      </c>
      <c r="K1753" s="28" t="str">
        <f>IF($N1753="","",IF(OR(I1753="",J1753=""),"",J1753-I1753))</f>
        <v/>
      </c>
      <c r="L1753" s="29" t="str">
        <f>IF($N1753="","",INDEX('_calc'!$J$2:$J$3001,$N1753))</f>
        <v/>
      </c>
      <c r="M1753" s="2" t="str">
        <f>IF($N1753="","",IF(AND(G1753=0,H1753=0),"수량 없음",IF(G1753=0,"신규 (전년 수량 없음)",IF(H1753=0,"당해 수량 없음",""))))</f>
        <v/>
      </c>
      <c r="N1753" t="str">
        <f>IF($B1753="","",MATCH($B1753,'_calc'!$L$2:$L$3001,0))</f>
        <v/>
      </c>
    </row>
    <row r="1754">
      <c r="B1754" s="24" t="str">
        <f>IF(ROW()-ROW($B$8)&gt;nComp,"",ROW()-ROW($B$8))</f>
        <v/>
      </c>
      <c r="C1754" t="str">
        <f>IF($N1754="","",INDEX('_calc'!$A$2:$A$3001,$N1754))</f>
        <v/>
      </c>
      <c r="D1754" s="25" t="str">
        <f>IF($N1754="","",INDEX('_calc'!$C$2:$C$3001,$N1754))</f>
        <v/>
      </c>
      <c r="E1754" s="25" t="str">
        <f>IF($N1754="","",INDEX('_calc'!$D$2:$D$3001,$N1754))</f>
        <v/>
      </c>
      <c r="F1754" s="26" t="str">
        <f>IF($N1754="","",IF($E$8=0,"",E1754/$E$8))</f>
        <v/>
      </c>
      <c r="G1754" s="25" t="str">
        <f>IF($N1754="","",INDEX('_calc'!$E$2:$E$3001,$N1754))</f>
        <v/>
      </c>
      <c r="H1754" s="25" t="str">
        <f>IF($N1754="","",INDEX('_calc'!$F$2:$F$3001,$N1754))</f>
        <v/>
      </c>
      <c r="I1754" s="27" t="str">
        <f>IF($N1754="","",INDEX('_calc'!$H$2:$H$3001,$N1754))</f>
        <v/>
      </c>
      <c r="J1754" s="27" t="str">
        <f>IF($N1754="","",INDEX('_calc'!$I$2:$I$3001,$N1754))</f>
        <v/>
      </c>
      <c r="K1754" s="28" t="str">
        <f>IF($N1754="","",IF(OR(I1754="",J1754=""),"",J1754-I1754))</f>
        <v/>
      </c>
      <c r="L1754" s="29" t="str">
        <f>IF($N1754="","",INDEX('_calc'!$J$2:$J$3001,$N1754))</f>
        <v/>
      </c>
      <c r="M1754" s="2" t="str">
        <f>IF($N1754="","",IF(AND(G1754=0,H1754=0),"수량 없음",IF(G1754=0,"신규 (전년 수량 없음)",IF(H1754=0,"당해 수량 없음",""))))</f>
        <v/>
      </c>
      <c r="N1754" t="str">
        <f>IF($B1754="","",MATCH($B1754,'_calc'!$L$2:$L$3001,0))</f>
        <v/>
      </c>
    </row>
    <row r="1755">
      <c r="B1755" s="24" t="str">
        <f>IF(ROW()-ROW($B$8)&gt;nComp,"",ROW()-ROW($B$8))</f>
        <v/>
      </c>
      <c r="C1755" t="str">
        <f>IF($N1755="","",INDEX('_calc'!$A$2:$A$3001,$N1755))</f>
        <v/>
      </c>
      <c r="D1755" s="25" t="str">
        <f>IF($N1755="","",INDEX('_calc'!$C$2:$C$3001,$N1755))</f>
        <v/>
      </c>
      <c r="E1755" s="25" t="str">
        <f>IF($N1755="","",INDEX('_calc'!$D$2:$D$3001,$N1755))</f>
        <v/>
      </c>
      <c r="F1755" s="26" t="str">
        <f>IF($N1755="","",IF($E$8=0,"",E1755/$E$8))</f>
        <v/>
      </c>
      <c r="G1755" s="25" t="str">
        <f>IF($N1755="","",INDEX('_calc'!$E$2:$E$3001,$N1755))</f>
        <v/>
      </c>
      <c r="H1755" s="25" t="str">
        <f>IF($N1755="","",INDEX('_calc'!$F$2:$F$3001,$N1755))</f>
        <v/>
      </c>
      <c r="I1755" s="27" t="str">
        <f>IF($N1755="","",INDEX('_calc'!$H$2:$H$3001,$N1755))</f>
        <v/>
      </c>
      <c r="J1755" s="27" t="str">
        <f>IF($N1755="","",INDEX('_calc'!$I$2:$I$3001,$N1755))</f>
        <v/>
      </c>
      <c r="K1755" s="28" t="str">
        <f>IF($N1755="","",IF(OR(I1755="",J1755=""),"",J1755-I1755))</f>
        <v/>
      </c>
      <c r="L1755" s="29" t="str">
        <f>IF($N1755="","",INDEX('_calc'!$J$2:$J$3001,$N1755))</f>
        <v/>
      </c>
      <c r="M1755" s="2" t="str">
        <f>IF($N1755="","",IF(AND(G1755=0,H1755=0),"수량 없음",IF(G1755=0,"신규 (전년 수량 없음)",IF(H1755=0,"당해 수량 없음",""))))</f>
        <v/>
      </c>
      <c r="N1755" t="str">
        <f>IF($B1755="","",MATCH($B1755,'_calc'!$L$2:$L$3001,0))</f>
        <v/>
      </c>
    </row>
    <row r="1756">
      <c r="B1756" s="24" t="str">
        <f>IF(ROW()-ROW($B$8)&gt;nComp,"",ROW()-ROW($B$8))</f>
        <v/>
      </c>
      <c r="C1756" t="str">
        <f>IF($N1756="","",INDEX('_calc'!$A$2:$A$3001,$N1756))</f>
        <v/>
      </c>
      <c r="D1756" s="25" t="str">
        <f>IF($N1756="","",INDEX('_calc'!$C$2:$C$3001,$N1756))</f>
        <v/>
      </c>
      <c r="E1756" s="25" t="str">
        <f>IF($N1756="","",INDEX('_calc'!$D$2:$D$3001,$N1756))</f>
        <v/>
      </c>
      <c r="F1756" s="26" t="str">
        <f>IF($N1756="","",IF($E$8=0,"",E1756/$E$8))</f>
        <v/>
      </c>
      <c r="G1756" s="25" t="str">
        <f>IF($N1756="","",INDEX('_calc'!$E$2:$E$3001,$N1756))</f>
        <v/>
      </c>
      <c r="H1756" s="25" t="str">
        <f>IF($N1756="","",INDEX('_calc'!$F$2:$F$3001,$N1756))</f>
        <v/>
      </c>
      <c r="I1756" s="27" t="str">
        <f>IF($N1756="","",INDEX('_calc'!$H$2:$H$3001,$N1756))</f>
        <v/>
      </c>
      <c r="J1756" s="27" t="str">
        <f>IF($N1756="","",INDEX('_calc'!$I$2:$I$3001,$N1756))</f>
        <v/>
      </c>
      <c r="K1756" s="28" t="str">
        <f>IF($N1756="","",IF(OR(I1756="",J1756=""),"",J1756-I1756))</f>
        <v/>
      </c>
      <c r="L1756" s="29" t="str">
        <f>IF($N1756="","",INDEX('_calc'!$J$2:$J$3001,$N1756))</f>
        <v/>
      </c>
      <c r="M1756" s="2" t="str">
        <f>IF($N1756="","",IF(AND(G1756=0,H1756=0),"수량 없음",IF(G1756=0,"신규 (전년 수량 없음)",IF(H1756=0,"당해 수량 없음",""))))</f>
        <v/>
      </c>
      <c r="N1756" t="str">
        <f>IF($B1756="","",MATCH($B1756,'_calc'!$L$2:$L$3001,0))</f>
        <v/>
      </c>
    </row>
    <row r="1757">
      <c r="B1757" s="24" t="str">
        <f>IF(ROW()-ROW($B$8)&gt;nComp,"",ROW()-ROW($B$8))</f>
        <v/>
      </c>
      <c r="C1757" t="str">
        <f>IF($N1757="","",INDEX('_calc'!$A$2:$A$3001,$N1757))</f>
        <v/>
      </c>
      <c r="D1757" s="25" t="str">
        <f>IF($N1757="","",INDEX('_calc'!$C$2:$C$3001,$N1757))</f>
        <v/>
      </c>
      <c r="E1757" s="25" t="str">
        <f>IF($N1757="","",INDEX('_calc'!$D$2:$D$3001,$N1757))</f>
        <v/>
      </c>
      <c r="F1757" s="26" t="str">
        <f>IF($N1757="","",IF($E$8=0,"",E1757/$E$8))</f>
        <v/>
      </c>
      <c r="G1757" s="25" t="str">
        <f>IF($N1757="","",INDEX('_calc'!$E$2:$E$3001,$N1757))</f>
        <v/>
      </c>
      <c r="H1757" s="25" t="str">
        <f>IF($N1757="","",INDEX('_calc'!$F$2:$F$3001,$N1757))</f>
        <v/>
      </c>
      <c r="I1757" s="27" t="str">
        <f>IF($N1757="","",INDEX('_calc'!$H$2:$H$3001,$N1757))</f>
        <v/>
      </c>
      <c r="J1757" s="27" t="str">
        <f>IF($N1757="","",INDEX('_calc'!$I$2:$I$3001,$N1757))</f>
        <v/>
      </c>
      <c r="K1757" s="28" t="str">
        <f>IF($N1757="","",IF(OR(I1757="",J1757=""),"",J1757-I1757))</f>
        <v/>
      </c>
      <c r="L1757" s="29" t="str">
        <f>IF($N1757="","",INDEX('_calc'!$J$2:$J$3001,$N1757))</f>
        <v/>
      </c>
      <c r="M1757" s="2" t="str">
        <f>IF($N1757="","",IF(AND(G1757=0,H1757=0),"수량 없음",IF(G1757=0,"신규 (전년 수량 없음)",IF(H1757=0,"당해 수량 없음",""))))</f>
        <v/>
      </c>
      <c r="N1757" t="str">
        <f>IF($B1757="","",MATCH($B1757,'_calc'!$L$2:$L$3001,0))</f>
        <v/>
      </c>
    </row>
    <row r="1758">
      <c r="B1758" s="24" t="str">
        <f>IF(ROW()-ROW($B$8)&gt;nComp,"",ROW()-ROW($B$8))</f>
        <v/>
      </c>
      <c r="C1758" t="str">
        <f>IF($N1758="","",INDEX('_calc'!$A$2:$A$3001,$N1758))</f>
        <v/>
      </c>
      <c r="D1758" s="25" t="str">
        <f>IF($N1758="","",INDEX('_calc'!$C$2:$C$3001,$N1758))</f>
        <v/>
      </c>
      <c r="E1758" s="25" t="str">
        <f>IF($N1758="","",INDEX('_calc'!$D$2:$D$3001,$N1758))</f>
        <v/>
      </c>
      <c r="F1758" s="26" t="str">
        <f>IF($N1758="","",IF($E$8=0,"",E1758/$E$8))</f>
        <v/>
      </c>
      <c r="G1758" s="25" t="str">
        <f>IF($N1758="","",INDEX('_calc'!$E$2:$E$3001,$N1758))</f>
        <v/>
      </c>
      <c r="H1758" s="25" t="str">
        <f>IF($N1758="","",INDEX('_calc'!$F$2:$F$3001,$N1758))</f>
        <v/>
      </c>
      <c r="I1758" s="27" t="str">
        <f>IF($N1758="","",INDEX('_calc'!$H$2:$H$3001,$N1758))</f>
        <v/>
      </c>
      <c r="J1758" s="27" t="str">
        <f>IF($N1758="","",INDEX('_calc'!$I$2:$I$3001,$N1758))</f>
        <v/>
      </c>
      <c r="K1758" s="28" t="str">
        <f>IF($N1758="","",IF(OR(I1758="",J1758=""),"",J1758-I1758))</f>
        <v/>
      </c>
      <c r="L1758" s="29" t="str">
        <f>IF($N1758="","",INDEX('_calc'!$J$2:$J$3001,$N1758))</f>
        <v/>
      </c>
      <c r="M1758" s="2" t="str">
        <f>IF($N1758="","",IF(AND(G1758=0,H1758=0),"수량 없음",IF(G1758=0,"신규 (전년 수량 없음)",IF(H1758=0,"당해 수량 없음",""))))</f>
        <v/>
      </c>
      <c r="N1758" t="str">
        <f>IF($B1758="","",MATCH($B1758,'_calc'!$L$2:$L$3001,0))</f>
        <v/>
      </c>
    </row>
    <row r="1759">
      <c r="B1759" s="24" t="str">
        <f>IF(ROW()-ROW($B$8)&gt;nComp,"",ROW()-ROW($B$8))</f>
        <v/>
      </c>
      <c r="C1759" t="str">
        <f>IF($N1759="","",INDEX('_calc'!$A$2:$A$3001,$N1759))</f>
        <v/>
      </c>
      <c r="D1759" s="25" t="str">
        <f>IF($N1759="","",INDEX('_calc'!$C$2:$C$3001,$N1759))</f>
        <v/>
      </c>
      <c r="E1759" s="25" t="str">
        <f>IF($N1759="","",INDEX('_calc'!$D$2:$D$3001,$N1759))</f>
        <v/>
      </c>
      <c r="F1759" s="26" t="str">
        <f>IF($N1759="","",IF($E$8=0,"",E1759/$E$8))</f>
        <v/>
      </c>
      <c r="G1759" s="25" t="str">
        <f>IF($N1759="","",INDEX('_calc'!$E$2:$E$3001,$N1759))</f>
        <v/>
      </c>
      <c r="H1759" s="25" t="str">
        <f>IF($N1759="","",INDEX('_calc'!$F$2:$F$3001,$N1759))</f>
        <v/>
      </c>
      <c r="I1759" s="27" t="str">
        <f>IF($N1759="","",INDEX('_calc'!$H$2:$H$3001,$N1759))</f>
        <v/>
      </c>
      <c r="J1759" s="27" t="str">
        <f>IF($N1759="","",INDEX('_calc'!$I$2:$I$3001,$N1759))</f>
        <v/>
      </c>
      <c r="K1759" s="28" t="str">
        <f>IF($N1759="","",IF(OR(I1759="",J1759=""),"",J1759-I1759))</f>
        <v/>
      </c>
      <c r="L1759" s="29" t="str">
        <f>IF($N1759="","",INDEX('_calc'!$J$2:$J$3001,$N1759))</f>
        <v/>
      </c>
      <c r="M1759" s="2" t="str">
        <f>IF($N1759="","",IF(AND(G1759=0,H1759=0),"수량 없음",IF(G1759=0,"신규 (전년 수량 없음)",IF(H1759=0,"당해 수량 없음",""))))</f>
        <v/>
      </c>
      <c r="N1759" t="str">
        <f>IF($B1759="","",MATCH($B1759,'_calc'!$L$2:$L$3001,0))</f>
        <v/>
      </c>
    </row>
    <row r="1760">
      <c r="B1760" s="24" t="str">
        <f>IF(ROW()-ROW($B$8)&gt;nComp,"",ROW()-ROW($B$8))</f>
        <v/>
      </c>
      <c r="C1760" t="str">
        <f>IF($N1760="","",INDEX('_calc'!$A$2:$A$3001,$N1760))</f>
        <v/>
      </c>
      <c r="D1760" s="25" t="str">
        <f>IF($N1760="","",INDEX('_calc'!$C$2:$C$3001,$N1760))</f>
        <v/>
      </c>
      <c r="E1760" s="25" t="str">
        <f>IF($N1760="","",INDEX('_calc'!$D$2:$D$3001,$N1760))</f>
        <v/>
      </c>
      <c r="F1760" s="26" t="str">
        <f>IF($N1760="","",IF($E$8=0,"",E1760/$E$8))</f>
        <v/>
      </c>
      <c r="G1760" s="25" t="str">
        <f>IF($N1760="","",INDEX('_calc'!$E$2:$E$3001,$N1760))</f>
        <v/>
      </c>
      <c r="H1760" s="25" t="str">
        <f>IF($N1760="","",INDEX('_calc'!$F$2:$F$3001,$N1760))</f>
        <v/>
      </c>
      <c r="I1760" s="27" t="str">
        <f>IF($N1760="","",INDEX('_calc'!$H$2:$H$3001,$N1760))</f>
        <v/>
      </c>
      <c r="J1760" s="27" t="str">
        <f>IF($N1760="","",INDEX('_calc'!$I$2:$I$3001,$N1760))</f>
        <v/>
      </c>
      <c r="K1760" s="28" t="str">
        <f>IF($N1760="","",IF(OR(I1760="",J1760=""),"",J1760-I1760))</f>
        <v/>
      </c>
      <c r="L1760" s="29" t="str">
        <f>IF($N1760="","",INDEX('_calc'!$J$2:$J$3001,$N1760))</f>
        <v/>
      </c>
      <c r="M1760" s="2" t="str">
        <f>IF($N1760="","",IF(AND(G1760=0,H1760=0),"수량 없음",IF(G1760=0,"신규 (전년 수량 없음)",IF(H1760=0,"당해 수량 없음",""))))</f>
        <v/>
      </c>
      <c r="N1760" t="str">
        <f>IF($B1760="","",MATCH($B1760,'_calc'!$L$2:$L$3001,0))</f>
        <v/>
      </c>
    </row>
    <row r="1761">
      <c r="B1761" s="24" t="str">
        <f>IF(ROW()-ROW($B$8)&gt;nComp,"",ROW()-ROW($B$8))</f>
        <v/>
      </c>
      <c r="C1761" t="str">
        <f>IF($N1761="","",INDEX('_calc'!$A$2:$A$3001,$N1761))</f>
        <v/>
      </c>
      <c r="D1761" s="25" t="str">
        <f>IF($N1761="","",INDEX('_calc'!$C$2:$C$3001,$N1761))</f>
        <v/>
      </c>
      <c r="E1761" s="25" t="str">
        <f>IF($N1761="","",INDEX('_calc'!$D$2:$D$3001,$N1761))</f>
        <v/>
      </c>
      <c r="F1761" s="26" t="str">
        <f>IF($N1761="","",IF($E$8=0,"",E1761/$E$8))</f>
        <v/>
      </c>
      <c r="G1761" s="25" t="str">
        <f>IF($N1761="","",INDEX('_calc'!$E$2:$E$3001,$N1761))</f>
        <v/>
      </c>
      <c r="H1761" s="25" t="str">
        <f>IF($N1761="","",INDEX('_calc'!$F$2:$F$3001,$N1761))</f>
        <v/>
      </c>
      <c r="I1761" s="27" t="str">
        <f>IF($N1761="","",INDEX('_calc'!$H$2:$H$3001,$N1761))</f>
        <v/>
      </c>
      <c r="J1761" s="27" t="str">
        <f>IF($N1761="","",INDEX('_calc'!$I$2:$I$3001,$N1761))</f>
        <v/>
      </c>
      <c r="K1761" s="28" t="str">
        <f>IF($N1761="","",IF(OR(I1761="",J1761=""),"",J1761-I1761))</f>
        <v/>
      </c>
      <c r="L1761" s="29" t="str">
        <f>IF($N1761="","",INDEX('_calc'!$J$2:$J$3001,$N1761))</f>
        <v/>
      </c>
      <c r="M1761" s="2" t="str">
        <f>IF($N1761="","",IF(AND(G1761=0,H1761=0),"수량 없음",IF(G1761=0,"신규 (전년 수량 없음)",IF(H1761=0,"당해 수량 없음",""))))</f>
        <v/>
      </c>
      <c r="N1761" t="str">
        <f>IF($B1761="","",MATCH($B1761,'_calc'!$L$2:$L$3001,0))</f>
        <v/>
      </c>
    </row>
    <row r="1762">
      <c r="B1762" s="24" t="str">
        <f>IF(ROW()-ROW($B$8)&gt;nComp,"",ROW()-ROW($B$8))</f>
        <v/>
      </c>
      <c r="C1762" t="str">
        <f>IF($N1762="","",INDEX('_calc'!$A$2:$A$3001,$N1762))</f>
        <v/>
      </c>
      <c r="D1762" s="25" t="str">
        <f>IF($N1762="","",INDEX('_calc'!$C$2:$C$3001,$N1762))</f>
        <v/>
      </c>
      <c r="E1762" s="25" t="str">
        <f>IF($N1762="","",INDEX('_calc'!$D$2:$D$3001,$N1762))</f>
        <v/>
      </c>
      <c r="F1762" s="26" t="str">
        <f>IF($N1762="","",IF($E$8=0,"",E1762/$E$8))</f>
        <v/>
      </c>
      <c r="G1762" s="25" t="str">
        <f>IF($N1762="","",INDEX('_calc'!$E$2:$E$3001,$N1762))</f>
        <v/>
      </c>
      <c r="H1762" s="25" t="str">
        <f>IF($N1762="","",INDEX('_calc'!$F$2:$F$3001,$N1762))</f>
        <v/>
      </c>
      <c r="I1762" s="27" t="str">
        <f>IF($N1762="","",INDEX('_calc'!$H$2:$H$3001,$N1762))</f>
        <v/>
      </c>
      <c r="J1762" s="27" t="str">
        <f>IF($N1762="","",INDEX('_calc'!$I$2:$I$3001,$N1762))</f>
        <v/>
      </c>
      <c r="K1762" s="28" t="str">
        <f>IF($N1762="","",IF(OR(I1762="",J1762=""),"",J1762-I1762))</f>
        <v/>
      </c>
      <c r="L1762" s="29" t="str">
        <f>IF($N1762="","",INDEX('_calc'!$J$2:$J$3001,$N1762))</f>
        <v/>
      </c>
      <c r="M1762" s="2" t="str">
        <f>IF($N1762="","",IF(AND(G1762=0,H1762=0),"수량 없음",IF(G1762=0,"신규 (전년 수량 없음)",IF(H1762=0,"당해 수량 없음",""))))</f>
        <v/>
      </c>
      <c r="N1762" t="str">
        <f>IF($B1762="","",MATCH($B1762,'_calc'!$L$2:$L$3001,0))</f>
        <v/>
      </c>
    </row>
    <row r="1763">
      <c r="B1763" s="24" t="str">
        <f>IF(ROW()-ROW($B$8)&gt;nComp,"",ROW()-ROW($B$8))</f>
        <v/>
      </c>
      <c r="C1763" t="str">
        <f>IF($N1763="","",INDEX('_calc'!$A$2:$A$3001,$N1763))</f>
        <v/>
      </c>
      <c r="D1763" s="25" t="str">
        <f>IF($N1763="","",INDEX('_calc'!$C$2:$C$3001,$N1763))</f>
        <v/>
      </c>
      <c r="E1763" s="25" t="str">
        <f>IF($N1763="","",INDEX('_calc'!$D$2:$D$3001,$N1763))</f>
        <v/>
      </c>
      <c r="F1763" s="26" t="str">
        <f>IF($N1763="","",IF($E$8=0,"",E1763/$E$8))</f>
        <v/>
      </c>
      <c r="G1763" s="25" t="str">
        <f>IF($N1763="","",INDEX('_calc'!$E$2:$E$3001,$N1763))</f>
        <v/>
      </c>
      <c r="H1763" s="25" t="str">
        <f>IF($N1763="","",INDEX('_calc'!$F$2:$F$3001,$N1763))</f>
        <v/>
      </c>
      <c r="I1763" s="27" t="str">
        <f>IF($N1763="","",INDEX('_calc'!$H$2:$H$3001,$N1763))</f>
        <v/>
      </c>
      <c r="J1763" s="27" t="str">
        <f>IF($N1763="","",INDEX('_calc'!$I$2:$I$3001,$N1763))</f>
        <v/>
      </c>
      <c r="K1763" s="28" t="str">
        <f>IF($N1763="","",IF(OR(I1763="",J1763=""),"",J1763-I1763))</f>
        <v/>
      </c>
      <c r="L1763" s="29" t="str">
        <f>IF($N1763="","",INDEX('_calc'!$J$2:$J$3001,$N1763))</f>
        <v/>
      </c>
      <c r="M1763" s="2" t="str">
        <f>IF($N1763="","",IF(AND(G1763=0,H1763=0),"수량 없음",IF(G1763=0,"신규 (전년 수량 없음)",IF(H1763=0,"당해 수량 없음",""))))</f>
        <v/>
      </c>
      <c r="N1763" t="str">
        <f>IF($B1763="","",MATCH($B1763,'_calc'!$L$2:$L$3001,0))</f>
        <v/>
      </c>
    </row>
    <row r="1764">
      <c r="B1764" s="24" t="str">
        <f>IF(ROW()-ROW($B$8)&gt;nComp,"",ROW()-ROW($B$8))</f>
        <v/>
      </c>
      <c r="C1764" t="str">
        <f>IF($N1764="","",INDEX('_calc'!$A$2:$A$3001,$N1764))</f>
        <v/>
      </c>
      <c r="D1764" s="25" t="str">
        <f>IF($N1764="","",INDEX('_calc'!$C$2:$C$3001,$N1764))</f>
        <v/>
      </c>
      <c r="E1764" s="25" t="str">
        <f>IF($N1764="","",INDEX('_calc'!$D$2:$D$3001,$N1764))</f>
        <v/>
      </c>
      <c r="F1764" s="26" t="str">
        <f>IF($N1764="","",IF($E$8=0,"",E1764/$E$8))</f>
        <v/>
      </c>
      <c r="G1764" s="25" t="str">
        <f>IF($N1764="","",INDEX('_calc'!$E$2:$E$3001,$N1764))</f>
        <v/>
      </c>
      <c r="H1764" s="25" t="str">
        <f>IF($N1764="","",INDEX('_calc'!$F$2:$F$3001,$N1764))</f>
        <v/>
      </c>
      <c r="I1764" s="27" t="str">
        <f>IF($N1764="","",INDEX('_calc'!$H$2:$H$3001,$N1764))</f>
        <v/>
      </c>
      <c r="J1764" s="27" t="str">
        <f>IF($N1764="","",INDEX('_calc'!$I$2:$I$3001,$N1764))</f>
        <v/>
      </c>
      <c r="K1764" s="28" t="str">
        <f>IF($N1764="","",IF(OR(I1764="",J1764=""),"",J1764-I1764))</f>
        <v/>
      </c>
      <c r="L1764" s="29" t="str">
        <f>IF($N1764="","",INDEX('_calc'!$J$2:$J$3001,$N1764))</f>
        <v/>
      </c>
      <c r="M1764" s="2" t="str">
        <f>IF($N1764="","",IF(AND(G1764=0,H1764=0),"수량 없음",IF(G1764=0,"신규 (전년 수량 없음)",IF(H1764=0,"당해 수량 없음",""))))</f>
        <v/>
      </c>
      <c r="N1764" t="str">
        <f>IF($B1764="","",MATCH($B1764,'_calc'!$L$2:$L$3001,0))</f>
        <v/>
      </c>
    </row>
    <row r="1765">
      <c r="B1765" s="24" t="str">
        <f>IF(ROW()-ROW($B$8)&gt;nComp,"",ROW()-ROW($B$8))</f>
        <v/>
      </c>
      <c r="C1765" t="str">
        <f>IF($N1765="","",INDEX('_calc'!$A$2:$A$3001,$N1765))</f>
        <v/>
      </c>
      <c r="D1765" s="25" t="str">
        <f>IF($N1765="","",INDEX('_calc'!$C$2:$C$3001,$N1765))</f>
        <v/>
      </c>
      <c r="E1765" s="25" t="str">
        <f>IF($N1765="","",INDEX('_calc'!$D$2:$D$3001,$N1765))</f>
        <v/>
      </c>
      <c r="F1765" s="26" t="str">
        <f>IF($N1765="","",IF($E$8=0,"",E1765/$E$8))</f>
        <v/>
      </c>
      <c r="G1765" s="25" t="str">
        <f>IF($N1765="","",INDEX('_calc'!$E$2:$E$3001,$N1765))</f>
        <v/>
      </c>
      <c r="H1765" s="25" t="str">
        <f>IF($N1765="","",INDEX('_calc'!$F$2:$F$3001,$N1765))</f>
        <v/>
      </c>
      <c r="I1765" s="27" t="str">
        <f>IF($N1765="","",INDEX('_calc'!$H$2:$H$3001,$N1765))</f>
        <v/>
      </c>
      <c r="J1765" s="27" t="str">
        <f>IF($N1765="","",INDEX('_calc'!$I$2:$I$3001,$N1765))</f>
        <v/>
      </c>
      <c r="K1765" s="28" t="str">
        <f>IF($N1765="","",IF(OR(I1765="",J1765=""),"",J1765-I1765))</f>
        <v/>
      </c>
      <c r="L1765" s="29" t="str">
        <f>IF($N1765="","",INDEX('_calc'!$J$2:$J$3001,$N1765))</f>
        <v/>
      </c>
      <c r="M1765" s="2" t="str">
        <f>IF($N1765="","",IF(AND(G1765=0,H1765=0),"수량 없음",IF(G1765=0,"신규 (전년 수량 없음)",IF(H1765=0,"당해 수량 없음",""))))</f>
        <v/>
      </c>
      <c r="N1765" t="str">
        <f>IF($B1765="","",MATCH($B1765,'_calc'!$L$2:$L$3001,0))</f>
        <v/>
      </c>
    </row>
    <row r="1766">
      <c r="B1766" s="24" t="str">
        <f>IF(ROW()-ROW($B$8)&gt;nComp,"",ROW()-ROW($B$8))</f>
        <v/>
      </c>
      <c r="C1766" t="str">
        <f>IF($N1766="","",INDEX('_calc'!$A$2:$A$3001,$N1766))</f>
        <v/>
      </c>
      <c r="D1766" s="25" t="str">
        <f>IF($N1766="","",INDEX('_calc'!$C$2:$C$3001,$N1766))</f>
        <v/>
      </c>
      <c r="E1766" s="25" t="str">
        <f>IF($N1766="","",INDEX('_calc'!$D$2:$D$3001,$N1766))</f>
        <v/>
      </c>
      <c r="F1766" s="26" t="str">
        <f>IF($N1766="","",IF($E$8=0,"",E1766/$E$8))</f>
        <v/>
      </c>
      <c r="G1766" s="25" t="str">
        <f>IF($N1766="","",INDEX('_calc'!$E$2:$E$3001,$N1766))</f>
        <v/>
      </c>
      <c r="H1766" s="25" t="str">
        <f>IF($N1766="","",INDEX('_calc'!$F$2:$F$3001,$N1766))</f>
        <v/>
      </c>
      <c r="I1766" s="27" t="str">
        <f>IF($N1766="","",INDEX('_calc'!$H$2:$H$3001,$N1766))</f>
        <v/>
      </c>
      <c r="J1766" s="27" t="str">
        <f>IF($N1766="","",INDEX('_calc'!$I$2:$I$3001,$N1766))</f>
        <v/>
      </c>
      <c r="K1766" s="28" t="str">
        <f>IF($N1766="","",IF(OR(I1766="",J1766=""),"",J1766-I1766))</f>
        <v/>
      </c>
      <c r="L1766" s="29" t="str">
        <f>IF($N1766="","",INDEX('_calc'!$J$2:$J$3001,$N1766))</f>
        <v/>
      </c>
      <c r="M1766" s="2" t="str">
        <f>IF($N1766="","",IF(AND(G1766=0,H1766=0),"수량 없음",IF(G1766=0,"신규 (전년 수량 없음)",IF(H1766=0,"당해 수량 없음",""))))</f>
        <v/>
      </c>
      <c r="N1766" t="str">
        <f>IF($B1766="","",MATCH($B1766,'_calc'!$L$2:$L$3001,0))</f>
        <v/>
      </c>
    </row>
    <row r="1767">
      <c r="B1767" s="24" t="str">
        <f>IF(ROW()-ROW($B$8)&gt;nComp,"",ROW()-ROW($B$8))</f>
        <v/>
      </c>
      <c r="C1767" t="str">
        <f>IF($N1767="","",INDEX('_calc'!$A$2:$A$3001,$N1767))</f>
        <v/>
      </c>
      <c r="D1767" s="25" t="str">
        <f>IF($N1767="","",INDEX('_calc'!$C$2:$C$3001,$N1767))</f>
        <v/>
      </c>
      <c r="E1767" s="25" t="str">
        <f>IF($N1767="","",INDEX('_calc'!$D$2:$D$3001,$N1767))</f>
        <v/>
      </c>
      <c r="F1767" s="26" t="str">
        <f>IF($N1767="","",IF($E$8=0,"",E1767/$E$8))</f>
        <v/>
      </c>
      <c r="G1767" s="25" t="str">
        <f>IF($N1767="","",INDEX('_calc'!$E$2:$E$3001,$N1767))</f>
        <v/>
      </c>
      <c r="H1767" s="25" t="str">
        <f>IF($N1767="","",INDEX('_calc'!$F$2:$F$3001,$N1767))</f>
        <v/>
      </c>
      <c r="I1767" s="27" t="str">
        <f>IF($N1767="","",INDEX('_calc'!$H$2:$H$3001,$N1767))</f>
        <v/>
      </c>
      <c r="J1767" s="27" t="str">
        <f>IF($N1767="","",INDEX('_calc'!$I$2:$I$3001,$N1767))</f>
        <v/>
      </c>
      <c r="K1767" s="28" t="str">
        <f>IF($N1767="","",IF(OR(I1767="",J1767=""),"",J1767-I1767))</f>
        <v/>
      </c>
      <c r="L1767" s="29" t="str">
        <f>IF($N1767="","",INDEX('_calc'!$J$2:$J$3001,$N1767))</f>
        <v/>
      </c>
      <c r="M1767" s="2" t="str">
        <f>IF($N1767="","",IF(AND(G1767=0,H1767=0),"수량 없음",IF(G1767=0,"신규 (전년 수량 없음)",IF(H1767=0,"당해 수량 없음",""))))</f>
        <v/>
      </c>
      <c r="N1767" t="str">
        <f>IF($B1767="","",MATCH($B1767,'_calc'!$L$2:$L$3001,0))</f>
        <v/>
      </c>
    </row>
    <row r="1768">
      <c r="B1768" s="24" t="str">
        <f>IF(ROW()-ROW($B$8)&gt;nComp,"",ROW()-ROW($B$8))</f>
        <v/>
      </c>
      <c r="C1768" t="str">
        <f>IF($N1768="","",INDEX('_calc'!$A$2:$A$3001,$N1768))</f>
        <v/>
      </c>
      <c r="D1768" s="25" t="str">
        <f>IF($N1768="","",INDEX('_calc'!$C$2:$C$3001,$N1768))</f>
        <v/>
      </c>
      <c r="E1768" s="25" t="str">
        <f>IF($N1768="","",INDEX('_calc'!$D$2:$D$3001,$N1768))</f>
        <v/>
      </c>
      <c r="F1768" s="26" t="str">
        <f>IF($N1768="","",IF($E$8=0,"",E1768/$E$8))</f>
        <v/>
      </c>
      <c r="G1768" s="25" t="str">
        <f>IF($N1768="","",INDEX('_calc'!$E$2:$E$3001,$N1768))</f>
        <v/>
      </c>
      <c r="H1768" s="25" t="str">
        <f>IF($N1768="","",INDEX('_calc'!$F$2:$F$3001,$N1768))</f>
        <v/>
      </c>
      <c r="I1768" s="27" t="str">
        <f>IF($N1768="","",INDEX('_calc'!$H$2:$H$3001,$N1768))</f>
        <v/>
      </c>
      <c r="J1768" s="27" t="str">
        <f>IF($N1768="","",INDEX('_calc'!$I$2:$I$3001,$N1768))</f>
        <v/>
      </c>
      <c r="K1768" s="28" t="str">
        <f>IF($N1768="","",IF(OR(I1768="",J1768=""),"",J1768-I1768))</f>
        <v/>
      </c>
      <c r="L1768" s="29" t="str">
        <f>IF($N1768="","",INDEX('_calc'!$J$2:$J$3001,$N1768))</f>
        <v/>
      </c>
      <c r="M1768" s="2" t="str">
        <f>IF($N1768="","",IF(AND(G1768=0,H1768=0),"수량 없음",IF(G1768=0,"신규 (전년 수량 없음)",IF(H1768=0,"당해 수량 없음",""))))</f>
        <v/>
      </c>
      <c r="N1768" t="str">
        <f>IF($B1768="","",MATCH($B1768,'_calc'!$L$2:$L$3001,0))</f>
        <v/>
      </c>
    </row>
    <row r="1769">
      <c r="B1769" s="24" t="str">
        <f>IF(ROW()-ROW($B$8)&gt;nComp,"",ROW()-ROW($B$8))</f>
        <v/>
      </c>
      <c r="C1769" t="str">
        <f>IF($N1769="","",INDEX('_calc'!$A$2:$A$3001,$N1769))</f>
        <v/>
      </c>
      <c r="D1769" s="25" t="str">
        <f>IF($N1769="","",INDEX('_calc'!$C$2:$C$3001,$N1769))</f>
        <v/>
      </c>
      <c r="E1769" s="25" t="str">
        <f>IF($N1769="","",INDEX('_calc'!$D$2:$D$3001,$N1769))</f>
        <v/>
      </c>
      <c r="F1769" s="26" t="str">
        <f>IF($N1769="","",IF($E$8=0,"",E1769/$E$8))</f>
        <v/>
      </c>
      <c r="G1769" s="25" t="str">
        <f>IF($N1769="","",INDEX('_calc'!$E$2:$E$3001,$N1769))</f>
        <v/>
      </c>
      <c r="H1769" s="25" t="str">
        <f>IF($N1769="","",INDEX('_calc'!$F$2:$F$3001,$N1769))</f>
        <v/>
      </c>
      <c r="I1769" s="27" t="str">
        <f>IF($N1769="","",INDEX('_calc'!$H$2:$H$3001,$N1769))</f>
        <v/>
      </c>
      <c r="J1769" s="27" t="str">
        <f>IF($N1769="","",INDEX('_calc'!$I$2:$I$3001,$N1769))</f>
        <v/>
      </c>
      <c r="K1769" s="28" t="str">
        <f>IF($N1769="","",IF(OR(I1769="",J1769=""),"",J1769-I1769))</f>
        <v/>
      </c>
      <c r="L1769" s="29" t="str">
        <f>IF($N1769="","",INDEX('_calc'!$J$2:$J$3001,$N1769))</f>
        <v/>
      </c>
      <c r="M1769" s="2" t="str">
        <f>IF($N1769="","",IF(AND(G1769=0,H1769=0),"수량 없음",IF(G1769=0,"신규 (전년 수량 없음)",IF(H1769=0,"당해 수량 없음",""))))</f>
        <v/>
      </c>
      <c r="N1769" t="str">
        <f>IF($B1769="","",MATCH($B1769,'_calc'!$L$2:$L$3001,0))</f>
        <v/>
      </c>
    </row>
    <row r="1770">
      <c r="B1770" s="24" t="str">
        <f>IF(ROW()-ROW($B$8)&gt;nComp,"",ROW()-ROW($B$8))</f>
        <v/>
      </c>
      <c r="C1770" t="str">
        <f>IF($N1770="","",INDEX('_calc'!$A$2:$A$3001,$N1770))</f>
        <v/>
      </c>
      <c r="D1770" s="25" t="str">
        <f>IF($N1770="","",INDEX('_calc'!$C$2:$C$3001,$N1770))</f>
        <v/>
      </c>
      <c r="E1770" s="25" t="str">
        <f>IF($N1770="","",INDEX('_calc'!$D$2:$D$3001,$N1770))</f>
        <v/>
      </c>
      <c r="F1770" s="26" t="str">
        <f>IF($N1770="","",IF($E$8=0,"",E1770/$E$8))</f>
        <v/>
      </c>
      <c r="G1770" s="25" t="str">
        <f>IF($N1770="","",INDEX('_calc'!$E$2:$E$3001,$N1770))</f>
        <v/>
      </c>
      <c r="H1770" s="25" t="str">
        <f>IF($N1770="","",INDEX('_calc'!$F$2:$F$3001,$N1770))</f>
        <v/>
      </c>
      <c r="I1770" s="27" t="str">
        <f>IF($N1770="","",INDEX('_calc'!$H$2:$H$3001,$N1770))</f>
        <v/>
      </c>
      <c r="J1770" s="27" t="str">
        <f>IF($N1770="","",INDEX('_calc'!$I$2:$I$3001,$N1770))</f>
        <v/>
      </c>
      <c r="K1770" s="28" t="str">
        <f>IF($N1770="","",IF(OR(I1770="",J1770=""),"",J1770-I1770))</f>
        <v/>
      </c>
      <c r="L1770" s="29" t="str">
        <f>IF($N1770="","",INDEX('_calc'!$J$2:$J$3001,$N1770))</f>
        <v/>
      </c>
      <c r="M1770" s="2" t="str">
        <f>IF($N1770="","",IF(AND(G1770=0,H1770=0),"수량 없음",IF(G1770=0,"신규 (전년 수량 없음)",IF(H1770=0,"당해 수량 없음",""))))</f>
        <v/>
      </c>
      <c r="N1770" t="str">
        <f>IF($B1770="","",MATCH($B1770,'_calc'!$L$2:$L$3001,0))</f>
        <v/>
      </c>
    </row>
    <row r="1771">
      <c r="B1771" s="24" t="str">
        <f>IF(ROW()-ROW($B$8)&gt;nComp,"",ROW()-ROW($B$8))</f>
        <v/>
      </c>
      <c r="C1771" t="str">
        <f>IF($N1771="","",INDEX('_calc'!$A$2:$A$3001,$N1771))</f>
        <v/>
      </c>
      <c r="D1771" s="25" t="str">
        <f>IF($N1771="","",INDEX('_calc'!$C$2:$C$3001,$N1771))</f>
        <v/>
      </c>
      <c r="E1771" s="25" t="str">
        <f>IF($N1771="","",INDEX('_calc'!$D$2:$D$3001,$N1771))</f>
        <v/>
      </c>
      <c r="F1771" s="26" t="str">
        <f>IF($N1771="","",IF($E$8=0,"",E1771/$E$8))</f>
        <v/>
      </c>
      <c r="G1771" s="25" t="str">
        <f>IF($N1771="","",INDEX('_calc'!$E$2:$E$3001,$N1771))</f>
        <v/>
      </c>
      <c r="H1771" s="25" t="str">
        <f>IF($N1771="","",INDEX('_calc'!$F$2:$F$3001,$N1771))</f>
        <v/>
      </c>
      <c r="I1771" s="27" t="str">
        <f>IF($N1771="","",INDEX('_calc'!$H$2:$H$3001,$N1771))</f>
        <v/>
      </c>
      <c r="J1771" s="27" t="str">
        <f>IF($N1771="","",INDEX('_calc'!$I$2:$I$3001,$N1771))</f>
        <v/>
      </c>
      <c r="K1771" s="28" t="str">
        <f>IF($N1771="","",IF(OR(I1771="",J1771=""),"",J1771-I1771))</f>
        <v/>
      </c>
      <c r="L1771" s="29" t="str">
        <f>IF($N1771="","",INDEX('_calc'!$J$2:$J$3001,$N1771))</f>
        <v/>
      </c>
      <c r="M1771" s="2" t="str">
        <f>IF($N1771="","",IF(AND(G1771=0,H1771=0),"수량 없음",IF(G1771=0,"신규 (전년 수량 없음)",IF(H1771=0,"당해 수량 없음",""))))</f>
        <v/>
      </c>
      <c r="N1771" t="str">
        <f>IF($B1771="","",MATCH($B1771,'_calc'!$L$2:$L$3001,0))</f>
        <v/>
      </c>
    </row>
    <row r="1772">
      <c r="B1772" s="24" t="str">
        <f>IF(ROW()-ROW($B$8)&gt;nComp,"",ROW()-ROW($B$8))</f>
        <v/>
      </c>
      <c r="C1772" t="str">
        <f>IF($N1772="","",INDEX('_calc'!$A$2:$A$3001,$N1772))</f>
        <v/>
      </c>
      <c r="D1772" s="25" t="str">
        <f>IF($N1772="","",INDEX('_calc'!$C$2:$C$3001,$N1772))</f>
        <v/>
      </c>
      <c r="E1772" s="25" t="str">
        <f>IF($N1772="","",INDEX('_calc'!$D$2:$D$3001,$N1772))</f>
        <v/>
      </c>
      <c r="F1772" s="26" t="str">
        <f>IF($N1772="","",IF($E$8=0,"",E1772/$E$8))</f>
        <v/>
      </c>
      <c r="G1772" s="25" t="str">
        <f>IF($N1772="","",INDEX('_calc'!$E$2:$E$3001,$N1772))</f>
        <v/>
      </c>
      <c r="H1772" s="25" t="str">
        <f>IF($N1772="","",INDEX('_calc'!$F$2:$F$3001,$N1772))</f>
        <v/>
      </c>
      <c r="I1772" s="27" t="str">
        <f>IF($N1772="","",INDEX('_calc'!$H$2:$H$3001,$N1772))</f>
        <v/>
      </c>
      <c r="J1772" s="27" t="str">
        <f>IF($N1772="","",INDEX('_calc'!$I$2:$I$3001,$N1772))</f>
        <v/>
      </c>
      <c r="K1772" s="28" t="str">
        <f>IF($N1772="","",IF(OR(I1772="",J1772=""),"",J1772-I1772))</f>
        <v/>
      </c>
      <c r="L1772" s="29" t="str">
        <f>IF($N1772="","",INDEX('_calc'!$J$2:$J$3001,$N1772))</f>
        <v/>
      </c>
      <c r="M1772" s="2" t="str">
        <f>IF($N1772="","",IF(AND(G1772=0,H1772=0),"수량 없음",IF(G1772=0,"신규 (전년 수량 없음)",IF(H1772=0,"당해 수량 없음",""))))</f>
        <v/>
      </c>
      <c r="N1772" t="str">
        <f>IF($B1772="","",MATCH($B1772,'_calc'!$L$2:$L$3001,0))</f>
        <v/>
      </c>
    </row>
    <row r="1773">
      <c r="B1773" s="24" t="str">
        <f>IF(ROW()-ROW($B$8)&gt;nComp,"",ROW()-ROW($B$8))</f>
        <v/>
      </c>
      <c r="C1773" t="str">
        <f>IF($N1773="","",INDEX('_calc'!$A$2:$A$3001,$N1773))</f>
        <v/>
      </c>
      <c r="D1773" s="25" t="str">
        <f>IF($N1773="","",INDEX('_calc'!$C$2:$C$3001,$N1773))</f>
        <v/>
      </c>
      <c r="E1773" s="25" t="str">
        <f>IF($N1773="","",INDEX('_calc'!$D$2:$D$3001,$N1773))</f>
        <v/>
      </c>
      <c r="F1773" s="26" t="str">
        <f>IF($N1773="","",IF($E$8=0,"",E1773/$E$8))</f>
        <v/>
      </c>
      <c r="G1773" s="25" t="str">
        <f>IF($N1773="","",INDEX('_calc'!$E$2:$E$3001,$N1773))</f>
        <v/>
      </c>
      <c r="H1773" s="25" t="str">
        <f>IF($N1773="","",INDEX('_calc'!$F$2:$F$3001,$N1773))</f>
        <v/>
      </c>
      <c r="I1773" s="27" t="str">
        <f>IF($N1773="","",INDEX('_calc'!$H$2:$H$3001,$N1773))</f>
        <v/>
      </c>
      <c r="J1773" s="27" t="str">
        <f>IF($N1773="","",INDEX('_calc'!$I$2:$I$3001,$N1773))</f>
        <v/>
      </c>
      <c r="K1773" s="28" t="str">
        <f>IF($N1773="","",IF(OR(I1773="",J1773=""),"",J1773-I1773))</f>
        <v/>
      </c>
      <c r="L1773" s="29" t="str">
        <f>IF($N1773="","",INDEX('_calc'!$J$2:$J$3001,$N1773))</f>
        <v/>
      </c>
      <c r="M1773" s="2" t="str">
        <f>IF($N1773="","",IF(AND(G1773=0,H1773=0),"수량 없음",IF(G1773=0,"신규 (전년 수량 없음)",IF(H1773=0,"당해 수량 없음",""))))</f>
        <v/>
      </c>
      <c r="N1773" t="str">
        <f>IF($B1773="","",MATCH($B1773,'_calc'!$L$2:$L$3001,0))</f>
        <v/>
      </c>
    </row>
    <row r="1774">
      <c r="B1774" s="24" t="str">
        <f>IF(ROW()-ROW($B$8)&gt;nComp,"",ROW()-ROW($B$8))</f>
        <v/>
      </c>
      <c r="C1774" t="str">
        <f>IF($N1774="","",INDEX('_calc'!$A$2:$A$3001,$N1774))</f>
        <v/>
      </c>
      <c r="D1774" s="25" t="str">
        <f>IF($N1774="","",INDEX('_calc'!$C$2:$C$3001,$N1774))</f>
        <v/>
      </c>
      <c r="E1774" s="25" t="str">
        <f>IF($N1774="","",INDEX('_calc'!$D$2:$D$3001,$N1774))</f>
        <v/>
      </c>
      <c r="F1774" s="26" t="str">
        <f>IF($N1774="","",IF($E$8=0,"",E1774/$E$8))</f>
        <v/>
      </c>
      <c r="G1774" s="25" t="str">
        <f>IF($N1774="","",INDEX('_calc'!$E$2:$E$3001,$N1774))</f>
        <v/>
      </c>
      <c r="H1774" s="25" t="str">
        <f>IF($N1774="","",INDEX('_calc'!$F$2:$F$3001,$N1774))</f>
        <v/>
      </c>
      <c r="I1774" s="27" t="str">
        <f>IF($N1774="","",INDEX('_calc'!$H$2:$H$3001,$N1774))</f>
        <v/>
      </c>
      <c r="J1774" s="27" t="str">
        <f>IF($N1774="","",INDEX('_calc'!$I$2:$I$3001,$N1774))</f>
        <v/>
      </c>
      <c r="K1774" s="28" t="str">
        <f>IF($N1774="","",IF(OR(I1774="",J1774=""),"",J1774-I1774))</f>
        <v/>
      </c>
      <c r="L1774" s="29" t="str">
        <f>IF($N1774="","",INDEX('_calc'!$J$2:$J$3001,$N1774))</f>
        <v/>
      </c>
      <c r="M1774" s="2" t="str">
        <f>IF($N1774="","",IF(AND(G1774=0,H1774=0),"수량 없음",IF(G1774=0,"신규 (전년 수량 없음)",IF(H1774=0,"당해 수량 없음",""))))</f>
        <v/>
      </c>
      <c r="N1774" t="str">
        <f>IF($B1774="","",MATCH($B1774,'_calc'!$L$2:$L$3001,0))</f>
        <v/>
      </c>
    </row>
    <row r="1775">
      <c r="B1775" s="24" t="str">
        <f>IF(ROW()-ROW($B$8)&gt;nComp,"",ROW()-ROW($B$8))</f>
        <v/>
      </c>
      <c r="C1775" t="str">
        <f>IF($N1775="","",INDEX('_calc'!$A$2:$A$3001,$N1775))</f>
        <v/>
      </c>
      <c r="D1775" s="25" t="str">
        <f>IF($N1775="","",INDEX('_calc'!$C$2:$C$3001,$N1775))</f>
        <v/>
      </c>
      <c r="E1775" s="25" t="str">
        <f>IF($N1775="","",INDEX('_calc'!$D$2:$D$3001,$N1775))</f>
        <v/>
      </c>
      <c r="F1775" s="26" t="str">
        <f>IF($N1775="","",IF($E$8=0,"",E1775/$E$8))</f>
        <v/>
      </c>
      <c r="G1775" s="25" t="str">
        <f>IF($N1775="","",INDEX('_calc'!$E$2:$E$3001,$N1775))</f>
        <v/>
      </c>
      <c r="H1775" s="25" t="str">
        <f>IF($N1775="","",INDEX('_calc'!$F$2:$F$3001,$N1775))</f>
        <v/>
      </c>
      <c r="I1775" s="27" t="str">
        <f>IF($N1775="","",INDEX('_calc'!$H$2:$H$3001,$N1775))</f>
        <v/>
      </c>
      <c r="J1775" s="27" t="str">
        <f>IF($N1775="","",INDEX('_calc'!$I$2:$I$3001,$N1775))</f>
        <v/>
      </c>
      <c r="K1775" s="28" t="str">
        <f>IF($N1775="","",IF(OR(I1775="",J1775=""),"",J1775-I1775))</f>
        <v/>
      </c>
      <c r="L1775" s="29" t="str">
        <f>IF($N1775="","",INDEX('_calc'!$J$2:$J$3001,$N1775))</f>
        <v/>
      </c>
      <c r="M1775" s="2" t="str">
        <f>IF($N1775="","",IF(AND(G1775=0,H1775=0),"수량 없음",IF(G1775=0,"신규 (전년 수량 없음)",IF(H1775=0,"당해 수량 없음",""))))</f>
        <v/>
      </c>
      <c r="N1775" t="str">
        <f>IF($B1775="","",MATCH($B1775,'_calc'!$L$2:$L$3001,0))</f>
        <v/>
      </c>
    </row>
    <row r="1776">
      <c r="B1776" s="24" t="str">
        <f>IF(ROW()-ROW($B$8)&gt;nComp,"",ROW()-ROW($B$8))</f>
        <v/>
      </c>
      <c r="C1776" t="str">
        <f>IF($N1776="","",INDEX('_calc'!$A$2:$A$3001,$N1776))</f>
        <v/>
      </c>
      <c r="D1776" s="25" t="str">
        <f>IF($N1776="","",INDEX('_calc'!$C$2:$C$3001,$N1776))</f>
        <v/>
      </c>
      <c r="E1776" s="25" t="str">
        <f>IF($N1776="","",INDEX('_calc'!$D$2:$D$3001,$N1776))</f>
        <v/>
      </c>
      <c r="F1776" s="26" t="str">
        <f>IF($N1776="","",IF($E$8=0,"",E1776/$E$8))</f>
        <v/>
      </c>
      <c r="G1776" s="25" t="str">
        <f>IF($N1776="","",INDEX('_calc'!$E$2:$E$3001,$N1776))</f>
        <v/>
      </c>
      <c r="H1776" s="25" t="str">
        <f>IF($N1776="","",INDEX('_calc'!$F$2:$F$3001,$N1776))</f>
        <v/>
      </c>
      <c r="I1776" s="27" t="str">
        <f>IF($N1776="","",INDEX('_calc'!$H$2:$H$3001,$N1776))</f>
        <v/>
      </c>
      <c r="J1776" s="27" t="str">
        <f>IF($N1776="","",INDEX('_calc'!$I$2:$I$3001,$N1776))</f>
        <v/>
      </c>
      <c r="K1776" s="28" t="str">
        <f>IF($N1776="","",IF(OR(I1776="",J1776=""),"",J1776-I1776))</f>
        <v/>
      </c>
      <c r="L1776" s="29" t="str">
        <f>IF($N1776="","",INDEX('_calc'!$J$2:$J$3001,$N1776))</f>
        <v/>
      </c>
      <c r="M1776" s="2" t="str">
        <f>IF($N1776="","",IF(AND(G1776=0,H1776=0),"수량 없음",IF(G1776=0,"신규 (전년 수량 없음)",IF(H1776=0,"당해 수량 없음",""))))</f>
        <v/>
      </c>
      <c r="N1776" t="str">
        <f>IF($B1776="","",MATCH($B1776,'_calc'!$L$2:$L$3001,0))</f>
        <v/>
      </c>
    </row>
    <row r="1777">
      <c r="B1777" s="24" t="str">
        <f>IF(ROW()-ROW($B$8)&gt;nComp,"",ROW()-ROW($B$8))</f>
        <v/>
      </c>
      <c r="C1777" t="str">
        <f>IF($N1777="","",INDEX('_calc'!$A$2:$A$3001,$N1777))</f>
        <v/>
      </c>
      <c r="D1777" s="25" t="str">
        <f>IF($N1777="","",INDEX('_calc'!$C$2:$C$3001,$N1777))</f>
        <v/>
      </c>
      <c r="E1777" s="25" t="str">
        <f>IF($N1777="","",INDEX('_calc'!$D$2:$D$3001,$N1777))</f>
        <v/>
      </c>
      <c r="F1777" s="26" t="str">
        <f>IF($N1777="","",IF($E$8=0,"",E1777/$E$8))</f>
        <v/>
      </c>
      <c r="G1777" s="25" t="str">
        <f>IF($N1777="","",INDEX('_calc'!$E$2:$E$3001,$N1777))</f>
        <v/>
      </c>
      <c r="H1777" s="25" t="str">
        <f>IF($N1777="","",INDEX('_calc'!$F$2:$F$3001,$N1777))</f>
        <v/>
      </c>
      <c r="I1777" s="27" t="str">
        <f>IF($N1777="","",INDEX('_calc'!$H$2:$H$3001,$N1777))</f>
        <v/>
      </c>
      <c r="J1777" s="27" t="str">
        <f>IF($N1777="","",INDEX('_calc'!$I$2:$I$3001,$N1777))</f>
        <v/>
      </c>
      <c r="K1777" s="28" t="str">
        <f>IF($N1777="","",IF(OR(I1777="",J1777=""),"",J1777-I1777))</f>
        <v/>
      </c>
      <c r="L1777" s="29" t="str">
        <f>IF($N1777="","",INDEX('_calc'!$J$2:$J$3001,$N1777))</f>
        <v/>
      </c>
      <c r="M1777" s="2" t="str">
        <f>IF($N1777="","",IF(AND(G1777=0,H1777=0),"수량 없음",IF(G1777=0,"신규 (전년 수량 없음)",IF(H1777=0,"당해 수량 없음",""))))</f>
        <v/>
      </c>
      <c r="N1777" t="str">
        <f>IF($B1777="","",MATCH($B1777,'_calc'!$L$2:$L$3001,0))</f>
        <v/>
      </c>
    </row>
    <row r="1778">
      <c r="B1778" s="24" t="str">
        <f>IF(ROW()-ROW($B$8)&gt;nComp,"",ROW()-ROW($B$8))</f>
        <v/>
      </c>
      <c r="C1778" t="str">
        <f>IF($N1778="","",INDEX('_calc'!$A$2:$A$3001,$N1778))</f>
        <v/>
      </c>
      <c r="D1778" s="25" t="str">
        <f>IF($N1778="","",INDEX('_calc'!$C$2:$C$3001,$N1778))</f>
        <v/>
      </c>
      <c r="E1778" s="25" t="str">
        <f>IF($N1778="","",INDEX('_calc'!$D$2:$D$3001,$N1778))</f>
        <v/>
      </c>
      <c r="F1778" s="26" t="str">
        <f>IF($N1778="","",IF($E$8=0,"",E1778/$E$8))</f>
        <v/>
      </c>
      <c r="G1778" s="25" t="str">
        <f>IF($N1778="","",INDEX('_calc'!$E$2:$E$3001,$N1778))</f>
        <v/>
      </c>
      <c r="H1778" s="25" t="str">
        <f>IF($N1778="","",INDEX('_calc'!$F$2:$F$3001,$N1778))</f>
        <v/>
      </c>
      <c r="I1778" s="27" t="str">
        <f>IF($N1778="","",INDEX('_calc'!$H$2:$H$3001,$N1778))</f>
        <v/>
      </c>
      <c r="J1778" s="27" t="str">
        <f>IF($N1778="","",INDEX('_calc'!$I$2:$I$3001,$N1778))</f>
        <v/>
      </c>
      <c r="K1778" s="28" t="str">
        <f>IF($N1778="","",IF(OR(I1778="",J1778=""),"",J1778-I1778))</f>
        <v/>
      </c>
      <c r="L1778" s="29" t="str">
        <f>IF($N1778="","",INDEX('_calc'!$J$2:$J$3001,$N1778))</f>
        <v/>
      </c>
      <c r="M1778" s="2" t="str">
        <f>IF($N1778="","",IF(AND(G1778=0,H1778=0),"수량 없음",IF(G1778=0,"신규 (전년 수량 없음)",IF(H1778=0,"당해 수량 없음",""))))</f>
        <v/>
      </c>
      <c r="N1778" t="str">
        <f>IF($B1778="","",MATCH($B1778,'_calc'!$L$2:$L$3001,0))</f>
        <v/>
      </c>
    </row>
    <row r="1779">
      <c r="B1779" s="24" t="str">
        <f>IF(ROW()-ROW($B$8)&gt;nComp,"",ROW()-ROW($B$8))</f>
        <v/>
      </c>
      <c r="C1779" t="str">
        <f>IF($N1779="","",INDEX('_calc'!$A$2:$A$3001,$N1779))</f>
        <v/>
      </c>
      <c r="D1779" s="25" t="str">
        <f>IF($N1779="","",INDEX('_calc'!$C$2:$C$3001,$N1779))</f>
        <v/>
      </c>
      <c r="E1779" s="25" t="str">
        <f>IF($N1779="","",INDEX('_calc'!$D$2:$D$3001,$N1779))</f>
        <v/>
      </c>
      <c r="F1779" s="26" t="str">
        <f>IF($N1779="","",IF($E$8=0,"",E1779/$E$8))</f>
        <v/>
      </c>
      <c r="G1779" s="25" t="str">
        <f>IF($N1779="","",INDEX('_calc'!$E$2:$E$3001,$N1779))</f>
        <v/>
      </c>
      <c r="H1779" s="25" t="str">
        <f>IF($N1779="","",INDEX('_calc'!$F$2:$F$3001,$N1779))</f>
        <v/>
      </c>
      <c r="I1779" s="27" t="str">
        <f>IF($N1779="","",INDEX('_calc'!$H$2:$H$3001,$N1779))</f>
        <v/>
      </c>
      <c r="J1779" s="27" t="str">
        <f>IF($N1779="","",INDEX('_calc'!$I$2:$I$3001,$N1779))</f>
        <v/>
      </c>
      <c r="K1779" s="28" t="str">
        <f>IF($N1779="","",IF(OR(I1779="",J1779=""),"",J1779-I1779))</f>
        <v/>
      </c>
      <c r="L1779" s="29" t="str">
        <f>IF($N1779="","",INDEX('_calc'!$J$2:$J$3001,$N1779))</f>
        <v/>
      </c>
      <c r="M1779" s="2" t="str">
        <f>IF($N1779="","",IF(AND(G1779=0,H1779=0),"수량 없음",IF(G1779=0,"신규 (전년 수량 없음)",IF(H1779=0,"당해 수량 없음",""))))</f>
        <v/>
      </c>
      <c r="N1779" t="str">
        <f>IF($B1779="","",MATCH($B1779,'_calc'!$L$2:$L$3001,0))</f>
        <v/>
      </c>
    </row>
    <row r="1780">
      <c r="B1780" s="24" t="str">
        <f>IF(ROW()-ROW($B$8)&gt;nComp,"",ROW()-ROW($B$8))</f>
        <v/>
      </c>
      <c r="C1780" t="str">
        <f>IF($N1780="","",INDEX('_calc'!$A$2:$A$3001,$N1780))</f>
        <v/>
      </c>
      <c r="D1780" s="25" t="str">
        <f>IF($N1780="","",INDEX('_calc'!$C$2:$C$3001,$N1780))</f>
        <v/>
      </c>
      <c r="E1780" s="25" t="str">
        <f>IF($N1780="","",INDEX('_calc'!$D$2:$D$3001,$N1780))</f>
        <v/>
      </c>
      <c r="F1780" s="26" t="str">
        <f>IF($N1780="","",IF($E$8=0,"",E1780/$E$8))</f>
        <v/>
      </c>
      <c r="G1780" s="25" t="str">
        <f>IF($N1780="","",INDEX('_calc'!$E$2:$E$3001,$N1780))</f>
        <v/>
      </c>
      <c r="H1780" s="25" t="str">
        <f>IF($N1780="","",INDEX('_calc'!$F$2:$F$3001,$N1780))</f>
        <v/>
      </c>
      <c r="I1780" s="27" t="str">
        <f>IF($N1780="","",INDEX('_calc'!$H$2:$H$3001,$N1780))</f>
        <v/>
      </c>
      <c r="J1780" s="27" t="str">
        <f>IF($N1780="","",INDEX('_calc'!$I$2:$I$3001,$N1780))</f>
        <v/>
      </c>
      <c r="K1780" s="28" t="str">
        <f>IF($N1780="","",IF(OR(I1780="",J1780=""),"",J1780-I1780))</f>
        <v/>
      </c>
      <c r="L1780" s="29" t="str">
        <f>IF($N1780="","",INDEX('_calc'!$J$2:$J$3001,$N1780))</f>
        <v/>
      </c>
      <c r="M1780" s="2" t="str">
        <f>IF($N1780="","",IF(AND(G1780=0,H1780=0),"수량 없음",IF(G1780=0,"신규 (전년 수량 없음)",IF(H1780=0,"당해 수량 없음",""))))</f>
        <v/>
      </c>
      <c r="N1780" t="str">
        <f>IF($B1780="","",MATCH($B1780,'_calc'!$L$2:$L$3001,0))</f>
        <v/>
      </c>
    </row>
    <row r="1781">
      <c r="B1781" s="24" t="str">
        <f>IF(ROW()-ROW($B$8)&gt;nComp,"",ROW()-ROW($B$8))</f>
        <v/>
      </c>
      <c r="C1781" t="str">
        <f>IF($N1781="","",INDEX('_calc'!$A$2:$A$3001,$N1781))</f>
        <v/>
      </c>
      <c r="D1781" s="25" t="str">
        <f>IF($N1781="","",INDEX('_calc'!$C$2:$C$3001,$N1781))</f>
        <v/>
      </c>
      <c r="E1781" s="25" t="str">
        <f>IF($N1781="","",INDEX('_calc'!$D$2:$D$3001,$N1781))</f>
        <v/>
      </c>
      <c r="F1781" s="26" t="str">
        <f>IF($N1781="","",IF($E$8=0,"",E1781/$E$8))</f>
        <v/>
      </c>
      <c r="G1781" s="25" t="str">
        <f>IF($N1781="","",INDEX('_calc'!$E$2:$E$3001,$N1781))</f>
        <v/>
      </c>
      <c r="H1781" s="25" t="str">
        <f>IF($N1781="","",INDEX('_calc'!$F$2:$F$3001,$N1781))</f>
        <v/>
      </c>
      <c r="I1781" s="27" t="str">
        <f>IF($N1781="","",INDEX('_calc'!$H$2:$H$3001,$N1781))</f>
        <v/>
      </c>
      <c r="J1781" s="27" t="str">
        <f>IF($N1781="","",INDEX('_calc'!$I$2:$I$3001,$N1781))</f>
        <v/>
      </c>
      <c r="K1781" s="28" t="str">
        <f>IF($N1781="","",IF(OR(I1781="",J1781=""),"",J1781-I1781))</f>
        <v/>
      </c>
      <c r="L1781" s="29" t="str">
        <f>IF($N1781="","",INDEX('_calc'!$J$2:$J$3001,$N1781))</f>
        <v/>
      </c>
      <c r="M1781" s="2" t="str">
        <f>IF($N1781="","",IF(AND(G1781=0,H1781=0),"수량 없음",IF(G1781=0,"신규 (전년 수량 없음)",IF(H1781=0,"당해 수량 없음",""))))</f>
        <v/>
      </c>
      <c r="N1781" t="str">
        <f>IF($B1781="","",MATCH($B1781,'_calc'!$L$2:$L$3001,0))</f>
        <v/>
      </c>
    </row>
    <row r="1782">
      <c r="B1782" s="24" t="str">
        <f>IF(ROW()-ROW($B$8)&gt;nComp,"",ROW()-ROW($B$8))</f>
        <v/>
      </c>
      <c r="C1782" t="str">
        <f>IF($N1782="","",INDEX('_calc'!$A$2:$A$3001,$N1782))</f>
        <v/>
      </c>
      <c r="D1782" s="25" t="str">
        <f>IF($N1782="","",INDEX('_calc'!$C$2:$C$3001,$N1782))</f>
        <v/>
      </c>
      <c r="E1782" s="25" t="str">
        <f>IF($N1782="","",INDEX('_calc'!$D$2:$D$3001,$N1782))</f>
        <v/>
      </c>
      <c r="F1782" s="26" t="str">
        <f>IF($N1782="","",IF($E$8=0,"",E1782/$E$8))</f>
        <v/>
      </c>
      <c r="G1782" s="25" t="str">
        <f>IF($N1782="","",INDEX('_calc'!$E$2:$E$3001,$N1782))</f>
        <v/>
      </c>
      <c r="H1782" s="25" t="str">
        <f>IF($N1782="","",INDEX('_calc'!$F$2:$F$3001,$N1782))</f>
        <v/>
      </c>
      <c r="I1782" s="27" t="str">
        <f>IF($N1782="","",INDEX('_calc'!$H$2:$H$3001,$N1782))</f>
        <v/>
      </c>
      <c r="J1782" s="27" t="str">
        <f>IF($N1782="","",INDEX('_calc'!$I$2:$I$3001,$N1782))</f>
        <v/>
      </c>
      <c r="K1782" s="28" t="str">
        <f>IF($N1782="","",IF(OR(I1782="",J1782=""),"",J1782-I1782))</f>
        <v/>
      </c>
      <c r="L1782" s="29" t="str">
        <f>IF($N1782="","",INDEX('_calc'!$J$2:$J$3001,$N1782))</f>
        <v/>
      </c>
      <c r="M1782" s="2" t="str">
        <f>IF($N1782="","",IF(AND(G1782=0,H1782=0),"수량 없음",IF(G1782=0,"신규 (전년 수량 없음)",IF(H1782=0,"당해 수량 없음",""))))</f>
        <v/>
      </c>
      <c r="N1782" t="str">
        <f>IF($B1782="","",MATCH($B1782,'_calc'!$L$2:$L$3001,0))</f>
        <v/>
      </c>
    </row>
    <row r="1783">
      <c r="B1783" s="24" t="str">
        <f>IF(ROW()-ROW($B$8)&gt;nComp,"",ROW()-ROW($B$8))</f>
        <v/>
      </c>
      <c r="C1783" t="str">
        <f>IF($N1783="","",INDEX('_calc'!$A$2:$A$3001,$N1783))</f>
        <v/>
      </c>
      <c r="D1783" s="25" t="str">
        <f>IF($N1783="","",INDEX('_calc'!$C$2:$C$3001,$N1783))</f>
        <v/>
      </c>
      <c r="E1783" s="25" t="str">
        <f>IF($N1783="","",INDEX('_calc'!$D$2:$D$3001,$N1783))</f>
        <v/>
      </c>
      <c r="F1783" s="26" t="str">
        <f>IF($N1783="","",IF($E$8=0,"",E1783/$E$8))</f>
        <v/>
      </c>
      <c r="G1783" s="25" t="str">
        <f>IF($N1783="","",INDEX('_calc'!$E$2:$E$3001,$N1783))</f>
        <v/>
      </c>
      <c r="H1783" s="25" t="str">
        <f>IF($N1783="","",INDEX('_calc'!$F$2:$F$3001,$N1783))</f>
        <v/>
      </c>
      <c r="I1783" s="27" t="str">
        <f>IF($N1783="","",INDEX('_calc'!$H$2:$H$3001,$N1783))</f>
        <v/>
      </c>
      <c r="J1783" s="27" t="str">
        <f>IF($N1783="","",INDEX('_calc'!$I$2:$I$3001,$N1783))</f>
        <v/>
      </c>
      <c r="K1783" s="28" t="str">
        <f>IF($N1783="","",IF(OR(I1783="",J1783=""),"",J1783-I1783))</f>
        <v/>
      </c>
      <c r="L1783" s="29" t="str">
        <f>IF($N1783="","",INDEX('_calc'!$J$2:$J$3001,$N1783))</f>
        <v/>
      </c>
      <c r="M1783" s="2" t="str">
        <f>IF($N1783="","",IF(AND(G1783=0,H1783=0),"수량 없음",IF(G1783=0,"신규 (전년 수량 없음)",IF(H1783=0,"당해 수량 없음",""))))</f>
        <v/>
      </c>
      <c r="N1783" t="str">
        <f>IF($B1783="","",MATCH($B1783,'_calc'!$L$2:$L$3001,0))</f>
        <v/>
      </c>
    </row>
    <row r="1784">
      <c r="B1784" s="24" t="str">
        <f>IF(ROW()-ROW($B$8)&gt;nComp,"",ROW()-ROW($B$8))</f>
        <v/>
      </c>
      <c r="C1784" t="str">
        <f>IF($N1784="","",INDEX('_calc'!$A$2:$A$3001,$N1784))</f>
        <v/>
      </c>
      <c r="D1784" s="25" t="str">
        <f>IF($N1784="","",INDEX('_calc'!$C$2:$C$3001,$N1784))</f>
        <v/>
      </c>
      <c r="E1784" s="25" t="str">
        <f>IF($N1784="","",INDEX('_calc'!$D$2:$D$3001,$N1784))</f>
        <v/>
      </c>
      <c r="F1784" s="26" t="str">
        <f>IF($N1784="","",IF($E$8=0,"",E1784/$E$8))</f>
        <v/>
      </c>
      <c r="G1784" s="25" t="str">
        <f>IF($N1784="","",INDEX('_calc'!$E$2:$E$3001,$N1784))</f>
        <v/>
      </c>
      <c r="H1784" s="25" t="str">
        <f>IF($N1784="","",INDEX('_calc'!$F$2:$F$3001,$N1784))</f>
        <v/>
      </c>
      <c r="I1784" s="27" t="str">
        <f>IF($N1784="","",INDEX('_calc'!$H$2:$H$3001,$N1784))</f>
        <v/>
      </c>
      <c r="J1784" s="27" t="str">
        <f>IF($N1784="","",INDEX('_calc'!$I$2:$I$3001,$N1784))</f>
        <v/>
      </c>
      <c r="K1784" s="28" t="str">
        <f>IF($N1784="","",IF(OR(I1784="",J1784=""),"",J1784-I1784))</f>
        <v/>
      </c>
      <c r="L1784" s="29" t="str">
        <f>IF($N1784="","",INDEX('_calc'!$J$2:$J$3001,$N1784))</f>
        <v/>
      </c>
      <c r="M1784" s="2" t="str">
        <f>IF($N1784="","",IF(AND(G1784=0,H1784=0),"수량 없음",IF(G1784=0,"신규 (전년 수량 없음)",IF(H1784=0,"당해 수량 없음",""))))</f>
        <v/>
      </c>
      <c r="N1784" t="str">
        <f>IF($B1784="","",MATCH($B1784,'_calc'!$L$2:$L$3001,0))</f>
        <v/>
      </c>
    </row>
    <row r="1785">
      <c r="B1785" s="24" t="str">
        <f>IF(ROW()-ROW($B$8)&gt;nComp,"",ROW()-ROW($B$8))</f>
        <v/>
      </c>
      <c r="C1785" t="str">
        <f>IF($N1785="","",INDEX('_calc'!$A$2:$A$3001,$N1785))</f>
        <v/>
      </c>
      <c r="D1785" s="25" t="str">
        <f>IF($N1785="","",INDEX('_calc'!$C$2:$C$3001,$N1785))</f>
        <v/>
      </c>
      <c r="E1785" s="25" t="str">
        <f>IF($N1785="","",INDEX('_calc'!$D$2:$D$3001,$N1785))</f>
        <v/>
      </c>
      <c r="F1785" s="26" t="str">
        <f>IF($N1785="","",IF($E$8=0,"",E1785/$E$8))</f>
        <v/>
      </c>
      <c r="G1785" s="25" t="str">
        <f>IF($N1785="","",INDEX('_calc'!$E$2:$E$3001,$N1785))</f>
        <v/>
      </c>
      <c r="H1785" s="25" t="str">
        <f>IF($N1785="","",INDEX('_calc'!$F$2:$F$3001,$N1785))</f>
        <v/>
      </c>
      <c r="I1785" s="27" t="str">
        <f>IF($N1785="","",INDEX('_calc'!$H$2:$H$3001,$N1785))</f>
        <v/>
      </c>
      <c r="J1785" s="27" t="str">
        <f>IF($N1785="","",INDEX('_calc'!$I$2:$I$3001,$N1785))</f>
        <v/>
      </c>
      <c r="K1785" s="28" t="str">
        <f>IF($N1785="","",IF(OR(I1785="",J1785=""),"",J1785-I1785))</f>
        <v/>
      </c>
      <c r="L1785" s="29" t="str">
        <f>IF($N1785="","",INDEX('_calc'!$J$2:$J$3001,$N1785))</f>
        <v/>
      </c>
      <c r="M1785" s="2" t="str">
        <f>IF($N1785="","",IF(AND(G1785=0,H1785=0),"수량 없음",IF(G1785=0,"신규 (전년 수량 없음)",IF(H1785=0,"당해 수량 없음",""))))</f>
        <v/>
      </c>
      <c r="N1785" t="str">
        <f>IF($B1785="","",MATCH($B1785,'_calc'!$L$2:$L$3001,0))</f>
        <v/>
      </c>
    </row>
    <row r="1786">
      <c r="B1786" s="24" t="str">
        <f>IF(ROW()-ROW($B$8)&gt;nComp,"",ROW()-ROW($B$8))</f>
        <v/>
      </c>
      <c r="C1786" t="str">
        <f>IF($N1786="","",INDEX('_calc'!$A$2:$A$3001,$N1786))</f>
        <v/>
      </c>
      <c r="D1786" s="25" t="str">
        <f>IF($N1786="","",INDEX('_calc'!$C$2:$C$3001,$N1786))</f>
        <v/>
      </c>
      <c r="E1786" s="25" t="str">
        <f>IF($N1786="","",INDEX('_calc'!$D$2:$D$3001,$N1786))</f>
        <v/>
      </c>
      <c r="F1786" s="26" t="str">
        <f>IF($N1786="","",IF($E$8=0,"",E1786/$E$8))</f>
        <v/>
      </c>
      <c r="G1786" s="25" t="str">
        <f>IF($N1786="","",INDEX('_calc'!$E$2:$E$3001,$N1786))</f>
        <v/>
      </c>
      <c r="H1786" s="25" t="str">
        <f>IF($N1786="","",INDEX('_calc'!$F$2:$F$3001,$N1786))</f>
        <v/>
      </c>
      <c r="I1786" s="27" t="str">
        <f>IF($N1786="","",INDEX('_calc'!$H$2:$H$3001,$N1786))</f>
        <v/>
      </c>
      <c r="J1786" s="27" t="str">
        <f>IF($N1786="","",INDEX('_calc'!$I$2:$I$3001,$N1786))</f>
        <v/>
      </c>
      <c r="K1786" s="28" t="str">
        <f>IF($N1786="","",IF(OR(I1786="",J1786=""),"",J1786-I1786))</f>
        <v/>
      </c>
      <c r="L1786" s="29" t="str">
        <f>IF($N1786="","",INDEX('_calc'!$J$2:$J$3001,$N1786))</f>
        <v/>
      </c>
      <c r="M1786" s="2" t="str">
        <f>IF($N1786="","",IF(AND(G1786=0,H1786=0),"수량 없음",IF(G1786=0,"신규 (전년 수량 없음)",IF(H1786=0,"당해 수량 없음",""))))</f>
        <v/>
      </c>
      <c r="N1786" t="str">
        <f>IF($B1786="","",MATCH($B1786,'_calc'!$L$2:$L$3001,0))</f>
        <v/>
      </c>
    </row>
    <row r="1787">
      <c r="B1787" s="24" t="str">
        <f>IF(ROW()-ROW($B$8)&gt;nComp,"",ROW()-ROW($B$8))</f>
        <v/>
      </c>
      <c r="C1787" t="str">
        <f>IF($N1787="","",INDEX('_calc'!$A$2:$A$3001,$N1787))</f>
        <v/>
      </c>
      <c r="D1787" s="25" t="str">
        <f>IF($N1787="","",INDEX('_calc'!$C$2:$C$3001,$N1787))</f>
        <v/>
      </c>
      <c r="E1787" s="25" t="str">
        <f>IF($N1787="","",INDEX('_calc'!$D$2:$D$3001,$N1787))</f>
        <v/>
      </c>
      <c r="F1787" s="26" t="str">
        <f>IF($N1787="","",IF($E$8=0,"",E1787/$E$8))</f>
        <v/>
      </c>
      <c r="G1787" s="25" t="str">
        <f>IF($N1787="","",INDEX('_calc'!$E$2:$E$3001,$N1787))</f>
        <v/>
      </c>
      <c r="H1787" s="25" t="str">
        <f>IF($N1787="","",INDEX('_calc'!$F$2:$F$3001,$N1787))</f>
        <v/>
      </c>
      <c r="I1787" s="27" t="str">
        <f>IF($N1787="","",INDEX('_calc'!$H$2:$H$3001,$N1787))</f>
        <v/>
      </c>
      <c r="J1787" s="27" t="str">
        <f>IF($N1787="","",INDEX('_calc'!$I$2:$I$3001,$N1787))</f>
        <v/>
      </c>
      <c r="K1787" s="28" t="str">
        <f>IF($N1787="","",IF(OR(I1787="",J1787=""),"",J1787-I1787))</f>
        <v/>
      </c>
      <c r="L1787" s="29" t="str">
        <f>IF($N1787="","",INDEX('_calc'!$J$2:$J$3001,$N1787))</f>
        <v/>
      </c>
      <c r="M1787" s="2" t="str">
        <f>IF($N1787="","",IF(AND(G1787=0,H1787=0),"수량 없음",IF(G1787=0,"신규 (전년 수량 없음)",IF(H1787=0,"당해 수량 없음",""))))</f>
        <v/>
      </c>
      <c r="N1787" t="str">
        <f>IF($B1787="","",MATCH($B1787,'_calc'!$L$2:$L$3001,0))</f>
        <v/>
      </c>
    </row>
    <row r="1788">
      <c r="B1788" s="24" t="str">
        <f>IF(ROW()-ROW($B$8)&gt;nComp,"",ROW()-ROW($B$8))</f>
        <v/>
      </c>
      <c r="C1788" t="str">
        <f>IF($N1788="","",INDEX('_calc'!$A$2:$A$3001,$N1788))</f>
        <v/>
      </c>
      <c r="D1788" s="25" t="str">
        <f>IF($N1788="","",INDEX('_calc'!$C$2:$C$3001,$N1788))</f>
        <v/>
      </c>
      <c r="E1788" s="25" t="str">
        <f>IF($N1788="","",INDEX('_calc'!$D$2:$D$3001,$N1788))</f>
        <v/>
      </c>
      <c r="F1788" s="26" t="str">
        <f>IF($N1788="","",IF($E$8=0,"",E1788/$E$8))</f>
        <v/>
      </c>
      <c r="G1788" s="25" t="str">
        <f>IF($N1788="","",INDEX('_calc'!$E$2:$E$3001,$N1788))</f>
        <v/>
      </c>
      <c r="H1788" s="25" t="str">
        <f>IF($N1788="","",INDEX('_calc'!$F$2:$F$3001,$N1788))</f>
        <v/>
      </c>
      <c r="I1788" s="27" t="str">
        <f>IF($N1788="","",INDEX('_calc'!$H$2:$H$3001,$N1788))</f>
        <v/>
      </c>
      <c r="J1788" s="27" t="str">
        <f>IF($N1788="","",INDEX('_calc'!$I$2:$I$3001,$N1788))</f>
        <v/>
      </c>
      <c r="K1788" s="28" t="str">
        <f>IF($N1788="","",IF(OR(I1788="",J1788=""),"",J1788-I1788))</f>
        <v/>
      </c>
      <c r="L1788" s="29" t="str">
        <f>IF($N1788="","",INDEX('_calc'!$J$2:$J$3001,$N1788))</f>
        <v/>
      </c>
      <c r="M1788" s="2" t="str">
        <f>IF($N1788="","",IF(AND(G1788=0,H1788=0),"수량 없음",IF(G1788=0,"신규 (전년 수량 없음)",IF(H1788=0,"당해 수량 없음",""))))</f>
        <v/>
      </c>
      <c r="N1788" t="str">
        <f>IF($B1788="","",MATCH($B1788,'_calc'!$L$2:$L$3001,0))</f>
        <v/>
      </c>
    </row>
    <row r="1789">
      <c r="B1789" s="24" t="str">
        <f>IF(ROW()-ROW($B$8)&gt;nComp,"",ROW()-ROW($B$8))</f>
        <v/>
      </c>
      <c r="C1789" t="str">
        <f>IF($N1789="","",INDEX('_calc'!$A$2:$A$3001,$N1789))</f>
        <v/>
      </c>
      <c r="D1789" s="25" t="str">
        <f>IF($N1789="","",INDEX('_calc'!$C$2:$C$3001,$N1789))</f>
        <v/>
      </c>
      <c r="E1789" s="25" t="str">
        <f>IF($N1789="","",INDEX('_calc'!$D$2:$D$3001,$N1789))</f>
        <v/>
      </c>
      <c r="F1789" s="26" t="str">
        <f>IF($N1789="","",IF($E$8=0,"",E1789/$E$8))</f>
        <v/>
      </c>
      <c r="G1789" s="25" t="str">
        <f>IF($N1789="","",INDEX('_calc'!$E$2:$E$3001,$N1789))</f>
        <v/>
      </c>
      <c r="H1789" s="25" t="str">
        <f>IF($N1789="","",INDEX('_calc'!$F$2:$F$3001,$N1789))</f>
        <v/>
      </c>
      <c r="I1789" s="27" t="str">
        <f>IF($N1789="","",INDEX('_calc'!$H$2:$H$3001,$N1789))</f>
        <v/>
      </c>
      <c r="J1789" s="27" t="str">
        <f>IF($N1789="","",INDEX('_calc'!$I$2:$I$3001,$N1789))</f>
        <v/>
      </c>
      <c r="K1789" s="28" t="str">
        <f>IF($N1789="","",IF(OR(I1789="",J1789=""),"",J1789-I1789))</f>
        <v/>
      </c>
      <c r="L1789" s="29" t="str">
        <f>IF($N1789="","",INDEX('_calc'!$J$2:$J$3001,$N1789))</f>
        <v/>
      </c>
      <c r="M1789" s="2" t="str">
        <f>IF($N1789="","",IF(AND(G1789=0,H1789=0),"수량 없음",IF(G1789=0,"신규 (전년 수량 없음)",IF(H1789=0,"당해 수량 없음",""))))</f>
        <v/>
      </c>
      <c r="N1789" t="str">
        <f>IF($B1789="","",MATCH($B1789,'_calc'!$L$2:$L$3001,0))</f>
        <v/>
      </c>
    </row>
    <row r="1790">
      <c r="B1790" s="24" t="str">
        <f>IF(ROW()-ROW($B$8)&gt;nComp,"",ROW()-ROW($B$8))</f>
        <v/>
      </c>
      <c r="C1790" t="str">
        <f>IF($N1790="","",INDEX('_calc'!$A$2:$A$3001,$N1790))</f>
        <v/>
      </c>
      <c r="D1790" s="25" t="str">
        <f>IF($N1790="","",INDEX('_calc'!$C$2:$C$3001,$N1790))</f>
        <v/>
      </c>
      <c r="E1790" s="25" t="str">
        <f>IF($N1790="","",INDEX('_calc'!$D$2:$D$3001,$N1790))</f>
        <v/>
      </c>
      <c r="F1790" s="26" t="str">
        <f>IF($N1790="","",IF($E$8=0,"",E1790/$E$8))</f>
        <v/>
      </c>
      <c r="G1790" s="25" t="str">
        <f>IF($N1790="","",INDEX('_calc'!$E$2:$E$3001,$N1790))</f>
        <v/>
      </c>
      <c r="H1790" s="25" t="str">
        <f>IF($N1790="","",INDEX('_calc'!$F$2:$F$3001,$N1790))</f>
        <v/>
      </c>
      <c r="I1790" s="27" t="str">
        <f>IF($N1790="","",INDEX('_calc'!$H$2:$H$3001,$N1790))</f>
        <v/>
      </c>
      <c r="J1790" s="27" t="str">
        <f>IF($N1790="","",INDEX('_calc'!$I$2:$I$3001,$N1790))</f>
        <v/>
      </c>
      <c r="K1790" s="28" t="str">
        <f>IF($N1790="","",IF(OR(I1790="",J1790=""),"",J1790-I1790))</f>
        <v/>
      </c>
      <c r="L1790" s="29" t="str">
        <f>IF($N1790="","",INDEX('_calc'!$J$2:$J$3001,$N1790))</f>
        <v/>
      </c>
      <c r="M1790" s="2" t="str">
        <f>IF($N1790="","",IF(AND(G1790=0,H1790=0),"수량 없음",IF(G1790=0,"신규 (전년 수량 없음)",IF(H1790=0,"당해 수량 없음",""))))</f>
        <v/>
      </c>
      <c r="N1790" t="str">
        <f>IF($B1790="","",MATCH($B1790,'_calc'!$L$2:$L$3001,0))</f>
        <v/>
      </c>
    </row>
    <row r="1791">
      <c r="B1791" s="24" t="str">
        <f>IF(ROW()-ROW($B$8)&gt;nComp,"",ROW()-ROW($B$8))</f>
        <v/>
      </c>
      <c r="C1791" t="str">
        <f>IF($N1791="","",INDEX('_calc'!$A$2:$A$3001,$N1791))</f>
        <v/>
      </c>
      <c r="D1791" s="25" t="str">
        <f>IF($N1791="","",INDEX('_calc'!$C$2:$C$3001,$N1791))</f>
        <v/>
      </c>
      <c r="E1791" s="25" t="str">
        <f>IF($N1791="","",INDEX('_calc'!$D$2:$D$3001,$N1791))</f>
        <v/>
      </c>
      <c r="F1791" s="26" t="str">
        <f>IF($N1791="","",IF($E$8=0,"",E1791/$E$8))</f>
        <v/>
      </c>
      <c r="G1791" s="25" t="str">
        <f>IF($N1791="","",INDEX('_calc'!$E$2:$E$3001,$N1791))</f>
        <v/>
      </c>
      <c r="H1791" s="25" t="str">
        <f>IF($N1791="","",INDEX('_calc'!$F$2:$F$3001,$N1791))</f>
        <v/>
      </c>
      <c r="I1791" s="27" t="str">
        <f>IF($N1791="","",INDEX('_calc'!$H$2:$H$3001,$N1791))</f>
        <v/>
      </c>
      <c r="J1791" s="27" t="str">
        <f>IF($N1791="","",INDEX('_calc'!$I$2:$I$3001,$N1791))</f>
        <v/>
      </c>
      <c r="K1791" s="28" t="str">
        <f>IF($N1791="","",IF(OR(I1791="",J1791=""),"",J1791-I1791))</f>
        <v/>
      </c>
      <c r="L1791" s="29" t="str">
        <f>IF($N1791="","",INDEX('_calc'!$J$2:$J$3001,$N1791))</f>
        <v/>
      </c>
      <c r="M1791" s="2" t="str">
        <f>IF($N1791="","",IF(AND(G1791=0,H1791=0),"수량 없음",IF(G1791=0,"신규 (전년 수량 없음)",IF(H1791=0,"당해 수량 없음",""))))</f>
        <v/>
      </c>
      <c r="N1791" t="str">
        <f>IF($B1791="","",MATCH($B1791,'_calc'!$L$2:$L$3001,0))</f>
        <v/>
      </c>
    </row>
    <row r="1792">
      <c r="B1792" s="24" t="str">
        <f>IF(ROW()-ROW($B$8)&gt;nComp,"",ROW()-ROW($B$8))</f>
        <v/>
      </c>
      <c r="C1792" t="str">
        <f>IF($N1792="","",INDEX('_calc'!$A$2:$A$3001,$N1792))</f>
        <v/>
      </c>
      <c r="D1792" s="25" t="str">
        <f>IF($N1792="","",INDEX('_calc'!$C$2:$C$3001,$N1792))</f>
        <v/>
      </c>
      <c r="E1792" s="25" t="str">
        <f>IF($N1792="","",INDEX('_calc'!$D$2:$D$3001,$N1792))</f>
        <v/>
      </c>
      <c r="F1792" s="26" t="str">
        <f>IF($N1792="","",IF($E$8=0,"",E1792/$E$8))</f>
        <v/>
      </c>
      <c r="G1792" s="25" t="str">
        <f>IF($N1792="","",INDEX('_calc'!$E$2:$E$3001,$N1792))</f>
        <v/>
      </c>
      <c r="H1792" s="25" t="str">
        <f>IF($N1792="","",INDEX('_calc'!$F$2:$F$3001,$N1792))</f>
        <v/>
      </c>
      <c r="I1792" s="27" t="str">
        <f>IF($N1792="","",INDEX('_calc'!$H$2:$H$3001,$N1792))</f>
        <v/>
      </c>
      <c r="J1792" s="27" t="str">
        <f>IF($N1792="","",INDEX('_calc'!$I$2:$I$3001,$N1792))</f>
        <v/>
      </c>
      <c r="K1792" s="28" t="str">
        <f>IF($N1792="","",IF(OR(I1792="",J1792=""),"",J1792-I1792))</f>
        <v/>
      </c>
      <c r="L1792" s="29" t="str">
        <f>IF($N1792="","",INDEX('_calc'!$J$2:$J$3001,$N1792))</f>
        <v/>
      </c>
      <c r="M1792" s="2" t="str">
        <f>IF($N1792="","",IF(AND(G1792=0,H1792=0),"수량 없음",IF(G1792=0,"신규 (전년 수량 없음)",IF(H1792=0,"당해 수량 없음",""))))</f>
        <v/>
      </c>
      <c r="N1792" t="str">
        <f>IF($B1792="","",MATCH($B1792,'_calc'!$L$2:$L$3001,0))</f>
        <v/>
      </c>
    </row>
    <row r="1793">
      <c r="B1793" s="24" t="str">
        <f>IF(ROW()-ROW($B$8)&gt;nComp,"",ROW()-ROW($B$8))</f>
        <v/>
      </c>
      <c r="C1793" t="str">
        <f>IF($N1793="","",INDEX('_calc'!$A$2:$A$3001,$N1793))</f>
        <v/>
      </c>
      <c r="D1793" s="25" t="str">
        <f>IF($N1793="","",INDEX('_calc'!$C$2:$C$3001,$N1793))</f>
        <v/>
      </c>
      <c r="E1793" s="25" t="str">
        <f>IF($N1793="","",INDEX('_calc'!$D$2:$D$3001,$N1793))</f>
        <v/>
      </c>
      <c r="F1793" s="26" t="str">
        <f>IF($N1793="","",IF($E$8=0,"",E1793/$E$8))</f>
        <v/>
      </c>
      <c r="G1793" s="25" t="str">
        <f>IF($N1793="","",INDEX('_calc'!$E$2:$E$3001,$N1793))</f>
        <v/>
      </c>
      <c r="H1793" s="25" t="str">
        <f>IF($N1793="","",INDEX('_calc'!$F$2:$F$3001,$N1793))</f>
        <v/>
      </c>
      <c r="I1793" s="27" t="str">
        <f>IF($N1793="","",INDEX('_calc'!$H$2:$H$3001,$N1793))</f>
        <v/>
      </c>
      <c r="J1793" s="27" t="str">
        <f>IF($N1793="","",INDEX('_calc'!$I$2:$I$3001,$N1793))</f>
        <v/>
      </c>
      <c r="K1793" s="28" t="str">
        <f>IF($N1793="","",IF(OR(I1793="",J1793=""),"",J1793-I1793))</f>
        <v/>
      </c>
      <c r="L1793" s="29" t="str">
        <f>IF($N1793="","",INDEX('_calc'!$J$2:$J$3001,$N1793))</f>
        <v/>
      </c>
      <c r="M1793" s="2" t="str">
        <f>IF($N1793="","",IF(AND(G1793=0,H1793=0),"수량 없음",IF(G1793=0,"신규 (전년 수량 없음)",IF(H1793=0,"당해 수량 없음",""))))</f>
        <v/>
      </c>
      <c r="N1793" t="str">
        <f>IF($B1793="","",MATCH($B1793,'_calc'!$L$2:$L$3001,0))</f>
        <v/>
      </c>
    </row>
    <row r="1794">
      <c r="B1794" s="24" t="str">
        <f>IF(ROW()-ROW($B$8)&gt;nComp,"",ROW()-ROW($B$8))</f>
        <v/>
      </c>
      <c r="C1794" t="str">
        <f>IF($N1794="","",INDEX('_calc'!$A$2:$A$3001,$N1794))</f>
        <v/>
      </c>
      <c r="D1794" s="25" t="str">
        <f>IF($N1794="","",INDEX('_calc'!$C$2:$C$3001,$N1794))</f>
        <v/>
      </c>
      <c r="E1794" s="25" t="str">
        <f>IF($N1794="","",INDEX('_calc'!$D$2:$D$3001,$N1794))</f>
        <v/>
      </c>
      <c r="F1794" s="26" t="str">
        <f>IF($N1794="","",IF($E$8=0,"",E1794/$E$8))</f>
        <v/>
      </c>
      <c r="G1794" s="25" t="str">
        <f>IF($N1794="","",INDEX('_calc'!$E$2:$E$3001,$N1794))</f>
        <v/>
      </c>
      <c r="H1794" s="25" t="str">
        <f>IF($N1794="","",INDEX('_calc'!$F$2:$F$3001,$N1794))</f>
        <v/>
      </c>
      <c r="I1794" s="27" t="str">
        <f>IF($N1794="","",INDEX('_calc'!$H$2:$H$3001,$N1794))</f>
        <v/>
      </c>
      <c r="J1794" s="27" t="str">
        <f>IF($N1794="","",INDEX('_calc'!$I$2:$I$3001,$N1794))</f>
        <v/>
      </c>
      <c r="K1794" s="28" t="str">
        <f>IF($N1794="","",IF(OR(I1794="",J1794=""),"",J1794-I1794))</f>
        <v/>
      </c>
      <c r="L1794" s="29" t="str">
        <f>IF($N1794="","",INDEX('_calc'!$J$2:$J$3001,$N1794))</f>
        <v/>
      </c>
      <c r="M1794" s="2" t="str">
        <f>IF($N1794="","",IF(AND(G1794=0,H1794=0),"수량 없음",IF(G1794=0,"신규 (전년 수량 없음)",IF(H1794=0,"당해 수량 없음",""))))</f>
        <v/>
      </c>
      <c r="N1794" t="str">
        <f>IF($B1794="","",MATCH($B1794,'_calc'!$L$2:$L$3001,0))</f>
        <v/>
      </c>
    </row>
    <row r="1795">
      <c r="B1795" s="24" t="str">
        <f>IF(ROW()-ROW($B$8)&gt;nComp,"",ROW()-ROW($B$8))</f>
        <v/>
      </c>
      <c r="C1795" t="str">
        <f>IF($N1795="","",INDEX('_calc'!$A$2:$A$3001,$N1795))</f>
        <v/>
      </c>
      <c r="D1795" s="25" t="str">
        <f>IF($N1795="","",INDEX('_calc'!$C$2:$C$3001,$N1795))</f>
        <v/>
      </c>
      <c r="E1795" s="25" t="str">
        <f>IF($N1795="","",INDEX('_calc'!$D$2:$D$3001,$N1795))</f>
        <v/>
      </c>
      <c r="F1795" s="26" t="str">
        <f>IF($N1795="","",IF($E$8=0,"",E1795/$E$8))</f>
        <v/>
      </c>
      <c r="G1795" s="25" t="str">
        <f>IF($N1795="","",INDEX('_calc'!$E$2:$E$3001,$N1795))</f>
        <v/>
      </c>
      <c r="H1795" s="25" t="str">
        <f>IF($N1795="","",INDEX('_calc'!$F$2:$F$3001,$N1795))</f>
        <v/>
      </c>
      <c r="I1795" s="27" t="str">
        <f>IF($N1795="","",INDEX('_calc'!$H$2:$H$3001,$N1795))</f>
        <v/>
      </c>
      <c r="J1795" s="27" t="str">
        <f>IF($N1795="","",INDEX('_calc'!$I$2:$I$3001,$N1795))</f>
        <v/>
      </c>
      <c r="K1795" s="28" t="str">
        <f>IF($N1795="","",IF(OR(I1795="",J1795=""),"",J1795-I1795))</f>
        <v/>
      </c>
      <c r="L1795" s="29" t="str">
        <f>IF($N1795="","",INDEX('_calc'!$J$2:$J$3001,$N1795))</f>
        <v/>
      </c>
      <c r="M1795" s="2" t="str">
        <f>IF($N1795="","",IF(AND(G1795=0,H1795=0),"수량 없음",IF(G1795=0,"신규 (전년 수량 없음)",IF(H1795=0,"당해 수량 없음",""))))</f>
        <v/>
      </c>
      <c r="N1795" t="str">
        <f>IF($B1795="","",MATCH($B1795,'_calc'!$L$2:$L$3001,0))</f>
        <v/>
      </c>
    </row>
    <row r="1796">
      <c r="B1796" s="24" t="str">
        <f>IF(ROW()-ROW($B$8)&gt;nComp,"",ROW()-ROW($B$8))</f>
        <v/>
      </c>
      <c r="C1796" t="str">
        <f>IF($N1796="","",INDEX('_calc'!$A$2:$A$3001,$N1796))</f>
        <v/>
      </c>
      <c r="D1796" s="25" t="str">
        <f>IF($N1796="","",INDEX('_calc'!$C$2:$C$3001,$N1796))</f>
        <v/>
      </c>
      <c r="E1796" s="25" t="str">
        <f>IF($N1796="","",INDEX('_calc'!$D$2:$D$3001,$N1796))</f>
        <v/>
      </c>
      <c r="F1796" s="26" t="str">
        <f>IF($N1796="","",IF($E$8=0,"",E1796/$E$8))</f>
        <v/>
      </c>
      <c r="G1796" s="25" t="str">
        <f>IF($N1796="","",INDEX('_calc'!$E$2:$E$3001,$N1796))</f>
        <v/>
      </c>
      <c r="H1796" s="25" t="str">
        <f>IF($N1796="","",INDEX('_calc'!$F$2:$F$3001,$N1796))</f>
        <v/>
      </c>
      <c r="I1796" s="27" t="str">
        <f>IF($N1796="","",INDEX('_calc'!$H$2:$H$3001,$N1796))</f>
        <v/>
      </c>
      <c r="J1796" s="27" t="str">
        <f>IF($N1796="","",INDEX('_calc'!$I$2:$I$3001,$N1796))</f>
        <v/>
      </c>
      <c r="K1796" s="28" t="str">
        <f>IF($N1796="","",IF(OR(I1796="",J1796=""),"",J1796-I1796))</f>
        <v/>
      </c>
      <c r="L1796" s="29" t="str">
        <f>IF($N1796="","",INDEX('_calc'!$J$2:$J$3001,$N1796))</f>
        <v/>
      </c>
      <c r="M1796" s="2" t="str">
        <f>IF($N1796="","",IF(AND(G1796=0,H1796=0),"수량 없음",IF(G1796=0,"신규 (전년 수량 없음)",IF(H1796=0,"당해 수량 없음",""))))</f>
        <v/>
      </c>
      <c r="N1796" t="str">
        <f>IF($B1796="","",MATCH($B1796,'_calc'!$L$2:$L$3001,0))</f>
        <v/>
      </c>
    </row>
    <row r="1797">
      <c r="B1797" s="24" t="str">
        <f>IF(ROW()-ROW($B$8)&gt;nComp,"",ROW()-ROW($B$8))</f>
        <v/>
      </c>
      <c r="C1797" t="str">
        <f>IF($N1797="","",INDEX('_calc'!$A$2:$A$3001,$N1797))</f>
        <v/>
      </c>
      <c r="D1797" s="25" t="str">
        <f>IF($N1797="","",INDEX('_calc'!$C$2:$C$3001,$N1797))</f>
        <v/>
      </c>
      <c r="E1797" s="25" t="str">
        <f>IF($N1797="","",INDEX('_calc'!$D$2:$D$3001,$N1797))</f>
        <v/>
      </c>
      <c r="F1797" s="26" t="str">
        <f>IF($N1797="","",IF($E$8=0,"",E1797/$E$8))</f>
        <v/>
      </c>
      <c r="G1797" s="25" t="str">
        <f>IF($N1797="","",INDEX('_calc'!$E$2:$E$3001,$N1797))</f>
        <v/>
      </c>
      <c r="H1797" s="25" t="str">
        <f>IF($N1797="","",INDEX('_calc'!$F$2:$F$3001,$N1797))</f>
        <v/>
      </c>
      <c r="I1797" s="27" t="str">
        <f>IF($N1797="","",INDEX('_calc'!$H$2:$H$3001,$N1797))</f>
        <v/>
      </c>
      <c r="J1797" s="27" t="str">
        <f>IF($N1797="","",INDEX('_calc'!$I$2:$I$3001,$N1797))</f>
        <v/>
      </c>
      <c r="K1797" s="28" t="str">
        <f>IF($N1797="","",IF(OR(I1797="",J1797=""),"",J1797-I1797))</f>
        <v/>
      </c>
      <c r="L1797" s="29" t="str">
        <f>IF($N1797="","",INDEX('_calc'!$J$2:$J$3001,$N1797))</f>
        <v/>
      </c>
      <c r="M1797" s="2" t="str">
        <f>IF($N1797="","",IF(AND(G1797=0,H1797=0),"수량 없음",IF(G1797=0,"신규 (전년 수량 없음)",IF(H1797=0,"당해 수량 없음",""))))</f>
        <v/>
      </c>
      <c r="N1797" t="str">
        <f>IF($B1797="","",MATCH($B1797,'_calc'!$L$2:$L$3001,0))</f>
        <v/>
      </c>
    </row>
    <row r="1798">
      <c r="B1798" s="24" t="str">
        <f>IF(ROW()-ROW($B$8)&gt;nComp,"",ROW()-ROW($B$8))</f>
        <v/>
      </c>
      <c r="C1798" t="str">
        <f>IF($N1798="","",INDEX('_calc'!$A$2:$A$3001,$N1798))</f>
        <v/>
      </c>
      <c r="D1798" s="25" t="str">
        <f>IF($N1798="","",INDEX('_calc'!$C$2:$C$3001,$N1798))</f>
        <v/>
      </c>
      <c r="E1798" s="25" t="str">
        <f>IF($N1798="","",INDEX('_calc'!$D$2:$D$3001,$N1798))</f>
        <v/>
      </c>
      <c r="F1798" s="26" t="str">
        <f>IF($N1798="","",IF($E$8=0,"",E1798/$E$8))</f>
        <v/>
      </c>
      <c r="G1798" s="25" t="str">
        <f>IF($N1798="","",INDEX('_calc'!$E$2:$E$3001,$N1798))</f>
        <v/>
      </c>
      <c r="H1798" s="25" t="str">
        <f>IF($N1798="","",INDEX('_calc'!$F$2:$F$3001,$N1798))</f>
        <v/>
      </c>
      <c r="I1798" s="27" t="str">
        <f>IF($N1798="","",INDEX('_calc'!$H$2:$H$3001,$N1798))</f>
        <v/>
      </c>
      <c r="J1798" s="27" t="str">
        <f>IF($N1798="","",INDEX('_calc'!$I$2:$I$3001,$N1798))</f>
        <v/>
      </c>
      <c r="K1798" s="28" t="str">
        <f>IF($N1798="","",IF(OR(I1798="",J1798=""),"",J1798-I1798))</f>
        <v/>
      </c>
      <c r="L1798" s="29" t="str">
        <f>IF($N1798="","",INDEX('_calc'!$J$2:$J$3001,$N1798))</f>
        <v/>
      </c>
      <c r="M1798" s="2" t="str">
        <f>IF($N1798="","",IF(AND(G1798=0,H1798=0),"수량 없음",IF(G1798=0,"신규 (전년 수량 없음)",IF(H1798=0,"당해 수량 없음",""))))</f>
        <v/>
      </c>
      <c r="N1798" t="str">
        <f>IF($B1798="","",MATCH($B1798,'_calc'!$L$2:$L$3001,0))</f>
        <v/>
      </c>
    </row>
    <row r="1799">
      <c r="B1799" s="24" t="str">
        <f>IF(ROW()-ROW($B$8)&gt;nComp,"",ROW()-ROW($B$8))</f>
        <v/>
      </c>
      <c r="C1799" t="str">
        <f>IF($N1799="","",INDEX('_calc'!$A$2:$A$3001,$N1799))</f>
        <v/>
      </c>
      <c r="D1799" s="25" t="str">
        <f>IF($N1799="","",INDEX('_calc'!$C$2:$C$3001,$N1799))</f>
        <v/>
      </c>
      <c r="E1799" s="25" t="str">
        <f>IF($N1799="","",INDEX('_calc'!$D$2:$D$3001,$N1799))</f>
        <v/>
      </c>
      <c r="F1799" s="26" t="str">
        <f>IF($N1799="","",IF($E$8=0,"",E1799/$E$8))</f>
        <v/>
      </c>
      <c r="G1799" s="25" t="str">
        <f>IF($N1799="","",INDEX('_calc'!$E$2:$E$3001,$N1799))</f>
        <v/>
      </c>
      <c r="H1799" s="25" t="str">
        <f>IF($N1799="","",INDEX('_calc'!$F$2:$F$3001,$N1799))</f>
        <v/>
      </c>
      <c r="I1799" s="27" t="str">
        <f>IF($N1799="","",INDEX('_calc'!$H$2:$H$3001,$N1799))</f>
        <v/>
      </c>
      <c r="J1799" s="27" t="str">
        <f>IF($N1799="","",INDEX('_calc'!$I$2:$I$3001,$N1799))</f>
        <v/>
      </c>
      <c r="K1799" s="28" t="str">
        <f>IF($N1799="","",IF(OR(I1799="",J1799=""),"",J1799-I1799))</f>
        <v/>
      </c>
      <c r="L1799" s="29" t="str">
        <f>IF($N1799="","",INDEX('_calc'!$J$2:$J$3001,$N1799))</f>
        <v/>
      </c>
      <c r="M1799" s="2" t="str">
        <f>IF($N1799="","",IF(AND(G1799=0,H1799=0),"수량 없음",IF(G1799=0,"신규 (전년 수량 없음)",IF(H1799=0,"당해 수량 없음",""))))</f>
        <v/>
      </c>
      <c r="N1799" t="str">
        <f>IF($B1799="","",MATCH($B1799,'_calc'!$L$2:$L$3001,0))</f>
        <v/>
      </c>
    </row>
    <row r="1800">
      <c r="B1800" s="24" t="str">
        <f>IF(ROW()-ROW($B$8)&gt;nComp,"",ROW()-ROW($B$8))</f>
        <v/>
      </c>
      <c r="C1800" t="str">
        <f>IF($N1800="","",INDEX('_calc'!$A$2:$A$3001,$N1800))</f>
        <v/>
      </c>
      <c r="D1800" s="25" t="str">
        <f>IF($N1800="","",INDEX('_calc'!$C$2:$C$3001,$N1800))</f>
        <v/>
      </c>
      <c r="E1800" s="25" t="str">
        <f>IF($N1800="","",INDEX('_calc'!$D$2:$D$3001,$N1800))</f>
        <v/>
      </c>
      <c r="F1800" s="26" t="str">
        <f>IF($N1800="","",IF($E$8=0,"",E1800/$E$8))</f>
        <v/>
      </c>
      <c r="G1800" s="25" t="str">
        <f>IF($N1800="","",INDEX('_calc'!$E$2:$E$3001,$N1800))</f>
        <v/>
      </c>
      <c r="H1800" s="25" t="str">
        <f>IF($N1800="","",INDEX('_calc'!$F$2:$F$3001,$N1800))</f>
        <v/>
      </c>
      <c r="I1800" s="27" t="str">
        <f>IF($N1800="","",INDEX('_calc'!$H$2:$H$3001,$N1800))</f>
        <v/>
      </c>
      <c r="J1800" s="27" t="str">
        <f>IF($N1800="","",INDEX('_calc'!$I$2:$I$3001,$N1800))</f>
        <v/>
      </c>
      <c r="K1800" s="28" t="str">
        <f>IF($N1800="","",IF(OR(I1800="",J1800=""),"",J1800-I1800))</f>
        <v/>
      </c>
      <c r="L1800" s="29" t="str">
        <f>IF($N1800="","",INDEX('_calc'!$J$2:$J$3001,$N1800))</f>
        <v/>
      </c>
      <c r="M1800" s="2" t="str">
        <f>IF($N1800="","",IF(AND(G1800=0,H1800=0),"수량 없음",IF(G1800=0,"신규 (전년 수량 없음)",IF(H1800=0,"당해 수량 없음",""))))</f>
        <v/>
      </c>
      <c r="N1800" t="str">
        <f>IF($B1800="","",MATCH($B1800,'_calc'!$L$2:$L$3001,0))</f>
        <v/>
      </c>
    </row>
    <row r="1801">
      <c r="B1801" s="24" t="str">
        <f>IF(ROW()-ROW($B$8)&gt;nComp,"",ROW()-ROW($B$8))</f>
        <v/>
      </c>
      <c r="C1801" t="str">
        <f>IF($N1801="","",INDEX('_calc'!$A$2:$A$3001,$N1801))</f>
        <v/>
      </c>
      <c r="D1801" s="25" t="str">
        <f>IF($N1801="","",INDEX('_calc'!$C$2:$C$3001,$N1801))</f>
        <v/>
      </c>
      <c r="E1801" s="25" t="str">
        <f>IF($N1801="","",INDEX('_calc'!$D$2:$D$3001,$N1801))</f>
        <v/>
      </c>
      <c r="F1801" s="26" t="str">
        <f>IF($N1801="","",IF($E$8=0,"",E1801/$E$8))</f>
        <v/>
      </c>
      <c r="G1801" s="25" t="str">
        <f>IF($N1801="","",INDEX('_calc'!$E$2:$E$3001,$N1801))</f>
        <v/>
      </c>
      <c r="H1801" s="25" t="str">
        <f>IF($N1801="","",INDEX('_calc'!$F$2:$F$3001,$N1801))</f>
        <v/>
      </c>
      <c r="I1801" s="27" t="str">
        <f>IF($N1801="","",INDEX('_calc'!$H$2:$H$3001,$N1801))</f>
        <v/>
      </c>
      <c r="J1801" s="27" t="str">
        <f>IF($N1801="","",INDEX('_calc'!$I$2:$I$3001,$N1801))</f>
        <v/>
      </c>
      <c r="K1801" s="28" t="str">
        <f>IF($N1801="","",IF(OR(I1801="",J1801=""),"",J1801-I1801))</f>
        <v/>
      </c>
      <c r="L1801" s="29" t="str">
        <f>IF($N1801="","",INDEX('_calc'!$J$2:$J$3001,$N1801))</f>
        <v/>
      </c>
      <c r="M1801" s="2" t="str">
        <f>IF($N1801="","",IF(AND(G1801=0,H1801=0),"수량 없음",IF(G1801=0,"신규 (전년 수량 없음)",IF(H1801=0,"당해 수량 없음",""))))</f>
        <v/>
      </c>
      <c r="N1801" t="str">
        <f>IF($B1801="","",MATCH($B1801,'_calc'!$L$2:$L$3001,0))</f>
        <v/>
      </c>
    </row>
    <row r="1802">
      <c r="B1802" s="24" t="str">
        <f>IF(ROW()-ROW($B$8)&gt;nComp,"",ROW()-ROW($B$8))</f>
        <v/>
      </c>
      <c r="C1802" t="str">
        <f>IF($N1802="","",INDEX('_calc'!$A$2:$A$3001,$N1802))</f>
        <v/>
      </c>
      <c r="D1802" s="25" t="str">
        <f>IF($N1802="","",INDEX('_calc'!$C$2:$C$3001,$N1802))</f>
        <v/>
      </c>
      <c r="E1802" s="25" t="str">
        <f>IF($N1802="","",INDEX('_calc'!$D$2:$D$3001,$N1802))</f>
        <v/>
      </c>
      <c r="F1802" s="26" t="str">
        <f>IF($N1802="","",IF($E$8=0,"",E1802/$E$8))</f>
        <v/>
      </c>
      <c r="G1802" s="25" t="str">
        <f>IF($N1802="","",INDEX('_calc'!$E$2:$E$3001,$N1802))</f>
        <v/>
      </c>
      <c r="H1802" s="25" t="str">
        <f>IF($N1802="","",INDEX('_calc'!$F$2:$F$3001,$N1802))</f>
        <v/>
      </c>
      <c r="I1802" s="27" t="str">
        <f>IF($N1802="","",INDEX('_calc'!$H$2:$H$3001,$N1802))</f>
        <v/>
      </c>
      <c r="J1802" s="27" t="str">
        <f>IF($N1802="","",INDEX('_calc'!$I$2:$I$3001,$N1802))</f>
        <v/>
      </c>
      <c r="K1802" s="28" t="str">
        <f>IF($N1802="","",IF(OR(I1802="",J1802=""),"",J1802-I1802))</f>
        <v/>
      </c>
      <c r="L1802" s="29" t="str">
        <f>IF($N1802="","",INDEX('_calc'!$J$2:$J$3001,$N1802))</f>
        <v/>
      </c>
      <c r="M1802" s="2" t="str">
        <f>IF($N1802="","",IF(AND(G1802=0,H1802=0),"수량 없음",IF(G1802=0,"신규 (전년 수량 없음)",IF(H1802=0,"당해 수량 없음",""))))</f>
        <v/>
      </c>
      <c r="N1802" t="str">
        <f>IF($B1802="","",MATCH($B1802,'_calc'!$L$2:$L$3001,0))</f>
        <v/>
      </c>
    </row>
    <row r="1803">
      <c r="B1803" s="24" t="str">
        <f>IF(ROW()-ROW($B$8)&gt;nComp,"",ROW()-ROW($B$8))</f>
        <v/>
      </c>
      <c r="C1803" t="str">
        <f>IF($N1803="","",INDEX('_calc'!$A$2:$A$3001,$N1803))</f>
        <v/>
      </c>
      <c r="D1803" s="25" t="str">
        <f>IF($N1803="","",INDEX('_calc'!$C$2:$C$3001,$N1803))</f>
        <v/>
      </c>
      <c r="E1803" s="25" t="str">
        <f>IF($N1803="","",INDEX('_calc'!$D$2:$D$3001,$N1803))</f>
        <v/>
      </c>
      <c r="F1803" s="26" t="str">
        <f>IF($N1803="","",IF($E$8=0,"",E1803/$E$8))</f>
        <v/>
      </c>
      <c r="G1803" s="25" t="str">
        <f>IF($N1803="","",INDEX('_calc'!$E$2:$E$3001,$N1803))</f>
        <v/>
      </c>
      <c r="H1803" s="25" t="str">
        <f>IF($N1803="","",INDEX('_calc'!$F$2:$F$3001,$N1803))</f>
        <v/>
      </c>
      <c r="I1803" s="27" t="str">
        <f>IF($N1803="","",INDEX('_calc'!$H$2:$H$3001,$N1803))</f>
        <v/>
      </c>
      <c r="J1803" s="27" t="str">
        <f>IF($N1803="","",INDEX('_calc'!$I$2:$I$3001,$N1803))</f>
        <v/>
      </c>
      <c r="K1803" s="28" t="str">
        <f>IF($N1803="","",IF(OR(I1803="",J1803=""),"",J1803-I1803))</f>
        <v/>
      </c>
      <c r="L1803" s="29" t="str">
        <f>IF($N1803="","",INDEX('_calc'!$J$2:$J$3001,$N1803))</f>
        <v/>
      </c>
      <c r="M1803" s="2" t="str">
        <f>IF($N1803="","",IF(AND(G1803=0,H1803=0),"수량 없음",IF(G1803=0,"신규 (전년 수량 없음)",IF(H1803=0,"당해 수량 없음",""))))</f>
        <v/>
      </c>
      <c r="N1803" t="str">
        <f>IF($B1803="","",MATCH($B1803,'_calc'!$L$2:$L$3001,0))</f>
        <v/>
      </c>
    </row>
    <row r="1804">
      <c r="B1804" s="24" t="str">
        <f>IF(ROW()-ROW($B$8)&gt;nComp,"",ROW()-ROW($B$8))</f>
        <v/>
      </c>
      <c r="C1804" t="str">
        <f>IF($N1804="","",INDEX('_calc'!$A$2:$A$3001,$N1804))</f>
        <v/>
      </c>
      <c r="D1804" s="25" t="str">
        <f>IF($N1804="","",INDEX('_calc'!$C$2:$C$3001,$N1804))</f>
        <v/>
      </c>
      <c r="E1804" s="25" t="str">
        <f>IF($N1804="","",INDEX('_calc'!$D$2:$D$3001,$N1804))</f>
        <v/>
      </c>
      <c r="F1804" s="26" t="str">
        <f>IF($N1804="","",IF($E$8=0,"",E1804/$E$8))</f>
        <v/>
      </c>
      <c r="G1804" s="25" t="str">
        <f>IF($N1804="","",INDEX('_calc'!$E$2:$E$3001,$N1804))</f>
        <v/>
      </c>
      <c r="H1804" s="25" t="str">
        <f>IF($N1804="","",INDEX('_calc'!$F$2:$F$3001,$N1804))</f>
        <v/>
      </c>
      <c r="I1804" s="27" t="str">
        <f>IF($N1804="","",INDEX('_calc'!$H$2:$H$3001,$N1804))</f>
        <v/>
      </c>
      <c r="J1804" s="27" t="str">
        <f>IF($N1804="","",INDEX('_calc'!$I$2:$I$3001,$N1804))</f>
        <v/>
      </c>
      <c r="K1804" s="28" t="str">
        <f>IF($N1804="","",IF(OR(I1804="",J1804=""),"",J1804-I1804))</f>
        <v/>
      </c>
      <c r="L1804" s="29" t="str">
        <f>IF($N1804="","",INDEX('_calc'!$J$2:$J$3001,$N1804))</f>
        <v/>
      </c>
      <c r="M1804" s="2" t="str">
        <f>IF($N1804="","",IF(AND(G1804=0,H1804=0),"수량 없음",IF(G1804=0,"신규 (전년 수량 없음)",IF(H1804=0,"당해 수량 없음",""))))</f>
        <v/>
      </c>
      <c r="N1804" t="str">
        <f>IF($B1804="","",MATCH($B1804,'_calc'!$L$2:$L$3001,0))</f>
        <v/>
      </c>
    </row>
    <row r="1805">
      <c r="B1805" s="24" t="str">
        <f>IF(ROW()-ROW($B$8)&gt;nComp,"",ROW()-ROW($B$8))</f>
        <v/>
      </c>
      <c r="C1805" t="str">
        <f>IF($N1805="","",INDEX('_calc'!$A$2:$A$3001,$N1805))</f>
        <v/>
      </c>
      <c r="D1805" s="25" t="str">
        <f>IF($N1805="","",INDEX('_calc'!$C$2:$C$3001,$N1805))</f>
        <v/>
      </c>
      <c r="E1805" s="25" t="str">
        <f>IF($N1805="","",INDEX('_calc'!$D$2:$D$3001,$N1805))</f>
        <v/>
      </c>
      <c r="F1805" s="26" t="str">
        <f>IF($N1805="","",IF($E$8=0,"",E1805/$E$8))</f>
        <v/>
      </c>
      <c r="G1805" s="25" t="str">
        <f>IF($N1805="","",INDEX('_calc'!$E$2:$E$3001,$N1805))</f>
        <v/>
      </c>
      <c r="H1805" s="25" t="str">
        <f>IF($N1805="","",INDEX('_calc'!$F$2:$F$3001,$N1805))</f>
        <v/>
      </c>
      <c r="I1805" s="27" t="str">
        <f>IF($N1805="","",INDEX('_calc'!$H$2:$H$3001,$N1805))</f>
        <v/>
      </c>
      <c r="J1805" s="27" t="str">
        <f>IF($N1805="","",INDEX('_calc'!$I$2:$I$3001,$N1805))</f>
        <v/>
      </c>
      <c r="K1805" s="28" t="str">
        <f>IF($N1805="","",IF(OR(I1805="",J1805=""),"",J1805-I1805))</f>
        <v/>
      </c>
      <c r="L1805" s="29" t="str">
        <f>IF($N1805="","",INDEX('_calc'!$J$2:$J$3001,$N1805))</f>
        <v/>
      </c>
      <c r="M1805" s="2" t="str">
        <f>IF($N1805="","",IF(AND(G1805=0,H1805=0),"수량 없음",IF(G1805=0,"신규 (전년 수량 없음)",IF(H1805=0,"당해 수량 없음",""))))</f>
        <v/>
      </c>
      <c r="N1805" t="str">
        <f>IF($B1805="","",MATCH($B1805,'_calc'!$L$2:$L$3001,0))</f>
        <v/>
      </c>
    </row>
    <row r="1806">
      <c r="B1806" s="24" t="str">
        <f>IF(ROW()-ROW($B$8)&gt;nComp,"",ROW()-ROW($B$8))</f>
        <v/>
      </c>
      <c r="C1806" t="str">
        <f>IF($N1806="","",INDEX('_calc'!$A$2:$A$3001,$N1806))</f>
        <v/>
      </c>
      <c r="D1806" s="25" t="str">
        <f>IF($N1806="","",INDEX('_calc'!$C$2:$C$3001,$N1806))</f>
        <v/>
      </c>
      <c r="E1806" s="25" t="str">
        <f>IF($N1806="","",INDEX('_calc'!$D$2:$D$3001,$N1806))</f>
        <v/>
      </c>
      <c r="F1806" s="26" t="str">
        <f>IF($N1806="","",IF($E$8=0,"",E1806/$E$8))</f>
        <v/>
      </c>
      <c r="G1806" s="25" t="str">
        <f>IF($N1806="","",INDEX('_calc'!$E$2:$E$3001,$N1806))</f>
        <v/>
      </c>
      <c r="H1806" s="25" t="str">
        <f>IF($N1806="","",INDEX('_calc'!$F$2:$F$3001,$N1806))</f>
        <v/>
      </c>
      <c r="I1806" s="27" t="str">
        <f>IF($N1806="","",INDEX('_calc'!$H$2:$H$3001,$N1806))</f>
        <v/>
      </c>
      <c r="J1806" s="27" t="str">
        <f>IF($N1806="","",INDEX('_calc'!$I$2:$I$3001,$N1806))</f>
        <v/>
      </c>
      <c r="K1806" s="28" t="str">
        <f>IF($N1806="","",IF(OR(I1806="",J1806=""),"",J1806-I1806))</f>
        <v/>
      </c>
      <c r="L1806" s="29" t="str">
        <f>IF($N1806="","",INDEX('_calc'!$J$2:$J$3001,$N1806))</f>
        <v/>
      </c>
      <c r="M1806" s="2" t="str">
        <f>IF($N1806="","",IF(AND(G1806=0,H1806=0),"수량 없음",IF(G1806=0,"신규 (전년 수량 없음)",IF(H1806=0,"당해 수량 없음",""))))</f>
        <v/>
      </c>
      <c r="N1806" t="str">
        <f>IF($B1806="","",MATCH($B1806,'_calc'!$L$2:$L$3001,0))</f>
        <v/>
      </c>
    </row>
    <row r="1807">
      <c r="B1807" s="24" t="str">
        <f>IF(ROW()-ROW($B$8)&gt;nComp,"",ROW()-ROW($B$8))</f>
        <v/>
      </c>
      <c r="C1807" t="str">
        <f>IF($N1807="","",INDEX('_calc'!$A$2:$A$3001,$N1807))</f>
        <v/>
      </c>
      <c r="D1807" s="25" t="str">
        <f>IF($N1807="","",INDEX('_calc'!$C$2:$C$3001,$N1807))</f>
        <v/>
      </c>
      <c r="E1807" s="25" t="str">
        <f>IF($N1807="","",INDEX('_calc'!$D$2:$D$3001,$N1807))</f>
        <v/>
      </c>
      <c r="F1807" s="26" t="str">
        <f>IF($N1807="","",IF($E$8=0,"",E1807/$E$8))</f>
        <v/>
      </c>
      <c r="G1807" s="25" t="str">
        <f>IF($N1807="","",INDEX('_calc'!$E$2:$E$3001,$N1807))</f>
        <v/>
      </c>
      <c r="H1807" s="25" t="str">
        <f>IF($N1807="","",INDEX('_calc'!$F$2:$F$3001,$N1807))</f>
        <v/>
      </c>
      <c r="I1807" s="27" t="str">
        <f>IF($N1807="","",INDEX('_calc'!$H$2:$H$3001,$N1807))</f>
        <v/>
      </c>
      <c r="J1807" s="27" t="str">
        <f>IF($N1807="","",INDEX('_calc'!$I$2:$I$3001,$N1807))</f>
        <v/>
      </c>
      <c r="K1807" s="28" t="str">
        <f>IF($N1807="","",IF(OR(I1807="",J1807=""),"",J1807-I1807))</f>
        <v/>
      </c>
      <c r="L1807" s="29" t="str">
        <f>IF($N1807="","",INDEX('_calc'!$J$2:$J$3001,$N1807))</f>
        <v/>
      </c>
      <c r="M1807" s="2" t="str">
        <f>IF($N1807="","",IF(AND(G1807=0,H1807=0),"수량 없음",IF(G1807=0,"신규 (전년 수량 없음)",IF(H1807=0,"당해 수량 없음",""))))</f>
        <v/>
      </c>
      <c r="N1807" t="str">
        <f>IF($B1807="","",MATCH($B1807,'_calc'!$L$2:$L$3001,0))</f>
        <v/>
      </c>
    </row>
    <row r="1808">
      <c r="B1808" s="24" t="str">
        <f>IF(ROW()-ROW($B$8)&gt;nComp,"",ROW()-ROW($B$8))</f>
        <v/>
      </c>
      <c r="C1808" t="str">
        <f>IF($N1808="","",INDEX('_calc'!$A$2:$A$3001,$N1808))</f>
        <v/>
      </c>
      <c r="D1808" s="25" t="str">
        <f>IF($N1808="","",INDEX('_calc'!$C$2:$C$3001,$N1808))</f>
        <v/>
      </c>
      <c r="E1808" s="25" t="str">
        <f>IF($N1808="","",INDEX('_calc'!$D$2:$D$3001,$N1808))</f>
        <v/>
      </c>
      <c r="F1808" s="26" t="str">
        <f>IF($N1808="","",IF($E$8=0,"",E1808/$E$8))</f>
        <v/>
      </c>
      <c r="G1808" s="25" t="str">
        <f>IF($N1808="","",INDEX('_calc'!$E$2:$E$3001,$N1808))</f>
        <v/>
      </c>
      <c r="H1808" s="25" t="str">
        <f>IF($N1808="","",INDEX('_calc'!$F$2:$F$3001,$N1808))</f>
        <v/>
      </c>
      <c r="I1808" s="27" t="str">
        <f>IF($N1808="","",INDEX('_calc'!$H$2:$H$3001,$N1808))</f>
        <v/>
      </c>
      <c r="J1808" s="27" t="str">
        <f>IF($N1808="","",INDEX('_calc'!$I$2:$I$3001,$N1808))</f>
        <v/>
      </c>
      <c r="K1808" s="28" t="str">
        <f>IF($N1808="","",IF(OR(I1808="",J1808=""),"",J1808-I1808))</f>
        <v/>
      </c>
      <c r="L1808" s="29" t="str">
        <f>IF($N1808="","",INDEX('_calc'!$J$2:$J$3001,$N1808))</f>
        <v/>
      </c>
      <c r="M1808" s="2" t="str">
        <f>IF($N1808="","",IF(AND(G1808=0,H1808=0),"수량 없음",IF(G1808=0,"신규 (전년 수량 없음)",IF(H1808=0,"당해 수량 없음",""))))</f>
        <v/>
      </c>
      <c r="N1808" t="str">
        <f>IF($B1808="","",MATCH($B1808,'_calc'!$L$2:$L$3001,0))</f>
        <v/>
      </c>
    </row>
    <row r="1809">
      <c r="B1809" s="24" t="str">
        <f>IF(ROW()-ROW($B$8)&gt;nComp,"",ROW()-ROW($B$8))</f>
        <v/>
      </c>
      <c r="C1809" t="str">
        <f>IF($N1809="","",INDEX('_calc'!$A$2:$A$3001,$N1809))</f>
        <v/>
      </c>
      <c r="D1809" s="25" t="str">
        <f>IF($N1809="","",INDEX('_calc'!$C$2:$C$3001,$N1809))</f>
        <v/>
      </c>
      <c r="E1809" s="25" t="str">
        <f>IF($N1809="","",INDEX('_calc'!$D$2:$D$3001,$N1809))</f>
        <v/>
      </c>
      <c r="F1809" s="26" t="str">
        <f>IF($N1809="","",IF($E$8=0,"",E1809/$E$8))</f>
        <v/>
      </c>
      <c r="G1809" s="25" t="str">
        <f>IF($N1809="","",INDEX('_calc'!$E$2:$E$3001,$N1809))</f>
        <v/>
      </c>
      <c r="H1809" s="25" t="str">
        <f>IF($N1809="","",INDEX('_calc'!$F$2:$F$3001,$N1809))</f>
        <v/>
      </c>
      <c r="I1809" s="27" t="str">
        <f>IF($N1809="","",INDEX('_calc'!$H$2:$H$3001,$N1809))</f>
        <v/>
      </c>
      <c r="J1809" s="27" t="str">
        <f>IF($N1809="","",INDEX('_calc'!$I$2:$I$3001,$N1809))</f>
        <v/>
      </c>
      <c r="K1809" s="28" t="str">
        <f>IF($N1809="","",IF(OR(I1809="",J1809=""),"",J1809-I1809))</f>
        <v/>
      </c>
      <c r="L1809" s="29" t="str">
        <f>IF($N1809="","",INDEX('_calc'!$J$2:$J$3001,$N1809))</f>
        <v/>
      </c>
      <c r="M1809" s="2" t="str">
        <f>IF($N1809="","",IF(AND(G1809=0,H1809=0),"수량 없음",IF(G1809=0,"신규 (전년 수량 없음)",IF(H1809=0,"당해 수량 없음",""))))</f>
        <v/>
      </c>
      <c r="N1809" t="str">
        <f>IF($B1809="","",MATCH($B1809,'_calc'!$L$2:$L$3001,0))</f>
        <v/>
      </c>
    </row>
    <row r="1810">
      <c r="B1810" s="24" t="str">
        <f>IF(ROW()-ROW($B$8)&gt;nComp,"",ROW()-ROW($B$8))</f>
        <v/>
      </c>
      <c r="C1810" t="str">
        <f>IF($N1810="","",INDEX('_calc'!$A$2:$A$3001,$N1810))</f>
        <v/>
      </c>
      <c r="D1810" s="25" t="str">
        <f>IF($N1810="","",INDEX('_calc'!$C$2:$C$3001,$N1810))</f>
        <v/>
      </c>
      <c r="E1810" s="25" t="str">
        <f>IF($N1810="","",INDEX('_calc'!$D$2:$D$3001,$N1810))</f>
        <v/>
      </c>
      <c r="F1810" s="26" t="str">
        <f>IF($N1810="","",IF($E$8=0,"",E1810/$E$8))</f>
        <v/>
      </c>
      <c r="G1810" s="25" t="str">
        <f>IF($N1810="","",INDEX('_calc'!$E$2:$E$3001,$N1810))</f>
        <v/>
      </c>
      <c r="H1810" s="25" t="str">
        <f>IF($N1810="","",INDEX('_calc'!$F$2:$F$3001,$N1810))</f>
        <v/>
      </c>
      <c r="I1810" s="27" t="str">
        <f>IF($N1810="","",INDEX('_calc'!$H$2:$H$3001,$N1810))</f>
        <v/>
      </c>
      <c r="J1810" s="27" t="str">
        <f>IF($N1810="","",INDEX('_calc'!$I$2:$I$3001,$N1810))</f>
        <v/>
      </c>
      <c r="K1810" s="28" t="str">
        <f>IF($N1810="","",IF(OR(I1810="",J1810=""),"",J1810-I1810))</f>
        <v/>
      </c>
      <c r="L1810" s="29" t="str">
        <f>IF($N1810="","",INDEX('_calc'!$J$2:$J$3001,$N1810))</f>
        <v/>
      </c>
      <c r="M1810" s="2" t="str">
        <f>IF($N1810="","",IF(AND(G1810=0,H1810=0),"수량 없음",IF(G1810=0,"신규 (전년 수량 없음)",IF(H1810=0,"당해 수량 없음",""))))</f>
        <v/>
      </c>
      <c r="N1810" t="str">
        <f>IF($B1810="","",MATCH($B1810,'_calc'!$L$2:$L$3001,0))</f>
        <v/>
      </c>
    </row>
    <row r="1811">
      <c r="B1811" s="24" t="str">
        <f>IF(ROW()-ROW($B$8)&gt;nComp,"",ROW()-ROW($B$8))</f>
        <v/>
      </c>
      <c r="C1811" t="str">
        <f>IF($N1811="","",INDEX('_calc'!$A$2:$A$3001,$N1811))</f>
        <v/>
      </c>
      <c r="D1811" s="25" t="str">
        <f>IF($N1811="","",INDEX('_calc'!$C$2:$C$3001,$N1811))</f>
        <v/>
      </c>
      <c r="E1811" s="25" t="str">
        <f>IF($N1811="","",INDEX('_calc'!$D$2:$D$3001,$N1811))</f>
        <v/>
      </c>
      <c r="F1811" s="26" t="str">
        <f>IF($N1811="","",IF($E$8=0,"",E1811/$E$8))</f>
        <v/>
      </c>
      <c r="G1811" s="25" t="str">
        <f>IF($N1811="","",INDEX('_calc'!$E$2:$E$3001,$N1811))</f>
        <v/>
      </c>
      <c r="H1811" s="25" t="str">
        <f>IF($N1811="","",INDEX('_calc'!$F$2:$F$3001,$N1811))</f>
        <v/>
      </c>
      <c r="I1811" s="27" t="str">
        <f>IF($N1811="","",INDEX('_calc'!$H$2:$H$3001,$N1811))</f>
        <v/>
      </c>
      <c r="J1811" s="27" t="str">
        <f>IF($N1811="","",INDEX('_calc'!$I$2:$I$3001,$N1811))</f>
        <v/>
      </c>
      <c r="K1811" s="28" t="str">
        <f>IF($N1811="","",IF(OR(I1811="",J1811=""),"",J1811-I1811))</f>
        <v/>
      </c>
      <c r="L1811" s="29" t="str">
        <f>IF($N1811="","",INDEX('_calc'!$J$2:$J$3001,$N1811))</f>
        <v/>
      </c>
      <c r="M1811" s="2" t="str">
        <f>IF($N1811="","",IF(AND(G1811=0,H1811=0),"수량 없음",IF(G1811=0,"신규 (전년 수량 없음)",IF(H1811=0,"당해 수량 없음",""))))</f>
        <v/>
      </c>
      <c r="N1811" t="str">
        <f>IF($B1811="","",MATCH($B1811,'_calc'!$L$2:$L$3001,0))</f>
        <v/>
      </c>
    </row>
    <row r="1812">
      <c r="B1812" s="24" t="str">
        <f>IF(ROW()-ROW($B$8)&gt;nComp,"",ROW()-ROW($B$8))</f>
        <v/>
      </c>
      <c r="C1812" t="str">
        <f>IF($N1812="","",INDEX('_calc'!$A$2:$A$3001,$N1812))</f>
        <v/>
      </c>
      <c r="D1812" s="25" t="str">
        <f>IF($N1812="","",INDEX('_calc'!$C$2:$C$3001,$N1812))</f>
        <v/>
      </c>
      <c r="E1812" s="25" t="str">
        <f>IF($N1812="","",INDEX('_calc'!$D$2:$D$3001,$N1812))</f>
        <v/>
      </c>
      <c r="F1812" s="26" t="str">
        <f>IF($N1812="","",IF($E$8=0,"",E1812/$E$8))</f>
        <v/>
      </c>
      <c r="G1812" s="25" t="str">
        <f>IF($N1812="","",INDEX('_calc'!$E$2:$E$3001,$N1812))</f>
        <v/>
      </c>
      <c r="H1812" s="25" t="str">
        <f>IF($N1812="","",INDEX('_calc'!$F$2:$F$3001,$N1812))</f>
        <v/>
      </c>
      <c r="I1812" s="27" t="str">
        <f>IF($N1812="","",INDEX('_calc'!$H$2:$H$3001,$N1812))</f>
        <v/>
      </c>
      <c r="J1812" s="27" t="str">
        <f>IF($N1812="","",INDEX('_calc'!$I$2:$I$3001,$N1812))</f>
        <v/>
      </c>
      <c r="K1812" s="28" t="str">
        <f>IF($N1812="","",IF(OR(I1812="",J1812=""),"",J1812-I1812))</f>
        <v/>
      </c>
      <c r="L1812" s="29" t="str">
        <f>IF($N1812="","",INDEX('_calc'!$J$2:$J$3001,$N1812))</f>
        <v/>
      </c>
      <c r="M1812" s="2" t="str">
        <f>IF($N1812="","",IF(AND(G1812=0,H1812=0),"수량 없음",IF(G1812=0,"신규 (전년 수량 없음)",IF(H1812=0,"당해 수량 없음",""))))</f>
        <v/>
      </c>
      <c r="N1812" t="str">
        <f>IF($B1812="","",MATCH($B1812,'_calc'!$L$2:$L$3001,0))</f>
        <v/>
      </c>
    </row>
    <row r="1813">
      <c r="B1813" s="24" t="str">
        <f>IF(ROW()-ROW($B$8)&gt;nComp,"",ROW()-ROW($B$8))</f>
        <v/>
      </c>
      <c r="C1813" t="str">
        <f>IF($N1813="","",INDEX('_calc'!$A$2:$A$3001,$N1813))</f>
        <v/>
      </c>
      <c r="D1813" s="25" t="str">
        <f>IF($N1813="","",INDEX('_calc'!$C$2:$C$3001,$N1813))</f>
        <v/>
      </c>
      <c r="E1813" s="25" t="str">
        <f>IF($N1813="","",INDEX('_calc'!$D$2:$D$3001,$N1813))</f>
        <v/>
      </c>
      <c r="F1813" s="26" t="str">
        <f>IF($N1813="","",IF($E$8=0,"",E1813/$E$8))</f>
        <v/>
      </c>
      <c r="G1813" s="25" t="str">
        <f>IF($N1813="","",INDEX('_calc'!$E$2:$E$3001,$N1813))</f>
        <v/>
      </c>
      <c r="H1813" s="25" t="str">
        <f>IF($N1813="","",INDEX('_calc'!$F$2:$F$3001,$N1813))</f>
        <v/>
      </c>
      <c r="I1813" s="27" t="str">
        <f>IF($N1813="","",INDEX('_calc'!$H$2:$H$3001,$N1813))</f>
        <v/>
      </c>
      <c r="J1813" s="27" t="str">
        <f>IF($N1813="","",INDEX('_calc'!$I$2:$I$3001,$N1813))</f>
        <v/>
      </c>
      <c r="K1813" s="28" t="str">
        <f>IF($N1813="","",IF(OR(I1813="",J1813=""),"",J1813-I1813))</f>
        <v/>
      </c>
      <c r="L1813" s="29" t="str">
        <f>IF($N1813="","",INDEX('_calc'!$J$2:$J$3001,$N1813))</f>
        <v/>
      </c>
      <c r="M1813" s="2" t="str">
        <f>IF($N1813="","",IF(AND(G1813=0,H1813=0),"수량 없음",IF(G1813=0,"신규 (전년 수량 없음)",IF(H1813=0,"당해 수량 없음",""))))</f>
        <v/>
      </c>
      <c r="N1813" t="str">
        <f>IF($B1813="","",MATCH($B1813,'_calc'!$L$2:$L$3001,0))</f>
        <v/>
      </c>
    </row>
    <row r="1814">
      <c r="B1814" s="24" t="str">
        <f>IF(ROW()-ROW($B$8)&gt;nComp,"",ROW()-ROW($B$8))</f>
        <v/>
      </c>
      <c r="C1814" t="str">
        <f>IF($N1814="","",INDEX('_calc'!$A$2:$A$3001,$N1814))</f>
        <v/>
      </c>
      <c r="D1814" s="25" t="str">
        <f>IF($N1814="","",INDEX('_calc'!$C$2:$C$3001,$N1814))</f>
        <v/>
      </c>
      <c r="E1814" s="25" t="str">
        <f>IF($N1814="","",INDEX('_calc'!$D$2:$D$3001,$N1814))</f>
        <v/>
      </c>
      <c r="F1814" s="26" t="str">
        <f>IF($N1814="","",IF($E$8=0,"",E1814/$E$8))</f>
        <v/>
      </c>
      <c r="G1814" s="25" t="str">
        <f>IF($N1814="","",INDEX('_calc'!$E$2:$E$3001,$N1814))</f>
        <v/>
      </c>
      <c r="H1814" s="25" t="str">
        <f>IF($N1814="","",INDEX('_calc'!$F$2:$F$3001,$N1814))</f>
        <v/>
      </c>
      <c r="I1814" s="27" t="str">
        <f>IF($N1814="","",INDEX('_calc'!$H$2:$H$3001,$N1814))</f>
        <v/>
      </c>
      <c r="J1814" s="27" t="str">
        <f>IF($N1814="","",INDEX('_calc'!$I$2:$I$3001,$N1814))</f>
        <v/>
      </c>
      <c r="K1814" s="28" t="str">
        <f>IF($N1814="","",IF(OR(I1814="",J1814=""),"",J1814-I1814))</f>
        <v/>
      </c>
      <c r="L1814" s="29" t="str">
        <f>IF($N1814="","",INDEX('_calc'!$J$2:$J$3001,$N1814))</f>
        <v/>
      </c>
      <c r="M1814" s="2" t="str">
        <f>IF($N1814="","",IF(AND(G1814=0,H1814=0),"수량 없음",IF(G1814=0,"신규 (전년 수량 없음)",IF(H1814=0,"당해 수량 없음",""))))</f>
        <v/>
      </c>
      <c r="N1814" t="str">
        <f>IF($B1814="","",MATCH($B1814,'_calc'!$L$2:$L$3001,0))</f>
        <v/>
      </c>
    </row>
    <row r="1815">
      <c r="B1815" s="24" t="str">
        <f>IF(ROW()-ROW($B$8)&gt;nComp,"",ROW()-ROW($B$8))</f>
        <v/>
      </c>
      <c r="C1815" t="str">
        <f>IF($N1815="","",INDEX('_calc'!$A$2:$A$3001,$N1815))</f>
        <v/>
      </c>
      <c r="D1815" s="25" t="str">
        <f>IF($N1815="","",INDEX('_calc'!$C$2:$C$3001,$N1815))</f>
        <v/>
      </c>
      <c r="E1815" s="25" t="str">
        <f>IF($N1815="","",INDEX('_calc'!$D$2:$D$3001,$N1815))</f>
        <v/>
      </c>
      <c r="F1815" s="26" t="str">
        <f>IF($N1815="","",IF($E$8=0,"",E1815/$E$8))</f>
        <v/>
      </c>
      <c r="G1815" s="25" t="str">
        <f>IF($N1815="","",INDEX('_calc'!$E$2:$E$3001,$N1815))</f>
        <v/>
      </c>
      <c r="H1815" s="25" t="str">
        <f>IF($N1815="","",INDEX('_calc'!$F$2:$F$3001,$N1815))</f>
        <v/>
      </c>
      <c r="I1815" s="27" t="str">
        <f>IF($N1815="","",INDEX('_calc'!$H$2:$H$3001,$N1815))</f>
        <v/>
      </c>
      <c r="J1815" s="27" t="str">
        <f>IF($N1815="","",INDEX('_calc'!$I$2:$I$3001,$N1815))</f>
        <v/>
      </c>
      <c r="K1815" s="28" t="str">
        <f>IF($N1815="","",IF(OR(I1815="",J1815=""),"",J1815-I1815))</f>
        <v/>
      </c>
      <c r="L1815" s="29" t="str">
        <f>IF($N1815="","",INDEX('_calc'!$J$2:$J$3001,$N1815))</f>
        <v/>
      </c>
      <c r="M1815" s="2" t="str">
        <f>IF($N1815="","",IF(AND(G1815=0,H1815=0),"수량 없음",IF(G1815=0,"신규 (전년 수량 없음)",IF(H1815=0,"당해 수량 없음",""))))</f>
        <v/>
      </c>
      <c r="N1815" t="str">
        <f>IF($B1815="","",MATCH($B1815,'_calc'!$L$2:$L$3001,0))</f>
        <v/>
      </c>
    </row>
    <row r="1816">
      <c r="B1816" s="24" t="str">
        <f>IF(ROW()-ROW($B$8)&gt;nComp,"",ROW()-ROW($B$8))</f>
        <v/>
      </c>
      <c r="C1816" t="str">
        <f>IF($N1816="","",INDEX('_calc'!$A$2:$A$3001,$N1816))</f>
        <v/>
      </c>
      <c r="D1816" s="25" t="str">
        <f>IF($N1816="","",INDEX('_calc'!$C$2:$C$3001,$N1816))</f>
        <v/>
      </c>
      <c r="E1816" s="25" t="str">
        <f>IF($N1816="","",INDEX('_calc'!$D$2:$D$3001,$N1816))</f>
        <v/>
      </c>
      <c r="F1816" s="26" t="str">
        <f>IF($N1816="","",IF($E$8=0,"",E1816/$E$8))</f>
        <v/>
      </c>
      <c r="G1816" s="25" t="str">
        <f>IF($N1816="","",INDEX('_calc'!$E$2:$E$3001,$N1816))</f>
        <v/>
      </c>
      <c r="H1816" s="25" t="str">
        <f>IF($N1816="","",INDEX('_calc'!$F$2:$F$3001,$N1816))</f>
        <v/>
      </c>
      <c r="I1816" s="27" t="str">
        <f>IF($N1816="","",INDEX('_calc'!$H$2:$H$3001,$N1816))</f>
        <v/>
      </c>
      <c r="J1816" s="27" t="str">
        <f>IF($N1816="","",INDEX('_calc'!$I$2:$I$3001,$N1816))</f>
        <v/>
      </c>
      <c r="K1816" s="28" t="str">
        <f>IF($N1816="","",IF(OR(I1816="",J1816=""),"",J1816-I1816))</f>
        <v/>
      </c>
      <c r="L1816" s="29" t="str">
        <f>IF($N1816="","",INDEX('_calc'!$J$2:$J$3001,$N1816))</f>
        <v/>
      </c>
      <c r="M1816" s="2" t="str">
        <f>IF($N1816="","",IF(AND(G1816=0,H1816=0),"수량 없음",IF(G1816=0,"신규 (전년 수량 없음)",IF(H1816=0,"당해 수량 없음",""))))</f>
        <v/>
      </c>
      <c r="N1816" t="str">
        <f>IF($B1816="","",MATCH($B1816,'_calc'!$L$2:$L$3001,0))</f>
        <v/>
      </c>
    </row>
    <row r="1817">
      <c r="B1817" s="24" t="str">
        <f>IF(ROW()-ROW($B$8)&gt;nComp,"",ROW()-ROW($B$8))</f>
        <v/>
      </c>
      <c r="C1817" t="str">
        <f>IF($N1817="","",INDEX('_calc'!$A$2:$A$3001,$N1817))</f>
        <v/>
      </c>
      <c r="D1817" s="25" t="str">
        <f>IF($N1817="","",INDEX('_calc'!$C$2:$C$3001,$N1817))</f>
        <v/>
      </c>
      <c r="E1817" s="25" t="str">
        <f>IF($N1817="","",INDEX('_calc'!$D$2:$D$3001,$N1817))</f>
        <v/>
      </c>
      <c r="F1817" s="26" t="str">
        <f>IF($N1817="","",IF($E$8=0,"",E1817/$E$8))</f>
        <v/>
      </c>
      <c r="G1817" s="25" t="str">
        <f>IF($N1817="","",INDEX('_calc'!$E$2:$E$3001,$N1817))</f>
        <v/>
      </c>
      <c r="H1817" s="25" t="str">
        <f>IF($N1817="","",INDEX('_calc'!$F$2:$F$3001,$N1817))</f>
        <v/>
      </c>
      <c r="I1817" s="27" t="str">
        <f>IF($N1817="","",INDEX('_calc'!$H$2:$H$3001,$N1817))</f>
        <v/>
      </c>
      <c r="J1817" s="27" t="str">
        <f>IF($N1817="","",INDEX('_calc'!$I$2:$I$3001,$N1817))</f>
        <v/>
      </c>
      <c r="K1817" s="28" t="str">
        <f>IF($N1817="","",IF(OR(I1817="",J1817=""),"",J1817-I1817))</f>
        <v/>
      </c>
      <c r="L1817" s="29" t="str">
        <f>IF($N1817="","",INDEX('_calc'!$J$2:$J$3001,$N1817))</f>
        <v/>
      </c>
      <c r="M1817" s="2" t="str">
        <f>IF($N1817="","",IF(AND(G1817=0,H1817=0),"수량 없음",IF(G1817=0,"신규 (전년 수량 없음)",IF(H1817=0,"당해 수량 없음",""))))</f>
        <v/>
      </c>
      <c r="N1817" t="str">
        <f>IF($B1817="","",MATCH($B1817,'_calc'!$L$2:$L$3001,0))</f>
        <v/>
      </c>
    </row>
    <row r="1818">
      <c r="B1818" s="24" t="str">
        <f>IF(ROW()-ROW($B$8)&gt;nComp,"",ROW()-ROW($B$8))</f>
        <v/>
      </c>
      <c r="C1818" t="str">
        <f>IF($N1818="","",INDEX('_calc'!$A$2:$A$3001,$N1818))</f>
        <v/>
      </c>
      <c r="D1818" s="25" t="str">
        <f>IF($N1818="","",INDEX('_calc'!$C$2:$C$3001,$N1818))</f>
        <v/>
      </c>
      <c r="E1818" s="25" t="str">
        <f>IF($N1818="","",INDEX('_calc'!$D$2:$D$3001,$N1818))</f>
        <v/>
      </c>
      <c r="F1818" s="26" t="str">
        <f>IF($N1818="","",IF($E$8=0,"",E1818/$E$8))</f>
        <v/>
      </c>
      <c r="G1818" s="25" t="str">
        <f>IF($N1818="","",INDEX('_calc'!$E$2:$E$3001,$N1818))</f>
        <v/>
      </c>
      <c r="H1818" s="25" t="str">
        <f>IF($N1818="","",INDEX('_calc'!$F$2:$F$3001,$N1818))</f>
        <v/>
      </c>
      <c r="I1818" s="27" t="str">
        <f>IF($N1818="","",INDEX('_calc'!$H$2:$H$3001,$N1818))</f>
        <v/>
      </c>
      <c r="J1818" s="27" t="str">
        <f>IF($N1818="","",INDEX('_calc'!$I$2:$I$3001,$N1818))</f>
        <v/>
      </c>
      <c r="K1818" s="28" t="str">
        <f>IF($N1818="","",IF(OR(I1818="",J1818=""),"",J1818-I1818))</f>
        <v/>
      </c>
      <c r="L1818" s="29" t="str">
        <f>IF($N1818="","",INDEX('_calc'!$J$2:$J$3001,$N1818))</f>
        <v/>
      </c>
      <c r="M1818" s="2" t="str">
        <f>IF($N1818="","",IF(AND(G1818=0,H1818=0),"수량 없음",IF(G1818=0,"신규 (전년 수량 없음)",IF(H1818=0,"당해 수량 없음",""))))</f>
        <v/>
      </c>
      <c r="N1818" t="str">
        <f>IF($B1818="","",MATCH($B1818,'_calc'!$L$2:$L$3001,0))</f>
        <v/>
      </c>
    </row>
    <row r="1819">
      <c r="B1819" s="24" t="str">
        <f>IF(ROW()-ROW($B$8)&gt;nComp,"",ROW()-ROW($B$8))</f>
        <v/>
      </c>
      <c r="C1819" t="str">
        <f>IF($N1819="","",INDEX('_calc'!$A$2:$A$3001,$N1819))</f>
        <v/>
      </c>
      <c r="D1819" s="25" t="str">
        <f>IF($N1819="","",INDEX('_calc'!$C$2:$C$3001,$N1819))</f>
        <v/>
      </c>
      <c r="E1819" s="25" t="str">
        <f>IF($N1819="","",INDEX('_calc'!$D$2:$D$3001,$N1819))</f>
        <v/>
      </c>
      <c r="F1819" s="26" t="str">
        <f>IF($N1819="","",IF($E$8=0,"",E1819/$E$8))</f>
        <v/>
      </c>
      <c r="G1819" s="25" t="str">
        <f>IF($N1819="","",INDEX('_calc'!$E$2:$E$3001,$N1819))</f>
        <v/>
      </c>
      <c r="H1819" s="25" t="str">
        <f>IF($N1819="","",INDEX('_calc'!$F$2:$F$3001,$N1819))</f>
        <v/>
      </c>
      <c r="I1819" s="27" t="str">
        <f>IF($N1819="","",INDEX('_calc'!$H$2:$H$3001,$N1819))</f>
        <v/>
      </c>
      <c r="J1819" s="27" t="str">
        <f>IF($N1819="","",INDEX('_calc'!$I$2:$I$3001,$N1819))</f>
        <v/>
      </c>
      <c r="K1819" s="28" t="str">
        <f>IF($N1819="","",IF(OR(I1819="",J1819=""),"",J1819-I1819))</f>
        <v/>
      </c>
      <c r="L1819" s="29" t="str">
        <f>IF($N1819="","",INDEX('_calc'!$J$2:$J$3001,$N1819))</f>
        <v/>
      </c>
      <c r="M1819" s="2" t="str">
        <f>IF($N1819="","",IF(AND(G1819=0,H1819=0),"수량 없음",IF(G1819=0,"신규 (전년 수량 없음)",IF(H1819=0,"당해 수량 없음",""))))</f>
        <v/>
      </c>
      <c r="N1819" t="str">
        <f>IF($B1819="","",MATCH($B1819,'_calc'!$L$2:$L$3001,0))</f>
        <v/>
      </c>
    </row>
    <row r="1820">
      <c r="B1820" s="24" t="str">
        <f>IF(ROW()-ROW($B$8)&gt;nComp,"",ROW()-ROW($B$8))</f>
        <v/>
      </c>
      <c r="C1820" t="str">
        <f>IF($N1820="","",INDEX('_calc'!$A$2:$A$3001,$N1820))</f>
        <v/>
      </c>
      <c r="D1820" s="25" t="str">
        <f>IF($N1820="","",INDEX('_calc'!$C$2:$C$3001,$N1820))</f>
        <v/>
      </c>
      <c r="E1820" s="25" t="str">
        <f>IF($N1820="","",INDEX('_calc'!$D$2:$D$3001,$N1820))</f>
        <v/>
      </c>
      <c r="F1820" s="26" t="str">
        <f>IF($N1820="","",IF($E$8=0,"",E1820/$E$8))</f>
        <v/>
      </c>
      <c r="G1820" s="25" t="str">
        <f>IF($N1820="","",INDEX('_calc'!$E$2:$E$3001,$N1820))</f>
        <v/>
      </c>
      <c r="H1820" s="25" t="str">
        <f>IF($N1820="","",INDEX('_calc'!$F$2:$F$3001,$N1820))</f>
        <v/>
      </c>
      <c r="I1820" s="27" t="str">
        <f>IF($N1820="","",INDEX('_calc'!$H$2:$H$3001,$N1820))</f>
        <v/>
      </c>
      <c r="J1820" s="27" t="str">
        <f>IF($N1820="","",INDEX('_calc'!$I$2:$I$3001,$N1820))</f>
        <v/>
      </c>
      <c r="K1820" s="28" t="str">
        <f>IF($N1820="","",IF(OR(I1820="",J1820=""),"",J1820-I1820))</f>
        <v/>
      </c>
      <c r="L1820" s="29" t="str">
        <f>IF($N1820="","",INDEX('_calc'!$J$2:$J$3001,$N1820))</f>
        <v/>
      </c>
      <c r="M1820" s="2" t="str">
        <f>IF($N1820="","",IF(AND(G1820=0,H1820=0),"수량 없음",IF(G1820=0,"신규 (전년 수량 없음)",IF(H1820=0,"당해 수량 없음",""))))</f>
        <v/>
      </c>
      <c r="N1820" t="str">
        <f>IF($B1820="","",MATCH($B1820,'_calc'!$L$2:$L$3001,0))</f>
        <v/>
      </c>
    </row>
    <row r="1821">
      <c r="B1821" s="24" t="str">
        <f>IF(ROW()-ROW($B$8)&gt;nComp,"",ROW()-ROW($B$8))</f>
        <v/>
      </c>
      <c r="C1821" t="str">
        <f>IF($N1821="","",INDEX('_calc'!$A$2:$A$3001,$N1821))</f>
        <v/>
      </c>
      <c r="D1821" s="25" t="str">
        <f>IF($N1821="","",INDEX('_calc'!$C$2:$C$3001,$N1821))</f>
        <v/>
      </c>
      <c r="E1821" s="25" t="str">
        <f>IF($N1821="","",INDEX('_calc'!$D$2:$D$3001,$N1821))</f>
        <v/>
      </c>
      <c r="F1821" s="26" t="str">
        <f>IF($N1821="","",IF($E$8=0,"",E1821/$E$8))</f>
        <v/>
      </c>
      <c r="G1821" s="25" t="str">
        <f>IF($N1821="","",INDEX('_calc'!$E$2:$E$3001,$N1821))</f>
        <v/>
      </c>
      <c r="H1821" s="25" t="str">
        <f>IF($N1821="","",INDEX('_calc'!$F$2:$F$3001,$N1821))</f>
        <v/>
      </c>
      <c r="I1821" s="27" t="str">
        <f>IF($N1821="","",INDEX('_calc'!$H$2:$H$3001,$N1821))</f>
        <v/>
      </c>
      <c r="J1821" s="27" t="str">
        <f>IF($N1821="","",INDEX('_calc'!$I$2:$I$3001,$N1821))</f>
        <v/>
      </c>
      <c r="K1821" s="28" t="str">
        <f>IF($N1821="","",IF(OR(I1821="",J1821=""),"",J1821-I1821))</f>
        <v/>
      </c>
      <c r="L1821" s="29" t="str">
        <f>IF($N1821="","",INDEX('_calc'!$J$2:$J$3001,$N1821))</f>
        <v/>
      </c>
      <c r="M1821" s="2" t="str">
        <f>IF($N1821="","",IF(AND(G1821=0,H1821=0),"수량 없음",IF(G1821=0,"신규 (전년 수량 없음)",IF(H1821=0,"당해 수량 없음",""))))</f>
        <v/>
      </c>
      <c r="N1821" t="str">
        <f>IF($B1821="","",MATCH($B1821,'_calc'!$L$2:$L$3001,0))</f>
        <v/>
      </c>
    </row>
    <row r="1822">
      <c r="B1822" s="24" t="str">
        <f>IF(ROW()-ROW($B$8)&gt;nComp,"",ROW()-ROW($B$8))</f>
        <v/>
      </c>
      <c r="C1822" t="str">
        <f>IF($N1822="","",INDEX('_calc'!$A$2:$A$3001,$N1822))</f>
        <v/>
      </c>
      <c r="D1822" s="25" t="str">
        <f>IF($N1822="","",INDEX('_calc'!$C$2:$C$3001,$N1822))</f>
        <v/>
      </c>
      <c r="E1822" s="25" t="str">
        <f>IF($N1822="","",INDEX('_calc'!$D$2:$D$3001,$N1822))</f>
        <v/>
      </c>
      <c r="F1822" s="26" t="str">
        <f>IF($N1822="","",IF($E$8=0,"",E1822/$E$8))</f>
        <v/>
      </c>
      <c r="G1822" s="25" t="str">
        <f>IF($N1822="","",INDEX('_calc'!$E$2:$E$3001,$N1822))</f>
        <v/>
      </c>
      <c r="H1822" s="25" t="str">
        <f>IF($N1822="","",INDEX('_calc'!$F$2:$F$3001,$N1822))</f>
        <v/>
      </c>
      <c r="I1822" s="27" t="str">
        <f>IF($N1822="","",INDEX('_calc'!$H$2:$H$3001,$N1822))</f>
        <v/>
      </c>
      <c r="J1822" s="27" t="str">
        <f>IF($N1822="","",INDEX('_calc'!$I$2:$I$3001,$N1822))</f>
        <v/>
      </c>
      <c r="K1822" s="28" t="str">
        <f>IF($N1822="","",IF(OR(I1822="",J1822=""),"",J1822-I1822))</f>
        <v/>
      </c>
      <c r="L1822" s="29" t="str">
        <f>IF($N1822="","",INDEX('_calc'!$J$2:$J$3001,$N1822))</f>
        <v/>
      </c>
      <c r="M1822" s="2" t="str">
        <f>IF($N1822="","",IF(AND(G1822=0,H1822=0),"수량 없음",IF(G1822=0,"신규 (전년 수량 없음)",IF(H1822=0,"당해 수량 없음",""))))</f>
        <v/>
      </c>
      <c r="N1822" t="str">
        <f>IF($B1822="","",MATCH($B1822,'_calc'!$L$2:$L$3001,0))</f>
        <v/>
      </c>
    </row>
    <row r="1823">
      <c r="B1823" s="24" t="str">
        <f>IF(ROW()-ROW($B$8)&gt;nComp,"",ROW()-ROW($B$8))</f>
        <v/>
      </c>
      <c r="C1823" t="str">
        <f>IF($N1823="","",INDEX('_calc'!$A$2:$A$3001,$N1823))</f>
        <v/>
      </c>
      <c r="D1823" s="25" t="str">
        <f>IF($N1823="","",INDEX('_calc'!$C$2:$C$3001,$N1823))</f>
        <v/>
      </c>
      <c r="E1823" s="25" t="str">
        <f>IF($N1823="","",INDEX('_calc'!$D$2:$D$3001,$N1823))</f>
        <v/>
      </c>
      <c r="F1823" s="26" t="str">
        <f>IF($N1823="","",IF($E$8=0,"",E1823/$E$8))</f>
        <v/>
      </c>
      <c r="G1823" s="25" t="str">
        <f>IF($N1823="","",INDEX('_calc'!$E$2:$E$3001,$N1823))</f>
        <v/>
      </c>
      <c r="H1823" s="25" t="str">
        <f>IF($N1823="","",INDEX('_calc'!$F$2:$F$3001,$N1823))</f>
        <v/>
      </c>
      <c r="I1823" s="27" t="str">
        <f>IF($N1823="","",INDEX('_calc'!$H$2:$H$3001,$N1823))</f>
        <v/>
      </c>
      <c r="J1823" s="27" t="str">
        <f>IF($N1823="","",INDEX('_calc'!$I$2:$I$3001,$N1823))</f>
        <v/>
      </c>
      <c r="K1823" s="28" t="str">
        <f>IF($N1823="","",IF(OR(I1823="",J1823=""),"",J1823-I1823))</f>
        <v/>
      </c>
      <c r="L1823" s="29" t="str">
        <f>IF($N1823="","",INDEX('_calc'!$J$2:$J$3001,$N1823))</f>
        <v/>
      </c>
      <c r="M1823" s="2" t="str">
        <f>IF($N1823="","",IF(AND(G1823=0,H1823=0),"수량 없음",IF(G1823=0,"신규 (전년 수량 없음)",IF(H1823=0,"당해 수량 없음",""))))</f>
        <v/>
      </c>
      <c r="N1823" t="str">
        <f>IF($B1823="","",MATCH($B1823,'_calc'!$L$2:$L$3001,0))</f>
        <v/>
      </c>
    </row>
    <row r="1824">
      <c r="B1824" s="24" t="str">
        <f>IF(ROW()-ROW($B$8)&gt;nComp,"",ROW()-ROW($B$8))</f>
        <v/>
      </c>
      <c r="C1824" t="str">
        <f>IF($N1824="","",INDEX('_calc'!$A$2:$A$3001,$N1824))</f>
        <v/>
      </c>
      <c r="D1824" s="25" t="str">
        <f>IF($N1824="","",INDEX('_calc'!$C$2:$C$3001,$N1824))</f>
        <v/>
      </c>
      <c r="E1824" s="25" t="str">
        <f>IF($N1824="","",INDEX('_calc'!$D$2:$D$3001,$N1824))</f>
        <v/>
      </c>
      <c r="F1824" s="26" t="str">
        <f>IF($N1824="","",IF($E$8=0,"",E1824/$E$8))</f>
        <v/>
      </c>
      <c r="G1824" s="25" t="str">
        <f>IF($N1824="","",INDEX('_calc'!$E$2:$E$3001,$N1824))</f>
        <v/>
      </c>
      <c r="H1824" s="25" t="str">
        <f>IF($N1824="","",INDEX('_calc'!$F$2:$F$3001,$N1824))</f>
        <v/>
      </c>
      <c r="I1824" s="27" t="str">
        <f>IF($N1824="","",INDEX('_calc'!$H$2:$H$3001,$N1824))</f>
        <v/>
      </c>
      <c r="J1824" s="27" t="str">
        <f>IF($N1824="","",INDEX('_calc'!$I$2:$I$3001,$N1824))</f>
        <v/>
      </c>
      <c r="K1824" s="28" t="str">
        <f>IF($N1824="","",IF(OR(I1824="",J1824=""),"",J1824-I1824))</f>
        <v/>
      </c>
      <c r="L1824" s="29" t="str">
        <f>IF($N1824="","",INDEX('_calc'!$J$2:$J$3001,$N1824))</f>
        <v/>
      </c>
      <c r="M1824" s="2" t="str">
        <f>IF($N1824="","",IF(AND(G1824=0,H1824=0),"수량 없음",IF(G1824=0,"신규 (전년 수량 없음)",IF(H1824=0,"당해 수량 없음",""))))</f>
        <v/>
      </c>
      <c r="N1824" t="str">
        <f>IF($B1824="","",MATCH($B1824,'_calc'!$L$2:$L$3001,0))</f>
        <v/>
      </c>
    </row>
    <row r="1825">
      <c r="B1825" s="24" t="str">
        <f>IF(ROW()-ROW($B$8)&gt;nComp,"",ROW()-ROW($B$8))</f>
        <v/>
      </c>
      <c r="C1825" t="str">
        <f>IF($N1825="","",INDEX('_calc'!$A$2:$A$3001,$N1825))</f>
        <v/>
      </c>
      <c r="D1825" s="25" t="str">
        <f>IF($N1825="","",INDEX('_calc'!$C$2:$C$3001,$N1825))</f>
        <v/>
      </c>
      <c r="E1825" s="25" t="str">
        <f>IF($N1825="","",INDEX('_calc'!$D$2:$D$3001,$N1825))</f>
        <v/>
      </c>
      <c r="F1825" s="26" t="str">
        <f>IF($N1825="","",IF($E$8=0,"",E1825/$E$8))</f>
        <v/>
      </c>
      <c r="G1825" s="25" t="str">
        <f>IF($N1825="","",INDEX('_calc'!$E$2:$E$3001,$N1825))</f>
        <v/>
      </c>
      <c r="H1825" s="25" t="str">
        <f>IF($N1825="","",INDEX('_calc'!$F$2:$F$3001,$N1825))</f>
        <v/>
      </c>
      <c r="I1825" s="27" t="str">
        <f>IF($N1825="","",INDEX('_calc'!$H$2:$H$3001,$N1825))</f>
        <v/>
      </c>
      <c r="J1825" s="27" t="str">
        <f>IF($N1825="","",INDEX('_calc'!$I$2:$I$3001,$N1825))</f>
        <v/>
      </c>
      <c r="K1825" s="28" t="str">
        <f>IF($N1825="","",IF(OR(I1825="",J1825=""),"",J1825-I1825))</f>
        <v/>
      </c>
      <c r="L1825" s="29" t="str">
        <f>IF($N1825="","",INDEX('_calc'!$J$2:$J$3001,$N1825))</f>
        <v/>
      </c>
      <c r="M1825" s="2" t="str">
        <f>IF($N1825="","",IF(AND(G1825=0,H1825=0),"수량 없음",IF(G1825=0,"신규 (전년 수량 없음)",IF(H1825=0,"당해 수량 없음",""))))</f>
        <v/>
      </c>
      <c r="N1825" t="str">
        <f>IF($B1825="","",MATCH($B1825,'_calc'!$L$2:$L$3001,0))</f>
        <v/>
      </c>
    </row>
    <row r="1826">
      <c r="B1826" s="24" t="str">
        <f>IF(ROW()-ROW($B$8)&gt;nComp,"",ROW()-ROW($B$8))</f>
        <v/>
      </c>
      <c r="C1826" t="str">
        <f>IF($N1826="","",INDEX('_calc'!$A$2:$A$3001,$N1826))</f>
        <v/>
      </c>
      <c r="D1826" s="25" t="str">
        <f>IF($N1826="","",INDEX('_calc'!$C$2:$C$3001,$N1826))</f>
        <v/>
      </c>
      <c r="E1826" s="25" t="str">
        <f>IF($N1826="","",INDEX('_calc'!$D$2:$D$3001,$N1826))</f>
        <v/>
      </c>
      <c r="F1826" s="26" t="str">
        <f>IF($N1826="","",IF($E$8=0,"",E1826/$E$8))</f>
        <v/>
      </c>
      <c r="G1826" s="25" t="str">
        <f>IF($N1826="","",INDEX('_calc'!$E$2:$E$3001,$N1826))</f>
        <v/>
      </c>
      <c r="H1826" s="25" t="str">
        <f>IF($N1826="","",INDEX('_calc'!$F$2:$F$3001,$N1826))</f>
        <v/>
      </c>
      <c r="I1826" s="27" t="str">
        <f>IF($N1826="","",INDEX('_calc'!$H$2:$H$3001,$N1826))</f>
        <v/>
      </c>
      <c r="J1826" s="27" t="str">
        <f>IF($N1826="","",INDEX('_calc'!$I$2:$I$3001,$N1826))</f>
        <v/>
      </c>
      <c r="K1826" s="28" t="str">
        <f>IF($N1826="","",IF(OR(I1826="",J1826=""),"",J1826-I1826))</f>
        <v/>
      </c>
      <c r="L1826" s="29" t="str">
        <f>IF($N1826="","",INDEX('_calc'!$J$2:$J$3001,$N1826))</f>
        <v/>
      </c>
      <c r="M1826" s="2" t="str">
        <f>IF($N1826="","",IF(AND(G1826=0,H1826=0),"수량 없음",IF(G1826=0,"신규 (전년 수량 없음)",IF(H1826=0,"당해 수량 없음",""))))</f>
        <v/>
      </c>
      <c r="N1826" t="str">
        <f>IF($B1826="","",MATCH($B1826,'_calc'!$L$2:$L$3001,0))</f>
        <v/>
      </c>
    </row>
    <row r="1827">
      <c r="B1827" s="24" t="str">
        <f>IF(ROW()-ROW($B$8)&gt;nComp,"",ROW()-ROW($B$8))</f>
        <v/>
      </c>
      <c r="C1827" t="str">
        <f>IF($N1827="","",INDEX('_calc'!$A$2:$A$3001,$N1827))</f>
        <v/>
      </c>
      <c r="D1827" s="25" t="str">
        <f>IF($N1827="","",INDEX('_calc'!$C$2:$C$3001,$N1827))</f>
        <v/>
      </c>
      <c r="E1827" s="25" t="str">
        <f>IF($N1827="","",INDEX('_calc'!$D$2:$D$3001,$N1827))</f>
        <v/>
      </c>
      <c r="F1827" s="26" t="str">
        <f>IF($N1827="","",IF($E$8=0,"",E1827/$E$8))</f>
        <v/>
      </c>
      <c r="G1827" s="25" t="str">
        <f>IF($N1827="","",INDEX('_calc'!$E$2:$E$3001,$N1827))</f>
        <v/>
      </c>
      <c r="H1827" s="25" t="str">
        <f>IF($N1827="","",INDEX('_calc'!$F$2:$F$3001,$N1827))</f>
        <v/>
      </c>
      <c r="I1827" s="27" t="str">
        <f>IF($N1827="","",INDEX('_calc'!$H$2:$H$3001,$N1827))</f>
        <v/>
      </c>
      <c r="J1827" s="27" t="str">
        <f>IF($N1827="","",INDEX('_calc'!$I$2:$I$3001,$N1827))</f>
        <v/>
      </c>
      <c r="K1827" s="28" t="str">
        <f>IF($N1827="","",IF(OR(I1827="",J1827=""),"",J1827-I1827))</f>
        <v/>
      </c>
      <c r="L1827" s="29" t="str">
        <f>IF($N1827="","",INDEX('_calc'!$J$2:$J$3001,$N1827))</f>
        <v/>
      </c>
      <c r="M1827" s="2" t="str">
        <f>IF($N1827="","",IF(AND(G1827=0,H1827=0),"수량 없음",IF(G1827=0,"신규 (전년 수량 없음)",IF(H1827=0,"당해 수량 없음",""))))</f>
        <v/>
      </c>
      <c r="N1827" t="str">
        <f>IF($B1827="","",MATCH($B1827,'_calc'!$L$2:$L$3001,0))</f>
        <v/>
      </c>
    </row>
    <row r="1828">
      <c r="B1828" s="24" t="str">
        <f>IF(ROW()-ROW($B$8)&gt;nComp,"",ROW()-ROW($B$8))</f>
        <v/>
      </c>
      <c r="C1828" t="str">
        <f>IF($N1828="","",INDEX('_calc'!$A$2:$A$3001,$N1828))</f>
        <v/>
      </c>
      <c r="D1828" s="25" t="str">
        <f>IF($N1828="","",INDEX('_calc'!$C$2:$C$3001,$N1828))</f>
        <v/>
      </c>
      <c r="E1828" s="25" t="str">
        <f>IF($N1828="","",INDEX('_calc'!$D$2:$D$3001,$N1828))</f>
        <v/>
      </c>
      <c r="F1828" s="26" t="str">
        <f>IF($N1828="","",IF($E$8=0,"",E1828/$E$8))</f>
        <v/>
      </c>
      <c r="G1828" s="25" t="str">
        <f>IF($N1828="","",INDEX('_calc'!$E$2:$E$3001,$N1828))</f>
        <v/>
      </c>
      <c r="H1828" s="25" t="str">
        <f>IF($N1828="","",INDEX('_calc'!$F$2:$F$3001,$N1828))</f>
        <v/>
      </c>
      <c r="I1828" s="27" t="str">
        <f>IF($N1828="","",INDEX('_calc'!$H$2:$H$3001,$N1828))</f>
        <v/>
      </c>
      <c r="J1828" s="27" t="str">
        <f>IF($N1828="","",INDEX('_calc'!$I$2:$I$3001,$N1828))</f>
        <v/>
      </c>
      <c r="K1828" s="28" t="str">
        <f>IF($N1828="","",IF(OR(I1828="",J1828=""),"",J1828-I1828))</f>
        <v/>
      </c>
      <c r="L1828" s="29" t="str">
        <f>IF($N1828="","",INDEX('_calc'!$J$2:$J$3001,$N1828))</f>
        <v/>
      </c>
      <c r="M1828" s="2" t="str">
        <f>IF($N1828="","",IF(AND(G1828=0,H1828=0),"수량 없음",IF(G1828=0,"신규 (전년 수량 없음)",IF(H1828=0,"당해 수량 없음",""))))</f>
        <v/>
      </c>
      <c r="N1828" t="str">
        <f>IF($B1828="","",MATCH($B1828,'_calc'!$L$2:$L$3001,0))</f>
        <v/>
      </c>
    </row>
    <row r="1829">
      <c r="B1829" s="24" t="str">
        <f>IF(ROW()-ROW($B$8)&gt;nComp,"",ROW()-ROW($B$8))</f>
        <v/>
      </c>
      <c r="C1829" t="str">
        <f>IF($N1829="","",INDEX('_calc'!$A$2:$A$3001,$N1829))</f>
        <v/>
      </c>
      <c r="D1829" s="25" t="str">
        <f>IF($N1829="","",INDEX('_calc'!$C$2:$C$3001,$N1829))</f>
        <v/>
      </c>
      <c r="E1829" s="25" t="str">
        <f>IF($N1829="","",INDEX('_calc'!$D$2:$D$3001,$N1829))</f>
        <v/>
      </c>
      <c r="F1829" s="26" t="str">
        <f>IF($N1829="","",IF($E$8=0,"",E1829/$E$8))</f>
        <v/>
      </c>
      <c r="G1829" s="25" t="str">
        <f>IF($N1829="","",INDEX('_calc'!$E$2:$E$3001,$N1829))</f>
        <v/>
      </c>
      <c r="H1829" s="25" t="str">
        <f>IF($N1829="","",INDEX('_calc'!$F$2:$F$3001,$N1829))</f>
        <v/>
      </c>
      <c r="I1829" s="27" t="str">
        <f>IF($N1829="","",INDEX('_calc'!$H$2:$H$3001,$N1829))</f>
        <v/>
      </c>
      <c r="J1829" s="27" t="str">
        <f>IF($N1829="","",INDEX('_calc'!$I$2:$I$3001,$N1829))</f>
        <v/>
      </c>
      <c r="K1829" s="28" t="str">
        <f>IF($N1829="","",IF(OR(I1829="",J1829=""),"",J1829-I1829))</f>
        <v/>
      </c>
      <c r="L1829" s="29" t="str">
        <f>IF($N1829="","",INDEX('_calc'!$J$2:$J$3001,$N1829))</f>
        <v/>
      </c>
      <c r="M1829" s="2" t="str">
        <f>IF($N1829="","",IF(AND(G1829=0,H1829=0),"수량 없음",IF(G1829=0,"신규 (전년 수량 없음)",IF(H1829=0,"당해 수량 없음",""))))</f>
        <v/>
      </c>
      <c r="N1829" t="str">
        <f>IF($B1829="","",MATCH($B1829,'_calc'!$L$2:$L$3001,0))</f>
        <v/>
      </c>
    </row>
    <row r="1830">
      <c r="B1830" s="24" t="str">
        <f>IF(ROW()-ROW($B$8)&gt;nComp,"",ROW()-ROW($B$8))</f>
        <v/>
      </c>
      <c r="C1830" t="str">
        <f>IF($N1830="","",INDEX('_calc'!$A$2:$A$3001,$N1830))</f>
        <v/>
      </c>
      <c r="D1830" s="25" t="str">
        <f>IF($N1830="","",INDEX('_calc'!$C$2:$C$3001,$N1830))</f>
        <v/>
      </c>
      <c r="E1830" s="25" t="str">
        <f>IF($N1830="","",INDEX('_calc'!$D$2:$D$3001,$N1830))</f>
        <v/>
      </c>
      <c r="F1830" s="26" t="str">
        <f>IF($N1830="","",IF($E$8=0,"",E1830/$E$8))</f>
        <v/>
      </c>
      <c r="G1830" s="25" t="str">
        <f>IF($N1830="","",INDEX('_calc'!$E$2:$E$3001,$N1830))</f>
        <v/>
      </c>
      <c r="H1830" s="25" t="str">
        <f>IF($N1830="","",INDEX('_calc'!$F$2:$F$3001,$N1830))</f>
        <v/>
      </c>
      <c r="I1830" s="27" t="str">
        <f>IF($N1830="","",INDEX('_calc'!$H$2:$H$3001,$N1830))</f>
        <v/>
      </c>
      <c r="J1830" s="27" t="str">
        <f>IF($N1830="","",INDEX('_calc'!$I$2:$I$3001,$N1830))</f>
        <v/>
      </c>
      <c r="K1830" s="28" t="str">
        <f>IF($N1830="","",IF(OR(I1830="",J1830=""),"",J1830-I1830))</f>
        <v/>
      </c>
      <c r="L1830" s="29" t="str">
        <f>IF($N1830="","",INDEX('_calc'!$J$2:$J$3001,$N1830))</f>
        <v/>
      </c>
      <c r="M1830" s="2" t="str">
        <f>IF($N1830="","",IF(AND(G1830=0,H1830=0),"수량 없음",IF(G1830=0,"신규 (전년 수량 없음)",IF(H1830=0,"당해 수량 없음",""))))</f>
        <v/>
      </c>
      <c r="N1830" t="str">
        <f>IF($B1830="","",MATCH($B1830,'_calc'!$L$2:$L$3001,0))</f>
        <v/>
      </c>
    </row>
    <row r="1831">
      <c r="B1831" s="24" t="str">
        <f>IF(ROW()-ROW($B$8)&gt;nComp,"",ROW()-ROW($B$8))</f>
        <v/>
      </c>
      <c r="C1831" t="str">
        <f>IF($N1831="","",INDEX('_calc'!$A$2:$A$3001,$N1831))</f>
        <v/>
      </c>
      <c r="D1831" s="25" t="str">
        <f>IF($N1831="","",INDEX('_calc'!$C$2:$C$3001,$N1831))</f>
        <v/>
      </c>
      <c r="E1831" s="25" t="str">
        <f>IF($N1831="","",INDEX('_calc'!$D$2:$D$3001,$N1831))</f>
        <v/>
      </c>
      <c r="F1831" s="26" t="str">
        <f>IF($N1831="","",IF($E$8=0,"",E1831/$E$8))</f>
        <v/>
      </c>
      <c r="G1831" s="25" t="str">
        <f>IF($N1831="","",INDEX('_calc'!$E$2:$E$3001,$N1831))</f>
        <v/>
      </c>
      <c r="H1831" s="25" t="str">
        <f>IF($N1831="","",INDEX('_calc'!$F$2:$F$3001,$N1831))</f>
        <v/>
      </c>
      <c r="I1831" s="27" t="str">
        <f>IF($N1831="","",INDEX('_calc'!$H$2:$H$3001,$N1831))</f>
        <v/>
      </c>
      <c r="J1831" s="27" t="str">
        <f>IF($N1831="","",INDEX('_calc'!$I$2:$I$3001,$N1831))</f>
        <v/>
      </c>
      <c r="K1831" s="28" t="str">
        <f>IF($N1831="","",IF(OR(I1831="",J1831=""),"",J1831-I1831))</f>
        <v/>
      </c>
      <c r="L1831" s="29" t="str">
        <f>IF($N1831="","",INDEX('_calc'!$J$2:$J$3001,$N1831))</f>
        <v/>
      </c>
      <c r="M1831" s="2" t="str">
        <f>IF($N1831="","",IF(AND(G1831=0,H1831=0),"수량 없음",IF(G1831=0,"신규 (전년 수량 없음)",IF(H1831=0,"당해 수량 없음",""))))</f>
        <v/>
      </c>
      <c r="N1831" t="str">
        <f>IF($B1831="","",MATCH($B1831,'_calc'!$L$2:$L$3001,0))</f>
        <v/>
      </c>
    </row>
    <row r="1832">
      <c r="B1832" s="24" t="str">
        <f>IF(ROW()-ROW($B$8)&gt;nComp,"",ROW()-ROW($B$8))</f>
        <v/>
      </c>
      <c r="C1832" t="str">
        <f>IF($N1832="","",INDEX('_calc'!$A$2:$A$3001,$N1832))</f>
        <v/>
      </c>
      <c r="D1832" s="25" t="str">
        <f>IF($N1832="","",INDEX('_calc'!$C$2:$C$3001,$N1832))</f>
        <v/>
      </c>
      <c r="E1832" s="25" t="str">
        <f>IF($N1832="","",INDEX('_calc'!$D$2:$D$3001,$N1832))</f>
        <v/>
      </c>
      <c r="F1832" s="26" t="str">
        <f>IF($N1832="","",IF($E$8=0,"",E1832/$E$8))</f>
        <v/>
      </c>
      <c r="G1832" s="25" t="str">
        <f>IF($N1832="","",INDEX('_calc'!$E$2:$E$3001,$N1832))</f>
        <v/>
      </c>
      <c r="H1832" s="25" t="str">
        <f>IF($N1832="","",INDEX('_calc'!$F$2:$F$3001,$N1832))</f>
        <v/>
      </c>
      <c r="I1832" s="27" t="str">
        <f>IF($N1832="","",INDEX('_calc'!$H$2:$H$3001,$N1832))</f>
        <v/>
      </c>
      <c r="J1832" s="27" t="str">
        <f>IF($N1832="","",INDEX('_calc'!$I$2:$I$3001,$N1832))</f>
        <v/>
      </c>
      <c r="K1832" s="28" t="str">
        <f>IF($N1832="","",IF(OR(I1832="",J1832=""),"",J1832-I1832))</f>
        <v/>
      </c>
      <c r="L1832" s="29" t="str">
        <f>IF($N1832="","",INDEX('_calc'!$J$2:$J$3001,$N1832))</f>
        <v/>
      </c>
      <c r="M1832" s="2" t="str">
        <f>IF($N1832="","",IF(AND(G1832=0,H1832=0),"수량 없음",IF(G1832=0,"신규 (전년 수량 없음)",IF(H1832=0,"당해 수량 없음",""))))</f>
        <v/>
      </c>
      <c r="N1832" t="str">
        <f>IF($B1832="","",MATCH($B1832,'_calc'!$L$2:$L$3001,0))</f>
        <v/>
      </c>
    </row>
    <row r="1833">
      <c r="B1833" s="24" t="str">
        <f>IF(ROW()-ROW($B$8)&gt;nComp,"",ROW()-ROW($B$8))</f>
        <v/>
      </c>
      <c r="C1833" t="str">
        <f>IF($N1833="","",INDEX('_calc'!$A$2:$A$3001,$N1833))</f>
        <v/>
      </c>
      <c r="D1833" s="25" t="str">
        <f>IF($N1833="","",INDEX('_calc'!$C$2:$C$3001,$N1833))</f>
        <v/>
      </c>
      <c r="E1833" s="25" t="str">
        <f>IF($N1833="","",INDEX('_calc'!$D$2:$D$3001,$N1833))</f>
        <v/>
      </c>
      <c r="F1833" s="26" t="str">
        <f>IF($N1833="","",IF($E$8=0,"",E1833/$E$8))</f>
        <v/>
      </c>
      <c r="G1833" s="25" t="str">
        <f>IF($N1833="","",INDEX('_calc'!$E$2:$E$3001,$N1833))</f>
        <v/>
      </c>
      <c r="H1833" s="25" t="str">
        <f>IF($N1833="","",INDEX('_calc'!$F$2:$F$3001,$N1833))</f>
        <v/>
      </c>
      <c r="I1833" s="27" t="str">
        <f>IF($N1833="","",INDEX('_calc'!$H$2:$H$3001,$N1833))</f>
        <v/>
      </c>
      <c r="J1833" s="27" t="str">
        <f>IF($N1833="","",INDEX('_calc'!$I$2:$I$3001,$N1833))</f>
        <v/>
      </c>
      <c r="K1833" s="28" t="str">
        <f>IF($N1833="","",IF(OR(I1833="",J1833=""),"",J1833-I1833))</f>
        <v/>
      </c>
      <c r="L1833" s="29" t="str">
        <f>IF($N1833="","",INDEX('_calc'!$J$2:$J$3001,$N1833))</f>
        <v/>
      </c>
      <c r="M1833" s="2" t="str">
        <f>IF($N1833="","",IF(AND(G1833=0,H1833=0),"수량 없음",IF(G1833=0,"신규 (전년 수량 없음)",IF(H1833=0,"당해 수량 없음",""))))</f>
        <v/>
      </c>
      <c r="N1833" t="str">
        <f>IF($B1833="","",MATCH($B1833,'_calc'!$L$2:$L$3001,0))</f>
        <v/>
      </c>
    </row>
    <row r="1834">
      <c r="B1834" s="24" t="str">
        <f>IF(ROW()-ROW($B$8)&gt;nComp,"",ROW()-ROW($B$8))</f>
        <v/>
      </c>
      <c r="C1834" t="str">
        <f>IF($N1834="","",INDEX('_calc'!$A$2:$A$3001,$N1834))</f>
        <v/>
      </c>
      <c r="D1834" s="25" t="str">
        <f>IF($N1834="","",INDEX('_calc'!$C$2:$C$3001,$N1834))</f>
        <v/>
      </c>
      <c r="E1834" s="25" t="str">
        <f>IF($N1834="","",INDEX('_calc'!$D$2:$D$3001,$N1834))</f>
        <v/>
      </c>
      <c r="F1834" s="26" t="str">
        <f>IF($N1834="","",IF($E$8=0,"",E1834/$E$8))</f>
        <v/>
      </c>
      <c r="G1834" s="25" t="str">
        <f>IF($N1834="","",INDEX('_calc'!$E$2:$E$3001,$N1834))</f>
        <v/>
      </c>
      <c r="H1834" s="25" t="str">
        <f>IF($N1834="","",INDEX('_calc'!$F$2:$F$3001,$N1834))</f>
        <v/>
      </c>
      <c r="I1834" s="27" t="str">
        <f>IF($N1834="","",INDEX('_calc'!$H$2:$H$3001,$N1834))</f>
        <v/>
      </c>
      <c r="J1834" s="27" t="str">
        <f>IF($N1834="","",INDEX('_calc'!$I$2:$I$3001,$N1834))</f>
        <v/>
      </c>
      <c r="K1834" s="28" t="str">
        <f>IF($N1834="","",IF(OR(I1834="",J1834=""),"",J1834-I1834))</f>
        <v/>
      </c>
      <c r="L1834" s="29" t="str">
        <f>IF($N1834="","",INDEX('_calc'!$J$2:$J$3001,$N1834))</f>
        <v/>
      </c>
      <c r="M1834" s="2" t="str">
        <f>IF($N1834="","",IF(AND(G1834=0,H1834=0),"수량 없음",IF(G1834=0,"신규 (전년 수량 없음)",IF(H1834=0,"당해 수량 없음",""))))</f>
        <v/>
      </c>
      <c r="N1834" t="str">
        <f>IF($B1834="","",MATCH($B1834,'_calc'!$L$2:$L$3001,0))</f>
        <v/>
      </c>
    </row>
    <row r="1835">
      <c r="B1835" s="24" t="str">
        <f>IF(ROW()-ROW($B$8)&gt;nComp,"",ROW()-ROW($B$8))</f>
        <v/>
      </c>
      <c r="C1835" t="str">
        <f>IF($N1835="","",INDEX('_calc'!$A$2:$A$3001,$N1835))</f>
        <v/>
      </c>
      <c r="D1835" s="25" t="str">
        <f>IF($N1835="","",INDEX('_calc'!$C$2:$C$3001,$N1835))</f>
        <v/>
      </c>
      <c r="E1835" s="25" t="str">
        <f>IF($N1835="","",INDEX('_calc'!$D$2:$D$3001,$N1835))</f>
        <v/>
      </c>
      <c r="F1835" s="26" t="str">
        <f>IF($N1835="","",IF($E$8=0,"",E1835/$E$8))</f>
        <v/>
      </c>
      <c r="G1835" s="25" t="str">
        <f>IF($N1835="","",INDEX('_calc'!$E$2:$E$3001,$N1835))</f>
        <v/>
      </c>
      <c r="H1835" s="25" t="str">
        <f>IF($N1835="","",INDEX('_calc'!$F$2:$F$3001,$N1835))</f>
        <v/>
      </c>
      <c r="I1835" s="27" t="str">
        <f>IF($N1835="","",INDEX('_calc'!$H$2:$H$3001,$N1835))</f>
        <v/>
      </c>
      <c r="J1835" s="27" t="str">
        <f>IF($N1835="","",INDEX('_calc'!$I$2:$I$3001,$N1835))</f>
        <v/>
      </c>
      <c r="K1835" s="28" t="str">
        <f>IF($N1835="","",IF(OR(I1835="",J1835=""),"",J1835-I1835))</f>
        <v/>
      </c>
      <c r="L1835" s="29" t="str">
        <f>IF($N1835="","",INDEX('_calc'!$J$2:$J$3001,$N1835))</f>
        <v/>
      </c>
      <c r="M1835" s="2" t="str">
        <f>IF($N1835="","",IF(AND(G1835=0,H1835=0),"수량 없음",IF(G1835=0,"신규 (전년 수량 없음)",IF(H1835=0,"당해 수량 없음",""))))</f>
        <v/>
      </c>
      <c r="N1835" t="str">
        <f>IF($B1835="","",MATCH($B1835,'_calc'!$L$2:$L$3001,0))</f>
        <v/>
      </c>
    </row>
    <row r="1836">
      <c r="B1836" s="24" t="str">
        <f>IF(ROW()-ROW($B$8)&gt;nComp,"",ROW()-ROW($B$8))</f>
        <v/>
      </c>
      <c r="C1836" t="str">
        <f>IF($N1836="","",INDEX('_calc'!$A$2:$A$3001,$N1836))</f>
        <v/>
      </c>
      <c r="D1836" s="25" t="str">
        <f>IF($N1836="","",INDEX('_calc'!$C$2:$C$3001,$N1836))</f>
        <v/>
      </c>
      <c r="E1836" s="25" t="str">
        <f>IF($N1836="","",INDEX('_calc'!$D$2:$D$3001,$N1836))</f>
        <v/>
      </c>
      <c r="F1836" s="26" t="str">
        <f>IF($N1836="","",IF($E$8=0,"",E1836/$E$8))</f>
        <v/>
      </c>
      <c r="G1836" s="25" t="str">
        <f>IF($N1836="","",INDEX('_calc'!$E$2:$E$3001,$N1836))</f>
        <v/>
      </c>
      <c r="H1836" s="25" t="str">
        <f>IF($N1836="","",INDEX('_calc'!$F$2:$F$3001,$N1836))</f>
        <v/>
      </c>
      <c r="I1836" s="27" t="str">
        <f>IF($N1836="","",INDEX('_calc'!$H$2:$H$3001,$N1836))</f>
        <v/>
      </c>
      <c r="J1836" s="27" t="str">
        <f>IF($N1836="","",INDEX('_calc'!$I$2:$I$3001,$N1836))</f>
        <v/>
      </c>
      <c r="K1836" s="28" t="str">
        <f>IF($N1836="","",IF(OR(I1836="",J1836=""),"",J1836-I1836))</f>
        <v/>
      </c>
      <c r="L1836" s="29" t="str">
        <f>IF($N1836="","",INDEX('_calc'!$J$2:$J$3001,$N1836))</f>
        <v/>
      </c>
      <c r="M1836" s="2" t="str">
        <f>IF($N1836="","",IF(AND(G1836=0,H1836=0),"수량 없음",IF(G1836=0,"신규 (전년 수량 없음)",IF(H1836=0,"당해 수량 없음",""))))</f>
        <v/>
      </c>
      <c r="N1836" t="str">
        <f>IF($B1836="","",MATCH($B1836,'_calc'!$L$2:$L$3001,0))</f>
        <v/>
      </c>
    </row>
    <row r="1837">
      <c r="B1837" s="24" t="str">
        <f>IF(ROW()-ROW($B$8)&gt;nComp,"",ROW()-ROW($B$8))</f>
        <v/>
      </c>
      <c r="C1837" t="str">
        <f>IF($N1837="","",INDEX('_calc'!$A$2:$A$3001,$N1837))</f>
        <v/>
      </c>
      <c r="D1837" s="25" t="str">
        <f>IF($N1837="","",INDEX('_calc'!$C$2:$C$3001,$N1837))</f>
        <v/>
      </c>
      <c r="E1837" s="25" t="str">
        <f>IF($N1837="","",INDEX('_calc'!$D$2:$D$3001,$N1837))</f>
        <v/>
      </c>
      <c r="F1837" s="26" t="str">
        <f>IF($N1837="","",IF($E$8=0,"",E1837/$E$8))</f>
        <v/>
      </c>
      <c r="G1837" s="25" t="str">
        <f>IF($N1837="","",INDEX('_calc'!$E$2:$E$3001,$N1837))</f>
        <v/>
      </c>
      <c r="H1837" s="25" t="str">
        <f>IF($N1837="","",INDEX('_calc'!$F$2:$F$3001,$N1837))</f>
        <v/>
      </c>
      <c r="I1837" s="27" t="str">
        <f>IF($N1837="","",INDEX('_calc'!$H$2:$H$3001,$N1837))</f>
        <v/>
      </c>
      <c r="J1837" s="27" t="str">
        <f>IF($N1837="","",INDEX('_calc'!$I$2:$I$3001,$N1837))</f>
        <v/>
      </c>
      <c r="K1837" s="28" t="str">
        <f>IF($N1837="","",IF(OR(I1837="",J1837=""),"",J1837-I1837))</f>
        <v/>
      </c>
      <c r="L1837" s="29" t="str">
        <f>IF($N1837="","",INDEX('_calc'!$J$2:$J$3001,$N1837))</f>
        <v/>
      </c>
      <c r="M1837" s="2" t="str">
        <f>IF($N1837="","",IF(AND(G1837=0,H1837=0),"수량 없음",IF(G1837=0,"신규 (전년 수량 없음)",IF(H1837=0,"당해 수량 없음",""))))</f>
        <v/>
      </c>
      <c r="N1837" t="str">
        <f>IF($B1837="","",MATCH($B1837,'_calc'!$L$2:$L$3001,0))</f>
        <v/>
      </c>
    </row>
    <row r="1838">
      <c r="B1838" s="24" t="str">
        <f>IF(ROW()-ROW($B$8)&gt;nComp,"",ROW()-ROW($B$8))</f>
        <v/>
      </c>
      <c r="C1838" t="str">
        <f>IF($N1838="","",INDEX('_calc'!$A$2:$A$3001,$N1838))</f>
        <v/>
      </c>
      <c r="D1838" s="25" t="str">
        <f>IF($N1838="","",INDEX('_calc'!$C$2:$C$3001,$N1838))</f>
        <v/>
      </c>
      <c r="E1838" s="25" t="str">
        <f>IF($N1838="","",INDEX('_calc'!$D$2:$D$3001,$N1838))</f>
        <v/>
      </c>
      <c r="F1838" s="26" t="str">
        <f>IF($N1838="","",IF($E$8=0,"",E1838/$E$8))</f>
        <v/>
      </c>
      <c r="G1838" s="25" t="str">
        <f>IF($N1838="","",INDEX('_calc'!$E$2:$E$3001,$N1838))</f>
        <v/>
      </c>
      <c r="H1838" s="25" t="str">
        <f>IF($N1838="","",INDEX('_calc'!$F$2:$F$3001,$N1838))</f>
        <v/>
      </c>
      <c r="I1838" s="27" t="str">
        <f>IF($N1838="","",INDEX('_calc'!$H$2:$H$3001,$N1838))</f>
        <v/>
      </c>
      <c r="J1838" s="27" t="str">
        <f>IF($N1838="","",INDEX('_calc'!$I$2:$I$3001,$N1838))</f>
        <v/>
      </c>
      <c r="K1838" s="28" t="str">
        <f>IF($N1838="","",IF(OR(I1838="",J1838=""),"",J1838-I1838))</f>
        <v/>
      </c>
      <c r="L1838" s="29" t="str">
        <f>IF($N1838="","",INDEX('_calc'!$J$2:$J$3001,$N1838))</f>
        <v/>
      </c>
      <c r="M1838" s="2" t="str">
        <f>IF($N1838="","",IF(AND(G1838=0,H1838=0),"수량 없음",IF(G1838=0,"신규 (전년 수량 없음)",IF(H1838=0,"당해 수량 없음",""))))</f>
        <v/>
      </c>
      <c r="N1838" t="str">
        <f>IF($B1838="","",MATCH($B1838,'_calc'!$L$2:$L$3001,0))</f>
        <v/>
      </c>
    </row>
    <row r="1839">
      <c r="B1839" s="24" t="str">
        <f>IF(ROW()-ROW($B$8)&gt;nComp,"",ROW()-ROW($B$8))</f>
        <v/>
      </c>
      <c r="C1839" t="str">
        <f>IF($N1839="","",INDEX('_calc'!$A$2:$A$3001,$N1839))</f>
        <v/>
      </c>
      <c r="D1839" s="25" t="str">
        <f>IF($N1839="","",INDEX('_calc'!$C$2:$C$3001,$N1839))</f>
        <v/>
      </c>
      <c r="E1839" s="25" t="str">
        <f>IF($N1839="","",INDEX('_calc'!$D$2:$D$3001,$N1839))</f>
        <v/>
      </c>
      <c r="F1839" s="26" t="str">
        <f>IF($N1839="","",IF($E$8=0,"",E1839/$E$8))</f>
        <v/>
      </c>
      <c r="G1839" s="25" t="str">
        <f>IF($N1839="","",INDEX('_calc'!$E$2:$E$3001,$N1839))</f>
        <v/>
      </c>
      <c r="H1839" s="25" t="str">
        <f>IF($N1839="","",INDEX('_calc'!$F$2:$F$3001,$N1839))</f>
        <v/>
      </c>
      <c r="I1839" s="27" t="str">
        <f>IF($N1839="","",INDEX('_calc'!$H$2:$H$3001,$N1839))</f>
        <v/>
      </c>
      <c r="J1839" s="27" t="str">
        <f>IF($N1839="","",INDEX('_calc'!$I$2:$I$3001,$N1839))</f>
        <v/>
      </c>
      <c r="K1839" s="28" t="str">
        <f>IF($N1839="","",IF(OR(I1839="",J1839=""),"",J1839-I1839))</f>
        <v/>
      </c>
      <c r="L1839" s="29" t="str">
        <f>IF($N1839="","",INDEX('_calc'!$J$2:$J$3001,$N1839))</f>
        <v/>
      </c>
      <c r="M1839" s="2" t="str">
        <f>IF($N1839="","",IF(AND(G1839=0,H1839=0),"수량 없음",IF(G1839=0,"신규 (전년 수량 없음)",IF(H1839=0,"당해 수량 없음",""))))</f>
        <v/>
      </c>
      <c r="N1839" t="str">
        <f>IF($B1839="","",MATCH($B1839,'_calc'!$L$2:$L$3001,0))</f>
        <v/>
      </c>
    </row>
    <row r="1840">
      <c r="B1840" s="24" t="str">
        <f>IF(ROW()-ROW($B$8)&gt;nComp,"",ROW()-ROW($B$8))</f>
        <v/>
      </c>
      <c r="C1840" t="str">
        <f>IF($N1840="","",INDEX('_calc'!$A$2:$A$3001,$N1840))</f>
        <v/>
      </c>
      <c r="D1840" s="25" t="str">
        <f>IF($N1840="","",INDEX('_calc'!$C$2:$C$3001,$N1840))</f>
        <v/>
      </c>
      <c r="E1840" s="25" t="str">
        <f>IF($N1840="","",INDEX('_calc'!$D$2:$D$3001,$N1840))</f>
        <v/>
      </c>
      <c r="F1840" s="26" t="str">
        <f>IF($N1840="","",IF($E$8=0,"",E1840/$E$8))</f>
        <v/>
      </c>
      <c r="G1840" s="25" t="str">
        <f>IF($N1840="","",INDEX('_calc'!$E$2:$E$3001,$N1840))</f>
        <v/>
      </c>
      <c r="H1840" s="25" t="str">
        <f>IF($N1840="","",INDEX('_calc'!$F$2:$F$3001,$N1840))</f>
        <v/>
      </c>
      <c r="I1840" s="27" t="str">
        <f>IF($N1840="","",INDEX('_calc'!$H$2:$H$3001,$N1840))</f>
        <v/>
      </c>
      <c r="J1840" s="27" t="str">
        <f>IF($N1840="","",INDEX('_calc'!$I$2:$I$3001,$N1840))</f>
        <v/>
      </c>
      <c r="K1840" s="28" t="str">
        <f>IF($N1840="","",IF(OR(I1840="",J1840=""),"",J1840-I1840))</f>
        <v/>
      </c>
      <c r="L1840" s="29" t="str">
        <f>IF($N1840="","",INDEX('_calc'!$J$2:$J$3001,$N1840))</f>
        <v/>
      </c>
      <c r="M1840" s="2" t="str">
        <f>IF($N1840="","",IF(AND(G1840=0,H1840=0),"수량 없음",IF(G1840=0,"신규 (전년 수량 없음)",IF(H1840=0,"당해 수량 없음",""))))</f>
        <v/>
      </c>
      <c r="N1840" t="str">
        <f>IF($B1840="","",MATCH($B1840,'_calc'!$L$2:$L$3001,0))</f>
        <v/>
      </c>
    </row>
    <row r="1841">
      <c r="B1841" s="24" t="str">
        <f>IF(ROW()-ROW($B$8)&gt;nComp,"",ROW()-ROW($B$8))</f>
        <v/>
      </c>
      <c r="C1841" t="str">
        <f>IF($N1841="","",INDEX('_calc'!$A$2:$A$3001,$N1841))</f>
        <v/>
      </c>
      <c r="D1841" s="25" t="str">
        <f>IF($N1841="","",INDEX('_calc'!$C$2:$C$3001,$N1841))</f>
        <v/>
      </c>
      <c r="E1841" s="25" t="str">
        <f>IF($N1841="","",INDEX('_calc'!$D$2:$D$3001,$N1841))</f>
        <v/>
      </c>
      <c r="F1841" s="26" t="str">
        <f>IF($N1841="","",IF($E$8=0,"",E1841/$E$8))</f>
        <v/>
      </c>
      <c r="G1841" s="25" t="str">
        <f>IF($N1841="","",INDEX('_calc'!$E$2:$E$3001,$N1841))</f>
        <v/>
      </c>
      <c r="H1841" s="25" t="str">
        <f>IF($N1841="","",INDEX('_calc'!$F$2:$F$3001,$N1841))</f>
        <v/>
      </c>
      <c r="I1841" s="27" t="str">
        <f>IF($N1841="","",INDEX('_calc'!$H$2:$H$3001,$N1841))</f>
        <v/>
      </c>
      <c r="J1841" s="27" t="str">
        <f>IF($N1841="","",INDEX('_calc'!$I$2:$I$3001,$N1841))</f>
        <v/>
      </c>
      <c r="K1841" s="28" t="str">
        <f>IF($N1841="","",IF(OR(I1841="",J1841=""),"",J1841-I1841))</f>
        <v/>
      </c>
      <c r="L1841" s="29" t="str">
        <f>IF($N1841="","",INDEX('_calc'!$J$2:$J$3001,$N1841))</f>
        <v/>
      </c>
      <c r="M1841" s="2" t="str">
        <f>IF($N1841="","",IF(AND(G1841=0,H1841=0),"수량 없음",IF(G1841=0,"신규 (전년 수량 없음)",IF(H1841=0,"당해 수량 없음",""))))</f>
        <v/>
      </c>
      <c r="N1841" t="str">
        <f>IF($B1841="","",MATCH($B1841,'_calc'!$L$2:$L$3001,0))</f>
        <v/>
      </c>
    </row>
    <row r="1842">
      <c r="B1842" s="24" t="str">
        <f>IF(ROW()-ROW($B$8)&gt;nComp,"",ROW()-ROW($B$8))</f>
        <v/>
      </c>
      <c r="C1842" t="str">
        <f>IF($N1842="","",INDEX('_calc'!$A$2:$A$3001,$N1842))</f>
        <v/>
      </c>
      <c r="D1842" s="25" t="str">
        <f>IF($N1842="","",INDEX('_calc'!$C$2:$C$3001,$N1842))</f>
        <v/>
      </c>
      <c r="E1842" s="25" t="str">
        <f>IF($N1842="","",INDEX('_calc'!$D$2:$D$3001,$N1842))</f>
        <v/>
      </c>
      <c r="F1842" s="26" t="str">
        <f>IF($N1842="","",IF($E$8=0,"",E1842/$E$8))</f>
        <v/>
      </c>
      <c r="G1842" s="25" t="str">
        <f>IF($N1842="","",INDEX('_calc'!$E$2:$E$3001,$N1842))</f>
        <v/>
      </c>
      <c r="H1842" s="25" t="str">
        <f>IF($N1842="","",INDEX('_calc'!$F$2:$F$3001,$N1842))</f>
        <v/>
      </c>
      <c r="I1842" s="27" t="str">
        <f>IF($N1842="","",INDEX('_calc'!$H$2:$H$3001,$N1842))</f>
        <v/>
      </c>
      <c r="J1842" s="27" t="str">
        <f>IF($N1842="","",INDEX('_calc'!$I$2:$I$3001,$N1842))</f>
        <v/>
      </c>
      <c r="K1842" s="28" t="str">
        <f>IF($N1842="","",IF(OR(I1842="",J1842=""),"",J1842-I1842))</f>
        <v/>
      </c>
      <c r="L1842" s="29" t="str">
        <f>IF($N1842="","",INDEX('_calc'!$J$2:$J$3001,$N1842))</f>
        <v/>
      </c>
      <c r="M1842" s="2" t="str">
        <f>IF($N1842="","",IF(AND(G1842=0,H1842=0),"수량 없음",IF(G1842=0,"신규 (전년 수량 없음)",IF(H1842=0,"당해 수량 없음",""))))</f>
        <v/>
      </c>
      <c r="N1842" t="str">
        <f>IF($B1842="","",MATCH($B1842,'_calc'!$L$2:$L$3001,0))</f>
        <v/>
      </c>
    </row>
    <row r="1843">
      <c r="B1843" s="24" t="str">
        <f>IF(ROW()-ROW($B$8)&gt;nComp,"",ROW()-ROW($B$8))</f>
        <v/>
      </c>
      <c r="C1843" t="str">
        <f>IF($N1843="","",INDEX('_calc'!$A$2:$A$3001,$N1843))</f>
        <v/>
      </c>
      <c r="D1843" s="25" t="str">
        <f>IF($N1843="","",INDEX('_calc'!$C$2:$C$3001,$N1843))</f>
        <v/>
      </c>
      <c r="E1843" s="25" t="str">
        <f>IF($N1843="","",INDEX('_calc'!$D$2:$D$3001,$N1843))</f>
        <v/>
      </c>
      <c r="F1843" s="26" t="str">
        <f>IF($N1843="","",IF($E$8=0,"",E1843/$E$8))</f>
        <v/>
      </c>
      <c r="G1843" s="25" t="str">
        <f>IF($N1843="","",INDEX('_calc'!$E$2:$E$3001,$N1843))</f>
        <v/>
      </c>
      <c r="H1843" s="25" t="str">
        <f>IF($N1843="","",INDEX('_calc'!$F$2:$F$3001,$N1843))</f>
        <v/>
      </c>
      <c r="I1843" s="27" t="str">
        <f>IF($N1843="","",INDEX('_calc'!$H$2:$H$3001,$N1843))</f>
        <v/>
      </c>
      <c r="J1843" s="27" t="str">
        <f>IF($N1843="","",INDEX('_calc'!$I$2:$I$3001,$N1843))</f>
        <v/>
      </c>
      <c r="K1843" s="28" t="str">
        <f>IF($N1843="","",IF(OR(I1843="",J1843=""),"",J1843-I1843))</f>
        <v/>
      </c>
      <c r="L1843" s="29" t="str">
        <f>IF($N1843="","",INDEX('_calc'!$J$2:$J$3001,$N1843))</f>
        <v/>
      </c>
      <c r="M1843" s="2" t="str">
        <f>IF($N1843="","",IF(AND(G1843=0,H1843=0),"수량 없음",IF(G1843=0,"신규 (전년 수량 없음)",IF(H1843=0,"당해 수량 없음",""))))</f>
        <v/>
      </c>
      <c r="N1843" t="str">
        <f>IF($B1843="","",MATCH($B1843,'_calc'!$L$2:$L$3001,0))</f>
        <v/>
      </c>
    </row>
    <row r="1844">
      <c r="B1844" s="24" t="str">
        <f>IF(ROW()-ROW($B$8)&gt;nComp,"",ROW()-ROW($B$8))</f>
        <v/>
      </c>
      <c r="C1844" t="str">
        <f>IF($N1844="","",INDEX('_calc'!$A$2:$A$3001,$N1844))</f>
        <v/>
      </c>
      <c r="D1844" s="25" t="str">
        <f>IF($N1844="","",INDEX('_calc'!$C$2:$C$3001,$N1844))</f>
        <v/>
      </c>
      <c r="E1844" s="25" t="str">
        <f>IF($N1844="","",INDEX('_calc'!$D$2:$D$3001,$N1844))</f>
        <v/>
      </c>
      <c r="F1844" s="26" t="str">
        <f>IF($N1844="","",IF($E$8=0,"",E1844/$E$8))</f>
        <v/>
      </c>
      <c r="G1844" s="25" t="str">
        <f>IF($N1844="","",INDEX('_calc'!$E$2:$E$3001,$N1844))</f>
        <v/>
      </c>
      <c r="H1844" s="25" t="str">
        <f>IF($N1844="","",INDEX('_calc'!$F$2:$F$3001,$N1844))</f>
        <v/>
      </c>
      <c r="I1844" s="27" t="str">
        <f>IF($N1844="","",INDEX('_calc'!$H$2:$H$3001,$N1844))</f>
        <v/>
      </c>
      <c r="J1844" s="27" t="str">
        <f>IF($N1844="","",INDEX('_calc'!$I$2:$I$3001,$N1844))</f>
        <v/>
      </c>
      <c r="K1844" s="28" t="str">
        <f>IF($N1844="","",IF(OR(I1844="",J1844=""),"",J1844-I1844))</f>
        <v/>
      </c>
      <c r="L1844" s="29" t="str">
        <f>IF($N1844="","",INDEX('_calc'!$J$2:$J$3001,$N1844))</f>
        <v/>
      </c>
      <c r="M1844" s="2" t="str">
        <f>IF($N1844="","",IF(AND(G1844=0,H1844=0),"수량 없음",IF(G1844=0,"신규 (전년 수량 없음)",IF(H1844=0,"당해 수량 없음",""))))</f>
        <v/>
      </c>
      <c r="N1844" t="str">
        <f>IF($B1844="","",MATCH($B1844,'_calc'!$L$2:$L$3001,0))</f>
        <v/>
      </c>
    </row>
    <row r="1845">
      <c r="B1845" s="24" t="str">
        <f>IF(ROW()-ROW($B$8)&gt;nComp,"",ROW()-ROW($B$8))</f>
        <v/>
      </c>
      <c r="C1845" t="str">
        <f>IF($N1845="","",INDEX('_calc'!$A$2:$A$3001,$N1845))</f>
        <v/>
      </c>
      <c r="D1845" s="25" t="str">
        <f>IF($N1845="","",INDEX('_calc'!$C$2:$C$3001,$N1845))</f>
        <v/>
      </c>
      <c r="E1845" s="25" t="str">
        <f>IF($N1845="","",INDEX('_calc'!$D$2:$D$3001,$N1845))</f>
        <v/>
      </c>
      <c r="F1845" s="26" t="str">
        <f>IF($N1845="","",IF($E$8=0,"",E1845/$E$8))</f>
        <v/>
      </c>
      <c r="G1845" s="25" t="str">
        <f>IF($N1845="","",INDEX('_calc'!$E$2:$E$3001,$N1845))</f>
        <v/>
      </c>
      <c r="H1845" s="25" t="str">
        <f>IF($N1845="","",INDEX('_calc'!$F$2:$F$3001,$N1845))</f>
        <v/>
      </c>
      <c r="I1845" s="27" t="str">
        <f>IF($N1845="","",INDEX('_calc'!$H$2:$H$3001,$N1845))</f>
        <v/>
      </c>
      <c r="J1845" s="27" t="str">
        <f>IF($N1845="","",INDEX('_calc'!$I$2:$I$3001,$N1845))</f>
        <v/>
      </c>
      <c r="K1845" s="28" t="str">
        <f>IF($N1845="","",IF(OR(I1845="",J1845=""),"",J1845-I1845))</f>
        <v/>
      </c>
      <c r="L1845" s="29" t="str">
        <f>IF($N1845="","",INDEX('_calc'!$J$2:$J$3001,$N1845))</f>
        <v/>
      </c>
      <c r="M1845" s="2" t="str">
        <f>IF($N1845="","",IF(AND(G1845=0,H1845=0),"수량 없음",IF(G1845=0,"신규 (전년 수량 없음)",IF(H1845=0,"당해 수량 없음",""))))</f>
        <v/>
      </c>
      <c r="N1845" t="str">
        <f>IF($B1845="","",MATCH($B1845,'_calc'!$L$2:$L$3001,0))</f>
        <v/>
      </c>
    </row>
    <row r="1846">
      <c r="B1846" s="24" t="str">
        <f>IF(ROW()-ROW($B$8)&gt;nComp,"",ROW()-ROW($B$8))</f>
        <v/>
      </c>
      <c r="C1846" t="str">
        <f>IF($N1846="","",INDEX('_calc'!$A$2:$A$3001,$N1846))</f>
        <v/>
      </c>
      <c r="D1846" s="25" t="str">
        <f>IF($N1846="","",INDEX('_calc'!$C$2:$C$3001,$N1846))</f>
        <v/>
      </c>
      <c r="E1846" s="25" t="str">
        <f>IF($N1846="","",INDEX('_calc'!$D$2:$D$3001,$N1846))</f>
        <v/>
      </c>
      <c r="F1846" s="26" t="str">
        <f>IF($N1846="","",IF($E$8=0,"",E1846/$E$8))</f>
        <v/>
      </c>
      <c r="G1846" s="25" t="str">
        <f>IF($N1846="","",INDEX('_calc'!$E$2:$E$3001,$N1846))</f>
        <v/>
      </c>
      <c r="H1846" s="25" t="str">
        <f>IF($N1846="","",INDEX('_calc'!$F$2:$F$3001,$N1846))</f>
        <v/>
      </c>
      <c r="I1846" s="27" t="str">
        <f>IF($N1846="","",INDEX('_calc'!$H$2:$H$3001,$N1846))</f>
        <v/>
      </c>
      <c r="J1846" s="27" t="str">
        <f>IF($N1846="","",INDEX('_calc'!$I$2:$I$3001,$N1846))</f>
        <v/>
      </c>
      <c r="K1846" s="28" t="str">
        <f>IF($N1846="","",IF(OR(I1846="",J1846=""),"",J1846-I1846))</f>
        <v/>
      </c>
      <c r="L1846" s="29" t="str">
        <f>IF($N1846="","",INDEX('_calc'!$J$2:$J$3001,$N1846))</f>
        <v/>
      </c>
      <c r="M1846" s="2" t="str">
        <f>IF($N1846="","",IF(AND(G1846=0,H1846=0),"수량 없음",IF(G1846=0,"신규 (전년 수량 없음)",IF(H1846=0,"당해 수량 없음",""))))</f>
        <v/>
      </c>
      <c r="N1846" t="str">
        <f>IF($B1846="","",MATCH($B1846,'_calc'!$L$2:$L$3001,0))</f>
        <v/>
      </c>
    </row>
    <row r="1847">
      <c r="B1847" s="24" t="str">
        <f>IF(ROW()-ROW($B$8)&gt;nComp,"",ROW()-ROW($B$8))</f>
        <v/>
      </c>
      <c r="C1847" t="str">
        <f>IF($N1847="","",INDEX('_calc'!$A$2:$A$3001,$N1847))</f>
        <v/>
      </c>
      <c r="D1847" s="25" t="str">
        <f>IF($N1847="","",INDEX('_calc'!$C$2:$C$3001,$N1847))</f>
        <v/>
      </c>
      <c r="E1847" s="25" t="str">
        <f>IF($N1847="","",INDEX('_calc'!$D$2:$D$3001,$N1847))</f>
        <v/>
      </c>
      <c r="F1847" s="26" t="str">
        <f>IF($N1847="","",IF($E$8=0,"",E1847/$E$8))</f>
        <v/>
      </c>
      <c r="G1847" s="25" t="str">
        <f>IF($N1847="","",INDEX('_calc'!$E$2:$E$3001,$N1847))</f>
        <v/>
      </c>
      <c r="H1847" s="25" t="str">
        <f>IF($N1847="","",INDEX('_calc'!$F$2:$F$3001,$N1847))</f>
        <v/>
      </c>
      <c r="I1847" s="27" t="str">
        <f>IF($N1847="","",INDEX('_calc'!$H$2:$H$3001,$N1847))</f>
        <v/>
      </c>
      <c r="J1847" s="27" t="str">
        <f>IF($N1847="","",INDEX('_calc'!$I$2:$I$3001,$N1847))</f>
        <v/>
      </c>
      <c r="K1847" s="28" t="str">
        <f>IF($N1847="","",IF(OR(I1847="",J1847=""),"",J1847-I1847))</f>
        <v/>
      </c>
      <c r="L1847" s="29" t="str">
        <f>IF($N1847="","",INDEX('_calc'!$J$2:$J$3001,$N1847))</f>
        <v/>
      </c>
      <c r="M1847" s="2" t="str">
        <f>IF($N1847="","",IF(AND(G1847=0,H1847=0),"수량 없음",IF(G1847=0,"신규 (전년 수량 없음)",IF(H1847=0,"당해 수량 없음",""))))</f>
        <v/>
      </c>
      <c r="N1847" t="str">
        <f>IF($B1847="","",MATCH($B1847,'_calc'!$L$2:$L$3001,0))</f>
        <v/>
      </c>
    </row>
    <row r="1848">
      <c r="B1848" s="24" t="str">
        <f>IF(ROW()-ROW($B$8)&gt;nComp,"",ROW()-ROW($B$8))</f>
        <v/>
      </c>
      <c r="C1848" t="str">
        <f>IF($N1848="","",INDEX('_calc'!$A$2:$A$3001,$N1848))</f>
        <v/>
      </c>
      <c r="D1848" s="25" t="str">
        <f>IF($N1848="","",INDEX('_calc'!$C$2:$C$3001,$N1848))</f>
        <v/>
      </c>
      <c r="E1848" s="25" t="str">
        <f>IF($N1848="","",INDEX('_calc'!$D$2:$D$3001,$N1848))</f>
        <v/>
      </c>
      <c r="F1848" s="26" t="str">
        <f>IF($N1848="","",IF($E$8=0,"",E1848/$E$8))</f>
        <v/>
      </c>
      <c r="G1848" s="25" t="str">
        <f>IF($N1848="","",INDEX('_calc'!$E$2:$E$3001,$N1848))</f>
        <v/>
      </c>
      <c r="H1848" s="25" t="str">
        <f>IF($N1848="","",INDEX('_calc'!$F$2:$F$3001,$N1848))</f>
        <v/>
      </c>
      <c r="I1848" s="27" t="str">
        <f>IF($N1848="","",INDEX('_calc'!$H$2:$H$3001,$N1848))</f>
        <v/>
      </c>
      <c r="J1848" s="27" t="str">
        <f>IF($N1848="","",INDEX('_calc'!$I$2:$I$3001,$N1848))</f>
        <v/>
      </c>
      <c r="K1848" s="28" t="str">
        <f>IF($N1848="","",IF(OR(I1848="",J1848=""),"",J1848-I1848))</f>
        <v/>
      </c>
      <c r="L1848" s="29" t="str">
        <f>IF($N1848="","",INDEX('_calc'!$J$2:$J$3001,$N1848))</f>
        <v/>
      </c>
      <c r="M1848" s="2" t="str">
        <f>IF($N1848="","",IF(AND(G1848=0,H1848=0),"수량 없음",IF(G1848=0,"신규 (전년 수량 없음)",IF(H1848=0,"당해 수량 없음",""))))</f>
        <v/>
      </c>
      <c r="N1848" t="str">
        <f>IF($B1848="","",MATCH($B1848,'_calc'!$L$2:$L$3001,0))</f>
        <v/>
      </c>
    </row>
    <row r="1849">
      <c r="B1849" s="24" t="str">
        <f>IF(ROW()-ROW($B$8)&gt;nComp,"",ROW()-ROW($B$8))</f>
        <v/>
      </c>
      <c r="C1849" t="str">
        <f>IF($N1849="","",INDEX('_calc'!$A$2:$A$3001,$N1849))</f>
        <v/>
      </c>
      <c r="D1849" s="25" t="str">
        <f>IF($N1849="","",INDEX('_calc'!$C$2:$C$3001,$N1849))</f>
        <v/>
      </c>
      <c r="E1849" s="25" t="str">
        <f>IF($N1849="","",INDEX('_calc'!$D$2:$D$3001,$N1849))</f>
        <v/>
      </c>
      <c r="F1849" s="26" t="str">
        <f>IF($N1849="","",IF($E$8=0,"",E1849/$E$8))</f>
        <v/>
      </c>
      <c r="G1849" s="25" t="str">
        <f>IF($N1849="","",INDEX('_calc'!$E$2:$E$3001,$N1849))</f>
        <v/>
      </c>
      <c r="H1849" s="25" t="str">
        <f>IF($N1849="","",INDEX('_calc'!$F$2:$F$3001,$N1849))</f>
        <v/>
      </c>
      <c r="I1849" s="27" t="str">
        <f>IF($N1849="","",INDEX('_calc'!$H$2:$H$3001,$N1849))</f>
        <v/>
      </c>
      <c r="J1849" s="27" t="str">
        <f>IF($N1849="","",INDEX('_calc'!$I$2:$I$3001,$N1849))</f>
        <v/>
      </c>
      <c r="K1849" s="28" t="str">
        <f>IF($N1849="","",IF(OR(I1849="",J1849=""),"",J1849-I1849))</f>
        <v/>
      </c>
      <c r="L1849" s="29" t="str">
        <f>IF($N1849="","",INDEX('_calc'!$J$2:$J$3001,$N1849))</f>
        <v/>
      </c>
      <c r="M1849" s="2" t="str">
        <f>IF($N1849="","",IF(AND(G1849=0,H1849=0),"수량 없음",IF(G1849=0,"신규 (전년 수량 없음)",IF(H1849=0,"당해 수량 없음",""))))</f>
        <v/>
      </c>
      <c r="N1849" t="str">
        <f>IF($B1849="","",MATCH($B1849,'_calc'!$L$2:$L$3001,0))</f>
        <v/>
      </c>
    </row>
    <row r="1850">
      <c r="B1850" s="24" t="str">
        <f>IF(ROW()-ROW($B$8)&gt;nComp,"",ROW()-ROW($B$8))</f>
        <v/>
      </c>
      <c r="C1850" t="str">
        <f>IF($N1850="","",INDEX('_calc'!$A$2:$A$3001,$N1850))</f>
        <v/>
      </c>
      <c r="D1850" s="25" t="str">
        <f>IF($N1850="","",INDEX('_calc'!$C$2:$C$3001,$N1850))</f>
        <v/>
      </c>
      <c r="E1850" s="25" t="str">
        <f>IF($N1850="","",INDEX('_calc'!$D$2:$D$3001,$N1850))</f>
        <v/>
      </c>
      <c r="F1850" s="26" t="str">
        <f>IF($N1850="","",IF($E$8=0,"",E1850/$E$8))</f>
        <v/>
      </c>
      <c r="G1850" s="25" t="str">
        <f>IF($N1850="","",INDEX('_calc'!$E$2:$E$3001,$N1850))</f>
        <v/>
      </c>
      <c r="H1850" s="25" t="str">
        <f>IF($N1850="","",INDEX('_calc'!$F$2:$F$3001,$N1850))</f>
        <v/>
      </c>
      <c r="I1850" s="27" t="str">
        <f>IF($N1850="","",INDEX('_calc'!$H$2:$H$3001,$N1850))</f>
        <v/>
      </c>
      <c r="J1850" s="27" t="str">
        <f>IF($N1850="","",INDEX('_calc'!$I$2:$I$3001,$N1850))</f>
        <v/>
      </c>
      <c r="K1850" s="28" t="str">
        <f>IF($N1850="","",IF(OR(I1850="",J1850=""),"",J1850-I1850))</f>
        <v/>
      </c>
      <c r="L1850" s="29" t="str">
        <f>IF($N1850="","",INDEX('_calc'!$J$2:$J$3001,$N1850))</f>
        <v/>
      </c>
      <c r="M1850" s="2" t="str">
        <f>IF($N1850="","",IF(AND(G1850=0,H1850=0),"수량 없음",IF(G1850=0,"신규 (전년 수량 없음)",IF(H1850=0,"당해 수량 없음",""))))</f>
        <v/>
      </c>
      <c r="N1850" t="str">
        <f>IF($B1850="","",MATCH($B1850,'_calc'!$L$2:$L$3001,0))</f>
        <v/>
      </c>
    </row>
    <row r="1851">
      <c r="B1851" s="24" t="str">
        <f>IF(ROW()-ROW($B$8)&gt;nComp,"",ROW()-ROW($B$8))</f>
        <v/>
      </c>
      <c r="C1851" t="str">
        <f>IF($N1851="","",INDEX('_calc'!$A$2:$A$3001,$N1851))</f>
        <v/>
      </c>
      <c r="D1851" s="25" t="str">
        <f>IF($N1851="","",INDEX('_calc'!$C$2:$C$3001,$N1851))</f>
        <v/>
      </c>
      <c r="E1851" s="25" t="str">
        <f>IF($N1851="","",INDEX('_calc'!$D$2:$D$3001,$N1851))</f>
        <v/>
      </c>
      <c r="F1851" s="26" t="str">
        <f>IF($N1851="","",IF($E$8=0,"",E1851/$E$8))</f>
        <v/>
      </c>
      <c r="G1851" s="25" t="str">
        <f>IF($N1851="","",INDEX('_calc'!$E$2:$E$3001,$N1851))</f>
        <v/>
      </c>
      <c r="H1851" s="25" t="str">
        <f>IF($N1851="","",INDEX('_calc'!$F$2:$F$3001,$N1851))</f>
        <v/>
      </c>
      <c r="I1851" s="27" t="str">
        <f>IF($N1851="","",INDEX('_calc'!$H$2:$H$3001,$N1851))</f>
        <v/>
      </c>
      <c r="J1851" s="27" t="str">
        <f>IF($N1851="","",INDEX('_calc'!$I$2:$I$3001,$N1851))</f>
        <v/>
      </c>
      <c r="K1851" s="28" t="str">
        <f>IF($N1851="","",IF(OR(I1851="",J1851=""),"",J1851-I1851))</f>
        <v/>
      </c>
      <c r="L1851" s="29" t="str">
        <f>IF($N1851="","",INDEX('_calc'!$J$2:$J$3001,$N1851))</f>
        <v/>
      </c>
      <c r="M1851" s="2" t="str">
        <f>IF($N1851="","",IF(AND(G1851=0,H1851=0),"수량 없음",IF(G1851=0,"신규 (전년 수량 없음)",IF(H1851=0,"당해 수량 없음",""))))</f>
        <v/>
      </c>
      <c r="N1851" t="str">
        <f>IF($B1851="","",MATCH($B1851,'_calc'!$L$2:$L$3001,0))</f>
        <v/>
      </c>
    </row>
    <row r="1852">
      <c r="B1852" s="24" t="str">
        <f>IF(ROW()-ROW($B$8)&gt;nComp,"",ROW()-ROW($B$8))</f>
        <v/>
      </c>
      <c r="C1852" t="str">
        <f>IF($N1852="","",INDEX('_calc'!$A$2:$A$3001,$N1852))</f>
        <v/>
      </c>
      <c r="D1852" s="25" t="str">
        <f>IF($N1852="","",INDEX('_calc'!$C$2:$C$3001,$N1852))</f>
        <v/>
      </c>
      <c r="E1852" s="25" t="str">
        <f>IF($N1852="","",INDEX('_calc'!$D$2:$D$3001,$N1852))</f>
        <v/>
      </c>
      <c r="F1852" s="26" t="str">
        <f>IF($N1852="","",IF($E$8=0,"",E1852/$E$8))</f>
        <v/>
      </c>
      <c r="G1852" s="25" t="str">
        <f>IF($N1852="","",INDEX('_calc'!$E$2:$E$3001,$N1852))</f>
        <v/>
      </c>
      <c r="H1852" s="25" t="str">
        <f>IF($N1852="","",INDEX('_calc'!$F$2:$F$3001,$N1852))</f>
        <v/>
      </c>
      <c r="I1852" s="27" t="str">
        <f>IF($N1852="","",INDEX('_calc'!$H$2:$H$3001,$N1852))</f>
        <v/>
      </c>
      <c r="J1852" s="27" t="str">
        <f>IF($N1852="","",INDEX('_calc'!$I$2:$I$3001,$N1852))</f>
        <v/>
      </c>
      <c r="K1852" s="28" t="str">
        <f>IF($N1852="","",IF(OR(I1852="",J1852=""),"",J1852-I1852))</f>
        <v/>
      </c>
      <c r="L1852" s="29" t="str">
        <f>IF($N1852="","",INDEX('_calc'!$J$2:$J$3001,$N1852))</f>
        <v/>
      </c>
      <c r="M1852" s="2" t="str">
        <f>IF($N1852="","",IF(AND(G1852=0,H1852=0),"수량 없음",IF(G1852=0,"신규 (전년 수량 없음)",IF(H1852=0,"당해 수량 없음",""))))</f>
        <v/>
      </c>
      <c r="N1852" t="str">
        <f>IF($B1852="","",MATCH($B1852,'_calc'!$L$2:$L$3001,0))</f>
        <v/>
      </c>
    </row>
    <row r="1853">
      <c r="B1853" s="24" t="str">
        <f>IF(ROW()-ROW($B$8)&gt;nComp,"",ROW()-ROW($B$8))</f>
        <v/>
      </c>
      <c r="C1853" t="str">
        <f>IF($N1853="","",INDEX('_calc'!$A$2:$A$3001,$N1853))</f>
        <v/>
      </c>
      <c r="D1853" s="25" t="str">
        <f>IF($N1853="","",INDEX('_calc'!$C$2:$C$3001,$N1853))</f>
        <v/>
      </c>
      <c r="E1853" s="25" t="str">
        <f>IF($N1853="","",INDEX('_calc'!$D$2:$D$3001,$N1853))</f>
        <v/>
      </c>
      <c r="F1853" s="26" t="str">
        <f>IF($N1853="","",IF($E$8=0,"",E1853/$E$8))</f>
        <v/>
      </c>
      <c r="G1853" s="25" t="str">
        <f>IF($N1853="","",INDEX('_calc'!$E$2:$E$3001,$N1853))</f>
        <v/>
      </c>
      <c r="H1853" s="25" t="str">
        <f>IF($N1853="","",INDEX('_calc'!$F$2:$F$3001,$N1853))</f>
        <v/>
      </c>
      <c r="I1853" s="27" t="str">
        <f>IF($N1853="","",INDEX('_calc'!$H$2:$H$3001,$N1853))</f>
        <v/>
      </c>
      <c r="J1853" s="27" t="str">
        <f>IF($N1853="","",INDEX('_calc'!$I$2:$I$3001,$N1853))</f>
        <v/>
      </c>
      <c r="K1853" s="28" t="str">
        <f>IF($N1853="","",IF(OR(I1853="",J1853=""),"",J1853-I1853))</f>
        <v/>
      </c>
      <c r="L1853" s="29" t="str">
        <f>IF($N1853="","",INDEX('_calc'!$J$2:$J$3001,$N1853))</f>
        <v/>
      </c>
      <c r="M1853" s="2" t="str">
        <f>IF($N1853="","",IF(AND(G1853=0,H1853=0),"수량 없음",IF(G1853=0,"신규 (전년 수량 없음)",IF(H1853=0,"당해 수량 없음",""))))</f>
        <v/>
      </c>
      <c r="N1853" t="str">
        <f>IF($B1853="","",MATCH($B1853,'_calc'!$L$2:$L$3001,0))</f>
        <v/>
      </c>
    </row>
    <row r="1854">
      <c r="B1854" s="24" t="str">
        <f>IF(ROW()-ROW($B$8)&gt;nComp,"",ROW()-ROW($B$8))</f>
        <v/>
      </c>
      <c r="C1854" t="str">
        <f>IF($N1854="","",INDEX('_calc'!$A$2:$A$3001,$N1854))</f>
        <v/>
      </c>
      <c r="D1854" s="25" t="str">
        <f>IF($N1854="","",INDEX('_calc'!$C$2:$C$3001,$N1854))</f>
        <v/>
      </c>
      <c r="E1854" s="25" t="str">
        <f>IF($N1854="","",INDEX('_calc'!$D$2:$D$3001,$N1854))</f>
        <v/>
      </c>
      <c r="F1854" s="26" t="str">
        <f>IF($N1854="","",IF($E$8=0,"",E1854/$E$8))</f>
        <v/>
      </c>
      <c r="G1854" s="25" t="str">
        <f>IF($N1854="","",INDEX('_calc'!$E$2:$E$3001,$N1854))</f>
        <v/>
      </c>
      <c r="H1854" s="25" t="str">
        <f>IF($N1854="","",INDEX('_calc'!$F$2:$F$3001,$N1854))</f>
        <v/>
      </c>
      <c r="I1854" s="27" t="str">
        <f>IF($N1854="","",INDEX('_calc'!$H$2:$H$3001,$N1854))</f>
        <v/>
      </c>
      <c r="J1854" s="27" t="str">
        <f>IF($N1854="","",INDEX('_calc'!$I$2:$I$3001,$N1854))</f>
        <v/>
      </c>
      <c r="K1854" s="28" t="str">
        <f>IF($N1854="","",IF(OR(I1854="",J1854=""),"",J1854-I1854))</f>
        <v/>
      </c>
      <c r="L1854" s="29" t="str">
        <f>IF($N1854="","",INDEX('_calc'!$J$2:$J$3001,$N1854))</f>
        <v/>
      </c>
      <c r="M1854" s="2" t="str">
        <f>IF($N1854="","",IF(AND(G1854=0,H1854=0),"수량 없음",IF(G1854=0,"신규 (전년 수량 없음)",IF(H1854=0,"당해 수량 없음",""))))</f>
        <v/>
      </c>
      <c r="N1854" t="str">
        <f>IF($B1854="","",MATCH($B1854,'_calc'!$L$2:$L$3001,0))</f>
        <v/>
      </c>
    </row>
    <row r="1855">
      <c r="B1855" s="24" t="str">
        <f>IF(ROW()-ROW($B$8)&gt;nComp,"",ROW()-ROW($B$8))</f>
        <v/>
      </c>
      <c r="C1855" t="str">
        <f>IF($N1855="","",INDEX('_calc'!$A$2:$A$3001,$N1855))</f>
        <v/>
      </c>
      <c r="D1855" s="25" t="str">
        <f>IF($N1855="","",INDEX('_calc'!$C$2:$C$3001,$N1855))</f>
        <v/>
      </c>
      <c r="E1855" s="25" t="str">
        <f>IF($N1855="","",INDEX('_calc'!$D$2:$D$3001,$N1855))</f>
        <v/>
      </c>
      <c r="F1855" s="26" t="str">
        <f>IF($N1855="","",IF($E$8=0,"",E1855/$E$8))</f>
        <v/>
      </c>
      <c r="G1855" s="25" t="str">
        <f>IF($N1855="","",INDEX('_calc'!$E$2:$E$3001,$N1855))</f>
        <v/>
      </c>
      <c r="H1855" s="25" t="str">
        <f>IF($N1855="","",INDEX('_calc'!$F$2:$F$3001,$N1855))</f>
        <v/>
      </c>
      <c r="I1855" s="27" t="str">
        <f>IF($N1855="","",INDEX('_calc'!$H$2:$H$3001,$N1855))</f>
        <v/>
      </c>
      <c r="J1855" s="27" t="str">
        <f>IF($N1855="","",INDEX('_calc'!$I$2:$I$3001,$N1855))</f>
        <v/>
      </c>
      <c r="K1855" s="28" t="str">
        <f>IF($N1855="","",IF(OR(I1855="",J1855=""),"",J1855-I1855))</f>
        <v/>
      </c>
      <c r="L1855" s="29" t="str">
        <f>IF($N1855="","",INDEX('_calc'!$J$2:$J$3001,$N1855))</f>
        <v/>
      </c>
      <c r="M1855" s="2" t="str">
        <f>IF($N1855="","",IF(AND(G1855=0,H1855=0),"수량 없음",IF(G1855=0,"신규 (전년 수량 없음)",IF(H1855=0,"당해 수량 없음",""))))</f>
        <v/>
      </c>
      <c r="N1855" t="str">
        <f>IF($B1855="","",MATCH($B1855,'_calc'!$L$2:$L$3001,0))</f>
        <v/>
      </c>
    </row>
    <row r="1856">
      <c r="B1856" s="24" t="str">
        <f>IF(ROW()-ROW($B$8)&gt;nComp,"",ROW()-ROW($B$8))</f>
        <v/>
      </c>
      <c r="C1856" t="str">
        <f>IF($N1856="","",INDEX('_calc'!$A$2:$A$3001,$N1856))</f>
        <v/>
      </c>
      <c r="D1856" s="25" t="str">
        <f>IF($N1856="","",INDEX('_calc'!$C$2:$C$3001,$N1856))</f>
        <v/>
      </c>
      <c r="E1856" s="25" t="str">
        <f>IF($N1856="","",INDEX('_calc'!$D$2:$D$3001,$N1856))</f>
        <v/>
      </c>
      <c r="F1856" s="26" t="str">
        <f>IF($N1856="","",IF($E$8=0,"",E1856/$E$8))</f>
        <v/>
      </c>
      <c r="G1856" s="25" t="str">
        <f>IF($N1856="","",INDEX('_calc'!$E$2:$E$3001,$N1856))</f>
        <v/>
      </c>
      <c r="H1856" s="25" t="str">
        <f>IF($N1856="","",INDEX('_calc'!$F$2:$F$3001,$N1856))</f>
        <v/>
      </c>
      <c r="I1856" s="27" t="str">
        <f>IF($N1856="","",INDEX('_calc'!$H$2:$H$3001,$N1856))</f>
        <v/>
      </c>
      <c r="J1856" s="27" t="str">
        <f>IF($N1856="","",INDEX('_calc'!$I$2:$I$3001,$N1856))</f>
        <v/>
      </c>
      <c r="K1856" s="28" t="str">
        <f>IF($N1856="","",IF(OR(I1856="",J1856=""),"",J1856-I1856))</f>
        <v/>
      </c>
      <c r="L1856" s="29" t="str">
        <f>IF($N1856="","",INDEX('_calc'!$J$2:$J$3001,$N1856))</f>
        <v/>
      </c>
      <c r="M1856" s="2" t="str">
        <f>IF($N1856="","",IF(AND(G1856=0,H1856=0),"수량 없음",IF(G1856=0,"신규 (전년 수량 없음)",IF(H1856=0,"당해 수량 없음",""))))</f>
        <v/>
      </c>
      <c r="N1856" t="str">
        <f>IF($B1856="","",MATCH($B1856,'_calc'!$L$2:$L$3001,0))</f>
        <v/>
      </c>
    </row>
    <row r="1857">
      <c r="B1857" s="24" t="str">
        <f>IF(ROW()-ROW($B$8)&gt;nComp,"",ROW()-ROW($B$8))</f>
        <v/>
      </c>
      <c r="C1857" t="str">
        <f>IF($N1857="","",INDEX('_calc'!$A$2:$A$3001,$N1857))</f>
        <v/>
      </c>
      <c r="D1857" s="25" t="str">
        <f>IF($N1857="","",INDEX('_calc'!$C$2:$C$3001,$N1857))</f>
        <v/>
      </c>
      <c r="E1857" s="25" t="str">
        <f>IF($N1857="","",INDEX('_calc'!$D$2:$D$3001,$N1857))</f>
        <v/>
      </c>
      <c r="F1857" s="26" t="str">
        <f>IF($N1857="","",IF($E$8=0,"",E1857/$E$8))</f>
        <v/>
      </c>
      <c r="G1857" s="25" t="str">
        <f>IF($N1857="","",INDEX('_calc'!$E$2:$E$3001,$N1857))</f>
        <v/>
      </c>
      <c r="H1857" s="25" t="str">
        <f>IF($N1857="","",INDEX('_calc'!$F$2:$F$3001,$N1857))</f>
        <v/>
      </c>
      <c r="I1857" s="27" t="str">
        <f>IF($N1857="","",INDEX('_calc'!$H$2:$H$3001,$N1857))</f>
        <v/>
      </c>
      <c r="J1857" s="27" t="str">
        <f>IF($N1857="","",INDEX('_calc'!$I$2:$I$3001,$N1857))</f>
        <v/>
      </c>
      <c r="K1857" s="28" t="str">
        <f>IF($N1857="","",IF(OR(I1857="",J1857=""),"",J1857-I1857))</f>
        <v/>
      </c>
      <c r="L1857" s="29" t="str">
        <f>IF($N1857="","",INDEX('_calc'!$J$2:$J$3001,$N1857))</f>
        <v/>
      </c>
      <c r="M1857" s="2" t="str">
        <f>IF($N1857="","",IF(AND(G1857=0,H1857=0),"수량 없음",IF(G1857=0,"신규 (전년 수량 없음)",IF(H1857=0,"당해 수량 없음",""))))</f>
        <v/>
      </c>
      <c r="N1857" t="str">
        <f>IF($B1857="","",MATCH($B1857,'_calc'!$L$2:$L$3001,0))</f>
        <v/>
      </c>
    </row>
    <row r="1858">
      <c r="B1858" s="24" t="str">
        <f>IF(ROW()-ROW($B$8)&gt;nComp,"",ROW()-ROW($B$8))</f>
        <v/>
      </c>
      <c r="C1858" t="str">
        <f>IF($N1858="","",INDEX('_calc'!$A$2:$A$3001,$N1858))</f>
        <v/>
      </c>
      <c r="D1858" s="25" t="str">
        <f>IF($N1858="","",INDEX('_calc'!$C$2:$C$3001,$N1858))</f>
        <v/>
      </c>
      <c r="E1858" s="25" t="str">
        <f>IF($N1858="","",INDEX('_calc'!$D$2:$D$3001,$N1858))</f>
        <v/>
      </c>
      <c r="F1858" s="26" t="str">
        <f>IF($N1858="","",IF($E$8=0,"",E1858/$E$8))</f>
        <v/>
      </c>
      <c r="G1858" s="25" t="str">
        <f>IF($N1858="","",INDEX('_calc'!$E$2:$E$3001,$N1858))</f>
        <v/>
      </c>
      <c r="H1858" s="25" t="str">
        <f>IF($N1858="","",INDEX('_calc'!$F$2:$F$3001,$N1858))</f>
        <v/>
      </c>
      <c r="I1858" s="27" t="str">
        <f>IF($N1858="","",INDEX('_calc'!$H$2:$H$3001,$N1858))</f>
        <v/>
      </c>
      <c r="J1858" s="27" t="str">
        <f>IF($N1858="","",INDEX('_calc'!$I$2:$I$3001,$N1858))</f>
        <v/>
      </c>
      <c r="K1858" s="28" t="str">
        <f>IF($N1858="","",IF(OR(I1858="",J1858=""),"",J1858-I1858))</f>
        <v/>
      </c>
      <c r="L1858" s="29" t="str">
        <f>IF($N1858="","",INDEX('_calc'!$J$2:$J$3001,$N1858))</f>
        <v/>
      </c>
      <c r="M1858" s="2" t="str">
        <f>IF($N1858="","",IF(AND(G1858=0,H1858=0),"수량 없음",IF(G1858=0,"신규 (전년 수량 없음)",IF(H1858=0,"당해 수량 없음",""))))</f>
        <v/>
      </c>
      <c r="N1858" t="str">
        <f>IF($B1858="","",MATCH($B1858,'_calc'!$L$2:$L$3001,0))</f>
        <v/>
      </c>
    </row>
    <row r="1859">
      <c r="B1859" s="24" t="str">
        <f>IF(ROW()-ROW($B$8)&gt;nComp,"",ROW()-ROW($B$8))</f>
        <v/>
      </c>
      <c r="C1859" t="str">
        <f>IF($N1859="","",INDEX('_calc'!$A$2:$A$3001,$N1859))</f>
        <v/>
      </c>
      <c r="D1859" s="25" t="str">
        <f>IF($N1859="","",INDEX('_calc'!$C$2:$C$3001,$N1859))</f>
        <v/>
      </c>
      <c r="E1859" s="25" t="str">
        <f>IF($N1859="","",INDEX('_calc'!$D$2:$D$3001,$N1859))</f>
        <v/>
      </c>
      <c r="F1859" s="26" t="str">
        <f>IF($N1859="","",IF($E$8=0,"",E1859/$E$8))</f>
        <v/>
      </c>
      <c r="G1859" s="25" t="str">
        <f>IF($N1859="","",INDEX('_calc'!$E$2:$E$3001,$N1859))</f>
        <v/>
      </c>
      <c r="H1859" s="25" t="str">
        <f>IF($N1859="","",INDEX('_calc'!$F$2:$F$3001,$N1859))</f>
        <v/>
      </c>
      <c r="I1859" s="27" t="str">
        <f>IF($N1859="","",INDEX('_calc'!$H$2:$H$3001,$N1859))</f>
        <v/>
      </c>
      <c r="J1859" s="27" t="str">
        <f>IF($N1859="","",INDEX('_calc'!$I$2:$I$3001,$N1859))</f>
        <v/>
      </c>
      <c r="K1859" s="28" t="str">
        <f>IF($N1859="","",IF(OR(I1859="",J1859=""),"",J1859-I1859))</f>
        <v/>
      </c>
      <c r="L1859" s="29" t="str">
        <f>IF($N1859="","",INDEX('_calc'!$J$2:$J$3001,$N1859))</f>
        <v/>
      </c>
      <c r="M1859" s="2" t="str">
        <f>IF($N1859="","",IF(AND(G1859=0,H1859=0),"수량 없음",IF(G1859=0,"신규 (전년 수량 없음)",IF(H1859=0,"당해 수량 없음",""))))</f>
        <v/>
      </c>
      <c r="N1859" t="str">
        <f>IF($B1859="","",MATCH($B1859,'_calc'!$L$2:$L$3001,0))</f>
        <v/>
      </c>
    </row>
    <row r="1860">
      <c r="B1860" s="24" t="str">
        <f>IF(ROW()-ROW($B$8)&gt;nComp,"",ROW()-ROW($B$8))</f>
        <v/>
      </c>
      <c r="C1860" t="str">
        <f>IF($N1860="","",INDEX('_calc'!$A$2:$A$3001,$N1860))</f>
        <v/>
      </c>
      <c r="D1860" s="25" t="str">
        <f>IF($N1860="","",INDEX('_calc'!$C$2:$C$3001,$N1860))</f>
        <v/>
      </c>
      <c r="E1860" s="25" t="str">
        <f>IF($N1860="","",INDEX('_calc'!$D$2:$D$3001,$N1860))</f>
        <v/>
      </c>
      <c r="F1860" s="26" t="str">
        <f>IF($N1860="","",IF($E$8=0,"",E1860/$E$8))</f>
        <v/>
      </c>
      <c r="G1860" s="25" t="str">
        <f>IF($N1860="","",INDEX('_calc'!$E$2:$E$3001,$N1860))</f>
        <v/>
      </c>
      <c r="H1860" s="25" t="str">
        <f>IF($N1860="","",INDEX('_calc'!$F$2:$F$3001,$N1860))</f>
        <v/>
      </c>
      <c r="I1860" s="27" t="str">
        <f>IF($N1860="","",INDEX('_calc'!$H$2:$H$3001,$N1860))</f>
        <v/>
      </c>
      <c r="J1860" s="27" t="str">
        <f>IF($N1860="","",INDEX('_calc'!$I$2:$I$3001,$N1860))</f>
        <v/>
      </c>
      <c r="K1860" s="28" t="str">
        <f>IF($N1860="","",IF(OR(I1860="",J1860=""),"",J1860-I1860))</f>
        <v/>
      </c>
      <c r="L1860" s="29" t="str">
        <f>IF($N1860="","",INDEX('_calc'!$J$2:$J$3001,$N1860))</f>
        <v/>
      </c>
      <c r="M1860" s="2" t="str">
        <f>IF($N1860="","",IF(AND(G1860=0,H1860=0),"수량 없음",IF(G1860=0,"신규 (전년 수량 없음)",IF(H1860=0,"당해 수량 없음",""))))</f>
        <v/>
      </c>
      <c r="N1860" t="str">
        <f>IF($B1860="","",MATCH($B1860,'_calc'!$L$2:$L$3001,0))</f>
        <v/>
      </c>
    </row>
    <row r="1861">
      <c r="B1861" s="24" t="str">
        <f>IF(ROW()-ROW($B$8)&gt;nComp,"",ROW()-ROW($B$8))</f>
        <v/>
      </c>
      <c r="C1861" t="str">
        <f>IF($N1861="","",INDEX('_calc'!$A$2:$A$3001,$N1861))</f>
        <v/>
      </c>
      <c r="D1861" s="25" t="str">
        <f>IF($N1861="","",INDEX('_calc'!$C$2:$C$3001,$N1861))</f>
        <v/>
      </c>
      <c r="E1861" s="25" t="str">
        <f>IF($N1861="","",INDEX('_calc'!$D$2:$D$3001,$N1861))</f>
        <v/>
      </c>
      <c r="F1861" s="26" t="str">
        <f>IF($N1861="","",IF($E$8=0,"",E1861/$E$8))</f>
        <v/>
      </c>
      <c r="G1861" s="25" t="str">
        <f>IF($N1861="","",INDEX('_calc'!$E$2:$E$3001,$N1861))</f>
        <v/>
      </c>
      <c r="H1861" s="25" t="str">
        <f>IF($N1861="","",INDEX('_calc'!$F$2:$F$3001,$N1861))</f>
        <v/>
      </c>
      <c r="I1861" s="27" t="str">
        <f>IF($N1861="","",INDEX('_calc'!$H$2:$H$3001,$N1861))</f>
        <v/>
      </c>
      <c r="J1861" s="27" t="str">
        <f>IF($N1861="","",INDEX('_calc'!$I$2:$I$3001,$N1861))</f>
        <v/>
      </c>
      <c r="K1861" s="28" t="str">
        <f>IF($N1861="","",IF(OR(I1861="",J1861=""),"",J1861-I1861))</f>
        <v/>
      </c>
      <c r="L1861" s="29" t="str">
        <f>IF($N1861="","",INDEX('_calc'!$J$2:$J$3001,$N1861))</f>
        <v/>
      </c>
      <c r="M1861" s="2" t="str">
        <f>IF($N1861="","",IF(AND(G1861=0,H1861=0),"수량 없음",IF(G1861=0,"신규 (전년 수량 없음)",IF(H1861=0,"당해 수량 없음",""))))</f>
        <v/>
      </c>
      <c r="N1861" t="str">
        <f>IF($B1861="","",MATCH($B1861,'_calc'!$L$2:$L$3001,0))</f>
        <v/>
      </c>
    </row>
    <row r="1862">
      <c r="B1862" s="24" t="str">
        <f>IF(ROW()-ROW($B$8)&gt;nComp,"",ROW()-ROW($B$8))</f>
        <v/>
      </c>
      <c r="C1862" t="str">
        <f>IF($N1862="","",INDEX('_calc'!$A$2:$A$3001,$N1862))</f>
        <v/>
      </c>
      <c r="D1862" s="25" t="str">
        <f>IF($N1862="","",INDEX('_calc'!$C$2:$C$3001,$N1862))</f>
        <v/>
      </c>
      <c r="E1862" s="25" t="str">
        <f>IF($N1862="","",INDEX('_calc'!$D$2:$D$3001,$N1862))</f>
        <v/>
      </c>
      <c r="F1862" s="26" t="str">
        <f>IF($N1862="","",IF($E$8=0,"",E1862/$E$8))</f>
        <v/>
      </c>
      <c r="G1862" s="25" t="str">
        <f>IF($N1862="","",INDEX('_calc'!$E$2:$E$3001,$N1862))</f>
        <v/>
      </c>
      <c r="H1862" s="25" t="str">
        <f>IF($N1862="","",INDEX('_calc'!$F$2:$F$3001,$N1862))</f>
        <v/>
      </c>
      <c r="I1862" s="27" t="str">
        <f>IF($N1862="","",INDEX('_calc'!$H$2:$H$3001,$N1862))</f>
        <v/>
      </c>
      <c r="J1862" s="27" t="str">
        <f>IF($N1862="","",INDEX('_calc'!$I$2:$I$3001,$N1862))</f>
        <v/>
      </c>
      <c r="K1862" s="28" t="str">
        <f>IF($N1862="","",IF(OR(I1862="",J1862=""),"",J1862-I1862))</f>
        <v/>
      </c>
      <c r="L1862" s="29" t="str">
        <f>IF($N1862="","",INDEX('_calc'!$J$2:$J$3001,$N1862))</f>
        <v/>
      </c>
      <c r="M1862" s="2" t="str">
        <f>IF($N1862="","",IF(AND(G1862=0,H1862=0),"수량 없음",IF(G1862=0,"신규 (전년 수량 없음)",IF(H1862=0,"당해 수량 없음",""))))</f>
        <v/>
      </c>
      <c r="N1862" t="str">
        <f>IF($B1862="","",MATCH($B1862,'_calc'!$L$2:$L$3001,0))</f>
        <v/>
      </c>
    </row>
    <row r="1863">
      <c r="B1863" s="24" t="str">
        <f>IF(ROW()-ROW($B$8)&gt;nComp,"",ROW()-ROW($B$8))</f>
        <v/>
      </c>
      <c r="C1863" t="str">
        <f>IF($N1863="","",INDEX('_calc'!$A$2:$A$3001,$N1863))</f>
        <v/>
      </c>
      <c r="D1863" s="25" t="str">
        <f>IF($N1863="","",INDEX('_calc'!$C$2:$C$3001,$N1863))</f>
        <v/>
      </c>
      <c r="E1863" s="25" t="str">
        <f>IF($N1863="","",INDEX('_calc'!$D$2:$D$3001,$N1863))</f>
        <v/>
      </c>
      <c r="F1863" s="26" t="str">
        <f>IF($N1863="","",IF($E$8=0,"",E1863/$E$8))</f>
        <v/>
      </c>
      <c r="G1863" s="25" t="str">
        <f>IF($N1863="","",INDEX('_calc'!$E$2:$E$3001,$N1863))</f>
        <v/>
      </c>
      <c r="H1863" s="25" t="str">
        <f>IF($N1863="","",INDEX('_calc'!$F$2:$F$3001,$N1863))</f>
        <v/>
      </c>
      <c r="I1863" s="27" t="str">
        <f>IF($N1863="","",INDEX('_calc'!$H$2:$H$3001,$N1863))</f>
        <v/>
      </c>
      <c r="J1863" s="27" t="str">
        <f>IF($N1863="","",INDEX('_calc'!$I$2:$I$3001,$N1863))</f>
        <v/>
      </c>
      <c r="K1863" s="28" t="str">
        <f>IF($N1863="","",IF(OR(I1863="",J1863=""),"",J1863-I1863))</f>
        <v/>
      </c>
      <c r="L1863" s="29" t="str">
        <f>IF($N1863="","",INDEX('_calc'!$J$2:$J$3001,$N1863))</f>
        <v/>
      </c>
      <c r="M1863" s="2" t="str">
        <f>IF($N1863="","",IF(AND(G1863=0,H1863=0),"수량 없음",IF(G1863=0,"신규 (전년 수량 없음)",IF(H1863=0,"당해 수량 없음",""))))</f>
        <v/>
      </c>
      <c r="N1863" t="str">
        <f>IF($B1863="","",MATCH($B1863,'_calc'!$L$2:$L$3001,0))</f>
        <v/>
      </c>
    </row>
    <row r="1864">
      <c r="B1864" s="24" t="str">
        <f>IF(ROW()-ROW($B$8)&gt;nComp,"",ROW()-ROW($B$8))</f>
        <v/>
      </c>
      <c r="C1864" t="str">
        <f>IF($N1864="","",INDEX('_calc'!$A$2:$A$3001,$N1864))</f>
        <v/>
      </c>
      <c r="D1864" s="25" t="str">
        <f>IF($N1864="","",INDEX('_calc'!$C$2:$C$3001,$N1864))</f>
        <v/>
      </c>
      <c r="E1864" s="25" t="str">
        <f>IF($N1864="","",INDEX('_calc'!$D$2:$D$3001,$N1864))</f>
        <v/>
      </c>
      <c r="F1864" s="26" t="str">
        <f>IF($N1864="","",IF($E$8=0,"",E1864/$E$8))</f>
        <v/>
      </c>
      <c r="G1864" s="25" t="str">
        <f>IF($N1864="","",INDEX('_calc'!$E$2:$E$3001,$N1864))</f>
        <v/>
      </c>
      <c r="H1864" s="25" t="str">
        <f>IF($N1864="","",INDEX('_calc'!$F$2:$F$3001,$N1864))</f>
        <v/>
      </c>
      <c r="I1864" s="27" t="str">
        <f>IF($N1864="","",INDEX('_calc'!$H$2:$H$3001,$N1864))</f>
        <v/>
      </c>
      <c r="J1864" s="27" t="str">
        <f>IF($N1864="","",INDEX('_calc'!$I$2:$I$3001,$N1864))</f>
        <v/>
      </c>
      <c r="K1864" s="28" t="str">
        <f>IF($N1864="","",IF(OR(I1864="",J1864=""),"",J1864-I1864))</f>
        <v/>
      </c>
      <c r="L1864" s="29" t="str">
        <f>IF($N1864="","",INDEX('_calc'!$J$2:$J$3001,$N1864))</f>
        <v/>
      </c>
      <c r="M1864" s="2" t="str">
        <f>IF($N1864="","",IF(AND(G1864=0,H1864=0),"수량 없음",IF(G1864=0,"신규 (전년 수량 없음)",IF(H1864=0,"당해 수량 없음",""))))</f>
        <v/>
      </c>
      <c r="N1864" t="str">
        <f>IF($B1864="","",MATCH($B1864,'_calc'!$L$2:$L$3001,0))</f>
        <v/>
      </c>
    </row>
    <row r="1865">
      <c r="B1865" s="24" t="str">
        <f>IF(ROW()-ROW($B$8)&gt;nComp,"",ROW()-ROW($B$8))</f>
        <v/>
      </c>
      <c r="C1865" t="str">
        <f>IF($N1865="","",INDEX('_calc'!$A$2:$A$3001,$N1865))</f>
        <v/>
      </c>
      <c r="D1865" s="25" t="str">
        <f>IF($N1865="","",INDEX('_calc'!$C$2:$C$3001,$N1865))</f>
        <v/>
      </c>
      <c r="E1865" s="25" t="str">
        <f>IF($N1865="","",INDEX('_calc'!$D$2:$D$3001,$N1865))</f>
        <v/>
      </c>
      <c r="F1865" s="26" t="str">
        <f>IF($N1865="","",IF($E$8=0,"",E1865/$E$8))</f>
        <v/>
      </c>
      <c r="G1865" s="25" t="str">
        <f>IF($N1865="","",INDEX('_calc'!$E$2:$E$3001,$N1865))</f>
        <v/>
      </c>
      <c r="H1865" s="25" t="str">
        <f>IF($N1865="","",INDEX('_calc'!$F$2:$F$3001,$N1865))</f>
        <v/>
      </c>
      <c r="I1865" s="27" t="str">
        <f>IF($N1865="","",INDEX('_calc'!$H$2:$H$3001,$N1865))</f>
        <v/>
      </c>
      <c r="J1865" s="27" t="str">
        <f>IF($N1865="","",INDEX('_calc'!$I$2:$I$3001,$N1865))</f>
        <v/>
      </c>
      <c r="K1865" s="28" t="str">
        <f>IF($N1865="","",IF(OR(I1865="",J1865=""),"",J1865-I1865))</f>
        <v/>
      </c>
      <c r="L1865" s="29" t="str">
        <f>IF($N1865="","",INDEX('_calc'!$J$2:$J$3001,$N1865))</f>
        <v/>
      </c>
      <c r="M1865" s="2" t="str">
        <f>IF($N1865="","",IF(AND(G1865=0,H1865=0),"수량 없음",IF(G1865=0,"신규 (전년 수량 없음)",IF(H1865=0,"당해 수량 없음",""))))</f>
        <v/>
      </c>
      <c r="N1865" t="str">
        <f>IF($B1865="","",MATCH($B1865,'_calc'!$L$2:$L$3001,0))</f>
        <v/>
      </c>
    </row>
    <row r="1866">
      <c r="B1866" s="24" t="str">
        <f>IF(ROW()-ROW($B$8)&gt;nComp,"",ROW()-ROW($B$8))</f>
        <v/>
      </c>
      <c r="C1866" t="str">
        <f>IF($N1866="","",INDEX('_calc'!$A$2:$A$3001,$N1866))</f>
        <v/>
      </c>
      <c r="D1866" s="25" t="str">
        <f>IF($N1866="","",INDEX('_calc'!$C$2:$C$3001,$N1866))</f>
        <v/>
      </c>
      <c r="E1866" s="25" t="str">
        <f>IF($N1866="","",INDEX('_calc'!$D$2:$D$3001,$N1866))</f>
        <v/>
      </c>
      <c r="F1866" s="26" t="str">
        <f>IF($N1866="","",IF($E$8=0,"",E1866/$E$8))</f>
        <v/>
      </c>
      <c r="G1866" s="25" t="str">
        <f>IF($N1866="","",INDEX('_calc'!$E$2:$E$3001,$N1866))</f>
        <v/>
      </c>
      <c r="H1866" s="25" t="str">
        <f>IF($N1866="","",INDEX('_calc'!$F$2:$F$3001,$N1866))</f>
        <v/>
      </c>
      <c r="I1866" s="27" t="str">
        <f>IF($N1866="","",INDEX('_calc'!$H$2:$H$3001,$N1866))</f>
        <v/>
      </c>
      <c r="J1866" s="27" t="str">
        <f>IF($N1866="","",INDEX('_calc'!$I$2:$I$3001,$N1866))</f>
        <v/>
      </c>
      <c r="K1866" s="28" t="str">
        <f>IF($N1866="","",IF(OR(I1866="",J1866=""),"",J1866-I1866))</f>
        <v/>
      </c>
      <c r="L1866" s="29" t="str">
        <f>IF($N1866="","",INDEX('_calc'!$J$2:$J$3001,$N1866))</f>
        <v/>
      </c>
      <c r="M1866" s="2" t="str">
        <f>IF($N1866="","",IF(AND(G1866=0,H1866=0),"수량 없음",IF(G1866=0,"신규 (전년 수량 없음)",IF(H1866=0,"당해 수량 없음",""))))</f>
        <v/>
      </c>
      <c r="N1866" t="str">
        <f>IF($B1866="","",MATCH($B1866,'_calc'!$L$2:$L$3001,0))</f>
        <v/>
      </c>
    </row>
    <row r="1867">
      <c r="B1867" s="24" t="str">
        <f>IF(ROW()-ROW($B$8)&gt;nComp,"",ROW()-ROW($B$8))</f>
        <v/>
      </c>
      <c r="C1867" t="str">
        <f>IF($N1867="","",INDEX('_calc'!$A$2:$A$3001,$N1867))</f>
        <v/>
      </c>
      <c r="D1867" s="25" t="str">
        <f>IF($N1867="","",INDEX('_calc'!$C$2:$C$3001,$N1867))</f>
        <v/>
      </c>
      <c r="E1867" s="25" t="str">
        <f>IF($N1867="","",INDEX('_calc'!$D$2:$D$3001,$N1867))</f>
        <v/>
      </c>
      <c r="F1867" s="26" t="str">
        <f>IF($N1867="","",IF($E$8=0,"",E1867/$E$8))</f>
        <v/>
      </c>
      <c r="G1867" s="25" t="str">
        <f>IF($N1867="","",INDEX('_calc'!$E$2:$E$3001,$N1867))</f>
        <v/>
      </c>
      <c r="H1867" s="25" t="str">
        <f>IF($N1867="","",INDEX('_calc'!$F$2:$F$3001,$N1867))</f>
        <v/>
      </c>
      <c r="I1867" s="27" t="str">
        <f>IF($N1867="","",INDEX('_calc'!$H$2:$H$3001,$N1867))</f>
        <v/>
      </c>
      <c r="J1867" s="27" t="str">
        <f>IF($N1867="","",INDEX('_calc'!$I$2:$I$3001,$N1867))</f>
        <v/>
      </c>
      <c r="K1867" s="28" t="str">
        <f>IF($N1867="","",IF(OR(I1867="",J1867=""),"",J1867-I1867))</f>
        <v/>
      </c>
      <c r="L1867" s="29" t="str">
        <f>IF($N1867="","",INDEX('_calc'!$J$2:$J$3001,$N1867))</f>
        <v/>
      </c>
      <c r="M1867" s="2" t="str">
        <f>IF($N1867="","",IF(AND(G1867=0,H1867=0),"수량 없음",IF(G1867=0,"신규 (전년 수량 없음)",IF(H1867=0,"당해 수량 없음",""))))</f>
        <v/>
      </c>
      <c r="N1867" t="str">
        <f>IF($B1867="","",MATCH($B1867,'_calc'!$L$2:$L$3001,0))</f>
        <v/>
      </c>
    </row>
    <row r="1868">
      <c r="B1868" s="24" t="str">
        <f>IF(ROW()-ROW($B$8)&gt;nComp,"",ROW()-ROW($B$8))</f>
        <v/>
      </c>
      <c r="C1868" t="str">
        <f>IF($N1868="","",INDEX('_calc'!$A$2:$A$3001,$N1868))</f>
        <v/>
      </c>
      <c r="D1868" s="25" t="str">
        <f>IF($N1868="","",INDEX('_calc'!$C$2:$C$3001,$N1868))</f>
        <v/>
      </c>
      <c r="E1868" s="25" t="str">
        <f>IF($N1868="","",INDEX('_calc'!$D$2:$D$3001,$N1868))</f>
        <v/>
      </c>
      <c r="F1868" s="26" t="str">
        <f>IF($N1868="","",IF($E$8=0,"",E1868/$E$8))</f>
        <v/>
      </c>
      <c r="G1868" s="25" t="str">
        <f>IF($N1868="","",INDEX('_calc'!$E$2:$E$3001,$N1868))</f>
        <v/>
      </c>
      <c r="H1868" s="25" t="str">
        <f>IF($N1868="","",INDEX('_calc'!$F$2:$F$3001,$N1868))</f>
        <v/>
      </c>
      <c r="I1868" s="27" t="str">
        <f>IF($N1868="","",INDEX('_calc'!$H$2:$H$3001,$N1868))</f>
        <v/>
      </c>
      <c r="J1868" s="27" t="str">
        <f>IF($N1868="","",INDEX('_calc'!$I$2:$I$3001,$N1868))</f>
        <v/>
      </c>
      <c r="K1868" s="28" t="str">
        <f>IF($N1868="","",IF(OR(I1868="",J1868=""),"",J1868-I1868))</f>
        <v/>
      </c>
      <c r="L1868" s="29" t="str">
        <f>IF($N1868="","",INDEX('_calc'!$J$2:$J$3001,$N1868))</f>
        <v/>
      </c>
      <c r="M1868" s="2" t="str">
        <f>IF($N1868="","",IF(AND(G1868=0,H1868=0),"수량 없음",IF(G1868=0,"신규 (전년 수량 없음)",IF(H1868=0,"당해 수량 없음",""))))</f>
        <v/>
      </c>
      <c r="N1868" t="str">
        <f>IF($B1868="","",MATCH($B1868,'_calc'!$L$2:$L$3001,0))</f>
        <v/>
      </c>
    </row>
    <row r="1869">
      <c r="B1869" s="24" t="str">
        <f>IF(ROW()-ROW($B$8)&gt;nComp,"",ROW()-ROW($B$8))</f>
        <v/>
      </c>
      <c r="C1869" t="str">
        <f>IF($N1869="","",INDEX('_calc'!$A$2:$A$3001,$N1869))</f>
        <v/>
      </c>
      <c r="D1869" s="25" t="str">
        <f>IF($N1869="","",INDEX('_calc'!$C$2:$C$3001,$N1869))</f>
        <v/>
      </c>
      <c r="E1869" s="25" t="str">
        <f>IF($N1869="","",INDEX('_calc'!$D$2:$D$3001,$N1869))</f>
        <v/>
      </c>
      <c r="F1869" s="26" t="str">
        <f>IF($N1869="","",IF($E$8=0,"",E1869/$E$8))</f>
        <v/>
      </c>
      <c r="G1869" s="25" t="str">
        <f>IF($N1869="","",INDEX('_calc'!$E$2:$E$3001,$N1869))</f>
        <v/>
      </c>
      <c r="H1869" s="25" t="str">
        <f>IF($N1869="","",INDEX('_calc'!$F$2:$F$3001,$N1869))</f>
        <v/>
      </c>
      <c r="I1869" s="27" t="str">
        <f>IF($N1869="","",INDEX('_calc'!$H$2:$H$3001,$N1869))</f>
        <v/>
      </c>
      <c r="J1869" s="27" t="str">
        <f>IF($N1869="","",INDEX('_calc'!$I$2:$I$3001,$N1869))</f>
        <v/>
      </c>
      <c r="K1869" s="28" t="str">
        <f>IF($N1869="","",IF(OR(I1869="",J1869=""),"",J1869-I1869))</f>
        <v/>
      </c>
      <c r="L1869" s="29" t="str">
        <f>IF($N1869="","",INDEX('_calc'!$J$2:$J$3001,$N1869))</f>
        <v/>
      </c>
      <c r="M1869" s="2" t="str">
        <f>IF($N1869="","",IF(AND(G1869=0,H1869=0),"수량 없음",IF(G1869=0,"신규 (전년 수량 없음)",IF(H1869=0,"당해 수량 없음",""))))</f>
        <v/>
      </c>
      <c r="N1869" t="str">
        <f>IF($B1869="","",MATCH($B1869,'_calc'!$L$2:$L$3001,0))</f>
        <v/>
      </c>
    </row>
    <row r="1870">
      <c r="B1870" s="24" t="str">
        <f>IF(ROW()-ROW($B$8)&gt;nComp,"",ROW()-ROW($B$8))</f>
        <v/>
      </c>
      <c r="C1870" t="str">
        <f>IF($N1870="","",INDEX('_calc'!$A$2:$A$3001,$N1870))</f>
        <v/>
      </c>
      <c r="D1870" s="25" t="str">
        <f>IF($N1870="","",INDEX('_calc'!$C$2:$C$3001,$N1870))</f>
        <v/>
      </c>
      <c r="E1870" s="25" t="str">
        <f>IF($N1870="","",INDEX('_calc'!$D$2:$D$3001,$N1870))</f>
        <v/>
      </c>
      <c r="F1870" s="26" t="str">
        <f>IF($N1870="","",IF($E$8=0,"",E1870/$E$8))</f>
        <v/>
      </c>
      <c r="G1870" s="25" t="str">
        <f>IF($N1870="","",INDEX('_calc'!$E$2:$E$3001,$N1870))</f>
        <v/>
      </c>
      <c r="H1870" s="25" t="str">
        <f>IF($N1870="","",INDEX('_calc'!$F$2:$F$3001,$N1870))</f>
        <v/>
      </c>
      <c r="I1870" s="27" t="str">
        <f>IF($N1870="","",INDEX('_calc'!$H$2:$H$3001,$N1870))</f>
        <v/>
      </c>
      <c r="J1870" s="27" t="str">
        <f>IF($N1870="","",INDEX('_calc'!$I$2:$I$3001,$N1870))</f>
        <v/>
      </c>
      <c r="K1870" s="28" t="str">
        <f>IF($N1870="","",IF(OR(I1870="",J1870=""),"",J1870-I1870))</f>
        <v/>
      </c>
      <c r="L1870" s="29" t="str">
        <f>IF($N1870="","",INDEX('_calc'!$J$2:$J$3001,$N1870))</f>
        <v/>
      </c>
      <c r="M1870" s="2" t="str">
        <f>IF($N1870="","",IF(AND(G1870=0,H1870=0),"수량 없음",IF(G1870=0,"신규 (전년 수량 없음)",IF(H1870=0,"당해 수량 없음",""))))</f>
        <v/>
      </c>
      <c r="N1870" t="str">
        <f>IF($B1870="","",MATCH($B1870,'_calc'!$L$2:$L$3001,0))</f>
        <v/>
      </c>
    </row>
    <row r="1871">
      <c r="B1871" s="24" t="str">
        <f>IF(ROW()-ROW($B$8)&gt;nComp,"",ROW()-ROW($B$8))</f>
        <v/>
      </c>
      <c r="C1871" t="str">
        <f>IF($N1871="","",INDEX('_calc'!$A$2:$A$3001,$N1871))</f>
        <v/>
      </c>
      <c r="D1871" s="25" t="str">
        <f>IF($N1871="","",INDEX('_calc'!$C$2:$C$3001,$N1871))</f>
        <v/>
      </c>
      <c r="E1871" s="25" t="str">
        <f>IF($N1871="","",INDEX('_calc'!$D$2:$D$3001,$N1871))</f>
        <v/>
      </c>
      <c r="F1871" s="26" t="str">
        <f>IF($N1871="","",IF($E$8=0,"",E1871/$E$8))</f>
        <v/>
      </c>
      <c r="G1871" s="25" t="str">
        <f>IF($N1871="","",INDEX('_calc'!$E$2:$E$3001,$N1871))</f>
        <v/>
      </c>
      <c r="H1871" s="25" t="str">
        <f>IF($N1871="","",INDEX('_calc'!$F$2:$F$3001,$N1871))</f>
        <v/>
      </c>
      <c r="I1871" s="27" t="str">
        <f>IF($N1871="","",INDEX('_calc'!$H$2:$H$3001,$N1871))</f>
        <v/>
      </c>
      <c r="J1871" s="27" t="str">
        <f>IF($N1871="","",INDEX('_calc'!$I$2:$I$3001,$N1871))</f>
        <v/>
      </c>
      <c r="K1871" s="28" t="str">
        <f>IF($N1871="","",IF(OR(I1871="",J1871=""),"",J1871-I1871))</f>
        <v/>
      </c>
      <c r="L1871" s="29" t="str">
        <f>IF($N1871="","",INDEX('_calc'!$J$2:$J$3001,$N1871))</f>
        <v/>
      </c>
      <c r="M1871" s="2" t="str">
        <f>IF($N1871="","",IF(AND(G1871=0,H1871=0),"수량 없음",IF(G1871=0,"신규 (전년 수량 없음)",IF(H1871=0,"당해 수량 없음",""))))</f>
        <v/>
      </c>
      <c r="N1871" t="str">
        <f>IF($B1871="","",MATCH($B1871,'_calc'!$L$2:$L$3001,0))</f>
        <v/>
      </c>
    </row>
    <row r="1872">
      <c r="B1872" s="24" t="str">
        <f>IF(ROW()-ROW($B$8)&gt;nComp,"",ROW()-ROW($B$8))</f>
        <v/>
      </c>
      <c r="C1872" t="str">
        <f>IF($N1872="","",INDEX('_calc'!$A$2:$A$3001,$N1872))</f>
        <v/>
      </c>
      <c r="D1872" s="25" t="str">
        <f>IF($N1872="","",INDEX('_calc'!$C$2:$C$3001,$N1872))</f>
        <v/>
      </c>
      <c r="E1872" s="25" t="str">
        <f>IF($N1872="","",INDEX('_calc'!$D$2:$D$3001,$N1872))</f>
        <v/>
      </c>
      <c r="F1872" s="26" t="str">
        <f>IF($N1872="","",IF($E$8=0,"",E1872/$E$8))</f>
        <v/>
      </c>
      <c r="G1872" s="25" t="str">
        <f>IF($N1872="","",INDEX('_calc'!$E$2:$E$3001,$N1872))</f>
        <v/>
      </c>
      <c r="H1872" s="25" t="str">
        <f>IF($N1872="","",INDEX('_calc'!$F$2:$F$3001,$N1872))</f>
        <v/>
      </c>
      <c r="I1872" s="27" t="str">
        <f>IF($N1872="","",INDEX('_calc'!$H$2:$H$3001,$N1872))</f>
        <v/>
      </c>
      <c r="J1872" s="27" t="str">
        <f>IF($N1872="","",INDEX('_calc'!$I$2:$I$3001,$N1872))</f>
        <v/>
      </c>
      <c r="K1872" s="28" t="str">
        <f>IF($N1872="","",IF(OR(I1872="",J1872=""),"",J1872-I1872))</f>
        <v/>
      </c>
      <c r="L1872" s="29" t="str">
        <f>IF($N1872="","",INDEX('_calc'!$J$2:$J$3001,$N1872))</f>
        <v/>
      </c>
      <c r="M1872" s="2" t="str">
        <f>IF($N1872="","",IF(AND(G1872=0,H1872=0),"수량 없음",IF(G1872=0,"신규 (전년 수량 없음)",IF(H1872=0,"당해 수량 없음",""))))</f>
        <v/>
      </c>
      <c r="N1872" t="str">
        <f>IF($B1872="","",MATCH($B1872,'_calc'!$L$2:$L$3001,0))</f>
        <v/>
      </c>
    </row>
    <row r="1873">
      <c r="B1873" s="24" t="str">
        <f>IF(ROW()-ROW($B$8)&gt;nComp,"",ROW()-ROW($B$8))</f>
        <v/>
      </c>
      <c r="C1873" t="str">
        <f>IF($N1873="","",INDEX('_calc'!$A$2:$A$3001,$N1873))</f>
        <v/>
      </c>
      <c r="D1873" s="25" t="str">
        <f>IF($N1873="","",INDEX('_calc'!$C$2:$C$3001,$N1873))</f>
        <v/>
      </c>
      <c r="E1873" s="25" t="str">
        <f>IF($N1873="","",INDEX('_calc'!$D$2:$D$3001,$N1873))</f>
        <v/>
      </c>
      <c r="F1873" s="26" t="str">
        <f>IF($N1873="","",IF($E$8=0,"",E1873/$E$8))</f>
        <v/>
      </c>
      <c r="G1873" s="25" t="str">
        <f>IF($N1873="","",INDEX('_calc'!$E$2:$E$3001,$N1873))</f>
        <v/>
      </c>
      <c r="H1873" s="25" t="str">
        <f>IF($N1873="","",INDEX('_calc'!$F$2:$F$3001,$N1873))</f>
        <v/>
      </c>
      <c r="I1873" s="27" t="str">
        <f>IF($N1873="","",INDEX('_calc'!$H$2:$H$3001,$N1873))</f>
        <v/>
      </c>
      <c r="J1873" s="27" t="str">
        <f>IF($N1873="","",INDEX('_calc'!$I$2:$I$3001,$N1873))</f>
        <v/>
      </c>
      <c r="K1873" s="28" t="str">
        <f>IF($N1873="","",IF(OR(I1873="",J1873=""),"",J1873-I1873))</f>
        <v/>
      </c>
      <c r="L1873" s="29" t="str">
        <f>IF($N1873="","",INDEX('_calc'!$J$2:$J$3001,$N1873))</f>
        <v/>
      </c>
      <c r="M1873" s="2" t="str">
        <f>IF($N1873="","",IF(AND(G1873=0,H1873=0),"수량 없음",IF(G1873=0,"신규 (전년 수량 없음)",IF(H1873=0,"당해 수량 없음",""))))</f>
        <v/>
      </c>
      <c r="N1873" t="str">
        <f>IF($B1873="","",MATCH($B1873,'_calc'!$L$2:$L$3001,0))</f>
        <v/>
      </c>
    </row>
    <row r="1874">
      <c r="B1874" s="24" t="str">
        <f>IF(ROW()-ROW($B$8)&gt;nComp,"",ROW()-ROW($B$8))</f>
        <v/>
      </c>
      <c r="C1874" t="str">
        <f>IF($N1874="","",INDEX('_calc'!$A$2:$A$3001,$N1874))</f>
        <v/>
      </c>
      <c r="D1874" s="25" t="str">
        <f>IF($N1874="","",INDEX('_calc'!$C$2:$C$3001,$N1874))</f>
        <v/>
      </c>
      <c r="E1874" s="25" t="str">
        <f>IF($N1874="","",INDEX('_calc'!$D$2:$D$3001,$N1874))</f>
        <v/>
      </c>
      <c r="F1874" s="26" t="str">
        <f>IF($N1874="","",IF($E$8=0,"",E1874/$E$8))</f>
        <v/>
      </c>
      <c r="G1874" s="25" t="str">
        <f>IF($N1874="","",INDEX('_calc'!$E$2:$E$3001,$N1874))</f>
        <v/>
      </c>
      <c r="H1874" s="25" t="str">
        <f>IF($N1874="","",INDEX('_calc'!$F$2:$F$3001,$N1874))</f>
        <v/>
      </c>
      <c r="I1874" s="27" t="str">
        <f>IF($N1874="","",INDEX('_calc'!$H$2:$H$3001,$N1874))</f>
        <v/>
      </c>
      <c r="J1874" s="27" t="str">
        <f>IF($N1874="","",INDEX('_calc'!$I$2:$I$3001,$N1874))</f>
        <v/>
      </c>
      <c r="K1874" s="28" t="str">
        <f>IF($N1874="","",IF(OR(I1874="",J1874=""),"",J1874-I1874))</f>
        <v/>
      </c>
      <c r="L1874" s="29" t="str">
        <f>IF($N1874="","",INDEX('_calc'!$J$2:$J$3001,$N1874))</f>
        <v/>
      </c>
      <c r="M1874" s="2" t="str">
        <f>IF($N1874="","",IF(AND(G1874=0,H1874=0),"수량 없음",IF(G1874=0,"신규 (전년 수량 없음)",IF(H1874=0,"당해 수량 없음",""))))</f>
        <v/>
      </c>
      <c r="N1874" t="str">
        <f>IF($B1874="","",MATCH($B1874,'_calc'!$L$2:$L$3001,0))</f>
        <v/>
      </c>
    </row>
    <row r="1875">
      <c r="B1875" s="24" t="str">
        <f>IF(ROW()-ROW($B$8)&gt;nComp,"",ROW()-ROW($B$8))</f>
        <v/>
      </c>
      <c r="C1875" t="str">
        <f>IF($N1875="","",INDEX('_calc'!$A$2:$A$3001,$N1875))</f>
        <v/>
      </c>
      <c r="D1875" s="25" t="str">
        <f>IF($N1875="","",INDEX('_calc'!$C$2:$C$3001,$N1875))</f>
        <v/>
      </c>
      <c r="E1875" s="25" t="str">
        <f>IF($N1875="","",INDEX('_calc'!$D$2:$D$3001,$N1875))</f>
        <v/>
      </c>
      <c r="F1875" s="26" t="str">
        <f>IF($N1875="","",IF($E$8=0,"",E1875/$E$8))</f>
        <v/>
      </c>
      <c r="G1875" s="25" t="str">
        <f>IF($N1875="","",INDEX('_calc'!$E$2:$E$3001,$N1875))</f>
        <v/>
      </c>
      <c r="H1875" s="25" t="str">
        <f>IF($N1875="","",INDEX('_calc'!$F$2:$F$3001,$N1875))</f>
        <v/>
      </c>
      <c r="I1875" s="27" t="str">
        <f>IF($N1875="","",INDEX('_calc'!$H$2:$H$3001,$N1875))</f>
        <v/>
      </c>
      <c r="J1875" s="27" t="str">
        <f>IF($N1875="","",INDEX('_calc'!$I$2:$I$3001,$N1875))</f>
        <v/>
      </c>
      <c r="K1875" s="28" t="str">
        <f>IF($N1875="","",IF(OR(I1875="",J1875=""),"",J1875-I1875))</f>
        <v/>
      </c>
      <c r="L1875" s="29" t="str">
        <f>IF($N1875="","",INDEX('_calc'!$J$2:$J$3001,$N1875))</f>
        <v/>
      </c>
      <c r="M1875" s="2" t="str">
        <f>IF($N1875="","",IF(AND(G1875=0,H1875=0),"수량 없음",IF(G1875=0,"신규 (전년 수량 없음)",IF(H1875=0,"당해 수량 없음",""))))</f>
        <v/>
      </c>
      <c r="N1875" t="str">
        <f>IF($B1875="","",MATCH($B1875,'_calc'!$L$2:$L$3001,0))</f>
        <v/>
      </c>
    </row>
    <row r="1876">
      <c r="B1876" s="24" t="str">
        <f>IF(ROW()-ROW($B$8)&gt;nComp,"",ROW()-ROW($B$8))</f>
        <v/>
      </c>
      <c r="C1876" t="str">
        <f>IF($N1876="","",INDEX('_calc'!$A$2:$A$3001,$N1876))</f>
        <v/>
      </c>
      <c r="D1876" s="25" t="str">
        <f>IF($N1876="","",INDEX('_calc'!$C$2:$C$3001,$N1876))</f>
        <v/>
      </c>
      <c r="E1876" s="25" t="str">
        <f>IF($N1876="","",INDEX('_calc'!$D$2:$D$3001,$N1876))</f>
        <v/>
      </c>
      <c r="F1876" s="26" t="str">
        <f>IF($N1876="","",IF($E$8=0,"",E1876/$E$8))</f>
        <v/>
      </c>
      <c r="G1876" s="25" t="str">
        <f>IF($N1876="","",INDEX('_calc'!$E$2:$E$3001,$N1876))</f>
        <v/>
      </c>
      <c r="H1876" s="25" t="str">
        <f>IF($N1876="","",INDEX('_calc'!$F$2:$F$3001,$N1876))</f>
        <v/>
      </c>
      <c r="I1876" s="27" t="str">
        <f>IF($N1876="","",INDEX('_calc'!$H$2:$H$3001,$N1876))</f>
        <v/>
      </c>
      <c r="J1876" s="27" t="str">
        <f>IF($N1876="","",INDEX('_calc'!$I$2:$I$3001,$N1876))</f>
        <v/>
      </c>
      <c r="K1876" s="28" t="str">
        <f>IF($N1876="","",IF(OR(I1876="",J1876=""),"",J1876-I1876))</f>
        <v/>
      </c>
      <c r="L1876" s="29" t="str">
        <f>IF($N1876="","",INDEX('_calc'!$J$2:$J$3001,$N1876))</f>
        <v/>
      </c>
      <c r="M1876" s="2" t="str">
        <f>IF($N1876="","",IF(AND(G1876=0,H1876=0),"수량 없음",IF(G1876=0,"신규 (전년 수량 없음)",IF(H1876=0,"당해 수량 없음",""))))</f>
        <v/>
      </c>
      <c r="N1876" t="str">
        <f>IF($B1876="","",MATCH($B1876,'_calc'!$L$2:$L$3001,0))</f>
        <v/>
      </c>
    </row>
    <row r="1877">
      <c r="B1877" s="24" t="str">
        <f>IF(ROW()-ROW($B$8)&gt;nComp,"",ROW()-ROW($B$8))</f>
        <v/>
      </c>
      <c r="C1877" t="str">
        <f>IF($N1877="","",INDEX('_calc'!$A$2:$A$3001,$N1877))</f>
        <v/>
      </c>
      <c r="D1877" s="25" t="str">
        <f>IF($N1877="","",INDEX('_calc'!$C$2:$C$3001,$N1877))</f>
        <v/>
      </c>
      <c r="E1877" s="25" t="str">
        <f>IF($N1877="","",INDEX('_calc'!$D$2:$D$3001,$N1877))</f>
        <v/>
      </c>
      <c r="F1877" s="26" t="str">
        <f>IF($N1877="","",IF($E$8=0,"",E1877/$E$8))</f>
        <v/>
      </c>
      <c r="G1877" s="25" t="str">
        <f>IF($N1877="","",INDEX('_calc'!$E$2:$E$3001,$N1877))</f>
        <v/>
      </c>
      <c r="H1877" s="25" t="str">
        <f>IF($N1877="","",INDEX('_calc'!$F$2:$F$3001,$N1877))</f>
        <v/>
      </c>
      <c r="I1877" s="27" t="str">
        <f>IF($N1877="","",INDEX('_calc'!$H$2:$H$3001,$N1877))</f>
        <v/>
      </c>
      <c r="J1877" s="27" t="str">
        <f>IF($N1877="","",INDEX('_calc'!$I$2:$I$3001,$N1877))</f>
        <v/>
      </c>
      <c r="K1877" s="28" t="str">
        <f>IF($N1877="","",IF(OR(I1877="",J1877=""),"",J1877-I1877))</f>
        <v/>
      </c>
      <c r="L1877" s="29" t="str">
        <f>IF($N1877="","",INDEX('_calc'!$J$2:$J$3001,$N1877))</f>
        <v/>
      </c>
      <c r="M1877" s="2" t="str">
        <f>IF($N1877="","",IF(AND(G1877=0,H1877=0),"수량 없음",IF(G1877=0,"신규 (전년 수량 없음)",IF(H1877=0,"당해 수량 없음",""))))</f>
        <v/>
      </c>
      <c r="N1877" t="str">
        <f>IF($B1877="","",MATCH($B1877,'_calc'!$L$2:$L$3001,0))</f>
        <v/>
      </c>
    </row>
    <row r="1878">
      <c r="B1878" s="24" t="str">
        <f>IF(ROW()-ROW($B$8)&gt;nComp,"",ROW()-ROW($B$8))</f>
        <v/>
      </c>
      <c r="C1878" t="str">
        <f>IF($N1878="","",INDEX('_calc'!$A$2:$A$3001,$N1878))</f>
        <v/>
      </c>
      <c r="D1878" s="25" t="str">
        <f>IF($N1878="","",INDEX('_calc'!$C$2:$C$3001,$N1878))</f>
        <v/>
      </c>
      <c r="E1878" s="25" t="str">
        <f>IF($N1878="","",INDEX('_calc'!$D$2:$D$3001,$N1878))</f>
        <v/>
      </c>
      <c r="F1878" s="26" t="str">
        <f>IF($N1878="","",IF($E$8=0,"",E1878/$E$8))</f>
        <v/>
      </c>
      <c r="G1878" s="25" t="str">
        <f>IF($N1878="","",INDEX('_calc'!$E$2:$E$3001,$N1878))</f>
        <v/>
      </c>
      <c r="H1878" s="25" t="str">
        <f>IF($N1878="","",INDEX('_calc'!$F$2:$F$3001,$N1878))</f>
        <v/>
      </c>
      <c r="I1878" s="27" t="str">
        <f>IF($N1878="","",INDEX('_calc'!$H$2:$H$3001,$N1878))</f>
        <v/>
      </c>
      <c r="J1878" s="27" t="str">
        <f>IF($N1878="","",INDEX('_calc'!$I$2:$I$3001,$N1878))</f>
        <v/>
      </c>
      <c r="K1878" s="28" t="str">
        <f>IF($N1878="","",IF(OR(I1878="",J1878=""),"",J1878-I1878))</f>
        <v/>
      </c>
      <c r="L1878" s="29" t="str">
        <f>IF($N1878="","",INDEX('_calc'!$J$2:$J$3001,$N1878))</f>
        <v/>
      </c>
      <c r="M1878" s="2" t="str">
        <f>IF($N1878="","",IF(AND(G1878=0,H1878=0),"수량 없음",IF(G1878=0,"신규 (전년 수량 없음)",IF(H1878=0,"당해 수량 없음",""))))</f>
        <v/>
      </c>
      <c r="N1878" t="str">
        <f>IF($B1878="","",MATCH($B1878,'_calc'!$L$2:$L$3001,0))</f>
        <v/>
      </c>
    </row>
    <row r="1879">
      <c r="B1879" s="24" t="str">
        <f>IF(ROW()-ROW($B$8)&gt;nComp,"",ROW()-ROW($B$8))</f>
        <v/>
      </c>
      <c r="C1879" t="str">
        <f>IF($N1879="","",INDEX('_calc'!$A$2:$A$3001,$N1879))</f>
        <v/>
      </c>
      <c r="D1879" s="25" t="str">
        <f>IF($N1879="","",INDEX('_calc'!$C$2:$C$3001,$N1879))</f>
        <v/>
      </c>
      <c r="E1879" s="25" t="str">
        <f>IF($N1879="","",INDEX('_calc'!$D$2:$D$3001,$N1879))</f>
        <v/>
      </c>
      <c r="F1879" s="26" t="str">
        <f>IF($N1879="","",IF($E$8=0,"",E1879/$E$8))</f>
        <v/>
      </c>
      <c r="G1879" s="25" t="str">
        <f>IF($N1879="","",INDEX('_calc'!$E$2:$E$3001,$N1879))</f>
        <v/>
      </c>
      <c r="H1879" s="25" t="str">
        <f>IF($N1879="","",INDEX('_calc'!$F$2:$F$3001,$N1879))</f>
        <v/>
      </c>
      <c r="I1879" s="27" t="str">
        <f>IF($N1879="","",INDEX('_calc'!$H$2:$H$3001,$N1879))</f>
        <v/>
      </c>
      <c r="J1879" s="27" t="str">
        <f>IF($N1879="","",INDEX('_calc'!$I$2:$I$3001,$N1879))</f>
        <v/>
      </c>
      <c r="K1879" s="28" t="str">
        <f>IF($N1879="","",IF(OR(I1879="",J1879=""),"",J1879-I1879))</f>
        <v/>
      </c>
      <c r="L1879" s="29" t="str">
        <f>IF($N1879="","",INDEX('_calc'!$J$2:$J$3001,$N1879))</f>
        <v/>
      </c>
      <c r="M1879" s="2" t="str">
        <f>IF($N1879="","",IF(AND(G1879=0,H1879=0),"수량 없음",IF(G1879=0,"신규 (전년 수량 없음)",IF(H1879=0,"당해 수량 없음",""))))</f>
        <v/>
      </c>
      <c r="N1879" t="str">
        <f>IF($B1879="","",MATCH($B1879,'_calc'!$L$2:$L$3001,0))</f>
        <v/>
      </c>
    </row>
    <row r="1880">
      <c r="B1880" s="24" t="str">
        <f>IF(ROW()-ROW($B$8)&gt;nComp,"",ROW()-ROW($B$8))</f>
        <v/>
      </c>
      <c r="C1880" t="str">
        <f>IF($N1880="","",INDEX('_calc'!$A$2:$A$3001,$N1880))</f>
        <v/>
      </c>
      <c r="D1880" s="25" t="str">
        <f>IF($N1880="","",INDEX('_calc'!$C$2:$C$3001,$N1880))</f>
        <v/>
      </c>
      <c r="E1880" s="25" t="str">
        <f>IF($N1880="","",INDEX('_calc'!$D$2:$D$3001,$N1880))</f>
        <v/>
      </c>
      <c r="F1880" s="26" t="str">
        <f>IF($N1880="","",IF($E$8=0,"",E1880/$E$8))</f>
        <v/>
      </c>
      <c r="G1880" s="25" t="str">
        <f>IF($N1880="","",INDEX('_calc'!$E$2:$E$3001,$N1880))</f>
        <v/>
      </c>
      <c r="H1880" s="25" t="str">
        <f>IF($N1880="","",INDEX('_calc'!$F$2:$F$3001,$N1880))</f>
        <v/>
      </c>
      <c r="I1880" s="27" t="str">
        <f>IF($N1880="","",INDEX('_calc'!$H$2:$H$3001,$N1880))</f>
        <v/>
      </c>
      <c r="J1880" s="27" t="str">
        <f>IF($N1880="","",INDEX('_calc'!$I$2:$I$3001,$N1880))</f>
        <v/>
      </c>
      <c r="K1880" s="28" t="str">
        <f>IF($N1880="","",IF(OR(I1880="",J1880=""),"",J1880-I1880))</f>
        <v/>
      </c>
      <c r="L1880" s="29" t="str">
        <f>IF($N1880="","",INDEX('_calc'!$J$2:$J$3001,$N1880))</f>
        <v/>
      </c>
      <c r="M1880" s="2" t="str">
        <f>IF($N1880="","",IF(AND(G1880=0,H1880=0),"수량 없음",IF(G1880=0,"신규 (전년 수량 없음)",IF(H1880=0,"당해 수량 없음",""))))</f>
        <v/>
      </c>
      <c r="N1880" t="str">
        <f>IF($B1880="","",MATCH($B1880,'_calc'!$L$2:$L$3001,0))</f>
        <v/>
      </c>
    </row>
    <row r="1881">
      <c r="B1881" s="24" t="str">
        <f>IF(ROW()-ROW($B$8)&gt;nComp,"",ROW()-ROW($B$8))</f>
        <v/>
      </c>
      <c r="C1881" t="str">
        <f>IF($N1881="","",INDEX('_calc'!$A$2:$A$3001,$N1881))</f>
        <v/>
      </c>
      <c r="D1881" s="25" t="str">
        <f>IF($N1881="","",INDEX('_calc'!$C$2:$C$3001,$N1881))</f>
        <v/>
      </c>
      <c r="E1881" s="25" t="str">
        <f>IF($N1881="","",INDEX('_calc'!$D$2:$D$3001,$N1881))</f>
        <v/>
      </c>
      <c r="F1881" s="26" t="str">
        <f>IF($N1881="","",IF($E$8=0,"",E1881/$E$8))</f>
        <v/>
      </c>
      <c r="G1881" s="25" t="str">
        <f>IF($N1881="","",INDEX('_calc'!$E$2:$E$3001,$N1881))</f>
        <v/>
      </c>
      <c r="H1881" s="25" t="str">
        <f>IF($N1881="","",INDEX('_calc'!$F$2:$F$3001,$N1881))</f>
        <v/>
      </c>
      <c r="I1881" s="27" t="str">
        <f>IF($N1881="","",INDEX('_calc'!$H$2:$H$3001,$N1881))</f>
        <v/>
      </c>
      <c r="J1881" s="27" t="str">
        <f>IF($N1881="","",INDEX('_calc'!$I$2:$I$3001,$N1881))</f>
        <v/>
      </c>
      <c r="K1881" s="28" t="str">
        <f>IF($N1881="","",IF(OR(I1881="",J1881=""),"",J1881-I1881))</f>
        <v/>
      </c>
      <c r="L1881" s="29" t="str">
        <f>IF($N1881="","",INDEX('_calc'!$J$2:$J$3001,$N1881))</f>
        <v/>
      </c>
      <c r="M1881" s="2" t="str">
        <f>IF($N1881="","",IF(AND(G1881=0,H1881=0),"수량 없음",IF(G1881=0,"신규 (전년 수량 없음)",IF(H1881=0,"당해 수량 없음",""))))</f>
        <v/>
      </c>
      <c r="N1881" t="str">
        <f>IF($B1881="","",MATCH($B1881,'_calc'!$L$2:$L$3001,0))</f>
        <v/>
      </c>
    </row>
    <row r="1882">
      <c r="B1882" s="24" t="str">
        <f>IF(ROW()-ROW($B$8)&gt;nComp,"",ROW()-ROW($B$8))</f>
        <v/>
      </c>
      <c r="C1882" t="str">
        <f>IF($N1882="","",INDEX('_calc'!$A$2:$A$3001,$N1882))</f>
        <v/>
      </c>
      <c r="D1882" s="25" t="str">
        <f>IF($N1882="","",INDEX('_calc'!$C$2:$C$3001,$N1882))</f>
        <v/>
      </c>
      <c r="E1882" s="25" t="str">
        <f>IF($N1882="","",INDEX('_calc'!$D$2:$D$3001,$N1882))</f>
        <v/>
      </c>
      <c r="F1882" s="26" t="str">
        <f>IF($N1882="","",IF($E$8=0,"",E1882/$E$8))</f>
        <v/>
      </c>
      <c r="G1882" s="25" t="str">
        <f>IF($N1882="","",INDEX('_calc'!$E$2:$E$3001,$N1882))</f>
        <v/>
      </c>
      <c r="H1882" s="25" t="str">
        <f>IF($N1882="","",INDEX('_calc'!$F$2:$F$3001,$N1882))</f>
        <v/>
      </c>
      <c r="I1882" s="27" t="str">
        <f>IF($N1882="","",INDEX('_calc'!$H$2:$H$3001,$N1882))</f>
        <v/>
      </c>
      <c r="J1882" s="27" t="str">
        <f>IF($N1882="","",INDEX('_calc'!$I$2:$I$3001,$N1882))</f>
        <v/>
      </c>
      <c r="K1882" s="28" t="str">
        <f>IF($N1882="","",IF(OR(I1882="",J1882=""),"",J1882-I1882))</f>
        <v/>
      </c>
      <c r="L1882" s="29" t="str">
        <f>IF($N1882="","",INDEX('_calc'!$J$2:$J$3001,$N1882))</f>
        <v/>
      </c>
      <c r="M1882" s="2" t="str">
        <f>IF($N1882="","",IF(AND(G1882=0,H1882=0),"수량 없음",IF(G1882=0,"신규 (전년 수량 없음)",IF(H1882=0,"당해 수량 없음",""))))</f>
        <v/>
      </c>
      <c r="N1882" t="str">
        <f>IF($B1882="","",MATCH($B1882,'_calc'!$L$2:$L$3001,0))</f>
        <v/>
      </c>
    </row>
    <row r="1883">
      <c r="B1883" s="24" t="str">
        <f>IF(ROW()-ROW($B$8)&gt;nComp,"",ROW()-ROW($B$8))</f>
        <v/>
      </c>
      <c r="C1883" t="str">
        <f>IF($N1883="","",INDEX('_calc'!$A$2:$A$3001,$N1883))</f>
        <v/>
      </c>
      <c r="D1883" s="25" t="str">
        <f>IF($N1883="","",INDEX('_calc'!$C$2:$C$3001,$N1883))</f>
        <v/>
      </c>
      <c r="E1883" s="25" t="str">
        <f>IF($N1883="","",INDEX('_calc'!$D$2:$D$3001,$N1883))</f>
        <v/>
      </c>
      <c r="F1883" s="26" t="str">
        <f>IF($N1883="","",IF($E$8=0,"",E1883/$E$8))</f>
        <v/>
      </c>
      <c r="G1883" s="25" t="str">
        <f>IF($N1883="","",INDEX('_calc'!$E$2:$E$3001,$N1883))</f>
        <v/>
      </c>
      <c r="H1883" s="25" t="str">
        <f>IF($N1883="","",INDEX('_calc'!$F$2:$F$3001,$N1883))</f>
        <v/>
      </c>
      <c r="I1883" s="27" t="str">
        <f>IF($N1883="","",INDEX('_calc'!$H$2:$H$3001,$N1883))</f>
        <v/>
      </c>
      <c r="J1883" s="27" t="str">
        <f>IF($N1883="","",INDEX('_calc'!$I$2:$I$3001,$N1883))</f>
        <v/>
      </c>
      <c r="K1883" s="28" t="str">
        <f>IF($N1883="","",IF(OR(I1883="",J1883=""),"",J1883-I1883))</f>
        <v/>
      </c>
      <c r="L1883" s="29" t="str">
        <f>IF($N1883="","",INDEX('_calc'!$J$2:$J$3001,$N1883))</f>
        <v/>
      </c>
      <c r="M1883" s="2" t="str">
        <f>IF($N1883="","",IF(AND(G1883=0,H1883=0),"수량 없음",IF(G1883=0,"신규 (전년 수량 없음)",IF(H1883=0,"당해 수량 없음",""))))</f>
        <v/>
      </c>
      <c r="N1883" t="str">
        <f>IF($B1883="","",MATCH($B1883,'_calc'!$L$2:$L$3001,0))</f>
        <v/>
      </c>
    </row>
    <row r="1884">
      <c r="B1884" s="24" t="str">
        <f>IF(ROW()-ROW($B$8)&gt;nComp,"",ROW()-ROW($B$8))</f>
        <v/>
      </c>
      <c r="C1884" t="str">
        <f>IF($N1884="","",INDEX('_calc'!$A$2:$A$3001,$N1884))</f>
        <v/>
      </c>
      <c r="D1884" s="25" t="str">
        <f>IF($N1884="","",INDEX('_calc'!$C$2:$C$3001,$N1884))</f>
        <v/>
      </c>
      <c r="E1884" s="25" t="str">
        <f>IF($N1884="","",INDEX('_calc'!$D$2:$D$3001,$N1884))</f>
        <v/>
      </c>
      <c r="F1884" s="26" t="str">
        <f>IF($N1884="","",IF($E$8=0,"",E1884/$E$8))</f>
        <v/>
      </c>
      <c r="G1884" s="25" t="str">
        <f>IF($N1884="","",INDEX('_calc'!$E$2:$E$3001,$N1884))</f>
        <v/>
      </c>
      <c r="H1884" s="25" t="str">
        <f>IF($N1884="","",INDEX('_calc'!$F$2:$F$3001,$N1884))</f>
        <v/>
      </c>
      <c r="I1884" s="27" t="str">
        <f>IF($N1884="","",INDEX('_calc'!$H$2:$H$3001,$N1884))</f>
        <v/>
      </c>
      <c r="J1884" s="27" t="str">
        <f>IF($N1884="","",INDEX('_calc'!$I$2:$I$3001,$N1884))</f>
        <v/>
      </c>
      <c r="K1884" s="28" t="str">
        <f>IF($N1884="","",IF(OR(I1884="",J1884=""),"",J1884-I1884))</f>
        <v/>
      </c>
      <c r="L1884" s="29" t="str">
        <f>IF($N1884="","",INDEX('_calc'!$J$2:$J$3001,$N1884))</f>
        <v/>
      </c>
      <c r="M1884" s="2" t="str">
        <f>IF($N1884="","",IF(AND(G1884=0,H1884=0),"수량 없음",IF(G1884=0,"신규 (전년 수량 없음)",IF(H1884=0,"당해 수량 없음",""))))</f>
        <v/>
      </c>
      <c r="N1884" t="str">
        <f>IF($B1884="","",MATCH($B1884,'_calc'!$L$2:$L$3001,0))</f>
        <v/>
      </c>
    </row>
    <row r="1885">
      <c r="B1885" s="24" t="str">
        <f>IF(ROW()-ROW($B$8)&gt;nComp,"",ROW()-ROW($B$8))</f>
        <v/>
      </c>
      <c r="C1885" t="str">
        <f>IF($N1885="","",INDEX('_calc'!$A$2:$A$3001,$N1885))</f>
        <v/>
      </c>
      <c r="D1885" s="25" t="str">
        <f>IF($N1885="","",INDEX('_calc'!$C$2:$C$3001,$N1885))</f>
        <v/>
      </c>
      <c r="E1885" s="25" t="str">
        <f>IF($N1885="","",INDEX('_calc'!$D$2:$D$3001,$N1885))</f>
        <v/>
      </c>
      <c r="F1885" s="26" t="str">
        <f>IF($N1885="","",IF($E$8=0,"",E1885/$E$8))</f>
        <v/>
      </c>
      <c r="G1885" s="25" t="str">
        <f>IF($N1885="","",INDEX('_calc'!$E$2:$E$3001,$N1885))</f>
        <v/>
      </c>
      <c r="H1885" s="25" t="str">
        <f>IF($N1885="","",INDEX('_calc'!$F$2:$F$3001,$N1885))</f>
        <v/>
      </c>
      <c r="I1885" s="27" t="str">
        <f>IF($N1885="","",INDEX('_calc'!$H$2:$H$3001,$N1885))</f>
        <v/>
      </c>
      <c r="J1885" s="27" t="str">
        <f>IF($N1885="","",INDEX('_calc'!$I$2:$I$3001,$N1885))</f>
        <v/>
      </c>
      <c r="K1885" s="28" t="str">
        <f>IF($N1885="","",IF(OR(I1885="",J1885=""),"",J1885-I1885))</f>
        <v/>
      </c>
      <c r="L1885" s="29" t="str">
        <f>IF($N1885="","",INDEX('_calc'!$J$2:$J$3001,$N1885))</f>
        <v/>
      </c>
      <c r="M1885" s="2" t="str">
        <f>IF($N1885="","",IF(AND(G1885=0,H1885=0),"수량 없음",IF(G1885=0,"신규 (전년 수량 없음)",IF(H1885=0,"당해 수량 없음",""))))</f>
        <v/>
      </c>
      <c r="N1885" t="str">
        <f>IF($B1885="","",MATCH($B1885,'_calc'!$L$2:$L$3001,0))</f>
        <v/>
      </c>
    </row>
    <row r="1886">
      <c r="B1886" s="24" t="str">
        <f>IF(ROW()-ROW($B$8)&gt;nComp,"",ROW()-ROW($B$8))</f>
        <v/>
      </c>
      <c r="C1886" t="str">
        <f>IF($N1886="","",INDEX('_calc'!$A$2:$A$3001,$N1886))</f>
        <v/>
      </c>
      <c r="D1886" s="25" t="str">
        <f>IF($N1886="","",INDEX('_calc'!$C$2:$C$3001,$N1886))</f>
        <v/>
      </c>
      <c r="E1886" s="25" t="str">
        <f>IF($N1886="","",INDEX('_calc'!$D$2:$D$3001,$N1886))</f>
        <v/>
      </c>
      <c r="F1886" s="26" t="str">
        <f>IF($N1886="","",IF($E$8=0,"",E1886/$E$8))</f>
        <v/>
      </c>
      <c r="G1886" s="25" t="str">
        <f>IF($N1886="","",INDEX('_calc'!$E$2:$E$3001,$N1886))</f>
        <v/>
      </c>
      <c r="H1886" s="25" t="str">
        <f>IF($N1886="","",INDEX('_calc'!$F$2:$F$3001,$N1886))</f>
        <v/>
      </c>
      <c r="I1886" s="27" t="str">
        <f>IF($N1886="","",INDEX('_calc'!$H$2:$H$3001,$N1886))</f>
        <v/>
      </c>
      <c r="J1886" s="27" t="str">
        <f>IF($N1886="","",INDEX('_calc'!$I$2:$I$3001,$N1886))</f>
        <v/>
      </c>
      <c r="K1886" s="28" t="str">
        <f>IF($N1886="","",IF(OR(I1886="",J1886=""),"",J1886-I1886))</f>
        <v/>
      </c>
      <c r="L1886" s="29" t="str">
        <f>IF($N1886="","",INDEX('_calc'!$J$2:$J$3001,$N1886))</f>
        <v/>
      </c>
      <c r="M1886" s="2" t="str">
        <f>IF($N1886="","",IF(AND(G1886=0,H1886=0),"수량 없음",IF(G1886=0,"신규 (전년 수량 없음)",IF(H1886=0,"당해 수량 없음",""))))</f>
        <v/>
      </c>
      <c r="N1886" t="str">
        <f>IF($B1886="","",MATCH($B1886,'_calc'!$L$2:$L$3001,0))</f>
        <v/>
      </c>
    </row>
    <row r="1887">
      <c r="B1887" s="24" t="str">
        <f>IF(ROW()-ROW($B$8)&gt;nComp,"",ROW()-ROW($B$8))</f>
        <v/>
      </c>
      <c r="C1887" t="str">
        <f>IF($N1887="","",INDEX('_calc'!$A$2:$A$3001,$N1887))</f>
        <v/>
      </c>
      <c r="D1887" s="25" t="str">
        <f>IF($N1887="","",INDEX('_calc'!$C$2:$C$3001,$N1887))</f>
        <v/>
      </c>
      <c r="E1887" s="25" t="str">
        <f>IF($N1887="","",INDEX('_calc'!$D$2:$D$3001,$N1887))</f>
        <v/>
      </c>
      <c r="F1887" s="26" t="str">
        <f>IF($N1887="","",IF($E$8=0,"",E1887/$E$8))</f>
        <v/>
      </c>
      <c r="G1887" s="25" t="str">
        <f>IF($N1887="","",INDEX('_calc'!$E$2:$E$3001,$N1887))</f>
        <v/>
      </c>
      <c r="H1887" s="25" t="str">
        <f>IF($N1887="","",INDEX('_calc'!$F$2:$F$3001,$N1887))</f>
        <v/>
      </c>
      <c r="I1887" s="27" t="str">
        <f>IF($N1887="","",INDEX('_calc'!$H$2:$H$3001,$N1887))</f>
        <v/>
      </c>
      <c r="J1887" s="27" t="str">
        <f>IF($N1887="","",INDEX('_calc'!$I$2:$I$3001,$N1887))</f>
        <v/>
      </c>
      <c r="K1887" s="28" t="str">
        <f>IF($N1887="","",IF(OR(I1887="",J1887=""),"",J1887-I1887))</f>
        <v/>
      </c>
      <c r="L1887" s="29" t="str">
        <f>IF($N1887="","",INDEX('_calc'!$J$2:$J$3001,$N1887))</f>
        <v/>
      </c>
      <c r="M1887" s="2" t="str">
        <f>IF($N1887="","",IF(AND(G1887=0,H1887=0),"수량 없음",IF(G1887=0,"신규 (전년 수량 없음)",IF(H1887=0,"당해 수량 없음",""))))</f>
        <v/>
      </c>
      <c r="N1887" t="str">
        <f>IF($B1887="","",MATCH($B1887,'_calc'!$L$2:$L$3001,0))</f>
        <v/>
      </c>
    </row>
    <row r="1888">
      <c r="B1888" s="24" t="str">
        <f>IF(ROW()-ROW($B$8)&gt;nComp,"",ROW()-ROW($B$8))</f>
        <v/>
      </c>
      <c r="C1888" t="str">
        <f>IF($N1888="","",INDEX('_calc'!$A$2:$A$3001,$N1888))</f>
        <v/>
      </c>
      <c r="D1888" s="25" t="str">
        <f>IF($N1888="","",INDEX('_calc'!$C$2:$C$3001,$N1888))</f>
        <v/>
      </c>
      <c r="E1888" s="25" t="str">
        <f>IF($N1888="","",INDEX('_calc'!$D$2:$D$3001,$N1888))</f>
        <v/>
      </c>
      <c r="F1888" s="26" t="str">
        <f>IF($N1888="","",IF($E$8=0,"",E1888/$E$8))</f>
        <v/>
      </c>
      <c r="G1888" s="25" t="str">
        <f>IF($N1888="","",INDEX('_calc'!$E$2:$E$3001,$N1888))</f>
        <v/>
      </c>
      <c r="H1888" s="25" t="str">
        <f>IF($N1888="","",INDEX('_calc'!$F$2:$F$3001,$N1888))</f>
        <v/>
      </c>
      <c r="I1888" s="27" t="str">
        <f>IF($N1888="","",INDEX('_calc'!$H$2:$H$3001,$N1888))</f>
        <v/>
      </c>
      <c r="J1888" s="27" t="str">
        <f>IF($N1888="","",INDEX('_calc'!$I$2:$I$3001,$N1888))</f>
        <v/>
      </c>
      <c r="K1888" s="28" t="str">
        <f>IF($N1888="","",IF(OR(I1888="",J1888=""),"",J1888-I1888))</f>
        <v/>
      </c>
      <c r="L1888" s="29" t="str">
        <f>IF($N1888="","",INDEX('_calc'!$J$2:$J$3001,$N1888))</f>
        <v/>
      </c>
      <c r="M1888" s="2" t="str">
        <f>IF($N1888="","",IF(AND(G1888=0,H1888=0),"수량 없음",IF(G1888=0,"신규 (전년 수량 없음)",IF(H1888=0,"당해 수량 없음",""))))</f>
        <v/>
      </c>
      <c r="N1888" t="str">
        <f>IF($B1888="","",MATCH($B1888,'_calc'!$L$2:$L$3001,0))</f>
        <v/>
      </c>
    </row>
    <row r="1889">
      <c r="B1889" s="24" t="str">
        <f>IF(ROW()-ROW($B$8)&gt;nComp,"",ROW()-ROW($B$8))</f>
        <v/>
      </c>
      <c r="C1889" t="str">
        <f>IF($N1889="","",INDEX('_calc'!$A$2:$A$3001,$N1889))</f>
        <v/>
      </c>
      <c r="D1889" s="25" t="str">
        <f>IF($N1889="","",INDEX('_calc'!$C$2:$C$3001,$N1889))</f>
        <v/>
      </c>
      <c r="E1889" s="25" t="str">
        <f>IF($N1889="","",INDEX('_calc'!$D$2:$D$3001,$N1889))</f>
        <v/>
      </c>
      <c r="F1889" s="26" t="str">
        <f>IF($N1889="","",IF($E$8=0,"",E1889/$E$8))</f>
        <v/>
      </c>
      <c r="G1889" s="25" t="str">
        <f>IF($N1889="","",INDEX('_calc'!$E$2:$E$3001,$N1889))</f>
        <v/>
      </c>
      <c r="H1889" s="25" t="str">
        <f>IF($N1889="","",INDEX('_calc'!$F$2:$F$3001,$N1889))</f>
        <v/>
      </c>
      <c r="I1889" s="27" t="str">
        <f>IF($N1889="","",INDEX('_calc'!$H$2:$H$3001,$N1889))</f>
        <v/>
      </c>
      <c r="J1889" s="27" t="str">
        <f>IF($N1889="","",INDEX('_calc'!$I$2:$I$3001,$N1889))</f>
        <v/>
      </c>
      <c r="K1889" s="28" t="str">
        <f>IF($N1889="","",IF(OR(I1889="",J1889=""),"",J1889-I1889))</f>
        <v/>
      </c>
      <c r="L1889" s="29" t="str">
        <f>IF($N1889="","",INDEX('_calc'!$J$2:$J$3001,$N1889))</f>
        <v/>
      </c>
      <c r="M1889" s="2" t="str">
        <f>IF($N1889="","",IF(AND(G1889=0,H1889=0),"수량 없음",IF(G1889=0,"신규 (전년 수량 없음)",IF(H1889=0,"당해 수량 없음",""))))</f>
        <v/>
      </c>
      <c r="N1889" t="str">
        <f>IF($B1889="","",MATCH($B1889,'_calc'!$L$2:$L$3001,0))</f>
        <v/>
      </c>
    </row>
    <row r="1890">
      <c r="B1890" s="24" t="str">
        <f>IF(ROW()-ROW($B$8)&gt;nComp,"",ROW()-ROW($B$8))</f>
        <v/>
      </c>
      <c r="C1890" t="str">
        <f>IF($N1890="","",INDEX('_calc'!$A$2:$A$3001,$N1890))</f>
        <v/>
      </c>
      <c r="D1890" s="25" t="str">
        <f>IF($N1890="","",INDEX('_calc'!$C$2:$C$3001,$N1890))</f>
        <v/>
      </c>
      <c r="E1890" s="25" t="str">
        <f>IF($N1890="","",INDEX('_calc'!$D$2:$D$3001,$N1890))</f>
        <v/>
      </c>
      <c r="F1890" s="26" t="str">
        <f>IF($N1890="","",IF($E$8=0,"",E1890/$E$8))</f>
        <v/>
      </c>
      <c r="G1890" s="25" t="str">
        <f>IF($N1890="","",INDEX('_calc'!$E$2:$E$3001,$N1890))</f>
        <v/>
      </c>
      <c r="H1890" s="25" t="str">
        <f>IF($N1890="","",INDEX('_calc'!$F$2:$F$3001,$N1890))</f>
        <v/>
      </c>
      <c r="I1890" s="27" t="str">
        <f>IF($N1890="","",INDEX('_calc'!$H$2:$H$3001,$N1890))</f>
        <v/>
      </c>
      <c r="J1890" s="27" t="str">
        <f>IF($N1890="","",INDEX('_calc'!$I$2:$I$3001,$N1890))</f>
        <v/>
      </c>
      <c r="K1890" s="28" t="str">
        <f>IF($N1890="","",IF(OR(I1890="",J1890=""),"",J1890-I1890))</f>
        <v/>
      </c>
      <c r="L1890" s="29" t="str">
        <f>IF($N1890="","",INDEX('_calc'!$J$2:$J$3001,$N1890))</f>
        <v/>
      </c>
      <c r="M1890" s="2" t="str">
        <f>IF($N1890="","",IF(AND(G1890=0,H1890=0),"수량 없음",IF(G1890=0,"신규 (전년 수량 없음)",IF(H1890=0,"당해 수량 없음",""))))</f>
        <v/>
      </c>
      <c r="N1890" t="str">
        <f>IF($B1890="","",MATCH($B1890,'_calc'!$L$2:$L$3001,0))</f>
        <v/>
      </c>
    </row>
    <row r="1891">
      <c r="B1891" s="24" t="str">
        <f>IF(ROW()-ROW($B$8)&gt;nComp,"",ROW()-ROW($B$8))</f>
        <v/>
      </c>
      <c r="C1891" t="str">
        <f>IF($N1891="","",INDEX('_calc'!$A$2:$A$3001,$N1891))</f>
        <v/>
      </c>
      <c r="D1891" s="25" t="str">
        <f>IF($N1891="","",INDEX('_calc'!$C$2:$C$3001,$N1891))</f>
        <v/>
      </c>
      <c r="E1891" s="25" t="str">
        <f>IF($N1891="","",INDEX('_calc'!$D$2:$D$3001,$N1891))</f>
        <v/>
      </c>
      <c r="F1891" s="26" t="str">
        <f>IF($N1891="","",IF($E$8=0,"",E1891/$E$8))</f>
        <v/>
      </c>
      <c r="G1891" s="25" t="str">
        <f>IF($N1891="","",INDEX('_calc'!$E$2:$E$3001,$N1891))</f>
        <v/>
      </c>
      <c r="H1891" s="25" t="str">
        <f>IF($N1891="","",INDEX('_calc'!$F$2:$F$3001,$N1891))</f>
        <v/>
      </c>
      <c r="I1891" s="27" t="str">
        <f>IF($N1891="","",INDEX('_calc'!$H$2:$H$3001,$N1891))</f>
        <v/>
      </c>
      <c r="J1891" s="27" t="str">
        <f>IF($N1891="","",INDEX('_calc'!$I$2:$I$3001,$N1891))</f>
        <v/>
      </c>
      <c r="K1891" s="28" t="str">
        <f>IF($N1891="","",IF(OR(I1891="",J1891=""),"",J1891-I1891))</f>
        <v/>
      </c>
      <c r="L1891" s="29" t="str">
        <f>IF($N1891="","",INDEX('_calc'!$J$2:$J$3001,$N1891))</f>
        <v/>
      </c>
      <c r="M1891" s="2" t="str">
        <f>IF($N1891="","",IF(AND(G1891=0,H1891=0),"수량 없음",IF(G1891=0,"신규 (전년 수량 없음)",IF(H1891=0,"당해 수량 없음",""))))</f>
        <v/>
      </c>
      <c r="N1891" t="str">
        <f>IF($B1891="","",MATCH($B1891,'_calc'!$L$2:$L$3001,0))</f>
        <v/>
      </c>
    </row>
    <row r="1892">
      <c r="B1892" s="24" t="str">
        <f>IF(ROW()-ROW($B$8)&gt;nComp,"",ROW()-ROW($B$8))</f>
        <v/>
      </c>
      <c r="C1892" t="str">
        <f>IF($N1892="","",INDEX('_calc'!$A$2:$A$3001,$N1892))</f>
        <v/>
      </c>
      <c r="D1892" s="25" t="str">
        <f>IF($N1892="","",INDEX('_calc'!$C$2:$C$3001,$N1892))</f>
        <v/>
      </c>
      <c r="E1892" s="25" t="str">
        <f>IF($N1892="","",INDEX('_calc'!$D$2:$D$3001,$N1892))</f>
        <v/>
      </c>
      <c r="F1892" s="26" t="str">
        <f>IF($N1892="","",IF($E$8=0,"",E1892/$E$8))</f>
        <v/>
      </c>
      <c r="G1892" s="25" t="str">
        <f>IF($N1892="","",INDEX('_calc'!$E$2:$E$3001,$N1892))</f>
        <v/>
      </c>
      <c r="H1892" s="25" t="str">
        <f>IF($N1892="","",INDEX('_calc'!$F$2:$F$3001,$N1892))</f>
        <v/>
      </c>
      <c r="I1892" s="27" t="str">
        <f>IF($N1892="","",INDEX('_calc'!$H$2:$H$3001,$N1892))</f>
        <v/>
      </c>
      <c r="J1892" s="27" t="str">
        <f>IF($N1892="","",INDEX('_calc'!$I$2:$I$3001,$N1892))</f>
        <v/>
      </c>
      <c r="K1892" s="28" t="str">
        <f>IF($N1892="","",IF(OR(I1892="",J1892=""),"",J1892-I1892))</f>
        <v/>
      </c>
      <c r="L1892" s="29" t="str">
        <f>IF($N1892="","",INDEX('_calc'!$J$2:$J$3001,$N1892))</f>
        <v/>
      </c>
      <c r="M1892" s="2" t="str">
        <f>IF($N1892="","",IF(AND(G1892=0,H1892=0),"수량 없음",IF(G1892=0,"신규 (전년 수량 없음)",IF(H1892=0,"당해 수량 없음",""))))</f>
        <v/>
      </c>
      <c r="N1892" t="str">
        <f>IF($B1892="","",MATCH($B1892,'_calc'!$L$2:$L$3001,0))</f>
        <v/>
      </c>
    </row>
    <row r="1893">
      <c r="B1893" s="24" t="str">
        <f>IF(ROW()-ROW($B$8)&gt;nComp,"",ROW()-ROW($B$8))</f>
        <v/>
      </c>
      <c r="C1893" t="str">
        <f>IF($N1893="","",INDEX('_calc'!$A$2:$A$3001,$N1893))</f>
        <v/>
      </c>
      <c r="D1893" s="25" t="str">
        <f>IF($N1893="","",INDEX('_calc'!$C$2:$C$3001,$N1893))</f>
        <v/>
      </c>
      <c r="E1893" s="25" t="str">
        <f>IF($N1893="","",INDEX('_calc'!$D$2:$D$3001,$N1893))</f>
        <v/>
      </c>
      <c r="F1893" s="26" t="str">
        <f>IF($N1893="","",IF($E$8=0,"",E1893/$E$8))</f>
        <v/>
      </c>
      <c r="G1893" s="25" t="str">
        <f>IF($N1893="","",INDEX('_calc'!$E$2:$E$3001,$N1893))</f>
        <v/>
      </c>
      <c r="H1893" s="25" t="str">
        <f>IF($N1893="","",INDEX('_calc'!$F$2:$F$3001,$N1893))</f>
        <v/>
      </c>
      <c r="I1893" s="27" t="str">
        <f>IF($N1893="","",INDEX('_calc'!$H$2:$H$3001,$N1893))</f>
        <v/>
      </c>
      <c r="J1893" s="27" t="str">
        <f>IF($N1893="","",INDEX('_calc'!$I$2:$I$3001,$N1893))</f>
        <v/>
      </c>
      <c r="K1893" s="28" t="str">
        <f>IF($N1893="","",IF(OR(I1893="",J1893=""),"",J1893-I1893))</f>
        <v/>
      </c>
      <c r="L1893" s="29" t="str">
        <f>IF($N1893="","",INDEX('_calc'!$J$2:$J$3001,$N1893))</f>
        <v/>
      </c>
      <c r="M1893" s="2" t="str">
        <f>IF($N1893="","",IF(AND(G1893=0,H1893=0),"수량 없음",IF(G1893=0,"신규 (전년 수량 없음)",IF(H1893=0,"당해 수량 없음",""))))</f>
        <v/>
      </c>
      <c r="N1893" t="str">
        <f>IF($B1893="","",MATCH($B1893,'_calc'!$L$2:$L$3001,0))</f>
        <v/>
      </c>
    </row>
    <row r="1894">
      <c r="B1894" s="24" t="str">
        <f>IF(ROW()-ROW($B$8)&gt;nComp,"",ROW()-ROW($B$8))</f>
        <v/>
      </c>
      <c r="C1894" t="str">
        <f>IF($N1894="","",INDEX('_calc'!$A$2:$A$3001,$N1894))</f>
        <v/>
      </c>
      <c r="D1894" s="25" t="str">
        <f>IF($N1894="","",INDEX('_calc'!$C$2:$C$3001,$N1894))</f>
        <v/>
      </c>
      <c r="E1894" s="25" t="str">
        <f>IF($N1894="","",INDEX('_calc'!$D$2:$D$3001,$N1894))</f>
        <v/>
      </c>
      <c r="F1894" s="26" t="str">
        <f>IF($N1894="","",IF($E$8=0,"",E1894/$E$8))</f>
        <v/>
      </c>
      <c r="G1894" s="25" t="str">
        <f>IF($N1894="","",INDEX('_calc'!$E$2:$E$3001,$N1894))</f>
        <v/>
      </c>
      <c r="H1894" s="25" t="str">
        <f>IF($N1894="","",INDEX('_calc'!$F$2:$F$3001,$N1894))</f>
        <v/>
      </c>
      <c r="I1894" s="27" t="str">
        <f>IF($N1894="","",INDEX('_calc'!$H$2:$H$3001,$N1894))</f>
        <v/>
      </c>
      <c r="J1894" s="27" t="str">
        <f>IF($N1894="","",INDEX('_calc'!$I$2:$I$3001,$N1894))</f>
        <v/>
      </c>
      <c r="K1894" s="28" t="str">
        <f>IF($N1894="","",IF(OR(I1894="",J1894=""),"",J1894-I1894))</f>
        <v/>
      </c>
      <c r="L1894" s="29" t="str">
        <f>IF($N1894="","",INDEX('_calc'!$J$2:$J$3001,$N1894))</f>
        <v/>
      </c>
      <c r="M1894" s="2" t="str">
        <f>IF($N1894="","",IF(AND(G1894=0,H1894=0),"수량 없음",IF(G1894=0,"신규 (전년 수량 없음)",IF(H1894=0,"당해 수량 없음",""))))</f>
        <v/>
      </c>
      <c r="N1894" t="str">
        <f>IF($B1894="","",MATCH($B1894,'_calc'!$L$2:$L$3001,0))</f>
        <v/>
      </c>
    </row>
    <row r="1895">
      <c r="B1895" s="24" t="str">
        <f>IF(ROW()-ROW($B$8)&gt;nComp,"",ROW()-ROW($B$8))</f>
        <v/>
      </c>
      <c r="C1895" t="str">
        <f>IF($N1895="","",INDEX('_calc'!$A$2:$A$3001,$N1895))</f>
        <v/>
      </c>
      <c r="D1895" s="25" t="str">
        <f>IF($N1895="","",INDEX('_calc'!$C$2:$C$3001,$N1895))</f>
        <v/>
      </c>
      <c r="E1895" s="25" t="str">
        <f>IF($N1895="","",INDEX('_calc'!$D$2:$D$3001,$N1895))</f>
        <v/>
      </c>
      <c r="F1895" s="26" t="str">
        <f>IF($N1895="","",IF($E$8=0,"",E1895/$E$8))</f>
        <v/>
      </c>
      <c r="G1895" s="25" t="str">
        <f>IF($N1895="","",INDEX('_calc'!$E$2:$E$3001,$N1895))</f>
        <v/>
      </c>
      <c r="H1895" s="25" t="str">
        <f>IF($N1895="","",INDEX('_calc'!$F$2:$F$3001,$N1895))</f>
        <v/>
      </c>
      <c r="I1895" s="27" t="str">
        <f>IF($N1895="","",INDEX('_calc'!$H$2:$H$3001,$N1895))</f>
        <v/>
      </c>
      <c r="J1895" s="27" t="str">
        <f>IF($N1895="","",INDEX('_calc'!$I$2:$I$3001,$N1895))</f>
        <v/>
      </c>
      <c r="K1895" s="28" t="str">
        <f>IF($N1895="","",IF(OR(I1895="",J1895=""),"",J1895-I1895))</f>
        <v/>
      </c>
      <c r="L1895" s="29" t="str">
        <f>IF($N1895="","",INDEX('_calc'!$J$2:$J$3001,$N1895))</f>
        <v/>
      </c>
      <c r="M1895" s="2" t="str">
        <f>IF($N1895="","",IF(AND(G1895=0,H1895=0),"수량 없음",IF(G1895=0,"신규 (전년 수량 없음)",IF(H1895=0,"당해 수량 없음",""))))</f>
        <v/>
      </c>
      <c r="N1895" t="str">
        <f>IF($B1895="","",MATCH($B1895,'_calc'!$L$2:$L$3001,0))</f>
        <v/>
      </c>
    </row>
    <row r="1896">
      <c r="B1896" s="24" t="str">
        <f>IF(ROW()-ROW($B$8)&gt;nComp,"",ROW()-ROW($B$8))</f>
        <v/>
      </c>
      <c r="C1896" t="str">
        <f>IF($N1896="","",INDEX('_calc'!$A$2:$A$3001,$N1896))</f>
        <v/>
      </c>
      <c r="D1896" s="25" t="str">
        <f>IF($N1896="","",INDEX('_calc'!$C$2:$C$3001,$N1896))</f>
        <v/>
      </c>
      <c r="E1896" s="25" t="str">
        <f>IF($N1896="","",INDEX('_calc'!$D$2:$D$3001,$N1896))</f>
        <v/>
      </c>
      <c r="F1896" s="26" t="str">
        <f>IF($N1896="","",IF($E$8=0,"",E1896/$E$8))</f>
        <v/>
      </c>
      <c r="G1896" s="25" t="str">
        <f>IF($N1896="","",INDEX('_calc'!$E$2:$E$3001,$N1896))</f>
        <v/>
      </c>
      <c r="H1896" s="25" t="str">
        <f>IF($N1896="","",INDEX('_calc'!$F$2:$F$3001,$N1896))</f>
        <v/>
      </c>
      <c r="I1896" s="27" t="str">
        <f>IF($N1896="","",INDEX('_calc'!$H$2:$H$3001,$N1896))</f>
        <v/>
      </c>
      <c r="J1896" s="27" t="str">
        <f>IF($N1896="","",INDEX('_calc'!$I$2:$I$3001,$N1896))</f>
        <v/>
      </c>
      <c r="K1896" s="28" t="str">
        <f>IF($N1896="","",IF(OR(I1896="",J1896=""),"",J1896-I1896))</f>
        <v/>
      </c>
      <c r="L1896" s="29" t="str">
        <f>IF($N1896="","",INDEX('_calc'!$J$2:$J$3001,$N1896))</f>
        <v/>
      </c>
      <c r="M1896" s="2" t="str">
        <f>IF($N1896="","",IF(AND(G1896=0,H1896=0),"수량 없음",IF(G1896=0,"신규 (전년 수량 없음)",IF(H1896=0,"당해 수량 없음",""))))</f>
        <v/>
      </c>
      <c r="N1896" t="str">
        <f>IF($B1896="","",MATCH($B1896,'_calc'!$L$2:$L$3001,0))</f>
        <v/>
      </c>
    </row>
    <row r="1897">
      <c r="B1897" s="24" t="str">
        <f>IF(ROW()-ROW($B$8)&gt;nComp,"",ROW()-ROW($B$8))</f>
        <v/>
      </c>
      <c r="C1897" t="str">
        <f>IF($N1897="","",INDEX('_calc'!$A$2:$A$3001,$N1897))</f>
        <v/>
      </c>
      <c r="D1897" s="25" t="str">
        <f>IF($N1897="","",INDEX('_calc'!$C$2:$C$3001,$N1897))</f>
        <v/>
      </c>
      <c r="E1897" s="25" t="str">
        <f>IF($N1897="","",INDEX('_calc'!$D$2:$D$3001,$N1897))</f>
        <v/>
      </c>
      <c r="F1897" s="26" t="str">
        <f>IF($N1897="","",IF($E$8=0,"",E1897/$E$8))</f>
        <v/>
      </c>
      <c r="G1897" s="25" t="str">
        <f>IF($N1897="","",INDEX('_calc'!$E$2:$E$3001,$N1897))</f>
        <v/>
      </c>
      <c r="H1897" s="25" t="str">
        <f>IF($N1897="","",INDEX('_calc'!$F$2:$F$3001,$N1897))</f>
        <v/>
      </c>
      <c r="I1897" s="27" t="str">
        <f>IF($N1897="","",INDEX('_calc'!$H$2:$H$3001,$N1897))</f>
        <v/>
      </c>
      <c r="J1897" s="27" t="str">
        <f>IF($N1897="","",INDEX('_calc'!$I$2:$I$3001,$N1897))</f>
        <v/>
      </c>
      <c r="K1897" s="28" t="str">
        <f>IF($N1897="","",IF(OR(I1897="",J1897=""),"",J1897-I1897))</f>
        <v/>
      </c>
      <c r="L1897" s="29" t="str">
        <f>IF($N1897="","",INDEX('_calc'!$J$2:$J$3001,$N1897))</f>
        <v/>
      </c>
      <c r="M1897" s="2" t="str">
        <f>IF($N1897="","",IF(AND(G1897=0,H1897=0),"수량 없음",IF(G1897=0,"신규 (전년 수량 없음)",IF(H1897=0,"당해 수량 없음",""))))</f>
        <v/>
      </c>
      <c r="N1897" t="str">
        <f>IF($B1897="","",MATCH($B1897,'_calc'!$L$2:$L$3001,0))</f>
        <v/>
      </c>
    </row>
    <row r="1898">
      <c r="B1898" s="24" t="str">
        <f>IF(ROW()-ROW($B$8)&gt;nComp,"",ROW()-ROW($B$8))</f>
        <v/>
      </c>
      <c r="C1898" t="str">
        <f>IF($N1898="","",INDEX('_calc'!$A$2:$A$3001,$N1898))</f>
        <v/>
      </c>
      <c r="D1898" s="25" t="str">
        <f>IF($N1898="","",INDEX('_calc'!$C$2:$C$3001,$N1898))</f>
        <v/>
      </c>
      <c r="E1898" s="25" t="str">
        <f>IF($N1898="","",INDEX('_calc'!$D$2:$D$3001,$N1898))</f>
        <v/>
      </c>
      <c r="F1898" s="26" t="str">
        <f>IF($N1898="","",IF($E$8=0,"",E1898/$E$8))</f>
        <v/>
      </c>
      <c r="G1898" s="25" t="str">
        <f>IF($N1898="","",INDEX('_calc'!$E$2:$E$3001,$N1898))</f>
        <v/>
      </c>
      <c r="H1898" s="25" t="str">
        <f>IF($N1898="","",INDEX('_calc'!$F$2:$F$3001,$N1898))</f>
        <v/>
      </c>
      <c r="I1898" s="27" t="str">
        <f>IF($N1898="","",INDEX('_calc'!$H$2:$H$3001,$N1898))</f>
        <v/>
      </c>
      <c r="J1898" s="27" t="str">
        <f>IF($N1898="","",INDEX('_calc'!$I$2:$I$3001,$N1898))</f>
        <v/>
      </c>
      <c r="K1898" s="28" t="str">
        <f>IF($N1898="","",IF(OR(I1898="",J1898=""),"",J1898-I1898))</f>
        <v/>
      </c>
      <c r="L1898" s="29" t="str">
        <f>IF($N1898="","",INDEX('_calc'!$J$2:$J$3001,$N1898))</f>
        <v/>
      </c>
      <c r="M1898" s="2" t="str">
        <f>IF($N1898="","",IF(AND(G1898=0,H1898=0),"수량 없음",IF(G1898=0,"신규 (전년 수량 없음)",IF(H1898=0,"당해 수량 없음",""))))</f>
        <v/>
      </c>
      <c r="N1898" t="str">
        <f>IF($B1898="","",MATCH($B1898,'_calc'!$L$2:$L$3001,0))</f>
        <v/>
      </c>
    </row>
    <row r="1899">
      <c r="B1899" s="24" t="str">
        <f>IF(ROW()-ROW($B$8)&gt;nComp,"",ROW()-ROW($B$8))</f>
        <v/>
      </c>
      <c r="C1899" t="str">
        <f>IF($N1899="","",INDEX('_calc'!$A$2:$A$3001,$N1899))</f>
        <v/>
      </c>
      <c r="D1899" s="25" t="str">
        <f>IF($N1899="","",INDEX('_calc'!$C$2:$C$3001,$N1899))</f>
        <v/>
      </c>
      <c r="E1899" s="25" t="str">
        <f>IF($N1899="","",INDEX('_calc'!$D$2:$D$3001,$N1899))</f>
        <v/>
      </c>
      <c r="F1899" s="26" t="str">
        <f>IF($N1899="","",IF($E$8=0,"",E1899/$E$8))</f>
        <v/>
      </c>
      <c r="G1899" s="25" t="str">
        <f>IF($N1899="","",INDEX('_calc'!$E$2:$E$3001,$N1899))</f>
        <v/>
      </c>
      <c r="H1899" s="25" t="str">
        <f>IF($N1899="","",INDEX('_calc'!$F$2:$F$3001,$N1899))</f>
        <v/>
      </c>
      <c r="I1899" s="27" t="str">
        <f>IF($N1899="","",INDEX('_calc'!$H$2:$H$3001,$N1899))</f>
        <v/>
      </c>
      <c r="J1899" s="27" t="str">
        <f>IF($N1899="","",INDEX('_calc'!$I$2:$I$3001,$N1899))</f>
        <v/>
      </c>
      <c r="K1899" s="28" t="str">
        <f>IF($N1899="","",IF(OR(I1899="",J1899=""),"",J1899-I1899))</f>
        <v/>
      </c>
      <c r="L1899" s="29" t="str">
        <f>IF($N1899="","",INDEX('_calc'!$J$2:$J$3001,$N1899))</f>
        <v/>
      </c>
      <c r="M1899" s="2" t="str">
        <f>IF($N1899="","",IF(AND(G1899=0,H1899=0),"수량 없음",IF(G1899=0,"신규 (전년 수량 없음)",IF(H1899=0,"당해 수량 없음",""))))</f>
        <v/>
      </c>
      <c r="N1899" t="str">
        <f>IF($B1899="","",MATCH($B1899,'_calc'!$L$2:$L$3001,0))</f>
        <v/>
      </c>
    </row>
    <row r="1900">
      <c r="B1900" s="24" t="str">
        <f>IF(ROW()-ROW($B$8)&gt;nComp,"",ROW()-ROW($B$8))</f>
        <v/>
      </c>
      <c r="C1900" t="str">
        <f>IF($N1900="","",INDEX('_calc'!$A$2:$A$3001,$N1900))</f>
        <v/>
      </c>
      <c r="D1900" s="25" t="str">
        <f>IF($N1900="","",INDEX('_calc'!$C$2:$C$3001,$N1900))</f>
        <v/>
      </c>
      <c r="E1900" s="25" t="str">
        <f>IF($N1900="","",INDEX('_calc'!$D$2:$D$3001,$N1900))</f>
        <v/>
      </c>
      <c r="F1900" s="26" t="str">
        <f>IF($N1900="","",IF($E$8=0,"",E1900/$E$8))</f>
        <v/>
      </c>
      <c r="G1900" s="25" t="str">
        <f>IF($N1900="","",INDEX('_calc'!$E$2:$E$3001,$N1900))</f>
        <v/>
      </c>
      <c r="H1900" s="25" t="str">
        <f>IF($N1900="","",INDEX('_calc'!$F$2:$F$3001,$N1900))</f>
        <v/>
      </c>
      <c r="I1900" s="27" t="str">
        <f>IF($N1900="","",INDEX('_calc'!$H$2:$H$3001,$N1900))</f>
        <v/>
      </c>
      <c r="J1900" s="27" t="str">
        <f>IF($N1900="","",INDEX('_calc'!$I$2:$I$3001,$N1900))</f>
        <v/>
      </c>
      <c r="K1900" s="28" t="str">
        <f>IF($N1900="","",IF(OR(I1900="",J1900=""),"",J1900-I1900))</f>
        <v/>
      </c>
      <c r="L1900" s="29" t="str">
        <f>IF($N1900="","",INDEX('_calc'!$J$2:$J$3001,$N1900))</f>
        <v/>
      </c>
      <c r="M1900" s="2" t="str">
        <f>IF($N1900="","",IF(AND(G1900=0,H1900=0),"수량 없음",IF(G1900=0,"신규 (전년 수량 없음)",IF(H1900=0,"당해 수량 없음",""))))</f>
        <v/>
      </c>
      <c r="N1900" t="str">
        <f>IF($B1900="","",MATCH($B1900,'_calc'!$L$2:$L$3001,0))</f>
        <v/>
      </c>
    </row>
    <row r="1901">
      <c r="B1901" s="24" t="str">
        <f>IF(ROW()-ROW($B$8)&gt;nComp,"",ROW()-ROW($B$8))</f>
        <v/>
      </c>
      <c r="C1901" t="str">
        <f>IF($N1901="","",INDEX('_calc'!$A$2:$A$3001,$N1901))</f>
        <v/>
      </c>
      <c r="D1901" s="25" t="str">
        <f>IF($N1901="","",INDEX('_calc'!$C$2:$C$3001,$N1901))</f>
        <v/>
      </c>
      <c r="E1901" s="25" t="str">
        <f>IF($N1901="","",INDEX('_calc'!$D$2:$D$3001,$N1901))</f>
        <v/>
      </c>
      <c r="F1901" s="26" t="str">
        <f>IF($N1901="","",IF($E$8=0,"",E1901/$E$8))</f>
        <v/>
      </c>
      <c r="G1901" s="25" t="str">
        <f>IF($N1901="","",INDEX('_calc'!$E$2:$E$3001,$N1901))</f>
        <v/>
      </c>
      <c r="H1901" s="25" t="str">
        <f>IF($N1901="","",INDEX('_calc'!$F$2:$F$3001,$N1901))</f>
        <v/>
      </c>
      <c r="I1901" s="27" t="str">
        <f>IF($N1901="","",INDEX('_calc'!$H$2:$H$3001,$N1901))</f>
        <v/>
      </c>
      <c r="J1901" s="27" t="str">
        <f>IF($N1901="","",INDEX('_calc'!$I$2:$I$3001,$N1901))</f>
        <v/>
      </c>
      <c r="K1901" s="28" t="str">
        <f>IF($N1901="","",IF(OR(I1901="",J1901=""),"",J1901-I1901))</f>
        <v/>
      </c>
      <c r="L1901" s="29" t="str">
        <f>IF($N1901="","",INDEX('_calc'!$J$2:$J$3001,$N1901))</f>
        <v/>
      </c>
      <c r="M1901" s="2" t="str">
        <f>IF($N1901="","",IF(AND(G1901=0,H1901=0),"수량 없음",IF(G1901=0,"신규 (전년 수량 없음)",IF(H1901=0,"당해 수량 없음",""))))</f>
        <v/>
      </c>
      <c r="N1901" t="str">
        <f>IF($B1901="","",MATCH($B1901,'_calc'!$L$2:$L$3001,0))</f>
        <v/>
      </c>
    </row>
    <row r="1902">
      <c r="B1902" s="24" t="str">
        <f>IF(ROW()-ROW($B$8)&gt;nComp,"",ROW()-ROW($B$8))</f>
        <v/>
      </c>
      <c r="C1902" t="str">
        <f>IF($N1902="","",INDEX('_calc'!$A$2:$A$3001,$N1902))</f>
        <v/>
      </c>
      <c r="D1902" s="25" t="str">
        <f>IF($N1902="","",INDEX('_calc'!$C$2:$C$3001,$N1902))</f>
        <v/>
      </c>
      <c r="E1902" s="25" t="str">
        <f>IF($N1902="","",INDEX('_calc'!$D$2:$D$3001,$N1902))</f>
        <v/>
      </c>
      <c r="F1902" s="26" t="str">
        <f>IF($N1902="","",IF($E$8=0,"",E1902/$E$8))</f>
        <v/>
      </c>
      <c r="G1902" s="25" t="str">
        <f>IF($N1902="","",INDEX('_calc'!$E$2:$E$3001,$N1902))</f>
        <v/>
      </c>
      <c r="H1902" s="25" t="str">
        <f>IF($N1902="","",INDEX('_calc'!$F$2:$F$3001,$N1902))</f>
        <v/>
      </c>
      <c r="I1902" s="27" t="str">
        <f>IF($N1902="","",INDEX('_calc'!$H$2:$H$3001,$N1902))</f>
        <v/>
      </c>
      <c r="J1902" s="27" t="str">
        <f>IF($N1902="","",INDEX('_calc'!$I$2:$I$3001,$N1902))</f>
        <v/>
      </c>
      <c r="K1902" s="28" t="str">
        <f>IF($N1902="","",IF(OR(I1902="",J1902=""),"",J1902-I1902))</f>
        <v/>
      </c>
      <c r="L1902" s="29" t="str">
        <f>IF($N1902="","",INDEX('_calc'!$J$2:$J$3001,$N1902))</f>
        <v/>
      </c>
      <c r="M1902" s="2" t="str">
        <f>IF($N1902="","",IF(AND(G1902=0,H1902=0),"수량 없음",IF(G1902=0,"신규 (전년 수량 없음)",IF(H1902=0,"당해 수량 없음",""))))</f>
        <v/>
      </c>
      <c r="N1902" t="str">
        <f>IF($B1902="","",MATCH($B1902,'_calc'!$L$2:$L$3001,0))</f>
        <v/>
      </c>
    </row>
    <row r="1903">
      <c r="B1903" s="24" t="str">
        <f>IF(ROW()-ROW($B$8)&gt;nComp,"",ROW()-ROW($B$8))</f>
        <v/>
      </c>
      <c r="C1903" t="str">
        <f>IF($N1903="","",INDEX('_calc'!$A$2:$A$3001,$N1903))</f>
        <v/>
      </c>
      <c r="D1903" s="25" t="str">
        <f>IF($N1903="","",INDEX('_calc'!$C$2:$C$3001,$N1903))</f>
        <v/>
      </c>
      <c r="E1903" s="25" t="str">
        <f>IF($N1903="","",INDEX('_calc'!$D$2:$D$3001,$N1903))</f>
        <v/>
      </c>
      <c r="F1903" s="26" t="str">
        <f>IF($N1903="","",IF($E$8=0,"",E1903/$E$8))</f>
        <v/>
      </c>
      <c r="G1903" s="25" t="str">
        <f>IF($N1903="","",INDEX('_calc'!$E$2:$E$3001,$N1903))</f>
        <v/>
      </c>
      <c r="H1903" s="25" t="str">
        <f>IF($N1903="","",INDEX('_calc'!$F$2:$F$3001,$N1903))</f>
        <v/>
      </c>
      <c r="I1903" s="27" t="str">
        <f>IF($N1903="","",INDEX('_calc'!$H$2:$H$3001,$N1903))</f>
        <v/>
      </c>
      <c r="J1903" s="27" t="str">
        <f>IF($N1903="","",INDEX('_calc'!$I$2:$I$3001,$N1903))</f>
        <v/>
      </c>
      <c r="K1903" s="28" t="str">
        <f>IF($N1903="","",IF(OR(I1903="",J1903=""),"",J1903-I1903))</f>
        <v/>
      </c>
      <c r="L1903" s="29" t="str">
        <f>IF($N1903="","",INDEX('_calc'!$J$2:$J$3001,$N1903))</f>
        <v/>
      </c>
      <c r="M1903" s="2" t="str">
        <f>IF($N1903="","",IF(AND(G1903=0,H1903=0),"수량 없음",IF(G1903=0,"신규 (전년 수량 없음)",IF(H1903=0,"당해 수량 없음",""))))</f>
        <v/>
      </c>
      <c r="N1903" t="str">
        <f>IF($B1903="","",MATCH($B1903,'_calc'!$L$2:$L$3001,0))</f>
        <v/>
      </c>
    </row>
    <row r="1904">
      <c r="B1904" s="24" t="str">
        <f>IF(ROW()-ROW($B$8)&gt;nComp,"",ROW()-ROW($B$8))</f>
        <v/>
      </c>
      <c r="C1904" t="str">
        <f>IF($N1904="","",INDEX('_calc'!$A$2:$A$3001,$N1904))</f>
        <v/>
      </c>
      <c r="D1904" s="25" t="str">
        <f>IF($N1904="","",INDEX('_calc'!$C$2:$C$3001,$N1904))</f>
        <v/>
      </c>
      <c r="E1904" s="25" t="str">
        <f>IF($N1904="","",INDEX('_calc'!$D$2:$D$3001,$N1904))</f>
        <v/>
      </c>
      <c r="F1904" s="26" t="str">
        <f>IF($N1904="","",IF($E$8=0,"",E1904/$E$8))</f>
        <v/>
      </c>
      <c r="G1904" s="25" t="str">
        <f>IF($N1904="","",INDEX('_calc'!$E$2:$E$3001,$N1904))</f>
        <v/>
      </c>
      <c r="H1904" s="25" t="str">
        <f>IF($N1904="","",INDEX('_calc'!$F$2:$F$3001,$N1904))</f>
        <v/>
      </c>
      <c r="I1904" s="27" t="str">
        <f>IF($N1904="","",INDEX('_calc'!$H$2:$H$3001,$N1904))</f>
        <v/>
      </c>
      <c r="J1904" s="27" t="str">
        <f>IF($N1904="","",INDEX('_calc'!$I$2:$I$3001,$N1904))</f>
        <v/>
      </c>
      <c r="K1904" s="28" t="str">
        <f>IF($N1904="","",IF(OR(I1904="",J1904=""),"",J1904-I1904))</f>
        <v/>
      </c>
      <c r="L1904" s="29" t="str">
        <f>IF($N1904="","",INDEX('_calc'!$J$2:$J$3001,$N1904))</f>
        <v/>
      </c>
      <c r="M1904" s="2" t="str">
        <f>IF($N1904="","",IF(AND(G1904=0,H1904=0),"수량 없음",IF(G1904=0,"신규 (전년 수량 없음)",IF(H1904=0,"당해 수량 없음",""))))</f>
        <v/>
      </c>
      <c r="N1904" t="str">
        <f>IF($B1904="","",MATCH($B1904,'_calc'!$L$2:$L$3001,0))</f>
        <v/>
      </c>
    </row>
    <row r="1905">
      <c r="B1905" s="24" t="str">
        <f>IF(ROW()-ROW($B$8)&gt;nComp,"",ROW()-ROW($B$8))</f>
        <v/>
      </c>
      <c r="C1905" t="str">
        <f>IF($N1905="","",INDEX('_calc'!$A$2:$A$3001,$N1905))</f>
        <v/>
      </c>
      <c r="D1905" s="25" t="str">
        <f>IF($N1905="","",INDEX('_calc'!$C$2:$C$3001,$N1905))</f>
        <v/>
      </c>
      <c r="E1905" s="25" t="str">
        <f>IF($N1905="","",INDEX('_calc'!$D$2:$D$3001,$N1905))</f>
        <v/>
      </c>
      <c r="F1905" s="26" t="str">
        <f>IF($N1905="","",IF($E$8=0,"",E1905/$E$8))</f>
        <v/>
      </c>
      <c r="G1905" s="25" t="str">
        <f>IF($N1905="","",INDEX('_calc'!$E$2:$E$3001,$N1905))</f>
        <v/>
      </c>
      <c r="H1905" s="25" t="str">
        <f>IF($N1905="","",INDEX('_calc'!$F$2:$F$3001,$N1905))</f>
        <v/>
      </c>
      <c r="I1905" s="27" t="str">
        <f>IF($N1905="","",INDEX('_calc'!$H$2:$H$3001,$N1905))</f>
        <v/>
      </c>
      <c r="J1905" s="27" t="str">
        <f>IF($N1905="","",INDEX('_calc'!$I$2:$I$3001,$N1905))</f>
        <v/>
      </c>
      <c r="K1905" s="28" t="str">
        <f>IF($N1905="","",IF(OR(I1905="",J1905=""),"",J1905-I1905))</f>
        <v/>
      </c>
      <c r="L1905" s="29" t="str">
        <f>IF($N1905="","",INDEX('_calc'!$J$2:$J$3001,$N1905))</f>
        <v/>
      </c>
      <c r="M1905" s="2" t="str">
        <f>IF($N1905="","",IF(AND(G1905=0,H1905=0),"수량 없음",IF(G1905=0,"신규 (전년 수량 없음)",IF(H1905=0,"당해 수량 없음",""))))</f>
        <v/>
      </c>
      <c r="N1905" t="str">
        <f>IF($B1905="","",MATCH($B1905,'_calc'!$L$2:$L$3001,0))</f>
        <v/>
      </c>
    </row>
    <row r="1906">
      <c r="B1906" s="24" t="str">
        <f>IF(ROW()-ROW($B$8)&gt;nComp,"",ROW()-ROW($B$8))</f>
        <v/>
      </c>
      <c r="C1906" t="str">
        <f>IF($N1906="","",INDEX('_calc'!$A$2:$A$3001,$N1906))</f>
        <v/>
      </c>
      <c r="D1906" s="25" t="str">
        <f>IF($N1906="","",INDEX('_calc'!$C$2:$C$3001,$N1906))</f>
        <v/>
      </c>
      <c r="E1906" s="25" t="str">
        <f>IF($N1906="","",INDEX('_calc'!$D$2:$D$3001,$N1906))</f>
        <v/>
      </c>
      <c r="F1906" s="26" t="str">
        <f>IF($N1906="","",IF($E$8=0,"",E1906/$E$8))</f>
        <v/>
      </c>
      <c r="G1906" s="25" t="str">
        <f>IF($N1906="","",INDEX('_calc'!$E$2:$E$3001,$N1906))</f>
        <v/>
      </c>
      <c r="H1906" s="25" t="str">
        <f>IF($N1906="","",INDEX('_calc'!$F$2:$F$3001,$N1906))</f>
        <v/>
      </c>
      <c r="I1906" s="27" t="str">
        <f>IF($N1906="","",INDEX('_calc'!$H$2:$H$3001,$N1906))</f>
        <v/>
      </c>
      <c r="J1906" s="27" t="str">
        <f>IF($N1906="","",INDEX('_calc'!$I$2:$I$3001,$N1906))</f>
        <v/>
      </c>
      <c r="K1906" s="28" t="str">
        <f>IF($N1906="","",IF(OR(I1906="",J1906=""),"",J1906-I1906))</f>
        <v/>
      </c>
      <c r="L1906" s="29" t="str">
        <f>IF($N1906="","",INDEX('_calc'!$J$2:$J$3001,$N1906))</f>
        <v/>
      </c>
      <c r="M1906" s="2" t="str">
        <f>IF($N1906="","",IF(AND(G1906=0,H1906=0),"수량 없음",IF(G1906=0,"신규 (전년 수량 없음)",IF(H1906=0,"당해 수량 없음",""))))</f>
        <v/>
      </c>
      <c r="N1906" t="str">
        <f>IF($B1906="","",MATCH($B1906,'_calc'!$L$2:$L$3001,0))</f>
        <v/>
      </c>
    </row>
    <row r="1907">
      <c r="B1907" s="24" t="str">
        <f>IF(ROW()-ROW($B$8)&gt;nComp,"",ROW()-ROW($B$8))</f>
        <v/>
      </c>
      <c r="C1907" t="str">
        <f>IF($N1907="","",INDEX('_calc'!$A$2:$A$3001,$N1907))</f>
        <v/>
      </c>
      <c r="D1907" s="25" t="str">
        <f>IF($N1907="","",INDEX('_calc'!$C$2:$C$3001,$N1907))</f>
        <v/>
      </c>
      <c r="E1907" s="25" t="str">
        <f>IF($N1907="","",INDEX('_calc'!$D$2:$D$3001,$N1907))</f>
        <v/>
      </c>
      <c r="F1907" s="26" t="str">
        <f>IF($N1907="","",IF($E$8=0,"",E1907/$E$8))</f>
        <v/>
      </c>
      <c r="G1907" s="25" t="str">
        <f>IF($N1907="","",INDEX('_calc'!$E$2:$E$3001,$N1907))</f>
        <v/>
      </c>
      <c r="H1907" s="25" t="str">
        <f>IF($N1907="","",INDEX('_calc'!$F$2:$F$3001,$N1907))</f>
        <v/>
      </c>
      <c r="I1907" s="27" t="str">
        <f>IF($N1907="","",INDEX('_calc'!$H$2:$H$3001,$N1907))</f>
        <v/>
      </c>
      <c r="J1907" s="27" t="str">
        <f>IF($N1907="","",INDEX('_calc'!$I$2:$I$3001,$N1907))</f>
        <v/>
      </c>
      <c r="K1907" s="28" t="str">
        <f>IF($N1907="","",IF(OR(I1907="",J1907=""),"",J1907-I1907))</f>
        <v/>
      </c>
      <c r="L1907" s="29" t="str">
        <f>IF($N1907="","",INDEX('_calc'!$J$2:$J$3001,$N1907))</f>
        <v/>
      </c>
      <c r="M1907" s="2" t="str">
        <f>IF($N1907="","",IF(AND(G1907=0,H1907=0),"수량 없음",IF(G1907=0,"신규 (전년 수량 없음)",IF(H1907=0,"당해 수량 없음",""))))</f>
        <v/>
      </c>
      <c r="N1907" t="str">
        <f>IF($B1907="","",MATCH($B1907,'_calc'!$L$2:$L$3001,0))</f>
        <v/>
      </c>
    </row>
    <row r="1908">
      <c r="B1908" s="24" t="str">
        <f>IF(ROW()-ROW($B$8)&gt;nComp,"",ROW()-ROW($B$8))</f>
        <v/>
      </c>
      <c r="C1908" t="str">
        <f>IF($N1908="","",INDEX('_calc'!$A$2:$A$3001,$N1908))</f>
        <v/>
      </c>
      <c r="D1908" s="25" t="str">
        <f>IF($N1908="","",INDEX('_calc'!$C$2:$C$3001,$N1908))</f>
        <v/>
      </c>
      <c r="E1908" s="25" t="str">
        <f>IF($N1908="","",INDEX('_calc'!$D$2:$D$3001,$N1908))</f>
        <v/>
      </c>
      <c r="F1908" s="26" t="str">
        <f>IF($N1908="","",IF($E$8=0,"",E1908/$E$8))</f>
        <v/>
      </c>
      <c r="G1908" s="25" t="str">
        <f>IF($N1908="","",INDEX('_calc'!$E$2:$E$3001,$N1908))</f>
        <v/>
      </c>
      <c r="H1908" s="25" t="str">
        <f>IF($N1908="","",INDEX('_calc'!$F$2:$F$3001,$N1908))</f>
        <v/>
      </c>
      <c r="I1908" s="27" t="str">
        <f>IF($N1908="","",INDEX('_calc'!$H$2:$H$3001,$N1908))</f>
        <v/>
      </c>
      <c r="J1908" s="27" t="str">
        <f>IF($N1908="","",INDEX('_calc'!$I$2:$I$3001,$N1908))</f>
        <v/>
      </c>
      <c r="K1908" s="28" t="str">
        <f>IF($N1908="","",IF(OR(I1908="",J1908=""),"",J1908-I1908))</f>
        <v/>
      </c>
      <c r="L1908" s="29" t="str">
        <f>IF($N1908="","",INDEX('_calc'!$J$2:$J$3001,$N1908))</f>
        <v/>
      </c>
      <c r="M1908" s="2" t="str">
        <f>IF($N1908="","",IF(AND(G1908=0,H1908=0),"수량 없음",IF(G1908=0,"신규 (전년 수량 없음)",IF(H1908=0,"당해 수량 없음",""))))</f>
        <v/>
      </c>
      <c r="N1908" t="str">
        <f>IF($B1908="","",MATCH($B1908,'_calc'!$L$2:$L$3001,0))</f>
        <v/>
      </c>
    </row>
    <row r="1909">
      <c r="B1909" s="24" t="str">
        <f>IF(ROW()-ROW($B$8)&gt;nComp,"",ROW()-ROW($B$8))</f>
        <v/>
      </c>
      <c r="C1909" t="str">
        <f>IF($N1909="","",INDEX('_calc'!$A$2:$A$3001,$N1909))</f>
        <v/>
      </c>
      <c r="D1909" s="25" t="str">
        <f>IF($N1909="","",INDEX('_calc'!$C$2:$C$3001,$N1909))</f>
        <v/>
      </c>
      <c r="E1909" s="25" t="str">
        <f>IF($N1909="","",INDEX('_calc'!$D$2:$D$3001,$N1909))</f>
        <v/>
      </c>
      <c r="F1909" s="26" t="str">
        <f>IF($N1909="","",IF($E$8=0,"",E1909/$E$8))</f>
        <v/>
      </c>
      <c r="G1909" s="25" t="str">
        <f>IF($N1909="","",INDEX('_calc'!$E$2:$E$3001,$N1909))</f>
        <v/>
      </c>
      <c r="H1909" s="25" t="str">
        <f>IF($N1909="","",INDEX('_calc'!$F$2:$F$3001,$N1909))</f>
        <v/>
      </c>
      <c r="I1909" s="27" t="str">
        <f>IF($N1909="","",INDEX('_calc'!$H$2:$H$3001,$N1909))</f>
        <v/>
      </c>
      <c r="J1909" s="27" t="str">
        <f>IF($N1909="","",INDEX('_calc'!$I$2:$I$3001,$N1909))</f>
        <v/>
      </c>
      <c r="K1909" s="28" t="str">
        <f>IF($N1909="","",IF(OR(I1909="",J1909=""),"",J1909-I1909))</f>
        <v/>
      </c>
      <c r="L1909" s="29" t="str">
        <f>IF($N1909="","",INDEX('_calc'!$J$2:$J$3001,$N1909))</f>
        <v/>
      </c>
      <c r="M1909" s="2" t="str">
        <f>IF($N1909="","",IF(AND(G1909=0,H1909=0),"수량 없음",IF(G1909=0,"신규 (전년 수량 없음)",IF(H1909=0,"당해 수량 없음",""))))</f>
        <v/>
      </c>
      <c r="N1909" t="str">
        <f>IF($B1909="","",MATCH($B1909,'_calc'!$L$2:$L$3001,0))</f>
        <v/>
      </c>
    </row>
    <row r="1910">
      <c r="B1910" s="24" t="str">
        <f>IF(ROW()-ROW($B$8)&gt;nComp,"",ROW()-ROW($B$8))</f>
        <v/>
      </c>
      <c r="C1910" t="str">
        <f>IF($N1910="","",INDEX('_calc'!$A$2:$A$3001,$N1910))</f>
        <v/>
      </c>
      <c r="D1910" s="25" t="str">
        <f>IF($N1910="","",INDEX('_calc'!$C$2:$C$3001,$N1910))</f>
        <v/>
      </c>
      <c r="E1910" s="25" t="str">
        <f>IF($N1910="","",INDEX('_calc'!$D$2:$D$3001,$N1910))</f>
        <v/>
      </c>
      <c r="F1910" s="26" t="str">
        <f>IF($N1910="","",IF($E$8=0,"",E1910/$E$8))</f>
        <v/>
      </c>
      <c r="G1910" s="25" t="str">
        <f>IF($N1910="","",INDEX('_calc'!$E$2:$E$3001,$N1910))</f>
        <v/>
      </c>
      <c r="H1910" s="25" t="str">
        <f>IF($N1910="","",INDEX('_calc'!$F$2:$F$3001,$N1910))</f>
        <v/>
      </c>
      <c r="I1910" s="27" t="str">
        <f>IF($N1910="","",INDEX('_calc'!$H$2:$H$3001,$N1910))</f>
        <v/>
      </c>
      <c r="J1910" s="27" t="str">
        <f>IF($N1910="","",INDEX('_calc'!$I$2:$I$3001,$N1910))</f>
        <v/>
      </c>
      <c r="K1910" s="28" t="str">
        <f>IF($N1910="","",IF(OR(I1910="",J1910=""),"",J1910-I1910))</f>
        <v/>
      </c>
      <c r="L1910" s="29" t="str">
        <f>IF($N1910="","",INDEX('_calc'!$J$2:$J$3001,$N1910))</f>
        <v/>
      </c>
      <c r="M1910" s="2" t="str">
        <f>IF($N1910="","",IF(AND(G1910=0,H1910=0),"수량 없음",IF(G1910=0,"신규 (전년 수량 없음)",IF(H1910=0,"당해 수량 없음",""))))</f>
        <v/>
      </c>
      <c r="N1910" t="str">
        <f>IF($B1910="","",MATCH($B1910,'_calc'!$L$2:$L$3001,0))</f>
        <v/>
      </c>
    </row>
    <row r="1911">
      <c r="B1911" s="24" t="str">
        <f>IF(ROW()-ROW($B$8)&gt;nComp,"",ROW()-ROW($B$8))</f>
        <v/>
      </c>
      <c r="C1911" t="str">
        <f>IF($N1911="","",INDEX('_calc'!$A$2:$A$3001,$N1911))</f>
        <v/>
      </c>
      <c r="D1911" s="25" t="str">
        <f>IF($N1911="","",INDEX('_calc'!$C$2:$C$3001,$N1911))</f>
        <v/>
      </c>
      <c r="E1911" s="25" t="str">
        <f>IF($N1911="","",INDEX('_calc'!$D$2:$D$3001,$N1911))</f>
        <v/>
      </c>
      <c r="F1911" s="26" t="str">
        <f>IF($N1911="","",IF($E$8=0,"",E1911/$E$8))</f>
        <v/>
      </c>
      <c r="G1911" s="25" t="str">
        <f>IF($N1911="","",INDEX('_calc'!$E$2:$E$3001,$N1911))</f>
        <v/>
      </c>
      <c r="H1911" s="25" t="str">
        <f>IF($N1911="","",INDEX('_calc'!$F$2:$F$3001,$N1911))</f>
        <v/>
      </c>
      <c r="I1911" s="27" t="str">
        <f>IF($N1911="","",INDEX('_calc'!$H$2:$H$3001,$N1911))</f>
        <v/>
      </c>
      <c r="J1911" s="27" t="str">
        <f>IF($N1911="","",INDEX('_calc'!$I$2:$I$3001,$N1911))</f>
        <v/>
      </c>
      <c r="K1911" s="28" t="str">
        <f>IF($N1911="","",IF(OR(I1911="",J1911=""),"",J1911-I1911))</f>
        <v/>
      </c>
      <c r="L1911" s="29" t="str">
        <f>IF($N1911="","",INDEX('_calc'!$J$2:$J$3001,$N1911))</f>
        <v/>
      </c>
      <c r="M1911" s="2" t="str">
        <f>IF($N1911="","",IF(AND(G1911=0,H1911=0),"수량 없음",IF(G1911=0,"신규 (전년 수량 없음)",IF(H1911=0,"당해 수량 없음",""))))</f>
        <v/>
      </c>
      <c r="N1911" t="str">
        <f>IF($B1911="","",MATCH($B1911,'_calc'!$L$2:$L$3001,0))</f>
        <v/>
      </c>
    </row>
    <row r="1912">
      <c r="B1912" s="24" t="str">
        <f>IF(ROW()-ROW($B$8)&gt;nComp,"",ROW()-ROW($B$8))</f>
        <v/>
      </c>
      <c r="C1912" t="str">
        <f>IF($N1912="","",INDEX('_calc'!$A$2:$A$3001,$N1912))</f>
        <v/>
      </c>
      <c r="D1912" s="25" t="str">
        <f>IF($N1912="","",INDEX('_calc'!$C$2:$C$3001,$N1912))</f>
        <v/>
      </c>
      <c r="E1912" s="25" t="str">
        <f>IF($N1912="","",INDEX('_calc'!$D$2:$D$3001,$N1912))</f>
        <v/>
      </c>
      <c r="F1912" s="26" t="str">
        <f>IF($N1912="","",IF($E$8=0,"",E1912/$E$8))</f>
        <v/>
      </c>
      <c r="G1912" s="25" t="str">
        <f>IF($N1912="","",INDEX('_calc'!$E$2:$E$3001,$N1912))</f>
        <v/>
      </c>
      <c r="H1912" s="25" t="str">
        <f>IF($N1912="","",INDEX('_calc'!$F$2:$F$3001,$N1912))</f>
        <v/>
      </c>
      <c r="I1912" s="27" t="str">
        <f>IF($N1912="","",INDEX('_calc'!$H$2:$H$3001,$N1912))</f>
        <v/>
      </c>
      <c r="J1912" s="27" t="str">
        <f>IF($N1912="","",INDEX('_calc'!$I$2:$I$3001,$N1912))</f>
        <v/>
      </c>
      <c r="K1912" s="28" t="str">
        <f>IF($N1912="","",IF(OR(I1912="",J1912=""),"",J1912-I1912))</f>
        <v/>
      </c>
      <c r="L1912" s="29" t="str">
        <f>IF($N1912="","",INDEX('_calc'!$J$2:$J$3001,$N1912))</f>
        <v/>
      </c>
      <c r="M1912" s="2" t="str">
        <f>IF($N1912="","",IF(AND(G1912=0,H1912=0),"수량 없음",IF(G1912=0,"신규 (전년 수량 없음)",IF(H1912=0,"당해 수량 없음",""))))</f>
        <v/>
      </c>
      <c r="N1912" t="str">
        <f>IF($B1912="","",MATCH($B1912,'_calc'!$L$2:$L$3001,0))</f>
        <v/>
      </c>
    </row>
    <row r="1913">
      <c r="B1913" s="24" t="str">
        <f>IF(ROW()-ROW($B$8)&gt;nComp,"",ROW()-ROW($B$8))</f>
        <v/>
      </c>
      <c r="C1913" t="str">
        <f>IF($N1913="","",INDEX('_calc'!$A$2:$A$3001,$N1913))</f>
        <v/>
      </c>
      <c r="D1913" s="25" t="str">
        <f>IF($N1913="","",INDEX('_calc'!$C$2:$C$3001,$N1913))</f>
        <v/>
      </c>
      <c r="E1913" s="25" t="str">
        <f>IF($N1913="","",INDEX('_calc'!$D$2:$D$3001,$N1913))</f>
        <v/>
      </c>
      <c r="F1913" s="26" t="str">
        <f>IF($N1913="","",IF($E$8=0,"",E1913/$E$8))</f>
        <v/>
      </c>
      <c r="G1913" s="25" t="str">
        <f>IF($N1913="","",INDEX('_calc'!$E$2:$E$3001,$N1913))</f>
        <v/>
      </c>
      <c r="H1913" s="25" t="str">
        <f>IF($N1913="","",INDEX('_calc'!$F$2:$F$3001,$N1913))</f>
        <v/>
      </c>
      <c r="I1913" s="27" t="str">
        <f>IF($N1913="","",INDEX('_calc'!$H$2:$H$3001,$N1913))</f>
        <v/>
      </c>
      <c r="J1913" s="27" t="str">
        <f>IF($N1913="","",INDEX('_calc'!$I$2:$I$3001,$N1913))</f>
        <v/>
      </c>
      <c r="K1913" s="28" t="str">
        <f>IF($N1913="","",IF(OR(I1913="",J1913=""),"",J1913-I1913))</f>
        <v/>
      </c>
      <c r="L1913" s="29" t="str">
        <f>IF($N1913="","",INDEX('_calc'!$J$2:$J$3001,$N1913))</f>
        <v/>
      </c>
      <c r="M1913" s="2" t="str">
        <f>IF($N1913="","",IF(AND(G1913=0,H1913=0),"수량 없음",IF(G1913=0,"신규 (전년 수량 없음)",IF(H1913=0,"당해 수량 없음",""))))</f>
        <v/>
      </c>
      <c r="N1913" t="str">
        <f>IF($B1913="","",MATCH($B1913,'_calc'!$L$2:$L$3001,0))</f>
        <v/>
      </c>
    </row>
    <row r="1914">
      <c r="B1914" s="24" t="str">
        <f>IF(ROW()-ROW($B$8)&gt;nComp,"",ROW()-ROW($B$8))</f>
        <v/>
      </c>
      <c r="C1914" t="str">
        <f>IF($N1914="","",INDEX('_calc'!$A$2:$A$3001,$N1914))</f>
        <v/>
      </c>
      <c r="D1914" s="25" t="str">
        <f>IF($N1914="","",INDEX('_calc'!$C$2:$C$3001,$N1914))</f>
        <v/>
      </c>
      <c r="E1914" s="25" t="str">
        <f>IF($N1914="","",INDEX('_calc'!$D$2:$D$3001,$N1914))</f>
        <v/>
      </c>
      <c r="F1914" s="26" t="str">
        <f>IF($N1914="","",IF($E$8=0,"",E1914/$E$8))</f>
        <v/>
      </c>
      <c r="G1914" s="25" t="str">
        <f>IF($N1914="","",INDEX('_calc'!$E$2:$E$3001,$N1914))</f>
        <v/>
      </c>
      <c r="H1914" s="25" t="str">
        <f>IF($N1914="","",INDEX('_calc'!$F$2:$F$3001,$N1914))</f>
        <v/>
      </c>
      <c r="I1914" s="27" t="str">
        <f>IF($N1914="","",INDEX('_calc'!$H$2:$H$3001,$N1914))</f>
        <v/>
      </c>
      <c r="J1914" s="27" t="str">
        <f>IF($N1914="","",INDEX('_calc'!$I$2:$I$3001,$N1914))</f>
        <v/>
      </c>
      <c r="K1914" s="28" t="str">
        <f>IF($N1914="","",IF(OR(I1914="",J1914=""),"",J1914-I1914))</f>
        <v/>
      </c>
      <c r="L1914" s="29" t="str">
        <f>IF($N1914="","",INDEX('_calc'!$J$2:$J$3001,$N1914))</f>
        <v/>
      </c>
      <c r="M1914" s="2" t="str">
        <f>IF($N1914="","",IF(AND(G1914=0,H1914=0),"수량 없음",IF(G1914=0,"신규 (전년 수량 없음)",IF(H1914=0,"당해 수량 없음",""))))</f>
        <v/>
      </c>
      <c r="N1914" t="str">
        <f>IF($B1914="","",MATCH($B1914,'_calc'!$L$2:$L$3001,0))</f>
        <v/>
      </c>
    </row>
    <row r="1915">
      <c r="B1915" s="24" t="str">
        <f>IF(ROW()-ROW($B$8)&gt;nComp,"",ROW()-ROW($B$8))</f>
        <v/>
      </c>
      <c r="C1915" t="str">
        <f>IF($N1915="","",INDEX('_calc'!$A$2:$A$3001,$N1915))</f>
        <v/>
      </c>
      <c r="D1915" s="25" t="str">
        <f>IF($N1915="","",INDEX('_calc'!$C$2:$C$3001,$N1915))</f>
        <v/>
      </c>
      <c r="E1915" s="25" t="str">
        <f>IF($N1915="","",INDEX('_calc'!$D$2:$D$3001,$N1915))</f>
        <v/>
      </c>
      <c r="F1915" s="26" t="str">
        <f>IF($N1915="","",IF($E$8=0,"",E1915/$E$8))</f>
        <v/>
      </c>
      <c r="G1915" s="25" t="str">
        <f>IF($N1915="","",INDEX('_calc'!$E$2:$E$3001,$N1915))</f>
        <v/>
      </c>
      <c r="H1915" s="25" t="str">
        <f>IF($N1915="","",INDEX('_calc'!$F$2:$F$3001,$N1915))</f>
        <v/>
      </c>
      <c r="I1915" s="27" t="str">
        <f>IF($N1915="","",INDEX('_calc'!$H$2:$H$3001,$N1915))</f>
        <v/>
      </c>
      <c r="J1915" s="27" t="str">
        <f>IF($N1915="","",INDEX('_calc'!$I$2:$I$3001,$N1915))</f>
        <v/>
      </c>
      <c r="K1915" s="28" t="str">
        <f>IF($N1915="","",IF(OR(I1915="",J1915=""),"",J1915-I1915))</f>
        <v/>
      </c>
      <c r="L1915" s="29" t="str">
        <f>IF($N1915="","",INDEX('_calc'!$J$2:$J$3001,$N1915))</f>
        <v/>
      </c>
      <c r="M1915" s="2" t="str">
        <f>IF($N1915="","",IF(AND(G1915=0,H1915=0),"수량 없음",IF(G1915=0,"신규 (전년 수량 없음)",IF(H1915=0,"당해 수량 없음",""))))</f>
        <v/>
      </c>
      <c r="N1915" t="str">
        <f>IF($B1915="","",MATCH($B1915,'_calc'!$L$2:$L$3001,0))</f>
        <v/>
      </c>
    </row>
    <row r="1916">
      <c r="B1916" s="24" t="str">
        <f>IF(ROW()-ROW($B$8)&gt;nComp,"",ROW()-ROW($B$8))</f>
        <v/>
      </c>
      <c r="C1916" t="str">
        <f>IF($N1916="","",INDEX('_calc'!$A$2:$A$3001,$N1916))</f>
        <v/>
      </c>
      <c r="D1916" s="25" t="str">
        <f>IF($N1916="","",INDEX('_calc'!$C$2:$C$3001,$N1916))</f>
        <v/>
      </c>
      <c r="E1916" s="25" t="str">
        <f>IF($N1916="","",INDEX('_calc'!$D$2:$D$3001,$N1916))</f>
        <v/>
      </c>
      <c r="F1916" s="26" t="str">
        <f>IF($N1916="","",IF($E$8=0,"",E1916/$E$8))</f>
        <v/>
      </c>
      <c r="G1916" s="25" t="str">
        <f>IF($N1916="","",INDEX('_calc'!$E$2:$E$3001,$N1916))</f>
        <v/>
      </c>
      <c r="H1916" s="25" t="str">
        <f>IF($N1916="","",INDEX('_calc'!$F$2:$F$3001,$N1916))</f>
        <v/>
      </c>
      <c r="I1916" s="27" t="str">
        <f>IF($N1916="","",INDEX('_calc'!$H$2:$H$3001,$N1916))</f>
        <v/>
      </c>
      <c r="J1916" s="27" t="str">
        <f>IF($N1916="","",INDEX('_calc'!$I$2:$I$3001,$N1916))</f>
        <v/>
      </c>
      <c r="K1916" s="28" t="str">
        <f>IF($N1916="","",IF(OR(I1916="",J1916=""),"",J1916-I1916))</f>
        <v/>
      </c>
      <c r="L1916" s="29" t="str">
        <f>IF($N1916="","",INDEX('_calc'!$J$2:$J$3001,$N1916))</f>
        <v/>
      </c>
      <c r="M1916" s="2" t="str">
        <f>IF($N1916="","",IF(AND(G1916=0,H1916=0),"수량 없음",IF(G1916=0,"신규 (전년 수량 없음)",IF(H1916=0,"당해 수량 없음",""))))</f>
        <v/>
      </c>
      <c r="N1916" t="str">
        <f>IF($B1916="","",MATCH($B1916,'_calc'!$L$2:$L$3001,0))</f>
        <v/>
      </c>
    </row>
    <row r="1917">
      <c r="B1917" s="24" t="str">
        <f>IF(ROW()-ROW($B$8)&gt;nComp,"",ROW()-ROW($B$8))</f>
        <v/>
      </c>
      <c r="C1917" t="str">
        <f>IF($N1917="","",INDEX('_calc'!$A$2:$A$3001,$N1917))</f>
        <v/>
      </c>
      <c r="D1917" s="25" t="str">
        <f>IF($N1917="","",INDEX('_calc'!$C$2:$C$3001,$N1917))</f>
        <v/>
      </c>
      <c r="E1917" s="25" t="str">
        <f>IF($N1917="","",INDEX('_calc'!$D$2:$D$3001,$N1917))</f>
        <v/>
      </c>
      <c r="F1917" s="26" t="str">
        <f>IF($N1917="","",IF($E$8=0,"",E1917/$E$8))</f>
        <v/>
      </c>
      <c r="G1917" s="25" t="str">
        <f>IF($N1917="","",INDEX('_calc'!$E$2:$E$3001,$N1917))</f>
        <v/>
      </c>
      <c r="H1917" s="25" t="str">
        <f>IF($N1917="","",INDEX('_calc'!$F$2:$F$3001,$N1917))</f>
        <v/>
      </c>
      <c r="I1917" s="27" t="str">
        <f>IF($N1917="","",INDEX('_calc'!$H$2:$H$3001,$N1917))</f>
        <v/>
      </c>
      <c r="J1917" s="27" t="str">
        <f>IF($N1917="","",INDEX('_calc'!$I$2:$I$3001,$N1917))</f>
        <v/>
      </c>
      <c r="K1917" s="28" t="str">
        <f>IF($N1917="","",IF(OR(I1917="",J1917=""),"",J1917-I1917))</f>
        <v/>
      </c>
      <c r="L1917" s="29" t="str">
        <f>IF($N1917="","",INDEX('_calc'!$J$2:$J$3001,$N1917))</f>
        <v/>
      </c>
      <c r="M1917" s="2" t="str">
        <f>IF($N1917="","",IF(AND(G1917=0,H1917=0),"수량 없음",IF(G1917=0,"신규 (전년 수량 없음)",IF(H1917=0,"당해 수량 없음",""))))</f>
        <v/>
      </c>
      <c r="N1917" t="str">
        <f>IF($B1917="","",MATCH($B1917,'_calc'!$L$2:$L$3001,0))</f>
        <v/>
      </c>
    </row>
    <row r="1918">
      <c r="B1918" s="24" t="str">
        <f>IF(ROW()-ROW($B$8)&gt;nComp,"",ROW()-ROW($B$8))</f>
        <v/>
      </c>
      <c r="C1918" t="str">
        <f>IF($N1918="","",INDEX('_calc'!$A$2:$A$3001,$N1918))</f>
        <v/>
      </c>
      <c r="D1918" s="25" t="str">
        <f>IF($N1918="","",INDEX('_calc'!$C$2:$C$3001,$N1918))</f>
        <v/>
      </c>
      <c r="E1918" s="25" t="str">
        <f>IF($N1918="","",INDEX('_calc'!$D$2:$D$3001,$N1918))</f>
        <v/>
      </c>
      <c r="F1918" s="26" t="str">
        <f>IF($N1918="","",IF($E$8=0,"",E1918/$E$8))</f>
        <v/>
      </c>
      <c r="G1918" s="25" t="str">
        <f>IF($N1918="","",INDEX('_calc'!$E$2:$E$3001,$N1918))</f>
        <v/>
      </c>
      <c r="H1918" s="25" t="str">
        <f>IF($N1918="","",INDEX('_calc'!$F$2:$F$3001,$N1918))</f>
        <v/>
      </c>
      <c r="I1918" s="27" t="str">
        <f>IF($N1918="","",INDEX('_calc'!$H$2:$H$3001,$N1918))</f>
        <v/>
      </c>
      <c r="J1918" s="27" t="str">
        <f>IF($N1918="","",INDEX('_calc'!$I$2:$I$3001,$N1918))</f>
        <v/>
      </c>
      <c r="K1918" s="28" t="str">
        <f>IF($N1918="","",IF(OR(I1918="",J1918=""),"",J1918-I1918))</f>
        <v/>
      </c>
      <c r="L1918" s="29" t="str">
        <f>IF($N1918="","",INDEX('_calc'!$J$2:$J$3001,$N1918))</f>
        <v/>
      </c>
      <c r="M1918" s="2" t="str">
        <f>IF($N1918="","",IF(AND(G1918=0,H1918=0),"수량 없음",IF(G1918=0,"신규 (전년 수량 없음)",IF(H1918=0,"당해 수량 없음",""))))</f>
        <v/>
      </c>
      <c r="N1918" t="str">
        <f>IF($B1918="","",MATCH($B1918,'_calc'!$L$2:$L$3001,0))</f>
        <v/>
      </c>
    </row>
    <row r="1919">
      <c r="B1919" s="24" t="str">
        <f>IF(ROW()-ROW($B$8)&gt;nComp,"",ROW()-ROW($B$8))</f>
        <v/>
      </c>
      <c r="C1919" t="str">
        <f>IF($N1919="","",INDEX('_calc'!$A$2:$A$3001,$N1919))</f>
        <v/>
      </c>
      <c r="D1919" s="25" t="str">
        <f>IF($N1919="","",INDEX('_calc'!$C$2:$C$3001,$N1919))</f>
        <v/>
      </c>
      <c r="E1919" s="25" t="str">
        <f>IF($N1919="","",INDEX('_calc'!$D$2:$D$3001,$N1919))</f>
        <v/>
      </c>
      <c r="F1919" s="26" t="str">
        <f>IF($N1919="","",IF($E$8=0,"",E1919/$E$8))</f>
        <v/>
      </c>
      <c r="G1919" s="25" t="str">
        <f>IF($N1919="","",INDEX('_calc'!$E$2:$E$3001,$N1919))</f>
        <v/>
      </c>
      <c r="H1919" s="25" t="str">
        <f>IF($N1919="","",INDEX('_calc'!$F$2:$F$3001,$N1919))</f>
        <v/>
      </c>
      <c r="I1919" s="27" t="str">
        <f>IF($N1919="","",INDEX('_calc'!$H$2:$H$3001,$N1919))</f>
        <v/>
      </c>
      <c r="J1919" s="27" t="str">
        <f>IF($N1919="","",INDEX('_calc'!$I$2:$I$3001,$N1919))</f>
        <v/>
      </c>
      <c r="K1919" s="28" t="str">
        <f>IF($N1919="","",IF(OR(I1919="",J1919=""),"",J1919-I1919))</f>
        <v/>
      </c>
      <c r="L1919" s="29" t="str">
        <f>IF($N1919="","",INDEX('_calc'!$J$2:$J$3001,$N1919))</f>
        <v/>
      </c>
      <c r="M1919" s="2" t="str">
        <f>IF($N1919="","",IF(AND(G1919=0,H1919=0),"수량 없음",IF(G1919=0,"신규 (전년 수량 없음)",IF(H1919=0,"당해 수량 없음",""))))</f>
        <v/>
      </c>
      <c r="N1919" t="str">
        <f>IF($B1919="","",MATCH($B1919,'_calc'!$L$2:$L$3001,0))</f>
        <v/>
      </c>
    </row>
    <row r="1920">
      <c r="B1920" s="24" t="str">
        <f>IF(ROW()-ROW($B$8)&gt;nComp,"",ROW()-ROW($B$8))</f>
        <v/>
      </c>
      <c r="C1920" t="str">
        <f>IF($N1920="","",INDEX('_calc'!$A$2:$A$3001,$N1920))</f>
        <v/>
      </c>
      <c r="D1920" s="25" t="str">
        <f>IF($N1920="","",INDEX('_calc'!$C$2:$C$3001,$N1920))</f>
        <v/>
      </c>
      <c r="E1920" s="25" t="str">
        <f>IF($N1920="","",INDEX('_calc'!$D$2:$D$3001,$N1920))</f>
        <v/>
      </c>
      <c r="F1920" s="26" t="str">
        <f>IF($N1920="","",IF($E$8=0,"",E1920/$E$8))</f>
        <v/>
      </c>
      <c r="G1920" s="25" t="str">
        <f>IF($N1920="","",INDEX('_calc'!$E$2:$E$3001,$N1920))</f>
        <v/>
      </c>
      <c r="H1920" s="25" t="str">
        <f>IF($N1920="","",INDEX('_calc'!$F$2:$F$3001,$N1920))</f>
        <v/>
      </c>
      <c r="I1920" s="27" t="str">
        <f>IF($N1920="","",INDEX('_calc'!$H$2:$H$3001,$N1920))</f>
        <v/>
      </c>
      <c r="J1920" s="27" t="str">
        <f>IF($N1920="","",INDEX('_calc'!$I$2:$I$3001,$N1920))</f>
        <v/>
      </c>
      <c r="K1920" s="28" t="str">
        <f>IF($N1920="","",IF(OR(I1920="",J1920=""),"",J1920-I1920))</f>
        <v/>
      </c>
      <c r="L1920" s="29" t="str">
        <f>IF($N1920="","",INDEX('_calc'!$J$2:$J$3001,$N1920))</f>
        <v/>
      </c>
      <c r="M1920" s="2" t="str">
        <f>IF($N1920="","",IF(AND(G1920=0,H1920=0),"수량 없음",IF(G1920=0,"신규 (전년 수량 없음)",IF(H1920=0,"당해 수량 없음",""))))</f>
        <v/>
      </c>
      <c r="N1920" t="str">
        <f>IF($B1920="","",MATCH($B1920,'_calc'!$L$2:$L$3001,0))</f>
        <v/>
      </c>
    </row>
    <row r="1921">
      <c r="B1921" s="24" t="str">
        <f>IF(ROW()-ROW($B$8)&gt;nComp,"",ROW()-ROW($B$8))</f>
        <v/>
      </c>
      <c r="C1921" t="str">
        <f>IF($N1921="","",INDEX('_calc'!$A$2:$A$3001,$N1921))</f>
        <v/>
      </c>
      <c r="D1921" s="25" t="str">
        <f>IF($N1921="","",INDEX('_calc'!$C$2:$C$3001,$N1921))</f>
        <v/>
      </c>
      <c r="E1921" s="25" t="str">
        <f>IF($N1921="","",INDEX('_calc'!$D$2:$D$3001,$N1921))</f>
        <v/>
      </c>
      <c r="F1921" s="26" t="str">
        <f>IF($N1921="","",IF($E$8=0,"",E1921/$E$8))</f>
        <v/>
      </c>
      <c r="G1921" s="25" t="str">
        <f>IF($N1921="","",INDEX('_calc'!$E$2:$E$3001,$N1921))</f>
        <v/>
      </c>
      <c r="H1921" s="25" t="str">
        <f>IF($N1921="","",INDEX('_calc'!$F$2:$F$3001,$N1921))</f>
        <v/>
      </c>
      <c r="I1921" s="27" t="str">
        <f>IF($N1921="","",INDEX('_calc'!$H$2:$H$3001,$N1921))</f>
        <v/>
      </c>
      <c r="J1921" s="27" t="str">
        <f>IF($N1921="","",INDEX('_calc'!$I$2:$I$3001,$N1921))</f>
        <v/>
      </c>
      <c r="K1921" s="28" t="str">
        <f>IF($N1921="","",IF(OR(I1921="",J1921=""),"",J1921-I1921))</f>
        <v/>
      </c>
      <c r="L1921" s="29" t="str">
        <f>IF($N1921="","",INDEX('_calc'!$J$2:$J$3001,$N1921))</f>
        <v/>
      </c>
      <c r="M1921" s="2" t="str">
        <f>IF($N1921="","",IF(AND(G1921=0,H1921=0),"수량 없음",IF(G1921=0,"신규 (전년 수량 없음)",IF(H1921=0,"당해 수량 없음",""))))</f>
        <v/>
      </c>
      <c r="N1921" t="str">
        <f>IF($B1921="","",MATCH($B1921,'_calc'!$L$2:$L$3001,0))</f>
        <v/>
      </c>
    </row>
    <row r="1922">
      <c r="B1922" s="24" t="str">
        <f>IF(ROW()-ROW($B$8)&gt;nComp,"",ROW()-ROW($B$8))</f>
        <v/>
      </c>
      <c r="C1922" t="str">
        <f>IF($N1922="","",INDEX('_calc'!$A$2:$A$3001,$N1922))</f>
        <v/>
      </c>
      <c r="D1922" s="25" t="str">
        <f>IF($N1922="","",INDEX('_calc'!$C$2:$C$3001,$N1922))</f>
        <v/>
      </c>
      <c r="E1922" s="25" t="str">
        <f>IF($N1922="","",INDEX('_calc'!$D$2:$D$3001,$N1922))</f>
        <v/>
      </c>
      <c r="F1922" s="26" t="str">
        <f>IF($N1922="","",IF($E$8=0,"",E1922/$E$8))</f>
        <v/>
      </c>
      <c r="G1922" s="25" t="str">
        <f>IF($N1922="","",INDEX('_calc'!$E$2:$E$3001,$N1922))</f>
        <v/>
      </c>
      <c r="H1922" s="25" t="str">
        <f>IF($N1922="","",INDEX('_calc'!$F$2:$F$3001,$N1922))</f>
        <v/>
      </c>
      <c r="I1922" s="27" t="str">
        <f>IF($N1922="","",INDEX('_calc'!$H$2:$H$3001,$N1922))</f>
        <v/>
      </c>
      <c r="J1922" s="27" t="str">
        <f>IF($N1922="","",INDEX('_calc'!$I$2:$I$3001,$N1922))</f>
        <v/>
      </c>
      <c r="K1922" s="28" t="str">
        <f>IF($N1922="","",IF(OR(I1922="",J1922=""),"",J1922-I1922))</f>
        <v/>
      </c>
      <c r="L1922" s="29" t="str">
        <f>IF($N1922="","",INDEX('_calc'!$J$2:$J$3001,$N1922))</f>
        <v/>
      </c>
      <c r="M1922" s="2" t="str">
        <f>IF($N1922="","",IF(AND(G1922=0,H1922=0),"수량 없음",IF(G1922=0,"신규 (전년 수량 없음)",IF(H1922=0,"당해 수량 없음",""))))</f>
        <v/>
      </c>
      <c r="N1922" t="str">
        <f>IF($B1922="","",MATCH($B1922,'_calc'!$L$2:$L$3001,0))</f>
        <v/>
      </c>
    </row>
    <row r="1923">
      <c r="B1923" s="24" t="str">
        <f>IF(ROW()-ROW($B$8)&gt;nComp,"",ROW()-ROW($B$8))</f>
        <v/>
      </c>
      <c r="C1923" t="str">
        <f>IF($N1923="","",INDEX('_calc'!$A$2:$A$3001,$N1923))</f>
        <v/>
      </c>
      <c r="D1923" s="25" t="str">
        <f>IF($N1923="","",INDEX('_calc'!$C$2:$C$3001,$N1923))</f>
        <v/>
      </c>
      <c r="E1923" s="25" t="str">
        <f>IF($N1923="","",INDEX('_calc'!$D$2:$D$3001,$N1923))</f>
        <v/>
      </c>
      <c r="F1923" s="26" t="str">
        <f>IF($N1923="","",IF($E$8=0,"",E1923/$E$8))</f>
        <v/>
      </c>
      <c r="G1923" s="25" t="str">
        <f>IF($N1923="","",INDEX('_calc'!$E$2:$E$3001,$N1923))</f>
        <v/>
      </c>
      <c r="H1923" s="25" t="str">
        <f>IF($N1923="","",INDEX('_calc'!$F$2:$F$3001,$N1923))</f>
        <v/>
      </c>
      <c r="I1923" s="27" t="str">
        <f>IF($N1923="","",INDEX('_calc'!$H$2:$H$3001,$N1923))</f>
        <v/>
      </c>
      <c r="J1923" s="27" t="str">
        <f>IF($N1923="","",INDEX('_calc'!$I$2:$I$3001,$N1923))</f>
        <v/>
      </c>
      <c r="K1923" s="28" t="str">
        <f>IF($N1923="","",IF(OR(I1923="",J1923=""),"",J1923-I1923))</f>
        <v/>
      </c>
      <c r="L1923" s="29" t="str">
        <f>IF($N1923="","",INDEX('_calc'!$J$2:$J$3001,$N1923))</f>
        <v/>
      </c>
      <c r="M1923" s="2" t="str">
        <f>IF($N1923="","",IF(AND(G1923=0,H1923=0),"수량 없음",IF(G1923=0,"신규 (전년 수량 없음)",IF(H1923=0,"당해 수량 없음",""))))</f>
        <v/>
      </c>
      <c r="N1923" t="str">
        <f>IF($B1923="","",MATCH($B1923,'_calc'!$L$2:$L$3001,0))</f>
        <v/>
      </c>
    </row>
    <row r="1924">
      <c r="B1924" s="24" t="str">
        <f>IF(ROW()-ROW($B$8)&gt;nComp,"",ROW()-ROW($B$8))</f>
        <v/>
      </c>
      <c r="C1924" t="str">
        <f>IF($N1924="","",INDEX('_calc'!$A$2:$A$3001,$N1924))</f>
        <v/>
      </c>
      <c r="D1924" s="25" t="str">
        <f>IF($N1924="","",INDEX('_calc'!$C$2:$C$3001,$N1924))</f>
        <v/>
      </c>
      <c r="E1924" s="25" t="str">
        <f>IF($N1924="","",INDEX('_calc'!$D$2:$D$3001,$N1924))</f>
        <v/>
      </c>
      <c r="F1924" s="26" t="str">
        <f>IF($N1924="","",IF($E$8=0,"",E1924/$E$8))</f>
        <v/>
      </c>
      <c r="G1924" s="25" t="str">
        <f>IF($N1924="","",INDEX('_calc'!$E$2:$E$3001,$N1924))</f>
        <v/>
      </c>
      <c r="H1924" s="25" t="str">
        <f>IF($N1924="","",INDEX('_calc'!$F$2:$F$3001,$N1924))</f>
        <v/>
      </c>
      <c r="I1924" s="27" t="str">
        <f>IF($N1924="","",INDEX('_calc'!$H$2:$H$3001,$N1924))</f>
        <v/>
      </c>
      <c r="J1924" s="27" t="str">
        <f>IF($N1924="","",INDEX('_calc'!$I$2:$I$3001,$N1924))</f>
        <v/>
      </c>
      <c r="K1924" s="28" t="str">
        <f>IF($N1924="","",IF(OR(I1924="",J1924=""),"",J1924-I1924))</f>
        <v/>
      </c>
      <c r="L1924" s="29" t="str">
        <f>IF($N1924="","",INDEX('_calc'!$J$2:$J$3001,$N1924))</f>
        <v/>
      </c>
      <c r="M1924" s="2" t="str">
        <f>IF($N1924="","",IF(AND(G1924=0,H1924=0),"수량 없음",IF(G1924=0,"신규 (전년 수량 없음)",IF(H1924=0,"당해 수량 없음",""))))</f>
        <v/>
      </c>
      <c r="N1924" t="str">
        <f>IF($B1924="","",MATCH($B1924,'_calc'!$L$2:$L$3001,0))</f>
        <v/>
      </c>
    </row>
    <row r="1925">
      <c r="B1925" s="24" t="str">
        <f>IF(ROW()-ROW($B$8)&gt;nComp,"",ROW()-ROW($B$8))</f>
        <v/>
      </c>
      <c r="C1925" t="str">
        <f>IF($N1925="","",INDEX('_calc'!$A$2:$A$3001,$N1925))</f>
        <v/>
      </c>
      <c r="D1925" s="25" t="str">
        <f>IF($N1925="","",INDEX('_calc'!$C$2:$C$3001,$N1925))</f>
        <v/>
      </c>
      <c r="E1925" s="25" t="str">
        <f>IF($N1925="","",INDEX('_calc'!$D$2:$D$3001,$N1925))</f>
        <v/>
      </c>
      <c r="F1925" s="26" t="str">
        <f>IF($N1925="","",IF($E$8=0,"",E1925/$E$8))</f>
        <v/>
      </c>
      <c r="G1925" s="25" t="str">
        <f>IF($N1925="","",INDEX('_calc'!$E$2:$E$3001,$N1925))</f>
        <v/>
      </c>
      <c r="H1925" s="25" t="str">
        <f>IF($N1925="","",INDEX('_calc'!$F$2:$F$3001,$N1925))</f>
        <v/>
      </c>
      <c r="I1925" s="27" t="str">
        <f>IF($N1925="","",INDEX('_calc'!$H$2:$H$3001,$N1925))</f>
        <v/>
      </c>
      <c r="J1925" s="27" t="str">
        <f>IF($N1925="","",INDEX('_calc'!$I$2:$I$3001,$N1925))</f>
        <v/>
      </c>
      <c r="K1925" s="28" t="str">
        <f>IF($N1925="","",IF(OR(I1925="",J1925=""),"",J1925-I1925))</f>
        <v/>
      </c>
      <c r="L1925" s="29" t="str">
        <f>IF($N1925="","",INDEX('_calc'!$J$2:$J$3001,$N1925))</f>
        <v/>
      </c>
      <c r="M1925" s="2" t="str">
        <f>IF($N1925="","",IF(AND(G1925=0,H1925=0),"수량 없음",IF(G1925=0,"신규 (전년 수량 없음)",IF(H1925=0,"당해 수량 없음",""))))</f>
        <v/>
      </c>
      <c r="N1925" t="str">
        <f>IF($B1925="","",MATCH($B1925,'_calc'!$L$2:$L$3001,0))</f>
        <v/>
      </c>
    </row>
    <row r="1926">
      <c r="B1926" s="24" t="str">
        <f>IF(ROW()-ROW($B$8)&gt;nComp,"",ROW()-ROW($B$8))</f>
        <v/>
      </c>
      <c r="C1926" t="str">
        <f>IF($N1926="","",INDEX('_calc'!$A$2:$A$3001,$N1926))</f>
        <v/>
      </c>
      <c r="D1926" s="25" t="str">
        <f>IF($N1926="","",INDEX('_calc'!$C$2:$C$3001,$N1926))</f>
        <v/>
      </c>
      <c r="E1926" s="25" t="str">
        <f>IF($N1926="","",INDEX('_calc'!$D$2:$D$3001,$N1926))</f>
        <v/>
      </c>
      <c r="F1926" s="26" t="str">
        <f>IF($N1926="","",IF($E$8=0,"",E1926/$E$8))</f>
        <v/>
      </c>
      <c r="G1926" s="25" t="str">
        <f>IF($N1926="","",INDEX('_calc'!$E$2:$E$3001,$N1926))</f>
        <v/>
      </c>
      <c r="H1926" s="25" t="str">
        <f>IF($N1926="","",INDEX('_calc'!$F$2:$F$3001,$N1926))</f>
        <v/>
      </c>
      <c r="I1926" s="27" t="str">
        <f>IF($N1926="","",INDEX('_calc'!$H$2:$H$3001,$N1926))</f>
        <v/>
      </c>
      <c r="J1926" s="27" t="str">
        <f>IF($N1926="","",INDEX('_calc'!$I$2:$I$3001,$N1926))</f>
        <v/>
      </c>
      <c r="K1926" s="28" t="str">
        <f>IF($N1926="","",IF(OR(I1926="",J1926=""),"",J1926-I1926))</f>
        <v/>
      </c>
      <c r="L1926" s="29" t="str">
        <f>IF($N1926="","",INDEX('_calc'!$J$2:$J$3001,$N1926))</f>
        <v/>
      </c>
      <c r="M1926" s="2" t="str">
        <f>IF($N1926="","",IF(AND(G1926=0,H1926=0),"수량 없음",IF(G1926=0,"신규 (전년 수량 없음)",IF(H1926=0,"당해 수량 없음",""))))</f>
        <v/>
      </c>
      <c r="N1926" t="str">
        <f>IF($B1926="","",MATCH($B1926,'_calc'!$L$2:$L$3001,0))</f>
        <v/>
      </c>
    </row>
    <row r="1927">
      <c r="B1927" s="24" t="str">
        <f>IF(ROW()-ROW($B$8)&gt;nComp,"",ROW()-ROW($B$8))</f>
        <v/>
      </c>
      <c r="C1927" t="str">
        <f>IF($N1927="","",INDEX('_calc'!$A$2:$A$3001,$N1927))</f>
        <v/>
      </c>
      <c r="D1927" s="25" t="str">
        <f>IF($N1927="","",INDEX('_calc'!$C$2:$C$3001,$N1927))</f>
        <v/>
      </c>
      <c r="E1927" s="25" t="str">
        <f>IF($N1927="","",INDEX('_calc'!$D$2:$D$3001,$N1927))</f>
        <v/>
      </c>
      <c r="F1927" s="26" t="str">
        <f>IF($N1927="","",IF($E$8=0,"",E1927/$E$8))</f>
        <v/>
      </c>
      <c r="G1927" s="25" t="str">
        <f>IF($N1927="","",INDEX('_calc'!$E$2:$E$3001,$N1927))</f>
        <v/>
      </c>
      <c r="H1927" s="25" t="str">
        <f>IF($N1927="","",INDEX('_calc'!$F$2:$F$3001,$N1927))</f>
        <v/>
      </c>
      <c r="I1927" s="27" t="str">
        <f>IF($N1927="","",INDEX('_calc'!$H$2:$H$3001,$N1927))</f>
        <v/>
      </c>
      <c r="J1927" s="27" t="str">
        <f>IF($N1927="","",INDEX('_calc'!$I$2:$I$3001,$N1927))</f>
        <v/>
      </c>
      <c r="K1927" s="28" t="str">
        <f>IF($N1927="","",IF(OR(I1927="",J1927=""),"",J1927-I1927))</f>
        <v/>
      </c>
      <c r="L1927" s="29" t="str">
        <f>IF($N1927="","",INDEX('_calc'!$J$2:$J$3001,$N1927))</f>
        <v/>
      </c>
      <c r="M1927" s="2" t="str">
        <f>IF($N1927="","",IF(AND(G1927=0,H1927=0),"수량 없음",IF(G1927=0,"신규 (전년 수량 없음)",IF(H1927=0,"당해 수량 없음",""))))</f>
        <v/>
      </c>
      <c r="N1927" t="str">
        <f>IF($B1927="","",MATCH($B1927,'_calc'!$L$2:$L$3001,0))</f>
        <v/>
      </c>
    </row>
    <row r="1928">
      <c r="B1928" s="24" t="str">
        <f>IF(ROW()-ROW($B$8)&gt;nComp,"",ROW()-ROW($B$8))</f>
        <v/>
      </c>
      <c r="C1928" t="str">
        <f>IF($N1928="","",INDEX('_calc'!$A$2:$A$3001,$N1928))</f>
        <v/>
      </c>
      <c r="D1928" s="25" t="str">
        <f>IF($N1928="","",INDEX('_calc'!$C$2:$C$3001,$N1928))</f>
        <v/>
      </c>
      <c r="E1928" s="25" t="str">
        <f>IF($N1928="","",INDEX('_calc'!$D$2:$D$3001,$N1928))</f>
        <v/>
      </c>
      <c r="F1928" s="26" t="str">
        <f>IF($N1928="","",IF($E$8=0,"",E1928/$E$8))</f>
        <v/>
      </c>
      <c r="G1928" s="25" t="str">
        <f>IF($N1928="","",INDEX('_calc'!$E$2:$E$3001,$N1928))</f>
        <v/>
      </c>
      <c r="H1928" s="25" t="str">
        <f>IF($N1928="","",INDEX('_calc'!$F$2:$F$3001,$N1928))</f>
        <v/>
      </c>
      <c r="I1928" s="27" t="str">
        <f>IF($N1928="","",INDEX('_calc'!$H$2:$H$3001,$N1928))</f>
        <v/>
      </c>
      <c r="J1928" s="27" t="str">
        <f>IF($N1928="","",INDEX('_calc'!$I$2:$I$3001,$N1928))</f>
        <v/>
      </c>
      <c r="K1928" s="28" t="str">
        <f>IF($N1928="","",IF(OR(I1928="",J1928=""),"",J1928-I1928))</f>
        <v/>
      </c>
      <c r="L1928" s="29" t="str">
        <f>IF($N1928="","",INDEX('_calc'!$J$2:$J$3001,$N1928))</f>
        <v/>
      </c>
      <c r="M1928" s="2" t="str">
        <f>IF($N1928="","",IF(AND(G1928=0,H1928=0),"수량 없음",IF(G1928=0,"신규 (전년 수량 없음)",IF(H1928=0,"당해 수량 없음",""))))</f>
        <v/>
      </c>
      <c r="N1928" t="str">
        <f>IF($B1928="","",MATCH($B1928,'_calc'!$L$2:$L$3001,0))</f>
        <v/>
      </c>
    </row>
    <row r="1929">
      <c r="B1929" s="24" t="str">
        <f>IF(ROW()-ROW($B$8)&gt;nComp,"",ROW()-ROW($B$8))</f>
        <v/>
      </c>
      <c r="C1929" t="str">
        <f>IF($N1929="","",INDEX('_calc'!$A$2:$A$3001,$N1929))</f>
        <v/>
      </c>
      <c r="D1929" s="25" t="str">
        <f>IF($N1929="","",INDEX('_calc'!$C$2:$C$3001,$N1929))</f>
        <v/>
      </c>
      <c r="E1929" s="25" t="str">
        <f>IF($N1929="","",INDEX('_calc'!$D$2:$D$3001,$N1929))</f>
        <v/>
      </c>
      <c r="F1929" s="26" t="str">
        <f>IF($N1929="","",IF($E$8=0,"",E1929/$E$8))</f>
        <v/>
      </c>
      <c r="G1929" s="25" t="str">
        <f>IF($N1929="","",INDEX('_calc'!$E$2:$E$3001,$N1929))</f>
        <v/>
      </c>
      <c r="H1929" s="25" t="str">
        <f>IF($N1929="","",INDEX('_calc'!$F$2:$F$3001,$N1929))</f>
        <v/>
      </c>
      <c r="I1929" s="27" t="str">
        <f>IF($N1929="","",INDEX('_calc'!$H$2:$H$3001,$N1929))</f>
        <v/>
      </c>
      <c r="J1929" s="27" t="str">
        <f>IF($N1929="","",INDEX('_calc'!$I$2:$I$3001,$N1929))</f>
        <v/>
      </c>
      <c r="K1929" s="28" t="str">
        <f>IF($N1929="","",IF(OR(I1929="",J1929=""),"",J1929-I1929))</f>
        <v/>
      </c>
      <c r="L1929" s="29" t="str">
        <f>IF($N1929="","",INDEX('_calc'!$J$2:$J$3001,$N1929))</f>
        <v/>
      </c>
      <c r="M1929" s="2" t="str">
        <f>IF($N1929="","",IF(AND(G1929=0,H1929=0),"수량 없음",IF(G1929=0,"신규 (전년 수량 없음)",IF(H1929=0,"당해 수량 없음",""))))</f>
        <v/>
      </c>
      <c r="N1929" t="str">
        <f>IF($B1929="","",MATCH($B1929,'_calc'!$L$2:$L$3001,0))</f>
        <v/>
      </c>
    </row>
    <row r="1930">
      <c r="B1930" s="24" t="str">
        <f>IF(ROW()-ROW($B$8)&gt;nComp,"",ROW()-ROW($B$8))</f>
        <v/>
      </c>
      <c r="C1930" t="str">
        <f>IF($N1930="","",INDEX('_calc'!$A$2:$A$3001,$N1930))</f>
        <v/>
      </c>
      <c r="D1930" s="25" t="str">
        <f>IF($N1930="","",INDEX('_calc'!$C$2:$C$3001,$N1930))</f>
        <v/>
      </c>
      <c r="E1930" s="25" t="str">
        <f>IF($N1930="","",INDEX('_calc'!$D$2:$D$3001,$N1930))</f>
        <v/>
      </c>
      <c r="F1930" s="26" t="str">
        <f>IF($N1930="","",IF($E$8=0,"",E1930/$E$8))</f>
        <v/>
      </c>
      <c r="G1930" s="25" t="str">
        <f>IF($N1930="","",INDEX('_calc'!$E$2:$E$3001,$N1930))</f>
        <v/>
      </c>
      <c r="H1930" s="25" t="str">
        <f>IF($N1930="","",INDEX('_calc'!$F$2:$F$3001,$N1930))</f>
        <v/>
      </c>
      <c r="I1930" s="27" t="str">
        <f>IF($N1930="","",INDEX('_calc'!$H$2:$H$3001,$N1930))</f>
        <v/>
      </c>
      <c r="J1930" s="27" t="str">
        <f>IF($N1930="","",INDEX('_calc'!$I$2:$I$3001,$N1930))</f>
        <v/>
      </c>
      <c r="K1930" s="28" t="str">
        <f>IF($N1930="","",IF(OR(I1930="",J1930=""),"",J1930-I1930))</f>
        <v/>
      </c>
      <c r="L1930" s="29" t="str">
        <f>IF($N1930="","",INDEX('_calc'!$J$2:$J$3001,$N1930))</f>
        <v/>
      </c>
      <c r="M1930" s="2" t="str">
        <f>IF($N1930="","",IF(AND(G1930=0,H1930=0),"수량 없음",IF(G1930=0,"신규 (전년 수량 없음)",IF(H1930=0,"당해 수량 없음",""))))</f>
        <v/>
      </c>
      <c r="N1930" t="str">
        <f>IF($B1930="","",MATCH($B1930,'_calc'!$L$2:$L$3001,0))</f>
        <v/>
      </c>
    </row>
    <row r="1931">
      <c r="B1931" s="24" t="str">
        <f>IF(ROW()-ROW($B$8)&gt;nComp,"",ROW()-ROW($B$8))</f>
        <v/>
      </c>
      <c r="C1931" t="str">
        <f>IF($N1931="","",INDEX('_calc'!$A$2:$A$3001,$N1931))</f>
        <v/>
      </c>
      <c r="D1931" s="25" t="str">
        <f>IF($N1931="","",INDEX('_calc'!$C$2:$C$3001,$N1931))</f>
        <v/>
      </c>
      <c r="E1931" s="25" t="str">
        <f>IF($N1931="","",INDEX('_calc'!$D$2:$D$3001,$N1931))</f>
        <v/>
      </c>
      <c r="F1931" s="26" t="str">
        <f>IF($N1931="","",IF($E$8=0,"",E1931/$E$8))</f>
        <v/>
      </c>
      <c r="G1931" s="25" t="str">
        <f>IF($N1931="","",INDEX('_calc'!$E$2:$E$3001,$N1931))</f>
        <v/>
      </c>
      <c r="H1931" s="25" t="str">
        <f>IF($N1931="","",INDEX('_calc'!$F$2:$F$3001,$N1931))</f>
        <v/>
      </c>
      <c r="I1931" s="27" t="str">
        <f>IF($N1931="","",INDEX('_calc'!$H$2:$H$3001,$N1931))</f>
        <v/>
      </c>
      <c r="J1931" s="27" t="str">
        <f>IF($N1931="","",INDEX('_calc'!$I$2:$I$3001,$N1931))</f>
        <v/>
      </c>
      <c r="K1931" s="28" t="str">
        <f>IF($N1931="","",IF(OR(I1931="",J1931=""),"",J1931-I1931))</f>
        <v/>
      </c>
      <c r="L1931" s="29" t="str">
        <f>IF($N1931="","",INDEX('_calc'!$J$2:$J$3001,$N1931))</f>
        <v/>
      </c>
      <c r="M1931" s="2" t="str">
        <f>IF($N1931="","",IF(AND(G1931=0,H1931=0),"수량 없음",IF(G1931=0,"신규 (전년 수량 없음)",IF(H1931=0,"당해 수량 없음",""))))</f>
        <v/>
      </c>
      <c r="N1931" t="str">
        <f>IF($B1931="","",MATCH($B1931,'_calc'!$L$2:$L$3001,0))</f>
        <v/>
      </c>
    </row>
    <row r="1932">
      <c r="B1932" s="24" t="str">
        <f>IF(ROW()-ROW($B$8)&gt;nComp,"",ROW()-ROW($B$8))</f>
        <v/>
      </c>
      <c r="C1932" t="str">
        <f>IF($N1932="","",INDEX('_calc'!$A$2:$A$3001,$N1932))</f>
        <v/>
      </c>
      <c r="D1932" s="25" t="str">
        <f>IF($N1932="","",INDEX('_calc'!$C$2:$C$3001,$N1932))</f>
        <v/>
      </c>
      <c r="E1932" s="25" t="str">
        <f>IF($N1932="","",INDEX('_calc'!$D$2:$D$3001,$N1932))</f>
        <v/>
      </c>
      <c r="F1932" s="26" t="str">
        <f>IF($N1932="","",IF($E$8=0,"",E1932/$E$8))</f>
        <v/>
      </c>
      <c r="G1932" s="25" t="str">
        <f>IF($N1932="","",INDEX('_calc'!$E$2:$E$3001,$N1932))</f>
        <v/>
      </c>
      <c r="H1932" s="25" t="str">
        <f>IF($N1932="","",INDEX('_calc'!$F$2:$F$3001,$N1932))</f>
        <v/>
      </c>
      <c r="I1932" s="27" t="str">
        <f>IF($N1932="","",INDEX('_calc'!$H$2:$H$3001,$N1932))</f>
        <v/>
      </c>
      <c r="J1932" s="27" t="str">
        <f>IF($N1932="","",INDEX('_calc'!$I$2:$I$3001,$N1932))</f>
        <v/>
      </c>
      <c r="K1932" s="28" t="str">
        <f>IF($N1932="","",IF(OR(I1932="",J1932=""),"",J1932-I1932))</f>
        <v/>
      </c>
      <c r="L1932" s="29" t="str">
        <f>IF($N1932="","",INDEX('_calc'!$J$2:$J$3001,$N1932))</f>
        <v/>
      </c>
      <c r="M1932" s="2" t="str">
        <f>IF($N1932="","",IF(AND(G1932=0,H1932=0),"수량 없음",IF(G1932=0,"신규 (전년 수량 없음)",IF(H1932=0,"당해 수량 없음",""))))</f>
        <v/>
      </c>
      <c r="N1932" t="str">
        <f>IF($B1932="","",MATCH($B1932,'_calc'!$L$2:$L$3001,0))</f>
        <v/>
      </c>
    </row>
    <row r="1933">
      <c r="B1933" s="24" t="str">
        <f>IF(ROW()-ROW($B$8)&gt;nComp,"",ROW()-ROW($B$8))</f>
        <v/>
      </c>
      <c r="C1933" t="str">
        <f>IF($N1933="","",INDEX('_calc'!$A$2:$A$3001,$N1933))</f>
        <v/>
      </c>
      <c r="D1933" s="25" t="str">
        <f>IF($N1933="","",INDEX('_calc'!$C$2:$C$3001,$N1933))</f>
        <v/>
      </c>
      <c r="E1933" s="25" t="str">
        <f>IF($N1933="","",INDEX('_calc'!$D$2:$D$3001,$N1933))</f>
        <v/>
      </c>
      <c r="F1933" s="26" t="str">
        <f>IF($N1933="","",IF($E$8=0,"",E1933/$E$8))</f>
        <v/>
      </c>
      <c r="G1933" s="25" t="str">
        <f>IF($N1933="","",INDEX('_calc'!$E$2:$E$3001,$N1933))</f>
        <v/>
      </c>
      <c r="H1933" s="25" t="str">
        <f>IF($N1933="","",INDEX('_calc'!$F$2:$F$3001,$N1933))</f>
        <v/>
      </c>
      <c r="I1933" s="27" t="str">
        <f>IF($N1933="","",INDEX('_calc'!$H$2:$H$3001,$N1933))</f>
        <v/>
      </c>
      <c r="J1933" s="27" t="str">
        <f>IF($N1933="","",INDEX('_calc'!$I$2:$I$3001,$N1933))</f>
        <v/>
      </c>
      <c r="K1933" s="28" t="str">
        <f>IF($N1933="","",IF(OR(I1933="",J1933=""),"",J1933-I1933))</f>
        <v/>
      </c>
      <c r="L1933" s="29" t="str">
        <f>IF($N1933="","",INDEX('_calc'!$J$2:$J$3001,$N1933))</f>
        <v/>
      </c>
      <c r="M1933" s="2" t="str">
        <f>IF($N1933="","",IF(AND(G1933=0,H1933=0),"수량 없음",IF(G1933=0,"신규 (전년 수량 없음)",IF(H1933=0,"당해 수량 없음",""))))</f>
        <v/>
      </c>
      <c r="N1933" t="str">
        <f>IF($B1933="","",MATCH($B1933,'_calc'!$L$2:$L$3001,0))</f>
        <v/>
      </c>
    </row>
    <row r="1934">
      <c r="B1934" s="24" t="str">
        <f>IF(ROW()-ROW($B$8)&gt;nComp,"",ROW()-ROW($B$8))</f>
        <v/>
      </c>
      <c r="C1934" t="str">
        <f>IF($N1934="","",INDEX('_calc'!$A$2:$A$3001,$N1934))</f>
        <v/>
      </c>
      <c r="D1934" s="25" t="str">
        <f>IF($N1934="","",INDEX('_calc'!$C$2:$C$3001,$N1934))</f>
        <v/>
      </c>
      <c r="E1934" s="25" t="str">
        <f>IF($N1934="","",INDEX('_calc'!$D$2:$D$3001,$N1934))</f>
        <v/>
      </c>
      <c r="F1934" s="26" t="str">
        <f>IF($N1934="","",IF($E$8=0,"",E1934/$E$8))</f>
        <v/>
      </c>
      <c r="G1934" s="25" t="str">
        <f>IF($N1934="","",INDEX('_calc'!$E$2:$E$3001,$N1934))</f>
        <v/>
      </c>
      <c r="H1934" s="25" t="str">
        <f>IF($N1934="","",INDEX('_calc'!$F$2:$F$3001,$N1934))</f>
        <v/>
      </c>
      <c r="I1934" s="27" t="str">
        <f>IF($N1934="","",INDEX('_calc'!$H$2:$H$3001,$N1934))</f>
        <v/>
      </c>
      <c r="J1934" s="27" t="str">
        <f>IF($N1934="","",INDEX('_calc'!$I$2:$I$3001,$N1934))</f>
        <v/>
      </c>
      <c r="K1934" s="28" t="str">
        <f>IF($N1934="","",IF(OR(I1934="",J1934=""),"",J1934-I1934))</f>
        <v/>
      </c>
      <c r="L1934" s="29" t="str">
        <f>IF($N1934="","",INDEX('_calc'!$J$2:$J$3001,$N1934))</f>
        <v/>
      </c>
      <c r="M1934" s="2" t="str">
        <f>IF($N1934="","",IF(AND(G1934=0,H1934=0),"수량 없음",IF(G1934=0,"신규 (전년 수량 없음)",IF(H1934=0,"당해 수량 없음",""))))</f>
        <v/>
      </c>
      <c r="N1934" t="str">
        <f>IF($B1934="","",MATCH($B1934,'_calc'!$L$2:$L$3001,0))</f>
        <v/>
      </c>
    </row>
    <row r="1935">
      <c r="B1935" s="24" t="str">
        <f>IF(ROW()-ROW($B$8)&gt;nComp,"",ROW()-ROW($B$8))</f>
        <v/>
      </c>
      <c r="C1935" t="str">
        <f>IF($N1935="","",INDEX('_calc'!$A$2:$A$3001,$N1935))</f>
        <v/>
      </c>
      <c r="D1935" s="25" t="str">
        <f>IF($N1935="","",INDEX('_calc'!$C$2:$C$3001,$N1935))</f>
        <v/>
      </c>
      <c r="E1935" s="25" t="str">
        <f>IF($N1935="","",INDEX('_calc'!$D$2:$D$3001,$N1935))</f>
        <v/>
      </c>
      <c r="F1935" s="26" t="str">
        <f>IF($N1935="","",IF($E$8=0,"",E1935/$E$8))</f>
        <v/>
      </c>
      <c r="G1935" s="25" t="str">
        <f>IF($N1935="","",INDEX('_calc'!$E$2:$E$3001,$N1935))</f>
        <v/>
      </c>
      <c r="H1935" s="25" t="str">
        <f>IF($N1935="","",INDEX('_calc'!$F$2:$F$3001,$N1935))</f>
        <v/>
      </c>
      <c r="I1935" s="27" t="str">
        <f>IF($N1935="","",INDEX('_calc'!$H$2:$H$3001,$N1935))</f>
        <v/>
      </c>
      <c r="J1935" s="27" t="str">
        <f>IF($N1935="","",INDEX('_calc'!$I$2:$I$3001,$N1935))</f>
        <v/>
      </c>
      <c r="K1935" s="28" t="str">
        <f>IF($N1935="","",IF(OR(I1935="",J1935=""),"",J1935-I1935))</f>
        <v/>
      </c>
      <c r="L1935" s="29" t="str">
        <f>IF($N1935="","",INDEX('_calc'!$J$2:$J$3001,$N1935))</f>
        <v/>
      </c>
      <c r="M1935" s="2" t="str">
        <f>IF($N1935="","",IF(AND(G1935=0,H1935=0),"수량 없음",IF(G1935=0,"신규 (전년 수량 없음)",IF(H1935=0,"당해 수량 없음",""))))</f>
        <v/>
      </c>
      <c r="N1935" t="str">
        <f>IF($B1935="","",MATCH($B1935,'_calc'!$L$2:$L$3001,0))</f>
        <v/>
      </c>
    </row>
    <row r="1936">
      <c r="B1936" s="24" t="str">
        <f>IF(ROW()-ROW($B$8)&gt;nComp,"",ROW()-ROW($B$8))</f>
        <v/>
      </c>
      <c r="C1936" t="str">
        <f>IF($N1936="","",INDEX('_calc'!$A$2:$A$3001,$N1936))</f>
        <v/>
      </c>
      <c r="D1936" s="25" t="str">
        <f>IF($N1936="","",INDEX('_calc'!$C$2:$C$3001,$N1936))</f>
        <v/>
      </c>
      <c r="E1936" s="25" t="str">
        <f>IF($N1936="","",INDEX('_calc'!$D$2:$D$3001,$N1936))</f>
        <v/>
      </c>
      <c r="F1936" s="26" t="str">
        <f>IF($N1936="","",IF($E$8=0,"",E1936/$E$8))</f>
        <v/>
      </c>
      <c r="G1936" s="25" t="str">
        <f>IF($N1936="","",INDEX('_calc'!$E$2:$E$3001,$N1936))</f>
        <v/>
      </c>
      <c r="H1936" s="25" t="str">
        <f>IF($N1936="","",INDEX('_calc'!$F$2:$F$3001,$N1936))</f>
        <v/>
      </c>
      <c r="I1936" s="27" t="str">
        <f>IF($N1936="","",INDEX('_calc'!$H$2:$H$3001,$N1936))</f>
        <v/>
      </c>
      <c r="J1936" s="27" t="str">
        <f>IF($N1936="","",INDEX('_calc'!$I$2:$I$3001,$N1936))</f>
        <v/>
      </c>
      <c r="K1936" s="28" t="str">
        <f>IF($N1936="","",IF(OR(I1936="",J1936=""),"",J1936-I1936))</f>
        <v/>
      </c>
      <c r="L1936" s="29" t="str">
        <f>IF($N1936="","",INDEX('_calc'!$J$2:$J$3001,$N1936))</f>
        <v/>
      </c>
      <c r="M1936" s="2" t="str">
        <f>IF($N1936="","",IF(AND(G1936=0,H1936=0),"수량 없음",IF(G1936=0,"신규 (전년 수량 없음)",IF(H1936=0,"당해 수량 없음",""))))</f>
        <v/>
      </c>
      <c r="N1936" t="str">
        <f>IF($B1936="","",MATCH($B1936,'_calc'!$L$2:$L$3001,0))</f>
        <v/>
      </c>
    </row>
    <row r="1937">
      <c r="B1937" s="24" t="str">
        <f>IF(ROW()-ROW($B$8)&gt;nComp,"",ROW()-ROW($B$8))</f>
        <v/>
      </c>
      <c r="C1937" t="str">
        <f>IF($N1937="","",INDEX('_calc'!$A$2:$A$3001,$N1937))</f>
        <v/>
      </c>
      <c r="D1937" s="25" t="str">
        <f>IF($N1937="","",INDEX('_calc'!$C$2:$C$3001,$N1937))</f>
        <v/>
      </c>
      <c r="E1937" s="25" t="str">
        <f>IF($N1937="","",INDEX('_calc'!$D$2:$D$3001,$N1937))</f>
        <v/>
      </c>
      <c r="F1937" s="26" t="str">
        <f>IF($N1937="","",IF($E$8=0,"",E1937/$E$8))</f>
        <v/>
      </c>
      <c r="G1937" s="25" t="str">
        <f>IF($N1937="","",INDEX('_calc'!$E$2:$E$3001,$N1937))</f>
        <v/>
      </c>
      <c r="H1937" s="25" t="str">
        <f>IF($N1937="","",INDEX('_calc'!$F$2:$F$3001,$N1937))</f>
        <v/>
      </c>
      <c r="I1937" s="27" t="str">
        <f>IF($N1937="","",INDEX('_calc'!$H$2:$H$3001,$N1937))</f>
        <v/>
      </c>
      <c r="J1937" s="27" t="str">
        <f>IF($N1937="","",INDEX('_calc'!$I$2:$I$3001,$N1937))</f>
        <v/>
      </c>
      <c r="K1937" s="28" t="str">
        <f>IF($N1937="","",IF(OR(I1937="",J1937=""),"",J1937-I1937))</f>
        <v/>
      </c>
      <c r="L1937" s="29" t="str">
        <f>IF($N1937="","",INDEX('_calc'!$J$2:$J$3001,$N1937))</f>
        <v/>
      </c>
      <c r="M1937" s="2" t="str">
        <f>IF($N1937="","",IF(AND(G1937=0,H1937=0),"수량 없음",IF(G1937=0,"신규 (전년 수량 없음)",IF(H1937=0,"당해 수량 없음",""))))</f>
        <v/>
      </c>
      <c r="N1937" t="str">
        <f>IF($B1937="","",MATCH($B1937,'_calc'!$L$2:$L$3001,0))</f>
        <v/>
      </c>
    </row>
    <row r="1938">
      <c r="B1938" s="24" t="str">
        <f>IF(ROW()-ROW($B$8)&gt;nComp,"",ROW()-ROW($B$8))</f>
        <v/>
      </c>
      <c r="C1938" t="str">
        <f>IF($N1938="","",INDEX('_calc'!$A$2:$A$3001,$N1938))</f>
        <v/>
      </c>
      <c r="D1938" s="25" t="str">
        <f>IF($N1938="","",INDEX('_calc'!$C$2:$C$3001,$N1938))</f>
        <v/>
      </c>
      <c r="E1938" s="25" t="str">
        <f>IF($N1938="","",INDEX('_calc'!$D$2:$D$3001,$N1938))</f>
        <v/>
      </c>
      <c r="F1938" s="26" t="str">
        <f>IF($N1938="","",IF($E$8=0,"",E1938/$E$8))</f>
        <v/>
      </c>
      <c r="G1938" s="25" t="str">
        <f>IF($N1938="","",INDEX('_calc'!$E$2:$E$3001,$N1938))</f>
        <v/>
      </c>
      <c r="H1938" s="25" t="str">
        <f>IF($N1938="","",INDEX('_calc'!$F$2:$F$3001,$N1938))</f>
        <v/>
      </c>
      <c r="I1938" s="27" t="str">
        <f>IF($N1938="","",INDEX('_calc'!$H$2:$H$3001,$N1938))</f>
        <v/>
      </c>
      <c r="J1938" s="27" t="str">
        <f>IF($N1938="","",INDEX('_calc'!$I$2:$I$3001,$N1938))</f>
        <v/>
      </c>
      <c r="K1938" s="28" t="str">
        <f>IF($N1938="","",IF(OR(I1938="",J1938=""),"",J1938-I1938))</f>
        <v/>
      </c>
      <c r="L1938" s="29" t="str">
        <f>IF($N1938="","",INDEX('_calc'!$J$2:$J$3001,$N1938))</f>
        <v/>
      </c>
      <c r="M1938" s="2" t="str">
        <f>IF($N1938="","",IF(AND(G1938=0,H1938=0),"수량 없음",IF(G1938=0,"신규 (전년 수량 없음)",IF(H1938=0,"당해 수량 없음",""))))</f>
        <v/>
      </c>
      <c r="N1938" t="str">
        <f>IF($B1938="","",MATCH($B1938,'_calc'!$L$2:$L$3001,0))</f>
        <v/>
      </c>
    </row>
    <row r="1939">
      <c r="B1939" s="24" t="str">
        <f>IF(ROW()-ROW($B$8)&gt;nComp,"",ROW()-ROW($B$8))</f>
        <v/>
      </c>
      <c r="C1939" t="str">
        <f>IF($N1939="","",INDEX('_calc'!$A$2:$A$3001,$N1939))</f>
        <v/>
      </c>
      <c r="D1939" s="25" t="str">
        <f>IF($N1939="","",INDEX('_calc'!$C$2:$C$3001,$N1939))</f>
        <v/>
      </c>
      <c r="E1939" s="25" t="str">
        <f>IF($N1939="","",INDEX('_calc'!$D$2:$D$3001,$N1939))</f>
        <v/>
      </c>
      <c r="F1939" s="26" t="str">
        <f>IF($N1939="","",IF($E$8=0,"",E1939/$E$8))</f>
        <v/>
      </c>
      <c r="G1939" s="25" t="str">
        <f>IF($N1939="","",INDEX('_calc'!$E$2:$E$3001,$N1939))</f>
        <v/>
      </c>
      <c r="H1939" s="25" t="str">
        <f>IF($N1939="","",INDEX('_calc'!$F$2:$F$3001,$N1939))</f>
        <v/>
      </c>
      <c r="I1939" s="27" t="str">
        <f>IF($N1939="","",INDEX('_calc'!$H$2:$H$3001,$N1939))</f>
        <v/>
      </c>
      <c r="J1939" s="27" t="str">
        <f>IF($N1939="","",INDEX('_calc'!$I$2:$I$3001,$N1939))</f>
        <v/>
      </c>
      <c r="K1939" s="28" t="str">
        <f>IF($N1939="","",IF(OR(I1939="",J1939=""),"",J1939-I1939))</f>
        <v/>
      </c>
      <c r="L1939" s="29" t="str">
        <f>IF($N1939="","",INDEX('_calc'!$J$2:$J$3001,$N1939))</f>
        <v/>
      </c>
      <c r="M1939" s="2" t="str">
        <f>IF($N1939="","",IF(AND(G1939=0,H1939=0),"수량 없음",IF(G1939=0,"신규 (전년 수량 없음)",IF(H1939=0,"당해 수량 없음",""))))</f>
        <v/>
      </c>
      <c r="N1939" t="str">
        <f>IF($B1939="","",MATCH($B1939,'_calc'!$L$2:$L$3001,0))</f>
        <v/>
      </c>
    </row>
    <row r="1940">
      <c r="B1940" s="24" t="str">
        <f>IF(ROW()-ROW($B$8)&gt;nComp,"",ROW()-ROW($B$8))</f>
        <v/>
      </c>
      <c r="C1940" t="str">
        <f>IF($N1940="","",INDEX('_calc'!$A$2:$A$3001,$N1940))</f>
        <v/>
      </c>
      <c r="D1940" s="25" t="str">
        <f>IF($N1940="","",INDEX('_calc'!$C$2:$C$3001,$N1940))</f>
        <v/>
      </c>
      <c r="E1940" s="25" t="str">
        <f>IF($N1940="","",INDEX('_calc'!$D$2:$D$3001,$N1940))</f>
        <v/>
      </c>
      <c r="F1940" s="26" t="str">
        <f>IF($N1940="","",IF($E$8=0,"",E1940/$E$8))</f>
        <v/>
      </c>
      <c r="G1940" s="25" t="str">
        <f>IF($N1940="","",INDEX('_calc'!$E$2:$E$3001,$N1940))</f>
        <v/>
      </c>
      <c r="H1940" s="25" t="str">
        <f>IF($N1940="","",INDEX('_calc'!$F$2:$F$3001,$N1940))</f>
        <v/>
      </c>
      <c r="I1940" s="27" t="str">
        <f>IF($N1940="","",INDEX('_calc'!$H$2:$H$3001,$N1940))</f>
        <v/>
      </c>
      <c r="J1940" s="27" t="str">
        <f>IF($N1940="","",INDEX('_calc'!$I$2:$I$3001,$N1940))</f>
        <v/>
      </c>
      <c r="K1940" s="28" t="str">
        <f>IF($N1940="","",IF(OR(I1940="",J1940=""),"",J1940-I1940))</f>
        <v/>
      </c>
      <c r="L1940" s="29" t="str">
        <f>IF($N1940="","",INDEX('_calc'!$J$2:$J$3001,$N1940))</f>
        <v/>
      </c>
      <c r="M1940" s="2" t="str">
        <f>IF($N1940="","",IF(AND(G1940=0,H1940=0),"수량 없음",IF(G1940=0,"신규 (전년 수량 없음)",IF(H1940=0,"당해 수량 없음",""))))</f>
        <v/>
      </c>
      <c r="N1940" t="str">
        <f>IF($B1940="","",MATCH($B1940,'_calc'!$L$2:$L$3001,0))</f>
        <v/>
      </c>
    </row>
    <row r="1941">
      <c r="B1941" s="24" t="str">
        <f>IF(ROW()-ROW($B$8)&gt;nComp,"",ROW()-ROW($B$8))</f>
        <v/>
      </c>
      <c r="C1941" t="str">
        <f>IF($N1941="","",INDEX('_calc'!$A$2:$A$3001,$N1941))</f>
        <v/>
      </c>
      <c r="D1941" s="25" t="str">
        <f>IF($N1941="","",INDEX('_calc'!$C$2:$C$3001,$N1941))</f>
        <v/>
      </c>
      <c r="E1941" s="25" t="str">
        <f>IF($N1941="","",INDEX('_calc'!$D$2:$D$3001,$N1941))</f>
        <v/>
      </c>
      <c r="F1941" s="26" t="str">
        <f>IF($N1941="","",IF($E$8=0,"",E1941/$E$8))</f>
        <v/>
      </c>
      <c r="G1941" s="25" t="str">
        <f>IF($N1941="","",INDEX('_calc'!$E$2:$E$3001,$N1941))</f>
        <v/>
      </c>
      <c r="H1941" s="25" t="str">
        <f>IF($N1941="","",INDEX('_calc'!$F$2:$F$3001,$N1941))</f>
        <v/>
      </c>
      <c r="I1941" s="27" t="str">
        <f>IF($N1941="","",INDEX('_calc'!$H$2:$H$3001,$N1941))</f>
        <v/>
      </c>
      <c r="J1941" s="27" t="str">
        <f>IF($N1941="","",INDEX('_calc'!$I$2:$I$3001,$N1941))</f>
        <v/>
      </c>
      <c r="K1941" s="28" t="str">
        <f>IF($N1941="","",IF(OR(I1941="",J1941=""),"",J1941-I1941))</f>
        <v/>
      </c>
      <c r="L1941" s="29" t="str">
        <f>IF($N1941="","",INDEX('_calc'!$J$2:$J$3001,$N1941))</f>
        <v/>
      </c>
      <c r="M1941" s="2" t="str">
        <f>IF($N1941="","",IF(AND(G1941=0,H1941=0),"수량 없음",IF(G1941=0,"신규 (전년 수량 없음)",IF(H1941=0,"당해 수량 없음",""))))</f>
        <v/>
      </c>
      <c r="N1941" t="str">
        <f>IF($B1941="","",MATCH($B1941,'_calc'!$L$2:$L$3001,0))</f>
        <v/>
      </c>
    </row>
    <row r="1942">
      <c r="B1942" s="24" t="str">
        <f>IF(ROW()-ROW($B$8)&gt;nComp,"",ROW()-ROW($B$8))</f>
        <v/>
      </c>
      <c r="C1942" t="str">
        <f>IF($N1942="","",INDEX('_calc'!$A$2:$A$3001,$N1942))</f>
        <v/>
      </c>
      <c r="D1942" s="25" t="str">
        <f>IF($N1942="","",INDEX('_calc'!$C$2:$C$3001,$N1942))</f>
        <v/>
      </c>
      <c r="E1942" s="25" t="str">
        <f>IF($N1942="","",INDEX('_calc'!$D$2:$D$3001,$N1942))</f>
        <v/>
      </c>
      <c r="F1942" s="26" t="str">
        <f>IF($N1942="","",IF($E$8=0,"",E1942/$E$8))</f>
        <v/>
      </c>
      <c r="G1942" s="25" t="str">
        <f>IF($N1942="","",INDEX('_calc'!$E$2:$E$3001,$N1942))</f>
        <v/>
      </c>
      <c r="H1942" s="25" t="str">
        <f>IF($N1942="","",INDEX('_calc'!$F$2:$F$3001,$N1942))</f>
        <v/>
      </c>
      <c r="I1942" s="27" t="str">
        <f>IF($N1942="","",INDEX('_calc'!$H$2:$H$3001,$N1942))</f>
        <v/>
      </c>
      <c r="J1942" s="27" t="str">
        <f>IF($N1942="","",INDEX('_calc'!$I$2:$I$3001,$N1942))</f>
        <v/>
      </c>
      <c r="K1942" s="28" t="str">
        <f>IF($N1942="","",IF(OR(I1942="",J1942=""),"",J1942-I1942))</f>
        <v/>
      </c>
      <c r="L1942" s="29" t="str">
        <f>IF($N1942="","",INDEX('_calc'!$J$2:$J$3001,$N1942))</f>
        <v/>
      </c>
      <c r="M1942" s="2" t="str">
        <f>IF($N1942="","",IF(AND(G1942=0,H1942=0),"수량 없음",IF(G1942=0,"신규 (전년 수량 없음)",IF(H1942=0,"당해 수량 없음",""))))</f>
        <v/>
      </c>
      <c r="N1942" t="str">
        <f>IF($B1942="","",MATCH($B1942,'_calc'!$L$2:$L$3001,0))</f>
        <v/>
      </c>
    </row>
    <row r="1943">
      <c r="B1943" s="24" t="str">
        <f>IF(ROW()-ROW($B$8)&gt;nComp,"",ROW()-ROW($B$8))</f>
        <v/>
      </c>
      <c r="C1943" t="str">
        <f>IF($N1943="","",INDEX('_calc'!$A$2:$A$3001,$N1943))</f>
        <v/>
      </c>
      <c r="D1943" s="25" t="str">
        <f>IF($N1943="","",INDEX('_calc'!$C$2:$C$3001,$N1943))</f>
        <v/>
      </c>
      <c r="E1943" s="25" t="str">
        <f>IF($N1943="","",INDEX('_calc'!$D$2:$D$3001,$N1943))</f>
        <v/>
      </c>
      <c r="F1943" s="26" t="str">
        <f>IF($N1943="","",IF($E$8=0,"",E1943/$E$8))</f>
        <v/>
      </c>
      <c r="G1943" s="25" t="str">
        <f>IF($N1943="","",INDEX('_calc'!$E$2:$E$3001,$N1943))</f>
        <v/>
      </c>
      <c r="H1943" s="25" t="str">
        <f>IF($N1943="","",INDEX('_calc'!$F$2:$F$3001,$N1943))</f>
        <v/>
      </c>
      <c r="I1943" s="27" t="str">
        <f>IF($N1943="","",INDEX('_calc'!$H$2:$H$3001,$N1943))</f>
        <v/>
      </c>
      <c r="J1943" s="27" t="str">
        <f>IF($N1943="","",INDEX('_calc'!$I$2:$I$3001,$N1943))</f>
        <v/>
      </c>
      <c r="K1943" s="28" t="str">
        <f>IF($N1943="","",IF(OR(I1943="",J1943=""),"",J1943-I1943))</f>
        <v/>
      </c>
      <c r="L1943" s="29" t="str">
        <f>IF($N1943="","",INDEX('_calc'!$J$2:$J$3001,$N1943))</f>
        <v/>
      </c>
      <c r="M1943" s="2" t="str">
        <f>IF($N1943="","",IF(AND(G1943=0,H1943=0),"수량 없음",IF(G1943=0,"신규 (전년 수량 없음)",IF(H1943=0,"당해 수량 없음",""))))</f>
        <v/>
      </c>
      <c r="N1943" t="str">
        <f>IF($B1943="","",MATCH($B1943,'_calc'!$L$2:$L$3001,0))</f>
        <v/>
      </c>
    </row>
    <row r="1944">
      <c r="B1944" s="24" t="str">
        <f>IF(ROW()-ROW($B$8)&gt;nComp,"",ROW()-ROW($B$8))</f>
        <v/>
      </c>
      <c r="C1944" t="str">
        <f>IF($N1944="","",INDEX('_calc'!$A$2:$A$3001,$N1944))</f>
        <v/>
      </c>
      <c r="D1944" s="25" t="str">
        <f>IF($N1944="","",INDEX('_calc'!$C$2:$C$3001,$N1944))</f>
        <v/>
      </c>
      <c r="E1944" s="25" t="str">
        <f>IF($N1944="","",INDEX('_calc'!$D$2:$D$3001,$N1944))</f>
        <v/>
      </c>
      <c r="F1944" s="26" t="str">
        <f>IF($N1944="","",IF($E$8=0,"",E1944/$E$8))</f>
        <v/>
      </c>
      <c r="G1944" s="25" t="str">
        <f>IF($N1944="","",INDEX('_calc'!$E$2:$E$3001,$N1944))</f>
        <v/>
      </c>
      <c r="H1944" s="25" t="str">
        <f>IF($N1944="","",INDEX('_calc'!$F$2:$F$3001,$N1944))</f>
        <v/>
      </c>
      <c r="I1944" s="27" t="str">
        <f>IF($N1944="","",INDEX('_calc'!$H$2:$H$3001,$N1944))</f>
        <v/>
      </c>
      <c r="J1944" s="27" t="str">
        <f>IF($N1944="","",INDEX('_calc'!$I$2:$I$3001,$N1944))</f>
        <v/>
      </c>
      <c r="K1944" s="28" t="str">
        <f>IF($N1944="","",IF(OR(I1944="",J1944=""),"",J1944-I1944))</f>
        <v/>
      </c>
      <c r="L1944" s="29" t="str">
        <f>IF($N1944="","",INDEX('_calc'!$J$2:$J$3001,$N1944))</f>
        <v/>
      </c>
      <c r="M1944" s="2" t="str">
        <f>IF($N1944="","",IF(AND(G1944=0,H1944=0),"수량 없음",IF(G1944=0,"신규 (전년 수량 없음)",IF(H1944=0,"당해 수량 없음",""))))</f>
        <v/>
      </c>
      <c r="N1944" t="str">
        <f>IF($B1944="","",MATCH($B1944,'_calc'!$L$2:$L$3001,0))</f>
        <v/>
      </c>
    </row>
    <row r="1945">
      <c r="B1945" s="24" t="str">
        <f>IF(ROW()-ROW($B$8)&gt;nComp,"",ROW()-ROW($B$8))</f>
        <v/>
      </c>
      <c r="C1945" t="str">
        <f>IF($N1945="","",INDEX('_calc'!$A$2:$A$3001,$N1945))</f>
        <v/>
      </c>
      <c r="D1945" s="25" t="str">
        <f>IF($N1945="","",INDEX('_calc'!$C$2:$C$3001,$N1945))</f>
        <v/>
      </c>
      <c r="E1945" s="25" t="str">
        <f>IF($N1945="","",INDEX('_calc'!$D$2:$D$3001,$N1945))</f>
        <v/>
      </c>
      <c r="F1945" s="26" t="str">
        <f>IF($N1945="","",IF($E$8=0,"",E1945/$E$8))</f>
        <v/>
      </c>
      <c r="G1945" s="25" t="str">
        <f>IF($N1945="","",INDEX('_calc'!$E$2:$E$3001,$N1945))</f>
        <v/>
      </c>
      <c r="H1945" s="25" t="str">
        <f>IF($N1945="","",INDEX('_calc'!$F$2:$F$3001,$N1945))</f>
        <v/>
      </c>
      <c r="I1945" s="27" t="str">
        <f>IF($N1945="","",INDEX('_calc'!$H$2:$H$3001,$N1945))</f>
        <v/>
      </c>
      <c r="J1945" s="27" t="str">
        <f>IF($N1945="","",INDEX('_calc'!$I$2:$I$3001,$N1945))</f>
        <v/>
      </c>
      <c r="K1945" s="28" t="str">
        <f>IF($N1945="","",IF(OR(I1945="",J1945=""),"",J1945-I1945))</f>
        <v/>
      </c>
      <c r="L1945" s="29" t="str">
        <f>IF($N1945="","",INDEX('_calc'!$J$2:$J$3001,$N1945))</f>
        <v/>
      </c>
      <c r="M1945" s="2" t="str">
        <f>IF($N1945="","",IF(AND(G1945=0,H1945=0),"수량 없음",IF(G1945=0,"신규 (전년 수량 없음)",IF(H1945=0,"당해 수량 없음",""))))</f>
        <v/>
      </c>
      <c r="N1945" t="str">
        <f>IF($B1945="","",MATCH($B1945,'_calc'!$L$2:$L$3001,0))</f>
        <v/>
      </c>
    </row>
    <row r="1946">
      <c r="B1946" s="24" t="str">
        <f>IF(ROW()-ROW($B$8)&gt;nComp,"",ROW()-ROW($B$8))</f>
        <v/>
      </c>
      <c r="C1946" t="str">
        <f>IF($N1946="","",INDEX('_calc'!$A$2:$A$3001,$N1946))</f>
        <v/>
      </c>
      <c r="D1946" s="25" t="str">
        <f>IF($N1946="","",INDEX('_calc'!$C$2:$C$3001,$N1946))</f>
        <v/>
      </c>
      <c r="E1946" s="25" t="str">
        <f>IF($N1946="","",INDEX('_calc'!$D$2:$D$3001,$N1946))</f>
        <v/>
      </c>
      <c r="F1946" s="26" t="str">
        <f>IF($N1946="","",IF($E$8=0,"",E1946/$E$8))</f>
        <v/>
      </c>
      <c r="G1946" s="25" t="str">
        <f>IF($N1946="","",INDEX('_calc'!$E$2:$E$3001,$N1946))</f>
        <v/>
      </c>
      <c r="H1946" s="25" t="str">
        <f>IF($N1946="","",INDEX('_calc'!$F$2:$F$3001,$N1946))</f>
        <v/>
      </c>
      <c r="I1946" s="27" t="str">
        <f>IF($N1946="","",INDEX('_calc'!$H$2:$H$3001,$N1946))</f>
        <v/>
      </c>
      <c r="J1946" s="27" t="str">
        <f>IF($N1946="","",INDEX('_calc'!$I$2:$I$3001,$N1946))</f>
        <v/>
      </c>
      <c r="K1946" s="28" t="str">
        <f>IF($N1946="","",IF(OR(I1946="",J1946=""),"",J1946-I1946))</f>
        <v/>
      </c>
      <c r="L1946" s="29" t="str">
        <f>IF($N1946="","",INDEX('_calc'!$J$2:$J$3001,$N1946))</f>
        <v/>
      </c>
      <c r="M1946" s="2" t="str">
        <f>IF($N1946="","",IF(AND(G1946=0,H1946=0),"수량 없음",IF(G1946=0,"신규 (전년 수량 없음)",IF(H1946=0,"당해 수량 없음",""))))</f>
        <v/>
      </c>
      <c r="N1946" t="str">
        <f>IF($B1946="","",MATCH($B1946,'_calc'!$L$2:$L$3001,0))</f>
        <v/>
      </c>
    </row>
    <row r="1947">
      <c r="B1947" s="24" t="str">
        <f>IF(ROW()-ROW($B$8)&gt;nComp,"",ROW()-ROW($B$8))</f>
        <v/>
      </c>
      <c r="C1947" t="str">
        <f>IF($N1947="","",INDEX('_calc'!$A$2:$A$3001,$N1947))</f>
        <v/>
      </c>
      <c r="D1947" s="25" t="str">
        <f>IF($N1947="","",INDEX('_calc'!$C$2:$C$3001,$N1947))</f>
        <v/>
      </c>
      <c r="E1947" s="25" t="str">
        <f>IF($N1947="","",INDEX('_calc'!$D$2:$D$3001,$N1947))</f>
        <v/>
      </c>
      <c r="F1947" s="26" t="str">
        <f>IF($N1947="","",IF($E$8=0,"",E1947/$E$8))</f>
        <v/>
      </c>
      <c r="G1947" s="25" t="str">
        <f>IF($N1947="","",INDEX('_calc'!$E$2:$E$3001,$N1947))</f>
        <v/>
      </c>
      <c r="H1947" s="25" t="str">
        <f>IF($N1947="","",INDEX('_calc'!$F$2:$F$3001,$N1947))</f>
        <v/>
      </c>
      <c r="I1947" s="27" t="str">
        <f>IF($N1947="","",INDEX('_calc'!$H$2:$H$3001,$N1947))</f>
        <v/>
      </c>
      <c r="J1947" s="27" t="str">
        <f>IF($N1947="","",INDEX('_calc'!$I$2:$I$3001,$N1947))</f>
        <v/>
      </c>
      <c r="K1947" s="28" t="str">
        <f>IF($N1947="","",IF(OR(I1947="",J1947=""),"",J1947-I1947))</f>
        <v/>
      </c>
      <c r="L1947" s="29" t="str">
        <f>IF($N1947="","",INDEX('_calc'!$J$2:$J$3001,$N1947))</f>
        <v/>
      </c>
      <c r="M1947" s="2" t="str">
        <f>IF($N1947="","",IF(AND(G1947=0,H1947=0),"수량 없음",IF(G1947=0,"신규 (전년 수량 없음)",IF(H1947=0,"당해 수량 없음",""))))</f>
        <v/>
      </c>
      <c r="N1947" t="str">
        <f>IF($B1947="","",MATCH($B1947,'_calc'!$L$2:$L$3001,0))</f>
        <v/>
      </c>
    </row>
    <row r="1948">
      <c r="B1948" s="24" t="str">
        <f>IF(ROW()-ROW($B$8)&gt;nComp,"",ROW()-ROW($B$8))</f>
        <v/>
      </c>
      <c r="C1948" t="str">
        <f>IF($N1948="","",INDEX('_calc'!$A$2:$A$3001,$N1948))</f>
        <v/>
      </c>
      <c r="D1948" s="25" t="str">
        <f>IF($N1948="","",INDEX('_calc'!$C$2:$C$3001,$N1948))</f>
        <v/>
      </c>
      <c r="E1948" s="25" t="str">
        <f>IF($N1948="","",INDEX('_calc'!$D$2:$D$3001,$N1948))</f>
        <v/>
      </c>
      <c r="F1948" s="26" t="str">
        <f>IF($N1948="","",IF($E$8=0,"",E1948/$E$8))</f>
        <v/>
      </c>
      <c r="G1948" s="25" t="str">
        <f>IF($N1948="","",INDEX('_calc'!$E$2:$E$3001,$N1948))</f>
        <v/>
      </c>
      <c r="H1948" s="25" t="str">
        <f>IF($N1948="","",INDEX('_calc'!$F$2:$F$3001,$N1948))</f>
        <v/>
      </c>
      <c r="I1948" s="27" t="str">
        <f>IF($N1948="","",INDEX('_calc'!$H$2:$H$3001,$N1948))</f>
        <v/>
      </c>
      <c r="J1948" s="27" t="str">
        <f>IF($N1948="","",INDEX('_calc'!$I$2:$I$3001,$N1948))</f>
        <v/>
      </c>
      <c r="K1948" s="28" t="str">
        <f>IF($N1948="","",IF(OR(I1948="",J1948=""),"",J1948-I1948))</f>
        <v/>
      </c>
      <c r="L1948" s="29" t="str">
        <f>IF($N1948="","",INDEX('_calc'!$J$2:$J$3001,$N1948))</f>
        <v/>
      </c>
      <c r="M1948" s="2" t="str">
        <f>IF($N1948="","",IF(AND(G1948=0,H1948=0),"수량 없음",IF(G1948=0,"신규 (전년 수량 없음)",IF(H1948=0,"당해 수량 없음",""))))</f>
        <v/>
      </c>
      <c r="N1948" t="str">
        <f>IF($B1948="","",MATCH($B1948,'_calc'!$L$2:$L$3001,0))</f>
        <v/>
      </c>
    </row>
    <row r="1949">
      <c r="B1949" s="24" t="str">
        <f>IF(ROW()-ROW($B$8)&gt;nComp,"",ROW()-ROW($B$8))</f>
        <v/>
      </c>
      <c r="C1949" t="str">
        <f>IF($N1949="","",INDEX('_calc'!$A$2:$A$3001,$N1949))</f>
        <v/>
      </c>
      <c r="D1949" s="25" t="str">
        <f>IF($N1949="","",INDEX('_calc'!$C$2:$C$3001,$N1949))</f>
        <v/>
      </c>
      <c r="E1949" s="25" t="str">
        <f>IF($N1949="","",INDEX('_calc'!$D$2:$D$3001,$N1949))</f>
        <v/>
      </c>
      <c r="F1949" s="26" t="str">
        <f>IF($N1949="","",IF($E$8=0,"",E1949/$E$8))</f>
        <v/>
      </c>
      <c r="G1949" s="25" t="str">
        <f>IF($N1949="","",INDEX('_calc'!$E$2:$E$3001,$N1949))</f>
        <v/>
      </c>
      <c r="H1949" s="25" t="str">
        <f>IF($N1949="","",INDEX('_calc'!$F$2:$F$3001,$N1949))</f>
        <v/>
      </c>
      <c r="I1949" s="27" t="str">
        <f>IF($N1949="","",INDEX('_calc'!$H$2:$H$3001,$N1949))</f>
        <v/>
      </c>
      <c r="J1949" s="27" t="str">
        <f>IF($N1949="","",INDEX('_calc'!$I$2:$I$3001,$N1949))</f>
        <v/>
      </c>
      <c r="K1949" s="28" t="str">
        <f>IF($N1949="","",IF(OR(I1949="",J1949=""),"",J1949-I1949))</f>
        <v/>
      </c>
      <c r="L1949" s="29" t="str">
        <f>IF($N1949="","",INDEX('_calc'!$J$2:$J$3001,$N1949))</f>
        <v/>
      </c>
      <c r="M1949" s="2" t="str">
        <f>IF($N1949="","",IF(AND(G1949=0,H1949=0),"수량 없음",IF(G1949=0,"신규 (전년 수량 없음)",IF(H1949=0,"당해 수량 없음",""))))</f>
        <v/>
      </c>
      <c r="N1949" t="str">
        <f>IF($B1949="","",MATCH($B1949,'_calc'!$L$2:$L$3001,0))</f>
        <v/>
      </c>
    </row>
    <row r="1950">
      <c r="B1950" s="24" t="str">
        <f>IF(ROW()-ROW($B$8)&gt;nComp,"",ROW()-ROW($B$8))</f>
        <v/>
      </c>
      <c r="C1950" t="str">
        <f>IF($N1950="","",INDEX('_calc'!$A$2:$A$3001,$N1950))</f>
        <v/>
      </c>
      <c r="D1950" s="25" t="str">
        <f>IF($N1950="","",INDEX('_calc'!$C$2:$C$3001,$N1950))</f>
        <v/>
      </c>
      <c r="E1950" s="25" t="str">
        <f>IF($N1950="","",INDEX('_calc'!$D$2:$D$3001,$N1950))</f>
        <v/>
      </c>
      <c r="F1950" s="26" t="str">
        <f>IF($N1950="","",IF($E$8=0,"",E1950/$E$8))</f>
        <v/>
      </c>
      <c r="G1950" s="25" t="str">
        <f>IF($N1950="","",INDEX('_calc'!$E$2:$E$3001,$N1950))</f>
        <v/>
      </c>
      <c r="H1950" s="25" t="str">
        <f>IF($N1950="","",INDEX('_calc'!$F$2:$F$3001,$N1950))</f>
        <v/>
      </c>
      <c r="I1950" s="27" t="str">
        <f>IF($N1950="","",INDEX('_calc'!$H$2:$H$3001,$N1950))</f>
        <v/>
      </c>
      <c r="J1950" s="27" t="str">
        <f>IF($N1950="","",INDEX('_calc'!$I$2:$I$3001,$N1950))</f>
        <v/>
      </c>
      <c r="K1950" s="28" t="str">
        <f>IF($N1950="","",IF(OR(I1950="",J1950=""),"",J1950-I1950))</f>
        <v/>
      </c>
      <c r="L1950" s="29" t="str">
        <f>IF($N1950="","",INDEX('_calc'!$J$2:$J$3001,$N1950))</f>
        <v/>
      </c>
      <c r="M1950" s="2" t="str">
        <f>IF($N1950="","",IF(AND(G1950=0,H1950=0),"수량 없음",IF(G1950=0,"신규 (전년 수량 없음)",IF(H1950=0,"당해 수량 없음",""))))</f>
        <v/>
      </c>
      <c r="N1950" t="str">
        <f>IF($B1950="","",MATCH($B1950,'_calc'!$L$2:$L$3001,0))</f>
        <v/>
      </c>
    </row>
    <row r="1951">
      <c r="B1951" s="24" t="str">
        <f>IF(ROW()-ROW($B$8)&gt;nComp,"",ROW()-ROW($B$8))</f>
        <v/>
      </c>
      <c r="C1951" t="str">
        <f>IF($N1951="","",INDEX('_calc'!$A$2:$A$3001,$N1951))</f>
        <v/>
      </c>
      <c r="D1951" s="25" t="str">
        <f>IF($N1951="","",INDEX('_calc'!$C$2:$C$3001,$N1951))</f>
        <v/>
      </c>
      <c r="E1951" s="25" t="str">
        <f>IF($N1951="","",INDEX('_calc'!$D$2:$D$3001,$N1951))</f>
        <v/>
      </c>
      <c r="F1951" s="26" t="str">
        <f>IF($N1951="","",IF($E$8=0,"",E1951/$E$8))</f>
        <v/>
      </c>
      <c r="G1951" s="25" t="str">
        <f>IF($N1951="","",INDEX('_calc'!$E$2:$E$3001,$N1951))</f>
        <v/>
      </c>
      <c r="H1951" s="25" t="str">
        <f>IF($N1951="","",INDEX('_calc'!$F$2:$F$3001,$N1951))</f>
        <v/>
      </c>
      <c r="I1951" s="27" t="str">
        <f>IF($N1951="","",INDEX('_calc'!$H$2:$H$3001,$N1951))</f>
        <v/>
      </c>
      <c r="J1951" s="27" t="str">
        <f>IF($N1951="","",INDEX('_calc'!$I$2:$I$3001,$N1951))</f>
        <v/>
      </c>
      <c r="K1951" s="28" t="str">
        <f>IF($N1951="","",IF(OR(I1951="",J1951=""),"",J1951-I1951))</f>
        <v/>
      </c>
      <c r="L1951" s="29" t="str">
        <f>IF($N1951="","",INDEX('_calc'!$J$2:$J$3001,$N1951))</f>
        <v/>
      </c>
      <c r="M1951" s="2" t="str">
        <f>IF($N1951="","",IF(AND(G1951=0,H1951=0),"수량 없음",IF(G1951=0,"신규 (전년 수량 없음)",IF(H1951=0,"당해 수량 없음",""))))</f>
        <v/>
      </c>
      <c r="N1951" t="str">
        <f>IF($B1951="","",MATCH($B1951,'_calc'!$L$2:$L$3001,0))</f>
        <v/>
      </c>
    </row>
    <row r="1952">
      <c r="B1952" s="24" t="str">
        <f>IF(ROW()-ROW($B$8)&gt;nComp,"",ROW()-ROW($B$8))</f>
        <v/>
      </c>
      <c r="C1952" t="str">
        <f>IF($N1952="","",INDEX('_calc'!$A$2:$A$3001,$N1952))</f>
        <v/>
      </c>
      <c r="D1952" s="25" t="str">
        <f>IF($N1952="","",INDEX('_calc'!$C$2:$C$3001,$N1952))</f>
        <v/>
      </c>
      <c r="E1952" s="25" t="str">
        <f>IF($N1952="","",INDEX('_calc'!$D$2:$D$3001,$N1952))</f>
        <v/>
      </c>
      <c r="F1952" s="26" t="str">
        <f>IF($N1952="","",IF($E$8=0,"",E1952/$E$8))</f>
        <v/>
      </c>
      <c r="G1952" s="25" t="str">
        <f>IF($N1952="","",INDEX('_calc'!$E$2:$E$3001,$N1952))</f>
        <v/>
      </c>
      <c r="H1952" s="25" t="str">
        <f>IF($N1952="","",INDEX('_calc'!$F$2:$F$3001,$N1952))</f>
        <v/>
      </c>
      <c r="I1952" s="27" t="str">
        <f>IF($N1952="","",INDEX('_calc'!$H$2:$H$3001,$N1952))</f>
        <v/>
      </c>
      <c r="J1952" s="27" t="str">
        <f>IF($N1952="","",INDEX('_calc'!$I$2:$I$3001,$N1952))</f>
        <v/>
      </c>
      <c r="K1952" s="28" t="str">
        <f>IF($N1952="","",IF(OR(I1952="",J1952=""),"",J1952-I1952))</f>
        <v/>
      </c>
      <c r="L1952" s="29" t="str">
        <f>IF($N1952="","",INDEX('_calc'!$J$2:$J$3001,$N1952))</f>
        <v/>
      </c>
      <c r="M1952" s="2" t="str">
        <f>IF($N1952="","",IF(AND(G1952=0,H1952=0),"수량 없음",IF(G1952=0,"신규 (전년 수량 없음)",IF(H1952=0,"당해 수량 없음",""))))</f>
        <v/>
      </c>
      <c r="N1952" t="str">
        <f>IF($B1952="","",MATCH($B1952,'_calc'!$L$2:$L$3001,0))</f>
        <v/>
      </c>
    </row>
    <row r="1953">
      <c r="B1953" s="24" t="str">
        <f>IF(ROW()-ROW($B$8)&gt;nComp,"",ROW()-ROW($B$8))</f>
        <v/>
      </c>
      <c r="C1953" t="str">
        <f>IF($N1953="","",INDEX('_calc'!$A$2:$A$3001,$N1953))</f>
        <v/>
      </c>
      <c r="D1953" s="25" t="str">
        <f>IF($N1953="","",INDEX('_calc'!$C$2:$C$3001,$N1953))</f>
        <v/>
      </c>
      <c r="E1953" s="25" t="str">
        <f>IF($N1953="","",INDEX('_calc'!$D$2:$D$3001,$N1953))</f>
        <v/>
      </c>
      <c r="F1953" s="26" t="str">
        <f>IF($N1953="","",IF($E$8=0,"",E1953/$E$8))</f>
        <v/>
      </c>
      <c r="G1953" s="25" t="str">
        <f>IF($N1953="","",INDEX('_calc'!$E$2:$E$3001,$N1953))</f>
        <v/>
      </c>
      <c r="H1953" s="25" t="str">
        <f>IF($N1953="","",INDEX('_calc'!$F$2:$F$3001,$N1953))</f>
        <v/>
      </c>
      <c r="I1953" s="27" t="str">
        <f>IF($N1953="","",INDEX('_calc'!$H$2:$H$3001,$N1953))</f>
        <v/>
      </c>
      <c r="J1953" s="27" t="str">
        <f>IF($N1953="","",INDEX('_calc'!$I$2:$I$3001,$N1953))</f>
        <v/>
      </c>
      <c r="K1953" s="28" t="str">
        <f>IF($N1953="","",IF(OR(I1953="",J1953=""),"",J1953-I1953))</f>
        <v/>
      </c>
      <c r="L1953" s="29" t="str">
        <f>IF($N1953="","",INDEX('_calc'!$J$2:$J$3001,$N1953))</f>
        <v/>
      </c>
      <c r="M1953" s="2" t="str">
        <f>IF($N1953="","",IF(AND(G1953=0,H1953=0),"수량 없음",IF(G1953=0,"신규 (전년 수량 없음)",IF(H1953=0,"당해 수량 없음",""))))</f>
        <v/>
      </c>
      <c r="N1953" t="str">
        <f>IF($B1953="","",MATCH($B1953,'_calc'!$L$2:$L$3001,0))</f>
        <v/>
      </c>
    </row>
    <row r="1954">
      <c r="B1954" s="24" t="str">
        <f>IF(ROW()-ROW($B$8)&gt;nComp,"",ROW()-ROW($B$8))</f>
        <v/>
      </c>
      <c r="C1954" t="str">
        <f>IF($N1954="","",INDEX('_calc'!$A$2:$A$3001,$N1954))</f>
        <v/>
      </c>
      <c r="D1954" s="25" t="str">
        <f>IF($N1954="","",INDEX('_calc'!$C$2:$C$3001,$N1954))</f>
        <v/>
      </c>
      <c r="E1954" s="25" t="str">
        <f>IF($N1954="","",INDEX('_calc'!$D$2:$D$3001,$N1954))</f>
        <v/>
      </c>
      <c r="F1954" s="26" t="str">
        <f>IF($N1954="","",IF($E$8=0,"",E1954/$E$8))</f>
        <v/>
      </c>
      <c r="G1954" s="25" t="str">
        <f>IF($N1954="","",INDEX('_calc'!$E$2:$E$3001,$N1954))</f>
        <v/>
      </c>
      <c r="H1954" s="25" t="str">
        <f>IF($N1954="","",INDEX('_calc'!$F$2:$F$3001,$N1954))</f>
        <v/>
      </c>
      <c r="I1954" s="27" t="str">
        <f>IF($N1954="","",INDEX('_calc'!$H$2:$H$3001,$N1954))</f>
        <v/>
      </c>
      <c r="J1954" s="27" t="str">
        <f>IF($N1954="","",INDEX('_calc'!$I$2:$I$3001,$N1954))</f>
        <v/>
      </c>
      <c r="K1954" s="28" t="str">
        <f>IF($N1954="","",IF(OR(I1954="",J1954=""),"",J1954-I1954))</f>
        <v/>
      </c>
      <c r="L1954" s="29" t="str">
        <f>IF($N1954="","",INDEX('_calc'!$J$2:$J$3001,$N1954))</f>
        <v/>
      </c>
      <c r="M1954" s="2" t="str">
        <f>IF($N1954="","",IF(AND(G1954=0,H1954=0),"수량 없음",IF(G1954=0,"신규 (전년 수량 없음)",IF(H1954=0,"당해 수량 없음",""))))</f>
        <v/>
      </c>
      <c r="N1954" t="str">
        <f>IF($B1954="","",MATCH($B1954,'_calc'!$L$2:$L$3001,0))</f>
        <v/>
      </c>
    </row>
    <row r="1955">
      <c r="B1955" s="24" t="str">
        <f>IF(ROW()-ROW($B$8)&gt;nComp,"",ROW()-ROW($B$8))</f>
        <v/>
      </c>
      <c r="C1955" t="str">
        <f>IF($N1955="","",INDEX('_calc'!$A$2:$A$3001,$N1955))</f>
        <v/>
      </c>
      <c r="D1955" s="25" t="str">
        <f>IF($N1955="","",INDEX('_calc'!$C$2:$C$3001,$N1955))</f>
        <v/>
      </c>
      <c r="E1955" s="25" t="str">
        <f>IF($N1955="","",INDEX('_calc'!$D$2:$D$3001,$N1955))</f>
        <v/>
      </c>
      <c r="F1955" s="26" t="str">
        <f>IF($N1955="","",IF($E$8=0,"",E1955/$E$8))</f>
        <v/>
      </c>
      <c r="G1955" s="25" t="str">
        <f>IF($N1955="","",INDEX('_calc'!$E$2:$E$3001,$N1955))</f>
        <v/>
      </c>
      <c r="H1955" s="25" t="str">
        <f>IF($N1955="","",INDEX('_calc'!$F$2:$F$3001,$N1955))</f>
        <v/>
      </c>
      <c r="I1955" s="27" t="str">
        <f>IF($N1955="","",INDEX('_calc'!$H$2:$H$3001,$N1955))</f>
        <v/>
      </c>
      <c r="J1955" s="27" t="str">
        <f>IF($N1955="","",INDEX('_calc'!$I$2:$I$3001,$N1955))</f>
        <v/>
      </c>
      <c r="K1955" s="28" t="str">
        <f>IF($N1955="","",IF(OR(I1955="",J1955=""),"",J1955-I1955))</f>
        <v/>
      </c>
      <c r="L1955" s="29" t="str">
        <f>IF($N1955="","",INDEX('_calc'!$J$2:$J$3001,$N1955))</f>
        <v/>
      </c>
      <c r="M1955" s="2" t="str">
        <f>IF($N1955="","",IF(AND(G1955=0,H1955=0),"수량 없음",IF(G1955=0,"신규 (전년 수량 없음)",IF(H1955=0,"당해 수량 없음",""))))</f>
        <v/>
      </c>
      <c r="N1955" t="str">
        <f>IF($B1955="","",MATCH($B1955,'_calc'!$L$2:$L$3001,0))</f>
        <v/>
      </c>
    </row>
    <row r="1956">
      <c r="B1956" s="24" t="str">
        <f>IF(ROW()-ROW($B$8)&gt;nComp,"",ROW()-ROW($B$8))</f>
        <v/>
      </c>
      <c r="C1956" t="str">
        <f>IF($N1956="","",INDEX('_calc'!$A$2:$A$3001,$N1956))</f>
        <v/>
      </c>
      <c r="D1956" s="25" t="str">
        <f>IF($N1956="","",INDEX('_calc'!$C$2:$C$3001,$N1956))</f>
        <v/>
      </c>
      <c r="E1956" s="25" t="str">
        <f>IF($N1956="","",INDEX('_calc'!$D$2:$D$3001,$N1956))</f>
        <v/>
      </c>
      <c r="F1956" s="26" t="str">
        <f>IF($N1956="","",IF($E$8=0,"",E1956/$E$8))</f>
        <v/>
      </c>
      <c r="G1956" s="25" t="str">
        <f>IF($N1956="","",INDEX('_calc'!$E$2:$E$3001,$N1956))</f>
        <v/>
      </c>
      <c r="H1956" s="25" t="str">
        <f>IF($N1956="","",INDEX('_calc'!$F$2:$F$3001,$N1956))</f>
        <v/>
      </c>
      <c r="I1956" s="27" t="str">
        <f>IF($N1956="","",INDEX('_calc'!$H$2:$H$3001,$N1956))</f>
        <v/>
      </c>
      <c r="J1956" s="27" t="str">
        <f>IF($N1956="","",INDEX('_calc'!$I$2:$I$3001,$N1956))</f>
        <v/>
      </c>
      <c r="K1956" s="28" t="str">
        <f>IF($N1956="","",IF(OR(I1956="",J1956=""),"",J1956-I1956))</f>
        <v/>
      </c>
      <c r="L1956" s="29" t="str">
        <f>IF($N1956="","",INDEX('_calc'!$J$2:$J$3001,$N1956))</f>
        <v/>
      </c>
      <c r="M1956" s="2" t="str">
        <f>IF($N1956="","",IF(AND(G1956=0,H1956=0),"수량 없음",IF(G1956=0,"신규 (전년 수량 없음)",IF(H1956=0,"당해 수량 없음",""))))</f>
        <v/>
      </c>
      <c r="N1956" t="str">
        <f>IF($B1956="","",MATCH($B1956,'_calc'!$L$2:$L$3001,0))</f>
        <v/>
      </c>
    </row>
    <row r="1957">
      <c r="B1957" s="24" t="str">
        <f>IF(ROW()-ROW($B$8)&gt;nComp,"",ROW()-ROW($B$8))</f>
        <v/>
      </c>
      <c r="C1957" t="str">
        <f>IF($N1957="","",INDEX('_calc'!$A$2:$A$3001,$N1957))</f>
        <v/>
      </c>
      <c r="D1957" s="25" t="str">
        <f>IF($N1957="","",INDEX('_calc'!$C$2:$C$3001,$N1957))</f>
        <v/>
      </c>
      <c r="E1957" s="25" t="str">
        <f>IF($N1957="","",INDEX('_calc'!$D$2:$D$3001,$N1957))</f>
        <v/>
      </c>
      <c r="F1957" s="26" t="str">
        <f>IF($N1957="","",IF($E$8=0,"",E1957/$E$8))</f>
        <v/>
      </c>
      <c r="G1957" s="25" t="str">
        <f>IF($N1957="","",INDEX('_calc'!$E$2:$E$3001,$N1957))</f>
        <v/>
      </c>
      <c r="H1957" s="25" t="str">
        <f>IF($N1957="","",INDEX('_calc'!$F$2:$F$3001,$N1957))</f>
        <v/>
      </c>
      <c r="I1957" s="27" t="str">
        <f>IF($N1957="","",INDEX('_calc'!$H$2:$H$3001,$N1957))</f>
        <v/>
      </c>
      <c r="J1957" s="27" t="str">
        <f>IF($N1957="","",INDEX('_calc'!$I$2:$I$3001,$N1957))</f>
        <v/>
      </c>
      <c r="K1957" s="28" t="str">
        <f>IF($N1957="","",IF(OR(I1957="",J1957=""),"",J1957-I1957))</f>
        <v/>
      </c>
      <c r="L1957" s="29" t="str">
        <f>IF($N1957="","",INDEX('_calc'!$J$2:$J$3001,$N1957))</f>
        <v/>
      </c>
      <c r="M1957" s="2" t="str">
        <f>IF($N1957="","",IF(AND(G1957=0,H1957=0),"수량 없음",IF(G1957=0,"신규 (전년 수량 없음)",IF(H1957=0,"당해 수량 없음",""))))</f>
        <v/>
      </c>
      <c r="N1957" t="str">
        <f>IF($B1957="","",MATCH($B1957,'_calc'!$L$2:$L$3001,0))</f>
        <v/>
      </c>
    </row>
    <row r="1958">
      <c r="B1958" s="24" t="str">
        <f>IF(ROW()-ROW($B$8)&gt;nComp,"",ROW()-ROW($B$8))</f>
        <v/>
      </c>
      <c r="C1958" t="str">
        <f>IF($N1958="","",INDEX('_calc'!$A$2:$A$3001,$N1958))</f>
        <v/>
      </c>
      <c r="D1958" s="25" t="str">
        <f>IF($N1958="","",INDEX('_calc'!$C$2:$C$3001,$N1958))</f>
        <v/>
      </c>
      <c r="E1958" s="25" t="str">
        <f>IF($N1958="","",INDEX('_calc'!$D$2:$D$3001,$N1958))</f>
        <v/>
      </c>
      <c r="F1958" s="26" t="str">
        <f>IF($N1958="","",IF($E$8=0,"",E1958/$E$8))</f>
        <v/>
      </c>
      <c r="G1958" s="25" t="str">
        <f>IF($N1958="","",INDEX('_calc'!$E$2:$E$3001,$N1958))</f>
        <v/>
      </c>
      <c r="H1958" s="25" t="str">
        <f>IF($N1958="","",INDEX('_calc'!$F$2:$F$3001,$N1958))</f>
        <v/>
      </c>
      <c r="I1958" s="27" t="str">
        <f>IF($N1958="","",INDEX('_calc'!$H$2:$H$3001,$N1958))</f>
        <v/>
      </c>
      <c r="J1958" s="27" t="str">
        <f>IF($N1958="","",INDEX('_calc'!$I$2:$I$3001,$N1958))</f>
        <v/>
      </c>
      <c r="K1958" s="28" t="str">
        <f>IF($N1958="","",IF(OR(I1958="",J1958=""),"",J1958-I1958))</f>
        <v/>
      </c>
      <c r="L1958" s="29" t="str">
        <f>IF($N1958="","",INDEX('_calc'!$J$2:$J$3001,$N1958))</f>
        <v/>
      </c>
      <c r="M1958" s="2" t="str">
        <f>IF($N1958="","",IF(AND(G1958=0,H1958=0),"수량 없음",IF(G1958=0,"신규 (전년 수량 없음)",IF(H1958=0,"당해 수량 없음",""))))</f>
        <v/>
      </c>
      <c r="N1958" t="str">
        <f>IF($B1958="","",MATCH($B1958,'_calc'!$L$2:$L$3001,0))</f>
        <v/>
      </c>
    </row>
    <row r="1959">
      <c r="B1959" s="24" t="str">
        <f>IF(ROW()-ROW($B$8)&gt;nComp,"",ROW()-ROW($B$8))</f>
        <v/>
      </c>
      <c r="C1959" t="str">
        <f>IF($N1959="","",INDEX('_calc'!$A$2:$A$3001,$N1959))</f>
        <v/>
      </c>
      <c r="D1959" s="25" t="str">
        <f>IF($N1959="","",INDEX('_calc'!$C$2:$C$3001,$N1959))</f>
        <v/>
      </c>
      <c r="E1959" s="25" t="str">
        <f>IF($N1959="","",INDEX('_calc'!$D$2:$D$3001,$N1959))</f>
        <v/>
      </c>
      <c r="F1959" s="26" t="str">
        <f>IF($N1959="","",IF($E$8=0,"",E1959/$E$8))</f>
        <v/>
      </c>
      <c r="G1959" s="25" t="str">
        <f>IF($N1959="","",INDEX('_calc'!$E$2:$E$3001,$N1959))</f>
        <v/>
      </c>
      <c r="H1959" s="25" t="str">
        <f>IF($N1959="","",INDEX('_calc'!$F$2:$F$3001,$N1959))</f>
        <v/>
      </c>
      <c r="I1959" s="27" t="str">
        <f>IF($N1959="","",INDEX('_calc'!$H$2:$H$3001,$N1959))</f>
        <v/>
      </c>
      <c r="J1959" s="27" t="str">
        <f>IF($N1959="","",INDEX('_calc'!$I$2:$I$3001,$N1959))</f>
        <v/>
      </c>
      <c r="K1959" s="28" t="str">
        <f>IF($N1959="","",IF(OR(I1959="",J1959=""),"",J1959-I1959))</f>
        <v/>
      </c>
      <c r="L1959" s="29" t="str">
        <f>IF($N1959="","",INDEX('_calc'!$J$2:$J$3001,$N1959))</f>
        <v/>
      </c>
      <c r="M1959" s="2" t="str">
        <f>IF($N1959="","",IF(AND(G1959=0,H1959=0),"수량 없음",IF(G1959=0,"신규 (전년 수량 없음)",IF(H1959=0,"당해 수량 없음",""))))</f>
        <v/>
      </c>
      <c r="N1959" t="str">
        <f>IF($B1959="","",MATCH($B1959,'_calc'!$L$2:$L$3001,0))</f>
        <v/>
      </c>
    </row>
    <row r="1960">
      <c r="B1960" s="24" t="str">
        <f>IF(ROW()-ROW($B$8)&gt;nComp,"",ROW()-ROW($B$8))</f>
        <v/>
      </c>
      <c r="C1960" t="str">
        <f>IF($N1960="","",INDEX('_calc'!$A$2:$A$3001,$N1960))</f>
        <v/>
      </c>
      <c r="D1960" s="25" t="str">
        <f>IF($N1960="","",INDEX('_calc'!$C$2:$C$3001,$N1960))</f>
        <v/>
      </c>
      <c r="E1960" s="25" t="str">
        <f>IF($N1960="","",INDEX('_calc'!$D$2:$D$3001,$N1960))</f>
        <v/>
      </c>
      <c r="F1960" s="26" t="str">
        <f>IF($N1960="","",IF($E$8=0,"",E1960/$E$8))</f>
        <v/>
      </c>
      <c r="G1960" s="25" t="str">
        <f>IF($N1960="","",INDEX('_calc'!$E$2:$E$3001,$N1960))</f>
        <v/>
      </c>
      <c r="H1960" s="25" t="str">
        <f>IF($N1960="","",INDEX('_calc'!$F$2:$F$3001,$N1960))</f>
        <v/>
      </c>
      <c r="I1960" s="27" t="str">
        <f>IF($N1960="","",INDEX('_calc'!$H$2:$H$3001,$N1960))</f>
        <v/>
      </c>
      <c r="J1960" s="27" t="str">
        <f>IF($N1960="","",INDEX('_calc'!$I$2:$I$3001,$N1960))</f>
        <v/>
      </c>
      <c r="K1960" s="28" t="str">
        <f>IF($N1960="","",IF(OR(I1960="",J1960=""),"",J1960-I1960))</f>
        <v/>
      </c>
      <c r="L1960" s="29" t="str">
        <f>IF($N1960="","",INDEX('_calc'!$J$2:$J$3001,$N1960))</f>
        <v/>
      </c>
      <c r="M1960" s="2" t="str">
        <f>IF($N1960="","",IF(AND(G1960=0,H1960=0),"수량 없음",IF(G1960=0,"신규 (전년 수량 없음)",IF(H1960=0,"당해 수량 없음",""))))</f>
        <v/>
      </c>
      <c r="N1960" t="str">
        <f>IF($B1960="","",MATCH($B1960,'_calc'!$L$2:$L$3001,0))</f>
        <v/>
      </c>
    </row>
    <row r="1961">
      <c r="B1961" s="24" t="str">
        <f>IF(ROW()-ROW($B$8)&gt;nComp,"",ROW()-ROW($B$8))</f>
        <v/>
      </c>
      <c r="C1961" t="str">
        <f>IF($N1961="","",INDEX('_calc'!$A$2:$A$3001,$N1961))</f>
        <v/>
      </c>
      <c r="D1961" s="25" t="str">
        <f>IF($N1961="","",INDEX('_calc'!$C$2:$C$3001,$N1961))</f>
        <v/>
      </c>
      <c r="E1961" s="25" t="str">
        <f>IF($N1961="","",INDEX('_calc'!$D$2:$D$3001,$N1961))</f>
        <v/>
      </c>
      <c r="F1961" s="26" t="str">
        <f>IF($N1961="","",IF($E$8=0,"",E1961/$E$8))</f>
        <v/>
      </c>
      <c r="G1961" s="25" t="str">
        <f>IF($N1961="","",INDEX('_calc'!$E$2:$E$3001,$N1961))</f>
        <v/>
      </c>
      <c r="H1961" s="25" t="str">
        <f>IF($N1961="","",INDEX('_calc'!$F$2:$F$3001,$N1961))</f>
        <v/>
      </c>
      <c r="I1961" s="27" t="str">
        <f>IF($N1961="","",INDEX('_calc'!$H$2:$H$3001,$N1961))</f>
        <v/>
      </c>
      <c r="J1961" s="27" t="str">
        <f>IF($N1961="","",INDEX('_calc'!$I$2:$I$3001,$N1961))</f>
        <v/>
      </c>
      <c r="K1961" s="28" t="str">
        <f>IF($N1961="","",IF(OR(I1961="",J1961=""),"",J1961-I1961))</f>
        <v/>
      </c>
      <c r="L1961" s="29" t="str">
        <f>IF($N1961="","",INDEX('_calc'!$J$2:$J$3001,$N1961))</f>
        <v/>
      </c>
      <c r="M1961" s="2" t="str">
        <f>IF($N1961="","",IF(AND(G1961=0,H1961=0),"수량 없음",IF(G1961=0,"신규 (전년 수량 없음)",IF(H1961=0,"당해 수량 없음",""))))</f>
        <v/>
      </c>
      <c r="N1961" t="str">
        <f>IF($B1961="","",MATCH($B1961,'_calc'!$L$2:$L$3001,0))</f>
        <v/>
      </c>
    </row>
    <row r="1962">
      <c r="B1962" s="24" t="str">
        <f>IF(ROW()-ROW($B$8)&gt;nComp,"",ROW()-ROW($B$8))</f>
        <v/>
      </c>
      <c r="C1962" t="str">
        <f>IF($N1962="","",INDEX('_calc'!$A$2:$A$3001,$N1962))</f>
        <v/>
      </c>
      <c r="D1962" s="25" t="str">
        <f>IF($N1962="","",INDEX('_calc'!$C$2:$C$3001,$N1962))</f>
        <v/>
      </c>
      <c r="E1962" s="25" t="str">
        <f>IF($N1962="","",INDEX('_calc'!$D$2:$D$3001,$N1962))</f>
        <v/>
      </c>
      <c r="F1962" s="26" t="str">
        <f>IF($N1962="","",IF($E$8=0,"",E1962/$E$8))</f>
        <v/>
      </c>
      <c r="G1962" s="25" t="str">
        <f>IF($N1962="","",INDEX('_calc'!$E$2:$E$3001,$N1962))</f>
        <v/>
      </c>
      <c r="H1962" s="25" t="str">
        <f>IF($N1962="","",INDEX('_calc'!$F$2:$F$3001,$N1962))</f>
        <v/>
      </c>
      <c r="I1962" s="27" t="str">
        <f>IF($N1962="","",INDEX('_calc'!$H$2:$H$3001,$N1962))</f>
        <v/>
      </c>
      <c r="J1962" s="27" t="str">
        <f>IF($N1962="","",INDEX('_calc'!$I$2:$I$3001,$N1962))</f>
        <v/>
      </c>
      <c r="K1962" s="28" t="str">
        <f>IF($N1962="","",IF(OR(I1962="",J1962=""),"",J1962-I1962))</f>
        <v/>
      </c>
      <c r="L1962" s="29" t="str">
        <f>IF($N1962="","",INDEX('_calc'!$J$2:$J$3001,$N1962))</f>
        <v/>
      </c>
      <c r="M1962" s="2" t="str">
        <f>IF($N1962="","",IF(AND(G1962=0,H1962=0),"수량 없음",IF(G1962=0,"신규 (전년 수량 없음)",IF(H1962=0,"당해 수량 없음",""))))</f>
        <v/>
      </c>
      <c r="N1962" t="str">
        <f>IF($B1962="","",MATCH($B1962,'_calc'!$L$2:$L$3001,0))</f>
        <v/>
      </c>
    </row>
    <row r="1963">
      <c r="B1963" s="24" t="str">
        <f>IF(ROW()-ROW($B$8)&gt;nComp,"",ROW()-ROW($B$8))</f>
        <v/>
      </c>
      <c r="C1963" t="str">
        <f>IF($N1963="","",INDEX('_calc'!$A$2:$A$3001,$N1963))</f>
        <v/>
      </c>
      <c r="D1963" s="25" t="str">
        <f>IF($N1963="","",INDEX('_calc'!$C$2:$C$3001,$N1963))</f>
        <v/>
      </c>
      <c r="E1963" s="25" t="str">
        <f>IF($N1963="","",INDEX('_calc'!$D$2:$D$3001,$N1963))</f>
        <v/>
      </c>
      <c r="F1963" s="26" t="str">
        <f>IF($N1963="","",IF($E$8=0,"",E1963/$E$8))</f>
        <v/>
      </c>
      <c r="G1963" s="25" t="str">
        <f>IF($N1963="","",INDEX('_calc'!$E$2:$E$3001,$N1963))</f>
        <v/>
      </c>
      <c r="H1963" s="25" t="str">
        <f>IF($N1963="","",INDEX('_calc'!$F$2:$F$3001,$N1963))</f>
        <v/>
      </c>
      <c r="I1963" s="27" t="str">
        <f>IF($N1963="","",INDEX('_calc'!$H$2:$H$3001,$N1963))</f>
        <v/>
      </c>
      <c r="J1963" s="27" t="str">
        <f>IF($N1963="","",INDEX('_calc'!$I$2:$I$3001,$N1963))</f>
        <v/>
      </c>
      <c r="K1963" s="28" t="str">
        <f>IF($N1963="","",IF(OR(I1963="",J1963=""),"",J1963-I1963))</f>
        <v/>
      </c>
      <c r="L1963" s="29" t="str">
        <f>IF($N1963="","",INDEX('_calc'!$J$2:$J$3001,$N1963))</f>
        <v/>
      </c>
      <c r="M1963" s="2" t="str">
        <f>IF($N1963="","",IF(AND(G1963=0,H1963=0),"수량 없음",IF(G1963=0,"신규 (전년 수량 없음)",IF(H1963=0,"당해 수량 없음",""))))</f>
        <v/>
      </c>
      <c r="N1963" t="str">
        <f>IF($B1963="","",MATCH($B1963,'_calc'!$L$2:$L$3001,0))</f>
        <v/>
      </c>
    </row>
    <row r="1964">
      <c r="B1964" s="24" t="str">
        <f>IF(ROW()-ROW($B$8)&gt;nComp,"",ROW()-ROW($B$8))</f>
        <v/>
      </c>
      <c r="C1964" t="str">
        <f>IF($N1964="","",INDEX('_calc'!$A$2:$A$3001,$N1964))</f>
        <v/>
      </c>
      <c r="D1964" s="25" t="str">
        <f>IF($N1964="","",INDEX('_calc'!$C$2:$C$3001,$N1964))</f>
        <v/>
      </c>
      <c r="E1964" s="25" t="str">
        <f>IF($N1964="","",INDEX('_calc'!$D$2:$D$3001,$N1964))</f>
        <v/>
      </c>
      <c r="F1964" s="26" t="str">
        <f>IF($N1964="","",IF($E$8=0,"",E1964/$E$8))</f>
        <v/>
      </c>
      <c r="G1964" s="25" t="str">
        <f>IF($N1964="","",INDEX('_calc'!$E$2:$E$3001,$N1964))</f>
        <v/>
      </c>
      <c r="H1964" s="25" t="str">
        <f>IF($N1964="","",INDEX('_calc'!$F$2:$F$3001,$N1964))</f>
        <v/>
      </c>
      <c r="I1964" s="27" t="str">
        <f>IF($N1964="","",INDEX('_calc'!$H$2:$H$3001,$N1964))</f>
        <v/>
      </c>
      <c r="J1964" s="27" t="str">
        <f>IF($N1964="","",INDEX('_calc'!$I$2:$I$3001,$N1964))</f>
        <v/>
      </c>
      <c r="K1964" s="28" t="str">
        <f>IF($N1964="","",IF(OR(I1964="",J1964=""),"",J1964-I1964))</f>
        <v/>
      </c>
      <c r="L1964" s="29" t="str">
        <f>IF($N1964="","",INDEX('_calc'!$J$2:$J$3001,$N1964))</f>
        <v/>
      </c>
      <c r="M1964" s="2" t="str">
        <f>IF($N1964="","",IF(AND(G1964=0,H1964=0),"수량 없음",IF(G1964=0,"신규 (전년 수량 없음)",IF(H1964=0,"당해 수량 없음",""))))</f>
        <v/>
      </c>
      <c r="N1964" t="str">
        <f>IF($B1964="","",MATCH($B1964,'_calc'!$L$2:$L$3001,0))</f>
        <v/>
      </c>
    </row>
    <row r="1965">
      <c r="B1965" s="24" t="str">
        <f>IF(ROW()-ROW($B$8)&gt;nComp,"",ROW()-ROW($B$8))</f>
        <v/>
      </c>
      <c r="C1965" t="str">
        <f>IF($N1965="","",INDEX('_calc'!$A$2:$A$3001,$N1965))</f>
        <v/>
      </c>
      <c r="D1965" s="25" t="str">
        <f>IF($N1965="","",INDEX('_calc'!$C$2:$C$3001,$N1965))</f>
        <v/>
      </c>
      <c r="E1965" s="25" t="str">
        <f>IF($N1965="","",INDEX('_calc'!$D$2:$D$3001,$N1965))</f>
        <v/>
      </c>
      <c r="F1965" s="26" t="str">
        <f>IF($N1965="","",IF($E$8=0,"",E1965/$E$8))</f>
        <v/>
      </c>
      <c r="G1965" s="25" t="str">
        <f>IF($N1965="","",INDEX('_calc'!$E$2:$E$3001,$N1965))</f>
        <v/>
      </c>
      <c r="H1965" s="25" t="str">
        <f>IF($N1965="","",INDEX('_calc'!$F$2:$F$3001,$N1965))</f>
        <v/>
      </c>
      <c r="I1965" s="27" t="str">
        <f>IF($N1965="","",INDEX('_calc'!$H$2:$H$3001,$N1965))</f>
        <v/>
      </c>
      <c r="J1965" s="27" t="str">
        <f>IF($N1965="","",INDEX('_calc'!$I$2:$I$3001,$N1965))</f>
        <v/>
      </c>
      <c r="K1965" s="28" t="str">
        <f>IF($N1965="","",IF(OR(I1965="",J1965=""),"",J1965-I1965))</f>
        <v/>
      </c>
      <c r="L1965" s="29" t="str">
        <f>IF($N1965="","",INDEX('_calc'!$J$2:$J$3001,$N1965))</f>
        <v/>
      </c>
      <c r="M1965" s="2" t="str">
        <f>IF($N1965="","",IF(AND(G1965=0,H1965=0),"수량 없음",IF(G1965=0,"신규 (전년 수량 없음)",IF(H1965=0,"당해 수량 없음",""))))</f>
        <v/>
      </c>
      <c r="N1965" t="str">
        <f>IF($B1965="","",MATCH($B1965,'_calc'!$L$2:$L$3001,0))</f>
        <v/>
      </c>
    </row>
    <row r="1966">
      <c r="B1966" s="24" t="str">
        <f>IF(ROW()-ROW($B$8)&gt;nComp,"",ROW()-ROW($B$8))</f>
        <v/>
      </c>
      <c r="C1966" t="str">
        <f>IF($N1966="","",INDEX('_calc'!$A$2:$A$3001,$N1966))</f>
        <v/>
      </c>
      <c r="D1966" s="25" t="str">
        <f>IF($N1966="","",INDEX('_calc'!$C$2:$C$3001,$N1966))</f>
        <v/>
      </c>
      <c r="E1966" s="25" t="str">
        <f>IF($N1966="","",INDEX('_calc'!$D$2:$D$3001,$N1966))</f>
        <v/>
      </c>
      <c r="F1966" s="26" t="str">
        <f>IF($N1966="","",IF($E$8=0,"",E1966/$E$8))</f>
        <v/>
      </c>
      <c r="G1966" s="25" t="str">
        <f>IF($N1966="","",INDEX('_calc'!$E$2:$E$3001,$N1966))</f>
        <v/>
      </c>
      <c r="H1966" s="25" t="str">
        <f>IF($N1966="","",INDEX('_calc'!$F$2:$F$3001,$N1966))</f>
        <v/>
      </c>
      <c r="I1966" s="27" t="str">
        <f>IF($N1966="","",INDEX('_calc'!$H$2:$H$3001,$N1966))</f>
        <v/>
      </c>
      <c r="J1966" s="27" t="str">
        <f>IF($N1966="","",INDEX('_calc'!$I$2:$I$3001,$N1966))</f>
        <v/>
      </c>
      <c r="K1966" s="28" t="str">
        <f>IF($N1966="","",IF(OR(I1966="",J1966=""),"",J1966-I1966))</f>
        <v/>
      </c>
      <c r="L1966" s="29" t="str">
        <f>IF($N1966="","",INDEX('_calc'!$J$2:$J$3001,$N1966))</f>
        <v/>
      </c>
      <c r="M1966" s="2" t="str">
        <f>IF($N1966="","",IF(AND(G1966=0,H1966=0),"수량 없음",IF(G1966=0,"신규 (전년 수량 없음)",IF(H1966=0,"당해 수량 없음",""))))</f>
        <v/>
      </c>
      <c r="N1966" t="str">
        <f>IF($B1966="","",MATCH($B1966,'_calc'!$L$2:$L$3001,0))</f>
        <v/>
      </c>
    </row>
    <row r="1967">
      <c r="B1967" s="24" t="str">
        <f>IF(ROW()-ROW($B$8)&gt;nComp,"",ROW()-ROW($B$8))</f>
        <v/>
      </c>
      <c r="C1967" t="str">
        <f>IF($N1967="","",INDEX('_calc'!$A$2:$A$3001,$N1967))</f>
        <v/>
      </c>
      <c r="D1967" s="25" t="str">
        <f>IF($N1967="","",INDEX('_calc'!$C$2:$C$3001,$N1967))</f>
        <v/>
      </c>
      <c r="E1967" s="25" t="str">
        <f>IF($N1967="","",INDEX('_calc'!$D$2:$D$3001,$N1967))</f>
        <v/>
      </c>
      <c r="F1967" s="26" t="str">
        <f>IF($N1967="","",IF($E$8=0,"",E1967/$E$8))</f>
        <v/>
      </c>
      <c r="G1967" s="25" t="str">
        <f>IF($N1967="","",INDEX('_calc'!$E$2:$E$3001,$N1967))</f>
        <v/>
      </c>
      <c r="H1967" s="25" t="str">
        <f>IF($N1967="","",INDEX('_calc'!$F$2:$F$3001,$N1967))</f>
        <v/>
      </c>
      <c r="I1967" s="27" t="str">
        <f>IF($N1967="","",INDEX('_calc'!$H$2:$H$3001,$N1967))</f>
        <v/>
      </c>
      <c r="J1967" s="27" t="str">
        <f>IF($N1967="","",INDEX('_calc'!$I$2:$I$3001,$N1967))</f>
        <v/>
      </c>
      <c r="K1967" s="28" t="str">
        <f>IF($N1967="","",IF(OR(I1967="",J1967=""),"",J1967-I1967))</f>
        <v/>
      </c>
      <c r="L1967" s="29" t="str">
        <f>IF($N1967="","",INDEX('_calc'!$J$2:$J$3001,$N1967))</f>
        <v/>
      </c>
      <c r="M1967" s="2" t="str">
        <f>IF($N1967="","",IF(AND(G1967=0,H1967=0),"수량 없음",IF(G1967=0,"신규 (전년 수량 없음)",IF(H1967=0,"당해 수량 없음",""))))</f>
        <v/>
      </c>
      <c r="N1967" t="str">
        <f>IF($B1967="","",MATCH($B1967,'_calc'!$L$2:$L$3001,0))</f>
        <v/>
      </c>
    </row>
    <row r="1968">
      <c r="B1968" s="24" t="str">
        <f>IF(ROW()-ROW($B$8)&gt;nComp,"",ROW()-ROW($B$8))</f>
        <v/>
      </c>
      <c r="C1968" t="str">
        <f>IF($N1968="","",INDEX('_calc'!$A$2:$A$3001,$N1968))</f>
        <v/>
      </c>
      <c r="D1968" s="25" t="str">
        <f>IF($N1968="","",INDEX('_calc'!$C$2:$C$3001,$N1968))</f>
        <v/>
      </c>
      <c r="E1968" s="25" t="str">
        <f>IF($N1968="","",INDEX('_calc'!$D$2:$D$3001,$N1968))</f>
        <v/>
      </c>
      <c r="F1968" s="26" t="str">
        <f>IF($N1968="","",IF($E$8=0,"",E1968/$E$8))</f>
        <v/>
      </c>
      <c r="G1968" s="25" t="str">
        <f>IF($N1968="","",INDEX('_calc'!$E$2:$E$3001,$N1968))</f>
        <v/>
      </c>
      <c r="H1968" s="25" t="str">
        <f>IF($N1968="","",INDEX('_calc'!$F$2:$F$3001,$N1968))</f>
        <v/>
      </c>
      <c r="I1968" s="27" t="str">
        <f>IF($N1968="","",INDEX('_calc'!$H$2:$H$3001,$N1968))</f>
        <v/>
      </c>
      <c r="J1968" s="27" t="str">
        <f>IF($N1968="","",INDEX('_calc'!$I$2:$I$3001,$N1968))</f>
        <v/>
      </c>
      <c r="K1968" s="28" t="str">
        <f>IF($N1968="","",IF(OR(I1968="",J1968=""),"",J1968-I1968))</f>
        <v/>
      </c>
      <c r="L1968" s="29" t="str">
        <f>IF($N1968="","",INDEX('_calc'!$J$2:$J$3001,$N1968))</f>
        <v/>
      </c>
      <c r="M1968" s="2" t="str">
        <f>IF($N1968="","",IF(AND(G1968=0,H1968=0),"수량 없음",IF(G1968=0,"신규 (전년 수량 없음)",IF(H1968=0,"당해 수량 없음",""))))</f>
        <v/>
      </c>
      <c r="N1968" t="str">
        <f>IF($B1968="","",MATCH($B1968,'_calc'!$L$2:$L$3001,0))</f>
        <v/>
      </c>
    </row>
    <row r="1969">
      <c r="B1969" s="24" t="str">
        <f>IF(ROW()-ROW($B$8)&gt;nComp,"",ROW()-ROW($B$8))</f>
        <v/>
      </c>
      <c r="C1969" t="str">
        <f>IF($N1969="","",INDEX('_calc'!$A$2:$A$3001,$N1969))</f>
        <v/>
      </c>
      <c r="D1969" s="25" t="str">
        <f>IF($N1969="","",INDEX('_calc'!$C$2:$C$3001,$N1969))</f>
        <v/>
      </c>
      <c r="E1969" s="25" t="str">
        <f>IF($N1969="","",INDEX('_calc'!$D$2:$D$3001,$N1969))</f>
        <v/>
      </c>
      <c r="F1969" s="26" t="str">
        <f>IF($N1969="","",IF($E$8=0,"",E1969/$E$8))</f>
        <v/>
      </c>
      <c r="G1969" s="25" t="str">
        <f>IF($N1969="","",INDEX('_calc'!$E$2:$E$3001,$N1969))</f>
        <v/>
      </c>
      <c r="H1969" s="25" t="str">
        <f>IF($N1969="","",INDEX('_calc'!$F$2:$F$3001,$N1969))</f>
        <v/>
      </c>
      <c r="I1969" s="27" t="str">
        <f>IF($N1969="","",INDEX('_calc'!$H$2:$H$3001,$N1969))</f>
        <v/>
      </c>
      <c r="J1969" s="27" t="str">
        <f>IF($N1969="","",INDEX('_calc'!$I$2:$I$3001,$N1969))</f>
        <v/>
      </c>
      <c r="K1969" s="28" t="str">
        <f>IF($N1969="","",IF(OR(I1969="",J1969=""),"",J1969-I1969))</f>
        <v/>
      </c>
      <c r="L1969" s="29" t="str">
        <f>IF($N1969="","",INDEX('_calc'!$J$2:$J$3001,$N1969))</f>
        <v/>
      </c>
      <c r="M1969" s="2" t="str">
        <f>IF($N1969="","",IF(AND(G1969=0,H1969=0),"수량 없음",IF(G1969=0,"신규 (전년 수량 없음)",IF(H1969=0,"당해 수량 없음",""))))</f>
        <v/>
      </c>
      <c r="N1969" t="str">
        <f>IF($B1969="","",MATCH($B1969,'_calc'!$L$2:$L$3001,0))</f>
        <v/>
      </c>
    </row>
    <row r="1970">
      <c r="B1970" s="24" t="str">
        <f>IF(ROW()-ROW($B$8)&gt;nComp,"",ROW()-ROW($B$8))</f>
        <v/>
      </c>
      <c r="C1970" t="str">
        <f>IF($N1970="","",INDEX('_calc'!$A$2:$A$3001,$N1970))</f>
        <v/>
      </c>
      <c r="D1970" s="25" t="str">
        <f>IF($N1970="","",INDEX('_calc'!$C$2:$C$3001,$N1970))</f>
        <v/>
      </c>
      <c r="E1970" s="25" t="str">
        <f>IF($N1970="","",INDEX('_calc'!$D$2:$D$3001,$N1970))</f>
        <v/>
      </c>
      <c r="F1970" s="26" t="str">
        <f>IF($N1970="","",IF($E$8=0,"",E1970/$E$8))</f>
        <v/>
      </c>
      <c r="G1970" s="25" t="str">
        <f>IF($N1970="","",INDEX('_calc'!$E$2:$E$3001,$N1970))</f>
        <v/>
      </c>
      <c r="H1970" s="25" t="str">
        <f>IF($N1970="","",INDEX('_calc'!$F$2:$F$3001,$N1970))</f>
        <v/>
      </c>
      <c r="I1970" s="27" t="str">
        <f>IF($N1970="","",INDEX('_calc'!$H$2:$H$3001,$N1970))</f>
        <v/>
      </c>
      <c r="J1970" s="27" t="str">
        <f>IF($N1970="","",INDEX('_calc'!$I$2:$I$3001,$N1970))</f>
        <v/>
      </c>
      <c r="K1970" s="28" t="str">
        <f>IF($N1970="","",IF(OR(I1970="",J1970=""),"",J1970-I1970))</f>
        <v/>
      </c>
      <c r="L1970" s="29" t="str">
        <f>IF($N1970="","",INDEX('_calc'!$J$2:$J$3001,$N1970))</f>
        <v/>
      </c>
      <c r="M1970" s="2" t="str">
        <f>IF($N1970="","",IF(AND(G1970=0,H1970=0),"수량 없음",IF(G1970=0,"신규 (전년 수량 없음)",IF(H1970=0,"당해 수량 없음",""))))</f>
        <v/>
      </c>
      <c r="N1970" t="str">
        <f>IF($B1970="","",MATCH($B1970,'_calc'!$L$2:$L$3001,0))</f>
        <v/>
      </c>
    </row>
    <row r="1971">
      <c r="B1971" s="24" t="str">
        <f>IF(ROW()-ROW($B$8)&gt;nComp,"",ROW()-ROW($B$8))</f>
        <v/>
      </c>
      <c r="C1971" t="str">
        <f>IF($N1971="","",INDEX('_calc'!$A$2:$A$3001,$N1971))</f>
        <v/>
      </c>
      <c r="D1971" s="25" t="str">
        <f>IF($N1971="","",INDEX('_calc'!$C$2:$C$3001,$N1971))</f>
        <v/>
      </c>
      <c r="E1971" s="25" t="str">
        <f>IF($N1971="","",INDEX('_calc'!$D$2:$D$3001,$N1971))</f>
        <v/>
      </c>
      <c r="F1971" s="26" t="str">
        <f>IF($N1971="","",IF($E$8=0,"",E1971/$E$8))</f>
        <v/>
      </c>
      <c r="G1971" s="25" t="str">
        <f>IF($N1971="","",INDEX('_calc'!$E$2:$E$3001,$N1971))</f>
        <v/>
      </c>
      <c r="H1971" s="25" t="str">
        <f>IF($N1971="","",INDEX('_calc'!$F$2:$F$3001,$N1971))</f>
        <v/>
      </c>
      <c r="I1971" s="27" t="str">
        <f>IF($N1971="","",INDEX('_calc'!$H$2:$H$3001,$N1971))</f>
        <v/>
      </c>
      <c r="J1971" s="27" t="str">
        <f>IF($N1971="","",INDEX('_calc'!$I$2:$I$3001,$N1971))</f>
        <v/>
      </c>
      <c r="K1971" s="28" t="str">
        <f>IF($N1971="","",IF(OR(I1971="",J1971=""),"",J1971-I1971))</f>
        <v/>
      </c>
      <c r="L1971" s="29" t="str">
        <f>IF($N1971="","",INDEX('_calc'!$J$2:$J$3001,$N1971))</f>
        <v/>
      </c>
      <c r="M1971" s="2" t="str">
        <f>IF($N1971="","",IF(AND(G1971=0,H1971=0),"수량 없음",IF(G1971=0,"신규 (전년 수량 없음)",IF(H1971=0,"당해 수량 없음",""))))</f>
        <v/>
      </c>
      <c r="N1971" t="str">
        <f>IF($B1971="","",MATCH($B1971,'_calc'!$L$2:$L$3001,0))</f>
        <v/>
      </c>
    </row>
    <row r="1972">
      <c r="B1972" s="24" t="str">
        <f>IF(ROW()-ROW($B$8)&gt;nComp,"",ROW()-ROW($B$8))</f>
        <v/>
      </c>
      <c r="C1972" t="str">
        <f>IF($N1972="","",INDEX('_calc'!$A$2:$A$3001,$N1972))</f>
        <v/>
      </c>
      <c r="D1972" s="25" t="str">
        <f>IF($N1972="","",INDEX('_calc'!$C$2:$C$3001,$N1972))</f>
        <v/>
      </c>
      <c r="E1972" s="25" t="str">
        <f>IF($N1972="","",INDEX('_calc'!$D$2:$D$3001,$N1972))</f>
        <v/>
      </c>
      <c r="F1972" s="26" t="str">
        <f>IF($N1972="","",IF($E$8=0,"",E1972/$E$8))</f>
        <v/>
      </c>
      <c r="G1972" s="25" t="str">
        <f>IF($N1972="","",INDEX('_calc'!$E$2:$E$3001,$N1972))</f>
        <v/>
      </c>
      <c r="H1972" s="25" t="str">
        <f>IF($N1972="","",INDEX('_calc'!$F$2:$F$3001,$N1972))</f>
        <v/>
      </c>
      <c r="I1972" s="27" t="str">
        <f>IF($N1972="","",INDEX('_calc'!$H$2:$H$3001,$N1972))</f>
        <v/>
      </c>
      <c r="J1972" s="27" t="str">
        <f>IF($N1972="","",INDEX('_calc'!$I$2:$I$3001,$N1972))</f>
        <v/>
      </c>
      <c r="K1972" s="28" t="str">
        <f>IF($N1972="","",IF(OR(I1972="",J1972=""),"",J1972-I1972))</f>
        <v/>
      </c>
      <c r="L1972" s="29" t="str">
        <f>IF($N1972="","",INDEX('_calc'!$J$2:$J$3001,$N1972))</f>
        <v/>
      </c>
      <c r="M1972" s="2" t="str">
        <f>IF($N1972="","",IF(AND(G1972=0,H1972=0),"수량 없음",IF(G1972=0,"신규 (전년 수량 없음)",IF(H1972=0,"당해 수량 없음",""))))</f>
        <v/>
      </c>
      <c r="N1972" t="str">
        <f>IF($B1972="","",MATCH($B1972,'_calc'!$L$2:$L$3001,0))</f>
        <v/>
      </c>
    </row>
    <row r="1973">
      <c r="B1973" s="24" t="str">
        <f>IF(ROW()-ROW($B$8)&gt;nComp,"",ROW()-ROW($B$8))</f>
        <v/>
      </c>
      <c r="C1973" t="str">
        <f>IF($N1973="","",INDEX('_calc'!$A$2:$A$3001,$N1973))</f>
        <v/>
      </c>
      <c r="D1973" s="25" t="str">
        <f>IF($N1973="","",INDEX('_calc'!$C$2:$C$3001,$N1973))</f>
        <v/>
      </c>
      <c r="E1973" s="25" t="str">
        <f>IF($N1973="","",INDEX('_calc'!$D$2:$D$3001,$N1973))</f>
        <v/>
      </c>
      <c r="F1973" s="26" t="str">
        <f>IF($N1973="","",IF($E$8=0,"",E1973/$E$8))</f>
        <v/>
      </c>
      <c r="G1973" s="25" t="str">
        <f>IF($N1973="","",INDEX('_calc'!$E$2:$E$3001,$N1973))</f>
        <v/>
      </c>
      <c r="H1973" s="25" t="str">
        <f>IF($N1973="","",INDEX('_calc'!$F$2:$F$3001,$N1973))</f>
        <v/>
      </c>
      <c r="I1973" s="27" t="str">
        <f>IF($N1973="","",INDEX('_calc'!$H$2:$H$3001,$N1973))</f>
        <v/>
      </c>
      <c r="J1973" s="27" t="str">
        <f>IF($N1973="","",INDEX('_calc'!$I$2:$I$3001,$N1973))</f>
        <v/>
      </c>
      <c r="K1973" s="28" t="str">
        <f>IF($N1973="","",IF(OR(I1973="",J1973=""),"",J1973-I1973))</f>
        <v/>
      </c>
      <c r="L1973" s="29" t="str">
        <f>IF($N1973="","",INDEX('_calc'!$J$2:$J$3001,$N1973))</f>
        <v/>
      </c>
      <c r="M1973" s="2" t="str">
        <f>IF($N1973="","",IF(AND(G1973=0,H1973=0),"수량 없음",IF(G1973=0,"신규 (전년 수량 없음)",IF(H1973=0,"당해 수량 없음",""))))</f>
        <v/>
      </c>
      <c r="N1973" t="str">
        <f>IF($B1973="","",MATCH($B1973,'_calc'!$L$2:$L$3001,0))</f>
        <v/>
      </c>
    </row>
    <row r="1974">
      <c r="B1974" s="24" t="str">
        <f>IF(ROW()-ROW($B$8)&gt;nComp,"",ROW()-ROW($B$8))</f>
        <v/>
      </c>
      <c r="C1974" t="str">
        <f>IF($N1974="","",INDEX('_calc'!$A$2:$A$3001,$N1974))</f>
        <v/>
      </c>
      <c r="D1974" s="25" t="str">
        <f>IF($N1974="","",INDEX('_calc'!$C$2:$C$3001,$N1974))</f>
        <v/>
      </c>
      <c r="E1974" s="25" t="str">
        <f>IF($N1974="","",INDEX('_calc'!$D$2:$D$3001,$N1974))</f>
        <v/>
      </c>
      <c r="F1974" s="26" t="str">
        <f>IF($N1974="","",IF($E$8=0,"",E1974/$E$8))</f>
        <v/>
      </c>
      <c r="G1974" s="25" t="str">
        <f>IF($N1974="","",INDEX('_calc'!$E$2:$E$3001,$N1974))</f>
        <v/>
      </c>
      <c r="H1974" s="25" t="str">
        <f>IF($N1974="","",INDEX('_calc'!$F$2:$F$3001,$N1974))</f>
        <v/>
      </c>
      <c r="I1974" s="27" t="str">
        <f>IF($N1974="","",INDEX('_calc'!$H$2:$H$3001,$N1974))</f>
        <v/>
      </c>
      <c r="J1974" s="27" t="str">
        <f>IF($N1974="","",INDEX('_calc'!$I$2:$I$3001,$N1974))</f>
        <v/>
      </c>
      <c r="K1974" s="28" t="str">
        <f>IF($N1974="","",IF(OR(I1974="",J1974=""),"",J1974-I1974))</f>
        <v/>
      </c>
      <c r="L1974" s="29" t="str">
        <f>IF($N1974="","",INDEX('_calc'!$J$2:$J$3001,$N1974))</f>
        <v/>
      </c>
      <c r="M1974" s="2" t="str">
        <f>IF($N1974="","",IF(AND(G1974=0,H1974=0),"수량 없음",IF(G1974=0,"신규 (전년 수량 없음)",IF(H1974=0,"당해 수량 없음",""))))</f>
        <v/>
      </c>
      <c r="N1974" t="str">
        <f>IF($B1974="","",MATCH($B1974,'_calc'!$L$2:$L$3001,0))</f>
        <v/>
      </c>
    </row>
    <row r="1975">
      <c r="B1975" s="24" t="str">
        <f>IF(ROW()-ROW($B$8)&gt;nComp,"",ROW()-ROW($B$8))</f>
        <v/>
      </c>
      <c r="C1975" t="str">
        <f>IF($N1975="","",INDEX('_calc'!$A$2:$A$3001,$N1975))</f>
        <v/>
      </c>
      <c r="D1975" s="25" t="str">
        <f>IF($N1975="","",INDEX('_calc'!$C$2:$C$3001,$N1975))</f>
        <v/>
      </c>
      <c r="E1975" s="25" t="str">
        <f>IF($N1975="","",INDEX('_calc'!$D$2:$D$3001,$N1975))</f>
        <v/>
      </c>
      <c r="F1975" s="26" t="str">
        <f>IF($N1975="","",IF($E$8=0,"",E1975/$E$8))</f>
        <v/>
      </c>
      <c r="G1975" s="25" t="str">
        <f>IF($N1975="","",INDEX('_calc'!$E$2:$E$3001,$N1975))</f>
        <v/>
      </c>
      <c r="H1975" s="25" t="str">
        <f>IF($N1975="","",INDEX('_calc'!$F$2:$F$3001,$N1975))</f>
        <v/>
      </c>
      <c r="I1975" s="27" t="str">
        <f>IF($N1975="","",INDEX('_calc'!$H$2:$H$3001,$N1975))</f>
        <v/>
      </c>
      <c r="J1975" s="27" t="str">
        <f>IF($N1975="","",INDEX('_calc'!$I$2:$I$3001,$N1975))</f>
        <v/>
      </c>
      <c r="K1975" s="28" t="str">
        <f>IF($N1975="","",IF(OR(I1975="",J1975=""),"",J1975-I1975))</f>
        <v/>
      </c>
      <c r="L1975" s="29" t="str">
        <f>IF($N1975="","",INDEX('_calc'!$J$2:$J$3001,$N1975))</f>
        <v/>
      </c>
      <c r="M1975" s="2" t="str">
        <f>IF($N1975="","",IF(AND(G1975=0,H1975=0),"수량 없음",IF(G1975=0,"신규 (전년 수량 없음)",IF(H1975=0,"당해 수량 없음",""))))</f>
        <v/>
      </c>
      <c r="N1975" t="str">
        <f>IF($B1975="","",MATCH($B1975,'_calc'!$L$2:$L$3001,0))</f>
        <v/>
      </c>
    </row>
    <row r="1976">
      <c r="B1976" s="24" t="str">
        <f>IF(ROW()-ROW($B$8)&gt;nComp,"",ROW()-ROW($B$8))</f>
        <v/>
      </c>
      <c r="C1976" t="str">
        <f>IF($N1976="","",INDEX('_calc'!$A$2:$A$3001,$N1976))</f>
        <v/>
      </c>
      <c r="D1976" s="25" t="str">
        <f>IF($N1976="","",INDEX('_calc'!$C$2:$C$3001,$N1976))</f>
        <v/>
      </c>
      <c r="E1976" s="25" t="str">
        <f>IF($N1976="","",INDEX('_calc'!$D$2:$D$3001,$N1976))</f>
        <v/>
      </c>
      <c r="F1976" s="26" t="str">
        <f>IF($N1976="","",IF($E$8=0,"",E1976/$E$8))</f>
        <v/>
      </c>
      <c r="G1976" s="25" t="str">
        <f>IF($N1976="","",INDEX('_calc'!$E$2:$E$3001,$N1976))</f>
        <v/>
      </c>
      <c r="H1976" s="25" t="str">
        <f>IF($N1976="","",INDEX('_calc'!$F$2:$F$3001,$N1976))</f>
        <v/>
      </c>
      <c r="I1976" s="27" t="str">
        <f>IF($N1976="","",INDEX('_calc'!$H$2:$H$3001,$N1976))</f>
        <v/>
      </c>
      <c r="J1976" s="27" t="str">
        <f>IF($N1976="","",INDEX('_calc'!$I$2:$I$3001,$N1976))</f>
        <v/>
      </c>
      <c r="K1976" s="28" t="str">
        <f>IF($N1976="","",IF(OR(I1976="",J1976=""),"",J1976-I1976))</f>
        <v/>
      </c>
      <c r="L1976" s="29" t="str">
        <f>IF($N1976="","",INDEX('_calc'!$J$2:$J$3001,$N1976))</f>
        <v/>
      </c>
      <c r="M1976" s="2" t="str">
        <f>IF($N1976="","",IF(AND(G1976=0,H1976=0),"수량 없음",IF(G1976=0,"신규 (전년 수량 없음)",IF(H1976=0,"당해 수량 없음",""))))</f>
        <v/>
      </c>
      <c r="N1976" t="str">
        <f>IF($B1976="","",MATCH($B1976,'_calc'!$L$2:$L$3001,0))</f>
        <v/>
      </c>
    </row>
    <row r="1977">
      <c r="B1977" s="24" t="str">
        <f>IF(ROW()-ROW($B$8)&gt;nComp,"",ROW()-ROW($B$8))</f>
        <v/>
      </c>
      <c r="C1977" t="str">
        <f>IF($N1977="","",INDEX('_calc'!$A$2:$A$3001,$N1977))</f>
        <v/>
      </c>
      <c r="D1977" s="25" t="str">
        <f>IF($N1977="","",INDEX('_calc'!$C$2:$C$3001,$N1977))</f>
        <v/>
      </c>
      <c r="E1977" s="25" t="str">
        <f>IF($N1977="","",INDEX('_calc'!$D$2:$D$3001,$N1977))</f>
        <v/>
      </c>
      <c r="F1977" s="26" t="str">
        <f>IF($N1977="","",IF($E$8=0,"",E1977/$E$8))</f>
        <v/>
      </c>
      <c r="G1977" s="25" t="str">
        <f>IF($N1977="","",INDEX('_calc'!$E$2:$E$3001,$N1977))</f>
        <v/>
      </c>
      <c r="H1977" s="25" t="str">
        <f>IF($N1977="","",INDEX('_calc'!$F$2:$F$3001,$N1977))</f>
        <v/>
      </c>
      <c r="I1977" s="27" t="str">
        <f>IF($N1977="","",INDEX('_calc'!$H$2:$H$3001,$N1977))</f>
        <v/>
      </c>
      <c r="J1977" s="27" t="str">
        <f>IF($N1977="","",INDEX('_calc'!$I$2:$I$3001,$N1977))</f>
        <v/>
      </c>
      <c r="K1977" s="28" t="str">
        <f>IF($N1977="","",IF(OR(I1977="",J1977=""),"",J1977-I1977))</f>
        <v/>
      </c>
      <c r="L1977" s="29" t="str">
        <f>IF($N1977="","",INDEX('_calc'!$J$2:$J$3001,$N1977))</f>
        <v/>
      </c>
      <c r="M1977" s="2" t="str">
        <f>IF($N1977="","",IF(AND(G1977=0,H1977=0),"수량 없음",IF(G1977=0,"신규 (전년 수량 없음)",IF(H1977=0,"당해 수량 없음",""))))</f>
        <v/>
      </c>
      <c r="N1977" t="str">
        <f>IF($B1977="","",MATCH($B1977,'_calc'!$L$2:$L$3001,0))</f>
        <v/>
      </c>
    </row>
    <row r="1978">
      <c r="B1978" s="24" t="str">
        <f>IF(ROW()-ROW($B$8)&gt;nComp,"",ROW()-ROW($B$8))</f>
        <v/>
      </c>
      <c r="C1978" t="str">
        <f>IF($N1978="","",INDEX('_calc'!$A$2:$A$3001,$N1978))</f>
        <v/>
      </c>
      <c r="D1978" s="25" t="str">
        <f>IF($N1978="","",INDEX('_calc'!$C$2:$C$3001,$N1978))</f>
        <v/>
      </c>
      <c r="E1978" s="25" t="str">
        <f>IF($N1978="","",INDEX('_calc'!$D$2:$D$3001,$N1978))</f>
        <v/>
      </c>
      <c r="F1978" s="26" t="str">
        <f>IF($N1978="","",IF($E$8=0,"",E1978/$E$8))</f>
        <v/>
      </c>
      <c r="G1978" s="25" t="str">
        <f>IF($N1978="","",INDEX('_calc'!$E$2:$E$3001,$N1978))</f>
        <v/>
      </c>
      <c r="H1978" s="25" t="str">
        <f>IF($N1978="","",INDEX('_calc'!$F$2:$F$3001,$N1978))</f>
        <v/>
      </c>
      <c r="I1978" s="27" t="str">
        <f>IF($N1978="","",INDEX('_calc'!$H$2:$H$3001,$N1978))</f>
        <v/>
      </c>
      <c r="J1978" s="27" t="str">
        <f>IF($N1978="","",INDEX('_calc'!$I$2:$I$3001,$N1978))</f>
        <v/>
      </c>
      <c r="K1978" s="28" t="str">
        <f>IF($N1978="","",IF(OR(I1978="",J1978=""),"",J1978-I1978))</f>
        <v/>
      </c>
      <c r="L1978" s="29" t="str">
        <f>IF($N1978="","",INDEX('_calc'!$J$2:$J$3001,$N1978))</f>
        <v/>
      </c>
      <c r="M1978" s="2" t="str">
        <f>IF($N1978="","",IF(AND(G1978=0,H1978=0),"수량 없음",IF(G1978=0,"신규 (전년 수량 없음)",IF(H1978=0,"당해 수량 없음",""))))</f>
        <v/>
      </c>
      <c r="N1978" t="str">
        <f>IF($B1978="","",MATCH($B1978,'_calc'!$L$2:$L$3001,0))</f>
        <v/>
      </c>
    </row>
    <row r="1979">
      <c r="B1979" s="24" t="str">
        <f>IF(ROW()-ROW($B$8)&gt;nComp,"",ROW()-ROW($B$8))</f>
        <v/>
      </c>
      <c r="C1979" t="str">
        <f>IF($N1979="","",INDEX('_calc'!$A$2:$A$3001,$N1979))</f>
        <v/>
      </c>
      <c r="D1979" s="25" t="str">
        <f>IF($N1979="","",INDEX('_calc'!$C$2:$C$3001,$N1979))</f>
        <v/>
      </c>
      <c r="E1979" s="25" t="str">
        <f>IF($N1979="","",INDEX('_calc'!$D$2:$D$3001,$N1979))</f>
        <v/>
      </c>
      <c r="F1979" s="26" t="str">
        <f>IF($N1979="","",IF($E$8=0,"",E1979/$E$8))</f>
        <v/>
      </c>
      <c r="G1979" s="25" t="str">
        <f>IF($N1979="","",INDEX('_calc'!$E$2:$E$3001,$N1979))</f>
        <v/>
      </c>
      <c r="H1979" s="25" t="str">
        <f>IF($N1979="","",INDEX('_calc'!$F$2:$F$3001,$N1979))</f>
        <v/>
      </c>
      <c r="I1979" s="27" t="str">
        <f>IF($N1979="","",INDEX('_calc'!$H$2:$H$3001,$N1979))</f>
        <v/>
      </c>
      <c r="J1979" s="27" t="str">
        <f>IF($N1979="","",INDEX('_calc'!$I$2:$I$3001,$N1979))</f>
        <v/>
      </c>
      <c r="K1979" s="28" t="str">
        <f>IF($N1979="","",IF(OR(I1979="",J1979=""),"",J1979-I1979))</f>
        <v/>
      </c>
      <c r="L1979" s="29" t="str">
        <f>IF($N1979="","",INDEX('_calc'!$J$2:$J$3001,$N1979))</f>
        <v/>
      </c>
      <c r="M1979" s="2" t="str">
        <f>IF($N1979="","",IF(AND(G1979=0,H1979=0),"수량 없음",IF(G1979=0,"신규 (전년 수량 없음)",IF(H1979=0,"당해 수량 없음",""))))</f>
        <v/>
      </c>
      <c r="N1979" t="str">
        <f>IF($B1979="","",MATCH($B1979,'_calc'!$L$2:$L$3001,0))</f>
        <v/>
      </c>
    </row>
    <row r="1980">
      <c r="B1980" s="24" t="str">
        <f>IF(ROW()-ROW($B$8)&gt;nComp,"",ROW()-ROW($B$8))</f>
        <v/>
      </c>
      <c r="C1980" t="str">
        <f>IF($N1980="","",INDEX('_calc'!$A$2:$A$3001,$N1980))</f>
        <v/>
      </c>
      <c r="D1980" s="25" t="str">
        <f>IF($N1980="","",INDEX('_calc'!$C$2:$C$3001,$N1980))</f>
        <v/>
      </c>
      <c r="E1980" s="25" t="str">
        <f>IF($N1980="","",INDEX('_calc'!$D$2:$D$3001,$N1980))</f>
        <v/>
      </c>
      <c r="F1980" s="26" t="str">
        <f>IF($N1980="","",IF($E$8=0,"",E1980/$E$8))</f>
        <v/>
      </c>
      <c r="G1980" s="25" t="str">
        <f>IF($N1980="","",INDEX('_calc'!$E$2:$E$3001,$N1980))</f>
        <v/>
      </c>
      <c r="H1980" s="25" t="str">
        <f>IF($N1980="","",INDEX('_calc'!$F$2:$F$3001,$N1980))</f>
        <v/>
      </c>
      <c r="I1980" s="27" t="str">
        <f>IF($N1980="","",INDEX('_calc'!$H$2:$H$3001,$N1980))</f>
        <v/>
      </c>
      <c r="J1980" s="27" t="str">
        <f>IF($N1980="","",INDEX('_calc'!$I$2:$I$3001,$N1980))</f>
        <v/>
      </c>
      <c r="K1980" s="28" t="str">
        <f>IF($N1980="","",IF(OR(I1980="",J1980=""),"",J1980-I1980))</f>
        <v/>
      </c>
      <c r="L1980" s="29" t="str">
        <f>IF($N1980="","",INDEX('_calc'!$J$2:$J$3001,$N1980))</f>
        <v/>
      </c>
      <c r="M1980" s="2" t="str">
        <f>IF($N1980="","",IF(AND(G1980=0,H1980=0),"수량 없음",IF(G1980=0,"신규 (전년 수량 없음)",IF(H1980=0,"당해 수량 없음",""))))</f>
        <v/>
      </c>
      <c r="N1980" t="str">
        <f>IF($B1980="","",MATCH($B1980,'_calc'!$L$2:$L$3001,0))</f>
        <v/>
      </c>
    </row>
    <row r="1981">
      <c r="B1981" s="24" t="str">
        <f>IF(ROW()-ROW($B$8)&gt;nComp,"",ROW()-ROW($B$8))</f>
        <v/>
      </c>
      <c r="C1981" t="str">
        <f>IF($N1981="","",INDEX('_calc'!$A$2:$A$3001,$N1981))</f>
        <v/>
      </c>
      <c r="D1981" s="25" t="str">
        <f>IF($N1981="","",INDEX('_calc'!$C$2:$C$3001,$N1981))</f>
        <v/>
      </c>
      <c r="E1981" s="25" t="str">
        <f>IF($N1981="","",INDEX('_calc'!$D$2:$D$3001,$N1981))</f>
        <v/>
      </c>
      <c r="F1981" s="26" t="str">
        <f>IF($N1981="","",IF($E$8=0,"",E1981/$E$8))</f>
        <v/>
      </c>
      <c r="G1981" s="25" t="str">
        <f>IF($N1981="","",INDEX('_calc'!$E$2:$E$3001,$N1981))</f>
        <v/>
      </c>
      <c r="H1981" s="25" t="str">
        <f>IF($N1981="","",INDEX('_calc'!$F$2:$F$3001,$N1981))</f>
        <v/>
      </c>
      <c r="I1981" s="27" t="str">
        <f>IF($N1981="","",INDEX('_calc'!$H$2:$H$3001,$N1981))</f>
        <v/>
      </c>
      <c r="J1981" s="27" t="str">
        <f>IF($N1981="","",INDEX('_calc'!$I$2:$I$3001,$N1981))</f>
        <v/>
      </c>
      <c r="K1981" s="28" t="str">
        <f>IF($N1981="","",IF(OR(I1981="",J1981=""),"",J1981-I1981))</f>
        <v/>
      </c>
      <c r="L1981" s="29" t="str">
        <f>IF($N1981="","",INDEX('_calc'!$J$2:$J$3001,$N1981))</f>
        <v/>
      </c>
      <c r="M1981" s="2" t="str">
        <f>IF($N1981="","",IF(AND(G1981=0,H1981=0),"수량 없음",IF(G1981=0,"신규 (전년 수량 없음)",IF(H1981=0,"당해 수량 없음",""))))</f>
        <v/>
      </c>
      <c r="N1981" t="str">
        <f>IF($B1981="","",MATCH($B1981,'_calc'!$L$2:$L$3001,0))</f>
        <v/>
      </c>
    </row>
    <row r="1982">
      <c r="B1982" s="24" t="str">
        <f>IF(ROW()-ROW($B$8)&gt;nComp,"",ROW()-ROW($B$8))</f>
        <v/>
      </c>
      <c r="C1982" t="str">
        <f>IF($N1982="","",INDEX('_calc'!$A$2:$A$3001,$N1982))</f>
        <v/>
      </c>
      <c r="D1982" s="25" t="str">
        <f>IF($N1982="","",INDEX('_calc'!$C$2:$C$3001,$N1982))</f>
        <v/>
      </c>
      <c r="E1982" s="25" t="str">
        <f>IF($N1982="","",INDEX('_calc'!$D$2:$D$3001,$N1982))</f>
        <v/>
      </c>
      <c r="F1982" s="26" t="str">
        <f>IF($N1982="","",IF($E$8=0,"",E1982/$E$8))</f>
        <v/>
      </c>
      <c r="G1982" s="25" t="str">
        <f>IF($N1982="","",INDEX('_calc'!$E$2:$E$3001,$N1982))</f>
        <v/>
      </c>
      <c r="H1982" s="25" t="str">
        <f>IF($N1982="","",INDEX('_calc'!$F$2:$F$3001,$N1982))</f>
        <v/>
      </c>
      <c r="I1982" s="27" t="str">
        <f>IF($N1982="","",INDEX('_calc'!$H$2:$H$3001,$N1982))</f>
        <v/>
      </c>
      <c r="J1982" s="27" t="str">
        <f>IF($N1982="","",INDEX('_calc'!$I$2:$I$3001,$N1982))</f>
        <v/>
      </c>
      <c r="K1982" s="28" t="str">
        <f>IF($N1982="","",IF(OR(I1982="",J1982=""),"",J1982-I1982))</f>
        <v/>
      </c>
      <c r="L1982" s="29" t="str">
        <f>IF($N1982="","",INDEX('_calc'!$J$2:$J$3001,$N1982))</f>
        <v/>
      </c>
      <c r="M1982" s="2" t="str">
        <f>IF($N1982="","",IF(AND(G1982=0,H1982=0),"수량 없음",IF(G1982=0,"신규 (전년 수량 없음)",IF(H1982=0,"당해 수량 없음",""))))</f>
        <v/>
      </c>
      <c r="N1982" t="str">
        <f>IF($B1982="","",MATCH($B1982,'_calc'!$L$2:$L$3001,0))</f>
        <v/>
      </c>
    </row>
    <row r="1983">
      <c r="B1983" s="24" t="str">
        <f>IF(ROW()-ROW($B$8)&gt;nComp,"",ROW()-ROW($B$8))</f>
        <v/>
      </c>
      <c r="C1983" t="str">
        <f>IF($N1983="","",INDEX('_calc'!$A$2:$A$3001,$N1983))</f>
        <v/>
      </c>
      <c r="D1983" s="25" t="str">
        <f>IF($N1983="","",INDEX('_calc'!$C$2:$C$3001,$N1983))</f>
        <v/>
      </c>
      <c r="E1983" s="25" t="str">
        <f>IF($N1983="","",INDEX('_calc'!$D$2:$D$3001,$N1983))</f>
        <v/>
      </c>
      <c r="F1983" s="26" t="str">
        <f>IF($N1983="","",IF($E$8=0,"",E1983/$E$8))</f>
        <v/>
      </c>
      <c r="G1983" s="25" t="str">
        <f>IF($N1983="","",INDEX('_calc'!$E$2:$E$3001,$N1983))</f>
        <v/>
      </c>
      <c r="H1983" s="25" t="str">
        <f>IF($N1983="","",INDEX('_calc'!$F$2:$F$3001,$N1983))</f>
        <v/>
      </c>
      <c r="I1983" s="27" t="str">
        <f>IF($N1983="","",INDEX('_calc'!$H$2:$H$3001,$N1983))</f>
        <v/>
      </c>
      <c r="J1983" s="27" t="str">
        <f>IF($N1983="","",INDEX('_calc'!$I$2:$I$3001,$N1983))</f>
        <v/>
      </c>
      <c r="K1983" s="28" t="str">
        <f>IF($N1983="","",IF(OR(I1983="",J1983=""),"",J1983-I1983))</f>
        <v/>
      </c>
      <c r="L1983" s="29" t="str">
        <f>IF($N1983="","",INDEX('_calc'!$J$2:$J$3001,$N1983))</f>
        <v/>
      </c>
      <c r="M1983" s="2" t="str">
        <f>IF($N1983="","",IF(AND(G1983=0,H1983=0),"수량 없음",IF(G1983=0,"신규 (전년 수량 없음)",IF(H1983=0,"당해 수량 없음",""))))</f>
        <v/>
      </c>
      <c r="N1983" t="str">
        <f>IF($B1983="","",MATCH($B1983,'_calc'!$L$2:$L$3001,0))</f>
        <v/>
      </c>
    </row>
    <row r="1984">
      <c r="B1984" s="24" t="str">
        <f>IF(ROW()-ROW($B$8)&gt;nComp,"",ROW()-ROW($B$8))</f>
        <v/>
      </c>
      <c r="C1984" t="str">
        <f>IF($N1984="","",INDEX('_calc'!$A$2:$A$3001,$N1984))</f>
        <v/>
      </c>
      <c r="D1984" s="25" t="str">
        <f>IF($N1984="","",INDEX('_calc'!$C$2:$C$3001,$N1984))</f>
        <v/>
      </c>
      <c r="E1984" s="25" t="str">
        <f>IF($N1984="","",INDEX('_calc'!$D$2:$D$3001,$N1984))</f>
        <v/>
      </c>
      <c r="F1984" s="26" t="str">
        <f>IF($N1984="","",IF($E$8=0,"",E1984/$E$8))</f>
        <v/>
      </c>
      <c r="G1984" s="25" t="str">
        <f>IF($N1984="","",INDEX('_calc'!$E$2:$E$3001,$N1984))</f>
        <v/>
      </c>
      <c r="H1984" s="25" t="str">
        <f>IF($N1984="","",INDEX('_calc'!$F$2:$F$3001,$N1984))</f>
        <v/>
      </c>
      <c r="I1984" s="27" t="str">
        <f>IF($N1984="","",INDEX('_calc'!$H$2:$H$3001,$N1984))</f>
        <v/>
      </c>
      <c r="J1984" s="27" t="str">
        <f>IF($N1984="","",INDEX('_calc'!$I$2:$I$3001,$N1984))</f>
        <v/>
      </c>
      <c r="K1984" s="28" t="str">
        <f>IF($N1984="","",IF(OR(I1984="",J1984=""),"",J1984-I1984))</f>
        <v/>
      </c>
      <c r="L1984" s="29" t="str">
        <f>IF($N1984="","",INDEX('_calc'!$J$2:$J$3001,$N1984))</f>
        <v/>
      </c>
      <c r="M1984" s="2" t="str">
        <f>IF($N1984="","",IF(AND(G1984=0,H1984=0),"수량 없음",IF(G1984=0,"신규 (전년 수량 없음)",IF(H1984=0,"당해 수량 없음",""))))</f>
        <v/>
      </c>
      <c r="N1984" t="str">
        <f>IF($B1984="","",MATCH($B1984,'_calc'!$L$2:$L$3001,0))</f>
        <v/>
      </c>
    </row>
    <row r="1985">
      <c r="B1985" s="24" t="str">
        <f>IF(ROW()-ROW($B$8)&gt;nComp,"",ROW()-ROW($B$8))</f>
        <v/>
      </c>
      <c r="C1985" t="str">
        <f>IF($N1985="","",INDEX('_calc'!$A$2:$A$3001,$N1985))</f>
        <v/>
      </c>
      <c r="D1985" s="25" t="str">
        <f>IF($N1985="","",INDEX('_calc'!$C$2:$C$3001,$N1985))</f>
        <v/>
      </c>
      <c r="E1985" s="25" t="str">
        <f>IF($N1985="","",INDEX('_calc'!$D$2:$D$3001,$N1985))</f>
        <v/>
      </c>
      <c r="F1985" s="26" t="str">
        <f>IF($N1985="","",IF($E$8=0,"",E1985/$E$8))</f>
        <v/>
      </c>
      <c r="G1985" s="25" t="str">
        <f>IF($N1985="","",INDEX('_calc'!$E$2:$E$3001,$N1985))</f>
        <v/>
      </c>
      <c r="H1985" s="25" t="str">
        <f>IF($N1985="","",INDEX('_calc'!$F$2:$F$3001,$N1985))</f>
        <v/>
      </c>
      <c r="I1985" s="27" t="str">
        <f>IF($N1985="","",INDEX('_calc'!$H$2:$H$3001,$N1985))</f>
        <v/>
      </c>
      <c r="J1985" s="27" t="str">
        <f>IF($N1985="","",INDEX('_calc'!$I$2:$I$3001,$N1985))</f>
        <v/>
      </c>
      <c r="K1985" s="28" t="str">
        <f>IF($N1985="","",IF(OR(I1985="",J1985=""),"",J1985-I1985))</f>
        <v/>
      </c>
      <c r="L1985" s="29" t="str">
        <f>IF($N1985="","",INDEX('_calc'!$J$2:$J$3001,$N1985))</f>
        <v/>
      </c>
      <c r="M1985" s="2" t="str">
        <f>IF($N1985="","",IF(AND(G1985=0,H1985=0),"수량 없음",IF(G1985=0,"신규 (전년 수량 없음)",IF(H1985=0,"당해 수량 없음",""))))</f>
        <v/>
      </c>
      <c r="N1985" t="str">
        <f>IF($B1985="","",MATCH($B1985,'_calc'!$L$2:$L$3001,0))</f>
        <v/>
      </c>
    </row>
    <row r="1986">
      <c r="B1986" s="24" t="str">
        <f>IF(ROW()-ROW($B$8)&gt;nComp,"",ROW()-ROW($B$8))</f>
        <v/>
      </c>
      <c r="C1986" t="str">
        <f>IF($N1986="","",INDEX('_calc'!$A$2:$A$3001,$N1986))</f>
        <v/>
      </c>
      <c r="D1986" s="25" t="str">
        <f>IF($N1986="","",INDEX('_calc'!$C$2:$C$3001,$N1986))</f>
        <v/>
      </c>
      <c r="E1986" s="25" t="str">
        <f>IF($N1986="","",INDEX('_calc'!$D$2:$D$3001,$N1986))</f>
        <v/>
      </c>
      <c r="F1986" s="26" t="str">
        <f>IF($N1986="","",IF($E$8=0,"",E1986/$E$8))</f>
        <v/>
      </c>
      <c r="G1986" s="25" t="str">
        <f>IF($N1986="","",INDEX('_calc'!$E$2:$E$3001,$N1986))</f>
        <v/>
      </c>
      <c r="H1986" s="25" t="str">
        <f>IF($N1986="","",INDEX('_calc'!$F$2:$F$3001,$N1986))</f>
        <v/>
      </c>
      <c r="I1986" s="27" t="str">
        <f>IF($N1986="","",INDEX('_calc'!$H$2:$H$3001,$N1986))</f>
        <v/>
      </c>
      <c r="J1986" s="27" t="str">
        <f>IF($N1986="","",INDEX('_calc'!$I$2:$I$3001,$N1986))</f>
        <v/>
      </c>
      <c r="K1986" s="28" t="str">
        <f>IF($N1986="","",IF(OR(I1986="",J1986=""),"",J1986-I1986))</f>
        <v/>
      </c>
      <c r="L1986" s="29" t="str">
        <f>IF($N1986="","",INDEX('_calc'!$J$2:$J$3001,$N1986))</f>
        <v/>
      </c>
      <c r="M1986" s="2" t="str">
        <f>IF($N1986="","",IF(AND(G1986=0,H1986=0),"수량 없음",IF(G1986=0,"신규 (전년 수량 없음)",IF(H1986=0,"당해 수량 없음",""))))</f>
        <v/>
      </c>
      <c r="N1986" t="str">
        <f>IF($B1986="","",MATCH($B1986,'_calc'!$L$2:$L$3001,0))</f>
        <v/>
      </c>
    </row>
    <row r="1987">
      <c r="B1987" s="24" t="str">
        <f>IF(ROW()-ROW($B$8)&gt;nComp,"",ROW()-ROW($B$8))</f>
        <v/>
      </c>
      <c r="C1987" t="str">
        <f>IF($N1987="","",INDEX('_calc'!$A$2:$A$3001,$N1987))</f>
        <v/>
      </c>
      <c r="D1987" s="25" t="str">
        <f>IF($N1987="","",INDEX('_calc'!$C$2:$C$3001,$N1987))</f>
        <v/>
      </c>
      <c r="E1987" s="25" t="str">
        <f>IF($N1987="","",INDEX('_calc'!$D$2:$D$3001,$N1987))</f>
        <v/>
      </c>
      <c r="F1987" s="26" t="str">
        <f>IF($N1987="","",IF($E$8=0,"",E1987/$E$8))</f>
        <v/>
      </c>
      <c r="G1987" s="25" t="str">
        <f>IF($N1987="","",INDEX('_calc'!$E$2:$E$3001,$N1987))</f>
        <v/>
      </c>
      <c r="H1987" s="25" t="str">
        <f>IF($N1987="","",INDEX('_calc'!$F$2:$F$3001,$N1987))</f>
        <v/>
      </c>
      <c r="I1987" s="27" t="str">
        <f>IF($N1987="","",INDEX('_calc'!$H$2:$H$3001,$N1987))</f>
        <v/>
      </c>
      <c r="J1987" s="27" t="str">
        <f>IF($N1987="","",INDEX('_calc'!$I$2:$I$3001,$N1987))</f>
        <v/>
      </c>
      <c r="K1987" s="28" t="str">
        <f>IF($N1987="","",IF(OR(I1987="",J1987=""),"",J1987-I1987))</f>
        <v/>
      </c>
      <c r="L1987" s="29" t="str">
        <f>IF($N1987="","",INDEX('_calc'!$J$2:$J$3001,$N1987))</f>
        <v/>
      </c>
      <c r="M1987" s="2" t="str">
        <f>IF($N1987="","",IF(AND(G1987=0,H1987=0),"수량 없음",IF(G1987=0,"신규 (전년 수량 없음)",IF(H1987=0,"당해 수량 없음",""))))</f>
        <v/>
      </c>
      <c r="N1987" t="str">
        <f>IF($B1987="","",MATCH($B1987,'_calc'!$L$2:$L$3001,0))</f>
        <v/>
      </c>
    </row>
    <row r="1988">
      <c r="B1988" s="24" t="str">
        <f>IF(ROW()-ROW($B$8)&gt;nComp,"",ROW()-ROW($B$8))</f>
        <v/>
      </c>
      <c r="C1988" t="str">
        <f>IF($N1988="","",INDEX('_calc'!$A$2:$A$3001,$N1988))</f>
        <v/>
      </c>
      <c r="D1988" s="25" t="str">
        <f>IF($N1988="","",INDEX('_calc'!$C$2:$C$3001,$N1988))</f>
        <v/>
      </c>
      <c r="E1988" s="25" t="str">
        <f>IF($N1988="","",INDEX('_calc'!$D$2:$D$3001,$N1988))</f>
        <v/>
      </c>
      <c r="F1988" s="26" t="str">
        <f>IF($N1988="","",IF($E$8=0,"",E1988/$E$8))</f>
        <v/>
      </c>
      <c r="G1988" s="25" t="str">
        <f>IF($N1988="","",INDEX('_calc'!$E$2:$E$3001,$N1988))</f>
        <v/>
      </c>
      <c r="H1988" s="25" t="str">
        <f>IF($N1988="","",INDEX('_calc'!$F$2:$F$3001,$N1988))</f>
        <v/>
      </c>
      <c r="I1988" s="27" t="str">
        <f>IF($N1988="","",INDEX('_calc'!$H$2:$H$3001,$N1988))</f>
        <v/>
      </c>
      <c r="J1988" s="27" t="str">
        <f>IF($N1988="","",INDEX('_calc'!$I$2:$I$3001,$N1988))</f>
        <v/>
      </c>
      <c r="K1988" s="28" t="str">
        <f>IF($N1988="","",IF(OR(I1988="",J1988=""),"",J1988-I1988))</f>
        <v/>
      </c>
      <c r="L1988" s="29" t="str">
        <f>IF($N1988="","",INDEX('_calc'!$J$2:$J$3001,$N1988))</f>
        <v/>
      </c>
      <c r="M1988" s="2" t="str">
        <f>IF($N1988="","",IF(AND(G1988=0,H1988=0),"수량 없음",IF(G1988=0,"신규 (전년 수량 없음)",IF(H1988=0,"당해 수량 없음",""))))</f>
        <v/>
      </c>
      <c r="N1988" t="str">
        <f>IF($B1988="","",MATCH($B1988,'_calc'!$L$2:$L$3001,0))</f>
        <v/>
      </c>
    </row>
    <row r="1989">
      <c r="B1989" s="24" t="str">
        <f>IF(ROW()-ROW($B$8)&gt;nComp,"",ROW()-ROW($B$8))</f>
        <v/>
      </c>
      <c r="C1989" t="str">
        <f>IF($N1989="","",INDEX('_calc'!$A$2:$A$3001,$N1989))</f>
        <v/>
      </c>
      <c r="D1989" s="25" t="str">
        <f>IF($N1989="","",INDEX('_calc'!$C$2:$C$3001,$N1989))</f>
        <v/>
      </c>
      <c r="E1989" s="25" t="str">
        <f>IF($N1989="","",INDEX('_calc'!$D$2:$D$3001,$N1989))</f>
        <v/>
      </c>
      <c r="F1989" s="26" t="str">
        <f>IF($N1989="","",IF($E$8=0,"",E1989/$E$8))</f>
        <v/>
      </c>
      <c r="G1989" s="25" t="str">
        <f>IF($N1989="","",INDEX('_calc'!$E$2:$E$3001,$N1989))</f>
        <v/>
      </c>
      <c r="H1989" s="25" t="str">
        <f>IF($N1989="","",INDEX('_calc'!$F$2:$F$3001,$N1989))</f>
        <v/>
      </c>
      <c r="I1989" s="27" t="str">
        <f>IF($N1989="","",INDEX('_calc'!$H$2:$H$3001,$N1989))</f>
        <v/>
      </c>
      <c r="J1989" s="27" t="str">
        <f>IF($N1989="","",INDEX('_calc'!$I$2:$I$3001,$N1989))</f>
        <v/>
      </c>
      <c r="K1989" s="28" t="str">
        <f>IF($N1989="","",IF(OR(I1989="",J1989=""),"",J1989-I1989))</f>
        <v/>
      </c>
      <c r="L1989" s="29" t="str">
        <f>IF($N1989="","",INDEX('_calc'!$J$2:$J$3001,$N1989))</f>
        <v/>
      </c>
      <c r="M1989" s="2" t="str">
        <f>IF($N1989="","",IF(AND(G1989=0,H1989=0),"수량 없음",IF(G1989=0,"신규 (전년 수량 없음)",IF(H1989=0,"당해 수량 없음",""))))</f>
        <v/>
      </c>
      <c r="N1989" t="str">
        <f>IF($B1989="","",MATCH($B1989,'_calc'!$L$2:$L$3001,0))</f>
        <v/>
      </c>
    </row>
    <row r="1990">
      <c r="B1990" s="24" t="str">
        <f>IF(ROW()-ROW($B$8)&gt;nComp,"",ROW()-ROW($B$8))</f>
        <v/>
      </c>
      <c r="C1990" t="str">
        <f>IF($N1990="","",INDEX('_calc'!$A$2:$A$3001,$N1990))</f>
        <v/>
      </c>
      <c r="D1990" s="25" t="str">
        <f>IF($N1990="","",INDEX('_calc'!$C$2:$C$3001,$N1990))</f>
        <v/>
      </c>
      <c r="E1990" s="25" t="str">
        <f>IF($N1990="","",INDEX('_calc'!$D$2:$D$3001,$N1990))</f>
        <v/>
      </c>
      <c r="F1990" s="26" t="str">
        <f>IF($N1990="","",IF($E$8=0,"",E1990/$E$8))</f>
        <v/>
      </c>
      <c r="G1990" s="25" t="str">
        <f>IF($N1990="","",INDEX('_calc'!$E$2:$E$3001,$N1990))</f>
        <v/>
      </c>
      <c r="H1990" s="25" t="str">
        <f>IF($N1990="","",INDEX('_calc'!$F$2:$F$3001,$N1990))</f>
        <v/>
      </c>
      <c r="I1990" s="27" t="str">
        <f>IF($N1990="","",INDEX('_calc'!$H$2:$H$3001,$N1990))</f>
        <v/>
      </c>
      <c r="J1990" s="27" t="str">
        <f>IF($N1990="","",INDEX('_calc'!$I$2:$I$3001,$N1990))</f>
        <v/>
      </c>
      <c r="K1990" s="28" t="str">
        <f>IF($N1990="","",IF(OR(I1990="",J1990=""),"",J1990-I1990))</f>
        <v/>
      </c>
      <c r="L1990" s="29" t="str">
        <f>IF($N1990="","",INDEX('_calc'!$J$2:$J$3001,$N1990))</f>
        <v/>
      </c>
      <c r="M1990" s="2" t="str">
        <f>IF($N1990="","",IF(AND(G1990=0,H1990=0),"수량 없음",IF(G1990=0,"신규 (전년 수량 없음)",IF(H1990=0,"당해 수량 없음",""))))</f>
        <v/>
      </c>
      <c r="N1990" t="str">
        <f>IF($B1990="","",MATCH($B1990,'_calc'!$L$2:$L$3001,0))</f>
        <v/>
      </c>
    </row>
    <row r="1991">
      <c r="B1991" s="24" t="str">
        <f>IF(ROW()-ROW($B$8)&gt;nComp,"",ROW()-ROW($B$8))</f>
        <v/>
      </c>
      <c r="C1991" t="str">
        <f>IF($N1991="","",INDEX('_calc'!$A$2:$A$3001,$N1991))</f>
        <v/>
      </c>
      <c r="D1991" s="25" t="str">
        <f>IF($N1991="","",INDEX('_calc'!$C$2:$C$3001,$N1991))</f>
        <v/>
      </c>
      <c r="E1991" s="25" t="str">
        <f>IF($N1991="","",INDEX('_calc'!$D$2:$D$3001,$N1991))</f>
        <v/>
      </c>
      <c r="F1991" s="26" t="str">
        <f>IF($N1991="","",IF($E$8=0,"",E1991/$E$8))</f>
        <v/>
      </c>
      <c r="G1991" s="25" t="str">
        <f>IF($N1991="","",INDEX('_calc'!$E$2:$E$3001,$N1991))</f>
        <v/>
      </c>
      <c r="H1991" s="25" t="str">
        <f>IF($N1991="","",INDEX('_calc'!$F$2:$F$3001,$N1991))</f>
        <v/>
      </c>
      <c r="I1991" s="27" t="str">
        <f>IF($N1991="","",INDEX('_calc'!$H$2:$H$3001,$N1991))</f>
        <v/>
      </c>
      <c r="J1991" s="27" t="str">
        <f>IF($N1991="","",INDEX('_calc'!$I$2:$I$3001,$N1991))</f>
        <v/>
      </c>
      <c r="K1991" s="28" t="str">
        <f>IF($N1991="","",IF(OR(I1991="",J1991=""),"",J1991-I1991))</f>
        <v/>
      </c>
      <c r="L1991" s="29" t="str">
        <f>IF($N1991="","",INDEX('_calc'!$J$2:$J$3001,$N1991))</f>
        <v/>
      </c>
      <c r="M1991" s="2" t="str">
        <f>IF($N1991="","",IF(AND(G1991=0,H1991=0),"수량 없음",IF(G1991=0,"신규 (전년 수량 없음)",IF(H1991=0,"당해 수량 없음",""))))</f>
        <v/>
      </c>
      <c r="N1991" t="str">
        <f>IF($B1991="","",MATCH($B1991,'_calc'!$L$2:$L$3001,0))</f>
        <v/>
      </c>
    </row>
    <row r="1992">
      <c r="B1992" s="24" t="str">
        <f>IF(ROW()-ROW($B$8)&gt;nComp,"",ROW()-ROW($B$8))</f>
        <v/>
      </c>
      <c r="C1992" t="str">
        <f>IF($N1992="","",INDEX('_calc'!$A$2:$A$3001,$N1992))</f>
        <v/>
      </c>
      <c r="D1992" s="25" t="str">
        <f>IF($N1992="","",INDEX('_calc'!$C$2:$C$3001,$N1992))</f>
        <v/>
      </c>
      <c r="E1992" s="25" t="str">
        <f>IF($N1992="","",INDEX('_calc'!$D$2:$D$3001,$N1992))</f>
        <v/>
      </c>
      <c r="F1992" s="26" t="str">
        <f>IF($N1992="","",IF($E$8=0,"",E1992/$E$8))</f>
        <v/>
      </c>
      <c r="G1992" s="25" t="str">
        <f>IF($N1992="","",INDEX('_calc'!$E$2:$E$3001,$N1992))</f>
        <v/>
      </c>
      <c r="H1992" s="25" t="str">
        <f>IF($N1992="","",INDEX('_calc'!$F$2:$F$3001,$N1992))</f>
        <v/>
      </c>
      <c r="I1992" s="27" t="str">
        <f>IF($N1992="","",INDEX('_calc'!$H$2:$H$3001,$N1992))</f>
        <v/>
      </c>
      <c r="J1992" s="27" t="str">
        <f>IF($N1992="","",INDEX('_calc'!$I$2:$I$3001,$N1992))</f>
        <v/>
      </c>
      <c r="K1992" s="28" t="str">
        <f>IF($N1992="","",IF(OR(I1992="",J1992=""),"",J1992-I1992))</f>
        <v/>
      </c>
      <c r="L1992" s="29" t="str">
        <f>IF($N1992="","",INDEX('_calc'!$J$2:$J$3001,$N1992))</f>
        <v/>
      </c>
      <c r="M1992" s="2" t="str">
        <f>IF($N1992="","",IF(AND(G1992=0,H1992=0),"수량 없음",IF(G1992=0,"신규 (전년 수량 없음)",IF(H1992=0,"당해 수량 없음",""))))</f>
        <v/>
      </c>
      <c r="N1992" t="str">
        <f>IF($B1992="","",MATCH($B1992,'_calc'!$L$2:$L$3001,0))</f>
        <v/>
      </c>
    </row>
    <row r="1993">
      <c r="B1993" s="24" t="str">
        <f>IF(ROW()-ROW($B$8)&gt;nComp,"",ROW()-ROW($B$8))</f>
        <v/>
      </c>
      <c r="C1993" t="str">
        <f>IF($N1993="","",INDEX('_calc'!$A$2:$A$3001,$N1993))</f>
        <v/>
      </c>
      <c r="D1993" s="25" t="str">
        <f>IF($N1993="","",INDEX('_calc'!$C$2:$C$3001,$N1993))</f>
        <v/>
      </c>
      <c r="E1993" s="25" t="str">
        <f>IF($N1993="","",INDEX('_calc'!$D$2:$D$3001,$N1993))</f>
        <v/>
      </c>
      <c r="F1993" s="26" t="str">
        <f>IF($N1993="","",IF($E$8=0,"",E1993/$E$8))</f>
        <v/>
      </c>
      <c r="G1993" s="25" t="str">
        <f>IF($N1993="","",INDEX('_calc'!$E$2:$E$3001,$N1993))</f>
        <v/>
      </c>
      <c r="H1993" s="25" t="str">
        <f>IF($N1993="","",INDEX('_calc'!$F$2:$F$3001,$N1993))</f>
        <v/>
      </c>
      <c r="I1993" s="27" t="str">
        <f>IF($N1993="","",INDEX('_calc'!$H$2:$H$3001,$N1993))</f>
        <v/>
      </c>
      <c r="J1993" s="27" t="str">
        <f>IF($N1993="","",INDEX('_calc'!$I$2:$I$3001,$N1993))</f>
        <v/>
      </c>
      <c r="K1993" s="28" t="str">
        <f>IF($N1993="","",IF(OR(I1993="",J1993=""),"",J1993-I1993))</f>
        <v/>
      </c>
      <c r="L1993" s="29" t="str">
        <f>IF($N1993="","",INDEX('_calc'!$J$2:$J$3001,$N1993))</f>
        <v/>
      </c>
      <c r="M1993" s="2" t="str">
        <f>IF($N1993="","",IF(AND(G1993=0,H1993=0),"수량 없음",IF(G1993=0,"신규 (전년 수량 없음)",IF(H1993=0,"당해 수량 없음",""))))</f>
        <v/>
      </c>
      <c r="N1993" t="str">
        <f>IF($B1993="","",MATCH($B1993,'_calc'!$L$2:$L$3001,0))</f>
        <v/>
      </c>
    </row>
    <row r="1994">
      <c r="B1994" s="24" t="str">
        <f>IF(ROW()-ROW($B$8)&gt;nComp,"",ROW()-ROW($B$8))</f>
        <v/>
      </c>
      <c r="C1994" t="str">
        <f>IF($N1994="","",INDEX('_calc'!$A$2:$A$3001,$N1994))</f>
        <v/>
      </c>
      <c r="D1994" s="25" t="str">
        <f>IF($N1994="","",INDEX('_calc'!$C$2:$C$3001,$N1994))</f>
        <v/>
      </c>
      <c r="E1994" s="25" t="str">
        <f>IF($N1994="","",INDEX('_calc'!$D$2:$D$3001,$N1994))</f>
        <v/>
      </c>
      <c r="F1994" s="26" t="str">
        <f>IF($N1994="","",IF($E$8=0,"",E1994/$E$8))</f>
        <v/>
      </c>
      <c r="G1994" s="25" t="str">
        <f>IF($N1994="","",INDEX('_calc'!$E$2:$E$3001,$N1994))</f>
        <v/>
      </c>
      <c r="H1994" s="25" t="str">
        <f>IF($N1994="","",INDEX('_calc'!$F$2:$F$3001,$N1994))</f>
        <v/>
      </c>
      <c r="I1994" s="27" t="str">
        <f>IF($N1994="","",INDEX('_calc'!$H$2:$H$3001,$N1994))</f>
        <v/>
      </c>
      <c r="J1994" s="27" t="str">
        <f>IF($N1994="","",INDEX('_calc'!$I$2:$I$3001,$N1994))</f>
        <v/>
      </c>
      <c r="K1994" s="28" t="str">
        <f>IF($N1994="","",IF(OR(I1994="",J1994=""),"",J1994-I1994))</f>
        <v/>
      </c>
      <c r="L1994" s="29" t="str">
        <f>IF($N1994="","",INDEX('_calc'!$J$2:$J$3001,$N1994))</f>
        <v/>
      </c>
      <c r="M1994" s="2" t="str">
        <f>IF($N1994="","",IF(AND(G1994=0,H1994=0),"수량 없음",IF(G1994=0,"신규 (전년 수량 없음)",IF(H1994=0,"당해 수량 없음",""))))</f>
        <v/>
      </c>
      <c r="N1994" t="str">
        <f>IF($B1994="","",MATCH($B1994,'_calc'!$L$2:$L$3001,0))</f>
        <v/>
      </c>
    </row>
    <row r="1995">
      <c r="B1995" s="24" t="str">
        <f>IF(ROW()-ROW($B$8)&gt;nComp,"",ROW()-ROW($B$8))</f>
        <v/>
      </c>
      <c r="C1995" t="str">
        <f>IF($N1995="","",INDEX('_calc'!$A$2:$A$3001,$N1995))</f>
        <v/>
      </c>
      <c r="D1995" s="25" t="str">
        <f>IF($N1995="","",INDEX('_calc'!$C$2:$C$3001,$N1995))</f>
        <v/>
      </c>
      <c r="E1995" s="25" t="str">
        <f>IF($N1995="","",INDEX('_calc'!$D$2:$D$3001,$N1995))</f>
        <v/>
      </c>
      <c r="F1995" s="26" t="str">
        <f>IF($N1995="","",IF($E$8=0,"",E1995/$E$8))</f>
        <v/>
      </c>
      <c r="G1995" s="25" t="str">
        <f>IF($N1995="","",INDEX('_calc'!$E$2:$E$3001,$N1995))</f>
        <v/>
      </c>
      <c r="H1995" s="25" t="str">
        <f>IF($N1995="","",INDEX('_calc'!$F$2:$F$3001,$N1995))</f>
        <v/>
      </c>
      <c r="I1995" s="27" t="str">
        <f>IF($N1995="","",INDEX('_calc'!$H$2:$H$3001,$N1995))</f>
        <v/>
      </c>
      <c r="J1995" s="27" t="str">
        <f>IF($N1995="","",INDEX('_calc'!$I$2:$I$3001,$N1995))</f>
        <v/>
      </c>
      <c r="K1995" s="28" t="str">
        <f>IF($N1995="","",IF(OR(I1995="",J1995=""),"",J1995-I1995))</f>
        <v/>
      </c>
      <c r="L1995" s="29" t="str">
        <f>IF($N1995="","",INDEX('_calc'!$J$2:$J$3001,$N1995))</f>
        <v/>
      </c>
      <c r="M1995" s="2" t="str">
        <f>IF($N1995="","",IF(AND(G1995=0,H1995=0),"수량 없음",IF(G1995=0,"신규 (전년 수량 없음)",IF(H1995=0,"당해 수량 없음",""))))</f>
        <v/>
      </c>
      <c r="N1995" t="str">
        <f>IF($B1995="","",MATCH($B1995,'_calc'!$L$2:$L$3001,0))</f>
        <v/>
      </c>
    </row>
    <row r="1996">
      <c r="B1996" s="24" t="str">
        <f>IF(ROW()-ROW($B$8)&gt;nComp,"",ROW()-ROW($B$8))</f>
        <v/>
      </c>
      <c r="C1996" t="str">
        <f>IF($N1996="","",INDEX('_calc'!$A$2:$A$3001,$N1996))</f>
        <v/>
      </c>
      <c r="D1996" s="25" t="str">
        <f>IF($N1996="","",INDEX('_calc'!$C$2:$C$3001,$N1996))</f>
        <v/>
      </c>
      <c r="E1996" s="25" t="str">
        <f>IF($N1996="","",INDEX('_calc'!$D$2:$D$3001,$N1996))</f>
        <v/>
      </c>
      <c r="F1996" s="26" t="str">
        <f>IF($N1996="","",IF($E$8=0,"",E1996/$E$8))</f>
        <v/>
      </c>
      <c r="G1996" s="25" t="str">
        <f>IF($N1996="","",INDEX('_calc'!$E$2:$E$3001,$N1996))</f>
        <v/>
      </c>
      <c r="H1996" s="25" t="str">
        <f>IF($N1996="","",INDEX('_calc'!$F$2:$F$3001,$N1996))</f>
        <v/>
      </c>
      <c r="I1996" s="27" t="str">
        <f>IF($N1996="","",INDEX('_calc'!$H$2:$H$3001,$N1996))</f>
        <v/>
      </c>
      <c r="J1996" s="27" t="str">
        <f>IF($N1996="","",INDEX('_calc'!$I$2:$I$3001,$N1996))</f>
        <v/>
      </c>
      <c r="K1996" s="28" t="str">
        <f>IF($N1996="","",IF(OR(I1996="",J1996=""),"",J1996-I1996))</f>
        <v/>
      </c>
      <c r="L1996" s="29" t="str">
        <f>IF($N1996="","",INDEX('_calc'!$J$2:$J$3001,$N1996))</f>
        <v/>
      </c>
      <c r="M1996" s="2" t="str">
        <f>IF($N1996="","",IF(AND(G1996=0,H1996=0),"수량 없음",IF(G1996=0,"신규 (전년 수량 없음)",IF(H1996=0,"당해 수량 없음",""))))</f>
        <v/>
      </c>
      <c r="N1996" t="str">
        <f>IF($B1996="","",MATCH($B1996,'_calc'!$L$2:$L$3001,0))</f>
        <v/>
      </c>
    </row>
    <row r="1997">
      <c r="B1997" s="24" t="str">
        <f>IF(ROW()-ROW($B$8)&gt;nComp,"",ROW()-ROW($B$8))</f>
        <v/>
      </c>
      <c r="C1997" t="str">
        <f>IF($N1997="","",INDEX('_calc'!$A$2:$A$3001,$N1997))</f>
        <v/>
      </c>
      <c r="D1997" s="25" t="str">
        <f>IF($N1997="","",INDEX('_calc'!$C$2:$C$3001,$N1997))</f>
        <v/>
      </c>
      <c r="E1997" s="25" t="str">
        <f>IF($N1997="","",INDEX('_calc'!$D$2:$D$3001,$N1997))</f>
        <v/>
      </c>
      <c r="F1997" s="26" t="str">
        <f>IF($N1997="","",IF($E$8=0,"",E1997/$E$8))</f>
        <v/>
      </c>
      <c r="G1997" s="25" t="str">
        <f>IF($N1997="","",INDEX('_calc'!$E$2:$E$3001,$N1997))</f>
        <v/>
      </c>
      <c r="H1997" s="25" t="str">
        <f>IF($N1997="","",INDEX('_calc'!$F$2:$F$3001,$N1997))</f>
        <v/>
      </c>
      <c r="I1997" s="27" t="str">
        <f>IF($N1997="","",INDEX('_calc'!$H$2:$H$3001,$N1997))</f>
        <v/>
      </c>
      <c r="J1997" s="27" t="str">
        <f>IF($N1997="","",INDEX('_calc'!$I$2:$I$3001,$N1997))</f>
        <v/>
      </c>
      <c r="K1997" s="28" t="str">
        <f>IF($N1997="","",IF(OR(I1997="",J1997=""),"",J1997-I1997))</f>
        <v/>
      </c>
      <c r="L1997" s="29" t="str">
        <f>IF($N1997="","",INDEX('_calc'!$J$2:$J$3001,$N1997))</f>
        <v/>
      </c>
      <c r="M1997" s="2" t="str">
        <f>IF($N1997="","",IF(AND(G1997=0,H1997=0),"수량 없음",IF(G1997=0,"신규 (전년 수량 없음)",IF(H1997=0,"당해 수량 없음",""))))</f>
        <v/>
      </c>
      <c r="N1997" t="str">
        <f>IF($B1997="","",MATCH($B1997,'_calc'!$L$2:$L$3001,0))</f>
        <v/>
      </c>
    </row>
    <row r="1998">
      <c r="B1998" s="24" t="str">
        <f>IF(ROW()-ROW($B$8)&gt;nComp,"",ROW()-ROW($B$8))</f>
        <v/>
      </c>
      <c r="C1998" t="str">
        <f>IF($N1998="","",INDEX('_calc'!$A$2:$A$3001,$N1998))</f>
        <v/>
      </c>
      <c r="D1998" s="25" t="str">
        <f>IF($N1998="","",INDEX('_calc'!$C$2:$C$3001,$N1998))</f>
        <v/>
      </c>
      <c r="E1998" s="25" t="str">
        <f>IF($N1998="","",INDEX('_calc'!$D$2:$D$3001,$N1998))</f>
        <v/>
      </c>
      <c r="F1998" s="26" t="str">
        <f>IF($N1998="","",IF($E$8=0,"",E1998/$E$8))</f>
        <v/>
      </c>
      <c r="G1998" s="25" t="str">
        <f>IF($N1998="","",INDEX('_calc'!$E$2:$E$3001,$N1998))</f>
        <v/>
      </c>
      <c r="H1998" s="25" t="str">
        <f>IF($N1998="","",INDEX('_calc'!$F$2:$F$3001,$N1998))</f>
        <v/>
      </c>
      <c r="I1998" s="27" t="str">
        <f>IF($N1998="","",INDEX('_calc'!$H$2:$H$3001,$N1998))</f>
        <v/>
      </c>
      <c r="J1998" s="27" t="str">
        <f>IF($N1998="","",INDEX('_calc'!$I$2:$I$3001,$N1998))</f>
        <v/>
      </c>
      <c r="K1998" s="28" t="str">
        <f>IF($N1998="","",IF(OR(I1998="",J1998=""),"",J1998-I1998))</f>
        <v/>
      </c>
      <c r="L1998" s="29" t="str">
        <f>IF($N1998="","",INDEX('_calc'!$J$2:$J$3001,$N1998))</f>
        <v/>
      </c>
      <c r="M1998" s="2" t="str">
        <f>IF($N1998="","",IF(AND(G1998=0,H1998=0),"수량 없음",IF(G1998=0,"신규 (전년 수량 없음)",IF(H1998=0,"당해 수량 없음",""))))</f>
        <v/>
      </c>
      <c r="N1998" t="str">
        <f>IF($B1998="","",MATCH($B1998,'_calc'!$L$2:$L$3001,0))</f>
        <v/>
      </c>
    </row>
    <row r="1999">
      <c r="B1999" s="24" t="str">
        <f>IF(ROW()-ROW($B$8)&gt;nComp,"",ROW()-ROW($B$8))</f>
        <v/>
      </c>
      <c r="C1999" t="str">
        <f>IF($N1999="","",INDEX('_calc'!$A$2:$A$3001,$N1999))</f>
        <v/>
      </c>
      <c r="D1999" s="25" t="str">
        <f>IF($N1999="","",INDEX('_calc'!$C$2:$C$3001,$N1999))</f>
        <v/>
      </c>
      <c r="E1999" s="25" t="str">
        <f>IF($N1999="","",INDEX('_calc'!$D$2:$D$3001,$N1999))</f>
        <v/>
      </c>
      <c r="F1999" s="26" t="str">
        <f>IF($N1999="","",IF($E$8=0,"",E1999/$E$8))</f>
        <v/>
      </c>
      <c r="G1999" s="25" t="str">
        <f>IF($N1999="","",INDEX('_calc'!$E$2:$E$3001,$N1999))</f>
        <v/>
      </c>
      <c r="H1999" s="25" t="str">
        <f>IF($N1999="","",INDEX('_calc'!$F$2:$F$3001,$N1999))</f>
        <v/>
      </c>
      <c r="I1999" s="27" t="str">
        <f>IF($N1999="","",INDEX('_calc'!$H$2:$H$3001,$N1999))</f>
        <v/>
      </c>
      <c r="J1999" s="27" t="str">
        <f>IF($N1999="","",INDEX('_calc'!$I$2:$I$3001,$N1999))</f>
        <v/>
      </c>
      <c r="K1999" s="28" t="str">
        <f>IF($N1999="","",IF(OR(I1999="",J1999=""),"",J1999-I1999))</f>
        <v/>
      </c>
      <c r="L1999" s="29" t="str">
        <f>IF($N1999="","",INDEX('_calc'!$J$2:$J$3001,$N1999))</f>
        <v/>
      </c>
      <c r="M1999" s="2" t="str">
        <f>IF($N1999="","",IF(AND(G1999=0,H1999=0),"수량 없음",IF(G1999=0,"신규 (전년 수량 없음)",IF(H1999=0,"당해 수량 없음",""))))</f>
        <v/>
      </c>
      <c r="N1999" t="str">
        <f>IF($B1999="","",MATCH($B1999,'_calc'!$L$2:$L$3001,0))</f>
        <v/>
      </c>
    </row>
    <row r="2000">
      <c r="B2000" s="24" t="str">
        <f>IF(ROW()-ROW($B$8)&gt;nComp,"",ROW()-ROW($B$8))</f>
        <v/>
      </c>
      <c r="C2000" t="str">
        <f>IF($N2000="","",INDEX('_calc'!$A$2:$A$3001,$N2000))</f>
        <v/>
      </c>
      <c r="D2000" s="25" t="str">
        <f>IF($N2000="","",INDEX('_calc'!$C$2:$C$3001,$N2000))</f>
        <v/>
      </c>
      <c r="E2000" s="25" t="str">
        <f>IF($N2000="","",INDEX('_calc'!$D$2:$D$3001,$N2000))</f>
        <v/>
      </c>
      <c r="F2000" s="26" t="str">
        <f>IF($N2000="","",IF($E$8=0,"",E2000/$E$8))</f>
        <v/>
      </c>
      <c r="G2000" s="25" t="str">
        <f>IF($N2000="","",INDEX('_calc'!$E$2:$E$3001,$N2000))</f>
        <v/>
      </c>
      <c r="H2000" s="25" t="str">
        <f>IF($N2000="","",INDEX('_calc'!$F$2:$F$3001,$N2000))</f>
        <v/>
      </c>
      <c r="I2000" s="27" t="str">
        <f>IF($N2000="","",INDEX('_calc'!$H$2:$H$3001,$N2000))</f>
        <v/>
      </c>
      <c r="J2000" s="27" t="str">
        <f>IF($N2000="","",INDEX('_calc'!$I$2:$I$3001,$N2000))</f>
        <v/>
      </c>
      <c r="K2000" s="28" t="str">
        <f>IF($N2000="","",IF(OR(I2000="",J2000=""),"",J2000-I2000))</f>
        <v/>
      </c>
      <c r="L2000" s="29" t="str">
        <f>IF($N2000="","",INDEX('_calc'!$J$2:$J$3001,$N2000))</f>
        <v/>
      </c>
      <c r="M2000" s="2" t="str">
        <f>IF($N2000="","",IF(AND(G2000=0,H2000=0),"수량 없음",IF(G2000=0,"신규 (전년 수량 없음)",IF(H2000=0,"당해 수량 없음",""))))</f>
        <v/>
      </c>
      <c r="N2000" t="str">
        <f>IF($B2000="","",MATCH($B2000,'_calc'!$L$2:$L$3001,0))</f>
        <v/>
      </c>
    </row>
    <row r="2001">
      <c r="B2001" s="24" t="str">
        <f>IF(ROW()-ROW($B$8)&gt;nComp,"",ROW()-ROW($B$8))</f>
        <v/>
      </c>
      <c r="C2001" t="str">
        <f>IF($N2001="","",INDEX('_calc'!$A$2:$A$3001,$N2001))</f>
        <v/>
      </c>
      <c r="D2001" s="25" t="str">
        <f>IF($N2001="","",INDEX('_calc'!$C$2:$C$3001,$N2001))</f>
        <v/>
      </c>
      <c r="E2001" s="25" t="str">
        <f>IF($N2001="","",INDEX('_calc'!$D$2:$D$3001,$N2001))</f>
        <v/>
      </c>
      <c r="F2001" s="26" t="str">
        <f>IF($N2001="","",IF($E$8=0,"",E2001/$E$8))</f>
        <v/>
      </c>
      <c r="G2001" s="25" t="str">
        <f>IF($N2001="","",INDEX('_calc'!$E$2:$E$3001,$N2001))</f>
        <v/>
      </c>
      <c r="H2001" s="25" t="str">
        <f>IF($N2001="","",INDEX('_calc'!$F$2:$F$3001,$N2001))</f>
        <v/>
      </c>
      <c r="I2001" s="27" t="str">
        <f>IF($N2001="","",INDEX('_calc'!$H$2:$H$3001,$N2001))</f>
        <v/>
      </c>
      <c r="J2001" s="27" t="str">
        <f>IF($N2001="","",INDEX('_calc'!$I$2:$I$3001,$N2001))</f>
        <v/>
      </c>
      <c r="K2001" s="28" t="str">
        <f>IF($N2001="","",IF(OR(I2001="",J2001=""),"",J2001-I2001))</f>
        <v/>
      </c>
      <c r="L2001" s="29" t="str">
        <f>IF($N2001="","",INDEX('_calc'!$J$2:$J$3001,$N2001))</f>
        <v/>
      </c>
      <c r="M2001" s="2" t="str">
        <f>IF($N2001="","",IF(AND(G2001=0,H2001=0),"수량 없음",IF(G2001=0,"신규 (전년 수량 없음)",IF(H2001=0,"당해 수량 없음",""))))</f>
        <v/>
      </c>
      <c r="N2001" t="str">
        <f>IF($B2001="","",MATCH($B2001,'_calc'!$L$2:$L$3001,0))</f>
        <v/>
      </c>
    </row>
    <row r="2002">
      <c r="B2002" s="24" t="str">
        <f>IF(ROW()-ROW($B$8)&gt;nComp,"",ROW()-ROW($B$8))</f>
        <v/>
      </c>
      <c r="C2002" t="str">
        <f>IF($N2002="","",INDEX('_calc'!$A$2:$A$3001,$N2002))</f>
        <v/>
      </c>
      <c r="D2002" s="25" t="str">
        <f>IF($N2002="","",INDEX('_calc'!$C$2:$C$3001,$N2002))</f>
        <v/>
      </c>
      <c r="E2002" s="25" t="str">
        <f>IF($N2002="","",INDEX('_calc'!$D$2:$D$3001,$N2002))</f>
        <v/>
      </c>
      <c r="F2002" s="26" t="str">
        <f>IF($N2002="","",IF($E$8=0,"",E2002/$E$8))</f>
        <v/>
      </c>
      <c r="G2002" s="25" t="str">
        <f>IF($N2002="","",INDEX('_calc'!$E$2:$E$3001,$N2002))</f>
        <v/>
      </c>
      <c r="H2002" s="25" t="str">
        <f>IF($N2002="","",INDEX('_calc'!$F$2:$F$3001,$N2002))</f>
        <v/>
      </c>
      <c r="I2002" s="27" t="str">
        <f>IF($N2002="","",INDEX('_calc'!$H$2:$H$3001,$N2002))</f>
        <v/>
      </c>
      <c r="J2002" s="27" t="str">
        <f>IF($N2002="","",INDEX('_calc'!$I$2:$I$3001,$N2002))</f>
        <v/>
      </c>
      <c r="K2002" s="28" t="str">
        <f>IF($N2002="","",IF(OR(I2002="",J2002=""),"",J2002-I2002))</f>
        <v/>
      </c>
      <c r="L2002" s="29" t="str">
        <f>IF($N2002="","",INDEX('_calc'!$J$2:$J$3001,$N2002))</f>
        <v/>
      </c>
      <c r="M2002" s="2" t="str">
        <f>IF($N2002="","",IF(AND(G2002=0,H2002=0),"수량 없음",IF(G2002=0,"신규 (전년 수량 없음)",IF(H2002=0,"당해 수량 없음",""))))</f>
        <v/>
      </c>
      <c r="N2002" t="str">
        <f>IF($B2002="","",MATCH($B2002,'_calc'!$L$2:$L$3001,0))</f>
        <v/>
      </c>
    </row>
    <row r="2003">
      <c r="B2003" s="24" t="str">
        <f>IF(ROW()-ROW($B$8)&gt;nComp,"",ROW()-ROW($B$8))</f>
        <v/>
      </c>
      <c r="C2003" t="str">
        <f>IF($N2003="","",INDEX('_calc'!$A$2:$A$3001,$N2003))</f>
        <v/>
      </c>
      <c r="D2003" s="25" t="str">
        <f>IF($N2003="","",INDEX('_calc'!$C$2:$C$3001,$N2003))</f>
        <v/>
      </c>
      <c r="E2003" s="25" t="str">
        <f>IF($N2003="","",INDEX('_calc'!$D$2:$D$3001,$N2003))</f>
        <v/>
      </c>
      <c r="F2003" s="26" t="str">
        <f>IF($N2003="","",IF($E$8=0,"",E2003/$E$8))</f>
        <v/>
      </c>
      <c r="G2003" s="25" t="str">
        <f>IF($N2003="","",INDEX('_calc'!$E$2:$E$3001,$N2003))</f>
        <v/>
      </c>
      <c r="H2003" s="25" t="str">
        <f>IF($N2003="","",INDEX('_calc'!$F$2:$F$3001,$N2003))</f>
        <v/>
      </c>
      <c r="I2003" s="27" t="str">
        <f>IF($N2003="","",INDEX('_calc'!$H$2:$H$3001,$N2003))</f>
        <v/>
      </c>
      <c r="J2003" s="27" t="str">
        <f>IF($N2003="","",INDEX('_calc'!$I$2:$I$3001,$N2003))</f>
        <v/>
      </c>
      <c r="K2003" s="28" t="str">
        <f>IF($N2003="","",IF(OR(I2003="",J2003=""),"",J2003-I2003))</f>
        <v/>
      </c>
      <c r="L2003" s="29" t="str">
        <f>IF($N2003="","",INDEX('_calc'!$J$2:$J$3001,$N2003))</f>
        <v/>
      </c>
      <c r="M2003" s="2" t="str">
        <f>IF($N2003="","",IF(AND(G2003=0,H2003=0),"수량 없음",IF(G2003=0,"신규 (전년 수량 없음)",IF(H2003=0,"당해 수량 없음",""))))</f>
        <v/>
      </c>
      <c r="N2003" t="str">
        <f>IF($B2003="","",MATCH($B2003,'_calc'!$L$2:$L$3001,0))</f>
        <v/>
      </c>
    </row>
    <row r="2004">
      <c r="B2004" s="24" t="str">
        <f>IF(ROW()-ROW($B$8)&gt;nComp,"",ROW()-ROW($B$8))</f>
        <v/>
      </c>
      <c r="C2004" t="str">
        <f>IF($N2004="","",INDEX('_calc'!$A$2:$A$3001,$N2004))</f>
        <v/>
      </c>
      <c r="D2004" s="25" t="str">
        <f>IF($N2004="","",INDEX('_calc'!$C$2:$C$3001,$N2004))</f>
        <v/>
      </c>
      <c r="E2004" s="25" t="str">
        <f>IF($N2004="","",INDEX('_calc'!$D$2:$D$3001,$N2004))</f>
        <v/>
      </c>
      <c r="F2004" s="26" t="str">
        <f>IF($N2004="","",IF($E$8=0,"",E2004/$E$8))</f>
        <v/>
      </c>
      <c r="G2004" s="25" t="str">
        <f>IF($N2004="","",INDEX('_calc'!$E$2:$E$3001,$N2004))</f>
        <v/>
      </c>
      <c r="H2004" s="25" t="str">
        <f>IF($N2004="","",INDEX('_calc'!$F$2:$F$3001,$N2004))</f>
        <v/>
      </c>
      <c r="I2004" s="27" t="str">
        <f>IF($N2004="","",INDEX('_calc'!$H$2:$H$3001,$N2004))</f>
        <v/>
      </c>
      <c r="J2004" s="27" t="str">
        <f>IF($N2004="","",INDEX('_calc'!$I$2:$I$3001,$N2004))</f>
        <v/>
      </c>
      <c r="K2004" s="28" t="str">
        <f>IF($N2004="","",IF(OR(I2004="",J2004=""),"",J2004-I2004))</f>
        <v/>
      </c>
      <c r="L2004" s="29" t="str">
        <f>IF($N2004="","",INDEX('_calc'!$J$2:$J$3001,$N2004))</f>
        <v/>
      </c>
      <c r="M2004" s="2" t="str">
        <f>IF($N2004="","",IF(AND(G2004=0,H2004=0),"수량 없음",IF(G2004=0,"신규 (전년 수량 없음)",IF(H2004=0,"당해 수량 없음",""))))</f>
        <v/>
      </c>
      <c r="N2004" t="str">
        <f>IF($B2004="","",MATCH($B2004,'_calc'!$L$2:$L$3001,0))</f>
        <v/>
      </c>
    </row>
    <row r="2005">
      <c r="B2005" s="24" t="str">
        <f>IF(ROW()-ROW($B$8)&gt;nComp,"",ROW()-ROW($B$8))</f>
        <v/>
      </c>
      <c r="C2005" t="str">
        <f>IF($N2005="","",INDEX('_calc'!$A$2:$A$3001,$N2005))</f>
        <v/>
      </c>
      <c r="D2005" s="25" t="str">
        <f>IF($N2005="","",INDEX('_calc'!$C$2:$C$3001,$N2005))</f>
        <v/>
      </c>
      <c r="E2005" s="25" t="str">
        <f>IF($N2005="","",INDEX('_calc'!$D$2:$D$3001,$N2005))</f>
        <v/>
      </c>
      <c r="F2005" s="26" t="str">
        <f>IF($N2005="","",IF($E$8=0,"",E2005/$E$8))</f>
        <v/>
      </c>
      <c r="G2005" s="25" t="str">
        <f>IF($N2005="","",INDEX('_calc'!$E$2:$E$3001,$N2005))</f>
        <v/>
      </c>
      <c r="H2005" s="25" t="str">
        <f>IF($N2005="","",INDEX('_calc'!$F$2:$F$3001,$N2005))</f>
        <v/>
      </c>
      <c r="I2005" s="27" t="str">
        <f>IF($N2005="","",INDEX('_calc'!$H$2:$H$3001,$N2005))</f>
        <v/>
      </c>
      <c r="J2005" s="27" t="str">
        <f>IF($N2005="","",INDEX('_calc'!$I$2:$I$3001,$N2005))</f>
        <v/>
      </c>
      <c r="K2005" s="28" t="str">
        <f>IF($N2005="","",IF(OR(I2005="",J2005=""),"",J2005-I2005))</f>
        <v/>
      </c>
      <c r="L2005" s="29" t="str">
        <f>IF($N2005="","",INDEX('_calc'!$J$2:$J$3001,$N2005))</f>
        <v/>
      </c>
      <c r="M2005" s="2" t="str">
        <f>IF($N2005="","",IF(AND(G2005=0,H2005=0),"수량 없음",IF(G2005=0,"신규 (전년 수량 없음)",IF(H2005=0,"당해 수량 없음",""))))</f>
        <v/>
      </c>
      <c r="N2005" t="str">
        <f>IF($B2005="","",MATCH($B2005,'_calc'!$L$2:$L$3001,0))</f>
        <v/>
      </c>
    </row>
    <row r="2006">
      <c r="B2006" s="24" t="str">
        <f>IF(ROW()-ROW($B$8)&gt;nComp,"",ROW()-ROW($B$8))</f>
        <v/>
      </c>
      <c r="C2006" t="str">
        <f>IF($N2006="","",INDEX('_calc'!$A$2:$A$3001,$N2006))</f>
        <v/>
      </c>
      <c r="D2006" s="25" t="str">
        <f>IF($N2006="","",INDEX('_calc'!$C$2:$C$3001,$N2006))</f>
        <v/>
      </c>
      <c r="E2006" s="25" t="str">
        <f>IF($N2006="","",INDEX('_calc'!$D$2:$D$3001,$N2006))</f>
        <v/>
      </c>
      <c r="F2006" s="26" t="str">
        <f>IF($N2006="","",IF($E$8=0,"",E2006/$E$8))</f>
        <v/>
      </c>
      <c r="G2006" s="25" t="str">
        <f>IF($N2006="","",INDEX('_calc'!$E$2:$E$3001,$N2006))</f>
        <v/>
      </c>
      <c r="H2006" s="25" t="str">
        <f>IF($N2006="","",INDEX('_calc'!$F$2:$F$3001,$N2006))</f>
        <v/>
      </c>
      <c r="I2006" s="27" t="str">
        <f>IF($N2006="","",INDEX('_calc'!$H$2:$H$3001,$N2006))</f>
        <v/>
      </c>
      <c r="J2006" s="27" t="str">
        <f>IF($N2006="","",INDEX('_calc'!$I$2:$I$3001,$N2006))</f>
        <v/>
      </c>
      <c r="K2006" s="28" t="str">
        <f>IF($N2006="","",IF(OR(I2006="",J2006=""),"",J2006-I2006))</f>
        <v/>
      </c>
      <c r="L2006" s="29" t="str">
        <f>IF($N2006="","",INDEX('_calc'!$J$2:$J$3001,$N2006))</f>
        <v/>
      </c>
      <c r="M2006" s="2" t="str">
        <f>IF($N2006="","",IF(AND(G2006=0,H2006=0),"수량 없음",IF(G2006=0,"신규 (전년 수량 없음)",IF(H2006=0,"당해 수량 없음",""))))</f>
        <v/>
      </c>
      <c r="N2006" t="str">
        <f>IF($B2006="","",MATCH($B2006,'_calc'!$L$2:$L$3001,0))</f>
        <v/>
      </c>
    </row>
    <row r="2007">
      <c r="B2007" s="24" t="str">
        <f>IF(ROW()-ROW($B$8)&gt;nComp,"",ROW()-ROW($B$8))</f>
        <v/>
      </c>
      <c r="C2007" t="str">
        <f>IF($N2007="","",INDEX('_calc'!$A$2:$A$3001,$N2007))</f>
        <v/>
      </c>
      <c r="D2007" s="25" t="str">
        <f>IF($N2007="","",INDEX('_calc'!$C$2:$C$3001,$N2007))</f>
        <v/>
      </c>
      <c r="E2007" s="25" t="str">
        <f>IF($N2007="","",INDEX('_calc'!$D$2:$D$3001,$N2007))</f>
        <v/>
      </c>
      <c r="F2007" s="26" t="str">
        <f>IF($N2007="","",IF($E$8=0,"",E2007/$E$8))</f>
        <v/>
      </c>
      <c r="G2007" s="25" t="str">
        <f>IF($N2007="","",INDEX('_calc'!$E$2:$E$3001,$N2007))</f>
        <v/>
      </c>
      <c r="H2007" s="25" t="str">
        <f>IF($N2007="","",INDEX('_calc'!$F$2:$F$3001,$N2007))</f>
        <v/>
      </c>
      <c r="I2007" s="27" t="str">
        <f>IF($N2007="","",INDEX('_calc'!$H$2:$H$3001,$N2007))</f>
        <v/>
      </c>
      <c r="J2007" s="27" t="str">
        <f>IF($N2007="","",INDEX('_calc'!$I$2:$I$3001,$N2007))</f>
        <v/>
      </c>
      <c r="K2007" s="28" t="str">
        <f>IF($N2007="","",IF(OR(I2007="",J2007=""),"",J2007-I2007))</f>
        <v/>
      </c>
      <c r="L2007" s="29" t="str">
        <f>IF($N2007="","",INDEX('_calc'!$J$2:$J$3001,$N2007))</f>
        <v/>
      </c>
      <c r="M2007" s="2" t="str">
        <f>IF($N2007="","",IF(AND(G2007=0,H2007=0),"수량 없음",IF(G2007=0,"신규 (전년 수량 없음)",IF(H2007=0,"당해 수량 없음",""))))</f>
        <v/>
      </c>
      <c r="N2007" t="str">
        <f>IF($B2007="","",MATCH($B2007,'_calc'!$L$2:$L$3001,0))</f>
        <v/>
      </c>
    </row>
    <row r="2008">
      <c r="B2008" s="24" t="str">
        <f>IF(ROW()-ROW($B$8)&gt;nComp,"",ROW()-ROW($B$8))</f>
        <v/>
      </c>
      <c r="C2008" t="str">
        <f>IF($N2008="","",INDEX('_calc'!$A$2:$A$3001,$N2008))</f>
        <v/>
      </c>
      <c r="D2008" s="25" t="str">
        <f>IF($N2008="","",INDEX('_calc'!$C$2:$C$3001,$N2008))</f>
        <v/>
      </c>
      <c r="E2008" s="25" t="str">
        <f>IF($N2008="","",INDEX('_calc'!$D$2:$D$3001,$N2008))</f>
        <v/>
      </c>
      <c r="F2008" s="26" t="str">
        <f>IF($N2008="","",IF($E$8=0,"",E2008/$E$8))</f>
        <v/>
      </c>
      <c r="G2008" s="25" t="str">
        <f>IF($N2008="","",INDEX('_calc'!$E$2:$E$3001,$N2008))</f>
        <v/>
      </c>
      <c r="H2008" s="25" t="str">
        <f>IF($N2008="","",INDEX('_calc'!$F$2:$F$3001,$N2008))</f>
        <v/>
      </c>
      <c r="I2008" s="27" t="str">
        <f>IF($N2008="","",INDEX('_calc'!$H$2:$H$3001,$N2008))</f>
        <v/>
      </c>
      <c r="J2008" s="27" t="str">
        <f>IF($N2008="","",INDEX('_calc'!$I$2:$I$3001,$N2008))</f>
        <v/>
      </c>
      <c r="K2008" s="28" t="str">
        <f>IF($N2008="","",IF(OR(I2008="",J2008=""),"",J2008-I2008))</f>
        <v/>
      </c>
      <c r="L2008" s="29" t="str">
        <f>IF($N2008="","",INDEX('_calc'!$J$2:$J$3001,$N2008))</f>
        <v/>
      </c>
      <c r="M2008" s="2" t="str">
        <f>IF($N2008="","",IF(AND(G2008=0,H2008=0),"수량 없음",IF(G2008=0,"신규 (전년 수량 없음)",IF(H2008=0,"당해 수량 없음",""))))</f>
        <v/>
      </c>
      <c r="N2008" t="str">
        <f>IF($B2008="","",MATCH($B2008,'_calc'!$L$2:$L$3001,0))</f>
        <v/>
      </c>
    </row>
    <row r="2009">
      <c r="B2009" s="24" t="str">
        <f>IF(ROW()-ROW($B$8)&gt;nComp,"",ROW()-ROW($B$8))</f>
        <v/>
      </c>
      <c r="C2009" t="str">
        <f>IF($N2009="","",INDEX('_calc'!$A$2:$A$3001,$N2009))</f>
        <v/>
      </c>
      <c r="D2009" s="25" t="str">
        <f>IF($N2009="","",INDEX('_calc'!$C$2:$C$3001,$N2009))</f>
        <v/>
      </c>
      <c r="E2009" s="25" t="str">
        <f>IF($N2009="","",INDEX('_calc'!$D$2:$D$3001,$N2009))</f>
        <v/>
      </c>
      <c r="F2009" s="26" t="str">
        <f>IF($N2009="","",IF($E$8=0,"",E2009/$E$8))</f>
        <v/>
      </c>
      <c r="G2009" s="25" t="str">
        <f>IF($N2009="","",INDEX('_calc'!$E$2:$E$3001,$N2009))</f>
        <v/>
      </c>
      <c r="H2009" s="25" t="str">
        <f>IF($N2009="","",INDEX('_calc'!$F$2:$F$3001,$N2009))</f>
        <v/>
      </c>
      <c r="I2009" s="27" t="str">
        <f>IF($N2009="","",INDEX('_calc'!$H$2:$H$3001,$N2009))</f>
        <v/>
      </c>
      <c r="J2009" s="27" t="str">
        <f>IF($N2009="","",INDEX('_calc'!$I$2:$I$3001,$N2009))</f>
        <v/>
      </c>
      <c r="K2009" s="28" t="str">
        <f>IF($N2009="","",IF(OR(I2009="",J2009=""),"",J2009-I2009))</f>
        <v/>
      </c>
      <c r="L2009" s="29" t="str">
        <f>IF($N2009="","",INDEX('_calc'!$J$2:$J$3001,$N2009))</f>
        <v/>
      </c>
      <c r="M2009" s="2" t="str">
        <f>IF($N2009="","",IF(AND(G2009=0,H2009=0),"수량 없음",IF(G2009=0,"신규 (전년 수량 없음)",IF(H2009=0,"당해 수량 없음",""))))</f>
        <v/>
      </c>
      <c r="N2009" t="str">
        <f>IF($B2009="","",MATCH($B2009,'_calc'!$L$2:$L$3001,0))</f>
        <v/>
      </c>
    </row>
    <row r="2010">
      <c r="B2010" s="24" t="str">
        <f>IF(ROW()-ROW($B$8)&gt;nComp,"",ROW()-ROW($B$8))</f>
        <v/>
      </c>
      <c r="C2010" t="str">
        <f>IF($N2010="","",INDEX('_calc'!$A$2:$A$3001,$N2010))</f>
        <v/>
      </c>
      <c r="D2010" s="25" t="str">
        <f>IF($N2010="","",INDEX('_calc'!$C$2:$C$3001,$N2010))</f>
        <v/>
      </c>
      <c r="E2010" s="25" t="str">
        <f>IF($N2010="","",INDEX('_calc'!$D$2:$D$3001,$N2010))</f>
        <v/>
      </c>
      <c r="F2010" s="26" t="str">
        <f>IF($N2010="","",IF($E$8=0,"",E2010/$E$8))</f>
        <v/>
      </c>
      <c r="G2010" s="25" t="str">
        <f>IF($N2010="","",INDEX('_calc'!$E$2:$E$3001,$N2010))</f>
        <v/>
      </c>
      <c r="H2010" s="25" t="str">
        <f>IF($N2010="","",INDEX('_calc'!$F$2:$F$3001,$N2010))</f>
        <v/>
      </c>
      <c r="I2010" s="27" t="str">
        <f>IF($N2010="","",INDEX('_calc'!$H$2:$H$3001,$N2010))</f>
        <v/>
      </c>
      <c r="J2010" s="27" t="str">
        <f>IF($N2010="","",INDEX('_calc'!$I$2:$I$3001,$N2010))</f>
        <v/>
      </c>
      <c r="K2010" s="28" t="str">
        <f>IF($N2010="","",IF(OR(I2010="",J2010=""),"",J2010-I2010))</f>
        <v/>
      </c>
      <c r="L2010" s="29" t="str">
        <f>IF($N2010="","",INDEX('_calc'!$J$2:$J$3001,$N2010))</f>
        <v/>
      </c>
      <c r="M2010" s="2" t="str">
        <f>IF($N2010="","",IF(AND(G2010=0,H2010=0),"수량 없음",IF(G2010=0,"신규 (전년 수량 없음)",IF(H2010=0,"당해 수량 없음",""))))</f>
        <v/>
      </c>
      <c r="N2010" t="str">
        <f>IF($B2010="","",MATCH($B2010,'_calc'!$L$2:$L$3001,0))</f>
        <v/>
      </c>
    </row>
    <row r="2011">
      <c r="B2011" s="24" t="str">
        <f>IF(ROW()-ROW($B$8)&gt;nComp,"",ROW()-ROW($B$8))</f>
        <v/>
      </c>
      <c r="C2011" t="str">
        <f>IF($N2011="","",INDEX('_calc'!$A$2:$A$3001,$N2011))</f>
        <v/>
      </c>
      <c r="D2011" s="25" t="str">
        <f>IF($N2011="","",INDEX('_calc'!$C$2:$C$3001,$N2011))</f>
        <v/>
      </c>
      <c r="E2011" s="25" t="str">
        <f>IF($N2011="","",INDEX('_calc'!$D$2:$D$3001,$N2011))</f>
        <v/>
      </c>
      <c r="F2011" s="26" t="str">
        <f>IF($N2011="","",IF($E$8=0,"",E2011/$E$8))</f>
        <v/>
      </c>
      <c r="G2011" s="25" t="str">
        <f>IF($N2011="","",INDEX('_calc'!$E$2:$E$3001,$N2011))</f>
        <v/>
      </c>
      <c r="H2011" s="25" t="str">
        <f>IF($N2011="","",INDEX('_calc'!$F$2:$F$3001,$N2011))</f>
        <v/>
      </c>
      <c r="I2011" s="27" t="str">
        <f>IF($N2011="","",INDEX('_calc'!$H$2:$H$3001,$N2011))</f>
        <v/>
      </c>
      <c r="J2011" s="27" t="str">
        <f>IF($N2011="","",INDEX('_calc'!$I$2:$I$3001,$N2011))</f>
        <v/>
      </c>
      <c r="K2011" s="28" t="str">
        <f>IF($N2011="","",IF(OR(I2011="",J2011=""),"",J2011-I2011))</f>
        <v/>
      </c>
      <c r="L2011" s="29" t="str">
        <f>IF($N2011="","",INDEX('_calc'!$J$2:$J$3001,$N2011))</f>
        <v/>
      </c>
      <c r="M2011" s="2" t="str">
        <f>IF($N2011="","",IF(AND(G2011=0,H2011=0),"수량 없음",IF(G2011=0,"신규 (전년 수량 없음)",IF(H2011=0,"당해 수량 없음",""))))</f>
        <v/>
      </c>
      <c r="N2011" t="str">
        <f>IF($B2011="","",MATCH($B2011,'_calc'!$L$2:$L$3001,0))</f>
        <v/>
      </c>
    </row>
    <row r="2012">
      <c r="B2012" s="24" t="str">
        <f>IF(ROW()-ROW($B$8)&gt;nComp,"",ROW()-ROW($B$8))</f>
        <v/>
      </c>
      <c r="C2012" t="str">
        <f>IF($N2012="","",INDEX('_calc'!$A$2:$A$3001,$N2012))</f>
        <v/>
      </c>
      <c r="D2012" s="25" t="str">
        <f>IF($N2012="","",INDEX('_calc'!$C$2:$C$3001,$N2012))</f>
        <v/>
      </c>
      <c r="E2012" s="25" t="str">
        <f>IF($N2012="","",INDEX('_calc'!$D$2:$D$3001,$N2012))</f>
        <v/>
      </c>
      <c r="F2012" s="26" t="str">
        <f>IF($N2012="","",IF($E$8=0,"",E2012/$E$8))</f>
        <v/>
      </c>
      <c r="G2012" s="25" t="str">
        <f>IF($N2012="","",INDEX('_calc'!$E$2:$E$3001,$N2012))</f>
        <v/>
      </c>
      <c r="H2012" s="25" t="str">
        <f>IF($N2012="","",INDEX('_calc'!$F$2:$F$3001,$N2012))</f>
        <v/>
      </c>
      <c r="I2012" s="27" t="str">
        <f>IF($N2012="","",INDEX('_calc'!$H$2:$H$3001,$N2012))</f>
        <v/>
      </c>
      <c r="J2012" s="27" t="str">
        <f>IF($N2012="","",INDEX('_calc'!$I$2:$I$3001,$N2012))</f>
        <v/>
      </c>
      <c r="K2012" s="28" t="str">
        <f>IF($N2012="","",IF(OR(I2012="",J2012=""),"",J2012-I2012))</f>
        <v/>
      </c>
      <c r="L2012" s="29" t="str">
        <f>IF($N2012="","",INDEX('_calc'!$J$2:$J$3001,$N2012))</f>
        <v/>
      </c>
      <c r="M2012" s="2" t="str">
        <f>IF($N2012="","",IF(AND(G2012=0,H2012=0),"수량 없음",IF(G2012=0,"신규 (전년 수량 없음)",IF(H2012=0,"당해 수량 없음",""))))</f>
        <v/>
      </c>
      <c r="N2012" t="str">
        <f>IF($B2012="","",MATCH($B2012,'_calc'!$L$2:$L$3001,0))</f>
        <v/>
      </c>
    </row>
    <row r="2013">
      <c r="B2013" s="24" t="str">
        <f>IF(ROW()-ROW($B$8)&gt;nComp,"",ROW()-ROW($B$8))</f>
        <v/>
      </c>
      <c r="C2013" t="str">
        <f>IF($N2013="","",INDEX('_calc'!$A$2:$A$3001,$N2013))</f>
        <v/>
      </c>
      <c r="D2013" s="25" t="str">
        <f>IF($N2013="","",INDEX('_calc'!$C$2:$C$3001,$N2013))</f>
        <v/>
      </c>
      <c r="E2013" s="25" t="str">
        <f>IF($N2013="","",INDEX('_calc'!$D$2:$D$3001,$N2013))</f>
        <v/>
      </c>
      <c r="F2013" s="26" t="str">
        <f>IF($N2013="","",IF($E$8=0,"",E2013/$E$8))</f>
        <v/>
      </c>
      <c r="G2013" s="25" t="str">
        <f>IF($N2013="","",INDEX('_calc'!$E$2:$E$3001,$N2013))</f>
        <v/>
      </c>
      <c r="H2013" s="25" t="str">
        <f>IF($N2013="","",INDEX('_calc'!$F$2:$F$3001,$N2013))</f>
        <v/>
      </c>
      <c r="I2013" s="27" t="str">
        <f>IF($N2013="","",INDEX('_calc'!$H$2:$H$3001,$N2013))</f>
        <v/>
      </c>
      <c r="J2013" s="27" t="str">
        <f>IF($N2013="","",INDEX('_calc'!$I$2:$I$3001,$N2013))</f>
        <v/>
      </c>
      <c r="K2013" s="28" t="str">
        <f>IF($N2013="","",IF(OR(I2013="",J2013=""),"",J2013-I2013))</f>
        <v/>
      </c>
      <c r="L2013" s="29" t="str">
        <f>IF($N2013="","",INDEX('_calc'!$J$2:$J$3001,$N2013))</f>
        <v/>
      </c>
      <c r="M2013" s="2" t="str">
        <f>IF($N2013="","",IF(AND(G2013=0,H2013=0),"수량 없음",IF(G2013=0,"신규 (전년 수량 없음)",IF(H2013=0,"당해 수량 없음",""))))</f>
        <v/>
      </c>
      <c r="N2013" t="str">
        <f>IF($B2013="","",MATCH($B2013,'_calc'!$L$2:$L$3001,0))</f>
        <v/>
      </c>
    </row>
    <row r="2014">
      <c r="B2014" s="24" t="str">
        <f>IF(ROW()-ROW($B$8)&gt;nComp,"",ROW()-ROW($B$8))</f>
        <v/>
      </c>
      <c r="C2014" t="str">
        <f>IF($N2014="","",INDEX('_calc'!$A$2:$A$3001,$N2014))</f>
        <v/>
      </c>
      <c r="D2014" s="25" t="str">
        <f>IF($N2014="","",INDEX('_calc'!$C$2:$C$3001,$N2014))</f>
        <v/>
      </c>
      <c r="E2014" s="25" t="str">
        <f>IF($N2014="","",INDEX('_calc'!$D$2:$D$3001,$N2014))</f>
        <v/>
      </c>
      <c r="F2014" s="26" t="str">
        <f>IF($N2014="","",IF($E$8=0,"",E2014/$E$8))</f>
        <v/>
      </c>
      <c r="G2014" s="25" t="str">
        <f>IF($N2014="","",INDEX('_calc'!$E$2:$E$3001,$N2014))</f>
        <v/>
      </c>
      <c r="H2014" s="25" t="str">
        <f>IF($N2014="","",INDEX('_calc'!$F$2:$F$3001,$N2014))</f>
        <v/>
      </c>
      <c r="I2014" s="27" t="str">
        <f>IF($N2014="","",INDEX('_calc'!$H$2:$H$3001,$N2014))</f>
        <v/>
      </c>
      <c r="J2014" s="27" t="str">
        <f>IF($N2014="","",INDEX('_calc'!$I$2:$I$3001,$N2014))</f>
        <v/>
      </c>
      <c r="K2014" s="28" t="str">
        <f>IF($N2014="","",IF(OR(I2014="",J2014=""),"",J2014-I2014))</f>
        <v/>
      </c>
      <c r="L2014" s="29" t="str">
        <f>IF($N2014="","",INDEX('_calc'!$J$2:$J$3001,$N2014))</f>
        <v/>
      </c>
      <c r="M2014" s="2" t="str">
        <f>IF($N2014="","",IF(AND(G2014=0,H2014=0),"수량 없음",IF(G2014=0,"신규 (전년 수량 없음)",IF(H2014=0,"당해 수량 없음",""))))</f>
        <v/>
      </c>
      <c r="N2014" t="str">
        <f>IF($B2014="","",MATCH($B2014,'_calc'!$L$2:$L$3001,0))</f>
        <v/>
      </c>
    </row>
    <row r="2015">
      <c r="B2015" s="24" t="str">
        <f>IF(ROW()-ROW($B$8)&gt;nComp,"",ROW()-ROW($B$8))</f>
        <v/>
      </c>
      <c r="C2015" t="str">
        <f>IF($N2015="","",INDEX('_calc'!$A$2:$A$3001,$N2015))</f>
        <v/>
      </c>
      <c r="D2015" s="25" t="str">
        <f>IF($N2015="","",INDEX('_calc'!$C$2:$C$3001,$N2015))</f>
        <v/>
      </c>
      <c r="E2015" s="25" t="str">
        <f>IF($N2015="","",INDEX('_calc'!$D$2:$D$3001,$N2015))</f>
        <v/>
      </c>
      <c r="F2015" s="26" t="str">
        <f>IF($N2015="","",IF($E$8=0,"",E2015/$E$8))</f>
        <v/>
      </c>
      <c r="G2015" s="25" t="str">
        <f>IF($N2015="","",INDEX('_calc'!$E$2:$E$3001,$N2015))</f>
        <v/>
      </c>
      <c r="H2015" s="25" t="str">
        <f>IF($N2015="","",INDEX('_calc'!$F$2:$F$3001,$N2015))</f>
        <v/>
      </c>
      <c r="I2015" s="27" t="str">
        <f>IF($N2015="","",INDEX('_calc'!$H$2:$H$3001,$N2015))</f>
        <v/>
      </c>
      <c r="J2015" s="27" t="str">
        <f>IF($N2015="","",INDEX('_calc'!$I$2:$I$3001,$N2015))</f>
        <v/>
      </c>
      <c r="K2015" s="28" t="str">
        <f>IF($N2015="","",IF(OR(I2015="",J2015=""),"",J2015-I2015))</f>
        <v/>
      </c>
      <c r="L2015" s="29" t="str">
        <f>IF($N2015="","",INDEX('_calc'!$J$2:$J$3001,$N2015))</f>
        <v/>
      </c>
      <c r="M2015" s="2" t="str">
        <f>IF($N2015="","",IF(AND(G2015=0,H2015=0),"수량 없음",IF(G2015=0,"신규 (전년 수량 없음)",IF(H2015=0,"당해 수량 없음",""))))</f>
        <v/>
      </c>
      <c r="N2015" t="str">
        <f>IF($B2015="","",MATCH($B2015,'_calc'!$L$2:$L$3001,0))</f>
        <v/>
      </c>
    </row>
    <row r="2016">
      <c r="B2016" s="24" t="str">
        <f>IF(ROW()-ROW($B$8)&gt;nComp,"",ROW()-ROW($B$8))</f>
        <v/>
      </c>
      <c r="C2016" t="str">
        <f>IF($N2016="","",INDEX('_calc'!$A$2:$A$3001,$N2016))</f>
        <v/>
      </c>
      <c r="D2016" s="25" t="str">
        <f>IF($N2016="","",INDEX('_calc'!$C$2:$C$3001,$N2016))</f>
        <v/>
      </c>
      <c r="E2016" s="25" t="str">
        <f>IF($N2016="","",INDEX('_calc'!$D$2:$D$3001,$N2016))</f>
        <v/>
      </c>
      <c r="F2016" s="26" t="str">
        <f>IF($N2016="","",IF($E$8=0,"",E2016/$E$8))</f>
        <v/>
      </c>
      <c r="G2016" s="25" t="str">
        <f>IF($N2016="","",INDEX('_calc'!$E$2:$E$3001,$N2016))</f>
        <v/>
      </c>
      <c r="H2016" s="25" t="str">
        <f>IF($N2016="","",INDEX('_calc'!$F$2:$F$3001,$N2016))</f>
        <v/>
      </c>
      <c r="I2016" s="27" t="str">
        <f>IF($N2016="","",INDEX('_calc'!$H$2:$H$3001,$N2016))</f>
        <v/>
      </c>
      <c r="J2016" s="27" t="str">
        <f>IF($N2016="","",INDEX('_calc'!$I$2:$I$3001,$N2016))</f>
        <v/>
      </c>
      <c r="K2016" s="28" t="str">
        <f>IF($N2016="","",IF(OR(I2016="",J2016=""),"",J2016-I2016))</f>
        <v/>
      </c>
      <c r="L2016" s="29" t="str">
        <f>IF($N2016="","",INDEX('_calc'!$J$2:$J$3001,$N2016))</f>
        <v/>
      </c>
      <c r="M2016" s="2" t="str">
        <f>IF($N2016="","",IF(AND(G2016=0,H2016=0),"수량 없음",IF(G2016=0,"신규 (전년 수량 없음)",IF(H2016=0,"당해 수량 없음",""))))</f>
        <v/>
      </c>
      <c r="N2016" t="str">
        <f>IF($B2016="","",MATCH($B2016,'_calc'!$L$2:$L$3001,0))</f>
        <v/>
      </c>
    </row>
    <row r="2017">
      <c r="B2017" s="24" t="str">
        <f>IF(ROW()-ROW($B$8)&gt;nComp,"",ROW()-ROW($B$8))</f>
        <v/>
      </c>
      <c r="C2017" t="str">
        <f>IF($N2017="","",INDEX('_calc'!$A$2:$A$3001,$N2017))</f>
        <v/>
      </c>
      <c r="D2017" s="25" t="str">
        <f>IF($N2017="","",INDEX('_calc'!$C$2:$C$3001,$N2017))</f>
        <v/>
      </c>
      <c r="E2017" s="25" t="str">
        <f>IF($N2017="","",INDEX('_calc'!$D$2:$D$3001,$N2017))</f>
        <v/>
      </c>
      <c r="F2017" s="26" t="str">
        <f>IF($N2017="","",IF($E$8=0,"",E2017/$E$8))</f>
        <v/>
      </c>
      <c r="G2017" s="25" t="str">
        <f>IF($N2017="","",INDEX('_calc'!$E$2:$E$3001,$N2017))</f>
        <v/>
      </c>
      <c r="H2017" s="25" t="str">
        <f>IF($N2017="","",INDEX('_calc'!$F$2:$F$3001,$N2017))</f>
        <v/>
      </c>
      <c r="I2017" s="27" t="str">
        <f>IF($N2017="","",INDEX('_calc'!$H$2:$H$3001,$N2017))</f>
        <v/>
      </c>
      <c r="J2017" s="27" t="str">
        <f>IF($N2017="","",INDEX('_calc'!$I$2:$I$3001,$N2017))</f>
        <v/>
      </c>
      <c r="K2017" s="28" t="str">
        <f>IF($N2017="","",IF(OR(I2017="",J2017=""),"",J2017-I2017))</f>
        <v/>
      </c>
      <c r="L2017" s="29" t="str">
        <f>IF($N2017="","",INDEX('_calc'!$J$2:$J$3001,$N2017))</f>
        <v/>
      </c>
      <c r="M2017" s="2" t="str">
        <f>IF($N2017="","",IF(AND(G2017=0,H2017=0),"수량 없음",IF(G2017=0,"신규 (전년 수량 없음)",IF(H2017=0,"당해 수량 없음",""))))</f>
        <v/>
      </c>
      <c r="N2017" t="str">
        <f>IF($B2017="","",MATCH($B2017,'_calc'!$L$2:$L$3001,0))</f>
        <v/>
      </c>
    </row>
    <row r="2018">
      <c r="B2018" s="24" t="str">
        <f>IF(ROW()-ROW($B$8)&gt;nComp,"",ROW()-ROW($B$8))</f>
        <v/>
      </c>
      <c r="C2018" t="str">
        <f>IF($N2018="","",INDEX('_calc'!$A$2:$A$3001,$N2018))</f>
        <v/>
      </c>
      <c r="D2018" s="25" t="str">
        <f>IF($N2018="","",INDEX('_calc'!$C$2:$C$3001,$N2018))</f>
        <v/>
      </c>
      <c r="E2018" s="25" t="str">
        <f>IF($N2018="","",INDEX('_calc'!$D$2:$D$3001,$N2018))</f>
        <v/>
      </c>
      <c r="F2018" s="26" t="str">
        <f>IF($N2018="","",IF($E$8=0,"",E2018/$E$8))</f>
        <v/>
      </c>
      <c r="G2018" s="25" t="str">
        <f>IF($N2018="","",INDEX('_calc'!$E$2:$E$3001,$N2018))</f>
        <v/>
      </c>
      <c r="H2018" s="25" t="str">
        <f>IF($N2018="","",INDEX('_calc'!$F$2:$F$3001,$N2018))</f>
        <v/>
      </c>
      <c r="I2018" s="27" t="str">
        <f>IF($N2018="","",INDEX('_calc'!$H$2:$H$3001,$N2018))</f>
        <v/>
      </c>
      <c r="J2018" s="27" t="str">
        <f>IF($N2018="","",INDEX('_calc'!$I$2:$I$3001,$N2018))</f>
        <v/>
      </c>
      <c r="K2018" s="28" t="str">
        <f>IF($N2018="","",IF(OR(I2018="",J2018=""),"",J2018-I2018))</f>
        <v/>
      </c>
      <c r="L2018" s="29" t="str">
        <f>IF($N2018="","",INDEX('_calc'!$J$2:$J$3001,$N2018))</f>
        <v/>
      </c>
      <c r="M2018" s="2" t="str">
        <f>IF($N2018="","",IF(AND(G2018=0,H2018=0),"수량 없음",IF(G2018=0,"신규 (전년 수량 없음)",IF(H2018=0,"당해 수량 없음",""))))</f>
        <v/>
      </c>
      <c r="N2018" t="str">
        <f>IF($B2018="","",MATCH($B2018,'_calc'!$L$2:$L$3001,0))</f>
        <v/>
      </c>
    </row>
    <row r="2019">
      <c r="B2019" s="24" t="str">
        <f>IF(ROW()-ROW($B$8)&gt;nComp,"",ROW()-ROW($B$8))</f>
        <v/>
      </c>
      <c r="C2019" t="str">
        <f>IF($N2019="","",INDEX('_calc'!$A$2:$A$3001,$N2019))</f>
        <v/>
      </c>
      <c r="D2019" s="25" t="str">
        <f>IF($N2019="","",INDEX('_calc'!$C$2:$C$3001,$N2019))</f>
        <v/>
      </c>
      <c r="E2019" s="25" t="str">
        <f>IF($N2019="","",INDEX('_calc'!$D$2:$D$3001,$N2019))</f>
        <v/>
      </c>
      <c r="F2019" s="26" t="str">
        <f>IF($N2019="","",IF($E$8=0,"",E2019/$E$8))</f>
        <v/>
      </c>
      <c r="G2019" s="25" t="str">
        <f>IF($N2019="","",INDEX('_calc'!$E$2:$E$3001,$N2019))</f>
        <v/>
      </c>
      <c r="H2019" s="25" t="str">
        <f>IF($N2019="","",INDEX('_calc'!$F$2:$F$3001,$N2019))</f>
        <v/>
      </c>
      <c r="I2019" s="27" t="str">
        <f>IF($N2019="","",INDEX('_calc'!$H$2:$H$3001,$N2019))</f>
        <v/>
      </c>
      <c r="J2019" s="27" t="str">
        <f>IF($N2019="","",INDEX('_calc'!$I$2:$I$3001,$N2019))</f>
        <v/>
      </c>
      <c r="K2019" s="28" t="str">
        <f>IF($N2019="","",IF(OR(I2019="",J2019=""),"",J2019-I2019))</f>
        <v/>
      </c>
      <c r="L2019" s="29" t="str">
        <f>IF($N2019="","",INDEX('_calc'!$J$2:$J$3001,$N2019))</f>
        <v/>
      </c>
      <c r="M2019" s="2" t="str">
        <f>IF($N2019="","",IF(AND(G2019=0,H2019=0),"수량 없음",IF(G2019=0,"신규 (전년 수량 없음)",IF(H2019=0,"당해 수량 없음",""))))</f>
        <v/>
      </c>
      <c r="N2019" t="str">
        <f>IF($B2019="","",MATCH($B2019,'_calc'!$L$2:$L$3001,0))</f>
        <v/>
      </c>
    </row>
    <row r="2020">
      <c r="B2020" s="24" t="str">
        <f>IF(ROW()-ROW($B$8)&gt;nComp,"",ROW()-ROW($B$8))</f>
        <v/>
      </c>
      <c r="C2020" t="str">
        <f>IF($N2020="","",INDEX('_calc'!$A$2:$A$3001,$N2020))</f>
        <v/>
      </c>
      <c r="D2020" s="25" t="str">
        <f>IF($N2020="","",INDEX('_calc'!$C$2:$C$3001,$N2020))</f>
        <v/>
      </c>
      <c r="E2020" s="25" t="str">
        <f>IF($N2020="","",INDEX('_calc'!$D$2:$D$3001,$N2020))</f>
        <v/>
      </c>
      <c r="F2020" s="26" t="str">
        <f>IF($N2020="","",IF($E$8=0,"",E2020/$E$8))</f>
        <v/>
      </c>
      <c r="G2020" s="25" t="str">
        <f>IF($N2020="","",INDEX('_calc'!$E$2:$E$3001,$N2020))</f>
        <v/>
      </c>
      <c r="H2020" s="25" t="str">
        <f>IF($N2020="","",INDEX('_calc'!$F$2:$F$3001,$N2020))</f>
        <v/>
      </c>
      <c r="I2020" s="27" t="str">
        <f>IF($N2020="","",INDEX('_calc'!$H$2:$H$3001,$N2020))</f>
        <v/>
      </c>
      <c r="J2020" s="27" t="str">
        <f>IF($N2020="","",INDEX('_calc'!$I$2:$I$3001,$N2020))</f>
        <v/>
      </c>
      <c r="K2020" s="28" t="str">
        <f>IF($N2020="","",IF(OR(I2020="",J2020=""),"",J2020-I2020))</f>
        <v/>
      </c>
      <c r="L2020" s="29" t="str">
        <f>IF($N2020="","",INDEX('_calc'!$J$2:$J$3001,$N2020))</f>
        <v/>
      </c>
      <c r="M2020" s="2" t="str">
        <f>IF($N2020="","",IF(AND(G2020=0,H2020=0),"수량 없음",IF(G2020=0,"신규 (전년 수량 없음)",IF(H2020=0,"당해 수량 없음",""))))</f>
        <v/>
      </c>
      <c r="N2020" t="str">
        <f>IF($B2020="","",MATCH($B2020,'_calc'!$L$2:$L$3001,0))</f>
        <v/>
      </c>
    </row>
    <row r="2021">
      <c r="B2021" s="24" t="str">
        <f>IF(ROW()-ROW($B$8)&gt;nComp,"",ROW()-ROW($B$8))</f>
        <v/>
      </c>
      <c r="C2021" t="str">
        <f>IF($N2021="","",INDEX('_calc'!$A$2:$A$3001,$N2021))</f>
        <v/>
      </c>
      <c r="D2021" s="25" t="str">
        <f>IF($N2021="","",INDEX('_calc'!$C$2:$C$3001,$N2021))</f>
        <v/>
      </c>
      <c r="E2021" s="25" t="str">
        <f>IF($N2021="","",INDEX('_calc'!$D$2:$D$3001,$N2021))</f>
        <v/>
      </c>
      <c r="F2021" s="26" t="str">
        <f>IF($N2021="","",IF($E$8=0,"",E2021/$E$8))</f>
        <v/>
      </c>
      <c r="G2021" s="25" t="str">
        <f>IF($N2021="","",INDEX('_calc'!$E$2:$E$3001,$N2021))</f>
        <v/>
      </c>
      <c r="H2021" s="25" t="str">
        <f>IF($N2021="","",INDEX('_calc'!$F$2:$F$3001,$N2021))</f>
        <v/>
      </c>
      <c r="I2021" s="27" t="str">
        <f>IF($N2021="","",INDEX('_calc'!$H$2:$H$3001,$N2021))</f>
        <v/>
      </c>
      <c r="J2021" s="27" t="str">
        <f>IF($N2021="","",INDEX('_calc'!$I$2:$I$3001,$N2021))</f>
        <v/>
      </c>
      <c r="K2021" s="28" t="str">
        <f>IF($N2021="","",IF(OR(I2021="",J2021=""),"",J2021-I2021))</f>
        <v/>
      </c>
      <c r="L2021" s="29" t="str">
        <f>IF($N2021="","",INDEX('_calc'!$J$2:$J$3001,$N2021))</f>
        <v/>
      </c>
      <c r="M2021" s="2" t="str">
        <f>IF($N2021="","",IF(AND(G2021=0,H2021=0),"수량 없음",IF(G2021=0,"신규 (전년 수량 없음)",IF(H2021=0,"당해 수량 없음",""))))</f>
        <v/>
      </c>
      <c r="N2021" t="str">
        <f>IF($B2021="","",MATCH($B2021,'_calc'!$L$2:$L$3001,0))</f>
        <v/>
      </c>
    </row>
    <row r="2022">
      <c r="B2022" s="24" t="str">
        <f>IF(ROW()-ROW($B$8)&gt;nComp,"",ROW()-ROW($B$8))</f>
        <v/>
      </c>
      <c r="C2022" t="str">
        <f>IF($N2022="","",INDEX('_calc'!$A$2:$A$3001,$N2022))</f>
        <v/>
      </c>
      <c r="D2022" s="25" t="str">
        <f>IF($N2022="","",INDEX('_calc'!$C$2:$C$3001,$N2022))</f>
        <v/>
      </c>
      <c r="E2022" s="25" t="str">
        <f>IF($N2022="","",INDEX('_calc'!$D$2:$D$3001,$N2022))</f>
        <v/>
      </c>
      <c r="F2022" s="26" t="str">
        <f>IF($N2022="","",IF($E$8=0,"",E2022/$E$8))</f>
        <v/>
      </c>
      <c r="G2022" s="25" t="str">
        <f>IF($N2022="","",INDEX('_calc'!$E$2:$E$3001,$N2022))</f>
        <v/>
      </c>
      <c r="H2022" s="25" t="str">
        <f>IF($N2022="","",INDEX('_calc'!$F$2:$F$3001,$N2022))</f>
        <v/>
      </c>
      <c r="I2022" s="27" t="str">
        <f>IF($N2022="","",INDEX('_calc'!$H$2:$H$3001,$N2022))</f>
        <v/>
      </c>
      <c r="J2022" s="27" t="str">
        <f>IF($N2022="","",INDEX('_calc'!$I$2:$I$3001,$N2022))</f>
        <v/>
      </c>
      <c r="K2022" s="28" t="str">
        <f>IF($N2022="","",IF(OR(I2022="",J2022=""),"",J2022-I2022))</f>
        <v/>
      </c>
      <c r="L2022" s="29" t="str">
        <f>IF($N2022="","",INDEX('_calc'!$J$2:$J$3001,$N2022))</f>
        <v/>
      </c>
      <c r="M2022" s="2" t="str">
        <f>IF($N2022="","",IF(AND(G2022=0,H2022=0),"수량 없음",IF(G2022=0,"신규 (전년 수량 없음)",IF(H2022=0,"당해 수량 없음",""))))</f>
        <v/>
      </c>
      <c r="N2022" t="str">
        <f>IF($B2022="","",MATCH($B2022,'_calc'!$L$2:$L$3001,0))</f>
        <v/>
      </c>
    </row>
    <row r="2023">
      <c r="B2023" s="24" t="str">
        <f>IF(ROW()-ROW($B$8)&gt;nComp,"",ROW()-ROW($B$8))</f>
        <v/>
      </c>
      <c r="C2023" t="str">
        <f>IF($N2023="","",INDEX('_calc'!$A$2:$A$3001,$N2023))</f>
        <v/>
      </c>
      <c r="D2023" s="25" t="str">
        <f>IF($N2023="","",INDEX('_calc'!$C$2:$C$3001,$N2023))</f>
        <v/>
      </c>
      <c r="E2023" s="25" t="str">
        <f>IF($N2023="","",INDEX('_calc'!$D$2:$D$3001,$N2023))</f>
        <v/>
      </c>
      <c r="F2023" s="26" t="str">
        <f>IF($N2023="","",IF($E$8=0,"",E2023/$E$8))</f>
        <v/>
      </c>
      <c r="G2023" s="25" t="str">
        <f>IF($N2023="","",INDEX('_calc'!$E$2:$E$3001,$N2023))</f>
        <v/>
      </c>
      <c r="H2023" s="25" t="str">
        <f>IF($N2023="","",INDEX('_calc'!$F$2:$F$3001,$N2023))</f>
        <v/>
      </c>
      <c r="I2023" s="27" t="str">
        <f>IF($N2023="","",INDEX('_calc'!$H$2:$H$3001,$N2023))</f>
        <v/>
      </c>
      <c r="J2023" s="27" t="str">
        <f>IF($N2023="","",INDEX('_calc'!$I$2:$I$3001,$N2023))</f>
        <v/>
      </c>
      <c r="K2023" s="28" t="str">
        <f>IF($N2023="","",IF(OR(I2023="",J2023=""),"",J2023-I2023))</f>
        <v/>
      </c>
      <c r="L2023" s="29" t="str">
        <f>IF($N2023="","",INDEX('_calc'!$J$2:$J$3001,$N2023))</f>
        <v/>
      </c>
      <c r="M2023" s="2" t="str">
        <f>IF($N2023="","",IF(AND(G2023=0,H2023=0),"수량 없음",IF(G2023=0,"신규 (전년 수량 없음)",IF(H2023=0,"당해 수량 없음",""))))</f>
        <v/>
      </c>
      <c r="N2023" t="str">
        <f>IF($B2023="","",MATCH($B2023,'_calc'!$L$2:$L$3001,0))</f>
        <v/>
      </c>
    </row>
    <row r="2024">
      <c r="B2024" s="24" t="str">
        <f>IF(ROW()-ROW($B$8)&gt;nComp,"",ROW()-ROW($B$8))</f>
        <v/>
      </c>
      <c r="C2024" t="str">
        <f>IF($N2024="","",INDEX('_calc'!$A$2:$A$3001,$N2024))</f>
        <v/>
      </c>
      <c r="D2024" s="25" t="str">
        <f>IF($N2024="","",INDEX('_calc'!$C$2:$C$3001,$N2024))</f>
        <v/>
      </c>
      <c r="E2024" s="25" t="str">
        <f>IF($N2024="","",INDEX('_calc'!$D$2:$D$3001,$N2024))</f>
        <v/>
      </c>
      <c r="F2024" s="26" t="str">
        <f>IF($N2024="","",IF($E$8=0,"",E2024/$E$8))</f>
        <v/>
      </c>
      <c r="G2024" s="25" t="str">
        <f>IF($N2024="","",INDEX('_calc'!$E$2:$E$3001,$N2024))</f>
        <v/>
      </c>
      <c r="H2024" s="25" t="str">
        <f>IF($N2024="","",INDEX('_calc'!$F$2:$F$3001,$N2024))</f>
        <v/>
      </c>
      <c r="I2024" s="27" t="str">
        <f>IF($N2024="","",INDEX('_calc'!$H$2:$H$3001,$N2024))</f>
        <v/>
      </c>
      <c r="J2024" s="27" t="str">
        <f>IF($N2024="","",INDEX('_calc'!$I$2:$I$3001,$N2024))</f>
        <v/>
      </c>
      <c r="K2024" s="28" t="str">
        <f>IF($N2024="","",IF(OR(I2024="",J2024=""),"",J2024-I2024))</f>
        <v/>
      </c>
      <c r="L2024" s="29" t="str">
        <f>IF($N2024="","",INDEX('_calc'!$J$2:$J$3001,$N2024))</f>
        <v/>
      </c>
      <c r="M2024" s="2" t="str">
        <f>IF($N2024="","",IF(AND(G2024=0,H2024=0),"수량 없음",IF(G2024=0,"신규 (전년 수량 없음)",IF(H2024=0,"당해 수량 없음",""))))</f>
        <v/>
      </c>
      <c r="N2024" t="str">
        <f>IF($B2024="","",MATCH($B2024,'_calc'!$L$2:$L$3001,0))</f>
        <v/>
      </c>
    </row>
    <row r="2025">
      <c r="B2025" s="24" t="str">
        <f>IF(ROW()-ROW($B$8)&gt;nComp,"",ROW()-ROW($B$8))</f>
        <v/>
      </c>
      <c r="C2025" t="str">
        <f>IF($N2025="","",INDEX('_calc'!$A$2:$A$3001,$N2025))</f>
        <v/>
      </c>
      <c r="D2025" s="25" t="str">
        <f>IF($N2025="","",INDEX('_calc'!$C$2:$C$3001,$N2025))</f>
        <v/>
      </c>
      <c r="E2025" s="25" t="str">
        <f>IF($N2025="","",INDEX('_calc'!$D$2:$D$3001,$N2025))</f>
        <v/>
      </c>
      <c r="F2025" s="26" t="str">
        <f>IF($N2025="","",IF($E$8=0,"",E2025/$E$8))</f>
        <v/>
      </c>
      <c r="G2025" s="25" t="str">
        <f>IF($N2025="","",INDEX('_calc'!$E$2:$E$3001,$N2025))</f>
        <v/>
      </c>
      <c r="H2025" s="25" t="str">
        <f>IF($N2025="","",INDEX('_calc'!$F$2:$F$3001,$N2025))</f>
        <v/>
      </c>
      <c r="I2025" s="27" t="str">
        <f>IF($N2025="","",INDEX('_calc'!$H$2:$H$3001,$N2025))</f>
        <v/>
      </c>
      <c r="J2025" s="27" t="str">
        <f>IF($N2025="","",INDEX('_calc'!$I$2:$I$3001,$N2025))</f>
        <v/>
      </c>
      <c r="K2025" s="28" t="str">
        <f>IF($N2025="","",IF(OR(I2025="",J2025=""),"",J2025-I2025))</f>
        <v/>
      </c>
      <c r="L2025" s="29" t="str">
        <f>IF($N2025="","",INDEX('_calc'!$J$2:$J$3001,$N2025))</f>
        <v/>
      </c>
      <c r="M2025" s="2" t="str">
        <f>IF($N2025="","",IF(AND(G2025=0,H2025=0),"수량 없음",IF(G2025=0,"신규 (전년 수량 없음)",IF(H2025=0,"당해 수량 없음",""))))</f>
        <v/>
      </c>
      <c r="N2025" t="str">
        <f>IF($B2025="","",MATCH($B2025,'_calc'!$L$2:$L$3001,0))</f>
        <v/>
      </c>
    </row>
    <row r="2026">
      <c r="B2026" s="24" t="str">
        <f>IF(ROW()-ROW($B$8)&gt;nComp,"",ROW()-ROW($B$8))</f>
        <v/>
      </c>
      <c r="C2026" t="str">
        <f>IF($N2026="","",INDEX('_calc'!$A$2:$A$3001,$N2026))</f>
        <v/>
      </c>
      <c r="D2026" s="25" t="str">
        <f>IF($N2026="","",INDEX('_calc'!$C$2:$C$3001,$N2026))</f>
        <v/>
      </c>
      <c r="E2026" s="25" t="str">
        <f>IF($N2026="","",INDEX('_calc'!$D$2:$D$3001,$N2026))</f>
        <v/>
      </c>
      <c r="F2026" s="26" t="str">
        <f>IF($N2026="","",IF($E$8=0,"",E2026/$E$8))</f>
        <v/>
      </c>
      <c r="G2026" s="25" t="str">
        <f>IF($N2026="","",INDEX('_calc'!$E$2:$E$3001,$N2026))</f>
        <v/>
      </c>
      <c r="H2026" s="25" t="str">
        <f>IF($N2026="","",INDEX('_calc'!$F$2:$F$3001,$N2026))</f>
        <v/>
      </c>
      <c r="I2026" s="27" t="str">
        <f>IF($N2026="","",INDEX('_calc'!$H$2:$H$3001,$N2026))</f>
        <v/>
      </c>
      <c r="J2026" s="27" t="str">
        <f>IF($N2026="","",INDEX('_calc'!$I$2:$I$3001,$N2026))</f>
        <v/>
      </c>
      <c r="K2026" s="28" t="str">
        <f>IF($N2026="","",IF(OR(I2026="",J2026=""),"",J2026-I2026))</f>
        <v/>
      </c>
      <c r="L2026" s="29" t="str">
        <f>IF($N2026="","",INDEX('_calc'!$J$2:$J$3001,$N2026))</f>
        <v/>
      </c>
      <c r="M2026" s="2" t="str">
        <f>IF($N2026="","",IF(AND(G2026=0,H2026=0),"수량 없음",IF(G2026=0,"신규 (전년 수량 없음)",IF(H2026=0,"당해 수량 없음",""))))</f>
        <v/>
      </c>
      <c r="N2026" t="str">
        <f>IF($B2026="","",MATCH($B2026,'_calc'!$L$2:$L$3001,0))</f>
        <v/>
      </c>
    </row>
    <row r="2027">
      <c r="B2027" s="24" t="str">
        <f>IF(ROW()-ROW($B$8)&gt;nComp,"",ROW()-ROW($B$8))</f>
        <v/>
      </c>
      <c r="C2027" t="str">
        <f>IF($N2027="","",INDEX('_calc'!$A$2:$A$3001,$N2027))</f>
        <v/>
      </c>
      <c r="D2027" s="25" t="str">
        <f>IF($N2027="","",INDEX('_calc'!$C$2:$C$3001,$N2027))</f>
        <v/>
      </c>
      <c r="E2027" s="25" t="str">
        <f>IF($N2027="","",INDEX('_calc'!$D$2:$D$3001,$N2027))</f>
        <v/>
      </c>
      <c r="F2027" s="26" t="str">
        <f>IF($N2027="","",IF($E$8=0,"",E2027/$E$8))</f>
        <v/>
      </c>
      <c r="G2027" s="25" t="str">
        <f>IF($N2027="","",INDEX('_calc'!$E$2:$E$3001,$N2027))</f>
        <v/>
      </c>
      <c r="H2027" s="25" t="str">
        <f>IF($N2027="","",INDEX('_calc'!$F$2:$F$3001,$N2027))</f>
        <v/>
      </c>
      <c r="I2027" s="27" t="str">
        <f>IF($N2027="","",INDEX('_calc'!$H$2:$H$3001,$N2027))</f>
        <v/>
      </c>
      <c r="J2027" s="27" t="str">
        <f>IF($N2027="","",INDEX('_calc'!$I$2:$I$3001,$N2027))</f>
        <v/>
      </c>
      <c r="K2027" s="28" t="str">
        <f>IF($N2027="","",IF(OR(I2027="",J2027=""),"",J2027-I2027))</f>
        <v/>
      </c>
      <c r="L2027" s="29" t="str">
        <f>IF($N2027="","",INDEX('_calc'!$J$2:$J$3001,$N2027))</f>
        <v/>
      </c>
      <c r="M2027" s="2" t="str">
        <f>IF($N2027="","",IF(AND(G2027=0,H2027=0),"수량 없음",IF(G2027=0,"신규 (전년 수량 없음)",IF(H2027=0,"당해 수량 없음",""))))</f>
        <v/>
      </c>
      <c r="N2027" t="str">
        <f>IF($B2027="","",MATCH($B2027,'_calc'!$L$2:$L$3001,0))</f>
        <v/>
      </c>
    </row>
    <row r="2028">
      <c r="B2028" s="24" t="str">
        <f>IF(ROW()-ROW($B$8)&gt;nComp,"",ROW()-ROW($B$8))</f>
        <v/>
      </c>
      <c r="C2028" t="str">
        <f>IF($N2028="","",INDEX('_calc'!$A$2:$A$3001,$N2028))</f>
        <v/>
      </c>
      <c r="D2028" s="25" t="str">
        <f>IF($N2028="","",INDEX('_calc'!$C$2:$C$3001,$N2028))</f>
        <v/>
      </c>
      <c r="E2028" s="25" t="str">
        <f>IF($N2028="","",INDEX('_calc'!$D$2:$D$3001,$N2028))</f>
        <v/>
      </c>
      <c r="F2028" s="26" t="str">
        <f>IF($N2028="","",IF($E$8=0,"",E2028/$E$8))</f>
        <v/>
      </c>
      <c r="G2028" s="25" t="str">
        <f>IF($N2028="","",INDEX('_calc'!$E$2:$E$3001,$N2028))</f>
        <v/>
      </c>
      <c r="H2028" s="25" t="str">
        <f>IF($N2028="","",INDEX('_calc'!$F$2:$F$3001,$N2028))</f>
        <v/>
      </c>
      <c r="I2028" s="27" t="str">
        <f>IF($N2028="","",INDEX('_calc'!$H$2:$H$3001,$N2028))</f>
        <v/>
      </c>
      <c r="J2028" s="27" t="str">
        <f>IF($N2028="","",INDEX('_calc'!$I$2:$I$3001,$N2028))</f>
        <v/>
      </c>
      <c r="K2028" s="28" t="str">
        <f>IF($N2028="","",IF(OR(I2028="",J2028=""),"",J2028-I2028))</f>
        <v/>
      </c>
      <c r="L2028" s="29" t="str">
        <f>IF($N2028="","",INDEX('_calc'!$J$2:$J$3001,$N2028))</f>
        <v/>
      </c>
      <c r="M2028" s="2" t="str">
        <f>IF($N2028="","",IF(AND(G2028=0,H2028=0),"수량 없음",IF(G2028=0,"신규 (전년 수량 없음)",IF(H2028=0,"당해 수량 없음",""))))</f>
        <v/>
      </c>
      <c r="N2028" t="str">
        <f>IF($B2028="","",MATCH($B2028,'_calc'!$L$2:$L$3001,0))</f>
        <v/>
      </c>
    </row>
    <row r="2029">
      <c r="B2029" s="24" t="str">
        <f>IF(ROW()-ROW($B$8)&gt;nComp,"",ROW()-ROW($B$8))</f>
        <v/>
      </c>
      <c r="C2029" t="str">
        <f>IF($N2029="","",INDEX('_calc'!$A$2:$A$3001,$N2029))</f>
        <v/>
      </c>
      <c r="D2029" s="25" t="str">
        <f>IF($N2029="","",INDEX('_calc'!$C$2:$C$3001,$N2029))</f>
        <v/>
      </c>
      <c r="E2029" s="25" t="str">
        <f>IF($N2029="","",INDEX('_calc'!$D$2:$D$3001,$N2029))</f>
        <v/>
      </c>
      <c r="F2029" s="26" t="str">
        <f>IF($N2029="","",IF($E$8=0,"",E2029/$E$8))</f>
        <v/>
      </c>
      <c r="G2029" s="25" t="str">
        <f>IF($N2029="","",INDEX('_calc'!$E$2:$E$3001,$N2029))</f>
        <v/>
      </c>
      <c r="H2029" s="25" t="str">
        <f>IF($N2029="","",INDEX('_calc'!$F$2:$F$3001,$N2029))</f>
        <v/>
      </c>
      <c r="I2029" s="27" t="str">
        <f>IF($N2029="","",INDEX('_calc'!$H$2:$H$3001,$N2029))</f>
        <v/>
      </c>
      <c r="J2029" s="27" t="str">
        <f>IF($N2029="","",INDEX('_calc'!$I$2:$I$3001,$N2029))</f>
        <v/>
      </c>
      <c r="K2029" s="28" t="str">
        <f>IF($N2029="","",IF(OR(I2029="",J2029=""),"",J2029-I2029))</f>
        <v/>
      </c>
      <c r="L2029" s="29" t="str">
        <f>IF($N2029="","",INDEX('_calc'!$J$2:$J$3001,$N2029))</f>
        <v/>
      </c>
      <c r="M2029" s="2" t="str">
        <f>IF($N2029="","",IF(AND(G2029=0,H2029=0),"수량 없음",IF(G2029=0,"신규 (전년 수량 없음)",IF(H2029=0,"당해 수량 없음",""))))</f>
        <v/>
      </c>
      <c r="N2029" t="str">
        <f>IF($B2029="","",MATCH($B2029,'_calc'!$L$2:$L$3001,0))</f>
        <v/>
      </c>
    </row>
    <row r="2030">
      <c r="B2030" s="24" t="str">
        <f>IF(ROW()-ROW($B$8)&gt;nComp,"",ROW()-ROW($B$8))</f>
        <v/>
      </c>
      <c r="C2030" t="str">
        <f>IF($N2030="","",INDEX('_calc'!$A$2:$A$3001,$N2030))</f>
        <v/>
      </c>
      <c r="D2030" s="25" t="str">
        <f>IF($N2030="","",INDEX('_calc'!$C$2:$C$3001,$N2030))</f>
        <v/>
      </c>
      <c r="E2030" s="25" t="str">
        <f>IF($N2030="","",INDEX('_calc'!$D$2:$D$3001,$N2030))</f>
        <v/>
      </c>
      <c r="F2030" s="26" t="str">
        <f>IF($N2030="","",IF($E$8=0,"",E2030/$E$8))</f>
        <v/>
      </c>
      <c r="G2030" s="25" t="str">
        <f>IF($N2030="","",INDEX('_calc'!$E$2:$E$3001,$N2030))</f>
        <v/>
      </c>
      <c r="H2030" s="25" t="str">
        <f>IF($N2030="","",INDEX('_calc'!$F$2:$F$3001,$N2030))</f>
        <v/>
      </c>
      <c r="I2030" s="27" t="str">
        <f>IF($N2030="","",INDEX('_calc'!$H$2:$H$3001,$N2030))</f>
        <v/>
      </c>
      <c r="J2030" s="27" t="str">
        <f>IF($N2030="","",INDEX('_calc'!$I$2:$I$3001,$N2030))</f>
        <v/>
      </c>
      <c r="K2030" s="28" t="str">
        <f>IF($N2030="","",IF(OR(I2030="",J2030=""),"",J2030-I2030))</f>
        <v/>
      </c>
      <c r="L2030" s="29" t="str">
        <f>IF($N2030="","",INDEX('_calc'!$J$2:$J$3001,$N2030))</f>
        <v/>
      </c>
      <c r="M2030" s="2" t="str">
        <f>IF($N2030="","",IF(AND(G2030=0,H2030=0),"수량 없음",IF(G2030=0,"신규 (전년 수량 없음)",IF(H2030=0,"당해 수량 없음",""))))</f>
        <v/>
      </c>
      <c r="N2030" t="str">
        <f>IF($B2030="","",MATCH($B2030,'_calc'!$L$2:$L$3001,0))</f>
        <v/>
      </c>
    </row>
    <row r="2031">
      <c r="B2031" s="24" t="str">
        <f>IF(ROW()-ROW($B$8)&gt;nComp,"",ROW()-ROW($B$8))</f>
        <v/>
      </c>
      <c r="C2031" t="str">
        <f>IF($N2031="","",INDEX('_calc'!$A$2:$A$3001,$N2031))</f>
        <v/>
      </c>
      <c r="D2031" s="25" t="str">
        <f>IF($N2031="","",INDEX('_calc'!$C$2:$C$3001,$N2031))</f>
        <v/>
      </c>
      <c r="E2031" s="25" t="str">
        <f>IF($N2031="","",INDEX('_calc'!$D$2:$D$3001,$N2031))</f>
        <v/>
      </c>
      <c r="F2031" s="26" t="str">
        <f>IF($N2031="","",IF($E$8=0,"",E2031/$E$8))</f>
        <v/>
      </c>
      <c r="G2031" s="25" t="str">
        <f>IF($N2031="","",INDEX('_calc'!$E$2:$E$3001,$N2031))</f>
        <v/>
      </c>
      <c r="H2031" s="25" t="str">
        <f>IF($N2031="","",INDEX('_calc'!$F$2:$F$3001,$N2031))</f>
        <v/>
      </c>
      <c r="I2031" s="27" t="str">
        <f>IF($N2031="","",INDEX('_calc'!$H$2:$H$3001,$N2031))</f>
        <v/>
      </c>
      <c r="J2031" s="27" t="str">
        <f>IF($N2031="","",INDEX('_calc'!$I$2:$I$3001,$N2031))</f>
        <v/>
      </c>
      <c r="K2031" s="28" t="str">
        <f>IF($N2031="","",IF(OR(I2031="",J2031=""),"",J2031-I2031))</f>
        <v/>
      </c>
      <c r="L2031" s="29" t="str">
        <f>IF($N2031="","",INDEX('_calc'!$J$2:$J$3001,$N2031))</f>
        <v/>
      </c>
      <c r="M2031" s="2" t="str">
        <f>IF($N2031="","",IF(AND(G2031=0,H2031=0),"수량 없음",IF(G2031=0,"신규 (전년 수량 없음)",IF(H2031=0,"당해 수량 없음",""))))</f>
        <v/>
      </c>
      <c r="N2031" t="str">
        <f>IF($B2031="","",MATCH($B2031,'_calc'!$L$2:$L$3001,0))</f>
        <v/>
      </c>
    </row>
    <row r="2032">
      <c r="B2032" s="24" t="str">
        <f>IF(ROW()-ROW($B$8)&gt;nComp,"",ROW()-ROW($B$8))</f>
        <v/>
      </c>
      <c r="C2032" t="str">
        <f>IF($N2032="","",INDEX('_calc'!$A$2:$A$3001,$N2032))</f>
        <v/>
      </c>
      <c r="D2032" s="25" t="str">
        <f>IF($N2032="","",INDEX('_calc'!$C$2:$C$3001,$N2032))</f>
        <v/>
      </c>
      <c r="E2032" s="25" t="str">
        <f>IF($N2032="","",INDEX('_calc'!$D$2:$D$3001,$N2032))</f>
        <v/>
      </c>
      <c r="F2032" s="26" t="str">
        <f>IF($N2032="","",IF($E$8=0,"",E2032/$E$8))</f>
        <v/>
      </c>
      <c r="G2032" s="25" t="str">
        <f>IF($N2032="","",INDEX('_calc'!$E$2:$E$3001,$N2032))</f>
        <v/>
      </c>
      <c r="H2032" s="25" t="str">
        <f>IF($N2032="","",INDEX('_calc'!$F$2:$F$3001,$N2032))</f>
        <v/>
      </c>
      <c r="I2032" s="27" t="str">
        <f>IF($N2032="","",INDEX('_calc'!$H$2:$H$3001,$N2032))</f>
        <v/>
      </c>
      <c r="J2032" s="27" t="str">
        <f>IF($N2032="","",INDEX('_calc'!$I$2:$I$3001,$N2032))</f>
        <v/>
      </c>
      <c r="K2032" s="28" t="str">
        <f>IF($N2032="","",IF(OR(I2032="",J2032=""),"",J2032-I2032))</f>
        <v/>
      </c>
      <c r="L2032" s="29" t="str">
        <f>IF($N2032="","",INDEX('_calc'!$J$2:$J$3001,$N2032))</f>
        <v/>
      </c>
      <c r="M2032" s="2" t="str">
        <f>IF($N2032="","",IF(AND(G2032=0,H2032=0),"수량 없음",IF(G2032=0,"신규 (전년 수량 없음)",IF(H2032=0,"당해 수량 없음",""))))</f>
        <v/>
      </c>
      <c r="N2032" t="str">
        <f>IF($B2032="","",MATCH($B2032,'_calc'!$L$2:$L$3001,0))</f>
        <v/>
      </c>
    </row>
    <row r="2033">
      <c r="B2033" s="24" t="str">
        <f>IF(ROW()-ROW($B$8)&gt;nComp,"",ROW()-ROW($B$8))</f>
        <v/>
      </c>
      <c r="C2033" t="str">
        <f>IF($N2033="","",INDEX('_calc'!$A$2:$A$3001,$N2033))</f>
        <v/>
      </c>
      <c r="D2033" s="25" t="str">
        <f>IF($N2033="","",INDEX('_calc'!$C$2:$C$3001,$N2033))</f>
        <v/>
      </c>
      <c r="E2033" s="25" t="str">
        <f>IF($N2033="","",INDEX('_calc'!$D$2:$D$3001,$N2033))</f>
        <v/>
      </c>
      <c r="F2033" s="26" t="str">
        <f>IF($N2033="","",IF($E$8=0,"",E2033/$E$8))</f>
        <v/>
      </c>
      <c r="G2033" s="25" t="str">
        <f>IF($N2033="","",INDEX('_calc'!$E$2:$E$3001,$N2033))</f>
        <v/>
      </c>
      <c r="H2033" s="25" t="str">
        <f>IF($N2033="","",INDEX('_calc'!$F$2:$F$3001,$N2033))</f>
        <v/>
      </c>
      <c r="I2033" s="27" t="str">
        <f>IF($N2033="","",INDEX('_calc'!$H$2:$H$3001,$N2033))</f>
        <v/>
      </c>
      <c r="J2033" s="27" t="str">
        <f>IF($N2033="","",INDEX('_calc'!$I$2:$I$3001,$N2033))</f>
        <v/>
      </c>
      <c r="K2033" s="28" t="str">
        <f>IF($N2033="","",IF(OR(I2033="",J2033=""),"",J2033-I2033))</f>
        <v/>
      </c>
      <c r="L2033" s="29" t="str">
        <f>IF($N2033="","",INDEX('_calc'!$J$2:$J$3001,$N2033))</f>
        <v/>
      </c>
      <c r="M2033" s="2" t="str">
        <f>IF($N2033="","",IF(AND(G2033=0,H2033=0),"수량 없음",IF(G2033=0,"신규 (전년 수량 없음)",IF(H2033=0,"당해 수량 없음",""))))</f>
        <v/>
      </c>
      <c r="N2033" t="str">
        <f>IF($B2033="","",MATCH($B2033,'_calc'!$L$2:$L$3001,0))</f>
        <v/>
      </c>
    </row>
    <row r="2034">
      <c r="B2034" s="24" t="str">
        <f>IF(ROW()-ROW($B$8)&gt;nComp,"",ROW()-ROW($B$8))</f>
        <v/>
      </c>
      <c r="C2034" t="str">
        <f>IF($N2034="","",INDEX('_calc'!$A$2:$A$3001,$N2034))</f>
        <v/>
      </c>
      <c r="D2034" s="25" t="str">
        <f>IF($N2034="","",INDEX('_calc'!$C$2:$C$3001,$N2034))</f>
        <v/>
      </c>
      <c r="E2034" s="25" t="str">
        <f>IF($N2034="","",INDEX('_calc'!$D$2:$D$3001,$N2034))</f>
        <v/>
      </c>
      <c r="F2034" s="26" t="str">
        <f>IF($N2034="","",IF($E$8=0,"",E2034/$E$8))</f>
        <v/>
      </c>
      <c r="G2034" s="25" t="str">
        <f>IF($N2034="","",INDEX('_calc'!$E$2:$E$3001,$N2034))</f>
        <v/>
      </c>
      <c r="H2034" s="25" t="str">
        <f>IF($N2034="","",INDEX('_calc'!$F$2:$F$3001,$N2034))</f>
        <v/>
      </c>
      <c r="I2034" s="27" t="str">
        <f>IF($N2034="","",INDEX('_calc'!$H$2:$H$3001,$N2034))</f>
        <v/>
      </c>
      <c r="J2034" s="27" t="str">
        <f>IF($N2034="","",INDEX('_calc'!$I$2:$I$3001,$N2034))</f>
        <v/>
      </c>
      <c r="K2034" s="28" t="str">
        <f>IF($N2034="","",IF(OR(I2034="",J2034=""),"",J2034-I2034))</f>
        <v/>
      </c>
      <c r="L2034" s="29" t="str">
        <f>IF($N2034="","",INDEX('_calc'!$J$2:$J$3001,$N2034))</f>
        <v/>
      </c>
      <c r="M2034" s="2" t="str">
        <f>IF($N2034="","",IF(AND(G2034=0,H2034=0),"수량 없음",IF(G2034=0,"신규 (전년 수량 없음)",IF(H2034=0,"당해 수량 없음",""))))</f>
        <v/>
      </c>
      <c r="N2034" t="str">
        <f>IF($B2034="","",MATCH($B2034,'_calc'!$L$2:$L$3001,0))</f>
        <v/>
      </c>
    </row>
    <row r="2035">
      <c r="B2035" s="24" t="str">
        <f>IF(ROW()-ROW($B$8)&gt;nComp,"",ROW()-ROW($B$8))</f>
        <v/>
      </c>
      <c r="C2035" t="str">
        <f>IF($N2035="","",INDEX('_calc'!$A$2:$A$3001,$N2035))</f>
        <v/>
      </c>
      <c r="D2035" s="25" t="str">
        <f>IF($N2035="","",INDEX('_calc'!$C$2:$C$3001,$N2035))</f>
        <v/>
      </c>
      <c r="E2035" s="25" t="str">
        <f>IF($N2035="","",INDEX('_calc'!$D$2:$D$3001,$N2035))</f>
        <v/>
      </c>
      <c r="F2035" s="26" t="str">
        <f>IF($N2035="","",IF($E$8=0,"",E2035/$E$8))</f>
        <v/>
      </c>
      <c r="G2035" s="25" t="str">
        <f>IF($N2035="","",INDEX('_calc'!$E$2:$E$3001,$N2035))</f>
        <v/>
      </c>
      <c r="H2035" s="25" t="str">
        <f>IF($N2035="","",INDEX('_calc'!$F$2:$F$3001,$N2035))</f>
        <v/>
      </c>
      <c r="I2035" s="27" t="str">
        <f>IF($N2035="","",INDEX('_calc'!$H$2:$H$3001,$N2035))</f>
        <v/>
      </c>
      <c r="J2035" s="27" t="str">
        <f>IF($N2035="","",INDEX('_calc'!$I$2:$I$3001,$N2035))</f>
        <v/>
      </c>
      <c r="K2035" s="28" t="str">
        <f>IF($N2035="","",IF(OR(I2035="",J2035=""),"",J2035-I2035))</f>
        <v/>
      </c>
      <c r="L2035" s="29" t="str">
        <f>IF($N2035="","",INDEX('_calc'!$J$2:$J$3001,$N2035))</f>
        <v/>
      </c>
      <c r="M2035" s="2" t="str">
        <f>IF($N2035="","",IF(AND(G2035=0,H2035=0),"수량 없음",IF(G2035=0,"신규 (전년 수량 없음)",IF(H2035=0,"당해 수량 없음",""))))</f>
        <v/>
      </c>
      <c r="N2035" t="str">
        <f>IF($B2035="","",MATCH($B2035,'_calc'!$L$2:$L$3001,0))</f>
        <v/>
      </c>
    </row>
    <row r="2036">
      <c r="B2036" s="24" t="str">
        <f>IF(ROW()-ROW($B$8)&gt;nComp,"",ROW()-ROW($B$8))</f>
        <v/>
      </c>
      <c r="C2036" t="str">
        <f>IF($N2036="","",INDEX('_calc'!$A$2:$A$3001,$N2036))</f>
        <v/>
      </c>
      <c r="D2036" s="25" t="str">
        <f>IF($N2036="","",INDEX('_calc'!$C$2:$C$3001,$N2036))</f>
        <v/>
      </c>
      <c r="E2036" s="25" t="str">
        <f>IF($N2036="","",INDEX('_calc'!$D$2:$D$3001,$N2036))</f>
        <v/>
      </c>
      <c r="F2036" s="26" t="str">
        <f>IF($N2036="","",IF($E$8=0,"",E2036/$E$8))</f>
        <v/>
      </c>
      <c r="G2036" s="25" t="str">
        <f>IF($N2036="","",INDEX('_calc'!$E$2:$E$3001,$N2036))</f>
        <v/>
      </c>
      <c r="H2036" s="25" t="str">
        <f>IF($N2036="","",INDEX('_calc'!$F$2:$F$3001,$N2036))</f>
        <v/>
      </c>
      <c r="I2036" s="27" t="str">
        <f>IF($N2036="","",INDEX('_calc'!$H$2:$H$3001,$N2036))</f>
        <v/>
      </c>
      <c r="J2036" s="27" t="str">
        <f>IF($N2036="","",INDEX('_calc'!$I$2:$I$3001,$N2036))</f>
        <v/>
      </c>
      <c r="K2036" s="28" t="str">
        <f>IF($N2036="","",IF(OR(I2036="",J2036=""),"",J2036-I2036))</f>
        <v/>
      </c>
      <c r="L2036" s="29" t="str">
        <f>IF($N2036="","",INDEX('_calc'!$J$2:$J$3001,$N2036))</f>
        <v/>
      </c>
      <c r="M2036" s="2" t="str">
        <f>IF($N2036="","",IF(AND(G2036=0,H2036=0),"수량 없음",IF(G2036=0,"신규 (전년 수량 없음)",IF(H2036=0,"당해 수량 없음",""))))</f>
        <v/>
      </c>
      <c r="N2036" t="str">
        <f>IF($B2036="","",MATCH($B2036,'_calc'!$L$2:$L$3001,0))</f>
        <v/>
      </c>
    </row>
    <row r="2037">
      <c r="B2037" s="24" t="str">
        <f>IF(ROW()-ROW($B$8)&gt;nComp,"",ROW()-ROW($B$8))</f>
        <v/>
      </c>
      <c r="C2037" t="str">
        <f>IF($N2037="","",INDEX('_calc'!$A$2:$A$3001,$N2037))</f>
        <v/>
      </c>
      <c r="D2037" s="25" t="str">
        <f>IF($N2037="","",INDEX('_calc'!$C$2:$C$3001,$N2037))</f>
        <v/>
      </c>
      <c r="E2037" s="25" t="str">
        <f>IF($N2037="","",INDEX('_calc'!$D$2:$D$3001,$N2037))</f>
        <v/>
      </c>
      <c r="F2037" s="26" t="str">
        <f>IF($N2037="","",IF($E$8=0,"",E2037/$E$8))</f>
        <v/>
      </c>
      <c r="G2037" s="25" t="str">
        <f>IF($N2037="","",INDEX('_calc'!$E$2:$E$3001,$N2037))</f>
        <v/>
      </c>
      <c r="H2037" s="25" t="str">
        <f>IF($N2037="","",INDEX('_calc'!$F$2:$F$3001,$N2037))</f>
        <v/>
      </c>
      <c r="I2037" s="27" t="str">
        <f>IF($N2037="","",INDEX('_calc'!$H$2:$H$3001,$N2037))</f>
        <v/>
      </c>
      <c r="J2037" s="27" t="str">
        <f>IF($N2037="","",INDEX('_calc'!$I$2:$I$3001,$N2037))</f>
        <v/>
      </c>
      <c r="K2037" s="28" t="str">
        <f>IF($N2037="","",IF(OR(I2037="",J2037=""),"",J2037-I2037))</f>
        <v/>
      </c>
      <c r="L2037" s="29" t="str">
        <f>IF($N2037="","",INDEX('_calc'!$J$2:$J$3001,$N2037))</f>
        <v/>
      </c>
      <c r="M2037" s="2" t="str">
        <f>IF($N2037="","",IF(AND(G2037=0,H2037=0),"수량 없음",IF(G2037=0,"신규 (전년 수량 없음)",IF(H2037=0,"당해 수량 없음",""))))</f>
        <v/>
      </c>
      <c r="N2037" t="str">
        <f>IF($B2037="","",MATCH($B2037,'_calc'!$L$2:$L$3001,0))</f>
        <v/>
      </c>
    </row>
    <row r="2038">
      <c r="B2038" s="24" t="str">
        <f>IF(ROW()-ROW($B$8)&gt;nComp,"",ROW()-ROW($B$8))</f>
        <v/>
      </c>
      <c r="C2038" t="str">
        <f>IF($N2038="","",INDEX('_calc'!$A$2:$A$3001,$N2038))</f>
        <v/>
      </c>
      <c r="D2038" s="25" t="str">
        <f>IF($N2038="","",INDEX('_calc'!$C$2:$C$3001,$N2038))</f>
        <v/>
      </c>
      <c r="E2038" s="25" t="str">
        <f>IF($N2038="","",INDEX('_calc'!$D$2:$D$3001,$N2038))</f>
        <v/>
      </c>
      <c r="F2038" s="26" t="str">
        <f>IF($N2038="","",IF($E$8=0,"",E2038/$E$8))</f>
        <v/>
      </c>
      <c r="G2038" s="25" t="str">
        <f>IF($N2038="","",INDEX('_calc'!$E$2:$E$3001,$N2038))</f>
        <v/>
      </c>
      <c r="H2038" s="25" t="str">
        <f>IF($N2038="","",INDEX('_calc'!$F$2:$F$3001,$N2038))</f>
        <v/>
      </c>
      <c r="I2038" s="27" t="str">
        <f>IF($N2038="","",INDEX('_calc'!$H$2:$H$3001,$N2038))</f>
        <v/>
      </c>
      <c r="J2038" s="27" t="str">
        <f>IF($N2038="","",INDEX('_calc'!$I$2:$I$3001,$N2038))</f>
        <v/>
      </c>
      <c r="K2038" s="28" t="str">
        <f>IF($N2038="","",IF(OR(I2038="",J2038=""),"",J2038-I2038))</f>
        <v/>
      </c>
      <c r="L2038" s="29" t="str">
        <f>IF($N2038="","",INDEX('_calc'!$J$2:$J$3001,$N2038))</f>
        <v/>
      </c>
      <c r="M2038" s="2" t="str">
        <f>IF($N2038="","",IF(AND(G2038=0,H2038=0),"수량 없음",IF(G2038=0,"신규 (전년 수량 없음)",IF(H2038=0,"당해 수량 없음",""))))</f>
        <v/>
      </c>
      <c r="N2038" t="str">
        <f>IF($B2038="","",MATCH($B2038,'_calc'!$L$2:$L$3001,0))</f>
        <v/>
      </c>
    </row>
    <row r="2039">
      <c r="B2039" s="24" t="str">
        <f>IF(ROW()-ROW($B$8)&gt;nComp,"",ROW()-ROW($B$8))</f>
        <v/>
      </c>
      <c r="C2039" t="str">
        <f>IF($N2039="","",INDEX('_calc'!$A$2:$A$3001,$N2039))</f>
        <v/>
      </c>
      <c r="D2039" s="25" t="str">
        <f>IF($N2039="","",INDEX('_calc'!$C$2:$C$3001,$N2039))</f>
        <v/>
      </c>
      <c r="E2039" s="25" t="str">
        <f>IF($N2039="","",INDEX('_calc'!$D$2:$D$3001,$N2039))</f>
        <v/>
      </c>
      <c r="F2039" s="26" t="str">
        <f>IF($N2039="","",IF($E$8=0,"",E2039/$E$8))</f>
        <v/>
      </c>
      <c r="G2039" s="25" t="str">
        <f>IF($N2039="","",INDEX('_calc'!$E$2:$E$3001,$N2039))</f>
        <v/>
      </c>
      <c r="H2039" s="25" t="str">
        <f>IF($N2039="","",INDEX('_calc'!$F$2:$F$3001,$N2039))</f>
        <v/>
      </c>
      <c r="I2039" s="27" t="str">
        <f>IF($N2039="","",INDEX('_calc'!$H$2:$H$3001,$N2039))</f>
        <v/>
      </c>
      <c r="J2039" s="27" t="str">
        <f>IF($N2039="","",INDEX('_calc'!$I$2:$I$3001,$N2039))</f>
        <v/>
      </c>
      <c r="K2039" s="28" t="str">
        <f>IF($N2039="","",IF(OR(I2039="",J2039=""),"",J2039-I2039))</f>
        <v/>
      </c>
      <c r="L2039" s="29" t="str">
        <f>IF($N2039="","",INDEX('_calc'!$J$2:$J$3001,$N2039))</f>
        <v/>
      </c>
      <c r="M2039" s="2" t="str">
        <f>IF($N2039="","",IF(AND(G2039=0,H2039=0),"수량 없음",IF(G2039=0,"신규 (전년 수량 없음)",IF(H2039=0,"당해 수량 없음",""))))</f>
        <v/>
      </c>
      <c r="N2039" t="str">
        <f>IF($B2039="","",MATCH($B2039,'_calc'!$L$2:$L$3001,0))</f>
        <v/>
      </c>
    </row>
    <row r="2040">
      <c r="B2040" s="24" t="str">
        <f>IF(ROW()-ROW($B$8)&gt;nComp,"",ROW()-ROW($B$8))</f>
        <v/>
      </c>
      <c r="C2040" t="str">
        <f>IF($N2040="","",INDEX('_calc'!$A$2:$A$3001,$N2040))</f>
        <v/>
      </c>
      <c r="D2040" s="25" t="str">
        <f>IF($N2040="","",INDEX('_calc'!$C$2:$C$3001,$N2040))</f>
        <v/>
      </c>
      <c r="E2040" s="25" t="str">
        <f>IF($N2040="","",INDEX('_calc'!$D$2:$D$3001,$N2040))</f>
        <v/>
      </c>
      <c r="F2040" s="26" t="str">
        <f>IF($N2040="","",IF($E$8=0,"",E2040/$E$8))</f>
        <v/>
      </c>
      <c r="G2040" s="25" t="str">
        <f>IF($N2040="","",INDEX('_calc'!$E$2:$E$3001,$N2040))</f>
        <v/>
      </c>
      <c r="H2040" s="25" t="str">
        <f>IF($N2040="","",INDEX('_calc'!$F$2:$F$3001,$N2040))</f>
        <v/>
      </c>
      <c r="I2040" s="27" t="str">
        <f>IF($N2040="","",INDEX('_calc'!$H$2:$H$3001,$N2040))</f>
        <v/>
      </c>
      <c r="J2040" s="27" t="str">
        <f>IF($N2040="","",INDEX('_calc'!$I$2:$I$3001,$N2040))</f>
        <v/>
      </c>
      <c r="K2040" s="28" t="str">
        <f>IF($N2040="","",IF(OR(I2040="",J2040=""),"",J2040-I2040))</f>
        <v/>
      </c>
      <c r="L2040" s="29" t="str">
        <f>IF($N2040="","",INDEX('_calc'!$J$2:$J$3001,$N2040))</f>
        <v/>
      </c>
      <c r="M2040" s="2" t="str">
        <f>IF($N2040="","",IF(AND(G2040=0,H2040=0),"수량 없음",IF(G2040=0,"신규 (전년 수량 없음)",IF(H2040=0,"당해 수량 없음",""))))</f>
        <v/>
      </c>
      <c r="N2040" t="str">
        <f>IF($B2040="","",MATCH($B2040,'_calc'!$L$2:$L$3001,0))</f>
        <v/>
      </c>
    </row>
    <row r="2041">
      <c r="B2041" s="24" t="str">
        <f>IF(ROW()-ROW($B$8)&gt;nComp,"",ROW()-ROW($B$8))</f>
        <v/>
      </c>
      <c r="C2041" t="str">
        <f>IF($N2041="","",INDEX('_calc'!$A$2:$A$3001,$N2041))</f>
        <v/>
      </c>
      <c r="D2041" s="25" t="str">
        <f>IF($N2041="","",INDEX('_calc'!$C$2:$C$3001,$N2041))</f>
        <v/>
      </c>
      <c r="E2041" s="25" t="str">
        <f>IF($N2041="","",INDEX('_calc'!$D$2:$D$3001,$N2041))</f>
        <v/>
      </c>
      <c r="F2041" s="26" t="str">
        <f>IF($N2041="","",IF($E$8=0,"",E2041/$E$8))</f>
        <v/>
      </c>
      <c r="G2041" s="25" t="str">
        <f>IF($N2041="","",INDEX('_calc'!$E$2:$E$3001,$N2041))</f>
        <v/>
      </c>
      <c r="H2041" s="25" t="str">
        <f>IF($N2041="","",INDEX('_calc'!$F$2:$F$3001,$N2041))</f>
        <v/>
      </c>
      <c r="I2041" s="27" t="str">
        <f>IF($N2041="","",INDEX('_calc'!$H$2:$H$3001,$N2041))</f>
        <v/>
      </c>
      <c r="J2041" s="27" t="str">
        <f>IF($N2041="","",INDEX('_calc'!$I$2:$I$3001,$N2041))</f>
        <v/>
      </c>
      <c r="K2041" s="28" t="str">
        <f>IF($N2041="","",IF(OR(I2041="",J2041=""),"",J2041-I2041))</f>
        <v/>
      </c>
      <c r="L2041" s="29" t="str">
        <f>IF($N2041="","",INDEX('_calc'!$J$2:$J$3001,$N2041))</f>
        <v/>
      </c>
      <c r="M2041" s="2" t="str">
        <f>IF($N2041="","",IF(AND(G2041=0,H2041=0),"수량 없음",IF(G2041=0,"신규 (전년 수량 없음)",IF(H2041=0,"당해 수량 없음",""))))</f>
        <v/>
      </c>
      <c r="N2041" t="str">
        <f>IF($B2041="","",MATCH($B2041,'_calc'!$L$2:$L$3001,0))</f>
        <v/>
      </c>
    </row>
    <row r="2042">
      <c r="B2042" s="24" t="str">
        <f>IF(ROW()-ROW($B$8)&gt;nComp,"",ROW()-ROW($B$8))</f>
        <v/>
      </c>
      <c r="C2042" t="str">
        <f>IF($N2042="","",INDEX('_calc'!$A$2:$A$3001,$N2042))</f>
        <v/>
      </c>
      <c r="D2042" s="25" t="str">
        <f>IF($N2042="","",INDEX('_calc'!$C$2:$C$3001,$N2042))</f>
        <v/>
      </c>
      <c r="E2042" s="25" t="str">
        <f>IF($N2042="","",INDEX('_calc'!$D$2:$D$3001,$N2042))</f>
        <v/>
      </c>
      <c r="F2042" s="26" t="str">
        <f>IF($N2042="","",IF($E$8=0,"",E2042/$E$8))</f>
        <v/>
      </c>
      <c r="G2042" s="25" t="str">
        <f>IF($N2042="","",INDEX('_calc'!$E$2:$E$3001,$N2042))</f>
        <v/>
      </c>
      <c r="H2042" s="25" t="str">
        <f>IF($N2042="","",INDEX('_calc'!$F$2:$F$3001,$N2042))</f>
        <v/>
      </c>
      <c r="I2042" s="27" t="str">
        <f>IF($N2042="","",INDEX('_calc'!$H$2:$H$3001,$N2042))</f>
        <v/>
      </c>
      <c r="J2042" s="27" t="str">
        <f>IF($N2042="","",INDEX('_calc'!$I$2:$I$3001,$N2042))</f>
        <v/>
      </c>
      <c r="K2042" s="28" t="str">
        <f>IF($N2042="","",IF(OR(I2042="",J2042=""),"",J2042-I2042))</f>
        <v/>
      </c>
      <c r="L2042" s="29" t="str">
        <f>IF($N2042="","",INDEX('_calc'!$J$2:$J$3001,$N2042))</f>
        <v/>
      </c>
      <c r="M2042" s="2" t="str">
        <f>IF($N2042="","",IF(AND(G2042=0,H2042=0),"수량 없음",IF(G2042=0,"신규 (전년 수량 없음)",IF(H2042=0,"당해 수량 없음",""))))</f>
        <v/>
      </c>
      <c r="N2042" t="str">
        <f>IF($B2042="","",MATCH($B2042,'_calc'!$L$2:$L$3001,0))</f>
        <v/>
      </c>
    </row>
    <row r="2043">
      <c r="B2043" s="24" t="str">
        <f>IF(ROW()-ROW($B$8)&gt;nComp,"",ROW()-ROW($B$8))</f>
        <v/>
      </c>
      <c r="C2043" t="str">
        <f>IF($N2043="","",INDEX('_calc'!$A$2:$A$3001,$N2043))</f>
        <v/>
      </c>
      <c r="D2043" s="25" t="str">
        <f>IF($N2043="","",INDEX('_calc'!$C$2:$C$3001,$N2043))</f>
        <v/>
      </c>
      <c r="E2043" s="25" t="str">
        <f>IF($N2043="","",INDEX('_calc'!$D$2:$D$3001,$N2043))</f>
        <v/>
      </c>
      <c r="F2043" s="26" t="str">
        <f>IF($N2043="","",IF($E$8=0,"",E2043/$E$8))</f>
        <v/>
      </c>
      <c r="G2043" s="25" t="str">
        <f>IF($N2043="","",INDEX('_calc'!$E$2:$E$3001,$N2043))</f>
        <v/>
      </c>
      <c r="H2043" s="25" t="str">
        <f>IF($N2043="","",INDEX('_calc'!$F$2:$F$3001,$N2043))</f>
        <v/>
      </c>
      <c r="I2043" s="27" t="str">
        <f>IF($N2043="","",INDEX('_calc'!$H$2:$H$3001,$N2043))</f>
        <v/>
      </c>
      <c r="J2043" s="27" t="str">
        <f>IF($N2043="","",INDEX('_calc'!$I$2:$I$3001,$N2043))</f>
        <v/>
      </c>
      <c r="K2043" s="28" t="str">
        <f>IF($N2043="","",IF(OR(I2043="",J2043=""),"",J2043-I2043))</f>
        <v/>
      </c>
      <c r="L2043" s="29" t="str">
        <f>IF($N2043="","",INDEX('_calc'!$J$2:$J$3001,$N2043))</f>
        <v/>
      </c>
      <c r="M2043" s="2" t="str">
        <f>IF($N2043="","",IF(AND(G2043=0,H2043=0),"수량 없음",IF(G2043=0,"신규 (전년 수량 없음)",IF(H2043=0,"당해 수량 없음",""))))</f>
        <v/>
      </c>
      <c r="N2043" t="str">
        <f>IF($B2043="","",MATCH($B2043,'_calc'!$L$2:$L$3001,0))</f>
        <v/>
      </c>
    </row>
    <row r="2044">
      <c r="B2044" s="24" t="str">
        <f>IF(ROW()-ROW($B$8)&gt;nComp,"",ROW()-ROW($B$8))</f>
        <v/>
      </c>
      <c r="C2044" t="str">
        <f>IF($N2044="","",INDEX('_calc'!$A$2:$A$3001,$N2044))</f>
        <v/>
      </c>
      <c r="D2044" s="25" t="str">
        <f>IF($N2044="","",INDEX('_calc'!$C$2:$C$3001,$N2044))</f>
        <v/>
      </c>
      <c r="E2044" s="25" t="str">
        <f>IF($N2044="","",INDEX('_calc'!$D$2:$D$3001,$N2044))</f>
        <v/>
      </c>
      <c r="F2044" s="26" t="str">
        <f>IF($N2044="","",IF($E$8=0,"",E2044/$E$8))</f>
        <v/>
      </c>
      <c r="G2044" s="25" t="str">
        <f>IF($N2044="","",INDEX('_calc'!$E$2:$E$3001,$N2044))</f>
        <v/>
      </c>
      <c r="H2044" s="25" t="str">
        <f>IF($N2044="","",INDEX('_calc'!$F$2:$F$3001,$N2044))</f>
        <v/>
      </c>
      <c r="I2044" s="27" t="str">
        <f>IF($N2044="","",INDEX('_calc'!$H$2:$H$3001,$N2044))</f>
        <v/>
      </c>
      <c r="J2044" s="27" t="str">
        <f>IF($N2044="","",INDEX('_calc'!$I$2:$I$3001,$N2044))</f>
        <v/>
      </c>
      <c r="K2044" s="28" t="str">
        <f>IF($N2044="","",IF(OR(I2044="",J2044=""),"",J2044-I2044))</f>
        <v/>
      </c>
      <c r="L2044" s="29" t="str">
        <f>IF($N2044="","",INDEX('_calc'!$J$2:$J$3001,$N2044))</f>
        <v/>
      </c>
      <c r="M2044" s="2" t="str">
        <f>IF($N2044="","",IF(AND(G2044=0,H2044=0),"수량 없음",IF(G2044=0,"신규 (전년 수량 없음)",IF(H2044=0,"당해 수량 없음",""))))</f>
        <v/>
      </c>
      <c r="N2044" t="str">
        <f>IF($B2044="","",MATCH($B2044,'_calc'!$L$2:$L$3001,0))</f>
        <v/>
      </c>
    </row>
    <row r="2045">
      <c r="B2045" s="24" t="str">
        <f>IF(ROW()-ROW($B$8)&gt;nComp,"",ROW()-ROW($B$8))</f>
        <v/>
      </c>
      <c r="C2045" t="str">
        <f>IF($N2045="","",INDEX('_calc'!$A$2:$A$3001,$N2045))</f>
        <v/>
      </c>
      <c r="D2045" s="25" t="str">
        <f>IF($N2045="","",INDEX('_calc'!$C$2:$C$3001,$N2045))</f>
        <v/>
      </c>
      <c r="E2045" s="25" t="str">
        <f>IF($N2045="","",INDEX('_calc'!$D$2:$D$3001,$N2045))</f>
        <v/>
      </c>
      <c r="F2045" s="26" t="str">
        <f>IF($N2045="","",IF($E$8=0,"",E2045/$E$8))</f>
        <v/>
      </c>
      <c r="G2045" s="25" t="str">
        <f>IF($N2045="","",INDEX('_calc'!$E$2:$E$3001,$N2045))</f>
        <v/>
      </c>
      <c r="H2045" s="25" t="str">
        <f>IF($N2045="","",INDEX('_calc'!$F$2:$F$3001,$N2045))</f>
        <v/>
      </c>
      <c r="I2045" s="27" t="str">
        <f>IF($N2045="","",INDEX('_calc'!$H$2:$H$3001,$N2045))</f>
        <v/>
      </c>
      <c r="J2045" s="27" t="str">
        <f>IF($N2045="","",INDEX('_calc'!$I$2:$I$3001,$N2045))</f>
        <v/>
      </c>
      <c r="K2045" s="28" t="str">
        <f>IF($N2045="","",IF(OR(I2045="",J2045=""),"",J2045-I2045))</f>
        <v/>
      </c>
      <c r="L2045" s="29" t="str">
        <f>IF($N2045="","",INDEX('_calc'!$J$2:$J$3001,$N2045))</f>
        <v/>
      </c>
      <c r="M2045" s="2" t="str">
        <f>IF($N2045="","",IF(AND(G2045=0,H2045=0),"수량 없음",IF(G2045=0,"신규 (전년 수량 없음)",IF(H2045=0,"당해 수량 없음",""))))</f>
        <v/>
      </c>
      <c r="N2045" t="str">
        <f>IF($B2045="","",MATCH($B2045,'_calc'!$L$2:$L$3001,0))</f>
        <v/>
      </c>
    </row>
    <row r="2046">
      <c r="B2046" s="24" t="str">
        <f>IF(ROW()-ROW($B$8)&gt;nComp,"",ROW()-ROW($B$8))</f>
        <v/>
      </c>
      <c r="C2046" t="str">
        <f>IF($N2046="","",INDEX('_calc'!$A$2:$A$3001,$N2046))</f>
        <v/>
      </c>
      <c r="D2046" s="25" t="str">
        <f>IF($N2046="","",INDEX('_calc'!$C$2:$C$3001,$N2046))</f>
        <v/>
      </c>
      <c r="E2046" s="25" t="str">
        <f>IF($N2046="","",INDEX('_calc'!$D$2:$D$3001,$N2046))</f>
        <v/>
      </c>
      <c r="F2046" s="26" t="str">
        <f>IF($N2046="","",IF($E$8=0,"",E2046/$E$8))</f>
        <v/>
      </c>
      <c r="G2046" s="25" t="str">
        <f>IF($N2046="","",INDEX('_calc'!$E$2:$E$3001,$N2046))</f>
        <v/>
      </c>
      <c r="H2046" s="25" t="str">
        <f>IF($N2046="","",INDEX('_calc'!$F$2:$F$3001,$N2046))</f>
        <v/>
      </c>
      <c r="I2046" s="27" t="str">
        <f>IF($N2046="","",INDEX('_calc'!$H$2:$H$3001,$N2046))</f>
        <v/>
      </c>
      <c r="J2046" s="27" t="str">
        <f>IF($N2046="","",INDEX('_calc'!$I$2:$I$3001,$N2046))</f>
        <v/>
      </c>
      <c r="K2046" s="28" t="str">
        <f>IF($N2046="","",IF(OR(I2046="",J2046=""),"",J2046-I2046))</f>
        <v/>
      </c>
      <c r="L2046" s="29" t="str">
        <f>IF($N2046="","",INDEX('_calc'!$J$2:$J$3001,$N2046))</f>
        <v/>
      </c>
      <c r="M2046" s="2" t="str">
        <f>IF($N2046="","",IF(AND(G2046=0,H2046=0),"수량 없음",IF(G2046=0,"신규 (전년 수량 없음)",IF(H2046=0,"당해 수량 없음",""))))</f>
        <v/>
      </c>
      <c r="N2046" t="str">
        <f>IF($B2046="","",MATCH($B2046,'_calc'!$L$2:$L$3001,0))</f>
        <v/>
      </c>
    </row>
    <row r="2047">
      <c r="B2047" s="24" t="str">
        <f>IF(ROW()-ROW($B$8)&gt;nComp,"",ROW()-ROW($B$8))</f>
        <v/>
      </c>
      <c r="C2047" t="str">
        <f>IF($N2047="","",INDEX('_calc'!$A$2:$A$3001,$N2047))</f>
        <v/>
      </c>
      <c r="D2047" s="25" t="str">
        <f>IF($N2047="","",INDEX('_calc'!$C$2:$C$3001,$N2047))</f>
        <v/>
      </c>
      <c r="E2047" s="25" t="str">
        <f>IF($N2047="","",INDEX('_calc'!$D$2:$D$3001,$N2047))</f>
        <v/>
      </c>
      <c r="F2047" s="26" t="str">
        <f>IF($N2047="","",IF($E$8=0,"",E2047/$E$8))</f>
        <v/>
      </c>
      <c r="G2047" s="25" t="str">
        <f>IF($N2047="","",INDEX('_calc'!$E$2:$E$3001,$N2047))</f>
        <v/>
      </c>
      <c r="H2047" s="25" t="str">
        <f>IF($N2047="","",INDEX('_calc'!$F$2:$F$3001,$N2047))</f>
        <v/>
      </c>
      <c r="I2047" s="27" t="str">
        <f>IF($N2047="","",INDEX('_calc'!$H$2:$H$3001,$N2047))</f>
        <v/>
      </c>
      <c r="J2047" s="27" t="str">
        <f>IF($N2047="","",INDEX('_calc'!$I$2:$I$3001,$N2047))</f>
        <v/>
      </c>
      <c r="K2047" s="28" t="str">
        <f>IF($N2047="","",IF(OR(I2047="",J2047=""),"",J2047-I2047))</f>
        <v/>
      </c>
      <c r="L2047" s="29" t="str">
        <f>IF($N2047="","",INDEX('_calc'!$J$2:$J$3001,$N2047))</f>
        <v/>
      </c>
      <c r="M2047" s="2" t="str">
        <f>IF($N2047="","",IF(AND(G2047=0,H2047=0),"수량 없음",IF(G2047=0,"신규 (전년 수량 없음)",IF(H2047=0,"당해 수량 없음",""))))</f>
        <v/>
      </c>
      <c r="N2047" t="str">
        <f>IF($B2047="","",MATCH($B2047,'_calc'!$L$2:$L$3001,0))</f>
        <v/>
      </c>
    </row>
    <row r="2048">
      <c r="B2048" s="24" t="str">
        <f>IF(ROW()-ROW($B$8)&gt;nComp,"",ROW()-ROW($B$8))</f>
        <v/>
      </c>
      <c r="C2048" t="str">
        <f>IF($N2048="","",INDEX('_calc'!$A$2:$A$3001,$N2048))</f>
        <v/>
      </c>
      <c r="D2048" s="25" t="str">
        <f>IF($N2048="","",INDEX('_calc'!$C$2:$C$3001,$N2048))</f>
        <v/>
      </c>
      <c r="E2048" s="25" t="str">
        <f>IF($N2048="","",INDEX('_calc'!$D$2:$D$3001,$N2048))</f>
        <v/>
      </c>
      <c r="F2048" s="26" t="str">
        <f>IF($N2048="","",IF($E$8=0,"",E2048/$E$8))</f>
        <v/>
      </c>
      <c r="G2048" s="25" t="str">
        <f>IF($N2048="","",INDEX('_calc'!$E$2:$E$3001,$N2048))</f>
        <v/>
      </c>
      <c r="H2048" s="25" t="str">
        <f>IF($N2048="","",INDEX('_calc'!$F$2:$F$3001,$N2048))</f>
        <v/>
      </c>
      <c r="I2048" s="27" t="str">
        <f>IF($N2048="","",INDEX('_calc'!$H$2:$H$3001,$N2048))</f>
        <v/>
      </c>
      <c r="J2048" s="27" t="str">
        <f>IF($N2048="","",INDEX('_calc'!$I$2:$I$3001,$N2048))</f>
        <v/>
      </c>
      <c r="K2048" s="28" t="str">
        <f>IF($N2048="","",IF(OR(I2048="",J2048=""),"",J2048-I2048))</f>
        <v/>
      </c>
      <c r="L2048" s="29" t="str">
        <f>IF($N2048="","",INDEX('_calc'!$J$2:$J$3001,$N2048))</f>
        <v/>
      </c>
      <c r="M2048" s="2" t="str">
        <f>IF($N2048="","",IF(AND(G2048=0,H2048=0),"수량 없음",IF(G2048=0,"신규 (전년 수량 없음)",IF(H2048=0,"당해 수량 없음",""))))</f>
        <v/>
      </c>
      <c r="N2048" t="str">
        <f>IF($B2048="","",MATCH($B2048,'_calc'!$L$2:$L$3001,0))</f>
        <v/>
      </c>
    </row>
    <row r="2049">
      <c r="B2049" s="24" t="str">
        <f>IF(ROW()-ROW($B$8)&gt;nComp,"",ROW()-ROW($B$8))</f>
        <v/>
      </c>
      <c r="C2049" t="str">
        <f>IF($N2049="","",INDEX('_calc'!$A$2:$A$3001,$N2049))</f>
        <v/>
      </c>
      <c r="D2049" s="25" t="str">
        <f>IF($N2049="","",INDEX('_calc'!$C$2:$C$3001,$N2049))</f>
        <v/>
      </c>
      <c r="E2049" s="25" t="str">
        <f>IF($N2049="","",INDEX('_calc'!$D$2:$D$3001,$N2049))</f>
        <v/>
      </c>
      <c r="F2049" s="26" t="str">
        <f>IF($N2049="","",IF($E$8=0,"",E2049/$E$8))</f>
        <v/>
      </c>
      <c r="G2049" s="25" t="str">
        <f>IF($N2049="","",INDEX('_calc'!$E$2:$E$3001,$N2049))</f>
        <v/>
      </c>
      <c r="H2049" s="25" t="str">
        <f>IF($N2049="","",INDEX('_calc'!$F$2:$F$3001,$N2049))</f>
        <v/>
      </c>
      <c r="I2049" s="27" t="str">
        <f>IF($N2049="","",INDEX('_calc'!$H$2:$H$3001,$N2049))</f>
        <v/>
      </c>
      <c r="J2049" s="27" t="str">
        <f>IF($N2049="","",INDEX('_calc'!$I$2:$I$3001,$N2049))</f>
        <v/>
      </c>
      <c r="K2049" s="28" t="str">
        <f>IF($N2049="","",IF(OR(I2049="",J2049=""),"",J2049-I2049))</f>
        <v/>
      </c>
      <c r="L2049" s="29" t="str">
        <f>IF($N2049="","",INDEX('_calc'!$J$2:$J$3001,$N2049))</f>
        <v/>
      </c>
      <c r="M2049" s="2" t="str">
        <f>IF($N2049="","",IF(AND(G2049=0,H2049=0),"수량 없음",IF(G2049=0,"신규 (전년 수량 없음)",IF(H2049=0,"당해 수량 없음",""))))</f>
        <v/>
      </c>
      <c r="N2049" t="str">
        <f>IF($B2049="","",MATCH($B2049,'_calc'!$L$2:$L$3001,0))</f>
        <v/>
      </c>
    </row>
    <row r="2050">
      <c r="B2050" s="24" t="str">
        <f>IF(ROW()-ROW($B$8)&gt;nComp,"",ROW()-ROW($B$8))</f>
        <v/>
      </c>
      <c r="C2050" t="str">
        <f>IF($N2050="","",INDEX('_calc'!$A$2:$A$3001,$N2050))</f>
        <v/>
      </c>
      <c r="D2050" s="25" t="str">
        <f>IF($N2050="","",INDEX('_calc'!$C$2:$C$3001,$N2050))</f>
        <v/>
      </c>
      <c r="E2050" s="25" t="str">
        <f>IF($N2050="","",INDEX('_calc'!$D$2:$D$3001,$N2050))</f>
        <v/>
      </c>
      <c r="F2050" s="26" t="str">
        <f>IF($N2050="","",IF($E$8=0,"",E2050/$E$8))</f>
        <v/>
      </c>
      <c r="G2050" s="25" t="str">
        <f>IF($N2050="","",INDEX('_calc'!$E$2:$E$3001,$N2050))</f>
        <v/>
      </c>
      <c r="H2050" s="25" t="str">
        <f>IF($N2050="","",INDEX('_calc'!$F$2:$F$3001,$N2050))</f>
        <v/>
      </c>
      <c r="I2050" s="27" t="str">
        <f>IF($N2050="","",INDEX('_calc'!$H$2:$H$3001,$N2050))</f>
        <v/>
      </c>
      <c r="J2050" s="27" t="str">
        <f>IF($N2050="","",INDEX('_calc'!$I$2:$I$3001,$N2050))</f>
        <v/>
      </c>
      <c r="K2050" s="28" t="str">
        <f>IF($N2050="","",IF(OR(I2050="",J2050=""),"",J2050-I2050))</f>
        <v/>
      </c>
      <c r="L2050" s="29" t="str">
        <f>IF($N2050="","",INDEX('_calc'!$J$2:$J$3001,$N2050))</f>
        <v/>
      </c>
      <c r="M2050" s="2" t="str">
        <f>IF($N2050="","",IF(AND(G2050=0,H2050=0),"수량 없음",IF(G2050=0,"신규 (전년 수량 없음)",IF(H2050=0,"당해 수량 없음",""))))</f>
        <v/>
      </c>
      <c r="N2050" t="str">
        <f>IF($B2050="","",MATCH($B2050,'_calc'!$L$2:$L$3001,0))</f>
        <v/>
      </c>
    </row>
    <row r="2051">
      <c r="B2051" s="24" t="str">
        <f>IF(ROW()-ROW($B$8)&gt;nComp,"",ROW()-ROW($B$8))</f>
        <v/>
      </c>
      <c r="C2051" t="str">
        <f>IF($N2051="","",INDEX('_calc'!$A$2:$A$3001,$N2051))</f>
        <v/>
      </c>
      <c r="D2051" s="25" t="str">
        <f>IF($N2051="","",INDEX('_calc'!$C$2:$C$3001,$N2051))</f>
        <v/>
      </c>
      <c r="E2051" s="25" t="str">
        <f>IF($N2051="","",INDEX('_calc'!$D$2:$D$3001,$N2051))</f>
        <v/>
      </c>
      <c r="F2051" s="26" t="str">
        <f>IF($N2051="","",IF($E$8=0,"",E2051/$E$8))</f>
        <v/>
      </c>
      <c r="G2051" s="25" t="str">
        <f>IF($N2051="","",INDEX('_calc'!$E$2:$E$3001,$N2051))</f>
        <v/>
      </c>
      <c r="H2051" s="25" t="str">
        <f>IF($N2051="","",INDEX('_calc'!$F$2:$F$3001,$N2051))</f>
        <v/>
      </c>
      <c r="I2051" s="27" t="str">
        <f>IF($N2051="","",INDEX('_calc'!$H$2:$H$3001,$N2051))</f>
        <v/>
      </c>
      <c r="J2051" s="27" t="str">
        <f>IF($N2051="","",INDEX('_calc'!$I$2:$I$3001,$N2051))</f>
        <v/>
      </c>
      <c r="K2051" s="28" t="str">
        <f>IF($N2051="","",IF(OR(I2051="",J2051=""),"",J2051-I2051))</f>
        <v/>
      </c>
      <c r="L2051" s="29" t="str">
        <f>IF($N2051="","",INDEX('_calc'!$J$2:$J$3001,$N2051))</f>
        <v/>
      </c>
      <c r="M2051" s="2" t="str">
        <f>IF($N2051="","",IF(AND(G2051=0,H2051=0),"수량 없음",IF(G2051=0,"신규 (전년 수량 없음)",IF(H2051=0,"당해 수량 없음",""))))</f>
        <v/>
      </c>
      <c r="N2051" t="str">
        <f>IF($B2051="","",MATCH($B2051,'_calc'!$L$2:$L$3001,0))</f>
        <v/>
      </c>
    </row>
    <row r="2052">
      <c r="B2052" s="24" t="str">
        <f>IF(ROW()-ROW($B$8)&gt;nComp,"",ROW()-ROW($B$8))</f>
        <v/>
      </c>
      <c r="C2052" t="str">
        <f>IF($N2052="","",INDEX('_calc'!$A$2:$A$3001,$N2052))</f>
        <v/>
      </c>
      <c r="D2052" s="25" t="str">
        <f>IF($N2052="","",INDEX('_calc'!$C$2:$C$3001,$N2052))</f>
        <v/>
      </c>
      <c r="E2052" s="25" t="str">
        <f>IF($N2052="","",INDEX('_calc'!$D$2:$D$3001,$N2052))</f>
        <v/>
      </c>
      <c r="F2052" s="26" t="str">
        <f>IF($N2052="","",IF($E$8=0,"",E2052/$E$8))</f>
        <v/>
      </c>
      <c r="G2052" s="25" t="str">
        <f>IF($N2052="","",INDEX('_calc'!$E$2:$E$3001,$N2052))</f>
        <v/>
      </c>
      <c r="H2052" s="25" t="str">
        <f>IF($N2052="","",INDEX('_calc'!$F$2:$F$3001,$N2052))</f>
        <v/>
      </c>
      <c r="I2052" s="27" t="str">
        <f>IF($N2052="","",INDEX('_calc'!$H$2:$H$3001,$N2052))</f>
        <v/>
      </c>
      <c r="J2052" s="27" t="str">
        <f>IF($N2052="","",INDEX('_calc'!$I$2:$I$3001,$N2052))</f>
        <v/>
      </c>
      <c r="K2052" s="28" t="str">
        <f>IF($N2052="","",IF(OR(I2052="",J2052=""),"",J2052-I2052))</f>
        <v/>
      </c>
      <c r="L2052" s="29" t="str">
        <f>IF($N2052="","",INDEX('_calc'!$J$2:$J$3001,$N2052))</f>
        <v/>
      </c>
      <c r="M2052" s="2" t="str">
        <f>IF($N2052="","",IF(AND(G2052=0,H2052=0),"수량 없음",IF(G2052=0,"신규 (전년 수량 없음)",IF(H2052=0,"당해 수량 없음",""))))</f>
        <v/>
      </c>
      <c r="N2052" t="str">
        <f>IF($B2052="","",MATCH($B2052,'_calc'!$L$2:$L$3001,0))</f>
        <v/>
      </c>
    </row>
    <row r="2053">
      <c r="B2053" s="24" t="str">
        <f>IF(ROW()-ROW($B$8)&gt;nComp,"",ROW()-ROW($B$8))</f>
        <v/>
      </c>
      <c r="C2053" t="str">
        <f>IF($N2053="","",INDEX('_calc'!$A$2:$A$3001,$N2053))</f>
        <v/>
      </c>
      <c r="D2053" s="25" t="str">
        <f>IF($N2053="","",INDEX('_calc'!$C$2:$C$3001,$N2053))</f>
        <v/>
      </c>
      <c r="E2053" s="25" t="str">
        <f>IF($N2053="","",INDEX('_calc'!$D$2:$D$3001,$N2053))</f>
        <v/>
      </c>
      <c r="F2053" s="26" t="str">
        <f>IF($N2053="","",IF($E$8=0,"",E2053/$E$8))</f>
        <v/>
      </c>
      <c r="G2053" s="25" t="str">
        <f>IF($N2053="","",INDEX('_calc'!$E$2:$E$3001,$N2053))</f>
        <v/>
      </c>
      <c r="H2053" s="25" t="str">
        <f>IF($N2053="","",INDEX('_calc'!$F$2:$F$3001,$N2053))</f>
        <v/>
      </c>
      <c r="I2053" s="27" t="str">
        <f>IF($N2053="","",INDEX('_calc'!$H$2:$H$3001,$N2053))</f>
        <v/>
      </c>
      <c r="J2053" s="27" t="str">
        <f>IF($N2053="","",INDEX('_calc'!$I$2:$I$3001,$N2053))</f>
        <v/>
      </c>
      <c r="K2053" s="28" t="str">
        <f>IF($N2053="","",IF(OR(I2053="",J2053=""),"",J2053-I2053))</f>
        <v/>
      </c>
      <c r="L2053" s="29" t="str">
        <f>IF($N2053="","",INDEX('_calc'!$J$2:$J$3001,$N2053))</f>
        <v/>
      </c>
      <c r="M2053" s="2" t="str">
        <f>IF($N2053="","",IF(AND(G2053=0,H2053=0),"수량 없음",IF(G2053=0,"신규 (전년 수량 없음)",IF(H2053=0,"당해 수량 없음",""))))</f>
        <v/>
      </c>
      <c r="N2053" t="str">
        <f>IF($B2053="","",MATCH($B2053,'_calc'!$L$2:$L$3001,0))</f>
        <v/>
      </c>
    </row>
    <row r="2054">
      <c r="B2054" s="24" t="str">
        <f>IF(ROW()-ROW($B$8)&gt;nComp,"",ROW()-ROW($B$8))</f>
        <v/>
      </c>
      <c r="C2054" t="str">
        <f>IF($N2054="","",INDEX('_calc'!$A$2:$A$3001,$N2054))</f>
        <v/>
      </c>
      <c r="D2054" s="25" t="str">
        <f>IF($N2054="","",INDEX('_calc'!$C$2:$C$3001,$N2054))</f>
        <v/>
      </c>
      <c r="E2054" s="25" t="str">
        <f>IF($N2054="","",INDEX('_calc'!$D$2:$D$3001,$N2054))</f>
        <v/>
      </c>
      <c r="F2054" s="26" t="str">
        <f>IF($N2054="","",IF($E$8=0,"",E2054/$E$8))</f>
        <v/>
      </c>
      <c r="G2054" s="25" t="str">
        <f>IF($N2054="","",INDEX('_calc'!$E$2:$E$3001,$N2054))</f>
        <v/>
      </c>
      <c r="H2054" s="25" t="str">
        <f>IF($N2054="","",INDEX('_calc'!$F$2:$F$3001,$N2054))</f>
        <v/>
      </c>
      <c r="I2054" s="27" t="str">
        <f>IF($N2054="","",INDEX('_calc'!$H$2:$H$3001,$N2054))</f>
        <v/>
      </c>
      <c r="J2054" s="27" t="str">
        <f>IF($N2054="","",INDEX('_calc'!$I$2:$I$3001,$N2054))</f>
        <v/>
      </c>
      <c r="K2054" s="28" t="str">
        <f>IF($N2054="","",IF(OR(I2054="",J2054=""),"",J2054-I2054))</f>
        <v/>
      </c>
      <c r="L2054" s="29" t="str">
        <f>IF($N2054="","",INDEX('_calc'!$J$2:$J$3001,$N2054))</f>
        <v/>
      </c>
      <c r="M2054" s="2" t="str">
        <f>IF($N2054="","",IF(AND(G2054=0,H2054=0),"수량 없음",IF(G2054=0,"신규 (전년 수량 없음)",IF(H2054=0,"당해 수량 없음",""))))</f>
        <v/>
      </c>
      <c r="N2054" t="str">
        <f>IF($B2054="","",MATCH($B2054,'_calc'!$L$2:$L$3001,0))</f>
        <v/>
      </c>
    </row>
    <row r="2055">
      <c r="B2055" s="24" t="str">
        <f>IF(ROW()-ROW($B$8)&gt;nComp,"",ROW()-ROW($B$8))</f>
        <v/>
      </c>
      <c r="C2055" t="str">
        <f>IF($N2055="","",INDEX('_calc'!$A$2:$A$3001,$N2055))</f>
        <v/>
      </c>
      <c r="D2055" s="25" t="str">
        <f>IF($N2055="","",INDEX('_calc'!$C$2:$C$3001,$N2055))</f>
        <v/>
      </c>
      <c r="E2055" s="25" t="str">
        <f>IF($N2055="","",INDEX('_calc'!$D$2:$D$3001,$N2055))</f>
        <v/>
      </c>
      <c r="F2055" s="26" t="str">
        <f>IF($N2055="","",IF($E$8=0,"",E2055/$E$8))</f>
        <v/>
      </c>
      <c r="G2055" s="25" t="str">
        <f>IF($N2055="","",INDEX('_calc'!$E$2:$E$3001,$N2055))</f>
        <v/>
      </c>
      <c r="H2055" s="25" t="str">
        <f>IF($N2055="","",INDEX('_calc'!$F$2:$F$3001,$N2055))</f>
        <v/>
      </c>
      <c r="I2055" s="27" t="str">
        <f>IF($N2055="","",INDEX('_calc'!$H$2:$H$3001,$N2055))</f>
        <v/>
      </c>
      <c r="J2055" s="27" t="str">
        <f>IF($N2055="","",INDEX('_calc'!$I$2:$I$3001,$N2055))</f>
        <v/>
      </c>
      <c r="K2055" s="28" t="str">
        <f>IF($N2055="","",IF(OR(I2055="",J2055=""),"",J2055-I2055))</f>
        <v/>
      </c>
      <c r="L2055" s="29" t="str">
        <f>IF($N2055="","",INDEX('_calc'!$J$2:$J$3001,$N2055))</f>
        <v/>
      </c>
      <c r="M2055" s="2" t="str">
        <f>IF($N2055="","",IF(AND(G2055=0,H2055=0),"수량 없음",IF(G2055=0,"신규 (전년 수량 없음)",IF(H2055=0,"당해 수량 없음",""))))</f>
        <v/>
      </c>
      <c r="N2055" t="str">
        <f>IF($B2055="","",MATCH($B2055,'_calc'!$L$2:$L$3001,0))</f>
        <v/>
      </c>
    </row>
    <row r="2056">
      <c r="B2056" s="24" t="str">
        <f>IF(ROW()-ROW($B$8)&gt;nComp,"",ROW()-ROW($B$8))</f>
        <v/>
      </c>
      <c r="C2056" t="str">
        <f>IF($N2056="","",INDEX('_calc'!$A$2:$A$3001,$N2056))</f>
        <v/>
      </c>
      <c r="D2056" s="25" t="str">
        <f>IF($N2056="","",INDEX('_calc'!$C$2:$C$3001,$N2056))</f>
        <v/>
      </c>
      <c r="E2056" s="25" t="str">
        <f>IF($N2056="","",INDEX('_calc'!$D$2:$D$3001,$N2056))</f>
        <v/>
      </c>
      <c r="F2056" s="26" t="str">
        <f>IF($N2056="","",IF($E$8=0,"",E2056/$E$8))</f>
        <v/>
      </c>
      <c r="G2056" s="25" t="str">
        <f>IF($N2056="","",INDEX('_calc'!$E$2:$E$3001,$N2056))</f>
        <v/>
      </c>
      <c r="H2056" s="25" t="str">
        <f>IF($N2056="","",INDEX('_calc'!$F$2:$F$3001,$N2056))</f>
        <v/>
      </c>
      <c r="I2056" s="27" t="str">
        <f>IF($N2056="","",INDEX('_calc'!$H$2:$H$3001,$N2056))</f>
        <v/>
      </c>
      <c r="J2056" s="27" t="str">
        <f>IF($N2056="","",INDEX('_calc'!$I$2:$I$3001,$N2056))</f>
        <v/>
      </c>
      <c r="K2056" s="28" t="str">
        <f>IF($N2056="","",IF(OR(I2056="",J2056=""),"",J2056-I2056))</f>
        <v/>
      </c>
      <c r="L2056" s="29" t="str">
        <f>IF($N2056="","",INDEX('_calc'!$J$2:$J$3001,$N2056))</f>
        <v/>
      </c>
      <c r="M2056" s="2" t="str">
        <f>IF($N2056="","",IF(AND(G2056=0,H2056=0),"수량 없음",IF(G2056=0,"신규 (전년 수량 없음)",IF(H2056=0,"당해 수량 없음",""))))</f>
        <v/>
      </c>
      <c r="N2056" t="str">
        <f>IF($B2056="","",MATCH($B2056,'_calc'!$L$2:$L$3001,0))</f>
        <v/>
      </c>
    </row>
    <row r="2057">
      <c r="B2057" s="24" t="str">
        <f>IF(ROW()-ROW($B$8)&gt;nComp,"",ROW()-ROW($B$8))</f>
        <v/>
      </c>
      <c r="C2057" t="str">
        <f>IF($N2057="","",INDEX('_calc'!$A$2:$A$3001,$N2057))</f>
        <v/>
      </c>
      <c r="D2057" s="25" t="str">
        <f>IF($N2057="","",INDEX('_calc'!$C$2:$C$3001,$N2057))</f>
        <v/>
      </c>
      <c r="E2057" s="25" t="str">
        <f>IF($N2057="","",INDEX('_calc'!$D$2:$D$3001,$N2057))</f>
        <v/>
      </c>
      <c r="F2057" s="26" t="str">
        <f>IF($N2057="","",IF($E$8=0,"",E2057/$E$8))</f>
        <v/>
      </c>
      <c r="G2057" s="25" t="str">
        <f>IF($N2057="","",INDEX('_calc'!$E$2:$E$3001,$N2057))</f>
        <v/>
      </c>
      <c r="H2057" s="25" t="str">
        <f>IF($N2057="","",INDEX('_calc'!$F$2:$F$3001,$N2057))</f>
        <v/>
      </c>
      <c r="I2057" s="27" t="str">
        <f>IF($N2057="","",INDEX('_calc'!$H$2:$H$3001,$N2057))</f>
        <v/>
      </c>
      <c r="J2057" s="27" t="str">
        <f>IF($N2057="","",INDEX('_calc'!$I$2:$I$3001,$N2057))</f>
        <v/>
      </c>
      <c r="K2057" s="28" t="str">
        <f>IF($N2057="","",IF(OR(I2057="",J2057=""),"",J2057-I2057))</f>
        <v/>
      </c>
      <c r="L2057" s="29" t="str">
        <f>IF($N2057="","",INDEX('_calc'!$J$2:$J$3001,$N2057))</f>
        <v/>
      </c>
      <c r="M2057" s="2" t="str">
        <f>IF($N2057="","",IF(AND(G2057=0,H2057=0),"수량 없음",IF(G2057=0,"신규 (전년 수량 없음)",IF(H2057=0,"당해 수량 없음",""))))</f>
        <v/>
      </c>
      <c r="N2057" t="str">
        <f>IF($B2057="","",MATCH($B2057,'_calc'!$L$2:$L$3001,0))</f>
        <v/>
      </c>
    </row>
    <row r="2058">
      <c r="B2058" s="24" t="str">
        <f>IF(ROW()-ROW($B$8)&gt;nComp,"",ROW()-ROW($B$8))</f>
        <v/>
      </c>
      <c r="C2058" t="str">
        <f>IF($N2058="","",INDEX('_calc'!$A$2:$A$3001,$N2058))</f>
        <v/>
      </c>
      <c r="D2058" s="25" t="str">
        <f>IF($N2058="","",INDEX('_calc'!$C$2:$C$3001,$N2058))</f>
        <v/>
      </c>
      <c r="E2058" s="25" t="str">
        <f>IF($N2058="","",INDEX('_calc'!$D$2:$D$3001,$N2058))</f>
        <v/>
      </c>
      <c r="F2058" s="26" t="str">
        <f>IF($N2058="","",IF($E$8=0,"",E2058/$E$8))</f>
        <v/>
      </c>
      <c r="G2058" s="25" t="str">
        <f>IF($N2058="","",INDEX('_calc'!$E$2:$E$3001,$N2058))</f>
        <v/>
      </c>
      <c r="H2058" s="25" t="str">
        <f>IF($N2058="","",INDEX('_calc'!$F$2:$F$3001,$N2058))</f>
        <v/>
      </c>
      <c r="I2058" s="27" t="str">
        <f>IF($N2058="","",INDEX('_calc'!$H$2:$H$3001,$N2058))</f>
        <v/>
      </c>
      <c r="J2058" s="27" t="str">
        <f>IF($N2058="","",INDEX('_calc'!$I$2:$I$3001,$N2058))</f>
        <v/>
      </c>
      <c r="K2058" s="28" t="str">
        <f>IF($N2058="","",IF(OR(I2058="",J2058=""),"",J2058-I2058))</f>
        <v/>
      </c>
      <c r="L2058" s="29" t="str">
        <f>IF($N2058="","",INDEX('_calc'!$J$2:$J$3001,$N2058))</f>
        <v/>
      </c>
      <c r="M2058" s="2" t="str">
        <f>IF($N2058="","",IF(AND(G2058=0,H2058=0),"수량 없음",IF(G2058=0,"신규 (전년 수량 없음)",IF(H2058=0,"당해 수량 없음",""))))</f>
        <v/>
      </c>
      <c r="N2058" t="str">
        <f>IF($B2058="","",MATCH($B2058,'_calc'!$L$2:$L$3001,0))</f>
        <v/>
      </c>
    </row>
    <row r="2059">
      <c r="B2059" s="24" t="str">
        <f>IF(ROW()-ROW($B$8)&gt;nComp,"",ROW()-ROW($B$8))</f>
        <v/>
      </c>
      <c r="C2059" t="str">
        <f>IF($N2059="","",INDEX('_calc'!$A$2:$A$3001,$N2059))</f>
        <v/>
      </c>
      <c r="D2059" s="25" t="str">
        <f>IF($N2059="","",INDEX('_calc'!$C$2:$C$3001,$N2059))</f>
        <v/>
      </c>
      <c r="E2059" s="25" t="str">
        <f>IF($N2059="","",INDEX('_calc'!$D$2:$D$3001,$N2059))</f>
        <v/>
      </c>
      <c r="F2059" s="26" t="str">
        <f>IF($N2059="","",IF($E$8=0,"",E2059/$E$8))</f>
        <v/>
      </c>
      <c r="G2059" s="25" t="str">
        <f>IF($N2059="","",INDEX('_calc'!$E$2:$E$3001,$N2059))</f>
        <v/>
      </c>
      <c r="H2059" s="25" t="str">
        <f>IF($N2059="","",INDEX('_calc'!$F$2:$F$3001,$N2059))</f>
        <v/>
      </c>
      <c r="I2059" s="27" t="str">
        <f>IF($N2059="","",INDEX('_calc'!$H$2:$H$3001,$N2059))</f>
        <v/>
      </c>
      <c r="J2059" s="27" t="str">
        <f>IF($N2059="","",INDEX('_calc'!$I$2:$I$3001,$N2059))</f>
        <v/>
      </c>
      <c r="K2059" s="28" t="str">
        <f>IF($N2059="","",IF(OR(I2059="",J2059=""),"",J2059-I2059))</f>
        <v/>
      </c>
      <c r="L2059" s="29" t="str">
        <f>IF($N2059="","",INDEX('_calc'!$J$2:$J$3001,$N2059))</f>
        <v/>
      </c>
      <c r="M2059" s="2" t="str">
        <f>IF($N2059="","",IF(AND(G2059=0,H2059=0),"수량 없음",IF(G2059=0,"신규 (전년 수량 없음)",IF(H2059=0,"당해 수량 없음",""))))</f>
        <v/>
      </c>
      <c r="N2059" t="str">
        <f>IF($B2059="","",MATCH($B2059,'_calc'!$L$2:$L$3001,0))</f>
        <v/>
      </c>
    </row>
    <row r="2060">
      <c r="B2060" s="24" t="str">
        <f>IF(ROW()-ROW($B$8)&gt;nComp,"",ROW()-ROW($B$8))</f>
        <v/>
      </c>
      <c r="C2060" t="str">
        <f>IF($N2060="","",INDEX('_calc'!$A$2:$A$3001,$N2060))</f>
        <v/>
      </c>
      <c r="D2060" s="25" t="str">
        <f>IF($N2060="","",INDEX('_calc'!$C$2:$C$3001,$N2060))</f>
        <v/>
      </c>
      <c r="E2060" s="25" t="str">
        <f>IF($N2060="","",INDEX('_calc'!$D$2:$D$3001,$N2060))</f>
        <v/>
      </c>
      <c r="F2060" s="26" t="str">
        <f>IF($N2060="","",IF($E$8=0,"",E2060/$E$8))</f>
        <v/>
      </c>
      <c r="G2060" s="25" t="str">
        <f>IF($N2060="","",INDEX('_calc'!$E$2:$E$3001,$N2060))</f>
        <v/>
      </c>
      <c r="H2060" s="25" t="str">
        <f>IF($N2060="","",INDEX('_calc'!$F$2:$F$3001,$N2060))</f>
        <v/>
      </c>
      <c r="I2060" s="27" t="str">
        <f>IF($N2060="","",INDEX('_calc'!$H$2:$H$3001,$N2060))</f>
        <v/>
      </c>
      <c r="J2060" s="27" t="str">
        <f>IF($N2060="","",INDEX('_calc'!$I$2:$I$3001,$N2060))</f>
        <v/>
      </c>
      <c r="K2060" s="28" t="str">
        <f>IF($N2060="","",IF(OR(I2060="",J2060=""),"",J2060-I2060))</f>
        <v/>
      </c>
      <c r="L2060" s="29" t="str">
        <f>IF($N2060="","",INDEX('_calc'!$J$2:$J$3001,$N2060))</f>
        <v/>
      </c>
      <c r="M2060" s="2" t="str">
        <f>IF($N2060="","",IF(AND(G2060=0,H2060=0),"수량 없음",IF(G2060=0,"신규 (전년 수량 없음)",IF(H2060=0,"당해 수량 없음",""))))</f>
        <v/>
      </c>
      <c r="N2060" t="str">
        <f>IF($B2060="","",MATCH($B2060,'_calc'!$L$2:$L$3001,0))</f>
        <v/>
      </c>
    </row>
    <row r="2061">
      <c r="B2061" s="24" t="str">
        <f>IF(ROW()-ROW($B$8)&gt;nComp,"",ROW()-ROW($B$8))</f>
        <v/>
      </c>
      <c r="C2061" t="str">
        <f>IF($N2061="","",INDEX('_calc'!$A$2:$A$3001,$N2061))</f>
        <v/>
      </c>
      <c r="D2061" s="25" t="str">
        <f>IF($N2061="","",INDEX('_calc'!$C$2:$C$3001,$N2061))</f>
        <v/>
      </c>
      <c r="E2061" s="25" t="str">
        <f>IF($N2061="","",INDEX('_calc'!$D$2:$D$3001,$N2061))</f>
        <v/>
      </c>
      <c r="F2061" s="26" t="str">
        <f>IF($N2061="","",IF($E$8=0,"",E2061/$E$8))</f>
        <v/>
      </c>
      <c r="G2061" s="25" t="str">
        <f>IF($N2061="","",INDEX('_calc'!$E$2:$E$3001,$N2061))</f>
        <v/>
      </c>
      <c r="H2061" s="25" t="str">
        <f>IF($N2061="","",INDEX('_calc'!$F$2:$F$3001,$N2061))</f>
        <v/>
      </c>
      <c r="I2061" s="27" t="str">
        <f>IF($N2061="","",INDEX('_calc'!$H$2:$H$3001,$N2061))</f>
        <v/>
      </c>
      <c r="J2061" s="27" t="str">
        <f>IF($N2061="","",INDEX('_calc'!$I$2:$I$3001,$N2061))</f>
        <v/>
      </c>
      <c r="K2061" s="28" t="str">
        <f>IF($N2061="","",IF(OR(I2061="",J2061=""),"",J2061-I2061))</f>
        <v/>
      </c>
      <c r="L2061" s="29" t="str">
        <f>IF($N2061="","",INDEX('_calc'!$J$2:$J$3001,$N2061))</f>
        <v/>
      </c>
      <c r="M2061" s="2" t="str">
        <f>IF($N2061="","",IF(AND(G2061=0,H2061=0),"수량 없음",IF(G2061=0,"신규 (전년 수량 없음)",IF(H2061=0,"당해 수량 없음",""))))</f>
        <v/>
      </c>
      <c r="N2061" t="str">
        <f>IF($B2061="","",MATCH($B2061,'_calc'!$L$2:$L$3001,0))</f>
        <v/>
      </c>
    </row>
    <row r="2062">
      <c r="B2062" s="24" t="str">
        <f>IF(ROW()-ROW($B$8)&gt;nComp,"",ROW()-ROW($B$8))</f>
        <v/>
      </c>
      <c r="C2062" t="str">
        <f>IF($N2062="","",INDEX('_calc'!$A$2:$A$3001,$N2062))</f>
        <v/>
      </c>
      <c r="D2062" s="25" t="str">
        <f>IF($N2062="","",INDEX('_calc'!$C$2:$C$3001,$N2062))</f>
        <v/>
      </c>
      <c r="E2062" s="25" t="str">
        <f>IF($N2062="","",INDEX('_calc'!$D$2:$D$3001,$N2062))</f>
        <v/>
      </c>
      <c r="F2062" s="26" t="str">
        <f>IF($N2062="","",IF($E$8=0,"",E2062/$E$8))</f>
        <v/>
      </c>
      <c r="G2062" s="25" t="str">
        <f>IF($N2062="","",INDEX('_calc'!$E$2:$E$3001,$N2062))</f>
        <v/>
      </c>
      <c r="H2062" s="25" t="str">
        <f>IF($N2062="","",INDEX('_calc'!$F$2:$F$3001,$N2062))</f>
        <v/>
      </c>
      <c r="I2062" s="27" t="str">
        <f>IF($N2062="","",INDEX('_calc'!$H$2:$H$3001,$N2062))</f>
        <v/>
      </c>
      <c r="J2062" s="27" t="str">
        <f>IF($N2062="","",INDEX('_calc'!$I$2:$I$3001,$N2062))</f>
        <v/>
      </c>
      <c r="K2062" s="28" t="str">
        <f>IF($N2062="","",IF(OR(I2062="",J2062=""),"",J2062-I2062))</f>
        <v/>
      </c>
      <c r="L2062" s="29" t="str">
        <f>IF($N2062="","",INDEX('_calc'!$J$2:$J$3001,$N2062))</f>
        <v/>
      </c>
      <c r="M2062" s="2" t="str">
        <f>IF($N2062="","",IF(AND(G2062=0,H2062=0),"수량 없음",IF(G2062=0,"신규 (전년 수량 없음)",IF(H2062=0,"당해 수량 없음",""))))</f>
        <v/>
      </c>
      <c r="N2062" t="str">
        <f>IF($B2062="","",MATCH($B2062,'_calc'!$L$2:$L$3001,0))</f>
        <v/>
      </c>
    </row>
    <row r="2063">
      <c r="B2063" s="24" t="str">
        <f>IF(ROW()-ROW($B$8)&gt;nComp,"",ROW()-ROW($B$8))</f>
        <v/>
      </c>
      <c r="C2063" t="str">
        <f>IF($N2063="","",INDEX('_calc'!$A$2:$A$3001,$N2063))</f>
        <v/>
      </c>
      <c r="D2063" s="25" t="str">
        <f>IF($N2063="","",INDEX('_calc'!$C$2:$C$3001,$N2063))</f>
        <v/>
      </c>
      <c r="E2063" s="25" t="str">
        <f>IF($N2063="","",INDEX('_calc'!$D$2:$D$3001,$N2063))</f>
        <v/>
      </c>
      <c r="F2063" s="26" t="str">
        <f>IF($N2063="","",IF($E$8=0,"",E2063/$E$8))</f>
        <v/>
      </c>
      <c r="G2063" s="25" t="str">
        <f>IF($N2063="","",INDEX('_calc'!$E$2:$E$3001,$N2063))</f>
        <v/>
      </c>
      <c r="H2063" s="25" t="str">
        <f>IF($N2063="","",INDEX('_calc'!$F$2:$F$3001,$N2063))</f>
        <v/>
      </c>
      <c r="I2063" s="27" t="str">
        <f>IF($N2063="","",INDEX('_calc'!$H$2:$H$3001,$N2063))</f>
        <v/>
      </c>
      <c r="J2063" s="27" t="str">
        <f>IF($N2063="","",INDEX('_calc'!$I$2:$I$3001,$N2063))</f>
        <v/>
      </c>
      <c r="K2063" s="28" t="str">
        <f>IF($N2063="","",IF(OR(I2063="",J2063=""),"",J2063-I2063))</f>
        <v/>
      </c>
      <c r="L2063" s="29" t="str">
        <f>IF($N2063="","",INDEX('_calc'!$J$2:$J$3001,$N2063))</f>
        <v/>
      </c>
      <c r="M2063" s="2" t="str">
        <f>IF($N2063="","",IF(AND(G2063=0,H2063=0),"수량 없음",IF(G2063=0,"신규 (전년 수량 없음)",IF(H2063=0,"당해 수량 없음",""))))</f>
        <v/>
      </c>
      <c r="N2063" t="str">
        <f>IF($B2063="","",MATCH($B2063,'_calc'!$L$2:$L$3001,0))</f>
        <v/>
      </c>
    </row>
    <row r="2064">
      <c r="B2064" s="24" t="str">
        <f>IF(ROW()-ROW($B$8)&gt;nComp,"",ROW()-ROW($B$8))</f>
        <v/>
      </c>
      <c r="C2064" t="str">
        <f>IF($N2064="","",INDEX('_calc'!$A$2:$A$3001,$N2064))</f>
        <v/>
      </c>
      <c r="D2064" s="25" t="str">
        <f>IF($N2064="","",INDEX('_calc'!$C$2:$C$3001,$N2064))</f>
        <v/>
      </c>
      <c r="E2064" s="25" t="str">
        <f>IF($N2064="","",INDEX('_calc'!$D$2:$D$3001,$N2064))</f>
        <v/>
      </c>
      <c r="F2064" s="26" t="str">
        <f>IF($N2064="","",IF($E$8=0,"",E2064/$E$8))</f>
        <v/>
      </c>
      <c r="G2064" s="25" t="str">
        <f>IF($N2064="","",INDEX('_calc'!$E$2:$E$3001,$N2064))</f>
        <v/>
      </c>
      <c r="H2064" s="25" t="str">
        <f>IF($N2064="","",INDEX('_calc'!$F$2:$F$3001,$N2064))</f>
        <v/>
      </c>
      <c r="I2064" s="27" t="str">
        <f>IF($N2064="","",INDEX('_calc'!$H$2:$H$3001,$N2064))</f>
        <v/>
      </c>
      <c r="J2064" s="27" t="str">
        <f>IF($N2064="","",INDEX('_calc'!$I$2:$I$3001,$N2064))</f>
        <v/>
      </c>
      <c r="K2064" s="28" t="str">
        <f>IF($N2064="","",IF(OR(I2064="",J2064=""),"",J2064-I2064))</f>
        <v/>
      </c>
      <c r="L2064" s="29" t="str">
        <f>IF($N2064="","",INDEX('_calc'!$J$2:$J$3001,$N2064))</f>
        <v/>
      </c>
      <c r="M2064" s="2" t="str">
        <f>IF($N2064="","",IF(AND(G2064=0,H2064=0),"수량 없음",IF(G2064=0,"신규 (전년 수량 없음)",IF(H2064=0,"당해 수량 없음",""))))</f>
        <v/>
      </c>
      <c r="N2064" t="str">
        <f>IF($B2064="","",MATCH($B2064,'_calc'!$L$2:$L$3001,0))</f>
        <v/>
      </c>
    </row>
    <row r="2065">
      <c r="B2065" s="24" t="str">
        <f>IF(ROW()-ROW($B$8)&gt;nComp,"",ROW()-ROW($B$8))</f>
        <v/>
      </c>
      <c r="C2065" t="str">
        <f>IF($N2065="","",INDEX('_calc'!$A$2:$A$3001,$N2065))</f>
        <v/>
      </c>
      <c r="D2065" s="25" t="str">
        <f>IF($N2065="","",INDEX('_calc'!$C$2:$C$3001,$N2065))</f>
        <v/>
      </c>
      <c r="E2065" s="25" t="str">
        <f>IF($N2065="","",INDEX('_calc'!$D$2:$D$3001,$N2065))</f>
        <v/>
      </c>
      <c r="F2065" s="26" t="str">
        <f>IF($N2065="","",IF($E$8=0,"",E2065/$E$8))</f>
        <v/>
      </c>
      <c r="G2065" s="25" t="str">
        <f>IF($N2065="","",INDEX('_calc'!$E$2:$E$3001,$N2065))</f>
        <v/>
      </c>
      <c r="H2065" s="25" t="str">
        <f>IF($N2065="","",INDEX('_calc'!$F$2:$F$3001,$N2065))</f>
        <v/>
      </c>
      <c r="I2065" s="27" t="str">
        <f>IF($N2065="","",INDEX('_calc'!$H$2:$H$3001,$N2065))</f>
        <v/>
      </c>
      <c r="J2065" s="27" t="str">
        <f>IF($N2065="","",INDEX('_calc'!$I$2:$I$3001,$N2065))</f>
        <v/>
      </c>
      <c r="K2065" s="28" t="str">
        <f>IF($N2065="","",IF(OR(I2065="",J2065=""),"",J2065-I2065))</f>
        <v/>
      </c>
      <c r="L2065" s="29" t="str">
        <f>IF($N2065="","",INDEX('_calc'!$J$2:$J$3001,$N2065))</f>
        <v/>
      </c>
      <c r="M2065" s="2" t="str">
        <f>IF($N2065="","",IF(AND(G2065=0,H2065=0),"수량 없음",IF(G2065=0,"신규 (전년 수량 없음)",IF(H2065=0,"당해 수량 없음",""))))</f>
        <v/>
      </c>
      <c r="N2065" t="str">
        <f>IF($B2065="","",MATCH($B2065,'_calc'!$L$2:$L$3001,0))</f>
        <v/>
      </c>
    </row>
    <row r="2066">
      <c r="B2066" s="24" t="str">
        <f>IF(ROW()-ROW($B$8)&gt;nComp,"",ROW()-ROW($B$8))</f>
        <v/>
      </c>
      <c r="C2066" t="str">
        <f>IF($N2066="","",INDEX('_calc'!$A$2:$A$3001,$N2066))</f>
        <v/>
      </c>
      <c r="D2066" s="25" t="str">
        <f>IF($N2066="","",INDEX('_calc'!$C$2:$C$3001,$N2066))</f>
        <v/>
      </c>
      <c r="E2066" s="25" t="str">
        <f>IF($N2066="","",INDEX('_calc'!$D$2:$D$3001,$N2066))</f>
        <v/>
      </c>
      <c r="F2066" s="26" t="str">
        <f>IF($N2066="","",IF($E$8=0,"",E2066/$E$8))</f>
        <v/>
      </c>
      <c r="G2066" s="25" t="str">
        <f>IF($N2066="","",INDEX('_calc'!$E$2:$E$3001,$N2066))</f>
        <v/>
      </c>
      <c r="H2066" s="25" t="str">
        <f>IF($N2066="","",INDEX('_calc'!$F$2:$F$3001,$N2066))</f>
        <v/>
      </c>
      <c r="I2066" s="27" t="str">
        <f>IF($N2066="","",INDEX('_calc'!$H$2:$H$3001,$N2066))</f>
        <v/>
      </c>
      <c r="J2066" s="27" t="str">
        <f>IF($N2066="","",INDEX('_calc'!$I$2:$I$3001,$N2066))</f>
        <v/>
      </c>
      <c r="K2066" s="28" t="str">
        <f>IF($N2066="","",IF(OR(I2066="",J2066=""),"",J2066-I2066))</f>
        <v/>
      </c>
      <c r="L2066" s="29" t="str">
        <f>IF($N2066="","",INDEX('_calc'!$J$2:$J$3001,$N2066))</f>
        <v/>
      </c>
      <c r="M2066" s="2" t="str">
        <f>IF($N2066="","",IF(AND(G2066=0,H2066=0),"수량 없음",IF(G2066=0,"신규 (전년 수량 없음)",IF(H2066=0,"당해 수량 없음",""))))</f>
        <v/>
      </c>
      <c r="N2066" t="str">
        <f>IF($B2066="","",MATCH($B2066,'_calc'!$L$2:$L$3001,0))</f>
        <v/>
      </c>
    </row>
    <row r="2067">
      <c r="B2067" s="24" t="str">
        <f>IF(ROW()-ROW($B$8)&gt;nComp,"",ROW()-ROW($B$8))</f>
        <v/>
      </c>
      <c r="C2067" t="str">
        <f>IF($N2067="","",INDEX('_calc'!$A$2:$A$3001,$N2067))</f>
        <v/>
      </c>
      <c r="D2067" s="25" t="str">
        <f>IF($N2067="","",INDEX('_calc'!$C$2:$C$3001,$N2067))</f>
        <v/>
      </c>
      <c r="E2067" s="25" t="str">
        <f>IF($N2067="","",INDEX('_calc'!$D$2:$D$3001,$N2067))</f>
        <v/>
      </c>
      <c r="F2067" s="26" t="str">
        <f>IF($N2067="","",IF($E$8=0,"",E2067/$E$8))</f>
        <v/>
      </c>
      <c r="G2067" s="25" t="str">
        <f>IF($N2067="","",INDEX('_calc'!$E$2:$E$3001,$N2067))</f>
        <v/>
      </c>
      <c r="H2067" s="25" t="str">
        <f>IF($N2067="","",INDEX('_calc'!$F$2:$F$3001,$N2067))</f>
        <v/>
      </c>
      <c r="I2067" s="27" t="str">
        <f>IF($N2067="","",INDEX('_calc'!$H$2:$H$3001,$N2067))</f>
        <v/>
      </c>
      <c r="J2067" s="27" t="str">
        <f>IF($N2067="","",INDEX('_calc'!$I$2:$I$3001,$N2067))</f>
        <v/>
      </c>
      <c r="K2067" s="28" t="str">
        <f>IF($N2067="","",IF(OR(I2067="",J2067=""),"",J2067-I2067))</f>
        <v/>
      </c>
      <c r="L2067" s="29" t="str">
        <f>IF($N2067="","",INDEX('_calc'!$J$2:$J$3001,$N2067))</f>
        <v/>
      </c>
      <c r="M2067" s="2" t="str">
        <f>IF($N2067="","",IF(AND(G2067=0,H2067=0),"수량 없음",IF(G2067=0,"신규 (전년 수량 없음)",IF(H2067=0,"당해 수량 없음",""))))</f>
        <v/>
      </c>
      <c r="N2067" t="str">
        <f>IF($B2067="","",MATCH($B2067,'_calc'!$L$2:$L$3001,0))</f>
        <v/>
      </c>
    </row>
    <row r="2068">
      <c r="B2068" s="24" t="str">
        <f>IF(ROW()-ROW($B$8)&gt;nComp,"",ROW()-ROW($B$8))</f>
        <v/>
      </c>
      <c r="C2068" t="str">
        <f>IF($N2068="","",INDEX('_calc'!$A$2:$A$3001,$N2068))</f>
        <v/>
      </c>
      <c r="D2068" s="25" t="str">
        <f>IF($N2068="","",INDEX('_calc'!$C$2:$C$3001,$N2068))</f>
        <v/>
      </c>
      <c r="E2068" s="25" t="str">
        <f>IF($N2068="","",INDEX('_calc'!$D$2:$D$3001,$N2068))</f>
        <v/>
      </c>
      <c r="F2068" s="26" t="str">
        <f>IF($N2068="","",IF($E$8=0,"",E2068/$E$8))</f>
        <v/>
      </c>
      <c r="G2068" s="25" t="str">
        <f>IF($N2068="","",INDEX('_calc'!$E$2:$E$3001,$N2068))</f>
        <v/>
      </c>
      <c r="H2068" s="25" t="str">
        <f>IF($N2068="","",INDEX('_calc'!$F$2:$F$3001,$N2068))</f>
        <v/>
      </c>
      <c r="I2068" s="27" t="str">
        <f>IF($N2068="","",INDEX('_calc'!$H$2:$H$3001,$N2068))</f>
        <v/>
      </c>
      <c r="J2068" s="27" t="str">
        <f>IF($N2068="","",INDEX('_calc'!$I$2:$I$3001,$N2068))</f>
        <v/>
      </c>
      <c r="K2068" s="28" t="str">
        <f>IF($N2068="","",IF(OR(I2068="",J2068=""),"",J2068-I2068))</f>
        <v/>
      </c>
      <c r="L2068" s="29" t="str">
        <f>IF($N2068="","",INDEX('_calc'!$J$2:$J$3001,$N2068))</f>
        <v/>
      </c>
      <c r="M2068" s="2" t="str">
        <f>IF($N2068="","",IF(AND(G2068=0,H2068=0),"수량 없음",IF(G2068=0,"신규 (전년 수량 없음)",IF(H2068=0,"당해 수량 없음",""))))</f>
        <v/>
      </c>
      <c r="N2068" t="str">
        <f>IF($B2068="","",MATCH($B2068,'_calc'!$L$2:$L$3001,0))</f>
        <v/>
      </c>
    </row>
    <row r="2069">
      <c r="B2069" s="24" t="str">
        <f>IF(ROW()-ROW($B$8)&gt;nComp,"",ROW()-ROW($B$8))</f>
        <v/>
      </c>
      <c r="C2069" t="str">
        <f>IF($N2069="","",INDEX('_calc'!$A$2:$A$3001,$N2069))</f>
        <v/>
      </c>
      <c r="D2069" s="25" t="str">
        <f>IF($N2069="","",INDEX('_calc'!$C$2:$C$3001,$N2069))</f>
        <v/>
      </c>
      <c r="E2069" s="25" t="str">
        <f>IF($N2069="","",INDEX('_calc'!$D$2:$D$3001,$N2069))</f>
        <v/>
      </c>
      <c r="F2069" s="26" t="str">
        <f>IF($N2069="","",IF($E$8=0,"",E2069/$E$8))</f>
        <v/>
      </c>
      <c r="G2069" s="25" t="str">
        <f>IF($N2069="","",INDEX('_calc'!$E$2:$E$3001,$N2069))</f>
        <v/>
      </c>
      <c r="H2069" s="25" t="str">
        <f>IF($N2069="","",INDEX('_calc'!$F$2:$F$3001,$N2069))</f>
        <v/>
      </c>
      <c r="I2069" s="27" t="str">
        <f>IF($N2069="","",INDEX('_calc'!$H$2:$H$3001,$N2069))</f>
        <v/>
      </c>
      <c r="J2069" s="27" t="str">
        <f>IF($N2069="","",INDEX('_calc'!$I$2:$I$3001,$N2069))</f>
        <v/>
      </c>
      <c r="K2069" s="28" t="str">
        <f>IF($N2069="","",IF(OR(I2069="",J2069=""),"",J2069-I2069))</f>
        <v/>
      </c>
      <c r="L2069" s="29" t="str">
        <f>IF($N2069="","",INDEX('_calc'!$J$2:$J$3001,$N2069))</f>
        <v/>
      </c>
      <c r="M2069" s="2" t="str">
        <f>IF($N2069="","",IF(AND(G2069=0,H2069=0),"수량 없음",IF(G2069=0,"신규 (전년 수량 없음)",IF(H2069=0,"당해 수량 없음",""))))</f>
        <v/>
      </c>
      <c r="N2069" t="str">
        <f>IF($B2069="","",MATCH($B2069,'_calc'!$L$2:$L$3001,0))</f>
        <v/>
      </c>
    </row>
    <row r="2070">
      <c r="B2070" s="24" t="str">
        <f>IF(ROW()-ROW($B$8)&gt;nComp,"",ROW()-ROW($B$8))</f>
        <v/>
      </c>
      <c r="C2070" t="str">
        <f>IF($N2070="","",INDEX('_calc'!$A$2:$A$3001,$N2070))</f>
        <v/>
      </c>
      <c r="D2070" s="25" t="str">
        <f>IF($N2070="","",INDEX('_calc'!$C$2:$C$3001,$N2070))</f>
        <v/>
      </c>
      <c r="E2070" s="25" t="str">
        <f>IF($N2070="","",INDEX('_calc'!$D$2:$D$3001,$N2070))</f>
        <v/>
      </c>
      <c r="F2070" s="26" t="str">
        <f>IF($N2070="","",IF($E$8=0,"",E2070/$E$8))</f>
        <v/>
      </c>
      <c r="G2070" s="25" t="str">
        <f>IF($N2070="","",INDEX('_calc'!$E$2:$E$3001,$N2070))</f>
        <v/>
      </c>
      <c r="H2070" s="25" t="str">
        <f>IF($N2070="","",INDEX('_calc'!$F$2:$F$3001,$N2070))</f>
        <v/>
      </c>
      <c r="I2070" s="27" t="str">
        <f>IF($N2070="","",INDEX('_calc'!$H$2:$H$3001,$N2070))</f>
        <v/>
      </c>
      <c r="J2070" s="27" t="str">
        <f>IF($N2070="","",INDEX('_calc'!$I$2:$I$3001,$N2070))</f>
        <v/>
      </c>
      <c r="K2070" s="28" t="str">
        <f>IF($N2070="","",IF(OR(I2070="",J2070=""),"",J2070-I2070))</f>
        <v/>
      </c>
      <c r="L2070" s="29" t="str">
        <f>IF($N2070="","",INDEX('_calc'!$J$2:$J$3001,$N2070))</f>
        <v/>
      </c>
      <c r="M2070" s="2" t="str">
        <f>IF($N2070="","",IF(AND(G2070=0,H2070=0),"수량 없음",IF(G2070=0,"신규 (전년 수량 없음)",IF(H2070=0,"당해 수량 없음",""))))</f>
        <v/>
      </c>
      <c r="N2070" t="str">
        <f>IF($B2070="","",MATCH($B2070,'_calc'!$L$2:$L$3001,0))</f>
        <v/>
      </c>
    </row>
    <row r="2071">
      <c r="B2071" s="24" t="str">
        <f>IF(ROW()-ROW($B$8)&gt;nComp,"",ROW()-ROW($B$8))</f>
        <v/>
      </c>
      <c r="C2071" t="str">
        <f>IF($N2071="","",INDEX('_calc'!$A$2:$A$3001,$N2071))</f>
        <v/>
      </c>
      <c r="D2071" s="25" t="str">
        <f>IF($N2071="","",INDEX('_calc'!$C$2:$C$3001,$N2071))</f>
        <v/>
      </c>
      <c r="E2071" s="25" t="str">
        <f>IF($N2071="","",INDEX('_calc'!$D$2:$D$3001,$N2071))</f>
        <v/>
      </c>
      <c r="F2071" s="26" t="str">
        <f>IF($N2071="","",IF($E$8=0,"",E2071/$E$8))</f>
        <v/>
      </c>
      <c r="G2071" s="25" t="str">
        <f>IF($N2071="","",INDEX('_calc'!$E$2:$E$3001,$N2071))</f>
        <v/>
      </c>
      <c r="H2071" s="25" t="str">
        <f>IF($N2071="","",INDEX('_calc'!$F$2:$F$3001,$N2071))</f>
        <v/>
      </c>
      <c r="I2071" s="27" t="str">
        <f>IF($N2071="","",INDEX('_calc'!$H$2:$H$3001,$N2071))</f>
        <v/>
      </c>
      <c r="J2071" s="27" t="str">
        <f>IF($N2071="","",INDEX('_calc'!$I$2:$I$3001,$N2071))</f>
        <v/>
      </c>
      <c r="K2071" s="28" t="str">
        <f>IF($N2071="","",IF(OR(I2071="",J2071=""),"",J2071-I2071))</f>
        <v/>
      </c>
      <c r="L2071" s="29" t="str">
        <f>IF($N2071="","",INDEX('_calc'!$J$2:$J$3001,$N2071))</f>
        <v/>
      </c>
      <c r="M2071" s="2" t="str">
        <f>IF($N2071="","",IF(AND(G2071=0,H2071=0),"수량 없음",IF(G2071=0,"신규 (전년 수량 없음)",IF(H2071=0,"당해 수량 없음",""))))</f>
        <v/>
      </c>
      <c r="N2071" t="str">
        <f>IF($B2071="","",MATCH($B2071,'_calc'!$L$2:$L$3001,0))</f>
        <v/>
      </c>
    </row>
    <row r="2072">
      <c r="B2072" s="24" t="str">
        <f>IF(ROW()-ROW($B$8)&gt;nComp,"",ROW()-ROW($B$8))</f>
        <v/>
      </c>
      <c r="C2072" t="str">
        <f>IF($N2072="","",INDEX('_calc'!$A$2:$A$3001,$N2072))</f>
        <v/>
      </c>
      <c r="D2072" s="25" t="str">
        <f>IF($N2072="","",INDEX('_calc'!$C$2:$C$3001,$N2072))</f>
        <v/>
      </c>
      <c r="E2072" s="25" t="str">
        <f>IF($N2072="","",INDEX('_calc'!$D$2:$D$3001,$N2072))</f>
        <v/>
      </c>
      <c r="F2072" s="26" t="str">
        <f>IF($N2072="","",IF($E$8=0,"",E2072/$E$8))</f>
        <v/>
      </c>
      <c r="G2072" s="25" t="str">
        <f>IF($N2072="","",INDEX('_calc'!$E$2:$E$3001,$N2072))</f>
        <v/>
      </c>
      <c r="H2072" s="25" t="str">
        <f>IF($N2072="","",INDEX('_calc'!$F$2:$F$3001,$N2072))</f>
        <v/>
      </c>
      <c r="I2072" s="27" t="str">
        <f>IF($N2072="","",INDEX('_calc'!$H$2:$H$3001,$N2072))</f>
        <v/>
      </c>
      <c r="J2072" s="27" t="str">
        <f>IF($N2072="","",INDEX('_calc'!$I$2:$I$3001,$N2072))</f>
        <v/>
      </c>
      <c r="K2072" s="28" t="str">
        <f>IF($N2072="","",IF(OR(I2072="",J2072=""),"",J2072-I2072))</f>
        <v/>
      </c>
      <c r="L2072" s="29" t="str">
        <f>IF($N2072="","",INDEX('_calc'!$J$2:$J$3001,$N2072))</f>
        <v/>
      </c>
      <c r="M2072" s="2" t="str">
        <f>IF($N2072="","",IF(AND(G2072=0,H2072=0),"수량 없음",IF(G2072=0,"신규 (전년 수량 없음)",IF(H2072=0,"당해 수량 없음",""))))</f>
        <v/>
      </c>
      <c r="N2072" t="str">
        <f>IF($B2072="","",MATCH($B2072,'_calc'!$L$2:$L$3001,0))</f>
        <v/>
      </c>
    </row>
    <row r="2073">
      <c r="B2073" s="24" t="str">
        <f>IF(ROW()-ROW($B$8)&gt;nComp,"",ROW()-ROW($B$8))</f>
        <v/>
      </c>
      <c r="C2073" t="str">
        <f>IF($N2073="","",INDEX('_calc'!$A$2:$A$3001,$N2073))</f>
        <v/>
      </c>
      <c r="D2073" s="25" t="str">
        <f>IF($N2073="","",INDEX('_calc'!$C$2:$C$3001,$N2073))</f>
        <v/>
      </c>
      <c r="E2073" s="25" t="str">
        <f>IF($N2073="","",INDEX('_calc'!$D$2:$D$3001,$N2073))</f>
        <v/>
      </c>
      <c r="F2073" s="26" t="str">
        <f>IF($N2073="","",IF($E$8=0,"",E2073/$E$8))</f>
        <v/>
      </c>
      <c r="G2073" s="25" t="str">
        <f>IF($N2073="","",INDEX('_calc'!$E$2:$E$3001,$N2073))</f>
        <v/>
      </c>
      <c r="H2073" s="25" t="str">
        <f>IF($N2073="","",INDEX('_calc'!$F$2:$F$3001,$N2073))</f>
        <v/>
      </c>
      <c r="I2073" s="27" t="str">
        <f>IF($N2073="","",INDEX('_calc'!$H$2:$H$3001,$N2073))</f>
        <v/>
      </c>
      <c r="J2073" s="27" t="str">
        <f>IF($N2073="","",INDEX('_calc'!$I$2:$I$3001,$N2073))</f>
        <v/>
      </c>
      <c r="K2073" s="28" t="str">
        <f>IF($N2073="","",IF(OR(I2073="",J2073=""),"",J2073-I2073))</f>
        <v/>
      </c>
      <c r="L2073" s="29" t="str">
        <f>IF($N2073="","",INDEX('_calc'!$J$2:$J$3001,$N2073))</f>
        <v/>
      </c>
      <c r="M2073" s="2" t="str">
        <f>IF($N2073="","",IF(AND(G2073=0,H2073=0),"수량 없음",IF(G2073=0,"신규 (전년 수량 없음)",IF(H2073=0,"당해 수량 없음",""))))</f>
        <v/>
      </c>
      <c r="N2073" t="str">
        <f>IF($B2073="","",MATCH($B2073,'_calc'!$L$2:$L$3001,0))</f>
        <v/>
      </c>
    </row>
    <row r="2074">
      <c r="B2074" s="24" t="str">
        <f>IF(ROW()-ROW($B$8)&gt;nComp,"",ROW()-ROW($B$8))</f>
        <v/>
      </c>
      <c r="C2074" t="str">
        <f>IF($N2074="","",INDEX('_calc'!$A$2:$A$3001,$N2074))</f>
        <v/>
      </c>
      <c r="D2074" s="25" t="str">
        <f>IF($N2074="","",INDEX('_calc'!$C$2:$C$3001,$N2074))</f>
        <v/>
      </c>
      <c r="E2074" s="25" t="str">
        <f>IF($N2074="","",INDEX('_calc'!$D$2:$D$3001,$N2074))</f>
        <v/>
      </c>
      <c r="F2074" s="26" t="str">
        <f>IF($N2074="","",IF($E$8=0,"",E2074/$E$8))</f>
        <v/>
      </c>
      <c r="G2074" s="25" t="str">
        <f>IF($N2074="","",INDEX('_calc'!$E$2:$E$3001,$N2074))</f>
        <v/>
      </c>
      <c r="H2074" s="25" t="str">
        <f>IF($N2074="","",INDEX('_calc'!$F$2:$F$3001,$N2074))</f>
        <v/>
      </c>
      <c r="I2074" s="27" t="str">
        <f>IF($N2074="","",INDEX('_calc'!$H$2:$H$3001,$N2074))</f>
        <v/>
      </c>
      <c r="J2074" s="27" t="str">
        <f>IF($N2074="","",INDEX('_calc'!$I$2:$I$3001,$N2074))</f>
        <v/>
      </c>
      <c r="K2074" s="28" t="str">
        <f>IF($N2074="","",IF(OR(I2074="",J2074=""),"",J2074-I2074))</f>
        <v/>
      </c>
      <c r="L2074" s="29" t="str">
        <f>IF($N2074="","",INDEX('_calc'!$J$2:$J$3001,$N2074))</f>
        <v/>
      </c>
      <c r="M2074" s="2" t="str">
        <f>IF($N2074="","",IF(AND(G2074=0,H2074=0),"수량 없음",IF(G2074=0,"신규 (전년 수량 없음)",IF(H2074=0,"당해 수량 없음",""))))</f>
        <v/>
      </c>
      <c r="N2074" t="str">
        <f>IF($B2074="","",MATCH($B2074,'_calc'!$L$2:$L$3001,0))</f>
        <v/>
      </c>
    </row>
    <row r="2075">
      <c r="B2075" s="24" t="str">
        <f>IF(ROW()-ROW($B$8)&gt;nComp,"",ROW()-ROW($B$8))</f>
        <v/>
      </c>
      <c r="C2075" t="str">
        <f>IF($N2075="","",INDEX('_calc'!$A$2:$A$3001,$N2075))</f>
        <v/>
      </c>
      <c r="D2075" s="25" t="str">
        <f>IF($N2075="","",INDEX('_calc'!$C$2:$C$3001,$N2075))</f>
        <v/>
      </c>
      <c r="E2075" s="25" t="str">
        <f>IF($N2075="","",INDEX('_calc'!$D$2:$D$3001,$N2075))</f>
        <v/>
      </c>
      <c r="F2075" s="26" t="str">
        <f>IF($N2075="","",IF($E$8=0,"",E2075/$E$8))</f>
        <v/>
      </c>
      <c r="G2075" s="25" t="str">
        <f>IF($N2075="","",INDEX('_calc'!$E$2:$E$3001,$N2075))</f>
        <v/>
      </c>
      <c r="H2075" s="25" t="str">
        <f>IF($N2075="","",INDEX('_calc'!$F$2:$F$3001,$N2075))</f>
        <v/>
      </c>
      <c r="I2075" s="27" t="str">
        <f>IF($N2075="","",INDEX('_calc'!$H$2:$H$3001,$N2075))</f>
        <v/>
      </c>
      <c r="J2075" s="27" t="str">
        <f>IF($N2075="","",INDEX('_calc'!$I$2:$I$3001,$N2075))</f>
        <v/>
      </c>
      <c r="K2075" s="28" t="str">
        <f>IF($N2075="","",IF(OR(I2075="",J2075=""),"",J2075-I2075))</f>
        <v/>
      </c>
      <c r="L2075" s="29" t="str">
        <f>IF($N2075="","",INDEX('_calc'!$J$2:$J$3001,$N2075))</f>
        <v/>
      </c>
      <c r="M2075" s="2" t="str">
        <f>IF($N2075="","",IF(AND(G2075=0,H2075=0),"수량 없음",IF(G2075=0,"신규 (전년 수량 없음)",IF(H2075=0,"당해 수량 없음",""))))</f>
        <v/>
      </c>
      <c r="N2075" t="str">
        <f>IF($B2075="","",MATCH($B2075,'_calc'!$L$2:$L$3001,0))</f>
        <v/>
      </c>
    </row>
    <row r="2076">
      <c r="B2076" s="24" t="str">
        <f>IF(ROW()-ROW($B$8)&gt;nComp,"",ROW()-ROW($B$8))</f>
        <v/>
      </c>
      <c r="C2076" t="str">
        <f>IF($N2076="","",INDEX('_calc'!$A$2:$A$3001,$N2076))</f>
        <v/>
      </c>
      <c r="D2076" s="25" t="str">
        <f>IF($N2076="","",INDEX('_calc'!$C$2:$C$3001,$N2076))</f>
        <v/>
      </c>
      <c r="E2076" s="25" t="str">
        <f>IF($N2076="","",INDEX('_calc'!$D$2:$D$3001,$N2076))</f>
        <v/>
      </c>
      <c r="F2076" s="26" t="str">
        <f>IF($N2076="","",IF($E$8=0,"",E2076/$E$8))</f>
        <v/>
      </c>
      <c r="G2076" s="25" t="str">
        <f>IF($N2076="","",INDEX('_calc'!$E$2:$E$3001,$N2076))</f>
        <v/>
      </c>
      <c r="H2076" s="25" t="str">
        <f>IF($N2076="","",INDEX('_calc'!$F$2:$F$3001,$N2076))</f>
        <v/>
      </c>
      <c r="I2076" s="27" t="str">
        <f>IF($N2076="","",INDEX('_calc'!$H$2:$H$3001,$N2076))</f>
        <v/>
      </c>
      <c r="J2076" s="27" t="str">
        <f>IF($N2076="","",INDEX('_calc'!$I$2:$I$3001,$N2076))</f>
        <v/>
      </c>
      <c r="K2076" s="28" t="str">
        <f>IF($N2076="","",IF(OR(I2076="",J2076=""),"",J2076-I2076))</f>
        <v/>
      </c>
      <c r="L2076" s="29" t="str">
        <f>IF($N2076="","",INDEX('_calc'!$J$2:$J$3001,$N2076))</f>
        <v/>
      </c>
      <c r="M2076" s="2" t="str">
        <f>IF($N2076="","",IF(AND(G2076=0,H2076=0),"수량 없음",IF(G2076=0,"신규 (전년 수량 없음)",IF(H2076=0,"당해 수량 없음",""))))</f>
        <v/>
      </c>
      <c r="N2076" t="str">
        <f>IF($B2076="","",MATCH($B2076,'_calc'!$L$2:$L$3001,0))</f>
        <v/>
      </c>
    </row>
    <row r="2077">
      <c r="B2077" s="24" t="str">
        <f>IF(ROW()-ROW($B$8)&gt;nComp,"",ROW()-ROW($B$8))</f>
        <v/>
      </c>
      <c r="C2077" t="str">
        <f>IF($N2077="","",INDEX('_calc'!$A$2:$A$3001,$N2077))</f>
        <v/>
      </c>
      <c r="D2077" s="25" t="str">
        <f>IF($N2077="","",INDEX('_calc'!$C$2:$C$3001,$N2077))</f>
        <v/>
      </c>
      <c r="E2077" s="25" t="str">
        <f>IF($N2077="","",INDEX('_calc'!$D$2:$D$3001,$N2077))</f>
        <v/>
      </c>
      <c r="F2077" s="26" t="str">
        <f>IF($N2077="","",IF($E$8=0,"",E2077/$E$8))</f>
        <v/>
      </c>
      <c r="G2077" s="25" t="str">
        <f>IF($N2077="","",INDEX('_calc'!$E$2:$E$3001,$N2077))</f>
        <v/>
      </c>
      <c r="H2077" s="25" t="str">
        <f>IF($N2077="","",INDEX('_calc'!$F$2:$F$3001,$N2077))</f>
        <v/>
      </c>
      <c r="I2077" s="27" t="str">
        <f>IF($N2077="","",INDEX('_calc'!$H$2:$H$3001,$N2077))</f>
        <v/>
      </c>
      <c r="J2077" s="27" t="str">
        <f>IF($N2077="","",INDEX('_calc'!$I$2:$I$3001,$N2077))</f>
        <v/>
      </c>
      <c r="K2077" s="28" t="str">
        <f>IF($N2077="","",IF(OR(I2077="",J2077=""),"",J2077-I2077))</f>
        <v/>
      </c>
      <c r="L2077" s="29" t="str">
        <f>IF($N2077="","",INDEX('_calc'!$J$2:$J$3001,$N2077))</f>
        <v/>
      </c>
      <c r="M2077" s="2" t="str">
        <f>IF($N2077="","",IF(AND(G2077=0,H2077=0),"수량 없음",IF(G2077=0,"신규 (전년 수량 없음)",IF(H2077=0,"당해 수량 없음",""))))</f>
        <v/>
      </c>
      <c r="N2077" t="str">
        <f>IF($B2077="","",MATCH($B2077,'_calc'!$L$2:$L$3001,0))</f>
        <v/>
      </c>
    </row>
    <row r="2078">
      <c r="B2078" s="24" t="str">
        <f>IF(ROW()-ROW($B$8)&gt;nComp,"",ROW()-ROW($B$8))</f>
        <v/>
      </c>
      <c r="C2078" t="str">
        <f>IF($N2078="","",INDEX('_calc'!$A$2:$A$3001,$N2078))</f>
        <v/>
      </c>
      <c r="D2078" s="25" t="str">
        <f>IF($N2078="","",INDEX('_calc'!$C$2:$C$3001,$N2078))</f>
        <v/>
      </c>
      <c r="E2078" s="25" t="str">
        <f>IF($N2078="","",INDEX('_calc'!$D$2:$D$3001,$N2078))</f>
        <v/>
      </c>
      <c r="F2078" s="26" t="str">
        <f>IF($N2078="","",IF($E$8=0,"",E2078/$E$8))</f>
        <v/>
      </c>
      <c r="G2078" s="25" t="str">
        <f>IF($N2078="","",INDEX('_calc'!$E$2:$E$3001,$N2078))</f>
        <v/>
      </c>
      <c r="H2078" s="25" t="str">
        <f>IF($N2078="","",INDEX('_calc'!$F$2:$F$3001,$N2078))</f>
        <v/>
      </c>
      <c r="I2078" s="27" t="str">
        <f>IF($N2078="","",INDEX('_calc'!$H$2:$H$3001,$N2078))</f>
        <v/>
      </c>
      <c r="J2078" s="27" t="str">
        <f>IF($N2078="","",INDEX('_calc'!$I$2:$I$3001,$N2078))</f>
        <v/>
      </c>
      <c r="K2078" s="28" t="str">
        <f>IF($N2078="","",IF(OR(I2078="",J2078=""),"",J2078-I2078))</f>
        <v/>
      </c>
      <c r="L2078" s="29" t="str">
        <f>IF($N2078="","",INDEX('_calc'!$J$2:$J$3001,$N2078))</f>
        <v/>
      </c>
      <c r="M2078" s="2" t="str">
        <f>IF($N2078="","",IF(AND(G2078=0,H2078=0),"수량 없음",IF(G2078=0,"신규 (전년 수량 없음)",IF(H2078=0,"당해 수량 없음",""))))</f>
        <v/>
      </c>
      <c r="N2078" t="str">
        <f>IF($B2078="","",MATCH($B2078,'_calc'!$L$2:$L$3001,0))</f>
        <v/>
      </c>
    </row>
    <row r="2079">
      <c r="B2079" s="24" t="str">
        <f>IF(ROW()-ROW($B$8)&gt;nComp,"",ROW()-ROW($B$8))</f>
        <v/>
      </c>
      <c r="C2079" t="str">
        <f>IF($N2079="","",INDEX('_calc'!$A$2:$A$3001,$N2079))</f>
        <v/>
      </c>
      <c r="D2079" s="25" t="str">
        <f>IF($N2079="","",INDEX('_calc'!$C$2:$C$3001,$N2079))</f>
        <v/>
      </c>
      <c r="E2079" s="25" t="str">
        <f>IF($N2079="","",INDEX('_calc'!$D$2:$D$3001,$N2079))</f>
        <v/>
      </c>
      <c r="F2079" s="26" t="str">
        <f>IF($N2079="","",IF($E$8=0,"",E2079/$E$8))</f>
        <v/>
      </c>
      <c r="G2079" s="25" t="str">
        <f>IF($N2079="","",INDEX('_calc'!$E$2:$E$3001,$N2079))</f>
        <v/>
      </c>
      <c r="H2079" s="25" t="str">
        <f>IF($N2079="","",INDEX('_calc'!$F$2:$F$3001,$N2079))</f>
        <v/>
      </c>
      <c r="I2079" s="27" t="str">
        <f>IF($N2079="","",INDEX('_calc'!$H$2:$H$3001,$N2079))</f>
        <v/>
      </c>
      <c r="J2079" s="27" t="str">
        <f>IF($N2079="","",INDEX('_calc'!$I$2:$I$3001,$N2079))</f>
        <v/>
      </c>
      <c r="K2079" s="28" t="str">
        <f>IF($N2079="","",IF(OR(I2079="",J2079=""),"",J2079-I2079))</f>
        <v/>
      </c>
      <c r="L2079" s="29" t="str">
        <f>IF($N2079="","",INDEX('_calc'!$J$2:$J$3001,$N2079))</f>
        <v/>
      </c>
      <c r="M2079" s="2" t="str">
        <f>IF($N2079="","",IF(AND(G2079=0,H2079=0),"수량 없음",IF(G2079=0,"신규 (전년 수량 없음)",IF(H2079=0,"당해 수량 없음",""))))</f>
        <v/>
      </c>
      <c r="N2079" t="str">
        <f>IF($B2079="","",MATCH($B2079,'_calc'!$L$2:$L$3001,0))</f>
        <v/>
      </c>
    </row>
    <row r="2080">
      <c r="B2080" s="24" t="str">
        <f>IF(ROW()-ROW($B$8)&gt;nComp,"",ROW()-ROW($B$8))</f>
        <v/>
      </c>
      <c r="C2080" t="str">
        <f>IF($N2080="","",INDEX('_calc'!$A$2:$A$3001,$N2080))</f>
        <v/>
      </c>
      <c r="D2080" s="25" t="str">
        <f>IF($N2080="","",INDEX('_calc'!$C$2:$C$3001,$N2080))</f>
        <v/>
      </c>
      <c r="E2080" s="25" t="str">
        <f>IF($N2080="","",INDEX('_calc'!$D$2:$D$3001,$N2080))</f>
        <v/>
      </c>
      <c r="F2080" s="26" t="str">
        <f>IF($N2080="","",IF($E$8=0,"",E2080/$E$8))</f>
        <v/>
      </c>
      <c r="G2080" s="25" t="str">
        <f>IF($N2080="","",INDEX('_calc'!$E$2:$E$3001,$N2080))</f>
        <v/>
      </c>
      <c r="H2080" s="25" t="str">
        <f>IF($N2080="","",INDEX('_calc'!$F$2:$F$3001,$N2080))</f>
        <v/>
      </c>
      <c r="I2080" s="27" t="str">
        <f>IF($N2080="","",INDEX('_calc'!$H$2:$H$3001,$N2080))</f>
        <v/>
      </c>
      <c r="J2080" s="27" t="str">
        <f>IF($N2080="","",INDEX('_calc'!$I$2:$I$3001,$N2080))</f>
        <v/>
      </c>
      <c r="K2080" s="28" t="str">
        <f>IF($N2080="","",IF(OR(I2080="",J2080=""),"",J2080-I2080))</f>
        <v/>
      </c>
      <c r="L2080" s="29" t="str">
        <f>IF($N2080="","",INDEX('_calc'!$J$2:$J$3001,$N2080))</f>
        <v/>
      </c>
      <c r="M2080" s="2" t="str">
        <f>IF($N2080="","",IF(AND(G2080=0,H2080=0),"수량 없음",IF(G2080=0,"신규 (전년 수량 없음)",IF(H2080=0,"당해 수량 없음",""))))</f>
        <v/>
      </c>
      <c r="N2080" t="str">
        <f>IF($B2080="","",MATCH($B2080,'_calc'!$L$2:$L$3001,0))</f>
        <v/>
      </c>
    </row>
    <row r="2081">
      <c r="B2081" s="24" t="str">
        <f>IF(ROW()-ROW($B$8)&gt;nComp,"",ROW()-ROW($B$8))</f>
        <v/>
      </c>
      <c r="C2081" t="str">
        <f>IF($N2081="","",INDEX('_calc'!$A$2:$A$3001,$N2081))</f>
        <v/>
      </c>
      <c r="D2081" s="25" t="str">
        <f>IF($N2081="","",INDEX('_calc'!$C$2:$C$3001,$N2081))</f>
        <v/>
      </c>
      <c r="E2081" s="25" t="str">
        <f>IF($N2081="","",INDEX('_calc'!$D$2:$D$3001,$N2081))</f>
        <v/>
      </c>
      <c r="F2081" s="26" t="str">
        <f>IF($N2081="","",IF($E$8=0,"",E2081/$E$8))</f>
        <v/>
      </c>
      <c r="G2081" s="25" t="str">
        <f>IF($N2081="","",INDEX('_calc'!$E$2:$E$3001,$N2081))</f>
        <v/>
      </c>
      <c r="H2081" s="25" t="str">
        <f>IF($N2081="","",INDEX('_calc'!$F$2:$F$3001,$N2081))</f>
        <v/>
      </c>
      <c r="I2081" s="27" t="str">
        <f>IF($N2081="","",INDEX('_calc'!$H$2:$H$3001,$N2081))</f>
        <v/>
      </c>
      <c r="J2081" s="27" t="str">
        <f>IF($N2081="","",INDEX('_calc'!$I$2:$I$3001,$N2081))</f>
        <v/>
      </c>
      <c r="K2081" s="28" t="str">
        <f>IF($N2081="","",IF(OR(I2081="",J2081=""),"",J2081-I2081))</f>
        <v/>
      </c>
      <c r="L2081" s="29" t="str">
        <f>IF($N2081="","",INDEX('_calc'!$J$2:$J$3001,$N2081))</f>
        <v/>
      </c>
      <c r="M2081" s="2" t="str">
        <f>IF($N2081="","",IF(AND(G2081=0,H2081=0),"수량 없음",IF(G2081=0,"신규 (전년 수량 없음)",IF(H2081=0,"당해 수량 없음",""))))</f>
        <v/>
      </c>
      <c r="N2081" t="str">
        <f>IF($B2081="","",MATCH($B2081,'_calc'!$L$2:$L$3001,0))</f>
        <v/>
      </c>
    </row>
    <row r="2082">
      <c r="B2082" s="24" t="str">
        <f>IF(ROW()-ROW($B$8)&gt;nComp,"",ROW()-ROW($B$8))</f>
        <v/>
      </c>
      <c r="C2082" t="str">
        <f>IF($N2082="","",INDEX('_calc'!$A$2:$A$3001,$N2082))</f>
        <v/>
      </c>
      <c r="D2082" s="25" t="str">
        <f>IF($N2082="","",INDEX('_calc'!$C$2:$C$3001,$N2082))</f>
        <v/>
      </c>
      <c r="E2082" s="25" t="str">
        <f>IF($N2082="","",INDEX('_calc'!$D$2:$D$3001,$N2082))</f>
        <v/>
      </c>
      <c r="F2082" s="26" t="str">
        <f>IF($N2082="","",IF($E$8=0,"",E2082/$E$8))</f>
        <v/>
      </c>
      <c r="G2082" s="25" t="str">
        <f>IF($N2082="","",INDEX('_calc'!$E$2:$E$3001,$N2082))</f>
        <v/>
      </c>
      <c r="H2082" s="25" t="str">
        <f>IF($N2082="","",INDEX('_calc'!$F$2:$F$3001,$N2082))</f>
        <v/>
      </c>
      <c r="I2082" s="27" t="str">
        <f>IF($N2082="","",INDEX('_calc'!$H$2:$H$3001,$N2082))</f>
        <v/>
      </c>
      <c r="J2082" s="27" t="str">
        <f>IF($N2082="","",INDEX('_calc'!$I$2:$I$3001,$N2082))</f>
        <v/>
      </c>
      <c r="K2082" s="28" t="str">
        <f>IF($N2082="","",IF(OR(I2082="",J2082=""),"",J2082-I2082))</f>
        <v/>
      </c>
      <c r="L2082" s="29" t="str">
        <f>IF($N2082="","",INDEX('_calc'!$J$2:$J$3001,$N2082))</f>
        <v/>
      </c>
      <c r="M2082" s="2" t="str">
        <f>IF($N2082="","",IF(AND(G2082=0,H2082=0),"수량 없음",IF(G2082=0,"신규 (전년 수량 없음)",IF(H2082=0,"당해 수량 없음",""))))</f>
        <v/>
      </c>
      <c r="N2082" t="str">
        <f>IF($B2082="","",MATCH($B2082,'_calc'!$L$2:$L$3001,0))</f>
        <v/>
      </c>
    </row>
    <row r="2083">
      <c r="B2083" s="24" t="str">
        <f>IF(ROW()-ROW($B$8)&gt;nComp,"",ROW()-ROW($B$8))</f>
        <v/>
      </c>
      <c r="C2083" t="str">
        <f>IF($N2083="","",INDEX('_calc'!$A$2:$A$3001,$N2083))</f>
        <v/>
      </c>
      <c r="D2083" s="25" t="str">
        <f>IF($N2083="","",INDEX('_calc'!$C$2:$C$3001,$N2083))</f>
        <v/>
      </c>
      <c r="E2083" s="25" t="str">
        <f>IF($N2083="","",INDEX('_calc'!$D$2:$D$3001,$N2083))</f>
        <v/>
      </c>
      <c r="F2083" s="26" t="str">
        <f>IF($N2083="","",IF($E$8=0,"",E2083/$E$8))</f>
        <v/>
      </c>
      <c r="G2083" s="25" t="str">
        <f>IF($N2083="","",INDEX('_calc'!$E$2:$E$3001,$N2083))</f>
        <v/>
      </c>
      <c r="H2083" s="25" t="str">
        <f>IF($N2083="","",INDEX('_calc'!$F$2:$F$3001,$N2083))</f>
        <v/>
      </c>
      <c r="I2083" s="27" t="str">
        <f>IF($N2083="","",INDEX('_calc'!$H$2:$H$3001,$N2083))</f>
        <v/>
      </c>
      <c r="J2083" s="27" t="str">
        <f>IF($N2083="","",INDEX('_calc'!$I$2:$I$3001,$N2083))</f>
        <v/>
      </c>
      <c r="K2083" s="28" t="str">
        <f>IF($N2083="","",IF(OR(I2083="",J2083=""),"",J2083-I2083))</f>
        <v/>
      </c>
      <c r="L2083" s="29" t="str">
        <f>IF($N2083="","",INDEX('_calc'!$J$2:$J$3001,$N2083))</f>
        <v/>
      </c>
      <c r="M2083" s="2" t="str">
        <f>IF($N2083="","",IF(AND(G2083=0,H2083=0),"수량 없음",IF(G2083=0,"신규 (전년 수량 없음)",IF(H2083=0,"당해 수량 없음",""))))</f>
        <v/>
      </c>
      <c r="N2083" t="str">
        <f>IF($B2083="","",MATCH($B2083,'_calc'!$L$2:$L$3001,0))</f>
        <v/>
      </c>
    </row>
    <row r="2084">
      <c r="B2084" s="24" t="str">
        <f>IF(ROW()-ROW($B$8)&gt;nComp,"",ROW()-ROW($B$8))</f>
        <v/>
      </c>
      <c r="C2084" t="str">
        <f>IF($N2084="","",INDEX('_calc'!$A$2:$A$3001,$N2084))</f>
        <v/>
      </c>
      <c r="D2084" s="25" t="str">
        <f>IF($N2084="","",INDEX('_calc'!$C$2:$C$3001,$N2084))</f>
        <v/>
      </c>
      <c r="E2084" s="25" t="str">
        <f>IF($N2084="","",INDEX('_calc'!$D$2:$D$3001,$N2084))</f>
        <v/>
      </c>
      <c r="F2084" s="26" t="str">
        <f>IF($N2084="","",IF($E$8=0,"",E2084/$E$8))</f>
        <v/>
      </c>
      <c r="G2084" s="25" t="str">
        <f>IF($N2084="","",INDEX('_calc'!$E$2:$E$3001,$N2084))</f>
        <v/>
      </c>
      <c r="H2084" s="25" t="str">
        <f>IF($N2084="","",INDEX('_calc'!$F$2:$F$3001,$N2084))</f>
        <v/>
      </c>
      <c r="I2084" s="27" t="str">
        <f>IF($N2084="","",INDEX('_calc'!$H$2:$H$3001,$N2084))</f>
        <v/>
      </c>
      <c r="J2084" s="27" t="str">
        <f>IF($N2084="","",INDEX('_calc'!$I$2:$I$3001,$N2084))</f>
        <v/>
      </c>
      <c r="K2084" s="28" t="str">
        <f>IF($N2084="","",IF(OR(I2084="",J2084=""),"",J2084-I2084))</f>
        <v/>
      </c>
      <c r="L2084" s="29" t="str">
        <f>IF($N2084="","",INDEX('_calc'!$J$2:$J$3001,$N2084))</f>
        <v/>
      </c>
      <c r="M2084" s="2" t="str">
        <f>IF($N2084="","",IF(AND(G2084=0,H2084=0),"수량 없음",IF(G2084=0,"신규 (전년 수량 없음)",IF(H2084=0,"당해 수량 없음",""))))</f>
        <v/>
      </c>
      <c r="N2084" t="str">
        <f>IF($B2084="","",MATCH($B2084,'_calc'!$L$2:$L$3001,0))</f>
        <v/>
      </c>
    </row>
    <row r="2085">
      <c r="B2085" s="24" t="str">
        <f>IF(ROW()-ROW($B$8)&gt;nComp,"",ROW()-ROW($B$8))</f>
        <v/>
      </c>
      <c r="C2085" t="str">
        <f>IF($N2085="","",INDEX('_calc'!$A$2:$A$3001,$N2085))</f>
        <v/>
      </c>
      <c r="D2085" s="25" t="str">
        <f>IF($N2085="","",INDEX('_calc'!$C$2:$C$3001,$N2085))</f>
        <v/>
      </c>
      <c r="E2085" s="25" t="str">
        <f>IF($N2085="","",INDEX('_calc'!$D$2:$D$3001,$N2085))</f>
        <v/>
      </c>
      <c r="F2085" s="26" t="str">
        <f>IF($N2085="","",IF($E$8=0,"",E2085/$E$8))</f>
        <v/>
      </c>
      <c r="G2085" s="25" t="str">
        <f>IF($N2085="","",INDEX('_calc'!$E$2:$E$3001,$N2085))</f>
        <v/>
      </c>
      <c r="H2085" s="25" t="str">
        <f>IF($N2085="","",INDEX('_calc'!$F$2:$F$3001,$N2085))</f>
        <v/>
      </c>
      <c r="I2085" s="27" t="str">
        <f>IF($N2085="","",INDEX('_calc'!$H$2:$H$3001,$N2085))</f>
        <v/>
      </c>
      <c r="J2085" s="27" t="str">
        <f>IF($N2085="","",INDEX('_calc'!$I$2:$I$3001,$N2085))</f>
        <v/>
      </c>
      <c r="K2085" s="28" t="str">
        <f>IF($N2085="","",IF(OR(I2085="",J2085=""),"",J2085-I2085))</f>
        <v/>
      </c>
      <c r="L2085" s="29" t="str">
        <f>IF($N2085="","",INDEX('_calc'!$J$2:$J$3001,$N2085))</f>
        <v/>
      </c>
      <c r="M2085" s="2" t="str">
        <f>IF($N2085="","",IF(AND(G2085=0,H2085=0),"수량 없음",IF(G2085=0,"신규 (전년 수량 없음)",IF(H2085=0,"당해 수량 없음",""))))</f>
        <v/>
      </c>
      <c r="N2085" t="str">
        <f>IF($B2085="","",MATCH($B2085,'_calc'!$L$2:$L$3001,0))</f>
        <v/>
      </c>
    </row>
    <row r="2086">
      <c r="B2086" s="24" t="str">
        <f>IF(ROW()-ROW($B$8)&gt;nComp,"",ROW()-ROW($B$8))</f>
        <v/>
      </c>
      <c r="C2086" t="str">
        <f>IF($N2086="","",INDEX('_calc'!$A$2:$A$3001,$N2086))</f>
        <v/>
      </c>
      <c r="D2086" s="25" t="str">
        <f>IF($N2086="","",INDEX('_calc'!$C$2:$C$3001,$N2086))</f>
        <v/>
      </c>
      <c r="E2086" s="25" t="str">
        <f>IF($N2086="","",INDEX('_calc'!$D$2:$D$3001,$N2086))</f>
        <v/>
      </c>
      <c r="F2086" s="26" t="str">
        <f>IF($N2086="","",IF($E$8=0,"",E2086/$E$8))</f>
        <v/>
      </c>
      <c r="G2086" s="25" t="str">
        <f>IF($N2086="","",INDEX('_calc'!$E$2:$E$3001,$N2086))</f>
        <v/>
      </c>
      <c r="H2086" s="25" t="str">
        <f>IF($N2086="","",INDEX('_calc'!$F$2:$F$3001,$N2086))</f>
        <v/>
      </c>
      <c r="I2086" s="27" t="str">
        <f>IF($N2086="","",INDEX('_calc'!$H$2:$H$3001,$N2086))</f>
        <v/>
      </c>
      <c r="J2086" s="27" t="str">
        <f>IF($N2086="","",INDEX('_calc'!$I$2:$I$3001,$N2086))</f>
        <v/>
      </c>
      <c r="K2086" s="28" t="str">
        <f>IF($N2086="","",IF(OR(I2086="",J2086=""),"",J2086-I2086))</f>
        <v/>
      </c>
      <c r="L2086" s="29" t="str">
        <f>IF($N2086="","",INDEX('_calc'!$J$2:$J$3001,$N2086))</f>
        <v/>
      </c>
      <c r="M2086" s="2" t="str">
        <f>IF($N2086="","",IF(AND(G2086=0,H2086=0),"수량 없음",IF(G2086=0,"신규 (전년 수량 없음)",IF(H2086=0,"당해 수량 없음",""))))</f>
        <v/>
      </c>
      <c r="N2086" t="str">
        <f>IF($B2086="","",MATCH($B2086,'_calc'!$L$2:$L$3001,0))</f>
        <v/>
      </c>
    </row>
    <row r="2087">
      <c r="B2087" s="24" t="str">
        <f>IF(ROW()-ROW($B$8)&gt;nComp,"",ROW()-ROW($B$8))</f>
        <v/>
      </c>
      <c r="C2087" t="str">
        <f>IF($N2087="","",INDEX('_calc'!$A$2:$A$3001,$N2087))</f>
        <v/>
      </c>
      <c r="D2087" s="25" t="str">
        <f>IF($N2087="","",INDEX('_calc'!$C$2:$C$3001,$N2087))</f>
        <v/>
      </c>
      <c r="E2087" s="25" t="str">
        <f>IF($N2087="","",INDEX('_calc'!$D$2:$D$3001,$N2087))</f>
        <v/>
      </c>
      <c r="F2087" s="26" t="str">
        <f>IF($N2087="","",IF($E$8=0,"",E2087/$E$8))</f>
        <v/>
      </c>
      <c r="G2087" s="25" t="str">
        <f>IF($N2087="","",INDEX('_calc'!$E$2:$E$3001,$N2087))</f>
        <v/>
      </c>
      <c r="H2087" s="25" t="str">
        <f>IF($N2087="","",INDEX('_calc'!$F$2:$F$3001,$N2087))</f>
        <v/>
      </c>
      <c r="I2087" s="27" t="str">
        <f>IF($N2087="","",INDEX('_calc'!$H$2:$H$3001,$N2087))</f>
        <v/>
      </c>
      <c r="J2087" s="27" t="str">
        <f>IF($N2087="","",INDEX('_calc'!$I$2:$I$3001,$N2087))</f>
        <v/>
      </c>
      <c r="K2087" s="28" t="str">
        <f>IF($N2087="","",IF(OR(I2087="",J2087=""),"",J2087-I2087))</f>
        <v/>
      </c>
      <c r="L2087" s="29" t="str">
        <f>IF($N2087="","",INDEX('_calc'!$J$2:$J$3001,$N2087))</f>
        <v/>
      </c>
      <c r="M2087" s="2" t="str">
        <f>IF($N2087="","",IF(AND(G2087=0,H2087=0),"수량 없음",IF(G2087=0,"신규 (전년 수량 없음)",IF(H2087=0,"당해 수량 없음",""))))</f>
        <v/>
      </c>
      <c r="N2087" t="str">
        <f>IF($B2087="","",MATCH($B2087,'_calc'!$L$2:$L$3001,0))</f>
        <v/>
      </c>
    </row>
    <row r="2088">
      <c r="B2088" s="24" t="str">
        <f>IF(ROW()-ROW($B$8)&gt;nComp,"",ROW()-ROW($B$8))</f>
        <v/>
      </c>
      <c r="C2088" t="str">
        <f>IF($N2088="","",INDEX('_calc'!$A$2:$A$3001,$N2088))</f>
        <v/>
      </c>
      <c r="D2088" s="25" t="str">
        <f>IF($N2088="","",INDEX('_calc'!$C$2:$C$3001,$N2088))</f>
        <v/>
      </c>
      <c r="E2088" s="25" t="str">
        <f>IF($N2088="","",INDEX('_calc'!$D$2:$D$3001,$N2088))</f>
        <v/>
      </c>
      <c r="F2088" s="26" t="str">
        <f>IF($N2088="","",IF($E$8=0,"",E2088/$E$8))</f>
        <v/>
      </c>
      <c r="G2088" s="25" t="str">
        <f>IF($N2088="","",INDEX('_calc'!$E$2:$E$3001,$N2088))</f>
        <v/>
      </c>
      <c r="H2088" s="25" t="str">
        <f>IF($N2088="","",INDEX('_calc'!$F$2:$F$3001,$N2088))</f>
        <v/>
      </c>
      <c r="I2088" s="27" t="str">
        <f>IF($N2088="","",INDEX('_calc'!$H$2:$H$3001,$N2088))</f>
        <v/>
      </c>
      <c r="J2088" s="27" t="str">
        <f>IF($N2088="","",INDEX('_calc'!$I$2:$I$3001,$N2088))</f>
        <v/>
      </c>
      <c r="K2088" s="28" t="str">
        <f>IF($N2088="","",IF(OR(I2088="",J2088=""),"",J2088-I2088))</f>
        <v/>
      </c>
      <c r="L2088" s="29" t="str">
        <f>IF($N2088="","",INDEX('_calc'!$J$2:$J$3001,$N2088))</f>
        <v/>
      </c>
      <c r="M2088" s="2" t="str">
        <f>IF($N2088="","",IF(AND(G2088=0,H2088=0),"수량 없음",IF(G2088=0,"신규 (전년 수량 없음)",IF(H2088=0,"당해 수량 없음",""))))</f>
        <v/>
      </c>
      <c r="N2088" t="str">
        <f>IF($B2088="","",MATCH($B2088,'_calc'!$L$2:$L$3001,0))</f>
        <v/>
      </c>
    </row>
    <row r="2089">
      <c r="B2089" s="24" t="str">
        <f>IF(ROW()-ROW($B$8)&gt;nComp,"",ROW()-ROW($B$8))</f>
        <v/>
      </c>
      <c r="C2089" t="str">
        <f>IF($N2089="","",INDEX('_calc'!$A$2:$A$3001,$N2089))</f>
        <v/>
      </c>
      <c r="D2089" s="25" t="str">
        <f>IF($N2089="","",INDEX('_calc'!$C$2:$C$3001,$N2089))</f>
        <v/>
      </c>
      <c r="E2089" s="25" t="str">
        <f>IF($N2089="","",INDEX('_calc'!$D$2:$D$3001,$N2089))</f>
        <v/>
      </c>
      <c r="F2089" s="26" t="str">
        <f>IF($N2089="","",IF($E$8=0,"",E2089/$E$8))</f>
        <v/>
      </c>
      <c r="G2089" s="25" t="str">
        <f>IF($N2089="","",INDEX('_calc'!$E$2:$E$3001,$N2089))</f>
        <v/>
      </c>
      <c r="H2089" s="25" t="str">
        <f>IF($N2089="","",INDEX('_calc'!$F$2:$F$3001,$N2089))</f>
        <v/>
      </c>
      <c r="I2089" s="27" t="str">
        <f>IF($N2089="","",INDEX('_calc'!$H$2:$H$3001,$N2089))</f>
        <v/>
      </c>
      <c r="J2089" s="27" t="str">
        <f>IF($N2089="","",INDEX('_calc'!$I$2:$I$3001,$N2089))</f>
        <v/>
      </c>
      <c r="K2089" s="28" t="str">
        <f>IF($N2089="","",IF(OR(I2089="",J2089=""),"",J2089-I2089))</f>
        <v/>
      </c>
      <c r="L2089" s="29" t="str">
        <f>IF($N2089="","",INDEX('_calc'!$J$2:$J$3001,$N2089))</f>
        <v/>
      </c>
      <c r="M2089" s="2" t="str">
        <f>IF($N2089="","",IF(AND(G2089=0,H2089=0),"수량 없음",IF(G2089=0,"신규 (전년 수량 없음)",IF(H2089=0,"당해 수량 없음",""))))</f>
        <v/>
      </c>
      <c r="N2089" t="str">
        <f>IF($B2089="","",MATCH($B2089,'_calc'!$L$2:$L$3001,0))</f>
        <v/>
      </c>
    </row>
    <row r="2090">
      <c r="B2090" s="24" t="str">
        <f>IF(ROW()-ROW($B$8)&gt;nComp,"",ROW()-ROW($B$8))</f>
        <v/>
      </c>
      <c r="C2090" t="str">
        <f>IF($N2090="","",INDEX('_calc'!$A$2:$A$3001,$N2090))</f>
        <v/>
      </c>
      <c r="D2090" s="25" t="str">
        <f>IF($N2090="","",INDEX('_calc'!$C$2:$C$3001,$N2090))</f>
        <v/>
      </c>
      <c r="E2090" s="25" t="str">
        <f>IF($N2090="","",INDEX('_calc'!$D$2:$D$3001,$N2090))</f>
        <v/>
      </c>
      <c r="F2090" s="26" t="str">
        <f>IF($N2090="","",IF($E$8=0,"",E2090/$E$8))</f>
        <v/>
      </c>
      <c r="G2090" s="25" t="str">
        <f>IF($N2090="","",INDEX('_calc'!$E$2:$E$3001,$N2090))</f>
        <v/>
      </c>
      <c r="H2090" s="25" t="str">
        <f>IF($N2090="","",INDEX('_calc'!$F$2:$F$3001,$N2090))</f>
        <v/>
      </c>
      <c r="I2090" s="27" t="str">
        <f>IF($N2090="","",INDEX('_calc'!$H$2:$H$3001,$N2090))</f>
        <v/>
      </c>
      <c r="J2090" s="27" t="str">
        <f>IF($N2090="","",INDEX('_calc'!$I$2:$I$3001,$N2090))</f>
        <v/>
      </c>
      <c r="K2090" s="28" t="str">
        <f>IF($N2090="","",IF(OR(I2090="",J2090=""),"",J2090-I2090))</f>
        <v/>
      </c>
      <c r="L2090" s="29" t="str">
        <f>IF($N2090="","",INDEX('_calc'!$J$2:$J$3001,$N2090))</f>
        <v/>
      </c>
      <c r="M2090" s="2" t="str">
        <f>IF($N2090="","",IF(AND(G2090=0,H2090=0),"수량 없음",IF(G2090=0,"신규 (전년 수량 없음)",IF(H2090=0,"당해 수량 없음",""))))</f>
        <v/>
      </c>
      <c r="N2090" t="str">
        <f>IF($B2090="","",MATCH($B2090,'_calc'!$L$2:$L$3001,0))</f>
        <v/>
      </c>
    </row>
    <row r="2091">
      <c r="B2091" s="24" t="str">
        <f>IF(ROW()-ROW($B$8)&gt;nComp,"",ROW()-ROW($B$8))</f>
        <v/>
      </c>
      <c r="C2091" t="str">
        <f>IF($N2091="","",INDEX('_calc'!$A$2:$A$3001,$N2091))</f>
        <v/>
      </c>
      <c r="D2091" s="25" t="str">
        <f>IF($N2091="","",INDEX('_calc'!$C$2:$C$3001,$N2091))</f>
        <v/>
      </c>
      <c r="E2091" s="25" t="str">
        <f>IF($N2091="","",INDEX('_calc'!$D$2:$D$3001,$N2091))</f>
        <v/>
      </c>
      <c r="F2091" s="26" t="str">
        <f>IF($N2091="","",IF($E$8=0,"",E2091/$E$8))</f>
        <v/>
      </c>
      <c r="G2091" s="25" t="str">
        <f>IF($N2091="","",INDEX('_calc'!$E$2:$E$3001,$N2091))</f>
        <v/>
      </c>
      <c r="H2091" s="25" t="str">
        <f>IF($N2091="","",INDEX('_calc'!$F$2:$F$3001,$N2091))</f>
        <v/>
      </c>
      <c r="I2091" s="27" t="str">
        <f>IF($N2091="","",INDEX('_calc'!$H$2:$H$3001,$N2091))</f>
        <v/>
      </c>
      <c r="J2091" s="27" t="str">
        <f>IF($N2091="","",INDEX('_calc'!$I$2:$I$3001,$N2091))</f>
        <v/>
      </c>
      <c r="K2091" s="28" t="str">
        <f>IF($N2091="","",IF(OR(I2091="",J2091=""),"",J2091-I2091))</f>
        <v/>
      </c>
      <c r="L2091" s="29" t="str">
        <f>IF($N2091="","",INDEX('_calc'!$J$2:$J$3001,$N2091))</f>
        <v/>
      </c>
      <c r="M2091" s="2" t="str">
        <f>IF($N2091="","",IF(AND(G2091=0,H2091=0),"수량 없음",IF(G2091=0,"신규 (전년 수량 없음)",IF(H2091=0,"당해 수량 없음",""))))</f>
        <v/>
      </c>
      <c r="N2091" t="str">
        <f>IF($B2091="","",MATCH($B2091,'_calc'!$L$2:$L$3001,0))</f>
        <v/>
      </c>
    </row>
    <row r="2092">
      <c r="B2092" s="24" t="str">
        <f>IF(ROW()-ROW($B$8)&gt;nComp,"",ROW()-ROW($B$8))</f>
        <v/>
      </c>
      <c r="C2092" t="str">
        <f>IF($N2092="","",INDEX('_calc'!$A$2:$A$3001,$N2092))</f>
        <v/>
      </c>
      <c r="D2092" s="25" t="str">
        <f>IF($N2092="","",INDEX('_calc'!$C$2:$C$3001,$N2092))</f>
        <v/>
      </c>
      <c r="E2092" s="25" t="str">
        <f>IF($N2092="","",INDEX('_calc'!$D$2:$D$3001,$N2092))</f>
        <v/>
      </c>
      <c r="F2092" s="26" t="str">
        <f>IF($N2092="","",IF($E$8=0,"",E2092/$E$8))</f>
        <v/>
      </c>
      <c r="G2092" s="25" t="str">
        <f>IF($N2092="","",INDEX('_calc'!$E$2:$E$3001,$N2092))</f>
        <v/>
      </c>
      <c r="H2092" s="25" t="str">
        <f>IF($N2092="","",INDEX('_calc'!$F$2:$F$3001,$N2092))</f>
        <v/>
      </c>
      <c r="I2092" s="27" t="str">
        <f>IF($N2092="","",INDEX('_calc'!$H$2:$H$3001,$N2092))</f>
        <v/>
      </c>
      <c r="J2092" s="27" t="str">
        <f>IF($N2092="","",INDEX('_calc'!$I$2:$I$3001,$N2092))</f>
        <v/>
      </c>
      <c r="K2092" s="28" t="str">
        <f>IF($N2092="","",IF(OR(I2092="",J2092=""),"",J2092-I2092))</f>
        <v/>
      </c>
      <c r="L2092" s="29" t="str">
        <f>IF($N2092="","",INDEX('_calc'!$J$2:$J$3001,$N2092))</f>
        <v/>
      </c>
      <c r="M2092" s="2" t="str">
        <f>IF($N2092="","",IF(AND(G2092=0,H2092=0),"수량 없음",IF(G2092=0,"신규 (전년 수량 없음)",IF(H2092=0,"당해 수량 없음",""))))</f>
        <v/>
      </c>
      <c r="N2092" t="str">
        <f>IF($B2092="","",MATCH($B2092,'_calc'!$L$2:$L$3001,0))</f>
        <v/>
      </c>
    </row>
    <row r="2093">
      <c r="B2093" s="24" t="str">
        <f>IF(ROW()-ROW($B$8)&gt;nComp,"",ROW()-ROW($B$8))</f>
        <v/>
      </c>
      <c r="C2093" t="str">
        <f>IF($N2093="","",INDEX('_calc'!$A$2:$A$3001,$N2093))</f>
        <v/>
      </c>
      <c r="D2093" s="25" t="str">
        <f>IF($N2093="","",INDEX('_calc'!$C$2:$C$3001,$N2093))</f>
        <v/>
      </c>
      <c r="E2093" s="25" t="str">
        <f>IF($N2093="","",INDEX('_calc'!$D$2:$D$3001,$N2093))</f>
        <v/>
      </c>
      <c r="F2093" s="26" t="str">
        <f>IF($N2093="","",IF($E$8=0,"",E2093/$E$8))</f>
        <v/>
      </c>
      <c r="G2093" s="25" t="str">
        <f>IF($N2093="","",INDEX('_calc'!$E$2:$E$3001,$N2093))</f>
        <v/>
      </c>
      <c r="H2093" s="25" t="str">
        <f>IF($N2093="","",INDEX('_calc'!$F$2:$F$3001,$N2093))</f>
        <v/>
      </c>
      <c r="I2093" s="27" t="str">
        <f>IF($N2093="","",INDEX('_calc'!$H$2:$H$3001,$N2093))</f>
        <v/>
      </c>
      <c r="J2093" s="27" t="str">
        <f>IF($N2093="","",INDEX('_calc'!$I$2:$I$3001,$N2093))</f>
        <v/>
      </c>
      <c r="K2093" s="28" t="str">
        <f>IF($N2093="","",IF(OR(I2093="",J2093=""),"",J2093-I2093))</f>
        <v/>
      </c>
      <c r="L2093" s="29" t="str">
        <f>IF($N2093="","",INDEX('_calc'!$J$2:$J$3001,$N2093))</f>
        <v/>
      </c>
      <c r="M2093" s="2" t="str">
        <f>IF($N2093="","",IF(AND(G2093=0,H2093=0),"수량 없음",IF(G2093=0,"신규 (전년 수량 없음)",IF(H2093=0,"당해 수량 없음",""))))</f>
        <v/>
      </c>
      <c r="N2093" t="str">
        <f>IF($B2093="","",MATCH($B2093,'_calc'!$L$2:$L$3001,0))</f>
        <v/>
      </c>
    </row>
    <row r="2094">
      <c r="B2094" s="24" t="str">
        <f>IF(ROW()-ROW($B$8)&gt;nComp,"",ROW()-ROW($B$8))</f>
        <v/>
      </c>
      <c r="C2094" t="str">
        <f>IF($N2094="","",INDEX('_calc'!$A$2:$A$3001,$N2094))</f>
        <v/>
      </c>
      <c r="D2094" s="25" t="str">
        <f>IF($N2094="","",INDEX('_calc'!$C$2:$C$3001,$N2094))</f>
        <v/>
      </c>
      <c r="E2094" s="25" t="str">
        <f>IF($N2094="","",INDEX('_calc'!$D$2:$D$3001,$N2094))</f>
        <v/>
      </c>
      <c r="F2094" s="26" t="str">
        <f>IF($N2094="","",IF($E$8=0,"",E2094/$E$8))</f>
        <v/>
      </c>
      <c r="G2094" s="25" t="str">
        <f>IF($N2094="","",INDEX('_calc'!$E$2:$E$3001,$N2094))</f>
        <v/>
      </c>
      <c r="H2094" s="25" t="str">
        <f>IF($N2094="","",INDEX('_calc'!$F$2:$F$3001,$N2094))</f>
        <v/>
      </c>
      <c r="I2094" s="27" t="str">
        <f>IF($N2094="","",INDEX('_calc'!$H$2:$H$3001,$N2094))</f>
        <v/>
      </c>
      <c r="J2094" s="27" t="str">
        <f>IF($N2094="","",INDEX('_calc'!$I$2:$I$3001,$N2094))</f>
        <v/>
      </c>
      <c r="K2094" s="28" t="str">
        <f>IF($N2094="","",IF(OR(I2094="",J2094=""),"",J2094-I2094))</f>
        <v/>
      </c>
      <c r="L2094" s="29" t="str">
        <f>IF($N2094="","",INDEX('_calc'!$J$2:$J$3001,$N2094))</f>
        <v/>
      </c>
      <c r="M2094" s="2" t="str">
        <f>IF($N2094="","",IF(AND(G2094=0,H2094=0),"수량 없음",IF(G2094=0,"신규 (전년 수량 없음)",IF(H2094=0,"당해 수량 없음",""))))</f>
        <v/>
      </c>
      <c r="N2094" t="str">
        <f>IF($B2094="","",MATCH($B2094,'_calc'!$L$2:$L$3001,0))</f>
        <v/>
      </c>
    </row>
    <row r="2095">
      <c r="B2095" s="24" t="str">
        <f>IF(ROW()-ROW($B$8)&gt;nComp,"",ROW()-ROW($B$8))</f>
        <v/>
      </c>
      <c r="C2095" t="str">
        <f>IF($N2095="","",INDEX('_calc'!$A$2:$A$3001,$N2095))</f>
        <v/>
      </c>
      <c r="D2095" s="25" t="str">
        <f>IF($N2095="","",INDEX('_calc'!$C$2:$C$3001,$N2095))</f>
        <v/>
      </c>
      <c r="E2095" s="25" t="str">
        <f>IF($N2095="","",INDEX('_calc'!$D$2:$D$3001,$N2095))</f>
        <v/>
      </c>
      <c r="F2095" s="26" t="str">
        <f>IF($N2095="","",IF($E$8=0,"",E2095/$E$8))</f>
        <v/>
      </c>
      <c r="G2095" s="25" t="str">
        <f>IF($N2095="","",INDEX('_calc'!$E$2:$E$3001,$N2095))</f>
        <v/>
      </c>
      <c r="H2095" s="25" t="str">
        <f>IF($N2095="","",INDEX('_calc'!$F$2:$F$3001,$N2095))</f>
        <v/>
      </c>
      <c r="I2095" s="27" t="str">
        <f>IF($N2095="","",INDEX('_calc'!$H$2:$H$3001,$N2095))</f>
        <v/>
      </c>
      <c r="J2095" s="27" t="str">
        <f>IF($N2095="","",INDEX('_calc'!$I$2:$I$3001,$N2095))</f>
        <v/>
      </c>
      <c r="K2095" s="28" t="str">
        <f>IF($N2095="","",IF(OR(I2095="",J2095=""),"",J2095-I2095))</f>
        <v/>
      </c>
      <c r="L2095" s="29" t="str">
        <f>IF($N2095="","",INDEX('_calc'!$J$2:$J$3001,$N2095))</f>
        <v/>
      </c>
      <c r="M2095" s="2" t="str">
        <f>IF($N2095="","",IF(AND(G2095=0,H2095=0),"수량 없음",IF(G2095=0,"신규 (전년 수량 없음)",IF(H2095=0,"당해 수량 없음",""))))</f>
        <v/>
      </c>
      <c r="N2095" t="str">
        <f>IF($B2095="","",MATCH($B2095,'_calc'!$L$2:$L$3001,0))</f>
        <v/>
      </c>
    </row>
    <row r="2096">
      <c r="B2096" s="24" t="str">
        <f>IF(ROW()-ROW($B$8)&gt;nComp,"",ROW()-ROW($B$8))</f>
        <v/>
      </c>
      <c r="C2096" t="str">
        <f>IF($N2096="","",INDEX('_calc'!$A$2:$A$3001,$N2096))</f>
        <v/>
      </c>
      <c r="D2096" s="25" t="str">
        <f>IF($N2096="","",INDEX('_calc'!$C$2:$C$3001,$N2096))</f>
        <v/>
      </c>
      <c r="E2096" s="25" t="str">
        <f>IF($N2096="","",INDEX('_calc'!$D$2:$D$3001,$N2096))</f>
        <v/>
      </c>
      <c r="F2096" s="26" t="str">
        <f>IF($N2096="","",IF($E$8=0,"",E2096/$E$8))</f>
        <v/>
      </c>
      <c r="G2096" s="25" t="str">
        <f>IF($N2096="","",INDEX('_calc'!$E$2:$E$3001,$N2096))</f>
        <v/>
      </c>
      <c r="H2096" s="25" t="str">
        <f>IF($N2096="","",INDEX('_calc'!$F$2:$F$3001,$N2096))</f>
        <v/>
      </c>
      <c r="I2096" s="27" t="str">
        <f>IF($N2096="","",INDEX('_calc'!$H$2:$H$3001,$N2096))</f>
        <v/>
      </c>
      <c r="J2096" s="27" t="str">
        <f>IF($N2096="","",INDEX('_calc'!$I$2:$I$3001,$N2096))</f>
        <v/>
      </c>
      <c r="K2096" s="28" t="str">
        <f>IF($N2096="","",IF(OR(I2096="",J2096=""),"",J2096-I2096))</f>
        <v/>
      </c>
      <c r="L2096" s="29" t="str">
        <f>IF($N2096="","",INDEX('_calc'!$J$2:$J$3001,$N2096))</f>
        <v/>
      </c>
      <c r="M2096" s="2" t="str">
        <f>IF($N2096="","",IF(AND(G2096=0,H2096=0),"수량 없음",IF(G2096=0,"신규 (전년 수량 없음)",IF(H2096=0,"당해 수량 없음",""))))</f>
        <v/>
      </c>
      <c r="N2096" t="str">
        <f>IF($B2096="","",MATCH($B2096,'_calc'!$L$2:$L$3001,0))</f>
        <v/>
      </c>
    </row>
    <row r="2097">
      <c r="B2097" s="24" t="str">
        <f>IF(ROW()-ROW($B$8)&gt;nComp,"",ROW()-ROW($B$8))</f>
        <v/>
      </c>
      <c r="C2097" t="str">
        <f>IF($N2097="","",INDEX('_calc'!$A$2:$A$3001,$N2097))</f>
        <v/>
      </c>
      <c r="D2097" s="25" t="str">
        <f>IF($N2097="","",INDEX('_calc'!$C$2:$C$3001,$N2097))</f>
        <v/>
      </c>
      <c r="E2097" s="25" t="str">
        <f>IF($N2097="","",INDEX('_calc'!$D$2:$D$3001,$N2097))</f>
        <v/>
      </c>
      <c r="F2097" s="26" t="str">
        <f>IF($N2097="","",IF($E$8=0,"",E2097/$E$8))</f>
        <v/>
      </c>
      <c r="G2097" s="25" t="str">
        <f>IF($N2097="","",INDEX('_calc'!$E$2:$E$3001,$N2097))</f>
        <v/>
      </c>
      <c r="H2097" s="25" t="str">
        <f>IF($N2097="","",INDEX('_calc'!$F$2:$F$3001,$N2097))</f>
        <v/>
      </c>
      <c r="I2097" s="27" t="str">
        <f>IF($N2097="","",INDEX('_calc'!$H$2:$H$3001,$N2097))</f>
        <v/>
      </c>
      <c r="J2097" s="27" t="str">
        <f>IF($N2097="","",INDEX('_calc'!$I$2:$I$3001,$N2097))</f>
        <v/>
      </c>
      <c r="K2097" s="28" t="str">
        <f>IF($N2097="","",IF(OR(I2097="",J2097=""),"",J2097-I2097))</f>
        <v/>
      </c>
      <c r="L2097" s="29" t="str">
        <f>IF($N2097="","",INDEX('_calc'!$J$2:$J$3001,$N2097))</f>
        <v/>
      </c>
      <c r="M2097" s="2" t="str">
        <f>IF($N2097="","",IF(AND(G2097=0,H2097=0),"수량 없음",IF(G2097=0,"신규 (전년 수량 없음)",IF(H2097=0,"당해 수량 없음",""))))</f>
        <v/>
      </c>
      <c r="N2097" t="str">
        <f>IF($B2097="","",MATCH($B2097,'_calc'!$L$2:$L$3001,0))</f>
        <v/>
      </c>
    </row>
    <row r="2098">
      <c r="B2098" s="24" t="str">
        <f>IF(ROW()-ROW($B$8)&gt;nComp,"",ROW()-ROW($B$8))</f>
        <v/>
      </c>
      <c r="C2098" t="str">
        <f>IF($N2098="","",INDEX('_calc'!$A$2:$A$3001,$N2098))</f>
        <v/>
      </c>
      <c r="D2098" s="25" t="str">
        <f>IF($N2098="","",INDEX('_calc'!$C$2:$C$3001,$N2098))</f>
        <v/>
      </c>
      <c r="E2098" s="25" t="str">
        <f>IF($N2098="","",INDEX('_calc'!$D$2:$D$3001,$N2098))</f>
        <v/>
      </c>
      <c r="F2098" s="26" t="str">
        <f>IF($N2098="","",IF($E$8=0,"",E2098/$E$8))</f>
        <v/>
      </c>
      <c r="G2098" s="25" t="str">
        <f>IF($N2098="","",INDEX('_calc'!$E$2:$E$3001,$N2098))</f>
        <v/>
      </c>
      <c r="H2098" s="25" t="str">
        <f>IF($N2098="","",INDEX('_calc'!$F$2:$F$3001,$N2098))</f>
        <v/>
      </c>
      <c r="I2098" s="27" t="str">
        <f>IF($N2098="","",INDEX('_calc'!$H$2:$H$3001,$N2098))</f>
        <v/>
      </c>
      <c r="J2098" s="27" t="str">
        <f>IF($N2098="","",INDEX('_calc'!$I$2:$I$3001,$N2098))</f>
        <v/>
      </c>
      <c r="K2098" s="28" t="str">
        <f>IF($N2098="","",IF(OR(I2098="",J2098=""),"",J2098-I2098))</f>
        <v/>
      </c>
      <c r="L2098" s="29" t="str">
        <f>IF($N2098="","",INDEX('_calc'!$J$2:$J$3001,$N2098))</f>
        <v/>
      </c>
      <c r="M2098" s="2" t="str">
        <f>IF($N2098="","",IF(AND(G2098=0,H2098=0),"수량 없음",IF(G2098=0,"신규 (전년 수량 없음)",IF(H2098=0,"당해 수량 없음",""))))</f>
        <v/>
      </c>
      <c r="N2098" t="str">
        <f>IF($B2098="","",MATCH($B2098,'_calc'!$L$2:$L$3001,0))</f>
        <v/>
      </c>
    </row>
    <row r="2099">
      <c r="B2099" s="24" t="str">
        <f>IF(ROW()-ROW($B$8)&gt;nComp,"",ROW()-ROW($B$8))</f>
        <v/>
      </c>
      <c r="C2099" t="str">
        <f>IF($N2099="","",INDEX('_calc'!$A$2:$A$3001,$N2099))</f>
        <v/>
      </c>
      <c r="D2099" s="25" t="str">
        <f>IF($N2099="","",INDEX('_calc'!$C$2:$C$3001,$N2099))</f>
        <v/>
      </c>
      <c r="E2099" s="25" t="str">
        <f>IF($N2099="","",INDEX('_calc'!$D$2:$D$3001,$N2099))</f>
        <v/>
      </c>
      <c r="F2099" s="26" t="str">
        <f>IF($N2099="","",IF($E$8=0,"",E2099/$E$8))</f>
        <v/>
      </c>
      <c r="G2099" s="25" t="str">
        <f>IF($N2099="","",INDEX('_calc'!$E$2:$E$3001,$N2099))</f>
        <v/>
      </c>
      <c r="H2099" s="25" t="str">
        <f>IF($N2099="","",INDEX('_calc'!$F$2:$F$3001,$N2099))</f>
        <v/>
      </c>
      <c r="I2099" s="27" t="str">
        <f>IF($N2099="","",INDEX('_calc'!$H$2:$H$3001,$N2099))</f>
        <v/>
      </c>
      <c r="J2099" s="27" t="str">
        <f>IF($N2099="","",INDEX('_calc'!$I$2:$I$3001,$N2099))</f>
        <v/>
      </c>
      <c r="K2099" s="28" t="str">
        <f>IF($N2099="","",IF(OR(I2099="",J2099=""),"",J2099-I2099))</f>
        <v/>
      </c>
      <c r="L2099" s="29" t="str">
        <f>IF($N2099="","",INDEX('_calc'!$J$2:$J$3001,$N2099))</f>
        <v/>
      </c>
      <c r="M2099" s="2" t="str">
        <f>IF($N2099="","",IF(AND(G2099=0,H2099=0),"수량 없음",IF(G2099=0,"신규 (전년 수량 없음)",IF(H2099=0,"당해 수량 없음",""))))</f>
        <v/>
      </c>
      <c r="N2099" t="str">
        <f>IF($B2099="","",MATCH($B2099,'_calc'!$L$2:$L$3001,0))</f>
        <v/>
      </c>
    </row>
    <row r="2100">
      <c r="B2100" s="24" t="str">
        <f>IF(ROW()-ROW($B$8)&gt;nComp,"",ROW()-ROW($B$8))</f>
        <v/>
      </c>
      <c r="C2100" t="str">
        <f>IF($N2100="","",INDEX('_calc'!$A$2:$A$3001,$N2100))</f>
        <v/>
      </c>
      <c r="D2100" s="25" t="str">
        <f>IF($N2100="","",INDEX('_calc'!$C$2:$C$3001,$N2100))</f>
        <v/>
      </c>
      <c r="E2100" s="25" t="str">
        <f>IF($N2100="","",INDEX('_calc'!$D$2:$D$3001,$N2100))</f>
        <v/>
      </c>
      <c r="F2100" s="26" t="str">
        <f>IF($N2100="","",IF($E$8=0,"",E2100/$E$8))</f>
        <v/>
      </c>
      <c r="G2100" s="25" t="str">
        <f>IF($N2100="","",INDEX('_calc'!$E$2:$E$3001,$N2100))</f>
        <v/>
      </c>
      <c r="H2100" s="25" t="str">
        <f>IF($N2100="","",INDEX('_calc'!$F$2:$F$3001,$N2100))</f>
        <v/>
      </c>
      <c r="I2100" s="27" t="str">
        <f>IF($N2100="","",INDEX('_calc'!$H$2:$H$3001,$N2100))</f>
        <v/>
      </c>
      <c r="J2100" s="27" t="str">
        <f>IF($N2100="","",INDEX('_calc'!$I$2:$I$3001,$N2100))</f>
        <v/>
      </c>
      <c r="K2100" s="28" t="str">
        <f>IF($N2100="","",IF(OR(I2100="",J2100=""),"",J2100-I2100))</f>
        <v/>
      </c>
      <c r="L2100" s="29" t="str">
        <f>IF($N2100="","",INDEX('_calc'!$J$2:$J$3001,$N2100))</f>
        <v/>
      </c>
      <c r="M2100" s="2" t="str">
        <f>IF($N2100="","",IF(AND(G2100=0,H2100=0),"수량 없음",IF(G2100=0,"신규 (전년 수량 없음)",IF(H2100=0,"당해 수량 없음",""))))</f>
        <v/>
      </c>
      <c r="N2100" t="str">
        <f>IF($B2100="","",MATCH($B2100,'_calc'!$L$2:$L$3001,0))</f>
        <v/>
      </c>
    </row>
    <row r="2101">
      <c r="B2101" s="24" t="str">
        <f>IF(ROW()-ROW($B$8)&gt;nComp,"",ROW()-ROW($B$8))</f>
        <v/>
      </c>
      <c r="C2101" t="str">
        <f>IF($N2101="","",INDEX('_calc'!$A$2:$A$3001,$N2101))</f>
        <v/>
      </c>
      <c r="D2101" s="25" t="str">
        <f>IF($N2101="","",INDEX('_calc'!$C$2:$C$3001,$N2101))</f>
        <v/>
      </c>
      <c r="E2101" s="25" t="str">
        <f>IF($N2101="","",INDEX('_calc'!$D$2:$D$3001,$N2101))</f>
        <v/>
      </c>
      <c r="F2101" s="26" t="str">
        <f>IF($N2101="","",IF($E$8=0,"",E2101/$E$8))</f>
        <v/>
      </c>
      <c r="G2101" s="25" t="str">
        <f>IF($N2101="","",INDEX('_calc'!$E$2:$E$3001,$N2101))</f>
        <v/>
      </c>
      <c r="H2101" s="25" t="str">
        <f>IF($N2101="","",INDEX('_calc'!$F$2:$F$3001,$N2101))</f>
        <v/>
      </c>
      <c r="I2101" s="27" t="str">
        <f>IF($N2101="","",INDEX('_calc'!$H$2:$H$3001,$N2101))</f>
        <v/>
      </c>
      <c r="J2101" s="27" t="str">
        <f>IF($N2101="","",INDEX('_calc'!$I$2:$I$3001,$N2101))</f>
        <v/>
      </c>
      <c r="K2101" s="28" t="str">
        <f>IF($N2101="","",IF(OR(I2101="",J2101=""),"",J2101-I2101))</f>
        <v/>
      </c>
      <c r="L2101" s="29" t="str">
        <f>IF($N2101="","",INDEX('_calc'!$J$2:$J$3001,$N2101))</f>
        <v/>
      </c>
      <c r="M2101" s="2" t="str">
        <f>IF($N2101="","",IF(AND(G2101=0,H2101=0),"수량 없음",IF(G2101=0,"신규 (전년 수량 없음)",IF(H2101=0,"당해 수량 없음",""))))</f>
        <v/>
      </c>
      <c r="N2101" t="str">
        <f>IF($B2101="","",MATCH($B2101,'_calc'!$L$2:$L$3001,0))</f>
        <v/>
      </c>
    </row>
    <row r="2102">
      <c r="B2102" s="24" t="str">
        <f>IF(ROW()-ROW($B$8)&gt;nComp,"",ROW()-ROW($B$8))</f>
        <v/>
      </c>
      <c r="C2102" t="str">
        <f>IF($N2102="","",INDEX('_calc'!$A$2:$A$3001,$N2102))</f>
        <v/>
      </c>
      <c r="D2102" s="25" t="str">
        <f>IF($N2102="","",INDEX('_calc'!$C$2:$C$3001,$N2102))</f>
        <v/>
      </c>
      <c r="E2102" s="25" t="str">
        <f>IF($N2102="","",INDEX('_calc'!$D$2:$D$3001,$N2102))</f>
        <v/>
      </c>
      <c r="F2102" s="26" t="str">
        <f>IF($N2102="","",IF($E$8=0,"",E2102/$E$8))</f>
        <v/>
      </c>
      <c r="G2102" s="25" t="str">
        <f>IF($N2102="","",INDEX('_calc'!$E$2:$E$3001,$N2102))</f>
        <v/>
      </c>
      <c r="H2102" s="25" t="str">
        <f>IF($N2102="","",INDEX('_calc'!$F$2:$F$3001,$N2102))</f>
        <v/>
      </c>
      <c r="I2102" s="27" t="str">
        <f>IF($N2102="","",INDEX('_calc'!$H$2:$H$3001,$N2102))</f>
        <v/>
      </c>
      <c r="J2102" s="27" t="str">
        <f>IF($N2102="","",INDEX('_calc'!$I$2:$I$3001,$N2102))</f>
        <v/>
      </c>
      <c r="K2102" s="28" t="str">
        <f>IF($N2102="","",IF(OR(I2102="",J2102=""),"",J2102-I2102))</f>
        <v/>
      </c>
      <c r="L2102" s="29" t="str">
        <f>IF($N2102="","",INDEX('_calc'!$J$2:$J$3001,$N2102))</f>
        <v/>
      </c>
      <c r="M2102" s="2" t="str">
        <f>IF($N2102="","",IF(AND(G2102=0,H2102=0),"수량 없음",IF(G2102=0,"신규 (전년 수량 없음)",IF(H2102=0,"당해 수량 없음",""))))</f>
        <v/>
      </c>
      <c r="N2102" t="str">
        <f>IF($B2102="","",MATCH($B2102,'_calc'!$L$2:$L$3001,0))</f>
        <v/>
      </c>
    </row>
    <row r="2103">
      <c r="B2103" s="24" t="str">
        <f>IF(ROW()-ROW($B$8)&gt;nComp,"",ROW()-ROW($B$8))</f>
        <v/>
      </c>
      <c r="C2103" t="str">
        <f>IF($N2103="","",INDEX('_calc'!$A$2:$A$3001,$N2103))</f>
        <v/>
      </c>
      <c r="D2103" s="25" t="str">
        <f>IF($N2103="","",INDEX('_calc'!$C$2:$C$3001,$N2103))</f>
        <v/>
      </c>
      <c r="E2103" s="25" t="str">
        <f>IF($N2103="","",INDEX('_calc'!$D$2:$D$3001,$N2103))</f>
        <v/>
      </c>
      <c r="F2103" s="26" t="str">
        <f>IF($N2103="","",IF($E$8=0,"",E2103/$E$8))</f>
        <v/>
      </c>
      <c r="G2103" s="25" t="str">
        <f>IF($N2103="","",INDEX('_calc'!$E$2:$E$3001,$N2103))</f>
        <v/>
      </c>
      <c r="H2103" s="25" t="str">
        <f>IF($N2103="","",INDEX('_calc'!$F$2:$F$3001,$N2103))</f>
        <v/>
      </c>
      <c r="I2103" s="27" t="str">
        <f>IF($N2103="","",INDEX('_calc'!$H$2:$H$3001,$N2103))</f>
        <v/>
      </c>
      <c r="J2103" s="27" t="str">
        <f>IF($N2103="","",INDEX('_calc'!$I$2:$I$3001,$N2103))</f>
        <v/>
      </c>
      <c r="K2103" s="28" t="str">
        <f>IF($N2103="","",IF(OR(I2103="",J2103=""),"",J2103-I2103))</f>
        <v/>
      </c>
      <c r="L2103" s="29" t="str">
        <f>IF($N2103="","",INDEX('_calc'!$J$2:$J$3001,$N2103))</f>
        <v/>
      </c>
      <c r="M2103" s="2" t="str">
        <f>IF($N2103="","",IF(AND(G2103=0,H2103=0),"수량 없음",IF(G2103=0,"신규 (전년 수량 없음)",IF(H2103=0,"당해 수량 없음",""))))</f>
        <v/>
      </c>
      <c r="N2103" t="str">
        <f>IF($B2103="","",MATCH($B2103,'_calc'!$L$2:$L$3001,0))</f>
        <v/>
      </c>
    </row>
    <row r="2104">
      <c r="B2104" s="24" t="str">
        <f>IF(ROW()-ROW($B$8)&gt;nComp,"",ROW()-ROW($B$8))</f>
        <v/>
      </c>
      <c r="C2104" t="str">
        <f>IF($N2104="","",INDEX('_calc'!$A$2:$A$3001,$N2104))</f>
        <v/>
      </c>
      <c r="D2104" s="25" t="str">
        <f>IF($N2104="","",INDEX('_calc'!$C$2:$C$3001,$N2104))</f>
        <v/>
      </c>
      <c r="E2104" s="25" t="str">
        <f>IF($N2104="","",INDEX('_calc'!$D$2:$D$3001,$N2104))</f>
        <v/>
      </c>
      <c r="F2104" s="26" t="str">
        <f>IF($N2104="","",IF($E$8=0,"",E2104/$E$8))</f>
        <v/>
      </c>
      <c r="G2104" s="25" t="str">
        <f>IF($N2104="","",INDEX('_calc'!$E$2:$E$3001,$N2104))</f>
        <v/>
      </c>
      <c r="H2104" s="25" t="str">
        <f>IF($N2104="","",INDEX('_calc'!$F$2:$F$3001,$N2104))</f>
        <v/>
      </c>
      <c r="I2104" s="27" t="str">
        <f>IF($N2104="","",INDEX('_calc'!$H$2:$H$3001,$N2104))</f>
        <v/>
      </c>
      <c r="J2104" s="27" t="str">
        <f>IF($N2104="","",INDEX('_calc'!$I$2:$I$3001,$N2104))</f>
        <v/>
      </c>
      <c r="K2104" s="28" t="str">
        <f>IF($N2104="","",IF(OR(I2104="",J2104=""),"",J2104-I2104))</f>
        <v/>
      </c>
      <c r="L2104" s="29" t="str">
        <f>IF($N2104="","",INDEX('_calc'!$J$2:$J$3001,$N2104))</f>
        <v/>
      </c>
      <c r="M2104" s="2" t="str">
        <f>IF($N2104="","",IF(AND(G2104=0,H2104=0),"수량 없음",IF(G2104=0,"신규 (전년 수량 없음)",IF(H2104=0,"당해 수량 없음",""))))</f>
        <v/>
      </c>
      <c r="N2104" t="str">
        <f>IF($B2104="","",MATCH($B2104,'_calc'!$L$2:$L$3001,0))</f>
        <v/>
      </c>
    </row>
    <row r="2105">
      <c r="B2105" s="24" t="str">
        <f>IF(ROW()-ROW($B$8)&gt;nComp,"",ROW()-ROW($B$8))</f>
        <v/>
      </c>
      <c r="C2105" t="str">
        <f>IF($N2105="","",INDEX('_calc'!$A$2:$A$3001,$N2105))</f>
        <v/>
      </c>
      <c r="D2105" s="25" t="str">
        <f>IF($N2105="","",INDEX('_calc'!$C$2:$C$3001,$N2105))</f>
        <v/>
      </c>
      <c r="E2105" s="25" t="str">
        <f>IF($N2105="","",INDEX('_calc'!$D$2:$D$3001,$N2105))</f>
        <v/>
      </c>
      <c r="F2105" s="26" t="str">
        <f>IF($N2105="","",IF($E$8=0,"",E2105/$E$8))</f>
        <v/>
      </c>
      <c r="G2105" s="25" t="str">
        <f>IF($N2105="","",INDEX('_calc'!$E$2:$E$3001,$N2105))</f>
        <v/>
      </c>
      <c r="H2105" s="25" t="str">
        <f>IF($N2105="","",INDEX('_calc'!$F$2:$F$3001,$N2105))</f>
        <v/>
      </c>
      <c r="I2105" s="27" t="str">
        <f>IF($N2105="","",INDEX('_calc'!$H$2:$H$3001,$N2105))</f>
        <v/>
      </c>
      <c r="J2105" s="27" t="str">
        <f>IF($N2105="","",INDEX('_calc'!$I$2:$I$3001,$N2105))</f>
        <v/>
      </c>
      <c r="K2105" s="28" t="str">
        <f>IF($N2105="","",IF(OR(I2105="",J2105=""),"",J2105-I2105))</f>
        <v/>
      </c>
      <c r="L2105" s="29" t="str">
        <f>IF($N2105="","",INDEX('_calc'!$J$2:$J$3001,$N2105))</f>
        <v/>
      </c>
      <c r="M2105" s="2" t="str">
        <f>IF($N2105="","",IF(AND(G2105=0,H2105=0),"수량 없음",IF(G2105=0,"신규 (전년 수량 없음)",IF(H2105=0,"당해 수량 없음",""))))</f>
        <v/>
      </c>
      <c r="N2105" t="str">
        <f>IF($B2105="","",MATCH($B2105,'_calc'!$L$2:$L$3001,0))</f>
        <v/>
      </c>
    </row>
    <row r="2106">
      <c r="B2106" s="24" t="str">
        <f>IF(ROW()-ROW($B$8)&gt;nComp,"",ROW()-ROW($B$8))</f>
        <v/>
      </c>
      <c r="C2106" t="str">
        <f>IF($N2106="","",INDEX('_calc'!$A$2:$A$3001,$N2106))</f>
        <v/>
      </c>
      <c r="D2106" s="25" t="str">
        <f>IF($N2106="","",INDEX('_calc'!$C$2:$C$3001,$N2106))</f>
        <v/>
      </c>
      <c r="E2106" s="25" t="str">
        <f>IF($N2106="","",INDEX('_calc'!$D$2:$D$3001,$N2106))</f>
        <v/>
      </c>
      <c r="F2106" s="26" t="str">
        <f>IF($N2106="","",IF($E$8=0,"",E2106/$E$8))</f>
        <v/>
      </c>
      <c r="G2106" s="25" t="str">
        <f>IF($N2106="","",INDEX('_calc'!$E$2:$E$3001,$N2106))</f>
        <v/>
      </c>
      <c r="H2106" s="25" t="str">
        <f>IF($N2106="","",INDEX('_calc'!$F$2:$F$3001,$N2106))</f>
        <v/>
      </c>
      <c r="I2106" s="27" t="str">
        <f>IF($N2106="","",INDEX('_calc'!$H$2:$H$3001,$N2106))</f>
        <v/>
      </c>
      <c r="J2106" s="27" t="str">
        <f>IF($N2106="","",INDEX('_calc'!$I$2:$I$3001,$N2106))</f>
        <v/>
      </c>
      <c r="K2106" s="28" t="str">
        <f>IF($N2106="","",IF(OR(I2106="",J2106=""),"",J2106-I2106))</f>
        <v/>
      </c>
      <c r="L2106" s="29" t="str">
        <f>IF($N2106="","",INDEX('_calc'!$J$2:$J$3001,$N2106))</f>
        <v/>
      </c>
      <c r="M2106" s="2" t="str">
        <f>IF($N2106="","",IF(AND(G2106=0,H2106=0),"수량 없음",IF(G2106=0,"신규 (전년 수량 없음)",IF(H2106=0,"당해 수량 없음",""))))</f>
        <v/>
      </c>
      <c r="N2106" t="str">
        <f>IF($B2106="","",MATCH($B2106,'_calc'!$L$2:$L$3001,0))</f>
        <v/>
      </c>
    </row>
    <row r="2107">
      <c r="B2107" s="24" t="str">
        <f>IF(ROW()-ROW($B$8)&gt;nComp,"",ROW()-ROW($B$8))</f>
        <v/>
      </c>
      <c r="C2107" t="str">
        <f>IF($N2107="","",INDEX('_calc'!$A$2:$A$3001,$N2107))</f>
        <v/>
      </c>
      <c r="D2107" s="25" t="str">
        <f>IF($N2107="","",INDEX('_calc'!$C$2:$C$3001,$N2107))</f>
        <v/>
      </c>
      <c r="E2107" s="25" t="str">
        <f>IF($N2107="","",INDEX('_calc'!$D$2:$D$3001,$N2107))</f>
        <v/>
      </c>
      <c r="F2107" s="26" t="str">
        <f>IF($N2107="","",IF($E$8=0,"",E2107/$E$8))</f>
        <v/>
      </c>
      <c r="G2107" s="25" t="str">
        <f>IF($N2107="","",INDEX('_calc'!$E$2:$E$3001,$N2107))</f>
        <v/>
      </c>
      <c r="H2107" s="25" t="str">
        <f>IF($N2107="","",INDEX('_calc'!$F$2:$F$3001,$N2107))</f>
        <v/>
      </c>
      <c r="I2107" s="27" t="str">
        <f>IF($N2107="","",INDEX('_calc'!$H$2:$H$3001,$N2107))</f>
        <v/>
      </c>
      <c r="J2107" s="27" t="str">
        <f>IF($N2107="","",INDEX('_calc'!$I$2:$I$3001,$N2107))</f>
        <v/>
      </c>
      <c r="K2107" s="28" t="str">
        <f>IF($N2107="","",IF(OR(I2107="",J2107=""),"",J2107-I2107))</f>
        <v/>
      </c>
      <c r="L2107" s="29" t="str">
        <f>IF($N2107="","",INDEX('_calc'!$J$2:$J$3001,$N2107))</f>
        <v/>
      </c>
      <c r="M2107" s="2" t="str">
        <f>IF($N2107="","",IF(AND(G2107=0,H2107=0),"수량 없음",IF(G2107=0,"신규 (전년 수량 없음)",IF(H2107=0,"당해 수량 없음",""))))</f>
        <v/>
      </c>
      <c r="N2107" t="str">
        <f>IF($B2107="","",MATCH($B2107,'_calc'!$L$2:$L$3001,0))</f>
        <v/>
      </c>
    </row>
    <row r="2108">
      <c r="B2108" s="24" t="str">
        <f>IF(ROW()-ROW($B$8)&gt;nComp,"",ROW()-ROW($B$8))</f>
        <v/>
      </c>
      <c r="C2108" t="str">
        <f>IF($N2108="","",INDEX('_calc'!$A$2:$A$3001,$N2108))</f>
        <v/>
      </c>
      <c r="D2108" s="25" t="str">
        <f>IF($N2108="","",INDEX('_calc'!$C$2:$C$3001,$N2108))</f>
        <v/>
      </c>
      <c r="E2108" s="25" t="str">
        <f>IF($N2108="","",INDEX('_calc'!$D$2:$D$3001,$N2108))</f>
        <v/>
      </c>
      <c r="F2108" s="26" t="str">
        <f>IF($N2108="","",IF($E$8=0,"",E2108/$E$8))</f>
        <v/>
      </c>
      <c r="G2108" s="25" t="str">
        <f>IF($N2108="","",INDEX('_calc'!$E$2:$E$3001,$N2108))</f>
        <v/>
      </c>
      <c r="H2108" s="25" t="str">
        <f>IF($N2108="","",INDEX('_calc'!$F$2:$F$3001,$N2108))</f>
        <v/>
      </c>
      <c r="I2108" s="27" t="str">
        <f>IF($N2108="","",INDEX('_calc'!$H$2:$H$3001,$N2108))</f>
        <v/>
      </c>
      <c r="J2108" s="27" t="str">
        <f>IF($N2108="","",INDEX('_calc'!$I$2:$I$3001,$N2108))</f>
        <v/>
      </c>
      <c r="K2108" s="28" t="str">
        <f>IF($N2108="","",IF(OR(I2108="",J2108=""),"",J2108-I2108))</f>
        <v/>
      </c>
      <c r="L2108" s="29" t="str">
        <f>IF($N2108="","",INDEX('_calc'!$J$2:$J$3001,$N2108))</f>
        <v/>
      </c>
      <c r="M2108" s="2" t="str">
        <f>IF($N2108="","",IF(AND(G2108=0,H2108=0),"수량 없음",IF(G2108=0,"신규 (전년 수량 없음)",IF(H2108=0,"당해 수량 없음",""))))</f>
        <v/>
      </c>
      <c r="N2108" t="str">
        <f>IF($B2108="","",MATCH($B2108,'_calc'!$L$2:$L$3001,0))</f>
        <v/>
      </c>
    </row>
    <row r="2109">
      <c r="B2109" s="24" t="str">
        <f>IF(ROW()-ROW($B$8)&gt;nComp,"",ROW()-ROW($B$8))</f>
        <v/>
      </c>
      <c r="C2109" t="str">
        <f>IF($N2109="","",INDEX('_calc'!$A$2:$A$3001,$N2109))</f>
        <v/>
      </c>
      <c r="D2109" s="25" t="str">
        <f>IF($N2109="","",INDEX('_calc'!$C$2:$C$3001,$N2109))</f>
        <v/>
      </c>
      <c r="E2109" s="25" t="str">
        <f>IF($N2109="","",INDEX('_calc'!$D$2:$D$3001,$N2109))</f>
        <v/>
      </c>
      <c r="F2109" s="26" t="str">
        <f>IF($N2109="","",IF($E$8=0,"",E2109/$E$8))</f>
        <v/>
      </c>
      <c r="G2109" s="25" t="str">
        <f>IF($N2109="","",INDEX('_calc'!$E$2:$E$3001,$N2109))</f>
        <v/>
      </c>
      <c r="H2109" s="25" t="str">
        <f>IF($N2109="","",INDEX('_calc'!$F$2:$F$3001,$N2109))</f>
        <v/>
      </c>
      <c r="I2109" s="27" t="str">
        <f>IF($N2109="","",INDEX('_calc'!$H$2:$H$3001,$N2109))</f>
        <v/>
      </c>
      <c r="J2109" s="27" t="str">
        <f>IF($N2109="","",INDEX('_calc'!$I$2:$I$3001,$N2109))</f>
        <v/>
      </c>
      <c r="K2109" s="28" t="str">
        <f>IF($N2109="","",IF(OR(I2109="",J2109=""),"",J2109-I2109))</f>
        <v/>
      </c>
      <c r="L2109" s="29" t="str">
        <f>IF($N2109="","",INDEX('_calc'!$J$2:$J$3001,$N2109))</f>
        <v/>
      </c>
      <c r="M2109" s="2" t="str">
        <f>IF($N2109="","",IF(AND(G2109=0,H2109=0),"수량 없음",IF(G2109=0,"신규 (전년 수량 없음)",IF(H2109=0,"당해 수량 없음",""))))</f>
        <v/>
      </c>
      <c r="N2109" t="str">
        <f>IF($B2109="","",MATCH($B2109,'_calc'!$L$2:$L$3001,0))</f>
        <v/>
      </c>
    </row>
    <row r="2110">
      <c r="B2110" s="24" t="str">
        <f>IF(ROW()-ROW($B$8)&gt;nComp,"",ROW()-ROW($B$8))</f>
        <v/>
      </c>
      <c r="C2110" t="str">
        <f>IF($N2110="","",INDEX('_calc'!$A$2:$A$3001,$N2110))</f>
        <v/>
      </c>
      <c r="D2110" s="25" t="str">
        <f>IF($N2110="","",INDEX('_calc'!$C$2:$C$3001,$N2110))</f>
        <v/>
      </c>
      <c r="E2110" s="25" t="str">
        <f>IF($N2110="","",INDEX('_calc'!$D$2:$D$3001,$N2110))</f>
        <v/>
      </c>
      <c r="F2110" s="26" t="str">
        <f>IF($N2110="","",IF($E$8=0,"",E2110/$E$8))</f>
        <v/>
      </c>
      <c r="G2110" s="25" t="str">
        <f>IF($N2110="","",INDEX('_calc'!$E$2:$E$3001,$N2110))</f>
        <v/>
      </c>
      <c r="H2110" s="25" t="str">
        <f>IF($N2110="","",INDEX('_calc'!$F$2:$F$3001,$N2110))</f>
        <v/>
      </c>
      <c r="I2110" s="27" t="str">
        <f>IF($N2110="","",INDEX('_calc'!$H$2:$H$3001,$N2110))</f>
        <v/>
      </c>
      <c r="J2110" s="27" t="str">
        <f>IF($N2110="","",INDEX('_calc'!$I$2:$I$3001,$N2110))</f>
        <v/>
      </c>
      <c r="K2110" s="28" t="str">
        <f>IF($N2110="","",IF(OR(I2110="",J2110=""),"",J2110-I2110))</f>
        <v/>
      </c>
      <c r="L2110" s="29" t="str">
        <f>IF($N2110="","",INDEX('_calc'!$J$2:$J$3001,$N2110))</f>
        <v/>
      </c>
      <c r="M2110" s="2" t="str">
        <f>IF($N2110="","",IF(AND(G2110=0,H2110=0),"수량 없음",IF(G2110=0,"신규 (전년 수량 없음)",IF(H2110=0,"당해 수량 없음",""))))</f>
        <v/>
      </c>
      <c r="N2110" t="str">
        <f>IF($B2110="","",MATCH($B2110,'_calc'!$L$2:$L$3001,0))</f>
        <v/>
      </c>
    </row>
    <row r="2111">
      <c r="B2111" s="24" t="str">
        <f>IF(ROW()-ROW($B$8)&gt;nComp,"",ROW()-ROW($B$8))</f>
        <v/>
      </c>
      <c r="C2111" t="str">
        <f>IF($N2111="","",INDEX('_calc'!$A$2:$A$3001,$N2111))</f>
        <v/>
      </c>
      <c r="D2111" s="25" t="str">
        <f>IF($N2111="","",INDEX('_calc'!$C$2:$C$3001,$N2111))</f>
        <v/>
      </c>
      <c r="E2111" s="25" t="str">
        <f>IF($N2111="","",INDEX('_calc'!$D$2:$D$3001,$N2111))</f>
        <v/>
      </c>
      <c r="F2111" s="26" t="str">
        <f>IF($N2111="","",IF($E$8=0,"",E2111/$E$8))</f>
        <v/>
      </c>
      <c r="G2111" s="25" t="str">
        <f>IF($N2111="","",INDEX('_calc'!$E$2:$E$3001,$N2111))</f>
        <v/>
      </c>
      <c r="H2111" s="25" t="str">
        <f>IF($N2111="","",INDEX('_calc'!$F$2:$F$3001,$N2111))</f>
        <v/>
      </c>
      <c r="I2111" s="27" t="str">
        <f>IF($N2111="","",INDEX('_calc'!$H$2:$H$3001,$N2111))</f>
        <v/>
      </c>
      <c r="J2111" s="27" t="str">
        <f>IF($N2111="","",INDEX('_calc'!$I$2:$I$3001,$N2111))</f>
        <v/>
      </c>
      <c r="K2111" s="28" t="str">
        <f>IF($N2111="","",IF(OR(I2111="",J2111=""),"",J2111-I2111))</f>
        <v/>
      </c>
      <c r="L2111" s="29" t="str">
        <f>IF($N2111="","",INDEX('_calc'!$J$2:$J$3001,$N2111))</f>
        <v/>
      </c>
      <c r="M2111" s="2" t="str">
        <f>IF($N2111="","",IF(AND(G2111=0,H2111=0),"수량 없음",IF(G2111=0,"신규 (전년 수량 없음)",IF(H2111=0,"당해 수량 없음",""))))</f>
        <v/>
      </c>
      <c r="N2111" t="str">
        <f>IF($B2111="","",MATCH($B2111,'_calc'!$L$2:$L$3001,0))</f>
        <v/>
      </c>
    </row>
    <row r="2112">
      <c r="B2112" s="24" t="str">
        <f>IF(ROW()-ROW($B$8)&gt;nComp,"",ROW()-ROW($B$8))</f>
        <v/>
      </c>
      <c r="C2112" t="str">
        <f>IF($N2112="","",INDEX('_calc'!$A$2:$A$3001,$N2112))</f>
        <v/>
      </c>
      <c r="D2112" s="25" t="str">
        <f>IF($N2112="","",INDEX('_calc'!$C$2:$C$3001,$N2112))</f>
        <v/>
      </c>
      <c r="E2112" s="25" t="str">
        <f>IF($N2112="","",INDEX('_calc'!$D$2:$D$3001,$N2112))</f>
        <v/>
      </c>
      <c r="F2112" s="26" t="str">
        <f>IF($N2112="","",IF($E$8=0,"",E2112/$E$8))</f>
        <v/>
      </c>
      <c r="G2112" s="25" t="str">
        <f>IF($N2112="","",INDEX('_calc'!$E$2:$E$3001,$N2112))</f>
        <v/>
      </c>
      <c r="H2112" s="25" t="str">
        <f>IF($N2112="","",INDEX('_calc'!$F$2:$F$3001,$N2112))</f>
        <v/>
      </c>
      <c r="I2112" s="27" t="str">
        <f>IF($N2112="","",INDEX('_calc'!$H$2:$H$3001,$N2112))</f>
        <v/>
      </c>
      <c r="J2112" s="27" t="str">
        <f>IF($N2112="","",INDEX('_calc'!$I$2:$I$3001,$N2112))</f>
        <v/>
      </c>
      <c r="K2112" s="28" t="str">
        <f>IF($N2112="","",IF(OR(I2112="",J2112=""),"",J2112-I2112))</f>
        <v/>
      </c>
      <c r="L2112" s="29" t="str">
        <f>IF($N2112="","",INDEX('_calc'!$J$2:$J$3001,$N2112))</f>
        <v/>
      </c>
      <c r="M2112" s="2" t="str">
        <f>IF($N2112="","",IF(AND(G2112=0,H2112=0),"수량 없음",IF(G2112=0,"신규 (전년 수량 없음)",IF(H2112=0,"당해 수량 없음",""))))</f>
        <v/>
      </c>
      <c r="N2112" t="str">
        <f>IF($B2112="","",MATCH($B2112,'_calc'!$L$2:$L$3001,0))</f>
        <v/>
      </c>
    </row>
    <row r="2113">
      <c r="B2113" s="24" t="str">
        <f>IF(ROW()-ROW($B$8)&gt;nComp,"",ROW()-ROW($B$8))</f>
        <v/>
      </c>
      <c r="C2113" t="str">
        <f>IF($N2113="","",INDEX('_calc'!$A$2:$A$3001,$N2113))</f>
        <v/>
      </c>
      <c r="D2113" s="25" t="str">
        <f>IF($N2113="","",INDEX('_calc'!$C$2:$C$3001,$N2113))</f>
        <v/>
      </c>
      <c r="E2113" s="25" t="str">
        <f>IF($N2113="","",INDEX('_calc'!$D$2:$D$3001,$N2113))</f>
        <v/>
      </c>
      <c r="F2113" s="26" t="str">
        <f>IF($N2113="","",IF($E$8=0,"",E2113/$E$8))</f>
        <v/>
      </c>
      <c r="G2113" s="25" t="str">
        <f>IF($N2113="","",INDEX('_calc'!$E$2:$E$3001,$N2113))</f>
        <v/>
      </c>
      <c r="H2113" s="25" t="str">
        <f>IF($N2113="","",INDEX('_calc'!$F$2:$F$3001,$N2113))</f>
        <v/>
      </c>
      <c r="I2113" s="27" t="str">
        <f>IF($N2113="","",INDEX('_calc'!$H$2:$H$3001,$N2113))</f>
        <v/>
      </c>
      <c r="J2113" s="27" t="str">
        <f>IF($N2113="","",INDEX('_calc'!$I$2:$I$3001,$N2113))</f>
        <v/>
      </c>
      <c r="K2113" s="28" t="str">
        <f>IF($N2113="","",IF(OR(I2113="",J2113=""),"",J2113-I2113))</f>
        <v/>
      </c>
      <c r="L2113" s="29" t="str">
        <f>IF($N2113="","",INDEX('_calc'!$J$2:$J$3001,$N2113))</f>
        <v/>
      </c>
      <c r="M2113" s="2" t="str">
        <f>IF($N2113="","",IF(AND(G2113=0,H2113=0),"수량 없음",IF(G2113=0,"신규 (전년 수량 없음)",IF(H2113=0,"당해 수량 없음",""))))</f>
        <v/>
      </c>
      <c r="N2113" t="str">
        <f>IF($B2113="","",MATCH($B2113,'_calc'!$L$2:$L$3001,0))</f>
        <v/>
      </c>
    </row>
    <row r="2114">
      <c r="B2114" s="24" t="str">
        <f>IF(ROW()-ROW($B$8)&gt;nComp,"",ROW()-ROW($B$8))</f>
        <v/>
      </c>
      <c r="C2114" t="str">
        <f>IF($N2114="","",INDEX('_calc'!$A$2:$A$3001,$N2114))</f>
        <v/>
      </c>
      <c r="D2114" s="25" t="str">
        <f>IF($N2114="","",INDEX('_calc'!$C$2:$C$3001,$N2114))</f>
        <v/>
      </c>
      <c r="E2114" s="25" t="str">
        <f>IF($N2114="","",INDEX('_calc'!$D$2:$D$3001,$N2114))</f>
        <v/>
      </c>
      <c r="F2114" s="26" t="str">
        <f>IF($N2114="","",IF($E$8=0,"",E2114/$E$8))</f>
        <v/>
      </c>
      <c r="G2114" s="25" t="str">
        <f>IF($N2114="","",INDEX('_calc'!$E$2:$E$3001,$N2114))</f>
        <v/>
      </c>
      <c r="H2114" s="25" t="str">
        <f>IF($N2114="","",INDEX('_calc'!$F$2:$F$3001,$N2114))</f>
        <v/>
      </c>
      <c r="I2114" s="27" t="str">
        <f>IF($N2114="","",INDEX('_calc'!$H$2:$H$3001,$N2114))</f>
        <v/>
      </c>
      <c r="J2114" s="27" t="str">
        <f>IF($N2114="","",INDEX('_calc'!$I$2:$I$3001,$N2114))</f>
        <v/>
      </c>
      <c r="K2114" s="28" t="str">
        <f>IF($N2114="","",IF(OR(I2114="",J2114=""),"",J2114-I2114))</f>
        <v/>
      </c>
      <c r="L2114" s="29" t="str">
        <f>IF($N2114="","",INDEX('_calc'!$J$2:$J$3001,$N2114))</f>
        <v/>
      </c>
      <c r="M2114" s="2" t="str">
        <f>IF($N2114="","",IF(AND(G2114=0,H2114=0),"수량 없음",IF(G2114=0,"신규 (전년 수량 없음)",IF(H2114=0,"당해 수량 없음",""))))</f>
        <v/>
      </c>
      <c r="N2114" t="str">
        <f>IF($B2114="","",MATCH($B2114,'_calc'!$L$2:$L$3001,0))</f>
        <v/>
      </c>
    </row>
    <row r="2115">
      <c r="B2115" s="24" t="str">
        <f>IF(ROW()-ROW($B$8)&gt;nComp,"",ROW()-ROW($B$8))</f>
        <v/>
      </c>
      <c r="C2115" t="str">
        <f>IF($N2115="","",INDEX('_calc'!$A$2:$A$3001,$N2115))</f>
        <v/>
      </c>
      <c r="D2115" s="25" t="str">
        <f>IF($N2115="","",INDEX('_calc'!$C$2:$C$3001,$N2115))</f>
        <v/>
      </c>
      <c r="E2115" s="25" t="str">
        <f>IF($N2115="","",INDEX('_calc'!$D$2:$D$3001,$N2115))</f>
        <v/>
      </c>
      <c r="F2115" s="26" t="str">
        <f>IF($N2115="","",IF($E$8=0,"",E2115/$E$8))</f>
        <v/>
      </c>
      <c r="G2115" s="25" t="str">
        <f>IF($N2115="","",INDEX('_calc'!$E$2:$E$3001,$N2115))</f>
        <v/>
      </c>
      <c r="H2115" s="25" t="str">
        <f>IF($N2115="","",INDEX('_calc'!$F$2:$F$3001,$N2115))</f>
        <v/>
      </c>
      <c r="I2115" s="27" t="str">
        <f>IF($N2115="","",INDEX('_calc'!$H$2:$H$3001,$N2115))</f>
        <v/>
      </c>
      <c r="J2115" s="27" t="str">
        <f>IF($N2115="","",INDEX('_calc'!$I$2:$I$3001,$N2115))</f>
        <v/>
      </c>
      <c r="K2115" s="28" t="str">
        <f>IF($N2115="","",IF(OR(I2115="",J2115=""),"",J2115-I2115))</f>
        <v/>
      </c>
      <c r="L2115" s="29" t="str">
        <f>IF($N2115="","",INDEX('_calc'!$J$2:$J$3001,$N2115))</f>
        <v/>
      </c>
      <c r="M2115" s="2" t="str">
        <f>IF($N2115="","",IF(AND(G2115=0,H2115=0),"수량 없음",IF(G2115=0,"신규 (전년 수량 없음)",IF(H2115=0,"당해 수량 없음",""))))</f>
        <v/>
      </c>
      <c r="N2115" t="str">
        <f>IF($B2115="","",MATCH($B2115,'_calc'!$L$2:$L$3001,0))</f>
        <v/>
      </c>
    </row>
    <row r="2116">
      <c r="B2116" s="24" t="str">
        <f>IF(ROW()-ROW($B$8)&gt;nComp,"",ROW()-ROW($B$8))</f>
        <v/>
      </c>
      <c r="C2116" t="str">
        <f>IF($N2116="","",INDEX('_calc'!$A$2:$A$3001,$N2116))</f>
        <v/>
      </c>
      <c r="D2116" s="25" t="str">
        <f>IF($N2116="","",INDEX('_calc'!$C$2:$C$3001,$N2116))</f>
        <v/>
      </c>
      <c r="E2116" s="25" t="str">
        <f>IF($N2116="","",INDEX('_calc'!$D$2:$D$3001,$N2116))</f>
        <v/>
      </c>
      <c r="F2116" s="26" t="str">
        <f>IF($N2116="","",IF($E$8=0,"",E2116/$E$8))</f>
        <v/>
      </c>
      <c r="G2116" s="25" t="str">
        <f>IF($N2116="","",INDEX('_calc'!$E$2:$E$3001,$N2116))</f>
        <v/>
      </c>
      <c r="H2116" s="25" t="str">
        <f>IF($N2116="","",INDEX('_calc'!$F$2:$F$3001,$N2116))</f>
        <v/>
      </c>
      <c r="I2116" s="27" t="str">
        <f>IF($N2116="","",INDEX('_calc'!$H$2:$H$3001,$N2116))</f>
        <v/>
      </c>
      <c r="J2116" s="27" t="str">
        <f>IF($N2116="","",INDEX('_calc'!$I$2:$I$3001,$N2116))</f>
        <v/>
      </c>
      <c r="K2116" s="28" t="str">
        <f>IF($N2116="","",IF(OR(I2116="",J2116=""),"",J2116-I2116))</f>
        <v/>
      </c>
      <c r="L2116" s="29" t="str">
        <f>IF($N2116="","",INDEX('_calc'!$J$2:$J$3001,$N2116))</f>
        <v/>
      </c>
      <c r="M2116" s="2" t="str">
        <f>IF($N2116="","",IF(AND(G2116=0,H2116=0),"수량 없음",IF(G2116=0,"신규 (전년 수량 없음)",IF(H2116=0,"당해 수량 없음",""))))</f>
        <v/>
      </c>
      <c r="N2116" t="str">
        <f>IF($B2116="","",MATCH($B2116,'_calc'!$L$2:$L$3001,0))</f>
        <v/>
      </c>
    </row>
    <row r="2117">
      <c r="B2117" s="24" t="str">
        <f>IF(ROW()-ROW($B$8)&gt;nComp,"",ROW()-ROW($B$8))</f>
        <v/>
      </c>
      <c r="C2117" t="str">
        <f>IF($N2117="","",INDEX('_calc'!$A$2:$A$3001,$N2117))</f>
        <v/>
      </c>
      <c r="D2117" s="25" t="str">
        <f>IF($N2117="","",INDEX('_calc'!$C$2:$C$3001,$N2117))</f>
        <v/>
      </c>
      <c r="E2117" s="25" t="str">
        <f>IF($N2117="","",INDEX('_calc'!$D$2:$D$3001,$N2117))</f>
        <v/>
      </c>
      <c r="F2117" s="26" t="str">
        <f>IF($N2117="","",IF($E$8=0,"",E2117/$E$8))</f>
        <v/>
      </c>
      <c r="G2117" s="25" t="str">
        <f>IF($N2117="","",INDEX('_calc'!$E$2:$E$3001,$N2117))</f>
        <v/>
      </c>
      <c r="H2117" s="25" t="str">
        <f>IF($N2117="","",INDEX('_calc'!$F$2:$F$3001,$N2117))</f>
        <v/>
      </c>
      <c r="I2117" s="27" t="str">
        <f>IF($N2117="","",INDEX('_calc'!$H$2:$H$3001,$N2117))</f>
        <v/>
      </c>
      <c r="J2117" s="27" t="str">
        <f>IF($N2117="","",INDEX('_calc'!$I$2:$I$3001,$N2117))</f>
        <v/>
      </c>
      <c r="K2117" s="28" t="str">
        <f>IF($N2117="","",IF(OR(I2117="",J2117=""),"",J2117-I2117))</f>
        <v/>
      </c>
      <c r="L2117" s="29" t="str">
        <f>IF($N2117="","",INDEX('_calc'!$J$2:$J$3001,$N2117))</f>
        <v/>
      </c>
      <c r="M2117" s="2" t="str">
        <f>IF($N2117="","",IF(AND(G2117=0,H2117=0),"수량 없음",IF(G2117=0,"신규 (전년 수량 없음)",IF(H2117=0,"당해 수량 없음",""))))</f>
        <v/>
      </c>
      <c r="N2117" t="str">
        <f>IF($B2117="","",MATCH($B2117,'_calc'!$L$2:$L$3001,0))</f>
        <v/>
      </c>
    </row>
    <row r="2118">
      <c r="B2118" s="24" t="str">
        <f>IF(ROW()-ROW($B$8)&gt;nComp,"",ROW()-ROW($B$8))</f>
        <v/>
      </c>
      <c r="C2118" t="str">
        <f>IF($N2118="","",INDEX('_calc'!$A$2:$A$3001,$N2118))</f>
        <v/>
      </c>
      <c r="D2118" s="25" t="str">
        <f>IF($N2118="","",INDEX('_calc'!$C$2:$C$3001,$N2118))</f>
        <v/>
      </c>
      <c r="E2118" s="25" t="str">
        <f>IF($N2118="","",INDEX('_calc'!$D$2:$D$3001,$N2118))</f>
        <v/>
      </c>
      <c r="F2118" s="26" t="str">
        <f>IF($N2118="","",IF($E$8=0,"",E2118/$E$8))</f>
        <v/>
      </c>
      <c r="G2118" s="25" t="str">
        <f>IF($N2118="","",INDEX('_calc'!$E$2:$E$3001,$N2118))</f>
        <v/>
      </c>
      <c r="H2118" s="25" t="str">
        <f>IF($N2118="","",INDEX('_calc'!$F$2:$F$3001,$N2118))</f>
        <v/>
      </c>
      <c r="I2118" s="27" t="str">
        <f>IF($N2118="","",INDEX('_calc'!$H$2:$H$3001,$N2118))</f>
        <v/>
      </c>
      <c r="J2118" s="27" t="str">
        <f>IF($N2118="","",INDEX('_calc'!$I$2:$I$3001,$N2118))</f>
        <v/>
      </c>
      <c r="K2118" s="28" t="str">
        <f>IF($N2118="","",IF(OR(I2118="",J2118=""),"",J2118-I2118))</f>
        <v/>
      </c>
      <c r="L2118" s="29" t="str">
        <f>IF($N2118="","",INDEX('_calc'!$J$2:$J$3001,$N2118))</f>
        <v/>
      </c>
      <c r="M2118" s="2" t="str">
        <f>IF($N2118="","",IF(AND(G2118=0,H2118=0),"수량 없음",IF(G2118=0,"신규 (전년 수량 없음)",IF(H2118=0,"당해 수량 없음",""))))</f>
        <v/>
      </c>
      <c r="N2118" t="str">
        <f>IF($B2118="","",MATCH($B2118,'_calc'!$L$2:$L$3001,0))</f>
        <v/>
      </c>
    </row>
    <row r="2119">
      <c r="B2119" s="24" t="str">
        <f>IF(ROW()-ROW($B$8)&gt;nComp,"",ROW()-ROW($B$8))</f>
        <v/>
      </c>
      <c r="C2119" t="str">
        <f>IF($N2119="","",INDEX('_calc'!$A$2:$A$3001,$N2119))</f>
        <v/>
      </c>
      <c r="D2119" s="25" t="str">
        <f>IF($N2119="","",INDEX('_calc'!$C$2:$C$3001,$N2119))</f>
        <v/>
      </c>
      <c r="E2119" s="25" t="str">
        <f>IF($N2119="","",INDEX('_calc'!$D$2:$D$3001,$N2119))</f>
        <v/>
      </c>
      <c r="F2119" s="26" t="str">
        <f>IF($N2119="","",IF($E$8=0,"",E2119/$E$8))</f>
        <v/>
      </c>
      <c r="G2119" s="25" t="str">
        <f>IF($N2119="","",INDEX('_calc'!$E$2:$E$3001,$N2119))</f>
        <v/>
      </c>
      <c r="H2119" s="25" t="str">
        <f>IF($N2119="","",INDEX('_calc'!$F$2:$F$3001,$N2119))</f>
        <v/>
      </c>
      <c r="I2119" s="27" t="str">
        <f>IF($N2119="","",INDEX('_calc'!$H$2:$H$3001,$N2119))</f>
        <v/>
      </c>
      <c r="J2119" s="27" t="str">
        <f>IF($N2119="","",INDEX('_calc'!$I$2:$I$3001,$N2119))</f>
        <v/>
      </c>
      <c r="K2119" s="28" t="str">
        <f>IF($N2119="","",IF(OR(I2119="",J2119=""),"",J2119-I2119))</f>
        <v/>
      </c>
      <c r="L2119" s="29" t="str">
        <f>IF($N2119="","",INDEX('_calc'!$J$2:$J$3001,$N2119))</f>
        <v/>
      </c>
      <c r="M2119" s="2" t="str">
        <f>IF($N2119="","",IF(AND(G2119=0,H2119=0),"수량 없음",IF(G2119=0,"신규 (전년 수량 없음)",IF(H2119=0,"당해 수량 없음",""))))</f>
        <v/>
      </c>
      <c r="N2119" t="str">
        <f>IF($B2119="","",MATCH($B2119,'_calc'!$L$2:$L$3001,0))</f>
        <v/>
      </c>
    </row>
    <row r="2120">
      <c r="B2120" s="24" t="str">
        <f>IF(ROW()-ROW($B$8)&gt;nComp,"",ROW()-ROW($B$8))</f>
        <v/>
      </c>
      <c r="C2120" t="str">
        <f>IF($N2120="","",INDEX('_calc'!$A$2:$A$3001,$N2120))</f>
        <v/>
      </c>
      <c r="D2120" s="25" t="str">
        <f>IF($N2120="","",INDEX('_calc'!$C$2:$C$3001,$N2120))</f>
        <v/>
      </c>
      <c r="E2120" s="25" t="str">
        <f>IF($N2120="","",INDEX('_calc'!$D$2:$D$3001,$N2120))</f>
        <v/>
      </c>
      <c r="F2120" s="26" t="str">
        <f>IF($N2120="","",IF($E$8=0,"",E2120/$E$8))</f>
        <v/>
      </c>
      <c r="G2120" s="25" t="str">
        <f>IF($N2120="","",INDEX('_calc'!$E$2:$E$3001,$N2120))</f>
        <v/>
      </c>
      <c r="H2120" s="25" t="str">
        <f>IF($N2120="","",INDEX('_calc'!$F$2:$F$3001,$N2120))</f>
        <v/>
      </c>
      <c r="I2120" s="27" t="str">
        <f>IF($N2120="","",INDEX('_calc'!$H$2:$H$3001,$N2120))</f>
        <v/>
      </c>
      <c r="J2120" s="27" t="str">
        <f>IF($N2120="","",INDEX('_calc'!$I$2:$I$3001,$N2120))</f>
        <v/>
      </c>
      <c r="K2120" s="28" t="str">
        <f>IF($N2120="","",IF(OR(I2120="",J2120=""),"",J2120-I2120))</f>
        <v/>
      </c>
      <c r="L2120" s="29" t="str">
        <f>IF($N2120="","",INDEX('_calc'!$J$2:$J$3001,$N2120))</f>
        <v/>
      </c>
      <c r="M2120" s="2" t="str">
        <f>IF($N2120="","",IF(AND(G2120=0,H2120=0),"수량 없음",IF(G2120=0,"신규 (전년 수량 없음)",IF(H2120=0,"당해 수량 없음",""))))</f>
        <v/>
      </c>
      <c r="N2120" t="str">
        <f>IF($B2120="","",MATCH($B2120,'_calc'!$L$2:$L$3001,0))</f>
        <v/>
      </c>
    </row>
    <row r="2121">
      <c r="B2121" s="24" t="str">
        <f>IF(ROW()-ROW($B$8)&gt;nComp,"",ROW()-ROW($B$8))</f>
        <v/>
      </c>
      <c r="C2121" t="str">
        <f>IF($N2121="","",INDEX('_calc'!$A$2:$A$3001,$N2121))</f>
        <v/>
      </c>
      <c r="D2121" s="25" t="str">
        <f>IF($N2121="","",INDEX('_calc'!$C$2:$C$3001,$N2121))</f>
        <v/>
      </c>
      <c r="E2121" s="25" t="str">
        <f>IF($N2121="","",INDEX('_calc'!$D$2:$D$3001,$N2121))</f>
        <v/>
      </c>
      <c r="F2121" s="26" t="str">
        <f>IF($N2121="","",IF($E$8=0,"",E2121/$E$8))</f>
        <v/>
      </c>
      <c r="G2121" s="25" t="str">
        <f>IF($N2121="","",INDEX('_calc'!$E$2:$E$3001,$N2121))</f>
        <v/>
      </c>
      <c r="H2121" s="25" t="str">
        <f>IF($N2121="","",INDEX('_calc'!$F$2:$F$3001,$N2121))</f>
        <v/>
      </c>
      <c r="I2121" s="27" t="str">
        <f>IF($N2121="","",INDEX('_calc'!$H$2:$H$3001,$N2121))</f>
        <v/>
      </c>
      <c r="J2121" s="27" t="str">
        <f>IF($N2121="","",INDEX('_calc'!$I$2:$I$3001,$N2121))</f>
        <v/>
      </c>
      <c r="K2121" s="28" t="str">
        <f>IF($N2121="","",IF(OR(I2121="",J2121=""),"",J2121-I2121))</f>
        <v/>
      </c>
      <c r="L2121" s="29" t="str">
        <f>IF($N2121="","",INDEX('_calc'!$J$2:$J$3001,$N2121))</f>
        <v/>
      </c>
      <c r="M2121" s="2" t="str">
        <f>IF($N2121="","",IF(AND(G2121=0,H2121=0),"수량 없음",IF(G2121=0,"신규 (전년 수량 없음)",IF(H2121=0,"당해 수량 없음",""))))</f>
        <v/>
      </c>
      <c r="N2121" t="str">
        <f>IF($B2121="","",MATCH($B2121,'_calc'!$L$2:$L$3001,0))</f>
        <v/>
      </c>
    </row>
    <row r="2122">
      <c r="B2122" s="24" t="str">
        <f>IF(ROW()-ROW($B$8)&gt;nComp,"",ROW()-ROW($B$8))</f>
        <v/>
      </c>
      <c r="C2122" t="str">
        <f>IF($N2122="","",INDEX('_calc'!$A$2:$A$3001,$N2122))</f>
        <v/>
      </c>
      <c r="D2122" s="25" t="str">
        <f>IF($N2122="","",INDEX('_calc'!$C$2:$C$3001,$N2122))</f>
        <v/>
      </c>
      <c r="E2122" s="25" t="str">
        <f>IF($N2122="","",INDEX('_calc'!$D$2:$D$3001,$N2122))</f>
        <v/>
      </c>
      <c r="F2122" s="26" t="str">
        <f>IF($N2122="","",IF($E$8=0,"",E2122/$E$8))</f>
        <v/>
      </c>
      <c r="G2122" s="25" t="str">
        <f>IF($N2122="","",INDEX('_calc'!$E$2:$E$3001,$N2122))</f>
        <v/>
      </c>
      <c r="H2122" s="25" t="str">
        <f>IF($N2122="","",INDEX('_calc'!$F$2:$F$3001,$N2122))</f>
        <v/>
      </c>
      <c r="I2122" s="27" t="str">
        <f>IF($N2122="","",INDEX('_calc'!$H$2:$H$3001,$N2122))</f>
        <v/>
      </c>
      <c r="J2122" s="27" t="str">
        <f>IF($N2122="","",INDEX('_calc'!$I$2:$I$3001,$N2122))</f>
        <v/>
      </c>
      <c r="K2122" s="28" t="str">
        <f>IF($N2122="","",IF(OR(I2122="",J2122=""),"",J2122-I2122))</f>
        <v/>
      </c>
      <c r="L2122" s="29" t="str">
        <f>IF($N2122="","",INDEX('_calc'!$J$2:$J$3001,$N2122))</f>
        <v/>
      </c>
      <c r="M2122" s="2" t="str">
        <f>IF($N2122="","",IF(AND(G2122=0,H2122=0),"수량 없음",IF(G2122=0,"신규 (전년 수량 없음)",IF(H2122=0,"당해 수량 없음",""))))</f>
        <v/>
      </c>
      <c r="N2122" t="str">
        <f>IF($B2122="","",MATCH($B2122,'_calc'!$L$2:$L$3001,0))</f>
        <v/>
      </c>
    </row>
    <row r="2123">
      <c r="B2123" s="24" t="str">
        <f>IF(ROW()-ROW($B$8)&gt;nComp,"",ROW()-ROW($B$8))</f>
        <v/>
      </c>
      <c r="C2123" t="str">
        <f>IF($N2123="","",INDEX('_calc'!$A$2:$A$3001,$N2123))</f>
        <v/>
      </c>
      <c r="D2123" s="25" t="str">
        <f>IF($N2123="","",INDEX('_calc'!$C$2:$C$3001,$N2123))</f>
        <v/>
      </c>
      <c r="E2123" s="25" t="str">
        <f>IF($N2123="","",INDEX('_calc'!$D$2:$D$3001,$N2123))</f>
        <v/>
      </c>
      <c r="F2123" s="26" t="str">
        <f>IF($N2123="","",IF($E$8=0,"",E2123/$E$8))</f>
        <v/>
      </c>
      <c r="G2123" s="25" t="str">
        <f>IF($N2123="","",INDEX('_calc'!$E$2:$E$3001,$N2123))</f>
        <v/>
      </c>
      <c r="H2123" s="25" t="str">
        <f>IF($N2123="","",INDEX('_calc'!$F$2:$F$3001,$N2123))</f>
        <v/>
      </c>
      <c r="I2123" s="27" t="str">
        <f>IF($N2123="","",INDEX('_calc'!$H$2:$H$3001,$N2123))</f>
        <v/>
      </c>
      <c r="J2123" s="27" t="str">
        <f>IF($N2123="","",INDEX('_calc'!$I$2:$I$3001,$N2123))</f>
        <v/>
      </c>
      <c r="K2123" s="28" t="str">
        <f>IF($N2123="","",IF(OR(I2123="",J2123=""),"",J2123-I2123))</f>
        <v/>
      </c>
      <c r="L2123" s="29" t="str">
        <f>IF($N2123="","",INDEX('_calc'!$J$2:$J$3001,$N2123))</f>
        <v/>
      </c>
      <c r="M2123" s="2" t="str">
        <f>IF($N2123="","",IF(AND(G2123=0,H2123=0),"수량 없음",IF(G2123=0,"신규 (전년 수량 없음)",IF(H2123=0,"당해 수량 없음",""))))</f>
        <v/>
      </c>
      <c r="N2123" t="str">
        <f>IF($B2123="","",MATCH($B2123,'_calc'!$L$2:$L$3001,0))</f>
        <v/>
      </c>
    </row>
    <row r="2124">
      <c r="B2124" s="24" t="str">
        <f>IF(ROW()-ROW($B$8)&gt;nComp,"",ROW()-ROW($B$8))</f>
        <v/>
      </c>
      <c r="C2124" t="str">
        <f>IF($N2124="","",INDEX('_calc'!$A$2:$A$3001,$N2124))</f>
        <v/>
      </c>
      <c r="D2124" s="25" t="str">
        <f>IF($N2124="","",INDEX('_calc'!$C$2:$C$3001,$N2124))</f>
        <v/>
      </c>
      <c r="E2124" s="25" t="str">
        <f>IF($N2124="","",INDEX('_calc'!$D$2:$D$3001,$N2124))</f>
        <v/>
      </c>
      <c r="F2124" s="26" t="str">
        <f>IF($N2124="","",IF($E$8=0,"",E2124/$E$8))</f>
        <v/>
      </c>
      <c r="G2124" s="25" t="str">
        <f>IF($N2124="","",INDEX('_calc'!$E$2:$E$3001,$N2124))</f>
        <v/>
      </c>
      <c r="H2124" s="25" t="str">
        <f>IF($N2124="","",INDEX('_calc'!$F$2:$F$3001,$N2124))</f>
        <v/>
      </c>
      <c r="I2124" s="27" t="str">
        <f>IF($N2124="","",INDEX('_calc'!$H$2:$H$3001,$N2124))</f>
        <v/>
      </c>
      <c r="J2124" s="27" t="str">
        <f>IF($N2124="","",INDEX('_calc'!$I$2:$I$3001,$N2124))</f>
        <v/>
      </c>
      <c r="K2124" s="28" t="str">
        <f>IF($N2124="","",IF(OR(I2124="",J2124=""),"",J2124-I2124))</f>
        <v/>
      </c>
      <c r="L2124" s="29" t="str">
        <f>IF($N2124="","",INDEX('_calc'!$J$2:$J$3001,$N2124))</f>
        <v/>
      </c>
      <c r="M2124" s="2" t="str">
        <f>IF($N2124="","",IF(AND(G2124=0,H2124=0),"수량 없음",IF(G2124=0,"신규 (전년 수량 없음)",IF(H2124=0,"당해 수량 없음",""))))</f>
        <v/>
      </c>
      <c r="N2124" t="str">
        <f>IF($B2124="","",MATCH($B2124,'_calc'!$L$2:$L$3001,0))</f>
        <v/>
      </c>
    </row>
    <row r="2125">
      <c r="B2125" s="24" t="str">
        <f>IF(ROW()-ROW($B$8)&gt;nComp,"",ROW()-ROW($B$8))</f>
        <v/>
      </c>
      <c r="C2125" t="str">
        <f>IF($N2125="","",INDEX('_calc'!$A$2:$A$3001,$N2125))</f>
        <v/>
      </c>
      <c r="D2125" s="25" t="str">
        <f>IF($N2125="","",INDEX('_calc'!$C$2:$C$3001,$N2125))</f>
        <v/>
      </c>
      <c r="E2125" s="25" t="str">
        <f>IF($N2125="","",INDEX('_calc'!$D$2:$D$3001,$N2125))</f>
        <v/>
      </c>
      <c r="F2125" s="26" t="str">
        <f>IF($N2125="","",IF($E$8=0,"",E2125/$E$8))</f>
        <v/>
      </c>
      <c r="G2125" s="25" t="str">
        <f>IF($N2125="","",INDEX('_calc'!$E$2:$E$3001,$N2125))</f>
        <v/>
      </c>
      <c r="H2125" s="25" t="str">
        <f>IF($N2125="","",INDEX('_calc'!$F$2:$F$3001,$N2125))</f>
        <v/>
      </c>
      <c r="I2125" s="27" t="str">
        <f>IF($N2125="","",INDEX('_calc'!$H$2:$H$3001,$N2125))</f>
        <v/>
      </c>
      <c r="J2125" s="27" t="str">
        <f>IF($N2125="","",INDEX('_calc'!$I$2:$I$3001,$N2125))</f>
        <v/>
      </c>
      <c r="K2125" s="28" t="str">
        <f>IF($N2125="","",IF(OR(I2125="",J2125=""),"",J2125-I2125))</f>
        <v/>
      </c>
      <c r="L2125" s="29" t="str">
        <f>IF($N2125="","",INDEX('_calc'!$J$2:$J$3001,$N2125))</f>
        <v/>
      </c>
      <c r="M2125" s="2" t="str">
        <f>IF($N2125="","",IF(AND(G2125=0,H2125=0),"수량 없음",IF(G2125=0,"신규 (전년 수량 없음)",IF(H2125=0,"당해 수량 없음",""))))</f>
        <v/>
      </c>
      <c r="N2125" t="str">
        <f>IF($B2125="","",MATCH($B2125,'_calc'!$L$2:$L$3001,0))</f>
        <v/>
      </c>
    </row>
    <row r="2126">
      <c r="B2126" s="24" t="str">
        <f>IF(ROW()-ROW($B$8)&gt;nComp,"",ROW()-ROW($B$8))</f>
        <v/>
      </c>
      <c r="C2126" t="str">
        <f>IF($N2126="","",INDEX('_calc'!$A$2:$A$3001,$N2126))</f>
        <v/>
      </c>
      <c r="D2126" s="25" t="str">
        <f>IF($N2126="","",INDEX('_calc'!$C$2:$C$3001,$N2126))</f>
        <v/>
      </c>
      <c r="E2126" s="25" t="str">
        <f>IF($N2126="","",INDEX('_calc'!$D$2:$D$3001,$N2126))</f>
        <v/>
      </c>
      <c r="F2126" s="26" t="str">
        <f>IF($N2126="","",IF($E$8=0,"",E2126/$E$8))</f>
        <v/>
      </c>
      <c r="G2126" s="25" t="str">
        <f>IF($N2126="","",INDEX('_calc'!$E$2:$E$3001,$N2126))</f>
        <v/>
      </c>
      <c r="H2126" s="25" t="str">
        <f>IF($N2126="","",INDEX('_calc'!$F$2:$F$3001,$N2126))</f>
        <v/>
      </c>
      <c r="I2126" s="27" t="str">
        <f>IF($N2126="","",INDEX('_calc'!$H$2:$H$3001,$N2126))</f>
        <v/>
      </c>
      <c r="J2126" s="27" t="str">
        <f>IF($N2126="","",INDEX('_calc'!$I$2:$I$3001,$N2126))</f>
        <v/>
      </c>
      <c r="K2126" s="28" t="str">
        <f>IF($N2126="","",IF(OR(I2126="",J2126=""),"",J2126-I2126))</f>
        <v/>
      </c>
      <c r="L2126" s="29" t="str">
        <f>IF($N2126="","",INDEX('_calc'!$J$2:$J$3001,$N2126))</f>
        <v/>
      </c>
      <c r="M2126" s="2" t="str">
        <f>IF($N2126="","",IF(AND(G2126=0,H2126=0),"수량 없음",IF(G2126=0,"신규 (전년 수량 없음)",IF(H2126=0,"당해 수량 없음",""))))</f>
        <v/>
      </c>
      <c r="N2126" t="str">
        <f>IF($B2126="","",MATCH($B2126,'_calc'!$L$2:$L$3001,0))</f>
        <v/>
      </c>
    </row>
    <row r="2127">
      <c r="B2127" s="24" t="str">
        <f>IF(ROW()-ROW($B$8)&gt;nComp,"",ROW()-ROW($B$8))</f>
        <v/>
      </c>
      <c r="C2127" t="str">
        <f>IF($N2127="","",INDEX('_calc'!$A$2:$A$3001,$N2127))</f>
        <v/>
      </c>
      <c r="D2127" s="25" t="str">
        <f>IF($N2127="","",INDEX('_calc'!$C$2:$C$3001,$N2127))</f>
        <v/>
      </c>
      <c r="E2127" s="25" t="str">
        <f>IF($N2127="","",INDEX('_calc'!$D$2:$D$3001,$N2127))</f>
        <v/>
      </c>
      <c r="F2127" s="26" t="str">
        <f>IF($N2127="","",IF($E$8=0,"",E2127/$E$8))</f>
        <v/>
      </c>
      <c r="G2127" s="25" t="str">
        <f>IF($N2127="","",INDEX('_calc'!$E$2:$E$3001,$N2127))</f>
        <v/>
      </c>
      <c r="H2127" s="25" t="str">
        <f>IF($N2127="","",INDEX('_calc'!$F$2:$F$3001,$N2127))</f>
        <v/>
      </c>
      <c r="I2127" s="27" t="str">
        <f>IF($N2127="","",INDEX('_calc'!$H$2:$H$3001,$N2127))</f>
        <v/>
      </c>
      <c r="J2127" s="27" t="str">
        <f>IF($N2127="","",INDEX('_calc'!$I$2:$I$3001,$N2127))</f>
        <v/>
      </c>
      <c r="K2127" s="28" t="str">
        <f>IF($N2127="","",IF(OR(I2127="",J2127=""),"",J2127-I2127))</f>
        <v/>
      </c>
      <c r="L2127" s="29" t="str">
        <f>IF($N2127="","",INDEX('_calc'!$J$2:$J$3001,$N2127))</f>
        <v/>
      </c>
      <c r="M2127" s="2" t="str">
        <f>IF($N2127="","",IF(AND(G2127=0,H2127=0),"수량 없음",IF(G2127=0,"신규 (전년 수량 없음)",IF(H2127=0,"당해 수량 없음",""))))</f>
        <v/>
      </c>
      <c r="N2127" t="str">
        <f>IF($B2127="","",MATCH($B2127,'_calc'!$L$2:$L$3001,0))</f>
        <v/>
      </c>
    </row>
    <row r="2128">
      <c r="B2128" s="24" t="str">
        <f>IF(ROW()-ROW($B$8)&gt;nComp,"",ROW()-ROW($B$8))</f>
        <v/>
      </c>
      <c r="C2128" t="str">
        <f>IF($N2128="","",INDEX('_calc'!$A$2:$A$3001,$N2128))</f>
        <v/>
      </c>
      <c r="D2128" s="25" t="str">
        <f>IF($N2128="","",INDEX('_calc'!$C$2:$C$3001,$N2128))</f>
        <v/>
      </c>
      <c r="E2128" s="25" t="str">
        <f>IF($N2128="","",INDEX('_calc'!$D$2:$D$3001,$N2128))</f>
        <v/>
      </c>
      <c r="F2128" s="26" t="str">
        <f>IF($N2128="","",IF($E$8=0,"",E2128/$E$8))</f>
        <v/>
      </c>
      <c r="G2128" s="25" t="str">
        <f>IF($N2128="","",INDEX('_calc'!$E$2:$E$3001,$N2128))</f>
        <v/>
      </c>
      <c r="H2128" s="25" t="str">
        <f>IF($N2128="","",INDEX('_calc'!$F$2:$F$3001,$N2128))</f>
        <v/>
      </c>
      <c r="I2128" s="27" t="str">
        <f>IF($N2128="","",INDEX('_calc'!$H$2:$H$3001,$N2128))</f>
        <v/>
      </c>
      <c r="J2128" s="27" t="str">
        <f>IF($N2128="","",INDEX('_calc'!$I$2:$I$3001,$N2128))</f>
        <v/>
      </c>
      <c r="K2128" s="28" t="str">
        <f>IF($N2128="","",IF(OR(I2128="",J2128=""),"",J2128-I2128))</f>
        <v/>
      </c>
      <c r="L2128" s="29" t="str">
        <f>IF($N2128="","",INDEX('_calc'!$J$2:$J$3001,$N2128))</f>
        <v/>
      </c>
      <c r="M2128" s="2" t="str">
        <f>IF($N2128="","",IF(AND(G2128=0,H2128=0),"수량 없음",IF(G2128=0,"신규 (전년 수량 없음)",IF(H2128=0,"당해 수량 없음",""))))</f>
        <v/>
      </c>
      <c r="N2128" t="str">
        <f>IF($B2128="","",MATCH($B2128,'_calc'!$L$2:$L$3001,0))</f>
        <v/>
      </c>
    </row>
    <row r="2129">
      <c r="B2129" s="24" t="str">
        <f>IF(ROW()-ROW($B$8)&gt;nComp,"",ROW()-ROW($B$8))</f>
        <v/>
      </c>
      <c r="C2129" t="str">
        <f>IF($N2129="","",INDEX('_calc'!$A$2:$A$3001,$N2129))</f>
        <v/>
      </c>
      <c r="D2129" s="25" t="str">
        <f>IF($N2129="","",INDEX('_calc'!$C$2:$C$3001,$N2129))</f>
        <v/>
      </c>
      <c r="E2129" s="25" t="str">
        <f>IF($N2129="","",INDEX('_calc'!$D$2:$D$3001,$N2129))</f>
        <v/>
      </c>
      <c r="F2129" s="26" t="str">
        <f>IF($N2129="","",IF($E$8=0,"",E2129/$E$8))</f>
        <v/>
      </c>
      <c r="G2129" s="25" t="str">
        <f>IF($N2129="","",INDEX('_calc'!$E$2:$E$3001,$N2129))</f>
        <v/>
      </c>
      <c r="H2129" s="25" t="str">
        <f>IF($N2129="","",INDEX('_calc'!$F$2:$F$3001,$N2129))</f>
        <v/>
      </c>
      <c r="I2129" s="27" t="str">
        <f>IF($N2129="","",INDEX('_calc'!$H$2:$H$3001,$N2129))</f>
        <v/>
      </c>
      <c r="J2129" s="27" t="str">
        <f>IF($N2129="","",INDEX('_calc'!$I$2:$I$3001,$N2129))</f>
        <v/>
      </c>
      <c r="K2129" s="28" t="str">
        <f>IF($N2129="","",IF(OR(I2129="",J2129=""),"",J2129-I2129))</f>
        <v/>
      </c>
      <c r="L2129" s="29" t="str">
        <f>IF($N2129="","",INDEX('_calc'!$J$2:$J$3001,$N2129))</f>
        <v/>
      </c>
      <c r="M2129" s="2" t="str">
        <f>IF($N2129="","",IF(AND(G2129=0,H2129=0),"수량 없음",IF(G2129=0,"신규 (전년 수량 없음)",IF(H2129=0,"당해 수량 없음",""))))</f>
        <v/>
      </c>
      <c r="N2129" t="str">
        <f>IF($B2129="","",MATCH($B2129,'_calc'!$L$2:$L$3001,0))</f>
        <v/>
      </c>
    </row>
    <row r="2130">
      <c r="B2130" s="24" t="str">
        <f>IF(ROW()-ROW($B$8)&gt;nComp,"",ROW()-ROW($B$8))</f>
        <v/>
      </c>
      <c r="C2130" t="str">
        <f>IF($N2130="","",INDEX('_calc'!$A$2:$A$3001,$N2130))</f>
        <v/>
      </c>
      <c r="D2130" s="25" t="str">
        <f>IF($N2130="","",INDEX('_calc'!$C$2:$C$3001,$N2130))</f>
        <v/>
      </c>
      <c r="E2130" s="25" t="str">
        <f>IF($N2130="","",INDEX('_calc'!$D$2:$D$3001,$N2130))</f>
        <v/>
      </c>
      <c r="F2130" s="26" t="str">
        <f>IF($N2130="","",IF($E$8=0,"",E2130/$E$8))</f>
        <v/>
      </c>
      <c r="G2130" s="25" t="str">
        <f>IF($N2130="","",INDEX('_calc'!$E$2:$E$3001,$N2130))</f>
        <v/>
      </c>
      <c r="H2130" s="25" t="str">
        <f>IF($N2130="","",INDEX('_calc'!$F$2:$F$3001,$N2130))</f>
        <v/>
      </c>
      <c r="I2130" s="27" t="str">
        <f>IF($N2130="","",INDEX('_calc'!$H$2:$H$3001,$N2130))</f>
        <v/>
      </c>
      <c r="J2130" s="27" t="str">
        <f>IF($N2130="","",INDEX('_calc'!$I$2:$I$3001,$N2130))</f>
        <v/>
      </c>
      <c r="K2130" s="28" t="str">
        <f>IF($N2130="","",IF(OR(I2130="",J2130=""),"",J2130-I2130))</f>
        <v/>
      </c>
      <c r="L2130" s="29" t="str">
        <f>IF($N2130="","",INDEX('_calc'!$J$2:$J$3001,$N2130))</f>
        <v/>
      </c>
      <c r="M2130" s="2" t="str">
        <f>IF($N2130="","",IF(AND(G2130=0,H2130=0),"수량 없음",IF(G2130=0,"신규 (전년 수량 없음)",IF(H2130=0,"당해 수량 없음",""))))</f>
        <v/>
      </c>
      <c r="N2130" t="str">
        <f>IF($B2130="","",MATCH($B2130,'_calc'!$L$2:$L$3001,0))</f>
        <v/>
      </c>
    </row>
    <row r="2131">
      <c r="B2131" s="24" t="str">
        <f>IF(ROW()-ROW($B$8)&gt;nComp,"",ROW()-ROW($B$8))</f>
        <v/>
      </c>
      <c r="C2131" t="str">
        <f>IF($N2131="","",INDEX('_calc'!$A$2:$A$3001,$N2131))</f>
        <v/>
      </c>
      <c r="D2131" s="25" t="str">
        <f>IF($N2131="","",INDEX('_calc'!$C$2:$C$3001,$N2131))</f>
        <v/>
      </c>
      <c r="E2131" s="25" t="str">
        <f>IF($N2131="","",INDEX('_calc'!$D$2:$D$3001,$N2131))</f>
        <v/>
      </c>
      <c r="F2131" s="26" t="str">
        <f>IF($N2131="","",IF($E$8=0,"",E2131/$E$8))</f>
        <v/>
      </c>
      <c r="G2131" s="25" t="str">
        <f>IF($N2131="","",INDEX('_calc'!$E$2:$E$3001,$N2131))</f>
        <v/>
      </c>
      <c r="H2131" s="25" t="str">
        <f>IF($N2131="","",INDEX('_calc'!$F$2:$F$3001,$N2131))</f>
        <v/>
      </c>
      <c r="I2131" s="27" t="str">
        <f>IF($N2131="","",INDEX('_calc'!$H$2:$H$3001,$N2131))</f>
        <v/>
      </c>
      <c r="J2131" s="27" t="str">
        <f>IF($N2131="","",INDEX('_calc'!$I$2:$I$3001,$N2131))</f>
        <v/>
      </c>
      <c r="K2131" s="28" t="str">
        <f>IF($N2131="","",IF(OR(I2131="",J2131=""),"",J2131-I2131))</f>
        <v/>
      </c>
      <c r="L2131" s="29" t="str">
        <f>IF($N2131="","",INDEX('_calc'!$J$2:$J$3001,$N2131))</f>
        <v/>
      </c>
      <c r="M2131" s="2" t="str">
        <f>IF($N2131="","",IF(AND(G2131=0,H2131=0),"수량 없음",IF(G2131=0,"신규 (전년 수량 없음)",IF(H2131=0,"당해 수량 없음",""))))</f>
        <v/>
      </c>
      <c r="N2131" t="str">
        <f>IF($B2131="","",MATCH($B2131,'_calc'!$L$2:$L$3001,0))</f>
        <v/>
      </c>
    </row>
    <row r="2132">
      <c r="B2132" s="24" t="str">
        <f>IF(ROW()-ROW($B$8)&gt;nComp,"",ROW()-ROW($B$8))</f>
        <v/>
      </c>
      <c r="C2132" t="str">
        <f>IF($N2132="","",INDEX('_calc'!$A$2:$A$3001,$N2132))</f>
        <v/>
      </c>
      <c r="D2132" s="25" t="str">
        <f>IF($N2132="","",INDEX('_calc'!$C$2:$C$3001,$N2132))</f>
        <v/>
      </c>
      <c r="E2132" s="25" t="str">
        <f>IF($N2132="","",INDEX('_calc'!$D$2:$D$3001,$N2132))</f>
        <v/>
      </c>
      <c r="F2132" s="26" t="str">
        <f>IF($N2132="","",IF($E$8=0,"",E2132/$E$8))</f>
        <v/>
      </c>
      <c r="G2132" s="25" t="str">
        <f>IF($N2132="","",INDEX('_calc'!$E$2:$E$3001,$N2132))</f>
        <v/>
      </c>
      <c r="H2132" s="25" t="str">
        <f>IF($N2132="","",INDEX('_calc'!$F$2:$F$3001,$N2132))</f>
        <v/>
      </c>
      <c r="I2132" s="27" t="str">
        <f>IF($N2132="","",INDEX('_calc'!$H$2:$H$3001,$N2132))</f>
        <v/>
      </c>
      <c r="J2132" s="27" t="str">
        <f>IF($N2132="","",INDEX('_calc'!$I$2:$I$3001,$N2132))</f>
        <v/>
      </c>
      <c r="K2132" s="28" t="str">
        <f>IF($N2132="","",IF(OR(I2132="",J2132=""),"",J2132-I2132))</f>
        <v/>
      </c>
      <c r="L2132" s="29" t="str">
        <f>IF($N2132="","",INDEX('_calc'!$J$2:$J$3001,$N2132))</f>
        <v/>
      </c>
      <c r="M2132" s="2" t="str">
        <f>IF($N2132="","",IF(AND(G2132=0,H2132=0),"수량 없음",IF(G2132=0,"신규 (전년 수량 없음)",IF(H2132=0,"당해 수량 없음",""))))</f>
        <v/>
      </c>
      <c r="N2132" t="str">
        <f>IF($B2132="","",MATCH($B2132,'_calc'!$L$2:$L$3001,0))</f>
        <v/>
      </c>
    </row>
    <row r="2133">
      <c r="B2133" s="24" t="str">
        <f>IF(ROW()-ROW($B$8)&gt;nComp,"",ROW()-ROW($B$8))</f>
        <v/>
      </c>
      <c r="C2133" t="str">
        <f>IF($N2133="","",INDEX('_calc'!$A$2:$A$3001,$N2133))</f>
        <v/>
      </c>
      <c r="D2133" s="25" t="str">
        <f>IF($N2133="","",INDEX('_calc'!$C$2:$C$3001,$N2133))</f>
        <v/>
      </c>
      <c r="E2133" s="25" t="str">
        <f>IF($N2133="","",INDEX('_calc'!$D$2:$D$3001,$N2133))</f>
        <v/>
      </c>
      <c r="F2133" s="26" t="str">
        <f>IF($N2133="","",IF($E$8=0,"",E2133/$E$8))</f>
        <v/>
      </c>
      <c r="G2133" s="25" t="str">
        <f>IF($N2133="","",INDEX('_calc'!$E$2:$E$3001,$N2133))</f>
        <v/>
      </c>
      <c r="H2133" s="25" t="str">
        <f>IF($N2133="","",INDEX('_calc'!$F$2:$F$3001,$N2133))</f>
        <v/>
      </c>
      <c r="I2133" s="27" t="str">
        <f>IF($N2133="","",INDEX('_calc'!$H$2:$H$3001,$N2133))</f>
        <v/>
      </c>
      <c r="J2133" s="27" t="str">
        <f>IF($N2133="","",INDEX('_calc'!$I$2:$I$3001,$N2133))</f>
        <v/>
      </c>
      <c r="K2133" s="28" t="str">
        <f>IF($N2133="","",IF(OR(I2133="",J2133=""),"",J2133-I2133))</f>
        <v/>
      </c>
      <c r="L2133" s="29" t="str">
        <f>IF($N2133="","",INDEX('_calc'!$J$2:$J$3001,$N2133))</f>
        <v/>
      </c>
      <c r="M2133" s="2" t="str">
        <f>IF($N2133="","",IF(AND(G2133=0,H2133=0),"수량 없음",IF(G2133=0,"신규 (전년 수량 없음)",IF(H2133=0,"당해 수량 없음",""))))</f>
        <v/>
      </c>
      <c r="N2133" t="str">
        <f>IF($B2133="","",MATCH($B2133,'_calc'!$L$2:$L$3001,0))</f>
        <v/>
      </c>
    </row>
    <row r="2134">
      <c r="B2134" s="24" t="str">
        <f>IF(ROW()-ROW($B$8)&gt;nComp,"",ROW()-ROW($B$8))</f>
        <v/>
      </c>
      <c r="C2134" t="str">
        <f>IF($N2134="","",INDEX('_calc'!$A$2:$A$3001,$N2134))</f>
        <v/>
      </c>
      <c r="D2134" s="25" t="str">
        <f>IF($N2134="","",INDEX('_calc'!$C$2:$C$3001,$N2134))</f>
        <v/>
      </c>
      <c r="E2134" s="25" t="str">
        <f>IF($N2134="","",INDEX('_calc'!$D$2:$D$3001,$N2134))</f>
        <v/>
      </c>
      <c r="F2134" s="26" t="str">
        <f>IF($N2134="","",IF($E$8=0,"",E2134/$E$8))</f>
        <v/>
      </c>
      <c r="G2134" s="25" t="str">
        <f>IF($N2134="","",INDEX('_calc'!$E$2:$E$3001,$N2134))</f>
        <v/>
      </c>
      <c r="H2134" s="25" t="str">
        <f>IF($N2134="","",INDEX('_calc'!$F$2:$F$3001,$N2134))</f>
        <v/>
      </c>
      <c r="I2134" s="27" t="str">
        <f>IF($N2134="","",INDEX('_calc'!$H$2:$H$3001,$N2134))</f>
        <v/>
      </c>
      <c r="J2134" s="27" t="str">
        <f>IF($N2134="","",INDEX('_calc'!$I$2:$I$3001,$N2134))</f>
        <v/>
      </c>
      <c r="K2134" s="28" t="str">
        <f>IF($N2134="","",IF(OR(I2134="",J2134=""),"",J2134-I2134))</f>
        <v/>
      </c>
      <c r="L2134" s="29" t="str">
        <f>IF($N2134="","",INDEX('_calc'!$J$2:$J$3001,$N2134))</f>
        <v/>
      </c>
      <c r="M2134" s="2" t="str">
        <f>IF($N2134="","",IF(AND(G2134=0,H2134=0),"수량 없음",IF(G2134=0,"신규 (전년 수량 없음)",IF(H2134=0,"당해 수량 없음",""))))</f>
        <v/>
      </c>
      <c r="N2134" t="str">
        <f>IF($B2134="","",MATCH($B2134,'_calc'!$L$2:$L$3001,0))</f>
        <v/>
      </c>
    </row>
    <row r="2135">
      <c r="B2135" s="24" t="str">
        <f>IF(ROW()-ROW($B$8)&gt;nComp,"",ROW()-ROW($B$8))</f>
        <v/>
      </c>
      <c r="C2135" t="str">
        <f>IF($N2135="","",INDEX('_calc'!$A$2:$A$3001,$N2135))</f>
        <v/>
      </c>
      <c r="D2135" s="25" t="str">
        <f>IF($N2135="","",INDEX('_calc'!$C$2:$C$3001,$N2135))</f>
        <v/>
      </c>
      <c r="E2135" s="25" t="str">
        <f>IF($N2135="","",INDEX('_calc'!$D$2:$D$3001,$N2135))</f>
        <v/>
      </c>
      <c r="F2135" s="26" t="str">
        <f>IF($N2135="","",IF($E$8=0,"",E2135/$E$8))</f>
        <v/>
      </c>
      <c r="G2135" s="25" t="str">
        <f>IF($N2135="","",INDEX('_calc'!$E$2:$E$3001,$N2135))</f>
        <v/>
      </c>
      <c r="H2135" s="25" t="str">
        <f>IF($N2135="","",INDEX('_calc'!$F$2:$F$3001,$N2135))</f>
        <v/>
      </c>
      <c r="I2135" s="27" t="str">
        <f>IF($N2135="","",INDEX('_calc'!$H$2:$H$3001,$N2135))</f>
        <v/>
      </c>
      <c r="J2135" s="27" t="str">
        <f>IF($N2135="","",INDEX('_calc'!$I$2:$I$3001,$N2135))</f>
        <v/>
      </c>
      <c r="K2135" s="28" t="str">
        <f>IF($N2135="","",IF(OR(I2135="",J2135=""),"",J2135-I2135))</f>
        <v/>
      </c>
      <c r="L2135" s="29" t="str">
        <f>IF($N2135="","",INDEX('_calc'!$J$2:$J$3001,$N2135))</f>
        <v/>
      </c>
      <c r="M2135" s="2" t="str">
        <f>IF($N2135="","",IF(AND(G2135=0,H2135=0),"수량 없음",IF(G2135=0,"신규 (전년 수량 없음)",IF(H2135=0,"당해 수량 없음",""))))</f>
        <v/>
      </c>
      <c r="N2135" t="str">
        <f>IF($B2135="","",MATCH($B2135,'_calc'!$L$2:$L$3001,0))</f>
        <v/>
      </c>
    </row>
    <row r="2136">
      <c r="B2136" s="24" t="str">
        <f>IF(ROW()-ROW($B$8)&gt;nComp,"",ROW()-ROW($B$8))</f>
        <v/>
      </c>
      <c r="C2136" t="str">
        <f>IF($N2136="","",INDEX('_calc'!$A$2:$A$3001,$N2136))</f>
        <v/>
      </c>
      <c r="D2136" s="25" t="str">
        <f>IF($N2136="","",INDEX('_calc'!$C$2:$C$3001,$N2136))</f>
        <v/>
      </c>
      <c r="E2136" s="25" t="str">
        <f>IF($N2136="","",INDEX('_calc'!$D$2:$D$3001,$N2136))</f>
        <v/>
      </c>
      <c r="F2136" s="26" t="str">
        <f>IF($N2136="","",IF($E$8=0,"",E2136/$E$8))</f>
        <v/>
      </c>
      <c r="G2136" s="25" t="str">
        <f>IF($N2136="","",INDEX('_calc'!$E$2:$E$3001,$N2136))</f>
        <v/>
      </c>
      <c r="H2136" s="25" t="str">
        <f>IF($N2136="","",INDEX('_calc'!$F$2:$F$3001,$N2136))</f>
        <v/>
      </c>
      <c r="I2136" s="27" t="str">
        <f>IF($N2136="","",INDEX('_calc'!$H$2:$H$3001,$N2136))</f>
        <v/>
      </c>
      <c r="J2136" s="27" t="str">
        <f>IF($N2136="","",INDEX('_calc'!$I$2:$I$3001,$N2136))</f>
        <v/>
      </c>
      <c r="K2136" s="28" t="str">
        <f>IF($N2136="","",IF(OR(I2136="",J2136=""),"",J2136-I2136))</f>
        <v/>
      </c>
      <c r="L2136" s="29" t="str">
        <f>IF($N2136="","",INDEX('_calc'!$J$2:$J$3001,$N2136))</f>
        <v/>
      </c>
      <c r="M2136" s="2" t="str">
        <f>IF($N2136="","",IF(AND(G2136=0,H2136=0),"수량 없음",IF(G2136=0,"신규 (전년 수량 없음)",IF(H2136=0,"당해 수량 없음",""))))</f>
        <v/>
      </c>
      <c r="N2136" t="str">
        <f>IF($B2136="","",MATCH($B2136,'_calc'!$L$2:$L$3001,0))</f>
        <v/>
      </c>
    </row>
    <row r="2137">
      <c r="B2137" s="24" t="str">
        <f>IF(ROW()-ROW($B$8)&gt;nComp,"",ROW()-ROW($B$8))</f>
        <v/>
      </c>
      <c r="C2137" t="str">
        <f>IF($N2137="","",INDEX('_calc'!$A$2:$A$3001,$N2137))</f>
        <v/>
      </c>
      <c r="D2137" s="25" t="str">
        <f>IF($N2137="","",INDEX('_calc'!$C$2:$C$3001,$N2137))</f>
        <v/>
      </c>
      <c r="E2137" s="25" t="str">
        <f>IF($N2137="","",INDEX('_calc'!$D$2:$D$3001,$N2137))</f>
        <v/>
      </c>
      <c r="F2137" s="26" t="str">
        <f>IF($N2137="","",IF($E$8=0,"",E2137/$E$8))</f>
        <v/>
      </c>
      <c r="G2137" s="25" t="str">
        <f>IF($N2137="","",INDEX('_calc'!$E$2:$E$3001,$N2137))</f>
        <v/>
      </c>
      <c r="H2137" s="25" t="str">
        <f>IF($N2137="","",INDEX('_calc'!$F$2:$F$3001,$N2137))</f>
        <v/>
      </c>
      <c r="I2137" s="27" t="str">
        <f>IF($N2137="","",INDEX('_calc'!$H$2:$H$3001,$N2137))</f>
        <v/>
      </c>
      <c r="J2137" s="27" t="str">
        <f>IF($N2137="","",INDEX('_calc'!$I$2:$I$3001,$N2137))</f>
        <v/>
      </c>
      <c r="K2137" s="28" t="str">
        <f>IF($N2137="","",IF(OR(I2137="",J2137=""),"",J2137-I2137))</f>
        <v/>
      </c>
      <c r="L2137" s="29" t="str">
        <f>IF($N2137="","",INDEX('_calc'!$J$2:$J$3001,$N2137))</f>
        <v/>
      </c>
      <c r="M2137" s="2" t="str">
        <f>IF($N2137="","",IF(AND(G2137=0,H2137=0),"수량 없음",IF(G2137=0,"신규 (전년 수량 없음)",IF(H2137=0,"당해 수량 없음",""))))</f>
        <v/>
      </c>
      <c r="N2137" t="str">
        <f>IF($B2137="","",MATCH($B2137,'_calc'!$L$2:$L$3001,0))</f>
        <v/>
      </c>
    </row>
    <row r="2138">
      <c r="B2138" s="24" t="str">
        <f>IF(ROW()-ROW($B$8)&gt;nComp,"",ROW()-ROW($B$8))</f>
        <v/>
      </c>
      <c r="C2138" t="str">
        <f>IF($N2138="","",INDEX('_calc'!$A$2:$A$3001,$N2138))</f>
        <v/>
      </c>
      <c r="D2138" s="25" t="str">
        <f>IF($N2138="","",INDEX('_calc'!$C$2:$C$3001,$N2138))</f>
        <v/>
      </c>
      <c r="E2138" s="25" t="str">
        <f>IF($N2138="","",INDEX('_calc'!$D$2:$D$3001,$N2138))</f>
        <v/>
      </c>
      <c r="F2138" s="26" t="str">
        <f>IF($N2138="","",IF($E$8=0,"",E2138/$E$8))</f>
        <v/>
      </c>
      <c r="G2138" s="25" t="str">
        <f>IF($N2138="","",INDEX('_calc'!$E$2:$E$3001,$N2138))</f>
        <v/>
      </c>
      <c r="H2138" s="25" t="str">
        <f>IF($N2138="","",INDEX('_calc'!$F$2:$F$3001,$N2138))</f>
        <v/>
      </c>
      <c r="I2138" s="27" t="str">
        <f>IF($N2138="","",INDEX('_calc'!$H$2:$H$3001,$N2138))</f>
        <v/>
      </c>
      <c r="J2138" s="27" t="str">
        <f>IF($N2138="","",INDEX('_calc'!$I$2:$I$3001,$N2138))</f>
        <v/>
      </c>
      <c r="K2138" s="28" t="str">
        <f>IF($N2138="","",IF(OR(I2138="",J2138=""),"",J2138-I2138))</f>
        <v/>
      </c>
      <c r="L2138" s="29" t="str">
        <f>IF($N2138="","",INDEX('_calc'!$J$2:$J$3001,$N2138))</f>
        <v/>
      </c>
      <c r="M2138" s="2" t="str">
        <f>IF($N2138="","",IF(AND(G2138=0,H2138=0),"수량 없음",IF(G2138=0,"신규 (전년 수량 없음)",IF(H2138=0,"당해 수량 없음",""))))</f>
        <v/>
      </c>
      <c r="N2138" t="str">
        <f>IF($B2138="","",MATCH($B2138,'_calc'!$L$2:$L$3001,0))</f>
        <v/>
      </c>
    </row>
    <row r="2139">
      <c r="B2139" s="24" t="str">
        <f>IF(ROW()-ROW($B$8)&gt;nComp,"",ROW()-ROW($B$8))</f>
        <v/>
      </c>
      <c r="C2139" t="str">
        <f>IF($N2139="","",INDEX('_calc'!$A$2:$A$3001,$N2139))</f>
        <v/>
      </c>
      <c r="D2139" s="25" t="str">
        <f>IF($N2139="","",INDEX('_calc'!$C$2:$C$3001,$N2139))</f>
        <v/>
      </c>
      <c r="E2139" s="25" t="str">
        <f>IF($N2139="","",INDEX('_calc'!$D$2:$D$3001,$N2139))</f>
        <v/>
      </c>
      <c r="F2139" s="26" t="str">
        <f>IF($N2139="","",IF($E$8=0,"",E2139/$E$8))</f>
        <v/>
      </c>
      <c r="G2139" s="25" t="str">
        <f>IF($N2139="","",INDEX('_calc'!$E$2:$E$3001,$N2139))</f>
        <v/>
      </c>
      <c r="H2139" s="25" t="str">
        <f>IF($N2139="","",INDEX('_calc'!$F$2:$F$3001,$N2139))</f>
        <v/>
      </c>
      <c r="I2139" s="27" t="str">
        <f>IF($N2139="","",INDEX('_calc'!$H$2:$H$3001,$N2139))</f>
        <v/>
      </c>
      <c r="J2139" s="27" t="str">
        <f>IF($N2139="","",INDEX('_calc'!$I$2:$I$3001,$N2139))</f>
        <v/>
      </c>
      <c r="K2139" s="28" t="str">
        <f>IF($N2139="","",IF(OR(I2139="",J2139=""),"",J2139-I2139))</f>
        <v/>
      </c>
      <c r="L2139" s="29" t="str">
        <f>IF($N2139="","",INDEX('_calc'!$J$2:$J$3001,$N2139))</f>
        <v/>
      </c>
      <c r="M2139" s="2" t="str">
        <f>IF($N2139="","",IF(AND(G2139=0,H2139=0),"수량 없음",IF(G2139=0,"신규 (전년 수량 없음)",IF(H2139=0,"당해 수량 없음",""))))</f>
        <v/>
      </c>
      <c r="N2139" t="str">
        <f>IF($B2139="","",MATCH($B2139,'_calc'!$L$2:$L$3001,0))</f>
        <v/>
      </c>
    </row>
    <row r="2140">
      <c r="B2140" s="24" t="str">
        <f>IF(ROW()-ROW($B$8)&gt;nComp,"",ROW()-ROW($B$8))</f>
        <v/>
      </c>
      <c r="C2140" t="str">
        <f>IF($N2140="","",INDEX('_calc'!$A$2:$A$3001,$N2140))</f>
        <v/>
      </c>
      <c r="D2140" s="25" t="str">
        <f>IF($N2140="","",INDEX('_calc'!$C$2:$C$3001,$N2140))</f>
        <v/>
      </c>
      <c r="E2140" s="25" t="str">
        <f>IF($N2140="","",INDEX('_calc'!$D$2:$D$3001,$N2140))</f>
        <v/>
      </c>
      <c r="F2140" s="26" t="str">
        <f>IF($N2140="","",IF($E$8=0,"",E2140/$E$8))</f>
        <v/>
      </c>
      <c r="G2140" s="25" t="str">
        <f>IF($N2140="","",INDEX('_calc'!$E$2:$E$3001,$N2140))</f>
        <v/>
      </c>
      <c r="H2140" s="25" t="str">
        <f>IF($N2140="","",INDEX('_calc'!$F$2:$F$3001,$N2140))</f>
        <v/>
      </c>
      <c r="I2140" s="27" t="str">
        <f>IF($N2140="","",INDEX('_calc'!$H$2:$H$3001,$N2140))</f>
        <v/>
      </c>
      <c r="J2140" s="27" t="str">
        <f>IF($N2140="","",INDEX('_calc'!$I$2:$I$3001,$N2140))</f>
        <v/>
      </c>
      <c r="K2140" s="28" t="str">
        <f>IF($N2140="","",IF(OR(I2140="",J2140=""),"",J2140-I2140))</f>
        <v/>
      </c>
      <c r="L2140" s="29" t="str">
        <f>IF($N2140="","",INDEX('_calc'!$J$2:$J$3001,$N2140))</f>
        <v/>
      </c>
      <c r="M2140" s="2" t="str">
        <f>IF($N2140="","",IF(AND(G2140=0,H2140=0),"수량 없음",IF(G2140=0,"신규 (전년 수량 없음)",IF(H2140=0,"당해 수량 없음",""))))</f>
        <v/>
      </c>
      <c r="N2140" t="str">
        <f>IF($B2140="","",MATCH($B2140,'_calc'!$L$2:$L$3001,0))</f>
        <v/>
      </c>
    </row>
    <row r="2141">
      <c r="B2141" s="24" t="str">
        <f>IF(ROW()-ROW($B$8)&gt;nComp,"",ROW()-ROW($B$8))</f>
        <v/>
      </c>
      <c r="C2141" t="str">
        <f>IF($N2141="","",INDEX('_calc'!$A$2:$A$3001,$N2141))</f>
        <v/>
      </c>
      <c r="D2141" s="25" t="str">
        <f>IF($N2141="","",INDEX('_calc'!$C$2:$C$3001,$N2141))</f>
        <v/>
      </c>
      <c r="E2141" s="25" t="str">
        <f>IF($N2141="","",INDEX('_calc'!$D$2:$D$3001,$N2141))</f>
        <v/>
      </c>
      <c r="F2141" s="26" t="str">
        <f>IF($N2141="","",IF($E$8=0,"",E2141/$E$8))</f>
        <v/>
      </c>
      <c r="G2141" s="25" t="str">
        <f>IF($N2141="","",INDEX('_calc'!$E$2:$E$3001,$N2141))</f>
        <v/>
      </c>
      <c r="H2141" s="25" t="str">
        <f>IF($N2141="","",INDEX('_calc'!$F$2:$F$3001,$N2141))</f>
        <v/>
      </c>
      <c r="I2141" s="27" t="str">
        <f>IF($N2141="","",INDEX('_calc'!$H$2:$H$3001,$N2141))</f>
        <v/>
      </c>
      <c r="J2141" s="27" t="str">
        <f>IF($N2141="","",INDEX('_calc'!$I$2:$I$3001,$N2141))</f>
        <v/>
      </c>
      <c r="K2141" s="28" t="str">
        <f>IF($N2141="","",IF(OR(I2141="",J2141=""),"",J2141-I2141))</f>
        <v/>
      </c>
      <c r="L2141" s="29" t="str">
        <f>IF($N2141="","",INDEX('_calc'!$J$2:$J$3001,$N2141))</f>
        <v/>
      </c>
      <c r="M2141" s="2" t="str">
        <f>IF($N2141="","",IF(AND(G2141=0,H2141=0),"수량 없음",IF(G2141=0,"신규 (전년 수량 없음)",IF(H2141=0,"당해 수량 없음",""))))</f>
        <v/>
      </c>
      <c r="N2141" t="str">
        <f>IF($B2141="","",MATCH($B2141,'_calc'!$L$2:$L$3001,0))</f>
        <v/>
      </c>
    </row>
    <row r="2142">
      <c r="B2142" s="24" t="str">
        <f>IF(ROW()-ROW($B$8)&gt;nComp,"",ROW()-ROW($B$8))</f>
        <v/>
      </c>
      <c r="C2142" t="str">
        <f>IF($N2142="","",INDEX('_calc'!$A$2:$A$3001,$N2142))</f>
        <v/>
      </c>
      <c r="D2142" s="25" t="str">
        <f>IF($N2142="","",INDEX('_calc'!$C$2:$C$3001,$N2142))</f>
        <v/>
      </c>
      <c r="E2142" s="25" t="str">
        <f>IF($N2142="","",INDEX('_calc'!$D$2:$D$3001,$N2142))</f>
        <v/>
      </c>
      <c r="F2142" s="26" t="str">
        <f>IF($N2142="","",IF($E$8=0,"",E2142/$E$8))</f>
        <v/>
      </c>
      <c r="G2142" s="25" t="str">
        <f>IF($N2142="","",INDEX('_calc'!$E$2:$E$3001,$N2142))</f>
        <v/>
      </c>
      <c r="H2142" s="25" t="str">
        <f>IF($N2142="","",INDEX('_calc'!$F$2:$F$3001,$N2142))</f>
        <v/>
      </c>
      <c r="I2142" s="27" t="str">
        <f>IF($N2142="","",INDEX('_calc'!$H$2:$H$3001,$N2142))</f>
        <v/>
      </c>
      <c r="J2142" s="27" t="str">
        <f>IF($N2142="","",INDEX('_calc'!$I$2:$I$3001,$N2142))</f>
        <v/>
      </c>
      <c r="K2142" s="28" t="str">
        <f>IF($N2142="","",IF(OR(I2142="",J2142=""),"",J2142-I2142))</f>
        <v/>
      </c>
      <c r="L2142" s="29" t="str">
        <f>IF($N2142="","",INDEX('_calc'!$J$2:$J$3001,$N2142))</f>
        <v/>
      </c>
      <c r="M2142" s="2" t="str">
        <f>IF($N2142="","",IF(AND(G2142=0,H2142=0),"수량 없음",IF(G2142=0,"신규 (전년 수량 없음)",IF(H2142=0,"당해 수량 없음",""))))</f>
        <v/>
      </c>
      <c r="N2142" t="str">
        <f>IF($B2142="","",MATCH($B2142,'_calc'!$L$2:$L$3001,0))</f>
        <v/>
      </c>
    </row>
    <row r="2143">
      <c r="B2143" s="24" t="str">
        <f>IF(ROW()-ROW($B$8)&gt;nComp,"",ROW()-ROW($B$8))</f>
        <v/>
      </c>
      <c r="C2143" t="str">
        <f>IF($N2143="","",INDEX('_calc'!$A$2:$A$3001,$N2143))</f>
        <v/>
      </c>
      <c r="D2143" s="25" t="str">
        <f>IF($N2143="","",INDEX('_calc'!$C$2:$C$3001,$N2143))</f>
        <v/>
      </c>
      <c r="E2143" s="25" t="str">
        <f>IF($N2143="","",INDEX('_calc'!$D$2:$D$3001,$N2143))</f>
        <v/>
      </c>
      <c r="F2143" s="26" t="str">
        <f>IF($N2143="","",IF($E$8=0,"",E2143/$E$8))</f>
        <v/>
      </c>
      <c r="G2143" s="25" t="str">
        <f>IF($N2143="","",INDEX('_calc'!$E$2:$E$3001,$N2143))</f>
        <v/>
      </c>
      <c r="H2143" s="25" t="str">
        <f>IF($N2143="","",INDEX('_calc'!$F$2:$F$3001,$N2143))</f>
        <v/>
      </c>
      <c r="I2143" s="27" t="str">
        <f>IF($N2143="","",INDEX('_calc'!$H$2:$H$3001,$N2143))</f>
        <v/>
      </c>
      <c r="J2143" s="27" t="str">
        <f>IF($N2143="","",INDEX('_calc'!$I$2:$I$3001,$N2143))</f>
        <v/>
      </c>
      <c r="K2143" s="28" t="str">
        <f>IF($N2143="","",IF(OR(I2143="",J2143=""),"",J2143-I2143))</f>
        <v/>
      </c>
      <c r="L2143" s="29" t="str">
        <f>IF($N2143="","",INDEX('_calc'!$J$2:$J$3001,$N2143))</f>
        <v/>
      </c>
      <c r="M2143" s="2" t="str">
        <f>IF($N2143="","",IF(AND(G2143=0,H2143=0),"수량 없음",IF(G2143=0,"신규 (전년 수량 없음)",IF(H2143=0,"당해 수량 없음",""))))</f>
        <v/>
      </c>
      <c r="N2143" t="str">
        <f>IF($B2143="","",MATCH($B2143,'_calc'!$L$2:$L$3001,0))</f>
        <v/>
      </c>
    </row>
    <row r="2144">
      <c r="B2144" s="24" t="str">
        <f>IF(ROW()-ROW($B$8)&gt;nComp,"",ROW()-ROW($B$8))</f>
        <v/>
      </c>
      <c r="C2144" t="str">
        <f>IF($N2144="","",INDEX('_calc'!$A$2:$A$3001,$N2144))</f>
        <v/>
      </c>
      <c r="D2144" s="25" t="str">
        <f>IF($N2144="","",INDEX('_calc'!$C$2:$C$3001,$N2144))</f>
        <v/>
      </c>
      <c r="E2144" s="25" t="str">
        <f>IF($N2144="","",INDEX('_calc'!$D$2:$D$3001,$N2144))</f>
        <v/>
      </c>
      <c r="F2144" s="26" t="str">
        <f>IF($N2144="","",IF($E$8=0,"",E2144/$E$8))</f>
        <v/>
      </c>
      <c r="G2144" s="25" t="str">
        <f>IF($N2144="","",INDEX('_calc'!$E$2:$E$3001,$N2144))</f>
        <v/>
      </c>
      <c r="H2144" s="25" t="str">
        <f>IF($N2144="","",INDEX('_calc'!$F$2:$F$3001,$N2144))</f>
        <v/>
      </c>
      <c r="I2144" s="27" t="str">
        <f>IF($N2144="","",INDEX('_calc'!$H$2:$H$3001,$N2144))</f>
        <v/>
      </c>
      <c r="J2144" s="27" t="str">
        <f>IF($N2144="","",INDEX('_calc'!$I$2:$I$3001,$N2144))</f>
        <v/>
      </c>
      <c r="K2144" s="28" t="str">
        <f>IF($N2144="","",IF(OR(I2144="",J2144=""),"",J2144-I2144))</f>
        <v/>
      </c>
      <c r="L2144" s="29" t="str">
        <f>IF($N2144="","",INDEX('_calc'!$J$2:$J$3001,$N2144))</f>
        <v/>
      </c>
      <c r="M2144" s="2" t="str">
        <f>IF($N2144="","",IF(AND(G2144=0,H2144=0),"수량 없음",IF(G2144=0,"신규 (전년 수량 없음)",IF(H2144=0,"당해 수량 없음",""))))</f>
        <v/>
      </c>
      <c r="N2144" t="str">
        <f>IF($B2144="","",MATCH($B2144,'_calc'!$L$2:$L$3001,0))</f>
        <v/>
      </c>
    </row>
    <row r="2145">
      <c r="B2145" s="24" t="str">
        <f>IF(ROW()-ROW($B$8)&gt;nComp,"",ROW()-ROW($B$8))</f>
        <v/>
      </c>
      <c r="C2145" t="str">
        <f>IF($N2145="","",INDEX('_calc'!$A$2:$A$3001,$N2145))</f>
        <v/>
      </c>
      <c r="D2145" s="25" t="str">
        <f>IF($N2145="","",INDEX('_calc'!$C$2:$C$3001,$N2145))</f>
        <v/>
      </c>
      <c r="E2145" s="25" t="str">
        <f>IF($N2145="","",INDEX('_calc'!$D$2:$D$3001,$N2145))</f>
        <v/>
      </c>
      <c r="F2145" s="26" t="str">
        <f>IF($N2145="","",IF($E$8=0,"",E2145/$E$8))</f>
        <v/>
      </c>
      <c r="G2145" s="25" t="str">
        <f>IF($N2145="","",INDEX('_calc'!$E$2:$E$3001,$N2145))</f>
        <v/>
      </c>
      <c r="H2145" s="25" t="str">
        <f>IF($N2145="","",INDEX('_calc'!$F$2:$F$3001,$N2145))</f>
        <v/>
      </c>
      <c r="I2145" s="27" t="str">
        <f>IF($N2145="","",INDEX('_calc'!$H$2:$H$3001,$N2145))</f>
        <v/>
      </c>
      <c r="J2145" s="27" t="str">
        <f>IF($N2145="","",INDEX('_calc'!$I$2:$I$3001,$N2145))</f>
        <v/>
      </c>
      <c r="K2145" s="28" t="str">
        <f>IF($N2145="","",IF(OR(I2145="",J2145=""),"",J2145-I2145))</f>
        <v/>
      </c>
      <c r="L2145" s="29" t="str">
        <f>IF($N2145="","",INDEX('_calc'!$J$2:$J$3001,$N2145))</f>
        <v/>
      </c>
      <c r="M2145" s="2" t="str">
        <f>IF($N2145="","",IF(AND(G2145=0,H2145=0),"수량 없음",IF(G2145=0,"신규 (전년 수량 없음)",IF(H2145=0,"당해 수량 없음",""))))</f>
        <v/>
      </c>
      <c r="N2145" t="str">
        <f>IF($B2145="","",MATCH($B2145,'_calc'!$L$2:$L$3001,0))</f>
        <v/>
      </c>
    </row>
    <row r="2146">
      <c r="B2146" s="24" t="str">
        <f>IF(ROW()-ROW($B$8)&gt;nComp,"",ROW()-ROW($B$8))</f>
        <v/>
      </c>
      <c r="C2146" t="str">
        <f>IF($N2146="","",INDEX('_calc'!$A$2:$A$3001,$N2146))</f>
        <v/>
      </c>
      <c r="D2146" s="25" t="str">
        <f>IF($N2146="","",INDEX('_calc'!$C$2:$C$3001,$N2146))</f>
        <v/>
      </c>
      <c r="E2146" s="25" t="str">
        <f>IF($N2146="","",INDEX('_calc'!$D$2:$D$3001,$N2146))</f>
        <v/>
      </c>
      <c r="F2146" s="26" t="str">
        <f>IF($N2146="","",IF($E$8=0,"",E2146/$E$8))</f>
        <v/>
      </c>
      <c r="G2146" s="25" t="str">
        <f>IF($N2146="","",INDEX('_calc'!$E$2:$E$3001,$N2146))</f>
        <v/>
      </c>
      <c r="H2146" s="25" t="str">
        <f>IF($N2146="","",INDEX('_calc'!$F$2:$F$3001,$N2146))</f>
        <v/>
      </c>
      <c r="I2146" s="27" t="str">
        <f>IF($N2146="","",INDEX('_calc'!$H$2:$H$3001,$N2146))</f>
        <v/>
      </c>
      <c r="J2146" s="27" t="str">
        <f>IF($N2146="","",INDEX('_calc'!$I$2:$I$3001,$N2146))</f>
        <v/>
      </c>
      <c r="K2146" s="28" t="str">
        <f>IF($N2146="","",IF(OR(I2146="",J2146=""),"",J2146-I2146))</f>
        <v/>
      </c>
      <c r="L2146" s="29" t="str">
        <f>IF($N2146="","",INDEX('_calc'!$J$2:$J$3001,$N2146))</f>
        <v/>
      </c>
      <c r="M2146" s="2" t="str">
        <f>IF($N2146="","",IF(AND(G2146=0,H2146=0),"수량 없음",IF(G2146=0,"신규 (전년 수량 없음)",IF(H2146=0,"당해 수량 없음",""))))</f>
        <v/>
      </c>
      <c r="N2146" t="str">
        <f>IF($B2146="","",MATCH($B2146,'_calc'!$L$2:$L$3001,0))</f>
        <v/>
      </c>
    </row>
    <row r="2147">
      <c r="B2147" s="24" t="str">
        <f>IF(ROW()-ROW($B$8)&gt;nComp,"",ROW()-ROW($B$8))</f>
        <v/>
      </c>
      <c r="C2147" t="str">
        <f>IF($N2147="","",INDEX('_calc'!$A$2:$A$3001,$N2147))</f>
        <v/>
      </c>
      <c r="D2147" s="25" t="str">
        <f>IF($N2147="","",INDEX('_calc'!$C$2:$C$3001,$N2147))</f>
        <v/>
      </c>
      <c r="E2147" s="25" t="str">
        <f>IF($N2147="","",INDEX('_calc'!$D$2:$D$3001,$N2147))</f>
        <v/>
      </c>
      <c r="F2147" s="26" t="str">
        <f>IF($N2147="","",IF($E$8=0,"",E2147/$E$8))</f>
        <v/>
      </c>
      <c r="G2147" s="25" t="str">
        <f>IF($N2147="","",INDEX('_calc'!$E$2:$E$3001,$N2147))</f>
        <v/>
      </c>
      <c r="H2147" s="25" t="str">
        <f>IF($N2147="","",INDEX('_calc'!$F$2:$F$3001,$N2147))</f>
        <v/>
      </c>
      <c r="I2147" s="27" t="str">
        <f>IF($N2147="","",INDEX('_calc'!$H$2:$H$3001,$N2147))</f>
        <v/>
      </c>
      <c r="J2147" s="27" t="str">
        <f>IF($N2147="","",INDEX('_calc'!$I$2:$I$3001,$N2147))</f>
        <v/>
      </c>
      <c r="K2147" s="28" t="str">
        <f>IF($N2147="","",IF(OR(I2147="",J2147=""),"",J2147-I2147))</f>
        <v/>
      </c>
      <c r="L2147" s="29" t="str">
        <f>IF($N2147="","",INDEX('_calc'!$J$2:$J$3001,$N2147))</f>
        <v/>
      </c>
      <c r="M2147" s="2" t="str">
        <f>IF($N2147="","",IF(AND(G2147=0,H2147=0),"수량 없음",IF(G2147=0,"신규 (전년 수량 없음)",IF(H2147=0,"당해 수량 없음",""))))</f>
        <v/>
      </c>
      <c r="N2147" t="str">
        <f>IF($B2147="","",MATCH($B2147,'_calc'!$L$2:$L$3001,0))</f>
        <v/>
      </c>
    </row>
    <row r="2148">
      <c r="B2148" s="24" t="str">
        <f>IF(ROW()-ROW($B$8)&gt;nComp,"",ROW()-ROW($B$8))</f>
        <v/>
      </c>
      <c r="C2148" t="str">
        <f>IF($N2148="","",INDEX('_calc'!$A$2:$A$3001,$N2148))</f>
        <v/>
      </c>
      <c r="D2148" s="25" t="str">
        <f>IF($N2148="","",INDEX('_calc'!$C$2:$C$3001,$N2148))</f>
        <v/>
      </c>
      <c r="E2148" s="25" t="str">
        <f>IF($N2148="","",INDEX('_calc'!$D$2:$D$3001,$N2148))</f>
        <v/>
      </c>
      <c r="F2148" s="26" t="str">
        <f>IF($N2148="","",IF($E$8=0,"",E2148/$E$8))</f>
        <v/>
      </c>
      <c r="G2148" s="25" t="str">
        <f>IF($N2148="","",INDEX('_calc'!$E$2:$E$3001,$N2148))</f>
        <v/>
      </c>
      <c r="H2148" s="25" t="str">
        <f>IF($N2148="","",INDEX('_calc'!$F$2:$F$3001,$N2148))</f>
        <v/>
      </c>
      <c r="I2148" s="27" t="str">
        <f>IF($N2148="","",INDEX('_calc'!$H$2:$H$3001,$N2148))</f>
        <v/>
      </c>
      <c r="J2148" s="27" t="str">
        <f>IF($N2148="","",INDEX('_calc'!$I$2:$I$3001,$N2148))</f>
        <v/>
      </c>
      <c r="K2148" s="28" t="str">
        <f>IF($N2148="","",IF(OR(I2148="",J2148=""),"",J2148-I2148))</f>
        <v/>
      </c>
      <c r="L2148" s="29" t="str">
        <f>IF($N2148="","",INDEX('_calc'!$J$2:$J$3001,$N2148))</f>
        <v/>
      </c>
      <c r="M2148" s="2" t="str">
        <f>IF($N2148="","",IF(AND(G2148=0,H2148=0),"수량 없음",IF(G2148=0,"신규 (전년 수량 없음)",IF(H2148=0,"당해 수량 없음",""))))</f>
        <v/>
      </c>
      <c r="N2148" t="str">
        <f>IF($B2148="","",MATCH($B2148,'_calc'!$L$2:$L$3001,0))</f>
        <v/>
      </c>
    </row>
    <row r="2149">
      <c r="B2149" s="24" t="str">
        <f>IF(ROW()-ROW($B$8)&gt;nComp,"",ROW()-ROW($B$8))</f>
        <v/>
      </c>
      <c r="C2149" t="str">
        <f>IF($N2149="","",INDEX('_calc'!$A$2:$A$3001,$N2149))</f>
        <v/>
      </c>
      <c r="D2149" s="25" t="str">
        <f>IF($N2149="","",INDEX('_calc'!$C$2:$C$3001,$N2149))</f>
        <v/>
      </c>
      <c r="E2149" s="25" t="str">
        <f>IF($N2149="","",INDEX('_calc'!$D$2:$D$3001,$N2149))</f>
        <v/>
      </c>
      <c r="F2149" s="26" t="str">
        <f>IF($N2149="","",IF($E$8=0,"",E2149/$E$8))</f>
        <v/>
      </c>
      <c r="G2149" s="25" t="str">
        <f>IF($N2149="","",INDEX('_calc'!$E$2:$E$3001,$N2149))</f>
        <v/>
      </c>
      <c r="H2149" s="25" t="str">
        <f>IF($N2149="","",INDEX('_calc'!$F$2:$F$3001,$N2149))</f>
        <v/>
      </c>
      <c r="I2149" s="27" t="str">
        <f>IF($N2149="","",INDEX('_calc'!$H$2:$H$3001,$N2149))</f>
        <v/>
      </c>
      <c r="J2149" s="27" t="str">
        <f>IF($N2149="","",INDEX('_calc'!$I$2:$I$3001,$N2149))</f>
        <v/>
      </c>
      <c r="K2149" s="28" t="str">
        <f>IF($N2149="","",IF(OR(I2149="",J2149=""),"",J2149-I2149))</f>
        <v/>
      </c>
      <c r="L2149" s="29" t="str">
        <f>IF($N2149="","",INDEX('_calc'!$J$2:$J$3001,$N2149))</f>
        <v/>
      </c>
      <c r="M2149" s="2" t="str">
        <f>IF($N2149="","",IF(AND(G2149=0,H2149=0),"수량 없음",IF(G2149=0,"신규 (전년 수량 없음)",IF(H2149=0,"당해 수량 없음",""))))</f>
        <v/>
      </c>
      <c r="N2149" t="str">
        <f>IF($B2149="","",MATCH($B2149,'_calc'!$L$2:$L$3001,0))</f>
        <v/>
      </c>
    </row>
    <row r="2150">
      <c r="B2150" s="24" t="str">
        <f>IF(ROW()-ROW($B$8)&gt;nComp,"",ROW()-ROW($B$8))</f>
        <v/>
      </c>
      <c r="C2150" t="str">
        <f>IF($N2150="","",INDEX('_calc'!$A$2:$A$3001,$N2150))</f>
        <v/>
      </c>
      <c r="D2150" s="25" t="str">
        <f>IF($N2150="","",INDEX('_calc'!$C$2:$C$3001,$N2150))</f>
        <v/>
      </c>
      <c r="E2150" s="25" t="str">
        <f>IF($N2150="","",INDEX('_calc'!$D$2:$D$3001,$N2150))</f>
        <v/>
      </c>
      <c r="F2150" s="26" t="str">
        <f>IF($N2150="","",IF($E$8=0,"",E2150/$E$8))</f>
        <v/>
      </c>
      <c r="G2150" s="25" t="str">
        <f>IF($N2150="","",INDEX('_calc'!$E$2:$E$3001,$N2150))</f>
        <v/>
      </c>
      <c r="H2150" s="25" t="str">
        <f>IF($N2150="","",INDEX('_calc'!$F$2:$F$3001,$N2150))</f>
        <v/>
      </c>
      <c r="I2150" s="27" t="str">
        <f>IF($N2150="","",INDEX('_calc'!$H$2:$H$3001,$N2150))</f>
        <v/>
      </c>
      <c r="J2150" s="27" t="str">
        <f>IF($N2150="","",INDEX('_calc'!$I$2:$I$3001,$N2150))</f>
        <v/>
      </c>
      <c r="K2150" s="28" t="str">
        <f>IF($N2150="","",IF(OR(I2150="",J2150=""),"",J2150-I2150))</f>
        <v/>
      </c>
      <c r="L2150" s="29" t="str">
        <f>IF($N2150="","",INDEX('_calc'!$J$2:$J$3001,$N2150))</f>
        <v/>
      </c>
      <c r="M2150" s="2" t="str">
        <f>IF($N2150="","",IF(AND(G2150=0,H2150=0),"수량 없음",IF(G2150=0,"신규 (전년 수량 없음)",IF(H2150=0,"당해 수량 없음",""))))</f>
        <v/>
      </c>
      <c r="N2150" t="str">
        <f>IF($B2150="","",MATCH($B2150,'_calc'!$L$2:$L$3001,0))</f>
        <v/>
      </c>
    </row>
    <row r="2151">
      <c r="B2151" s="24" t="str">
        <f>IF(ROW()-ROW($B$8)&gt;nComp,"",ROW()-ROW($B$8))</f>
        <v/>
      </c>
      <c r="C2151" t="str">
        <f>IF($N2151="","",INDEX('_calc'!$A$2:$A$3001,$N2151))</f>
        <v/>
      </c>
      <c r="D2151" s="25" t="str">
        <f>IF($N2151="","",INDEX('_calc'!$C$2:$C$3001,$N2151))</f>
        <v/>
      </c>
      <c r="E2151" s="25" t="str">
        <f>IF($N2151="","",INDEX('_calc'!$D$2:$D$3001,$N2151))</f>
        <v/>
      </c>
      <c r="F2151" s="26" t="str">
        <f>IF($N2151="","",IF($E$8=0,"",E2151/$E$8))</f>
        <v/>
      </c>
      <c r="G2151" s="25" t="str">
        <f>IF($N2151="","",INDEX('_calc'!$E$2:$E$3001,$N2151))</f>
        <v/>
      </c>
      <c r="H2151" s="25" t="str">
        <f>IF($N2151="","",INDEX('_calc'!$F$2:$F$3001,$N2151))</f>
        <v/>
      </c>
      <c r="I2151" s="27" t="str">
        <f>IF($N2151="","",INDEX('_calc'!$H$2:$H$3001,$N2151))</f>
        <v/>
      </c>
      <c r="J2151" s="27" t="str">
        <f>IF($N2151="","",INDEX('_calc'!$I$2:$I$3001,$N2151))</f>
        <v/>
      </c>
      <c r="K2151" s="28" t="str">
        <f>IF($N2151="","",IF(OR(I2151="",J2151=""),"",J2151-I2151))</f>
        <v/>
      </c>
      <c r="L2151" s="29" t="str">
        <f>IF($N2151="","",INDEX('_calc'!$J$2:$J$3001,$N2151))</f>
        <v/>
      </c>
      <c r="M2151" s="2" t="str">
        <f>IF($N2151="","",IF(AND(G2151=0,H2151=0),"수량 없음",IF(G2151=0,"신규 (전년 수량 없음)",IF(H2151=0,"당해 수량 없음",""))))</f>
        <v/>
      </c>
      <c r="N2151" t="str">
        <f>IF($B2151="","",MATCH($B2151,'_calc'!$L$2:$L$3001,0))</f>
        <v/>
      </c>
    </row>
    <row r="2152">
      <c r="B2152" s="24" t="str">
        <f>IF(ROW()-ROW($B$8)&gt;nComp,"",ROW()-ROW($B$8))</f>
        <v/>
      </c>
      <c r="C2152" t="str">
        <f>IF($N2152="","",INDEX('_calc'!$A$2:$A$3001,$N2152))</f>
        <v/>
      </c>
      <c r="D2152" s="25" t="str">
        <f>IF($N2152="","",INDEX('_calc'!$C$2:$C$3001,$N2152))</f>
        <v/>
      </c>
      <c r="E2152" s="25" t="str">
        <f>IF($N2152="","",INDEX('_calc'!$D$2:$D$3001,$N2152))</f>
        <v/>
      </c>
      <c r="F2152" s="26" t="str">
        <f>IF($N2152="","",IF($E$8=0,"",E2152/$E$8))</f>
        <v/>
      </c>
      <c r="G2152" s="25" t="str">
        <f>IF($N2152="","",INDEX('_calc'!$E$2:$E$3001,$N2152))</f>
        <v/>
      </c>
      <c r="H2152" s="25" t="str">
        <f>IF($N2152="","",INDEX('_calc'!$F$2:$F$3001,$N2152))</f>
        <v/>
      </c>
      <c r="I2152" s="27" t="str">
        <f>IF($N2152="","",INDEX('_calc'!$H$2:$H$3001,$N2152))</f>
        <v/>
      </c>
      <c r="J2152" s="27" t="str">
        <f>IF($N2152="","",INDEX('_calc'!$I$2:$I$3001,$N2152))</f>
        <v/>
      </c>
      <c r="K2152" s="28" t="str">
        <f>IF($N2152="","",IF(OR(I2152="",J2152=""),"",J2152-I2152))</f>
        <v/>
      </c>
      <c r="L2152" s="29" t="str">
        <f>IF($N2152="","",INDEX('_calc'!$J$2:$J$3001,$N2152))</f>
        <v/>
      </c>
      <c r="M2152" s="2" t="str">
        <f>IF($N2152="","",IF(AND(G2152=0,H2152=0),"수량 없음",IF(G2152=0,"신규 (전년 수량 없음)",IF(H2152=0,"당해 수량 없음",""))))</f>
        <v/>
      </c>
      <c r="N2152" t="str">
        <f>IF($B2152="","",MATCH($B2152,'_calc'!$L$2:$L$3001,0))</f>
        <v/>
      </c>
    </row>
    <row r="2153">
      <c r="B2153" s="24" t="str">
        <f>IF(ROW()-ROW($B$8)&gt;nComp,"",ROW()-ROW($B$8))</f>
        <v/>
      </c>
      <c r="C2153" t="str">
        <f>IF($N2153="","",INDEX('_calc'!$A$2:$A$3001,$N2153))</f>
        <v/>
      </c>
      <c r="D2153" s="25" t="str">
        <f>IF($N2153="","",INDEX('_calc'!$C$2:$C$3001,$N2153))</f>
        <v/>
      </c>
      <c r="E2153" s="25" t="str">
        <f>IF($N2153="","",INDEX('_calc'!$D$2:$D$3001,$N2153))</f>
        <v/>
      </c>
      <c r="F2153" s="26" t="str">
        <f>IF($N2153="","",IF($E$8=0,"",E2153/$E$8))</f>
        <v/>
      </c>
      <c r="G2153" s="25" t="str">
        <f>IF($N2153="","",INDEX('_calc'!$E$2:$E$3001,$N2153))</f>
        <v/>
      </c>
      <c r="H2153" s="25" t="str">
        <f>IF($N2153="","",INDEX('_calc'!$F$2:$F$3001,$N2153))</f>
        <v/>
      </c>
      <c r="I2153" s="27" t="str">
        <f>IF($N2153="","",INDEX('_calc'!$H$2:$H$3001,$N2153))</f>
        <v/>
      </c>
      <c r="J2153" s="27" t="str">
        <f>IF($N2153="","",INDEX('_calc'!$I$2:$I$3001,$N2153))</f>
        <v/>
      </c>
      <c r="K2153" s="28" t="str">
        <f>IF($N2153="","",IF(OR(I2153="",J2153=""),"",J2153-I2153))</f>
        <v/>
      </c>
      <c r="L2153" s="29" t="str">
        <f>IF($N2153="","",INDEX('_calc'!$J$2:$J$3001,$N2153))</f>
        <v/>
      </c>
      <c r="M2153" s="2" t="str">
        <f>IF($N2153="","",IF(AND(G2153=0,H2153=0),"수량 없음",IF(G2153=0,"신규 (전년 수량 없음)",IF(H2153=0,"당해 수량 없음",""))))</f>
        <v/>
      </c>
      <c r="N2153" t="str">
        <f>IF($B2153="","",MATCH($B2153,'_calc'!$L$2:$L$3001,0))</f>
        <v/>
      </c>
    </row>
    <row r="2154">
      <c r="B2154" s="24" t="str">
        <f>IF(ROW()-ROW($B$8)&gt;nComp,"",ROW()-ROW($B$8))</f>
        <v/>
      </c>
      <c r="C2154" t="str">
        <f>IF($N2154="","",INDEX('_calc'!$A$2:$A$3001,$N2154))</f>
        <v/>
      </c>
      <c r="D2154" s="25" t="str">
        <f>IF($N2154="","",INDEX('_calc'!$C$2:$C$3001,$N2154))</f>
        <v/>
      </c>
      <c r="E2154" s="25" t="str">
        <f>IF($N2154="","",INDEX('_calc'!$D$2:$D$3001,$N2154))</f>
        <v/>
      </c>
      <c r="F2154" s="26" t="str">
        <f>IF($N2154="","",IF($E$8=0,"",E2154/$E$8))</f>
        <v/>
      </c>
      <c r="G2154" s="25" t="str">
        <f>IF($N2154="","",INDEX('_calc'!$E$2:$E$3001,$N2154))</f>
        <v/>
      </c>
      <c r="H2154" s="25" t="str">
        <f>IF($N2154="","",INDEX('_calc'!$F$2:$F$3001,$N2154))</f>
        <v/>
      </c>
      <c r="I2154" s="27" t="str">
        <f>IF($N2154="","",INDEX('_calc'!$H$2:$H$3001,$N2154))</f>
        <v/>
      </c>
      <c r="J2154" s="27" t="str">
        <f>IF($N2154="","",INDEX('_calc'!$I$2:$I$3001,$N2154))</f>
        <v/>
      </c>
      <c r="K2154" s="28" t="str">
        <f>IF($N2154="","",IF(OR(I2154="",J2154=""),"",J2154-I2154))</f>
        <v/>
      </c>
      <c r="L2154" s="29" t="str">
        <f>IF($N2154="","",INDEX('_calc'!$J$2:$J$3001,$N2154))</f>
        <v/>
      </c>
      <c r="M2154" s="2" t="str">
        <f>IF($N2154="","",IF(AND(G2154=0,H2154=0),"수량 없음",IF(G2154=0,"신규 (전년 수량 없음)",IF(H2154=0,"당해 수량 없음",""))))</f>
        <v/>
      </c>
      <c r="N2154" t="str">
        <f>IF($B2154="","",MATCH($B2154,'_calc'!$L$2:$L$3001,0))</f>
        <v/>
      </c>
    </row>
    <row r="2155">
      <c r="B2155" s="24" t="str">
        <f>IF(ROW()-ROW($B$8)&gt;nComp,"",ROW()-ROW($B$8))</f>
        <v/>
      </c>
      <c r="C2155" t="str">
        <f>IF($N2155="","",INDEX('_calc'!$A$2:$A$3001,$N2155))</f>
        <v/>
      </c>
      <c r="D2155" s="25" t="str">
        <f>IF($N2155="","",INDEX('_calc'!$C$2:$C$3001,$N2155))</f>
        <v/>
      </c>
      <c r="E2155" s="25" t="str">
        <f>IF($N2155="","",INDEX('_calc'!$D$2:$D$3001,$N2155))</f>
        <v/>
      </c>
      <c r="F2155" s="26" t="str">
        <f>IF($N2155="","",IF($E$8=0,"",E2155/$E$8))</f>
        <v/>
      </c>
      <c r="G2155" s="25" t="str">
        <f>IF($N2155="","",INDEX('_calc'!$E$2:$E$3001,$N2155))</f>
        <v/>
      </c>
      <c r="H2155" s="25" t="str">
        <f>IF($N2155="","",INDEX('_calc'!$F$2:$F$3001,$N2155))</f>
        <v/>
      </c>
      <c r="I2155" s="27" t="str">
        <f>IF($N2155="","",INDEX('_calc'!$H$2:$H$3001,$N2155))</f>
        <v/>
      </c>
      <c r="J2155" s="27" t="str">
        <f>IF($N2155="","",INDEX('_calc'!$I$2:$I$3001,$N2155))</f>
        <v/>
      </c>
      <c r="K2155" s="28" t="str">
        <f>IF($N2155="","",IF(OR(I2155="",J2155=""),"",J2155-I2155))</f>
        <v/>
      </c>
      <c r="L2155" s="29" t="str">
        <f>IF($N2155="","",INDEX('_calc'!$J$2:$J$3001,$N2155))</f>
        <v/>
      </c>
      <c r="M2155" s="2" t="str">
        <f>IF($N2155="","",IF(AND(G2155=0,H2155=0),"수량 없음",IF(G2155=0,"신규 (전년 수량 없음)",IF(H2155=0,"당해 수량 없음",""))))</f>
        <v/>
      </c>
      <c r="N2155" t="str">
        <f>IF($B2155="","",MATCH($B2155,'_calc'!$L$2:$L$3001,0))</f>
        <v/>
      </c>
    </row>
    <row r="2156">
      <c r="B2156" s="24" t="str">
        <f>IF(ROW()-ROW($B$8)&gt;nComp,"",ROW()-ROW($B$8))</f>
        <v/>
      </c>
      <c r="C2156" t="str">
        <f>IF($N2156="","",INDEX('_calc'!$A$2:$A$3001,$N2156))</f>
        <v/>
      </c>
      <c r="D2156" s="25" t="str">
        <f>IF($N2156="","",INDEX('_calc'!$C$2:$C$3001,$N2156))</f>
        <v/>
      </c>
      <c r="E2156" s="25" t="str">
        <f>IF($N2156="","",INDEX('_calc'!$D$2:$D$3001,$N2156))</f>
        <v/>
      </c>
      <c r="F2156" s="26" t="str">
        <f>IF($N2156="","",IF($E$8=0,"",E2156/$E$8))</f>
        <v/>
      </c>
      <c r="G2156" s="25" t="str">
        <f>IF($N2156="","",INDEX('_calc'!$E$2:$E$3001,$N2156))</f>
        <v/>
      </c>
      <c r="H2156" s="25" t="str">
        <f>IF($N2156="","",INDEX('_calc'!$F$2:$F$3001,$N2156))</f>
        <v/>
      </c>
      <c r="I2156" s="27" t="str">
        <f>IF($N2156="","",INDEX('_calc'!$H$2:$H$3001,$N2156))</f>
        <v/>
      </c>
      <c r="J2156" s="27" t="str">
        <f>IF($N2156="","",INDEX('_calc'!$I$2:$I$3001,$N2156))</f>
        <v/>
      </c>
      <c r="K2156" s="28" t="str">
        <f>IF($N2156="","",IF(OR(I2156="",J2156=""),"",J2156-I2156))</f>
        <v/>
      </c>
      <c r="L2156" s="29" t="str">
        <f>IF($N2156="","",INDEX('_calc'!$J$2:$J$3001,$N2156))</f>
        <v/>
      </c>
      <c r="M2156" s="2" t="str">
        <f>IF($N2156="","",IF(AND(G2156=0,H2156=0),"수량 없음",IF(G2156=0,"신규 (전년 수량 없음)",IF(H2156=0,"당해 수량 없음",""))))</f>
        <v/>
      </c>
      <c r="N2156" t="str">
        <f>IF($B2156="","",MATCH($B2156,'_calc'!$L$2:$L$3001,0))</f>
        <v/>
      </c>
    </row>
    <row r="2157">
      <c r="B2157" s="24" t="str">
        <f>IF(ROW()-ROW($B$8)&gt;nComp,"",ROW()-ROW($B$8))</f>
        <v/>
      </c>
      <c r="C2157" t="str">
        <f>IF($N2157="","",INDEX('_calc'!$A$2:$A$3001,$N2157))</f>
        <v/>
      </c>
      <c r="D2157" s="25" t="str">
        <f>IF($N2157="","",INDEX('_calc'!$C$2:$C$3001,$N2157))</f>
        <v/>
      </c>
      <c r="E2157" s="25" t="str">
        <f>IF($N2157="","",INDEX('_calc'!$D$2:$D$3001,$N2157))</f>
        <v/>
      </c>
      <c r="F2157" s="26" t="str">
        <f>IF($N2157="","",IF($E$8=0,"",E2157/$E$8))</f>
        <v/>
      </c>
      <c r="G2157" s="25" t="str">
        <f>IF($N2157="","",INDEX('_calc'!$E$2:$E$3001,$N2157))</f>
        <v/>
      </c>
      <c r="H2157" s="25" t="str">
        <f>IF($N2157="","",INDEX('_calc'!$F$2:$F$3001,$N2157))</f>
        <v/>
      </c>
      <c r="I2157" s="27" t="str">
        <f>IF($N2157="","",INDEX('_calc'!$H$2:$H$3001,$N2157))</f>
        <v/>
      </c>
      <c r="J2157" s="27" t="str">
        <f>IF($N2157="","",INDEX('_calc'!$I$2:$I$3001,$N2157))</f>
        <v/>
      </c>
      <c r="K2157" s="28" t="str">
        <f>IF($N2157="","",IF(OR(I2157="",J2157=""),"",J2157-I2157))</f>
        <v/>
      </c>
      <c r="L2157" s="29" t="str">
        <f>IF($N2157="","",INDEX('_calc'!$J$2:$J$3001,$N2157))</f>
        <v/>
      </c>
      <c r="M2157" s="2" t="str">
        <f>IF($N2157="","",IF(AND(G2157=0,H2157=0),"수량 없음",IF(G2157=0,"신규 (전년 수량 없음)",IF(H2157=0,"당해 수량 없음",""))))</f>
        <v/>
      </c>
      <c r="N2157" t="str">
        <f>IF($B2157="","",MATCH($B2157,'_calc'!$L$2:$L$3001,0))</f>
        <v/>
      </c>
    </row>
    <row r="2158">
      <c r="B2158" s="24" t="str">
        <f>IF(ROW()-ROW($B$8)&gt;nComp,"",ROW()-ROW($B$8))</f>
        <v/>
      </c>
      <c r="C2158" t="str">
        <f>IF($N2158="","",INDEX('_calc'!$A$2:$A$3001,$N2158))</f>
        <v/>
      </c>
      <c r="D2158" s="25" t="str">
        <f>IF($N2158="","",INDEX('_calc'!$C$2:$C$3001,$N2158))</f>
        <v/>
      </c>
      <c r="E2158" s="25" t="str">
        <f>IF($N2158="","",INDEX('_calc'!$D$2:$D$3001,$N2158))</f>
        <v/>
      </c>
      <c r="F2158" s="26" t="str">
        <f>IF($N2158="","",IF($E$8=0,"",E2158/$E$8))</f>
        <v/>
      </c>
      <c r="G2158" s="25" t="str">
        <f>IF($N2158="","",INDEX('_calc'!$E$2:$E$3001,$N2158))</f>
        <v/>
      </c>
      <c r="H2158" s="25" t="str">
        <f>IF($N2158="","",INDEX('_calc'!$F$2:$F$3001,$N2158))</f>
        <v/>
      </c>
      <c r="I2158" s="27" t="str">
        <f>IF($N2158="","",INDEX('_calc'!$H$2:$H$3001,$N2158))</f>
        <v/>
      </c>
      <c r="J2158" s="27" t="str">
        <f>IF($N2158="","",INDEX('_calc'!$I$2:$I$3001,$N2158))</f>
        <v/>
      </c>
      <c r="K2158" s="28" t="str">
        <f>IF($N2158="","",IF(OR(I2158="",J2158=""),"",J2158-I2158))</f>
        <v/>
      </c>
      <c r="L2158" s="29" t="str">
        <f>IF($N2158="","",INDEX('_calc'!$J$2:$J$3001,$N2158))</f>
        <v/>
      </c>
      <c r="M2158" s="2" t="str">
        <f>IF($N2158="","",IF(AND(G2158=0,H2158=0),"수량 없음",IF(G2158=0,"신규 (전년 수량 없음)",IF(H2158=0,"당해 수량 없음",""))))</f>
        <v/>
      </c>
      <c r="N2158" t="str">
        <f>IF($B2158="","",MATCH($B2158,'_calc'!$L$2:$L$3001,0))</f>
        <v/>
      </c>
    </row>
    <row r="2159">
      <c r="B2159" s="24" t="str">
        <f>IF(ROW()-ROW($B$8)&gt;nComp,"",ROW()-ROW($B$8))</f>
        <v/>
      </c>
      <c r="C2159" t="str">
        <f>IF($N2159="","",INDEX('_calc'!$A$2:$A$3001,$N2159))</f>
        <v/>
      </c>
      <c r="D2159" s="25" t="str">
        <f>IF($N2159="","",INDEX('_calc'!$C$2:$C$3001,$N2159))</f>
        <v/>
      </c>
      <c r="E2159" s="25" t="str">
        <f>IF($N2159="","",INDEX('_calc'!$D$2:$D$3001,$N2159))</f>
        <v/>
      </c>
      <c r="F2159" s="26" t="str">
        <f>IF($N2159="","",IF($E$8=0,"",E2159/$E$8))</f>
        <v/>
      </c>
      <c r="G2159" s="25" t="str">
        <f>IF($N2159="","",INDEX('_calc'!$E$2:$E$3001,$N2159))</f>
        <v/>
      </c>
      <c r="H2159" s="25" t="str">
        <f>IF($N2159="","",INDEX('_calc'!$F$2:$F$3001,$N2159))</f>
        <v/>
      </c>
      <c r="I2159" s="27" t="str">
        <f>IF($N2159="","",INDEX('_calc'!$H$2:$H$3001,$N2159))</f>
        <v/>
      </c>
      <c r="J2159" s="27" t="str">
        <f>IF($N2159="","",INDEX('_calc'!$I$2:$I$3001,$N2159))</f>
        <v/>
      </c>
      <c r="K2159" s="28" t="str">
        <f>IF($N2159="","",IF(OR(I2159="",J2159=""),"",J2159-I2159))</f>
        <v/>
      </c>
      <c r="L2159" s="29" t="str">
        <f>IF($N2159="","",INDEX('_calc'!$J$2:$J$3001,$N2159))</f>
        <v/>
      </c>
      <c r="M2159" s="2" t="str">
        <f>IF($N2159="","",IF(AND(G2159=0,H2159=0),"수량 없음",IF(G2159=0,"신규 (전년 수량 없음)",IF(H2159=0,"당해 수량 없음",""))))</f>
        <v/>
      </c>
      <c r="N2159" t="str">
        <f>IF($B2159="","",MATCH($B2159,'_calc'!$L$2:$L$3001,0))</f>
        <v/>
      </c>
    </row>
    <row r="2160">
      <c r="B2160" s="24" t="str">
        <f>IF(ROW()-ROW($B$8)&gt;nComp,"",ROW()-ROW($B$8))</f>
        <v/>
      </c>
      <c r="C2160" t="str">
        <f>IF($N2160="","",INDEX('_calc'!$A$2:$A$3001,$N2160))</f>
        <v/>
      </c>
      <c r="D2160" s="25" t="str">
        <f>IF($N2160="","",INDEX('_calc'!$C$2:$C$3001,$N2160))</f>
        <v/>
      </c>
      <c r="E2160" s="25" t="str">
        <f>IF($N2160="","",INDEX('_calc'!$D$2:$D$3001,$N2160))</f>
        <v/>
      </c>
      <c r="F2160" s="26" t="str">
        <f>IF($N2160="","",IF($E$8=0,"",E2160/$E$8))</f>
        <v/>
      </c>
      <c r="G2160" s="25" t="str">
        <f>IF($N2160="","",INDEX('_calc'!$E$2:$E$3001,$N2160))</f>
        <v/>
      </c>
      <c r="H2160" s="25" t="str">
        <f>IF($N2160="","",INDEX('_calc'!$F$2:$F$3001,$N2160))</f>
        <v/>
      </c>
      <c r="I2160" s="27" t="str">
        <f>IF($N2160="","",INDEX('_calc'!$H$2:$H$3001,$N2160))</f>
        <v/>
      </c>
      <c r="J2160" s="27" t="str">
        <f>IF($N2160="","",INDEX('_calc'!$I$2:$I$3001,$N2160))</f>
        <v/>
      </c>
      <c r="K2160" s="28" t="str">
        <f>IF($N2160="","",IF(OR(I2160="",J2160=""),"",J2160-I2160))</f>
        <v/>
      </c>
      <c r="L2160" s="29" t="str">
        <f>IF($N2160="","",INDEX('_calc'!$J$2:$J$3001,$N2160))</f>
        <v/>
      </c>
      <c r="M2160" s="2" t="str">
        <f>IF($N2160="","",IF(AND(G2160=0,H2160=0),"수량 없음",IF(G2160=0,"신규 (전년 수량 없음)",IF(H2160=0,"당해 수량 없음",""))))</f>
        <v/>
      </c>
      <c r="N2160" t="str">
        <f>IF($B2160="","",MATCH($B2160,'_calc'!$L$2:$L$3001,0))</f>
        <v/>
      </c>
    </row>
    <row r="2161">
      <c r="B2161" s="24" t="str">
        <f>IF(ROW()-ROW($B$8)&gt;nComp,"",ROW()-ROW($B$8))</f>
        <v/>
      </c>
      <c r="C2161" t="str">
        <f>IF($N2161="","",INDEX('_calc'!$A$2:$A$3001,$N2161))</f>
        <v/>
      </c>
      <c r="D2161" s="25" t="str">
        <f>IF($N2161="","",INDEX('_calc'!$C$2:$C$3001,$N2161))</f>
        <v/>
      </c>
      <c r="E2161" s="25" t="str">
        <f>IF($N2161="","",INDEX('_calc'!$D$2:$D$3001,$N2161))</f>
        <v/>
      </c>
      <c r="F2161" s="26" t="str">
        <f>IF($N2161="","",IF($E$8=0,"",E2161/$E$8))</f>
        <v/>
      </c>
      <c r="G2161" s="25" t="str">
        <f>IF($N2161="","",INDEX('_calc'!$E$2:$E$3001,$N2161))</f>
        <v/>
      </c>
      <c r="H2161" s="25" t="str">
        <f>IF($N2161="","",INDEX('_calc'!$F$2:$F$3001,$N2161))</f>
        <v/>
      </c>
      <c r="I2161" s="27" t="str">
        <f>IF($N2161="","",INDEX('_calc'!$H$2:$H$3001,$N2161))</f>
        <v/>
      </c>
      <c r="J2161" s="27" t="str">
        <f>IF($N2161="","",INDEX('_calc'!$I$2:$I$3001,$N2161))</f>
        <v/>
      </c>
      <c r="K2161" s="28" t="str">
        <f>IF($N2161="","",IF(OR(I2161="",J2161=""),"",J2161-I2161))</f>
        <v/>
      </c>
      <c r="L2161" s="29" t="str">
        <f>IF($N2161="","",INDEX('_calc'!$J$2:$J$3001,$N2161))</f>
        <v/>
      </c>
      <c r="M2161" s="2" t="str">
        <f>IF($N2161="","",IF(AND(G2161=0,H2161=0),"수량 없음",IF(G2161=0,"신규 (전년 수량 없음)",IF(H2161=0,"당해 수량 없음",""))))</f>
        <v/>
      </c>
      <c r="N2161" t="str">
        <f>IF($B2161="","",MATCH($B2161,'_calc'!$L$2:$L$3001,0))</f>
        <v/>
      </c>
    </row>
    <row r="2162">
      <c r="B2162" s="24" t="str">
        <f>IF(ROW()-ROW($B$8)&gt;nComp,"",ROW()-ROW($B$8))</f>
        <v/>
      </c>
      <c r="C2162" t="str">
        <f>IF($N2162="","",INDEX('_calc'!$A$2:$A$3001,$N2162))</f>
        <v/>
      </c>
      <c r="D2162" s="25" t="str">
        <f>IF($N2162="","",INDEX('_calc'!$C$2:$C$3001,$N2162))</f>
        <v/>
      </c>
      <c r="E2162" s="25" t="str">
        <f>IF($N2162="","",INDEX('_calc'!$D$2:$D$3001,$N2162))</f>
        <v/>
      </c>
      <c r="F2162" s="26" t="str">
        <f>IF($N2162="","",IF($E$8=0,"",E2162/$E$8))</f>
        <v/>
      </c>
      <c r="G2162" s="25" t="str">
        <f>IF($N2162="","",INDEX('_calc'!$E$2:$E$3001,$N2162))</f>
        <v/>
      </c>
      <c r="H2162" s="25" t="str">
        <f>IF($N2162="","",INDEX('_calc'!$F$2:$F$3001,$N2162))</f>
        <v/>
      </c>
      <c r="I2162" s="27" t="str">
        <f>IF($N2162="","",INDEX('_calc'!$H$2:$H$3001,$N2162))</f>
        <v/>
      </c>
      <c r="J2162" s="27" t="str">
        <f>IF($N2162="","",INDEX('_calc'!$I$2:$I$3001,$N2162))</f>
        <v/>
      </c>
      <c r="K2162" s="28" t="str">
        <f>IF($N2162="","",IF(OR(I2162="",J2162=""),"",J2162-I2162))</f>
        <v/>
      </c>
      <c r="L2162" s="29" t="str">
        <f>IF($N2162="","",INDEX('_calc'!$J$2:$J$3001,$N2162))</f>
        <v/>
      </c>
      <c r="M2162" s="2" t="str">
        <f>IF($N2162="","",IF(AND(G2162=0,H2162=0),"수량 없음",IF(G2162=0,"신규 (전년 수량 없음)",IF(H2162=0,"당해 수량 없음",""))))</f>
        <v/>
      </c>
      <c r="N2162" t="str">
        <f>IF($B2162="","",MATCH($B2162,'_calc'!$L$2:$L$3001,0))</f>
        <v/>
      </c>
    </row>
    <row r="2163">
      <c r="B2163" s="24" t="str">
        <f>IF(ROW()-ROW($B$8)&gt;nComp,"",ROW()-ROW($B$8))</f>
        <v/>
      </c>
      <c r="C2163" t="str">
        <f>IF($N2163="","",INDEX('_calc'!$A$2:$A$3001,$N2163))</f>
        <v/>
      </c>
      <c r="D2163" s="25" t="str">
        <f>IF($N2163="","",INDEX('_calc'!$C$2:$C$3001,$N2163))</f>
        <v/>
      </c>
      <c r="E2163" s="25" t="str">
        <f>IF($N2163="","",INDEX('_calc'!$D$2:$D$3001,$N2163))</f>
        <v/>
      </c>
      <c r="F2163" s="26" t="str">
        <f>IF($N2163="","",IF($E$8=0,"",E2163/$E$8))</f>
        <v/>
      </c>
      <c r="G2163" s="25" t="str">
        <f>IF($N2163="","",INDEX('_calc'!$E$2:$E$3001,$N2163))</f>
        <v/>
      </c>
      <c r="H2163" s="25" t="str">
        <f>IF($N2163="","",INDEX('_calc'!$F$2:$F$3001,$N2163))</f>
        <v/>
      </c>
      <c r="I2163" s="27" t="str">
        <f>IF($N2163="","",INDEX('_calc'!$H$2:$H$3001,$N2163))</f>
        <v/>
      </c>
      <c r="J2163" s="27" t="str">
        <f>IF($N2163="","",INDEX('_calc'!$I$2:$I$3001,$N2163))</f>
        <v/>
      </c>
      <c r="K2163" s="28" t="str">
        <f>IF($N2163="","",IF(OR(I2163="",J2163=""),"",J2163-I2163))</f>
        <v/>
      </c>
      <c r="L2163" s="29" t="str">
        <f>IF($N2163="","",INDEX('_calc'!$J$2:$J$3001,$N2163))</f>
        <v/>
      </c>
      <c r="M2163" s="2" t="str">
        <f>IF($N2163="","",IF(AND(G2163=0,H2163=0),"수량 없음",IF(G2163=0,"신규 (전년 수량 없음)",IF(H2163=0,"당해 수량 없음",""))))</f>
        <v/>
      </c>
      <c r="N2163" t="str">
        <f>IF($B2163="","",MATCH($B2163,'_calc'!$L$2:$L$3001,0))</f>
        <v/>
      </c>
    </row>
    <row r="2164">
      <c r="B2164" s="24" t="str">
        <f>IF(ROW()-ROW($B$8)&gt;nComp,"",ROW()-ROW($B$8))</f>
        <v/>
      </c>
      <c r="C2164" t="str">
        <f>IF($N2164="","",INDEX('_calc'!$A$2:$A$3001,$N2164))</f>
        <v/>
      </c>
      <c r="D2164" s="25" t="str">
        <f>IF($N2164="","",INDEX('_calc'!$C$2:$C$3001,$N2164))</f>
        <v/>
      </c>
      <c r="E2164" s="25" t="str">
        <f>IF($N2164="","",INDEX('_calc'!$D$2:$D$3001,$N2164))</f>
        <v/>
      </c>
      <c r="F2164" s="26" t="str">
        <f>IF($N2164="","",IF($E$8=0,"",E2164/$E$8))</f>
        <v/>
      </c>
      <c r="G2164" s="25" t="str">
        <f>IF($N2164="","",INDEX('_calc'!$E$2:$E$3001,$N2164))</f>
        <v/>
      </c>
      <c r="H2164" s="25" t="str">
        <f>IF($N2164="","",INDEX('_calc'!$F$2:$F$3001,$N2164))</f>
        <v/>
      </c>
      <c r="I2164" s="27" t="str">
        <f>IF($N2164="","",INDEX('_calc'!$H$2:$H$3001,$N2164))</f>
        <v/>
      </c>
      <c r="J2164" s="27" t="str">
        <f>IF($N2164="","",INDEX('_calc'!$I$2:$I$3001,$N2164))</f>
        <v/>
      </c>
      <c r="K2164" s="28" t="str">
        <f>IF($N2164="","",IF(OR(I2164="",J2164=""),"",J2164-I2164))</f>
        <v/>
      </c>
      <c r="L2164" s="29" t="str">
        <f>IF($N2164="","",INDEX('_calc'!$J$2:$J$3001,$N2164))</f>
        <v/>
      </c>
      <c r="M2164" s="2" t="str">
        <f>IF($N2164="","",IF(AND(G2164=0,H2164=0),"수량 없음",IF(G2164=0,"신규 (전년 수량 없음)",IF(H2164=0,"당해 수량 없음",""))))</f>
        <v/>
      </c>
      <c r="N2164" t="str">
        <f>IF($B2164="","",MATCH($B2164,'_calc'!$L$2:$L$3001,0))</f>
        <v/>
      </c>
    </row>
    <row r="2165">
      <c r="B2165" s="24" t="str">
        <f>IF(ROW()-ROW($B$8)&gt;nComp,"",ROW()-ROW($B$8))</f>
        <v/>
      </c>
      <c r="C2165" t="str">
        <f>IF($N2165="","",INDEX('_calc'!$A$2:$A$3001,$N2165))</f>
        <v/>
      </c>
      <c r="D2165" s="25" t="str">
        <f>IF($N2165="","",INDEX('_calc'!$C$2:$C$3001,$N2165))</f>
        <v/>
      </c>
      <c r="E2165" s="25" t="str">
        <f>IF($N2165="","",INDEX('_calc'!$D$2:$D$3001,$N2165))</f>
        <v/>
      </c>
      <c r="F2165" s="26" t="str">
        <f>IF($N2165="","",IF($E$8=0,"",E2165/$E$8))</f>
        <v/>
      </c>
      <c r="G2165" s="25" t="str">
        <f>IF($N2165="","",INDEX('_calc'!$E$2:$E$3001,$N2165))</f>
        <v/>
      </c>
      <c r="H2165" s="25" t="str">
        <f>IF($N2165="","",INDEX('_calc'!$F$2:$F$3001,$N2165))</f>
        <v/>
      </c>
      <c r="I2165" s="27" t="str">
        <f>IF($N2165="","",INDEX('_calc'!$H$2:$H$3001,$N2165))</f>
        <v/>
      </c>
      <c r="J2165" s="27" t="str">
        <f>IF($N2165="","",INDEX('_calc'!$I$2:$I$3001,$N2165))</f>
        <v/>
      </c>
      <c r="K2165" s="28" t="str">
        <f>IF($N2165="","",IF(OR(I2165="",J2165=""),"",J2165-I2165))</f>
        <v/>
      </c>
      <c r="L2165" s="29" t="str">
        <f>IF($N2165="","",INDEX('_calc'!$J$2:$J$3001,$N2165))</f>
        <v/>
      </c>
      <c r="M2165" s="2" t="str">
        <f>IF($N2165="","",IF(AND(G2165=0,H2165=0),"수량 없음",IF(G2165=0,"신규 (전년 수량 없음)",IF(H2165=0,"당해 수량 없음",""))))</f>
        <v/>
      </c>
      <c r="N2165" t="str">
        <f>IF($B2165="","",MATCH($B2165,'_calc'!$L$2:$L$3001,0))</f>
        <v/>
      </c>
    </row>
    <row r="2166">
      <c r="B2166" s="24" t="str">
        <f>IF(ROW()-ROW($B$8)&gt;nComp,"",ROW()-ROW($B$8))</f>
        <v/>
      </c>
      <c r="C2166" t="str">
        <f>IF($N2166="","",INDEX('_calc'!$A$2:$A$3001,$N2166))</f>
        <v/>
      </c>
      <c r="D2166" s="25" t="str">
        <f>IF($N2166="","",INDEX('_calc'!$C$2:$C$3001,$N2166))</f>
        <v/>
      </c>
      <c r="E2166" s="25" t="str">
        <f>IF($N2166="","",INDEX('_calc'!$D$2:$D$3001,$N2166))</f>
        <v/>
      </c>
      <c r="F2166" s="26" t="str">
        <f>IF($N2166="","",IF($E$8=0,"",E2166/$E$8))</f>
        <v/>
      </c>
      <c r="G2166" s="25" t="str">
        <f>IF($N2166="","",INDEX('_calc'!$E$2:$E$3001,$N2166))</f>
        <v/>
      </c>
      <c r="H2166" s="25" t="str">
        <f>IF($N2166="","",INDEX('_calc'!$F$2:$F$3001,$N2166))</f>
        <v/>
      </c>
      <c r="I2166" s="27" t="str">
        <f>IF($N2166="","",INDEX('_calc'!$H$2:$H$3001,$N2166))</f>
        <v/>
      </c>
      <c r="J2166" s="27" t="str">
        <f>IF($N2166="","",INDEX('_calc'!$I$2:$I$3001,$N2166))</f>
        <v/>
      </c>
      <c r="K2166" s="28" t="str">
        <f>IF($N2166="","",IF(OR(I2166="",J2166=""),"",J2166-I2166))</f>
        <v/>
      </c>
      <c r="L2166" s="29" t="str">
        <f>IF($N2166="","",INDEX('_calc'!$J$2:$J$3001,$N2166))</f>
        <v/>
      </c>
      <c r="M2166" s="2" t="str">
        <f>IF($N2166="","",IF(AND(G2166=0,H2166=0),"수량 없음",IF(G2166=0,"신규 (전년 수량 없음)",IF(H2166=0,"당해 수량 없음",""))))</f>
        <v/>
      </c>
      <c r="N2166" t="str">
        <f>IF($B2166="","",MATCH($B2166,'_calc'!$L$2:$L$3001,0))</f>
        <v/>
      </c>
    </row>
    <row r="2167">
      <c r="B2167" s="24" t="str">
        <f>IF(ROW()-ROW($B$8)&gt;nComp,"",ROW()-ROW($B$8))</f>
        <v/>
      </c>
      <c r="C2167" t="str">
        <f>IF($N2167="","",INDEX('_calc'!$A$2:$A$3001,$N2167))</f>
        <v/>
      </c>
      <c r="D2167" s="25" t="str">
        <f>IF($N2167="","",INDEX('_calc'!$C$2:$C$3001,$N2167))</f>
        <v/>
      </c>
      <c r="E2167" s="25" t="str">
        <f>IF($N2167="","",INDEX('_calc'!$D$2:$D$3001,$N2167))</f>
        <v/>
      </c>
      <c r="F2167" s="26" t="str">
        <f>IF($N2167="","",IF($E$8=0,"",E2167/$E$8))</f>
        <v/>
      </c>
      <c r="G2167" s="25" t="str">
        <f>IF($N2167="","",INDEX('_calc'!$E$2:$E$3001,$N2167))</f>
        <v/>
      </c>
      <c r="H2167" s="25" t="str">
        <f>IF($N2167="","",INDEX('_calc'!$F$2:$F$3001,$N2167))</f>
        <v/>
      </c>
      <c r="I2167" s="27" t="str">
        <f>IF($N2167="","",INDEX('_calc'!$H$2:$H$3001,$N2167))</f>
        <v/>
      </c>
      <c r="J2167" s="27" t="str">
        <f>IF($N2167="","",INDEX('_calc'!$I$2:$I$3001,$N2167))</f>
        <v/>
      </c>
      <c r="K2167" s="28" t="str">
        <f>IF($N2167="","",IF(OR(I2167="",J2167=""),"",J2167-I2167))</f>
        <v/>
      </c>
      <c r="L2167" s="29" t="str">
        <f>IF($N2167="","",INDEX('_calc'!$J$2:$J$3001,$N2167))</f>
        <v/>
      </c>
      <c r="M2167" s="2" t="str">
        <f>IF($N2167="","",IF(AND(G2167=0,H2167=0),"수량 없음",IF(G2167=0,"신규 (전년 수량 없음)",IF(H2167=0,"당해 수량 없음",""))))</f>
        <v/>
      </c>
      <c r="N2167" t="str">
        <f>IF($B2167="","",MATCH($B2167,'_calc'!$L$2:$L$3001,0))</f>
        <v/>
      </c>
    </row>
    <row r="2168">
      <c r="B2168" s="24" t="str">
        <f>IF(ROW()-ROW($B$8)&gt;nComp,"",ROW()-ROW($B$8))</f>
        <v/>
      </c>
      <c r="C2168" t="str">
        <f>IF($N2168="","",INDEX('_calc'!$A$2:$A$3001,$N2168))</f>
        <v/>
      </c>
      <c r="D2168" s="25" t="str">
        <f>IF($N2168="","",INDEX('_calc'!$C$2:$C$3001,$N2168))</f>
        <v/>
      </c>
      <c r="E2168" s="25" t="str">
        <f>IF($N2168="","",INDEX('_calc'!$D$2:$D$3001,$N2168))</f>
        <v/>
      </c>
      <c r="F2168" s="26" t="str">
        <f>IF($N2168="","",IF($E$8=0,"",E2168/$E$8))</f>
        <v/>
      </c>
      <c r="G2168" s="25" t="str">
        <f>IF($N2168="","",INDEX('_calc'!$E$2:$E$3001,$N2168))</f>
        <v/>
      </c>
      <c r="H2168" s="25" t="str">
        <f>IF($N2168="","",INDEX('_calc'!$F$2:$F$3001,$N2168))</f>
        <v/>
      </c>
      <c r="I2168" s="27" t="str">
        <f>IF($N2168="","",INDEX('_calc'!$H$2:$H$3001,$N2168))</f>
        <v/>
      </c>
      <c r="J2168" s="27" t="str">
        <f>IF($N2168="","",INDEX('_calc'!$I$2:$I$3001,$N2168))</f>
        <v/>
      </c>
      <c r="K2168" s="28" t="str">
        <f>IF($N2168="","",IF(OR(I2168="",J2168=""),"",J2168-I2168))</f>
        <v/>
      </c>
      <c r="L2168" s="29" t="str">
        <f>IF($N2168="","",INDEX('_calc'!$J$2:$J$3001,$N2168))</f>
        <v/>
      </c>
      <c r="M2168" s="2" t="str">
        <f>IF($N2168="","",IF(AND(G2168=0,H2168=0),"수량 없음",IF(G2168=0,"신규 (전년 수량 없음)",IF(H2168=0,"당해 수량 없음",""))))</f>
        <v/>
      </c>
      <c r="N2168" t="str">
        <f>IF($B2168="","",MATCH($B2168,'_calc'!$L$2:$L$3001,0))</f>
        <v/>
      </c>
    </row>
    <row r="2169">
      <c r="B2169" s="24" t="str">
        <f>IF(ROW()-ROW($B$8)&gt;nComp,"",ROW()-ROW($B$8))</f>
        <v/>
      </c>
      <c r="C2169" t="str">
        <f>IF($N2169="","",INDEX('_calc'!$A$2:$A$3001,$N2169))</f>
        <v/>
      </c>
      <c r="D2169" s="25" t="str">
        <f>IF($N2169="","",INDEX('_calc'!$C$2:$C$3001,$N2169))</f>
        <v/>
      </c>
      <c r="E2169" s="25" t="str">
        <f>IF($N2169="","",INDEX('_calc'!$D$2:$D$3001,$N2169))</f>
        <v/>
      </c>
      <c r="F2169" s="26" t="str">
        <f>IF($N2169="","",IF($E$8=0,"",E2169/$E$8))</f>
        <v/>
      </c>
      <c r="G2169" s="25" t="str">
        <f>IF($N2169="","",INDEX('_calc'!$E$2:$E$3001,$N2169))</f>
        <v/>
      </c>
      <c r="H2169" s="25" t="str">
        <f>IF($N2169="","",INDEX('_calc'!$F$2:$F$3001,$N2169))</f>
        <v/>
      </c>
      <c r="I2169" s="27" t="str">
        <f>IF($N2169="","",INDEX('_calc'!$H$2:$H$3001,$N2169))</f>
        <v/>
      </c>
      <c r="J2169" s="27" t="str">
        <f>IF($N2169="","",INDEX('_calc'!$I$2:$I$3001,$N2169))</f>
        <v/>
      </c>
      <c r="K2169" s="28" t="str">
        <f>IF($N2169="","",IF(OR(I2169="",J2169=""),"",J2169-I2169))</f>
        <v/>
      </c>
      <c r="L2169" s="29" t="str">
        <f>IF($N2169="","",INDEX('_calc'!$J$2:$J$3001,$N2169))</f>
        <v/>
      </c>
      <c r="M2169" s="2" t="str">
        <f>IF($N2169="","",IF(AND(G2169=0,H2169=0),"수량 없음",IF(G2169=0,"신규 (전년 수량 없음)",IF(H2169=0,"당해 수량 없음",""))))</f>
        <v/>
      </c>
      <c r="N2169" t="str">
        <f>IF($B2169="","",MATCH($B2169,'_calc'!$L$2:$L$3001,0))</f>
        <v/>
      </c>
    </row>
    <row r="2170">
      <c r="B2170" s="24" t="str">
        <f>IF(ROW()-ROW($B$8)&gt;nComp,"",ROW()-ROW($B$8))</f>
        <v/>
      </c>
      <c r="C2170" t="str">
        <f>IF($N2170="","",INDEX('_calc'!$A$2:$A$3001,$N2170))</f>
        <v/>
      </c>
      <c r="D2170" s="25" t="str">
        <f>IF($N2170="","",INDEX('_calc'!$C$2:$C$3001,$N2170))</f>
        <v/>
      </c>
      <c r="E2170" s="25" t="str">
        <f>IF($N2170="","",INDEX('_calc'!$D$2:$D$3001,$N2170))</f>
        <v/>
      </c>
      <c r="F2170" s="26" t="str">
        <f>IF($N2170="","",IF($E$8=0,"",E2170/$E$8))</f>
        <v/>
      </c>
      <c r="G2170" s="25" t="str">
        <f>IF($N2170="","",INDEX('_calc'!$E$2:$E$3001,$N2170))</f>
        <v/>
      </c>
      <c r="H2170" s="25" t="str">
        <f>IF($N2170="","",INDEX('_calc'!$F$2:$F$3001,$N2170))</f>
        <v/>
      </c>
      <c r="I2170" s="27" t="str">
        <f>IF($N2170="","",INDEX('_calc'!$H$2:$H$3001,$N2170))</f>
        <v/>
      </c>
      <c r="J2170" s="27" t="str">
        <f>IF($N2170="","",INDEX('_calc'!$I$2:$I$3001,$N2170))</f>
        <v/>
      </c>
      <c r="K2170" s="28" t="str">
        <f>IF($N2170="","",IF(OR(I2170="",J2170=""),"",J2170-I2170))</f>
        <v/>
      </c>
      <c r="L2170" s="29" t="str">
        <f>IF($N2170="","",INDEX('_calc'!$J$2:$J$3001,$N2170))</f>
        <v/>
      </c>
      <c r="M2170" s="2" t="str">
        <f>IF($N2170="","",IF(AND(G2170=0,H2170=0),"수량 없음",IF(G2170=0,"신규 (전년 수량 없음)",IF(H2170=0,"당해 수량 없음",""))))</f>
        <v/>
      </c>
      <c r="N2170" t="str">
        <f>IF($B2170="","",MATCH($B2170,'_calc'!$L$2:$L$3001,0))</f>
        <v/>
      </c>
    </row>
    <row r="2171">
      <c r="B2171" s="24" t="str">
        <f>IF(ROW()-ROW($B$8)&gt;nComp,"",ROW()-ROW($B$8))</f>
        <v/>
      </c>
      <c r="C2171" t="str">
        <f>IF($N2171="","",INDEX('_calc'!$A$2:$A$3001,$N2171))</f>
        <v/>
      </c>
      <c r="D2171" s="25" t="str">
        <f>IF($N2171="","",INDEX('_calc'!$C$2:$C$3001,$N2171))</f>
        <v/>
      </c>
      <c r="E2171" s="25" t="str">
        <f>IF($N2171="","",INDEX('_calc'!$D$2:$D$3001,$N2171))</f>
        <v/>
      </c>
      <c r="F2171" s="26" t="str">
        <f>IF($N2171="","",IF($E$8=0,"",E2171/$E$8))</f>
        <v/>
      </c>
      <c r="G2171" s="25" t="str">
        <f>IF($N2171="","",INDEX('_calc'!$E$2:$E$3001,$N2171))</f>
        <v/>
      </c>
      <c r="H2171" s="25" t="str">
        <f>IF($N2171="","",INDEX('_calc'!$F$2:$F$3001,$N2171))</f>
        <v/>
      </c>
      <c r="I2171" s="27" t="str">
        <f>IF($N2171="","",INDEX('_calc'!$H$2:$H$3001,$N2171))</f>
        <v/>
      </c>
      <c r="J2171" s="27" t="str">
        <f>IF($N2171="","",INDEX('_calc'!$I$2:$I$3001,$N2171))</f>
        <v/>
      </c>
      <c r="K2171" s="28" t="str">
        <f>IF($N2171="","",IF(OR(I2171="",J2171=""),"",J2171-I2171))</f>
        <v/>
      </c>
      <c r="L2171" s="29" t="str">
        <f>IF($N2171="","",INDEX('_calc'!$J$2:$J$3001,$N2171))</f>
        <v/>
      </c>
      <c r="M2171" s="2" t="str">
        <f>IF($N2171="","",IF(AND(G2171=0,H2171=0),"수량 없음",IF(G2171=0,"신규 (전년 수량 없음)",IF(H2171=0,"당해 수량 없음",""))))</f>
        <v/>
      </c>
      <c r="N2171" t="str">
        <f>IF($B2171="","",MATCH($B2171,'_calc'!$L$2:$L$3001,0))</f>
        <v/>
      </c>
    </row>
    <row r="2172">
      <c r="B2172" s="24" t="str">
        <f>IF(ROW()-ROW($B$8)&gt;nComp,"",ROW()-ROW($B$8))</f>
        <v/>
      </c>
      <c r="C2172" t="str">
        <f>IF($N2172="","",INDEX('_calc'!$A$2:$A$3001,$N2172))</f>
        <v/>
      </c>
      <c r="D2172" s="25" t="str">
        <f>IF($N2172="","",INDEX('_calc'!$C$2:$C$3001,$N2172))</f>
        <v/>
      </c>
      <c r="E2172" s="25" t="str">
        <f>IF($N2172="","",INDEX('_calc'!$D$2:$D$3001,$N2172))</f>
        <v/>
      </c>
      <c r="F2172" s="26" t="str">
        <f>IF($N2172="","",IF($E$8=0,"",E2172/$E$8))</f>
        <v/>
      </c>
      <c r="G2172" s="25" t="str">
        <f>IF($N2172="","",INDEX('_calc'!$E$2:$E$3001,$N2172))</f>
        <v/>
      </c>
      <c r="H2172" s="25" t="str">
        <f>IF($N2172="","",INDEX('_calc'!$F$2:$F$3001,$N2172))</f>
        <v/>
      </c>
      <c r="I2172" s="27" t="str">
        <f>IF($N2172="","",INDEX('_calc'!$H$2:$H$3001,$N2172))</f>
        <v/>
      </c>
      <c r="J2172" s="27" t="str">
        <f>IF($N2172="","",INDEX('_calc'!$I$2:$I$3001,$N2172))</f>
        <v/>
      </c>
      <c r="K2172" s="28" t="str">
        <f>IF($N2172="","",IF(OR(I2172="",J2172=""),"",J2172-I2172))</f>
        <v/>
      </c>
      <c r="L2172" s="29" t="str">
        <f>IF($N2172="","",INDEX('_calc'!$J$2:$J$3001,$N2172))</f>
        <v/>
      </c>
      <c r="M2172" s="2" t="str">
        <f>IF($N2172="","",IF(AND(G2172=0,H2172=0),"수량 없음",IF(G2172=0,"신규 (전년 수량 없음)",IF(H2172=0,"당해 수량 없음",""))))</f>
        <v/>
      </c>
      <c r="N2172" t="str">
        <f>IF($B2172="","",MATCH($B2172,'_calc'!$L$2:$L$3001,0))</f>
        <v/>
      </c>
    </row>
    <row r="2173">
      <c r="B2173" s="24" t="str">
        <f>IF(ROW()-ROW($B$8)&gt;nComp,"",ROW()-ROW($B$8))</f>
        <v/>
      </c>
      <c r="C2173" t="str">
        <f>IF($N2173="","",INDEX('_calc'!$A$2:$A$3001,$N2173))</f>
        <v/>
      </c>
      <c r="D2173" s="25" t="str">
        <f>IF($N2173="","",INDEX('_calc'!$C$2:$C$3001,$N2173))</f>
        <v/>
      </c>
      <c r="E2173" s="25" t="str">
        <f>IF($N2173="","",INDEX('_calc'!$D$2:$D$3001,$N2173))</f>
        <v/>
      </c>
      <c r="F2173" s="26" t="str">
        <f>IF($N2173="","",IF($E$8=0,"",E2173/$E$8))</f>
        <v/>
      </c>
      <c r="G2173" s="25" t="str">
        <f>IF($N2173="","",INDEX('_calc'!$E$2:$E$3001,$N2173))</f>
        <v/>
      </c>
      <c r="H2173" s="25" t="str">
        <f>IF($N2173="","",INDEX('_calc'!$F$2:$F$3001,$N2173))</f>
        <v/>
      </c>
      <c r="I2173" s="27" t="str">
        <f>IF($N2173="","",INDEX('_calc'!$H$2:$H$3001,$N2173))</f>
        <v/>
      </c>
      <c r="J2173" s="27" t="str">
        <f>IF($N2173="","",INDEX('_calc'!$I$2:$I$3001,$N2173))</f>
        <v/>
      </c>
      <c r="K2173" s="28" t="str">
        <f>IF($N2173="","",IF(OR(I2173="",J2173=""),"",J2173-I2173))</f>
        <v/>
      </c>
      <c r="L2173" s="29" t="str">
        <f>IF($N2173="","",INDEX('_calc'!$J$2:$J$3001,$N2173))</f>
        <v/>
      </c>
      <c r="M2173" s="2" t="str">
        <f>IF($N2173="","",IF(AND(G2173=0,H2173=0),"수량 없음",IF(G2173=0,"신규 (전년 수량 없음)",IF(H2173=0,"당해 수량 없음",""))))</f>
        <v/>
      </c>
      <c r="N2173" t="str">
        <f>IF($B2173="","",MATCH($B2173,'_calc'!$L$2:$L$3001,0))</f>
        <v/>
      </c>
    </row>
    <row r="2174">
      <c r="B2174" s="24" t="str">
        <f>IF(ROW()-ROW($B$8)&gt;nComp,"",ROW()-ROW($B$8))</f>
        <v/>
      </c>
      <c r="C2174" t="str">
        <f>IF($N2174="","",INDEX('_calc'!$A$2:$A$3001,$N2174))</f>
        <v/>
      </c>
      <c r="D2174" s="25" t="str">
        <f>IF($N2174="","",INDEX('_calc'!$C$2:$C$3001,$N2174))</f>
        <v/>
      </c>
      <c r="E2174" s="25" t="str">
        <f>IF($N2174="","",INDEX('_calc'!$D$2:$D$3001,$N2174))</f>
        <v/>
      </c>
      <c r="F2174" s="26" t="str">
        <f>IF($N2174="","",IF($E$8=0,"",E2174/$E$8))</f>
        <v/>
      </c>
      <c r="G2174" s="25" t="str">
        <f>IF($N2174="","",INDEX('_calc'!$E$2:$E$3001,$N2174))</f>
        <v/>
      </c>
      <c r="H2174" s="25" t="str">
        <f>IF($N2174="","",INDEX('_calc'!$F$2:$F$3001,$N2174))</f>
        <v/>
      </c>
      <c r="I2174" s="27" t="str">
        <f>IF($N2174="","",INDEX('_calc'!$H$2:$H$3001,$N2174))</f>
        <v/>
      </c>
      <c r="J2174" s="27" t="str">
        <f>IF($N2174="","",INDEX('_calc'!$I$2:$I$3001,$N2174))</f>
        <v/>
      </c>
      <c r="K2174" s="28" t="str">
        <f>IF($N2174="","",IF(OR(I2174="",J2174=""),"",J2174-I2174))</f>
        <v/>
      </c>
      <c r="L2174" s="29" t="str">
        <f>IF($N2174="","",INDEX('_calc'!$J$2:$J$3001,$N2174))</f>
        <v/>
      </c>
      <c r="M2174" s="2" t="str">
        <f>IF($N2174="","",IF(AND(G2174=0,H2174=0),"수량 없음",IF(G2174=0,"신규 (전년 수량 없음)",IF(H2174=0,"당해 수량 없음",""))))</f>
        <v/>
      </c>
      <c r="N2174" t="str">
        <f>IF($B2174="","",MATCH($B2174,'_calc'!$L$2:$L$3001,0))</f>
        <v/>
      </c>
    </row>
    <row r="2175">
      <c r="B2175" s="24" t="str">
        <f>IF(ROW()-ROW($B$8)&gt;nComp,"",ROW()-ROW($B$8))</f>
        <v/>
      </c>
      <c r="C2175" t="str">
        <f>IF($N2175="","",INDEX('_calc'!$A$2:$A$3001,$N2175))</f>
        <v/>
      </c>
      <c r="D2175" s="25" t="str">
        <f>IF($N2175="","",INDEX('_calc'!$C$2:$C$3001,$N2175))</f>
        <v/>
      </c>
      <c r="E2175" s="25" t="str">
        <f>IF($N2175="","",INDEX('_calc'!$D$2:$D$3001,$N2175))</f>
        <v/>
      </c>
      <c r="F2175" s="26" t="str">
        <f>IF($N2175="","",IF($E$8=0,"",E2175/$E$8))</f>
        <v/>
      </c>
      <c r="G2175" s="25" t="str">
        <f>IF($N2175="","",INDEX('_calc'!$E$2:$E$3001,$N2175))</f>
        <v/>
      </c>
      <c r="H2175" s="25" t="str">
        <f>IF($N2175="","",INDEX('_calc'!$F$2:$F$3001,$N2175))</f>
        <v/>
      </c>
      <c r="I2175" s="27" t="str">
        <f>IF($N2175="","",INDEX('_calc'!$H$2:$H$3001,$N2175))</f>
        <v/>
      </c>
      <c r="J2175" s="27" t="str">
        <f>IF($N2175="","",INDEX('_calc'!$I$2:$I$3001,$N2175))</f>
        <v/>
      </c>
      <c r="K2175" s="28" t="str">
        <f>IF($N2175="","",IF(OR(I2175="",J2175=""),"",J2175-I2175))</f>
        <v/>
      </c>
      <c r="L2175" s="29" t="str">
        <f>IF($N2175="","",INDEX('_calc'!$J$2:$J$3001,$N2175))</f>
        <v/>
      </c>
      <c r="M2175" s="2" t="str">
        <f>IF($N2175="","",IF(AND(G2175=0,H2175=0),"수량 없음",IF(G2175=0,"신규 (전년 수량 없음)",IF(H2175=0,"당해 수량 없음",""))))</f>
        <v/>
      </c>
      <c r="N2175" t="str">
        <f>IF($B2175="","",MATCH($B2175,'_calc'!$L$2:$L$3001,0))</f>
        <v/>
      </c>
    </row>
    <row r="2176">
      <c r="B2176" s="24" t="str">
        <f>IF(ROW()-ROW($B$8)&gt;nComp,"",ROW()-ROW($B$8))</f>
        <v/>
      </c>
      <c r="C2176" t="str">
        <f>IF($N2176="","",INDEX('_calc'!$A$2:$A$3001,$N2176))</f>
        <v/>
      </c>
      <c r="D2176" s="25" t="str">
        <f>IF($N2176="","",INDEX('_calc'!$C$2:$C$3001,$N2176))</f>
        <v/>
      </c>
      <c r="E2176" s="25" t="str">
        <f>IF($N2176="","",INDEX('_calc'!$D$2:$D$3001,$N2176))</f>
        <v/>
      </c>
      <c r="F2176" s="26" t="str">
        <f>IF($N2176="","",IF($E$8=0,"",E2176/$E$8))</f>
        <v/>
      </c>
      <c r="G2176" s="25" t="str">
        <f>IF($N2176="","",INDEX('_calc'!$E$2:$E$3001,$N2176))</f>
        <v/>
      </c>
      <c r="H2176" s="25" t="str">
        <f>IF($N2176="","",INDEX('_calc'!$F$2:$F$3001,$N2176))</f>
        <v/>
      </c>
      <c r="I2176" s="27" t="str">
        <f>IF($N2176="","",INDEX('_calc'!$H$2:$H$3001,$N2176))</f>
        <v/>
      </c>
      <c r="J2176" s="27" t="str">
        <f>IF($N2176="","",INDEX('_calc'!$I$2:$I$3001,$N2176))</f>
        <v/>
      </c>
      <c r="K2176" s="28" t="str">
        <f>IF($N2176="","",IF(OR(I2176="",J2176=""),"",J2176-I2176))</f>
        <v/>
      </c>
      <c r="L2176" s="29" t="str">
        <f>IF($N2176="","",INDEX('_calc'!$J$2:$J$3001,$N2176))</f>
        <v/>
      </c>
      <c r="M2176" s="2" t="str">
        <f>IF($N2176="","",IF(AND(G2176=0,H2176=0),"수량 없음",IF(G2176=0,"신규 (전년 수량 없음)",IF(H2176=0,"당해 수량 없음",""))))</f>
        <v/>
      </c>
      <c r="N2176" t="str">
        <f>IF($B2176="","",MATCH($B2176,'_calc'!$L$2:$L$3001,0))</f>
        <v/>
      </c>
    </row>
    <row r="2177">
      <c r="B2177" s="24" t="str">
        <f>IF(ROW()-ROW($B$8)&gt;nComp,"",ROW()-ROW($B$8))</f>
        <v/>
      </c>
      <c r="C2177" t="str">
        <f>IF($N2177="","",INDEX('_calc'!$A$2:$A$3001,$N2177))</f>
        <v/>
      </c>
      <c r="D2177" s="25" t="str">
        <f>IF($N2177="","",INDEX('_calc'!$C$2:$C$3001,$N2177))</f>
        <v/>
      </c>
      <c r="E2177" s="25" t="str">
        <f>IF($N2177="","",INDEX('_calc'!$D$2:$D$3001,$N2177))</f>
        <v/>
      </c>
      <c r="F2177" s="26" t="str">
        <f>IF($N2177="","",IF($E$8=0,"",E2177/$E$8))</f>
        <v/>
      </c>
      <c r="G2177" s="25" t="str">
        <f>IF($N2177="","",INDEX('_calc'!$E$2:$E$3001,$N2177))</f>
        <v/>
      </c>
      <c r="H2177" s="25" t="str">
        <f>IF($N2177="","",INDEX('_calc'!$F$2:$F$3001,$N2177))</f>
        <v/>
      </c>
      <c r="I2177" s="27" t="str">
        <f>IF($N2177="","",INDEX('_calc'!$H$2:$H$3001,$N2177))</f>
        <v/>
      </c>
      <c r="J2177" s="27" t="str">
        <f>IF($N2177="","",INDEX('_calc'!$I$2:$I$3001,$N2177))</f>
        <v/>
      </c>
      <c r="K2177" s="28" t="str">
        <f>IF($N2177="","",IF(OR(I2177="",J2177=""),"",J2177-I2177))</f>
        <v/>
      </c>
      <c r="L2177" s="29" t="str">
        <f>IF($N2177="","",INDEX('_calc'!$J$2:$J$3001,$N2177))</f>
        <v/>
      </c>
      <c r="M2177" s="2" t="str">
        <f>IF($N2177="","",IF(AND(G2177=0,H2177=0),"수량 없음",IF(G2177=0,"신규 (전년 수량 없음)",IF(H2177=0,"당해 수량 없음",""))))</f>
        <v/>
      </c>
      <c r="N2177" t="str">
        <f>IF($B2177="","",MATCH($B2177,'_calc'!$L$2:$L$3001,0))</f>
        <v/>
      </c>
    </row>
    <row r="2178">
      <c r="B2178" s="24" t="str">
        <f>IF(ROW()-ROW($B$8)&gt;nComp,"",ROW()-ROW($B$8))</f>
        <v/>
      </c>
      <c r="C2178" t="str">
        <f>IF($N2178="","",INDEX('_calc'!$A$2:$A$3001,$N2178))</f>
        <v/>
      </c>
      <c r="D2178" s="25" t="str">
        <f>IF($N2178="","",INDEX('_calc'!$C$2:$C$3001,$N2178))</f>
        <v/>
      </c>
      <c r="E2178" s="25" t="str">
        <f>IF($N2178="","",INDEX('_calc'!$D$2:$D$3001,$N2178))</f>
        <v/>
      </c>
      <c r="F2178" s="26" t="str">
        <f>IF($N2178="","",IF($E$8=0,"",E2178/$E$8))</f>
        <v/>
      </c>
      <c r="G2178" s="25" t="str">
        <f>IF($N2178="","",INDEX('_calc'!$E$2:$E$3001,$N2178))</f>
        <v/>
      </c>
      <c r="H2178" s="25" t="str">
        <f>IF($N2178="","",INDEX('_calc'!$F$2:$F$3001,$N2178))</f>
        <v/>
      </c>
      <c r="I2178" s="27" t="str">
        <f>IF($N2178="","",INDEX('_calc'!$H$2:$H$3001,$N2178))</f>
        <v/>
      </c>
      <c r="J2178" s="27" t="str">
        <f>IF($N2178="","",INDEX('_calc'!$I$2:$I$3001,$N2178))</f>
        <v/>
      </c>
      <c r="K2178" s="28" t="str">
        <f>IF($N2178="","",IF(OR(I2178="",J2178=""),"",J2178-I2178))</f>
        <v/>
      </c>
      <c r="L2178" s="29" t="str">
        <f>IF($N2178="","",INDEX('_calc'!$J$2:$J$3001,$N2178))</f>
        <v/>
      </c>
      <c r="M2178" s="2" t="str">
        <f>IF($N2178="","",IF(AND(G2178=0,H2178=0),"수량 없음",IF(G2178=0,"신규 (전년 수량 없음)",IF(H2178=0,"당해 수량 없음",""))))</f>
        <v/>
      </c>
      <c r="N2178" t="str">
        <f>IF($B2178="","",MATCH($B2178,'_calc'!$L$2:$L$3001,0))</f>
        <v/>
      </c>
    </row>
    <row r="2179">
      <c r="B2179" s="24" t="str">
        <f>IF(ROW()-ROW($B$8)&gt;nComp,"",ROW()-ROW($B$8))</f>
        <v/>
      </c>
      <c r="C2179" t="str">
        <f>IF($N2179="","",INDEX('_calc'!$A$2:$A$3001,$N2179))</f>
        <v/>
      </c>
      <c r="D2179" s="25" t="str">
        <f>IF($N2179="","",INDEX('_calc'!$C$2:$C$3001,$N2179))</f>
        <v/>
      </c>
      <c r="E2179" s="25" t="str">
        <f>IF($N2179="","",INDEX('_calc'!$D$2:$D$3001,$N2179))</f>
        <v/>
      </c>
      <c r="F2179" s="26" t="str">
        <f>IF($N2179="","",IF($E$8=0,"",E2179/$E$8))</f>
        <v/>
      </c>
      <c r="G2179" s="25" t="str">
        <f>IF($N2179="","",INDEX('_calc'!$E$2:$E$3001,$N2179))</f>
        <v/>
      </c>
      <c r="H2179" s="25" t="str">
        <f>IF($N2179="","",INDEX('_calc'!$F$2:$F$3001,$N2179))</f>
        <v/>
      </c>
      <c r="I2179" s="27" t="str">
        <f>IF($N2179="","",INDEX('_calc'!$H$2:$H$3001,$N2179))</f>
        <v/>
      </c>
      <c r="J2179" s="27" t="str">
        <f>IF($N2179="","",INDEX('_calc'!$I$2:$I$3001,$N2179))</f>
        <v/>
      </c>
      <c r="K2179" s="28" t="str">
        <f>IF($N2179="","",IF(OR(I2179="",J2179=""),"",J2179-I2179))</f>
        <v/>
      </c>
      <c r="L2179" s="29" t="str">
        <f>IF($N2179="","",INDEX('_calc'!$J$2:$J$3001,$N2179))</f>
        <v/>
      </c>
      <c r="M2179" s="2" t="str">
        <f>IF($N2179="","",IF(AND(G2179=0,H2179=0),"수량 없음",IF(G2179=0,"신규 (전년 수량 없음)",IF(H2179=0,"당해 수량 없음",""))))</f>
        <v/>
      </c>
      <c r="N2179" t="str">
        <f>IF($B2179="","",MATCH($B2179,'_calc'!$L$2:$L$3001,0))</f>
        <v/>
      </c>
    </row>
    <row r="2180">
      <c r="B2180" s="24" t="str">
        <f>IF(ROW()-ROW($B$8)&gt;nComp,"",ROW()-ROW($B$8))</f>
        <v/>
      </c>
      <c r="C2180" t="str">
        <f>IF($N2180="","",INDEX('_calc'!$A$2:$A$3001,$N2180))</f>
        <v/>
      </c>
      <c r="D2180" s="25" t="str">
        <f>IF($N2180="","",INDEX('_calc'!$C$2:$C$3001,$N2180))</f>
        <v/>
      </c>
      <c r="E2180" s="25" t="str">
        <f>IF($N2180="","",INDEX('_calc'!$D$2:$D$3001,$N2180))</f>
        <v/>
      </c>
      <c r="F2180" s="26" t="str">
        <f>IF($N2180="","",IF($E$8=0,"",E2180/$E$8))</f>
        <v/>
      </c>
      <c r="G2180" s="25" t="str">
        <f>IF($N2180="","",INDEX('_calc'!$E$2:$E$3001,$N2180))</f>
        <v/>
      </c>
      <c r="H2180" s="25" t="str">
        <f>IF($N2180="","",INDEX('_calc'!$F$2:$F$3001,$N2180))</f>
        <v/>
      </c>
      <c r="I2180" s="27" t="str">
        <f>IF($N2180="","",INDEX('_calc'!$H$2:$H$3001,$N2180))</f>
        <v/>
      </c>
      <c r="J2180" s="27" t="str">
        <f>IF($N2180="","",INDEX('_calc'!$I$2:$I$3001,$N2180))</f>
        <v/>
      </c>
      <c r="K2180" s="28" t="str">
        <f>IF($N2180="","",IF(OR(I2180="",J2180=""),"",J2180-I2180))</f>
        <v/>
      </c>
      <c r="L2180" s="29" t="str">
        <f>IF($N2180="","",INDEX('_calc'!$J$2:$J$3001,$N2180))</f>
        <v/>
      </c>
      <c r="M2180" s="2" t="str">
        <f>IF($N2180="","",IF(AND(G2180=0,H2180=0),"수량 없음",IF(G2180=0,"신규 (전년 수량 없음)",IF(H2180=0,"당해 수량 없음",""))))</f>
        <v/>
      </c>
      <c r="N2180" t="str">
        <f>IF($B2180="","",MATCH($B2180,'_calc'!$L$2:$L$3001,0))</f>
        <v/>
      </c>
    </row>
    <row r="2181">
      <c r="B2181" s="24" t="str">
        <f>IF(ROW()-ROW($B$8)&gt;nComp,"",ROW()-ROW($B$8))</f>
        <v/>
      </c>
      <c r="C2181" t="str">
        <f>IF($N2181="","",INDEX('_calc'!$A$2:$A$3001,$N2181))</f>
        <v/>
      </c>
      <c r="D2181" s="25" t="str">
        <f>IF($N2181="","",INDEX('_calc'!$C$2:$C$3001,$N2181))</f>
        <v/>
      </c>
      <c r="E2181" s="25" t="str">
        <f>IF($N2181="","",INDEX('_calc'!$D$2:$D$3001,$N2181))</f>
        <v/>
      </c>
      <c r="F2181" s="26" t="str">
        <f>IF($N2181="","",IF($E$8=0,"",E2181/$E$8))</f>
        <v/>
      </c>
      <c r="G2181" s="25" t="str">
        <f>IF($N2181="","",INDEX('_calc'!$E$2:$E$3001,$N2181))</f>
        <v/>
      </c>
      <c r="H2181" s="25" t="str">
        <f>IF($N2181="","",INDEX('_calc'!$F$2:$F$3001,$N2181))</f>
        <v/>
      </c>
      <c r="I2181" s="27" t="str">
        <f>IF($N2181="","",INDEX('_calc'!$H$2:$H$3001,$N2181))</f>
        <v/>
      </c>
      <c r="J2181" s="27" t="str">
        <f>IF($N2181="","",INDEX('_calc'!$I$2:$I$3001,$N2181))</f>
        <v/>
      </c>
      <c r="K2181" s="28" t="str">
        <f>IF($N2181="","",IF(OR(I2181="",J2181=""),"",J2181-I2181))</f>
        <v/>
      </c>
      <c r="L2181" s="29" t="str">
        <f>IF($N2181="","",INDEX('_calc'!$J$2:$J$3001,$N2181))</f>
        <v/>
      </c>
      <c r="M2181" s="2" t="str">
        <f>IF($N2181="","",IF(AND(G2181=0,H2181=0),"수량 없음",IF(G2181=0,"신규 (전년 수량 없음)",IF(H2181=0,"당해 수량 없음",""))))</f>
        <v/>
      </c>
      <c r="N2181" t="str">
        <f>IF($B2181="","",MATCH($B2181,'_calc'!$L$2:$L$3001,0))</f>
        <v/>
      </c>
    </row>
    <row r="2182">
      <c r="B2182" s="24" t="str">
        <f>IF(ROW()-ROW($B$8)&gt;nComp,"",ROW()-ROW($B$8))</f>
        <v/>
      </c>
      <c r="C2182" t="str">
        <f>IF($N2182="","",INDEX('_calc'!$A$2:$A$3001,$N2182))</f>
        <v/>
      </c>
      <c r="D2182" s="25" t="str">
        <f>IF($N2182="","",INDEX('_calc'!$C$2:$C$3001,$N2182))</f>
        <v/>
      </c>
      <c r="E2182" s="25" t="str">
        <f>IF($N2182="","",INDEX('_calc'!$D$2:$D$3001,$N2182))</f>
        <v/>
      </c>
      <c r="F2182" s="26" t="str">
        <f>IF($N2182="","",IF($E$8=0,"",E2182/$E$8))</f>
        <v/>
      </c>
      <c r="G2182" s="25" t="str">
        <f>IF($N2182="","",INDEX('_calc'!$E$2:$E$3001,$N2182))</f>
        <v/>
      </c>
      <c r="H2182" s="25" t="str">
        <f>IF($N2182="","",INDEX('_calc'!$F$2:$F$3001,$N2182))</f>
        <v/>
      </c>
      <c r="I2182" s="27" t="str">
        <f>IF($N2182="","",INDEX('_calc'!$H$2:$H$3001,$N2182))</f>
        <v/>
      </c>
      <c r="J2182" s="27" t="str">
        <f>IF($N2182="","",INDEX('_calc'!$I$2:$I$3001,$N2182))</f>
        <v/>
      </c>
      <c r="K2182" s="28" t="str">
        <f>IF($N2182="","",IF(OR(I2182="",J2182=""),"",J2182-I2182))</f>
        <v/>
      </c>
      <c r="L2182" s="29" t="str">
        <f>IF($N2182="","",INDEX('_calc'!$J$2:$J$3001,$N2182))</f>
        <v/>
      </c>
      <c r="M2182" s="2" t="str">
        <f>IF($N2182="","",IF(AND(G2182=0,H2182=0),"수량 없음",IF(G2182=0,"신규 (전년 수량 없음)",IF(H2182=0,"당해 수량 없음",""))))</f>
        <v/>
      </c>
      <c r="N2182" t="str">
        <f>IF($B2182="","",MATCH($B2182,'_calc'!$L$2:$L$3001,0))</f>
        <v/>
      </c>
    </row>
    <row r="2183">
      <c r="B2183" s="24" t="str">
        <f>IF(ROW()-ROW($B$8)&gt;nComp,"",ROW()-ROW($B$8))</f>
        <v/>
      </c>
      <c r="C2183" t="str">
        <f>IF($N2183="","",INDEX('_calc'!$A$2:$A$3001,$N2183))</f>
        <v/>
      </c>
      <c r="D2183" s="25" t="str">
        <f>IF($N2183="","",INDEX('_calc'!$C$2:$C$3001,$N2183))</f>
        <v/>
      </c>
      <c r="E2183" s="25" t="str">
        <f>IF($N2183="","",INDEX('_calc'!$D$2:$D$3001,$N2183))</f>
        <v/>
      </c>
      <c r="F2183" s="26" t="str">
        <f>IF($N2183="","",IF($E$8=0,"",E2183/$E$8))</f>
        <v/>
      </c>
      <c r="G2183" s="25" t="str">
        <f>IF($N2183="","",INDEX('_calc'!$E$2:$E$3001,$N2183))</f>
        <v/>
      </c>
      <c r="H2183" s="25" t="str">
        <f>IF($N2183="","",INDEX('_calc'!$F$2:$F$3001,$N2183))</f>
        <v/>
      </c>
      <c r="I2183" s="27" t="str">
        <f>IF($N2183="","",INDEX('_calc'!$H$2:$H$3001,$N2183))</f>
        <v/>
      </c>
      <c r="J2183" s="27" t="str">
        <f>IF($N2183="","",INDEX('_calc'!$I$2:$I$3001,$N2183))</f>
        <v/>
      </c>
      <c r="K2183" s="28" t="str">
        <f>IF($N2183="","",IF(OR(I2183="",J2183=""),"",J2183-I2183))</f>
        <v/>
      </c>
      <c r="L2183" s="29" t="str">
        <f>IF($N2183="","",INDEX('_calc'!$J$2:$J$3001,$N2183))</f>
        <v/>
      </c>
      <c r="M2183" s="2" t="str">
        <f>IF($N2183="","",IF(AND(G2183=0,H2183=0),"수량 없음",IF(G2183=0,"신규 (전년 수량 없음)",IF(H2183=0,"당해 수량 없음",""))))</f>
        <v/>
      </c>
      <c r="N2183" t="str">
        <f>IF($B2183="","",MATCH($B2183,'_calc'!$L$2:$L$3001,0))</f>
        <v/>
      </c>
    </row>
    <row r="2184">
      <c r="B2184" s="24" t="str">
        <f>IF(ROW()-ROW($B$8)&gt;nComp,"",ROW()-ROW($B$8))</f>
        <v/>
      </c>
      <c r="C2184" t="str">
        <f>IF($N2184="","",INDEX('_calc'!$A$2:$A$3001,$N2184))</f>
        <v/>
      </c>
      <c r="D2184" s="25" t="str">
        <f>IF($N2184="","",INDEX('_calc'!$C$2:$C$3001,$N2184))</f>
        <v/>
      </c>
      <c r="E2184" s="25" t="str">
        <f>IF($N2184="","",INDEX('_calc'!$D$2:$D$3001,$N2184))</f>
        <v/>
      </c>
      <c r="F2184" s="26" t="str">
        <f>IF($N2184="","",IF($E$8=0,"",E2184/$E$8))</f>
        <v/>
      </c>
      <c r="G2184" s="25" t="str">
        <f>IF($N2184="","",INDEX('_calc'!$E$2:$E$3001,$N2184))</f>
        <v/>
      </c>
      <c r="H2184" s="25" t="str">
        <f>IF($N2184="","",INDEX('_calc'!$F$2:$F$3001,$N2184))</f>
        <v/>
      </c>
      <c r="I2184" s="27" t="str">
        <f>IF($N2184="","",INDEX('_calc'!$H$2:$H$3001,$N2184))</f>
        <v/>
      </c>
      <c r="J2184" s="27" t="str">
        <f>IF($N2184="","",INDEX('_calc'!$I$2:$I$3001,$N2184))</f>
        <v/>
      </c>
      <c r="K2184" s="28" t="str">
        <f>IF($N2184="","",IF(OR(I2184="",J2184=""),"",J2184-I2184))</f>
        <v/>
      </c>
      <c r="L2184" s="29" t="str">
        <f>IF($N2184="","",INDEX('_calc'!$J$2:$J$3001,$N2184))</f>
        <v/>
      </c>
      <c r="M2184" s="2" t="str">
        <f>IF($N2184="","",IF(AND(G2184=0,H2184=0),"수량 없음",IF(G2184=0,"신규 (전년 수량 없음)",IF(H2184=0,"당해 수량 없음",""))))</f>
        <v/>
      </c>
      <c r="N2184" t="str">
        <f>IF($B2184="","",MATCH($B2184,'_calc'!$L$2:$L$3001,0))</f>
        <v/>
      </c>
    </row>
    <row r="2185">
      <c r="B2185" s="24" t="str">
        <f>IF(ROW()-ROW($B$8)&gt;nComp,"",ROW()-ROW($B$8))</f>
        <v/>
      </c>
      <c r="C2185" t="str">
        <f>IF($N2185="","",INDEX('_calc'!$A$2:$A$3001,$N2185))</f>
        <v/>
      </c>
      <c r="D2185" s="25" t="str">
        <f>IF($N2185="","",INDEX('_calc'!$C$2:$C$3001,$N2185))</f>
        <v/>
      </c>
      <c r="E2185" s="25" t="str">
        <f>IF($N2185="","",INDEX('_calc'!$D$2:$D$3001,$N2185))</f>
        <v/>
      </c>
      <c r="F2185" s="26" t="str">
        <f>IF($N2185="","",IF($E$8=0,"",E2185/$E$8))</f>
        <v/>
      </c>
      <c r="G2185" s="25" t="str">
        <f>IF($N2185="","",INDEX('_calc'!$E$2:$E$3001,$N2185))</f>
        <v/>
      </c>
      <c r="H2185" s="25" t="str">
        <f>IF($N2185="","",INDEX('_calc'!$F$2:$F$3001,$N2185))</f>
        <v/>
      </c>
      <c r="I2185" s="27" t="str">
        <f>IF($N2185="","",INDEX('_calc'!$H$2:$H$3001,$N2185))</f>
        <v/>
      </c>
      <c r="J2185" s="27" t="str">
        <f>IF($N2185="","",INDEX('_calc'!$I$2:$I$3001,$N2185))</f>
        <v/>
      </c>
      <c r="K2185" s="28" t="str">
        <f>IF($N2185="","",IF(OR(I2185="",J2185=""),"",J2185-I2185))</f>
        <v/>
      </c>
      <c r="L2185" s="29" t="str">
        <f>IF($N2185="","",INDEX('_calc'!$J$2:$J$3001,$N2185))</f>
        <v/>
      </c>
      <c r="M2185" s="2" t="str">
        <f>IF($N2185="","",IF(AND(G2185=0,H2185=0),"수량 없음",IF(G2185=0,"신규 (전년 수량 없음)",IF(H2185=0,"당해 수량 없음",""))))</f>
        <v/>
      </c>
      <c r="N2185" t="str">
        <f>IF($B2185="","",MATCH($B2185,'_calc'!$L$2:$L$3001,0))</f>
        <v/>
      </c>
    </row>
    <row r="2186">
      <c r="B2186" s="24" t="str">
        <f>IF(ROW()-ROW($B$8)&gt;nComp,"",ROW()-ROW($B$8))</f>
        <v/>
      </c>
      <c r="C2186" t="str">
        <f>IF($N2186="","",INDEX('_calc'!$A$2:$A$3001,$N2186))</f>
        <v/>
      </c>
      <c r="D2186" s="25" t="str">
        <f>IF($N2186="","",INDEX('_calc'!$C$2:$C$3001,$N2186))</f>
        <v/>
      </c>
      <c r="E2186" s="25" t="str">
        <f>IF($N2186="","",INDEX('_calc'!$D$2:$D$3001,$N2186))</f>
        <v/>
      </c>
      <c r="F2186" s="26" t="str">
        <f>IF($N2186="","",IF($E$8=0,"",E2186/$E$8))</f>
        <v/>
      </c>
      <c r="G2186" s="25" t="str">
        <f>IF($N2186="","",INDEX('_calc'!$E$2:$E$3001,$N2186))</f>
        <v/>
      </c>
      <c r="H2186" s="25" t="str">
        <f>IF($N2186="","",INDEX('_calc'!$F$2:$F$3001,$N2186))</f>
        <v/>
      </c>
      <c r="I2186" s="27" t="str">
        <f>IF($N2186="","",INDEX('_calc'!$H$2:$H$3001,$N2186))</f>
        <v/>
      </c>
      <c r="J2186" s="27" t="str">
        <f>IF($N2186="","",INDEX('_calc'!$I$2:$I$3001,$N2186))</f>
        <v/>
      </c>
      <c r="K2186" s="28" t="str">
        <f>IF($N2186="","",IF(OR(I2186="",J2186=""),"",J2186-I2186))</f>
        <v/>
      </c>
      <c r="L2186" s="29" t="str">
        <f>IF($N2186="","",INDEX('_calc'!$J$2:$J$3001,$N2186))</f>
        <v/>
      </c>
      <c r="M2186" s="2" t="str">
        <f>IF($N2186="","",IF(AND(G2186=0,H2186=0),"수량 없음",IF(G2186=0,"신규 (전년 수량 없음)",IF(H2186=0,"당해 수량 없음",""))))</f>
        <v/>
      </c>
      <c r="N2186" t="str">
        <f>IF($B2186="","",MATCH($B2186,'_calc'!$L$2:$L$3001,0))</f>
        <v/>
      </c>
    </row>
    <row r="2187">
      <c r="B2187" s="24" t="str">
        <f>IF(ROW()-ROW($B$8)&gt;nComp,"",ROW()-ROW($B$8))</f>
        <v/>
      </c>
      <c r="C2187" t="str">
        <f>IF($N2187="","",INDEX('_calc'!$A$2:$A$3001,$N2187))</f>
        <v/>
      </c>
      <c r="D2187" s="25" t="str">
        <f>IF($N2187="","",INDEX('_calc'!$C$2:$C$3001,$N2187))</f>
        <v/>
      </c>
      <c r="E2187" s="25" t="str">
        <f>IF($N2187="","",INDEX('_calc'!$D$2:$D$3001,$N2187))</f>
        <v/>
      </c>
      <c r="F2187" s="26" t="str">
        <f>IF($N2187="","",IF($E$8=0,"",E2187/$E$8))</f>
        <v/>
      </c>
      <c r="G2187" s="25" t="str">
        <f>IF($N2187="","",INDEX('_calc'!$E$2:$E$3001,$N2187))</f>
        <v/>
      </c>
      <c r="H2187" s="25" t="str">
        <f>IF($N2187="","",INDEX('_calc'!$F$2:$F$3001,$N2187))</f>
        <v/>
      </c>
      <c r="I2187" s="27" t="str">
        <f>IF($N2187="","",INDEX('_calc'!$H$2:$H$3001,$N2187))</f>
        <v/>
      </c>
      <c r="J2187" s="27" t="str">
        <f>IF($N2187="","",INDEX('_calc'!$I$2:$I$3001,$N2187))</f>
        <v/>
      </c>
      <c r="K2187" s="28" t="str">
        <f>IF($N2187="","",IF(OR(I2187="",J2187=""),"",J2187-I2187))</f>
        <v/>
      </c>
      <c r="L2187" s="29" t="str">
        <f>IF($N2187="","",INDEX('_calc'!$J$2:$J$3001,$N2187))</f>
        <v/>
      </c>
      <c r="M2187" s="2" t="str">
        <f>IF($N2187="","",IF(AND(G2187=0,H2187=0),"수량 없음",IF(G2187=0,"신규 (전년 수량 없음)",IF(H2187=0,"당해 수량 없음",""))))</f>
        <v/>
      </c>
      <c r="N2187" t="str">
        <f>IF($B2187="","",MATCH($B2187,'_calc'!$L$2:$L$3001,0))</f>
        <v/>
      </c>
    </row>
    <row r="2188">
      <c r="B2188" s="24" t="str">
        <f>IF(ROW()-ROW($B$8)&gt;nComp,"",ROW()-ROW($B$8))</f>
        <v/>
      </c>
      <c r="C2188" t="str">
        <f>IF($N2188="","",INDEX('_calc'!$A$2:$A$3001,$N2188))</f>
        <v/>
      </c>
      <c r="D2188" s="25" t="str">
        <f>IF($N2188="","",INDEX('_calc'!$C$2:$C$3001,$N2188))</f>
        <v/>
      </c>
      <c r="E2188" s="25" t="str">
        <f>IF($N2188="","",INDEX('_calc'!$D$2:$D$3001,$N2188))</f>
        <v/>
      </c>
      <c r="F2188" s="26" t="str">
        <f>IF($N2188="","",IF($E$8=0,"",E2188/$E$8))</f>
        <v/>
      </c>
      <c r="G2188" s="25" t="str">
        <f>IF($N2188="","",INDEX('_calc'!$E$2:$E$3001,$N2188))</f>
        <v/>
      </c>
      <c r="H2188" s="25" t="str">
        <f>IF($N2188="","",INDEX('_calc'!$F$2:$F$3001,$N2188))</f>
        <v/>
      </c>
      <c r="I2188" s="27" t="str">
        <f>IF($N2188="","",INDEX('_calc'!$H$2:$H$3001,$N2188))</f>
        <v/>
      </c>
      <c r="J2188" s="27" t="str">
        <f>IF($N2188="","",INDEX('_calc'!$I$2:$I$3001,$N2188))</f>
        <v/>
      </c>
      <c r="K2188" s="28" t="str">
        <f>IF($N2188="","",IF(OR(I2188="",J2188=""),"",J2188-I2188))</f>
        <v/>
      </c>
      <c r="L2188" s="29" t="str">
        <f>IF($N2188="","",INDEX('_calc'!$J$2:$J$3001,$N2188))</f>
        <v/>
      </c>
      <c r="M2188" s="2" t="str">
        <f>IF($N2188="","",IF(AND(G2188=0,H2188=0),"수량 없음",IF(G2188=0,"신규 (전년 수량 없음)",IF(H2188=0,"당해 수량 없음",""))))</f>
        <v/>
      </c>
      <c r="N2188" t="str">
        <f>IF($B2188="","",MATCH($B2188,'_calc'!$L$2:$L$3001,0))</f>
        <v/>
      </c>
    </row>
    <row r="2189">
      <c r="B2189" s="24" t="str">
        <f>IF(ROW()-ROW($B$8)&gt;nComp,"",ROW()-ROW($B$8))</f>
        <v/>
      </c>
      <c r="C2189" t="str">
        <f>IF($N2189="","",INDEX('_calc'!$A$2:$A$3001,$N2189))</f>
        <v/>
      </c>
      <c r="D2189" s="25" t="str">
        <f>IF($N2189="","",INDEX('_calc'!$C$2:$C$3001,$N2189))</f>
        <v/>
      </c>
      <c r="E2189" s="25" t="str">
        <f>IF($N2189="","",INDEX('_calc'!$D$2:$D$3001,$N2189))</f>
        <v/>
      </c>
      <c r="F2189" s="26" t="str">
        <f>IF($N2189="","",IF($E$8=0,"",E2189/$E$8))</f>
        <v/>
      </c>
      <c r="G2189" s="25" t="str">
        <f>IF($N2189="","",INDEX('_calc'!$E$2:$E$3001,$N2189))</f>
        <v/>
      </c>
      <c r="H2189" s="25" t="str">
        <f>IF($N2189="","",INDEX('_calc'!$F$2:$F$3001,$N2189))</f>
        <v/>
      </c>
      <c r="I2189" s="27" t="str">
        <f>IF($N2189="","",INDEX('_calc'!$H$2:$H$3001,$N2189))</f>
        <v/>
      </c>
      <c r="J2189" s="27" t="str">
        <f>IF($N2189="","",INDEX('_calc'!$I$2:$I$3001,$N2189))</f>
        <v/>
      </c>
      <c r="K2189" s="28" t="str">
        <f>IF($N2189="","",IF(OR(I2189="",J2189=""),"",J2189-I2189))</f>
        <v/>
      </c>
      <c r="L2189" s="29" t="str">
        <f>IF($N2189="","",INDEX('_calc'!$J$2:$J$3001,$N2189))</f>
        <v/>
      </c>
      <c r="M2189" s="2" t="str">
        <f>IF($N2189="","",IF(AND(G2189=0,H2189=0),"수량 없음",IF(G2189=0,"신규 (전년 수량 없음)",IF(H2189=0,"당해 수량 없음",""))))</f>
        <v/>
      </c>
      <c r="N2189" t="str">
        <f>IF($B2189="","",MATCH($B2189,'_calc'!$L$2:$L$3001,0))</f>
        <v/>
      </c>
    </row>
    <row r="2190">
      <c r="B2190" s="24" t="str">
        <f>IF(ROW()-ROW($B$8)&gt;nComp,"",ROW()-ROW($B$8))</f>
        <v/>
      </c>
      <c r="C2190" t="str">
        <f>IF($N2190="","",INDEX('_calc'!$A$2:$A$3001,$N2190))</f>
        <v/>
      </c>
      <c r="D2190" s="25" t="str">
        <f>IF($N2190="","",INDEX('_calc'!$C$2:$C$3001,$N2190))</f>
        <v/>
      </c>
      <c r="E2190" s="25" t="str">
        <f>IF($N2190="","",INDEX('_calc'!$D$2:$D$3001,$N2190))</f>
        <v/>
      </c>
      <c r="F2190" s="26" t="str">
        <f>IF($N2190="","",IF($E$8=0,"",E2190/$E$8))</f>
        <v/>
      </c>
      <c r="G2190" s="25" t="str">
        <f>IF($N2190="","",INDEX('_calc'!$E$2:$E$3001,$N2190))</f>
        <v/>
      </c>
      <c r="H2190" s="25" t="str">
        <f>IF($N2190="","",INDEX('_calc'!$F$2:$F$3001,$N2190))</f>
        <v/>
      </c>
      <c r="I2190" s="27" t="str">
        <f>IF($N2190="","",INDEX('_calc'!$H$2:$H$3001,$N2190))</f>
        <v/>
      </c>
      <c r="J2190" s="27" t="str">
        <f>IF($N2190="","",INDEX('_calc'!$I$2:$I$3001,$N2190))</f>
        <v/>
      </c>
      <c r="K2190" s="28" t="str">
        <f>IF($N2190="","",IF(OR(I2190="",J2190=""),"",J2190-I2190))</f>
        <v/>
      </c>
      <c r="L2190" s="29" t="str">
        <f>IF($N2190="","",INDEX('_calc'!$J$2:$J$3001,$N2190))</f>
        <v/>
      </c>
      <c r="M2190" s="2" t="str">
        <f>IF($N2190="","",IF(AND(G2190=0,H2190=0),"수량 없음",IF(G2190=0,"신규 (전년 수량 없음)",IF(H2190=0,"당해 수량 없음",""))))</f>
        <v/>
      </c>
      <c r="N2190" t="str">
        <f>IF($B2190="","",MATCH($B2190,'_calc'!$L$2:$L$3001,0))</f>
        <v/>
      </c>
    </row>
    <row r="2191">
      <c r="B2191" s="24" t="str">
        <f>IF(ROW()-ROW($B$8)&gt;nComp,"",ROW()-ROW($B$8))</f>
        <v/>
      </c>
      <c r="C2191" t="str">
        <f>IF($N2191="","",INDEX('_calc'!$A$2:$A$3001,$N2191))</f>
        <v/>
      </c>
      <c r="D2191" s="25" t="str">
        <f>IF($N2191="","",INDEX('_calc'!$C$2:$C$3001,$N2191))</f>
        <v/>
      </c>
      <c r="E2191" s="25" t="str">
        <f>IF($N2191="","",INDEX('_calc'!$D$2:$D$3001,$N2191))</f>
        <v/>
      </c>
      <c r="F2191" s="26" t="str">
        <f>IF($N2191="","",IF($E$8=0,"",E2191/$E$8))</f>
        <v/>
      </c>
      <c r="G2191" s="25" t="str">
        <f>IF($N2191="","",INDEX('_calc'!$E$2:$E$3001,$N2191))</f>
        <v/>
      </c>
      <c r="H2191" s="25" t="str">
        <f>IF($N2191="","",INDEX('_calc'!$F$2:$F$3001,$N2191))</f>
        <v/>
      </c>
      <c r="I2191" s="27" t="str">
        <f>IF($N2191="","",INDEX('_calc'!$H$2:$H$3001,$N2191))</f>
        <v/>
      </c>
      <c r="J2191" s="27" t="str">
        <f>IF($N2191="","",INDEX('_calc'!$I$2:$I$3001,$N2191))</f>
        <v/>
      </c>
      <c r="K2191" s="28" t="str">
        <f>IF($N2191="","",IF(OR(I2191="",J2191=""),"",J2191-I2191))</f>
        <v/>
      </c>
      <c r="L2191" s="29" t="str">
        <f>IF($N2191="","",INDEX('_calc'!$J$2:$J$3001,$N2191))</f>
        <v/>
      </c>
      <c r="M2191" s="2" t="str">
        <f>IF($N2191="","",IF(AND(G2191=0,H2191=0),"수량 없음",IF(G2191=0,"신규 (전년 수량 없음)",IF(H2191=0,"당해 수량 없음",""))))</f>
        <v/>
      </c>
      <c r="N2191" t="str">
        <f>IF($B2191="","",MATCH($B2191,'_calc'!$L$2:$L$3001,0))</f>
        <v/>
      </c>
    </row>
    <row r="2192">
      <c r="B2192" s="24" t="str">
        <f>IF(ROW()-ROW($B$8)&gt;nComp,"",ROW()-ROW($B$8))</f>
        <v/>
      </c>
      <c r="C2192" t="str">
        <f>IF($N2192="","",INDEX('_calc'!$A$2:$A$3001,$N2192))</f>
        <v/>
      </c>
      <c r="D2192" s="25" t="str">
        <f>IF($N2192="","",INDEX('_calc'!$C$2:$C$3001,$N2192))</f>
        <v/>
      </c>
      <c r="E2192" s="25" t="str">
        <f>IF($N2192="","",INDEX('_calc'!$D$2:$D$3001,$N2192))</f>
        <v/>
      </c>
      <c r="F2192" s="26" t="str">
        <f>IF($N2192="","",IF($E$8=0,"",E2192/$E$8))</f>
        <v/>
      </c>
      <c r="G2192" s="25" t="str">
        <f>IF($N2192="","",INDEX('_calc'!$E$2:$E$3001,$N2192))</f>
        <v/>
      </c>
      <c r="H2192" s="25" t="str">
        <f>IF($N2192="","",INDEX('_calc'!$F$2:$F$3001,$N2192))</f>
        <v/>
      </c>
      <c r="I2192" s="27" t="str">
        <f>IF($N2192="","",INDEX('_calc'!$H$2:$H$3001,$N2192))</f>
        <v/>
      </c>
      <c r="J2192" s="27" t="str">
        <f>IF($N2192="","",INDEX('_calc'!$I$2:$I$3001,$N2192))</f>
        <v/>
      </c>
      <c r="K2192" s="28" t="str">
        <f>IF($N2192="","",IF(OR(I2192="",J2192=""),"",J2192-I2192))</f>
        <v/>
      </c>
      <c r="L2192" s="29" t="str">
        <f>IF($N2192="","",INDEX('_calc'!$J$2:$J$3001,$N2192))</f>
        <v/>
      </c>
      <c r="M2192" s="2" t="str">
        <f>IF($N2192="","",IF(AND(G2192=0,H2192=0),"수량 없음",IF(G2192=0,"신규 (전년 수량 없음)",IF(H2192=0,"당해 수량 없음",""))))</f>
        <v/>
      </c>
      <c r="N2192" t="str">
        <f>IF($B2192="","",MATCH($B2192,'_calc'!$L$2:$L$3001,0))</f>
        <v/>
      </c>
    </row>
    <row r="2193">
      <c r="B2193" s="24" t="str">
        <f>IF(ROW()-ROW($B$8)&gt;nComp,"",ROW()-ROW($B$8))</f>
        <v/>
      </c>
      <c r="C2193" t="str">
        <f>IF($N2193="","",INDEX('_calc'!$A$2:$A$3001,$N2193))</f>
        <v/>
      </c>
      <c r="D2193" s="25" t="str">
        <f>IF($N2193="","",INDEX('_calc'!$C$2:$C$3001,$N2193))</f>
        <v/>
      </c>
      <c r="E2193" s="25" t="str">
        <f>IF($N2193="","",INDEX('_calc'!$D$2:$D$3001,$N2193))</f>
        <v/>
      </c>
      <c r="F2193" s="26" t="str">
        <f>IF($N2193="","",IF($E$8=0,"",E2193/$E$8))</f>
        <v/>
      </c>
      <c r="G2193" s="25" t="str">
        <f>IF($N2193="","",INDEX('_calc'!$E$2:$E$3001,$N2193))</f>
        <v/>
      </c>
      <c r="H2193" s="25" t="str">
        <f>IF($N2193="","",INDEX('_calc'!$F$2:$F$3001,$N2193))</f>
        <v/>
      </c>
      <c r="I2193" s="27" t="str">
        <f>IF($N2193="","",INDEX('_calc'!$H$2:$H$3001,$N2193))</f>
        <v/>
      </c>
      <c r="J2193" s="27" t="str">
        <f>IF($N2193="","",INDEX('_calc'!$I$2:$I$3001,$N2193))</f>
        <v/>
      </c>
      <c r="K2193" s="28" t="str">
        <f>IF($N2193="","",IF(OR(I2193="",J2193=""),"",J2193-I2193))</f>
        <v/>
      </c>
      <c r="L2193" s="29" t="str">
        <f>IF($N2193="","",INDEX('_calc'!$J$2:$J$3001,$N2193))</f>
        <v/>
      </c>
      <c r="M2193" s="2" t="str">
        <f>IF($N2193="","",IF(AND(G2193=0,H2193=0),"수량 없음",IF(G2193=0,"신규 (전년 수량 없음)",IF(H2193=0,"당해 수량 없음",""))))</f>
        <v/>
      </c>
      <c r="N2193" t="str">
        <f>IF($B2193="","",MATCH($B2193,'_calc'!$L$2:$L$3001,0))</f>
        <v/>
      </c>
    </row>
    <row r="2194">
      <c r="B2194" s="24" t="str">
        <f>IF(ROW()-ROW($B$8)&gt;nComp,"",ROW()-ROW($B$8))</f>
        <v/>
      </c>
      <c r="C2194" t="str">
        <f>IF($N2194="","",INDEX('_calc'!$A$2:$A$3001,$N2194))</f>
        <v/>
      </c>
      <c r="D2194" s="25" t="str">
        <f>IF($N2194="","",INDEX('_calc'!$C$2:$C$3001,$N2194))</f>
        <v/>
      </c>
      <c r="E2194" s="25" t="str">
        <f>IF($N2194="","",INDEX('_calc'!$D$2:$D$3001,$N2194))</f>
        <v/>
      </c>
      <c r="F2194" s="26" t="str">
        <f>IF($N2194="","",IF($E$8=0,"",E2194/$E$8))</f>
        <v/>
      </c>
      <c r="G2194" s="25" t="str">
        <f>IF($N2194="","",INDEX('_calc'!$E$2:$E$3001,$N2194))</f>
        <v/>
      </c>
      <c r="H2194" s="25" t="str">
        <f>IF($N2194="","",INDEX('_calc'!$F$2:$F$3001,$N2194))</f>
        <v/>
      </c>
      <c r="I2194" s="27" t="str">
        <f>IF($N2194="","",INDEX('_calc'!$H$2:$H$3001,$N2194))</f>
        <v/>
      </c>
      <c r="J2194" s="27" t="str">
        <f>IF($N2194="","",INDEX('_calc'!$I$2:$I$3001,$N2194))</f>
        <v/>
      </c>
      <c r="K2194" s="28" t="str">
        <f>IF($N2194="","",IF(OR(I2194="",J2194=""),"",J2194-I2194))</f>
        <v/>
      </c>
      <c r="L2194" s="29" t="str">
        <f>IF($N2194="","",INDEX('_calc'!$J$2:$J$3001,$N2194))</f>
        <v/>
      </c>
      <c r="M2194" s="2" t="str">
        <f>IF($N2194="","",IF(AND(G2194=0,H2194=0),"수량 없음",IF(G2194=0,"신규 (전년 수량 없음)",IF(H2194=0,"당해 수량 없음",""))))</f>
        <v/>
      </c>
      <c r="N2194" t="str">
        <f>IF($B2194="","",MATCH($B2194,'_calc'!$L$2:$L$3001,0))</f>
        <v/>
      </c>
    </row>
    <row r="2195">
      <c r="B2195" s="24" t="str">
        <f>IF(ROW()-ROW($B$8)&gt;nComp,"",ROW()-ROW($B$8))</f>
        <v/>
      </c>
      <c r="C2195" t="str">
        <f>IF($N2195="","",INDEX('_calc'!$A$2:$A$3001,$N2195))</f>
        <v/>
      </c>
      <c r="D2195" s="25" t="str">
        <f>IF($N2195="","",INDEX('_calc'!$C$2:$C$3001,$N2195))</f>
        <v/>
      </c>
      <c r="E2195" s="25" t="str">
        <f>IF($N2195="","",INDEX('_calc'!$D$2:$D$3001,$N2195))</f>
        <v/>
      </c>
      <c r="F2195" s="26" t="str">
        <f>IF($N2195="","",IF($E$8=0,"",E2195/$E$8))</f>
        <v/>
      </c>
      <c r="G2195" s="25" t="str">
        <f>IF($N2195="","",INDEX('_calc'!$E$2:$E$3001,$N2195))</f>
        <v/>
      </c>
      <c r="H2195" s="25" t="str">
        <f>IF($N2195="","",INDEX('_calc'!$F$2:$F$3001,$N2195))</f>
        <v/>
      </c>
      <c r="I2195" s="27" t="str">
        <f>IF($N2195="","",INDEX('_calc'!$H$2:$H$3001,$N2195))</f>
        <v/>
      </c>
      <c r="J2195" s="27" t="str">
        <f>IF($N2195="","",INDEX('_calc'!$I$2:$I$3001,$N2195))</f>
        <v/>
      </c>
      <c r="K2195" s="28" t="str">
        <f>IF($N2195="","",IF(OR(I2195="",J2195=""),"",J2195-I2195))</f>
        <v/>
      </c>
      <c r="L2195" s="29" t="str">
        <f>IF($N2195="","",INDEX('_calc'!$J$2:$J$3001,$N2195))</f>
        <v/>
      </c>
      <c r="M2195" s="2" t="str">
        <f>IF($N2195="","",IF(AND(G2195=0,H2195=0),"수량 없음",IF(G2195=0,"신규 (전년 수량 없음)",IF(H2195=0,"당해 수량 없음",""))))</f>
        <v/>
      </c>
      <c r="N2195" t="str">
        <f>IF($B2195="","",MATCH($B2195,'_calc'!$L$2:$L$3001,0))</f>
        <v/>
      </c>
    </row>
    <row r="2196">
      <c r="B2196" s="24" t="str">
        <f>IF(ROW()-ROW($B$8)&gt;nComp,"",ROW()-ROW($B$8))</f>
        <v/>
      </c>
      <c r="C2196" t="str">
        <f>IF($N2196="","",INDEX('_calc'!$A$2:$A$3001,$N2196))</f>
        <v/>
      </c>
      <c r="D2196" s="25" t="str">
        <f>IF($N2196="","",INDEX('_calc'!$C$2:$C$3001,$N2196))</f>
        <v/>
      </c>
      <c r="E2196" s="25" t="str">
        <f>IF($N2196="","",INDEX('_calc'!$D$2:$D$3001,$N2196))</f>
        <v/>
      </c>
      <c r="F2196" s="26" t="str">
        <f>IF($N2196="","",IF($E$8=0,"",E2196/$E$8))</f>
        <v/>
      </c>
      <c r="G2196" s="25" t="str">
        <f>IF($N2196="","",INDEX('_calc'!$E$2:$E$3001,$N2196))</f>
        <v/>
      </c>
      <c r="H2196" s="25" t="str">
        <f>IF($N2196="","",INDEX('_calc'!$F$2:$F$3001,$N2196))</f>
        <v/>
      </c>
      <c r="I2196" s="27" t="str">
        <f>IF($N2196="","",INDEX('_calc'!$H$2:$H$3001,$N2196))</f>
        <v/>
      </c>
      <c r="J2196" s="27" t="str">
        <f>IF($N2196="","",INDEX('_calc'!$I$2:$I$3001,$N2196))</f>
        <v/>
      </c>
      <c r="K2196" s="28" t="str">
        <f>IF($N2196="","",IF(OR(I2196="",J2196=""),"",J2196-I2196))</f>
        <v/>
      </c>
      <c r="L2196" s="29" t="str">
        <f>IF($N2196="","",INDEX('_calc'!$J$2:$J$3001,$N2196))</f>
        <v/>
      </c>
      <c r="M2196" s="2" t="str">
        <f>IF($N2196="","",IF(AND(G2196=0,H2196=0),"수량 없음",IF(G2196=0,"신규 (전년 수량 없음)",IF(H2196=0,"당해 수량 없음",""))))</f>
        <v/>
      </c>
      <c r="N2196" t="str">
        <f>IF($B2196="","",MATCH($B2196,'_calc'!$L$2:$L$3001,0))</f>
        <v/>
      </c>
    </row>
    <row r="2197">
      <c r="B2197" s="24" t="str">
        <f>IF(ROW()-ROW($B$8)&gt;nComp,"",ROW()-ROW($B$8))</f>
        <v/>
      </c>
      <c r="C2197" t="str">
        <f>IF($N2197="","",INDEX('_calc'!$A$2:$A$3001,$N2197))</f>
        <v/>
      </c>
      <c r="D2197" s="25" t="str">
        <f>IF($N2197="","",INDEX('_calc'!$C$2:$C$3001,$N2197))</f>
        <v/>
      </c>
      <c r="E2197" s="25" t="str">
        <f>IF($N2197="","",INDEX('_calc'!$D$2:$D$3001,$N2197))</f>
        <v/>
      </c>
      <c r="F2197" s="26" t="str">
        <f>IF($N2197="","",IF($E$8=0,"",E2197/$E$8))</f>
        <v/>
      </c>
      <c r="G2197" s="25" t="str">
        <f>IF($N2197="","",INDEX('_calc'!$E$2:$E$3001,$N2197))</f>
        <v/>
      </c>
      <c r="H2197" s="25" t="str">
        <f>IF($N2197="","",INDEX('_calc'!$F$2:$F$3001,$N2197))</f>
        <v/>
      </c>
      <c r="I2197" s="27" t="str">
        <f>IF($N2197="","",INDEX('_calc'!$H$2:$H$3001,$N2197))</f>
        <v/>
      </c>
      <c r="J2197" s="27" t="str">
        <f>IF($N2197="","",INDEX('_calc'!$I$2:$I$3001,$N2197))</f>
        <v/>
      </c>
      <c r="K2197" s="28" t="str">
        <f>IF($N2197="","",IF(OR(I2197="",J2197=""),"",J2197-I2197))</f>
        <v/>
      </c>
      <c r="L2197" s="29" t="str">
        <f>IF($N2197="","",INDEX('_calc'!$J$2:$J$3001,$N2197))</f>
        <v/>
      </c>
      <c r="M2197" s="2" t="str">
        <f>IF($N2197="","",IF(AND(G2197=0,H2197=0),"수량 없음",IF(G2197=0,"신규 (전년 수량 없음)",IF(H2197=0,"당해 수량 없음",""))))</f>
        <v/>
      </c>
      <c r="N2197" t="str">
        <f>IF($B2197="","",MATCH($B2197,'_calc'!$L$2:$L$3001,0))</f>
        <v/>
      </c>
    </row>
    <row r="2198">
      <c r="B2198" s="24" t="str">
        <f>IF(ROW()-ROW($B$8)&gt;nComp,"",ROW()-ROW($B$8))</f>
        <v/>
      </c>
      <c r="C2198" t="str">
        <f>IF($N2198="","",INDEX('_calc'!$A$2:$A$3001,$N2198))</f>
        <v/>
      </c>
      <c r="D2198" s="25" t="str">
        <f>IF($N2198="","",INDEX('_calc'!$C$2:$C$3001,$N2198))</f>
        <v/>
      </c>
      <c r="E2198" s="25" t="str">
        <f>IF($N2198="","",INDEX('_calc'!$D$2:$D$3001,$N2198))</f>
        <v/>
      </c>
      <c r="F2198" s="26" t="str">
        <f>IF($N2198="","",IF($E$8=0,"",E2198/$E$8))</f>
        <v/>
      </c>
      <c r="G2198" s="25" t="str">
        <f>IF($N2198="","",INDEX('_calc'!$E$2:$E$3001,$N2198))</f>
        <v/>
      </c>
      <c r="H2198" s="25" t="str">
        <f>IF($N2198="","",INDEX('_calc'!$F$2:$F$3001,$N2198))</f>
        <v/>
      </c>
      <c r="I2198" s="27" t="str">
        <f>IF($N2198="","",INDEX('_calc'!$H$2:$H$3001,$N2198))</f>
        <v/>
      </c>
      <c r="J2198" s="27" t="str">
        <f>IF($N2198="","",INDEX('_calc'!$I$2:$I$3001,$N2198))</f>
        <v/>
      </c>
      <c r="K2198" s="28" t="str">
        <f>IF($N2198="","",IF(OR(I2198="",J2198=""),"",J2198-I2198))</f>
        <v/>
      </c>
      <c r="L2198" s="29" t="str">
        <f>IF($N2198="","",INDEX('_calc'!$J$2:$J$3001,$N2198))</f>
        <v/>
      </c>
      <c r="M2198" s="2" t="str">
        <f>IF($N2198="","",IF(AND(G2198=0,H2198=0),"수량 없음",IF(G2198=0,"신규 (전년 수량 없음)",IF(H2198=0,"당해 수량 없음",""))))</f>
        <v/>
      </c>
      <c r="N2198" t="str">
        <f>IF($B2198="","",MATCH($B2198,'_calc'!$L$2:$L$3001,0))</f>
        <v/>
      </c>
    </row>
    <row r="2199">
      <c r="B2199" s="24" t="str">
        <f>IF(ROW()-ROW($B$8)&gt;nComp,"",ROW()-ROW($B$8))</f>
        <v/>
      </c>
      <c r="C2199" t="str">
        <f>IF($N2199="","",INDEX('_calc'!$A$2:$A$3001,$N2199))</f>
        <v/>
      </c>
      <c r="D2199" s="25" t="str">
        <f>IF($N2199="","",INDEX('_calc'!$C$2:$C$3001,$N2199))</f>
        <v/>
      </c>
      <c r="E2199" s="25" t="str">
        <f>IF($N2199="","",INDEX('_calc'!$D$2:$D$3001,$N2199))</f>
        <v/>
      </c>
      <c r="F2199" s="26" t="str">
        <f>IF($N2199="","",IF($E$8=0,"",E2199/$E$8))</f>
        <v/>
      </c>
      <c r="G2199" s="25" t="str">
        <f>IF($N2199="","",INDEX('_calc'!$E$2:$E$3001,$N2199))</f>
        <v/>
      </c>
      <c r="H2199" s="25" t="str">
        <f>IF($N2199="","",INDEX('_calc'!$F$2:$F$3001,$N2199))</f>
        <v/>
      </c>
      <c r="I2199" s="27" t="str">
        <f>IF($N2199="","",INDEX('_calc'!$H$2:$H$3001,$N2199))</f>
        <v/>
      </c>
      <c r="J2199" s="27" t="str">
        <f>IF($N2199="","",INDEX('_calc'!$I$2:$I$3001,$N2199))</f>
        <v/>
      </c>
      <c r="K2199" s="28" t="str">
        <f>IF($N2199="","",IF(OR(I2199="",J2199=""),"",J2199-I2199))</f>
        <v/>
      </c>
      <c r="L2199" s="29" t="str">
        <f>IF($N2199="","",INDEX('_calc'!$J$2:$J$3001,$N2199))</f>
        <v/>
      </c>
      <c r="M2199" s="2" t="str">
        <f>IF($N2199="","",IF(AND(G2199=0,H2199=0),"수량 없음",IF(G2199=0,"신규 (전년 수량 없음)",IF(H2199=0,"당해 수량 없음",""))))</f>
        <v/>
      </c>
      <c r="N2199" t="str">
        <f>IF($B2199="","",MATCH($B2199,'_calc'!$L$2:$L$3001,0))</f>
        <v/>
      </c>
    </row>
    <row r="2200">
      <c r="B2200" s="24" t="str">
        <f>IF(ROW()-ROW($B$8)&gt;nComp,"",ROW()-ROW($B$8))</f>
        <v/>
      </c>
      <c r="C2200" t="str">
        <f>IF($N2200="","",INDEX('_calc'!$A$2:$A$3001,$N2200))</f>
        <v/>
      </c>
      <c r="D2200" s="25" t="str">
        <f>IF($N2200="","",INDEX('_calc'!$C$2:$C$3001,$N2200))</f>
        <v/>
      </c>
      <c r="E2200" s="25" t="str">
        <f>IF($N2200="","",INDEX('_calc'!$D$2:$D$3001,$N2200))</f>
        <v/>
      </c>
      <c r="F2200" s="26" t="str">
        <f>IF($N2200="","",IF($E$8=0,"",E2200/$E$8))</f>
        <v/>
      </c>
      <c r="G2200" s="25" t="str">
        <f>IF($N2200="","",INDEX('_calc'!$E$2:$E$3001,$N2200))</f>
        <v/>
      </c>
      <c r="H2200" s="25" t="str">
        <f>IF($N2200="","",INDEX('_calc'!$F$2:$F$3001,$N2200))</f>
        <v/>
      </c>
      <c r="I2200" s="27" t="str">
        <f>IF($N2200="","",INDEX('_calc'!$H$2:$H$3001,$N2200))</f>
        <v/>
      </c>
      <c r="J2200" s="27" t="str">
        <f>IF($N2200="","",INDEX('_calc'!$I$2:$I$3001,$N2200))</f>
        <v/>
      </c>
      <c r="K2200" s="28" t="str">
        <f>IF($N2200="","",IF(OR(I2200="",J2200=""),"",J2200-I2200))</f>
        <v/>
      </c>
      <c r="L2200" s="29" t="str">
        <f>IF($N2200="","",INDEX('_calc'!$J$2:$J$3001,$N2200))</f>
        <v/>
      </c>
      <c r="M2200" s="2" t="str">
        <f>IF($N2200="","",IF(AND(G2200=0,H2200=0),"수량 없음",IF(G2200=0,"신규 (전년 수량 없음)",IF(H2200=0,"당해 수량 없음",""))))</f>
        <v/>
      </c>
      <c r="N2200" t="str">
        <f>IF($B2200="","",MATCH($B2200,'_calc'!$L$2:$L$3001,0))</f>
        <v/>
      </c>
    </row>
    <row r="2201">
      <c r="B2201" s="24" t="str">
        <f>IF(ROW()-ROW($B$8)&gt;nComp,"",ROW()-ROW($B$8))</f>
        <v/>
      </c>
      <c r="C2201" t="str">
        <f>IF($N2201="","",INDEX('_calc'!$A$2:$A$3001,$N2201))</f>
        <v/>
      </c>
      <c r="D2201" s="25" t="str">
        <f>IF($N2201="","",INDEX('_calc'!$C$2:$C$3001,$N2201))</f>
        <v/>
      </c>
      <c r="E2201" s="25" t="str">
        <f>IF($N2201="","",INDEX('_calc'!$D$2:$D$3001,$N2201))</f>
        <v/>
      </c>
      <c r="F2201" s="26" t="str">
        <f>IF($N2201="","",IF($E$8=0,"",E2201/$E$8))</f>
        <v/>
      </c>
      <c r="G2201" s="25" t="str">
        <f>IF($N2201="","",INDEX('_calc'!$E$2:$E$3001,$N2201))</f>
        <v/>
      </c>
      <c r="H2201" s="25" t="str">
        <f>IF($N2201="","",INDEX('_calc'!$F$2:$F$3001,$N2201))</f>
        <v/>
      </c>
      <c r="I2201" s="27" t="str">
        <f>IF($N2201="","",INDEX('_calc'!$H$2:$H$3001,$N2201))</f>
        <v/>
      </c>
      <c r="J2201" s="27" t="str">
        <f>IF($N2201="","",INDEX('_calc'!$I$2:$I$3001,$N2201))</f>
        <v/>
      </c>
      <c r="K2201" s="28" t="str">
        <f>IF($N2201="","",IF(OR(I2201="",J2201=""),"",J2201-I2201))</f>
        <v/>
      </c>
      <c r="L2201" s="29" t="str">
        <f>IF($N2201="","",INDEX('_calc'!$J$2:$J$3001,$N2201))</f>
        <v/>
      </c>
      <c r="M2201" s="2" t="str">
        <f>IF($N2201="","",IF(AND(G2201=0,H2201=0),"수량 없음",IF(G2201=0,"신규 (전년 수량 없음)",IF(H2201=0,"당해 수량 없음",""))))</f>
        <v/>
      </c>
      <c r="N2201" t="str">
        <f>IF($B2201="","",MATCH($B2201,'_calc'!$L$2:$L$3001,0))</f>
        <v/>
      </c>
    </row>
    <row r="2202">
      <c r="B2202" s="24" t="str">
        <f>IF(ROW()-ROW($B$8)&gt;nComp,"",ROW()-ROW($B$8))</f>
        <v/>
      </c>
      <c r="C2202" t="str">
        <f>IF($N2202="","",INDEX('_calc'!$A$2:$A$3001,$N2202))</f>
        <v/>
      </c>
      <c r="D2202" s="25" t="str">
        <f>IF($N2202="","",INDEX('_calc'!$C$2:$C$3001,$N2202))</f>
        <v/>
      </c>
      <c r="E2202" s="25" t="str">
        <f>IF($N2202="","",INDEX('_calc'!$D$2:$D$3001,$N2202))</f>
        <v/>
      </c>
      <c r="F2202" s="26" t="str">
        <f>IF($N2202="","",IF($E$8=0,"",E2202/$E$8))</f>
        <v/>
      </c>
      <c r="G2202" s="25" t="str">
        <f>IF($N2202="","",INDEX('_calc'!$E$2:$E$3001,$N2202))</f>
        <v/>
      </c>
      <c r="H2202" s="25" t="str">
        <f>IF($N2202="","",INDEX('_calc'!$F$2:$F$3001,$N2202))</f>
        <v/>
      </c>
      <c r="I2202" s="27" t="str">
        <f>IF($N2202="","",INDEX('_calc'!$H$2:$H$3001,$N2202))</f>
        <v/>
      </c>
      <c r="J2202" s="27" t="str">
        <f>IF($N2202="","",INDEX('_calc'!$I$2:$I$3001,$N2202))</f>
        <v/>
      </c>
      <c r="K2202" s="28" t="str">
        <f>IF($N2202="","",IF(OR(I2202="",J2202=""),"",J2202-I2202))</f>
        <v/>
      </c>
      <c r="L2202" s="29" t="str">
        <f>IF($N2202="","",INDEX('_calc'!$J$2:$J$3001,$N2202))</f>
        <v/>
      </c>
      <c r="M2202" s="2" t="str">
        <f>IF($N2202="","",IF(AND(G2202=0,H2202=0),"수량 없음",IF(G2202=0,"신규 (전년 수량 없음)",IF(H2202=0,"당해 수량 없음",""))))</f>
        <v/>
      </c>
      <c r="N2202" t="str">
        <f>IF($B2202="","",MATCH($B2202,'_calc'!$L$2:$L$3001,0))</f>
        <v/>
      </c>
    </row>
    <row r="2203">
      <c r="B2203" s="24" t="str">
        <f>IF(ROW()-ROW($B$8)&gt;nComp,"",ROW()-ROW($B$8))</f>
        <v/>
      </c>
      <c r="C2203" t="str">
        <f>IF($N2203="","",INDEX('_calc'!$A$2:$A$3001,$N2203))</f>
        <v/>
      </c>
      <c r="D2203" s="25" t="str">
        <f>IF($N2203="","",INDEX('_calc'!$C$2:$C$3001,$N2203))</f>
        <v/>
      </c>
      <c r="E2203" s="25" t="str">
        <f>IF($N2203="","",INDEX('_calc'!$D$2:$D$3001,$N2203))</f>
        <v/>
      </c>
      <c r="F2203" s="26" t="str">
        <f>IF($N2203="","",IF($E$8=0,"",E2203/$E$8))</f>
        <v/>
      </c>
      <c r="G2203" s="25" t="str">
        <f>IF($N2203="","",INDEX('_calc'!$E$2:$E$3001,$N2203))</f>
        <v/>
      </c>
      <c r="H2203" s="25" t="str">
        <f>IF($N2203="","",INDEX('_calc'!$F$2:$F$3001,$N2203))</f>
        <v/>
      </c>
      <c r="I2203" s="27" t="str">
        <f>IF($N2203="","",INDEX('_calc'!$H$2:$H$3001,$N2203))</f>
        <v/>
      </c>
      <c r="J2203" s="27" t="str">
        <f>IF($N2203="","",INDEX('_calc'!$I$2:$I$3001,$N2203))</f>
        <v/>
      </c>
      <c r="K2203" s="28" t="str">
        <f>IF($N2203="","",IF(OR(I2203="",J2203=""),"",J2203-I2203))</f>
        <v/>
      </c>
      <c r="L2203" s="29" t="str">
        <f>IF($N2203="","",INDEX('_calc'!$J$2:$J$3001,$N2203))</f>
        <v/>
      </c>
      <c r="M2203" s="2" t="str">
        <f>IF($N2203="","",IF(AND(G2203=0,H2203=0),"수량 없음",IF(G2203=0,"신규 (전년 수량 없음)",IF(H2203=0,"당해 수량 없음",""))))</f>
        <v/>
      </c>
      <c r="N2203" t="str">
        <f>IF($B2203="","",MATCH($B2203,'_calc'!$L$2:$L$3001,0))</f>
        <v/>
      </c>
    </row>
    <row r="2204">
      <c r="B2204" s="24" t="str">
        <f>IF(ROW()-ROW($B$8)&gt;nComp,"",ROW()-ROW($B$8))</f>
        <v/>
      </c>
      <c r="C2204" t="str">
        <f>IF($N2204="","",INDEX('_calc'!$A$2:$A$3001,$N2204))</f>
        <v/>
      </c>
      <c r="D2204" s="25" t="str">
        <f>IF($N2204="","",INDEX('_calc'!$C$2:$C$3001,$N2204))</f>
        <v/>
      </c>
      <c r="E2204" s="25" t="str">
        <f>IF($N2204="","",INDEX('_calc'!$D$2:$D$3001,$N2204))</f>
        <v/>
      </c>
      <c r="F2204" s="26" t="str">
        <f>IF($N2204="","",IF($E$8=0,"",E2204/$E$8))</f>
        <v/>
      </c>
      <c r="G2204" s="25" t="str">
        <f>IF($N2204="","",INDEX('_calc'!$E$2:$E$3001,$N2204))</f>
        <v/>
      </c>
      <c r="H2204" s="25" t="str">
        <f>IF($N2204="","",INDEX('_calc'!$F$2:$F$3001,$N2204))</f>
        <v/>
      </c>
      <c r="I2204" s="27" t="str">
        <f>IF($N2204="","",INDEX('_calc'!$H$2:$H$3001,$N2204))</f>
        <v/>
      </c>
      <c r="J2204" s="27" t="str">
        <f>IF($N2204="","",INDEX('_calc'!$I$2:$I$3001,$N2204))</f>
        <v/>
      </c>
      <c r="K2204" s="28" t="str">
        <f>IF($N2204="","",IF(OR(I2204="",J2204=""),"",J2204-I2204))</f>
        <v/>
      </c>
      <c r="L2204" s="29" t="str">
        <f>IF($N2204="","",INDEX('_calc'!$J$2:$J$3001,$N2204))</f>
        <v/>
      </c>
      <c r="M2204" s="2" t="str">
        <f>IF($N2204="","",IF(AND(G2204=0,H2204=0),"수량 없음",IF(G2204=0,"신규 (전년 수량 없음)",IF(H2204=0,"당해 수량 없음",""))))</f>
        <v/>
      </c>
      <c r="N2204" t="str">
        <f>IF($B2204="","",MATCH($B2204,'_calc'!$L$2:$L$3001,0))</f>
        <v/>
      </c>
    </row>
    <row r="2205">
      <c r="B2205" s="24" t="str">
        <f>IF(ROW()-ROW($B$8)&gt;nComp,"",ROW()-ROW($B$8))</f>
        <v/>
      </c>
      <c r="C2205" t="str">
        <f>IF($N2205="","",INDEX('_calc'!$A$2:$A$3001,$N2205))</f>
        <v/>
      </c>
      <c r="D2205" s="25" t="str">
        <f>IF($N2205="","",INDEX('_calc'!$C$2:$C$3001,$N2205))</f>
        <v/>
      </c>
      <c r="E2205" s="25" t="str">
        <f>IF($N2205="","",INDEX('_calc'!$D$2:$D$3001,$N2205))</f>
        <v/>
      </c>
      <c r="F2205" s="26" t="str">
        <f>IF($N2205="","",IF($E$8=0,"",E2205/$E$8))</f>
        <v/>
      </c>
      <c r="G2205" s="25" t="str">
        <f>IF($N2205="","",INDEX('_calc'!$E$2:$E$3001,$N2205))</f>
        <v/>
      </c>
      <c r="H2205" s="25" t="str">
        <f>IF($N2205="","",INDEX('_calc'!$F$2:$F$3001,$N2205))</f>
        <v/>
      </c>
      <c r="I2205" s="27" t="str">
        <f>IF($N2205="","",INDEX('_calc'!$H$2:$H$3001,$N2205))</f>
        <v/>
      </c>
      <c r="J2205" s="27" t="str">
        <f>IF($N2205="","",INDEX('_calc'!$I$2:$I$3001,$N2205))</f>
        <v/>
      </c>
      <c r="K2205" s="28" t="str">
        <f>IF($N2205="","",IF(OR(I2205="",J2205=""),"",J2205-I2205))</f>
        <v/>
      </c>
      <c r="L2205" s="29" t="str">
        <f>IF($N2205="","",INDEX('_calc'!$J$2:$J$3001,$N2205))</f>
        <v/>
      </c>
      <c r="M2205" s="2" t="str">
        <f>IF($N2205="","",IF(AND(G2205=0,H2205=0),"수량 없음",IF(G2205=0,"신규 (전년 수량 없음)",IF(H2205=0,"당해 수량 없음",""))))</f>
        <v/>
      </c>
      <c r="N2205" t="str">
        <f>IF($B2205="","",MATCH($B2205,'_calc'!$L$2:$L$3001,0))</f>
        <v/>
      </c>
    </row>
    <row r="2206">
      <c r="B2206" s="24" t="str">
        <f>IF(ROW()-ROW($B$8)&gt;nComp,"",ROW()-ROW($B$8))</f>
        <v/>
      </c>
      <c r="C2206" t="str">
        <f>IF($N2206="","",INDEX('_calc'!$A$2:$A$3001,$N2206))</f>
        <v/>
      </c>
      <c r="D2206" s="25" t="str">
        <f>IF($N2206="","",INDEX('_calc'!$C$2:$C$3001,$N2206))</f>
        <v/>
      </c>
      <c r="E2206" s="25" t="str">
        <f>IF($N2206="","",INDEX('_calc'!$D$2:$D$3001,$N2206))</f>
        <v/>
      </c>
      <c r="F2206" s="26" t="str">
        <f>IF($N2206="","",IF($E$8=0,"",E2206/$E$8))</f>
        <v/>
      </c>
      <c r="G2206" s="25" t="str">
        <f>IF($N2206="","",INDEX('_calc'!$E$2:$E$3001,$N2206))</f>
        <v/>
      </c>
      <c r="H2206" s="25" t="str">
        <f>IF($N2206="","",INDEX('_calc'!$F$2:$F$3001,$N2206))</f>
        <v/>
      </c>
      <c r="I2206" s="27" t="str">
        <f>IF($N2206="","",INDEX('_calc'!$H$2:$H$3001,$N2206))</f>
        <v/>
      </c>
      <c r="J2206" s="27" t="str">
        <f>IF($N2206="","",INDEX('_calc'!$I$2:$I$3001,$N2206))</f>
        <v/>
      </c>
      <c r="K2206" s="28" t="str">
        <f>IF($N2206="","",IF(OR(I2206="",J2206=""),"",J2206-I2206))</f>
        <v/>
      </c>
      <c r="L2206" s="29" t="str">
        <f>IF($N2206="","",INDEX('_calc'!$J$2:$J$3001,$N2206))</f>
        <v/>
      </c>
      <c r="M2206" s="2" t="str">
        <f>IF($N2206="","",IF(AND(G2206=0,H2206=0),"수량 없음",IF(G2206=0,"신규 (전년 수량 없음)",IF(H2206=0,"당해 수량 없음",""))))</f>
        <v/>
      </c>
      <c r="N2206" t="str">
        <f>IF($B2206="","",MATCH($B2206,'_calc'!$L$2:$L$3001,0))</f>
        <v/>
      </c>
    </row>
    <row r="2207">
      <c r="B2207" s="24" t="str">
        <f>IF(ROW()-ROW($B$8)&gt;nComp,"",ROW()-ROW($B$8))</f>
        <v/>
      </c>
      <c r="C2207" t="str">
        <f>IF($N2207="","",INDEX('_calc'!$A$2:$A$3001,$N2207))</f>
        <v/>
      </c>
      <c r="D2207" s="25" t="str">
        <f>IF($N2207="","",INDEX('_calc'!$C$2:$C$3001,$N2207))</f>
        <v/>
      </c>
      <c r="E2207" s="25" t="str">
        <f>IF($N2207="","",INDEX('_calc'!$D$2:$D$3001,$N2207))</f>
        <v/>
      </c>
      <c r="F2207" s="26" t="str">
        <f>IF($N2207="","",IF($E$8=0,"",E2207/$E$8))</f>
        <v/>
      </c>
      <c r="G2207" s="25" t="str">
        <f>IF($N2207="","",INDEX('_calc'!$E$2:$E$3001,$N2207))</f>
        <v/>
      </c>
      <c r="H2207" s="25" t="str">
        <f>IF($N2207="","",INDEX('_calc'!$F$2:$F$3001,$N2207))</f>
        <v/>
      </c>
      <c r="I2207" s="27" t="str">
        <f>IF($N2207="","",INDEX('_calc'!$H$2:$H$3001,$N2207))</f>
        <v/>
      </c>
      <c r="J2207" s="27" t="str">
        <f>IF($N2207="","",INDEX('_calc'!$I$2:$I$3001,$N2207))</f>
        <v/>
      </c>
      <c r="K2207" s="28" t="str">
        <f>IF($N2207="","",IF(OR(I2207="",J2207=""),"",J2207-I2207))</f>
        <v/>
      </c>
      <c r="L2207" s="29" t="str">
        <f>IF($N2207="","",INDEX('_calc'!$J$2:$J$3001,$N2207))</f>
        <v/>
      </c>
      <c r="M2207" s="2" t="str">
        <f>IF($N2207="","",IF(AND(G2207=0,H2207=0),"수량 없음",IF(G2207=0,"신규 (전년 수량 없음)",IF(H2207=0,"당해 수량 없음",""))))</f>
        <v/>
      </c>
      <c r="N2207" t="str">
        <f>IF($B2207="","",MATCH($B2207,'_calc'!$L$2:$L$3001,0))</f>
        <v/>
      </c>
    </row>
    <row r="2208">
      <c r="B2208" s="24" t="str">
        <f>IF(ROW()-ROW($B$8)&gt;nComp,"",ROW()-ROW($B$8))</f>
        <v/>
      </c>
      <c r="C2208" t="str">
        <f>IF($N2208="","",INDEX('_calc'!$A$2:$A$3001,$N2208))</f>
        <v/>
      </c>
      <c r="D2208" s="25" t="str">
        <f>IF($N2208="","",INDEX('_calc'!$C$2:$C$3001,$N2208))</f>
        <v/>
      </c>
      <c r="E2208" s="25" t="str">
        <f>IF($N2208="","",INDEX('_calc'!$D$2:$D$3001,$N2208))</f>
        <v/>
      </c>
      <c r="F2208" s="26" t="str">
        <f>IF($N2208="","",IF($E$8=0,"",E2208/$E$8))</f>
        <v/>
      </c>
      <c r="G2208" s="25" t="str">
        <f>IF($N2208="","",INDEX('_calc'!$E$2:$E$3001,$N2208))</f>
        <v/>
      </c>
      <c r="H2208" s="25" t="str">
        <f>IF($N2208="","",INDEX('_calc'!$F$2:$F$3001,$N2208))</f>
        <v/>
      </c>
      <c r="I2208" s="27" t="str">
        <f>IF($N2208="","",INDEX('_calc'!$H$2:$H$3001,$N2208))</f>
        <v/>
      </c>
      <c r="J2208" s="27" t="str">
        <f>IF($N2208="","",INDEX('_calc'!$I$2:$I$3001,$N2208))</f>
        <v/>
      </c>
      <c r="K2208" s="28" t="str">
        <f>IF($N2208="","",IF(OR(I2208="",J2208=""),"",J2208-I2208))</f>
        <v/>
      </c>
      <c r="L2208" s="29" t="str">
        <f>IF($N2208="","",INDEX('_calc'!$J$2:$J$3001,$N2208))</f>
        <v/>
      </c>
      <c r="M2208" s="2" t="str">
        <f>IF($N2208="","",IF(AND(G2208=0,H2208=0),"수량 없음",IF(G2208=0,"신규 (전년 수량 없음)",IF(H2208=0,"당해 수량 없음",""))))</f>
        <v/>
      </c>
      <c r="N2208" t="str">
        <f>IF($B2208="","",MATCH($B2208,'_calc'!$L$2:$L$3001,0))</f>
        <v/>
      </c>
    </row>
    <row r="2209">
      <c r="B2209" s="24" t="str">
        <f>IF(ROW()-ROW($B$8)&gt;nComp,"",ROW()-ROW($B$8))</f>
        <v/>
      </c>
      <c r="C2209" t="str">
        <f>IF($N2209="","",INDEX('_calc'!$A$2:$A$3001,$N2209))</f>
        <v/>
      </c>
      <c r="D2209" s="25" t="str">
        <f>IF($N2209="","",INDEX('_calc'!$C$2:$C$3001,$N2209))</f>
        <v/>
      </c>
      <c r="E2209" s="25" t="str">
        <f>IF($N2209="","",INDEX('_calc'!$D$2:$D$3001,$N2209))</f>
        <v/>
      </c>
      <c r="F2209" s="26" t="str">
        <f>IF($N2209="","",IF($E$8=0,"",E2209/$E$8))</f>
        <v/>
      </c>
      <c r="G2209" s="25" t="str">
        <f>IF($N2209="","",INDEX('_calc'!$E$2:$E$3001,$N2209))</f>
        <v/>
      </c>
      <c r="H2209" s="25" t="str">
        <f>IF($N2209="","",INDEX('_calc'!$F$2:$F$3001,$N2209))</f>
        <v/>
      </c>
      <c r="I2209" s="27" t="str">
        <f>IF($N2209="","",INDEX('_calc'!$H$2:$H$3001,$N2209))</f>
        <v/>
      </c>
      <c r="J2209" s="27" t="str">
        <f>IF($N2209="","",INDEX('_calc'!$I$2:$I$3001,$N2209))</f>
        <v/>
      </c>
      <c r="K2209" s="28" t="str">
        <f>IF($N2209="","",IF(OR(I2209="",J2209=""),"",J2209-I2209))</f>
        <v/>
      </c>
      <c r="L2209" s="29" t="str">
        <f>IF($N2209="","",INDEX('_calc'!$J$2:$J$3001,$N2209))</f>
        <v/>
      </c>
      <c r="M2209" s="2" t="str">
        <f>IF($N2209="","",IF(AND(G2209=0,H2209=0),"수량 없음",IF(G2209=0,"신규 (전년 수량 없음)",IF(H2209=0,"당해 수량 없음",""))))</f>
        <v/>
      </c>
      <c r="N2209" t="str">
        <f>IF($B2209="","",MATCH($B2209,'_calc'!$L$2:$L$3001,0))</f>
        <v/>
      </c>
    </row>
    <row r="2210">
      <c r="B2210" s="24" t="str">
        <f>IF(ROW()-ROW($B$8)&gt;nComp,"",ROW()-ROW($B$8))</f>
        <v/>
      </c>
      <c r="C2210" t="str">
        <f>IF($N2210="","",INDEX('_calc'!$A$2:$A$3001,$N2210))</f>
        <v/>
      </c>
      <c r="D2210" s="25" t="str">
        <f>IF($N2210="","",INDEX('_calc'!$C$2:$C$3001,$N2210))</f>
        <v/>
      </c>
      <c r="E2210" s="25" t="str">
        <f>IF($N2210="","",INDEX('_calc'!$D$2:$D$3001,$N2210))</f>
        <v/>
      </c>
      <c r="F2210" s="26" t="str">
        <f>IF($N2210="","",IF($E$8=0,"",E2210/$E$8))</f>
        <v/>
      </c>
      <c r="G2210" s="25" t="str">
        <f>IF($N2210="","",INDEX('_calc'!$E$2:$E$3001,$N2210))</f>
        <v/>
      </c>
      <c r="H2210" s="25" t="str">
        <f>IF($N2210="","",INDEX('_calc'!$F$2:$F$3001,$N2210))</f>
        <v/>
      </c>
      <c r="I2210" s="27" t="str">
        <f>IF($N2210="","",INDEX('_calc'!$H$2:$H$3001,$N2210))</f>
        <v/>
      </c>
      <c r="J2210" s="27" t="str">
        <f>IF($N2210="","",INDEX('_calc'!$I$2:$I$3001,$N2210))</f>
        <v/>
      </c>
      <c r="K2210" s="28" t="str">
        <f>IF($N2210="","",IF(OR(I2210="",J2210=""),"",J2210-I2210))</f>
        <v/>
      </c>
      <c r="L2210" s="29" t="str">
        <f>IF($N2210="","",INDEX('_calc'!$J$2:$J$3001,$N2210))</f>
        <v/>
      </c>
      <c r="M2210" s="2" t="str">
        <f>IF($N2210="","",IF(AND(G2210=0,H2210=0),"수량 없음",IF(G2210=0,"신규 (전년 수량 없음)",IF(H2210=0,"당해 수량 없음",""))))</f>
        <v/>
      </c>
      <c r="N2210" t="str">
        <f>IF($B2210="","",MATCH($B2210,'_calc'!$L$2:$L$3001,0))</f>
        <v/>
      </c>
    </row>
    <row r="2211">
      <c r="B2211" s="24" t="str">
        <f>IF(ROW()-ROW($B$8)&gt;nComp,"",ROW()-ROW($B$8))</f>
        <v/>
      </c>
      <c r="C2211" t="str">
        <f>IF($N2211="","",INDEX('_calc'!$A$2:$A$3001,$N2211))</f>
        <v/>
      </c>
      <c r="D2211" s="25" t="str">
        <f>IF($N2211="","",INDEX('_calc'!$C$2:$C$3001,$N2211))</f>
        <v/>
      </c>
      <c r="E2211" s="25" t="str">
        <f>IF($N2211="","",INDEX('_calc'!$D$2:$D$3001,$N2211))</f>
        <v/>
      </c>
      <c r="F2211" s="26" t="str">
        <f>IF($N2211="","",IF($E$8=0,"",E2211/$E$8))</f>
        <v/>
      </c>
      <c r="G2211" s="25" t="str">
        <f>IF($N2211="","",INDEX('_calc'!$E$2:$E$3001,$N2211))</f>
        <v/>
      </c>
      <c r="H2211" s="25" t="str">
        <f>IF($N2211="","",INDEX('_calc'!$F$2:$F$3001,$N2211))</f>
        <v/>
      </c>
      <c r="I2211" s="27" t="str">
        <f>IF($N2211="","",INDEX('_calc'!$H$2:$H$3001,$N2211))</f>
        <v/>
      </c>
      <c r="J2211" s="27" t="str">
        <f>IF($N2211="","",INDEX('_calc'!$I$2:$I$3001,$N2211))</f>
        <v/>
      </c>
      <c r="K2211" s="28" t="str">
        <f>IF($N2211="","",IF(OR(I2211="",J2211=""),"",J2211-I2211))</f>
        <v/>
      </c>
      <c r="L2211" s="29" t="str">
        <f>IF($N2211="","",INDEX('_calc'!$J$2:$J$3001,$N2211))</f>
        <v/>
      </c>
      <c r="M2211" s="2" t="str">
        <f>IF($N2211="","",IF(AND(G2211=0,H2211=0),"수량 없음",IF(G2211=0,"신규 (전년 수량 없음)",IF(H2211=0,"당해 수량 없음",""))))</f>
        <v/>
      </c>
      <c r="N2211" t="str">
        <f>IF($B2211="","",MATCH($B2211,'_calc'!$L$2:$L$3001,0))</f>
        <v/>
      </c>
    </row>
    <row r="2212">
      <c r="B2212" s="24" t="str">
        <f>IF(ROW()-ROW($B$8)&gt;nComp,"",ROW()-ROW($B$8))</f>
        <v/>
      </c>
      <c r="C2212" t="str">
        <f>IF($N2212="","",INDEX('_calc'!$A$2:$A$3001,$N2212))</f>
        <v/>
      </c>
      <c r="D2212" s="25" t="str">
        <f>IF($N2212="","",INDEX('_calc'!$C$2:$C$3001,$N2212))</f>
        <v/>
      </c>
      <c r="E2212" s="25" t="str">
        <f>IF($N2212="","",INDEX('_calc'!$D$2:$D$3001,$N2212))</f>
        <v/>
      </c>
      <c r="F2212" s="26" t="str">
        <f>IF($N2212="","",IF($E$8=0,"",E2212/$E$8))</f>
        <v/>
      </c>
      <c r="G2212" s="25" t="str">
        <f>IF($N2212="","",INDEX('_calc'!$E$2:$E$3001,$N2212))</f>
        <v/>
      </c>
      <c r="H2212" s="25" t="str">
        <f>IF($N2212="","",INDEX('_calc'!$F$2:$F$3001,$N2212))</f>
        <v/>
      </c>
      <c r="I2212" s="27" t="str">
        <f>IF($N2212="","",INDEX('_calc'!$H$2:$H$3001,$N2212))</f>
        <v/>
      </c>
      <c r="J2212" s="27" t="str">
        <f>IF($N2212="","",INDEX('_calc'!$I$2:$I$3001,$N2212))</f>
        <v/>
      </c>
      <c r="K2212" s="28" t="str">
        <f>IF($N2212="","",IF(OR(I2212="",J2212=""),"",J2212-I2212))</f>
        <v/>
      </c>
      <c r="L2212" s="29" t="str">
        <f>IF($N2212="","",INDEX('_calc'!$J$2:$J$3001,$N2212))</f>
        <v/>
      </c>
      <c r="M2212" s="2" t="str">
        <f>IF($N2212="","",IF(AND(G2212=0,H2212=0),"수량 없음",IF(G2212=0,"신규 (전년 수량 없음)",IF(H2212=0,"당해 수량 없음",""))))</f>
        <v/>
      </c>
      <c r="N2212" t="str">
        <f>IF($B2212="","",MATCH($B2212,'_calc'!$L$2:$L$3001,0))</f>
        <v/>
      </c>
    </row>
    <row r="2213">
      <c r="B2213" s="24" t="str">
        <f>IF(ROW()-ROW($B$8)&gt;nComp,"",ROW()-ROW($B$8))</f>
        <v/>
      </c>
      <c r="C2213" t="str">
        <f>IF($N2213="","",INDEX('_calc'!$A$2:$A$3001,$N2213))</f>
        <v/>
      </c>
      <c r="D2213" s="25" t="str">
        <f>IF($N2213="","",INDEX('_calc'!$C$2:$C$3001,$N2213))</f>
        <v/>
      </c>
      <c r="E2213" s="25" t="str">
        <f>IF($N2213="","",INDEX('_calc'!$D$2:$D$3001,$N2213))</f>
        <v/>
      </c>
      <c r="F2213" s="26" t="str">
        <f>IF($N2213="","",IF($E$8=0,"",E2213/$E$8))</f>
        <v/>
      </c>
      <c r="G2213" s="25" t="str">
        <f>IF($N2213="","",INDEX('_calc'!$E$2:$E$3001,$N2213))</f>
        <v/>
      </c>
      <c r="H2213" s="25" t="str">
        <f>IF($N2213="","",INDEX('_calc'!$F$2:$F$3001,$N2213))</f>
        <v/>
      </c>
      <c r="I2213" s="27" t="str">
        <f>IF($N2213="","",INDEX('_calc'!$H$2:$H$3001,$N2213))</f>
        <v/>
      </c>
      <c r="J2213" s="27" t="str">
        <f>IF($N2213="","",INDEX('_calc'!$I$2:$I$3001,$N2213))</f>
        <v/>
      </c>
      <c r="K2213" s="28" t="str">
        <f>IF($N2213="","",IF(OR(I2213="",J2213=""),"",J2213-I2213))</f>
        <v/>
      </c>
      <c r="L2213" s="29" t="str">
        <f>IF($N2213="","",INDEX('_calc'!$J$2:$J$3001,$N2213))</f>
        <v/>
      </c>
      <c r="M2213" s="2" t="str">
        <f>IF($N2213="","",IF(AND(G2213=0,H2213=0),"수량 없음",IF(G2213=0,"신규 (전년 수량 없음)",IF(H2213=0,"당해 수량 없음",""))))</f>
        <v/>
      </c>
      <c r="N2213" t="str">
        <f>IF($B2213="","",MATCH($B2213,'_calc'!$L$2:$L$3001,0))</f>
        <v/>
      </c>
    </row>
    <row r="2214">
      <c r="B2214" s="24" t="str">
        <f>IF(ROW()-ROW($B$8)&gt;nComp,"",ROW()-ROW($B$8))</f>
        <v/>
      </c>
      <c r="C2214" t="str">
        <f>IF($N2214="","",INDEX('_calc'!$A$2:$A$3001,$N2214))</f>
        <v/>
      </c>
      <c r="D2214" s="25" t="str">
        <f>IF($N2214="","",INDEX('_calc'!$C$2:$C$3001,$N2214))</f>
        <v/>
      </c>
      <c r="E2214" s="25" t="str">
        <f>IF($N2214="","",INDEX('_calc'!$D$2:$D$3001,$N2214))</f>
        <v/>
      </c>
      <c r="F2214" s="26" t="str">
        <f>IF($N2214="","",IF($E$8=0,"",E2214/$E$8))</f>
        <v/>
      </c>
      <c r="G2214" s="25" t="str">
        <f>IF($N2214="","",INDEX('_calc'!$E$2:$E$3001,$N2214))</f>
        <v/>
      </c>
      <c r="H2214" s="25" t="str">
        <f>IF($N2214="","",INDEX('_calc'!$F$2:$F$3001,$N2214))</f>
        <v/>
      </c>
      <c r="I2214" s="27" t="str">
        <f>IF($N2214="","",INDEX('_calc'!$H$2:$H$3001,$N2214))</f>
        <v/>
      </c>
      <c r="J2214" s="27" t="str">
        <f>IF($N2214="","",INDEX('_calc'!$I$2:$I$3001,$N2214))</f>
        <v/>
      </c>
      <c r="K2214" s="28" t="str">
        <f>IF($N2214="","",IF(OR(I2214="",J2214=""),"",J2214-I2214))</f>
        <v/>
      </c>
      <c r="L2214" s="29" t="str">
        <f>IF($N2214="","",INDEX('_calc'!$J$2:$J$3001,$N2214))</f>
        <v/>
      </c>
      <c r="M2214" s="2" t="str">
        <f>IF($N2214="","",IF(AND(G2214=0,H2214=0),"수량 없음",IF(G2214=0,"신규 (전년 수량 없음)",IF(H2214=0,"당해 수량 없음",""))))</f>
        <v/>
      </c>
      <c r="N2214" t="str">
        <f>IF($B2214="","",MATCH($B2214,'_calc'!$L$2:$L$3001,0))</f>
        <v/>
      </c>
    </row>
    <row r="2215">
      <c r="B2215" s="24" t="str">
        <f>IF(ROW()-ROW($B$8)&gt;nComp,"",ROW()-ROW($B$8))</f>
        <v/>
      </c>
      <c r="C2215" t="str">
        <f>IF($N2215="","",INDEX('_calc'!$A$2:$A$3001,$N2215))</f>
        <v/>
      </c>
      <c r="D2215" s="25" t="str">
        <f>IF($N2215="","",INDEX('_calc'!$C$2:$C$3001,$N2215))</f>
        <v/>
      </c>
      <c r="E2215" s="25" t="str">
        <f>IF($N2215="","",INDEX('_calc'!$D$2:$D$3001,$N2215))</f>
        <v/>
      </c>
      <c r="F2215" s="26" t="str">
        <f>IF($N2215="","",IF($E$8=0,"",E2215/$E$8))</f>
        <v/>
      </c>
      <c r="G2215" s="25" t="str">
        <f>IF($N2215="","",INDEX('_calc'!$E$2:$E$3001,$N2215))</f>
        <v/>
      </c>
      <c r="H2215" s="25" t="str">
        <f>IF($N2215="","",INDEX('_calc'!$F$2:$F$3001,$N2215))</f>
        <v/>
      </c>
      <c r="I2215" s="27" t="str">
        <f>IF($N2215="","",INDEX('_calc'!$H$2:$H$3001,$N2215))</f>
        <v/>
      </c>
      <c r="J2215" s="27" t="str">
        <f>IF($N2215="","",INDEX('_calc'!$I$2:$I$3001,$N2215))</f>
        <v/>
      </c>
      <c r="K2215" s="28" t="str">
        <f>IF($N2215="","",IF(OR(I2215="",J2215=""),"",J2215-I2215))</f>
        <v/>
      </c>
      <c r="L2215" s="29" t="str">
        <f>IF($N2215="","",INDEX('_calc'!$J$2:$J$3001,$N2215))</f>
        <v/>
      </c>
      <c r="M2215" s="2" t="str">
        <f>IF($N2215="","",IF(AND(G2215=0,H2215=0),"수량 없음",IF(G2215=0,"신규 (전년 수량 없음)",IF(H2215=0,"당해 수량 없음",""))))</f>
        <v/>
      </c>
      <c r="N2215" t="str">
        <f>IF($B2215="","",MATCH($B2215,'_calc'!$L$2:$L$3001,0))</f>
        <v/>
      </c>
    </row>
    <row r="2216">
      <c r="B2216" s="24" t="str">
        <f>IF(ROW()-ROW($B$8)&gt;nComp,"",ROW()-ROW($B$8))</f>
        <v/>
      </c>
      <c r="C2216" t="str">
        <f>IF($N2216="","",INDEX('_calc'!$A$2:$A$3001,$N2216))</f>
        <v/>
      </c>
      <c r="D2216" s="25" t="str">
        <f>IF($N2216="","",INDEX('_calc'!$C$2:$C$3001,$N2216))</f>
        <v/>
      </c>
      <c r="E2216" s="25" t="str">
        <f>IF($N2216="","",INDEX('_calc'!$D$2:$D$3001,$N2216))</f>
        <v/>
      </c>
      <c r="F2216" s="26" t="str">
        <f>IF($N2216="","",IF($E$8=0,"",E2216/$E$8))</f>
        <v/>
      </c>
      <c r="G2216" s="25" t="str">
        <f>IF($N2216="","",INDEX('_calc'!$E$2:$E$3001,$N2216))</f>
        <v/>
      </c>
      <c r="H2216" s="25" t="str">
        <f>IF($N2216="","",INDEX('_calc'!$F$2:$F$3001,$N2216))</f>
        <v/>
      </c>
      <c r="I2216" s="27" t="str">
        <f>IF($N2216="","",INDEX('_calc'!$H$2:$H$3001,$N2216))</f>
        <v/>
      </c>
      <c r="J2216" s="27" t="str">
        <f>IF($N2216="","",INDEX('_calc'!$I$2:$I$3001,$N2216))</f>
        <v/>
      </c>
      <c r="K2216" s="28" t="str">
        <f>IF($N2216="","",IF(OR(I2216="",J2216=""),"",J2216-I2216))</f>
        <v/>
      </c>
      <c r="L2216" s="29" t="str">
        <f>IF($N2216="","",INDEX('_calc'!$J$2:$J$3001,$N2216))</f>
        <v/>
      </c>
      <c r="M2216" s="2" t="str">
        <f>IF($N2216="","",IF(AND(G2216=0,H2216=0),"수량 없음",IF(G2216=0,"신규 (전년 수량 없음)",IF(H2216=0,"당해 수량 없음",""))))</f>
        <v/>
      </c>
      <c r="N2216" t="str">
        <f>IF($B2216="","",MATCH($B2216,'_calc'!$L$2:$L$3001,0))</f>
        <v/>
      </c>
    </row>
    <row r="2217">
      <c r="B2217" s="24" t="str">
        <f>IF(ROW()-ROW($B$8)&gt;nComp,"",ROW()-ROW($B$8))</f>
        <v/>
      </c>
      <c r="C2217" t="str">
        <f>IF($N2217="","",INDEX('_calc'!$A$2:$A$3001,$N2217))</f>
        <v/>
      </c>
      <c r="D2217" s="25" t="str">
        <f>IF($N2217="","",INDEX('_calc'!$C$2:$C$3001,$N2217))</f>
        <v/>
      </c>
      <c r="E2217" s="25" t="str">
        <f>IF($N2217="","",INDEX('_calc'!$D$2:$D$3001,$N2217))</f>
        <v/>
      </c>
      <c r="F2217" s="26" t="str">
        <f>IF($N2217="","",IF($E$8=0,"",E2217/$E$8))</f>
        <v/>
      </c>
      <c r="G2217" s="25" t="str">
        <f>IF($N2217="","",INDEX('_calc'!$E$2:$E$3001,$N2217))</f>
        <v/>
      </c>
      <c r="H2217" s="25" t="str">
        <f>IF($N2217="","",INDEX('_calc'!$F$2:$F$3001,$N2217))</f>
        <v/>
      </c>
      <c r="I2217" s="27" t="str">
        <f>IF($N2217="","",INDEX('_calc'!$H$2:$H$3001,$N2217))</f>
        <v/>
      </c>
      <c r="J2217" s="27" t="str">
        <f>IF($N2217="","",INDEX('_calc'!$I$2:$I$3001,$N2217))</f>
        <v/>
      </c>
      <c r="K2217" s="28" t="str">
        <f>IF($N2217="","",IF(OR(I2217="",J2217=""),"",J2217-I2217))</f>
        <v/>
      </c>
      <c r="L2217" s="29" t="str">
        <f>IF($N2217="","",INDEX('_calc'!$J$2:$J$3001,$N2217))</f>
        <v/>
      </c>
      <c r="M2217" s="2" t="str">
        <f>IF($N2217="","",IF(AND(G2217=0,H2217=0),"수량 없음",IF(G2217=0,"신규 (전년 수량 없음)",IF(H2217=0,"당해 수량 없음",""))))</f>
        <v/>
      </c>
      <c r="N2217" t="str">
        <f>IF($B2217="","",MATCH($B2217,'_calc'!$L$2:$L$3001,0))</f>
        <v/>
      </c>
    </row>
    <row r="2218">
      <c r="B2218" s="24" t="str">
        <f>IF(ROW()-ROW($B$8)&gt;nComp,"",ROW()-ROW($B$8))</f>
        <v/>
      </c>
      <c r="C2218" t="str">
        <f>IF($N2218="","",INDEX('_calc'!$A$2:$A$3001,$N2218))</f>
        <v/>
      </c>
      <c r="D2218" s="25" t="str">
        <f>IF($N2218="","",INDEX('_calc'!$C$2:$C$3001,$N2218))</f>
        <v/>
      </c>
      <c r="E2218" s="25" t="str">
        <f>IF($N2218="","",INDEX('_calc'!$D$2:$D$3001,$N2218))</f>
        <v/>
      </c>
      <c r="F2218" s="26" t="str">
        <f>IF($N2218="","",IF($E$8=0,"",E2218/$E$8))</f>
        <v/>
      </c>
      <c r="G2218" s="25" t="str">
        <f>IF($N2218="","",INDEX('_calc'!$E$2:$E$3001,$N2218))</f>
        <v/>
      </c>
      <c r="H2218" s="25" t="str">
        <f>IF($N2218="","",INDEX('_calc'!$F$2:$F$3001,$N2218))</f>
        <v/>
      </c>
      <c r="I2218" s="27" t="str">
        <f>IF($N2218="","",INDEX('_calc'!$H$2:$H$3001,$N2218))</f>
        <v/>
      </c>
      <c r="J2218" s="27" t="str">
        <f>IF($N2218="","",INDEX('_calc'!$I$2:$I$3001,$N2218))</f>
        <v/>
      </c>
      <c r="K2218" s="28" t="str">
        <f>IF($N2218="","",IF(OR(I2218="",J2218=""),"",J2218-I2218))</f>
        <v/>
      </c>
      <c r="L2218" s="29" t="str">
        <f>IF($N2218="","",INDEX('_calc'!$J$2:$J$3001,$N2218))</f>
        <v/>
      </c>
      <c r="M2218" s="2" t="str">
        <f>IF($N2218="","",IF(AND(G2218=0,H2218=0),"수량 없음",IF(G2218=0,"신규 (전년 수량 없음)",IF(H2218=0,"당해 수량 없음",""))))</f>
        <v/>
      </c>
      <c r="N2218" t="str">
        <f>IF($B2218="","",MATCH($B2218,'_calc'!$L$2:$L$3001,0))</f>
        <v/>
      </c>
    </row>
    <row r="2219">
      <c r="B2219" s="24" t="str">
        <f>IF(ROW()-ROW($B$8)&gt;nComp,"",ROW()-ROW($B$8))</f>
        <v/>
      </c>
      <c r="C2219" t="str">
        <f>IF($N2219="","",INDEX('_calc'!$A$2:$A$3001,$N2219))</f>
        <v/>
      </c>
      <c r="D2219" s="25" t="str">
        <f>IF($N2219="","",INDEX('_calc'!$C$2:$C$3001,$N2219))</f>
        <v/>
      </c>
      <c r="E2219" s="25" t="str">
        <f>IF($N2219="","",INDEX('_calc'!$D$2:$D$3001,$N2219))</f>
        <v/>
      </c>
      <c r="F2219" s="26" t="str">
        <f>IF($N2219="","",IF($E$8=0,"",E2219/$E$8))</f>
        <v/>
      </c>
      <c r="G2219" s="25" t="str">
        <f>IF($N2219="","",INDEX('_calc'!$E$2:$E$3001,$N2219))</f>
        <v/>
      </c>
      <c r="H2219" s="25" t="str">
        <f>IF($N2219="","",INDEX('_calc'!$F$2:$F$3001,$N2219))</f>
        <v/>
      </c>
      <c r="I2219" s="27" t="str">
        <f>IF($N2219="","",INDEX('_calc'!$H$2:$H$3001,$N2219))</f>
        <v/>
      </c>
      <c r="J2219" s="27" t="str">
        <f>IF($N2219="","",INDEX('_calc'!$I$2:$I$3001,$N2219))</f>
        <v/>
      </c>
      <c r="K2219" s="28" t="str">
        <f>IF($N2219="","",IF(OR(I2219="",J2219=""),"",J2219-I2219))</f>
        <v/>
      </c>
      <c r="L2219" s="29" t="str">
        <f>IF($N2219="","",INDEX('_calc'!$J$2:$J$3001,$N2219))</f>
        <v/>
      </c>
      <c r="M2219" s="2" t="str">
        <f>IF($N2219="","",IF(AND(G2219=0,H2219=0),"수량 없음",IF(G2219=0,"신규 (전년 수량 없음)",IF(H2219=0,"당해 수량 없음",""))))</f>
        <v/>
      </c>
      <c r="N2219" t="str">
        <f>IF($B2219="","",MATCH($B2219,'_calc'!$L$2:$L$3001,0))</f>
        <v/>
      </c>
    </row>
    <row r="2220">
      <c r="B2220" s="24" t="str">
        <f>IF(ROW()-ROW($B$8)&gt;nComp,"",ROW()-ROW($B$8))</f>
        <v/>
      </c>
      <c r="C2220" t="str">
        <f>IF($N2220="","",INDEX('_calc'!$A$2:$A$3001,$N2220))</f>
        <v/>
      </c>
      <c r="D2220" s="25" t="str">
        <f>IF($N2220="","",INDEX('_calc'!$C$2:$C$3001,$N2220))</f>
        <v/>
      </c>
      <c r="E2220" s="25" t="str">
        <f>IF($N2220="","",INDEX('_calc'!$D$2:$D$3001,$N2220))</f>
        <v/>
      </c>
      <c r="F2220" s="26" t="str">
        <f>IF($N2220="","",IF($E$8=0,"",E2220/$E$8))</f>
        <v/>
      </c>
      <c r="G2220" s="25" t="str">
        <f>IF($N2220="","",INDEX('_calc'!$E$2:$E$3001,$N2220))</f>
        <v/>
      </c>
      <c r="H2220" s="25" t="str">
        <f>IF($N2220="","",INDEX('_calc'!$F$2:$F$3001,$N2220))</f>
        <v/>
      </c>
      <c r="I2220" s="27" t="str">
        <f>IF($N2220="","",INDEX('_calc'!$H$2:$H$3001,$N2220))</f>
        <v/>
      </c>
      <c r="J2220" s="27" t="str">
        <f>IF($N2220="","",INDEX('_calc'!$I$2:$I$3001,$N2220))</f>
        <v/>
      </c>
      <c r="K2220" s="28" t="str">
        <f>IF($N2220="","",IF(OR(I2220="",J2220=""),"",J2220-I2220))</f>
        <v/>
      </c>
      <c r="L2220" s="29" t="str">
        <f>IF($N2220="","",INDEX('_calc'!$J$2:$J$3001,$N2220))</f>
        <v/>
      </c>
      <c r="M2220" s="2" t="str">
        <f>IF($N2220="","",IF(AND(G2220=0,H2220=0),"수량 없음",IF(G2220=0,"신규 (전년 수량 없음)",IF(H2220=0,"당해 수량 없음",""))))</f>
        <v/>
      </c>
      <c r="N2220" t="str">
        <f>IF($B2220="","",MATCH($B2220,'_calc'!$L$2:$L$3001,0))</f>
        <v/>
      </c>
    </row>
    <row r="2221">
      <c r="B2221" s="24" t="str">
        <f>IF(ROW()-ROW($B$8)&gt;nComp,"",ROW()-ROW($B$8))</f>
        <v/>
      </c>
      <c r="C2221" t="str">
        <f>IF($N2221="","",INDEX('_calc'!$A$2:$A$3001,$N2221))</f>
        <v/>
      </c>
      <c r="D2221" s="25" t="str">
        <f>IF($N2221="","",INDEX('_calc'!$C$2:$C$3001,$N2221))</f>
        <v/>
      </c>
      <c r="E2221" s="25" t="str">
        <f>IF($N2221="","",INDEX('_calc'!$D$2:$D$3001,$N2221))</f>
        <v/>
      </c>
      <c r="F2221" s="26" t="str">
        <f>IF($N2221="","",IF($E$8=0,"",E2221/$E$8))</f>
        <v/>
      </c>
      <c r="G2221" s="25" t="str">
        <f>IF($N2221="","",INDEX('_calc'!$E$2:$E$3001,$N2221))</f>
        <v/>
      </c>
      <c r="H2221" s="25" t="str">
        <f>IF($N2221="","",INDEX('_calc'!$F$2:$F$3001,$N2221))</f>
        <v/>
      </c>
      <c r="I2221" s="27" t="str">
        <f>IF($N2221="","",INDEX('_calc'!$H$2:$H$3001,$N2221))</f>
        <v/>
      </c>
      <c r="J2221" s="27" t="str">
        <f>IF($N2221="","",INDEX('_calc'!$I$2:$I$3001,$N2221))</f>
        <v/>
      </c>
      <c r="K2221" s="28" t="str">
        <f>IF($N2221="","",IF(OR(I2221="",J2221=""),"",J2221-I2221))</f>
        <v/>
      </c>
      <c r="L2221" s="29" t="str">
        <f>IF($N2221="","",INDEX('_calc'!$J$2:$J$3001,$N2221))</f>
        <v/>
      </c>
      <c r="M2221" s="2" t="str">
        <f>IF($N2221="","",IF(AND(G2221=0,H2221=0),"수량 없음",IF(G2221=0,"신규 (전년 수량 없음)",IF(H2221=0,"당해 수량 없음",""))))</f>
        <v/>
      </c>
      <c r="N2221" t="str">
        <f>IF($B2221="","",MATCH($B2221,'_calc'!$L$2:$L$3001,0))</f>
        <v/>
      </c>
    </row>
    <row r="2222">
      <c r="B2222" s="24" t="str">
        <f>IF(ROW()-ROW($B$8)&gt;nComp,"",ROW()-ROW($B$8))</f>
        <v/>
      </c>
      <c r="C2222" t="str">
        <f>IF($N2222="","",INDEX('_calc'!$A$2:$A$3001,$N2222))</f>
        <v/>
      </c>
      <c r="D2222" s="25" t="str">
        <f>IF($N2222="","",INDEX('_calc'!$C$2:$C$3001,$N2222))</f>
        <v/>
      </c>
      <c r="E2222" s="25" t="str">
        <f>IF($N2222="","",INDEX('_calc'!$D$2:$D$3001,$N2222))</f>
        <v/>
      </c>
      <c r="F2222" s="26" t="str">
        <f>IF($N2222="","",IF($E$8=0,"",E2222/$E$8))</f>
        <v/>
      </c>
      <c r="G2222" s="25" t="str">
        <f>IF($N2222="","",INDEX('_calc'!$E$2:$E$3001,$N2222))</f>
        <v/>
      </c>
      <c r="H2222" s="25" t="str">
        <f>IF($N2222="","",INDEX('_calc'!$F$2:$F$3001,$N2222))</f>
        <v/>
      </c>
      <c r="I2222" s="27" t="str">
        <f>IF($N2222="","",INDEX('_calc'!$H$2:$H$3001,$N2222))</f>
        <v/>
      </c>
      <c r="J2222" s="27" t="str">
        <f>IF($N2222="","",INDEX('_calc'!$I$2:$I$3001,$N2222))</f>
        <v/>
      </c>
      <c r="K2222" s="28" t="str">
        <f>IF($N2222="","",IF(OR(I2222="",J2222=""),"",J2222-I2222))</f>
        <v/>
      </c>
      <c r="L2222" s="29" t="str">
        <f>IF($N2222="","",INDEX('_calc'!$J$2:$J$3001,$N2222))</f>
        <v/>
      </c>
      <c r="M2222" s="2" t="str">
        <f>IF($N2222="","",IF(AND(G2222=0,H2222=0),"수량 없음",IF(G2222=0,"신규 (전년 수량 없음)",IF(H2222=0,"당해 수량 없음",""))))</f>
        <v/>
      </c>
      <c r="N2222" t="str">
        <f>IF($B2222="","",MATCH($B2222,'_calc'!$L$2:$L$3001,0))</f>
        <v/>
      </c>
    </row>
    <row r="2223">
      <c r="B2223" s="24" t="str">
        <f>IF(ROW()-ROW($B$8)&gt;nComp,"",ROW()-ROW($B$8))</f>
        <v/>
      </c>
      <c r="C2223" t="str">
        <f>IF($N2223="","",INDEX('_calc'!$A$2:$A$3001,$N2223))</f>
        <v/>
      </c>
      <c r="D2223" s="25" t="str">
        <f>IF($N2223="","",INDEX('_calc'!$C$2:$C$3001,$N2223))</f>
        <v/>
      </c>
      <c r="E2223" s="25" t="str">
        <f>IF($N2223="","",INDEX('_calc'!$D$2:$D$3001,$N2223))</f>
        <v/>
      </c>
      <c r="F2223" s="26" t="str">
        <f>IF($N2223="","",IF($E$8=0,"",E2223/$E$8))</f>
        <v/>
      </c>
      <c r="G2223" s="25" t="str">
        <f>IF($N2223="","",INDEX('_calc'!$E$2:$E$3001,$N2223))</f>
        <v/>
      </c>
      <c r="H2223" s="25" t="str">
        <f>IF($N2223="","",INDEX('_calc'!$F$2:$F$3001,$N2223))</f>
        <v/>
      </c>
      <c r="I2223" s="27" t="str">
        <f>IF($N2223="","",INDEX('_calc'!$H$2:$H$3001,$N2223))</f>
        <v/>
      </c>
      <c r="J2223" s="27" t="str">
        <f>IF($N2223="","",INDEX('_calc'!$I$2:$I$3001,$N2223))</f>
        <v/>
      </c>
      <c r="K2223" s="28" t="str">
        <f>IF($N2223="","",IF(OR(I2223="",J2223=""),"",J2223-I2223))</f>
        <v/>
      </c>
      <c r="L2223" s="29" t="str">
        <f>IF($N2223="","",INDEX('_calc'!$J$2:$J$3001,$N2223))</f>
        <v/>
      </c>
      <c r="M2223" s="2" t="str">
        <f>IF($N2223="","",IF(AND(G2223=0,H2223=0),"수량 없음",IF(G2223=0,"신규 (전년 수량 없음)",IF(H2223=0,"당해 수량 없음",""))))</f>
        <v/>
      </c>
      <c r="N2223" t="str">
        <f>IF($B2223="","",MATCH($B2223,'_calc'!$L$2:$L$3001,0))</f>
        <v/>
      </c>
    </row>
    <row r="2224">
      <c r="B2224" s="24" t="str">
        <f>IF(ROW()-ROW($B$8)&gt;nComp,"",ROW()-ROW($B$8))</f>
        <v/>
      </c>
      <c r="C2224" t="str">
        <f>IF($N2224="","",INDEX('_calc'!$A$2:$A$3001,$N2224))</f>
        <v/>
      </c>
      <c r="D2224" s="25" t="str">
        <f>IF($N2224="","",INDEX('_calc'!$C$2:$C$3001,$N2224))</f>
        <v/>
      </c>
      <c r="E2224" s="25" t="str">
        <f>IF($N2224="","",INDEX('_calc'!$D$2:$D$3001,$N2224))</f>
        <v/>
      </c>
      <c r="F2224" s="26" t="str">
        <f>IF($N2224="","",IF($E$8=0,"",E2224/$E$8))</f>
        <v/>
      </c>
      <c r="G2224" s="25" t="str">
        <f>IF($N2224="","",INDEX('_calc'!$E$2:$E$3001,$N2224))</f>
        <v/>
      </c>
      <c r="H2224" s="25" t="str">
        <f>IF($N2224="","",INDEX('_calc'!$F$2:$F$3001,$N2224))</f>
        <v/>
      </c>
      <c r="I2224" s="27" t="str">
        <f>IF($N2224="","",INDEX('_calc'!$H$2:$H$3001,$N2224))</f>
        <v/>
      </c>
      <c r="J2224" s="27" t="str">
        <f>IF($N2224="","",INDEX('_calc'!$I$2:$I$3001,$N2224))</f>
        <v/>
      </c>
      <c r="K2224" s="28" t="str">
        <f>IF($N2224="","",IF(OR(I2224="",J2224=""),"",J2224-I2224))</f>
        <v/>
      </c>
      <c r="L2224" s="29" t="str">
        <f>IF($N2224="","",INDEX('_calc'!$J$2:$J$3001,$N2224))</f>
        <v/>
      </c>
      <c r="M2224" s="2" t="str">
        <f>IF($N2224="","",IF(AND(G2224=0,H2224=0),"수량 없음",IF(G2224=0,"신규 (전년 수량 없음)",IF(H2224=0,"당해 수량 없음",""))))</f>
        <v/>
      </c>
      <c r="N2224" t="str">
        <f>IF($B2224="","",MATCH($B2224,'_calc'!$L$2:$L$3001,0))</f>
        <v/>
      </c>
    </row>
    <row r="2225">
      <c r="B2225" s="24" t="str">
        <f>IF(ROW()-ROW($B$8)&gt;nComp,"",ROW()-ROW($B$8))</f>
        <v/>
      </c>
      <c r="C2225" t="str">
        <f>IF($N2225="","",INDEX('_calc'!$A$2:$A$3001,$N2225))</f>
        <v/>
      </c>
      <c r="D2225" s="25" t="str">
        <f>IF($N2225="","",INDEX('_calc'!$C$2:$C$3001,$N2225))</f>
        <v/>
      </c>
      <c r="E2225" s="25" t="str">
        <f>IF($N2225="","",INDEX('_calc'!$D$2:$D$3001,$N2225))</f>
        <v/>
      </c>
      <c r="F2225" s="26" t="str">
        <f>IF($N2225="","",IF($E$8=0,"",E2225/$E$8))</f>
        <v/>
      </c>
      <c r="G2225" s="25" t="str">
        <f>IF($N2225="","",INDEX('_calc'!$E$2:$E$3001,$N2225))</f>
        <v/>
      </c>
      <c r="H2225" s="25" t="str">
        <f>IF($N2225="","",INDEX('_calc'!$F$2:$F$3001,$N2225))</f>
        <v/>
      </c>
      <c r="I2225" s="27" t="str">
        <f>IF($N2225="","",INDEX('_calc'!$H$2:$H$3001,$N2225))</f>
        <v/>
      </c>
      <c r="J2225" s="27" t="str">
        <f>IF($N2225="","",INDEX('_calc'!$I$2:$I$3001,$N2225))</f>
        <v/>
      </c>
      <c r="K2225" s="28" t="str">
        <f>IF($N2225="","",IF(OR(I2225="",J2225=""),"",J2225-I2225))</f>
        <v/>
      </c>
      <c r="L2225" s="29" t="str">
        <f>IF($N2225="","",INDEX('_calc'!$J$2:$J$3001,$N2225))</f>
        <v/>
      </c>
      <c r="M2225" s="2" t="str">
        <f>IF($N2225="","",IF(AND(G2225=0,H2225=0),"수량 없음",IF(G2225=0,"신규 (전년 수량 없음)",IF(H2225=0,"당해 수량 없음",""))))</f>
        <v/>
      </c>
      <c r="N2225" t="str">
        <f>IF($B2225="","",MATCH($B2225,'_calc'!$L$2:$L$3001,0))</f>
        <v/>
      </c>
    </row>
    <row r="2226">
      <c r="B2226" s="24" t="str">
        <f>IF(ROW()-ROW($B$8)&gt;nComp,"",ROW()-ROW($B$8))</f>
        <v/>
      </c>
      <c r="C2226" t="str">
        <f>IF($N2226="","",INDEX('_calc'!$A$2:$A$3001,$N2226))</f>
        <v/>
      </c>
      <c r="D2226" s="25" t="str">
        <f>IF($N2226="","",INDEX('_calc'!$C$2:$C$3001,$N2226))</f>
        <v/>
      </c>
      <c r="E2226" s="25" t="str">
        <f>IF($N2226="","",INDEX('_calc'!$D$2:$D$3001,$N2226))</f>
        <v/>
      </c>
      <c r="F2226" s="26" t="str">
        <f>IF($N2226="","",IF($E$8=0,"",E2226/$E$8))</f>
        <v/>
      </c>
      <c r="G2226" s="25" t="str">
        <f>IF($N2226="","",INDEX('_calc'!$E$2:$E$3001,$N2226))</f>
        <v/>
      </c>
      <c r="H2226" s="25" t="str">
        <f>IF($N2226="","",INDEX('_calc'!$F$2:$F$3001,$N2226))</f>
        <v/>
      </c>
      <c r="I2226" s="27" t="str">
        <f>IF($N2226="","",INDEX('_calc'!$H$2:$H$3001,$N2226))</f>
        <v/>
      </c>
      <c r="J2226" s="27" t="str">
        <f>IF($N2226="","",INDEX('_calc'!$I$2:$I$3001,$N2226))</f>
        <v/>
      </c>
      <c r="K2226" s="28" t="str">
        <f>IF($N2226="","",IF(OR(I2226="",J2226=""),"",J2226-I2226))</f>
        <v/>
      </c>
      <c r="L2226" s="29" t="str">
        <f>IF($N2226="","",INDEX('_calc'!$J$2:$J$3001,$N2226))</f>
        <v/>
      </c>
      <c r="M2226" s="2" t="str">
        <f>IF($N2226="","",IF(AND(G2226=0,H2226=0),"수량 없음",IF(G2226=0,"신규 (전년 수량 없음)",IF(H2226=0,"당해 수량 없음",""))))</f>
        <v/>
      </c>
      <c r="N2226" t="str">
        <f>IF($B2226="","",MATCH($B2226,'_calc'!$L$2:$L$3001,0))</f>
        <v/>
      </c>
    </row>
    <row r="2227">
      <c r="B2227" s="24" t="str">
        <f>IF(ROW()-ROW($B$8)&gt;nComp,"",ROW()-ROW($B$8))</f>
        <v/>
      </c>
      <c r="C2227" t="str">
        <f>IF($N2227="","",INDEX('_calc'!$A$2:$A$3001,$N2227))</f>
        <v/>
      </c>
      <c r="D2227" s="25" t="str">
        <f>IF($N2227="","",INDEX('_calc'!$C$2:$C$3001,$N2227))</f>
        <v/>
      </c>
      <c r="E2227" s="25" t="str">
        <f>IF($N2227="","",INDEX('_calc'!$D$2:$D$3001,$N2227))</f>
        <v/>
      </c>
      <c r="F2227" s="26" t="str">
        <f>IF($N2227="","",IF($E$8=0,"",E2227/$E$8))</f>
        <v/>
      </c>
      <c r="G2227" s="25" t="str">
        <f>IF($N2227="","",INDEX('_calc'!$E$2:$E$3001,$N2227))</f>
        <v/>
      </c>
      <c r="H2227" s="25" t="str">
        <f>IF($N2227="","",INDEX('_calc'!$F$2:$F$3001,$N2227))</f>
        <v/>
      </c>
      <c r="I2227" s="27" t="str">
        <f>IF($N2227="","",INDEX('_calc'!$H$2:$H$3001,$N2227))</f>
        <v/>
      </c>
      <c r="J2227" s="27" t="str">
        <f>IF($N2227="","",INDEX('_calc'!$I$2:$I$3001,$N2227))</f>
        <v/>
      </c>
      <c r="K2227" s="28" t="str">
        <f>IF($N2227="","",IF(OR(I2227="",J2227=""),"",J2227-I2227))</f>
        <v/>
      </c>
      <c r="L2227" s="29" t="str">
        <f>IF($N2227="","",INDEX('_calc'!$J$2:$J$3001,$N2227))</f>
        <v/>
      </c>
      <c r="M2227" s="2" t="str">
        <f>IF($N2227="","",IF(AND(G2227=0,H2227=0),"수량 없음",IF(G2227=0,"신규 (전년 수량 없음)",IF(H2227=0,"당해 수량 없음",""))))</f>
        <v/>
      </c>
      <c r="N2227" t="str">
        <f>IF($B2227="","",MATCH($B2227,'_calc'!$L$2:$L$3001,0))</f>
        <v/>
      </c>
    </row>
    <row r="2228">
      <c r="B2228" s="24" t="str">
        <f>IF(ROW()-ROW($B$8)&gt;nComp,"",ROW()-ROW($B$8))</f>
        <v/>
      </c>
      <c r="C2228" t="str">
        <f>IF($N2228="","",INDEX('_calc'!$A$2:$A$3001,$N2228))</f>
        <v/>
      </c>
      <c r="D2228" s="25" t="str">
        <f>IF($N2228="","",INDEX('_calc'!$C$2:$C$3001,$N2228))</f>
        <v/>
      </c>
      <c r="E2228" s="25" t="str">
        <f>IF($N2228="","",INDEX('_calc'!$D$2:$D$3001,$N2228))</f>
        <v/>
      </c>
      <c r="F2228" s="26" t="str">
        <f>IF($N2228="","",IF($E$8=0,"",E2228/$E$8))</f>
        <v/>
      </c>
      <c r="G2228" s="25" t="str">
        <f>IF($N2228="","",INDEX('_calc'!$E$2:$E$3001,$N2228))</f>
        <v/>
      </c>
      <c r="H2228" s="25" t="str">
        <f>IF($N2228="","",INDEX('_calc'!$F$2:$F$3001,$N2228))</f>
        <v/>
      </c>
      <c r="I2228" s="27" t="str">
        <f>IF($N2228="","",INDEX('_calc'!$H$2:$H$3001,$N2228))</f>
        <v/>
      </c>
      <c r="J2228" s="27" t="str">
        <f>IF($N2228="","",INDEX('_calc'!$I$2:$I$3001,$N2228))</f>
        <v/>
      </c>
      <c r="K2228" s="28" t="str">
        <f>IF($N2228="","",IF(OR(I2228="",J2228=""),"",J2228-I2228))</f>
        <v/>
      </c>
      <c r="L2228" s="29" t="str">
        <f>IF($N2228="","",INDEX('_calc'!$J$2:$J$3001,$N2228))</f>
        <v/>
      </c>
      <c r="M2228" s="2" t="str">
        <f>IF($N2228="","",IF(AND(G2228=0,H2228=0),"수량 없음",IF(G2228=0,"신규 (전년 수량 없음)",IF(H2228=0,"당해 수량 없음",""))))</f>
        <v/>
      </c>
      <c r="N2228" t="str">
        <f>IF($B2228="","",MATCH($B2228,'_calc'!$L$2:$L$3001,0))</f>
        <v/>
      </c>
    </row>
    <row r="2229">
      <c r="B2229" s="24" t="str">
        <f>IF(ROW()-ROW($B$8)&gt;nComp,"",ROW()-ROW($B$8))</f>
        <v/>
      </c>
      <c r="C2229" t="str">
        <f>IF($N2229="","",INDEX('_calc'!$A$2:$A$3001,$N2229))</f>
        <v/>
      </c>
      <c r="D2229" s="25" t="str">
        <f>IF($N2229="","",INDEX('_calc'!$C$2:$C$3001,$N2229))</f>
        <v/>
      </c>
      <c r="E2229" s="25" t="str">
        <f>IF($N2229="","",INDEX('_calc'!$D$2:$D$3001,$N2229))</f>
        <v/>
      </c>
      <c r="F2229" s="26" t="str">
        <f>IF($N2229="","",IF($E$8=0,"",E2229/$E$8))</f>
        <v/>
      </c>
      <c r="G2229" s="25" t="str">
        <f>IF($N2229="","",INDEX('_calc'!$E$2:$E$3001,$N2229))</f>
        <v/>
      </c>
      <c r="H2229" s="25" t="str">
        <f>IF($N2229="","",INDEX('_calc'!$F$2:$F$3001,$N2229))</f>
        <v/>
      </c>
      <c r="I2229" s="27" t="str">
        <f>IF($N2229="","",INDEX('_calc'!$H$2:$H$3001,$N2229))</f>
        <v/>
      </c>
      <c r="J2229" s="27" t="str">
        <f>IF($N2229="","",INDEX('_calc'!$I$2:$I$3001,$N2229))</f>
        <v/>
      </c>
      <c r="K2229" s="28" t="str">
        <f>IF($N2229="","",IF(OR(I2229="",J2229=""),"",J2229-I2229))</f>
        <v/>
      </c>
      <c r="L2229" s="29" t="str">
        <f>IF($N2229="","",INDEX('_calc'!$J$2:$J$3001,$N2229))</f>
        <v/>
      </c>
      <c r="M2229" s="2" t="str">
        <f>IF($N2229="","",IF(AND(G2229=0,H2229=0),"수량 없음",IF(G2229=0,"신규 (전년 수량 없음)",IF(H2229=0,"당해 수량 없음",""))))</f>
        <v/>
      </c>
      <c r="N2229" t="str">
        <f>IF($B2229="","",MATCH($B2229,'_calc'!$L$2:$L$3001,0))</f>
        <v/>
      </c>
    </row>
    <row r="2230">
      <c r="B2230" s="24" t="str">
        <f>IF(ROW()-ROW($B$8)&gt;nComp,"",ROW()-ROW($B$8))</f>
        <v/>
      </c>
      <c r="C2230" t="str">
        <f>IF($N2230="","",INDEX('_calc'!$A$2:$A$3001,$N2230))</f>
        <v/>
      </c>
      <c r="D2230" s="25" t="str">
        <f>IF($N2230="","",INDEX('_calc'!$C$2:$C$3001,$N2230))</f>
        <v/>
      </c>
      <c r="E2230" s="25" t="str">
        <f>IF($N2230="","",INDEX('_calc'!$D$2:$D$3001,$N2230))</f>
        <v/>
      </c>
      <c r="F2230" s="26" t="str">
        <f>IF($N2230="","",IF($E$8=0,"",E2230/$E$8))</f>
        <v/>
      </c>
      <c r="G2230" s="25" t="str">
        <f>IF($N2230="","",INDEX('_calc'!$E$2:$E$3001,$N2230))</f>
        <v/>
      </c>
      <c r="H2230" s="25" t="str">
        <f>IF($N2230="","",INDEX('_calc'!$F$2:$F$3001,$N2230))</f>
        <v/>
      </c>
      <c r="I2230" s="27" t="str">
        <f>IF($N2230="","",INDEX('_calc'!$H$2:$H$3001,$N2230))</f>
        <v/>
      </c>
      <c r="J2230" s="27" t="str">
        <f>IF($N2230="","",INDEX('_calc'!$I$2:$I$3001,$N2230))</f>
        <v/>
      </c>
      <c r="K2230" s="28" t="str">
        <f>IF($N2230="","",IF(OR(I2230="",J2230=""),"",J2230-I2230))</f>
        <v/>
      </c>
      <c r="L2230" s="29" t="str">
        <f>IF($N2230="","",INDEX('_calc'!$J$2:$J$3001,$N2230))</f>
        <v/>
      </c>
      <c r="M2230" s="2" t="str">
        <f>IF($N2230="","",IF(AND(G2230=0,H2230=0),"수량 없음",IF(G2230=0,"신규 (전년 수량 없음)",IF(H2230=0,"당해 수량 없음",""))))</f>
        <v/>
      </c>
      <c r="N2230" t="str">
        <f>IF($B2230="","",MATCH($B2230,'_calc'!$L$2:$L$3001,0))</f>
        <v/>
      </c>
    </row>
    <row r="2231">
      <c r="B2231" s="24" t="str">
        <f>IF(ROW()-ROW($B$8)&gt;nComp,"",ROW()-ROW($B$8))</f>
        <v/>
      </c>
      <c r="C2231" t="str">
        <f>IF($N2231="","",INDEX('_calc'!$A$2:$A$3001,$N2231))</f>
        <v/>
      </c>
      <c r="D2231" s="25" t="str">
        <f>IF($N2231="","",INDEX('_calc'!$C$2:$C$3001,$N2231))</f>
        <v/>
      </c>
      <c r="E2231" s="25" t="str">
        <f>IF($N2231="","",INDEX('_calc'!$D$2:$D$3001,$N2231))</f>
        <v/>
      </c>
      <c r="F2231" s="26" t="str">
        <f>IF($N2231="","",IF($E$8=0,"",E2231/$E$8))</f>
        <v/>
      </c>
      <c r="G2231" s="25" t="str">
        <f>IF($N2231="","",INDEX('_calc'!$E$2:$E$3001,$N2231))</f>
        <v/>
      </c>
      <c r="H2231" s="25" t="str">
        <f>IF($N2231="","",INDEX('_calc'!$F$2:$F$3001,$N2231))</f>
        <v/>
      </c>
      <c r="I2231" s="27" t="str">
        <f>IF($N2231="","",INDEX('_calc'!$H$2:$H$3001,$N2231))</f>
        <v/>
      </c>
      <c r="J2231" s="27" t="str">
        <f>IF($N2231="","",INDEX('_calc'!$I$2:$I$3001,$N2231))</f>
        <v/>
      </c>
      <c r="K2231" s="28" t="str">
        <f>IF($N2231="","",IF(OR(I2231="",J2231=""),"",J2231-I2231))</f>
        <v/>
      </c>
      <c r="L2231" s="29" t="str">
        <f>IF($N2231="","",INDEX('_calc'!$J$2:$J$3001,$N2231))</f>
        <v/>
      </c>
      <c r="M2231" s="2" t="str">
        <f>IF($N2231="","",IF(AND(G2231=0,H2231=0),"수량 없음",IF(G2231=0,"신규 (전년 수량 없음)",IF(H2231=0,"당해 수량 없음",""))))</f>
        <v/>
      </c>
      <c r="N2231" t="str">
        <f>IF($B2231="","",MATCH($B2231,'_calc'!$L$2:$L$3001,0))</f>
        <v/>
      </c>
    </row>
    <row r="2232">
      <c r="B2232" s="24" t="str">
        <f>IF(ROW()-ROW($B$8)&gt;nComp,"",ROW()-ROW($B$8))</f>
        <v/>
      </c>
      <c r="C2232" t="str">
        <f>IF($N2232="","",INDEX('_calc'!$A$2:$A$3001,$N2232))</f>
        <v/>
      </c>
      <c r="D2232" s="25" t="str">
        <f>IF($N2232="","",INDEX('_calc'!$C$2:$C$3001,$N2232))</f>
        <v/>
      </c>
      <c r="E2232" s="25" t="str">
        <f>IF($N2232="","",INDEX('_calc'!$D$2:$D$3001,$N2232))</f>
        <v/>
      </c>
      <c r="F2232" s="26" t="str">
        <f>IF($N2232="","",IF($E$8=0,"",E2232/$E$8))</f>
        <v/>
      </c>
      <c r="G2232" s="25" t="str">
        <f>IF($N2232="","",INDEX('_calc'!$E$2:$E$3001,$N2232))</f>
        <v/>
      </c>
      <c r="H2232" s="25" t="str">
        <f>IF($N2232="","",INDEX('_calc'!$F$2:$F$3001,$N2232))</f>
        <v/>
      </c>
      <c r="I2232" s="27" t="str">
        <f>IF($N2232="","",INDEX('_calc'!$H$2:$H$3001,$N2232))</f>
        <v/>
      </c>
      <c r="J2232" s="27" t="str">
        <f>IF($N2232="","",INDEX('_calc'!$I$2:$I$3001,$N2232))</f>
        <v/>
      </c>
      <c r="K2232" s="28" t="str">
        <f>IF($N2232="","",IF(OR(I2232="",J2232=""),"",J2232-I2232))</f>
        <v/>
      </c>
      <c r="L2232" s="29" t="str">
        <f>IF($N2232="","",INDEX('_calc'!$J$2:$J$3001,$N2232))</f>
        <v/>
      </c>
      <c r="M2232" s="2" t="str">
        <f>IF($N2232="","",IF(AND(G2232=0,H2232=0),"수량 없음",IF(G2232=0,"신규 (전년 수량 없음)",IF(H2232=0,"당해 수량 없음",""))))</f>
        <v/>
      </c>
      <c r="N2232" t="str">
        <f>IF($B2232="","",MATCH($B2232,'_calc'!$L$2:$L$3001,0))</f>
        <v/>
      </c>
    </row>
    <row r="2233">
      <c r="B2233" s="24" t="str">
        <f>IF(ROW()-ROW($B$8)&gt;nComp,"",ROW()-ROW($B$8))</f>
        <v/>
      </c>
      <c r="C2233" t="str">
        <f>IF($N2233="","",INDEX('_calc'!$A$2:$A$3001,$N2233))</f>
        <v/>
      </c>
      <c r="D2233" s="25" t="str">
        <f>IF($N2233="","",INDEX('_calc'!$C$2:$C$3001,$N2233))</f>
        <v/>
      </c>
      <c r="E2233" s="25" t="str">
        <f>IF($N2233="","",INDEX('_calc'!$D$2:$D$3001,$N2233))</f>
        <v/>
      </c>
      <c r="F2233" s="26" t="str">
        <f>IF($N2233="","",IF($E$8=0,"",E2233/$E$8))</f>
        <v/>
      </c>
      <c r="G2233" s="25" t="str">
        <f>IF($N2233="","",INDEX('_calc'!$E$2:$E$3001,$N2233))</f>
        <v/>
      </c>
      <c r="H2233" s="25" t="str">
        <f>IF($N2233="","",INDEX('_calc'!$F$2:$F$3001,$N2233))</f>
        <v/>
      </c>
      <c r="I2233" s="27" t="str">
        <f>IF($N2233="","",INDEX('_calc'!$H$2:$H$3001,$N2233))</f>
        <v/>
      </c>
      <c r="J2233" s="27" t="str">
        <f>IF($N2233="","",INDEX('_calc'!$I$2:$I$3001,$N2233))</f>
        <v/>
      </c>
      <c r="K2233" s="28" t="str">
        <f>IF($N2233="","",IF(OR(I2233="",J2233=""),"",J2233-I2233))</f>
        <v/>
      </c>
      <c r="L2233" s="29" t="str">
        <f>IF($N2233="","",INDEX('_calc'!$J$2:$J$3001,$N2233))</f>
        <v/>
      </c>
      <c r="M2233" s="2" t="str">
        <f>IF($N2233="","",IF(AND(G2233=0,H2233=0),"수량 없음",IF(G2233=0,"신규 (전년 수량 없음)",IF(H2233=0,"당해 수량 없음",""))))</f>
        <v/>
      </c>
      <c r="N2233" t="str">
        <f>IF($B2233="","",MATCH($B2233,'_calc'!$L$2:$L$3001,0))</f>
        <v/>
      </c>
    </row>
    <row r="2234">
      <c r="B2234" s="24" t="str">
        <f>IF(ROW()-ROW($B$8)&gt;nComp,"",ROW()-ROW($B$8))</f>
        <v/>
      </c>
      <c r="C2234" t="str">
        <f>IF($N2234="","",INDEX('_calc'!$A$2:$A$3001,$N2234))</f>
        <v/>
      </c>
      <c r="D2234" s="25" t="str">
        <f>IF($N2234="","",INDEX('_calc'!$C$2:$C$3001,$N2234))</f>
        <v/>
      </c>
      <c r="E2234" s="25" t="str">
        <f>IF($N2234="","",INDEX('_calc'!$D$2:$D$3001,$N2234))</f>
        <v/>
      </c>
      <c r="F2234" s="26" t="str">
        <f>IF($N2234="","",IF($E$8=0,"",E2234/$E$8))</f>
        <v/>
      </c>
      <c r="G2234" s="25" t="str">
        <f>IF($N2234="","",INDEX('_calc'!$E$2:$E$3001,$N2234))</f>
        <v/>
      </c>
      <c r="H2234" s="25" t="str">
        <f>IF($N2234="","",INDEX('_calc'!$F$2:$F$3001,$N2234))</f>
        <v/>
      </c>
      <c r="I2234" s="27" t="str">
        <f>IF($N2234="","",INDEX('_calc'!$H$2:$H$3001,$N2234))</f>
        <v/>
      </c>
      <c r="J2234" s="27" t="str">
        <f>IF($N2234="","",INDEX('_calc'!$I$2:$I$3001,$N2234))</f>
        <v/>
      </c>
      <c r="K2234" s="28" t="str">
        <f>IF($N2234="","",IF(OR(I2234="",J2234=""),"",J2234-I2234))</f>
        <v/>
      </c>
      <c r="L2234" s="29" t="str">
        <f>IF($N2234="","",INDEX('_calc'!$J$2:$J$3001,$N2234))</f>
        <v/>
      </c>
      <c r="M2234" s="2" t="str">
        <f>IF($N2234="","",IF(AND(G2234=0,H2234=0),"수량 없음",IF(G2234=0,"신규 (전년 수량 없음)",IF(H2234=0,"당해 수량 없음",""))))</f>
        <v/>
      </c>
      <c r="N2234" t="str">
        <f>IF($B2234="","",MATCH($B2234,'_calc'!$L$2:$L$3001,0))</f>
        <v/>
      </c>
    </row>
    <row r="2235">
      <c r="B2235" s="24" t="str">
        <f>IF(ROW()-ROW($B$8)&gt;nComp,"",ROW()-ROW($B$8))</f>
        <v/>
      </c>
      <c r="C2235" t="str">
        <f>IF($N2235="","",INDEX('_calc'!$A$2:$A$3001,$N2235))</f>
        <v/>
      </c>
      <c r="D2235" s="25" t="str">
        <f>IF($N2235="","",INDEX('_calc'!$C$2:$C$3001,$N2235))</f>
        <v/>
      </c>
      <c r="E2235" s="25" t="str">
        <f>IF($N2235="","",INDEX('_calc'!$D$2:$D$3001,$N2235))</f>
        <v/>
      </c>
      <c r="F2235" s="26" t="str">
        <f>IF($N2235="","",IF($E$8=0,"",E2235/$E$8))</f>
        <v/>
      </c>
      <c r="G2235" s="25" t="str">
        <f>IF($N2235="","",INDEX('_calc'!$E$2:$E$3001,$N2235))</f>
        <v/>
      </c>
      <c r="H2235" s="25" t="str">
        <f>IF($N2235="","",INDEX('_calc'!$F$2:$F$3001,$N2235))</f>
        <v/>
      </c>
      <c r="I2235" s="27" t="str">
        <f>IF($N2235="","",INDEX('_calc'!$H$2:$H$3001,$N2235))</f>
        <v/>
      </c>
      <c r="J2235" s="27" t="str">
        <f>IF($N2235="","",INDEX('_calc'!$I$2:$I$3001,$N2235))</f>
        <v/>
      </c>
      <c r="K2235" s="28" t="str">
        <f>IF($N2235="","",IF(OR(I2235="",J2235=""),"",J2235-I2235))</f>
        <v/>
      </c>
      <c r="L2235" s="29" t="str">
        <f>IF($N2235="","",INDEX('_calc'!$J$2:$J$3001,$N2235))</f>
        <v/>
      </c>
      <c r="M2235" s="2" t="str">
        <f>IF($N2235="","",IF(AND(G2235=0,H2235=0),"수량 없음",IF(G2235=0,"신규 (전년 수량 없음)",IF(H2235=0,"당해 수량 없음",""))))</f>
        <v/>
      </c>
      <c r="N2235" t="str">
        <f>IF($B2235="","",MATCH($B2235,'_calc'!$L$2:$L$3001,0))</f>
        <v/>
      </c>
    </row>
    <row r="2236">
      <c r="B2236" s="24" t="str">
        <f>IF(ROW()-ROW($B$8)&gt;nComp,"",ROW()-ROW($B$8))</f>
        <v/>
      </c>
      <c r="C2236" t="str">
        <f>IF($N2236="","",INDEX('_calc'!$A$2:$A$3001,$N2236))</f>
        <v/>
      </c>
      <c r="D2236" s="25" t="str">
        <f>IF($N2236="","",INDEX('_calc'!$C$2:$C$3001,$N2236))</f>
        <v/>
      </c>
      <c r="E2236" s="25" t="str">
        <f>IF($N2236="","",INDEX('_calc'!$D$2:$D$3001,$N2236))</f>
        <v/>
      </c>
      <c r="F2236" s="26" t="str">
        <f>IF($N2236="","",IF($E$8=0,"",E2236/$E$8))</f>
        <v/>
      </c>
      <c r="G2236" s="25" t="str">
        <f>IF($N2236="","",INDEX('_calc'!$E$2:$E$3001,$N2236))</f>
        <v/>
      </c>
      <c r="H2236" s="25" t="str">
        <f>IF($N2236="","",INDEX('_calc'!$F$2:$F$3001,$N2236))</f>
        <v/>
      </c>
      <c r="I2236" s="27" t="str">
        <f>IF($N2236="","",INDEX('_calc'!$H$2:$H$3001,$N2236))</f>
        <v/>
      </c>
      <c r="J2236" s="27" t="str">
        <f>IF($N2236="","",INDEX('_calc'!$I$2:$I$3001,$N2236))</f>
        <v/>
      </c>
      <c r="K2236" s="28" t="str">
        <f>IF($N2236="","",IF(OR(I2236="",J2236=""),"",J2236-I2236))</f>
        <v/>
      </c>
      <c r="L2236" s="29" t="str">
        <f>IF($N2236="","",INDEX('_calc'!$J$2:$J$3001,$N2236))</f>
        <v/>
      </c>
      <c r="M2236" s="2" t="str">
        <f>IF($N2236="","",IF(AND(G2236=0,H2236=0),"수량 없음",IF(G2236=0,"신규 (전년 수량 없음)",IF(H2236=0,"당해 수량 없음",""))))</f>
        <v/>
      </c>
      <c r="N2236" t="str">
        <f>IF($B2236="","",MATCH($B2236,'_calc'!$L$2:$L$3001,0))</f>
        <v/>
      </c>
    </row>
    <row r="2237">
      <c r="B2237" s="24" t="str">
        <f>IF(ROW()-ROW($B$8)&gt;nComp,"",ROW()-ROW($B$8))</f>
        <v/>
      </c>
      <c r="C2237" t="str">
        <f>IF($N2237="","",INDEX('_calc'!$A$2:$A$3001,$N2237))</f>
        <v/>
      </c>
      <c r="D2237" s="25" t="str">
        <f>IF($N2237="","",INDEX('_calc'!$C$2:$C$3001,$N2237))</f>
        <v/>
      </c>
      <c r="E2237" s="25" t="str">
        <f>IF($N2237="","",INDEX('_calc'!$D$2:$D$3001,$N2237))</f>
        <v/>
      </c>
      <c r="F2237" s="26" t="str">
        <f>IF($N2237="","",IF($E$8=0,"",E2237/$E$8))</f>
        <v/>
      </c>
      <c r="G2237" s="25" t="str">
        <f>IF($N2237="","",INDEX('_calc'!$E$2:$E$3001,$N2237))</f>
        <v/>
      </c>
      <c r="H2237" s="25" t="str">
        <f>IF($N2237="","",INDEX('_calc'!$F$2:$F$3001,$N2237))</f>
        <v/>
      </c>
      <c r="I2237" s="27" t="str">
        <f>IF($N2237="","",INDEX('_calc'!$H$2:$H$3001,$N2237))</f>
        <v/>
      </c>
      <c r="J2237" s="27" t="str">
        <f>IF($N2237="","",INDEX('_calc'!$I$2:$I$3001,$N2237))</f>
        <v/>
      </c>
      <c r="K2237" s="28" t="str">
        <f>IF($N2237="","",IF(OR(I2237="",J2237=""),"",J2237-I2237))</f>
        <v/>
      </c>
      <c r="L2237" s="29" t="str">
        <f>IF($N2237="","",INDEX('_calc'!$J$2:$J$3001,$N2237))</f>
        <v/>
      </c>
      <c r="M2237" s="2" t="str">
        <f>IF($N2237="","",IF(AND(G2237=0,H2237=0),"수량 없음",IF(G2237=0,"신규 (전년 수량 없음)",IF(H2237=0,"당해 수량 없음",""))))</f>
        <v/>
      </c>
      <c r="N2237" t="str">
        <f>IF($B2237="","",MATCH($B2237,'_calc'!$L$2:$L$3001,0))</f>
        <v/>
      </c>
    </row>
    <row r="2238">
      <c r="B2238" s="24" t="str">
        <f>IF(ROW()-ROW($B$8)&gt;nComp,"",ROW()-ROW($B$8))</f>
        <v/>
      </c>
      <c r="C2238" t="str">
        <f>IF($N2238="","",INDEX('_calc'!$A$2:$A$3001,$N2238))</f>
        <v/>
      </c>
      <c r="D2238" s="25" t="str">
        <f>IF($N2238="","",INDEX('_calc'!$C$2:$C$3001,$N2238))</f>
        <v/>
      </c>
      <c r="E2238" s="25" t="str">
        <f>IF($N2238="","",INDEX('_calc'!$D$2:$D$3001,$N2238))</f>
        <v/>
      </c>
      <c r="F2238" s="26" t="str">
        <f>IF($N2238="","",IF($E$8=0,"",E2238/$E$8))</f>
        <v/>
      </c>
      <c r="G2238" s="25" t="str">
        <f>IF($N2238="","",INDEX('_calc'!$E$2:$E$3001,$N2238))</f>
        <v/>
      </c>
      <c r="H2238" s="25" t="str">
        <f>IF($N2238="","",INDEX('_calc'!$F$2:$F$3001,$N2238))</f>
        <v/>
      </c>
      <c r="I2238" s="27" t="str">
        <f>IF($N2238="","",INDEX('_calc'!$H$2:$H$3001,$N2238))</f>
        <v/>
      </c>
      <c r="J2238" s="27" t="str">
        <f>IF($N2238="","",INDEX('_calc'!$I$2:$I$3001,$N2238))</f>
        <v/>
      </c>
      <c r="K2238" s="28" t="str">
        <f>IF($N2238="","",IF(OR(I2238="",J2238=""),"",J2238-I2238))</f>
        <v/>
      </c>
      <c r="L2238" s="29" t="str">
        <f>IF($N2238="","",INDEX('_calc'!$J$2:$J$3001,$N2238))</f>
        <v/>
      </c>
      <c r="M2238" s="2" t="str">
        <f>IF($N2238="","",IF(AND(G2238=0,H2238=0),"수량 없음",IF(G2238=0,"신규 (전년 수량 없음)",IF(H2238=0,"당해 수량 없음",""))))</f>
        <v/>
      </c>
      <c r="N2238" t="str">
        <f>IF($B2238="","",MATCH($B2238,'_calc'!$L$2:$L$3001,0))</f>
        <v/>
      </c>
    </row>
    <row r="2239">
      <c r="B2239" s="24" t="str">
        <f>IF(ROW()-ROW($B$8)&gt;nComp,"",ROW()-ROW($B$8))</f>
        <v/>
      </c>
      <c r="C2239" t="str">
        <f>IF($N2239="","",INDEX('_calc'!$A$2:$A$3001,$N2239))</f>
        <v/>
      </c>
      <c r="D2239" s="25" t="str">
        <f>IF($N2239="","",INDEX('_calc'!$C$2:$C$3001,$N2239))</f>
        <v/>
      </c>
      <c r="E2239" s="25" t="str">
        <f>IF($N2239="","",INDEX('_calc'!$D$2:$D$3001,$N2239))</f>
        <v/>
      </c>
      <c r="F2239" s="26" t="str">
        <f>IF($N2239="","",IF($E$8=0,"",E2239/$E$8))</f>
        <v/>
      </c>
      <c r="G2239" s="25" t="str">
        <f>IF($N2239="","",INDEX('_calc'!$E$2:$E$3001,$N2239))</f>
        <v/>
      </c>
      <c r="H2239" s="25" t="str">
        <f>IF($N2239="","",INDEX('_calc'!$F$2:$F$3001,$N2239))</f>
        <v/>
      </c>
      <c r="I2239" s="27" t="str">
        <f>IF($N2239="","",INDEX('_calc'!$H$2:$H$3001,$N2239))</f>
        <v/>
      </c>
      <c r="J2239" s="27" t="str">
        <f>IF($N2239="","",INDEX('_calc'!$I$2:$I$3001,$N2239))</f>
        <v/>
      </c>
      <c r="K2239" s="28" t="str">
        <f>IF($N2239="","",IF(OR(I2239="",J2239=""),"",J2239-I2239))</f>
        <v/>
      </c>
      <c r="L2239" s="29" t="str">
        <f>IF($N2239="","",INDEX('_calc'!$J$2:$J$3001,$N2239))</f>
        <v/>
      </c>
      <c r="M2239" s="2" t="str">
        <f>IF($N2239="","",IF(AND(G2239=0,H2239=0),"수량 없음",IF(G2239=0,"신규 (전년 수량 없음)",IF(H2239=0,"당해 수량 없음",""))))</f>
        <v/>
      </c>
      <c r="N2239" t="str">
        <f>IF($B2239="","",MATCH($B2239,'_calc'!$L$2:$L$3001,0))</f>
        <v/>
      </c>
    </row>
    <row r="2240">
      <c r="B2240" s="24" t="str">
        <f>IF(ROW()-ROW($B$8)&gt;nComp,"",ROW()-ROW($B$8))</f>
        <v/>
      </c>
      <c r="C2240" t="str">
        <f>IF($N2240="","",INDEX('_calc'!$A$2:$A$3001,$N2240))</f>
        <v/>
      </c>
      <c r="D2240" s="25" t="str">
        <f>IF($N2240="","",INDEX('_calc'!$C$2:$C$3001,$N2240))</f>
        <v/>
      </c>
      <c r="E2240" s="25" t="str">
        <f>IF($N2240="","",INDEX('_calc'!$D$2:$D$3001,$N2240))</f>
        <v/>
      </c>
      <c r="F2240" s="26" t="str">
        <f>IF($N2240="","",IF($E$8=0,"",E2240/$E$8))</f>
        <v/>
      </c>
      <c r="G2240" s="25" t="str">
        <f>IF($N2240="","",INDEX('_calc'!$E$2:$E$3001,$N2240))</f>
        <v/>
      </c>
      <c r="H2240" s="25" t="str">
        <f>IF($N2240="","",INDEX('_calc'!$F$2:$F$3001,$N2240))</f>
        <v/>
      </c>
      <c r="I2240" s="27" t="str">
        <f>IF($N2240="","",INDEX('_calc'!$H$2:$H$3001,$N2240))</f>
        <v/>
      </c>
      <c r="J2240" s="27" t="str">
        <f>IF($N2240="","",INDEX('_calc'!$I$2:$I$3001,$N2240))</f>
        <v/>
      </c>
      <c r="K2240" s="28" t="str">
        <f>IF($N2240="","",IF(OR(I2240="",J2240=""),"",J2240-I2240))</f>
        <v/>
      </c>
      <c r="L2240" s="29" t="str">
        <f>IF($N2240="","",INDEX('_calc'!$J$2:$J$3001,$N2240))</f>
        <v/>
      </c>
      <c r="M2240" s="2" t="str">
        <f>IF($N2240="","",IF(AND(G2240=0,H2240=0),"수량 없음",IF(G2240=0,"신규 (전년 수량 없음)",IF(H2240=0,"당해 수량 없음",""))))</f>
        <v/>
      </c>
      <c r="N2240" t="str">
        <f>IF($B2240="","",MATCH($B2240,'_calc'!$L$2:$L$3001,0))</f>
        <v/>
      </c>
    </row>
    <row r="2241">
      <c r="B2241" s="24" t="str">
        <f>IF(ROW()-ROW($B$8)&gt;nComp,"",ROW()-ROW($B$8))</f>
        <v/>
      </c>
      <c r="C2241" t="str">
        <f>IF($N2241="","",INDEX('_calc'!$A$2:$A$3001,$N2241))</f>
        <v/>
      </c>
      <c r="D2241" s="25" t="str">
        <f>IF($N2241="","",INDEX('_calc'!$C$2:$C$3001,$N2241))</f>
        <v/>
      </c>
      <c r="E2241" s="25" t="str">
        <f>IF($N2241="","",INDEX('_calc'!$D$2:$D$3001,$N2241))</f>
        <v/>
      </c>
      <c r="F2241" s="26" t="str">
        <f>IF($N2241="","",IF($E$8=0,"",E2241/$E$8))</f>
        <v/>
      </c>
      <c r="G2241" s="25" t="str">
        <f>IF($N2241="","",INDEX('_calc'!$E$2:$E$3001,$N2241))</f>
        <v/>
      </c>
      <c r="H2241" s="25" t="str">
        <f>IF($N2241="","",INDEX('_calc'!$F$2:$F$3001,$N2241))</f>
        <v/>
      </c>
      <c r="I2241" s="27" t="str">
        <f>IF($N2241="","",INDEX('_calc'!$H$2:$H$3001,$N2241))</f>
        <v/>
      </c>
      <c r="J2241" s="27" t="str">
        <f>IF($N2241="","",INDEX('_calc'!$I$2:$I$3001,$N2241))</f>
        <v/>
      </c>
      <c r="K2241" s="28" t="str">
        <f>IF($N2241="","",IF(OR(I2241="",J2241=""),"",J2241-I2241))</f>
        <v/>
      </c>
      <c r="L2241" s="29" t="str">
        <f>IF($N2241="","",INDEX('_calc'!$J$2:$J$3001,$N2241))</f>
        <v/>
      </c>
      <c r="M2241" s="2" t="str">
        <f>IF($N2241="","",IF(AND(G2241=0,H2241=0),"수량 없음",IF(G2241=0,"신규 (전년 수량 없음)",IF(H2241=0,"당해 수량 없음",""))))</f>
        <v/>
      </c>
      <c r="N2241" t="str">
        <f>IF($B2241="","",MATCH($B2241,'_calc'!$L$2:$L$3001,0))</f>
        <v/>
      </c>
    </row>
    <row r="2242">
      <c r="B2242" s="24" t="str">
        <f>IF(ROW()-ROW($B$8)&gt;nComp,"",ROW()-ROW($B$8))</f>
        <v/>
      </c>
      <c r="C2242" t="str">
        <f>IF($N2242="","",INDEX('_calc'!$A$2:$A$3001,$N2242))</f>
        <v/>
      </c>
      <c r="D2242" s="25" t="str">
        <f>IF($N2242="","",INDEX('_calc'!$C$2:$C$3001,$N2242))</f>
        <v/>
      </c>
      <c r="E2242" s="25" t="str">
        <f>IF($N2242="","",INDEX('_calc'!$D$2:$D$3001,$N2242))</f>
        <v/>
      </c>
      <c r="F2242" s="26" t="str">
        <f>IF($N2242="","",IF($E$8=0,"",E2242/$E$8))</f>
        <v/>
      </c>
      <c r="G2242" s="25" t="str">
        <f>IF($N2242="","",INDEX('_calc'!$E$2:$E$3001,$N2242))</f>
        <v/>
      </c>
      <c r="H2242" s="25" t="str">
        <f>IF($N2242="","",INDEX('_calc'!$F$2:$F$3001,$N2242))</f>
        <v/>
      </c>
      <c r="I2242" s="27" t="str">
        <f>IF($N2242="","",INDEX('_calc'!$H$2:$H$3001,$N2242))</f>
        <v/>
      </c>
      <c r="J2242" s="27" t="str">
        <f>IF($N2242="","",INDEX('_calc'!$I$2:$I$3001,$N2242))</f>
        <v/>
      </c>
      <c r="K2242" s="28" t="str">
        <f>IF($N2242="","",IF(OR(I2242="",J2242=""),"",J2242-I2242))</f>
        <v/>
      </c>
      <c r="L2242" s="29" t="str">
        <f>IF($N2242="","",INDEX('_calc'!$J$2:$J$3001,$N2242))</f>
        <v/>
      </c>
      <c r="M2242" s="2" t="str">
        <f>IF($N2242="","",IF(AND(G2242=0,H2242=0),"수량 없음",IF(G2242=0,"신규 (전년 수량 없음)",IF(H2242=0,"당해 수량 없음",""))))</f>
        <v/>
      </c>
      <c r="N2242" t="str">
        <f>IF($B2242="","",MATCH($B2242,'_calc'!$L$2:$L$3001,0))</f>
        <v/>
      </c>
    </row>
    <row r="2243">
      <c r="B2243" s="24" t="str">
        <f>IF(ROW()-ROW($B$8)&gt;nComp,"",ROW()-ROW($B$8))</f>
        <v/>
      </c>
      <c r="C2243" t="str">
        <f>IF($N2243="","",INDEX('_calc'!$A$2:$A$3001,$N2243))</f>
        <v/>
      </c>
      <c r="D2243" s="25" t="str">
        <f>IF($N2243="","",INDEX('_calc'!$C$2:$C$3001,$N2243))</f>
        <v/>
      </c>
      <c r="E2243" s="25" t="str">
        <f>IF($N2243="","",INDEX('_calc'!$D$2:$D$3001,$N2243))</f>
        <v/>
      </c>
      <c r="F2243" s="26" t="str">
        <f>IF($N2243="","",IF($E$8=0,"",E2243/$E$8))</f>
        <v/>
      </c>
      <c r="G2243" s="25" t="str">
        <f>IF($N2243="","",INDEX('_calc'!$E$2:$E$3001,$N2243))</f>
        <v/>
      </c>
      <c r="H2243" s="25" t="str">
        <f>IF($N2243="","",INDEX('_calc'!$F$2:$F$3001,$N2243))</f>
        <v/>
      </c>
      <c r="I2243" s="27" t="str">
        <f>IF($N2243="","",INDEX('_calc'!$H$2:$H$3001,$N2243))</f>
        <v/>
      </c>
      <c r="J2243" s="27" t="str">
        <f>IF($N2243="","",INDEX('_calc'!$I$2:$I$3001,$N2243))</f>
        <v/>
      </c>
      <c r="K2243" s="28" t="str">
        <f>IF($N2243="","",IF(OR(I2243="",J2243=""),"",J2243-I2243))</f>
        <v/>
      </c>
      <c r="L2243" s="29" t="str">
        <f>IF($N2243="","",INDEX('_calc'!$J$2:$J$3001,$N2243))</f>
        <v/>
      </c>
      <c r="M2243" s="2" t="str">
        <f>IF($N2243="","",IF(AND(G2243=0,H2243=0),"수량 없음",IF(G2243=0,"신규 (전년 수량 없음)",IF(H2243=0,"당해 수량 없음",""))))</f>
        <v/>
      </c>
      <c r="N2243" t="str">
        <f>IF($B2243="","",MATCH($B2243,'_calc'!$L$2:$L$3001,0))</f>
        <v/>
      </c>
    </row>
    <row r="2244">
      <c r="B2244" s="24" t="str">
        <f>IF(ROW()-ROW($B$8)&gt;nComp,"",ROW()-ROW($B$8))</f>
        <v/>
      </c>
      <c r="C2244" t="str">
        <f>IF($N2244="","",INDEX('_calc'!$A$2:$A$3001,$N2244))</f>
        <v/>
      </c>
      <c r="D2244" s="25" t="str">
        <f>IF($N2244="","",INDEX('_calc'!$C$2:$C$3001,$N2244))</f>
        <v/>
      </c>
      <c r="E2244" s="25" t="str">
        <f>IF($N2244="","",INDEX('_calc'!$D$2:$D$3001,$N2244))</f>
        <v/>
      </c>
      <c r="F2244" s="26" t="str">
        <f>IF($N2244="","",IF($E$8=0,"",E2244/$E$8))</f>
        <v/>
      </c>
      <c r="G2244" s="25" t="str">
        <f>IF($N2244="","",INDEX('_calc'!$E$2:$E$3001,$N2244))</f>
        <v/>
      </c>
      <c r="H2244" s="25" t="str">
        <f>IF($N2244="","",INDEX('_calc'!$F$2:$F$3001,$N2244))</f>
        <v/>
      </c>
      <c r="I2244" s="27" t="str">
        <f>IF($N2244="","",INDEX('_calc'!$H$2:$H$3001,$N2244))</f>
        <v/>
      </c>
      <c r="J2244" s="27" t="str">
        <f>IF($N2244="","",INDEX('_calc'!$I$2:$I$3001,$N2244))</f>
        <v/>
      </c>
      <c r="K2244" s="28" t="str">
        <f>IF($N2244="","",IF(OR(I2244="",J2244=""),"",J2244-I2244))</f>
        <v/>
      </c>
      <c r="L2244" s="29" t="str">
        <f>IF($N2244="","",INDEX('_calc'!$J$2:$J$3001,$N2244))</f>
        <v/>
      </c>
      <c r="M2244" s="2" t="str">
        <f>IF($N2244="","",IF(AND(G2244=0,H2244=0),"수량 없음",IF(G2244=0,"신규 (전년 수량 없음)",IF(H2244=0,"당해 수량 없음",""))))</f>
        <v/>
      </c>
      <c r="N2244" t="str">
        <f>IF($B2244="","",MATCH($B2244,'_calc'!$L$2:$L$3001,0))</f>
        <v/>
      </c>
    </row>
    <row r="2245">
      <c r="B2245" s="24" t="str">
        <f>IF(ROW()-ROW($B$8)&gt;nComp,"",ROW()-ROW($B$8))</f>
        <v/>
      </c>
      <c r="C2245" t="str">
        <f>IF($N2245="","",INDEX('_calc'!$A$2:$A$3001,$N2245))</f>
        <v/>
      </c>
      <c r="D2245" s="25" t="str">
        <f>IF($N2245="","",INDEX('_calc'!$C$2:$C$3001,$N2245))</f>
        <v/>
      </c>
      <c r="E2245" s="25" t="str">
        <f>IF($N2245="","",INDEX('_calc'!$D$2:$D$3001,$N2245))</f>
        <v/>
      </c>
      <c r="F2245" s="26" t="str">
        <f>IF($N2245="","",IF($E$8=0,"",E2245/$E$8))</f>
        <v/>
      </c>
      <c r="G2245" s="25" t="str">
        <f>IF($N2245="","",INDEX('_calc'!$E$2:$E$3001,$N2245))</f>
        <v/>
      </c>
      <c r="H2245" s="25" t="str">
        <f>IF($N2245="","",INDEX('_calc'!$F$2:$F$3001,$N2245))</f>
        <v/>
      </c>
      <c r="I2245" s="27" t="str">
        <f>IF($N2245="","",INDEX('_calc'!$H$2:$H$3001,$N2245))</f>
        <v/>
      </c>
      <c r="J2245" s="27" t="str">
        <f>IF($N2245="","",INDEX('_calc'!$I$2:$I$3001,$N2245))</f>
        <v/>
      </c>
      <c r="K2245" s="28" t="str">
        <f>IF($N2245="","",IF(OR(I2245="",J2245=""),"",J2245-I2245))</f>
        <v/>
      </c>
      <c r="L2245" s="29" t="str">
        <f>IF($N2245="","",INDEX('_calc'!$J$2:$J$3001,$N2245))</f>
        <v/>
      </c>
      <c r="M2245" s="2" t="str">
        <f>IF($N2245="","",IF(AND(G2245=0,H2245=0),"수량 없음",IF(G2245=0,"신규 (전년 수량 없음)",IF(H2245=0,"당해 수량 없음",""))))</f>
        <v/>
      </c>
      <c r="N2245" t="str">
        <f>IF($B2245="","",MATCH($B2245,'_calc'!$L$2:$L$3001,0))</f>
        <v/>
      </c>
    </row>
    <row r="2246">
      <c r="B2246" s="24" t="str">
        <f>IF(ROW()-ROW($B$8)&gt;nComp,"",ROW()-ROW($B$8))</f>
        <v/>
      </c>
      <c r="C2246" t="str">
        <f>IF($N2246="","",INDEX('_calc'!$A$2:$A$3001,$N2246))</f>
        <v/>
      </c>
      <c r="D2246" s="25" t="str">
        <f>IF($N2246="","",INDEX('_calc'!$C$2:$C$3001,$N2246))</f>
        <v/>
      </c>
      <c r="E2246" s="25" t="str">
        <f>IF($N2246="","",INDEX('_calc'!$D$2:$D$3001,$N2246))</f>
        <v/>
      </c>
      <c r="F2246" s="26" t="str">
        <f>IF($N2246="","",IF($E$8=0,"",E2246/$E$8))</f>
        <v/>
      </c>
      <c r="G2246" s="25" t="str">
        <f>IF($N2246="","",INDEX('_calc'!$E$2:$E$3001,$N2246))</f>
        <v/>
      </c>
      <c r="H2246" s="25" t="str">
        <f>IF($N2246="","",INDEX('_calc'!$F$2:$F$3001,$N2246))</f>
        <v/>
      </c>
      <c r="I2246" s="27" t="str">
        <f>IF($N2246="","",INDEX('_calc'!$H$2:$H$3001,$N2246))</f>
        <v/>
      </c>
      <c r="J2246" s="27" t="str">
        <f>IF($N2246="","",INDEX('_calc'!$I$2:$I$3001,$N2246))</f>
        <v/>
      </c>
      <c r="K2246" s="28" t="str">
        <f>IF($N2246="","",IF(OR(I2246="",J2246=""),"",J2246-I2246))</f>
        <v/>
      </c>
      <c r="L2246" s="29" t="str">
        <f>IF($N2246="","",INDEX('_calc'!$J$2:$J$3001,$N2246))</f>
        <v/>
      </c>
      <c r="M2246" s="2" t="str">
        <f>IF($N2246="","",IF(AND(G2246=0,H2246=0),"수량 없음",IF(G2246=0,"신규 (전년 수량 없음)",IF(H2246=0,"당해 수량 없음",""))))</f>
        <v/>
      </c>
      <c r="N2246" t="str">
        <f>IF($B2246="","",MATCH($B2246,'_calc'!$L$2:$L$3001,0))</f>
        <v/>
      </c>
    </row>
    <row r="2247">
      <c r="B2247" s="24" t="str">
        <f>IF(ROW()-ROW($B$8)&gt;nComp,"",ROW()-ROW($B$8))</f>
        <v/>
      </c>
      <c r="C2247" t="str">
        <f>IF($N2247="","",INDEX('_calc'!$A$2:$A$3001,$N2247))</f>
        <v/>
      </c>
      <c r="D2247" s="25" t="str">
        <f>IF($N2247="","",INDEX('_calc'!$C$2:$C$3001,$N2247))</f>
        <v/>
      </c>
      <c r="E2247" s="25" t="str">
        <f>IF($N2247="","",INDEX('_calc'!$D$2:$D$3001,$N2247))</f>
        <v/>
      </c>
      <c r="F2247" s="26" t="str">
        <f>IF($N2247="","",IF($E$8=0,"",E2247/$E$8))</f>
        <v/>
      </c>
      <c r="G2247" s="25" t="str">
        <f>IF($N2247="","",INDEX('_calc'!$E$2:$E$3001,$N2247))</f>
        <v/>
      </c>
      <c r="H2247" s="25" t="str">
        <f>IF($N2247="","",INDEX('_calc'!$F$2:$F$3001,$N2247))</f>
        <v/>
      </c>
      <c r="I2247" s="27" t="str">
        <f>IF($N2247="","",INDEX('_calc'!$H$2:$H$3001,$N2247))</f>
        <v/>
      </c>
      <c r="J2247" s="27" t="str">
        <f>IF($N2247="","",INDEX('_calc'!$I$2:$I$3001,$N2247))</f>
        <v/>
      </c>
      <c r="K2247" s="28" t="str">
        <f>IF($N2247="","",IF(OR(I2247="",J2247=""),"",J2247-I2247))</f>
        <v/>
      </c>
      <c r="L2247" s="29" t="str">
        <f>IF($N2247="","",INDEX('_calc'!$J$2:$J$3001,$N2247))</f>
        <v/>
      </c>
      <c r="M2247" s="2" t="str">
        <f>IF($N2247="","",IF(AND(G2247=0,H2247=0),"수량 없음",IF(G2247=0,"신규 (전년 수량 없음)",IF(H2247=0,"당해 수량 없음",""))))</f>
        <v/>
      </c>
      <c r="N2247" t="str">
        <f>IF($B2247="","",MATCH($B2247,'_calc'!$L$2:$L$3001,0))</f>
        <v/>
      </c>
    </row>
    <row r="2248">
      <c r="B2248" s="24" t="str">
        <f>IF(ROW()-ROW($B$8)&gt;nComp,"",ROW()-ROW($B$8))</f>
        <v/>
      </c>
      <c r="C2248" t="str">
        <f>IF($N2248="","",INDEX('_calc'!$A$2:$A$3001,$N2248))</f>
        <v/>
      </c>
      <c r="D2248" s="25" t="str">
        <f>IF($N2248="","",INDEX('_calc'!$C$2:$C$3001,$N2248))</f>
        <v/>
      </c>
      <c r="E2248" s="25" t="str">
        <f>IF($N2248="","",INDEX('_calc'!$D$2:$D$3001,$N2248))</f>
        <v/>
      </c>
      <c r="F2248" s="26" t="str">
        <f>IF($N2248="","",IF($E$8=0,"",E2248/$E$8))</f>
        <v/>
      </c>
      <c r="G2248" s="25" t="str">
        <f>IF($N2248="","",INDEX('_calc'!$E$2:$E$3001,$N2248))</f>
        <v/>
      </c>
      <c r="H2248" s="25" t="str">
        <f>IF($N2248="","",INDEX('_calc'!$F$2:$F$3001,$N2248))</f>
        <v/>
      </c>
      <c r="I2248" s="27" t="str">
        <f>IF($N2248="","",INDEX('_calc'!$H$2:$H$3001,$N2248))</f>
        <v/>
      </c>
      <c r="J2248" s="27" t="str">
        <f>IF($N2248="","",INDEX('_calc'!$I$2:$I$3001,$N2248))</f>
        <v/>
      </c>
      <c r="K2248" s="28" t="str">
        <f>IF($N2248="","",IF(OR(I2248="",J2248=""),"",J2248-I2248))</f>
        <v/>
      </c>
      <c r="L2248" s="29" t="str">
        <f>IF($N2248="","",INDEX('_calc'!$J$2:$J$3001,$N2248))</f>
        <v/>
      </c>
      <c r="M2248" s="2" t="str">
        <f>IF($N2248="","",IF(AND(G2248=0,H2248=0),"수량 없음",IF(G2248=0,"신규 (전년 수량 없음)",IF(H2248=0,"당해 수량 없음",""))))</f>
        <v/>
      </c>
      <c r="N2248" t="str">
        <f>IF($B2248="","",MATCH($B2248,'_calc'!$L$2:$L$3001,0))</f>
        <v/>
      </c>
    </row>
    <row r="2249">
      <c r="B2249" s="24" t="str">
        <f>IF(ROW()-ROW($B$8)&gt;nComp,"",ROW()-ROW($B$8))</f>
        <v/>
      </c>
      <c r="C2249" t="str">
        <f>IF($N2249="","",INDEX('_calc'!$A$2:$A$3001,$N2249))</f>
        <v/>
      </c>
      <c r="D2249" s="25" t="str">
        <f>IF($N2249="","",INDEX('_calc'!$C$2:$C$3001,$N2249))</f>
        <v/>
      </c>
      <c r="E2249" s="25" t="str">
        <f>IF($N2249="","",INDEX('_calc'!$D$2:$D$3001,$N2249))</f>
        <v/>
      </c>
      <c r="F2249" s="26" t="str">
        <f>IF($N2249="","",IF($E$8=0,"",E2249/$E$8))</f>
        <v/>
      </c>
      <c r="G2249" s="25" t="str">
        <f>IF($N2249="","",INDEX('_calc'!$E$2:$E$3001,$N2249))</f>
        <v/>
      </c>
      <c r="H2249" s="25" t="str">
        <f>IF($N2249="","",INDEX('_calc'!$F$2:$F$3001,$N2249))</f>
        <v/>
      </c>
      <c r="I2249" s="27" t="str">
        <f>IF($N2249="","",INDEX('_calc'!$H$2:$H$3001,$N2249))</f>
        <v/>
      </c>
      <c r="J2249" s="27" t="str">
        <f>IF($N2249="","",INDEX('_calc'!$I$2:$I$3001,$N2249))</f>
        <v/>
      </c>
      <c r="K2249" s="28" t="str">
        <f>IF($N2249="","",IF(OR(I2249="",J2249=""),"",J2249-I2249))</f>
        <v/>
      </c>
      <c r="L2249" s="29" t="str">
        <f>IF($N2249="","",INDEX('_calc'!$J$2:$J$3001,$N2249))</f>
        <v/>
      </c>
      <c r="M2249" s="2" t="str">
        <f>IF($N2249="","",IF(AND(G2249=0,H2249=0),"수량 없음",IF(G2249=0,"신규 (전년 수량 없음)",IF(H2249=0,"당해 수량 없음",""))))</f>
        <v/>
      </c>
      <c r="N2249" t="str">
        <f>IF($B2249="","",MATCH($B2249,'_calc'!$L$2:$L$3001,0))</f>
        <v/>
      </c>
    </row>
    <row r="2250">
      <c r="B2250" s="24" t="str">
        <f>IF(ROW()-ROW($B$8)&gt;nComp,"",ROW()-ROW($B$8))</f>
        <v/>
      </c>
      <c r="C2250" t="str">
        <f>IF($N2250="","",INDEX('_calc'!$A$2:$A$3001,$N2250))</f>
        <v/>
      </c>
      <c r="D2250" s="25" t="str">
        <f>IF($N2250="","",INDEX('_calc'!$C$2:$C$3001,$N2250))</f>
        <v/>
      </c>
      <c r="E2250" s="25" t="str">
        <f>IF($N2250="","",INDEX('_calc'!$D$2:$D$3001,$N2250))</f>
        <v/>
      </c>
      <c r="F2250" s="26" t="str">
        <f>IF($N2250="","",IF($E$8=0,"",E2250/$E$8))</f>
        <v/>
      </c>
      <c r="G2250" s="25" t="str">
        <f>IF($N2250="","",INDEX('_calc'!$E$2:$E$3001,$N2250))</f>
        <v/>
      </c>
      <c r="H2250" s="25" t="str">
        <f>IF($N2250="","",INDEX('_calc'!$F$2:$F$3001,$N2250))</f>
        <v/>
      </c>
      <c r="I2250" s="27" t="str">
        <f>IF($N2250="","",INDEX('_calc'!$H$2:$H$3001,$N2250))</f>
        <v/>
      </c>
      <c r="J2250" s="27" t="str">
        <f>IF($N2250="","",INDEX('_calc'!$I$2:$I$3001,$N2250))</f>
        <v/>
      </c>
      <c r="K2250" s="28" t="str">
        <f>IF($N2250="","",IF(OR(I2250="",J2250=""),"",J2250-I2250))</f>
        <v/>
      </c>
      <c r="L2250" s="29" t="str">
        <f>IF($N2250="","",INDEX('_calc'!$J$2:$J$3001,$N2250))</f>
        <v/>
      </c>
      <c r="M2250" s="2" t="str">
        <f>IF($N2250="","",IF(AND(G2250=0,H2250=0),"수량 없음",IF(G2250=0,"신규 (전년 수량 없음)",IF(H2250=0,"당해 수량 없음",""))))</f>
        <v/>
      </c>
      <c r="N2250" t="str">
        <f>IF($B2250="","",MATCH($B2250,'_calc'!$L$2:$L$3001,0))</f>
        <v/>
      </c>
    </row>
    <row r="2251">
      <c r="B2251" s="24" t="str">
        <f>IF(ROW()-ROW($B$8)&gt;nComp,"",ROW()-ROW($B$8))</f>
        <v/>
      </c>
      <c r="C2251" t="str">
        <f>IF($N2251="","",INDEX('_calc'!$A$2:$A$3001,$N2251))</f>
        <v/>
      </c>
      <c r="D2251" s="25" t="str">
        <f>IF($N2251="","",INDEX('_calc'!$C$2:$C$3001,$N2251))</f>
        <v/>
      </c>
      <c r="E2251" s="25" t="str">
        <f>IF($N2251="","",INDEX('_calc'!$D$2:$D$3001,$N2251))</f>
        <v/>
      </c>
      <c r="F2251" s="26" t="str">
        <f>IF($N2251="","",IF($E$8=0,"",E2251/$E$8))</f>
        <v/>
      </c>
      <c r="G2251" s="25" t="str">
        <f>IF($N2251="","",INDEX('_calc'!$E$2:$E$3001,$N2251))</f>
        <v/>
      </c>
      <c r="H2251" s="25" t="str">
        <f>IF($N2251="","",INDEX('_calc'!$F$2:$F$3001,$N2251))</f>
        <v/>
      </c>
      <c r="I2251" s="27" t="str">
        <f>IF($N2251="","",INDEX('_calc'!$H$2:$H$3001,$N2251))</f>
        <v/>
      </c>
      <c r="J2251" s="27" t="str">
        <f>IF($N2251="","",INDEX('_calc'!$I$2:$I$3001,$N2251))</f>
        <v/>
      </c>
      <c r="K2251" s="28" t="str">
        <f>IF($N2251="","",IF(OR(I2251="",J2251=""),"",J2251-I2251))</f>
        <v/>
      </c>
      <c r="L2251" s="29" t="str">
        <f>IF($N2251="","",INDEX('_calc'!$J$2:$J$3001,$N2251))</f>
        <v/>
      </c>
      <c r="M2251" s="2" t="str">
        <f>IF($N2251="","",IF(AND(G2251=0,H2251=0),"수량 없음",IF(G2251=0,"신규 (전년 수량 없음)",IF(H2251=0,"당해 수량 없음",""))))</f>
        <v/>
      </c>
      <c r="N2251" t="str">
        <f>IF($B2251="","",MATCH($B2251,'_calc'!$L$2:$L$3001,0))</f>
        <v/>
      </c>
    </row>
    <row r="2252">
      <c r="B2252" s="24" t="str">
        <f>IF(ROW()-ROW($B$8)&gt;nComp,"",ROW()-ROW($B$8))</f>
        <v/>
      </c>
      <c r="C2252" t="str">
        <f>IF($N2252="","",INDEX('_calc'!$A$2:$A$3001,$N2252))</f>
        <v/>
      </c>
      <c r="D2252" s="25" t="str">
        <f>IF($N2252="","",INDEX('_calc'!$C$2:$C$3001,$N2252))</f>
        <v/>
      </c>
      <c r="E2252" s="25" t="str">
        <f>IF($N2252="","",INDEX('_calc'!$D$2:$D$3001,$N2252))</f>
        <v/>
      </c>
      <c r="F2252" s="26" t="str">
        <f>IF($N2252="","",IF($E$8=0,"",E2252/$E$8))</f>
        <v/>
      </c>
      <c r="G2252" s="25" t="str">
        <f>IF($N2252="","",INDEX('_calc'!$E$2:$E$3001,$N2252))</f>
        <v/>
      </c>
      <c r="H2252" s="25" t="str">
        <f>IF($N2252="","",INDEX('_calc'!$F$2:$F$3001,$N2252))</f>
        <v/>
      </c>
      <c r="I2252" s="27" t="str">
        <f>IF($N2252="","",INDEX('_calc'!$H$2:$H$3001,$N2252))</f>
        <v/>
      </c>
      <c r="J2252" s="27" t="str">
        <f>IF($N2252="","",INDEX('_calc'!$I$2:$I$3001,$N2252))</f>
        <v/>
      </c>
      <c r="K2252" s="28" t="str">
        <f>IF($N2252="","",IF(OR(I2252="",J2252=""),"",J2252-I2252))</f>
        <v/>
      </c>
      <c r="L2252" s="29" t="str">
        <f>IF($N2252="","",INDEX('_calc'!$J$2:$J$3001,$N2252))</f>
        <v/>
      </c>
      <c r="M2252" s="2" t="str">
        <f>IF($N2252="","",IF(AND(G2252=0,H2252=0),"수량 없음",IF(G2252=0,"신규 (전년 수량 없음)",IF(H2252=0,"당해 수량 없음",""))))</f>
        <v/>
      </c>
      <c r="N2252" t="str">
        <f>IF($B2252="","",MATCH($B2252,'_calc'!$L$2:$L$3001,0))</f>
        <v/>
      </c>
    </row>
    <row r="2253">
      <c r="B2253" s="24" t="str">
        <f>IF(ROW()-ROW($B$8)&gt;nComp,"",ROW()-ROW($B$8))</f>
        <v/>
      </c>
      <c r="C2253" t="str">
        <f>IF($N2253="","",INDEX('_calc'!$A$2:$A$3001,$N2253))</f>
        <v/>
      </c>
      <c r="D2253" s="25" t="str">
        <f>IF($N2253="","",INDEX('_calc'!$C$2:$C$3001,$N2253))</f>
        <v/>
      </c>
      <c r="E2253" s="25" t="str">
        <f>IF($N2253="","",INDEX('_calc'!$D$2:$D$3001,$N2253))</f>
        <v/>
      </c>
      <c r="F2253" s="26" t="str">
        <f>IF($N2253="","",IF($E$8=0,"",E2253/$E$8))</f>
        <v/>
      </c>
      <c r="G2253" s="25" t="str">
        <f>IF($N2253="","",INDEX('_calc'!$E$2:$E$3001,$N2253))</f>
        <v/>
      </c>
      <c r="H2253" s="25" t="str">
        <f>IF($N2253="","",INDEX('_calc'!$F$2:$F$3001,$N2253))</f>
        <v/>
      </c>
      <c r="I2253" s="27" t="str">
        <f>IF($N2253="","",INDEX('_calc'!$H$2:$H$3001,$N2253))</f>
        <v/>
      </c>
      <c r="J2253" s="27" t="str">
        <f>IF($N2253="","",INDEX('_calc'!$I$2:$I$3001,$N2253))</f>
        <v/>
      </c>
      <c r="K2253" s="28" t="str">
        <f>IF($N2253="","",IF(OR(I2253="",J2253=""),"",J2253-I2253))</f>
        <v/>
      </c>
      <c r="L2253" s="29" t="str">
        <f>IF($N2253="","",INDEX('_calc'!$J$2:$J$3001,$N2253))</f>
        <v/>
      </c>
      <c r="M2253" s="2" t="str">
        <f>IF($N2253="","",IF(AND(G2253=0,H2253=0),"수량 없음",IF(G2253=0,"신규 (전년 수량 없음)",IF(H2253=0,"당해 수량 없음",""))))</f>
        <v/>
      </c>
      <c r="N2253" t="str">
        <f>IF($B2253="","",MATCH($B2253,'_calc'!$L$2:$L$3001,0))</f>
        <v/>
      </c>
    </row>
    <row r="2254">
      <c r="B2254" s="24" t="str">
        <f>IF(ROW()-ROW($B$8)&gt;nComp,"",ROW()-ROW($B$8))</f>
        <v/>
      </c>
      <c r="C2254" t="str">
        <f>IF($N2254="","",INDEX('_calc'!$A$2:$A$3001,$N2254))</f>
        <v/>
      </c>
      <c r="D2254" s="25" t="str">
        <f>IF($N2254="","",INDEX('_calc'!$C$2:$C$3001,$N2254))</f>
        <v/>
      </c>
      <c r="E2254" s="25" t="str">
        <f>IF($N2254="","",INDEX('_calc'!$D$2:$D$3001,$N2254))</f>
        <v/>
      </c>
      <c r="F2254" s="26" t="str">
        <f>IF($N2254="","",IF($E$8=0,"",E2254/$E$8))</f>
        <v/>
      </c>
      <c r="G2254" s="25" t="str">
        <f>IF($N2254="","",INDEX('_calc'!$E$2:$E$3001,$N2254))</f>
        <v/>
      </c>
      <c r="H2254" s="25" t="str">
        <f>IF($N2254="","",INDEX('_calc'!$F$2:$F$3001,$N2254))</f>
        <v/>
      </c>
      <c r="I2254" s="27" t="str">
        <f>IF($N2254="","",INDEX('_calc'!$H$2:$H$3001,$N2254))</f>
        <v/>
      </c>
      <c r="J2254" s="27" t="str">
        <f>IF($N2254="","",INDEX('_calc'!$I$2:$I$3001,$N2254))</f>
        <v/>
      </c>
      <c r="K2254" s="28" t="str">
        <f>IF($N2254="","",IF(OR(I2254="",J2254=""),"",J2254-I2254))</f>
        <v/>
      </c>
      <c r="L2254" s="29" t="str">
        <f>IF($N2254="","",INDEX('_calc'!$J$2:$J$3001,$N2254))</f>
        <v/>
      </c>
      <c r="M2254" s="2" t="str">
        <f>IF($N2254="","",IF(AND(G2254=0,H2254=0),"수량 없음",IF(G2254=0,"신규 (전년 수량 없음)",IF(H2254=0,"당해 수량 없음",""))))</f>
        <v/>
      </c>
      <c r="N2254" t="str">
        <f>IF($B2254="","",MATCH($B2254,'_calc'!$L$2:$L$3001,0))</f>
        <v/>
      </c>
    </row>
    <row r="2255">
      <c r="B2255" s="24" t="str">
        <f>IF(ROW()-ROW($B$8)&gt;nComp,"",ROW()-ROW($B$8))</f>
        <v/>
      </c>
      <c r="C2255" t="str">
        <f>IF($N2255="","",INDEX('_calc'!$A$2:$A$3001,$N2255))</f>
        <v/>
      </c>
      <c r="D2255" s="25" t="str">
        <f>IF($N2255="","",INDEX('_calc'!$C$2:$C$3001,$N2255))</f>
        <v/>
      </c>
      <c r="E2255" s="25" t="str">
        <f>IF($N2255="","",INDEX('_calc'!$D$2:$D$3001,$N2255))</f>
        <v/>
      </c>
      <c r="F2255" s="26" t="str">
        <f>IF($N2255="","",IF($E$8=0,"",E2255/$E$8))</f>
        <v/>
      </c>
      <c r="G2255" s="25" t="str">
        <f>IF($N2255="","",INDEX('_calc'!$E$2:$E$3001,$N2255))</f>
        <v/>
      </c>
      <c r="H2255" s="25" t="str">
        <f>IF($N2255="","",INDEX('_calc'!$F$2:$F$3001,$N2255))</f>
        <v/>
      </c>
      <c r="I2255" s="27" t="str">
        <f>IF($N2255="","",INDEX('_calc'!$H$2:$H$3001,$N2255))</f>
        <v/>
      </c>
      <c r="J2255" s="27" t="str">
        <f>IF($N2255="","",INDEX('_calc'!$I$2:$I$3001,$N2255))</f>
        <v/>
      </c>
      <c r="K2255" s="28" t="str">
        <f>IF($N2255="","",IF(OR(I2255="",J2255=""),"",J2255-I2255))</f>
        <v/>
      </c>
      <c r="L2255" s="29" t="str">
        <f>IF($N2255="","",INDEX('_calc'!$J$2:$J$3001,$N2255))</f>
        <v/>
      </c>
      <c r="M2255" s="2" t="str">
        <f>IF($N2255="","",IF(AND(G2255=0,H2255=0),"수량 없음",IF(G2255=0,"신규 (전년 수량 없음)",IF(H2255=0,"당해 수량 없음",""))))</f>
        <v/>
      </c>
      <c r="N2255" t="str">
        <f>IF($B2255="","",MATCH($B2255,'_calc'!$L$2:$L$3001,0))</f>
        <v/>
      </c>
    </row>
    <row r="2256">
      <c r="B2256" s="24" t="str">
        <f>IF(ROW()-ROW($B$8)&gt;nComp,"",ROW()-ROW($B$8))</f>
        <v/>
      </c>
      <c r="C2256" t="str">
        <f>IF($N2256="","",INDEX('_calc'!$A$2:$A$3001,$N2256))</f>
        <v/>
      </c>
      <c r="D2256" s="25" t="str">
        <f>IF($N2256="","",INDEX('_calc'!$C$2:$C$3001,$N2256))</f>
        <v/>
      </c>
      <c r="E2256" s="25" t="str">
        <f>IF($N2256="","",INDEX('_calc'!$D$2:$D$3001,$N2256))</f>
        <v/>
      </c>
      <c r="F2256" s="26" t="str">
        <f>IF($N2256="","",IF($E$8=0,"",E2256/$E$8))</f>
        <v/>
      </c>
      <c r="G2256" s="25" t="str">
        <f>IF($N2256="","",INDEX('_calc'!$E$2:$E$3001,$N2256))</f>
        <v/>
      </c>
      <c r="H2256" s="25" t="str">
        <f>IF($N2256="","",INDEX('_calc'!$F$2:$F$3001,$N2256))</f>
        <v/>
      </c>
      <c r="I2256" s="27" t="str">
        <f>IF($N2256="","",INDEX('_calc'!$H$2:$H$3001,$N2256))</f>
        <v/>
      </c>
      <c r="J2256" s="27" t="str">
        <f>IF($N2256="","",INDEX('_calc'!$I$2:$I$3001,$N2256))</f>
        <v/>
      </c>
      <c r="K2256" s="28" t="str">
        <f>IF($N2256="","",IF(OR(I2256="",J2256=""),"",J2256-I2256))</f>
        <v/>
      </c>
      <c r="L2256" s="29" t="str">
        <f>IF($N2256="","",INDEX('_calc'!$J$2:$J$3001,$N2256))</f>
        <v/>
      </c>
      <c r="M2256" s="2" t="str">
        <f>IF($N2256="","",IF(AND(G2256=0,H2256=0),"수량 없음",IF(G2256=0,"신규 (전년 수량 없음)",IF(H2256=0,"당해 수량 없음",""))))</f>
        <v/>
      </c>
      <c r="N2256" t="str">
        <f>IF($B2256="","",MATCH($B2256,'_calc'!$L$2:$L$3001,0))</f>
        <v/>
      </c>
    </row>
    <row r="2257">
      <c r="B2257" s="24" t="str">
        <f>IF(ROW()-ROW($B$8)&gt;nComp,"",ROW()-ROW($B$8))</f>
        <v/>
      </c>
      <c r="C2257" t="str">
        <f>IF($N2257="","",INDEX('_calc'!$A$2:$A$3001,$N2257))</f>
        <v/>
      </c>
      <c r="D2257" s="25" t="str">
        <f>IF($N2257="","",INDEX('_calc'!$C$2:$C$3001,$N2257))</f>
        <v/>
      </c>
      <c r="E2257" s="25" t="str">
        <f>IF($N2257="","",INDEX('_calc'!$D$2:$D$3001,$N2257))</f>
        <v/>
      </c>
      <c r="F2257" s="26" t="str">
        <f>IF($N2257="","",IF($E$8=0,"",E2257/$E$8))</f>
        <v/>
      </c>
      <c r="G2257" s="25" t="str">
        <f>IF($N2257="","",INDEX('_calc'!$E$2:$E$3001,$N2257))</f>
        <v/>
      </c>
      <c r="H2257" s="25" t="str">
        <f>IF($N2257="","",INDEX('_calc'!$F$2:$F$3001,$N2257))</f>
        <v/>
      </c>
      <c r="I2257" s="27" t="str">
        <f>IF($N2257="","",INDEX('_calc'!$H$2:$H$3001,$N2257))</f>
        <v/>
      </c>
      <c r="J2257" s="27" t="str">
        <f>IF($N2257="","",INDEX('_calc'!$I$2:$I$3001,$N2257))</f>
        <v/>
      </c>
      <c r="K2257" s="28" t="str">
        <f>IF($N2257="","",IF(OR(I2257="",J2257=""),"",J2257-I2257))</f>
        <v/>
      </c>
      <c r="L2257" s="29" t="str">
        <f>IF($N2257="","",INDEX('_calc'!$J$2:$J$3001,$N2257))</f>
        <v/>
      </c>
      <c r="M2257" s="2" t="str">
        <f>IF($N2257="","",IF(AND(G2257=0,H2257=0),"수량 없음",IF(G2257=0,"신규 (전년 수량 없음)",IF(H2257=0,"당해 수량 없음",""))))</f>
        <v/>
      </c>
      <c r="N2257" t="str">
        <f>IF($B2257="","",MATCH($B2257,'_calc'!$L$2:$L$3001,0))</f>
        <v/>
      </c>
    </row>
    <row r="2258">
      <c r="B2258" s="24" t="str">
        <f>IF(ROW()-ROW($B$8)&gt;nComp,"",ROW()-ROW($B$8))</f>
        <v/>
      </c>
      <c r="C2258" t="str">
        <f>IF($N2258="","",INDEX('_calc'!$A$2:$A$3001,$N2258))</f>
        <v/>
      </c>
      <c r="D2258" s="25" t="str">
        <f>IF($N2258="","",INDEX('_calc'!$C$2:$C$3001,$N2258))</f>
        <v/>
      </c>
      <c r="E2258" s="25" t="str">
        <f>IF($N2258="","",INDEX('_calc'!$D$2:$D$3001,$N2258))</f>
        <v/>
      </c>
      <c r="F2258" s="26" t="str">
        <f>IF($N2258="","",IF($E$8=0,"",E2258/$E$8))</f>
        <v/>
      </c>
      <c r="G2258" s="25" t="str">
        <f>IF($N2258="","",INDEX('_calc'!$E$2:$E$3001,$N2258))</f>
        <v/>
      </c>
      <c r="H2258" s="25" t="str">
        <f>IF($N2258="","",INDEX('_calc'!$F$2:$F$3001,$N2258))</f>
        <v/>
      </c>
      <c r="I2258" s="27" t="str">
        <f>IF($N2258="","",INDEX('_calc'!$H$2:$H$3001,$N2258))</f>
        <v/>
      </c>
      <c r="J2258" s="27" t="str">
        <f>IF($N2258="","",INDEX('_calc'!$I$2:$I$3001,$N2258))</f>
        <v/>
      </c>
      <c r="K2258" s="28" t="str">
        <f>IF($N2258="","",IF(OR(I2258="",J2258=""),"",J2258-I2258))</f>
        <v/>
      </c>
      <c r="L2258" s="29" t="str">
        <f>IF($N2258="","",INDEX('_calc'!$J$2:$J$3001,$N2258))</f>
        <v/>
      </c>
      <c r="M2258" s="2" t="str">
        <f>IF($N2258="","",IF(AND(G2258=0,H2258=0),"수량 없음",IF(G2258=0,"신규 (전년 수량 없음)",IF(H2258=0,"당해 수량 없음",""))))</f>
        <v/>
      </c>
      <c r="N2258" t="str">
        <f>IF($B2258="","",MATCH($B2258,'_calc'!$L$2:$L$3001,0))</f>
        <v/>
      </c>
    </row>
    <row r="2259">
      <c r="B2259" s="24" t="str">
        <f>IF(ROW()-ROW($B$8)&gt;nComp,"",ROW()-ROW($B$8))</f>
        <v/>
      </c>
      <c r="C2259" t="str">
        <f>IF($N2259="","",INDEX('_calc'!$A$2:$A$3001,$N2259))</f>
        <v/>
      </c>
      <c r="D2259" s="25" t="str">
        <f>IF($N2259="","",INDEX('_calc'!$C$2:$C$3001,$N2259))</f>
        <v/>
      </c>
      <c r="E2259" s="25" t="str">
        <f>IF($N2259="","",INDEX('_calc'!$D$2:$D$3001,$N2259))</f>
        <v/>
      </c>
      <c r="F2259" s="26" t="str">
        <f>IF($N2259="","",IF($E$8=0,"",E2259/$E$8))</f>
        <v/>
      </c>
      <c r="G2259" s="25" t="str">
        <f>IF($N2259="","",INDEX('_calc'!$E$2:$E$3001,$N2259))</f>
        <v/>
      </c>
      <c r="H2259" s="25" t="str">
        <f>IF($N2259="","",INDEX('_calc'!$F$2:$F$3001,$N2259))</f>
        <v/>
      </c>
      <c r="I2259" s="27" t="str">
        <f>IF($N2259="","",INDEX('_calc'!$H$2:$H$3001,$N2259))</f>
        <v/>
      </c>
      <c r="J2259" s="27" t="str">
        <f>IF($N2259="","",INDEX('_calc'!$I$2:$I$3001,$N2259))</f>
        <v/>
      </c>
      <c r="K2259" s="28" t="str">
        <f>IF($N2259="","",IF(OR(I2259="",J2259=""),"",J2259-I2259))</f>
        <v/>
      </c>
      <c r="L2259" s="29" t="str">
        <f>IF($N2259="","",INDEX('_calc'!$J$2:$J$3001,$N2259))</f>
        <v/>
      </c>
      <c r="M2259" s="2" t="str">
        <f>IF($N2259="","",IF(AND(G2259=0,H2259=0),"수량 없음",IF(G2259=0,"신규 (전년 수량 없음)",IF(H2259=0,"당해 수량 없음",""))))</f>
        <v/>
      </c>
      <c r="N2259" t="str">
        <f>IF($B2259="","",MATCH($B2259,'_calc'!$L$2:$L$3001,0))</f>
        <v/>
      </c>
    </row>
    <row r="2260">
      <c r="B2260" s="24" t="str">
        <f>IF(ROW()-ROW($B$8)&gt;nComp,"",ROW()-ROW($B$8))</f>
        <v/>
      </c>
      <c r="C2260" t="str">
        <f>IF($N2260="","",INDEX('_calc'!$A$2:$A$3001,$N2260))</f>
        <v/>
      </c>
      <c r="D2260" s="25" t="str">
        <f>IF($N2260="","",INDEX('_calc'!$C$2:$C$3001,$N2260))</f>
        <v/>
      </c>
      <c r="E2260" s="25" t="str">
        <f>IF($N2260="","",INDEX('_calc'!$D$2:$D$3001,$N2260))</f>
        <v/>
      </c>
      <c r="F2260" s="26" t="str">
        <f>IF($N2260="","",IF($E$8=0,"",E2260/$E$8))</f>
        <v/>
      </c>
      <c r="G2260" s="25" t="str">
        <f>IF($N2260="","",INDEX('_calc'!$E$2:$E$3001,$N2260))</f>
        <v/>
      </c>
      <c r="H2260" s="25" t="str">
        <f>IF($N2260="","",INDEX('_calc'!$F$2:$F$3001,$N2260))</f>
        <v/>
      </c>
      <c r="I2260" s="27" t="str">
        <f>IF($N2260="","",INDEX('_calc'!$H$2:$H$3001,$N2260))</f>
        <v/>
      </c>
      <c r="J2260" s="27" t="str">
        <f>IF($N2260="","",INDEX('_calc'!$I$2:$I$3001,$N2260))</f>
        <v/>
      </c>
      <c r="K2260" s="28" t="str">
        <f>IF($N2260="","",IF(OR(I2260="",J2260=""),"",J2260-I2260))</f>
        <v/>
      </c>
      <c r="L2260" s="29" t="str">
        <f>IF($N2260="","",INDEX('_calc'!$J$2:$J$3001,$N2260))</f>
        <v/>
      </c>
      <c r="M2260" s="2" t="str">
        <f>IF($N2260="","",IF(AND(G2260=0,H2260=0),"수량 없음",IF(G2260=0,"신규 (전년 수량 없음)",IF(H2260=0,"당해 수량 없음",""))))</f>
        <v/>
      </c>
      <c r="N2260" t="str">
        <f>IF($B2260="","",MATCH($B2260,'_calc'!$L$2:$L$3001,0))</f>
        <v/>
      </c>
    </row>
    <row r="2261">
      <c r="B2261" s="24" t="str">
        <f>IF(ROW()-ROW($B$8)&gt;nComp,"",ROW()-ROW($B$8))</f>
        <v/>
      </c>
      <c r="C2261" t="str">
        <f>IF($N2261="","",INDEX('_calc'!$A$2:$A$3001,$N2261))</f>
        <v/>
      </c>
      <c r="D2261" s="25" t="str">
        <f>IF($N2261="","",INDEX('_calc'!$C$2:$C$3001,$N2261))</f>
        <v/>
      </c>
      <c r="E2261" s="25" t="str">
        <f>IF($N2261="","",INDEX('_calc'!$D$2:$D$3001,$N2261))</f>
        <v/>
      </c>
      <c r="F2261" s="26" t="str">
        <f>IF($N2261="","",IF($E$8=0,"",E2261/$E$8))</f>
        <v/>
      </c>
      <c r="G2261" s="25" t="str">
        <f>IF($N2261="","",INDEX('_calc'!$E$2:$E$3001,$N2261))</f>
        <v/>
      </c>
      <c r="H2261" s="25" t="str">
        <f>IF($N2261="","",INDEX('_calc'!$F$2:$F$3001,$N2261))</f>
        <v/>
      </c>
      <c r="I2261" s="27" t="str">
        <f>IF($N2261="","",INDEX('_calc'!$H$2:$H$3001,$N2261))</f>
        <v/>
      </c>
      <c r="J2261" s="27" t="str">
        <f>IF($N2261="","",INDEX('_calc'!$I$2:$I$3001,$N2261))</f>
        <v/>
      </c>
      <c r="K2261" s="28" t="str">
        <f>IF($N2261="","",IF(OR(I2261="",J2261=""),"",J2261-I2261))</f>
        <v/>
      </c>
      <c r="L2261" s="29" t="str">
        <f>IF($N2261="","",INDEX('_calc'!$J$2:$J$3001,$N2261))</f>
        <v/>
      </c>
      <c r="M2261" s="2" t="str">
        <f>IF($N2261="","",IF(AND(G2261=0,H2261=0),"수량 없음",IF(G2261=0,"신규 (전년 수량 없음)",IF(H2261=0,"당해 수량 없음",""))))</f>
        <v/>
      </c>
      <c r="N2261" t="str">
        <f>IF($B2261="","",MATCH($B2261,'_calc'!$L$2:$L$3001,0))</f>
        <v/>
      </c>
    </row>
    <row r="2262">
      <c r="B2262" s="24" t="str">
        <f>IF(ROW()-ROW($B$8)&gt;nComp,"",ROW()-ROW($B$8))</f>
        <v/>
      </c>
      <c r="C2262" t="str">
        <f>IF($N2262="","",INDEX('_calc'!$A$2:$A$3001,$N2262))</f>
        <v/>
      </c>
      <c r="D2262" s="25" t="str">
        <f>IF($N2262="","",INDEX('_calc'!$C$2:$C$3001,$N2262))</f>
        <v/>
      </c>
      <c r="E2262" s="25" t="str">
        <f>IF($N2262="","",INDEX('_calc'!$D$2:$D$3001,$N2262))</f>
        <v/>
      </c>
      <c r="F2262" s="26" t="str">
        <f>IF($N2262="","",IF($E$8=0,"",E2262/$E$8))</f>
        <v/>
      </c>
      <c r="G2262" s="25" t="str">
        <f>IF($N2262="","",INDEX('_calc'!$E$2:$E$3001,$N2262))</f>
        <v/>
      </c>
      <c r="H2262" s="25" t="str">
        <f>IF($N2262="","",INDEX('_calc'!$F$2:$F$3001,$N2262))</f>
        <v/>
      </c>
      <c r="I2262" s="27" t="str">
        <f>IF($N2262="","",INDEX('_calc'!$H$2:$H$3001,$N2262))</f>
        <v/>
      </c>
      <c r="J2262" s="27" t="str">
        <f>IF($N2262="","",INDEX('_calc'!$I$2:$I$3001,$N2262))</f>
        <v/>
      </c>
      <c r="K2262" s="28" t="str">
        <f>IF($N2262="","",IF(OR(I2262="",J2262=""),"",J2262-I2262))</f>
        <v/>
      </c>
      <c r="L2262" s="29" t="str">
        <f>IF($N2262="","",INDEX('_calc'!$J$2:$J$3001,$N2262))</f>
        <v/>
      </c>
      <c r="M2262" s="2" t="str">
        <f>IF($N2262="","",IF(AND(G2262=0,H2262=0),"수량 없음",IF(G2262=0,"신규 (전년 수량 없음)",IF(H2262=0,"당해 수량 없음",""))))</f>
        <v/>
      </c>
      <c r="N2262" t="str">
        <f>IF($B2262="","",MATCH($B2262,'_calc'!$L$2:$L$3001,0))</f>
        <v/>
      </c>
    </row>
    <row r="2263">
      <c r="B2263" s="24" t="str">
        <f>IF(ROW()-ROW($B$8)&gt;nComp,"",ROW()-ROW($B$8))</f>
        <v/>
      </c>
      <c r="C2263" t="str">
        <f>IF($N2263="","",INDEX('_calc'!$A$2:$A$3001,$N2263))</f>
        <v/>
      </c>
      <c r="D2263" s="25" t="str">
        <f>IF($N2263="","",INDEX('_calc'!$C$2:$C$3001,$N2263))</f>
        <v/>
      </c>
      <c r="E2263" s="25" t="str">
        <f>IF($N2263="","",INDEX('_calc'!$D$2:$D$3001,$N2263))</f>
        <v/>
      </c>
      <c r="F2263" s="26" t="str">
        <f>IF($N2263="","",IF($E$8=0,"",E2263/$E$8))</f>
        <v/>
      </c>
      <c r="G2263" s="25" t="str">
        <f>IF($N2263="","",INDEX('_calc'!$E$2:$E$3001,$N2263))</f>
        <v/>
      </c>
      <c r="H2263" s="25" t="str">
        <f>IF($N2263="","",INDEX('_calc'!$F$2:$F$3001,$N2263))</f>
        <v/>
      </c>
      <c r="I2263" s="27" t="str">
        <f>IF($N2263="","",INDEX('_calc'!$H$2:$H$3001,$N2263))</f>
        <v/>
      </c>
      <c r="J2263" s="27" t="str">
        <f>IF($N2263="","",INDEX('_calc'!$I$2:$I$3001,$N2263))</f>
        <v/>
      </c>
      <c r="K2263" s="28" t="str">
        <f>IF($N2263="","",IF(OR(I2263="",J2263=""),"",J2263-I2263))</f>
        <v/>
      </c>
      <c r="L2263" s="29" t="str">
        <f>IF($N2263="","",INDEX('_calc'!$J$2:$J$3001,$N2263))</f>
        <v/>
      </c>
      <c r="M2263" s="2" t="str">
        <f>IF($N2263="","",IF(AND(G2263=0,H2263=0),"수량 없음",IF(G2263=0,"신규 (전년 수량 없음)",IF(H2263=0,"당해 수량 없음",""))))</f>
        <v/>
      </c>
      <c r="N2263" t="str">
        <f>IF($B2263="","",MATCH($B2263,'_calc'!$L$2:$L$3001,0))</f>
        <v/>
      </c>
    </row>
    <row r="2264">
      <c r="B2264" s="24" t="str">
        <f>IF(ROW()-ROW($B$8)&gt;nComp,"",ROW()-ROW($B$8))</f>
        <v/>
      </c>
      <c r="C2264" t="str">
        <f>IF($N2264="","",INDEX('_calc'!$A$2:$A$3001,$N2264))</f>
        <v/>
      </c>
      <c r="D2264" s="25" t="str">
        <f>IF($N2264="","",INDEX('_calc'!$C$2:$C$3001,$N2264))</f>
        <v/>
      </c>
      <c r="E2264" s="25" t="str">
        <f>IF($N2264="","",INDEX('_calc'!$D$2:$D$3001,$N2264))</f>
        <v/>
      </c>
      <c r="F2264" s="26" t="str">
        <f>IF($N2264="","",IF($E$8=0,"",E2264/$E$8))</f>
        <v/>
      </c>
      <c r="G2264" s="25" t="str">
        <f>IF($N2264="","",INDEX('_calc'!$E$2:$E$3001,$N2264))</f>
        <v/>
      </c>
      <c r="H2264" s="25" t="str">
        <f>IF($N2264="","",INDEX('_calc'!$F$2:$F$3001,$N2264))</f>
        <v/>
      </c>
      <c r="I2264" s="27" t="str">
        <f>IF($N2264="","",INDEX('_calc'!$H$2:$H$3001,$N2264))</f>
        <v/>
      </c>
      <c r="J2264" s="27" t="str">
        <f>IF($N2264="","",INDEX('_calc'!$I$2:$I$3001,$N2264))</f>
        <v/>
      </c>
      <c r="K2264" s="28" t="str">
        <f>IF($N2264="","",IF(OR(I2264="",J2264=""),"",J2264-I2264))</f>
        <v/>
      </c>
      <c r="L2264" s="29" t="str">
        <f>IF($N2264="","",INDEX('_calc'!$J$2:$J$3001,$N2264))</f>
        <v/>
      </c>
      <c r="M2264" s="2" t="str">
        <f>IF($N2264="","",IF(AND(G2264=0,H2264=0),"수량 없음",IF(G2264=0,"신규 (전년 수량 없음)",IF(H2264=0,"당해 수량 없음",""))))</f>
        <v/>
      </c>
      <c r="N2264" t="str">
        <f>IF($B2264="","",MATCH($B2264,'_calc'!$L$2:$L$3001,0))</f>
        <v/>
      </c>
    </row>
    <row r="2265">
      <c r="B2265" s="24" t="str">
        <f>IF(ROW()-ROW($B$8)&gt;nComp,"",ROW()-ROW($B$8))</f>
        <v/>
      </c>
      <c r="C2265" t="str">
        <f>IF($N2265="","",INDEX('_calc'!$A$2:$A$3001,$N2265))</f>
        <v/>
      </c>
      <c r="D2265" s="25" t="str">
        <f>IF($N2265="","",INDEX('_calc'!$C$2:$C$3001,$N2265))</f>
        <v/>
      </c>
      <c r="E2265" s="25" t="str">
        <f>IF($N2265="","",INDEX('_calc'!$D$2:$D$3001,$N2265))</f>
        <v/>
      </c>
      <c r="F2265" s="26" t="str">
        <f>IF($N2265="","",IF($E$8=0,"",E2265/$E$8))</f>
        <v/>
      </c>
      <c r="G2265" s="25" t="str">
        <f>IF($N2265="","",INDEX('_calc'!$E$2:$E$3001,$N2265))</f>
        <v/>
      </c>
      <c r="H2265" s="25" t="str">
        <f>IF($N2265="","",INDEX('_calc'!$F$2:$F$3001,$N2265))</f>
        <v/>
      </c>
      <c r="I2265" s="27" t="str">
        <f>IF($N2265="","",INDEX('_calc'!$H$2:$H$3001,$N2265))</f>
        <v/>
      </c>
      <c r="J2265" s="27" t="str">
        <f>IF($N2265="","",INDEX('_calc'!$I$2:$I$3001,$N2265))</f>
        <v/>
      </c>
      <c r="K2265" s="28" t="str">
        <f>IF($N2265="","",IF(OR(I2265="",J2265=""),"",J2265-I2265))</f>
        <v/>
      </c>
      <c r="L2265" s="29" t="str">
        <f>IF($N2265="","",INDEX('_calc'!$J$2:$J$3001,$N2265))</f>
        <v/>
      </c>
      <c r="M2265" s="2" t="str">
        <f>IF($N2265="","",IF(AND(G2265=0,H2265=0),"수량 없음",IF(G2265=0,"신규 (전년 수량 없음)",IF(H2265=0,"당해 수량 없음",""))))</f>
        <v/>
      </c>
      <c r="N2265" t="str">
        <f>IF($B2265="","",MATCH($B2265,'_calc'!$L$2:$L$3001,0))</f>
        <v/>
      </c>
    </row>
    <row r="2266">
      <c r="B2266" s="24" t="str">
        <f>IF(ROW()-ROW($B$8)&gt;nComp,"",ROW()-ROW($B$8))</f>
        <v/>
      </c>
      <c r="C2266" t="str">
        <f>IF($N2266="","",INDEX('_calc'!$A$2:$A$3001,$N2266))</f>
        <v/>
      </c>
      <c r="D2266" s="25" t="str">
        <f>IF($N2266="","",INDEX('_calc'!$C$2:$C$3001,$N2266))</f>
        <v/>
      </c>
      <c r="E2266" s="25" t="str">
        <f>IF($N2266="","",INDEX('_calc'!$D$2:$D$3001,$N2266))</f>
        <v/>
      </c>
      <c r="F2266" s="26" t="str">
        <f>IF($N2266="","",IF($E$8=0,"",E2266/$E$8))</f>
        <v/>
      </c>
      <c r="G2266" s="25" t="str">
        <f>IF($N2266="","",INDEX('_calc'!$E$2:$E$3001,$N2266))</f>
        <v/>
      </c>
      <c r="H2266" s="25" t="str">
        <f>IF($N2266="","",INDEX('_calc'!$F$2:$F$3001,$N2266))</f>
        <v/>
      </c>
      <c r="I2266" s="27" t="str">
        <f>IF($N2266="","",INDEX('_calc'!$H$2:$H$3001,$N2266))</f>
        <v/>
      </c>
      <c r="J2266" s="27" t="str">
        <f>IF($N2266="","",INDEX('_calc'!$I$2:$I$3001,$N2266))</f>
        <v/>
      </c>
      <c r="K2266" s="28" t="str">
        <f>IF($N2266="","",IF(OR(I2266="",J2266=""),"",J2266-I2266))</f>
        <v/>
      </c>
      <c r="L2266" s="29" t="str">
        <f>IF($N2266="","",INDEX('_calc'!$J$2:$J$3001,$N2266))</f>
        <v/>
      </c>
      <c r="M2266" s="2" t="str">
        <f>IF($N2266="","",IF(AND(G2266=0,H2266=0),"수량 없음",IF(G2266=0,"신규 (전년 수량 없음)",IF(H2266=0,"당해 수량 없음",""))))</f>
        <v/>
      </c>
      <c r="N2266" t="str">
        <f>IF($B2266="","",MATCH($B2266,'_calc'!$L$2:$L$3001,0))</f>
        <v/>
      </c>
    </row>
    <row r="2267">
      <c r="B2267" s="24" t="str">
        <f>IF(ROW()-ROW($B$8)&gt;nComp,"",ROW()-ROW($B$8))</f>
        <v/>
      </c>
      <c r="C2267" t="str">
        <f>IF($N2267="","",INDEX('_calc'!$A$2:$A$3001,$N2267))</f>
        <v/>
      </c>
      <c r="D2267" s="25" t="str">
        <f>IF($N2267="","",INDEX('_calc'!$C$2:$C$3001,$N2267))</f>
        <v/>
      </c>
      <c r="E2267" s="25" t="str">
        <f>IF($N2267="","",INDEX('_calc'!$D$2:$D$3001,$N2267))</f>
        <v/>
      </c>
      <c r="F2267" s="26" t="str">
        <f>IF($N2267="","",IF($E$8=0,"",E2267/$E$8))</f>
        <v/>
      </c>
      <c r="G2267" s="25" t="str">
        <f>IF($N2267="","",INDEX('_calc'!$E$2:$E$3001,$N2267))</f>
        <v/>
      </c>
      <c r="H2267" s="25" t="str">
        <f>IF($N2267="","",INDEX('_calc'!$F$2:$F$3001,$N2267))</f>
        <v/>
      </c>
      <c r="I2267" s="27" t="str">
        <f>IF($N2267="","",INDEX('_calc'!$H$2:$H$3001,$N2267))</f>
        <v/>
      </c>
      <c r="J2267" s="27" t="str">
        <f>IF($N2267="","",INDEX('_calc'!$I$2:$I$3001,$N2267))</f>
        <v/>
      </c>
      <c r="K2267" s="28" t="str">
        <f>IF($N2267="","",IF(OR(I2267="",J2267=""),"",J2267-I2267))</f>
        <v/>
      </c>
      <c r="L2267" s="29" t="str">
        <f>IF($N2267="","",INDEX('_calc'!$J$2:$J$3001,$N2267))</f>
        <v/>
      </c>
      <c r="M2267" s="2" t="str">
        <f>IF($N2267="","",IF(AND(G2267=0,H2267=0),"수량 없음",IF(G2267=0,"신규 (전년 수량 없음)",IF(H2267=0,"당해 수량 없음",""))))</f>
        <v/>
      </c>
      <c r="N2267" t="str">
        <f>IF($B2267="","",MATCH($B2267,'_calc'!$L$2:$L$3001,0))</f>
        <v/>
      </c>
    </row>
    <row r="2268">
      <c r="B2268" s="24" t="str">
        <f>IF(ROW()-ROW($B$8)&gt;nComp,"",ROW()-ROW($B$8))</f>
        <v/>
      </c>
      <c r="C2268" t="str">
        <f>IF($N2268="","",INDEX('_calc'!$A$2:$A$3001,$N2268))</f>
        <v/>
      </c>
      <c r="D2268" s="25" t="str">
        <f>IF($N2268="","",INDEX('_calc'!$C$2:$C$3001,$N2268))</f>
        <v/>
      </c>
      <c r="E2268" s="25" t="str">
        <f>IF($N2268="","",INDEX('_calc'!$D$2:$D$3001,$N2268))</f>
        <v/>
      </c>
      <c r="F2268" s="26" t="str">
        <f>IF($N2268="","",IF($E$8=0,"",E2268/$E$8))</f>
        <v/>
      </c>
      <c r="G2268" s="25" t="str">
        <f>IF($N2268="","",INDEX('_calc'!$E$2:$E$3001,$N2268))</f>
        <v/>
      </c>
      <c r="H2268" s="25" t="str">
        <f>IF($N2268="","",INDEX('_calc'!$F$2:$F$3001,$N2268))</f>
        <v/>
      </c>
      <c r="I2268" s="27" t="str">
        <f>IF($N2268="","",INDEX('_calc'!$H$2:$H$3001,$N2268))</f>
        <v/>
      </c>
      <c r="J2268" s="27" t="str">
        <f>IF($N2268="","",INDEX('_calc'!$I$2:$I$3001,$N2268))</f>
        <v/>
      </c>
      <c r="K2268" s="28" t="str">
        <f>IF($N2268="","",IF(OR(I2268="",J2268=""),"",J2268-I2268))</f>
        <v/>
      </c>
      <c r="L2268" s="29" t="str">
        <f>IF($N2268="","",INDEX('_calc'!$J$2:$J$3001,$N2268))</f>
        <v/>
      </c>
      <c r="M2268" s="2" t="str">
        <f>IF($N2268="","",IF(AND(G2268=0,H2268=0),"수량 없음",IF(G2268=0,"신규 (전년 수량 없음)",IF(H2268=0,"당해 수량 없음",""))))</f>
        <v/>
      </c>
      <c r="N2268" t="str">
        <f>IF($B2268="","",MATCH($B2268,'_calc'!$L$2:$L$3001,0))</f>
        <v/>
      </c>
    </row>
    <row r="2269">
      <c r="B2269" s="24" t="str">
        <f>IF(ROW()-ROW($B$8)&gt;nComp,"",ROW()-ROW($B$8))</f>
        <v/>
      </c>
      <c r="C2269" t="str">
        <f>IF($N2269="","",INDEX('_calc'!$A$2:$A$3001,$N2269))</f>
        <v/>
      </c>
      <c r="D2269" s="25" t="str">
        <f>IF($N2269="","",INDEX('_calc'!$C$2:$C$3001,$N2269))</f>
        <v/>
      </c>
      <c r="E2269" s="25" t="str">
        <f>IF($N2269="","",INDEX('_calc'!$D$2:$D$3001,$N2269))</f>
        <v/>
      </c>
      <c r="F2269" s="26" t="str">
        <f>IF($N2269="","",IF($E$8=0,"",E2269/$E$8))</f>
        <v/>
      </c>
      <c r="G2269" s="25" t="str">
        <f>IF($N2269="","",INDEX('_calc'!$E$2:$E$3001,$N2269))</f>
        <v/>
      </c>
      <c r="H2269" s="25" t="str">
        <f>IF($N2269="","",INDEX('_calc'!$F$2:$F$3001,$N2269))</f>
        <v/>
      </c>
      <c r="I2269" s="27" t="str">
        <f>IF($N2269="","",INDEX('_calc'!$H$2:$H$3001,$N2269))</f>
        <v/>
      </c>
      <c r="J2269" s="27" t="str">
        <f>IF($N2269="","",INDEX('_calc'!$I$2:$I$3001,$N2269))</f>
        <v/>
      </c>
      <c r="K2269" s="28" t="str">
        <f>IF($N2269="","",IF(OR(I2269="",J2269=""),"",J2269-I2269))</f>
        <v/>
      </c>
      <c r="L2269" s="29" t="str">
        <f>IF($N2269="","",INDEX('_calc'!$J$2:$J$3001,$N2269))</f>
        <v/>
      </c>
      <c r="M2269" s="2" t="str">
        <f>IF($N2269="","",IF(AND(G2269=0,H2269=0),"수량 없음",IF(G2269=0,"신규 (전년 수량 없음)",IF(H2269=0,"당해 수량 없음",""))))</f>
        <v/>
      </c>
      <c r="N2269" t="str">
        <f>IF($B2269="","",MATCH($B2269,'_calc'!$L$2:$L$3001,0))</f>
        <v/>
      </c>
    </row>
    <row r="2270">
      <c r="B2270" s="24" t="str">
        <f>IF(ROW()-ROW($B$8)&gt;nComp,"",ROW()-ROW($B$8))</f>
        <v/>
      </c>
      <c r="C2270" t="str">
        <f>IF($N2270="","",INDEX('_calc'!$A$2:$A$3001,$N2270))</f>
        <v/>
      </c>
      <c r="D2270" s="25" t="str">
        <f>IF($N2270="","",INDEX('_calc'!$C$2:$C$3001,$N2270))</f>
        <v/>
      </c>
      <c r="E2270" s="25" t="str">
        <f>IF($N2270="","",INDEX('_calc'!$D$2:$D$3001,$N2270))</f>
        <v/>
      </c>
      <c r="F2270" s="26" t="str">
        <f>IF($N2270="","",IF($E$8=0,"",E2270/$E$8))</f>
        <v/>
      </c>
      <c r="G2270" s="25" t="str">
        <f>IF($N2270="","",INDEX('_calc'!$E$2:$E$3001,$N2270))</f>
        <v/>
      </c>
      <c r="H2270" s="25" t="str">
        <f>IF($N2270="","",INDEX('_calc'!$F$2:$F$3001,$N2270))</f>
        <v/>
      </c>
      <c r="I2270" s="27" t="str">
        <f>IF($N2270="","",INDEX('_calc'!$H$2:$H$3001,$N2270))</f>
        <v/>
      </c>
      <c r="J2270" s="27" t="str">
        <f>IF($N2270="","",INDEX('_calc'!$I$2:$I$3001,$N2270))</f>
        <v/>
      </c>
      <c r="K2270" s="28" t="str">
        <f>IF($N2270="","",IF(OR(I2270="",J2270=""),"",J2270-I2270))</f>
        <v/>
      </c>
      <c r="L2270" s="29" t="str">
        <f>IF($N2270="","",INDEX('_calc'!$J$2:$J$3001,$N2270))</f>
        <v/>
      </c>
      <c r="M2270" s="2" t="str">
        <f>IF($N2270="","",IF(AND(G2270=0,H2270=0),"수량 없음",IF(G2270=0,"신규 (전년 수량 없음)",IF(H2270=0,"당해 수량 없음",""))))</f>
        <v/>
      </c>
      <c r="N2270" t="str">
        <f>IF($B2270="","",MATCH($B2270,'_calc'!$L$2:$L$3001,0))</f>
        <v/>
      </c>
    </row>
    <row r="2271">
      <c r="B2271" s="24" t="str">
        <f>IF(ROW()-ROW($B$8)&gt;nComp,"",ROW()-ROW($B$8))</f>
        <v/>
      </c>
      <c r="C2271" t="str">
        <f>IF($N2271="","",INDEX('_calc'!$A$2:$A$3001,$N2271))</f>
        <v/>
      </c>
      <c r="D2271" s="25" t="str">
        <f>IF($N2271="","",INDEX('_calc'!$C$2:$C$3001,$N2271))</f>
        <v/>
      </c>
      <c r="E2271" s="25" t="str">
        <f>IF($N2271="","",INDEX('_calc'!$D$2:$D$3001,$N2271))</f>
        <v/>
      </c>
      <c r="F2271" s="26" t="str">
        <f>IF($N2271="","",IF($E$8=0,"",E2271/$E$8))</f>
        <v/>
      </c>
      <c r="G2271" s="25" t="str">
        <f>IF($N2271="","",INDEX('_calc'!$E$2:$E$3001,$N2271))</f>
        <v/>
      </c>
      <c r="H2271" s="25" t="str">
        <f>IF($N2271="","",INDEX('_calc'!$F$2:$F$3001,$N2271))</f>
        <v/>
      </c>
      <c r="I2271" s="27" t="str">
        <f>IF($N2271="","",INDEX('_calc'!$H$2:$H$3001,$N2271))</f>
        <v/>
      </c>
      <c r="J2271" s="27" t="str">
        <f>IF($N2271="","",INDEX('_calc'!$I$2:$I$3001,$N2271))</f>
        <v/>
      </c>
      <c r="K2271" s="28" t="str">
        <f>IF($N2271="","",IF(OR(I2271="",J2271=""),"",J2271-I2271))</f>
        <v/>
      </c>
      <c r="L2271" s="29" t="str">
        <f>IF($N2271="","",INDEX('_calc'!$J$2:$J$3001,$N2271))</f>
        <v/>
      </c>
      <c r="M2271" s="2" t="str">
        <f>IF($N2271="","",IF(AND(G2271=0,H2271=0),"수량 없음",IF(G2271=0,"신규 (전년 수량 없음)",IF(H2271=0,"당해 수량 없음",""))))</f>
        <v/>
      </c>
      <c r="N2271" t="str">
        <f>IF($B2271="","",MATCH($B2271,'_calc'!$L$2:$L$3001,0))</f>
        <v/>
      </c>
    </row>
    <row r="2272">
      <c r="B2272" s="24" t="str">
        <f>IF(ROW()-ROW($B$8)&gt;nComp,"",ROW()-ROW($B$8))</f>
        <v/>
      </c>
      <c r="C2272" t="str">
        <f>IF($N2272="","",INDEX('_calc'!$A$2:$A$3001,$N2272))</f>
        <v/>
      </c>
      <c r="D2272" s="25" t="str">
        <f>IF($N2272="","",INDEX('_calc'!$C$2:$C$3001,$N2272))</f>
        <v/>
      </c>
      <c r="E2272" s="25" t="str">
        <f>IF($N2272="","",INDEX('_calc'!$D$2:$D$3001,$N2272))</f>
        <v/>
      </c>
      <c r="F2272" s="26" t="str">
        <f>IF($N2272="","",IF($E$8=0,"",E2272/$E$8))</f>
        <v/>
      </c>
      <c r="G2272" s="25" t="str">
        <f>IF($N2272="","",INDEX('_calc'!$E$2:$E$3001,$N2272))</f>
        <v/>
      </c>
      <c r="H2272" s="25" t="str">
        <f>IF($N2272="","",INDEX('_calc'!$F$2:$F$3001,$N2272))</f>
        <v/>
      </c>
      <c r="I2272" s="27" t="str">
        <f>IF($N2272="","",INDEX('_calc'!$H$2:$H$3001,$N2272))</f>
        <v/>
      </c>
      <c r="J2272" s="27" t="str">
        <f>IF($N2272="","",INDEX('_calc'!$I$2:$I$3001,$N2272))</f>
        <v/>
      </c>
      <c r="K2272" s="28" t="str">
        <f>IF($N2272="","",IF(OR(I2272="",J2272=""),"",J2272-I2272))</f>
        <v/>
      </c>
      <c r="L2272" s="29" t="str">
        <f>IF($N2272="","",INDEX('_calc'!$J$2:$J$3001,$N2272))</f>
        <v/>
      </c>
      <c r="M2272" s="2" t="str">
        <f>IF($N2272="","",IF(AND(G2272=0,H2272=0),"수량 없음",IF(G2272=0,"신규 (전년 수량 없음)",IF(H2272=0,"당해 수량 없음",""))))</f>
        <v/>
      </c>
      <c r="N2272" t="str">
        <f>IF($B2272="","",MATCH($B2272,'_calc'!$L$2:$L$3001,0))</f>
        <v/>
      </c>
    </row>
    <row r="2273">
      <c r="B2273" s="24" t="str">
        <f>IF(ROW()-ROW($B$8)&gt;nComp,"",ROW()-ROW($B$8))</f>
        <v/>
      </c>
      <c r="C2273" t="str">
        <f>IF($N2273="","",INDEX('_calc'!$A$2:$A$3001,$N2273))</f>
        <v/>
      </c>
      <c r="D2273" s="25" t="str">
        <f>IF($N2273="","",INDEX('_calc'!$C$2:$C$3001,$N2273))</f>
        <v/>
      </c>
      <c r="E2273" s="25" t="str">
        <f>IF($N2273="","",INDEX('_calc'!$D$2:$D$3001,$N2273))</f>
        <v/>
      </c>
      <c r="F2273" s="26" t="str">
        <f>IF($N2273="","",IF($E$8=0,"",E2273/$E$8))</f>
        <v/>
      </c>
      <c r="G2273" s="25" t="str">
        <f>IF($N2273="","",INDEX('_calc'!$E$2:$E$3001,$N2273))</f>
        <v/>
      </c>
      <c r="H2273" s="25" t="str">
        <f>IF($N2273="","",INDEX('_calc'!$F$2:$F$3001,$N2273))</f>
        <v/>
      </c>
      <c r="I2273" s="27" t="str">
        <f>IF($N2273="","",INDEX('_calc'!$H$2:$H$3001,$N2273))</f>
        <v/>
      </c>
      <c r="J2273" s="27" t="str">
        <f>IF($N2273="","",INDEX('_calc'!$I$2:$I$3001,$N2273))</f>
        <v/>
      </c>
      <c r="K2273" s="28" t="str">
        <f>IF($N2273="","",IF(OR(I2273="",J2273=""),"",J2273-I2273))</f>
        <v/>
      </c>
      <c r="L2273" s="29" t="str">
        <f>IF($N2273="","",INDEX('_calc'!$J$2:$J$3001,$N2273))</f>
        <v/>
      </c>
      <c r="M2273" s="2" t="str">
        <f>IF($N2273="","",IF(AND(G2273=0,H2273=0),"수량 없음",IF(G2273=0,"신규 (전년 수량 없음)",IF(H2273=0,"당해 수량 없음",""))))</f>
        <v/>
      </c>
      <c r="N2273" t="str">
        <f>IF($B2273="","",MATCH($B2273,'_calc'!$L$2:$L$3001,0))</f>
        <v/>
      </c>
    </row>
    <row r="2274">
      <c r="B2274" s="24" t="str">
        <f>IF(ROW()-ROW($B$8)&gt;nComp,"",ROW()-ROW($B$8))</f>
        <v/>
      </c>
      <c r="C2274" t="str">
        <f>IF($N2274="","",INDEX('_calc'!$A$2:$A$3001,$N2274))</f>
        <v/>
      </c>
      <c r="D2274" s="25" t="str">
        <f>IF($N2274="","",INDEX('_calc'!$C$2:$C$3001,$N2274))</f>
        <v/>
      </c>
      <c r="E2274" s="25" t="str">
        <f>IF($N2274="","",INDEX('_calc'!$D$2:$D$3001,$N2274))</f>
        <v/>
      </c>
      <c r="F2274" s="26" t="str">
        <f>IF($N2274="","",IF($E$8=0,"",E2274/$E$8))</f>
        <v/>
      </c>
      <c r="G2274" s="25" t="str">
        <f>IF($N2274="","",INDEX('_calc'!$E$2:$E$3001,$N2274))</f>
        <v/>
      </c>
      <c r="H2274" s="25" t="str">
        <f>IF($N2274="","",INDEX('_calc'!$F$2:$F$3001,$N2274))</f>
        <v/>
      </c>
      <c r="I2274" s="27" t="str">
        <f>IF($N2274="","",INDEX('_calc'!$H$2:$H$3001,$N2274))</f>
        <v/>
      </c>
      <c r="J2274" s="27" t="str">
        <f>IF($N2274="","",INDEX('_calc'!$I$2:$I$3001,$N2274))</f>
        <v/>
      </c>
      <c r="K2274" s="28" t="str">
        <f>IF($N2274="","",IF(OR(I2274="",J2274=""),"",J2274-I2274))</f>
        <v/>
      </c>
      <c r="L2274" s="29" t="str">
        <f>IF($N2274="","",INDEX('_calc'!$J$2:$J$3001,$N2274))</f>
        <v/>
      </c>
      <c r="M2274" s="2" t="str">
        <f>IF($N2274="","",IF(AND(G2274=0,H2274=0),"수량 없음",IF(G2274=0,"신규 (전년 수량 없음)",IF(H2274=0,"당해 수량 없음",""))))</f>
        <v/>
      </c>
      <c r="N2274" t="str">
        <f>IF($B2274="","",MATCH($B2274,'_calc'!$L$2:$L$3001,0))</f>
        <v/>
      </c>
    </row>
    <row r="2275">
      <c r="B2275" s="24" t="str">
        <f>IF(ROW()-ROW($B$8)&gt;nComp,"",ROW()-ROW($B$8))</f>
        <v/>
      </c>
      <c r="C2275" t="str">
        <f>IF($N2275="","",INDEX('_calc'!$A$2:$A$3001,$N2275))</f>
        <v/>
      </c>
      <c r="D2275" s="25" t="str">
        <f>IF($N2275="","",INDEX('_calc'!$C$2:$C$3001,$N2275))</f>
        <v/>
      </c>
      <c r="E2275" s="25" t="str">
        <f>IF($N2275="","",INDEX('_calc'!$D$2:$D$3001,$N2275))</f>
        <v/>
      </c>
      <c r="F2275" s="26" t="str">
        <f>IF($N2275="","",IF($E$8=0,"",E2275/$E$8))</f>
        <v/>
      </c>
      <c r="G2275" s="25" t="str">
        <f>IF($N2275="","",INDEX('_calc'!$E$2:$E$3001,$N2275))</f>
        <v/>
      </c>
      <c r="H2275" s="25" t="str">
        <f>IF($N2275="","",INDEX('_calc'!$F$2:$F$3001,$N2275))</f>
        <v/>
      </c>
      <c r="I2275" s="27" t="str">
        <f>IF($N2275="","",INDEX('_calc'!$H$2:$H$3001,$N2275))</f>
        <v/>
      </c>
      <c r="J2275" s="27" t="str">
        <f>IF($N2275="","",INDEX('_calc'!$I$2:$I$3001,$N2275))</f>
        <v/>
      </c>
      <c r="K2275" s="28" t="str">
        <f>IF($N2275="","",IF(OR(I2275="",J2275=""),"",J2275-I2275))</f>
        <v/>
      </c>
      <c r="L2275" s="29" t="str">
        <f>IF($N2275="","",INDEX('_calc'!$J$2:$J$3001,$N2275))</f>
        <v/>
      </c>
      <c r="M2275" s="2" t="str">
        <f>IF($N2275="","",IF(AND(G2275=0,H2275=0),"수량 없음",IF(G2275=0,"신규 (전년 수량 없음)",IF(H2275=0,"당해 수량 없음",""))))</f>
        <v/>
      </c>
      <c r="N2275" t="str">
        <f>IF($B2275="","",MATCH($B2275,'_calc'!$L$2:$L$3001,0))</f>
        <v/>
      </c>
    </row>
    <row r="2276">
      <c r="B2276" s="24" t="str">
        <f>IF(ROW()-ROW($B$8)&gt;nComp,"",ROW()-ROW($B$8))</f>
        <v/>
      </c>
      <c r="C2276" t="str">
        <f>IF($N2276="","",INDEX('_calc'!$A$2:$A$3001,$N2276))</f>
        <v/>
      </c>
      <c r="D2276" s="25" t="str">
        <f>IF($N2276="","",INDEX('_calc'!$C$2:$C$3001,$N2276))</f>
        <v/>
      </c>
      <c r="E2276" s="25" t="str">
        <f>IF($N2276="","",INDEX('_calc'!$D$2:$D$3001,$N2276))</f>
        <v/>
      </c>
      <c r="F2276" s="26" t="str">
        <f>IF($N2276="","",IF($E$8=0,"",E2276/$E$8))</f>
        <v/>
      </c>
      <c r="G2276" s="25" t="str">
        <f>IF($N2276="","",INDEX('_calc'!$E$2:$E$3001,$N2276))</f>
        <v/>
      </c>
      <c r="H2276" s="25" t="str">
        <f>IF($N2276="","",INDEX('_calc'!$F$2:$F$3001,$N2276))</f>
        <v/>
      </c>
      <c r="I2276" s="27" t="str">
        <f>IF($N2276="","",INDEX('_calc'!$H$2:$H$3001,$N2276))</f>
        <v/>
      </c>
      <c r="J2276" s="27" t="str">
        <f>IF($N2276="","",INDEX('_calc'!$I$2:$I$3001,$N2276))</f>
        <v/>
      </c>
      <c r="K2276" s="28" t="str">
        <f>IF($N2276="","",IF(OR(I2276="",J2276=""),"",J2276-I2276))</f>
        <v/>
      </c>
      <c r="L2276" s="29" t="str">
        <f>IF($N2276="","",INDEX('_calc'!$J$2:$J$3001,$N2276))</f>
        <v/>
      </c>
      <c r="M2276" s="2" t="str">
        <f>IF($N2276="","",IF(AND(G2276=0,H2276=0),"수량 없음",IF(G2276=0,"신규 (전년 수량 없음)",IF(H2276=0,"당해 수량 없음",""))))</f>
        <v/>
      </c>
      <c r="N2276" t="str">
        <f>IF($B2276="","",MATCH($B2276,'_calc'!$L$2:$L$3001,0))</f>
        <v/>
      </c>
    </row>
    <row r="2277">
      <c r="B2277" s="24" t="str">
        <f>IF(ROW()-ROW($B$8)&gt;nComp,"",ROW()-ROW($B$8))</f>
        <v/>
      </c>
      <c r="C2277" t="str">
        <f>IF($N2277="","",INDEX('_calc'!$A$2:$A$3001,$N2277))</f>
        <v/>
      </c>
      <c r="D2277" s="25" t="str">
        <f>IF($N2277="","",INDEX('_calc'!$C$2:$C$3001,$N2277))</f>
        <v/>
      </c>
      <c r="E2277" s="25" t="str">
        <f>IF($N2277="","",INDEX('_calc'!$D$2:$D$3001,$N2277))</f>
        <v/>
      </c>
      <c r="F2277" s="26" t="str">
        <f>IF($N2277="","",IF($E$8=0,"",E2277/$E$8))</f>
        <v/>
      </c>
      <c r="G2277" s="25" t="str">
        <f>IF($N2277="","",INDEX('_calc'!$E$2:$E$3001,$N2277))</f>
        <v/>
      </c>
      <c r="H2277" s="25" t="str">
        <f>IF($N2277="","",INDEX('_calc'!$F$2:$F$3001,$N2277))</f>
        <v/>
      </c>
      <c r="I2277" s="27" t="str">
        <f>IF($N2277="","",INDEX('_calc'!$H$2:$H$3001,$N2277))</f>
        <v/>
      </c>
      <c r="J2277" s="27" t="str">
        <f>IF($N2277="","",INDEX('_calc'!$I$2:$I$3001,$N2277))</f>
        <v/>
      </c>
      <c r="K2277" s="28" t="str">
        <f>IF($N2277="","",IF(OR(I2277="",J2277=""),"",J2277-I2277))</f>
        <v/>
      </c>
      <c r="L2277" s="29" t="str">
        <f>IF($N2277="","",INDEX('_calc'!$J$2:$J$3001,$N2277))</f>
        <v/>
      </c>
      <c r="M2277" s="2" t="str">
        <f>IF($N2277="","",IF(AND(G2277=0,H2277=0),"수량 없음",IF(G2277=0,"신규 (전년 수량 없음)",IF(H2277=0,"당해 수량 없음",""))))</f>
        <v/>
      </c>
      <c r="N2277" t="str">
        <f>IF($B2277="","",MATCH($B2277,'_calc'!$L$2:$L$3001,0))</f>
        <v/>
      </c>
    </row>
    <row r="2278">
      <c r="B2278" s="24" t="str">
        <f>IF(ROW()-ROW($B$8)&gt;nComp,"",ROW()-ROW($B$8))</f>
        <v/>
      </c>
      <c r="C2278" t="str">
        <f>IF($N2278="","",INDEX('_calc'!$A$2:$A$3001,$N2278))</f>
        <v/>
      </c>
      <c r="D2278" s="25" t="str">
        <f>IF($N2278="","",INDEX('_calc'!$C$2:$C$3001,$N2278))</f>
        <v/>
      </c>
      <c r="E2278" s="25" t="str">
        <f>IF($N2278="","",INDEX('_calc'!$D$2:$D$3001,$N2278))</f>
        <v/>
      </c>
      <c r="F2278" s="26" t="str">
        <f>IF($N2278="","",IF($E$8=0,"",E2278/$E$8))</f>
        <v/>
      </c>
      <c r="G2278" s="25" t="str">
        <f>IF($N2278="","",INDEX('_calc'!$E$2:$E$3001,$N2278))</f>
        <v/>
      </c>
      <c r="H2278" s="25" t="str">
        <f>IF($N2278="","",INDEX('_calc'!$F$2:$F$3001,$N2278))</f>
        <v/>
      </c>
      <c r="I2278" s="27" t="str">
        <f>IF($N2278="","",INDEX('_calc'!$H$2:$H$3001,$N2278))</f>
        <v/>
      </c>
      <c r="J2278" s="27" t="str">
        <f>IF($N2278="","",INDEX('_calc'!$I$2:$I$3001,$N2278))</f>
        <v/>
      </c>
      <c r="K2278" s="28" t="str">
        <f>IF($N2278="","",IF(OR(I2278="",J2278=""),"",J2278-I2278))</f>
        <v/>
      </c>
      <c r="L2278" s="29" t="str">
        <f>IF($N2278="","",INDEX('_calc'!$J$2:$J$3001,$N2278))</f>
        <v/>
      </c>
      <c r="M2278" s="2" t="str">
        <f>IF($N2278="","",IF(AND(G2278=0,H2278=0),"수량 없음",IF(G2278=0,"신규 (전년 수량 없음)",IF(H2278=0,"당해 수량 없음",""))))</f>
        <v/>
      </c>
      <c r="N2278" t="str">
        <f>IF($B2278="","",MATCH($B2278,'_calc'!$L$2:$L$3001,0))</f>
        <v/>
      </c>
    </row>
    <row r="2279">
      <c r="B2279" s="24" t="str">
        <f>IF(ROW()-ROW($B$8)&gt;nComp,"",ROW()-ROW($B$8))</f>
        <v/>
      </c>
      <c r="C2279" t="str">
        <f>IF($N2279="","",INDEX('_calc'!$A$2:$A$3001,$N2279))</f>
        <v/>
      </c>
      <c r="D2279" s="25" t="str">
        <f>IF($N2279="","",INDEX('_calc'!$C$2:$C$3001,$N2279))</f>
        <v/>
      </c>
      <c r="E2279" s="25" t="str">
        <f>IF($N2279="","",INDEX('_calc'!$D$2:$D$3001,$N2279))</f>
        <v/>
      </c>
      <c r="F2279" s="26" t="str">
        <f>IF($N2279="","",IF($E$8=0,"",E2279/$E$8))</f>
        <v/>
      </c>
      <c r="G2279" s="25" t="str">
        <f>IF($N2279="","",INDEX('_calc'!$E$2:$E$3001,$N2279))</f>
        <v/>
      </c>
      <c r="H2279" s="25" t="str">
        <f>IF($N2279="","",INDEX('_calc'!$F$2:$F$3001,$N2279))</f>
        <v/>
      </c>
      <c r="I2279" s="27" t="str">
        <f>IF($N2279="","",INDEX('_calc'!$H$2:$H$3001,$N2279))</f>
        <v/>
      </c>
      <c r="J2279" s="27" t="str">
        <f>IF($N2279="","",INDEX('_calc'!$I$2:$I$3001,$N2279))</f>
        <v/>
      </c>
      <c r="K2279" s="28" t="str">
        <f>IF($N2279="","",IF(OR(I2279="",J2279=""),"",J2279-I2279))</f>
        <v/>
      </c>
      <c r="L2279" s="29" t="str">
        <f>IF($N2279="","",INDEX('_calc'!$J$2:$J$3001,$N2279))</f>
        <v/>
      </c>
      <c r="M2279" s="2" t="str">
        <f>IF($N2279="","",IF(AND(G2279=0,H2279=0),"수량 없음",IF(G2279=0,"신규 (전년 수량 없음)",IF(H2279=0,"당해 수량 없음",""))))</f>
        <v/>
      </c>
      <c r="N2279" t="str">
        <f>IF($B2279="","",MATCH($B2279,'_calc'!$L$2:$L$3001,0))</f>
        <v/>
      </c>
    </row>
    <row r="2280">
      <c r="B2280" s="24" t="str">
        <f>IF(ROW()-ROW($B$8)&gt;nComp,"",ROW()-ROW($B$8))</f>
        <v/>
      </c>
      <c r="C2280" t="str">
        <f>IF($N2280="","",INDEX('_calc'!$A$2:$A$3001,$N2280))</f>
        <v/>
      </c>
      <c r="D2280" s="25" t="str">
        <f>IF($N2280="","",INDEX('_calc'!$C$2:$C$3001,$N2280))</f>
        <v/>
      </c>
      <c r="E2280" s="25" t="str">
        <f>IF($N2280="","",INDEX('_calc'!$D$2:$D$3001,$N2280))</f>
        <v/>
      </c>
      <c r="F2280" s="26" t="str">
        <f>IF($N2280="","",IF($E$8=0,"",E2280/$E$8))</f>
        <v/>
      </c>
      <c r="G2280" s="25" t="str">
        <f>IF($N2280="","",INDEX('_calc'!$E$2:$E$3001,$N2280))</f>
        <v/>
      </c>
      <c r="H2280" s="25" t="str">
        <f>IF($N2280="","",INDEX('_calc'!$F$2:$F$3001,$N2280))</f>
        <v/>
      </c>
      <c r="I2280" s="27" t="str">
        <f>IF($N2280="","",INDEX('_calc'!$H$2:$H$3001,$N2280))</f>
        <v/>
      </c>
      <c r="J2280" s="27" t="str">
        <f>IF($N2280="","",INDEX('_calc'!$I$2:$I$3001,$N2280))</f>
        <v/>
      </c>
      <c r="K2280" s="28" t="str">
        <f>IF($N2280="","",IF(OR(I2280="",J2280=""),"",J2280-I2280))</f>
        <v/>
      </c>
      <c r="L2280" s="29" t="str">
        <f>IF($N2280="","",INDEX('_calc'!$J$2:$J$3001,$N2280))</f>
        <v/>
      </c>
      <c r="M2280" s="2" t="str">
        <f>IF($N2280="","",IF(AND(G2280=0,H2280=0),"수량 없음",IF(G2280=0,"신규 (전년 수량 없음)",IF(H2280=0,"당해 수량 없음",""))))</f>
        <v/>
      </c>
      <c r="N2280" t="str">
        <f>IF($B2280="","",MATCH($B2280,'_calc'!$L$2:$L$3001,0))</f>
        <v/>
      </c>
    </row>
    <row r="2281">
      <c r="B2281" s="24" t="str">
        <f>IF(ROW()-ROW($B$8)&gt;nComp,"",ROW()-ROW($B$8))</f>
        <v/>
      </c>
      <c r="C2281" t="str">
        <f>IF($N2281="","",INDEX('_calc'!$A$2:$A$3001,$N2281))</f>
        <v/>
      </c>
      <c r="D2281" s="25" t="str">
        <f>IF($N2281="","",INDEX('_calc'!$C$2:$C$3001,$N2281))</f>
        <v/>
      </c>
      <c r="E2281" s="25" t="str">
        <f>IF($N2281="","",INDEX('_calc'!$D$2:$D$3001,$N2281))</f>
        <v/>
      </c>
      <c r="F2281" s="26" t="str">
        <f>IF($N2281="","",IF($E$8=0,"",E2281/$E$8))</f>
        <v/>
      </c>
      <c r="G2281" s="25" t="str">
        <f>IF($N2281="","",INDEX('_calc'!$E$2:$E$3001,$N2281))</f>
        <v/>
      </c>
      <c r="H2281" s="25" t="str">
        <f>IF($N2281="","",INDEX('_calc'!$F$2:$F$3001,$N2281))</f>
        <v/>
      </c>
      <c r="I2281" s="27" t="str">
        <f>IF($N2281="","",INDEX('_calc'!$H$2:$H$3001,$N2281))</f>
        <v/>
      </c>
      <c r="J2281" s="27" t="str">
        <f>IF($N2281="","",INDEX('_calc'!$I$2:$I$3001,$N2281))</f>
        <v/>
      </c>
      <c r="K2281" s="28" t="str">
        <f>IF($N2281="","",IF(OR(I2281="",J2281=""),"",J2281-I2281))</f>
        <v/>
      </c>
      <c r="L2281" s="29" t="str">
        <f>IF($N2281="","",INDEX('_calc'!$J$2:$J$3001,$N2281))</f>
        <v/>
      </c>
      <c r="M2281" s="2" t="str">
        <f>IF($N2281="","",IF(AND(G2281=0,H2281=0),"수량 없음",IF(G2281=0,"신규 (전년 수량 없음)",IF(H2281=0,"당해 수량 없음",""))))</f>
        <v/>
      </c>
      <c r="N2281" t="str">
        <f>IF($B2281="","",MATCH($B2281,'_calc'!$L$2:$L$3001,0))</f>
        <v/>
      </c>
    </row>
    <row r="2282">
      <c r="B2282" s="24" t="str">
        <f>IF(ROW()-ROW($B$8)&gt;nComp,"",ROW()-ROW($B$8))</f>
        <v/>
      </c>
      <c r="C2282" t="str">
        <f>IF($N2282="","",INDEX('_calc'!$A$2:$A$3001,$N2282))</f>
        <v/>
      </c>
      <c r="D2282" s="25" t="str">
        <f>IF($N2282="","",INDEX('_calc'!$C$2:$C$3001,$N2282))</f>
        <v/>
      </c>
      <c r="E2282" s="25" t="str">
        <f>IF($N2282="","",INDEX('_calc'!$D$2:$D$3001,$N2282))</f>
        <v/>
      </c>
      <c r="F2282" s="26" t="str">
        <f>IF($N2282="","",IF($E$8=0,"",E2282/$E$8))</f>
        <v/>
      </c>
      <c r="G2282" s="25" t="str">
        <f>IF($N2282="","",INDEX('_calc'!$E$2:$E$3001,$N2282))</f>
        <v/>
      </c>
      <c r="H2282" s="25" t="str">
        <f>IF($N2282="","",INDEX('_calc'!$F$2:$F$3001,$N2282))</f>
        <v/>
      </c>
      <c r="I2282" s="27" t="str">
        <f>IF($N2282="","",INDEX('_calc'!$H$2:$H$3001,$N2282))</f>
        <v/>
      </c>
      <c r="J2282" s="27" t="str">
        <f>IF($N2282="","",INDEX('_calc'!$I$2:$I$3001,$N2282))</f>
        <v/>
      </c>
      <c r="K2282" s="28" t="str">
        <f>IF($N2282="","",IF(OR(I2282="",J2282=""),"",J2282-I2282))</f>
        <v/>
      </c>
      <c r="L2282" s="29" t="str">
        <f>IF($N2282="","",INDEX('_calc'!$J$2:$J$3001,$N2282))</f>
        <v/>
      </c>
      <c r="M2282" s="2" t="str">
        <f>IF($N2282="","",IF(AND(G2282=0,H2282=0),"수량 없음",IF(G2282=0,"신규 (전년 수량 없음)",IF(H2282=0,"당해 수량 없음",""))))</f>
        <v/>
      </c>
      <c r="N2282" t="str">
        <f>IF($B2282="","",MATCH($B2282,'_calc'!$L$2:$L$3001,0))</f>
        <v/>
      </c>
    </row>
    <row r="2283">
      <c r="B2283" s="24" t="str">
        <f>IF(ROW()-ROW($B$8)&gt;nComp,"",ROW()-ROW($B$8))</f>
        <v/>
      </c>
      <c r="C2283" t="str">
        <f>IF($N2283="","",INDEX('_calc'!$A$2:$A$3001,$N2283))</f>
        <v/>
      </c>
      <c r="D2283" s="25" t="str">
        <f>IF($N2283="","",INDEX('_calc'!$C$2:$C$3001,$N2283))</f>
        <v/>
      </c>
      <c r="E2283" s="25" t="str">
        <f>IF($N2283="","",INDEX('_calc'!$D$2:$D$3001,$N2283))</f>
        <v/>
      </c>
      <c r="F2283" s="26" t="str">
        <f>IF($N2283="","",IF($E$8=0,"",E2283/$E$8))</f>
        <v/>
      </c>
      <c r="G2283" s="25" t="str">
        <f>IF($N2283="","",INDEX('_calc'!$E$2:$E$3001,$N2283))</f>
        <v/>
      </c>
      <c r="H2283" s="25" t="str">
        <f>IF($N2283="","",INDEX('_calc'!$F$2:$F$3001,$N2283))</f>
        <v/>
      </c>
      <c r="I2283" s="27" t="str">
        <f>IF($N2283="","",INDEX('_calc'!$H$2:$H$3001,$N2283))</f>
        <v/>
      </c>
      <c r="J2283" s="27" t="str">
        <f>IF($N2283="","",INDEX('_calc'!$I$2:$I$3001,$N2283))</f>
        <v/>
      </c>
      <c r="K2283" s="28" t="str">
        <f>IF($N2283="","",IF(OR(I2283="",J2283=""),"",J2283-I2283))</f>
        <v/>
      </c>
      <c r="L2283" s="29" t="str">
        <f>IF($N2283="","",INDEX('_calc'!$J$2:$J$3001,$N2283))</f>
        <v/>
      </c>
      <c r="M2283" s="2" t="str">
        <f>IF($N2283="","",IF(AND(G2283=0,H2283=0),"수량 없음",IF(G2283=0,"신규 (전년 수량 없음)",IF(H2283=0,"당해 수량 없음",""))))</f>
        <v/>
      </c>
      <c r="N2283" t="str">
        <f>IF($B2283="","",MATCH($B2283,'_calc'!$L$2:$L$3001,0))</f>
        <v/>
      </c>
    </row>
    <row r="2284">
      <c r="B2284" s="24" t="str">
        <f>IF(ROW()-ROW($B$8)&gt;nComp,"",ROW()-ROW($B$8))</f>
        <v/>
      </c>
      <c r="C2284" t="str">
        <f>IF($N2284="","",INDEX('_calc'!$A$2:$A$3001,$N2284))</f>
        <v/>
      </c>
      <c r="D2284" s="25" t="str">
        <f>IF($N2284="","",INDEX('_calc'!$C$2:$C$3001,$N2284))</f>
        <v/>
      </c>
      <c r="E2284" s="25" t="str">
        <f>IF($N2284="","",INDEX('_calc'!$D$2:$D$3001,$N2284))</f>
        <v/>
      </c>
      <c r="F2284" s="26" t="str">
        <f>IF($N2284="","",IF($E$8=0,"",E2284/$E$8))</f>
        <v/>
      </c>
      <c r="G2284" s="25" t="str">
        <f>IF($N2284="","",INDEX('_calc'!$E$2:$E$3001,$N2284))</f>
        <v/>
      </c>
      <c r="H2284" s="25" t="str">
        <f>IF($N2284="","",INDEX('_calc'!$F$2:$F$3001,$N2284))</f>
        <v/>
      </c>
      <c r="I2284" s="27" t="str">
        <f>IF($N2284="","",INDEX('_calc'!$H$2:$H$3001,$N2284))</f>
        <v/>
      </c>
      <c r="J2284" s="27" t="str">
        <f>IF($N2284="","",INDEX('_calc'!$I$2:$I$3001,$N2284))</f>
        <v/>
      </c>
      <c r="K2284" s="28" t="str">
        <f>IF($N2284="","",IF(OR(I2284="",J2284=""),"",J2284-I2284))</f>
        <v/>
      </c>
      <c r="L2284" s="29" t="str">
        <f>IF($N2284="","",INDEX('_calc'!$J$2:$J$3001,$N2284))</f>
        <v/>
      </c>
      <c r="M2284" s="2" t="str">
        <f>IF($N2284="","",IF(AND(G2284=0,H2284=0),"수량 없음",IF(G2284=0,"신규 (전년 수량 없음)",IF(H2284=0,"당해 수량 없음",""))))</f>
        <v/>
      </c>
      <c r="N2284" t="str">
        <f>IF($B2284="","",MATCH($B2284,'_calc'!$L$2:$L$3001,0))</f>
        <v/>
      </c>
    </row>
    <row r="2285">
      <c r="B2285" s="24" t="str">
        <f>IF(ROW()-ROW($B$8)&gt;nComp,"",ROW()-ROW($B$8))</f>
        <v/>
      </c>
      <c r="C2285" t="str">
        <f>IF($N2285="","",INDEX('_calc'!$A$2:$A$3001,$N2285))</f>
        <v/>
      </c>
      <c r="D2285" s="25" t="str">
        <f>IF($N2285="","",INDEX('_calc'!$C$2:$C$3001,$N2285))</f>
        <v/>
      </c>
      <c r="E2285" s="25" t="str">
        <f>IF($N2285="","",INDEX('_calc'!$D$2:$D$3001,$N2285))</f>
        <v/>
      </c>
      <c r="F2285" s="26" t="str">
        <f>IF($N2285="","",IF($E$8=0,"",E2285/$E$8))</f>
        <v/>
      </c>
      <c r="G2285" s="25" t="str">
        <f>IF($N2285="","",INDEX('_calc'!$E$2:$E$3001,$N2285))</f>
        <v/>
      </c>
      <c r="H2285" s="25" t="str">
        <f>IF($N2285="","",INDEX('_calc'!$F$2:$F$3001,$N2285))</f>
        <v/>
      </c>
      <c r="I2285" s="27" t="str">
        <f>IF($N2285="","",INDEX('_calc'!$H$2:$H$3001,$N2285))</f>
        <v/>
      </c>
      <c r="J2285" s="27" t="str">
        <f>IF($N2285="","",INDEX('_calc'!$I$2:$I$3001,$N2285))</f>
        <v/>
      </c>
      <c r="K2285" s="28" t="str">
        <f>IF($N2285="","",IF(OR(I2285="",J2285=""),"",J2285-I2285))</f>
        <v/>
      </c>
      <c r="L2285" s="29" t="str">
        <f>IF($N2285="","",INDEX('_calc'!$J$2:$J$3001,$N2285))</f>
        <v/>
      </c>
      <c r="M2285" s="2" t="str">
        <f>IF($N2285="","",IF(AND(G2285=0,H2285=0),"수량 없음",IF(G2285=0,"신규 (전년 수량 없음)",IF(H2285=0,"당해 수량 없음",""))))</f>
        <v/>
      </c>
      <c r="N2285" t="str">
        <f>IF($B2285="","",MATCH($B2285,'_calc'!$L$2:$L$3001,0))</f>
        <v/>
      </c>
    </row>
    <row r="2286">
      <c r="B2286" s="24" t="str">
        <f>IF(ROW()-ROW($B$8)&gt;nComp,"",ROW()-ROW($B$8))</f>
        <v/>
      </c>
      <c r="C2286" t="str">
        <f>IF($N2286="","",INDEX('_calc'!$A$2:$A$3001,$N2286))</f>
        <v/>
      </c>
      <c r="D2286" s="25" t="str">
        <f>IF($N2286="","",INDEX('_calc'!$C$2:$C$3001,$N2286))</f>
        <v/>
      </c>
      <c r="E2286" s="25" t="str">
        <f>IF($N2286="","",INDEX('_calc'!$D$2:$D$3001,$N2286))</f>
        <v/>
      </c>
      <c r="F2286" s="26" t="str">
        <f>IF($N2286="","",IF($E$8=0,"",E2286/$E$8))</f>
        <v/>
      </c>
      <c r="G2286" s="25" t="str">
        <f>IF($N2286="","",INDEX('_calc'!$E$2:$E$3001,$N2286))</f>
        <v/>
      </c>
      <c r="H2286" s="25" t="str">
        <f>IF($N2286="","",INDEX('_calc'!$F$2:$F$3001,$N2286))</f>
        <v/>
      </c>
      <c r="I2286" s="27" t="str">
        <f>IF($N2286="","",INDEX('_calc'!$H$2:$H$3001,$N2286))</f>
        <v/>
      </c>
      <c r="J2286" s="27" t="str">
        <f>IF($N2286="","",INDEX('_calc'!$I$2:$I$3001,$N2286))</f>
        <v/>
      </c>
      <c r="K2286" s="28" t="str">
        <f>IF($N2286="","",IF(OR(I2286="",J2286=""),"",J2286-I2286))</f>
        <v/>
      </c>
      <c r="L2286" s="29" t="str">
        <f>IF($N2286="","",INDEX('_calc'!$J$2:$J$3001,$N2286))</f>
        <v/>
      </c>
      <c r="M2286" s="2" t="str">
        <f>IF($N2286="","",IF(AND(G2286=0,H2286=0),"수량 없음",IF(G2286=0,"신규 (전년 수량 없음)",IF(H2286=0,"당해 수량 없음",""))))</f>
        <v/>
      </c>
      <c r="N2286" t="str">
        <f>IF($B2286="","",MATCH($B2286,'_calc'!$L$2:$L$3001,0))</f>
        <v/>
      </c>
    </row>
    <row r="2287">
      <c r="B2287" s="24" t="str">
        <f>IF(ROW()-ROW($B$8)&gt;nComp,"",ROW()-ROW($B$8))</f>
        <v/>
      </c>
      <c r="C2287" t="str">
        <f>IF($N2287="","",INDEX('_calc'!$A$2:$A$3001,$N2287))</f>
        <v/>
      </c>
      <c r="D2287" s="25" t="str">
        <f>IF($N2287="","",INDEX('_calc'!$C$2:$C$3001,$N2287))</f>
        <v/>
      </c>
      <c r="E2287" s="25" t="str">
        <f>IF($N2287="","",INDEX('_calc'!$D$2:$D$3001,$N2287))</f>
        <v/>
      </c>
      <c r="F2287" s="26" t="str">
        <f>IF($N2287="","",IF($E$8=0,"",E2287/$E$8))</f>
        <v/>
      </c>
      <c r="G2287" s="25" t="str">
        <f>IF($N2287="","",INDEX('_calc'!$E$2:$E$3001,$N2287))</f>
        <v/>
      </c>
      <c r="H2287" s="25" t="str">
        <f>IF($N2287="","",INDEX('_calc'!$F$2:$F$3001,$N2287))</f>
        <v/>
      </c>
      <c r="I2287" s="27" t="str">
        <f>IF($N2287="","",INDEX('_calc'!$H$2:$H$3001,$N2287))</f>
        <v/>
      </c>
      <c r="J2287" s="27" t="str">
        <f>IF($N2287="","",INDEX('_calc'!$I$2:$I$3001,$N2287))</f>
        <v/>
      </c>
      <c r="K2287" s="28" t="str">
        <f>IF($N2287="","",IF(OR(I2287="",J2287=""),"",J2287-I2287))</f>
        <v/>
      </c>
      <c r="L2287" s="29" t="str">
        <f>IF($N2287="","",INDEX('_calc'!$J$2:$J$3001,$N2287))</f>
        <v/>
      </c>
      <c r="M2287" s="2" t="str">
        <f>IF($N2287="","",IF(AND(G2287=0,H2287=0),"수량 없음",IF(G2287=0,"신규 (전년 수량 없음)",IF(H2287=0,"당해 수량 없음",""))))</f>
        <v/>
      </c>
      <c r="N2287" t="str">
        <f>IF($B2287="","",MATCH($B2287,'_calc'!$L$2:$L$3001,0))</f>
        <v/>
      </c>
    </row>
    <row r="2288">
      <c r="B2288" s="24" t="str">
        <f>IF(ROW()-ROW($B$8)&gt;nComp,"",ROW()-ROW($B$8))</f>
        <v/>
      </c>
      <c r="C2288" t="str">
        <f>IF($N2288="","",INDEX('_calc'!$A$2:$A$3001,$N2288))</f>
        <v/>
      </c>
      <c r="D2288" s="25" t="str">
        <f>IF($N2288="","",INDEX('_calc'!$C$2:$C$3001,$N2288))</f>
        <v/>
      </c>
      <c r="E2288" s="25" t="str">
        <f>IF($N2288="","",INDEX('_calc'!$D$2:$D$3001,$N2288))</f>
        <v/>
      </c>
      <c r="F2288" s="26" t="str">
        <f>IF($N2288="","",IF($E$8=0,"",E2288/$E$8))</f>
        <v/>
      </c>
      <c r="G2288" s="25" t="str">
        <f>IF($N2288="","",INDEX('_calc'!$E$2:$E$3001,$N2288))</f>
        <v/>
      </c>
      <c r="H2288" s="25" t="str">
        <f>IF($N2288="","",INDEX('_calc'!$F$2:$F$3001,$N2288))</f>
        <v/>
      </c>
      <c r="I2288" s="27" t="str">
        <f>IF($N2288="","",INDEX('_calc'!$H$2:$H$3001,$N2288))</f>
        <v/>
      </c>
      <c r="J2288" s="27" t="str">
        <f>IF($N2288="","",INDEX('_calc'!$I$2:$I$3001,$N2288))</f>
        <v/>
      </c>
      <c r="K2288" s="28" t="str">
        <f>IF($N2288="","",IF(OR(I2288="",J2288=""),"",J2288-I2288))</f>
        <v/>
      </c>
      <c r="L2288" s="29" t="str">
        <f>IF($N2288="","",INDEX('_calc'!$J$2:$J$3001,$N2288))</f>
        <v/>
      </c>
      <c r="M2288" s="2" t="str">
        <f>IF($N2288="","",IF(AND(G2288=0,H2288=0),"수량 없음",IF(G2288=0,"신규 (전년 수량 없음)",IF(H2288=0,"당해 수량 없음",""))))</f>
        <v/>
      </c>
      <c r="N2288" t="str">
        <f>IF($B2288="","",MATCH($B2288,'_calc'!$L$2:$L$3001,0))</f>
        <v/>
      </c>
    </row>
    <row r="2289">
      <c r="B2289" s="24" t="str">
        <f>IF(ROW()-ROW($B$8)&gt;nComp,"",ROW()-ROW($B$8))</f>
        <v/>
      </c>
      <c r="C2289" t="str">
        <f>IF($N2289="","",INDEX('_calc'!$A$2:$A$3001,$N2289))</f>
        <v/>
      </c>
      <c r="D2289" s="25" t="str">
        <f>IF($N2289="","",INDEX('_calc'!$C$2:$C$3001,$N2289))</f>
        <v/>
      </c>
      <c r="E2289" s="25" t="str">
        <f>IF($N2289="","",INDEX('_calc'!$D$2:$D$3001,$N2289))</f>
        <v/>
      </c>
      <c r="F2289" s="26" t="str">
        <f>IF($N2289="","",IF($E$8=0,"",E2289/$E$8))</f>
        <v/>
      </c>
      <c r="G2289" s="25" t="str">
        <f>IF($N2289="","",INDEX('_calc'!$E$2:$E$3001,$N2289))</f>
        <v/>
      </c>
      <c r="H2289" s="25" t="str">
        <f>IF($N2289="","",INDEX('_calc'!$F$2:$F$3001,$N2289))</f>
        <v/>
      </c>
      <c r="I2289" s="27" t="str">
        <f>IF($N2289="","",INDEX('_calc'!$H$2:$H$3001,$N2289))</f>
        <v/>
      </c>
      <c r="J2289" s="27" t="str">
        <f>IF($N2289="","",INDEX('_calc'!$I$2:$I$3001,$N2289))</f>
        <v/>
      </c>
      <c r="K2289" s="28" t="str">
        <f>IF($N2289="","",IF(OR(I2289="",J2289=""),"",J2289-I2289))</f>
        <v/>
      </c>
      <c r="L2289" s="29" t="str">
        <f>IF($N2289="","",INDEX('_calc'!$J$2:$J$3001,$N2289))</f>
        <v/>
      </c>
      <c r="M2289" s="2" t="str">
        <f>IF($N2289="","",IF(AND(G2289=0,H2289=0),"수량 없음",IF(G2289=0,"신규 (전년 수량 없음)",IF(H2289=0,"당해 수량 없음",""))))</f>
        <v/>
      </c>
      <c r="N2289" t="str">
        <f>IF($B2289="","",MATCH($B2289,'_calc'!$L$2:$L$3001,0))</f>
        <v/>
      </c>
    </row>
    <row r="2290">
      <c r="B2290" s="24" t="str">
        <f>IF(ROW()-ROW($B$8)&gt;nComp,"",ROW()-ROW($B$8))</f>
        <v/>
      </c>
      <c r="C2290" t="str">
        <f>IF($N2290="","",INDEX('_calc'!$A$2:$A$3001,$N2290))</f>
        <v/>
      </c>
      <c r="D2290" s="25" t="str">
        <f>IF($N2290="","",INDEX('_calc'!$C$2:$C$3001,$N2290))</f>
        <v/>
      </c>
      <c r="E2290" s="25" t="str">
        <f>IF($N2290="","",INDEX('_calc'!$D$2:$D$3001,$N2290))</f>
        <v/>
      </c>
      <c r="F2290" s="26" t="str">
        <f>IF($N2290="","",IF($E$8=0,"",E2290/$E$8))</f>
        <v/>
      </c>
      <c r="G2290" s="25" t="str">
        <f>IF($N2290="","",INDEX('_calc'!$E$2:$E$3001,$N2290))</f>
        <v/>
      </c>
      <c r="H2290" s="25" t="str">
        <f>IF($N2290="","",INDEX('_calc'!$F$2:$F$3001,$N2290))</f>
        <v/>
      </c>
      <c r="I2290" s="27" t="str">
        <f>IF($N2290="","",INDEX('_calc'!$H$2:$H$3001,$N2290))</f>
        <v/>
      </c>
      <c r="J2290" s="27" t="str">
        <f>IF($N2290="","",INDEX('_calc'!$I$2:$I$3001,$N2290))</f>
        <v/>
      </c>
      <c r="K2290" s="28" t="str">
        <f>IF($N2290="","",IF(OR(I2290="",J2290=""),"",J2290-I2290))</f>
        <v/>
      </c>
      <c r="L2290" s="29" t="str">
        <f>IF($N2290="","",INDEX('_calc'!$J$2:$J$3001,$N2290))</f>
        <v/>
      </c>
      <c r="M2290" s="2" t="str">
        <f>IF($N2290="","",IF(AND(G2290=0,H2290=0),"수량 없음",IF(G2290=0,"신규 (전년 수량 없음)",IF(H2290=0,"당해 수량 없음",""))))</f>
        <v/>
      </c>
      <c r="N2290" t="str">
        <f>IF($B2290="","",MATCH($B2290,'_calc'!$L$2:$L$3001,0))</f>
        <v/>
      </c>
    </row>
    <row r="2291">
      <c r="B2291" s="24" t="str">
        <f>IF(ROW()-ROW($B$8)&gt;nComp,"",ROW()-ROW($B$8))</f>
        <v/>
      </c>
      <c r="C2291" t="str">
        <f>IF($N2291="","",INDEX('_calc'!$A$2:$A$3001,$N2291))</f>
        <v/>
      </c>
      <c r="D2291" s="25" t="str">
        <f>IF($N2291="","",INDEX('_calc'!$C$2:$C$3001,$N2291))</f>
        <v/>
      </c>
      <c r="E2291" s="25" t="str">
        <f>IF($N2291="","",INDEX('_calc'!$D$2:$D$3001,$N2291))</f>
        <v/>
      </c>
      <c r="F2291" s="26" t="str">
        <f>IF($N2291="","",IF($E$8=0,"",E2291/$E$8))</f>
        <v/>
      </c>
      <c r="G2291" s="25" t="str">
        <f>IF($N2291="","",INDEX('_calc'!$E$2:$E$3001,$N2291))</f>
        <v/>
      </c>
      <c r="H2291" s="25" t="str">
        <f>IF($N2291="","",INDEX('_calc'!$F$2:$F$3001,$N2291))</f>
        <v/>
      </c>
      <c r="I2291" s="27" t="str">
        <f>IF($N2291="","",INDEX('_calc'!$H$2:$H$3001,$N2291))</f>
        <v/>
      </c>
      <c r="J2291" s="27" t="str">
        <f>IF($N2291="","",INDEX('_calc'!$I$2:$I$3001,$N2291))</f>
        <v/>
      </c>
      <c r="K2291" s="28" t="str">
        <f>IF($N2291="","",IF(OR(I2291="",J2291=""),"",J2291-I2291))</f>
        <v/>
      </c>
      <c r="L2291" s="29" t="str">
        <f>IF($N2291="","",INDEX('_calc'!$J$2:$J$3001,$N2291))</f>
        <v/>
      </c>
      <c r="M2291" s="2" t="str">
        <f>IF($N2291="","",IF(AND(G2291=0,H2291=0),"수량 없음",IF(G2291=0,"신규 (전년 수량 없음)",IF(H2291=0,"당해 수량 없음",""))))</f>
        <v/>
      </c>
      <c r="N2291" t="str">
        <f>IF($B2291="","",MATCH($B2291,'_calc'!$L$2:$L$3001,0))</f>
        <v/>
      </c>
    </row>
    <row r="2292">
      <c r="B2292" s="24" t="str">
        <f>IF(ROW()-ROW($B$8)&gt;nComp,"",ROW()-ROW($B$8))</f>
        <v/>
      </c>
      <c r="C2292" t="str">
        <f>IF($N2292="","",INDEX('_calc'!$A$2:$A$3001,$N2292))</f>
        <v/>
      </c>
      <c r="D2292" s="25" t="str">
        <f>IF($N2292="","",INDEX('_calc'!$C$2:$C$3001,$N2292))</f>
        <v/>
      </c>
      <c r="E2292" s="25" t="str">
        <f>IF($N2292="","",INDEX('_calc'!$D$2:$D$3001,$N2292))</f>
        <v/>
      </c>
      <c r="F2292" s="26" t="str">
        <f>IF($N2292="","",IF($E$8=0,"",E2292/$E$8))</f>
        <v/>
      </c>
      <c r="G2292" s="25" t="str">
        <f>IF($N2292="","",INDEX('_calc'!$E$2:$E$3001,$N2292))</f>
        <v/>
      </c>
      <c r="H2292" s="25" t="str">
        <f>IF($N2292="","",INDEX('_calc'!$F$2:$F$3001,$N2292))</f>
        <v/>
      </c>
      <c r="I2292" s="27" t="str">
        <f>IF($N2292="","",INDEX('_calc'!$H$2:$H$3001,$N2292))</f>
        <v/>
      </c>
      <c r="J2292" s="27" t="str">
        <f>IF($N2292="","",INDEX('_calc'!$I$2:$I$3001,$N2292))</f>
        <v/>
      </c>
      <c r="K2292" s="28" t="str">
        <f>IF($N2292="","",IF(OR(I2292="",J2292=""),"",J2292-I2292))</f>
        <v/>
      </c>
      <c r="L2292" s="29" t="str">
        <f>IF($N2292="","",INDEX('_calc'!$J$2:$J$3001,$N2292))</f>
        <v/>
      </c>
      <c r="M2292" s="2" t="str">
        <f>IF($N2292="","",IF(AND(G2292=0,H2292=0),"수량 없음",IF(G2292=0,"신규 (전년 수량 없음)",IF(H2292=0,"당해 수량 없음",""))))</f>
        <v/>
      </c>
      <c r="N2292" t="str">
        <f>IF($B2292="","",MATCH($B2292,'_calc'!$L$2:$L$3001,0))</f>
        <v/>
      </c>
    </row>
    <row r="2293">
      <c r="B2293" s="24" t="str">
        <f>IF(ROW()-ROW($B$8)&gt;nComp,"",ROW()-ROW($B$8))</f>
        <v/>
      </c>
      <c r="C2293" t="str">
        <f>IF($N2293="","",INDEX('_calc'!$A$2:$A$3001,$N2293))</f>
        <v/>
      </c>
      <c r="D2293" s="25" t="str">
        <f>IF($N2293="","",INDEX('_calc'!$C$2:$C$3001,$N2293))</f>
        <v/>
      </c>
      <c r="E2293" s="25" t="str">
        <f>IF($N2293="","",INDEX('_calc'!$D$2:$D$3001,$N2293))</f>
        <v/>
      </c>
      <c r="F2293" s="26" t="str">
        <f>IF($N2293="","",IF($E$8=0,"",E2293/$E$8))</f>
        <v/>
      </c>
      <c r="G2293" s="25" t="str">
        <f>IF($N2293="","",INDEX('_calc'!$E$2:$E$3001,$N2293))</f>
        <v/>
      </c>
      <c r="H2293" s="25" t="str">
        <f>IF($N2293="","",INDEX('_calc'!$F$2:$F$3001,$N2293))</f>
        <v/>
      </c>
      <c r="I2293" s="27" t="str">
        <f>IF($N2293="","",INDEX('_calc'!$H$2:$H$3001,$N2293))</f>
        <v/>
      </c>
      <c r="J2293" s="27" t="str">
        <f>IF($N2293="","",INDEX('_calc'!$I$2:$I$3001,$N2293))</f>
        <v/>
      </c>
      <c r="K2293" s="28" t="str">
        <f>IF($N2293="","",IF(OR(I2293="",J2293=""),"",J2293-I2293))</f>
        <v/>
      </c>
      <c r="L2293" s="29" t="str">
        <f>IF($N2293="","",INDEX('_calc'!$J$2:$J$3001,$N2293))</f>
        <v/>
      </c>
      <c r="M2293" s="2" t="str">
        <f>IF($N2293="","",IF(AND(G2293=0,H2293=0),"수량 없음",IF(G2293=0,"신규 (전년 수량 없음)",IF(H2293=0,"당해 수량 없음",""))))</f>
        <v/>
      </c>
      <c r="N2293" t="str">
        <f>IF($B2293="","",MATCH($B2293,'_calc'!$L$2:$L$3001,0))</f>
        <v/>
      </c>
    </row>
    <row r="2294">
      <c r="B2294" s="24" t="str">
        <f>IF(ROW()-ROW($B$8)&gt;nComp,"",ROW()-ROW($B$8))</f>
        <v/>
      </c>
      <c r="C2294" t="str">
        <f>IF($N2294="","",INDEX('_calc'!$A$2:$A$3001,$N2294))</f>
        <v/>
      </c>
      <c r="D2294" s="25" t="str">
        <f>IF($N2294="","",INDEX('_calc'!$C$2:$C$3001,$N2294))</f>
        <v/>
      </c>
      <c r="E2294" s="25" t="str">
        <f>IF($N2294="","",INDEX('_calc'!$D$2:$D$3001,$N2294))</f>
        <v/>
      </c>
      <c r="F2294" s="26" t="str">
        <f>IF($N2294="","",IF($E$8=0,"",E2294/$E$8))</f>
        <v/>
      </c>
      <c r="G2294" s="25" t="str">
        <f>IF($N2294="","",INDEX('_calc'!$E$2:$E$3001,$N2294))</f>
        <v/>
      </c>
      <c r="H2294" s="25" t="str">
        <f>IF($N2294="","",INDEX('_calc'!$F$2:$F$3001,$N2294))</f>
        <v/>
      </c>
      <c r="I2294" s="27" t="str">
        <f>IF($N2294="","",INDEX('_calc'!$H$2:$H$3001,$N2294))</f>
        <v/>
      </c>
      <c r="J2294" s="27" t="str">
        <f>IF($N2294="","",INDEX('_calc'!$I$2:$I$3001,$N2294))</f>
        <v/>
      </c>
      <c r="K2294" s="28" t="str">
        <f>IF($N2294="","",IF(OR(I2294="",J2294=""),"",J2294-I2294))</f>
        <v/>
      </c>
      <c r="L2294" s="29" t="str">
        <f>IF($N2294="","",INDEX('_calc'!$J$2:$J$3001,$N2294))</f>
        <v/>
      </c>
      <c r="M2294" s="2" t="str">
        <f>IF($N2294="","",IF(AND(G2294=0,H2294=0),"수량 없음",IF(G2294=0,"신규 (전년 수량 없음)",IF(H2294=0,"당해 수량 없음",""))))</f>
        <v/>
      </c>
      <c r="N2294" t="str">
        <f>IF($B2294="","",MATCH($B2294,'_calc'!$L$2:$L$3001,0))</f>
        <v/>
      </c>
    </row>
    <row r="2295">
      <c r="B2295" s="24" t="str">
        <f>IF(ROW()-ROW($B$8)&gt;nComp,"",ROW()-ROW($B$8))</f>
        <v/>
      </c>
      <c r="C2295" t="str">
        <f>IF($N2295="","",INDEX('_calc'!$A$2:$A$3001,$N2295))</f>
        <v/>
      </c>
      <c r="D2295" s="25" t="str">
        <f>IF($N2295="","",INDEX('_calc'!$C$2:$C$3001,$N2295))</f>
        <v/>
      </c>
      <c r="E2295" s="25" t="str">
        <f>IF($N2295="","",INDEX('_calc'!$D$2:$D$3001,$N2295))</f>
        <v/>
      </c>
      <c r="F2295" s="26" t="str">
        <f>IF($N2295="","",IF($E$8=0,"",E2295/$E$8))</f>
        <v/>
      </c>
      <c r="G2295" s="25" t="str">
        <f>IF($N2295="","",INDEX('_calc'!$E$2:$E$3001,$N2295))</f>
        <v/>
      </c>
      <c r="H2295" s="25" t="str">
        <f>IF($N2295="","",INDEX('_calc'!$F$2:$F$3001,$N2295))</f>
        <v/>
      </c>
      <c r="I2295" s="27" t="str">
        <f>IF($N2295="","",INDEX('_calc'!$H$2:$H$3001,$N2295))</f>
        <v/>
      </c>
      <c r="J2295" s="27" t="str">
        <f>IF($N2295="","",INDEX('_calc'!$I$2:$I$3001,$N2295))</f>
        <v/>
      </c>
      <c r="K2295" s="28" t="str">
        <f>IF($N2295="","",IF(OR(I2295="",J2295=""),"",J2295-I2295))</f>
        <v/>
      </c>
      <c r="L2295" s="29" t="str">
        <f>IF($N2295="","",INDEX('_calc'!$J$2:$J$3001,$N2295))</f>
        <v/>
      </c>
      <c r="M2295" s="2" t="str">
        <f>IF($N2295="","",IF(AND(G2295=0,H2295=0),"수량 없음",IF(G2295=0,"신규 (전년 수량 없음)",IF(H2295=0,"당해 수량 없음",""))))</f>
        <v/>
      </c>
      <c r="N2295" t="str">
        <f>IF($B2295="","",MATCH($B2295,'_calc'!$L$2:$L$3001,0))</f>
        <v/>
      </c>
    </row>
    <row r="2296">
      <c r="B2296" s="24" t="str">
        <f>IF(ROW()-ROW($B$8)&gt;nComp,"",ROW()-ROW($B$8))</f>
        <v/>
      </c>
      <c r="C2296" t="str">
        <f>IF($N2296="","",INDEX('_calc'!$A$2:$A$3001,$N2296))</f>
        <v/>
      </c>
      <c r="D2296" s="25" t="str">
        <f>IF($N2296="","",INDEX('_calc'!$C$2:$C$3001,$N2296))</f>
        <v/>
      </c>
      <c r="E2296" s="25" t="str">
        <f>IF($N2296="","",INDEX('_calc'!$D$2:$D$3001,$N2296))</f>
        <v/>
      </c>
      <c r="F2296" s="26" t="str">
        <f>IF($N2296="","",IF($E$8=0,"",E2296/$E$8))</f>
        <v/>
      </c>
      <c r="G2296" s="25" t="str">
        <f>IF($N2296="","",INDEX('_calc'!$E$2:$E$3001,$N2296))</f>
        <v/>
      </c>
      <c r="H2296" s="25" t="str">
        <f>IF($N2296="","",INDEX('_calc'!$F$2:$F$3001,$N2296))</f>
        <v/>
      </c>
      <c r="I2296" s="27" t="str">
        <f>IF($N2296="","",INDEX('_calc'!$H$2:$H$3001,$N2296))</f>
        <v/>
      </c>
      <c r="J2296" s="27" t="str">
        <f>IF($N2296="","",INDEX('_calc'!$I$2:$I$3001,$N2296))</f>
        <v/>
      </c>
      <c r="K2296" s="28" t="str">
        <f>IF($N2296="","",IF(OR(I2296="",J2296=""),"",J2296-I2296))</f>
        <v/>
      </c>
      <c r="L2296" s="29" t="str">
        <f>IF($N2296="","",INDEX('_calc'!$J$2:$J$3001,$N2296))</f>
        <v/>
      </c>
      <c r="M2296" s="2" t="str">
        <f>IF($N2296="","",IF(AND(G2296=0,H2296=0),"수량 없음",IF(G2296=0,"신규 (전년 수량 없음)",IF(H2296=0,"당해 수량 없음",""))))</f>
        <v/>
      </c>
      <c r="N2296" t="str">
        <f>IF($B2296="","",MATCH($B2296,'_calc'!$L$2:$L$3001,0))</f>
        <v/>
      </c>
    </row>
    <row r="2297">
      <c r="B2297" s="24" t="str">
        <f>IF(ROW()-ROW($B$8)&gt;nComp,"",ROW()-ROW($B$8))</f>
        <v/>
      </c>
      <c r="C2297" t="str">
        <f>IF($N2297="","",INDEX('_calc'!$A$2:$A$3001,$N2297))</f>
        <v/>
      </c>
      <c r="D2297" s="25" t="str">
        <f>IF($N2297="","",INDEX('_calc'!$C$2:$C$3001,$N2297))</f>
        <v/>
      </c>
      <c r="E2297" s="25" t="str">
        <f>IF($N2297="","",INDEX('_calc'!$D$2:$D$3001,$N2297))</f>
        <v/>
      </c>
      <c r="F2297" s="26" t="str">
        <f>IF($N2297="","",IF($E$8=0,"",E2297/$E$8))</f>
        <v/>
      </c>
      <c r="G2297" s="25" t="str">
        <f>IF($N2297="","",INDEX('_calc'!$E$2:$E$3001,$N2297))</f>
        <v/>
      </c>
      <c r="H2297" s="25" t="str">
        <f>IF($N2297="","",INDEX('_calc'!$F$2:$F$3001,$N2297))</f>
        <v/>
      </c>
      <c r="I2297" s="27" t="str">
        <f>IF($N2297="","",INDEX('_calc'!$H$2:$H$3001,$N2297))</f>
        <v/>
      </c>
      <c r="J2297" s="27" t="str">
        <f>IF($N2297="","",INDEX('_calc'!$I$2:$I$3001,$N2297))</f>
        <v/>
      </c>
      <c r="K2297" s="28" t="str">
        <f>IF($N2297="","",IF(OR(I2297="",J2297=""),"",J2297-I2297))</f>
        <v/>
      </c>
      <c r="L2297" s="29" t="str">
        <f>IF($N2297="","",INDEX('_calc'!$J$2:$J$3001,$N2297))</f>
        <v/>
      </c>
      <c r="M2297" s="2" t="str">
        <f>IF($N2297="","",IF(AND(G2297=0,H2297=0),"수량 없음",IF(G2297=0,"신규 (전년 수량 없음)",IF(H2297=0,"당해 수량 없음",""))))</f>
        <v/>
      </c>
      <c r="N2297" t="str">
        <f>IF($B2297="","",MATCH($B2297,'_calc'!$L$2:$L$3001,0))</f>
        <v/>
      </c>
    </row>
    <row r="2298">
      <c r="B2298" s="24" t="str">
        <f>IF(ROW()-ROW($B$8)&gt;nComp,"",ROW()-ROW($B$8))</f>
        <v/>
      </c>
      <c r="C2298" t="str">
        <f>IF($N2298="","",INDEX('_calc'!$A$2:$A$3001,$N2298))</f>
        <v/>
      </c>
      <c r="D2298" s="25" t="str">
        <f>IF($N2298="","",INDEX('_calc'!$C$2:$C$3001,$N2298))</f>
        <v/>
      </c>
      <c r="E2298" s="25" t="str">
        <f>IF($N2298="","",INDEX('_calc'!$D$2:$D$3001,$N2298))</f>
        <v/>
      </c>
      <c r="F2298" s="26" t="str">
        <f>IF($N2298="","",IF($E$8=0,"",E2298/$E$8))</f>
        <v/>
      </c>
      <c r="G2298" s="25" t="str">
        <f>IF($N2298="","",INDEX('_calc'!$E$2:$E$3001,$N2298))</f>
        <v/>
      </c>
      <c r="H2298" s="25" t="str">
        <f>IF($N2298="","",INDEX('_calc'!$F$2:$F$3001,$N2298))</f>
        <v/>
      </c>
      <c r="I2298" s="27" t="str">
        <f>IF($N2298="","",INDEX('_calc'!$H$2:$H$3001,$N2298))</f>
        <v/>
      </c>
      <c r="J2298" s="27" t="str">
        <f>IF($N2298="","",INDEX('_calc'!$I$2:$I$3001,$N2298))</f>
        <v/>
      </c>
      <c r="K2298" s="28" t="str">
        <f>IF($N2298="","",IF(OR(I2298="",J2298=""),"",J2298-I2298))</f>
        <v/>
      </c>
      <c r="L2298" s="29" t="str">
        <f>IF($N2298="","",INDEX('_calc'!$J$2:$J$3001,$N2298))</f>
        <v/>
      </c>
      <c r="M2298" s="2" t="str">
        <f>IF($N2298="","",IF(AND(G2298=0,H2298=0),"수량 없음",IF(G2298=0,"신규 (전년 수량 없음)",IF(H2298=0,"당해 수량 없음",""))))</f>
        <v/>
      </c>
      <c r="N2298" t="str">
        <f>IF($B2298="","",MATCH($B2298,'_calc'!$L$2:$L$3001,0))</f>
        <v/>
      </c>
    </row>
    <row r="2299">
      <c r="B2299" s="24" t="str">
        <f>IF(ROW()-ROW($B$8)&gt;nComp,"",ROW()-ROW($B$8))</f>
        <v/>
      </c>
      <c r="C2299" t="str">
        <f>IF($N2299="","",INDEX('_calc'!$A$2:$A$3001,$N2299))</f>
        <v/>
      </c>
      <c r="D2299" s="25" t="str">
        <f>IF($N2299="","",INDEX('_calc'!$C$2:$C$3001,$N2299))</f>
        <v/>
      </c>
      <c r="E2299" s="25" t="str">
        <f>IF($N2299="","",INDEX('_calc'!$D$2:$D$3001,$N2299))</f>
        <v/>
      </c>
      <c r="F2299" s="26" t="str">
        <f>IF($N2299="","",IF($E$8=0,"",E2299/$E$8))</f>
        <v/>
      </c>
      <c r="G2299" s="25" t="str">
        <f>IF($N2299="","",INDEX('_calc'!$E$2:$E$3001,$N2299))</f>
        <v/>
      </c>
      <c r="H2299" s="25" t="str">
        <f>IF($N2299="","",INDEX('_calc'!$F$2:$F$3001,$N2299))</f>
        <v/>
      </c>
      <c r="I2299" s="27" t="str">
        <f>IF($N2299="","",INDEX('_calc'!$H$2:$H$3001,$N2299))</f>
        <v/>
      </c>
      <c r="J2299" s="27" t="str">
        <f>IF($N2299="","",INDEX('_calc'!$I$2:$I$3001,$N2299))</f>
        <v/>
      </c>
      <c r="K2299" s="28" t="str">
        <f>IF($N2299="","",IF(OR(I2299="",J2299=""),"",J2299-I2299))</f>
        <v/>
      </c>
      <c r="L2299" s="29" t="str">
        <f>IF($N2299="","",INDEX('_calc'!$J$2:$J$3001,$N2299))</f>
        <v/>
      </c>
      <c r="M2299" s="2" t="str">
        <f>IF($N2299="","",IF(AND(G2299=0,H2299=0),"수량 없음",IF(G2299=0,"신규 (전년 수량 없음)",IF(H2299=0,"당해 수량 없음",""))))</f>
        <v/>
      </c>
      <c r="N2299" t="str">
        <f>IF($B2299="","",MATCH($B2299,'_calc'!$L$2:$L$3001,0))</f>
        <v/>
      </c>
    </row>
    <row r="2300">
      <c r="B2300" s="24" t="str">
        <f>IF(ROW()-ROW($B$8)&gt;nComp,"",ROW()-ROW($B$8))</f>
        <v/>
      </c>
      <c r="C2300" t="str">
        <f>IF($N2300="","",INDEX('_calc'!$A$2:$A$3001,$N2300))</f>
        <v/>
      </c>
      <c r="D2300" s="25" t="str">
        <f>IF($N2300="","",INDEX('_calc'!$C$2:$C$3001,$N2300))</f>
        <v/>
      </c>
      <c r="E2300" s="25" t="str">
        <f>IF($N2300="","",INDEX('_calc'!$D$2:$D$3001,$N2300))</f>
        <v/>
      </c>
      <c r="F2300" s="26" t="str">
        <f>IF($N2300="","",IF($E$8=0,"",E2300/$E$8))</f>
        <v/>
      </c>
      <c r="G2300" s="25" t="str">
        <f>IF($N2300="","",INDEX('_calc'!$E$2:$E$3001,$N2300))</f>
        <v/>
      </c>
      <c r="H2300" s="25" t="str">
        <f>IF($N2300="","",INDEX('_calc'!$F$2:$F$3001,$N2300))</f>
        <v/>
      </c>
      <c r="I2300" s="27" t="str">
        <f>IF($N2300="","",INDEX('_calc'!$H$2:$H$3001,$N2300))</f>
        <v/>
      </c>
      <c r="J2300" s="27" t="str">
        <f>IF($N2300="","",INDEX('_calc'!$I$2:$I$3001,$N2300))</f>
        <v/>
      </c>
      <c r="K2300" s="28" t="str">
        <f>IF($N2300="","",IF(OR(I2300="",J2300=""),"",J2300-I2300))</f>
        <v/>
      </c>
      <c r="L2300" s="29" t="str">
        <f>IF($N2300="","",INDEX('_calc'!$J$2:$J$3001,$N2300))</f>
        <v/>
      </c>
      <c r="M2300" s="2" t="str">
        <f>IF($N2300="","",IF(AND(G2300=0,H2300=0),"수량 없음",IF(G2300=0,"신규 (전년 수량 없음)",IF(H2300=0,"당해 수량 없음",""))))</f>
        <v/>
      </c>
      <c r="N2300" t="str">
        <f>IF($B2300="","",MATCH($B2300,'_calc'!$L$2:$L$3001,0))</f>
        <v/>
      </c>
    </row>
    <row r="2301">
      <c r="B2301" s="24" t="str">
        <f>IF(ROW()-ROW($B$8)&gt;nComp,"",ROW()-ROW($B$8))</f>
        <v/>
      </c>
      <c r="C2301" t="str">
        <f>IF($N2301="","",INDEX('_calc'!$A$2:$A$3001,$N2301))</f>
        <v/>
      </c>
      <c r="D2301" s="25" t="str">
        <f>IF($N2301="","",INDEX('_calc'!$C$2:$C$3001,$N2301))</f>
        <v/>
      </c>
      <c r="E2301" s="25" t="str">
        <f>IF($N2301="","",INDEX('_calc'!$D$2:$D$3001,$N2301))</f>
        <v/>
      </c>
      <c r="F2301" s="26" t="str">
        <f>IF($N2301="","",IF($E$8=0,"",E2301/$E$8))</f>
        <v/>
      </c>
      <c r="G2301" s="25" t="str">
        <f>IF($N2301="","",INDEX('_calc'!$E$2:$E$3001,$N2301))</f>
        <v/>
      </c>
      <c r="H2301" s="25" t="str">
        <f>IF($N2301="","",INDEX('_calc'!$F$2:$F$3001,$N2301))</f>
        <v/>
      </c>
      <c r="I2301" s="27" t="str">
        <f>IF($N2301="","",INDEX('_calc'!$H$2:$H$3001,$N2301))</f>
        <v/>
      </c>
      <c r="J2301" s="27" t="str">
        <f>IF($N2301="","",INDEX('_calc'!$I$2:$I$3001,$N2301))</f>
        <v/>
      </c>
      <c r="K2301" s="28" t="str">
        <f>IF($N2301="","",IF(OR(I2301="",J2301=""),"",J2301-I2301))</f>
        <v/>
      </c>
      <c r="L2301" s="29" t="str">
        <f>IF($N2301="","",INDEX('_calc'!$J$2:$J$3001,$N2301))</f>
        <v/>
      </c>
      <c r="M2301" s="2" t="str">
        <f>IF($N2301="","",IF(AND(G2301=0,H2301=0),"수량 없음",IF(G2301=0,"신규 (전년 수량 없음)",IF(H2301=0,"당해 수량 없음",""))))</f>
        <v/>
      </c>
      <c r="N2301" t="str">
        <f>IF($B2301="","",MATCH($B2301,'_calc'!$L$2:$L$3001,0))</f>
        <v/>
      </c>
    </row>
    <row r="2302">
      <c r="B2302" s="24" t="str">
        <f>IF(ROW()-ROW($B$8)&gt;nComp,"",ROW()-ROW($B$8))</f>
        <v/>
      </c>
      <c r="C2302" t="str">
        <f>IF($N2302="","",INDEX('_calc'!$A$2:$A$3001,$N2302))</f>
        <v/>
      </c>
      <c r="D2302" s="25" t="str">
        <f>IF($N2302="","",INDEX('_calc'!$C$2:$C$3001,$N2302))</f>
        <v/>
      </c>
      <c r="E2302" s="25" t="str">
        <f>IF($N2302="","",INDEX('_calc'!$D$2:$D$3001,$N2302))</f>
        <v/>
      </c>
      <c r="F2302" s="26" t="str">
        <f>IF($N2302="","",IF($E$8=0,"",E2302/$E$8))</f>
        <v/>
      </c>
      <c r="G2302" s="25" t="str">
        <f>IF($N2302="","",INDEX('_calc'!$E$2:$E$3001,$N2302))</f>
        <v/>
      </c>
      <c r="H2302" s="25" t="str">
        <f>IF($N2302="","",INDEX('_calc'!$F$2:$F$3001,$N2302))</f>
        <v/>
      </c>
      <c r="I2302" s="27" t="str">
        <f>IF($N2302="","",INDEX('_calc'!$H$2:$H$3001,$N2302))</f>
        <v/>
      </c>
      <c r="J2302" s="27" t="str">
        <f>IF($N2302="","",INDEX('_calc'!$I$2:$I$3001,$N2302))</f>
        <v/>
      </c>
      <c r="K2302" s="28" t="str">
        <f>IF($N2302="","",IF(OR(I2302="",J2302=""),"",J2302-I2302))</f>
        <v/>
      </c>
      <c r="L2302" s="29" t="str">
        <f>IF($N2302="","",INDEX('_calc'!$J$2:$J$3001,$N2302))</f>
        <v/>
      </c>
      <c r="M2302" s="2" t="str">
        <f>IF($N2302="","",IF(AND(G2302=0,H2302=0),"수량 없음",IF(G2302=0,"신규 (전년 수량 없음)",IF(H2302=0,"당해 수량 없음",""))))</f>
        <v/>
      </c>
      <c r="N2302" t="str">
        <f>IF($B2302="","",MATCH($B2302,'_calc'!$L$2:$L$3001,0))</f>
        <v/>
      </c>
    </row>
    <row r="2303">
      <c r="B2303" s="24" t="str">
        <f>IF(ROW()-ROW($B$8)&gt;nComp,"",ROW()-ROW($B$8))</f>
        <v/>
      </c>
      <c r="C2303" t="str">
        <f>IF($N2303="","",INDEX('_calc'!$A$2:$A$3001,$N2303))</f>
        <v/>
      </c>
      <c r="D2303" s="25" t="str">
        <f>IF($N2303="","",INDEX('_calc'!$C$2:$C$3001,$N2303))</f>
        <v/>
      </c>
      <c r="E2303" s="25" t="str">
        <f>IF($N2303="","",INDEX('_calc'!$D$2:$D$3001,$N2303))</f>
        <v/>
      </c>
      <c r="F2303" s="26" t="str">
        <f>IF($N2303="","",IF($E$8=0,"",E2303/$E$8))</f>
        <v/>
      </c>
      <c r="G2303" s="25" t="str">
        <f>IF($N2303="","",INDEX('_calc'!$E$2:$E$3001,$N2303))</f>
        <v/>
      </c>
      <c r="H2303" s="25" t="str">
        <f>IF($N2303="","",INDEX('_calc'!$F$2:$F$3001,$N2303))</f>
        <v/>
      </c>
      <c r="I2303" s="27" t="str">
        <f>IF($N2303="","",INDEX('_calc'!$H$2:$H$3001,$N2303))</f>
        <v/>
      </c>
      <c r="J2303" s="27" t="str">
        <f>IF($N2303="","",INDEX('_calc'!$I$2:$I$3001,$N2303))</f>
        <v/>
      </c>
      <c r="K2303" s="28" t="str">
        <f>IF($N2303="","",IF(OR(I2303="",J2303=""),"",J2303-I2303))</f>
        <v/>
      </c>
      <c r="L2303" s="29" t="str">
        <f>IF($N2303="","",INDEX('_calc'!$J$2:$J$3001,$N2303))</f>
        <v/>
      </c>
      <c r="M2303" s="2" t="str">
        <f>IF($N2303="","",IF(AND(G2303=0,H2303=0),"수량 없음",IF(G2303=0,"신규 (전년 수량 없음)",IF(H2303=0,"당해 수량 없음",""))))</f>
        <v/>
      </c>
      <c r="N2303" t="str">
        <f>IF($B2303="","",MATCH($B2303,'_calc'!$L$2:$L$3001,0))</f>
        <v/>
      </c>
    </row>
    <row r="2304">
      <c r="B2304" s="24" t="str">
        <f>IF(ROW()-ROW($B$8)&gt;nComp,"",ROW()-ROW($B$8))</f>
        <v/>
      </c>
      <c r="C2304" t="str">
        <f>IF($N2304="","",INDEX('_calc'!$A$2:$A$3001,$N2304))</f>
        <v/>
      </c>
      <c r="D2304" s="25" t="str">
        <f>IF($N2304="","",INDEX('_calc'!$C$2:$C$3001,$N2304))</f>
        <v/>
      </c>
      <c r="E2304" s="25" t="str">
        <f>IF($N2304="","",INDEX('_calc'!$D$2:$D$3001,$N2304))</f>
        <v/>
      </c>
      <c r="F2304" s="26" t="str">
        <f>IF($N2304="","",IF($E$8=0,"",E2304/$E$8))</f>
        <v/>
      </c>
      <c r="G2304" s="25" t="str">
        <f>IF($N2304="","",INDEX('_calc'!$E$2:$E$3001,$N2304))</f>
        <v/>
      </c>
      <c r="H2304" s="25" t="str">
        <f>IF($N2304="","",INDEX('_calc'!$F$2:$F$3001,$N2304))</f>
        <v/>
      </c>
      <c r="I2304" s="27" t="str">
        <f>IF($N2304="","",INDEX('_calc'!$H$2:$H$3001,$N2304))</f>
        <v/>
      </c>
      <c r="J2304" s="27" t="str">
        <f>IF($N2304="","",INDEX('_calc'!$I$2:$I$3001,$N2304))</f>
        <v/>
      </c>
      <c r="K2304" s="28" t="str">
        <f>IF($N2304="","",IF(OR(I2304="",J2304=""),"",J2304-I2304))</f>
        <v/>
      </c>
      <c r="L2304" s="29" t="str">
        <f>IF($N2304="","",INDEX('_calc'!$J$2:$J$3001,$N2304))</f>
        <v/>
      </c>
      <c r="M2304" s="2" t="str">
        <f>IF($N2304="","",IF(AND(G2304=0,H2304=0),"수량 없음",IF(G2304=0,"신규 (전년 수량 없음)",IF(H2304=0,"당해 수량 없음",""))))</f>
        <v/>
      </c>
      <c r="N2304" t="str">
        <f>IF($B2304="","",MATCH($B2304,'_calc'!$L$2:$L$3001,0))</f>
        <v/>
      </c>
    </row>
    <row r="2305">
      <c r="B2305" s="24" t="str">
        <f>IF(ROW()-ROW($B$8)&gt;nComp,"",ROW()-ROW($B$8))</f>
        <v/>
      </c>
      <c r="C2305" t="str">
        <f>IF($N2305="","",INDEX('_calc'!$A$2:$A$3001,$N2305))</f>
        <v/>
      </c>
      <c r="D2305" s="25" t="str">
        <f>IF($N2305="","",INDEX('_calc'!$C$2:$C$3001,$N2305))</f>
        <v/>
      </c>
      <c r="E2305" s="25" t="str">
        <f>IF($N2305="","",INDEX('_calc'!$D$2:$D$3001,$N2305))</f>
        <v/>
      </c>
      <c r="F2305" s="26" t="str">
        <f>IF($N2305="","",IF($E$8=0,"",E2305/$E$8))</f>
        <v/>
      </c>
      <c r="G2305" s="25" t="str">
        <f>IF($N2305="","",INDEX('_calc'!$E$2:$E$3001,$N2305))</f>
        <v/>
      </c>
      <c r="H2305" s="25" t="str">
        <f>IF($N2305="","",INDEX('_calc'!$F$2:$F$3001,$N2305))</f>
        <v/>
      </c>
      <c r="I2305" s="27" t="str">
        <f>IF($N2305="","",INDEX('_calc'!$H$2:$H$3001,$N2305))</f>
        <v/>
      </c>
      <c r="J2305" s="27" t="str">
        <f>IF($N2305="","",INDEX('_calc'!$I$2:$I$3001,$N2305))</f>
        <v/>
      </c>
      <c r="K2305" s="28" t="str">
        <f>IF($N2305="","",IF(OR(I2305="",J2305=""),"",J2305-I2305))</f>
        <v/>
      </c>
      <c r="L2305" s="29" t="str">
        <f>IF($N2305="","",INDEX('_calc'!$J$2:$J$3001,$N2305))</f>
        <v/>
      </c>
      <c r="M2305" s="2" t="str">
        <f>IF($N2305="","",IF(AND(G2305=0,H2305=0),"수량 없음",IF(G2305=0,"신규 (전년 수량 없음)",IF(H2305=0,"당해 수량 없음",""))))</f>
        <v/>
      </c>
      <c r="N2305" t="str">
        <f>IF($B2305="","",MATCH($B2305,'_calc'!$L$2:$L$3001,0))</f>
        <v/>
      </c>
    </row>
    <row r="2306">
      <c r="B2306" s="24" t="str">
        <f>IF(ROW()-ROW($B$8)&gt;nComp,"",ROW()-ROW($B$8))</f>
        <v/>
      </c>
      <c r="C2306" t="str">
        <f>IF($N2306="","",INDEX('_calc'!$A$2:$A$3001,$N2306))</f>
        <v/>
      </c>
      <c r="D2306" s="25" t="str">
        <f>IF($N2306="","",INDEX('_calc'!$C$2:$C$3001,$N2306))</f>
        <v/>
      </c>
      <c r="E2306" s="25" t="str">
        <f>IF($N2306="","",INDEX('_calc'!$D$2:$D$3001,$N2306))</f>
        <v/>
      </c>
      <c r="F2306" s="26" t="str">
        <f>IF($N2306="","",IF($E$8=0,"",E2306/$E$8))</f>
        <v/>
      </c>
      <c r="G2306" s="25" t="str">
        <f>IF($N2306="","",INDEX('_calc'!$E$2:$E$3001,$N2306))</f>
        <v/>
      </c>
      <c r="H2306" s="25" t="str">
        <f>IF($N2306="","",INDEX('_calc'!$F$2:$F$3001,$N2306))</f>
        <v/>
      </c>
      <c r="I2306" s="27" t="str">
        <f>IF($N2306="","",INDEX('_calc'!$H$2:$H$3001,$N2306))</f>
        <v/>
      </c>
      <c r="J2306" s="27" t="str">
        <f>IF($N2306="","",INDEX('_calc'!$I$2:$I$3001,$N2306))</f>
        <v/>
      </c>
      <c r="K2306" s="28" t="str">
        <f>IF($N2306="","",IF(OR(I2306="",J2306=""),"",J2306-I2306))</f>
        <v/>
      </c>
      <c r="L2306" s="29" t="str">
        <f>IF($N2306="","",INDEX('_calc'!$J$2:$J$3001,$N2306))</f>
        <v/>
      </c>
      <c r="M2306" s="2" t="str">
        <f>IF($N2306="","",IF(AND(G2306=0,H2306=0),"수량 없음",IF(G2306=0,"신규 (전년 수량 없음)",IF(H2306=0,"당해 수량 없음",""))))</f>
        <v/>
      </c>
      <c r="N2306" t="str">
        <f>IF($B2306="","",MATCH($B2306,'_calc'!$L$2:$L$3001,0))</f>
        <v/>
      </c>
    </row>
    <row r="2307">
      <c r="B2307" s="24" t="str">
        <f>IF(ROW()-ROW($B$8)&gt;nComp,"",ROW()-ROW($B$8))</f>
        <v/>
      </c>
      <c r="C2307" t="str">
        <f>IF($N2307="","",INDEX('_calc'!$A$2:$A$3001,$N2307))</f>
        <v/>
      </c>
      <c r="D2307" s="25" t="str">
        <f>IF($N2307="","",INDEX('_calc'!$C$2:$C$3001,$N2307))</f>
        <v/>
      </c>
      <c r="E2307" s="25" t="str">
        <f>IF($N2307="","",INDEX('_calc'!$D$2:$D$3001,$N2307))</f>
        <v/>
      </c>
      <c r="F2307" s="26" t="str">
        <f>IF($N2307="","",IF($E$8=0,"",E2307/$E$8))</f>
        <v/>
      </c>
      <c r="G2307" s="25" t="str">
        <f>IF($N2307="","",INDEX('_calc'!$E$2:$E$3001,$N2307))</f>
        <v/>
      </c>
      <c r="H2307" s="25" t="str">
        <f>IF($N2307="","",INDEX('_calc'!$F$2:$F$3001,$N2307))</f>
        <v/>
      </c>
      <c r="I2307" s="27" t="str">
        <f>IF($N2307="","",INDEX('_calc'!$H$2:$H$3001,$N2307))</f>
        <v/>
      </c>
      <c r="J2307" s="27" t="str">
        <f>IF($N2307="","",INDEX('_calc'!$I$2:$I$3001,$N2307))</f>
        <v/>
      </c>
      <c r="K2307" s="28" t="str">
        <f>IF($N2307="","",IF(OR(I2307="",J2307=""),"",J2307-I2307))</f>
        <v/>
      </c>
      <c r="L2307" s="29" t="str">
        <f>IF($N2307="","",INDEX('_calc'!$J$2:$J$3001,$N2307))</f>
        <v/>
      </c>
      <c r="M2307" s="2" t="str">
        <f>IF($N2307="","",IF(AND(G2307=0,H2307=0),"수량 없음",IF(G2307=0,"신규 (전년 수량 없음)",IF(H2307=0,"당해 수량 없음",""))))</f>
        <v/>
      </c>
      <c r="N2307" t="str">
        <f>IF($B2307="","",MATCH($B2307,'_calc'!$L$2:$L$3001,0))</f>
        <v/>
      </c>
    </row>
    <row r="2308">
      <c r="B2308" s="24" t="str">
        <f>IF(ROW()-ROW($B$8)&gt;nComp,"",ROW()-ROW($B$8))</f>
        <v/>
      </c>
      <c r="C2308" t="str">
        <f>IF($N2308="","",INDEX('_calc'!$A$2:$A$3001,$N2308))</f>
        <v/>
      </c>
      <c r="D2308" s="25" t="str">
        <f>IF($N2308="","",INDEX('_calc'!$C$2:$C$3001,$N2308))</f>
        <v/>
      </c>
      <c r="E2308" s="25" t="str">
        <f>IF($N2308="","",INDEX('_calc'!$D$2:$D$3001,$N2308))</f>
        <v/>
      </c>
      <c r="F2308" s="26" t="str">
        <f>IF($N2308="","",IF($E$8=0,"",E2308/$E$8))</f>
        <v/>
      </c>
      <c r="G2308" s="25" t="str">
        <f>IF($N2308="","",INDEX('_calc'!$E$2:$E$3001,$N2308))</f>
        <v/>
      </c>
      <c r="H2308" s="25" t="str">
        <f>IF($N2308="","",INDEX('_calc'!$F$2:$F$3001,$N2308))</f>
        <v/>
      </c>
      <c r="I2308" s="27" t="str">
        <f>IF($N2308="","",INDEX('_calc'!$H$2:$H$3001,$N2308))</f>
        <v/>
      </c>
      <c r="J2308" s="27" t="str">
        <f>IF($N2308="","",INDEX('_calc'!$I$2:$I$3001,$N2308))</f>
        <v/>
      </c>
      <c r="K2308" s="28" t="str">
        <f>IF($N2308="","",IF(OR(I2308="",J2308=""),"",J2308-I2308))</f>
        <v/>
      </c>
      <c r="L2308" s="29" t="str">
        <f>IF($N2308="","",INDEX('_calc'!$J$2:$J$3001,$N2308))</f>
        <v/>
      </c>
      <c r="M2308" s="2" t="str">
        <f>IF($N2308="","",IF(AND(G2308=0,H2308=0),"수량 없음",IF(G2308=0,"신규 (전년 수량 없음)",IF(H2308=0,"당해 수량 없음",""))))</f>
        <v/>
      </c>
      <c r="N2308" t="str">
        <f>IF($B2308="","",MATCH($B2308,'_calc'!$L$2:$L$3001,0))</f>
        <v/>
      </c>
    </row>
    <row r="2309">
      <c r="B2309" s="24" t="str">
        <f>IF(ROW()-ROW($B$8)&gt;nComp,"",ROW()-ROW($B$8))</f>
        <v/>
      </c>
      <c r="C2309" t="str">
        <f>IF($N2309="","",INDEX('_calc'!$A$2:$A$3001,$N2309))</f>
        <v/>
      </c>
      <c r="D2309" s="25" t="str">
        <f>IF($N2309="","",INDEX('_calc'!$C$2:$C$3001,$N2309))</f>
        <v/>
      </c>
      <c r="E2309" s="25" t="str">
        <f>IF($N2309="","",INDEX('_calc'!$D$2:$D$3001,$N2309))</f>
        <v/>
      </c>
      <c r="F2309" s="26" t="str">
        <f>IF($N2309="","",IF($E$8=0,"",E2309/$E$8))</f>
        <v/>
      </c>
      <c r="G2309" s="25" t="str">
        <f>IF($N2309="","",INDEX('_calc'!$E$2:$E$3001,$N2309))</f>
        <v/>
      </c>
      <c r="H2309" s="25" t="str">
        <f>IF($N2309="","",INDEX('_calc'!$F$2:$F$3001,$N2309))</f>
        <v/>
      </c>
      <c r="I2309" s="27" t="str">
        <f>IF($N2309="","",INDEX('_calc'!$H$2:$H$3001,$N2309))</f>
        <v/>
      </c>
      <c r="J2309" s="27" t="str">
        <f>IF($N2309="","",INDEX('_calc'!$I$2:$I$3001,$N2309))</f>
        <v/>
      </c>
      <c r="K2309" s="28" t="str">
        <f>IF($N2309="","",IF(OR(I2309="",J2309=""),"",J2309-I2309))</f>
        <v/>
      </c>
      <c r="L2309" s="29" t="str">
        <f>IF($N2309="","",INDEX('_calc'!$J$2:$J$3001,$N2309))</f>
        <v/>
      </c>
      <c r="M2309" s="2" t="str">
        <f>IF($N2309="","",IF(AND(G2309=0,H2309=0),"수량 없음",IF(G2309=0,"신규 (전년 수량 없음)",IF(H2309=0,"당해 수량 없음",""))))</f>
        <v/>
      </c>
      <c r="N2309" t="str">
        <f>IF($B2309="","",MATCH($B2309,'_calc'!$L$2:$L$3001,0))</f>
        <v/>
      </c>
    </row>
    <row r="2310">
      <c r="B2310" s="24" t="str">
        <f>IF(ROW()-ROW($B$8)&gt;nComp,"",ROW()-ROW($B$8))</f>
        <v/>
      </c>
      <c r="C2310" t="str">
        <f>IF($N2310="","",INDEX('_calc'!$A$2:$A$3001,$N2310))</f>
        <v/>
      </c>
      <c r="D2310" s="25" t="str">
        <f>IF($N2310="","",INDEX('_calc'!$C$2:$C$3001,$N2310))</f>
        <v/>
      </c>
      <c r="E2310" s="25" t="str">
        <f>IF($N2310="","",INDEX('_calc'!$D$2:$D$3001,$N2310))</f>
        <v/>
      </c>
      <c r="F2310" s="26" t="str">
        <f>IF($N2310="","",IF($E$8=0,"",E2310/$E$8))</f>
        <v/>
      </c>
      <c r="G2310" s="25" t="str">
        <f>IF($N2310="","",INDEX('_calc'!$E$2:$E$3001,$N2310))</f>
        <v/>
      </c>
      <c r="H2310" s="25" t="str">
        <f>IF($N2310="","",INDEX('_calc'!$F$2:$F$3001,$N2310))</f>
        <v/>
      </c>
      <c r="I2310" s="27" t="str">
        <f>IF($N2310="","",INDEX('_calc'!$H$2:$H$3001,$N2310))</f>
        <v/>
      </c>
      <c r="J2310" s="27" t="str">
        <f>IF($N2310="","",INDEX('_calc'!$I$2:$I$3001,$N2310))</f>
        <v/>
      </c>
      <c r="K2310" s="28" t="str">
        <f>IF($N2310="","",IF(OR(I2310="",J2310=""),"",J2310-I2310))</f>
        <v/>
      </c>
      <c r="L2310" s="29" t="str">
        <f>IF($N2310="","",INDEX('_calc'!$J$2:$J$3001,$N2310))</f>
        <v/>
      </c>
      <c r="M2310" s="2" t="str">
        <f>IF($N2310="","",IF(AND(G2310=0,H2310=0),"수량 없음",IF(G2310=0,"신규 (전년 수량 없음)",IF(H2310=0,"당해 수량 없음",""))))</f>
        <v/>
      </c>
      <c r="N2310" t="str">
        <f>IF($B2310="","",MATCH($B2310,'_calc'!$L$2:$L$3001,0))</f>
        <v/>
      </c>
    </row>
    <row r="2311">
      <c r="B2311" s="24" t="str">
        <f>IF(ROW()-ROW($B$8)&gt;nComp,"",ROW()-ROW($B$8))</f>
        <v/>
      </c>
      <c r="C2311" t="str">
        <f>IF($N2311="","",INDEX('_calc'!$A$2:$A$3001,$N2311))</f>
        <v/>
      </c>
      <c r="D2311" s="25" t="str">
        <f>IF($N2311="","",INDEX('_calc'!$C$2:$C$3001,$N2311))</f>
        <v/>
      </c>
      <c r="E2311" s="25" t="str">
        <f>IF($N2311="","",INDEX('_calc'!$D$2:$D$3001,$N2311))</f>
        <v/>
      </c>
      <c r="F2311" s="26" t="str">
        <f>IF($N2311="","",IF($E$8=0,"",E2311/$E$8))</f>
        <v/>
      </c>
      <c r="G2311" s="25" t="str">
        <f>IF($N2311="","",INDEX('_calc'!$E$2:$E$3001,$N2311))</f>
        <v/>
      </c>
      <c r="H2311" s="25" t="str">
        <f>IF($N2311="","",INDEX('_calc'!$F$2:$F$3001,$N2311))</f>
        <v/>
      </c>
      <c r="I2311" s="27" t="str">
        <f>IF($N2311="","",INDEX('_calc'!$H$2:$H$3001,$N2311))</f>
        <v/>
      </c>
      <c r="J2311" s="27" t="str">
        <f>IF($N2311="","",INDEX('_calc'!$I$2:$I$3001,$N2311))</f>
        <v/>
      </c>
      <c r="K2311" s="28" t="str">
        <f>IF($N2311="","",IF(OR(I2311="",J2311=""),"",J2311-I2311))</f>
        <v/>
      </c>
      <c r="L2311" s="29" t="str">
        <f>IF($N2311="","",INDEX('_calc'!$J$2:$J$3001,$N2311))</f>
        <v/>
      </c>
      <c r="M2311" s="2" t="str">
        <f>IF($N2311="","",IF(AND(G2311=0,H2311=0),"수량 없음",IF(G2311=0,"신규 (전년 수량 없음)",IF(H2311=0,"당해 수량 없음",""))))</f>
        <v/>
      </c>
      <c r="N2311" t="str">
        <f>IF($B2311="","",MATCH($B2311,'_calc'!$L$2:$L$3001,0))</f>
        <v/>
      </c>
    </row>
    <row r="2312">
      <c r="B2312" s="24" t="str">
        <f>IF(ROW()-ROW($B$8)&gt;nComp,"",ROW()-ROW($B$8))</f>
        <v/>
      </c>
      <c r="C2312" t="str">
        <f>IF($N2312="","",INDEX('_calc'!$A$2:$A$3001,$N2312))</f>
        <v/>
      </c>
      <c r="D2312" s="25" t="str">
        <f>IF($N2312="","",INDEX('_calc'!$C$2:$C$3001,$N2312))</f>
        <v/>
      </c>
      <c r="E2312" s="25" t="str">
        <f>IF($N2312="","",INDEX('_calc'!$D$2:$D$3001,$N2312))</f>
        <v/>
      </c>
      <c r="F2312" s="26" t="str">
        <f>IF($N2312="","",IF($E$8=0,"",E2312/$E$8))</f>
        <v/>
      </c>
      <c r="G2312" s="25" t="str">
        <f>IF($N2312="","",INDEX('_calc'!$E$2:$E$3001,$N2312))</f>
        <v/>
      </c>
      <c r="H2312" s="25" t="str">
        <f>IF($N2312="","",INDEX('_calc'!$F$2:$F$3001,$N2312))</f>
        <v/>
      </c>
      <c r="I2312" s="27" t="str">
        <f>IF($N2312="","",INDEX('_calc'!$H$2:$H$3001,$N2312))</f>
        <v/>
      </c>
      <c r="J2312" s="27" t="str">
        <f>IF($N2312="","",INDEX('_calc'!$I$2:$I$3001,$N2312))</f>
        <v/>
      </c>
      <c r="K2312" s="28" t="str">
        <f>IF($N2312="","",IF(OR(I2312="",J2312=""),"",J2312-I2312))</f>
        <v/>
      </c>
      <c r="L2312" s="29" t="str">
        <f>IF($N2312="","",INDEX('_calc'!$J$2:$J$3001,$N2312))</f>
        <v/>
      </c>
      <c r="M2312" s="2" t="str">
        <f>IF($N2312="","",IF(AND(G2312=0,H2312=0),"수량 없음",IF(G2312=0,"신규 (전년 수량 없음)",IF(H2312=0,"당해 수량 없음",""))))</f>
        <v/>
      </c>
      <c r="N2312" t="str">
        <f>IF($B2312="","",MATCH($B2312,'_calc'!$L$2:$L$3001,0))</f>
        <v/>
      </c>
    </row>
    <row r="2313">
      <c r="B2313" s="24" t="str">
        <f>IF(ROW()-ROW($B$8)&gt;nComp,"",ROW()-ROW($B$8))</f>
        <v/>
      </c>
      <c r="C2313" t="str">
        <f>IF($N2313="","",INDEX('_calc'!$A$2:$A$3001,$N2313))</f>
        <v/>
      </c>
      <c r="D2313" s="25" t="str">
        <f>IF($N2313="","",INDEX('_calc'!$C$2:$C$3001,$N2313))</f>
        <v/>
      </c>
      <c r="E2313" s="25" t="str">
        <f>IF($N2313="","",INDEX('_calc'!$D$2:$D$3001,$N2313))</f>
        <v/>
      </c>
      <c r="F2313" s="26" t="str">
        <f>IF($N2313="","",IF($E$8=0,"",E2313/$E$8))</f>
        <v/>
      </c>
      <c r="G2313" s="25" t="str">
        <f>IF($N2313="","",INDEX('_calc'!$E$2:$E$3001,$N2313))</f>
        <v/>
      </c>
      <c r="H2313" s="25" t="str">
        <f>IF($N2313="","",INDEX('_calc'!$F$2:$F$3001,$N2313))</f>
        <v/>
      </c>
      <c r="I2313" s="27" t="str">
        <f>IF($N2313="","",INDEX('_calc'!$H$2:$H$3001,$N2313))</f>
        <v/>
      </c>
      <c r="J2313" s="27" t="str">
        <f>IF($N2313="","",INDEX('_calc'!$I$2:$I$3001,$N2313))</f>
        <v/>
      </c>
      <c r="K2313" s="28" t="str">
        <f>IF($N2313="","",IF(OR(I2313="",J2313=""),"",J2313-I2313))</f>
        <v/>
      </c>
      <c r="L2313" s="29" t="str">
        <f>IF($N2313="","",INDEX('_calc'!$J$2:$J$3001,$N2313))</f>
        <v/>
      </c>
      <c r="M2313" s="2" t="str">
        <f>IF($N2313="","",IF(AND(G2313=0,H2313=0),"수량 없음",IF(G2313=0,"신규 (전년 수량 없음)",IF(H2313=0,"당해 수량 없음",""))))</f>
        <v/>
      </c>
      <c r="N2313" t="str">
        <f>IF($B2313="","",MATCH($B2313,'_calc'!$L$2:$L$3001,0))</f>
        <v/>
      </c>
    </row>
    <row r="2314">
      <c r="B2314" s="24" t="str">
        <f>IF(ROW()-ROW($B$8)&gt;nComp,"",ROW()-ROW($B$8))</f>
        <v/>
      </c>
      <c r="C2314" t="str">
        <f>IF($N2314="","",INDEX('_calc'!$A$2:$A$3001,$N2314))</f>
        <v/>
      </c>
      <c r="D2314" s="25" t="str">
        <f>IF($N2314="","",INDEX('_calc'!$C$2:$C$3001,$N2314))</f>
        <v/>
      </c>
      <c r="E2314" s="25" t="str">
        <f>IF($N2314="","",INDEX('_calc'!$D$2:$D$3001,$N2314))</f>
        <v/>
      </c>
      <c r="F2314" s="26" t="str">
        <f>IF($N2314="","",IF($E$8=0,"",E2314/$E$8))</f>
        <v/>
      </c>
      <c r="G2314" s="25" t="str">
        <f>IF($N2314="","",INDEX('_calc'!$E$2:$E$3001,$N2314))</f>
        <v/>
      </c>
      <c r="H2314" s="25" t="str">
        <f>IF($N2314="","",INDEX('_calc'!$F$2:$F$3001,$N2314))</f>
        <v/>
      </c>
      <c r="I2314" s="27" t="str">
        <f>IF($N2314="","",INDEX('_calc'!$H$2:$H$3001,$N2314))</f>
        <v/>
      </c>
      <c r="J2314" s="27" t="str">
        <f>IF($N2314="","",INDEX('_calc'!$I$2:$I$3001,$N2314))</f>
        <v/>
      </c>
      <c r="K2314" s="28" t="str">
        <f>IF($N2314="","",IF(OR(I2314="",J2314=""),"",J2314-I2314))</f>
        <v/>
      </c>
      <c r="L2314" s="29" t="str">
        <f>IF($N2314="","",INDEX('_calc'!$J$2:$J$3001,$N2314))</f>
        <v/>
      </c>
      <c r="M2314" s="2" t="str">
        <f>IF($N2314="","",IF(AND(G2314=0,H2314=0),"수량 없음",IF(G2314=0,"신규 (전년 수량 없음)",IF(H2314=0,"당해 수량 없음",""))))</f>
        <v/>
      </c>
      <c r="N2314" t="str">
        <f>IF($B2314="","",MATCH($B2314,'_calc'!$L$2:$L$3001,0))</f>
        <v/>
      </c>
    </row>
    <row r="2315">
      <c r="B2315" s="24" t="str">
        <f>IF(ROW()-ROW($B$8)&gt;nComp,"",ROW()-ROW($B$8))</f>
        <v/>
      </c>
      <c r="C2315" t="str">
        <f>IF($N2315="","",INDEX('_calc'!$A$2:$A$3001,$N2315))</f>
        <v/>
      </c>
      <c r="D2315" s="25" t="str">
        <f>IF($N2315="","",INDEX('_calc'!$C$2:$C$3001,$N2315))</f>
        <v/>
      </c>
      <c r="E2315" s="25" t="str">
        <f>IF($N2315="","",INDEX('_calc'!$D$2:$D$3001,$N2315))</f>
        <v/>
      </c>
      <c r="F2315" s="26" t="str">
        <f>IF($N2315="","",IF($E$8=0,"",E2315/$E$8))</f>
        <v/>
      </c>
      <c r="G2315" s="25" t="str">
        <f>IF($N2315="","",INDEX('_calc'!$E$2:$E$3001,$N2315))</f>
        <v/>
      </c>
      <c r="H2315" s="25" t="str">
        <f>IF($N2315="","",INDEX('_calc'!$F$2:$F$3001,$N2315))</f>
        <v/>
      </c>
      <c r="I2315" s="27" t="str">
        <f>IF($N2315="","",INDEX('_calc'!$H$2:$H$3001,$N2315))</f>
        <v/>
      </c>
      <c r="J2315" s="27" t="str">
        <f>IF($N2315="","",INDEX('_calc'!$I$2:$I$3001,$N2315))</f>
        <v/>
      </c>
      <c r="K2315" s="28" t="str">
        <f>IF($N2315="","",IF(OR(I2315="",J2315=""),"",J2315-I2315))</f>
        <v/>
      </c>
      <c r="L2315" s="29" t="str">
        <f>IF($N2315="","",INDEX('_calc'!$J$2:$J$3001,$N2315))</f>
        <v/>
      </c>
      <c r="M2315" s="2" t="str">
        <f>IF($N2315="","",IF(AND(G2315=0,H2315=0),"수량 없음",IF(G2315=0,"신규 (전년 수량 없음)",IF(H2315=0,"당해 수량 없음",""))))</f>
        <v/>
      </c>
      <c r="N2315" t="str">
        <f>IF($B2315="","",MATCH($B2315,'_calc'!$L$2:$L$3001,0))</f>
        <v/>
      </c>
    </row>
    <row r="2316">
      <c r="B2316" s="24" t="str">
        <f>IF(ROW()-ROW($B$8)&gt;nComp,"",ROW()-ROW($B$8))</f>
        <v/>
      </c>
      <c r="C2316" t="str">
        <f>IF($N2316="","",INDEX('_calc'!$A$2:$A$3001,$N2316))</f>
        <v/>
      </c>
      <c r="D2316" s="25" t="str">
        <f>IF($N2316="","",INDEX('_calc'!$C$2:$C$3001,$N2316))</f>
        <v/>
      </c>
      <c r="E2316" s="25" t="str">
        <f>IF($N2316="","",INDEX('_calc'!$D$2:$D$3001,$N2316))</f>
        <v/>
      </c>
      <c r="F2316" s="26" t="str">
        <f>IF($N2316="","",IF($E$8=0,"",E2316/$E$8))</f>
        <v/>
      </c>
      <c r="G2316" s="25" t="str">
        <f>IF($N2316="","",INDEX('_calc'!$E$2:$E$3001,$N2316))</f>
        <v/>
      </c>
      <c r="H2316" s="25" t="str">
        <f>IF($N2316="","",INDEX('_calc'!$F$2:$F$3001,$N2316))</f>
        <v/>
      </c>
      <c r="I2316" s="27" t="str">
        <f>IF($N2316="","",INDEX('_calc'!$H$2:$H$3001,$N2316))</f>
        <v/>
      </c>
      <c r="J2316" s="27" t="str">
        <f>IF($N2316="","",INDEX('_calc'!$I$2:$I$3001,$N2316))</f>
        <v/>
      </c>
      <c r="K2316" s="28" t="str">
        <f>IF($N2316="","",IF(OR(I2316="",J2316=""),"",J2316-I2316))</f>
        <v/>
      </c>
      <c r="L2316" s="29" t="str">
        <f>IF($N2316="","",INDEX('_calc'!$J$2:$J$3001,$N2316))</f>
        <v/>
      </c>
      <c r="M2316" s="2" t="str">
        <f>IF($N2316="","",IF(AND(G2316=0,H2316=0),"수량 없음",IF(G2316=0,"신규 (전년 수량 없음)",IF(H2316=0,"당해 수량 없음",""))))</f>
        <v/>
      </c>
      <c r="N2316" t="str">
        <f>IF($B2316="","",MATCH($B2316,'_calc'!$L$2:$L$3001,0))</f>
        <v/>
      </c>
    </row>
    <row r="2317">
      <c r="B2317" s="24" t="str">
        <f>IF(ROW()-ROW($B$8)&gt;nComp,"",ROW()-ROW($B$8))</f>
        <v/>
      </c>
      <c r="C2317" t="str">
        <f>IF($N2317="","",INDEX('_calc'!$A$2:$A$3001,$N2317))</f>
        <v/>
      </c>
      <c r="D2317" s="25" t="str">
        <f>IF($N2317="","",INDEX('_calc'!$C$2:$C$3001,$N2317))</f>
        <v/>
      </c>
      <c r="E2317" s="25" t="str">
        <f>IF($N2317="","",INDEX('_calc'!$D$2:$D$3001,$N2317))</f>
        <v/>
      </c>
      <c r="F2317" s="26" t="str">
        <f>IF($N2317="","",IF($E$8=0,"",E2317/$E$8))</f>
        <v/>
      </c>
      <c r="G2317" s="25" t="str">
        <f>IF($N2317="","",INDEX('_calc'!$E$2:$E$3001,$N2317))</f>
        <v/>
      </c>
      <c r="H2317" s="25" t="str">
        <f>IF($N2317="","",INDEX('_calc'!$F$2:$F$3001,$N2317))</f>
        <v/>
      </c>
      <c r="I2317" s="27" t="str">
        <f>IF($N2317="","",INDEX('_calc'!$H$2:$H$3001,$N2317))</f>
        <v/>
      </c>
      <c r="J2317" s="27" t="str">
        <f>IF($N2317="","",INDEX('_calc'!$I$2:$I$3001,$N2317))</f>
        <v/>
      </c>
      <c r="K2317" s="28" t="str">
        <f>IF($N2317="","",IF(OR(I2317="",J2317=""),"",J2317-I2317))</f>
        <v/>
      </c>
      <c r="L2317" s="29" t="str">
        <f>IF($N2317="","",INDEX('_calc'!$J$2:$J$3001,$N2317))</f>
        <v/>
      </c>
      <c r="M2317" s="2" t="str">
        <f>IF($N2317="","",IF(AND(G2317=0,H2317=0),"수량 없음",IF(G2317=0,"신규 (전년 수량 없음)",IF(H2317=0,"당해 수량 없음",""))))</f>
        <v/>
      </c>
      <c r="N2317" t="str">
        <f>IF($B2317="","",MATCH($B2317,'_calc'!$L$2:$L$3001,0))</f>
        <v/>
      </c>
    </row>
    <row r="2318">
      <c r="B2318" s="24" t="str">
        <f>IF(ROW()-ROW($B$8)&gt;nComp,"",ROW()-ROW($B$8))</f>
        <v/>
      </c>
      <c r="C2318" t="str">
        <f>IF($N2318="","",INDEX('_calc'!$A$2:$A$3001,$N2318))</f>
        <v/>
      </c>
      <c r="D2318" s="25" t="str">
        <f>IF($N2318="","",INDEX('_calc'!$C$2:$C$3001,$N2318))</f>
        <v/>
      </c>
      <c r="E2318" s="25" t="str">
        <f>IF($N2318="","",INDEX('_calc'!$D$2:$D$3001,$N2318))</f>
        <v/>
      </c>
      <c r="F2318" s="26" t="str">
        <f>IF($N2318="","",IF($E$8=0,"",E2318/$E$8))</f>
        <v/>
      </c>
      <c r="G2318" s="25" t="str">
        <f>IF($N2318="","",INDEX('_calc'!$E$2:$E$3001,$N2318))</f>
        <v/>
      </c>
      <c r="H2318" s="25" t="str">
        <f>IF($N2318="","",INDEX('_calc'!$F$2:$F$3001,$N2318))</f>
        <v/>
      </c>
      <c r="I2318" s="27" t="str">
        <f>IF($N2318="","",INDEX('_calc'!$H$2:$H$3001,$N2318))</f>
        <v/>
      </c>
      <c r="J2318" s="27" t="str">
        <f>IF($N2318="","",INDEX('_calc'!$I$2:$I$3001,$N2318))</f>
        <v/>
      </c>
      <c r="K2318" s="28" t="str">
        <f>IF($N2318="","",IF(OR(I2318="",J2318=""),"",J2318-I2318))</f>
        <v/>
      </c>
      <c r="L2318" s="29" t="str">
        <f>IF($N2318="","",INDEX('_calc'!$J$2:$J$3001,$N2318))</f>
        <v/>
      </c>
      <c r="M2318" s="2" t="str">
        <f>IF($N2318="","",IF(AND(G2318=0,H2318=0),"수량 없음",IF(G2318=0,"신규 (전년 수량 없음)",IF(H2318=0,"당해 수량 없음",""))))</f>
        <v/>
      </c>
      <c r="N2318" t="str">
        <f>IF($B2318="","",MATCH($B2318,'_calc'!$L$2:$L$3001,0))</f>
        <v/>
      </c>
    </row>
    <row r="2319">
      <c r="B2319" s="24" t="str">
        <f>IF(ROW()-ROW($B$8)&gt;nComp,"",ROW()-ROW($B$8))</f>
        <v/>
      </c>
      <c r="C2319" t="str">
        <f>IF($N2319="","",INDEX('_calc'!$A$2:$A$3001,$N2319))</f>
        <v/>
      </c>
      <c r="D2319" s="25" t="str">
        <f>IF($N2319="","",INDEX('_calc'!$C$2:$C$3001,$N2319))</f>
        <v/>
      </c>
      <c r="E2319" s="25" t="str">
        <f>IF($N2319="","",INDEX('_calc'!$D$2:$D$3001,$N2319))</f>
        <v/>
      </c>
      <c r="F2319" s="26" t="str">
        <f>IF($N2319="","",IF($E$8=0,"",E2319/$E$8))</f>
        <v/>
      </c>
      <c r="G2319" s="25" t="str">
        <f>IF($N2319="","",INDEX('_calc'!$E$2:$E$3001,$N2319))</f>
        <v/>
      </c>
      <c r="H2319" s="25" t="str">
        <f>IF($N2319="","",INDEX('_calc'!$F$2:$F$3001,$N2319))</f>
        <v/>
      </c>
      <c r="I2319" s="27" t="str">
        <f>IF($N2319="","",INDEX('_calc'!$H$2:$H$3001,$N2319))</f>
        <v/>
      </c>
      <c r="J2319" s="27" t="str">
        <f>IF($N2319="","",INDEX('_calc'!$I$2:$I$3001,$N2319))</f>
        <v/>
      </c>
      <c r="K2319" s="28" t="str">
        <f>IF($N2319="","",IF(OR(I2319="",J2319=""),"",J2319-I2319))</f>
        <v/>
      </c>
      <c r="L2319" s="29" t="str">
        <f>IF($N2319="","",INDEX('_calc'!$J$2:$J$3001,$N2319))</f>
        <v/>
      </c>
      <c r="M2319" s="2" t="str">
        <f>IF($N2319="","",IF(AND(G2319=0,H2319=0),"수량 없음",IF(G2319=0,"신규 (전년 수량 없음)",IF(H2319=0,"당해 수량 없음",""))))</f>
        <v/>
      </c>
      <c r="N2319" t="str">
        <f>IF($B2319="","",MATCH($B2319,'_calc'!$L$2:$L$3001,0))</f>
        <v/>
      </c>
    </row>
    <row r="2320">
      <c r="B2320" s="24" t="str">
        <f>IF(ROW()-ROW($B$8)&gt;nComp,"",ROW()-ROW($B$8))</f>
        <v/>
      </c>
      <c r="C2320" t="str">
        <f>IF($N2320="","",INDEX('_calc'!$A$2:$A$3001,$N2320))</f>
        <v/>
      </c>
      <c r="D2320" s="25" t="str">
        <f>IF($N2320="","",INDEX('_calc'!$C$2:$C$3001,$N2320))</f>
        <v/>
      </c>
      <c r="E2320" s="25" t="str">
        <f>IF($N2320="","",INDEX('_calc'!$D$2:$D$3001,$N2320))</f>
        <v/>
      </c>
      <c r="F2320" s="26" t="str">
        <f>IF($N2320="","",IF($E$8=0,"",E2320/$E$8))</f>
        <v/>
      </c>
      <c r="G2320" s="25" t="str">
        <f>IF($N2320="","",INDEX('_calc'!$E$2:$E$3001,$N2320))</f>
        <v/>
      </c>
      <c r="H2320" s="25" t="str">
        <f>IF($N2320="","",INDEX('_calc'!$F$2:$F$3001,$N2320))</f>
        <v/>
      </c>
      <c r="I2320" s="27" t="str">
        <f>IF($N2320="","",INDEX('_calc'!$H$2:$H$3001,$N2320))</f>
        <v/>
      </c>
      <c r="J2320" s="27" t="str">
        <f>IF($N2320="","",INDEX('_calc'!$I$2:$I$3001,$N2320))</f>
        <v/>
      </c>
      <c r="K2320" s="28" t="str">
        <f>IF($N2320="","",IF(OR(I2320="",J2320=""),"",J2320-I2320))</f>
        <v/>
      </c>
      <c r="L2320" s="29" t="str">
        <f>IF($N2320="","",INDEX('_calc'!$J$2:$J$3001,$N2320))</f>
        <v/>
      </c>
      <c r="M2320" s="2" t="str">
        <f>IF($N2320="","",IF(AND(G2320=0,H2320=0),"수량 없음",IF(G2320=0,"신규 (전년 수량 없음)",IF(H2320=0,"당해 수량 없음",""))))</f>
        <v/>
      </c>
      <c r="N2320" t="str">
        <f>IF($B2320="","",MATCH($B2320,'_calc'!$L$2:$L$3001,0))</f>
        <v/>
      </c>
    </row>
    <row r="2321">
      <c r="B2321" s="24" t="str">
        <f>IF(ROW()-ROW($B$8)&gt;nComp,"",ROW()-ROW($B$8))</f>
        <v/>
      </c>
      <c r="C2321" t="str">
        <f>IF($N2321="","",INDEX('_calc'!$A$2:$A$3001,$N2321))</f>
        <v/>
      </c>
      <c r="D2321" s="25" t="str">
        <f>IF($N2321="","",INDEX('_calc'!$C$2:$C$3001,$N2321))</f>
        <v/>
      </c>
      <c r="E2321" s="25" t="str">
        <f>IF($N2321="","",INDEX('_calc'!$D$2:$D$3001,$N2321))</f>
        <v/>
      </c>
      <c r="F2321" s="26" t="str">
        <f>IF($N2321="","",IF($E$8=0,"",E2321/$E$8))</f>
        <v/>
      </c>
      <c r="G2321" s="25" t="str">
        <f>IF($N2321="","",INDEX('_calc'!$E$2:$E$3001,$N2321))</f>
        <v/>
      </c>
      <c r="H2321" s="25" t="str">
        <f>IF($N2321="","",INDEX('_calc'!$F$2:$F$3001,$N2321))</f>
        <v/>
      </c>
      <c r="I2321" s="27" t="str">
        <f>IF($N2321="","",INDEX('_calc'!$H$2:$H$3001,$N2321))</f>
        <v/>
      </c>
      <c r="J2321" s="27" t="str">
        <f>IF($N2321="","",INDEX('_calc'!$I$2:$I$3001,$N2321))</f>
        <v/>
      </c>
      <c r="K2321" s="28" t="str">
        <f>IF($N2321="","",IF(OR(I2321="",J2321=""),"",J2321-I2321))</f>
        <v/>
      </c>
      <c r="L2321" s="29" t="str">
        <f>IF($N2321="","",INDEX('_calc'!$J$2:$J$3001,$N2321))</f>
        <v/>
      </c>
      <c r="M2321" s="2" t="str">
        <f>IF($N2321="","",IF(AND(G2321=0,H2321=0),"수량 없음",IF(G2321=0,"신규 (전년 수량 없음)",IF(H2321=0,"당해 수량 없음",""))))</f>
        <v/>
      </c>
      <c r="N2321" t="str">
        <f>IF($B2321="","",MATCH($B2321,'_calc'!$L$2:$L$3001,0))</f>
        <v/>
      </c>
    </row>
    <row r="2322">
      <c r="B2322" s="24" t="str">
        <f>IF(ROW()-ROW($B$8)&gt;nComp,"",ROW()-ROW($B$8))</f>
        <v/>
      </c>
      <c r="C2322" t="str">
        <f>IF($N2322="","",INDEX('_calc'!$A$2:$A$3001,$N2322))</f>
        <v/>
      </c>
      <c r="D2322" s="25" t="str">
        <f>IF($N2322="","",INDEX('_calc'!$C$2:$C$3001,$N2322))</f>
        <v/>
      </c>
      <c r="E2322" s="25" t="str">
        <f>IF($N2322="","",INDEX('_calc'!$D$2:$D$3001,$N2322))</f>
        <v/>
      </c>
      <c r="F2322" s="26" t="str">
        <f>IF($N2322="","",IF($E$8=0,"",E2322/$E$8))</f>
        <v/>
      </c>
      <c r="G2322" s="25" t="str">
        <f>IF($N2322="","",INDEX('_calc'!$E$2:$E$3001,$N2322))</f>
        <v/>
      </c>
      <c r="H2322" s="25" t="str">
        <f>IF($N2322="","",INDEX('_calc'!$F$2:$F$3001,$N2322))</f>
        <v/>
      </c>
      <c r="I2322" s="27" t="str">
        <f>IF($N2322="","",INDEX('_calc'!$H$2:$H$3001,$N2322))</f>
        <v/>
      </c>
      <c r="J2322" s="27" t="str">
        <f>IF($N2322="","",INDEX('_calc'!$I$2:$I$3001,$N2322))</f>
        <v/>
      </c>
      <c r="K2322" s="28" t="str">
        <f>IF($N2322="","",IF(OR(I2322="",J2322=""),"",J2322-I2322))</f>
        <v/>
      </c>
      <c r="L2322" s="29" t="str">
        <f>IF($N2322="","",INDEX('_calc'!$J$2:$J$3001,$N2322))</f>
        <v/>
      </c>
      <c r="M2322" s="2" t="str">
        <f>IF($N2322="","",IF(AND(G2322=0,H2322=0),"수량 없음",IF(G2322=0,"신규 (전년 수량 없음)",IF(H2322=0,"당해 수량 없음",""))))</f>
        <v/>
      </c>
      <c r="N2322" t="str">
        <f>IF($B2322="","",MATCH($B2322,'_calc'!$L$2:$L$3001,0))</f>
        <v/>
      </c>
    </row>
    <row r="2323">
      <c r="B2323" s="24" t="str">
        <f>IF(ROW()-ROW($B$8)&gt;nComp,"",ROW()-ROW($B$8))</f>
        <v/>
      </c>
      <c r="C2323" t="str">
        <f>IF($N2323="","",INDEX('_calc'!$A$2:$A$3001,$N2323))</f>
        <v/>
      </c>
      <c r="D2323" s="25" t="str">
        <f>IF($N2323="","",INDEX('_calc'!$C$2:$C$3001,$N2323))</f>
        <v/>
      </c>
      <c r="E2323" s="25" t="str">
        <f>IF($N2323="","",INDEX('_calc'!$D$2:$D$3001,$N2323))</f>
        <v/>
      </c>
      <c r="F2323" s="26" t="str">
        <f>IF($N2323="","",IF($E$8=0,"",E2323/$E$8))</f>
        <v/>
      </c>
      <c r="G2323" s="25" t="str">
        <f>IF($N2323="","",INDEX('_calc'!$E$2:$E$3001,$N2323))</f>
        <v/>
      </c>
      <c r="H2323" s="25" t="str">
        <f>IF($N2323="","",INDEX('_calc'!$F$2:$F$3001,$N2323))</f>
        <v/>
      </c>
      <c r="I2323" s="27" t="str">
        <f>IF($N2323="","",INDEX('_calc'!$H$2:$H$3001,$N2323))</f>
        <v/>
      </c>
      <c r="J2323" s="27" t="str">
        <f>IF($N2323="","",INDEX('_calc'!$I$2:$I$3001,$N2323))</f>
        <v/>
      </c>
      <c r="K2323" s="28" t="str">
        <f>IF($N2323="","",IF(OR(I2323="",J2323=""),"",J2323-I2323))</f>
        <v/>
      </c>
      <c r="L2323" s="29" t="str">
        <f>IF($N2323="","",INDEX('_calc'!$J$2:$J$3001,$N2323))</f>
        <v/>
      </c>
      <c r="M2323" s="2" t="str">
        <f>IF($N2323="","",IF(AND(G2323=0,H2323=0),"수량 없음",IF(G2323=0,"신규 (전년 수량 없음)",IF(H2323=0,"당해 수량 없음",""))))</f>
        <v/>
      </c>
      <c r="N2323" t="str">
        <f>IF($B2323="","",MATCH($B2323,'_calc'!$L$2:$L$3001,0))</f>
        <v/>
      </c>
    </row>
    <row r="2324">
      <c r="B2324" s="24" t="str">
        <f>IF(ROW()-ROW($B$8)&gt;nComp,"",ROW()-ROW($B$8))</f>
        <v/>
      </c>
      <c r="C2324" t="str">
        <f>IF($N2324="","",INDEX('_calc'!$A$2:$A$3001,$N2324))</f>
        <v/>
      </c>
      <c r="D2324" s="25" t="str">
        <f>IF($N2324="","",INDEX('_calc'!$C$2:$C$3001,$N2324))</f>
        <v/>
      </c>
      <c r="E2324" s="25" t="str">
        <f>IF($N2324="","",INDEX('_calc'!$D$2:$D$3001,$N2324))</f>
        <v/>
      </c>
      <c r="F2324" s="26" t="str">
        <f>IF($N2324="","",IF($E$8=0,"",E2324/$E$8))</f>
        <v/>
      </c>
      <c r="G2324" s="25" t="str">
        <f>IF($N2324="","",INDEX('_calc'!$E$2:$E$3001,$N2324))</f>
        <v/>
      </c>
      <c r="H2324" s="25" t="str">
        <f>IF($N2324="","",INDEX('_calc'!$F$2:$F$3001,$N2324))</f>
        <v/>
      </c>
      <c r="I2324" s="27" t="str">
        <f>IF($N2324="","",INDEX('_calc'!$H$2:$H$3001,$N2324))</f>
        <v/>
      </c>
      <c r="J2324" s="27" t="str">
        <f>IF($N2324="","",INDEX('_calc'!$I$2:$I$3001,$N2324))</f>
        <v/>
      </c>
      <c r="K2324" s="28" t="str">
        <f>IF($N2324="","",IF(OR(I2324="",J2324=""),"",J2324-I2324))</f>
        <v/>
      </c>
      <c r="L2324" s="29" t="str">
        <f>IF($N2324="","",INDEX('_calc'!$J$2:$J$3001,$N2324))</f>
        <v/>
      </c>
      <c r="M2324" s="2" t="str">
        <f>IF($N2324="","",IF(AND(G2324=0,H2324=0),"수량 없음",IF(G2324=0,"신규 (전년 수량 없음)",IF(H2324=0,"당해 수량 없음",""))))</f>
        <v/>
      </c>
      <c r="N2324" t="str">
        <f>IF($B2324="","",MATCH($B2324,'_calc'!$L$2:$L$3001,0))</f>
        <v/>
      </c>
    </row>
    <row r="2325">
      <c r="B2325" s="24" t="str">
        <f>IF(ROW()-ROW($B$8)&gt;nComp,"",ROW()-ROW($B$8))</f>
        <v/>
      </c>
      <c r="C2325" t="str">
        <f>IF($N2325="","",INDEX('_calc'!$A$2:$A$3001,$N2325))</f>
        <v/>
      </c>
      <c r="D2325" s="25" t="str">
        <f>IF($N2325="","",INDEX('_calc'!$C$2:$C$3001,$N2325))</f>
        <v/>
      </c>
      <c r="E2325" s="25" t="str">
        <f>IF($N2325="","",INDEX('_calc'!$D$2:$D$3001,$N2325))</f>
        <v/>
      </c>
      <c r="F2325" s="26" t="str">
        <f>IF($N2325="","",IF($E$8=0,"",E2325/$E$8))</f>
        <v/>
      </c>
      <c r="G2325" s="25" t="str">
        <f>IF($N2325="","",INDEX('_calc'!$E$2:$E$3001,$N2325))</f>
        <v/>
      </c>
      <c r="H2325" s="25" t="str">
        <f>IF($N2325="","",INDEX('_calc'!$F$2:$F$3001,$N2325))</f>
        <v/>
      </c>
      <c r="I2325" s="27" t="str">
        <f>IF($N2325="","",INDEX('_calc'!$H$2:$H$3001,$N2325))</f>
        <v/>
      </c>
      <c r="J2325" s="27" t="str">
        <f>IF($N2325="","",INDEX('_calc'!$I$2:$I$3001,$N2325))</f>
        <v/>
      </c>
      <c r="K2325" s="28" t="str">
        <f>IF($N2325="","",IF(OR(I2325="",J2325=""),"",J2325-I2325))</f>
        <v/>
      </c>
      <c r="L2325" s="29" t="str">
        <f>IF($N2325="","",INDEX('_calc'!$J$2:$J$3001,$N2325))</f>
        <v/>
      </c>
      <c r="M2325" s="2" t="str">
        <f>IF($N2325="","",IF(AND(G2325=0,H2325=0),"수량 없음",IF(G2325=0,"신규 (전년 수량 없음)",IF(H2325=0,"당해 수량 없음",""))))</f>
        <v/>
      </c>
      <c r="N2325" t="str">
        <f>IF($B2325="","",MATCH($B2325,'_calc'!$L$2:$L$3001,0))</f>
        <v/>
      </c>
    </row>
    <row r="2326">
      <c r="B2326" s="24" t="str">
        <f>IF(ROW()-ROW($B$8)&gt;nComp,"",ROW()-ROW($B$8))</f>
        <v/>
      </c>
      <c r="C2326" t="str">
        <f>IF($N2326="","",INDEX('_calc'!$A$2:$A$3001,$N2326))</f>
        <v/>
      </c>
      <c r="D2326" s="25" t="str">
        <f>IF($N2326="","",INDEX('_calc'!$C$2:$C$3001,$N2326))</f>
        <v/>
      </c>
      <c r="E2326" s="25" t="str">
        <f>IF($N2326="","",INDEX('_calc'!$D$2:$D$3001,$N2326))</f>
        <v/>
      </c>
      <c r="F2326" s="26" t="str">
        <f>IF($N2326="","",IF($E$8=0,"",E2326/$E$8))</f>
        <v/>
      </c>
      <c r="G2326" s="25" t="str">
        <f>IF($N2326="","",INDEX('_calc'!$E$2:$E$3001,$N2326))</f>
        <v/>
      </c>
      <c r="H2326" s="25" t="str">
        <f>IF($N2326="","",INDEX('_calc'!$F$2:$F$3001,$N2326))</f>
        <v/>
      </c>
      <c r="I2326" s="27" t="str">
        <f>IF($N2326="","",INDEX('_calc'!$H$2:$H$3001,$N2326))</f>
        <v/>
      </c>
      <c r="J2326" s="27" t="str">
        <f>IF($N2326="","",INDEX('_calc'!$I$2:$I$3001,$N2326))</f>
        <v/>
      </c>
      <c r="K2326" s="28" t="str">
        <f>IF($N2326="","",IF(OR(I2326="",J2326=""),"",J2326-I2326))</f>
        <v/>
      </c>
      <c r="L2326" s="29" t="str">
        <f>IF($N2326="","",INDEX('_calc'!$J$2:$J$3001,$N2326))</f>
        <v/>
      </c>
      <c r="M2326" s="2" t="str">
        <f>IF($N2326="","",IF(AND(G2326=0,H2326=0),"수량 없음",IF(G2326=0,"신규 (전년 수량 없음)",IF(H2326=0,"당해 수량 없음",""))))</f>
        <v/>
      </c>
      <c r="N2326" t="str">
        <f>IF($B2326="","",MATCH($B2326,'_calc'!$L$2:$L$3001,0))</f>
        <v/>
      </c>
    </row>
    <row r="2327">
      <c r="B2327" s="24" t="str">
        <f>IF(ROW()-ROW($B$8)&gt;nComp,"",ROW()-ROW($B$8))</f>
        <v/>
      </c>
      <c r="C2327" t="str">
        <f>IF($N2327="","",INDEX('_calc'!$A$2:$A$3001,$N2327))</f>
        <v/>
      </c>
      <c r="D2327" s="25" t="str">
        <f>IF($N2327="","",INDEX('_calc'!$C$2:$C$3001,$N2327))</f>
        <v/>
      </c>
      <c r="E2327" s="25" t="str">
        <f>IF($N2327="","",INDEX('_calc'!$D$2:$D$3001,$N2327))</f>
        <v/>
      </c>
      <c r="F2327" s="26" t="str">
        <f>IF($N2327="","",IF($E$8=0,"",E2327/$E$8))</f>
        <v/>
      </c>
      <c r="G2327" s="25" t="str">
        <f>IF($N2327="","",INDEX('_calc'!$E$2:$E$3001,$N2327))</f>
        <v/>
      </c>
      <c r="H2327" s="25" t="str">
        <f>IF($N2327="","",INDEX('_calc'!$F$2:$F$3001,$N2327))</f>
        <v/>
      </c>
      <c r="I2327" s="27" t="str">
        <f>IF($N2327="","",INDEX('_calc'!$H$2:$H$3001,$N2327))</f>
        <v/>
      </c>
      <c r="J2327" s="27" t="str">
        <f>IF($N2327="","",INDEX('_calc'!$I$2:$I$3001,$N2327))</f>
        <v/>
      </c>
      <c r="K2327" s="28" t="str">
        <f>IF($N2327="","",IF(OR(I2327="",J2327=""),"",J2327-I2327))</f>
        <v/>
      </c>
      <c r="L2327" s="29" t="str">
        <f>IF($N2327="","",INDEX('_calc'!$J$2:$J$3001,$N2327))</f>
        <v/>
      </c>
      <c r="M2327" s="2" t="str">
        <f>IF($N2327="","",IF(AND(G2327=0,H2327=0),"수량 없음",IF(G2327=0,"신규 (전년 수량 없음)",IF(H2327=0,"당해 수량 없음",""))))</f>
        <v/>
      </c>
      <c r="N2327" t="str">
        <f>IF($B2327="","",MATCH($B2327,'_calc'!$L$2:$L$3001,0))</f>
        <v/>
      </c>
    </row>
    <row r="2328">
      <c r="B2328" s="24" t="str">
        <f>IF(ROW()-ROW($B$8)&gt;nComp,"",ROW()-ROW($B$8))</f>
        <v/>
      </c>
      <c r="C2328" t="str">
        <f>IF($N2328="","",INDEX('_calc'!$A$2:$A$3001,$N2328))</f>
        <v/>
      </c>
      <c r="D2328" s="25" t="str">
        <f>IF($N2328="","",INDEX('_calc'!$C$2:$C$3001,$N2328))</f>
        <v/>
      </c>
      <c r="E2328" s="25" t="str">
        <f>IF($N2328="","",INDEX('_calc'!$D$2:$D$3001,$N2328))</f>
        <v/>
      </c>
      <c r="F2328" s="26" t="str">
        <f>IF($N2328="","",IF($E$8=0,"",E2328/$E$8))</f>
        <v/>
      </c>
      <c r="G2328" s="25" t="str">
        <f>IF($N2328="","",INDEX('_calc'!$E$2:$E$3001,$N2328))</f>
        <v/>
      </c>
      <c r="H2328" s="25" t="str">
        <f>IF($N2328="","",INDEX('_calc'!$F$2:$F$3001,$N2328))</f>
        <v/>
      </c>
      <c r="I2328" s="27" t="str">
        <f>IF($N2328="","",INDEX('_calc'!$H$2:$H$3001,$N2328))</f>
        <v/>
      </c>
      <c r="J2328" s="27" t="str">
        <f>IF($N2328="","",INDEX('_calc'!$I$2:$I$3001,$N2328))</f>
        <v/>
      </c>
      <c r="K2328" s="28" t="str">
        <f>IF($N2328="","",IF(OR(I2328="",J2328=""),"",J2328-I2328))</f>
        <v/>
      </c>
      <c r="L2328" s="29" t="str">
        <f>IF($N2328="","",INDEX('_calc'!$J$2:$J$3001,$N2328))</f>
        <v/>
      </c>
      <c r="M2328" s="2" t="str">
        <f>IF($N2328="","",IF(AND(G2328=0,H2328=0),"수량 없음",IF(G2328=0,"신규 (전년 수량 없음)",IF(H2328=0,"당해 수량 없음",""))))</f>
        <v/>
      </c>
      <c r="N2328" t="str">
        <f>IF($B2328="","",MATCH($B2328,'_calc'!$L$2:$L$3001,0))</f>
        <v/>
      </c>
    </row>
    <row r="2329">
      <c r="B2329" s="24" t="str">
        <f>IF(ROW()-ROW($B$8)&gt;nComp,"",ROW()-ROW($B$8))</f>
        <v/>
      </c>
      <c r="C2329" t="str">
        <f>IF($N2329="","",INDEX('_calc'!$A$2:$A$3001,$N2329))</f>
        <v/>
      </c>
      <c r="D2329" s="25" t="str">
        <f>IF($N2329="","",INDEX('_calc'!$C$2:$C$3001,$N2329))</f>
        <v/>
      </c>
      <c r="E2329" s="25" t="str">
        <f>IF($N2329="","",INDEX('_calc'!$D$2:$D$3001,$N2329))</f>
        <v/>
      </c>
      <c r="F2329" s="26" t="str">
        <f>IF($N2329="","",IF($E$8=0,"",E2329/$E$8))</f>
        <v/>
      </c>
      <c r="G2329" s="25" t="str">
        <f>IF($N2329="","",INDEX('_calc'!$E$2:$E$3001,$N2329))</f>
        <v/>
      </c>
      <c r="H2329" s="25" t="str">
        <f>IF($N2329="","",INDEX('_calc'!$F$2:$F$3001,$N2329))</f>
        <v/>
      </c>
      <c r="I2329" s="27" t="str">
        <f>IF($N2329="","",INDEX('_calc'!$H$2:$H$3001,$N2329))</f>
        <v/>
      </c>
      <c r="J2329" s="27" t="str">
        <f>IF($N2329="","",INDEX('_calc'!$I$2:$I$3001,$N2329))</f>
        <v/>
      </c>
      <c r="K2329" s="28" t="str">
        <f>IF($N2329="","",IF(OR(I2329="",J2329=""),"",J2329-I2329))</f>
        <v/>
      </c>
      <c r="L2329" s="29" t="str">
        <f>IF($N2329="","",INDEX('_calc'!$J$2:$J$3001,$N2329))</f>
        <v/>
      </c>
      <c r="M2329" s="2" t="str">
        <f>IF($N2329="","",IF(AND(G2329=0,H2329=0),"수량 없음",IF(G2329=0,"신규 (전년 수량 없음)",IF(H2329=0,"당해 수량 없음",""))))</f>
        <v/>
      </c>
      <c r="N2329" t="str">
        <f>IF($B2329="","",MATCH($B2329,'_calc'!$L$2:$L$3001,0))</f>
        <v/>
      </c>
    </row>
    <row r="2330">
      <c r="B2330" s="24" t="str">
        <f>IF(ROW()-ROW($B$8)&gt;nComp,"",ROW()-ROW($B$8))</f>
        <v/>
      </c>
      <c r="C2330" t="str">
        <f>IF($N2330="","",INDEX('_calc'!$A$2:$A$3001,$N2330))</f>
        <v/>
      </c>
      <c r="D2330" s="25" t="str">
        <f>IF($N2330="","",INDEX('_calc'!$C$2:$C$3001,$N2330))</f>
        <v/>
      </c>
      <c r="E2330" s="25" t="str">
        <f>IF($N2330="","",INDEX('_calc'!$D$2:$D$3001,$N2330))</f>
        <v/>
      </c>
      <c r="F2330" s="26" t="str">
        <f>IF($N2330="","",IF($E$8=0,"",E2330/$E$8))</f>
        <v/>
      </c>
      <c r="G2330" s="25" t="str">
        <f>IF($N2330="","",INDEX('_calc'!$E$2:$E$3001,$N2330))</f>
        <v/>
      </c>
      <c r="H2330" s="25" t="str">
        <f>IF($N2330="","",INDEX('_calc'!$F$2:$F$3001,$N2330))</f>
        <v/>
      </c>
      <c r="I2330" s="27" t="str">
        <f>IF($N2330="","",INDEX('_calc'!$H$2:$H$3001,$N2330))</f>
        <v/>
      </c>
      <c r="J2330" s="27" t="str">
        <f>IF($N2330="","",INDEX('_calc'!$I$2:$I$3001,$N2330))</f>
        <v/>
      </c>
      <c r="K2330" s="28" t="str">
        <f>IF($N2330="","",IF(OR(I2330="",J2330=""),"",J2330-I2330))</f>
        <v/>
      </c>
      <c r="L2330" s="29" t="str">
        <f>IF($N2330="","",INDEX('_calc'!$J$2:$J$3001,$N2330))</f>
        <v/>
      </c>
      <c r="M2330" s="2" t="str">
        <f>IF($N2330="","",IF(AND(G2330=0,H2330=0),"수량 없음",IF(G2330=0,"신규 (전년 수량 없음)",IF(H2330=0,"당해 수량 없음",""))))</f>
        <v/>
      </c>
      <c r="N2330" t="str">
        <f>IF($B2330="","",MATCH($B2330,'_calc'!$L$2:$L$3001,0))</f>
        <v/>
      </c>
    </row>
    <row r="2331">
      <c r="B2331" s="24" t="str">
        <f>IF(ROW()-ROW($B$8)&gt;nComp,"",ROW()-ROW($B$8))</f>
        <v/>
      </c>
      <c r="C2331" t="str">
        <f>IF($N2331="","",INDEX('_calc'!$A$2:$A$3001,$N2331))</f>
        <v/>
      </c>
      <c r="D2331" s="25" t="str">
        <f>IF($N2331="","",INDEX('_calc'!$C$2:$C$3001,$N2331))</f>
        <v/>
      </c>
      <c r="E2331" s="25" t="str">
        <f>IF($N2331="","",INDEX('_calc'!$D$2:$D$3001,$N2331))</f>
        <v/>
      </c>
      <c r="F2331" s="26" t="str">
        <f>IF($N2331="","",IF($E$8=0,"",E2331/$E$8))</f>
        <v/>
      </c>
      <c r="G2331" s="25" t="str">
        <f>IF($N2331="","",INDEX('_calc'!$E$2:$E$3001,$N2331))</f>
        <v/>
      </c>
      <c r="H2331" s="25" t="str">
        <f>IF($N2331="","",INDEX('_calc'!$F$2:$F$3001,$N2331))</f>
        <v/>
      </c>
      <c r="I2331" s="27" t="str">
        <f>IF($N2331="","",INDEX('_calc'!$H$2:$H$3001,$N2331))</f>
        <v/>
      </c>
      <c r="J2331" s="27" t="str">
        <f>IF($N2331="","",INDEX('_calc'!$I$2:$I$3001,$N2331))</f>
        <v/>
      </c>
      <c r="K2331" s="28" t="str">
        <f>IF($N2331="","",IF(OR(I2331="",J2331=""),"",J2331-I2331))</f>
        <v/>
      </c>
      <c r="L2331" s="29" t="str">
        <f>IF($N2331="","",INDEX('_calc'!$J$2:$J$3001,$N2331))</f>
        <v/>
      </c>
      <c r="M2331" s="2" t="str">
        <f>IF($N2331="","",IF(AND(G2331=0,H2331=0),"수량 없음",IF(G2331=0,"신규 (전년 수량 없음)",IF(H2331=0,"당해 수량 없음",""))))</f>
        <v/>
      </c>
      <c r="N2331" t="str">
        <f>IF($B2331="","",MATCH($B2331,'_calc'!$L$2:$L$3001,0))</f>
        <v/>
      </c>
    </row>
    <row r="2332">
      <c r="B2332" s="24" t="str">
        <f>IF(ROW()-ROW($B$8)&gt;nComp,"",ROW()-ROW($B$8))</f>
        <v/>
      </c>
      <c r="C2332" t="str">
        <f>IF($N2332="","",INDEX('_calc'!$A$2:$A$3001,$N2332))</f>
        <v/>
      </c>
      <c r="D2332" s="25" t="str">
        <f>IF($N2332="","",INDEX('_calc'!$C$2:$C$3001,$N2332))</f>
        <v/>
      </c>
      <c r="E2332" s="25" t="str">
        <f>IF($N2332="","",INDEX('_calc'!$D$2:$D$3001,$N2332))</f>
        <v/>
      </c>
      <c r="F2332" s="26" t="str">
        <f>IF($N2332="","",IF($E$8=0,"",E2332/$E$8))</f>
        <v/>
      </c>
      <c r="G2332" s="25" t="str">
        <f>IF($N2332="","",INDEX('_calc'!$E$2:$E$3001,$N2332))</f>
        <v/>
      </c>
      <c r="H2332" s="25" t="str">
        <f>IF($N2332="","",INDEX('_calc'!$F$2:$F$3001,$N2332))</f>
        <v/>
      </c>
      <c r="I2332" s="27" t="str">
        <f>IF($N2332="","",INDEX('_calc'!$H$2:$H$3001,$N2332))</f>
        <v/>
      </c>
      <c r="J2332" s="27" t="str">
        <f>IF($N2332="","",INDEX('_calc'!$I$2:$I$3001,$N2332))</f>
        <v/>
      </c>
      <c r="K2332" s="28" t="str">
        <f>IF($N2332="","",IF(OR(I2332="",J2332=""),"",J2332-I2332))</f>
        <v/>
      </c>
      <c r="L2332" s="29" t="str">
        <f>IF($N2332="","",INDEX('_calc'!$J$2:$J$3001,$N2332))</f>
        <v/>
      </c>
      <c r="M2332" s="2" t="str">
        <f>IF($N2332="","",IF(AND(G2332=0,H2332=0),"수량 없음",IF(G2332=0,"신규 (전년 수량 없음)",IF(H2332=0,"당해 수량 없음",""))))</f>
        <v/>
      </c>
      <c r="N2332" t="str">
        <f>IF($B2332="","",MATCH($B2332,'_calc'!$L$2:$L$3001,0))</f>
        <v/>
      </c>
    </row>
    <row r="2333">
      <c r="B2333" s="24" t="str">
        <f>IF(ROW()-ROW($B$8)&gt;nComp,"",ROW()-ROW($B$8))</f>
        <v/>
      </c>
      <c r="C2333" t="str">
        <f>IF($N2333="","",INDEX('_calc'!$A$2:$A$3001,$N2333))</f>
        <v/>
      </c>
      <c r="D2333" s="25" t="str">
        <f>IF($N2333="","",INDEX('_calc'!$C$2:$C$3001,$N2333))</f>
        <v/>
      </c>
      <c r="E2333" s="25" t="str">
        <f>IF($N2333="","",INDEX('_calc'!$D$2:$D$3001,$N2333))</f>
        <v/>
      </c>
      <c r="F2333" s="26" t="str">
        <f>IF($N2333="","",IF($E$8=0,"",E2333/$E$8))</f>
        <v/>
      </c>
      <c r="G2333" s="25" t="str">
        <f>IF($N2333="","",INDEX('_calc'!$E$2:$E$3001,$N2333))</f>
        <v/>
      </c>
      <c r="H2333" s="25" t="str">
        <f>IF($N2333="","",INDEX('_calc'!$F$2:$F$3001,$N2333))</f>
        <v/>
      </c>
      <c r="I2333" s="27" t="str">
        <f>IF($N2333="","",INDEX('_calc'!$H$2:$H$3001,$N2333))</f>
        <v/>
      </c>
      <c r="J2333" s="27" t="str">
        <f>IF($N2333="","",INDEX('_calc'!$I$2:$I$3001,$N2333))</f>
        <v/>
      </c>
      <c r="K2333" s="28" t="str">
        <f>IF($N2333="","",IF(OR(I2333="",J2333=""),"",J2333-I2333))</f>
        <v/>
      </c>
      <c r="L2333" s="29" t="str">
        <f>IF($N2333="","",INDEX('_calc'!$J$2:$J$3001,$N2333))</f>
        <v/>
      </c>
      <c r="M2333" s="2" t="str">
        <f>IF($N2333="","",IF(AND(G2333=0,H2333=0),"수량 없음",IF(G2333=0,"신규 (전년 수량 없음)",IF(H2333=0,"당해 수량 없음",""))))</f>
        <v/>
      </c>
      <c r="N2333" t="str">
        <f>IF($B2333="","",MATCH($B2333,'_calc'!$L$2:$L$3001,0))</f>
        <v/>
      </c>
    </row>
    <row r="2334">
      <c r="B2334" s="24" t="str">
        <f>IF(ROW()-ROW($B$8)&gt;nComp,"",ROW()-ROW($B$8))</f>
        <v/>
      </c>
      <c r="C2334" t="str">
        <f>IF($N2334="","",INDEX('_calc'!$A$2:$A$3001,$N2334))</f>
        <v/>
      </c>
      <c r="D2334" s="25" t="str">
        <f>IF($N2334="","",INDEX('_calc'!$C$2:$C$3001,$N2334))</f>
        <v/>
      </c>
      <c r="E2334" s="25" t="str">
        <f>IF($N2334="","",INDEX('_calc'!$D$2:$D$3001,$N2334))</f>
        <v/>
      </c>
      <c r="F2334" s="26" t="str">
        <f>IF($N2334="","",IF($E$8=0,"",E2334/$E$8))</f>
        <v/>
      </c>
      <c r="G2334" s="25" t="str">
        <f>IF($N2334="","",INDEX('_calc'!$E$2:$E$3001,$N2334))</f>
        <v/>
      </c>
      <c r="H2334" s="25" t="str">
        <f>IF($N2334="","",INDEX('_calc'!$F$2:$F$3001,$N2334))</f>
        <v/>
      </c>
      <c r="I2334" s="27" t="str">
        <f>IF($N2334="","",INDEX('_calc'!$H$2:$H$3001,$N2334))</f>
        <v/>
      </c>
      <c r="J2334" s="27" t="str">
        <f>IF($N2334="","",INDEX('_calc'!$I$2:$I$3001,$N2334))</f>
        <v/>
      </c>
      <c r="K2334" s="28" t="str">
        <f>IF($N2334="","",IF(OR(I2334="",J2334=""),"",J2334-I2334))</f>
        <v/>
      </c>
      <c r="L2334" s="29" t="str">
        <f>IF($N2334="","",INDEX('_calc'!$J$2:$J$3001,$N2334))</f>
        <v/>
      </c>
      <c r="M2334" s="2" t="str">
        <f>IF($N2334="","",IF(AND(G2334=0,H2334=0),"수량 없음",IF(G2334=0,"신규 (전년 수량 없음)",IF(H2334=0,"당해 수량 없음",""))))</f>
        <v/>
      </c>
      <c r="N2334" t="str">
        <f>IF($B2334="","",MATCH($B2334,'_calc'!$L$2:$L$3001,0))</f>
        <v/>
      </c>
    </row>
    <row r="2335">
      <c r="B2335" s="24" t="str">
        <f>IF(ROW()-ROW($B$8)&gt;nComp,"",ROW()-ROW($B$8))</f>
        <v/>
      </c>
      <c r="C2335" t="str">
        <f>IF($N2335="","",INDEX('_calc'!$A$2:$A$3001,$N2335))</f>
        <v/>
      </c>
      <c r="D2335" s="25" t="str">
        <f>IF($N2335="","",INDEX('_calc'!$C$2:$C$3001,$N2335))</f>
        <v/>
      </c>
      <c r="E2335" s="25" t="str">
        <f>IF($N2335="","",INDEX('_calc'!$D$2:$D$3001,$N2335))</f>
        <v/>
      </c>
      <c r="F2335" s="26" t="str">
        <f>IF($N2335="","",IF($E$8=0,"",E2335/$E$8))</f>
        <v/>
      </c>
      <c r="G2335" s="25" t="str">
        <f>IF($N2335="","",INDEX('_calc'!$E$2:$E$3001,$N2335))</f>
        <v/>
      </c>
      <c r="H2335" s="25" t="str">
        <f>IF($N2335="","",INDEX('_calc'!$F$2:$F$3001,$N2335))</f>
        <v/>
      </c>
      <c r="I2335" s="27" t="str">
        <f>IF($N2335="","",INDEX('_calc'!$H$2:$H$3001,$N2335))</f>
        <v/>
      </c>
      <c r="J2335" s="27" t="str">
        <f>IF($N2335="","",INDEX('_calc'!$I$2:$I$3001,$N2335))</f>
        <v/>
      </c>
      <c r="K2335" s="28" t="str">
        <f>IF($N2335="","",IF(OR(I2335="",J2335=""),"",J2335-I2335))</f>
        <v/>
      </c>
      <c r="L2335" s="29" t="str">
        <f>IF($N2335="","",INDEX('_calc'!$J$2:$J$3001,$N2335))</f>
        <v/>
      </c>
      <c r="M2335" s="2" t="str">
        <f>IF($N2335="","",IF(AND(G2335=0,H2335=0),"수량 없음",IF(G2335=0,"신규 (전년 수량 없음)",IF(H2335=0,"당해 수량 없음",""))))</f>
        <v/>
      </c>
      <c r="N2335" t="str">
        <f>IF($B2335="","",MATCH($B2335,'_calc'!$L$2:$L$3001,0))</f>
        <v/>
      </c>
    </row>
    <row r="2336">
      <c r="B2336" s="24" t="str">
        <f>IF(ROW()-ROW($B$8)&gt;nComp,"",ROW()-ROW($B$8))</f>
        <v/>
      </c>
      <c r="C2336" t="str">
        <f>IF($N2336="","",INDEX('_calc'!$A$2:$A$3001,$N2336))</f>
        <v/>
      </c>
      <c r="D2336" s="25" t="str">
        <f>IF($N2336="","",INDEX('_calc'!$C$2:$C$3001,$N2336))</f>
        <v/>
      </c>
      <c r="E2336" s="25" t="str">
        <f>IF($N2336="","",INDEX('_calc'!$D$2:$D$3001,$N2336))</f>
        <v/>
      </c>
      <c r="F2336" s="26" t="str">
        <f>IF($N2336="","",IF($E$8=0,"",E2336/$E$8))</f>
        <v/>
      </c>
      <c r="G2336" s="25" t="str">
        <f>IF($N2336="","",INDEX('_calc'!$E$2:$E$3001,$N2336))</f>
        <v/>
      </c>
      <c r="H2336" s="25" t="str">
        <f>IF($N2336="","",INDEX('_calc'!$F$2:$F$3001,$N2336))</f>
        <v/>
      </c>
      <c r="I2336" s="27" t="str">
        <f>IF($N2336="","",INDEX('_calc'!$H$2:$H$3001,$N2336))</f>
        <v/>
      </c>
      <c r="J2336" s="27" t="str">
        <f>IF($N2336="","",INDEX('_calc'!$I$2:$I$3001,$N2336))</f>
        <v/>
      </c>
      <c r="K2336" s="28" t="str">
        <f>IF($N2336="","",IF(OR(I2336="",J2336=""),"",J2336-I2336))</f>
        <v/>
      </c>
      <c r="L2336" s="29" t="str">
        <f>IF($N2336="","",INDEX('_calc'!$J$2:$J$3001,$N2336))</f>
        <v/>
      </c>
      <c r="M2336" s="2" t="str">
        <f>IF($N2336="","",IF(AND(G2336=0,H2336=0),"수량 없음",IF(G2336=0,"신규 (전년 수량 없음)",IF(H2336=0,"당해 수량 없음",""))))</f>
        <v/>
      </c>
      <c r="N2336" t="str">
        <f>IF($B2336="","",MATCH($B2336,'_calc'!$L$2:$L$3001,0))</f>
        <v/>
      </c>
    </row>
    <row r="2337">
      <c r="B2337" s="24" t="str">
        <f>IF(ROW()-ROW($B$8)&gt;nComp,"",ROW()-ROW($B$8))</f>
        <v/>
      </c>
      <c r="C2337" t="str">
        <f>IF($N2337="","",INDEX('_calc'!$A$2:$A$3001,$N2337))</f>
        <v/>
      </c>
      <c r="D2337" s="25" t="str">
        <f>IF($N2337="","",INDEX('_calc'!$C$2:$C$3001,$N2337))</f>
        <v/>
      </c>
      <c r="E2337" s="25" t="str">
        <f>IF($N2337="","",INDEX('_calc'!$D$2:$D$3001,$N2337))</f>
        <v/>
      </c>
      <c r="F2337" s="26" t="str">
        <f>IF($N2337="","",IF($E$8=0,"",E2337/$E$8))</f>
        <v/>
      </c>
      <c r="G2337" s="25" t="str">
        <f>IF($N2337="","",INDEX('_calc'!$E$2:$E$3001,$N2337))</f>
        <v/>
      </c>
      <c r="H2337" s="25" t="str">
        <f>IF($N2337="","",INDEX('_calc'!$F$2:$F$3001,$N2337))</f>
        <v/>
      </c>
      <c r="I2337" s="27" t="str">
        <f>IF($N2337="","",INDEX('_calc'!$H$2:$H$3001,$N2337))</f>
        <v/>
      </c>
      <c r="J2337" s="27" t="str">
        <f>IF($N2337="","",INDEX('_calc'!$I$2:$I$3001,$N2337))</f>
        <v/>
      </c>
      <c r="K2337" s="28" t="str">
        <f>IF($N2337="","",IF(OR(I2337="",J2337=""),"",J2337-I2337))</f>
        <v/>
      </c>
      <c r="L2337" s="29" t="str">
        <f>IF($N2337="","",INDEX('_calc'!$J$2:$J$3001,$N2337))</f>
        <v/>
      </c>
      <c r="M2337" s="2" t="str">
        <f>IF($N2337="","",IF(AND(G2337=0,H2337=0),"수량 없음",IF(G2337=0,"신규 (전년 수량 없음)",IF(H2337=0,"당해 수량 없음",""))))</f>
        <v/>
      </c>
      <c r="N2337" t="str">
        <f>IF($B2337="","",MATCH($B2337,'_calc'!$L$2:$L$3001,0))</f>
        <v/>
      </c>
    </row>
    <row r="2338">
      <c r="B2338" s="24" t="str">
        <f>IF(ROW()-ROW($B$8)&gt;nComp,"",ROW()-ROW($B$8))</f>
        <v/>
      </c>
      <c r="C2338" t="str">
        <f>IF($N2338="","",INDEX('_calc'!$A$2:$A$3001,$N2338))</f>
        <v/>
      </c>
      <c r="D2338" s="25" t="str">
        <f>IF($N2338="","",INDEX('_calc'!$C$2:$C$3001,$N2338))</f>
        <v/>
      </c>
      <c r="E2338" s="25" t="str">
        <f>IF($N2338="","",INDEX('_calc'!$D$2:$D$3001,$N2338))</f>
        <v/>
      </c>
      <c r="F2338" s="26" t="str">
        <f>IF($N2338="","",IF($E$8=0,"",E2338/$E$8))</f>
        <v/>
      </c>
      <c r="G2338" s="25" t="str">
        <f>IF($N2338="","",INDEX('_calc'!$E$2:$E$3001,$N2338))</f>
        <v/>
      </c>
      <c r="H2338" s="25" t="str">
        <f>IF($N2338="","",INDEX('_calc'!$F$2:$F$3001,$N2338))</f>
        <v/>
      </c>
      <c r="I2338" s="27" t="str">
        <f>IF($N2338="","",INDEX('_calc'!$H$2:$H$3001,$N2338))</f>
        <v/>
      </c>
      <c r="J2338" s="27" t="str">
        <f>IF($N2338="","",INDEX('_calc'!$I$2:$I$3001,$N2338))</f>
        <v/>
      </c>
      <c r="K2338" s="28" t="str">
        <f>IF($N2338="","",IF(OR(I2338="",J2338=""),"",J2338-I2338))</f>
        <v/>
      </c>
      <c r="L2338" s="29" t="str">
        <f>IF($N2338="","",INDEX('_calc'!$J$2:$J$3001,$N2338))</f>
        <v/>
      </c>
      <c r="M2338" s="2" t="str">
        <f>IF($N2338="","",IF(AND(G2338=0,H2338=0),"수량 없음",IF(G2338=0,"신규 (전년 수량 없음)",IF(H2338=0,"당해 수량 없음",""))))</f>
        <v/>
      </c>
      <c r="N2338" t="str">
        <f>IF($B2338="","",MATCH($B2338,'_calc'!$L$2:$L$3001,0))</f>
        <v/>
      </c>
    </row>
    <row r="2339">
      <c r="B2339" s="24" t="str">
        <f>IF(ROW()-ROW($B$8)&gt;nComp,"",ROW()-ROW($B$8))</f>
        <v/>
      </c>
      <c r="C2339" t="str">
        <f>IF($N2339="","",INDEX('_calc'!$A$2:$A$3001,$N2339))</f>
        <v/>
      </c>
      <c r="D2339" s="25" t="str">
        <f>IF($N2339="","",INDEX('_calc'!$C$2:$C$3001,$N2339))</f>
        <v/>
      </c>
      <c r="E2339" s="25" t="str">
        <f>IF($N2339="","",INDEX('_calc'!$D$2:$D$3001,$N2339))</f>
        <v/>
      </c>
      <c r="F2339" s="26" t="str">
        <f>IF($N2339="","",IF($E$8=0,"",E2339/$E$8))</f>
        <v/>
      </c>
      <c r="G2339" s="25" t="str">
        <f>IF($N2339="","",INDEX('_calc'!$E$2:$E$3001,$N2339))</f>
        <v/>
      </c>
      <c r="H2339" s="25" t="str">
        <f>IF($N2339="","",INDEX('_calc'!$F$2:$F$3001,$N2339))</f>
        <v/>
      </c>
      <c r="I2339" s="27" t="str">
        <f>IF($N2339="","",INDEX('_calc'!$H$2:$H$3001,$N2339))</f>
        <v/>
      </c>
      <c r="J2339" s="27" t="str">
        <f>IF($N2339="","",INDEX('_calc'!$I$2:$I$3001,$N2339))</f>
        <v/>
      </c>
      <c r="K2339" s="28" t="str">
        <f>IF($N2339="","",IF(OR(I2339="",J2339=""),"",J2339-I2339))</f>
        <v/>
      </c>
      <c r="L2339" s="29" t="str">
        <f>IF($N2339="","",INDEX('_calc'!$J$2:$J$3001,$N2339))</f>
        <v/>
      </c>
      <c r="M2339" s="2" t="str">
        <f>IF($N2339="","",IF(AND(G2339=0,H2339=0),"수량 없음",IF(G2339=0,"신규 (전년 수량 없음)",IF(H2339=0,"당해 수량 없음",""))))</f>
        <v/>
      </c>
      <c r="N2339" t="str">
        <f>IF($B2339="","",MATCH($B2339,'_calc'!$L$2:$L$3001,0))</f>
        <v/>
      </c>
    </row>
    <row r="2340">
      <c r="B2340" s="24" t="str">
        <f>IF(ROW()-ROW($B$8)&gt;nComp,"",ROW()-ROW($B$8))</f>
        <v/>
      </c>
      <c r="C2340" t="str">
        <f>IF($N2340="","",INDEX('_calc'!$A$2:$A$3001,$N2340))</f>
        <v/>
      </c>
      <c r="D2340" s="25" t="str">
        <f>IF($N2340="","",INDEX('_calc'!$C$2:$C$3001,$N2340))</f>
        <v/>
      </c>
      <c r="E2340" s="25" t="str">
        <f>IF($N2340="","",INDEX('_calc'!$D$2:$D$3001,$N2340))</f>
        <v/>
      </c>
      <c r="F2340" s="26" t="str">
        <f>IF($N2340="","",IF($E$8=0,"",E2340/$E$8))</f>
        <v/>
      </c>
      <c r="G2340" s="25" t="str">
        <f>IF($N2340="","",INDEX('_calc'!$E$2:$E$3001,$N2340))</f>
        <v/>
      </c>
      <c r="H2340" s="25" t="str">
        <f>IF($N2340="","",INDEX('_calc'!$F$2:$F$3001,$N2340))</f>
        <v/>
      </c>
      <c r="I2340" s="27" t="str">
        <f>IF($N2340="","",INDEX('_calc'!$H$2:$H$3001,$N2340))</f>
        <v/>
      </c>
      <c r="J2340" s="27" t="str">
        <f>IF($N2340="","",INDEX('_calc'!$I$2:$I$3001,$N2340))</f>
        <v/>
      </c>
      <c r="K2340" s="28" t="str">
        <f>IF($N2340="","",IF(OR(I2340="",J2340=""),"",J2340-I2340))</f>
        <v/>
      </c>
      <c r="L2340" s="29" t="str">
        <f>IF($N2340="","",INDEX('_calc'!$J$2:$J$3001,$N2340))</f>
        <v/>
      </c>
      <c r="M2340" s="2" t="str">
        <f>IF($N2340="","",IF(AND(G2340=0,H2340=0),"수량 없음",IF(G2340=0,"신규 (전년 수량 없음)",IF(H2340=0,"당해 수량 없음",""))))</f>
        <v/>
      </c>
      <c r="N2340" t="str">
        <f>IF($B2340="","",MATCH($B2340,'_calc'!$L$2:$L$3001,0))</f>
        <v/>
      </c>
    </row>
    <row r="2341">
      <c r="B2341" s="24" t="str">
        <f>IF(ROW()-ROW($B$8)&gt;nComp,"",ROW()-ROW($B$8))</f>
        <v/>
      </c>
      <c r="C2341" t="str">
        <f>IF($N2341="","",INDEX('_calc'!$A$2:$A$3001,$N2341))</f>
        <v/>
      </c>
      <c r="D2341" s="25" t="str">
        <f>IF($N2341="","",INDEX('_calc'!$C$2:$C$3001,$N2341))</f>
        <v/>
      </c>
      <c r="E2341" s="25" t="str">
        <f>IF($N2341="","",INDEX('_calc'!$D$2:$D$3001,$N2341))</f>
        <v/>
      </c>
      <c r="F2341" s="26" t="str">
        <f>IF($N2341="","",IF($E$8=0,"",E2341/$E$8))</f>
        <v/>
      </c>
      <c r="G2341" s="25" t="str">
        <f>IF($N2341="","",INDEX('_calc'!$E$2:$E$3001,$N2341))</f>
        <v/>
      </c>
      <c r="H2341" s="25" t="str">
        <f>IF($N2341="","",INDEX('_calc'!$F$2:$F$3001,$N2341))</f>
        <v/>
      </c>
      <c r="I2341" s="27" t="str">
        <f>IF($N2341="","",INDEX('_calc'!$H$2:$H$3001,$N2341))</f>
        <v/>
      </c>
      <c r="J2341" s="27" t="str">
        <f>IF($N2341="","",INDEX('_calc'!$I$2:$I$3001,$N2341))</f>
        <v/>
      </c>
      <c r="K2341" s="28" t="str">
        <f>IF($N2341="","",IF(OR(I2341="",J2341=""),"",J2341-I2341))</f>
        <v/>
      </c>
      <c r="L2341" s="29" t="str">
        <f>IF($N2341="","",INDEX('_calc'!$J$2:$J$3001,$N2341))</f>
        <v/>
      </c>
      <c r="M2341" s="2" t="str">
        <f>IF($N2341="","",IF(AND(G2341=0,H2341=0),"수량 없음",IF(G2341=0,"신규 (전년 수량 없음)",IF(H2341=0,"당해 수량 없음",""))))</f>
        <v/>
      </c>
      <c r="N2341" t="str">
        <f>IF($B2341="","",MATCH($B2341,'_calc'!$L$2:$L$3001,0))</f>
        <v/>
      </c>
    </row>
    <row r="2342">
      <c r="B2342" s="24" t="str">
        <f>IF(ROW()-ROW($B$8)&gt;nComp,"",ROW()-ROW($B$8))</f>
        <v/>
      </c>
      <c r="C2342" t="str">
        <f>IF($N2342="","",INDEX('_calc'!$A$2:$A$3001,$N2342))</f>
        <v/>
      </c>
      <c r="D2342" s="25" t="str">
        <f>IF($N2342="","",INDEX('_calc'!$C$2:$C$3001,$N2342))</f>
        <v/>
      </c>
      <c r="E2342" s="25" t="str">
        <f>IF($N2342="","",INDEX('_calc'!$D$2:$D$3001,$N2342))</f>
        <v/>
      </c>
      <c r="F2342" s="26" t="str">
        <f>IF($N2342="","",IF($E$8=0,"",E2342/$E$8))</f>
        <v/>
      </c>
      <c r="G2342" s="25" t="str">
        <f>IF($N2342="","",INDEX('_calc'!$E$2:$E$3001,$N2342))</f>
        <v/>
      </c>
      <c r="H2342" s="25" t="str">
        <f>IF($N2342="","",INDEX('_calc'!$F$2:$F$3001,$N2342))</f>
        <v/>
      </c>
      <c r="I2342" s="27" t="str">
        <f>IF($N2342="","",INDEX('_calc'!$H$2:$H$3001,$N2342))</f>
        <v/>
      </c>
      <c r="J2342" s="27" t="str">
        <f>IF($N2342="","",INDEX('_calc'!$I$2:$I$3001,$N2342))</f>
        <v/>
      </c>
      <c r="K2342" s="28" t="str">
        <f>IF($N2342="","",IF(OR(I2342="",J2342=""),"",J2342-I2342))</f>
        <v/>
      </c>
      <c r="L2342" s="29" t="str">
        <f>IF($N2342="","",INDEX('_calc'!$J$2:$J$3001,$N2342))</f>
        <v/>
      </c>
      <c r="M2342" s="2" t="str">
        <f>IF($N2342="","",IF(AND(G2342=0,H2342=0),"수량 없음",IF(G2342=0,"신규 (전년 수량 없음)",IF(H2342=0,"당해 수량 없음",""))))</f>
        <v/>
      </c>
      <c r="N2342" t="str">
        <f>IF($B2342="","",MATCH($B2342,'_calc'!$L$2:$L$3001,0))</f>
        <v/>
      </c>
    </row>
    <row r="2343">
      <c r="B2343" s="24" t="str">
        <f>IF(ROW()-ROW($B$8)&gt;nComp,"",ROW()-ROW($B$8))</f>
        <v/>
      </c>
      <c r="C2343" t="str">
        <f>IF($N2343="","",INDEX('_calc'!$A$2:$A$3001,$N2343))</f>
        <v/>
      </c>
      <c r="D2343" s="25" t="str">
        <f>IF($N2343="","",INDEX('_calc'!$C$2:$C$3001,$N2343))</f>
        <v/>
      </c>
      <c r="E2343" s="25" t="str">
        <f>IF($N2343="","",INDEX('_calc'!$D$2:$D$3001,$N2343))</f>
        <v/>
      </c>
      <c r="F2343" s="26" t="str">
        <f>IF($N2343="","",IF($E$8=0,"",E2343/$E$8))</f>
        <v/>
      </c>
      <c r="G2343" s="25" t="str">
        <f>IF($N2343="","",INDEX('_calc'!$E$2:$E$3001,$N2343))</f>
        <v/>
      </c>
      <c r="H2343" s="25" t="str">
        <f>IF($N2343="","",INDEX('_calc'!$F$2:$F$3001,$N2343))</f>
        <v/>
      </c>
      <c r="I2343" s="27" t="str">
        <f>IF($N2343="","",INDEX('_calc'!$H$2:$H$3001,$N2343))</f>
        <v/>
      </c>
      <c r="J2343" s="27" t="str">
        <f>IF($N2343="","",INDEX('_calc'!$I$2:$I$3001,$N2343))</f>
        <v/>
      </c>
      <c r="K2343" s="28" t="str">
        <f>IF($N2343="","",IF(OR(I2343="",J2343=""),"",J2343-I2343))</f>
        <v/>
      </c>
      <c r="L2343" s="29" t="str">
        <f>IF($N2343="","",INDEX('_calc'!$J$2:$J$3001,$N2343))</f>
        <v/>
      </c>
      <c r="M2343" s="2" t="str">
        <f>IF($N2343="","",IF(AND(G2343=0,H2343=0),"수량 없음",IF(G2343=0,"신규 (전년 수량 없음)",IF(H2343=0,"당해 수량 없음",""))))</f>
        <v/>
      </c>
      <c r="N2343" t="str">
        <f>IF($B2343="","",MATCH($B2343,'_calc'!$L$2:$L$3001,0))</f>
        <v/>
      </c>
    </row>
    <row r="2344">
      <c r="B2344" s="24" t="str">
        <f>IF(ROW()-ROW($B$8)&gt;nComp,"",ROW()-ROW($B$8))</f>
        <v/>
      </c>
      <c r="C2344" t="str">
        <f>IF($N2344="","",INDEX('_calc'!$A$2:$A$3001,$N2344))</f>
        <v/>
      </c>
      <c r="D2344" s="25" t="str">
        <f>IF($N2344="","",INDEX('_calc'!$C$2:$C$3001,$N2344))</f>
        <v/>
      </c>
      <c r="E2344" s="25" t="str">
        <f>IF($N2344="","",INDEX('_calc'!$D$2:$D$3001,$N2344))</f>
        <v/>
      </c>
      <c r="F2344" s="26" t="str">
        <f>IF($N2344="","",IF($E$8=0,"",E2344/$E$8))</f>
        <v/>
      </c>
      <c r="G2344" s="25" t="str">
        <f>IF($N2344="","",INDEX('_calc'!$E$2:$E$3001,$N2344))</f>
        <v/>
      </c>
      <c r="H2344" s="25" t="str">
        <f>IF($N2344="","",INDEX('_calc'!$F$2:$F$3001,$N2344))</f>
        <v/>
      </c>
      <c r="I2344" s="27" t="str">
        <f>IF($N2344="","",INDEX('_calc'!$H$2:$H$3001,$N2344))</f>
        <v/>
      </c>
      <c r="J2344" s="27" t="str">
        <f>IF($N2344="","",INDEX('_calc'!$I$2:$I$3001,$N2344))</f>
        <v/>
      </c>
      <c r="K2344" s="28" t="str">
        <f>IF($N2344="","",IF(OR(I2344="",J2344=""),"",J2344-I2344))</f>
        <v/>
      </c>
      <c r="L2344" s="29" t="str">
        <f>IF($N2344="","",INDEX('_calc'!$J$2:$J$3001,$N2344))</f>
        <v/>
      </c>
      <c r="M2344" s="2" t="str">
        <f>IF($N2344="","",IF(AND(G2344=0,H2344=0),"수량 없음",IF(G2344=0,"신규 (전년 수량 없음)",IF(H2344=0,"당해 수량 없음",""))))</f>
        <v/>
      </c>
      <c r="N2344" t="str">
        <f>IF($B2344="","",MATCH($B2344,'_calc'!$L$2:$L$3001,0))</f>
        <v/>
      </c>
    </row>
    <row r="2345">
      <c r="B2345" s="24" t="str">
        <f>IF(ROW()-ROW($B$8)&gt;nComp,"",ROW()-ROW($B$8))</f>
        <v/>
      </c>
      <c r="C2345" t="str">
        <f>IF($N2345="","",INDEX('_calc'!$A$2:$A$3001,$N2345))</f>
        <v/>
      </c>
      <c r="D2345" s="25" t="str">
        <f>IF($N2345="","",INDEX('_calc'!$C$2:$C$3001,$N2345))</f>
        <v/>
      </c>
      <c r="E2345" s="25" t="str">
        <f>IF($N2345="","",INDEX('_calc'!$D$2:$D$3001,$N2345))</f>
        <v/>
      </c>
      <c r="F2345" s="26" t="str">
        <f>IF($N2345="","",IF($E$8=0,"",E2345/$E$8))</f>
        <v/>
      </c>
      <c r="G2345" s="25" t="str">
        <f>IF($N2345="","",INDEX('_calc'!$E$2:$E$3001,$N2345))</f>
        <v/>
      </c>
      <c r="H2345" s="25" t="str">
        <f>IF($N2345="","",INDEX('_calc'!$F$2:$F$3001,$N2345))</f>
        <v/>
      </c>
      <c r="I2345" s="27" t="str">
        <f>IF($N2345="","",INDEX('_calc'!$H$2:$H$3001,$N2345))</f>
        <v/>
      </c>
      <c r="J2345" s="27" t="str">
        <f>IF($N2345="","",INDEX('_calc'!$I$2:$I$3001,$N2345))</f>
        <v/>
      </c>
      <c r="K2345" s="28" t="str">
        <f>IF($N2345="","",IF(OR(I2345="",J2345=""),"",J2345-I2345))</f>
        <v/>
      </c>
      <c r="L2345" s="29" t="str">
        <f>IF($N2345="","",INDEX('_calc'!$J$2:$J$3001,$N2345))</f>
        <v/>
      </c>
      <c r="M2345" s="2" t="str">
        <f>IF($N2345="","",IF(AND(G2345=0,H2345=0),"수량 없음",IF(G2345=0,"신규 (전년 수량 없음)",IF(H2345=0,"당해 수량 없음",""))))</f>
        <v/>
      </c>
      <c r="N2345" t="str">
        <f>IF($B2345="","",MATCH($B2345,'_calc'!$L$2:$L$3001,0))</f>
        <v/>
      </c>
    </row>
    <row r="2346">
      <c r="B2346" s="24" t="str">
        <f>IF(ROW()-ROW($B$8)&gt;nComp,"",ROW()-ROW($B$8))</f>
        <v/>
      </c>
      <c r="C2346" t="str">
        <f>IF($N2346="","",INDEX('_calc'!$A$2:$A$3001,$N2346))</f>
        <v/>
      </c>
      <c r="D2346" s="25" t="str">
        <f>IF($N2346="","",INDEX('_calc'!$C$2:$C$3001,$N2346))</f>
        <v/>
      </c>
      <c r="E2346" s="25" t="str">
        <f>IF($N2346="","",INDEX('_calc'!$D$2:$D$3001,$N2346))</f>
        <v/>
      </c>
      <c r="F2346" s="26" t="str">
        <f>IF($N2346="","",IF($E$8=0,"",E2346/$E$8))</f>
        <v/>
      </c>
      <c r="G2346" s="25" t="str">
        <f>IF($N2346="","",INDEX('_calc'!$E$2:$E$3001,$N2346))</f>
        <v/>
      </c>
      <c r="H2346" s="25" t="str">
        <f>IF($N2346="","",INDEX('_calc'!$F$2:$F$3001,$N2346))</f>
        <v/>
      </c>
      <c r="I2346" s="27" t="str">
        <f>IF($N2346="","",INDEX('_calc'!$H$2:$H$3001,$N2346))</f>
        <v/>
      </c>
      <c r="J2346" s="27" t="str">
        <f>IF($N2346="","",INDEX('_calc'!$I$2:$I$3001,$N2346))</f>
        <v/>
      </c>
      <c r="K2346" s="28" t="str">
        <f>IF($N2346="","",IF(OR(I2346="",J2346=""),"",J2346-I2346))</f>
        <v/>
      </c>
      <c r="L2346" s="29" t="str">
        <f>IF($N2346="","",INDEX('_calc'!$J$2:$J$3001,$N2346))</f>
        <v/>
      </c>
      <c r="M2346" s="2" t="str">
        <f>IF($N2346="","",IF(AND(G2346=0,H2346=0),"수량 없음",IF(G2346=0,"신규 (전년 수량 없음)",IF(H2346=0,"당해 수량 없음",""))))</f>
        <v/>
      </c>
      <c r="N2346" t="str">
        <f>IF($B2346="","",MATCH($B2346,'_calc'!$L$2:$L$3001,0))</f>
        <v/>
      </c>
    </row>
    <row r="2347">
      <c r="B2347" s="24" t="str">
        <f>IF(ROW()-ROW($B$8)&gt;nComp,"",ROW()-ROW($B$8))</f>
        <v/>
      </c>
      <c r="C2347" t="str">
        <f>IF($N2347="","",INDEX('_calc'!$A$2:$A$3001,$N2347))</f>
        <v/>
      </c>
      <c r="D2347" s="25" t="str">
        <f>IF($N2347="","",INDEX('_calc'!$C$2:$C$3001,$N2347))</f>
        <v/>
      </c>
      <c r="E2347" s="25" t="str">
        <f>IF($N2347="","",INDEX('_calc'!$D$2:$D$3001,$N2347))</f>
        <v/>
      </c>
      <c r="F2347" s="26" t="str">
        <f>IF($N2347="","",IF($E$8=0,"",E2347/$E$8))</f>
        <v/>
      </c>
      <c r="G2347" s="25" t="str">
        <f>IF($N2347="","",INDEX('_calc'!$E$2:$E$3001,$N2347))</f>
        <v/>
      </c>
      <c r="H2347" s="25" t="str">
        <f>IF($N2347="","",INDEX('_calc'!$F$2:$F$3001,$N2347))</f>
        <v/>
      </c>
      <c r="I2347" s="27" t="str">
        <f>IF($N2347="","",INDEX('_calc'!$H$2:$H$3001,$N2347))</f>
        <v/>
      </c>
      <c r="J2347" s="27" t="str">
        <f>IF($N2347="","",INDEX('_calc'!$I$2:$I$3001,$N2347))</f>
        <v/>
      </c>
      <c r="K2347" s="28" t="str">
        <f>IF($N2347="","",IF(OR(I2347="",J2347=""),"",J2347-I2347))</f>
        <v/>
      </c>
      <c r="L2347" s="29" t="str">
        <f>IF($N2347="","",INDEX('_calc'!$J$2:$J$3001,$N2347))</f>
        <v/>
      </c>
      <c r="M2347" s="2" t="str">
        <f>IF($N2347="","",IF(AND(G2347=0,H2347=0),"수량 없음",IF(G2347=0,"신규 (전년 수량 없음)",IF(H2347=0,"당해 수량 없음",""))))</f>
        <v/>
      </c>
      <c r="N2347" t="str">
        <f>IF($B2347="","",MATCH($B2347,'_calc'!$L$2:$L$3001,0))</f>
        <v/>
      </c>
    </row>
    <row r="2348">
      <c r="B2348" s="24" t="str">
        <f>IF(ROW()-ROW($B$8)&gt;nComp,"",ROW()-ROW($B$8))</f>
        <v/>
      </c>
      <c r="C2348" t="str">
        <f>IF($N2348="","",INDEX('_calc'!$A$2:$A$3001,$N2348))</f>
        <v/>
      </c>
      <c r="D2348" s="25" t="str">
        <f>IF($N2348="","",INDEX('_calc'!$C$2:$C$3001,$N2348))</f>
        <v/>
      </c>
      <c r="E2348" s="25" t="str">
        <f>IF($N2348="","",INDEX('_calc'!$D$2:$D$3001,$N2348))</f>
        <v/>
      </c>
      <c r="F2348" s="26" t="str">
        <f>IF($N2348="","",IF($E$8=0,"",E2348/$E$8))</f>
        <v/>
      </c>
      <c r="G2348" s="25" t="str">
        <f>IF($N2348="","",INDEX('_calc'!$E$2:$E$3001,$N2348))</f>
        <v/>
      </c>
      <c r="H2348" s="25" t="str">
        <f>IF($N2348="","",INDEX('_calc'!$F$2:$F$3001,$N2348))</f>
        <v/>
      </c>
      <c r="I2348" s="27" t="str">
        <f>IF($N2348="","",INDEX('_calc'!$H$2:$H$3001,$N2348))</f>
        <v/>
      </c>
      <c r="J2348" s="27" t="str">
        <f>IF($N2348="","",INDEX('_calc'!$I$2:$I$3001,$N2348))</f>
        <v/>
      </c>
      <c r="K2348" s="28" t="str">
        <f>IF($N2348="","",IF(OR(I2348="",J2348=""),"",J2348-I2348))</f>
        <v/>
      </c>
      <c r="L2348" s="29" t="str">
        <f>IF($N2348="","",INDEX('_calc'!$J$2:$J$3001,$N2348))</f>
        <v/>
      </c>
      <c r="M2348" s="2" t="str">
        <f>IF($N2348="","",IF(AND(G2348=0,H2348=0),"수량 없음",IF(G2348=0,"신규 (전년 수량 없음)",IF(H2348=0,"당해 수량 없음",""))))</f>
        <v/>
      </c>
      <c r="N2348" t="str">
        <f>IF($B2348="","",MATCH($B2348,'_calc'!$L$2:$L$3001,0))</f>
        <v/>
      </c>
    </row>
    <row r="2349">
      <c r="B2349" s="24" t="str">
        <f>IF(ROW()-ROW($B$8)&gt;nComp,"",ROW()-ROW($B$8))</f>
        <v/>
      </c>
      <c r="C2349" t="str">
        <f>IF($N2349="","",INDEX('_calc'!$A$2:$A$3001,$N2349))</f>
        <v/>
      </c>
      <c r="D2349" s="25" t="str">
        <f>IF($N2349="","",INDEX('_calc'!$C$2:$C$3001,$N2349))</f>
        <v/>
      </c>
      <c r="E2349" s="25" t="str">
        <f>IF($N2349="","",INDEX('_calc'!$D$2:$D$3001,$N2349))</f>
        <v/>
      </c>
      <c r="F2349" s="26" t="str">
        <f>IF($N2349="","",IF($E$8=0,"",E2349/$E$8))</f>
        <v/>
      </c>
      <c r="G2349" s="25" t="str">
        <f>IF($N2349="","",INDEX('_calc'!$E$2:$E$3001,$N2349))</f>
        <v/>
      </c>
      <c r="H2349" s="25" t="str">
        <f>IF($N2349="","",INDEX('_calc'!$F$2:$F$3001,$N2349))</f>
        <v/>
      </c>
      <c r="I2349" s="27" t="str">
        <f>IF($N2349="","",INDEX('_calc'!$H$2:$H$3001,$N2349))</f>
        <v/>
      </c>
      <c r="J2349" s="27" t="str">
        <f>IF($N2349="","",INDEX('_calc'!$I$2:$I$3001,$N2349))</f>
        <v/>
      </c>
      <c r="K2349" s="28" t="str">
        <f>IF($N2349="","",IF(OR(I2349="",J2349=""),"",J2349-I2349))</f>
        <v/>
      </c>
      <c r="L2349" s="29" t="str">
        <f>IF($N2349="","",INDEX('_calc'!$J$2:$J$3001,$N2349))</f>
        <v/>
      </c>
      <c r="M2349" s="2" t="str">
        <f>IF($N2349="","",IF(AND(G2349=0,H2349=0),"수량 없음",IF(G2349=0,"신규 (전년 수량 없음)",IF(H2349=0,"당해 수량 없음",""))))</f>
        <v/>
      </c>
      <c r="N2349" t="str">
        <f>IF($B2349="","",MATCH($B2349,'_calc'!$L$2:$L$3001,0))</f>
        <v/>
      </c>
    </row>
    <row r="2350">
      <c r="B2350" s="24" t="str">
        <f>IF(ROW()-ROW($B$8)&gt;nComp,"",ROW()-ROW($B$8))</f>
        <v/>
      </c>
      <c r="C2350" t="str">
        <f>IF($N2350="","",INDEX('_calc'!$A$2:$A$3001,$N2350))</f>
        <v/>
      </c>
      <c r="D2350" s="25" t="str">
        <f>IF($N2350="","",INDEX('_calc'!$C$2:$C$3001,$N2350))</f>
        <v/>
      </c>
      <c r="E2350" s="25" t="str">
        <f>IF($N2350="","",INDEX('_calc'!$D$2:$D$3001,$N2350))</f>
        <v/>
      </c>
      <c r="F2350" s="26" t="str">
        <f>IF($N2350="","",IF($E$8=0,"",E2350/$E$8))</f>
        <v/>
      </c>
      <c r="G2350" s="25" t="str">
        <f>IF($N2350="","",INDEX('_calc'!$E$2:$E$3001,$N2350))</f>
        <v/>
      </c>
      <c r="H2350" s="25" t="str">
        <f>IF($N2350="","",INDEX('_calc'!$F$2:$F$3001,$N2350))</f>
        <v/>
      </c>
      <c r="I2350" s="27" t="str">
        <f>IF($N2350="","",INDEX('_calc'!$H$2:$H$3001,$N2350))</f>
        <v/>
      </c>
      <c r="J2350" s="27" t="str">
        <f>IF($N2350="","",INDEX('_calc'!$I$2:$I$3001,$N2350))</f>
        <v/>
      </c>
      <c r="K2350" s="28" t="str">
        <f>IF($N2350="","",IF(OR(I2350="",J2350=""),"",J2350-I2350))</f>
        <v/>
      </c>
      <c r="L2350" s="29" t="str">
        <f>IF($N2350="","",INDEX('_calc'!$J$2:$J$3001,$N2350))</f>
        <v/>
      </c>
      <c r="M2350" s="2" t="str">
        <f>IF($N2350="","",IF(AND(G2350=0,H2350=0),"수량 없음",IF(G2350=0,"신규 (전년 수량 없음)",IF(H2350=0,"당해 수량 없음",""))))</f>
        <v/>
      </c>
      <c r="N2350" t="str">
        <f>IF($B2350="","",MATCH($B2350,'_calc'!$L$2:$L$3001,0))</f>
        <v/>
      </c>
    </row>
    <row r="2351">
      <c r="B2351" s="24" t="str">
        <f>IF(ROW()-ROW($B$8)&gt;nComp,"",ROW()-ROW($B$8))</f>
        <v/>
      </c>
      <c r="C2351" t="str">
        <f>IF($N2351="","",INDEX('_calc'!$A$2:$A$3001,$N2351))</f>
        <v/>
      </c>
      <c r="D2351" s="25" t="str">
        <f>IF($N2351="","",INDEX('_calc'!$C$2:$C$3001,$N2351))</f>
        <v/>
      </c>
      <c r="E2351" s="25" t="str">
        <f>IF($N2351="","",INDEX('_calc'!$D$2:$D$3001,$N2351))</f>
        <v/>
      </c>
      <c r="F2351" s="26" t="str">
        <f>IF($N2351="","",IF($E$8=0,"",E2351/$E$8))</f>
        <v/>
      </c>
      <c r="G2351" s="25" t="str">
        <f>IF($N2351="","",INDEX('_calc'!$E$2:$E$3001,$N2351))</f>
        <v/>
      </c>
      <c r="H2351" s="25" t="str">
        <f>IF($N2351="","",INDEX('_calc'!$F$2:$F$3001,$N2351))</f>
        <v/>
      </c>
      <c r="I2351" s="27" t="str">
        <f>IF($N2351="","",INDEX('_calc'!$H$2:$H$3001,$N2351))</f>
        <v/>
      </c>
      <c r="J2351" s="27" t="str">
        <f>IF($N2351="","",INDEX('_calc'!$I$2:$I$3001,$N2351))</f>
        <v/>
      </c>
      <c r="K2351" s="28" t="str">
        <f>IF($N2351="","",IF(OR(I2351="",J2351=""),"",J2351-I2351))</f>
        <v/>
      </c>
      <c r="L2351" s="29" t="str">
        <f>IF($N2351="","",INDEX('_calc'!$J$2:$J$3001,$N2351))</f>
        <v/>
      </c>
      <c r="M2351" s="2" t="str">
        <f>IF($N2351="","",IF(AND(G2351=0,H2351=0),"수량 없음",IF(G2351=0,"신규 (전년 수량 없음)",IF(H2351=0,"당해 수량 없음",""))))</f>
        <v/>
      </c>
      <c r="N2351" t="str">
        <f>IF($B2351="","",MATCH($B2351,'_calc'!$L$2:$L$3001,0))</f>
        <v/>
      </c>
    </row>
    <row r="2352">
      <c r="B2352" s="24" t="str">
        <f>IF(ROW()-ROW($B$8)&gt;nComp,"",ROW()-ROW($B$8))</f>
        <v/>
      </c>
      <c r="C2352" t="str">
        <f>IF($N2352="","",INDEX('_calc'!$A$2:$A$3001,$N2352))</f>
        <v/>
      </c>
      <c r="D2352" s="25" t="str">
        <f>IF($N2352="","",INDEX('_calc'!$C$2:$C$3001,$N2352))</f>
        <v/>
      </c>
      <c r="E2352" s="25" t="str">
        <f>IF($N2352="","",INDEX('_calc'!$D$2:$D$3001,$N2352))</f>
        <v/>
      </c>
      <c r="F2352" s="26" t="str">
        <f>IF($N2352="","",IF($E$8=0,"",E2352/$E$8))</f>
        <v/>
      </c>
      <c r="G2352" s="25" t="str">
        <f>IF($N2352="","",INDEX('_calc'!$E$2:$E$3001,$N2352))</f>
        <v/>
      </c>
      <c r="H2352" s="25" t="str">
        <f>IF($N2352="","",INDEX('_calc'!$F$2:$F$3001,$N2352))</f>
        <v/>
      </c>
      <c r="I2352" s="27" t="str">
        <f>IF($N2352="","",INDEX('_calc'!$H$2:$H$3001,$N2352))</f>
        <v/>
      </c>
      <c r="J2352" s="27" t="str">
        <f>IF($N2352="","",INDEX('_calc'!$I$2:$I$3001,$N2352))</f>
        <v/>
      </c>
      <c r="K2352" s="28" t="str">
        <f>IF($N2352="","",IF(OR(I2352="",J2352=""),"",J2352-I2352))</f>
        <v/>
      </c>
      <c r="L2352" s="29" t="str">
        <f>IF($N2352="","",INDEX('_calc'!$J$2:$J$3001,$N2352))</f>
        <v/>
      </c>
      <c r="M2352" s="2" t="str">
        <f>IF($N2352="","",IF(AND(G2352=0,H2352=0),"수량 없음",IF(G2352=0,"신규 (전년 수량 없음)",IF(H2352=0,"당해 수량 없음",""))))</f>
        <v/>
      </c>
      <c r="N2352" t="str">
        <f>IF($B2352="","",MATCH($B2352,'_calc'!$L$2:$L$3001,0))</f>
        <v/>
      </c>
    </row>
    <row r="2353">
      <c r="B2353" s="24" t="str">
        <f>IF(ROW()-ROW($B$8)&gt;nComp,"",ROW()-ROW($B$8))</f>
        <v/>
      </c>
      <c r="C2353" t="str">
        <f>IF($N2353="","",INDEX('_calc'!$A$2:$A$3001,$N2353))</f>
        <v/>
      </c>
      <c r="D2353" s="25" t="str">
        <f>IF($N2353="","",INDEX('_calc'!$C$2:$C$3001,$N2353))</f>
        <v/>
      </c>
      <c r="E2353" s="25" t="str">
        <f>IF($N2353="","",INDEX('_calc'!$D$2:$D$3001,$N2353))</f>
        <v/>
      </c>
      <c r="F2353" s="26" t="str">
        <f>IF($N2353="","",IF($E$8=0,"",E2353/$E$8))</f>
        <v/>
      </c>
      <c r="G2353" s="25" t="str">
        <f>IF($N2353="","",INDEX('_calc'!$E$2:$E$3001,$N2353))</f>
        <v/>
      </c>
      <c r="H2353" s="25" t="str">
        <f>IF($N2353="","",INDEX('_calc'!$F$2:$F$3001,$N2353))</f>
        <v/>
      </c>
      <c r="I2353" s="27" t="str">
        <f>IF($N2353="","",INDEX('_calc'!$H$2:$H$3001,$N2353))</f>
        <v/>
      </c>
      <c r="J2353" s="27" t="str">
        <f>IF($N2353="","",INDEX('_calc'!$I$2:$I$3001,$N2353))</f>
        <v/>
      </c>
      <c r="K2353" s="28" t="str">
        <f>IF($N2353="","",IF(OR(I2353="",J2353=""),"",J2353-I2353))</f>
        <v/>
      </c>
      <c r="L2353" s="29" t="str">
        <f>IF($N2353="","",INDEX('_calc'!$J$2:$J$3001,$N2353))</f>
        <v/>
      </c>
      <c r="M2353" s="2" t="str">
        <f>IF($N2353="","",IF(AND(G2353=0,H2353=0),"수량 없음",IF(G2353=0,"신규 (전년 수량 없음)",IF(H2353=0,"당해 수량 없음",""))))</f>
        <v/>
      </c>
      <c r="N2353" t="str">
        <f>IF($B2353="","",MATCH($B2353,'_calc'!$L$2:$L$3001,0))</f>
        <v/>
      </c>
    </row>
    <row r="2354">
      <c r="B2354" s="24" t="str">
        <f>IF(ROW()-ROW($B$8)&gt;nComp,"",ROW()-ROW($B$8))</f>
        <v/>
      </c>
      <c r="C2354" t="str">
        <f>IF($N2354="","",INDEX('_calc'!$A$2:$A$3001,$N2354))</f>
        <v/>
      </c>
      <c r="D2354" s="25" t="str">
        <f>IF($N2354="","",INDEX('_calc'!$C$2:$C$3001,$N2354))</f>
        <v/>
      </c>
      <c r="E2354" s="25" t="str">
        <f>IF($N2354="","",INDEX('_calc'!$D$2:$D$3001,$N2354))</f>
        <v/>
      </c>
      <c r="F2354" s="26" t="str">
        <f>IF($N2354="","",IF($E$8=0,"",E2354/$E$8))</f>
        <v/>
      </c>
      <c r="G2354" s="25" t="str">
        <f>IF($N2354="","",INDEX('_calc'!$E$2:$E$3001,$N2354))</f>
        <v/>
      </c>
      <c r="H2354" s="25" t="str">
        <f>IF($N2354="","",INDEX('_calc'!$F$2:$F$3001,$N2354))</f>
        <v/>
      </c>
      <c r="I2354" s="27" t="str">
        <f>IF($N2354="","",INDEX('_calc'!$H$2:$H$3001,$N2354))</f>
        <v/>
      </c>
      <c r="J2354" s="27" t="str">
        <f>IF($N2354="","",INDEX('_calc'!$I$2:$I$3001,$N2354))</f>
        <v/>
      </c>
      <c r="K2354" s="28" t="str">
        <f>IF($N2354="","",IF(OR(I2354="",J2354=""),"",J2354-I2354))</f>
        <v/>
      </c>
      <c r="L2354" s="29" t="str">
        <f>IF($N2354="","",INDEX('_calc'!$J$2:$J$3001,$N2354))</f>
        <v/>
      </c>
      <c r="M2354" s="2" t="str">
        <f>IF($N2354="","",IF(AND(G2354=0,H2354=0),"수량 없음",IF(G2354=0,"신규 (전년 수량 없음)",IF(H2354=0,"당해 수량 없음",""))))</f>
        <v/>
      </c>
      <c r="N2354" t="str">
        <f>IF($B2354="","",MATCH($B2354,'_calc'!$L$2:$L$3001,0))</f>
        <v/>
      </c>
    </row>
    <row r="2355">
      <c r="B2355" s="24" t="str">
        <f>IF(ROW()-ROW($B$8)&gt;nComp,"",ROW()-ROW($B$8))</f>
        <v/>
      </c>
      <c r="C2355" t="str">
        <f>IF($N2355="","",INDEX('_calc'!$A$2:$A$3001,$N2355))</f>
        <v/>
      </c>
      <c r="D2355" s="25" t="str">
        <f>IF($N2355="","",INDEX('_calc'!$C$2:$C$3001,$N2355))</f>
        <v/>
      </c>
      <c r="E2355" s="25" t="str">
        <f>IF($N2355="","",INDEX('_calc'!$D$2:$D$3001,$N2355))</f>
        <v/>
      </c>
      <c r="F2355" s="26" t="str">
        <f>IF($N2355="","",IF($E$8=0,"",E2355/$E$8))</f>
        <v/>
      </c>
      <c r="G2355" s="25" t="str">
        <f>IF($N2355="","",INDEX('_calc'!$E$2:$E$3001,$N2355))</f>
        <v/>
      </c>
      <c r="H2355" s="25" t="str">
        <f>IF($N2355="","",INDEX('_calc'!$F$2:$F$3001,$N2355))</f>
        <v/>
      </c>
      <c r="I2355" s="27" t="str">
        <f>IF($N2355="","",INDEX('_calc'!$H$2:$H$3001,$N2355))</f>
        <v/>
      </c>
      <c r="J2355" s="27" t="str">
        <f>IF($N2355="","",INDEX('_calc'!$I$2:$I$3001,$N2355))</f>
        <v/>
      </c>
      <c r="K2355" s="28" t="str">
        <f>IF($N2355="","",IF(OR(I2355="",J2355=""),"",J2355-I2355))</f>
        <v/>
      </c>
      <c r="L2355" s="29" t="str">
        <f>IF($N2355="","",INDEX('_calc'!$J$2:$J$3001,$N2355))</f>
        <v/>
      </c>
      <c r="M2355" s="2" t="str">
        <f>IF($N2355="","",IF(AND(G2355=0,H2355=0),"수량 없음",IF(G2355=0,"신규 (전년 수량 없음)",IF(H2355=0,"당해 수량 없음",""))))</f>
        <v/>
      </c>
      <c r="N2355" t="str">
        <f>IF($B2355="","",MATCH($B2355,'_calc'!$L$2:$L$3001,0))</f>
        <v/>
      </c>
    </row>
    <row r="2356">
      <c r="B2356" s="24" t="str">
        <f>IF(ROW()-ROW($B$8)&gt;nComp,"",ROW()-ROW($B$8))</f>
        <v/>
      </c>
      <c r="C2356" t="str">
        <f>IF($N2356="","",INDEX('_calc'!$A$2:$A$3001,$N2356))</f>
        <v/>
      </c>
      <c r="D2356" s="25" t="str">
        <f>IF($N2356="","",INDEX('_calc'!$C$2:$C$3001,$N2356))</f>
        <v/>
      </c>
      <c r="E2356" s="25" t="str">
        <f>IF($N2356="","",INDEX('_calc'!$D$2:$D$3001,$N2356))</f>
        <v/>
      </c>
      <c r="F2356" s="26" t="str">
        <f>IF($N2356="","",IF($E$8=0,"",E2356/$E$8))</f>
        <v/>
      </c>
      <c r="G2356" s="25" t="str">
        <f>IF($N2356="","",INDEX('_calc'!$E$2:$E$3001,$N2356))</f>
        <v/>
      </c>
      <c r="H2356" s="25" t="str">
        <f>IF($N2356="","",INDEX('_calc'!$F$2:$F$3001,$N2356))</f>
        <v/>
      </c>
      <c r="I2356" s="27" t="str">
        <f>IF($N2356="","",INDEX('_calc'!$H$2:$H$3001,$N2356))</f>
        <v/>
      </c>
      <c r="J2356" s="27" t="str">
        <f>IF($N2356="","",INDEX('_calc'!$I$2:$I$3001,$N2356))</f>
        <v/>
      </c>
      <c r="K2356" s="28" t="str">
        <f>IF($N2356="","",IF(OR(I2356="",J2356=""),"",J2356-I2356))</f>
        <v/>
      </c>
      <c r="L2356" s="29" t="str">
        <f>IF($N2356="","",INDEX('_calc'!$J$2:$J$3001,$N2356))</f>
        <v/>
      </c>
      <c r="M2356" s="2" t="str">
        <f>IF($N2356="","",IF(AND(G2356=0,H2356=0),"수량 없음",IF(G2356=0,"신규 (전년 수량 없음)",IF(H2356=0,"당해 수량 없음",""))))</f>
        <v/>
      </c>
      <c r="N2356" t="str">
        <f>IF($B2356="","",MATCH($B2356,'_calc'!$L$2:$L$3001,0))</f>
        <v/>
      </c>
    </row>
    <row r="2357">
      <c r="B2357" s="24" t="str">
        <f>IF(ROW()-ROW($B$8)&gt;nComp,"",ROW()-ROW($B$8))</f>
        <v/>
      </c>
      <c r="C2357" t="str">
        <f>IF($N2357="","",INDEX('_calc'!$A$2:$A$3001,$N2357))</f>
        <v/>
      </c>
      <c r="D2357" s="25" t="str">
        <f>IF($N2357="","",INDEX('_calc'!$C$2:$C$3001,$N2357))</f>
        <v/>
      </c>
      <c r="E2357" s="25" t="str">
        <f>IF($N2357="","",INDEX('_calc'!$D$2:$D$3001,$N2357))</f>
        <v/>
      </c>
      <c r="F2357" s="26" t="str">
        <f>IF($N2357="","",IF($E$8=0,"",E2357/$E$8))</f>
        <v/>
      </c>
      <c r="G2357" s="25" t="str">
        <f>IF($N2357="","",INDEX('_calc'!$E$2:$E$3001,$N2357))</f>
        <v/>
      </c>
      <c r="H2357" s="25" t="str">
        <f>IF($N2357="","",INDEX('_calc'!$F$2:$F$3001,$N2357))</f>
        <v/>
      </c>
      <c r="I2357" s="27" t="str">
        <f>IF($N2357="","",INDEX('_calc'!$H$2:$H$3001,$N2357))</f>
        <v/>
      </c>
      <c r="J2357" s="27" t="str">
        <f>IF($N2357="","",INDEX('_calc'!$I$2:$I$3001,$N2357))</f>
        <v/>
      </c>
      <c r="K2357" s="28" t="str">
        <f>IF($N2357="","",IF(OR(I2357="",J2357=""),"",J2357-I2357))</f>
        <v/>
      </c>
      <c r="L2357" s="29" t="str">
        <f>IF($N2357="","",INDEX('_calc'!$J$2:$J$3001,$N2357))</f>
        <v/>
      </c>
      <c r="M2357" s="2" t="str">
        <f>IF($N2357="","",IF(AND(G2357=0,H2357=0),"수량 없음",IF(G2357=0,"신규 (전년 수량 없음)",IF(H2357=0,"당해 수량 없음",""))))</f>
        <v/>
      </c>
      <c r="N2357" t="str">
        <f>IF($B2357="","",MATCH($B2357,'_calc'!$L$2:$L$3001,0))</f>
        <v/>
      </c>
    </row>
    <row r="2358">
      <c r="B2358" s="24" t="str">
        <f>IF(ROW()-ROW($B$8)&gt;nComp,"",ROW()-ROW($B$8))</f>
        <v/>
      </c>
      <c r="C2358" t="str">
        <f>IF($N2358="","",INDEX('_calc'!$A$2:$A$3001,$N2358))</f>
        <v/>
      </c>
      <c r="D2358" s="25" t="str">
        <f>IF($N2358="","",INDEX('_calc'!$C$2:$C$3001,$N2358))</f>
        <v/>
      </c>
      <c r="E2358" s="25" t="str">
        <f>IF($N2358="","",INDEX('_calc'!$D$2:$D$3001,$N2358))</f>
        <v/>
      </c>
      <c r="F2358" s="26" t="str">
        <f>IF($N2358="","",IF($E$8=0,"",E2358/$E$8))</f>
        <v/>
      </c>
      <c r="G2358" s="25" t="str">
        <f>IF($N2358="","",INDEX('_calc'!$E$2:$E$3001,$N2358))</f>
        <v/>
      </c>
      <c r="H2358" s="25" t="str">
        <f>IF($N2358="","",INDEX('_calc'!$F$2:$F$3001,$N2358))</f>
        <v/>
      </c>
      <c r="I2358" s="27" t="str">
        <f>IF($N2358="","",INDEX('_calc'!$H$2:$H$3001,$N2358))</f>
        <v/>
      </c>
      <c r="J2358" s="27" t="str">
        <f>IF($N2358="","",INDEX('_calc'!$I$2:$I$3001,$N2358))</f>
        <v/>
      </c>
      <c r="K2358" s="28" t="str">
        <f>IF($N2358="","",IF(OR(I2358="",J2358=""),"",J2358-I2358))</f>
        <v/>
      </c>
      <c r="L2358" s="29" t="str">
        <f>IF($N2358="","",INDEX('_calc'!$J$2:$J$3001,$N2358))</f>
        <v/>
      </c>
      <c r="M2358" s="2" t="str">
        <f>IF($N2358="","",IF(AND(G2358=0,H2358=0),"수량 없음",IF(G2358=0,"신규 (전년 수량 없음)",IF(H2358=0,"당해 수량 없음",""))))</f>
        <v/>
      </c>
      <c r="N2358" t="str">
        <f>IF($B2358="","",MATCH($B2358,'_calc'!$L$2:$L$3001,0))</f>
        <v/>
      </c>
    </row>
    <row r="2359">
      <c r="B2359" s="24" t="str">
        <f>IF(ROW()-ROW($B$8)&gt;nComp,"",ROW()-ROW($B$8))</f>
        <v/>
      </c>
      <c r="C2359" t="str">
        <f>IF($N2359="","",INDEX('_calc'!$A$2:$A$3001,$N2359))</f>
        <v/>
      </c>
      <c r="D2359" s="25" t="str">
        <f>IF($N2359="","",INDEX('_calc'!$C$2:$C$3001,$N2359))</f>
        <v/>
      </c>
      <c r="E2359" s="25" t="str">
        <f>IF($N2359="","",INDEX('_calc'!$D$2:$D$3001,$N2359))</f>
        <v/>
      </c>
      <c r="F2359" s="26" t="str">
        <f>IF($N2359="","",IF($E$8=0,"",E2359/$E$8))</f>
        <v/>
      </c>
      <c r="G2359" s="25" t="str">
        <f>IF($N2359="","",INDEX('_calc'!$E$2:$E$3001,$N2359))</f>
        <v/>
      </c>
      <c r="H2359" s="25" t="str">
        <f>IF($N2359="","",INDEX('_calc'!$F$2:$F$3001,$N2359))</f>
        <v/>
      </c>
      <c r="I2359" s="27" t="str">
        <f>IF($N2359="","",INDEX('_calc'!$H$2:$H$3001,$N2359))</f>
        <v/>
      </c>
      <c r="J2359" s="27" t="str">
        <f>IF($N2359="","",INDEX('_calc'!$I$2:$I$3001,$N2359))</f>
        <v/>
      </c>
      <c r="K2359" s="28" t="str">
        <f>IF($N2359="","",IF(OR(I2359="",J2359=""),"",J2359-I2359))</f>
        <v/>
      </c>
      <c r="L2359" s="29" t="str">
        <f>IF($N2359="","",INDEX('_calc'!$J$2:$J$3001,$N2359))</f>
        <v/>
      </c>
      <c r="M2359" s="2" t="str">
        <f>IF($N2359="","",IF(AND(G2359=0,H2359=0),"수량 없음",IF(G2359=0,"신규 (전년 수량 없음)",IF(H2359=0,"당해 수량 없음",""))))</f>
        <v/>
      </c>
      <c r="N2359" t="str">
        <f>IF($B2359="","",MATCH($B2359,'_calc'!$L$2:$L$3001,0))</f>
        <v/>
      </c>
    </row>
    <row r="2360">
      <c r="B2360" s="24" t="str">
        <f>IF(ROW()-ROW($B$8)&gt;nComp,"",ROW()-ROW($B$8))</f>
        <v/>
      </c>
      <c r="C2360" t="str">
        <f>IF($N2360="","",INDEX('_calc'!$A$2:$A$3001,$N2360))</f>
        <v/>
      </c>
      <c r="D2360" s="25" t="str">
        <f>IF($N2360="","",INDEX('_calc'!$C$2:$C$3001,$N2360))</f>
        <v/>
      </c>
      <c r="E2360" s="25" t="str">
        <f>IF($N2360="","",INDEX('_calc'!$D$2:$D$3001,$N2360))</f>
        <v/>
      </c>
      <c r="F2360" s="26" t="str">
        <f>IF($N2360="","",IF($E$8=0,"",E2360/$E$8))</f>
        <v/>
      </c>
      <c r="G2360" s="25" t="str">
        <f>IF($N2360="","",INDEX('_calc'!$E$2:$E$3001,$N2360))</f>
        <v/>
      </c>
      <c r="H2360" s="25" t="str">
        <f>IF($N2360="","",INDEX('_calc'!$F$2:$F$3001,$N2360))</f>
        <v/>
      </c>
      <c r="I2360" s="27" t="str">
        <f>IF($N2360="","",INDEX('_calc'!$H$2:$H$3001,$N2360))</f>
        <v/>
      </c>
      <c r="J2360" s="27" t="str">
        <f>IF($N2360="","",INDEX('_calc'!$I$2:$I$3001,$N2360))</f>
        <v/>
      </c>
      <c r="K2360" s="28" t="str">
        <f>IF($N2360="","",IF(OR(I2360="",J2360=""),"",J2360-I2360))</f>
        <v/>
      </c>
      <c r="L2360" s="29" t="str">
        <f>IF($N2360="","",INDEX('_calc'!$J$2:$J$3001,$N2360))</f>
        <v/>
      </c>
      <c r="M2360" s="2" t="str">
        <f>IF($N2360="","",IF(AND(G2360=0,H2360=0),"수량 없음",IF(G2360=0,"신규 (전년 수량 없음)",IF(H2360=0,"당해 수량 없음",""))))</f>
        <v/>
      </c>
      <c r="N2360" t="str">
        <f>IF($B2360="","",MATCH($B2360,'_calc'!$L$2:$L$3001,0))</f>
        <v/>
      </c>
    </row>
    <row r="2361">
      <c r="B2361" s="24" t="str">
        <f>IF(ROW()-ROW($B$8)&gt;nComp,"",ROW()-ROW($B$8))</f>
        <v/>
      </c>
      <c r="C2361" t="str">
        <f>IF($N2361="","",INDEX('_calc'!$A$2:$A$3001,$N2361))</f>
        <v/>
      </c>
      <c r="D2361" s="25" t="str">
        <f>IF($N2361="","",INDEX('_calc'!$C$2:$C$3001,$N2361))</f>
        <v/>
      </c>
      <c r="E2361" s="25" t="str">
        <f>IF($N2361="","",INDEX('_calc'!$D$2:$D$3001,$N2361))</f>
        <v/>
      </c>
      <c r="F2361" s="26" t="str">
        <f>IF($N2361="","",IF($E$8=0,"",E2361/$E$8))</f>
        <v/>
      </c>
      <c r="G2361" s="25" t="str">
        <f>IF($N2361="","",INDEX('_calc'!$E$2:$E$3001,$N2361))</f>
        <v/>
      </c>
      <c r="H2361" s="25" t="str">
        <f>IF($N2361="","",INDEX('_calc'!$F$2:$F$3001,$N2361))</f>
        <v/>
      </c>
      <c r="I2361" s="27" t="str">
        <f>IF($N2361="","",INDEX('_calc'!$H$2:$H$3001,$N2361))</f>
        <v/>
      </c>
      <c r="J2361" s="27" t="str">
        <f>IF($N2361="","",INDEX('_calc'!$I$2:$I$3001,$N2361))</f>
        <v/>
      </c>
      <c r="K2361" s="28" t="str">
        <f>IF($N2361="","",IF(OR(I2361="",J2361=""),"",J2361-I2361))</f>
        <v/>
      </c>
      <c r="L2361" s="29" t="str">
        <f>IF($N2361="","",INDEX('_calc'!$J$2:$J$3001,$N2361))</f>
        <v/>
      </c>
      <c r="M2361" s="2" t="str">
        <f>IF($N2361="","",IF(AND(G2361=0,H2361=0),"수량 없음",IF(G2361=0,"신규 (전년 수량 없음)",IF(H2361=0,"당해 수량 없음",""))))</f>
        <v/>
      </c>
      <c r="N2361" t="str">
        <f>IF($B2361="","",MATCH($B2361,'_calc'!$L$2:$L$3001,0))</f>
        <v/>
      </c>
    </row>
    <row r="2362">
      <c r="B2362" s="24" t="str">
        <f>IF(ROW()-ROW($B$8)&gt;nComp,"",ROW()-ROW($B$8))</f>
        <v/>
      </c>
      <c r="C2362" t="str">
        <f>IF($N2362="","",INDEX('_calc'!$A$2:$A$3001,$N2362))</f>
        <v/>
      </c>
      <c r="D2362" s="25" t="str">
        <f>IF($N2362="","",INDEX('_calc'!$C$2:$C$3001,$N2362))</f>
        <v/>
      </c>
      <c r="E2362" s="25" t="str">
        <f>IF($N2362="","",INDEX('_calc'!$D$2:$D$3001,$N2362))</f>
        <v/>
      </c>
      <c r="F2362" s="26" t="str">
        <f>IF($N2362="","",IF($E$8=0,"",E2362/$E$8))</f>
        <v/>
      </c>
      <c r="G2362" s="25" t="str">
        <f>IF($N2362="","",INDEX('_calc'!$E$2:$E$3001,$N2362))</f>
        <v/>
      </c>
      <c r="H2362" s="25" t="str">
        <f>IF($N2362="","",INDEX('_calc'!$F$2:$F$3001,$N2362))</f>
        <v/>
      </c>
      <c r="I2362" s="27" t="str">
        <f>IF($N2362="","",INDEX('_calc'!$H$2:$H$3001,$N2362))</f>
        <v/>
      </c>
      <c r="J2362" s="27" t="str">
        <f>IF($N2362="","",INDEX('_calc'!$I$2:$I$3001,$N2362))</f>
        <v/>
      </c>
      <c r="K2362" s="28" t="str">
        <f>IF($N2362="","",IF(OR(I2362="",J2362=""),"",J2362-I2362))</f>
        <v/>
      </c>
      <c r="L2362" s="29" t="str">
        <f>IF($N2362="","",INDEX('_calc'!$J$2:$J$3001,$N2362))</f>
        <v/>
      </c>
      <c r="M2362" s="2" t="str">
        <f>IF($N2362="","",IF(AND(G2362=0,H2362=0),"수량 없음",IF(G2362=0,"신규 (전년 수량 없음)",IF(H2362=0,"당해 수량 없음",""))))</f>
        <v/>
      </c>
      <c r="N2362" t="str">
        <f>IF($B2362="","",MATCH($B2362,'_calc'!$L$2:$L$3001,0))</f>
        <v/>
      </c>
    </row>
    <row r="2363">
      <c r="B2363" s="24" t="str">
        <f>IF(ROW()-ROW($B$8)&gt;nComp,"",ROW()-ROW($B$8))</f>
        <v/>
      </c>
      <c r="C2363" t="str">
        <f>IF($N2363="","",INDEX('_calc'!$A$2:$A$3001,$N2363))</f>
        <v/>
      </c>
      <c r="D2363" s="25" t="str">
        <f>IF($N2363="","",INDEX('_calc'!$C$2:$C$3001,$N2363))</f>
        <v/>
      </c>
      <c r="E2363" s="25" t="str">
        <f>IF($N2363="","",INDEX('_calc'!$D$2:$D$3001,$N2363))</f>
        <v/>
      </c>
      <c r="F2363" s="26" t="str">
        <f>IF($N2363="","",IF($E$8=0,"",E2363/$E$8))</f>
        <v/>
      </c>
      <c r="G2363" s="25" t="str">
        <f>IF($N2363="","",INDEX('_calc'!$E$2:$E$3001,$N2363))</f>
        <v/>
      </c>
      <c r="H2363" s="25" t="str">
        <f>IF($N2363="","",INDEX('_calc'!$F$2:$F$3001,$N2363))</f>
        <v/>
      </c>
      <c r="I2363" s="27" t="str">
        <f>IF($N2363="","",INDEX('_calc'!$H$2:$H$3001,$N2363))</f>
        <v/>
      </c>
      <c r="J2363" s="27" t="str">
        <f>IF($N2363="","",INDEX('_calc'!$I$2:$I$3001,$N2363))</f>
        <v/>
      </c>
      <c r="K2363" s="28" t="str">
        <f>IF($N2363="","",IF(OR(I2363="",J2363=""),"",J2363-I2363))</f>
        <v/>
      </c>
      <c r="L2363" s="29" t="str">
        <f>IF($N2363="","",INDEX('_calc'!$J$2:$J$3001,$N2363))</f>
        <v/>
      </c>
      <c r="M2363" s="2" t="str">
        <f>IF($N2363="","",IF(AND(G2363=0,H2363=0),"수량 없음",IF(G2363=0,"신규 (전년 수량 없음)",IF(H2363=0,"당해 수량 없음",""))))</f>
        <v/>
      </c>
      <c r="N2363" t="str">
        <f>IF($B2363="","",MATCH($B2363,'_calc'!$L$2:$L$3001,0))</f>
        <v/>
      </c>
    </row>
    <row r="2364">
      <c r="B2364" s="24" t="str">
        <f>IF(ROW()-ROW($B$8)&gt;nComp,"",ROW()-ROW($B$8))</f>
        <v/>
      </c>
      <c r="C2364" t="str">
        <f>IF($N2364="","",INDEX('_calc'!$A$2:$A$3001,$N2364))</f>
        <v/>
      </c>
      <c r="D2364" s="25" t="str">
        <f>IF($N2364="","",INDEX('_calc'!$C$2:$C$3001,$N2364))</f>
        <v/>
      </c>
      <c r="E2364" s="25" t="str">
        <f>IF($N2364="","",INDEX('_calc'!$D$2:$D$3001,$N2364))</f>
        <v/>
      </c>
      <c r="F2364" s="26" t="str">
        <f>IF($N2364="","",IF($E$8=0,"",E2364/$E$8))</f>
        <v/>
      </c>
      <c r="G2364" s="25" t="str">
        <f>IF($N2364="","",INDEX('_calc'!$E$2:$E$3001,$N2364))</f>
        <v/>
      </c>
      <c r="H2364" s="25" t="str">
        <f>IF($N2364="","",INDEX('_calc'!$F$2:$F$3001,$N2364))</f>
        <v/>
      </c>
      <c r="I2364" s="27" t="str">
        <f>IF($N2364="","",INDEX('_calc'!$H$2:$H$3001,$N2364))</f>
        <v/>
      </c>
      <c r="J2364" s="27" t="str">
        <f>IF($N2364="","",INDEX('_calc'!$I$2:$I$3001,$N2364))</f>
        <v/>
      </c>
      <c r="K2364" s="28" t="str">
        <f>IF($N2364="","",IF(OR(I2364="",J2364=""),"",J2364-I2364))</f>
        <v/>
      </c>
      <c r="L2364" s="29" t="str">
        <f>IF($N2364="","",INDEX('_calc'!$J$2:$J$3001,$N2364))</f>
        <v/>
      </c>
      <c r="M2364" s="2" t="str">
        <f>IF($N2364="","",IF(AND(G2364=0,H2364=0),"수량 없음",IF(G2364=0,"신규 (전년 수량 없음)",IF(H2364=0,"당해 수량 없음",""))))</f>
        <v/>
      </c>
      <c r="N2364" t="str">
        <f>IF($B2364="","",MATCH($B2364,'_calc'!$L$2:$L$3001,0))</f>
        <v/>
      </c>
    </row>
    <row r="2365">
      <c r="B2365" s="24" t="str">
        <f>IF(ROW()-ROW($B$8)&gt;nComp,"",ROW()-ROW($B$8))</f>
        <v/>
      </c>
      <c r="C2365" t="str">
        <f>IF($N2365="","",INDEX('_calc'!$A$2:$A$3001,$N2365))</f>
        <v/>
      </c>
      <c r="D2365" s="25" t="str">
        <f>IF($N2365="","",INDEX('_calc'!$C$2:$C$3001,$N2365))</f>
        <v/>
      </c>
      <c r="E2365" s="25" t="str">
        <f>IF($N2365="","",INDEX('_calc'!$D$2:$D$3001,$N2365))</f>
        <v/>
      </c>
      <c r="F2365" s="26" t="str">
        <f>IF($N2365="","",IF($E$8=0,"",E2365/$E$8))</f>
        <v/>
      </c>
      <c r="G2365" s="25" t="str">
        <f>IF($N2365="","",INDEX('_calc'!$E$2:$E$3001,$N2365))</f>
        <v/>
      </c>
      <c r="H2365" s="25" t="str">
        <f>IF($N2365="","",INDEX('_calc'!$F$2:$F$3001,$N2365))</f>
        <v/>
      </c>
      <c r="I2365" s="27" t="str">
        <f>IF($N2365="","",INDEX('_calc'!$H$2:$H$3001,$N2365))</f>
        <v/>
      </c>
      <c r="J2365" s="27" t="str">
        <f>IF($N2365="","",INDEX('_calc'!$I$2:$I$3001,$N2365))</f>
        <v/>
      </c>
      <c r="K2365" s="28" t="str">
        <f>IF($N2365="","",IF(OR(I2365="",J2365=""),"",J2365-I2365))</f>
        <v/>
      </c>
      <c r="L2365" s="29" t="str">
        <f>IF($N2365="","",INDEX('_calc'!$J$2:$J$3001,$N2365))</f>
        <v/>
      </c>
      <c r="M2365" s="2" t="str">
        <f>IF($N2365="","",IF(AND(G2365=0,H2365=0),"수량 없음",IF(G2365=0,"신규 (전년 수량 없음)",IF(H2365=0,"당해 수량 없음",""))))</f>
        <v/>
      </c>
      <c r="N2365" t="str">
        <f>IF($B2365="","",MATCH($B2365,'_calc'!$L$2:$L$3001,0))</f>
        <v/>
      </c>
    </row>
    <row r="2366">
      <c r="B2366" s="24" t="str">
        <f>IF(ROW()-ROW($B$8)&gt;nComp,"",ROW()-ROW($B$8))</f>
        <v/>
      </c>
      <c r="C2366" t="str">
        <f>IF($N2366="","",INDEX('_calc'!$A$2:$A$3001,$N2366))</f>
        <v/>
      </c>
      <c r="D2366" s="25" t="str">
        <f>IF($N2366="","",INDEX('_calc'!$C$2:$C$3001,$N2366))</f>
        <v/>
      </c>
      <c r="E2366" s="25" t="str">
        <f>IF($N2366="","",INDEX('_calc'!$D$2:$D$3001,$N2366))</f>
        <v/>
      </c>
      <c r="F2366" s="26" t="str">
        <f>IF($N2366="","",IF($E$8=0,"",E2366/$E$8))</f>
        <v/>
      </c>
      <c r="G2366" s="25" t="str">
        <f>IF($N2366="","",INDEX('_calc'!$E$2:$E$3001,$N2366))</f>
        <v/>
      </c>
      <c r="H2366" s="25" t="str">
        <f>IF($N2366="","",INDEX('_calc'!$F$2:$F$3001,$N2366))</f>
        <v/>
      </c>
      <c r="I2366" s="27" t="str">
        <f>IF($N2366="","",INDEX('_calc'!$H$2:$H$3001,$N2366))</f>
        <v/>
      </c>
      <c r="J2366" s="27" t="str">
        <f>IF($N2366="","",INDEX('_calc'!$I$2:$I$3001,$N2366))</f>
        <v/>
      </c>
      <c r="K2366" s="28" t="str">
        <f>IF($N2366="","",IF(OR(I2366="",J2366=""),"",J2366-I2366))</f>
        <v/>
      </c>
      <c r="L2366" s="29" t="str">
        <f>IF($N2366="","",INDEX('_calc'!$J$2:$J$3001,$N2366))</f>
        <v/>
      </c>
      <c r="M2366" s="2" t="str">
        <f>IF($N2366="","",IF(AND(G2366=0,H2366=0),"수량 없음",IF(G2366=0,"신규 (전년 수량 없음)",IF(H2366=0,"당해 수량 없음",""))))</f>
        <v/>
      </c>
      <c r="N2366" t="str">
        <f>IF($B2366="","",MATCH($B2366,'_calc'!$L$2:$L$3001,0))</f>
        <v/>
      </c>
    </row>
    <row r="2367">
      <c r="B2367" s="24" t="str">
        <f>IF(ROW()-ROW($B$8)&gt;nComp,"",ROW()-ROW($B$8))</f>
        <v/>
      </c>
      <c r="C2367" t="str">
        <f>IF($N2367="","",INDEX('_calc'!$A$2:$A$3001,$N2367))</f>
        <v/>
      </c>
      <c r="D2367" s="25" t="str">
        <f>IF($N2367="","",INDEX('_calc'!$C$2:$C$3001,$N2367))</f>
        <v/>
      </c>
      <c r="E2367" s="25" t="str">
        <f>IF($N2367="","",INDEX('_calc'!$D$2:$D$3001,$N2367))</f>
        <v/>
      </c>
      <c r="F2367" s="26" t="str">
        <f>IF($N2367="","",IF($E$8=0,"",E2367/$E$8))</f>
        <v/>
      </c>
      <c r="G2367" s="25" t="str">
        <f>IF($N2367="","",INDEX('_calc'!$E$2:$E$3001,$N2367))</f>
        <v/>
      </c>
      <c r="H2367" s="25" t="str">
        <f>IF($N2367="","",INDEX('_calc'!$F$2:$F$3001,$N2367))</f>
        <v/>
      </c>
      <c r="I2367" s="27" t="str">
        <f>IF($N2367="","",INDEX('_calc'!$H$2:$H$3001,$N2367))</f>
        <v/>
      </c>
      <c r="J2367" s="27" t="str">
        <f>IF($N2367="","",INDEX('_calc'!$I$2:$I$3001,$N2367))</f>
        <v/>
      </c>
      <c r="K2367" s="28" t="str">
        <f>IF($N2367="","",IF(OR(I2367="",J2367=""),"",J2367-I2367))</f>
        <v/>
      </c>
      <c r="L2367" s="29" t="str">
        <f>IF($N2367="","",INDEX('_calc'!$J$2:$J$3001,$N2367))</f>
        <v/>
      </c>
      <c r="M2367" s="2" t="str">
        <f>IF($N2367="","",IF(AND(G2367=0,H2367=0),"수량 없음",IF(G2367=0,"신규 (전년 수량 없음)",IF(H2367=0,"당해 수량 없음",""))))</f>
        <v/>
      </c>
      <c r="N2367" t="str">
        <f>IF($B2367="","",MATCH($B2367,'_calc'!$L$2:$L$3001,0))</f>
        <v/>
      </c>
    </row>
    <row r="2368">
      <c r="B2368" s="24" t="str">
        <f>IF(ROW()-ROW($B$8)&gt;nComp,"",ROW()-ROW($B$8))</f>
        <v/>
      </c>
      <c r="C2368" t="str">
        <f>IF($N2368="","",INDEX('_calc'!$A$2:$A$3001,$N2368))</f>
        <v/>
      </c>
      <c r="D2368" s="25" t="str">
        <f>IF($N2368="","",INDEX('_calc'!$C$2:$C$3001,$N2368))</f>
        <v/>
      </c>
      <c r="E2368" s="25" t="str">
        <f>IF($N2368="","",INDEX('_calc'!$D$2:$D$3001,$N2368))</f>
        <v/>
      </c>
      <c r="F2368" s="26" t="str">
        <f>IF($N2368="","",IF($E$8=0,"",E2368/$E$8))</f>
        <v/>
      </c>
      <c r="G2368" s="25" t="str">
        <f>IF($N2368="","",INDEX('_calc'!$E$2:$E$3001,$N2368))</f>
        <v/>
      </c>
      <c r="H2368" s="25" t="str">
        <f>IF($N2368="","",INDEX('_calc'!$F$2:$F$3001,$N2368))</f>
        <v/>
      </c>
      <c r="I2368" s="27" t="str">
        <f>IF($N2368="","",INDEX('_calc'!$H$2:$H$3001,$N2368))</f>
        <v/>
      </c>
      <c r="J2368" s="27" t="str">
        <f>IF($N2368="","",INDEX('_calc'!$I$2:$I$3001,$N2368))</f>
        <v/>
      </c>
      <c r="K2368" s="28" t="str">
        <f>IF($N2368="","",IF(OR(I2368="",J2368=""),"",J2368-I2368))</f>
        <v/>
      </c>
      <c r="L2368" s="29" t="str">
        <f>IF($N2368="","",INDEX('_calc'!$J$2:$J$3001,$N2368))</f>
        <v/>
      </c>
      <c r="M2368" s="2" t="str">
        <f>IF($N2368="","",IF(AND(G2368=0,H2368=0),"수량 없음",IF(G2368=0,"신규 (전년 수량 없음)",IF(H2368=0,"당해 수량 없음",""))))</f>
        <v/>
      </c>
      <c r="N2368" t="str">
        <f>IF($B2368="","",MATCH($B2368,'_calc'!$L$2:$L$3001,0))</f>
        <v/>
      </c>
    </row>
    <row r="2369">
      <c r="B2369" s="24" t="str">
        <f>IF(ROW()-ROW($B$8)&gt;nComp,"",ROW()-ROW($B$8))</f>
        <v/>
      </c>
      <c r="C2369" t="str">
        <f>IF($N2369="","",INDEX('_calc'!$A$2:$A$3001,$N2369))</f>
        <v/>
      </c>
      <c r="D2369" s="25" t="str">
        <f>IF($N2369="","",INDEX('_calc'!$C$2:$C$3001,$N2369))</f>
        <v/>
      </c>
      <c r="E2369" s="25" t="str">
        <f>IF($N2369="","",INDEX('_calc'!$D$2:$D$3001,$N2369))</f>
        <v/>
      </c>
      <c r="F2369" s="26" t="str">
        <f>IF($N2369="","",IF($E$8=0,"",E2369/$E$8))</f>
        <v/>
      </c>
      <c r="G2369" s="25" t="str">
        <f>IF($N2369="","",INDEX('_calc'!$E$2:$E$3001,$N2369))</f>
        <v/>
      </c>
      <c r="H2369" s="25" t="str">
        <f>IF($N2369="","",INDEX('_calc'!$F$2:$F$3001,$N2369))</f>
        <v/>
      </c>
      <c r="I2369" s="27" t="str">
        <f>IF($N2369="","",INDEX('_calc'!$H$2:$H$3001,$N2369))</f>
        <v/>
      </c>
      <c r="J2369" s="27" t="str">
        <f>IF($N2369="","",INDEX('_calc'!$I$2:$I$3001,$N2369))</f>
        <v/>
      </c>
      <c r="K2369" s="28" t="str">
        <f>IF($N2369="","",IF(OR(I2369="",J2369=""),"",J2369-I2369))</f>
        <v/>
      </c>
      <c r="L2369" s="29" t="str">
        <f>IF($N2369="","",INDEX('_calc'!$J$2:$J$3001,$N2369))</f>
        <v/>
      </c>
      <c r="M2369" s="2" t="str">
        <f>IF($N2369="","",IF(AND(G2369=0,H2369=0),"수량 없음",IF(G2369=0,"신규 (전년 수량 없음)",IF(H2369=0,"당해 수량 없음",""))))</f>
        <v/>
      </c>
      <c r="N2369" t="str">
        <f>IF($B2369="","",MATCH($B2369,'_calc'!$L$2:$L$3001,0))</f>
        <v/>
      </c>
    </row>
    <row r="2370">
      <c r="B2370" s="24" t="str">
        <f>IF(ROW()-ROW($B$8)&gt;nComp,"",ROW()-ROW($B$8))</f>
        <v/>
      </c>
      <c r="C2370" t="str">
        <f>IF($N2370="","",INDEX('_calc'!$A$2:$A$3001,$N2370))</f>
        <v/>
      </c>
      <c r="D2370" s="25" t="str">
        <f>IF($N2370="","",INDEX('_calc'!$C$2:$C$3001,$N2370))</f>
        <v/>
      </c>
      <c r="E2370" s="25" t="str">
        <f>IF($N2370="","",INDEX('_calc'!$D$2:$D$3001,$N2370))</f>
        <v/>
      </c>
      <c r="F2370" s="26" t="str">
        <f>IF($N2370="","",IF($E$8=0,"",E2370/$E$8))</f>
        <v/>
      </c>
      <c r="G2370" s="25" t="str">
        <f>IF($N2370="","",INDEX('_calc'!$E$2:$E$3001,$N2370))</f>
        <v/>
      </c>
      <c r="H2370" s="25" t="str">
        <f>IF($N2370="","",INDEX('_calc'!$F$2:$F$3001,$N2370))</f>
        <v/>
      </c>
      <c r="I2370" s="27" t="str">
        <f>IF($N2370="","",INDEX('_calc'!$H$2:$H$3001,$N2370))</f>
        <v/>
      </c>
      <c r="J2370" s="27" t="str">
        <f>IF($N2370="","",INDEX('_calc'!$I$2:$I$3001,$N2370))</f>
        <v/>
      </c>
      <c r="K2370" s="28" t="str">
        <f>IF($N2370="","",IF(OR(I2370="",J2370=""),"",J2370-I2370))</f>
        <v/>
      </c>
      <c r="L2370" s="29" t="str">
        <f>IF($N2370="","",INDEX('_calc'!$J$2:$J$3001,$N2370))</f>
        <v/>
      </c>
      <c r="M2370" s="2" t="str">
        <f>IF($N2370="","",IF(AND(G2370=0,H2370=0),"수량 없음",IF(G2370=0,"신규 (전년 수량 없음)",IF(H2370=0,"당해 수량 없음",""))))</f>
        <v/>
      </c>
      <c r="N2370" t="str">
        <f>IF($B2370="","",MATCH($B2370,'_calc'!$L$2:$L$3001,0))</f>
        <v/>
      </c>
    </row>
    <row r="2371">
      <c r="B2371" s="24" t="str">
        <f>IF(ROW()-ROW($B$8)&gt;nComp,"",ROW()-ROW($B$8))</f>
        <v/>
      </c>
      <c r="C2371" t="str">
        <f>IF($N2371="","",INDEX('_calc'!$A$2:$A$3001,$N2371))</f>
        <v/>
      </c>
      <c r="D2371" s="25" t="str">
        <f>IF($N2371="","",INDEX('_calc'!$C$2:$C$3001,$N2371))</f>
        <v/>
      </c>
      <c r="E2371" s="25" t="str">
        <f>IF($N2371="","",INDEX('_calc'!$D$2:$D$3001,$N2371))</f>
        <v/>
      </c>
      <c r="F2371" s="26" t="str">
        <f>IF($N2371="","",IF($E$8=0,"",E2371/$E$8))</f>
        <v/>
      </c>
      <c r="G2371" s="25" t="str">
        <f>IF($N2371="","",INDEX('_calc'!$E$2:$E$3001,$N2371))</f>
        <v/>
      </c>
      <c r="H2371" s="25" t="str">
        <f>IF($N2371="","",INDEX('_calc'!$F$2:$F$3001,$N2371))</f>
        <v/>
      </c>
      <c r="I2371" s="27" t="str">
        <f>IF($N2371="","",INDEX('_calc'!$H$2:$H$3001,$N2371))</f>
        <v/>
      </c>
      <c r="J2371" s="27" t="str">
        <f>IF($N2371="","",INDEX('_calc'!$I$2:$I$3001,$N2371))</f>
        <v/>
      </c>
      <c r="K2371" s="28" t="str">
        <f>IF($N2371="","",IF(OR(I2371="",J2371=""),"",J2371-I2371))</f>
        <v/>
      </c>
      <c r="L2371" s="29" t="str">
        <f>IF($N2371="","",INDEX('_calc'!$J$2:$J$3001,$N2371))</f>
        <v/>
      </c>
      <c r="M2371" s="2" t="str">
        <f>IF($N2371="","",IF(AND(G2371=0,H2371=0),"수량 없음",IF(G2371=0,"신규 (전년 수량 없음)",IF(H2371=0,"당해 수량 없음",""))))</f>
        <v/>
      </c>
      <c r="N2371" t="str">
        <f>IF($B2371="","",MATCH($B2371,'_calc'!$L$2:$L$3001,0))</f>
        <v/>
      </c>
    </row>
    <row r="2372">
      <c r="B2372" s="24" t="str">
        <f>IF(ROW()-ROW($B$8)&gt;nComp,"",ROW()-ROW($B$8))</f>
        <v/>
      </c>
      <c r="C2372" t="str">
        <f>IF($N2372="","",INDEX('_calc'!$A$2:$A$3001,$N2372))</f>
        <v/>
      </c>
      <c r="D2372" s="25" t="str">
        <f>IF($N2372="","",INDEX('_calc'!$C$2:$C$3001,$N2372))</f>
        <v/>
      </c>
      <c r="E2372" s="25" t="str">
        <f>IF($N2372="","",INDEX('_calc'!$D$2:$D$3001,$N2372))</f>
        <v/>
      </c>
      <c r="F2372" s="26" t="str">
        <f>IF($N2372="","",IF($E$8=0,"",E2372/$E$8))</f>
        <v/>
      </c>
      <c r="G2372" s="25" t="str">
        <f>IF($N2372="","",INDEX('_calc'!$E$2:$E$3001,$N2372))</f>
        <v/>
      </c>
      <c r="H2372" s="25" t="str">
        <f>IF($N2372="","",INDEX('_calc'!$F$2:$F$3001,$N2372))</f>
        <v/>
      </c>
      <c r="I2372" s="27" t="str">
        <f>IF($N2372="","",INDEX('_calc'!$H$2:$H$3001,$N2372))</f>
        <v/>
      </c>
      <c r="J2372" s="27" t="str">
        <f>IF($N2372="","",INDEX('_calc'!$I$2:$I$3001,$N2372))</f>
        <v/>
      </c>
      <c r="K2372" s="28" t="str">
        <f>IF($N2372="","",IF(OR(I2372="",J2372=""),"",J2372-I2372))</f>
        <v/>
      </c>
      <c r="L2372" s="29" t="str">
        <f>IF($N2372="","",INDEX('_calc'!$J$2:$J$3001,$N2372))</f>
        <v/>
      </c>
      <c r="M2372" s="2" t="str">
        <f>IF($N2372="","",IF(AND(G2372=0,H2372=0),"수량 없음",IF(G2372=0,"신규 (전년 수량 없음)",IF(H2372=0,"당해 수량 없음",""))))</f>
        <v/>
      </c>
      <c r="N2372" t="str">
        <f>IF($B2372="","",MATCH($B2372,'_calc'!$L$2:$L$3001,0))</f>
        <v/>
      </c>
    </row>
    <row r="2373">
      <c r="B2373" s="24" t="str">
        <f>IF(ROW()-ROW($B$8)&gt;nComp,"",ROW()-ROW($B$8))</f>
        <v/>
      </c>
      <c r="C2373" t="str">
        <f>IF($N2373="","",INDEX('_calc'!$A$2:$A$3001,$N2373))</f>
        <v/>
      </c>
      <c r="D2373" s="25" t="str">
        <f>IF($N2373="","",INDEX('_calc'!$C$2:$C$3001,$N2373))</f>
        <v/>
      </c>
      <c r="E2373" s="25" t="str">
        <f>IF($N2373="","",INDEX('_calc'!$D$2:$D$3001,$N2373))</f>
        <v/>
      </c>
      <c r="F2373" s="26" t="str">
        <f>IF($N2373="","",IF($E$8=0,"",E2373/$E$8))</f>
        <v/>
      </c>
      <c r="G2373" s="25" t="str">
        <f>IF($N2373="","",INDEX('_calc'!$E$2:$E$3001,$N2373))</f>
        <v/>
      </c>
      <c r="H2373" s="25" t="str">
        <f>IF($N2373="","",INDEX('_calc'!$F$2:$F$3001,$N2373))</f>
        <v/>
      </c>
      <c r="I2373" s="27" t="str">
        <f>IF($N2373="","",INDEX('_calc'!$H$2:$H$3001,$N2373))</f>
        <v/>
      </c>
      <c r="J2373" s="27" t="str">
        <f>IF($N2373="","",INDEX('_calc'!$I$2:$I$3001,$N2373))</f>
        <v/>
      </c>
      <c r="K2373" s="28" t="str">
        <f>IF($N2373="","",IF(OR(I2373="",J2373=""),"",J2373-I2373))</f>
        <v/>
      </c>
      <c r="L2373" s="29" t="str">
        <f>IF($N2373="","",INDEX('_calc'!$J$2:$J$3001,$N2373))</f>
        <v/>
      </c>
      <c r="M2373" s="2" t="str">
        <f>IF($N2373="","",IF(AND(G2373=0,H2373=0),"수량 없음",IF(G2373=0,"신규 (전년 수량 없음)",IF(H2373=0,"당해 수량 없음",""))))</f>
        <v/>
      </c>
      <c r="N2373" t="str">
        <f>IF($B2373="","",MATCH($B2373,'_calc'!$L$2:$L$3001,0))</f>
        <v/>
      </c>
    </row>
    <row r="2374">
      <c r="B2374" s="24" t="str">
        <f>IF(ROW()-ROW($B$8)&gt;nComp,"",ROW()-ROW($B$8))</f>
        <v/>
      </c>
      <c r="C2374" t="str">
        <f>IF($N2374="","",INDEX('_calc'!$A$2:$A$3001,$N2374))</f>
        <v/>
      </c>
      <c r="D2374" s="25" t="str">
        <f>IF($N2374="","",INDEX('_calc'!$C$2:$C$3001,$N2374))</f>
        <v/>
      </c>
      <c r="E2374" s="25" t="str">
        <f>IF($N2374="","",INDEX('_calc'!$D$2:$D$3001,$N2374))</f>
        <v/>
      </c>
      <c r="F2374" s="26" t="str">
        <f>IF($N2374="","",IF($E$8=0,"",E2374/$E$8))</f>
        <v/>
      </c>
      <c r="G2374" s="25" t="str">
        <f>IF($N2374="","",INDEX('_calc'!$E$2:$E$3001,$N2374))</f>
        <v/>
      </c>
      <c r="H2374" s="25" t="str">
        <f>IF($N2374="","",INDEX('_calc'!$F$2:$F$3001,$N2374))</f>
        <v/>
      </c>
      <c r="I2374" s="27" t="str">
        <f>IF($N2374="","",INDEX('_calc'!$H$2:$H$3001,$N2374))</f>
        <v/>
      </c>
      <c r="J2374" s="27" t="str">
        <f>IF($N2374="","",INDEX('_calc'!$I$2:$I$3001,$N2374))</f>
        <v/>
      </c>
      <c r="K2374" s="28" t="str">
        <f>IF($N2374="","",IF(OR(I2374="",J2374=""),"",J2374-I2374))</f>
        <v/>
      </c>
      <c r="L2374" s="29" t="str">
        <f>IF($N2374="","",INDEX('_calc'!$J$2:$J$3001,$N2374))</f>
        <v/>
      </c>
      <c r="M2374" s="2" t="str">
        <f>IF($N2374="","",IF(AND(G2374=0,H2374=0),"수량 없음",IF(G2374=0,"신규 (전년 수량 없음)",IF(H2374=0,"당해 수량 없음",""))))</f>
        <v/>
      </c>
      <c r="N2374" t="str">
        <f>IF($B2374="","",MATCH($B2374,'_calc'!$L$2:$L$3001,0))</f>
        <v/>
      </c>
    </row>
    <row r="2375">
      <c r="B2375" s="24" t="str">
        <f>IF(ROW()-ROW($B$8)&gt;nComp,"",ROW()-ROW($B$8))</f>
        <v/>
      </c>
      <c r="C2375" t="str">
        <f>IF($N2375="","",INDEX('_calc'!$A$2:$A$3001,$N2375))</f>
        <v/>
      </c>
      <c r="D2375" s="25" t="str">
        <f>IF($N2375="","",INDEX('_calc'!$C$2:$C$3001,$N2375))</f>
        <v/>
      </c>
      <c r="E2375" s="25" t="str">
        <f>IF($N2375="","",INDEX('_calc'!$D$2:$D$3001,$N2375))</f>
        <v/>
      </c>
      <c r="F2375" s="26" t="str">
        <f>IF($N2375="","",IF($E$8=0,"",E2375/$E$8))</f>
        <v/>
      </c>
      <c r="G2375" s="25" t="str">
        <f>IF($N2375="","",INDEX('_calc'!$E$2:$E$3001,$N2375))</f>
        <v/>
      </c>
      <c r="H2375" s="25" t="str">
        <f>IF($N2375="","",INDEX('_calc'!$F$2:$F$3001,$N2375))</f>
        <v/>
      </c>
      <c r="I2375" s="27" t="str">
        <f>IF($N2375="","",INDEX('_calc'!$H$2:$H$3001,$N2375))</f>
        <v/>
      </c>
      <c r="J2375" s="27" t="str">
        <f>IF($N2375="","",INDEX('_calc'!$I$2:$I$3001,$N2375))</f>
        <v/>
      </c>
      <c r="K2375" s="28" t="str">
        <f>IF($N2375="","",IF(OR(I2375="",J2375=""),"",J2375-I2375))</f>
        <v/>
      </c>
      <c r="L2375" s="29" t="str">
        <f>IF($N2375="","",INDEX('_calc'!$J$2:$J$3001,$N2375))</f>
        <v/>
      </c>
      <c r="M2375" s="2" t="str">
        <f>IF($N2375="","",IF(AND(G2375=0,H2375=0),"수량 없음",IF(G2375=0,"신규 (전년 수량 없음)",IF(H2375=0,"당해 수량 없음",""))))</f>
        <v/>
      </c>
      <c r="N2375" t="str">
        <f>IF($B2375="","",MATCH($B2375,'_calc'!$L$2:$L$3001,0))</f>
        <v/>
      </c>
    </row>
    <row r="2376">
      <c r="B2376" s="24" t="str">
        <f>IF(ROW()-ROW($B$8)&gt;nComp,"",ROW()-ROW($B$8))</f>
        <v/>
      </c>
      <c r="C2376" t="str">
        <f>IF($N2376="","",INDEX('_calc'!$A$2:$A$3001,$N2376))</f>
        <v/>
      </c>
      <c r="D2376" s="25" t="str">
        <f>IF($N2376="","",INDEX('_calc'!$C$2:$C$3001,$N2376))</f>
        <v/>
      </c>
      <c r="E2376" s="25" t="str">
        <f>IF($N2376="","",INDEX('_calc'!$D$2:$D$3001,$N2376))</f>
        <v/>
      </c>
      <c r="F2376" s="26" t="str">
        <f>IF($N2376="","",IF($E$8=0,"",E2376/$E$8))</f>
        <v/>
      </c>
      <c r="G2376" s="25" t="str">
        <f>IF($N2376="","",INDEX('_calc'!$E$2:$E$3001,$N2376))</f>
        <v/>
      </c>
      <c r="H2376" s="25" t="str">
        <f>IF($N2376="","",INDEX('_calc'!$F$2:$F$3001,$N2376))</f>
        <v/>
      </c>
      <c r="I2376" s="27" t="str">
        <f>IF($N2376="","",INDEX('_calc'!$H$2:$H$3001,$N2376))</f>
        <v/>
      </c>
      <c r="J2376" s="27" t="str">
        <f>IF($N2376="","",INDEX('_calc'!$I$2:$I$3001,$N2376))</f>
        <v/>
      </c>
      <c r="K2376" s="28" t="str">
        <f>IF($N2376="","",IF(OR(I2376="",J2376=""),"",J2376-I2376))</f>
        <v/>
      </c>
      <c r="L2376" s="29" t="str">
        <f>IF($N2376="","",INDEX('_calc'!$J$2:$J$3001,$N2376))</f>
        <v/>
      </c>
      <c r="M2376" s="2" t="str">
        <f>IF($N2376="","",IF(AND(G2376=0,H2376=0),"수량 없음",IF(G2376=0,"신규 (전년 수량 없음)",IF(H2376=0,"당해 수량 없음",""))))</f>
        <v/>
      </c>
      <c r="N2376" t="str">
        <f>IF($B2376="","",MATCH($B2376,'_calc'!$L$2:$L$3001,0))</f>
        <v/>
      </c>
    </row>
    <row r="2377">
      <c r="B2377" s="24" t="str">
        <f>IF(ROW()-ROW($B$8)&gt;nComp,"",ROW()-ROW($B$8))</f>
        <v/>
      </c>
      <c r="C2377" t="str">
        <f>IF($N2377="","",INDEX('_calc'!$A$2:$A$3001,$N2377))</f>
        <v/>
      </c>
      <c r="D2377" s="25" t="str">
        <f>IF($N2377="","",INDEX('_calc'!$C$2:$C$3001,$N2377))</f>
        <v/>
      </c>
      <c r="E2377" s="25" t="str">
        <f>IF($N2377="","",INDEX('_calc'!$D$2:$D$3001,$N2377))</f>
        <v/>
      </c>
      <c r="F2377" s="26" t="str">
        <f>IF($N2377="","",IF($E$8=0,"",E2377/$E$8))</f>
        <v/>
      </c>
      <c r="G2377" s="25" t="str">
        <f>IF($N2377="","",INDEX('_calc'!$E$2:$E$3001,$N2377))</f>
        <v/>
      </c>
      <c r="H2377" s="25" t="str">
        <f>IF($N2377="","",INDEX('_calc'!$F$2:$F$3001,$N2377))</f>
        <v/>
      </c>
      <c r="I2377" s="27" t="str">
        <f>IF($N2377="","",INDEX('_calc'!$H$2:$H$3001,$N2377))</f>
        <v/>
      </c>
      <c r="J2377" s="27" t="str">
        <f>IF($N2377="","",INDEX('_calc'!$I$2:$I$3001,$N2377))</f>
        <v/>
      </c>
      <c r="K2377" s="28" t="str">
        <f>IF($N2377="","",IF(OR(I2377="",J2377=""),"",J2377-I2377))</f>
        <v/>
      </c>
      <c r="L2377" s="29" t="str">
        <f>IF($N2377="","",INDEX('_calc'!$J$2:$J$3001,$N2377))</f>
        <v/>
      </c>
      <c r="M2377" s="2" t="str">
        <f>IF($N2377="","",IF(AND(G2377=0,H2377=0),"수량 없음",IF(G2377=0,"신규 (전년 수량 없음)",IF(H2377=0,"당해 수량 없음",""))))</f>
        <v/>
      </c>
      <c r="N2377" t="str">
        <f>IF($B2377="","",MATCH($B2377,'_calc'!$L$2:$L$3001,0))</f>
        <v/>
      </c>
    </row>
    <row r="2378">
      <c r="B2378" s="24" t="str">
        <f>IF(ROW()-ROW($B$8)&gt;nComp,"",ROW()-ROW($B$8))</f>
        <v/>
      </c>
      <c r="C2378" t="str">
        <f>IF($N2378="","",INDEX('_calc'!$A$2:$A$3001,$N2378))</f>
        <v/>
      </c>
      <c r="D2378" s="25" t="str">
        <f>IF($N2378="","",INDEX('_calc'!$C$2:$C$3001,$N2378))</f>
        <v/>
      </c>
      <c r="E2378" s="25" t="str">
        <f>IF($N2378="","",INDEX('_calc'!$D$2:$D$3001,$N2378))</f>
        <v/>
      </c>
      <c r="F2378" s="26" t="str">
        <f>IF($N2378="","",IF($E$8=0,"",E2378/$E$8))</f>
        <v/>
      </c>
      <c r="G2378" s="25" t="str">
        <f>IF($N2378="","",INDEX('_calc'!$E$2:$E$3001,$N2378))</f>
        <v/>
      </c>
      <c r="H2378" s="25" t="str">
        <f>IF($N2378="","",INDEX('_calc'!$F$2:$F$3001,$N2378))</f>
        <v/>
      </c>
      <c r="I2378" s="27" t="str">
        <f>IF($N2378="","",INDEX('_calc'!$H$2:$H$3001,$N2378))</f>
        <v/>
      </c>
      <c r="J2378" s="27" t="str">
        <f>IF($N2378="","",INDEX('_calc'!$I$2:$I$3001,$N2378))</f>
        <v/>
      </c>
      <c r="K2378" s="28" t="str">
        <f>IF($N2378="","",IF(OR(I2378="",J2378=""),"",J2378-I2378))</f>
        <v/>
      </c>
      <c r="L2378" s="29" t="str">
        <f>IF($N2378="","",INDEX('_calc'!$J$2:$J$3001,$N2378))</f>
        <v/>
      </c>
      <c r="M2378" s="2" t="str">
        <f>IF($N2378="","",IF(AND(G2378=0,H2378=0),"수량 없음",IF(G2378=0,"신규 (전년 수량 없음)",IF(H2378=0,"당해 수량 없음",""))))</f>
        <v/>
      </c>
      <c r="N2378" t="str">
        <f>IF($B2378="","",MATCH($B2378,'_calc'!$L$2:$L$3001,0))</f>
        <v/>
      </c>
    </row>
    <row r="2379">
      <c r="B2379" s="24" t="str">
        <f>IF(ROW()-ROW($B$8)&gt;nComp,"",ROW()-ROW($B$8))</f>
        <v/>
      </c>
      <c r="C2379" t="str">
        <f>IF($N2379="","",INDEX('_calc'!$A$2:$A$3001,$N2379))</f>
        <v/>
      </c>
      <c r="D2379" s="25" t="str">
        <f>IF($N2379="","",INDEX('_calc'!$C$2:$C$3001,$N2379))</f>
        <v/>
      </c>
      <c r="E2379" s="25" t="str">
        <f>IF($N2379="","",INDEX('_calc'!$D$2:$D$3001,$N2379))</f>
        <v/>
      </c>
      <c r="F2379" s="26" t="str">
        <f>IF($N2379="","",IF($E$8=0,"",E2379/$E$8))</f>
        <v/>
      </c>
      <c r="G2379" s="25" t="str">
        <f>IF($N2379="","",INDEX('_calc'!$E$2:$E$3001,$N2379))</f>
        <v/>
      </c>
      <c r="H2379" s="25" t="str">
        <f>IF($N2379="","",INDEX('_calc'!$F$2:$F$3001,$N2379))</f>
        <v/>
      </c>
      <c r="I2379" s="27" t="str">
        <f>IF($N2379="","",INDEX('_calc'!$H$2:$H$3001,$N2379))</f>
        <v/>
      </c>
      <c r="J2379" s="27" t="str">
        <f>IF($N2379="","",INDEX('_calc'!$I$2:$I$3001,$N2379))</f>
        <v/>
      </c>
      <c r="K2379" s="28" t="str">
        <f>IF($N2379="","",IF(OR(I2379="",J2379=""),"",J2379-I2379))</f>
        <v/>
      </c>
      <c r="L2379" s="29" t="str">
        <f>IF($N2379="","",INDEX('_calc'!$J$2:$J$3001,$N2379))</f>
        <v/>
      </c>
      <c r="M2379" s="2" t="str">
        <f>IF($N2379="","",IF(AND(G2379=0,H2379=0),"수량 없음",IF(G2379=0,"신규 (전년 수량 없음)",IF(H2379=0,"당해 수량 없음",""))))</f>
        <v/>
      </c>
      <c r="N2379" t="str">
        <f>IF($B2379="","",MATCH($B2379,'_calc'!$L$2:$L$3001,0))</f>
        <v/>
      </c>
    </row>
    <row r="2380">
      <c r="B2380" s="24" t="str">
        <f>IF(ROW()-ROW($B$8)&gt;nComp,"",ROW()-ROW($B$8))</f>
        <v/>
      </c>
      <c r="C2380" t="str">
        <f>IF($N2380="","",INDEX('_calc'!$A$2:$A$3001,$N2380))</f>
        <v/>
      </c>
      <c r="D2380" s="25" t="str">
        <f>IF($N2380="","",INDEX('_calc'!$C$2:$C$3001,$N2380))</f>
        <v/>
      </c>
      <c r="E2380" s="25" t="str">
        <f>IF($N2380="","",INDEX('_calc'!$D$2:$D$3001,$N2380))</f>
        <v/>
      </c>
      <c r="F2380" s="26" t="str">
        <f>IF($N2380="","",IF($E$8=0,"",E2380/$E$8))</f>
        <v/>
      </c>
      <c r="G2380" s="25" t="str">
        <f>IF($N2380="","",INDEX('_calc'!$E$2:$E$3001,$N2380))</f>
        <v/>
      </c>
      <c r="H2380" s="25" t="str">
        <f>IF($N2380="","",INDEX('_calc'!$F$2:$F$3001,$N2380))</f>
        <v/>
      </c>
      <c r="I2380" s="27" t="str">
        <f>IF($N2380="","",INDEX('_calc'!$H$2:$H$3001,$N2380))</f>
        <v/>
      </c>
      <c r="J2380" s="27" t="str">
        <f>IF($N2380="","",INDEX('_calc'!$I$2:$I$3001,$N2380))</f>
        <v/>
      </c>
      <c r="K2380" s="28" t="str">
        <f>IF($N2380="","",IF(OR(I2380="",J2380=""),"",J2380-I2380))</f>
        <v/>
      </c>
      <c r="L2380" s="29" t="str">
        <f>IF($N2380="","",INDEX('_calc'!$J$2:$J$3001,$N2380))</f>
        <v/>
      </c>
      <c r="M2380" s="2" t="str">
        <f>IF($N2380="","",IF(AND(G2380=0,H2380=0),"수량 없음",IF(G2380=0,"신규 (전년 수량 없음)",IF(H2380=0,"당해 수량 없음",""))))</f>
        <v/>
      </c>
      <c r="N2380" t="str">
        <f>IF($B2380="","",MATCH($B2380,'_calc'!$L$2:$L$3001,0))</f>
        <v/>
      </c>
    </row>
    <row r="2381">
      <c r="B2381" s="24" t="str">
        <f>IF(ROW()-ROW($B$8)&gt;nComp,"",ROW()-ROW($B$8))</f>
        <v/>
      </c>
      <c r="C2381" t="str">
        <f>IF($N2381="","",INDEX('_calc'!$A$2:$A$3001,$N2381))</f>
        <v/>
      </c>
      <c r="D2381" s="25" t="str">
        <f>IF($N2381="","",INDEX('_calc'!$C$2:$C$3001,$N2381))</f>
        <v/>
      </c>
      <c r="E2381" s="25" t="str">
        <f>IF($N2381="","",INDEX('_calc'!$D$2:$D$3001,$N2381))</f>
        <v/>
      </c>
      <c r="F2381" s="26" t="str">
        <f>IF($N2381="","",IF($E$8=0,"",E2381/$E$8))</f>
        <v/>
      </c>
      <c r="G2381" s="25" t="str">
        <f>IF($N2381="","",INDEX('_calc'!$E$2:$E$3001,$N2381))</f>
        <v/>
      </c>
      <c r="H2381" s="25" t="str">
        <f>IF($N2381="","",INDEX('_calc'!$F$2:$F$3001,$N2381))</f>
        <v/>
      </c>
      <c r="I2381" s="27" t="str">
        <f>IF($N2381="","",INDEX('_calc'!$H$2:$H$3001,$N2381))</f>
        <v/>
      </c>
      <c r="J2381" s="27" t="str">
        <f>IF($N2381="","",INDEX('_calc'!$I$2:$I$3001,$N2381))</f>
        <v/>
      </c>
      <c r="K2381" s="28" t="str">
        <f>IF($N2381="","",IF(OR(I2381="",J2381=""),"",J2381-I2381))</f>
        <v/>
      </c>
      <c r="L2381" s="29" t="str">
        <f>IF($N2381="","",INDEX('_calc'!$J$2:$J$3001,$N2381))</f>
        <v/>
      </c>
      <c r="M2381" s="2" t="str">
        <f>IF($N2381="","",IF(AND(G2381=0,H2381=0),"수량 없음",IF(G2381=0,"신규 (전년 수량 없음)",IF(H2381=0,"당해 수량 없음",""))))</f>
        <v/>
      </c>
      <c r="N2381" t="str">
        <f>IF($B2381="","",MATCH($B2381,'_calc'!$L$2:$L$3001,0))</f>
        <v/>
      </c>
    </row>
    <row r="2382">
      <c r="B2382" s="24" t="str">
        <f>IF(ROW()-ROW($B$8)&gt;nComp,"",ROW()-ROW($B$8))</f>
        <v/>
      </c>
      <c r="C2382" t="str">
        <f>IF($N2382="","",INDEX('_calc'!$A$2:$A$3001,$N2382))</f>
        <v/>
      </c>
      <c r="D2382" s="25" t="str">
        <f>IF($N2382="","",INDEX('_calc'!$C$2:$C$3001,$N2382))</f>
        <v/>
      </c>
      <c r="E2382" s="25" t="str">
        <f>IF($N2382="","",INDEX('_calc'!$D$2:$D$3001,$N2382))</f>
        <v/>
      </c>
      <c r="F2382" s="26" t="str">
        <f>IF($N2382="","",IF($E$8=0,"",E2382/$E$8))</f>
        <v/>
      </c>
      <c r="G2382" s="25" t="str">
        <f>IF($N2382="","",INDEX('_calc'!$E$2:$E$3001,$N2382))</f>
        <v/>
      </c>
      <c r="H2382" s="25" t="str">
        <f>IF($N2382="","",INDEX('_calc'!$F$2:$F$3001,$N2382))</f>
        <v/>
      </c>
      <c r="I2382" s="27" t="str">
        <f>IF($N2382="","",INDEX('_calc'!$H$2:$H$3001,$N2382))</f>
        <v/>
      </c>
      <c r="J2382" s="27" t="str">
        <f>IF($N2382="","",INDEX('_calc'!$I$2:$I$3001,$N2382))</f>
        <v/>
      </c>
      <c r="K2382" s="28" t="str">
        <f>IF($N2382="","",IF(OR(I2382="",J2382=""),"",J2382-I2382))</f>
        <v/>
      </c>
      <c r="L2382" s="29" t="str">
        <f>IF($N2382="","",INDEX('_calc'!$J$2:$J$3001,$N2382))</f>
        <v/>
      </c>
      <c r="M2382" s="2" t="str">
        <f>IF($N2382="","",IF(AND(G2382=0,H2382=0),"수량 없음",IF(G2382=0,"신규 (전년 수량 없음)",IF(H2382=0,"당해 수량 없음",""))))</f>
        <v/>
      </c>
      <c r="N2382" t="str">
        <f>IF($B2382="","",MATCH($B2382,'_calc'!$L$2:$L$3001,0))</f>
        <v/>
      </c>
    </row>
    <row r="2383">
      <c r="B2383" s="24" t="str">
        <f>IF(ROW()-ROW($B$8)&gt;nComp,"",ROW()-ROW($B$8))</f>
        <v/>
      </c>
      <c r="C2383" t="str">
        <f>IF($N2383="","",INDEX('_calc'!$A$2:$A$3001,$N2383))</f>
        <v/>
      </c>
      <c r="D2383" s="25" t="str">
        <f>IF($N2383="","",INDEX('_calc'!$C$2:$C$3001,$N2383))</f>
        <v/>
      </c>
      <c r="E2383" s="25" t="str">
        <f>IF($N2383="","",INDEX('_calc'!$D$2:$D$3001,$N2383))</f>
        <v/>
      </c>
      <c r="F2383" s="26" t="str">
        <f>IF($N2383="","",IF($E$8=0,"",E2383/$E$8))</f>
        <v/>
      </c>
      <c r="G2383" s="25" t="str">
        <f>IF($N2383="","",INDEX('_calc'!$E$2:$E$3001,$N2383))</f>
        <v/>
      </c>
      <c r="H2383" s="25" t="str">
        <f>IF($N2383="","",INDEX('_calc'!$F$2:$F$3001,$N2383))</f>
        <v/>
      </c>
      <c r="I2383" s="27" t="str">
        <f>IF($N2383="","",INDEX('_calc'!$H$2:$H$3001,$N2383))</f>
        <v/>
      </c>
      <c r="J2383" s="27" t="str">
        <f>IF($N2383="","",INDEX('_calc'!$I$2:$I$3001,$N2383))</f>
        <v/>
      </c>
      <c r="K2383" s="28" t="str">
        <f>IF($N2383="","",IF(OR(I2383="",J2383=""),"",J2383-I2383))</f>
        <v/>
      </c>
      <c r="L2383" s="29" t="str">
        <f>IF($N2383="","",INDEX('_calc'!$J$2:$J$3001,$N2383))</f>
        <v/>
      </c>
      <c r="M2383" s="2" t="str">
        <f>IF($N2383="","",IF(AND(G2383=0,H2383=0),"수량 없음",IF(G2383=0,"신규 (전년 수량 없음)",IF(H2383=0,"당해 수량 없음",""))))</f>
        <v/>
      </c>
      <c r="N2383" t="str">
        <f>IF($B2383="","",MATCH($B2383,'_calc'!$L$2:$L$3001,0))</f>
        <v/>
      </c>
    </row>
    <row r="2384">
      <c r="B2384" s="24" t="str">
        <f>IF(ROW()-ROW($B$8)&gt;nComp,"",ROW()-ROW($B$8))</f>
        <v/>
      </c>
      <c r="C2384" t="str">
        <f>IF($N2384="","",INDEX('_calc'!$A$2:$A$3001,$N2384))</f>
        <v/>
      </c>
      <c r="D2384" s="25" t="str">
        <f>IF($N2384="","",INDEX('_calc'!$C$2:$C$3001,$N2384))</f>
        <v/>
      </c>
      <c r="E2384" s="25" t="str">
        <f>IF($N2384="","",INDEX('_calc'!$D$2:$D$3001,$N2384))</f>
        <v/>
      </c>
      <c r="F2384" s="26" t="str">
        <f>IF($N2384="","",IF($E$8=0,"",E2384/$E$8))</f>
        <v/>
      </c>
      <c r="G2384" s="25" t="str">
        <f>IF($N2384="","",INDEX('_calc'!$E$2:$E$3001,$N2384))</f>
        <v/>
      </c>
      <c r="H2384" s="25" t="str">
        <f>IF($N2384="","",INDEX('_calc'!$F$2:$F$3001,$N2384))</f>
        <v/>
      </c>
      <c r="I2384" s="27" t="str">
        <f>IF($N2384="","",INDEX('_calc'!$H$2:$H$3001,$N2384))</f>
        <v/>
      </c>
      <c r="J2384" s="27" t="str">
        <f>IF($N2384="","",INDEX('_calc'!$I$2:$I$3001,$N2384))</f>
        <v/>
      </c>
      <c r="K2384" s="28" t="str">
        <f>IF($N2384="","",IF(OR(I2384="",J2384=""),"",J2384-I2384))</f>
        <v/>
      </c>
      <c r="L2384" s="29" t="str">
        <f>IF($N2384="","",INDEX('_calc'!$J$2:$J$3001,$N2384))</f>
        <v/>
      </c>
      <c r="M2384" s="2" t="str">
        <f>IF($N2384="","",IF(AND(G2384=0,H2384=0),"수량 없음",IF(G2384=0,"신규 (전년 수량 없음)",IF(H2384=0,"당해 수량 없음",""))))</f>
        <v/>
      </c>
      <c r="N2384" t="str">
        <f>IF($B2384="","",MATCH($B2384,'_calc'!$L$2:$L$3001,0))</f>
        <v/>
      </c>
    </row>
    <row r="2385">
      <c r="B2385" s="24" t="str">
        <f>IF(ROW()-ROW($B$8)&gt;nComp,"",ROW()-ROW($B$8))</f>
        <v/>
      </c>
      <c r="C2385" t="str">
        <f>IF($N2385="","",INDEX('_calc'!$A$2:$A$3001,$N2385))</f>
        <v/>
      </c>
      <c r="D2385" s="25" t="str">
        <f>IF($N2385="","",INDEX('_calc'!$C$2:$C$3001,$N2385))</f>
        <v/>
      </c>
      <c r="E2385" s="25" t="str">
        <f>IF($N2385="","",INDEX('_calc'!$D$2:$D$3001,$N2385))</f>
        <v/>
      </c>
      <c r="F2385" s="26" t="str">
        <f>IF($N2385="","",IF($E$8=0,"",E2385/$E$8))</f>
        <v/>
      </c>
      <c r="G2385" s="25" t="str">
        <f>IF($N2385="","",INDEX('_calc'!$E$2:$E$3001,$N2385))</f>
        <v/>
      </c>
      <c r="H2385" s="25" t="str">
        <f>IF($N2385="","",INDEX('_calc'!$F$2:$F$3001,$N2385))</f>
        <v/>
      </c>
      <c r="I2385" s="27" t="str">
        <f>IF($N2385="","",INDEX('_calc'!$H$2:$H$3001,$N2385))</f>
        <v/>
      </c>
      <c r="J2385" s="27" t="str">
        <f>IF($N2385="","",INDEX('_calc'!$I$2:$I$3001,$N2385))</f>
        <v/>
      </c>
      <c r="K2385" s="28" t="str">
        <f>IF($N2385="","",IF(OR(I2385="",J2385=""),"",J2385-I2385))</f>
        <v/>
      </c>
      <c r="L2385" s="29" t="str">
        <f>IF($N2385="","",INDEX('_calc'!$J$2:$J$3001,$N2385))</f>
        <v/>
      </c>
      <c r="M2385" s="2" t="str">
        <f>IF($N2385="","",IF(AND(G2385=0,H2385=0),"수량 없음",IF(G2385=0,"신규 (전년 수량 없음)",IF(H2385=0,"당해 수량 없음",""))))</f>
        <v/>
      </c>
      <c r="N2385" t="str">
        <f>IF($B2385="","",MATCH($B2385,'_calc'!$L$2:$L$3001,0))</f>
        <v/>
      </c>
    </row>
    <row r="2386">
      <c r="B2386" s="24" t="str">
        <f>IF(ROW()-ROW($B$8)&gt;nComp,"",ROW()-ROW($B$8))</f>
        <v/>
      </c>
      <c r="C2386" t="str">
        <f>IF($N2386="","",INDEX('_calc'!$A$2:$A$3001,$N2386))</f>
        <v/>
      </c>
      <c r="D2386" s="25" t="str">
        <f>IF($N2386="","",INDEX('_calc'!$C$2:$C$3001,$N2386))</f>
        <v/>
      </c>
      <c r="E2386" s="25" t="str">
        <f>IF($N2386="","",INDEX('_calc'!$D$2:$D$3001,$N2386))</f>
        <v/>
      </c>
      <c r="F2386" s="26" t="str">
        <f>IF($N2386="","",IF($E$8=0,"",E2386/$E$8))</f>
        <v/>
      </c>
      <c r="G2386" s="25" t="str">
        <f>IF($N2386="","",INDEX('_calc'!$E$2:$E$3001,$N2386))</f>
        <v/>
      </c>
      <c r="H2386" s="25" t="str">
        <f>IF($N2386="","",INDEX('_calc'!$F$2:$F$3001,$N2386))</f>
        <v/>
      </c>
      <c r="I2386" s="27" t="str">
        <f>IF($N2386="","",INDEX('_calc'!$H$2:$H$3001,$N2386))</f>
        <v/>
      </c>
      <c r="J2386" s="27" t="str">
        <f>IF($N2386="","",INDEX('_calc'!$I$2:$I$3001,$N2386))</f>
        <v/>
      </c>
      <c r="K2386" s="28" t="str">
        <f>IF($N2386="","",IF(OR(I2386="",J2386=""),"",J2386-I2386))</f>
        <v/>
      </c>
      <c r="L2386" s="29" t="str">
        <f>IF($N2386="","",INDEX('_calc'!$J$2:$J$3001,$N2386))</f>
        <v/>
      </c>
      <c r="M2386" s="2" t="str">
        <f>IF($N2386="","",IF(AND(G2386=0,H2386=0),"수량 없음",IF(G2386=0,"신규 (전년 수량 없음)",IF(H2386=0,"당해 수량 없음",""))))</f>
        <v/>
      </c>
      <c r="N2386" t="str">
        <f>IF($B2386="","",MATCH($B2386,'_calc'!$L$2:$L$3001,0))</f>
        <v/>
      </c>
    </row>
    <row r="2387">
      <c r="B2387" s="24" t="str">
        <f>IF(ROW()-ROW($B$8)&gt;nComp,"",ROW()-ROW($B$8))</f>
        <v/>
      </c>
      <c r="C2387" t="str">
        <f>IF($N2387="","",INDEX('_calc'!$A$2:$A$3001,$N2387))</f>
        <v/>
      </c>
      <c r="D2387" s="25" t="str">
        <f>IF($N2387="","",INDEX('_calc'!$C$2:$C$3001,$N2387))</f>
        <v/>
      </c>
      <c r="E2387" s="25" t="str">
        <f>IF($N2387="","",INDEX('_calc'!$D$2:$D$3001,$N2387))</f>
        <v/>
      </c>
      <c r="F2387" s="26" t="str">
        <f>IF($N2387="","",IF($E$8=0,"",E2387/$E$8))</f>
        <v/>
      </c>
      <c r="G2387" s="25" t="str">
        <f>IF($N2387="","",INDEX('_calc'!$E$2:$E$3001,$N2387))</f>
        <v/>
      </c>
      <c r="H2387" s="25" t="str">
        <f>IF($N2387="","",INDEX('_calc'!$F$2:$F$3001,$N2387))</f>
        <v/>
      </c>
      <c r="I2387" s="27" t="str">
        <f>IF($N2387="","",INDEX('_calc'!$H$2:$H$3001,$N2387))</f>
        <v/>
      </c>
      <c r="J2387" s="27" t="str">
        <f>IF($N2387="","",INDEX('_calc'!$I$2:$I$3001,$N2387))</f>
        <v/>
      </c>
      <c r="K2387" s="28" t="str">
        <f>IF($N2387="","",IF(OR(I2387="",J2387=""),"",J2387-I2387))</f>
        <v/>
      </c>
      <c r="L2387" s="29" t="str">
        <f>IF($N2387="","",INDEX('_calc'!$J$2:$J$3001,$N2387))</f>
        <v/>
      </c>
      <c r="M2387" s="2" t="str">
        <f>IF($N2387="","",IF(AND(G2387=0,H2387=0),"수량 없음",IF(G2387=0,"신규 (전년 수량 없음)",IF(H2387=0,"당해 수량 없음",""))))</f>
        <v/>
      </c>
      <c r="N2387" t="str">
        <f>IF($B2387="","",MATCH($B2387,'_calc'!$L$2:$L$3001,0))</f>
        <v/>
      </c>
    </row>
    <row r="2388">
      <c r="B2388" s="24" t="str">
        <f>IF(ROW()-ROW($B$8)&gt;nComp,"",ROW()-ROW($B$8))</f>
        <v/>
      </c>
      <c r="C2388" t="str">
        <f>IF($N2388="","",INDEX('_calc'!$A$2:$A$3001,$N2388))</f>
        <v/>
      </c>
      <c r="D2388" s="25" t="str">
        <f>IF($N2388="","",INDEX('_calc'!$C$2:$C$3001,$N2388))</f>
        <v/>
      </c>
      <c r="E2388" s="25" t="str">
        <f>IF($N2388="","",INDEX('_calc'!$D$2:$D$3001,$N2388))</f>
        <v/>
      </c>
      <c r="F2388" s="26" t="str">
        <f>IF($N2388="","",IF($E$8=0,"",E2388/$E$8))</f>
        <v/>
      </c>
      <c r="G2388" s="25" t="str">
        <f>IF($N2388="","",INDEX('_calc'!$E$2:$E$3001,$N2388))</f>
        <v/>
      </c>
      <c r="H2388" s="25" t="str">
        <f>IF($N2388="","",INDEX('_calc'!$F$2:$F$3001,$N2388))</f>
        <v/>
      </c>
      <c r="I2388" s="27" t="str">
        <f>IF($N2388="","",INDEX('_calc'!$H$2:$H$3001,$N2388))</f>
        <v/>
      </c>
      <c r="J2388" s="27" t="str">
        <f>IF($N2388="","",INDEX('_calc'!$I$2:$I$3001,$N2388))</f>
        <v/>
      </c>
      <c r="K2388" s="28" t="str">
        <f>IF($N2388="","",IF(OR(I2388="",J2388=""),"",J2388-I2388))</f>
        <v/>
      </c>
      <c r="L2388" s="29" t="str">
        <f>IF($N2388="","",INDEX('_calc'!$J$2:$J$3001,$N2388))</f>
        <v/>
      </c>
      <c r="M2388" s="2" t="str">
        <f>IF($N2388="","",IF(AND(G2388=0,H2388=0),"수량 없음",IF(G2388=0,"신규 (전년 수량 없음)",IF(H2388=0,"당해 수량 없음",""))))</f>
        <v/>
      </c>
      <c r="N2388" t="str">
        <f>IF($B2388="","",MATCH($B2388,'_calc'!$L$2:$L$3001,0))</f>
        <v/>
      </c>
    </row>
    <row r="2389">
      <c r="B2389" s="24" t="str">
        <f>IF(ROW()-ROW($B$8)&gt;nComp,"",ROW()-ROW($B$8))</f>
        <v/>
      </c>
      <c r="C2389" t="str">
        <f>IF($N2389="","",INDEX('_calc'!$A$2:$A$3001,$N2389))</f>
        <v/>
      </c>
      <c r="D2389" s="25" t="str">
        <f>IF($N2389="","",INDEX('_calc'!$C$2:$C$3001,$N2389))</f>
        <v/>
      </c>
      <c r="E2389" s="25" t="str">
        <f>IF($N2389="","",INDEX('_calc'!$D$2:$D$3001,$N2389))</f>
        <v/>
      </c>
      <c r="F2389" s="26" t="str">
        <f>IF($N2389="","",IF($E$8=0,"",E2389/$E$8))</f>
        <v/>
      </c>
      <c r="G2389" s="25" t="str">
        <f>IF($N2389="","",INDEX('_calc'!$E$2:$E$3001,$N2389))</f>
        <v/>
      </c>
      <c r="H2389" s="25" t="str">
        <f>IF($N2389="","",INDEX('_calc'!$F$2:$F$3001,$N2389))</f>
        <v/>
      </c>
      <c r="I2389" s="27" t="str">
        <f>IF($N2389="","",INDEX('_calc'!$H$2:$H$3001,$N2389))</f>
        <v/>
      </c>
      <c r="J2389" s="27" t="str">
        <f>IF($N2389="","",INDEX('_calc'!$I$2:$I$3001,$N2389))</f>
        <v/>
      </c>
      <c r="K2389" s="28" t="str">
        <f>IF($N2389="","",IF(OR(I2389="",J2389=""),"",J2389-I2389))</f>
        <v/>
      </c>
      <c r="L2389" s="29" t="str">
        <f>IF($N2389="","",INDEX('_calc'!$J$2:$J$3001,$N2389))</f>
        <v/>
      </c>
      <c r="M2389" s="2" t="str">
        <f>IF($N2389="","",IF(AND(G2389=0,H2389=0),"수량 없음",IF(G2389=0,"신규 (전년 수량 없음)",IF(H2389=0,"당해 수량 없음",""))))</f>
        <v/>
      </c>
      <c r="N2389" t="str">
        <f>IF($B2389="","",MATCH($B2389,'_calc'!$L$2:$L$3001,0))</f>
        <v/>
      </c>
    </row>
    <row r="2390">
      <c r="B2390" s="24" t="str">
        <f>IF(ROW()-ROW($B$8)&gt;nComp,"",ROW()-ROW($B$8))</f>
        <v/>
      </c>
      <c r="C2390" t="str">
        <f>IF($N2390="","",INDEX('_calc'!$A$2:$A$3001,$N2390))</f>
        <v/>
      </c>
      <c r="D2390" s="25" t="str">
        <f>IF($N2390="","",INDEX('_calc'!$C$2:$C$3001,$N2390))</f>
        <v/>
      </c>
      <c r="E2390" s="25" t="str">
        <f>IF($N2390="","",INDEX('_calc'!$D$2:$D$3001,$N2390))</f>
        <v/>
      </c>
      <c r="F2390" s="26" t="str">
        <f>IF($N2390="","",IF($E$8=0,"",E2390/$E$8))</f>
        <v/>
      </c>
      <c r="G2390" s="25" t="str">
        <f>IF($N2390="","",INDEX('_calc'!$E$2:$E$3001,$N2390))</f>
        <v/>
      </c>
      <c r="H2390" s="25" t="str">
        <f>IF($N2390="","",INDEX('_calc'!$F$2:$F$3001,$N2390))</f>
        <v/>
      </c>
      <c r="I2390" s="27" t="str">
        <f>IF($N2390="","",INDEX('_calc'!$H$2:$H$3001,$N2390))</f>
        <v/>
      </c>
      <c r="J2390" s="27" t="str">
        <f>IF($N2390="","",INDEX('_calc'!$I$2:$I$3001,$N2390))</f>
        <v/>
      </c>
      <c r="K2390" s="28" t="str">
        <f>IF($N2390="","",IF(OR(I2390="",J2390=""),"",J2390-I2390))</f>
        <v/>
      </c>
      <c r="L2390" s="29" t="str">
        <f>IF($N2390="","",INDEX('_calc'!$J$2:$J$3001,$N2390))</f>
        <v/>
      </c>
      <c r="M2390" s="2" t="str">
        <f>IF($N2390="","",IF(AND(G2390=0,H2390=0),"수량 없음",IF(G2390=0,"신규 (전년 수량 없음)",IF(H2390=0,"당해 수량 없음",""))))</f>
        <v/>
      </c>
      <c r="N2390" t="str">
        <f>IF($B2390="","",MATCH($B2390,'_calc'!$L$2:$L$3001,0))</f>
        <v/>
      </c>
    </row>
    <row r="2391">
      <c r="B2391" s="24" t="str">
        <f>IF(ROW()-ROW($B$8)&gt;nComp,"",ROW()-ROW($B$8))</f>
        <v/>
      </c>
      <c r="C2391" t="str">
        <f>IF($N2391="","",INDEX('_calc'!$A$2:$A$3001,$N2391))</f>
        <v/>
      </c>
      <c r="D2391" s="25" t="str">
        <f>IF($N2391="","",INDEX('_calc'!$C$2:$C$3001,$N2391))</f>
        <v/>
      </c>
      <c r="E2391" s="25" t="str">
        <f>IF($N2391="","",INDEX('_calc'!$D$2:$D$3001,$N2391))</f>
        <v/>
      </c>
      <c r="F2391" s="26" t="str">
        <f>IF($N2391="","",IF($E$8=0,"",E2391/$E$8))</f>
        <v/>
      </c>
      <c r="G2391" s="25" t="str">
        <f>IF($N2391="","",INDEX('_calc'!$E$2:$E$3001,$N2391))</f>
        <v/>
      </c>
      <c r="H2391" s="25" t="str">
        <f>IF($N2391="","",INDEX('_calc'!$F$2:$F$3001,$N2391))</f>
        <v/>
      </c>
      <c r="I2391" s="27" t="str">
        <f>IF($N2391="","",INDEX('_calc'!$H$2:$H$3001,$N2391))</f>
        <v/>
      </c>
      <c r="J2391" s="27" t="str">
        <f>IF($N2391="","",INDEX('_calc'!$I$2:$I$3001,$N2391))</f>
        <v/>
      </c>
      <c r="K2391" s="28" t="str">
        <f>IF($N2391="","",IF(OR(I2391="",J2391=""),"",J2391-I2391))</f>
        <v/>
      </c>
      <c r="L2391" s="29" t="str">
        <f>IF($N2391="","",INDEX('_calc'!$J$2:$J$3001,$N2391))</f>
        <v/>
      </c>
      <c r="M2391" s="2" t="str">
        <f>IF($N2391="","",IF(AND(G2391=0,H2391=0),"수량 없음",IF(G2391=0,"신규 (전년 수량 없음)",IF(H2391=0,"당해 수량 없음",""))))</f>
        <v/>
      </c>
      <c r="N2391" t="str">
        <f>IF($B2391="","",MATCH($B2391,'_calc'!$L$2:$L$3001,0))</f>
        <v/>
      </c>
    </row>
    <row r="2392">
      <c r="B2392" s="24" t="str">
        <f>IF(ROW()-ROW($B$8)&gt;nComp,"",ROW()-ROW($B$8))</f>
        <v/>
      </c>
      <c r="C2392" t="str">
        <f>IF($N2392="","",INDEX('_calc'!$A$2:$A$3001,$N2392))</f>
        <v/>
      </c>
      <c r="D2392" s="25" t="str">
        <f>IF($N2392="","",INDEX('_calc'!$C$2:$C$3001,$N2392))</f>
        <v/>
      </c>
      <c r="E2392" s="25" t="str">
        <f>IF($N2392="","",INDEX('_calc'!$D$2:$D$3001,$N2392))</f>
        <v/>
      </c>
      <c r="F2392" s="26" t="str">
        <f>IF($N2392="","",IF($E$8=0,"",E2392/$E$8))</f>
        <v/>
      </c>
      <c r="G2392" s="25" t="str">
        <f>IF($N2392="","",INDEX('_calc'!$E$2:$E$3001,$N2392))</f>
        <v/>
      </c>
      <c r="H2392" s="25" t="str">
        <f>IF($N2392="","",INDEX('_calc'!$F$2:$F$3001,$N2392))</f>
        <v/>
      </c>
      <c r="I2392" s="27" t="str">
        <f>IF($N2392="","",INDEX('_calc'!$H$2:$H$3001,$N2392))</f>
        <v/>
      </c>
      <c r="J2392" s="27" t="str">
        <f>IF($N2392="","",INDEX('_calc'!$I$2:$I$3001,$N2392))</f>
        <v/>
      </c>
      <c r="K2392" s="28" t="str">
        <f>IF($N2392="","",IF(OR(I2392="",J2392=""),"",J2392-I2392))</f>
        <v/>
      </c>
      <c r="L2392" s="29" t="str">
        <f>IF($N2392="","",INDEX('_calc'!$J$2:$J$3001,$N2392))</f>
        <v/>
      </c>
      <c r="M2392" s="2" t="str">
        <f>IF($N2392="","",IF(AND(G2392=0,H2392=0),"수량 없음",IF(G2392=0,"신규 (전년 수량 없음)",IF(H2392=0,"당해 수량 없음",""))))</f>
        <v/>
      </c>
      <c r="N2392" t="str">
        <f>IF($B2392="","",MATCH($B2392,'_calc'!$L$2:$L$3001,0))</f>
        <v/>
      </c>
    </row>
    <row r="2393">
      <c r="B2393" s="24" t="str">
        <f>IF(ROW()-ROW($B$8)&gt;nComp,"",ROW()-ROW($B$8))</f>
        <v/>
      </c>
      <c r="C2393" t="str">
        <f>IF($N2393="","",INDEX('_calc'!$A$2:$A$3001,$N2393))</f>
        <v/>
      </c>
      <c r="D2393" s="25" t="str">
        <f>IF($N2393="","",INDEX('_calc'!$C$2:$C$3001,$N2393))</f>
        <v/>
      </c>
      <c r="E2393" s="25" t="str">
        <f>IF($N2393="","",INDEX('_calc'!$D$2:$D$3001,$N2393))</f>
        <v/>
      </c>
      <c r="F2393" s="26" t="str">
        <f>IF($N2393="","",IF($E$8=0,"",E2393/$E$8))</f>
        <v/>
      </c>
      <c r="G2393" s="25" t="str">
        <f>IF($N2393="","",INDEX('_calc'!$E$2:$E$3001,$N2393))</f>
        <v/>
      </c>
      <c r="H2393" s="25" t="str">
        <f>IF($N2393="","",INDEX('_calc'!$F$2:$F$3001,$N2393))</f>
        <v/>
      </c>
      <c r="I2393" s="27" t="str">
        <f>IF($N2393="","",INDEX('_calc'!$H$2:$H$3001,$N2393))</f>
        <v/>
      </c>
      <c r="J2393" s="27" t="str">
        <f>IF($N2393="","",INDEX('_calc'!$I$2:$I$3001,$N2393))</f>
        <v/>
      </c>
      <c r="K2393" s="28" t="str">
        <f>IF($N2393="","",IF(OR(I2393="",J2393=""),"",J2393-I2393))</f>
        <v/>
      </c>
      <c r="L2393" s="29" t="str">
        <f>IF($N2393="","",INDEX('_calc'!$J$2:$J$3001,$N2393))</f>
        <v/>
      </c>
      <c r="M2393" s="2" t="str">
        <f>IF($N2393="","",IF(AND(G2393=0,H2393=0),"수량 없음",IF(G2393=0,"신규 (전년 수량 없음)",IF(H2393=0,"당해 수량 없음",""))))</f>
        <v/>
      </c>
      <c r="N2393" t="str">
        <f>IF($B2393="","",MATCH($B2393,'_calc'!$L$2:$L$3001,0))</f>
        <v/>
      </c>
    </row>
    <row r="2394">
      <c r="B2394" s="24" t="str">
        <f>IF(ROW()-ROW($B$8)&gt;nComp,"",ROW()-ROW($B$8))</f>
        <v/>
      </c>
      <c r="C2394" t="str">
        <f>IF($N2394="","",INDEX('_calc'!$A$2:$A$3001,$N2394))</f>
        <v/>
      </c>
      <c r="D2394" s="25" t="str">
        <f>IF($N2394="","",INDEX('_calc'!$C$2:$C$3001,$N2394))</f>
        <v/>
      </c>
      <c r="E2394" s="25" t="str">
        <f>IF($N2394="","",INDEX('_calc'!$D$2:$D$3001,$N2394))</f>
        <v/>
      </c>
      <c r="F2394" s="26" t="str">
        <f>IF($N2394="","",IF($E$8=0,"",E2394/$E$8))</f>
        <v/>
      </c>
      <c r="G2394" s="25" t="str">
        <f>IF($N2394="","",INDEX('_calc'!$E$2:$E$3001,$N2394))</f>
        <v/>
      </c>
      <c r="H2394" s="25" t="str">
        <f>IF($N2394="","",INDEX('_calc'!$F$2:$F$3001,$N2394))</f>
        <v/>
      </c>
      <c r="I2394" s="27" t="str">
        <f>IF($N2394="","",INDEX('_calc'!$H$2:$H$3001,$N2394))</f>
        <v/>
      </c>
      <c r="J2394" s="27" t="str">
        <f>IF($N2394="","",INDEX('_calc'!$I$2:$I$3001,$N2394))</f>
        <v/>
      </c>
      <c r="K2394" s="28" t="str">
        <f>IF($N2394="","",IF(OR(I2394="",J2394=""),"",J2394-I2394))</f>
        <v/>
      </c>
      <c r="L2394" s="29" t="str">
        <f>IF($N2394="","",INDEX('_calc'!$J$2:$J$3001,$N2394))</f>
        <v/>
      </c>
      <c r="M2394" s="2" t="str">
        <f>IF($N2394="","",IF(AND(G2394=0,H2394=0),"수량 없음",IF(G2394=0,"신규 (전년 수량 없음)",IF(H2394=0,"당해 수량 없음",""))))</f>
        <v/>
      </c>
      <c r="N2394" t="str">
        <f>IF($B2394="","",MATCH($B2394,'_calc'!$L$2:$L$3001,0))</f>
        <v/>
      </c>
    </row>
    <row r="2395">
      <c r="B2395" s="24" t="str">
        <f>IF(ROW()-ROW($B$8)&gt;nComp,"",ROW()-ROW($B$8))</f>
        <v/>
      </c>
      <c r="C2395" t="str">
        <f>IF($N2395="","",INDEX('_calc'!$A$2:$A$3001,$N2395))</f>
        <v/>
      </c>
      <c r="D2395" s="25" t="str">
        <f>IF($N2395="","",INDEX('_calc'!$C$2:$C$3001,$N2395))</f>
        <v/>
      </c>
      <c r="E2395" s="25" t="str">
        <f>IF($N2395="","",INDEX('_calc'!$D$2:$D$3001,$N2395))</f>
        <v/>
      </c>
      <c r="F2395" s="26" t="str">
        <f>IF($N2395="","",IF($E$8=0,"",E2395/$E$8))</f>
        <v/>
      </c>
      <c r="G2395" s="25" t="str">
        <f>IF($N2395="","",INDEX('_calc'!$E$2:$E$3001,$N2395))</f>
        <v/>
      </c>
      <c r="H2395" s="25" t="str">
        <f>IF($N2395="","",INDEX('_calc'!$F$2:$F$3001,$N2395))</f>
        <v/>
      </c>
      <c r="I2395" s="27" t="str">
        <f>IF($N2395="","",INDEX('_calc'!$H$2:$H$3001,$N2395))</f>
        <v/>
      </c>
      <c r="J2395" s="27" t="str">
        <f>IF($N2395="","",INDEX('_calc'!$I$2:$I$3001,$N2395))</f>
        <v/>
      </c>
      <c r="K2395" s="28" t="str">
        <f>IF($N2395="","",IF(OR(I2395="",J2395=""),"",J2395-I2395))</f>
        <v/>
      </c>
      <c r="L2395" s="29" t="str">
        <f>IF($N2395="","",INDEX('_calc'!$J$2:$J$3001,$N2395))</f>
        <v/>
      </c>
      <c r="M2395" s="2" t="str">
        <f>IF($N2395="","",IF(AND(G2395=0,H2395=0),"수량 없음",IF(G2395=0,"신규 (전년 수량 없음)",IF(H2395=0,"당해 수량 없음",""))))</f>
        <v/>
      </c>
      <c r="N2395" t="str">
        <f>IF($B2395="","",MATCH($B2395,'_calc'!$L$2:$L$3001,0))</f>
        <v/>
      </c>
    </row>
    <row r="2396">
      <c r="B2396" s="24" t="str">
        <f>IF(ROW()-ROW($B$8)&gt;nComp,"",ROW()-ROW($B$8))</f>
        <v/>
      </c>
      <c r="C2396" t="str">
        <f>IF($N2396="","",INDEX('_calc'!$A$2:$A$3001,$N2396))</f>
        <v/>
      </c>
      <c r="D2396" s="25" t="str">
        <f>IF($N2396="","",INDEX('_calc'!$C$2:$C$3001,$N2396))</f>
        <v/>
      </c>
      <c r="E2396" s="25" t="str">
        <f>IF($N2396="","",INDEX('_calc'!$D$2:$D$3001,$N2396))</f>
        <v/>
      </c>
      <c r="F2396" s="26" t="str">
        <f>IF($N2396="","",IF($E$8=0,"",E2396/$E$8))</f>
        <v/>
      </c>
      <c r="G2396" s="25" t="str">
        <f>IF($N2396="","",INDEX('_calc'!$E$2:$E$3001,$N2396))</f>
        <v/>
      </c>
      <c r="H2396" s="25" t="str">
        <f>IF($N2396="","",INDEX('_calc'!$F$2:$F$3001,$N2396))</f>
        <v/>
      </c>
      <c r="I2396" s="27" t="str">
        <f>IF($N2396="","",INDEX('_calc'!$H$2:$H$3001,$N2396))</f>
        <v/>
      </c>
      <c r="J2396" s="27" t="str">
        <f>IF($N2396="","",INDEX('_calc'!$I$2:$I$3001,$N2396))</f>
        <v/>
      </c>
      <c r="K2396" s="28" t="str">
        <f>IF($N2396="","",IF(OR(I2396="",J2396=""),"",J2396-I2396))</f>
        <v/>
      </c>
      <c r="L2396" s="29" t="str">
        <f>IF($N2396="","",INDEX('_calc'!$J$2:$J$3001,$N2396))</f>
        <v/>
      </c>
      <c r="M2396" s="2" t="str">
        <f>IF($N2396="","",IF(AND(G2396=0,H2396=0),"수량 없음",IF(G2396=0,"신규 (전년 수량 없음)",IF(H2396=0,"당해 수량 없음",""))))</f>
        <v/>
      </c>
      <c r="N2396" t="str">
        <f>IF($B2396="","",MATCH($B2396,'_calc'!$L$2:$L$3001,0))</f>
        <v/>
      </c>
    </row>
    <row r="2397">
      <c r="B2397" s="24" t="str">
        <f>IF(ROW()-ROW($B$8)&gt;nComp,"",ROW()-ROW($B$8))</f>
        <v/>
      </c>
      <c r="C2397" t="str">
        <f>IF($N2397="","",INDEX('_calc'!$A$2:$A$3001,$N2397))</f>
        <v/>
      </c>
      <c r="D2397" s="25" t="str">
        <f>IF($N2397="","",INDEX('_calc'!$C$2:$C$3001,$N2397))</f>
        <v/>
      </c>
      <c r="E2397" s="25" t="str">
        <f>IF($N2397="","",INDEX('_calc'!$D$2:$D$3001,$N2397))</f>
        <v/>
      </c>
      <c r="F2397" s="26" t="str">
        <f>IF($N2397="","",IF($E$8=0,"",E2397/$E$8))</f>
        <v/>
      </c>
      <c r="G2397" s="25" t="str">
        <f>IF($N2397="","",INDEX('_calc'!$E$2:$E$3001,$N2397))</f>
        <v/>
      </c>
      <c r="H2397" s="25" t="str">
        <f>IF($N2397="","",INDEX('_calc'!$F$2:$F$3001,$N2397))</f>
        <v/>
      </c>
      <c r="I2397" s="27" t="str">
        <f>IF($N2397="","",INDEX('_calc'!$H$2:$H$3001,$N2397))</f>
        <v/>
      </c>
      <c r="J2397" s="27" t="str">
        <f>IF($N2397="","",INDEX('_calc'!$I$2:$I$3001,$N2397))</f>
        <v/>
      </c>
      <c r="K2397" s="28" t="str">
        <f>IF($N2397="","",IF(OR(I2397="",J2397=""),"",J2397-I2397))</f>
        <v/>
      </c>
      <c r="L2397" s="29" t="str">
        <f>IF($N2397="","",INDEX('_calc'!$J$2:$J$3001,$N2397))</f>
        <v/>
      </c>
      <c r="M2397" s="2" t="str">
        <f>IF($N2397="","",IF(AND(G2397=0,H2397=0),"수량 없음",IF(G2397=0,"신규 (전년 수량 없음)",IF(H2397=0,"당해 수량 없음",""))))</f>
        <v/>
      </c>
      <c r="N2397" t="str">
        <f>IF($B2397="","",MATCH($B2397,'_calc'!$L$2:$L$3001,0))</f>
        <v/>
      </c>
    </row>
    <row r="2398">
      <c r="B2398" s="24" t="str">
        <f>IF(ROW()-ROW($B$8)&gt;nComp,"",ROW()-ROW($B$8))</f>
        <v/>
      </c>
      <c r="C2398" t="str">
        <f>IF($N2398="","",INDEX('_calc'!$A$2:$A$3001,$N2398))</f>
        <v/>
      </c>
      <c r="D2398" s="25" t="str">
        <f>IF($N2398="","",INDEX('_calc'!$C$2:$C$3001,$N2398))</f>
        <v/>
      </c>
      <c r="E2398" s="25" t="str">
        <f>IF($N2398="","",INDEX('_calc'!$D$2:$D$3001,$N2398))</f>
        <v/>
      </c>
      <c r="F2398" s="26" t="str">
        <f>IF($N2398="","",IF($E$8=0,"",E2398/$E$8))</f>
        <v/>
      </c>
      <c r="G2398" s="25" t="str">
        <f>IF($N2398="","",INDEX('_calc'!$E$2:$E$3001,$N2398))</f>
        <v/>
      </c>
      <c r="H2398" s="25" t="str">
        <f>IF($N2398="","",INDEX('_calc'!$F$2:$F$3001,$N2398))</f>
        <v/>
      </c>
      <c r="I2398" s="27" t="str">
        <f>IF($N2398="","",INDEX('_calc'!$H$2:$H$3001,$N2398))</f>
        <v/>
      </c>
      <c r="J2398" s="27" t="str">
        <f>IF($N2398="","",INDEX('_calc'!$I$2:$I$3001,$N2398))</f>
        <v/>
      </c>
      <c r="K2398" s="28" t="str">
        <f>IF($N2398="","",IF(OR(I2398="",J2398=""),"",J2398-I2398))</f>
        <v/>
      </c>
      <c r="L2398" s="29" t="str">
        <f>IF($N2398="","",INDEX('_calc'!$J$2:$J$3001,$N2398))</f>
        <v/>
      </c>
      <c r="M2398" s="2" t="str">
        <f>IF($N2398="","",IF(AND(G2398=0,H2398=0),"수량 없음",IF(G2398=0,"신규 (전년 수량 없음)",IF(H2398=0,"당해 수량 없음",""))))</f>
        <v/>
      </c>
      <c r="N2398" t="str">
        <f>IF($B2398="","",MATCH($B2398,'_calc'!$L$2:$L$3001,0))</f>
        <v/>
      </c>
    </row>
    <row r="2399">
      <c r="B2399" s="24" t="str">
        <f>IF(ROW()-ROW($B$8)&gt;nComp,"",ROW()-ROW($B$8))</f>
        <v/>
      </c>
      <c r="C2399" t="str">
        <f>IF($N2399="","",INDEX('_calc'!$A$2:$A$3001,$N2399))</f>
        <v/>
      </c>
      <c r="D2399" s="25" t="str">
        <f>IF($N2399="","",INDEX('_calc'!$C$2:$C$3001,$N2399))</f>
        <v/>
      </c>
      <c r="E2399" s="25" t="str">
        <f>IF($N2399="","",INDEX('_calc'!$D$2:$D$3001,$N2399))</f>
        <v/>
      </c>
      <c r="F2399" s="26" t="str">
        <f>IF($N2399="","",IF($E$8=0,"",E2399/$E$8))</f>
        <v/>
      </c>
      <c r="G2399" s="25" t="str">
        <f>IF($N2399="","",INDEX('_calc'!$E$2:$E$3001,$N2399))</f>
        <v/>
      </c>
      <c r="H2399" s="25" t="str">
        <f>IF($N2399="","",INDEX('_calc'!$F$2:$F$3001,$N2399))</f>
        <v/>
      </c>
      <c r="I2399" s="27" t="str">
        <f>IF($N2399="","",INDEX('_calc'!$H$2:$H$3001,$N2399))</f>
        <v/>
      </c>
      <c r="J2399" s="27" t="str">
        <f>IF($N2399="","",INDEX('_calc'!$I$2:$I$3001,$N2399))</f>
        <v/>
      </c>
      <c r="K2399" s="28" t="str">
        <f>IF($N2399="","",IF(OR(I2399="",J2399=""),"",J2399-I2399))</f>
        <v/>
      </c>
      <c r="L2399" s="29" t="str">
        <f>IF($N2399="","",INDEX('_calc'!$J$2:$J$3001,$N2399))</f>
        <v/>
      </c>
      <c r="M2399" s="2" t="str">
        <f>IF($N2399="","",IF(AND(G2399=0,H2399=0),"수량 없음",IF(G2399=0,"신규 (전년 수량 없음)",IF(H2399=0,"당해 수량 없음",""))))</f>
        <v/>
      </c>
      <c r="N2399" t="str">
        <f>IF($B2399="","",MATCH($B2399,'_calc'!$L$2:$L$3001,0))</f>
        <v/>
      </c>
    </row>
    <row r="2400">
      <c r="B2400" s="24" t="str">
        <f>IF(ROW()-ROW($B$8)&gt;nComp,"",ROW()-ROW($B$8))</f>
        <v/>
      </c>
      <c r="C2400" t="str">
        <f>IF($N2400="","",INDEX('_calc'!$A$2:$A$3001,$N2400))</f>
        <v/>
      </c>
      <c r="D2400" s="25" t="str">
        <f>IF($N2400="","",INDEX('_calc'!$C$2:$C$3001,$N2400))</f>
        <v/>
      </c>
      <c r="E2400" s="25" t="str">
        <f>IF($N2400="","",INDEX('_calc'!$D$2:$D$3001,$N2400))</f>
        <v/>
      </c>
      <c r="F2400" s="26" t="str">
        <f>IF($N2400="","",IF($E$8=0,"",E2400/$E$8))</f>
        <v/>
      </c>
      <c r="G2400" s="25" t="str">
        <f>IF($N2400="","",INDEX('_calc'!$E$2:$E$3001,$N2400))</f>
        <v/>
      </c>
      <c r="H2400" s="25" t="str">
        <f>IF($N2400="","",INDEX('_calc'!$F$2:$F$3001,$N2400))</f>
        <v/>
      </c>
      <c r="I2400" s="27" t="str">
        <f>IF($N2400="","",INDEX('_calc'!$H$2:$H$3001,$N2400))</f>
        <v/>
      </c>
      <c r="J2400" s="27" t="str">
        <f>IF($N2400="","",INDEX('_calc'!$I$2:$I$3001,$N2400))</f>
        <v/>
      </c>
      <c r="K2400" s="28" t="str">
        <f>IF($N2400="","",IF(OR(I2400="",J2400=""),"",J2400-I2400))</f>
        <v/>
      </c>
      <c r="L2400" s="29" t="str">
        <f>IF($N2400="","",INDEX('_calc'!$J$2:$J$3001,$N2400))</f>
        <v/>
      </c>
      <c r="M2400" s="2" t="str">
        <f>IF($N2400="","",IF(AND(G2400=0,H2400=0),"수량 없음",IF(G2400=0,"신규 (전년 수량 없음)",IF(H2400=0,"당해 수량 없음",""))))</f>
        <v/>
      </c>
      <c r="N2400" t="str">
        <f>IF($B2400="","",MATCH($B2400,'_calc'!$L$2:$L$3001,0))</f>
        <v/>
      </c>
    </row>
    <row r="2401">
      <c r="B2401" s="24" t="str">
        <f>IF(ROW()-ROW($B$8)&gt;nComp,"",ROW()-ROW($B$8))</f>
        <v/>
      </c>
      <c r="C2401" t="str">
        <f>IF($N2401="","",INDEX('_calc'!$A$2:$A$3001,$N2401))</f>
        <v/>
      </c>
      <c r="D2401" s="25" t="str">
        <f>IF($N2401="","",INDEX('_calc'!$C$2:$C$3001,$N2401))</f>
        <v/>
      </c>
      <c r="E2401" s="25" t="str">
        <f>IF($N2401="","",INDEX('_calc'!$D$2:$D$3001,$N2401))</f>
        <v/>
      </c>
      <c r="F2401" s="26" t="str">
        <f>IF($N2401="","",IF($E$8=0,"",E2401/$E$8))</f>
        <v/>
      </c>
      <c r="G2401" s="25" t="str">
        <f>IF($N2401="","",INDEX('_calc'!$E$2:$E$3001,$N2401))</f>
        <v/>
      </c>
      <c r="H2401" s="25" t="str">
        <f>IF($N2401="","",INDEX('_calc'!$F$2:$F$3001,$N2401))</f>
        <v/>
      </c>
      <c r="I2401" s="27" t="str">
        <f>IF($N2401="","",INDEX('_calc'!$H$2:$H$3001,$N2401))</f>
        <v/>
      </c>
      <c r="J2401" s="27" t="str">
        <f>IF($N2401="","",INDEX('_calc'!$I$2:$I$3001,$N2401))</f>
        <v/>
      </c>
      <c r="K2401" s="28" t="str">
        <f>IF($N2401="","",IF(OR(I2401="",J2401=""),"",J2401-I2401))</f>
        <v/>
      </c>
      <c r="L2401" s="29" t="str">
        <f>IF($N2401="","",INDEX('_calc'!$J$2:$J$3001,$N2401))</f>
        <v/>
      </c>
      <c r="M2401" s="2" t="str">
        <f>IF($N2401="","",IF(AND(G2401=0,H2401=0),"수량 없음",IF(G2401=0,"신규 (전년 수량 없음)",IF(H2401=0,"당해 수량 없음",""))))</f>
        <v/>
      </c>
      <c r="N2401" t="str">
        <f>IF($B2401="","",MATCH($B2401,'_calc'!$L$2:$L$3001,0))</f>
        <v/>
      </c>
    </row>
    <row r="2402">
      <c r="B2402" s="24" t="str">
        <f>IF(ROW()-ROW($B$8)&gt;nComp,"",ROW()-ROW($B$8))</f>
        <v/>
      </c>
      <c r="C2402" t="str">
        <f>IF($N2402="","",INDEX('_calc'!$A$2:$A$3001,$N2402))</f>
        <v/>
      </c>
      <c r="D2402" s="25" t="str">
        <f>IF($N2402="","",INDEX('_calc'!$C$2:$C$3001,$N2402))</f>
        <v/>
      </c>
      <c r="E2402" s="25" t="str">
        <f>IF($N2402="","",INDEX('_calc'!$D$2:$D$3001,$N2402))</f>
        <v/>
      </c>
      <c r="F2402" s="26" t="str">
        <f>IF($N2402="","",IF($E$8=0,"",E2402/$E$8))</f>
        <v/>
      </c>
      <c r="G2402" s="25" t="str">
        <f>IF($N2402="","",INDEX('_calc'!$E$2:$E$3001,$N2402))</f>
        <v/>
      </c>
      <c r="H2402" s="25" t="str">
        <f>IF($N2402="","",INDEX('_calc'!$F$2:$F$3001,$N2402))</f>
        <v/>
      </c>
      <c r="I2402" s="27" t="str">
        <f>IF($N2402="","",INDEX('_calc'!$H$2:$H$3001,$N2402))</f>
        <v/>
      </c>
      <c r="J2402" s="27" t="str">
        <f>IF($N2402="","",INDEX('_calc'!$I$2:$I$3001,$N2402))</f>
        <v/>
      </c>
      <c r="K2402" s="28" t="str">
        <f>IF($N2402="","",IF(OR(I2402="",J2402=""),"",J2402-I2402))</f>
        <v/>
      </c>
      <c r="L2402" s="29" t="str">
        <f>IF($N2402="","",INDEX('_calc'!$J$2:$J$3001,$N2402))</f>
        <v/>
      </c>
      <c r="M2402" s="2" t="str">
        <f>IF($N2402="","",IF(AND(G2402=0,H2402=0),"수량 없음",IF(G2402=0,"신규 (전년 수량 없음)",IF(H2402=0,"당해 수량 없음",""))))</f>
        <v/>
      </c>
      <c r="N2402" t="str">
        <f>IF($B2402="","",MATCH($B2402,'_calc'!$L$2:$L$3001,0))</f>
        <v/>
      </c>
    </row>
    <row r="2403">
      <c r="B2403" s="24" t="str">
        <f>IF(ROW()-ROW($B$8)&gt;nComp,"",ROW()-ROW($B$8))</f>
        <v/>
      </c>
      <c r="C2403" t="str">
        <f>IF($N2403="","",INDEX('_calc'!$A$2:$A$3001,$N2403))</f>
        <v/>
      </c>
      <c r="D2403" s="25" t="str">
        <f>IF($N2403="","",INDEX('_calc'!$C$2:$C$3001,$N2403))</f>
        <v/>
      </c>
      <c r="E2403" s="25" t="str">
        <f>IF($N2403="","",INDEX('_calc'!$D$2:$D$3001,$N2403))</f>
        <v/>
      </c>
      <c r="F2403" s="26" t="str">
        <f>IF($N2403="","",IF($E$8=0,"",E2403/$E$8))</f>
        <v/>
      </c>
      <c r="G2403" s="25" t="str">
        <f>IF($N2403="","",INDEX('_calc'!$E$2:$E$3001,$N2403))</f>
        <v/>
      </c>
      <c r="H2403" s="25" t="str">
        <f>IF($N2403="","",INDEX('_calc'!$F$2:$F$3001,$N2403))</f>
        <v/>
      </c>
      <c r="I2403" s="27" t="str">
        <f>IF($N2403="","",INDEX('_calc'!$H$2:$H$3001,$N2403))</f>
        <v/>
      </c>
      <c r="J2403" s="27" t="str">
        <f>IF($N2403="","",INDEX('_calc'!$I$2:$I$3001,$N2403))</f>
        <v/>
      </c>
      <c r="K2403" s="28" t="str">
        <f>IF($N2403="","",IF(OR(I2403="",J2403=""),"",J2403-I2403))</f>
        <v/>
      </c>
      <c r="L2403" s="29" t="str">
        <f>IF($N2403="","",INDEX('_calc'!$J$2:$J$3001,$N2403))</f>
        <v/>
      </c>
      <c r="M2403" s="2" t="str">
        <f>IF($N2403="","",IF(AND(G2403=0,H2403=0),"수량 없음",IF(G2403=0,"신규 (전년 수량 없음)",IF(H2403=0,"당해 수량 없음",""))))</f>
        <v/>
      </c>
      <c r="N2403" t="str">
        <f>IF($B2403="","",MATCH($B2403,'_calc'!$L$2:$L$3001,0))</f>
        <v/>
      </c>
    </row>
    <row r="2404">
      <c r="B2404" s="24" t="str">
        <f>IF(ROW()-ROW($B$8)&gt;nComp,"",ROW()-ROW($B$8))</f>
        <v/>
      </c>
      <c r="C2404" t="str">
        <f>IF($N2404="","",INDEX('_calc'!$A$2:$A$3001,$N2404))</f>
        <v/>
      </c>
      <c r="D2404" s="25" t="str">
        <f>IF($N2404="","",INDEX('_calc'!$C$2:$C$3001,$N2404))</f>
        <v/>
      </c>
      <c r="E2404" s="25" t="str">
        <f>IF($N2404="","",INDEX('_calc'!$D$2:$D$3001,$N2404))</f>
        <v/>
      </c>
      <c r="F2404" s="26" t="str">
        <f>IF($N2404="","",IF($E$8=0,"",E2404/$E$8))</f>
        <v/>
      </c>
      <c r="G2404" s="25" t="str">
        <f>IF($N2404="","",INDEX('_calc'!$E$2:$E$3001,$N2404))</f>
        <v/>
      </c>
      <c r="H2404" s="25" t="str">
        <f>IF($N2404="","",INDEX('_calc'!$F$2:$F$3001,$N2404))</f>
        <v/>
      </c>
      <c r="I2404" s="27" t="str">
        <f>IF($N2404="","",INDEX('_calc'!$H$2:$H$3001,$N2404))</f>
        <v/>
      </c>
      <c r="J2404" s="27" t="str">
        <f>IF($N2404="","",INDEX('_calc'!$I$2:$I$3001,$N2404))</f>
        <v/>
      </c>
      <c r="K2404" s="28" t="str">
        <f>IF($N2404="","",IF(OR(I2404="",J2404=""),"",J2404-I2404))</f>
        <v/>
      </c>
      <c r="L2404" s="29" t="str">
        <f>IF($N2404="","",INDEX('_calc'!$J$2:$J$3001,$N2404))</f>
        <v/>
      </c>
      <c r="M2404" s="2" t="str">
        <f>IF($N2404="","",IF(AND(G2404=0,H2404=0),"수량 없음",IF(G2404=0,"신규 (전년 수량 없음)",IF(H2404=0,"당해 수량 없음",""))))</f>
        <v/>
      </c>
      <c r="N2404" t="str">
        <f>IF($B2404="","",MATCH($B2404,'_calc'!$L$2:$L$3001,0))</f>
        <v/>
      </c>
    </row>
    <row r="2405">
      <c r="B2405" s="24" t="str">
        <f>IF(ROW()-ROW($B$8)&gt;nComp,"",ROW()-ROW($B$8))</f>
        <v/>
      </c>
      <c r="C2405" t="str">
        <f>IF($N2405="","",INDEX('_calc'!$A$2:$A$3001,$N2405))</f>
        <v/>
      </c>
      <c r="D2405" s="25" t="str">
        <f>IF($N2405="","",INDEX('_calc'!$C$2:$C$3001,$N2405))</f>
        <v/>
      </c>
      <c r="E2405" s="25" t="str">
        <f>IF($N2405="","",INDEX('_calc'!$D$2:$D$3001,$N2405))</f>
        <v/>
      </c>
      <c r="F2405" s="26" t="str">
        <f>IF($N2405="","",IF($E$8=0,"",E2405/$E$8))</f>
        <v/>
      </c>
      <c r="G2405" s="25" t="str">
        <f>IF($N2405="","",INDEX('_calc'!$E$2:$E$3001,$N2405))</f>
        <v/>
      </c>
      <c r="H2405" s="25" t="str">
        <f>IF($N2405="","",INDEX('_calc'!$F$2:$F$3001,$N2405))</f>
        <v/>
      </c>
      <c r="I2405" s="27" t="str">
        <f>IF($N2405="","",INDEX('_calc'!$H$2:$H$3001,$N2405))</f>
        <v/>
      </c>
      <c r="J2405" s="27" t="str">
        <f>IF($N2405="","",INDEX('_calc'!$I$2:$I$3001,$N2405))</f>
        <v/>
      </c>
      <c r="K2405" s="28" t="str">
        <f>IF($N2405="","",IF(OR(I2405="",J2405=""),"",J2405-I2405))</f>
        <v/>
      </c>
      <c r="L2405" s="29" t="str">
        <f>IF($N2405="","",INDEX('_calc'!$J$2:$J$3001,$N2405))</f>
        <v/>
      </c>
      <c r="M2405" s="2" t="str">
        <f>IF($N2405="","",IF(AND(G2405=0,H2405=0),"수량 없음",IF(G2405=0,"신규 (전년 수량 없음)",IF(H2405=0,"당해 수량 없음",""))))</f>
        <v/>
      </c>
      <c r="N2405" t="str">
        <f>IF($B2405="","",MATCH($B2405,'_calc'!$L$2:$L$3001,0))</f>
        <v/>
      </c>
    </row>
    <row r="2406">
      <c r="B2406" s="24" t="str">
        <f>IF(ROW()-ROW($B$8)&gt;nComp,"",ROW()-ROW($B$8))</f>
        <v/>
      </c>
      <c r="C2406" t="str">
        <f>IF($N2406="","",INDEX('_calc'!$A$2:$A$3001,$N2406))</f>
        <v/>
      </c>
      <c r="D2406" s="25" t="str">
        <f>IF($N2406="","",INDEX('_calc'!$C$2:$C$3001,$N2406))</f>
        <v/>
      </c>
      <c r="E2406" s="25" t="str">
        <f>IF($N2406="","",INDEX('_calc'!$D$2:$D$3001,$N2406))</f>
        <v/>
      </c>
      <c r="F2406" s="26" t="str">
        <f>IF($N2406="","",IF($E$8=0,"",E2406/$E$8))</f>
        <v/>
      </c>
      <c r="G2406" s="25" t="str">
        <f>IF($N2406="","",INDEX('_calc'!$E$2:$E$3001,$N2406))</f>
        <v/>
      </c>
      <c r="H2406" s="25" t="str">
        <f>IF($N2406="","",INDEX('_calc'!$F$2:$F$3001,$N2406))</f>
        <v/>
      </c>
      <c r="I2406" s="27" t="str">
        <f>IF($N2406="","",INDEX('_calc'!$H$2:$H$3001,$N2406))</f>
        <v/>
      </c>
      <c r="J2406" s="27" t="str">
        <f>IF($N2406="","",INDEX('_calc'!$I$2:$I$3001,$N2406))</f>
        <v/>
      </c>
      <c r="K2406" s="28" t="str">
        <f>IF($N2406="","",IF(OR(I2406="",J2406=""),"",J2406-I2406))</f>
        <v/>
      </c>
      <c r="L2406" s="29" t="str">
        <f>IF($N2406="","",INDEX('_calc'!$J$2:$J$3001,$N2406))</f>
        <v/>
      </c>
      <c r="M2406" s="2" t="str">
        <f>IF($N2406="","",IF(AND(G2406=0,H2406=0),"수량 없음",IF(G2406=0,"신규 (전년 수량 없음)",IF(H2406=0,"당해 수량 없음",""))))</f>
        <v/>
      </c>
      <c r="N2406" t="str">
        <f>IF($B2406="","",MATCH($B2406,'_calc'!$L$2:$L$3001,0))</f>
        <v/>
      </c>
    </row>
    <row r="2407">
      <c r="B2407" s="24" t="str">
        <f>IF(ROW()-ROW($B$8)&gt;nComp,"",ROW()-ROW($B$8))</f>
        <v/>
      </c>
      <c r="C2407" t="str">
        <f>IF($N2407="","",INDEX('_calc'!$A$2:$A$3001,$N2407))</f>
        <v/>
      </c>
      <c r="D2407" s="25" t="str">
        <f>IF($N2407="","",INDEX('_calc'!$C$2:$C$3001,$N2407))</f>
        <v/>
      </c>
      <c r="E2407" s="25" t="str">
        <f>IF($N2407="","",INDEX('_calc'!$D$2:$D$3001,$N2407))</f>
        <v/>
      </c>
      <c r="F2407" s="26" t="str">
        <f>IF($N2407="","",IF($E$8=0,"",E2407/$E$8))</f>
        <v/>
      </c>
      <c r="G2407" s="25" t="str">
        <f>IF($N2407="","",INDEX('_calc'!$E$2:$E$3001,$N2407))</f>
        <v/>
      </c>
      <c r="H2407" s="25" t="str">
        <f>IF($N2407="","",INDEX('_calc'!$F$2:$F$3001,$N2407))</f>
        <v/>
      </c>
      <c r="I2407" s="27" t="str">
        <f>IF($N2407="","",INDEX('_calc'!$H$2:$H$3001,$N2407))</f>
        <v/>
      </c>
      <c r="J2407" s="27" t="str">
        <f>IF($N2407="","",INDEX('_calc'!$I$2:$I$3001,$N2407))</f>
        <v/>
      </c>
      <c r="K2407" s="28" t="str">
        <f>IF($N2407="","",IF(OR(I2407="",J2407=""),"",J2407-I2407))</f>
        <v/>
      </c>
      <c r="L2407" s="29" t="str">
        <f>IF($N2407="","",INDEX('_calc'!$J$2:$J$3001,$N2407))</f>
        <v/>
      </c>
      <c r="M2407" s="2" t="str">
        <f>IF($N2407="","",IF(AND(G2407=0,H2407=0),"수량 없음",IF(G2407=0,"신규 (전년 수량 없음)",IF(H2407=0,"당해 수량 없음",""))))</f>
        <v/>
      </c>
      <c r="N2407" t="str">
        <f>IF($B2407="","",MATCH($B2407,'_calc'!$L$2:$L$3001,0))</f>
        <v/>
      </c>
    </row>
    <row r="2408">
      <c r="B2408" s="24" t="str">
        <f>IF(ROW()-ROW($B$8)&gt;nComp,"",ROW()-ROW($B$8))</f>
        <v/>
      </c>
      <c r="C2408" t="str">
        <f>IF($N2408="","",INDEX('_calc'!$A$2:$A$3001,$N2408))</f>
        <v/>
      </c>
      <c r="D2408" s="25" t="str">
        <f>IF($N2408="","",INDEX('_calc'!$C$2:$C$3001,$N2408))</f>
        <v/>
      </c>
      <c r="E2408" s="25" t="str">
        <f>IF($N2408="","",INDEX('_calc'!$D$2:$D$3001,$N2408))</f>
        <v/>
      </c>
      <c r="F2408" s="26" t="str">
        <f>IF($N2408="","",IF($E$8=0,"",E2408/$E$8))</f>
        <v/>
      </c>
      <c r="G2408" s="25" t="str">
        <f>IF($N2408="","",INDEX('_calc'!$E$2:$E$3001,$N2408))</f>
        <v/>
      </c>
      <c r="H2408" s="25" t="str">
        <f>IF($N2408="","",INDEX('_calc'!$F$2:$F$3001,$N2408))</f>
        <v/>
      </c>
      <c r="I2408" s="27" t="str">
        <f>IF($N2408="","",INDEX('_calc'!$H$2:$H$3001,$N2408))</f>
        <v/>
      </c>
      <c r="J2408" s="27" t="str">
        <f>IF($N2408="","",INDEX('_calc'!$I$2:$I$3001,$N2408))</f>
        <v/>
      </c>
      <c r="K2408" s="28" t="str">
        <f>IF($N2408="","",IF(OR(I2408="",J2408=""),"",J2408-I2408))</f>
        <v/>
      </c>
      <c r="L2408" s="29" t="str">
        <f>IF($N2408="","",INDEX('_calc'!$J$2:$J$3001,$N2408))</f>
        <v/>
      </c>
      <c r="M2408" s="2" t="str">
        <f>IF($N2408="","",IF(AND(G2408=0,H2408=0),"수량 없음",IF(G2408=0,"신규 (전년 수량 없음)",IF(H2408=0,"당해 수량 없음",""))))</f>
        <v/>
      </c>
      <c r="N2408" t="str">
        <f>IF($B2408="","",MATCH($B2408,'_calc'!$L$2:$L$3001,0))</f>
        <v/>
      </c>
    </row>
    <row r="2409">
      <c r="B2409" s="24" t="str">
        <f>IF(ROW()-ROW($B$8)&gt;nComp,"",ROW()-ROW($B$8))</f>
        <v/>
      </c>
      <c r="C2409" t="str">
        <f>IF($N2409="","",INDEX('_calc'!$A$2:$A$3001,$N2409))</f>
        <v/>
      </c>
      <c r="D2409" s="25" t="str">
        <f>IF($N2409="","",INDEX('_calc'!$C$2:$C$3001,$N2409))</f>
        <v/>
      </c>
      <c r="E2409" s="25" t="str">
        <f>IF($N2409="","",INDEX('_calc'!$D$2:$D$3001,$N2409))</f>
        <v/>
      </c>
      <c r="F2409" s="26" t="str">
        <f>IF($N2409="","",IF($E$8=0,"",E2409/$E$8))</f>
        <v/>
      </c>
      <c r="G2409" s="25" t="str">
        <f>IF($N2409="","",INDEX('_calc'!$E$2:$E$3001,$N2409))</f>
        <v/>
      </c>
      <c r="H2409" s="25" t="str">
        <f>IF($N2409="","",INDEX('_calc'!$F$2:$F$3001,$N2409))</f>
        <v/>
      </c>
      <c r="I2409" s="27" t="str">
        <f>IF($N2409="","",INDEX('_calc'!$H$2:$H$3001,$N2409))</f>
        <v/>
      </c>
      <c r="J2409" s="27" t="str">
        <f>IF($N2409="","",INDEX('_calc'!$I$2:$I$3001,$N2409))</f>
        <v/>
      </c>
      <c r="K2409" s="28" t="str">
        <f>IF($N2409="","",IF(OR(I2409="",J2409=""),"",J2409-I2409))</f>
        <v/>
      </c>
      <c r="L2409" s="29" t="str">
        <f>IF($N2409="","",INDEX('_calc'!$J$2:$J$3001,$N2409))</f>
        <v/>
      </c>
      <c r="M2409" s="2" t="str">
        <f>IF($N2409="","",IF(AND(G2409=0,H2409=0),"수량 없음",IF(G2409=0,"신규 (전년 수량 없음)",IF(H2409=0,"당해 수량 없음",""))))</f>
        <v/>
      </c>
      <c r="N2409" t="str">
        <f>IF($B2409="","",MATCH($B2409,'_calc'!$L$2:$L$3001,0))</f>
        <v/>
      </c>
    </row>
    <row r="2410">
      <c r="B2410" s="24" t="str">
        <f>IF(ROW()-ROW($B$8)&gt;nComp,"",ROW()-ROW($B$8))</f>
        <v/>
      </c>
      <c r="C2410" t="str">
        <f>IF($N2410="","",INDEX('_calc'!$A$2:$A$3001,$N2410))</f>
        <v/>
      </c>
      <c r="D2410" s="25" t="str">
        <f>IF($N2410="","",INDEX('_calc'!$C$2:$C$3001,$N2410))</f>
        <v/>
      </c>
      <c r="E2410" s="25" t="str">
        <f>IF($N2410="","",INDEX('_calc'!$D$2:$D$3001,$N2410))</f>
        <v/>
      </c>
      <c r="F2410" s="26" t="str">
        <f>IF($N2410="","",IF($E$8=0,"",E2410/$E$8))</f>
        <v/>
      </c>
      <c r="G2410" s="25" t="str">
        <f>IF($N2410="","",INDEX('_calc'!$E$2:$E$3001,$N2410))</f>
        <v/>
      </c>
      <c r="H2410" s="25" t="str">
        <f>IF($N2410="","",INDEX('_calc'!$F$2:$F$3001,$N2410))</f>
        <v/>
      </c>
      <c r="I2410" s="27" t="str">
        <f>IF($N2410="","",INDEX('_calc'!$H$2:$H$3001,$N2410))</f>
        <v/>
      </c>
      <c r="J2410" s="27" t="str">
        <f>IF($N2410="","",INDEX('_calc'!$I$2:$I$3001,$N2410))</f>
        <v/>
      </c>
      <c r="K2410" s="28" t="str">
        <f>IF($N2410="","",IF(OR(I2410="",J2410=""),"",J2410-I2410))</f>
        <v/>
      </c>
      <c r="L2410" s="29" t="str">
        <f>IF($N2410="","",INDEX('_calc'!$J$2:$J$3001,$N2410))</f>
        <v/>
      </c>
      <c r="M2410" s="2" t="str">
        <f>IF($N2410="","",IF(AND(G2410=0,H2410=0),"수량 없음",IF(G2410=0,"신규 (전년 수량 없음)",IF(H2410=0,"당해 수량 없음",""))))</f>
        <v/>
      </c>
      <c r="N2410" t="str">
        <f>IF($B2410="","",MATCH($B2410,'_calc'!$L$2:$L$3001,0))</f>
        <v/>
      </c>
    </row>
    <row r="2411">
      <c r="B2411" s="24" t="str">
        <f>IF(ROW()-ROW($B$8)&gt;nComp,"",ROW()-ROW($B$8))</f>
        <v/>
      </c>
      <c r="C2411" t="str">
        <f>IF($N2411="","",INDEX('_calc'!$A$2:$A$3001,$N2411))</f>
        <v/>
      </c>
      <c r="D2411" s="25" t="str">
        <f>IF($N2411="","",INDEX('_calc'!$C$2:$C$3001,$N2411))</f>
        <v/>
      </c>
      <c r="E2411" s="25" t="str">
        <f>IF($N2411="","",INDEX('_calc'!$D$2:$D$3001,$N2411))</f>
        <v/>
      </c>
      <c r="F2411" s="26" t="str">
        <f>IF($N2411="","",IF($E$8=0,"",E2411/$E$8))</f>
        <v/>
      </c>
      <c r="G2411" s="25" t="str">
        <f>IF($N2411="","",INDEX('_calc'!$E$2:$E$3001,$N2411))</f>
        <v/>
      </c>
      <c r="H2411" s="25" t="str">
        <f>IF($N2411="","",INDEX('_calc'!$F$2:$F$3001,$N2411))</f>
        <v/>
      </c>
      <c r="I2411" s="27" t="str">
        <f>IF($N2411="","",INDEX('_calc'!$H$2:$H$3001,$N2411))</f>
        <v/>
      </c>
      <c r="J2411" s="27" t="str">
        <f>IF($N2411="","",INDEX('_calc'!$I$2:$I$3001,$N2411))</f>
        <v/>
      </c>
      <c r="K2411" s="28" t="str">
        <f>IF($N2411="","",IF(OR(I2411="",J2411=""),"",J2411-I2411))</f>
        <v/>
      </c>
      <c r="L2411" s="29" t="str">
        <f>IF($N2411="","",INDEX('_calc'!$J$2:$J$3001,$N2411))</f>
        <v/>
      </c>
      <c r="M2411" s="2" t="str">
        <f>IF($N2411="","",IF(AND(G2411=0,H2411=0),"수량 없음",IF(G2411=0,"신규 (전년 수량 없음)",IF(H2411=0,"당해 수량 없음",""))))</f>
        <v/>
      </c>
      <c r="N2411" t="str">
        <f>IF($B2411="","",MATCH($B2411,'_calc'!$L$2:$L$3001,0))</f>
        <v/>
      </c>
    </row>
    <row r="2412">
      <c r="B2412" s="24" t="str">
        <f>IF(ROW()-ROW($B$8)&gt;nComp,"",ROW()-ROW($B$8))</f>
        <v/>
      </c>
      <c r="C2412" t="str">
        <f>IF($N2412="","",INDEX('_calc'!$A$2:$A$3001,$N2412))</f>
        <v/>
      </c>
      <c r="D2412" s="25" t="str">
        <f>IF($N2412="","",INDEX('_calc'!$C$2:$C$3001,$N2412))</f>
        <v/>
      </c>
      <c r="E2412" s="25" t="str">
        <f>IF($N2412="","",INDEX('_calc'!$D$2:$D$3001,$N2412))</f>
        <v/>
      </c>
      <c r="F2412" s="26" t="str">
        <f>IF($N2412="","",IF($E$8=0,"",E2412/$E$8))</f>
        <v/>
      </c>
      <c r="G2412" s="25" t="str">
        <f>IF($N2412="","",INDEX('_calc'!$E$2:$E$3001,$N2412))</f>
        <v/>
      </c>
      <c r="H2412" s="25" t="str">
        <f>IF($N2412="","",INDEX('_calc'!$F$2:$F$3001,$N2412))</f>
        <v/>
      </c>
      <c r="I2412" s="27" t="str">
        <f>IF($N2412="","",INDEX('_calc'!$H$2:$H$3001,$N2412))</f>
        <v/>
      </c>
      <c r="J2412" s="27" t="str">
        <f>IF($N2412="","",INDEX('_calc'!$I$2:$I$3001,$N2412))</f>
        <v/>
      </c>
      <c r="K2412" s="28" t="str">
        <f>IF($N2412="","",IF(OR(I2412="",J2412=""),"",J2412-I2412))</f>
        <v/>
      </c>
      <c r="L2412" s="29" t="str">
        <f>IF($N2412="","",INDEX('_calc'!$J$2:$J$3001,$N2412))</f>
        <v/>
      </c>
      <c r="M2412" s="2" t="str">
        <f>IF($N2412="","",IF(AND(G2412=0,H2412=0),"수량 없음",IF(G2412=0,"신규 (전년 수량 없음)",IF(H2412=0,"당해 수량 없음",""))))</f>
        <v/>
      </c>
      <c r="N2412" t="str">
        <f>IF($B2412="","",MATCH($B2412,'_calc'!$L$2:$L$3001,0))</f>
        <v/>
      </c>
    </row>
    <row r="2413">
      <c r="B2413" s="24" t="str">
        <f>IF(ROW()-ROW($B$8)&gt;nComp,"",ROW()-ROW($B$8))</f>
        <v/>
      </c>
      <c r="C2413" t="str">
        <f>IF($N2413="","",INDEX('_calc'!$A$2:$A$3001,$N2413))</f>
        <v/>
      </c>
      <c r="D2413" s="25" t="str">
        <f>IF($N2413="","",INDEX('_calc'!$C$2:$C$3001,$N2413))</f>
        <v/>
      </c>
      <c r="E2413" s="25" t="str">
        <f>IF($N2413="","",INDEX('_calc'!$D$2:$D$3001,$N2413))</f>
        <v/>
      </c>
      <c r="F2413" s="26" t="str">
        <f>IF($N2413="","",IF($E$8=0,"",E2413/$E$8))</f>
        <v/>
      </c>
      <c r="G2413" s="25" t="str">
        <f>IF($N2413="","",INDEX('_calc'!$E$2:$E$3001,$N2413))</f>
        <v/>
      </c>
      <c r="H2413" s="25" t="str">
        <f>IF($N2413="","",INDEX('_calc'!$F$2:$F$3001,$N2413))</f>
        <v/>
      </c>
      <c r="I2413" s="27" t="str">
        <f>IF($N2413="","",INDEX('_calc'!$H$2:$H$3001,$N2413))</f>
        <v/>
      </c>
      <c r="J2413" s="27" t="str">
        <f>IF($N2413="","",INDEX('_calc'!$I$2:$I$3001,$N2413))</f>
        <v/>
      </c>
      <c r="K2413" s="28" t="str">
        <f>IF($N2413="","",IF(OR(I2413="",J2413=""),"",J2413-I2413))</f>
        <v/>
      </c>
      <c r="L2413" s="29" t="str">
        <f>IF($N2413="","",INDEX('_calc'!$J$2:$J$3001,$N2413))</f>
        <v/>
      </c>
      <c r="M2413" s="2" t="str">
        <f>IF($N2413="","",IF(AND(G2413=0,H2413=0),"수량 없음",IF(G2413=0,"신규 (전년 수량 없음)",IF(H2413=0,"당해 수량 없음",""))))</f>
        <v/>
      </c>
      <c r="N2413" t="str">
        <f>IF($B2413="","",MATCH($B2413,'_calc'!$L$2:$L$3001,0))</f>
        <v/>
      </c>
    </row>
    <row r="2414">
      <c r="B2414" s="24" t="str">
        <f>IF(ROW()-ROW($B$8)&gt;nComp,"",ROW()-ROW($B$8))</f>
        <v/>
      </c>
      <c r="C2414" t="str">
        <f>IF($N2414="","",INDEX('_calc'!$A$2:$A$3001,$N2414))</f>
        <v/>
      </c>
      <c r="D2414" s="25" t="str">
        <f>IF($N2414="","",INDEX('_calc'!$C$2:$C$3001,$N2414))</f>
        <v/>
      </c>
      <c r="E2414" s="25" t="str">
        <f>IF($N2414="","",INDEX('_calc'!$D$2:$D$3001,$N2414))</f>
        <v/>
      </c>
      <c r="F2414" s="26" t="str">
        <f>IF($N2414="","",IF($E$8=0,"",E2414/$E$8))</f>
        <v/>
      </c>
      <c r="G2414" s="25" t="str">
        <f>IF($N2414="","",INDEX('_calc'!$E$2:$E$3001,$N2414))</f>
        <v/>
      </c>
      <c r="H2414" s="25" t="str">
        <f>IF($N2414="","",INDEX('_calc'!$F$2:$F$3001,$N2414))</f>
        <v/>
      </c>
      <c r="I2414" s="27" t="str">
        <f>IF($N2414="","",INDEX('_calc'!$H$2:$H$3001,$N2414))</f>
        <v/>
      </c>
      <c r="J2414" s="27" t="str">
        <f>IF($N2414="","",INDEX('_calc'!$I$2:$I$3001,$N2414))</f>
        <v/>
      </c>
      <c r="K2414" s="28" t="str">
        <f>IF($N2414="","",IF(OR(I2414="",J2414=""),"",J2414-I2414))</f>
        <v/>
      </c>
      <c r="L2414" s="29" t="str">
        <f>IF($N2414="","",INDEX('_calc'!$J$2:$J$3001,$N2414))</f>
        <v/>
      </c>
      <c r="M2414" s="2" t="str">
        <f>IF($N2414="","",IF(AND(G2414=0,H2414=0),"수량 없음",IF(G2414=0,"신규 (전년 수량 없음)",IF(H2414=0,"당해 수량 없음",""))))</f>
        <v/>
      </c>
      <c r="N2414" t="str">
        <f>IF($B2414="","",MATCH($B2414,'_calc'!$L$2:$L$3001,0))</f>
        <v/>
      </c>
    </row>
    <row r="2415">
      <c r="B2415" s="24" t="str">
        <f>IF(ROW()-ROW($B$8)&gt;nComp,"",ROW()-ROW($B$8))</f>
        <v/>
      </c>
      <c r="C2415" t="str">
        <f>IF($N2415="","",INDEX('_calc'!$A$2:$A$3001,$N2415))</f>
        <v/>
      </c>
      <c r="D2415" s="25" t="str">
        <f>IF($N2415="","",INDEX('_calc'!$C$2:$C$3001,$N2415))</f>
        <v/>
      </c>
      <c r="E2415" s="25" t="str">
        <f>IF($N2415="","",INDEX('_calc'!$D$2:$D$3001,$N2415))</f>
        <v/>
      </c>
      <c r="F2415" s="26" t="str">
        <f>IF($N2415="","",IF($E$8=0,"",E2415/$E$8))</f>
        <v/>
      </c>
      <c r="G2415" s="25" t="str">
        <f>IF($N2415="","",INDEX('_calc'!$E$2:$E$3001,$N2415))</f>
        <v/>
      </c>
      <c r="H2415" s="25" t="str">
        <f>IF($N2415="","",INDEX('_calc'!$F$2:$F$3001,$N2415))</f>
        <v/>
      </c>
      <c r="I2415" s="27" t="str">
        <f>IF($N2415="","",INDEX('_calc'!$H$2:$H$3001,$N2415))</f>
        <v/>
      </c>
      <c r="J2415" s="27" t="str">
        <f>IF($N2415="","",INDEX('_calc'!$I$2:$I$3001,$N2415))</f>
        <v/>
      </c>
      <c r="K2415" s="28" t="str">
        <f>IF($N2415="","",IF(OR(I2415="",J2415=""),"",J2415-I2415))</f>
        <v/>
      </c>
      <c r="L2415" s="29" t="str">
        <f>IF($N2415="","",INDEX('_calc'!$J$2:$J$3001,$N2415))</f>
        <v/>
      </c>
      <c r="M2415" s="2" t="str">
        <f>IF($N2415="","",IF(AND(G2415=0,H2415=0),"수량 없음",IF(G2415=0,"신규 (전년 수량 없음)",IF(H2415=0,"당해 수량 없음",""))))</f>
        <v/>
      </c>
      <c r="N2415" t="str">
        <f>IF($B2415="","",MATCH($B2415,'_calc'!$L$2:$L$3001,0))</f>
        <v/>
      </c>
    </row>
    <row r="2416">
      <c r="B2416" s="24" t="str">
        <f>IF(ROW()-ROW($B$8)&gt;nComp,"",ROW()-ROW($B$8))</f>
        <v/>
      </c>
      <c r="C2416" t="str">
        <f>IF($N2416="","",INDEX('_calc'!$A$2:$A$3001,$N2416))</f>
        <v/>
      </c>
      <c r="D2416" s="25" t="str">
        <f>IF($N2416="","",INDEX('_calc'!$C$2:$C$3001,$N2416))</f>
        <v/>
      </c>
      <c r="E2416" s="25" t="str">
        <f>IF($N2416="","",INDEX('_calc'!$D$2:$D$3001,$N2416))</f>
        <v/>
      </c>
      <c r="F2416" s="26" t="str">
        <f>IF($N2416="","",IF($E$8=0,"",E2416/$E$8))</f>
        <v/>
      </c>
      <c r="G2416" s="25" t="str">
        <f>IF($N2416="","",INDEX('_calc'!$E$2:$E$3001,$N2416))</f>
        <v/>
      </c>
      <c r="H2416" s="25" t="str">
        <f>IF($N2416="","",INDEX('_calc'!$F$2:$F$3001,$N2416))</f>
        <v/>
      </c>
      <c r="I2416" s="27" t="str">
        <f>IF($N2416="","",INDEX('_calc'!$H$2:$H$3001,$N2416))</f>
        <v/>
      </c>
      <c r="J2416" s="27" t="str">
        <f>IF($N2416="","",INDEX('_calc'!$I$2:$I$3001,$N2416))</f>
        <v/>
      </c>
      <c r="K2416" s="28" t="str">
        <f>IF($N2416="","",IF(OR(I2416="",J2416=""),"",J2416-I2416))</f>
        <v/>
      </c>
      <c r="L2416" s="29" t="str">
        <f>IF($N2416="","",INDEX('_calc'!$J$2:$J$3001,$N2416))</f>
        <v/>
      </c>
      <c r="M2416" s="2" t="str">
        <f>IF($N2416="","",IF(AND(G2416=0,H2416=0),"수량 없음",IF(G2416=0,"신규 (전년 수량 없음)",IF(H2416=0,"당해 수량 없음",""))))</f>
        <v/>
      </c>
      <c r="N2416" t="str">
        <f>IF($B2416="","",MATCH($B2416,'_calc'!$L$2:$L$3001,0))</f>
        <v/>
      </c>
    </row>
    <row r="2417">
      <c r="B2417" s="24" t="str">
        <f>IF(ROW()-ROW($B$8)&gt;nComp,"",ROW()-ROW($B$8))</f>
        <v/>
      </c>
      <c r="C2417" t="str">
        <f>IF($N2417="","",INDEX('_calc'!$A$2:$A$3001,$N2417))</f>
        <v/>
      </c>
      <c r="D2417" s="25" t="str">
        <f>IF($N2417="","",INDEX('_calc'!$C$2:$C$3001,$N2417))</f>
        <v/>
      </c>
      <c r="E2417" s="25" t="str">
        <f>IF($N2417="","",INDEX('_calc'!$D$2:$D$3001,$N2417))</f>
        <v/>
      </c>
      <c r="F2417" s="26" t="str">
        <f>IF($N2417="","",IF($E$8=0,"",E2417/$E$8))</f>
        <v/>
      </c>
      <c r="G2417" s="25" t="str">
        <f>IF($N2417="","",INDEX('_calc'!$E$2:$E$3001,$N2417))</f>
        <v/>
      </c>
      <c r="H2417" s="25" t="str">
        <f>IF($N2417="","",INDEX('_calc'!$F$2:$F$3001,$N2417))</f>
        <v/>
      </c>
      <c r="I2417" s="27" t="str">
        <f>IF($N2417="","",INDEX('_calc'!$H$2:$H$3001,$N2417))</f>
        <v/>
      </c>
      <c r="J2417" s="27" t="str">
        <f>IF($N2417="","",INDEX('_calc'!$I$2:$I$3001,$N2417))</f>
        <v/>
      </c>
      <c r="K2417" s="28" t="str">
        <f>IF($N2417="","",IF(OR(I2417="",J2417=""),"",J2417-I2417))</f>
        <v/>
      </c>
      <c r="L2417" s="29" t="str">
        <f>IF($N2417="","",INDEX('_calc'!$J$2:$J$3001,$N2417))</f>
        <v/>
      </c>
      <c r="M2417" s="2" t="str">
        <f>IF($N2417="","",IF(AND(G2417=0,H2417=0),"수량 없음",IF(G2417=0,"신규 (전년 수량 없음)",IF(H2417=0,"당해 수량 없음",""))))</f>
        <v/>
      </c>
      <c r="N2417" t="str">
        <f>IF($B2417="","",MATCH($B2417,'_calc'!$L$2:$L$3001,0))</f>
        <v/>
      </c>
    </row>
    <row r="2418">
      <c r="B2418" s="24" t="str">
        <f>IF(ROW()-ROW($B$8)&gt;nComp,"",ROW()-ROW($B$8))</f>
        <v/>
      </c>
      <c r="C2418" t="str">
        <f>IF($N2418="","",INDEX('_calc'!$A$2:$A$3001,$N2418))</f>
        <v/>
      </c>
      <c r="D2418" s="25" t="str">
        <f>IF($N2418="","",INDEX('_calc'!$C$2:$C$3001,$N2418))</f>
        <v/>
      </c>
      <c r="E2418" s="25" t="str">
        <f>IF($N2418="","",INDEX('_calc'!$D$2:$D$3001,$N2418))</f>
        <v/>
      </c>
      <c r="F2418" s="26" t="str">
        <f>IF($N2418="","",IF($E$8=0,"",E2418/$E$8))</f>
        <v/>
      </c>
      <c r="G2418" s="25" t="str">
        <f>IF($N2418="","",INDEX('_calc'!$E$2:$E$3001,$N2418))</f>
        <v/>
      </c>
      <c r="H2418" s="25" t="str">
        <f>IF($N2418="","",INDEX('_calc'!$F$2:$F$3001,$N2418))</f>
        <v/>
      </c>
      <c r="I2418" s="27" t="str">
        <f>IF($N2418="","",INDEX('_calc'!$H$2:$H$3001,$N2418))</f>
        <v/>
      </c>
      <c r="J2418" s="27" t="str">
        <f>IF($N2418="","",INDEX('_calc'!$I$2:$I$3001,$N2418))</f>
        <v/>
      </c>
      <c r="K2418" s="28" t="str">
        <f>IF($N2418="","",IF(OR(I2418="",J2418=""),"",J2418-I2418))</f>
        <v/>
      </c>
      <c r="L2418" s="29" t="str">
        <f>IF($N2418="","",INDEX('_calc'!$J$2:$J$3001,$N2418))</f>
        <v/>
      </c>
      <c r="M2418" s="2" t="str">
        <f>IF($N2418="","",IF(AND(G2418=0,H2418=0),"수량 없음",IF(G2418=0,"신규 (전년 수량 없음)",IF(H2418=0,"당해 수량 없음",""))))</f>
        <v/>
      </c>
      <c r="N2418" t="str">
        <f>IF($B2418="","",MATCH($B2418,'_calc'!$L$2:$L$3001,0))</f>
        <v/>
      </c>
    </row>
    <row r="2419">
      <c r="B2419" s="24" t="str">
        <f>IF(ROW()-ROW($B$8)&gt;nComp,"",ROW()-ROW($B$8))</f>
        <v/>
      </c>
      <c r="C2419" t="str">
        <f>IF($N2419="","",INDEX('_calc'!$A$2:$A$3001,$N2419))</f>
        <v/>
      </c>
      <c r="D2419" s="25" t="str">
        <f>IF($N2419="","",INDEX('_calc'!$C$2:$C$3001,$N2419))</f>
        <v/>
      </c>
      <c r="E2419" s="25" t="str">
        <f>IF($N2419="","",INDEX('_calc'!$D$2:$D$3001,$N2419))</f>
        <v/>
      </c>
      <c r="F2419" s="26" t="str">
        <f>IF($N2419="","",IF($E$8=0,"",E2419/$E$8))</f>
        <v/>
      </c>
      <c r="G2419" s="25" t="str">
        <f>IF($N2419="","",INDEX('_calc'!$E$2:$E$3001,$N2419))</f>
        <v/>
      </c>
      <c r="H2419" s="25" t="str">
        <f>IF($N2419="","",INDEX('_calc'!$F$2:$F$3001,$N2419))</f>
        <v/>
      </c>
      <c r="I2419" s="27" t="str">
        <f>IF($N2419="","",INDEX('_calc'!$H$2:$H$3001,$N2419))</f>
        <v/>
      </c>
      <c r="J2419" s="27" t="str">
        <f>IF($N2419="","",INDEX('_calc'!$I$2:$I$3001,$N2419))</f>
        <v/>
      </c>
      <c r="K2419" s="28" t="str">
        <f>IF($N2419="","",IF(OR(I2419="",J2419=""),"",J2419-I2419))</f>
        <v/>
      </c>
      <c r="L2419" s="29" t="str">
        <f>IF($N2419="","",INDEX('_calc'!$J$2:$J$3001,$N2419))</f>
        <v/>
      </c>
      <c r="M2419" s="2" t="str">
        <f>IF($N2419="","",IF(AND(G2419=0,H2419=0),"수량 없음",IF(G2419=0,"신규 (전년 수량 없음)",IF(H2419=0,"당해 수량 없음",""))))</f>
        <v/>
      </c>
      <c r="N2419" t="str">
        <f>IF($B2419="","",MATCH($B2419,'_calc'!$L$2:$L$3001,0))</f>
        <v/>
      </c>
    </row>
    <row r="2420">
      <c r="B2420" s="24" t="str">
        <f>IF(ROW()-ROW($B$8)&gt;nComp,"",ROW()-ROW($B$8))</f>
        <v/>
      </c>
      <c r="C2420" t="str">
        <f>IF($N2420="","",INDEX('_calc'!$A$2:$A$3001,$N2420))</f>
        <v/>
      </c>
      <c r="D2420" s="25" t="str">
        <f>IF($N2420="","",INDEX('_calc'!$C$2:$C$3001,$N2420))</f>
        <v/>
      </c>
      <c r="E2420" s="25" t="str">
        <f>IF($N2420="","",INDEX('_calc'!$D$2:$D$3001,$N2420))</f>
        <v/>
      </c>
      <c r="F2420" s="26" t="str">
        <f>IF($N2420="","",IF($E$8=0,"",E2420/$E$8))</f>
        <v/>
      </c>
      <c r="G2420" s="25" t="str">
        <f>IF($N2420="","",INDEX('_calc'!$E$2:$E$3001,$N2420))</f>
        <v/>
      </c>
      <c r="H2420" s="25" t="str">
        <f>IF($N2420="","",INDEX('_calc'!$F$2:$F$3001,$N2420))</f>
        <v/>
      </c>
      <c r="I2420" s="27" t="str">
        <f>IF($N2420="","",INDEX('_calc'!$H$2:$H$3001,$N2420))</f>
        <v/>
      </c>
      <c r="J2420" s="27" t="str">
        <f>IF($N2420="","",INDEX('_calc'!$I$2:$I$3001,$N2420))</f>
        <v/>
      </c>
      <c r="K2420" s="28" t="str">
        <f>IF($N2420="","",IF(OR(I2420="",J2420=""),"",J2420-I2420))</f>
        <v/>
      </c>
      <c r="L2420" s="29" t="str">
        <f>IF($N2420="","",INDEX('_calc'!$J$2:$J$3001,$N2420))</f>
        <v/>
      </c>
      <c r="M2420" s="2" t="str">
        <f>IF($N2420="","",IF(AND(G2420=0,H2420=0),"수량 없음",IF(G2420=0,"신규 (전년 수량 없음)",IF(H2420=0,"당해 수량 없음",""))))</f>
        <v/>
      </c>
      <c r="N2420" t="str">
        <f>IF($B2420="","",MATCH($B2420,'_calc'!$L$2:$L$3001,0))</f>
        <v/>
      </c>
    </row>
    <row r="2421">
      <c r="B2421" s="24" t="str">
        <f>IF(ROW()-ROW($B$8)&gt;nComp,"",ROW()-ROW($B$8))</f>
        <v/>
      </c>
      <c r="C2421" t="str">
        <f>IF($N2421="","",INDEX('_calc'!$A$2:$A$3001,$N2421))</f>
        <v/>
      </c>
      <c r="D2421" s="25" t="str">
        <f>IF($N2421="","",INDEX('_calc'!$C$2:$C$3001,$N2421))</f>
        <v/>
      </c>
      <c r="E2421" s="25" t="str">
        <f>IF($N2421="","",INDEX('_calc'!$D$2:$D$3001,$N2421))</f>
        <v/>
      </c>
      <c r="F2421" s="26" t="str">
        <f>IF($N2421="","",IF($E$8=0,"",E2421/$E$8))</f>
        <v/>
      </c>
      <c r="G2421" s="25" t="str">
        <f>IF($N2421="","",INDEX('_calc'!$E$2:$E$3001,$N2421))</f>
        <v/>
      </c>
      <c r="H2421" s="25" t="str">
        <f>IF($N2421="","",INDEX('_calc'!$F$2:$F$3001,$N2421))</f>
        <v/>
      </c>
      <c r="I2421" s="27" t="str">
        <f>IF($N2421="","",INDEX('_calc'!$H$2:$H$3001,$N2421))</f>
        <v/>
      </c>
      <c r="J2421" s="27" t="str">
        <f>IF($N2421="","",INDEX('_calc'!$I$2:$I$3001,$N2421))</f>
        <v/>
      </c>
      <c r="K2421" s="28" t="str">
        <f>IF($N2421="","",IF(OR(I2421="",J2421=""),"",J2421-I2421))</f>
        <v/>
      </c>
      <c r="L2421" s="29" t="str">
        <f>IF($N2421="","",INDEX('_calc'!$J$2:$J$3001,$N2421))</f>
        <v/>
      </c>
      <c r="M2421" s="2" t="str">
        <f>IF($N2421="","",IF(AND(G2421=0,H2421=0),"수량 없음",IF(G2421=0,"신규 (전년 수량 없음)",IF(H2421=0,"당해 수량 없음",""))))</f>
        <v/>
      </c>
      <c r="N2421" t="str">
        <f>IF($B2421="","",MATCH($B2421,'_calc'!$L$2:$L$3001,0))</f>
        <v/>
      </c>
    </row>
    <row r="2422">
      <c r="B2422" s="24" t="str">
        <f>IF(ROW()-ROW($B$8)&gt;nComp,"",ROW()-ROW($B$8))</f>
        <v/>
      </c>
      <c r="C2422" t="str">
        <f>IF($N2422="","",INDEX('_calc'!$A$2:$A$3001,$N2422))</f>
        <v/>
      </c>
      <c r="D2422" s="25" t="str">
        <f>IF($N2422="","",INDEX('_calc'!$C$2:$C$3001,$N2422))</f>
        <v/>
      </c>
      <c r="E2422" s="25" t="str">
        <f>IF($N2422="","",INDEX('_calc'!$D$2:$D$3001,$N2422))</f>
        <v/>
      </c>
      <c r="F2422" s="26" t="str">
        <f>IF($N2422="","",IF($E$8=0,"",E2422/$E$8))</f>
        <v/>
      </c>
      <c r="G2422" s="25" t="str">
        <f>IF($N2422="","",INDEX('_calc'!$E$2:$E$3001,$N2422))</f>
        <v/>
      </c>
      <c r="H2422" s="25" t="str">
        <f>IF($N2422="","",INDEX('_calc'!$F$2:$F$3001,$N2422))</f>
        <v/>
      </c>
      <c r="I2422" s="27" t="str">
        <f>IF($N2422="","",INDEX('_calc'!$H$2:$H$3001,$N2422))</f>
        <v/>
      </c>
      <c r="J2422" s="27" t="str">
        <f>IF($N2422="","",INDEX('_calc'!$I$2:$I$3001,$N2422))</f>
        <v/>
      </c>
      <c r="K2422" s="28" t="str">
        <f>IF($N2422="","",IF(OR(I2422="",J2422=""),"",J2422-I2422))</f>
        <v/>
      </c>
      <c r="L2422" s="29" t="str">
        <f>IF($N2422="","",INDEX('_calc'!$J$2:$J$3001,$N2422))</f>
        <v/>
      </c>
      <c r="M2422" s="2" t="str">
        <f>IF($N2422="","",IF(AND(G2422=0,H2422=0),"수량 없음",IF(G2422=0,"신규 (전년 수량 없음)",IF(H2422=0,"당해 수량 없음",""))))</f>
        <v/>
      </c>
      <c r="N2422" t="str">
        <f>IF($B2422="","",MATCH($B2422,'_calc'!$L$2:$L$3001,0))</f>
        <v/>
      </c>
    </row>
    <row r="2423">
      <c r="B2423" s="24" t="str">
        <f>IF(ROW()-ROW($B$8)&gt;nComp,"",ROW()-ROW($B$8))</f>
        <v/>
      </c>
      <c r="C2423" t="str">
        <f>IF($N2423="","",INDEX('_calc'!$A$2:$A$3001,$N2423))</f>
        <v/>
      </c>
      <c r="D2423" s="25" t="str">
        <f>IF($N2423="","",INDEX('_calc'!$C$2:$C$3001,$N2423))</f>
        <v/>
      </c>
      <c r="E2423" s="25" t="str">
        <f>IF($N2423="","",INDEX('_calc'!$D$2:$D$3001,$N2423))</f>
        <v/>
      </c>
      <c r="F2423" s="26" t="str">
        <f>IF($N2423="","",IF($E$8=0,"",E2423/$E$8))</f>
        <v/>
      </c>
      <c r="G2423" s="25" t="str">
        <f>IF($N2423="","",INDEX('_calc'!$E$2:$E$3001,$N2423))</f>
        <v/>
      </c>
      <c r="H2423" s="25" t="str">
        <f>IF($N2423="","",INDEX('_calc'!$F$2:$F$3001,$N2423))</f>
        <v/>
      </c>
      <c r="I2423" s="27" t="str">
        <f>IF($N2423="","",INDEX('_calc'!$H$2:$H$3001,$N2423))</f>
        <v/>
      </c>
      <c r="J2423" s="27" t="str">
        <f>IF($N2423="","",INDEX('_calc'!$I$2:$I$3001,$N2423))</f>
        <v/>
      </c>
      <c r="K2423" s="28" t="str">
        <f>IF($N2423="","",IF(OR(I2423="",J2423=""),"",J2423-I2423))</f>
        <v/>
      </c>
      <c r="L2423" s="29" t="str">
        <f>IF($N2423="","",INDEX('_calc'!$J$2:$J$3001,$N2423))</f>
        <v/>
      </c>
      <c r="M2423" s="2" t="str">
        <f>IF($N2423="","",IF(AND(G2423=0,H2423=0),"수량 없음",IF(G2423=0,"신규 (전년 수량 없음)",IF(H2423=0,"당해 수량 없음",""))))</f>
        <v/>
      </c>
      <c r="N2423" t="str">
        <f>IF($B2423="","",MATCH($B2423,'_calc'!$L$2:$L$3001,0))</f>
        <v/>
      </c>
    </row>
    <row r="2424">
      <c r="B2424" s="24" t="str">
        <f>IF(ROW()-ROW($B$8)&gt;nComp,"",ROW()-ROW($B$8))</f>
        <v/>
      </c>
      <c r="C2424" t="str">
        <f>IF($N2424="","",INDEX('_calc'!$A$2:$A$3001,$N2424))</f>
        <v/>
      </c>
      <c r="D2424" s="25" t="str">
        <f>IF($N2424="","",INDEX('_calc'!$C$2:$C$3001,$N2424))</f>
        <v/>
      </c>
      <c r="E2424" s="25" t="str">
        <f>IF($N2424="","",INDEX('_calc'!$D$2:$D$3001,$N2424))</f>
        <v/>
      </c>
      <c r="F2424" s="26" t="str">
        <f>IF($N2424="","",IF($E$8=0,"",E2424/$E$8))</f>
        <v/>
      </c>
      <c r="G2424" s="25" t="str">
        <f>IF($N2424="","",INDEX('_calc'!$E$2:$E$3001,$N2424))</f>
        <v/>
      </c>
      <c r="H2424" s="25" t="str">
        <f>IF($N2424="","",INDEX('_calc'!$F$2:$F$3001,$N2424))</f>
        <v/>
      </c>
      <c r="I2424" s="27" t="str">
        <f>IF($N2424="","",INDEX('_calc'!$H$2:$H$3001,$N2424))</f>
        <v/>
      </c>
      <c r="J2424" s="27" t="str">
        <f>IF($N2424="","",INDEX('_calc'!$I$2:$I$3001,$N2424))</f>
        <v/>
      </c>
      <c r="K2424" s="28" t="str">
        <f>IF($N2424="","",IF(OR(I2424="",J2424=""),"",J2424-I2424))</f>
        <v/>
      </c>
      <c r="L2424" s="29" t="str">
        <f>IF($N2424="","",INDEX('_calc'!$J$2:$J$3001,$N2424))</f>
        <v/>
      </c>
      <c r="M2424" s="2" t="str">
        <f>IF($N2424="","",IF(AND(G2424=0,H2424=0),"수량 없음",IF(G2424=0,"신규 (전년 수량 없음)",IF(H2424=0,"당해 수량 없음",""))))</f>
        <v/>
      </c>
      <c r="N2424" t="str">
        <f>IF($B2424="","",MATCH($B2424,'_calc'!$L$2:$L$3001,0))</f>
        <v/>
      </c>
    </row>
    <row r="2425">
      <c r="B2425" s="24" t="str">
        <f>IF(ROW()-ROW($B$8)&gt;nComp,"",ROW()-ROW($B$8))</f>
        <v/>
      </c>
      <c r="C2425" t="str">
        <f>IF($N2425="","",INDEX('_calc'!$A$2:$A$3001,$N2425))</f>
        <v/>
      </c>
      <c r="D2425" s="25" t="str">
        <f>IF($N2425="","",INDEX('_calc'!$C$2:$C$3001,$N2425))</f>
        <v/>
      </c>
      <c r="E2425" s="25" t="str">
        <f>IF($N2425="","",INDEX('_calc'!$D$2:$D$3001,$N2425))</f>
        <v/>
      </c>
      <c r="F2425" s="26" t="str">
        <f>IF($N2425="","",IF($E$8=0,"",E2425/$E$8))</f>
        <v/>
      </c>
      <c r="G2425" s="25" t="str">
        <f>IF($N2425="","",INDEX('_calc'!$E$2:$E$3001,$N2425))</f>
        <v/>
      </c>
      <c r="H2425" s="25" t="str">
        <f>IF($N2425="","",INDEX('_calc'!$F$2:$F$3001,$N2425))</f>
        <v/>
      </c>
      <c r="I2425" s="27" t="str">
        <f>IF($N2425="","",INDEX('_calc'!$H$2:$H$3001,$N2425))</f>
        <v/>
      </c>
      <c r="J2425" s="27" t="str">
        <f>IF($N2425="","",INDEX('_calc'!$I$2:$I$3001,$N2425))</f>
        <v/>
      </c>
      <c r="K2425" s="28" t="str">
        <f>IF($N2425="","",IF(OR(I2425="",J2425=""),"",J2425-I2425))</f>
        <v/>
      </c>
      <c r="L2425" s="29" t="str">
        <f>IF($N2425="","",INDEX('_calc'!$J$2:$J$3001,$N2425))</f>
        <v/>
      </c>
      <c r="M2425" s="2" t="str">
        <f>IF($N2425="","",IF(AND(G2425=0,H2425=0),"수량 없음",IF(G2425=0,"신규 (전년 수량 없음)",IF(H2425=0,"당해 수량 없음",""))))</f>
        <v/>
      </c>
      <c r="N2425" t="str">
        <f>IF($B2425="","",MATCH($B2425,'_calc'!$L$2:$L$3001,0))</f>
        <v/>
      </c>
    </row>
    <row r="2426">
      <c r="B2426" s="24" t="str">
        <f>IF(ROW()-ROW($B$8)&gt;nComp,"",ROW()-ROW($B$8))</f>
        <v/>
      </c>
      <c r="C2426" t="str">
        <f>IF($N2426="","",INDEX('_calc'!$A$2:$A$3001,$N2426))</f>
        <v/>
      </c>
      <c r="D2426" s="25" t="str">
        <f>IF($N2426="","",INDEX('_calc'!$C$2:$C$3001,$N2426))</f>
        <v/>
      </c>
      <c r="E2426" s="25" t="str">
        <f>IF($N2426="","",INDEX('_calc'!$D$2:$D$3001,$N2426))</f>
        <v/>
      </c>
      <c r="F2426" s="26" t="str">
        <f>IF($N2426="","",IF($E$8=0,"",E2426/$E$8))</f>
        <v/>
      </c>
      <c r="G2426" s="25" t="str">
        <f>IF($N2426="","",INDEX('_calc'!$E$2:$E$3001,$N2426))</f>
        <v/>
      </c>
      <c r="H2426" s="25" t="str">
        <f>IF($N2426="","",INDEX('_calc'!$F$2:$F$3001,$N2426))</f>
        <v/>
      </c>
      <c r="I2426" s="27" t="str">
        <f>IF($N2426="","",INDEX('_calc'!$H$2:$H$3001,$N2426))</f>
        <v/>
      </c>
      <c r="J2426" s="27" t="str">
        <f>IF($N2426="","",INDEX('_calc'!$I$2:$I$3001,$N2426))</f>
        <v/>
      </c>
      <c r="K2426" s="28" t="str">
        <f>IF($N2426="","",IF(OR(I2426="",J2426=""),"",J2426-I2426))</f>
        <v/>
      </c>
      <c r="L2426" s="29" t="str">
        <f>IF($N2426="","",INDEX('_calc'!$J$2:$J$3001,$N2426))</f>
        <v/>
      </c>
      <c r="M2426" s="2" t="str">
        <f>IF($N2426="","",IF(AND(G2426=0,H2426=0),"수량 없음",IF(G2426=0,"신규 (전년 수량 없음)",IF(H2426=0,"당해 수량 없음",""))))</f>
        <v/>
      </c>
      <c r="N2426" t="str">
        <f>IF($B2426="","",MATCH($B2426,'_calc'!$L$2:$L$3001,0))</f>
        <v/>
      </c>
    </row>
    <row r="2427">
      <c r="B2427" s="24" t="str">
        <f>IF(ROW()-ROW($B$8)&gt;nComp,"",ROW()-ROW($B$8))</f>
        <v/>
      </c>
      <c r="C2427" t="str">
        <f>IF($N2427="","",INDEX('_calc'!$A$2:$A$3001,$N2427))</f>
        <v/>
      </c>
      <c r="D2427" s="25" t="str">
        <f>IF($N2427="","",INDEX('_calc'!$C$2:$C$3001,$N2427))</f>
        <v/>
      </c>
      <c r="E2427" s="25" t="str">
        <f>IF($N2427="","",INDEX('_calc'!$D$2:$D$3001,$N2427))</f>
        <v/>
      </c>
      <c r="F2427" s="26" t="str">
        <f>IF($N2427="","",IF($E$8=0,"",E2427/$E$8))</f>
        <v/>
      </c>
      <c r="G2427" s="25" t="str">
        <f>IF($N2427="","",INDEX('_calc'!$E$2:$E$3001,$N2427))</f>
        <v/>
      </c>
      <c r="H2427" s="25" t="str">
        <f>IF($N2427="","",INDEX('_calc'!$F$2:$F$3001,$N2427))</f>
        <v/>
      </c>
      <c r="I2427" s="27" t="str">
        <f>IF($N2427="","",INDEX('_calc'!$H$2:$H$3001,$N2427))</f>
        <v/>
      </c>
      <c r="J2427" s="27" t="str">
        <f>IF($N2427="","",INDEX('_calc'!$I$2:$I$3001,$N2427))</f>
        <v/>
      </c>
      <c r="K2427" s="28" t="str">
        <f>IF($N2427="","",IF(OR(I2427="",J2427=""),"",J2427-I2427))</f>
        <v/>
      </c>
      <c r="L2427" s="29" t="str">
        <f>IF($N2427="","",INDEX('_calc'!$J$2:$J$3001,$N2427))</f>
        <v/>
      </c>
      <c r="M2427" s="2" t="str">
        <f>IF($N2427="","",IF(AND(G2427=0,H2427=0),"수량 없음",IF(G2427=0,"신규 (전년 수량 없음)",IF(H2427=0,"당해 수량 없음",""))))</f>
        <v/>
      </c>
      <c r="N2427" t="str">
        <f>IF($B2427="","",MATCH($B2427,'_calc'!$L$2:$L$3001,0))</f>
        <v/>
      </c>
    </row>
    <row r="2428">
      <c r="B2428" s="24" t="str">
        <f>IF(ROW()-ROW($B$8)&gt;nComp,"",ROW()-ROW($B$8))</f>
        <v/>
      </c>
      <c r="C2428" t="str">
        <f>IF($N2428="","",INDEX('_calc'!$A$2:$A$3001,$N2428))</f>
        <v/>
      </c>
      <c r="D2428" s="25" t="str">
        <f>IF($N2428="","",INDEX('_calc'!$C$2:$C$3001,$N2428))</f>
        <v/>
      </c>
      <c r="E2428" s="25" t="str">
        <f>IF($N2428="","",INDEX('_calc'!$D$2:$D$3001,$N2428))</f>
        <v/>
      </c>
      <c r="F2428" s="26" t="str">
        <f>IF($N2428="","",IF($E$8=0,"",E2428/$E$8))</f>
        <v/>
      </c>
      <c r="G2428" s="25" t="str">
        <f>IF($N2428="","",INDEX('_calc'!$E$2:$E$3001,$N2428))</f>
        <v/>
      </c>
      <c r="H2428" s="25" t="str">
        <f>IF($N2428="","",INDEX('_calc'!$F$2:$F$3001,$N2428))</f>
        <v/>
      </c>
      <c r="I2428" s="27" t="str">
        <f>IF($N2428="","",INDEX('_calc'!$H$2:$H$3001,$N2428))</f>
        <v/>
      </c>
      <c r="J2428" s="27" t="str">
        <f>IF($N2428="","",INDEX('_calc'!$I$2:$I$3001,$N2428))</f>
        <v/>
      </c>
      <c r="K2428" s="28" t="str">
        <f>IF($N2428="","",IF(OR(I2428="",J2428=""),"",J2428-I2428))</f>
        <v/>
      </c>
      <c r="L2428" s="29" t="str">
        <f>IF($N2428="","",INDEX('_calc'!$J$2:$J$3001,$N2428))</f>
        <v/>
      </c>
      <c r="M2428" s="2" t="str">
        <f>IF($N2428="","",IF(AND(G2428=0,H2428=0),"수량 없음",IF(G2428=0,"신규 (전년 수량 없음)",IF(H2428=0,"당해 수량 없음",""))))</f>
        <v/>
      </c>
      <c r="N2428" t="str">
        <f>IF($B2428="","",MATCH($B2428,'_calc'!$L$2:$L$3001,0))</f>
        <v/>
      </c>
    </row>
    <row r="2429">
      <c r="B2429" s="24" t="str">
        <f>IF(ROW()-ROW($B$8)&gt;nComp,"",ROW()-ROW($B$8))</f>
        <v/>
      </c>
      <c r="C2429" t="str">
        <f>IF($N2429="","",INDEX('_calc'!$A$2:$A$3001,$N2429))</f>
        <v/>
      </c>
      <c r="D2429" s="25" t="str">
        <f>IF($N2429="","",INDEX('_calc'!$C$2:$C$3001,$N2429))</f>
        <v/>
      </c>
      <c r="E2429" s="25" t="str">
        <f>IF($N2429="","",INDEX('_calc'!$D$2:$D$3001,$N2429))</f>
        <v/>
      </c>
      <c r="F2429" s="26" t="str">
        <f>IF($N2429="","",IF($E$8=0,"",E2429/$E$8))</f>
        <v/>
      </c>
      <c r="G2429" s="25" t="str">
        <f>IF($N2429="","",INDEX('_calc'!$E$2:$E$3001,$N2429))</f>
        <v/>
      </c>
      <c r="H2429" s="25" t="str">
        <f>IF($N2429="","",INDEX('_calc'!$F$2:$F$3001,$N2429))</f>
        <v/>
      </c>
      <c r="I2429" s="27" t="str">
        <f>IF($N2429="","",INDEX('_calc'!$H$2:$H$3001,$N2429))</f>
        <v/>
      </c>
      <c r="J2429" s="27" t="str">
        <f>IF($N2429="","",INDEX('_calc'!$I$2:$I$3001,$N2429))</f>
        <v/>
      </c>
      <c r="K2429" s="28" t="str">
        <f>IF($N2429="","",IF(OR(I2429="",J2429=""),"",J2429-I2429))</f>
        <v/>
      </c>
      <c r="L2429" s="29" t="str">
        <f>IF($N2429="","",INDEX('_calc'!$J$2:$J$3001,$N2429))</f>
        <v/>
      </c>
      <c r="M2429" s="2" t="str">
        <f>IF($N2429="","",IF(AND(G2429=0,H2429=0),"수량 없음",IF(G2429=0,"신규 (전년 수량 없음)",IF(H2429=0,"당해 수량 없음",""))))</f>
        <v/>
      </c>
      <c r="N2429" t="str">
        <f>IF($B2429="","",MATCH($B2429,'_calc'!$L$2:$L$3001,0))</f>
        <v/>
      </c>
    </row>
    <row r="2430">
      <c r="B2430" s="24" t="str">
        <f>IF(ROW()-ROW($B$8)&gt;nComp,"",ROW()-ROW($B$8))</f>
        <v/>
      </c>
      <c r="C2430" t="str">
        <f>IF($N2430="","",INDEX('_calc'!$A$2:$A$3001,$N2430))</f>
        <v/>
      </c>
      <c r="D2430" s="25" t="str">
        <f>IF($N2430="","",INDEX('_calc'!$C$2:$C$3001,$N2430))</f>
        <v/>
      </c>
      <c r="E2430" s="25" t="str">
        <f>IF($N2430="","",INDEX('_calc'!$D$2:$D$3001,$N2430))</f>
        <v/>
      </c>
      <c r="F2430" s="26" t="str">
        <f>IF($N2430="","",IF($E$8=0,"",E2430/$E$8))</f>
        <v/>
      </c>
      <c r="G2430" s="25" t="str">
        <f>IF($N2430="","",INDEX('_calc'!$E$2:$E$3001,$N2430))</f>
        <v/>
      </c>
      <c r="H2430" s="25" t="str">
        <f>IF($N2430="","",INDEX('_calc'!$F$2:$F$3001,$N2430))</f>
        <v/>
      </c>
      <c r="I2430" s="27" t="str">
        <f>IF($N2430="","",INDEX('_calc'!$H$2:$H$3001,$N2430))</f>
        <v/>
      </c>
      <c r="J2430" s="27" t="str">
        <f>IF($N2430="","",INDEX('_calc'!$I$2:$I$3001,$N2430))</f>
        <v/>
      </c>
      <c r="K2430" s="28" t="str">
        <f>IF($N2430="","",IF(OR(I2430="",J2430=""),"",J2430-I2430))</f>
        <v/>
      </c>
      <c r="L2430" s="29" t="str">
        <f>IF($N2430="","",INDEX('_calc'!$J$2:$J$3001,$N2430))</f>
        <v/>
      </c>
      <c r="M2430" s="2" t="str">
        <f>IF($N2430="","",IF(AND(G2430=0,H2430=0),"수량 없음",IF(G2430=0,"신규 (전년 수량 없음)",IF(H2430=0,"당해 수량 없음",""))))</f>
        <v/>
      </c>
      <c r="N2430" t="str">
        <f>IF($B2430="","",MATCH($B2430,'_calc'!$L$2:$L$3001,0))</f>
        <v/>
      </c>
    </row>
    <row r="2431">
      <c r="B2431" s="24" t="str">
        <f>IF(ROW()-ROW($B$8)&gt;nComp,"",ROW()-ROW($B$8))</f>
        <v/>
      </c>
      <c r="C2431" t="str">
        <f>IF($N2431="","",INDEX('_calc'!$A$2:$A$3001,$N2431))</f>
        <v/>
      </c>
      <c r="D2431" s="25" t="str">
        <f>IF($N2431="","",INDEX('_calc'!$C$2:$C$3001,$N2431))</f>
        <v/>
      </c>
      <c r="E2431" s="25" t="str">
        <f>IF($N2431="","",INDEX('_calc'!$D$2:$D$3001,$N2431))</f>
        <v/>
      </c>
      <c r="F2431" s="26" t="str">
        <f>IF($N2431="","",IF($E$8=0,"",E2431/$E$8))</f>
        <v/>
      </c>
      <c r="G2431" s="25" t="str">
        <f>IF($N2431="","",INDEX('_calc'!$E$2:$E$3001,$N2431))</f>
        <v/>
      </c>
      <c r="H2431" s="25" t="str">
        <f>IF($N2431="","",INDEX('_calc'!$F$2:$F$3001,$N2431))</f>
        <v/>
      </c>
      <c r="I2431" s="27" t="str">
        <f>IF($N2431="","",INDEX('_calc'!$H$2:$H$3001,$N2431))</f>
        <v/>
      </c>
      <c r="J2431" s="27" t="str">
        <f>IF($N2431="","",INDEX('_calc'!$I$2:$I$3001,$N2431))</f>
        <v/>
      </c>
      <c r="K2431" s="28" t="str">
        <f>IF($N2431="","",IF(OR(I2431="",J2431=""),"",J2431-I2431))</f>
        <v/>
      </c>
      <c r="L2431" s="29" t="str">
        <f>IF($N2431="","",INDEX('_calc'!$J$2:$J$3001,$N2431))</f>
        <v/>
      </c>
      <c r="M2431" s="2" t="str">
        <f>IF($N2431="","",IF(AND(G2431=0,H2431=0),"수량 없음",IF(G2431=0,"신규 (전년 수량 없음)",IF(H2431=0,"당해 수량 없음",""))))</f>
        <v/>
      </c>
      <c r="N2431" t="str">
        <f>IF($B2431="","",MATCH($B2431,'_calc'!$L$2:$L$3001,0))</f>
        <v/>
      </c>
    </row>
    <row r="2432">
      <c r="B2432" s="24" t="str">
        <f>IF(ROW()-ROW($B$8)&gt;nComp,"",ROW()-ROW($B$8))</f>
        <v/>
      </c>
      <c r="C2432" t="str">
        <f>IF($N2432="","",INDEX('_calc'!$A$2:$A$3001,$N2432))</f>
        <v/>
      </c>
      <c r="D2432" s="25" t="str">
        <f>IF($N2432="","",INDEX('_calc'!$C$2:$C$3001,$N2432))</f>
        <v/>
      </c>
      <c r="E2432" s="25" t="str">
        <f>IF($N2432="","",INDEX('_calc'!$D$2:$D$3001,$N2432))</f>
        <v/>
      </c>
      <c r="F2432" s="26" t="str">
        <f>IF($N2432="","",IF($E$8=0,"",E2432/$E$8))</f>
        <v/>
      </c>
      <c r="G2432" s="25" t="str">
        <f>IF($N2432="","",INDEX('_calc'!$E$2:$E$3001,$N2432))</f>
        <v/>
      </c>
      <c r="H2432" s="25" t="str">
        <f>IF($N2432="","",INDEX('_calc'!$F$2:$F$3001,$N2432))</f>
        <v/>
      </c>
      <c r="I2432" s="27" t="str">
        <f>IF($N2432="","",INDEX('_calc'!$H$2:$H$3001,$N2432))</f>
        <v/>
      </c>
      <c r="J2432" s="27" t="str">
        <f>IF($N2432="","",INDEX('_calc'!$I$2:$I$3001,$N2432))</f>
        <v/>
      </c>
      <c r="K2432" s="28" t="str">
        <f>IF($N2432="","",IF(OR(I2432="",J2432=""),"",J2432-I2432))</f>
        <v/>
      </c>
      <c r="L2432" s="29" t="str">
        <f>IF($N2432="","",INDEX('_calc'!$J$2:$J$3001,$N2432))</f>
        <v/>
      </c>
      <c r="M2432" s="2" t="str">
        <f>IF($N2432="","",IF(AND(G2432=0,H2432=0),"수량 없음",IF(G2432=0,"신규 (전년 수량 없음)",IF(H2432=0,"당해 수량 없음",""))))</f>
        <v/>
      </c>
      <c r="N2432" t="str">
        <f>IF($B2432="","",MATCH($B2432,'_calc'!$L$2:$L$3001,0))</f>
        <v/>
      </c>
    </row>
    <row r="2433">
      <c r="B2433" s="24" t="str">
        <f>IF(ROW()-ROW($B$8)&gt;nComp,"",ROW()-ROW($B$8))</f>
        <v/>
      </c>
      <c r="C2433" t="str">
        <f>IF($N2433="","",INDEX('_calc'!$A$2:$A$3001,$N2433))</f>
        <v/>
      </c>
      <c r="D2433" s="25" t="str">
        <f>IF($N2433="","",INDEX('_calc'!$C$2:$C$3001,$N2433))</f>
        <v/>
      </c>
      <c r="E2433" s="25" t="str">
        <f>IF($N2433="","",INDEX('_calc'!$D$2:$D$3001,$N2433))</f>
        <v/>
      </c>
      <c r="F2433" s="26" t="str">
        <f>IF($N2433="","",IF($E$8=0,"",E2433/$E$8))</f>
        <v/>
      </c>
      <c r="G2433" s="25" t="str">
        <f>IF($N2433="","",INDEX('_calc'!$E$2:$E$3001,$N2433))</f>
        <v/>
      </c>
      <c r="H2433" s="25" t="str">
        <f>IF($N2433="","",INDEX('_calc'!$F$2:$F$3001,$N2433))</f>
        <v/>
      </c>
      <c r="I2433" s="27" t="str">
        <f>IF($N2433="","",INDEX('_calc'!$H$2:$H$3001,$N2433))</f>
        <v/>
      </c>
      <c r="J2433" s="27" t="str">
        <f>IF($N2433="","",INDEX('_calc'!$I$2:$I$3001,$N2433))</f>
        <v/>
      </c>
      <c r="K2433" s="28" t="str">
        <f>IF($N2433="","",IF(OR(I2433="",J2433=""),"",J2433-I2433))</f>
        <v/>
      </c>
      <c r="L2433" s="29" t="str">
        <f>IF($N2433="","",INDEX('_calc'!$J$2:$J$3001,$N2433))</f>
        <v/>
      </c>
      <c r="M2433" s="2" t="str">
        <f>IF($N2433="","",IF(AND(G2433=0,H2433=0),"수량 없음",IF(G2433=0,"신규 (전년 수량 없음)",IF(H2433=0,"당해 수량 없음",""))))</f>
        <v/>
      </c>
      <c r="N2433" t="str">
        <f>IF($B2433="","",MATCH($B2433,'_calc'!$L$2:$L$3001,0))</f>
        <v/>
      </c>
    </row>
    <row r="2434">
      <c r="B2434" s="24" t="str">
        <f>IF(ROW()-ROW($B$8)&gt;nComp,"",ROW()-ROW($B$8))</f>
        <v/>
      </c>
      <c r="C2434" t="str">
        <f>IF($N2434="","",INDEX('_calc'!$A$2:$A$3001,$N2434))</f>
        <v/>
      </c>
      <c r="D2434" s="25" t="str">
        <f>IF($N2434="","",INDEX('_calc'!$C$2:$C$3001,$N2434))</f>
        <v/>
      </c>
      <c r="E2434" s="25" t="str">
        <f>IF($N2434="","",INDEX('_calc'!$D$2:$D$3001,$N2434))</f>
        <v/>
      </c>
      <c r="F2434" s="26" t="str">
        <f>IF($N2434="","",IF($E$8=0,"",E2434/$E$8))</f>
        <v/>
      </c>
      <c r="G2434" s="25" t="str">
        <f>IF($N2434="","",INDEX('_calc'!$E$2:$E$3001,$N2434))</f>
        <v/>
      </c>
      <c r="H2434" s="25" t="str">
        <f>IF($N2434="","",INDEX('_calc'!$F$2:$F$3001,$N2434))</f>
        <v/>
      </c>
      <c r="I2434" s="27" t="str">
        <f>IF($N2434="","",INDEX('_calc'!$H$2:$H$3001,$N2434))</f>
        <v/>
      </c>
      <c r="J2434" s="27" t="str">
        <f>IF($N2434="","",INDEX('_calc'!$I$2:$I$3001,$N2434))</f>
        <v/>
      </c>
      <c r="K2434" s="28" t="str">
        <f>IF($N2434="","",IF(OR(I2434="",J2434=""),"",J2434-I2434))</f>
        <v/>
      </c>
      <c r="L2434" s="29" t="str">
        <f>IF($N2434="","",INDEX('_calc'!$J$2:$J$3001,$N2434))</f>
        <v/>
      </c>
      <c r="M2434" s="2" t="str">
        <f>IF($N2434="","",IF(AND(G2434=0,H2434=0),"수량 없음",IF(G2434=0,"신규 (전년 수량 없음)",IF(H2434=0,"당해 수량 없음",""))))</f>
        <v/>
      </c>
      <c r="N2434" t="str">
        <f>IF($B2434="","",MATCH($B2434,'_calc'!$L$2:$L$3001,0))</f>
        <v/>
      </c>
    </row>
    <row r="2435">
      <c r="B2435" s="24" t="str">
        <f>IF(ROW()-ROW($B$8)&gt;nComp,"",ROW()-ROW($B$8))</f>
        <v/>
      </c>
      <c r="C2435" t="str">
        <f>IF($N2435="","",INDEX('_calc'!$A$2:$A$3001,$N2435))</f>
        <v/>
      </c>
      <c r="D2435" s="25" t="str">
        <f>IF($N2435="","",INDEX('_calc'!$C$2:$C$3001,$N2435))</f>
        <v/>
      </c>
      <c r="E2435" s="25" t="str">
        <f>IF($N2435="","",INDEX('_calc'!$D$2:$D$3001,$N2435))</f>
        <v/>
      </c>
      <c r="F2435" s="26" t="str">
        <f>IF($N2435="","",IF($E$8=0,"",E2435/$E$8))</f>
        <v/>
      </c>
      <c r="G2435" s="25" t="str">
        <f>IF($N2435="","",INDEX('_calc'!$E$2:$E$3001,$N2435))</f>
        <v/>
      </c>
      <c r="H2435" s="25" t="str">
        <f>IF($N2435="","",INDEX('_calc'!$F$2:$F$3001,$N2435))</f>
        <v/>
      </c>
      <c r="I2435" s="27" t="str">
        <f>IF($N2435="","",INDEX('_calc'!$H$2:$H$3001,$N2435))</f>
        <v/>
      </c>
      <c r="J2435" s="27" t="str">
        <f>IF($N2435="","",INDEX('_calc'!$I$2:$I$3001,$N2435))</f>
        <v/>
      </c>
      <c r="K2435" s="28" t="str">
        <f>IF($N2435="","",IF(OR(I2435="",J2435=""),"",J2435-I2435))</f>
        <v/>
      </c>
      <c r="L2435" s="29" t="str">
        <f>IF($N2435="","",INDEX('_calc'!$J$2:$J$3001,$N2435))</f>
        <v/>
      </c>
      <c r="M2435" s="2" t="str">
        <f>IF($N2435="","",IF(AND(G2435=0,H2435=0),"수량 없음",IF(G2435=0,"신규 (전년 수량 없음)",IF(H2435=0,"당해 수량 없음",""))))</f>
        <v/>
      </c>
      <c r="N2435" t="str">
        <f>IF($B2435="","",MATCH($B2435,'_calc'!$L$2:$L$3001,0))</f>
        <v/>
      </c>
    </row>
    <row r="2436">
      <c r="B2436" s="24" t="str">
        <f>IF(ROW()-ROW($B$8)&gt;nComp,"",ROW()-ROW($B$8))</f>
        <v/>
      </c>
      <c r="C2436" t="str">
        <f>IF($N2436="","",INDEX('_calc'!$A$2:$A$3001,$N2436))</f>
        <v/>
      </c>
      <c r="D2436" s="25" t="str">
        <f>IF($N2436="","",INDEX('_calc'!$C$2:$C$3001,$N2436))</f>
        <v/>
      </c>
      <c r="E2436" s="25" t="str">
        <f>IF($N2436="","",INDEX('_calc'!$D$2:$D$3001,$N2436))</f>
        <v/>
      </c>
      <c r="F2436" s="26" t="str">
        <f>IF($N2436="","",IF($E$8=0,"",E2436/$E$8))</f>
        <v/>
      </c>
      <c r="G2436" s="25" t="str">
        <f>IF($N2436="","",INDEX('_calc'!$E$2:$E$3001,$N2436))</f>
        <v/>
      </c>
      <c r="H2436" s="25" t="str">
        <f>IF($N2436="","",INDEX('_calc'!$F$2:$F$3001,$N2436))</f>
        <v/>
      </c>
      <c r="I2436" s="27" t="str">
        <f>IF($N2436="","",INDEX('_calc'!$H$2:$H$3001,$N2436))</f>
        <v/>
      </c>
      <c r="J2436" s="27" t="str">
        <f>IF($N2436="","",INDEX('_calc'!$I$2:$I$3001,$N2436))</f>
        <v/>
      </c>
      <c r="K2436" s="28" t="str">
        <f>IF($N2436="","",IF(OR(I2436="",J2436=""),"",J2436-I2436))</f>
        <v/>
      </c>
      <c r="L2436" s="29" t="str">
        <f>IF($N2436="","",INDEX('_calc'!$J$2:$J$3001,$N2436))</f>
        <v/>
      </c>
      <c r="M2436" s="2" t="str">
        <f>IF($N2436="","",IF(AND(G2436=0,H2436=0),"수량 없음",IF(G2436=0,"신규 (전년 수량 없음)",IF(H2436=0,"당해 수량 없음",""))))</f>
        <v/>
      </c>
      <c r="N2436" t="str">
        <f>IF($B2436="","",MATCH($B2436,'_calc'!$L$2:$L$3001,0))</f>
        <v/>
      </c>
    </row>
    <row r="2437">
      <c r="B2437" s="24" t="str">
        <f>IF(ROW()-ROW($B$8)&gt;nComp,"",ROW()-ROW($B$8))</f>
        <v/>
      </c>
      <c r="C2437" t="str">
        <f>IF($N2437="","",INDEX('_calc'!$A$2:$A$3001,$N2437))</f>
        <v/>
      </c>
      <c r="D2437" s="25" t="str">
        <f>IF($N2437="","",INDEX('_calc'!$C$2:$C$3001,$N2437))</f>
        <v/>
      </c>
      <c r="E2437" s="25" t="str">
        <f>IF($N2437="","",INDEX('_calc'!$D$2:$D$3001,$N2437))</f>
        <v/>
      </c>
      <c r="F2437" s="26" t="str">
        <f>IF($N2437="","",IF($E$8=0,"",E2437/$E$8))</f>
        <v/>
      </c>
      <c r="G2437" s="25" t="str">
        <f>IF($N2437="","",INDEX('_calc'!$E$2:$E$3001,$N2437))</f>
        <v/>
      </c>
      <c r="H2437" s="25" t="str">
        <f>IF($N2437="","",INDEX('_calc'!$F$2:$F$3001,$N2437))</f>
        <v/>
      </c>
      <c r="I2437" s="27" t="str">
        <f>IF($N2437="","",INDEX('_calc'!$H$2:$H$3001,$N2437))</f>
        <v/>
      </c>
      <c r="J2437" s="27" t="str">
        <f>IF($N2437="","",INDEX('_calc'!$I$2:$I$3001,$N2437))</f>
        <v/>
      </c>
      <c r="K2437" s="28" t="str">
        <f>IF($N2437="","",IF(OR(I2437="",J2437=""),"",J2437-I2437))</f>
        <v/>
      </c>
      <c r="L2437" s="29" t="str">
        <f>IF($N2437="","",INDEX('_calc'!$J$2:$J$3001,$N2437))</f>
        <v/>
      </c>
      <c r="M2437" s="2" t="str">
        <f>IF($N2437="","",IF(AND(G2437=0,H2437=0),"수량 없음",IF(G2437=0,"신규 (전년 수량 없음)",IF(H2437=0,"당해 수량 없음",""))))</f>
        <v/>
      </c>
      <c r="N2437" t="str">
        <f>IF($B2437="","",MATCH($B2437,'_calc'!$L$2:$L$3001,0))</f>
        <v/>
      </c>
    </row>
    <row r="2438">
      <c r="B2438" s="24" t="str">
        <f>IF(ROW()-ROW($B$8)&gt;nComp,"",ROW()-ROW($B$8))</f>
        <v/>
      </c>
      <c r="C2438" t="str">
        <f>IF($N2438="","",INDEX('_calc'!$A$2:$A$3001,$N2438))</f>
        <v/>
      </c>
      <c r="D2438" s="25" t="str">
        <f>IF($N2438="","",INDEX('_calc'!$C$2:$C$3001,$N2438))</f>
        <v/>
      </c>
      <c r="E2438" s="25" t="str">
        <f>IF($N2438="","",INDEX('_calc'!$D$2:$D$3001,$N2438))</f>
        <v/>
      </c>
      <c r="F2438" s="26" t="str">
        <f>IF($N2438="","",IF($E$8=0,"",E2438/$E$8))</f>
        <v/>
      </c>
      <c r="G2438" s="25" t="str">
        <f>IF($N2438="","",INDEX('_calc'!$E$2:$E$3001,$N2438))</f>
        <v/>
      </c>
      <c r="H2438" s="25" t="str">
        <f>IF($N2438="","",INDEX('_calc'!$F$2:$F$3001,$N2438))</f>
        <v/>
      </c>
      <c r="I2438" s="27" t="str">
        <f>IF($N2438="","",INDEX('_calc'!$H$2:$H$3001,$N2438))</f>
        <v/>
      </c>
      <c r="J2438" s="27" t="str">
        <f>IF($N2438="","",INDEX('_calc'!$I$2:$I$3001,$N2438))</f>
        <v/>
      </c>
      <c r="K2438" s="28" t="str">
        <f>IF($N2438="","",IF(OR(I2438="",J2438=""),"",J2438-I2438))</f>
        <v/>
      </c>
      <c r="L2438" s="29" t="str">
        <f>IF($N2438="","",INDEX('_calc'!$J$2:$J$3001,$N2438))</f>
        <v/>
      </c>
      <c r="M2438" s="2" t="str">
        <f>IF($N2438="","",IF(AND(G2438=0,H2438=0),"수량 없음",IF(G2438=0,"신규 (전년 수량 없음)",IF(H2438=0,"당해 수량 없음",""))))</f>
        <v/>
      </c>
      <c r="N2438" t="str">
        <f>IF($B2438="","",MATCH($B2438,'_calc'!$L$2:$L$3001,0))</f>
        <v/>
      </c>
    </row>
    <row r="2439">
      <c r="B2439" s="24" t="str">
        <f>IF(ROW()-ROW($B$8)&gt;nComp,"",ROW()-ROW($B$8))</f>
        <v/>
      </c>
      <c r="C2439" t="str">
        <f>IF($N2439="","",INDEX('_calc'!$A$2:$A$3001,$N2439))</f>
        <v/>
      </c>
      <c r="D2439" s="25" t="str">
        <f>IF($N2439="","",INDEX('_calc'!$C$2:$C$3001,$N2439))</f>
        <v/>
      </c>
      <c r="E2439" s="25" t="str">
        <f>IF($N2439="","",INDEX('_calc'!$D$2:$D$3001,$N2439))</f>
        <v/>
      </c>
      <c r="F2439" s="26" t="str">
        <f>IF($N2439="","",IF($E$8=0,"",E2439/$E$8))</f>
        <v/>
      </c>
      <c r="G2439" s="25" t="str">
        <f>IF($N2439="","",INDEX('_calc'!$E$2:$E$3001,$N2439))</f>
        <v/>
      </c>
      <c r="H2439" s="25" t="str">
        <f>IF($N2439="","",INDEX('_calc'!$F$2:$F$3001,$N2439))</f>
        <v/>
      </c>
      <c r="I2439" s="27" t="str">
        <f>IF($N2439="","",INDEX('_calc'!$H$2:$H$3001,$N2439))</f>
        <v/>
      </c>
      <c r="J2439" s="27" t="str">
        <f>IF($N2439="","",INDEX('_calc'!$I$2:$I$3001,$N2439))</f>
        <v/>
      </c>
      <c r="K2439" s="28" t="str">
        <f>IF($N2439="","",IF(OR(I2439="",J2439=""),"",J2439-I2439))</f>
        <v/>
      </c>
      <c r="L2439" s="29" t="str">
        <f>IF($N2439="","",INDEX('_calc'!$J$2:$J$3001,$N2439))</f>
        <v/>
      </c>
      <c r="M2439" s="2" t="str">
        <f>IF($N2439="","",IF(AND(G2439=0,H2439=0),"수량 없음",IF(G2439=0,"신규 (전년 수량 없음)",IF(H2439=0,"당해 수량 없음",""))))</f>
        <v/>
      </c>
      <c r="N2439" t="str">
        <f>IF($B2439="","",MATCH($B2439,'_calc'!$L$2:$L$3001,0))</f>
        <v/>
      </c>
    </row>
    <row r="2440">
      <c r="B2440" s="24" t="str">
        <f>IF(ROW()-ROW($B$8)&gt;nComp,"",ROW()-ROW($B$8))</f>
        <v/>
      </c>
      <c r="C2440" t="str">
        <f>IF($N2440="","",INDEX('_calc'!$A$2:$A$3001,$N2440))</f>
        <v/>
      </c>
      <c r="D2440" s="25" t="str">
        <f>IF($N2440="","",INDEX('_calc'!$C$2:$C$3001,$N2440))</f>
        <v/>
      </c>
      <c r="E2440" s="25" t="str">
        <f>IF($N2440="","",INDEX('_calc'!$D$2:$D$3001,$N2440))</f>
        <v/>
      </c>
      <c r="F2440" s="26" t="str">
        <f>IF($N2440="","",IF($E$8=0,"",E2440/$E$8))</f>
        <v/>
      </c>
      <c r="G2440" s="25" t="str">
        <f>IF($N2440="","",INDEX('_calc'!$E$2:$E$3001,$N2440))</f>
        <v/>
      </c>
      <c r="H2440" s="25" t="str">
        <f>IF($N2440="","",INDEX('_calc'!$F$2:$F$3001,$N2440))</f>
        <v/>
      </c>
      <c r="I2440" s="27" t="str">
        <f>IF($N2440="","",INDEX('_calc'!$H$2:$H$3001,$N2440))</f>
        <v/>
      </c>
      <c r="J2440" s="27" t="str">
        <f>IF($N2440="","",INDEX('_calc'!$I$2:$I$3001,$N2440))</f>
        <v/>
      </c>
      <c r="K2440" s="28" t="str">
        <f>IF($N2440="","",IF(OR(I2440="",J2440=""),"",J2440-I2440))</f>
        <v/>
      </c>
      <c r="L2440" s="29" t="str">
        <f>IF($N2440="","",INDEX('_calc'!$J$2:$J$3001,$N2440))</f>
        <v/>
      </c>
      <c r="M2440" s="2" t="str">
        <f>IF($N2440="","",IF(AND(G2440=0,H2440=0),"수량 없음",IF(G2440=0,"신규 (전년 수량 없음)",IF(H2440=0,"당해 수량 없음",""))))</f>
        <v/>
      </c>
      <c r="N2440" t="str">
        <f>IF($B2440="","",MATCH($B2440,'_calc'!$L$2:$L$3001,0))</f>
        <v/>
      </c>
    </row>
    <row r="2441">
      <c r="B2441" s="24" t="str">
        <f>IF(ROW()-ROW($B$8)&gt;nComp,"",ROW()-ROW($B$8))</f>
        <v/>
      </c>
      <c r="C2441" t="str">
        <f>IF($N2441="","",INDEX('_calc'!$A$2:$A$3001,$N2441))</f>
        <v/>
      </c>
      <c r="D2441" s="25" t="str">
        <f>IF($N2441="","",INDEX('_calc'!$C$2:$C$3001,$N2441))</f>
        <v/>
      </c>
      <c r="E2441" s="25" t="str">
        <f>IF($N2441="","",INDEX('_calc'!$D$2:$D$3001,$N2441))</f>
        <v/>
      </c>
      <c r="F2441" s="26" t="str">
        <f>IF($N2441="","",IF($E$8=0,"",E2441/$E$8))</f>
        <v/>
      </c>
      <c r="G2441" s="25" t="str">
        <f>IF($N2441="","",INDEX('_calc'!$E$2:$E$3001,$N2441))</f>
        <v/>
      </c>
      <c r="H2441" s="25" t="str">
        <f>IF($N2441="","",INDEX('_calc'!$F$2:$F$3001,$N2441))</f>
        <v/>
      </c>
      <c r="I2441" s="27" t="str">
        <f>IF($N2441="","",INDEX('_calc'!$H$2:$H$3001,$N2441))</f>
        <v/>
      </c>
      <c r="J2441" s="27" t="str">
        <f>IF($N2441="","",INDEX('_calc'!$I$2:$I$3001,$N2441))</f>
        <v/>
      </c>
      <c r="K2441" s="28" t="str">
        <f>IF($N2441="","",IF(OR(I2441="",J2441=""),"",J2441-I2441))</f>
        <v/>
      </c>
      <c r="L2441" s="29" t="str">
        <f>IF($N2441="","",INDEX('_calc'!$J$2:$J$3001,$N2441))</f>
        <v/>
      </c>
      <c r="M2441" s="2" t="str">
        <f>IF($N2441="","",IF(AND(G2441=0,H2441=0),"수량 없음",IF(G2441=0,"신규 (전년 수량 없음)",IF(H2441=0,"당해 수량 없음",""))))</f>
        <v/>
      </c>
      <c r="N2441" t="str">
        <f>IF($B2441="","",MATCH($B2441,'_calc'!$L$2:$L$3001,0))</f>
        <v/>
      </c>
    </row>
    <row r="2442">
      <c r="B2442" s="24" t="str">
        <f>IF(ROW()-ROW($B$8)&gt;nComp,"",ROW()-ROW($B$8))</f>
        <v/>
      </c>
      <c r="C2442" t="str">
        <f>IF($N2442="","",INDEX('_calc'!$A$2:$A$3001,$N2442))</f>
        <v/>
      </c>
      <c r="D2442" s="25" t="str">
        <f>IF($N2442="","",INDEX('_calc'!$C$2:$C$3001,$N2442))</f>
        <v/>
      </c>
      <c r="E2442" s="25" t="str">
        <f>IF($N2442="","",INDEX('_calc'!$D$2:$D$3001,$N2442))</f>
        <v/>
      </c>
      <c r="F2442" s="26" t="str">
        <f>IF($N2442="","",IF($E$8=0,"",E2442/$E$8))</f>
        <v/>
      </c>
      <c r="G2442" s="25" t="str">
        <f>IF($N2442="","",INDEX('_calc'!$E$2:$E$3001,$N2442))</f>
        <v/>
      </c>
      <c r="H2442" s="25" t="str">
        <f>IF($N2442="","",INDEX('_calc'!$F$2:$F$3001,$N2442))</f>
        <v/>
      </c>
      <c r="I2442" s="27" t="str">
        <f>IF($N2442="","",INDEX('_calc'!$H$2:$H$3001,$N2442))</f>
        <v/>
      </c>
      <c r="J2442" s="27" t="str">
        <f>IF($N2442="","",INDEX('_calc'!$I$2:$I$3001,$N2442))</f>
        <v/>
      </c>
      <c r="K2442" s="28" t="str">
        <f>IF($N2442="","",IF(OR(I2442="",J2442=""),"",J2442-I2442))</f>
        <v/>
      </c>
      <c r="L2442" s="29" t="str">
        <f>IF($N2442="","",INDEX('_calc'!$J$2:$J$3001,$N2442))</f>
        <v/>
      </c>
      <c r="M2442" s="2" t="str">
        <f>IF($N2442="","",IF(AND(G2442=0,H2442=0),"수량 없음",IF(G2442=0,"신규 (전년 수량 없음)",IF(H2442=0,"당해 수량 없음",""))))</f>
        <v/>
      </c>
      <c r="N2442" t="str">
        <f>IF($B2442="","",MATCH($B2442,'_calc'!$L$2:$L$3001,0))</f>
        <v/>
      </c>
    </row>
    <row r="2443">
      <c r="B2443" s="24" t="str">
        <f>IF(ROW()-ROW($B$8)&gt;nComp,"",ROW()-ROW($B$8))</f>
        <v/>
      </c>
      <c r="C2443" t="str">
        <f>IF($N2443="","",INDEX('_calc'!$A$2:$A$3001,$N2443))</f>
        <v/>
      </c>
      <c r="D2443" s="25" t="str">
        <f>IF($N2443="","",INDEX('_calc'!$C$2:$C$3001,$N2443))</f>
        <v/>
      </c>
      <c r="E2443" s="25" t="str">
        <f>IF($N2443="","",INDEX('_calc'!$D$2:$D$3001,$N2443))</f>
        <v/>
      </c>
      <c r="F2443" s="26" t="str">
        <f>IF($N2443="","",IF($E$8=0,"",E2443/$E$8))</f>
        <v/>
      </c>
      <c r="G2443" s="25" t="str">
        <f>IF($N2443="","",INDEX('_calc'!$E$2:$E$3001,$N2443))</f>
        <v/>
      </c>
      <c r="H2443" s="25" t="str">
        <f>IF($N2443="","",INDEX('_calc'!$F$2:$F$3001,$N2443))</f>
        <v/>
      </c>
      <c r="I2443" s="27" t="str">
        <f>IF($N2443="","",INDEX('_calc'!$H$2:$H$3001,$N2443))</f>
        <v/>
      </c>
      <c r="J2443" s="27" t="str">
        <f>IF($N2443="","",INDEX('_calc'!$I$2:$I$3001,$N2443))</f>
        <v/>
      </c>
      <c r="K2443" s="28" t="str">
        <f>IF($N2443="","",IF(OR(I2443="",J2443=""),"",J2443-I2443))</f>
        <v/>
      </c>
      <c r="L2443" s="29" t="str">
        <f>IF($N2443="","",INDEX('_calc'!$J$2:$J$3001,$N2443))</f>
        <v/>
      </c>
      <c r="M2443" s="2" t="str">
        <f>IF($N2443="","",IF(AND(G2443=0,H2443=0),"수량 없음",IF(G2443=0,"신규 (전년 수량 없음)",IF(H2443=0,"당해 수량 없음",""))))</f>
        <v/>
      </c>
      <c r="N2443" t="str">
        <f>IF($B2443="","",MATCH($B2443,'_calc'!$L$2:$L$3001,0))</f>
        <v/>
      </c>
    </row>
    <row r="2444">
      <c r="B2444" s="24" t="str">
        <f>IF(ROW()-ROW($B$8)&gt;nComp,"",ROW()-ROW($B$8))</f>
        <v/>
      </c>
      <c r="C2444" t="str">
        <f>IF($N2444="","",INDEX('_calc'!$A$2:$A$3001,$N2444))</f>
        <v/>
      </c>
      <c r="D2444" s="25" t="str">
        <f>IF($N2444="","",INDEX('_calc'!$C$2:$C$3001,$N2444))</f>
        <v/>
      </c>
      <c r="E2444" s="25" t="str">
        <f>IF($N2444="","",INDEX('_calc'!$D$2:$D$3001,$N2444))</f>
        <v/>
      </c>
      <c r="F2444" s="26" t="str">
        <f>IF($N2444="","",IF($E$8=0,"",E2444/$E$8))</f>
        <v/>
      </c>
      <c r="G2444" s="25" t="str">
        <f>IF($N2444="","",INDEX('_calc'!$E$2:$E$3001,$N2444))</f>
        <v/>
      </c>
      <c r="H2444" s="25" t="str">
        <f>IF($N2444="","",INDEX('_calc'!$F$2:$F$3001,$N2444))</f>
        <v/>
      </c>
      <c r="I2444" s="27" t="str">
        <f>IF($N2444="","",INDEX('_calc'!$H$2:$H$3001,$N2444))</f>
        <v/>
      </c>
      <c r="J2444" s="27" t="str">
        <f>IF($N2444="","",INDEX('_calc'!$I$2:$I$3001,$N2444))</f>
        <v/>
      </c>
      <c r="K2444" s="28" t="str">
        <f>IF($N2444="","",IF(OR(I2444="",J2444=""),"",J2444-I2444))</f>
        <v/>
      </c>
      <c r="L2444" s="29" t="str">
        <f>IF($N2444="","",INDEX('_calc'!$J$2:$J$3001,$N2444))</f>
        <v/>
      </c>
      <c r="M2444" s="2" t="str">
        <f>IF($N2444="","",IF(AND(G2444=0,H2444=0),"수량 없음",IF(G2444=0,"신규 (전년 수량 없음)",IF(H2444=0,"당해 수량 없음",""))))</f>
        <v/>
      </c>
      <c r="N2444" t="str">
        <f>IF($B2444="","",MATCH($B2444,'_calc'!$L$2:$L$3001,0))</f>
        <v/>
      </c>
    </row>
    <row r="2445">
      <c r="B2445" s="24" t="str">
        <f>IF(ROW()-ROW($B$8)&gt;nComp,"",ROW()-ROW($B$8))</f>
        <v/>
      </c>
      <c r="C2445" t="str">
        <f>IF($N2445="","",INDEX('_calc'!$A$2:$A$3001,$N2445))</f>
        <v/>
      </c>
      <c r="D2445" s="25" t="str">
        <f>IF($N2445="","",INDEX('_calc'!$C$2:$C$3001,$N2445))</f>
        <v/>
      </c>
      <c r="E2445" s="25" t="str">
        <f>IF($N2445="","",INDEX('_calc'!$D$2:$D$3001,$N2445))</f>
        <v/>
      </c>
      <c r="F2445" s="26" t="str">
        <f>IF($N2445="","",IF($E$8=0,"",E2445/$E$8))</f>
        <v/>
      </c>
      <c r="G2445" s="25" t="str">
        <f>IF($N2445="","",INDEX('_calc'!$E$2:$E$3001,$N2445))</f>
        <v/>
      </c>
      <c r="H2445" s="25" t="str">
        <f>IF($N2445="","",INDEX('_calc'!$F$2:$F$3001,$N2445))</f>
        <v/>
      </c>
      <c r="I2445" s="27" t="str">
        <f>IF($N2445="","",INDEX('_calc'!$H$2:$H$3001,$N2445))</f>
        <v/>
      </c>
      <c r="J2445" s="27" t="str">
        <f>IF($N2445="","",INDEX('_calc'!$I$2:$I$3001,$N2445))</f>
        <v/>
      </c>
      <c r="K2445" s="28" t="str">
        <f>IF($N2445="","",IF(OR(I2445="",J2445=""),"",J2445-I2445))</f>
        <v/>
      </c>
      <c r="L2445" s="29" t="str">
        <f>IF($N2445="","",INDEX('_calc'!$J$2:$J$3001,$N2445))</f>
        <v/>
      </c>
      <c r="M2445" s="2" t="str">
        <f>IF($N2445="","",IF(AND(G2445=0,H2445=0),"수량 없음",IF(G2445=0,"신규 (전년 수량 없음)",IF(H2445=0,"당해 수량 없음",""))))</f>
        <v/>
      </c>
      <c r="N2445" t="str">
        <f>IF($B2445="","",MATCH($B2445,'_calc'!$L$2:$L$3001,0))</f>
        <v/>
      </c>
    </row>
    <row r="2446">
      <c r="B2446" s="24" t="str">
        <f>IF(ROW()-ROW($B$8)&gt;nComp,"",ROW()-ROW($B$8))</f>
        <v/>
      </c>
      <c r="C2446" t="str">
        <f>IF($N2446="","",INDEX('_calc'!$A$2:$A$3001,$N2446))</f>
        <v/>
      </c>
      <c r="D2446" s="25" t="str">
        <f>IF($N2446="","",INDEX('_calc'!$C$2:$C$3001,$N2446))</f>
        <v/>
      </c>
      <c r="E2446" s="25" t="str">
        <f>IF($N2446="","",INDEX('_calc'!$D$2:$D$3001,$N2446))</f>
        <v/>
      </c>
      <c r="F2446" s="26" t="str">
        <f>IF($N2446="","",IF($E$8=0,"",E2446/$E$8))</f>
        <v/>
      </c>
      <c r="G2446" s="25" t="str">
        <f>IF($N2446="","",INDEX('_calc'!$E$2:$E$3001,$N2446))</f>
        <v/>
      </c>
      <c r="H2446" s="25" t="str">
        <f>IF($N2446="","",INDEX('_calc'!$F$2:$F$3001,$N2446))</f>
        <v/>
      </c>
      <c r="I2446" s="27" t="str">
        <f>IF($N2446="","",INDEX('_calc'!$H$2:$H$3001,$N2446))</f>
        <v/>
      </c>
      <c r="J2446" s="27" t="str">
        <f>IF($N2446="","",INDEX('_calc'!$I$2:$I$3001,$N2446))</f>
        <v/>
      </c>
      <c r="K2446" s="28" t="str">
        <f>IF($N2446="","",IF(OR(I2446="",J2446=""),"",J2446-I2446))</f>
        <v/>
      </c>
      <c r="L2446" s="29" t="str">
        <f>IF($N2446="","",INDEX('_calc'!$J$2:$J$3001,$N2446))</f>
        <v/>
      </c>
      <c r="M2446" s="2" t="str">
        <f>IF($N2446="","",IF(AND(G2446=0,H2446=0),"수량 없음",IF(G2446=0,"신규 (전년 수량 없음)",IF(H2446=0,"당해 수량 없음",""))))</f>
        <v/>
      </c>
      <c r="N2446" t="str">
        <f>IF($B2446="","",MATCH($B2446,'_calc'!$L$2:$L$3001,0))</f>
        <v/>
      </c>
    </row>
    <row r="2447">
      <c r="B2447" s="24" t="str">
        <f>IF(ROW()-ROW($B$8)&gt;nComp,"",ROW()-ROW($B$8))</f>
        <v/>
      </c>
      <c r="C2447" t="str">
        <f>IF($N2447="","",INDEX('_calc'!$A$2:$A$3001,$N2447))</f>
        <v/>
      </c>
      <c r="D2447" s="25" t="str">
        <f>IF($N2447="","",INDEX('_calc'!$C$2:$C$3001,$N2447))</f>
        <v/>
      </c>
      <c r="E2447" s="25" t="str">
        <f>IF($N2447="","",INDEX('_calc'!$D$2:$D$3001,$N2447))</f>
        <v/>
      </c>
      <c r="F2447" s="26" t="str">
        <f>IF($N2447="","",IF($E$8=0,"",E2447/$E$8))</f>
        <v/>
      </c>
      <c r="G2447" s="25" t="str">
        <f>IF($N2447="","",INDEX('_calc'!$E$2:$E$3001,$N2447))</f>
        <v/>
      </c>
      <c r="H2447" s="25" t="str">
        <f>IF($N2447="","",INDEX('_calc'!$F$2:$F$3001,$N2447))</f>
        <v/>
      </c>
      <c r="I2447" s="27" t="str">
        <f>IF($N2447="","",INDEX('_calc'!$H$2:$H$3001,$N2447))</f>
        <v/>
      </c>
      <c r="J2447" s="27" t="str">
        <f>IF($N2447="","",INDEX('_calc'!$I$2:$I$3001,$N2447))</f>
        <v/>
      </c>
      <c r="K2447" s="28" t="str">
        <f>IF($N2447="","",IF(OR(I2447="",J2447=""),"",J2447-I2447))</f>
        <v/>
      </c>
      <c r="L2447" s="29" t="str">
        <f>IF($N2447="","",INDEX('_calc'!$J$2:$J$3001,$N2447))</f>
        <v/>
      </c>
      <c r="M2447" s="2" t="str">
        <f>IF($N2447="","",IF(AND(G2447=0,H2447=0),"수량 없음",IF(G2447=0,"신규 (전년 수량 없음)",IF(H2447=0,"당해 수량 없음",""))))</f>
        <v/>
      </c>
      <c r="N2447" t="str">
        <f>IF($B2447="","",MATCH($B2447,'_calc'!$L$2:$L$3001,0))</f>
        <v/>
      </c>
    </row>
    <row r="2448">
      <c r="B2448" s="24" t="str">
        <f>IF(ROW()-ROW($B$8)&gt;nComp,"",ROW()-ROW($B$8))</f>
        <v/>
      </c>
      <c r="C2448" t="str">
        <f>IF($N2448="","",INDEX('_calc'!$A$2:$A$3001,$N2448))</f>
        <v/>
      </c>
      <c r="D2448" s="25" t="str">
        <f>IF($N2448="","",INDEX('_calc'!$C$2:$C$3001,$N2448))</f>
        <v/>
      </c>
      <c r="E2448" s="25" t="str">
        <f>IF($N2448="","",INDEX('_calc'!$D$2:$D$3001,$N2448))</f>
        <v/>
      </c>
      <c r="F2448" s="26" t="str">
        <f>IF($N2448="","",IF($E$8=0,"",E2448/$E$8))</f>
        <v/>
      </c>
      <c r="G2448" s="25" t="str">
        <f>IF($N2448="","",INDEX('_calc'!$E$2:$E$3001,$N2448))</f>
        <v/>
      </c>
      <c r="H2448" s="25" t="str">
        <f>IF($N2448="","",INDEX('_calc'!$F$2:$F$3001,$N2448))</f>
        <v/>
      </c>
      <c r="I2448" s="27" t="str">
        <f>IF($N2448="","",INDEX('_calc'!$H$2:$H$3001,$N2448))</f>
        <v/>
      </c>
      <c r="J2448" s="27" t="str">
        <f>IF($N2448="","",INDEX('_calc'!$I$2:$I$3001,$N2448))</f>
        <v/>
      </c>
      <c r="K2448" s="28" t="str">
        <f>IF($N2448="","",IF(OR(I2448="",J2448=""),"",J2448-I2448))</f>
        <v/>
      </c>
      <c r="L2448" s="29" t="str">
        <f>IF($N2448="","",INDEX('_calc'!$J$2:$J$3001,$N2448))</f>
        <v/>
      </c>
      <c r="M2448" s="2" t="str">
        <f>IF($N2448="","",IF(AND(G2448=0,H2448=0),"수량 없음",IF(G2448=0,"신규 (전년 수량 없음)",IF(H2448=0,"당해 수량 없음",""))))</f>
        <v/>
      </c>
      <c r="N2448" t="str">
        <f>IF($B2448="","",MATCH($B2448,'_calc'!$L$2:$L$3001,0))</f>
        <v/>
      </c>
    </row>
    <row r="2449">
      <c r="B2449" s="24" t="str">
        <f>IF(ROW()-ROW($B$8)&gt;nComp,"",ROW()-ROW($B$8))</f>
        <v/>
      </c>
      <c r="C2449" t="str">
        <f>IF($N2449="","",INDEX('_calc'!$A$2:$A$3001,$N2449))</f>
        <v/>
      </c>
      <c r="D2449" s="25" t="str">
        <f>IF($N2449="","",INDEX('_calc'!$C$2:$C$3001,$N2449))</f>
        <v/>
      </c>
      <c r="E2449" s="25" t="str">
        <f>IF($N2449="","",INDEX('_calc'!$D$2:$D$3001,$N2449))</f>
        <v/>
      </c>
      <c r="F2449" s="26" t="str">
        <f>IF($N2449="","",IF($E$8=0,"",E2449/$E$8))</f>
        <v/>
      </c>
      <c r="G2449" s="25" t="str">
        <f>IF($N2449="","",INDEX('_calc'!$E$2:$E$3001,$N2449))</f>
        <v/>
      </c>
      <c r="H2449" s="25" t="str">
        <f>IF($N2449="","",INDEX('_calc'!$F$2:$F$3001,$N2449))</f>
        <v/>
      </c>
      <c r="I2449" s="27" t="str">
        <f>IF($N2449="","",INDEX('_calc'!$H$2:$H$3001,$N2449))</f>
        <v/>
      </c>
      <c r="J2449" s="27" t="str">
        <f>IF($N2449="","",INDEX('_calc'!$I$2:$I$3001,$N2449))</f>
        <v/>
      </c>
      <c r="K2449" s="28" t="str">
        <f>IF($N2449="","",IF(OR(I2449="",J2449=""),"",J2449-I2449))</f>
        <v/>
      </c>
      <c r="L2449" s="29" t="str">
        <f>IF($N2449="","",INDEX('_calc'!$J$2:$J$3001,$N2449))</f>
        <v/>
      </c>
      <c r="M2449" s="2" t="str">
        <f>IF($N2449="","",IF(AND(G2449=0,H2449=0),"수량 없음",IF(G2449=0,"신규 (전년 수량 없음)",IF(H2449=0,"당해 수량 없음",""))))</f>
        <v/>
      </c>
      <c r="N2449" t="str">
        <f>IF($B2449="","",MATCH($B2449,'_calc'!$L$2:$L$3001,0))</f>
        <v/>
      </c>
    </row>
    <row r="2450">
      <c r="B2450" s="24" t="str">
        <f>IF(ROW()-ROW($B$8)&gt;nComp,"",ROW()-ROW($B$8))</f>
        <v/>
      </c>
      <c r="C2450" t="str">
        <f>IF($N2450="","",INDEX('_calc'!$A$2:$A$3001,$N2450))</f>
        <v/>
      </c>
      <c r="D2450" s="25" t="str">
        <f>IF($N2450="","",INDEX('_calc'!$C$2:$C$3001,$N2450))</f>
        <v/>
      </c>
      <c r="E2450" s="25" t="str">
        <f>IF($N2450="","",INDEX('_calc'!$D$2:$D$3001,$N2450))</f>
        <v/>
      </c>
      <c r="F2450" s="26" t="str">
        <f>IF($N2450="","",IF($E$8=0,"",E2450/$E$8))</f>
        <v/>
      </c>
      <c r="G2450" s="25" t="str">
        <f>IF($N2450="","",INDEX('_calc'!$E$2:$E$3001,$N2450))</f>
        <v/>
      </c>
      <c r="H2450" s="25" t="str">
        <f>IF($N2450="","",INDEX('_calc'!$F$2:$F$3001,$N2450))</f>
        <v/>
      </c>
      <c r="I2450" s="27" t="str">
        <f>IF($N2450="","",INDEX('_calc'!$H$2:$H$3001,$N2450))</f>
        <v/>
      </c>
      <c r="J2450" s="27" t="str">
        <f>IF($N2450="","",INDEX('_calc'!$I$2:$I$3001,$N2450))</f>
        <v/>
      </c>
      <c r="K2450" s="28" t="str">
        <f>IF($N2450="","",IF(OR(I2450="",J2450=""),"",J2450-I2450))</f>
        <v/>
      </c>
      <c r="L2450" s="29" t="str">
        <f>IF($N2450="","",INDEX('_calc'!$J$2:$J$3001,$N2450))</f>
        <v/>
      </c>
      <c r="M2450" s="2" t="str">
        <f>IF($N2450="","",IF(AND(G2450=0,H2450=0),"수량 없음",IF(G2450=0,"신규 (전년 수량 없음)",IF(H2450=0,"당해 수량 없음",""))))</f>
        <v/>
      </c>
      <c r="N2450" t="str">
        <f>IF($B2450="","",MATCH($B2450,'_calc'!$L$2:$L$3001,0))</f>
        <v/>
      </c>
    </row>
    <row r="2451">
      <c r="B2451" s="24" t="str">
        <f>IF(ROW()-ROW($B$8)&gt;nComp,"",ROW()-ROW($B$8))</f>
        <v/>
      </c>
      <c r="C2451" t="str">
        <f>IF($N2451="","",INDEX('_calc'!$A$2:$A$3001,$N2451))</f>
        <v/>
      </c>
      <c r="D2451" s="25" t="str">
        <f>IF($N2451="","",INDEX('_calc'!$C$2:$C$3001,$N2451))</f>
        <v/>
      </c>
      <c r="E2451" s="25" t="str">
        <f>IF($N2451="","",INDEX('_calc'!$D$2:$D$3001,$N2451))</f>
        <v/>
      </c>
      <c r="F2451" s="26" t="str">
        <f>IF($N2451="","",IF($E$8=0,"",E2451/$E$8))</f>
        <v/>
      </c>
      <c r="G2451" s="25" t="str">
        <f>IF($N2451="","",INDEX('_calc'!$E$2:$E$3001,$N2451))</f>
        <v/>
      </c>
      <c r="H2451" s="25" t="str">
        <f>IF($N2451="","",INDEX('_calc'!$F$2:$F$3001,$N2451))</f>
        <v/>
      </c>
      <c r="I2451" s="27" t="str">
        <f>IF($N2451="","",INDEX('_calc'!$H$2:$H$3001,$N2451))</f>
        <v/>
      </c>
      <c r="J2451" s="27" t="str">
        <f>IF($N2451="","",INDEX('_calc'!$I$2:$I$3001,$N2451))</f>
        <v/>
      </c>
      <c r="K2451" s="28" t="str">
        <f>IF($N2451="","",IF(OR(I2451="",J2451=""),"",J2451-I2451))</f>
        <v/>
      </c>
      <c r="L2451" s="29" t="str">
        <f>IF($N2451="","",INDEX('_calc'!$J$2:$J$3001,$N2451))</f>
        <v/>
      </c>
      <c r="M2451" s="2" t="str">
        <f>IF($N2451="","",IF(AND(G2451=0,H2451=0),"수량 없음",IF(G2451=0,"신규 (전년 수량 없음)",IF(H2451=0,"당해 수량 없음",""))))</f>
        <v/>
      </c>
      <c r="N2451" t="str">
        <f>IF($B2451="","",MATCH($B2451,'_calc'!$L$2:$L$3001,0))</f>
        <v/>
      </c>
    </row>
    <row r="2452">
      <c r="B2452" s="24" t="str">
        <f>IF(ROW()-ROW($B$8)&gt;nComp,"",ROW()-ROW($B$8))</f>
        <v/>
      </c>
      <c r="C2452" t="str">
        <f>IF($N2452="","",INDEX('_calc'!$A$2:$A$3001,$N2452))</f>
        <v/>
      </c>
      <c r="D2452" s="25" t="str">
        <f>IF($N2452="","",INDEX('_calc'!$C$2:$C$3001,$N2452))</f>
        <v/>
      </c>
      <c r="E2452" s="25" t="str">
        <f>IF($N2452="","",INDEX('_calc'!$D$2:$D$3001,$N2452))</f>
        <v/>
      </c>
      <c r="F2452" s="26" t="str">
        <f>IF($N2452="","",IF($E$8=0,"",E2452/$E$8))</f>
        <v/>
      </c>
      <c r="G2452" s="25" t="str">
        <f>IF($N2452="","",INDEX('_calc'!$E$2:$E$3001,$N2452))</f>
        <v/>
      </c>
      <c r="H2452" s="25" t="str">
        <f>IF($N2452="","",INDEX('_calc'!$F$2:$F$3001,$N2452))</f>
        <v/>
      </c>
      <c r="I2452" s="27" t="str">
        <f>IF($N2452="","",INDEX('_calc'!$H$2:$H$3001,$N2452))</f>
        <v/>
      </c>
      <c r="J2452" s="27" t="str">
        <f>IF($N2452="","",INDEX('_calc'!$I$2:$I$3001,$N2452))</f>
        <v/>
      </c>
      <c r="K2452" s="28" t="str">
        <f>IF($N2452="","",IF(OR(I2452="",J2452=""),"",J2452-I2452))</f>
        <v/>
      </c>
      <c r="L2452" s="29" t="str">
        <f>IF($N2452="","",INDEX('_calc'!$J$2:$J$3001,$N2452))</f>
        <v/>
      </c>
      <c r="M2452" s="2" t="str">
        <f>IF($N2452="","",IF(AND(G2452=0,H2452=0),"수량 없음",IF(G2452=0,"신규 (전년 수량 없음)",IF(H2452=0,"당해 수량 없음",""))))</f>
        <v/>
      </c>
      <c r="N2452" t="str">
        <f>IF($B2452="","",MATCH($B2452,'_calc'!$L$2:$L$3001,0))</f>
        <v/>
      </c>
    </row>
    <row r="2453">
      <c r="B2453" s="24" t="str">
        <f>IF(ROW()-ROW($B$8)&gt;nComp,"",ROW()-ROW($B$8))</f>
        <v/>
      </c>
      <c r="C2453" t="str">
        <f>IF($N2453="","",INDEX('_calc'!$A$2:$A$3001,$N2453))</f>
        <v/>
      </c>
      <c r="D2453" s="25" t="str">
        <f>IF($N2453="","",INDEX('_calc'!$C$2:$C$3001,$N2453))</f>
        <v/>
      </c>
      <c r="E2453" s="25" t="str">
        <f>IF($N2453="","",INDEX('_calc'!$D$2:$D$3001,$N2453))</f>
        <v/>
      </c>
      <c r="F2453" s="26" t="str">
        <f>IF($N2453="","",IF($E$8=0,"",E2453/$E$8))</f>
        <v/>
      </c>
      <c r="G2453" s="25" t="str">
        <f>IF($N2453="","",INDEX('_calc'!$E$2:$E$3001,$N2453))</f>
        <v/>
      </c>
      <c r="H2453" s="25" t="str">
        <f>IF($N2453="","",INDEX('_calc'!$F$2:$F$3001,$N2453))</f>
        <v/>
      </c>
      <c r="I2453" s="27" t="str">
        <f>IF($N2453="","",INDEX('_calc'!$H$2:$H$3001,$N2453))</f>
        <v/>
      </c>
      <c r="J2453" s="27" t="str">
        <f>IF($N2453="","",INDEX('_calc'!$I$2:$I$3001,$N2453))</f>
        <v/>
      </c>
      <c r="K2453" s="28" t="str">
        <f>IF($N2453="","",IF(OR(I2453="",J2453=""),"",J2453-I2453))</f>
        <v/>
      </c>
      <c r="L2453" s="29" t="str">
        <f>IF($N2453="","",INDEX('_calc'!$J$2:$J$3001,$N2453))</f>
        <v/>
      </c>
      <c r="M2453" s="2" t="str">
        <f>IF($N2453="","",IF(AND(G2453=0,H2453=0),"수량 없음",IF(G2453=0,"신규 (전년 수량 없음)",IF(H2453=0,"당해 수량 없음",""))))</f>
        <v/>
      </c>
      <c r="N2453" t="str">
        <f>IF($B2453="","",MATCH($B2453,'_calc'!$L$2:$L$3001,0))</f>
        <v/>
      </c>
    </row>
    <row r="2454">
      <c r="B2454" s="24" t="str">
        <f>IF(ROW()-ROW($B$8)&gt;nComp,"",ROW()-ROW($B$8))</f>
        <v/>
      </c>
      <c r="C2454" t="str">
        <f>IF($N2454="","",INDEX('_calc'!$A$2:$A$3001,$N2454))</f>
        <v/>
      </c>
      <c r="D2454" s="25" t="str">
        <f>IF($N2454="","",INDEX('_calc'!$C$2:$C$3001,$N2454))</f>
        <v/>
      </c>
      <c r="E2454" s="25" t="str">
        <f>IF($N2454="","",INDEX('_calc'!$D$2:$D$3001,$N2454))</f>
        <v/>
      </c>
      <c r="F2454" s="26" t="str">
        <f>IF($N2454="","",IF($E$8=0,"",E2454/$E$8))</f>
        <v/>
      </c>
      <c r="G2454" s="25" t="str">
        <f>IF($N2454="","",INDEX('_calc'!$E$2:$E$3001,$N2454))</f>
        <v/>
      </c>
      <c r="H2454" s="25" t="str">
        <f>IF($N2454="","",INDEX('_calc'!$F$2:$F$3001,$N2454))</f>
        <v/>
      </c>
      <c r="I2454" s="27" t="str">
        <f>IF($N2454="","",INDEX('_calc'!$H$2:$H$3001,$N2454))</f>
        <v/>
      </c>
      <c r="J2454" s="27" t="str">
        <f>IF($N2454="","",INDEX('_calc'!$I$2:$I$3001,$N2454))</f>
        <v/>
      </c>
      <c r="K2454" s="28" t="str">
        <f>IF($N2454="","",IF(OR(I2454="",J2454=""),"",J2454-I2454))</f>
        <v/>
      </c>
      <c r="L2454" s="29" t="str">
        <f>IF($N2454="","",INDEX('_calc'!$J$2:$J$3001,$N2454))</f>
        <v/>
      </c>
      <c r="M2454" s="2" t="str">
        <f>IF($N2454="","",IF(AND(G2454=0,H2454=0),"수량 없음",IF(G2454=0,"신규 (전년 수량 없음)",IF(H2454=0,"당해 수량 없음",""))))</f>
        <v/>
      </c>
      <c r="N2454" t="str">
        <f>IF($B2454="","",MATCH($B2454,'_calc'!$L$2:$L$3001,0))</f>
        <v/>
      </c>
    </row>
    <row r="2455">
      <c r="B2455" s="24" t="str">
        <f>IF(ROW()-ROW($B$8)&gt;nComp,"",ROW()-ROW($B$8))</f>
        <v/>
      </c>
      <c r="C2455" t="str">
        <f>IF($N2455="","",INDEX('_calc'!$A$2:$A$3001,$N2455))</f>
        <v/>
      </c>
      <c r="D2455" s="25" t="str">
        <f>IF($N2455="","",INDEX('_calc'!$C$2:$C$3001,$N2455))</f>
        <v/>
      </c>
      <c r="E2455" s="25" t="str">
        <f>IF($N2455="","",INDEX('_calc'!$D$2:$D$3001,$N2455))</f>
        <v/>
      </c>
      <c r="F2455" s="26" t="str">
        <f>IF($N2455="","",IF($E$8=0,"",E2455/$E$8))</f>
        <v/>
      </c>
      <c r="G2455" s="25" t="str">
        <f>IF($N2455="","",INDEX('_calc'!$E$2:$E$3001,$N2455))</f>
        <v/>
      </c>
      <c r="H2455" s="25" t="str">
        <f>IF($N2455="","",INDEX('_calc'!$F$2:$F$3001,$N2455))</f>
        <v/>
      </c>
      <c r="I2455" s="27" t="str">
        <f>IF($N2455="","",INDEX('_calc'!$H$2:$H$3001,$N2455))</f>
        <v/>
      </c>
      <c r="J2455" s="27" t="str">
        <f>IF($N2455="","",INDEX('_calc'!$I$2:$I$3001,$N2455))</f>
        <v/>
      </c>
      <c r="K2455" s="28" t="str">
        <f>IF($N2455="","",IF(OR(I2455="",J2455=""),"",J2455-I2455))</f>
        <v/>
      </c>
      <c r="L2455" s="29" t="str">
        <f>IF($N2455="","",INDEX('_calc'!$J$2:$J$3001,$N2455))</f>
        <v/>
      </c>
      <c r="M2455" s="2" t="str">
        <f>IF($N2455="","",IF(AND(G2455=0,H2455=0),"수량 없음",IF(G2455=0,"신규 (전년 수량 없음)",IF(H2455=0,"당해 수량 없음",""))))</f>
        <v/>
      </c>
      <c r="N2455" t="str">
        <f>IF($B2455="","",MATCH($B2455,'_calc'!$L$2:$L$3001,0))</f>
        <v/>
      </c>
    </row>
    <row r="2456">
      <c r="B2456" s="24" t="str">
        <f>IF(ROW()-ROW($B$8)&gt;nComp,"",ROW()-ROW($B$8))</f>
        <v/>
      </c>
      <c r="C2456" t="str">
        <f>IF($N2456="","",INDEX('_calc'!$A$2:$A$3001,$N2456))</f>
        <v/>
      </c>
      <c r="D2456" s="25" t="str">
        <f>IF($N2456="","",INDEX('_calc'!$C$2:$C$3001,$N2456))</f>
        <v/>
      </c>
      <c r="E2456" s="25" t="str">
        <f>IF($N2456="","",INDEX('_calc'!$D$2:$D$3001,$N2456))</f>
        <v/>
      </c>
      <c r="F2456" s="26" t="str">
        <f>IF($N2456="","",IF($E$8=0,"",E2456/$E$8))</f>
        <v/>
      </c>
      <c r="G2456" s="25" t="str">
        <f>IF($N2456="","",INDEX('_calc'!$E$2:$E$3001,$N2456))</f>
        <v/>
      </c>
      <c r="H2456" s="25" t="str">
        <f>IF($N2456="","",INDEX('_calc'!$F$2:$F$3001,$N2456))</f>
        <v/>
      </c>
      <c r="I2456" s="27" t="str">
        <f>IF($N2456="","",INDEX('_calc'!$H$2:$H$3001,$N2456))</f>
        <v/>
      </c>
      <c r="J2456" s="27" t="str">
        <f>IF($N2456="","",INDEX('_calc'!$I$2:$I$3001,$N2456))</f>
        <v/>
      </c>
      <c r="K2456" s="28" t="str">
        <f>IF($N2456="","",IF(OR(I2456="",J2456=""),"",J2456-I2456))</f>
        <v/>
      </c>
      <c r="L2456" s="29" t="str">
        <f>IF($N2456="","",INDEX('_calc'!$J$2:$J$3001,$N2456))</f>
        <v/>
      </c>
      <c r="M2456" s="2" t="str">
        <f>IF($N2456="","",IF(AND(G2456=0,H2456=0),"수량 없음",IF(G2456=0,"신규 (전년 수량 없음)",IF(H2456=0,"당해 수량 없음",""))))</f>
        <v/>
      </c>
      <c r="N2456" t="str">
        <f>IF($B2456="","",MATCH($B2456,'_calc'!$L$2:$L$3001,0))</f>
        <v/>
      </c>
    </row>
    <row r="2457">
      <c r="B2457" s="24" t="str">
        <f>IF(ROW()-ROW($B$8)&gt;nComp,"",ROW()-ROW($B$8))</f>
        <v/>
      </c>
      <c r="C2457" t="str">
        <f>IF($N2457="","",INDEX('_calc'!$A$2:$A$3001,$N2457))</f>
        <v/>
      </c>
      <c r="D2457" s="25" t="str">
        <f>IF($N2457="","",INDEX('_calc'!$C$2:$C$3001,$N2457))</f>
        <v/>
      </c>
      <c r="E2457" s="25" t="str">
        <f>IF($N2457="","",INDEX('_calc'!$D$2:$D$3001,$N2457))</f>
        <v/>
      </c>
      <c r="F2457" s="26" t="str">
        <f>IF($N2457="","",IF($E$8=0,"",E2457/$E$8))</f>
        <v/>
      </c>
      <c r="G2457" s="25" t="str">
        <f>IF($N2457="","",INDEX('_calc'!$E$2:$E$3001,$N2457))</f>
        <v/>
      </c>
      <c r="H2457" s="25" t="str">
        <f>IF($N2457="","",INDEX('_calc'!$F$2:$F$3001,$N2457))</f>
        <v/>
      </c>
      <c r="I2457" s="27" t="str">
        <f>IF($N2457="","",INDEX('_calc'!$H$2:$H$3001,$N2457))</f>
        <v/>
      </c>
      <c r="J2457" s="27" t="str">
        <f>IF($N2457="","",INDEX('_calc'!$I$2:$I$3001,$N2457))</f>
        <v/>
      </c>
      <c r="K2457" s="28" t="str">
        <f>IF($N2457="","",IF(OR(I2457="",J2457=""),"",J2457-I2457))</f>
        <v/>
      </c>
      <c r="L2457" s="29" t="str">
        <f>IF($N2457="","",INDEX('_calc'!$J$2:$J$3001,$N2457))</f>
        <v/>
      </c>
      <c r="M2457" s="2" t="str">
        <f>IF($N2457="","",IF(AND(G2457=0,H2457=0),"수량 없음",IF(G2457=0,"신규 (전년 수량 없음)",IF(H2457=0,"당해 수량 없음",""))))</f>
        <v/>
      </c>
      <c r="N2457" t="str">
        <f>IF($B2457="","",MATCH($B2457,'_calc'!$L$2:$L$3001,0))</f>
        <v/>
      </c>
    </row>
    <row r="2458">
      <c r="B2458" s="24" t="str">
        <f>IF(ROW()-ROW($B$8)&gt;nComp,"",ROW()-ROW($B$8))</f>
        <v/>
      </c>
      <c r="C2458" t="str">
        <f>IF($N2458="","",INDEX('_calc'!$A$2:$A$3001,$N2458))</f>
        <v/>
      </c>
      <c r="D2458" s="25" t="str">
        <f>IF($N2458="","",INDEX('_calc'!$C$2:$C$3001,$N2458))</f>
        <v/>
      </c>
      <c r="E2458" s="25" t="str">
        <f>IF($N2458="","",INDEX('_calc'!$D$2:$D$3001,$N2458))</f>
        <v/>
      </c>
      <c r="F2458" s="26" t="str">
        <f>IF($N2458="","",IF($E$8=0,"",E2458/$E$8))</f>
        <v/>
      </c>
      <c r="G2458" s="25" t="str">
        <f>IF($N2458="","",INDEX('_calc'!$E$2:$E$3001,$N2458))</f>
        <v/>
      </c>
      <c r="H2458" s="25" t="str">
        <f>IF($N2458="","",INDEX('_calc'!$F$2:$F$3001,$N2458))</f>
        <v/>
      </c>
      <c r="I2458" s="27" t="str">
        <f>IF($N2458="","",INDEX('_calc'!$H$2:$H$3001,$N2458))</f>
        <v/>
      </c>
      <c r="J2458" s="27" t="str">
        <f>IF($N2458="","",INDEX('_calc'!$I$2:$I$3001,$N2458))</f>
        <v/>
      </c>
      <c r="K2458" s="28" t="str">
        <f>IF($N2458="","",IF(OR(I2458="",J2458=""),"",J2458-I2458))</f>
        <v/>
      </c>
      <c r="L2458" s="29" t="str">
        <f>IF($N2458="","",INDEX('_calc'!$J$2:$J$3001,$N2458))</f>
        <v/>
      </c>
      <c r="M2458" s="2" t="str">
        <f>IF($N2458="","",IF(AND(G2458=0,H2458=0),"수량 없음",IF(G2458=0,"신규 (전년 수량 없음)",IF(H2458=0,"당해 수량 없음",""))))</f>
        <v/>
      </c>
      <c r="N2458" t="str">
        <f>IF($B2458="","",MATCH($B2458,'_calc'!$L$2:$L$3001,0))</f>
        <v/>
      </c>
    </row>
    <row r="2459">
      <c r="B2459" s="24" t="str">
        <f>IF(ROW()-ROW($B$8)&gt;nComp,"",ROW()-ROW($B$8))</f>
        <v/>
      </c>
      <c r="C2459" t="str">
        <f>IF($N2459="","",INDEX('_calc'!$A$2:$A$3001,$N2459))</f>
        <v/>
      </c>
      <c r="D2459" s="25" t="str">
        <f>IF($N2459="","",INDEX('_calc'!$C$2:$C$3001,$N2459))</f>
        <v/>
      </c>
      <c r="E2459" s="25" t="str">
        <f>IF($N2459="","",INDEX('_calc'!$D$2:$D$3001,$N2459))</f>
        <v/>
      </c>
      <c r="F2459" s="26" t="str">
        <f>IF($N2459="","",IF($E$8=0,"",E2459/$E$8))</f>
        <v/>
      </c>
      <c r="G2459" s="25" t="str">
        <f>IF($N2459="","",INDEX('_calc'!$E$2:$E$3001,$N2459))</f>
        <v/>
      </c>
      <c r="H2459" s="25" t="str">
        <f>IF($N2459="","",INDEX('_calc'!$F$2:$F$3001,$N2459))</f>
        <v/>
      </c>
      <c r="I2459" s="27" t="str">
        <f>IF($N2459="","",INDEX('_calc'!$H$2:$H$3001,$N2459))</f>
        <v/>
      </c>
      <c r="J2459" s="27" t="str">
        <f>IF($N2459="","",INDEX('_calc'!$I$2:$I$3001,$N2459))</f>
        <v/>
      </c>
      <c r="K2459" s="28" t="str">
        <f>IF($N2459="","",IF(OR(I2459="",J2459=""),"",J2459-I2459))</f>
        <v/>
      </c>
      <c r="L2459" s="29" t="str">
        <f>IF($N2459="","",INDEX('_calc'!$J$2:$J$3001,$N2459))</f>
        <v/>
      </c>
      <c r="M2459" s="2" t="str">
        <f>IF($N2459="","",IF(AND(G2459=0,H2459=0),"수량 없음",IF(G2459=0,"신규 (전년 수량 없음)",IF(H2459=0,"당해 수량 없음",""))))</f>
        <v/>
      </c>
      <c r="N2459" t="str">
        <f>IF($B2459="","",MATCH($B2459,'_calc'!$L$2:$L$3001,0))</f>
        <v/>
      </c>
    </row>
    <row r="2460">
      <c r="B2460" s="24" t="str">
        <f>IF(ROW()-ROW($B$8)&gt;nComp,"",ROW()-ROW($B$8))</f>
        <v/>
      </c>
      <c r="C2460" t="str">
        <f>IF($N2460="","",INDEX('_calc'!$A$2:$A$3001,$N2460))</f>
        <v/>
      </c>
      <c r="D2460" s="25" t="str">
        <f>IF($N2460="","",INDEX('_calc'!$C$2:$C$3001,$N2460))</f>
        <v/>
      </c>
      <c r="E2460" s="25" t="str">
        <f>IF($N2460="","",INDEX('_calc'!$D$2:$D$3001,$N2460))</f>
        <v/>
      </c>
      <c r="F2460" s="26" t="str">
        <f>IF($N2460="","",IF($E$8=0,"",E2460/$E$8))</f>
        <v/>
      </c>
      <c r="G2460" s="25" t="str">
        <f>IF($N2460="","",INDEX('_calc'!$E$2:$E$3001,$N2460))</f>
        <v/>
      </c>
      <c r="H2460" s="25" t="str">
        <f>IF($N2460="","",INDEX('_calc'!$F$2:$F$3001,$N2460))</f>
        <v/>
      </c>
      <c r="I2460" s="27" t="str">
        <f>IF($N2460="","",INDEX('_calc'!$H$2:$H$3001,$N2460))</f>
        <v/>
      </c>
      <c r="J2460" s="27" t="str">
        <f>IF($N2460="","",INDEX('_calc'!$I$2:$I$3001,$N2460))</f>
        <v/>
      </c>
      <c r="K2460" s="28" t="str">
        <f>IF($N2460="","",IF(OR(I2460="",J2460=""),"",J2460-I2460))</f>
        <v/>
      </c>
      <c r="L2460" s="29" t="str">
        <f>IF($N2460="","",INDEX('_calc'!$J$2:$J$3001,$N2460))</f>
        <v/>
      </c>
      <c r="M2460" s="2" t="str">
        <f>IF($N2460="","",IF(AND(G2460=0,H2460=0),"수량 없음",IF(G2460=0,"신규 (전년 수량 없음)",IF(H2460=0,"당해 수량 없음",""))))</f>
        <v/>
      </c>
      <c r="N2460" t="str">
        <f>IF($B2460="","",MATCH($B2460,'_calc'!$L$2:$L$3001,0))</f>
        <v/>
      </c>
    </row>
    <row r="2461">
      <c r="B2461" s="24" t="str">
        <f>IF(ROW()-ROW($B$8)&gt;nComp,"",ROW()-ROW($B$8))</f>
        <v/>
      </c>
      <c r="C2461" t="str">
        <f>IF($N2461="","",INDEX('_calc'!$A$2:$A$3001,$N2461))</f>
        <v/>
      </c>
      <c r="D2461" s="25" t="str">
        <f>IF($N2461="","",INDEX('_calc'!$C$2:$C$3001,$N2461))</f>
        <v/>
      </c>
      <c r="E2461" s="25" t="str">
        <f>IF($N2461="","",INDEX('_calc'!$D$2:$D$3001,$N2461))</f>
        <v/>
      </c>
      <c r="F2461" s="26" t="str">
        <f>IF($N2461="","",IF($E$8=0,"",E2461/$E$8))</f>
        <v/>
      </c>
      <c r="G2461" s="25" t="str">
        <f>IF($N2461="","",INDEX('_calc'!$E$2:$E$3001,$N2461))</f>
        <v/>
      </c>
      <c r="H2461" s="25" t="str">
        <f>IF($N2461="","",INDEX('_calc'!$F$2:$F$3001,$N2461))</f>
        <v/>
      </c>
      <c r="I2461" s="27" t="str">
        <f>IF($N2461="","",INDEX('_calc'!$H$2:$H$3001,$N2461))</f>
        <v/>
      </c>
      <c r="J2461" s="27" t="str">
        <f>IF($N2461="","",INDEX('_calc'!$I$2:$I$3001,$N2461))</f>
        <v/>
      </c>
      <c r="K2461" s="28" t="str">
        <f>IF($N2461="","",IF(OR(I2461="",J2461=""),"",J2461-I2461))</f>
        <v/>
      </c>
      <c r="L2461" s="29" t="str">
        <f>IF($N2461="","",INDEX('_calc'!$J$2:$J$3001,$N2461))</f>
        <v/>
      </c>
      <c r="M2461" s="2" t="str">
        <f>IF($N2461="","",IF(AND(G2461=0,H2461=0),"수량 없음",IF(G2461=0,"신규 (전년 수량 없음)",IF(H2461=0,"당해 수량 없음",""))))</f>
        <v/>
      </c>
      <c r="N2461" t="str">
        <f>IF($B2461="","",MATCH($B2461,'_calc'!$L$2:$L$3001,0))</f>
        <v/>
      </c>
    </row>
    <row r="2462">
      <c r="B2462" s="24" t="str">
        <f>IF(ROW()-ROW($B$8)&gt;nComp,"",ROW()-ROW($B$8))</f>
        <v/>
      </c>
      <c r="C2462" t="str">
        <f>IF($N2462="","",INDEX('_calc'!$A$2:$A$3001,$N2462))</f>
        <v/>
      </c>
      <c r="D2462" s="25" t="str">
        <f>IF($N2462="","",INDEX('_calc'!$C$2:$C$3001,$N2462))</f>
        <v/>
      </c>
      <c r="E2462" s="25" t="str">
        <f>IF($N2462="","",INDEX('_calc'!$D$2:$D$3001,$N2462))</f>
        <v/>
      </c>
      <c r="F2462" s="26" t="str">
        <f>IF($N2462="","",IF($E$8=0,"",E2462/$E$8))</f>
        <v/>
      </c>
      <c r="G2462" s="25" t="str">
        <f>IF($N2462="","",INDEX('_calc'!$E$2:$E$3001,$N2462))</f>
        <v/>
      </c>
      <c r="H2462" s="25" t="str">
        <f>IF($N2462="","",INDEX('_calc'!$F$2:$F$3001,$N2462))</f>
        <v/>
      </c>
      <c r="I2462" s="27" t="str">
        <f>IF($N2462="","",INDEX('_calc'!$H$2:$H$3001,$N2462))</f>
        <v/>
      </c>
      <c r="J2462" s="27" t="str">
        <f>IF($N2462="","",INDEX('_calc'!$I$2:$I$3001,$N2462))</f>
        <v/>
      </c>
      <c r="K2462" s="28" t="str">
        <f>IF($N2462="","",IF(OR(I2462="",J2462=""),"",J2462-I2462))</f>
        <v/>
      </c>
      <c r="L2462" s="29" t="str">
        <f>IF($N2462="","",INDEX('_calc'!$J$2:$J$3001,$N2462))</f>
        <v/>
      </c>
      <c r="M2462" s="2" t="str">
        <f>IF($N2462="","",IF(AND(G2462=0,H2462=0),"수량 없음",IF(G2462=0,"신규 (전년 수량 없음)",IF(H2462=0,"당해 수량 없음",""))))</f>
        <v/>
      </c>
      <c r="N2462" t="str">
        <f>IF($B2462="","",MATCH($B2462,'_calc'!$L$2:$L$3001,0))</f>
        <v/>
      </c>
    </row>
    <row r="2463">
      <c r="B2463" s="24" t="str">
        <f>IF(ROW()-ROW($B$8)&gt;nComp,"",ROW()-ROW($B$8))</f>
        <v/>
      </c>
      <c r="C2463" t="str">
        <f>IF($N2463="","",INDEX('_calc'!$A$2:$A$3001,$N2463))</f>
        <v/>
      </c>
      <c r="D2463" s="25" t="str">
        <f>IF($N2463="","",INDEX('_calc'!$C$2:$C$3001,$N2463))</f>
        <v/>
      </c>
      <c r="E2463" s="25" t="str">
        <f>IF($N2463="","",INDEX('_calc'!$D$2:$D$3001,$N2463))</f>
        <v/>
      </c>
      <c r="F2463" s="26" t="str">
        <f>IF($N2463="","",IF($E$8=0,"",E2463/$E$8))</f>
        <v/>
      </c>
      <c r="G2463" s="25" t="str">
        <f>IF($N2463="","",INDEX('_calc'!$E$2:$E$3001,$N2463))</f>
        <v/>
      </c>
      <c r="H2463" s="25" t="str">
        <f>IF($N2463="","",INDEX('_calc'!$F$2:$F$3001,$N2463))</f>
        <v/>
      </c>
      <c r="I2463" s="27" t="str">
        <f>IF($N2463="","",INDEX('_calc'!$H$2:$H$3001,$N2463))</f>
        <v/>
      </c>
      <c r="J2463" s="27" t="str">
        <f>IF($N2463="","",INDEX('_calc'!$I$2:$I$3001,$N2463))</f>
        <v/>
      </c>
      <c r="K2463" s="28" t="str">
        <f>IF($N2463="","",IF(OR(I2463="",J2463=""),"",J2463-I2463))</f>
        <v/>
      </c>
      <c r="L2463" s="29" t="str">
        <f>IF($N2463="","",INDEX('_calc'!$J$2:$J$3001,$N2463))</f>
        <v/>
      </c>
      <c r="M2463" s="2" t="str">
        <f>IF($N2463="","",IF(AND(G2463=0,H2463=0),"수량 없음",IF(G2463=0,"신규 (전년 수량 없음)",IF(H2463=0,"당해 수량 없음",""))))</f>
        <v/>
      </c>
      <c r="N2463" t="str">
        <f>IF($B2463="","",MATCH($B2463,'_calc'!$L$2:$L$3001,0))</f>
        <v/>
      </c>
    </row>
    <row r="2464">
      <c r="B2464" s="24" t="str">
        <f>IF(ROW()-ROW($B$8)&gt;nComp,"",ROW()-ROW($B$8))</f>
        <v/>
      </c>
      <c r="C2464" t="str">
        <f>IF($N2464="","",INDEX('_calc'!$A$2:$A$3001,$N2464))</f>
        <v/>
      </c>
      <c r="D2464" s="25" t="str">
        <f>IF($N2464="","",INDEX('_calc'!$C$2:$C$3001,$N2464))</f>
        <v/>
      </c>
      <c r="E2464" s="25" t="str">
        <f>IF($N2464="","",INDEX('_calc'!$D$2:$D$3001,$N2464))</f>
        <v/>
      </c>
      <c r="F2464" s="26" t="str">
        <f>IF($N2464="","",IF($E$8=0,"",E2464/$E$8))</f>
        <v/>
      </c>
      <c r="G2464" s="25" t="str">
        <f>IF($N2464="","",INDEX('_calc'!$E$2:$E$3001,$N2464))</f>
        <v/>
      </c>
      <c r="H2464" s="25" t="str">
        <f>IF($N2464="","",INDEX('_calc'!$F$2:$F$3001,$N2464))</f>
        <v/>
      </c>
      <c r="I2464" s="27" t="str">
        <f>IF($N2464="","",INDEX('_calc'!$H$2:$H$3001,$N2464))</f>
        <v/>
      </c>
      <c r="J2464" s="27" t="str">
        <f>IF($N2464="","",INDEX('_calc'!$I$2:$I$3001,$N2464))</f>
        <v/>
      </c>
      <c r="K2464" s="28" t="str">
        <f>IF($N2464="","",IF(OR(I2464="",J2464=""),"",J2464-I2464))</f>
        <v/>
      </c>
      <c r="L2464" s="29" t="str">
        <f>IF($N2464="","",INDEX('_calc'!$J$2:$J$3001,$N2464))</f>
        <v/>
      </c>
      <c r="M2464" s="2" t="str">
        <f>IF($N2464="","",IF(AND(G2464=0,H2464=0),"수량 없음",IF(G2464=0,"신규 (전년 수량 없음)",IF(H2464=0,"당해 수량 없음",""))))</f>
        <v/>
      </c>
      <c r="N2464" t="str">
        <f>IF($B2464="","",MATCH($B2464,'_calc'!$L$2:$L$3001,0))</f>
        <v/>
      </c>
    </row>
    <row r="2465">
      <c r="B2465" s="24" t="str">
        <f>IF(ROW()-ROW($B$8)&gt;nComp,"",ROW()-ROW($B$8))</f>
        <v/>
      </c>
      <c r="C2465" t="str">
        <f>IF($N2465="","",INDEX('_calc'!$A$2:$A$3001,$N2465))</f>
        <v/>
      </c>
      <c r="D2465" s="25" t="str">
        <f>IF($N2465="","",INDEX('_calc'!$C$2:$C$3001,$N2465))</f>
        <v/>
      </c>
      <c r="E2465" s="25" t="str">
        <f>IF($N2465="","",INDEX('_calc'!$D$2:$D$3001,$N2465))</f>
        <v/>
      </c>
      <c r="F2465" s="26" t="str">
        <f>IF($N2465="","",IF($E$8=0,"",E2465/$E$8))</f>
        <v/>
      </c>
      <c r="G2465" s="25" t="str">
        <f>IF($N2465="","",INDEX('_calc'!$E$2:$E$3001,$N2465))</f>
        <v/>
      </c>
      <c r="H2465" s="25" t="str">
        <f>IF($N2465="","",INDEX('_calc'!$F$2:$F$3001,$N2465))</f>
        <v/>
      </c>
      <c r="I2465" s="27" t="str">
        <f>IF($N2465="","",INDEX('_calc'!$H$2:$H$3001,$N2465))</f>
        <v/>
      </c>
      <c r="J2465" s="27" t="str">
        <f>IF($N2465="","",INDEX('_calc'!$I$2:$I$3001,$N2465))</f>
        <v/>
      </c>
      <c r="K2465" s="28" t="str">
        <f>IF($N2465="","",IF(OR(I2465="",J2465=""),"",J2465-I2465))</f>
        <v/>
      </c>
      <c r="L2465" s="29" t="str">
        <f>IF($N2465="","",INDEX('_calc'!$J$2:$J$3001,$N2465))</f>
        <v/>
      </c>
      <c r="M2465" s="2" t="str">
        <f>IF($N2465="","",IF(AND(G2465=0,H2465=0),"수량 없음",IF(G2465=0,"신규 (전년 수량 없음)",IF(H2465=0,"당해 수량 없음",""))))</f>
        <v/>
      </c>
      <c r="N2465" t="str">
        <f>IF($B2465="","",MATCH($B2465,'_calc'!$L$2:$L$3001,0))</f>
        <v/>
      </c>
    </row>
    <row r="2466">
      <c r="B2466" s="24" t="str">
        <f>IF(ROW()-ROW($B$8)&gt;nComp,"",ROW()-ROW($B$8))</f>
        <v/>
      </c>
      <c r="C2466" t="str">
        <f>IF($N2466="","",INDEX('_calc'!$A$2:$A$3001,$N2466))</f>
        <v/>
      </c>
      <c r="D2466" s="25" t="str">
        <f>IF($N2466="","",INDEX('_calc'!$C$2:$C$3001,$N2466))</f>
        <v/>
      </c>
      <c r="E2466" s="25" t="str">
        <f>IF($N2466="","",INDEX('_calc'!$D$2:$D$3001,$N2466))</f>
        <v/>
      </c>
      <c r="F2466" s="26" t="str">
        <f>IF($N2466="","",IF($E$8=0,"",E2466/$E$8))</f>
        <v/>
      </c>
      <c r="G2466" s="25" t="str">
        <f>IF($N2466="","",INDEX('_calc'!$E$2:$E$3001,$N2466))</f>
        <v/>
      </c>
      <c r="H2466" s="25" t="str">
        <f>IF($N2466="","",INDEX('_calc'!$F$2:$F$3001,$N2466))</f>
        <v/>
      </c>
      <c r="I2466" s="27" t="str">
        <f>IF($N2466="","",INDEX('_calc'!$H$2:$H$3001,$N2466))</f>
        <v/>
      </c>
      <c r="J2466" s="27" t="str">
        <f>IF($N2466="","",INDEX('_calc'!$I$2:$I$3001,$N2466))</f>
        <v/>
      </c>
      <c r="K2466" s="28" t="str">
        <f>IF($N2466="","",IF(OR(I2466="",J2466=""),"",J2466-I2466))</f>
        <v/>
      </c>
      <c r="L2466" s="29" t="str">
        <f>IF($N2466="","",INDEX('_calc'!$J$2:$J$3001,$N2466))</f>
        <v/>
      </c>
      <c r="M2466" s="2" t="str">
        <f>IF($N2466="","",IF(AND(G2466=0,H2466=0),"수량 없음",IF(G2466=0,"신규 (전년 수량 없음)",IF(H2466=0,"당해 수량 없음",""))))</f>
        <v/>
      </c>
      <c r="N2466" t="str">
        <f>IF($B2466="","",MATCH($B2466,'_calc'!$L$2:$L$3001,0))</f>
        <v/>
      </c>
    </row>
    <row r="2467">
      <c r="B2467" s="24" t="str">
        <f>IF(ROW()-ROW($B$8)&gt;nComp,"",ROW()-ROW($B$8))</f>
        <v/>
      </c>
      <c r="C2467" t="str">
        <f>IF($N2467="","",INDEX('_calc'!$A$2:$A$3001,$N2467))</f>
        <v/>
      </c>
      <c r="D2467" s="25" t="str">
        <f>IF($N2467="","",INDEX('_calc'!$C$2:$C$3001,$N2467))</f>
        <v/>
      </c>
      <c r="E2467" s="25" t="str">
        <f>IF($N2467="","",INDEX('_calc'!$D$2:$D$3001,$N2467))</f>
        <v/>
      </c>
      <c r="F2467" s="26" t="str">
        <f>IF($N2467="","",IF($E$8=0,"",E2467/$E$8))</f>
        <v/>
      </c>
      <c r="G2467" s="25" t="str">
        <f>IF($N2467="","",INDEX('_calc'!$E$2:$E$3001,$N2467))</f>
        <v/>
      </c>
      <c r="H2467" s="25" t="str">
        <f>IF($N2467="","",INDEX('_calc'!$F$2:$F$3001,$N2467))</f>
        <v/>
      </c>
      <c r="I2467" s="27" t="str">
        <f>IF($N2467="","",INDEX('_calc'!$H$2:$H$3001,$N2467))</f>
        <v/>
      </c>
      <c r="J2467" s="27" t="str">
        <f>IF($N2467="","",INDEX('_calc'!$I$2:$I$3001,$N2467))</f>
        <v/>
      </c>
      <c r="K2467" s="28" t="str">
        <f>IF($N2467="","",IF(OR(I2467="",J2467=""),"",J2467-I2467))</f>
        <v/>
      </c>
      <c r="L2467" s="29" t="str">
        <f>IF($N2467="","",INDEX('_calc'!$J$2:$J$3001,$N2467))</f>
        <v/>
      </c>
      <c r="M2467" s="2" t="str">
        <f>IF($N2467="","",IF(AND(G2467=0,H2467=0),"수량 없음",IF(G2467=0,"신규 (전년 수량 없음)",IF(H2467=0,"당해 수량 없음",""))))</f>
        <v/>
      </c>
      <c r="N2467" t="str">
        <f>IF($B2467="","",MATCH($B2467,'_calc'!$L$2:$L$3001,0))</f>
        <v/>
      </c>
    </row>
    <row r="2468">
      <c r="B2468" s="24" t="str">
        <f>IF(ROW()-ROW($B$8)&gt;nComp,"",ROW()-ROW($B$8))</f>
        <v/>
      </c>
      <c r="C2468" t="str">
        <f>IF($N2468="","",INDEX('_calc'!$A$2:$A$3001,$N2468))</f>
        <v/>
      </c>
      <c r="D2468" s="25" t="str">
        <f>IF($N2468="","",INDEX('_calc'!$C$2:$C$3001,$N2468))</f>
        <v/>
      </c>
      <c r="E2468" s="25" t="str">
        <f>IF($N2468="","",INDEX('_calc'!$D$2:$D$3001,$N2468))</f>
        <v/>
      </c>
      <c r="F2468" s="26" t="str">
        <f>IF($N2468="","",IF($E$8=0,"",E2468/$E$8))</f>
        <v/>
      </c>
      <c r="G2468" s="25" t="str">
        <f>IF($N2468="","",INDEX('_calc'!$E$2:$E$3001,$N2468))</f>
        <v/>
      </c>
      <c r="H2468" s="25" t="str">
        <f>IF($N2468="","",INDEX('_calc'!$F$2:$F$3001,$N2468))</f>
        <v/>
      </c>
      <c r="I2468" s="27" t="str">
        <f>IF($N2468="","",INDEX('_calc'!$H$2:$H$3001,$N2468))</f>
        <v/>
      </c>
      <c r="J2468" s="27" t="str">
        <f>IF($N2468="","",INDEX('_calc'!$I$2:$I$3001,$N2468))</f>
        <v/>
      </c>
      <c r="K2468" s="28" t="str">
        <f>IF($N2468="","",IF(OR(I2468="",J2468=""),"",J2468-I2468))</f>
        <v/>
      </c>
      <c r="L2468" s="29" t="str">
        <f>IF($N2468="","",INDEX('_calc'!$J$2:$J$3001,$N2468))</f>
        <v/>
      </c>
      <c r="M2468" s="2" t="str">
        <f>IF($N2468="","",IF(AND(G2468=0,H2468=0),"수량 없음",IF(G2468=0,"신규 (전년 수량 없음)",IF(H2468=0,"당해 수량 없음",""))))</f>
        <v/>
      </c>
      <c r="N2468" t="str">
        <f>IF($B2468="","",MATCH($B2468,'_calc'!$L$2:$L$3001,0))</f>
        <v/>
      </c>
    </row>
    <row r="2469">
      <c r="B2469" s="24" t="str">
        <f>IF(ROW()-ROW($B$8)&gt;nComp,"",ROW()-ROW($B$8))</f>
        <v/>
      </c>
      <c r="C2469" t="str">
        <f>IF($N2469="","",INDEX('_calc'!$A$2:$A$3001,$N2469))</f>
        <v/>
      </c>
      <c r="D2469" s="25" t="str">
        <f>IF($N2469="","",INDEX('_calc'!$C$2:$C$3001,$N2469))</f>
        <v/>
      </c>
      <c r="E2469" s="25" t="str">
        <f>IF($N2469="","",INDEX('_calc'!$D$2:$D$3001,$N2469))</f>
        <v/>
      </c>
      <c r="F2469" s="26" t="str">
        <f>IF($N2469="","",IF($E$8=0,"",E2469/$E$8))</f>
        <v/>
      </c>
      <c r="G2469" s="25" t="str">
        <f>IF($N2469="","",INDEX('_calc'!$E$2:$E$3001,$N2469))</f>
        <v/>
      </c>
      <c r="H2469" s="25" t="str">
        <f>IF($N2469="","",INDEX('_calc'!$F$2:$F$3001,$N2469))</f>
        <v/>
      </c>
      <c r="I2469" s="27" t="str">
        <f>IF($N2469="","",INDEX('_calc'!$H$2:$H$3001,$N2469))</f>
        <v/>
      </c>
      <c r="J2469" s="27" t="str">
        <f>IF($N2469="","",INDEX('_calc'!$I$2:$I$3001,$N2469))</f>
        <v/>
      </c>
      <c r="K2469" s="28" t="str">
        <f>IF($N2469="","",IF(OR(I2469="",J2469=""),"",J2469-I2469))</f>
        <v/>
      </c>
      <c r="L2469" s="29" t="str">
        <f>IF($N2469="","",INDEX('_calc'!$J$2:$J$3001,$N2469))</f>
        <v/>
      </c>
      <c r="M2469" s="2" t="str">
        <f>IF($N2469="","",IF(AND(G2469=0,H2469=0),"수량 없음",IF(G2469=0,"신규 (전년 수량 없음)",IF(H2469=0,"당해 수량 없음",""))))</f>
        <v/>
      </c>
      <c r="N2469" t="str">
        <f>IF($B2469="","",MATCH($B2469,'_calc'!$L$2:$L$3001,0))</f>
        <v/>
      </c>
    </row>
    <row r="2470">
      <c r="B2470" s="24" t="str">
        <f>IF(ROW()-ROW($B$8)&gt;nComp,"",ROW()-ROW($B$8))</f>
        <v/>
      </c>
      <c r="C2470" t="str">
        <f>IF($N2470="","",INDEX('_calc'!$A$2:$A$3001,$N2470))</f>
        <v/>
      </c>
      <c r="D2470" s="25" t="str">
        <f>IF($N2470="","",INDEX('_calc'!$C$2:$C$3001,$N2470))</f>
        <v/>
      </c>
      <c r="E2470" s="25" t="str">
        <f>IF($N2470="","",INDEX('_calc'!$D$2:$D$3001,$N2470))</f>
        <v/>
      </c>
      <c r="F2470" s="26" t="str">
        <f>IF($N2470="","",IF($E$8=0,"",E2470/$E$8))</f>
        <v/>
      </c>
      <c r="G2470" s="25" t="str">
        <f>IF($N2470="","",INDEX('_calc'!$E$2:$E$3001,$N2470))</f>
        <v/>
      </c>
      <c r="H2470" s="25" t="str">
        <f>IF($N2470="","",INDEX('_calc'!$F$2:$F$3001,$N2470))</f>
        <v/>
      </c>
      <c r="I2470" s="27" t="str">
        <f>IF($N2470="","",INDEX('_calc'!$H$2:$H$3001,$N2470))</f>
        <v/>
      </c>
      <c r="J2470" s="27" t="str">
        <f>IF($N2470="","",INDEX('_calc'!$I$2:$I$3001,$N2470))</f>
        <v/>
      </c>
      <c r="K2470" s="28" t="str">
        <f>IF($N2470="","",IF(OR(I2470="",J2470=""),"",J2470-I2470))</f>
        <v/>
      </c>
      <c r="L2470" s="29" t="str">
        <f>IF($N2470="","",INDEX('_calc'!$J$2:$J$3001,$N2470))</f>
        <v/>
      </c>
      <c r="M2470" s="2" t="str">
        <f>IF($N2470="","",IF(AND(G2470=0,H2470=0),"수량 없음",IF(G2470=0,"신규 (전년 수량 없음)",IF(H2470=0,"당해 수량 없음",""))))</f>
        <v/>
      </c>
      <c r="N2470" t="str">
        <f>IF($B2470="","",MATCH($B2470,'_calc'!$L$2:$L$3001,0))</f>
        <v/>
      </c>
    </row>
    <row r="2471">
      <c r="B2471" s="24" t="str">
        <f>IF(ROW()-ROW($B$8)&gt;nComp,"",ROW()-ROW($B$8))</f>
        <v/>
      </c>
      <c r="C2471" t="str">
        <f>IF($N2471="","",INDEX('_calc'!$A$2:$A$3001,$N2471))</f>
        <v/>
      </c>
      <c r="D2471" s="25" t="str">
        <f>IF($N2471="","",INDEX('_calc'!$C$2:$C$3001,$N2471))</f>
        <v/>
      </c>
      <c r="E2471" s="25" t="str">
        <f>IF($N2471="","",INDEX('_calc'!$D$2:$D$3001,$N2471))</f>
        <v/>
      </c>
      <c r="F2471" s="26" t="str">
        <f>IF($N2471="","",IF($E$8=0,"",E2471/$E$8))</f>
        <v/>
      </c>
      <c r="G2471" s="25" t="str">
        <f>IF($N2471="","",INDEX('_calc'!$E$2:$E$3001,$N2471))</f>
        <v/>
      </c>
      <c r="H2471" s="25" t="str">
        <f>IF($N2471="","",INDEX('_calc'!$F$2:$F$3001,$N2471))</f>
        <v/>
      </c>
      <c r="I2471" s="27" t="str">
        <f>IF($N2471="","",INDEX('_calc'!$H$2:$H$3001,$N2471))</f>
        <v/>
      </c>
      <c r="J2471" s="27" t="str">
        <f>IF($N2471="","",INDEX('_calc'!$I$2:$I$3001,$N2471))</f>
        <v/>
      </c>
      <c r="K2471" s="28" t="str">
        <f>IF($N2471="","",IF(OR(I2471="",J2471=""),"",J2471-I2471))</f>
        <v/>
      </c>
      <c r="L2471" s="29" t="str">
        <f>IF($N2471="","",INDEX('_calc'!$J$2:$J$3001,$N2471))</f>
        <v/>
      </c>
      <c r="M2471" s="2" t="str">
        <f>IF($N2471="","",IF(AND(G2471=0,H2471=0),"수량 없음",IF(G2471=0,"신규 (전년 수량 없음)",IF(H2471=0,"당해 수량 없음",""))))</f>
        <v/>
      </c>
      <c r="N2471" t="str">
        <f>IF($B2471="","",MATCH($B2471,'_calc'!$L$2:$L$3001,0))</f>
        <v/>
      </c>
    </row>
    <row r="2472">
      <c r="B2472" s="24" t="str">
        <f>IF(ROW()-ROW($B$8)&gt;nComp,"",ROW()-ROW($B$8))</f>
        <v/>
      </c>
      <c r="C2472" t="str">
        <f>IF($N2472="","",INDEX('_calc'!$A$2:$A$3001,$N2472))</f>
        <v/>
      </c>
      <c r="D2472" s="25" t="str">
        <f>IF($N2472="","",INDEX('_calc'!$C$2:$C$3001,$N2472))</f>
        <v/>
      </c>
      <c r="E2472" s="25" t="str">
        <f>IF($N2472="","",INDEX('_calc'!$D$2:$D$3001,$N2472))</f>
        <v/>
      </c>
      <c r="F2472" s="26" t="str">
        <f>IF($N2472="","",IF($E$8=0,"",E2472/$E$8))</f>
        <v/>
      </c>
      <c r="G2472" s="25" t="str">
        <f>IF($N2472="","",INDEX('_calc'!$E$2:$E$3001,$N2472))</f>
        <v/>
      </c>
      <c r="H2472" s="25" t="str">
        <f>IF($N2472="","",INDEX('_calc'!$F$2:$F$3001,$N2472))</f>
        <v/>
      </c>
      <c r="I2472" s="27" t="str">
        <f>IF($N2472="","",INDEX('_calc'!$H$2:$H$3001,$N2472))</f>
        <v/>
      </c>
      <c r="J2472" s="27" t="str">
        <f>IF($N2472="","",INDEX('_calc'!$I$2:$I$3001,$N2472))</f>
        <v/>
      </c>
      <c r="K2472" s="28" t="str">
        <f>IF($N2472="","",IF(OR(I2472="",J2472=""),"",J2472-I2472))</f>
        <v/>
      </c>
      <c r="L2472" s="29" t="str">
        <f>IF($N2472="","",INDEX('_calc'!$J$2:$J$3001,$N2472))</f>
        <v/>
      </c>
      <c r="M2472" s="2" t="str">
        <f>IF($N2472="","",IF(AND(G2472=0,H2472=0),"수량 없음",IF(G2472=0,"신규 (전년 수량 없음)",IF(H2472=0,"당해 수량 없음",""))))</f>
        <v/>
      </c>
      <c r="N2472" t="str">
        <f>IF($B2472="","",MATCH($B2472,'_calc'!$L$2:$L$3001,0))</f>
        <v/>
      </c>
    </row>
    <row r="2473">
      <c r="B2473" s="24" t="str">
        <f>IF(ROW()-ROW($B$8)&gt;nComp,"",ROW()-ROW($B$8))</f>
        <v/>
      </c>
      <c r="C2473" t="str">
        <f>IF($N2473="","",INDEX('_calc'!$A$2:$A$3001,$N2473))</f>
        <v/>
      </c>
      <c r="D2473" s="25" t="str">
        <f>IF($N2473="","",INDEX('_calc'!$C$2:$C$3001,$N2473))</f>
        <v/>
      </c>
      <c r="E2473" s="25" t="str">
        <f>IF($N2473="","",INDEX('_calc'!$D$2:$D$3001,$N2473))</f>
        <v/>
      </c>
      <c r="F2473" s="26" t="str">
        <f>IF($N2473="","",IF($E$8=0,"",E2473/$E$8))</f>
        <v/>
      </c>
      <c r="G2473" s="25" t="str">
        <f>IF($N2473="","",INDEX('_calc'!$E$2:$E$3001,$N2473))</f>
        <v/>
      </c>
      <c r="H2473" s="25" t="str">
        <f>IF($N2473="","",INDEX('_calc'!$F$2:$F$3001,$N2473))</f>
        <v/>
      </c>
      <c r="I2473" s="27" t="str">
        <f>IF($N2473="","",INDEX('_calc'!$H$2:$H$3001,$N2473))</f>
        <v/>
      </c>
      <c r="J2473" s="27" t="str">
        <f>IF($N2473="","",INDEX('_calc'!$I$2:$I$3001,$N2473))</f>
        <v/>
      </c>
      <c r="K2473" s="28" t="str">
        <f>IF($N2473="","",IF(OR(I2473="",J2473=""),"",J2473-I2473))</f>
        <v/>
      </c>
      <c r="L2473" s="29" t="str">
        <f>IF($N2473="","",INDEX('_calc'!$J$2:$J$3001,$N2473))</f>
        <v/>
      </c>
      <c r="M2473" s="2" t="str">
        <f>IF($N2473="","",IF(AND(G2473=0,H2473=0),"수량 없음",IF(G2473=0,"신규 (전년 수량 없음)",IF(H2473=0,"당해 수량 없음",""))))</f>
        <v/>
      </c>
      <c r="N2473" t="str">
        <f>IF($B2473="","",MATCH($B2473,'_calc'!$L$2:$L$3001,0))</f>
        <v/>
      </c>
    </row>
    <row r="2474">
      <c r="B2474" s="24" t="str">
        <f>IF(ROW()-ROW($B$8)&gt;nComp,"",ROW()-ROW($B$8))</f>
        <v/>
      </c>
      <c r="C2474" t="str">
        <f>IF($N2474="","",INDEX('_calc'!$A$2:$A$3001,$N2474))</f>
        <v/>
      </c>
      <c r="D2474" s="25" t="str">
        <f>IF($N2474="","",INDEX('_calc'!$C$2:$C$3001,$N2474))</f>
        <v/>
      </c>
      <c r="E2474" s="25" t="str">
        <f>IF($N2474="","",INDEX('_calc'!$D$2:$D$3001,$N2474))</f>
        <v/>
      </c>
      <c r="F2474" s="26" t="str">
        <f>IF($N2474="","",IF($E$8=0,"",E2474/$E$8))</f>
        <v/>
      </c>
      <c r="G2474" s="25" t="str">
        <f>IF($N2474="","",INDEX('_calc'!$E$2:$E$3001,$N2474))</f>
        <v/>
      </c>
      <c r="H2474" s="25" t="str">
        <f>IF($N2474="","",INDEX('_calc'!$F$2:$F$3001,$N2474))</f>
        <v/>
      </c>
      <c r="I2474" s="27" t="str">
        <f>IF($N2474="","",INDEX('_calc'!$H$2:$H$3001,$N2474))</f>
        <v/>
      </c>
      <c r="J2474" s="27" t="str">
        <f>IF($N2474="","",INDEX('_calc'!$I$2:$I$3001,$N2474))</f>
        <v/>
      </c>
      <c r="K2474" s="28" t="str">
        <f>IF($N2474="","",IF(OR(I2474="",J2474=""),"",J2474-I2474))</f>
        <v/>
      </c>
      <c r="L2474" s="29" t="str">
        <f>IF($N2474="","",INDEX('_calc'!$J$2:$J$3001,$N2474))</f>
        <v/>
      </c>
      <c r="M2474" s="2" t="str">
        <f>IF($N2474="","",IF(AND(G2474=0,H2474=0),"수량 없음",IF(G2474=0,"신규 (전년 수량 없음)",IF(H2474=0,"당해 수량 없음",""))))</f>
        <v/>
      </c>
      <c r="N2474" t="str">
        <f>IF($B2474="","",MATCH($B2474,'_calc'!$L$2:$L$3001,0))</f>
        <v/>
      </c>
    </row>
    <row r="2475">
      <c r="B2475" s="24" t="str">
        <f>IF(ROW()-ROW($B$8)&gt;nComp,"",ROW()-ROW($B$8))</f>
        <v/>
      </c>
      <c r="C2475" t="str">
        <f>IF($N2475="","",INDEX('_calc'!$A$2:$A$3001,$N2475))</f>
        <v/>
      </c>
      <c r="D2475" s="25" t="str">
        <f>IF($N2475="","",INDEX('_calc'!$C$2:$C$3001,$N2475))</f>
        <v/>
      </c>
      <c r="E2475" s="25" t="str">
        <f>IF($N2475="","",INDEX('_calc'!$D$2:$D$3001,$N2475))</f>
        <v/>
      </c>
      <c r="F2475" s="26" t="str">
        <f>IF($N2475="","",IF($E$8=0,"",E2475/$E$8))</f>
        <v/>
      </c>
      <c r="G2475" s="25" t="str">
        <f>IF($N2475="","",INDEX('_calc'!$E$2:$E$3001,$N2475))</f>
        <v/>
      </c>
      <c r="H2475" s="25" t="str">
        <f>IF($N2475="","",INDEX('_calc'!$F$2:$F$3001,$N2475))</f>
        <v/>
      </c>
      <c r="I2475" s="27" t="str">
        <f>IF($N2475="","",INDEX('_calc'!$H$2:$H$3001,$N2475))</f>
        <v/>
      </c>
      <c r="J2475" s="27" t="str">
        <f>IF($N2475="","",INDEX('_calc'!$I$2:$I$3001,$N2475))</f>
        <v/>
      </c>
      <c r="K2475" s="28" t="str">
        <f>IF($N2475="","",IF(OR(I2475="",J2475=""),"",J2475-I2475))</f>
        <v/>
      </c>
      <c r="L2475" s="29" t="str">
        <f>IF($N2475="","",INDEX('_calc'!$J$2:$J$3001,$N2475))</f>
        <v/>
      </c>
      <c r="M2475" s="2" t="str">
        <f>IF($N2475="","",IF(AND(G2475=0,H2475=0),"수량 없음",IF(G2475=0,"신규 (전년 수량 없음)",IF(H2475=0,"당해 수량 없음",""))))</f>
        <v/>
      </c>
      <c r="N2475" t="str">
        <f>IF($B2475="","",MATCH($B2475,'_calc'!$L$2:$L$3001,0))</f>
        <v/>
      </c>
    </row>
    <row r="2476">
      <c r="B2476" s="24" t="str">
        <f>IF(ROW()-ROW($B$8)&gt;nComp,"",ROW()-ROW($B$8))</f>
        <v/>
      </c>
      <c r="C2476" t="str">
        <f>IF($N2476="","",INDEX('_calc'!$A$2:$A$3001,$N2476))</f>
        <v/>
      </c>
      <c r="D2476" s="25" t="str">
        <f>IF($N2476="","",INDEX('_calc'!$C$2:$C$3001,$N2476))</f>
        <v/>
      </c>
      <c r="E2476" s="25" t="str">
        <f>IF($N2476="","",INDEX('_calc'!$D$2:$D$3001,$N2476))</f>
        <v/>
      </c>
      <c r="F2476" s="26" t="str">
        <f>IF($N2476="","",IF($E$8=0,"",E2476/$E$8))</f>
        <v/>
      </c>
      <c r="G2476" s="25" t="str">
        <f>IF($N2476="","",INDEX('_calc'!$E$2:$E$3001,$N2476))</f>
        <v/>
      </c>
      <c r="H2476" s="25" t="str">
        <f>IF($N2476="","",INDEX('_calc'!$F$2:$F$3001,$N2476))</f>
        <v/>
      </c>
      <c r="I2476" s="27" t="str">
        <f>IF($N2476="","",INDEX('_calc'!$H$2:$H$3001,$N2476))</f>
        <v/>
      </c>
      <c r="J2476" s="27" t="str">
        <f>IF($N2476="","",INDEX('_calc'!$I$2:$I$3001,$N2476))</f>
        <v/>
      </c>
      <c r="K2476" s="28" t="str">
        <f>IF($N2476="","",IF(OR(I2476="",J2476=""),"",J2476-I2476))</f>
        <v/>
      </c>
      <c r="L2476" s="29" t="str">
        <f>IF($N2476="","",INDEX('_calc'!$J$2:$J$3001,$N2476))</f>
        <v/>
      </c>
      <c r="M2476" s="2" t="str">
        <f>IF($N2476="","",IF(AND(G2476=0,H2476=0),"수량 없음",IF(G2476=0,"신규 (전년 수량 없음)",IF(H2476=0,"당해 수량 없음",""))))</f>
        <v/>
      </c>
      <c r="N2476" t="str">
        <f>IF($B2476="","",MATCH($B2476,'_calc'!$L$2:$L$3001,0))</f>
        <v/>
      </c>
    </row>
    <row r="2477">
      <c r="B2477" s="24" t="str">
        <f>IF(ROW()-ROW($B$8)&gt;nComp,"",ROW()-ROW($B$8))</f>
        <v/>
      </c>
      <c r="C2477" t="str">
        <f>IF($N2477="","",INDEX('_calc'!$A$2:$A$3001,$N2477))</f>
        <v/>
      </c>
      <c r="D2477" s="25" t="str">
        <f>IF($N2477="","",INDEX('_calc'!$C$2:$C$3001,$N2477))</f>
        <v/>
      </c>
      <c r="E2477" s="25" t="str">
        <f>IF($N2477="","",INDEX('_calc'!$D$2:$D$3001,$N2477))</f>
        <v/>
      </c>
      <c r="F2477" s="26" t="str">
        <f>IF($N2477="","",IF($E$8=0,"",E2477/$E$8))</f>
        <v/>
      </c>
      <c r="G2477" s="25" t="str">
        <f>IF($N2477="","",INDEX('_calc'!$E$2:$E$3001,$N2477))</f>
        <v/>
      </c>
      <c r="H2477" s="25" t="str">
        <f>IF($N2477="","",INDEX('_calc'!$F$2:$F$3001,$N2477))</f>
        <v/>
      </c>
      <c r="I2477" s="27" t="str">
        <f>IF($N2477="","",INDEX('_calc'!$H$2:$H$3001,$N2477))</f>
        <v/>
      </c>
      <c r="J2477" s="27" t="str">
        <f>IF($N2477="","",INDEX('_calc'!$I$2:$I$3001,$N2477))</f>
        <v/>
      </c>
      <c r="K2477" s="28" t="str">
        <f>IF($N2477="","",IF(OR(I2477="",J2477=""),"",J2477-I2477))</f>
        <v/>
      </c>
      <c r="L2477" s="29" t="str">
        <f>IF($N2477="","",INDEX('_calc'!$J$2:$J$3001,$N2477))</f>
        <v/>
      </c>
      <c r="M2477" s="2" t="str">
        <f>IF($N2477="","",IF(AND(G2477=0,H2477=0),"수량 없음",IF(G2477=0,"신규 (전년 수량 없음)",IF(H2477=0,"당해 수량 없음",""))))</f>
        <v/>
      </c>
      <c r="N2477" t="str">
        <f>IF($B2477="","",MATCH($B2477,'_calc'!$L$2:$L$3001,0))</f>
        <v/>
      </c>
    </row>
    <row r="2478">
      <c r="B2478" s="24" t="str">
        <f>IF(ROW()-ROW($B$8)&gt;nComp,"",ROW()-ROW($B$8))</f>
        <v/>
      </c>
      <c r="C2478" t="str">
        <f>IF($N2478="","",INDEX('_calc'!$A$2:$A$3001,$N2478))</f>
        <v/>
      </c>
      <c r="D2478" s="25" t="str">
        <f>IF($N2478="","",INDEX('_calc'!$C$2:$C$3001,$N2478))</f>
        <v/>
      </c>
      <c r="E2478" s="25" t="str">
        <f>IF($N2478="","",INDEX('_calc'!$D$2:$D$3001,$N2478))</f>
        <v/>
      </c>
      <c r="F2478" s="26" t="str">
        <f>IF($N2478="","",IF($E$8=0,"",E2478/$E$8))</f>
        <v/>
      </c>
      <c r="G2478" s="25" t="str">
        <f>IF($N2478="","",INDEX('_calc'!$E$2:$E$3001,$N2478))</f>
        <v/>
      </c>
      <c r="H2478" s="25" t="str">
        <f>IF($N2478="","",INDEX('_calc'!$F$2:$F$3001,$N2478))</f>
        <v/>
      </c>
      <c r="I2478" s="27" t="str">
        <f>IF($N2478="","",INDEX('_calc'!$H$2:$H$3001,$N2478))</f>
        <v/>
      </c>
      <c r="J2478" s="27" t="str">
        <f>IF($N2478="","",INDEX('_calc'!$I$2:$I$3001,$N2478))</f>
        <v/>
      </c>
      <c r="K2478" s="28" t="str">
        <f>IF($N2478="","",IF(OR(I2478="",J2478=""),"",J2478-I2478))</f>
        <v/>
      </c>
      <c r="L2478" s="29" t="str">
        <f>IF($N2478="","",INDEX('_calc'!$J$2:$J$3001,$N2478))</f>
        <v/>
      </c>
      <c r="M2478" s="2" t="str">
        <f>IF($N2478="","",IF(AND(G2478=0,H2478=0),"수량 없음",IF(G2478=0,"신규 (전년 수량 없음)",IF(H2478=0,"당해 수량 없음",""))))</f>
        <v/>
      </c>
      <c r="N2478" t="str">
        <f>IF($B2478="","",MATCH($B2478,'_calc'!$L$2:$L$3001,0))</f>
        <v/>
      </c>
    </row>
    <row r="2479">
      <c r="B2479" s="24" t="str">
        <f>IF(ROW()-ROW($B$8)&gt;nComp,"",ROW()-ROW($B$8))</f>
        <v/>
      </c>
      <c r="C2479" t="str">
        <f>IF($N2479="","",INDEX('_calc'!$A$2:$A$3001,$N2479))</f>
        <v/>
      </c>
      <c r="D2479" s="25" t="str">
        <f>IF($N2479="","",INDEX('_calc'!$C$2:$C$3001,$N2479))</f>
        <v/>
      </c>
      <c r="E2479" s="25" t="str">
        <f>IF($N2479="","",INDEX('_calc'!$D$2:$D$3001,$N2479))</f>
        <v/>
      </c>
      <c r="F2479" s="26" t="str">
        <f>IF($N2479="","",IF($E$8=0,"",E2479/$E$8))</f>
        <v/>
      </c>
      <c r="G2479" s="25" t="str">
        <f>IF($N2479="","",INDEX('_calc'!$E$2:$E$3001,$N2479))</f>
        <v/>
      </c>
      <c r="H2479" s="25" t="str">
        <f>IF($N2479="","",INDEX('_calc'!$F$2:$F$3001,$N2479))</f>
        <v/>
      </c>
      <c r="I2479" s="27" t="str">
        <f>IF($N2479="","",INDEX('_calc'!$H$2:$H$3001,$N2479))</f>
        <v/>
      </c>
      <c r="J2479" s="27" t="str">
        <f>IF($N2479="","",INDEX('_calc'!$I$2:$I$3001,$N2479))</f>
        <v/>
      </c>
      <c r="K2479" s="28" t="str">
        <f>IF($N2479="","",IF(OR(I2479="",J2479=""),"",J2479-I2479))</f>
        <v/>
      </c>
      <c r="L2479" s="29" t="str">
        <f>IF($N2479="","",INDEX('_calc'!$J$2:$J$3001,$N2479))</f>
        <v/>
      </c>
      <c r="M2479" s="2" t="str">
        <f>IF($N2479="","",IF(AND(G2479=0,H2479=0),"수량 없음",IF(G2479=0,"신규 (전년 수량 없음)",IF(H2479=0,"당해 수량 없음",""))))</f>
        <v/>
      </c>
      <c r="N2479" t="str">
        <f>IF($B2479="","",MATCH($B2479,'_calc'!$L$2:$L$3001,0))</f>
        <v/>
      </c>
    </row>
    <row r="2480">
      <c r="B2480" s="24" t="str">
        <f>IF(ROW()-ROW($B$8)&gt;nComp,"",ROW()-ROW($B$8))</f>
        <v/>
      </c>
      <c r="C2480" t="str">
        <f>IF($N2480="","",INDEX('_calc'!$A$2:$A$3001,$N2480))</f>
        <v/>
      </c>
      <c r="D2480" s="25" t="str">
        <f>IF($N2480="","",INDEX('_calc'!$C$2:$C$3001,$N2480))</f>
        <v/>
      </c>
      <c r="E2480" s="25" t="str">
        <f>IF($N2480="","",INDEX('_calc'!$D$2:$D$3001,$N2480))</f>
        <v/>
      </c>
      <c r="F2480" s="26" t="str">
        <f>IF($N2480="","",IF($E$8=0,"",E2480/$E$8))</f>
        <v/>
      </c>
      <c r="G2480" s="25" t="str">
        <f>IF($N2480="","",INDEX('_calc'!$E$2:$E$3001,$N2480))</f>
        <v/>
      </c>
      <c r="H2480" s="25" t="str">
        <f>IF($N2480="","",INDEX('_calc'!$F$2:$F$3001,$N2480))</f>
        <v/>
      </c>
      <c r="I2480" s="27" t="str">
        <f>IF($N2480="","",INDEX('_calc'!$H$2:$H$3001,$N2480))</f>
        <v/>
      </c>
      <c r="J2480" s="27" t="str">
        <f>IF($N2480="","",INDEX('_calc'!$I$2:$I$3001,$N2480))</f>
        <v/>
      </c>
      <c r="K2480" s="28" t="str">
        <f>IF($N2480="","",IF(OR(I2480="",J2480=""),"",J2480-I2480))</f>
        <v/>
      </c>
      <c r="L2480" s="29" t="str">
        <f>IF($N2480="","",INDEX('_calc'!$J$2:$J$3001,$N2480))</f>
        <v/>
      </c>
      <c r="M2480" s="2" t="str">
        <f>IF($N2480="","",IF(AND(G2480=0,H2480=0),"수량 없음",IF(G2480=0,"신규 (전년 수량 없음)",IF(H2480=0,"당해 수량 없음",""))))</f>
        <v/>
      </c>
      <c r="N2480" t="str">
        <f>IF($B2480="","",MATCH($B2480,'_calc'!$L$2:$L$3001,0))</f>
        <v/>
      </c>
    </row>
    <row r="2481">
      <c r="B2481" s="24" t="str">
        <f>IF(ROW()-ROW($B$8)&gt;nComp,"",ROW()-ROW($B$8))</f>
        <v/>
      </c>
      <c r="C2481" t="str">
        <f>IF($N2481="","",INDEX('_calc'!$A$2:$A$3001,$N2481))</f>
        <v/>
      </c>
      <c r="D2481" s="25" t="str">
        <f>IF($N2481="","",INDEX('_calc'!$C$2:$C$3001,$N2481))</f>
        <v/>
      </c>
      <c r="E2481" s="25" t="str">
        <f>IF($N2481="","",INDEX('_calc'!$D$2:$D$3001,$N2481))</f>
        <v/>
      </c>
      <c r="F2481" s="26" t="str">
        <f>IF($N2481="","",IF($E$8=0,"",E2481/$E$8))</f>
        <v/>
      </c>
      <c r="G2481" s="25" t="str">
        <f>IF($N2481="","",INDEX('_calc'!$E$2:$E$3001,$N2481))</f>
        <v/>
      </c>
      <c r="H2481" s="25" t="str">
        <f>IF($N2481="","",INDEX('_calc'!$F$2:$F$3001,$N2481))</f>
        <v/>
      </c>
      <c r="I2481" s="27" t="str">
        <f>IF($N2481="","",INDEX('_calc'!$H$2:$H$3001,$N2481))</f>
        <v/>
      </c>
      <c r="J2481" s="27" t="str">
        <f>IF($N2481="","",INDEX('_calc'!$I$2:$I$3001,$N2481))</f>
        <v/>
      </c>
      <c r="K2481" s="28" t="str">
        <f>IF($N2481="","",IF(OR(I2481="",J2481=""),"",J2481-I2481))</f>
        <v/>
      </c>
      <c r="L2481" s="29" t="str">
        <f>IF($N2481="","",INDEX('_calc'!$J$2:$J$3001,$N2481))</f>
        <v/>
      </c>
      <c r="M2481" s="2" t="str">
        <f>IF($N2481="","",IF(AND(G2481=0,H2481=0),"수량 없음",IF(G2481=0,"신규 (전년 수량 없음)",IF(H2481=0,"당해 수량 없음",""))))</f>
        <v/>
      </c>
      <c r="N2481" t="str">
        <f>IF($B2481="","",MATCH($B2481,'_calc'!$L$2:$L$3001,0))</f>
        <v/>
      </c>
    </row>
    <row r="2482">
      <c r="B2482" s="24" t="str">
        <f>IF(ROW()-ROW($B$8)&gt;nComp,"",ROW()-ROW($B$8))</f>
        <v/>
      </c>
      <c r="C2482" t="str">
        <f>IF($N2482="","",INDEX('_calc'!$A$2:$A$3001,$N2482))</f>
        <v/>
      </c>
      <c r="D2482" s="25" t="str">
        <f>IF($N2482="","",INDEX('_calc'!$C$2:$C$3001,$N2482))</f>
        <v/>
      </c>
      <c r="E2482" s="25" t="str">
        <f>IF($N2482="","",INDEX('_calc'!$D$2:$D$3001,$N2482))</f>
        <v/>
      </c>
      <c r="F2482" s="26" t="str">
        <f>IF($N2482="","",IF($E$8=0,"",E2482/$E$8))</f>
        <v/>
      </c>
      <c r="G2482" s="25" t="str">
        <f>IF($N2482="","",INDEX('_calc'!$E$2:$E$3001,$N2482))</f>
        <v/>
      </c>
      <c r="H2482" s="25" t="str">
        <f>IF($N2482="","",INDEX('_calc'!$F$2:$F$3001,$N2482))</f>
        <v/>
      </c>
      <c r="I2482" s="27" t="str">
        <f>IF($N2482="","",INDEX('_calc'!$H$2:$H$3001,$N2482))</f>
        <v/>
      </c>
      <c r="J2482" s="27" t="str">
        <f>IF($N2482="","",INDEX('_calc'!$I$2:$I$3001,$N2482))</f>
        <v/>
      </c>
      <c r="K2482" s="28" t="str">
        <f>IF($N2482="","",IF(OR(I2482="",J2482=""),"",J2482-I2482))</f>
        <v/>
      </c>
      <c r="L2482" s="29" t="str">
        <f>IF($N2482="","",INDEX('_calc'!$J$2:$J$3001,$N2482))</f>
        <v/>
      </c>
      <c r="M2482" s="2" t="str">
        <f>IF($N2482="","",IF(AND(G2482=0,H2482=0),"수량 없음",IF(G2482=0,"신규 (전년 수량 없음)",IF(H2482=0,"당해 수량 없음",""))))</f>
        <v/>
      </c>
      <c r="N2482" t="str">
        <f>IF($B2482="","",MATCH($B2482,'_calc'!$L$2:$L$3001,0))</f>
        <v/>
      </c>
    </row>
    <row r="2483">
      <c r="B2483" s="24" t="str">
        <f>IF(ROW()-ROW($B$8)&gt;nComp,"",ROW()-ROW($B$8))</f>
        <v/>
      </c>
      <c r="C2483" t="str">
        <f>IF($N2483="","",INDEX('_calc'!$A$2:$A$3001,$N2483))</f>
        <v/>
      </c>
      <c r="D2483" s="25" t="str">
        <f>IF($N2483="","",INDEX('_calc'!$C$2:$C$3001,$N2483))</f>
        <v/>
      </c>
      <c r="E2483" s="25" t="str">
        <f>IF($N2483="","",INDEX('_calc'!$D$2:$D$3001,$N2483))</f>
        <v/>
      </c>
      <c r="F2483" s="26" t="str">
        <f>IF($N2483="","",IF($E$8=0,"",E2483/$E$8))</f>
        <v/>
      </c>
      <c r="G2483" s="25" t="str">
        <f>IF($N2483="","",INDEX('_calc'!$E$2:$E$3001,$N2483))</f>
        <v/>
      </c>
      <c r="H2483" s="25" t="str">
        <f>IF($N2483="","",INDEX('_calc'!$F$2:$F$3001,$N2483))</f>
        <v/>
      </c>
      <c r="I2483" s="27" t="str">
        <f>IF($N2483="","",INDEX('_calc'!$H$2:$H$3001,$N2483))</f>
        <v/>
      </c>
      <c r="J2483" s="27" t="str">
        <f>IF($N2483="","",INDEX('_calc'!$I$2:$I$3001,$N2483))</f>
        <v/>
      </c>
      <c r="K2483" s="28" t="str">
        <f>IF($N2483="","",IF(OR(I2483="",J2483=""),"",J2483-I2483))</f>
        <v/>
      </c>
      <c r="L2483" s="29" t="str">
        <f>IF($N2483="","",INDEX('_calc'!$J$2:$J$3001,$N2483))</f>
        <v/>
      </c>
      <c r="M2483" s="2" t="str">
        <f>IF($N2483="","",IF(AND(G2483=0,H2483=0),"수량 없음",IF(G2483=0,"신규 (전년 수량 없음)",IF(H2483=0,"당해 수량 없음",""))))</f>
        <v/>
      </c>
      <c r="N2483" t="str">
        <f>IF($B2483="","",MATCH($B2483,'_calc'!$L$2:$L$3001,0))</f>
        <v/>
      </c>
    </row>
    <row r="2484">
      <c r="B2484" s="24" t="str">
        <f>IF(ROW()-ROW($B$8)&gt;nComp,"",ROW()-ROW($B$8))</f>
        <v/>
      </c>
      <c r="C2484" t="str">
        <f>IF($N2484="","",INDEX('_calc'!$A$2:$A$3001,$N2484))</f>
        <v/>
      </c>
      <c r="D2484" s="25" t="str">
        <f>IF($N2484="","",INDEX('_calc'!$C$2:$C$3001,$N2484))</f>
        <v/>
      </c>
      <c r="E2484" s="25" t="str">
        <f>IF($N2484="","",INDEX('_calc'!$D$2:$D$3001,$N2484))</f>
        <v/>
      </c>
      <c r="F2484" s="26" t="str">
        <f>IF($N2484="","",IF($E$8=0,"",E2484/$E$8))</f>
        <v/>
      </c>
      <c r="G2484" s="25" t="str">
        <f>IF($N2484="","",INDEX('_calc'!$E$2:$E$3001,$N2484))</f>
        <v/>
      </c>
      <c r="H2484" s="25" t="str">
        <f>IF($N2484="","",INDEX('_calc'!$F$2:$F$3001,$N2484))</f>
        <v/>
      </c>
      <c r="I2484" s="27" t="str">
        <f>IF($N2484="","",INDEX('_calc'!$H$2:$H$3001,$N2484))</f>
        <v/>
      </c>
      <c r="J2484" s="27" t="str">
        <f>IF($N2484="","",INDEX('_calc'!$I$2:$I$3001,$N2484))</f>
        <v/>
      </c>
      <c r="K2484" s="28" t="str">
        <f>IF($N2484="","",IF(OR(I2484="",J2484=""),"",J2484-I2484))</f>
        <v/>
      </c>
      <c r="L2484" s="29" t="str">
        <f>IF($N2484="","",INDEX('_calc'!$J$2:$J$3001,$N2484))</f>
        <v/>
      </c>
      <c r="M2484" s="2" t="str">
        <f>IF($N2484="","",IF(AND(G2484=0,H2484=0),"수량 없음",IF(G2484=0,"신규 (전년 수량 없음)",IF(H2484=0,"당해 수량 없음",""))))</f>
        <v/>
      </c>
      <c r="N2484" t="str">
        <f>IF($B2484="","",MATCH($B2484,'_calc'!$L$2:$L$3001,0))</f>
        <v/>
      </c>
    </row>
    <row r="2485">
      <c r="B2485" s="24" t="str">
        <f>IF(ROW()-ROW($B$8)&gt;nComp,"",ROW()-ROW($B$8))</f>
        <v/>
      </c>
      <c r="C2485" t="str">
        <f>IF($N2485="","",INDEX('_calc'!$A$2:$A$3001,$N2485))</f>
        <v/>
      </c>
      <c r="D2485" s="25" t="str">
        <f>IF($N2485="","",INDEX('_calc'!$C$2:$C$3001,$N2485))</f>
        <v/>
      </c>
      <c r="E2485" s="25" t="str">
        <f>IF($N2485="","",INDEX('_calc'!$D$2:$D$3001,$N2485))</f>
        <v/>
      </c>
      <c r="F2485" s="26" t="str">
        <f>IF($N2485="","",IF($E$8=0,"",E2485/$E$8))</f>
        <v/>
      </c>
      <c r="G2485" s="25" t="str">
        <f>IF($N2485="","",INDEX('_calc'!$E$2:$E$3001,$N2485))</f>
        <v/>
      </c>
      <c r="H2485" s="25" t="str">
        <f>IF($N2485="","",INDEX('_calc'!$F$2:$F$3001,$N2485))</f>
        <v/>
      </c>
      <c r="I2485" s="27" t="str">
        <f>IF($N2485="","",INDEX('_calc'!$H$2:$H$3001,$N2485))</f>
        <v/>
      </c>
      <c r="J2485" s="27" t="str">
        <f>IF($N2485="","",INDEX('_calc'!$I$2:$I$3001,$N2485))</f>
        <v/>
      </c>
      <c r="K2485" s="28" t="str">
        <f>IF($N2485="","",IF(OR(I2485="",J2485=""),"",J2485-I2485))</f>
        <v/>
      </c>
      <c r="L2485" s="29" t="str">
        <f>IF($N2485="","",INDEX('_calc'!$J$2:$J$3001,$N2485))</f>
        <v/>
      </c>
      <c r="M2485" s="2" t="str">
        <f>IF($N2485="","",IF(AND(G2485=0,H2485=0),"수량 없음",IF(G2485=0,"신규 (전년 수량 없음)",IF(H2485=0,"당해 수량 없음",""))))</f>
        <v/>
      </c>
      <c r="N2485" t="str">
        <f>IF($B2485="","",MATCH($B2485,'_calc'!$L$2:$L$3001,0))</f>
        <v/>
      </c>
    </row>
    <row r="2486">
      <c r="B2486" s="24" t="str">
        <f>IF(ROW()-ROW($B$8)&gt;nComp,"",ROW()-ROW($B$8))</f>
        <v/>
      </c>
      <c r="C2486" t="str">
        <f>IF($N2486="","",INDEX('_calc'!$A$2:$A$3001,$N2486))</f>
        <v/>
      </c>
      <c r="D2486" s="25" t="str">
        <f>IF($N2486="","",INDEX('_calc'!$C$2:$C$3001,$N2486))</f>
        <v/>
      </c>
      <c r="E2486" s="25" t="str">
        <f>IF($N2486="","",INDEX('_calc'!$D$2:$D$3001,$N2486))</f>
        <v/>
      </c>
      <c r="F2486" s="26" t="str">
        <f>IF($N2486="","",IF($E$8=0,"",E2486/$E$8))</f>
        <v/>
      </c>
      <c r="G2486" s="25" t="str">
        <f>IF($N2486="","",INDEX('_calc'!$E$2:$E$3001,$N2486))</f>
        <v/>
      </c>
      <c r="H2486" s="25" t="str">
        <f>IF($N2486="","",INDEX('_calc'!$F$2:$F$3001,$N2486))</f>
        <v/>
      </c>
      <c r="I2486" s="27" t="str">
        <f>IF($N2486="","",INDEX('_calc'!$H$2:$H$3001,$N2486))</f>
        <v/>
      </c>
      <c r="J2486" s="27" t="str">
        <f>IF($N2486="","",INDEX('_calc'!$I$2:$I$3001,$N2486))</f>
        <v/>
      </c>
      <c r="K2486" s="28" t="str">
        <f>IF($N2486="","",IF(OR(I2486="",J2486=""),"",J2486-I2486))</f>
        <v/>
      </c>
      <c r="L2486" s="29" t="str">
        <f>IF($N2486="","",INDEX('_calc'!$J$2:$J$3001,$N2486))</f>
        <v/>
      </c>
      <c r="M2486" s="2" t="str">
        <f>IF($N2486="","",IF(AND(G2486=0,H2486=0),"수량 없음",IF(G2486=0,"신규 (전년 수량 없음)",IF(H2486=0,"당해 수량 없음",""))))</f>
        <v/>
      </c>
      <c r="N2486" t="str">
        <f>IF($B2486="","",MATCH($B2486,'_calc'!$L$2:$L$3001,0))</f>
        <v/>
      </c>
    </row>
    <row r="2487">
      <c r="B2487" s="24" t="str">
        <f>IF(ROW()-ROW($B$8)&gt;nComp,"",ROW()-ROW($B$8))</f>
        <v/>
      </c>
      <c r="C2487" t="str">
        <f>IF($N2487="","",INDEX('_calc'!$A$2:$A$3001,$N2487))</f>
        <v/>
      </c>
      <c r="D2487" s="25" t="str">
        <f>IF($N2487="","",INDEX('_calc'!$C$2:$C$3001,$N2487))</f>
        <v/>
      </c>
      <c r="E2487" s="25" t="str">
        <f>IF($N2487="","",INDEX('_calc'!$D$2:$D$3001,$N2487))</f>
        <v/>
      </c>
      <c r="F2487" s="26" t="str">
        <f>IF($N2487="","",IF($E$8=0,"",E2487/$E$8))</f>
        <v/>
      </c>
      <c r="G2487" s="25" t="str">
        <f>IF($N2487="","",INDEX('_calc'!$E$2:$E$3001,$N2487))</f>
        <v/>
      </c>
      <c r="H2487" s="25" t="str">
        <f>IF($N2487="","",INDEX('_calc'!$F$2:$F$3001,$N2487))</f>
        <v/>
      </c>
      <c r="I2487" s="27" t="str">
        <f>IF($N2487="","",INDEX('_calc'!$H$2:$H$3001,$N2487))</f>
        <v/>
      </c>
      <c r="J2487" s="27" t="str">
        <f>IF($N2487="","",INDEX('_calc'!$I$2:$I$3001,$N2487))</f>
        <v/>
      </c>
      <c r="K2487" s="28" t="str">
        <f>IF($N2487="","",IF(OR(I2487="",J2487=""),"",J2487-I2487))</f>
        <v/>
      </c>
      <c r="L2487" s="29" t="str">
        <f>IF($N2487="","",INDEX('_calc'!$J$2:$J$3001,$N2487))</f>
        <v/>
      </c>
      <c r="M2487" s="2" t="str">
        <f>IF($N2487="","",IF(AND(G2487=0,H2487=0),"수량 없음",IF(G2487=0,"신규 (전년 수량 없음)",IF(H2487=0,"당해 수량 없음",""))))</f>
        <v/>
      </c>
      <c r="N2487" t="str">
        <f>IF($B2487="","",MATCH($B2487,'_calc'!$L$2:$L$3001,0))</f>
        <v/>
      </c>
    </row>
    <row r="2488">
      <c r="B2488" s="24" t="str">
        <f>IF(ROW()-ROW($B$8)&gt;nComp,"",ROW()-ROW($B$8))</f>
        <v/>
      </c>
      <c r="C2488" t="str">
        <f>IF($N2488="","",INDEX('_calc'!$A$2:$A$3001,$N2488))</f>
        <v/>
      </c>
      <c r="D2488" s="25" t="str">
        <f>IF($N2488="","",INDEX('_calc'!$C$2:$C$3001,$N2488))</f>
        <v/>
      </c>
      <c r="E2488" s="25" t="str">
        <f>IF($N2488="","",INDEX('_calc'!$D$2:$D$3001,$N2488))</f>
        <v/>
      </c>
      <c r="F2488" s="26" t="str">
        <f>IF($N2488="","",IF($E$8=0,"",E2488/$E$8))</f>
        <v/>
      </c>
      <c r="G2488" s="25" t="str">
        <f>IF($N2488="","",INDEX('_calc'!$E$2:$E$3001,$N2488))</f>
        <v/>
      </c>
      <c r="H2488" s="25" t="str">
        <f>IF($N2488="","",INDEX('_calc'!$F$2:$F$3001,$N2488))</f>
        <v/>
      </c>
      <c r="I2488" s="27" t="str">
        <f>IF($N2488="","",INDEX('_calc'!$H$2:$H$3001,$N2488))</f>
        <v/>
      </c>
      <c r="J2488" s="27" t="str">
        <f>IF($N2488="","",INDEX('_calc'!$I$2:$I$3001,$N2488))</f>
        <v/>
      </c>
      <c r="K2488" s="28" t="str">
        <f>IF($N2488="","",IF(OR(I2488="",J2488=""),"",J2488-I2488))</f>
        <v/>
      </c>
      <c r="L2488" s="29" t="str">
        <f>IF($N2488="","",INDEX('_calc'!$J$2:$J$3001,$N2488))</f>
        <v/>
      </c>
      <c r="M2488" s="2" t="str">
        <f>IF($N2488="","",IF(AND(G2488=0,H2488=0),"수량 없음",IF(G2488=0,"신규 (전년 수량 없음)",IF(H2488=0,"당해 수량 없음",""))))</f>
        <v/>
      </c>
      <c r="N2488" t="str">
        <f>IF($B2488="","",MATCH($B2488,'_calc'!$L$2:$L$3001,0))</f>
        <v/>
      </c>
    </row>
    <row r="2489">
      <c r="B2489" s="24" t="str">
        <f>IF(ROW()-ROW($B$8)&gt;nComp,"",ROW()-ROW($B$8))</f>
        <v/>
      </c>
      <c r="C2489" t="str">
        <f>IF($N2489="","",INDEX('_calc'!$A$2:$A$3001,$N2489))</f>
        <v/>
      </c>
      <c r="D2489" s="25" t="str">
        <f>IF($N2489="","",INDEX('_calc'!$C$2:$C$3001,$N2489))</f>
        <v/>
      </c>
      <c r="E2489" s="25" t="str">
        <f>IF($N2489="","",INDEX('_calc'!$D$2:$D$3001,$N2489))</f>
        <v/>
      </c>
      <c r="F2489" s="26" t="str">
        <f>IF($N2489="","",IF($E$8=0,"",E2489/$E$8))</f>
        <v/>
      </c>
      <c r="G2489" s="25" t="str">
        <f>IF($N2489="","",INDEX('_calc'!$E$2:$E$3001,$N2489))</f>
        <v/>
      </c>
      <c r="H2489" s="25" t="str">
        <f>IF($N2489="","",INDEX('_calc'!$F$2:$F$3001,$N2489))</f>
        <v/>
      </c>
      <c r="I2489" s="27" t="str">
        <f>IF($N2489="","",INDEX('_calc'!$H$2:$H$3001,$N2489))</f>
        <v/>
      </c>
      <c r="J2489" s="27" t="str">
        <f>IF($N2489="","",INDEX('_calc'!$I$2:$I$3001,$N2489))</f>
        <v/>
      </c>
      <c r="K2489" s="28" t="str">
        <f>IF($N2489="","",IF(OR(I2489="",J2489=""),"",J2489-I2489))</f>
        <v/>
      </c>
      <c r="L2489" s="29" t="str">
        <f>IF($N2489="","",INDEX('_calc'!$J$2:$J$3001,$N2489))</f>
        <v/>
      </c>
      <c r="M2489" s="2" t="str">
        <f>IF($N2489="","",IF(AND(G2489=0,H2489=0),"수량 없음",IF(G2489=0,"신규 (전년 수량 없음)",IF(H2489=0,"당해 수량 없음",""))))</f>
        <v/>
      </c>
      <c r="N2489" t="str">
        <f>IF($B2489="","",MATCH($B2489,'_calc'!$L$2:$L$3001,0))</f>
        <v/>
      </c>
    </row>
    <row r="2490">
      <c r="B2490" s="24" t="str">
        <f>IF(ROW()-ROW($B$8)&gt;nComp,"",ROW()-ROW($B$8))</f>
        <v/>
      </c>
      <c r="C2490" t="str">
        <f>IF($N2490="","",INDEX('_calc'!$A$2:$A$3001,$N2490))</f>
        <v/>
      </c>
      <c r="D2490" s="25" t="str">
        <f>IF($N2490="","",INDEX('_calc'!$C$2:$C$3001,$N2490))</f>
        <v/>
      </c>
      <c r="E2490" s="25" t="str">
        <f>IF($N2490="","",INDEX('_calc'!$D$2:$D$3001,$N2490))</f>
        <v/>
      </c>
      <c r="F2490" s="26" t="str">
        <f>IF($N2490="","",IF($E$8=0,"",E2490/$E$8))</f>
        <v/>
      </c>
      <c r="G2490" s="25" t="str">
        <f>IF($N2490="","",INDEX('_calc'!$E$2:$E$3001,$N2490))</f>
        <v/>
      </c>
      <c r="H2490" s="25" t="str">
        <f>IF($N2490="","",INDEX('_calc'!$F$2:$F$3001,$N2490))</f>
        <v/>
      </c>
      <c r="I2490" s="27" t="str">
        <f>IF($N2490="","",INDEX('_calc'!$H$2:$H$3001,$N2490))</f>
        <v/>
      </c>
      <c r="J2490" s="27" t="str">
        <f>IF($N2490="","",INDEX('_calc'!$I$2:$I$3001,$N2490))</f>
        <v/>
      </c>
      <c r="K2490" s="28" t="str">
        <f>IF($N2490="","",IF(OR(I2490="",J2490=""),"",J2490-I2490))</f>
        <v/>
      </c>
      <c r="L2490" s="29" t="str">
        <f>IF($N2490="","",INDEX('_calc'!$J$2:$J$3001,$N2490))</f>
        <v/>
      </c>
      <c r="M2490" s="2" t="str">
        <f>IF($N2490="","",IF(AND(G2490=0,H2490=0),"수량 없음",IF(G2490=0,"신규 (전년 수량 없음)",IF(H2490=0,"당해 수량 없음",""))))</f>
        <v/>
      </c>
      <c r="N2490" t="str">
        <f>IF($B2490="","",MATCH($B2490,'_calc'!$L$2:$L$3001,0))</f>
        <v/>
      </c>
    </row>
    <row r="2491">
      <c r="B2491" s="24" t="str">
        <f>IF(ROW()-ROW($B$8)&gt;nComp,"",ROW()-ROW($B$8))</f>
        <v/>
      </c>
      <c r="C2491" t="str">
        <f>IF($N2491="","",INDEX('_calc'!$A$2:$A$3001,$N2491))</f>
        <v/>
      </c>
      <c r="D2491" s="25" t="str">
        <f>IF($N2491="","",INDEX('_calc'!$C$2:$C$3001,$N2491))</f>
        <v/>
      </c>
      <c r="E2491" s="25" t="str">
        <f>IF($N2491="","",INDEX('_calc'!$D$2:$D$3001,$N2491))</f>
        <v/>
      </c>
      <c r="F2491" s="26" t="str">
        <f>IF($N2491="","",IF($E$8=0,"",E2491/$E$8))</f>
        <v/>
      </c>
      <c r="G2491" s="25" t="str">
        <f>IF($N2491="","",INDEX('_calc'!$E$2:$E$3001,$N2491))</f>
        <v/>
      </c>
      <c r="H2491" s="25" t="str">
        <f>IF($N2491="","",INDEX('_calc'!$F$2:$F$3001,$N2491))</f>
        <v/>
      </c>
      <c r="I2491" s="27" t="str">
        <f>IF($N2491="","",INDEX('_calc'!$H$2:$H$3001,$N2491))</f>
        <v/>
      </c>
      <c r="J2491" s="27" t="str">
        <f>IF($N2491="","",INDEX('_calc'!$I$2:$I$3001,$N2491))</f>
        <v/>
      </c>
      <c r="K2491" s="28" t="str">
        <f>IF($N2491="","",IF(OR(I2491="",J2491=""),"",J2491-I2491))</f>
        <v/>
      </c>
      <c r="L2491" s="29" t="str">
        <f>IF($N2491="","",INDEX('_calc'!$J$2:$J$3001,$N2491))</f>
        <v/>
      </c>
      <c r="M2491" s="2" t="str">
        <f>IF($N2491="","",IF(AND(G2491=0,H2491=0),"수량 없음",IF(G2491=0,"신규 (전년 수량 없음)",IF(H2491=0,"당해 수량 없음",""))))</f>
        <v/>
      </c>
      <c r="N2491" t="str">
        <f>IF($B2491="","",MATCH($B2491,'_calc'!$L$2:$L$3001,0))</f>
        <v/>
      </c>
    </row>
    <row r="2492">
      <c r="B2492" s="24" t="str">
        <f>IF(ROW()-ROW($B$8)&gt;nComp,"",ROW()-ROW($B$8))</f>
        <v/>
      </c>
      <c r="C2492" t="str">
        <f>IF($N2492="","",INDEX('_calc'!$A$2:$A$3001,$N2492))</f>
        <v/>
      </c>
      <c r="D2492" s="25" t="str">
        <f>IF($N2492="","",INDEX('_calc'!$C$2:$C$3001,$N2492))</f>
        <v/>
      </c>
      <c r="E2492" s="25" t="str">
        <f>IF($N2492="","",INDEX('_calc'!$D$2:$D$3001,$N2492))</f>
        <v/>
      </c>
      <c r="F2492" s="26" t="str">
        <f>IF($N2492="","",IF($E$8=0,"",E2492/$E$8))</f>
        <v/>
      </c>
      <c r="G2492" s="25" t="str">
        <f>IF($N2492="","",INDEX('_calc'!$E$2:$E$3001,$N2492))</f>
        <v/>
      </c>
      <c r="H2492" s="25" t="str">
        <f>IF($N2492="","",INDEX('_calc'!$F$2:$F$3001,$N2492))</f>
        <v/>
      </c>
      <c r="I2492" s="27" t="str">
        <f>IF($N2492="","",INDEX('_calc'!$H$2:$H$3001,$N2492))</f>
        <v/>
      </c>
      <c r="J2492" s="27" t="str">
        <f>IF($N2492="","",INDEX('_calc'!$I$2:$I$3001,$N2492))</f>
        <v/>
      </c>
      <c r="K2492" s="28" t="str">
        <f>IF($N2492="","",IF(OR(I2492="",J2492=""),"",J2492-I2492))</f>
        <v/>
      </c>
      <c r="L2492" s="29" t="str">
        <f>IF($N2492="","",INDEX('_calc'!$J$2:$J$3001,$N2492))</f>
        <v/>
      </c>
      <c r="M2492" s="2" t="str">
        <f>IF($N2492="","",IF(AND(G2492=0,H2492=0),"수량 없음",IF(G2492=0,"신규 (전년 수량 없음)",IF(H2492=0,"당해 수량 없음",""))))</f>
        <v/>
      </c>
      <c r="N2492" t="str">
        <f>IF($B2492="","",MATCH($B2492,'_calc'!$L$2:$L$3001,0))</f>
        <v/>
      </c>
    </row>
    <row r="2493">
      <c r="B2493" s="24" t="str">
        <f>IF(ROW()-ROW($B$8)&gt;nComp,"",ROW()-ROW($B$8))</f>
        <v/>
      </c>
      <c r="C2493" t="str">
        <f>IF($N2493="","",INDEX('_calc'!$A$2:$A$3001,$N2493))</f>
        <v/>
      </c>
      <c r="D2493" s="25" t="str">
        <f>IF($N2493="","",INDEX('_calc'!$C$2:$C$3001,$N2493))</f>
        <v/>
      </c>
      <c r="E2493" s="25" t="str">
        <f>IF($N2493="","",INDEX('_calc'!$D$2:$D$3001,$N2493))</f>
        <v/>
      </c>
      <c r="F2493" s="26" t="str">
        <f>IF($N2493="","",IF($E$8=0,"",E2493/$E$8))</f>
        <v/>
      </c>
      <c r="G2493" s="25" t="str">
        <f>IF($N2493="","",INDEX('_calc'!$E$2:$E$3001,$N2493))</f>
        <v/>
      </c>
      <c r="H2493" s="25" t="str">
        <f>IF($N2493="","",INDEX('_calc'!$F$2:$F$3001,$N2493))</f>
        <v/>
      </c>
      <c r="I2493" s="27" t="str">
        <f>IF($N2493="","",INDEX('_calc'!$H$2:$H$3001,$N2493))</f>
        <v/>
      </c>
      <c r="J2493" s="27" t="str">
        <f>IF($N2493="","",INDEX('_calc'!$I$2:$I$3001,$N2493))</f>
        <v/>
      </c>
      <c r="K2493" s="28" t="str">
        <f>IF($N2493="","",IF(OR(I2493="",J2493=""),"",J2493-I2493))</f>
        <v/>
      </c>
      <c r="L2493" s="29" t="str">
        <f>IF($N2493="","",INDEX('_calc'!$J$2:$J$3001,$N2493))</f>
        <v/>
      </c>
      <c r="M2493" s="2" t="str">
        <f>IF($N2493="","",IF(AND(G2493=0,H2493=0),"수량 없음",IF(G2493=0,"신규 (전년 수량 없음)",IF(H2493=0,"당해 수량 없음",""))))</f>
        <v/>
      </c>
      <c r="N2493" t="str">
        <f>IF($B2493="","",MATCH($B2493,'_calc'!$L$2:$L$3001,0))</f>
        <v/>
      </c>
    </row>
    <row r="2494">
      <c r="B2494" s="24" t="str">
        <f>IF(ROW()-ROW($B$8)&gt;nComp,"",ROW()-ROW($B$8))</f>
        <v/>
      </c>
      <c r="C2494" t="str">
        <f>IF($N2494="","",INDEX('_calc'!$A$2:$A$3001,$N2494))</f>
        <v/>
      </c>
      <c r="D2494" s="25" t="str">
        <f>IF($N2494="","",INDEX('_calc'!$C$2:$C$3001,$N2494))</f>
        <v/>
      </c>
      <c r="E2494" s="25" t="str">
        <f>IF($N2494="","",INDEX('_calc'!$D$2:$D$3001,$N2494))</f>
        <v/>
      </c>
      <c r="F2494" s="26" t="str">
        <f>IF($N2494="","",IF($E$8=0,"",E2494/$E$8))</f>
        <v/>
      </c>
      <c r="G2494" s="25" t="str">
        <f>IF($N2494="","",INDEX('_calc'!$E$2:$E$3001,$N2494))</f>
        <v/>
      </c>
      <c r="H2494" s="25" t="str">
        <f>IF($N2494="","",INDEX('_calc'!$F$2:$F$3001,$N2494))</f>
        <v/>
      </c>
      <c r="I2494" s="27" t="str">
        <f>IF($N2494="","",INDEX('_calc'!$H$2:$H$3001,$N2494))</f>
        <v/>
      </c>
      <c r="J2494" s="27" t="str">
        <f>IF($N2494="","",INDEX('_calc'!$I$2:$I$3001,$N2494))</f>
        <v/>
      </c>
      <c r="K2494" s="28" t="str">
        <f>IF($N2494="","",IF(OR(I2494="",J2494=""),"",J2494-I2494))</f>
        <v/>
      </c>
      <c r="L2494" s="29" t="str">
        <f>IF($N2494="","",INDEX('_calc'!$J$2:$J$3001,$N2494))</f>
        <v/>
      </c>
      <c r="M2494" s="2" t="str">
        <f>IF($N2494="","",IF(AND(G2494=0,H2494=0),"수량 없음",IF(G2494=0,"신규 (전년 수량 없음)",IF(H2494=0,"당해 수량 없음",""))))</f>
        <v/>
      </c>
      <c r="N2494" t="str">
        <f>IF($B2494="","",MATCH($B2494,'_calc'!$L$2:$L$3001,0))</f>
        <v/>
      </c>
    </row>
    <row r="2495">
      <c r="B2495" s="24" t="str">
        <f>IF(ROW()-ROW($B$8)&gt;nComp,"",ROW()-ROW($B$8))</f>
        <v/>
      </c>
      <c r="C2495" t="str">
        <f>IF($N2495="","",INDEX('_calc'!$A$2:$A$3001,$N2495))</f>
        <v/>
      </c>
      <c r="D2495" s="25" t="str">
        <f>IF($N2495="","",INDEX('_calc'!$C$2:$C$3001,$N2495))</f>
        <v/>
      </c>
      <c r="E2495" s="25" t="str">
        <f>IF($N2495="","",INDEX('_calc'!$D$2:$D$3001,$N2495))</f>
        <v/>
      </c>
      <c r="F2495" s="26" t="str">
        <f>IF($N2495="","",IF($E$8=0,"",E2495/$E$8))</f>
        <v/>
      </c>
      <c r="G2495" s="25" t="str">
        <f>IF($N2495="","",INDEX('_calc'!$E$2:$E$3001,$N2495))</f>
        <v/>
      </c>
      <c r="H2495" s="25" t="str">
        <f>IF($N2495="","",INDEX('_calc'!$F$2:$F$3001,$N2495))</f>
        <v/>
      </c>
      <c r="I2495" s="27" t="str">
        <f>IF($N2495="","",INDEX('_calc'!$H$2:$H$3001,$N2495))</f>
        <v/>
      </c>
      <c r="J2495" s="27" t="str">
        <f>IF($N2495="","",INDEX('_calc'!$I$2:$I$3001,$N2495))</f>
        <v/>
      </c>
      <c r="K2495" s="28" t="str">
        <f>IF($N2495="","",IF(OR(I2495="",J2495=""),"",J2495-I2495))</f>
        <v/>
      </c>
      <c r="L2495" s="29" t="str">
        <f>IF($N2495="","",INDEX('_calc'!$J$2:$J$3001,$N2495))</f>
        <v/>
      </c>
      <c r="M2495" s="2" t="str">
        <f>IF($N2495="","",IF(AND(G2495=0,H2495=0),"수량 없음",IF(G2495=0,"신규 (전년 수량 없음)",IF(H2495=0,"당해 수량 없음",""))))</f>
        <v/>
      </c>
      <c r="N2495" t="str">
        <f>IF($B2495="","",MATCH($B2495,'_calc'!$L$2:$L$3001,0))</f>
        <v/>
      </c>
    </row>
    <row r="2496">
      <c r="B2496" s="24" t="str">
        <f>IF(ROW()-ROW($B$8)&gt;nComp,"",ROW()-ROW($B$8))</f>
        <v/>
      </c>
      <c r="C2496" t="str">
        <f>IF($N2496="","",INDEX('_calc'!$A$2:$A$3001,$N2496))</f>
        <v/>
      </c>
      <c r="D2496" s="25" t="str">
        <f>IF($N2496="","",INDEX('_calc'!$C$2:$C$3001,$N2496))</f>
        <v/>
      </c>
      <c r="E2496" s="25" t="str">
        <f>IF($N2496="","",INDEX('_calc'!$D$2:$D$3001,$N2496))</f>
        <v/>
      </c>
      <c r="F2496" s="26" t="str">
        <f>IF($N2496="","",IF($E$8=0,"",E2496/$E$8))</f>
        <v/>
      </c>
      <c r="G2496" s="25" t="str">
        <f>IF($N2496="","",INDEX('_calc'!$E$2:$E$3001,$N2496))</f>
        <v/>
      </c>
      <c r="H2496" s="25" t="str">
        <f>IF($N2496="","",INDEX('_calc'!$F$2:$F$3001,$N2496))</f>
        <v/>
      </c>
      <c r="I2496" s="27" t="str">
        <f>IF($N2496="","",INDEX('_calc'!$H$2:$H$3001,$N2496))</f>
        <v/>
      </c>
      <c r="J2496" s="27" t="str">
        <f>IF($N2496="","",INDEX('_calc'!$I$2:$I$3001,$N2496))</f>
        <v/>
      </c>
      <c r="K2496" s="28" t="str">
        <f>IF($N2496="","",IF(OR(I2496="",J2496=""),"",J2496-I2496))</f>
        <v/>
      </c>
      <c r="L2496" s="29" t="str">
        <f>IF($N2496="","",INDEX('_calc'!$J$2:$J$3001,$N2496))</f>
        <v/>
      </c>
      <c r="M2496" s="2" t="str">
        <f>IF($N2496="","",IF(AND(G2496=0,H2496=0),"수량 없음",IF(G2496=0,"신규 (전년 수량 없음)",IF(H2496=0,"당해 수량 없음",""))))</f>
        <v/>
      </c>
      <c r="N2496" t="str">
        <f>IF($B2496="","",MATCH($B2496,'_calc'!$L$2:$L$3001,0))</f>
        <v/>
      </c>
    </row>
    <row r="2497">
      <c r="B2497" s="24" t="str">
        <f>IF(ROW()-ROW($B$8)&gt;nComp,"",ROW()-ROW($B$8))</f>
        <v/>
      </c>
      <c r="C2497" t="str">
        <f>IF($N2497="","",INDEX('_calc'!$A$2:$A$3001,$N2497))</f>
        <v/>
      </c>
      <c r="D2497" s="25" t="str">
        <f>IF($N2497="","",INDEX('_calc'!$C$2:$C$3001,$N2497))</f>
        <v/>
      </c>
      <c r="E2497" s="25" t="str">
        <f>IF($N2497="","",INDEX('_calc'!$D$2:$D$3001,$N2497))</f>
        <v/>
      </c>
      <c r="F2497" s="26" t="str">
        <f>IF($N2497="","",IF($E$8=0,"",E2497/$E$8))</f>
        <v/>
      </c>
      <c r="G2497" s="25" t="str">
        <f>IF($N2497="","",INDEX('_calc'!$E$2:$E$3001,$N2497))</f>
        <v/>
      </c>
      <c r="H2497" s="25" t="str">
        <f>IF($N2497="","",INDEX('_calc'!$F$2:$F$3001,$N2497))</f>
        <v/>
      </c>
      <c r="I2497" s="27" t="str">
        <f>IF($N2497="","",INDEX('_calc'!$H$2:$H$3001,$N2497))</f>
        <v/>
      </c>
      <c r="J2497" s="27" t="str">
        <f>IF($N2497="","",INDEX('_calc'!$I$2:$I$3001,$N2497))</f>
        <v/>
      </c>
      <c r="K2497" s="28" t="str">
        <f>IF($N2497="","",IF(OR(I2497="",J2497=""),"",J2497-I2497))</f>
        <v/>
      </c>
      <c r="L2497" s="29" t="str">
        <f>IF($N2497="","",INDEX('_calc'!$J$2:$J$3001,$N2497))</f>
        <v/>
      </c>
      <c r="M2497" s="2" t="str">
        <f>IF($N2497="","",IF(AND(G2497=0,H2497=0),"수량 없음",IF(G2497=0,"신규 (전년 수량 없음)",IF(H2497=0,"당해 수량 없음",""))))</f>
        <v/>
      </c>
      <c r="N2497" t="str">
        <f>IF($B2497="","",MATCH($B2497,'_calc'!$L$2:$L$3001,0))</f>
        <v/>
      </c>
    </row>
    <row r="2498">
      <c r="B2498" s="24" t="str">
        <f>IF(ROW()-ROW($B$8)&gt;nComp,"",ROW()-ROW($B$8))</f>
        <v/>
      </c>
      <c r="C2498" t="str">
        <f>IF($N2498="","",INDEX('_calc'!$A$2:$A$3001,$N2498))</f>
        <v/>
      </c>
      <c r="D2498" s="25" t="str">
        <f>IF($N2498="","",INDEX('_calc'!$C$2:$C$3001,$N2498))</f>
        <v/>
      </c>
      <c r="E2498" s="25" t="str">
        <f>IF($N2498="","",INDEX('_calc'!$D$2:$D$3001,$N2498))</f>
        <v/>
      </c>
      <c r="F2498" s="26" t="str">
        <f>IF($N2498="","",IF($E$8=0,"",E2498/$E$8))</f>
        <v/>
      </c>
      <c r="G2498" s="25" t="str">
        <f>IF($N2498="","",INDEX('_calc'!$E$2:$E$3001,$N2498))</f>
        <v/>
      </c>
      <c r="H2498" s="25" t="str">
        <f>IF($N2498="","",INDEX('_calc'!$F$2:$F$3001,$N2498))</f>
        <v/>
      </c>
      <c r="I2498" s="27" t="str">
        <f>IF($N2498="","",INDEX('_calc'!$H$2:$H$3001,$N2498))</f>
        <v/>
      </c>
      <c r="J2498" s="27" t="str">
        <f>IF($N2498="","",INDEX('_calc'!$I$2:$I$3001,$N2498))</f>
        <v/>
      </c>
      <c r="K2498" s="28" t="str">
        <f>IF($N2498="","",IF(OR(I2498="",J2498=""),"",J2498-I2498))</f>
        <v/>
      </c>
      <c r="L2498" s="29" t="str">
        <f>IF($N2498="","",INDEX('_calc'!$J$2:$J$3001,$N2498))</f>
        <v/>
      </c>
      <c r="M2498" s="2" t="str">
        <f>IF($N2498="","",IF(AND(G2498=0,H2498=0),"수량 없음",IF(G2498=0,"신규 (전년 수량 없음)",IF(H2498=0,"당해 수량 없음",""))))</f>
        <v/>
      </c>
      <c r="N2498" t="str">
        <f>IF($B2498="","",MATCH($B2498,'_calc'!$L$2:$L$3001,0))</f>
        <v/>
      </c>
    </row>
    <row r="2499">
      <c r="B2499" s="24" t="str">
        <f>IF(ROW()-ROW($B$8)&gt;nComp,"",ROW()-ROW($B$8))</f>
        <v/>
      </c>
      <c r="C2499" t="str">
        <f>IF($N2499="","",INDEX('_calc'!$A$2:$A$3001,$N2499))</f>
        <v/>
      </c>
      <c r="D2499" s="25" t="str">
        <f>IF($N2499="","",INDEX('_calc'!$C$2:$C$3001,$N2499))</f>
        <v/>
      </c>
      <c r="E2499" s="25" t="str">
        <f>IF($N2499="","",INDEX('_calc'!$D$2:$D$3001,$N2499))</f>
        <v/>
      </c>
      <c r="F2499" s="26" t="str">
        <f>IF($N2499="","",IF($E$8=0,"",E2499/$E$8))</f>
        <v/>
      </c>
      <c r="G2499" s="25" t="str">
        <f>IF($N2499="","",INDEX('_calc'!$E$2:$E$3001,$N2499))</f>
        <v/>
      </c>
      <c r="H2499" s="25" t="str">
        <f>IF($N2499="","",INDEX('_calc'!$F$2:$F$3001,$N2499))</f>
        <v/>
      </c>
      <c r="I2499" s="27" t="str">
        <f>IF($N2499="","",INDEX('_calc'!$H$2:$H$3001,$N2499))</f>
        <v/>
      </c>
      <c r="J2499" s="27" t="str">
        <f>IF($N2499="","",INDEX('_calc'!$I$2:$I$3001,$N2499))</f>
        <v/>
      </c>
      <c r="K2499" s="28" t="str">
        <f>IF($N2499="","",IF(OR(I2499="",J2499=""),"",J2499-I2499))</f>
        <v/>
      </c>
      <c r="L2499" s="29" t="str">
        <f>IF($N2499="","",INDEX('_calc'!$J$2:$J$3001,$N2499))</f>
        <v/>
      </c>
      <c r="M2499" s="2" t="str">
        <f>IF($N2499="","",IF(AND(G2499=0,H2499=0),"수량 없음",IF(G2499=0,"신규 (전년 수량 없음)",IF(H2499=0,"당해 수량 없음",""))))</f>
        <v/>
      </c>
      <c r="N2499" t="str">
        <f>IF($B2499="","",MATCH($B2499,'_calc'!$L$2:$L$3001,0))</f>
        <v/>
      </c>
    </row>
    <row r="2500">
      <c r="B2500" s="24" t="str">
        <f>IF(ROW()-ROW($B$8)&gt;nComp,"",ROW()-ROW($B$8))</f>
        <v/>
      </c>
      <c r="C2500" t="str">
        <f>IF($N2500="","",INDEX('_calc'!$A$2:$A$3001,$N2500))</f>
        <v/>
      </c>
      <c r="D2500" s="25" t="str">
        <f>IF($N2500="","",INDEX('_calc'!$C$2:$C$3001,$N2500))</f>
        <v/>
      </c>
      <c r="E2500" s="25" t="str">
        <f>IF($N2500="","",INDEX('_calc'!$D$2:$D$3001,$N2500))</f>
        <v/>
      </c>
      <c r="F2500" s="26" t="str">
        <f>IF($N2500="","",IF($E$8=0,"",E2500/$E$8))</f>
        <v/>
      </c>
      <c r="G2500" s="25" t="str">
        <f>IF($N2500="","",INDEX('_calc'!$E$2:$E$3001,$N2500))</f>
        <v/>
      </c>
      <c r="H2500" s="25" t="str">
        <f>IF($N2500="","",INDEX('_calc'!$F$2:$F$3001,$N2500))</f>
        <v/>
      </c>
      <c r="I2500" s="27" t="str">
        <f>IF($N2500="","",INDEX('_calc'!$H$2:$H$3001,$N2500))</f>
        <v/>
      </c>
      <c r="J2500" s="27" t="str">
        <f>IF($N2500="","",INDEX('_calc'!$I$2:$I$3001,$N2500))</f>
        <v/>
      </c>
      <c r="K2500" s="28" t="str">
        <f>IF($N2500="","",IF(OR(I2500="",J2500=""),"",J2500-I2500))</f>
        <v/>
      </c>
      <c r="L2500" s="29" t="str">
        <f>IF($N2500="","",INDEX('_calc'!$J$2:$J$3001,$N2500))</f>
        <v/>
      </c>
      <c r="M2500" s="2" t="str">
        <f>IF($N2500="","",IF(AND(G2500=0,H2500=0),"수량 없음",IF(G2500=0,"신규 (전년 수량 없음)",IF(H2500=0,"당해 수량 없음",""))))</f>
        <v/>
      </c>
      <c r="N2500" t="str">
        <f>IF($B2500="","",MATCH($B2500,'_calc'!$L$2:$L$3001,0))</f>
        <v/>
      </c>
    </row>
    <row r="2501">
      <c r="B2501" s="24" t="str">
        <f>IF(ROW()-ROW($B$8)&gt;nComp,"",ROW()-ROW($B$8))</f>
        <v/>
      </c>
      <c r="C2501" t="str">
        <f>IF($N2501="","",INDEX('_calc'!$A$2:$A$3001,$N2501))</f>
        <v/>
      </c>
      <c r="D2501" s="25" t="str">
        <f>IF($N2501="","",INDEX('_calc'!$C$2:$C$3001,$N2501))</f>
        <v/>
      </c>
      <c r="E2501" s="25" t="str">
        <f>IF($N2501="","",INDEX('_calc'!$D$2:$D$3001,$N2501))</f>
        <v/>
      </c>
      <c r="F2501" s="26" t="str">
        <f>IF($N2501="","",IF($E$8=0,"",E2501/$E$8))</f>
        <v/>
      </c>
      <c r="G2501" s="25" t="str">
        <f>IF($N2501="","",INDEX('_calc'!$E$2:$E$3001,$N2501))</f>
        <v/>
      </c>
      <c r="H2501" s="25" t="str">
        <f>IF($N2501="","",INDEX('_calc'!$F$2:$F$3001,$N2501))</f>
        <v/>
      </c>
      <c r="I2501" s="27" t="str">
        <f>IF($N2501="","",INDEX('_calc'!$H$2:$H$3001,$N2501))</f>
        <v/>
      </c>
      <c r="J2501" s="27" t="str">
        <f>IF($N2501="","",INDEX('_calc'!$I$2:$I$3001,$N2501))</f>
        <v/>
      </c>
      <c r="K2501" s="28" t="str">
        <f>IF($N2501="","",IF(OR(I2501="",J2501=""),"",J2501-I2501))</f>
        <v/>
      </c>
      <c r="L2501" s="29" t="str">
        <f>IF($N2501="","",INDEX('_calc'!$J$2:$J$3001,$N2501))</f>
        <v/>
      </c>
      <c r="M2501" s="2" t="str">
        <f>IF($N2501="","",IF(AND(G2501=0,H2501=0),"수량 없음",IF(G2501=0,"신규 (전년 수량 없음)",IF(H2501=0,"당해 수량 없음",""))))</f>
        <v/>
      </c>
      <c r="N2501" t="str">
        <f>IF($B2501="","",MATCH($B2501,'_calc'!$L$2:$L$3001,0))</f>
        <v/>
      </c>
    </row>
    <row r="2502">
      <c r="B2502" s="24" t="str">
        <f>IF(ROW()-ROW($B$8)&gt;nComp,"",ROW()-ROW($B$8))</f>
        <v/>
      </c>
      <c r="C2502" t="str">
        <f>IF($N2502="","",INDEX('_calc'!$A$2:$A$3001,$N2502))</f>
        <v/>
      </c>
      <c r="D2502" s="25" t="str">
        <f>IF($N2502="","",INDEX('_calc'!$C$2:$C$3001,$N2502))</f>
        <v/>
      </c>
      <c r="E2502" s="25" t="str">
        <f>IF($N2502="","",INDEX('_calc'!$D$2:$D$3001,$N2502))</f>
        <v/>
      </c>
      <c r="F2502" s="26" t="str">
        <f>IF($N2502="","",IF($E$8=0,"",E2502/$E$8))</f>
        <v/>
      </c>
      <c r="G2502" s="25" t="str">
        <f>IF($N2502="","",INDEX('_calc'!$E$2:$E$3001,$N2502))</f>
        <v/>
      </c>
      <c r="H2502" s="25" t="str">
        <f>IF($N2502="","",INDEX('_calc'!$F$2:$F$3001,$N2502))</f>
        <v/>
      </c>
      <c r="I2502" s="27" t="str">
        <f>IF($N2502="","",INDEX('_calc'!$H$2:$H$3001,$N2502))</f>
        <v/>
      </c>
      <c r="J2502" s="27" t="str">
        <f>IF($N2502="","",INDEX('_calc'!$I$2:$I$3001,$N2502))</f>
        <v/>
      </c>
      <c r="K2502" s="28" t="str">
        <f>IF($N2502="","",IF(OR(I2502="",J2502=""),"",J2502-I2502))</f>
        <v/>
      </c>
      <c r="L2502" s="29" t="str">
        <f>IF($N2502="","",INDEX('_calc'!$J$2:$J$3001,$N2502))</f>
        <v/>
      </c>
      <c r="M2502" s="2" t="str">
        <f>IF($N2502="","",IF(AND(G2502=0,H2502=0),"수량 없음",IF(G2502=0,"신규 (전년 수량 없음)",IF(H2502=0,"당해 수량 없음",""))))</f>
        <v/>
      </c>
      <c r="N2502" t="str">
        <f>IF($B2502="","",MATCH($B2502,'_calc'!$L$2:$L$3001,0))</f>
        <v/>
      </c>
    </row>
    <row r="2503">
      <c r="B2503" s="24" t="str">
        <f>IF(ROW()-ROW($B$8)&gt;nComp,"",ROW()-ROW($B$8))</f>
        <v/>
      </c>
      <c r="C2503" t="str">
        <f>IF($N2503="","",INDEX('_calc'!$A$2:$A$3001,$N2503))</f>
        <v/>
      </c>
      <c r="D2503" s="25" t="str">
        <f>IF($N2503="","",INDEX('_calc'!$C$2:$C$3001,$N2503))</f>
        <v/>
      </c>
      <c r="E2503" s="25" t="str">
        <f>IF($N2503="","",INDEX('_calc'!$D$2:$D$3001,$N2503))</f>
        <v/>
      </c>
      <c r="F2503" s="26" t="str">
        <f>IF($N2503="","",IF($E$8=0,"",E2503/$E$8))</f>
        <v/>
      </c>
      <c r="G2503" s="25" t="str">
        <f>IF($N2503="","",INDEX('_calc'!$E$2:$E$3001,$N2503))</f>
        <v/>
      </c>
      <c r="H2503" s="25" t="str">
        <f>IF($N2503="","",INDEX('_calc'!$F$2:$F$3001,$N2503))</f>
        <v/>
      </c>
      <c r="I2503" s="27" t="str">
        <f>IF($N2503="","",INDEX('_calc'!$H$2:$H$3001,$N2503))</f>
        <v/>
      </c>
      <c r="J2503" s="27" t="str">
        <f>IF($N2503="","",INDEX('_calc'!$I$2:$I$3001,$N2503))</f>
        <v/>
      </c>
      <c r="K2503" s="28" t="str">
        <f>IF($N2503="","",IF(OR(I2503="",J2503=""),"",J2503-I2503))</f>
        <v/>
      </c>
      <c r="L2503" s="29" t="str">
        <f>IF($N2503="","",INDEX('_calc'!$J$2:$J$3001,$N2503))</f>
        <v/>
      </c>
      <c r="M2503" s="2" t="str">
        <f>IF($N2503="","",IF(AND(G2503=0,H2503=0),"수량 없음",IF(G2503=0,"신규 (전년 수량 없음)",IF(H2503=0,"당해 수량 없음",""))))</f>
        <v/>
      </c>
      <c r="N2503" t="str">
        <f>IF($B2503="","",MATCH($B2503,'_calc'!$L$2:$L$3001,0))</f>
        <v/>
      </c>
    </row>
    <row r="2504">
      <c r="B2504" s="24" t="str">
        <f>IF(ROW()-ROW($B$8)&gt;nComp,"",ROW()-ROW($B$8))</f>
        <v/>
      </c>
      <c r="C2504" t="str">
        <f>IF($N2504="","",INDEX('_calc'!$A$2:$A$3001,$N2504))</f>
        <v/>
      </c>
      <c r="D2504" s="25" t="str">
        <f>IF($N2504="","",INDEX('_calc'!$C$2:$C$3001,$N2504))</f>
        <v/>
      </c>
      <c r="E2504" s="25" t="str">
        <f>IF($N2504="","",INDEX('_calc'!$D$2:$D$3001,$N2504))</f>
        <v/>
      </c>
      <c r="F2504" s="26" t="str">
        <f>IF($N2504="","",IF($E$8=0,"",E2504/$E$8))</f>
        <v/>
      </c>
      <c r="G2504" s="25" t="str">
        <f>IF($N2504="","",INDEX('_calc'!$E$2:$E$3001,$N2504))</f>
        <v/>
      </c>
      <c r="H2504" s="25" t="str">
        <f>IF($N2504="","",INDEX('_calc'!$F$2:$F$3001,$N2504))</f>
        <v/>
      </c>
      <c r="I2504" s="27" t="str">
        <f>IF($N2504="","",INDEX('_calc'!$H$2:$H$3001,$N2504))</f>
        <v/>
      </c>
      <c r="J2504" s="27" t="str">
        <f>IF($N2504="","",INDEX('_calc'!$I$2:$I$3001,$N2504))</f>
        <v/>
      </c>
      <c r="K2504" s="28" t="str">
        <f>IF($N2504="","",IF(OR(I2504="",J2504=""),"",J2504-I2504))</f>
        <v/>
      </c>
      <c r="L2504" s="29" t="str">
        <f>IF($N2504="","",INDEX('_calc'!$J$2:$J$3001,$N2504))</f>
        <v/>
      </c>
      <c r="M2504" s="2" t="str">
        <f>IF($N2504="","",IF(AND(G2504=0,H2504=0),"수량 없음",IF(G2504=0,"신규 (전년 수량 없음)",IF(H2504=0,"당해 수량 없음",""))))</f>
        <v/>
      </c>
      <c r="N2504" t="str">
        <f>IF($B2504="","",MATCH($B2504,'_calc'!$L$2:$L$3001,0))</f>
        <v/>
      </c>
    </row>
    <row r="2505">
      <c r="B2505" s="24" t="str">
        <f>IF(ROW()-ROW($B$8)&gt;nComp,"",ROW()-ROW($B$8))</f>
        <v/>
      </c>
      <c r="C2505" t="str">
        <f>IF($N2505="","",INDEX('_calc'!$A$2:$A$3001,$N2505))</f>
        <v/>
      </c>
      <c r="D2505" s="25" t="str">
        <f>IF($N2505="","",INDEX('_calc'!$C$2:$C$3001,$N2505))</f>
        <v/>
      </c>
      <c r="E2505" s="25" t="str">
        <f>IF($N2505="","",INDEX('_calc'!$D$2:$D$3001,$N2505))</f>
        <v/>
      </c>
      <c r="F2505" s="26" t="str">
        <f>IF($N2505="","",IF($E$8=0,"",E2505/$E$8))</f>
        <v/>
      </c>
      <c r="G2505" s="25" t="str">
        <f>IF($N2505="","",INDEX('_calc'!$E$2:$E$3001,$N2505))</f>
        <v/>
      </c>
      <c r="H2505" s="25" t="str">
        <f>IF($N2505="","",INDEX('_calc'!$F$2:$F$3001,$N2505))</f>
        <v/>
      </c>
      <c r="I2505" s="27" t="str">
        <f>IF($N2505="","",INDEX('_calc'!$H$2:$H$3001,$N2505))</f>
        <v/>
      </c>
      <c r="J2505" s="27" t="str">
        <f>IF($N2505="","",INDEX('_calc'!$I$2:$I$3001,$N2505))</f>
        <v/>
      </c>
      <c r="K2505" s="28" t="str">
        <f>IF($N2505="","",IF(OR(I2505="",J2505=""),"",J2505-I2505))</f>
        <v/>
      </c>
      <c r="L2505" s="29" t="str">
        <f>IF($N2505="","",INDEX('_calc'!$J$2:$J$3001,$N2505))</f>
        <v/>
      </c>
      <c r="M2505" s="2" t="str">
        <f>IF($N2505="","",IF(AND(G2505=0,H2505=0),"수량 없음",IF(G2505=0,"신규 (전년 수량 없음)",IF(H2505=0,"당해 수량 없음",""))))</f>
        <v/>
      </c>
      <c r="N2505" t="str">
        <f>IF($B2505="","",MATCH($B2505,'_calc'!$L$2:$L$3001,0))</f>
        <v/>
      </c>
    </row>
    <row r="2506">
      <c r="B2506" s="24" t="str">
        <f>IF(ROW()-ROW($B$8)&gt;nComp,"",ROW()-ROW($B$8))</f>
        <v/>
      </c>
      <c r="C2506" t="str">
        <f>IF($N2506="","",INDEX('_calc'!$A$2:$A$3001,$N2506))</f>
        <v/>
      </c>
      <c r="D2506" s="25" t="str">
        <f>IF($N2506="","",INDEX('_calc'!$C$2:$C$3001,$N2506))</f>
        <v/>
      </c>
      <c r="E2506" s="25" t="str">
        <f>IF($N2506="","",INDEX('_calc'!$D$2:$D$3001,$N2506))</f>
        <v/>
      </c>
      <c r="F2506" s="26" t="str">
        <f>IF($N2506="","",IF($E$8=0,"",E2506/$E$8))</f>
        <v/>
      </c>
      <c r="G2506" s="25" t="str">
        <f>IF($N2506="","",INDEX('_calc'!$E$2:$E$3001,$N2506))</f>
        <v/>
      </c>
      <c r="H2506" s="25" t="str">
        <f>IF($N2506="","",INDEX('_calc'!$F$2:$F$3001,$N2506))</f>
        <v/>
      </c>
      <c r="I2506" s="27" t="str">
        <f>IF($N2506="","",INDEX('_calc'!$H$2:$H$3001,$N2506))</f>
        <v/>
      </c>
      <c r="J2506" s="27" t="str">
        <f>IF($N2506="","",INDEX('_calc'!$I$2:$I$3001,$N2506))</f>
        <v/>
      </c>
      <c r="K2506" s="28" t="str">
        <f>IF($N2506="","",IF(OR(I2506="",J2506=""),"",J2506-I2506))</f>
        <v/>
      </c>
      <c r="L2506" s="29" t="str">
        <f>IF($N2506="","",INDEX('_calc'!$J$2:$J$3001,$N2506))</f>
        <v/>
      </c>
      <c r="M2506" s="2" t="str">
        <f>IF($N2506="","",IF(AND(G2506=0,H2506=0),"수량 없음",IF(G2506=0,"신규 (전년 수량 없음)",IF(H2506=0,"당해 수량 없음",""))))</f>
        <v/>
      </c>
      <c r="N2506" t="str">
        <f>IF($B2506="","",MATCH($B2506,'_calc'!$L$2:$L$3001,0))</f>
        <v/>
      </c>
    </row>
    <row r="2507">
      <c r="B2507" s="24" t="str">
        <f>IF(ROW()-ROW($B$8)&gt;nComp,"",ROW()-ROW($B$8))</f>
        <v/>
      </c>
      <c r="C2507" t="str">
        <f>IF($N2507="","",INDEX('_calc'!$A$2:$A$3001,$N2507))</f>
        <v/>
      </c>
      <c r="D2507" s="25" t="str">
        <f>IF($N2507="","",INDEX('_calc'!$C$2:$C$3001,$N2507))</f>
        <v/>
      </c>
      <c r="E2507" s="25" t="str">
        <f>IF($N2507="","",INDEX('_calc'!$D$2:$D$3001,$N2507))</f>
        <v/>
      </c>
      <c r="F2507" s="26" t="str">
        <f>IF($N2507="","",IF($E$8=0,"",E2507/$E$8))</f>
        <v/>
      </c>
      <c r="G2507" s="25" t="str">
        <f>IF($N2507="","",INDEX('_calc'!$E$2:$E$3001,$N2507))</f>
        <v/>
      </c>
      <c r="H2507" s="25" t="str">
        <f>IF($N2507="","",INDEX('_calc'!$F$2:$F$3001,$N2507))</f>
        <v/>
      </c>
      <c r="I2507" s="27" t="str">
        <f>IF($N2507="","",INDEX('_calc'!$H$2:$H$3001,$N2507))</f>
        <v/>
      </c>
      <c r="J2507" s="27" t="str">
        <f>IF($N2507="","",INDEX('_calc'!$I$2:$I$3001,$N2507))</f>
        <v/>
      </c>
      <c r="K2507" s="28" t="str">
        <f>IF($N2507="","",IF(OR(I2507="",J2507=""),"",J2507-I2507))</f>
        <v/>
      </c>
      <c r="L2507" s="29" t="str">
        <f>IF($N2507="","",INDEX('_calc'!$J$2:$J$3001,$N2507))</f>
        <v/>
      </c>
      <c r="M2507" s="2" t="str">
        <f>IF($N2507="","",IF(AND(G2507=0,H2507=0),"수량 없음",IF(G2507=0,"신규 (전년 수량 없음)",IF(H2507=0,"당해 수량 없음",""))))</f>
        <v/>
      </c>
      <c r="N2507" t="str">
        <f>IF($B2507="","",MATCH($B2507,'_calc'!$L$2:$L$3001,0))</f>
        <v/>
      </c>
    </row>
    <row r="2508">
      <c r="B2508" s="24" t="str">
        <f>IF(ROW()-ROW($B$8)&gt;nComp,"",ROW()-ROW($B$8))</f>
        <v/>
      </c>
      <c r="C2508" t="str">
        <f>IF($N2508="","",INDEX('_calc'!$A$2:$A$3001,$N2508))</f>
        <v/>
      </c>
      <c r="D2508" s="25" t="str">
        <f>IF($N2508="","",INDEX('_calc'!$C$2:$C$3001,$N2508))</f>
        <v/>
      </c>
      <c r="E2508" s="25" t="str">
        <f>IF($N2508="","",INDEX('_calc'!$D$2:$D$3001,$N2508))</f>
        <v/>
      </c>
      <c r="F2508" s="26" t="str">
        <f>IF($N2508="","",IF($E$8=0,"",E2508/$E$8))</f>
        <v/>
      </c>
      <c r="G2508" s="25" t="str">
        <f>IF($N2508="","",INDEX('_calc'!$E$2:$E$3001,$N2508))</f>
        <v/>
      </c>
      <c r="H2508" s="25" t="str">
        <f>IF($N2508="","",INDEX('_calc'!$F$2:$F$3001,$N2508))</f>
        <v/>
      </c>
      <c r="I2508" s="27" t="str">
        <f>IF($N2508="","",INDEX('_calc'!$H$2:$H$3001,$N2508))</f>
        <v/>
      </c>
      <c r="J2508" s="27" t="str">
        <f>IF($N2508="","",INDEX('_calc'!$I$2:$I$3001,$N2508))</f>
        <v/>
      </c>
      <c r="K2508" s="28" t="str">
        <f>IF($N2508="","",IF(OR(I2508="",J2508=""),"",J2508-I2508))</f>
        <v/>
      </c>
      <c r="L2508" s="29" t="str">
        <f>IF($N2508="","",INDEX('_calc'!$J$2:$J$3001,$N2508))</f>
        <v/>
      </c>
      <c r="M2508" s="2" t="str">
        <f>IF($N2508="","",IF(AND(G2508=0,H2508=0),"수량 없음",IF(G2508=0,"신규 (전년 수량 없음)",IF(H2508=0,"당해 수량 없음",""))))</f>
        <v/>
      </c>
      <c r="N2508" t="str">
        <f>IF($B2508="","",MATCH($B2508,'_calc'!$L$2:$L$3001,0))</f>
        <v/>
      </c>
    </row>
    <row r="2509">
      <c r="B2509" s="24" t="str">
        <f>IF(ROW()-ROW($B$8)&gt;nComp,"",ROW()-ROW($B$8))</f>
        <v/>
      </c>
      <c r="C2509" t="str">
        <f>IF($N2509="","",INDEX('_calc'!$A$2:$A$3001,$N2509))</f>
        <v/>
      </c>
      <c r="D2509" s="25" t="str">
        <f>IF($N2509="","",INDEX('_calc'!$C$2:$C$3001,$N2509))</f>
        <v/>
      </c>
      <c r="E2509" s="25" t="str">
        <f>IF($N2509="","",INDEX('_calc'!$D$2:$D$3001,$N2509))</f>
        <v/>
      </c>
      <c r="F2509" s="26" t="str">
        <f>IF($N2509="","",IF($E$8=0,"",E2509/$E$8))</f>
        <v/>
      </c>
      <c r="G2509" s="25" t="str">
        <f>IF($N2509="","",INDEX('_calc'!$E$2:$E$3001,$N2509))</f>
        <v/>
      </c>
      <c r="H2509" s="25" t="str">
        <f>IF($N2509="","",INDEX('_calc'!$F$2:$F$3001,$N2509))</f>
        <v/>
      </c>
      <c r="I2509" s="27" t="str">
        <f>IF($N2509="","",INDEX('_calc'!$H$2:$H$3001,$N2509))</f>
        <v/>
      </c>
      <c r="J2509" s="27" t="str">
        <f>IF($N2509="","",INDEX('_calc'!$I$2:$I$3001,$N2509))</f>
        <v/>
      </c>
      <c r="K2509" s="28" t="str">
        <f>IF($N2509="","",IF(OR(I2509="",J2509=""),"",J2509-I2509))</f>
        <v/>
      </c>
      <c r="L2509" s="29" t="str">
        <f>IF($N2509="","",INDEX('_calc'!$J$2:$J$3001,$N2509))</f>
        <v/>
      </c>
      <c r="M2509" s="2" t="str">
        <f>IF($N2509="","",IF(AND(G2509=0,H2509=0),"수량 없음",IF(G2509=0,"신규 (전년 수량 없음)",IF(H2509=0,"당해 수량 없음",""))))</f>
        <v/>
      </c>
      <c r="N2509" t="str">
        <f>IF($B2509="","",MATCH($B2509,'_calc'!$L$2:$L$3001,0))</f>
        <v/>
      </c>
    </row>
    <row r="2510">
      <c r="B2510" s="24" t="str">
        <f>IF(ROW()-ROW($B$8)&gt;nComp,"",ROW()-ROW($B$8))</f>
        <v/>
      </c>
      <c r="C2510" t="str">
        <f>IF($N2510="","",INDEX('_calc'!$A$2:$A$3001,$N2510))</f>
        <v/>
      </c>
      <c r="D2510" s="25" t="str">
        <f>IF($N2510="","",INDEX('_calc'!$C$2:$C$3001,$N2510))</f>
        <v/>
      </c>
      <c r="E2510" s="25" t="str">
        <f>IF($N2510="","",INDEX('_calc'!$D$2:$D$3001,$N2510))</f>
        <v/>
      </c>
      <c r="F2510" s="26" t="str">
        <f>IF($N2510="","",IF($E$8=0,"",E2510/$E$8))</f>
        <v/>
      </c>
      <c r="G2510" s="25" t="str">
        <f>IF($N2510="","",INDEX('_calc'!$E$2:$E$3001,$N2510))</f>
        <v/>
      </c>
      <c r="H2510" s="25" t="str">
        <f>IF($N2510="","",INDEX('_calc'!$F$2:$F$3001,$N2510))</f>
        <v/>
      </c>
      <c r="I2510" s="27" t="str">
        <f>IF($N2510="","",INDEX('_calc'!$H$2:$H$3001,$N2510))</f>
        <v/>
      </c>
      <c r="J2510" s="27" t="str">
        <f>IF($N2510="","",INDEX('_calc'!$I$2:$I$3001,$N2510))</f>
        <v/>
      </c>
      <c r="K2510" s="28" t="str">
        <f>IF($N2510="","",IF(OR(I2510="",J2510=""),"",J2510-I2510))</f>
        <v/>
      </c>
      <c r="L2510" s="29" t="str">
        <f>IF($N2510="","",INDEX('_calc'!$J$2:$J$3001,$N2510))</f>
        <v/>
      </c>
      <c r="M2510" s="2" t="str">
        <f>IF($N2510="","",IF(AND(G2510=0,H2510=0),"수량 없음",IF(G2510=0,"신규 (전년 수량 없음)",IF(H2510=0,"당해 수량 없음",""))))</f>
        <v/>
      </c>
      <c r="N2510" t="str">
        <f>IF($B2510="","",MATCH($B2510,'_calc'!$L$2:$L$3001,0))</f>
        <v/>
      </c>
    </row>
    <row r="2511">
      <c r="B2511" s="24" t="str">
        <f>IF(ROW()-ROW($B$8)&gt;nComp,"",ROW()-ROW($B$8))</f>
        <v/>
      </c>
      <c r="C2511" t="str">
        <f>IF($N2511="","",INDEX('_calc'!$A$2:$A$3001,$N2511))</f>
        <v/>
      </c>
      <c r="D2511" s="25" t="str">
        <f>IF($N2511="","",INDEX('_calc'!$C$2:$C$3001,$N2511))</f>
        <v/>
      </c>
      <c r="E2511" s="25" t="str">
        <f>IF($N2511="","",INDEX('_calc'!$D$2:$D$3001,$N2511))</f>
        <v/>
      </c>
      <c r="F2511" s="26" t="str">
        <f>IF($N2511="","",IF($E$8=0,"",E2511/$E$8))</f>
        <v/>
      </c>
      <c r="G2511" s="25" t="str">
        <f>IF($N2511="","",INDEX('_calc'!$E$2:$E$3001,$N2511))</f>
        <v/>
      </c>
      <c r="H2511" s="25" t="str">
        <f>IF($N2511="","",INDEX('_calc'!$F$2:$F$3001,$N2511))</f>
        <v/>
      </c>
      <c r="I2511" s="27" t="str">
        <f>IF($N2511="","",INDEX('_calc'!$H$2:$H$3001,$N2511))</f>
        <v/>
      </c>
      <c r="J2511" s="27" t="str">
        <f>IF($N2511="","",INDEX('_calc'!$I$2:$I$3001,$N2511))</f>
        <v/>
      </c>
      <c r="K2511" s="28" t="str">
        <f>IF($N2511="","",IF(OR(I2511="",J2511=""),"",J2511-I2511))</f>
        <v/>
      </c>
      <c r="L2511" s="29" t="str">
        <f>IF($N2511="","",INDEX('_calc'!$J$2:$J$3001,$N2511))</f>
        <v/>
      </c>
      <c r="M2511" s="2" t="str">
        <f>IF($N2511="","",IF(AND(G2511=0,H2511=0),"수량 없음",IF(G2511=0,"신규 (전년 수량 없음)",IF(H2511=0,"당해 수량 없음",""))))</f>
        <v/>
      </c>
      <c r="N2511" t="str">
        <f>IF($B2511="","",MATCH($B2511,'_calc'!$L$2:$L$3001,0))</f>
        <v/>
      </c>
    </row>
    <row r="2512">
      <c r="B2512" s="24" t="str">
        <f>IF(ROW()-ROW($B$8)&gt;nComp,"",ROW()-ROW($B$8))</f>
        <v/>
      </c>
      <c r="C2512" t="str">
        <f>IF($N2512="","",INDEX('_calc'!$A$2:$A$3001,$N2512))</f>
        <v/>
      </c>
      <c r="D2512" s="25" t="str">
        <f>IF($N2512="","",INDEX('_calc'!$C$2:$C$3001,$N2512))</f>
        <v/>
      </c>
      <c r="E2512" s="25" t="str">
        <f>IF($N2512="","",INDEX('_calc'!$D$2:$D$3001,$N2512))</f>
        <v/>
      </c>
      <c r="F2512" s="26" t="str">
        <f>IF($N2512="","",IF($E$8=0,"",E2512/$E$8))</f>
        <v/>
      </c>
      <c r="G2512" s="25" t="str">
        <f>IF($N2512="","",INDEX('_calc'!$E$2:$E$3001,$N2512))</f>
        <v/>
      </c>
      <c r="H2512" s="25" t="str">
        <f>IF($N2512="","",INDEX('_calc'!$F$2:$F$3001,$N2512))</f>
        <v/>
      </c>
      <c r="I2512" s="27" t="str">
        <f>IF($N2512="","",INDEX('_calc'!$H$2:$H$3001,$N2512))</f>
        <v/>
      </c>
      <c r="J2512" s="27" t="str">
        <f>IF($N2512="","",INDEX('_calc'!$I$2:$I$3001,$N2512))</f>
        <v/>
      </c>
      <c r="K2512" s="28" t="str">
        <f>IF($N2512="","",IF(OR(I2512="",J2512=""),"",J2512-I2512))</f>
        <v/>
      </c>
      <c r="L2512" s="29" t="str">
        <f>IF($N2512="","",INDEX('_calc'!$J$2:$J$3001,$N2512))</f>
        <v/>
      </c>
      <c r="M2512" s="2" t="str">
        <f>IF($N2512="","",IF(AND(G2512=0,H2512=0),"수량 없음",IF(G2512=0,"신규 (전년 수량 없음)",IF(H2512=0,"당해 수량 없음",""))))</f>
        <v/>
      </c>
      <c r="N2512" t="str">
        <f>IF($B2512="","",MATCH($B2512,'_calc'!$L$2:$L$3001,0))</f>
        <v/>
      </c>
    </row>
    <row r="2513">
      <c r="B2513" s="24" t="str">
        <f>IF(ROW()-ROW($B$8)&gt;nComp,"",ROW()-ROW($B$8))</f>
        <v/>
      </c>
      <c r="C2513" t="str">
        <f>IF($N2513="","",INDEX('_calc'!$A$2:$A$3001,$N2513))</f>
        <v/>
      </c>
      <c r="D2513" s="25" t="str">
        <f>IF($N2513="","",INDEX('_calc'!$C$2:$C$3001,$N2513))</f>
        <v/>
      </c>
      <c r="E2513" s="25" t="str">
        <f>IF($N2513="","",INDEX('_calc'!$D$2:$D$3001,$N2513))</f>
        <v/>
      </c>
      <c r="F2513" s="26" t="str">
        <f>IF($N2513="","",IF($E$8=0,"",E2513/$E$8))</f>
        <v/>
      </c>
      <c r="G2513" s="25" t="str">
        <f>IF($N2513="","",INDEX('_calc'!$E$2:$E$3001,$N2513))</f>
        <v/>
      </c>
      <c r="H2513" s="25" t="str">
        <f>IF($N2513="","",INDEX('_calc'!$F$2:$F$3001,$N2513))</f>
        <v/>
      </c>
      <c r="I2513" s="27" t="str">
        <f>IF($N2513="","",INDEX('_calc'!$H$2:$H$3001,$N2513))</f>
        <v/>
      </c>
      <c r="J2513" s="27" t="str">
        <f>IF($N2513="","",INDEX('_calc'!$I$2:$I$3001,$N2513))</f>
        <v/>
      </c>
      <c r="K2513" s="28" t="str">
        <f>IF($N2513="","",IF(OR(I2513="",J2513=""),"",J2513-I2513))</f>
        <v/>
      </c>
      <c r="L2513" s="29" t="str">
        <f>IF($N2513="","",INDEX('_calc'!$J$2:$J$3001,$N2513))</f>
        <v/>
      </c>
      <c r="M2513" s="2" t="str">
        <f>IF($N2513="","",IF(AND(G2513=0,H2513=0),"수량 없음",IF(G2513=0,"신규 (전년 수량 없음)",IF(H2513=0,"당해 수량 없음",""))))</f>
        <v/>
      </c>
      <c r="N2513" t="str">
        <f>IF($B2513="","",MATCH($B2513,'_calc'!$L$2:$L$3001,0))</f>
        <v/>
      </c>
    </row>
    <row r="2514">
      <c r="B2514" s="24" t="str">
        <f>IF(ROW()-ROW($B$8)&gt;nComp,"",ROW()-ROW($B$8))</f>
        <v/>
      </c>
      <c r="C2514" t="str">
        <f>IF($N2514="","",INDEX('_calc'!$A$2:$A$3001,$N2514))</f>
        <v/>
      </c>
      <c r="D2514" s="25" t="str">
        <f>IF($N2514="","",INDEX('_calc'!$C$2:$C$3001,$N2514))</f>
        <v/>
      </c>
      <c r="E2514" s="25" t="str">
        <f>IF($N2514="","",INDEX('_calc'!$D$2:$D$3001,$N2514))</f>
        <v/>
      </c>
      <c r="F2514" s="26" t="str">
        <f>IF($N2514="","",IF($E$8=0,"",E2514/$E$8))</f>
        <v/>
      </c>
      <c r="G2514" s="25" t="str">
        <f>IF($N2514="","",INDEX('_calc'!$E$2:$E$3001,$N2514))</f>
        <v/>
      </c>
      <c r="H2514" s="25" t="str">
        <f>IF($N2514="","",INDEX('_calc'!$F$2:$F$3001,$N2514))</f>
        <v/>
      </c>
      <c r="I2514" s="27" t="str">
        <f>IF($N2514="","",INDEX('_calc'!$H$2:$H$3001,$N2514))</f>
        <v/>
      </c>
      <c r="J2514" s="27" t="str">
        <f>IF($N2514="","",INDEX('_calc'!$I$2:$I$3001,$N2514))</f>
        <v/>
      </c>
      <c r="K2514" s="28" t="str">
        <f>IF($N2514="","",IF(OR(I2514="",J2514=""),"",J2514-I2514))</f>
        <v/>
      </c>
      <c r="L2514" s="29" t="str">
        <f>IF($N2514="","",INDEX('_calc'!$J$2:$J$3001,$N2514))</f>
        <v/>
      </c>
      <c r="M2514" s="2" t="str">
        <f>IF($N2514="","",IF(AND(G2514=0,H2514=0),"수량 없음",IF(G2514=0,"신규 (전년 수량 없음)",IF(H2514=0,"당해 수량 없음",""))))</f>
        <v/>
      </c>
      <c r="N2514" t="str">
        <f>IF($B2514="","",MATCH($B2514,'_calc'!$L$2:$L$3001,0))</f>
        <v/>
      </c>
    </row>
    <row r="2515">
      <c r="B2515" s="24" t="str">
        <f>IF(ROW()-ROW($B$8)&gt;nComp,"",ROW()-ROW($B$8))</f>
        <v/>
      </c>
      <c r="C2515" t="str">
        <f>IF($N2515="","",INDEX('_calc'!$A$2:$A$3001,$N2515))</f>
        <v/>
      </c>
      <c r="D2515" s="25" t="str">
        <f>IF($N2515="","",INDEX('_calc'!$C$2:$C$3001,$N2515))</f>
        <v/>
      </c>
      <c r="E2515" s="25" t="str">
        <f>IF($N2515="","",INDEX('_calc'!$D$2:$D$3001,$N2515))</f>
        <v/>
      </c>
      <c r="F2515" s="26" t="str">
        <f>IF($N2515="","",IF($E$8=0,"",E2515/$E$8))</f>
        <v/>
      </c>
      <c r="G2515" s="25" t="str">
        <f>IF($N2515="","",INDEX('_calc'!$E$2:$E$3001,$N2515))</f>
        <v/>
      </c>
      <c r="H2515" s="25" t="str">
        <f>IF($N2515="","",INDEX('_calc'!$F$2:$F$3001,$N2515))</f>
        <v/>
      </c>
      <c r="I2515" s="27" t="str">
        <f>IF($N2515="","",INDEX('_calc'!$H$2:$H$3001,$N2515))</f>
        <v/>
      </c>
      <c r="J2515" s="27" t="str">
        <f>IF($N2515="","",INDEX('_calc'!$I$2:$I$3001,$N2515))</f>
        <v/>
      </c>
      <c r="K2515" s="28" t="str">
        <f>IF($N2515="","",IF(OR(I2515="",J2515=""),"",J2515-I2515))</f>
        <v/>
      </c>
      <c r="L2515" s="29" t="str">
        <f>IF($N2515="","",INDEX('_calc'!$J$2:$J$3001,$N2515))</f>
        <v/>
      </c>
      <c r="M2515" s="2" t="str">
        <f>IF($N2515="","",IF(AND(G2515=0,H2515=0),"수량 없음",IF(G2515=0,"신규 (전년 수량 없음)",IF(H2515=0,"당해 수량 없음",""))))</f>
        <v/>
      </c>
      <c r="N2515" t="str">
        <f>IF($B2515="","",MATCH($B2515,'_calc'!$L$2:$L$3001,0))</f>
        <v/>
      </c>
    </row>
    <row r="2516">
      <c r="B2516" s="24" t="str">
        <f>IF(ROW()-ROW($B$8)&gt;nComp,"",ROW()-ROW($B$8))</f>
        <v/>
      </c>
      <c r="C2516" t="str">
        <f>IF($N2516="","",INDEX('_calc'!$A$2:$A$3001,$N2516))</f>
        <v/>
      </c>
      <c r="D2516" s="25" t="str">
        <f>IF($N2516="","",INDEX('_calc'!$C$2:$C$3001,$N2516))</f>
        <v/>
      </c>
      <c r="E2516" s="25" t="str">
        <f>IF($N2516="","",INDEX('_calc'!$D$2:$D$3001,$N2516))</f>
        <v/>
      </c>
      <c r="F2516" s="26" t="str">
        <f>IF($N2516="","",IF($E$8=0,"",E2516/$E$8))</f>
        <v/>
      </c>
      <c r="G2516" s="25" t="str">
        <f>IF($N2516="","",INDEX('_calc'!$E$2:$E$3001,$N2516))</f>
        <v/>
      </c>
      <c r="H2516" s="25" t="str">
        <f>IF($N2516="","",INDEX('_calc'!$F$2:$F$3001,$N2516))</f>
        <v/>
      </c>
      <c r="I2516" s="27" t="str">
        <f>IF($N2516="","",INDEX('_calc'!$H$2:$H$3001,$N2516))</f>
        <v/>
      </c>
      <c r="J2516" s="27" t="str">
        <f>IF($N2516="","",INDEX('_calc'!$I$2:$I$3001,$N2516))</f>
        <v/>
      </c>
      <c r="K2516" s="28" t="str">
        <f>IF($N2516="","",IF(OR(I2516="",J2516=""),"",J2516-I2516))</f>
        <v/>
      </c>
      <c r="L2516" s="29" t="str">
        <f>IF($N2516="","",INDEX('_calc'!$J$2:$J$3001,$N2516))</f>
        <v/>
      </c>
      <c r="M2516" s="2" t="str">
        <f>IF($N2516="","",IF(AND(G2516=0,H2516=0),"수량 없음",IF(G2516=0,"신규 (전년 수량 없음)",IF(H2516=0,"당해 수량 없음",""))))</f>
        <v/>
      </c>
      <c r="N2516" t="str">
        <f>IF($B2516="","",MATCH($B2516,'_calc'!$L$2:$L$3001,0))</f>
        <v/>
      </c>
    </row>
    <row r="2517">
      <c r="B2517" s="24" t="str">
        <f>IF(ROW()-ROW($B$8)&gt;nComp,"",ROW()-ROW($B$8))</f>
        <v/>
      </c>
      <c r="C2517" t="str">
        <f>IF($N2517="","",INDEX('_calc'!$A$2:$A$3001,$N2517))</f>
        <v/>
      </c>
      <c r="D2517" s="25" t="str">
        <f>IF($N2517="","",INDEX('_calc'!$C$2:$C$3001,$N2517))</f>
        <v/>
      </c>
      <c r="E2517" s="25" t="str">
        <f>IF($N2517="","",INDEX('_calc'!$D$2:$D$3001,$N2517))</f>
        <v/>
      </c>
      <c r="F2517" s="26" t="str">
        <f>IF($N2517="","",IF($E$8=0,"",E2517/$E$8))</f>
        <v/>
      </c>
      <c r="G2517" s="25" t="str">
        <f>IF($N2517="","",INDEX('_calc'!$E$2:$E$3001,$N2517))</f>
        <v/>
      </c>
      <c r="H2517" s="25" t="str">
        <f>IF($N2517="","",INDEX('_calc'!$F$2:$F$3001,$N2517))</f>
        <v/>
      </c>
      <c r="I2517" s="27" t="str">
        <f>IF($N2517="","",INDEX('_calc'!$H$2:$H$3001,$N2517))</f>
        <v/>
      </c>
      <c r="J2517" s="27" t="str">
        <f>IF($N2517="","",INDEX('_calc'!$I$2:$I$3001,$N2517))</f>
        <v/>
      </c>
      <c r="K2517" s="28" t="str">
        <f>IF($N2517="","",IF(OR(I2517="",J2517=""),"",J2517-I2517))</f>
        <v/>
      </c>
      <c r="L2517" s="29" t="str">
        <f>IF($N2517="","",INDEX('_calc'!$J$2:$J$3001,$N2517))</f>
        <v/>
      </c>
      <c r="M2517" s="2" t="str">
        <f>IF($N2517="","",IF(AND(G2517=0,H2517=0),"수량 없음",IF(G2517=0,"신규 (전년 수량 없음)",IF(H2517=0,"당해 수량 없음",""))))</f>
        <v/>
      </c>
      <c r="N2517" t="str">
        <f>IF($B2517="","",MATCH($B2517,'_calc'!$L$2:$L$3001,0))</f>
        <v/>
      </c>
    </row>
    <row r="2518">
      <c r="B2518" s="24" t="str">
        <f>IF(ROW()-ROW($B$8)&gt;nComp,"",ROW()-ROW($B$8))</f>
        <v/>
      </c>
      <c r="C2518" t="str">
        <f>IF($N2518="","",INDEX('_calc'!$A$2:$A$3001,$N2518))</f>
        <v/>
      </c>
      <c r="D2518" s="25" t="str">
        <f>IF($N2518="","",INDEX('_calc'!$C$2:$C$3001,$N2518))</f>
        <v/>
      </c>
      <c r="E2518" s="25" t="str">
        <f>IF($N2518="","",INDEX('_calc'!$D$2:$D$3001,$N2518))</f>
        <v/>
      </c>
      <c r="F2518" s="26" t="str">
        <f>IF($N2518="","",IF($E$8=0,"",E2518/$E$8))</f>
        <v/>
      </c>
      <c r="G2518" s="25" t="str">
        <f>IF($N2518="","",INDEX('_calc'!$E$2:$E$3001,$N2518))</f>
        <v/>
      </c>
      <c r="H2518" s="25" t="str">
        <f>IF($N2518="","",INDEX('_calc'!$F$2:$F$3001,$N2518))</f>
        <v/>
      </c>
      <c r="I2518" s="27" t="str">
        <f>IF($N2518="","",INDEX('_calc'!$H$2:$H$3001,$N2518))</f>
        <v/>
      </c>
      <c r="J2518" s="27" t="str">
        <f>IF($N2518="","",INDEX('_calc'!$I$2:$I$3001,$N2518))</f>
        <v/>
      </c>
      <c r="K2518" s="28" t="str">
        <f>IF($N2518="","",IF(OR(I2518="",J2518=""),"",J2518-I2518))</f>
        <v/>
      </c>
      <c r="L2518" s="29" t="str">
        <f>IF($N2518="","",INDEX('_calc'!$J$2:$J$3001,$N2518))</f>
        <v/>
      </c>
      <c r="M2518" s="2" t="str">
        <f>IF($N2518="","",IF(AND(G2518=0,H2518=0),"수량 없음",IF(G2518=0,"신규 (전년 수량 없음)",IF(H2518=0,"당해 수량 없음",""))))</f>
        <v/>
      </c>
      <c r="N2518" t="str">
        <f>IF($B2518="","",MATCH($B2518,'_calc'!$L$2:$L$3001,0))</f>
        <v/>
      </c>
    </row>
    <row r="2519">
      <c r="B2519" s="24" t="str">
        <f>IF(ROW()-ROW($B$8)&gt;nComp,"",ROW()-ROW($B$8))</f>
        <v/>
      </c>
      <c r="C2519" t="str">
        <f>IF($N2519="","",INDEX('_calc'!$A$2:$A$3001,$N2519))</f>
        <v/>
      </c>
      <c r="D2519" s="25" t="str">
        <f>IF($N2519="","",INDEX('_calc'!$C$2:$C$3001,$N2519))</f>
        <v/>
      </c>
      <c r="E2519" s="25" t="str">
        <f>IF($N2519="","",INDEX('_calc'!$D$2:$D$3001,$N2519))</f>
        <v/>
      </c>
      <c r="F2519" s="26" t="str">
        <f>IF($N2519="","",IF($E$8=0,"",E2519/$E$8))</f>
        <v/>
      </c>
      <c r="G2519" s="25" t="str">
        <f>IF($N2519="","",INDEX('_calc'!$E$2:$E$3001,$N2519))</f>
        <v/>
      </c>
      <c r="H2519" s="25" t="str">
        <f>IF($N2519="","",INDEX('_calc'!$F$2:$F$3001,$N2519))</f>
        <v/>
      </c>
      <c r="I2519" s="27" t="str">
        <f>IF($N2519="","",INDEX('_calc'!$H$2:$H$3001,$N2519))</f>
        <v/>
      </c>
      <c r="J2519" s="27" t="str">
        <f>IF($N2519="","",INDEX('_calc'!$I$2:$I$3001,$N2519))</f>
        <v/>
      </c>
      <c r="K2519" s="28" t="str">
        <f>IF($N2519="","",IF(OR(I2519="",J2519=""),"",J2519-I2519))</f>
        <v/>
      </c>
      <c r="L2519" s="29" t="str">
        <f>IF($N2519="","",INDEX('_calc'!$J$2:$J$3001,$N2519))</f>
        <v/>
      </c>
      <c r="M2519" s="2" t="str">
        <f>IF($N2519="","",IF(AND(G2519=0,H2519=0),"수량 없음",IF(G2519=0,"신규 (전년 수량 없음)",IF(H2519=0,"당해 수량 없음",""))))</f>
        <v/>
      </c>
      <c r="N2519" t="str">
        <f>IF($B2519="","",MATCH($B2519,'_calc'!$L$2:$L$3001,0))</f>
        <v/>
      </c>
    </row>
    <row r="2520">
      <c r="B2520" s="24" t="str">
        <f>IF(ROW()-ROW($B$8)&gt;nComp,"",ROW()-ROW($B$8))</f>
        <v/>
      </c>
      <c r="C2520" t="str">
        <f>IF($N2520="","",INDEX('_calc'!$A$2:$A$3001,$N2520))</f>
        <v/>
      </c>
      <c r="D2520" s="25" t="str">
        <f>IF($N2520="","",INDEX('_calc'!$C$2:$C$3001,$N2520))</f>
        <v/>
      </c>
      <c r="E2520" s="25" t="str">
        <f>IF($N2520="","",INDEX('_calc'!$D$2:$D$3001,$N2520))</f>
        <v/>
      </c>
      <c r="F2520" s="26" t="str">
        <f>IF($N2520="","",IF($E$8=0,"",E2520/$E$8))</f>
        <v/>
      </c>
      <c r="G2520" s="25" t="str">
        <f>IF($N2520="","",INDEX('_calc'!$E$2:$E$3001,$N2520))</f>
        <v/>
      </c>
      <c r="H2520" s="25" t="str">
        <f>IF($N2520="","",INDEX('_calc'!$F$2:$F$3001,$N2520))</f>
        <v/>
      </c>
      <c r="I2520" s="27" t="str">
        <f>IF($N2520="","",INDEX('_calc'!$H$2:$H$3001,$N2520))</f>
        <v/>
      </c>
      <c r="J2520" s="27" t="str">
        <f>IF($N2520="","",INDEX('_calc'!$I$2:$I$3001,$N2520))</f>
        <v/>
      </c>
      <c r="K2520" s="28" t="str">
        <f>IF($N2520="","",IF(OR(I2520="",J2520=""),"",J2520-I2520))</f>
        <v/>
      </c>
      <c r="L2520" s="29" t="str">
        <f>IF($N2520="","",INDEX('_calc'!$J$2:$J$3001,$N2520))</f>
        <v/>
      </c>
      <c r="M2520" s="2" t="str">
        <f>IF($N2520="","",IF(AND(G2520=0,H2520=0),"수량 없음",IF(G2520=0,"신규 (전년 수량 없음)",IF(H2520=0,"당해 수량 없음",""))))</f>
        <v/>
      </c>
      <c r="N2520" t="str">
        <f>IF($B2520="","",MATCH($B2520,'_calc'!$L$2:$L$3001,0))</f>
        <v/>
      </c>
    </row>
    <row r="2521">
      <c r="B2521" s="24" t="str">
        <f>IF(ROW()-ROW($B$8)&gt;nComp,"",ROW()-ROW($B$8))</f>
        <v/>
      </c>
      <c r="C2521" t="str">
        <f>IF($N2521="","",INDEX('_calc'!$A$2:$A$3001,$N2521))</f>
        <v/>
      </c>
      <c r="D2521" s="25" t="str">
        <f>IF($N2521="","",INDEX('_calc'!$C$2:$C$3001,$N2521))</f>
        <v/>
      </c>
      <c r="E2521" s="25" t="str">
        <f>IF($N2521="","",INDEX('_calc'!$D$2:$D$3001,$N2521))</f>
        <v/>
      </c>
      <c r="F2521" s="26" t="str">
        <f>IF($N2521="","",IF($E$8=0,"",E2521/$E$8))</f>
        <v/>
      </c>
      <c r="G2521" s="25" t="str">
        <f>IF($N2521="","",INDEX('_calc'!$E$2:$E$3001,$N2521))</f>
        <v/>
      </c>
      <c r="H2521" s="25" t="str">
        <f>IF($N2521="","",INDEX('_calc'!$F$2:$F$3001,$N2521))</f>
        <v/>
      </c>
      <c r="I2521" s="27" t="str">
        <f>IF($N2521="","",INDEX('_calc'!$H$2:$H$3001,$N2521))</f>
        <v/>
      </c>
      <c r="J2521" s="27" t="str">
        <f>IF($N2521="","",INDEX('_calc'!$I$2:$I$3001,$N2521))</f>
        <v/>
      </c>
      <c r="K2521" s="28" t="str">
        <f>IF($N2521="","",IF(OR(I2521="",J2521=""),"",J2521-I2521))</f>
        <v/>
      </c>
      <c r="L2521" s="29" t="str">
        <f>IF($N2521="","",INDEX('_calc'!$J$2:$J$3001,$N2521))</f>
        <v/>
      </c>
      <c r="M2521" s="2" t="str">
        <f>IF($N2521="","",IF(AND(G2521=0,H2521=0),"수량 없음",IF(G2521=0,"신규 (전년 수량 없음)",IF(H2521=0,"당해 수량 없음",""))))</f>
        <v/>
      </c>
      <c r="N2521" t="str">
        <f>IF($B2521="","",MATCH($B2521,'_calc'!$L$2:$L$3001,0))</f>
        <v/>
      </c>
    </row>
    <row r="2522">
      <c r="B2522" s="24" t="str">
        <f>IF(ROW()-ROW($B$8)&gt;nComp,"",ROW()-ROW($B$8))</f>
        <v/>
      </c>
      <c r="C2522" t="str">
        <f>IF($N2522="","",INDEX('_calc'!$A$2:$A$3001,$N2522))</f>
        <v/>
      </c>
      <c r="D2522" s="25" t="str">
        <f>IF($N2522="","",INDEX('_calc'!$C$2:$C$3001,$N2522))</f>
        <v/>
      </c>
      <c r="E2522" s="25" t="str">
        <f>IF($N2522="","",INDEX('_calc'!$D$2:$D$3001,$N2522))</f>
        <v/>
      </c>
      <c r="F2522" s="26" t="str">
        <f>IF($N2522="","",IF($E$8=0,"",E2522/$E$8))</f>
        <v/>
      </c>
      <c r="G2522" s="25" t="str">
        <f>IF($N2522="","",INDEX('_calc'!$E$2:$E$3001,$N2522))</f>
        <v/>
      </c>
      <c r="H2522" s="25" t="str">
        <f>IF($N2522="","",INDEX('_calc'!$F$2:$F$3001,$N2522))</f>
        <v/>
      </c>
      <c r="I2522" s="27" t="str">
        <f>IF($N2522="","",INDEX('_calc'!$H$2:$H$3001,$N2522))</f>
        <v/>
      </c>
      <c r="J2522" s="27" t="str">
        <f>IF($N2522="","",INDEX('_calc'!$I$2:$I$3001,$N2522))</f>
        <v/>
      </c>
      <c r="K2522" s="28" t="str">
        <f>IF($N2522="","",IF(OR(I2522="",J2522=""),"",J2522-I2522))</f>
        <v/>
      </c>
      <c r="L2522" s="29" t="str">
        <f>IF($N2522="","",INDEX('_calc'!$J$2:$J$3001,$N2522))</f>
        <v/>
      </c>
      <c r="M2522" s="2" t="str">
        <f>IF($N2522="","",IF(AND(G2522=0,H2522=0),"수량 없음",IF(G2522=0,"신규 (전년 수량 없음)",IF(H2522=0,"당해 수량 없음",""))))</f>
        <v/>
      </c>
      <c r="N2522" t="str">
        <f>IF($B2522="","",MATCH($B2522,'_calc'!$L$2:$L$3001,0))</f>
        <v/>
      </c>
    </row>
    <row r="2523">
      <c r="B2523" s="24" t="str">
        <f>IF(ROW()-ROW($B$8)&gt;nComp,"",ROW()-ROW($B$8))</f>
        <v/>
      </c>
      <c r="C2523" t="str">
        <f>IF($N2523="","",INDEX('_calc'!$A$2:$A$3001,$N2523))</f>
        <v/>
      </c>
      <c r="D2523" s="25" t="str">
        <f>IF($N2523="","",INDEX('_calc'!$C$2:$C$3001,$N2523))</f>
        <v/>
      </c>
      <c r="E2523" s="25" t="str">
        <f>IF($N2523="","",INDEX('_calc'!$D$2:$D$3001,$N2523))</f>
        <v/>
      </c>
      <c r="F2523" s="26" t="str">
        <f>IF($N2523="","",IF($E$8=0,"",E2523/$E$8))</f>
        <v/>
      </c>
      <c r="G2523" s="25" t="str">
        <f>IF($N2523="","",INDEX('_calc'!$E$2:$E$3001,$N2523))</f>
        <v/>
      </c>
      <c r="H2523" s="25" t="str">
        <f>IF($N2523="","",INDEX('_calc'!$F$2:$F$3001,$N2523))</f>
        <v/>
      </c>
      <c r="I2523" s="27" t="str">
        <f>IF($N2523="","",INDEX('_calc'!$H$2:$H$3001,$N2523))</f>
        <v/>
      </c>
      <c r="J2523" s="27" t="str">
        <f>IF($N2523="","",INDEX('_calc'!$I$2:$I$3001,$N2523))</f>
        <v/>
      </c>
      <c r="K2523" s="28" t="str">
        <f>IF($N2523="","",IF(OR(I2523="",J2523=""),"",J2523-I2523))</f>
        <v/>
      </c>
      <c r="L2523" s="29" t="str">
        <f>IF($N2523="","",INDEX('_calc'!$J$2:$J$3001,$N2523))</f>
        <v/>
      </c>
      <c r="M2523" s="2" t="str">
        <f>IF($N2523="","",IF(AND(G2523=0,H2523=0),"수량 없음",IF(G2523=0,"신규 (전년 수량 없음)",IF(H2523=0,"당해 수량 없음",""))))</f>
        <v/>
      </c>
      <c r="N2523" t="str">
        <f>IF($B2523="","",MATCH($B2523,'_calc'!$L$2:$L$3001,0))</f>
        <v/>
      </c>
    </row>
    <row r="2524">
      <c r="B2524" s="24" t="str">
        <f>IF(ROW()-ROW($B$8)&gt;nComp,"",ROW()-ROW($B$8))</f>
        <v/>
      </c>
      <c r="C2524" t="str">
        <f>IF($N2524="","",INDEX('_calc'!$A$2:$A$3001,$N2524))</f>
        <v/>
      </c>
      <c r="D2524" s="25" t="str">
        <f>IF($N2524="","",INDEX('_calc'!$C$2:$C$3001,$N2524))</f>
        <v/>
      </c>
      <c r="E2524" s="25" t="str">
        <f>IF($N2524="","",INDEX('_calc'!$D$2:$D$3001,$N2524))</f>
        <v/>
      </c>
      <c r="F2524" s="26" t="str">
        <f>IF($N2524="","",IF($E$8=0,"",E2524/$E$8))</f>
        <v/>
      </c>
      <c r="G2524" s="25" t="str">
        <f>IF($N2524="","",INDEX('_calc'!$E$2:$E$3001,$N2524))</f>
        <v/>
      </c>
      <c r="H2524" s="25" t="str">
        <f>IF($N2524="","",INDEX('_calc'!$F$2:$F$3001,$N2524))</f>
        <v/>
      </c>
      <c r="I2524" s="27" t="str">
        <f>IF($N2524="","",INDEX('_calc'!$H$2:$H$3001,$N2524))</f>
        <v/>
      </c>
      <c r="J2524" s="27" t="str">
        <f>IF($N2524="","",INDEX('_calc'!$I$2:$I$3001,$N2524))</f>
        <v/>
      </c>
      <c r="K2524" s="28" t="str">
        <f>IF($N2524="","",IF(OR(I2524="",J2524=""),"",J2524-I2524))</f>
        <v/>
      </c>
      <c r="L2524" s="29" t="str">
        <f>IF($N2524="","",INDEX('_calc'!$J$2:$J$3001,$N2524))</f>
        <v/>
      </c>
      <c r="M2524" s="2" t="str">
        <f>IF($N2524="","",IF(AND(G2524=0,H2524=0),"수량 없음",IF(G2524=0,"신규 (전년 수량 없음)",IF(H2524=0,"당해 수량 없음",""))))</f>
        <v/>
      </c>
      <c r="N2524" t="str">
        <f>IF($B2524="","",MATCH($B2524,'_calc'!$L$2:$L$3001,0))</f>
        <v/>
      </c>
    </row>
    <row r="2525">
      <c r="B2525" s="24" t="str">
        <f>IF(ROW()-ROW($B$8)&gt;nComp,"",ROW()-ROW($B$8))</f>
        <v/>
      </c>
      <c r="C2525" t="str">
        <f>IF($N2525="","",INDEX('_calc'!$A$2:$A$3001,$N2525))</f>
        <v/>
      </c>
      <c r="D2525" s="25" t="str">
        <f>IF($N2525="","",INDEX('_calc'!$C$2:$C$3001,$N2525))</f>
        <v/>
      </c>
      <c r="E2525" s="25" t="str">
        <f>IF($N2525="","",INDEX('_calc'!$D$2:$D$3001,$N2525))</f>
        <v/>
      </c>
      <c r="F2525" s="26" t="str">
        <f>IF($N2525="","",IF($E$8=0,"",E2525/$E$8))</f>
        <v/>
      </c>
      <c r="G2525" s="25" t="str">
        <f>IF($N2525="","",INDEX('_calc'!$E$2:$E$3001,$N2525))</f>
        <v/>
      </c>
      <c r="H2525" s="25" t="str">
        <f>IF($N2525="","",INDEX('_calc'!$F$2:$F$3001,$N2525))</f>
        <v/>
      </c>
      <c r="I2525" s="27" t="str">
        <f>IF($N2525="","",INDEX('_calc'!$H$2:$H$3001,$N2525))</f>
        <v/>
      </c>
      <c r="J2525" s="27" t="str">
        <f>IF($N2525="","",INDEX('_calc'!$I$2:$I$3001,$N2525))</f>
        <v/>
      </c>
      <c r="K2525" s="28" t="str">
        <f>IF($N2525="","",IF(OR(I2525="",J2525=""),"",J2525-I2525))</f>
        <v/>
      </c>
      <c r="L2525" s="29" t="str">
        <f>IF($N2525="","",INDEX('_calc'!$J$2:$J$3001,$N2525))</f>
        <v/>
      </c>
      <c r="M2525" s="2" t="str">
        <f>IF($N2525="","",IF(AND(G2525=0,H2525=0),"수량 없음",IF(G2525=0,"신규 (전년 수량 없음)",IF(H2525=0,"당해 수량 없음",""))))</f>
        <v/>
      </c>
      <c r="N2525" t="str">
        <f>IF($B2525="","",MATCH($B2525,'_calc'!$L$2:$L$3001,0))</f>
        <v/>
      </c>
    </row>
    <row r="2526">
      <c r="B2526" s="24" t="str">
        <f>IF(ROW()-ROW($B$8)&gt;nComp,"",ROW()-ROW($B$8))</f>
        <v/>
      </c>
      <c r="C2526" t="str">
        <f>IF($N2526="","",INDEX('_calc'!$A$2:$A$3001,$N2526))</f>
        <v/>
      </c>
      <c r="D2526" s="25" t="str">
        <f>IF($N2526="","",INDEX('_calc'!$C$2:$C$3001,$N2526))</f>
        <v/>
      </c>
      <c r="E2526" s="25" t="str">
        <f>IF($N2526="","",INDEX('_calc'!$D$2:$D$3001,$N2526))</f>
        <v/>
      </c>
      <c r="F2526" s="26" t="str">
        <f>IF($N2526="","",IF($E$8=0,"",E2526/$E$8))</f>
        <v/>
      </c>
      <c r="G2526" s="25" t="str">
        <f>IF($N2526="","",INDEX('_calc'!$E$2:$E$3001,$N2526))</f>
        <v/>
      </c>
      <c r="H2526" s="25" t="str">
        <f>IF($N2526="","",INDEX('_calc'!$F$2:$F$3001,$N2526))</f>
        <v/>
      </c>
      <c r="I2526" s="27" t="str">
        <f>IF($N2526="","",INDEX('_calc'!$H$2:$H$3001,$N2526))</f>
        <v/>
      </c>
      <c r="J2526" s="27" t="str">
        <f>IF($N2526="","",INDEX('_calc'!$I$2:$I$3001,$N2526))</f>
        <v/>
      </c>
      <c r="K2526" s="28" t="str">
        <f>IF($N2526="","",IF(OR(I2526="",J2526=""),"",J2526-I2526))</f>
        <v/>
      </c>
      <c r="L2526" s="29" t="str">
        <f>IF($N2526="","",INDEX('_calc'!$J$2:$J$3001,$N2526))</f>
        <v/>
      </c>
      <c r="M2526" s="2" t="str">
        <f>IF($N2526="","",IF(AND(G2526=0,H2526=0),"수량 없음",IF(G2526=0,"신규 (전년 수량 없음)",IF(H2526=0,"당해 수량 없음",""))))</f>
        <v/>
      </c>
      <c r="N2526" t="str">
        <f>IF($B2526="","",MATCH($B2526,'_calc'!$L$2:$L$3001,0))</f>
        <v/>
      </c>
    </row>
    <row r="2527">
      <c r="B2527" s="24" t="str">
        <f>IF(ROW()-ROW($B$8)&gt;nComp,"",ROW()-ROW($B$8))</f>
        <v/>
      </c>
      <c r="C2527" t="str">
        <f>IF($N2527="","",INDEX('_calc'!$A$2:$A$3001,$N2527))</f>
        <v/>
      </c>
      <c r="D2527" s="25" t="str">
        <f>IF($N2527="","",INDEX('_calc'!$C$2:$C$3001,$N2527))</f>
        <v/>
      </c>
      <c r="E2527" s="25" t="str">
        <f>IF($N2527="","",INDEX('_calc'!$D$2:$D$3001,$N2527))</f>
        <v/>
      </c>
      <c r="F2527" s="26" t="str">
        <f>IF($N2527="","",IF($E$8=0,"",E2527/$E$8))</f>
        <v/>
      </c>
      <c r="G2527" s="25" t="str">
        <f>IF($N2527="","",INDEX('_calc'!$E$2:$E$3001,$N2527))</f>
        <v/>
      </c>
      <c r="H2527" s="25" t="str">
        <f>IF($N2527="","",INDEX('_calc'!$F$2:$F$3001,$N2527))</f>
        <v/>
      </c>
      <c r="I2527" s="27" t="str">
        <f>IF($N2527="","",INDEX('_calc'!$H$2:$H$3001,$N2527))</f>
        <v/>
      </c>
      <c r="J2527" s="27" t="str">
        <f>IF($N2527="","",INDEX('_calc'!$I$2:$I$3001,$N2527))</f>
        <v/>
      </c>
      <c r="K2527" s="28" t="str">
        <f>IF($N2527="","",IF(OR(I2527="",J2527=""),"",J2527-I2527))</f>
        <v/>
      </c>
      <c r="L2527" s="29" t="str">
        <f>IF($N2527="","",INDEX('_calc'!$J$2:$J$3001,$N2527))</f>
        <v/>
      </c>
      <c r="M2527" s="2" t="str">
        <f>IF($N2527="","",IF(AND(G2527=0,H2527=0),"수량 없음",IF(G2527=0,"신규 (전년 수량 없음)",IF(H2527=0,"당해 수량 없음",""))))</f>
        <v/>
      </c>
      <c r="N2527" t="str">
        <f>IF($B2527="","",MATCH($B2527,'_calc'!$L$2:$L$3001,0))</f>
        <v/>
      </c>
    </row>
    <row r="2528">
      <c r="B2528" s="24" t="str">
        <f>IF(ROW()-ROW($B$8)&gt;nComp,"",ROW()-ROW($B$8))</f>
        <v/>
      </c>
      <c r="C2528" t="str">
        <f>IF($N2528="","",INDEX('_calc'!$A$2:$A$3001,$N2528))</f>
        <v/>
      </c>
      <c r="D2528" s="25" t="str">
        <f>IF($N2528="","",INDEX('_calc'!$C$2:$C$3001,$N2528))</f>
        <v/>
      </c>
      <c r="E2528" s="25" t="str">
        <f>IF($N2528="","",INDEX('_calc'!$D$2:$D$3001,$N2528))</f>
        <v/>
      </c>
      <c r="F2528" s="26" t="str">
        <f>IF($N2528="","",IF($E$8=0,"",E2528/$E$8))</f>
        <v/>
      </c>
      <c r="G2528" s="25" t="str">
        <f>IF($N2528="","",INDEX('_calc'!$E$2:$E$3001,$N2528))</f>
        <v/>
      </c>
      <c r="H2528" s="25" t="str">
        <f>IF($N2528="","",INDEX('_calc'!$F$2:$F$3001,$N2528))</f>
        <v/>
      </c>
      <c r="I2528" s="27" t="str">
        <f>IF($N2528="","",INDEX('_calc'!$H$2:$H$3001,$N2528))</f>
        <v/>
      </c>
      <c r="J2528" s="27" t="str">
        <f>IF($N2528="","",INDEX('_calc'!$I$2:$I$3001,$N2528))</f>
        <v/>
      </c>
      <c r="K2528" s="28" t="str">
        <f>IF($N2528="","",IF(OR(I2528="",J2528=""),"",J2528-I2528))</f>
        <v/>
      </c>
      <c r="L2528" s="29" t="str">
        <f>IF($N2528="","",INDEX('_calc'!$J$2:$J$3001,$N2528))</f>
        <v/>
      </c>
      <c r="M2528" s="2" t="str">
        <f>IF($N2528="","",IF(AND(G2528=0,H2528=0),"수량 없음",IF(G2528=0,"신규 (전년 수량 없음)",IF(H2528=0,"당해 수량 없음",""))))</f>
        <v/>
      </c>
      <c r="N2528" t="str">
        <f>IF($B2528="","",MATCH($B2528,'_calc'!$L$2:$L$3001,0))</f>
        <v/>
      </c>
    </row>
    <row r="2529">
      <c r="B2529" s="24" t="str">
        <f>IF(ROW()-ROW($B$8)&gt;nComp,"",ROW()-ROW($B$8))</f>
        <v/>
      </c>
      <c r="C2529" t="str">
        <f>IF($N2529="","",INDEX('_calc'!$A$2:$A$3001,$N2529))</f>
        <v/>
      </c>
      <c r="D2529" s="25" t="str">
        <f>IF($N2529="","",INDEX('_calc'!$C$2:$C$3001,$N2529))</f>
        <v/>
      </c>
      <c r="E2529" s="25" t="str">
        <f>IF($N2529="","",INDEX('_calc'!$D$2:$D$3001,$N2529))</f>
        <v/>
      </c>
      <c r="F2529" s="26" t="str">
        <f>IF($N2529="","",IF($E$8=0,"",E2529/$E$8))</f>
        <v/>
      </c>
      <c r="G2529" s="25" t="str">
        <f>IF($N2529="","",INDEX('_calc'!$E$2:$E$3001,$N2529))</f>
        <v/>
      </c>
      <c r="H2529" s="25" t="str">
        <f>IF($N2529="","",INDEX('_calc'!$F$2:$F$3001,$N2529))</f>
        <v/>
      </c>
      <c r="I2529" s="27" t="str">
        <f>IF($N2529="","",INDEX('_calc'!$H$2:$H$3001,$N2529))</f>
        <v/>
      </c>
      <c r="J2529" s="27" t="str">
        <f>IF($N2529="","",INDEX('_calc'!$I$2:$I$3001,$N2529))</f>
        <v/>
      </c>
      <c r="K2529" s="28" t="str">
        <f>IF($N2529="","",IF(OR(I2529="",J2529=""),"",J2529-I2529))</f>
        <v/>
      </c>
      <c r="L2529" s="29" t="str">
        <f>IF($N2529="","",INDEX('_calc'!$J$2:$J$3001,$N2529))</f>
        <v/>
      </c>
      <c r="M2529" s="2" t="str">
        <f>IF($N2529="","",IF(AND(G2529=0,H2529=0),"수량 없음",IF(G2529=0,"신규 (전년 수량 없음)",IF(H2529=0,"당해 수량 없음",""))))</f>
        <v/>
      </c>
      <c r="N2529" t="str">
        <f>IF($B2529="","",MATCH($B2529,'_calc'!$L$2:$L$3001,0))</f>
        <v/>
      </c>
    </row>
    <row r="2530">
      <c r="B2530" s="24" t="str">
        <f>IF(ROW()-ROW($B$8)&gt;nComp,"",ROW()-ROW($B$8))</f>
        <v/>
      </c>
      <c r="C2530" t="str">
        <f>IF($N2530="","",INDEX('_calc'!$A$2:$A$3001,$N2530))</f>
        <v/>
      </c>
      <c r="D2530" s="25" t="str">
        <f>IF($N2530="","",INDEX('_calc'!$C$2:$C$3001,$N2530))</f>
        <v/>
      </c>
      <c r="E2530" s="25" t="str">
        <f>IF($N2530="","",INDEX('_calc'!$D$2:$D$3001,$N2530))</f>
        <v/>
      </c>
      <c r="F2530" s="26" t="str">
        <f>IF($N2530="","",IF($E$8=0,"",E2530/$E$8))</f>
        <v/>
      </c>
      <c r="G2530" s="25" t="str">
        <f>IF($N2530="","",INDEX('_calc'!$E$2:$E$3001,$N2530))</f>
        <v/>
      </c>
      <c r="H2530" s="25" t="str">
        <f>IF($N2530="","",INDEX('_calc'!$F$2:$F$3001,$N2530))</f>
        <v/>
      </c>
      <c r="I2530" s="27" t="str">
        <f>IF($N2530="","",INDEX('_calc'!$H$2:$H$3001,$N2530))</f>
        <v/>
      </c>
      <c r="J2530" s="27" t="str">
        <f>IF($N2530="","",INDEX('_calc'!$I$2:$I$3001,$N2530))</f>
        <v/>
      </c>
      <c r="K2530" s="28" t="str">
        <f>IF($N2530="","",IF(OR(I2530="",J2530=""),"",J2530-I2530))</f>
        <v/>
      </c>
      <c r="L2530" s="29" t="str">
        <f>IF($N2530="","",INDEX('_calc'!$J$2:$J$3001,$N2530))</f>
        <v/>
      </c>
      <c r="M2530" s="2" t="str">
        <f>IF($N2530="","",IF(AND(G2530=0,H2530=0),"수량 없음",IF(G2530=0,"신규 (전년 수량 없음)",IF(H2530=0,"당해 수량 없음",""))))</f>
        <v/>
      </c>
      <c r="N2530" t="str">
        <f>IF($B2530="","",MATCH($B2530,'_calc'!$L$2:$L$3001,0))</f>
        <v/>
      </c>
    </row>
    <row r="2531">
      <c r="B2531" s="24" t="str">
        <f>IF(ROW()-ROW($B$8)&gt;nComp,"",ROW()-ROW($B$8))</f>
        <v/>
      </c>
      <c r="C2531" t="str">
        <f>IF($N2531="","",INDEX('_calc'!$A$2:$A$3001,$N2531))</f>
        <v/>
      </c>
      <c r="D2531" s="25" t="str">
        <f>IF($N2531="","",INDEX('_calc'!$C$2:$C$3001,$N2531))</f>
        <v/>
      </c>
      <c r="E2531" s="25" t="str">
        <f>IF($N2531="","",INDEX('_calc'!$D$2:$D$3001,$N2531))</f>
        <v/>
      </c>
      <c r="F2531" s="26" t="str">
        <f>IF($N2531="","",IF($E$8=0,"",E2531/$E$8))</f>
        <v/>
      </c>
      <c r="G2531" s="25" t="str">
        <f>IF($N2531="","",INDEX('_calc'!$E$2:$E$3001,$N2531))</f>
        <v/>
      </c>
      <c r="H2531" s="25" t="str">
        <f>IF($N2531="","",INDEX('_calc'!$F$2:$F$3001,$N2531))</f>
        <v/>
      </c>
      <c r="I2531" s="27" t="str">
        <f>IF($N2531="","",INDEX('_calc'!$H$2:$H$3001,$N2531))</f>
        <v/>
      </c>
      <c r="J2531" s="27" t="str">
        <f>IF($N2531="","",INDEX('_calc'!$I$2:$I$3001,$N2531))</f>
        <v/>
      </c>
      <c r="K2531" s="28" t="str">
        <f>IF($N2531="","",IF(OR(I2531="",J2531=""),"",J2531-I2531))</f>
        <v/>
      </c>
      <c r="L2531" s="29" t="str">
        <f>IF($N2531="","",INDEX('_calc'!$J$2:$J$3001,$N2531))</f>
        <v/>
      </c>
      <c r="M2531" s="2" t="str">
        <f>IF($N2531="","",IF(AND(G2531=0,H2531=0),"수량 없음",IF(G2531=0,"신규 (전년 수량 없음)",IF(H2531=0,"당해 수량 없음",""))))</f>
        <v/>
      </c>
      <c r="N2531" t="str">
        <f>IF($B2531="","",MATCH($B2531,'_calc'!$L$2:$L$3001,0))</f>
        <v/>
      </c>
    </row>
    <row r="2532">
      <c r="B2532" s="24" t="str">
        <f>IF(ROW()-ROW($B$8)&gt;nComp,"",ROW()-ROW($B$8))</f>
        <v/>
      </c>
      <c r="C2532" t="str">
        <f>IF($N2532="","",INDEX('_calc'!$A$2:$A$3001,$N2532))</f>
        <v/>
      </c>
      <c r="D2532" s="25" t="str">
        <f>IF($N2532="","",INDEX('_calc'!$C$2:$C$3001,$N2532))</f>
        <v/>
      </c>
      <c r="E2532" s="25" t="str">
        <f>IF($N2532="","",INDEX('_calc'!$D$2:$D$3001,$N2532))</f>
        <v/>
      </c>
      <c r="F2532" s="26" t="str">
        <f>IF($N2532="","",IF($E$8=0,"",E2532/$E$8))</f>
        <v/>
      </c>
      <c r="G2532" s="25" t="str">
        <f>IF($N2532="","",INDEX('_calc'!$E$2:$E$3001,$N2532))</f>
        <v/>
      </c>
      <c r="H2532" s="25" t="str">
        <f>IF($N2532="","",INDEX('_calc'!$F$2:$F$3001,$N2532))</f>
        <v/>
      </c>
      <c r="I2532" s="27" t="str">
        <f>IF($N2532="","",INDEX('_calc'!$H$2:$H$3001,$N2532))</f>
        <v/>
      </c>
      <c r="J2532" s="27" t="str">
        <f>IF($N2532="","",INDEX('_calc'!$I$2:$I$3001,$N2532))</f>
        <v/>
      </c>
      <c r="K2532" s="28" t="str">
        <f>IF($N2532="","",IF(OR(I2532="",J2532=""),"",J2532-I2532))</f>
        <v/>
      </c>
      <c r="L2532" s="29" t="str">
        <f>IF($N2532="","",INDEX('_calc'!$J$2:$J$3001,$N2532))</f>
        <v/>
      </c>
      <c r="M2532" s="2" t="str">
        <f>IF($N2532="","",IF(AND(G2532=0,H2532=0),"수량 없음",IF(G2532=0,"신규 (전년 수량 없음)",IF(H2532=0,"당해 수량 없음",""))))</f>
        <v/>
      </c>
      <c r="N2532" t="str">
        <f>IF($B2532="","",MATCH($B2532,'_calc'!$L$2:$L$3001,0))</f>
        <v/>
      </c>
    </row>
    <row r="2533">
      <c r="B2533" s="24" t="str">
        <f>IF(ROW()-ROW($B$8)&gt;nComp,"",ROW()-ROW($B$8))</f>
        <v/>
      </c>
      <c r="C2533" t="str">
        <f>IF($N2533="","",INDEX('_calc'!$A$2:$A$3001,$N2533))</f>
        <v/>
      </c>
      <c r="D2533" s="25" t="str">
        <f>IF($N2533="","",INDEX('_calc'!$C$2:$C$3001,$N2533))</f>
        <v/>
      </c>
      <c r="E2533" s="25" t="str">
        <f>IF($N2533="","",INDEX('_calc'!$D$2:$D$3001,$N2533))</f>
        <v/>
      </c>
      <c r="F2533" s="26" t="str">
        <f>IF($N2533="","",IF($E$8=0,"",E2533/$E$8))</f>
        <v/>
      </c>
      <c r="G2533" s="25" t="str">
        <f>IF($N2533="","",INDEX('_calc'!$E$2:$E$3001,$N2533))</f>
        <v/>
      </c>
      <c r="H2533" s="25" t="str">
        <f>IF($N2533="","",INDEX('_calc'!$F$2:$F$3001,$N2533))</f>
        <v/>
      </c>
      <c r="I2533" s="27" t="str">
        <f>IF($N2533="","",INDEX('_calc'!$H$2:$H$3001,$N2533))</f>
        <v/>
      </c>
      <c r="J2533" s="27" t="str">
        <f>IF($N2533="","",INDEX('_calc'!$I$2:$I$3001,$N2533))</f>
        <v/>
      </c>
      <c r="K2533" s="28" t="str">
        <f>IF($N2533="","",IF(OR(I2533="",J2533=""),"",J2533-I2533))</f>
        <v/>
      </c>
      <c r="L2533" s="29" t="str">
        <f>IF($N2533="","",INDEX('_calc'!$J$2:$J$3001,$N2533))</f>
        <v/>
      </c>
      <c r="M2533" s="2" t="str">
        <f>IF($N2533="","",IF(AND(G2533=0,H2533=0),"수량 없음",IF(G2533=0,"신규 (전년 수량 없음)",IF(H2533=0,"당해 수량 없음",""))))</f>
        <v/>
      </c>
      <c r="N2533" t="str">
        <f>IF($B2533="","",MATCH($B2533,'_calc'!$L$2:$L$3001,0))</f>
        <v/>
      </c>
    </row>
    <row r="2534">
      <c r="B2534" s="24" t="str">
        <f>IF(ROW()-ROW($B$8)&gt;nComp,"",ROW()-ROW($B$8))</f>
        <v/>
      </c>
      <c r="C2534" t="str">
        <f>IF($N2534="","",INDEX('_calc'!$A$2:$A$3001,$N2534))</f>
        <v/>
      </c>
      <c r="D2534" s="25" t="str">
        <f>IF($N2534="","",INDEX('_calc'!$C$2:$C$3001,$N2534))</f>
        <v/>
      </c>
      <c r="E2534" s="25" t="str">
        <f>IF($N2534="","",INDEX('_calc'!$D$2:$D$3001,$N2534))</f>
        <v/>
      </c>
      <c r="F2534" s="26" t="str">
        <f>IF($N2534="","",IF($E$8=0,"",E2534/$E$8))</f>
        <v/>
      </c>
      <c r="G2534" s="25" t="str">
        <f>IF($N2534="","",INDEX('_calc'!$E$2:$E$3001,$N2534))</f>
        <v/>
      </c>
      <c r="H2534" s="25" t="str">
        <f>IF($N2534="","",INDEX('_calc'!$F$2:$F$3001,$N2534))</f>
        <v/>
      </c>
      <c r="I2534" s="27" t="str">
        <f>IF($N2534="","",INDEX('_calc'!$H$2:$H$3001,$N2534))</f>
        <v/>
      </c>
      <c r="J2534" s="27" t="str">
        <f>IF($N2534="","",INDEX('_calc'!$I$2:$I$3001,$N2534))</f>
        <v/>
      </c>
      <c r="K2534" s="28" t="str">
        <f>IF($N2534="","",IF(OR(I2534="",J2534=""),"",J2534-I2534))</f>
        <v/>
      </c>
      <c r="L2534" s="29" t="str">
        <f>IF($N2534="","",INDEX('_calc'!$J$2:$J$3001,$N2534))</f>
        <v/>
      </c>
      <c r="M2534" s="2" t="str">
        <f>IF($N2534="","",IF(AND(G2534=0,H2534=0),"수량 없음",IF(G2534=0,"신규 (전년 수량 없음)",IF(H2534=0,"당해 수량 없음",""))))</f>
        <v/>
      </c>
      <c r="N2534" t="str">
        <f>IF($B2534="","",MATCH($B2534,'_calc'!$L$2:$L$3001,0))</f>
        <v/>
      </c>
    </row>
    <row r="2535">
      <c r="B2535" s="24" t="str">
        <f>IF(ROW()-ROW($B$8)&gt;nComp,"",ROW()-ROW($B$8))</f>
        <v/>
      </c>
      <c r="C2535" t="str">
        <f>IF($N2535="","",INDEX('_calc'!$A$2:$A$3001,$N2535))</f>
        <v/>
      </c>
      <c r="D2535" s="25" t="str">
        <f>IF($N2535="","",INDEX('_calc'!$C$2:$C$3001,$N2535))</f>
        <v/>
      </c>
      <c r="E2535" s="25" t="str">
        <f>IF($N2535="","",INDEX('_calc'!$D$2:$D$3001,$N2535))</f>
        <v/>
      </c>
      <c r="F2535" s="26" t="str">
        <f>IF($N2535="","",IF($E$8=0,"",E2535/$E$8))</f>
        <v/>
      </c>
      <c r="G2535" s="25" t="str">
        <f>IF($N2535="","",INDEX('_calc'!$E$2:$E$3001,$N2535))</f>
        <v/>
      </c>
      <c r="H2535" s="25" t="str">
        <f>IF($N2535="","",INDEX('_calc'!$F$2:$F$3001,$N2535))</f>
        <v/>
      </c>
      <c r="I2535" s="27" t="str">
        <f>IF($N2535="","",INDEX('_calc'!$H$2:$H$3001,$N2535))</f>
        <v/>
      </c>
      <c r="J2535" s="27" t="str">
        <f>IF($N2535="","",INDEX('_calc'!$I$2:$I$3001,$N2535))</f>
        <v/>
      </c>
      <c r="K2535" s="28" t="str">
        <f>IF($N2535="","",IF(OR(I2535="",J2535=""),"",J2535-I2535))</f>
        <v/>
      </c>
      <c r="L2535" s="29" t="str">
        <f>IF($N2535="","",INDEX('_calc'!$J$2:$J$3001,$N2535))</f>
        <v/>
      </c>
      <c r="M2535" s="2" t="str">
        <f>IF($N2535="","",IF(AND(G2535=0,H2535=0),"수량 없음",IF(G2535=0,"신규 (전년 수량 없음)",IF(H2535=0,"당해 수량 없음",""))))</f>
        <v/>
      </c>
      <c r="N2535" t="str">
        <f>IF($B2535="","",MATCH($B2535,'_calc'!$L$2:$L$3001,0))</f>
        <v/>
      </c>
    </row>
    <row r="2536">
      <c r="B2536" s="24" t="str">
        <f>IF(ROW()-ROW($B$8)&gt;nComp,"",ROW()-ROW($B$8))</f>
        <v/>
      </c>
      <c r="C2536" t="str">
        <f>IF($N2536="","",INDEX('_calc'!$A$2:$A$3001,$N2536))</f>
        <v/>
      </c>
      <c r="D2536" s="25" t="str">
        <f>IF($N2536="","",INDEX('_calc'!$C$2:$C$3001,$N2536))</f>
        <v/>
      </c>
      <c r="E2536" s="25" t="str">
        <f>IF($N2536="","",INDEX('_calc'!$D$2:$D$3001,$N2536))</f>
        <v/>
      </c>
      <c r="F2536" s="26" t="str">
        <f>IF($N2536="","",IF($E$8=0,"",E2536/$E$8))</f>
        <v/>
      </c>
      <c r="G2536" s="25" t="str">
        <f>IF($N2536="","",INDEX('_calc'!$E$2:$E$3001,$N2536))</f>
        <v/>
      </c>
      <c r="H2536" s="25" t="str">
        <f>IF($N2536="","",INDEX('_calc'!$F$2:$F$3001,$N2536))</f>
        <v/>
      </c>
      <c r="I2536" s="27" t="str">
        <f>IF($N2536="","",INDEX('_calc'!$H$2:$H$3001,$N2536))</f>
        <v/>
      </c>
      <c r="J2536" s="27" t="str">
        <f>IF($N2536="","",INDEX('_calc'!$I$2:$I$3001,$N2536))</f>
        <v/>
      </c>
      <c r="K2536" s="28" t="str">
        <f>IF($N2536="","",IF(OR(I2536="",J2536=""),"",J2536-I2536))</f>
        <v/>
      </c>
      <c r="L2536" s="29" t="str">
        <f>IF($N2536="","",INDEX('_calc'!$J$2:$J$3001,$N2536))</f>
        <v/>
      </c>
      <c r="M2536" s="2" t="str">
        <f>IF($N2536="","",IF(AND(G2536=0,H2536=0),"수량 없음",IF(G2536=0,"신규 (전년 수량 없음)",IF(H2536=0,"당해 수량 없음",""))))</f>
        <v/>
      </c>
      <c r="N2536" t="str">
        <f>IF($B2536="","",MATCH($B2536,'_calc'!$L$2:$L$3001,0))</f>
        <v/>
      </c>
    </row>
    <row r="2537">
      <c r="B2537" s="24" t="str">
        <f>IF(ROW()-ROW($B$8)&gt;nComp,"",ROW()-ROW($B$8))</f>
        <v/>
      </c>
      <c r="C2537" t="str">
        <f>IF($N2537="","",INDEX('_calc'!$A$2:$A$3001,$N2537))</f>
        <v/>
      </c>
      <c r="D2537" s="25" t="str">
        <f>IF($N2537="","",INDEX('_calc'!$C$2:$C$3001,$N2537))</f>
        <v/>
      </c>
      <c r="E2537" s="25" t="str">
        <f>IF($N2537="","",INDEX('_calc'!$D$2:$D$3001,$N2537))</f>
        <v/>
      </c>
      <c r="F2537" s="26" t="str">
        <f>IF($N2537="","",IF($E$8=0,"",E2537/$E$8))</f>
        <v/>
      </c>
      <c r="G2537" s="25" t="str">
        <f>IF($N2537="","",INDEX('_calc'!$E$2:$E$3001,$N2537))</f>
        <v/>
      </c>
      <c r="H2537" s="25" t="str">
        <f>IF($N2537="","",INDEX('_calc'!$F$2:$F$3001,$N2537))</f>
        <v/>
      </c>
      <c r="I2537" s="27" t="str">
        <f>IF($N2537="","",INDEX('_calc'!$H$2:$H$3001,$N2537))</f>
        <v/>
      </c>
      <c r="J2537" s="27" t="str">
        <f>IF($N2537="","",INDEX('_calc'!$I$2:$I$3001,$N2537))</f>
        <v/>
      </c>
      <c r="K2537" s="28" t="str">
        <f>IF($N2537="","",IF(OR(I2537="",J2537=""),"",J2537-I2537))</f>
        <v/>
      </c>
      <c r="L2537" s="29" t="str">
        <f>IF($N2537="","",INDEX('_calc'!$J$2:$J$3001,$N2537))</f>
        <v/>
      </c>
      <c r="M2537" s="2" t="str">
        <f>IF($N2537="","",IF(AND(G2537=0,H2537=0),"수량 없음",IF(G2537=0,"신규 (전년 수량 없음)",IF(H2537=0,"당해 수량 없음",""))))</f>
        <v/>
      </c>
      <c r="N2537" t="str">
        <f>IF($B2537="","",MATCH($B2537,'_calc'!$L$2:$L$3001,0))</f>
        <v/>
      </c>
    </row>
    <row r="2538">
      <c r="B2538" s="24" t="str">
        <f>IF(ROW()-ROW($B$8)&gt;nComp,"",ROW()-ROW($B$8))</f>
        <v/>
      </c>
      <c r="C2538" t="str">
        <f>IF($N2538="","",INDEX('_calc'!$A$2:$A$3001,$N2538))</f>
        <v/>
      </c>
      <c r="D2538" s="25" t="str">
        <f>IF($N2538="","",INDEX('_calc'!$C$2:$C$3001,$N2538))</f>
        <v/>
      </c>
      <c r="E2538" s="25" t="str">
        <f>IF($N2538="","",INDEX('_calc'!$D$2:$D$3001,$N2538))</f>
        <v/>
      </c>
      <c r="F2538" s="26" t="str">
        <f>IF($N2538="","",IF($E$8=0,"",E2538/$E$8))</f>
        <v/>
      </c>
      <c r="G2538" s="25" t="str">
        <f>IF($N2538="","",INDEX('_calc'!$E$2:$E$3001,$N2538))</f>
        <v/>
      </c>
      <c r="H2538" s="25" t="str">
        <f>IF($N2538="","",INDEX('_calc'!$F$2:$F$3001,$N2538))</f>
        <v/>
      </c>
      <c r="I2538" s="27" t="str">
        <f>IF($N2538="","",INDEX('_calc'!$H$2:$H$3001,$N2538))</f>
        <v/>
      </c>
      <c r="J2538" s="27" t="str">
        <f>IF($N2538="","",INDEX('_calc'!$I$2:$I$3001,$N2538))</f>
        <v/>
      </c>
      <c r="K2538" s="28" t="str">
        <f>IF($N2538="","",IF(OR(I2538="",J2538=""),"",J2538-I2538))</f>
        <v/>
      </c>
      <c r="L2538" s="29" t="str">
        <f>IF($N2538="","",INDEX('_calc'!$J$2:$J$3001,$N2538))</f>
        <v/>
      </c>
      <c r="M2538" s="2" t="str">
        <f>IF($N2538="","",IF(AND(G2538=0,H2538=0),"수량 없음",IF(G2538=0,"신규 (전년 수량 없음)",IF(H2538=0,"당해 수량 없음",""))))</f>
        <v/>
      </c>
      <c r="N2538" t="str">
        <f>IF($B2538="","",MATCH($B2538,'_calc'!$L$2:$L$3001,0))</f>
        <v/>
      </c>
    </row>
    <row r="2539">
      <c r="B2539" s="24" t="str">
        <f>IF(ROW()-ROW($B$8)&gt;nComp,"",ROW()-ROW($B$8))</f>
        <v/>
      </c>
      <c r="C2539" t="str">
        <f>IF($N2539="","",INDEX('_calc'!$A$2:$A$3001,$N2539))</f>
        <v/>
      </c>
      <c r="D2539" s="25" t="str">
        <f>IF($N2539="","",INDEX('_calc'!$C$2:$C$3001,$N2539))</f>
        <v/>
      </c>
      <c r="E2539" s="25" t="str">
        <f>IF($N2539="","",INDEX('_calc'!$D$2:$D$3001,$N2539))</f>
        <v/>
      </c>
      <c r="F2539" s="26" t="str">
        <f>IF($N2539="","",IF($E$8=0,"",E2539/$E$8))</f>
        <v/>
      </c>
      <c r="G2539" s="25" t="str">
        <f>IF($N2539="","",INDEX('_calc'!$E$2:$E$3001,$N2539))</f>
        <v/>
      </c>
      <c r="H2539" s="25" t="str">
        <f>IF($N2539="","",INDEX('_calc'!$F$2:$F$3001,$N2539))</f>
        <v/>
      </c>
      <c r="I2539" s="27" t="str">
        <f>IF($N2539="","",INDEX('_calc'!$H$2:$H$3001,$N2539))</f>
        <v/>
      </c>
      <c r="J2539" s="27" t="str">
        <f>IF($N2539="","",INDEX('_calc'!$I$2:$I$3001,$N2539))</f>
        <v/>
      </c>
      <c r="K2539" s="28" t="str">
        <f>IF($N2539="","",IF(OR(I2539="",J2539=""),"",J2539-I2539))</f>
        <v/>
      </c>
      <c r="L2539" s="29" t="str">
        <f>IF($N2539="","",INDEX('_calc'!$J$2:$J$3001,$N2539))</f>
        <v/>
      </c>
      <c r="M2539" s="2" t="str">
        <f>IF($N2539="","",IF(AND(G2539=0,H2539=0),"수량 없음",IF(G2539=0,"신규 (전년 수량 없음)",IF(H2539=0,"당해 수량 없음",""))))</f>
        <v/>
      </c>
      <c r="N2539" t="str">
        <f>IF($B2539="","",MATCH($B2539,'_calc'!$L$2:$L$3001,0))</f>
        <v/>
      </c>
    </row>
    <row r="2540">
      <c r="B2540" s="24" t="str">
        <f>IF(ROW()-ROW($B$8)&gt;nComp,"",ROW()-ROW($B$8))</f>
        <v/>
      </c>
      <c r="C2540" t="str">
        <f>IF($N2540="","",INDEX('_calc'!$A$2:$A$3001,$N2540))</f>
        <v/>
      </c>
      <c r="D2540" s="25" t="str">
        <f>IF($N2540="","",INDEX('_calc'!$C$2:$C$3001,$N2540))</f>
        <v/>
      </c>
      <c r="E2540" s="25" t="str">
        <f>IF($N2540="","",INDEX('_calc'!$D$2:$D$3001,$N2540))</f>
        <v/>
      </c>
      <c r="F2540" s="26" t="str">
        <f>IF($N2540="","",IF($E$8=0,"",E2540/$E$8))</f>
        <v/>
      </c>
      <c r="G2540" s="25" t="str">
        <f>IF($N2540="","",INDEX('_calc'!$E$2:$E$3001,$N2540))</f>
        <v/>
      </c>
      <c r="H2540" s="25" t="str">
        <f>IF($N2540="","",INDEX('_calc'!$F$2:$F$3001,$N2540))</f>
        <v/>
      </c>
      <c r="I2540" s="27" t="str">
        <f>IF($N2540="","",INDEX('_calc'!$H$2:$H$3001,$N2540))</f>
        <v/>
      </c>
      <c r="J2540" s="27" t="str">
        <f>IF($N2540="","",INDEX('_calc'!$I$2:$I$3001,$N2540))</f>
        <v/>
      </c>
      <c r="K2540" s="28" t="str">
        <f>IF($N2540="","",IF(OR(I2540="",J2540=""),"",J2540-I2540))</f>
        <v/>
      </c>
      <c r="L2540" s="29" t="str">
        <f>IF($N2540="","",INDEX('_calc'!$J$2:$J$3001,$N2540))</f>
        <v/>
      </c>
      <c r="M2540" s="2" t="str">
        <f>IF($N2540="","",IF(AND(G2540=0,H2540=0),"수량 없음",IF(G2540=0,"신규 (전년 수량 없음)",IF(H2540=0,"당해 수량 없음",""))))</f>
        <v/>
      </c>
      <c r="N2540" t="str">
        <f>IF($B2540="","",MATCH($B2540,'_calc'!$L$2:$L$3001,0))</f>
        <v/>
      </c>
    </row>
    <row r="2541">
      <c r="B2541" s="24" t="str">
        <f>IF(ROW()-ROW($B$8)&gt;nComp,"",ROW()-ROW($B$8))</f>
        <v/>
      </c>
      <c r="C2541" t="str">
        <f>IF($N2541="","",INDEX('_calc'!$A$2:$A$3001,$N2541))</f>
        <v/>
      </c>
      <c r="D2541" s="25" t="str">
        <f>IF($N2541="","",INDEX('_calc'!$C$2:$C$3001,$N2541))</f>
        <v/>
      </c>
      <c r="E2541" s="25" t="str">
        <f>IF($N2541="","",INDEX('_calc'!$D$2:$D$3001,$N2541))</f>
        <v/>
      </c>
      <c r="F2541" s="26" t="str">
        <f>IF($N2541="","",IF($E$8=0,"",E2541/$E$8))</f>
        <v/>
      </c>
      <c r="G2541" s="25" t="str">
        <f>IF($N2541="","",INDEX('_calc'!$E$2:$E$3001,$N2541))</f>
        <v/>
      </c>
      <c r="H2541" s="25" t="str">
        <f>IF($N2541="","",INDEX('_calc'!$F$2:$F$3001,$N2541))</f>
        <v/>
      </c>
      <c r="I2541" s="27" t="str">
        <f>IF($N2541="","",INDEX('_calc'!$H$2:$H$3001,$N2541))</f>
        <v/>
      </c>
      <c r="J2541" s="27" t="str">
        <f>IF($N2541="","",INDEX('_calc'!$I$2:$I$3001,$N2541))</f>
        <v/>
      </c>
      <c r="K2541" s="28" t="str">
        <f>IF($N2541="","",IF(OR(I2541="",J2541=""),"",J2541-I2541))</f>
        <v/>
      </c>
      <c r="L2541" s="29" t="str">
        <f>IF($N2541="","",INDEX('_calc'!$J$2:$J$3001,$N2541))</f>
        <v/>
      </c>
      <c r="M2541" s="2" t="str">
        <f>IF($N2541="","",IF(AND(G2541=0,H2541=0),"수량 없음",IF(G2541=0,"신규 (전년 수량 없음)",IF(H2541=0,"당해 수량 없음",""))))</f>
        <v/>
      </c>
      <c r="N2541" t="str">
        <f>IF($B2541="","",MATCH($B2541,'_calc'!$L$2:$L$3001,0))</f>
        <v/>
      </c>
    </row>
    <row r="2542">
      <c r="B2542" s="24" t="str">
        <f>IF(ROW()-ROW($B$8)&gt;nComp,"",ROW()-ROW($B$8))</f>
        <v/>
      </c>
      <c r="C2542" t="str">
        <f>IF($N2542="","",INDEX('_calc'!$A$2:$A$3001,$N2542))</f>
        <v/>
      </c>
      <c r="D2542" s="25" t="str">
        <f>IF($N2542="","",INDEX('_calc'!$C$2:$C$3001,$N2542))</f>
        <v/>
      </c>
      <c r="E2542" s="25" t="str">
        <f>IF($N2542="","",INDEX('_calc'!$D$2:$D$3001,$N2542))</f>
        <v/>
      </c>
      <c r="F2542" s="26" t="str">
        <f>IF($N2542="","",IF($E$8=0,"",E2542/$E$8))</f>
        <v/>
      </c>
      <c r="G2542" s="25" t="str">
        <f>IF($N2542="","",INDEX('_calc'!$E$2:$E$3001,$N2542))</f>
        <v/>
      </c>
      <c r="H2542" s="25" t="str">
        <f>IF($N2542="","",INDEX('_calc'!$F$2:$F$3001,$N2542))</f>
        <v/>
      </c>
      <c r="I2542" s="27" t="str">
        <f>IF($N2542="","",INDEX('_calc'!$H$2:$H$3001,$N2542))</f>
        <v/>
      </c>
      <c r="J2542" s="27" t="str">
        <f>IF($N2542="","",INDEX('_calc'!$I$2:$I$3001,$N2542))</f>
        <v/>
      </c>
      <c r="K2542" s="28" t="str">
        <f>IF($N2542="","",IF(OR(I2542="",J2542=""),"",J2542-I2542))</f>
        <v/>
      </c>
      <c r="L2542" s="29" t="str">
        <f>IF($N2542="","",INDEX('_calc'!$J$2:$J$3001,$N2542))</f>
        <v/>
      </c>
      <c r="M2542" s="2" t="str">
        <f>IF($N2542="","",IF(AND(G2542=0,H2542=0),"수량 없음",IF(G2542=0,"신규 (전년 수량 없음)",IF(H2542=0,"당해 수량 없음",""))))</f>
        <v/>
      </c>
      <c r="N2542" t="str">
        <f>IF($B2542="","",MATCH($B2542,'_calc'!$L$2:$L$3001,0))</f>
        <v/>
      </c>
    </row>
    <row r="2543">
      <c r="B2543" s="24" t="str">
        <f>IF(ROW()-ROW($B$8)&gt;nComp,"",ROW()-ROW($B$8))</f>
        <v/>
      </c>
      <c r="C2543" t="str">
        <f>IF($N2543="","",INDEX('_calc'!$A$2:$A$3001,$N2543))</f>
        <v/>
      </c>
      <c r="D2543" s="25" t="str">
        <f>IF($N2543="","",INDEX('_calc'!$C$2:$C$3001,$N2543))</f>
        <v/>
      </c>
      <c r="E2543" s="25" t="str">
        <f>IF($N2543="","",INDEX('_calc'!$D$2:$D$3001,$N2543))</f>
        <v/>
      </c>
      <c r="F2543" s="26" t="str">
        <f>IF($N2543="","",IF($E$8=0,"",E2543/$E$8))</f>
        <v/>
      </c>
      <c r="G2543" s="25" t="str">
        <f>IF($N2543="","",INDEX('_calc'!$E$2:$E$3001,$N2543))</f>
        <v/>
      </c>
      <c r="H2543" s="25" t="str">
        <f>IF($N2543="","",INDEX('_calc'!$F$2:$F$3001,$N2543))</f>
        <v/>
      </c>
      <c r="I2543" s="27" t="str">
        <f>IF($N2543="","",INDEX('_calc'!$H$2:$H$3001,$N2543))</f>
        <v/>
      </c>
      <c r="J2543" s="27" t="str">
        <f>IF($N2543="","",INDEX('_calc'!$I$2:$I$3001,$N2543))</f>
        <v/>
      </c>
      <c r="K2543" s="28" t="str">
        <f>IF($N2543="","",IF(OR(I2543="",J2543=""),"",J2543-I2543))</f>
        <v/>
      </c>
      <c r="L2543" s="29" t="str">
        <f>IF($N2543="","",INDEX('_calc'!$J$2:$J$3001,$N2543))</f>
        <v/>
      </c>
      <c r="M2543" s="2" t="str">
        <f>IF($N2543="","",IF(AND(G2543=0,H2543=0),"수량 없음",IF(G2543=0,"신규 (전년 수량 없음)",IF(H2543=0,"당해 수량 없음",""))))</f>
        <v/>
      </c>
      <c r="N2543" t="str">
        <f>IF($B2543="","",MATCH($B2543,'_calc'!$L$2:$L$3001,0))</f>
        <v/>
      </c>
    </row>
    <row r="2544">
      <c r="B2544" s="24" t="str">
        <f>IF(ROW()-ROW($B$8)&gt;nComp,"",ROW()-ROW($B$8))</f>
        <v/>
      </c>
      <c r="C2544" t="str">
        <f>IF($N2544="","",INDEX('_calc'!$A$2:$A$3001,$N2544))</f>
        <v/>
      </c>
      <c r="D2544" s="25" t="str">
        <f>IF($N2544="","",INDEX('_calc'!$C$2:$C$3001,$N2544))</f>
        <v/>
      </c>
      <c r="E2544" s="25" t="str">
        <f>IF($N2544="","",INDEX('_calc'!$D$2:$D$3001,$N2544))</f>
        <v/>
      </c>
      <c r="F2544" s="26" t="str">
        <f>IF($N2544="","",IF($E$8=0,"",E2544/$E$8))</f>
        <v/>
      </c>
      <c r="G2544" s="25" t="str">
        <f>IF($N2544="","",INDEX('_calc'!$E$2:$E$3001,$N2544))</f>
        <v/>
      </c>
      <c r="H2544" s="25" t="str">
        <f>IF($N2544="","",INDEX('_calc'!$F$2:$F$3001,$N2544))</f>
        <v/>
      </c>
      <c r="I2544" s="27" t="str">
        <f>IF($N2544="","",INDEX('_calc'!$H$2:$H$3001,$N2544))</f>
        <v/>
      </c>
      <c r="J2544" s="27" t="str">
        <f>IF($N2544="","",INDEX('_calc'!$I$2:$I$3001,$N2544))</f>
        <v/>
      </c>
      <c r="K2544" s="28" t="str">
        <f>IF($N2544="","",IF(OR(I2544="",J2544=""),"",J2544-I2544))</f>
        <v/>
      </c>
      <c r="L2544" s="29" t="str">
        <f>IF($N2544="","",INDEX('_calc'!$J$2:$J$3001,$N2544))</f>
        <v/>
      </c>
      <c r="M2544" s="2" t="str">
        <f>IF($N2544="","",IF(AND(G2544=0,H2544=0),"수량 없음",IF(G2544=0,"신규 (전년 수량 없음)",IF(H2544=0,"당해 수량 없음",""))))</f>
        <v/>
      </c>
      <c r="N2544" t="str">
        <f>IF($B2544="","",MATCH($B2544,'_calc'!$L$2:$L$3001,0))</f>
        <v/>
      </c>
    </row>
    <row r="2545">
      <c r="B2545" s="24" t="str">
        <f>IF(ROW()-ROW($B$8)&gt;nComp,"",ROW()-ROW($B$8))</f>
        <v/>
      </c>
      <c r="C2545" t="str">
        <f>IF($N2545="","",INDEX('_calc'!$A$2:$A$3001,$N2545))</f>
        <v/>
      </c>
      <c r="D2545" s="25" t="str">
        <f>IF($N2545="","",INDEX('_calc'!$C$2:$C$3001,$N2545))</f>
        <v/>
      </c>
      <c r="E2545" s="25" t="str">
        <f>IF($N2545="","",INDEX('_calc'!$D$2:$D$3001,$N2545))</f>
        <v/>
      </c>
      <c r="F2545" s="26" t="str">
        <f>IF($N2545="","",IF($E$8=0,"",E2545/$E$8))</f>
        <v/>
      </c>
      <c r="G2545" s="25" t="str">
        <f>IF($N2545="","",INDEX('_calc'!$E$2:$E$3001,$N2545))</f>
        <v/>
      </c>
      <c r="H2545" s="25" t="str">
        <f>IF($N2545="","",INDEX('_calc'!$F$2:$F$3001,$N2545))</f>
        <v/>
      </c>
      <c r="I2545" s="27" t="str">
        <f>IF($N2545="","",INDEX('_calc'!$H$2:$H$3001,$N2545))</f>
        <v/>
      </c>
      <c r="J2545" s="27" t="str">
        <f>IF($N2545="","",INDEX('_calc'!$I$2:$I$3001,$N2545))</f>
        <v/>
      </c>
      <c r="K2545" s="28" t="str">
        <f>IF($N2545="","",IF(OR(I2545="",J2545=""),"",J2545-I2545))</f>
        <v/>
      </c>
      <c r="L2545" s="29" t="str">
        <f>IF($N2545="","",INDEX('_calc'!$J$2:$J$3001,$N2545))</f>
        <v/>
      </c>
      <c r="M2545" s="2" t="str">
        <f>IF($N2545="","",IF(AND(G2545=0,H2545=0),"수량 없음",IF(G2545=0,"신규 (전년 수량 없음)",IF(H2545=0,"당해 수량 없음",""))))</f>
        <v/>
      </c>
      <c r="N2545" t="str">
        <f>IF($B2545="","",MATCH($B2545,'_calc'!$L$2:$L$3001,0))</f>
        <v/>
      </c>
    </row>
    <row r="2546">
      <c r="B2546" s="24" t="str">
        <f>IF(ROW()-ROW($B$8)&gt;nComp,"",ROW()-ROW($B$8))</f>
        <v/>
      </c>
      <c r="C2546" t="str">
        <f>IF($N2546="","",INDEX('_calc'!$A$2:$A$3001,$N2546))</f>
        <v/>
      </c>
      <c r="D2546" s="25" t="str">
        <f>IF($N2546="","",INDEX('_calc'!$C$2:$C$3001,$N2546))</f>
        <v/>
      </c>
      <c r="E2546" s="25" t="str">
        <f>IF($N2546="","",INDEX('_calc'!$D$2:$D$3001,$N2546))</f>
        <v/>
      </c>
      <c r="F2546" s="26" t="str">
        <f>IF($N2546="","",IF($E$8=0,"",E2546/$E$8))</f>
        <v/>
      </c>
      <c r="G2546" s="25" t="str">
        <f>IF($N2546="","",INDEX('_calc'!$E$2:$E$3001,$N2546))</f>
        <v/>
      </c>
      <c r="H2546" s="25" t="str">
        <f>IF($N2546="","",INDEX('_calc'!$F$2:$F$3001,$N2546))</f>
        <v/>
      </c>
      <c r="I2546" s="27" t="str">
        <f>IF($N2546="","",INDEX('_calc'!$H$2:$H$3001,$N2546))</f>
        <v/>
      </c>
      <c r="J2546" s="27" t="str">
        <f>IF($N2546="","",INDEX('_calc'!$I$2:$I$3001,$N2546))</f>
        <v/>
      </c>
      <c r="K2546" s="28" t="str">
        <f>IF($N2546="","",IF(OR(I2546="",J2546=""),"",J2546-I2546))</f>
        <v/>
      </c>
      <c r="L2546" s="29" t="str">
        <f>IF($N2546="","",INDEX('_calc'!$J$2:$J$3001,$N2546))</f>
        <v/>
      </c>
      <c r="M2546" s="2" t="str">
        <f>IF($N2546="","",IF(AND(G2546=0,H2546=0),"수량 없음",IF(G2546=0,"신규 (전년 수량 없음)",IF(H2546=0,"당해 수량 없음",""))))</f>
        <v/>
      </c>
      <c r="N2546" t="str">
        <f>IF($B2546="","",MATCH($B2546,'_calc'!$L$2:$L$3001,0))</f>
        <v/>
      </c>
    </row>
    <row r="2547">
      <c r="B2547" s="24" t="str">
        <f>IF(ROW()-ROW($B$8)&gt;nComp,"",ROW()-ROW($B$8))</f>
        <v/>
      </c>
      <c r="C2547" t="str">
        <f>IF($N2547="","",INDEX('_calc'!$A$2:$A$3001,$N2547))</f>
        <v/>
      </c>
      <c r="D2547" s="25" t="str">
        <f>IF($N2547="","",INDEX('_calc'!$C$2:$C$3001,$N2547))</f>
        <v/>
      </c>
      <c r="E2547" s="25" t="str">
        <f>IF($N2547="","",INDEX('_calc'!$D$2:$D$3001,$N2547))</f>
        <v/>
      </c>
      <c r="F2547" s="26" t="str">
        <f>IF($N2547="","",IF($E$8=0,"",E2547/$E$8))</f>
        <v/>
      </c>
      <c r="G2547" s="25" t="str">
        <f>IF($N2547="","",INDEX('_calc'!$E$2:$E$3001,$N2547))</f>
        <v/>
      </c>
      <c r="H2547" s="25" t="str">
        <f>IF($N2547="","",INDEX('_calc'!$F$2:$F$3001,$N2547))</f>
        <v/>
      </c>
      <c r="I2547" s="27" t="str">
        <f>IF($N2547="","",INDEX('_calc'!$H$2:$H$3001,$N2547))</f>
        <v/>
      </c>
      <c r="J2547" s="27" t="str">
        <f>IF($N2547="","",INDEX('_calc'!$I$2:$I$3001,$N2547))</f>
        <v/>
      </c>
      <c r="K2547" s="28" t="str">
        <f>IF($N2547="","",IF(OR(I2547="",J2547=""),"",J2547-I2547))</f>
        <v/>
      </c>
      <c r="L2547" s="29" t="str">
        <f>IF($N2547="","",INDEX('_calc'!$J$2:$J$3001,$N2547))</f>
        <v/>
      </c>
      <c r="M2547" s="2" t="str">
        <f>IF($N2547="","",IF(AND(G2547=0,H2547=0),"수량 없음",IF(G2547=0,"신규 (전년 수량 없음)",IF(H2547=0,"당해 수량 없음",""))))</f>
        <v/>
      </c>
      <c r="N2547" t="str">
        <f>IF($B2547="","",MATCH($B2547,'_calc'!$L$2:$L$3001,0))</f>
        <v/>
      </c>
    </row>
    <row r="2548">
      <c r="B2548" s="24" t="str">
        <f>IF(ROW()-ROW($B$8)&gt;nComp,"",ROW()-ROW($B$8))</f>
        <v/>
      </c>
      <c r="C2548" t="str">
        <f>IF($N2548="","",INDEX('_calc'!$A$2:$A$3001,$N2548))</f>
        <v/>
      </c>
      <c r="D2548" s="25" t="str">
        <f>IF($N2548="","",INDEX('_calc'!$C$2:$C$3001,$N2548))</f>
        <v/>
      </c>
      <c r="E2548" s="25" t="str">
        <f>IF($N2548="","",INDEX('_calc'!$D$2:$D$3001,$N2548))</f>
        <v/>
      </c>
      <c r="F2548" s="26" t="str">
        <f>IF($N2548="","",IF($E$8=0,"",E2548/$E$8))</f>
        <v/>
      </c>
      <c r="G2548" s="25" t="str">
        <f>IF($N2548="","",INDEX('_calc'!$E$2:$E$3001,$N2548))</f>
        <v/>
      </c>
      <c r="H2548" s="25" t="str">
        <f>IF($N2548="","",INDEX('_calc'!$F$2:$F$3001,$N2548))</f>
        <v/>
      </c>
      <c r="I2548" s="27" t="str">
        <f>IF($N2548="","",INDEX('_calc'!$H$2:$H$3001,$N2548))</f>
        <v/>
      </c>
      <c r="J2548" s="27" t="str">
        <f>IF($N2548="","",INDEX('_calc'!$I$2:$I$3001,$N2548))</f>
        <v/>
      </c>
      <c r="K2548" s="28" t="str">
        <f>IF($N2548="","",IF(OR(I2548="",J2548=""),"",J2548-I2548))</f>
        <v/>
      </c>
      <c r="L2548" s="29" t="str">
        <f>IF($N2548="","",INDEX('_calc'!$J$2:$J$3001,$N2548))</f>
        <v/>
      </c>
      <c r="M2548" s="2" t="str">
        <f>IF($N2548="","",IF(AND(G2548=0,H2548=0),"수량 없음",IF(G2548=0,"신규 (전년 수량 없음)",IF(H2548=0,"당해 수량 없음",""))))</f>
        <v/>
      </c>
      <c r="N2548" t="str">
        <f>IF($B2548="","",MATCH($B2548,'_calc'!$L$2:$L$3001,0))</f>
        <v/>
      </c>
    </row>
    <row r="2549">
      <c r="B2549" s="24" t="str">
        <f>IF(ROW()-ROW($B$8)&gt;nComp,"",ROW()-ROW($B$8))</f>
        <v/>
      </c>
      <c r="C2549" t="str">
        <f>IF($N2549="","",INDEX('_calc'!$A$2:$A$3001,$N2549))</f>
        <v/>
      </c>
      <c r="D2549" s="25" t="str">
        <f>IF($N2549="","",INDEX('_calc'!$C$2:$C$3001,$N2549))</f>
        <v/>
      </c>
      <c r="E2549" s="25" t="str">
        <f>IF($N2549="","",INDEX('_calc'!$D$2:$D$3001,$N2549))</f>
        <v/>
      </c>
      <c r="F2549" s="26" t="str">
        <f>IF($N2549="","",IF($E$8=0,"",E2549/$E$8))</f>
        <v/>
      </c>
      <c r="G2549" s="25" t="str">
        <f>IF($N2549="","",INDEX('_calc'!$E$2:$E$3001,$N2549))</f>
        <v/>
      </c>
      <c r="H2549" s="25" t="str">
        <f>IF($N2549="","",INDEX('_calc'!$F$2:$F$3001,$N2549))</f>
        <v/>
      </c>
      <c r="I2549" s="27" t="str">
        <f>IF($N2549="","",INDEX('_calc'!$H$2:$H$3001,$N2549))</f>
        <v/>
      </c>
      <c r="J2549" s="27" t="str">
        <f>IF($N2549="","",INDEX('_calc'!$I$2:$I$3001,$N2549))</f>
        <v/>
      </c>
      <c r="K2549" s="28" t="str">
        <f>IF($N2549="","",IF(OR(I2549="",J2549=""),"",J2549-I2549))</f>
        <v/>
      </c>
      <c r="L2549" s="29" t="str">
        <f>IF($N2549="","",INDEX('_calc'!$J$2:$J$3001,$N2549))</f>
        <v/>
      </c>
      <c r="M2549" s="2" t="str">
        <f>IF($N2549="","",IF(AND(G2549=0,H2549=0),"수량 없음",IF(G2549=0,"신규 (전년 수량 없음)",IF(H2549=0,"당해 수량 없음",""))))</f>
        <v/>
      </c>
      <c r="N2549" t="str">
        <f>IF($B2549="","",MATCH($B2549,'_calc'!$L$2:$L$3001,0))</f>
        <v/>
      </c>
    </row>
    <row r="2550">
      <c r="B2550" s="24" t="str">
        <f>IF(ROW()-ROW($B$8)&gt;nComp,"",ROW()-ROW($B$8))</f>
        <v/>
      </c>
      <c r="C2550" t="str">
        <f>IF($N2550="","",INDEX('_calc'!$A$2:$A$3001,$N2550))</f>
        <v/>
      </c>
      <c r="D2550" s="25" t="str">
        <f>IF($N2550="","",INDEX('_calc'!$C$2:$C$3001,$N2550))</f>
        <v/>
      </c>
      <c r="E2550" s="25" t="str">
        <f>IF($N2550="","",INDEX('_calc'!$D$2:$D$3001,$N2550))</f>
        <v/>
      </c>
      <c r="F2550" s="26" t="str">
        <f>IF($N2550="","",IF($E$8=0,"",E2550/$E$8))</f>
        <v/>
      </c>
      <c r="G2550" s="25" t="str">
        <f>IF($N2550="","",INDEX('_calc'!$E$2:$E$3001,$N2550))</f>
        <v/>
      </c>
      <c r="H2550" s="25" t="str">
        <f>IF($N2550="","",INDEX('_calc'!$F$2:$F$3001,$N2550))</f>
        <v/>
      </c>
      <c r="I2550" s="27" t="str">
        <f>IF($N2550="","",INDEX('_calc'!$H$2:$H$3001,$N2550))</f>
        <v/>
      </c>
      <c r="J2550" s="27" t="str">
        <f>IF($N2550="","",INDEX('_calc'!$I$2:$I$3001,$N2550))</f>
        <v/>
      </c>
      <c r="K2550" s="28" t="str">
        <f>IF($N2550="","",IF(OR(I2550="",J2550=""),"",J2550-I2550))</f>
        <v/>
      </c>
      <c r="L2550" s="29" t="str">
        <f>IF($N2550="","",INDEX('_calc'!$J$2:$J$3001,$N2550))</f>
        <v/>
      </c>
      <c r="M2550" s="2" t="str">
        <f>IF($N2550="","",IF(AND(G2550=0,H2550=0),"수량 없음",IF(G2550=0,"신규 (전년 수량 없음)",IF(H2550=0,"당해 수량 없음",""))))</f>
        <v/>
      </c>
      <c r="N2550" t="str">
        <f>IF($B2550="","",MATCH($B2550,'_calc'!$L$2:$L$3001,0))</f>
        <v/>
      </c>
    </row>
    <row r="2551">
      <c r="B2551" s="24" t="str">
        <f>IF(ROW()-ROW($B$8)&gt;nComp,"",ROW()-ROW($B$8))</f>
        <v/>
      </c>
      <c r="C2551" t="str">
        <f>IF($N2551="","",INDEX('_calc'!$A$2:$A$3001,$N2551))</f>
        <v/>
      </c>
      <c r="D2551" s="25" t="str">
        <f>IF($N2551="","",INDEX('_calc'!$C$2:$C$3001,$N2551))</f>
        <v/>
      </c>
      <c r="E2551" s="25" t="str">
        <f>IF($N2551="","",INDEX('_calc'!$D$2:$D$3001,$N2551))</f>
        <v/>
      </c>
      <c r="F2551" s="26" t="str">
        <f>IF($N2551="","",IF($E$8=0,"",E2551/$E$8))</f>
        <v/>
      </c>
      <c r="G2551" s="25" t="str">
        <f>IF($N2551="","",INDEX('_calc'!$E$2:$E$3001,$N2551))</f>
        <v/>
      </c>
      <c r="H2551" s="25" t="str">
        <f>IF($N2551="","",INDEX('_calc'!$F$2:$F$3001,$N2551))</f>
        <v/>
      </c>
      <c r="I2551" s="27" t="str">
        <f>IF($N2551="","",INDEX('_calc'!$H$2:$H$3001,$N2551))</f>
        <v/>
      </c>
      <c r="J2551" s="27" t="str">
        <f>IF($N2551="","",INDEX('_calc'!$I$2:$I$3001,$N2551))</f>
        <v/>
      </c>
      <c r="K2551" s="28" t="str">
        <f>IF($N2551="","",IF(OR(I2551="",J2551=""),"",J2551-I2551))</f>
        <v/>
      </c>
      <c r="L2551" s="29" t="str">
        <f>IF($N2551="","",INDEX('_calc'!$J$2:$J$3001,$N2551))</f>
        <v/>
      </c>
      <c r="M2551" s="2" t="str">
        <f>IF($N2551="","",IF(AND(G2551=0,H2551=0),"수량 없음",IF(G2551=0,"신규 (전년 수량 없음)",IF(H2551=0,"당해 수량 없음",""))))</f>
        <v/>
      </c>
      <c r="N2551" t="str">
        <f>IF($B2551="","",MATCH($B2551,'_calc'!$L$2:$L$3001,0))</f>
        <v/>
      </c>
    </row>
    <row r="2552">
      <c r="B2552" s="24" t="str">
        <f>IF(ROW()-ROW($B$8)&gt;nComp,"",ROW()-ROW($B$8))</f>
        <v/>
      </c>
      <c r="C2552" t="str">
        <f>IF($N2552="","",INDEX('_calc'!$A$2:$A$3001,$N2552))</f>
        <v/>
      </c>
      <c r="D2552" s="25" t="str">
        <f>IF($N2552="","",INDEX('_calc'!$C$2:$C$3001,$N2552))</f>
        <v/>
      </c>
      <c r="E2552" s="25" t="str">
        <f>IF($N2552="","",INDEX('_calc'!$D$2:$D$3001,$N2552))</f>
        <v/>
      </c>
      <c r="F2552" s="26" t="str">
        <f>IF($N2552="","",IF($E$8=0,"",E2552/$E$8))</f>
        <v/>
      </c>
      <c r="G2552" s="25" t="str">
        <f>IF($N2552="","",INDEX('_calc'!$E$2:$E$3001,$N2552))</f>
        <v/>
      </c>
      <c r="H2552" s="25" t="str">
        <f>IF($N2552="","",INDEX('_calc'!$F$2:$F$3001,$N2552))</f>
        <v/>
      </c>
      <c r="I2552" s="27" t="str">
        <f>IF($N2552="","",INDEX('_calc'!$H$2:$H$3001,$N2552))</f>
        <v/>
      </c>
      <c r="J2552" s="27" t="str">
        <f>IF($N2552="","",INDEX('_calc'!$I$2:$I$3001,$N2552))</f>
        <v/>
      </c>
      <c r="K2552" s="28" t="str">
        <f>IF($N2552="","",IF(OR(I2552="",J2552=""),"",J2552-I2552))</f>
        <v/>
      </c>
      <c r="L2552" s="29" t="str">
        <f>IF($N2552="","",INDEX('_calc'!$J$2:$J$3001,$N2552))</f>
        <v/>
      </c>
      <c r="M2552" s="2" t="str">
        <f>IF($N2552="","",IF(AND(G2552=0,H2552=0),"수량 없음",IF(G2552=0,"신규 (전년 수량 없음)",IF(H2552=0,"당해 수량 없음",""))))</f>
        <v/>
      </c>
      <c r="N2552" t="str">
        <f>IF($B2552="","",MATCH($B2552,'_calc'!$L$2:$L$3001,0))</f>
        <v/>
      </c>
    </row>
    <row r="2553">
      <c r="B2553" s="24" t="str">
        <f>IF(ROW()-ROW($B$8)&gt;nComp,"",ROW()-ROW($B$8))</f>
        <v/>
      </c>
      <c r="C2553" t="str">
        <f>IF($N2553="","",INDEX('_calc'!$A$2:$A$3001,$N2553))</f>
        <v/>
      </c>
      <c r="D2553" s="25" t="str">
        <f>IF($N2553="","",INDEX('_calc'!$C$2:$C$3001,$N2553))</f>
        <v/>
      </c>
      <c r="E2553" s="25" t="str">
        <f>IF($N2553="","",INDEX('_calc'!$D$2:$D$3001,$N2553))</f>
        <v/>
      </c>
      <c r="F2553" s="26" t="str">
        <f>IF($N2553="","",IF($E$8=0,"",E2553/$E$8))</f>
        <v/>
      </c>
      <c r="G2553" s="25" t="str">
        <f>IF($N2553="","",INDEX('_calc'!$E$2:$E$3001,$N2553))</f>
        <v/>
      </c>
      <c r="H2553" s="25" t="str">
        <f>IF($N2553="","",INDEX('_calc'!$F$2:$F$3001,$N2553))</f>
        <v/>
      </c>
      <c r="I2553" s="27" t="str">
        <f>IF($N2553="","",INDEX('_calc'!$H$2:$H$3001,$N2553))</f>
        <v/>
      </c>
      <c r="J2553" s="27" t="str">
        <f>IF($N2553="","",INDEX('_calc'!$I$2:$I$3001,$N2553))</f>
        <v/>
      </c>
      <c r="K2553" s="28" t="str">
        <f>IF($N2553="","",IF(OR(I2553="",J2553=""),"",J2553-I2553))</f>
        <v/>
      </c>
      <c r="L2553" s="29" t="str">
        <f>IF($N2553="","",INDEX('_calc'!$J$2:$J$3001,$N2553))</f>
        <v/>
      </c>
      <c r="M2553" s="2" t="str">
        <f>IF($N2553="","",IF(AND(G2553=0,H2553=0),"수량 없음",IF(G2553=0,"신규 (전년 수량 없음)",IF(H2553=0,"당해 수량 없음",""))))</f>
        <v/>
      </c>
      <c r="N2553" t="str">
        <f>IF($B2553="","",MATCH($B2553,'_calc'!$L$2:$L$3001,0))</f>
        <v/>
      </c>
    </row>
    <row r="2554">
      <c r="B2554" s="24" t="str">
        <f>IF(ROW()-ROW($B$8)&gt;nComp,"",ROW()-ROW($B$8))</f>
        <v/>
      </c>
      <c r="C2554" t="str">
        <f>IF($N2554="","",INDEX('_calc'!$A$2:$A$3001,$N2554))</f>
        <v/>
      </c>
      <c r="D2554" s="25" t="str">
        <f>IF($N2554="","",INDEX('_calc'!$C$2:$C$3001,$N2554))</f>
        <v/>
      </c>
      <c r="E2554" s="25" t="str">
        <f>IF($N2554="","",INDEX('_calc'!$D$2:$D$3001,$N2554))</f>
        <v/>
      </c>
      <c r="F2554" s="26" t="str">
        <f>IF($N2554="","",IF($E$8=0,"",E2554/$E$8))</f>
        <v/>
      </c>
      <c r="G2554" s="25" t="str">
        <f>IF($N2554="","",INDEX('_calc'!$E$2:$E$3001,$N2554))</f>
        <v/>
      </c>
      <c r="H2554" s="25" t="str">
        <f>IF($N2554="","",INDEX('_calc'!$F$2:$F$3001,$N2554))</f>
        <v/>
      </c>
      <c r="I2554" s="27" t="str">
        <f>IF($N2554="","",INDEX('_calc'!$H$2:$H$3001,$N2554))</f>
        <v/>
      </c>
      <c r="J2554" s="27" t="str">
        <f>IF($N2554="","",INDEX('_calc'!$I$2:$I$3001,$N2554))</f>
        <v/>
      </c>
      <c r="K2554" s="28" t="str">
        <f>IF($N2554="","",IF(OR(I2554="",J2554=""),"",J2554-I2554))</f>
        <v/>
      </c>
      <c r="L2554" s="29" t="str">
        <f>IF($N2554="","",INDEX('_calc'!$J$2:$J$3001,$N2554))</f>
        <v/>
      </c>
      <c r="M2554" s="2" t="str">
        <f>IF($N2554="","",IF(AND(G2554=0,H2554=0),"수량 없음",IF(G2554=0,"신규 (전년 수량 없음)",IF(H2554=0,"당해 수량 없음",""))))</f>
        <v/>
      </c>
      <c r="N2554" t="str">
        <f>IF($B2554="","",MATCH($B2554,'_calc'!$L$2:$L$3001,0))</f>
        <v/>
      </c>
    </row>
    <row r="2555">
      <c r="B2555" s="24" t="str">
        <f>IF(ROW()-ROW($B$8)&gt;nComp,"",ROW()-ROW($B$8))</f>
        <v/>
      </c>
      <c r="C2555" t="str">
        <f>IF($N2555="","",INDEX('_calc'!$A$2:$A$3001,$N2555))</f>
        <v/>
      </c>
      <c r="D2555" s="25" t="str">
        <f>IF($N2555="","",INDEX('_calc'!$C$2:$C$3001,$N2555))</f>
        <v/>
      </c>
      <c r="E2555" s="25" t="str">
        <f>IF($N2555="","",INDEX('_calc'!$D$2:$D$3001,$N2555))</f>
        <v/>
      </c>
      <c r="F2555" s="26" t="str">
        <f>IF($N2555="","",IF($E$8=0,"",E2555/$E$8))</f>
        <v/>
      </c>
      <c r="G2555" s="25" t="str">
        <f>IF($N2555="","",INDEX('_calc'!$E$2:$E$3001,$N2555))</f>
        <v/>
      </c>
      <c r="H2555" s="25" t="str">
        <f>IF($N2555="","",INDEX('_calc'!$F$2:$F$3001,$N2555))</f>
        <v/>
      </c>
      <c r="I2555" s="27" t="str">
        <f>IF($N2555="","",INDEX('_calc'!$H$2:$H$3001,$N2555))</f>
        <v/>
      </c>
      <c r="J2555" s="27" t="str">
        <f>IF($N2555="","",INDEX('_calc'!$I$2:$I$3001,$N2555))</f>
        <v/>
      </c>
      <c r="K2555" s="28" t="str">
        <f>IF($N2555="","",IF(OR(I2555="",J2555=""),"",J2555-I2555))</f>
        <v/>
      </c>
      <c r="L2555" s="29" t="str">
        <f>IF($N2555="","",INDEX('_calc'!$J$2:$J$3001,$N2555))</f>
        <v/>
      </c>
      <c r="M2555" s="2" t="str">
        <f>IF($N2555="","",IF(AND(G2555=0,H2555=0),"수량 없음",IF(G2555=0,"신규 (전년 수량 없음)",IF(H2555=0,"당해 수량 없음",""))))</f>
        <v/>
      </c>
      <c r="N2555" t="str">
        <f>IF($B2555="","",MATCH($B2555,'_calc'!$L$2:$L$3001,0))</f>
        <v/>
      </c>
    </row>
    <row r="2556">
      <c r="B2556" s="24" t="str">
        <f>IF(ROW()-ROW($B$8)&gt;nComp,"",ROW()-ROW($B$8))</f>
        <v/>
      </c>
      <c r="C2556" t="str">
        <f>IF($N2556="","",INDEX('_calc'!$A$2:$A$3001,$N2556))</f>
        <v/>
      </c>
      <c r="D2556" s="25" t="str">
        <f>IF($N2556="","",INDEX('_calc'!$C$2:$C$3001,$N2556))</f>
        <v/>
      </c>
      <c r="E2556" s="25" t="str">
        <f>IF($N2556="","",INDEX('_calc'!$D$2:$D$3001,$N2556))</f>
        <v/>
      </c>
      <c r="F2556" s="26" t="str">
        <f>IF($N2556="","",IF($E$8=0,"",E2556/$E$8))</f>
        <v/>
      </c>
      <c r="G2556" s="25" t="str">
        <f>IF($N2556="","",INDEX('_calc'!$E$2:$E$3001,$N2556))</f>
        <v/>
      </c>
      <c r="H2556" s="25" t="str">
        <f>IF($N2556="","",INDEX('_calc'!$F$2:$F$3001,$N2556))</f>
        <v/>
      </c>
      <c r="I2556" s="27" t="str">
        <f>IF($N2556="","",INDEX('_calc'!$H$2:$H$3001,$N2556))</f>
        <v/>
      </c>
      <c r="J2556" s="27" t="str">
        <f>IF($N2556="","",INDEX('_calc'!$I$2:$I$3001,$N2556))</f>
        <v/>
      </c>
      <c r="K2556" s="28" t="str">
        <f>IF($N2556="","",IF(OR(I2556="",J2556=""),"",J2556-I2556))</f>
        <v/>
      </c>
      <c r="L2556" s="29" t="str">
        <f>IF($N2556="","",INDEX('_calc'!$J$2:$J$3001,$N2556))</f>
        <v/>
      </c>
      <c r="M2556" s="2" t="str">
        <f>IF($N2556="","",IF(AND(G2556=0,H2556=0),"수량 없음",IF(G2556=0,"신규 (전년 수량 없음)",IF(H2556=0,"당해 수량 없음",""))))</f>
        <v/>
      </c>
      <c r="N2556" t="str">
        <f>IF($B2556="","",MATCH($B2556,'_calc'!$L$2:$L$3001,0))</f>
        <v/>
      </c>
    </row>
    <row r="2557">
      <c r="B2557" s="24" t="str">
        <f>IF(ROW()-ROW($B$8)&gt;nComp,"",ROW()-ROW($B$8))</f>
        <v/>
      </c>
      <c r="C2557" t="str">
        <f>IF($N2557="","",INDEX('_calc'!$A$2:$A$3001,$N2557))</f>
        <v/>
      </c>
      <c r="D2557" s="25" t="str">
        <f>IF($N2557="","",INDEX('_calc'!$C$2:$C$3001,$N2557))</f>
        <v/>
      </c>
      <c r="E2557" s="25" t="str">
        <f>IF($N2557="","",INDEX('_calc'!$D$2:$D$3001,$N2557))</f>
        <v/>
      </c>
      <c r="F2557" s="26" t="str">
        <f>IF($N2557="","",IF($E$8=0,"",E2557/$E$8))</f>
        <v/>
      </c>
      <c r="G2557" s="25" t="str">
        <f>IF($N2557="","",INDEX('_calc'!$E$2:$E$3001,$N2557))</f>
        <v/>
      </c>
      <c r="H2557" s="25" t="str">
        <f>IF($N2557="","",INDEX('_calc'!$F$2:$F$3001,$N2557))</f>
        <v/>
      </c>
      <c r="I2557" s="27" t="str">
        <f>IF($N2557="","",INDEX('_calc'!$H$2:$H$3001,$N2557))</f>
        <v/>
      </c>
      <c r="J2557" s="27" t="str">
        <f>IF($N2557="","",INDEX('_calc'!$I$2:$I$3001,$N2557))</f>
        <v/>
      </c>
      <c r="K2557" s="28" t="str">
        <f>IF($N2557="","",IF(OR(I2557="",J2557=""),"",J2557-I2557))</f>
        <v/>
      </c>
      <c r="L2557" s="29" t="str">
        <f>IF($N2557="","",INDEX('_calc'!$J$2:$J$3001,$N2557))</f>
        <v/>
      </c>
      <c r="M2557" s="2" t="str">
        <f>IF($N2557="","",IF(AND(G2557=0,H2557=0),"수량 없음",IF(G2557=0,"신규 (전년 수량 없음)",IF(H2557=0,"당해 수량 없음",""))))</f>
        <v/>
      </c>
      <c r="N2557" t="str">
        <f>IF($B2557="","",MATCH($B2557,'_calc'!$L$2:$L$3001,0))</f>
        <v/>
      </c>
    </row>
    <row r="2558">
      <c r="B2558" s="24" t="str">
        <f>IF(ROW()-ROW($B$8)&gt;nComp,"",ROW()-ROW($B$8))</f>
        <v/>
      </c>
      <c r="C2558" t="str">
        <f>IF($N2558="","",INDEX('_calc'!$A$2:$A$3001,$N2558))</f>
        <v/>
      </c>
      <c r="D2558" s="25" t="str">
        <f>IF($N2558="","",INDEX('_calc'!$C$2:$C$3001,$N2558))</f>
        <v/>
      </c>
      <c r="E2558" s="25" t="str">
        <f>IF($N2558="","",INDEX('_calc'!$D$2:$D$3001,$N2558))</f>
        <v/>
      </c>
      <c r="F2558" s="26" t="str">
        <f>IF($N2558="","",IF($E$8=0,"",E2558/$E$8))</f>
        <v/>
      </c>
      <c r="G2558" s="25" t="str">
        <f>IF($N2558="","",INDEX('_calc'!$E$2:$E$3001,$N2558))</f>
        <v/>
      </c>
      <c r="H2558" s="25" t="str">
        <f>IF($N2558="","",INDEX('_calc'!$F$2:$F$3001,$N2558))</f>
        <v/>
      </c>
      <c r="I2558" s="27" t="str">
        <f>IF($N2558="","",INDEX('_calc'!$H$2:$H$3001,$N2558))</f>
        <v/>
      </c>
      <c r="J2558" s="27" t="str">
        <f>IF($N2558="","",INDEX('_calc'!$I$2:$I$3001,$N2558))</f>
        <v/>
      </c>
      <c r="K2558" s="28" t="str">
        <f>IF($N2558="","",IF(OR(I2558="",J2558=""),"",J2558-I2558))</f>
        <v/>
      </c>
      <c r="L2558" s="29" t="str">
        <f>IF($N2558="","",INDEX('_calc'!$J$2:$J$3001,$N2558))</f>
        <v/>
      </c>
      <c r="M2558" s="2" t="str">
        <f>IF($N2558="","",IF(AND(G2558=0,H2558=0),"수량 없음",IF(G2558=0,"신규 (전년 수량 없음)",IF(H2558=0,"당해 수량 없음",""))))</f>
        <v/>
      </c>
      <c r="N2558" t="str">
        <f>IF($B2558="","",MATCH($B2558,'_calc'!$L$2:$L$3001,0))</f>
        <v/>
      </c>
    </row>
    <row r="2559">
      <c r="B2559" s="24" t="str">
        <f>IF(ROW()-ROW($B$8)&gt;nComp,"",ROW()-ROW($B$8))</f>
        <v/>
      </c>
      <c r="C2559" t="str">
        <f>IF($N2559="","",INDEX('_calc'!$A$2:$A$3001,$N2559))</f>
        <v/>
      </c>
      <c r="D2559" s="25" t="str">
        <f>IF($N2559="","",INDEX('_calc'!$C$2:$C$3001,$N2559))</f>
        <v/>
      </c>
      <c r="E2559" s="25" t="str">
        <f>IF($N2559="","",INDEX('_calc'!$D$2:$D$3001,$N2559))</f>
        <v/>
      </c>
      <c r="F2559" s="26" t="str">
        <f>IF($N2559="","",IF($E$8=0,"",E2559/$E$8))</f>
        <v/>
      </c>
      <c r="G2559" s="25" t="str">
        <f>IF($N2559="","",INDEX('_calc'!$E$2:$E$3001,$N2559))</f>
        <v/>
      </c>
      <c r="H2559" s="25" t="str">
        <f>IF($N2559="","",INDEX('_calc'!$F$2:$F$3001,$N2559))</f>
        <v/>
      </c>
      <c r="I2559" s="27" t="str">
        <f>IF($N2559="","",INDEX('_calc'!$H$2:$H$3001,$N2559))</f>
        <v/>
      </c>
      <c r="J2559" s="27" t="str">
        <f>IF($N2559="","",INDEX('_calc'!$I$2:$I$3001,$N2559))</f>
        <v/>
      </c>
      <c r="K2559" s="28" t="str">
        <f>IF($N2559="","",IF(OR(I2559="",J2559=""),"",J2559-I2559))</f>
        <v/>
      </c>
      <c r="L2559" s="29" t="str">
        <f>IF($N2559="","",INDEX('_calc'!$J$2:$J$3001,$N2559))</f>
        <v/>
      </c>
      <c r="M2559" s="2" t="str">
        <f>IF($N2559="","",IF(AND(G2559=0,H2559=0),"수량 없음",IF(G2559=0,"신규 (전년 수량 없음)",IF(H2559=0,"당해 수량 없음",""))))</f>
        <v/>
      </c>
      <c r="N2559" t="str">
        <f>IF($B2559="","",MATCH($B2559,'_calc'!$L$2:$L$3001,0))</f>
        <v/>
      </c>
    </row>
    <row r="2560">
      <c r="B2560" s="24" t="str">
        <f>IF(ROW()-ROW($B$8)&gt;nComp,"",ROW()-ROW($B$8))</f>
        <v/>
      </c>
      <c r="C2560" t="str">
        <f>IF($N2560="","",INDEX('_calc'!$A$2:$A$3001,$N2560))</f>
        <v/>
      </c>
      <c r="D2560" s="25" t="str">
        <f>IF($N2560="","",INDEX('_calc'!$C$2:$C$3001,$N2560))</f>
        <v/>
      </c>
      <c r="E2560" s="25" t="str">
        <f>IF($N2560="","",INDEX('_calc'!$D$2:$D$3001,$N2560))</f>
        <v/>
      </c>
      <c r="F2560" s="26" t="str">
        <f>IF($N2560="","",IF($E$8=0,"",E2560/$E$8))</f>
        <v/>
      </c>
      <c r="G2560" s="25" t="str">
        <f>IF($N2560="","",INDEX('_calc'!$E$2:$E$3001,$N2560))</f>
        <v/>
      </c>
      <c r="H2560" s="25" t="str">
        <f>IF($N2560="","",INDEX('_calc'!$F$2:$F$3001,$N2560))</f>
        <v/>
      </c>
      <c r="I2560" s="27" t="str">
        <f>IF($N2560="","",INDEX('_calc'!$H$2:$H$3001,$N2560))</f>
        <v/>
      </c>
      <c r="J2560" s="27" t="str">
        <f>IF($N2560="","",INDEX('_calc'!$I$2:$I$3001,$N2560))</f>
        <v/>
      </c>
      <c r="K2560" s="28" t="str">
        <f>IF($N2560="","",IF(OR(I2560="",J2560=""),"",J2560-I2560))</f>
        <v/>
      </c>
      <c r="L2560" s="29" t="str">
        <f>IF($N2560="","",INDEX('_calc'!$J$2:$J$3001,$N2560))</f>
        <v/>
      </c>
      <c r="M2560" s="2" t="str">
        <f>IF($N2560="","",IF(AND(G2560=0,H2560=0),"수량 없음",IF(G2560=0,"신규 (전년 수량 없음)",IF(H2560=0,"당해 수량 없음",""))))</f>
        <v/>
      </c>
      <c r="N2560" t="str">
        <f>IF($B2560="","",MATCH($B2560,'_calc'!$L$2:$L$3001,0))</f>
        <v/>
      </c>
    </row>
    <row r="2561">
      <c r="B2561" s="24" t="str">
        <f>IF(ROW()-ROW($B$8)&gt;nComp,"",ROW()-ROW($B$8))</f>
        <v/>
      </c>
      <c r="C2561" t="str">
        <f>IF($N2561="","",INDEX('_calc'!$A$2:$A$3001,$N2561))</f>
        <v/>
      </c>
      <c r="D2561" s="25" t="str">
        <f>IF($N2561="","",INDEX('_calc'!$C$2:$C$3001,$N2561))</f>
        <v/>
      </c>
      <c r="E2561" s="25" t="str">
        <f>IF($N2561="","",INDEX('_calc'!$D$2:$D$3001,$N2561))</f>
        <v/>
      </c>
      <c r="F2561" s="26" t="str">
        <f>IF($N2561="","",IF($E$8=0,"",E2561/$E$8))</f>
        <v/>
      </c>
      <c r="G2561" s="25" t="str">
        <f>IF($N2561="","",INDEX('_calc'!$E$2:$E$3001,$N2561))</f>
        <v/>
      </c>
      <c r="H2561" s="25" t="str">
        <f>IF($N2561="","",INDEX('_calc'!$F$2:$F$3001,$N2561))</f>
        <v/>
      </c>
      <c r="I2561" s="27" t="str">
        <f>IF($N2561="","",INDEX('_calc'!$H$2:$H$3001,$N2561))</f>
        <v/>
      </c>
      <c r="J2561" s="27" t="str">
        <f>IF($N2561="","",INDEX('_calc'!$I$2:$I$3001,$N2561))</f>
        <v/>
      </c>
      <c r="K2561" s="28" t="str">
        <f>IF($N2561="","",IF(OR(I2561="",J2561=""),"",J2561-I2561))</f>
        <v/>
      </c>
      <c r="L2561" s="29" t="str">
        <f>IF($N2561="","",INDEX('_calc'!$J$2:$J$3001,$N2561))</f>
        <v/>
      </c>
      <c r="M2561" s="2" t="str">
        <f>IF($N2561="","",IF(AND(G2561=0,H2561=0),"수량 없음",IF(G2561=0,"신규 (전년 수량 없음)",IF(H2561=0,"당해 수량 없음",""))))</f>
        <v/>
      </c>
      <c r="N2561" t="str">
        <f>IF($B2561="","",MATCH($B2561,'_calc'!$L$2:$L$3001,0))</f>
        <v/>
      </c>
    </row>
    <row r="2562">
      <c r="B2562" s="24" t="str">
        <f>IF(ROW()-ROW($B$8)&gt;nComp,"",ROW()-ROW($B$8))</f>
        <v/>
      </c>
      <c r="C2562" t="str">
        <f>IF($N2562="","",INDEX('_calc'!$A$2:$A$3001,$N2562))</f>
        <v/>
      </c>
      <c r="D2562" s="25" t="str">
        <f>IF($N2562="","",INDEX('_calc'!$C$2:$C$3001,$N2562))</f>
        <v/>
      </c>
      <c r="E2562" s="25" t="str">
        <f>IF($N2562="","",INDEX('_calc'!$D$2:$D$3001,$N2562))</f>
        <v/>
      </c>
      <c r="F2562" s="26" t="str">
        <f>IF($N2562="","",IF($E$8=0,"",E2562/$E$8))</f>
        <v/>
      </c>
      <c r="G2562" s="25" t="str">
        <f>IF($N2562="","",INDEX('_calc'!$E$2:$E$3001,$N2562))</f>
        <v/>
      </c>
      <c r="H2562" s="25" t="str">
        <f>IF($N2562="","",INDEX('_calc'!$F$2:$F$3001,$N2562))</f>
        <v/>
      </c>
      <c r="I2562" s="27" t="str">
        <f>IF($N2562="","",INDEX('_calc'!$H$2:$H$3001,$N2562))</f>
        <v/>
      </c>
      <c r="J2562" s="27" t="str">
        <f>IF($N2562="","",INDEX('_calc'!$I$2:$I$3001,$N2562))</f>
        <v/>
      </c>
      <c r="K2562" s="28" t="str">
        <f>IF($N2562="","",IF(OR(I2562="",J2562=""),"",J2562-I2562))</f>
        <v/>
      </c>
      <c r="L2562" s="29" t="str">
        <f>IF($N2562="","",INDEX('_calc'!$J$2:$J$3001,$N2562))</f>
        <v/>
      </c>
      <c r="M2562" s="2" t="str">
        <f>IF($N2562="","",IF(AND(G2562=0,H2562=0),"수량 없음",IF(G2562=0,"신규 (전년 수량 없음)",IF(H2562=0,"당해 수량 없음",""))))</f>
        <v/>
      </c>
      <c r="N2562" t="str">
        <f>IF($B2562="","",MATCH($B2562,'_calc'!$L$2:$L$3001,0))</f>
        <v/>
      </c>
    </row>
    <row r="2563">
      <c r="B2563" s="24" t="str">
        <f>IF(ROW()-ROW($B$8)&gt;nComp,"",ROW()-ROW($B$8))</f>
        <v/>
      </c>
      <c r="C2563" t="str">
        <f>IF($N2563="","",INDEX('_calc'!$A$2:$A$3001,$N2563))</f>
        <v/>
      </c>
      <c r="D2563" s="25" t="str">
        <f>IF($N2563="","",INDEX('_calc'!$C$2:$C$3001,$N2563))</f>
        <v/>
      </c>
      <c r="E2563" s="25" t="str">
        <f>IF($N2563="","",INDEX('_calc'!$D$2:$D$3001,$N2563))</f>
        <v/>
      </c>
      <c r="F2563" s="26" t="str">
        <f>IF($N2563="","",IF($E$8=0,"",E2563/$E$8))</f>
        <v/>
      </c>
      <c r="G2563" s="25" t="str">
        <f>IF($N2563="","",INDEX('_calc'!$E$2:$E$3001,$N2563))</f>
        <v/>
      </c>
      <c r="H2563" s="25" t="str">
        <f>IF($N2563="","",INDEX('_calc'!$F$2:$F$3001,$N2563))</f>
        <v/>
      </c>
      <c r="I2563" s="27" t="str">
        <f>IF($N2563="","",INDEX('_calc'!$H$2:$H$3001,$N2563))</f>
        <v/>
      </c>
      <c r="J2563" s="27" t="str">
        <f>IF($N2563="","",INDEX('_calc'!$I$2:$I$3001,$N2563))</f>
        <v/>
      </c>
      <c r="K2563" s="28" t="str">
        <f>IF($N2563="","",IF(OR(I2563="",J2563=""),"",J2563-I2563))</f>
        <v/>
      </c>
      <c r="L2563" s="29" t="str">
        <f>IF($N2563="","",INDEX('_calc'!$J$2:$J$3001,$N2563))</f>
        <v/>
      </c>
      <c r="M2563" s="2" t="str">
        <f>IF($N2563="","",IF(AND(G2563=0,H2563=0),"수량 없음",IF(G2563=0,"신규 (전년 수량 없음)",IF(H2563=0,"당해 수량 없음",""))))</f>
        <v/>
      </c>
      <c r="N2563" t="str">
        <f>IF($B2563="","",MATCH($B2563,'_calc'!$L$2:$L$3001,0))</f>
        <v/>
      </c>
    </row>
    <row r="2564">
      <c r="B2564" s="24" t="str">
        <f>IF(ROW()-ROW($B$8)&gt;nComp,"",ROW()-ROW($B$8))</f>
        <v/>
      </c>
      <c r="C2564" t="str">
        <f>IF($N2564="","",INDEX('_calc'!$A$2:$A$3001,$N2564))</f>
        <v/>
      </c>
      <c r="D2564" s="25" t="str">
        <f>IF($N2564="","",INDEX('_calc'!$C$2:$C$3001,$N2564))</f>
        <v/>
      </c>
      <c r="E2564" s="25" t="str">
        <f>IF($N2564="","",INDEX('_calc'!$D$2:$D$3001,$N2564))</f>
        <v/>
      </c>
      <c r="F2564" s="26" t="str">
        <f>IF($N2564="","",IF($E$8=0,"",E2564/$E$8))</f>
        <v/>
      </c>
      <c r="G2564" s="25" t="str">
        <f>IF($N2564="","",INDEX('_calc'!$E$2:$E$3001,$N2564))</f>
        <v/>
      </c>
      <c r="H2564" s="25" t="str">
        <f>IF($N2564="","",INDEX('_calc'!$F$2:$F$3001,$N2564))</f>
        <v/>
      </c>
      <c r="I2564" s="27" t="str">
        <f>IF($N2564="","",INDEX('_calc'!$H$2:$H$3001,$N2564))</f>
        <v/>
      </c>
      <c r="J2564" s="27" t="str">
        <f>IF($N2564="","",INDEX('_calc'!$I$2:$I$3001,$N2564))</f>
        <v/>
      </c>
      <c r="K2564" s="28" t="str">
        <f>IF($N2564="","",IF(OR(I2564="",J2564=""),"",J2564-I2564))</f>
        <v/>
      </c>
      <c r="L2564" s="29" t="str">
        <f>IF($N2564="","",INDEX('_calc'!$J$2:$J$3001,$N2564))</f>
        <v/>
      </c>
      <c r="M2564" s="2" t="str">
        <f>IF($N2564="","",IF(AND(G2564=0,H2564=0),"수량 없음",IF(G2564=0,"신규 (전년 수량 없음)",IF(H2564=0,"당해 수량 없음",""))))</f>
        <v/>
      </c>
      <c r="N2564" t="str">
        <f>IF($B2564="","",MATCH($B2564,'_calc'!$L$2:$L$3001,0))</f>
        <v/>
      </c>
    </row>
    <row r="2565">
      <c r="B2565" s="24" t="str">
        <f>IF(ROW()-ROW($B$8)&gt;nComp,"",ROW()-ROW($B$8))</f>
        <v/>
      </c>
      <c r="C2565" t="str">
        <f>IF($N2565="","",INDEX('_calc'!$A$2:$A$3001,$N2565))</f>
        <v/>
      </c>
      <c r="D2565" s="25" t="str">
        <f>IF($N2565="","",INDEX('_calc'!$C$2:$C$3001,$N2565))</f>
        <v/>
      </c>
      <c r="E2565" s="25" t="str">
        <f>IF($N2565="","",INDEX('_calc'!$D$2:$D$3001,$N2565))</f>
        <v/>
      </c>
      <c r="F2565" s="26" t="str">
        <f>IF($N2565="","",IF($E$8=0,"",E2565/$E$8))</f>
        <v/>
      </c>
      <c r="G2565" s="25" t="str">
        <f>IF($N2565="","",INDEX('_calc'!$E$2:$E$3001,$N2565))</f>
        <v/>
      </c>
      <c r="H2565" s="25" t="str">
        <f>IF($N2565="","",INDEX('_calc'!$F$2:$F$3001,$N2565))</f>
        <v/>
      </c>
      <c r="I2565" s="27" t="str">
        <f>IF($N2565="","",INDEX('_calc'!$H$2:$H$3001,$N2565))</f>
        <v/>
      </c>
      <c r="J2565" s="27" t="str">
        <f>IF($N2565="","",INDEX('_calc'!$I$2:$I$3001,$N2565))</f>
        <v/>
      </c>
      <c r="K2565" s="28" t="str">
        <f>IF($N2565="","",IF(OR(I2565="",J2565=""),"",J2565-I2565))</f>
        <v/>
      </c>
      <c r="L2565" s="29" t="str">
        <f>IF($N2565="","",INDEX('_calc'!$J$2:$J$3001,$N2565))</f>
        <v/>
      </c>
      <c r="M2565" s="2" t="str">
        <f>IF($N2565="","",IF(AND(G2565=0,H2565=0),"수량 없음",IF(G2565=0,"신규 (전년 수량 없음)",IF(H2565=0,"당해 수량 없음",""))))</f>
        <v/>
      </c>
      <c r="N2565" t="str">
        <f>IF($B2565="","",MATCH($B2565,'_calc'!$L$2:$L$3001,0))</f>
        <v/>
      </c>
    </row>
    <row r="2566">
      <c r="B2566" s="24" t="str">
        <f>IF(ROW()-ROW($B$8)&gt;nComp,"",ROW()-ROW($B$8))</f>
        <v/>
      </c>
      <c r="C2566" t="str">
        <f>IF($N2566="","",INDEX('_calc'!$A$2:$A$3001,$N2566))</f>
        <v/>
      </c>
      <c r="D2566" s="25" t="str">
        <f>IF($N2566="","",INDEX('_calc'!$C$2:$C$3001,$N2566))</f>
        <v/>
      </c>
      <c r="E2566" s="25" t="str">
        <f>IF($N2566="","",INDEX('_calc'!$D$2:$D$3001,$N2566))</f>
        <v/>
      </c>
      <c r="F2566" s="26" t="str">
        <f>IF($N2566="","",IF($E$8=0,"",E2566/$E$8))</f>
        <v/>
      </c>
      <c r="G2566" s="25" t="str">
        <f>IF($N2566="","",INDEX('_calc'!$E$2:$E$3001,$N2566))</f>
        <v/>
      </c>
      <c r="H2566" s="25" t="str">
        <f>IF($N2566="","",INDEX('_calc'!$F$2:$F$3001,$N2566))</f>
        <v/>
      </c>
      <c r="I2566" s="27" t="str">
        <f>IF($N2566="","",INDEX('_calc'!$H$2:$H$3001,$N2566))</f>
        <v/>
      </c>
      <c r="J2566" s="27" t="str">
        <f>IF($N2566="","",INDEX('_calc'!$I$2:$I$3001,$N2566))</f>
        <v/>
      </c>
      <c r="K2566" s="28" t="str">
        <f>IF($N2566="","",IF(OR(I2566="",J2566=""),"",J2566-I2566))</f>
        <v/>
      </c>
      <c r="L2566" s="29" t="str">
        <f>IF($N2566="","",INDEX('_calc'!$J$2:$J$3001,$N2566))</f>
        <v/>
      </c>
      <c r="M2566" s="2" t="str">
        <f>IF($N2566="","",IF(AND(G2566=0,H2566=0),"수량 없음",IF(G2566=0,"신규 (전년 수량 없음)",IF(H2566=0,"당해 수량 없음",""))))</f>
        <v/>
      </c>
      <c r="N2566" t="str">
        <f>IF($B2566="","",MATCH($B2566,'_calc'!$L$2:$L$3001,0))</f>
        <v/>
      </c>
    </row>
    <row r="2567">
      <c r="B2567" s="24" t="str">
        <f>IF(ROW()-ROW($B$8)&gt;nComp,"",ROW()-ROW($B$8))</f>
        <v/>
      </c>
      <c r="C2567" t="str">
        <f>IF($N2567="","",INDEX('_calc'!$A$2:$A$3001,$N2567))</f>
        <v/>
      </c>
      <c r="D2567" s="25" t="str">
        <f>IF($N2567="","",INDEX('_calc'!$C$2:$C$3001,$N2567))</f>
        <v/>
      </c>
      <c r="E2567" s="25" t="str">
        <f>IF($N2567="","",INDEX('_calc'!$D$2:$D$3001,$N2567))</f>
        <v/>
      </c>
      <c r="F2567" s="26" t="str">
        <f>IF($N2567="","",IF($E$8=0,"",E2567/$E$8))</f>
        <v/>
      </c>
      <c r="G2567" s="25" t="str">
        <f>IF($N2567="","",INDEX('_calc'!$E$2:$E$3001,$N2567))</f>
        <v/>
      </c>
      <c r="H2567" s="25" t="str">
        <f>IF($N2567="","",INDEX('_calc'!$F$2:$F$3001,$N2567))</f>
        <v/>
      </c>
      <c r="I2567" s="27" t="str">
        <f>IF($N2567="","",INDEX('_calc'!$H$2:$H$3001,$N2567))</f>
        <v/>
      </c>
      <c r="J2567" s="27" t="str">
        <f>IF($N2567="","",INDEX('_calc'!$I$2:$I$3001,$N2567))</f>
        <v/>
      </c>
      <c r="K2567" s="28" t="str">
        <f>IF($N2567="","",IF(OR(I2567="",J2567=""),"",J2567-I2567))</f>
        <v/>
      </c>
      <c r="L2567" s="29" t="str">
        <f>IF($N2567="","",INDEX('_calc'!$J$2:$J$3001,$N2567))</f>
        <v/>
      </c>
      <c r="M2567" s="2" t="str">
        <f>IF($N2567="","",IF(AND(G2567=0,H2567=0),"수량 없음",IF(G2567=0,"신규 (전년 수량 없음)",IF(H2567=0,"당해 수량 없음",""))))</f>
        <v/>
      </c>
      <c r="N2567" t="str">
        <f>IF($B2567="","",MATCH($B2567,'_calc'!$L$2:$L$3001,0))</f>
        <v/>
      </c>
    </row>
    <row r="2568">
      <c r="B2568" s="24" t="str">
        <f>IF(ROW()-ROW($B$8)&gt;nComp,"",ROW()-ROW($B$8))</f>
        <v/>
      </c>
      <c r="C2568" t="str">
        <f>IF($N2568="","",INDEX('_calc'!$A$2:$A$3001,$N2568))</f>
        <v/>
      </c>
      <c r="D2568" s="25" t="str">
        <f>IF($N2568="","",INDEX('_calc'!$C$2:$C$3001,$N2568))</f>
        <v/>
      </c>
      <c r="E2568" s="25" t="str">
        <f>IF($N2568="","",INDEX('_calc'!$D$2:$D$3001,$N2568))</f>
        <v/>
      </c>
      <c r="F2568" s="26" t="str">
        <f>IF($N2568="","",IF($E$8=0,"",E2568/$E$8))</f>
        <v/>
      </c>
      <c r="G2568" s="25" t="str">
        <f>IF($N2568="","",INDEX('_calc'!$E$2:$E$3001,$N2568))</f>
        <v/>
      </c>
      <c r="H2568" s="25" t="str">
        <f>IF($N2568="","",INDEX('_calc'!$F$2:$F$3001,$N2568))</f>
        <v/>
      </c>
      <c r="I2568" s="27" t="str">
        <f>IF($N2568="","",INDEX('_calc'!$H$2:$H$3001,$N2568))</f>
        <v/>
      </c>
      <c r="J2568" s="27" t="str">
        <f>IF($N2568="","",INDEX('_calc'!$I$2:$I$3001,$N2568))</f>
        <v/>
      </c>
      <c r="K2568" s="28" t="str">
        <f>IF($N2568="","",IF(OR(I2568="",J2568=""),"",J2568-I2568))</f>
        <v/>
      </c>
      <c r="L2568" s="29" t="str">
        <f>IF($N2568="","",INDEX('_calc'!$J$2:$J$3001,$N2568))</f>
        <v/>
      </c>
      <c r="M2568" s="2" t="str">
        <f>IF($N2568="","",IF(AND(G2568=0,H2568=0),"수량 없음",IF(G2568=0,"신규 (전년 수량 없음)",IF(H2568=0,"당해 수량 없음",""))))</f>
        <v/>
      </c>
      <c r="N2568" t="str">
        <f>IF($B2568="","",MATCH($B2568,'_calc'!$L$2:$L$3001,0))</f>
        <v/>
      </c>
    </row>
    <row r="2569">
      <c r="B2569" s="24" t="str">
        <f>IF(ROW()-ROW($B$8)&gt;nComp,"",ROW()-ROW($B$8))</f>
        <v/>
      </c>
      <c r="C2569" t="str">
        <f>IF($N2569="","",INDEX('_calc'!$A$2:$A$3001,$N2569))</f>
        <v/>
      </c>
      <c r="D2569" s="25" t="str">
        <f>IF($N2569="","",INDEX('_calc'!$C$2:$C$3001,$N2569))</f>
        <v/>
      </c>
      <c r="E2569" s="25" t="str">
        <f>IF($N2569="","",INDEX('_calc'!$D$2:$D$3001,$N2569))</f>
        <v/>
      </c>
      <c r="F2569" s="26" t="str">
        <f>IF($N2569="","",IF($E$8=0,"",E2569/$E$8))</f>
        <v/>
      </c>
      <c r="G2569" s="25" t="str">
        <f>IF($N2569="","",INDEX('_calc'!$E$2:$E$3001,$N2569))</f>
        <v/>
      </c>
      <c r="H2569" s="25" t="str">
        <f>IF($N2569="","",INDEX('_calc'!$F$2:$F$3001,$N2569))</f>
        <v/>
      </c>
      <c r="I2569" s="27" t="str">
        <f>IF($N2569="","",INDEX('_calc'!$H$2:$H$3001,$N2569))</f>
        <v/>
      </c>
      <c r="J2569" s="27" t="str">
        <f>IF($N2569="","",INDEX('_calc'!$I$2:$I$3001,$N2569))</f>
        <v/>
      </c>
      <c r="K2569" s="28" t="str">
        <f>IF($N2569="","",IF(OR(I2569="",J2569=""),"",J2569-I2569))</f>
        <v/>
      </c>
      <c r="L2569" s="29" t="str">
        <f>IF($N2569="","",INDEX('_calc'!$J$2:$J$3001,$N2569))</f>
        <v/>
      </c>
      <c r="M2569" s="2" t="str">
        <f>IF($N2569="","",IF(AND(G2569=0,H2569=0),"수량 없음",IF(G2569=0,"신규 (전년 수량 없음)",IF(H2569=0,"당해 수량 없음",""))))</f>
        <v/>
      </c>
      <c r="N2569" t="str">
        <f>IF($B2569="","",MATCH($B2569,'_calc'!$L$2:$L$3001,0))</f>
        <v/>
      </c>
    </row>
    <row r="2570">
      <c r="B2570" s="24" t="str">
        <f>IF(ROW()-ROW($B$8)&gt;nComp,"",ROW()-ROW($B$8))</f>
        <v/>
      </c>
      <c r="C2570" t="str">
        <f>IF($N2570="","",INDEX('_calc'!$A$2:$A$3001,$N2570))</f>
        <v/>
      </c>
      <c r="D2570" s="25" t="str">
        <f>IF($N2570="","",INDEX('_calc'!$C$2:$C$3001,$N2570))</f>
        <v/>
      </c>
      <c r="E2570" s="25" t="str">
        <f>IF($N2570="","",INDEX('_calc'!$D$2:$D$3001,$N2570))</f>
        <v/>
      </c>
      <c r="F2570" s="26" t="str">
        <f>IF($N2570="","",IF($E$8=0,"",E2570/$E$8))</f>
        <v/>
      </c>
      <c r="G2570" s="25" t="str">
        <f>IF($N2570="","",INDEX('_calc'!$E$2:$E$3001,$N2570))</f>
        <v/>
      </c>
      <c r="H2570" s="25" t="str">
        <f>IF($N2570="","",INDEX('_calc'!$F$2:$F$3001,$N2570))</f>
        <v/>
      </c>
      <c r="I2570" s="27" t="str">
        <f>IF($N2570="","",INDEX('_calc'!$H$2:$H$3001,$N2570))</f>
        <v/>
      </c>
      <c r="J2570" s="27" t="str">
        <f>IF($N2570="","",INDEX('_calc'!$I$2:$I$3001,$N2570))</f>
        <v/>
      </c>
      <c r="K2570" s="28" t="str">
        <f>IF($N2570="","",IF(OR(I2570="",J2570=""),"",J2570-I2570))</f>
        <v/>
      </c>
      <c r="L2570" s="29" t="str">
        <f>IF($N2570="","",INDEX('_calc'!$J$2:$J$3001,$N2570))</f>
        <v/>
      </c>
      <c r="M2570" s="2" t="str">
        <f>IF($N2570="","",IF(AND(G2570=0,H2570=0),"수량 없음",IF(G2570=0,"신규 (전년 수량 없음)",IF(H2570=0,"당해 수량 없음",""))))</f>
        <v/>
      </c>
      <c r="N2570" t="str">
        <f>IF($B2570="","",MATCH($B2570,'_calc'!$L$2:$L$3001,0))</f>
        <v/>
      </c>
    </row>
    <row r="2571">
      <c r="B2571" s="24" t="str">
        <f>IF(ROW()-ROW($B$8)&gt;nComp,"",ROW()-ROW($B$8))</f>
        <v/>
      </c>
      <c r="C2571" t="str">
        <f>IF($N2571="","",INDEX('_calc'!$A$2:$A$3001,$N2571))</f>
        <v/>
      </c>
      <c r="D2571" s="25" t="str">
        <f>IF($N2571="","",INDEX('_calc'!$C$2:$C$3001,$N2571))</f>
        <v/>
      </c>
      <c r="E2571" s="25" t="str">
        <f>IF($N2571="","",INDEX('_calc'!$D$2:$D$3001,$N2571))</f>
        <v/>
      </c>
      <c r="F2571" s="26" t="str">
        <f>IF($N2571="","",IF($E$8=0,"",E2571/$E$8))</f>
        <v/>
      </c>
      <c r="G2571" s="25" t="str">
        <f>IF($N2571="","",INDEX('_calc'!$E$2:$E$3001,$N2571))</f>
        <v/>
      </c>
      <c r="H2571" s="25" t="str">
        <f>IF($N2571="","",INDEX('_calc'!$F$2:$F$3001,$N2571))</f>
        <v/>
      </c>
      <c r="I2571" s="27" t="str">
        <f>IF($N2571="","",INDEX('_calc'!$H$2:$H$3001,$N2571))</f>
        <v/>
      </c>
      <c r="J2571" s="27" t="str">
        <f>IF($N2571="","",INDEX('_calc'!$I$2:$I$3001,$N2571))</f>
        <v/>
      </c>
      <c r="K2571" s="28" t="str">
        <f>IF($N2571="","",IF(OR(I2571="",J2571=""),"",J2571-I2571))</f>
        <v/>
      </c>
      <c r="L2571" s="29" t="str">
        <f>IF($N2571="","",INDEX('_calc'!$J$2:$J$3001,$N2571))</f>
        <v/>
      </c>
      <c r="M2571" s="2" t="str">
        <f>IF($N2571="","",IF(AND(G2571=0,H2571=0),"수량 없음",IF(G2571=0,"신규 (전년 수량 없음)",IF(H2571=0,"당해 수량 없음",""))))</f>
        <v/>
      </c>
      <c r="N2571" t="str">
        <f>IF($B2571="","",MATCH($B2571,'_calc'!$L$2:$L$3001,0))</f>
        <v/>
      </c>
    </row>
    <row r="2572">
      <c r="B2572" s="24" t="str">
        <f>IF(ROW()-ROW($B$8)&gt;nComp,"",ROW()-ROW($B$8))</f>
        <v/>
      </c>
      <c r="C2572" t="str">
        <f>IF($N2572="","",INDEX('_calc'!$A$2:$A$3001,$N2572))</f>
        <v/>
      </c>
      <c r="D2572" s="25" t="str">
        <f>IF($N2572="","",INDEX('_calc'!$C$2:$C$3001,$N2572))</f>
        <v/>
      </c>
      <c r="E2572" s="25" t="str">
        <f>IF($N2572="","",INDEX('_calc'!$D$2:$D$3001,$N2572))</f>
        <v/>
      </c>
      <c r="F2572" s="26" t="str">
        <f>IF($N2572="","",IF($E$8=0,"",E2572/$E$8))</f>
        <v/>
      </c>
      <c r="G2572" s="25" t="str">
        <f>IF($N2572="","",INDEX('_calc'!$E$2:$E$3001,$N2572))</f>
        <v/>
      </c>
      <c r="H2572" s="25" t="str">
        <f>IF($N2572="","",INDEX('_calc'!$F$2:$F$3001,$N2572))</f>
        <v/>
      </c>
      <c r="I2572" s="27" t="str">
        <f>IF($N2572="","",INDEX('_calc'!$H$2:$H$3001,$N2572))</f>
        <v/>
      </c>
      <c r="J2572" s="27" t="str">
        <f>IF($N2572="","",INDEX('_calc'!$I$2:$I$3001,$N2572))</f>
        <v/>
      </c>
      <c r="K2572" s="28" t="str">
        <f>IF($N2572="","",IF(OR(I2572="",J2572=""),"",J2572-I2572))</f>
        <v/>
      </c>
      <c r="L2572" s="29" t="str">
        <f>IF($N2572="","",INDEX('_calc'!$J$2:$J$3001,$N2572))</f>
        <v/>
      </c>
      <c r="M2572" s="2" t="str">
        <f>IF($N2572="","",IF(AND(G2572=0,H2572=0),"수량 없음",IF(G2572=0,"신규 (전년 수량 없음)",IF(H2572=0,"당해 수량 없음",""))))</f>
        <v/>
      </c>
      <c r="N2572" t="str">
        <f>IF($B2572="","",MATCH($B2572,'_calc'!$L$2:$L$3001,0))</f>
        <v/>
      </c>
    </row>
    <row r="2573">
      <c r="B2573" s="24" t="str">
        <f>IF(ROW()-ROW($B$8)&gt;nComp,"",ROW()-ROW($B$8))</f>
        <v/>
      </c>
      <c r="C2573" t="str">
        <f>IF($N2573="","",INDEX('_calc'!$A$2:$A$3001,$N2573))</f>
        <v/>
      </c>
      <c r="D2573" s="25" t="str">
        <f>IF($N2573="","",INDEX('_calc'!$C$2:$C$3001,$N2573))</f>
        <v/>
      </c>
      <c r="E2573" s="25" t="str">
        <f>IF($N2573="","",INDEX('_calc'!$D$2:$D$3001,$N2573))</f>
        <v/>
      </c>
      <c r="F2573" s="26" t="str">
        <f>IF($N2573="","",IF($E$8=0,"",E2573/$E$8))</f>
        <v/>
      </c>
      <c r="G2573" s="25" t="str">
        <f>IF($N2573="","",INDEX('_calc'!$E$2:$E$3001,$N2573))</f>
        <v/>
      </c>
      <c r="H2573" s="25" t="str">
        <f>IF($N2573="","",INDEX('_calc'!$F$2:$F$3001,$N2573))</f>
        <v/>
      </c>
      <c r="I2573" s="27" t="str">
        <f>IF($N2573="","",INDEX('_calc'!$H$2:$H$3001,$N2573))</f>
        <v/>
      </c>
      <c r="J2573" s="27" t="str">
        <f>IF($N2573="","",INDEX('_calc'!$I$2:$I$3001,$N2573))</f>
        <v/>
      </c>
      <c r="K2573" s="28" t="str">
        <f>IF($N2573="","",IF(OR(I2573="",J2573=""),"",J2573-I2573))</f>
        <v/>
      </c>
      <c r="L2573" s="29" t="str">
        <f>IF($N2573="","",INDEX('_calc'!$J$2:$J$3001,$N2573))</f>
        <v/>
      </c>
      <c r="M2573" s="2" t="str">
        <f>IF($N2573="","",IF(AND(G2573=0,H2573=0),"수량 없음",IF(G2573=0,"신규 (전년 수량 없음)",IF(H2573=0,"당해 수량 없음",""))))</f>
        <v/>
      </c>
      <c r="N2573" t="str">
        <f>IF($B2573="","",MATCH($B2573,'_calc'!$L$2:$L$3001,0))</f>
        <v/>
      </c>
    </row>
    <row r="2574">
      <c r="B2574" s="24" t="str">
        <f>IF(ROW()-ROW($B$8)&gt;nComp,"",ROW()-ROW($B$8))</f>
        <v/>
      </c>
      <c r="C2574" t="str">
        <f>IF($N2574="","",INDEX('_calc'!$A$2:$A$3001,$N2574))</f>
        <v/>
      </c>
      <c r="D2574" s="25" t="str">
        <f>IF($N2574="","",INDEX('_calc'!$C$2:$C$3001,$N2574))</f>
        <v/>
      </c>
      <c r="E2574" s="25" t="str">
        <f>IF($N2574="","",INDEX('_calc'!$D$2:$D$3001,$N2574))</f>
        <v/>
      </c>
      <c r="F2574" s="26" t="str">
        <f>IF($N2574="","",IF($E$8=0,"",E2574/$E$8))</f>
        <v/>
      </c>
      <c r="G2574" s="25" t="str">
        <f>IF($N2574="","",INDEX('_calc'!$E$2:$E$3001,$N2574))</f>
        <v/>
      </c>
      <c r="H2574" s="25" t="str">
        <f>IF($N2574="","",INDEX('_calc'!$F$2:$F$3001,$N2574))</f>
        <v/>
      </c>
      <c r="I2574" s="27" t="str">
        <f>IF($N2574="","",INDEX('_calc'!$H$2:$H$3001,$N2574))</f>
        <v/>
      </c>
      <c r="J2574" s="27" t="str">
        <f>IF($N2574="","",INDEX('_calc'!$I$2:$I$3001,$N2574))</f>
        <v/>
      </c>
      <c r="K2574" s="28" t="str">
        <f>IF($N2574="","",IF(OR(I2574="",J2574=""),"",J2574-I2574))</f>
        <v/>
      </c>
      <c r="L2574" s="29" t="str">
        <f>IF($N2574="","",INDEX('_calc'!$J$2:$J$3001,$N2574))</f>
        <v/>
      </c>
      <c r="M2574" s="2" t="str">
        <f>IF($N2574="","",IF(AND(G2574=0,H2574=0),"수량 없음",IF(G2574=0,"신규 (전년 수량 없음)",IF(H2574=0,"당해 수량 없음",""))))</f>
        <v/>
      </c>
      <c r="N2574" t="str">
        <f>IF($B2574="","",MATCH($B2574,'_calc'!$L$2:$L$3001,0))</f>
        <v/>
      </c>
    </row>
    <row r="2575">
      <c r="B2575" s="24" t="str">
        <f>IF(ROW()-ROW($B$8)&gt;nComp,"",ROW()-ROW($B$8))</f>
        <v/>
      </c>
      <c r="C2575" t="str">
        <f>IF($N2575="","",INDEX('_calc'!$A$2:$A$3001,$N2575))</f>
        <v/>
      </c>
      <c r="D2575" s="25" t="str">
        <f>IF($N2575="","",INDEX('_calc'!$C$2:$C$3001,$N2575))</f>
        <v/>
      </c>
      <c r="E2575" s="25" t="str">
        <f>IF($N2575="","",INDEX('_calc'!$D$2:$D$3001,$N2575))</f>
        <v/>
      </c>
      <c r="F2575" s="26" t="str">
        <f>IF($N2575="","",IF($E$8=0,"",E2575/$E$8))</f>
        <v/>
      </c>
      <c r="G2575" s="25" t="str">
        <f>IF($N2575="","",INDEX('_calc'!$E$2:$E$3001,$N2575))</f>
        <v/>
      </c>
      <c r="H2575" s="25" t="str">
        <f>IF($N2575="","",INDEX('_calc'!$F$2:$F$3001,$N2575))</f>
        <v/>
      </c>
      <c r="I2575" s="27" t="str">
        <f>IF($N2575="","",INDEX('_calc'!$H$2:$H$3001,$N2575))</f>
        <v/>
      </c>
      <c r="J2575" s="27" t="str">
        <f>IF($N2575="","",INDEX('_calc'!$I$2:$I$3001,$N2575))</f>
        <v/>
      </c>
      <c r="K2575" s="28" t="str">
        <f>IF($N2575="","",IF(OR(I2575="",J2575=""),"",J2575-I2575))</f>
        <v/>
      </c>
      <c r="L2575" s="29" t="str">
        <f>IF($N2575="","",INDEX('_calc'!$J$2:$J$3001,$N2575))</f>
        <v/>
      </c>
      <c r="M2575" s="2" t="str">
        <f>IF($N2575="","",IF(AND(G2575=0,H2575=0),"수량 없음",IF(G2575=0,"신규 (전년 수량 없음)",IF(H2575=0,"당해 수량 없음",""))))</f>
        <v/>
      </c>
      <c r="N2575" t="str">
        <f>IF($B2575="","",MATCH($B2575,'_calc'!$L$2:$L$3001,0))</f>
        <v/>
      </c>
    </row>
    <row r="2576">
      <c r="B2576" s="24" t="str">
        <f>IF(ROW()-ROW($B$8)&gt;nComp,"",ROW()-ROW($B$8))</f>
        <v/>
      </c>
      <c r="C2576" t="str">
        <f>IF($N2576="","",INDEX('_calc'!$A$2:$A$3001,$N2576))</f>
        <v/>
      </c>
      <c r="D2576" s="25" t="str">
        <f>IF($N2576="","",INDEX('_calc'!$C$2:$C$3001,$N2576))</f>
        <v/>
      </c>
      <c r="E2576" s="25" t="str">
        <f>IF($N2576="","",INDEX('_calc'!$D$2:$D$3001,$N2576))</f>
        <v/>
      </c>
      <c r="F2576" s="26" t="str">
        <f>IF($N2576="","",IF($E$8=0,"",E2576/$E$8))</f>
        <v/>
      </c>
      <c r="G2576" s="25" t="str">
        <f>IF($N2576="","",INDEX('_calc'!$E$2:$E$3001,$N2576))</f>
        <v/>
      </c>
      <c r="H2576" s="25" t="str">
        <f>IF($N2576="","",INDEX('_calc'!$F$2:$F$3001,$N2576))</f>
        <v/>
      </c>
      <c r="I2576" s="27" t="str">
        <f>IF($N2576="","",INDEX('_calc'!$H$2:$H$3001,$N2576))</f>
        <v/>
      </c>
      <c r="J2576" s="27" t="str">
        <f>IF($N2576="","",INDEX('_calc'!$I$2:$I$3001,$N2576))</f>
        <v/>
      </c>
      <c r="K2576" s="28" t="str">
        <f>IF($N2576="","",IF(OR(I2576="",J2576=""),"",J2576-I2576))</f>
        <v/>
      </c>
      <c r="L2576" s="29" t="str">
        <f>IF($N2576="","",INDEX('_calc'!$J$2:$J$3001,$N2576))</f>
        <v/>
      </c>
      <c r="M2576" s="2" t="str">
        <f>IF($N2576="","",IF(AND(G2576=0,H2576=0),"수량 없음",IF(G2576=0,"신규 (전년 수량 없음)",IF(H2576=0,"당해 수량 없음",""))))</f>
        <v/>
      </c>
      <c r="N2576" t="str">
        <f>IF($B2576="","",MATCH($B2576,'_calc'!$L$2:$L$3001,0))</f>
        <v/>
      </c>
    </row>
    <row r="2577">
      <c r="B2577" s="24" t="str">
        <f>IF(ROW()-ROW($B$8)&gt;nComp,"",ROW()-ROW($B$8))</f>
        <v/>
      </c>
      <c r="C2577" t="str">
        <f>IF($N2577="","",INDEX('_calc'!$A$2:$A$3001,$N2577))</f>
        <v/>
      </c>
      <c r="D2577" s="25" t="str">
        <f>IF($N2577="","",INDEX('_calc'!$C$2:$C$3001,$N2577))</f>
        <v/>
      </c>
      <c r="E2577" s="25" t="str">
        <f>IF($N2577="","",INDEX('_calc'!$D$2:$D$3001,$N2577))</f>
        <v/>
      </c>
      <c r="F2577" s="26" t="str">
        <f>IF($N2577="","",IF($E$8=0,"",E2577/$E$8))</f>
        <v/>
      </c>
      <c r="G2577" s="25" t="str">
        <f>IF($N2577="","",INDEX('_calc'!$E$2:$E$3001,$N2577))</f>
        <v/>
      </c>
      <c r="H2577" s="25" t="str">
        <f>IF($N2577="","",INDEX('_calc'!$F$2:$F$3001,$N2577))</f>
        <v/>
      </c>
      <c r="I2577" s="27" t="str">
        <f>IF($N2577="","",INDEX('_calc'!$H$2:$H$3001,$N2577))</f>
        <v/>
      </c>
      <c r="J2577" s="27" t="str">
        <f>IF($N2577="","",INDEX('_calc'!$I$2:$I$3001,$N2577))</f>
        <v/>
      </c>
      <c r="K2577" s="28" t="str">
        <f>IF($N2577="","",IF(OR(I2577="",J2577=""),"",J2577-I2577))</f>
        <v/>
      </c>
      <c r="L2577" s="29" t="str">
        <f>IF($N2577="","",INDEX('_calc'!$J$2:$J$3001,$N2577))</f>
        <v/>
      </c>
      <c r="M2577" s="2" t="str">
        <f>IF($N2577="","",IF(AND(G2577=0,H2577=0),"수량 없음",IF(G2577=0,"신규 (전년 수량 없음)",IF(H2577=0,"당해 수량 없음",""))))</f>
        <v/>
      </c>
      <c r="N2577" t="str">
        <f>IF($B2577="","",MATCH($B2577,'_calc'!$L$2:$L$3001,0))</f>
        <v/>
      </c>
    </row>
    <row r="2578">
      <c r="B2578" s="24" t="str">
        <f>IF(ROW()-ROW($B$8)&gt;nComp,"",ROW()-ROW($B$8))</f>
        <v/>
      </c>
      <c r="C2578" t="str">
        <f>IF($N2578="","",INDEX('_calc'!$A$2:$A$3001,$N2578))</f>
        <v/>
      </c>
      <c r="D2578" s="25" t="str">
        <f>IF($N2578="","",INDEX('_calc'!$C$2:$C$3001,$N2578))</f>
        <v/>
      </c>
      <c r="E2578" s="25" t="str">
        <f>IF($N2578="","",INDEX('_calc'!$D$2:$D$3001,$N2578))</f>
        <v/>
      </c>
      <c r="F2578" s="26" t="str">
        <f>IF($N2578="","",IF($E$8=0,"",E2578/$E$8))</f>
        <v/>
      </c>
      <c r="G2578" s="25" t="str">
        <f>IF($N2578="","",INDEX('_calc'!$E$2:$E$3001,$N2578))</f>
        <v/>
      </c>
      <c r="H2578" s="25" t="str">
        <f>IF($N2578="","",INDEX('_calc'!$F$2:$F$3001,$N2578))</f>
        <v/>
      </c>
      <c r="I2578" s="27" t="str">
        <f>IF($N2578="","",INDEX('_calc'!$H$2:$H$3001,$N2578))</f>
        <v/>
      </c>
      <c r="J2578" s="27" t="str">
        <f>IF($N2578="","",INDEX('_calc'!$I$2:$I$3001,$N2578))</f>
        <v/>
      </c>
      <c r="K2578" s="28" t="str">
        <f>IF($N2578="","",IF(OR(I2578="",J2578=""),"",J2578-I2578))</f>
        <v/>
      </c>
      <c r="L2578" s="29" t="str">
        <f>IF($N2578="","",INDEX('_calc'!$J$2:$J$3001,$N2578))</f>
        <v/>
      </c>
      <c r="M2578" s="2" t="str">
        <f>IF($N2578="","",IF(AND(G2578=0,H2578=0),"수량 없음",IF(G2578=0,"신규 (전년 수량 없음)",IF(H2578=0,"당해 수량 없음",""))))</f>
        <v/>
      </c>
      <c r="N2578" t="str">
        <f>IF($B2578="","",MATCH($B2578,'_calc'!$L$2:$L$3001,0))</f>
        <v/>
      </c>
    </row>
    <row r="2579">
      <c r="B2579" s="24" t="str">
        <f>IF(ROW()-ROW($B$8)&gt;nComp,"",ROW()-ROW($B$8))</f>
        <v/>
      </c>
      <c r="C2579" t="str">
        <f>IF($N2579="","",INDEX('_calc'!$A$2:$A$3001,$N2579))</f>
        <v/>
      </c>
      <c r="D2579" s="25" t="str">
        <f>IF($N2579="","",INDEX('_calc'!$C$2:$C$3001,$N2579))</f>
        <v/>
      </c>
      <c r="E2579" s="25" t="str">
        <f>IF($N2579="","",INDEX('_calc'!$D$2:$D$3001,$N2579))</f>
        <v/>
      </c>
      <c r="F2579" s="26" t="str">
        <f>IF($N2579="","",IF($E$8=0,"",E2579/$E$8))</f>
        <v/>
      </c>
      <c r="G2579" s="25" t="str">
        <f>IF($N2579="","",INDEX('_calc'!$E$2:$E$3001,$N2579))</f>
        <v/>
      </c>
      <c r="H2579" s="25" t="str">
        <f>IF($N2579="","",INDEX('_calc'!$F$2:$F$3001,$N2579))</f>
        <v/>
      </c>
      <c r="I2579" s="27" t="str">
        <f>IF($N2579="","",INDEX('_calc'!$H$2:$H$3001,$N2579))</f>
        <v/>
      </c>
      <c r="J2579" s="27" t="str">
        <f>IF($N2579="","",INDEX('_calc'!$I$2:$I$3001,$N2579))</f>
        <v/>
      </c>
      <c r="K2579" s="28" t="str">
        <f>IF($N2579="","",IF(OR(I2579="",J2579=""),"",J2579-I2579))</f>
        <v/>
      </c>
      <c r="L2579" s="29" t="str">
        <f>IF($N2579="","",INDEX('_calc'!$J$2:$J$3001,$N2579))</f>
        <v/>
      </c>
      <c r="M2579" s="2" t="str">
        <f>IF($N2579="","",IF(AND(G2579=0,H2579=0),"수량 없음",IF(G2579=0,"신규 (전년 수량 없음)",IF(H2579=0,"당해 수량 없음",""))))</f>
        <v/>
      </c>
      <c r="N2579" t="str">
        <f>IF($B2579="","",MATCH($B2579,'_calc'!$L$2:$L$3001,0))</f>
        <v/>
      </c>
    </row>
    <row r="2580">
      <c r="B2580" s="24" t="str">
        <f>IF(ROW()-ROW($B$8)&gt;nComp,"",ROW()-ROW($B$8))</f>
        <v/>
      </c>
      <c r="C2580" t="str">
        <f>IF($N2580="","",INDEX('_calc'!$A$2:$A$3001,$N2580))</f>
        <v/>
      </c>
      <c r="D2580" s="25" t="str">
        <f>IF($N2580="","",INDEX('_calc'!$C$2:$C$3001,$N2580))</f>
        <v/>
      </c>
      <c r="E2580" s="25" t="str">
        <f>IF($N2580="","",INDEX('_calc'!$D$2:$D$3001,$N2580))</f>
        <v/>
      </c>
      <c r="F2580" s="26" t="str">
        <f>IF($N2580="","",IF($E$8=0,"",E2580/$E$8))</f>
        <v/>
      </c>
      <c r="G2580" s="25" t="str">
        <f>IF($N2580="","",INDEX('_calc'!$E$2:$E$3001,$N2580))</f>
        <v/>
      </c>
      <c r="H2580" s="25" t="str">
        <f>IF($N2580="","",INDEX('_calc'!$F$2:$F$3001,$N2580))</f>
        <v/>
      </c>
      <c r="I2580" s="27" t="str">
        <f>IF($N2580="","",INDEX('_calc'!$H$2:$H$3001,$N2580))</f>
        <v/>
      </c>
      <c r="J2580" s="27" t="str">
        <f>IF($N2580="","",INDEX('_calc'!$I$2:$I$3001,$N2580))</f>
        <v/>
      </c>
      <c r="K2580" s="28" t="str">
        <f>IF($N2580="","",IF(OR(I2580="",J2580=""),"",J2580-I2580))</f>
        <v/>
      </c>
      <c r="L2580" s="29" t="str">
        <f>IF($N2580="","",INDEX('_calc'!$J$2:$J$3001,$N2580))</f>
        <v/>
      </c>
      <c r="M2580" s="2" t="str">
        <f>IF($N2580="","",IF(AND(G2580=0,H2580=0),"수량 없음",IF(G2580=0,"신규 (전년 수량 없음)",IF(H2580=0,"당해 수량 없음",""))))</f>
        <v/>
      </c>
      <c r="N2580" t="str">
        <f>IF($B2580="","",MATCH($B2580,'_calc'!$L$2:$L$3001,0))</f>
        <v/>
      </c>
    </row>
    <row r="2581">
      <c r="B2581" s="24" t="str">
        <f>IF(ROW()-ROW($B$8)&gt;nComp,"",ROW()-ROW($B$8))</f>
        <v/>
      </c>
      <c r="C2581" t="str">
        <f>IF($N2581="","",INDEX('_calc'!$A$2:$A$3001,$N2581))</f>
        <v/>
      </c>
      <c r="D2581" s="25" t="str">
        <f>IF($N2581="","",INDEX('_calc'!$C$2:$C$3001,$N2581))</f>
        <v/>
      </c>
      <c r="E2581" s="25" t="str">
        <f>IF($N2581="","",INDEX('_calc'!$D$2:$D$3001,$N2581))</f>
        <v/>
      </c>
      <c r="F2581" s="26" t="str">
        <f>IF($N2581="","",IF($E$8=0,"",E2581/$E$8))</f>
        <v/>
      </c>
      <c r="G2581" s="25" t="str">
        <f>IF($N2581="","",INDEX('_calc'!$E$2:$E$3001,$N2581))</f>
        <v/>
      </c>
      <c r="H2581" s="25" t="str">
        <f>IF($N2581="","",INDEX('_calc'!$F$2:$F$3001,$N2581))</f>
        <v/>
      </c>
      <c r="I2581" s="27" t="str">
        <f>IF($N2581="","",INDEX('_calc'!$H$2:$H$3001,$N2581))</f>
        <v/>
      </c>
      <c r="J2581" s="27" t="str">
        <f>IF($N2581="","",INDEX('_calc'!$I$2:$I$3001,$N2581))</f>
        <v/>
      </c>
      <c r="K2581" s="28" t="str">
        <f>IF($N2581="","",IF(OR(I2581="",J2581=""),"",J2581-I2581))</f>
        <v/>
      </c>
      <c r="L2581" s="29" t="str">
        <f>IF($N2581="","",INDEX('_calc'!$J$2:$J$3001,$N2581))</f>
        <v/>
      </c>
      <c r="M2581" s="2" t="str">
        <f>IF($N2581="","",IF(AND(G2581=0,H2581=0),"수량 없음",IF(G2581=0,"신규 (전년 수량 없음)",IF(H2581=0,"당해 수량 없음",""))))</f>
        <v/>
      </c>
      <c r="N2581" t="str">
        <f>IF($B2581="","",MATCH($B2581,'_calc'!$L$2:$L$3001,0))</f>
        <v/>
      </c>
    </row>
    <row r="2582">
      <c r="B2582" s="24" t="str">
        <f>IF(ROW()-ROW($B$8)&gt;nComp,"",ROW()-ROW($B$8))</f>
        <v/>
      </c>
      <c r="C2582" t="str">
        <f>IF($N2582="","",INDEX('_calc'!$A$2:$A$3001,$N2582))</f>
        <v/>
      </c>
      <c r="D2582" s="25" t="str">
        <f>IF($N2582="","",INDEX('_calc'!$C$2:$C$3001,$N2582))</f>
        <v/>
      </c>
      <c r="E2582" s="25" t="str">
        <f>IF($N2582="","",INDEX('_calc'!$D$2:$D$3001,$N2582))</f>
        <v/>
      </c>
      <c r="F2582" s="26" t="str">
        <f>IF($N2582="","",IF($E$8=0,"",E2582/$E$8))</f>
        <v/>
      </c>
      <c r="G2582" s="25" t="str">
        <f>IF($N2582="","",INDEX('_calc'!$E$2:$E$3001,$N2582))</f>
        <v/>
      </c>
      <c r="H2582" s="25" t="str">
        <f>IF($N2582="","",INDEX('_calc'!$F$2:$F$3001,$N2582))</f>
        <v/>
      </c>
      <c r="I2582" s="27" t="str">
        <f>IF($N2582="","",INDEX('_calc'!$H$2:$H$3001,$N2582))</f>
        <v/>
      </c>
      <c r="J2582" s="27" t="str">
        <f>IF($N2582="","",INDEX('_calc'!$I$2:$I$3001,$N2582))</f>
        <v/>
      </c>
      <c r="K2582" s="28" t="str">
        <f>IF($N2582="","",IF(OR(I2582="",J2582=""),"",J2582-I2582))</f>
        <v/>
      </c>
      <c r="L2582" s="29" t="str">
        <f>IF($N2582="","",INDEX('_calc'!$J$2:$J$3001,$N2582))</f>
        <v/>
      </c>
      <c r="M2582" s="2" t="str">
        <f>IF($N2582="","",IF(AND(G2582=0,H2582=0),"수량 없음",IF(G2582=0,"신규 (전년 수량 없음)",IF(H2582=0,"당해 수량 없음",""))))</f>
        <v/>
      </c>
      <c r="N2582" t="str">
        <f>IF($B2582="","",MATCH($B2582,'_calc'!$L$2:$L$3001,0))</f>
        <v/>
      </c>
    </row>
    <row r="2583">
      <c r="B2583" s="24" t="str">
        <f>IF(ROW()-ROW($B$8)&gt;nComp,"",ROW()-ROW($B$8))</f>
        <v/>
      </c>
      <c r="C2583" t="str">
        <f>IF($N2583="","",INDEX('_calc'!$A$2:$A$3001,$N2583))</f>
        <v/>
      </c>
      <c r="D2583" s="25" t="str">
        <f>IF($N2583="","",INDEX('_calc'!$C$2:$C$3001,$N2583))</f>
        <v/>
      </c>
      <c r="E2583" s="25" t="str">
        <f>IF($N2583="","",INDEX('_calc'!$D$2:$D$3001,$N2583))</f>
        <v/>
      </c>
      <c r="F2583" s="26" t="str">
        <f>IF($N2583="","",IF($E$8=0,"",E2583/$E$8))</f>
        <v/>
      </c>
      <c r="G2583" s="25" t="str">
        <f>IF($N2583="","",INDEX('_calc'!$E$2:$E$3001,$N2583))</f>
        <v/>
      </c>
      <c r="H2583" s="25" t="str">
        <f>IF($N2583="","",INDEX('_calc'!$F$2:$F$3001,$N2583))</f>
        <v/>
      </c>
      <c r="I2583" s="27" t="str">
        <f>IF($N2583="","",INDEX('_calc'!$H$2:$H$3001,$N2583))</f>
        <v/>
      </c>
      <c r="J2583" s="27" t="str">
        <f>IF($N2583="","",INDEX('_calc'!$I$2:$I$3001,$N2583))</f>
        <v/>
      </c>
      <c r="K2583" s="28" t="str">
        <f>IF($N2583="","",IF(OR(I2583="",J2583=""),"",J2583-I2583))</f>
        <v/>
      </c>
      <c r="L2583" s="29" t="str">
        <f>IF($N2583="","",INDEX('_calc'!$J$2:$J$3001,$N2583))</f>
        <v/>
      </c>
      <c r="M2583" s="2" t="str">
        <f>IF($N2583="","",IF(AND(G2583=0,H2583=0),"수량 없음",IF(G2583=0,"신규 (전년 수량 없음)",IF(H2583=0,"당해 수량 없음",""))))</f>
        <v/>
      </c>
      <c r="N2583" t="str">
        <f>IF($B2583="","",MATCH($B2583,'_calc'!$L$2:$L$3001,0))</f>
        <v/>
      </c>
    </row>
    <row r="2584">
      <c r="B2584" s="24" t="str">
        <f>IF(ROW()-ROW($B$8)&gt;nComp,"",ROW()-ROW($B$8))</f>
        <v/>
      </c>
      <c r="C2584" t="str">
        <f>IF($N2584="","",INDEX('_calc'!$A$2:$A$3001,$N2584))</f>
        <v/>
      </c>
      <c r="D2584" s="25" t="str">
        <f>IF($N2584="","",INDEX('_calc'!$C$2:$C$3001,$N2584))</f>
        <v/>
      </c>
      <c r="E2584" s="25" t="str">
        <f>IF($N2584="","",INDEX('_calc'!$D$2:$D$3001,$N2584))</f>
        <v/>
      </c>
      <c r="F2584" s="26" t="str">
        <f>IF($N2584="","",IF($E$8=0,"",E2584/$E$8))</f>
        <v/>
      </c>
      <c r="G2584" s="25" t="str">
        <f>IF($N2584="","",INDEX('_calc'!$E$2:$E$3001,$N2584))</f>
        <v/>
      </c>
      <c r="H2584" s="25" t="str">
        <f>IF($N2584="","",INDEX('_calc'!$F$2:$F$3001,$N2584))</f>
        <v/>
      </c>
      <c r="I2584" s="27" t="str">
        <f>IF($N2584="","",INDEX('_calc'!$H$2:$H$3001,$N2584))</f>
        <v/>
      </c>
      <c r="J2584" s="27" t="str">
        <f>IF($N2584="","",INDEX('_calc'!$I$2:$I$3001,$N2584))</f>
        <v/>
      </c>
      <c r="K2584" s="28" t="str">
        <f>IF($N2584="","",IF(OR(I2584="",J2584=""),"",J2584-I2584))</f>
        <v/>
      </c>
      <c r="L2584" s="29" t="str">
        <f>IF($N2584="","",INDEX('_calc'!$J$2:$J$3001,$N2584))</f>
        <v/>
      </c>
      <c r="M2584" s="2" t="str">
        <f>IF($N2584="","",IF(AND(G2584=0,H2584=0),"수량 없음",IF(G2584=0,"신규 (전년 수량 없음)",IF(H2584=0,"당해 수량 없음",""))))</f>
        <v/>
      </c>
      <c r="N2584" t="str">
        <f>IF($B2584="","",MATCH($B2584,'_calc'!$L$2:$L$3001,0))</f>
        <v/>
      </c>
    </row>
    <row r="2585">
      <c r="B2585" s="24" t="str">
        <f>IF(ROW()-ROW($B$8)&gt;nComp,"",ROW()-ROW($B$8))</f>
        <v/>
      </c>
      <c r="C2585" t="str">
        <f>IF($N2585="","",INDEX('_calc'!$A$2:$A$3001,$N2585))</f>
        <v/>
      </c>
      <c r="D2585" s="25" t="str">
        <f>IF($N2585="","",INDEX('_calc'!$C$2:$C$3001,$N2585))</f>
        <v/>
      </c>
      <c r="E2585" s="25" t="str">
        <f>IF($N2585="","",INDEX('_calc'!$D$2:$D$3001,$N2585))</f>
        <v/>
      </c>
      <c r="F2585" s="26" t="str">
        <f>IF($N2585="","",IF($E$8=0,"",E2585/$E$8))</f>
        <v/>
      </c>
      <c r="G2585" s="25" t="str">
        <f>IF($N2585="","",INDEX('_calc'!$E$2:$E$3001,$N2585))</f>
        <v/>
      </c>
      <c r="H2585" s="25" t="str">
        <f>IF($N2585="","",INDEX('_calc'!$F$2:$F$3001,$N2585))</f>
        <v/>
      </c>
      <c r="I2585" s="27" t="str">
        <f>IF($N2585="","",INDEX('_calc'!$H$2:$H$3001,$N2585))</f>
        <v/>
      </c>
      <c r="J2585" s="27" t="str">
        <f>IF($N2585="","",INDEX('_calc'!$I$2:$I$3001,$N2585))</f>
        <v/>
      </c>
      <c r="K2585" s="28" t="str">
        <f>IF($N2585="","",IF(OR(I2585="",J2585=""),"",J2585-I2585))</f>
        <v/>
      </c>
      <c r="L2585" s="29" t="str">
        <f>IF($N2585="","",INDEX('_calc'!$J$2:$J$3001,$N2585))</f>
        <v/>
      </c>
      <c r="M2585" s="2" t="str">
        <f>IF($N2585="","",IF(AND(G2585=0,H2585=0),"수량 없음",IF(G2585=0,"신규 (전년 수량 없음)",IF(H2585=0,"당해 수량 없음",""))))</f>
        <v/>
      </c>
      <c r="N2585" t="str">
        <f>IF($B2585="","",MATCH($B2585,'_calc'!$L$2:$L$3001,0))</f>
        <v/>
      </c>
    </row>
    <row r="2586">
      <c r="B2586" s="24" t="str">
        <f>IF(ROW()-ROW($B$8)&gt;nComp,"",ROW()-ROW($B$8))</f>
        <v/>
      </c>
      <c r="C2586" t="str">
        <f>IF($N2586="","",INDEX('_calc'!$A$2:$A$3001,$N2586))</f>
        <v/>
      </c>
      <c r="D2586" s="25" t="str">
        <f>IF($N2586="","",INDEX('_calc'!$C$2:$C$3001,$N2586))</f>
        <v/>
      </c>
      <c r="E2586" s="25" t="str">
        <f>IF($N2586="","",INDEX('_calc'!$D$2:$D$3001,$N2586))</f>
        <v/>
      </c>
      <c r="F2586" s="26" t="str">
        <f>IF($N2586="","",IF($E$8=0,"",E2586/$E$8))</f>
        <v/>
      </c>
      <c r="G2586" s="25" t="str">
        <f>IF($N2586="","",INDEX('_calc'!$E$2:$E$3001,$N2586))</f>
        <v/>
      </c>
      <c r="H2586" s="25" t="str">
        <f>IF($N2586="","",INDEX('_calc'!$F$2:$F$3001,$N2586))</f>
        <v/>
      </c>
      <c r="I2586" s="27" t="str">
        <f>IF($N2586="","",INDEX('_calc'!$H$2:$H$3001,$N2586))</f>
        <v/>
      </c>
      <c r="J2586" s="27" t="str">
        <f>IF($N2586="","",INDEX('_calc'!$I$2:$I$3001,$N2586))</f>
        <v/>
      </c>
      <c r="K2586" s="28" t="str">
        <f>IF($N2586="","",IF(OR(I2586="",J2586=""),"",J2586-I2586))</f>
        <v/>
      </c>
      <c r="L2586" s="29" t="str">
        <f>IF($N2586="","",INDEX('_calc'!$J$2:$J$3001,$N2586))</f>
        <v/>
      </c>
      <c r="M2586" s="2" t="str">
        <f>IF($N2586="","",IF(AND(G2586=0,H2586=0),"수량 없음",IF(G2586=0,"신규 (전년 수량 없음)",IF(H2586=0,"당해 수량 없음",""))))</f>
        <v/>
      </c>
      <c r="N2586" t="str">
        <f>IF($B2586="","",MATCH($B2586,'_calc'!$L$2:$L$3001,0))</f>
        <v/>
      </c>
    </row>
    <row r="2587">
      <c r="B2587" s="24" t="str">
        <f>IF(ROW()-ROW($B$8)&gt;nComp,"",ROW()-ROW($B$8))</f>
        <v/>
      </c>
      <c r="C2587" t="str">
        <f>IF($N2587="","",INDEX('_calc'!$A$2:$A$3001,$N2587))</f>
        <v/>
      </c>
      <c r="D2587" s="25" t="str">
        <f>IF($N2587="","",INDEX('_calc'!$C$2:$C$3001,$N2587))</f>
        <v/>
      </c>
      <c r="E2587" s="25" t="str">
        <f>IF($N2587="","",INDEX('_calc'!$D$2:$D$3001,$N2587))</f>
        <v/>
      </c>
      <c r="F2587" s="26" t="str">
        <f>IF($N2587="","",IF($E$8=0,"",E2587/$E$8))</f>
        <v/>
      </c>
      <c r="G2587" s="25" t="str">
        <f>IF($N2587="","",INDEX('_calc'!$E$2:$E$3001,$N2587))</f>
        <v/>
      </c>
      <c r="H2587" s="25" t="str">
        <f>IF($N2587="","",INDEX('_calc'!$F$2:$F$3001,$N2587))</f>
        <v/>
      </c>
      <c r="I2587" s="27" t="str">
        <f>IF($N2587="","",INDEX('_calc'!$H$2:$H$3001,$N2587))</f>
        <v/>
      </c>
      <c r="J2587" s="27" t="str">
        <f>IF($N2587="","",INDEX('_calc'!$I$2:$I$3001,$N2587))</f>
        <v/>
      </c>
      <c r="K2587" s="28" t="str">
        <f>IF($N2587="","",IF(OR(I2587="",J2587=""),"",J2587-I2587))</f>
        <v/>
      </c>
      <c r="L2587" s="29" t="str">
        <f>IF($N2587="","",INDEX('_calc'!$J$2:$J$3001,$N2587))</f>
        <v/>
      </c>
      <c r="M2587" s="2" t="str">
        <f>IF($N2587="","",IF(AND(G2587=0,H2587=0),"수량 없음",IF(G2587=0,"신규 (전년 수량 없음)",IF(H2587=0,"당해 수량 없음",""))))</f>
        <v/>
      </c>
      <c r="N2587" t="str">
        <f>IF($B2587="","",MATCH($B2587,'_calc'!$L$2:$L$3001,0))</f>
        <v/>
      </c>
    </row>
    <row r="2588">
      <c r="B2588" s="24" t="str">
        <f>IF(ROW()-ROW($B$8)&gt;nComp,"",ROW()-ROW($B$8))</f>
        <v/>
      </c>
      <c r="C2588" t="str">
        <f>IF($N2588="","",INDEX('_calc'!$A$2:$A$3001,$N2588))</f>
        <v/>
      </c>
      <c r="D2588" s="25" t="str">
        <f>IF($N2588="","",INDEX('_calc'!$C$2:$C$3001,$N2588))</f>
        <v/>
      </c>
      <c r="E2588" s="25" t="str">
        <f>IF($N2588="","",INDEX('_calc'!$D$2:$D$3001,$N2588))</f>
        <v/>
      </c>
      <c r="F2588" s="26" t="str">
        <f>IF($N2588="","",IF($E$8=0,"",E2588/$E$8))</f>
        <v/>
      </c>
      <c r="G2588" s="25" t="str">
        <f>IF($N2588="","",INDEX('_calc'!$E$2:$E$3001,$N2588))</f>
        <v/>
      </c>
      <c r="H2588" s="25" t="str">
        <f>IF($N2588="","",INDEX('_calc'!$F$2:$F$3001,$N2588))</f>
        <v/>
      </c>
      <c r="I2588" s="27" t="str">
        <f>IF($N2588="","",INDEX('_calc'!$H$2:$H$3001,$N2588))</f>
        <v/>
      </c>
      <c r="J2588" s="27" t="str">
        <f>IF($N2588="","",INDEX('_calc'!$I$2:$I$3001,$N2588))</f>
        <v/>
      </c>
      <c r="K2588" s="28" t="str">
        <f>IF($N2588="","",IF(OR(I2588="",J2588=""),"",J2588-I2588))</f>
        <v/>
      </c>
      <c r="L2588" s="29" t="str">
        <f>IF($N2588="","",INDEX('_calc'!$J$2:$J$3001,$N2588))</f>
        <v/>
      </c>
      <c r="M2588" s="2" t="str">
        <f>IF($N2588="","",IF(AND(G2588=0,H2588=0),"수량 없음",IF(G2588=0,"신규 (전년 수량 없음)",IF(H2588=0,"당해 수량 없음",""))))</f>
        <v/>
      </c>
      <c r="N2588" t="str">
        <f>IF($B2588="","",MATCH($B2588,'_calc'!$L$2:$L$3001,0))</f>
        <v/>
      </c>
    </row>
    <row r="2589">
      <c r="B2589" s="24" t="str">
        <f>IF(ROW()-ROW($B$8)&gt;nComp,"",ROW()-ROW($B$8))</f>
        <v/>
      </c>
      <c r="C2589" t="str">
        <f>IF($N2589="","",INDEX('_calc'!$A$2:$A$3001,$N2589))</f>
        <v/>
      </c>
      <c r="D2589" s="25" t="str">
        <f>IF($N2589="","",INDEX('_calc'!$C$2:$C$3001,$N2589))</f>
        <v/>
      </c>
      <c r="E2589" s="25" t="str">
        <f>IF($N2589="","",INDEX('_calc'!$D$2:$D$3001,$N2589))</f>
        <v/>
      </c>
      <c r="F2589" s="26" t="str">
        <f>IF($N2589="","",IF($E$8=0,"",E2589/$E$8))</f>
        <v/>
      </c>
      <c r="G2589" s="25" t="str">
        <f>IF($N2589="","",INDEX('_calc'!$E$2:$E$3001,$N2589))</f>
        <v/>
      </c>
      <c r="H2589" s="25" t="str">
        <f>IF($N2589="","",INDEX('_calc'!$F$2:$F$3001,$N2589))</f>
        <v/>
      </c>
      <c r="I2589" s="27" t="str">
        <f>IF($N2589="","",INDEX('_calc'!$H$2:$H$3001,$N2589))</f>
        <v/>
      </c>
      <c r="J2589" s="27" t="str">
        <f>IF($N2589="","",INDEX('_calc'!$I$2:$I$3001,$N2589))</f>
        <v/>
      </c>
      <c r="K2589" s="28" t="str">
        <f>IF($N2589="","",IF(OR(I2589="",J2589=""),"",J2589-I2589))</f>
        <v/>
      </c>
      <c r="L2589" s="29" t="str">
        <f>IF($N2589="","",INDEX('_calc'!$J$2:$J$3001,$N2589))</f>
        <v/>
      </c>
      <c r="M2589" s="2" t="str">
        <f>IF($N2589="","",IF(AND(G2589=0,H2589=0),"수량 없음",IF(G2589=0,"신규 (전년 수량 없음)",IF(H2589=0,"당해 수량 없음",""))))</f>
        <v/>
      </c>
      <c r="N2589" t="str">
        <f>IF($B2589="","",MATCH($B2589,'_calc'!$L$2:$L$3001,0))</f>
        <v/>
      </c>
    </row>
    <row r="2590">
      <c r="B2590" s="24" t="str">
        <f>IF(ROW()-ROW($B$8)&gt;nComp,"",ROW()-ROW($B$8))</f>
        <v/>
      </c>
      <c r="C2590" t="str">
        <f>IF($N2590="","",INDEX('_calc'!$A$2:$A$3001,$N2590))</f>
        <v/>
      </c>
      <c r="D2590" s="25" t="str">
        <f>IF($N2590="","",INDEX('_calc'!$C$2:$C$3001,$N2590))</f>
        <v/>
      </c>
      <c r="E2590" s="25" t="str">
        <f>IF($N2590="","",INDEX('_calc'!$D$2:$D$3001,$N2590))</f>
        <v/>
      </c>
      <c r="F2590" s="26" t="str">
        <f>IF($N2590="","",IF($E$8=0,"",E2590/$E$8))</f>
        <v/>
      </c>
      <c r="G2590" s="25" t="str">
        <f>IF($N2590="","",INDEX('_calc'!$E$2:$E$3001,$N2590))</f>
        <v/>
      </c>
      <c r="H2590" s="25" t="str">
        <f>IF($N2590="","",INDEX('_calc'!$F$2:$F$3001,$N2590))</f>
        <v/>
      </c>
      <c r="I2590" s="27" t="str">
        <f>IF($N2590="","",INDEX('_calc'!$H$2:$H$3001,$N2590))</f>
        <v/>
      </c>
      <c r="J2590" s="27" t="str">
        <f>IF($N2590="","",INDEX('_calc'!$I$2:$I$3001,$N2590))</f>
        <v/>
      </c>
      <c r="K2590" s="28" t="str">
        <f>IF($N2590="","",IF(OR(I2590="",J2590=""),"",J2590-I2590))</f>
        <v/>
      </c>
      <c r="L2590" s="29" t="str">
        <f>IF($N2590="","",INDEX('_calc'!$J$2:$J$3001,$N2590))</f>
        <v/>
      </c>
      <c r="M2590" s="2" t="str">
        <f>IF($N2590="","",IF(AND(G2590=0,H2590=0),"수량 없음",IF(G2590=0,"신규 (전년 수량 없음)",IF(H2590=0,"당해 수량 없음",""))))</f>
        <v/>
      </c>
      <c r="N2590" t="str">
        <f>IF($B2590="","",MATCH($B2590,'_calc'!$L$2:$L$3001,0))</f>
        <v/>
      </c>
    </row>
    <row r="2591">
      <c r="B2591" s="24" t="str">
        <f>IF(ROW()-ROW($B$8)&gt;nComp,"",ROW()-ROW($B$8))</f>
        <v/>
      </c>
      <c r="C2591" t="str">
        <f>IF($N2591="","",INDEX('_calc'!$A$2:$A$3001,$N2591))</f>
        <v/>
      </c>
      <c r="D2591" s="25" t="str">
        <f>IF($N2591="","",INDEX('_calc'!$C$2:$C$3001,$N2591))</f>
        <v/>
      </c>
      <c r="E2591" s="25" t="str">
        <f>IF($N2591="","",INDEX('_calc'!$D$2:$D$3001,$N2591))</f>
        <v/>
      </c>
      <c r="F2591" s="26" t="str">
        <f>IF($N2591="","",IF($E$8=0,"",E2591/$E$8))</f>
        <v/>
      </c>
      <c r="G2591" s="25" t="str">
        <f>IF($N2591="","",INDEX('_calc'!$E$2:$E$3001,$N2591))</f>
        <v/>
      </c>
      <c r="H2591" s="25" t="str">
        <f>IF($N2591="","",INDEX('_calc'!$F$2:$F$3001,$N2591))</f>
        <v/>
      </c>
      <c r="I2591" s="27" t="str">
        <f>IF($N2591="","",INDEX('_calc'!$H$2:$H$3001,$N2591))</f>
        <v/>
      </c>
      <c r="J2591" s="27" t="str">
        <f>IF($N2591="","",INDEX('_calc'!$I$2:$I$3001,$N2591))</f>
        <v/>
      </c>
      <c r="K2591" s="28" t="str">
        <f>IF($N2591="","",IF(OR(I2591="",J2591=""),"",J2591-I2591))</f>
        <v/>
      </c>
      <c r="L2591" s="29" t="str">
        <f>IF($N2591="","",INDEX('_calc'!$J$2:$J$3001,$N2591))</f>
        <v/>
      </c>
      <c r="M2591" s="2" t="str">
        <f>IF($N2591="","",IF(AND(G2591=0,H2591=0),"수량 없음",IF(G2591=0,"신규 (전년 수량 없음)",IF(H2591=0,"당해 수량 없음",""))))</f>
        <v/>
      </c>
      <c r="N2591" t="str">
        <f>IF($B2591="","",MATCH($B2591,'_calc'!$L$2:$L$3001,0))</f>
        <v/>
      </c>
    </row>
    <row r="2592">
      <c r="B2592" s="24" t="str">
        <f>IF(ROW()-ROW($B$8)&gt;nComp,"",ROW()-ROW($B$8))</f>
        <v/>
      </c>
      <c r="C2592" t="str">
        <f>IF($N2592="","",INDEX('_calc'!$A$2:$A$3001,$N2592))</f>
        <v/>
      </c>
      <c r="D2592" s="25" t="str">
        <f>IF($N2592="","",INDEX('_calc'!$C$2:$C$3001,$N2592))</f>
        <v/>
      </c>
      <c r="E2592" s="25" t="str">
        <f>IF($N2592="","",INDEX('_calc'!$D$2:$D$3001,$N2592))</f>
        <v/>
      </c>
      <c r="F2592" s="26" t="str">
        <f>IF($N2592="","",IF($E$8=0,"",E2592/$E$8))</f>
        <v/>
      </c>
      <c r="G2592" s="25" t="str">
        <f>IF($N2592="","",INDEX('_calc'!$E$2:$E$3001,$N2592))</f>
        <v/>
      </c>
      <c r="H2592" s="25" t="str">
        <f>IF($N2592="","",INDEX('_calc'!$F$2:$F$3001,$N2592))</f>
        <v/>
      </c>
      <c r="I2592" s="27" t="str">
        <f>IF($N2592="","",INDEX('_calc'!$H$2:$H$3001,$N2592))</f>
        <v/>
      </c>
      <c r="J2592" s="27" t="str">
        <f>IF($N2592="","",INDEX('_calc'!$I$2:$I$3001,$N2592))</f>
        <v/>
      </c>
      <c r="K2592" s="28" t="str">
        <f>IF($N2592="","",IF(OR(I2592="",J2592=""),"",J2592-I2592))</f>
        <v/>
      </c>
      <c r="L2592" s="29" t="str">
        <f>IF($N2592="","",INDEX('_calc'!$J$2:$J$3001,$N2592))</f>
        <v/>
      </c>
      <c r="M2592" s="2" t="str">
        <f>IF($N2592="","",IF(AND(G2592=0,H2592=0),"수량 없음",IF(G2592=0,"신규 (전년 수량 없음)",IF(H2592=0,"당해 수량 없음",""))))</f>
        <v/>
      </c>
      <c r="N2592" t="str">
        <f>IF($B2592="","",MATCH($B2592,'_calc'!$L$2:$L$3001,0))</f>
        <v/>
      </c>
    </row>
    <row r="2593">
      <c r="B2593" s="24" t="str">
        <f>IF(ROW()-ROW($B$8)&gt;nComp,"",ROW()-ROW($B$8))</f>
        <v/>
      </c>
      <c r="C2593" t="str">
        <f>IF($N2593="","",INDEX('_calc'!$A$2:$A$3001,$N2593))</f>
        <v/>
      </c>
      <c r="D2593" s="25" t="str">
        <f>IF($N2593="","",INDEX('_calc'!$C$2:$C$3001,$N2593))</f>
        <v/>
      </c>
      <c r="E2593" s="25" t="str">
        <f>IF($N2593="","",INDEX('_calc'!$D$2:$D$3001,$N2593))</f>
        <v/>
      </c>
      <c r="F2593" s="26" t="str">
        <f>IF($N2593="","",IF($E$8=0,"",E2593/$E$8))</f>
        <v/>
      </c>
      <c r="G2593" s="25" t="str">
        <f>IF($N2593="","",INDEX('_calc'!$E$2:$E$3001,$N2593))</f>
        <v/>
      </c>
      <c r="H2593" s="25" t="str">
        <f>IF($N2593="","",INDEX('_calc'!$F$2:$F$3001,$N2593))</f>
        <v/>
      </c>
      <c r="I2593" s="27" t="str">
        <f>IF($N2593="","",INDEX('_calc'!$H$2:$H$3001,$N2593))</f>
        <v/>
      </c>
      <c r="J2593" s="27" t="str">
        <f>IF($N2593="","",INDEX('_calc'!$I$2:$I$3001,$N2593))</f>
        <v/>
      </c>
      <c r="K2593" s="28" t="str">
        <f>IF($N2593="","",IF(OR(I2593="",J2593=""),"",J2593-I2593))</f>
        <v/>
      </c>
      <c r="L2593" s="29" t="str">
        <f>IF($N2593="","",INDEX('_calc'!$J$2:$J$3001,$N2593))</f>
        <v/>
      </c>
      <c r="M2593" s="2" t="str">
        <f>IF($N2593="","",IF(AND(G2593=0,H2593=0),"수량 없음",IF(G2593=0,"신규 (전년 수량 없음)",IF(H2593=0,"당해 수량 없음",""))))</f>
        <v/>
      </c>
      <c r="N2593" t="str">
        <f>IF($B2593="","",MATCH($B2593,'_calc'!$L$2:$L$3001,0))</f>
        <v/>
      </c>
    </row>
    <row r="2594">
      <c r="B2594" s="24" t="str">
        <f>IF(ROW()-ROW($B$8)&gt;nComp,"",ROW()-ROW($B$8))</f>
        <v/>
      </c>
      <c r="C2594" t="str">
        <f>IF($N2594="","",INDEX('_calc'!$A$2:$A$3001,$N2594))</f>
        <v/>
      </c>
      <c r="D2594" s="25" t="str">
        <f>IF($N2594="","",INDEX('_calc'!$C$2:$C$3001,$N2594))</f>
        <v/>
      </c>
      <c r="E2594" s="25" t="str">
        <f>IF($N2594="","",INDEX('_calc'!$D$2:$D$3001,$N2594))</f>
        <v/>
      </c>
      <c r="F2594" s="26" t="str">
        <f>IF($N2594="","",IF($E$8=0,"",E2594/$E$8))</f>
        <v/>
      </c>
      <c r="G2594" s="25" t="str">
        <f>IF($N2594="","",INDEX('_calc'!$E$2:$E$3001,$N2594))</f>
        <v/>
      </c>
      <c r="H2594" s="25" t="str">
        <f>IF($N2594="","",INDEX('_calc'!$F$2:$F$3001,$N2594))</f>
        <v/>
      </c>
      <c r="I2594" s="27" t="str">
        <f>IF($N2594="","",INDEX('_calc'!$H$2:$H$3001,$N2594))</f>
        <v/>
      </c>
      <c r="J2594" s="27" t="str">
        <f>IF($N2594="","",INDEX('_calc'!$I$2:$I$3001,$N2594))</f>
        <v/>
      </c>
      <c r="K2594" s="28" t="str">
        <f>IF($N2594="","",IF(OR(I2594="",J2594=""),"",J2594-I2594))</f>
        <v/>
      </c>
      <c r="L2594" s="29" t="str">
        <f>IF($N2594="","",INDEX('_calc'!$J$2:$J$3001,$N2594))</f>
        <v/>
      </c>
      <c r="M2594" s="2" t="str">
        <f>IF($N2594="","",IF(AND(G2594=0,H2594=0),"수량 없음",IF(G2594=0,"신규 (전년 수량 없음)",IF(H2594=0,"당해 수량 없음",""))))</f>
        <v/>
      </c>
      <c r="N2594" t="str">
        <f>IF($B2594="","",MATCH($B2594,'_calc'!$L$2:$L$3001,0))</f>
        <v/>
      </c>
    </row>
    <row r="2595">
      <c r="B2595" s="24" t="str">
        <f>IF(ROW()-ROW($B$8)&gt;nComp,"",ROW()-ROW($B$8))</f>
        <v/>
      </c>
      <c r="C2595" t="str">
        <f>IF($N2595="","",INDEX('_calc'!$A$2:$A$3001,$N2595))</f>
        <v/>
      </c>
      <c r="D2595" s="25" t="str">
        <f>IF($N2595="","",INDEX('_calc'!$C$2:$C$3001,$N2595))</f>
        <v/>
      </c>
      <c r="E2595" s="25" t="str">
        <f>IF($N2595="","",INDEX('_calc'!$D$2:$D$3001,$N2595))</f>
        <v/>
      </c>
      <c r="F2595" s="26" t="str">
        <f>IF($N2595="","",IF($E$8=0,"",E2595/$E$8))</f>
        <v/>
      </c>
      <c r="G2595" s="25" t="str">
        <f>IF($N2595="","",INDEX('_calc'!$E$2:$E$3001,$N2595))</f>
        <v/>
      </c>
      <c r="H2595" s="25" t="str">
        <f>IF($N2595="","",INDEX('_calc'!$F$2:$F$3001,$N2595))</f>
        <v/>
      </c>
      <c r="I2595" s="27" t="str">
        <f>IF($N2595="","",INDEX('_calc'!$H$2:$H$3001,$N2595))</f>
        <v/>
      </c>
      <c r="J2595" s="27" t="str">
        <f>IF($N2595="","",INDEX('_calc'!$I$2:$I$3001,$N2595))</f>
        <v/>
      </c>
      <c r="K2595" s="28" t="str">
        <f>IF($N2595="","",IF(OR(I2595="",J2595=""),"",J2595-I2595))</f>
        <v/>
      </c>
      <c r="L2595" s="29" t="str">
        <f>IF($N2595="","",INDEX('_calc'!$J$2:$J$3001,$N2595))</f>
        <v/>
      </c>
      <c r="M2595" s="2" t="str">
        <f>IF($N2595="","",IF(AND(G2595=0,H2595=0),"수량 없음",IF(G2595=0,"신규 (전년 수량 없음)",IF(H2595=0,"당해 수량 없음",""))))</f>
        <v/>
      </c>
      <c r="N2595" t="str">
        <f>IF($B2595="","",MATCH($B2595,'_calc'!$L$2:$L$3001,0))</f>
        <v/>
      </c>
    </row>
    <row r="2596">
      <c r="B2596" s="24" t="str">
        <f>IF(ROW()-ROW($B$8)&gt;nComp,"",ROW()-ROW($B$8))</f>
        <v/>
      </c>
      <c r="C2596" t="str">
        <f>IF($N2596="","",INDEX('_calc'!$A$2:$A$3001,$N2596))</f>
        <v/>
      </c>
      <c r="D2596" s="25" t="str">
        <f>IF($N2596="","",INDEX('_calc'!$C$2:$C$3001,$N2596))</f>
        <v/>
      </c>
      <c r="E2596" s="25" t="str">
        <f>IF($N2596="","",INDEX('_calc'!$D$2:$D$3001,$N2596))</f>
        <v/>
      </c>
      <c r="F2596" s="26" t="str">
        <f>IF($N2596="","",IF($E$8=0,"",E2596/$E$8))</f>
        <v/>
      </c>
      <c r="G2596" s="25" t="str">
        <f>IF($N2596="","",INDEX('_calc'!$E$2:$E$3001,$N2596))</f>
        <v/>
      </c>
      <c r="H2596" s="25" t="str">
        <f>IF($N2596="","",INDEX('_calc'!$F$2:$F$3001,$N2596))</f>
        <v/>
      </c>
      <c r="I2596" s="27" t="str">
        <f>IF($N2596="","",INDEX('_calc'!$H$2:$H$3001,$N2596))</f>
        <v/>
      </c>
      <c r="J2596" s="27" t="str">
        <f>IF($N2596="","",INDEX('_calc'!$I$2:$I$3001,$N2596))</f>
        <v/>
      </c>
      <c r="K2596" s="28" t="str">
        <f>IF($N2596="","",IF(OR(I2596="",J2596=""),"",J2596-I2596))</f>
        <v/>
      </c>
      <c r="L2596" s="29" t="str">
        <f>IF($N2596="","",INDEX('_calc'!$J$2:$J$3001,$N2596))</f>
        <v/>
      </c>
      <c r="M2596" s="2" t="str">
        <f>IF($N2596="","",IF(AND(G2596=0,H2596=0),"수량 없음",IF(G2596=0,"신규 (전년 수량 없음)",IF(H2596=0,"당해 수량 없음",""))))</f>
        <v/>
      </c>
      <c r="N2596" t="str">
        <f>IF($B2596="","",MATCH($B2596,'_calc'!$L$2:$L$3001,0))</f>
        <v/>
      </c>
    </row>
    <row r="2597">
      <c r="B2597" s="24" t="str">
        <f>IF(ROW()-ROW($B$8)&gt;nComp,"",ROW()-ROW($B$8))</f>
        <v/>
      </c>
      <c r="C2597" t="str">
        <f>IF($N2597="","",INDEX('_calc'!$A$2:$A$3001,$N2597))</f>
        <v/>
      </c>
      <c r="D2597" s="25" t="str">
        <f>IF($N2597="","",INDEX('_calc'!$C$2:$C$3001,$N2597))</f>
        <v/>
      </c>
      <c r="E2597" s="25" t="str">
        <f>IF($N2597="","",INDEX('_calc'!$D$2:$D$3001,$N2597))</f>
        <v/>
      </c>
      <c r="F2597" s="26" t="str">
        <f>IF($N2597="","",IF($E$8=0,"",E2597/$E$8))</f>
        <v/>
      </c>
      <c r="G2597" s="25" t="str">
        <f>IF($N2597="","",INDEX('_calc'!$E$2:$E$3001,$N2597))</f>
        <v/>
      </c>
      <c r="H2597" s="25" t="str">
        <f>IF($N2597="","",INDEX('_calc'!$F$2:$F$3001,$N2597))</f>
        <v/>
      </c>
      <c r="I2597" s="27" t="str">
        <f>IF($N2597="","",INDEX('_calc'!$H$2:$H$3001,$N2597))</f>
        <v/>
      </c>
      <c r="J2597" s="27" t="str">
        <f>IF($N2597="","",INDEX('_calc'!$I$2:$I$3001,$N2597))</f>
        <v/>
      </c>
      <c r="K2597" s="28" t="str">
        <f>IF($N2597="","",IF(OR(I2597="",J2597=""),"",J2597-I2597))</f>
        <v/>
      </c>
      <c r="L2597" s="29" t="str">
        <f>IF($N2597="","",INDEX('_calc'!$J$2:$J$3001,$N2597))</f>
        <v/>
      </c>
      <c r="M2597" s="2" t="str">
        <f>IF($N2597="","",IF(AND(G2597=0,H2597=0),"수량 없음",IF(G2597=0,"신규 (전년 수량 없음)",IF(H2597=0,"당해 수량 없음",""))))</f>
        <v/>
      </c>
      <c r="N2597" t="str">
        <f>IF($B2597="","",MATCH($B2597,'_calc'!$L$2:$L$3001,0))</f>
        <v/>
      </c>
    </row>
    <row r="2598">
      <c r="B2598" s="24" t="str">
        <f>IF(ROW()-ROW($B$8)&gt;nComp,"",ROW()-ROW($B$8))</f>
        <v/>
      </c>
      <c r="C2598" t="str">
        <f>IF($N2598="","",INDEX('_calc'!$A$2:$A$3001,$N2598))</f>
        <v/>
      </c>
      <c r="D2598" s="25" t="str">
        <f>IF($N2598="","",INDEX('_calc'!$C$2:$C$3001,$N2598))</f>
        <v/>
      </c>
      <c r="E2598" s="25" t="str">
        <f>IF($N2598="","",INDEX('_calc'!$D$2:$D$3001,$N2598))</f>
        <v/>
      </c>
      <c r="F2598" s="26" t="str">
        <f>IF($N2598="","",IF($E$8=0,"",E2598/$E$8))</f>
        <v/>
      </c>
      <c r="G2598" s="25" t="str">
        <f>IF($N2598="","",INDEX('_calc'!$E$2:$E$3001,$N2598))</f>
        <v/>
      </c>
      <c r="H2598" s="25" t="str">
        <f>IF($N2598="","",INDEX('_calc'!$F$2:$F$3001,$N2598))</f>
        <v/>
      </c>
      <c r="I2598" s="27" t="str">
        <f>IF($N2598="","",INDEX('_calc'!$H$2:$H$3001,$N2598))</f>
        <v/>
      </c>
      <c r="J2598" s="27" t="str">
        <f>IF($N2598="","",INDEX('_calc'!$I$2:$I$3001,$N2598))</f>
        <v/>
      </c>
      <c r="K2598" s="28" t="str">
        <f>IF($N2598="","",IF(OR(I2598="",J2598=""),"",J2598-I2598))</f>
        <v/>
      </c>
      <c r="L2598" s="29" t="str">
        <f>IF($N2598="","",INDEX('_calc'!$J$2:$J$3001,$N2598))</f>
        <v/>
      </c>
      <c r="M2598" s="2" t="str">
        <f>IF($N2598="","",IF(AND(G2598=0,H2598=0),"수량 없음",IF(G2598=0,"신규 (전년 수량 없음)",IF(H2598=0,"당해 수량 없음",""))))</f>
        <v/>
      </c>
      <c r="N2598" t="str">
        <f>IF($B2598="","",MATCH($B2598,'_calc'!$L$2:$L$3001,0))</f>
        <v/>
      </c>
    </row>
    <row r="2599">
      <c r="B2599" s="24" t="str">
        <f>IF(ROW()-ROW($B$8)&gt;nComp,"",ROW()-ROW($B$8))</f>
        <v/>
      </c>
      <c r="C2599" t="str">
        <f>IF($N2599="","",INDEX('_calc'!$A$2:$A$3001,$N2599))</f>
        <v/>
      </c>
      <c r="D2599" s="25" t="str">
        <f>IF($N2599="","",INDEX('_calc'!$C$2:$C$3001,$N2599))</f>
        <v/>
      </c>
      <c r="E2599" s="25" t="str">
        <f>IF($N2599="","",INDEX('_calc'!$D$2:$D$3001,$N2599))</f>
        <v/>
      </c>
      <c r="F2599" s="26" t="str">
        <f>IF($N2599="","",IF($E$8=0,"",E2599/$E$8))</f>
        <v/>
      </c>
      <c r="G2599" s="25" t="str">
        <f>IF($N2599="","",INDEX('_calc'!$E$2:$E$3001,$N2599))</f>
        <v/>
      </c>
      <c r="H2599" s="25" t="str">
        <f>IF($N2599="","",INDEX('_calc'!$F$2:$F$3001,$N2599))</f>
        <v/>
      </c>
      <c r="I2599" s="27" t="str">
        <f>IF($N2599="","",INDEX('_calc'!$H$2:$H$3001,$N2599))</f>
        <v/>
      </c>
      <c r="J2599" s="27" t="str">
        <f>IF($N2599="","",INDEX('_calc'!$I$2:$I$3001,$N2599))</f>
        <v/>
      </c>
      <c r="K2599" s="28" t="str">
        <f>IF($N2599="","",IF(OR(I2599="",J2599=""),"",J2599-I2599))</f>
        <v/>
      </c>
      <c r="L2599" s="29" t="str">
        <f>IF($N2599="","",INDEX('_calc'!$J$2:$J$3001,$N2599))</f>
        <v/>
      </c>
      <c r="M2599" s="2" t="str">
        <f>IF($N2599="","",IF(AND(G2599=0,H2599=0),"수량 없음",IF(G2599=0,"신규 (전년 수량 없음)",IF(H2599=0,"당해 수량 없음",""))))</f>
        <v/>
      </c>
      <c r="N2599" t="str">
        <f>IF($B2599="","",MATCH($B2599,'_calc'!$L$2:$L$3001,0))</f>
        <v/>
      </c>
    </row>
    <row r="2600">
      <c r="B2600" s="24" t="str">
        <f>IF(ROW()-ROW($B$8)&gt;nComp,"",ROW()-ROW($B$8))</f>
        <v/>
      </c>
      <c r="C2600" t="str">
        <f>IF($N2600="","",INDEX('_calc'!$A$2:$A$3001,$N2600))</f>
        <v/>
      </c>
      <c r="D2600" s="25" t="str">
        <f>IF($N2600="","",INDEX('_calc'!$C$2:$C$3001,$N2600))</f>
        <v/>
      </c>
      <c r="E2600" s="25" t="str">
        <f>IF($N2600="","",INDEX('_calc'!$D$2:$D$3001,$N2600))</f>
        <v/>
      </c>
      <c r="F2600" s="26" t="str">
        <f>IF($N2600="","",IF($E$8=0,"",E2600/$E$8))</f>
        <v/>
      </c>
      <c r="G2600" s="25" t="str">
        <f>IF($N2600="","",INDEX('_calc'!$E$2:$E$3001,$N2600))</f>
        <v/>
      </c>
      <c r="H2600" s="25" t="str">
        <f>IF($N2600="","",INDEX('_calc'!$F$2:$F$3001,$N2600))</f>
        <v/>
      </c>
      <c r="I2600" s="27" t="str">
        <f>IF($N2600="","",INDEX('_calc'!$H$2:$H$3001,$N2600))</f>
        <v/>
      </c>
      <c r="J2600" s="27" t="str">
        <f>IF($N2600="","",INDEX('_calc'!$I$2:$I$3001,$N2600))</f>
        <v/>
      </c>
      <c r="K2600" s="28" t="str">
        <f>IF($N2600="","",IF(OR(I2600="",J2600=""),"",J2600-I2600))</f>
        <v/>
      </c>
      <c r="L2600" s="29" t="str">
        <f>IF($N2600="","",INDEX('_calc'!$J$2:$J$3001,$N2600))</f>
        <v/>
      </c>
      <c r="M2600" s="2" t="str">
        <f>IF($N2600="","",IF(AND(G2600=0,H2600=0),"수량 없음",IF(G2600=0,"신규 (전년 수량 없음)",IF(H2600=0,"당해 수량 없음",""))))</f>
        <v/>
      </c>
      <c r="N2600" t="str">
        <f>IF($B2600="","",MATCH($B2600,'_calc'!$L$2:$L$3001,0))</f>
        <v/>
      </c>
    </row>
    <row r="2601">
      <c r="B2601" s="24" t="str">
        <f>IF(ROW()-ROW($B$8)&gt;nComp,"",ROW()-ROW($B$8))</f>
        <v/>
      </c>
      <c r="C2601" t="str">
        <f>IF($N2601="","",INDEX('_calc'!$A$2:$A$3001,$N2601))</f>
        <v/>
      </c>
      <c r="D2601" s="25" t="str">
        <f>IF($N2601="","",INDEX('_calc'!$C$2:$C$3001,$N2601))</f>
        <v/>
      </c>
      <c r="E2601" s="25" t="str">
        <f>IF($N2601="","",INDEX('_calc'!$D$2:$D$3001,$N2601))</f>
        <v/>
      </c>
      <c r="F2601" s="26" t="str">
        <f>IF($N2601="","",IF($E$8=0,"",E2601/$E$8))</f>
        <v/>
      </c>
      <c r="G2601" s="25" t="str">
        <f>IF($N2601="","",INDEX('_calc'!$E$2:$E$3001,$N2601))</f>
        <v/>
      </c>
      <c r="H2601" s="25" t="str">
        <f>IF($N2601="","",INDEX('_calc'!$F$2:$F$3001,$N2601))</f>
        <v/>
      </c>
      <c r="I2601" s="27" t="str">
        <f>IF($N2601="","",INDEX('_calc'!$H$2:$H$3001,$N2601))</f>
        <v/>
      </c>
      <c r="J2601" s="27" t="str">
        <f>IF($N2601="","",INDEX('_calc'!$I$2:$I$3001,$N2601))</f>
        <v/>
      </c>
      <c r="K2601" s="28" t="str">
        <f>IF($N2601="","",IF(OR(I2601="",J2601=""),"",J2601-I2601))</f>
        <v/>
      </c>
      <c r="L2601" s="29" t="str">
        <f>IF($N2601="","",INDEX('_calc'!$J$2:$J$3001,$N2601))</f>
        <v/>
      </c>
      <c r="M2601" s="2" t="str">
        <f>IF($N2601="","",IF(AND(G2601=0,H2601=0),"수량 없음",IF(G2601=0,"신규 (전년 수량 없음)",IF(H2601=0,"당해 수량 없음",""))))</f>
        <v/>
      </c>
      <c r="N2601" t="str">
        <f>IF($B2601="","",MATCH($B2601,'_calc'!$L$2:$L$3001,0))</f>
        <v/>
      </c>
    </row>
    <row r="2602">
      <c r="B2602" s="24" t="str">
        <f>IF(ROW()-ROW($B$8)&gt;nComp,"",ROW()-ROW($B$8))</f>
        <v/>
      </c>
      <c r="C2602" t="str">
        <f>IF($N2602="","",INDEX('_calc'!$A$2:$A$3001,$N2602))</f>
        <v/>
      </c>
      <c r="D2602" s="25" t="str">
        <f>IF($N2602="","",INDEX('_calc'!$C$2:$C$3001,$N2602))</f>
        <v/>
      </c>
      <c r="E2602" s="25" t="str">
        <f>IF($N2602="","",INDEX('_calc'!$D$2:$D$3001,$N2602))</f>
        <v/>
      </c>
      <c r="F2602" s="26" t="str">
        <f>IF($N2602="","",IF($E$8=0,"",E2602/$E$8))</f>
        <v/>
      </c>
      <c r="G2602" s="25" t="str">
        <f>IF($N2602="","",INDEX('_calc'!$E$2:$E$3001,$N2602))</f>
        <v/>
      </c>
      <c r="H2602" s="25" t="str">
        <f>IF($N2602="","",INDEX('_calc'!$F$2:$F$3001,$N2602))</f>
        <v/>
      </c>
      <c r="I2602" s="27" t="str">
        <f>IF($N2602="","",INDEX('_calc'!$H$2:$H$3001,$N2602))</f>
        <v/>
      </c>
      <c r="J2602" s="27" t="str">
        <f>IF($N2602="","",INDEX('_calc'!$I$2:$I$3001,$N2602))</f>
        <v/>
      </c>
      <c r="K2602" s="28" t="str">
        <f>IF($N2602="","",IF(OR(I2602="",J2602=""),"",J2602-I2602))</f>
        <v/>
      </c>
      <c r="L2602" s="29" t="str">
        <f>IF($N2602="","",INDEX('_calc'!$J$2:$J$3001,$N2602))</f>
        <v/>
      </c>
      <c r="M2602" s="2" t="str">
        <f>IF($N2602="","",IF(AND(G2602=0,H2602=0),"수량 없음",IF(G2602=0,"신규 (전년 수량 없음)",IF(H2602=0,"당해 수량 없음",""))))</f>
        <v/>
      </c>
      <c r="N2602" t="str">
        <f>IF($B2602="","",MATCH($B2602,'_calc'!$L$2:$L$3001,0))</f>
        <v/>
      </c>
    </row>
    <row r="2603">
      <c r="B2603" s="24" t="str">
        <f>IF(ROW()-ROW($B$8)&gt;nComp,"",ROW()-ROW($B$8))</f>
        <v/>
      </c>
      <c r="C2603" t="str">
        <f>IF($N2603="","",INDEX('_calc'!$A$2:$A$3001,$N2603))</f>
        <v/>
      </c>
      <c r="D2603" s="25" t="str">
        <f>IF($N2603="","",INDEX('_calc'!$C$2:$C$3001,$N2603))</f>
        <v/>
      </c>
      <c r="E2603" s="25" t="str">
        <f>IF($N2603="","",INDEX('_calc'!$D$2:$D$3001,$N2603))</f>
        <v/>
      </c>
      <c r="F2603" s="26" t="str">
        <f>IF($N2603="","",IF($E$8=0,"",E2603/$E$8))</f>
        <v/>
      </c>
      <c r="G2603" s="25" t="str">
        <f>IF($N2603="","",INDEX('_calc'!$E$2:$E$3001,$N2603))</f>
        <v/>
      </c>
      <c r="H2603" s="25" t="str">
        <f>IF($N2603="","",INDEX('_calc'!$F$2:$F$3001,$N2603))</f>
        <v/>
      </c>
      <c r="I2603" s="27" t="str">
        <f>IF($N2603="","",INDEX('_calc'!$H$2:$H$3001,$N2603))</f>
        <v/>
      </c>
      <c r="J2603" s="27" t="str">
        <f>IF($N2603="","",INDEX('_calc'!$I$2:$I$3001,$N2603))</f>
        <v/>
      </c>
      <c r="K2603" s="28" t="str">
        <f>IF($N2603="","",IF(OR(I2603="",J2603=""),"",J2603-I2603))</f>
        <v/>
      </c>
      <c r="L2603" s="29" t="str">
        <f>IF($N2603="","",INDEX('_calc'!$J$2:$J$3001,$N2603))</f>
        <v/>
      </c>
      <c r="M2603" s="2" t="str">
        <f>IF($N2603="","",IF(AND(G2603=0,H2603=0),"수량 없음",IF(G2603=0,"신규 (전년 수량 없음)",IF(H2603=0,"당해 수량 없음",""))))</f>
        <v/>
      </c>
      <c r="N2603" t="str">
        <f>IF($B2603="","",MATCH($B2603,'_calc'!$L$2:$L$3001,0))</f>
        <v/>
      </c>
    </row>
    <row r="2604">
      <c r="B2604" s="24" t="str">
        <f>IF(ROW()-ROW($B$8)&gt;nComp,"",ROW()-ROW($B$8))</f>
        <v/>
      </c>
      <c r="C2604" t="str">
        <f>IF($N2604="","",INDEX('_calc'!$A$2:$A$3001,$N2604))</f>
        <v/>
      </c>
      <c r="D2604" s="25" t="str">
        <f>IF($N2604="","",INDEX('_calc'!$C$2:$C$3001,$N2604))</f>
        <v/>
      </c>
      <c r="E2604" s="25" t="str">
        <f>IF($N2604="","",INDEX('_calc'!$D$2:$D$3001,$N2604))</f>
        <v/>
      </c>
      <c r="F2604" s="26" t="str">
        <f>IF($N2604="","",IF($E$8=0,"",E2604/$E$8))</f>
        <v/>
      </c>
      <c r="G2604" s="25" t="str">
        <f>IF($N2604="","",INDEX('_calc'!$E$2:$E$3001,$N2604))</f>
        <v/>
      </c>
      <c r="H2604" s="25" t="str">
        <f>IF($N2604="","",INDEX('_calc'!$F$2:$F$3001,$N2604))</f>
        <v/>
      </c>
      <c r="I2604" s="27" t="str">
        <f>IF($N2604="","",INDEX('_calc'!$H$2:$H$3001,$N2604))</f>
        <v/>
      </c>
      <c r="J2604" s="27" t="str">
        <f>IF($N2604="","",INDEX('_calc'!$I$2:$I$3001,$N2604))</f>
        <v/>
      </c>
      <c r="K2604" s="28" t="str">
        <f>IF($N2604="","",IF(OR(I2604="",J2604=""),"",J2604-I2604))</f>
        <v/>
      </c>
      <c r="L2604" s="29" t="str">
        <f>IF($N2604="","",INDEX('_calc'!$J$2:$J$3001,$N2604))</f>
        <v/>
      </c>
      <c r="M2604" s="2" t="str">
        <f>IF($N2604="","",IF(AND(G2604=0,H2604=0),"수량 없음",IF(G2604=0,"신규 (전년 수량 없음)",IF(H2604=0,"당해 수량 없음",""))))</f>
        <v/>
      </c>
      <c r="N2604" t="str">
        <f>IF($B2604="","",MATCH($B2604,'_calc'!$L$2:$L$3001,0))</f>
        <v/>
      </c>
    </row>
    <row r="2605">
      <c r="B2605" s="24" t="str">
        <f>IF(ROW()-ROW($B$8)&gt;nComp,"",ROW()-ROW($B$8))</f>
        <v/>
      </c>
      <c r="C2605" t="str">
        <f>IF($N2605="","",INDEX('_calc'!$A$2:$A$3001,$N2605))</f>
        <v/>
      </c>
      <c r="D2605" s="25" t="str">
        <f>IF($N2605="","",INDEX('_calc'!$C$2:$C$3001,$N2605))</f>
        <v/>
      </c>
      <c r="E2605" s="25" t="str">
        <f>IF($N2605="","",INDEX('_calc'!$D$2:$D$3001,$N2605))</f>
        <v/>
      </c>
      <c r="F2605" s="26" t="str">
        <f>IF($N2605="","",IF($E$8=0,"",E2605/$E$8))</f>
        <v/>
      </c>
      <c r="G2605" s="25" t="str">
        <f>IF($N2605="","",INDEX('_calc'!$E$2:$E$3001,$N2605))</f>
        <v/>
      </c>
      <c r="H2605" s="25" t="str">
        <f>IF($N2605="","",INDEX('_calc'!$F$2:$F$3001,$N2605))</f>
        <v/>
      </c>
      <c r="I2605" s="27" t="str">
        <f>IF($N2605="","",INDEX('_calc'!$H$2:$H$3001,$N2605))</f>
        <v/>
      </c>
      <c r="J2605" s="27" t="str">
        <f>IF($N2605="","",INDEX('_calc'!$I$2:$I$3001,$N2605))</f>
        <v/>
      </c>
      <c r="K2605" s="28" t="str">
        <f>IF($N2605="","",IF(OR(I2605="",J2605=""),"",J2605-I2605))</f>
        <v/>
      </c>
      <c r="L2605" s="29" t="str">
        <f>IF($N2605="","",INDEX('_calc'!$J$2:$J$3001,$N2605))</f>
        <v/>
      </c>
      <c r="M2605" s="2" t="str">
        <f>IF($N2605="","",IF(AND(G2605=0,H2605=0),"수량 없음",IF(G2605=0,"신규 (전년 수량 없음)",IF(H2605=0,"당해 수량 없음",""))))</f>
        <v/>
      </c>
      <c r="N2605" t="str">
        <f>IF($B2605="","",MATCH($B2605,'_calc'!$L$2:$L$3001,0))</f>
        <v/>
      </c>
    </row>
    <row r="2606">
      <c r="B2606" s="24" t="str">
        <f>IF(ROW()-ROW($B$8)&gt;nComp,"",ROW()-ROW($B$8))</f>
        <v/>
      </c>
      <c r="C2606" t="str">
        <f>IF($N2606="","",INDEX('_calc'!$A$2:$A$3001,$N2606))</f>
        <v/>
      </c>
      <c r="D2606" s="25" t="str">
        <f>IF($N2606="","",INDEX('_calc'!$C$2:$C$3001,$N2606))</f>
        <v/>
      </c>
      <c r="E2606" s="25" t="str">
        <f>IF($N2606="","",INDEX('_calc'!$D$2:$D$3001,$N2606))</f>
        <v/>
      </c>
      <c r="F2606" s="26" t="str">
        <f>IF($N2606="","",IF($E$8=0,"",E2606/$E$8))</f>
        <v/>
      </c>
      <c r="G2606" s="25" t="str">
        <f>IF($N2606="","",INDEX('_calc'!$E$2:$E$3001,$N2606))</f>
        <v/>
      </c>
      <c r="H2606" s="25" t="str">
        <f>IF($N2606="","",INDEX('_calc'!$F$2:$F$3001,$N2606))</f>
        <v/>
      </c>
      <c r="I2606" s="27" t="str">
        <f>IF($N2606="","",INDEX('_calc'!$H$2:$H$3001,$N2606))</f>
        <v/>
      </c>
      <c r="J2606" s="27" t="str">
        <f>IF($N2606="","",INDEX('_calc'!$I$2:$I$3001,$N2606))</f>
        <v/>
      </c>
      <c r="K2606" s="28" t="str">
        <f>IF($N2606="","",IF(OR(I2606="",J2606=""),"",J2606-I2606))</f>
        <v/>
      </c>
      <c r="L2606" s="29" t="str">
        <f>IF($N2606="","",INDEX('_calc'!$J$2:$J$3001,$N2606))</f>
        <v/>
      </c>
      <c r="M2606" s="2" t="str">
        <f>IF($N2606="","",IF(AND(G2606=0,H2606=0),"수량 없음",IF(G2606=0,"신규 (전년 수량 없음)",IF(H2606=0,"당해 수량 없음",""))))</f>
        <v/>
      </c>
      <c r="N2606" t="str">
        <f>IF($B2606="","",MATCH($B2606,'_calc'!$L$2:$L$3001,0))</f>
        <v/>
      </c>
    </row>
    <row r="2607">
      <c r="B2607" s="24" t="str">
        <f>IF(ROW()-ROW($B$8)&gt;nComp,"",ROW()-ROW($B$8))</f>
        <v/>
      </c>
      <c r="C2607" t="str">
        <f>IF($N2607="","",INDEX('_calc'!$A$2:$A$3001,$N2607))</f>
        <v/>
      </c>
      <c r="D2607" s="25" t="str">
        <f>IF($N2607="","",INDEX('_calc'!$C$2:$C$3001,$N2607))</f>
        <v/>
      </c>
      <c r="E2607" s="25" t="str">
        <f>IF($N2607="","",INDEX('_calc'!$D$2:$D$3001,$N2607))</f>
        <v/>
      </c>
      <c r="F2607" s="26" t="str">
        <f>IF($N2607="","",IF($E$8=0,"",E2607/$E$8))</f>
        <v/>
      </c>
      <c r="G2607" s="25" t="str">
        <f>IF($N2607="","",INDEX('_calc'!$E$2:$E$3001,$N2607))</f>
        <v/>
      </c>
      <c r="H2607" s="25" t="str">
        <f>IF($N2607="","",INDEX('_calc'!$F$2:$F$3001,$N2607))</f>
        <v/>
      </c>
      <c r="I2607" s="27" t="str">
        <f>IF($N2607="","",INDEX('_calc'!$H$2:$H$3001,$N2607))</f>
        <v/>
      </c>
      <c r="J2607" s="27" t="str">
        <f>IF($N2607="","",INDEX('_calc'!$I$2:$I$3001,$N2607))</f>
        <v/>
      </c>
      <c r="K2607" s="28" t="str">
        <f>IF($N2607="","",IF(OR(I2607="",J2607=""),"",J2607-I2607))</f>
        <v/>
      </c>
      <c r="L2607" s="29" t="str">
        <f>IF($N2607="","",INDEX('_calc'!$J$2:$J$3001,$N2607))</f>
        <v/>
      </c>
      <c r="M2607" s="2" t="str">
        <f>IF($N2607="","",IF(AND(G2607=0,H2607=0),"수량 없음",IF(G2607=0,"신규 (전년 수량 없음)",IF(H2607=0,"당해 수량 없음",""))))</f>
        <v/>
      </c>
      <c r="N2607" t="str">
        <f>IF($B2607="","",MATCH($B2607,'_calc'!$L$2:$L$3001,0))</f>
        <v/>
      </c>
    </row>
    <row r="2608">
      <c r="B2608" s="24" t="str">
        <f>IF(ROW()-ROW($B$8)&gt;nComp,"",ROW()-ROW($B$8))</f>
        <v/>
      </c>
      <c r="C2608" t="str">
        <f>IF($N2608="","",INDEX('_calc'!$A$2:$A$3001,$N2608))</f>
        <v/>
      </c>
      <c r="D2608" s="25" t="str">
        <f>IF($N2608="","",INDEX('_calc'!$C$2:$C$3001,$N2608))</f>
        <v/>
      </c>
      <c r="E2608" s="25" t="str">
        <f>IF($N2608="","",INDEX('_calc'!$D$2:$D$3001,$N2608))</f>
        <v/>
      </c>
      <c r="F2608" s="26" t="str">
        <f>IF($N2608="","",IF($E$8=0,"",E2608/$E$8))</f>
        <v/>
      </c>
      <c r="G2608" s="25" t="str">
        <f>IF($N2608="","",INDEX('_calc'!$E$2:$E$3001,$N2608))</f>
        <v/>
      </c>
      <c r="H2608" s="25" t="str">
        <f>IF($N2608="","",INDEX('_calc'!$F$2:$F$3001,$N2608))</f>
        <v/>
      </c>
      <c r="I2608" s="27" t="str">
        <f>IF($N2608="","",INDEX('_calc'!$H$2:$H$3001,$N2608))</f>
        <v/>
      </c>
      <c r="J2608" s="27" t="str">
        <f>IF($N2608="","",INDEX('_calc'!$I$2:$I$3001,$N2608))</f>
        <v/>
      </c>
      <c r="K2608" s="28" t="str">
        <f>IF($N2608="","",IF(OR(I2608="",J2608=""),"",J2608-I2608))</f>
        <v/>
      </c>
      <c r="L2608" s="29" t="str">
        <f>IF($N2608="","",INDEX('_calc'!$J$2:$J$3001,$N2608))</f>
        <v/>
      </c>
      <c r="M2608" s="2" t="str">
        <f>IF($N2608="","",IF(AND(G2608=0,H2608=0),"수량 없음",IF(G2608=0,"신규 (전년 수량 없음)",IF(H2608=0,"당해 수량 없음",""))))</f>
        <v/>
      </c>
      <c r="N2608" t="str">
        <f>IF($B2608="","",MATCH($B2608,'_calc'!$L$2:$L$3001,0))</f>
        <v/>
      </c>
    </row>
    <row r="2609">
      <c r="B2609" s="24" t="str">
        <f>IF(ROW()-ROW($B$8)&gt;nComp,"",ROW()-ROW($B$8))</f>
        <v/>
      </c>
      <c r="C2609" t="str">
        <f>IF($N2609="","",INDEX('_calc'!$A$2:$A$3001,$N2609))</f>
        <v/>
      </c>
      <c r="D2609" s="25" t="str">
        <f>IF($N2609="","",INDEX('_calc'!$C$2:$C$3001,$N2609))</f>
        <v/>
      </c>
      <c r="E2609" s="25" t="str">
        <f>IF($N2609="","",INDEX('_calc'!$D$2:$D$3001,$N2609))</f>
        <v/>
      </c>
      <c r="F2609" s="26" t="str">
        <f>IF($N2609="","",IF($E$8=0,"",E2609/$E$8))</f>
        <v/>
      </c>
      <c r="G2609" s="25" t="str">
        <f>IF($N2609="","",INDEX('_calc'!$E$2:$E$3001,$N2609))</f>
        <v/>
      </c>
      <c r="H2609" s="25" t="str">
        <f>IF($N2609="","",INDEX('_calc'!$F$2:$F$3001,$N2609))</f>
        <v/>
      </c>
      <c r="I2609" s="27" t="str">
        <f>IF($N2609="","",INDEX('_calc'!$H$2:$H$3001,$N2609))</f>
        <v/>
      </c>
      <c r="J2609" s="27" t="str">
        <f>IF($N2609="","",INDEX('_calc'!$I$2:$I$3001,$N2609))</f>
        <v/>
      </c>
      <c r="K2609" s="28" t="str">
        <f>IF($N2609="","",IF(OR(I2609="",J2609=""),"",J2609-I2609))</f>
        <v/>
      </c>
      <c r="L2609" s="29" t="str">
        <f>IF($N2609="","",INDEX('_calc'!$J$2:$J$3001,$N2609))</f>
        <v/>
      </c>
      <c r="M2609" s="2" t="str">
        <f>IF($N2609="","",IF(AND(G2609=0,H2609=0),"수량 없음",IF(G2609=0,"신규 (전년 수량 없음)",IF(H2609=0,"당해 수량 없음",""))))</f>
        <v/>
      </c>
      <c r="N2609" t="str">
        <f>IF($B2609="","",MATCH($B2609,'_calc'!$L$2:$L$3001,0))</f>
        <v/>
      </c>
    </row>
    <row r="2610">
      <c r="B2610" s="24" t="str">
        <f>IF(ROW()-ROW($B$8)&gt;nComp,"",ROW()-ROW($B$8))</f>
        <v/>
      </c>
      <c r="C2610" t="str">
        <f>IF($N2610="","",INDEX('_calc'!$A$2:$A$3001,$N2610))</f>
        <v/>
      </c>
      <c r="D2610" s="25" t="str">
        <f>IF($N2610="","",INDEX('_calc'!$C$2:$C$3001,$N2610))</f>
        <v/>
      </c>
      <c r="E2610" s="25" t="str">
        <f>IF($N2610="","",INDEX('_calc'!$D$2:$D$3001,$N2610))</f>
        <v/>
      </c>
      <c r="F2610" s="26" t="str">
        <f>IF($N2610="","",IF($E$8=0,"",E2610/$E$8))</f>
        <v/>
      </c>
      <c r="G2610" s="25" t="str">
        <f>IF($N2610="","",INDEX('_calc'!$E$2:$E$3001,$N2610))</f>
        <v/>
      </c>
      <c r="H2610" s="25" t="str">
        <f>IF($N2610="","",INDEX('_calc'!$F$2:$F$3001,$N2610))</f>
        <v/>
      </c>
      <c r="I2610" s="27" t="str">
        <f>IF($N2610="","",INDEX('_calc'!$H$2:$H$3001,$N2610))</f>
        <v/>
      </c>
      <c r="J2610" s="27" t="str">
        <f>IF($N2610="","",INDEX('_calc'!$I$2:$I$3001,$N2610))</f>
        <v/>
      </c>
      <c r="K2610" s="28" t="str">
        <f>IF($N2610="","",IF(OR(I2610="",J2610=""),"",J2610-I2610))</f>
        <v/>
      </c>
      <c r="L2610" s="29" t="str">
        <f>IF($N2610="","",INDEX('_calc'!$J$2:$J$3001,$N2610))</f>
        <v/>
      </c>
      <c r="M2610" s="2" t="str">
        <f>IF($N2610="","",IF(AND(G2610=0,H2610=0),"수량 없음",IF(G2610=0,"신규 (전년 수량 없음)",IF(H2610=0,"당해 수량 없음",""))))</f>
        <v/>
      </c>
      <c r="N2610" t="str">
        <f>IF($B2610="","",MATCH($B2610,'_calc'!$L$2:$L$3001,0))</f>
        <v/>
      </c>
    </row>
    <row r="2611">
      <c r="B2611" s="24" t="str">
        <f>IF(ROW()-ROW($B$8)&gt;nComp,"",ROW()-ROW($B$8))</f>
        <v/>
      </c>
      <c r="C2611" t="str">
        <f>IF($N2611="","",INDEX('_calc'!$A$2:$A$3001,$N2611))</f>
        <v/>
      </c>
      <c r="D2611" s="25" t="str">
        <f>IF($N2611="","",INDEX('_calc'!$C$2:$C$3001,$N2611))</f>
        <v/>
      </c>
      <c r="E2611" s="25" t="str">
        <f>IF($N2611="","",INDEX('_calc'!$D$2:$D$3001,$N2611))</f>
        <v/>
      </c>
      <c r="F2611" s="26" t="str">
        <f>IF($N2611="","",IF($E$8=0,"",E2611/$E$8))</f>
        <v/>
      </c>
      <c r="G2611" s="25" t="str">
        <f>IF($N2611="","",INDEX('_calc'!$E$2:$E$3001,$N2611))</f>
        <v/>
      </c>
      <c r="H2611" s="25" t="str">
        <f>IF($N2611="","",INDEX('_calc'!$F$2:$F$3001,$N2611))</f>
        <v/>
      </c>
      <c r="I2611" s="27" t="str">
        <f>IF($N2611="","",INDEX('_calc'!$H$2:$H$3001,$N2611))</f>
        <v/>
      </c>
      <c r="J2611" s="27" t="str">
        <f>IF($N2611="","",INDEX('_calc'!$I$2:$I$3001,$N2611))</f>
        <v/>
      </c>
      <c r="K2611" s="28" t="str">
        <f>IF($N2611="","",IF(OR(I2611="",J2611=""),"",J2611-I2611))</f>
        <v/>
      </c>
      <c r="L2611" s="29" t="str">
        <f>IF($N2611="","",INDEX('_calc'!$J$2:$J$3001,$N2611))</f>
        <v/>
      </c>
      <c r="M2611" s="2" t="str">
        <f>IF($N2611="","",IF(AND(G2611=0,H2611=0),"수량 없음",IF(G2611=0,"신규 (전년 수량 없음)",IF(H2611=0,"당해 수량 없음",""))))</f>
        <v/>
      </c>
      <c r="N2611" t="str">
        <f>IF($B2611="","",MATCH($B2611,'_calc'!$L$2:$L$3001,0))</f>
        <v/>
      </c>
    </row>
    <row r="2612">
      <c r="B2612" s="24" t="str">
        <f>IF(ROW()-ROW($B$8)&gt;nComp,"",ROW()-ROW($B$8))</f>
        <v/>
      </c>
      <c r="C2612" t="str">
        <f>IF($N2612="","",INDEX('_calc'!$A$2:$A$3001,$N2612))</f>
        <v/>
      </c>
      <c r="D2612" s="25" t="str">
        <f>IF($N2612="","",INDEX('_calc'!$C$2:$C$3001,$N2612))</f>
        <v/>
      </c>
      <c r="E2612" s="25" t="str">
        <f>IF($N2612="","",INDEX('_calc'!$D$2:$D$3001,$N2612))</f>
        <v/>
      </c>
      <c r="F2612" s="26" t="str">
        <f>IF($N2612="","",IF($E$8=0,"",E2612/$E$8))</f>
        <v/>
      </c>
      <c r="G2612" s="25" t="str">
        <f>IF($N2612="","",INDEX('_calc'!$E$2:$E$3001,$N2612))</f>
        <v/>
      </c>
      <c r="H2612" s="25" t="str">
        <f>IF($N2612="","",INDEX('_calc'!$F$2:$F$3001,$N2612))</f>
        <v/>
      </c>
      <c r="I2612" s="27" t="str">
        <f>IF($N2612="","",INDEX('_calc'!$H$2:$H$3001,$N2612))</f>
        <v/>
      </c>
      <c r="J2612" s="27" t="str">
        <f>IF($N2612="","",INDEX('_calc'!$I$2:$I$3001,$N2612))</f>
        <v/>
      </c>
      <c r="K2612" s="28" t="str">
        <f>IF($N2612="","",IF(OR(I2612="",J2612=""),"",J2612-I2612))</f>
        <v/>
      </c>
      <c r="L2612" s="29" t="str">
        <f>IF($N2612="","",INDEX('_calc'!$J$2:$J$3001,$N2612))</f>
        <v/>
      </c>
      <c r="M2612" s="2" t="str">
        <f>IF($N2612="","",IF(AND(G2612=0,H2612=0),"수량 없음",IF(G2612=0,"신규 (전년 수량 없음)",IF(H2612=0,"당해 수량 없음",""))))</f>
        <v/>
      </c>
      <c r="N2612" t="str">
        <f>IF($B2612="","",MATCH($B2612,'_calc'!$L$2:$L$3001,0))</f>
        <v/>
      </c>
    </row>
    <row r="2613">
      <c r="B2613" s="24" t="str">
        <f>IF(ROW()-ROW($B$8)&gt;nComp,"",ROW()-ROW($B$8))</f>
        <v/>
      </c>
      <c r="C2613" t="str">
        <f>IF($N2613="","",INDEX('_calc'!$A$2:$A$3001,$N2613))</f>
        <v/>
      </c>
      <c r="D2613" s="25" t="str">
        <f>IF($N2613="","",INDEX('_calc'!$C$2:$C$3001,$N2613))</f>
        <v/>
      </c>
      <c r="E2613" s="25" t="str">
        <f>IF($N2613="","",INDEX('_calc'!$D$2:$D$3001,$N2613))</f>
        <v/>
      </c>
      <c r="F2613" s="26" t="str">
        <f>IF($N2613="","",IF($E$8=0,"",E2613/$E$8))</f>
        <v/>
      </c>
      <c r="G2613" s="25" t="str">
        <f>IF($N2613="","",INDEX('_calc'!$E$2:$E$3001,$N2613))</f>
        <v/>
      </c>
      <c r="H2613" s="25" t="str">
        <f>IF($N2613="","",INDEX('_calc'!$F$2:$F$3001,$N2613))</f>
        <v/>
      </c>
      <c r="I2613" s="27" t="str">
        <f>IF($N2613="","",INDEX('_calc'!$H$2:$H$3001,$N2613))</f>
        <v/>
      </c>
      <c r="J2613" s="27" t="str">
        <f>IF($N2613="","",INDEX('_calc'!$I$2:$I$3001,$N2613))</f>
        <v/>
      </c>
      <c r="K2613" s="28" t="str">
        <f>IF($N2613="","",IF(OR(I2613="",J2613=""),"",J2613-I2613))</f>
        <v/>
      </c>
      <c r="L2613" s="29" t="str">
        <f>IF($N2613="","",INDEX('_calc'!$J$2:$J$3001,$N2613))</f>
        <v/>
      </c>
      <c r="M2613" s="2" t="str">
        <f>IF($N2613="","",IF(AND(G2613=0,H2613=0),"수량 없음",IF(G2613=0,"신규 (전년 수량 없음)",IF(H2613=0,"당해 수량 없음",""))))</f>
        <v/>
      </c>
      <c r="N2613" t="str">
        <f>IF($B2613="","",MATCH($B2613,'_calc'!$L$2:$L$3001,0))</f>
        <v/>
      </c>
    </row>
    <row r="2614">
      <c r="B2614" s="24" t="str">
        <f>IF(ROW()-ROW($B$8)&gt;nComp,"",ROW()-ROW($B$8))</f>
        <v/>
      </c>
      <c r="C2614" t="str">
        <f>IF($N2614="","",INDEX('_calc'!$A$2:$A$3001,$N2614))</f>
        <v/>
      </c>
      <c r="D2614" s="25" t="str">
        <f>IF($N2614="","",INDEX('_calc'!$C$2:$C$3001,$N2614))</f>
        <v/>
      </c>
      <c r="E2614" s="25" t="str">
        <f>IF($N2614="","",INDEX('_calc'!$D$2:$D$3001,$N2614))</f>
        <v/>
      </c>
      <c r="F2614" s="26" t="str">
        <f>IF($N2614="","",IF($E$8=0,"",E2614/$E$8))</f>
        <v/>
      </c>
      <c r="G2614" s="25" t="str">
        <f>IF($N2614="","",INDEX('_calc'!$E$2:$E$3001,$N2614))</f>
        <v/>
      </c>
      <c r="H2614" s="25" t="str">
        <f>IF($N2614="","",INDEX('_calc'!$F$2:$F$3001,$N2614))</f>
        <v/>
      </c>
      <c r="I2614" s="27" t="str">
        <f>IF($N2614="","",INDEX('_calc'!$H$2:$H$3001,$N2614))</f>
        <v/>
      </c>
      <c r="J2614" s="27" t="str">
        <f>IF($N2614="","",INDEX('_calc'!$I$2:$I$3001,$N2614))</f>
        <v/>
      </c>
      <c r="K2614" s="28" t="str">
        <f>IF($N2614="","",IF(OR(I2614="",J2614=""),"",J2614-I2614))</f>
        <v/>
      </c>
      <c r="L2614" s="29" t="str">
        <f>IF($N2614="","",INDEX('_calc'!$J$2:$J$3001,$N2614))</f>
        <v/>
      </c>
      <c r="M2614" s="2" t="str">
        <f>IF($N2614="","",IF(AND(G2614=0,H2614=0),"수량 없음",IF(G2614=0,"신규 (전년 수량 없음)",IF(H2614=0,"당해 수량 없음",""))))</f>
        <v/>
      </c>
      <c r="N2614" t="str">
        <f>IF($B2614="","",MATCH($B2614,'_calc'!$L$2:$L$3001,0))</f>
        <v/>
      </c>
    </row>
    <row r="2615">
      <c r="B2615" s="24" t="str">
        <f>IF(ROW()-ROW($B$8)&gt;nComp,"",ROW()-ROW($B$8))</f>
        <v/>
      </c>
      <c r="C2615" t="str">
        <f>IF($N2615="","",INDEX('_calc'!$A$2:$A$3001,$N2615))</f>
        <v/>
      </c>
      <c r="D2615" s="25" t="str">
        <f>IF($N2615="","",INDEX('_calc'!$C$2:$C$3001,$N2615))</f>
        <v/>
      </c>
      <c r="E2615" s="25" t="str">
        <f>IF($N2615="","",INDEX('_calc'!$D$2:$D$3001,$N2615))</f>
        <v/>
      </c>
      <c r="F2615" s="26" t="str">
        <f>IF($N2615="","",IF($E$8=0,"",E2615/$E$8))</f>
        <v/>
      </c>
      <c r="G2615" s="25" t="str">
        <f>IF($N2615="","",INDEX('_calc'!$E$2:$E$3001,$N2615))</f>
        <v/>
      </c>
      <c r="H2615" s="25" t="str">
        <f>IF($N2615="","",INDEX('_calc'!$F$2:$F$3001,$N2615))</f>
        <v/>
      </c>
      <c r="I2615" s="27" t="str">
        <f>IF($N2615="","",INDEX('_calc'!$H$2:$H$3001,$N2615))</f>
        <v/>
      </c>
      <c r="J2615" s="27" t="str">
        <f>IF($N2615="","",INDEX('_calc'!$I$2:$I$3001,$N2615))</f>
        <v/>
      </c>
      <c r="K2615" s="28" t="str">
        <f>IF($N2615="","",IF(OR(I2615="",J2615=""),"",J2615-I2615))</f>
        <v/>
      </c>
      <c r="L2615" s="29" t="str">
        <f>IF($N2615="","",INDEX('_calc'!$J$2:$J$3001,$N2615))</f>
        <v/>
      </c>
      <c r="M2615" s="2" t="str">
        <f>IF($N2615="","",IF(AND(G2615=0,H2615=0),"수량 없음",IF(G2615=0,"신규 (전년 수량 없음)",IF(H2615=0,"당해 수량 없음",""))))</f>
        <v/>
      </c>
      <c r="N2615" t="str">
        <f>IF($B2615="","",MATCH($B2615,'_calc'!$L$2:$L$3001,0))</f>
        <v/>
      </c>
    </row>
    <row r="2616">
      <c r="B2616" s="24" t="str">
        <f>IF(ROW()-ROW($B$8)&gt;nComp,"",ROW()-ROW($B$8))</f>
        <v/>
      </c>
      <c r="C2616" t="str">
        <f>IF($N2616="","",INDEX('_calc'!$A$2:$A$3001,$N2616))</f>
        <v/>
      </c>
      <c r="D2616" s="25" t="str">
        <f>IF($N2616="","",INDEX('_calc'!$C$2:$C$3001,$N2616))</f>
        <v/>
      </c>
      <c r="E2616" s="25" t="str">
        <f>IF($N2616="","",INDEX('_calc'!$D$2:$D$3001,$N2616))</f>
        <v/>
      </c>
      <c r="F2616" s="26" t="str">
        <f>IF($N2616="","",IF($E$8=0,"",E2616/$E$8))</f>
        <v/>
      </c>
      <c r="G2616" s="25" t="str">
        <f>IF($N2616="","",INDEX('_calc'!$E$2:$E$3001,$N2616))</f>
        <v/>
      </c>
      <c r="H2616" s="25" t="str">
        <f>IF($N2616="","",INDEX('_calc'!$F$2:$F$3001,$N2616))</f>
        <v/>
      </c>
      <c r="I2616" s="27" t="str">
        <f>IF($N2616="","",INDEX('_calc'!$H$2:$H$3001,$N2616))</f>
        <v/>
      </c>
      <c r="J2616" s="27" t="str">
        <f>IF($N2616="","",INDEX('_calc'!$I$2:$I$3001,$N2616))</f>
        <v/>
      </c>
      <c r="K2616" s="28" t="str">
        <f>IF($N2616="","",IF(OR(I2616="",J2616=""),"",J2616-I2616))</f>
        <v/>
      </c>
      <c r="L2616" s="29" t="str">
        <f>IF($N2616="","",INDEX('_calc'!$J$2:$J$3001,$N2616))</f>
        <v/>
      </c>
      <c r="M2616" s="2" t="str">
        <f>IF($N2616="","",IF(AND(G2616=0,H2616=0),"수량 없음",IF(G2616=0,"신규 (전년 수량 없음)",IF(H2616=0,"당해 수량 없음",""))))</f>
        <v/>
      </c>
      <c r="N2616" t="str">
        <f>IF($B2616="","",MATCH($B2616,'_calc'!$L$2:$L$3001,0))</f>
        <v/>
      </c>
    </row>
    <row r="2617">
      <c r="B2617" s="24" t="str">
        <f>IF(ROW()-ROW($B$8)&gt;nComp,"",ROW()-ROW($B$8))</f>
        <v/>
      </c>
      <c r="C2617" t="str">
        <f>IF($N2617="","",INDEX('_calc'!$A$2:$A$3001,$N2617))</f>
        <v/>
      </c>
      <c r="D2617" s="25" t="str">
        <f>IF($N2617="","",INDEX('_calc'!$C$2:$C$3001,$N2617))</f>
        <v/>
      </c>
      <c r="E2617" s="25" t="str">
        <f>IF($N2617="","",INDEX('_calc'!$D$2:$D$3001,$N2617))</f>
        <v/>
      </c>
      <c r="F2617" s="26" t="str">
        <f>IF($N2617="","",IF($E$8=0,"",E2617/$E$8))</f>
        <v/>
      </c>
      <c r="G2617" s="25" t="str">
        <f>IF($N2617="","",INDEX('_calc'!$E$2:$E$3001,$N2617))</f>
        <v/>
      </c>
      <c r="H2617" s="25" t="str">
        <f>IF($N2617="","",INDEX('_calc'!$F$2:$F$3001,$N2617))</f>
        <v/>
      </c>
      <c r="I2617" s="27" t="str">
        <f>IF($N2617="","",INDEX('_calc'!$H$2:$H$3001,$N2617))</f>
        <v/>
      </c>
      <c r="J2617" s="27" t="str">
        <f>IF($N2617="","",INDEX('_calc'!$I$2:$I$3001,$N2617))</f>
        <v/>
      </c>
      <c r="K2617" s="28" t="str">
        <f>IF($N2617="","",IF(OR(I2617="",J2617=""),"",J2617-I2617))</f>
        <v/>
      </c>
      <c r="L2617" s="29" t="str">
        <f>IF($N2617="","",INDEX('_calc'!$J$2:$J$3001,$N2617))</f>
        <v/>
      </c>
      <c r="M2617" s="2" t="str">
        <f>IF($N2617="","",IF(AND(G2617=0,H2617=0),"수량 없음",IF(G2617=0,"신규 (전년 수량 없음)",IF(H2617=0,"당해 수량 없음",""))))</f>
        <v/>
      </c>
      <c r="N2617" t="str">
        <f>IF($B2617="","",MATCH($B2617,'_calc'!$L$2:$L$3001,0))</f>
        <v/>
      </c>
    </row>
    <row r="2618">
      <c r="B2618" s="24" t="str">
        <f>IF(ROW()-ROW($B$8)&gt;nComp,"",ROW()-ROW($B$8))</f>
        <v/>
      </c>
      <c r="C2618" t="str">
        <f>IF($N2618="","",INDEX('_calc'!$A$2:$A$3001,$N2618))</f>
        <v/>
      </c>
      <c r="D2618" s="25" t="str">
        <f>IF($N2618="","",INDEX('_calc'!$C$2:$C$3001,$N2618))</f>
        <v/>
      </c>
      <c r="E2618" s="25" t="str">
        <f>IF($N2618="","",INDEX('_calc'!$D$2:$D$3001,$N2618))</f>
        <v/>
      </c>
      <c r="F2618" s="26" t="str">
        <f>IF($N2618="","",IF($E$8=0,"",E2618/$E$8))</f>
        <v/>
      </c>
      <c r="G2618" s="25" t="str">
        <f>IF($N2618="","",INDEX('_calc'!$E$2:$E$3001,$N2618))</f>
        <v/>
      </c>
      <c r="H2618" s="25" t="str">
        <f>IF($N2618="","",INDEX('_calc'!$F$2:$F$3001,$N2618))</f>
        <v/>
      </c>
      <c r="I2618" s="27" t="str">
        <f>IF($N2618="","",INDEX('_calc'!$H$2:$H$3001,$N2618))</f>
        <v/>
      </c>
      <c r="J2618" s="27" t="str">
        <f>IF($N2618="","",INDEX('_calc'!$I$2:$I$3001,$N2618))</f>
        <v/>
      </c>
      <c r="K2618" s="28" t="str">
        <f>IF($N2618="","",IF(OR(I2618="",J2618=""),"",J2618-I2618))</f>
        <v/>
      </c>
      <c r="L2618" s="29" t="str">
        <f>IF($N2618="","",INDEX('_calc'!$J$2:$J$3001,$N2618))</f>
        <v/>
      </c>
      <c r="M2618" s="2" t="str">
        <f>IF($N2618="","",IF(AND(G2618=0,H2618=0),"수량 없음",IF(G2618=0,"신규 (전년 수량 없음)",IF(H2618=0,"당해 수량 없음",""))))</f>
        <v/>
      </c>
      <c r="N2618" t="str">
        <f>IF($B2618="","",MATCH($B2618,'_calc'!$L$2:$L$3001,0))</f>
        <v/>
      </c>
    </row>
    <row r="2619">
      <c r="B2619" s="24" t="str">
        <f>IF(ROW()-ROW($B$8)&gt;nComp,"",ROW()-ROW($B$8))</f>
        <v/>
      </c>
      <c r="C2619" t="str">
        <f>IF($N2619="","",INDEX('_calc'!$A$2:$A$3001,$N2619))</f>
        <v/>
      </c>
      <c r="D2619" s="25" t="str">
        <f>IF($N2619="","",INDEX('_calc'!$C$2:$C$3001,$N2619))</f>
        <v/>
      </c>
      <c r="E2619" s="25" t="str">
        <f>IF($N2619="","",INDEX('_calc'!$D$2:$D$3001,$N2619))</f>
        <v/>
      </c>
      <c r="F2619" s="26" t="str">
        <f>IF($N2619="","",IF($E$8=0,"",E2619/$E$8))</f>
        <v/>
      </c>
      <c r="G2619" s="25" t="str">
        <f>IF($N2619="","",INDEX('_calc'!$E$2:$E$3001,$N2619))</f>
        <v/>
      </c>
      <c r="H2619" s="25" t="str">
        <f>IF($N2619="","",INDEX('_calc'!$F$2:$F$3001,$N2619))</f>
        <v/>
      </c>
      <c r="I2619" s="27" t="str">
        <f>IF($N2619="","",INDEX('_calc'!$H$2:$H$3001,$N2619))</f>
        <v/>
      </c>
      <c r="J2619" s="27" t="str">
        <f>IF($N2619="","",INDEX('_calc'!$I$2:$I$3001,$N2619))</f>
        <v/>
      </c>
      <c r="K2619" s="28" t="str">
        <f>IF($N2619="","",IF(OR(I2619="",J2619=""),"",J2619-I2619))</f>
        <v/>
      </c>
      <c r="L2619" s="29" t="str">
        <f>IF($N2619="","",INDEX('_calc'!$J$2:$J$3001,$N2619))</f>
        <v/>
      </c>
      <c r="M2619" s="2" t="str">
        <f>IF($N2619="","",IF(AND(G2619=0,H2619=0),"수량 없음",IF(G2619=0,"신규 (전년 수량 없음)",IF(H2619=0,"당해 수량 없음",""))))</f>
        <v/>
      </c>
      <c r="N2619" t="str">
        <f>IF($B2619="","",MATCH($B2619,'_calc'!$L$2:$L$3001,0))</f>
        <v/>
      </c>
    </row>
    <row r="2620">
      <c r="B2620" s="24" t="str">
        <f>IF(ROW()-ROW($B$8)&gt;nComp,"",ROW()-ROW($B$8))</f>
        <v/>
      </c>
      <c r="C2620" t="str">
        <f>IF($N2620="","",INDEX('_calc'!$A$2:$A$3001,$N2620))</f>
        <v/>
      </c>
      <c r="D2620" s="25" t="str">
        <f>IF($N2620="","",INDEX('_calc'!$C$2:$C$3001,$N2620))</f>
        <v/>
      </c>
      <c r="E2620" s="25" t="str">
        <f>IF($N2620="","",INDEX('_calc'!$D$2:$D$3001,$N2620))</f>
        <v/>
      </c>
      <c r="F2620" s="26" t="str">
        <f>IF($N2620="","",IF($E$8=0,"",E2620/$E$8))</f>
        <v/>
      </c>
      <c r="G2620" s="25" t="str">
        <f>IF($N2620="","",INDEX('_calc'!$E$2:$E$3001,$N2620))</f>
        <v/>
      </c>
      <c r="H2620" s="25" t="str">
        <f>IF($N2620="","",INDEX('_calc'!$F$2:$F$3001,$N2620))</f>
        <v/>
      </c>
      <c r="I2620" s="27" t="str">
        <f>IF($N2620="","",INDEX('_calc'!$H$2:$H$3001,$N2620))</f>
        <v/>
      </c>
      <c r="J2620" s="27" t="str">
        <f>IF($N2620="","",INDEX('_calc'!$I$2:$I$3001,$N2620))</f>
        <v/>
      </c>
      <c r="K2620" s="28" t="str">
        <f>IF($N2620="","",IF(OR(I2620="",J2620=""),"",J2620-I2620))</f>
        <v/>
      </c>
      <c r="L2620" s="29" t="str">
        <f>IF($N2620="","",INDEX('_calc'!$J$2:$J$3001,$N2620))</f>
        <v/>
      </c>
      <c r="M2620" s="2" t="str">
        <f>IF($N2620="","",IF(AND(G2620=0,H2620=0),"수량 없음",IF(G2620=0,"신규 (전년 수량 없음)",IF(H2620=0,"당해 수량 없음",""))))</f>
        <v/>
      </c>
      <c r="N2620" t="str">
        <f>IF($B2620="","",MATCH($B2620,'_calc'!$L$2:$L$3001,0))</f>
        <v/>
      </c>
    </row>
    <row r="2621">
      <c r="B2621" s="24" t="str">
        <f>IF(ROW()-ROW($B$8)&gt;nComp,"",ROW()-ROW($B$8))</f>
        <v/>
      </c>
      <c r="C2621" t="str">
        <f>IF($N2621="","",INDEX('_calc'!$A$2:$A$3001,$N2621))</f>
        <v/>
      </c>
      <c r="D2621" s="25" t="str">
        <f>IF($N2621="","",INDEX('_calc'!$C$2:$C$3001,$N2621))</f>
        <v/>
      </c>
      <c r="E2621" s="25" t="str">
        <f>IF($N2621="","",INDEX('_calc'!$D$2:$D$3001,$N2621))</f>
        <v/>
      </c>
      <c r="F2621" s="26" t="str">
        <f>IF($N2621="","",IF($E$8=0,"",E2621/$E$8))</f>
        <v/>
      </c>
      <c r="G2621" s="25" t="str">
        <f>IF($N2621="","",INDEX('_calc'!$E$2:$E$3001,$N2621))</f>
        <v/>
      </c>
      <c r="H2621" s="25" t="str">
        <f>IF($N2621="","",INDEX('_calc'!$F$2:$F$3001,$N2621))</f>
        <v/>
      </c>
      <c r="I2621" s="27" t="str">
        <f>IF($N2621="","",INDEX('_calc'!$H$2:$H$3001,$N2621))</f>
        <v/>
      </c>
      <c r="J2621" s="27" t="str">
        <f>IF($N2621="","",INDEX('_calc'!$I$2:$I$3001,$N2621))</f>
        <v/>
      </c>
      <c r="K2621" s="28" t="str">
        <f>IF($N2621="","",IF(OR(I2621="",J2621=""),"",J2621-I2621))</f>
        <v/>
      </c>
      <c r="L2621" s="29" t="str">
        <f>IF($N2621="","",INDEX('_calc'!$J$2:$J$3001,$N2621))</f>
        <v/>
      </c>
      <c r="M2621" s="2" t="str">
        <f>IF($N2621="","",IF(AND(G2621=0,H2621=0),"수량 없음",IF(G2621=0,"신규 (전년 수량 없음)",IF(H2621=0,"당해 수량 없음",""))))</f>
        <v/>
      </c>
      <c r="N2621" t="str">
        <f>IF($B2621="","",MATCH($B2621,'_calc'!$L$2:$L$3001,0))</f>
        <v/>
      </c>
    </row>
    <row r="2622">
      <c r="B2622" s="24" t="str">
        <f>IF(ROW()-ROW($B$8)&gt;nComp,"",ROW()-ROW($B$8))</f>
        <v/>
      </c>
      <c r="C2622" t="str">
        <f>IF($N2622="","",INDEX('_calc'!$A$2:$A$3001,$N2622))</f>
        <v/>
      </c>
      <c r="D2622" s="25" t="str">
        <f>IF($N2622="","",INDEX('_calc'!$C$2:$C$3001,$N2622))</f>
        <v/>
      </c>
      <c r="E2622" s="25" t="str">
        <f>IF($N2622="","",INDEX('_calc'!$D$2:$D$3001,$N2622))</f>
        <v/>
      </c>
      <c r="F2622" s="26" t="str">
        <f>IF($N2622="","",IF($E$8=0,"",E2622/$E$8))</f>
        <v/>
      </c>
      <c r="G2622" s="25" t="str">
        <f>IF($N2622="","",INDEX('_calc'!$E$2:$E$3001,$N2622))</f>
        <v/>
      </c>
      <c r="H2622" s="25" t="str">
        <f>IF($N2622="","",INDEX('_calc'!$F$2:$F$3001,$N2622))</f>
        <v/>
      </c>
      <c r="I2622" s="27" t="str">
        <f>IF($N2622="","",INDEX('_calc'!$H$2:$H$3001,$N2622))</f>
        <v/>
      </c>
      <c r="J2622" s="27" t="str">
        <f>IF($N2622="","",INDEX('_calc'!$I$2:$I$3001,$N2622))</f>
        <v/>
      </c>
      <c r="K2622" s="28" t="str">
        <f>IF($N2622="","",IF(OR(I2622="",J2622=""),"",J2622-I2622))</f>
        <v/>
      </c>
      <c r="L2622" s="29" t="str">
        <f>IF($N2622="","",INDEX('_calc'!$J$2:$J$3001,$N2622))</f>
        <v/>
      </c>
      <c r="M2622" s="2" t="str">
        <f>IF($N2622="","",IF(AND(G2622=0,H2622=0),"수량 없음",IF(G2622=0,"신규 (전년 수량 없음)",IF(H2622=0,"당해 수량 없음",""))))</f>
        <v/>
      </c>
      <c r="N2622" t="str">
        <f>IF($B2622="","",MATCH($B2622,'_calc'!$L$2:$L$3001,0))</f>
        <v/>
      </c>
    </row>
    <row r="2623">
      <c r="B2623" s="24" t="str">
        <f>IF(ROW()-ROW($B$8)&gt;nComp,"",ROW()-ROW($B$8))</f>
        <v/>
      </c>
      <c r="C2623" t="str">
        <f>IF($N2623="","",INDEX('_calc'!$A$2:$A$3001,$N2623))</f>
        <v/>
      </c>
      <c r="D2623" s="25" t="str">
        <f>IF($N2623="","",INDEX('_calc'!$C$2:$C$3001,$N2623))</f>
        <v/>
      </c>
      <c r="E2623" s="25" t="str">
        <f>IF($N2623="","",INDEX('_calc'!$D$2:$D$3001,$N2623))</f>
        <v/>
      </c>
      <c r="F2623" s="26" t="str">
        <f>IF($N2623="","",IF($E$8=0,"",E2623/$E$8))</f>
        <v/>
      </c>
      <c r="G2623" s="25" t="str">
        <f>IF($N2623="","",INDEX('_calc'!$E$2:$E$3001,$N2623))</f>
        <v/>
      </c>
      <c r="H2623" s="25" t="str">
        <f>IF($N2623="","",INDEX('_calc'!$F$2:$F$3001,$N2623))</f>
        <v/>
      </c>
      <c r="I2623" s="27" t="str">
        <f>IF($N2623="","",INDEX('_calc'!$H$2:$H$3001,$N2623))</f>
        <v/>
      </c>
      <c r="J2623" s="27" t="str">
        <f>IF($N2623="","",INDEX('_calc'!$I$2:$I$3001,$N2623))</f>
        <v/>
      </c>
      <c r="K2623" s="28" t="str">
        <f>IF($N2623="","",IF(OR(I2623="",J2623=""),"",J2623-I2623))</f>
        <v/>
      </c>
      <c r="L2623" s="29" t="str">
        <f>IF($N2623="","",INDEX('_calc'!$J$2:$J$3001,$N2623))</f>
        <v/>
      </c>
      <c r="M2623" s="2" t="str">
        <f>IF($N2623="","",IF(AND(G2623=0,H2623=0),"수량 없음",IF(G2623=0,"신규 (전년 수량 없음)",IF(H2623=0,"당해 수량 없음",""))))</f>
        <v/>
      </c>
      <c r="N2623" t="str">
        <f>IF($B2623="","",MATCH($B2623,'_calc'!$L$2:$L$3001,0))</f>
        <v/>
      </c>
    </row>
    <row r="2624">
      <c r="B2624" s="24" t="str">
        <f>IF(ROW()-ROW($B$8)&gt;nComp,"",ROW()-ROW($B$8))</f>
        <v/>
      </c>
      <c r="C2624" t="str">
        <f>IF($N2624="","",INDEX('_calc'!$A$2:$A$3001,$N2624))</f>
        <v/>
      </c>
      <c r="D2624" s="25" t="str">
        <f>IF($N2624="","",INDEX('_calc'!$C$2:$C$3001,$N2624))</f>
        <v/>
      </c>
      <c r="E2624" s="25" t="str">
        <f>IF($N2624="","",INDEX('_calc'!$D$2:$D$3001,$N2624))</f>
        <v/>
      </c>
      <c r="F2624" s="26" t="str">
        <f>IF($N2624="","",IF($E$8=0,"",E2624/$E$8))</f>
        <v/>
      </c>
      <c r="G2624" s="25" t="str">
        <f>IF($N2624="","",INDEX('_calc'!$E$2:$E$3001,$N2624))</f>
        <v/>
      </c>
      <c r="H2624" s="25" t="str">
        <f>IF($N2624="","",INDEX('_calc'!$F$2:$F$3001,$N2624))</f>
        <v/>
      </c>
      <c r="I2624" s="27" t="str">
        <f>IF($N2624="","",INDEX('_calc'!$H$2:$H$3001,$N2624))</f>
        <v/>
      </c>
      <c r="J2624" s="27" t="str">
        <f>IF($N2624="","",INDEX('_calc'!$I$2:$I$3001,$N2624))</f>
        <v/>
      </c>
      <c r="K2624" s="28" t="str">
        <f>IF($N2624="","",IF(OR(I2624="",J2624=""),"",J2624-I2624))</f>
        <v/>
      </c>
      <c r="L2624" s="29" t="str">
        <f>IF($N2624="","",INDEX('_calc'!$J$2:$J$3001,$N2624))</f>
        <v/>
      </c>
      <c r="M2624" s="2" t="str">
        <f>IF($N2624="","",IF(AND(G2624=0,H2624=0),"수량 없음",IF(G2624=0,"신규 (전년 수량 없음)",IF(H2624=0,"당해 수량 없음",""))))</f>
        <v/>
      </c>
      <c r="N2624" t="str">
        <f>IF($B2624="","",MATCH($B2624,'_calc'!$L$2:$L$3001,0))</f>
        <v/>
      </c>
    </row>
    <row r="2625">
      <c r="B2625" s="24" t="str">
        <f>IF(ROW()-ROW($B$8)&gt;nComp,"",ROW()-ROW($B$8))</f>
        <v/>
      </c>
      <c r="C2625" t="str">
        <f>IF($N2625="","",INDEX('_calc'!$A$2:$A$3001,$N2625))</f>
        <v/>
      </c>
      <c r="D2625" s="25" t="str">
        <f>IF($N2625="","",INDEX('_calc'!$C$2:$C$3001,$N2625))</f>
        <v/>
      </c>
      <c r="E2625" s="25" t="str">
        <f>IF($N2625="","",INDEX('_calc'!$D$2:$D$3001,$N2625))</f>
        <v/>
      </c>
      <c r="F2625" s="26" t="str">
        <f>IF($N2625="","",IF($E$8=0,"",E2625/$E$8))</f>
        <v/>
      </c>
      <c r="G2625" s="25" t="str">
        <f>IF($N2625="","",INDEX('_calc'!$E$2:$E$3001,$N2625))</f>
        <v/>
      </c>
      <c r="H2625" s="25" t="str">
        <f>IF($N2625="","",INDEX('_calc'!$F$2:$F$3001,$N2625))</f>
        <v/>
      </c>
      <c r="I2625" s="27" t="str">
        <f>IF($N2625="","",INDEX('_calc'!$H$2:$H$3001,$N2625))</f>
        <v/>
      </c>
      <c r="J2625" s="27" t="str">
        <f>IF($N2625="","",INDEX('_calc'!$I$2:$I$3001,$N2625))</f>
        <v/>
      </c>
      <c r="K2625" s="28" t="str">
        <f>IF($N2625="","",IF(OR(I2625="",J2625=""),"",J2625-I2625))</f>
        <v/>
      </c>
      <c r="L2625" s="29" t="str">
        <f>IF($N2625="","",INDEX('_calc'!$J$2:$J$3001,$N2625))</f>
        <v/>
      </c>
      <c r="M2625" s="2" t="str">
        <f>IF($N2625="","",IF(AND(G2625=0,H2625=0),"수량 없음",IF(G2625=0,"신규 (전년 수량 없음)",IF(H2625=0,"당해 수량 없음",""))))</f>
        <v/>
      </c>
      <c r="N2625" t="str">
        <f>IF($B2625="","",MATCH($B2625,'_calc'!$L$2:$L$3001,0))</f>
        <v/>
      </c>
    </row>
    <row r="2626">
      <c r="B2626" s="24" t="str">
        <f>IF(ROW()-ROW($B$8)&gt;nComp,"",ROW()-ROW($B$8))</f>
        <v/>
      </c>
      <c r="C2626" t="str">
        <f>IF($N2626="","",INDEX('_calc'!$A$2:$A$3001,$N2626))</f>
        <v/>
      </c>
      <c r="D2626" s="25" t="str">
        <f>IF($N2626="","",INDEX('_calc'!$C$2:$C$3001,$N2626))</f>
        <v/>
      </c>
      <c r="E2626" s="25" t="str">
        <f>IF($N2626="","",INDEX('_calc'!$D$2:$D$3001,$N2626))</f>
        <v/>
      </c>
      <c r="F2626" s="26" t="str">
        <f>IF($N2626="","",IF($E$8=0,"",E2626/$E$8))</f>
        <v/>
      </c>
      <c r="G2626" s="25" t="str">
        <f>IF($N2626="","",INDEX('_calc'!$E$2:$E$3001,$N2626))</f>
        <v/>
      </c>
      <c r="H2626" s="25" t="str">
        <f>IF($N2626="","",INDEX('_calc'!$F$2:$F$3001,$N2626))</f>
        <v/>
      </c>
      <c r="I2626" s="27" t="str">
        <f>IF($N2626="","",INDEX('_calc'!$H$2:$H$3001,$N2626))</f>
        <v/>
      </c>
      <c r="J2626" s="27" t="str">
        <f>IF($N2626="","",INDEX('_calc'!$I$2:$I$3001,$N2626))</f>
        <v/>
      </c>
      <c r="K2626" s="28" t="str">
        <f>IF($N2626="","",IF(OR(I2626="",J2626=""),"",J2626-I2626))</f>
        <v/>
      </c>
      <c r="L2626" s="29" t="str">
        <f>IF($N2626="","",INDEX('_calc'!$J$2:$J$3001,$N2626))</f>
        <v/>
      </c>
      <c r="M2626" s="2" t="str">
        <f>IF($N2626="","",IF(AND(G2626=0,H2626=0),"수량 없음",IF(G2626=0,"신규 (전년 수량 없음)",IF(H2626=0,"당해 수량 없음",""))))</f>
        <v/>
      </c>
      <c r="N2626" t="str">
        <f>IF($B2626="","",MATCH($B2626,'_calc'!$L$2:$L$3001,0))</f>
        <v/>
      </c>
    </row>
    <row r="2627">
      <c r="B2627" s="24" t="str">
        <f>IF(ROW()-ROW($B$8)&gt;nComp,"",ROW()-ROW($B$8))</f>
        <v/>
      </c>
      <c r="C2627" t="str">
        <f>IF($N2627="","",INDEX('_calc'!$A$2:$A$3001,$N2627))</f>
        <v/>
      </c>
      <c r="D2627" s="25" t="str">
        <f>IF($N2627="","",INDEX('_calc'!$C$2:$C$3001,$N2627))</f>
        <v/>
      </c>
      <c r="E2627" s="25" t="str">
        <f>IF($N2627="","",INDEX('_calc'!$D$2:$D$3001,$N2627))</f>
        <v/>
      </c>
      <c r="F2627" s="26" t="str">
        <f>IF($N2627="","",IF($E$8=0,"",E2627/$E$8))</f>
        <v/>
      </c>
      <c r="G2627" s="25" t="str">
        <f>IF($N2627="","",INDEX('_calc'!$E$2:$E$3001,$N2627))</f>
        <v/>
      </c>
      <c r="H2627" s="25" t="str">
        <f>IF($N2627="","",INDEX('_calc'!$F$2:$F$3001,$N2627))</f>
        <v/>
      </c>
      <c r="I2627" s="27" t="str">
        <f>IF($N2627="","",INDEX('_calc'!$H$2:$H$3001,$N2627))</f>
        <v/>
      </c>
      <c r="J2627" s="27" t="str">
        <f>IF($N2627="","",INDEX('_calc'!$I$2:$I$3001,$N2627))</f>
        <v/>
      </c>
      <c r="K2627" s="28" t="str">
        <f>IF($N2627="","",IF(OR(I2627="",J2627=""),"",J2627-I2627))</f>
        <v/>
      </c>
      <c r="L2627" s="29" t="str">
        <f>IF($N2627="","",INDEX('_calc'!$J$2:$J$3001,$N2627))</f>
        <v/>
      </c>
      <c r="M2627" s="2" t="str">
        <f>IF($N2627="","",IF(AND(G2627=0,H2627=0),"수량 없음",IF(G2627=0,"신규 (전년 수량 없음)",IF(H2627=0,"당해 수량 없음",""))))</f>
        <v/>
      </c>
      <c r="N2627" t="str">
        <f>IF($B2627="","",MATCH($B2627,'_calc'!$L$2:$L$3001,0))</f>
        <v/>
      </c>
    </row>
    <row r="2628">
      <c r="B2628" s="24" t="str">
        <f>IF(ROW()-ROW($B$8)&gt;nComp,"",ROW()-ROW($B$8))</f>
        <v/>
      </c>
      <c r="C2628" t="str">
        <f>IF($N2628="","",INDEX('_calc'!$A$2:$A$3001,$N2628))</f>
        <v/>
      </c>
      <c r="D2628" s="25" t="str">
        <f>IF($N2628="","",INDEX('_calc'!$C$2:$C$3001,$N2628))</f>
        <v/>
      </c>
      <c r="E2628" s="25" t="str">
        <f>IF($N2628="","",INDEX('_calc'!$D$2:$D$3001,$N2628))</f>
        <v/>
      </c>
      <c r="F2628" s="26" t="str">
        <f>IF($N2628="","",IF($E$8=0,"",E2628/$E$8))</f>
        <v/>
      </c>
      <c r="G2628" s="25" t="str">
        <f>IF($N2628="","",INDEX('_calc'!$E$2:$E$3001,$N2628))</f>
        <v/>
      </c>
      <c r="H2628" s="25" t="str">
        <f>IF($N2628="","",INDEX('_calc'!$F$2:$F$3001,$N2628))</f>
        <v/>
      </c>
      <c r="I2628" s="27" t="str">
        <f>IF($N2628="","",INDEX('_calc'!$H$2:$H$3001,$N2628))</f>
        <v/>
      </c>
      <c r="J2628" s="27" t="str">
        <f>IF($N2628="","",INDEX('_calc'!$I$2:$I$3001,$N2628))</f>
        <v/>
      </c>
      <c r="K2628" s="28" t="str">
        <f>IF($N2628="","",IF(OR(I2628="",J2628=""),"",J2628-I2628))</f>
        <v/>
      </c>
      <c r="L2628" s="29" t="str">
        <f>IF($N2628="","",INDEX('_calc'!$J$2:$J$3001,$N2628))</f>
        <v/>
      </c>
      <c r="M2628" s="2" t="str">
        <f>IF($N2628="","",IF(AND(G2628=0,H2628=0),"수량 없음",IF(G2628=0,"신규 (전년 수량 없음)",IF(H2628=0,"당해 수량 없음",""))))</f>
        <v/>
      </c>
      <c r="N2628" t="str">
        <f>IF($B2628="","",MATCH($B2628,'_calc'!$L$2:$L$3001,0))</f>
        <v/>
      </c>
    </row>
    <row r="2629">
      <c r="B2629" s="24" t="str">
        <f>IF(ROW()-ROW($B$8)&gt;nComp,"",ROW()-ROW($B$8))</f>
        <v/>
      </c>
      <c r="C2629" t="str">
        <f>IF($N2629="","",INDEX('_calc'!$A$2:$A$3001,$N2629))</f>
        <v/>
      </c>
      <c r="D2629" s="25" t="str">
        <f>IF($N2629="","",INDEX('_calc'!$C$2:$C$3001,$N2629))</f>
        <v/>
      </c>
      <c r="E2629" s="25" t="str">
        <f>IF($N2629="","",INDEX('_calc'!$D$2:$D$3001,$N2629))</f>
        <v/>
      </c>
      <c r="F2629" s="26" t="str">
        <f>IF($N2629="","",IF($E$8=0,"",E2629/$E$8))</f>
        <v/>
      </c>
      <c r="G2629" s="25" t="str">
        <f>IF($N2629="","",INDEX('_calc'!$E$2:$E$3001,$N2629))</f>
        <v/>
      </c>
      <c r="H2629" s="25" t="str">
        <f>IF($N2629="","",INDEX('_calc'!$F$2:$F$3001,$N2629))</f>
        <v/>
      </c>
      <c r="I2629" s="27" t="str">
        <f>IF($N2629="","",INDEX('_calc'!$H$2:$H$3001,$N2629))</f>
        <v/>
      </c>
      <c r="J2629" s="27" t="str">
        <f>IF($N2629="","",INDEX('_calc'!$I$2:$I$3001,$N2629))</f>
        <v/>
      </c>
      <c r="K2629" s="28" t="str">
        <f>IF($N2629="","",IF(OR(I2629="",J2629=""),"",J2629-I2629))</f>
        <v/>
      </c>
      <c r="L2629" s="29" t="str">
        <f>IF($N2629="","",INDEX('_calc'!$J$2:$J$3001,$N2629))</f>
        <v/>
      </c>
      <c r="M2629" s="2" t="str">
        <f>IF($N2629="","",IF(AND(G2629=0,H2629=0),"수량 없음",IF(G2629=0,"신규 (전년 수량 없음)",IF(H2629=0,"당해 수량 없음",""))))</f>
        <v/>
      </c>
      <c r="N2629" t="str">
        <f>IF($B2629="","",MATCH($B2629,'_calc'!$L$2:$L$3001,0))</f>
        <v/>
      </c>
    </row>
    <row r="2630">
      <c r="B2630" s="24" t="str">
        <f>IF(ROW()-ROW($B$8)&gt;nComp,"",ROW()-ROW($B$8))</f>
        <v/>
      </c>
      <c r="C2630" t="str">
        <f>IF($N2630="","",INDEX('_calc'!$A$2:$A$3001,$N2630))</f>
        <v/>
      </c>
      <c r="D2630" s="25" t="str">
        <f>IF($N2630="","",INDEX('_calc'!$C$2:$C$3001,$N2630))</f>
        <v/>
      </c>
      <c r="E2630" s="25" t="str">
        <f>IF($N2630="","",INDEX('_calc'!$D$2:$D$3001,$N2630))</f>
        <v/>
      </c>
      <c r="F2630" s="26" t="str">
        <f>IF($N2630="","",IF($E$8=0,"",E2630/$E$8))</f>
        <v/>
      </c>
      <c r="G2630" s="25" t="str">
        <f>IF($N2630="","",INDEX('_calc'!$E$2:$E$3001,$N2630))</f>
        <v/>
      </c>
      <c r="H2630" s="25" t="str">
        <f>IF($N2630="","",INDEX('_calc'!$F$2:$F$3001,$N2630))</f>
        <v/>
      </c>
      <c r="I2630" s="27" t="str">
        <f>IF($N2630="","",INDEX('_calc'!$H$2:$H$3001,$N2630))</f>
        <v/>
      </c>
      <c r="J2630" s="27" t="str">
        <f>IF($N2630="","",INDEX('_calc'!$I$2:$I$3001,$N2630))</f>
        <v/>
      </c>
      <c r="K2630" s="28" t="str">
        <f>IF($N2630="","",IF(OR(I2630="",J2630=""),"",J2630-I2630))</f>
        <v/>
      </c>
      <c r="L2630" s="29" t="str">
        <f>IF($N2630="","",INDEX('_calc'!$J$2:$J$3001,$N2630))</f>
        <v/>
      </c>
      <c r="M2630" s="2" t="str">
        <f>IF($N2630="","",IF(AND(G2630=0,H2630=0),"수량 없음",IF(G2630=0,"신규 (전년 수량 없음)",IF(H2630=0,"당해 수량 없음",""))))</f>
        <v/>
      </c>
      <c r="N2630" t="str">
        <f>IF($B2630="","",MATCH($B2630,'_calc'!$L$2:$L$3001,0))</f>
        <v/>
      </c>
    </row>
    <row r="2631">
      <c r="B2631" s="24" t="str">
        <f>IF(ROW()-ROW($B$8)&gt;nComp,"",ROW()-ROW($B$8))</f>
        <v/>
      </c>
      <c r="C2631" t="str">
        <f>IF($N2631="","",INDEX('_calc'!$A$2:$A$3001,$N2631))</f>
        <v/>
      </c>
      <c r="D2631" s="25" t="str">
        <f>IF($N2631="","",INDEX('_calc'!$C$2:$C$3001,$N2631))</f>
        <v/>
      </c>
      <c r="E2631" s="25" t="str">
        <f>IF($N2631="","",INDEX('_calc'!$D$2:$D$3001,$N2631))</f>
        <v/>
      </c>
      <c r="F2631" s="26" t="str">
        <f>IF($N2631="","",IF($E$8=0,"",E2631/$E$8))</f>
        <v/>
      </c>
      <c r="G2631" s="25" t="str">
        <f>IF($N2631="","",INDEX('_calc'!$E$2:$E$3001,$N2631))</f>
        <v/>
      </c>
      <c r="H2631" s="25" t="str">
        <f>IF($N2631="","",INDEX('_calc'!$F$2:$F$3001,$N2631))</f>
        <v/>
      </c>
      <c r="I2631" s="27" t="str">
        <f>IF($N2631="","",INDEX('_calc'!$H$2:$H$3001,$N2631))</f>
        <v/>
      </c>
      <c r="J2631" s="27" t="str">
        <f>IF($N2631="","",INDEX('_calc'!$I$2:$I$3001,$N2631))</f>
        <v/>
      </c>
      <c r="K2631" s="28" t="str">
        <f>IF($N2631="","",IF(OR(I2631="",J2631=""),"",J2631-I2631))</f>
        <v/>
      </c>
      <c r="L2631" s="29" t="str">
        <f>IF($N2631="","",INDEX('_calc'!$J$2:$J$3001,$N2631))</f>
        <v/>
      </c>
      <c r="M2631" s="2" t="str">
        <f>IF($N2631="","",IF(AND(G2631=0,H2631=0),"수량 없음",IF(G2631=0,"신규 (전년 수량 없음)",IF(H2631=0,"당해 수량 없음",""))))</f>
        <v/>
      </c>
      <c r="N2631" t="str">
        <f>IF($B2631="","",MATCH($B2631,'_calc'!$L$2:$L$3001,0))</f>
        <v/>
      </c>
    </row>
    <row r="2632">
      <c r="B2632" s="24" t="str">
        <f>IF(ROW()-ROW($B$8)&gt;nComp,"",ROW()-ROW($B$8))</f>
        <v/>
      </c>
      <c r="C2632" t="str">
        <f>IF($N2632="","",INDEX('_calc'!$A$2:$A$3001,$N2632))</f>
        <v/>
      </c>
      <c r="D2632" s="25" t="str">
        <f>IF($N2632="","",INDEX('_calc'!$C$2:$C$3001,$N2632))</f>
        <v/>
      </c>
      <c r="E2632" s="25" t="str">
        <f>IF($N2632="","",INDEX('_calc'!$D$2:$D$3001,$N2632))</f>
        <v/>
      </c>
      <c r="F2632" s="26" t="str">
        <f>IF($N2632="","",IF($E$8=0,"",E2632/$E$8))</f>
        <v/>
      </c>
      <c r="G2632" s="25" t="str">
        <f>IF($N2632="","",INDEX('_calc'!$E$2:$E$3001,$N2632))</f>
        <v/>
      </c>
      <c r="H2632" s="25" t="str">
        <f>IF($N2632="","",INDEX('_calc'!$F$2:$F$3001,$N2632))</f>
        <v/>
      </c>
      <c r="I2632" s="27" t="str">
        <f>IF($N2632="","",INDEX('_calc'!$H$2:$H$3001,$N2632))</f>
        <v/>
      </c>
      <c r="J2632" s="27" t="str">
        <f>IF($N2632="","",INDEX('_calc'!$I$2:$I$3001,$N2632))</f>
        <v/>
      </c>
      <c r="K2632" s="28" t="str">
        <f>IF($N2632="","",IF(OR(I2632="",J2632=""),"",J2632-I2632))</f>
        <v/>
      </c>
      <c r="L2632" s="29" t="str">
        <f>IF($N2632="","",INDEX('_calc'!$J$2:$J$3001,$N2632))</f>
        <v/>
      </c>
      <c r="M2632" s="2" t="str">
        <f>IF($N2632="","",IF(AND(G2632=0,H2632=0),"수량 없음",IF(G2632=0,"신규 (전년 수량 없음)",IF(H2632=0,"당해 수량 없음",""))))</f>
        <v/>
      </c>
      <c r="N2632" t="str">
        <f>IF($B2632="","",MATCH($B2632,'_calc'!$L$2:$L$3001,0))</f>
        <v/>
      </c>
    </row>
    <row r="2633">
      <c r="B2633" s="24" t="str">
        <f>IF(ROW()-ROW($B$8)&gt;nComp,"",ROW()-ROW($B$8))</f>
        <v/>
      </c>
      <c r="C2633" t="str">
        <f>IF($N2633="","",INDEX('_calc'!$A$2:$A$3001,$N2633))</f>
        <v/>
      </c>
      <c r="D2633" s="25" t="str">
        <f>IF($N2633="","",INDEX('_calc'!$C$2:$C$3001,$N2633))</f>
        <v/>
      </c>
      <c r="E2633" s="25" t="str">
        <f>IF($N2633="","",INDEX('_calc'!$D$2:$D$3001,$N2633))</f>
        <v/>
      </c>
      <c r="F2633" s="26" t="str">
        <f>IF($N2633="","",IF($E$8=0,"",E2633/$E$8))</f>
        <v/>
      </c>
      <c r="G2633" s="25" t="str">
        <f>IF($N2633="","",INDEX('_calc'!$E$2:$E$3001,$N2633))</f>
        <v/>
      </c>
      <c r="H2633" s="25" t="str">
        <f>IF($N2633="","",INDEX('_calc'!$F$2:$F$3001,$N2633))</f>
        <v/>
      </c>
      <c r="I2633" s="27" t="str">
        <f>IF($N2633="","",INDEX('_calc'!$H$2:$H$3001,$N2633))</f>
        <v/>
      </c>
      <c r="J2633" s="27" t="str">
        <f>IF($N2633="","",INDEX('_calc'!$I$2:$I$3001,$N2633))</f>
        <v/>
      </c>
      <c r="K2633" s="28" t="str">
        <f>IF($N2633="","",IF(OR(I2633="",J2633=""),"",J2633-I2633))</f>
        <v/>
      </c>
      <c r="L2633" s="29" t="str">
        <f>IF($N2633="","",INDEX('_calc'!$J$2:$J$3001,$N2633))</f>
        <v/>
      </c>
      <c r="M2633" s="2" t="str">
        <f>IF($N2633="","",IF(AND(G2633=0,H2633=0),"수량 없음",IF(G2633=0,"신규 (전년 수량 없음)",IF(H2633=0,"당해 수량 없음",""))))</f>
        <v/>
      </c>
      <c r="N2633" t="str">
        <f>IF($B2633="","",MATCH($B2633,'_calc'!$L$2:$L$3001,0))</f>
        <v/>
      </c>
    </row>
    <row r="2634">
      <c r="B2634" s="24" t="str">
        <f>IF(ROW()-ROW($B$8)&gt;nComp,"",ROW()-ROW($B$8))</f>
        <v/>
      </c>
      <c r="C2634" t="str">
        <f>IF($N2634="","",INDEX('_calc'!$A$2:$A$3001,$N2634))</f>
        <v/>
      </c>
      <c r="D2634" s="25" t="str">
        <f>IF($N2634="","",INDEX('_calc'!$C$2:$C$3001,$N2634))</f>
        <v/>
      </c>
      <c r="E2634" s="25" t="str">
        <f>IF($N2634="","",INDEX('_calc'!$D$2:$D$3001,$N2634))</f>
        <v/>
      </c>
      <c r="F2634" s="26" t="str">
        <f>IF($N2634="","",IF($E$8=0,"",E2634/$E$8))</f>
        <v/>
      </c>
      <c r="G2634" s="25" t="str">
        <f>IF($N2634="","",INDEX('_calc'!$E$2:$E$3001,$N2634))</f>
        <v/>
      </c>
      <c r="H2634" s="25" t="str">
        <f>IF($N2634="","",INDEX('_calc'!$F$2:$F$3001,$N2634))</f>
        <v/>
      </c>
      <c r="I2634" s="27" t="str">
        <f>IF($N2634="","",INDEX('_calc'!$H$2:$H$3001,$N2634))</f>
        <v/>
      </c>
      <c r="J2634" s="27" t="str">
        <f>IF($N2634="","",INDEX('_calc'!$I$2:$I$3001,$N2634))</f>
        <v/>
      </c>
      <c r="K2634" s="28" t="str">
        <f>IF($N2634="","",IF(OR(I2634="",J2634=""),"",J2634-I2634))</f>
        <v/>
      </c>
      <c r="L2634" s="29" t="str">
        <f>IF($N2634="","",INDEX('_calc'!$J$2:$J$3001,$N2634))</f>
        <v/>
      </c>
      <c r="M2634" s="2" t="str">
        <f>IF($N2634="","",IF(AND(G2634=0,H2634=0),"수량 없음",IF(G2634=0,"신규 (전년 수량 없음)",IF(H2634=0,"당해 수량 없음",""))))</f>
        <v/>
      </c>
      <c r="N2634" t="str">
        <f>IF($B2634="","",MATCH($B2634,'_calc'!$L$2:$L$3001,0))</f>
        <v/>
      </c>
    </row>
    <row r="2635">
      <c r="B2635" s="24" t="str">
        <f>IF(ROW()-ROW($B$8)&gt;nComp,"",ROW()-ROW($B$8))</f>
        <v/>
      </c>
      <c r="C2635" t="str">
        <f>IF($N2635="","",INDEX('_calc'!$A$2:$A$3001,$N2635))</f>
        <v/>
      </c>
      <c r="D2635" s="25" t="str">
        <f>IF($N2635="","",INDEX('_calc'!$C$2:$C$3001,$N2635))</f>
        <v/>
      </c>
      <c r="E2635" s="25" t="str">
        <f>IF($N2635="","",INDEX('_calc'!$D$2:$D$3001,$N2635))</f>
        <v/>
      </c>
      <c r="F2635" s="26" t="str">
        <f>IF($N2635="","",IF($E$8=0,"",E2635/$E$8))</f>
        <v/>
      </c>
      <c r="G2635" s="25" t="str">
        <f>IF($N2635="","",INDEX('_calc'!$E$2:$E$3001,$N2635))</f>
        <v/>
      </c>
      <c r="H2635" s="25" t="str">
        <f>IF($N2635="","",INDEX('_calc'!$F$2:$F$3001,$N2635))</f>
        <v/>
      </c>
      <c r="I2635" s="27" t="str">
        <f>IF($N2635="","",INDEX('_calc'!$H$2:$H$3001,$N2635))</f>
        <v/>
      </c>
      <c r="J2635" s="27" t="str">
        <f>IF($N2635="","",INDEX('_calc'!$I$2:$I$3001,$N2635))</f>
        <v/>
      </c>
      <c r="K2635" s="28" t="str">
        <f>IF($N2635="","",IF(OR(I2635="",J2635=""),"",J2635-I2635))</f>
        <v/>
      </c>
      <c r="L2635" s="29" t="str">
        <f>IF($N2635="","",INDEX('_calc'!$J$2:$J$3001,$N2635))</f>
        <v/>
      </c>
      <c r="M2635" s="2" t="str">
        <f>IF($N2635="","",IF(AND(G2635=0,H2635=0),"수량 없음",IF(G2635=0,"신규 (전년 수량 없음)",IF(H2635=0,"당해 수량 없음",""))))</f>
        <v/>
      </c>
      <c r="N2635" t="str">
        <f>IF($B2635="","",MATCH($B2635,'_calc'!$L$2:$L$3001,0))</f>
        <v/>
      </c>
    </row>
    <row r="2636">
      <c r="B2636" s="24" t="str">
        <f>IF(ROW()-ROW($B$8)&gt;nComp,"",ROW()-ROW($B$8))</f>
        <v/>
      </c>
      <c r="C2636" t="str">
        <f>IF($N2636="","",INDEX('_calc'!$A$2:$A$3001,$N2636))</f>
        <v/>
      </c>
      <c r="D2636" s="25" t="str">
        <f>IF($N2636="","",INDEX('_calc'!$C$2:$C$3001,$N2636))</f>
        <v/>
      </c>
      <c r="E2636" s="25" t="str">
        <f>IF($N2636="","",INDEX('_calc'!$D$2:$D$3001,$N2636))</f>
        <v/>
      </c>
      <c r="F2636" s="26" t="str">
        <f>IF($N2636="","",IF($E$8=0,"",E2636/$E$8))</f>
        <v/>
      </c>
      <c r="G2636" s="25" t="str">
        <f>IF($N2636="","",INDEX('_calc'!$E$2:$E$3001,$N2636))</f>
        <v/>
      </c>
      <c r="H2636" s="25" t="str">
        <f>IF($N2636="","",INDEX('_calc'!$F$2:$F$3001,$N2636))</f>
        <v/>
      </c>
      <c r="I2636" s="27" t="str">
        <f>IF($N2636="","",INDEX('_calc'!$H$2:$H$3001,$N2636))</f>
        <v/>
      </c>
      <c r="J2636" s="27" t="str">
        <f>IF($N2636="","",INDEX('_calc'!$I$2:$I$3001,$N2636))</f>
        <v/>
      </c>
      <c r="K2636" s="28" t="str">
        <f>IF($N2636="","",IF(OR(I2636="",J2636=""),"",J2636-I2636))</f>
        <v/>
      </c>
      <c r="L2636" s="29" t="str">
        <f>IF($N2636="","",INDEX('_calc'!$J$2:$J$3001,$N2636))</f>
        <v/>
      </c>
      <c r="M2636" s="2" t="str">
        <f>IF($N2636="","",IF(AND(G2636=0,H2636=0),"수량 없음",IF(G2636=0,"신규 (전년 수량 없음)",IF(H2636=0,"당해 수량 없음",""))))</f>
        <v/>
      </c>
      <c r="N2636" t="str">
        <f>IF($B2636="","",MATCH($B2636,'_calc'!$L$2:$L$3001,0))</f>
        <v/>
      </c>
    </row>
    <row r="2637">
      <c r="B2637" s="24" t="str">
        <f>IF(ROW()-ROW($B$8)&gt;nComp,"",ROW()-ROW($B$8))</f>
        <v/>
      </c>
      <c r="C2637" t="str">
        <f>IF($N2637="","",INDEX('_calc'!$A$2:$A$3001,$N2637))</f>
        <v/>
      </c>
      <c r="D2637" s="25" t="str">
        <f>IF($N2637="","",INDEX('_calc'!$C$2:$C$3001,$N2637))</f>
        <v/>
      </c>
      <c r="E2637" s="25" t="str">
        <f>IF($N2637="","",INDEX('_calc'!$D$2:$D$3001,$N2637))</f>
        <v/>
      </c>
      <c r="F2637" s="26" t="str">
        <f>IF($N2637="","",IF($E$8=0,"",E2637/$E$8))</f>
        <v/>
      </c>
      <c r="G2637" s="25" t="str">
        <f>IF($N2637="","",INDEX('_calc'!$E$2:$E$3001,$N2637))</f>
        <v/>
      </c>
      <c r="H2637" s="25" t="str">
        <f>IF($N2637="","",INDEX('_calc'!$F$2:$F$3001,$N2637))</f>
        <v/>
      </c>
      <c r="I2637" s="27" t="str">
        <f>IF($N2637="","",INDEX('_calc'!$H$2:$H$3001,$N2637))</f>
        <v/>
      </c>
      <c r="J2637" s="27" t="str">
        <f>IF($N2637="","",INDEX('_calc'!$I$2:$I$3001,$N2637))</f>
        <v/>
      </c>
      <c r="K2637" s="28" t="str">
        <f>IF($N2637="","",IF(OR(I2637="",J2637=""),"",J2637-I2637))</f>
        <v/>
      </c>
      <c r="L2637" s="29" t="str">
        <f>IF($N2637="","",INDEX('_calc'!$J$2:$J$3001,$N2637))</f>
        <v/>
      </c>
      <c r="M2637" s="2" t="str">
        <f>IF($N2637="","",IF(AND(G2637=0,H2637=0),"수량 없음",IF(G2637=0,"신규 (전년 수량 없음)",IF(H2637=0,"당해 수량 없음",""))))</f>
        <v/>
      </c>
      <c r="N2637" t="str">
        <f>IF($B2637="","",MATCH($B2637,'_calc'!$L$2:$L$3001,0))</f>
        <v/>
      </c>
    </row>
    <row r="2638">
      <c r="B2638" s="24" t="str">
        <f>IF(ROW()-ROW($B$8)&gt;nComp,"",ROW()-ROW($B$8))</f>
        <v/>
      </c>
      <c r="C2638" t="str">
        <f>IF($N2638="","",INDEX('_calc'!$A$2:$A$3001,$N2638))</f>
        <v/>
      </c>
      <c r="D2638" s="25" t="str">
        <f>IF($N2638="","",INDEX('_calc'!$C$2:$C$3001,$N2638))</f>
        <v/>
      </c>
      <c r="E2638" s="25" t="str">
        <f>IF($N2638="","",INDEX('_calc'!$D$2:$D$3001,$N2638))</f>
        <v/>
      </c>
      <c r="F2638" s="26" t="str">
        <f>IF($N2638="","",IF($E$8=0,"",E2638/$E$8))</f>
        <v/>
      </c>
      <c r="G2638" s="25" t="str">
        <f>IF($N2638="","",INDEX('_calc'!$E$2:$E$3001,$N2638))</f>
        <v/>
      </c>
      <c r="H2638" s="25" t="str">
        <f>IF($N2638="","",INDEX('_calc'!$F$2:$F$3001,$N2638))</f>
        <v/>
      </c>
      <c r="I2638" s="27" t="str">
        <f>IF($N2638="","",INDEX('_calc'!$H$2:$H$3001,$N2638))</f>
        <v/>
      </c>
      <c r="J2638" s="27" t="str">
        <f>IF($N2638="","",INDEX('_calc'!$I$2:$I$3001,$N2638))</f>
        <v/>
      </c>
      <c r="K2638" s="28" t="str">
        <f>IF($N2638="","",IF(OR(I2638="",J2638=""),"",J2638-I2638))</f>
        <v/>
      </c>
      <c r="L2638" s="29" t="str">
        <f>IF($N2638="","",INDEX('_calc'!$J$2:$J$3001,$N2638))</f>
        <v/>
      </c>
      <c r="M2638" s="2" t="str">
        <f>IF($N2638="","",IF(AND(G2638=0,H2638=0),"수량 없음",IF(G2638=0,"신규 (전년 수량 없음)",IF(H2638=0,"당해 수량 없음",""))))</f>
        <v/>
      </c>
      <c r="N2638" t="str">
        <f>IF($B2638="","",MATCH($B2638,'_calc'!$L$2:$L$3001,0))</f>
        <v/>
      </c>
    </row>
    <row r="2639">
      <c r="B2639" s="24" t="str">
        <f>IF(ROW()-ROW($B$8)&gt;nComp,"",ROW()-ROW($B$8))</f>
        <v/>
      </c>
      <c r="C2639" t="str">
        <f>IF($N2639="","",INDEX('_calc'!$A$2:$A$3001,$N2639))</f>
        <v/>
      </c>
      <c r="D2639" s="25" t="str">
        <f>IF($N2639="","",INDEX('_calc'!$C$2:$C$3001,$N2639))</f>
        <v/>
      </c>
      <c r="E2639" s="25" t="str">
        <f>IF($N2639="","",INDEX('_calc'!$D$2:$D$3001,$N2639))</f>
        <v/>
      </c>
      <c r="F2639" s="26" t="str">
        <f>IF($N2639="","",IF($E$8=0,"",E2639/$E$8))</f>
        <v/>
      </c>
      <c r="G2639" s="25" t="str">
        <f>IF($N2639="","",INDEX('_calc'!$E$2:$E$3001,$N2639))</f>
        <v/>
      </c>
      <c r="H2639" s="25" t="str">
        <f>IF($N2639="","",INDEX('_calc'!$F$2:$F$3001,$N2639))</f>
        <v/>
      </c>
      <c r="I2639" s="27" t="str">
        <f>IF($N2639="","",INDEX('_calc'!$H$2:$H$3001,$N2639))</f>
        <v/>
      </c>
      <c r="J2639" s="27" t="str">
        <f>IF($N2639="","",INDEX('_calc'!$I$2:$I$3001,$N2639))</f>
        <v/>
      </c>
      <c r="K2639" s="28" t="str">
        <f>IF($N2639="","",IF(OR(I2639="",J2639=""),"",J2639-I2639))</f>
        <v/>
      </c>
      <c r="L2639" s="29" t="str">
        <f>IF($N2639="","",INDEX('_calc'!$J$2:$J$3001,$N2639))</f>
        <v/>
      </c>
      <c r="M2639" s="2" t="str">
        <f>IF($N2639="","",IF(AND(G2639=0,H2639=0),"수량 없음",IF(G2639=0,"신규 (전년 수량 없음)",IF(H2639=0,"당해 수량 없음",""))))</f>
        <v/>
      </c>
      <c r="N2639" t="str">
        <f>IF($B2639="","",MATCH($B2639,'_calc'!$L$2:$L$3001,0))</f>
        <v/>
      </c>
    </row>
    <row r="2640">
      <c r="B2640" s="24" t="str">
        <f>IF(ROW()-ROW($B$8)&gt;nComp,"",ROW()-ROW($B$8))</f>
        <v/>
      </c>
      <c r="C2640" t="str">
        <f>IF($N2640="","",INDEX('_calc'!$A$2:$A$3001,$N2640))</f>
        <v/>
      </c>
      <c r="D2640" s="25" t="str">
        <f>IF($N2640="","",INDEX('_calc'!$C$2:$C$3001,$N2640))</f>
        <v/>
      </c>
      <c r="E2640" s="25" t="str">
        <f>IF($N2640="","",INDEX('_calc'!$D$2:$D$3001,$N2640))</f>
        <v/>
      </c>
      <c r="F2640" s="26" t="str">
        <f>IF($N2640="","",IF($E$8=0,"",E2640/$E$8))</f>
        <v/>
      </c>
      <c r="G2640" s="25" t="str">
        <f>IF($N2640="","",INDEX('_calc'!$E$2:$E$3001,$N2640))</f>
        <v/>
      </c>
      <c r="H2640" s="25" t="str">
        <f>IF($N2640="","",INDEX('_calc'!$F$2:$F$3001,$N2640))</f>
        <v/>
      </c>
      <c r="I2640" s="27" t="str">
        <f>IF($N2640="","",INDEX('_calc'!$H$2:$H$3001,$N2640))</f>
        <v/>
      </c>
      <c r="J2640" s="27" t="str">
        <f>IF($N2640="","",INDEX('_calc'!$I$2:$I$3001,$N2640))</f>
        <v/>
      </c>
      <c r="K2640" s="28" t="str">
        <f>IF($N2640="","",IF(OR(I2640="",J2640=""),"",J2640-I2640))</f>
        <v/>
      </c>
      <c r="L2640" s="29" t="str">
        <f>IF($N2640="","",INDEX('_calc'!$J$2:$J$3001,$N2640))</f>
        <v/>
      </c>
      <c r="M2640" s="2" t="str">
        <f>IF($N2640="","",IF(AND(G2640=0,H2640=0),"수량 없음",IF(G2640=0,"신규 (전년 수량 없음)",IF(H2640=0,"당해 수량 없음",""))))</f>
        <v/>
      </c>
      <c r="N2640" t="str">
        <f>IF($B2640="","",MATCH($B2640,'_calc'!$L$2:$L$3001,0))</f>
        <v/>
      </c>
    </row>
    <row r="2641">
      <c r="B2641" s="24" t="str">
        <f>IF(ROW()-ROW($B$8)&gt;nComp,"",ROW()-ROW($B$8))</f>
        <v/>
      </c>
      <c r="C2641" t="str">
        <f>IF($N2641="","",INDEX('_calc'!$A$2:$A$3001,$N2641))</f>
        <v/>
      </c>
      <c r="D2641" s="25" t="str">
        <f>IF($N2641="","",INDEX('_calc'!$C$2:$C$3001,$N2641))</f>
        <v/>
      </c>
      <c r="E2641" s="25" t="str">
        <f>IF($N2641="","",INDEX('_calc'!$D$2:$D$3001,$N2641))</f>
        <v/>
      </c>
      <c r="F2641" s="26" t="str">
        <f>IF($N2641="","",IF($E$8=0,"",E2641/$E$8))</f>
        <v/>
      </c>
      <c r="G2641" s="25" t="str">
        <f>IF($N2641="","",INDEX('_calc'!$E$2:$E$3001,$N2641))</f>
        <v/>
      </c>
      <c r="H2641" s="25" t="str">
        <f>IF($N2641="","",INDEX('_calc'!$F$2:$F$3001,$N2641))</f>
        <v/>
      </c>
      <c r="I2641" s="27" t="str">
        <f>IF($N2641="","",INDEX('_calc'!$H$2:$H$3001,$N2641))</f>
        <v/>
      </c>
      <c r="J2641" s="27" t="str">
        <f>IF($N2641="","",INDEX('_calc'!$I$2:$I$3001,$N2641))</f>
        <v/>
      </c>
      <c r="K2641" s="28" t="str">
        <f>IF($N2641="","",IF(OR(I2641="",J2641=""),"",J2641-I2641))</f>
        <v/>
      </c>
      <c r="L2641" s="29" t="str">
        <f>IF($N2641="","",INDEX('_calc'!$J$2:$J$3001,$N2641))</f>
        <v/>
      </c>
      <c r="M2641" s="2" t="str">
        <f>IF($N2641="","",IF(AND(G2641=0,H2641=0),"수량 없음",IF(G2641=0,"신규 (전년 수량 없음)",IF(H2641=0,"당해 수량 없음",""))))</f>
        <v/>
      </c>
      <c r="N2641" t="str">
        <f>IF($B2641="","",MATCH($B2641,'_calc'!$L$2:$L$3001,0))</f>
        <v/>
      </c>
    </row>
    <row r="2642">
      <c r="B2642" s="24" t="str">
        <f>IF(ROW()-ROW($B$8)&gt;nComp,"",ROW()-ROW($B$8))</f>
        <v/>
      </c>
      <c r="C2642" t="str">
        <f>IF($N2642="","",INDEX('_calc'!$A$2:$A$3001,$N2642))</f>
        <v/>
      </c>
      <c r="D2642" s="25" t="str">
        <f>IF($N2642="","",INDEX('_calc'!$C$2:$C$3001,$N2642))</f>
        <v/>
      </c>
      <c r="E2642" s="25" t="str">
        <f>IF($N2642="","",INDEX('_calc'!$D$2:$D$3001,$N2642))</f>
        <v/>
      </c>
      <c r="F2642" s="26" t="str">
        <f>IF($N2642="","",IF($E$8=0,"",E2642/$E$8))</f>
        <v/>
      </c>
      <c r="G2642" s="25" t="str">
        <f>IF($N2642="","",INDEX('_calc'!$E$2:$E$3001,$N2642))</f>
        <v/>
      </c>
      <c r="H2642" s="25" t="str">
        <f>IF($N2642="","",INDEX('_calc'!$F$2:$F$3001,$N2642))</f>
        <v/>
      </c>
      <c r="I2642" s="27" t="str">
        <f>IF($N2642="","",INDEX('_calc'!$H$2:$H$3001,$N2642))</f>
        <v/>
      </c>
      <c r="J2642" s="27" t="str">
        <f>IF($N2642="","",INDEX('_calc'!$I$2:$I$3001,$N2642))</f>
        <v/>
      </c>
      <c r="K2642" s="28" t="str">
        <f>IF($N2642="","",IF(OR(I2642="",J2642=""),"",J2642-I2642))</f>
        <v/>
      </c>
      <c r="L2642" s="29" t="str">
        <f>IF($N2642="","",INDEX('_calc'!$J$2:$J$3001,$N2642))</f>
        <v/>
      </c>
      <c r="M2642" s="2" t="str">
        <f>IF($N2642="","",IF(AND(G2642=0,H2642=0),"수량 없음",IF(G2642=0,"신규 (전년 수량 없음)",IF(H2642=0,"당해 수량 없음",""))))</f>
        <v/>
      </c>
      <c r="N2642" t="str">
        <f>IF($B2642="","",MATCH($B2642,'_calc'!$L$2:$L$3001,0))</f>
        <v/>
      </c>
    </row>
    <row r="2643">
      <c r="B2643" s="24" t="str">
        <f>IF(ROW()-ROW($B$8)&gt;nComp,"",ROW()-ROW($B$8))</f>
        <v/>
      </c>
      <c r="C2643" t="str">
        <f>IF($N2643="","",INDEX('_calc'!$A$2:$A$3001,$N2643))</f>
        <v/>
      </c>
      <c r="D2643" s="25" t="str">
        <f>IF($N2643="","",INDEX('_calc'!$C$2:$C$3001,$N2643))</f>
        <v/>
      </c>
      <c r="E2643" s="25" t="str">
        <f>IF($N2643="","",INDEX('_calc'!$D$2:$D$3001,$N2643))</f>
        <v/>
      </c>
      <c r="F2643" s="26" t="str">
        <f>IF($N2643="","",IF($E$8=0,"",E2643/$E$8))</f>
        <v/>
      </c>
      <c r="G2643" s="25" t="str">
        <f>IF($N2643="","",INDEX('_calc'!$E$2:$E$3001,$N2643))</f>
        <v/>
      </c>
      <c r="H2643" s="25" t="str">
        <f>IF($N2643="","",INDEX('_calc'!$F$2:$F$3001,$N2643))</f>
        <v/>
      </c>
      <c r="I2643" s="27" t="str">
        <f>IF($N2643="","",INDEX('_calc'!$H$2:$H$3001,$N2643))</f>
        <v/>
      </c>
      <c r="J2643" s="27" t="str">
        <f>IF($N2643="","",INDEX('_calc'!$I$2:$I$3001,$N2643))</f>
        <v/>
      </c>
      <c r="K2643" s="28" t="str">
        <f>IF($N2643="","",IF(OR(I2643="",J2643=""),"",J2643-I2643))</f>
        <v/>
      </c>
      <c r="L2643" s="29" t="str">
        <f>IF($N2643="","",INDEX('_calc'!$J$2:$J$3001,$N2643))</f>
        <v/>
      </c>
      <c r="M2643" s="2" t="str">
        <f>IF($N2643="","",IF(AND(G2643=0,H2643=0),"수량 없음",IF(G2643=0,"신규 (전년 수량 없음)",IF(H2643=0,"당해 수량 없음",""))))</f>
        <v/>
      </c>
      <c r="N2643" t="str">
        <f>IF($B2643="","",MATCH($B2643,'_calc'!$L$2:$L$3001,0))</f>
        <v/>
      </c>
    </row>
    <row r="2644">
      <c r="B2644" s="24" t="str">
        <f>IF(ROW()-ROW($B$8)&gt;nComp,"",ROW()-ROW($B$8))</f>
        <v/>
      </c>
      <c r="C2644" t="str">
        <f>IF($N2644="","",INDEX('_calc'!$A$2:$A$3001,$N2644))</f>
        <v/>
      </c>
      <c r="D2644" s="25" t="str">
        <f>IF($N2644="","",INDEX('_calc'!$C$2:$C$3001,$N2644))</f>
        <v/>
      </c>
      <c r="E2644" s="25" t="str">
        <f>IF($N2644="","",INDEX('_calc'!$D$2:$D$3001,$N2644))</f>
        <v/>
      </c>
      <c r="F2644" s="26" t="str">
        <f>IF($N2644="","",IF($E$8=0,"",E2644/$E$8))</f>
        <v/>
      </c>
      <c r="G2644" s="25" t="str">
        <f>IF($N2644="","",INDEX('_calc'!$E$2:$E$3001,$N2644))</f>
        <v/>
      </c>
      <c r="H2644" s="25" t="str">
        <f>IF($N2644="","",INDEX('_calc'!$F$2:$F$3001,$N2644))</f>
        <v/>
      </c>
      <c r="I2644" s="27" t="str">
        <f>IF($N2644="","",INDEX('_calc'!$H$2:$H$3001,$N2644))</f>
        <v/>
      </c>
      <c r="J2644" s="27" t="str">
        <f>IF($N2644="","",INDEX('_calc'!$I$2:$I$3001,$N2644))</f>
        <v/>
      </c>
      <c r="K2644" s="28" t="str">
        <f>IF($N2644="","",IF(OR(I2644="",J2644=""),"",J2644-I2644))</f>
        <v/>
      </c>
      <c r="L2644" s="29" t="str">
        <f>IF($N2644="","",INDEX('_calc'!$J$2:$J$3001,$N2644))</f>
        <v/>
      </c>
      <c r="M2644" s="2" t="str">
        <f>IF($N2644="","",IF(AND(G2644=0,H2644=0),"수량 없음",IF(G2644=0,"신규 (전년 수량 없음)",IF(H2644=0,"당해 수량 없음",""))))</f>
        <v/>
      </c>
      <c r="N2644" t="str">
        <f>IF($B2644="","",MATCH($B2644,'_calc'!$L$2:$L$3001,0))</f>
        <v/>
      </c>
    </row>
    <row r="2645">
      <c r="B2645" s="24" t="str">
        <f>IF(ROW()-ROW($B$8)&gt;nComp,"",ROW()-ROW($B$8))</f>
        <v/>
      </c>
      <c r="C2645" t="str">
        <f>IF($N2645="","",INDEX('_calc'!$A$2:$A$3001,$N2645))</f>
        <v/>
      </c>
      <c r="D2645" s="25" t="str">
        <f>IF($N2645="","",INDEX('_calc'!$C$2:$C$3001,$N2645))</f>
        <v/>
      </c>
      <c r="E2645" s="25" t="str">
        <f>IF($N2645="","",INDEX('_calc'!$D$2:$D$3001,$N2645))</f>
        <v/>
      </c>
      <c r="F2645" s="26" t="str">
        <f>IF($N2645="","",IF($E$8=0,"",E2645/$E$8))</f>
        <v/>
      </c>
      <c r="G2645" s="25" t="str">
        <f>IF($N2645="","",INDEX('_calc'!$E$2:$E$3001,$N2645))</f>
        <v/>
      </c>
      <c r="H2645" s="25" t="str">
        <f>IF($N2645="","",INDEX('_calc'!$F$2:$F$3001,$N2645))</f>
        <v/>
      </c>
      <c r="I2645" s="27" t="str">
        <f>IF($N2645="","",INDEX('_calc'!$H$2:$H$3001,$N2645))</f>
        <v/>
      </c>
      <c r="J2645" s="27" t="str">
        <f>IF($N2645="","",INDEX('_calc'!$I$2:$I$3001,$N2645))</f>
        <v/>
      </c>
      <c r="K2645" s="28" t="str">
        <f>IF($N2645="","",IF(OR(I2645="",J2645=""),"",J2645-I2645))</f>
        <v/>
      </c>
      <c r="L2645" s="29" t="str">
        <f>IF($N2645="","",INDEX('_calc'!$J$2:$J$3001,$N2645))</f>
        <v/>
      </c>
      <c r="M2645" s="2" t="str">
        <f>IF($N2645="","",IF(AND(G2645=0,H2645=0),"수량 없음",IF(G2645=0,"신규 (전년 수량 없음)",IF(H2645=0,"당해 수량 없음",""))))</f>
        <v/>
      </c>
      <c r="N2645" t="str">
        <f>IF($B2645="","",MATCH($B2645,'_calc'!$L$2:$L$3001,0))</f>
        <v/>
      </c>
    </row>
    <row r="2646">
      <c r="B2646" s="24" t="str">
        <f>IF(ROW()-ROW($B$8)&gt;nComp,"",ROW()-ROW($B$8))</f>
        <v/>
      </c>
      <c r="C2646" t="str">
        <f>IF($N2646="","",INDEX('_calc'!$A$2:$A$3001,$N2646))</f>
        <v/>
      </c>
      <c r="D2646" s="25" t="str">
        <f>IF($N2646="","",INDEX('_calc'!$C$2:$C$3001,$N2646))</f>
        <v/>
      </c>
      <c r="E2646" s="25" t="str">
        <f>IF($N2646="","",INDEX('_calc'!$D$2:$D$3001,$N2646))</f>
        <v/>
      </c>
      <c r="F2646" s="26" t="str">
        <f>IF($N2646="","",IF($E$8=0,"",E2646/$E$8))</f>
        <v/>
      </c>
      <c r="G2646" s="25" t="str">
        <f>IF($N2646="","",INDEX('_calc'!$E$2:$E$3001,$N2646))</f>
        <v/>
      </c>
      <c r="H2646" s="25" t="str">
        <f>IF($N2646="","",INDEX('_calc'!$F$2:$F$3001,$N2646))</f>
        <v/>
      </c>
      <c r="I2646" s="27" t="str">
        <f>IF($N2646="","",INDEX('_calc'!$H$2:$H$3001,$N2646))</f>
        <v/>
      </c>
      <c r="J2646" s="27" t="str">
        <f>IF($N2646="","",INDEX('_calc'!$I$2:$I$3001,$N2646))</f>
        <v/>
      </c>
      <c r="K2646" s="28" t="str">
        <f>IF($N2646="","",IF(OR(I2646="",J2646=""),"",J2646-I2646))</f>
        <v/>
      </c>
      <c r="L2646" s="29" t="str">
        <f>IF($N2646="","",INDEX('_calc'!$J$2:$J$3001,$N2646))</f>
        <v/>
      </c>
      <c r="M2646" s="2" t="str">
        <f>IF($N2646="","",IF(AND(G2646=0,H2646=0),"수량 없음",IF(G2646=0,"신규 (전년 수량 없음)",IF(H2646=0,"당해 수량 없음",""))))</f>
        <v/>
      </c>
      <c r="N2646" t="str">
        <f>IF($B2646="","",MATCH($B2646,'_calc'!$L$2:$L$3001,0))</f>
        <v/>
      </c>
    </row>
    <row r="2647">
      <c r="B2647" s="24" t="str">
        <f>IF(ROW()-ROW($B$8)&gt;nComp,"",ROW()-ROW($B$8))</f>
        <v/>
      </c>
      <c r="C2647" t="str">
        <f>IF($N2647="","",INDEX('_calc'!$A$2:$A$3001,$N2647))</f>
        <v/>
      </c>
      <c r="D2647" s="25" t="str">
        <f>IF($N2647="","",INDEX('_calc'!$C$2:$C$3001,$N2647))</f>
        <v/>
      </c>
      <c r="E2647" s="25" t="str">
        <f>IF($N2647="","",INDEX('_calc'!$D$2:$D$3001,$N2647))</f>
        <v/>
      </c>
      <c r="F2647" s="26" t="str">
        <f>IF($N2647="","",IF($E$8=0,"",E2647/$E$8))</f>
        <v/>
      </c>
      <c r="G2647" s="25" t="str">
        <f>IF($N2647="","",INDEX('_calc'!$E$2:$E$3001,$N2647))</f>
        <v/>
      </c>
      <c r="H2647" s="25" t="str">
        <f>IF($N2647="","",INDEX('_calc'!$F$2:$F$3001,$N2647))</f>
        <v/>
      </c>
      <c r="I2647" s="27" t="str">
        <f>IF($N2647="","",INDEX('_calc'!$H$2:$H$3001,$N2647))</f>
        <v/>
      </c>
      <c r="J2647" s="27" t="str">
        <f>IF($N2647="","",INDEX('_calc'!$I$2:$I$3001,$N2647))</f>
        <v/>
      </c>
      <c r="K2647" s="28" t="str">
        <f>IF($N2647="","",IF(OR(I2647="",J2647=""),"",J2647-I2647))</f>
        <v/>
      </c>
      <c r="L2647" s="29" t="str">
        <f>IF($N2647="","",INDEX('_calc'!$J$2:$J$3001,$N2647))</f>
        <v/>
      </c>
      <c r="M2647" s="2" t="str">
        <f>IF($N2647="","",IF(AND(G2647=0,H2647=0),"수량 없음",IF(G2647=0,"신규 (전년 수량 없음)",IF(H2647=0,"당해 수량 없음",""))))</f>
        <v/>
      </c>
      <c r="N2647" t="str">
        <f>IF($B2647="","",MATCH($B2647,'_calc'!$L$2:$L$3001,0))</f>
        <v/>
      </c>
    </row>
    <row r="2648">
      <c r="B2648" s="24" t="str">
        <f>IF(ROW()-ROW($B$8)&gt;nComp,"",ROW()-ROW($B$8))</f>
        <v/>
      </c>
      <c r="C2648" t="str">
        <f>IF($N2648="","",INDEX('_calc'!$A$2:$A$3001,$N2648))</f>
        <v/>
      </c>
      <c r="D2648" s="25" t="str">
        <f>IF($N2648="","",INDEX('_calc'!$C$2:$C$3001,$N2648))</f>
        <v/>
      </c>
      <c r="E2648" s="25" t="str">
        <f>IF($N2648="","",INDEX('_calc'!$D$2:$D$3001,$N2648))</f>
        <v/>
      </c>
      <c r="F2648" s="26" t="str">
        <f>IF($N2648="","",IF($E$8=0,"",E2648/$E$8))</f>
        <v/>
      </c>
      <c r="G2648" s="25" t="str">
        <f>IF($N2648="","",INDEX('_calc'!$E$2:$E$3001,$N2648))</f>
        <v/>
      </c>
      <c r="H2648" s="25" t="str">
        <f>IF($N2648="","",INDEX('_calc'!$F$2:$F$3001,$N2648))</f>
        <v/>
      </c>
      <c r="I2648" s="27" t="str">
        <f>IF($N2648="","",INDEX('_calc'!$H$2:$H$3001,$N2648))</f>
        <v/>
      </c>
      <c r="J2648" s="27" t="str">
        <f>IF($N2648="","",INDEX('_calc'!$I$2:$I$3001,$N2648))</f>
        <v/>
      </c>
      <c r="K2648" s="28" t="str">
        <f>IF($N2648="","",IF(OR(I2648="",J2648=""),"",J2648-I2648))</f>
        <v/>
      </c>
      <c r="L2648" s="29" t="str">
        <f>IF($N2648="","",INDEX('_calc'!$J$2:$J$3001,$N2648))</f>
        <v/>
      </c>
      <c r="M2648" s="2" t="str">
        <f>IF($N2648="","",IF(AND(G2648=0,H2648=0),"수량 없음",IF(G2648=0,"신규 (전년 수량 없음)",IF(H2648=0,"당해 수량 없음",""))))</f>
        <v/>
      </c>
      <c r="N2648" t="str">
        <f>IF($B2648="","",MATCH($B2648,'_calc'!$L$2:$L$3001,0))</f>
        <v/>
      </c>
    </row>
    <row r="2649">
      <c r="B2649" s="24" t="str">
        <f>IF(ROW()-ROW($B$8)&gt;nComp,"",ROW()-ROW($B$8))</f>
        <v/>
      </c>
      <c r="C2649" t="str">
        <f>IF($N2649="","",INDEX('_calc'!$A$2:$A$3001,$N2649))</f>
        <v/>
      </c>
      <c r="D2649" s="25" t="str">
        <f>IF($N2649="","",INDEX('_calc'!$C$2:$C$3001,$N2649))</f>
        <v/>
      </c>
      <c r="E2649" s="25" t="str">
        <f>IF($N2649="","",INDEX('_calc'!$D$2:$D$3001,$N2649))</f>
        <v/>
      </c>
      <c r="F2649" s="26" t="str">
        <f>IF($N2649="","",IF($E$8=0,"",E2649/$E$8))</f>
        <v/>
      </c>
      <c r="G2649" s="25" t="str">
        <f>IF($N2649="","",INDEX('_calc'!$E$2:$E$3001,$N2649))</f>
        <v/>
      </c>
      <c r="H2649" s="25" t="str">
        <f>IF($N2649="","",INDEX('_calc'!$F$2:$F$3001,$N2649))</f>
        <v/>
      </c>
      <c r="I2649" s="27" t="str">
        <f>IF($N2649="","",INDEX('_calc'!$H$2:$H$3001,$N2649))</f>
        <v/>
      </c>
      <c r="J2649" s="27" t="str">
        <f>IF($N2649="","",INDEX('_calc'!$I$2:$I$3001,$N2649))</f>
        <v/>
      </c>
      <c r="K2649" s="28" t="str">
        <f>IF($N2649="","",IF(OR(I2649="",J2649=""),"",J2649-I2649))</f>
        <v/>
      </c>
      <c r="L2649" s="29" t="str">
        <f>IF($N2649="","",INDEX('_calc'!$J$2:$J$3001,$N2649))</f>
        <v/>
      </c>
      <c r="M2649" s="2" t="str">
        <f>IF($N2649="","",IF(AND(G2649=0,H2649=0),"수량 없음",IF(G2649=0,"신규 (전년 수량 없음)",IF(H2649=0,"당해 수량 없음",""))))</f>
        <v/>
      </c>
      <c r="N2649" t="str">
        <f>IF($B2649="","",MATCH($B2649,'_calc'!$L$2:$L$3001,0))</f>
        <v/>
      </c>
    </row>
    <row r="2650">
      <c r="B2650" s="24" t="str">
        <f>IF(ROW()-ROW($B$8)&gt;nComp,"",ROW()-ROW($B$8))</f>
        <v/>
      </c>
      <c r="C2650" t="str">
        <f>IF($N2650="","",INDEX('_calc'!$A$2:$A$3001,$N2650))</f>
        <v/>
      </c>
      <c r="D2650" s="25" t="str">
        <f>IF($N2650="","",INDEX('_calc'!$C$2:$C$3001,$N2650))</f>
        <v/>
      </c>
      <c r="E2650" s="25" t="str">
        <f>IF($N2650="","",INDEX('_calc'!$D$2:$D$3001,$N2650))</f>
        <v/>
      </c>
      <c r="F2650" s="26" t="str">
        <f>IF($N2650="","",IF($E$8=0,"",E2650/$E$8))</f>
        <v/>
      </c>
      <c r="G2650" s="25" t="str">
        <f>IF($N2650="","",INDEX('_calc'!$E$2:$E$3001,$N2650))</f>
        <v/>
      </c>
      <c r="H2650" s="25" t="str">
        <f>IF($N2650="","",INDEX('_calc'!$F$2:$F$3001,$N2650))</f>
        <v/>
      </c>
      <c r="I2650" s="27" t="str">
        <f>IF($N2650="","",INDEX('_calc'!$H$2:$H$3001,$N2650))</f>
        <v/>
      </c>
      <c r="J2650" s="27" t="str">
        <f>IF($N2650="","",INDEX('_calc'!$I$2:$I$3001,$N2650))</f>
        <v/>
      </c>
      <c r="K2650" s="28" t="str">
        <f>IF($N2650="","",IF(OR(I2650="",J2650=""),"",J2650-I2650))</f>
        <v/>
      </c>
      <c r="L2650" s="29" t="str">
        <f>IF($N2650="","",INDEX('_calc'!$J$2:$J$3001,$N2650))</f>
        <v/>
      </c>
      <c r="M2650" s="2" t="str">
        <f>IF($N2650="","",IF(AND(G2650=0,H2650=0),"수량 없음",IF(G2650=0,"신규 (전년 수량 없음)",IF(H2650=0,"당해 수량 없음",""))))</f>
        <v/>
      </c>
      <c r="N2650" t="str">
        <f>IF($B2650="","",MATCH($B2650,'_calc'!$L$2:$L$3001,0))</f>
        <v/>
      </c>
    </row>
    <row r="2651">
      <c r="B2651" s="24" t="str">
        <f>IF(ROW()-ROW($B$8)&gt;nComp,"",ROW()-ROW($B$8))</f>
        <v/>
      </c>
      <c r="C2651" t="str">
        <f>IF($N2651="","",INDEX('_calc'!$A$2:$A$3001,$N2651))</f>
        <v/>
      </c>
      <c r="D2651" s="25" t="str">
        <f>IF($N2651="","",INDEX('_calc'!$C$2:$C$3001,$N2651))</f>
        <v/>
      </c>
      <c r="E2651" s="25" t="str">
        <f>IF($N2651="","",INDEX('_calc'!$D$2:$D$3001,$N2651))</f>
        <v/>
      </c>
      <c r="F2651" s="26" t="str">
        <f>IF($N2651="","",IF($E$8=0,"",E2651/$E$8))</f>
        <v/>
      </c>
      <c r="G2651" s="25" t="str">
        <f>IF($N2651="","",INDEX('_calc'!$E$2:$E$3001,$N2651))</f>
        <v/>
      </c>
      <c r="H2651" s="25" t="str">
        <f>IF($N2651="","",INDEX('_calc'!$F$2:$F$3001,$N2651))</f>
        <v/>
      </c>
      <c r="I2651" s="27" t="str">
        <f>IF($N2651="","",INDEX('_calc'!$H$2:$H$3001,$N2651))</f>
        <v/>
      </c>
      <c r="J2651" s="27" t="str">
        <f>IF($N2651="","",INDEX('_calc'!$I$2:$I$3001,$N2651))</f>
        <v/>
      </c>
      <c r="K2651" s="28" t="str">
        <f>IF($N2651="","",IF(OR(I2651="",J2651=""),"",J2651-I2651))</f>
        <v/>
      </c>
      <c r="L2651" s="29" t="str">
        <f>IF($N2651="","",INDEX('_calc'!$J$2:$J$3001,$N2651))</f>
        <v/>
      </c>
      <c r="M2651" s="2" t="str">
        <f>IF($N2651="","",IF(AND(G2651=0,H2651=0),"수량 없음",IF(G2651=0,"신규 (전년 수량 없음)",IF(H2651=0,"당해 수량 없음",""))))</f>
        <v/>
      </c>
      <c r="N2651" t="str">
        <f>IF($B2651="","",MATCH($B2651,'_calc'!$L$2:$L$3001,0))</f>
        <v/>
      </c>
    </row>
    <row r="2652">
      <c r="B2652" s="24" t="str">
        <f>IF(ROW()-ROW($B$8)&gt;nComp,"",ROW()-ROW($B$8))</f>
        <v/>
      </c>
      <c r="C2652" t="str">
        <f>IF($N2652="","",INDEX('_calc'!$A$2:$A$3001,$N2652))</f>
        <v/>
      </c>
      <c r="D2652" s="25" t="str">
        <f>IF($N2652="","",INDEX('_calc'!$C$2:$C$3001,$N2652))</f>
        <v/>
      </c>
      <c r="E2652" s="25" t="str">
        <f>IF($N2652="","",INDEX('_calc'!$D$2:$D$3001,$N2652))</f>
        <v/>
      </c>
      <c r="F2652" s="26" t="str">
        <f>IF($N2652="","",IF($E$8=0,"",E2652/$E$8))</f>
        <v/>
      </c>
      <c r="G2652" s="25" t="str">
        <f>IF($N2652="","",INDEX('_calc'!$E$2:$E$3001,$N2652))</f>
        <v/>
      </c>
      <c r="H2652" s="25" t="str">
        <f>IF($N2652="","",INDEX('_calc'!$F$2:$F$3001,$N2652))</f>
        <v/>
      </c>
      <c r="I2652" s="27" t="str">
        <f>IF($N2652="","",INDEX('_calc'!$H$2:$H$3001,$N2652))</f>
        <v/>
      </c>
      <c r="J2652" s="27" t="str">
        <f>IF($N2652="","",INDEX('_calc'!$I$2:$I$3001,$N2652))</f>
        <v/>
      </c>
      <c r="K2652" s="28" t="str">
        <f>IF($N2652="","",IF(OR(I2652="",J2652=""),"",J2652-I2652))</f>
        <v/>
      </c>
      <c r="L2652" s="29" t="str">
        <f>IF($N2652="","",INDEX('_calc'!$J$2:$J$3001,$N2652))</f>
        <v/>
      </c>
      <c r="M2652" s="2" t="str">
        <f>IF($N2652="","",IF(AND(G2652=0,H2652=0),"수량 없음",IF(G2652=0,"신규 (전년 수량 없음)",IF(H2652=0,"당해 수량 없음",""))))</f>
        <v/>
      </c>
      <c r="N2652" t="str">
        <f>IF($B2652="","",MATCH($B2652,'_calc'!$L$2:$L$3001,0))</f>
        <v/>
      </c>
    </row>
    <row r="2653">
      <c r="B2653" s="24" t="str">
        <f>IF(ROW()-ROW($B$8)&gt;nComp,"",ROW()-ROW($B$8))</f>
        <v/>
      </c>
      <c r="C2653" t="str">
        <f>IF($N2653="","",INDEX('_calc'!$A$2:$A$3001,$N2653))</f>
        <v/>
      </c>
      <c r="D2653" s="25" t="str">
        <f>IF($N2653="","",INDEX('_calc'!$C$2:$C$3001,$N2653))</f>
        <v/>
      </c>
      <c r="E2653" s="25" t="str">
        <f>IF($N2653="","",INDEX('_calc'!$D$2:$D$3001,$N2653))</f>
        <v/>
      </c>
      <c r="F2653" s="26" t="str">
        <f>IF($N2653="","",IF($E$8=0,"",E2653/$E$8))</f>
        <v/>
      </c>
      <c r="G2653" s="25" t="str">
        <f>IF($N2653="","",INDEX('_calc'!$E$2:$E$3001,$N2653))</f>
        <v/>
      </c>
      <c r="H2653" s="25" t="str">
        <f>IF($N2653="","",INDEX('_calc'!$F$2:$F$3001,$N2653))</f>
        <v/>
      </c>
      <c r="I2653" s="27" t="str">
        <f>IF($N2653="","",INDEX('_calc'!$H$2:$H$3001,$N2653))</f>
        <v/>
      </c>
      <c r="J2653" s="27" t="str">
        <f>IF($N2653="","",INDEX('_calc'!$I$2:$I$3001,$N2653))</f>
        <v/>
      </c>
      <c r="K2653" s="28" t="str">
        <f>IF($N2653="","",IF(OR(I2653="",J2653=""),"",J2653-I2653))</f>
        <v/>
      </c>
      <c r="L2653" s="29" t="str">
        <f>IF($N2653="","",INDEX('_calc'!$J$2:$J$3001,$N2653))</f>
        <v/>
      </c>
      <c r="M2653" s="2" t="str">
        <f>IF($N2653="","",IF(AND(G2653=0,H2653=0),"수량 없음",IF(G2653=0,"신규 (전년 수량 없음)",IF(H2653=0,"당해 수량 없음",""))))</f>
        <v/>
      </c>
      <c r="N2653" t="str">
        <f>IF($B2653="","",MATCH($B2653,'_calc'!$L$2:$L$3001,0))</f>
        <v/>
      </c>
    </row>
    <row r="2654">
      <c r="B2654" s="24" t="str">
        <f>IF(ROW()-ROW($B$8)&gt;nComp,"",ROW()-ROW($B$8))</f>
        <v/>
      </c>
      <c r="C2654" t="str">
        <f>IF($N2654="","",INDEX('_calc'!$A$2:$A$3001,$N2654))</f>
        <v/>
      </c>
      <c r="D2654" s="25" t="str">
        <f>IF($N2654="","",INDEX('_calc'!$C$2:$C$3001,$N2654))</f>
        <v/>
      </c>
      <c r="E2654" s="25" t="str">
        <f>IF($N2654="","",INDEX('_calc'!$D$2:$D$3001,$N2654))</f>
        <v/>
      </c>
      <c r="F2654" s="26" t="str">
        <f>IF($N2654="","",IF($E$8=0,"",E2654/$E$8))</f>
        <v/>
      </c>
      <c r="G2654" s="25" t="str">
        <f>IF($N2654="","",INDEX('_calc'!$E$2:$E$3001,$N2654))</f>
        <v/>
      </c>
      <c r="H2654" s="25" t="str">
        <f>IF($N2654="","",INDEX('_calc'!$F$2:$F$3001,$N2654))</f>
        <v/>
      </c>
      <c r="I2654" s="27" t="str">
        <f>IF($N2654="","",INDEX('_calc'!$H$2:$H$3001,$N2654))</f>
        <v/>
      </c>
      <c r="J2654" s="27" t="str">
        <f>IF($N2654="","",INDEX('_calc'!$I$2:$I$3001,$N2654))</f>
        <v/>
      </c>
      <c r="K2654" s="28" t="str">
        <f>IF($N2654="","",IF(OR(I2654="",J2654=""),"",J2654-I2654))</f>
        <v/>
      </c>
      <c r="L2654" s="29" t="str">
        <f>IF($N2654="","",INDEX('_calc'!$J$2:$J$3001,$N2654))</f>
        <v/>
      </c>
      <c r="M2654" s="2" t="str">
        <f>IF($N2654="","",IF(AND(G2654=0,H2654=0),"수량 없음",IF(G2654=0,"신규 (전년 수량 없음)",IF(H2654=0,"당해 수량 없음",""))))</f>
        <v/>
      </c>
      <c r="N2654" t="str">
        <f>IF($B2654="","",MATCH($B2654,'_calc'!$L$2:$L$3001,0))</f>
        <v/>
      </c>
    </row>
    <row r="2655">
      <c r="B2655" s="24" t="str">
        <f>IF(ROW()-ROW($B$8)&gt;nComp,"",ROW()-ROW($B$8))</f>
        <v/>
      </c>
      <c r="C2655" t="str">
        <f>IF($N2655="","",INDEX('_calc'!$A$2:$A$3001,$N2655))</f>
        <v/>
      </c>
      <c r="D2655" s="25" t="str">
        <f>IF($N2655="","",INDEX('_calc'!$C$2:$C$3001,$N2655))</f>
        <v/>
      </c>
      <c r="E2655" s="25" t="str">
        <f>IF($N2655="","",INDEX('_calc'!$D$2:$D$3001,$N2655))</f>
        <v/>
      </c>
      <c r="F2655" s="26" t="str">
        <f>IF($N2655="","",IF($E$8=0,"",E2655/$E$8))</f>
        <v/>
      </c>
      <c r="G2655" s="25" t="str">
        <f>IF($N2655="","",INDEX('_calc'!$E$2:$E$3001,$N2655))</f>
        <v/>
      </c>
      <c r="H2655" s="25" t="str">
        <f>IF($N2655="","",INDEX('_calc'!$F$2:$F$3001,$N2655))</f>
        <v/>
      </c>
      <c r="I2655" s="27" t="str">
        <f>IF($N2655="","",INDEX('_calc'!$H$2:$H$3001,$N2655))</f>
        <v/>
      </c>
      <c r="J2655" s="27" t="str">
        <f>IF($N2655="","",INDEX('_calc'!$I$2:$I$3001,$N2655))</f>
        <v/>
      </c>
      <c r="K2655" s="28" t="str">
        <f>IF($N2655="","",IF(OR(I2655="",J2655=""),"",J2655-I2655))</f>
        <v/>
      </c>
      <c r="L2655" s="29" t="str">
        <f>IF($N2655="","",INDEX('_calc'!$J$2:$J$3001,$N2655))</f>
        <v/>
      </c>
      <c r="M2655" s="2" t="str">
        <f>IF($N2655="","",IF(AND(G2655=0,H2655=0),"수량 없음",IF(G2655=0,"신규 (전년 수량 없음)",IF(H2655=0,"당해 수량 없음",""))))</f>
        <v/>
      </c>
      <c r="N2655" t="str">
        <f>IF($B2655="","",MATCH($B2655,'_calc'!$L$2:$L$3001,0))</f>
        <v/>
      </c>
    </row>
    <row r="2656">
      <c r="B2656" s="24" t="str">
        <f>IF(ROW()-ROW($B$8)&gt;nComp,"",ROW()-ROW($B$8))</f>
        <v/>
      </c>
      <c r="C2656" t="str">
        <f>IF($N2656="","",INDEX('_calc'!$A$2:$A$3001,$N2656))</f>
        <v/>
      </c>
      <c r="D2656" s="25" t="str">
        <f>IF($N2656="","",INDEX('_calc'!$C$2:$C$3001,$N2656))</f>
        <v/>
      </c>
      <c r="E2656" s="25" t="str">
        <f>IF($N2656="","",INDEX('_calc'!$D$2:$D$3001,$N2656))</f>
        <v/>
      </c>
      <c r="F2656" s="26" t="str">
        <f>IF($N2656="","",IF($E$8=0,"",E2656/$E$8))</f>
        <v/>
      </c>
      <c r="G2656" s="25" t="str">
        <f>IF($N2656="","",INDEX('_calc'!$E$2:$E$3001,$N2656))</f>
        <v/>
      </c>
      <c r="H2656" s="25" t="str">
        <f>IF($N2656="","",INDEX('_calc'!$F$2:$F$3001,$N2656))</f>
        <v/>
      </c>
      <c r="I2656" s="27" t="str">
        <f>IF($N2656="","",INDEX('_calc'!$H$2:$H$3001,$N2656))</f>
        <v/>
      </c>
      <c r="J2656" s="27" t="str">
        <f>IF($N2656="","",INDEX('_calc'!$I$2:$I$3001,$N2656))</f>
        <v/>
      </c>
      <c r="K2656" s="28" t="str">
        <f>IF($N2656="","",IF(OR(I2656="",J2656=""),"",J2656-I2656))</f>
        <v/>
      </c>
      <c r="L2656" s="29" t="str">
        <f>IF($N2656="","",INDEX('_calc'!$J$2:$J$3001,$N2656))</f>
        <v/>
      </c>
      <c r="M2656" s="2" t="str">
        <f>IF($N2656="","",IF(AND(G2656=0,H2656=0),"수량 없음",IF(G2656=0,"신규 (전년 수량 없음)",IF(H2656=0,"당해 수량 없음",""))))</f>
        <v/>
      </c>
      <c r="N2656" t="str">
        <f>IF($B2656="","",MATCH($B2656,'_calc'!$L$2:$L$3001,0))</f>
        <v/>
      </c>
    </row>
    <row r="2657">
      <c r="B2657" s="24" t="str">
        <f>IF(ROW()-ROW($B$8)&gt;nComp,"",ROW()-ROW($B$8))</f>
        <v/>
      </c>
      <c r="C2657" t="str">
        <f>IF($N2657="","",INDEX('_calc'!$A$2:$A$3001,$N2657))</f>
        <v/>
      </c>
      <c r="D2657" s="25" t="str">
        <f>IF($N2657="","",INDEX('_calc'!$C$2:$C$3001,$N2657))</f>
        <v/>
      </c>
      <c r="E2657" s="25" t="str">
        <f>IF($N2657="","",INDEX('_calc'!$D$2:$D$3001,$N2657))</f>
        <v/>
      </c>
      <c r="F2657" s="26" t="str">
        <f>IF($N2657="","",IF($E$8=0,"",E2657/$E$8))</f>
        <v/>
      </c>
      <c r="G2657" s="25" t="str">
        <f>IF($N2657="","",INDEX('_calc'!$E$2:$E$3001,$N2657))</f>
        <v/>
      </c>
      <c r="H2657" s="25" t="str">
        <f>IF($N2657="","",INDEX('_calc'!$F$2:$F$3001,$N2657))</f>
        <v/>
      </c>
      <c r="I2657" s="27" t="str">
        <f>IF($N2657="","",INDEX('_calc'!$H$2:$H$3001,$N2657))</f>
        <v/>
      </c>
      <c r="J2657" s="27" t="str">
        <f>IF($N2657="","",INDEX('_calc'!$I$2:$I$3001,$N2657))</f>
        <v/>
      </c>
      <c r="K2657" s="28" t="str">
        <f>IF($N2657="","",IF(OR(I2657="",J2657=""),"",J2657-I2657))</f>
        <v/>
      </c>
      <c r="L2657" s="29" t="str">
        <f>IF($N2657="","",INDEX('_calc'!$J$2:$J$3001,$N2657))</f>
        <v/>
      </c>
      <c r="M2657" s="2" t="str">
        <f>IF($N2657="","",IF(AND(G2657=0,H2657=0),"수량 없음",IF(G2657=0,"신규 (전년 수량 없음)",IF(H2657=0,"당해 수량 없음",""))))</f>
        <v/>
      </c>
      <c r="N2657" t="str">
        <f>IF($B2657="","",MATCH($B2657,'_calc'!$L$2:$L$3001,0))</f>
        <v/>
      </c>
    </row>
    <row r="2658">
      <c r="B2658" s="24" t="str">
        <f>IF(ROW()-ROW($B$8)&gt;nComp,"",ROW()-ROW($B$8))</f>
        <v/>
      </c>
      <c r="C2658" t="str">
        <f>IF($N2658="","",INDEX('_calc'!$A$2:$A$3001,$N2658))</f>
        <v/>
      </c>
      <c r="D2658" s="25" t="str">
        <f>IF($N2658="","",INDEX('_calc'!$C$2:$C$3001,$N2658))</f>
        <v/>
      </c>
      <c r="E2658" s="25" t="str">
        <f>IF($N2658="","",INDEX('_calc'!$D$2:$D$3001,$N2658))</f>
        <v/>
      </c>
      <c r="F2658" s="26" t="str">
        <f>IF($N2658="","",IF($E$8=0,"",E2658/$E$8))</f>
        <v/>
      </c>
      <c r="G2658" s="25" t="str">
        <f>IF($N2658="","",INDEX('_calc'!$E$2:$E$3001,$N2658))</f>
        <v/>
      </c>
      <c r="H2658" s="25" t="str">
        <f>IF($N2658="","",INDEX('_calc'!$F$2:$F$3001,$N2658))</f>
        <v/>
      </c>
      <c r="I2658" s="27" t="str">
        <f>IF($N2658="","",INDEX('_calc'!$H$2:$H$3001,$N2658))</f>
        <v/>
      </c>
      <c r="J2658" s="27" t="str">
        <f>IF($N2658="","",INDEX('_calc'!$I$2:$I$3001,$N2658))</f>
        <v/>
      </c>
      <c r="K2658" s="28" t="str">
        <f>IF($N2658="","",IF(OR(I2658="",J2658=""),"",J2658-I2658))</f>
        <v/>
      </c>
      <c r="L2658" s="29" t="str">
        <f>IF($N2658="","",INDEX('_calc'!$J$2:$J$3001,$N2658))</f>
        <v/>
      </c>
      <c r="M2658" s="2" t="str">
        <f>IF($N2658="","",IF(AND(G2658=0,H2658=0),"수량 없음",IF(G2658=0,"신규 (전년 수량 없음)",IF(H2658=0,"당해 수량 없음",""))))</f>
        <v/>
      </c>
      <c r="N2658" t="str">
        <f>IF($B2658="","",MATCH($B2658,'_calc'!$L$2:$L$3001,0))</f>
        <v/>
      </c>
    </row>
    <row r="2659">
      <c r="B2659" s="24" t="str">
        <f>IF(ROW()-ROW($B$8)&gt;nComp,"",ROW()-ROW($B$8))</f>
        <v/>
      </c>
      <c r="C2659" t="str">
        <f>IF($N2659="","",INDEX('_calc'!$A$2:$A$3001,$N2659))</f>
        <v/>
      </c>
      <c r="D2659" s="25" t="str">
        <f>IF($N2659="","",INDEX('_calc'!$C$2:$C$3001,$N2659))</f>
        <v/>
      </c>
      <c r="E2659" s="25" t="str">
        <f>IF($N2659="","",INDEX('_calc'!$D$2:$D$3001,$N2659))</f>
        <v/>
      </c>
      <c r="F2659" s="26" t="str">
        <f>IF($N2659="","",IF($E$8=0,"",E2659/$E$8))</f>
        <v/>
      </c>
      <c r="G2659" s="25" t="str">
        <f>IF($N2659="","",INDEX('_calc'!$E$2:$E$3001,$N2659))</f>
        <v/>
      </c>
      <c r="H2659" s="25" t="str">
        <f>IF($N2659="","",INDEX('_calc'!$F$2:$F$3001,$N2659))</f>
        <v/>
      </c>
      <c r="I2659" s="27" t="str">
        <f>IF($N2659="","",INDEX('_calc'!$H$2:$H$3001,$N2659))</f>
        <v/>
      </c>
      <c r="J2659" s="27" t="str">
        <f>IF($N2659="","",INDEX('_calc'!$I$2:$I$3001,$N2659))</f>
        <v/>
      </c>
      <c r="K2659" s="28" t="str">
        <f>IF($N2659="","",IF(OR(I2659="",J2659=""),"",J2659-I2659))</f>
        <v/>
      </c>
      <c r="L2659" s="29" t="str">
        <f>IF($N2659="","",INDEX('_calc'!$J$2:$J$3001,$N2659))</f>
        <v/>
      </c>
      <c r="M2659" s="2" t="str">
        <f>IF($N2659="","",IF(AND(G2659=0,H2659=0),"수량 없음",IF(G2659=0,"신규 (전년 수량 없음)",IF(H2659=0,"당해 수량 없음",""))))</f>
        <v/>
      </c>
      <c r="N2659" t="str">
        <f>IF($B2659="","",MATCH($B2659,'_calc'!$L$2:$L$3001,0))</f>
        <v/>
      </c>
    </row>
    <row r="2660">
      <c r="B2660" s="24" t="str">
        <f>IF(ROW()-ROW($B$8)&gt;nComp,"",ROW()-ROW($B$8))</f>
        <v/>
      </c>
      <c r="C2660" t="str">
        <f>IF($N2660="","",INDEX('_calc'!$A$2:$A$3001,$N2660))</f>
        <v/>
      </c>
      <c r="D2660" s="25" t="str">
        <f>IF($N2660="","",INDEX('_calc'!$C$2:$C$3001,$N2660))</f>
        <v/>
      </c>
      <c r="E2660" s="25" t="str">
        <f>IF($N2660="","",INDEX('_calc'!$D$2:$D$3001,$N2660))</f>
        <v/>
      </c>
      <c r="F2660" s="26" t="str">
        <f>IF($N2660="","",IF($E$8=0,"",E2660/$E$8))</f>
        <v/>
      </c>
      <c r="G2660" s="25" t="str">
        <f>IF($N2660="","",INDEX('_calc'!$E$2:$E$3001,$N2660))</f>
        <v/>
      </c>
      <c r="H2660" s="25" t="str">
        <f>IF($N2660="","",INDEX('_calc'!$F$2:$F$3001,$N2660))</f>
        <v/>
      </c>
      <c r="I2660" s="27" t="str">
        <f>IF($N2660="","",INDEX('_calc'!$H$2:$H$3001,$N2660))</f>
        <v/>
      </c>
      <c r="J2660" s="27" t="str">
        <f>IF($N2660="","",INDEX('_calc'!$I$2:$I$3001,$N2660))</f>
        <v/>
      </c>
      <c r="K2660" s="28" t="str">
        <f>IF($N2660="","",IF(OR(I2660="",J2660=""),"",J2660-I2660))</f>
        <v/>
      </c>
      <c r="L2660" s="29" t="str">
        <f>IF($N2660="","",INDEX('_calc'!$J$2:$J$3001,$N2660))</f>
        <v/>
      </c>
      <c r="M2660" s="2" t="str">
        <f>IF($N2660="","",IF(AND(G2660=0,H2660=0),"수량 없음",IF(G2660=0,"신규 (전년 수량 없음)",IF(H2660=0,"당해 수량 없음",""))))</f>
        <v/>
      </c>
      <c r="N2660" t="str">
        <f>IF($B2660="","",MATCH($B2660,'_calc'!$L$2:$L$3001,0))</f>
        <v/>
      </c>
    </row>
    <row r="2661">
      <c r="B2661" s="24" t="str">
        <f>IF(ROW()-ROW($B$8)&gt;nComp,"",ROW()-ROW($B$8))</f>
        <v/>
      </c>
      <c r="C2661" t="str">
        <f>IF($N2661="","",INDEX('_calc'!$A$2:$A$3001,$N2661))</f>
        <v/>
      </c>
      <c r="D2661" s="25" t="str">
        <f>IF($N2661="","",INDEX('_calc'!$C$2:$C$3001,$N2661))</f>
        <v/>
      </c>
      <c r="E2661" s="25" t="str">
        <f>IF($N2661="","",INDEX('_calc'!$D$2:$D$3001,$N2661))</f>
        <v/>
      </c>
      <c r="F2661" s="26" t="str">
        <f>IF($N2661="","",IF($E$8=0,"",E2661/$E$8))</f>
        <v/>
      </c>
      <c r="G2661" s="25" t="str">
        <f>IF($N2661="","",INDEX('_calc'!$E$2:$E$3001,$N2661))</f>
        <v/>
      </c>
      <c r="H2661" s="25" t="str">
        <f>IF($N2661="","",INDEX('_calc'!$F$2:$F$3001,$N2661))</f>
        <v/>
      </c>
      <c r="I2661" s="27" t="str">
        <f>IF($N2661="","",INDEX('_calc'!$H$2:$H$3001,$N2661))</f>
        <v/>
      </c>
      <c r="J2661" s="27" t="str">
        <f>IF($N2661="","",INDEX('_calc'!$I$2:$I$3001,$N2661))</f>
        <v/>
      </c>
      <c r="K2661" s="28" t="str">
        <f>IF($N2661="","",IF(OR(I2661="",J2661=""),"",J2661-I2661))</f>
        <v/>
      </c>
      <c r="L2661" s="29" t="str">
        <f>IF($N2661="","",INDEX('_calc'!$J$2:$J$3001,$N2661))</f>
        <v/>
      </c>
      <c r="M2661" s="2" t="str">
        <f>IF($N2661="","",IF(AND(G2661=0,H2661=0),"수량 없음",IF(G2661=0,"신규 (전년 수량 없음)",IF(H2661=0,"당해 수량 없음",""))))</f>
        <v/>
      </c>
      <c r="N2661" t="str">
        <f>IF($B2661="","",MATCH($B2661,'_calc'!$L$2:$L$3001,0))</f>
        <v/>
      </c>
    </row>
    <row r="2662">
      <c r="B2662" s="24" t="str">
        <f>IF(ROW()-ROW($B$8)&gt;nComp,"",ROW()-ROW($B$8))</f>
        <v/>
      </c>
      <c r="C2662" t="str">
        <f>IF($N2662="","",INDEX('_calc'!$A$2:$A$3001,$N2662))</f>
        <v/>
      </c>
      <c r="D2662" s="25" t="str">
        <f>IF($N2662="","",INDEX('_calc'!$C$2:$C$3001,$N2662))</f>
        <v/>
      </c>
      <c r="E2662" s="25" t="str">
        <f>IF($N2662="","",INDEX('_calc'!$D$2:$D$3001,$N2662))</f>
        <v/>
      </c>
      <c r="F2662" s="26" t="str">
        <f>IF($N2662="","",IF($E$8=0,"",E2662/$E$8))</f>
        <v/>
      </c>
      <c r="G2662" s="25" t="str">
        <f>IF($N2662="","",INDEX('_calc'!$E$2:$E$3001,$N2662))</f>
        <v/>
      </c>
      <c r="H2662" s="25" t="str">
        <f>IF($N2662="","",INDEX('_calc'!$F$2:$F$3001,$N2662))</f>
        <v/>
      </c>
      <c r="I2662" s="27" t="str">
        <f>IF($N2662="","",INDEX('_calc'!$H$2:$H$3001,$N2662))</f>
        <v/>
      </c>
      <c r="J2662" s="27" t="str">
        <f>IF($N2662="","",INDEX('_calc'!$I$2:$I$3001,$N2662))</f>
        <v/>
      </c>
      <c r="K2662" s="28" t="str">
        <f>IF($N2662="","",IF(OR(I2662="",J2662=""),"",J2662-I2662))</f>
        <v/>
      </c>
      <c r="L2662" s="29" t="str">
        <f>IF($N2662="","",INDEX('_calc'!$J$2:$J$3001,$N2662))</f>
        <v/>
      </c>
      <c r="M2662" s="2" t="str">
        <f>IF($N2662="","",IF(AND(G2662=0,H2662=0),"수량 없음",IF(G2662=0,"신규 (전년 수량 없음)",IF(H2662=0,"당해 수량 없음",""))))</f>
        <v/>
      </c>
      <c r="N2662" t="str">
        <f>IF($B2662="","",MATCH($B2662,'_calc'!$L$2:$L$3001,0))</f>
        <v/>
      </c>
    </row>
    <row r="2663">
      <c r="B2663" s="24" t="str">
        <f>IF(ROW()-ROW($B$8)&gt;nComp,"",ROW()-ROW($B$8))</f>
        <v/>
      </c>
      <c r="C2663" t="str">
        <f>IF($N2663="","",INDEX('_calc'!$A$2:$A$3001,$N2663))</f>
        <v/>
      </c>
      <c r="D2663" s="25" t="str">
        <f>IF($N2663="","",INDEX('_calc'!$C$2:$C$3001,$N2663))</f>
        <v/>
      </c>
      <c r="E2663" s="25" t="str">
        <f>IF($N2663="","",INDEX('_calc'!$D$2:$D$3001,$N2663))</f>
        <v/>
      </c>
      <c r="F2663" s="26" t="str">
        <f>IF($N2663="","",IF($E$8=0,"",E2663/$E$8))</f>
        <v/>
      </c>
      <c r="G2663" s="25" t="str">
        <f>IF($N2663="","",INDEX('_calc'!$E$2:$E$3001,$N2663))</f>
        <v/>
      </c>
      <c r="H2663" s="25" t="str">
        <f>IF($N2663="","",INDEX('_calc'!$F$2:$F$3001,$N2663))</f>
        <v/>
      </c>
      <c r="I2663" s="27" t="str">
        <f>IF($N2663="","",INDEX('_calc'!$H$2:$H$3001,$N2663))</f>
        <v/>
      </c>
      <c r="J2663" s="27" t="str">
        <f>IF($N2663="","",INDEX('_calc'!$I$2:$I$3001,$N2663))</f>
        <v/>
      </c>
      <c r="K2663" s="28" t="str">
        <f>IF($N2663="","",IF(OR(I2663="",J2663=""),"",J2663-I2663))</f>
        <v/>
      </c>
      <c r="L2663" s="29" t="str">
        <f>IF($N2663="","",INDEX('_calc'!$J$2:$J$3001,$N2663))</f>
        <v/>
      </c>
      <c r="M2663" s="2" t="str">
        <f>IF($N2663="","",IF(AND(G2663=0,H2663=0),"수량 없음",IF(G2663=0,"신규 (전년 수량 없음)",IF(H2663=0,"당해 수량 없음",""))))</f>
        <v/>
      </c>
      <c r="N2663" t="str">
        <f>IF($B2663="","",MATCH($B2663,'_calc'!$L$2:$L$3001,0))</f>
        <v/>
      </c>
    </row>
    <row r="2664">
      <c r="B2664" s="24" t="str">
        <f>IF(ROW()-ROW($B$8)&gt;nComp,"",ROW()-ROW($B$8))</f>
        <v/>
      </c>
      <c r="C2664" t="str">
        <f>IF($N2664="","",INDEX('_calc'!$A$2:$A$3001,$N2664))</f>
        <v/>
      </c>
      <c r="D2664" s="25" t="str">
        <f>IF($N2664="","",INDEX('_calc'!$C$2:$C$3001,$N2664))</f>
        <v/>
      </c>
      <c r="E2664" s="25" t="str">
        <f>IF($N2664="","",INDEX('_calc'!$D$2:$D$3001,$N2664))</f>
        <v/>
      </c>
      <c r="F2664" s="26" t="str">
        <f>IF($N2664="","",IF($E$8=0,"",E2664/$E$8))</f>
        <v/>
      </c>
      <c r="G2664" s="25" t="str">
        <f>IF($N2664="","",INDEX('_calc'!$E$2:$E$3001,$N2664))</f>
        <v/>
      </c>
      <c r="H2664" s="25" t="str">
        <f>IF($N2664="","",INDEX('_calc'!$F$2:$F$3001,$N2664))</f>
        <v/>
      </c>
      <c r="I2664" s="27" t="str">
        <f>IF($N2664="","",INDEX('_calc'!$H$2:$H$3001,$N2664))</f>
        <v/>
      </c>
      <c r="J2664" s="27" t="str">
        <f>IF($N2664="","",INDEX('_calc'!$I$2:$I$3001,$N2664))</f>
        <v/>
      </c>
      <c r="K2664" s="28" t="str">
        <f>IF($N2664="","",IF(OR(I2664="",J2664=""),"",J2664-I2664))</f>
        <v/>
      </c>
      <c r="L2664" s="29" t="str">
        <f>IF($N2664="","",INDEX('_calc'!$J$2:$J$3001,$N2664))</f>
        <v/>
      </c>
      <c r="M2664" s="2" t="str">
        <f>IF($N2664="","",IF(AND(G2664=0,H2664=0),"수량 없음",IF(G2664=0,"신규 (전년 수량 없음)",IF(H2664=0,"당해 수량 없음",""))))</f>
        <v/>
      </c>
      <c r="N2664" t="str">
        <f>IF($B2664="","",MATCH($B2664,'_calc'!$L$2:$L$3001,0))</f>
        <v/>
      </c>
    </row>
    <row r="2665">
      <c r="B2665" s="24" t="str">
        <f>IF(ROW()-ROW($B$8)&gt;nComp,"",ROW()-ROW($B$8))</f>
        <v/>
      </c>
      <c r="C2665" t="str">
        <f>IF($N2665="","",INDEX('_calc'!$A$2:$A$3001,$N2665))</f>
        <v/>
      </c>
      <c r="D2665" s="25" t="str">
        <f>IF($N2665="","",INDEX('_calc'!$C$2:$C$3001,$N2665))</f>
        <v/>
      </c>
      <c r="E2665" s="25" t="str">
        <f>IF($N2665="","",INDEX('_calc'!$D$2:$D$3001,$N2665))</f>
        <v/>
      </c>
      <c r="F2665" s="26" t="str">
        <f>IF($N2665="","",IF($E$8=0,"",E2665/$E$8))</f>
        <v/>
      </c>
      <c r="G2665" s="25" t="str">
        <f>IF($N2665="","",INDEX('_calc'!$E$2:$E$3001,$N2665))</f>
        <v/>
      </c>
      <c r="H2665" s="25" t="str">
        <f>IF($N2665="","",INDEX('_calc'!$F$2:$F$3001,$N2665))</f>
        <v/>
      </c>
      <c r="I2665" s="27" t="str">
        <f>IF($N2665="","",INDEX('_calc'!$H$2:$H$3001,$N2665))</f>
        <v/>
      </c>
      <c r="J2665" s="27" t="str">
        <f>IF($N2665="","",INDEX('_calc'!$I$2:$I$3001,$N2665))</f>
        <v/>
      </c>
      <c r="K2665" s="28" t="str">
        <f>IF($N2665="","",IF(OR(I2665="",J2665=""),"",J2665-I2665))</f>
        <v/>
      </c>
      <c r="L2665" s="29" t="str">
        <f>IF($N2665="","",INDEX('_calc'!$J$2:$J$3001,$N2665))</f>
        <v/>
      </c>
      <c r="M2665" s="2" t="str">
        <f>IF($N2665="","",IF(AND(G2665=0,H2665=0),"수량 없음",IF(G2665=0,"신규 (전년 수량 없음)",IF(H2665=0,"당해 수량 없음",""))))</f>
        <v/>
      </c>
      <c r="N2665" t="str">
        <f>IF($B2665="","",MATCH($B2665,'_calc'!$L$2:$L$3001,0))</f>
        <v/>
      </c>
    </row>
    <row r="2666">
      <c r="B2666" s="24" t="str">
        <f>IF(ROW()-ROW($B$8)&gt;nComp,"",ROW()-ROW($B$8))</f>
        <v/>
      </c>
      <c r="C2666" t="str">
        <f>IF($N2666="","",INDEX('_calc'!$A$2:$A$3001,$N2666))</f>
        <v/>
      </c>
      <c r="D2666" s="25" t="str">
        <f>IF($N2666="","",INDEX('_calc'!$C$2:$C$3001,$N2666))</f>
        <v/>
      </c>
      <c r="E2666" s="25" t="str">
        <f>IF($N2666="","",INDEX('_calc'!$D$2:$D$3001,$N2666))</f>
        <v/>
      </c>
      <c r="F2666" s="26" t="str">
        <f>IF($N2666="","",IF($E$8=0,"",E2666/$E$8))</f>
        <v/>
      </c>
      <c r="G2666" s="25" t="str">
        <f>IF($N2666="","",INDEX('_calc'!$E$2:$E$3001,$N2666))</f>
        <v/>
      </c>
      <c r="H2666" s="25" t="str">
        <f>IF($N2666="","",INDEX('_calc'!$F$2:$F$3001,$N2666))</f>
        <v/>
      </c>
      <c r="I2666" s="27" t="str">
        <f>IF($N2666="","",INDEX('_calc'!$H$2:$H$3001,$N2666))</f>
        <v/>
      </c>
      <c r="J2666" s="27" t="str">
        <f>IF($N2666="","",INDEX('_calc'!$I$2:$I$3001,$N2666))</f>
        <v/>
      </c>
      <c r="K2666" s="28" t="str">
        <f>IF($N2666="","",IF(OR(I2666="",J2666=""),"",J2666-I2666))</f>
        <v/>
      </c>
      <c r="L2666" s="29" t="str">
        <f>IF($N2666="","",INDEX('_calc'!$J$2:$J$3001,$N2666))</f>
        <v/>
      </c>
      <c r="M2666" s="2" t="str">
        <f>IF($N2666="","",IF(AND(G2666=0,H2666=0),"수량 없음",IF(G2666=0,"신규 (전년 수량 없음)",IF(H2666=0,"당해 수량 없음",""))))</f>
        <v/>
      </c>
      <c r="N2666" t="str">
        <f>IF($B2666="","",MATCH($B2666,'_calc'!$L$2:$L$3001,0))</f>
        <v/>
      </c>
    </row>
    <row r="2667">
      <c r="B2667" s="24" t="str">
        <f>IF(ROW()-ROW($B$8)&gt;nComp,"",ROW()-ROW($B$8))</f>
        <v/>
      </c>
      <c r="C2667" t="str">
        <f>IF($N2667="","",INDEX('_calc'!$A$2:$A$3001,$N2667))</f>
        <v/>
      </c>
      <c r="D2667" s="25" t="str">
        <f>IF($N2667="","",INDEX('_calc'!$C$2:$C$3001,$N2667))</f>
        <v/>
      </c>
      <c r="E2667" s="25" t="str">
        <f>IF($N2667="","",INDEX('_calc'!$D$2:$D$3001,$N2667))</f>
        <v/>
      </c>
      <c r="F2667" s="26" t="str">
        <f>IF($N2667="","",IF($E$8=0,"",E2667/$E$8))</f>
        <v/>
      </c>
      <c r="G2667" s="25" t="str">
        <f>IF($N2667="","",INDEX('_calc'!$E$2:$E$3001,$N2667))</f>
        <v/>
      </c>
      <c r="H2667" s="25" t="str">
        <f>IF($N2667="","",INDEX('_calc'!$F$2:$F$3001,$N2667))</f>
        <v/>
      </c>
      <c r="I2667" s="27" t="str">
        <f>IF($N2667="","",INDEX('_calc'!$H$2:$H$3001,$N2667))</f>
        <v/>
      </c>
      <c r="J2667" s="27" t="str">
        <f>IF($N2667="","",INDEX('_calc'!$I$2:$I$3001,$N2667))</f>
        <v/>
      </c>
      <c r="K2667" s="28" t="str">
        <f>IF($N2667="","",IF(OR(I2667="",J2667=""),"",J2667-I2667))</f>
        <v/>
      </c>
      <c r="L2667" s="29" t="str">
        <f>IF($N2667="","",INDEX('_calc'!$J$2:$J$3001,$N2667))</f>
        <v/>
      </c>
      <c r="M2667" s="2" t="str">
        <f>IF($N2667="","",IF(AND(G2667=0,H2667=0),"수량 없음",IF(G2667=0,"신규 (전년 수량 없음)",IF(H2667=0,"당해 수량 없음",""))))</f>
        <v/>
      </c>
      <c r="N2667" t="str">
        <f>IF($B2667="","",MATCH($B2667,'_calc'!$L$2:$L$3001,0))</f>
        <v/>
      </c>
    </row>
    <row r="2668">
      <c r="B2668" s="24" t="str">
        <f>IF(ROW()-ROW($B$8)&gt;nComp,"",ROW()-ROW($B$8))</f>
        <v/>
      </c>
      <c r="C2668" t="str">
        <f>IF($N2668="","",INDEX('_calc'!$A$2:$A$3001,$N2668))</f>
        <v/>
      </c>
      <c r="D2668" s="25" t="str">
        <f>IF($N2668="","",INDEX('_calc'!$C$2:$C$3001,$N2668))</f>
        <v/>
      </c>
      <c r="E2668" s="25" t="str">
        <f>IF($N2668="","",INDEX('_calc'!$D$2:$D$3001,$N2668))</f>
        <v/>
      </c>
      <c r="F2668" s="26" t="str">
        <f>IF($N2668="","",IF($E$8=0,"",E2668/$E$8))</f>
        <v/>
      </c>
      <c r="G2668" s="25" t="str">
        <f>IF($N2668="","",INDEX('_calc'!$E$2:$E$3001,$N2668))</f>
        <v/>
      </c>
      <c r="H2668" s="25" t="str">
        <f>IF($N2668="","",INDEX('_calc'!$F$2:$F$3001,$N2668))</f>
        <v/>
      </c>
      <c r="I2668" s="27" t="str">
        <f>IF($N2668="","",INDEX('_calc'!$H$2:$H$3001,$N2668))</f>
        <v/>
      </c>
      <c r="J2668" s="27" t="str">
        <f>IF($N2668="","",INDEX('_calc'!$I$2:$I$3001,$N2668))</f>
        <v/>
      </c>
      <c r="K2668" s="28" t="str">
        <f>IF($N2668="","",IF(OR(I2668="",J2668=""),"",J2668-I2668))</f>
        <v/>
      </c>
      <c r="L2668" s="29" t="str">
        <f>IF($N2668="","",INDEX('_calc'!$J$2:$J$3001,$N2668))</f>
        <v/>
      </c>
      <c r="M2668" s="2" t="str">
        <f>IF($N2668="","",IF(AND(G2668=0,H2668=0),"수량 없음",IF(G2668=0,"신규 (전년 수량 없음)",IF(H2668=0,"당해 수량 없음",""))))</f>
        <v/>
      </c>
      <c r="N2668" t="str">
        <f>IF($B2668="","",MATCH($B2668,'_calc'!$L$2:$L$3001,0))</f>
        <v/>
      </c>
    </row>
    <row r="2669">
      <c r="B2669" s="24" t="str">
        <f>IF(ROW()-ROW($B$8)&gt;nComp,"",ROW()-ROW($B$8))</f>
        <v/>
      </c>
      <c r="C2669" t="str">
        <f>IF($N2669="","",INDEX('_calc'!$A$2:$A$3001,$N2669))</f>
        <v/>
      </c>
      <c r="D2669" s="25" t="str">
        <f>IF($N2669="","",INDEX('_calc'!$C$2:$C$3001,$N2669))</f>
        <v/>
      </c>
      <c r="E2669" s="25" t="str">
        <f>IF($N2669="","",INDEX('_calc'!$D$2:$D$3001,$N2669))</f>
        <v/>
      </c>
      <c r="F2669" s="26" t="str">
        <f>IF($N2669="","",IF($E$8=0,"",E2669/$E$8))</f>
        <v/>
      </c>
      <c r="G2669" s="25" t="str">
        <f>IF($N2669="","",INDEX('_calc'!$E$2:$E$3001,$N2669))</f>
        <v/>
      </c>
      <c r="H2669" s="25" t="str">
        <f>IF($N2669="","",INDEX('_calc'!$F$2:$F$3001,$N2669))</f>
        <v/>
      </c>
      <c r="I2669" s="27" t="str">
        <f>IF($N2669="","",INDEX('_calc'!$H$2:$H$3001,$N2669))</f>
        <v/>
      </c>
      <c r="J2669" s="27" t="str">
        <f>IF($N2669="","",INDEX('_calc'!$I$2:$I$3001,$N2669))</f>
        <v/>
      </c>
      <c r="K2669" s="28" t="str">
        <f>IF($N2669="","",IF(OR(I2669="",J2669=""),"",J2669-I2669))</f>
        <v/>
      </c>
      <c r="L2669" s="29" t="str">
        <f>IF($N2669="","",INDEX('_calc'!$J$2:$J$3001,$N2669))</f>
        <v/>
      </c>
      <c r="M2669" s="2" t="str">
        <f>IF($N2669="","",IF(AND(G2669=0,H2669=0),"수량 없음",IF(G2669=0,"신규 (전년 수량 없음)",IF(H2669=0,"당해 수량 없음",""))))</f>
        <v/>
      </c>
      <c r="N2669" t="str">
        <f>IF($B2669="","",MATCH($B2669,'_calc'!$L$2:$L$3001,0))</f>
        <v/>
      </c>
    </row>
    <row r="2670">
      <c r="B2670" s="24" t="str">
        <f>IF(ROW()-ROW($B$8)&gt;nComp,"",ROW()-ROW($B$8))</f>
        <v/>
      </c>
      <c r="C2670" t="str">
        <f>IF($N2670="","",INDEX('_calc'!$A$2:$A$3001,$N2670))</f>
        <v/>
      </c>
      <c r="D2670" s="25" t="str">
        <f>IF($N2670="","",INDEX('_calc'!$C$2:$C$3001,$N2670))</f>
        <v/>
      </c>
      <c r="E2670" s="25" t="str">
        <f>IF($N2670="","",INDEX('_calc'!$D$2:$D$3001,$N2670))</f>
        <v/>
      </c>
      <c r="F2670" s="26" t="str">
        <f>IF($N2670="","",IF($E$8=0,"",E2670/$E$8))</f>
        <v/>
      </c>
      <c r="G2670" s="25" t="str">
        <f>IF($N2670="","",INDEX('_calc'!$E$2:$E$3001,$N2670))</f>
        <v/>
      </c>
      <c r="H2670" s="25" t="str">
        <f>IF($N2670="","",INDEX('_calc'!$F$2:$F$3001,$N2670))</f>
        <v/>
      </c>
      <c r="I2670" s="27" t="str">
        <f>IF($N2670="","",INDEX('_calc'!$H$2:$H$3001,$N2670))</f>
        <v/>
      </c>
      <c r="J2670" s="27" t="str">
        <f>IF($N2670="","",INDEX('_calc'!$I$2:$I$3001,$N2670))</f>
        <v/>
      </c>
      <c r="K2670" s="28" t="str">
        <f>IF($N2670="","",IF(OR(I2670="",J2670=""),"",J2670-I2670))</f>
        <v/>
      </c>
      <c r="L2670" s="29" t="str">
        <f>IF($N2670="","",INDEX('_calc'!$J$2:$J$3001,$N2670))</f>
        <v/>
      </c>
      <c r="M2670" s="2" t="str">
        <f>IF($N2670="","",IF(AND(G2670=0,H2670=0),"수량 없음",IF(G2670=0,"신규 (전년 수량 없음)",IF(H2670=0,"당해 수량 없음",""))))</f>
        <v/>
      </c>
      <c r="N2670" t="str">
        <f>IF($B2670="","",MATCH($B2670,'_calc'!$L$2:$L$3001,0))</f>
        <v/>
      </c>
    </row>
    <row r="2671">
      <c r="B2671" s="24" t="str">
        <f>IF(ROW()-ROW($B$8)&gt;nComp,"",ROW()-ROW($B$8))</f>
        <v/>
      </c>
      <c r="C2671" t="str">
        <f>IF($N2671="","",INDEX('_calc'!$A$2:$A$3001,$N2671))</f>
        <v/>
      </c>
      <c r="D2671" s="25" t="str">
        <f>IF($N2671="","",INDEX('_calc'!$C$2:$C$3001,$N2671))</f>
        <v/>
      </c>
      <c r="E2671" s="25" t="str">
        <f>IF($N2671="","",INDEX('_calc'!$D$2:$D$3001,$N2671))</f>
        <v/>
      </c>
      <c r="F2671" s="26" t="str">
        <f>IF($N2671="","",IF($E$8=0,"",E2671/$E$8))</f>
        <v/>
      </c>
      <c r="G2671" s="25" t="str">
        <f>IF($N2671="","",INDEX('_calc'!$E$2:$E$3001,$N2671))</f>
        <v/>
      </c>
      <c r="H2671" s="25" t="str">
        <f>IF($N2671="","",INDEX('_calc'!$F$2:$F$3001,$N2671))</f>
        <v/>
      </c>
      <c r="I2671" s="27" t="str">
        <f>IF($N2671="","",INDEX('_calc'!$H$2:$H$3001,$N2671))</f>
        <v/>
      </c>
      <c r="J2671" s="27" t="str">
        <f>IF($N2671="","",INDEX('_calc'!$I$2:$I$3001,$N2671))</f>
        <v/>
      </c>
      <c r="K2671" s="28" t="str">
        <f>IF($N2671="","",IF(OR(I2671="",J2671=""),"",J2671-I2671))</f>
        <v/>
      </c>
      <c r="L2671" s="29" t="str">
        <f>IF($N2671="","",INDEX('_calc'!$J$2:$J$3001,$N2671))</f>
        <v/>
      </c>
      <c r="M2671" s="2" t="str">
        <f>IF($N2671="","",IF(AND(G2671=0,H2671=0),"수량 없음",IF(G2671=0,"신규 (전년 수량 없음)",IF(H2671=0,"당해 수량 없음",""))))</f>
        <v/>
      </c>
      <c r="N2671" t="str">
        <f>IF($B2671="","",MATCH($B2671,'_calc'!$L$2:$L$3001,0))</f>
        <v/>
      </c>
    </row>
    <row r="2672">
      <c r="B2672" s="24" t="str">
        <f>IF(ROW()-ROW($B$8)&gt;nComp,"",ROW()-ROW($B$8))</f>
        <v/>
      </c>
      <c r="C2672" t="str">
        <f>IF($N2672="","",INDEX('_calc'!$A$2:$A$3001,$N2672))</f>
        <v/>
      </c>
      <c r="D2672" s="25" t="str">
        <f>IF($N2672="","",INDEX('_calc'!$C$2:$C$3001,$N2672))</f>
        <v/>
      </c>
      <c r="E2672" s="25" t="str">
        <f>IF($N2672="","",INDEX('_calc'!$D$2:$D$3001,$N2672))</f>
        <v/>
      </c>
      <c r="F2672" s="26" t="str">
        <f>IF($N2672="","",IF($E$8=0,"",E2672/$E$8))</f>
        <v/>
      </c>
      <c r="G2672" s="25" t="str">
        <f>IF($N2672="","",INDEX('_calc'!$E$2:$E$3001,$N2672))</f>
        <v/>
      </c>
      <c r="H2672" s="25" t="str">
        <f>IF($N2672="","",INDEX('_calc'!$F$2:$F$3001,$N2672))</f>
        <v/>
      </c>
      <c r="I2672" s="27" t="str">
        <f>IF($N2672="","",INDEX('_calc'!$H$2:$H$3001,$N2672))</f>
        <v/>
      </c>
      <c r="J2672" s="27" t="str">
        <f>IF($N2672="","",INDEX('_calc'!$I$2:$I$3001,$N2672))</f>
        <v/>
      </c>
      <c r="K2672" s="28" t="str">
        <f>IF($N2672="","",IF(OR(I2672="",J2672=""),"",J2672-I2672))</f>
        <v/>
      </c>
      <c r="L2672" s="29" t="str">
        <f>IF($N2672="","",INDEX('_calc'!$J$2:$J$3001,$N2672))</f>
        <v/>
      </c>
      <c r="M2672" s="2" t="str">
        <f>IF($N2672="","",IF(AND(G2672=0,H2672=0),"수량 없음",IF(G2672=0,"신규 (전년 수량 없음)",IF(H2672=0,"당해 수량 없음",""))))</f>
        <v/>
      </c>
      <c r="N2672" t="str">
        <f>IF($B2672="","",MATCH($B2672,'_calc'!$L$2:$L$3001,0))</f>
        <v/>
      </c>
    </row>
    <row r="2673">
      <c r="B2673" s="24" t="str">
        <f>IF(ROW()-ROW($B$8)&gt;nComp,"",ROW()-ROW($B$8))</f>
        <v/>
      </c>
      <c r="C2673" t="str">
        <f>IF($N2673="","",INDEX('_calc'!$A$2:$A$3001,$N2673))</f>
        <v/>
      </c>
      <c r="D2673" s="25" t="str">
        <f>IF($N2673="","",INDEX('_calc'!$C$2:$C$3001,$N2673))</f>
        <v/>
      </c>
      <c r="E2673" s="25" t="str">
        <f>IF($N2673="","",INDEX('_calc'!$D$2:$D$3001,$N2673))</f>
        <v/>
      </c>
      <c r="F2673" s="26" t="str">
        <f>IF($N2673="","",IF($E$8=0,"",E2673/$E$8))</f>
        <v/>
      </c>
      <c r="G2673" s="25" t="str">
        <f>IF($N2673="","",INDEX('_calc'!$E$2:$E$3001,$N2673))</f>
        <v/>
      </c>
      <c r="H2673" s="25" t="str">
        <f>IF($N2673="","",INDEX('_calc'!$F$2:$F$3001,$N2673))</f>
        <v/>
      </c>
      <c r="I2673" s="27" t="str">
        <f>IF($N2673="","",INDEX('_calc'!$H$2:$H$3001,$N2673))</f>
        <v/>
      </c>
      <c r="J2673" s="27" t="str">
        <f>IF($N2673="","",INDEX('_calc'!$I$2:$I$3001,$N2673))</f>
        <v/>
      </c>
      <c r="K2673" s="28" t="str">
        <f>IF($N2673="","",IF(OR(I2673="",J2673=""),"",J2673-I2673))</f>
        <v/>
      </c>
      <c r="L2673" s="29" t="str">
        <f>IF($N2673="","",INDEX('_calc'!$J$2:$J$3001,$N2673))</f>
        <v/>
      </c>
      <c r="M2673" s="2" t="str">
        <f>IF($N2673="","",IF(AND(G2673=0,H2673=0),"수량 없음",IF(G2673=0,"신규 (전년 수량 없음)",IF(H2673=0,"당해 수량 없음",""))))</f>
        <v/>
      </c>
      <c r="N2673" t="str">
        <f>IF($B2673="","",MATCH($B2673,'_calc'!$L$2:$L$3001,0))</f>
        <v/>
      </c>
    </row>
    <row r="2674">
      <c r="B2674" s="24" t="str">
        <f>IF(ROW()-ROW($B$8)&gt;nComp,"",ROW()-ROW($B$8))</f>
        <v/>
      </c>
      <c r="C2674" t="str">
        <f>IF($N2674="","",INDEX('_calc'!$A$2:$A$3001,$N2674))</f>
        <v/>
      </c>
      <c r="D2674" s="25" t="str">
        <f>IF($N2674="","",INDEX('_calc'!$C$2:$C$3001,$N2674))</f>
        <v/>
      </c>
      <c r="E2674" s="25" t="str">
        <f>IF($N2674="","",INDEX('_calc'!$D$2:$D$3001,$N2674))</f>
        <v/>
      </c>
      <c r="F2674" s="26" t="str">
        <f>IF($N2674="","",IF($E$8=0,"",E2674/$E$8))</f>
        <v/>
      </c>
      <c r="G2674" s="25" t="str">
        <f>IF($N2674="","",INDEX('_calc'!$E$2:$E$3001,$N2674))</f>
        <v/>
      </c>
      <c r="H2674" s="25" t="str">
        <f>IF($N2674="","",INDEX('_calc'!$F$2:$F$3001,$N2674))</f>
        <v/>
      </c>
      <c r="I2674" s="27" t="str">
        <f>IF($N2674="","",INDEX('_calc'!$H$2:$H$3001,$N2674))</f>
        <v/>
      </c>
      <c r="J2674" s="27" t="str">
        <f>IF($N2674="","",INDEX('_calc'!$I$2:$I$3001,$N2674))</f>
        <v/>
      </c>
      <c r="K2674" s="28" t="str">
        <f>IF($N2674="","",IF(OR(I2674="",J2674=""),"",J2674-I2674))</f>
        <v/>
      </c>
      <c r="L2674" s="29" t="str">
        <f>IF($N2674="","",INDEX('_calc'!$J$2:$J$3001,$N2674))</f>
        <v/>
      </c>
      <c r="M2674" s="2" t="str">
        <f>IF($N2674="","",IF(AND(G2674=0,H2674=0),"수량 없음",IF(G2674=0,"신규 (전년 수량 없음)",IF(H2674=0,"당해 수량 없음",""))))</f>
        <v/>
      </c>
      <c r="N2674" t="str">
        <f>IF($B2674="","",MATCH($B2674,'_calc'!$L$2:$L$3001,0))</f>
        <v/>
      </c>
    </row>
    <row r="2675">
      <c r="B2675" s="24" t="str">
        <f>IF(ROW()-ROW($B$8)&gt;nComp,"",ROW()-ROW($B$8))</f>
        <v/>
      </c>
      <c r="C2675" t="str">
        <f>IF($N2675="","",INDEX('_calc'!$A$2:$A$3001,$N2675))</f>
        <v/>
      </c>
      <c r="D2675" s="25" t="str">
        <f>IF($N2675="","",INDEX('_calc'!$C$2:$C$3001,$N2675))</f>
        <v/>
      </c>
      <c r="E2675" s="25" t="str">
        <f>IF($N2675="","",INDEX('_calc'!$D$2:$D$3001,$N2675))</f>
        <v/>
      </c>
      <c r="F2675" s="26" t="str">
        <f>IF($N2675="","",IF($E$8=0,"",E2675/$E$8))</f>
        <v/>
      </c>
      <c r="G2675" s="25" t="str">
        <f>IF($N2675="","",INDEX('_calc'!$E$2:$E$3001,$N2675))</f>
        <v/>
      </c>
      <c r="H2675" s="25" t="str">
        <f>IF($N2675="","",INDEX('_calc'!$F$2:$F$3001,$N2675))</f>
        <v/>
      </c>
      <c r="I2675" s="27" t="str">
        <f>IF($N2675="","",INDEX('_calc'!$H$2:$H$3001,$N2675))</f>
        <v/>
      </c>
      <c r="J2675" s="27" t="str">
        <f>IF($N2675="","",INDEX('_calc'!$I$2:$I$3001,$N2675))</f>
        <v/>
      </c>
      <c r="K2675" s="28" t="str">
        <f>IF($N2675="","",IF(OR(I2675="",J2675=""),"",J2675-I2675))</f>
        <v/>
      </c>
      <c r="L2675" s="29" t="str">
        <f>IF($N2675="","",INDEX('_calc'!$J$2:$J$3001,$N2675))</f>
        <v/>
      </c>
      <c r="M2675" s="2" t="str">
        <f>IF($N2675="","",IF(AND(G2675=0,H2675=0),"수량 없음",IF(G2675=0,"신규 (전년 수량 없음)",IF(H2675=0,"당해 수량 없음",""))))</f>
        <v/>
      </c>
      <c r="N2675" t="str">
        <f>IF($B2675="","",MATCH($B2675,'_calc'!$L$2:$L$3001,0))</f>
        <v/>
      </c>
    </row>
    <row r="2676">
      <c r="B2676" s="24" t="str">
        <f>IF(ROW()-ROW($B$8)&gt;nComp,"",ROW()-ROW($B$8))</f>
        <v/>
      </c>
      <c r="C2676" t="str">
        <f>IF($N2676="","",INDEX('_calc'!$A$2:$A$3001,$N2676))</f>
        <v/>
      </c>
      <c r="D2676" s="25" t="str">
        <f>IF($N2676="","",INDEX('_calc'!$C$2:$C$3001,$N2676))</f>
        <v/>
      </c>
      <c r="E2676" s="25" t="str">
        <f>IF($N2676="","",INDEX('_calc'!$D$2:$D$3001,$N2676))</f>
        <v/>
      </c>
      <c r="F2676" s="26" t="str">
        <f>IF($N2676="","",IF($E$8=0,"",E2676/$E$8))</f>
        <v/>
      </c>
      <c r="G2676" s="25" t="str">
        <f>IF($N2676="","",INDEX('_calc'!$E$2:$E$3001,$N2676))</f>
        <v/>
      </c>
      <c r="H2676" s="25" t="str">
        <f>IF($N2676="","",INDEX('_calc'!$F$2:$F$3001,$N2676))</f>
        <v/>
      </c>
      <c r="I2676" s="27" t="str">
        <f>IF($N2676="","",INDEX('_calc'!$H$2:$H$3001,$N2676))</f>
        <v/>
      </c>
      <c r="J2676" s="27" t="str">
        <f>IF($N2676="","",INDEX('_calc'!$I$2:$I$3001,$N2676))</f>
        <v/>
      </c>
      <c r="K2676" s="28" t="str">
        <f>IF($N2676="","",IF(OR(I2676="",J2676=""),"",J2676-I2676))</f>
        <v/>
      </c>
      <c r="L2676" s="29" t="str">
        <f>IF($N2676="","",INDEX('_calc'!$J$2:$J$3001,$N2676))</f>
        <v/>
      </c>
      <c r="M2676" s="2" t="str">
        <f>IF($N2676="","",IF(AND(G2676=0,H2676=0),"수량 없음",IF(G2676=0,"신규 (전년 수량 없음)",IF(H2676=0,"당해 수량 없음",""))))</f>
        <v/>
      </c>
      <c r="N2676" t="str">
        <f>IF($B2676="","",MATCH($B2676,'_calc'!$L$2:$L$3001,0))</f>
        <v/>
      </c>
    </row>
    <row r="2677">
      <c r="B2677" s="24" t="str">
        <f>IF(ROW()-ROW($B$8)&gt;nComp,"",ROW()-ROW($B$8))</f>
        <v/>
      </c>
      <c r="C2677" t="str">
        <f>IF($N2677="","",INDEX('_calc'!$A$2:$A$3001,$N2677))</f>
        <v/>
      </c>
      <c r="D2677" s="25" t="str">
        <f>IF($N2677="","",INDEX('_calc'!$C$2:$C$3001,$N2677))</f>
        <v/>
      </c>
      <c r="E2677" s="25" t="str">
        <f>IF($N2677="","",INDEX('_calc'!$D$2:$D$3001,$N2677))</f>
        <v/>
      </c>
      <c r="F2677" s="26" t="str">
        <f>IF($N2677="","",IF($E$8=0,"",E2677/$E$8))</f>
        <v/>
      </c>
      <c r="G2677" s="25" t="str">
        <f>IF($N2677="","",INDEX('_calc'!$E$2:$E$3001,$N2677))</f>
        <v/>
      </c>
      <c r="H2677" s="25" t="str">
        <f>IF($N2677="","",INDEX('_calc'!$F$2:$F$3001,$N2677))</f>
        <v/>
      </c>
      <c r="I2677" s="27" t="str">
        <f>IF($N2677="","",INDEX('_calc'!$H$2:$H$3001,$N2677))</f>
        <v/>
      </c>
      <c r="J2677" s="27" t="str">
        <f>IF($N2677="","",INDEX('_calc'!$I$2:$I$3001,$N2677))</f>
        <v/>
      </c>
      <c r="K2677" s="28" t="str">
        <f>IF($N2677="","",IF(OR(I2677="",J2677=""),"",J2677-I2677))</f>
        <v/>
      </c>
      <c r="L2677" s="29" t="str">
        <f>IF($N2677="","",INDEX('_calc'!$J$2:$J$3001,$N2677))</f>
        <v/>
      </c>
      <c r="M2677" s="2" t="str">
        <f>IF($N2677="","",IF(AND(G2677=0,H2677=0),"수량 없음",IF(G2677=0,"신규 (전년 수량 없음)",IF(H2677=0,"당해 수량 없음",""))))</f>
        <v/>
      </c>
      <c r="N2677" t="str">
        <f>IF($B2677="","",MATCH($B2677,'_calc'!$L$2:$L$3001,0))</f>
        <v/>
      </c>
    </row>
    <row r="2678">
      <c r="B2678" s="24" t="str">
        <f>IF(ROW()-ROW($B$8)&gt;nComp,"",ROW()-ROW($B$8))</f>
        <v/>
      </c>
      <c r="C2678" t="str">
        <f>IF($N2678="","",INDEX('_calc'!$A$2:$A$3001,$N2678))</f>
        <v/>
      </c>
      <c r="D2678" s="25" t="str">
        <f>IF($N2678="","",INDEX('_calc'!$C$2:$C$3001,$N2678))</f>
        <v/>
      </c>
      <c r="E2678" s="25" t="str">
        <f>IF($N2678="","",INDEX('_calc'!$D$2:$D$3001,$N2678))</f>
        <v/>
      </c>
      <c r="F2678" s="26" t="str">
        <f>IF($N2678="","",IF($E$8=0,"",E2678/$E$8))</f>
        <v/>
      </c>
      <c r="G2678" s="25" t="str">
        <f>IF($N2678="","",INDEX('_calc'!$E$2:$E$3001,$N2678))</f>
        <v/>
      </c>
      <c r="H2678" s="25" t="str">
        <f>IF($N2678="","",INDEX('_calc'!$F$2:$F$3001,$N2678))</f>
        <v/>
      </c>
      <c r="I2678" s="27" t="str">
        <f>IF($N2678="","",INDEX('_calc'!$H$2:$H$3001,$N2678))</f>
        <v/>
      </c>
      <c r="J2678" s="27" t="str">
        <f>IF($N2678="","",INDEX('_calc'!$I$2:$I$3001,$N2678))</f>
        <v/>
      </c>
      <c r="K2678" s="28" t="str">
        <f>IF($N2678="","",IF(OR(I2678="",J2678=""),"",J2678-I2678))</f>
        <v/>
      </c>
      <c r="L2678" s="29" t="str">
        <f>IF($N2678="","",INDEX('_calc'!$J$2:$J$3001,$N2678))</f>
        <v/>
      </c>
      <c r="M2678" s="2" t="str">
        <f>IF($N2678="","",IF(AND(G2678=0,H2678=0),"수량 없음",IF(G2678=0,"신규 (전년 수량 없음)",IF(H2678=0,"당해 수량 없음",""))))</f>
        <v/>
      </c>
      <c r="N2678" t="str">
        <f>IF($B2678="","",MATCH($B2678,'_calc'!$L$2:$L$3001,0))</f>
        <v/>
      </c>
    </row>
    <row r="2679">
      <c r="B2679" s="24" t="str">
        <f>IF(ROW()-ROW($B$8)&gt;nComp,"",ROW()-ROW($B$8))</f>
        <v/>
      </c>
      <c r="C2679" t="str">
        <f>IF($N2679="","",INDEX('_calc'!$A$2:$A$3001,$N2679))</f>
        <v/>
      </c>
      <c r="D2679" s="25" t="str">
        <f>IF($N2679="","",INDEX('_calc'!$C$2:$C$3001,$N2679))</f>
        <v/>
      </c>
      <c r="E2679" s="25" t="str">
        <f>IF($N2679="","",INDEX('_calc'!$D$2:$D$3001,$N2679))</f>
        <v/>
      </c>
      <c r="F2679" s="26" t="str">
        <f>IF($N2679="","",IF($E$8=0,"",E2679/$E$8))</f>
        <v/>
      </c>
      <c r="G2679" s="25" t="str">
        <f>IF($N2679="","",INDEX('_calc'!$E$2:$E$3001,$N2679))</f>
        <v/>
      </c>
      <c r="H2679" s="25" t="str">
        <f>IF($N2679="","",INDEX('_calc'!$F$2:$F$3001,$N2679))</f>
        <v/>
      </c>
      <c r="I2679" s="27" t="str">
        <f>IF($N2679="","",INDEX('_calc'!$H$2:$H$3001,$N2679))</f>
        <v/>
      </c>
      <c r="J2679" s="27" t="str">
        <f>IF($N2679="","",INDEX('_calc'!$I$2:$I$3001,$N2679))</f>
        <v/>
      </c>
      <c r="K2679" s="28" t="str">
        <f>IF($N2679="","",IF(OR(I2679="",J2679=""),"",J2679-I2679))</f>
        <v/>
      </c>
      <c r="L2679" s="29" t="str">
        <f>IF($N2679="","",INDEX('_calc'!$J$2:$J$3001,$N2679))</f>
        <v/>
      </c>
      <c r="M2679" s="2" t="str">
        <f>IF($N2679="","",IF(AND(G2679=0,H2679=0),"수량 없음",IF(G2679=0,"신규 (전년 수량 없음)",IF(H2679=0,"당해 수량 없음",""))))</f>
        <v/>
      </c>
      <c r="N2679" t="str">
        <f>IF($B2679="","",MATCH($B2679,'_calc'!$L$2:$L$3001,0))</f>
        <v/>
      </c>
    </row>
    <row r="2680">
      <c r="B2680" s="24" t="str">
        <f>IF(ROW()-ROW($B$8)&gt;nComp,"",ROW()-ROW($B$8))</f>
        <v/>
      </c>
      <c r="C2680" t="str">
        <f>IF($N2680="","",INDEX('_calc'!$A$2:$A$3001,$N2680))</f>
        <v/>
      </c>
      <c r="D2680" s="25" t="str">
        <f>IF($N2680="","",INDEX('_calc'!$C$2:$C$3001,$N2680))</f>
        <v/>
      </c>
      <c r="E2680" s="25" t="str">
        <f>IF($N2680="","",INDEX('_calc'!$D$2:$D$3001,$N2680))</f>
        <v/>
      </c>
      <c r="F2680" s="26" t="str">
        <f>IF($N2680="","",IF($E$8=0,"",E2680/$E$8))</f>
        <v/>
      </c>
      <c r="G2680" s="25" t="str">
        <f>IF($N2680="","",INDEX('_calc'!$E$2:$E$3001,$N2680))</f>
        <v/>
      </c>
      <c r="H2680" s="25" t="str">
        <f>IF($N2680="","",INDEX('_calc'!$F$2:$F$3001,$N2680))</f>
        <v/>
      </c>
      <c r="I2680" s="27" t="str">
        <f>IF($N2680="","",INDEX('_calc'!$H$2:$H$3001,$N2680))</f>
        <v/>
      </c>
      <c r="J2680" s="27" t="str">
        <f>IF($N2680="","",INDEX('_calc'!$I$2:$I$3001,$N2680))</f>
        <v/>
      </c>
      <c r="K2680" s="28" t="str">
        <f>IF($N2680="","",IF(OR(I2680="",J2680=""),"",J2680-I2680))</f>
        <v/>
      </c>
      <c r="L2680" s="29" t="str">
        <f>IF($N2680="","",INDEX('_calc'!$J$2:$J$3001,$N2680))</f>
        <v/>
      </c>
      <c r="M2680" s="2" t="str">
        <f>IF($N2680="","",IF(AND(G2680=0,H2680=0),"수량 없음",IF(G2680=0,"신규 (전년 수량 없음)",IF(H2680=0,"당해 수량 없음",""))))</f>
        <v/>
      </c>
      <c r="N2680" t="str">
        <f>IF($B2680="","",MATCH($B2680,'_calc'!$L$2:$L$3001,0))</f>
        <v/>
      </c>
    </row>
    <row r="2681">
      <c r="B2681" s="24" t="str">
        <f>IF(ROW()-ROW($B$8)&gt;nComp,"",ROW()-ROW($B$8))</f>
        <v/>
      </c>
      <c r="C2681" t="str">
        <f>IF($N2681="","",INDEX('_calc'!$A$2:$A$3001,$N2681))</f>
        <v/>
      </c>
      <c r="D2681" s="25" t="str">
        <f>IF($N2681="","",INDEX('_calc'!$C$2:$C$3001,$N2681))</f>
        <v/>
      </c>
      <c r="E2681" s="25" t="str">
        <f>IF($N2681="","",INDEX('_calc'!$D$2:$D$3001,$N2681))</f>
        <v/>
      </c>
      <c r="F2681" s="26" t="str">
        <f>IF($N2681="","",IF($E$8=0,"",E2681/$E$8))</f>
        <v/>
      </c>
      <c r="G2681" s="25" t="str">
        <f>IF($N2681="","",INDEX('_calc'!$E$2:$E$3001,$N2681))</f>
        <v/>
      </c>
      <c r="H2681" s="25" t="str">
        <f>IF($N2681="","",INDEX('_calc'!$F$2:$F$3001,$N2681))</f>
        <v/>
      </c>
      <c r="I2681" s="27" t="str">
        <f>IF($N2681="","",INDEX('_calc'!$H$2:$H$3001,$N2681))</f>
        <v/>
      </c>
      <c r="J2681" s="27" t="str">
        <f>IF($N2681="","",INDEX('_calc'!$I$2:$I$3001,$N2681))</f>
        <v/>
      </c>
      <c r="K2681" s="28" t="str">
        <f>IF($N2681="","",IF(OR(I2681="",J2681=""),"",J2681-I2681))</f>
        <v/>
      </c>
      <c r="L2681" s="29" t="str">
        <f>IF($N2681="","",INDEX('_calc'!$J$2:$J$3001,$N2681))</f>
        <v/>
      </c>
      <c r="M2681" s="2" t="str">
        <f>IF($N2681="","",IF(AND(G2681=0,H2681=0),"수량 없음",IF(G2681=0,"신규 (전년 수량 없음)",IF(H2681=0,"당해 수량 없음",""))))</f>
        <v/>
      </c>
      <c r="N2681" t="str">
        <f>IF($B2681="","",MATCH($B2681,'_calc'!$L$2:$L$3001,0))</f>
        <v/>
      </c>
    </row>
    <row r="2682">
      <c r="B2682" s="24" t="str">
        <f>IF(ROW()-ROW($B$8)&gt;nComp,"",ROW()-ROW($B$8))</f>
        <v/>
      </c>
      <c r="C2682" t="str">
        <f>IF($N2682="","",INDEX('_calc'!$A$2:$A$3001,$N2682))</f>
        <v/>
      </c>
      <c r="D2682" s="25" t="str">
        <f>IF($N2682="","",INDEX('_calc'!$C$2:$C$3001,$N2682))</f>
        <v/>
      </c>
      <c r="E2682" s="25" t="str">
        <f>IF($N2682="","",INDEX('_calc'!$D$2:$D$3001,$N2682))</f>
        <v/>
      </c>
      <c r="F2682" s="26" t="str">
        <f>IF($N2682="","",IF($E$8=0,"",E2682/$E$8))</f>
        <v/>
      </c>
      <c r="G2682" s="25" t="str">
        <f>IF($N2682="","",INDEX('_calc'!$E$2:$E$3001,$N2682))</f>
        <v/>
      </c>
      <c r="H2682" s="25" t="str">
        <f>IF($N2682="","",INDEX('_calc'!$F$2:$F$3001,$N2682))</f>
        <v/>
      </c>
      <c r="I2682" s="27" t="str">
        <f>IF($N2682="","",INDEX('_calc'!$H$2:$H$3001,$N2682))</f>
        <v/>
      </c>
      <c r="J2682" s="27" t="str">
        <f>IF($N2682="","",INDEX('_calc'!$I$2:$I$3001,$N2682))</f>
        <v/>
      </c>
      <c r="K2682" s="28" t="str">
        <f>IF($N2682="","",IF(OR(I2682="",J2682=""),"",J2682-I2682))</f>
        <v/>
      </c>
      <c r="L2682" s="29" t="str">
        <f>IF($N2682="","",INDEX('_calc'!$J$2:$J$3001,$N2682))</f>
        <v/>
      </c>
      <c r="M2682" s="2" t="str">
        <f>IF($N2682="","",IF(AND(G2682=0,H2682=0),"수량 없음",IF(G2682=0,"신규 (전년 수량 없음)",IF(H2682=0,"당해 수량 없음",""))))</f>
        <v/>
      </c>
      <c r="N2682" t="str">
        <f>IF($B2682="","",MATCH($B2682,'_calc'!$L$2:$L$3001,0))</f>
        <v/>
      </c>
    </row>
    <row r="2683">
      <c r="B2683" s="24" t="str">
        <f>IF(ROW()-ROW($B$8)&gt;nComp,"",ROW()-ROW($B$8))</f>
        <v/>
      </c>
      <c r="C2683" t="str">
        <f>IF($N2683="","",INDEX('_calc'!$A$2:$A$3001,$N2683))</f>
        <v/>
      </c>
      <c r="D2683" s="25" t="str">
        <f>IF($N2683="","",INDEX('_calc'!$C$2:$C$3001,$N2683))</f>
        <v/>
      </c>
      <c r="E2683" s="25" t="str">
        <f>IF($N2683="","",INDEX('_calc'!$D$2:$D$3001,$N2683))</f>
        <v/>
      </c>
      <c r="F2683" s="26" t="str">
        <f>IF($N2683="","",IF($E$8=0,"",E2683/$E$8))</f>
        <v/>
      </c>
      <c r="G2683" s="25" t="str">
        <f>IF($N2683="","",INDEX('_calc'!$E$2:$E$3001,$N2683))</f>
        <v/>
      </c>
      <c r="H2683" s="25" t="str">
        <f>IF($N2683="","",INDEX('_calc'!$F$2:$F$3001,$N2683))</f>
        <v/>
      </c>
      <c r="I2683" s="27" t="str">
        <f>IF($N2683="","",INDEX('_calc'!$H$2:$H$3001,$N2683))</f>
        <v/>
      </c>
      <c r="J2683" s="27" t="str">
        <f>IF($N2683="","",INDEX('_calc'!$I$2:$I$3001,$N2683))</f>
        <v/>
      </c>
      <c r="K2683" s="28" t="str">
        <f>IF($N2683="","",IF(OR(I2683="",J2683=""),"",J2683-I2683))</f>
        <v/>
      </c>
      <c r="L2683" s="29" t="str">
        <f>IF($N2683="","",INDEX('_calc'!$J$2:$J$3001,$N2683))</f>
        <v/>
      </c>
      <c r="M2683" s="2" t="str">
        <f>IF($N2683="","",IF(AND(G2683=0,H2683=0),"수량 없음",IF(G2683=0,"신규 (전년 수량 없음)",IF(H2683=0,"당해 수량 없음",""))))</f>
        <v/>
      </c>
      <c r="N2683" t="str">
        <f>IF($B2683="","",MATCH($B2683,'_calc'!$L$2:$L$3001,0))</f>
        <v/>
      </c>
    </row>
    <row r="2684">
      <c r="B2684" s="24" t="str">
        <f>IF(ROW()-ROW($B$8)&gt;nComp,"",ROW()-ROW($B$8))</f>
        <v/>
      </c>
      <c r="C2684" t="str">
        <f>IF($N2684="","",INDEX('_calc'!$A$2:$A$3001,$N2684))</f>
        <v/>
      </c>
      <c r="D2684" s="25" t="str">
        <f>IF($N2684="","",INDEX('_calc'!$C$2:$C$3001,$N2684))</f>
        <v/>
      </c>
      <c r="E2684" s="25" t="str">
        <f>IF($N2684="","",INDEX('_calc'!$D$2:$D$3001,$N2684))</f>
        <v/>
      </c>
      <c r="F2684" s="26" t="str">
        <f>IF($N2684="","",IF($E$8=0,"",E2684/$E$8))</f>
        <v/>
      </c>
      <c r="G2684" s="25" t="str">
        <f>IF($N2684="","",INDEX('_calc'!$E$2:$E$3001,$N2684))</f>
        <v/>
      </c>
      <c r="H2684" s="25" t="str">
        <f>IF($N2684="","",INDEX('_calc'!$F$2:$F$3001,$N2684))</f>
        <v/>
      </c>
      <c r="I2684" s="27" t="str">
        <f>IF($N2684="","",INDEX('_calc'!$H$2:$H$3001,$N2684))</f>
        <v/>
      </c>
      <c r="J2684" s="27" t="str">
        <f>IF($N2684="","",INDEX('_calc'!$I$2:$I$3001,$N2684))</f>
        <v/>
      </c>
      <c r="K2684" s="28" t="str">
        <f>IF($N2684="","",IF(OR(I2684="",J2684=""),"",J2684-I2684))</f>
        <v/>
      </c>
      <c r="L2684" s="29" t="str">
        <f>IF($N2684="","",INDEX('_calc'!$J$2:$J$3001,$N2684))</f>
        <v/>
      </c>
      <c r="M2684" s="2" t="str">
        <f>IF($N2684="","",IF(AND(G2684=0,H2684=0),"수량 없음",IF(G2684=0,"신규 (전년 수량 없음)",IF(H2684=0,"당해 수량 없음",""))))</f>
        <v/>
      </c>
      <c r="N2684" t="str">
        <f>IF($B2684="","",MATCH($B2684,'_calc'!$L$2:$L$3001,0))</f>
        <v/>
      </c>
    </row>
    <row r="2685">
      <c r="B2685" s="24" t="str">
        <f>IF(ROW()-ROW($B$8)&gt;nComp,"",ROW()-ROW($B$8))</f>
        <v/>
      </c>
      <c r="C2685" t="str">
        <f>IF($N2685="","",INDEX('_calc'!$A$2:$A$3001,$N2685))</f>
        <v/>
      </c>
      <c r="D2685" s="25" t="str">
        <f>IF($N2685="","",INDEX('_calc'!$C$2:$C$3001,$N2685))</f>
        <v/>
      </c>
      <c r="E2685" s="25" t="str">
        <f>IF($N2685="","",INDEX('_calc'!$D$2:$D$3001,$N2685))</f>
        <v/>
      </c>
      <c r="F2685" s="26" t="str">
        <f>IF($N2685="","",IF($E$8=0,"",E2685/$E$8))</f>
        <v/>
      </c>
      <c r="G2685" s="25" t="str">
        <f>IF($N2685="","",INDEX('_calc'!$E$2:$E$3001,$N2685))</f>
        <v/>
      </c>
      <c r="H2685" s="25" t="str">
        <f>IF($N2685="","",INDEX('_calc'!$F$2:$F$3001,$N2685))</f>
        <v/>
      </c>
      <c r="I2685" s="27" t="str">
        <f>IF($N2685="","",INDEX('_calc'!$H$2:$H$3001,$N2685))</f>
        <v/>
      </c>
      <c r="J2685" s="27" t="str">
        <f>IF($N2685="","",INDEX('_calc'!$I$2:$I$3001,$N2685))</f>
        <v/>
      </c>
      <c r="K2685" s="28" t="str">
        <f>IF($N2685="","",IF(OR(I2685="",J2685=""),"",J2685-I2685))</f>
        <v/>
      </c>
      <c r="L2685" s="29" t="str">
        <f>IF($N2685="","",INDEX('_calc'!$J$2:$J$3001,$N2685))</f>
        <v/>
      </c>
      <c r="M2685" s="2" t="str">
        <f>IF($N2685="","",IF(AND(G2685=0,H2685=0),"수량 없음",IF(G2685=0,"신규 (전년 수량 없음)",IF(H2685=0,"당해 수량 없음",""))))</f>
        <v/>
      </c>
      <c r="N2685" t="str">
        <f>IF($B2685="","",MATCH($B2685,'_calc'!$L$2:$L$3001,0))</f>
        <v/>
      </c>
    </row>
    <row r="2686">
      <c r="B2686" s="24" t="str">
        <f>IF(ROW()-ROW($B$8)&gt;nComp,"",ROW()-ROW($B$8))</f>
        <v/>
      </c>
      <c r="C2686" t="str">
        <f>IF($N2686="","",INDEX('_calc'!$A$2:$A$3001,$N2686))</f>
        <v/>
      </c>
      <c r="D2686" s="25" t="str">
        <f>IF($N2686="","",INDEX('_calc'!$C$2:$C$3001,$N2686))</f>
        <v/>
      </c>
      <c r="E2686" s="25" t="str">
        <f>IF($N2686="","",INDEX('_calc'!$D$2:$D$3001,$N2686))</f>
        <v/>
      </c>
      <c r="F2686" s="26" t="str">
        <f>IF($N2686="","",IF($E$8=0,"",E2686/$E$8))</f>
        <v/>
      </c>
      <c r="G2686" s="25" t="str">
        <f>IF($N2686="","",INDEX('_calc'!$E$2:$E$3001,$N2686))</f>
        <v/>
      </c>
      <c r="H2686" s="25" t="str">
        <f>IF($N2686="","",INDEX('_calc'!$F$2:$F$3001,$N2686))</f>
        <v/>
      </c>
      <c r="I2686" s="27" t="str">
        <f>IF($N2686="","",INDEX('_calc'!$H$2:$H$3001,$N2686))</f>
        <v/>
      </c>
      <c r="J2686" s="27" t="str">
        <f>IF($N2686="","",INDEX('_calc'!$I$2:$I$3001,$N2686))</f>
        <v/>
      </c>
      <c r="K2686" s="28" t="str">
        <f>IF($N2686="","",IF(OR(I2686="",J2686=""),"",J2686-I2686))</f>
        <v/>
      </c>
      <c r="L2686" s="29" t="str">
        <f>IF($N2686="","",INDEX('_calc'!$J$2:$J$3001,$N2686))</f>
        <v/>
      </c>
      <c r="M2686" s="2" t="str">
        <f>IF($N2686="","",IF(AND(G2686=0,H2686=0),"수량 없음",IF(G2686=0,"신규 (전년 수량 없음)",IF(H2686=0,"당해 수량 없음",""))))</f>
        <v/>
      </c>
      <c r="N2686" t="str">
        <f>IF($B2686="","",MATCH($B2686,'_calc'!$L$2:$L$3001,0))</f>
        <v/>
      </c>
    </row>
    <row r="2687">
      <c r="B2687" s="24" t="str">
        <f>IF(ROW()-ROW($B$8)&gt;nComp,"",ROW()-ROW($B$8))</f>
        <v/>
      </c>
      <c r="C2687" t="str">
        <f>IF($N2687="","",INDEX('_calc'!$A$2:$A$3001,$N2687))</f>
        <v/>
      </c>
      <c r="D2687" s="25" t="str">
        <f>IF($N2687="","",INDEX('_calc'!$C$2:$C$3001,$N2687))</f>
        <v/>
      </c>
      <c r="E2687" s="25" t="str">
        <f>IF($N2687="","",INDEX('_calc'!$D$2:$D$3001,$N2687))</f>
        <v/>
      </c>
      <c r="F2687" s="26" t="str">
        <f>IF($N2687="","",IF($E$8=0,"",E2687/$E$8))</f>
        <v/>
      </c>
      <c r="G2687" s="25" t="str">
        <f>IF($N2687="","",INDEX('_calc'!$E$2:$E$3001,$N2687))</f>
        <v/>
      </c>
      <c r="H2687" s="25" t="str">
        <f>IF($N2687="","",INDEX('_calc'!$F$2:$F$3001,$N2687))</f>
        <v/>
      </c>
      <c r="I2687" s="27" t="str">
        <f>IF($N2687="","",INDEX('_calc'!$H$2:$H$3001,$N2687))</f>
        <v/>
      </c>
      <c r="J2687" s="27" t="str">
        <f>IF($N2687="","",INDEX('_calc'!$I$2:$I$3001,$N2687))</f>
        <v/>
      </c>
      <c r="K2687" s="28" t="str">
        <f>IF($N2687="","",IF(OR(I2687="",J2687=""),"",J2687-I2687))</f>
        <v/>
      </c>
      <c r="L2687" s="29" t="str">
        <f>IF($N2687="","",INDEX('_calc'!$J$2:$J$3001,$N2687))</f>
        <v/>
      </c>
      <c r="M2687" s="2" t="str">
        <f>IF($N2687="","",IF(AND(G2687=0,H2687=0),"수량 없음",IF(G2687=0,"신규 (전년 수량 없음)",IF(H2687=0,"당해 수량 없음",""))))</f>
        <v/>
      </c>
      <c r="N2687" t="str">
        <f>IF($B2687="","",MATCH($B2687,'_calc'!$L$2:$L$3001,0))</f>
        <v/>
      </c>
    </row>
    <row r="2688">
      <c r="B2688" s="24" t="str">
        <f>IF(ROW()-ROW($B$8)&gt;nComp,"",ROW()-ROW($B$8))</f>
        <v/>
      </c>
      <c r="C2688" t="str">
        <f>IF($N2688="","",INDEX('_calc'!$A$2:$A$3001,$N2688))</f>
        <v/>
      </c>
      <c r="D2688" s="25" t="str">
        <f>IF($N2688="","",INDEX('_calc'!$C$2:$C$3001,$N2688))</f>
        <v/>
      </c>
      <c r="E2688" s="25" t="str">
        <f>IF($N2688="","",INDEX('_calc'!$D$2:$D$3001,$N2688))</f>
        <v/>
      </c>
      <c r="F2688" s="26" t="str">
        <f>IF($N2688="","",IF($E$8=0,"",E2688/$E$8))</f>
        <v/>
      </c>
      <c r="G2688" s="25" t="str">
        <f>IF($N2688="","",INDEX('_calc'!$E$2:$E$3001,$N2688))</f>
        <v/>
      </c>
      <c r="H2688" s="25" t="str">
        <f>IF($N2688="","",INDEX('_calc'!$F$2:$F$3001,$N2688))</f>
        <v/>
      </c>
      <c r="I2688" s="27" t="str">
        <f>IF($N2688="","",INDEX('_calc'!$H$2:$H$3001,$N2688))</f>
        <v/>
      </c>
      <c r="J2688" s="27" t="str">
        <f>IF($N2688="","",INDEX('_calc'!$I$2:$I$3001,$N2688))</f>
        <v/>
      </c>
      <c r="K2688" s="28" t="str">
        <f>IF($N2688="","",IF(OR(I2688="",J2688=""),"",J2688-I2688))</f>
        <v/>
      </c>
      <c r="L2688" s="29" t="str">
        <f>IF($N2688="","",INDEX('_calc'!$J$2:$J$3001,$N2688))</f>
        <v/>
      </c>
      <c r="M2688" s="2" t="str">
        <f>IF($N2688="","",IF(AND(G2688=0,H2688=0),"수량 없음",IF(G2688=0,"신규 (전년 수량 없음)",IF(H2688=0,"당해 수량 없음",""))))</f>
        <v/>
      </c>
      <c r="N2688" t="str">
        <f>IF($B2688="","",MATCH($B2688,'_calc'!$L$2:$L$3001,0))</f>
        <v/>
      </c>
    </row>
    <row r="2689">
      <c r="B2689" s="24" t="str">
        <f>IF(ROW()-ROW($B$8)&gt;nComp,"",ROW()-ROW($B$8))</f>
        <v/>
      </c>
      <c r="C2689" t="str">
        <f>IF($N2689="","",INDEX('_calc'!$A$2:$A$3001,$N2689))</f>
        <v/>
      </c>
      <c r="D2689" s="25" t="str">
        <f>IF($N2689="","",INDEX('_calc'!$C$2:$C$3001,$N2689))</f>
        <v/>
      </c>
      <c r="E2689" s="25" t="str">
        <f>IF($N2689="","",INDEX('_calc'!$D$2:$D$3001,$N2689))</f>
        <v/>
      </c>
      <c r="F2689" s="26" t="str">
        <f>IF($N2689="","",IF($E$8=0,"",E2689/$E$8))</f>
        <v/>
      </c>
      <c r="G2689" s="25" t="str">
        <f>IF($N2689="","",INDEX('_calc'!$E$2:$E$3001,$N2689))</f>
        <v/>
      </c>
      <c r="H2689" s="25" t="str">
        <f>IF($N2689="","",INDEX('_calc'!$F$2:$F$3001,$N2689))</f>
        <v/>
      </c>
      <c r="I2689" s="27" t="str">
        <f>IF($N2689="","",INDEX('_calc'!$H$2:$H$3001,$N2689))</f>
        <v/>
      </c>
      <c r="J2689" s="27" t="str">
        <f>IF($N2689="","",INDEX('_calc'!$I$2:$I$3001,$N2689))</f>
        <v/>
      </c>
      <c r="K2689" s="28" t="str">
        <f>IF($N2689="","",IF(OR(I2689="",J2689=""),"",J2689-I2689))</f>
        <v/>
      </c>
      <c r="L2689" s="29" t="str">
        <f>IF($N2689="","",INDEX('_calc'!$J$2:$J$3001,$N2689))</f>
        <v/>
      </c>
      <c r="M2689" s="2" t="str">
        <f>IF($N2689="","",IF(AND(G2689=0,H2689=0),"수량 없음",IF(G2689=0,"신규 (전년 수량 없음)",IF(H2689=0,"당해 수량 없음",""))))</f>
        <v/>
      </c>
      <c r="N2689" t="str">
        <f>IF($B2689="","",MATCH($B2689,'_calc'!$L$2:$L$3001,0))</f>
        <v/>
      </c>
    </row>
    <row r="2690">
      <c r="B2690" s="24" t="str">
        <f>IF(ROW()-ROW($B$8)&gt;nComp,"",ROW()-ROW($B$8))</f>
        <v/>
      </c>
      <c r="C2690" t="str">
        <f>IF($N2690="","",INDEX('_calc'!$A$2:$A$3001,$N2690))</f>
        <v/>
      </c>
      <c r="D2690" s="25" t="str">
        <f>IF($N2690="","",INDEX('_calc'!$C$2:$C$3001,$N2690))</f>
        <v/>
      </c>
      <c r="E2690" s="25" t="str">
        <f>IF($N2690="","",INDEX('_calc'!$D$2:$D$3001,$N2690))</f>
        <v/>
      </c>
      <c r="F2690" s="26" t="str">
        <f>IF($N2690="","",IF($E$8=0,"",E2690/$E$8))</f>
        <v/>
      </c>
      <c r="G2690" s="25" t="str">
        <f>IF($N2690="","",INDEX('_calc'!$E$2:$E$3001,$N2690))</f>
        <v/>
      </c>
      <c r="H2690" s="25" t="str">
        <f>IF($N2690="","",INDEX('_calc'!$F$2:$F$3001,$N2690))</f>
        <v/>
      </c>
      <c r="I2690" s="27" t="str">
        <f>IF($N2690="","",INDEX('_calc'!$H$2:$H$3001,$N2690))</f>
        <v/>
      </c>
      <c r="J2690" s="27" t="str">
        <f>IF($N2690="","",INDEX('_calc'!$I$2:$I$3001,$N2690))</f>
        <v/>
      </c>
      <c r="K2690" s="28" t="str">
        <f>IF($N2690="","",IF(OR(I2690="",J2690=""),"",J2690-I2690))</f>
        <v/>
      </c>
      <c r="L2690" s="29" t="str">
        <f>IF($N2690="","",INDEX('_calc'!$J$2:$J$3001,$N2690))</f>
        <v/>
      </c>
      <c r="M2690" s="2" t="str">
        <f>IF($N2690="","",IF(AND(G2690=0,H2690=0),"수량 없음",IF(G2690=0,"신규 (전년 수량 없음)",IF(H2690=0,"당해 수량 없음",""))))</f>
        <v/>
      </c>
      <c r="N2690" t="str">
        <f>IF($B2690="","",MATCH($B2690,'_calc'!$L$2:$L$3001,0))</f>
        <v/>
      </c>
    </row>
    <row r="2691">
      <c r="B2691" s="24" t="str">
        <f>IF(ROW()-ROW($B$8)&gt;nComp,"",ROW()-ROW($B$8))</f>
        <v/>
      </c>
      <c r="C2691" t="str">
        <f>IF($N2691="","",INDEX('_calc'!$A$2:$A$3001,$N2691))</f>
        <v/>
      </c>
      <c r="D2691" s="25" t="str">
        <f>IF($N2691="","",INDEX('_calc'!$C$2:$C$3001,$N2691))</f>
        <v/>
      </c>
      <c r="E2691" s="25" t="str">
        <f>IF($N2691="","",INDEX('_calc'!$D$2:$D$3001,$N2691))</f>
        <v/>
      </c>
      <c r="F2691" s="26" t="str">
        <f>IF($N2691="","",IF($E$8=0,"",E2691/$E$8))</f>
        <v/>
      </c>
      <c r="G2691" s="25" t="str">
        <f>IF($N2691="","",INDEX('_calc'!$E$2:$E$3001,$N2691))</f>
        <v/>
      </c>
      <c r="H2691" s="25" t="str">
        <f>IF($N2691="","",INDEX('_calc'!$F$2:$F$3001,$N2691))</f>
        <v/>
      </c>
      <c r="I2691" s="27" t="str">
        <f>IF($N2691="","",INDEX('_calc'!$H$2:$H$3001,$N2691))</f>
        <v/>
      </c>
      <c r="J2691" s="27" t="str">
        <f>IF($N2691="","",INDEX('_calc'!$I$2:$I$3001,$N2691))</f>
        <v/>
      </c>
      <c r="K2691" s="28" t="str">
        <f>IF($N2691="","",IF(OR(I2691="",J2691=""),"",J2691-I2691))</f>
        <v/>
      </c>
      <c r="L2691" s="29" t="str">
        <f>IF($N2691="","",INDEX('_calc'!$J$2:$J$3001,$N2691))</f>
        <v/>
      </c>
      <c r="M2691" s="2" t="str">
        <f>IF($N2691="","",IF(AND(G2691=0,H2691=0),"수량 없음",IF(G2691=0,"신규 (전년 수량 없음)",IF(H2691=0,"당해 수량 없음",""))))</f>
        <v/>
      </c>
      <c r="N2691" t="str">
        <f>IF($B2691="","",MATCH($B2691,'_calc'!$L$2:$L$3001,0))</f>
        <v/>
      </c>
    </row>
    <row r="2692">
      <c r="B2692" s="24" t="str">
        <f>IF(ROW()-ROW($B$8)&gt;nComp,"",ROW()-ROW($B$8))</f>
        <v/>
      </c>
      <c r="C2692" t="str">
        <f>IF($N2692="","",INDEX('_calc'!$A$2:$A$3001,$N2692))</f>
        <v/>
      </c>
      <c r="D2692" s="25" t="str">
        <f>IF($N2692="","",INDEX('_calc'!$C$2:$C$3001,$N2692))</f>
        <v/>
      </c>
      <c r="E2692" s="25" t="str">
        <f>IF($N2692="","",INDEX('_calc'!$D$2:$D$3001,$N2692))</f>
        <v/>
      </c>
      <c r="F2692" s="26" t="str">
        <f>IF($N2692="","",IF($E$8=0,"",E2692/$E$8))</f>
        <v/>
      </c>
      <c r="G2692" s="25" t="str">
        <f>IF($N2692="","",INDEX('_calc'!$E$2:$E$3001,$N2692))</f>
        <v/>
      </c>
      <c r="H2692" s="25" t="str">
        <f>IF($N2692="","",INDEX('_calc'!$F$2:$F$3001,$N2692))</f>
        <v/>
      </c>
      <c r="I2692" s="27" t="str">
        <f>IF($N2692="","",INDEX('_calc'!$H$2:$H$3001,$N2692))</f>
        <v/>
      </c>
      <c r="J2692" s="27" t="str">
        <f>IF($N2692="","",INDEX('_calc'!$I$2:$I$3001,$N2692))</f>
        <v/>
      </c>
      <c r="K2692" s="28" t="str">
        <f>IF($N2692="","",IF(OR(I2692="",J2692=""),"",J2692-I2692))</f>
        <v/>
      </c>
      <c r="L2692" s="29" t="str">
        <f>IF($N2692="","",INDEX('_calc'!$J$2:$J$3001,$N2692))</f>
        <v/>
      </c>
      <c r="M2692" s="2" t="str">
        <f>IF($N2692="","",IF(AND(G2692=0,H2692=0),"수량 없음",IF(G2692=0,"신규 (전년 수량 없음)",IF(H2692=0,"당해 수량 없음",""))))</f>
        <v/>
      </c>
      <c r="N2692" t="str">
        <f>IF($B2692="","",MATCH($B2692,'_calc'!$L$2:$L$3001,0))</f>
        <v/>
      </c>
    </row>
    <row r="2693">
      <c r="B2693" s="24" t="str">
        <f>IF(ROW()-ROW($B$8)&gt;nComp,"",ROW()-ROW($B$8))</f>
        <v/>
      </c>
      <c r="C2693" t="str">
        <f>IF($N2693="","",INDEX('_calc'!$A$2:$A$3001,$N2693))</f>
        <v/>
      </c>
      <c r="D2693" s="25" t="str">
        <f>IF($N2693="","",INDEX('_calc'!$C$2:$C$3001,$N2693))</f>
        <v/>
      </c>
      <c r="E2693" s="25" t="str">
        <f>IF($N2693="","",INDEX('_calc'!$D$2:$D$3001,$N2693))</f>
        <v/>
      </c>
      <c r="F2693" s="26" t="str">
        <f>IF($N2693="","",IF($E$8=0,"",E2693/$E$8))</f>
        <v/>
      </c>
      <c r="G2693" s="25" t="str">
        <f>IF($N2693="","",INDEX('_calc'!$E$2:$E$3001,$N2693))</f>
        <v/>
      </c>
      <c r="H2693" s="25" t="str">
        <f>IF($N2693="","",INDEX('_calc'!$F$2:$F$3001,$N2693))</f>
        <v/>
      </c>
      <c r="I2693" s="27" t="str">
        <f>IF($N2693="","",INDEX('_calc'!$H$2:$H$3001,$N2693))</f>
        <v/>
      </c>
      <c r="J2693" s="27" t="str">
        <f>IF($N2693="","",INDEX('_calc'!$I$2:$I$3001,$N2693))</f>
        <v/>
      </c>
      <c r="K2693" s="28" t="str">
        <f>IF($N2693="","",IF(OR(I2693="",J2693=""),"",J2693-I2693))</f>
        <v/>
      </c>
      <c r="L2693" s="29" t="str">
        <f>IF($N2693="","",INDEX('_calc'!$J$2:$J$3001,$N2693))</f>
        <v/>
      </c>
      <c r="M2693" s="2" t="str">
        <f>IF($N2693="","",IF(AND(G2693=0,H2693=0),"수량 없음",IF(G2693=0,"신규 (전년 수량 없음)",IF(H2693=0,"당해 수량 없음",""))))</f>
        <v/>
      </c>
      <c r="N2693" t="str">
        <f>IF($B2693="","",MATCH($B2693,'_calc'!$L$2:$L$3001,0))</f>
        <v/>
      </c>
    </row>
    <row r="2694">
      <c r="B2694" s="24" t="str">
        <f>IF(ROW()-ROW($B$8)&gt;nComp,"",ROW()-ROW($B$8))</f>
        <v/>
      </c>
      <c r="C2694" t="str">
        <f>IF($N2694="","",INDEX('_calc'!$A$2:$A$3001,$N2694))</f>
        <v/>
      </c>
      <c r="D2694" s="25" t="str">
        <f>IF($N2694="","",INDEX('_calc'!$C$2:$C$3001,$N2694))</f>
        <v/>
      </c>
      <c r="E2694" s="25" t="str">
        <f>IF($N2694="","",INDEX('_calc'!$D$2:$D$3001,$N2694))</f>
        <v/>
      </c>
      <c r="F2694" s="26" t="str">
        <f>IF($N2694="","",IF($E$8=0,"",E2694/$E$8))</f>
        <v/>
      </c>
      <c r="G2694" s="25" t="str">
        <f>IF($N2694="","",INDEX('_calc'!$E$2:$E$3001,$N2694))</f>
        <v/>
      </c>
      <c r="H2694" s="25" t="str">
        <f>IF($N2694="","",INDEX('_calc'!$F$2:$F$3001,$N2694))</f>
        <v/>
      </c>
      <c r="I2694" s="27" t="str">
        <f>IF($N2694="","",INDEX('_calc'!$H$2:$H$3001,$N2694))</f>
        <v/>
      </c>
      <c r="J2694" s="27" t="str">
        <f>IF($N2694="","",INDEX('_calc'!$I$2:$I$3001,$N2694))</f>
        <v/>
      </c>
      <c r="K2694" s="28" t="str">
        <f>IF($N2694="","",IF(OR(I2694="",J2694=""),"",J2694-I2694))</f>
        <v/>
      </c>
      <c r="L2694" s="29" t="str">
        <f>IF($N2694="","",INDEX('_calc'!$J$2:$J$3001,$N2694))</f>
        <v/>
      </c>
      <c r="M2694" s="2" t="str">
        <f>IF($N2694="","",IF(AND(G2694=0,H2694=0),"수량 없음",IF(G2694=0,"신규 (전년 수량 없음)",IF(H2694=0,"당해 수량 없음",""))))</f>
        <v/>
      </c>
      <c r="N2694" t="str">
        <f>IF($B2694="","",MATCH($B2694,'_calc'!$L$2:$L$3001,0))</f>
        <v/>
      </c>
    </row>
    <row r="2695">
      <c r="B2695" s="24" t="str">
        <f>IF(ROW()-ROW($B$8)&gt;nComp,"",ROW()-ROW($B$8))</f>
        <v/>
      </c>
      <c r="C2695" t="str">
        <f>IF($N2695="","",INDEX('_calc'!$A$2:$A$3001,$N2695))</f>
        <v/>
      </c>
      <c r="D2695" s="25" t="str">
        <f>IF($N2695="","",INDEX('_calc'!$C$2:$C$3001,$N2695))</f>
        <v/>
      </c>
      <c r="E2695" s="25" t="str">
        <f>IF($N2695="","",INDEX('_calc'!$D$2:$D$3001,$N2695))</f>
        <v/>
      </c>
      <c r="F2695" s="26" t="str">
        <f>IF($N2695="","",IF($E$8=0,"",E2695/$E$8))</f>
        <v/>
      </c>
      <c r="G2695" s="25" t="str">
        <f>IF($N2695="","",INDEX('_calc'!$E$2:$E$3001,$N2695))</f>
        <v/>
      </c>
      <c r="H2695" s="25" t="str">
        <f>IF($N2695="","",INDEX('_calc'!$F$2:$F$3001,$N2695))</f>
        <v/>
      </c>
      <c r="I2695" s="27" t="str">
        <f>IF($N2695="","",INDEX('_calc'!$H$2:$H$3001,$N2695))</f>
        <v/>
      </c>
      <c r="J2695" s="27" t="str">
        <f>IF($N2695="","",INDEX('_calc'!$I$2:$I$3001,$N2695))</f>
        <v/>
      </c>
      <c r="K2695" s="28" t="str">
        <f>IF($N2695="","",IF(OR(I2695="",J2695=""),"",J2695-I2695))</f>
        <v/>
      </c>
      <c r="L2695" s="29" t="str">
        <f>IF($N2695="","",INDEX('_calc'!$J$2:$J$3001,$N2695))</f>
        <v/>
      </c>
      <c r="M2695" s="2" t="str">
        <f>IF($N2695="","",IF(AND(G2695=0,H2695=0),"수량 없음",IF(G2695=0,"신규 (전년 수량 없음)",IF(H2695=0,"당해 수량 없음",""))))</f>
        <v/>
      </c>
      <c r="N2695" t="str">
        <f>IF($B2695="","",MATCH($B2695,'_calc'!$L$2:$L$3001,0))</f>
        <v/>
      </c>
    </row>
    <row r="2696">
      <c r="B2696" s="24" t="str">
        <f>IF(ROW()-ROW($B$8)&gt;nComp,"",ROW()-ROW($B$8))</f>
        <v/>
      </c>
      <c r="C2696" t="str">
        <f>IF($N2696="","",INDEX('_calc'!$A$2:$A$3001,$N2696))</f>
        <v/>
      </c>
      <c r="D2696" s="25" t="str">
        <f>IF($N2696="","",INDEX('_calc'!$C$2:$C$3001,$N2696))</f>
        <v/>
      </c>
      <c r="E2696" s="25" t="str">
        <f>IF($N2696="","",INDEX('_calc'!$D$2:$D$3001,$N2696))</f>
        <v/>
      </c>
      <c r="F2696" s="26" t="str">
        <f>IF($N2696="","",IF($E$8=0,"",E2696/$E$8))</f>
        <v/>
      </c>
      <c r="G2696" s="25" t="str">
        <f>IF($N2696="","",INDEX('_calc'!$E$2:$E$3001,$N2696))</f>
        <v/>
      </c>
      <c r="H2696" s="25" t="str">
        <f>IF($N2696="","",INDEX('_calc'!$F$2:$F$3001,$N2696))</f>
        <v/>
      </c>
      <c r="I2696" s="27" t="str">
        <f>IF($N2696="","",INDEX('_calc'!$H$2:$H$3001,$N2696))</f>
        <v/>
      </c>
      <c r="J2696" s="27" t="str">
        <f>IF($N2696="","",INDEX('_calc'!$I$2:$I$3001,$N2696))</f>
        <v/>
      </c>
      <c r="K2696" s="28" t="str">
        <f>IF($N2696="","",IF(OR(I2696="",J2696=""),"",J2696-I2696))</f>
        <v/>
      </c>
      <c r="L2696" s="29" t="str">
        <f>IF($N2696="","",INDEX('_calc'!$J$2:$J$3001,$N2696))</f>
        <v/>
      </c>
      <c r="M2696" s="2" t="str">
        <f>IF($N2696="","",IF(AND(G2696=0,H2696=0),"수량 없음",IF(G2696=0,"신규 (전년 수량 없음)",IF(H2696=0,"당해 수량 없음",""))))</f>
        <v/>
      </c>
      <c r="N2696" t="str">
        <f>IF($B2696="","",MATCH($B2696,'_calc'!$L$2:$L$3001,0))</f>
        <v/>
      </c>
    </row>
    <row r="2697">
      <c r="B2697" s="24" t="str">
        <f>IF(ROW()-ROW($B$8)&gt;nComp,"",ROW()-ROW($B$8))</f>
        <v/>
      </c>
      <c r="C2697" t="str">
        <f>IF($N2697="","",INDEX('_calc'!$A$2:$A$3001,$N2697))</f>
        <v/>
      </c>
      <c r="D2697" s="25" t="str">
        <f>IF($N2697="","",INDEX('_calc'!$C$2:$C$3001,$N2697))</f>
        <v/>
      </c>
      <c r="E2697" s="25" t="str">
        <f>IF($N2697="","",INDEX('_calc'!$D$2:$D$3001,$N2697))</f>
        <v/>
      </c>
      <c r="F2697" s="26" t="str">
        <f>IF($N2697="","",IF($E$8=0,"",E2697/$E$8))</f>
        <v/>
      </c>
      <c r="G2697" s="25" t="str">
        <f>IF($N2697="","",INDEX('_calc'!$E$2:$E$3001,$N2697))</f>
        <v/>
      </c>
      <c r="H2697" s="25" t="str">
        <f>IF($N2697="","",INDEX('_calc'!$F$2:$F$3001,$N2697))</f>
        <v/>
      </c>
      <c r="I2697" s="27" t="str">
        <f>IF($N2697="","",INDEX('_calc'!$H$2:$H$3001,$N2697))</f>
        <v/>
      </c>
      <c r="J2697" s="27" t="str">
        <f>IF($N2697="","",INDEX('_calc'!$I$2:$I$3001,$N2697))</f>
        <v/>
      </c>
      <c r="K2697" s="28" t="str">
        <f>IF($N2697="","",IF(OR(I2697="",J2697=""),"",J2697-I2697))</f>
        <v/>
      </c>
      <c r="L2697" s="29" t="str">
        <f>IF($N2697="","",INDEX('_calc'!$J$2:$J$3001,$N2697))</f>
        <v/>
      </c>
      <c r="M2697" s="2" t="str">
        <f>IF($N2697="","",IF(AND(G2697=0,H2697=0),"수량 없음",IF(G2697=0,"신규 (전년 수량 없음)",IF(H2697=0,"당해 수량 없음",""))))</f>
        <v/>
      </c>
      <c r="N2697" t="str">
        <f>IF($B2697="","",MATCH($B2697,'_calc'!$L$2:$L$3001,0))</f>
        <v/>
      </c>
    </row>
    <row r="2698">
      <c r="B2698" s="24" t="str">
        <f>IF(ROW()-ROW($B$8)&gt;nComp,"",ROW()-ROW($B$8))</f>
        <v/>
      </c>
      <c r="C2698" t="str">
        <f>IF($N2698="","",INDEX('_calc'!$A$2:$A$3001,$N2698))</f>
        <v/>
      </c>
      <c r="D2698" s="25" t="str">
        <f>IF($N2698="","",INDEX('_calc'!$C$2:$C$3001,$N2698))</f>
        <v/>
      </c>
      <c r="E2698" s="25" t="str">
        <f>IF($N2698="","",INDEX('_calc'!$D$2:$D$3001,$N2698))</f>
        <v/>
      </c>
      <c r="F2698" s="26" t="str">
        <f>IF($N2698="","",IF($E$8=0,"",E2698/$E$8))</f>
        <v/>
      </c>
      <c r="G2698" s="25" t="str">
        <f>IF($N2698="","",INDEX('_calc'!$E$2:$E$3001,$N2698))</f>
        <v/>
      </c>
      <c r="H2698" s="25" t="str">
        <f>IF($N2698="","",INDEX('_calc'!$F$2:$F$3001,$N2698))</f>
        <v/>
      </c>
      <c r="I2698" s="27" t="str">
        <f>IF($N2698="","",INDEX('_calc'!$H$2:$H$3001,$N2698))</f>
        <v/>
      </c>
      <c r="J2698" s="27" t="str">
        <f>IF($N2698="","",INDEX('_calc'!$I$2:$I$3001,$N2698))</f>
        <v/>
      </c>
      <c r="K2698" s="28" t="str">
        <f>IF($N2698="","",IF(OR(I2698="",J2698=""),"",J2698-I2698))</f>
        <v/>
      </c>
      <c r="L2698" s="29" t="str">
        <f>IF($N2698="","",INDEX('_calc'!$J$2:$J$3001,$N2698))</f>
        <v/>
      </c>
      <c r="M2698" s="2" t="str">
        <f>IF($N2698="","",IF(AND(G2698=0,H2698=0),"수량 없음",IF(G2698=0,"신규 (전년 수량 없음)",IF(H2698=0,"당해 수량 없음",""))))</f>
        <v/>
      </c>
      <c r="N2698" t="str">
        <f>IF($B2698="","",MATCH($B2698,'_calc'!$L$2:$L$3001,0))</f>
        <v/>
      </c>
    </row>
    <row r="2699">
      <c r="B2699" s="24" t="str">
        <f>IF(ROW()-ROW($B$8)&gt;nComp,"",ROW()-ROW($B$8))</f>
        <v/>
      </c>
      <c r="C2699" t="str">
        <f>IF($N2699="","",INDEX('_calc'!$A$2:$A$3001,$N2699))</f>
        <v/>
      </c>
      <c r="D2699" s="25" t="str">
        <f>IF($N2699="","",INDEX('_calc'!$C$2:$C$3001,$N2699))</f>
        <v/>
      </c>
      <c r="E2699" s="25" t="str">
        <f>IF($N2699="","",INDEX('_calc'!$D$2:$D$3001,$N2699))</f>
        <v/>
      </c>
      <c r="F2699" s="26" t="str">
        <f>IF($N2699="","",IF($E$8=0,"",E2699/$E$8))</f>
        <v/>
      </c>
      <c r="G2699" s="25" t="str">
        <f>IF($N2699="","",INDEX('_calc'!$E$2:$E$3001,$N2699))</f>
        <v/>
      </c>
      <c r="H2699" s="25" t="str">
        <f>IF($N2699="","",INDEX('_calc'!$F$2:$F$3001,$N2699))</f>
        <v/>
      </c>
      <c r="I2699" s="27" t="str">
        <f>IF($N2699="","",INDEX('_calc'!$H$2:$H$3001,$N2699))</f>
        <v/>
      </c>
      <c r="J2699" s="27" t="str">
        <f>IF($N2699="","",INDEX('_calc'!$I$2:$I$3001,$N2699))</f>
        <v/>
      </c>
      <c r="K2699" s="28" t="str">
        <f>IF($N2699="","",IF(OR(I2699="",J2699=""),"",J2699-I2699))</f>
        <v/>
      </c>
      <c r="L2699" s="29" t="str">
        <f>IF($N2699="","",INDEX('_calc'!$J$2:$J$3001,$N2699))</f>
        <v/>
      </c>
      <c r="M2699" s="2" t="str">
        <f>IF($N2699="","",IF(AND(G2699=0,H2699=0),"수량 없음",IF(G2699=0,"신규 (전년 수량 없음)",IF(H2699=0,"당해 수량 없음",""))))</f>
        <v/>
      </c>
      <c r="N2699" t="str">
        <f>IF($B2699="","",MATCH($B2699,'_calc'!$L$2:$L$3001,0))</f>
        <v/>
      </c>
    </row>
    <row r="2700">
      <c r="B2700" s="24" t="str">
        <f>IF(ROW()-ROW($B$8)&gt;nComp,"",ROW()-ROW($B$8))</f>
        <v/>
      </c>
      <c r="C2700" t="str">
        <f>IF($N2700="","",INDEX('_calc'!$A$2:$A$3001,$N2700))</f>
        <v/>
      </c>
      <c r="D2700" s="25" t="str">
        <f>IF($N2700="","",INDEX('_calc'!$C$2:$C$3001,$N2700))</f>
        <v/>
      </c>
      <c r="E2700" s="25" t="str">
        <f>IF($N2700="","",INDEX('_calc'!$D$2:$D$3001,$N2700))</f>
        <v/>
      </c>
      <c r="F2700" s="26" t="str">
        <f>IF($N2700="","",IF($E$8=0,"",E2700/$E$8))</f>
        <v/>
      </c>
      <c r="G2700" s="25" t="str">
        <f>IF($N2700="","",INDEX('_calc'!$E$2:$E$3001,$N2700))</f>
        <v/>
      </c>
      <c r="H2700" s="25" t="str">
        <f>IF($N2700="","",INDEX('_calc'!$F$2:$F$3001,$N2700))</f>
        <v/>
      </c>
      <c r="I2700" s="27" t="str">
        <f>IF($N2700="","",INDEX('_calc'!$H$2:$H$3001,$N2700))</f>
        <v/>
      </c>
      <c r="J2700" s="27" t="str">
        <f>IF($N2700="","",INDEX('_calc'!$I$2:$I$3001,$N2700))</f>
        <v/>
      </c>
      <c r="K2700" s="28" t="str">
        <f>IF($N2700="","",IF(OR(I2700="",J2700=""),"",J2700-I2700))</f>
        <v/>
      </c>
      <c r="L2700" s="29" t="str">
        <f>IF($N2700="","",INDEX('_calc'!$J$2:$J$3001,$N2700))</f>
        <v/>
      </c>
      <c r="M2700" s="2" t="str">
        <f>IF($N2700="","",IF(AND(G2700=0,H2700=0),"수량 없음",IF(G2700=0,"신규 (전년 수량 없음)",IF(H2700=0,"당해 수량 없음",""))))</f>
        <v/>
      </c>
      <c r="N2700" t="str">
        <f>IF($B2700="","",MATCH($B2700,'_calc'!$L$2:$L$3001,0))</f>
        <v/>
      </c>
    </row>
    <row r="2701">
      <c r="B2701" s="24" t="str">
        <f>IF(ROW()-ROW($B$8)&gt;nComp,"",ROW()-ROW($B$8))</f>
        <v/>
      </c>
      <c r="C2701" t="str">
        <f>IF($N2701="","",INDEX('_calc'!$A$2:$A$3001,$N2701))</f>
        <v/>
      </c>
      <c r="D2701" s="25" t="str">
        <f>IF($N2701="","",INDEX('_calc'!$C$2:$C$3001,$N2701))</f>
        <v/>
      </c>
      <c r="E2701" s="25" t="str">
        <f>IF($N2701="","",INDEX('_calc'!$D$2:$D$3001,$N2701))</f>
        <v/>
      </c>
      <c r="F2701" s="26" t="str">
        <f>IF($N2701="","",IF($E$8=0,"",E2701/$E$8))</f>
        <v/>
      </c>
      <c r="G2701" s="25" t="str">
        <f>IF($N2701="","",INDEX('_calc'!$E$2:$E$3001,$N2701))</f>
        <v/>
      </c>
      <c r="H2701" s="25" t="str">
        <f>IF($N2701="","",INDEX('_calc'!$F$2:$F$3001,$N2701))</f>
        <v/>
      </c>
      <c r="I2701" s="27" t="str">
        <f>IF($N2701="","",INDEX('_calc'!$H$2:$H$3001,$N2701))</f>
        <v/>
      </c>
      <c r="J2701" s="27" t="str">
        <f>IF($N2701="","",INDEX('_calc'!$I$2:$I$3001,$N2701))</f>
        <v/>
      </c>
      <c r="K2701" s="28" t="str">
        <f>IF($N2701="","",IF(OR(I2701="",J2701=""),"",J2701-I2701))</f>
        <v/>
      </c>
      <c r="L2701" s="29" t="str">
        <f>IF($N2701="","",INDEX('_calc'!$J$2:$J$3001,$N2701))</f>
        <v/>
      </c>
      <c r="M2701" s="2" t="str">
        <f>IF($N2701="","",IF(AND(G2701=0,H2701=0),"수량 없음",IF(G2701=0,"신규 (전년 수량 없음)",IF(H2701=0,"당해 수량 없음",""))))</f>
        <v/>
      </c>
      <c r="N2701" t="str">
        <f>IF($B2701="","",MATCH($B2701,'_calc'!$L$2:$L$3001,0))</f>
        <v/>
      </c>
    </row>
    <row r="2702">
      <c r="B2702" s="24" t="str">
        <f>IF(ROW()-ROW($B$8)&gt;nComp,"",ROW()-ROW($B$8))</f>
        <v/>
      </c>
      <c r="C2702" t="str">
        <f>IF($N2702="","",INDEX('_calc'!$A$2:$A$3001,$N2702))</f>
        <v/>
      </c>
      <c r="D2702" s="25" t="str">
        <f>IF($N2702="","",INDEX('_calc'!$C$2:$C$3001,$N2702))</f>
        <v/>
      </c>
      <c r="E2702" s="25" t="str">
        <f>IF($N2702="","",INDEX('_calc'!$D$2:$D$3001,$N2702))</f>
        <v/>
      </c>
      <c r="F2702" s="26" t="str">
        <f>IF($N2702="","",IF($E$8=0,"",E2702/$E$8))</f>
        <v/>
      </c>
      <c r="G2702" s="25" t="str">
        <f>IF($N2702="","",INDEX('_calc'!$E$2:$E$3001,$N2702))</f>
        <v/>
      </c>
      <c r="H2702" s="25" t="str">
        <f>IF($N2702="","",INDEX('_calc'!$F$2:$F$3001,$N2702))</f>
        <v/>
      </c>
      <c r="I2702" s="27" t="str">
        <f>IF($N2702="","",INDEX('_calc'!$H$2:$H$3001,$N2702))</f>
        <v/>
      </c>
      <c r="J2702" s="27" t="str">
        <f>IF($N2702="","",INDEX('_calc'!$I$2:$I$3001,$N2702))</f>
        <v/>
      </c>
      <c r="K2702" s="28" t="str">
        <f>IF($N2702="","",IF(OR(I2702="",J2702=""),"",J2702-I2702))</f>
        <v/>
      </c>
      <c r="L2702" s="29" t="str">
        <f>IF($N2702="","",INDEX('_calc'!$J$2:$J$3001,$N2702))</f>
        <v/>
      </c>
      <c r="M2702" s="2" t="str">
        <f>IF($N2702="","",IF(AND(G2702=0,H2702=0),"수량 없음",IF(G2702=0,"신규 (전년 수량 없음)",IF(H2702=0,"당해 수량 없음",""))))</f>
        <v/>
      </c>
      <c r="N2702" t="str">
        <f>IF($B2702="","",MATCH($B2702,'_calc'!$L$2:$L$3001,0))</f>
        <v/>
      </c>
    </row>
    <row r="2703">
      <c r="B2703" s="24" t="str">
        <f>IF(ROW()-ROW($B$8)&gt;nComp,"",ROW()-ROW($B$8))</f>
        <v/>
      </c>
      <c r="C2703" t="str">
        <f>IF($N2703="","",INDEX('_calc'!$A$2:$A$3001,$N2703))</f>
        <v/>
      </c>
      <c r="D2703" s="25" t="str">
        <f>IF($N2703="","",INDEX('_calc'!$C$2:$C$3001,$N2703))</f>
        <v/>
      </c>
      <c r="E2703" s="25" t="str">
        <f>IF($N2703="","",INDEX('_calc'!$D$2:$D$3001,$N2703))</f>
        <v/>
      </c>
      <c r="F2703" s="26" t="str">
        <f>IF($N2703="","",IF($E$8=0,"",E2703/$E$8))</f>
        <v/>
      </c>
      <c r="G2703" s="25" t="str">
        <f>IF($N2703="","",INDEX('_calc'!$E$2:$E$3001,$N2703))</f>
        <v/>
      </c>
      <c r="H2703" s="25" t="str">
        <f>IF($N2703="","",INDEX('_calc'!$F$2:$F$3001,$N2703))</f>
        <v/>
      </c>
      <c r="I2703" s="27" t="str">
        <f>IF($N2703="","",INDEX('_calc'!$H$2:$H$3001,$N2703))</f>
        <v/>
      </c>
      <c r="J2703" s="27" t="str">
        <f>IF($N2703="","",INDEX('_calc'!$I$2:$I$3001,$N2703))</f>
        <v/>
      </c>
      <c r="K2703" s="28" t="str">
        <f>IF($N2703="","",IF(OR(I2703="",J2703=""),"",J2703-I2703))</f>
        <v/>
      </c>
      <c r="L2703" s="29" t="str">
        <f>IF($N2703="","",INDEX('_calc'!$J$2:$J$3001,$N2703))</f>
        <v/>
      </c>
      <c r="M2703" s="2" t="str">
        <f>IF($N2703="","",IF(AND(G2703=0,H2703=0),"수량 없음",IF(G2703=0,"신규 (전년 수량 없음)",IF(H2703=0,"당해 수량 없음",""))))</f>
        <v/>
      </c>
      <c r="N2703" t="str">
        <f>IF($B2703="","",MATCH($B2703,'_calc'!$L$2:$L$3001,0))</f>
        <v/>
      </c>
    </row>
    <row r="2704">
      <c r="B2704" s="24" t="str">
        <f>IF(ROW()-ROW($B$8)&gt;nComp,"",ROW()-ROW($B$8))</f>
        <v/>
      </c>
      <c r="C2704" t="str">
        <f>IF($N2704="","",INDEX('_calc'!$A$2:$A$3001,$N2704))</f>
        <v/>
      </c>
      <c r="D2704" s="25" t="str">
        <f>IF($N2704="","",INDEX('_calc'!$C$2:$C$3001,$N2704))</f>
        <v/>
      </c>
      <c r="E2704" s="25" t="str">
        <f>IF($N2704="","",INDEX('_calc'!$D$2:$D$3001,$N2704))</f>
        <v/>
      </c>
      <c r="F2704" s="26" t="str">
        <f>IF($N2704="","",IF($E$8=0,"",E2704/$E$8))</f>
        <v/>
      </c>
      <c r="G2704" s="25" t="str">
        <f>IF($N2704="","",INDEX('_calc'!$E$2:$E$3001,$N2704))</f>
        <v/>
      </c>
      <c r="H2704" s="25" t="str">
        <f>IF($N2704="","",INDEX('_calc'!$F$2:$F$3001,$N2704))</f>
        <v/>
      </c>
      <c r="I2704" s="27" t="str">
        <f>IF($N2704="","",INDEX('_calc'!$H$2:$H$3001,$N2704))</f>
        <v/>
      </c>
      <c r="J2704" s="27" t="str">
        <f>IF($N2704="","",INDEX('_calc'!$I$2:$I$3001,$N2704))</f>
        <v/>
      </c>
      <c r="K2704" s="28" t="str">
        <f>IF($N2704="","",IF(OR(I2704="",J2704=""),"",J2704-I2704))</f>
        <v/>
      </c>
      <c r="L2704" s="29" t="str">
        <f>IF($N2704="","",INDEX('_calc'!$J$2:$J$3001,$N2704))</f>
        <v/>
      </c>
      <c r="M2704" s="2" t="str">
        <f>IF($N2704="","",IF(AND(G2704=0,H2704=0),"수량 없음",IF(G2704=0,"신규 (전년 수량 없음)",IF(H2704=0,"당해 수량 없음",""))))</f>
        <v/>
      </c>
      <c r="N2704" t="str">
        <f>IF($B2704="","",MATCH($B2704,'_calc'!$L$2:$L$3001,0))</f>
        <v/>
      </c>
    </row>
    <row r="2705">
      <c r="B2705" s="24" t="str">
        <f>IF(ROW()-ROW($B$8)&gt;nComp,"",ROW()-ROW($B$8))</f>
        <v/>
      </c>
      <c r="C2705" t="str">
        <f>IF($N2705="","",INDEX('_calc'!$A$2:$A$3001,$N2705))</f>
        <v/>
      </c>
      <c r="D2705" s="25" t="str">
        <f>IF($N2705="","",INDEX('_calc'!$C$2:$C$3001,$N2705))</f>
        <v/>
      </c>
      <c r="E2705" s="25" t="str">
        <f>IF($N2705="","",INDEX('_calc'!$D$2:$D$3001,$N2705))</f>
        <v/>
      </c>
      <c r="F2705" s="26" t="str">
        <f>IF($N2705="","",IF($E$8=0,"",E2705/$E$8))</f>
        <v/>
      </c>
      <c r="G2705" s="25" t="str">
        <f>IF($N2705="","",INDEX('_calc'!$E$2:$E$3001,$N2705))</f>
        <v/>
      </c>
      <c r="H2705" s="25" t="str">
        <f>IF($N2705="","",INDEX('_calc'!$F$2:$F$3001,$N2705))</f>
        <v/>
      </c>
      <c r="I2705" s="27" t="str">
        <f>IF($N2705="","",INDEX('_calc'!$H$2:$H$3001,$N2705))</f>
        <v/>
      </c>
      <c r="J2705" s="27" t="str">
        <f>IF($N2705="","",INDEX('_calc'!$I$2:$I$3001,$N2705))</f>
        <v/>
      </c>
      <c r="K2705" s="28" t="str">
        <f>IF($N2705="","",IF(OR(I2705="",J2705=""),"",J2705-I2705))</f>
        <v/>
      </c>
      <c r="L2705" s="29" t="str">
        <f>IF($N2705="","",INDEX('_calc'!$J$2:$J$3001,$N2705))</f>
        <v/>
      </c>
      <c r="M2705" s="2" t="str">
        <f>IF($N2705="","",IF(AND(G2705=0,H2705=0),"수량 없음",IF(G2705=0,"신규 (전년 수량 없음)",IF(H2705=0,"당해 수량 없음",""))))</f>
        <v/>
      </c>
      <c r="N2705" t="str">
        <f>IF($B2705="","",MATCH($B2705,'_calc'!$L$2:$L$3001,0))</f>
        <v/>
      </c>
    </row>
    <row r="2706">
      <c r="B2706" s="24" t="str">
        <f>IF(ROW()-ROW($B$8)&gt;nComp,"",ROW()-ROW($B$8))</f>
        <v/>
      </c>
      <c r="C2706" t="str">
        <f>IF($N2706="","",INDEX('_calc'!$A$2:$A$3001,$N2706))</f>
        <v/>
      </c>
      <c r="D2706" s="25" t="str">
        <f>IF($N2706="","",INDEX('_calc'!$C$2:$C$3001,$N2706))</f>
        <v/>
      </c>
      <c r="E2706" s="25" t="str">
        <f>IF($N2706="","",INDEX('_calc'!$D$2:$D$3001,$N2706))</f>
        <v/>
      </c>
      <c r="F2706" s="26" t="str">
        <f>IF($N2706="","",IF($E$8=0,"",E2706/$E$8))</f>
        <v/>
      </c>
      <c r="G2706" s="25" t="str">
        <f>IF($N2706="","",INDEX('_calc'!$E$2:$E$3001,$N2706))</f>
        <v/>
      </c>
      <c r="H2706" s="25" t="str">
        <f>IF($N2706="","",INDEX('_calc'!$F$2:$F$3001,$N2706))</f>
        <v/>
      </c>
      <c r="I2706" s="27" t="str">
        <f>IF($N2706="","",INDEX('_calc'!$H$2:$H$3001,$N2706))</f>
        <v/>
      </c>
      <c r="J2706" s="27" t="str">
        <f>IF($N2706="","",INDEX('_calc'!$I$2:$I$3001,$N2706))</f>
        <v/>
      </c>
      <c r="K2706" s="28" t="str">
        <f>IF($N2706="","",IF(OR(I2706="",J2706=""),"",J2706-I2706))</f>
        <v/>
      </c>
      <c r="L2706" s="29" t="str">
        <f>IF($N2706="","",INDEX('_calc'!$J$2:$J$3001,$N2706))</f>
        <v/>
      </c>
      <c r="M2706" s="2" t="str">
        <f>IF($N2706="","",IF(AND(G2706=0,H2706=0),"수량 없음",IF(G2706=0,"신규 (전년 수량 없음)",IF(H2706=0,"당해 수량 없음",""))))</f>
        <v/>
      </c>
      <c r="N2706" t="str">
        <f>IF($B2706="","",MATCH($B2706,'_calc'!$L$2:$L$3001,0))</f>
        <v/>
      </c>
    </row>
    <row r="2707">
      <c r="B2707" s="24" t="str">
        <f>IF(ROW()-ROW($B$8)&gt;nComp,"",ROW()-ROW($B$8))</f>
        <v/>
      </c>
      <c r="C2707" t="str">
        <f>IF($N2707="","",INDEX('_calc'!$A$2:$A$3001,$N2707))</f>
        <v/>
      </c>
      <c r="D2707" s="25" t="str">
        <f>IF($N2707="","",INDEX('_calc'!$C$2:$C$3001,$N2707))</f>
        <v/>
      </c>
      <c r="E2707" s="25" t="str">
        <f>IF($N2707="","",INDEX('_calc'!$D$2:$D$3001,$N2707))</f>
        <v/>
      </c>
      <c r="F2707" s="26" t="str">
        <f>IF($N2707="","",IF($E$8=0,"",E2707/$E$8))</f>
        <v/>
      </c>
      <c r="G2707" s="25" t="str">
        <f>IF($N2707="","",INDEX('_calc'!$E$2:$E$3001,$N2707))</f>
        <v/>
      </c>
      <c r="H2707" s="25" t="str">
        <f>IF($N2707="","",INDEX('_calc'!$F$2:$F$3001,$N2707))</f>
        <v/>
      </c>
      <c r="I2707" s="27" t="str">
        <f>IF($N2707="","",INDEX('_calc'!$H$2:$H$3001,$N2707))</f>
        <v/>
      </c>
      <c r="J2707" s="27" t="str">
        <f>IF($N2707="","",INDEX('_calc'!$I$2:$I$3001,$N2707))</f>
        <v/>
      </c>
      <c r="K2707" s="28" t="str">
        <f>IF($N2707="","",IF(OR(I2707="",J2707=""),"",J2707-I2707))</f>
        <v/>
      </c>
      <c r="L2707" s="29" t="str">
        <f>IF($N2707="","",INDEX('_calc'!$J$2:$J$3001,$N2707))</f>
        <v/>
      </c>
      <c r="M2707" s="2" t="str">
        <f>IF($N2707="","",IF(AND(G2707=0,H2707=0),"수량 없음",IF(G2707=0,"신규 (전년 수량 없음)",IF(H2707=0,"당해 수량 없음",""))))</f>
        <v/>
      </c>
      <c r="N2707" t="str">
        <f>IF($B2707="","",MATCH($B2707,'_calc'!$L$2:$L$3001,0))</f>
        <v/>
      </c>
    </row>
    <row r="2708">
      <c r="B2708" s="24" t="str">
        <f>IF(ROW()-ROW($B$8)&gt;nComp,"",ROW()-ROW($B$8))</f>
        <v/>
      </c>
      <c r="C2708" t="str">
        <f>IF($N2708="","",INDEX('_calc'!$A$2:$A$3001,$N2708))</f>
        <v/>
      </c>
      <c r="D2708" s="25" t="str">
        <f>IF($N2708="","",INDEX('_calc'!$C$2:$C$3001,$N2708))</f>
        <v/>
      </c>
      <c r="E2708" s="25" t="str">
        <f>IF($N2708="","",INDEX('_calc'!$D$2:$D$3001,$N2708))</f>
        <v/>
      </c>
      <c r="F2708" s="26" t="str">
        <f>IF($N2708="","",IF($E$8=0,"",E2708/$E$8))</f>
        <v/>
      </c>
      <c r="G2708" s="25" t="str">
        <f>IF($N2708="","",INDEX('_calc'!$E$2:$E$3001,$N2708))</f>
        <v/>
      </c>
      <c r="H2708" s="25" t="str">
        <f>IF($N2708="","",INDEX('_calc'!$F$2:$F$3001,$N2708))</f>
        <v/>
      </c>
      <c r="I2708" s="27" t="str">
        <f>IF($N2708="","",INDEX('_calc'!$H$2:$H$3001,$N2708))</f>
        <v/>
      </c>
      <c r="J2708" s="27" t="str">
        <f>IF($N2708="","",INDEX('_calc'!$I$2:$I$3001,$N2708))</f>
        <v/>
      </c>
      <c r="K2708" s="28" t="str">
        <f>IF($N2708="","",IF(OR(I2708="",J2708=""),"",J2708-I2708))</f>
        <v/>
      </c>
      <c r="L2708" s="29" t="str">
        <f>IF($N2708="","",INDEX('_calc'!$J$2:$J$3001,$N2708))</f>
        <v/>
      </c>
      <c r="M2708" s="2" t="str">
        <f>IF($N2708="","",IF(AND(G2708=0,H2708=0),"수량 없음",IF(G2708=0,"신규 (전년 수량 없음)",IF(H2708=0,"당해 수량 없음",""))))</f>
        <v/>
      </c>
      <c r="N2708" t="str">
        <f>IF($B2708="","",MATCH($B2708,'_calc'!$L$2:$L$3001,0))</f>
        <v/>
      </c>
    </row>
    <row r="2709">
      <c r="B2709" s="24" t="str">
        <f>IF(ROW()-ROW($B$8)&gt;nComp,"",ROW()-ROW($B$8))</f>
        <v/>
      </c>
      <c r="C2709" t="str">
        <f>IF($N2709="","",INDEX('_calc'!$A$2:$A$3001,$N2709))</f>
        <v/>
      </c>
      <c r="D2709" s="25" t="str">
        <f>IF($N2709="","",INDEX('_calc'!$C$2:$C$3001,$N2709))</f>
        <v/>
      </c>
      <c r="E2709" s="25" t="str">
        <f>IF($N2709="","",INDEX('_calc'!$D$2:$D$3001,$N2709))</f>
        <v/>
      </c>
      <c r="F2709" s="26" t="str">
        <f>IF($N2709="","",IF($E$8=0,"",E2709/$E$8))</f>
        <v/>
      </c>
      <c r="G2709" s="25" t="str">
        <f>IF($N2709="","",INDEX('_calc'!$E$2:$E$3001,$N2709))</f>
        <v/>
      </c>
      <c r="H2709" s="25" t="str">
        <f>IF($N2709="","",INDEX('_calc'!$F$2:$F$3001,$N2709))</f>
        <v/>
      </c>
      <c r="I2709" s="27" t="str">
        <f>IF($N2709="","",INDEX('_calc'!$H$2:$H$3001,$N2709))</f>
        <v/>
      </c>
      <c r="J2709" s="27" t="str">
        <f>IF($N2709="","",INDEX('_calc'!$I$2:$I$3001,$N2709))</f>
        <v/>
      </c>
      <c r="K2709" s="28" t="str">
        <f>IF($N2709="","",IF(OR(I2709="",J2709=""),"",J2709-I2709))</f>
        <v/>
      </c>
      <c r="L2709" s="29" t="str">
        <f>IF($N2709="","",INDEX('_calc'!$J$2:$J$3001,$N2709))</f>
        <v/>
      </c>
      <c r="M2709" s="2" t="str">
        <f>IF($N2709="","",IF(AND(G2709=0,H2709=0),"수량 없음",IF(G2709=0,"신규 (전년 수량 없음)",IF(H2709=0,"당해 수량 없음",""))))</f>
        <v/>
      </c>
      <c r="N2709" t="str">
        <f>IF($B2709="","",MATCH($B2709,'_calc'!$L$2:$L$3001,0))</f>
        <v/>
      </c>
    </row>
    <row r="2710">
      <c r="B2710" s="24" t="str">
        <f>IF(ROW()-ROW($B$8)&gt;nComp,"",ROW()-ROW($B$8))</f>
        <v/>
      </c>
      <c r="C2710" t="str">
        <f>IF($N2710="","",INDEX('_calc'!$A$2:$A$3001,$N2710))</f>
        <v/>
      </c>
      <c r="D2710" s="25" t="str">
        <f>IF($N2710="","",INDEX('_calc'!$C$2:$C$3001,$N2710))</f>
        <v/>
      </c>
      <c r="E2710" s="25" t="str">
        <f>IF($N2710="","",INDEX('_calc'!$D$2:$D$3001,$N2710))</f>
        <v/>
      </c>
      <c r="F2710" s="26" t="str">
        <f>IF($N2710="","",IF($E$8=0,"",E2710/$E$8))</f>
        <v/>
      </c>
      <c r="G2710" s="25" t="str">
        <f>IF($N2710="","",INDEX('_calc'!$E$2:$E$3001,$N2710))</f>
        <v/>
      </c>
      <c r="H2710" s="25" t="str">
        <f>IF($N2710="","",INDEX('_calc'!$F$2:$F$3001,$N2710))</f>
        <v/>
      </c>
      <c r="I2710" s="27" t="str">
        <f>IF($N2710="","",INDEX('_calc'!$H$2:$H$3001,$N2710))</f>
        <v/>
      </c>
      <c r="J2710" s="27" t="str">
        <f>IF($N2710="","",INDEX('_calc'!$I$2:$I$3001,$N2710))</f>
        <v/>
      </c>
      <c r="K2710" s="28" t="str">
        <f>IF($N2710="","",IF(OR(I2710="",J2710=""),"",J2710-I2710))</f>
        <v/>
      </c>
      <c r="L2710" s="29" t="str">
        <f>IF($N2710="","",INDEX('_calc'!$J$2:$J$3001,$N2710))</f>
        <v/>
      </c>
      <c r="M2710" s="2" t="str">
        <f>IF($N2710="","",IF(AND(G2710=0,H2710=0),"수량 없음",IF(G2710=0,"신규 (전년 수량 없음)",IF(H2710=0,"당해 수량 없음",""))))</f>
        <v/>
      </c>
      <c r="N2710" t="str">
        <f>IF($B2710="","",MATCH($B2710,'_calc'!$L$2:$L$3001,0))</f>
        <v/>
      </c>
    </row>
    <row r="2711">
      <c r="B2711" s="24" t="str">
        <f>IF(ROW()-ROW($B$8)&gt;nComp,"",ROW()-ROW($B$8))</f>
        <v/>
      </c>
      <c r="C2711" t="str">
        <f>IF($N2711="","",INDEX('_calc'!$A$2:$A$3001,$N2711))</f>
        <v/>
      </c>
      <c r="D2711" s="25" t="str">
        <f>IF($N2711="","",INDEX('_calc'!$C$2:$C$3001,$N2711))</f>
        <v/>
      </c>
      <c r="E2711" s="25" t="str">
        <f>IF($N2711="","",INDEX('_calc'!$D$2:$D$3001,$N2711))</f>
        <v/>
      </c>
      <c r="F2711" s="26" t="str">
        <f>IF($N2711="","",IF($E$8=0,"",E2711/$E$8))</f>
        <v/>
      </c>
      <c r="G2711" s="25" t="str">
        <f>IF($N2711="","",INDEX('_calc'!$E$2:$E$3001,$N2711))</f>
        <v/>
      </c>
      <c r="H2711" s="25" t="str">
        <f>IF($N2711="","",INDEX('_calc'!$F$2:$F$3001,$N2711))</f>
        <v/>
      </c>
      <c r="I2711" s="27" t="str">
        <f>IF($N2711="","",INDEX('_calc'!$H$2:$H$3001,$N2711))</f>
        <v/>
      </c>
      <c r="J2711" s="27" t="str">
        <f>IF($N2711="","",INDEX('_calc'!$I$2:$I$3001,$N2711))</f>
        <v/>
      </c>
      <c r="K2711" s="28" t="str">
        <f>IF($N2711="","",IF(OR(I2711="",J2711=""),"",J2711-I2711))</f>
        <v/>
      </c>
      <c r="L2711" s="29" t="str">
        <f>IF($N2711="","",INDEX('_calc'!$J$2:$J$3001,$N2711))</f>
        <v/>
      </c>
      <c r="M2711" s="2" t="str">
        <f>IF($N2711="","",IF(AND(G2711=0,H2711=0),"수량 없음",IF(G2711=0,"신규 (전년 수량 없음)",IF(H2711=0,"당해 수량 없음",""))))</f>
        <v/>
      </c>
      <c r="N2711" t="str">
        <f>IF($B2711="","",MATCH($B2711,'_calc'!$L$2:$L$3001,0))</f>
        <v/>
      </c>
    </row>
    <row r="2712">
      <c r="B2712" s="24" t="str">
        <f>IF(ROW()-ROW($B$8)&gt;nComp,"",ROW()-ROW($B$8))</f>
        <v/>
      </c>
      <c r="C2712" t="str">
        <f>IF($N2712="","",INDEX('_calc'!$A$2:$A$3001,$N2712))</f>
        <v/>
      </c>
      <c r="D2712" s="25" t="str">
        <f>IF($N2712="","",INDEX('_calc'!$C$2:$C$3001,$N2712))</f>
        <v/>
      </c>
      <c r="E2712" s="25" t="str">
        <f>IF($N2712="","",INDEX('_calc'!$D$2:$D$3001,$N2712))</f>
        <v/>
      </c>
      <c r="F2712" s="26" t="str">
        <f>IF($N2712="","",IF($E$8=0,"",E2712/$E$8))</f>
        <v/>
      </c>
      <c r="G2712" s="25" t="str">
        <f>IF($N2712="","",INDEX('_calc'!$E$2:$E$3001,$N2712))</f>
        <v/>
      </c>
      <c r="H2712" s="25" t="str">
        <f>IF($N2712="","",INDEX('_calc'!$F$2:$F$3001,$N2712))</f>
        <v/>
      </c>
      <c r="I2712" s="27" t="str">
        <f>IF($N2712="","",INDEX('_calc'!$H$2:$H$3001,$N2712))</f>
        <v/>
      </c>
      <c r="J2712" s="27" t="str">
        <f>IF($N2712="","",INDEX('_calc'!$I$2:$I$3001,$N2712))</f>
        <v/>
      </c>
      <c r="K2712" s="28" t="str">
        <f>IF($N2712="","",IF(OR(I2712="",J2712=""),"",J2712-I2712))</f>
        <v/>
      </c>
      <c r="L2712" s="29" t="str">
        <f>IF($N2712="","",INDEX('_calc'!$J$2:$J$3001,$N2712))</f>
        <v/>
      </c>
      <c r="M2712" s="2" t="str">
        <f>IF($N2712="","",IF(AND(G2712=0,H2712=0),"수량 없음",IF(G2712=0,"신규 (전년 수량 없음)",IF(H2712=0,"당해 수량 없음",""))))</f>
        <v/>
      </c>
      <c r="N2712" t="str">
        <f>IF($B2712="","",MATCH($B2712,'_calc'!$L$2:$L$3001,0))</f>
        <v/>
      </c>
    </row>
    <row r="2713">
      <c r="B2713" s="24" t="str">
        <f>IF(ROW()-ROW($B$8)&gt;nComp,"",ROW()-ROW($B$8))</f>
        <v/>
      </c>
      <c r="C2713" t="str">
        <f>IF($N2713="","",INDEX('_calc'!$A$2:$A$3001,$N2713))</f>
        <v/>
      </c>
      <c r="D2713" s="25" t="str">
        <f>IF($N2713="","",INDEX('_calc'!$C$2:$C$3001,$N2713))</f>
        <v/>
      </c>
      <c r="E2713" s="25" t="str">
        <f>IF($N2713="","",INDEX('_calc'!$D$2:$D$3001,$N2713))</f>
        <v/>
      </c>
      <c r="F2713" s="26" t="str">
        <f>IF($N2713="","",IF($E$8=0,"",E2713/$E$8))</f>
        <v/>
      </c>
      <c r="G2713" s="25" t="str">
        <f>IF($N2713="","",INDEX('_calc'!$E$2:$E$3001,$N2713))</f>
        <v/>
      </c>
      <c r="H2713" s="25" t="str">
        <f>IF($N2713="","",INDEX('_calc'!$F$2:$F$3001,$N2713))</f>
        <v/>
      </c>
      <c r="I2713" s="27" t="str">
        <f>IF($N2713="","",INDEX('_calc'!$H$2:$H$3001,$N2713))</f>
        <v/>
      </c>
      <c r="J2713" s="27" t="str">
        <f>IF($N2713="","",INDEX('_calc'!$I$2:$I$3001,$N2713))</f>
        <v/>
      </c>
      <c r="K2713" s="28" t="str">
        <f>IF($N2713="","",IF(OR(I2713="",J2713=""),"",J2713-I2713))</f>
        <v/>
      </c>
      <c r="L2713" s="29" t="str">
        <f>IF($N2713="","",INDEX('_calc'!$J$2:$J$3001,$N2713))</f>
        <v/>
      </c>
      <c r="M2713" s="2" t="str">
        <f>IF($N2713="","",IF(AND(G2713=0,H2713=0),"수량 없음",IF(G2713=0,"신규 (전년 수량 없음)",IF(H2713=0,"당해 수량 없음",""))))</f>
        <v/>
      </c>
      <c r="N2713" t="str">
        <f>IF($B2713="","",MATCH($B2713,'_calc'!$L$2:$L$3001,0))</f>
        <v/>
      </c>
    </row>
    <row r="2714">
      <c r="B2714" s="24" t="str">
        <f>IF(ROW()-ROW($B$8)&gt;nComp,"",ROW()-ROW($B$8))</f>
        <v/>
      </c>
      <c r="C2714" t="str">
        <f>IF($N2714="","",INDEX('_calc'!$A$2:$A$3001,$N2714))</f>
        <v/>
      </c>
      <c r="D2714" s="25" t="str">
        <f>IF($N2714="","",INDEX('_calc'!$C$2:$C$3001,$N2714))</f>
        <v/>
      </c>
      <c r="E2714" s="25" t="str">
        <f>IF($N2714="","",INDEX('_calc'!$D$2:$D$3001,$N2714))</f>
        <v/>
      </c>
      <c r="F2714" s="26" t="str">
        <f>IF($N2714="","",IF($E$8=0,"",E2714/$E$8))</f>
        <v/>
      </c>
      <c r="G2714" s="25" t="str">
        <f>IF($N2714="","",INDEX('_calc'!$E$2:$E$3001,$N2714))</f>
        <v/>
      </c>
      <c r="H2714" s="25" t="str">
        <f>IF($N2714="","",INDEX('_calc'!$F$2:$F$3001,$N2714))</f>
        <v/>
      </c>
      <c r="I2714" s="27" t="str">
        <f>IF($N2714="","",INDEX('_calc'!$H$2:$H$3001,$N2714))</f>
        <v/>
      </c>
      <c r="J2714" s="27" t="str">
        <f>IF($N2714="","",INDEX('_calc'!$I$2:$I$3001,$N2714))</f>
        <v/>
      </c>
      <c r="K2714" s="28" t="str">
        <f>IF($N2714="","",IF(OR(I2714="",J2714=""),"",J2714-I2714))</f>
        <v/>
      </c>
      <c r="L2714" s="29" t="str">
        <f>IF($N2714="","",INDEX('_calc'!$J$2:$J$3001,$N2714))</f>
        <v/>
      </c>
      <c r="M2714" s="2" t="str">
        <f>IF($N2714="","",IF(AND(G2714=0,H2714=0),"수량 없음",IF(G2714=0,"신규 (전년 수량 없음)",IF(H2714=0,"당해 수량 없음",""))))</f>
        <v/>
      </c>
      <c r="N2714" t="str">
        <f>IF($B2714="","",MATCH($B2714,'_calc'!$L$2:$L$3001,0))</f>
        <v/>
      </c>
    </row>
    <row r="2715">
      <c r="B2715" s="24" t="str">
        <f>IF(ROW()-ROW($B$8)&gt;nComp,"",ROW()-ROW($B$8))</f>
        <v/>
      </c>
      <c r="C2715" t="str">
        <f>IF($N2715="","",INDEX('_calc'!$A$2:$A$3001,$N2715))</f>
        <v/>
      </c>
      <c r="D2715" s="25" t="str">
        <f>IF($N2715="","",INDEX('_calc'!$C$2:$C$3001,$N2715))</f>
        <v/>
      </c>
      <c r="E2715" s="25" t="str">
        <f>IF($N2715="","",INDEX('_calc'!$D$2:$D$3001,$N2715))</f>
        <v/>
      </c>
      <c r="F2715" s="26" t="str">
        <f>IF($N2715="","",IF($E$8=0,"",E2715/$E$8))</f>
        <v/>
      </c>
      <c r="G2715" s="25" t="str">
        <f>IF($N2715="","",INDEX('_calc'!$E$2:$E$3001,$N2715))</f>
        <v/>
      </c>
      <c r="H2715" s="25" t="str">
        <f>IF($N2715="","",INDEX('_calc'!$F$2:$F$3001,$N2715))</f>
        <v/>
      </c>
      <c r="I2715" s="27" t="str">
        <f>IF($N2715="","",INDEX('_calc'!$H$2:$H$3001,$N2715))</f>
        <v/>
      </c>
      <c r="J2715" s="27" t="str">
        <f>IF($N2715="","",INDEX('_calc'!$I$2:$I$3001,$N2715))</f>
        <v/>
      </c>
      <c r="K2715" s="28" t="str">
        <f>IF($N2715="","",IF(OR(I2715="",J2715=""),"",J2715-I2715))</f>
        <v/>
      </c>
      <c r="L2715" s="29" t="str">
        <f>IF($N2715="","",INDEX('_calc'!$J$2:$J$3001,$N2715))</f>
        <v/>
      </c>
      <c r="M2715" s="2" t="str">
        <f>IF($N2715="","",IF(AND(G2715=0,H2715=0),"수량 없음",IF(G2715=0,"신규 (전년 수량 없음)",IF(H2715=0,"당해 수량 없음",""))))</f>
        <v/>
      </c>
      <c r="N2715" t="str">
        <f>IF($B2715="","",MATCH($B2715,'_calc'!$L$2:$L$3001,0))</f>
        <v/>
      </c>
    </row>
    <row r="2716">
      <c r="B2716" s="24" t="str">
        <f>IF(ROW()-ROW($B$8)&gt;nComp,"",ROW()-ROW($B$8))</f>
        <v/>
      </c>
      <c r="C2716" t="str">
        <f>IF($N2716="","",INDEX('_calc'!$A$2:$A$3001,$N2716))</f>
        <v/>
      </c>
      <c r="D2716" s="25" t="str">
        <f>IF($N2716="","",INDEX('_calc'!$C$2:$C$3001,$N2716))</f>
        <v/>
      </c>
      <c r="E2716" s="25" t="str">
        <f>IF($N2716="","",INDEX('_calc'!$D$2:$D$3001,$N2716))</f>
        <v/>
      </c>
      <c r="F2716" s="26" t="str">
        <f>IF($N2716="","",IF($E$8=0,"",E2716/$E$8))</f>
        <v/>
      </c>
      <c r="G2716" s="25" t="str">
        <f>IF($N2716="","",INDEX('_calc'!$E$2:$E$3001,$N2716))</f>
        <v/>
      </c>
      <c r="H2716" s="25" t="str">
        <f>IF($N2716="","",INDEX('_calc'!$F$2:$F$3001,$N2716))</f>
        <v/>
      </c>
      <c r="I2716" s="27" t="str">
        <f>IF($N2716="","",INDEX('_calc'!$H$2:$H$3001,$N2716))</f>
        <v/>
      </c>
      <c r="J2716" s="27" t="str">
        <f>IF($N2716="","",INDEX('_calc'!$I$2:$I$3001,$N2716))</f>
        <v/>
      </c>
      <c r="K2716" s="28" t="str">
        <f>IF($N2716="","",IF(OR(I2716="",J2716=""),"",J2716-I2716))</f>
        <v/>
      </c>
      <c r="L2716" s="29" t="str">
        <f>IF($N2716="","",INDEX('_calc'!$J$2:$J$3001,$N2716))</f>
        <v/>
      </c>
      <c r="M2716" s="2" t="str">
        <f>IF($N2716="","",IF(AND(G2716=0,H2716=0),"수량 없음",IF(G2716=0,"신규 (전년 수량 없음)",IF(H2716=0,"당해 수량 없음",""))))</f>
        <v/>
      </c>
      <c r="N2716" t="str">
        <f>IF($B2716="","",MATCH($B2716,'_calc'!$L$2:$L$3001,0))</f>
        <v/>
      </c>
    </row>
    <row r="2717">
      <c r="B2717" s="24" t="str">
        <f>IF(ROW()-ROW($B$8)&gt;nComp,"",ROW()-ROW($B$8))</f>
        <v/>
      </c>
      <c r="C2717" t="str">
        <f>IF($N2717="","",INDEX('_calc'!$A$2:$A$3001,$N2717))</f>
        <v/>
      </c>
      <c r="D2717" s="25" t="str">
        <f>IF($N2717="","",INDEX('_calc'!$C$2:$C$3001,$N2717))</f>
        <v/>
      </c>
      <c r="E2717" s="25" t="str">
        <f>IF($N2717="","",INDEX('_calc'!$D$2:$D$3001,$N2717))</f>
        <v/>
      </c>
      <c r="F2717" s="26" t="str">
        <f>IF($N2717="","",IF($E$8=0,"",E2717/$E$8))</f>
        <v/>
      </c>
      <c r="G2717" s="25" t="str">
        <f>IF($N2717="","",INDEX('_calc'!$E$2:$E$3001,$N2717))</f>
        <v/>
      </c>
      <c r="H2717" s="25" t="str">
        <f>IF($N2717="","",INDEX('_calc'!$F$2:$F$3001,$N2717))</f>
        <v/>
      </c>
      <c r="I2717" s="27" t="str">
        <f>IF($N2717="","",INDEX('_calc'!$H$2:$H$3001,$N2717))</f>
        <v/>
      </c>
      <c r="J2717" s="27" t="str">
        <f>IF($N2717="","",INDEX('_calc'!$I$2:$I$3001,$N2717))</f>
        <v/>
      </c>
      <c r="K2717" s="28" t="str">
        <f>IF($N2717="","",IF(OR(I2717="",J2717=""),"",J2717-I2717))</f>
        <v/>
      </c>
      <c r="L2717" s="29" t="str">
        <f>IF($N2717="","",INDEX('_calc'!$J$2:$J$3001,$N2717))</f>
        <v/>
      </c>
      <c r="M2717" s="2" t="str">
        <f>IF($N2717="","",IF(AND(G2717=0,H2717=0),"수량 없음",IF(G2717=0,"신규 (전년 수량 없음)",IF(H2717=0,"당해 수량 없음",""))))</f>
        <v/>
      </c>
      <c r="N2717" t="str">
        <f>IF($B2717="","",MATCH($B2717,'_calc'!$L$2:$L$3001,0))</f>
        <v/>
      </c>
    </row>
    <row r="2718">
      <c r="B2718" s="24" t="str">
        <f>IF(ROW()-ROW($B$8)&gt;nComp,"",ROW()-ROW($B$8))</f>
        <v/>
      </c>
      <c r="C2718" t="str">
        <f>IF($N2718="","",INDEX('_calc'!$A$2:$A$3001,$N2718))</f>
        <v/>
      </c>
      <c r="D2718" s="25" t="str">
        <f>IF($N2718="","",INDEX('_calc'!$C$2:$C$3001,$N2718))</f>
        <v/>
      </c>
      <c r="E2718" s="25" t="str">
        <f>IF($N2718="","",INDEX('_calc'!$D$2:$D$3001,$N2718))</f>
        <v/>
      </c>
      <c r="F2718" s="26" t="str">
        <f>IF($N2718="","",IF($E$8=0,"",E2718/$E$8))</f>
        <v/>
      </c>
      <c r="G2718" s="25" t="str">
        <f>IF($N2718="","",INDEX('_calc'!$E$2:$E$3001,$N2718))</f>
        <v/>
      </c>
      <c r="H2718" s="25" t="str">
        <f>IF($N2718="","",INDEX('_calc'!$F$2:$F$3001,$N2718))</f>
        <v/>
      </c>
      <c r="I2718" s="27" t="str">
        <f>IF($N2718="","",INDEX('_calc'!$H$2:$H$3001,$N2718))</f>
        <v/>
      </c>
      <c r="J2718" s="27" t="str">
        <f>IF($N2718="","",INDEX('_calc'!$I$2:$I$3001,$N2718))</f>
        <v/>
      </c>
      <c r="K2718" s="28" t="str">
        <f>IF($N2718="","",IF(OR(I2718="",J2718=""),"",J2718-I2718))</f>
        <v/>
      </c>
      <c r="L2718" s="29" t="str">
        <f>IF($N2718="","",INDEX('_calc'!$J$2:$J$3001,$N2718))</f>
        <v/>
      </c>
      <c r="M2718" s="2" t="str">
        <f>IF($N2718="","",IF(AND(G2718=0,H2718=0),"수량 없음",IF(G2718=0,"신규 (전년 수량 없음)",IF(H2718=0,"당해 수량 없음",""))))</f>
        <v/>
      </c>
      <c r="N2718" t="str">
        <f>IF($B2718="","",MATCH($B2718,'_calc'!$L$2:$L$3001,0))</f>
        <v/>
      </c>
    </row>
    <row r="2719">
      <c r="B2719" s="24" t="str">
        <f>IF(ROW()-ROW($B$8)&gt;nComp,"",ROW()-ROW($B$8))</f>
        <v/>
      </c>
      <c r="C2719" t="str">
        <f>IF($N2719="","",INDEX('_calc'!$A$2:$A$3001,$N2719))</f>
        <v/>
      </c>
      <c r="D2719" s="25" t="str">
        <f>IF($N2719="","",INDEX('_calc'!$C$2:$C$3001,$N2719))</f>
        <v/>
      </c>
      <c r="E2719" s="25" t="str">
        <f>IF($N2719="","",INDEX('_calc'!$D$2:$D$3001,$N2719))</f>
        <v/>
      </c>
      <c r="F2719" s="26" t="str">
        <f>IF($N2719="","",IF($E$8=0,"",E2719/$E$8))</f>
        <v/>
      </c>
      <c r="G2719" s="25" t="str">
        <f>IF($N2719="","",INDEX('_calc'!$E$2:$E$3001,$N2719))</f>
        <v/>
      </c>
      <c r="H2719" s="25" t="str">
        <f>IF($N2719="","",INDEX('_calc'!$F$2:$F$3001,$N2719))</f>
        <v/>
      </c>
      <c r="I2719" s="27" t="str">
        <f>IF($N2719="","",INDEX('_calc'!$H$2:$H$3001,$N2719))</f>
        <v/>
      </c>
      <c r="J2719" s="27" t="str">
        <f>IF($N2719="","",INDEX('_calc'!$I$2:$I$3001,$N2719))</f>
        <v/>
      </c>
      <c r="K2719" s="28" t="str">
        <f>IF($N2719="","",IF(OR(I2719="",J2719=""),"",J2719-I2719))</f>
        <v/>
      </c>
      <c r="L2719" s="29" t="str">
        <f>IF($N2719="","",INDEX('_calc'!$J$2:$J$3001,$N2719))</f>
        <v/>
      </c>
      <c r="M2719" s="2" t="str">
        <f>IF($N2719="","",IF(AND(G2719=0,H2719=0),"수량 없음",IF(G2719=0,"신규 (전년 수량 없음)",IF(H2719=0,"당해 수량 없음",""))))</f>
        <v/>
      </c>
      <c r="N2719" t="str">
        <f>IF($B2719="","",MATCH($B2719,'_calc'!$L$2:$L$3001,0))</f>
        <v/>
      </c>
    </row>
    <row r="2720">
      <c r="B2720" s="24" t="str">
        <f>IF(ROW()-ROW($B$8)&gt;nComp,"",ROW()-ROW($B$8))</f>
        <v/>
      </c>
      <c r="C2720" t="str">
        <f>IF($N2720="","",INDEX('_calc'!$A$2:$A$3001,$N2720))</f>
        <v/>
      </c>
      <c r="D2720" s="25" t="str">
        <f>IF($N2720="","",INDEX('_calc'!$C$2:$C$3001,$N2720))</f>
        <v/>
      </c>
      <c r="E2720" s="25" t="str">
        <f>IF($N2720="","",INDEX('_calc'!$D$2:$D$3001,$N2720))</f>
        <v/>
      </c>
      <c r="F2720" s="26" t="str">
        <f>IF($N2720="","",IF($E$8=0,"",E2720/$E$8))</f>
        <v/>
      </c>
      <c r="G2720" s="25" t="str">
        <f>IF($N2720="","",INDEX('_calc'!$E$2:$E$3001,$N2720))</f>
        <v/>
      </c>
      <c r="H2720" s="25" t="str">
        <f>IF($N2720="","",INDEX('_calc'!$F$2:$F$3001,$N2720))</f>
        <v/>
      </c>
      <c r="I2720" s="27" t="str">
        <f>IF($N2720="","",INDEX('_calc'!$H$2:$H$3001,$N2720))</f>
        <v/>
      </c>
      <c r="J2720" s="27" t="str">
        <f>IF($N2720="","",INDEX('_calc'!$I$2:$I$3001,$N2720))</f>
        <v/>
      </c>
      <c r="K2720" s="28" t="str">
        <f>IF($N2720="","",IF(OR(I2720="",J2720=""),"",J2720-I2720))</f>
        <v/>
      </c>
      <c r="L2720" s="29" t="str">
        <f>IF($N2720="","",INDEX('_calc'!$J$2:$J$3001,$N2720))</f>
        <v/>
      </c>
      <c r="M2720" s="2" t="str">
        <f>IF($N2720="","",IF(AND(G2720=0,H2720=0),"수량 없음",IF(G2720=0,"신규 (전년 수량 없음)",IF(H2720=0,"당해 수량 없음",""))))</f>
        <v/>
      </c>
      <c r="N2720" t="str">
        <f>IF($B2720="","",MATCH($B2720,'_calc'!$L$2:$L$3001,0))</f>
        <v/>
      </c>
    </row>
    <row r="2721">
      <c r="B2721" s="24" t="str">
        <f>IF(ROW()-ROW($B$8)&gt;nComp,"",ROW()-ROW($B$8))</f>
        <v/>
      </c>
      <c r="C2721" t="str">
        <f>IF($N2721="","",INDEX('_calc'!$A$2:$A$3001,$N2721))</f>
        <v/>
      </c>
      <c r="D2721" s="25" t="str">
        <f>IF($N2721="","",INDEX('_calc'!$C$2:$C$3001,$N2721))</f>
        <v/>
      </c>
      <c r="E2721" s="25" t="str">
        <f>IF($N2721="","",INDEX('_calc'!$D$2:$D$3001,$N2721))</f>
        <v/>
      </c>
      <c r="F2721" s="26" t="str">
        <f>IF($N2721="","",IF($E$8=0,"",E2721/$E$8))</f>
        <v/>
      </c>
      <c r="G2721" s="25" t="str">
        <f>IF($N2721="","",INDEX('_calc'!$E$2:$E$3001,$N2721))</f>
        <v/>
      </c>
      <c r="H2721" s="25" t="str">
        <f>IF($N2721="","",INDEX('_calc'!$F$2:$F$3001,$N2721))</f>
        <v/>
      </c>
      <c r="I2721" s="27" t="str">
        <f>IF($N2721="","",INDEX('_calc'!$H$2:$H$3001,$N2721))</f>
        <v/>
      </c>
      <c r="J2721" s="27" t="str">
        <f>IF($N2721="","",INDEX('_calc'!$I$2:$I$3001,$N2721))</f>
        <v/>
      </c>
      <c r="K2721" s="28" t="str">
        <f>IF($N2721="","",IF(OR(I2721="",J2721=""),"",J2721-I2721))</f>
        <v/>
      </c>
      <c r="L2721" s="29" t="str">
        <f>IF($N2721="","",INDEX('_calc'!$J$2:$J$3001,$N2721))</f>
        <v/>
      </c>
      <c r="M2721" s="2" t="str">
        <f>IF($N2721="","",IF(AND(G2721=0,H2721=0),"수량 없음",IF(G2721=0,"신규 (전년 수량 없음)",IF(H2721=0,"당해 수량 없음",""))))</f>
        <v/>
      </c>
      <c r="N2721" t="str">
        <f>IF($B2721="","",MATCH($B2721,'_calc'!$L$2:$L$3001,0))</f>
        <v/>
      </c>
    </row>
    <row r="2722">
      <c r="B2722" s="24" t="str">
        <f>IF(ROW()-ROW($B$8)&gt;nComp,"",ROW()-ROW($B$8))</f>
        <v/>
      </c>
      <c r="C2722" t="str">
        <f>IF($N2722="","",INDEX('_calc'!$A$2:$A$3001,$N2722))</f>
        <v/>
      </c>
      <c r="D2722" s="25" t="str">
        <f>IF($N2722="","",INDEX('_calc'!$C$2:$C$3001,$N2722))</f>
        <v/>
      </c>
      <c r="E2722" s="25" t="str">
        <f>IF($N2722="","",INDEX('_calc'!$D$2:$D$3001,$N2722))</f>
        <v/>
      </c>
      <c r="F2722" s="26" t="str">
        <f>IF($N2722="","",IF($E$8=0,"",E2722/$E$8))</f>
        <v/>
      </c>
      <c r="G2722" s="25" t="str">
        <f>IF($N2722="","",INDEX('_calc'!$E$2:$E$3001,$N2722))</f>
        <v/>
      </c>
      <c r="H2722" s="25" t="str">
        <f>IF($N2722="","",INDEX('_calc'!$F$2:$F$3001,$N2722))</f>
        <v/>
      </c>
      <c r="I2722" s="27" t="str">
        <f>IF($N2722="","",INDEX('_calc'!$H$2:$H$3001,$N2722))</f>
        <v/>
      </c>
      <c r="J2722" s="27" t="str">
        <f>IF($N2722="","",INDEX('_calc'!$I$2:$I$3001,$N2722))</f>
        <v/>
      </c>
      <c r="K2722" s="28" t="str">
        <f>IF($N2722="","",IF(OR(I2722="",J2722=""),"",J2722-I2722))</f>
        <v/>
      </c>
      <c r="L2722" s="29" t="str">
        <f>IF($N2722="","",INDEX('_calc'!$J$2:$J$3001,$N2722))</f>
        <v/>
      </c>
      <c r="M2722" s="2" t="str">
        <f>IF($N2722="","",IF(AND(G2722=0,H2722=0),"수량 없음",IF(G2722=0,"신규 (전년 수량 없음)",IF(H2722=0,"당해 수량 없음",""))))</f>
        <v/>
      </c>
      <c r="N2722" t="str">
        <f>IF($B2722="","",MATCH($B2722,'_calc'!$L$2:$L$3001,0))</f>
        <v/>
      </c>
    </row>
    <row r="2723">
      <c r="B2723" s="24" t="str">
        <f>IF(ROW()-ROW($B$8)&gt;nComp,"",ROW()-ROW($B$8))</f>
        <v/>
      </c>
      <c r="C2723" t="str">
        <f>IF($N2723="","",INDEX('_calc'!$A$2:$A$3001,$N2723))</f>
        <v/>
      </c>
      <c r="D2723" s="25" t="str">
        <f>IF($N2723="","",INDEX('_calc'!$C$2:$C$3001,$N2723))</f>
        <v/>
      </c>
      <c r="E2723" s="25" t="str">
        <f>IF($N2723="","",INDEX('_calc'!$D$2:$D$3001,$N2723))</f>
        <v/>
      </c>
      <c r="F2723" s="26" t="str">
        <f>IF($N2723="","",IF($E$8=0,"",E2723/$E$8))</f>
        <v/>
      </c>
      <c r="G2723" s="25" t="str">
        <f>IF($N2723="","",INDEX('_calc'!$E$2:$E$3001,$N2723))</f>
        <v/>
      </c>
      <c r="H2723" s="25" t="str">
        <f>IF($N2723="","",INDEX('_calc'!$F$2:$F$3001,$N2723))</f>
        <v/>
      </c>
      <c r="I2723" s="27" t="str">
        <f>IF($N2723="","",INDEX('_calc'!$H$2:$H$3001,$N2723))</f>
        <v/>
      </c>
      <c r="J2723" s="27" t="str">
        <f>IF($N2723="","",INDEX('_calc'!$I$2:$I$3001,$N2723))</f>
        <v/>
      </c>
      <c r="K2723" s="28" t="str">
        <f>IF($N2723="","",IF(OR(I2723="",J2723=""),"",J2723-I2723))</f>
        <v/>
      </c>
      <c r="L2723" s="29" t="str">
        <f>IF($N2723="","",INDEX('_calc'!$J$2:$J$3001,$N2723))</f>
        <v/>
      </c>
      <c r="M2723" s="2" t="str">
        <f>IF($N2723="","",IF(AND(G2723=0,H2723=0),"수량 없음",IF(G2723=0,"신규 (전년 수량 없음)",IF(H2723=0,"당해 수량 없음",""))))</f>
        <v/>
      </c>
      <c r="N2723" t="str">
        <f>IF($B2723="","",MATCH($B2723,'_calc'!$L$2:$L$3001,0))</f>
        <v/>
      </c>
    </row>
    <row r="2724">
      <c r="B2724" s="24" t="str">
        <f>IF(ROW()-ROW($B$8)&gt;nComp,"",ROW()-ROW($B$8))</f>
        <v/>
      </c>
      <c r="C2724" t="str">
        <f>IF($N2724="","",INDEX('_calc'!$A$2:$A$3001,$N2724))</f>
        <v/>
      </c>
      <c r="D2724" s="25" t="str">
        <f>IF($N2724="","",INDEX('_calc'!$C$2:$C$3001,$N2724))</f>
        <v/>
      </c>
      <c r="E2724" s="25" t="str">
        <f>IF($N2724="","",INDEX('_calc'!$D$2:$D$3001,$N2724))</f>
        <v/>
      </c>
      <c r="F2724" s="26" t="str">
        <f>IF($N2724="","",IF($E$8=0,"",E2724/$E$8))</f>
        <v/>
      </c>
      <c r="G2724" s="25" t="str">
        <f>IF($N2724="","",INDEX('_calc'!$E$2:$E$3001,$N2724))</f>
        <v/>
      </c>
      <c r="H2724" s="25" t="str">
        <f>IF($N2724="","",INDEX('_calc'!$F$2:$F$3001,$N2724))</f>
        <v/>
      </c>
      <c r="I2724" s="27" t="str">
        <f>IF($N2724="","",INDEX('_calc'!$H$2:$H$3001,$N2724))</f>
        <v/>
      </c>
      <c r="J2724" s="27" t="str">
        <f>IF($N2724="","",INDEX('_calc'!$I$2:$I$3001,$N2724))</f>
        <v/>
      </c>
      <c r="K2724" s="28" t="str">
        <f>IF($N2724="","",IF(OR(I2724="",J2724=""),"",J2724-I2724))</f>
        <v/>
      </c>
      <c r="L2724" s="29" t="str">
        <f>IF($N2724="","",INDEX('_calc'!$J$2:$J$3001,$N2724))</f>
        <v/>
      </c>
      <c r="M2724" s="2" t="str">
        <f>IF($N2724="","",IF(AND(G2724=0,H2724=0),"수량 없음",IF(G2724=0,"신규 (전년 수량 없음)",IF(H2724=0,"당해 수량 없음",""))))</f>
        <v/>
      </c>
      <c r="N2724" t="str">
        <f>IF($B2724="","",MATCH($B2724,'_calc'!$L$2:$L$3001,0))</f>
        <v/>
      </c>
    </row>
    <row r="2725">
      <c r="B2725" s="24" t="str">
        <f>IF(ROW()-ROW($B$8)&gt;nComp,"",ROW()-ROW($B$8))</f>
        <v/>
      </c>
      <c r="C2725" t="str">
        <f>IF($N2725="","",INDEX('_calc'!$A$2:$A$3001,$N2725))</f>
        <v/>
      </c>
      <c r="D2725" s="25" t="str">
        <f>IF($N2725="","",INDEX('_calc'!$C$2:$C$3001,$N2725))</f>
        <v/>
      </c>
      <c r="E2725" s="25" t="str">
        <f>IF($N2725="","",INDEX('_calc'!$D$2:$D$3001,$N2725))</f>
        <v/>
      </c>
      <c r="F2725" s="26" t="str">
        <f>IF($N2725="","",IF($E$8=0,"",E2725/$E$8))</f>
        <v/>
      </c>
      <c r="G2725" s="25" t="str">
        <f>IF($N2725="","",INDEX('_calc'!$E$2:$E$3001,$N2725))</f>
        <v/>
      </c>
      <c r="H2725" s="25" t="str">
        <f>IF($N2725="","",INDEX('_calc'!$F$2:$F$3001,$N2725))</f>
        <v/>
      </c>
      <c r="I2725" s="27" t="str">
        <f>IF($N2725="","",INDEX('_calc'!$H$2:$H$3001,$N2725))</f>
        <v/>
      </c>
      <c r="J2725" s="27" t="str">
        <f>IF($N2725="","",INDEX('_calc'!$I$2:$I$3001,$N2725))</f>
        <v/>
      </c>
      <c r="K2725" s="28" t="str">
        <f>IF($N2725="","",IF(OR(I2725="",J2725=""),"",J2725-I2725))</f>
        <v/>
      </c>
      <c r="L2725" s="29" t="str">
        <f>IF($N2725="","",INDEX('_calc'!$J$2:$J$3001,$N2725))</f>
        <v/>
      </c>
      <c r="M2725" s="2" t="str">
        <f>IF($N2725="","",IF(AND(G2725=0,H2725=0),"수량 없음",IF(G2725=0,"신규 (전년 수량 없음)",IF(H2725=0,"당해 수량 없음",""))))</f>
        <v/>
      </c>
      <c r="N2725" t="str">
        <f>IF($B2725="","",MATCH($B2725,'_calc'!$L$2:$L$3001,0))</f>
        <v/>
      </c>
    </row>
    <row r="2726">
      <c r="B2726" s="24" t="str">
        <f>IF(ROW()-ROW($B$8)&gt;nComp,"",ROW()-ROW($B$8))</f>
        <v/>
      </c>
      <c r="C2726" t="str">
        <f>IF($N2726="","",INDEX('_calc'!$A$2:$A$3001,$N2726))</f>
        <v/>
      </c>
      <c r="D2726" s="25" t="str">
        <f>IF($N2726="","",INDEX('_calc'!$C$2:$C$3001,$N2726))</f>
        <v/>
      </c>
      <c r="E2726" s="25" t="str">
        <f>IF($N2726="","",INDEX('_calc'!$D$2:$D$3001,$N2726))</f>
        <v/>
      </c>
      <c r="F2726" s="26" t="str">
        <f>IF($N2726="","",IF($E$8=0,"",E2726/$E$8))</f>
        <v/>
      </c>
      <c r="G2726" s="25" t="str">
        <f>IF($N2726="","",INDEX('_calc'!$E$2:$E$3001,$N2726))</f>
        <v/>
      </c>
      <c r="H2726" s="25" t="str">
        <f>IF($N2726="","",INDEX('_calc'!$F$2:$F$3001,$N2726))</f>
        <v/>
      </c>
      <c r="I2726" s="27" t="str">
        <f>IF($N2726="","",INDEX('_calc'!$H$2:$H$3001,$N2726))</f>
        <v/>
      </c>
      <c r="J2726" s="27" t="str">
        <f>IF($N2726="","",INDEX('_calc'!$I$2:$I$3001,$N2726))</f>
        <v/>
      </c>
      <c r="K2726" s="28" t="str">
        <f>IF($N2726="","",IF(OR(I2726="",J2726=""),"",J2726-I2726))</f>
        <v/>
      </c>
      <c r="L2726" s="29" t="str">
        <f>IF($N2726="","",INDEX('_calc'!$J$2:$J$3001,$N2726))</f>
        <v/>
      </c>
      <c r="M2726" s="2" t="str">
        <f>IF($N2726="","",IF(AND(G2726=0,H2726=0),"수량 없음",IF(G2726=0,"신규 (전년 수량 없음)",IF(H2726=0,"당해 수량 없음",""))))</f>
        <v/>
      </c>
      <c r="N2726" t="str">
        <f>IF($B2726="","",MATCH($B2726,'_calc'!$L$2:$L$3001,0))</f>
        <v/>
      </c>
    </row>
    <row r="2727">
      <c r="B2727" s="24" t="str">
        <f>IF(ROW()-ROW($B$8)&gt;nComp,"",ROW()-ROW($B$8))</f>
        <v/>
      </c>
      <c r="C2727" t="str">
        <f>IF($N2727="","",INDEX('_calc'!$A$2:$A$3001,$N2727))</f>
        <v/>
      </c>
      <c r="D2727" s="25" t="str">
        <f>IF($N2727="","",INDEX('_calc'!$C$2:$C$3001,$N2727))</f>
        <v/>
      </c>
      <c r="E2727" s="25" t="str">
        <f>IF($N2727="","",INDEX('_calc'!$D$2:$D$3001,$N2727))</f>
        <v/>
      </c>
      <c r="F2727" s="26" t="str">
        <f>IF($N2727="","",IF($E$8=0,"",E2727/$E$8))</f>
        <v/>
      </c>
      <c r="G2727" s="25" t="str">
        <f>IF($N2727="","",INDEX('_calc'!$E$2:$E$3001,$N2727))</f>
        <v/>
      </c>
      <c r="H2727" s="25" t="str">
        <f>IF($N2727="","",INDEX('_calc'!$F$2:$F$3001,$N2727))</f>
        <v/>
      </c>
      <c r="I2727" s="27" t="str">
        <f>IF($N2727="","",INDEX('_calc'!$H$2:$H$3001,$N2727))</f>
        <v/>
      </c>
      <c r="J2727" s="27" t="str">
        <f>IF($N2727="","",INDEX('_calc'!$I$2:$I$3001,$N2727))</f>
        <v/>
      </c>
      <c r="K2727" s="28" t="str">
        <f>IF($N2727="","",IF(OR(I2727="",J2727=""),"",J2727-I2727))</f>
        <v/>
      </c>
      <c r="L2727" s="29" t="str">
        <f>IF($N2727="","",INDEX('_calc'!$J$2:$J$3001,$N2727))</f>
        <v/>
      </c>
      <c r="M2727" s="2" t="str">
        <f>IF($N2727="","",IF(AND(G2727=0,H2727=0),"수량 없음",IF(G2727=0,"신규 (전년 수량 없음)",IF(H2727=0,"당해 수량 없음",""))))</f>
        <v/>
      </c>
      <c r="N2727" t="str">
        <f>IF($B2727="","",MATCH($B2727,'_calc'!$L$2:$L$3001,0))</f>
        <v/>
      </c>
    </row>
    <row r="2728">
      <c r="B2728" s="24" t="str">
        <f>IF(ROW()-ROW($B$8)&gt;nComp,"",ROW()-ROW($B$8))</f>
        <v/>
      </c>
      <c r="C2728" t="str">
        <f>IF($N2728="","",INDEX('_calc'!$A$2:$A$3001,$N2728))</f>
        <v/>
      </c>
      <c r="D2728" s="25" t="str">
        <f>IF($N2728="","",INDEX('_calc'!$C$2:$C$3001,$N2728))</f>
        <v/>
      </c>
      <c r="E2728" s="25" t="str">
        <f>IF($N2728="","",INDEX('_calc'!$D$2:$D$3001,$N2728))</f>
        <v/>
      </c>
      <c r="F2728" s="26" t="str">
        <f>IF($N2728="","",IF($E$8=0,"",E2728/$E$8))</f>
        <v/>
      </c>
      <c r="G2728" s="25" t="str">
        <f>IF($N2728="","",INDEX('_calc'!$E$2:$E$3001,$N2728))</f>
        <v/>
      </c>
      <c r="H2728" s="25" t="str">
        <f>IF($N2728="","",INDEX('_calc'!$F$2:$F$3001,$N2728))</f>
        <v/>
      </c>
      <c r="I2728" s="27" t="str">
        <f>IF($N2728="","",INDEX('_calc'!$H$2:$H$3001,$N2728))</f>
        <v/>
      </c>
      <c r="J2728" s="27" t="str">
        <f>IF($N2728="","",INDEX('_calc'!$I$2:$I$3001,$N2728))</f>
        <v/>
      </c>
      <c r="K2728" s="28" t="str">
        <f>IF($N2728="","",IF(OR(I2728="",J2728=""),"",J2728-I2728))</f>
        <v/>
      </c>
      <c r="L2728" s="29" t="str">
        <f>IF($N2728="","",INDEX('_calc'!$J$2:$J$3001,$N2728))</f>
        <v/>
      </c>
      <c r="M2728" s="2" t="str">
        <f>IF($N2728="","",IF(AND(G2728=0,H2728=0),"수량 없음",IF(G2728=0,"신규 (전년 수량 없음)",IF(H2728=0,"당해 수량 없음",""))))</f>
        <v/>
      </c>
      <c r="N2728" t="str">
        <f>IF($B2728="","",MATCH($B2728,'_calc'!$L$2:$L$3001,0))</f>
        <v/>
      </c>
    </row>
    <row r="2729">
      <c r="B2729" s="24" t="str">
        <f>IF(ROW()-ROW($B$8)&gt;nComp,"",ROW()-ROW($B$8))</f>
        <v/>
      </c>
      <c r="C2729" t="str">
        <f>IF($N2729="","",INDEX('_calc'!$A$2:$A$3001,$N2729))</f>
        <v/>
      </c>
      <c r="D2729" s="25" t="str">
        <f>IF($N2729="","",INDEX('_calc'!$C$2:$C$3001,$N2729))</f>
        <v/>
      </c>
      <c r="E2729" s="25" t="str">
        <f>IF($N2729="","",INDEX('_calc'!$D$2:$D$3001,$N2729))</f>
        <v/>
      </c>
      <c r="F2729" s="26" t="str">
        <f>IF($N2729="","",IF($E$8=0,"",E2729/$E$8))</f>
        <v/>
      </c>
      <c r="G2729" s="25" t="str">
        <f>IF($N2729="","",INDEX('_calc'!$E$2:$E$3001,$N2729))</f>
        <v/>
      </c>
      <c r="H2729" s="25" t="str">
        <f>IF($N2729="","",INDEX('_calc'!$F$2:$F$3001,$N2729))</f>
        <v/>
      </c>
      <c r="I2729" s="27" t="str">
        <f>IF($N2729="","",INDEX('_calc'!$H$2:$H$3001,$N2729))</f>
        <v/>
      </c>
      <c r="J2729" s="27" t="str">
        <f>IF($N2729="","",INDEX('_calc'!$I$2:$I$3001,$N2729))</f>
        <v/>
      </c>
      <c r="K2729" s="28" t="str">
        <f>IF($N2729="","",IF(OR(I2729="",J2729=""),"",J2729-I2729))</f>
        <v/>
      </c>
      <c r="L2729" s="29" t="str">
        <f>IF($N2729="","",INDEX('_calc'!$J$2:$J$3001,$N2729))</f>
        <v/>
      </c>
      <c r="M2729" s="2" t="str">
        <f>IF($N2729="","",IF(AND(G2729=0,H2729=0),"수량 없음",IF(G2729=0,"신규 (전년 수량 없음)",IF(H2729=0,"당해 수량 없음",""))))</f>
        <v/>
      </c>
      <c r="N2729" t="str">
        <f>IF($B2729="","",MATCH($B2729,'_calc'!$L$2:$L$3001,0))</f>
        <v/>
      </c>
    </row>
    <row r="2730">
      <c r="B2730" s="24" t="str">
        <f>IF(ROW()-ROW($B$8)&gt;nComp,"",ROW()-ROW($B$8))</f>
        <v/>
      </c>
      <c r="C2730" t="str">
        <f>IF($N2730="","",INDEX('_calc'!$A$2:$A$3001,$N2730))</f>
        <v/>
      </c>
      <c r="D2730" s="25" t="str">
        <f>IF($N2730="","",INDEX('_calc'!$C$2:$C$3001,$N2730))</f>
        <v/>
      </c>
      <c r="E2730" s="25" t="str">
        <f>IF($N2730="","",INDEX('_calc'!$D$2:$D$3001,$N2730))</f>
        <v/>
      </c>
      <c r="F2730" s="26" t="str">
        <f>IF($N2730="","",IF($E$8=0,"",E2730/$E$8))</f>
        <v/>
      </c>
      <c r="G2730" s="25" t="str">
        <f>IF($N2730="","",INDEX('_calc'!$E$2:$E$3001,$N2730))</f>
        <v/>
      </c>
      <c r="H2730" s="25" t="str">
        <f>IF($N2730="","",INDEX('_calc'!$F$2:$F$3001,$N2730))</f>
        <v/>
      </c>
      <c r="I2730" s="27" t="str">
        <f>IF($N2730="","",INDEX('_calc'!$H$2:$H$3001,$N2730))</f>
        <v/>
      </c>
      <c r="J2730" s="27" t="str">
        <f>IF($N2730="","",INDEX('_calc'!$I$2:$I$3001,$N2730))</f>
        <v/>
      </c>
      <c r="K2730" s="28" t="str">
        <f>IF($N2730="","",IF(OR(I2730="",J2730=""),"",J2730-I2730))</f>
        <v/>
      </c>
      <c r="L2730" s="29" t="str">
        <f>IF($N2730="","",INDEX('_calc'!$J$2:$J$3001,$N2730))</f>
        <v/>
      </c>
      <c r="M2730" s="2" t="str">
        <f>IF($N2730="","",IF(AND(G2730=0,H2730=0),"수량 없음",IF(G2730=0,"신규 (전년 수량 없음)",IF(H2730=0,"당해 수량 없음",""))))</f>
        <v/>
      </c>
      <c r="N2730" t="str">
        <f>IF($B2730="","",MATCH($B2730,'_calc'!$L$2:$L$3001,0))</f>
        <v/>
      </c>
    </row>
    <row r="2731">
      <c r="B2731" s="24" t="str">
        <f>IF(ROW()-ROW($B$8)&gt;nComp,"",ROW()-ROW($B$8))</f>
        <v/>
      </c>
      <c r="C2731" t="str">
        <f>IF($N2731="","",INDEX('_calc'!$A$2:$A$3001,$N2731))</f>
        <v/>
      </c>
      <c r="D2731" s="25" t="str">
        <f>IF($N2731="","",INDEX('_calc'!$C$2:$C$3001,$N2731))</f>
        <v/>
      </c>
      <c r="E2731" s="25" t="str">
        <f>IF($N2731="","",INDEX('_calc'!$D$2:$D$3001,$N2731))</f>
        <v/>
      </c>
      <c r="F2731" s="26" t="str">
        <f>IF($N2731="","",IF($E$8=0,"",E2731/$E$8))</f>
        <v/>
      </c>
      <c r="G2731" s="25" t="str">
        <f>IF($N2731="","",INDEX('_calc'!$E$2:$E$3001,$N2731))</f>
        <v/>
      </c>
      <c r="H2731" s="25" t="str">
        <f>IF($N2731="","",INDEX('_calc'!$F$2:$F$3001,$N2731))</f>
        <v/>
      </c>
      <c r="I2731" s="27" t="str">
        <f>IF($N2731="","",INDEX('_calc'!$H$2:$H$3001,$N2731))</f>
        <v/>
      </c>
      <c r="J2731" s="27" t="str">
        <f>IF($N2731="","",INDEX('_calc'!$I$2:$I$3001,$N2731))</f>
        <v/>
      </c>
      <c r="K2731" s="28" t="str">
        <f>IF($N2731="","",IF(OR(I2731="",J2731=""),"",J2731-I2731))</f>
        <v/>
      </c>
      <c r="L2731" s="29" t="str">
        <f>IF($N2731="","",INDEX('_calc'!$J$2:$J$3001,$N2731))</f>
        <v/>
      </c>
      <c r="M2731" s="2" t="str">
        <f>IF($N2731="","",IF(AND(G2731=0,H2731=0),"수량 없음",IF(G2731=0,"신규 (전년 수량 없음)",IF(H2731=0,"당해 수량 없음",""))))</f>
        <v/>
      </c>
      <c r="N2731" t="str">
        <f>IF($B2731="","",MATCH($B2731,'_calc'!$L$2:$L$3001,0))</f>
        <v/>
      </c>
    </row>
    <row r="2732">
      <c r="B2732" s="24" t="str">
        <f>IF(ROW()-ROW($B$8)&gt;nComp,"",ROW()-ROW($B$8))</f>
        <v/>
      </c>
      <c r="C2732" t="str">
        <f>IF($N2732="","",INDEX('_calc'!$A$2:$A$3001,$N2732))</f>
        <v/>
      </c>
      <c r="D2732" s="25" t="str">
        <f>IF($N2732="","",INDEX('_calc'!$C$2:$C$3001,$N2732))</f>
        <v/>
      </c>
      <c r="E2732" s="25" t="str">
        <f>IF($N2732="","",INDEX('_calc'!$D$2:$D$3001,$N2732))</f>
        <v/>
      </c>
      <c r="F2732" s="26" t="str">
        <f>IF($N2732="","",IF($E$8=0,"",E2732/$E$8))</f>
        <v/>
      </c>
      <c r="G2732" s="25" t="str">
        <f>IF($N2732="","",INDEX('_calc'!$E$2:$E$3001,$N2732))</f>
        <v/>
      </c>
      <c r="H2732" s="25" t="str">
        <f>IF($N2732="","",INDEX('_calc'!$F$2:$F$3001,$N2732))</f>
        <v/>
      </c>
      <c r="I2732" s="27" t="str">
        <f>IF($N2732="","",INDEX('_calc'!$H$2:$H$3001,$N2732))</f>
        <v/>
      </c>
      <c r="J2732" s="27" t="str">
        <f>IF($N2732="","",INDEX('_calc'!$I$2:$I$3001,$N2732))</f>
        <v/>
      </c>
      <c r="K2732" s="28" t="str">
        <f>IF($N2732="","",IF(OR(I2732="",J2732=""),"",J2732-I2732))</f>
        <v/>
      </c>
      <c r="L2732" s="29" t="str">
        <f>IF($N2732="","",INDEX('_calc'!$J$2:$J$3001,$N2732))</f>
        <v/>
      </c>
      <c r="M2732" s="2" t="str">
        <f>IF($N2732="","",IF(AND(G2732=0,H2732=0),"수량 없음",IF(G2732=0,"신규 (전년 수량 없음)",IF(H2732=0,"당해 수량 없음",""))))</f>
        <v/>
      </c>
      <c r="N2732" t="str">
        <f>IF($B2732="","",MATCH($B2732,'_calc'!$L$2:$L$3001,0))</f>
        <v/>
      </c>
    </row>
    <row r="2733">
      <c r="B2733" s="24" t="str">
        <f>IF(ROW()-ROW($B$8)&gt;nComp,"",ROW()-ROW($B$8))</f>
        <v/>
      </c>
      <c r="C2733" t="str">
        <f>IF($N2733="","",INDEX('_calc'!$A$2:$A$3001,$N2733))</f>
        <v/>
      </c>
      <c r="D2733" s="25" t="str">
        <f>IF($N2733="","",INDEX('_calc'!$C$2:$C$3001,$N2733))</f>
        <v/>
      </c>
      <c r="E2733" s="25" t="str">
        <f>IF($N2733="","",INDEX('_calc'!$D$2:$D$3001,$N2733))</f>
        <v/>
      </c>
      <c r="F2733" s="26" t="str">
        <f>IF($N2733="","",IF($E$8=0,"",E2733/$E$8))</f>
        <v/>
      </c>
      <c r="G2733" s="25" t="str">
        <f>IF($N2733="","",INDEX('_calc'!$E$2:$E$3001,$N2733))</f>
        <v/>
      </c>
      <c r="H2733" s="25" t="str">
        <f>IF($N2733="","",INDEX('_calc'!$F$2:$F$3001,$N2733))</f>
        <v/>
      </c>
      <c r="I2733" s="27" t="str">
        <f>IF($N2733="","",INDEX('_calc'!$H$2:$H$3001,$N2733))</f>
        <v/>
      </c>
      <c r="J2733" s="27" t="str">
        <f>IF($N2733="","",INDEX('_calc'!$I$2:$I$3001,$N2733))</f>
        <v/>
      </c>
      <c r="K2733" s="28" t="str">
        <f>IF($N2733="","",IF(OR(I2733="",J2733=""),"",J2733-I2733))</f>
        <v/>
      </c>
      <c r="L2733" s="29" t="str">
        <f>IF($N2733="","",INDEX('_calc'!$J$2:$J$3001,$N2733))</f>
        <v/>
      </c>
      <c r="M2733" s="2" t="str">
        <f>IF($N2733="","",IF(AND(G2733=0,H2733=0),"수량 없음",IF(G2733=0,"신규 (전년 수량 없음)",IF(H2733=0,"당해 수량 없음",""))))</f>
        <v/>
      </c>
      <c r="N2733" t="str">
        <f>IF($B2733="","",MATCH($B2733,'_calc'!$L$2:$L$3001,0))</f>
        <v/>
      </c>
    </row>
    <row r="2734">
      <c r="B2734" s="24" t="str">
        <f>IF(ROW()-ROW($B$8)&gt;nComp,"",ROW()-ROW($B$8))</f>
        <v/>
      </c>
      <c r="C2734" t="str">
        <f>IF($N2734="","",INDEX('_calc'!$A$2:$A$3001,$N2734))</f>
        <v/>
      </c>
      <c r="D2734" s="25" t="str">
        <f>IF($N2734="","",INDEX('_calc'!$C$2:$C$3001,$N2734))</f>
        <v/>
      </c>
      <c r="E2734" s="25" t="str">
        <f>IF($N2734="","",INDEX('_calc'!$D$2:$D$3001,$N2734))</f>
        <v/>
      </c>
      <c r="F2734" s="26" t="str">
        <f>IF($N2734="","",IF($E$8=0,"",E2734/$E$8))</f>
        <v/>
      </c>
      <c r="G2734" s="25" t="str">
        <f>IF($N2734="","",INDEX('_calc'!$E$2:$E$3001,$N2734))</f>
        <v/>
      </c>
      <c r="H2734" s="25" t="str">
        <f>IF($N2734="","",INDEX('_calc'!$F$2:$F$3001,$N2734))</f>
        <v/>
      </c>
      <c r="I2734" s="27" t="str">
        <f>IF($N2734="","",INDEX('_calc'!$H$2:$H$3001,$N2734))</f>
        <v/>
      </c>
      <c r="J2734" s="27" t="str">
        <f>IF($N2734="","",INDEX('_calc'!$I$2:$I$3001,$N2734))</f>
        <v/>
      </c>
      <c r="K2734" s="28" t="str">
        <f>IF($N2734="","",IF(OR(I2734="",J2734=""),"",J2734-I2734))</f>
        <v/>
      </c>
      <c r="L2734" s="29" t="str">
        <f>IF($N2734="","",INDEX('_calc'!$J$2:$J$3001,$N2734))</f>
        <v/>
      </c>
      <c r="M2734" s="2" t="str">
        <f>IF($N2734="","",IF(AND(G2734=0,H2734=0),"수량 없음",IF(G2734=0,"신규 (전년 수량 없음)",IF(H2734=0,"당해 수량 없음",""))))</f>
        <v/>
      </c>
      <c r="N2734" t="str">
        <f>IF($B2734="","",MATCH($B2734,'_calc'!$L$2:$L$3001,0))</f>
        <v/>
      </c>
    </row>
    <row r="2735">
      <c r="B2735" s="24" t="str">
        <f>IF(ROW()-ROW($B$8)&gt;nComp,"",ROW()-ROW($B$8))</f>
        <v/>
      </c>
      <c r="C2735" t="str">
        <f>IF($N2735="","",INDEX('_calc'!$A$2:$A$3001,$N2735))</f>
        <v/>
      </c>
      <c r="D2735" s="25" t="str">
        <f>IF($N2735="","",INDEX('_calc'!$C$2:$C$3001,$N2735))</f>
        <v/>
      </c>
      <c r="E2735" s="25" t="str">
        <f>IF($N2735="","",INDEX('_calc'!$D$2:$D$3001,$N2735))</f>
        <v/>
      </c>
      <c r="F2735" s="26" t="str">
        <f>IF($N2735="","",IF($E$8=0,"",E2735/$E$8))</f>
        <v/>
      </c>
      <c r="G2735" s="25" t="str">
        <f>IF($N2735="","",INDEX('_calc'!$E$2:$E$3001,$N2735))</f>
        <v/>
      </c>
      <c r="H2735" s="25" t="str">
        <f>IF($N2735="","",INDEX('_calc'!$F$2:$F$3001,$N2735))</f>
        <v/>
      </c>
      <c r="I2735" s="27" t="str">
        <f>IF($N2735="","",INDEX('_calc'!$H$2:$H$3001,$N2735))</f>
        <v/>
      </c>
      <c r="J2735" s="27" t="str">
        <f>IF($N2735="","",INDEX('_calc'!$I$2:$I$3001,$N2735))</f>
        <v/>
      </c>
      <c r="K2735" s="28" t="str">
        <f>IF($N2735="","",IF(OR(I2735="",J2735=""),"",J2735-I2735))</f>
        <v/>
      </c>
      <c r="L2735" s="29" t="str">
        <f>IF($N2735="","",INDEX('_calc'!$J$2:$J$3001,$N2735))</f>
        <v/>
      </c>
      <c r="M2735" s="2" t="str">
        <f>IF($N2735="","",IF(AND(G2735=0,H2735=0),"수량 없음",IF(G2735=0,"신규 (전년 수량 없음)",IF(H2735=0,"당해 수량 없음",""))))</f>
        <v/>
      </c>
      <c r="N2735" t="str">
        <f>IF($B2735="","",MATCH($B2735,'_calc'!$L$2:$L$3001,0))</f>
        <v/>
      </c>
    </row>
    <row r="2736">
      <c r="B2736" s="24" t="str">
        <f>IF(ROW()-ROW($B$8)&gt;nComp,"",ROW()-ROW($B$8))</f>
        <v/>
      </c>
      <c r="C2736" t="str">
        <f>IF($N2736="","",INDEX('_calc'!$A$2:$A$3001,$N2736))</f>
        <v/>
      </c>
      <c r="D2736" s="25" t="str">
        <f>IF($N2736="","",INDEX('_calc'!$C$2:$C$3001,$N2736))</f>
        <v/>
      </c>
      <c r="E2736" s="25" t="str">
        <f>IF($N2736="","",INDEX('_calc'!$D$2:$D$3001,$N2736))</f>
        <v/>
      </c>
      <c r="F2736" s="26" t="str">
        <f>IF($N2736="","",IF($E$8=0,"",E2736/$E$8))</f>
        <v/>
      </c>
      <c r="G2736" s="25" t="str">
        <f>IF($N2736="","",INDEX('_calc'!$E$2:$E$3001,$N2736))</f>
        <v/>
      </c>
      <c r="H2736" s="25" t="str">
        <f>IF($N2736="","",INDEX('_calc'!$F$2:$F$3001,$N2736))</f>
        <v/>
      </c>
      <c r="I2736" s="27" t="str">
        <f>IF($N2736="","",INDEX('_calc'!$H$2:$H$3001,$N2736))</f>
        <v/>
      </c>
      <c r="J2736" s="27" t="str">
        <f>IF($N2736="","",INDEX('_calc'!$I$2:$I$3001,$N2736))</f>
        <v/>
      </c>
      <c r="K2736" s="28" t="str">
        <f>IF($N2736="","",IF(OR(I2736="",J2736=""),"",J2736-I2736))</f>
        <v/>
      </c>
      <c r="L2736" s="29" t="str">
        <f>IF($N2736="","",INDEX('_calc'!$J$2:$J$3001,$N2736))</f>
        <v/>
      </c>
      <c r="M2736" s="2" t="str">
        <f>IF($N2736="","",IF(AND(G2736=0,H2736=0),"수량 없음",IF(G2736=0,"신규 (전년 수량 없음)",IF(H2736=0,"당해 수량 없음",""))))</f>
        <v/>
      </c>
      <c r="N2736" t="str">
        <f>IF($B2736="","",MATCH($B2736,'_calc'!$L$2:$L$3001,0))</f>
        <v/>
      </c>
    </row>
    <row r="2737">
      <c r="B2737" s="24" t="str">
        <f>IF(ROW()-ROW($B$8)&gt;nComp,"",ROW()-ROW($B$8))</f>
        <v/>
      </c>
      <c r="C2737" t="str">
        <f>IF($N2737="","",INDEX('_calc'!$A$2:$A$3001,$N2737))</f>
        <v/>
      </c>
      <c r="D2737" s="25" t="str">
        <f>IF($N2737="","",INDEX('_calc'!$C$2:$C$3001,$N2737))</f>
        <v/>
      </c>
      <c r="E2737" s="25" t="str">
        <f>IF($N2737="","",INDEX('_calc'!$D$2:$D$3001,$N2737))</f>
        <v/>
      </c>
      <c r="F2737" s="26" t="str">
        <f>IF($N2737="","",IF($E$8=0,"",E2737/$E$8))</f>
        <v/>
      </c>
      <c r="G2737" s="25" t="str">
        <f>IF($N2737="","",INDEX('_calc'!$E$2:$E$3001,$N2737))</f>
        <v/>
      </c>
      <c r="H2737" s="25" t="str">
        <f>IF($N2737="","",INDEX('_calc'!$F$2:$F$3001,$N2737))</f>
        <v/>
      </c>
      <c r="I2737" s="27" t="str">
        <f>IF($N2737="","",INDEX('_calc'!$H$2:$H$3001,$N2737))</f>
        <v/>
      </c>
      <c r="J2737" s="27" t="str">
        <f>IF($N2737="","",INDEX('_calc'!$I$2:$I$3001,$N2737))</f>
        <v/>
      </c>
      <c r="K2737" s="28" t="str">
        <f>IF($N2737="","",IF(OR(I2737="",J2737=""),"",J2737-I2737))</f>
        <v/>
      </c>
      <c r="L2737" s="29" t="str">
        <f>IF($N2737="","",INDEX('_calc'!$J$2:$J$3001,$N2737))</f>
        <v/>
      </c>
      <c r="M2737" s="2" t="str">
        <f>IF($N2737="","",IF(AND(G2737=0,H2737=0),"수량 없음",IF(G2737=0,"신규 (전년 수량 없음)",IF(H2737=0,"당해 수량 없음",""))))</f>
        <v/>
      </c>
      <c r="N2737" t="str">
        <f>IF($B2737="","",MATCH($B2737,'_calc'!$L$2:$L$3001,0))</f>
        <v/>
      </c>
    </row>
    <row r="2738">
      <c r="B2738" s="24" t="str">
        <f>IF(ROW()-ROW($B$8)&gt;nComp,"",ROW()-ROW($B$8))</f>
        <v/>
      </c>
      <c r="C2738" t="str">
        <f>IF($N2738="","",INDEX('_calc'!$A$2:$A$3001,$N2738))</f>
        <v/>
      </c>
      <c r="D2738" s="25" t="str">
        <f>IF($N2738="","",INDEX('_calc'!$C$2:$C$3001,$N2738))</f>
        <v/>
      </c>
      <c r="E2738" s="25" t="str">
        <f>IF($N2738="","",INDEX('_calc'!$D$2:$D$3001,$N2738))</f>
        <v/>
      </c>
      <c r="F2738" s="26" t="str">
        <f>IF($N2738="","",IF($E$8=0,"",E2738/$E$8))</f>
        <v/>
      </c>
      <c r="G2738" s="25" t="str">
        <f>IF($N2738="","",INDEX('_calc'!$E$2:$E$3001,$N2738))</f>
        <v/>
      </c>
      <c r="H2738" s="25" t="str">
        <f>IF($N2738="","",INDEX('_calc'!$F$2:$F$3001,$N2738))</f>
        <v/>
      </c>
      <c r="I2738" s="27" t="str">
        <f>IF($N2738="","",INDEX('_calc'!$H$2:$H$3001,$N2738))</f>
        <v/>
      </c>
      <c r="J2738" s="27" t="str">
        <f>IF($N2738="","",INDEX('_calc'!$I$2:$I$3001,$N2738))</f>
        <v/>
      </c>
      <c r="K2738" s="28" t="str">
        <f>IF($N2738="","",IF(OR(I2738="",J2738=""),"",J2738-I2738))</f>
        <v/>
      </c>
      <c r="L2738" s="29" t="str">
        <f>IF($N2738="","",INDEX('_calc'!$J$2:$J$3001,$N2738))</f>
        <v/>
      </c>
      <c r="M2738" s="2" t="str">
        <f>IF($N2738="","",IF(AND(G2738=0,H2738=0),"수량 없음",IF(G2738=0,"신규 (전년 수량 없음)",IF(H2738=0,"당해 수량 없음",""))))</f>
        <v/>
      </c>
      <c r="N2738" t="str">
        <f>IF($B2738="","",MATCH($B2738,'_calc'!$L$2:$L$3001,0))</f>
        <v/>
      </c>
    </row>
    <row r="2739">
      <c r="B2739" s="24" t="str">
        <f>IF(ROW()-ROW($B$8)&gt;nComp,"",ROW()-ROW($B$8))</f>
        <v/>
      </c>
      <c r="C2739" t="str">
        <f>IF($N2739="","",INDEX('_calc'!$A$2:$A$3001,$N2739))</f>
        <v/>
      </c>
      <c r="D2739" s="25" t="str">
        <f>IF($N2739="","",INDEX('_calc'!$C$2:$C$3001,$N2739))</f>
        <v/>
      </c>
      <c r="E2739" s="25" t="str">
        <f>IF($N2739="","",INDEX('_calc'!$D$2:$D$3001,$N2739))</f>
        <v/>
      </c>
      <c r="F2739" s="26" t="str">
        <f>IF($N2739="","",IF($E$8=0,"",E2739/$E$8))</f>
        <v/>
      </c>
      <c r="G2739" s="25" t="str">
        <f>IF($N2739="","",INDEX('_calc'!$E$2:$E$3001,$N2739))</f>
        <v/>
      </c>
      <c r="H2739" s="25" t="str">
        <f>IF($N2739="","",INDEX('_calc'!$F$2:$F$3001,$N2739))</f>
        <v/>
      </c>
      <c r="I2739" s="27" t="str">
        <f>IF($N2739="","",INDEX('_calc'!$H$2:$H$3001,$N2739))</f>
        <v/>
      </c>
      <c r="J2739" s="27" t="str">
        <f>IF($N2739="","",INDEX('_calc'!$I$2:$I$3001,$N2739))</f>
        <v/>
      </c>
      <c r="K2739" s="28" t="str">
        <f>IF($N2739="","",IF(OR(I2739="",J2739=""),"",J2739-I2739))</f>
        <v/>
      </c>
      <c r="L2739" s="29" t="str">
        <f>IF($N2739="","",INDEX('_calc'!$J$2:$J$3001,$N2739))</f>
        <v/>
      </c>
      <c r="M2739" s="2" t="str">
        <f>IF($N2739="","",IF(AND(G2739=0,H2739=0),"수량 없음",IF(G2739=0,"신규 (전년 수량 없음)",IF(H2739=0,"당해 수량 없음",""))))</f>
        <v/>
      </c>
      <c r="N2739" t="str">
        <f>IF($B2739="","",MATCH($B2739,'_calc'!$L$2:$L$3001,0))</f>
        <v/>
      </c>
    </row>
    <row r="2740">
      <c r="B2740" s="24" t="str">
        <f>IF(ROW()-ROW($B$8)&gt;nComp,"",ROW()-ROW($B$8))</f>
        <v/>
      </c>
      <c r="C2740" t="str">
        <f>IF($N2740="","",INDEX('_calc'!$A$2:$A$3001,$N2740))</f>
        <v/>
      </c>
      <c r="D2740" s="25" t="str">
        <f>IF($N2740="","",INDEX('_calc'!$C$2:$C$3001,$N2740))</f>
        <v/>
      </c>
      <c r="E2740" s="25" t="str">
        <f>IF($N2740="","",INDEX('_calc'!$D$2:$D$3001,$N2740))</f>
        <v/>
      </c>
      <c r="F2740" s="26" t="str">
        <f>IF($N2740="","",IF($E$8=0,"",E2740/$E$8))</f>
        <v/>
      </c>
      <c r="G2740" s="25" t="str">
        <f>IF($N2740="","",INDEX('_calc'!$E$2:$E$3001,$N2740))</f>
        <v/>
      </c>
      <c r="H2740" s="25" t="str">
        <f>IF($N2740="","",INDEX('_calc'!$F$2:$F$3001,$N2740))</f>
        <v/>
      </c>
      <c r="I2740" s="27" t="str">
        <f>IF($N2740="","",INDEX('_calc'!$H$2:$H$3001,$N2740))</f>
        <v/>
      </c>
      <c r="J2740" s="27" t="str">
        <f>IF($N2740="","",INDEX('_calc'!$I$2:$I$3001,$N2740))</f>
        <v/>
      </c>
      <c r="K2740" s="28" t="str">
        <f>IF($N2740="","",IF(OR(I2740="",J2740=""),"",J2740-I2740))</f>
        <v/>
      </c>
      <c r="L2740" s="29" t="str">
        <f>IF($N2740="","",INDEX('_calc'!$J$2:$J$3001,$N2740))</f>
        <v/>
      </c>
      <c r="M2740" s="2" t="str">
        <f>IF($N2740="","",IF(AND(G2740=0,H2740=0),"수량 없음",IF(G2740=0,"신규 (전년 수량 없음)",IF(H2740=0,"당해 수량 없음",""))))</f>
        <v/>
      </c>
      <c r="N2740" t="str">
        <f>IF($B2740="","",MATCH($B2740,'_calc'!$L$2:$L$3001,0))</f>
        <v/>
      </c>
    </row>
    <row r="2741">
      <c r="B2741" s="24" t="str">
        <f>IF(ROW()-ROW($B$8)&gt;nComp,"",ROW()-ROW($B$8))</f>
        <v/>
      </c>
      <c r="C2741" t="str">
        <f>IF($N2741="","",INDEX('_calc'!$A$2:$A$3001,$N2741))</f>
        <v/>
      </c>
      <c r="D2741" s="25" t="str">
        <f>IF($N2741="","",INDEX('_calc'!$C$2:$C$3001,$N2741))</f>
        <v/>
      </c>
      <c r="E2741" s="25" t="str">
        <f>IF($N2741="","",INDEX('_calc'!$D$2:$D$3001,$N2741))</f>
        <v/>
      </c>
      <c r="F2741" s="26" t="str">
        <f>IF($N2741="","",IF($E$8=0,"",E2741/$E$8))</f>
        <v/>
      </c>
      <c r="G2741" s="25" t="str">
        <f>IF($N2741="","",INDEX('_calc'!$E$2:$E$3001,$N2741))</f>
        <v/>
      </c>
      <c r="H2741" s="25" t="str">
        <f>IF($N2741="","",INDEX('_calc'!$F$2:$F$3001,$N2741))</f>
        <v/>
      </c>
      <c r="I2741" s="27" t="str">
        <f>IF($N2741="","",INDEX('_calc'!$H$2:$H$3001,$N2741))</f>
        <v/>
      </c>
      <c r="J2741" s="27" t="str">
        <f>IF($N2741="","",INDEX('_calc'!$I$2:$I$3001,$N2741))</f>
        <v/>
      </c>
      <c r="K2741" s="28" t="str">
        <f>IF($N2741="","",IF(OR(I2741="",J2741=""),"",J2741-I2741))</f>
        <v/>
      </c>
      <c r="L2741" s="29" t="str">
        <f>IF($N2741="","",INDEX('_calc'!$J$2:$J$3001,$N2741))</f>
        <v/>
      </c>
      <c r="M2741" s="2" t="str">
        <f>IF($N2741="","",IF(AND(G2741=0,H2741=0),"수량 없음",IF(G2741=0,"신규 (전년 수량 없음)",IF(H2741=0,"당해 수량 없음",""))))</f>
        <v/>
      </c>
      <c r="N2741" t="str">
        <f>IF($B2741="","",MATCH($B2741,'_calc'!$L$2:$L$3001,0))</f>
        <v/>
      </c>
    </row>
    <row r="2742">
      <c r="B2742" s="24" t="str">
        <f>IF(ROW()-ROW($B$8)&gt;nComp,"",ROW()-ROW($B$8))</f>
        <v/>
      </c>
      <c r="C2742" t="str">
        <f>IF($N2742="","",INDEX('_calc'!$A$2:$A$3001,$N2742))</f>
        <v/>
      </c>
      <c r="D2742" s="25" t="str">
        <f>IF($N2742="","",INDEX('_calc'!$C$2:$C$3001,$N2742))</f>
        <v/>
      </c>
      <c r="E2742" s="25" t="str">
        <f>IF($N2742="","",INDEX('_calc'!$D$2:$D$3001,$N2742))</f>
        <v/>
      </c>
      <c r="F2742" s="26" t="str">
        <f>IF($N2742="","",IF($E$8=0,"",E2742/$E$8))</f>
        <v/>
      </c>
      <c r="G2742" s="25" t="str">
        <f>IF($N2742="","",INDEX('_calc'!$E$2:$E$3001,$N2742))</f>
        <v/>
      </c>
      <c r="H2742" s="25" t="str">
        <f>IF($N2742="","",INDEX('_calc'!$F$2:$F$3001,$N2742))</f>
        <v/>
      </c>
      <c r="I2742" s="27" t="str">
        <f>IF($N2742="","",INDEX('_calc'!$H$2:$H$3001,$N2742))</f>
        <v/>
      </c>
      <c r="J2742" s="27" t="str">
        <f>IF($N2742="","",INDEX('_calc'!$I$2:$I$3001,$N2742))</f>
        <v/>
      </c>
      <c r="K2742" s="28" t="str">
        <f>IF($N2742="","",IF(OR(I2742="",J2742=""),"",J2742-I2742))</f>
        <v/>
      </c>
      <c r="L2742" s="29" t="str">
        <f>IF($N2742="","",INDEX('_calc'!$J$2:$J$3001,$N2742))</f>
        <v/>
      </c>
      <c r="M2742" s="2" t="str">
        <f>IF($N2742="","",IF(AND(G2742=0,H2742=0),"수량 없음",IF(G2742=0,"신규 (전년 수량 없음)",IF(H2742=0,"당해 수량 없음",""))))</f>
        <v/>
      </c>
      <c r="N2742" t="str">
        <f>IF($B2742="","",MATCH($B2742,'_calc'!$L$2:$L$3001,0))</f>
        <v/>
      </c>
    </row>
    <row r="2743">
      <c r="B2743" s="24" t="str">
        <f>IF(ROW()-ROW($B$8)&gt;nComp,"",ROW()-ROW($B$8))</f>
        <v/>
      </c>
      <c r="C2743" t="str">
        <f>IF($N2743="","",INDEX('_calc'!$A$2:$A$3001,$N2743))</f>
        <v/>
      </c>
      <c r="D2743" s="25" t="str">
        <f>IF($N2743="","",INDEX('_calc'!$C$2:$C$3001,$N2743))</f>
        <v/>
      </c>
      <c r="E2743" s="25" t="str">
        <f>IF($N2743="","",INDEX('_calc'!$D$2:$D$3001,$N2743))</f>
        <v/>
      </c>
      <c r="F2743" s="26" t="str">
        <f>IF($N2743="","",IF($E$8=0,"",E2743/$E$8))</f>
        <v/>
      </c>
      <c r="G2743" s="25" t="str">
        <f>IF($N2743="","",INDEX('_calc'!$E$2:$E$3001,$N2743))</f>
        <v/>
      </c>
      <c r="H2743" s="25" t="str">
        <f>IF($N2743="","",INDEX('_calc'!$F$2:$F$3001,$N2743))</f>
        <v/>
      </c>
      <c r="I2743" s="27" t="str">
        <f>IF($N2743="","",INDEX('_calc'!$H$2:$H$3001,$N2743))</f>
        <v/>
      </c>
      <c r="J2743" s="27" t="str">
        <f>IF($N2743="","",INDEX('_calc'!$I$2:$I$3001,$N2743))</f>
        <v/>
      </c>
      <c r="K2743" s="28" t="str">
        <f>IF($N2743="","",IF(OR(I2743="",J2743=""),"",J2743-I2743))</f>
        <v/>
      </c>
      <c r="L2743" s="29" t="str">
        <f>IF($N2743="","",INDEX('_calc'!$J$2:$J$3001,$N2743))</f>
        <v/>
      </c>
      <c r="M2743" s="2" t="str">
        <f>IF($N2743="","",IF(AND(G2743=0,H2743=0),"수량 없음",IF(G2743=0,"신규 (전년 수량 없음)",IF(H2743=0,"당해 수량 없음",""))))</f>
        <v/>
      </c>
      <c r="N2743" t="str">
        <f>IF($B2743="","",MATCH($B2743,'_calc'!$L$2:$L$3001,0))</f>
        <v/>
      </c>
    </row>
    <row r="2744">
      <c r="B2744" s="24" t="str">
        <f>IF(ROW()-ROW($B$8)&gt;nComp,"",ROW()-ROW($B$8))</f>
        <v/>
      </c>
      <c r="C2744" t="str">
        <f>IF($N2744="","",INDEX('_calc'!$A$2:$A$3001,$N2744))</f>
        <v/>
      </c>
      <c r="D2744" s="25" t="str">
        <f>IF($N2744="","",INDEX('_calc'!$C$2:$C$3001,$N2744))</f>
        <v/>
      </c>
      <c r="E2744" s="25" t="str">
        <f>IF($N2744="","",INDEX('_calc'!$D$2:$D$3001,$N2744))</f>
        <v/>
      </c>
      <c r="F2744" s="26" t="str">
        <f>IF($N2744="","",IF($E$8=0,"",E2744/$E$8))</f>
        <v/>
      </c>
      <c r="G2744" s="25" t="str">
        <f>IF($N2744="","",INDEX('_calc'!$E$2:$E$3001,$N2744))</f>
        <v/>
      </c>
      <c r="H2744" s="25" t="str">
        <f>IF($N2744="","",INDEX('_calc'!$F$2:$F$3001,$N2744))</f>
        <v/>
      </c>
      <c r="I2744" s="27" t="str">
        <f>IF($N2744="","",INDEX('_calc'!$H$2:$H$3001,$N2744))</f>
        <v/>
      </c>
      <c r="J2744" s="27" t="str">
        <f>IF($N2744="","",INDEX('_calc'!$I$2:$I$3001,$N2744))</f>
        <v/>
      </c>
      <c r="K2744" s="28" t="str">
        <f>IF($N2744="","",IF(OR(I2744="",J2744=""),"",J2744-I2744))</f>
        <v/>
      </c>
      <c r="L2744" s="29" t="str">
        <f>IF($N2744="","",INDEX('_calc'!$J$2:$J$3001,$N2744))</f>
        <v/>
      </c>
      <c r="M2744" s="2" t="str">
        <f>IF($N2744="","",IF(AND(G2744=0,H2744=0),"수량 없음",IF(G2744=0,"신규 (전년 수량 없음)",IF(H2744=0,"당해 수량 없음",""))))</f>
        <v/>
      </c>
      <c r="N2744" t="str">
        <f>IF($B2744="","",MATCH($B2744,'_calc'!$L$2:$L$3001,0))</f>
        <v/>
      </c>
    </row>
    <row r="2745">
      <c r="B2745" s="24" t="str">
        <f>IF(ROW()-ROW($B$8)&gt;nComp,"",ROW()-ROW($B$8))</f>
        <v/>
      </c>
      <c r="C2745" t="str">
        <f>IF($N2745="","",INDEX('_calc'!$A$2:$A$3001,$N2745))</f>
        <v/>
      </c>
      <c r="D2745" s="25" t="str">
        <f>IF($N2745="","",INDEX('_calc'!$C$2:$C$3001,$N2745))</f>
        <v/>
      </c>
      <c r="E2745" s="25" t="str">
        <f>IF($N2745="","",INDEX('_calc'!$D$2:$D$3001,$N2745))</f>
        <v/>
      </c>
      <c r="F2745" s="26" t="str">
        <f>IF($N2745="","",IF($E$8=0,"",E2745/$E$8))</f>
        <v/>
      </c>
      <c r="G2745" s="25" t="str">
        <f>IF($N2745="","",INDEX('_calc'!$E$2:$E$3001,$N2745))</f>
        <v/>
      </c>
      <c r="H2745" s="25" t="str">
        <f>IF($N2745="","",INDEX('_calc'!$F$2:$F$3001,$N2745))</f>
        <v/>
      </c>
      <c r="I2745" s="27" t="str">
        <f>IF($N2745="","",INDEX('_calc'!$H$2:$H$3001,$N2745))</f>
        <v/>
      </c>
      <c r="J2745" s="27" t="str">
        <f>IF($N2745="","",INDEX('_calc'!$I$2:$I$3001,$N2745))</f>
        <v/>
      </c>
      <c r="K2745" s="28" t="str">
        <f>IF($N2745="","",IF(OR(I2745="",J2745=""),"",J2745-I2745))</f>
        <v/>
      </c>
      <c r="L2745" s="29" t="str">
        <f>IF($N2745="","",INDEX('_calc'!$J$2:$J$3001,$N2745))</f>
        <v/>
      </c>
      <c r="M2745" s="2" t="str">
        <f>IF($N2745="","",IF(AND(G2745=0,H2745=0),"수량 없음",IF(G2745=0,"신규 (전년 수량 없음)",IF(H2745=0,"당해 수량 없음",""))))</f>
        <v/>
      </c>
      <c r="N2745" t="str">
        <f>IF($B2745="","",MATCH($B2745,'_calc'!$L$2:$L$3001,0))</f>
        <v/>
      </c>
    </row>
    <row r="2746">
      <c r="B2746" s="24" t="str">
        <f>IF(ROW()-ROW($B$8)&gt;nComp,"",ROW()-ROW($B$8))</f>
        <v/>
      </c>
      <c r="C2746" t="str">
        <f>IF($N2746="","",INDEX('_calc'!$A$2:$A$3001,$N2746))</f>
        <v/>
      </c>
      <c r="D2746" s="25" t="str">
        <f>IF($N2746="","",INDEX('_calc'!$C$2:$C$3001,$N2746))</f>
        <v/>
      </c>
      <c r="E2746" s="25" t="str">
        <f>IF($N2746="","",INDEX('_calc'!$D$2:$D$3001,$N2746))</f>
        <v/>
      </c>
      <c r="F2746" s="26" t="str">
        <f>IF($N2746="","",IF($E$8=0,"",E2746/$E$8))</f>
        <v/>
      </c>
      <c r="G2746" s="25" t="str">
        <f>IF($N2746="","",INDEX('_calc'!$E$2:$E$3001,$N2746))</f>
        <v/>
      </c>
      <c r="H2746" s="25" t="str">
        <f>IF($N2746="","",INDEX('_calc'!$F$2:$F$3001,$N2746))</f>
        <v/>
      </c>
      <c r="I2746" s="27" t="str">
        <f>IF($N2746="","",INDEX('_calc'!$H$2:$H$3001,$N2746))</f>
        <v/>
      </c>
      <c r="J2746" s="27" t="str">
        <f>IF($N2746="","",INDEX('_calc'!$I$2:$I$3001,$N2746))</f>
        <v/>
      </c>
      <c r="K2746" s="28" t="str">
        <f>IF($N2746="","",IF(OR(I2746="",J2746=""),"",J2746-I2746))</f>
        <v/>
      </c>
      <c r="L2746" s="29" t="str">
        <f>IF($N2746="","",INDEX('_calc'!$J$2:$J$3001,$N2746))</f>
        <v/>
      </c>
      <c r="M2746" s="2" t="str">
        <f>IF($N2746="","",IF(AND(G2746=0,H2746=0),"수량 없음",IF(G2746=0,"신규 (전년 수량 없음)",IF(H2746=0,"당해 수량 없음",""))))</f>
        <v/>
      </c>
      <c r="N2746" t="str">
        <f>IF($B2746="","",MATCH($B2746,'_calc'!$L$2:$L$3001,0))</f>
        <v/>
      </c>
    </row>
    <row r="2747">
      <c r="B2747" s="24" t="str">
        <f>IF(ROW()-ROW($B$8)&gt;nComp,"",ROW()-ROW($B$8))</f>
        <v/>
      </c>
      <c r="C2747" t="str">
        <f>IF($N2747="","",INDEX('_calc'!$A$2:$A$3001,$N2747))</f>
        <v/>
      </c>
      <c r="D2747" s="25" t="str">
        <f>IF($N2747="","",INDEX('_calc'!$C$2:$C$3001,$N2747))</f>
        <v/>
      </c>
      <c r="E2747" s="25" t="str">
        <f>IF($N2747="","",INDEX('_calc'!$D$2:$D$3001,$N2747))</f>
        <v/>
      </c>
      <c r="F2747" s="26" t="str">
        <f>IF($N2747="","",IF($E$8=0,"",E2747/$E$8))</f>
        <v/>
      </c>
      <c r="G2747" s="25" t="str">
        <f>IF($N2747="","",INDEX('_calc'!$E$2:$E$3001,$N2747))</f>
        <v/>
      </c>
      <c r="H2747" s="25" t="str">
        <f>IF($N2747="","",INDEX('_calc'!$F$2:$F$3001,$N2747))</f>
        <v/>
      </c>
      <c r="I2747" s="27" t="str">
        <f>IF($N2747="","",INDEX('_calc'!$H$2:$H$3001,$N2747))</f>
        <v/>
      </c>
      <c r="J2747" s="27" t="str">
        <f>IF($N2747="","",INDEX('_calc'!$I$2:$I$3001,$N2747))</f>
        <v/>
      </c>
      <c r="K2747" s="28" t="str">
        <f>IF($N2747="","",IF(OR(I2747="",J2747=""),"",J2747-I2747))</f>
        <v/>
      </c>
      <c r="L2747" s="29" t="str">
        <f>IF($N2747="","",INDEX('_calc'!$J$2:$J$3001,$N2747))</f>
        <v/>
      </c>
      <c r="M2747" s="2" t="str">
        <f>IF($N2747="","",IF(AND(G2747=0,H2747=0),"수량 없음",IF(G2747=0,"신규 (전년 수량 없음)",IF(H2747=0,"당해 수량 없음",""))))</f>
        <v/>
      </c>
      <c r="N2747" t="str">
        <f>IF($B2747="","",MATCH($B2747,'_calc'!$L$2:$L$3001,0))</f>
        <v/>
      </c>
    </row>
    <row r="2748">
      <c r="B2748" s="24" t="str">
        <f>IF(ROW()-ROW($B$8)&gt;nComp,"",ROW()-ROW($B$8))</f>
        <v/>
      </c>
      <c r="C2748" t="str">
        <f>IF($N2748="","",INDEX('_calc'!$A$2:$A$3001,$N2748))</f>
        <v/>
      </c>
      <c r="D2748" s="25" t="str">
        <f>IF($N2748="","",INDEX('_calc'!$C$2:$C$3001,$N2748))</f>
        <v/>
      </c>
      <c r="E2748" s="25" t="str">
        <f>IF($N2748="","",INDEX('_calc'!$D$2:$D$3001,$N2748))</f>
        <v/>
      </c>
      <c r="F2748" s="26" t="str">
        <f>IF($N2748="","",IF($E$8=0,"",E2748/$E$8))</f>
        <v/>
      </c>
      <c r="G2748" s="25" t="str">
        <f>IF($N2748="","",INDEX('_calc'!$E$2:$E$3001,$N2748))</f>
        <v/>
      </c>
      <c r="H2748" s="25" t="str">
        <f>IF($N2748="","",INDEX('_calc'!$F$2:$F$3001,$N2748))</f>
        <v/>
      </c>
      <c r="I2748" s="27" t="str">
        <f>IF($N2748="","",INDEX('_calc'!$H$2:$H$3001,$N2748))</f>
        <v/>
      </c>
      <c r="J2748" s="27" t="str">
        <f>IF($N2748="","",INDEX('_calc'!$I$2:$I$3001,$N2748))</f>
        <v/>
      </c>
      <c r="K2748" s="28" t="str">
        <f>IF($N2748="","",IF(OR(I2748="",J2748=""),"",J2748-I2748))</f>
        <v/>
      </c>
      <c r="L2748" s="29" t="str">
        <f>IF($N2748="","",INDEX('_calc'!$J$2:$J$3001,$N2748))</f>
        <v/>
      </c>
      <c r="M2748" s="2" t="str">
        <f>IF($N2748="","",IF(AND(G2748=0,H2748=0),"수량 없음",IF(G2748=0,"신규 (전년 수량 없음)",IF(H2748=0,"당해 수량 없음",""))))</f>
        <v/>
      </c>
      <c r="N2748" t="str">
        <f>IF($B2748="","",MATCH($B2748,'_calc'!$L$2:$L$3001,0))</f>
        <v/>
      </c>
    </row>
    <row r="2749">
      <c r="B2749" s="24" t="str">
        <f>IF(ROW()-ROW($B$8)&gt;nComp,"",ROW()-ROW($B$8))</f>
        <v/>
      </c>
      <c r="C2749" t="str">
        <f>IF($N2749="","",INDEX('_calc'!$A$2:$A$3001,$N2749))</f>
        <v/>
      </c>
      <c r="D2749" s="25" t="str">
        <f>IF($N2749="","",INDEX('_calc'!$C$2:$C$3001,$N2749))</f>
        <v/>
      </c>
      <c r="E2749" s="25" t="str">
        <f>IF($N2749="","",INDEX('_calc'!$D$2:$D$3001,$N2749))</f>
        <v/>
      </c>
      <c r="F2749" s="26" t="str">
        <f>IF($N2749="","",IF($E$8=0,"",E2749/$E$8))</f>
        <v/>
      </c>
      <c r="G2749" s="25" t="str">
        <f>IF($N2749="","",INDEX('_calc'!$E$2:$E$3001,$N2749))</f>
        <v/>
      </c>
      <c r="H2749" s="25" t="str">
        <f>IF($N2749="","",INDEX('_calc'!$F$2:$F$3001,$N2749))</f>
        <v/>
      </c>
      <c r="I2749" s="27" t="str">
        <f>IF($N2749="","",INDEX('_calc'!$H$2:$H$3001,$N2749))</f>
        <v/>
      </c>
      <c r="J2749" s="27" t="str">
        <f>IF($N2749="","",INDEX('_calc'!$I$2:$I$3001,$N2749))</f>
        <v/>
      </c>
      <c r="K2749" s="28" t="str">
        <f>IF($N2749="","",IF(OR(I2749="",J2749=""),"",J2749-I2749))</f>
        <v/>
      </c>
      <c r="L2749" s="29" t="str">
        <f>IF($N2749="","",INDEX('_calc'!$J$2:$J$3001,$N2749))</f>
        <v/>
      </c>
      <c r="M2749" s="2" t="str">
        <f>IF($N2749="","",IF(AND(G2749=0,H2749=0),"수량 없음",IF(G2749=0,"신규 (전년 수량 없음)",IF(H2749=0,"당해 수량 없음",""))))</f>
        <v/>
      </c>
      <c r="N2749" t="str">
        <f>IF($B2749="","",MATCH($B2749,'_calc'!$L$2:$L$3001,0))</f>
        <v/>
      </c>
    </row>
    <row r="2750">
      <c r="B2750" s="24" t="str">
        <f>IF(ROW()-ROW($B$8)&gt;nComp,"",ROW()-ROW($B$8))</f>
        <v/>
      </c>
      <c r="C2750" t="str">
        <f>IF($N2750="","",INDEX('_calc'!$A$2:$A$3001,$N2750))</f>
        <v/>
      </c>
      <c r="D2750" s="25" t="str">
        <f>IF($N2750="","",INDEX('_calc'!$C$2:$C$3001,$N2750))</f>
        <v/>
      </c>
      <c r="E2750" s="25" t="str">
        <f>IF($N2750="","",INDEX('_calc'!$D$2:$D$3001,$N2750))</f>
        <v/>
      </c>
      <c r="F2750" s="26" t="str">
        <f>IF($N2750="","",IF($E$8=0,"",E2750/$E$8))</f>
        <v/>
      </c>
      <c r="G2750" s="25" t="str">
        <f>IF($N2750="","",INDEX('_calc'!$E$2:$E$3001,$N2750))</f>
        <v/>
      </c>
      <c r="H2750" s="25" t="str">
        <f>IF($N2750="","",INDEX('_calc'!$F$2:$F$3001,$N2750))</f>
        <v/>
      </c>
      <c r="I2750" s="27" t="str">
        <f>IF($N2750="","",INDEX('_calc'!$H$2:$H$3001,$N2750))</f>
        <v/>
      </c>
      <c r="J2750" s="27" t="str">
        <f>IF($N2750="","",INDEX('_calc'!$I$2:$I$3001,$N2750))</f>
        <v/>
      </c>
      <c r="K2750" s="28" t="str">
        <f>IF($N2750="","",IF(OR(I2750="",J2750=""),"",J2750-I2750))</f>
        <v/>
      </c>
      <c r="L2750" s="29" t="str">
        <f>IF($N2750="","",INDEX('_calc'!$J$2:$J$3001,$N2750))</f>
        <v/>
      </c>
      <c r="M2750" s="2" t="str">
        <f>IF($N2750="","",IF(AND(G2750=0,H2750=0),"수량 없음",IF(G2750=0,"신규 (전년 수량 없음)",IF(H2750=0,"당해 수량 없음",""))))</f>
        <v/>
      </c>
      <c r="N2750" t="str">
        <f>IF($B2750="","",MATCH($B2750,'_calc'!$L$2:$L$3001,0))</f>
        <v/>
      </c>
    </row>
    <row r="2751">
      <c r="B2751" s="24" t="str">
        <f>IF(ROW()-ROW($B$8)&gt;nComp,"",ROW()-ROW($B$8))</f>
        <v/>
      </c>
      <c r="C2751" t="str">
        <f>IF($N2751="","",INDEX('_calc'!$A$2:$A$3001,$N2751))</f>
        <v/>
      </c>
      <c r="D2751" s="25" t="str">
        <f>IF($N2751="","",INDEX('_calc'!$C$2:$C$3001,$N2751))</f>
        <v/>
      </c>
      <c r="E2751" s="25" t="str">
        <f>IF($N2751="","",INDEX('_calc'!$D$2:$D$3001,$N2751))</f>
        <v/>
      </c>
      <c r="F2751" s="26" t="str">
        <f>IF($N2751="","",IF($E$8=0,"",E2751/$E$8))</f>
        <v/>
      </c>
      <c r="G2751" s="25" t="str">
        <f>IF($N2751="","",INDEX('_calc'!$E$2:$E$3001,$N2751))</f>
        <v/>
      </c>
      <c r="H2751" s="25" t="str">
        <f>IF($N2751="","",INDEX('_calc'!$F$2:$F$3001,$N2751))</f>
        <v/>
      </c>
      <c r="I2751" s="27" t="str">
        <f>IF($N2751="","",INDEX('_calc'!$H$2:$H$3001,$N2751))</f>
        <v/>
      </c>
      <c r="J2751" s="27" t="str">
        <f>IF($N2751="","",INDEX('_calc'!$I$2:$I$3001,$N2751))</f>
        <v/>
      </c>
      <c r="K2751" s="28" t="str">
        <f>IF($N2751="","",IF(OR(I2751="",J2751=""),"",J2751-I2751))</f>
        <v/>
      </c>
      <c r="L2751" s="29" t="str">
        <f>IF($N2751="","",INDEX('_calc'!$J$2:$J$3001,$N2751))</f>
        <v/>
      </c>
      <c r="M2751" s="2" t="str">
        <f>IF($N2751="","",IF(AND(G2751=0,H2751=0),"수량 없음",IF(G2751=0,"신규 (전년 수량 없음)",IF(H2751=0,"당해 수량 없음",""))))</f>
        <v/>
      </c>
      <c r="N2751" t="str">
        <f>IF($B2751="","",MATCH($B2751,'_calc'!$L$2:$L$3001,0))</f>
        <v/>
      </c>
    </row>
    <row r="2752">
      <c r="B2752" s="24" t="str">
        <f>IF(ROW()-ROW($B$8)&gt;nComp,"",ROW()-ROW($B$8))</f>
        <v/>
      </c>
      <c r="C2752" t="str">
        <f>IF($N2752="","",INDEX('_calc'!$A$2:$A$3001,$N2752))</f>
        <v/>
      </c>
      <c r="D2752" s="25" t="str">
        <f>IF($N2752="","",INDEX('_calc'!$C$2:$C$3001,$N2752))</f>
        <v/>
      </c>
      <c r="E2752" s="25" t="str">
        <f>IF($N2752="","",INDEX('_calc'!$D$2:$D$3001,$N2752))</f>
        <v/>
      </c>
      <c r="F2752" s="26" t="str">
        <f>IF($N2752="","",IF($E$8=0,"",E2752/$E$8))</f>
        <v/>
      </c>
      <c r="G2752" s="25" t="str">
        <f>IF($N2752="","",INDEX('_calc'!$E$2:$E$3001,$N2752))</f>
        <v/>
      </c>
      <c r="H2752" s="25" t="str">
        <f>IF($N2752="","",INDEX('_calc'!$F$2:$F$3001,$N2752))</f>
        <v/>
      </c>
      <c r="I2752" s="27" t="str">
        <f>IF($N2752="","",INDEX('_calc'!$H$2:$H$3001,$N2752))</f>
        <v/>
      </c>
      <c r="J2752" s="27" t="str">
        <f>IF($N2752="","",INDEX('_calc'!$I$2:$I$3001,$N2752))</f>
        <v/>
      </c>
      <c r="K2752" s="28" t="str">
        <f>IF($N2752="","",IF(OR(I2752="",J2752=""),"",J2752-I2752))</f>
        <v/>
      </c>
      <c r="L2752" s="29" t="str">
        <f>IF($N2752="","",INDEX('_calc'!$J$2:$J$3001,$N2752))</f>
        <v/>
      </c>
      <c r="M2752" s="2" t="str">
        <f>IF($N2752="","",IF(AND(G2752=0,H2752=0),"수량 없음",IF(G2752=0,"신규 (전년 수량 없음)",IF(H2752=0,"당해 수량 없음",""))))</f>
        <v/>
      </c>
      <c r="N2752" t="str">
        <f>IF($B2752="","",MATCH($B2752,'_calc'!$L$2:$L$3001,0))</f>
        <v/>
      </c>
    </row>
    <row r="2753">
      <c r="B2753" s="24" t="str">
        <f>IF(ROW()-ROW($B$8)&gt;nComp,"",ROW()-ROW($B$8))</f>
        <v/>
      </c>
      <c r="C2753" t="str">
        <f>IF($N2753="","",INDEX('_calc'!$A$2:$A$3001,$N2753))</f>
        <v/>
      </c>
      <c r="D2753" s="25" t="str">
        <f>IF($N2753="","",INDEX('_calc'!$C$2:$C$3001,$N2753))</f>
        <v/>
      </c>
      <c r="E2753" s="25" t="str">
        <f>IF($N2753="","",INDEX('_calc'!$D$2:$D$3001,$N2753))</f>
        <v/>
      </c>
      <c r="F2753" s="26" t="str">
        <f>IF($N2753="","",IF($E$8=0,"",E2753/$E$8))</f>
        <v/>
      </c>
      <c r="G2753" s="25" t="str">
        <f>IF($N2753="","",INDEX('_calc'!$E$2:$E$3001,$N2753))</f>
        <v/>
      </c>
      <c r="H2753" s="25" t="str">
        <f>IF($N2753="","",INDEX('_calc'!$F$2:$F$3001,$N2753))</f>
        <v/>
      </c>
      <c r="I2753" s="27" t="str">
        <f>IF($N2753="","",INDEX('_calc'!$H$2:$H$3001,$N2753))</f>
        <v/>
      </c>
      <c r="J2753" s="27" t="str">
        <f>IF($N2753="","",INDEX('_calc'!$I$2:$I$3001,$N2753))</f>
        <v/>
      </c>
      <c r="K2753" s="28" t="str">
        <f>IF($N2753="","",IF(OR(I2753="",J2753=""),"",J2753-I2753))</f>
        <v/>
      </c>
      <c r="L2753" s="29" t="str">
        <f>IF($N2753="","",INDEX('_calc'!$J$2:$J$3001,$N2753))</f>
        <v/>
      </c>
      <c r="M2753" s="2" t="str">
        <f>IF($N2753="","",IF(AND(G2753=0,H2753=0),"수량 없음",IF(G2753=0,"신규 (전년 수량 없음)",IF(H2753=0,"당해 수량 없음",""))))</f>
        <v/>
      </c>
      <c r="N2753" t="str">
        <f>IF($B2753="","",MATCH($B2753,'_calc'!$L$2:$L$3001,0))</f>
        <v/>
      </c>
    </row>
    <row r="2754">
      <c r="B2754" s="24" t="str">
        <f>IF(ROW()-ROW($B$8)&gt;nComp,"",ROW()-ROW($B$8))</f>
        <v/>
      </c>
      <c r="C2754" t="str">
        <f>IF($N2754="","",INDEX('_calc'!$A$2:$A$3001,$N2754))</f>
        <v/>
      </c>
      <c r="D2754" s="25" t="str">
        <f>IF($N2754="","",INDEX('_calc'!$C$2:$C$3001,$N2754))</f>
        <v/>
      </c>
      <c r="E2754" s="25" t="str">
        <f>IF($N2754="","",INDEX('_calc'!$D$2:$D$3001,$N2754))</f>
        <v/>
      </c>
      <c r="F2754" s="26" t="str">
        <f>IF($N2754="","",IF($E$8=0,"",E2754/$E$8))</f>
        <v/>
      </c>
      <c r="G2754" s="25" t="str">
        <f>IF($N2754="","",INDEX('_calc'!$E$2:$E$3001,$N2754))</f>
        <v/>
      </c>
      <c r="H2754" s="25" t="str">
        <f>IF($N2754="","",INDEX('_calc'!$F$2:$F$3001,$N2754))</f>
        <v/>
      </c>
      <c r="I2754" s="27" t="str">
        <f>IF($N2754="","",INDEX('_calc'!$H$2:$H$3001,$N2754))</f>
        <v/>
      </c>
      <c r="J2754" s="27" t="str">
        <f>IF($N2754="","",INDEX('_calc'!$I$2:$I$3001,$N2754))</f>
        <v/>
      </c>
      <c r="K2754" s="28" t="str">
        <f>IF($N2754="","",IF(OR(I2754="",J2754=""),"",J2754-I2754))</f>
        <v/>
      </c>
      <c r="L2754" s="29" t="str">
        <f>IF($N2754="","",INDEX('_calc'!$J$2:$J$3001,$N2754))</f>
        <v/>
      </c>
      <c r="M2754" s="2" t="str">
        <f>IF($N2754="","",IF(AND(G2754=0,H2754=0),"수량 없음",IF(G2754=0,"신규 (전년 수량 없음)",IF(H2754=0,"당해 수량 없음",""))))</f>
        <v/>
      </c>
      <c r="N2754" t="str">
        <f>IF($B2754="","",MATCH($B2754,'_calc'!$L$2:$L$3001,0))</f>
        <v/>
      </c>
    </row>
    <row r="2755">
      <c r="B2755" s="24" t="str">
        <f>IF(ROW()-ROW($B$8)&gt;nComp,"",ROW()-ROW($B$8))</f>
        <v/>
      </c>
      <c r="C2755" t="str">
        <f>IF($N2755="","",INDEX('_calc'!$A$2:$A$3001,$N2755))</f>
        <v/>
      </c>
      <c r="D2755" s="25" t="str">
        <f>IF($N2755="","",INDEX('_calc'!$C$2:$C$3001,$N2755))</f>
        <v/>
      </c>
      <c r="E2755" s="25" t="str">
        <f>IF($N2755="","",INDEX('_calc'!$D$2:$D$3001,$N2755))</f>
        <v/>
      </c>
      <c r="F2755" s="26" t="str">
        <f>IF($N2755="","",IF($E$8=0,"",E2755/$E$8))</f>
        <v/>
      </c>
      <c r="G2755" s="25" t="str">
        <f>IF($N2755="","",INDEX('_calc'!$E$2:$E$3001,$N2755))</f>
        <v/>
      </c>
      <c r="H2755" s="25" t="str">
        <f>IF($N2755="","",INDEX('_calc'!$F$2:$F$3001,$N2755))</f>
        <v/>
      </c>
      <c r="I2755" s="27" t="str">
        <f>IF($N2755="","",INDEX('_calc'!$H$2:$H$3001,$N2755))</f>
        <v/>
      </c>
      <c r="J2755" s="27" t="str">
        <f>IF($N2755="","",INDEX('_calc'!$I$2:$I$3001,$N2755))</f>
        <v/>
      </c>
      <c r="K2755" s="28" t="str">
        <f>IF($N2755="","",IF(OR(I2755="",J2755=""),"",J2755-I2755))</f>
        <v/>
      </c>
      <c r="L2755" s="29" t="str">
        <f>IF($N2755="","",INDEX('_calc'!$J$2:$J$3001,$N2755))</f>
        <v/>
      </c>
      <c r="M2755" s="2" t="str">
        <f>IF($N2755="","",IF(AND(G2755=0,H2755=0),"수량 없음",IF(G2755=0,"신규 (전년 수량 없음)",IF(H2755=0,"당해 수량 없음",""))))</f>
        <v/>
      </c>
      <c r="N2755" t="str">
        <f>IF($B2755="","",MATCH($B2755,'_calc'!$L$2:$L$3001,0))</f>
        <v/>
      </c>
    </row>
    <row r="2756">
      <c r="B2756" s="24" t="str">
        <f>IF(ROW()-ROW($B$8)&gt;nComp,"",ROW()-ROW($B$8))</f>
        <v/>
      </c>
      <c r="C2756" t="str">
        <f>IF($N2756="","",INDEX('_calc'!$A$2:$A$3001,$N2756))</f>
        <v/>
      </c>
      <c r="D2756" s="25" t="str">
        <f>IF($N2756="","",INDEX('_calc'!$C$2:$C$3001,$N2756))</f>
        <v/>
      </c>
      <c r="E2756" s="25" t="str">
        <f>IF($N2756="","",INDEX('_calc'!$D$2:$D$3001,$N2756))</f>
        <v/>
      </c>
      <c r="F2756" s="26" t="str">
        <f>IF($N2756="","",IF($E$8=0,"",E2756/$E$8))</f>
        <v/>
      </c>
      <c r="G2756" s="25" t="str">
        <f>IF($N2756="","",INDEX('_calc'!$E$2:$E$3001,$N2756))</f>
        <v/>
      </c>
      <c r="H2756" s="25" t="str">
        <f>IF($N2756="","",INDEX('_calc'!$F$2:$F$3001,$N2756))</f>
        <v/>
      </c>
      <c r="I2756" s="27" t="str">
        <f>IF($N2756="","",INDEX('_calc'!$H$2:$H$3001,$N2756))</f>
        <v/>
      </c>
      <c r="J2756" s="27" t="str">
        <f>IF($N2756="","",INDEX('_calc'!$I$2:$I$3001,$N2756))</f>
        <v/>
      </c>
      <c r="K2756" s="28" t="str">
        <f>IF($N2756="","",IF(OR(I2756="",J2756=""),"",J2756-I2756))</f>
        <v/>
      </c>
      <c r="L2756" s="29" t="str">
        <f>IF($N2756="","",INDEX('_calc'!$J$2:$J$3001,$N2756))</f>
        <v/>
      </c>
      <c r="M2756" s="2" t="str">
        <f>IF($N2756="","",IF(AND(G2756=0,H2756=0),"수량 없음",IF(G2756=0,"신규 (전년 수량 없음)",IF(H2756=0,"당해 수량 없음",""))))</f>
        <v/>
      </c>
      <c r="N2756" t="str">
        <f>IF($B2756="","",MATCH($B2756,'_calc'!$L$2:$L$3001,0))</f>
        <v/>
      </c>
    </row>
    <row r="2757">
      <c r="B2757" s="24" t="str">
        <f>IF(ROW()-ROW($B$8)&gt;nComp,"",ROW()-ROW($B$8))</f>
        <v/>
      </c>
      <c r="C2757" t="str">
        <f>IF($N2757="","",INDEX('_calc'!$A$2:$A$3001,$N2757))</f>
        <v/>
      </c>
      <c r="D2757" s="25" t="str">
        <f>IF($N2757="","",INDEX('_calc'!$C$2:$C$3001,$N2757))</f>
        <v/>
      </c>
      <c r="E2757" s="25" t="str">
        <f>IF($N2757="","",INDEX('_calc'!$D$2:$D$3001,$N2757))</f>
        <v/>
      </c>
      <c r="F2757" s="26" t="str">
        <f>IF($N2757="","",IF($E$8=0,"",E2757/$E$8))</f>
        <v/>
      </c>
      <c r="G2757" s="25" t="str">
        <f>IF($N2757="","",INDEX('_calc'!$E$2:$E$3001,$N2757))</f>
        <v/>
      </c>
      <c r="H2757" s="25" t="str">
        <f>IF($N2757="","",INDEX('_calc'!$F$2:$F$3001,$N2757))</f>
        <v/>
      </c>
      <c r="I2757" s="27" t="str">
        <f>IF($N2757="","",INDEX('_calc'!$H$2:$H$3001,$N2757))</f>
        <v/>
      </c>
      <c r="J2757" s="27" t="str">
        <f>IF($N2757="","",INDEX('_calc'!$I$2:$I$3001,$N2757))</f>
        <v/>
      </c>
      <c r="K2757" s="28" t="str">
        <f>IF($N2757="","",IF(OR(I2757="",J2757=""),"",J2757-I2757))</f>
        <v/>
      </c>
      <c r="L2757" s="29" t="str">
        <f>IF($N2757="","",INDEX('_calc'!$J$2:$J$3001,$N2757))</f>
        <v/>
      </c>
      <c r="M2757" s="2" t="str">
        <f>IF($N2757="","",IF(AND(G2757=0,H2757=0),"수량 없음",IF(G2757=0,"신규 (전년 수량 없음)",IF(H2757=0,"당해 수량 없음",""))))</f>
        <v/>
      </c>
      <c r="N2757" t="str">
        <f>IF($B2757="","",MATCH($B2757,'_calc'!$L$2:$L$3001,0))</f>
        <v/>
      </c>
    </row>
    <row r="2758">
      <c r="B2758" s="24" t="str">
        <f>IF(ROW()-ROW($B$8)&gt;nComp,"",ROW()-ROW($B$8))</f>
        <v/>
      </c>
      <c r="C2758" t="str">
        <f>IF($N2758="","",INDEX('_calc'!$A$2:$A$3001,$N2758))</f>
        <v/>
      </c>
      <c r="D2758" s="25" t="str">
        <f>IF($N2758="","",INDEX('_calc'!$C$2:$C$3001,$N2758))</f>
        <v/>
      </c>
      <c r="E2758" s="25" t="str">
        <f>IF($N2758="","",INDEX('_calc'!$D$2:$D$3001,$N2758))</f>
        <v/>
      </c>
      <c r="F2758" s="26" t="str">
        <f>IF($N2758="","",IF($E$8=0,"",E2758/$E$8))</f>
        <v/>
      </c>
      <c r="G2758" s="25" t="str">
        <f>IF($N2758="","",INDEX('_calc'!$E$2:$E$3001,$N2758))</f>
        <v/>
      </c>
      <c r="H2758" s="25" t="str">
        <f>IF($N2758="","",INDEX('_calc'!$F$2:$F$3001,$N2758))</f>
        <v/>
      </c>
      <c r="I2758" s="27" t="str">
        <f>IF($N2758="","",INDEX('_calc'!$H$2:$H$3001,$N2758))</f>
        <v/>
      </c>
      <c r="J2758" s="27" t="str">
        <f>IF($N2758="","",INDEX('_calc'!$I$2:$I$3001,$N2758))</f>
        <v/>
      </c>
      <c r="K2758" s="28" t="str">
        <f>IF($N2758="","",IF(OR(I2758="",J2758=""),"",J2758-I2758))</f>
        <v/>
      </c>
      <c r="L2758" s="29" t="str">
        <f>IF($N2758="","",INDEX('_calc'!$J$2:$J$3001,$N2758))</f>
        <v/>
      </c>
      <c r="M2758" s="2" t="str">
        <f>IF($N2758="","",IF(AND(G2758=0,H2758=0),"수량 없음",IF(G2758=0,"신규 (전년 수량 없음)",IF(H2758=0,"당해 수량 없음",""))))</f>
        <v/>
      </c>
      <c r="N2758" t="str">
        <f>IF($B2758="","",MATCH($B2758,'_calc'!$L$2:$L$3001,0))</f>
        <v/>
      </c>
    </row>
    <row r="2759">
      <c r="B2759" s="24" t="str">
        <f>IF(ROW()-ROW($B$8)&gt;nComp,"",ROW()-ROW($B$8))</f>
        <v/>
      </c>
      <c r="C2759" t="str">
        <f>IF($N2759="","",INDEX('_calc'!$A$2:$A$3001,$N2759))</f>
        <v/>
      </c>
      <c r="D2759" s="25" t="str">
        <f>IF($N2759="","",INDEX('_calc'!$C$2:$C$3001,$N2759))</f>
        <v/>
      </c>
      <c r="E2759" s="25" t="str">
        <f>IF($N2759="","",INDEX('_calc'!$D$2:$D$3001,$N2759))</f>
        <v/>
      </c>
      <c r="F2759" s="26" t="str">
        <f>IF($N2759="","",IF($E$8=0,"",E2759/$E$8))</f>
        <v/>
      </c>
      <c r="G2759" s="25" t="str">
        <f>IF($N2759="","",INDEX('_calc'!$E$2:$E$3001,$N2759))</f>
        <v/>
      </c>
      <c r="H2759" s="25" t="str">
        <f>IF($N2759="","",INDEX('_calc'!$F$2:$F$3001,$N2759))</f>
        <v/>
      </c>
      <c r="I2759" s="27" t="str">
        <f>IF($N2759="","",INDEX('_calc'!$H$2:$H$3001,$N2759))</f>
        <v/>
      </c>
      <c r="J2759" s="27" t="str">
        <f>IF($N2759="","",INDEX('_calc'!$I$2:$I$3001,$N2759))</f>
        <v/>
      </c>
      <c r="K2759" s="28" t="str">
        <f>IF($N2759="","",IF(OR(I2759="",J2759=""),"",J2759-I2759))</f>
        <v/>
      </c>
      <c r="L2759" s="29" t="str">
        <f>IF($N2759="","",INDEX('_calc'!$J$2:$J$3001,$N2759))</f>
        <v/>
      </c>
      <c r="M2759" s="2" t="str">
        <f>IF($N2759="","",IF(AND(G2759=0,H2759=0),"수량 없음",IF(G2759=0,"신규 (전년 수량 없음)",IF(H2759=0,"당해 수량 없음",""))))</f>
        <v/>
      </c>
      <c r="N2759" t="str">
        <f>IF($B2759="","",MATCH($B2759,'_calc'!$L$2:$L$3001,0))</f>
        <v/>
      </c>
    </row>
    <row r="2760">
      <c r="B2760" s="24" t="str">
        <f>IF(ROW()-ROW($B$8)&gt;nComp,"",ROW()-ROW($B$8))</f>
        <v/>
      </c>
      <c r="C2760" t="str">
        <f>IF($N2760="","",INDEX('_calc'!$A$2:$A$3001,$N2760))</f>
        <v/>
      </c>
      <c r="D2760" s="25" t="str">
        <f>IF($N2760="","",INDEX('_calc'!$C$2:$C$3001,$N2760))</f>
        <v/>
      </c>
      <c r="E2760" s="25" t="str">
        <f>IF($N2760="","",INDEX('_calc'!$D$2:$D$3001,$N2760))</f>
        <v/>
      </c>
      <c r="F2760" s="26" t="str">
        <f>IF($N2760="","",IF($E$8=0,"",E2760/$E$8))</f>
        <v/>
      </c>
      <c r="G2760" s="25" t="str">
        <f>IF($N2760="","",INDEX('_calc'!$E$2:$E$3001,$N2760))</f>
        <v/>
      </c>
      <c r="H2760" s="25" t="str">
        <f>IF($N2760="","",INDEX('_calc'!$F$2:$F$3001,$N2760))</f>
        <v/>
      </c>
      <c r="I2760" s="27" t="str">
        <f>IF($N2760="","",INDEX('_calc'!$H$2:$H$3001,$N2760))</f>
        <v/>
      </c>
      <c r="J2760" s="27" t="str">
        <f>IF($N2760="","",INDEX('_calc'!$I$2:$I$3001,$N2760))</f>
        <v/>
      </c>
      <c r="K2760" s="28" t="str">
        <f>IF($N2760="","",IF(OR(I2760="",J2760=""),"",J2760-I2760))</f>
        <v/>
      </c>
      <c r="L2760" s="29" t="str">
        <f>IF($N2760="","",INDEX('_calc'!$J$2:$J$3001,$N2760))</f>
        <v/>
      </c>
      <c r="M2760" s="2" t="str">
        <f>IF($N2760="","",IF(AND(G2760=0,H2760=0),"수량 없음",IF(G2760=0,"신규 (전년 수량 없음)",IF(H2760=0,"당해 수량 없음",""))))</f>
        <v/>
      </c>
      <c r="N2760" t="str">
        <f>IF($B2760="","",MATCH($B2760,'_calc'!$L$2:$L$3001,0))</f>
        <v/>
      </c>
    </row>
    <row r="2761">
      <c r="B2761" s="24" t="str">
        <f>IF(ROW()-ROW($B$8)&gt;nComp,"",ROW()-ROW($B$8))</f>
        <v/>
      </c>
      <c r="C2761" t="str">
        <f>IF($N2761="","",INDEX('_calc'!$A$2:$A$3001,$N2761))</f>
        <v/>
      </c>
      <c r="D2761" s="25" t="str">
        <f>IF($N2761="","",INDEX('_calc'!$C$2:$C$3001,$N2761))</f>
        <v/>
      </c>
      <c r="E2761" s="25" t="str">
        <f>IF($N2761="","",INDEX('_calc'!$D$2:$D$3001,$N2761))</f>
        <v/>
      </c>
      <c r="F2761" s="26" t="str">
        <f>IF($N2761="","",IF($E$8=0,"",E2761/$E$8))</f>
        <v/>
      </c>
      <c r="G2761" s="25" t="str">
        <f>IF($N2761="","",INDEX('_calc'!$E$2:$E$3001,$N2761))</f>
        <v/>
      </c>
      <c r="H2761" s="25" t="str">
        <f>IF($N2761="","",INDEX('_calc'!$F$2:$F$3001,$N2761))</f>
        <v/>
      </c>
      <c r="I2761" s="27" t="str">
        <f>IF($N2761="","",INDEX('_calc'!$H$2:$H$3001,$N2761))</f>
        <v/>
      </c>
      <c r="J2761" s="27" t="str">
        <f>IF($N2761="","",INDEX('_calc'!$I$2:$I$3001,$N2761))</f>
        <v/>
      </c>
      <c r="K2761" s="28" t="str">
        <f>IF($N2761="","",IF(OR(I2761="",J2761=""),"",J2761-I2761))</f>
        <v/>
      </c>
      <c r="L2761" s="29" t="str">
        <f>IF($N2761="","",INDEX('_calc'!$J$2:$J$3001,$N2761))</f>
        <v/>
      </c>
      <c r="M2761" s="2" t="str">
        <f>IF($N2761="","",IF(AND(G2761=0,H2761=0),"수량 없음",IF(G2761=0,"신규 (전년 수량 없음)",IF(H2761=0,"당해 수량 없음",""))))</f>
        <v/>
      </c>
      <c r="N2761" t="str">
        <f>IF($B2761="","",MATCH($B2761,'_calc'!$L$2:$L$3001,0))</f>
        <v/>
      </c>
    </row>
    <row r="2762">
      <c r="B2762" s="24" t="str">
        <f>IF(ROW()-ROW($B$8)&gt;nComp,"",ROW()-ROW($B$8))</f>
        <v/>
      </c>
      <c r="C2762" t="str">
        <f>IF($N2762="","",INDEX('_calc'!$A$2:$A$3001,$N2762))</f>
        <v/>
      </c>
      <c r="D2762" s="25" t="str">
        <f>IF($N2762="","",INDEX('_calc'!$C$2:$C$3001,$N2762))</f>
        <v/>
      </c>
      <c r="E2762" s="25" t="str">
        <f>IF($N2762="","",INDEX('_calc'!$D$2:$D$3001,$N2762))</f>
        <v/>
      </c>
      <c r="F2762" s="26" t="str">
        <f>IF($N2762="","",IF($E$8=0,"",E2762/$E$8))</f>
        <v/>
      </c>
      <c r="G2762" s="25" t="str">
        <f>IF($N2762="","",INDEX('_calc'!$E$2:$E$3001,$N2762))</f>
        <v/>
      </c>
      <c r="H2762" s="25" t="str">
        <f>IF($N2762="","",INDEX('_calc'!$F$2:$F$3001,$N2762))</f>
        <v/>
      </c>
      <c r="I2762" s="27" t="str">
        <f>IF($N2762="","",INDEX('_calc'!$H$2:$H$3001,$N2762))</f>
        <v/>
      </c>
      <c r="J2762" s="27" t="str">
        <f>IF($N2762="","",INDEX('_calc'!$I$2:$I$3001,$N2762))</f>
        <v/>
      </c>
      <c r="K2762" s="28" t="str">
        <f>IF($N2762="","",IF(OR(I2762="",J2762=""),"",J2762-I2762))</f>
        <v/>
      </c>
      <c r="L2762" s="29" t="str">
        <f>IF($N2762="","",INDEX('_calc'!$J$2:$J$3001,$N2762))</f>
        <v/>
      </c>
      <c r="M2762" s="2" t="str">
        <f>IF($N2762="","",IF(AND(G2762=0,H2762=0),"수량 없음",IF(G2762=0,"신규 (전년 수량 없음)",IF(H2762=0,"당해 수량 없음",""))))</f>
        <v/>
      </c>
      <c r="N2762" t="str">
        <f>IF($B2762="","",MATCH($B2762,'_calc'!$L$2:$L$3001,0))</f>
        <v/>
      </c>
    </row>
    <row r="2763">
      <c r="B2763" s="24" t="str">
        <f>IF(ROW()-ROW($B$8)&gt;nComp,"",ROW()-ROW($B$8))</f>
        <v/>
      </c>
      <c r="C2763" t="str">
        <f>IF($N2763="","",INDEX('_calc'!$A$2:$A$3001,$N2763))</f>
        <v/>
      </c>
      <c r="D2763" s="25" t="str">
        <f>IF($N2763="","",INDEX('_calc'!$C$2:$C$3001,$N2763))</f>
        <v/>
      </c>
      <c r="E2763" s="25" t="str">
        <f>IF($N2763="","",INDEX('_calc'!$D$2:$D$3001,$N2763))</f>
        <v/>
      </c>
      <c r="F2763" s="26" t="str">
        <f>IF($N2763="","",IF($E$8=0,"",E2763/$E$8))</f>
        <v/>
      </c>
      <c r="G2763" s="25" t="str">
        <f>IF($N2763="","",INDEX('_calc'!$E$2:$E$3001,$N2763))</f>
        <v/>
      </c>
      <c r="H2763" s="25" t="str">
        <f>IF($N2763="","",INDEX('_calc'!$F$2:$F$3001,$N2763))</f>
        <v/>
      </c>
      <c r="I2763" s="27" t="str">
        <f>IF($N2763="","",INDEX('_calc'!$H$2:$H$3001,$N2763))</f>
        <v/>
      </c>
      <c r="J2763" s="27" t="str">
        <f>IF($N2763="","",INDEX('_calc'!$I$2:$I$3001,$N2763))</f>
        <v/>
      </c>
      <c r="K2763" s="28" t="str">
        <f>IF($N2763="","",IF(OR(I2763="",J2763=""),"",J2763-I2763))</f>
        <v/>
      </c>
      <c r="L2763" s="29" t="str">
        <f>IF($N2763="","",INDEX('_calc'!$J$2:$J$3001,$N2763))</f>
        <v/>
      </c>
      <c r="M2763" s="2" t="str">
        <f>IF($N2763="","",IF(AND(G2763=0,H2763=0),"수량 없음",IF(G2763=0,"신규 (전년 수량 없음)",IF(H2763=0,"당해 수량 없음",""))))</f>
        <v/>
      </c>
      <c r="N2763" t="str">
        <f>IF($B2763="","",MATCH($B2763,'_calc'!$L$2:$L$3001,0))</f>
        <v/>
      </c>
    </row>
    <row r="2764">
      <c r="B2764" s="24" t="str">
        <f>IF(ROW()-ROW($B$8)&gt;nComp,"",ROW()-ROW($B$8))</f>
        <v/>
      </c>
      <c r="C2764" t="str">
        <f>IF($N2764="","",INDEX('_calc'!$A$2:$A$3001,$N2764))</f>
        <v/>
      </c>
      <c r="D2764" s="25" t="str">
        <f>IF($N2764="","",INDEX('_calc'!$C$2:$C$3001,$N2764))</f>
        <v/>
      </c>
      <c r="E2764" s="25" t="str">
        <f>IF($N2764="","",INDEX('_calc'!$D$2:$D$3001,$N2764))</f>
        <v/>
      </c>
      <c r="F2764" s="26" t="str">
        <f>IF($N2764="","",IF($E$8=0,"",E2764/$E$8))</f>
        <v/>
      </c>
      <c r="G2764" s="25" t="str">
        <f>IF($N2764="","",INDEX('_calc'!$E$2:$E$3001,$N2764))</f>
        <v/>
      </c>
      <c r="H2764" s="25" t="str">
        <f>IF($N2764="","",INDEX('_calc'!$F$2:$F$3001,$N2764))</f>
        <v/>
      </c>
      <c r="I2764" s="27" t="str">
        <f>IF($N2764="","",INDEX('_calc'!$H$2:$H$3001,$N2764))</f>
        <v/>
      </c>
      <c r="J2764" s="27" t="str">
        <f>IF($N2764="","",INDEX('_calc'!$I$2:$I$3001,$N2764))</f>
        <v/>
      </c>
      <c r="K2764" s="28" t="str">
        <f>IF($N2764="","",IF(OR(I2764="",J2764=""),"",J2764-I2764))</f>
        <v/>
      </c>
      <c r="L2764" s="29" t="str">
        <f>IF($N2764="","",INDEX('_calc'!$J$2:$J$3001,$N2764))</f>
        <v/>
      </c>
      <c r="M2764" s="2" t="str">
        <f>IF($N2764="","",IF(AND(G2764=0,H2764=0),"수량 없음",IF(G2764=0,"신규 (전년 수량 없음)",IF(H2764=0,"당해 수량 없음",""))))</f>
        <v/>
      </c>
      <c r="N2764" t="str">
        <f>IF($B2764="","",MATCH($B2764,'_calc'!$L$2:$L$3001,0))</f>
        <v/>
      </c>
    </row>
    <row r="2765">
      <c r="B2765" s="24" t="str">
        <f>IF(ROW()-ROW($B$8)&gt;nComp,"",ROW()-ROW($B$8))</f>
        <v/>
      </c>
      <c r="C2765" t="str">
        <f>IF($N2765="","",INDEX('_calc'!$A$2:$A$3001,$N2765))</f>
        <v/>
      </c>
      <c r="D2765" s="25" t="str">
        <f>IF($N2765="","",INDEX('_calc'!$C$2:$C$3001,$N2765))</f>
        <v/>
      </c>
      <c r="E2765" s="25" t="str">
        <f>IF($N2765="","",INDEX('_calc'!$D$2:$D$3001,$N2765))</f>
        <v/>
      </c>
      <c r="F2765" s="26" t="str">
        <f>IF($N2765="","",IF($E$8=0,"",E2765/$E$8))</f>
        <v/>
      </c>
      <c r="G2765" s="25" t="str">
        <f>IF($N2765="","",INDEX('_calc'!$E$2:$E$3001,$N2765))</f>
        <v/>
      </c>
      <c r="H2765" s="25" t="str">
        <f>IF($N2765="","",INDEX('_calc'!$F$2:$F$3001,$N2765))</f>
        <v/>
      </c>
      <c r="I2765" s="27" t="str">
        <f>IF($N2765="","",INDEX('_calc'!$H$2:$H$3001,$N2765))</f>
        <v/>
      </c>
      <c r="J2765" s="27" t="str">
        <f>IF($N2765="","",INDEX('_calc'!$I$2:$I$3001,$N2765))</f>
        <v/>
      </c>
      <c r="K2765" s="28" t="str">
        <f>IF($N2765="","",IF(OR(I2765="",J2765=""),"",J2765-I2765))</f>
        <v/>
      </c>
      <c r="L2765" s="29" t="str">
        <f>IF($N2765="","",INDEX('_calc'!$J$2:$J$3001,$N2765))</f>
        <v/>
      </c>
      <c r="M2765" s="2" t="str">
        <f>IF($N2765="","",IF(AND(G2765=0,H2765=0),"수량 없음",IF(G2765=0,"신규 (전년 수량 없음)",IF(H2765=0,"당해 수량 없음",""))))</f>
        <v/>
      </c>
      <c r="N2765" t="str">
        <f>IF($B2765="","",MATCH($B2765,'_calc'!$L$2:$L$3001,0))</f>
        <v/>
      </c>
    </row>
    <row r="2766">
      <c r="B2766" s="24" t="str">
        <f>IF(ROW()-ROW($B$8)&gt;nComp,"",ROW()-ROW($B$8))</f>
        <v/>
      </c>
      <c r="C2766" t="str">
        <f>IF($N2766="","",INDEX('_calc'!$A$2:$A$3001,$N2766))</f>
        <v/>
      </c>
      <c r="D2766" s="25" t="str">
        <f>IF($N2766="","",INDEX('_calc'!$C$2:$C$3001,$N2766))</f>
        <v/>
      </c>
      <c r="E2766" s="25" t="str">
        <f>IF($N2766="","",INDEX('_calc'!$D$2:$D$3001,$N2766))</f>
        <v/>
      </c>
      <c r="F2766" s="26" t="str">
        <f>IF($N2766="","",IF($E$8=0,"",E2766/$E$8))</f>
        <v/>
      </c>
      <c r="G2766" s="25" t="str">
        <f>IF($N2766="","",INDEX('_calc'!$E$2:$E$3001,$N2766))</f>
        <v/>
      </c>
      <c r="H2766" s="25" t="str">
        <f>IF($N2766="","",INDEX('_calc'!$F$2:$F$3001,$N2766))</f>
        <v/>
      </c>
      <c r="I2766" s="27" t="str">
        <f>IF($N2766="","",INDEX('_calc'!$H$2:$H$3001,$N2766))</f>
        <v/>
      </c>
      <c r="J2766" s="27" t="str">
        <f>IF($N2766="","",INDEX('_calc'!$I$2:$I$3001,$N2766))</f>
        <v/>
      </c>
      <c r="K2766" s="28" t="str">
        <f>IF($N2766="","",IF(OR(I2766="",J2766=""),"",J2766-I2766))</f>
        <v/>
      </c>
      <c r="L2766" s="29" t="str">
        <f>IF($N2766="","",INDEX('_calc'!$J$2:$J$3001,$N2766))</f>
        <v/>
      </c>
      <c r="M2766" s="2" t="str">
        <f>IF($N2766="","",IF(AND(G2766=0,H2766=0),"수량 없음",IF(G2766=0,"신규 (전년 수량 없음)",IF(H2766=0,"당해 수량 없음",""))))</f>
        <v/>
      </c>
      <c r="N2766" t="str">
        <f>IF($B2766="","",MATCH($B2766,'_calc'!$L$2:$L$3001,0))</f>
        <v/>
      </c>
    </row>
    <row r="2767">
      <c r="B2767" s="24" t="str">
        <f>IF(ROW()-ROW($B$8)&gt;nComp,"",ROW()-ROW($B$8))</f>
        <v/>
      </c>
      <c r="C2767" t="str">
        <f>IF($N2767="","",INDEX('_calc'!$A$2:$A$3001,$N2767))</f>
        <v/>
      </c>
      <c r="D2767" s="25" t="str">
        <f>IF($N2767="","",INDEX('_calc'!$C$2:$C$3001,$N2767))</f>
        <v/>
      </c>
      <c r="E2767" s="25" t="str">
        <f>IF($N2767="","",INDEX('_calc'!$D$2:$D$3001,$N2767))</f>
        <v/>
      </c>
      <c r="F2767" s="26" t="str">
        <f>IF($N2767="","",IF($E$8=0,"",E2767/$E$8))</f>
        <v/>
      </c>
      <c r="G2767" s="25" t="str">
        <f>IF($N2767="","",INDEX('_calc'!$E$2:$E$3001,$N2767))</f>
        <v/>
      </c>
      <c r="H2767" s="25" t="str">
        <f>IF($N2767="","",INDEX('_calc'!$F$2:$F$3001,$N2767))</f>
        <v/>
      </c>
      <c r="I2767" s="27" t="str">
        <f>IF($N2767="","",INDEX('_calc'!$H$2:$H$3001,$N2767))</f>
        <v/>
      </c>
      <c r="J2767" s="27" t="str">
        <f>IF($N2767="","",INDEX('_calc'!$I$2:$I$3001,$N2767))</f>
        <v/>
      </c>
      <c r="K2767" s="28" t="str">
        <f>IF($N2767="","",IF(OR(I2767="",J2767=""),"",J2767-I2767))</f>
        <v/>
      </c>
      <c r="L2767" s="29" t="str">
        <f>IF($N2767="","",INDEX('_calc'!$J$2:$J$3001,$N2767))</f>
        <v/>
      </c>
      <c r="M2767" s="2" t="str">
        <f>IF($N2767="","",IF(AND(G2767=0,H2767=0),"수량 없음",IF(G2767=0,"신규 (전년 수량 없음)",IF(H2767=0,"당해 수량 없음",""))))</f>
        <v/>
      </c>
      <c r="N2767" t="str">
        <f>IF($B2767="","",MATCH($B2767,'_calc'!$L$2:$L$3001,0))</f>
        <v/>
      </c>
    </row>
    <row r="2768">
      <c r="B2768" s="24" t="str">
        <f>IF(ROW()-ROW($B$8)&gt;nComp,"",ROW()-ROW($B$8))</f>
        <v/>
      </c>
      <c r="C2768" t="str">
        <f>IF($N2768="","",INDEX('_calc'!$A$2:$A$3001,$N2768))</f>
        <v/>
      </c>
      <c r="D2768" s="25" t="str">
        <f>IF($N2768="","",INDEX('_calc'!$C$2:$C$3001,$N2768))</f>
        <v/>
      </c>
      <c r="E2768" s="25" t="str">
        <f>IF($N2768="","",INDEX('_calc'!$D$2:$D$3001,$N2768))</f>
        <v/>
      </c>
      <c r="F2768" s="26" t="str">
        <f>IF($N2768="","",IF($E$8=0,"",E2768/$E$8))</f>
        <v/>
      </c>
      <c r="G2768" s="25" t="str">
        <f>IF($N2768="","",INDEX('_calc'!$E$2:$E$3001,$N2768))</f>
        <v/>
      </c>
      <c r="H2768" s="25" t="str">
        <f>IF($N2768="","",INDEX('_calc'!$F$2:$F$3001,$N2768))</f>
        <v/>
      </c>
      <c r="I2768" s="27" t="str">
        <f>IF($N2768="","",INDEX('_calc'!$H$2:$H$3001,$N2768))</f>
        <v/>
      </c>
      <c r="J2768" s="27" t="str">
        <f>IF($N2768="","",INDEX('_calc'!$I$2:$I$3001,$N2768))</f>
        <v/>
      </c>
      <c r="K2768" s="28" t="str">
        <f>IF($N2768="","",IF(OR(I2768="",J2768=""),"",J2768-I2768))</f>
        <v/>
      </c>
      <c r="L2768" s="29" t="str">
        <f>IF($N2768="","",INDEX('_calc'!$J$2:$J$3001,$N2768))</f>
        <v/>
      </c>
      <c r="M2768" s="2" t="str">
        <f>IF($N2768="","",IF(AND(G2768=0,H2768=0),"수량 없음",IF(G2768=0,"신규 (전년 수량 없음)",IF(H2768=0,"당해 수량 없음",""))))</f>
        <v/>
      </c>
      <c r="N2768" t="str">
        <f>IF($B2768="","",MATCH($B2768,'_calc'!$L$2:$L$3001,0))</f>
        <v/>
      </c>
    </row>
    <row r="2769">
      <c r="B2769" s="24" t="str">
        <f>IF(ROW()-ROW($B$8)&gt;nComp,"",ROW()-ROW($B$8))</f>
        <v/>
      </c>
      <c r="C2769" t="str">
        <f>IF($N2769="","",INDEX('_calc'!$A$2:$A$3001,$N2769))</f>
        <v/>
      </c>
      <c r="D2769" s="25" t="str">
        <f>IF($N2769="","",INDEX('_calc'!$C$2:$C$3001,$N2769))</f>
        <v/>
      </c>
      <c r="E2769" s="25" t="str">
        <f>IF($N2769="","",INDEX('_calc'!$D$2:$D$3001,$N2769))</f>
        <v/>
      </c>
      <c r="F2769" s="26" t="str">
        <f>IF($N2769="","",IF($E$8=0,"",E2769/$E$8))</f>
        <v/>
      </c>
      <c r="G2769" s="25" t="str">
        <f>IF($N2769="","",INDEX('_calc'!$E$2:$E$3001,$N2769))</f>
        <v/>
      </c>
      <c r="H2769" s="25" t="str">
        <f>IF($N2769="","",INDEX('_calc'!$F$2:$F$3001,$N2769))</f>
        <v/>
      </c>
      <c r="I2769" s="27" t="str">
        <f>IF($N2769="","",INDEX('_calc'!$H$2:$H$3001,$N2769))</f>
        <v/>
      </c>
      <c r="J2769" s="27" t="str">
        <f>IF($N2769="","",INDEX('_calc'!$I$2:$I$3001,$N2769))</f>
        <v/>
      </c>
      <c r="K2769" s="28" t="str">
        <f>IF($N2769="","",IF(OR(I2769="",J2769=""),"",J2769-I2769))</f>
        <v/>
      </c>
      <c r="L2769" s="29" t="str">
        <f>IF($N2769="","",INDEX('_calc'!$J$2:$J$3001,$N2769))</f>
        <v/>
      </c>
      <c r="M2769" s="2" t="str">
        <f>IF($N2769="","",IF(AND(G2769=0,H2769=0),"수량 없음",IF(G2769=0,"신규 (전년 수량 없음)",IF(H2769=0,"당해 수량 없음",""))))</f>
        <v/>
      </c>
      <c r="N2769" t="str">
        <f>IF($B2769="","",MATCH($B2769,'_calc'!$L$2:$L$3001,0))</f>
        <v/>
      </c>
    </row>
    <row r="2770">
      <c r="B2770" s="24" t="str">
        <f>IF(ROW()-ROW($B$8)&gt;nComp,"",ROW()-ROW($B$8))</f>
        <v/>
      </c>
      <c r="C2770" t="str">
        <f>IF($N2770="","",INDEX('_calc'!$A$2:$A$3001,$N2770))</f>
        <v/>
      </c>
      <c r="D2770" s="25" t="str">
        <f>IF($N2770="","",INDEX('_calc'!$C$2:$C$3001,$N2770))</f>
        <v/>
      </c>
      <c r="E2770" s="25" t="str">
        <f>IF($N2770="","",INDEX('_calc'!$D$2:$D$3001,$N2770))</f>
        <v/>
      </c>
      <c r="F2770" s="26" t="str">
        <f>IF($N2770="","",IF($E$8=0,"",E2770/$E$8))</f>
        <v/>
      </c>
      <c r="G2770" s="25" t="str">
        <f>IF($N2770="","",INDEX('_calc'!$E$2:$E$3001,$N2770))</f>
        <v/>
      </c>
      <c r="H2770" s="25" t="str">
        <f>IF($N2770="","",INDEX('_calc'!$F$2:$F$3001,$N2770))</f>
        <v/>
      </c>
      <c r="I2770" s="27" t="str">
        <f>IF($N2770="","",INDEX('_calc'!$H$2:$H$3001,$N2770))</f>
        <v/>
      </c>
      <c r="J2770" s="27" t="str">
        <f>IF($N2770="","",INDEX('_calc'!$I$2:$I$3001,$N2770))</f>
        <v/>
      </c>
      <c r="K2770" s="28" t="str">
        <f>IF($N2770="","",IF(OR(I2770="",J2770=""),"",J2770-I2770))</f>
        <v/>
      </c>
      <c r="L2770" s="29" t="str">
        <f>IF($N2770="","",INDEX('_calc'!$J$2:$J$3001,$N2770))</f>
        <v/>
      </c>
      <c r="M2770" s="2" t="str">
        <f>IF($N2770="","",IF(AND(G2770=0,H2770=0),"수량 없음",IF(G2770=0,"신규 (전년 수량 없음)",IF(H2770=0,"당해 수량 없음",""))))</f>
        <v/>
      </c>
      <c r="N2770" t="str">
        <f>IF($B2770="","",MATCH($B2770,'_calc'!$L$2:$L$3001,0))</f>
        <v/>
      </c>
    </row>
    <row r="2771">
      <c r="B2771" s="24" t="str">
        <f>IF(ROW()-ROW($B$8)&gt;nComp,"",ROW()-ROW($B$8))</f>
        <v/>
      </c>
      <c r="C2771" t="str">
        <f>IF($N2771="","",INDEX('_calc'!$A$2:$A$3001,$N2771))</f>
        <v/>
      </c>
      <c r="D2771" s="25" t="str">
        <f>IF($N2771="","",INDEX('_calc'!$C$2:$C$3001,$N2771))</f>
        <v/>
      </c>
      <c r="E2771" s="25" t="str">
        <f>IF($N2771="","",INDEX('_calc'!$D$2:$D$3001,$N2771))</f>
        <v/>
      </c>
      <c r="F2771" s="26" t="str">
        <f>IF($N2771="","",IF($E$8=0,"",E2771/$E$8))</f>
        <v/>
      </c>
      <c r="G2771" s="25" t="str">
        <f>IF($N2771="","",INDEX('_calc'!$E$2:$E$3001,$N2771))</f>
        <v/>
      </c>
      <c r="H2771" s="25" t="str">
        <f>IF($N2771="","",INDEX('_calc'!$F$2:$F$3001,$N2771))</f>
        <v/>
      </c>
      <c r="I2771" s="27" t="str">
        <f>IF($N2771="","",INDEX('_calc'!$H$2:$H$3001,$N2771))</f>
        <v/>
      </c>
      <c r="J2771" s="27" t="str">
        <f>IF($N2771="","",INDEX('_calc'!$I$2:$I$3001,$N2771))</f>
        <v/>
      </c>
      <c r="K2771" s="28" t="str">
        <f>IF($N2771="","",IF(OR(I2771="",J2771=""),"",J2771-I2771))</f>
        <v/>
      </c>
      <c r="L2771" s="29" t="str">
        <f>IF($N2771="","",INDEX('_calc'!$J$2:$J$3001,$N2771))</f>
        <v/>
      </c>
      <c r="M2771" s="2" t="str">
        <f>IF($N2771="","",IF(AND(G2771=0,H2771=0),"수량 없음",IF(G2771=0,"신규 (전년 수량 없음)",IF(H2771=0,"당해 수량 없음",""))))</f>
        <v/>
      </c>
      <c r="N2771" t="str">
        <f>IF($B2771="","",MATCH($B2771,'_calc'!$L$2:$L$3001,0))</f>
        <v/>
      </c>
    </row>
    <row r="2772">
      <c r="B2772" s="24" t="str">
        <f>IF(ROW()-ROW($B$8)&gt;nComp,"",ROW()-ROW($B$8))</f>
        <v/>
      </c>
      <c r="C2772" t="str">
        <f>IF($N2772="","",INDEX('_calc'!$A$2:$A$3001,$N2772))</f>
        <v/>
      </c>
      <c r="D2772" s="25" t="str">
        <f>IF($N2772="","",INDEX('_calc'!$C$2:$C$3001,$N2772))</f>
        <v/>
      </c>
      <c r="E2772" s="25" t="str">
        <f>IF($N2772="","",INDEX('_calc'!$D$2:$D$3001,$N2772))</f>
        <v/>
      </c>
      <c r="F2772" s="26" t="str">
        <f>IF($N2772="","",IF($E$8=0,"",E2772/$E$8))</f>
        <v/>
      </c>
      <c r="G2772" s="25" t="str">
        <f>IF($N2772="","",INDEX('_calc'!$E$2:$E$3001,$N2772))</f>
        <v/>
      </c>
      <c r="H2772" s="25" t="str">
        <f>IF($N2772="","",INDEX('_calc'!$F$2:$F$3001,$N2772))</f>
        <v/>
      </c>
      <c r="I2772" s="27" t="str">
        <f>IF($N2772="","",INDEX('_calc'!$H$2:$H$3001,$N2772))</f>
        <v/>
      </c>
      <c r="J2772" s="27" t="str">
        <f>IF($N2772="","",INDEX('_calc'!$I$2:$I$3001,$N2772))</f>
        <v/>
      </c>
      <c r="K2772" s="28" t="str">
        <f>IF($N2772="","",IF(OR(I2772="",J2772=""),"",J2772-I2772))</f>
        <v/>
      </c>
      <c r="L2772" s="29" t="str">
        <f>IF($N2772="","",INDEX('_calc'!$J$2:$J$3001,$N2772))</f>
        <v/>
      </c>
      <c r="M2772" s="2" t="str">
        <f>IF($N2772="","",IF(AND(G2772=0,H2772=0),"수량 없음",IF(G2772=0,"신규 (전년 수량 없음)",IF(H2772=0,"당해 수량 없음",""))))</f>
        <v/>
      </c>
      <c r="N2772" t="str">
        <f>IF($B2772="","",MATCH($B2772,'_calc'!$L$2:$L$3001,0))</f>
        <v/>
      </c>
    </row>
    <row r="2773">
      <c r="B2773" s="24" t="str">
        <f>IF(ROW()-ROW($B$8)&gt;nComp,"",ROW()-ROW($B$8))</f>
        <v/>
      </c>
      <c r="C2773" t="str">
        <f>IF($N2773="","",INDEX('_calc'!$A$2:$A$3001,$N2773))</f>
        <v/>
      </c>
      <c r="D2773" s="25" t="str">
        <f>IF($N2773="","",INDEX('_calc'!$C$2:$C$3001,$N2773))</f>
        <v/>
      </c>
      <c r="E2773" s="25" t="str">
        <f>IF($N2773="","",INDEX('_calc'!$D$2:$D$3001,$N2773))</f>
        <v/>
      </c>
      <c r="F2773" s="26" t="str">
        <f>IF($N2773="","",IF($E$8=0,"",E2773/$E$8))</f>
        <v/>
      </c>
      <c r="G2773" s="25" t="str">
        <f>IF($N2773="","",INDEX('_calc'!$E$2:$E$3001,$N2773))</f>
        <v/>
      </c>
      <c r="H2773" s="25" t="str">
        <f>IF($N2773="","",INDEX('_calc'!$F$2:$F$3001,$N2773))</f>
        <v/>
      </c>
      <c r="I2773" s="27" t="str">
        <f>IF($N2773="","",INDEX('_calc'!$H$2:$H$3001,$N2773))</f>
        <v/>
      </c>
      <c r="J2773" s="27" t="str">
        <f>IF($N2773="","",INDEX('_calc'!$I$2:$I$3001,$N2773))</f>
        <v/>
      </c>
      <c r="K2773" s="28" t="str">
        <f>IF($N2773="","",IF(OR(I2773="",J2773=""),"",J2773-I2773))</f>
        <v/>
      </c>
      <c r="L2773" s="29" t="str">
        <f>IF($N2773="","",INDEX('_calc'!$J$2:$J$3001,$N2773))</f>
        <v/>
      </c>
      <c r="M2773" s="2" t="str">
        <f>IF($N2773="","",IF(AND(G2773=0,H2773=0),"수량 없음",IF(G2773=0,"신규 (전년 수량 없음)",IF(H2773=0,"당해 수량 없음",""))))</f>
        <v/>
      </c>
      <c r="N2773" t="str">
        <f>IF($B2773="","",MATCH($B2773,'_calc'!$L$2:$L$3001,0))</f>
        <v/>
      </c>
    </row>
    <row r="2774">
      <c r="B2774" s="24" t="str">
        <f>IF(ROW()-ROW($B$8)&gt;nComp,"",ROW()-ROW($B$8))</f>
        <v/>
      </c>
      <c r="C2774" t="str">
        <f>IF($N2774="","",INDEX('_calc'!$A$2:$A$3001,$N2774))</f>
        <v/>
      </c>
      <c r="D2774" s="25" t="str">
        <f>IF($N2774="","",INDEX('_calc'!$C$2:$C$3001,$N2774))</f>
        <v/>
      </c>
      <c r="E2774" s="25" t="str">
        <f>IF($N2774="","",INDEX('_calc'!$D$2:$D$3001,$N2774))</f>
        <v/>
      </c>
      <c r="F2774" s="26" t="str">
        <f>IF($N2774="","",IF($E$8=0,"",E2774/$E$8))</f>
        <v/>
      </c>
      <c r="G2774" s="25" t="str">
        <f>IF($N2774="","",INDEX('_calc'!$E$2:$E$3001,$N2774))</f>
        <v/>
      </c>
      <c r="H2774" s="25" t="str">
        <f>IF($N2774="","",INDEX('_calc'!$F$2:$F$3001,$N2774))</f>
        <v/>
      </c>
      <c r="I2774" s="27" t="str">
        <f>IF($N2774="","",INDEX('_calc'!$H$2:$H$3001,$N2774))</f>
        <v/>
      </c>
      <c r="J2774" s="27" t="str">
        <f>IF($N2774="","",INDEX('_calc'!$I$2:$I$3001,$N2774))</f>
        <v/>
      </c>
      <c r="K2774" s="28" t="str">
        <f>IF($N2774="","",IF(OR(I2774="",J2774=""),"",J2774-I2774))</f>
        <v/>
      </c>
      <c r="L2774" s="29" t="str">
        <f>IF($N2774="","",INDEX('_calc'!$J$2:$J$3001,$N2774))</f>
        <v/>
      </c>
      <c r="M2774" s="2" t="str">
        <f>IF($N2774="","",IF(AND(G2774=0,H2774=0),"수량 없음",IF(G2774=0,"신규 (전년 수량 없음)",IF(H2774=0,"당해 수량 없음",""))))</f>
        <v/>
      </c>
      <c r="N2774" t="str">
        <f>IF($B2774="","",MATCH($B2774,'_calc'!$L$2:$L$3001,0))</f>
        <v/>
      </c>
    </row>
    <row r="2775">
      <c r="B2775" s="24" t="str">
        <f>IF(ROW()-ROW($B$8)&gt;nComp,"",ROW()-ROW($B$8))</f>
        <v/>
      </c>
      <c r="C2775" t="str">
        <f>IF($N2775="","",INDEX('_calc'!$A$2:$A$3001,$N2775))</f>
        <v/>
      </c>
      <c r="D2775" s="25" t="str">
        <f>IF($N2775="","",INDEX('_calc'!$C$2:$C$3001,$N2775))</f>
        <v/>
      </c>
      <c r="E2775" s="25" t="str">
        <f>IF($N2775="","",INDEX('_calc'!$D$2:$D$3001,$N2775))</f>
        <v/>
      </c>
      <c r="F2775" s="26" t="str">
        <f>IF($N2775="","",IF($E$8=0,"",E2775/$E$8))</f>
        <v/>
      </c>
      <c r="G2775" s="25" t="str">
        <f>IF($N2775="","",INDEX('_calc'!$E$2:$E$3001,$N2775))</f>
        <v/>
      </c>
      <c r="H2775" s="25" t="str">
        <f>IF($N2775="","",INDEX('_calc'!$F$2:$F$3001,$N2775))</f>
        <v/>
      </c>
      <c r="I2775" s="27" t="str">
        <f>IF($N2775="","",INDEX('_calc'!$H$2:$H$3001,$N2775))</f>
        <v/>
      </c>
      <c r="J2775" s="27" t="str">
        <f>IF($N2775="","",INDEX('_calc'!$I$2:$I$3001,$N2775))</f>
        <v/>
      </c>
      <c r="K2775" s="28" t="str">
        <f>IF($N2775="","",IF(OR(I2775="",J2775=""),"",J2775-I2775))</f>
        <v/>
      </c>
      <c r="L2775" s="29" t="str">
        <f>IF($N2775="","",INDEX('_calc'!$J$2:$J$3001,$N2775))</f>
        <v/>
      </c>
      <c r="M2775" s="2" t="str">
        <f>IF($N2775="","",IF(AND(G2775=0,H2775=0),"수량 없음",IF(G2775=0,"신규 (전년 수량 없음)",IF(H2775=0,"당해 수량 없음",""))))</f>
        <v/>
      </c>
      <c r="N2775" t="str">
        <f>IF($B2775="","",MATCH($B2775,'_calc'!$L$2:$L$3001,0))</f>
        <v/>
      </c>
    </row>
    <row r="2776">
      <c r="B2776" s="24" t="str">
        <f>IF(ROW()-ROW($B$8)&gt;nComp,"",ROW()-ROW($B$8))</f>
        <v/>
      </c>
      <c r="C2776" t="str">
        <f>IF($N2776="","",INDEX('_calc'!$A$2:$A$3001,$N2776))</f>
        <v/>
      </c>
      <c r="D2776" s="25" t="str">
        <f>IF($N2776="","",INDEX('_calc'!$C$2:$C$3001,$N2776))</f>
        <v/>
      </c>
      <c r="E2776" s="25" t="str">
        <f>IF($N2776="","",INDEX('_calc'!$D$2:$D$3001,$N2776))</f>
        <v/>
      </c>
      <c r="F2776" s="26" t="str">
        <f>IF($N2776="","",IF($E$8=0,"",E2776/$E$8))</f>
        <v/>
      </c>
      <c r="G2776" s="25" t="str">
        <f>IF($N2776="","",INDEX('_calc'!$E$2:$E$3001,$N2776))</f>
        <v/>
      </c>
      <c r="H2776" s="25" t="str">
        <f>IF($N2776="","",INDEX('_calc'!$F$2:$F$3001,$N2776))</f>
        <v/>
      </c>
      <c r="I2776" s="27" t="str">
        <f>IF($N2776="","",INDEX('_calc'!$H$2:$H$3001,$N2776))</f>
        <v/>
      </c>
      <c r="J2776" s="27" t="str">
        <f>IF($N2776="","",INDEX('_calc'!$I$2:$I$3001,$N2776))</f>
        <v/>
      </c>
      <c r="K2776" s="28" t="str">
        <f>IF($N2776="","",IF(OR(I2776="",J2776=""),"",J2776-I2776))</f>
        <v/>
      </c>
      <c r="L2776" s="29" t="str">
        <f>IF($N2776="","",INDEX('_calc'!$J$2:$J$3001,$N2776))</f>
        <v/>
      </c>
      <c r="M2776" s="2" t="str">
        <f>IF($N2776="","",IF(AND(G2776=0,H2776=0),"수량 없음",IF(G2776=0,"신규 (전년 수량 없음)",IF(H2776=0,"당해 수량 없음",""))))</f>
        <v/>
      </c>
      <c r="N2776" t="str">
        <f>IF($B2776="","",MATCH($B2776,'_calc'!$L$2:$L$3001,0))</f>
        <v/>
      </c>
    </row>
    <row r="2777">
      <c r="B2777" s="24" t="str">
        <f>IF(ROW()-ROW($B$8)&gt;nComp,"",ROW()-ROW($B$8))</f>
        <v/>
      </c>
      <c r="C2777" t="str">
        <f>IF($N2777="","",INDEX('_calc'!$A$2:$A$3001,$N2777))</f>
        <v/>
      </c>
      <c r="D2777" s="25" t="str">
        <f>IF($N2777="","",INDEX('_calc'!$C$2:$C$3001,$N2777))</f>
        <v/>
      </c>
      <c r="E2777" s="25" t="str">
        <f>IF($N2777="","",INDEX('_calc'!$D$2:$D$3001,$N2777))</f>
        <v/>
      </c>
      <c r="F2777" s="26" t="str">
        <f>IF($N2777="","",IF($E$8=0,"",E2777/$E$8))</f>
        <v/>
      </c>
      <c r="G2777" s="25" t="str">
        <f>IF($N2777="","",INDEX('_calc'!$E$2:$E$3001,$N2777))</f>
        <v/>
      </c>
      <c r="H2777" s="25" t="str">
        <f>IF($N2777="","",INDEX('_calc'!$F$2:$F$3001,$N2777))</f>
        <v/>
      </c>
      <c r="I2777" s="27" t="str">
        <f>IF($N2777="","",INDEX('_calc'!$H$2:$H$3001,$N2777))</f>
        <v/>
      </c>
      <c r="J2777" s="27" t="str">
        <f>IF($N2777="","",INDEX('_calc'!$I$2:$I$3001,$N2777))</f>
        <v/>
      </c>
      <c r="K2777" s="28" t="str">
        <f>IF($N2777="","",IF(OR(I2777="",J2777=""),"",J2777-I2777))</f>
        <v/>
      </c>
      <c r="L2777" s="29" t="str">
        <f>IF($N2777="","",INDEX('_calc'!$J$2:$J$3001,$N2777))</f>
        <v/>
      </c>
      <c r="M2777" s="2" t="str">
        <f>IF($N2777="","",IF(AND(G2777=0,H2777=0),"수량 없음",IF(G2777=0,"신규 (전년 수량 없음)",IF(H2777=0,"당해 수량 없음",""))))</f>
        <v/>
      </c>
      <c r="N2777" t="str">
        <f>IF($B2777="","",MATCH($B2777,'_calc'!$L$2:$L$3001,0))</f>
        <v/>
      </c>
    </row>
    <row r="2778">
      <c r="B2778" s="24" t="str">
        <f>IF(ROW()-ROW($B$8)&gt;nComp,"",ROW()-ROW($B$8))</f>
        <v/>
      </c>
      <c r="C2778" t="str">
        <f>IF($N2778="","",INDEX('_calc'!$A$2:$A$3001,$N2778))</f>
        <v/>
      </c>
      <c r="D2778" s="25" t="str">
        <f>IF($N2778="","",INDEX('_calc'!$C$2:$C$3001,$N2778))</f>
        <v/>
      </c>
      <c r="E2778" s="25" t="str">
        <f>IF($N2778="","",INDEX('_calc'!$D$2:$D$3001,$N2778))</f>
        <v/>
      </c>
      <c r="F2778" s="26" t="str">
        <f>IF($N2778="","",IF($E$8=0,"",E2778/$E$8))</f>
        <v/>
      </c>
      <c r="G2778" s="25" t="str">
        <f>IF($N2778="","",INDEX('_calc'!$E$2:$E$3001,$N2778))</f>
        <v/>
      </c>
      <c r="H2778" s="25" t="str">
        <f>IF($N2778="","",INDEX('_calc'!$F$2:$F$3001,$N2778))</f>
        <v/>
      </c>
      <c r="I2778" s="27" t="str">
        <f>IF($N2778="","",INDEX('_calc'!$H$2:$H$3001,$N2778))</f>
        <v/>
      </c>
      <c r="J2778" s="27" t="str">
        <f>IF($N2778="","",INDEX('_calc'!$I$2:$I$3001,$N2778))</f>
        <v/>
      </c>
      <c r="K2778" s="28" t="str">
        <f>IF($N2778="","",IF(OR(I2778="",J2778=""),"",J2778-I2778))</f>
        <v/>
      </c>
      <c r="L2778" s="29" t="str">
        <f>IF($N2778="","",INDEX('_calc'!$J$2:$J$3001,$N2778))</f>
        <v/>
      </c>
      <c r="M2778" s="2" t="str">
        <f>IF($N2778="","",IF(AND(G2778=0,H2778=0),"수량 없음",IF(G2778=0,"신규 (전년 수량 없음)",IF(H2778=0,"당해 수량 없음",""))))</f>
        <v/>
      </c>
      <c r="N2778" t="str">
        <f>IF($B2778="","",MATCH($B2778,'_calc'!$L$2:$L$3001,0))</f>
        <v/>
      </c>
    </row>
    <row r="2779">
      <c r="B2779" s="24" t="str">
        <f>IF(ROW()-ROW($B$8)&gt;nComp,"",ROW()-ROW($B$8))</f>
        <v/>
      </c>
      <c r="C2779" t="str">
        <f>IF($N2779="","",INDEX('_calc'!$A$2:$A$3001,$N2779))</f>
        <v/>
      </c>
      <c r="D2779" s="25" t="str">
        <f>IF($N2779="","",INDEX('_calc'!$C$2:$C$3001,$N2779))</f>
        <v/>
      </c>
      <c r="E2779" s="25" t="str">
        <f>IF($N2779="","",INDEX('_calc'!$D$2:$D$3001,$N2779))</f>
        <v/>
      </c>
      <c r="F2779" s="26" t="str">
        <f>IF($N2779="","",IF($E$8=0,"",E2779/$E$8))</f>
        <v/>
      </c>
      <c r="G2779" s="25" t="str">
        <f>IF($N2779="","",INDEX('_calc'!$E$2:$E$3001,$N2779))</f>
        <v/>
      </c>
      <c r="H2779" s="25" t="str">
        <f>IF($N2779="","",INDEX('_calc'!$F$2:$F$3001,$N2779))</f>
        <v/>
      </c>
      <c r="I2779" s="27" t="str">
        <f>IF($N2779="","",INDEX('_calc'!$H$2:$H$3001,$N2779))</f>
        <v/>
      </c>
      <c r="J2779" s="27" t="str">
        <f>IF($N2779="","",INDEX('_calc'!$I$2:$I$3001,$N2779))</f>
        <v/>
      </c>
      <c r="K2779" s="28" t="str">
        <f>IF($N2779="","",IF(OR(I2779="",J2779=""),"",J2779-I2779))</f>
        <v/>
      </c>
      <c r="L2779" s="29" t="str">
        <f>IF($N2779="","",INDEX('_calc'!$J$2:$J$3001,$N2779))</f>
        <v/>
      </c>
      <c r="M2779" s="2" t="str">
        <f>IF($N2779="","",IF(AND(G2779=0,H2779=0),"수량 없음",IF(G2779=0,"신규 (전년 수량 없음)",IF(H2779=0,"당해 수량 없음",""))))</f>
        <v/>
      </c>
      <c r="N2779" t="str">
        <f>IF($B2779="","",MATCH($B2779,'_calc'!$L$2:$L$3001,0))</f>
        <v/>
      </c>
    </row>
    <row r="2780">
      <c r="B2780" s="24" t="str">
        <f>IF(ROW()-ROW($B$8)&gt;nComp,"",ROW()-ROW($B$8))</f>
        <v/>
      </c>
      <c r="C2780" t="str">
        <f>IF($N2780="","",INDEX('_calc'!$A$2:$A$3001,$N2780))</f>
        <v/>
      </c>
      <c r="D2780" s="25" t="str">
        <f>IF($N2780="","",INDEX('_calc'!$C$2:$C$3001,$N2780))</f>
        <v/>
      </c>
      <c r="E2780" s="25" t="str">
        <f>IF($N2780="","",INDEX('_calc'!$D$2:$D$3001,$N2780))</f>
        <v/>
      </c>
      <c r="F2780" s="26" t="str">
        <f>IF($N2780="","",IF($E$8=0,"",E2780/$E$8))</f>
        <v/>
      </c>
      <c r="G2780" s="25" t="str">
        <f>IF($N2780="","",INDEX('_calc'!$E$2:$E$3001,$N2780))</f>
        <v/>
      </c>
      <c r="H2780" s="25" t="str">
        <f>IF($N2780="","",INDEX('_calc'!$F$2:$F$3001,$N2780))</f>
        <v/>
      </c>
      <c r="I2780" s="27" t="str">
        <f>IF($N2780="","",INDEX('_calc'!$H$2:$H$3001,$N2780))</f>
        <v/>
      </c>
      <c r="J2780" s="27" t="str">
        <f>IF($N2780="","",INDEX('_calc'!$I$2:$I$3001,$N2780))</f>
        <v/>
      </c>
      <c r="K2780" s="28" t="str">
        <f>IF($N2780="","",IF(OR(I2780="",J2780=""),"",J2780-I2780))</f>
        <v/>
      </c>
      <c r="L2780" s="29" t="str">
        <f>IF($N2780="","",INDEX('_calc'!$J$2:$J$3001,$N2780))</f>
        <v/>
      </c>
      <c r="M2780" s="2" t="str">
        <f>IF($N2780="","",IF(AND(G2780=0,H2780=0),"수량 없음",IF(G2780=0,"신규 (전년 수량 없음)",IF(H2780=0,"당해 수량 없음",""))))</f>
        <v/>
      </c>
      <c r="N2780" t="str">
        <f>IF($B2780="","",MATCH($B2780,'_calc'!$L$2:$L$3001,0))</f>
        <v/>
      </c>
    </row>
    <row r="2781">
      <c r="B2781" s="24" t="str">
        <f>IF(ROW()-ROW($B$8)&gt;nComp,"",ROW()-ROW($B$8))</f>
        <v/>
      </c>
      <c r="C2781" t="str">
        <f>IF($N2781="","",INDEX('_calc'!$A$2:$A$3001,$N2781))</f>
        <v/>
      </c>
      <c r="D2781" s="25" t="str">
        <f>IF($N2781="","",INDEX('_calc'!$C$2:$C$3001,$N2781))</f>
        <v/>
      </c>
      <c r="E2781" s="25" t="str">
        <f>IF($N2781="","",INDEX('_calc'!$D$2:$D$3001,$N2781))</f>
        <v/>
      </c>
      <c r="F2781" s="26" t="str">
        <f>IF($N2781="","",IF($E$8=0,"",E2781/$E$8))</f>
        <v/>
      </c>
      <c r="G2781" s="25" t="str">
        <f>IF($N2781="","",INDEX('_calc'!$E$2:$E$3001,$N2781))</f>
        <v/>
      </c>
      <c r="H2781" s="25" t="str">
        <f>IF($N2781="","",INDEX('_calc'!$F$2:$F$3001,$N2781))</f>
        <v/>
      </c>
      <c r="I2781" s="27" t="str">
        <f>IF($N2781="","",INDEX('_calc'!$H$2:$H$3001,$N2781))</f>
        <v/>
      </c>
      <c r="J2781" s="27" t="str">
        <f>IF($N2781="","",INDEX('_calc'!$I$2:$I$3001,$N2781))</f>
        <v/>
      </c>
      <c r="K2781" s="28" t="str">
        <f>IF($N2781="","",IF(OR(I2781="",J2781=""),"",J2781-I2781))</f>
        <v/>
      </c>
      <c r="L2781" s="29" t="str">
        <f>IF($N2781="","",INDEX('_calc'!$J$2:$J$3001,$N2781))</f>
        <v/>
      </c>
      <c r="M2781" s="2" t="str">
        <f>IF($N2781="","",IF(AND(G2781=0,H2781=0),"수량 없음",IF(G2781=0,"신규 (전년 수량 없음)",IF(H2781=0,"당해 수량 없음",""))))</f>
        <v/>
      </c>
      <c r="N2781" t="str">
        <f>IF($B2781="","",MATCH($B2781,'_calc'!$L$2:$L$3001,0))</f>
        <v/>
      </c>
    </row>
    <row r="2782">
      <c r="B2782" s="24" t="str">
        <f>IF(ROW()-ROW($B$8)&gt;nComp,"",ROW()-ROW($B$8))</f>
        <v/>
      </c>
      <c r="C2782" t="str">
        <f>IF($N2782="","",INDEX('_calc'!$A$2:$A$3001,$N2782))</f>
        <v/>
      </c>
      <c r="D2782" s="25" t="str">
        <f>IF($N2782="","",INDEX('_calc'!$C$2:$C$3001,$N2782))</f>
        <v/>
      </c>
      <c r="E2782" s="25" t="str">
        <f>IF($N2782="","",INDEX('_calc'!$D$2:$D$3001,$N2782))</f>
        <v/>
      </c>
      <c r="F2782" s="26" t="str">
        <f>IF($N2782="","",IF($E$8=0,"",E2782/$E$8))</f>
        <v/>
      </c>
      <c r="G2782" s="25" t="str">
        <f>IF($N2782="","",INDEX('_calc'!$E$2:$E$3001,$N2782))</f>
        <v/>
      </c>
      <c r="H2782" s="25" t="str">
        <f>IF($N2782="","",INDEX('_calc'!$F$2:$F$3001,$N2782))</f>
        <v/>
      </c>
      <c r="I2782" s="27" t="str">
        <f>IF($N2782="","",INDEX('_calc'!$H$2:$H$3001,$N2782))</f>
        <v/>
      </c>
      <c r="J2782" s="27" t="str">
        <f>IF($N2782="","",INDEX('_calc'!$I$2:$I$3001,$N2782))</f>
        <v/>
      </c>
      <c r="K2782" s="28" t="str">
        <f>IF($N2782="","",IF(OR(I2782="",J2782=""),"",J2782-I2782))</f>
        <v/>
      </c>
      <c r="L2782" s="29" t="str">
        <f>IF($N2782="","",INDEX('_calc'!$J$2:$J$3001,$N2782))</f>
        <v/>
      </c>
      <c r="M2782" s="2" t="str">
        <f>IF($N2782="","",IF(AND(G2782=0,H2782=0),"수량 없음",IF(G2782=0,"신규 (전년 수량 없음)",IF(H2782=0,"당해 수량 없음",""))))</f>
        <v/>
      </c>
      <c r="N2782" t="str">
        <f>IF($B2782="","",MATCH($B2782,'_calc'!$L$2:$L$3001,0))</f>
        <v/>
      </c>
    </row>
    <row r="2783">
      <c r="B2783" s="24" t="str">
        <f>IF(ROW()-ROW($B$8)&gt;nComp,"",ROW()-ROW($B$8))</f>
        <v/>
      </c>
      <c r="C2783" t="str">
        <f>IF($N2783="","",INDEX('_calc'!$A$2:$A$3001,$N2783))</f>
        <v/>
      </c>
      <c r="D2783" s="25" t="str">
        <f>IF($N2783="","",INDEX('_calc'!$C$2:$C$3001,$N2783))</f>
        <v/>
      </c>
      <c r="E2783" s="25" t="str">
        <f>IF($N2783="","",INDEX('_calc'!$D$2:$D$3001,$N2783))</f>
        <v/>
      </c>
      <c r="F2783" s="26" t="str">
        <f>IF($N2783="","",IF($E$8=0,"",E2783/$E$8))</f>
        <v/>
      </c>
      <c r="G2783" s="25" t="str">
        <f>IF($N2783="","",INDEX('_calc'!$E$2:$E$3001,$N2783))</f>
        <v/>
      </c>
      <c r="H2783" s="25" t="str">
        <f>IF($N2783="","",INDEX('_calc'!$F$2:$F$3001,$N2783))</f>
        <v/>
      </c>
      <c r="I2783" s="27" t="str">
        <f>IF($N2783="","",INDEX('_calc'!$H$2:$H$3001,$N2783))</f>
        <v/>
      </c>
      <c r="J2783" s="27" t="str">
        <f>IF($N2783="","",INDEX('_calc'!$I$2:$I$3001,$N2783))</f>
        <v/>
      </c>
      <c r="K2783" s="28" t="str">
        <f>IF($N2783="","",IF(OR(I2783="",J2783=""),"",J2783-I2783))</f>
        <v/>
      </c>
      <c r="L2783" s="29" t="str">
        <f>IF($N2783="","",INDEX('_calc'!$J$2:$J$3001,$N2783))</f>
        <v/>
      </c>
      <c r="M2783" s="2" t="str">
        <f>IF($N2783="","",IF(AND(G2783=0,H2783=0),"수량 없음",IF(G2783=0,"신규 (전년 수량 없음)",IF(H2783=0,"당해 수량 없음",""))))</f>
        <v/>
      </c>
      <c r="N2783" t="str">
        <f>IF($B2783="","",MATCH($B2783,'_calc'!$L$2:$L$3001,0))</f>
        <v/>
      </c>
    </row>
    <row r="2784">
      <c r="B2784" s="24" t="str">
        <f>IF(ROW()-ROW($B$8)&gt;nComp,"",ROW()-ROW($B$8))</f>
        <v/>
      </c>
      <c r="C2784" t="str">
        <f>IF($N2784="","",INDEX('_calc'!$A$2:$A$3001,$N2784))</f>
        <v/>
      </c>
      <c r="D2784" s="25" t="str">
        <f>IF($N2784="","",INDEX('_calc'!$C$2:$C$3001,$N2784))</f>
        <v/>
      </c>
      <c r="E2784" s="25" t="str">
        <f>IF($N2784="","",INDEX('_calc'!$D$2:$D$3001,$N2784))</f>
        <v/>
      </c>
      <c r="F2784" s="26" t="str">
        <f>IF($N2784="","",IF($E$8=0,"",E2784/$E$8))</f>
        <v/>
      </c>
      <c r="G2784" s="25" t="str">
        <f>IF($N2784="","",INDEX('_calc'!$E$2:$E$3001,$N2784))</f>
        <v/>
      </c>
      <c r="H2784" s="25" t="str">
        <f>IF($N2784="","",INDEX('_calc'!$F$2:$F$3001,$N2784))</f>
        <v/>
      </c>
      <c r="I2784" s="27" t="str">
        <f>IF($N2784="","",INDEX('_calc'!$H$2:$H$3001,$N2784))</f>
        <v/>
      </c>
      <c r="J2784" s="27" t="str">
        <f>IF($N2784="","",INDEX('_calc'!$I$2:$I$3001,$N2784))</f>
        <v/>
      </c>
      <c r="K2784" s="28" t="str">
        <f>IF($N2784="","",IF(OR(I2784="",J2784=""),"",J2784-I2784))</f>
        <v/>
      </c>
      <c r="L2784" s="29" t="str">
        <f>IF($N2784="","",INDEX('_calc'!$J$2:$J$3001,$N2784))</f>
        <v/>
      </c>
      <c r="M2784" s="2" t="str">
        <f>IF($N2784="","",IF(AND(G2784=0,H2784=0),"수량 없음",IF(G2784=0,"신규 (전년 수량 없음)",IF(H2784=0,"당해 수량 없음",""))))</f>
        <v/>
      </c>
      <c r="N2784" t="str">
        <f>IF($B2784="","",MATCH($B2784,'_calc'!$L$2:$L$3001,0))</f>
        <v/>
      </c>
    </row>
    <row r="2785">
      <c r="B2785" s="24" t="str">
        <f>IF(ROW()-ROW($B$8)&gt;nComp,"",ROW()-ROW($B$8))</f>
        <v/>
      </c>
      <c r="C2785" t="str">
        <f>IF($N2785="","",INDEX('_calc'!$A$2:$A$3001,$N2785))</f>
        <v/>
      </c>
      <c r="D2785" s="25" t="str">
        <f>IF($N2785="","",INDEX('_calc'!$C$2:$C$3001,$N2785))</f>
        <v/>
      </c>
      <c r="E2785" s="25" t="str">
        <f>IF($N2785="","",INDEX('_calc'!$D$2:$D$3001,$N2785))</f>
        <v/>
      </c>
      <c r="F2785" s="26" t="str">
        <f>IF($N2785="","",IF($E$8=0,"",E2785/$E$8))</f>
        <v/>
      </c>
      <c r="G2785" s="25" t="str">
        <f>IF($N2785="","",INDEX('_calc'!$E$2:$E$3001,$N2785))</f>
        <v/>
      </c>
      <c r="H2785" s="25" t="str">
        <f>IF($N2785="","",INDEX('_calc'!$F$2:$F$3001,$N2785))</f>
        <v/>
      </c>
      <c r="I2785" s="27" t="str">
        <f>IF($N2785="","",INDEX('_calc'!$H$2:$H$3001,$N2785))</f>
        <v/>
      </c>
      <c r="J2785" s="27" t="str">
        <f>IF($N2785="","",INDEX('_calc'!$I$2:$I$3001,$N2785))</f>
        <v/>
      </c>
      <c r="K2785" s="28" t="str">
        <f>IF($N2785="","",IF(OR(I2785="",J2785=""),"",J2785-I2785))</f>
        <v/>
      </c>
      <c r="L2785" s="29" t="str">
        <f>IF($N2785="","",INDEX('_calc'!$J$2:$J$3001,$N2785))</f>
        <v/>
      </c>
      <c r="M2785" s="2" t="str">
        <f>IF($N2785="","",IF(AND(G2785=0,H2785=0),"수량 없음",IF(G2785=0,"신규 (전년 수량 없음)",IF(H2785=0,"당해 수량 없음",""))))</f>
        <v/>
      </c>
      <c r="N2785" t="str">
        <f>IF($B2785="","",MATCH($B2785,'_calc'!$L$2:$L$3001,0))</f>
        <v/>
      </c>
    </row>
    <row r="2786">
      <c r="B2786" s="24" t="str">
        <f>IF(ROW()-ROW($B$8)&gt;nComp,"",ROW()-ROW($B$8))</f>
        <v/>
      </c>
      <c r="C2786" t="str">
        <f>IF($N2786="","",INDEX('_calc'!$A$2:$A$3001,$N2786))</f>
        <v/>
      </c>
      <c r="D2786" s="25" t="str">
        <f>IF($N2786="","",INDEX('_calc'!$C$2:$C$3001,$N2786))</f>
        <v/>
      </c>
      <c r="E2786" s="25" t="str">
        <f>IF($N2786="","",INDEX('_calc'!$D$2:$D$3001,$N2786))</f>
        <v/>
      </c>
      <c r="F2786" s="26" t="str">
        <f>IF($N2786="","",IF($E$8=0,"",E2786/$E$8))</f>
        <v/>
      </c>
      <c r="G2786" s="25" t="str">
        <f>IF($N2786="","",INDEX('_calc'!$E$2:$E$3001,$N2786))</f>
        <v/>
      </c>
      <c r="H2786" s="25" t="str">
        <f>IF($N2786="","",INDEX('_calc'!$F$2:$F$3001,$N2786))</f>
        <v/>
      </c>
      <c r="I2786" s="27" t="str">
        <f>IF($N2786="","",INDEX('_calc'!$H$2:$H$3001,$N2786))</f>
        <v/>
      </c>
      <c r="J2786" s="27" t="str">
        <f>IF($N2786="","",INDEX('_calc'!$I$2:$I$3001,$N2786))</f>
        <v/>
      </c>
      <c r="K2786" s="28" t="str">
        <f>IF($N2786="","",IF(OR(I2786="",J2786=""),"",J2786-I2786))</f>
        <v/>
      </c>
      <c r="L2786" s="29" t="str">
        <f>IF($N2786="","",INDEX('_calc'!$J$2:$J$3001,$N2786))</f>
        <v/>
      </c>
      <c r="M2786" s="2" t="str">
        <f>IF($N2786="","",IF(AND(G2786=0,H2786=0),"수량 없음",IF(G2786=0,"신규 (전년 수량 없음)",IF(H2786=0,"당해 수량 없음",""))))</f>
        <v/>
      </c>
      <c r="N2786" t="str">
        <f>IF($B2786="","",MATCH($B2786,'_calc'!$L$2:$L$3001,0))</f>
        <v/>
      </c>
    </row>
    <row r="2787">
      <c r="B2787" s="24" t="str">
        <f>IF(ROW()-ROW($B$8)&gt;nComp,"",ROW()-ROW($B$8))</f>
        <v/>
      </c>
      <c r="C2787" t="str">
        <f>IF($N2787="","",INDEX('_calc'!$A$2:$A$3001,$N2787))</f>
        <v/>
      </c>
      <c r="D2787" s="25" t="str">
        <f>IF($N2787="","",INDEX('_calc'!$C$2:$C$3001,$N2787))</f>
        <v/>
      </c>
      <c r="E2787" s="25" t="str">
        <f>IF($N2787="","",INDEX('_calc'!$D$2:$D$3001,$N2787))</f>
        <v/>
      </c>
      <c r="F2787" s="26" t="str">
        <f>IF($N2787="","",IF($E$8=0,"",E2787/$E$8))</f>
        <v/>
      </c>
      <c r="G2787" s="25" t="str">
        <f>IF($N2787="","",INDEX('_calc'!$E$2:$E$3001,$N2787))</f>
        <v/>
      </c>
      <c r="H2787" s="25" t="str">
        <f>IF($N2787="","",INDEX('_calc'!$F$2:$F$3001,$N2787))</f>
        <v/>
      </c>
      <c r="I2787" s="27" t="str">
        <f>IF($N2787="","",INDEX('_calc'!$H$2:$H$3001,$N2787))</f>
        <v/>
      </c>
      <c r="J2787" s="27" t="str">
        <f>IF($N2787="","",INDEX('_calc'!$I$2:$I$3001,$N2787))</f>
        <v/>
      </c>
      <c r="K2787" s="28" t="str">
        <f>IF($N2787="","",IF(OR(I2787="",J2787=""),"",J2787-I2787))</f>
        <v/>
      </c>
      <c r="L2787" s="29" t="str">
        <f>IF($N2787="","",INDEX('_calc'!$J$2:$J$3001,$N2787))</f>
        <v/>
      </c>
      <c r="M2787" s="2" t="str">
        <f>IF($N2787="","",IF(AND(G2787=0,H2787=0),"수량 없음",IF(G2787=0,"신규 (전년 수량 없음)",IF(H2787=0,"당해 수량 없음",""))))</f>
        <v/>
      </c>
      <c r="N2787" t="str">
        <f>IF($B2787="","",MATCH($B2787,'_calc'!$L$2:$L$3001,0))</f>
        <v/>
      </c>
    </row>
    <row r="2788">
      <c r="B2788" s="24" t="str">
        <f>IF(ROW()-ROW($B$8)&gt;nComp,"",ROW()-ROW($B$8))</f>
        <v/>
      </c>
      <c r="C2788" t="str">
        <f>IF($N2788="","",INDEX('_calc'!$A$2:$A$3001,$N2788))</f>
        <v/>
      </c>
      <c r="D2788" s="25" t="str">
        <f>IF($N2788="","",INDEX('_calc'!$C$2:$C$3001,$N2788))</f>
        <v/>
      </c>
      <c r="E2788" s="25" t="str">
        <f>IF($N2788="","",INDEX('_calc'!$D$2:$D$3001,$N2788))</f>
        <v/>
      </c>
      <c r="F2788" s="26" t="str">
        <f>IF($N2788="","",IF($E$8=0,"",E2788/$E$8))</f>
        <v/>
      </c>
      <c r="G2788" s="25" t="str">
        <f>IF($N2788="","",INDEX('_calc'!$E$2:$E$3001,$N2788))</f>
        <v/>
      </c>
      <c r="H2788" s="25" t="str">
        <f>IF($N2788="","",INDEX('_calc'!$F$2:$F$3001,$N2788))</f>
        <v/>
      </c>
      <c r="I2788" s="27" t="str">
        <f>IF($N2788="","",INDEX('_calc'!$H$2:$H$3001,$N2788))</f>
        <v/>
      </c>
      <c r="J2788" s="27" t="str">
        <f>IF($N2788="","",INDEX('_calc'!$I$2:$I$3001,$N2788))</f>
        <v/>
      </c>
      <c r="K2788" s="28" t="str">
        <f>IF($N2788="","",IF(OR(I2788="",J2788=""),"",J2788-I2788))</f>
        <v/>
      </c>
      <c r="L2788" s="29" t="str">
        <f>IF($N2788="","",INDEX('_calc'!$J$2:$J$3001,$N2788))</f>
        <v/>
      </c>
      <c r="M2788" s="2" t="str">
        <f>IF($N2788="","",IF(AND(G2788=0,H2788=0),"수량 없음",IF(G2788=0,"신규 (전년 수량 없음)",IF(H2788=0,"당해 수량 없음",""))))</f>
        <v/>
      </c>
      <c r="N2788" t="str">
        <f>IF($B2788="","",MATCH($B2788,'_calc'!$L$2:$L$3001,0))</f>
        <v/>
      </c>
    </row>
    <row r="2789">
      <c r="B2789" s="24" t="str">
        <f>IF(ROW()-ROW($B$8)&gt;nComp,"",ROW()-ROW($B$8))</f>
        <v/>
      </c>
      <c r="C2789" t="str">
        <f>IF($N2789="","",INDEX('_calc'!$A$2:$A$3001,$N2789))</f>
        <v/>
      </c>
      <c r="D2789" s="25" t="str">
        <f>IF($N2789="","",INDEX('_calc'!$C$2:$C$3001,$N2789))</f>
        <v/>
      </c>
      <c r="E2789" s="25" t="str">
        <f>IF($N2789="","",INDEX('_calc'!$D$2:$D$3001,$N2789))</f>
        <v/>
      </c>
      <c r="F2789" s="26" t="str">
        <f>IF($N2789="","",IF($E$8=0,"",E2789/$E$8))</f>
        <v/>
      </c>
      <c r="G2789" s="25" t="str">
        <f>IF($N2789="","",INDEX('_calc'!$E$2:$E$3001,$N2789))</f>
        <v/>
      </c>
      <c r="H2789" s="25" t="str">
        <f>IF($N2789="","",INDEX('_calc'!$F$2:$F$3001,$N2789))</f>
        <v/>
      </c>
      <c r="I2789" s="27" t="str">
        <f>IF($N2789="","",INDEX('_calc'!$H$2:$H$3001,$N2789))</f>
        <v/>
      </c>
      <c r="J2789" s="27" t="str">
        <f>IF($N2789="","",INDEX('_calc'!$I$2:$I$3001,$N2789))</f>
        <v/>
      </c>
      <c r="K2789" s="28" t="str">
        <f>IF($N2789="","",IF(OR(I2789="",J2789=""),"",J2789-I2789))</f>
        <v/>
      </c>
      <c r="L2789" s="29" t="str">
        <f>IF($N2789="","",INDEX('_calc'!$J$2:$J$3001,$N2789))</f>
        <v/>
      </c>
      <c r="M2789" s="2" t="str">
        <f>IF($N2789="","",IF(AND(G2789=0,H2789=0),"수량 없음",IF(G2789=0,"신규 (전년 수량 없음)",IF(H2789=0,"당해 수량 없음",""))))</f>
        <v/>
      </c>
      <c r="N2789" t="str">
        <f>IF($B2789="","",MATCH($B2789,'_calc'!$L$2:$L$3001,0))</f>
        <v/>
      </c>
    </row>
    <row r="2790">
      <c r="B2790" s="24" t="str">
        <f>IF(ROW()-ROW($B$8)&gt;nComp,"",ROW()-ROW($B$8))</f>
        <v/>
      </c>
      <c r="C2790" t="str">
        <f>IF($N2790="","",INDEX('_calc'!$A$2:$A$3001,$N2790))</f>
        <v/>
      </c>
      <c r="D2790" s="25" t="str">
        <f>IF($N2790="","",INDEX('_calc'!$C$2:$C$3001,$N2790))</f>
        <v/>
      </c>
      <c r="E2790" s="25" t="str">
        <f>IF($N2790="","",INDEX('_calc'!$D$2:$D$3001,$N2790))</f>
        <v/>
      </c>
      <c r="F2790" s="26" t="str">
        <f>IF($N2790="","",IF($E$8=0,"",E2790/$E$8))</f>
        <v/>
      </c>
      <c r="G2790" s="25" t="str">
        <f>IF($N2790="","",INDEX('_calc'!$E$2:$E$3001,$N2790))</f>
        <v/>
      </c>
      <c r="H2790" s="25" t="str">
        <f>IF($N2790="","",INDEX('_calc'!$F$2:$F$3001,$N2790))</f>
        <v/>
      </c>
      <c r="I2790" s="27" t="str">
        <f>IF($N2790="","",INDEX('_calc'!$H$2:$H$3001,$N2790))</f>
        <v/>
      </c>
      <c r="J2790" s="27" t="str">
        <f>IF($N2790="","",INDEX('_calc'!$I$2:$I$3001,$N2790))</f>
        <v/>
      </c>
      <c r="K2790" s="28" t="str">
        <f>IF($N2790="","",IF(OR(I2790="",J2790=""),"",J2790-I2790))</f>
        <v/>
      </c>
      <c r="L2790" s="29" t="str">
        <f>IF($N2790="","",INDEX('_calc'!$J$2:$J$3001,$N2790))</f>
        <v/>
      </c>
      <c r="M2790" s="2" t="str">
        <f>IF($N2790="","",IF(AND(G2790=0,H2790=0),"수량 없음",IF(G2790=0,"신규 (전년 수량 없음)",IF(H2790=0,"당해 수량 없음",""))))</f>
        <v/>
      </c>
      <c r="N2790" t="str">
        <f>IF($B2790="","",MATCH($B2790,'_calc'!$L$2:$L$3001,0))</f>
        <v/>
      </c>
    </row>
    <row r="2791">
      <c r="B2791" s="24" t="str">
        <f>IF(ROW()-ROW($B$8)&gt;nComp,"",ROW()-ROW($B$8))</f>
        <v/>
      </c>
      <c r="C2791" t="str">
        <f>IF($N2791="","",INDEX('_calc'!$A$2:$A$3001,$N2791))</f>
        <v/>
      </c>
      <c r="D2791" s="25" t="str">
        <f>IF($N2791="","",INDEX('_calc'!$C$2:$C$3001,$N2791))</f>
        <v/>
      </c>
      <c r="E2791" s="25" t="str">
        <f>IF($N2791="","",INDEX('_calc'!$D$2:$D$3001,$N2791))</f>
        <v/>
      </c>
      <c r="F2791" s="26" t="str">
        <f>IF($N2791="","",IF($E$8=0,"",E2791/$E$8))</f>
        <v/>
      </c>
      <c r="G2791" s="25" t="str">
        <f>IF($N2791="","",INDEX('_calc'!$E$2:$E$3001,$N2791))</f>
        <v/>
      </c>
      <c r="H2791" s="25" t="str">
        <f>IF($N2791="","",INDEX('_calc'!$F$2:$F$3001,$N2791))</f>
        <v/>
      </c>
      <c r="I2791" s="27" t="str">
        <f>IF($N2791="","",INDEX('_calc'!$H$2:$H$3001,$N2791))</f>
        <v/>
      </c>
      <c r="J2791" s="27" t="str">
        <f>IF($N2791="","",INDEX('_calc'!$I$2:$I$3001,$N2791))</f>
        <v/>
      </c>
      <c r="K2791" s="28" t="str">
        <f>IF($N2791="","",IF(OR(I2791="",J2791=""),"",J2791-I2791))</f>
        <v/>
      </c>
      <c r="L2791" s="29" t="str">
        <f>IF($N2791="","",INDEX('_calc'!$J$2:$J$3001,$N2791))</f>
        <v/>
      </c>
      <c r="M2791" s="2" t="str">
        <f>IF($N2791="","",IF(AND(G2791=0,H2791=0),"수량 없음",IF(G2791=0,"신규 (전년 수량 없음)",IF(H2791=0,"당해 수량 없음",""))))</f>
        <v/>
      </c>
      <c r="N2791" t="str">
        <f>IF($B2791="","",MATCH($B2791,'_calc'!$L$2:$L$3001,0))</f>
        <v/>
      </c>
    </row>
    <row r="2792">
      <c r="B2792" s="24" t="str">
        <f>IF(ROW()-ROW($B$8)&gt;nComp,"",ROW()-ROW($B$8))</f>
        <v/>
      </c>
      <c r="C2792" t="str">
        <f>IF($N2792="","",INDEX('_calc'!$A$2:$A$3001,$N2792))</f>
        <v/>
      </c>
      <c r="D2792" s="25" t="str">
        <f>IF($N2792="","",INDEX('_calc'!$C$2:$C$3001,$N2792))</f>
        <v/>
      </c>
      <c r="E2792" s="25" t="str">
        <f>IF($N2792="","",INDEX('_calc'!$D$2:$D$3001,$N2792))</f>
        <v/>
      </c>
      <c r="F2792" s="26" t="str">
        <f>IF($N2792="","",IF($E$8=0,"",E2792/$E$8))</f>
        <v/>
      </c>
      <c r="G2792" s="25" t="str">
        <f>IF($N2792="","",INDEX('_calc'!$E$2:$E$3001,$N2792))</f>
        <v/>
      </c>
      <c r="H2792" s="25" t="str">
        <f>IF($N2792="","",INDEX('_calc'!$F$2:$F$3001,$N2792))</f>
        <v/>
      </c>
      <c r="I2792" s="27" t="str">
        <f>IF($N2792="","",INDEX('_calc'!$H$2:$H$3001,$N2792))</f>
        <v/>
      </c>
      <c r="J2792" s="27" t="str">
        <f>IF($N2792="","",INDEX('_calc'!$I$2:$I$3001,$N2792))</f>
        <v/>
      </c>
      <c r="K2792" s="28" t="str">
        <f>IF($N2792="","",IF(OR(I2792="",J2792=""),"",J2792-I2792))</f>
        <v/>
      </c>
      <c r="L2792" s="29" t="str">
        <f>IF($N2792="","",INDEX('_calc'!$J$2:$J$3001,$N2792))</f>
        <v/>
      </c>
      <c r="M2792" s="2" t="str">
        <f>IF($N2792="","",IF(AND(G2792=0,H2792=0),"수량 없음",IF(G2792=0,"신규 (전년 수량 없음)",IF(H2792=0,"당해 수량 없음",""))))</f>
        <v/>
      </c>
      <c r="N2792" t="str">
        <f>IF($B2792="","",MATCH($B2792,'_calc'!$L$2:$L$3001,0))</f>
        <v/>
      </c>
    </row>
    <row r="2793">
      <c r="B2793" s="24" t="str">
        <f>IF(ROW()-ROW($B$8)&gt;nComp,"",ROW()-ROW($B$8))</f>
        <v/>
      </c>
      <c r="C2793" t="str">
        <f>IF($N2793="","",INDEX('_calc'!$A$2:$A$3001,$N2793))</f>
        <v/>
      </c>
      <c r="D2793" s="25" t="str">
        <f>IF($N2793="","",INDEX('_calc'!$C$2:$C$3001,$N2793))</f>
        <v/>
      </c>
      <c r="E2793" s="25" t="str">
        <f>IF($N2793="","",INDEX('_calc'!$D$2:$D$3001,$N2793))</f>
        <v/>
      </c>
      <c r="F2793" s="26" t="str">
        <f>IF($N2793="","",IF($E$8=0,"",E2793/$E$8))</f>
        <v/>
      </c>
      <c r="G2793" s="25" t="str">
        <f>IF($N2793="","",INDEX('_calc'!$E$2:$E$3001,$N2793))</f>
        <v/>
      </c>
      <c r="H2793" s="25" t="str">
        <f>IF($N2793="","",INDEX('_calc'!$F$2:$F$3001,$N2793))</f>
        <v/>
      </c>
      <c r="I2793" s="27" t="str">
        <f>IF($N2793="","",INDEX('_calc'!$H$2:$H$3001,$N2793))</f>
        <v/>
      </c>
      <c r="J2793" s="27" t="str">
        <f>IF($N2793="","",INDEX('_calc'!$I$2:$I$3001,$N2793))</f>
        <v/>
      </c>
      <c r="K2793" s="28" t="str">
        <f>IF($N2793="","",IF(OR(I2793="",J2793=""),"",J2793-I2793))</f>
        <v/>
      </c>
      <c r="L2793" s="29" t="str">
        <f>IF($N2793="","",INDEX('_calc'!$J$2:$J$3001,$N2793))</f>
        <v/>
      </c>
      <c r="M2793" s="2" t="str">
        <f>IF($N2793="","",IF(AND(G2793=0,H2793=0),"수량 없음",IF(G2793=0,"신규 (전년 수량 없음)",IF(H2793=0,"당해 수량 없음",""))))</f>
        <v/>
      </c>
      <c r="N2793" t="str">
        <f>IF($B2793="","",MATCH($B2793,'_calc'!$L$2:$L$3001,0))</f>
        <v/>
      </c>
    </row>
    <row r="2794">
      <c r="B2794" s="24" t="str">
        <f>IF(ROW()-ROW($B$8)&gt;nComp,"",ROW()-ROW($B$8))</f>
        <v/>
      </c>
      <c r="C2794" t="str">
        <f>IF($N2794="","",INDEX('_calc'!$A$2:$A$3001,$N2794))</f>
        <v/>
      </c>
      <c r="D2794" s="25" t="str">
        <f>IF($N2794="","",INDEX('_calc'!$C$2:$C$3001,$N2794))</f>
        <v/>
      </c>
      <c r="E2794" s="25" t="str">
        <f>IF($N2794="","",INDEX('_calc'!$D$2:$D$3001,$N2794))</f>
        <v/>
      </c>
      <c r="F2794" s="26" t="str">
        <f>IF($N2794="","",IF($E$8=0,"",E2794/$E$8))</f>
        <v/>
      </c>
      <c r="G2794" s="25" t="str">
        <f>IF($N2794="","",INDEX('_calc'!$E$2:$E$3001,$N2794))</f>
        <v/>
      </c>
      <c r="H2794" s="25" t="str">
        <f>IF($N2794="","",INDEX('_calc'!$F$2:$F$3001,$N2794))</f>
        <v/>
      </c>
      <c r="I2794" s="27" t="str">
        <f>IF($N2794="","",INDEX('_calc'!$H$2:$H$3001,$N2794))</f>
        <v/>
      </c>
      <c r="J2794" s="27" t="str">
        <f>IF($N2794="","",INDEX('_calc'!$I$2:$I$3001,$N2794))</f>
        <v/>
      </c>
      <c r="K2794" s="28" t="str">
        <f>IF($N2794="","",IF(OR(I2794="",J2794=""),"",J2794-I2794))</f>
        <v/>
      </c>
      <c r="L2794" s="29" t="str">
        <f>IF($N2794="","",INDEX('_calc'!$J$2:$J$3001,$N2794))</f>
        <v/>
      </c>
      <c r="M2794" s="2" t="str">
        <f>IF($N2794="","",IF(AND(G2794=0,H2794=0),"수량 없음",IF(G2794=0,"신규 (전년 수량 없음)",IF(H2794=0,"당해 수량 없음",""))))</f>
        <v/>
      </c>
      <c r="N2794" t="str">
        <f>IF($B2794="","",MATCH($B2794,'_calc'!$L$2:$L$3001,0))</f>
        <v/>
      </c>
    </row>
    <row r="2795">
      <c r="B2795" s="24" t="str">
        <f>IF(ROW()-ROW($B$8)&gt;nComp,"",ROW()-ROW($B$8))</f>
        <v/>
      </c>
      <c r="C2795" t="str">
        <f>IF($N2795="","",INDEX('_calc'!$A$2:$A$3001,$N2795))</f>
        <v/>
      </c>
      <c r="D2795" s="25" t="str">
        <f>IF($N2795="","",INDEX('_calc'!$C$2:$C$3001,$N2795))</f>
        <v/>
      </c>
      <c r="E2795" s="25" t="str">
        <f>IF($N2795="","",INDEX('_calc'!$D$2:$D$3001,$N2795))</f>
        <v/>
      </c>
      <c r="F2795" s="26" t="str">
        <f>IF($N2795="","",IF($E$8=0,"",E2795/$E$8))</f>
        <v/>
      </c>
      <c r="G2795" s="25" t="str">
        <f>IF($N2795="","",INDEX('_calc'!$E$2:$E$3001,$N2795))</f>
        <v/>
      </c>
      <c r="H2795" s="25" t="str">
        <f>IF($N2795="","",INDEX('_calc'!$F$2:$F$3001,$N2795))</f>
        <v/>
      </c>
      <c r="I2795" s="27" t="str">
        <f>IF($N2795="","",INDEX('_calc'!$H$2:$H$3001,$N2795))</f>
        <v/>
      </c>
      <c r="J2795" s="27" t="str">
        <f>IF($N2795="","",INDEX('_calc'!$I$2:$I$3001,$N2795))</f>
        <v/>
      </c>
      <c r="K2795" s="28" t="str">
        <f>IF($N2795="","",IF(OR(I2795="",J2795=""),"",J2795-I2795))</f>
        <v/>
      </c>
      <c r="L2795" s="29" t="str">
        <f>IF($N2795="","",INDEX('_calc'!$J$2:$J$3001,$N2795))</f>
        <v/>
      </c>
      <c r="M2795" s="2" t="str">
        <f>IF($N2795="","",IF(AND(G2795=0,H2795=0),"수량 없음",IF(G2795=0,"신규 (전년 수량 없음)",IF(H2795=0,"당해 수량 없음",""))))</f>
        <v/>
      </c>
      <c r="N2795" t="str">
        <f>IF($B2795="","",MATCH($B2795,'_calc'!$L$2:$L$3001,0))</f>
        <v/>
      </c>
    </row>
    <row r="2796">
      <c r="B2796" s="24" t="str">
        <f>IF(ROW()-ROW($B$8)&gt;nComp,"",ROW()-ROW($B$8))</f>
        <v/>
      </c>
      <c r="C2796" t="str">
        <f>IF($N2796="","",INDEX('_calc'!$A$2:$A$3001,$N2796))</f>
        <v/>
      </c>
      <c r="D2796" s="25" t="str">
        <f>IF($N2796="","",INDEX('_calc'!$C$2:$C$3001,$N2796))</f>
        <v/>
      </c>
      <c r="E2796" s="25" t="str">
        <f>IF($N2796="","",INDEX('_calc'!$D$2:$D$3001,$N2796))</f>
        <v/>
      </c>
      <c r="F2796" s="26" t="str">
        <f>IF($N2796="","",IF($E$8=0,"",E2796/$E$8))</f>
        <v/>
      </c>
      <c r="G2796" s="25" t="str">
        <f>IF($N2796="","",INDEX('_calc'!$E$2:$E$3001,$N2796))</f>
        <v/>
      </c>
      <c r="H2796" s="25" t="str">
        <f>IF($N2796="","",INDEX('_calc'!$F$2:$F$3001,$N2796))</f>
        <v/>
      </c>
      <c r="I2796" s="27" t="str">
        <f>IF($N2796="","",INDEX('_calc'!$H$2:$H$3001,$N2796))</f>
        <v/>
      </c>
      <c r="J2796" s="27" t="str">
        <f>IF($N2796="","",INDEX('_calc'!$I$2:$I$3001,$N2796))</f>
        <v/>
      </c>
      <c r="K2796" s="28" t="str">
        <f>IF($N2796="","",IF(OR(I2796="",J2796=""),"",J2796-I2796))</f>
        <v/>
      </c>
      <c r="L2796" s="29" t="str">
        <f>IF($N2796="","",INDEX('_calc'!$J$2:$J$3001,$N2796))</f>
        <v/>
      </c>
      <c r="M2796" s="2" t="str">
        <f>IF($N2796="","",IF(AND(G2796=0,H2796=0),"수량 없음",IF(G2796=0,"신규 (전년 수량 없음)",IF(H2796=0,"당해 수량 없음",""))))</f>
        <v/>
      </c>
      <c r="N2796" t="str">
        <f>IF($B2796="","",MATCH($B2796,'_calc'!$L$2:$L$3001,0))</f>
        <v/>
      </c>
    </row>
    <row r="2797">
      <c r="B2797" s="24" t="str">
        <f>IF(ROW()-ROW($B$8)&gt;nComp,"",ROW()-ROW($B$8))</f>
        <v/>
      </c>
      <c r="C2797" t="str">
        <f>IF($N2797="","",INDEX('_calc'!$A$2:$A$3001,$N2797))</f>
        <v/>
      </c>
      <c r="D2797" s="25" t="str">
        <f>IF($N2797="","",INDEX('_calc'!$C$2:$C$3001,$N2797))</f>
        <v/>
      </c>
      <c r="E2797" s="25" t="str">
        <f>IF($N2797="","",INDEX('_calc'!$D$2:$D$3001,$N2797))</f>
        <v/>
      </c>
      <c r="F2797" s="26" t="str">
        <f>IF($N2797="","",IF($E$8=0,"",E2797/$E$8))</f>
        <v/>
      </c>
      <c r="G2797" s="25" t="str">
        <f>IF($N2797="","",INDEX('_calc'!$E$2:$E$3001,$N2797))</f>
        <v/>
      </c>
      <c r="H2797" s="25" t="str">
        <f>IF($N2797="","",INDEX('_calc'!$F$2:$F$3001,$N2797))</f>
        <v/>
      </c>
      <c r="I2797" s="27" t="str">
        <f>IF($N2797="","",INDEX('_calc'!$H$2:$H$3001,$N2797))</f>
        <v/>
      </c>
      <c r="J2797" s="27" t="str">
        <f>IF($N2797="","",INDEX('_calc'!$I$2:$I$3001,$N2797))</f>
        <v/>
      </c>
      <c r="K2797" s="28" t="str">
        <f>IF($N2797="","",IF(OR(I2797="",J2797=""),"",J2797-I2797))</f>
        <v/>
      </c>
      <c r="L2797" s="29" t="str">
        <f>IF($N2797="","",INDEX('_calc'!$J$2:$J$3001,$N2797))</f>
        <v/>
      </c>
      <c r="M2797" s="2" t="str">
        <f>IF($N2797="","",IF(AND(G2797=0,H2797=0),"수량 없음",IF(G2797=0,"신규 (전년 수량 없음)",IF(H2797=0,"당해 수량 없음",""))))</f>
        <v/>
      </c>
      <c r="N2797" t="str">
        <f>IF($B2797="","",MATCH($B2797,'_calc'!$L$2:$L$3001,0))</f>
        <v/>
      </c>
    </row>
    <row r="2798">
      <c r="B2798" s="24" t="str">
        <f>IF(ROW()-ROW($B$8)&gt;nComp,"",ROW()-ROW($B$8))</f>
        <v/>
      </c>
      <c r="C2798" t="str">
        <f>IF($N2798="","",INDEX('_calc'!$A$2:$A$3001,$N2798))</f>
        <v/>
      </c>
      <c r="D2798" s="25" t="str">
        <f>IF($N2798="","",INDEX('_calc'!$C$2:$C$3001,$N2798))</f>
        <v/>
      </c>
      <c r="E2798" s="25" t="str">
        <f>IF($N2798="","",INDEX('_calc'!$D$2:$D$3001,$N2798))</f>
        <v/>
      </c>
      <c r="F2798" s="26" t="str">
        <f>IF($N2798="","",IF($E$8=0,"",E2798/$E$8))</f>
        <v/>
      </c>
      <c r="G2798" s="25" t="str">
        <f>IF($N2798="","",INDEX('_calc'!$E$2:$E$3001,$N2798))</f>
        <v/>
      </c>
      <c r="H2798" s="25" t="str">
        <f>IF($N2798="","",INDEX('_calc'!$F$2:$F$3001,$N2798))</f>
        <v/>
      </c>
      <c r="I2798" s="27" t="str">
        <f>IF($N2798="","",INDEX('_calc'!$H$2:$H$3001,$N2798))</f>
        <v/>
      </c>
      <c r="J2798" s="27" t="str">
        <f>IF($N2798="","",INDEX('_calc'!$I$2:$I$3001,$N2798))</f>
        <v/>
      </c>
      <c r="K2798" s="28" t="str">
        <f>IF($N2798="","",IF(OR(I2798="",J2798=""),"",J2798-I2798))</f>
        <v/>
      </c>
      <c r="L2798" s="29" t="str">
        <f>IF($N2798="","",INDEX('_calc'!$J$2:$J$3001,$N2798))</f>
        <v/>
      </c>
      <c r="M2798" s="2" t="str">
        <f>IF($N2798="","",IF(AND(G2798=0,H2798=0),"수량 없음",IF(G2798=0,"신규 (전년 수량 없음)",IF(H2798=0,"당해 수량 없음",""))))</f>
        <v/>
      </c>
      <c r="N2798" t="str">
        <f>IF($B2798="","",MATCH($B2798,'_calc'!$L$2:$L$3001,0))</f>
        <v/>
      </c>
    </row>
    <row r="2799">
      <c r="B2799" s="24" t="str">
        <f>IF(ROW()-ROW($B$8)&gt;nComp,"",ROW()-ROW($B$8))</f>
        <v/>
      </c>
      <c r="C2799" t="str">
        <f>IF($N2799="","",INDEX('_calc'!$A$2:$A$3001,$N2799))</f>
        <v/>
      </c>
      <c r="D2799" s="25" t="str">
        <f>IF($N2799="","",INDEX('_calc'!$C$2:$C$3001,$N2799))</f>
        <v/>
      </c>
      <c r="E2799" s="25" t="str">
        <f>IF($N2799="","",INDEX('_calc'!$D$2:$D$3001,$N2799))</f>
        <v/>
      </c>
      <c r="F2799" s="26" t="str">
        <f>IF($N2799="","",IF($E$8=0,"",E2799/$E$8))</f>
        <v/>
      </c>
      <c r="G2799" s="25" t="str">
        <f>IF($N2799="","",INDEX('_calc'!$E$2:$E$3001,$N2799))</f>
        <v/>
      </c>
      <c r="H2799" s="25" t="str">
        <f>IF($N2799="","",INDEX('_calc'!$F$2:$F$3001,$N2799))</f>
        <v/>
      </c>
      <c r="I2799" s="27" t="str">
        <f>IF($N2799="","",INDEX('_calc'!$H$2:$H$3001,$N2799))</f>
        <v/>
      </c>
      <c r="J2799" s="27" t="str">
        <f>IF($N2799="","",INDEX('_calc'!$I$2:$I$3001,$N2799))</f>
        <v/>
      </c>
      <c r="K2799" s="28" t="str">
        <f>IF($N2799="","",IF(OR(I2799="",J2799=""),"",J2799-I2799))</f>
        <v/>
      </c>
      <c r="L2799" s="29" t="str">
        <f>IF($N2799="","",INDEX('_calc'!$J$2:$J$3001,$N2799))</f>
        <v/>
      </c>
      <c r="M2799" s="2" t="str">
        <f>IF($N2799="","",IF(AND(G2799=0,H2799=0),"수량 없음",IF(G2799=0,"신규 (전년 수량 없음)",IF(H2799=0,"당해 수량 없음",""))))</f>
        <v/>
      </c>
      <c r="N2799" t="str">
        <f>IF($B2799="","",MATCH($B2799,'_calc'!$L$2:$L$3001,0))</f>
        <v/>
      </c>
    </row>
    <row r="2800">
      <c r="B2800" s="24" t="str">
        <f>IF(ROW()-ROW($B$8)&gt;nComp,"",ROW()-ROW($B$8))</f>
        <v/>
      </c>
      <c r="C2800" t="str">
        <f>IF($N2800="","",INDEX('_calc'!$A$2:$A$3001,$N2800))</f>
        <v/>
      </c>
      <c r="D2800" s="25" t="str">
        <f>IF($N2800="","",INDEX('_calc'!$C$2:$C$3001,$N2800))</f>
        <v/>
      </c>
      <c r="E2800" s="25" t="str">
        <f>IF($N2800="","",INDEX('_calc'!$D$2:$D$3001,$N2800))</f>
        <v/>
      </c>
      <c r="F2800" s="26" t="str">
        <f>IF($N2800="","",IF($E$8=0,"",E2800/$E$8))</f>
        <v/>
      </c>
      <c r="G2800" s="25" t="str">
        <f>IF($N2800="","",INDEX('_calc'!$E$2:$E$3001,$N2800))</f>
        <v/>
      </c>
      <c r="H2800" s="25" t="str">
        <f>IF($N2800="","",INDEX('_calc'!$F$2:$F$3001,$N2800))</f>
        <v/>
      </c>
      <c r="I2800" s="27" t="str">
        <f>IF($N2800="","",INDEX('_calc'!$H$2:$H$3001,$N2800))</f>
        <v/>
      </c>
      <c r="J2800" s="27" t="str">
        <f>IF($N2800="","",INDEX('_calc'!$I$2:$I$3001,$N2800))</f>
        <v/>
      </c>
      <c r="K2800" s="28" t="str">
        <f>IF($N2800="","",IF(OR(I2800="",J2800=""),"",J2800-I2800))</f>
        <v/>
      </c>
      <c r="L2800" s="29" t="str">
        <f>IF($N2800="","",INDEX('_calc'!$J$2:$J$3001,$N2800))</f>
        <v/>
      </c>
      <c r="M2800" s="2" t="str">
        <f>IF($N2800="","",IF(AND(G2800=0,H2800=0),"수량 없음",IF(G2800=0,"신규 (전년 수량 없음)",IF(H2800=0,"당해 수량 없음",""))))</f>
        <v/>
      </c>
      <c r="N2800" t="str">
        <f>IF($B2800="","",MATCH($B2800,'_calc'!$L$2:$L$3001,0))</f>
        <v/>
      </c>
    </row>
    <row r="2801">
      <c r="B2801" s="24" t="str">
        <f>IF(ROW()-ROW($B$8)&gt;nComp,"",ROW()-ROW($B$8))</f>
        <v/>
      </c>
      <c r="C2801" t="str">
        <f>IF($N2801="","",INDEX('_calc'!$A$2:$A$3001,$N2801))</f>
        <v/>
      </c>
      <c r="D2801" s="25" t="str">
        <f>IF($N2801="","",INDEX('_calc'!$C$2:$C$3001,$N2801))</f>
        <v/>
      </c>
      <c r="E2801" s="25" t="str">
        <f>IF($N2801="","",INDEX('_calc'!$D$2:$D$3001,$N2801))</f>
        <v/>
      </c>
      <c r="F2801" s="26" t="str">
        <f>IF($N2801="","",IF($E$8=0,"",E2801/$E$8))</f>
        <v/>
      </c>
      <c r="G2801" s="25" t="str">
        <f>IF($N2801="","",INDEX('_calc'!$E$2:$E$3001,$N2801))</f>
        <v/>
      </c>
      <c r="H2801" s="25" t="str">
        <f>IF($N2801="","",INDEX('_calc'!$F$2:$F$3001,$N2801))</f>
        <v/>
      </c>
      <c r="I2801" s="27" t="str">
        <f>IF($N2801="","",INDEX('_calc'!$H$2:$H$3001,$N2801))</f>
        <v/>
      </c>
      <c r="J2801" s="27" t="str">
        <f>IF($N2801="","",INDEX('_calc'!$I$2:$I$3001,$N2801))</f>
        <v/>
      </c>
      <c r="K2801" s="28" t="str">
        <f>IF($N2801="","",IF(OR(I2801="",J2801=""),"",J2801-I2801))</f>
        <v/>
      </c>
      <c r="L2801" s="29" t="str">
        <f>IF($N2801="","",INDEX('_calc'!$J$2:$J$3001,$N2801))</f>
        <v/>
      </c>
      <c r="M2801" s="2" t="str">
        <f>IF($N2801="","",IF(AND(G2801=0,H2801=0),"수량 없음",IF(G2801=0,"신규 (전년 수량 없음)",IF(H2801=0,"당해 수량 없음",""))))</f>
        <v/>
      </c>
      <c r="N2801" t="str">
        <f>IF($B2801="","",MATCH($B2801,'_calc'!$L$2:$L$3001,0))</f>
        <v/>
      </c>
    </row>
    <row r="2802">
      <c r="B2802" s="24" t="str">
        <f>IF(ROW()-ROW($B$8)&gt;nComp,"",ROW()-ROW($B$8))</f>
        <v/>
      </c>
      <c r="C2802" t="str">
        <f>IF($N2802="","",INDEX('_calc'!$A$2:$A$3001,$N2802))</f>
        <v/>
      </c>
      <c r="D2802" s="25" t="str">
        <f>IF($N2802="","",INDEX('_calc'!$C$2:$C$3001,$N2802))</f>
        <v/>
      </c>
      <c r="E2802" s="25" t="str">
        <f>IF($N2802="","",INDEX('_calc'!$D$2:$D$3001,$N2802))</f>
        <v/>
      </c>
      <c r="F2802" s="26" t="str">
        <f>IF($N2802="","",IF($E$8=0,"",E2802/$E$8))</f>
        <v/>
      </c>
      <c r="G2802" s="25" t="str">
        <f>IF($N2802="","",INDEX('_calc'!$E$2:$E$3001,$N2802))</f>
        <v/>
      </c>
      <c r="H2802" s="25" t="str">
        <f>IF($N2802="","",INDEX('_calc'!$F$2:$F$3001,$N2802))</f>
        <v/>
      </c>
      <c r="I2802" s="27" t="str">
        <f>IF($N2802="","",INDEX('_calc'!$H$2:$H$3001,$N2802))</f>
        <v/>
      </c>
      <c r="J2802" s="27" t="str">
        <f>IF($N2802="","",INDEX('_calc'!$I$2:$I$3001,$N2802))</f>
        <v/>
      </c>
      <c r="K2802" s="28" t="str">
        <f>IF($N2802="","",IF(OR(I2802="",J2802=""),"",J2802-I2802))</f>
        <v/>
      </c>
      <c r="L2802" s="29" t="str">
        <f>IF($N2802="","",INDEX('_calc'!$J$2:$J$3001,$N2802))</f>
        <v/>
      </c>
      <c r="M2802" s="2" t="str">
        <f>IF($N2802="","",IF(AND(G2802=0,H2802=0),"수량 없음",IF(G2802=0,"신규 (전년 수량 없음)",IF(H2802=0,"당해 수량 없음",""))))</f>
        <v/>
      </c>
      <c r="N2802" t="str">
        <f>IF($B2802="","",MATCH($B2802,'_calc'!$L$2:$L$3001,0))</f>
        <v/>
      </c>
    </row>
    <row r="2803">
      <c r="B2803" s="24" t="str">
        <f>IF(ROW()-ROW($B$8)&gt;nComp,"",ROW()-ROW($B$8))</f>
        <v/>
      </c>
      <c r="C2803" t="str">
        <f>IF($N2803="","",INDEX('_calc'!$A$2:$A$3001,$N2803))</f>
        <v/>
      </c>
      <c r="D2803" s="25" t="str">
        <f>IF($N2803="","",INDEX('_calc'!$C$2:$C$3001,$N2803))</f>
        <v/>
      </c>
      <c r="E2803" s="25" t="str">
        <f>IF($N2803="","",INDEX('_calc'!$D$2:$D$3001,$N2803))</f>
        <v/>
      </c>
      <c r="F2803" s="26" t="str">
        <f>IF($N2803="","",IF($E$8=0,"",E2803/$E$8))</f>
        <v/>
      </c>
      <c r="G2803" s="25" t="str">
        <f>IF($N2803="","",INDEX('_calc'!$E$2:$E$3001,$N2803))</f>
        <v/>
      </c>
      <c r="H2803" s="25" t="str">
        <f>IF($N2803="","",INDEX('_calc'!$F$2:$F$3001,$N2803))</f>
        <v/>
      </c>
      <c r="I2803" s="27" t="str">
        <f>IF($N2803="","",INDEX('_calc'!$H$2:$H$3001,$N2803))</f>
        <v/>
      </c>
      <c r="J2803" s="27" t="str">
        <f>IF($N2803="","",INDEX('_calc'!$I$2:$I$3001,$N2803))</f>
        <v/>
      </c>
      <c r="K2803" s="28" t="str">
        <f>IF($N2803="","",IF(OR(I2803="",J2803=""),"",J2803-I2803))</f>
        <v/>
      </c>
      <c r="L2803" s="29" t="str">
        <f>IF($N2803="","",INDEX('_calc'!$J$2:$J$3001,$N2803))</f>
        <v/>
      </c>
      <c r="M2803" s="2" t="str">
        <f>IF($N2803="","",IF(AND(G2803=0,H2803=0),"수량 없음",IF(G2803=0,"신규 (전년 수량 없음)",IF(H2803=0,"당해 수량 없음",""))))</f>
        <v/>
      </c>
      <c r="N2803" t="str">
        <f>IF($B2803="","",MATCH($B2803,'_calc'!$L$2:$L$3001,0))</f>
        <v/>
      </c>
    </row>
    <row r="2804">
      <c r="B2804" s="24" t="str">
        <f>IF(ROW()-ROW($B$8)&gt;nComp,"",ROW()-ROW($B$8))</f>
        <v/>
      </c>
      <c r="C2804" t="str">
        <f>IF($N2804="","",INDEX('_calc'!$A$2:$A$3001,$N2804))</f>
        <v/>
      </c>
      <c r="D2804" s="25" t="str">
        <f>IF($N2804="","",INDEX('_calc'!$C$2:$C$3001,$N2804))</f>
        <v/>
      </c>
      <c r="E2804" s="25" t="str">
        <f>IF($N2804="","",INDEX('_calc'!$D$2:$D$3001,$N2804))</f>
        <v/>
      </c>
      <c r="F2804" s="26" t="str">
        <f>IF($N2804="","",IF($E$8=0,"",E2804/$E$8))</f>
        <v/>
      </c>
      <c r="G2804" s="25" t="str">
        <f>IF($N2804="","",INDEX('_calc'!$E$2:$E$3001,$N2804))</f>
        <v/>
      </c>
      <c r="H2804" s="25" t="str">
        <f>IF($N2804="","",INDEX('_calc'!$F$2:$F$3001,$N2804))</f>
        <v/>
      </c>
      <c r="I2804" s="27" t="str">
        <f>IF($N2804="","",INDEX('_calc'!$H$2:$H$3001,$N2804))</f>
        <v/>
      </c>
      <c r="J2804" s="27" t="str">
        <f>IF($N2804="","",INDEX('_calc'!$I$2:$I$3001,$N2804))</f>
        <v/>
      </c>
      <c r="K2804" s="28" t="str">
        <f>IF($N2804="","",IF(OR(I2804="",J2804=""),"",J2804-I2804))</f>
        <v/>
      </c>
      <c r="L2804" s="29" t="str">
        <f>IF($N2804="","",INDEX('_calc'!$J$2:$J$3001,$N2804))</f>
        <v/>
      </c>
      <c r="M2804" s="2" t="str">
        <f>IF($N2804="","",IF(AND(G2804=0,H2804=0),"수량 없음",IF(G2804=0,"신규 (전년 수량 없음)",IF(H2804=0,"당해 수량 없음",""))))</f>
        <v/>
      </c>
      <c r="N2804" t="str">
        <f>IF($B2804="","",MATCH($B2804,'_calc'!$L$2:$L$3001,0))</f>
        <v/>
      </c>
    </row>
    <row r="2805">
      <c r="B2805" s="24" t="str">
        <f>IF(ROW()-ROW($B$8)&gt;nComp,"",ROW()-ROW($B$8))</f>
        <v/>
      </c>
      <c r="C2805" t="str">
        <f>IF($N2805="","",INDEX('_calc'!$A$2:$A$3001,$N2805))</f>
        <v/>
      </c>
      <c r="D2805" s="25" t="str">
        <f>IF($N2805="","",INDEX('_calc'!$C$2:$C$3001,$N2805))</f>
        <v/>
      </c>
      <c r="E2805" s="25" t="str">
        <f>IF($N2805="","",INDEX('_calc'!$D$2:$D$3001,$N2805))</f>
        <v/>
      </c>
      <c r="F2805" s="26" t="str">
        <f>IF($N2805="","",IF($E$8=0,"",E2805/$E$8))</f>
        <v/>
      </c>
      <c r="G2805" s="25" t="str">
        <f>IF($N2805="","",INDEX('_calc'!$E$2:$E$3001,$N2805))</f>
        <v/>
      </c>
      <c r="H2805" s="25" t="str">
        <f>IF($N2805="","",INDEX('_calc'!$F$2:$F$3001,$N2805))</f>
        <v/>
      </c>
      <c r="I2805" s="27" t="str">
        <f>IF($N2805="","",INDEX('_calc'!$H$2:$H$3001,$N2805))</f>
        <v/>
      </c>
      <c r="J2805" s="27" t="str">
        <f>IF($N2805="","",INDEX('_calc'!$I$2:$I$3001,$N2805))</f>
        <v/>
      </c>
      <c r="K2805" s="28" t="str">
        <f>IF($N2805="","",IF(OR(I2805="",J2805=""),"",J2805-I2805))</f>
        <v/>
      </c>
      <c r="L2805" s="29" t="str">
        <f>IF($N2805="","",INDEX('_calc'!$J$2:$J$3001,$N2805))</f>
        <v/>
      </c>
      <c r="M2805" s="2" t="str">
        <f>IF($N2805="","",IF(AND(G2805=0,H2805=0),"수량 없음",IF(G2805=0,"신규 (전년 수량 없음)",IF(H2805=0,"당해 수량 없음",""))))</f>
        <v/>
      </c>
      <c r="N2805" t="str">
        <f>IF($B2805="","",MATCH($B2805,'_calc'!$L$2:$L$3001,0))</f>
        <v/>
      </c>
    </row>
    <row r="2806">
      <c r="B2806" s="24" t="str">
        <f>IF(ROW()-ROW($B$8)&gt;nComp,"",ROW()-ROW($B$8))</f>
        <v/>
      </c>
      <c r="C2806" t="str">
        <f>IF($N2806="","",INDEX('_calc'!$A$2:$A$3001,$N2806))</f>
        <v/>
      </c>
      <c r="D2806" s="25" t="str">
        <f>IF($N2806="","",INDEX('_calc'!$C$2:$C$3001,$N2806))</f>
        <v/>
      </c>
      <c r="E2806" s="25" t="str">
        <f>IF($N2806="","",INDEX('_calc'!$D$2:$D$3001,$N2806))</f>
        <v/>
      </c>
      <c r="F2806" s="26" t="str">
        <f>IF($N2806="","",IF($E$8=0,"",E2806/$E$8))</f>
        <v/>
      </c>
      <c r="G2806" s="25" t="str">
        <f>IF($N2806="","",INDEX('_calc'!$E$2:$E$3001,$N2806))</f>
        <v/>
      </c>
      <c r="H2806" s="25" t="str">
        <f>IF($N2806="","",INDEX('_calc'!$F$2:$F$3001,$N2806))</f>
        <v/>
      </c>
      <c r="I2806" s="27" t="str">
        <f>IF($N2806="","",INDEX('_calc'!$H$2:$H$3001,$N2806))</f>
        <v/>
      </c>
      <c r="J2806" s="27" t="str">
        <f>IF($N2806="","",INDEX('_calc'!$I$2:$I$3001,$N2806))</f>
        <v/>
      </c>
      <c r="K2806" s="28" t="str">
        <f>IF($N2806="","",IF(OR(I2806="",J2806=""),"",J2806-I2806))</f>
        <v/>
      </c>
      <c r="L2806" s="29" t="str">
        <f>IF($N2806="","",INDEX('_calc'!$J$2:$J$3001,$N2806))</f>
        <v/>
      </c>
      <c r="M2806" s="2" t="str">
        <f>IF($N2806="","",IF(AND(G2806=0,H2806=0),"수량 없음",IF(G2806=0,"신규 (전년 수량 없음)",IF(H2806=0,"당해 수량 없음",""))))</f>
        <v/>
      </c>
      <c r="N2806" t="str">
        <f>IF($B2806="","",MATCH($B2806,'_calc'!$L$2:$L$3001,0))</f>
        <v/>
      </c>
    </row>
    <row r="2807">
      <c r="B2807" s="24" t="str">
        <f>IF(ROW()-ROW($B$8)&gt;nComp,"",ROW()-ROW($B$8))</f>
        <v/>
      </c>
      <c r="C2807" t="str">
        <f>IF($N2807="","",INDEX('_calc'!$A$2:$A$3001,$N2807))</f>
        <v/>
      </c>
      <c r="D2807" s="25" t="str">
        <f>IF($N2807="","",INDEX('_calc'!$C$2:$C$3001,$N2807))</f>
        <v/>
      </c>
      <c r="E2807" s="25" t="str">
        <f>IF($N2807="","",INDEX('_calc'!$D$2:$D$3001,$N2807))</f>
        <v/>
      </c>
      <c r="F2807" s="26" t="str">
        <f>IF($N2807="","",IF($E$8=0,"",E2807/$E$8))</f>
        <v/>
      </c>
      <c r="G2807" s="25" t="str">
        <f>IF($N2807="","",INDEX('_calc'!$E$2:$E$3001,$N2807))</f>
        <v/>
      </c>
      <c r="H2807" s="25" t="str">
        <f>IF($N2807="","",INDEX('_calc'!$F$2:$F$3001,$N2807))</f>
        <v/>
      </c>
      <c r="I2807" s="27" t="str">
        <f>IF($N2807="","",INDEX('_calc'!$H$2:$H$3001,$N2807))</f>
        <v/>
      </c>
      <c r="J2807" s="27" t="str">
        <f>IF($N2807="","",INDEX('_calc'!$I$2:$I$3001,$N2807))</f>
        <v/>
      </c>
      <c r="K2807" s="28" t="str">
        <f>IF($N2807="","",IF(OR(I2807="",J2807=""),"",J2807-I2807))</f>
        <v/>
      </c>
      <c r="L2807" s="29" t="str">
        <f>IF($N2807="","",INDEX('_calc'!$J$2:$J$3001,$N2807))</f>
        <v/>
      </c>
      <c r="M2807" s="2" t="str">
        <f>IF($N2807="","",IF(AND(G2807=0,H2807=0),"수량 없음",IF(G2807=0,"신규 (전년 수량 없음)",IF(H2807=0,"당해 수량 없음",""))))</f>
        <v/>
      </c>
      <c r="N2807" t="str">
        <f>IF($B2807="","",MATCH($B2807,'_calc'!$L$2:$L$3001,0))</f>
        <v/>
      </c>
    </row>
    <row r="2808">
      <c r="B2808" s="24" t="str">
        <f>IF(ROW()-ROW($B$8)&gt;nComp,"",ROW()-ROW($B$8))</f>
        <v/>
      </c>
      <c r="C2808" t="str">
        <f>IF($N2808="","",INDEX('_calc'!$A$2:$A$3001,$N2808))</f>
        <v/>
      </c>
      <c r="D2808" s="25" t="str">
        <f>IF($N2808="","",INDEX('_calc'!$C$2:$C$3001,$N2808))</f>
        <v/>
      </c>
      <c r="E2808" s="25" t="str">
        <f>IF($N2808="","",INDEX('_calc'!$D$2:$D$3001,$N2808))</f>
        <v/>
      </c>
      <c r="F2808" s="26" t="str">
        <f>IF($N2808="","",IF($E$8=0,"",E2808/$E$8))</f>
        <v/>
      </c>
      <c r="G2808" s="25" t="str">
        <f>IF($N2808="","",INDEX('_calc'!$E$2:$E$3001,$N2808))</f>
        <v/>
      </c>
      <c r="H2808" s="25" t="str">
        <f>IF($N2808="","",INDEX('_calc'!$F$2:$F$3001,$N2808))</f>
        <v/>
      </c>
      <c r="I2808" s="27" t="str">
        <f>IF($N2808="","",INDEX('_calc'!$H$2:$H$3001,$N2808))</f>
        <v/>
      </c>
      <c r="J2808" s="27" t="str">
        <f>IF($N2808="","",INDEX('_calc'!$I$2:$I$3001,$N2808))</f>
        <v/>
      </c>
      <c r="K2808" s="28" t="str">
        <f>IF($N2808="","",IF(OR(I2808="",J2808=""),"",J2808-I2808))</f>
        <v/>
      </c>
      <c r="L2808" s="29" t="str">
        <f>IF($N2808="","",INDEX('_calc'!$J$2:$J$3001,$N2808))</f>
        <v/>
      </c>
      <c r="M2808" s="2" t="str">
        <f>IF($N2808="","",IF(AND(G2808=0,H2808=0),"수량 없음",IF(G2808=0,"신규 (전년 수량 없음)",IF(H2808=0,"당해 수량 없음",""))))</f>
        <v/>
      </c>
      <c r="N2808" t="str">
        <f>IF($B2808="","",MATCH($B2808,'_calc'!$L$2:$L$3001,0))</f>
        <v/>
      </c>
    </row>
    <row r="2809">
      <c r="B2809" s="24" t="str">
        <f>IF(ROW()-ROW($B$8)&gt;nComp,"",ROW()-ROW($B$8))</f>
        <v/>
      </c>
      <c r="C2809" t="str">
        <f>IF($N2809="","",INDEX('_calc'!$A$2:$A$3001,$N2809))</f>
        <v/>
      </c>
      <c r="D2809" s="25" t="str">
        <f>IF($N2809="","",INDEX('_calc'!$C$2:$C$3001,$N2809))</f>
        <v/>
      </c>
      <c r="E2809" s="25" t="str">
        <f>IF($N2809="","",INDEX('_calc'!$D$2:$D$3001,$N2809))</f>
        <v/>
      </c>
      <c r="F2809" s="26" t="str">
        <f>IF($N2809="","",IF($E$8=0,"",E2809/$E$8))</f>
        <v/>
      </c>
      <c r="G2809" s="25" t="str">
        <f>IF($N2809="","",INDEX('_calc'!$E$2:$E$3001,$N2809))</f>
        <v/>
      </c>
      <c r="H2809" s="25" t="str">
        <f>IF($N2809="","",INDEX('_calc'!$F$2:$F$3001,$N2809))</f>
        <v/>
      </c>
      <c r="I2809" s="27" t="str">
        <f>IF($N2809="","",INDEX('_calc'!$H$2:$H$3001,$N2809))</f>
        <v/>
      </c>
      <c r="J2809" s="27" t="str">
        <f>IF($N2809="","",INDEX('_calc'!$I$2:$I$3001,$N2809))</f>
        <v/>
      </c>
      <c r="K2809" s="28" t="str">
        <f>IF($N2809="","",IF(OR(I2809="",J2809=""),"",J2809-I2809))</f>
        <v/>
      </c>
      <c r="L2809" s="29" t="str">
        <f>IF($N2809="","",INDEX('_calc'!$J$2:$J$3001,$N2809))</f>
        <v/>
      </c>
      <c r="M2809" s="2" t="str">
        <f>IF($N2809="","",IF(AND(G2809=0,H2809=0),"수량 없음",IF(G2809=0,"신규 (전년 수량 없음)",IF(H2809=0,"당해 수량 없음",""))))</f>
        <v/>
      </c>
      <c r="N2809" t="str">
        <f>IF($B2809="","",MATCH($B2809,'_calc'!$L$2:$L$3001,0))</f>
        <v/>
      </c>
    </row>
    <row r="2810">
      <c r="B2810" s="24" t="str">
        <f>IF(ROW()-ROW($B$8)&gt;nComp,"",ROW()-ROW($B$8))</f>
        <v/>
      </c>
      <c r="C2810" t="str">
        <f>IF($N2810="","",INDEX('_calc'!$A$2:$A$3001,$N2810))</f>
        <v/>
      </c>
      <c r="D2810" s="25" t="str">
        <f>IF($N2810="","",INDEX('_calc'!$C$2:$C$3001,$N2810))</f>
        <v/>
      </c>
      <c r="E2810" s="25" t="str">
        <f>IF($N2810="","",INDEX('_calc'!$D$2:$D$3001,$N2810))</f>
        <v/>
      </c>
      <c r="F2810" s="26" t="str">
        <f>IF($N2810="","",IF($E$8=0,"",E2810/$E$8))</f>
        <v/>
      </c>
      <c r="G2810" s="25" t="str">
        <f>IF($N2810="","",INDEX('_calc'!$E$2:$E$3001,$N2810))</f>
        <v/>
      </c>
      <c r="H2810" s="25" t="str">
        <f>IF($N2810="","",INDEX('_calc'!$F$2:$F$3001,$N2810))</f>
        <v/>
      </c>
      <c r="I2810" s="27" t="str">
        <f>IF($N2810="","",INDEX('_calc'!$H$2:$H$3001,$N2810))</f>
        <v/>
      </c>
      <c r="J2810" s="27" t="str">
        <f>IF($N2810="","",INDEX('_calc'!$I$2:$I$3001,$N2810))</f>
        <v/>
      </c>
      <c r="K2810" s="28" t="str">
        <f>IF($N2810="","",IF(OR(I2810="",J2810=""),"",J2810-I2810))</f>
        <v/>
      </c>
      <c r="L2810" s="29" t="str">
        <f>IF($N2810="","",INDEX('_calc'!$J$2:$J$3001,$N2810))</f>
        <v/>
      </c>
      <c r="M2810" s="2" t="str">
        <f>IF($N2810="","",IF(AND(G2810=0,H2810=0),"수량 없음",IF(G2810=0,"신규 (전년 수량 없음)",IF(H2810=0,"당해 수량 없음",""))))</f>
        <v/>
      </c>
      <c r="N2810" t="str">
        <f>IF($B2810="","",MATCH($B2810,'_calc'!$L$2:$L$3001,0))</f>
        <v/>
      </c>
    </row>
    <row r="2811">
      <c r="B2811" s="24" t="str">
        <f>IF(ROW()-ROW($B$8)&gt;nComp,"",ROW()-ROW($B$8))</f>
        <v/>
      </c>
      <c r="C2811" t="str">
        <f>IF($N2811="","",INDEX('_calc'!$A$2:$A$3001,$N2811))</f>
        <v/>
      </c>
      <c r="D2811" s="25" t="str">
        <f>IF($N2811="","",INDEX('_calc'!$C$2:$C$3001,$N2811))</f>
        <v/>
      </c>
      <c r="E2811" s="25" t="str">
        <f>IF($N2811="","",INDEX('_calc'!$D$2:$D$3001,$N2811))</f>
        <v/>
      </c>
      <c r="F2811" s="26" t="str">
        <f>IF($N2811="","",IF($E$8=0,"",E2811/$E$8))</f>
        <v/>
      </c>
      <c r="G2811" s="25" t="str">
        <f>IF($N2811="","",INDEX('_calc'!$E$2:$E$3001,$N2811))</f>
        <v/>
      </c>
      <c r="H2811" s="25" t="str">
        <f>IF($N2811="","",INDEX('_calc'!$F$2:$F$3001,$N2811))</f>
        <v/>
      </c>
      <c r="I2811" s="27" t="str">
        <f>IF($N2811="","",INDEX('_calc'!$H$2:$H$3001,$N2811))</f>
        <v/>
      </c>
      <c r="J2811" s="27" t="str">
        <f>IF($N2811="","",INDEX('_calc'!$I$2:$I$3001,$N2811))</f>
        <v/>
      </c>
      <c r="K2811" s="28" t="str">
        <f>IF($N2811="","",IF(OR(I2811="",J2811=""),"",J2811-I2811))</f>
        <v/>
      </c>
      <c r="L2811" s="29" t="str">
        <f>IF($N2811="","",INDEX('_calc'!$J$2:$J$3001,$N2811))</f>
        <v/>
      </c>
      <c r="M2811" s="2" t="str">
        <f>IF($N2811="","",IF(AND(G2811=0,H2811=0),"수량 없음",IF(G2811=0,"신규 (전년 수량 없음)",IF(H2811=0,"당해 수량 없음",""))))</f>
        <v/>
      </c>
      <c r="N2811" t="str">
        <f>IF($B2811="","",MATCH($B2811,'_calc'!$L$2:$L$3001,0))</f>
        <v/>
      </c>
    </row>
    <row r="2812">
      <c r="B2812" s="24" t="str">
        <f>IF(ROW()-ROW($B$8)&gt;nComp,"",ROW()-ROW($B$8))</f>
        <v/>
      </c>
      <c r="C2812" t="str">
        <f>IF($N2812="","",INDEX('_calc'!$A$2:$A$3001,$N2812))</f>
        <v/>
      </c>
      <c r="D2812" s="25" t="str">
        <f>IF($N2812="","",INDEX('_calc'!$C$2:$C$3001,$N2812))</f>
        <v/>
      </c>
      <c r="E2812" s="25" t="str">
        <f>IF($N2812="","",INDEX('_calc'!$D$2:$D$3001,$N2812))</f>
        <v/>
      </c>
      <c r="F2812" s="26" t="str">
        <f>IF($N2812="","",IF($E$8=0,"",E2812/$E$8))</f>
        <v/>
      </c>
      <c r="G2812" s="25" t="str">
        <f>IF($N2812="","",INDEX('_calc'!$E$2:$E$3001,$N2812))</f>
        <v/>
      </c>
      <c r="H2812" s="25" t="str">
        <f>IF($N2812="","",INDEX('_calc'!$F$2:$F$3001,$N2812))</f>
        <v/>
      </c>
      <c r="I2812" s="27" t="str">
        <f>IF($N2812="","",INDEX('_calc'!$H$2:$H$3001,$N2812))</f>
        <v/>
      </c>
      <c r="J2812" s="27" t="str">
        <f>IF($N2812="","",INDEX('_calc'!$I$2:$I$3001,$N2812))</f>
        <v/>
      </c>
      <c r="K2812" s="28" t="str">
        <f>IF($N2812="","",IF(OR(I2812="",J2812=""),"",J2812-I2812))</f>
        <v/>
      </c>
      <c r="L2812" s="29" t="str">
        <f>IF($N2812="","",INDEX('_calc'!$J$2:$J$3001,$N2812))</f>
        <v/>
      </c>
      <c r="M2812" s="2" t="str">
        <f>IF($N2812="","",IF(AND(G2812=0,H2812=0),"수량 없음",IF(G2812=0,"신규 (전년 수량 없음)",IF(H2812=0,"당해 수량 없음",""))))</f>
        <v/>
      </c>
      <c r="N2812" t="str">
        <f>IF($B2812="","",MATCH($B2812,'_calc'!$L$2:$L$3001,0))</f>
        <v/>
      </c>
    </row>
    <row r="2813">
      <c r="B2813" s="24" t="str">
        <f>IF(ROW()-ROW($B$8)&gt;nComp,"",ROW()-ROW($B$8))</f>
        <v/>
      </c>
      <c r="C2813" t="str">
        <f>IF($N2813="","",INDEX('_calc'!$A$2:$A$3001,$N2813))</f>
        <v/>
      </c>
      <c r="D2813" s="25" t="str">
        <f>IF($N2813="","",INDEX('_calc'!$C$2:$C$3001,$N2813))</f>
        <v/>
      </c>
      <c r="E2813" s="25" t="str">
        <f>IF($N2813="","",INDEX('_calc'!$D$2:$D$3001,$N2813))</f>
        <v/>
      </c>
      <c r="F2813" s="26" t="str">
        <f>IF($N2813="","",IF($E$8=0,"",E2813/$E$8))</f>
        <v/>
      </c>
      <c r="G2813" s="25" t="str">
        <f>IF($N2813="","",INDEX('_calc'!$E$2:$E$3001,$N2813))</f>
        <v/>
      </c>
      <c r="H2813" s="25" t="str">
        <f>IF($N2813="","",INDEX('_calc'!$F$2:$F$3001,$N2813))</f>
        <v/>
      </c>
      <c r="I2813" s="27" t="str">
        <f>IF($N2813="","",INDEX('_calc'!$H$2:$H$3001,$N2813))</f>
        <v/>
      </c>
      <c r="J2813" s="27" t="str">
        <f>IF($N2813="","",INDEX('_calc'!$I$2:$I$3001,$N2813))</f>
        <v/>
      </c>
      <c r="K2813" s="28" t="str">
        <f>IF($N2813="","",IF(OR(I2813="",J2813=""),"",J2813-I2813))</f>
        <v/>
      </c>
      <c r="L2813" s="29" t="str">
        <f>IF($N2813="","",INDEX('_calc'!$J$2:$J$3001,$N2813))</f>
        <v/>
      </c>
      <c r="M2813" s="2" t="str">
        <f>IF($N2813="","",IF(AND(G2813=0,H2813=0),"수량 없음",IF(G2813=0,"신규 (전년 수량 없음)",IF(H2813=0,"당해 수량 없음",""))))</f>
        <v/>
      </c>
      <c r="N2813" t="str">
        <f>IF($B2813="","",MATCH($B2813,'_calc'!$L$2:$L$3001,0))</f>
        <v/>
      </c>
    </row>
    <row r="2814">
      <c r="B2814" s="24" t="str">
        <f>IF(ROW()-ROW($B$8)&gt;nComp,"",ROW()-ROW($B$8))</f>
        <v/>
      </c>
      <c r="C2814" t="str">
        <f>IF($N2814="","",INDEX('_calc'!$A$2:$A$3001,$N2814))</f>
        <v/>
      </c>
      <c r="D2814" s="25" t="str">
        <f>IF($N2814="","",INDEX('_calc'!$C$2:$C$3001,$N2814))</f>
        <v/>
      </c>
      <c r="E2814" s="25" t="str">
        <f>IF($N2814="","",INDEX('_calc'!$D$2:$D$3001,$N2814))</f>
        <v/>
      </c>
      <c r="F2814" s="26" t="str">
        <f>IF($N2814="","",IF($E$8=0,"",E2814/$E$8))</f>
        <v/>
      </c>
      <c r="G2814" s="25" t="str">
        <f>IF($N2814="","",INDEX('_calc'!$E$2:$E$3001,$N2814))</f>
        <v/>
      </c>
      <c r="H2814" s="25" t="str">
        <f>IF($N2814="","",INDEX('_calc'!$F$2:$F$3001,$N2814))</f>
        <v/>
      </c>
      <c r="I2814" s="27" t="str">
        <f>IF($N2814="","",INDEX('_calc'!$H$2:$H$3001,$N2814))</f>
        <v/>
      </c>
      <c r="J2814" s="27" t="str">
        <f>IF($N2814="","",INDEX('_calc'!$I$2:$I$3001,$N2814))</f>
        <v/>
      </c>
      <c r="K2814" s="28" t="str">
        <f>IF($N2814="","",IF(OR(I2814="",J2814=""),"",J2814-I2814))</f>
        <v/>
      </c>
      <c r="L2814" s="29" t="str">
        <f>IF($N2814="","",INDEX('_calc'!$J$2:$J$3001,$N2814))</f>
        <v/>
      </c>
      <c r="M2814" s="2" t="str">
        <f>IF($N2814="","",IF(AND(G2814=0,H2814=0),"수량 없음",IF(G2814=0,"신규 (전년 수량 없음)",IF(H2814=0,"당해 수량 없음",""))))</f>
        <v/>
      </c>
      <c r="N2814" t="str">
        <f>IF($B2814="","",MATCH($B2814,'_calc'!$L$2:$L$3001,0))</f>
        <v/>
      </c>
    </row>
    <row r="2815">
      <c r="B2815" s="24" t="str">
        <f>IF(ROW()-ROW($B$8)&gt;nComp,"",ROW()-ROW($B$8))</f>
        <v/>
      </c>
      <c r="C2815" t="str">
        <f>IF($N2815="","",INDEX('_calc'!$A$2:$A$3001,$N2815))</f>
        <v/>
      </c>
      <c r="D2815" s="25" t="str">
        <f>IF($N2815="","",INDEX('_calc'!$C$2:$C$3001,$N2815))</f>
        <v/>
      </c>
      <c r="E2815" s="25" t="str">
        <f>IF($N2815="","",INDEX('_calc'!$D$2:$D$3001,$N2815))</f>
        <v/>
      </c>
      <c r="F2815" s="26" t="str">
        <f>IF($N2815="","",IF($E$8=0,"",E2815/$E$8))</f>
        <v/>
      </c>
      <c r="G2815" s="25" t="str">
        <f>IF($N2815="","",INDEX('_calc'!$E$2:$E$3001,$N2815))</f>
        <v/>
      </c>
      <c r="H2815" s="25" t="str">
        <f>IF($N2815="","",INDEX('_calc'!$F$2:$F$3001,$N2815))</f>
        <v/>
      </c>
      <c r="I2815" s="27" t="str">
        <f>IF($N2815="","",INDEX('_calc'!$H$2:$H$3001,$N2815))</f>
        <v/>
      </c>
      <c r="J2815" s="27" t="str">
        <f>IF($N2815="","",INDEX('_calc'!$I$2:$I$3001,$N2815))</f>
        <v/>
      </c>
      <c r="K2815" s="28" t="str">
        <f>IF($N2815="","",IF(OR(I2815="",J2815=""),"",J2815-I2815))</f>
        <v/>
      </c>
      <c r="L2815" s="29" t="str">
        <f>IF($N2815="","",INDEX('_calc'!$J$2:$J$3001,$N2815))</f>
        <v/>
      </c>
      <c r="M2815" s="2" t="str">
        <f>IF($N2815="","",IF(AND(G2815=0,H2815=0),"수량 없음",IF(G2815=0,"신규 (전년 수량 없음)",IF(H2815=0,"당해 수량 없음",""))))</f>
        <v/>
      </c>
      <c r="N2815" t="str">
        <f>IF($B2815="","",MATCH($B2815,'_calc'!$L$2:$L$3001,0))</f>
        <v/>
      </c>
    </row>
    <row r="2816">
      <c r="B2816" s="24" t="str">
        <f>IF(ROW()-ROW($B$8)&gt;nComp,"",ROW()-ROW($B$8))</f>
        <v/>
      </c>
      <c r="C2816" t="str">
        <f>IF($N2816="","",INDEX('_calc'!$A$2:$A$3001,$N2816))</f>
        <v/>
      </c>
      <c r="D2816" s="25" t="str">
        <f>IF($N2816="","",INDEX('_calc'!$C$2:$C$3001,$N2816))</f>
        <v/>
      </c>
      <c r="E2816" s="25" t="str">
        <f>IF($N2816="","",INDEX('_calc'!$D$2:$D$3001,$N2816))</f>
        <v/>
      </c>
      <c r="F2816" s="26" t="str">
        <f>IF($N2816="","",IF($E$8=0,"",E2816/$E$8))</f>
        <v/>
      </c>
      <c r="G2816" s="25" t="str">
        <f>IF($N2816="","",INDEX('_calc'!$E$2:$E$3001,$N2816))</f>
        <v/>
      </c>
      <c r="H2816" s="25" t="str">
        <f>IF($N2816="","",INDEX('_calc'!$F$2:$F$3001,$N2816))</f>
        <v/>
      </c>
      <c r="I2816" s="27" t="str">
        <f>IF($N2816="","",INDEX('_calc'!$H$2:$H$3001,$N2816))</f>
        <v/>
      </c>
      <c r="J2816" s="27" t="str">
        <f>IF($N2816="","",INDEX('_calc'!$I$2:$I$3001,$N2816))</f>
        <v/>
      </c>
      <c r="K2816" s="28" t="str">
        <f>IF($N2816="","",IF(OR(I2816="",J2816=""),"",J2816-I2816))</f>
        <v/>
      </c>
      <c r="L2816" s="29" t="str">
        <f>IF($N2816="","",INDEX('_calc'!$J$2:$J$3001,$N2816))</f>
        <v/>
      </c>
      <c r="M2816" s="2" t="str">
        <f>IF($N2816="","",IF(AND(G2816=0,H2816=0),"수량 없음",IF(G2816=0,"신규 (전년 수량 없음)",IF(H2816=0,"당해 수량 없음",""))))</f>
        <v/>
      </c>
      <c r="N2816" t="str">
        <f>IF($B2816="","",MATCH($B2816,'_calc'!$L$2:$L$3001,0))</f>
        <v/>
      </c>
    </row>
    <row r="2817">
      <c r="B2817" s="24" t="str">
        <f>IF(ROW()-ROW($B$8)&gt;nComp,"",ROW()-ROW($B$8))</f>
        <v/>
      </c>
      <c r="C2817" t="str">
        <f>IF($N2817="","",INDEX('_calc'!$A$2:$A$3001,$N2817))</f>
        <v/>
      </c>
      <c r="D2817" s="25" t="str">
        <f>IF($N2817="","",INDEX('_calc'!$C$2:$C$3001,$N2817))</f>
        <v/>
      </c>
      <c r="E2817" s="25" t="str">
        <f>IF($N2817="","",INDEX('_calc'!$D$2:$D$3001,$N2817))</f>
        <v/>
      </c>
      <c r="F2817" s="26" t="str">
        <f>IF($N2817="","",IF($E$8=0,"",E2817/$E$8))</f>
        <v/>
      </c>
      <c r="G2817" s="25" t="str">
        <f>IF($N2817="","",INDEX('_calc'!$E$2:$E$3001,$N2817))</f>
        <v/>
      </c>
      <c r="H2817" s="25" t="str">
        <f>IF($N2817="","",INDEX('_calc'!$F$2:$F$3001,$N2817))</f>
        <v/>
      </c>
      <c r="I2817" s="27" t="str">
        <f>IF($N2817="","",INDEX('_calc'!$H$2:$H$3001,$N2817))</f>
        <v/>
      </c>
      <c r="J2817" s="27" t="str">
        <f>IF($N2817="","",INDEX('_calc'!$I$2:$I$3001,$N2817))</f>
        <v/>
      </c>
      <c r="K2817" s="28" t="str">
        <f>IF($N2817="","",IF(OR(I2817="",J2817=""),"",J2817-I2817))</f>
        <v/>
      </c>
      <c r="L2817" s="29" t="str">
        <f>IF($N2817="","",INDEX('_calc'!$J$2:$J$3001,$N2817))</f>
        <v/>
      </c>
      <c r="M2817" s="2" t="str">
        <f>IF($N2817="","",IF(AND(G2817=0,H2817=0),"수량 없음",IF(G2817=0,"신규 (전년 수량 없음)",IF(H2817=0,"당해 수량 없음",""))))</f>
        <v/>
      </c>
      <c r="N2817" t="str">
        <f>IF($B2817="","",MATCH($B2817,'_calc'!$L$2:$L$3001,0))</f>
        <v/>
      </c>
    </row>
    <row r="2818">
      <c r="B2818" s="24" t="str">
        <f>IF(ROW()-ROW($B$8)&gt;nComp,"",ROW()-ROW($B$8))</f>
        <v/>
      </c>
      <c r="C2818" t="str">
        <f>IF($N2818="","",INDEX('_calc'!$A$2:$A$3001,$N2818))</f>
        <v/>
      </c>
      <c r="D2818" s="25" t="str">
        <f>IF($N2818="","",INDEX('_calc'!$C$2:$C$3001,$N2818))</f>
        <v/>
      </c>
      <c r="E2818" s="25" t="str">
        <f>IF($N2818="","",INDEX('_calc'!$D$2:$D$3001,$N2818))</f>
        <v/>
      </c>
      <c r="F2818" s="26" t="str">
        <f>IF($N2818="","",IF($E$8=0,"",E2818/$E$8))</f>
        <v/>
      </c>
      <c r="G2818" s="25" t="str">
        <f>IF($N2818="","",INDEX('_calc'!$E$2:$E$3001,$N2818))</f>
        <v/>
      </c>
      <c r="H2818" s="25" t="str">
        <f>IF($N2818="","",INDEX('_calc'!$F$2:$F$3001,$N2818))</f>
        <v/>
      </c>
      <c r="I2818" s="27" t="str">
        <f>IF($N2818="","",INDEX('_calc'!$H$2:$H$3001,$N2818))</f>
        <v/>
      </c>
      <c r="J2818" s="27" t="str">
        <f>IF($N2818="","",INDEX('_calc'!$I$2:$I$3001,$N2818))</f>
        <v/>
      </c>
      <c r="K2818" s="28" t="str">
        <f>IF($N2818="","",IF(OR(I2818="",J2818=""),"",J2818-I2818))</f>
        <v/>
      </c>
      <c r="L2818" s="29" t="str">
        <f>IF($N2818="","",INDEX('_calc'!$J$2:$J$3001,$N2818))</f>
        <v/>
      </c>
      <c r="M2818" s="2" t="str">
        <f>IF($N2818="","",IF(AND(G2818=0,H2818=0),"수량 없음",IF(G2818=0,"신규 (전년 수량 없음)",IF(H2818=0,"당해 수량 없음",""))))</f>
        <v/>
      </c>
      <c r="N2818" t="str">
        <f>IF($B2818="","",MATCH($B2818,'_calc'!$L$2:$L$3001,0))</f>
        <v/>
      </c>
    </row>
    <row r="2819">
      <c r="B2819" s="24" t="str">
        <f>IF(ROW()-ROW($B$8)&gt;nComp,"",ROW()-ROW($B$8))</f>
        <v/>
      </c>
      <c r="C2819" t="str">
        <f>IF($N2819="","",INDEX('_calc'!$A$2:$A$3001,$N2819))</f>
        <v/>
      </c>
      <c r="D2819" s="25" t="str">
        <f>IF($N2819="","",INDEX('_calc'!$C$2:$C$3001,$N2819))</f>
        <v/>
      </c>
      <c r="E2819" s="25" t="str">
        <f>IF($N2819="","",INDEX('_calc'!$D$2:$D$3001,$N2819))</f>
        <v/>
      </c>
      <c r="F2819" s="26" t="str">
        <f>IF($N2819="","",IF($E$8=0,"",E2819/$E$8))</f>
        <v/>
      </c>
      <c r="G2819" s="25" t="str">
        <f>IF($N2819="","",INDEX('_calc'!$E$2:$E$3001,$N2819))</f>
        <v/>
      </c>
      <c r="H2819" s="25" t="str">
        <f>IF($N2819="","",INDEX('_calc'!$F$2:$F$3001,$N2819))</f>
        <v/>
      </c>
      <c r="I2819" s="27" t="str">
        <f>IF($N2819="","",INDEX('_calc'!$H$2:$H$3001,$N2819))</f>
        <v/>
      </c>
      <c r="J2819" s="27" t="str">
        <f>IF($N2819="","",INDEX('_calc'!$I$2:$I$3001,$N2819))</f>
        <v/>
      </c>
      <c r="K2819" s="28" t="str">
        <f>IF($N2819="","",IF(OR(I2819="",J2819=""),"",J2819-I2819))</f>
        <v/>
      </c>
      <c r="L2819" s="29" t="str">
        <f>IF($N2819="","",INDEX('_calc'!$J$2:$J$3001,$N2819))</f>
        <v/>
      </c>
      <c r="M2819" s="2" t="str">
        <f>IF($N2819="","",IF(AND(G2819=0,H2819=0),"수량 없음",IF(G2819=0,"신규 (전년 수량 없음)",IF(H2819=0,"당해 수량 없음",""))))</f>
        <v/>
      </c>
      <c r="N2819" t="str">
        <f>IF($B2819="","",MATCH($B2819,'_calc'!$L$2:$L$3001,0))</f>
        <v/>
      </c>
    </row>
    <row r="2820">
      <c r="B2820" s="24" t="str">
        <f>IF(ROW()-ROW($B$8)&gt;nComp,"",ROW()-ROW($B$8))</f>
        <v/>
      </c>
      <c r="C2820" t="str">
        <f>IF($N2820="","",INDEX('_calc'!$A$2:$A$3001,$N2820))</f>
        <v/>
      </c>
      <c r="D2820" s="25" t="str">
        <f>IF($N2820="","",INDEX('_calc'!$C$2:$C$3001,$N2820))</f>
        <v/>
      </c>
      <c r="E2820" s="25" t="str">
        <f>IF($N2820="","",INDEX('_calc'!$D$2:$D$3001,$N2820))</f>
        <v/>
      </c>
      <c r="F2820" s="26" t="str">
        <f>IF($N2820="","",IF($E$8=0,"",E2820/$E$8))</f>
        <v/>
      </c>
      <c r="G2820" s="25" t="str">
        <f>IF($N2820="","",INDEX('_calc'!$E$2:$E$3001,$N2820))</f>
        <v/>
      </c>
      <c r="H2820" s="25" t="str">
        <f>IF($N2820="","",INDEX('_calc'!$F$2:$F$3001,$N2820))</f>
        <v/>
      </c>
      <c r="I2820" s="27" t="str">
        <f>IF($N2820="","",INDEX('_calc'!$H$2:$H$3001,$N2820))</f>
        <v/>
      </c>
      <c r="J2820" s="27" t="str">
        <f>IF($N2820="","",INDEX('_calc'!$I$2:$I$3001,$N2820))</f>
        <v/>
      </c>
      <c r="K2820" s="28" t="str">
        <f>IF($N2820="","",IF(OR(I2820="",J2820=""),"",J2820-I2820))</f>
        <v/>
      </c>
      <c r="L2820" s="29" t="str">
        <f>IF($N2820="","",INDEX('_calc'!$J$2:$J$3001,$N2820))</f>
        <v/>
      </c>
      <c r="M2820" s="2" t="str">
        <f>IF($N2820="","",IF(AND(G2820=0,H2820=0),"수량 없음",IF(G2820=0,"신규 (전년 수량 없음)",IF(H2820=0,"당해 수량 없음",""))))</f>
        <v/>
      </c>
      <c r="N2820" t="str">
        <f>IF($B2820="","",MATCH($B2820,'_calc'!$L$2:$L$3001,0))</f>
        <v/>
      </c>
    </row>
    <row r="2821">
      <c r="B2821" s="24" t="str">
        <f>IF(ROW()-ROW($B$8)&gt;nComp,"",ROW()-ROW($B$8))</f>
        <v/>
      </c>
      <c r="C2821" t="str">
        <f>IF($N2821="","",INDEX('_calc'!$A$2:$A$3001,$N2821))</f>
        <v/>
      </c>
      <c r="D2821" s="25" t="str">
        <f>IF($N2821="","",INDEX('_calc'!$C$2:$C$3001,$N2821))</f>
        <v/>
      </c>
      <c r="E2821" s="25" t="str">
        <f>IF($N2821="","",INDEX('_calc'!$D$2:$D$3001,$N2821))</f>
        <v/>
      </c>
      <c r="F2821" s="26" t="str">
        <f>IF($N2821="","",IF($E$8=0,"",E2821/$E$8))</f>
        <v/>
      </c>
      <c r="G2821" s="25" t="str">
        <f>IF($N2821="","",INDEX('_calc'!$E$2:$E$3001,$N2821))</f>
        <v/>
      </c>
      <c r="H2821" s="25" t="str">
        <f>IF($N2821="","",INDEX('_calc'!$F$2:$F$3001,$N2821))</f>
        <v/>
      </c>
      <c r="I2821" s="27" t="str">
        <f>IF($N2821="","",INDEX('_calc'!$H$2:$H$3001,$N2821))</f>
        <v/>
      </c>
      <c r="J2821" s="27" t="str">
        <f>IF($N2821="","",INDEX('_calc'!$I$2:$I$3001,$N2821))</f>
        <v/>
      </c>
      <c r="K2821" s="28" t="str">
        <f>IF($N2821="","",IF(OR(I2821="",J2821=""),"",J2821-I2821))</f>
        <v/>
      </c>
      <c r="L2821" s="29" t="str">
        <f>IF($N2821="","",INDEX('_calc'!$J$2:$J$3001,$N2821))</f>
        <v/>
      </c>
      <c r="M2821" s="2" t="str">
        <f>IF($N2821="","",IF(AND(G2821=0,H2821=0),"수량 없음",IF(G2821=0,"신규 (전년 수량 없음)",IF(H2821=0,"당해 수량 없음",""))))</f>
        <v/>
      </c>
      <c r="N2821" t="str">
        <f>IF($B2821="","",MATCH($B2821,'_calc'!$L$2:$L$3001,0))</f>
        <v/>
      </c>
    </row>
    <row r="2822">
      <c r="B2822" s="24" t="str">
        <f>IF(ROW()-ROW($B$8)&gt;nComp,"",ROW()-ROW($B$8))</f>
        <v/>
      </c>
      <c r="C2822" t="str">
        <f>IF($N2822="","",INDEX('_calc'!$A$2:$A$3001,$N2822))</f>
        <v/>
      </c>
      <c r="D2822" s="25" t="str">
        <f>IF($N2822="","",INDEX('_calc'!$C$2:$C$3001,$N2822))</f>
        <v/>
      </c>
      <c r="E2822" s="25" t="str">
        <f>IF($N2822="","",INDEX('_calc'!$D$2:$D$3001,$N2822))</f>
        <v/>
      </c>
      <c r="F2822" s="26" t="str">
        <f>IF($N2822="","",IF($E$8=0,"",E2822/$E$8))</f>
        <v/>
      </c>
      <c r="G2822" s="25" t="str">
        <f>IF($N2822="","",INDEX('_calc'!$E$2:$E$3001,$N2822))</f>
        <v/>
      </c>
      <c r="H2822" s="25" t="str">
        <f>IF($N2822="","",INDEX('_calc'!$F$2:$F$3001,$N2822))</f>
        <v/>
      </c>
      <c r="I2822" s="27" t="str">
        <f>IF($N2822="","",INDEX('_calc'!$H$2:$H$3001,$N2822))</f>
        <v/>
      </c>
      <c r="J2822" s="27" t="str">
        <f>IF($N2822="","",INDEX('_calc'!$I$2:$I$3001,$N2822))</f>
        <v/>
      </c>
      <c r="K2822" s="28" t="str">
        <f>IF($N2822="","",IF(OR(I2822="",J2822=""),"",J2822-I2822))</f>
        <v/>
      </c>
      <c r="L2822" s="29" t="str">
        <f>IF($N2822="","",INDEX('_calc'!$J$2:$J$3001,$N2822))</f>
        <v/>
      </c>
      <c r="M2822" s="2" t="str">
        <f>IF($N2822="","",IF(AND(G2822=0,H2822=0),"수량 없음",IF(G2822=0,"신규 (전년 수량 없음)",IF(H2822=0,"당해 수량 없음",""))))</f>
        <v/>
      </c>
      <c r="N2822" t="str">
        <f>IF($B2822="","",MATCH($B2822,'_calc'!$L$2:$L$3001,0))</f>
        <v/>
      </c>
    </row>
    <row r="2823">
      <c r="B2823" s="24" t="str">
        <f>IF(ROW()-ROW($B$8)&gt;nComp,"",ROW()-ROW($B$8))</f>
        <v/>
      </c>
      <c r="C2823" t="str">
        <f>IF($N2823="","",INDEX('_calc'!$A$2:$A$3001,$N2823))</f>
        <v/>
      </c>
      <c r="D2823" s="25" t="str">
        <f>IF($N2823="","",INDEX('_calc'!$C$2:$C$3001,$N2823))</f>
        <v/>
      </c>
      <c r="E2823" s="25" t="str">
        <f>IF($N2823="","",INDEX('_calc'!$D$2:$D$3001,$N2823))</f>
        <v/>
      </c>
      <c r="F2823" s="26" t="str">
        <f>IF($N2823="","",IF($E$8=0,"",E2823/$E$8))</f>
        <v/>
      </c>
      <c r="G2823" s="25" t="str">
        <f>IF($N2823="","",INDEX('_calc'!$E$2:$E$3001,$N2823))</f>
        <v/>
      </c>
      <c r="H2823" s="25" t="str">
        <f>IF($N2823="","",INDEX('_calc'!$F$2:$F$3001,$N2823))</f>
        <v/>
      </c>
      <c r="I2823" s="27" t="str">
        <f>IF($N2823="","",INDEX('_calc'!$H$2:$H$3001,$N2823))</f>
        <v/>
      </c>
      <c r="J2823" s="27" t="str">
        <f>IF($N2823="","",INDEX('_calc'!$I$2:$I$3001,$N2823))</f>
        <v/>
      </c>
      <c r="K2823" s="28" t="str">
        <f>IF($N2823="","",IF(OR(I2823="",J2823=""),"",J2823-I2823))</f>
        <v/>
      </c>
      <c r="L2823" s="29" t="str">
        <f>IF($N2823="","",INDEX('_calc'!$J$2:$J$3001,$N2823))</f>
        <v/>
      </c>
      <c r="M2823" s="2" t="str">
        <f>IF($N2823="","",IF(AND(G2823=0,H2823=0),"수량 없음",IF(G2823=0,"신규 (전년 수량 없음)",IF(H2823=0,"당해 수량 없음",""))))</f>
        <v/>
      </c>
      <c r="N2823" t="str">
        <f>IF($B2823="","",MATCH($B2823,'_calc'!$L$2:$L$3001,0))</f>
        <v/>
      </c>
    </row>
    <row r="2824">
      <c r="B2824" s="24" t="str">
        <f>IF(ROW()-ROW($B$8)&gt;nComp,"",ROW()-ROW($B$8))</f>
        <v/>
      </c>
      <c r="C2824" t="str">
        <f>IF($N2824="","",INDEX('_calc'!$A$2:$A$3001,$N2824))</f>
        <v/>
      </c>
      <c r="D2824" s="25" t="str">
        <f>IF($N2824="","",INDEX('_calc'!$C$2:$C$3001,$N2824))</f>
        <v/>
      </c>
      <c r="E2824" s="25" t="str">
        <f>IF($N2824="","",INDEX('_calc'!$D$2:$D$3001,$N2824))</f>
        <v/>
      </c>
      <c r="F2824" s="26" t="str">
        <f>IF($N2824="","",IF($E$8=0,"",E2824/$E$8))</f>
        <v/>
      </c>
      <c r="G2824" s="25" t="str">
        <f>IF($N2824="","",INDEX('_calc'!$E$2:$E$3001,$N2824))</f>
        <v/>
      </c>
      <c r="H2824" s="25" t="str">
        <f>IF($N2824="","",INDEX('_calc'!$F$2:$F$3001,$N2824))</f>
        <v/>
      </c>
      <c r="I2824" s="27" t="str">
        <f>IF($N2824="","",INDEX('_calc'!$H$2:$H$3001,$N2824))</f>
        <v/>
      </c>
      <c r="J2824" s="27" t="str">
        <f>IF($N2824="","",INDEX('_calc'!$I$2:$I$3001,$N2824))</f>
        <v/>
      </c>
      <c r="K2824" s="28" t="str">
        <f>IF($N2824="","",IF(OR(I2824="",J2824=""),"",J2824-I2824))</f>
        <v/>
      </c>
      <c r="L2824" s="29" t="str">
        <f>IF($N2824="","",INDEX('_calc'!$J$2:$J$3001,$N2824))</f>
        <v/>
      </c>
      <c r="M2824" s="2" t="str">
        <f>IF($N2824="","",IF(AND(G2824=0,H2824=0),"수량 없음",IF(G2824=0,"신규 (전년 수량 없음)",IF(H2824=0,"당해 수량 없음",""))))</f>
        <v/>
      </c>
      <c r="N2824" t="str">
        <f>IF($B2824="","",MATCH($B2824,'_calc'!$L$2:$L$3001,0))</f>
        <v/>
      </c>
    </row>
    <row r="2825">
      <c r="B2825" s="24" t="str">
        <f>IF(ROW()-ROW($B$8)&gt;nComp,"",ROW()-ROW($B$8))</f>
        <v/>
      </c>
      <c r="C2825" t="str">
        <f>IF($N2825="","",INDEX('_calc'!$A$2:$A$3001,$N2825))</f>
        <v/>
      </c>
      <c r="D2825" s="25" t="str">
        <f>IF($N2825="","",INDEX('_calc'!$C$2:$C$3001,$N2825))</f>
        <v/>
      </c>
      <c r="E2825" s="25" t="str">
        <f>IF($N2825="","",INDEX('_calc'!$D$2:$D$3001,$N2825))</f>
        <v/>
      </c>
      <c r="F2825" s="26" t="str">
        <f>IF($N2825="","",IF($E$8=0,"",E2825/$E$8))</f>
        <v/>
      </c>
      <c r="G2825" s="25" t="str">
        <f>IF($N2825="","",INDEX('_calc'!$E$2:$E$3001,$N2825))</f>
        <v/>
      </c>
      <c r="H2825" s="25" t="str">
        <f>IF($N2825="","",INDEX('_calc'!$F$2:$F$3001,$N2825))</f>
        <v/>
      </c>
      <c r="I2825" s="27" t="str">
        <f>IF($N2825="","",INDEX('_calc'!$H$2:$H$3001,$N2825))</f>
        <v/>
      </c>
      <c r="J2825" s="27" t="str">
        <f>IF($N2825="","",INDEX('_calc'!$I$2:$I$3001,$N2825))</f>
        <v/>
      </c>
      <c r="K2825" s="28" t="str">
        <f>IF($N2825="","",IF(OR(I2825="",J2825=""),"",J2825-I2825))</f>
        <v/>
      </c>
      <c r="L2825" s="29" t="str">
        <f>IF($N2825="","",INDEX('_calc'!$J$2:$J$3001,$N2825))</f>
        <v/>
      </c>
      <c r="M2825" s="2" t="str">
        <f>IF($N2825="","",IF(AND(G2825=0,H2825=0),"수량 없음",IF(G2825=0,"신규 (전년 수량 없음)",IF(H2825=0,"당해 수량 없음",""))))</f>
        <v/>
      </c>
      <c r="N2825" t="str">
        <f>IF($B2825="","",MATCH($B2825,'_calc'!$L$2:$L$3001,0))</f>
        <v/>
      </c>
    </row>
    <row r="2826">
      <c r="B2826" s="24" t="str">
        <f>IF(ROW()-ROW($B$8)&gt;nComp,"",ROW()-ROW($B$8))</f>
        <v/>
      </c>
      <c r="C2826" t="str">
        <f>IF($N2826="","",INDEX('_calc'!$A$2:$A$3001,$N2826))</f>
        <v/>
      </c>
      <c r="D2826" s="25" t="str">
        <f>IF($N2826="","",INDEX('_calc'!$C$2:$C$3001,$N2826))</f>
        <v/>
      </c>
      <c r="E2826" s="25" t="str">
        <f>IF($N2826="","",INDEX('_calc'!$D$2:$D$3001,$N2826))</f>
        <v/>
      </c>
      <c r="F2826" s="26" t="str">
        <f>IF($N2826="","",IF($E$8=0,"",E2826/$E$8))</f>
        <v/>
      </c>
      <c r="G2826" s="25" t="str">
        <f>IF($N2826="","",INDEX('_calc'!$E$2:$E$3001,$N2826))</f>
        <v/>
      </c>
      <c r="H2826" s="25" t="str">
        <f>IF($N2826="","",INDEX('_calc'!$F$2:$F$3001,$N2826))</f>
        <v/>
      </c>
      <c r="I2826" s="27" t="str">
        <f>IF($N2826="","",INDEX('_calc'!$H$2:$H$3001,$N2826))</f>
        <v/>
      </c>
      <c r="J2826" s="27" t="str">
        <f>IF($N2826="","",INDEX('_calc'!$I$2:$I$3001,$N2826))</f>
        <v/>
      </c>
      <c r="K2826" s="28" t="str">
        <f>IF($N2826="","",IF(OR(I2826="",J2826=""),"",J2826-I2826))</f>
        <v/>
      </c>
      <c r="L2826" s="29" t="str">
        <f>IF($N2826="","",INDEX('_calc'!$J$2:$J$3001,$N2826))</f>
        <v/>
      </c>
      <c r="M2826" s="2" t="str">
        <f>IF($N2826="","",IF(AND(G2826=0,H2826=0),"수량 없음",IF(G2826=0,"신규 (전년 수량 없음)",IF(H2826=0,"당해 수량 없음",""))))</f>
        <v/>
      </c>
      <c r="N2826" t="str">
        <f>IF($B2826="","",MATCH($B2826,'_calc'!$L$2:$L$3001,0))</f>
        <v/>
      </c>
    </row>
    <row r="2827">
      <c r="B2827" s="24" t="str">
        <f>IF(ROW()-ROW($B$8)&gt;nComp,"",ROW()-ROW($B$8))</f>
        <v/>
      </c>
      <c r="C2827" t="str">
        <f>IF($N2827="","",INDEX('_calc'!$A$2:$A$3001,$N2827))</f>
        <v/>
      </c>
      <c r="D2827" s="25" t="str">
        <f>IF($N2827="","",INDEX('_calc'!$C$2:$C$3001,$N2827))</f>
        <v/>
      </c>
      <c r="E2827" s="25" t="str">
        <f>IF($N2827="","",INDEX('_calc'!$D$2:$D$3001,$N2827))</f>
        <v/>
      </c>
      <c r="F2827" s="26" t="str">
        <f>IF($N2827="","",IF($E$8=0,"",E2827/$E$8))</f>
        <v/>
      </c>
      <c r="G2827" s="25" t="str">
        <f>IF($N2827="","",INDEX('_calc'!$E$2:$E$3001,$N2827))</f>
        <v/>
      </c>
      <c r="H2827" s="25" t="str">
        <f>IF($N2827="","",INDEX('_calc'!$F$2:$F$3001,$N2827))</f>
        <v/>
      </c>
      <c r="I2827" s="27" t="str">
        <f>IF($N2827="","",INDEX('_calc'!$H$2:$H$3001,$N2827))</f>
        <v/>
      </c>
      <c r="J2827" s="27" t="str">
        <f>IF($N2827="","",INDEX('_calc'!$I$2:$I$3001,$N2827))</f>
        <v/>
      </c>
      <c r="K2827" s="28" t="str">
        <f>IF($N2827="","",IF(OR(I2827="",J2827=""),"",J2827-I2827))</f>
        <v/>
      </c>
      <c r="L2827" s="29" t="str">
        <f>IF($N2827="","",INDEX('_calc'!$J$2:$J$3001,$N2827))</f>
        <v/>
      </c>
      <c r="M2827" s="2" t="str">
        <f>IF($N2827="","",IF(AND(G2827=0,H2827=0),"수량 없음",IF(G2827=0,"신규 (전년 수량 없음)",IF(H2827=0,"당해 수량 없음",""))))</f>
        <v/>
      </c>
      <c r="N2827" t="str">
        <f>IF($B2827="","",MATCH($B2827,'_calc'!$L$2:$L$3001,0))</f>
        <v/>
      </c>
    </row>
    <row r="2828">
      <c r="B2828" s="24" t="str">
        <f>IF(ROW()-ROW($B$8)&gt;nComp,"",ROW()-ROW($B$8))</f>
        <v/>
      </c>
      <c r="C2828" t="str">
        <f>IF($N2828="","",INDEX('_calc'!$A$2:$A$3001,$N2828))</f>
        <v/>
      </c>
      <c r="D2828" s="25" t="str">
        <f>IF($N2828="","",INDEX('_calc'!$C$2:$C$3001,$N2828))</f>
        <v/>
      </c>
      <c r="E2828" s="25" t="str">
        <f>IF($N2828="","",INDEX('_calc'!$D$2:$D$3001,$N2828))</f>
        <v/>
      </c>
      <c r="F2828" s="26" t="str">
        <f>IF($N2828="","",IF($E$8=0,"",E2828/$E$8))</f>
        <v/>
      </c>
      <c r="G2828" s="25" t="str">
        <f>IF($N2828="","",INDEX('_calc'!$E$2:$E$3001,$N2828))</f>
        <v/>
      </c>
      <c r="H2828" s="25" t="str">
        <f>IF($N2828="","",INDEX('_calc'!$F$2:$F$3001,$N2828))</f>
        <v/>
      </c>
      <c r="I2828" s="27" t="str">
        <f>IF($N2828="","",INDEX('_calc'!$H$2:$H$3001,$N2828))</f>
        <v/>
      </c>
      <c r="J2828" s="27" t="str">
        <f>IF($N2828="","",INDEX('_calc'!$I$2:$I$3001,$N2828))</f>
        <v/>
      </c>
      <c r="K2828" s="28" t="str">
        <f>IF($N2828="","",IF(OR(I2828="",J2828=""),"",J2828-I2828))</f>
        <v/>
      </c>
      <c r="L2828" s="29" t="str">
        <f>IF($N2828="","",INDEX('_calc'!$J$2:$J$3001,$N2828))</f>
        <v/>
      </c>
      <c r="M2828" s="2" t="str">
        <f>IF($N2828="","",IF(AND(G2828=0,H2828=0),"수량 없음",IF(G2828=0,"신규 (전년 수량 없음)",IF(H2828=0,"당해 수량 없음",""))))</f>
        <v/>
      </c>
      <c r="N2828" t="str">
        <f>IF($B2828="","",MATCH($B2828,'_calc'!$L$2:$L$3001,0))</f>
        <v/>
      </c>
    </row>
    <row r="2829">
      <c r="B2829" s="24" t="str">
        <f>IF(ROW()-ROW($B$8)&gt;nComp,"",ROW()-ROW($B$8))</f>
        <v/>
      </c>
      <c r="C2829" t="str">
        <f>IF($N2829="","",INDEX('_calc'!$A$2:$A$3001,$N2829))</f>
        <v/>
      </c>
      <c r="D2829" s="25" t="str">
        <f>IF($N2829="","",INDEX('_calc'!$C$2:$C$3001,$N2829))</f>
        <v/>
      </c>
      <c r="E2829" s="25" t="str">
        <f>IF($N2829="","",INDEX('_calc'!$D$2:$D$3001,$N2829))</f>
        <v/>
      </c>
      <c r="F2829" s="26" t="str">
        <f>IF($N2829="","",IF($E$8=0,"",E2829/$E$8))</f>
        <v/>
      </c>
      <c r="G2829" s="25" t="str">
        <f>IF($N2829="","",INDEX('_calc'!$E$2:$E$3001,$N2829))</f>
        <v/>
      </c>
      <c r="H2829" s="25" t="str">
        <f>IF($N2829="","",INDEX('_calc'!$F$2:$F$3001,$N2829))</f>
        <v/>
      </c>
      <c r="I2829" s="27" t="str">
        <f>IF($N2829="","",INDEX('_calc'!$H$2:$H$3001,$N2829))</f>
        <v/>
      </c>
      <c r="J2829" s="27" t="str">
        <f>IF($N2829="","",INDEX('_calc'!$I$2:$I$3001,$N2829))</f>
        <v/>
      </c>
      <c r="K2829" s="28" t="str">
        <f>IF($N2829="","",IF(OR(I2829="",J2829=""),"",J2829-I2829))</f>
        <v/>
      </c>
      <c r="L2829" s="29" t="str">
        <f>IF($N2829="","",INDEX('_calc'!$J$2:$J$3001,$N2829))</f>
        <v/>
      </c>
      <c r="M2829" s="2" t="str">
        <f>IF($N2829="","",IF(AND(G2829=0,H2829=0),"수량 없음",IF(G2829=0,"신규 (전년 수량 없음)",IF(H2829=0,"당해 수량 없음",""))))</f>
        <v/>
      </c>
      <c r="N2829" t="str">
        <f>IF($B2829="","",MATCH($B2829,'_calc'!$L$2:$L$3001,0))</f>
        <v/>
      </c>
    </row>
    <row r="2830">
      <c r="B2830" s="24" t="str">
        <f>IF(ROW()-ROW($B$8)&gt;nComp,"",ROW()-ROW($B$8))</f>
        <v/>
      </c>
      <c r="C2830" t="str">
        <f>IF($N2830="","",INDEX('_calc'!$A$2:$A$3001,$N2830))</f>
        <v/>
      </c>
      <c r="D2830" s="25" t="str">
        <f>IF($N2830="","",INDEX('_calc'!$C$2:$C$3001,$N2830))</f>
        <v/>
      </c>
      <c r="E2830" s="25" t="str">
        <f>IF($N2830="","",INDEX('_calc'!$D$2:$D$3001,$N2830))</f>
        <v/>
      </c>
      <c r="F2830" s="26" t="str">
        <f>IF($N2830="","",IF($E$8=0,"",E2830/$E$8))</f>
        <v/>
      </c>
      <c r="G2830" s="25" t="str">
        <f>IF($N2830="","",INDEX('_calc'!$E$2:$E$3001,$N2830))</f>
        <v/>
      </c>
      <c r="H2830" s="25" t="str">
        <f>IF($N2830="","",INDEX('_calc'!$F$2:$F$3001,$N2830))</f>
        <v/>
      </c>
      <c r="I2830" s="27" t="str">
        <f>IF($N2830="","",INDEX('_calc'!$H$2:$H$3001,$N2830))</f>
        <v/>
      </c>
      <c r="J2830" s="27" t="str">
        <f>IF($N2830="","",INDEX('_calc'!$I$2:$I$3001,$N2830))</f>
        <v/>
      </c>
      <c r="K2830" s="28" t="str">
        <f>IF($N2830="","",IF(OR(I2830="",J2830=""),"",J2830-I2830))</f>
        <v/>
      </c>
      <c r="L2830" s="29" t="str">
        <f>IF($N2830="","",INDEX('_calc'!$J$2:$J$3001,$N2830))</f>
        <v/>
      </c>
      <c r="M2830" s="2" t="str">
        <f>IF($N2830="","",IF(AND(G2830=0,H2830=0),"수량 없음",IF(G2830=0,"신규 (전년 수량 없음)",IF(H2830=0,"당해 수량 없음",""))))</f>
        <v/>
      </c>
      <c r="N2830" t="str">
        <f>IF($B2830="","",MATCH($B2830,'_calc'!$L$2:$L$3001,0))</f>
        <v/>
      </c>
    </row>
    <row r="2831">
      <c r="B2831" s="24" t="str">
        <f>IF(ROW()-ROW($B$8)&gt;nComp,"",ROW()-ROW($B$8))</f>
        <v/>
      </c>
      <c r="C2831" t="str">
        <f>IF($N2831="","",INDEX('_calc'!$A$2:$A$3001,$N2831))</f>
        <v/>
      </c>
      <c r="D2831" s="25" t="str">
        <f>IF($N2831="","",INDEX('_calc'!$C$2:$C$3001,$N2831))</f>
        <v/>
      </c>
      <c r="E2831" s="25" t="str">
        <f>IF($N2831="","",INDEX('_calc'!$D$2:$D$3001,$N2831))</f>
        <v/>
      </c>
      <c r="F2831" s="26" t="str">
        <f>IF($N2831="","",IF($E$8=0,"",E2831/$E$8))</f>
        <v/>
      </c>
      <c r="G2831" s="25" t="str">
        <f>IF($N2831="","",INDEX('_calc'!$E$2:$E$3001,$N2831))</f>
        <v/>
      </c>
      <c r="H2831" s="25" t="str">
        <f>IF($N2831="","",INDEX('_calc'!$F$2:$F$3001,$N2831))</f>
        <v/>
      </c>
      <c r="I2831" s="27" t="str">
        <f>IF($N2831="","",INDEX('_calc'!$H$2:$H$3001,$N2831))</f>
        <v/>
      </c>
      <c r="J2831" s="27" t="str">
        <f>IF($N2831="","",INDEX('_calc'!$I$2:$I$3001,$N2831))</f>
        <v/>
      </c>
      <c r="K2831" s="28" t="str">
        <f>IF($N2831="","",IF(OR(I2831="",J2831=""),"",J2831-I2831))</f>
        <v/>
      </c>
      <c r="L2831" s="29" t="str">
        <f>IF($N2831="","",INDEX('_calc'!$J$2:$J$3001,$N2831))</f>
        <v/>
      </c>
      <c r="M2831" s="2" t="str">
        <f>IF($N2831="","",IF(AND(G2831=0,H2831=0),"수량 없음",IF(G2831=0,"신규 (전년 수량 없음)",IF(H2831=0,"당해 수량 없음",""))))</f>
        <v/>
      </c>
      <c r="N2831" t="str">
        <f>IF($B2831="","",MATCH($B2831,'_calc'!$L$2:$L$3001,0))</f>
        <v/>
      </c>
    </row>
    <row r="2832">
      <c r="B2832" s="24" t="str">
        <f>IF(ROW()-ROW($B$8)&gt;nComp,"",ROW()-ROW($B$8))</f>
        <v/>
      </c>
      <c r="C2832" t="str">
        <f>IF($N2832="","",INDEX('_calc'!$A$2:$A$3001,$N2832))</f>
        <v/>
      </c>
      <c r="D2832" s="25" t="str">
        <f>IF($N2832="","",INDEX('_calc'!$C$2:$C$3001,$N2832))</f>
        <v/>
      </c>
      <c r="E2832" s="25" t="str">
        <f>IF($N2832="","",INDEX('_calc'!$D$2:$D$3001,$N2832))</f>
        <v/>
      </c>
      <c r="F2832" s="26" t="str">
        <f>IF($N2832="","",IF($E$8=0,"",E2832/$E$8))</f>
        <v/>
      </c>
      <c r="G2832" s="25" t="str">
        <f>IF($N2832="","",INDEX('_calc'!$E$2:$E$3001,$N2832))</f>
        <v/>
      </c>
      <c r="H2832" s="25" t="str">
        <f>IF($N2832="","",INDEX('_calc'!$F$2:$F$3001,$N2832))</f>
        <v/>
      </c>
      <c r="I2832" s="27" t="str">
        <f>IF($N2832="","",INDEX('_calc'!$H$2:$H$3001,$N2832))</f>
        <v/>
      </c>
      <c r="J2832" s="27" t="str">
        <f>IF($N2832="","",INDEX('_calc'!$I$2:$I$3001,$N2832))</f>
        <v/>
      </c>
      <c r="K2832" s="28" t="str">
        <f>IF($N2832="","",IF(OR(I2832="",J2832=""),"",J2832-I2832))</f>
        <v/>
      </c>
      <c r="L2832" s="29" t="str">
        <f>IF($N2832="","",INDEX('_calc'!$J$2:$J$3001,$N2832))</f>
        <v/>
      </c>
      <c r="M2832" s="2" t="str">
        <f>IF($N2832="","",IF(AND(G2832=0,H2832=0),"수량 없음",IF(G2832=0,"신규 (전년 수량 없음)",IF(H2832=0,"당해 수량 없음",""))))</f>
        <v/>
      </c>
      <c r="N2832" t="str">
        <f>IF($B2832="","",MATCH($B2832,'_calc'!$L$2:$L$3001,0))</f>
        <v/>
      </c>
    </row>
    <row r="2833">
      <c r="B2833" s="24" t="str">
        <f>IF(ROW()-ROW($B$8)&gt;nComp,"",ROW()-ROW($B$8))</f>
        <v/>
      </c>
      <c r="C2833" t="str">
        <f>IF($N2833="","",INDEX('_calc'!$A$2:$A$3001,$N2833))</f>
        <v/>
      </c>
      <c r="D2833" s="25" t="str">
        <f>IF($N2833="","",INDEX('_calc'!$C$2:$C$3001,$N2833))</f>
        <v/>
      </c>
      <c r="E2833" s="25" t="str">
        <f>IF($N2833="","",INDEX('_calc'!$D$2:$D$3001,$N2833))</f>
        <v/>
      </c>
      <c r="F2833" s="26" t="str">
        <f>IF($N2833="","",IF($E$8=0,"",E2833/$E$8))</f>
        <v/>
      </c>
      <c r="G2833" s="25" t="str">
        <f>IF($N2833="","",INDEX('_calc'!$E$2:$E$3001,$N2833))</f>
        <v/>
      </c>
      <c r="H2833" s="25" t="str">
        <f>IF($N2833="","",INDEX('_calc'!$F$2:$F$3001,$N2833))</f>
        <v/>
      </c>
      <c r="I2833" s="27" t="str">
        <f>IF($N2833="","",INDEX('_calc'!$H$2:$H$3001,$N2833))</f>
        <v/>
      </c>
      <c r="J2833" s="27" t="str">
        <f>IF($N2833="","",INDEX('_calc'!$I$2:$I$3001,$N2833))</f>
        <v/>
      </c>
      <c r="K2833" s="28" t="str">
        <f>IF($N2833="","",IF(OR(I2833="",J2833=""),"",J2833-I2833))</f>
        <v/>
      </c>
      <c r="L2833" s="29" t="str">
        <f>IF($N2833="","",INDEX('_calc'!$J$2:$J$3001,$N2833))</f>
        <v/>
      </c>
      <c r="M2833" s="2" t="str">
        <f>IF($N2833="","",IF(AND(G2833=0,H2833=0),"수량 없음",IF(G2833=0,"신규 (전년 수량 없음)",IF(H2833=0,"당해 수량 없음",""))))</f>
        <v/>
      </c>
      <c r="N2833" t="str">
        <f>IF($B2833="","",MATCH($B2833,'_calc'!$L$2:$L$3001,0))</f>
        <v/>
      </c>
    </row>
    <row r="2834">
      <c r="B2834" s="24" t="str">
        <f>IF(ROW()-ROW($B$8)&gt;nComp,"",ROW()-ROW($B$8))</f>
        <v/>
      </c>
      <c r="C2834" t="str">
        <f>IF($N2834="","",INDEX('_calc'!$A$2:$A$3001,$N2834))</f>
        <v/>
      </c>
      <c r="D2834" s="25" t="str">
        <f>IF($N2834="","",INDEX('_calc'!$C$2:$C$3001,$N2834))</f>
        <v/>
      </c>
      <c r="E2834" s="25" t="str">
        <f>IF($N2834="","",INDEX('_calc'!$D$2:$D$3001,$N2834))</f>
        <v/>
      </c>
      <c r="F2834" s="26" t="str">
        <f>IF($N2834="","",IF($E$8=0,"",E2834/$E$8))</f>
        <v/>
      </c>
      <c r="G2834" s="25" t="str">
        <f>IF($N2834="","",INDEX('_calc'!$E$2:$E$3001,$N2834))</f>
        <v/>
      </c>
      <c r="H2834" s="25" t="str">
        <f>IF($N2834="","",INDEX('_calc'!$F$2:$F$3001,$N2834))</f>
        <v/>
      </c>
      <c r="I2834" s="27" t="str">
        <f>IF($N2834="","",INDEX('_calc'!$H$2:$H$3001,$N2834))</f>
        <v/>
      </c>
      <c r="J2834" s="27" t="str">
        <f>IF($N2834="","",INDEX('_calc'!$I$2:$I$3001,$N2834))</f>
        <v/>
      </c>
      <c r="K2834" s="28" t="str">
        <f>IF($N2834="","",IF(OR(I2834="",J2834=""),"",J2834-I2834))</f>
        <v/>
      </c>
      <c r="L2834" s="29" t="str">
        <f>IF($N2834="","",INDEX('_calc'!$J$2:$J$3001,$N2834))</f>
        <v/>
      </c>
      <c r="M2834" s="2" t="str">
        <f>IF($N2834="","",IF(AND(G2834=0,H2834=0),"수량 없음",IF(G2834=0,"신규 (전년 수량 없음)",IF(H2834=0,"당해 수량 없음",""))))</f>
        <v/>
      </c>
      <c r="N2834" t="str">
        <f>IF($B2834="","",MATCH($B2834,'_calc'!$L$2:$L$3001,0))</f>
        <v/>
      </c>
    </row>
    <row r="2835">
      <c r="B2835" s="24" t="str">
        <f>IF(ROW()-ROW($B$8)&gt;nComp,"",ROW()-ROW($B$8))</f>
        <v/>
      </c>
      <c r="C2835" t="str">
        <f>IF($N2835="","",INDEX('_calc'!$A$2:$A$3001,$N2835))</f>
        <v/>
      </c>
      <c r="D2835" s="25" t="str">
        <f>IF($N2835="","",INDEX('_calc'!$C$2:$C$3001,$N2835))</f>
        <v/>
      </c>
      <c r="E2835" s="25" t="str">
        <f>IF($N2835="","",INDEX('_calc'!$D$2:$D$3001,$N2835))</f>
        <v/>
      </c>
      <c r="F2835" s="26" t="str">
        <f>IF($N2835="","",IF($E$8=0,"",E2835/$E$8))</f>
        <v/>
      </c>
      <c r="G2835" s="25" t="str">
        <f>IF($N2835="","",INDEX('_calc'!$E$2:$E$3001,$N2835))</f>
        <v/>
      </c>
      <c r="H2835" s="25" t="str">
        <f>IF($N2835="","",INDEX('_calc'!$F$2:$F$3001,$N2835))</f>
        <v/>
      </c>
      <c r="I2835" s="27" t="str">
        <f>IF($N2835="","",INDEX('_calc'!$H$2:$H$3001,$N2835))</f>
        <v/>
      </c>
      <c r="J2835" s="27" t="str">
        <f>IF($N2835="","",INDEX('_calc'!$I$2:$I$3001,$N2835))</f>
        <v/>
      </c>
      <c r="K2835" s="28" t="str">
        <f>IF($N2835="","",IF(OR(I2835="",J2835=""),"",J2835-I2835))</f>
        <v/>
      </c>
      <c r="L2835" s="29" t="str">
        <f>IF($N2835="","",INDEX('_calc'!$J$2:$J$3001,$N2835))</f>
        <v/>
      </c>
      <c r="M2835" s="2" t="str">
        <f>IF($N2835="","",IF(AND(G2835=0,H2835=0),"수량 없음",IF(G2835=0,"신규 (전년 수량 없음)",IF(H2835=0,"당해 수량 없음",""))))</f>
        <v/>
      </c>
      <c r="N2835" t="str">
        <f>IF($B2835="","",MATCH($B2835,'_calc'!$L$2:$L$3001,0))</f>
        <v/>
      </c>
    </row>
    <row r="2836">
      <c r="B2836" s="24" t="str">
        <f>IF(ROW()-ROW($B$8)&gt;nComp,"",ROW()-ROW($B$8))</f>
        <v/>
      </c>
      <c r="C2836" t="str">
        <f>IF($N2836="","",INDEX('_calc'!$A$2:$A$3001,$N2836))</f>
        <v/>
      </c>
      <c r="D2836" s="25" t="str">
        <f>IF($N2836="","",INDEX('_calc'!$C$2:$C$3001,$N2836))</f>
        <v/>
      </c>
      <c r="E2836" s="25" t="str">
        <f>IF($N2836="","",INDEX('_calc'!$D$2:$D$3001,$N2836))</f>
        <v/>
      </c>
      <c r="F2836" s="26" t="str">
        <f>IF($N2836="","",IF($E$8=0,"",E2836/$E$8))</f>
        <v/>
      </c>
      <c r="G2836" s="25" t="str">
        <f>IF($N2836="","",INDEX('_calc'!$E$2:$E$3001,$N2836))</f>
        <v/>
      </c>
      <c r="H2836" s="25" t="str">
        <f>IF($N2836="","",INDEX('_calc'!$F$2:$F$3001,$N2836))</f>
        <v/>
      </c>
      <c r="I2836" s="27" t="str">
        <f>IF($N2836="","",INDEX('_calc'!$H$2:$H$3001,$N2836))</f>
        <v/>
      </c>
      <c r="J2836" s="27" t="str">
        <f>IF($N2836="","",INDEX('_calc'!$I$2:$I$3001,$N2836))</f>
        <v/>
      </c>
      <c r="K2836" s="28" t="str">
        <f>IF($N2836="","",IF(OR(I2836="",J2836=""),"",J2836-I2836))</f>
        <v/>
      </c>
      <c r="L2836" s="29" t="str">
        <f>IF($N2836="","",INDEX('_calc'!$J$2:$J$3001,$N2836))</f>
        <v/>
      </c>
      <c r="M2836" s="2" t="str">
        <f>IF($N2836="","",IF(AND(G2836=0,H2836=0),"수량 없음",IF(G2836=0,"신규 (전년 수량 없음)",IF(H2836=0,"당해 수량 없음",""))))</f>
        <v/>
      </c>
      <c r="N2836" t="str">
        <f>IF($B2836="","",MATCH($B2836,'_calc'!$L$2:$L$3001,0))</f>
        <v/>
      </c>
    </row>
    <row r="2837">
      <c r="B2837" s="24" t="str">
        <f>IF(ROW()-ROW($B$8)&gt;nComp,"",ROW()-ROW($B$8))</f>
        <v/>
      </c>
      <c r="C2837" t="str">
        <f>IF($N2837="","",INDEX('_calc'!$A$2:$A$3001,$N2837))</f>
        <v/>
      </c>
      <c r="D2837" s="25" t="str">
        <f>IF($N2837="","",INDEX('_calc'!$C$2:$C$3001,$N2837))</f>
        <v/>
      </c>
      <c r="E2837" s="25" t="str">
        <f>IF($N2837="","",INDEX('_calc'!$D$2:$D$3001,$N2837))</f>
        <v/>
      </c>
      <c r="F2837" s="26" t="str">
        <f>IF($N2837="","",IF($E$8=0,"",E2837/$E$8))</f>
        <v/>
      </c>
      <c r="G2837" s="25" t="str">
        <f>IF($N2837="","",INDEX('_calc'!$E$2:$E$3001,$N2837))</f>
        <v/>
      </c>
      <c r="H2837" s="25" t="str">
        <f>IF($N2837="","",INDEX('_calc'!$F$2:$F$3001,$N2837))</f>
        <v/>
      </c>
      <c r="I2837" s="27" t="str">
        <f>IF($N2837="","",INDEX('_calc'!$H$2:$H$3001,$N2837))</f>
        <v/>
      </c>
      <c r="J2837" s="27" t="str">
        <f>IF($N2837="","",INDEX('_calc'!$I$2:$I$3001,$N2837))</f>
        <v/>
      </c>
      <c r="K2837" s="28" t="str">
        <f>IF($N2837="","",IF(OR(I2837="",J2837=""),"",J2837-I2837))</f>
        <v/>
      </c>
      <c r="L2837" s="29" t="str">
        <f>IF($N2837="","",INDEX('_calc'!$J$2:$J$3001,$N2837))</f>
        <v/>
      </c>
      <c r="M2837" s="2" t="str">
        <f>IF($N2837="","",IF(AND(G2837=0,H2837=0),"수량 없음",IF(G2837=0,"신규 (전년 수량 없음)",IF(H2837=0,"당해 수량 없음",""))))</f>
        <v/>
      </c>
      <c r="N2837" t="str">
        <f>IF($B2837="","",MATCH($B2837,'_calc'!$L$2:$L$3001,0))</f>
        <v/>
      </c>
    </row>
    <row r="2838">
      <c r="B2838" s="24" t="str">
        <f>IF(ROW()-ROW($B$8)&gt;nComp,"",ROW()-ROW($B$8))</f>
        <v/>
      </c>
      <c r="C2838" t="str">
        <f>IF($N2838="","",INDEX('_calc'!$A$2:$A$3001,$N2838))</f>
        <v/>
      </c>
      <c r="D2838" s="25" t="str">
        <f>IF($N2838="","",INDEX('_calc'!$C$2:$C$3001,$N2838))</f>
        <v/>
      </c>
      <c r="E2838" s="25" t="str">
        <f>IF($N2838="","",INDEX('_calc'!$D$2:$D$3001,$N2838))</f>
        <v/>
      </c>
      <c r="F2838" s="26" t="str">
        <f>IF($N2838="","",IF($E$8=0,"",E2838/$E$8))</f>
        <v/>
      </c>
      <c r="G2838" s="25" t="str">
        <f>IF($N2838="","",INDEX('_calc'!$E$2:$E$3001,$N2838))</f>
        <v/>
      </c>
      <c r="H2838" s="25" t="str">
        <f>IF($N2838="","",INDEX('_calc'!$F$2:$F$3001,$N2838))</f>
        <v/>
      </c>
      <c r="I2838" s="27" t="str">
        <f>IF($N2838="","",INDEX('_calc'!$H$2:$H$3001,$N2838))</f>
        <v/>
      </c>
      <c r="J2838" s="27" t="str">
        <f>IF($N2838="","",INDEX('_calc'!$I$2:$I$3001,$N2838))</f>
        <v/>
      </c>
      <c r="K2838" s="28" t="str">
        <f>IF($N2838="","",IF(OR(I2838="",J2838=""),"",J2838-I2838))</f>
        <v/>
      </c>
      <c r="L2838" s="29" t="str">
        <f>IF($N2838="","",INDEX('_calc'!$J$2:$J$3001,$N2838))</f>
        <v/>
      </c>
      <c r="M2838" s="2" t="str">
        <f>IF($N2838="","",IF(AND(G2838=0,H2838=0),"수량 없음",IF(G2838=0,"신규 (전년 수량 없음)",IF(H2838=0,"당해 수량 없음",""))))</f>
        <v/>
      </c>
      <c r="N2838" t="str">
        <f>IF($B2838="","",MATCH($B2838,'_calc'!$L$2:$L$3001,0))</f>
        <v/>
      </c>
    </row>
    <row r="2839">
      <c r="B2839" s="24" t="str">
        <f>IF(ROW()-ROW($B$8)&gt;nComp,"",ROW()-ROW($B$8))</f>
        <v/>
      </c>
      <c r="C2839" t="str">
        <f>IF($N2839="","",INDEX('_calc'!$A$2:$A$3001,$N2839))</f>
        <v/>
      </c>
      <c r="D2839" s="25" t="str">
        <f>IF($N2839="","",INDEX('_calc'!$C$2:$C$3001,$N2839))</f>
        <v/>
      </c>
      <c r="E2839" s="25" t="str">
        <f>IF($N2839="","",INDEX('_calc'!$D$2:$D$3001,$N2839))</f>
        <v/>
      </c>
      <c r="F2839" s="26" t="str">
        <f>IF($N2839="","",IF($E$8=0,"",E2839/$E$8))</f>
        <v/>
      </c>
      <c r="G2839" s="25" t="str">
        <f>IF($N2839="","",INDEX('_calc'!$E$2:$E$3001,$N2839))</f>
        <v/>
      </c>
      <c r="H2839" s="25" t="str">
        <f>IF($N2839="","",INDEX('_calc'!$F$2:$F$3001,$N2839))</f>
        <v/>
      </c>
      <c r="I2839" s="27" t="str">
        <f>IF($N2839="","",INDEX('_calc'!$H$2:$H$3001,$N2839))</f>
        <v/>
      </c>
      <c r="J2839" s="27" t="str">
        <f>IF($N2839="","",INDEX('_calc'!$I$2:$I$3001,$N2839))</f>
        <v/>
      </c>
      <c r="K2839" s="28" t="str">
        <f>IF($N2839="","",IF(OR(I2839="",J2839=""),"",J2839-I2839))</f>
        <v/>
      </c>
      <c r="L2839" s="29" t="str">
        <f>IF($N2839="","",INDEX('_calc'!$J$2:$J$3001,$N2839))</f>
        <v/>
      </c>
      <c r="M2839" s="2" t="str">
        <f>IF($N2839="","",IF(AND(G2839=0,H2839=0),"수량 없음",IF(G2839=0,"신규 (전년 수량 없음)",IF(H2839=0,"당해 수량 없음",""))))</f>
        <v/>
      </c>
      <c r="N2839" t="str">
        <f>IF($B2839="","",MATCH($B2839,'_calc'!$L$2:$L$3001,0))</f>
        <v/>
      </c>
    </row>
    <row r="2840">
      <c r="B2840" s="24" t="str">
        <f>IF(ROW()-ROW($B$8)&gt;nComp,"",ROW()-ROW($B$8))</f>
        <v/>
      </c>
      <c r="C2840" t="str">
        <f>IF($N2840="","",INDEX('_calc'!$A$2:$A$3001,$N2840))</f>
        <v/>
      </c>
      <c r="D2840" s="25" t="str">
        <f>IF($N2840="","",INDEX('_calc'!$C$2:$C$3001,$N2840))</f>
        <v/>
      </c>
      <c r="E2840" s="25" t="str">
        <f>IF($N2840="","",INDEX('_calc'!$D$2:$D$3001,$N2840))</f>
        <v/>
      </c>
      <c r="F2840" s="26" t="str">
        <f>IF($N2840="","",IF($E$8=0,"",E2840/$E$8))</f>
        <v/>
      </c>
      <c r="G2840" s="25" t="str">
        <f>IF($N2840="","",INDEX('_calc'!$E$2:$E$3001,$N2840))</f>
        <v/>
      </c>
      <c r="H2840" s="25" t="str">
        <f>IF($N2840="","",INDEX('_calc'!$F$2:$F$3001,$N2840))</f>
        <v/>
      </c>
      <c r="I2840" s="27" t="str">
        <f>IF($N2840="","",INDEX('_calc'!$H$2:$H$3001,$N2840))</f>
        <v/>
      </c>
      <c r="J2840" s="27" t="str">
        <f>IF($N2840="","",INDEX('_calc'!$I$2:$I$3001,$N2840))</f>
        <v/>
      </c>
      <c r="K2840" s="28" t="str">
        <f>IF($N2840="","",IF(OR(I2840="",J2840=""),"",J2840-I2840))</f>
        <v/>
      </c>
      <c r="L2840" s="29" t="str">
        <f>IF($N2840="","",INDEX('_calc'!$J$2:$J$3001,$N2840))</f>
        <v/>
      </c>
      <c r="M2840" s="2" t="str">
        <f>IF($N2840="","",IF(AND(G2840=0,H2840=0),"수량 없음",IF(G2840=0,"신규 (전년 수량 없음)",IF(H2840=0,"당해 수량 없음",""))))</f>
        <v/>
      </c>
      <c r="N2840" t="str">
        <f>IF($B2840="","",MATCH($B2840,'_calc'!$L$2:$L$3001,0))</f>
        <v/>
      </c>
    </row>
    <row r="2841">
      <c r="B2841" s="24" t="str">
        <f>IF(ROW()-ROW($B$8)&gt;nComp,"",ROW()-ROW($B$8))</f>
        <v/>
      </c>
      <c r="C2841" t="str">
        <f>IF($N2841="","",INDEX('_calc'!$A$2:$A$3001,$N2841))</f>
        <v/>
      </c>
      <c r="D2841" s="25" t="str">
        <f>IF($N2841="","",INDEX('_calc'!$C$2:$C$3001,$N2841))</f>
        <v/>
      </c>
      <c r="E2841" s="25" t="str">
        <f>IF($N2841="","",INDEX('_calc'!$D$2:$D$3001,$N2841))</f>
        <v/>
      </c>
      <c r="F2841" s="26" t="str">
        <f>IF($N2841="","",IF($E$8=0,"",E2841/$E$8))</f>
        <v/>
      </c>
      <c r="G2841" s="25" t="str">
        <f>IF($N2841="","",INDEX('_calc'!$E$2:$E$3001,$N2841))</f>
        <v/>
      </c>
      <c r="H2841" s="25" t="str">
        <f>IF($N2841="","",INDEX('_calc'!$F$2:$F$3001,$N2841))</f>
        <v/>
      </c>
      <c r="I2841" s="27" t="str">
        <f>IF($N2841="","",INDEX('_calc'!$H$2:$H$3001,$N2841))</f>
        <v/>
      </c>
      <c r="J2841" s="27" t="str">
        <f>IF($N2841="","",INDEX('_calc'!$I$2:$I$3001,$N2841))</f>
        <v/>
      </c>
      <c r="K2841" s="28" t="str">
        <f>IF($N2841="","",IF(OR(I2841="",J2841=""),"",J2841-I2841))</f>
        <v/>
      </c>
      <c r="L2841" s="29" t="str">
        <f>IF($N2841="","",INDEX('_calc'!$J$2:$J$3001,$N2841))</f>
        <v/>
      </c>
      <c r="M2841" s="2" t="str">
        <f>IF($N2841="","",IF(AND(G2841=0,H2841=0),"수량 없음",IF(G2841=0,"신규 (전년 수량 없음)",IF(H2841=0,"당해 수량 없음",""))))</f>
        <v/>
      </c>
      <c r="N2841" t="str">
        <f>IF($B2841="","",MATCH($B2841,'_calc'!$L$2:$L$3001,0))</f>
        <v/>
      </c>
    </row>
    <row r="2842">
      <c r="B2842" s="24" t="str">
        <f>IF(ROW()-ROW($B$8)&gt;nComp,"",ROW()-ROW($B$8))</f>
        <v/>
      </c>
      <c r="C2842" t="str">
        <f>IF($N2842="","",INDEX('_calc'!$A$2:$A$3001,$N2842))</f>
        <v/>
      </c>
      <c r="D2842" s="25" t="str">
        <f>IF($N2842="","",INDEX('_calc'!$C$2:$C$3001,$N2842))</f>
        <v/>
      </c>
      <c r="E2842" s="25" t="str">
        <f>IF($N2842="","",INDEX('_calc'!$D$2:$D$3001,$N2842))</f>
        <v/>
      </c>
      <c r="F2842" s="26" t="str">
        <f>IF($N2842="","",IF($E$8=0,"",E2842/$E$8))</f>
        <v/>
      </c>
      <c r="G2842" s="25" t="str">
        <f>IF($N2842="","",INDEX('_calc'!$E$2:$E$3001,$N2842))</f>
        <v/>
      </c>
      <c r="H2842" s="25" t="str">
        <f>IF($N2842="","",INDEX('_calc'!$F$2:$F$3001,$N2842))</f>
        <v/>
      </c>
      <c r="I2842" s="27" t="str">
        <f>IF($N2842="","",INDEX('_calc'!$H$2:$H$3001,$N2842))</f>
        <v/>
      </c>
      <c r="J2842" s="27" t="str">
        <f>IF($N2842="","",INDEX('_calc'!$I$2:$I$3001,$N2842))</f>
        <v/>
      </c>
      <c r="K2842" s="28" t="str">
        <f>IF($N2842="","",IF(OR(I2842="",J2842=""),"",J2842-I2842))</f>
        <v/>
      </c>
      <c r="L2842" s="29" t="str">
        <f>IF($N2842="","",INDEX('_calc'!$J$2:$J$3001,$N2842))</f>
        <v/>
      </c>
      <c r="M2842" s="2" t="str">
        <f>IF($N2842="","",IF(AND(G2842=0,H2842=0),"수량 없음",IF(G2842=0,"신규 (전년 수량 없음)",IF(H2842=0,"당해 수량 없음",""))))</f>
        <v/>
      </c>
      <c r="N2842" t="str">
        <f>IF($B2842="","",MATCH($B2842,'_calc'!$L$2:$L$3001,0))</f>
        <v/>
      </c>
    </row>
    <row r="2843">
      <c r="B2843" s="24" t="str">
        <f>IF(ROW()-ROW($B$8)&gt;nComp,"",ROW()-ROW($B$8))</f>
        <v/>
      </c>
      <c r="C2843" t="str">
        <f>IF($N2843="","",INDEX('_calc'!$A$2:$A$3001,$N2843))</f>
        <v/>
      </c>
      <c r="D2843" s="25" t="str">
        <f>IF($N2843="","",INDEX('_calc'!$C$2:$C$3001,$N2843))</f>
        <v/>
      </c>
      <c r="E2843" s="25" t="str">
        <f>IF($N2843="","",INDEX('_calc'!$D$2:$D$3001,$N2843))</f>
        <v/>
      </c>
      <c r="F2843" s="26" t="str">
        <f>IF($N2843="","",IF($E$8=0,"",E2843/$E$8))</f>
        <v/>
      </c>
      <c r="G2843" s="25" t="str">
        <f>IF($N2843="","",INDEX('_calc'!$E$2:$E$3001,$N2843))</f>
        <v/>
      </c>
      <c r="H2843" s="25" t="str">
        <f>IF($N2843="","",INDEX('_calc'!$F$2:$F$3001,$N2843))</f>
        <v/>
      </c>
      <c r="I2843" s="27" t="str">
        <f>IF($N2843="","",INDEX('_calc'!$H$2:$H$3001,$N2843))</f>
        <v/>
      </c>
      <c r="J2843" s="27" t="str">
        <f>IF($N2843="","",INDEX('_calc'!$I$2:$I$3001,$N2843))</f>
        <v/>
      </c>
      <c r="K2843" s="28" t="str">
        <f>IF($N2843="","",IF(OR(I2843="",J2843=""),"",J2843-I2843))</f>
        <v/>
      </c>
      <c r="L2843" s="29" t="str">
        <f>IF($N2843="","",INDEX('_calc'!$J$2:$J$3001,$N2843))</f>
        <v/>
      </c>
      <c r="M2843" s="2" t="str">
        <f>IF($N2843="","",IF(AND(G2843=0,H2843=0),"수량 없음",IF(G2843=0,"신규 (전년 수량 없음)",IF(H2843=0,"당해 수량 없음",""))))</f>
        <v/>
      </c>
      <c r="N2843" t="str">
        <f>IF($B2843="","",MATCH($B2843,'_calc'!$L$2:$L$3001,0))</f>
        <v/>
      </c>
    </row>
    <row r="2844">
      <c r="B2844" s="24" t="str">
        <f>IF(ROW()-ROW($B$8)&gt;nComp,"",ROW()-ROW($B$8))</f>
        <v/>
      </c>
      <c r="C2844" t="str">
        <f>IF($N2844="","",INDEX('_calc'!$A$2:$A$3001,$N2844))</f>
        <v/>
      </c>
      <c r="D2844" s="25" t="str">
        <f>IF($N2844="","",INDEX('_calc'!$C$2:$C$3001,$N2844))</f>
        <v/>
      </c>
      <c r="E2844" s="25" t="str">
        <f>IF($N2844="","",INDEX('_calc'!$D$2:$D$3001,$N2844))</f>
        <v/>
      </c>
      <c r="F2844" s="26" t="str">
        <f>IF($N2844="","",IF($E$8=0,"",E2844/$E$8))</f>
        <v/>
      </c>
      <c r="G2844" s="25" t="str">
        <f>IF($N2844="","",INDEX('_calc'!$E$2:$E$3001,$N2844))</f>
        <v/>
      </c>
      <c r="H2844" s="25" t="str">
        <f>IF($N2844="","",INDEX('_calc'!$F$2:$F$3001,$N2844))</f>
        <v/>
      </c>
      <c r="I2844" s="27" t="str">
        <f>IF($N2844="","",INDEX('_calc'!$H$2:$H$3001,$N2844))</f>
        <v/>
      </c>
      <c r="J2844" s="27" t="str">
        <f>IF($N2844="","",INDEX('_calc'!$I$2:$I$3001,$N2844))</f>
        <v/>
      </c>
      <c r="K2844" s="28" t="str">
        <f>IF($N2844="","",IF(OR(I2844="",J2844=""),"",J2844-I2844))</f>
        <v/>
      </c>
      <c r="L2844" s="29" t="str">
        <f>IF($N2844="","",INDEX('_calc'!$J$2:$J$3001,$N2844))</f>
        <v/>
      </c>
      <c r="M2844" s="2" t="str">
        <f>IF($N2844="","",IF(AND(G2844=0,H2844=0),"수량 없음",IF(G2844=0,"신규 (전년 수량 없음)",IF(H2844=0,"당해 수량 없음",""))))</f>
        <v/>
      </c>
      <c r="N2844" t="str">
        <f>IF($B2844="","",MATCH($B2844,'_calc'!$L$2:$L$3001,0))</f>
        <v/>
      </c>
    </row>
    <row r="2845">
      <c r="B2845" s="24" t="str">
        <f>IF(ROW()-ROW($B$8)&gt;nComp,"",ROW()-ROW($B$8))</f>
        <v/>
      </c>
      <c r="C2845" t="str">
        <f>IF($N2845="","",INDEX('_calc'!$A$2:$A$3001,$N2845))</f>
        <v/>
      </c>
      <c r="D2845" s="25" t="str">
        <f>IF($N2845="","",INDEX('_calc'!$C$2:$C$3001,$N2845))</f>
        <v/>
      </c>
      <c r="E2845" s="25" t="str">
        <f>IF($N2845="","",INDEX('_calc'!$D$2:$D$3001,$N2845))</f>
        <v/>
      </c>
      <c r="F2845" s="26" t="str">
        <f>IF($N2845="","",IF($E$8=0,"",E2845/$E$8))</f>
        <v/>
      </c>
      <c r="G2845" s="25" t="str">
        <f>IF($N2845="","",INDEX('_calc'!$E$2:$E$3001,$N2845))</f>
        <v/>
      </c>
      <c r="H2845" s="25" t="str">
        <f>IF($N2845="","",INDEX('_calc'!$F$2:$F$3001,$N2845))</f>
        <v/>
      </c>
      <c r="I2845" s="27" t="str">
        <f>IF($N2845="","",INDEX('_calc'!$H$2:$H$3001,$N2845))</f>
        <v/>
      </c>
      <c r="J2845" s="27" t="str">
        <f>IF($N2845="","",INDEX('_calc'!$I$2:$I$3001,$N2845))</f>
        <v/>
      </c>
      <c r="K2845" s="28" t="str">
        <f>IF($N2845="","",IF(OR(I2845="",J2845=""),"",J2845-I2845))</f>
        <v/>
      </c>
      <c r="L2845" s="29" t="str">
        <f>IF($N2845="","",INDEX('_calc'!$J$2:$J$3001,$N2845))</f>
        <v/>
      </c>
      <c r="M2845" s="2" t="str">
        <f>IF($N2845="","",IF(AND(G2845=0,H2845=0),"수량 없음",IF(G2845=0,"신규 (전년 수량 없음)",IF(H2845=0,"당해 수량 없음",""))))</f>
        <v/>
      </c>
      <c r="N2845" t="str">
        <f>IF($B2845="","",MATCH($B2845,'_calc'!$L$2:$L$3001,0))</f>
        <v/>
      </c>
    </row>
    <row r="2846">
      <c r="B2846" s="24" t="str">
        <f>IF(ROW()-ROW($B$8)&gt;nComp,"",ROW()-ROW($B$8))</f>
        <v/>
      </c>
      <c r="C2846" t="str">
        <f>IF($N2846="","",INDEX('_calc'!$A$2:$A$3001,$N2846))</f>
        <v/>
      </c>
      <c r="D2846" s="25" t="str">
        <f>IF($N2846="","",INDEX('_calc'!$C$2:$C$3001,$N2846))</f>
        <v/>
      </c>
      <c r="E2846" s="25" t="str">
        <f>IF($N2846="","",INDEX('_calc'!$D$2:$D$3001,$N2846))</f>
        <v/>
      </c>
      <c r="F2846" s="26" t="str">
        <f>IF($N2846="","",IF($E$8=0,"",E2846/$E$8))</f>
        <v/>
      </c>
      <c r="G2846" s="25" t="str">
        <f>IF($N2846="","",INDEX('_calc'!$E$2:$E$3001,$N2846))</f>
        <v/>
      </c>
      <c r="H2846" s="25" t="str">
        <f>IF($N2846="","",INDEX('_calc'!$F$2:$F$3001,$N2846))</f>
        <v/>
      </c>
      <c r="I2846" s="27" t="str">
        <f>IF($N2846="","",INDEX('_calc'!$H$2:$H$3001,$N2846))</f>
        <v/>
      </c>
      <c r="J2846" s="27" t="str">
        <f>IF($N2846="","",INDEX('_calc'!$I$2:$I$3001,$N2846))</f>
        <v/>
      </c>
      <c r="K2846" s="28" t="str">
        <f>IF($N2846="","",IF(OR(I2846="",J2846=""),"",J2846-I2846))</f>
        <v/>
      </c>
      <c r="L2846" s="29" t="str">
        <f>IF($N2846="","",INDEX('_calc'!$J$2:$J$3001,$N2846))</f>
        <v/>
      </c>
      <c r="M2846" s="2" t="str">
        <f>IF($N2846="","",IF(AND(G2846=0,H2846=0),"수량 없음",IF(G2846=0,"신규 (전년 수량 없음)",IF(H2846=0,"당해 수량 없음",""))))</f>
        <v/>
      </c>
      <c r="N2846" t="str">
        <f>IF($B2846="","",MATCH($B2846,'_calc'!$L$2:$L$3001,0))</f>
        <v/>
      </c>
    </row>
    <row r="2847">
      <c r="B2847" s="24" t="str">
        <f>IF(ROW()-ROW($B$8)&gt;nComp,"",ROW()-ROW($B$8))</f>
        <v/>
      </c>
      <c r="C2847" t="str">
        <f>IF($N2847="","",INDEX('_calc'!$A$2:$A$3001,$N2847))</f>
        <v/>
      </c>
      <c r="D2847" s="25" t="str">
        <f>IF($N2847="","",INDEX('_calc'!$C$2:$C$3001,$N2847))</f>
        <v/>
      </c>
      <c r="E2847" s="25" t="str">
        <f>IF($N2847="","",INDEX('_calc'!$D$2:$D$3001,$N2847))</f>
        <v/>
      </c>
      <c r="F2847" s="26" t="str">
        <f>IF($N2847="","",IF($E$8=0,"",E2847/$E$8))</f>
        <v/>
      </c>
      <c r="G2847" s="25" t="str">
        <f>IF($N2847="","",INDEX('_calc'!$E$2:$E$3001,$N2847))</f>
        <v/>
      </c>
      <c r="H2847" s="25" t="str">
        <f>IF($N2847="","",INDEX('_calc'!$F$2:$F$3001,$N2847))</f>
        <v/>
      </c>
      <c r="I2847" s="27" t="str">
        <f>IF($N2847="","",INDEX('_calc'!$H$2:$H$3001,$N2847))</f>
        <v/>
      </c>
      <c r="J2847" s="27" t="str">
        <f>IF($N2847="","",INDEX('_calc'!$I$2:$I$3001,$N2847))</f>
        <v/>
      </c>
      <c r="K2847" s="28" t="str">
        <f>IF($N2847="","",IF(OR(I2847="",J2847=""),"",J2847-I2847))</f>
        <v/>
      </c>
      <c r="L2847" s="29" t="str">
        <f>IF($N2847="","",INDEX('_calc'!$J$2:$J$3001,$N2847))</f>
        <v/>
      </c>
      <c r="M2847" s="2" t="str">
        <f>IF($N2847="","",IF(AND(G2847=0,H2847=0),"수량 없음",IF(G2847=0,"신규 (전년 수량 없음)",IF(H2847=0,"당해 수량 없음",""))))</f>
        <v/>
      </c>
      <c r="N2847" t="str">
        <f>IF($B2847="","",MATCH($B2847,'_calc'!$L$2:$L$3001,0))</f>
        <v/>
      </c>
    </row>
    <row r="2848">
      <c r="B2848" s="24" t="str">
        <f>IF(ROW()-ROW($B$8)&gt;nComp,"",ROW()-ROW($B$8))</f>
        <v/>
      </c>
      <c r="C2848" t="str">
        <f>IF($N2848="","",INDEX('_calc'!$A$2:$A$3001,$N2848))</f>
        <v/>
      </c>
      <c r="D2848" s="25" t="str">
        <f>IF($N2848="","",INDEX('_calc'!$C$2:$C$3001,$N2848))</f>
        <v/>
      </c>
      <c r="E2848" s="25" t="str">
        <f>IF($N2848="","",INDEX('_calc'!$D$2:$D$3001,$N2848))</f>
        <v/>
      </c>
      <c r="F2848" s="26" t="str">
        <f>IF($N2848="","",IF($E$8=0,"",E2848/$E$8))</f>
        <v/>
      </c>
      <c r="G2848" s="25" t="str">
        <f>IF($N2848="","",INDEX('_calc'!$E$2:$E$3001,$N2848))</f>
        <v/>
      </c>
      <c r="H2848" s="25" t="str">
        <f>IF($N2848="","",INDEX('_calc'!$F$2:$F$3001,$N2848))</f>
        <v/>
      </c>
      <c r="I2848" s="27" t="str">
        <f>IF($N2848="","",INDEX('_calc'!$H$2:$H$3001,$N2848))</f>
        <v/>
      </c>
      <c r="J2848" s="27" t="str">
        <f>IF($N2848="","",INDEX('_calc'!$I$2:$I$3001,$N2848))</f>
        <v/>
      </c>
      <c r="K2848" s="28" t="str">
        <f>IF($N2848="","",IF(OR(I2848="",J2848=""),"",J2848-I2848))</f>
        <v/>
      </c>
      <c r="L2848" s="29" t="str">
        <f>IF($N2848="","",INDEX('_calc'!$J$2:$J$3001,$N2848))</f>
        <v/>
      </c>
      <c r="M2848" s="2" t="str">
        <f>IF($N2848="","",IF(AND(G2848=0,H2848=0),"수량 없음",IF(G2848=0,"신규 (전년 수량 없음)",IF(H2848=0,"당해 수량 없음",""))))</f>
        <v/>
      </c>
      <c r="N2848" t="str">
        <f>IF($B2848="","",MATCH($B2848,'_calc'!$L$2:$L$3001,0))</f>
        <v/>
      </c>
    </row>
    <row r="2849">
      <c r="B2849" s="24" t="str">
        <f>IF(ROW()-ROW($B$8)&gt;nComp,"",ROW()-ROW($B$8))</f>
        <v/>
      </c>
      <c r="C2849" t="str">
        <f>IF($N2849="","",INDEX('_calc'!$A$2:$A$3001,$N2849))</f>
        <v/>
      </c>
      <c r="D2849" s="25" t="str">
        <f>IF($N2849="","",INDEX('_calc'!$C$2:$C$3001,$N2849))</f>
        <v/>
      </c>
      <c r="E2849" s="25" t="str">
        <f>IF($N2849="","",INDEX('_calc'!$D$2:$D$3001,$N2849))</f>
        <v/>
      </c>
      <c r="F2849" s="26" t="str">
        <f>IF($N2849="","",IF($E$8=0,"",E2849/$E$8))</f>
        <v/>
      </c>
      <c r="G2849" s="25" t="str">
        <f>IF($N2849="","",INDEX('_calc'!$E$2:$E$3001,$N2849))</f>
        <v/>
      </c>
      <c r="H2849" s="25" t="str">
        <f>IF($N2849="","",INDEX('_calc'!$F$2:$F$3001,$N2849))</f>
        <v/>
      </c>
      <c r="I2849" s="27" t="str">
        <f>IF($N2849="","",INDEX('_calc'!$H$2:$H$3001,$N2849))</f>
        <v/>
      </c>
      <c r="J2849" s="27" t="str">
        <f>IF($N2849="","",INDEX('_calc'!$I$2:$I$3001,$N2849))</f>
        <v/>
      </c>
      <c r="K2849" s="28" t="str">
        <f>IF($N2849="","",IF(OR(I2849="",J2849=""),"",J2849-I2849))</f>
        <v/>
      </c>
      <c r="L2849" s="29" t="str">
        <f>IF($N2849="","",INDEX('_calc'!$J$2:$J$3001,$N2849))</f>
        <v/>
      </c>
      <c r="M2849" s="2" t="str">
        <f>IF($N2849="","",IF(AND(G2849=0,H2849=0),"수량 없음",IF(G2849=0,"신규 (전년 수량 없음)",IF(H2849=0,"당해 수량 없음",""))))</f>
        <v/>
      </c>
      <c r="N2849" t="str">
        <f>IF($B2849="","",MATCH($B2849,'_calc'!$L$2:$L$3001,0))</f>
        <v/>
      </c>
    </row>
    <row r="2850">
      <c r="B2850" s="24" t="str">
        <f>IF(ROW()-ROW($B$8)&gt;nComp,"",ROW()-ROW($B$8))</f>
        <v/>
      </c>
      <c r="C2850" t="str">
        <f>IF($N2850="","",INDEX('_calc'!$A$2:$A$3001,$N2850))</f>
        <v/>
      </c>
      <c r="D2850" s="25" t="str">
        <f>IF($N2850="","",INDEX('_calc'!$C$2:$C$3001,$N2850))</f>
        <v/>
      </c>
      <c r="E2850" s="25" t="str">
        <f>IF($N2850="","",INDEX('_calc'!$D$2:$D$3001,$N2850))</f>
        <v/>
      </c>
      <c r="F2850" s="26" t="str">
        <f>IF($N2850="","",IF($E$8=0,"",E2850/$E$8))</f>
        <v/>
      </c>
      <c r="G2850" s="25" t="str">
        <f>IF($N2850="","",INDEX('_calc'!$E$2:$E$3001,$N2850))</f>
        <v/>
      </c>
      <c r="H2850" s="25" t="str">
        <f>IF($N2850="","",INDEX('_calc'!$F$2:$F$3001,$N2850))</f>
        <v/>
      </c>
      <c r="I2850" s="27" t="str">
        <f>IF($N2850="","",INDEX('_calc'!$H$2:$H$3001,$N2850))</f>
        <v/>
      </c>
      <c r="J2850" s="27" t="str">
        <f>IF($N2850="","",INDEX('_calc'!$I$2:$I$3001,$N2850))</f>
        <v/>
      </c>
      <c r="K2850" s="28" t="str">
        <f>IF($N2850="","",IF(OR(I2850="",J2850=""),"",J2850-I2850))</f>
        <v/>
      </c>
      <c r="L2850" s="29" t="str">
        <f>IF($N2850="","",INDEX('_calc'!$J$2:$J$3001,$N2850))</f>
        <v/>
      </c>
      <c r="M2850" s="2" t="str">
        <f>IF($N2850="","",IF(AND(G2850=0,H2850=0),"수량 없음",IF(G2850=0,"신규 (전년 수량 없음)",IF(H2850=0,"당해 수량 없음",""))))</f>
        <v/>
      </c>
      <c r="N2850" t="str">
        <f>IF($B2850="","",MATCH($B2850,'_calc'!$L$2:$L$3001,0))</f>
        <v/>
      </c>
    </row>
    <row r="2851">
      <c r="B2851" s="24" t="str">
        <f>IF(ROW()-ROW($B$8)&gt;nComp,"",ROW()-ROW($B$8))</f>
        <v/>
      </c>
      <c r="C2851" t="str">
        <f>IF($N2851="","",INDEX('_calc'!$A$2:$A$3001,$N2851))</f>
        <v/>
      </c>
      <c r="D2851" s="25" t="str">
        <f>IF($N2851="","",INDEX('_calc'!$C$2:$C$3001,$N2851))</f>
        <v/>
      </c>
      <c r="E2851" s="25" t="str">
        <f>IF($N2851="","",INDEX('_calc'!$D$2:$D$3001,$N2851))</f>
        <v/>
      </c>
      <c r="F2851" s="26" t="str">
        <f>IF($N2851="","",IF($E$8=0,"",E2851/$E$8))</f>
        <v/>
      </c>
      <c r="G2851" s="25" t="str">
        <f>IF($N2851="","",INDEX('_calc'!$E$2:$E$3001,$N2851))</f>
        <v/>
      </c>
      <c r="H2851" s="25" t="str">
        <f>IF($N2851="","",INDEX('_calc'!$F$2:$F$3001,$N2851))</f>
        <v/>
      </c>
      <c r="I2851" s="27" t="str">
        <f>IF($N2851="","",INDEX('_calc'!$H$2:$H$3001,$N2851))</f>
        <v/>
      </c>
      <c r="J2851" s="27" t="str">
        <f>IF($N2851="","",INDEX('_calc'!$I$2:$I$3001,$N2851))</f>
        <v/>
      </c>
      <c r="K2851" s="28" t="str">
        <f>IF($N2851="","",IF(OR(I2851="",J2851=""),"",J2851-I2851))</f>
        <v/>
      </c>
      <c r="L2851" s="29" t="str">
        <f>IF($N2851="","",INDEX('_calc'!$J$2:$J$3001,$N2851))</f>
        <v/>
      </c>
      <c r="M2851" s="2" t="str">
        <f>IF($N2851="","",IF(AND(G2851=0,H2851=0),"수량 없음",IF(G2851=0,"신규 (전년 수량 없음)",IF(H2851=0,"당해 수량 없음",""))))</f>
        <v/>
      </c>
      <c r="N2851" t="str">
        <f>IF($B2851="","",MATCH($B2851,'_calc'!$L$2:$L$3001,0))</f>
        <v/>
      </c>
    </row>
    <row r="2852">
      <c r="B2852" s="24" t="str">
        <f>IF(ROW()-ROW($B$8)&gt;nComp,"",ROW()-ROW($B$8))</f>
        <v/>
      </c>
      <c r="C2852" t="str">
        <f>IF($N2852="","",INDEX('_calc'!$A$2:$A$3001,$N2852))</f>
        <v/>
      </c>
      <c r="D2852" s="25" t="str">
        <f>IF($N2852="","",INDEX('_calc'!$C$2:$C$3001,$N2852))</f>
        <v/>
      </c>
      <c r="E2852" s="25" t="str">
        <f>IF($N2852="","",INDEX('_calc'!$D$2:$D$3001,$N2852))</f>
        <v/>
      </c>
      <c r="F2852" s="26" t="str">
        <f>IF($N2852="","",IF($E$8=0,"",E2852/$E$8))</f>
        <v/>
      </c>
      <c r="G2852" s="25" t="str">
        <f>IF($N2852="","",INDEX('_calc'!$E$2:$E$3001,$N2852))</f>
        <v/>
      </c>
      <c r="H2852" s="25" t="str">
        <f>IF($N2852="","",INDEX('_calc'!$F$2:$F$3001,$N2852))</f>
        <v/>
      </c>
      <c r="I2852" s="27" t="str">
        <f>IF($N2852="","",INDEX('_calc'!$H$2:$H$3001,$N2852))</f>
        <v/>
      </c>
      <c r="J2852" s="27" t="str">
        <f>IF($N2852="","",INDEX('_calc'!$I$2:$I$3001,$N2852))</f>
        <v/>
      </c>
      <c r="K2852" s="28" t="str">
        <f>IF($N2852="","",IF(OR(I2852="",J2852=""),"",J2852-I2852))</f>
        <v/>
      </c>
      <c r="L2852" s="29" t="str">
        <f>IF($N2852="","",INDEX('_calc'!$J$2:$J$3001,$N2852))</f>
        <v/>
      </c>
      <c r="M2852" s="2" t="str">
        <f>IF($N2852="","",IF(AND(G2852=0,H2852=0),"수량 없음",IF(G2852=0,"신규 (전년 수량 없음)",IF(H2852=0,"당해 수량 없음",""))))</f>
        <v/>
      </c>
      <c r="N2852" t="str">
        <f>IF($B2852="","",MATCH($B2852,'_calc'!$L$2:$L$3001,0))</f>
        <v/>
      </c>
    </row>
    <row r="2853">
      <c r="B2853" s="24" t="str">
        <f>IF(ROW()-ROW($B$8)&gt;nComp,"",ROW()-ROW($B$8))</f>
        <v/>
      </c>
      <c r="C2853" t="str">
        <f>IF($N2853="","",INDEX('_calc'!$A$2:$A$3001,$N2853))</f>
        <v/>
      </c>
      <c r="D2853" s="25" t="str">
        <f>IF($N2853="","",INDEX('_calc'!$C$2:$C$3001,$N2853))</f>
        <v/>
      </c>
      <c r="E2853" s="25" t="str">
        <f>IF($N2853="","",INDEX('_calc'!$D$2:$D$3001,$N2853))</f>
        <v/>
      </c>
      <c r="F2853" s="26" t="str">
        <f>IF($N2853="","",IF($E$8=0,"",E2853/$E$8))</f>
        <v/>
      </c>
      <c r="G2853" s="25" t="str">
        <f>IF($N2853="","",INDEX('_calc'!$E$2:$E$3001,$N2853))</f>
        <v/>
      </c>
      <c r="H2853" s="25" t="str">
        <f>IF($N2853="","",INDEX('_calc'!$F$2:$F$3001,$N2853))</f>
        <v/>
      </c>
      <c r="I2853" s="27" t="str">
        <f>IF($N2853="","",INDEX('_calc'!$H$2:$H$3001,$N2853))</f>
        <v/>
      </c>
      <c r="J2853" s="27" t="str">
        <f>IF($N2853="","",INDEX('_calc'!$I$2:$I$3001,$N2853))</f>
        <v/>
      </c>
      <c r="K2853" s="28" t="str">
        <f>IF($N2853="","",IF(OR(I2853="",J2853=""),"",J2853-I2853))</f>
        <v/>
      </c>
      <c r="L2853" s="29" t="str">
        <f>IF($N2853="","",INDEX('_calc'!$J$2:$J$3001,$N2853))</f>
        <v/>
      </c>
      <c r="M2853" s="2" t="str">
        <f>IF($N2853="","",IF(AND(G2853=0,H2853=0),"수량 없음",IF(G2853=0,"신규 (전년 수량 없음)",IF(H2853=0,"당해 수량 없음",""))))</f>
        <v/>
      </c>
      <c r="N2853" t="str">
        <f>IF($B2853="","",MATCH($B2853,'_calc'!$L$2:$L$3001,0))</f>
        <v/>
      </c>
    </row>
    <row r="2854">
      <c r="B2854" s="24" t="str">
        <f>IF(ROW()-ROW($B$8)&gt;nComp,"",ROW()-ROW($B$8))</f>
        <v/>
      </c>
      <c r="C2854" t="str">
        <f>IF($N2854="","",INDEX('_calc'!$A$2:$A$3001,$N2854))</f>
        <v/>
      </c>
      <c r="D2854" s="25" t="str">
        <f>IF($N2854="","",INDEX('_calc'!$C$2:$C$3001,$N2854))</f>
        <v/>
      </c>
      <c r="E2854" s="25" t="str">
        <f>IF($N2854="","",INDEX('_calc'!$D$2:$D$3001,$N2854))</f>
        <v/>
      </c>
      <c r="F2854" s="26" t="str">
        <f>IF($N2854="","",IF($E$8=0,"",E2854/$E$8))</f>
        <v/>
      </c>
      <c r="G2854" s="25" t="str">
        <f>IF($N2854="","",INDEX('_calc'!$E$2:$E$3001,$N2854))</f>
        <v/>
      </c>
      <c r="H2854" s="25" t="str">
        <f>IF($N2854="","",INDEX('_calc'!$F$2:$F$3001,$N2854))</f>
        <v/>
      </c>
      <c r="I2854" s="27" t="str">
        <f>IF($N2854="","",INDEX('_calc'!$H$2:$H$3001,$N2854))</f>
        <v/>
      </c>
      <c r="J2854" s="27" t="str">
        <f>IF($N2854="","",INDEX('_calc'!$I$2:$I$3001,$N2854))</f>
        <v/>
      </c>
      <c r="K2854" s="28" t="str">
        <f>IF($N2854="","",IF(OR(I2854="",J2854=""),"",J2854-I2854))</f>
        <v/>
      </c>
      <c r="L2854" s="29" t="str">
        <f>IF($N2854="","",INDEX('_calc'!$J$2:$J$3001,$N2854))</f>
        <v/>
      </c>
      <c r="M2854" s="2" t="str">
        <f>IF($N2854="","",IF(AND(G2854=0,H2854=0),"수량 없음",IF(G2854=0,"신규 (전년 수량 없음)",IF(H2854=0,"당해 수량 없음",""))))</f>
        <v/>
      </c>
      <c r="N2854" t="str">
        <f>IF($B2854="","",MATCH($B2854,'_calc'!$L$2:$L$3001,0))</f>
        <v/>
      </c>
    </row>
    <row r="2855">
      <c r="B2855" s="24" t="str">
        <f>IF(ROW()-ROW($B$8)&gt;nComp,"",ROW()-ROW($B$8))</f>
        <v/>
      </c>
      <c r="C2855" t="str">
        <f>IF($N2855="","",INDEX('_calc'!$A$2:$A$3001,$N2855))</f>
        <v/>
      </c>
      <c r="D2855" s="25" t="str">
        <f>IF($N2855="","",INDEX('_calc'!$C$2:$C$3001,$N2855))</f>
        <v/>
      </c>
      <c r="E2855" s="25" t="str">
        <f>IF($N2855="","",INDEX('_calc'!$D$2:$D$3001,$N2855))</f>
        <v/>
      </c>
      <c r="F2855" s="26" t="str">
        <f>IF($N2855="","",IF($E$8=0,"",E2855/$E$8))</f>
        <v/>
      </c>
      <c r="G2855" s="25" t="str">
        <f>IF($N2855="","",INDEX('_calc'!$E$2:$E$3001,$N2855))</f>
        <v/>
      </c>
      <c r="H2855" s="25" t="str">
        <f>IF($N2855="","",INDEX('_calc'!$F$2:$F$3001,$N2855))</f>
        <v/>
      </c>
      <c r="I2855" s="27" t="str">
        <f>IF($N2855="","",INDEX('_calc'!$H$2:$H$3001,$N2855))</f>
        <v/>
      </c>
      <c r="J2855" s="27" t="str">
        <f>IF($N2855="","",INDEX('_calc'!$I$2:$I$3001,$N2855))</f>
        <v/>
      </c>
      <c r="K2855" s="28" t="str">
        <f>IF($N2855="","",IF(OR(I2855="",J2855=""),"",J2855-I2855))</f>
        <v/>
      </c>
      <c r="L2855" s="29" t="str">
        <f>IF($N2855="","",INDEX('_calc'!$J$2:$J$3001,$N2855))</f>
        <v/>
      </c>
      <c r="M2855" s="2" t="str">
        <f>IF($N2855="","",IF(AND(G2855=0,H2855=0),"수량 없음",IF(G2855=0,"신규 (전년 수량 없음)",IF(H2855=0,"당해 수량 없음",""))))</f>
        <v/>
      </c>
      <c r="N2855" t="str">
        <f>IF($B2855="","",MATCH($B2855,'_calc'!$L$2:$L$3001,0))</f>
        <v/>
      </c>
    </row>
    <row r="2856">
      <c r="B2856" s="24" t="str">
        <f>IF(ROW()-ROW($B$8)&gt;nComp,"",ROW()-ROW($B$8))</f>
        <v/>
      </c>
      <c r="C2856" t="str">
        <f>IF($N2856="","",INDEX('_calc'!$A$2:$A$3001,$N2856))</f>
        <v/>
      </c>
      <c r="D2856" s="25" t="str">
        <f>IF($N2856="","",INDEX('_calc'!$C$2:$C$3001,$N2856))</f>
        <v/>
      </c>
      <c r="E2856" s="25" t="str">
        <f>IF($N2856="","",INDEX('_calc'!$D$2:$D$3001,$N2856))</f>
        <v/>
      </c>
      <c r="F2856" s="26" t="str">
        <f>IF($N2856="","",IF($E$8=0,"",E2856/$E$8))</f>
        <v/>
      </c>
      <c r="G2856" s="25" t="str">
        <f>IF($N2856="","",INDEX('_calc'!$E$2:$E$3001,$N2856))</f>
        <v/>
      </c>
      <c r="H2856" s="25" t="str">
        <f>IF($N2856="","",INDEX('_calc'!$F$2:$F$3001,$N2856))</f>
        <v/>
      </c>
      <c r="I2856" s="27" t="str">
        <f>IF($N2856="","",INDEX('_calc'!$H$2:$H$3001,$N2856))</f>
        <v/>
      </c>
      <c r="J2856" s="27" t="str">
        <f>IF($N2856="","",INDEX('_calc'!$I$2:$I$3001,$N2856))</f>
        <v/>
      </c>
      <c r="K2856" s="28" t="str">
        <f>IF($N2856="","",IF(OR(I2856="",J2856=""),"",J2856-I2856))</f>
        <v/>
      </c>
      <c r="L2856" s="29" t="str">
        <f>IF($N2856="","",INDEX('_calc'!$J$2:$J$3001,$N2856))</f>
        <v/>
      </c>
      <c r="M2856" s="2" t="str">
        <f>IF($N2856="","",IF(AND(G2856=0,H2856=0),"수량 없음",IF(G2856=0,"신규 (전년 수량 없음)",IF(H2856=0,"당해 수량 없음",""))))</f>
        <v/>
      </c>
      <c r="N2856" t="str">
        <f>IF($B2856="","",MATCH($B2856,'_calc'!$L$2:$L$3001,0))</f>
        <v/>
      </c>
    </row>
    <row r="2857">
      <c r="B2857" s="24" t="str">
        <f>IF(ROW()-ROW($B$8)&gt;nComp,"",ROW()-ROW($B$8))</f>
        <v/>
      </c>
      <c r="C2857" t="str">
        <f>IF($N2857="","",INDEX('_calc'!$A$2:$A$3001,$N2857))</f>
        <v/>
      </c>
      <c r="D2857" s="25" t="str">
        <f>IF($N2857="","",INDEX('_calc'!$C$2:$C$3001,$N2857))</f>
        <v/>
      </c>
      <c r="E2857" s="25" t="str">
        <f>IF($N2857="","",INDEX('_calc'!$D$2:$D$3001,$N2857))</f>
        <v/>
      </c>
      <c r="F2857" s="26" t="str">
        <f>IF($N2857="","",IF($E$8=0,"",E2857/$E$8))</f>
        <v/>
      </c>
      <c r="G2857" s="25" t="str">
        <f>IF($N2857="","",INDEX('_calc'!$E$2:$E$3001,$N2857))</f>
        <v/>
      </c>
      <c r="H2857" s="25" t="str">
        <f>IF($N2857="","",INDEX('_calc'!$F$2:$F$3001,$N2857))</f>
        <v/>
      </c>
      <c r="I2857" s="27" t="str">
        <f>IF($N2857="","",INDEX('_calc'!$H$2:$H$3001,$N2857))</f>
        <v/>
      </c>
      <c r="J2857" s="27" t="str">
        <f>IF($N2857="","",INDEX('_calc'!$I$2:$I$3001,$N2857))</f>
        <v/>
      </c>
      <c r="K2857" s="28" t="str">
        <f>IF($N2857="","",IF(OR(I2857="",J2857=""),"",J2857-I2857))</f>
        <v/>
      </c>
      <c r="L2857" s="29" t="str">
        <f>IF($N2857="","",INDEX('_calc'!$J$2:$J$3001,$N2857))</f>
        <v/>
      </c>
      <c r="M2857" s="2" t="str">
        <f>IF($N2857="","",IF(AND(G2857=0,H2857=0),"수량 없음",IF(G2857=0,"신규 (전년 수량 없음)",IF(H2857=0,"당해 수량 없음",""))))</f>
        <v/>
      </c>
      <c r="N2857" t="str">
        <f>IF($B2857="","",MATCH($B2857,'_calc'!$L$2:$L$3001,0))</f>
        <v/>
      </c>
    </row>
    <row r="2858">
      <c r="B2858" s="24" t="str">
        <f>IF(ROW()-ROW($B$8)&gt;nComp,"",ROW()-ROW($B$8))</f>
        <v/>
      </c>
      <c r="C2858" t="str">
        <f>IF($N2858="","",INDEX('_calc'!$A$2:$A$3001,$N2858))</f>
        <v/>
      </c>
      <c r="D2858" s="25" t="str">
        <f>IF($N2858="","",INDEX('_calc'!$C$2:$C$3001,$N2858))</f>
        <v/>
      </c>
      <c r="E2858" s="25" t="str">
        <f>IF($N2858="","",INDEX('_calc'!$D$2:$D$3001,$N2858))</f>
        <v/>
      </c>
      <c r="F2858" s="26" t="str">
        <f>IF($N2858="","",IF($E$8=0,"",E2858/$E$8))</f>
        <v/>
      </c>
      <c r="G2858" s="25" t="str">
        <f>IF($N2858="","",INDEX('_calc'!$E$2:$E$3001,$N2858))</f>
        <v/>
      </c>
      <c r="H2858" s="25" t="str">
        <f>IF($N2858="","",INDEX('_calc'!$F$2:$F$3001,$N2858))</f>
        <v/>
      </c>
      <c r="I2858" s="27" t="str">
        <f>IF($N2858="","",INDEX('_calc'!$H$2:$H$3001,$N2858))</f>
        <v/>
      </c>
      <c r="J2858" s="27" t="str">
        <f>IF($N2858="","",INDEX('_calc'!$I$2:$I$3001,$N2858))</f>
        <v/>
      </c>
      <c r="K2858" s="28" t="str">
        <f>IF($N2858="","",IF(OR(I2858="",J2858=""),"",J2858-I2858))</f>
        <v/>
      </c>
      <c r="L2858" s="29" t="str">
        <f>IF($N2858="","",INDEX('_calc'!$J$2:$J$3001,$N2858))</f>
        <v/>
      </c>
      <c r="M2858" s="2" t="str">
        <f>IF($N2858="","",IF(AND(G2858=0,H2858=0),"수량 없음",IF(G2858=0,"신규 (전년 수량 없음)",IF(H2858=0,"당해 수량 없음",""))))</f>
        <v/>
      </c>
      <c r="N2858" t="str">
        <f>IF($B2858="","",MATCH($B2858,'_calc'!$L$2:$L$3001,0))</f>
        <v/>
      </c>
    </row>
    <row r="2859">
      <c r="B2859" s="24" t="str">
        <f>IF(ROW()-ROW($B$8)&gt;nComp,"",ROW()-ROW($B$8))</f>
        <v/>
      </c>
      <c r="C2859" t="str">
        <f>IF($N2859="","",INDEX('_calc'!$A$2:$A$3001,$N2859))</f>
        <v/>
      </c>
      <c r="D2859" s="25" t="str">
        <f>IF($N2859="","",INDEX('_calc'!$C$2:$C$3001,$N2859))</f>
        <v/>
      </c>
      <c r="E2859" s="25" t="str">
        <f>IF($N2859="","",INDEX('_calc'!$D$2:$D$3001,$N2859))</f>
        <v/>
      </c>
      <c r="F2859" s="26" t="str">
        <f>IF($N2859="","",IF($E$8=0,"",E2859/$E$8))</f>
        <v/>
      </c>
      <c r="G2859" s="25" t="str">
        <f>IF($N2859="","",INDEX('_calc'!$E$2:$E$3001,$N2859))</f>
        <v/>
      </c>
      <c r="H2859" s="25" t="str">
        <f>IF($N2859="","",INDEX('_calc'!$F$2:$F$3001,$N2859))</f>
        <v/>
      </c>
      <c r="I2859" s="27" t="str">
        <f>IF($N2859="","",INDEX('_calc'!$H$2:$H$3001,$N2859))</f>
        <v/>
      </c>
      <c r="J2859" s="27" t="str">
        <f>IF($N2859="","",INDEX('_calc'!$I$2:$I$3001,$N2859))</f>
        <v/>
      </c>
      <c r="K2859" s="28" t="str">
        <f>IF($N2859="","",IF(OR(I2859="",J2859=""),"",J2859-I2859))</f>
        <v/>
      </c>
      <c r="L2859" s="29" t="str">
        <f>IF($N2859="","",INDEX('_calc'!$J$2:$J$3001,$N2859))</f>
        <v/>
      </c>
      <c r="M2859" s="2" t="str">
        <f>IF($N2859="","",IF(AND(G2859=0,H2859=0),"수량 없음",IF(G2859=0,"신규 (전년 수량 없음)",IF(H2859=0,"당해 수량 없음",""))))</f>
        <v/>
      </c>
      <c r="N2859" t="str">
        <f>IF($B2859="","",MATCH($B2859,'_calc'!$L$2:$L$3001,0))</f>
        <v/>
      </c>
    </row>
    <row r="2860">
      <c r="B2860" s="24" t="str">
        <f>IF(ROW()-ROW($B$8)&gt;nComp,"",ROW()-ROW($B$8))</f>
        <v/>
      </c>
      <c r="C2860" t="str">
        <f>IF($N2860="","",INDEX('_calc'!$A$2:$A$3001,$N2860))</f>
        <v/>
      </c>
      <c r="D2860" s="25" t="str">
        <f>IF($N2860="","",INDEX('_calc'!$C$2:$C$3001,$N2860))</f>
        <v/>
      </c>
      <c r="E2860" s="25" t="str">
        <f>IF($N2860="","",INDEX('_calc'!$D$2:$D$3001,$N2860))</f>
        <v/>
      </c>
      <c r="F2860" s="26" t="str">
        <f>IF($N2860="","",IF($E$8=0,"",E2860/$E$8))</f>
        <v/>
      </c>
      <c r="G2860" s="25" t="str">
        <f>IF($N2860="","",INDEX('_calc'!$E$2:$E$3001,$N2860))</f>
        <v/>
      </c>
      <c r="H2860" s="25" t="str">
        <f>IF($N2860="","",INDEX('_calc'!$F$2:$F$3001,$N2860))</f>
        <v/>
      </c>
      <c r="I2860" s="27" t="str">
        <f>IF($N2860="","",INDEX('_calc'!$H$2:$H$3001,$N2860))</f>
        <v/>
      </c>
      <c r="J2860" s="27" t="str">
        <f>IF($N2860="","",INDEX('_calc'!$I$2:$I$3001,$N2860))</f>
        <v/>
      </c>
      <c r="K2860" s="28" t="str">
        <f>IF($N2860="","",IF(OR(I2860="",J2860=""),"",J2860-I2860))</f>
        <v/>
      </c>
      <c r="L2860" s="29" t="str">
        <f>IF($N2860="","",INDEX('_calc'!$J$2:$J$3001,$N2860))</f>
        <v/>
      </c>
      <c r="M2860" s="2" t="str">
        <f>IF($N2860="","",IF(AND(G2860=0,H2860=0),"수량 없음",IF(G2860=0,"신규 (전년 수량 없음)",IF(H2860=0,"당해 수량 없음",""))))</f>
        <v/>
      </c>
      <c r="N2860" t="str">
        <f>IF($B2860="","",MATCH($B2860,'_calc'!$L$2:$L$3001,0))</f>
        <v/>
      </c>
    </row>
    <row r="2861">
      <c r="B2861" s="24" t="str">
        <f>IF(ROW()-ROW($B$8)&gt;nComp,"",ROW()-ROW($B$8))</f>
        <v/>
      </c>
      <c r="C2861" t="str">
        <f>IF($N2861="","",INDEX('_calc'!$A$2:$A$3001,$N2861))</f>
        <v/>
      </c>
      <c r="D2861" s="25" t="str">
        <f>IF($N2861="","",INDEX('_calc'!$C$2:$C$3001,$N2861))</f>
        <v/>
      </c>
      <c r="E2861" s="25" t="str">
        <f>IF($N2861="","",INDEX('_calc'!$D$2:$D$3001,$N2861))</f>
        <v/>
      </c>
      <c r="F2861" s="26" t="str">
        <f>IF($N2861="","",IF($E$8=0,"",E2861/$E$8))</f>
        <v/>
      </c>
      <c r="G2861" s="25" t="str">
        <f>IF($N2861="","",INDEX('_calc'!$E$2:$E$3001,$N2861))</f>
        <v/>
      </c>
      <c r="H2861" s="25" t="str">
        <f>IF($N2861="","",INDEX('_calc'!$F$2:$F$3001,$N2861))</f>
        <v/>
      </c>
      <c r="I2861" s="27" t="str">
        <f>IF($N2861="","",INDEX('_calc'!$H$2:$H$3001,$N2861))</f>
        <v/>
      </c>
      <c r="J2861" s="27" t="str">
        <f>IF($N2861="","",INDEX('_calc'!$I$2:$I$3001,$N2861))</f>
        <v/>
      </c>
      <c r="K2861" s="28" t="str">
        <f>IF($N2861="","",IF(OR(I2861="",J2861=""),"",J2861-I2861))</f>
        <v/>
      </c>
      <c r="L2861" s="29" t="str">
        <f>IF($N2861="","",INDEX('_calc'!$J$2:$J$3001,$N2861))</f>
        <v/>
      </c>
      <c r="M2861" s="2" t="str">
        <f>IF($N2861="","",IF(AND(G2861=0,H2861=0),"수량 없음",IF(G2861=0,"신규 (전년 수량 없음)",IF(H2861=0,"당해 수량 없음",""))))</f>
        <v/>
      </c>
      <c r="N2861" t="str">
        <f>IF($B2861="","",MATCH($B2861,'_calc'!$L$2:$L$3001,0))</f>
        <v/>
      </c>
    </row>
    <row r="2862">
      <c r="B2862" s="24" t="str">
        <f>IF(ROW()-ROW($B$8)&gt;nComp,"",ROW()-ROW($B$8))</f>
        <v/>
      </c>
      <c r="C2862" t="str">
        <f>IF($N2862="","",INDEX('_calc'!$A$2:$A$3001,$N2862))</f>
        <v/>
      </c>
      <c r="D2862" s="25" t="str">
        <f>IF($N2862="","",INDEX('_calc'!$C$2:$C$3001,$N2862))</f>
        <v/>
      </c>
      <c r="E2862" s="25" t="str">
        <f>IF($N2862="","",INDEX('_calc'!$D$2:$D$3001,$N2862))</f>
        <v/>
      </c>
      <c r="F2862" s="26" t="str">
        <f>IF($N2862="","",IF($E$8=0,"",E2862/$E$8))</f>
        <v/>
      </c>
      <c r="G2862" s="25" t="str">
        <f>IF($N2862="","",INDEX('_calc'!$E$2:$E$3001,$N2862))</f>
        <v/>
      </c>
      <c r="H2862" s="25" t="str">
        <f>IF($N2862="","",INDEX('_calc'!$F$2:$F$3001,$N2862))</f>
        <v/>
      </c>
      <c r="I2862" s="27" t="str">
        <f>IF($N2862="","",INDEX('_calc'!$H$2:$H$3001,$N2862))</f>
        <v/>
      </c>
      <c r="J2862" s="27" t="str">
        <f>IF($N2862="","",INDEX('_calc'!$I$2:$I$3001,$N2862))</f>
        <v/>
      </c>
      <c r="K2862" s="28" t="str">
        <f>IF($N2862="","",IF(OR(I2862="",J2862=""),"",J2862-I2862))</f>
        <v/>
      </c>
      <c r="L2862" s="29" t="str">
        <f>IF($N2862="","",INDEX('_calc'!$J$2:$J$3001,$N2862))</f>
        <v/>
      </c>
      <c r="M2862" s="2" t="str">
        <f>IF($N2862="","",IF(AND(G2862=0,H2862=0),"수량 없음",IF(G2862=0,"신규 (전년 수량 없음)",IF(H2862=0,"당해 수량 없음",""))))</f>
        <v/>
      </c>
      <c r="N2862" t="str">
        <f>IF($B2862="","",MATCH($B2862,'_calc'!$L$2:$L$3001,0))</f>
        <v/>
      </c>
    </row>
    <row r="2863">
      <c r="B2863" s="24" t="str">
        <f>IF(ROW()-ROW($B$8)&gt;nComp,"",ROW()-ROW($B$8))</f>
        <v/>
      </c>
      <c r="C2863" t="str">
        <f>IF($N2863="","",INDEX('_calc'!$A$2:$A$3001,$N2863))</f>
        <v/>
      </c>
      <c r="D2863" s="25" t="str">
        <f>IF($N2863="","",INDEX('_calc'!$C$2:$C$3001,$N2863))</f>
        <v/>
      </c>
      <c r="E2863" s="25" t="str">
        <f>IF($N2863="","",INDEX('_calc'!$D$2:$D$3001,$N2863))</f>
        <v/>
      </c>
      <c r="F2863" s="26" t="str">
        <f>IF($N2863="","",IF($E$8=0,"",E2863/$E$8))</f>
        <v/>
      </c>
      <c r="G2863" s="25" t="str">
        <f>IF($N2863="","",INDEX('_calc'!$E$2:$E$3001,$N2863))</f>
        <v/>
      </c>
      <c r="H2863" s="25" t="str">
        <f>IF($N2863="","",INDEX('_calc'!$F$2:$F$3001,$N2863))</f>
        <v/>
      </c>
      <c r="I2863" s="27" t="str">
        <f>IF($N2863="","",INDEX('_calc'!$H$2:$H$3001,$N2863))</f>
        <v/>
      </c>
      <c r="J2863" s="27" t="str">
        <f>IF($N2863="","",INDEX('_calc'!$I$2:$I$3001,$N2863))</f>
        <v/>
      </c>
      <c r="K2863" s="28" t="str">
        <f>IF($N2863="","",IF(OR(I2863="",J2863=""),"",J2863-I2863))</f>
        <v/>
      </c>
      <c r="L2863" s="29" t="str">
        <f>IF($N2863="","",INDEX('_calc'!$J$2:$J$3001,$N2863))</f>
        <v/>
      </c>
      <c r="M2863" s="2" t="str">
        <f>IF($N2863="","",IF(AND(G2863=0,H2863=0),"수량 없음",IF(G2863=0,"신규 (전년 수량 없음)",IF(H2863=0,"당해 수량 없음",""))))</f>
        <v/>
      </c>
      <c r="N2863" t="str">
        <f>IF($B2863="","",MATCH($B2863,'_calc'!$L$2:$L$3001,0))</f>
        <v/>
      </c>
    </row>
    <row r="2864">
      <c r="B2864" s="24" t="str">
        <f>IF(ROW()-ROW($B$8)&gt;nComp,"",ROW()-ROW($B$8))</f>
        <v/>
      </c>
      <c r="C2864" t="str">
        <f>IF($N2864="","",INDEX('_calc'!$A$2:$A$3001,$N2864))</f>
        <v/>
      </c>
      <c r="D2864" s="25" t="str">
        <f>IF($N2864="","",INDEX('_calc'!$C$2:$C$3001,$N2864))</f>
        <v/>
      </c>
      <c r="E2864" s="25" t="str">
        <f>IF($N2864="","",INDEX('_calc'!$D$2:$D$3001,$N2864))</f>
        <v/>
      </c>
      <c r="F2864" s="26" t="str">
        <f>IF($N2864="","",IF($E$8=0,"",E2864/$E$8))</f>
        <v/>
      </c>
      <c r="G2864" s="25" t="str">
        <f>IF($N2864="","",INDEX('_calc'!$E$2:$E$3001,$N2864))</f>
        <v/>
      </c>
      <c r="H2864" s="25" t="str">
        <f>IF($N2864="","",INDEX('_calc'!$F$2:$F$3001,$N2864))</f>
        <v/>
      </c>
      <c r="I2864" s="27" t="str">
        <f>IF($N2864="","",INDEX('_calc'!$H$2:$H$3001,$N2864))</f>
        <v/>
      </c>
      <c r="J2864" s="27" t="str">
        <f>IF($N2864="","",INDEX('_calc'!$I$2:$I$3001,$N2864))</f>
        <v/>
      </c>
      <c r="K2864" s="28" t="str">
        <f>IF($N2864="","",IF(OR(I2864="",J2864=""),"",J2864-I2864))</f>
        <v/>
      </c>
      <c r="L2864" s="29" t="str">
        <f>IF($N2864="","",INDEX('_calc'!$J$2:$J$3001,$N2864))</f>
        <v/>
      </c>
      <c r="M2864" s="2" t="str">
        <f>IF($N2864="","",IF(AND(G2864=0,H2864=0),"수량 없음",IF(G2864=0,"신규 (전년 수량 없음)",IF(H2864=0,"당해 수량 없음",""))))</f>
        <v/>
      </c>
      <c r="N2864" t="str">
        <f>IF($B2864="","",MATCH($B2864,'_calc'!$L$2:$L$3001,0))</f>
        <v/>
      </c>
    </row>
    <row r="2865">
      <c r="B2865" s="24" t="str">
        <f>IF(ROW()-ROW($B$8)&gt;nComp,"",ROW()-ROW($B$8))</f>
        <v/>
      </c>
      <c r="C2865" t="str">
        <f>IF($N2865="","",INDEX('_calc'!$A$2:$A$3001,$N2865))</f>
        <v/>
      </c>
      <c r="D2865" s="25" t="str">
        <f>IF($N2865="","",INDEX('_calc'!$C$2:$C$3001,$N2865))</f>
        <v/>
      </c>
      <c r="E2865" s="25" t="str">
        <f>IF($N2865="","",INDEX('_calc'!$D$2:$D$3001,$N2865))</f>
        <v/>
      </c>
      <c r="F2865" s="26" t="str">
        <f>IF($N2865="","",IF($E$8=0,"",E2865/$E$8))</f>
        <v/>
      </c>
      <c r="G2865" s="25" t="str">
        <f>IF($N2865="","",INDEX('_calc'!$E$2:$E$3001,$N2865))</f>
        <v/>
      </c>
      <c r="H2865" s="25" t="str">
        <f>IF($N2865="","",INDEX('_calc'!$F$2:$F$3001,$N2865))</f>
        <v/>
      </c>
      <c r="I2865" s="27" t="str">
        <f>IF($N2865="","",INDEX('_calc'!$H$2:$H$3001,$N2865))</f>
        <v/>
      </c>
      <c r="J2865" s="27" t="str">
        <f>IF($N2865="","",INDEX('_calc'!$I$2:$I$3001,$N2865))</f>
        <v/>
      </c>
      <c r="K2865" s="28" t="str">
        <f>IF($N2865="","",IF(OR(I2865="",J2865=""),"",J2865-I2865))</f>
        <v/>
      </c>
      <c r="L2865" s="29" t="str">
        <f>IF($N2865="","",INDEX('_calc'!$J$2:$J$3001,$N2865))</f>
        <v/>
      </c>
      <c r="M2865" s="2" t="str">
        <f>IF($N2865="","",IF(AND(G2865=0,H2865=0),"수량 없음",IF(G2865=0,"신규 (전년 수량 없음)",IF(H2865=0,"당해 수량 없음",""))))</f>
        <v/>
      </c>
      <c r="N2865" t="str">
        <f>IF($B2865="","",MATCH($B2865,'_calc'!$L$2:$L$3001,0))</f>
        <v/>
      </c>
    </row>
    <row r="2866">
      <c r="B2866" s="24" t="str">
        <f>IF(ROW()-ROW($B$8)&gt;nComp,"",ROW()-ROW($B$8))</f>
        <v/>
      </c>
      <c r="C2866" t="str">
        <f>IF($N2866="","",INDEX('_calc'!$A$2:$A$3001,$N2866))</f>
        <v/>
      </c>
      <c r="D2866" s="25" t="str">
        <f>IF($N2866="","",INDEX('_calc'!$C$2:$C$3001,$N2866))</f>
        <v/>
      </c>
      <c r="E2866" s="25" t="str">
        <f>IF($N2866="","",INDEX('_calc'!$D$2:$D$3001,$N2866))</f>
        <v/>
      </c>
      <c r="F2866" s="26" t="str">
        <f>IF($N2866="","",IF($E$8=0,"",E2866/$E$8))</f>
        <v/>
      </c>
      <c r="G2866" s="25" t="str">
        <f>IF($N2866="","",INDEX('_calc'!$E$2:$E$3001,$N2866))</f>
        <v/>
      </c>
      <c r="H2866" s="25" t="str">
        <f>IF($N2866="","",INDEX('_calc'!$F$2:$F$3001,$N2866))</f>
        <v/>
      </c>
      <c r="I2866" s="27" t="str">
        <f>IF($N2866="","",INDEX('_calc'!$H$2:$H$3001,$N2866))</f>
        <v/>
      </c>
      <c r="J2866" s="27" t="str">
        <f>IF($N2866="","",INDEX('_calc'!$I$2:$I$3001,$N2866))</f>
        <v/>
      </c>
      <c r="K2866" s="28" t="str">
        <f>IF($N2866="","",IF(OR(I2866="",J2866=""),"",J2866-I2866))</f>
        <v/>
      </c>
      <c r="L2866" s="29" t="str">
        <f>IF($N2866="","",INDEX('_calc'!$J$2:$J$3001,$N2866))</f>
        <v/>
      </c>
      <c r="M2866" s="2" t="str">
        <f>IF($N2866="","",IF(AND(G2866=0,H2866=0),"수량 없음",IF(G2866=0,"신규 (전년 수량 없음)",IF(H2866=0,"당해 수량 없음",""))))</f>
        <v/>
      </c>
      <c r="N2866" t="str">
        <f>IF($B2866="","",MATCH($B2866,'_calc'!$L$2:$L$3001,0))</f>
        <v/>
      </c>
    </row>
    <row r="2867">
      <c r="B2867" s="24" t="str">
        <f>IF(ROW()-ROW($B$8)&gt;nComp,"",ROW()-ROW($B$8))</f>
        <v/>
      </c>
      <c r="C2867" t="str">
        <f>IF($N2867="","",INDEX('_calc'!$A$2:$A$3001,$N2867))</f>
        <v/>
      </c>
      <c r="D2867" s="25" t="str">
        <f>IF($N2867="","",INDEX('_calc'!$C$2:$C$3001,$N2867))</f>
        <v/>
      </c>
      <c r="E2867" s="25" t="str">
        <f>IF($N2867="","",INDEX('_calc'!$D$2:$D$3001,$N2867))</f>
        <v/>
      </c>
      <c r="F2867" s="26" t="str">
        <f>IF($N2867="","",IF($E$8=0,"",E2867/$E$8))</f>
        <v/>
      </c>
      <c r="G2867" s="25" t="str">
        <f>IF($N2867="","",INDEX('_calc'!$E$2:$E$3001,$N2867))</f>
        <v/>
      </c>
      <c r="H2867" s="25" t="str">
        <f>IF($N2867="","",INDEX('_calc'!$F$2:$F$3001,$N2867))</f>
        <v/>
      </c>
      <c r="I2867" s="27" t="str">
        <f>IF($N2867="","",INDEX('_calc'!$H$2:$H$3001,$N2867))</f>
        <v/>
      </c>
      <c r="J2867" s="27" t="str">
        <f>IF($N2867="","",INDEX('_calc'!$I$2:$I$3001,$N2867))</f>
        <v/>
      </c>
      <c r="K2867" s="28" t="str">
        <f>IF($N2867="","",IF(OR(I2867="",J2867=""),"",J2867-I2867))</f>
        <v/>
      </c>
      <c r="L2867" s="29" t="str">
        <f>IF($N2867="","",INDEX('_calc'!$J$2:$J$3001,$N2867))</f>
        <v/>
      </c>
      <c r="M2867" s="2" t="str">
        <f>IF($N2867="","",IF(AND(G2867=0,H2867=0),"수량 없음",IF(G2867=0,"신규 (전년 수량 없음)",IF(H2867=0,"당해 수량 없음",""))))</f>
        <v/>
      </c>
      <c r="N2867" t="str">
        <f>IF($B2867="","",MATCH($B2867,'_calc'!$L$2:$L$3001,0))</f>
        <v/>
      </c>
    </row>
    <row r="2868">
      <c r="B2868" s="24" t="str">
        <f>IF(ROW()-ROW($B$8)&gt;nComp,"",ROW()-ROW($B$8))</f>
        <v/>
      </c>
      <c r="C2868" t="str">
        <f>IF($N2868="","",INDEX('_calc'!$A$2:$A$3001,$N2868))</f>
        <v/>
      </c>
      <c r="D2868" s="25" t="str">
        <f>IF($N2868="","",INDEX('_calc'!$C$2:$C$3001,$N2868))</f>
        <v/>
      </c>
      <c r="E2868" s="25" t="str">
        <f>IF($N2868="","",INDEX('_calc'!$D$2:$D$3001,$N2868))</f>
        <v/>
      </c>
      <c r="F2868" s="26" t="str">
        <f>IF($N2868="","",IF($E$8=0,"",E2868/$E$8))</f>
        <v/>
      </c>
      <c r="G2868" s="25" t="str">
        <f>IF($N2868="","",INDEX('_calc'!$E$2:$E$3001,$N2868))</f>
        <v/>
      </c>
      <c r="H2868" s="25" t="str">
        <f>IF($N2868="","",INDEX('_calc'!$F$2:$F$3001,$N2868))</f>
        <v/>
      </c>
      <c r="I2868" s="27" t="str">
        <f>IF($N2868="","",INDEX('_calc'!$H$2:$H$3001,$N2868))</f>
        <v/>
      </c>
      <c r="J2868" s="27" t="str">
        <f>IF($N2868="","",INDEX('_calc'!$I$2:$I$3001,$N2868))</f>
        <v/>
      </c>
      <c r="K2868" s="28" t="str">
        <f>IF($N2868="","",IF(OR(I2868="",J2868=""),"",J2868-I2868))</f>
        <v/>
      </c>
      <c r="L2868" s="29" t="str">
        <f>IF($N2868="","",INDEX('_calc'!$J$2:$J$3001,$N2868))</f>
        <v/>
      </c>
      <c r="M2868" s="2" t="str">
        <f>IF($N2868="","",IF(AND(G2868=0,H2868=0),"수량 없음",IF(G2868=0,"신규 (전년 수량 없음)",IF(H2868=0,"당해 수량 없음",""))))</f>
        <v/>
      </c>
      <c r="N2868" t="str">
        <f>IF($B2868="","",MATCH($B2868,'_calc'!$L$2:$L$3001,0))</f>
        <v/>
      </c>
    </row>
    <row r="2869">
      <c r="B2869" s="24" t="str">
        <f>IF(ROW()-ROW($B$8)&gt;nComp,"",ROW()-ROW($B$8))</f>
        <v/>
      </c>
      <c r="C2869" t="str">
        <f>IF($N2869="","",INDEX('_calc'!$A$2:$A$3001,$N2869))</f>
        <v/>
      </c>
      <c r="D2869" s="25" t="str">
        <f>IF($N2869="","",INDEX('_calc'!$C$2:$C$3001,$N2869))</f>
        <v/>
      </c>
      <c r="E2869" s="25" t="str">
        <f>IF($N2869="","",INDEX('_calc'!$D$2:$D$3001,$N2869))</f>
        <v/>
      </c>
      <c r="F2869" s="26" t="str">
        <f>IF($N2869="","",IF($E$8=0,"",E2869/$E$8))</f>
        <v/>
      </c>
      <c r="G2869" s="25" t="str">
        <f>IF($N2869="","",INDEX('_calc'!$E$2:$E$3001,$N2869))</f>
        <v/>
      </c>
      <c r="H2869" s="25" t="str">
        <f>IF($N2869="","",INDEX('_calc'!$F$2:$F$3001,$N2869))</f>
        <v/>
      </c>
      <c r="I2869" s="27" t="str">
        <f>IF($N2869="","",INDEX('_calc'!$H$2:$H$3001,$N2869))</f>
        <v/>
      </c>
      <c r="J2869" s="27" t="str">
        <f>IF($N2869="","",INDEX('_calc'!$I$2:$I$3001,$N2869))</f>
        <v/>
      </c>
      <c r="K2869" s="28" t="str">
        <f>IF($N2869="","",IF(OR(I2869="",J2869=""),"",J2869-I2869))</f>
        <v/>
      </c>
      <c r="L2869" s="29" t="str">
        <f>IF($N2869="","",INDEX('_calc'!$J$2:$J$3001,$N2869))</f>
        <v/>
      </c>
      <c r="M2869" s="2" t="str">
        <f>IF($N2869="","",IF(AND(G2869=0,H2869=0),"수량 없음",IF(G2869=0,"신규 (전년 수량 없음)",IF(H2869=0,"당해 수량 없음",""))))</f>
        <v/>
      </c>
      <c r="N2869" t="str">
        <f>IF($B2869="","",MATCH($B2869,'_calc'!$L$2:$L$3001,0))</f>
        <v/>
      </c>
    </row>
    <row r="2870">
      <c r="B2870" s="24" t="str">
        <f>IF(ROW()-ROW($B$8)&gt;nComp,"",ROW()-ROW($B$8))</f>
        <v/>
      </c>
      <c r="C2870" t="str">
        <f>IF($N2870="","",INDEX('_calc'!$A$2:$A$3001,$N2870))</f>
        <v/>
      </c>
      <c r="D2870" s="25" t="str">
        <f>IF($N2870="","",INDEX('_calc'!$C$2:$C$3001,$N2870))</f>
        <v/>
      </c>
      <c r="E2870" s="25" t="str">
        <f>IF($N2870="","",INDEX('_calc'!$D$2:$D$3001,$N2870))</f>
        <v/>
      </c>
      <c r="F2870" s="26" t="str">
        <f>IF($N2870="","",IF($E$8=0,"",E2870/$E$8))</f>
        <v/>
      </c>
      <c r="G2870" s="25" t="str">
        <f>IF($N2870="","",INDEX('_calc'!$E$2:$E$3001,$N2870))</f>
        <v/>
      </c>
      <c r="H2870" s="25" t="str">
        <f>IF($N2870="","",INDEX('_calc'!$F$2:$F$3001,$N2870))</f>
        <v/>
      </c>
      <c r="I2870" s="27" t="str">
        <f>IF($N2870="","",INDEX('_calc'!$H$2:$H$3001,$N2870))</f>
        <v/>
      </c>
      <c r="J2870" s="27" t="str">
        <f>IF($N2870="","",INDEX('_calc'!$I$2:$I$3001,$N2870))</f>
        <v/>
      </c>
      <c r="K2870" s="28" t="str">
        <f>IF($N2870="","",IF(OR(I2870="",J2870=""),"",J2870-I2870))</f>
        <v/>
      </c>
      <c r="L2870" s="29" t="str">
        <f>IF($N2870="","",INDEX('_calc'!$J$2:$J$3001,$N2870))</f>
        <v/>
      </c>
      <c r="M2870" s="2" t="str">
        <f>IF($N2870="","",IF(AND(G2870=0,H2870=0),"수량 없음",IF(G2870=0,"신규 (전년 수량 없음)",IF(H2870=0,"당해 수량 없음",""))))</f>
        <v/>
      </c>
      <c r="N2870" t="str">
        <f>IF($B2870="","",MATCH($B2870,'_calc'!$L$2:$L$3001,0))</f>
        <v/>
      </c>
    </row>
    <row r="2871">
      <c r="B2871" s="24" t="str">
        <f>IF(ROW()-ROW($B$8)&gt;nComp,"",ROW()-ROW($B$8))</f>
        <v/>
      </c>
      <c r="C2871" t="str">
        <f>IF($N2871="","",INDEX('_calc'!$A$2:$A$3001,$N2871))</f>
        <v/>
      </c>
      <c r="D2871" s="25" t="str">
        <f>IF($N2871="","",INDEX('_calc'!$C$2:$C$3001,$N2871))</f>
        <v/>
      </c>
      <c r="E2871" s="25" t="str">
        <f>IF($N2871="","",INDEX('_calc'!$D$2:$D$3001,$N2871))</f>
        <v/>
      </c>
      <c r="F2871" s="26" t="str">
        <f>IF($N2871="","",IF($E$8=0,"",E2871/$E$8))</f>
        <v/>
      </c>
      <c r="G2871" s="25" t="str">
        <f>IF($N2871="","",INDEX('_calc'!$E$2:$E$3001,$N2871))</f>
        <v/>
      </c>
      <c r="H2871" s="25" t="str">
        <f>IF($N2871="","",INDEX('_calc'!$F$2:$F$3001,$N2871))</f>
        <v/>
      </c>
      <c r="I2871" s="27" t="str">
        <f>IF($N2871="","",INDEX('_calc'!$H$2:$H$3001,$N2871))</f>
        <v/>
      </c>
      <c r="J2871" s="27" t="str">
        <f>IF($N2871="","",INDEX('_calc'!$I$2:$I$3001,$N2871))</f>
        <v/>
      </c>
      <c r="K2871" s="28" t="str">
        <f>IF($N2871="","",IF(OR(I2871="",J2871=""),"",J2871-I2871))</f>
        <v/>
      </c>
      <c r="L2871" s="29" t="str">
        <f>IF($N2871="","",INDEX('_calc'!$J$2:$J$3001,$N2871))</f>
        <v/>
      </c>
      <c r="M2871" s="2" t="str">
        <f>IF($N2871="","",IF(AND(G2871=0,H2871=0),"수량 없음",IF(G2871=0,"신규 (전년 수량 없음)",IF(H2871=0,"당해 수량 없음",""))))</f>
        <v/>
      </c>
      <c r="N2871" t="str">
        <f>IF($B2871="","",MATCH($B2871,'_calc'!$L$2:$L$3001,0))</f>
        <v/>
      </c>
    </row>
    <row r="2872">
      <c r="B2872" s="24" t="str">
        <f>IF(ROW()-ROW($B$8)&gt;nComp,"",ROW()-ROW($B$8))</f>
        <v/>
      </c>
      <c r="C2872" t="str">
        <f>IF($N2872="","",INDEX('_calc'!$A$2:$A$3001,$N2872))</f>
        <v/>
      </c>
      <c r="D2872" s="25" t="str">
        <f>IF($N2872="","",INDEX('_calc'!$C$2:$C$3001,$N2872))</f>
        <v/>
      </c>
      <c r="E2872" s="25" t="str">
        <f>IF($N2872="","",INDEX('_calc'!$D$2:$D$3001,$N2872))</f>
        <v/>
      </c>
      <c r="F2872" s="26" t="str">
        <f>IF($N2872="","",IF($E$8=0,"",E2872/$E$8))</f>
        <v/>
      </c>
      <c r="G2872" s="25" t="str">
        <f>IF($N2872="","",INDEX('_calc'!$E$2:$E$3001,$N2872))</f>
        <v/>
      </c>
      <c r="H2872" s="25" t="str">
        <f>IF($N2872="","",INDEX('_calc'!$F$2:$F$3001,$N2872))</f>
        <v/>
      </c>
      <c r="I2872" s="27" t="str">
        <f>IF($N2872="","",INDEX('_calc'!$H$2:$H$3001,$N2872))</f>
        <v/>
      </c>
      <c r="J2872" s="27" t="str">
        <f>IF($N2872="","",INDEX('_calc'!$I$2:$I$3001,$N2872))</f>
        <v/>
      </c>
      <c r="K2872" s="28" t="str">
        <f>IF($N2872="","",IF(OR(I2872="",J2872=""),"",J2872-I2872))</f>
        <v/>
      </c>
      <c r="L2872" s="29" t="str">
        <f>IF($N2872="","",INDEX('_calc'!$J$2:$J$3001,$N2872))</f>
        <v/>
      </c>
      <c r="M2872" s="2" t="str">
        <f>IF($N2872="","",IF(AND(G2872=0,H2872=0),"수량 없음",IF(G2872=0,"신규 (전년 수량 없음)",IF(H2872=0,"당해 수량 없음",""))))</f>
        <v/>
      </c>
      <c r="N2872" t="str">
        <f>IF($B2872="","",MATCH($B2872,'_calc'!$L$2:$L$3001,0))</f>
        <v/>
      </c>
    </row>
    <row r="2873">
      <c r="B2873" s="24" t="str">
        <f>IF(ROW()-ROW($B$8)&gt;nComp,"",ROW()-ROW($B$8))</f>
        <v/>
      </c>
      <c r="C2873" t="str">
        <f>IF($N2873="","",INDEX('_calc'!$A$2:$A$3001,$N2873))</f>
        <v/>
      </c>
      <c r="D2873" s="25" t="str">
        <f>IF($N2873="","",INDEX('_calc'!$C$2:$C$3001,$N2873))</f>
        <v/>
      </c>
      <c r="E2873" s="25" t="str">
        <f>IF($N2873="","",INDEX('_calc'!$D$2:$D$3001,$N2873))</f>
        <v/>
      </c>
      <c r="F2873" s="26" t="str">
        <f>IF($N2873="","",IF($E$8=0,"",E2873/$E$8))</f>
        <v/>
      </c>
      <c r="G2873" s="25" t="str">
        <f>IF($N2873="","",INDEX('_calc'!$E$2:$E$3001,$N2873))</f>
        <v/>
      </c>
      <c r="H2873" s="25" t="str">
        <f>IF($N2873="","",INDEX('_calc'!$F$2:$F$3001,$N2873))</f>
        <v/>
      </c>
      <c r="I2873" s="27" t="str">
        <f>IF($N2873="","",INDEX('_calc'!$H$2:$H$3001,$N2873))</f>
        <v/>
      </c>
      <c r="J2873" s="27" t="str">
        <f>IF($N2873="","",INDEX('_calc'!$I$2:$I$3001,$N2873))</f>
        <v/>
      </c>
      <c r="K2873" s="28" t="str">
        <f>IF($N2873="","",IF(OR(I2873="",J2873=""),"",J2873-I2873))</f>
        <v/>
      </c>
      <c r="L2873" s="29" t="str">
        <f>IF($N2873="","",INDEX('_calc'!$J$2:$J$3001,$N2873))</f>
        <v/>
      </c>
      <c r="M2873" s="2" t="str">
        <f>IF($N2873="","",IF(AND(G2873=0,H2873=0),"수량 없음",IF(G2873=0,"신규 (전년 수량 없음)",IF(H2873=0,"당해 수량 없음",""))))</f>
        <v/>
      </c>
      <c r="N2873" t="str">
        <f>IF($B2873="","",MATCH($B2873,'_calc'!$L$2:$L$3001,0))</f>
        <v/>
      </c>
    </row>
    <row r="2874">
      <c r="B2874" s="24" t="str">
        <f>IF(ROW()-ROW($B$8)&gt;nComp,"",ROW()-ROW($B$8))</f>
        <v/>
      </c>
      <c r="C2874" t="str">
        <f>IF($N2874="","",INDEX('_calc'!$A$2:$A$3001,$N2874))</f>
        <v/>
      </c>
      <c r="D2874" s="25" t="str">
        <f>IF($N2874="","",INDEX('_calc'!$C$2:$C$3001,$N2874))</f>
        <v/>
      </c>
      <c r="E2874" s="25" t="str">
        <f>IF($N2874="","",INDEX('_calc'!$D$2:$D$3001,$N2874))</f>
        <v/>
      </c>
      <c r="F2874" s="26" t="str">
        <f>IF($N2874="","",IF($E$8=0,"",E2874/$E$8))</f>
        <v/>
      </c>
      <c r="G2874" s="25" t="str">
        <f>IF($N2874="","",INDEX('_calc'!$E$2:$E$3001,$N2874))</f>
        <v/>
      </c>
      <c r="H2874" s="25" t="str">
        <f>IF($N2874="","",INDEX('_calc'!$F$2:$F$3001,$N2874))</f>
        <v/>
      </c>
      <c r="I2874" s="27" t="str">
        <f>IF($N2874="","",INDEX('_calc'!$H$2:$H$3001,$N2874))</f>
        <v/>
      </c>
      <c r="J2874" s="27" t="str">
        <f>IF($N2874="","",INDEX('_calc'!$I$2:$I$3001,$N2874))</f>
        <v/>
      </c>
      <c r="K2874" s="28" t="str">
        <f>IF($N2874="","",IF(OR(I2874="",J2874=""),"",J2874-I2874))</f>
        <v/>
      </c>
      <c r="L2874" s="29" t="str">
        <f>IF($N2874="","",INDEX('_calc'!$J$2:$J$3001,$N2874))</f>
        <v/>
      </c>
      <c r="M2874" s="2" t="str">
        <f>IF($N2874="","",IF(AND(G2874=0,H2874=0),"수량 없음",IF(G2874=0,"신규 (전년 수량 없음)",IF(H2874=0,"당해 수량 없음",""))))</f>
        <v/>
      </c>
      <c r="N2874" t="str">
        <f>IF($B2874="","",MATCH($B2874,'_calc'!$L$2:$L$3001,0))</f>
        <v/>
      </c>
    </row>
    <row r="2875">
      <c r="B2875" s="24" t="str">
        <f>IF(ROW()-ROW($B$8)&gt;nComp,"",ROW()-ROW($B$8))</f>
        <v/>
      </c>
      <c r="C2875" t="str">
        <f>IF($N2875="","",INDEX('_calc'!$A$2:$A$3001,$N2875))</f>
        <v/>
      </c>
      <c r="D2875" s="25" t="str">
        <f>IF($N2875="","",INDEX('_calc'!$C$2:$C$3001,$N2875))</f>
        <v/>
      </c>
      <c r="E2875" s="25" t="str">
        <f>IF($N2875="","",INDEX('_calc'!$D$2:$D$3001,$N2875))</f>
        <v/>
      </c>
      <c r="F2875" s="26" t="str">
        <f>IF($N2875="","",IF($E$8=0,"",E2875/$E$8))</f>
        <v/>
      </c>
      <c r="G2875" s="25" t="str">
        <f>IF($N2875="","",INDEX('_calc'!$E$2:$E$3001,$N2875))</f>
        <v/>
      </c>
      <c r="H2875" s="25" t="str">
        <f>IF($N2875="","",INDEX('_calc'!$F$2:$F$3001,$N2875))</f>
        <v/>
      </c>
      <c r="I2875" s="27" t="str">
        <f>IF($N2875="","",INDEX('_calc'!$H$2:$H$3001,$N2875))</f>
        <v/>
      </c>
      <c r="J2875" s="27" t="str">
        <f>IF($N2875="","",INDEX('_calc'!$I$2:$I$3001,$N2875))</f>
        <v/>
      </c>
      <c r="K2875" s="28" t="str">
        <f>IF($N2875="","",IF(OR(I2875="",J2875=""),"",J2875-I2875))</f>
        <v/>
      </c>
      <c r="L2875" s="29" t="str">
        <f>IF($N2875="","",INDEX('_calc'!$J$2:$J$3001,$N2875))</f>
        <v/>
      </c>
      <c r="M2875" s="2" t="str">
        <f>IF($N2875="","",IF(AND(G2875=0,H2875=0),"수량 없음",IF(G2875=0,"신규 (전년 수량 없음)",IF(H2875=0,"당해 수량 없음",""))))</f>
        <v/>
      </c>
      <c r="N2875" t="str">
        <f>IF($B2875="","",MATCH($B2875,'_calc'!$L$2:$L$3001,0))</f>
        <v/>
      </c>
    </row>
    <row r="2876">
      <c r="B2876" s="24" t="str">
        <f>IF(ROW()-ROW($B$8)&gt;nComp,"",ROW()-ROW($B$8))</f>
        <v/>
      </c>
      <c r="C2876" t="str">
        <f>IF($N2876="","",INDEX('_calc'!$A$2:$A$3001,$N2876))</f>
        <v/>
      </c>
      <c r="D2876" s="25" t="str">
        <f>IF($N2876="","",INDEX('_calc'!$C$2:$C$3001,$N2876))</f>
        <v/>
      </c>
      <c r="E2876" s="25" t="str">
        <f>IF($N2876="","",INDEX('_calc'!$D$2:$D$3001,$N2876))</f>
        <v/>
      </c>
      <c r="F2876" s="26" t="str">
        <f>IF($N2876="","",IF($E$8=0,"",E2876/$E$8))</f>
        <v/>
      </c>
      <c r="G2876" s="25" t="str">
        <f>IF($N2876="","",INDEX('_calc'!$E$2:$E$3001,$N2876))</f>
        <v/>
      </c>
      <c r="H2876" s="25" t="str">
        <f>IF($N2876="","",INDEX('_calc'!$F$2:$F$3001,$N2876))</f>
        <v/>
      </c>
      <c r="I2876" s="27" t="str">
        <f>IF($N2876="","",INDEX('_calc'!$H$2:$H$3001,$N2876))</f>
        <v/>
      </c>
      <c r="J2876" s="27" t="str">
        <f>IF($N2876="","",INDEX('_calc'!$I$2:$I$3001,$N2876))</f>
        <v/>
      </c>
      <c r="K2876" s="28" t="str">
        <f>IF($N2876="","",IF(OR(I2876="",J2876=""),"",J2876-I2876))</f>
        <v/>
      </c>
      <c r="L2876" s="29" t="str">
        <f>IF($N2876="","",INDEX('_calc'!$J$2:$J$3001,$N2876))</f>
        <v/>
      </c>
      <c r="M2876" s="2" t="str">
        <f>IF($N2876="","",IF(AND(G2876=0,H2876=0),"수량 없음",IF(G2876=0,"신규 (전년 수량 없음)",IF(H2876=0,"당해 수량 없음",""))))</f>
        <v/>
      </c>
      <c r="N2876" t="str">
        <f>IF($B2876="","",MATCH($B2876,'_calc'!$L$2:$L$3001,0))</f>
        <v/>
      </c>
    </row>
    <row r="2877">
      <c r="B2877" s="24" t="str">
        <f>IF(ROW()-ROW($B$8)&gt;nComp,"",ROW()-ROW($B$8))</f>
        <v/>
      </c>
      <c r="C2877" t="str">
        <f>IF($N2877="","",INDEX('_calc'!$A$2:$A$3001,$N2877))</f>
        <v/>
      </c>
      <c r="D2877" s="25" t="str">
        <f>IF($N2877="","",INDEX('_calc'!$C$2:$C$3001,$N2877))</f>
        <v/>
      </c>
      <c r="E2877" s="25" t="str">
        <f>IF($N2877="","",INDEX('_calc'!$D$2:$D$3001,$N2877))</f>
        <v/>
      </c>
      <c r="F2877" s="26" t="str">
        <f>IF($N2877="","",IF($E$8=0,"",E2877/$E$8))</f>
        <v/>
      </c>
      <c r="G2877" s="25" t="str">
        <f>IF($N2877="","",INDEX('_calc'!$E$2:$E$3001,$N2877))</f>
        <v/>
      </c>
      <c r="H2877" s="25" t="str">
        <f>IF($N2877="","",INDEX('_calc'!$F$2:$F$3001,$N2877))</f>
        <v/>
      </c>
      <c r="I2877" s="27" t="str">
        <f>IF($N2877="","",INDEX('_calc'!$H$2:$H$3001,$N2877))</f>
        <v/>
      </c>
      <c r="J2877" s="27" t="str">
        <f>IF($N2877="","",INDEX('_calc'!$I$2:$I$3001,$N2877))</f>
        <v/>
      </c>
      <c r="K2877" s="28" t="str">
        <f>IF($N2877="","",IF(OR(I2877="",J2877=""),"",J2877-I2877))</f>
        <v/>
      </c>
      <c r="L2877" s="29" t="str">
        <f>IF($N2877="","",INDEX('_calc'!$J$2:$J$3001,$N2877))</f>
        <v/>
      </c>
      <c r="M2877" s="2" t="str">
        <f>IF($N2877="","",IF(AND(G2877=0,H2877=0),"수량 없음",IF(G2877=0,"신규 (전년 수량 없음)",IF(H2877=0,"당해 수량 없음",""))))</f>
        <v/>
      </c>
      <c r="N2877" t="str">
        <f>IF($B2877="","",MATCH($B2877,'_calc'!$L$2:$L$3001,0))</f>
        <v/>
      </c>
    </row>
    <row r="2878">
      <c r="B2878" s="24" t="str">
        <f>IF(ROW()-ROW($B$8)&gt;nComp,"",ROW()-ROW($B$8))</f>
        <v/>
      </c>
      <c r="C2878" t="str">
        <f>IF($N2878="","",INDEX('_calc'!$A$2:$A$3001,$N2878))</f>
        <v/>
      </c>
      <c r="D2878" s="25" t="str">
        <f>IF($N2878="","",INDEX('_calc'!$C$2:$C$3001,$N2878))</f>
        <v/>
      </c>
      <c r="E2878" s="25" t="str">
        <f>IF($N2878="","",INDEX('_calc'!$D$2:$D$3001,$N2878))</f>
        <v/>
      </c>
      <c r="F2878" s="26" t="str">
        <f>IF($N2878="","",IF($E$8=0,"",E2878/$E$8))</f>
        <v/>
      </c>
      <c r="G2878" s="25" t="str">
        <f>IF($N2878="","",INDEX('_calc'!$E$2:$E$3001,$N2878))</f>
        <v/>
      </c>
      <c r="H2878" s="25" t="str">
        <f>IF($N2878="","",INDEX('_calc'!$F$2:$F$3001,$N2878))</f>
        <v/>
      </c>
      <c r="I2878" s="27" t="str">
        <f>IF($N2878="","",INDEX('_calc'!$H$2:$H$3001,$N2878))</f>
        <v/>
      </c>
      <c r="J2878" s="27" t="str">
        <f>IF($N2878="","",INDEX('_calc'!$I$2:$I$3001,$N2878))</f>
        <v/>
      </c>
      <c r="K2878" s="28" t="str">
        <f>IF($N2878="","",IF(OR(I2878="",J2878=""),"",J2878-I2878))</f>
        <v/>
      </c>
      <c r="L2878" s="29" t="str">
        <f>IF($N2878="","",INDEX('_calc'!$J$2:$J$3001,$N2878))</f>
        <v/>
      </c>
      <c r="M2878" s="2" t="str">
        <f>IF($N2878="","",IF(AND(G2878=0,H2878=0),"수량 없음",IF(G2878=0,"신규 (전년 수량 없음)",IF(H2878=0,"당해 수량 없음",""))))</f>
        <v/>
      </c>
      <c r="N2878" t="str">
        <f>IF($B2878="","",MATCH($B2878,'_calc'!$L$2:$L$3001,0))</f>
        <v/>
      </c>
    </row>
    <row r="2879">
      <c r="B2879" s="24" t="str">
        <f>IF(ROW()-ROW($B$8)&gt;nComp,"",ROW()-ROW($B$8))</f>
        <v/>
      </c>
      <c r="C2879" t="str">
        <f>IF($N2879="","",INDEX('_calc'!$A$2:$A$3001,$N2879))</f>
        <v/>
      </c>
      <c r="D2879" s="25" t="str">
        <f>IF($N2879="","",INDEX('_calc'!$C$2:$C$3001,$N2879))</f>
        <v/>
      </c>
      <c r="E2879" s="25" t="str">
        <f>IF($N2879="","",INDEX('_calc'!$D$2:$D$3001,$N2879))</f>
        <v/>
      </c>
      <c r="F2879" s="26" t="str">
        <f>IF($N2879="","",IF($E$8=0,"",E2879/$E$8))</f>
        <v/>
      </c>
      <c r="G2879" s="25" t="str">
        <f>IF($N2879="","",INDEX('_calc'!$E$2:$E$3001,$N2879))</f>
        <v/>
      </c>
      <c r="H2879" s="25" t="str">
        <f>IF($N2879="","",INDEX('_calc'!$F$2:$F$3001,$N2879))</f>
        <v/>
      </c>
      <c r="I2879" s="27" t="str">
        <f>IF($N2879="","",INDEX('_calc'!$H$2:$H$3001,$N2879))</f>
        <v/>
      </c>
      <c r="J2879" s="27" t="str">
        <f>IF($N2879="","",INDEX('_calc'!$I$2:$I$3001,$N2879))</f>
        <v/>
      </c>
      <c r="K2879" s="28" t="str">
        <f>IF($N2879="","",IF(OR(I2879="",J2879=""),"",J2879-I2879))</f>
        <v/>
      </c>
      <c r="L2879" s="29" t="str">
        <f>IF($N2879="","",INDEX('_calc'!$J$2:$J$3001,$N2879))</f>
        <v/>
      </c>
      <c r="M2879" s="2" t="str">
        <f>IF($N2879="","",IF(AND(G2879=0,H2879=0),"수량 없음",IF(G2879=0,"신규 (전년 수량 없음)",IF(H2879=0,"당해 수량 없음",""))))</f>
        <v/>
      </c>
      <c r="N2879" t="str">
        <f>IF($B2879="","",MATCH($B2879,'_calc'!$L$2:$L$3001,0))</f>
        <v/>
      </c>
    </row>
    <row r="2880">
      <c r="B2880" s="24" t="str">
        <f>IF(ROW()-ROW($B$8)&gt;nComp,"",ROW()-ROW($B$8))</f>
        <v/>
      </c>
      <c r="C2880" t="str">
        <f>IF($N2880="","",INDEX('_calc'!$A$2:$A$3001,$N2880))</f>
        <v/>
      </c>
      <c r="D2880" s="25" t="str">
        <f>IF($N2880="","",INDEX('_calc'!$C$2:$C$3001,$N2880))</f>
        <v/>
      </c>
      <c r="E2880" s="25" t="str">
        <f>IF($N2880="","",INDEX('_calc'!$D$2:$D$3001,$N2880))</f>
        <v/>
      </c>
      <c r="F2880" s="26" t="str">
        <f>IF($N2880="","",IF($E$8=0,"",E2880/$E$8))</f>
        <v/>
      </c>
      <c r="G2880" s="25" t="str">
        <f>IF($N2880="","",INDEX('_calc'!$E$2:$E$3001,$N2880))</f>
        <v/>
      </c>
      <c r="H2880" s="25" t="str">
        <f>IF($N2880="","",INDEX('_calc'!$F$2:$F$3001,$N2880))</f>
        <v/>
      </c>
      <c r="I2880" s="27" t="str">
        <f>IF($N2880="","",INDEX('_calc'!$H$2:$H$3001,$N2880))</f>
        <v/>
      </c>
      <c r="J2880" s="27" t="str">
        <f>IF($N2880="","",INDEX('_calc'!$I$2:$I$3001,$N2880))</f>
        <v/>
      </c>
      <c r="K2880" s="28" t="str">
        <f>IF($N2880="","",IF(OR(I2880="",J2880=""),"",J2880-I2880))</f>
        <v/>
      </c>
      <c r="L2880" s="29" t="str">
        <f>IF($N2880="","",INDEX('_calc'!$J$2:$J$3001,$N2880))</f>
        <v/>
      </c>
      <c r="M2880" s="2" t="str">
        <f>IF($N2880="","",IF(AND(G2880=0,H2880=0),"수량 없음",IF(G2880=0,"신규 (전년 수량 없음)",IF(H2880=0,"당해 수량 없음",""))))</f>
        <v/>
      </c>
      <c r="N2880" t="str">
        <f>IF($B2880="","",MATCH($B2880,'_calc'!$L$2:$L$3001,0))</f>
        <v/>
      </c>
    </row>
    <row r="2881">
      <c r="B2881" s="24" t="str">
        <f>IF(ROW()-ROW($B$8)&gt;nComp,"",ROW()-ROW($B$8))</f>
        <v/>
      </c>
      <c r="C2881" t="str">
        <f>IF($N2881="","",INDEX('_calc'!$A$2:$A$3001,$N2881))</f>
        <v/>
      </c>
      <c r="D2881" s="25" t="str">
        <f>IF($N2881="","",INDEX('_calc'!$C$2:$C$3001,$N2881))</f>
        <v/>
      </c>
      <c r="E2881" s="25" t="str">
        <f>IF($N2881="","",INDEX('_calc'!$D$2:$D$3001,$N2881))</f>
        <v/>
      </c>
      <c r="F2881" s="26" t="str">
        <f>IF($N2881="","",IF($E$8=0,"",E2881/$E$8))</f>
        <v/>
      </c>
      <c r="G2881" s="25" t="str">
        <f>IF($N2881="","",INDEX('_calc'!$E$2:$E$3001,$N2881))</f>
        <v/>
      </c>
      <c r="H2881" s="25" t="str">
        <f>IF($N2881="","",INDEX('_calc'!$F$2:$F$3001,$N2881))</f>
        <v/>
      </c>
      <c r="I2881" s="27" t="str">
        <f>IF($N2881="","",INDEX('_calc'!$H$2:$H$3001,$N2881))</f>
        <v/>
      </c>
      <c r="J2881" s="27" t="str">
        <f>IF($N2881="","",INDEX('_calc'!$I$2:$I$3001,$N2881))</f>
        <v/>
      </c>
      <c r="K2881" s="28" t="str">
        <f>IF($N2881="","",IF(OR(I2881="",J2881=""),"",J2881-I2881))</f>
        <v/>
      </c>
      <c r="L2881" s="29" t="str">
        <f>IF($N2881="","",INDEX('_calc'!$J$2:$J$3001,$N2881))</f>
        <v/>
      </c>
      <c r="M2881" s="2" t="str">
        <f>IF($N2881="","",IF(AND(G2881=0,H2881=0),"수량 없음",IF(G2881=0,"신규 (전년 수량 없음)",IF(H2881=0,"당해 수량 없음",""))))</f>
        <v/>
      </c>
      <c r="N2881" t="str">
        <f>IF($B2881="","",MATCH($B2881,'_calc'!$L$2:$L$3001,0))</f>
        <v/>
      </c>
    </row>
    <row r="2882">
      <c r="B2882" s="24" t="str">
        <f>IF(ROW()-ROW($B$8)&gt;nComp,"",ROW()-ROW($B$8))</f>
        <v/>
      </c>
      <c r="C2882" t="str">
        <f>IF($N2882="","",INDEX('_calc'!$A$2:$A$3001,$N2882))</f>
        <v/>
      </c>
      <c r="D2882" s="25" t="str">
        <f>IF($N2882="","",INDEX('_calc'!$C$2:$C$3001,$N2882))</f>
        <v/>
      </c>
      <c r="E2882" s="25" t="str">
        <f>IF($N2882="","",INDEX('_calc'!$D$2:$D$3001,$N2882))</f>
        <v/>
      </c>
      <c r="F2882" s="26" t="str">
        <f>IF($N2882="","",IF($E$8=0,"",E2882/$E$8))</f>
        <v/>
      </c>
      <c r="G2882" s="25" t="str">
        <f>IF($N2882="","",INDEX('_calc'!$E$2:$E$3001,$N2882))</f>
        <v/>
      </c>
      <c r="H2882" s="25" t="str">
        <f>IF($N2882="","",INDEX('_calc'!$F$2:$F$3001,$N2882))</f>
        <v/>
      </c>
      <c r="I2882" s="27" t="str">
        <f>IF($N2882="","",INDEX('_calc'!$H$2:$H$3001,$N2882))</f>
        <v/>
      </c>
      <c r="J2882" s="27" t="str">
        <f>IF($N2882="","",INDEX('_calc'!$I$2:$I$3001,$N2882))</f>
        <v/>
      </c>
      <c r="K2882" s="28" t="str">
        <f>IF($N2882="","",IF(OR(I2882="",J2882=""),"",J2882-I2882))</f>
        <v/>
      </c>
      <c r="L2882" s="29" t="str">
        <f>IF($N2882="","",INDEX('_calc'!$J$2:$J$3001,$N2882))</f>
        <v/>
      </c>
      <c r="M2882" s="2" t="str">
        <f>IF($N2882="","",IF(AND(G2882=0,H2882=0),"수량 없음",IF(G2882=0,"신규 (전년 수량 없음)",IF(H2882=0,"당해 수량 없음",""))))</f>
        <v/>
      </c>
      <c r="N2882" t="str">
        <f>IF($B2882="","",MATCH($B2882,'_calc'!$L$2:$L$3001,0))</f>
        <v/>
      </c>
    </row>
    <row r="2883">
      <c r="B2883" s="24" t="str">
        <f>IF(ROW()-ROW($B$8)&gt;nComp,"",ROW()-ROW($B$8))</f>
        <v/>
      </c>
      <c r="C2883" t="str">
        <f>IF($N2883="","",INDEX('_calc'!$A$2:$A$3001,$N2883))</f>
        <v/>
      </c>
      <c r="D2883" s="25" t="str">
        <f>IF($N2883="","",INDEX('_calc'!$C$2:$C$3001,$N2883))</f>
        <v/>
      </c>
      <c r="E2883" s="25" t="str">
        <f>IF($N2883="","",INDEX('_calc'!$D$2:$D$3001,$N2883))</f>
        <v/>
      </c>
      <c r="F2883" s="26" t="str">
        <f>IF($N2883="","",IF($E$8=0,"",E2883/$E$8))</f>
        <v/>
      </c>
      <c r="G2883" s="25" t="str">
        <f>IF($N2883="","",INDEX('_calc'!$E$2:$E$3001,$N2883))</f>
        <v/>
      </c>
      <c r="H2883" s="25" t="str">
        <f>IF($N2883="","",INDEX('_calc'!$F$2:$F$3001,$N2883))</f>
        <v/>
      </c>
      <c r="I2883" s="27" t="str">
        <f>IF($N2883="","",INDEX('_calc'!$H$2:$H$3001,$N2883))</f>
        <v/>
      </c>
      <c r="J2883" s="27" t="str">
        <f>IF($N2883="","",INDEX('_calc'!$I$2:$I$3001,$N2883))</f>
        <v/>
      </c>
      <c r="K2883" s="28" t="str">
        <f>IF($N2883="","",IF(OR(I2883="",J2883=""),"",J2883-I2883))</f>
        <v/>
      </c>
      <c r="L2883" s="29" t="str">
        <f>IF($N2883="","",INDEX('_calc'!$J$2:$J$3001,$N2883))</f>
        <v/>
      </c>
      <c r="M2883" s="2" t="str">
        <f>IF($N2883="","",IF(AND(G2883=0,H2883=0),"수량 없음",IF(G2883=0,"신규 (전년 수량 없음)",IF(H2883=0,"당해 수량 없음",""))))</f>
        <v/>
      </c>
      <c r="N2883" t="str">
        <f>IF($B2883="","",MATCH($B2883,'_calc'!$L$2:$L$3001,0))</f>
        <v/>
      </c>
    </row>
    <row r="2884">
      <c r="B2884" s="24" t="str">
        <f>IF(ROW()-ROW($B$8)&gt;nComp,"",ROW()-ROW($B$8))</f>
        <v/>
      </c>
      <c r="C2884" t="str">
        <f>IF($N2884="","",INDEX('_calc'!$A$2:$A$3001,$N2884))</f>
        <v/>
      </c>
      <c r="D2884" s="25" t="str">
        <f>IF($N2884="","",INDEX('_calc'!$C$2:$C$3001,$N2884))</f>
        <v/>
      </c>
      <c r="E2884" s="25" t="str">
        <f>IF($N2884="","",INDEX('_calc'!$D$2:$D$3001,$N2884))</f>
        <v/>
      </c>
      <c r="F2884" s="26" t="str">
        <f>IF($N2884="","",IF($E$8=0,"",E2884/$E$8))</f>
        <v/>
      </c>
      <c r="G2884" s="25" t="str">
        <f>IF($N2884="","",INDEX('_calc'!$E$2:$E$3001,$N2884))</f>
        <v/>
      </c>
      <c r="H2884" s="25" t="str">
        <f>IF($N2884="","",INDEX('_calc'!$F$2:$F$3001,$N2884))</f>
        <v/>
      </c>
      <c r="I2884" s="27" t="str">
        <f>IF($N2884="","",INDEX('_calc'!$H$2:$H$3001,$N2884))</f>
        <v/>
      </c>
      <c r="J2884" s="27" t="str">
        <f>IF($N2884="","",INDEX('_calc'!$I$2:$I$3001,$N2884))</f>
        <v/>
      </c>
      <c r="K2884" s="28" t="str">
        <f>IF($N2884="","",IF(OR(I2884="",J2884=""),"",J2884-I2884))</f>
        <v/>
      </c>
      <c r="L2884" s="29" t="str">
        <f>IF($N2884="","",INDEX('_calc'!$J$2:$J$3001,$N2884))</f>
        <v/>
      </c>
      <c r="M2884" s="2" t="str">
        <f>IF($N2884="","",IF(AND(G2884=0,H2884=0),"수량 없음",IF(G2884=0,"신규 (전년 수량 없음)",IF(H2884=0,"당해 수량 없음",""))))</f>
        <v/>
      </c>
      <c r="N2884" t="str">
        <f>IF($B2884="","",MATCH($B2884,'_calc'!$L$2:$L$3001,0))</f>
        <v/>
      </c>
    </row>
    <row r="2885">
      <c r="B2885" s="24" t="str">
        <f>IF(ROW()-ROW($B$8)&gt;nComp,"",ROW()-ROW($B$8))</f>
        <v/>
      </c>
      <c r="C2885" t="str">
        <f>IF($N2885="","",INDEX('_calc'!$A$2:$A$3001,$N2885))</f>
        <v/>
      </c>
      <c r="D2885" s="25" t="str">
        <f>IF($N2885="","",INDEX('_calc'!$C$2:$C$3001,$N2885))</f>
        <v/>
      </c>
      <c r="E2885" s="25" t="str">
        <f>IF($N2885="","",INDEX('_calc'!$D$2:$D$3001,$N2885))</f>
        <v/>
      </c>
      <c r="F2885" s="26" t="str">
        <f>IF($N2885="","",IF($E$8=0,"",E2885/$E$8))</f>
        <v/>
      </c>
      <c r="G2885" s="25" t="str">
        <f>IF($N2885="","",INDEX('_calc'!$E$2:$E$3001,$N2885))</f>
        <v/>
      </c>
      <c r="H2885" s="25" t="str">
        <f>IF($N2885="","",INDEX('_calc'!$F$2:$F$3001,$N2885))</f>
        <v/>
      </c>
      <c r="I2885" s="27" t="str">
        <f>IF($N2885="","",INDEX('_calc'!$H$2:$H$3001,$N2885))</f>
        <v/>
      </c>
      <c r="J2885" s="27" t="str">
        <f>IF($N2885="","",INDEX('_calc'!$I$2:$I$3001,$N2885))</f>
        <v/>
      </c>
      <c r="K2885" s="28" t="str">
        <f>IF($N2885="","",IF(OR(I2885="",J2885=""),"",J2885-I2885))</f>
        <v/>
      </c>
      <c r="L2885" s="29" t="str">
        <f>IF($N2885="","",INDEX('_calc'!$J$2:$J$3001,$N2885))</f>
        <v/>
      </c>
      <c r="M2885" s="2" t="str">
        <f>IF($N2885="","",IF(AND(G2885=0,H2885=0),"수량 없음",IF(G2885=0,"신규 (전년 수량 없음)",IF(H2885=0,"당해 수량 없음",""))))</f>
        <v/>
      </c>
      <c r="N2885" t="str">
        <f>IF($B2885="","",MATCH($B2885,'_calc'!$L$2:$L$3001,0))</f>
        <v/>
      </c>
    </row>
    <row r="2886">
      <c r="B2886" s="24" t="str">
        <f>IF(ROW()-ROW($B$8)&gt;nComp,"",ROW()-ROW($B$8))</f>
        <v/>
      </c>
      <c r="C2886" t="str">
        <f>IF($N2886="","",INDEX('_calc'!$A$2:$A$3001,$N2886))</f>
        <v/>
      </c>
      <c r="D2886" s="25" t="str">
        <f>IF($N2886="","",INDEX('_calc'!$C$2:$C$3001,$N2886))</f>
        <v/>
      </c>
      <c r="E2886" s="25" t="str">
        <f>IF($N2886="","",INDEX('_calc'!$D$2:$D$3001,$N2886))</f>
        <v/>
      </c>
      <c r="F2886" s="26" t="str">
        <f>IF($N2886="","",IF($E$8=0,"",E2886/$E$8))</f>
        <v/>
      </c>
      <c r="G2886" s="25" t="str">
        <f>IF($N2886="","",INDEX('_calc'!$E$2:$E$3001,$N2886))</f>
        <v/>
      </c>
      <c r="H2886" s="25" t="str">
        <f>IF($N2886="","",INDEX('_calc'!$F$2:$F$3001,$N2886))</f>
        <v/>
      </c>
      <c r="I2886" s="27" t="str">
        <f>IF($N2886="","",INDEX('_calc'!$H$2:$H$3001,$N2886))</f>
        <v/>
      </c>
      <c r="J2886" s="27" t="str">
        <f>IF($N2886="","",INDEX('_calc'!$I$2:$I$3001,$N2886))</f>
        <v/>
      </c>
      <c r="K2886" s="28" t="str">
        <f>IF($N2886="","",IF(OR(I2886="",J2886=""),"",J2886-I2886))</f>
        <v/>
      </c>
      <c r="L2886" s="29" t="str">
        <f>IF($N2886="","",INDEX('_calc'!$J$2:$J$3001,$N2886))</f>
        <v/>
      </c>
      <c r="M2886" s="2" t="str">
        <f>IF($N2886="","",IF(AND(G2886=0,H2886=0),"수량 없음",IF(G2886=0,"신규 (전년 수량 없음)",IF(H2886=0,"당해 수량 없음",""))))</f>
        <v/>
      </c>
      <c r="N2886" t="str">
        <f>IF($B2886="","",MATCH($B2886,'_calc'!$L$2:$L$3001,0))</f>
        <v/>
      </c>
    </row>
    <row r="2887">
      <c r="B2887" s="24" t="str">
        <f>IF(ROW()-ROW($B$8)&gt;nComp,"",ROW()-ROW($B$8))</f>
        <v/>
      </c>
      <c r="C2887" t="str">
        <f>IF($N2887="","",INDEX('_calc'!$A$2:$A$3001,$N2887))</f>
        <v/>
      </c>
      <c r="D2887" s="25" t="str">
        <f>IF($N2887="","",INDEX('_calc'!$C$2:$C$3001,$N2887))</f>
        <v/>
      </c>
      <c r="E2887" s="25" t="str">
        <f>IF($N2887="","",INDEX('_calc'!$D$2:$D$3001,$N2887))</f>
        <v/>
      </c>
      <c r="F2887" s="26" t="str">
        <f>IF($N2887="","",IF($E$8=0,"",E2887/$E$8))</f>
        <v/>
      </c>
      <c r="G2887" s="25" t="str">
        <f>IF($N2887="","",INDEX('_calc'!$E$2:$E$3001,$N2887))</f>
        <v/>
      </c>
      <c r="H2887" s="25" t="str">
        <f>IF($N2887="","",INDEX('_calc'!$F$2:$F$3001,$N2887))</f>
        <v/>
      </c>
      <c r="I2887" s="27" t="str">
        <f>IF($N2887="","",INDEX('_calc'!$H$2:$H$3001,$N2887))</f>
        <v/>
      </c>
      <c r="J2887" s="27" t="str">
        <f>IF($N2887="","",INDEX('_calc'!$I$2:$I$3001,$N2887))</f>
        <v/>
      </c>
      <c r="K2887" s="28" t="str">
        <f>IF($N2887="","",IF(OR(I2887="",J2887=""),"",J2887-I2887))</f>
        <v/>
      </c>
      <c r="L2887" s="29" t="str">
        <f>IF($N2887="","",INDEX('_calc'!$J$2:$J$3001,$N2887))</f>
        <v/>
      </c>
      <c r="M2887" s="2" t="str">
        <f>IF($N2887="","",IF(AND(G2887=0,H2887=0),"수량 없음",IF(G2887=0,"신규 (전년 수량 없음)",IF(H2887=0,"당해 수량 없음",""))))</f>
        <v/>
      </c>
      <c r="N2887" t="str">
        <f>IF($B2887="","",MATCH($B2887,'_calc'!$L$2:$L$3001,0))</f>
        <v/>
      </c>
    </row>
    <row r="2888">
      <c r="B2888" s="24" t="str">
        <f>IF(ROW()-ROW($B$8)&gt;nComp,"",ROW()-ROW($B$8))</f>
        <v/>
      </c>
      <c r="C2888" t="str">
        <f>IF($N2888="","",INDEX('_calc'!$A$2:$A$3001,$N2888))</f>
        <v/>
      </c>
      <c r="D2888" s="25" t="str">
        <f>IF($N2888="","",INDEX('_calc'!$C$2:$C$3001,$N2888))</f>
        <v/>
      </c>
      <c r="E2888" s="25" t="str">
        <f>IF($N2888="","",INDEX('_calc'!$D$2:$D$3001,$N2888))</f>
        <v/>
      </c>
      <c r="F2888" s="26" t="str">
        <f>IF($N2888="","",IF($E$8=0,"",E2888/$E$8))</f>
        <v/>
      </c>
      <c r="G2888" s="25" t="str">
        <f>IF($N2888="","",INDEX('_calc'!$E$2:$E$3001,$N2888))</f>
        <v/>
      </c>
      <c r="H2888" s="25" t="str">
        <f>IF($N2888="","",INDEX('_calc'!$F$2:$F$3001,$N2888))</f>
        <v/>
      </c>
      <c r="I2888" s="27" t="str">
        <f>IF($N2888="","",INDEX('_calc'!$H$2:$H$3001,$N2888))</f>
        <v/>
      </c>
      <c r="J2888" s="27" t="str">
        <f>IF($N2888="","",INDEX('_calc'!$I$2:$I$3001,$N2888))</f>
        <v/>
      </c>
      <c r="K2888" s="28" t="str">
        <f>IF($N2888="","",IF(OR(I2888="",J2888=""),"",J2888-I2888))</f>
        <v/>
      </c>
      <c r="L2888" s="29" t="str">
        <f>IF($N2888="","",INDEX('_calc'!$J$2:$J$3001,$N2888))</f>
        <v/>
      </c>
      <c r="M2888" s="2" t="str">
        <f>IF($N2888="","",IF(AND(G2888=0,H2888=0),"수량 없음",IF(G2888=0,"신규 (전년 수량 없음)",IF(H2888=0,"당해 수량 없음",""))))</f>
        <v/>
      </c>
      <c r="N2888" t="str">
        <f>IF($B2888="","",MATCH($B2888,'_calc'!$L$2:$L$3001,0))</f>
        <v/>
      </c>
    </row>
    <row r="2889">
      <c r="B2889" s="24" t="str">
        <f>IF(ROW()-ROW($B$8)&gt;nComp,"",ROW()-ROW($B$8))</f>
        <v/>
      </c>
      <c r="C2889" t="str">
        <f>IF($N2889="","",INDEX('_calc'!$A$2:$A$3001,$N2889))</f>
        <v/>
      </c>
      <c r="D2889" s="25" t="str">
        <f>IF($N2889="","",INDEX('_calc'!$C$2:$C$3001,$N2889))</f>
        <v/>
      </c>
      <c r="E2889" s="25" t="str">
        <f>IF($N2889="","",INDEX('_calc'!$D$2:$D$3001,$N2889))</f>
        <v/>
      </c>
      <c r="F2889" s="26" t="str">
        <f>IF($N2889="","",IF($E$8=0,"",E2889/$E$8))</f>
        <v/>
      </c>
      <c r="G2889" s="25" t="str">
        <f>IF($N2889="","",INDEX('_calc'!$E$2:$E$3001,$N2889))</f>
        <v/>
      </c>
      <c r="H2889" s="25" t="str">
        <f>IF($N2889="","",INDEX('_calc'!$F$2:$F$3001,$N2889))</f>
        <v/>
      </c>
      <c r="I2889" s="27" t="str">
        <f>IF($N2889="","",INDEX('_calc'!$H$2:$H$3001,$N2889))</f>
        <v/>
      </c>
      <c r="J2889" s="27" t="str">
        <f>IF($N2889="","",INDEX('_calc'!$I$2:$I$3001,$N2889))</f>
        <v/>
      </c>
      <c r="K2889" s="28" t="str">
        <f>IF($N2889="","",IF(OR(I2889="",J2889=""),"",J2889-I2889))</f>
        <v/>
      </c>
      <c r="L2889" s="29" t="str">
        <f>IF($N2889="","",INDEX('_calc'!$J$2:$J$3001,$N2889))</f>
        <v/>
      </c>
      <c r="M2889" s="2" t="str">
        <f>IF($N2889="","",IF(AND(G2889=0,H2889=0),"수량 없음",IF(G2889=0,"신규 (전년 수량 없음)",IF(H2889=0,"당해 수량 없음",""))))</f>
        <v/>
      </c>
      <c r="N2889" t="str">
        <f>IF($B2889="","",MATCH($B2889,'_calc'!$L$2:$L$3001,0))</f>
        <v/>
      </c>
    </row>
    <row r="2890">
      <c r="B2890" s="24" t="str">
        <f>IF(ROW()-ROW($B$8)&gt;nComp,"",ROW()-ROW($B$8))</f>
        <v/>
      </c>
      <c r="C2890" t="str">
        <f>IF($N2890="","",INDEX('_calc'!$A$2:$A$3001,$N2890))</f>
        <v/>
      </c>
      <c r="D2890" s="25" t="str">
        <f>IF($N2890="","",INDEX('_calc'!$C$2:$C$3001,$N2890))</f>
        <v/>
      </c>
      <c r="E2890" s="25" t="str">
        <f>IF($N2890="","",INDEX('_calc'!$D$2:$D$3001,$N2890))</f>
        <v/>
      </c>
      <c r="F2890" s="26" t="str">
        <f>IF($N2890="","",IF($E$8=0,"",E2890/$E$8))</f>
        <v/>
      </c>
      <c r="G2890" s="25" t="str">
        <f>IF($N2890="","",INDEX('_calc'!$E$2:$E$3001,$N2890))</f>
        <v/>
      </c>
      <c r="H2890" s="25" t="str">
        <f>IF($N2890="","",INDEX('_calc'!$F$2:$F$3001,$N2890))</f>
        <v/>
      </c>
      <c r="I2890" s="27" t="str">
        <f>IF($N2890="","",INDEX('_calc'!$H$2:$H$3001,$N2890))</f>
        <v/>
      </c>
      <c r="J2890" s="27" t="str">
        <f>IF($N2890="","",INDEX('_calc'!$I$2:$I$3001,$N2890))</f>
        <v/>
      </c>
      <c r="K2890" s="28" t="str">
        <f>IF($N2890="","",IF(OR(I2890="",J2890=""),"",J2890-I2890))</f>
        <v/>
      </c>
      <c r="L2890" s="29" t="str">
        <f>IF($N2890="","",INDEX('_calc'!$J$2:$J$3001,$N2890))</f>
        <v/>
      </c>
      <c r="M2890" s="2" t="str">
        <f>IF($N2890="","",IF(AND(G2890=0,H2890=0),"수량 없음",IF(G2890=0,"신규 (전년 수량 없음)",IF(H2890=0,"당해 수량 없음",""))))</f>
        <v/>
      </c>
      <c r="N2890" t="str">
        <f>IF($B2890="","",MATCH($B2890,'_calc'!$L$2:$L$3001,0))</f>
        <v/>
      </c>
    </row>
    <row r="2891">
      <c r="B2891" s="24" t="str">
        <f>IF(ROW()-ROW($B$8)&gt;nComp,"",ROW()-ROW($B$8))</f>
        <v/>
      </c>
      <c r="C2891" t="str">
        <f>IF($N2891="","",INDEX('_calc'!$A$2:$A$3001,$N2891))</f>
        <v/>
      </c>
      <c r="D2891" s="25" t="str">
        <f>IF($N2891="","",INDEX('_calc'!$C$2:$C$3001,$N2891))</f>
        <v/>
      </c>
      <c r="E2891" s="25" t="str">
        <f>IF($N2891="","",INDEX('_calc'!$D$2:$D$3001,$N2891))</f>
        <v/>
      </c>
      <c r="F2891" s="26" t="str">
        <f>IF($N2891="","",IF($E$8=0,"",E2891/$E$8))</f>
        <v/>
      </c>
      <c r="G2891" s="25" t="str">
        <f>IF($N2891="","",INDEX('_calc'!$E$2:$E$3001,$N2891))</f>
        <v/>
      </c>
      <c r="H2891" s="25" t="str">
        <f>IF($N2891="","",INDEX('_calc'!$F$2:$F$3001,$N2891))</f>
        <v/>
      </c>
      <c r="I2891" s="27" t="str">
        <f>IF($N2891="","",INDEX('_calc'!$H$2:$H$3001,$N2891))</f>
        <v/>
      </c>
      <c r="J2891" s="27" t="str">
        <f>IF($N2891="","",INDEX('_calc'!$I$2:$I$3001,$N2891))</f>
        <v/>
      </c>
      <c r="K2891" s="28" t="str">
        <f>IF($N2891="","",IF(OR(I2891="",J2891=""),"",J2891-I2891))</f>
        <v/>
      </c>
      <c r="L2891" s="29" t="str">
        <f>IF($N2891="","",INDEX('_calc'!$J$2:$J$3001,$N2891))</f>
        <v/>
      </c>
      <c r="M2891" s="2" t="str">
        <f>IF($N2891="","",IF(AND(G2891=0,H2891=0),"수량 없음",IF(G2891=0,"신규 (전년 수량 없음)",IF(H2891=0,"당해 수량 없음",""))))</f>
        <v/>
      </c>
      <c r="N2891" t="str">
        <f>IF($B2891="","",MATCH($B2891,'_calc'!$L$2:$L$3001,0))</f>
        <v/>
      </c>
    </row>
    <row r="2892">
      <c r="B2892" s="24" t="str">
        <f>IF(ROW()-ROW($B$8)&gt;nComp,"",ROW()-ROW($B$8))</f>
        <v/>
      </c>
      <c r="C2892" t="str">
        <f>IF($N2892="","",INDEX('_calc'!$A$2:$A$3001,$N2892))</f>
        <v/>
      </c>
      <c r="D2892" s="25" t="str">
        <f>IF($N2892="","",INDEX('_calc'!$C$2:$C$3001,$N2892))</f>
        <v/>
      </c>
      <c r="E2892" s="25" t="str">
        <f>IF($N2892="","",INDEX('_calc'!$D$2:$D$3001,$N2892))</f>
        <v/>
      </c>
      <c r="F2892" s="26" t="str">
        <f>IF($N2892="","",IF($E$8=0,"",E2892/$E$8))</f>
        <v/>
      </c>
      <c r="G2892" s="25" t="str">
        <f>IF($N2892="","",INDEX('_calc'!$E$2:$E$3001,$N2892))</f>
        <v/>
      </c>
      <c r="H2892" s="25" t="str">
        <f>IF($N2892="","",INDEX('_calc'!$F$2:$F$3001,$N2892))</f>
        <v/>
      </c>
      <c r="I2892" s="27" t="str">
        <f>IF($N2892="","",INDEX('_calc'!$H$2:$H$3001,$N2892))</f>
        <v/>
      </c>
      <c r="J2892" s="27" t="str">
        <f>IF($N2892="","",INDEX('_calc'!$I$2:$I$3001,$N2892))</f>
        <v/>
      </c>
      <c r="K2892" s="28" t="str">
        <f>IF($N2892="","",IF(OR(I2892="",J2892=""),"",J2892-I2892))</f>
        <v/>
      </c>
      <c r="L2892" s="29" t="str">
        <f>IF($N2892="","",INDEX('_calc'!$J$2:$J$3001,$N2892))</f>
        <v/>
      </c>
      <c r="M2892" s="2" t="str">
        <f>IF($N2892="","",IF(AND(G2892=0,H2892=0),"수량 없음",IF(G2892=0,"신규 (전년 수량 없음)",IF(H2892=0,"당해 수량 없음",""))))</f>
        <v/>
      </c>
      <c r="N2892" t="str">
        <f>IF($B2892="","",MATCH($B2892,'_calc'!$L$2:$L$3001,0))</f>
        <v/>
      </c>
    </row>
    <row r="2893">
      <c r="B2893" s="24" t="str">
        <f>IF(ROW()-ROW($B$8)&gt;nComp,"",ROW()-ROW($B$8))</f>
        <v/>
      </c>
      <c r="C2893" t="str">
        <f>IF($N2893="","",INDEX('_calc'!$A$2:$A$3001,$N2893))</f>
        <v/>
      </c>
      <c r="D2893" s="25" t="str">
        <f>IF($N2893="","",INDEX('_calc'!$C$2:$C$3001,$N2893))</f>
        <v/>
      </c>
      <c r="E2893" s="25" t="str">
        <f>IF($N2893="","",INDEX('_calc'!$D$2:$D$3001,$N2893))</f>
        <v/>
      </c>
      <c r="F2893" s="26" t="str">
        <f>IF($N2893="","",IF($E$8=0,"",E2893/$E$8))</f>
        <v/>
      </c>
      <c r="G2893" s="25" t="str">
        <f>IF($N2893="","",INDEX('_calc'!$E$2:$E$3001,$N2893))</f>
        <v/>
      </c>
      <c r="H2893" s="25" t="str">
        <f>IF($N2893="","",INDEX('_calc'!$F$2:$F$3001,$N2893))</f>
        <v/>
      </c>
      <c r="I2893" s="27" t="str">
        <f>IF($N2893="","",INDEX('_calc'!$H$2:$H$3001,$N2893))</f>
        <v/>
      </c>
      <c r="J2893" s="27" t="str">
        <f>IF($N2893="","",INDEX('_calc'!$I$2:$I$3001,$N2893))</f>
        <v/>
      </c>
      <c r="K2893" s="28" t="str">
        <f>IF($N2893="","",IF(OR(I2893="",J2893=""),"",J2893-I2893))</f>
        <v/>
      </c>
      <c r="L2893" s="29" t="str">
        <f>IF($N2893="","",INDEX('_calc'!$J$2:$J$3001,$N2893))</f>
        <v/>
      </c>
      <c r="M2893" s="2" t="str">
        <f>IF($N2893="","",IF(AND(G2893=0,H2893=0),"수량 없음",IF(G2893=0,"신규 (전년 수량 없음)",IF(H2893=0,"당해 수량 없음",""))))</f>
        <v/>
      </c>
      <c r="N2893" t="str">
        <f>IF($B2893="","",MATCH($B2893,'_calc'!$L$2:$L$3001,0))</f>
        <v/>
      </c>
    </row>
    <row r="2894">
      <c r="B2894" s="24" t="str">
        <f>IF(ROW()-ROW($B$8)&gt;nComp,"",ROW()-ROW($B$8))</f>
        <v/>
      </c>
      <c r="C2894" t="str">
        <f>IF($N2894="","",INDEX('_calc'!$A$2:$A$3001,$N2894))</f>
        <v/>
      </c>
      <c r="D2894" s="25" t="str">
        <f>IF($N2894="","",INDEX('_calc'!$C$2:$C$3001,$N2894))</f>
        <v/>
      </c>
      <c r="E2894" s="25" t="str">
        <f>IF($N2894="","",INDEX('_calc'!$D$2:$D$3001,$N2894))</f>
        <v/>
      </c>
      <c r="F2894" s="26" t="str">
        <f>IF($N2894="","",IF($E$8=0,"",E2894/$E$8))</f>
        <v/>
      </c>
      <c r="G2894" s="25" t="str">
        <f>IF($N2894="","",INDEX('_calc'!$E$2:$E$3001,$N2894))</f>
        <v/>
      </c>
      <c r="H2894" s="25" t="str">
        <f>IF($N2894="","",INDEX('_calc'!$F$2:$F$3001,$N2894))</f>
        <v/>
      </c>
      <c r="I2894" s="27" t="str">
        <f>IF($N2894="","",INDEX('_calc'!$H$2:$H$3001,$N2894))</f>
        <v/>
      </c>
      <c r="J2894" s="27" t="str">
        <f>IF($N2894="","",INDEX('_calc'!$I$2:$I$3001,$N2894))</f>
        <v/>
      </c>
      <c r="K2894" s="28" t="str">
        <f>IF($N2894="","",IF(OR(I2894="",J2894=""),"",J2894-I2894))</f>
        <v/>
      </c>
      <c r="L2894" s="29" t="str">
        <f>IF($N2894="","",INDEX('_calc'!$J$2:$J$3001,$N2894))</f>
        <v/>
      </c>
      <c r="M2894" s="2" t="str">
        <f>IF($N2894="","",IF(AND(G2894=0,H2894=0),"수량 없음",IF(G2894=0,"신규 (전년 수량 없음)",IF(H2894=0,"당해 수량 없음",""))))</f>
        <v/>
      </c>
      <c r="N2894" t="str">
        <f>IF($B2894="","",MATCH($B2894,'_calc'!$L$2:$L$3001,0))</f>
        <v/>
      </c>
    </row>
    <row r="2895">
      <c r="B2895" s="24" t="str">
        <f>IF(ROW()-ROW($B$8)&gt;nComp,"",ROW()-ROW($B$8))</f>
        <v/>
      </c>
      <c r="C2895" t="str">
        <f>IF($N2895="","",INDEX('_calc'!$A$2:$A$3001,$N2895))</f>
        <v/>
      </c>
      <c r="D2895" s="25" t="str">
        <f>IF($N2895="","",INDEX('_calc'!$C$2:$C$3001,$N2895))</f>
        <v/>
      </c>
      <c r="E2895" s="25" t="str">
        <f>IF($N2895="","",INDEX('_calc'!$D$2:$D$3001,$N2895))</f>
        <v/>
      </c>
      <c r="F2895" s="26" t="str">
        <f>IF($N2895="","",IF($E$8=0,"",E2895/$E$8))</f>
        <v/>
      </c>
      <c r="G2895" s="25" t="str">
        <f>IF($N2895="","",INDEX('_calc'!$E$2:$E$3001,$N2895))</f>
        <v/>
      </c>
      <c r="H2895" s="25" t="str">
        <f>IF($N2895="","",INDEX('_calc'!$F$2:$F$3001,$N2895))</f>
        <v/>
      </c>
      <c r="I2895" s="27" t="str">
        <f>IF($N2895="","",INDEX('_calc'!$H$2:$H$3001,$N2895))</f>
        <v/>
      </c>
      <c r="J2895" s="27" t="str">
        <f>IF($N2895="","",INDEX('_calc'!$I$2:$I$3001,$N2895))</f>
        <v/>
      </c>
      <c r="K2895" s="28" t="str">
        <f>IF($N2895="","",IF(OR(I2895="",J2895=""),"",J2895-I2895))</f>
        <v/>
      </c>
      <c r="L2895" s="29" t="str">
        <f>IF($N2895="","",INDEX('_calc'!$J$2:$J$3001,$N2895))</f>
        <v/>
      </c>
      <c r="M2895" s="2" t="str">
        <f>IF($N2895="","",IF(AND(G2895=0,H2895=0),"수량 없음",IF(G2895=0,"신규 (전년 수량 없음)",IF(H2895=0,"당해 수량 없음",""))))</f>
        <v/>
      </c>
      <c r="N2895" t="str">
        <f>IF($B2895="","",MATCH($B2895,'_calc'!$L$2:$L$3001,0))</f>
        <v/>
      </c>
    </row>
    <row r="2896">
      <c r="B2896" s="24" t="str">
        <f>IF(ROW()-ROW($B$8)&gt;nComp,"",ROW()-ROW($B$8))</f>
        <v/>
      </c>
      <c r="C2896" t="str">
        <f>IF($N2896="","",INDEX('_calc'!$A$2:$A$3001,$N2896))</f>
        <v/>
      </c>
      <c r="D2896" s="25" t="str">
        <f>IF($N2896="","",INDEX('_calc'!$C$2:$C$3001,$N2896))</f>
        <v/>
      </c>
      <c r="E2896" s="25" t="str">
        <f>IF($N2896="","",INDEX('_calc'!$D$2:$D$3001,$N2896))</f>
        <v/>
      </c>
      <c r="F2896" s="26" t="str">
        <f>IF($N2896="","",IF($E$8=0,"",E2896/$E$8))</f>
        <v/>
      </c>
      <c r="G2896" s="25" t="str">
        <f>IF($N2896="","",INDEX('_calc'!$E$2:$E$3001,$N2896))</f>
        <v/>
      </c>
      <c r="H2896" s="25" t="str">
        <f>IF($N2896="","",INDEX('_calc'!$F$2:$F$3001,$N2896))</f>
        <v/>
      </c>
      <c r="I2896" s="27" t="str">
        <f>IF($N2896="","",INDEX('_calc'!$H$2:$H$3001,$N2896))</f>
        <v/>
      </c>
      <c r="J2896" s="27" t="str">
        <f>IF($N2896="","",INDEX('_calc'!$I$2:$I$3001,$N2896))</f>
        <v/>
      </c>
      <c r="K2896" s="28" t="str">
        <f>IF($N2896="","",IF(OR(I2896="",J2896=""),"",J2896-I2896))</f>
        <v/>
      </c>
      <c r="L2896" s="29" t="str">
        <f>IF($N2896="","",INDEX('_calc'!$J$2:$J$3001,$N2896))</f>
        <v/>
      </c>
      <c r="M2896" s="2" t="str">
        <f>IF($N2896="","",IF(AND(G2896=0,H2896=0),"수량 없음",IF(G2896=0,"신규 (전년 수량 없음)",IF(H2896=0,"당해 수량 없음",""))))</f>
        <v/>
      </c>
      <c r="N2896" t="str">
        <f>IF($B2896="","",MATCH($B2896,'_calc'!$L$2:$L$3001,0))</f>
        <v/>
      </c>
    </row>
    <row r="2897">
      <c r="B2897" s="24" t="str">
        <f>IF(ROW()-ROW($B$8)&gt;nComp,"",ROW()-ROW($B$8))</f>
        <v/>
      </c>
      <c r="C2897" t="str">
        <f>IF($N2897="","",INDEX('_calc'!$A$2:$A$3001,$N2897))</f>
        <v/>
      </c>
      <c r="D2897" s="25" t="str">
        <f>IF($N2897="","",INDEX('_calc'!$C$2:$C$3001,$N2897))</f>
        <v/>
      </c>
      <c r="E2897" s="25" t="str">
        <f>IF($N2897="","",INDEX('_calc'!$D$2:$D$3001,$N2897))</f>
        <v/>
      </c>
      <c r="F2897" s="26" t="str">
        <f>IF($N2897="","",IF($E$8=0,"",E2897/$E$8))</f>
        <v/>
      </c>
      <c r="G2897" s="25" t="str">
        <f>IF($N2897="","",INDEX('_calc'!$E$2:$E$3001,$N2897))</f>
        <v/>
      </c>
      <c r="H2897" s="25" t="str">
        <f>IF($N2897="","",INDEX('_calc'!$F$2:$F$3001,$N2897))</f>
        <v/>
      </c>
      <c r="I2897" s="27" t="str">
        <f>IF($N2897="","",INDEX('_calc'!$H$2:$H$3001,$N2897))</f>
        <v/>
      </c>
      <c r="J2897" s="27" t="str">
        <f>IF($N2897="","",INDEX('_calc'!$I$2:$I$3001,$N2897))</f>
        <v/>
      </c>
      <c r="K2897" s="28" t="str">
        <f>IF($N2897="","",IF(OR(I2897="",J2897=""),"",J2897-I2897))</f>
        <v/>
      </c>
      <c r="L2897" s="29" t="str">
        <f>IF($N2897="","",INDEX('_calc'!$J$2:$J$3001,$N2897))</f>
        <v/>
      </c>
      <c r="M2897" s="2" t="str">
        <f>IF($N2897="","",IF(AND(G2897=0,H2897=0),"수량 없음",IF(G2897=0,"신규 (전년 수량 없음)",IF(H2897=0,"당해 수량 없음",""))))</f>
        <v/>
      </c>
      <c r="N2897" t="str">
        <f>IF($B2897="","",MATCH($B2897,'_calc'!$L$2:$L$3001,0))</f>
        <v/>
      </c>
    </row>
    <row r="2898">
      <c r="B2898" s="24" t="str">
        <f>IF(ROW()-ROW($B$8)&gt;nComp,"",ROW()-ROW($B$8))</f>
        <v/>
      </c>
      <c r="C2898" t="str">
        <f>IF($N2898="","",INDEX('_calc'!$A$2:$A$3001,$N2898))</f>
        <v/>
      </c>
      <c r="D2898" s="25" t="str">
        <f>IF($N2898="","",INDEX('_calc'!$C$2:$C$3001,$N2898))</f>
        <v/>
      </c>
      <c r="E2898" s="25" t="str">
        <f>IF($N2898="","",INDEX('_calc'!$D$2:$D$3001,$N2898))</f>
        <v/>
      </c>
      <c r="F2898" s="26" t="str">
        <f>IF($N2898="","",IF($E$8=0,"",E2898/$E$8))</f>
        <v/>
      </c>
      <c r="G2898" s="25" t="str">
        <f>IF($N2898="","",INDEX('_calc'!$E$2:$E$3001,$N2898))</f>
        <v/>
      </c>
      <c r="H2898" s="25" t="str">
        <f>IF($N2898="","",INDEX('_calc'!$F$2:$F$3001,$N2898))</f>
        <v/>
      </c>
      <c r="I2898" s="27" t="str">
        <f>IF($N2898="","",INDEX('_calc'!$H$2:$H$3001,$N2898))</f>
        <v/>
      </c>
      <c r="J2898" s="27" t="str">
        <f>IF($N2898="","",INDEX('_calc'!$I$2:$I$3001,$N2898))</f>
        <v/>
      </c>
      <c r="K2898" s="28" t="str">
        <f>IF($N2898="","",IF(OR(I2898="",J2898=""),"",J2898-I2898))</f>
        <v/>
      </c>
      <c r="L2898" s="29" t="str">
        <f>IF($N2898="","",INDEX('_calc'!$J$2:$J$3001,$N2898))</f>
        <v/>
      </c>
      <c r="M2898" s="2" t="str">
        <f>IF($N2898="","",IF(AND(G2898=0,H2898=0),"수량 없음",IF(G2898=0,"신규 (전년 수량 없음)",IF(H2898=0,"당해 수량 없음",""))))</f>
        <v/>
      </c>
      <c r="N2898" t="str">
        <f>IF($B2898="","",MATCH($B2898,'_calc'!$L$2:$L$3001,0))</f>
        <v/>
      </c>
    </row>
    <row r="2899">
      <c r="B2899" s="24" t="str">
        <f>IF(ROW()-ROW($B$8)&gt;nComp,"",ROW()-ROW($B$8))</f>
        <v/>
      </c>
      <c r="C2899" t="str">
        <f>IF($N2899="","",INDEX('_calc'!$A$2:$A$3001,$N2899))</f>
        <v/>
      </c>
      <c r="D2899" s="25" t="str">
        <f>IF($N2899="","",INDEX('_calc'!$C$2:$C$3001,$N2899))</f>
        <v/>
      </c>
      <c r="E2899" s="25" t="str">
        <f>IF($N2899="","",INDEX('_calc'!$D$2:$D$3001,$N2899))</f>
        <v/>
      </c>
      <c r="F2899" s="26" t="str">
        <f>IF($N2899="","",IF($E$8=0,"",E2899/$E$8))</f>
        <v/>
      </c>
      <c r="G2899" s="25" t="str">
        <f>IF($N2899="","",INDEX('_calc'!$E$2:$E$3001,$N2899))</f>
        <v/>
      </c>
      <c r="H2899" s="25" t="str">
        <f>IF($N2899="","",INDEX('_calc'!$F$2:$F$3001,$N2899))</f>
        <v/>
      </c>
      <c r="I2899" s="27" t="str">
        <f>IF($N2899="","",INDEX('_calc'!$H$2:$H$3001,$N2899))</f>
        <v/>
      </c>
      <c r="J2899" s="27" t="str">
        <f>IF($N2899="","",INDEX('_calc'!$I$2:$I$3001,$N2899))</f>
        <v/>
      </c>
      <c r="K2899" s="28" t="str">
        <f>IF($N2899="","",IF(OR(I2899="",J2899=""),"",J2899-I2899))</f>
        <v/>
      </c>
      <c r="L2899" s="29" t="str">
        <f>IF($N2899="","",INDEX('_calc'!$J$2:$J$3001,$N2899))</f>
        <v/>
      </c>
      <c r="M2899" s="2" t="str">
        <f>IF($N2899="","",IF(AND(G2899=0,H2899=0),"수량 없음",IF(G2899=0,"신규 (전년 수량 없음)",IF(H2899=0,"당해 수량 없음",""))))</f>
        <v/>
      </c>
      <c r="N2899" t="str">
        <f>IF($B2899="","",MATCH($B2899,'_calc'!$L$2:$L$3001,0))</f>
        <v/>
      </c>
    </row>
    <row r="2900">
      <c r="B2900" s="24" t="str">
        <f>IF(ROW()-ROW($B$8)&gt;nComp,"",ROW()-ROW($B$8))</f>
        <v/>
      </c>
      <c r="C2900" t="str">
        <f>IF($N2900="","",INDEX('_calc'!$A$2:$A$3001,$N2900))</f>
        <v/>
      </c>
      <c r="D2900" s="25" t="str">
        <f>IF($N2900="","",INDEX('_calc'!$C$2:$C$3001,$N2900))</f>
        <v/>
      </c>
      <c r="E2900" s="25" t="str">
        <f>IF($N2900="","",INDEX('_calc'!$D$2:$D$3001,$N2900))</f>
        <v/>
      </c>
      <c r="F2900" s="26" t="str">
        <f>IF($N2900="","",IF($E$8=0,"",E2900/$E$8))</f>
        <v/>
      </c>
      <c r="G2900" s="25" t="str">
        <f>IF($N2900="","",INDEX('_calc'!$E$2:$E$3001,$N2900))</f>
        <v/>
      </c>
      <c r="H2900" s="25" t="str">
        <f>IF($N2900="","",INDEX('_calc'!$F$2:$F$3001,$N2900))</f>
        <v/>
      </c>
      <c r="I2900" s="27" t="str">
        <f>IF($N2900="","",INDEX('_calc'!$H$2:$H$3001,$N2900))</f>
        <v/>
      </c>
      <c r="J2900" s="27" t="str">
        <f>IF($N2900="","",INDEX('_calc'!$I$2:$I$3001,$N2900))</f>
        <v/>
      </c>
      <c r="K2900" s="28" t="str">
        <f>IF($N2900="","",IF(OR(I2900="",J2900=""),"",J2900-I2900))</f>
        <v/>
      </c>
      <c r="L2900" s="29" t="str">
        <f>IF($N2900="","",INDEX('_calc'!$J$2:$J$3001,$N2900))</f>
        <v/>
      </c>
      <c r="M2900" s="2" t="str">
        <f>IF($N2900="","",IF(AND(G2900=0,H2900=0),"수량 없음",IF(G2900=0,"신규 (전년 수량 없음)",IF(H2900=0,"당해 수량 없음",""))))</f>
        <v/>
      </c>
      <c r="N2900" t="str">
        <f>IF($B2900="","",MATCH($B2900,'_calc'!$L$2:$L$3001,0))</f>
        <v/>
      </c>
    </row>
    <row r="2901">
      <c r="B2901" s="24" t="str">
        <f>IF(ROW()-ROW($B$8)&gt;nComp,"",ROW()-ROW($B$8))</f>
        <v/>
      </c>
      <c r="C2901" t="str">
        <f>IF($N2901="","",INDEX('_calc'!$A$2:$A$3001,$N2901))</f>
        <v/>
      </c>
      <c r="D2901" s="25" t="str">
        <f>IF($N2901="","",INDEX('_calc'!$C$2:$C$3001,$N2901))</f>
        <v/>
      </c>
      <c r="E2901" s="25" t="str">
        <f>IF($N2901="","",INDEX('_calc'!$D$2:$D$3001,$N2901))</f>
        <v/>
      </c>
      <c r="F2901" s="26" t="str">
        <f>IF($N2901="","",IF($E$8=0,"",E2901/$E$8))</f>
        <v/>
      </c>
      <c r="G2901" s="25" t="str">
        <f>IF($N2901="","",INDEX('_calc'!$E$2:$E$3001,$N2901))</f>
        <v/>
      </c>
      <c r="H2901" s="25" t="str">
        <f>IF($N2901="","",INDEX('_calc'!$F$2:$F$3001,$N2901))</f>
        <v/>
      </c>
      <c r="I2901" s="27" t="str">
        <f>IF($N2901="","",INDEX('_calc'!$H$2:$H$3001,$N2901))</f>
        <v/>
      </c>
      <c r="J2901" s="27" t="str">
        <f>IF($N2901="","",INDEX('_calc'!$I$2:$I$3001,$N2901))</f>
        <v/>
      </c>
      <c r="K2901" s="28" t="str">
        <f>IF($N2901="","",IF(OR(I2901="",J2901=""),"",J2901-I2901))</f>
        <v/>
      </c>
      <c r="L2901" s="29" t="str">
        <f>IF($N2901="","",INDEX('_calc'!$J$2:$J$3001,$N2901))</f>
        <v/>
      </c>
      <c r="M2901" s="2" t="str">
        <f>IF($N2901="","",IF(AND(G2901=0,H2901=0),"수량 없음",IF(G2901=0,"신규 (전년 수량 없음)",IF(H2901=0,"당해 수량 없음",""))))</f>
        <v/>
      </c>
      <c r="N2901" t="str">
        <f>IF($B2901="","",MATCH($B2901,'_calc'!$L$2:$L$3001,0))</f>
        <v/>
      </c>
    </row>
    <row r="2902">
      <c r="B2902" s="24" t="str">
        <f>IF(ROW()-ROW($B$8)&gt;nComp,"",ROW()-ROW($B$8))</f>
        <v/>
      </c>
      <c r="C2902" t="str">
        <f>IF($N2902="","",INDEX('_calc'!$A$2:$A$3001,$N2902))</f>
        <v/>
      </c>
      <c r="D2902" s="25" t="str">
        <f>IF($N2902="","",INDEX('_calc'!$C$2:$C$3001,$N2902))</f>
        <v/>
      </c>
      <c r="E2902" s="25" t="str">
        <f>IF($N2902="","",INDEX('_calc'!$D$2:$D$3001,$N2902))</f>
        <v/>
      </c>
      <c r="F2902" s="26" t="str">
        <f>IF($N2902="","",IF($E$8=0,"",E2902/$E$8))</f>
        <v/>
      </c>
      <c r="G2902" s="25" t="str">
        <f>IF($N2902="","",INDEX('_calc'!$E$2:$E$3001,$N2902))</f>
        <v/>
      </c>
      <c r="H2902" s="25" t="str">
        <f>IF($N2902="","",INDEX('_calc'!$F$2:$F$3001,$N2902))</f>
        <v/>
      </c>
      <c r="I2902" s="27" t="str">
        <f>IF($N2902="","",INDEX('_calc'!$H$2:$H$3001,$N2902))</f>
        <v/>
      </c>
      <c r="J2902" s="27" t="str">
        <f>IF($N2902="","",INDEX('_calc'!$I$2:$I$3001,$N2902))</f>
        <v/>
      </c>
      <c r="K2902" s="28" t="str">
        <f>IF($N2902="","",IF(OR(I2902="",J2902=""),"",J2902-I2902))</f>
        <v/>
      </c>
      <c r="L2902" s="29" t="str">
        <f>IF($N2902="","",INDEX('_calc'!$J$2:$J$3001,$N2902))</f>
        <v/>
      </c>
      <c r="M2902" s="2" t="str">
        <f>IF($N2902="","",IF(AND(G2902=0,H2902=0),"수량 없음",IF(G2902=0,"신규 (전년 수량 없음)",IF(H2902=0,"당해 수량 없음",""))))</f>
        <v/>
      </c>
      <c r="N2902" t="str">
        <f>IF($B2902="","",MATCH($B2902,'_calc'!$L$2:$L$3001,0))</f>
        <v/>
      </c>
    </row>
    <row r="2903">
      <c r="B2903" s="24" t="str">
        <f>IF(ROW()-ROW($B$8)&gt;nComp,"",ROW()-ROW($B$8))</f>
        <v/>
      </c>
      <c r="C2903" t="str">
        <f>IF($N2903="","",INDEX('_calc'!$A$2:$A$3001,$N2903))</f>
        <v/>
      </c>
      <c r="D2903" s="25" t="str">
        <f>IF($N2903="","",INDEX('_calc'!$C$2:$C$3001,$N2903))</f>
        <v/>
      </c>
      <c r="E2903" s="25" t="str">
        <f>IF($N2903="","",INDEX('_calc'!$D$2:$D$3001,$N2903))</f>
        <v/>
      </c>
      <c r="F2903" s="26" t="str">
        <f>IF($N2903="","",IF($E$8=0,"",E2903/$E$8))</f>
        <v/>
      </c>
      <c r="G2903" s="25" t="str">
        <f>IF($N2903="","",INDEX('_calc'!$E$2:$E$3001,$N2903))</f>
        <v/>
      </c>
      <c r="H2903" s="25" t="str">
        <f>IF($N2903="","",INDEX('_calc'!$F$2:$F$3001,$N2903))</f>
        <v/>
      </c>
      <c r="I2903" s="27" t="str">
        <f>IF($N2903="","",INDEX('_calc'!$H$2:$H$3001,$N2903))</f>
        <v/>
      </c>
      <c r="J2903" s="27" t="str">
        <f>IF($N2903="","",INDEX('_calc'!$I$2:$I$3001,$N2903))</f>
        <v/>
      </c>
      <c r="K2903" s="28" t="str">
        <f>IF($N2903="","",IF(OR(I2903="",J2903=""),"",J2903-I2903))</f>
        <v/>
      </c>
      <c r="L2903" s="29" t="str">
        <f>IF($N2903="","",INDEX('_calc'!$J$2:$J$3001,$N2903))</f>
        <v/>
      </c>
      <c r="M2903" s="2" t="str">
        <f>IF($N2903="","",IF(AND(G2903=0,H2903=0),"수량 없음",IF(G2903=0,"신규 (전년 수량 없음)",IF(H2903=0,"당해 수량 없음",""))))</f>
        <v/>
      </c>
      <c r="N2903" t="str">
        <f>IF($B2903="","",MATCH($B2903,'_calc'!$L$2:$L$3001,0))</f>
        <v/>
      </c>
    </row>
    <row r="2904">
      <c r="B2904" s="24" t="str">
        <f>IF(ROW()-ROW($B$8)&gt;nComp,"",ROW()-ROW($B$8))</f>
        <v/>
      </c>
      <c r="C2904" t="str">
        <f>IF($N2904="","",INDEX('_calc'!$A$2:$A$3001,$N2904))</f>
        <v/>
      </c>
      <c r="D2904" s="25" t="str">
        <f>IF($N2904="","",INDEX('_calc'!$C$2:$C$3001,$N2904))</f>
        <v/>
      </c>
      <c r="E2904" s="25" t="str">
        <f>IF($N2904="","",INDEX('_calc'!$D$2:$D$3001,$N2904))</f>
        <v/>
      </c>
      <c r="F2904" s="26" t="str">
        <f>IF($N2904="","",IF($E$8=0,"",E2904/$E$8))</f>
        <v/>
      </c>
      <c r="G2904" s="25" t="str">
        <f>IF($N2904="","",INDEX('_calc'!$E$2:$E$3001,$N2904))</f>
        <v/>
      </c>
      <c r="H2904" s="25" t="str">
        <f>IF($N2904="","",INDEX('_calc'!$F$2:$F$3001,$N2904))</f>
        <v/>
      </c>
      <c r="I2904" s="27" t="str">
        <f>IF($N2904="","",INDEX('_calc'!$H$2:$H$3001,$N2904))</f>
        <v/>
      </c>
      <c r="J2904" s="27" t="str">
        <f>IF($N2904="","",INDEX('_calc'!$I$2:$I$3001,$N2904))</f>
        <v/>
      </c>
      <c r="K2904" s="28" t="str">
        <f>IF($N2904="","",IF(OR(I2904="",J2904=""),"",J2904-I2904))</f>
        <v/>
      </c>
      <c r="L2904" s="29" t="str">
        <f>IF($N2904="","",INDEX('_calc'!$J$2:$J$3001,$N2904))</f>
        <v/>
      </c>
      <c r="M2904" s="2" t="str">
        <f>IF($N2904="","",IF(AND(G2904=0,H2904=0),"수량 없음",IF(G2904=0,"신규 (전년 수량 없음)",IF(H2904=0,"당해 수량 없음",""))))</f>
        <v/>
      </c>
      <c r="N2904" t="str">
        <f>IF($B2904="","",MATCH($B2904,'_calc'!$L$2:$L$3001,0))</f>
        <v/>
      </c>
    </row>
    <row r="2905">
      <c r="B2905" s="24" t="str">
        <f>IF(ROW()-ROW($B$8)&gt;nComp,"",ROW()-ROW($B$8))</f>
        <v/>
      </c>
      <c r="C2905" t="str">
        <f>IF($N2905="","",INDEX('_calc'!$A$2:$A$3001,$N2905))</f>
        <v/>
      </c>
      <c r="D2905" s="25" t="str">
        <f>IF($N2905="","",INDEX('_calc'!$C$2:$C$3001,$N2905))</f>
        <v/>
      </c>
      <c r="E2905" s="25" t="str">
        <f>IF($N2905="","",INDEX('_calc'!$D$2:$D$3001,$N2905))</f>
        <v/>
      </c>
      <c r="F2905" s="26" t="str">
        <f>IF($N2905="","",IF($E$8=0,"",E2905/$E$8))</f>
        <v/>
      </c>
      <c r="G2905" s="25" t="str">
        <f>IF($N2905="","",INDEX('_calc'!$E$2:$E$3001,$N2905))</f>
        <v/>
      </c>
      <c r="H2905" s="25" t="str">
        <f>IF($N2905="","",INDEX('_calc'!$F$2:$F$3001,$N2905))</f>
        <v/>
      </c>
      <c r="I2905" s="27" t="str">
        <f>IF($N2905="","",INDEX('_calc'!$H$2:$H$3001,$N2905))</f>
        <v/>
      </c>
      <c r="J2905" s="27" t="str">
        <f>IF($N2905="","",INDEX('_calc'!$I$2:$I$3001,$N2905))</f>
        <v/>
      </c>
      <c r="K2905" s="28" t="str">
        <f>IF($N2905="","",IF(OR(I2905="",J2905=""),"",J2905-I2905))</f>
        <v/>
      </c>
      <c r="L2905" s="29" t="str">
        <f>IF($N2905="","",INDEX('_calc'!$J$2:$J$3001,$N2905))</f>
        <v/>
      </c>
      <c r="M2905" s="2" t="str">
        <f>IF($N2905="","",IF(AND(G2905=0,H2905=0),"수량 없음",IF(G2905=0,"신규 (전년 수량 없음)",IF(H2905=0,"당해 수량 없음",""))))</f>
        <v/>
      </c>
      <c r="N2905" t="str">
        <f>IF($B2905="","",MATCH($B2905,'_calc'!$L$2:$L$3001,0))</f>
        <v/>
      </c>
    </row>
    <row r="2906">
      <c r="B2906" s="24" t="str">
        <f>IF(ROW()-ROW($B$8)&gt;nComp,"",ROW()-ROW($B$8))</f>
        <v/>
      </c>
      <c r="C2906" t="str">
        <f>IF($N2906="","",INDEX('_calc'!$A$2:$A$3001,$N2906))</f>
        <v/>
      </c>
      <c r="D2906" s="25" t="str">
        <f>IF($N2906="","",INDEX('_calc'!$C$2:$C$3001,$N2906))</f>
        <v/>
      </c>
      <c r="E2906" s="25" t="str">
        <f>IF($N2906="","",INDEX('_calc'!$D$2:$D$3001,$N2906))</f>
        <v/>
      </c>
      <c r="F2906" s="26" t="str">
        <f>IF($N2906="","",IF($E$8=0,"",E2906/$E$8))</f>
        <v/>
      </c>
      <c r="G2906" s="25" t="str">
        <f>IF($N2906="","",INDEX('_calc'!$E$2:$E$3001,$N2906))</f>
        <v/>
      </c>
      <c r="H2906" s="25" t="str">
        <f>IF($N2906="","",INDEX('_calc'!$F$2:$F$3001,$N2906))</f>
        <v/>
      </c>
      <c r="I2906" s="27" t="str">
        <f>IF($N2906="","",INDEX('_calc'!$H$2:$H$3001,$N2906))</f>
        <v/>
      </c>
      <c r="J2906" s="27" t="str">
        <f>IF($N2906="","",INDEX('_calc'!$I$2:$I$3001,$N2906))</f>
        <v/>
      </c>
      <c r="K2906" s="28" t="str">
        <f>IF($N2906="","",IF(OR(I2906="",J2906=""),"",J2906-I2906))</f>
        <v/>
      </c>
      <c r="L2906" s="29" t="str">
        <f>IF($N2906="","",INDEX('_calc'!$J$2:$J$3001,$N2906))</f>
        <v/>
      </c>
      <c r="M2906" s="2" t="str">
        <f>IF($N2906="","",IF(AND(G2906=0,H2906=0),"수량 없음",IF(G2906=0,"신규 (전년 수량 없음)",IF(H2906=0,"당해 수량 없음",""))))</f>
        <v/>
      </c>
      <c r="N2906" t="str">
        <f>IF($B2906="","",MATCH($B2906,'_calc'!$L$2:$L$3001,0))</f>
        <v/>
      </c>
    </row>
    <row r="2907">
      <c r="B2907" s="24" t="str">
        <f>IF(ROW()-ROW($B$8)&gt;nComp,"",ROW()-ROW($B$8))</f>
        <v/>
      </c>
      <c r="C2907" t="str">
        <f>IF($N2907="","",INDEX('_calc'!$A$2:$A$3001,$N2907))</f>
        <v/>
      </c>
      <c r="D2907" s="25" t="str">
        <f>IF($N2907="","",INDEX('_calc'!$C$2:$C$3001,$N2907))</f>
        <v/>
      </c>
      <c r="E2907" s="25" t="str">
        <f>IF($N2907="","",INDEX('_calc'!$D$2:$D$3001,$N2907))</f>
        <v/>
      </c>
      <c r="F2907" s="26" t="str">
        <f>IF($N2907="","",IF($E$8=0,"",E2907/$E$8))</f>
        <v/>
      </c>
      <c r="G2907" s="25" t="str">
        <f>IF($N2907="","",INDEX('_calc'!$E$2:$E$3001,$N2907))</f>
        <v/>
      </c>
      <c r="H2907" s="25" t="str">
        <f>IF($N2907="","",INDEX('_calc'!$F$2:$F$3001,$N2907))</f>
        <v/>
      </c>
      <c r="I2907" s="27" t="str">
        <f>IF($N2907="","",INDEX('_calc'!$H$2:$H$3001,$N2907))</f>
        <v/>
      </c>
      <c r="J2907" s="27" t="str">
        <f>IF($N2907="","",INDEX('_calc'!$I$2:$I$3001,$N2907))</f>
        <v/>
      </c>
      <c r="K2907" s="28" t="str">
        <f>IF($N2907="","",IF(OR(I2907="",J2907=""),"",J2907-I2907))</f>
        <v/>
      </c>
      <c r="L2907" s="29" t="str">
        <f>IF($N2907="","",INDEX('_calc'!$J$2:$J$3001,$N2907))</f>
        <v/>
      </c>
      <c r="M2907" s="2" t="str">
        <f>IF($N2907="","",IF(AND(G2907=0,H2907=0),"수량 없음",IF(G2907=0,"신규 (전년 수량 없음)",IF(H2907=0,"당해 수량 없음",""))))</f>
        <v/>
      </c>
      <c r="N2907" t="str">
        <f>IF($B2907="","",MATCH($B2907,'_calc'!$L$2:$L$3001,0))</f>
        <v/>
      </c>
    </row>
    <row r="2908">
      <c r="B2908" s="24" t="str">
        <f>IF(ROW()-ROW($B$8)&gt;nComp,"",ROW()-ROW($B$8))</f>
        <v/>
      </c>
      <c r="C2908" t="str">
        <f>IF($N2908="","",INDEX('_calc'!$A$2:$A$3001,$N2908))</f>
        <v/>
      </c>
      <c r="D2908" s="25" t="str">
        <f>IF($N2908="","",INDEX('_calc'!$C$2:$C$3001,$N2908))</f>
        <v/>
      </c>
      <c r="E2908" s="25" t="str">
        <f>IF($N2908="","",INDEX('_calc'!$D$2:$D$3001,$N2908))</f>
        <v/>
      </c>
      <c r="F2908" s="26" t="str">
        <f>IF($N2908="","",IF($E$8=0,"",E2908/$E$8))</f>
        <v/>
      </c>
      <c r="G2908" s="25" t="str">
        <f>IF($N2908="","",INDEX('_calc'!$E$2:$E$3001,$N2908))</f>
        <v/>
      </c>
      <c r="H2908" s="25" t="str">
        <f>IF($N2908="","",INDEX('_calc'!$F$2:$F$3001,$N2908))</f>
        <v/>
      </c>
      <c r="I2908" s="27" t="str">
        <f>IF($N2908="","",INDEX('_calc'!$H$2:$H$3001,$N2908))</f>
        <v/>
      </c>
      <c r="J2908" s="27" t="str">
        <f>IF($N2908="","",INDEX('_calc'!$I$2:$I$3001,$N2908))</f>
        <v/>
      </c>
      <c r="K2908" s="28" t="str">
        <f>IF($N2908="","",IF(OR(I2908="",J2908=""),"",J2908-I2908))</f>
        <v/>
      </c>
      <c r="L2908" s="29" t="str">
        <f>IF($N2908="","",INDEX('_calc'!$J$2:$J$3001,$N2908))</f>
        <v/>
      </c>
      <c r="M2908" s="2" t="str">
        <f>IF($N2908="","",IF(AND(G2908=0,H2908=0),"수량 없음",IF(G2908=0,"신규 (전년 수량 없음)",IF(H2908=0,"당해 수량 없음",""))))</f>
        <v/>
      </c>
      <c r="N2908" t="str">
        <f>IF($B2908="","",MATCH($B2908,'_calc'!$L$2:$L$3001,0))</f>
        <v/>
      </c>
    </row>
    <row r="2909">
      <c r="B2909" s="24" t="str">
        <f>IF(ROW()-ROW($B$8)&gt;nComp,"",ROW()-ROW($B$8))</f>
        <v/>
      </c>
      <c r="C2909" t="str">
        <f>IF($N2909="","",INDEX('_calc'!$A$2:$A$3001,$N2909))</f>
        <v/>
      </c>
      <c r="D2909" s="25" t="str">
        <f>IF($N2909="","",INDEX('_calc'!$C$2:$C$3001,$N2909))</f>
        <v/>
      </c>
      <c r="E2909" s="25" t="str">
        <f>IF($N2909="","",INDEX('_calc'!$D$2:$D$3001,$N2909))</f>
        <v/>
      </c>
      <c r="F2909" s="26" t="str">
        <f>IF($N2909="","",IF($E$8=0,"",E2909/$E$8))</f>
        <v/>
      </c>
      <c r="G2909" s="25" t="str">
        <f>IF($N2909="","",INDEX('_calc'!$E$2:$E$3001,$N2909))</f>
        <v/>
      </c>
      <c r="H2909" s="25" t="str">
        <f>IF($N2909="","",INDEX('_calc'!$F$2:$F$3001,$N2909))</f>
        <v/>
      </c>
      <c r="I2909" s="27" t="str">
        <f>IF($N2909="","",INDEX('_calc'!$H$2:$H$3001,$N2909))</f>
        <v/>
      </c>
      <c r="J2909" s="27" t="str">
        <f>IF($N2909="","",INDEX('_calc'!$I$2:$I$3001,$N2909))</f>
        <v/>
      </c>
      <c r="K2909" s="28" t="str">
        <f>IF($N2909="","",IF(OR(I2909="",J2909=""),"",J2909-I2909))</f>
        <v/>
      </c>
      <c r="L2909" s="29" t="str">
        <f>IF($N2909="","",INDEX('_calc'!$J$2:$J$3001,$N2909))</f>
        <v/>
      </c>
      <c r="M2909" s="2" t="str">
        <f>IF($N2909="","",IF(AND(G2909=0,H2909=0),"수량 없음",IF(G2909=0,"신규 (전년 수량 없음)",IF(H2909=0,"당해 수량 없음",""))))</f>
        <v/>
      </c>
      <c r="N2909" t="str">
        <f>IF($B2909="","",MATCH($B2909,'_calc'!$L$2:$L$3001,0))</f>
        <v/>
      </c>
    </row>
    <row r="2910">
      <c r="B2910" s="24" t="str">
        <f>IF(ROW()-ROW($B$8)&gt;nComp,"",ROW()-ROW($B$8))</f>
        <v/>
      </c>
      <c r="C2910" t="str">
        <f>IF($N2910="","",INDEX('_calc'!$A$2:$A$3001,$N2910))</f>
        <v/>
      </c>
      <c r="D2910" s="25" t="str">
        <f>IF($N2910="","",INDEX('_calc'!$C$2:$C$3001,$N2910))</f>
        <v/>
      </c>
      <c r="E2910" s="25" t="str">
        <f>IF($N2910="","",INDEX('_calc'!$D$2:$D$3001,$N2910))</f>
        <v/>
      </c>
      <c r="F2910" s="26" t="str">
        <f>IF($N2910="","",IF($E$8=0,"",E2910/$E$8))</f>
        <v/>
      </c>
      <c r="G2910" s="25" t="str">
        <f>IF($N2910="","",INDEX('_calc'!$E$2:$E$3001,$N2910))</f>
        <v/>
      </c>
      <c r="H2910" s="25" t="str">
        <f>IF($N2910="","",INDEX('_calc'!$F$2:$F$3001,$N2910))</f>
        <v/>
      </c>
      <c r="I2910" s="27" t="str">
        <f>IF($N2910="","",INDEX('_calc'!$H$2:$H$3001,$N2910))</f>
        <v/>
      </c>
      <c r="J2910" s="27" t="str">
        <f>IF($N2910="","",INDEX('_calc'!$I$2:$I$3001,$N2910))</f>
        <v/>
      </c>
      <c r="K2910" s="28" t="str">
        <f>IF($N2910="","",IF(OR(I2910="",J2910=""),"",J2910-I2910))</f>
        <v/>
      </c>
      <c r="L2910" s="29" t="str">
        <f>IF($N2910="","",INDEX('_calc'!$J$2:$J$3001,$N2910))</f>
        <v/>
      </c>
      <c r="M2910" s="2" t="str">
        <f>IF($N2910="","",IF(AND(G2910=0,H2910=0),"수량 없음",IF(G2910=0,"신규 (전년 수량 없음)",IF(H2910=0,"당해 수량 없음",""))))</f>
        <v/>
      </c>
      <c r="N2910" t="str">
        <f>IF($B2910="","",MATCH($B2910,'_calc'!$L$2:$L$3001,0))</f>
        <v/>
      </c>
    </row>
    <row r="2911">
      <c r="B2911" s="24" t="str">
        <f>IF(ROW()-ROW($B$8)&gt;nComp,"",ROW()-ROW($B$8))</f>
        <v/>
      </c>
      <c r="C2911" t="str">
        <f>IF($N2911="","",INDEX('_calc'!$A$2:$A$3001,$N2911))</f>
        <v/>
      </c>
      <c r="D2911" s="25" t="str">
        <f>IF($N2911="","",INDEX('_calc'!$C$2:$C$3001,$N2911))</f>
        <v/>
      </c>
      <c r="E2911" s="25" t="str">
        <f>IF($N2911="","",INDEX('_calc'!$D$2:$D$3001,$N2911))</f>
        <v/>
      </c>
      <c r="F2911" s="26" t="str">
        <f>IF($N2911="","",IF($E$8=0,"",E2911/$E$8))</f>
        <v/>
      </c>
      <c r="G2911" s="25" t="str">
        <f>IF($N2911="","",INDEX('_calc'!$E$2:$E$3001,$N2911))</f>
        <v/>
      </c>
      <c r="H2911" s="25" t="str">
        <f>IF($N2911="","",INDEX('_calc'!$F$2:$F$3001,$N2911))</f>
        <v/>
      </c>
      <c r="I2911" s="27" t="str">
        <f>IF($N2911="","",INDEX('_calc'!$H$2:$H$3001,$N2911))</f>
        <v/>
      </c>
      <c r="J2911" s="27" t="str">
        <f>IF($N2911="","",INDEX('_calc'!$I$2:$I$3001,$N2911))</f>
        <v/>
      </c>
      <c r="K2911" s="28" t="str">
        <f>IF($N2911="","",IF(OR(I2911="",J2911=""),"",J2911-I2911))</f>
        <v/>
      </c>
      <c r="L2911" s="29" t="str">
        <f>IF($N2911="","",INDEX('_calc'!$J$2:$J$3001,$N2911))</f>
        <v/>
      </c>
      <c r="M2911" s="2" t="str">
        <f>IF($N2911="","",IF(AND(G2911=0,H2911=0),"수량 없음",IF(G2911=0,"신규 (전년 수량 없음)",IF(H2911=0,"당해 수량 없음",""))))</f>
        <v/>
      </c>
      <c r="N2911" t="str">
        <f>IF($B2911="","",MATCH($B2911,'_calc'!$L$2:$L$3001,0))</f>
        <v/>
      </c>
    </row>
    <row r="2912">
      <c r="B2912" s="24" t="str">
        <f>IF(ROW()-ROW($B$8)&gt;nComp,"",ROW()-ROW($B$8))</f>
        <v/>
      </c>
      <c r="C2912" t="str">
        <f>IF($N2912="","",INDEX('_calc'!$A$2:$A$3001,$N2912))</f>
        <v/>
      </c>
      <c r="D2912" s="25" t="str">
        <f>IF($N2912="","",INDEX('_calc'!$C$2:$C$3001,$N2912))</f>
        <v/>
      </c>
      <c r="E2912" s="25" t="str">
        <f>IF($N2912="","",INDEX('_calc'!$D$2:$D$3001,$N2912))</f>
        <v/>
      </c>
      <c r="F2912" s="26" t="str">
        <f>IF($N2912="","",IF($E$8=0,"",E2912/$E$8))</f>
        <v/>
      </c>
      <c r="G2912" s="25" t="str">
        <f>IF($N2912="","",INDEX('_calc'!$E$2:$E$3001,$N2912))</f>
        <v/>
      </c>
      <c r="H2912" s="25" t="str">
        <f>IF($N2912="","",INDEX('_calc'!$F$2:$F$3001,$N2912))</f>
        <v/>
      </c>
      <c r="I2912" s="27" t="str">
        <f>IF($N2912="","",INDEX('_calc'!$H$2:$H$3001,$N2912))</f>
        <v/>
      </c>
      <c r="J2912" s="27" t="str">
        <f>IF($N2912="","",INDEX('_calc'!$I$2:$I$3001,$N2912))</f>
        <v/>
      </c>
      <c r="K2912" s="28" t="str">
        <f>IF($N2912="","",IF(OR(I2912="",J2912=""),"",J2912-I2912))</f>
        <v/>
      </c>
      <c r="L2912" s="29" t="str">
        <f>IF($N2912="","",INDEX('_calc'!$J$2:$J$3001,$N2912))</f>
        <v/>
      </c>
      <c r="M2912" s="2" t="str">
        <f>IF($N2912="","",IF(AND(G2912=0,H2912=0),"수량 없음",IF(G2912=0,"신규 (전년 수량 없음)",IF(H2912=0,"당해 수량 없음",""))))</f>
        <v/>
      </c>
      <c r="N2912" t="str">
        <f>IF($B2912="","",MATCH($B2912,'_calc'!$L$2:$L$3001,0))</f>
        <v/>
      </c>
    </row>
    <row r="2913">
      <c r="B2913" s="24" t="str">
        <f>IF(ROW()-ROW($B$8)&gt;nComp,"",ROW()-ROW($B$8))</f>
        <v/>
      </c>
      <c r="C2913" t="str">
        <f>IF($N2913="","",INDEX('_calc'!$A$2:$A$3001,$N2913))</f>
        <v/>
      </c>
      <c r="D2913" s="25" t="str">
        <f>IF($N2913="","",INDEX('_calc'!$C$2:$C$3001,$N2913))</f>
        <v/>
      </c>
      <c r="E2913" s="25" t="str">
        <f>IF($N2913="","",INDEX('_calc'!$D$2:$D$3001,$N2913))</f>
        <v/>
      </c>
      <c r="F2913" s="26" t="str">
        <f>IF($N2913="","",IF($E$8=0,"",E2913/$E$8))</f>
        <v/>
      </c>
      <c r="G2913" s="25" t="str">
        <f>IF($N2913="","",INDEX('_calc'!$E$2:$E$3001,$N2913))</f>
        <v/>
      </c>
      <c r="H2913" s="25" t="str">
        <f>IF($N2913="","",INDEX('_calc'!$F$2:$F$3001,$N2913))</f>
        <v/>
      </c>
      <c r="I2913" s="27" t="str">
        <f>IF($N2913="","",INDEX('_calc'!$H$2:$H$3001,$N2913))</f>
        <v/>
      </c>
      <c r="J2913" s="27" t="str">
        <f>IF($N2913="","",INDEX('_calc'!$I$2:$I$3001,$N2913))</f>
        <v/>
      </c>
      <c r="K2913" s="28" t="str">
        <f>IF($N2913="","",IF(OR(I2913="",J2913=""),"",J2913-I2913))</f>
        <v/>
      </c>
      <c r="L2913" s="29" t="str">
        <f>IF($N2913="","",INDEX('_calc'!$J$2:$J$3001,$N2913))</f>
        <v/>
      </c>
      <c r="M2913" s="2" t="str">
        <f>IF($N2913="","",IF(AND(G2913=0,H2913=0),"수량 없음",IF(G2913=0,"신규 (전년 수량 없음)",IF(H2913=0,"당해 수량 없음",""))))</f>
        <v/>
      </c>
      <c r="N2913" t="str">
        <f>IF($B2913="","",MATCH($B2913,'_calc'!$L$2:$L$3001,0))</f>
        <v/>
      </c>
    </row>
    <row r="2914">
      <c r="B2914" s="24" t="str">
        <f>IF(ROW()-ROW($B$8)&gt;nComp,"",ROW()-ROW($B$8))</f>
        <v/>
      </c>
      <c r="C2914" t="str">
        <f>IF($N2914="","",INDEX('_calc'!$A$2:$A$3001,$N2914))</f>
        <v/>
      </c>
      <c r="D2914" s="25" t="str">
        <f>IF($N2914="","",INDEX('_calc'!$C$2:$C$3001,$N2914))</f>
        <v/>
      </c>
      <c r="E2914" s="25" t="str">
        <f>IF($N2914="","",INDEX('_calc'!$D$2:$D$3001,$N2914))</f>
        <v/>
      </c>
      <c r="F2914" s="26" t="str">
        <f>IF($N2914="","",IF($E$8=0,"",E2914/$E$8))</f>
        <v/>
      </c>
      <c r="G2914" s="25" t="str">
        <f>IF($N2914="","",INDEX('_calc'!$E$2:$E$3001,$N2914))</f>
        <v/>
      </c>
      <c r="H2914" s="25" t="str">
        <f>IF($N2914="","",INDEX('_calc'!$F$2:$F$3001,$N2914))</f>
        <v/>
      </c>
      <c r="I2914" s="27" t="str">
        <f>IF($N2914="","",INDEX('_calc'!$H$2:$H$3001,$N2914))</f>
        <v/>
      </c>
      <c r="J2914" s="27" t="str">
        <f>IF($N2914="","",INDEX('_calc'!$I$2:$I$3001,$N2914))</f>
        <v/>
      </c>
      <c r="K2914" s="28" t="str">
        <f>IF($N2914="","",IF(OR(I2914="",J2914=""),"",J2914-I2914))</f>
        <v/>
      </c>
      <c r="L2914" s="29" t="str">
        <f>IF($N2914="","",INDEX('_calc'!$J$2:$J$3001,$N2914))</f>
        <v/>
      </c>
      <c r="M2914" s="2" t="str">
        <f>IF($N2914="","",IF(AND(G2914=0,H2914=0),"수량 없음",IF(G2914=0,"신규 (전년 수량 없음)",IF(H2914=0,"당해 수량 없음",""))))</f>
        <v/>
      </c>
      <c r="N2914" t="str">
        <f>IF($B2914="","",MATCH($B2914,'_calc'!$L$2:$L$3001,0))</f>
        <v/>
      </c>
    </row>
    <row r="2915">
      <c r="B2915" s="24" t="str">
        <f>IF(ROW()-ROW($B$8)&gt;nComp,"",ROW()-ROW($B$8))</f>
        <v/>
      </c>
      <c r="C2915" t="str">
        <f>IF($N2915="","",INDEX('_calc'!$A$2:$A$3001,$N2915))</f>
        <v/>
      </c>
      <c r="D2915" s="25" t="str">
        <f>IF($N2915="","",INDEX('_calc'!$C$2:$C$3001,$N2915))</f>
        <v/>
      </c>
      <c r="E2915" s="25" t="str">
        <f>IF($N2915="","",INDEX('_calc'!$D$2:$D$3001,$N2915))</f>
        <v/>
      </c>
      <c r="F2915" s="26" t="str">
        <f>IF($N2915="","",IF($E$8=0,"",E2915/$E$8))</f>
        <v/>
      </c>
      <c r="G2915" s="25" t="str">
        <f>IF($N2915="","",INDEX('_calc'!$E$2:$E$3001,$N2915))</f>
        <v/>
      </c>
      <c r="H2915" s="25" t="str">
        <f>IF($N2915="","",INDEX('_calc'!$F$2:$F$3001,$N2915))</f>
        <v/>
      </c>
      <c r="I2915" s="27" t="str">
        <f>IF($N2915="","",INDEX('_calc'!$H$2:$H$3001,$N2915))</f>
        <v/>
      </c>
      <c r="J2915" s="27" t="str">
        <f>IF($N2915="","",INDEX('_calc'!$I$2:$I$3001,$N2915))</f>
        <v/>
      </c>
      <c r="K2915" s="28" t="str">
        <f>IF($N2915="","",IF(OR(I2915="",J2915=""),"",J2915-I2915))</f>
        <v/>
      </c>
      <c r="L2915" s="29" t="str">
        <f>IF($N2915="","",INDEX('_calc'!$J$2:$J$3001,$N2915))</f>
        <v/>
      </c>
      <c r="M2915" s="2" t="str">
        <f>IF($N2915="","",IF(AND(G2915=0,H2915=0),"수량 없음",IF(G2915=0,"신규 (전년 수량 없음)",IF(H2915=0,"당해 수량 없음",""))))</f>
        <v/>
      </c>
      <c r="N2915" t="str">
        <f>IF($B2915="","",MATCH($B2915,'_calc'!$L$2:$L$3001,0))</f>
        <v/>
      </c>
    </row>
    <row r="2916">
      <c r="B2916" s="24" t="str">
        <f>IF(ROW()-ROW($B$8)&gt;nComp,"",ROW()-ROW($B$8))</f>
        <v/>
      </c>
      <c r="C2916" t="str">
        <f>IF($N2916="","",INDEX('_calc'!$A$2:$A$3001,$N2916))</f>
        <v/>
      </c>
      <c r="D2916" s="25" t="str">
        <f>IF($N2916="","",INDEX('_calc'!$C$2:$C$3001,$N2916))</f>
        <v/>
      </c>
      <c r="E2916" s="25" t="str">
        <f>IF($N2916="","",INDEX('_calc'!$D$2:$D$3001,$N2916))</f>
        <v/>
      </c>
      <c r="F2916" s="26" t="str">
        <f>IF($N2916="","",IF($E$8=0,"",E2916/$E$8))</f>
        <v/>
      </c>
      <c r="G2916" s="25" t="str">
        <f>IF($N2916="","",INDEX('_calc'!$E$2:$E$3001,$N2916))</f>
        <v/>
      </c>
      <c r="H2916" s="25" t="str">
        <f>IF($N2916="","",INDEX('_calc'!$F$2:$F$3001,$N2916))</f>
        <v/>
      </c>
      <c r="I2916" s="27" t="str">
        <f>IF($N2916="","",INDEX('_calc'!$H$2:$H$3001,$N2916))</f>
        <v/>
      </c>
      <c r="J2916" s="27" t="str">
        <f>IF($N2916="","",INDEX('_calc'!$I$2:$I$3001,$N2916))</f>
        <v/>
      </c>
      <c r="K2916" s="28" t="str">
        <f>IF($N2916="","",IF(OR(I2916="",J2916=""),"",J2916-I2916))</f>
        <v/>
      </c>
      <c r="L2916" s="29" t="str">
        <f>IF($N2916="","",INDEX('_calc'!$J$2:$J$3001,$N2916))</f>
        <v/>
      </c>
      <c r="M2916" s="2" t="str">
        <f>IF($N2916="","",IF(AND(G2916=0,H2916=0),"수량 없음",IF(G2916=0,"신규 (전년 수량 없음)",IF(H2916=0,"당해 수량 없음",""))))</f>
        <v/>
      </c>
      <c r="N2916" t="str">
        <f>IF($B2916="","",MATCH($B2916,'_calc'!$L$2:$L$3001,0))</f>
        <v/>
      </c>
    </row>
    <row r="2917">
      <c r="B2917" s="24" t="str">
        <f>IF(ROW()-ROW($B$8)&gt;nComp,"",ROW()-ROW($B$8))</f>
        <v/>
      </c>
      <c r="C2917" t="str">
        <f>IF($N2917="","",INDEX('_calc'!$A$2:$A$3001,$N2917))</f>
        <v/>
      </c>
      <c r="D2917" s="25" t="str">
        <f>IF($N2917="","",INDEX('_calc'!$C$2:$C$3001,$N2917))</f>
        <v/>
      </c>
      <c r="E2917" s="25" t="str">
        <f>IF($N2917="","",INDEX('_calc'!$D$2:$D$3001,$N2917))</f>
        <v/>
      </c>
      <c r="F2917" s="26" t="str">
        <f>IF($N2917="","",IF($E$8=0,"",E2917/$E$8))</f>
        <v/>
      </c>
      <c r="G2917" s="25" t="str">
        <f>IF($N2917="","",INDEX('_calc'!$E$2:$E$3001,$N2917))</f>
        <v/>
      </c>
      <c r="H2917" s="25" t="str">
        <f>IF($N2917="","",INDEX('_calc'!$F$2:$F$3001,$N2917))</f>
        <v/>
      </c>
      <c r="I2917" s="27" t="str">
        <f>IF($N2917="","",INDEX('_calc'!$H$2:$H$3001,$N2917))</f>
        <v/>
      </c>
      <c r="J2917" s="27" t="str">
        <f>IF($N2917="","",INDEX('_calc'!$I$2:$I$3001,$N2917))</f>
        <v/>
      </c>
      <c r="K2917" s="28" t="str">
        <f>IF($N2917="","",IF(OR(I2917="",J2917=""),"",J2917-I2917))</f>
        <v/>
      </c>
      <c r="L2917" s="29" t="str">
        <f>IF($N2917="","",INDEX('_calc'!$J$2:$J$3001,$N2917))</f>
        <v/>
      </c>
      <c r="M2917" s="2" t="str">
        <f>IF($N2917="","",IF(AND(G2917=0,H2917=0),"수량 없음",IF(G2917=0,"신규 (전년 수량 없음)",IF(H2917=0,"당해 수량 없음",""))))</f>
        <v/>
      </c>
      <c r="N2917" t="str">
        <f>IF($B2917="","",MATCH($B2917,'_calc'!$L$2:$L$3001,0))</f>
        <v/>
      </c>
    </row>
    <row r="2918">
      <c r="B2918" s="24" t="str">
        <f>IF(ROW()-ROW($B$8)&gt;nComp,"",ROW()-ROW($B$8))</f>
        <v/>
      </c>
      <c r="C2918" t="str">
        <f>IF($N2918="","",INDEX('_calc'!$A$2:$A$3001,$N2918))</f>
        <v/>
      </c>
      <c r="D2918" s="25" t="str">
        <f>IF($N2918="","",INDEX('_calc'!$C$2:$C$3001,$N2918))</f>
        <v/>
      </c>
      <c r="E2918" s="25" t="str">
        <f>IF($N2918="","",INDEX('_calc'!$D$2:$D$3001,$N2918))</f>
        <v/>
      </c>
      <c r="F2918" s="26" t="str">
        <f>IF($N2918="","",IF($E$8=0,"",E2918/$E$8))</f>
        <v/>
      </c>
      <c r="G2918" s="25" t="str">
        <f>IF($N2918="","",INDEX('_calc'!$E$2:$E$3001,$N2918))</f>
        <v/>
      </c>
      <c r="H2918" s="25" t="str">
        <f>IF($N2918="","",INDEX('_calc'!$F$2:$F$3001,$N2918))</f>
        <v/>
      </c>
      <c r="I2918" s="27" t="str">
        <f>IF($N2918="","",INDEX('_calc'!$H$2:$H$3001,$N2918))</f>
        <v/>
      </c>
      <c r="J2918" s="27" t="str">
        <f>IF($N2918="","",INDEX('_calc'!$I$2:$I$3001,$N2918))</f>
        <v/>
      </c>
      <c r="K2918" s="28" t="str">
        <f>IF($N2918="","",IF(OR(I2918="",J2918=""),"",J2918-I2918))</f>
        <v/>
      </c>
      <c r="L2918" s="29" t="str">
        <f>IF($N2918="","",INDEX('_calc'!$J$2:$J$3001,$N2918))</f>
        <v/>
      </c>
      <c r="M2918" s="2" t="str">
        <f>IF($N2918="","",IF(AND(G2918=0,H2918=0),"수량 없음",IF(G2918=0,"신규 (전년 수량 없음)",IF(H2918=0,"당해 수량 없음",""))))</f>
        <v/>
      </c>
      <c r="N2918" t="str">
        <f>IF($B2918="","",MATCH($B2918,'_calc'!$L$2:$L$3001,0))</f>
        <v/>
      </c>
    </row>
    <row r="2919">
      <c r="B2919" s="24" t="str">
        <f>IF(ROW()-ROW($B$8)&gt;nComp,"",ROW()-ROW($B$8))</f>
        <v/>
      </c>
      <c r="C2919" t="str">
        <f>IF($N2919="","",INDEX('_calc'!$A$2:$A$3001,$N2919))</f>
        <v/>
      </c>
      <c r="D2919" s="25" t="str">
        <f>IF($N2919="","",INDEX('_calc'!$C$2:$C$3001,$N2919))</f>
        <v/>
      </c>
      <c r="E2919" s="25" t="str">
        <f>IF($N2919="","",INDEX('_calc'!$D$2:$D$3001,$N2919))</f>
        <v/>
      </c>
      <c r="F2919" s="26" t="str">
        <f>IF($N2919="","",IF($E$8=0,"",E2919/$E$8))</f>
        <v/>
      </c>
      <c r="G2919" s="25" t="str">
        <f>IF($N2919="","",INDEX('_calc'!$E$2:$E$3001,$N2919))</f>
        <v/>
      </c>
      <c r="H2919" s="25" t="str">
        <f>IF($N2919="","",INDEX('_calc'!$F$2:$F$3001,$N2919))</f>
        <v/>
      </c>
      <c r="I2919" s="27" t="str">
        <f>IF($N2919="","",INDEX('_calc'!$H$2:$H$3001,$N2919))</f>
        <v/>
      </c>
      <c r="J2919" s="27" t="str">
        <f>IF($N2919="","",INDEX('_calc'!$I$2:$I$3001,$N2919))</f>
        <v/>
      </c>
      <c r="K2919" s="28" t="str">
        <f>IF($N2919="","",IF(OR(I2919="",J2919=""),"",J2919-I2919))</f>
        <v/>
      </c>
      <c r="L2919" s="29" t="str">
        <f>IF($N2919="","",INDEX('_calc'!$J$2:$J$3001,$N2919))</f>
        <v/>
      </c>
      <c r="M2919" s="2" t="str">
        <f>IF($N2919="","",IF(AND(G2919=0,H2919=0),"수량 없음",IF(G2919=0,"신규 (전년 수량 없음)",IF(H2919=0,"당해 수량 없음",""))))</f>
        <v/>
      </c>
      <c r="N2919" t="str">
        <f>IF($B2919="","",MATCH($B2919,'_calc'!$L$2:$L$3001,0))</f>
        <v/>
      </c>
    </row>
    <row r="2920">
      <c r="B2920" s="24" t="str">
        <f>IF(ROW()-ROW($B$8)&gt;nComp,"",ROW()-ROW($B$8))</f>
        <v/>
      </c>
      <c r="C2920" t="str">
        <f>IF($N2920="","",INDEX('_calc'!$A$2:$A$3001,$N2920))</f>
        <v/>
      </c>
      <c r="D2920" s="25" t="str">
        <f>IF($N2920="","",INDEX('_calc'!$C$2:$C$3001,$N2920))</f>
        <v/>
      </c>
      <c r="E2920" s="25" t="str">
        <f>IF($N2920="","",INDEX('_calc'!$D$2:$D$3001,$N2920))</f>
        <v/>
      </c>
      <c r="F2920" s="26" t="str">
        <f>IF($N2920="","",IF($E$8=0,"",E2920/$E$8))</f>
        <v/>
      </c>
      <c r="G2920" s="25" t="str">
        <f>IF($N2920="","",INDEX('_calc'!$E$2:$E$3001,$N2920))</f>
        <v/>
      </c>
      <c r="H2920" s="25" t="str">
        <f>IF($N2920="","",INDEX('_calc'!$F$2:$F$3001,$N2920))</f>
        <v/>
      </c>
      <c r="I2920" s="27" t="str">
        <f>IF($N2920="","",INDEX('_calc'!$H$2:$H$3001,$N2920))</f>
        <v/>
      </c>
      <c r="J2920" s="27" t="str">
        <f>IF($N2920="","",INDEX('_calc'!$I$2:$I$3001,$N2920))</f>
        <v/>
      </c>
      <c r="K2920" s="28" t="str">
        <f>IF($N2920="","",IF(OR(I2920="",J2920=""),"",J2920-I2920))</f>
        <v/>
      </c>
      <c r="L2920" s="29" t="str">
        <f>IF($N2920="","",INDEX('_calc'!$J$2:$J$3001,$N2920))</f>
        <v/>
      </c>
      <c r="M2920" s="2" t="str">
        <f>IF($N2920="","",IF(AND(G2920=0,H2920=0),"수량 없음",IF(G2920=0,"신규 (전년 수량 없음)",IF(H2920=0,"당해 수량 없음",""))))</f>
        <v/>
      </c>
      <c r="N2920" t="str">
        <f>IF($B2920="","",MATCH($B2920,'_calc'!$L$2:$L$3001,0))</f>
        <v/>
      </c>
    </row>
    <row r="2921">
      <c r="B2921" s="24" t="str">
        <f>IF(ROW()-ROW($B$8)&gt;nComp,"",ROW()-ROW($B$8))</f>
        <v/>
      </c>
      <c r="C2921" t="str">
        <f>IF($N2921="","",INDEX('_calc'!$A$2:$A$3001,$N2921))</f>
        <v/>
      </c>
      <c r="D2921" s="25" t="str">
        <f>IF($N2921="","",INDEX('_calc'!$C$2:$C$3001,$N2921))</f>
        <v/>
      </c>
      <c r="E2921" s="25" t="str">
        <f>IF($N2921="","",INDEX('_calc'!$D$2:$D$3001,$N2921))</f>
        <v/>
      </c>
      <c r="F2921" s="26" t="str">
        <f>IF($N2921="","",IF($E$8=0,"",E2921/$E$8))</f>
        <v/>
      </c>
      <c r="G2921" s="25" t="str">
        <f>IF($N2921="","",INDEX('_calc'!$E$2:$E$3001,$N2921))</f>
        <v/>
      </c>
      <c r="H2921" s="25" t="str">
        <f>IF($N2921="","",INDEX('_calc'!$F$2:$F$3001,$N2921))</f>
        <v/>
      </c>
      <c r="I2921" s="27" t="str">
        <f>IF($N2921="","",INDEX('_calc'!$H$2:$H$3001,$N2921))</f>
        <v/>
      </c>
      <c r="J2921" s="27" t="str">
        <f>IF($N2921="","",INDEX('_calc'!$I$2:$I$3001,$N2921))</f>
        <v/>
      </c>
      <c r="K2921" s="28" t="str">
        <f>IF($N2921="","",IF(OR(I2921="",J2921=""),"",J2921-I2921))</f>
        <v/>
      </c>
      <c r="L2921" s="29" t="str">
        <f>IF($N2921="","",INDEX('_calc'!$J$2:$J$3001,$N2921))</f>
        <v/>
      </c>
      <c r="M2921" s="2" t="str">
        <f>IF($N2921="","",IF(AND(G2921=0,H2921=0),"수량 없음",IF(G2921=0,"신규 (전년 수량 없음)",IF(H2921=0,"당해 수량 없음",""))))</f>
        <v/>
      </c>
      <c r="N2921" t="str">
        <f>IF($B2921="","",MATCH($B2921,'_calc'!$L$2:$L$3001,0))</f>
        <v/>
      </c>
    </row>
    <row r="2922">
      <c r="B2922" s="24" t="str">
        <f>IF(ROW()-ROW($B$8)&gt;nComp,"",ROW()-ROW($B$8))</f>
        <v/>
      </c>
      <c r="C2922" t="str">
        <f>IF($N2922="","",INDEX('_calc'!$A$2:$A$3001,$N2922))</f>
        <v/>
      </c>
      <c r="D2922" s="25" t="str">
        <f>IF($N2922="","",INDEX('_calc'!$C$2:$C$3001,$N2922))</f>
        <v/>
      </c>
      <c r="E2922" s="25" t="str">
        <f>IF($N2922="","",INDEX('_calc'!$D$2:$D$3001,$N2922))</f>
        <v/>
      </c>
      <c r="F2922" s="26" t="str">
        <f>IF($N2922="","",IF($E$8=0,"",E2922/$E$8))</f>
        <v/>
      </c>
      <c r="G2922" s="25" t="str">
        <f>IF($N2922="","",INDEX('_calc'!$E$2:$E$3001,$N2922))</f>
        <v/>
      </c>
      <c r="H2922" s="25" t="str">
        <f>IF($N2922="","",INDEX('_calc'!$F$2:$F$3001,$N2922))</f>
        <v/>
      </c>
      <c r="I2922" s="27" t="str">
        <f>IF($N2922="","",INDEX('_calc'!$H$2:$H$3001,$N2922))</f>
        <v/>
      </c>
      <c r="J2922" s="27" t="str">
        <f>IF($N2922="","",INDEX('_calc'!$I$2:$I$3001,$N2922))</f>
        <v/>
      </c>
      <c r="K2922" s="28" t="str">
        <f>IF($N2922="","",IF(OR(I2922="",J2922=""),"",J2922-I2922))</f>
        <v/>
      </c>
      <c r="L2922" s="29" t="str">
        <f>IF($N2922="","",INDEX('_calc'!$J$2:$J$3001,$N2922))</f>
        <v/>
      </c>
      <c r="M2922" s="2" t="str">
        <f>IF($N2922="","",IF(AND(G2922=0,H2922=0),"수량 없음",IF(G2922=0,"신규 (전년 수량 없음)",IF(H2922=0,"당해 수량 없음",""))))</f>
        <v/>
      </c>
      <c r="N2922" t="str">
        <f>IF($B2922="","",MATCH($B2922,'_calc'!$L$2:$L$3001,0))</f>
        <v/>
      </c>
    </row>
    <row r="2923">
      <c r="B2923" s="24" t="str">
        <f>IF(ROW()-ROW($B$8)&gt;nComp,"",ROW()-ROW($B$8))</f>
        <v/>
      </c>
      <c r="C2923" t="str">
        <f>IF($N2923="","",INDEX('_calc'!$A$2:$A$3001,$N2923))</f>
        <v/>
      </c>
      <c r="D2923" s="25" t="str">
        <f>IF($N2923="","",INDEX('_calc'!$C$2:$C$3001,$N2923))</f>
        <v/>
      </c>
      <c r="E2923" s="25" t="str">
        <f>IF($N2923="","",INDEX('_calc'!$D$2:$D$3001,$N2923))</f>
        <v/>
      </c>
      <c r="F2923" s="26" t="str">
        <f>IF($N2923="","",IF($E$8=0,"",E2923/$E$8))</f>
        <v/>
      </c>
      <c r="G2923" s="25" t="str">
        <f>IF($N2923="","",INDEX('_calc'!$E$2:$E$3001,$N2923))</f>
        <v/>
      </c>
      <c r="H2923" s="25" t="str">
        <f>IF($N2923="","",INDEX('_calc'!$F$2:$F$3001,$N2923))</f>
        <v/>
      </c>
      <c r="I2923" s="27" t="str">
        <f>IF($N2923="","",INDEX('_calc'!$H$2:$H$3001,$N2923))</f>
        <v/>
      </c>
      <c r="J2923" s="27" t="str">
        <f>IF($N2923="","",INDEX('_calc'!$I$2:$I$3001,$N2923))</f>
        <v/>
      </c>
      <c r="K2923" s="28" t="str">
        <f>IF($N2923="","",IF(OR(I2923="",J2923=""),"",J2923-I2923))</f>
        <v/>
      </c>
      <c r="L2923" s="29" t="str">
        <f>IF($N2923="","",INDEX('_calc'!$J$2:$J$3001,$N2923))</f>
        <v/>
      </c>
      <c r="M2923" s="2" t="str">
        <f>IF($N2923="","",IF(AND(G2923=0,H2923=0),"수량 없음",IF(G2923=0,"신규 (전년 수량 없음)",IF(H2923=0,"당해 수량 없음",""))))</f>
        <v/>
      </c>
      <c r="N2923" t="str">
        <f>IF($B2923="","",MATCH($B2923,'_calc'!$L$2:$L$3001,0))</f>
        <v/>
      </c>
    </row>
    <row r="2924">
      <c r="B2924" s="24" t="str">
        <f>IF(ROW()-ROW($B$8)&gt;nComp,"",ROW()-ROW($B$8))</f>
        <v/>
      </c>
      <c r="C2924" t="str">
        <f>IF($N2924="","",INDEX('_calc'!$A$2:$A$3001,$N2924))</f>
        <v/>
      </c>
      <c r="D2924" s="25" t="str">
        <f>IF($N2924="","",INDEX('_calc'!$C$2:$C$3001,$N2924))</f>
        <v/>
      </c>
      <c r="E2924" s="25" t="str">
        <f>IF($N2924="","",INDEX('_calc'!$D$2:$D$3001,$N2924))</f>
        <v/>
      </c>
      <c r="F2924" s="26" t="str">
        <f>IF($N2924="","",IF($E$8=0,"",E2924/$E$8))</f>
        <v/>
      </c>
      <c r="G2924" s="25" t="str">
        <f>IF($N2924="","",INDEX('_calc'!$E$2:$E$3001,$N2924))</f>
        <v/>
      </c>
      <c r="H2924" s="25" t="str">
        <f>IF($N2924="","",INDEX('_calc'!$F$2:$F$3001,$N2924))</f>
        <v/>
      </c>
      <c r="I2924" s="27" t="str">
        <f>IF($N2924="","",INDEX('_calc'!$H$2:$H$3001,$N2924))</f>
        <v/>
      </c>
      <c r="J2924" s="27" t="str">
        <f>IF($N2924="","",INDEX('_calc'!$I$2:$I$3001,$N2924))</f>
        <v/>
      </c>
      <c r="K2924" s="28" t="str">
        <f>IF($N2924="","",IF(OR(I2924="",J2924=""),"",J2924-I2924))</f>
        <v/>
      </c>
      <c r="L2924" s="29" t="str">
        <f>IF($N2924="","",INDEX('_calc'!$J$2:$J$3001,$N2924))</f>
        <v/>
      </c>
      <c r="M2924" s="2" t="str">
        <f>IF($N2924="","",IF(AND(G2924=0,H2924=0),"수량 없음",IF(G2924=0,"신규 (전년 수량 없음)",IF(H2924=0,"당해 수량 없음",""))))</f>
        <v/>
      </c>
      <c r="N2924" t="str">
        <f>IF($B2924="","",MATCH($B2924,'_calc'!$L$2:$L$3001,0))</f>
        <v/>
      </c>
    </row>
    <row r="2925">
      <c r="B2925" s="24" t="str">
        <f>IF(ROW()-ROW($B$8)&gt;nComp,"",ROW()-ROW($B$8))</f>
        <v/>
      </c>
      <c r="C2925" t="str">
        <f>IF($N2925="","",INDEX('_calc'!$A$2:$A$3001,$N2925))</f>
        <v/>
      </c>
      <c r="D2925" s="25" t="str">
        <f>IF($N2925="","",INDEX('_calc'!$C$2:$C$3001,$N2925))</f>
        <v/>
      </c>
      <c r="E2925" s="25" t="str">
        <f>IF($N2925="","",INDEX('_calc'!$D$2:$D$3001,$N2925))</f>
        <v/>
      </c>
      <c r="F2925" s="26" t="str">
        <f>IF($N2925="","",IF($E$8=0,"",E2925/$E$8))</f>
        <v/>
      </c>
      <c r="G2925" s="25" t="str">
        <f>IF($N2925="","",INDEX('_calc'!$E$2:$E$3001,$N2925))</f>
        <v/>
      </c>
      <c r="H2925" s="25" t="str">
        <f>IF($N2925="","",INDEX('_calc'!$F$2:$F$3001,$N2925))</f>
        <v/>
      </c>
      <c r="I2925" s="27" t="str">
        <f>IF($N2925="","",INDEX('_calc'!$H$2:$H$3001,$N2925))</f>
        <v/>
      </c>
      <c r="J2925" s="27" t="str">
        <f>IF($N2925="","",INDEX('_calc'!$I$2:$I$3001,$N2925))</f>
        <v/>
      </c>
      <c r="K2925" s="28" t="str">
        <f>IF($N2925="","",IF(OR(I2925="",J2925=""),"",J2925-I2925))</f>
        <v/>
      </c>
      <c r="L2925" s="29" t="str">
        <f>IF($N2925="","",INDEX('_calc'!$J$2:$J$3001,$N2925))</f>
        <v/>
      </c>
      <c r="M2925" s="2" t="str">
        <f>IF($N2925="","",IF(AND(G2925=0,H2925=0),"수량 없음",IF(G2925=0,"신규 (전년 수량 없음)",IF(H2925=0,"당해 수량 없음",""))))</f>
        <v/>
      </c>
      <c r="N2925" t="str">
        <f>IF($B2925="","",MATCH($B2925,'_calc'!$L$2:$L$3001,0))</f>
        <v/>
      </c>
    </row>
    <row r="2926">
      <c r="B2926" s="24" t="str">
        <f>IF(ROW()-ROW($B$8)&gt;nComp,"",ROW()-ROW($B$8))</f>
        <v/>
      </c>
      <c r="C2926" t="str">
        <f>IF($N2926="","",INDEX('_calc'!$A$2:$A$3001,$N2926))</f>
        <v/>
      </c>
      <c r="D2926" s="25" t="str">
        <f>IF($N2926="","",INDEX('_calc'!$C$2:$C$3001,$N2926))</f>
        <v/>
      </c>
      <c r="E2926" s="25" t="str">
        <f>IF($N2926="","",INDEX('_calc'!$D$2:$D$3001,$N2926))</f>
        <v/>
      </c>
      <c r="F2926" s="26" t="str">
        <f>IF($N2926="","",IF($E$8=0,"",E2926/$E$8))</f>
        <v/>
      </c>
      <c r="G2926" s="25" t="str">
        <f>IF($N2926="","",INDEX('_calc'!$E$2:$E$3001,$N2926))</f>
        <v/>
      </c>
      <c r="H2926" s="25" t="str">
        <f>IF($N2926="","",INDEX('_calc'!$F$2:$F$3001,$N2926))</f>
        <v/>
      </c>
      <c r="I2926" s="27" t="str">
        <f>IF($N2926="","",INDEX('_calc'!$H$2:$H$3001,$N2926))</f>
        <v/>
      </c>
      <c r="J2926" s="27" t="str">
        <f>IF($N2926="","",INDEX('_calc'!$I$2:$I$3001,$N2926))</f>
        <v/>
      </c>
      <c r="K2926" s="28" t="str">
        <f>IF($N2926="","",IF(OR(I2926="",J2926=""),"",J2926-I2926))</f>
        <v/>
      </c>
      <c r="L2926" s="29" t="str">
        <f>IF($N2926="","",INDEX('_calc'!$J$2:$J$3001,$N2926))</f>
        <v/>
      </c>
      <c r="M2926" s="2" t="str">
        <f>IF($N2926="","",IF(AND(G2926=0,H2926=0),"수량 없음",IF(G2926=0,"신규 (전년 수량 없음)",IF(H2926=0,"당해 수량 없음",""))))</f>
        <v/>
      </c>
      <c r="N2926" t="str">
        <f>IF($B2926="","",MATCH($B2926,'_calc'!$L$2:$L$3001,0))</f>
        <v/>
      </c>
    </row>
    <row r="2927">
      <c r="B2927" s="24" t="str">
        <f>IF(ROW()-ROW($B$8)&gt;nComp,"",ROW()-ROW($B$8))</f>
        <v/>
      </c>
      <c r="C2927" t="str">
        <f>IF($N2927="","",INDEX('_calc'!$A$2:$A$3001,$N2927))</f>
        <v/>
      </c>
      <c r="D2927" s="25" t="str">
        <f>IF($N2927="","",INDEX('_calc'!$C$2:$C$3001,$N2927))</f>
        <v/>
      </c>
      <c r="E2927" s="25" t="str">
        <f>IF($N2927="","",INDEX('_calc'!$D$2:$D$3001,$N2927))</f>
        <v/>
      </c>
      <c r="F2927" s="26" t="str">
        <f>IF($N2927="","",IF($E$8=0,"",E2927/$E$8))</f>
        <v/>
      </c>
      <c r="G2927" s="25" t="str">
        <f>IF($N2927="","",INDEX('_calc'!$E$2:$E$3001,$N2927))</f>
        <v/>
      </c>
      <c r="H2927" s="25" t="str">
        <f>IF($N2927="","",INDEX('_calc'!$F$2:$F$3001,$N2927))</f>
        <v/>
      </c>
      <c r="I2927" s="27" t="str">
        <f>IF($N2927="","",INDEX('_calc'!$H$2:$H$3001,$N2927))</f>
        <v/>
      </c>
      <c r="J2927" s="27" t="str">
        <f>IF($N2927="","",INDEX('_calc'!$I$2:$I$3001,$N2927))</f>
        <v/>
      </c>
      <c r="K2927" s="28" t="str">
        <f>IF($N2927="","",IF(OR(I2927="",J2927=""),"",J2927-I2927))</f>
        <v/>
      </c>
      <c r="L2927" s="29" t="str">
        <f>IF($N2927="","",INDEX('_calc'!$J$2:$J$3001,$N2927))</f>
        <v/>
      </c>
      <c r="M2927" s="2" t="str">
        <f>IF($N2927="","",IF(AND(G2927=0,H2927=0),"수량 없음",IF(G2927=0,"신규 (전년 수량 없음)",IF(H2927=0,"당해 수량 없음",""))))</f>
        <v/>
      </c>
      <c r="N2927" t="str">
        <f>IF($B2927="","",MATCH($B2927,'_calc'!$L$2:$L$3001,0))</f>
        <v/>
      </c>
    </row>
    <row r="2928">
      <c r="B2928" s="24" t="str">
        <f>IF(ROW()-ROW($B$8)&gt;nComp,"",ROW()-ROW($B$8))</f>
        <v/>
      </c>
      <c r="C2928" t="str">
        <f>IF($N2928="","",INDEX('_calc'!$A$2:$A$3001,$N2928))</f>
        <v/>
      </c>
      <c r="D2928" s="25" t="str">
        <f>IF($N2928="","",INDEX('_calc'!$C$2:$C$3001,$N2928))</f>
        <v/>
      </c>
      <c r="E2928" s="25" t="str">
        <f>IF($N2928="","",INDEX('_calc'!$D$2:$D$3001,$N2928))</f>
        <v/>
      </c>
      <c r="F2928" s="26" t="str">
        <f>IF($N2928="","",IF($E$8=0,"",E2928/$E$8))</f>
        <v/>
      </c>
      <c r="G2928" s="25" t="str">
        <f>IF($N2928="","",INDEX('_calc'!$E$2:$E$3001,$N2928))</f>
        <v/>
      </c>
      <c r="H2928" s="25" t="str">
        <f>IF($N2928="","",INDEX('_calc'!$F$2:$F$3001,$N2928))</f>
        <v/>
      </c>
      <c r="I2928" s="27" t="str">
        <f>IF($N2928="","",INDEX('_calc'!$H$2:$H$3001,$N2928))</f>
        <v/>
      </c>
      <c r="J2928" s="27" t="str">
        <f>IF($N2928="","",INDEX('_calc'!$I$2:$I$3001,$N2928))</f>
        <v/>
      </c>
      <c r="K2928" s="28" t="str">
        <f>IF($N2928="","",IF(OR(I2928="",J2928=""),"",J2928-I2928))</f>
        <v/>
      </c>
      <c r="L2928" s="29" t="str">
        <f>IF($N2928="","",INDEX('_calc'!$J$2:$J$3001,$N2928))</f>
        <v/>
      </c>
      <c r="M2928" s="2" t="str">
        <f>IF($N2928="","",IF(AND(G2928=0,H2928=0),"수량 없음",IF(G2928=0,"신규 (전년 수량 없음)",IF(H2928=0,"당해 수량 없음",""))))</f>
        <v/>
      </c>
      <c r="N2928" t="str">
        <f>IF($B2928="","",MATCH($B2928,'_calc'!$L$2:$L$3001,0))</f>
        <v/>
      </c>
    </row>
    <row r="2929">
      <c r="B2929" s="24" t="str">
        <f>IF(ROW()-ROW($B$8)&gt;nComp,"",ROW()-ROW($B$8))</f>
        <v/>
      </c>
      <c r="C2929" t="str">
        <f>IF($N2929="","",INDEX('_calc'!$A$2:$A$3001,$N2929))</f>
        <v/>
      </c>
      <c r="D2929" s="25" t="str">
        <f>IF($N2929="","",INDEX('_calc'!$C$2:$C$3001,$N2929))</f>
        <v/>
      </c>
      <c r="E2929" s="25" t="str">
        <f>IF($N2929="","",INDEX('_calc'!$D$2:$D$3001,$N2929))</f>
        <v/>
      </c>
      <c r="F2929" s="26" t="str">
        <f>IF($N2929="","",IF($E$8=0,"",E2929/$E$8))</f>
        <v/>
      </c>
      <c r="G2929" s="25" t="str">
        <f>IF($N2929="","",INDEX('_calc'!$E$2:$E$3001,$N2929))</f>
        <v/>
      </c>
      <c r="H2929" s="25" t="str">
        <f>IF($N2929="","",INDEX('_calc'!$F$2:$F$3001,$N2929))</f>
        <v/>
      </c>
      <c r="I2929" s="27" t="str">
        <f>IF($N2929="","",INDEX('_calc'!$H$2:$H$3001,$N2929))</f>
        <v/>
      </c>
      <c r="J2929" s="27" t="str">
        <f>IF($N2929="","",INDEX('_calc'!$I$2:$I$3001,$N2929))</f>
        <v/>
      </c>
      <c r="K2929" s="28" t="str">
        <f>IF($N2929="","",IF(OR(I2929="",J2929=""),"",J2929-I2929))</f>
        <v/>
      </c>
      <c r="L2929" s="29" t="str">
        <f>IF($N2929="","",INDEX('_calc'!$J$2:$J$3001,$N2929))</f>
        <v/>
      </c>
      <c r="M2929" s="2" t="str">
        <f>IF($N2929="","",IF(AND(G2929=0,H2929=0),"수량 없음",IF(G2929=0,"신규 (전년 수량 없음)",IF(H2929=0,"당해 수량 없음",""))))</f>
        <v/>
      </c>
      <c r="N2929" t="str">
        <f>IF($B2929="","",MATCH($B2929,'_calc'!$L$2:$L$3001,0))</f>
        <v/>
      </c>
    </row>
    <row r="2930">
      <c r="B2930" s="24" t="str">
        <f>IF(ROW()-ROW($B$8)&gt;nComp,"",ROW()-ROW($B$8))</f>
        <v/>
      </c>
      <c r="C2930" t="str">
        <f>IF($N2930="","",INDEX('_calc'!$A$2:$A$3001,$N2930))</f>
        <v/>
      </c>
      <c r="D2930" s="25" t="str">
        <f>IF($N2930="","",INDEX('_calc'!$C$2:$C$3001,$N2930))</f>
        <v/>
      </c>
      <c r="E2930" s="25" t="str">
        <f>IF($N2930="","",INDEX('_calc'!$D$2:$D$3001,$N2930))</f>
        <v/>
      </c>
      <c r="F2930" s="26" t="str">
        <f>IF($N2930="","",IF($E$8=0,"",E2930/$E$8))</f>
        <v/>
      </c>
      <c r="G2930" s="25" t="str">
        <f>IF($N2930="","",INDEX('_calc'!$E$2:$E$3001,$N2930))</f>
        <v/>
      </c>
      <c r="H2930" s="25" t="str">
        <f>IF($N2930="","",INDEX('_calc'!$F$2:$F$3001,$N2930))</f>
        <v/>
      </c>
      <c r="I2930" s="27" t="str">
        <f>IF($N2930="","",INDEX('_calc'!$H$2:$H$3001,$N2930))</f>
        <v/>
      </c>
      <c r="J2930" s="27" t="str">
        <f>IF($N2930="","",INDEX('_calc'!$I$2:$I$3001,$N2930))</f>
        <v/>
      </c>
      <c r="K2930" s="28" t="str">
        <f>IF($N2930="","",IF(OR(I2930="",J2930=""),"",J2930-I2930))</f>
        <v/>
      </c>
      <c r="L2930" s="29" t="str">
        <f>IF($N2930="","",INDEX('_calc'!$J$2:$J$3001,$N2930))</f>
        <v/>
      </c>
      <c r="M2930" s="2" t="str">
        <f>IF($N2930="","",IF(AND(G2930=0,H2930=0),"수량 없음",IF(G2930=0,"신규 (전년 수량 없음)",IF(H2930=0,"당해 수량 없음",""))))</f>
        <v/>
      </c>
      <c r="N2930" t="str">
        <f>IF($B2930="","",MATCH($B2930,'_calc'!$L$2:$L$3001,0))</f>
        <v/>
      </c>
    </row>
    <row r="2931">
      <c r="B2931" s="24" t="str">
        <f>IF(ROW()-ROW($B$8)&gt;nComp,"",ROW()-ROW($B$8))</f>
        <v/>
      </c>
      <c r="C2931" t="str">
        <f>IF($N2931="","",INDEX('_calc'!$A$2:$A$3001,$N2931))</f>
        <v/>
      </c>
      <c r="D2931" s="25" t="str">
        <f>IF($N2931="","",INDEX('_calc'!$C$2:$C$3001,$N2931))</f>
        <v/>
      </c>
      <c r="E2931" s="25" t="str">
        <f>IF($N2931="","",INDEX('_calc'!$D$2:$D$3001,$N2931))</f>
        <v/>
      </c>
      <c r="F2931" s="26" t="str">
        <f>IF($N2931="","",IF($E$8=0,"",E2931/$E$8))</f>
        <v/>
      </c>
      <c r="G2931" s="25" t="str">
        <f>IF($N2931="","",INDEX('_calc'!$E$2:$E$3001,$N2931))</f>
        <v/>
      </c>
      <c r="H2931" s="25" t="str">
        <f>IF($N2931="","",INDEX('_calc'!$F$2:$F$3001,$N2931))</f>
        <v/>
      </c>
      <c r="I2931" s="27" t="str">
        <f>IF($N2931="","",INDEX('_calc'!$H$2:$H$3001,$N2931))</f>
        <v/>
      </c>
      <c r="J2931" s="27" t="str">
        <f>IF($N2931="","",INDEX('_calc'!$I$2:$I$3001,$N2931))</f>
        <v/>
      </c>
      <c r="K2931" s="28" t="str">
        <f>IF($N2931="","",IF(OR(I2931="",J2931=""),"",J2931-I2931))</f>
        <v/>
      </c>
      <c r="L2931" s="29" t="str">
        <f>IF($N2931="","",INDEX('_calc'!$J$2:$J$3001,$N2931))</f>
        <v/>
      </c>
      <c r="M2931" s="2" t="str">
        <f>IF($N2931="","",IF(AND(G2931=0,H2931=0),"수량 없음",IF(G2931=0,"신규 (전년 수량 없음)",IF(H2931=0,"당해 수량 없음",""))))</f>
        <v/>
      </c>
      <c r="N2931" t="str">
        <f>IF($B2931="","",MATCH($B2931,'_calc'!$L$2:$L$3001,0))</f>
        <v/>
      </c>
    </row>
    <row r="2932">
      <c r="B2932" s="24" t="str">
        <f>IF(ROW()-ROW($B$8)&gt;nComp,"",ROW()-ROW($B$8))</f>
        <v/>
      </c>
      <c r="C2932" t="str">
        <f>IF($N2932="","",INDEX('_calc'!$A$2:$A$3001,$N2932))</f>
        <v/>
      </c>
      <c r="D2932" s="25" t="str">
        <f>IF($N2932="","",INDEX('_calc'!$C$2:$C$3001,$N2932))</f>
        <v/>
      </c>
      <c r="E2932" s="25" t="str">
        <f>IF($N2932="","",INDEX('_calc'!$D$2:$D$3001,$N2932))</f>
        <v/>
      </c>
      <c r="F2932" s="26" t="str">
        <f>IF($N2932="","",IF($E$8=0,"",E2932/$E$8))</f>
        <v/>
      </c>
      <c r="G2932" s="25" t="str">
        <f>IF($N2932="","",INDEX('_calc'!$E$2:$E$3001,$N2932))</f>
        <v/>
      </c>
      <c r="H2932" s="25" t="str">
        <f>IF($N2932="","",INDEX('_calc'!$F$2:$F$3001,$N2932))</f>
        <v/>
      </c>
      <c r="I2932" s="27" t="str">
        <f>IF($N2932="","",INDEX('_calc'!$H$2:$H$3001,$N2932))</f>
        <v/>
      </c>
      <c r="J2932" s="27" t="str">
        <f>IF($N2932="","",INDEX('_calc'!$I$2:$I$3001,$N2932))</f>
        <v/>
      </c>
      <c r="K2932" s="28" t="str">
        <f>IF($N2932="","",IF(OR(I2932="",J2932=""),"",J2932-I2932))</f>
        <v/>
      </c>
      <c r="L2932" s="29" t="str">
        <f>IF($N2932="","",INDEX('_calc'!$J$2:$J$3001,$N2932))</f>
        <v/>
      </c>
      <c r="M2932" s="2" t="str">
        <f>IF($N2932="","",IF(AND(G2932=0,H2932=0),"수량 없음",IF(G2932=0,"신규 (전년 수량 없음)",IF(H2932=0,"당해 수량 없음",""))))</f>
        <v/>
      </c>
      <c r="N2932" t="str">
        <f>IF($B2932="","",MATCH($B2932,'_calc'!$L$2:$L$3001,0))</f>
        <v/>
      </c>
    </row>
    <row r="2933">
      <c r="B2933" s="24" t="str">
        <f>IF(ROW()-ROW($B$8)&gt;nComp,"",ROW()-ROW($B$8))</f>
        <v/>
      </c>
      <c r="C2933" t="str">
        <f>IF($N2933="","",INDEX('_calc'!$A$2:$A$3001,$N2933))</f>
        <v/>
      </c>
      <c r="D2933" s="25" t="str">
        <f>IF($N2933="","",INDEX('_calc'!$C$2:$C$3001,$N2933))</f>
        <v/>
      </c>
      <c r="E2933" s="25" t="str">
        <f>IF($N2933="","",INDEX('_calc'!$D$2:$D$3001,$N2933))</f>
        <v/>
      </c>
      <c r="F2933" s="26" t="str">
        <f>IF($N2933="","",IF($E$8=0,"",E2933/$E$8))</f>
        <v/>
      </c>
      <c r="G2933" s="25" t="str">
        <f>IF($N2933="","",INDEX('_calc'!$E$2:$E$3001,$N2933))</f>
        <v/>
      </c>
      <c r="H2933" s="25" t="str">
        <f>IF($N2933="","",INDEX('_calc'!$F$2:$F$3001,$N2933))</f>
        <v/>
      </c>
      <c r="I2933" s="27" t="str">
        <f>IF($N2933="","",INDEX('_calc'!$H$2:$H$3001,$N2933))</f>
        <v/>
      </c>
      <c r="J2933" s="27" t="str">
        <f>IF($N2933="","",INDEX('_calc'!$I$2:$I$3001,$N2933))</f>
        <v/>
      </c>
      <c r="K2933" s="28" t="str">
        <f>IF($N2933="","",IF(OR(I2933="",J2933=""),"",J2933-I2933))</f>
        <v/>
      </c>
      <c r="L2933" s="29" t="str">
        <f>IF($N2933="","",INDEX('_calc'!$J$2:$J$3001,$N2933))</f>
        <v/>
      </c>
      <c r="M2933" s="2" t="str">
        <f>IF($N2933="","",IF(AND(G2933=0,H2933=0),"수량 없음",IF(G2933=0,"신규 (전년 수량 없음)",IF(H2933=0,"당해 수량 없음",""))))</f>
        <v/>
      </c>
      <c r="N2933" t="str">
        <f>IF($B2933="","",MATCH($B2933,'_calc'!$L$2:$L$3001,0))</f>
        <v/>
      </c>
    </row>
    <row r="2934">
      <c r="B2934" s="24" t="str">
        <f>IF(ROW()-ROW($B$8)&gt;nComp,"",ROW()-ROW($B$8))</f>
        <v/>
      </c>
      <c r="C2934" t="str">
        <f>IF($N2934="","",INDEX('_calc'!$A$2:$A$3001,$N2934))</f>
        <v/>
      </c>
      <c r="D2934" s="25" t="str">
        <f>IF($N2934="","",INDEX('_calc'!$C$2:$C$3001,$N2934))</f>
        <v/>
      </c>
      <c r="E2934" s="25" t="str">
        <f>IF($N2934="","",INDEX('_calc'!$D$2:$D$3001,$N2934))</f>
        <v/>
      </c>
      <c r="F2934" s="26" t="str">
        <f>IF($N2934="","",IF($E$8=0,"",E2934/$E$8))</f>
        <v/>
      </c>
      <c r="G2934" s="25" t="str">
        <f>IF($N2934="","",INDEX('_calc'!$E$2:$E$3001,$N2934))</f>
        <v/>
      </c>
      <c r="H2934" s="25" t="str">
        <f>IF($N2934="","",INDEX('_calc'!$F$2:$F$3001,$N2934))</f>
        <v/>
      </c>
      <c r="I2934" s="27" t="str">
        <f>IF($N2934="","",INDEX('_calc'!$H$2:$H$3001,$N2934))</f>
        <v/>
      </c>
      <c r="J2934" s="27" t="str">
        <f>IF($N2934="","",INDEX('_calc'!$I$2:$I$3001,$N2934))</f>
        <v/>
      </c>
      <c r="K2934" s="28" t="str">
        <f>IF($N2934="","",IF(OR(I2934="",J2934=""),"",J2934-I2934))</f>
        <v/>
      </c>
      <c r="L2934" s="29" t="str">
        <f>IF($N2934="","",INDEX('_calc'!$J$2:$J$3001,$N2934))</f>
        <v/>
      </c>
      <c r="M2934" s="2" t="str">
        <f>IF($N2934="","",IF(AND(G2934=0,H2934=0),"수량 없음",IF(G2934=0,"신규 (전년 수량 없음)",IF(H2934=0,"당해 수량 없음",""))))</f>
        <v/>
      </c>
      <c r="N2934" t="str">
        <f>IF($B2934="","",MATCH($B2934,'_calc'!$L$2:$L$3001,0))</f>
        <v/>
      </c>
    </row>
    <row r="2935">
      <c r="B2935" s="24" t="str">
        <f>IF(ROW()-ROW($B$8)&gt;nComp,"",ROW()-ROW($B$8))</f>
        <v/>
      </c>
      <c r="C2935" t="str">
        <f>IF($N2935="","",INDEX('_calc'!$A$2:$A$3001,$N2935))</f>
        <v/>
      </c>
      <c r="D2935" s="25" t="str">
        <f>IF($N2935="","",INDEX('_calc'!$C$2:$C$3001,$N2935))</f>
        <v/>
      </c>
      <c r="E2935" s="25" t="str">
        <f>IF($N2935="","",INDEX('_calc'!$D$2:$D$3001,$N2935))</f>
        <v/>
      </c>
      <c r="F2935" s="26" t="str">
        <f>IF($N2935="","",IF($E$8=0,"",E2935/$E$8))</f>
        <v/>
      </c>
      <c r="G2935" s="25" t="str">
        <f>IF($N2935="","",INDEX('_calc'!$E$2:$E$3001,$N2935))</f>
        <v/>
      </c>
      <c r="H2935" s="25" t="str">
        <f>IF($N2935="","",INDEX('_calc'!$F$2:$F$3001,$N2935))</f>
        <v/>
      </c>
      <c r="I2935" s="27" t="str">
        <f>IF($N2935="","",INDEX('_calc'!$H$2:$H$3001,$N2935))</f>
        <v/>
      </c>
      <c r="J2935" s="27" t="str">
        <f>IF($N2935="","",INDEX('_calc'!$I$2:$I$3001,$N2935))</f>
        <v/>
      </c>
      <c r="K2935" s="28" t="str">
        <f>IF($N2935="","",IF(OR(I2935="",J2935=""),"",J2935-I2935))</f>
        <v/>
      </c>
      <c r="L2935" s="29" t="str">
        <f>IF($N2935="","",INDEX('_calc'!$J$2:$J$3001,$N2935))</f>
        <v/>
      </c>
      <c r="M2935" s="2" t="str">
        <f>IF($N2935="","",IF(AND(G2935=0,H2935=0),"수량 없음",IF(G2935=0,"신규 (전년 수량 없음)",IF(H2935=0,"당해 수량 없음",""))))</f>
        <v/>
      </c>
      <c r="N2935" t="str">
        <f>IF($B2935="","",MATCH($B2935,'_calc'!$L$2:$L$3001,0))</f>
        <v/>
      </c>
    </row>
    <row r="2936">
      <c r="B2936" s="24" t="str">
        <f>IF(ROW()-ROW($B$8)&gt;nComp,"",ROW()-ROW($B$8))</f>
        <v/>
      </c>
      <c r="C2936" t="str">
        <f>IF($N2936="","",INDEX('_calc'!$A$2:$A$3001,$N2936))</f>
        <v/>
      </c>
      <c r="D2936" s="25" t="str">
        <f>IF($N2936="","",INDEX('_calc'!$C$2:$C$3001,$N2936))</f>
        <v/>
      </c>
      <c r="E2936" s="25" t="str">
        <f>IF($N2936="","",INDEX('_calc'!$D$2:$D$3001,$N2936))</f>
        <v/>
      </c>
      <c r="F2936" s="26" t="str">
        <f>IF($N2936="","",IF($E$8=0,"",E2936/$E$8))</f>
        <v/>
      </c>
      <c r="G2936" s="25" t="str">
        <f>IF($N2936="","",INDEX('_calc'!$E$2:$E$3001,$N2936))</f>
        <v/>
      </c>
      <c r="H2936" s="25" t="str">
        <f>IF($N2936="","",INDEX('_calc'!$F$2:$F$3001,$N2936))</f>
        <v/>
      </c>
      <c r="I2936" s="27" t="str">
        <f>IF($N2936="","",INDEX('_calc'!$H$2:$H$3001,$N2936))</f>
        <v/>
      </c>
      <c r="J2936" s="27" t="str">
        <f>IF($N2936="","",INDEX('_calc'!$I$2:$I$3001,$N2936))</f>
        <v/>
      </c>
      <c r="K2936" s="28" t="str">
        <f>IF($N2936="","",IF(OR(I2936="",J2936=""),"",J2936-I2936))</f>
        <v/>
      </c>
      <c r="L2936" s="29" t="str">
        <f>IF($N2936="","",INDEX('_calc'!$J$2:$J$3001,$N2936))</f>
        <v/>
      </c>
      <c r="M2936" s="2" t="str">
        <f>IF($N2936="","",IF(AND(G2936=0,H2936=0),"수량 없음",IF(G2936=0,"신규 (전년 수량 없음)",IF(H2936=0,"당해 수량 없음",""))))</f>
        <v/>
      </c>
      <c r="N2936" t="str">
        <f>IF($B2936="","",MATCH($B2936,'_calc'!$L$2:$L$3001,0))</f>
        <v/>
      </c>
    </row>
    <row r="2937">
      <c r="B2937" s="24" t="str">
        <f>IF(ROW()-ROW($B$8)&gt;nComp,"",ROW()-ROW($B$8))</f>
        <v/>
      </c>
      <c r="C2937" t="str">
        <f>IF($N2937="","",INDEX('_calc'!$A$2:$A$3001,$N2937))</f>
        <v/>
      </c>
      <c r="D2937" s="25" t="str">
        <f>IF($N2937="","",INDEX('_calc'!$C$2:$C$3001,$N2937))</f>
        <v/>
      </c>
      <c r="E2937" s="25" t="str">
        <f>IF($N2937="","",INDEX('_calc'!$D$2:$D$3001,$N2937))</f>
        <v/>
      </c>
      <c r="F2937" s="26" t="str">
        <f>IF($N2937="","",IF($E$8=0,"",E2937/$E$8))</f>
        <v/>
      </c>
      <c r="G2937" s="25" t="str">
        <f>IF($N2937="","",INDEX('_calc'!$E$2:$E$3001,$N2937))</f>
        <v/>
      </c>
      <c r="H2937" s="25" t="str">
        <f>IF($N2937="","",INDEX('_calc'!$F$2:$F$3001,$N2937))</f>
        <v/>
      </c>
      <c r="I2937" s="27" t="str">
        <f>IF($N2937="","",INDEX('_calc'!$H$2:$H$3001,$N2937))</f>
        <v/>
      </c>
      <c r="J2937" s="27" t="str">
        <f>IF($N2937="","",INDEX('_calc'!$I$2:$I$3001,$N2937))</f>
        <v/>
      </c>
      <c r="K2937" s="28" t="str">
        <f>IF($N2937="","",IF(OR(I2937="",J2937=""),"",J2937-I2937))</f>
        <v/>
      </c>
      <c r="L2937" s="29" t="str">
        <f>IF($N2937="","",INDEX('_calc'!$J$2:$J$3001,$N2937))</f>
        <v/>
      </c>
      <c r="M2937" s="2" t="str">
        <f>IF($N2937="","",IF(AND(G2937=0,H2937=0),"수량 없음",IF(G2937=0,"신규 (전년 수량 없음)",IF(H2937=0,"당해 수량 없음",""))))</f>
        <v/>
      </c>
      <c r="N2937" t="str">
        <f>IF($B2937="","",MATCH($B2937,'_calc'!$L$2:$L$3001,0))</f>
        <v/>
      </c>
    </row>
    <row r="2938">
      <c r="B2938" s="24" t="str">
        <f>IF(ROW()-ROW($B$8)&gt;nComp,"",ROW()-ROW($B$8))</f>
        <v/>
      </c>
      <c r="C2938" t="str">
        <f>IF($N2938="","",INDEX('_calc'!$A$2:$A$3001,$N2938))</f>
        <v/>
      </c>
      <c r="D2938" s="25" t="str">
        <f>IF($N2938="","",INDEX('_calc'!$C$2:$C$3001,$N2938))</f>
        <v/>
      </c>
      <c r="E2938" s="25" t="str">
        <f>IF($N2938="","",INDEX('_calc'!$D$2:$D$3001,$N2938))</f>
        <v/>
      </c>
      <c r="F2938" s="26" t="str">
        <f>IF($N2938="","",IF($E$8=0,"",E2938/$E$8))</f>
        <v/>
      </c>
      <c r="G2938" s="25" t="str">
        <f>IF($N2938="","",INDEX('_calc'!$E$2:$E$3001,$N2938))</f>
        <v/>
      </c>
      <c r="H2938" s="25" t="str">
        <f>IF($N2938="","",INDEX('_calc'!$F$2:$F$3001,$N2938))</f>
        <v/>
      </c>
      <c r="I2938" s="27" t="str">
        <f>IF($N2938="","",INDEX('_calc'!$H$2:$H$3001,$N2938))</f>
        <v/>
      </c>
      <c r="J2938" s="27" t="str">
        <f>IF($N2938="","",INDEX('_calc'!$I$2:$I$3001,$N2938))</f>
        <v/>
      </c>
      <c r="K2938" s="28" t="str">
        <f>IF($N2938="","",IF(OR(I2938="",J2938=""),"",J2938-I2938))</f>
        <v/>
      </c>
      <c r="L2938" s="29" t="str">
        <f>IF($N2938="","",INDEX('_calc'!$J$2:$J$3001,$N2938))</f>
        <v/>
      </c>
      <c r="M2938" s="2" t="str">
        <f>IF($N2938="","",IF(AND(G2938=0,H2938=0),"수량 없음",IF(G2938=0,"신규 (전년 수량 없음)",IF(H2938=0,"당해 수량 없음",""))))</f>
        <v/>
      </c>
      <c r="N2938" t="str">
        <f>IF($B2938="","",MATCH($B2938,'_calc'!$L$2:$L$3001,0))</f>
        <v/>
      </c>
    </row>
    <row r="2939">
      <c r="B2939" s="24" t="str">
        <f>IF(ROW()-ROW($B$8)&gt;nComp,"",ROW()-ROW($B$8))</f>
        <v/>
      </c>
      <c r="C2939" t="str">
        <f>IF($N2939="","",INDEX('_calc'!$A$2:$A$3001,$N2939))</f>
        <v/>
      </c>
      <c r="D2939" s="25" t="str">
        <f>IF($N2939="","",INDEX('_calc'!$C$2:$C$3001,$N2939))</f>
        <v/>
      </c>
      <c r="E2939" s="25" t="str">
        <f>IF($N2939="","",INDEX('_calc'!$D$2:$D$3001,$N2939))</f>
        <v/>
      </c>
      <c r="F2939" s="26" t="str">
        <f>IF($N2939="","",IF($E$8=0,"",E2939/$E$8))</f>
        <v/>
      </c>
      <c r="G2939" s="25" t="str">
        <f>IF($N2939="","",INDEX('_calc'!$E$2:$E$3001,$N2939))</f>
        <v/>
      </c>
      <c r="H2939" s="25" t="str">
        <f>IF($N2939="","",INDEX('_calc'!$F$2:$F$3001,$N2939))</f>
        <v/>
      </c>
      <c r="I2939" s="27" t="str">
        <f>IF($N2939="","",INDEX('_calc'!$H$2:$H$3001,$N2939))</f>
        <v/>
      </c>
      <c r="J2939" s="27" t="str">
        <f>IF($N2939="","",INDEX('_calc'!$I$2:$I$3001,$N2939))</f>
        <v/>
      </c>
      <c r="K2939" s="28" t="str">
        <f>IF($N2939="","",IF(OR(I2939="",J2939=""),"",J2939-I2939))</f>
        <v/>
      </c>
      <c r="L2939" s="29" t="str">
        <f>IF($N2939="","",INDEX('_calc'!$J$2:$J$3001,$N2939))</f>
        <v/>
      </c>
      <c r="M2939" s="2" t="str">
        <f>IF($N2939="","",IF(AND(G2939=0,H2939=0),"수량 없음",IF(G2939=0,"신규 (전년 수량 없음)",IF(H2939=0,"당해 수량 없음",""))))</f>
        <v/>
      </c>
      <c r="N2939" t="str">
        <f>IF($B2939="","",MATCH($B2939,'_calc'!$L$2:$L$3001,0))</f>
        <v/>
      </c>
    </row>
    <row r="2940">
      <c r="B2940" s="24" t="str">
        <f>IF(ROW()-ROW($B$8)&gt;nComp,"",ROW()-ROW($B$8))</f>
        <v/>
      </c>
      <c r="C2940" t="str">
        <f>IF($N2940="","",INDEX('_calc'!$A$2:$A$3001,$N2940))</f>
        <v/>
      </c>
      <c r="D2940" s="25" t="str">
        <f>IF($N2940="","",INDEX('_calc'!$C$2:$C$3001,$N2940))</f>
        <v/>
      </c>
      <c r="E2940" s="25" t="str">
        <f>IF($N2940="","",INDEX('_calc'!$D$2:$D$3001,$N2940))</f>
        <v/>
      </c>
      <c r="F2940" s="26" t="str">
        <f>IF($N2940="","",IF($E$8=0,"",E2940/$E$8))</f>
        <v/>
      </c>
      <c r="G2940" s="25" t="str">
        <f>IF($N2940="","",INDEX('_calc'!$E$2:$E$3001,$N2940))</f>
        <v/>
      </c>
      <c r="H2940" s="25" t="str">
        <f>IF($N2940="","",INDEX('_calc'!$F$2:$F$3001,$N2940))</f>
        <v/>
      </c>
      <c r="I2940" s="27" t="str">
        <f>IF($N2940="","",INDEX('_calc'!$H$2:$H$3001,$N2940))</f>
        <v/>
      </c>
      <c r="J2940" s="27" t="str">
        <f>IF($N2940="","",INDEX('_calc'!$I$2:$I$3001,$N2940))</f>
        <v/>
      </c>
      <c r="K2940" s="28" t="str">
        <f>IF($N2940="","",IF(OR(I2940="",J2940=""),"",J2940-I2940))</f>
        <v/>
      </c>
      <c r="L2940" s="29" t="str">
        <f>IF($N2940="","",INDEX('_calc'!$J$2:$J$3001,$N2940))</f>
        <v/>
      </c>
      <c r="M2940" s="2" t="str">
        <f>IF($N2940="","",IF(AND(G2940=0,H2940=0),"수량 없음",IF(G2940=0,"신규 (전년 수량 없음)",IF(H2940=0,"당해 수량 없음",""))))</f>
        <v/>
      </c>
      <c r="N2940" t="str">
        <f>IF($B2940="","",MATCH($B2940,'_calc'!$L$2:$L$3001,0))</f>
        <v/>
      </c>
    </row>
    <row r="2941">
      <c r="B2941" s="24" t="str">
        <f>IF(ROW()-ROW($B$8)&gt;nComp,"",ROW()-ROW($B$8))</f>
        <v/>
      </c>
      <c r="C2941" t="str">
        <f>IF($N2941="","",INDEX('_calc'!$A$2:$A$3001,$N2941))</f>
        <v/>
      </c>
      <c r="D2941" s="25" t="str">
        <f>IF($N2941="","",INDEX('_calc'!$C$2:$C$3001,$N2941))</f>
        <v/>
      </c>
      <c r="E2941" s="25" t="str">
        <f>IF($N2941="","",INDEX('_calc'!$D$2:$D$3001,$N2941))</f>
        <v/>
      </c>
      <c r="F2941" s="26" t="str">
        <f>IF($N2941="","",IF($E$8=0,"",E2941/$E$8))</f>
        <v/>
      </c>
      <c r="G2941" s="25" t="str">
        <f>IF($N2941="","",INDEX('_calc'!$E$2:$E$3001,$N2941))</f>
        <v/>
      </c>
      <c r="H2941" s="25" t="str">
        <f>IF($N2941="","",INDEX('_calc'!$F$2:$F$3001,$N2941))</f>
        <v/>
      </c>
      <c r="I2941" s="27" t="str">
        <f>IF($N2941="","",INDEX('_calc'!$H$2:$H$3001,$N2941))</f>
        <v/>
      </c>
      <c r="J2941" s="27" t="str">
        <f>IF($N2941="","",INDEX('_calc'!$I$2:$I$3001,$N2941))</f>
        <v/>
      </c>
      <c r="K2941" s="28" t="str">
        <f>IF($N2941="","",IF(OR(I2941="",J2941=""),"",J2941-I2941))</f>
        <v/>
      </c>
      <c r="L2941" s="29" t="str">
        <f>IF($N2941="","",INDEX('_calc'!$J$2:$J$3001,$N2941))</f>
        <v/>
      </c>
      <c r="M2941" s="2" t="str">
        <f>IF($N2941="","",IF(AND(G2941=0,H2941=0),"수량 없음",IF(G2941=0,"신규 (전년 수량 없음)",IF(H2941=0,"당해 수량 없음",""))))</f>
        <v/>
      </c>
      <c r="N2941" t="str">
        <f>IF($B2941="","",MATCH($B2941,'_calc'!$L$2:$L$3001,0))</f>
        <v/>
      </c>
    </row>
    <row r="2942">
      <c r="B2942" s="24" t="str">
        <f>IF(ROW()-ROW($B$8)&gt;nComp,"",ROW()-ROW($B$8))</f>
        <v/>
      </c>
      <c r="C2942" t="str">
        <f>IF($N2942="","",INDEX('_calc'!$A$2:$A$3001,$N2942))</f>
        <v/>
      </c>
      <c r="D2942" s="25" t="str">
        <f>IF($N2942="","",INDEX('_calc'!$C$2:$C$3001,$N2942))</f>
        <v/>
      </c>
      <c r="E2942" s="25" t="str">
        <f>IF($N2942="","",INDEX('_calc'!$D$2:$D$3001,$N2942))</f>
        <v/>
      </c>
      <c r="F2942" s="26" t="str">
        <f>IF($N2942="","",IF($E$8=0,"",E2942/$E$8))</f>
        <v/>
      </c>
      <c r="G2942" s="25" t="str">
        <f>IF($N2942="","",INDEX('_calc'!$E$2:$E$3001,$N2942))</f>
        <v/>
      </c>
      <c r="H2942" s="25" t="str">
        <f>IF($N2942="","",INDEX('_calc'!$F$2:$F$3001,$N2942))</f>
        <v/>
      </c>
      <c r="I2942" s="27" t="str">
        <f>IF($N2942="","",INDEX('_calc'!$H$2:$H$3001,$N2942))</f>
        <v/>
      </c>
      <c r="J2942" s="27" t="str">
        <f>IF($N2942="","",INDEX('_calc'!$I$2:$I$3001,$N2942))</f>
        <v/>
      </c>
      <c r="K2942" s="28" t="str">
        <f>IF($N2942="","",IF(OR(I2942="",J2942=""),"",J2942-I2942))</f>
        <v/>
      </c>
      <c r="L2942" s="29" t="str">
        <f>IF($N2942="","",INDEX('_calc'!$J$2:$J$3001,$N2942))</f>
        <v/>
      </c>
      <c r="M2942" s="2" t="str">
        <f>IF($N2942="","",IF(AND(G2942=0,H2942=0),"수량 없음",IF(G2942=0,"신규 (전년 수량 없음)",IF(H2942=0,"당해 수량 없음",""))))</f>
        <v/>
      </c>
      <c r="N2942" t="str">
        <f>IF($B2942="","",MATCH($B2942,'_calc'!$L$2:$L$3001,0))</f>
        <v/>
      </c>
    </row>
    <row r="2943">
      <c r="B2943" s="24" t="str">
        <f>IF(ROW()-ROW($B$8)&gt;nComp,"",ROW()-ROW($B$8))</f>
        <v/>
      </c>
      <c r="C2943" t="str">
        <f>IF($N2943="","",INDEX('_calc'!$A$2:$A$3001,$N2943))</f>
        <v/>
      </c>
      <c r="D2943" s="25" t="str">
        <f>IF($N2943="","",INDEX('_calc'!$C$2:$C$3001,$N2943))</f>
        <v/>
      </c>
      <c r="E2943" s="25" t="str">
        <f>IF($N2943="","",INDEX('_calc'!$D$2:$D$3001,$N2943))</f>
        <v/>
      </c>
      <c r="F2943" s="26" t="str">
        <f>IF($N2943="","",IF($E$8=0,"",E2943/$E$8))</f>
        <v/>
      </c>
      <c r="G2943" s="25" t="str">
        <f>IF($N2943="","",INDEX('_calc'!$E$2:$E$3001,$N2943))</f>
        <v/>
      </c>
      <c r="H2943" s="25" t="str">
        <f>IF($N2943="","",INDEX('_calc'!$F$2:$F$3001,$N2943))</f>
        <v/>
      </c>
      <c r="I2943" s="27" t="str">
        <f>IF($N2943="","",INDEX('_calc'!$H$2:$H$3001,$N2943))</f>
        <v/>
      </c>
      <c r="J2943" s="27" t="str">
        <f>IF($N2943="","",INDEX('_calc'!$I$2:$I$3001,$N2943))</f>
        <v/>
      </c>
      <c r="K2943" s="28" t="str">
        <f>IF($N2943="","",IF(OR(I2943="",J2943=""),"",J2943-I2943))</f>
        <v/>
      </c>
      <c r="L2943" s="29" t="str">
        <f>IF($N2943="","",INDEX('_calc'!$J$2:$J$3001,$N2943))</f>
        <v/>
      </c>
      <c r="M2943" s="2" t="str">
        <f>IF($N2943="","",IF(AND(G2943=0,H2943=0),"수량 없음",IF(G2943=0,"신규 (전년 수량 없음)",IF(H2943=0,"당해 수량 없음",""))))</f>
        <v/>
      </c>
      <c r="N2943" t="str">
        <f>IF($B2943="","",MATCH($B2943,'_calc'!$L$2:$L$3001,0))</f>
        <v/>
      </c>
    </row>
    <row r="2944">
      <c r="B2944" s="24" t="str">
        <f>IF(ROW()-ROW($B$8)&gt;nComp,"",ROW()-ROW($B$8))</f>
        <v/>
      </c>
      <c r="C2944" t="str">
        <f>IF($N2944="","",INDEX('_calc'!$A$2:$A$3001,$N2944))</f>
        <v/>
      </c>
      <c r="D2944" s="25" t="str">
        <f>IF($N2944="","",INDEX('_calc'!$C$2:$C$3001,$N2944))</f>
        <v/>
      </c>
      <c r="E2944" s="25" t="str">
        <f>IF($N2944="","",INDEX('_calc'!$D$2:$D$3001,$N2944))</f>
        <v/>
      </c>
      <c r="F2944" s="26" t="str">
        <f>IF($N2944="","",IF($E$8=0,"",E2944/$E$8))</f>
        <v/>
      </c>
      <c r="G2944" s="25" t="str">
        <f>IF($N2944="","",INDEX('_calc'!$E$2:$E$3001,$N2944))</f>
        <v/>
      </c>
      <c r="H2944" s="25" t="str">
        <f>IF($N2944="","",INDEX('_calc'!$F$2:$F$3001,$N2944))</f>
        <v/>
      </c>
      <c r="I2944" s="27" t="str">
        <f>IF($N2944="","",INDEX('_calc'!$H$2:$H$3001,$N2944))</f>
        <v/>
      </c>
      <c r="J2944" s="27" t="str">
        <f>IF($N2944="","",INDEX('_calc'!$I$2:$I$3001,$N2944))</f>
        <v/>
      </c>
      <c r="K2944" s="28" t="str">
        <f>IF($N2944="","",IF(OR(I2944="",J2944=""),"",J2944-I2944))</f>
        <v/>
      </c>
      <c r="L2944" s="29" t="str">
        <f>IF($N2944="","",INDEX('_calc'!$J$2:$J$3001,$N2944))</f>
        <v/>
      </c>
      <c r="M2944" s="2" t="str">
        <f>IF($N2944="","",IF(AND(G2944=0,H2944=0),"수량 없음",IF(G2944=0,"신규 (전년 수량 없음)",IF(H2944=0,"당해 수량 없음",""))))</f>
        <v/>
      </c>
      <c r="N2944" t="str">
        <f>IF($B2944="","",MATCH($B2944,'_calc'!$L$2:$L$3001,0))</f>
        <v/>
      </c>
    </row>
    <row r="2945">
      <c r="B2945" s="24" t="str">
        <f>IF(ROW()-ROW($B$8)&gt;nComp,"",ROW()-ROW($B$8))</f>
        <v/>
      </c>
      <c r="C2945" t="str">
        <f>IF($N2945="","",INDEX('_calc'!$A$2:$A$3001,$N2945))</f>
        <v/>
      </c>
      <c r="D2945" s="25" t="str">
        <f>IF($N2945="","",INDEX('_calc'!$C$2:$C$3001,$N2945))</f>
        <v/>
      </c>
      <c r="E2945" s="25" t="str">
        <f>IF($N2945="","",INDEX('_calc'!$D$2:$D$3001,$N2945))</f>
        <v/>
      </c>
      <c r="F2945" s="26" t="str">
        <f>IF($N2945="","",IF($E$8=0,"",E2945/$E$8))</f>
        <v/>
      </c>
      <c r="G2945" s="25" t="str">
        <f>IF($N2945="","",INDEX('_calc'!$E$2:$E$3001,$N2945))</f>
        <v/>
      </c>
      <c r="H2945" s="25" t="str">
        <f>IF($N2945="","",INDEX('_calc'!$F$2:$F$3001,$N2945))</f>
        <v/>
      </c>
      <c r="I2945" s="27" t="str">
        <f>IF($N2945="","",INDEX('_calc'!$H$2:$H$3001,$N2945))</f>
        <v/>
      </c>
      <c r="J2945" s="27" t="str">
        <f>IF($N2945="","",INDEX('_calc'!$I$2:$I$3001,$N2945))</f>
        <v/>
      </c>
      <c r="K2945" s="28" t="str">
        <f>IF($N2945="","",IF(OR(I2945="",J2945=""),"",J2945-I2945))</f>
        <v/>
      </c>
      <c r="L2945" s="29" t="str">
        <f>IF($N2945="","",INDEX('_calc'!$J$2:$J$3001,$N2945))</f>
        <v/>
      </c>
      <c r="M2945" s="2" t="str">
        <f>IF($N2945="","",IF(AND(G2945=0,H2945=0),"수량 없음",IF(G2945=0,"신규 (전년 수량 없음)",IF(H2945=0,"당해 수량 없음",""))))</f>
        <v/>
      </c>
      <c r="N2945" t="str">
        <f>IF($B2945="","",MATCH($B2945,'_calc'!$L$2:$L$3001,0))</f>
        <v/>
      </c>
    </row>
    <row r="2946">
      <c r="B2946" s="24" t="str">
        <f>IF(ROW()-ROW($B$8)&gt;nComp,"",ROW()-ROW($B$8))</f>
        <v/>
      </c>
      <c r="C2946" t="str">
        <f>IF($N2946="","",INDEX('_calc'!$A$2:$A$3001,$N2946))</f>
        <v/>
      </c>
      <c r="D2946" s="25" t="str">
        <f>IF($N2946="","",INDEX('_calc'!$C$2:$C$3001,$N2946))</f>
        <v/>
      </c>
      <c r="E2946" s="25" t="str">
        <f>IF($N2946="","",INDEX('_calc'!$D$2:$D$3001,$N2946))</f>
        <v/>
      </c>
      <c r="F2946" s="26" t="str">
        <f>IF($N2946="","",IF($E$8=0,"",E2946/$E$8))</f>
        <v/>
      </c>
      <c r="G2946" s="25" t="str">
        <f>IF($N2946="","",INDEX('_calc'!$E$2:$E$3001,$N2946))</f>
        <v/>
      </c>
      <c r="H2946" s="25" t="str">
        <f>IF($N2946="","",INDEX('_calc'!$F$2:$F$3001,$N2946))</f>
        <v/>
      </c>
      <c r="I2946" s="27" t="str">
        <f>IF($N2946="","",INDEX('_calc'!$H$2:$H$3001,$N2946))</f>
        <v/>
      </c>
      <c r="J2946" s="27" t="str">
        <f>IF($N2946="","",INDEX('_calc'!$I$2:$I$3001,$N2946))</f>
        <v/>
      </c>
      <c r="K2946" s="28" t="str">
        <f>IF($N2946="","",IF(OR(I2946="",J2946=""),"",J2946-I2946))</f>
        <v/>
      </c>
      <c r="L2946" s="29" t="str">
        <f>IF($N2946="","",INDEX('_calc'!$J$2:$J$3001,$N2946))</f>
        <v/>
      </c>
      <c r="M2946" s="2" t="str">
        <f>IF($N2946="","",IF(AND(G2946=0,H2946=0),"수량 없음",IF(G2946=0,"신규 (전년 수량 없음)",IF(H2946=0,"당해 수량 없음",""))))</f>
        <v/>
      </c>
      <c r="N2946" t="str">
        <f>IF($B2946="","",MATCH($B2946,'_calc'!$L$2:$L$3001,0))</f>
        <v/>
      </c>
    </row>
    <row r="2947">
      <c r="B2947" s="24" t="str">
        <f>IF(ROW()-ROW($B$8)&gt;nComp,"",ROW()-ROW($B$8))</f>
        <v/>
      </c>
      <c r="C2947" t="str">
        <f>IF($N2947="","",INDEX('_calc'!$A$2:$A$3001,$N2947))</f>
        <v/>
      </c>
      <c r="D2947" s="25" t="str">
        <f>IF($N2947="","",INDEX('_calc'!$C$2:$C$3001,$N2947))</f>
        <v/>
      </c>
      <c r="E2947" s="25" t="str">
        <f>IF($N2947="","",INDEX('_calc'!$D$2:$D$3001,$N2947))</f>
        <v/>
      </c>
      <c r="F2947" s="26" t="str">
        <f>IF($N2947="","",IF($E$8=0,"",E2947/$E$8))</f>
        <v/>
      </c>
      <c r="G2947" s="25" t="str">
        <f>IF($N2947="","",INDEX('_calc'!$E$2:$E$3001,$N2947))</f>
        <v/>
      </c>
      <c r="H2947" s="25" t="str">
        <f>IF($N2947="","",INDEX('_calc'!$F$2:$F$3001,$N2947))</f>
        <v/>
      </c>
      <c r="I2947" s="27" t="str">
        <f>IF($N2947="","",INDEX('_calc'!$H$2:$H$3001,$N2947))</f>
        <v/>
      </c>
      <c r="J2947" s="27" t="str">
        <f>IF($N2947="","",INDEX('_calc'!$I$2:$I$3001,$N2947))</f>
        <v/>
      </c>
      <c r="K2947" s="28" t="str">
        <f>IF($N2947="","",IF(OR(I2947="",J2947=""),"",J2947-I2947))</f>
        <v/>
      </c>
      <c r="L2947" s="29" t="str">
        <f>IF($N2947="","",INDEX('_calc'!$J$2:$J$3001,$N2947))</f>
        <v/>
      </c>
      <c r="M2947" s="2" t="str">
        <f>IF($N2947="","",IF(AND(G2947=0,H2947=0),"수량 없음",IF(G2947=0,"신규 (전년 수량 없음)",IF(H2947=0,"당해 수량 없음",""))))</f>
        <v/>
      </c>
      <c r="N2947" t="str">
        <f>IF($B2947="","",MATCH($B2947,'_calc'!$L$2:$L$3001,0))</f>
        <v/>
      </c>
    </row>
    <row r="2948">
      <c r="B2948" s="24" t="str">
        <f>IF(ROW()-ROW($B$8)&gt;nComp,"",ROW()-ROW($B$8))</f>
        <v/>
      </c>
      <c r="C2948" t="str">
        <f>IF($N2948="","",INDEX('_calc'!$A$2:$A$3001,$N2948))</f>
        <v/>
      </c>
      <c r="D2948" s="25" t="str">
        <f>IF($N2948="","",INDEX('_calc'!$C$2:$C$3001,$N2948))</f>
        <v/>
      </c>
      <c r="E2948" s="25" t="str">
        <f>IF($N2948="","",INDEX('_calc'!$D$2:$D$3001,$N2948))</f>
        <v/>
      </c>
      <c r="F2948" s="26" t="str">
        <f>IF($N2948="","",IF($E$8=0,"",E2948/$E$8))</f>
        <v/>
      </c>
      <c r="G2948" s="25" t="str">
        <f>IF($N2948="","",INDEX('_calc'!$E$2:$E$3001,$N2948))</f>
        <v/>
      </c>
      <c r="H2948" s="25" t="str">
        <f>IF($N2948="","",INDEX('_calc'!$F$2:$F$3001,$N2948))</f>
        <v/>
      </c>
      <c r="I2948" s="27" t="str">
        <f>IF($N2948="","",INDEX('_calc'!$H$2:$H$3001,$N2948))</f>
        <v/>
      </c>
      <c r="J2948" s="27" t="str">
        <f>IF($N2948="","",INDEX('_calc'!$I$2:$I$3001,$N2948))</f>
        <v/>
      </c>
      <c r="K2948" s="28" t="str">
        <f>IF($N2948="","",IF(OR(I2948="",J2948=""),"",J2948-I2948))</f>
        <v/>
      </c>
      <c r="L2948" s="29" t="str">
        <f>IF($N2948="","",INDEX('_calc'!$J$2:$J$3001,$N2948))</f>
        <v/>
      </c>
      <c r="M2948" s="2" t="str">
        <f>IF($N2948="","",IF(AND(G2948=0,H2948=0),"수량 없음",IF(G2948=0,"신규 (전년 수량 없음)",IF(H2948=0,"당해 수량 없음",""))))</f>
        <v/>
      </c>
      <c r="N2948" t="str">
        <f>IF($B2948="","",MATCH($B2948,'_calc'!$L$2:$L$3001,0))</f>
        <v/>
      </c>
    </row>
    <row r="2949">
      <c r="B2949" s="24" t="str">
        <f>IF(ROW()-ROW($B$8)&gt;nComp,"",ROW()-ROW($B$8))</f>
        <v/>
      </c>
      <c r="C2949" t="str">
        <f>IF($N2949="","",INDEX('_calc'!$A$2:$A$3001,$N2949))</f>
        <v/>
      </c>
      <c r="D2949" s="25" t="str">
        <f>IF($N2949="","",INDEX('_calc'!$C$2:$C$3001,$N2949))</f>
        <v/>
      </c>
      <c r="E2949" s="25" t="str">
        <f>IF($N2949="","",INDEX('_calc'!$D$2:$D$3001,$N2949))</f>
        <v/>
      </c>
      <c r="F2949" s="26" t="str">
        <f>IF($N2949="","",IF($E$8=0,"",E2949/$E$8))</f>
        <v/>
      </c>
      <c r="G2949" s="25" t="str">
        <f>IF($N2949="","",INDEX('_calc'!$E$2:$E$3001,$N2949))</f>
        <v/>
      </c>
      <c r="H2949" s="25" t="str">
        <f>IF($N2949="","",INDEX('_calc'!$F$2:$F$3001,$N2949))</f>
        <v/>
      </c>
      <c r="I2949" s="27" t="str">
        <f>IF($N2949="","",INDEX('_calc'!$H$2:$H$3001,$N2949))</f>
        <v/>
      </c>
      <c r="J2949" s="27" t="str">
        <f>IF($N2949="","",INDEX('_calc'!$I$2:$I$3001,$N2949))</f>
        <v/>
      </c>
      <c r="K2949" s="28" t="str">
        <f>IF($N2949="","",IF(OR(I2949="",J2949=""),"",J2949-I2949))</f>
        <v/>
      </c>
      <c r="L2949" s="29" t="str">
        <f>IF($N2949="","",INDEX('_calc'!$J$2:$J$3001,$N2949))</f>
        <v/>
      </c>
      <c r="M2949" s="2" t="str">
        <f>IF($N2949="","",IF(AND(G2949=0,H2949=0),"수량 없음",IF(G2949=0,"신규 (전년 수량 없음)",IF(H2949=0,"당해 수량 없음",""))))</f>
        <v/>
      </c>
      <c r="N2949" t="str">
        <f>IF($B2949="","",MATCH($B2949,'_calc'!$L$2:$L$3001,0))</f>
        <v/>
      </c>
    </row>
    <row r="2950">
      <c r="B2950" s="24" t="str">
        <f>IF(ROW()-ROW($B$8)&gt;nComp,"",ROW()-ROW($B$8))</f>
        <v/>
      </c>
      <c r="C2950" t="str">
        <f>IF($N2950="","",INDEX('_calc'!$A$2:$A$3001,$N2950))</f>
        <v/>
      </c>
      <c r="D2950" s="25" t="str">
        <f>IF($N2950="","",INDEX('_calc'!$C$2:$C$3001,$N2950))</f>
        <v/>
      </c>
      <c r="E2950" s="25" t="str">
        <f>IF($N2950="","",INDEX('_calc'!$D$2:$D$3001,$N2950))</f>
        <v/>
      </c>
      <c r="F2950" s="26" t="str">
        <f>IF($N2950="","",IF($E$8=0,"",E2950/$E$8))</f>
        <v/>
      </c>
      <c r="G2950" s="25" t="str">
        <f>IF($N2950="","",INDEX('_calc'!$E$2:$E$3001,$N2950))</f>
        <v/>
      </c>
      <c r="H2950" s="25" t="str">
        <f>IF($N2950="","",INDEX('_calc'!$F$2:$F$3001,$N2950))</f>
        <v/>
      </c>
      <c r="I2950" s="27" t="str">
        <f>IF($N2950="","",INDEX('_calc'!$H$2:$H$3001,$N2950))</f>
        <v/>
      </c>
      <c r="J2950" s="27" t="str">
        <f>IF($N2950="","",INDEX('_calc'!$I$2:$I$3001,$N2950))</f>
        <v/>
      </c>
      <c r="K2950" s="28" t="str">
        <f>IF($N2950="","",IF(OR(I2950="",J2950=""),"",J2950-I2950))</f>
        <v/>
      </c>
      <c r="L2950" s="29" t="str">
        <f>IF($N2950="","",INDEX('_calc'!$J$2:$J$3001,$N2950))</f>
        <v/>
      </c>
      <c r="M2950" s="2" t="str">
        <f>IF($N2950="","",IF(AND(G2950=0,H2950=0),"수량 없음",IF(G2950=0,"신규 (전년 수량 없음)",IF(H2950=0,"당해 수량 없음",""))))</f>
        <v/>
      </c>
      <c r="N2950" t="str">
        <f>IF($B2950="","",MATCH($B2950,'_calc'!$L$2:$L$3001,0))</f>
        <v/>
      </c>
    </row>
    <row r="2951">
      <c r="B2951" s="24" t="str">
        <f>IF(ROW()-ROW($B$8)&gt;nComp,"",ROW()-ROW($B$8))</f>
        <v/>
      </c>
      <c r="C2951" t="str">
        <f>IF($N2951="","",INDEX('_calc'!$A$2:$A$3001,$N2951))</f>
        <v/>
      </c>
      <c r="D2951" s="25" t="str">
        <f>IF($N2951="","",INDEX('_calc'!$C$2:$C$3001,$N2951))</f>
        <v/>
      </c>
      <c r="E2951" s="25" t="str">
        <f>IF($N2951="","",INDEX('_calc'!$D$2:$D$3001,$N2951))</f>
        <v/>
      </c>
      <c r="F2951" s="26" t="str">
        <f>IF($N2951="","",IF($E$8=0,"",E2951/$E$8))</f>
        <v/>
      </c>
      <c r="G2951" s="25" t="str">
        <f>IF($N2951="","",INDEX('_calc'!$E$2:$E$3001,$N2951))</f>
        <v/>
      </c>
      <c r="H2951" s="25" t="str">
        <f>IF($N2951="","",INDEX('_calc'!$F$2:$F$3001,$N2951))</f>
        <v/>
      </c>
      <c r="I2951" s="27" t="str">
        <f>IF($N2951="","",INDEX('_calc'!$H$2:$H$3001,$N2951))</f>
        <v/>
      </c>
      <c r="J2951" s="27" t="str">
        <f>IF($N2951="","",INDEX('_calc'!$I$2:$I$3001,$N2951))</f>
        <v/>
      </c>
      <c r="K2951" s="28" t="str">
        <f>IF($N2951="","",IF(OR(I2951="",J2951=""),"",J2951-I2951))</f>
        <v/>
      </c>
      <c r="L2951" s="29" t="str">
        <f>IF($N2951="","",INDEX('_calc'!$J$2:$J$3001,$N2951))</f>
        <v/>
      </c>
      <c r="M2951" s="2" t="str">
        <f>IF($N2951="","",IF(AND(G2951=0,H2951=0),"수량 없음",IF(G2951=0,"신규 (전년 수량 없음)",IF(H2951=0,"당해 수량 없음",""))))</f>
        <v/>
      </c>
      <c r="N2951" t="str">
        <f>IF($B2951="","",MATCH($B2951,'_calc'!$L$2:$L$3001,0))</f>
        <v/>
      </c>
    </row>
    <row r="2952">
      <c r="B2952" s="24" t="str">
        <f>IF(ROW()-ROW($B$8)&gt;nComp,"",ROW()-ROW($B$8))</f>
        <v/>
      </c>
      <c r="C2952" t="str">
        <f>IF($N2952="","",INDEX('_calc'!$A$2:$A$3001,$N2952))</f>
        <v/>
      </c>
      <c r="D2952" s="25" t="str">
        <f>IF($N2952="","",INDEX('_calc'!$C$2:$C$3001,$N2952))</f>
        <v/>
      </c>
      <c r="E2952" s="25" t="str">
        <f>IF($N2952="","",INDEX('_calc'!$D$2:$D$3001,$N2952))</f>
        <v/>
      </c>
      <c r="F2952" s="26" t="str">
        <f>IF($N2952="","",IF($E$8=0,"",E2952/$E$8))</f>
        <v/>
      </c>
      <c r="G2952" s="25" t="str">
        <f>IF($N2952="","",INDEX('_calc'!$E$2:$E$3001,$N2952))</f>
        <v/>
      </c>
      <c r="H2952" s="25" t="str">
        <f>IF($N2952="","",INDEX('_calc'!$F$2:$F$3001,$N2952))</f>
        <v/>
      </c>
      <c r="I2952" s="27" t="str">
        <f>IF($N2952="","",INDEX('_calc'!$H$2:$H$3001,$N2952))</f>
        <v/>
      </c>
      <c r="J2952" s="27" t="str">
        <f>IF($N2952="","",INDEX('_calc'!$I$2:$I$3001,$N2952))</f>
        <v/>
      </c>
      <c r="K2952" s="28" t="str">
        <f>IF($N2952="","",IF(OR(I2952="",J2952=""),"",J2952-I2952))</f>
        <v/>
      </c>
      <c r="L2952" s="29" t="str">
        <f>IF($N2952="","",INDEX('_calc'!$J$2:$J$3001,$N2952))</f>
        <v/>
      </c>
      <c r="M2952" s="2" t="str">
        <f>IF($N2952="","",IF(AND(G2952=0,H2952=0),"수량 없음",IF(G2952=0,"신규 (전년 수량 없음)",IF(H2952=0,"당해 수량 없음",""))))</f>
        <v/>
      </c>
      <c r="N2952" t="str">
        <f>IF($B2952="","",MATCH($B2952,'_calc'!$L$2:$L$3001,0))</f>
        <v/>
      </c>
    </row>
    <row r="2953">
      <c r="B2953" s="24" t="str">
        <f>IF(ROW()-ROW($B$8)&gt;nComp,"",ROW()-ROW($B$8))</f>
        <v/>
      </c>
      <c r="C2953" t="str">
        <f>IF($N2953="","",INDEX('_calc'!$A$2:$A$3001,$N2953))</f>
        <v/>
      </c>
      <c r="D2953" s="25" t="str">
        <f>IF($N2953="","",INDEX('_calc'!$C$2:$C$3001,$N2953))</f>
        <v/>
      </c>
      <c r="E2953" s="25" t="str">
        <f>IF($N2953="","",INDEX('_calc'!$D$2:$D$3001,$N2953))</f>
        <v/>
      </c>
      <c r="F2953" s="26" t="str">
        <f>IF($N2953="","",IF($E$8=0,"",E2953/$E$8))</f>
        <v/>
      </c>
      <c r="G2953" s="25" t="str">
        <f>IF($N2953="","",INDEX('_calc'!$E$2:$E$3001,$N2953))</f>
        <v/>
      </c>
      <c r="H2953" s="25" t="str">
        <f>IF($N2953="","",INDEX('_calc'!$F$2:$F$3001,$N2953))</f>
        <v/>
      </c>
      <c r="I2953" s="27" t="str">
        <f>IF($N2953="","",INDEX('_calc'!$H$2:$H$3001,$N2953))</f>
        <v/>
      </c>
      <c r="J2953" s="27" t="str">
        <f>IF($N2953="","",INDEX('_calc'!$I$2:$I$3001,$N2953))</f>
        <v/>
      </c>
      <c r="K2953" s="28" t="str">
        <f>IF($N2953="","",IF(OR(I2953="",J2953=""),"",J2953-I2953))</f>
        <v/>
      </c>
      <c r="L2953" s="29" t="str">
        <f>IF($N2953="","",INDEX('_calc'!$J$2:$J$3001,$N2953))</f>
        <v/>
      </c>
      <c r="M2953" s="2" t="str">
        <f>IF($N2953="","",IF(AND(G2953=0,H2953=0),"수량 없음",IF(G2953=0,"신규 (전년 수량 없음)",IF(H2953=0,"당해 수량 없음",""))))</f>
        <v/>
      </c>
      <c r="N2953" t="str">
        <f>IF($B2953="","",MATCH($B2953,'_calc'!$L$2:$L$3001,0))</f>
        <v/>
      </c>
    </row>
    <row r="2954">
      <c r="B2954" s="24" t="str">
        <f>IF(ROW()-ROW($B$8)&gt;nComp,"",ROW()-ROW($B$8))</f>
        <v/>
      </c>
      <c r="C2954" t="str">
        <f>IF($N2954="","",INDEX('_calc'!$A$2:$A$3001,$N2954))</f>
        <v/>
      </c>
      <c r="D2954" s="25" t="str">
        <f>IF($N2954="","",INDEX('_calc'!$C$2:$C$3001,$N2954))</f>
        <v/>
      </c>
      <c r="E2954" s="25" t="str">
        <f>IF($N2954="","",INDEX('_calc'!$D$2:$D$3001,$N2954))</f>
        <v/>
      </c>
      <c r="F2954" s="26" t="str">
        <f>IF($N2954="","",IF($E$8=0,"",E2954/$E$8))</f>
        <v/>
      </c>
      <c r="G2954" s="25" t="str">
        <f>IF($N2954="","",INDEX('_calc'!$E$2:$E$3001,$N2954))</f>
        <v/>
      </c>
      <c r="H2954" s="25" t="str">
        <f>IF($N2954="","",INDEX('_calc'!$F$2:$F$3001,$N2954))</f>
        <v/>
      </c>
      <c r="I2954" s="27" t="str">
        <f>IF($N2954="","",INDEX('_calc'!$H$2:$H$3001,$N2954))</f>
        <v/>
      </c>
      <c r="J2954" s="27" t="str">
        <f>IF($N2954="","",INDEX('_calc'!$I$2:$I$3001,$N2954))</f>
        <v/>
      </c>
      <c r="K2954" s="28" t="str">
        <f>IF($N2954="","",IF(OR(I2954="",J2954=""),"",J2954-I2954))</f>
        <v/>
      </c>
      <c r="L2954" s="29" t="str">
        <f>IF($N2954="","",INDEX('_calc'!$J$2:$J$3001,$N2954))</f>
        <v/>
      </c>
      <c r="M2954" s="2" t="str">
        <f>IF($N2954="","",IF(AND(G2954=0,H2954=0),"수량 없음",IF(G2954=0,"신규 (전년 수량 없음)",IF(H2954=0,"당해 수량 없음",""))))</f>
        <v/>
      </c>
      <c r="N2954" t="str">
        <f>IF($B2954="","",MATCH($B2954,'_calc'!$L$2:$L$3001,0))</f>
        <v/>
      </c>
    </row>
    <row r="2955">
      <c r="B2955" s="24" t="str">
        <f>IF(ROW()-ROW($B$8)&gt;nComp,"",ROW()-ROW($B$8))</f>
        <v/>
      </c>
      <c r="C2955" t="str">
        <f>IF($N2955="","",INDEX('_calc'!$A$2:$A$3001,$N2955))</f>
        <v/>
      </c>
      <c r="D2955" s="25" t="str">
        <f>IF($N2955="","",INDEX('_calc'!$C$2:$C$3001,$N2955))</f>
        <v/>
      </c>
      <c r="E2955" s="25" t="str">
        <f>IF($N2955="","",INDEX('_calc'!$D$2:$D$3001,$N2955))</f>
        <v/>
      </c>
      <c r="F2955" s="26" t="str">
        <f>IF($N2955="","",IF($E$8=0,"",E2955/$E$8))</f>
        <v/>
      </c>
      <c r="G2955" s="25" t="str">
        <f>IF($N2955="","",INDEX('_calc'!$E$2:$E$3001,$N2955))</f>
        <v/>
      </c>
      <c r="H2955" s="25" t="str">
        <f>IF($N2955="","",INDEX('_calc'!$F$2:$F$3001,$N2955))</f>
        <v/>
      </c>
      <c r="I2955" s="27" t="str">
        <f>IF($N2955="","",INDEX('_calc'!$H$2:$H$3001,$N2955))</f>
        <v/>
      </c>
      <c r="J2955" s="27" t="str">
        <f>IF($N2955="","",INDEX('_calc'!$I$2:$I$3001,$N2955))</f>
        <v/>
      </c>
      <c r="K2955" s="28" t="str">
        <f>IF($N2955="","",IF(OR(I2955="",J2955=""),"",J2955-I2955))</f>
        <v/>
      </c>
      <c r="L2955" s="29" t="str">
        <f>IF($N2955="","",INDEX('_calc'!$J$2:$J$3001,$N2955))</f>
        <v/>
      </c>
      <c r="M2955" s="2" t="str">
        <f>IF($N2955="","",IF(AND(G2955=0,H2955=0),"수량 없음",IF(G2955=0,"신규 (전년 수량 없음)",IF(H2955=0,"당해 수량 없음",""))))</f>
        <v/>
      </c>
      <c r="N2955" t="str">
        <f>IF($B2955="","",MATCH($B2955,'_calc'!$L$2:$L$3001,0))</f>
        <v/>
      </c>
    </row>
    <row r="2956">
      <c r="B2956" s="24" t="str">
        <f>IF(ROW()-ROW($B$8)&gt;nComp,"",ROW()-ROW($B$8))</f>
        <v/>
      </c>
      <c r="C2956" t="str">
        <f>IF($N2956="","",INDEX('_calc'!$A$2:$A$3001,$N2956))</f>
        <v/>
      </c>
      <c r="D2956" s="25" t="str">
        <f>IF($N2956="","",INDEX('_calc'!$C$2:$C$3001,$N2956))</f>
        <v/>
      </c>
      <c r="E2956" s="25" t="str">
        <f>IF($N2956="","",INDEX('_calc'!$D$2:$D$3001,$N2956))</f>
        <v/>
      </c>
      <c r="F2956" s="26" t="str">
        <f>IF($N2956="","",IF($E$8=0,"",E2956/$E$8))</f>
        <v/>
      </c>
      <c r="G2956" s="25" t="str">
        <f>IF($N2956="","",INDEX('_calc'!$E$2:$E$3001,$N2956))</f>
        <v/>
      </c>
      <c r="H2956" s="25" t="str">
        <f>IF($N2956="","",INDEX('_calc'!$F$2:$F$3001,$N2956))</f>
        <v/>
      </c>
      <c r="I2956" s="27" t="str">
        <f>IF($N2956="","",INDEX('_calc'!$H$2:$H$3001,$N2956))</f>
        <v/>
      </c>
      <c r="J2956" s="27" t="str">
        <f>IF($N2956="","",INDEX('_calc'!$I$2:$I$3001,$N2956))</f>
        <v/>
      </c>
      <c r="K2956" s="28" t="str">
        <f>IF($N2956="","",IF(OR(I2956="",J2956=""),"",J2956-I2956))</f>
        <v/>
      </c>
      <c r="L2956" s="29" t="str">
        <f>IF($N2956="","",INDEX('_calc'!$J$2:$J$3001,$N2956))</f>
        <v/>
      </c>
      <c r="M2956" s="2" t="str">
        <f>IF($N2956="","",IF(AND(G2956=0,H2956=0),"수량 없음",IF(G2956=0,"신규 (전년 수량 없음)",IF(H2956=0,"당해 수량 없음",""))))</f>
        <v/>
      </c>
      <c r="N2956" t="str">
        <f>IF($B2956="","",MATCH($B2956,'_calc'!$L$2:$L$3001,0))</f>
        <v/>
      </c>
    </row>
    <row r="2957">
      <c r="B2957" s="24" t="str">
        <f>IF(ROW()-ROW($B$8)&gt;nComp,"",ROW()-ROW($B$8))</f>
        <v/>
      </c>
      <c r="C2957" t="str">
        <f>IF($N2957="","",INDEX('_calc'!$A$2:$A$3001,$N2957))</f>
        <v/>
      </c>
      <c r="D2957" s="25" t="str">
        <f>IF($N2957="","",INDEX('_calc'!$C$2:$C$3001,$N2957))</f>
        <v/>
      </c>
      <c r="E2957" s="25" t="str">
        <f>IF($N2957="","",INDEX('_calc'!$D$2:$D$3001,$N2957))</f>
        <v/>
      </c>
      <c r="F2957" s="26" t="str">
        <f>IF($N2957="","",IF($E$8=0,"",E2957/$E$8))</f>
        <v/>
      </c>
      <c r="G2957" s="25" t="str">
        <f>IF($N2957="","",INDEX('_calc'!$E$2:$E$3001,$N2957))</f>
        <v/>
      </c>
      <c r="H2957" s="25" t="str">
        <f>IF($N2957="","",INDEX('_calc'!$F$2:$F$3001,$N2957))</f>
        <v/>
      </c>
      <c r="I2957" s="27" t="str">
        <f>IF($N2957="","",INDEX('_calc'!$H$2:$H$3001,$N2957))</f>
        <v/>
      </c>
      <c r="J2957" s="27" t="str">
        <f>IF($N2957="","",INDEX('_calc'!$I$2:$I$3001,$N2957))</f>
        <v/>
      </c>
      <c r="K2957" s="28" t="str">
        <f>IF($N2957="","",IF(OR(I2957="",J2957=""),"",J2957-I2957))</f>
        <v/>
      </c>
      <c r="L2957" s="29" t="str">
        <f>IF($N2957="","",INDEX('_calc'!$J$2:$J$3001,$N2957))</f>
        <v/>
      </c>
      <c r="M2957" s="2" t="str">
        <f>IF($N2957="","",IF(AND(G2957=0,H2957=0),"수량 없음",IF(G2957=0,"신규 (전년 수량 없음)",IF(H2957=0,"당해 수량 없음",""))))</f>
        <v/>
      </c>
      <c r="N2957" t="str">
        <f>IF($B2957="","",MATCH($B2957,'_calc'!$L$2:$L$3001,0))</f>
        <v/>
      </c>
    </row>
    <row r="2958">
      <c r="B2958" s="24" t="str">
        <f>IF(ROW()-ROW($B$8)&gt;nComp,"",ROW()-ROW($B$8))</f>
        <v/>
      </c>
      <c r="C2958" t="str">
        <f>IF($N2958="","",INDEX('_calc'!$A$2:$A$3001,$N2958))</f>
        <v/>
      </c>
      <c r="D2958" s="25" t="str">
        <f>IF($N2958="","",INDEX('_calc'!$C$2:$C$3001,$N2958))</f>
        <v/>
      </c>
      <c r="E2958" s="25" t="str">
        <f>IF($N2958="","",INDEX('_calc'!$D$2:$D$3001,$N2958))</f>
        <v/>
      </c>
      <c r="F2958" s="26" t="str">
        <f>IF($N2958="","",IF($E$8=0,"",E2958/$E$8))</f>
        <v/>
      </c>
      <c r="G2958" s="25" t="str">
        <f>IF($N2958="","",INDEX('_calc'!$E$2:$E$3001,$N2958))</f>
        <v/>
      </c>
      <c r="H2958" s="25" t="str">
        <f>IF($N2958="","",INDEX('_calc'!$F$2:$F$3001,$N2958))</f>
        <v/>
      </c>
      <c r="I2958" s="27" t="str">
        <f>IF($N2958="","",INDEX('_calc'!$H$2:$H$3001,$N2958))</f>
        <v/>
      </c>
      <c r="J2958" s="27" t="str">
        <f>IF($N2958="","",INDEX('_calc'!$I$2:$I$3001,$N2958))</f>
        <v/>
      </c>
      <c r="K2958" s="28" t="str">
        <f>IF($N2958="","",IF(OR(I2958="",J2958=""),"",J2958-I2958))</f>
        <v/>
      </c>
      <c r="L2958" s="29" t="str">
        <f>IF($N2958="","",INDEX('_calc'!$J$2:$J$3001,$N2958))</f>
        <v/>
      </c>
      <c r="M2958" s="2" t="str">
        <f>IF($N2958="","",IF(AND(G2958=0,H2958=0),"수량 없음",IF(G2958=0,"신규 (전년 수량 없음)",IF(H2958=0,"당해 수량 없음",""))))</f>
        <v/>
      </c>
      <c r="N2958" t="str">
        <f>IF($B2958="","",MATCH($B2958,'_calc'!$L$2:$L$3001,0))</f>
        <v/>
      </c>
    </row>
    <row r="2959">
      <c r="B2959" s="24" t="str">
        <f>IF(ROW()-ROW($B$8)&gt;nComp,"",ROW()-ROW($B$8))</f>
        <v/>
      </c>
      <c r="C2959" t="str">
        <f>IF($N2959="","",INDEX('_calc'!$A$2:$A$3001,$N2959))</f>
        <v/>
      </c>
      <c r="D2959" s="25" t="str">
        <f>IF($N2959="","",INDEX('_calc'!$C$2:$C$3001,$N2959))</f>
        <v/>
      </c>
      <c r="E2959" s="25" t="str">
        <f>IF($N2959="","",INDEX('_calc'!$D$2:$D$3001,$N2959))</f>
        <v/>
      </c>
      <c r="F2959" s="26" t="str">
        <f>IF($N2959="","",IF($E$8=0,"",E2959/$E$8))</f>
        <v/>
      </c>
      <c r="G2959" s="25" t="str">
        <f>IF($N2959="","",INDEX('_calc'!$E$2:$E$3001,$N2959))</f>
        <v/>
      </c>
      <c r="H2959" s="25" t="str">
        <f>IF($N2959="","",INDEX('_calc'!$F$2:$F$3001,$N2959))</f>
        <v/>
      </c>
      <c r="I2959" s="27" t="str">
        <f>IF($N2959="","",INDEX('_calc'!$H$2:$H$3001,$N2959))</f>
        <v/>
      </c>
      <c r="J2959" s="27" t="str">
        <f>IF($N2959="","",INDEX('_calc'!$I$2:$I$3001,$N2959))</f>
        <v/>
      </c>
      <c r="K2959" s="28" t="str">
        <f>IF($N2959="","",IF(OR(I2959="",J2959=""),"",J2959-I2959))</f>
        <v/>
      </c>
      <c r="L2959" s="29" t="str">
        <f>IF($N2959="","",INDEX('_calc'!$J$2:$J$3001,$N2959))</f>
        <v/>
      </c>
      <c r="M2959" s="2" t="str">
        <f>IF($N2959="","",IF(AND(G2959=0,H2959=0),"수량 없음",IF(G2959=0,"신규 (전년 수량 없음)",IF(H2959=0,"당해 수량 없음",""))))</f>
        <v/>
      </c>
      <c r="N2959" t="str">
        <f>IF($B2959="","",MATCH($B2959,'_calc'!$L$2:$L$3001,0))</f>
        <v/>
      </c>
    </row>
    <row r="2960">
      <c r="B2960" s="24" t="str">
        <f>IF(ROW()-ROW($B$8)&gt;nComp,"",ROW()-ROW($B$8))</f>
        <v/>
      </c>
      <c r="C2960" t="str">
        <f>IF($N2960="","",INDEX('_calc'!$A$2:$A$3001,$N2960))</f>
        <v/>
      </c>
      <c r="D2960" s="25" t="str">
        <f>IF($N2960="","",INDEX('_calc'!$C$2:$C$3001,$N2960))</f>
        <v/>
      </c>
      <c r="E2960" s="25" t="str">
        <f>IF($N2960="","",INDEX('_calc'!$D$2:$D$3001,$N2960))</f>
        <v/>
      </c>
      <c r="F2960" s="26" t="str">
        <f>IF($N2960="","",IF($E$8=0,"",E2960/$E$8))</f>
        <v/>
      </c>
      <c r="G2960" s="25" t="str">
        <f>IF($N2960="","",INDEX('_calc'!$E$2:$E$3001,$N2960))</f>
        <v/>
      </c>
      <c r="H2960" s="25" t="str">
        <f>IF($N2960="","",INDEX('_calc'!$F$2:$F$3001,$N2960))</f>
        <v/>
      </c>
      <c r="I2960" s="27" t="str">
        <f>IF($N2960="","",INDEX('_calc'!$H$2:$H$3001,$N2960))</f>
        <v/>
      </c>
      <c r="J2960" s="27" t="str">
        <f>IF($N2960="","",INDEX('_calc'!$I$2:$I$3001,$N2960))</f>
        <v/>
      </c>
      <c r="K2960" s="28" t="str">
        <f>IF($N2960="","",IF(OR(I2960="",J2960=""),"",J2960-I2960))</f>
        <v/>
      </c>
      <c r="L2960" s="29" t="str">
        <f>IF($N2960="","",INDEX('_calc'!$J$2:$J$3001,$N2960))</f>
        <v/>
      </c>
      <c r="M2960" s="2" t="str">
        <f>IF($N2960="","",IF(AND(G2960=0,H2960=0),"수량 없음",IF(G2960=0,"신규 (전년 수량 없음)",IF(H2960=0,"당해 수량 없음",""))))</f>
        <v/>
      </c>
      <c r="N2960" t="str">
        <f>IF($B2960="","",MATCH($B2960,'_calc'!$L$2:$L$3001,0))</f>
        <v/>
      </c>
    </row>
    <row r="2961">
      <c r="B2961" s="24" t="str">
        <f>IF(ROW()-ROW($B$8)&gt;nComp,"",ROW()-ROW($B$8))</f>
        <v/>
      </c>
      <c r="C2961" t="str">
        <f>IF($N2961="","",INDEX('_calc'!$A$2:$A$3001,$N2961))</f>
        <v/>
      </c>
      <c r="D2961" s="25" t="str">
        <f>IF($N2961="","",INDEX('_calc'!$C$2:$C$3001,$N2961))</f>
        <v/>
      </c>
      <c r="E2961" s="25" t="str">
        <f>IF($N2961="","",INDEX('_calc'!$D$2:$D$3001,$N2961))</f>
        <v/>
      </c>
      <c r="F2961" s="26" t="str">
        <f>IF($N2961="","",IF($E$8=0,"",E2961/$E$8))</f>
        <v/>
      </c>
      <c r="G2961" s="25" t="str">
        <f>IF($N2961="","",INDEX('_calc'!$E$2:$E$3001,$N2961))</f>
        <v/>
      </c>
      <c r="H2961" s="25" t="str">
        <f>IF($N2961="","",INDEX('_calc'!$F$2:$F$3001,$N2961))</f>
        <v/>
      </c>
      <c r="I2961" s="27" t="str">
        <f>IF($N2961="","",INDEX('_calc'!$H$2:$H$3001,$N2961))</f>
        <v/>
      </c>
      <c r="J2961" s="27" t="str">
        <f>IF($N2961="","",INDEX('_calc'!$I$2:$I$3001,$N2961))</f>
        <v/>
      </c>
      <c r="K2961" s="28" t="str">
        <f>IF($N2961="","",IF(OR(I2961="",J2961=""),"",J2961-I2961))</f>
        <v/>
      </c>
      <c r="L2961" s="29" t="str">
        <f>IF($N2961="","",INDEX('_calc'!$J$2:$J$3001,$N2961))</f>
        <v/>
      </c>
      <c r="M2961" s="2" t="str">
        <f>IF($N2961="","",IF(AND(G2961=0,H2961=0),"수량 없음",IF(G2961=0,"신규 (전년 수량 없음)",IF(H2961=0,"당해 수량 없음",""))))</f>
        <v/>
      </c>
      <c r="N2961" t="str">
        <f>IF($B2961="","",MATCH($B2961,'_calc'!$L$2:$L$3001,0))</f>
        <v/>
      </c>
    </row>
    <row r="2962">
      <c r="B2962" s="24" t="str">
        <f>IF(ROW()-ROW($B$8)&gt;nComp,"",ROW()-ROW($B$8))</f>
        <v/>
      </c>
      <c r="C2962" t="str">
        <f>IF($N2962="","",INDEX('_calc'!$A$2:$A$3001,$N2962))</f>
        <v/>
      </c>
      <c r="D2962" s="25" t="str">
        <f>IF($N2962="","",INDEX('_calc'!$C$2:$C$3001,$N2962))</f>
        <v/>
      </c>
      <c r="E2962" s="25" t="str">
        <f>IF($N2962="","",INDEX('_calc'!$D$2:$D$3001,$N2962))</f>
        <v/>
      </c>
      <c r="F2962" s="26" t="str">
        <f>IF($N2962="","",IF($E$8=0,"",E2962/$E$8))</f>
        <v/>
      </c>
      <c r="G2962" s="25" t="str">
        <f>IF($N2962="","",INDEX('_calc'!$E$2:$E$3001,$N2962))</f>
        <v/>
      </c>
      <c r="H2962" s="25" t="str">
        <f>IF($N2962="","",INDEX('_calc'!$F$2:$F$3001,$N2962))</f>
        <v/>
      </c>
      <c r="I2962" s="27" t="str">
        <f>IF($N2962="","",INDEX('_calc'!$H$2:$H$3001,$N2962))</f>
        <v/>
      </c>
      <c r="J2962" s="27" t="str">
        <f>IF($N2962="","",INDEX('_calc'!$I$2:$I$3001,$N2962))</f>
        <v/>
      </c>
      <c r="K2962" s="28" t="str">
        <f>IF($N2962="","",IF(OR(I2962="",J2962=""),"",J2962-I2962))</f>
        <v/>
      </c>
      <c r="L2962" s="29" t="str">
        <f>IF($N2962="","",INDEX('_calc'!$J$2:$J$3001,$N2962))</f>
        <v/>
      </c>
      <c r="M2962" s="2" t="str">
        <f>IF($N2962="","",IF(AND(G2962=0,H2962=0),"수량 없음",IF(G2962=0,"신규 (전년 수량 없음)",IF(H2962=0,"당해 수량 없음",""))))</f>
        <v/>
      </c>
      <c r="N2962" t="str">
        <f>IF($B2962="","",MATCH($B2962,'_calc'!$L$2:$L$3001,0))</f>
        <v/>
      </c>
    </row>
    <row r="2963">
      <c r="B2963" s="24" t="str">
        <f>IF(ROW()-ROW($B$8)&gt;nComp,"",ROW()-ROW($B$8))</f>
        <v/>
      </c>
      <c r="C2963" t="str">
        <f>IF($N2963="","",INDEX('_calc'!$A$2:$A$3001,$N2963))</f>
        <v/>
      </c>
      <c r="D2963" s="25" t="str">
        <f>IF($N2963="","",INDEX('_calc'!$C$2:$C$3001,$N2963))</f>
        <v/>
      </c>
      <c r="E2963" s="25" t="str">
        <f>IF($N2963="","",INDEX('_calc'!$D$2:$D$3001,$N2963))</f>
        <v/>
      </c>
      <c r="F2963" s="26" t="str">
        <f>IF($N2963="","",IF($E$8=0,"",E2963/$E$8))</f>
        <v/>
      </c>
      <c r="G2963" s="25" t="str">
        <f>IF($N2963="","",INDEX('_calc'!$E$2:$E$3001,$N2963))</f>
        <v/>
      </c>
      <c r="H2963" s="25" t="str">
        <f>IF($N2963="","",INDEX('_calc'!$F$2:$F$3001,$N2963))</f>
        <v/>
      </c>
      <c r="I2963" s="27" t="str">
        <f>IF($N2963="","",INDEX('_calc'!$H$2:$H$3001,$N2963))</f>
        <v/>
      </c>
      <c r="J2963" s="27" t="str">
        <f>IF($N2963="","",INDEX('_calc'!$I$2:$I$3001,$N2963))</f>
        <v/>
      </c>
      <c r="K2963" s="28" t="str">
        <f>IF($N2963="","",IF(OR(I2963="",J2963=""),"",J2963-I2963))</f>
        <v/>
      </c>
      <c r="L2963" s="29" t="str">
        <f>IF($N2963="","",INDEX('_calc'!$J$2:$J$3001,$N2963))</f>
        <v/>
      </c>
      <c r="M2963" s="2" t="str">
        <f>IF($N2963="","",IF(AND(G2963=0,H2963=0),"수량 없음",IF(G2963=0,"신규 (전년 수량 없음)",IF(H2963=0,"당해 수량 없음",""))))</f>
        <v/>
      </c>
      <c r="N2963" t="str">
        <f>IF($B2963="","",MATCH($B2963,'_calc'!$L$2:$L$3001,0))</f>
        <v/>
      </c>
    </row>
    <row r="2964">
      <c r="B2964" s="24" t="str">
        <f>IF(ROW()-ROW($B$8)&gt;nComp,"",ROW()-ROW($B$8))</f>
        <v/>
      </c>
      <c r="C2964" t="str">
        <f>IF($N2964="","",INDEX('_calc'!$A$2:$A$3001,$N2964))</f>
        <v/>
      </c>
      <c r="D2964" s="25" t="str">
        <f>IF($N2964="","",INDEX('_calc'!$C$2:$C$3001,$N2964))</f>
        <v/>
      </c>
      <c r="E2964" s="25" t="str">
        <f>IF($N2964="","",INDEX('_calc'!$D$2:$D$3001,$N2964))</f>
        <v/>
      </c>
      <c r="F2964" s="26" t="str">
        <f>IF($N2964="","",IF($E$8=0,"",E2964/$E$8))</f>
        <v/>
      </c>
      <c r="G2964" s="25" t="str">
        <f>IF($N2964="","",INDEX('_calc'!$E$2:$E$3001,$N2964))</f>
        <v/>
      </c>
      <c r="H2964" s="25" t="str">
        <f>IF($N2964="","",INDEX('_calc'!$F$2:$F$3001,$N2964))</f>
        <v/>
      </c>
      <c r="I2964" s="27" t="str">
        <f>IF($N2964="","",INDEX('_calc'!$H$2:$H$3001,$N2964))</f>
        <v/>
      </c>
      <c r="J2964" s="27" t="str">
        <f>IF($N2964="","",INDEX('_calc'!$I$2:$I$3001,$N2964))</f>
        <v/>
      </c>
      <c r="K2964" s="28" t="str">
        <f>IF($N2964="","",IF(OR(I2964="",J2964=""),"",J2964-I2964))</f>
        <v/>
      </c>
      <c r="L2964" s="29" t="str">
        <f>IF($N2964="","",INDEX('_calc'!$J$2:$J$3001,$N2964))</f>
        <v/>
      </c>
      <c r="M2964" s="2" t="str">
        <f>IF($N2964="","",IF(AND(G2964=0,H2964=0),"수량 없음",IF(G2964=0,"신규 (전년 수량 없음)",IF(H2964=0,"당해 수량 없음",""))))</f>
        <v/>
      </c>
      <c r="N2964" t="str">
        <f>IF($B2964="","",MATCH($B2964,'_calc'!$L$2:$L$3001,0))</f>
        <v/>
      </c>
    </row>
    <row r="2965">
      <c r="B2965" s="24" t="str">
        <f>IF(ROW()-ROW($B$8)&gt;nComp,"",ROW()-ROW($B$8))</f>
        <v/>
      </c>
      <c r="C2965" t="str">
        <f>IF($N2965="","",INDEX('_calc'!$A$2:$A$3001,$N2965))</f>
        <v/>
      </c>
      <c r="D2965" s="25" t="str">
        <f>IF($N2965="","",INDEX('_calc'!$C$2:$C$3001,$N2965))</f>
        <v/>
      </c>
      <c r="E2965" s="25" t="str">
        <f>IF($N2965="","",INDEX('_calc'!$D$2:$D$3001,$N2965))</f>
        <v/>
      </c>
      <c r="F2965" s="26" t="str">
        <f>IF($N2965="","",IF($E$8=0,"",E2965/$E$8))</f>
        <v/>
      </c>
      <c r="G2965" s="25" t="str">
        <f>IF($N2965="","",INDEX('_calc'!$E$2:$E$3001,$N2965))</f>
        <v/>
      </c>
      <c r="H2965" s="25" t="str">
        <f>IF($N2965="","",INDEX('_calc'!$F$2:$F$3001,$N2965))</f>
        <v/>
      </c>
      <c r="I2965" s="27" t="str">
        <f>IF($N2965="","",INDEX('_calc'!$H$2:$H$3001,$N2965))</f>
        <v/>
      </c>
      <c r="J2965" s="27" t="str">
        <f>IF($N2965="","",INDEX('_calc'!$I$2:$I$3001,$N2965))</f>
        <v/>
      </c>
      <c r="K2965" s="28" t="str">
        <f>IF($N2965="","",IF(OR(I2965="",J2965=""),"",J2965-I2965))</f>
        <v/>
      </c>
      <c r="L2965" s="29" t="str">
        <f>IF($N2965="","",INDEX('_calc'!$J$2:$J$3001,$N2965))</f>
        <v/>
      </c>
      <c r="M2965" s="2" t="str">
        <f>IF($N2965="","",IF(AND(G2965=0,H2965=0),"수량 없음",IF(G2965=0,"신규 (전년 수량 없음)",IF(H2965=0,"당해 수량 없음",""))))</f>
        <v/>
      </c>
      <c r="N2965" t="str">
        <f>IF($B2965="","",MATCH($B2965,'_calc'!$L$2:$L$3001,0))</f>
        <v/>
      </c>
    </row>
    <row r="2966">
      <c r="B2966" s="24" t="str">
        <f>IF(ROW()-ROW($B$8)&gt;nComp,"",ROW()-ROW($B$8))</f>
        <v/>
      </c>
      <c r="C2966" t="str">
        <f>IF($N2966="","",INDEX('_calc'!$A$2:$A$3001,$N2966))</f>
        <v/>
      </c>
      <c r="D2966" s="25" t="str">
        <f>IF($N2966="","",INDEX('_calc'!$C$2:$C$3001,$N2966))</f>
        <v/>
      </c>
      <c r="E2966" s="25" t="str">
        <f>IF($N2966="","",INDEX('_calc'!$D$2:$D$3001,$N2966))</f>
        <v/>
      </c>
      <c r="F2966" s="26" t="str">
        <f>IF($N2966="","",IF($E$8=0,"",E2966/$E$8))</f>
        <v/>
      </c>
      <c r="G2966" s="25" t="str">
        <f>IF($N2966="","",INDEX('_calc'!$E$2:$E$3001,$N2966))</f>
        <v/>
      </c>
      <c r="H2966" s="25" t="str">
        <f>IF($N2966="","",INDEX('_calc'!$F$2:$F$3001,$N2966))</f>
        <v/>
      </c>
      <c r="I2966" s="27" t="str">
        <f>IF($N2966="","",INDEX('_calc'!$H$2:$H$3001,$N2966))</f>
        <v/>
      </c>
      <c r="J2966" s="27" t="str">
        <f>IF($N2966="","",INDEX('_calc'!$I$2:$I$3001,$N2966))</f>
        <v/>
      </c>
      <c r="K2966" s="28" t="str">
        <f>IF($N2966="","",IF(OR(I2966="",J2966=""),"",J2966-I2966))</f>
        <v/>
      </c>
      <c r="L2966" s="29" t="str">
        <f>IF($N2966="","",INDEX('_calc'!$J$2:$J$3001,$N2966))</f>
        <v/>
      </c>
      <c r="M2966" s="2" t="str">
        <f>IF($N2966="","",IF(AND(G2966=0,H2966=0),"수량 없음",IF(G2966=0,"신규 (전년 수량 없음)",IF(H2966=0,"당해 수량 없음",""))))</f>
        <v/>
      </c>
      <c r="N2966" t="str">
        <f>IF($B2966="","",MATCH($B2966,'_calc'!$L$2:$L$3001,0))</f>
        <v/>
      </c>
    </row>
    <row r="2967">
      <c r="B2967" s="24" t="str">
        <f>IF(ROW()-ROW($B$8)&gt;nComp,"",ROW()-ROW($B$8))</f>
        <v/>
      </c>
      <c r="C2967" t="str">
        <f>IF($N2967="","",INDEX('_calc'!$A$2:$A$3001,$N2967))</f>
        <v/>
      </c>
      <c r="D2967" s="25" t="str">
        <f>IF($N2967="","",INDEX('_calc'!$C$2:$C$3001,$N2967))</f>
        <v/>
      </c>
      <c r="E2967" s="25" t="str">
        <f>IF($N2967="","",INDEX('_calc'!$D$2:$D$3001,$N2967))</f>
        <v/>
      </c>
      <c r="F2967" s="26" t="str">
        <f>IF($N2967="","",IF($E$8=0,"",E2967/$E$8))</f>
        <v/>
      </c>
      <c r="G2967" s="25" t="str">
        <f>IF($N2967="","",INDEX('_calc'!$E$2:$E$3001,$N2967))</f>
        <v/>
      </c>
      <c r="H2967" s="25" t="str">
        <f>IF($N2967="","",INDEX('_calc'!$F$2:$F$3001,$N2967))</f>
        <v/>
      </c>
      <c r="I2967" s="27" t="str">
        <f>IF($N2967="","",INDEX('_calc'!$H$2:$H$3001,$N2967))</f>
        <v/>
      </c>
      <c r="J2967" s="27" t="str">
        <f>IF($N2967="","",INDEX('_calc'!$I$2:$I$3001,$N2967))</f>
        <v/>
      </c>
      <c r="K2967" s="28" t="str">
        <f>IF($N2967="","",IF(OR(I2967="",J2967=""),"",J2967-I2967))</f>
        <v/>
      </c>
      <c r="L2967" s="29" t="str">
        <f>IF($N2967="","",INDEX('_calc'!$J$2:$J$3001,$N2967))</f>
        <v/>
      </c>
      <c r="M2967" s="2" t="str">
        <f>IF($N2967="","",IF(AND(G2967=0,H2967=0),"수량 없음",IF(G2967=0,"신규 (전년 수량 없음)",IF(H2967=0,"당해 수량 없음",""))))</f>
        <v/>
      </c>
      <c r="N2967" t="str">
        <f>IF($B2967="","",MATCH($B2967,'_calc'!$L$2:$L$3001,0))</f>
        <v/>
      </c>
    </row>
    <row r="2968">
      <c r="B2968" s="24" t="str">
        <f>IF(ROW()-ROW($B$8)&gt;nComp,"",ROW()-ROW($B$8))</f>
        <v/>
      </c>
      <c r="C2968" t="str">
        <f>IF($N2968="","",INDEX('_calc'!$A$2:$A$3001,$N2968))</f>
        <v/>
      </c>
      <c r="D2968" s="25" t="str">
        <f>IF($N2968="","",INDEX('_calc'!$C$2:$C$3001,$N2968))</f>
        <v/>
      </c>
      <c r="E2968" s="25" t="str">
        <f>IF($N2968="","",INDEX('_calc'!$D$2:$D$3001,$N2968))</f>
        <v/>
      </c>
      <c r="F2968" s="26" t="str">
        <f>IF($N2968="","",IF($E$8=0,"",E2968/$E$8))</f>
        <v/>
      </c>
      <c r="G2968" s="25" t="str">
        <f>IF($N2968="","",INDEX('_calc'!$E$2:$E$3001,$N2968))</f>
        <v/>
      </c>
      <c r="H2968" s="25" t="str">
        <f>IF($N2968="","",INDEX('_calc'!$F$2:$F$3001,$N2968))</f>
        <v/>
      </c>
      <c r="I2968" s="27" t="str">
        <f>IF($N2968="","",INDEX('_calc'!$H$2:$H$3001,$N2968))</f>
        <v/>
      </c>
      <c r="J2968" s="27" t="str">
        <f>IF($N2968="","",INDEX('_calc'!$I$2:$I$3001,$N2968))</f>
        <v/>
      </c>
      <c r="K2968" s="28" t="str">
        <f>IF($N2968="","",IF(OR(I2968="",J2968=""),"",J2968-I2968))</f>
        <v/>
      </c>
      <c r="L2968" s="29" t="str">
        <f>IF($N2968="","",INDEX('_calc'!$J$2:$J$3001,$N2968))</f>
        <v/>
      </c>
      <c r="M2968" s="2" t="str">
        <f>IF($N2968="","",IF(AND(G2968=0,H2968=0),"수량 없음",IF(G2968=0,"신규 (전년 수량 없음)",IF(H2968=0,"당해 수량 없음",""))))</f>
        <v/>
      </c>
      <c r="N2968" t="str">
        <f>IF($B2968="","",MATCH($B2968,'_calc'!$L$2:$L$3001,0))</f>
        <v/>
      </c>
    </row>
    <row r="2969">
      <c r="B2969" s="24" t="str">
        <f>IF(ROW()-ROW($B$8)&gt;nComp,"",ROW()-ROW($B$8))</f>
        <v/>
      </c>
      <c r="C2969" t="str">
        <f>IF($N2969="","",INDEX('_calc'!$A$2:$A$3001,$N2969))</f>
        <v/>
      </c>
      <c r="D2969" s="25" t="str">
        <f>IF($N2969="","",INDEX('_calc'!$C$2:$C$3001,$N2969))</f>
        <v/>
      </c>
      <c r="E2969" s="25" t="str">
        <f>IF($N2969="","",INDEX('_calc'!$D$2:$D$3001,$N2969))</f>
        <v/>
      </c>
      <c r="F2969" s="26" t="str">
        <f>IF($N2969="","",IF($E$8=0,"",E2969/$E$8))</f>
        <v/>
      </c>
      <c r="G2969" s="25" t="str">
        <f>IF($N2969="","",INDEX('_calc'!$E$2:$E$3001,$N2969))</f>
        <v/>
      </c>
      <c r="H2969" s="25" t="str">
        <f>IF($N2969="","",INDEX('_calc'!$F$2:$F$3001,$N2969))</f>
        <v/>
      </c>
      <c r="I2969" s="27" t="str">
        <f>IF($N2969="","",INDEX('_calc'!$H$2:$H$3001,$N2969))</f>
        <v/>
      </c>
      <c r="J2969" s="27" t="str">
        <f>IF($N2969="","",INDEX('_calc'!$I$2:$I$3001,$N2969))</f>
        <v/>
      </c>
      <c r="K2969" s="28" t="str">
        <f>IF($N2969="","",IF(OR(I2969="",J2969=""),"",J2969-I2969))</f>
        <v/>
      </c>
      <c r="L2969" s="29" t="str">
        <f>IF($N2969="","",INDEX('_calc'!$J$2:$J$3001,$N2969))</f>
        <v/>
      </c>
      <c r="M2969" s="2" t="str">
        <f>IF($N2969="","",IF(AND(G2969=0,H2969=0),"수량 없음",IF(G2969=0,"신규 (전년 수량 없음)",IF(H2969=0,"당해 수량 없음",""))))</f>
        <v/>
      </c>
      <c r="N2969" t="str">
        <f>IF($B2969="","",MATCH($B2969,'_calc'!$L$2:$L$3001,0))</f>
        <v/>
      </c>
    </row>
    <row r="2970">
      <c r="B2970" s="24" t="str">
        <f>IF(ROW()-ROW($B$8)&gt;nComp,"",ROW()-ROW($B$8))</f>
        <v/>
      </c>
      <c r="C2970" t="str">
        <f>IF($N2970="","",INDEX('_calc'!$A$2:$A$3001,$N2970))</f>
        <v/>
      </c>
      <c r="D2970" s="25" t="str">
        <f>IF($N2970="","",INDEX('_calc'!$C$2:$C$3001,$N2970))</f>
        <v/>
      </c>
      <c r="E2970" s="25" t="str">
        <f>IF($N2970="","",INDEX('_calc'!$D$2:$D$3001,$N2970))</f>
        <v/>
      </c>
      <c r="F2970" s="26" t="str">
        <f>IF($N2970="","",IF($E$8=0,"",E2970/$E$8))</f>
        <v/>
      </c>
      <c r="G2970" s="25" t="str">
        <f>IF($N2970="","",INDEX('_calc'!$E$2:$E$3001,$N2970))</f>
        <v/>
      </c>
      <c r="H2970" s="25" t="str">
        <f>IF($N2970="","",INDEX('_calc'!$F$2:$F$3001,$N2970))</f>
        <v/>
      </c>
      <c r="I2970" s="27" t="str">
        <f>IF($N2970="","",INDEX('_calc'!$H$2:$H$3001,$N2970))</f>
        <v/>
      </c>
      <c r="J2970" s="27" t="str">
        <f>IF($N2970="","",INDEX('_calc'!$I$2:$I$3001,$N2970))</f>
        <v/>
      </c>
      <c r="K2970" s="28" t="str">
        <f>IF($N2970="","",IF(OR(I2970="",J2970=""),"",J2970-I2970))</f>
        <v/>
      </c>
      <c r="L2970" s="29" t="str">
        <f>IF($N2970="","",INDEX('_calc'!$J$2:$J$3001,$N2970))</f>
        <v/>
      </c>
      <c r="M2970" s="2" t="str">
        <f>IF($N2970="","",IF(AND(G2970=0,H2970=0),"수량 없음",IF(G2970=0,"신규 (전년 수량 없음)",IF(H2970=0,"당해 수량 없음",""))))</f>
        <v/>
      </c>
      <c r="N2970" t="str">
        <f>IF($B2970="","",MATCH($B2970,'_calc'!$L$2:$L$3001,0))</f>
        <v/>
      </c>
    </row>
    <row r="2971">
      <c r="B2971" s="24" t="str">
        <f>IF(ROW()-ROW($B$8)&gt;nComp,"",ROW()-ROW($B$8))</f>
        <v/>
      </c>
      <c r="C2971" t="str">
        <f>IF($N2971="","",INDEX('_calc'!$A$2:$A$3001,$N2971))</f>
        <v/>
      </c>
      <c r="D2971" s="25" t="str">
        <f>IF($N2971="","",INDEX('_calc'!$C$2:$C$3001,$N2971))</f>
        <v/>
      </c>
      <c r="E2971" s="25" t="str">
        <f>IF($N2971="","",INDEX('_calc'!$D$2:$D$3001,$N2971))</f>
        <v/>
      </c>
      <c r="F2971" s="26" t="str">
        <f>IF($N2971="","",IF($E$8=0,"",E2971/$E$8))</f>
        <v/>
      </c>
      <c r="G2971" s="25" t="str">
        <f>IF($N2971="","",INDEX('_calc'!$E$2:$E$3001,$N2971))</f>
        <v/>
      </c>
      <c r="H2971" s="25" t="str">
        <f>IF($N2971="","",INDEX('_calc'!$F$2:$F$3001,$N2971))</f>
        <v/>
      </c>
      <c r="I2971" s="27" t="str">
        <f>IF($N2971="","",INDEX('_calc'!$H$2:$H$3001,$N2971))</f>
        <v/>
      </c>
      <c r="J2971" s="27" t="str">
        <f>IF($N2971="","",INDEX('_calc'!$I$2:$I$3001,$N2971))</f>
        <v/>
      </c>
      <c r="K2971" s="28" t="str">
        <f>IF($N2971="","",IF(OR(I2971="",J2971=""),"",J2971-I2971))</f>
        <v/>
      </c>
      <c r="L2971" s="29" t="str">
        <f>IF($N2971="","",INDEX('_calc'!$J$2:$J$3001,$N2971))</f>
        <v/>
      </c>
      <c r="M2971" s="2" t="str">
        <f>IF($N2971="","",IF(AND(G2971=0,H2971=0),"수량 없음",IF(G2971=0,"신규 (전년 수량 없음)",IF(H2971=0,"당해 수량 없음",""))))</f>
        <v/>
      </c>
      <c r="N2971" t="str">
        <f>IF($B2971="","",MATCH($B2971,'_calc'!$L$2:$L$3001,0))</f>
        <v/>
      </c>
    </row>
    <row r="2972">
      <c r="B2972" s="24" t="str">
        <f>IF(ROW()-ROW($B$8)&gt;nComp,"",ROW()-ROW($B$8))</f>
        <v/>
      </c>
      <c r="C2972" t="str">
        <f>IF($N2972="","",INDEX('_calc'!$A$2:$A$3001,$N2972))</f>
        <v/>
      </c>
      <c r="D2972" s="25" t="str">
        <f>IF($N2972="","",INDEX('_calc'!$C$2:$C$3001,$N2972))</f>
        <v/>
      </c>
      <c r="E2972" s="25" t="str">
        <f>IF($N2972="","",INDEX('_calc'!$D$2:$D$3001,$N2972))</f>
        <v/>
      </c>
      <c r="F2972" s="26" t="str">
        <f>IF($N2972="","",IF($E$8=0,"",E2972/$E$8))</f>
        <v/>
      </c>
      <c r="G2972" s="25" t="str">
        <f>IF($N2972="","",INDEX('_calc'!$E$2:$E$3001,$N2972))</f>
        <v/>
      </c>
      <c r="H2972" s="25" t="str">
        <f>IF($N2972="","",INDEX('_calc'!$F$2:$F$3001,$N2972))</f>
        <v/>
      </c>
      <c r="I2972" s="27" t="str">
        <f>IF($N2972="","",INDEX('_calc'!$H$2:$H$3001,$N2972))</f>
        <v/>
      </c>
      <c r="J2972" s="27" t="str">
        <f>IF($N2972="","",INDEX('_calc'!$I$2:$I$3001,$N2972))</f>
        <v/>
      </c>
      <c r="K2972" s="28" t="str">
        <f>IF($N2972="","",IF(OR(I2972="",J2972=""),"",J2972-I2972))</f>
        <v/>
      </c>
      <c r="L2972" s="29" t="str">
        <f>IF($N2972="","",INDEX('_calc'!$J$2:$J$3001,$N2972))</f>
        <v/>
      </c>
      <c r="M2972" s="2" t="str">
        <f>IF($N2972="","",IF(AND(G2972=0,H2972=0),"수량 없음",IF(G2972=0,"신규 (전년 수량 없음)",IF(H2972=0,"당해 수량 없음",""))))</f>
        <v/>
      </c>
      <c r="N2972" t="str">
        <f>IF($B2972="","",MATCH($B2972,'_calc'!$L$2:$L$3001,0))</f>
        <v/>
      </c>
    </row>
    <row r="2973">
      <c r="B2973" s="24" t="str">
        <f>IF(ROW()-ROW($B$8)&gt;nComp,"",ROW()-ROW($B$8))</f>
        <v/>
      </c>
      <c r="C2973" t="str">
        <f>IF($N2973="","",INDEX('_calc'!$A$2:$A$3001,$N2973))</f>
        <v/>
      </c>
      <c r="D2973" s="25" t="str">
        <f>IF($N2973="","",INDEX('_calc'!$C$2:$C$3001,$N2973))</f>
        <v/>
      </c>
      <c r="E2973" s="25" t="str">
        <f>IF($N2973="","",INDEX('_calc'!$D$2:$D$3001,$N2973))</f>
        <v/>
      </c>
      <c r="F2973" s="26" t="str">
        <f>IF($N2973="","",IF($E$8=0,"",E2973/$E$8))</f>
        <v/>
      </c>
      <c r="G2973" s="25" t="str">
        <f>IF($N2973="","",INDEX('_calc'!$E$2:$E$3001,$N2973))</f>
        <v/>
      </c>
      <c r="H2973" s="25" t="str">
        <f>IF($N2973="","",INDEX('_calc'!$F$2:$F$3001,$N2973))</f>
        <v/>
      </c>
      <c r="I2973" s="27" t="str">
        <f>IF($N2973="","",INDEX('_calc'!$H$2:$H$3001,$N2973))</f>
        <v/>
      </c>
      <c r="J2973" s="27" t="str">
        <f>IF($N2973="","",INDEX('_calc'!$I$2:$I$3001,$N2973))</f>
        <v/>
      </c>
      <c r="K2973" s="28" t="str">
        <f>IF($N2973="","",IF(OR(I2973="",J2973=""),"",J2973-I2973))</f>
        <v/>
      </c>
      <c r="L2973" s="29" t="str">
        <f>IF($N2973="","",INDEX('_calc'!$J$2:$J$3001,$N2973))</f>
        <v/>
      </c>
      <c r="M2973" s="2" t="str">
        <f>IF($N2973="","",IF(AND(G2973=0,H2973=0),"수량 없음",IF(G2973=0,"신규 (전년 수량 없음)",IF(H2973=0,"당해 수량 없음",""))))</f>
        <v/>
      </c>
      <c r="N2973" t="str">
        <f>IF($B2973="","",MATCH($B2973,'_calc'!$L$2:$L$3001,0))</f>
        <v/>
      </c>
    </row>
    <row r="2974">
      <c r="B2974" s="24" t="str">
        <f>IF(ROW()-ROW($B$8)&gt;nComp,"",ROW()-ROW($B$8))</f>
        <v/>
      </c>
      <c r="C2974" t="str">
        <f>IF($N2974="","",INDEX('_calc'!$A$2:$A$3001,$N2974))</f>
        <v/>
      </c>
      <c r="D2974" s="25" t="str">
        <f>IF($N2974="","",INDEX('_calc'!$C$2:$C$3001,$N2974))</f>
        <v/>
      </c>
      <c r="E2974" s="25" t="str">
        <f>IF($N2974="","",INDEX('_calc'!$D$2:$D$3001,$N2974))</f>
        <v/>
      </c>
      <c r="F2974" s="26" t="str">
        <f>IF($N2974="","",IF($E$8=0,"",E2974/$E$8))</f>
        <v/>
      </c>
      <c r="G2974" s="25" t="str">
        <f>IF($N2974="","",INDEX('_calc'!$E$2:$E$3001,$N2974))</f>
        <v/>
      </c>
      <c r="H2974" s="25" t="str">
        <f>IF($N2974="","",INDEX('_calc'!$F$2:$F$3001,$N2974))</f>
        <v/>
      </c>
      <c r="I2974" s="27" t="str">
        <f>IF($N2974="","",INDEX('_calc'!$H$2:$H$3001,$N2974))</f>
        <v/>
      </c>
      <c r="J2974" s="27" t="str">
        <f>IF($N2974="","",INDEX('_calc'!$I$2:$I$3001,$N2974))</f>
        <v/>
      </c>
      <c r="K2974" s="28" t="str">
        <f>IF($N2974="","",IF(OR(I2974="",J2974=""),"",J2974-I2974))</f>
        <v/>
      </c>
      <c r="L2974" s="29" t="str">
        <f>IF($N2974="","",INDEX('_calc'!$J$2:$J$3001,$N2974))</f>
        <v/>
      </c>
      <c r="M2974" s="2" t="str">
        <f>IF($N2974="","",IF(AND(G2974=0,H2974=0),"수량 없음",IF(G2974=0,"신규 (전년 수량 없음)",IF(H2974=0,"당해 수량 없음",""))))</f>
        <v/>
      </c>
      <c r="N2974" t="str">
        <f>IF($B2974="","",MATCH($B2974,'_calc'!$L$2:$L$3001,0))</f>
        <v/>
      </c>
    </row>
    <row r="2975">
      <c r="B2975" s="24" t="str">
        <f>IF(ROW()-ROW($B$8)&gt;nComp,"",ROW()-ROW($B$8))</f>
        <v/>
      </c>
      <c r="C2975" t="str">
        <f>IF($N2975="","",INDEX('_calc'!$A$2:$A$3001,$N2975))</f>
        <v/>
      </c>
      <c r="D2975" s="25" t="str">
        <f>IF($N2975="","",INDEX('_calc'!$C$2:$C$3001,$N2975))</f>
        <v/>
      </c>
      <c r="E2975" s="25" t="str">
        <f>IF($N2975="","",INDEX('_calc'!$D$2:$D$3001,$N2975))</f>
        <v/>
      </c>
      <c r="F2975" s="26" t="str">
        <f>IF($N2975="","",IF($E$8=0,"",E2975/$E$8))</f>
        <v/>
      </c>
      <c r="G2975" s="25" t="str">
        <f>IF($N2975="","",INDEX('_calc'!$E$2:$E$3001,$N2975))</f>
        <v/>
      </c>
      <c r="H2975" s="25" t="str">
        <f>IF($N2975="","",INDEX('_calc'!$F$2:$F$3001,$N2975))</f>
        <v/>
      </c>
      <c r="I2975" s="27" t="str">
        <f>IF($N2975="","",INDEX('_calc'!$H$2:$H$3001,$N2975))</f>
        <v/>
      </c>
      <c r="J2975" s="27" t="str">
        <f>IF($N2975="","",INDEX('_calc'!$I$2:$I$3001,$N2975))</f>
        <v/>
      </c>
      <c r="K2975" s="28" t="str">
        <f>IF($N2975="","",IF(OR(I2975="",J2975=""),"",J2975-I2975))</f>
        <v/>
      </c>
      <c r="L2975" s="29" t="str">
        <f>IF($N2975="","",INDEX('_calc'!$J$2:$J$3001,$N2975))</f>
        <v/>
      </c>
      <c r="M2975" s="2" t="str">
        <f>IF($N2975="","",IF(AND(G2975=0,H2975=0),"수량 없음",IF(G2975=0,"신규 (전년 수량 없음)",IF(H2975=0,"당해 수량 없음",""))))</f>
        <v/>
      </c>
      <c r="N2975" t="str">
        <f>IF($B2975="","",MATCH($B2975,'_calc'!$L$2:$L$3001,0))</f>
        <v/>
      </c>
    </row>
    <row r="2976">
      <c r="B2976" s="24" t="str">
        <f>IF(ROW()-ROW($B$8)&gt;nComp,"",ROW()-ROW($B$8))</f>
        <v/>
      </c>
      <c r="C2976" t="str">
        <f>IF($N2976="","",INDEX('_calc'!$A$2:$A$3001,$N2976))</f>
        <v/>
      </c>
      <c r="D2976" s="25" t="str">
        <f>IF($N2976="","",INDEX('_calc'!$C$2:$C$3001,$N2976))</f>
        <v/>
      </c>
      <c r="E2976" s="25" t="str">
        <f>IF($N2976="","",INDEX('_calc'!$D$2:$D$3001,$N2976))</f>
        <v/>
      </c>
      <c r="F2976" s="26" t="str">
        <f>IF($N2976="","",IF($E$8=0,"",E2976/$E$8))</f>
        <v/>
      </c>
      <c r="G2976" s="25" t="str">
        <f>IF($N2976="","",INDEX('_calc'!$E$2:$E$3001,$N2976))</f>
        <v/>
      </c>
      <c r="H2976" s="25" t="str">
        <f>IF($N2976="","",INDEX('_calc'!$F$2:$F$3001,$N2976))</f>
        <v/>
      </c>
      <c r="I2976" s="27" t="str">
        <f>IF($N2976="","",INDEX('_calc'!$H$2:$H$3001,$N2976))</f>
        <v/>
      </c>
      <c r="J2976" s="27" t="str">
        <f>IF($N2976="","",INDEX('_calc'!$I$2:$I$3001,$N2976))</f>
        <v/>
      </c>
      <c r="K2976" s="28" t="str">
        <f>IF($N2976="","",IF(OR(I2976="",J2976=""),"",J2976-I2976))</f>
        <v/>
      </c>
      <c r="L2976" s="29" t="str">
        <f>IF($N2976="","",INDEX('_calc'!$J$2:$J$3001,$N2976))</f>
        <v/>
      </c>
      <c r="M2976" s="2" t="str">
        <f>IF($N2976="","",IF(AND(G2976=0,H2976=0),"수량 없음",IF(G2976=0,"신규 (전년 수량 없음)",IF(H2976=0,"당해 수량 없음",""))))</f>
        <v/>
      </c>
      <c r="N2976" t="str">
        <f>IF($B2976="","",MATCH($B2976,'_calc'!$L$2:$L$3001,0))</f>
        <v/>
      </c>
    </row>
    <row r="2977">
      <c r="B2977" s="24" t="str">
        <f>IF(ROW()-ROW($B$8)&gt;nComp,"",ROW()-ROW($B$8))</f>
        <v/>
      </c>
      <c r="C2977" t="str">
        <f>IF($N2977="","",INDEX('_calc'!$A$2:$A$3001,$N2977))</f>
        <v/>
      </c>
      <c r="D2977" s="25" t="str">
        <f>IF($N2977="","",INDEX('_calc'!$C$2:$C$3001,$N2977))</f>
        <v/>
      </c>
      <c r="E2977" s="25" t="str">
        <f>IF($N2977="","",INDEX('_calc'!$D$2:$D$3001,$N2977))</f>
        <v/>
      </c>
      <c r="F2977" s="26" t="str">
        <f>IF($N2977="","",IF($E$8=0,"",E2977/$E$8))</f>
        <v/>
      </c>
      <c r="G2977" s="25" t="str">
        <f>IF($N2977="","",INDEX('_calc'!$E$2:$E$3001,$N2977))</f>
        <v/>
      </c>
      <c r="H2977" s="25" t="str">
        <f>IF($N2977="","",INDEX('_calc'!$F$2:$F$3001,$N2977))</f>
        <v/>
      </c>
      <c r="I2977" s="27" t="str">
        <f>IF($N2977="","",INDEX('_calc'!$H$2:$H$3001,$N2977))</f>
        <v/>
      </c>
      <c r="J2977" s="27" t="str">
        <f>IF($N2977="","",INDEX('_calc'!$I$2:$I$3001,$N2977))</f>
        <v/>
      </c>
      <c r="K2977" s="28" t="str">
        <f>IF($N2977="","",IF(OR(I2977="",J2977=""),"",J2977-I2977))</f>
        <v/>
      </c>
      <c r="L2977" s="29" t="str">
        <f>IF($N2977="","",INDEX('_calc'!$J$2:$J$3001,$N2977))</f>
        <v/>
      </c>
      <c r="M2977" s="2" t="str">
        <f>IF($N2977="","",IF(AND(G2977=0,H2977=0),"수량 없음",IF(G2977=0,"신규 (전년 수량 없음)",IF(H2977=0,"당해 수량 없음",""))))</f>
        <v/>
      </c>
      <c r="N2977" t="str">
        <f>IF($B2977="","",MATCH($B2977,'_calc'!$L$2:$L$3001,0))</f>
        <v/>
      </c>
    </row>
    <row r="2978">
      <c r="B2978" s="24" t="str">
        <f>IF(ROW()-ROW($B$8)&gt;nComp,"",ROW()-ROW($B$8))</f>
        <v/>
      </c>
      <c r="C2978" t="str">
        <f>IF($N2978="","",INDEX('_calc'!$A$2:$A$3001,$N2978))</f>
        <v/>
      </c>
      <c r="D2978" s="25" t="str">
        <f>IF($N2978="","",INDEX('_calc'!$C$2:$C$3001,$N2978))</f>
        <v/>
      </c>
      <c r="E2978" s="25" t="str">
        <f>IF($N2978="","",INDEX('_calc'!$D$2:$D$3001,$N2978))</f>
        <v/>
      </c>
      <c r="F2978" s="26" t="str">
        <f>IF($N2978="","",IF($E$8=0,"",E2978/$E$8))</f>
        <v/>
      </c>
      <c r="G2978" s="25" t="str">
        <f>IF($N2978="","",INDEX('_calc'!$E$2:$E$3001,$N2978))</f>
        <v/>
      </c>
      <c r="H2978" s="25" t="str">
        <f>IF($N2978="","",INDEX('_calc'!$F$2:$F$3001,$N2978))</f>
        <v/>
      </c>
      <c r="I2978" s="27" t="str">
        <f>IF($N2978="","",INDEX('_calc'!$H$2:$H$3001,$N2978))</f>
        <v/>
      </c>
      <c r="J2978" s="27" t="str">
        <f>IF($N2978="","",INDEX('_calc'!$I$2:$I$3001,$N2978))</f>
        <v/>
      </c>
      <c r="K2978" s="28" t="str">
        <f>IF($N2978="","",IF(OR(I2978="",J2978=""),"",J2978-I2978))</f>
        <v/>
      </c>
      <c r="L2978" s="29" t="str">
        <f>IF($N2978="","",INDEX('_calc'!$J$2:$J$3001,$N2978))</f>
        <v/>
      </c>
      <c r="M2978" s="2" t="str">
        <f>IF($N2978="","",IF(AND(G2978=0,H2978=0),"수량 없음",IF(G2978=0,"신규 (전년 수량 없음)",IF(H2978=0,"당해 수량 없음",""))))</f>
        <v/>
      </c>
      <c r="N2978" t="str">
        <f>IF($B2978="","",MATCH($B2978,'_calc'!$L$2:$L$3001,0))</f>
        <v/>
      </c>
    </row>
    <row r="2979">
      <c r="B2979" s="24" t="str">
        <f>IF(ROW()-ROW($B$8)&gt;nComp,"",ROW()-ROW($B$8))</f>
        <v/>
      </c>
      <c r="C2979" t="str">
        <f>IF($N2979="","",INDEX('_calc'!$A$2:$A$3001,$N2979))</f>
        <v/>
      </c>
      <c r="D2979" s="25" t="str">
        <f>IF($N2979="","",INDEX('_calc'!$C$2:$C$3001,$N2979))</f>
        <v/>
      </c>
      <c r="E2979" s="25" t="str">
        <f>IF($N2979="","",INDEX('_calc'!$D$2:$D$3001,$N2979))</f>
        <v/>
      </c>
      <c r="F2979" s="26" t="str">
        <f>IF($N2979="","",IF($E$8=0,"",E2979/$E$8))</f>
        <v/>
      </c>
      <c r="G2979" s="25" t="str">
        <f>IF($N2979="","",INDEX('_calc'!$E$2:$E$3001,$N2979))</f>
        <v/>
      </c>
      <c r="H2979" s="25" t="str">
        <f>IF($N2979="","",INDEX('_calc'!$F$2:$F$3001,$N2979))</f>
        <v/>
      </c>
      <c r="I2979" s="27" t="str">
        <f>IF($N2979="","",INDEX('_calc'!$H$2:$H$3001,$N2979))</f>
        <v/>
      </c>
      <c r="J2979" s="27" t="str">
        <f>IF($N2979="","",INDEX('_calc'!$I$2:$I$3001,$N2979))</f>
        <v/>
      </c>
      <c r="K2979" s="28" t="str">
        <f>IF($N2979="","",IF(OR(I2979="",J2979=""),"",J2979-I2979))</f>
        <v/>
      </c>
      <c r="L2979" s="29" t="str">
        <f>IF($N2979="","",INDEX('_calc'!$J$2:$J$3001,$N2979))</f>
        <v/>
      </c>
      <c r="M2979" s="2" t="str">
        <f>IF($N2979="","",IF(AND(G2979=0,H2979=0),"수량 없음",IF(G2979=0,"신규 (전년 수량 없음)",IF(H2979=0,"당해 수량 없음",""))))</f>
        <v/>
      </c>
      <c r="N2979" t="str">
        <f>IF($B2979="","",MATCH($B2979,'_calc'!$L$2:$L$3001,0))</f>
        <v/>
      </c>
    </row>
    <row r="2980">
      <c r="B2980" s="24" t="str">
        <f>IF(ROW()-ROW($B$8)&gt;nComp,"",ROW()-ROW($B$8))</f>
        <v/>
      </c>
      <c r="C2980" t="str">
        <f>IF($N2980="","",INDEX('_calc'!$A$2:$A$3001,$N2980))</f>
        <v/>
      </c>
      <c r="D2980" s="25" t="str">
        <f>IF($N2980="","",INDEX('_calc'!$C$2:$C$3001,$N2980))</f>
        <v/>
      </c>
      <c r="E2980" s="25" t="str">
        <f>IF($N2980="","",INDEX('_calc'!$D$2:$D$3001,$N2980))</f>
        <v/>
      </c>
      <c r="F2980" s="26" t="str">
        <f>IF($N2980="","",IF($E$8=0,"",E2980/$E$8))</f>
        <v/>
      </c>
      <c r="G2980" s="25" t="str">
        <f>IF($N2980="","",INDEX('_calc'!$E$2:$E$3001,$N2980))</f>
        <v/>
      </c>
      <c r="H2980" s="25" t="str">
        <f>IF($N2980="","",INDEX('_calc'!$F$2:$F$3001,$N2980))</f>
        <v/>
      </c>
      <c r="I2980" s="27" t="str">
        <f>IF($N2980="","",INDEX('_calc'!$H$2:$H$3001,$N2980))</f>
        <v/>
      </c>
      <c r="J2980" s="27" t="str">
        <f>IF($N2980="","",INDEX('_calc'!$I$2:$I$3001,$N2980))</f>
        <v/>
      </c>
      <c r="K2980" s="28" t="str">
        <f>IF($N2980="","",IF(OR(I2980="",J2980=""),"",J2980-I2980))</f>
        <v/>
      </c>
      <c r="L2980" s="29" t="str">
        <f>IF($N2980="","",INDEX('_calc'!$J$2:$J$3001,$N2980))</f>
        <v/>
      </c>
      <c r="M2980" s="2" t="str">
        <f>IF($N2980="","",IF(AND(G2980=0,H2980=0),"수량 없음",IF(G2980=0,"신규 (전년 수량 없음)",IF(H2980=0,"당해 수량 없음",""))))</f>
        <v/>
      </c>
      <c r="N2980" t="str">
        <f>IF($B2980="","",MATCH($B2980,'_calc'!$L$2:$L$3001,0))</f>
        <v/>
      </c>
    </row>
    <row r="2981">
      <c r="B2981" s="24" t="str">
        <f>IF(ROW()-ROW($B$8)&gt;nComp,"",ROW()-ROW($B$8))</f>
        <v/>
      </c>
      <c r="C2981" t="str">
        <f>IF($N2981="","",INDEX('_calc'!$A$2:$A$3001,$N2981))</f>
        <v/>
      </c>
      <c r="D2981" s="25" t="str">
        <f>IF($N2981="","",INDEX('_calc'!$C$2:$C$3001,$N2981))</f>
        <v/>
      </c>
      <c r="E2981" s="25" t="str">
        <f>IF($N2981="","",INDEX('_calc'!$D$2:$D$3001,$N2981))</f>
        <v/>
      </c>
      <c r="F2981" s="26" t="str">
        <f>IF($N2981="","",IF($E$8=0,"",E2981/$E$8))</f>
        <v/>
      </c>
      <c r="G2981" s="25" t="str">
        <f>IF($N2981="","",INDEX('_calc'!$E$2:$E$3001,$N2981))</f>
        <v/>
      </c>
      <c r="H2981" s="25" t="str">
        <f>IF($N2981="","",INDEX('_calc'!$F$2:$F$3001,$N2981))</f>
        <v/>
      </c>
      <c r="I2981" s="27" t="str">
        <f>IF($N2981="","",INDEX('_calc'!$H$2:$H$3001,$N2981))</f>
        <v/>
      </c>
      <c r="J2981" s="27" t="str">
        <f>IF($N2981="","",INDEX('_calc'!$I$2:$I$3001,$N2981))</f>
        <v/>
      </c>
      <c r="K2981" s="28" t="str">
        <f>IF($N2981="","",IF(OR(I2981="",J2981=""),"",J2981-I2981))</f>
        <v/>
      </c>
      <c r="L2981" s="29" t="str">
        <f>IF($N2981="","",INDEX('_calc'!$J$2:$J$3001,$N2981))</f>
        <v/>
      </c>
      <c r="M2981" s="2" t="str">
        <f>IF($N2981="","",IF(AND(G2981=0,H2981=0),"수량 없음",IF(G2981=0,"신규 (전년 수량 없음)",IF(H2981=0,"당해 수량 없음",""))))</f>
        <v/>
      </c>
      <c r="N2981" t="str">
        <f>IF($B2981="","",MATCH($B2981,'_calc'!$L$2:$L$3001,0))</f>
        <v/>
      </c>
    </row>
    <row r="2982">
      <c r="B2982" s="24" t="str">
        <f>IF(ROW()-ROW($B$8)&gt;nComp,"",ROW()-ROW($B$8))</f>
        <v/>
      </c>
      <c r="C2982" t="str">
        <f>IF($N2982="","",INDEX('_calc'!$A$2:$A$3001,$N2982))</f>
        <v/>
      </c>
      <c r="D2982" s="25" t="str">
        <f>IF($N2982="","",INDEX('_calc'!$C$2:$C$3001,$N2982))</f>
        <v/>
      </c>
      <c r="E2982" s="25" t="str">
        <f>IF($N2982="","",INDEX('_calc'!$D$2:$D$3001,$N2982))</f>
        <v/>
      </c>
      <c r="F2982" s="26" t="str">
        <f>IF($N2982="","",IF($E$8=0,"",E2982/$E$8))</f>
        <v/>
      </c>
      <c r="G2982" s="25" t="str">
        <f>IF($N2982="","",INDEX('_calc'!$E$2:$E$3001,$N2982))</f>
        <v/>
      </c>
      <c r="H2982" s="25" t="str">
        <f>IF($N2982="","",INDEX('_calc'!$F$2:$F$3001,$N2982))</f>
        <v/>
      </c>
      <c r="I2982" s="27" t="str">
        <f>IF($N2982="","",INDEX('_calc'!$H$2:$H$3001,$N2982))</f>
        <v/>
      </c>
      <c r="J2982" s="27" t="str">
        <f>IF($N2982="","",INDEX('_calc'!$I$2:$I$3001,$N2982))</f>
        <v/>
      </c>
      <c r="K2982" s="28" t="str">
        <f>IF($N2982="","",IF(OR(I2982="",J2982=""),"",J2982-I2982))</f>
        <v/>
      </c>
      <c r="L2982" s="29" t="str">
        <f>IF($N2982="","",INDEX('_calc'!$J$2:$J$3001,$N2982))</f>
        <v/>
      </c>
      <c r="M2982" s="2" t="str">
        <f>IF($N2982="","",IF(AND(G2982=0,H2982=0),"수량 없음",IF(G2982=0,"신규 (전년 수량 없음)",IF(H2982=0,"당해 수량 없음",""))))</f>
        <v/>
      </c>
      <c r="N2982" t="str">
        <f>IF($B2982="","",MATCH($B2982,'_calc'!$L$2:$L$3001,0))</f>
        <v/>
      </c>
    </row>
    <row r="2983">
      <c r="B2983" s="24" t="str">
        <f>IF(ROW()-ROW($B$8)&gt;nComp,"",ROW()-ROW($B$8))</f>
        <v/>
      </c>
      <c r="C2983" t="str">
        <f>IF($N2983="","",INDEX('_calc'!$A$2:$A$3001,$N2983))</f>
        <v/>
      </c>
      <c r="D2983" s="25" t="str">
        <f>IF($N2983="","",INDEX('_calc'!$C$2:$C$3001,$N2983))</f>
        <v/>
      </c>
      <c r="E2983" s="25" t="str">
        <f>IF($N2983="","",INDEX('_calc'!$D$2:$D$3001,$N2983))</f>
        <v/>
      </c>
      <c r="F2983" s="26" t="str">
        <f>IF($N2983="","",IF($E$8=0,"",E2983/$E$8))</f>
        <v/>
      </c>
      <c r="G2983" s="25" t="str">
        <f>IF($N2983="","",INDEX('_calc'!$E$2:$E$3001,$N2983))</f>
        <v/>
      </c>
      <c r="H2983" s="25" t="str">
        <f>IF($N2983="","",INDEX('_calc'!$F$2:$F$3001,$N2983))</f>
        <v/>
      </c>
      <c r="I2983" s="27" t="str">
        <f>IF($N2983="","",INDEX('_calc'!$H$2:$H$3001,$N2983))</f>
        <v/>
      </c>
      <c r="J2983" s="27" t="str">
        <f>IF($N2983="","",INDEX('_calc'!$I$2:$I$3001,$N2983))</f>
        <v/>
      </c>
      <c r="K2983" s="28" t="str">
        <f>IF($N2983="","",IF(OR(I2983="",J2983=""),"",J2983-I2983))</f>
        <v/>
      </c>
      <c r="L2983" s="29" t="str">
        <f>IF($N2983="","",INDEX('_calc'!$J$2:$J$3001,$N2983))</f>
        <v/>
      </c>
      <c r="M2983" s="2" t="str">
        <f>IF($N2983="","",IF(AND(G2983=0,H2983=0),"수량 없음",IF(G2983=0,"신규 (전년 수량 없음)",IF(H2983=0,"당해 수량 없음",""))))</f>
        <v/>
      </c>
      <c r="N2983" t="str">
        <f>IF($B2983="","",MATCH($B2983,'_calc'!$L$2:$L$3001,0))</f>
        <v/>
      </c>
    </row>
    <row r="2984">
      <c r="B2984" s="24" t="str">
        <f>IF(ROW()-ROW($B$8)&gt;nComp,"",ROW()-ROW($B$8))</f>
        <v/>
      </c>
      <c r="C2984" t="str">
        <f>IF($N2984="","",INDEX('_calc'!$A$2:$A$3001,$N2984))</f>
        <v/>
      </c>
      <c r="D2984" s="25" t="str">
        <f>IF($N2984="","",INDEX('_calc'!$C$2:$C$3001,$N2984))</f>
        <v/>
      </c>
      <c r="E2984" s="25" t="str">
        <f>IF($N2984="","",INDEX('_calc'!$D$2:$D$3001,$N2984))</f>
        <v/>
      </c>
      <c r="F2984" s="26" t="str">
        <f>IF($N2984="","",IF($E$8=0,"",E2984/$E$8))</f>
        <v/>
      </c>
      <c r="G2984" s="25" t="str">
        <f>IF($N2984="","",INDEX('_calc'!$E$2:$E$3001,$N2984))</f>
        <v/>
      </c>
      <c r="H2984" s="25" t="str">
        <f>IF($N2984="","",INDEX('_calc'!$F$2:$F$3001,$N2984))</f>
        <v/>
      </c>
      <c r="I2984" s="27" t="str">
        <f>IF($N2984="","",INDEX('_calc'!$H$2:$H$3001,$N2984))</f>
        <v/>
      </c>
      <c r="J2984" s="27" t="str">
        <f>IF($N2984="","",INDEX('_calc'!$I$2:$I$3001,$N2984))</f>
        <v/>
      </c>
      <c r="K2984" s="28" t="str">
        <f>IF($N2984="","",IF(OR(I2984="",J2984=""),"",J2984-I2984))</f>
        <v/>
      </c>
      <c r="L2984" s="29" t="str">
        <f>IF($N2984="","",INDEX('_calc'!$J$2:$J$3001,$N2984))</f>
        <v/>
      </c>
      <c r="M2984" s="2" t="str">
        <f>IF($N2984="","",IF(AND(G2984=0,H2984=0),"수량 없음",IF(G2984=0,"신규 (전년 수량 없음)",IF(H2984=0,"당해 수량 없음",""))))</f>
        <v/>
      </c>
      <c r="N2984" t="str">
        <f>IF($B2984="","",MATCH($B2984,'_calc'!$L$2:$L$3001,0))</f>
        <v/>
      </c>
    </row>
    <row r="2985">
      <c r="B2985" s="24" t="str">
        <f>IF(ROW()-ROW($B$8)&gt;nComp,"",ROW()-ROW($B$8))</f>
        <v/>
      </c>
      <c r="C2985" t="str">
        <f>IF($N2985="","",INDEX('_calc'!$A$2:$A$3001,$N2985))</f>
        <v/>
      </c>
      <c r="D2985" s="25" t="str">
        <f>IF($N2985="","",INDEX('_calc'!$C$2:$C$3001,$N2985))</f>
        <v/>
      </c>
      <c r="E2985" s="25" t="str">
        <f>IF($N2985="","",INDEX('_calc'!$D$2:$D$3001,$N2985))</f>
        <v/>
      </c>
      <c r="F2985" s="26" t="str">
        <f>IF($N2985="","",IF($E$8=0,"",E2985/$E$8))</f>
        <v/>
      </c>
      <c r="G2985" s="25" t="str">
        <f>IF($N2985="","",INDEX('_calc'!$E$2:$E$3001,$N2985))</f>
        <v/>
      </c>
      <c r="H2985" s="25" t="str">
        <f>IF($N2985="","",INDEX('_calc'!$F$2:$F$3001,$N2985))</f>
        <v/>
      </c>
      <c r="I2985" s="27" t="str">
        <f>IF($N2985="","",INDEX('_calc'!$H$2:$H$3001,$N2985))</f>
        <v/>
      </c>
      <c r="J2985" s="27" t="str">
        <f>IF($N2985="","",INDEX('_calc'!$I$2:$I$3001,$N2985))</f>
        <v/>
      </c>
      <c r="K2985" s="28" t="str">
        <f>IF($N2985="","",IF(OR(I2985="",J2985=""),"",J2985-I2985))</f>
        <v/>
      </c>
      <c r="L2985" s="29" t="str">
        <f>IF($N2985="","",INDEX('_calc'!$J$2:$J$3001,$N2985))</f>
        <v/>
      </c>
      <c r="M2985" s="2" t="str">
        <f>IF($N2985="","",IF(AND(G2985=0,H2985=0),"수량 없음",IF(G2985=0,"신규 (전년 수량 없음)",IF(H2985=0,"당해 수량 없음",""))))</f>
        <v/>
      </c>
      <c r="N2985" t="str">
        <f>IF($B2985="","",MATCH($B2985,'_calc'!$L$2:$L$3001,0))</f>
        <v/>
      </c>
    </row>
    <row r="2986">
      <c r="B2986" s="24" t="str">
        <f>IF(ROW()-ROW($B$8)&gt;nComp,"",ROW()-ROW($B$8))</f>
        <v/>
      </c>
      <c r="C2986" t="str">
        <f>IF($N2986="","",INDEX('_calc'!$A$2:$A$3001,$N2986))</f>
        <v/>
      </c>
      <c r="D2986" s="25" t="str">
        <f>IF($N2986="","",INDEX('_calc'!$C$2:$C$3001,$N2986))</f>
        <v/>
      </c>
      <c r="E2986" s="25" t="str">
        <f>IF($N2986="","",INDEX('_calc'!$D$2:$D$3001,$N2986))</f>
        <v/>
      </c>
      <c r="F2986" s="26" t="str">
        <f>IF($N2986="","",IF($E$8=0,"",E2986/$E$8))</f>
        <v/>
      </c>
      <c r="G2986" s="25" t="str">
        <f>IF($N2986="","",INDEX('_calc'!$E$2:$E$3001,$N2986))</f>
        <v/>
      </c>
      <c r="H2986" s="25" t="str">
        <f>IF($N2986="","",INDEX('_calc'!$F$2:$F$3001,$N2986))</f>
        <v/>
      </c>
      <c r="I2986" s="27" t="str">
        <f>IF($N2986="","",INDEX('_calc'!$H$2:$H$3001,$N2986))</f>
        <v/>
      </c>
      <c r="J2986" s="27" t="str">
        <f>IF($N2986="","",INDEX('_calc'!$I$2:$I$3001,$N2986))</f>
        <v/>
      </c>
      <c r="K2986" s="28" t="str">
        <f>IF($N2986="","",IF(OR(I2986="",J2986=""),"",J2986-I2986))</f>
        <v/>
      </c>
      <c r="L2986" s="29" t="str">
        <f>IF($N2986="","",INDEX('_calc'!$J$2:$J$3001,$N2986))</f>
        <v/>
      </c>
      <c r="M2986" s="2" t="str">
        <f>IF($N2986="","",IF(AND(G2986=0,H2986=0),"수량 없음",IF(G2986=0,"신규 (전년 수량 없음)",IF(H2986=0,"당해 수량 없음",""))))</f>
        <v/>
      </c>
      <c r="N2986" t="str">
        <f>IF($B2986="","",MATCH($B2986,'_calc'!$L$2:$L$3001,0))</f>
        <v/>
      </c>
    </row>
    <row r="2987">
      <c r="B2987" s="24" t="str">
        <f>IF(ROW()-ROW($B$8)&gt;nComp,"",ROW()-ROW($B$8))</f>
        <v/>
      </c>
      <c r="C2987" t="str">
        <f>IF($N2987="","",INDEX('_calc'!$A$2:$A$3001,$N2987))</f>
        <v/>
      </c>
      <c r="D2987" s="25" t="str">
        <f>IF($N2987="","",INDEX('_calc'!$C$2:$C$3001,$N2987))</f>
        <v/>
      </c>
      <c r="E2987" s="25" t="str">
        <f>IF($N2987="","",INDEX('_calc'!$D$2:$D$3001,$N2987))</f>
        <v/>
      </c>
      <c r="F2987" s="26" t="str">
        <f>IF($N2987="","",IF($E$8=0,"",E2987/$E$8))</f>
        <v/>
      </c>
      <c r="G2987" s="25" t="str">
        <f>IF($N2987="","",INDEX('_calc'!$E$2:$E$3001,$N2987))</f>
        <v/>
      </c>
      <c r="H2987" s="25" t="str">
        <f>IF($N2987="","",INDEX('_calc'!$F$2:$F$3001,$N2987))</f>
        <v/>
      </c>
      <c r="I2987" s="27" t="str">
        <f>IF($N2987="","",INDEX('_calc'!$H$2:$H$3001,$N2987))</f>
        <v/>
      </c>
      <c r="J2987" s="27" t="str">
        <f>IF($N2987="","",INDEX('_calc'!$I$2:$I$3001,$N2987))</f>
        <v/>
      </c>
      <c r="K2987" s="28" t="str">
        <f>IF($N2987="","",IF(OR(I2987="",J2987=""),"",J2987-I2987))</f>
        <v/>
      </c>
      <c r="L2987" s="29" t="str">
        <f>IF($N2987="","",INDEX('_calc'!$J$2:$J$3001,$N2987))</f>
        <v/>
      </c>
      <c r="M2987" s="2" t="str">
        <f>IF($N2987="","",IF(AND(G2987=0,H2987=0),"수량 없음",IF(G2987=0,"신규 (전년 수량 없음)",IF(H2987=0,"당해 수량 없음",""))))</f>
        <v/>
      </c>
      <c r="N2987" t="str">
        <f>IF($B2987="","",MATCH($B2987,'_calc'!$L$2:$L$3001,0))</f>
        <v/>
      </c>
    </row>
    <row r="2988">
      <c r="B2988" s="24" t="str">
        <f>IF(ROW()-ROW($B$8)&gt;nComp,"",ROW()-ROW($B$8))</f>
        <v/>
      </c>
      <c r="C2988" t="str">
        <f>IF($N2988="","",INDEX('_calc'!$A$2:$A$3001,$N2988))</f>
        <v/>
      </c>
      <c r="D2988" s="25" t="str">
        <f>IF($N2988="","",INDEX('_calc'!$C$2:$C$3001,$N2988))</f>
        <v/>
      </c>
      <c r="E2988" s="25" t="str">
        <f>IF($N2988="","",INDEX('_calc'!$D$2:$D$3001,$N2988))</f>
        <v/>
      </c>
      <c r="F2988" s="26" t="str">
        <f>IF($N2988="","",IF($E$8=0,"",E2988/$E$8))</f>
        <v/>
      </c>
      <c r="G2988" s="25" t="str">
        <f>IF($N2988="","",INDEX('_calc'!$E$2:$E$3001,$N2988))</f>
        <v/>
      </c>
      <c r="H2988" s="25" t="str">
        <f>IF($N2988="","",INDEX('_calc'!$F$2:$F$3001,$N2988))</f>
        <v/>
      </c>
      <c r="I2988" s="27" t="str">
        <f>IF($N2988="","",INDEX('_calc'!$H$2:$H$3001,$N2988))</f>
        <v/>
      </c>
      <c r="J2988" s="27" t="str">
        <f>IF($N2988="","",INDEX('_calc'!$I$2:$I$3001,$N2988))</f>
        <v/>
      </c>
      <c r="K2988" s="28" t="str">
        <f>IF($N2988="","",IF(OR(I2988="",J2988=""),"",J2988-I2988))</f>
        <v/>
      </c>
      <c r="L2988" s="29" t="str">
        <f>IF($N2988="","",INDEX('_calc'!$J$2:$J$3001,$N2988))</f>
        <v/>
      </c>
      <c r="M2988" s="2" t="str">
        <f>IF($N2988="","",IF(AND(G2988=0,H2988=0),"수량 없음",IF(G2988=0,"신규 (전년 수량 없음)",IF(H2988=0,"당해 수량 없음",""))))</f>
        <v/>
      </c>
      <c r="N2988" t="str">
        <f>IF($B2988="","",MATCH($B2988,'_calc'!$L$2:$L$3001,0))</f>
        <v/>
      </c>
    </row>
    <row r="2989">
      <c r="B2989" s="24" t="str">
        <f>IF(ROW()-ROW($B$8)&gt;nComp,"",ROW()-ROW($B$8))</f>
        <v/>
      </c>
      <c r="C2989" t="str">
        <f>IF($N2989="","",INDEX('_calc'!$A$2:$A$3001,$N2989))</f>
        <v/>
      </c>
      <c r="D2989" s="25" t="str">
        <f>IF($N2989="","",INDEX('_calc'!$C$2:$C$3001,$N2989))</f>
        <v/>
      </c>
      <c r="E2989" s="25" t="str">
        <f>IF($N2989="","",INDEX('_calc'!$D$2:$D$3001,$N2989))</f>
        <v/>
      </c>
      <c r="F2989" s="26" t="str">
        <f>IF($N2989="","",IF($E$8=0,"",E2989/$E$8))</f>
        <v/>
      </c>
      <c r="G2989" s="25" t="str">
        <f>IF($N2989="","",INDEX('_calc'!$E$2:$E$3001,$N2989))</f>
        <v/>
      </c>
      <c r="H2989" s="25" t="str">
        <f>IF($N2989="","",INDEX('_calc'!$F$2:$F$3001,$N2989))</f>
        <v/>
      </c>
      <c r="I2989" s="27" t="str">
        <f>IF($N2989="","",INDEX('_calc'!$H$2:$H$3001,$N2989))</f>
        <v/>
      </c>
      <c r="J2989" s="27" t="str">
        <f>IF($N2989="","",INDEX('_calc'!$I$2:$I$3001,$N2989))</f>
        <v/>
      </c>
      <c r="K2989" s="28" t="str">
        <f>IF($N2989="","",IF(OR(I2989="",J2989=""),"",J2989-I2989))</f>
        <v/>
      </c>
      <c r="L2989" s="29" t="str">
        <f>IF($N2989="","",INDEX('_calc'!$J$2:$J$3001,$N2989))</f>
        <v/>
      </c>
      <c r="M2989" s="2" t="str">
        <f>IF($N2989="","",IF(AND(G2989=0,H2989=0),"수량 없음",IF(G2989=0,"신규 (전년 수량 없음)",IF(H2989=0,"당해 수량 없음",""))))</f>
        <v/>
      </c>
      <c r="N2989" t="str">
        <f>IF($B2989="","",MATCH($B2989,'_calc'!$L$2:$L$3001,0))</f>
        <v/>
      </c>
    </row>
    <row r="2990">
      <c r="B2990" s="24" t="str">
        <f>IF(ROW()-ROW($B$8)&gt;nComp,"",ROW()-ROW($B$8))</f>
        <v/>
      </c>
      <c r="C2990" t="str">
        <f>IF($N2990="","",INDEX('_calc'!$A$2:$A$3001,$N2990))</f>
        <v/>
      </c>
      <c r="D2990" s="25" t="str">
        <f>IF($N2990="","",INDEX('_calc'!$C$2:$C$3001,$N2990))</f>
        <v/>
      </c>
      <c r="E2990" s="25" t="str">
        <f>IF($N2990="","",INDEX('_calc'!$D$2:$D$3001,$N2990))</f>
        <v/>
      </c>
      <c r="F2990" s="26" t="str">
        <f>IF($N2990="","",IF($E$8=0,"",E2990/$E$8))</f>
        <v/>
      </c>
      <c r="G2990" s="25" t="str">
        <f>IF($N2990="","",INDEX('_calc'!$E$2:$E$3001,$N2990))</f>
        <v/>
      </c>
      <c r="H2990" s="25" t="str">
        <f>IF($N2990="","",INDEX('_calc'!$F$2:$F$3001,$N2990))</f>
        <v/>
      </c>
      <c r="I2990" s="27" t="str">
        <f>IF($N2990="","",INDEX('_calc'!$H$2:$H$3001,$N2990))</f>
        <v/>
      </c>
      <c r="J2990" s="27" t="str">
        <f>IF($N2990="","",INDEX('_calc'!$I$2:$I$3001,$N2990))</f>
        <v/>
      </c>
      <c r="K2990" s="28" t="str">
        <f>IF($N2990="","",IF(OR(I2990="",J2990=""),"",J2990-I2990))</f>
        <v/>
      </c>
      <c r="L2990" s="29" t="str">
        <f>IF($N2990="","",INDEX('_calc'!$J$2:$J$3001,$N2990))</f>
        <v/>
      </c>
      <c r="M2990" s="2" t="str">
        <f>IF($N2990="","",IF(AND(G2990=0,H2990=0),"수량 없음",IF(G2990=0,"신규 (전년 수량 없음)",IF(H2990=0,"당해 수량 없음",""))))</f>
        <v/>
      </c>
      <c r="N2990" t="str">
        <f>IF($B2990="","",MATCH($B2990,'_calc'!$L$2:$L$3001,0))</f>
        <v/>
      </c>
    </row>
    <row r="2991">
      <c r="B2991" s="24" t="str">
        <f>IF(ROW()-ROW($B$8)&gt;nComp,"",ROW()-ROW($B$8))</f>
        <v/>
      </c>
      <c r="C2991" t="str">
        <f>IF($N2991="","",INDEX('_calc'!$A$2:$A$3001,$N2991))</f>
        <v/>
      </c>
      <c r="D2991" s="25" t="str">
        <f>IF($N2991="","",INDEX('_calc'!$C$2:$C$3001,$N2991))</f>
        <v/>
      </c>
      <c r="E2991" s="25" t="str">
        <f>IF($N2991="","",INDEX('_calc'!$D$2:$D$3001,$N2991))</f>
        <v/>
      </c>
      <c r="F2991" s="26" t="str">
        <f>IF($N2991="","",IF($E$8=0,"",E2991/$E$8))</f>
        <v/>
      </c>
      <c r="G2991" s="25" t="str">
        <f>IF($N2991="","",INDEX('_calc'!$E$2:$E$3001,$N2991))</f>
        <v/>
      </c>
      <c r="H2991" s="25" t="str">
        <f>IF($N2991="","",INDEX('_calc'!$F$2:$F$3001,$N2991))</f>
        <v/>
      </c>
      <c r="I2991" s="27" t="str">
        <f>IF($N2991="","",INDEX('_calc'!$H$2:$H$3001,$N2991))</f>
        <v/>
      </c>
      <c r="J2991" s="27" t="str">
        <f>IF($N2991="","",INDEX('_calc'!$I$2:$I$3001,$N2991))</f>
        <v/>
      </c>
      <c r="K2991" s="28" t="str">
        <f>IF($N2991="","",IF(OR(I2991="",J2991=""),"",J2991-I2991))</f>
        <v/>
      </c>
      <c r="L2991" s="29" t="str">
        <f>IF($N2991="","",INDEX('_calc'!$J$2:$J$3001,$N2991))</f>
        <v/>
      </c>
      <c r="M2991" s="2" t="str">
        <f>IF($N2991="","",IF(AND(G2991=0,H2991=0),"수량 없음",IF(G2991=0,"신규 (전년 수량 없음)",IF(H2991=0,"당해 수량 없음",""))))</f>
        <v/>
      </c>
      <c r="N2991" t="str">
        <f>IF($B2991="","",MATCH($B2991,'_calc'!$L$2:$L$3001,0))</f>
        <v/>
      </c>
    </row>
    <row r="2992">
      <c r="B2992" s="24" t="str">
        <f>IF(ROW()-ROW($B$8)&gt;nComp,"",ROW()-ROW($B$8))</f>
        <v/>
      </c>
      <c r="C2992" t="str">
        <f>IF($N2992="","",INDEX('_calc'!$A$2:$A$3001,$N2992))</f>
        <v/>
      </c>
      <c r="D2992" s="25" t="str">
        <f>IF($N2992="","",INDEX('_calc'!$C$2:$C$3001,$N2992))</f>
        <v/>
      </c>
      <c r="E2992" s="25" t="str">
        <f>IF($N2992="","",INDEX('_calc'!$D$2:$D$3001,$N2992))</f>
        <v/>
      </c>
      <c r="F2992" s="26" t="str">
        <f>IF($N2992="","",IF($E$8=0,"",E2992/$E$8))</f>
        <v/>
      </c>
      <c r="G2992" s="25" t="str">
        <f>IF($N2992="","",INDEX('_calc'!$E$2:$E$3001,$N2992))</f>
        <v/>
      </c>
      <c r="H2992" s="25" t="str">
        <f>IF($N2992="","",INDEX('_calc'!$F$2:$F$3001,$N2992))</f>
        <v/>
      </c>
      <c r="I2992" s="27" t="str">
        <f>IF($N2992="","",INDEX('_calc'!$H$2:$H$3001,$N2992))</f>
        <v/>
      </c>
      <c r="J2992" s="27" t="str">
        <f>IF($N2992="","",INDEX('_calc'!$I$2:$I$3001,$N2992))</f>
        <v/>
      </c>
      <c r="K2992" s="28" t="str">
        <f>IF($N2992="","",IF(OR(I2992="",J2992=""),"",J2992-I2992))</f>
        <v/>
      </c>
      <c r="L2992" s="29" t="str">
        <f>IF($N2992="","",INDEX('_calc'!$J$2:$J$3001,$N2992))</f>
        <v/>
      </c>
      <c r="M2992" s="2" t="str">
        <f>IF($N2992="","",IF(AND(G2992=0,H2992=0),"수량 없음",IF(G2992=0,"신규 (전년 수량 없음)",IF(H2992=0,"당해 수량 없음",""))))</f>
        <v/>
      </c>
      <c r="N2992" t="str">
        <f>IF($B2992="","",MATCH($B2992,'_calc'!$L$2:$L$3001,0))</f>
        <v/>
      </c>
    </row>
    <row r="2993">
      <c r="B2993" s="24" t="str">
        <f>IF(ROW()-ROW($B$8)&gt;nComp,"",ROW()-ROW($B$8))</f>
        <v/>
      </c>
      <c r="C2993" t="str">
        <f>IF($N2993="","",INDEX('_calc'!$A$2:$A$3001,$N2993))</f>
        <v/>
      </c>
      <c r="D2993" s="25" t="str">
        <f>IF($N2993="","",INDEX('_calc'!$C$2:$C$3001,$N2993))</f>
        <v/>
      </c>
      <c r="E2993" s="25" t="str">
        <f>IF($N2993="","",INDEX('_calc'!$D$2:$D$3001,$N2993))</f>
        <v/>
      </c>
      <c r="F2993" s="26" t="str">
        <f>IF($N2993="","",IF($E$8=0,"",E2993/$E$8))</f>
        <v/>
      </c>
      <c r="G2993" s="25" t="str">
        <f>IF($N2993="","",INDEX('_calc'!$E$2:$E$3001,$N2993))</f>
        <v/>
      </c>
      <c r="H2993" s="25" t="str">
        <f>IF($N2993="","",INDEX('_calc'!$F$2:$F$3001,$N2993))</f>
        <v/>
      </c>
      <c r="I2993" s="27" t="str">
        <f>IF($N2993="","",INDEX('_calc'!$H$2:$H$3001,$N2993))</f>
        <v/>
      </c>
      <c r="J2993" s="27" t="str">
        <f>IF($N2993="","",INDEX('_calc'!$I$2:$I$3001,$N2993))</f>
        <v/>
      </c>
      <c r="K2993" s="28" t="str">
        <f>IF($N2993="","",IF(OR(I2993="",J2993=""),"",J2993-I2993))</f>
        <v/>
      </c>
      <c r="L2993" s="29" t="str">
        <f>IF($N2993="","",INDEX('_calc'!$J$2:$J$3001,$N2993))</f>
        <v/>
      </c>
      <c r="M2993" s="2" t="str">
        <f>IF($N2993="","",IF(AND(G2993=0,H2993=0),"수량 없음",IF(G2993=0,"신규 (전년 수량 없음)",IF(H2993=0,"당해 수량 없음",""))))</f>
        <v/>
      </c>
      <c r="N2993" t="str">
        <f>IF($B2993="","",MATCH($B2993,'_calc'!$L$2:$L$3001,0))</f>
        <v/>
      </c>
    </row>
    <row r="2994">
      <c r="B2994" s="24" t="str">
        <f>IF(ROW()-ROW($B$8)&gt;nComp,"",ROW()-ROW($B$8))</f>
        <v/>
      </c>
      <c r="C2994" t="str">
        <f>IF($N2994="","",INDEX('_calc'!$A$2:$A$3001,$N2994))</f>
        <v/>
      </c>
      <c r="D2994" s="25" t="str">
        <f>IF($N2994="","",INDEX('_calc'!$C$2:$C$3001,$N2994))</f>
        <v/>
      </c>
      <c r="E2994" s="25" t="str">
        <f>IF($N2994="","",INDEX('_calc'!$D$2:$D$3001,$N2994))</f>
        <v/>
      </c>
      <c r="F2994" s="26" t="str">
        <f>IF($N2994="","",IF($E$8=0,"",E2994/$E$8))</f>
        <v/>
      </c>
      <c r="G2994" s="25" t="str">
        <f>IF($N2994="","",INDEX('_calc'!$E$2:$E$3001,$N2994))</f>
        <v/>
      </c>
      <c r="H2994" s="25" t="str">
        <f>IF($N2994="","",INDEX('_calc'!$F$2:$F$3001,$N2994))</f>
        <v/>
      </c>
      <c r="I2994" s="27" t="str">
        <f>IF($N2994="","",INDEX('_calc'!$H$2:$H$3001,$N2994))</f>
        <v/>
      </c>
      <c r="J2994" s="27" t="str">
        <f>IF($N2994="","",INDEX('_calc'!$I$2:$I$3001,$N2994))</f>
        <v/>
      </c>
      <c r="K2994" s="28" t="str">
        <f>IF($N2994="","",IF(OR(I2994="",J2994=""),"",J2994-I2994))</f>
        <v/>
      </c>
      <c r="L2994" s="29" t="str">
        <f>IF($N2994="","",INDEX('_calc'!$J$2:$J$3001,$N2994))</f>
        <v/>
      </c>
      <c r="M2994" s="2" t="str">
        <f>IF($N2994="","",IF(AND(G2994=0,H2994=0),"수량 없음",IF(G2994=0,"신규 (전년 수량 없음)",IF(H2994=0,"당해 수량 없음",""))))</f>
        <v/>
      </c>
      <c r="N2994" t="str">
        <f>IF($B2994="","",MATCH($B2994,'_calc'!$L$2:$L$3001,0))</f>
        <v/>
      </c>
    </row>
    <row r="2995">
      <c r="B2995" s="24" t="str">
        <f>IF(ROW()-ROW($B$8)&gt;nComp,"",ROW()-ROW($B$8))</f>
        <v/>
      </c>
      <c r="C2995" t="str">
        <f>IF($N2995="","",INDEX('_calc'!$A$2:$A$3001,$N2995))</f>
        <v/>
      </c>
      <c r="D2995" s="25" t="str">
        <f>IF($N2995="","",INDEX('_calc'!$C$2:$C$3001,$N2995))</f>
        <v/>
      </c>
      <c r="E2995" s="25" t="str">
        <f>IF($N2995="","",INDEX('_calc'!$D$2:$D$3001,$N2995))</f>
        <v/>
      </c>
      <c r="F2995" s="26" t="str">
        <f>IF($N2995="","",IF($E$8=0,"",E2995/$E$8))</f>
        <v/>
      </c>
      <c r="G2995" s="25" t="str">
        <f>IF($N2995="","",INDEX('_calc'!$E$2:$E$3001,$N2995))</f>
        <v/>
      </c>
      <c r="H2995" s="25" t="str">
        <f>IF($N2995="","",INDEX('_calc'!$F$2:$F$3001,$N2995))</f>
        <v/>
      </c>
      <c r="I2995" s="27" t="str">
        <f>IF($N2995="","",INDEX('_calc'!$H$2:$H$3001,$N2995))</f>
        <v/>
      </c>
      <c r="J2995" s="27" t="str">
        <f>IF($N2995="","",INDEX('_calc'!$I$2:$I$3001,$N2995))</f>
        <v/>
      </c>
      <c r="K2995" s="28" t="str">
        <f>IF($N2995="","",IF(OR(I2995="",J2995=""),"",J2995-I2995))</f>
        <v/>
      </c>
      <c r="L2995" s="29" t="str">
        <f>IF($N2995="","",INDEX('_calc'!$J$2:$J$3001,$N2995))</f>
        <v/>
      </c>
      <c r="M2995" s="2" t="str">
        <f>IF($N2995="","",IF(AND(G2995=0,H2995=0),"수량 없음",IF(G2995=0,"신규 (전년 수량 없음)",IF(H2995=0,"당해 수량 없음",""))))</f>
        <v/>
      </c>
      <c r="N2995" t="str">
        <f>IF($B2995="","",MATCH($B2995,'_calc'!$L$2:$L$3001,0))</f>
        <v/>
      </c>
    </row>
    <row r="2996">
      <c r="B2996" s="24" t="str">
        <f>IF(ROW()-ROW($B$8)&gt;nComp,"",ROW()-ROW($B$8))</f>
        <v/>
      </c>
      <c r="C2996" t="str">
        <f>IF($N2996="","",INDEX('_calc'!$A$2:$A$3001,$N2996))</f>
        <v/>
      </c>
      <c r="D2996" s="25" t="str">
        <f>IF($N2996="","",INDEX('_calc'!$C$2:$C$3001,$N2996))</f>
        <v/>
      </c>
      <c r="E2996" s="25" t="str">
        <f>IF($N2996="","",INDEX('_calc'!$D$2:$D$3001,$N2996))</f>
        <v/>
      </c>
      <c r="F2996" s="26" t="str">
        <f>IF($N2996="","",IF($E$8=0,"",E2996/$E$8))</f>
        <v/>
      </c>
      <c r="G2996" s="25" t="str">
        <f>IF($N2996="","",INDEX('_calc'!$E$2:$E$3001,$N2996))</f>
        <v/>
      </c>
      <c r="H2996" s="25" t="str">
        <f>IF($N2996="","",INDEX('_calc'!$F$2:$F$3001,$N2996))</f>
        <v/>
      </c>
      <c r="I2996" s="27" t="str">
        <f>IF($N2996="","",INDEX('_calc'!$H$2:$H$3001,$N2996))</f>
        <v/>
      </c>
      <c r="J2996" s="27" t="str">
        <f>IF($N2996="","",INDEX('_calc'!$I$2:$I$3001,$N2996))</f>
        <v/>
      </c>
      <c r="K2996" s="28" t="str">
        <f>IF($N2996="","",IF(OR(I2996="",J2996=""),"",J2996-I2996))</f>
        <v/>
      </c>
      <c r="L2996" s="29" t="str">
        <f>IF($N2996="","",INDEX('_calc'!$J$2:$J$3001,$N2996))</f>
        <v/>
      </c>
      <c r="M2996" s="2" t="str">
        <f>IF($N2996="","",IF(AND(G2996=0,H2996=0),"수량 없음",IF(G2996=0,"신규 (전년 수량 없음)",IF(H2996=0,"당해 수량 없음",""))))</f>
        <v/>
      </c>
      <c r="N2996" t="str">
        <f>IF($B2996="","",MATCH($B2996,'_calc'!$L$2:$L$3001,0))</f>
        <v/>
      </c>
    </row>
    <row r="2997">
      <c r="B2997" s="24" t="str">
        <f>IF(ROW()-ROW($B$8)&gt;nComp,"",ROW()-ROW($B$8))</f>
        <v/>
      </c>
      <c r="C2997" t="str">
        <f>IF($N2997="","",INDEX('_calc'!$A$2:$A$3001,$N2997))</f>
        <v/>
      </c>
      <c r="D2997" s="25" t="str">
        <f>IF($N2997="","",INDEX('_calc'!$C$2:$C$3001,$N2997))</f>
        <v/>
      </c>
      <c r="E2997" s="25" t="str">
        <f>IF($N2997="","",INDEX('_calc'!$D$2:$D$3001,$N2997))</f>
        <v/>
      </c>
      <c r="F2997" s="26" t="str">
        <f>IF($N2997="","",IF($E$8=0,"",E2997/$E$8))</f>
        <v/>
      </c>
      <c r="G2997" s="25" t="str">
        <f>IF($N2997="","",INDEX('_calc'!$E$2:$E$3001,$N2997))</f>
        <v/>
      </c>
      <c r="H2997" s="25" t="str">
        <f>IF($N2997="","",INDEX('_calc'!$F$2:$F$3001,$N2997))</f>
        <v/>
      </c>
      <c r="I2997" s="27" t="str">
        <f>IF($N2997="","",INDEX('_calc'!$H$2:$H$3001,$N2997))</f>
        <v/>
      </c>
      <c r="J2997" s="27" t="str">
        <f>IF($N2997="","",INDEX('_calc'!$I$2:$I$3001,$N2997))</f>
        <v/>
      </c>
      <c r="K2997" s="28" t="str">
        <f>IF($N2997="","",IF(OR(I2997="",J2997=""),"",J2997-I2997))</f>
        <v/>
      </c>
      <c r="L2997" s="29" t="str">
        <f>IF($N2997="","",INDEX('_calc'!$J$2:$J$3001,$N2997))</f>
        <v/>
      </c>
      <c r="M2997" s="2" t="str">
        <f>IF($N2997="","",IF(AND(G2997=0,H2997=0),"수량 없음",IF(G2997=0,"신규 (전년 수량 없음)",IF(H2997=0,"당해 수량 없음",""))))</f>
        <v/>
      </c>
      <c r="N2997" t="str">
        <f>IF($B2997="","",MATCH($B2997,'_calc'!$L$2:$L$3001,0))</f>
        <v/>
      </c>
    </row>
    <row r="2998">
      <c r="B2998" s="24" t="str">
        <f>IF(ROW()-ROW($B$8)&gt;nComp,"",ROW()-ROW($B$8))</f>
        <v/>
      </c>
      <c r="C2998" t="str">
        <f>IF($N2998="","",INDEX('_calc'!$A$2:$A$3001,$N2998))</f>
        <v/>
      </c>
      <c r="D2998" s="25" t="str">
        <f>IF($N2998="","",INDEX('_calc'!$C$2:$C$3001,$N2998))</f>
        <v/>
      </c>
      <c r="E2998" s="25" t="str">
        <f>IF($N2998="","",INDEX('_calc'!$D$2:$D$3001,$N2998))</f>
        <v/>
      </c>
      <c r="F2998" s="26" t="str">
        <f>IF($N2998="","",IF($E$8=0,"",E2998/$E$8))</f>
        <v/>
      </c>
      <c r="G2998" s="25" t="str">
        <f>IF($N2998="","",INDEX('_calc'!$E$2:$E$3001,$N2998))</f>
        <v/>
      </c>
      <c r="H2998" s="25" t="str">
        <f>IF($N2998="","",INDEX('_calc'!$F$2:$F$3001,$N2998))</f>
        <v/>
      </c>
      <c r="I2998" s="27" t="str">
        <f>IF($N2998="","",INDEX('_calc'!$H$2:$H$3001,$N2998))</f>
        <v/>
      </c>
      <c r="J2998" s="27" t="str">
        <f>IF($N2998="","",INDEX('_calc'!$I$2:$I$3001,$N2998))</f>
        <v/>
      </c>
      <c r="K2998" s="28" t="str">
        <f>IF($N2998="","",IF(OR(I2998="",J2998=""),"",J2998-I2998))</f>
        <v/>
      </c>
      <c r="L2998" s="29" t="str">
        <f>IF($N2998="","",INDEX('_calc'!$J$2:$J$3001,$N2998))</f>
        <v/>
      </c>
      <c r="M2998" s="2" t="str">
        <f>IF($N2998="","",IF(AND(G2998=0,H2998=0),"수량 없음",IF(G2998=0,"신규 (전년 수량 없음)",IF(H2998=0,"당해 수량 없음",""))))</f>
        <v/>
      </c>
      <c r="N2998" t="str">
        <f>IF($B2998="","",MATCH($B2998,'_calc'!$L$2:$L$3001,0))</f>
        <v/>
      </c>
    </row>
    <row r="2999">
      <c r="B2999" s="24" t="str">
        <f>IF(ROW()-ROW($B$8)&gt;nComp,"",ROW()-ROW($B$8))</f>
        <v/>
      </c>
      <c r="C2999" t="str">
        <f>IF($N2999="","",INDEX('_calc'!$A$2:$A$3001,$N2999))</f>
        <v/>
      </c>
      <c r="D2999" s="25" t="str">
        <f>IF($N2999="","",INDEX('_calc'!$C$2:$C$3001,$N2999))</f>
        <v/>
      </c>
      <c r="E2999" s="25" t="str">
        <f>IF($N2999="","",INDEX('_calc'!$D$2:$D$3001,$N2999))</f>
        <v/>
      </c>
      <c r="F2999" s="26" t="str">
        <f>IF($N2999="","",IF($E$8=0,"",E2999/$E$8))</f>
        <v/>
      </c>
      <c r="G2999" s="25" t="str">
        <f>IF($N2999="","",INDEX('_calc'!$E$2:$E$3001,$N2999))</f>
        <v/>
      </c>
      <c r="H2999" s="25" t="str">
        <f>IF($N2999="","",INDEX('_calc'!$F$2:$F$3001,$N2999))</f>
        <v/>
      </c>
      <c r="I2999" s="27" t="str">
        <f>IF($N2999="","",INDEX('_calc'!$H$2:$H$3001,$N2999))</f>
        <v/>
      </c>
      <c r="J2999" s="27" t="str">
        <f>IF($N2999="","",INDEX('_calc'!$I$2:$I$3001,$N2999))</f>
        <v/>
      </c>
      <c r="K2999" s="28" t="str">
        <f>IF($N2999="","",IF(OR(I2999="",J2999=""),"",J2999-I2999))</f>
        <v/>
      </c>
      <c r="L2999" s="29" t="str">
        <f>IF($N2999="","",INDEX('_calc'!$J$2:$J$3001,$N2999))</f>
        <v/>
      </c>
      <c r="M2999" s="2" t="str">
        <f>IF($N2999="","",IF(AND(G2999=0,H2999=0),"수량 없음",IF(G2999=0,"신규 (전년 수량 없음)",IF(H2999=0,"당해 수량 없음",""))))</f>
        <v/>
      </c>
      <c r="N2999" t="str">
        <f>IF($B2999="","",MATCH($B2999,'_calc'!$L$2:$L$3001,0))</f>
        <v/>
      </c>
    </row>
    <row r="3000">
      <c r="B3000" s="24" t="str">
        <f>IF(ROW()-ROW($B$8)&gt;nComp,"",ROW()-ROW($B$8))</f>
        <v/>
      </c>
      <c r="C3000" t="str">
        <f>IF($N3000="","",INDEX('_calc'!$A$2:$A$3001,$N3000))</f>
        <v/>
      </c>
      <c r="D3000" s="25" t="str">
        <f>IF($N3000="","",INDEX('_calc'!$C$2:$C$3001,$N3000))</f>
        <v/>
      </c>
      <c r="E3000" s="25" t="str">
        <f>IF($N3000="","",INDEX('_calc'!$D$2:$D$3001,$N3000))</f>
        <v/>
      </c>
      <c r="F3000" s="26" t="str">
        <f>IF($N3000="","",IF($E$8=0,"",E3000/$E$8))</f>
        <v/>
      </c>
      <c r="G3000" s="25" t="str">
        <f>IF($N3000="","",INDEX('_calc'!$E$2:$E$3001,$N3000))</f>
        <v/>
      </c>
      <c r="H3000" s="25" t="str">
        <f>IF($N3000="","",INDEX('_calc'!$F$2:$F$3001,$N3000))</f>
        <v/>
      </c>
      <c r="I3000" s="27" t="str">
        <f>IF($N3000="","",INDEX('_calc'!$H$2:$H$3001,$N3000))</f>
        <v/>
      </c>
      <c r="J3000" s="27" t="str">
        <f>IF($N3000="","",INDEX('_calc'!$I$2:$I$3001,$N3000))</f>
        <v/>
      </c>
      <c r="K3000" s="28" t="str">
        <f>IF($N3000="","",IF(OR(I3000="",J3000=""),"",J3000-I3000))</f>
        <v/>
      </c>
      <c r="L3000" s="29" t="str">
        <f>IF($N3000="","",INDEX('_calc'!$J$2:$J$3001,$N3000))</f>
        <v/>
      </c>
      <c r="M3000" s="2" t="str">
        <f>IF($N3000="","",IF(AND(G3000=0,H3000=0),"수량 없음",IF(G3000=0,"신규 (전년 수량 없음)",IF(H3000=0,"당해 수량 없음",""))))</f>
        <v/>
      </c>
      <c r="N3000" t="str">
        <f>IF($B3000="","",MATCH($B3000,'_calc'!$L$2:$L$3001,0))</f>
        <v/>
      </c>
    </row>
    <row r="3001">
      <c r="B3001" s="24" t="str">
        <f>IF(ROW()-ROW($B$8)&gt;nComp,"",ROW()-ROW($B$8))</f>
        <v/>
      </c>
      <c r="C3001" t="str">
        <f>IF($N3001="","",INDEX('_calc'!$A$2:$A$3001,$N3001))</f>
        <v/>
      </c>
      <c r="D3001" s="25" t="str">
        <f>IF($N3001="","",INDEX('_calc'!$C$2:$C$3001,$N3001))</f>
        <v/>
      </c>
      <c r="E3001" s="25" t="str">
        <f>IF($N3001="","",INDEX('_calc'!$D$2:$D$3001,$N3001))</f>
        <v/>
      </c>
      <c r="F3001" s="26" t="str">
        <f>IF($N3001="","",IF($E$8=0,"",E3001/$E$8))</f>
        <v/>
      </c>
      <c r="G3001" s="25" t="str">
        <f>IF($N3001="","",INDEX('_calc'!$E$2:$E$3001,$N3001))</f>
        <v/>
      </c>
      <c r="H3001" s="25" t="str">
        <f>IF($N3001="","",INDEX('_calc'!$F$2:$F$3001,$N3001))</f>
        <v/>
      </c>
      <c r="I3001" s="27" t="str">
        <f>IF($N3001="","",INDEX('_calc'!$H$2:$H$3001,$N3001))</f>
        <v/>
      </c>
      <c r="J3001" s="27" t="str">
        <f>IF($N3001="","",INDEX('_calc'!$I$2:$I$3001,$N3001))</f>
        <v/>
      </c>
      <c r="K3001" s="28" t="str">
        <f>IF($N3001="","",IF(OR(I3001="",J3001=""),"",J3001-I3001))</f>
        <v/>
      </c>
      <c r="L3001" s="29" t="str">
        <f>IF($N3001="","",INDEX('_calc'!$J$2:$J$3001,$N3001))</f>
        <v/>
      </c>
      <c r="M3001" s="2" t="str">
        <f>IF($N3001="","",IF(AND(G3001=0,H3001=0),"수량 없음",IF(G3001=0,"신규 (전년 수량 없음)",IF(H3001=0,"당해 수량 없음",""))))</f>
        <v/>
      </c>
      <c r="N3001" t="str">
        <f>IF($B3001="","",MATCH($B3001,'_calc'!$L$2:$L$3001,0))</f>
        <v/>
      </c>
    </row>
    <row r="3002">
      <c r="B3002" s="24" t="str">
        <f>IF(ROW()-ROW($B$8)&gt;nComp,"",ROW()-ROW($B$8))</f>
        <v/>
      </c>
      <c r="C3002" t="str">
        <f>IF($N3002="","",INDEX('_calc'!$A$2:$A$3001,$N3002))</f>
        <v/>
      </c>
      <c r="D3002" s="25" t="str">
        <f>IF($N3002="","",INDEX('_calc'!$C$2:$C$3001,$N3002))</f>
        <v/>
      </c>
      <c r="E3002" s="25" t="str">
        <f>IF($N3002="","",INDEX('_calc'!$D$2:$D$3001,$N3002))</f>
        <v/>
      </c>
      <c r="F3002" s="26" t="str">
        <f>IF($N3002="","",IF($E$8=0,"",E3002/$E$8))</f>
        <v/>
      </c>
      <c r="G3002" s="25" t="str">
        <f>IF($N3002="","",INDEX('_calc'!$E$2:$E$3001,$N3002))</f>
        <v/>
      </c>
      <c r="H3002" s="25" t="str">
        <f>IF($N3002="","",INDEX('_calc'!$F$2:$F$3001,$N3002))</f>
        <v/>
      </c>
      <c r="I3002" s="27" t="str">
        <f>IF($N3002="","",INDEX('_calc'!$H$2:$H$3001,$N3002))</f>
        <v/>
      </c>
      <c r="J3002" s="27" t="str">
        <f>IF($N3002="","",INDEX('_calc'!$I$2:$I$3001,$N3002))</f>
        <v/>
      </c>
      <c r="K3002" s="28" t="str">
        <f>IF($N3002="","",IF(OR(I3002="",J3002=""),"",J3002-I3002))</f>
        <v/>
      </c>
      <c r="L3002" s="29" t="str">
        <f>IF($N3002="","",INDEX('_calc'!$J$2:$J$3001,$N3002))</f>
        <v/>
      </c>
      <c r="M3002" s="2" t="str">
        <f>IF($N3002="","",IF(AND(G3002=0,H3002=0),"수량 없음",IF(G3002=0,"신규 (전년 수량 없음)",IF(H3002=0,"당해 수량 없음",""))))</f>
        <v/>
      </c>
      <c r="N3002" t="str">
        <f>IF($B3002="","",MATCH($B3002,'_calc'!$L$2:$L$3001,0))</f>
        <v/>
      </c>
    </row>
    <row r="3003">
      <c r="B3003" s="24" t="str">
        <f>IF(ROW()-ROW($B$8)&gt;nComp,"",ROW()-ROW($B$8))</f>
        <v/>
      </c>
      <c r="C3003" t="str">
        <f>IF($N3003="","",INDEX('_calc'!$A$2:$A$3001,$N3003))</f>
        <v/>
      </c>
      <c r="D3003" s="25" t="str">
        <f>IF($N3003="","",INDEX('_calc'!$C$2:$C$3001,$N3003))</f>
        <v/>
      </c>
      <c r="E3003" s="25" t="str">
        <f>IF($N3003="","",INDEX('_calc'!$D$2:$D$3001,$N3003))</f>
        <v/>
      </c>
      <c r="F3003" s="26" t="str">
        <f>IF($N3003="","",IF($E$8=0,"",E3003/$E$8))</f>
        <v/>
      </c>
      <c r="G3003" s="25" t="str">
        <f>IF($N3003="","",INDEX('_calc'!$E$2:$E$3001,$N3003))</f>
        <v/>
      </c>
      <c r="H3003" s="25" t="str">
        <f>IF($N3003="","",INDEX('_calc'!$F$2:$F$3001,$N3003))</f>
        <v/>
      </c>
      <c r="I3003" s="27" t="str">
        <f>IF($N3003="","",INDEX('_calc'!$H$2:$H$3001,$N3003))</f>
        <v/>
      </c>
      <c r="J3003" s="27" t="str">
        <f>IF($N3003="","",INDEX('_calc'!$I$2:$I$3001,$N3003))</f>
        <v/>
      </c>
      <c r="K3003" s="28" t="str">
        <f>IF($N3003="","",IF(OR(I3003="",J3003=""),"",J3003-I3003))</f>
        <v/>
      </c>
      <c r="L3003" s="29" t="str">
        <f>IF($N3003="","",INDEX('_calc'!$J$2:$J$3001,$N3003))</f>
        <v/>
      </c>
      <c r="M3003" s="2" t="str">
        <f>IF($N3003="","",IF(AND(G3003=0,H3003=0),"수량 없음",IF(G3003=0,"신규 (전년 수량 없음)",IF(H3003=0,"당해 수량 없음",""))))</f>
        <v/>
      </c>
      <c r="N3003" t="str">
        <f>IF($B3003="","",MATCH($B3003,'_calc'!$L$2:$L$3001,0))</f>
        <v/>
      </c>
    </row>
    <row r="3004">
      <c r="B3004" s="24" t="str">
        <f>IF(ROW()-ROW($B$8)&gt;nComp,"",ROW()-ROW($B$8))</f>
        <v/>
      </c>
      <c r="C3004" t="str">
        <f>IF($N3004="","",INDEX('_calc'!$A$2:$A$3001,$N3004))</f>
        <v/>
      </c>
      <c r="D3004" s="25" t="str">
        <f>IF($N3004="","",INDEX('_calc'!$C$2:$C$3001,$N3004))</f>
        <v/>
      </c>
      <c r="E3004" s="25" t="str">
        <f>IF($N3004="","",INDEX('_calc'!$D$2:$D$3001,$N3004))</f>
        <v/>
      </c>
      <c r="F3004" s="26" t="str">
        <f>IF($N3004="","",IF($E$8=0,"",E3004/$E$8))</f>
        <v/>
      </c>
      <c r="G3004" s="25" t="str">
        <f>IF($N3004="","",INDEX('_calc'!$E$2:$E$3001,$N3004))</f>
        <v/>
      </c>
      <c r="H3004" s="25" t="str">
        <f>IF($N3004="","",INDEX('_calc'!$F$2:$F$3001,$N3004))</f>
        <v/>
      </c>
      <c r="I3004" s="27" t="str">
        <f>IF($N3004="","",INDEX('_calc'!$H$2:$H$3001,$N3004))</f>
        <v/>
      </c>
      <c r="J3004" s="27" t="str">
        <f>IF($N3004="","",INDEX('_calc'!$I$2:$I$3001,$N3004))</f>
        <v/>
      </c>
      <c r="K3004" s="28" t="str">
        <f>IF($N3004="","",IF(OR(I3004="",J3004=""),"",J3004-I3004))</f>
        <v/>
      </c>
      <c r="L3004" s="29" t="str">
        <f>IF($N3004="","",INDEX('_calc'!$J$2:$J$3001,$N3004))</f>
        <v/>
      </c>
      <c r="M3004" s="2" t="str">
        <f>IF($N3004="","",IF(AND(G3004=0,H3004=0),"수량 없음",IF(G3004=0,"신규 (전년 수량 없음)",IF(H3004=0,"당해 수량 없음",""))))</f>
        <v/>
      </c>
      <c r="N3004" t="str">
        <f>IF($B3004="","",MATCH($B3004,'_calc'!$L$2:$L$3001,0))</f>
        <v/>
      </c>
    </row>
    <row r="3005">
      <c r="B3005" s="24" t="str">
        <f>IF(ROW()-ROW($B$8)&gt;nComp,"",ROW()-ROW($B$8))</f>
        <v/>
      </c>
      <c r="C3005" t="str">
        <f>IF($N3005="","",INDEX('_calc'!$A$2:$A$3001,$N3005))</f>
        <v/>
      </c>
      <c r="D3005" s="25" t="str">
        <f>IF($N3005="","",INDEX('_calc'!$C$2:$C$3001,$N3005))</f>
        <v/>
      </c>
      <c r="E3005" s="25" t="str">
        <f>IF($N3005="","",INDEX('_calc'!$D$2:$D$3001,$N3005))</f>
        <v/>
      </c>
      <c r="F3005" s="26" t="str">
        <f>IF($N3005="","",IF($E$8=0,"",E3005/$E$8))</f>
        <v/>
      </c>
      <c r="G3005" s="25" t="str">
        <f>IF($N3005="","",INDEX('_calc'!$E$2:$E$3001,$N3005))</f>
        <v/>
      </c>
      <c r="H3005" s="25" t="str">
        <f>IF($N3005="","",INDEX('_calc'!$F$2:$F$3001,$N3005))</f>
        <v/>
      </c>
      <c r="I3005" s="27" t="str">
        <f>IF($N3005="","",INDEX('_calc'!$H$2:$H$3001,$N3005))</f>
        <v/>
      </c>
      <c r="J3005" s="27" t="str">
        <f>IF($N3005="","",INDEX('_calc'!$I$2:$I$3001,$N3005))</f>
        <v/>
      </c>
      <c r="K3005" s="28" t="str">
        <f>IF($N3005="","",IF(OR(I3005="",J3005=""),"",J3005-I3005))</f>
        <v/>
      </c>
      <c r="L3005" s="29" t="str">
        <f>IF($N3005="","",INDEX('_calc'!$J$2:$J$3001,$N3005))</f>
        <v/>
      </c>
      <c r="M3005" s="2" t="str">
        <f>IF($N3005="","",IF(AND(G3005=0,H3005=0),"수량 없음",IF(G3005=0,"신규 (전년 수량 없음)",IF(H3005=0,"당해 수량 없음",""))))</f>
        <v/>
      </c>
      <c r="N3005" t="str">
        <f>IF($B3005="","",MATCH($B3005,'_calc'!$L$2:$L$3001,0))</f>
        <v/>
      </c>
    </row>
    <row r="3006">
      <c r="B3006" s="24" t="str">
        <f>IF(ROW()-ROW($B$8)&gt;nComp,"",ROW()-ROW($B$8))</f>
        <v/>
      </c>
      <c r="C3006" t="str">
        <f>IF($N3006="","",INDEX('_calc'!$A$2:$A$3001,$N3006))</f>
        <v/>
      </c>
      <c r="D3006" s="25" t="str">
        <f>IF($N3006="","",INDEX('_calc'!$C$2:$C$3001,$N3006))</f>
        <v/>
      </c>
      <c r="E3006" s="25" t="str">
        <f>IF($N3006="","",INDEX('_calc'!$D$2:$D$3001,$N3006))</f>
        <v/>
      </c>
      <c r="F3006" s="26" t="str">
        <f>IF($N3006="","",IF($E$8=0,"",E3006/$E$8))</f>
        <v/>
      </c>
      <c r="G3006" s="25" t="str">
        <f>IF($N3006="","",INDEX('_calc'!$E$2:$E$3001,$N3006))</f>
        <v/>
      </c>
      <c r="H3006" s="25" t="str">
        <f>IF($N3006="","",INDEX('_calc'!$F$2:$F$3001,$N3006))</f>
        <v/>
      </c>
      <c r="I3006" s="27" t="str">
        <f>IF($N3006="","",INDEX('_calc'!$H$2:$H$3001,$N3006))</f>
        <v/>
      </c>
      <c r="J3006" s="27" t="str">
        <f>IF($N3006="","",INDEX('_calc'!$I$2:$I$3001,$N3006))</f>
        <v/>
      </c>
      <c r="K3006" s="28" t="str">
        <f>IF($N3006="","",IF(OR(I3006="",J3006=""),"",J3006-I3006))</f>
        <v/>
      </c>
      <c r="L3006" s="29" t="str">
        <f>IF($N3006="","",INDEX('_calc'!$J$2:$J$3001,$N3006))</f>
        <v/>
      </c>
      <c r="M3006" s="2" t="str">
        <f>IF($N3006="","",IF(AND(G3006=0,H3006=0),"수량 없음",IF(G3006=0,"신규 (전년 수량 없음)",IF(H3006=0,"당해 수량 없음",""))))</f>
        <v/>
      </c>
      <c r="N3006" t="str">
        <f>IF($B3006="","",MATCH($B3006,'_calc'!$L$2:$L$3001,0))</f>
        <v/>
      </c>
    </row>
    <row r="3007">
      <c r="B3007" s="24" t="str">
        <f>IF(ROW()-ROW($B$8)&gt;nComp,"",ROW()-ROW($B$8))</f>
        <v/>
      </c>
      <c r="C3007" t="str">
        <f>IF($N3007="","",INDEX('_calc'!$A$2:$A$3001,$N3007))</f>
        <v/>
      </c>
      <c r="D3007" s="25" t="str">
        <f>IF($N3007="","",INDEX('_calc'!$C$2:$C$3001,$N3007))</f>
        <v/>
      </c>
      <c r="E3007" s="25" t="str">
        <f>IF($N3007="","",INDEX('_calc'!$D$2:$D$3001,$N3007))</f>
        <v/>
      </c>
      <c r="F3007" s="26" t="str">
        <f>IF($N3007="","",IF($E$8=0,"",E3007/$E$8))</f>
        <v/>
      </c>
      <c r="G3007" s="25" t="str">
        <f>IF($N3007="","",INDEX('_calc'!$E$2:$E$3001,$N3007))</f>
        <v/>
      </c>
      <c r="H3007" s="25" t="str">
        <f>IF($N3007="","",INDEX('_calc'!$F$2:$F$3001,$N3007))</f>
        <v/>
      </c>
      <c r="I3007" s="27" t="str">
        <f>IF($N3007="","",INDEX('_calc'!$H$2:$H$3001,$N3007))</f>
        <v/>
      </c>
      <c r="J3007" s="27" t="str">
        <f>IF($N3007="","",INDEX('_calc'!$I$2:$I$3001,$N3007))</f>
        <v/>
      </c>
      <c r="K3007" s="28" t="str">
        <f>IF($N3007="","",IF(OR(I3007="",J3007=""),"",J3007-I3007))</f>
        <v/>
      </c>
      <c r="L3007" s="29" t="str">
        <f>IF($N3007="","",INDEX('_calc'!$J$2:$J$3001,$N3007))</f>
        <v/>
      </c>
      <c r="M3007" s="2" t="str">
        <f>IF($N3007="","",IF(AND(G3007=0,H3007=0),"수량 없음",IF(G3007=0,"신규 (전년 수량 없음)",IF(H3007=0,"당해 수량 없음",""))))</f>
        <v/>
      </c>
      <c r="N3007" t="str">
        <f>IF($B3007="","",MATCH($B3007,'_calc'!$L$2:$L$3001,0))</f>
        <v/>
      </c>
    </row>
    <row r="3008">
      <c r="B3008" s="24" t="str">
        <f>IF(ROW()-ROW($B$8)&gt;nComp,"",ROW()-ROW($B$8))</f>
        <v/>
      </c>
      <c r="C3008" t="str">
        <f>IF($N3008="","",INDEX('_calc'!$A$2:$A$3001,$N3008))</f>
        <v/>
      </c>
      <c r="D3008" s="25" t="str">
        <f>IF($N3008="","",INDEX('_calc'!$C$2:$C$3001,$N3008))</f>
        <v/>
      </c>
      <c r="E3008" s="25" t="str">
        <f>IF($N3008="","",INDEX('_calc'!$D$2:$D$3001,$N3008))</f>
        <v/>
      </c>
      <c r="F3008" s="26" t="str">
        <f>IF($N3008="","",IF($E$8=0,"",E3008/$E$8))</f>
        <v/>
      </c>
      <c r="G3008" s="25" t="str">
        <f>IF($N3008="","",INDEX('_calc'!$E$2:$E$3001,$N3008))</f>
        <v/>
      </c>
      <c r="H3008" s="25" t="str">
        <f>IF($N3008="","",INDEX('_calc'!$F$2:$F$3001,$N3008))</f>
        <v/>
      </c>
      <c r="I3008" s="27" t="str">
        <f>IF($N3008="","",INDEX('_calc'!$H$2:$H$3001,$N3008))</f>
        <v/>
      </c>
      <c r="J3008" s="27" t="str">
        <f>IF($N3008="","",INDEX('_calc'!$I$2:$I$3001,$N3008))</f>
        <v/>
      </c>
      <c r="K3008" s="28" t="str">
        <f>IF($N3008="","",IF(OR(I3008="",J3008=""),"",J3008-I3008))</f>
        <v/>
      </c>
      <c r="L3008" s="29" t="str">
        <f>IF($N3008="","",INDEX('_calc'!$J$2:$J$3001,$N3008))</f>
        <v/>
      </c>
      <c r="M3008" s="2" t="str">
        <f>IF($N3008="","",IF(AND(G3008=0,H3008=0),"수량 없음",IF(G3008=0,"신규 (전년 수량 없음)",IF(H3008=0,"당해 수량 없음",""))))</f>
        <v/>
      </c>
      <c r="N3008" t="str">
        <f>IF($B3008="","",MATCH($B3008,'_calc'!$L$2:$L$3001,0))</f>
        <v/>
      </c>
    </row>
  </sheetData>
  <mergeCells count="6">
    <mergeCell ref="D6:F6"/>
    <mergeCell ref="I6:L6"/>
    <mergeCell ref="M6:M7"/>
    <mergeCell ref="G6:H6"/>
    <mergeCell ref="C6:C7"/>
    <mergeCell ref="B6:B7"/>
  </mergeCells>
  <conditionalFormatting sqref="B3">
    <cfRule type="expression" priority="1" dxfId="0">
      <formula>LEFT($B$3,9)="데이터 점검: ✔"</formula>
    </cfRule>
  </conditionalFormatting>
  <conditionalFormatting sqref="B4">
    <cfRule type="expression" priority="2" dxfId="1">
      <formula>AND(ISNUMBER($L$8),$L$8&gt;0)</formula>
    </cfRule>
    <cfRule type="expression" priority="3" dxfId="2">
      <formula>AND(ISNUMBER($L$8),$L$8&lt;0)</formula>
    </cfRule>
  </conditionalFormatting>
  <conditionalFormatting sqref="B9:M3008">
    <cfRule type="expression" priority="4" dxfId="3">
      <formula>AND($C9&lt;&gt;"",MOD(ROW(),2)=0)</formula>
    </cfRule>
    <cfRule type="expression" priority="5" dxfId="4">
      <formula>$C9&lt;&gt;""</formula>
    </cfRule>
  </conditionalFormatting>
  <conditionalFormatting sqref="D9:D3008 G9:G3008 I9:I3008 M9:M3008">
    <cfRule type="expression" priority="6" dxfId="5">
      <formula>$C9&lt;&gt;""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B1:I45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24" customWidth="1" min="4" max="4"/>
    <col width="24" customWidth="1" min="5" max="5"/>
    <col width="70" customWidth="1" min="6" max="6"/>
    <col width="2" customWidth="1" min="7" max="7"/>
    <col hidden="1" width="12" customWidth="1" min="8" max="8"/>
    <col hidden="1" width="18" customWidth="1" min="9" max="9"/>
  </cols>
  <sheetData>
    <row r="1">
      <c r="B1" s="1" t="inlineStr">
        <is>
          <t>설정</t>
        </is>
      </c>
      <c r="H1" s="2" t="inlineStr">
        <is>
          <t>내부 계산용</t>
        </is>
      </c>
    </row>
    <row r="2">
      <c r="B2" s="2" t="inlineStr">
        <is>
          <t>노란 칸만 입력 / 선택하세요. 나머지는 자동으로 계산됩니다.</t>
        </is>
      </c>
    </row>
    <row r="4">
      <c r="B4" s="3" t="inlineStr">
        <is>
          <t>① RAW 데이터 구조</t>
        </is>
      </c>
    </row>
    <row r="5">
      <c r="B5" s="30" t="inlineStr">
        <is>
          <t>헤더 행 번호</t>
        </is>
      </c>
      <c r="C5" s="31" t="n">
        <v>1</v>
      </c>
      <c r="E5" s="32" t="str">
        <f>IF(COUNTA(hdrRow)=0,"✖ 헤더 행이 비어 있음","✔ 헤더 "&amp;COUNTA(hdrRow)&amp;"개")</f>
        <v>✔ 헤더 19개</v>
      </c>
      <c r="F5" s="33" t="inlineStr">
        <is>
          <t>RAW 시트에서 열 이름(헤더)이 있는 행 번호. 보통 1 (리포트 제목 줄이 위에 있으면 그 아래 행 번호)</t>
        </is>
      </c>
      <c r="H5">
        <f>IFERROR(MIN(MAX(1,INT(C5)),1000),1)</f>
        <v>1</v>
      </c>
    </row>
    <row r="7">
      <c r="B7" s="3" t="inlineStr">
        <is>
          <t>② 열 매핑 — RAW 헤더명 선택</t>
        </is>
      </c>
    </row>
    <row r="8">
      <c r="B8" s="14" t="inlineStr">
        <is>
          <t>항목</t>
        </is>
      </c>
      <c r="C8" s="14" t="inlineStr">
        <is>
          <t>RAW 헤더명 (드롭다운)</t>
        </is>
      </c>
      <c r="D8" s="14" t="inlineStr">
        <is>
          <t>찾은 위치</t>
        </is>
      </c>
      <c r="E8" s="14" t="inlineStr">
        <is>
          <t>상태</t>
        </is>
      </c>
      <c r="F8" s="14" t="inlineStr">
        <is>
          <t>설명</t>
        </is>
      </c>
    </row>
    <row r="9">
      <c r="B9" s="30" t="inlineStr">
        <is>
          <t>기간</t>
        </is>
      </c>
      <c r="C9" s="34" t="inlineStr">
        <is>
          <t>청구일</t>
        </is>
      </c>
      <c r="D9" s="11" t="str">
        <f>IF($H9=16384,"",SUBSTITUTE(ADDRESS(1,$H9,4),"1","")&amp;" 열")</f>
        <v>I 열</v>
      </c>
      <c r="E9" s="32" t="str">
        <f>IF($C9="","✖ 미선택",IF($H9=16384,"✖ 헤더 없음",IF(COUNTIF(hdrRow,$C9)&gt;1,"⚠ 같은 헤더 여러 개(첫 열 사용)","✔ 정상")))</f>
        <v>✔ 정상</v>
      </c>
      <c r="F9" s="33" t="inlineStr">
        <is>
          <t>기간 판정에 쓰는 열: 날짜 / 연도(2026) / 연월(202609) 형식의 숫자</t>
        </is>
      </c>
      <c r="H9">
        <f>IF($C9="",16384,IFERROR(MATCH($C9,hdrRow,0),16384))</f>
        <v>9</v>
      </c>
    </row>
    <row r="10">
      <c r="B10" s="30" t="inlineStr">
        <is>
          <t>업체</t>
        </is>
      </c>
      <c r="C10" s="34" t="inlineStr">
        <is>
          <t>고객명</t>
        </is>
      </c>
      <c r="D10" s="11" t="str">
        <f>IF($H10=16384,"",SUBSTITUTE(ADDRESS(1,$H10,4),"1","")&amp;" 열")</f>
        <v>E 열</v>
      </c>
      <c r="E10" s="32" t="str">
        <f>IF($C10="","✖ 미선택",IF($H10=16384,"✖ 헤더 없음",IF(COUNTIF(hdrRow,$C10)&gt;1,"⚠ 같은 헤더 여러 개(첫 열 사용)","✔ 정상")))</f>
        <v>✔ 정상</v>
      </c>
      <c r="F10" s="33" t="inlineStr">
        <is>
          <t>업체별로 묶는 기준 열 (고객명, 고객코드 등)</t>
        </is>
      </c>
      <c r="H10">
        <f>IF($C10="",16384,IFERROR(MATCH($C10,hdrRow,0),16384))</f>
        <v>5</v>
      </c>
    </row>
    <row r="11">
      <c r="B11" s="30" t="inlineStr">
        <is>
          <t>수량</t>
        </is>
      </c>
      <c r="C11" s="34" t="inlineStr">
        <is>
          <t>판매수량</t>
        </is>
      </c>
      <c r="D11" s="11" t="str">
        <f>IF($H11=16384,"",SUBSTITUTE(ADDRESS(1,$H11,4),"1","")&amp;" 열")</f>
        <v>K 열</v>
      </c>
      <c r="E11" s="32" t="str">
        <f>IF($C11="","✖ 미선택",IF($H11=16384,"✖ 헤더 없음",IF(COUNTIF(hdrRow,$C11)&gt;1,"⚠ 같은 헤더 여러 개(첫 열 사용)","✔ 정상")))</f>
        <v>✔ 정상</v>
      </c>
      <c r="F11" s="33" t="inlineStr">
        <is>
          <t>ASP의 분모 (판매수량)</t>
        </is>
      </c>
      <c r="H11">
        <f>IF($C11="",16384,IFERROR(MATCH($C11,hdrRow,0),16384))</f>
        <v>11</v>
      </c>
    </row>
    <row r="12">
      <c r="B12" s="30" t="inlineStr">
        <is>
          <t>매출액</t>
        </is>
      </c>
      <c r="C12" s="34" t="inlineStr">
        <is>
          <t>순매출액</t>
        </is>
      </c>
      <c r="D12" s="11" t="str">
        <f>IF($H12=16384,"",SUBSTITUTE(ADDRESS(1,$H12,4),"1","")&amp;" 열")</f>
        <v>P 열</v>
      </c>
      <c r="E12" s="32" t="str">
        <f>IF($C12="","✖ 미선택",IF($H12=16384,"✖ 헤더 없음",IF(COUNTIF(hdrRow,$C12)&gt;1,"⚠ 같은 헤더 여러 개(첫 열 사용)","✔ 정상")))</f>
        <v>✔ 정상</v>
      </c>
      <c r="F12" s="33" t="inlineStr">
        <is>
          <t>ASP의 분자 — Realized price 기준 금액 (예: 할인·리베이트 차감 후 순매출액)</t>
        </is>
      </c>
      <c r="H12">
        <f>IF($C12="",16384,IFERROR(MATCH($C12,hdrRow,0),16384))</f>
        <v>16</v>
      </c>
    </row>
    <row r="14">
      <c r="B14" s="3" t="inlineStr">
        <is>
          <t>③ 비교 기간</t>
        </is>
      </c>
    </row>
    <row r="15">
      <c r="B15" s="14" t="inlineStr">
        <is>
          <t>구분</t>
        </is>
      </c>
      <c r="C15" s="14" t="inlineStr">
        <is>
          <t>시작</t>
        </is>
      </c>
      <c r="D15" s="14" t="inlineStr">
        <is>
          <t>종료</t>
        </is>
      </c>
      <c r="E15" s="14" t="inlineStr">
        <is>
          <t>표시</t>
        </is>
      </c>
      <c r="F15" s="14" t="inlineStr">
        <is>
          <t>설명</t>
        </is>
      </c>
    </row>
    <row r="16">
      <c r="B16" s="30" t="inlineStr">
        <is>
          <t>당해 (CY)</t>
        </is>
      </c>
      <c r="C16" s="35" t="n">
        <v>46023</v>
      </c>
      <c r="D16" s="35" t="n">
        <v>46295</v>
      </c>
      <c r="E16" s="11" t="str">
        <f>IF(OR(NOT(ISNUMBER(C16)),NOT(ISNUMBER(D16))),"",IF(AND(C16&gt;=3000,C16&lt;100000),TEXT(C16,"yyyy.mm.dd"),TEXT(C16,"0"))&amp;IF(C16=D16,""," ~ "&amp;IF(AND(D16&gt;=3000,D16&lt;100000),TEXT(D16,"yyyy.mm.dd"),TEXT(D16,"0"))))</f>
        <v>2026.01.01 ~ 2026.09.30</v>
      </c>
      <c r="F16" s="33" t="inlineStr">
        <is>
          <t>기간 열과 같은 형식으로 입력: 날짜 2026-01-01  /  연도 2026  /  연월 202601</t>
        </is>
      </c>
    </row>
    <row r="17">
      <c r="B17" s="30" t="inlineStr">
        <is>
          <t>전년 직접 지정 (선택)</t>
        </is>
      </c>
      <c r="C17" s="35" t="n"/>
      <c r="D17" s="35" t="n"/>
      <c r="F17" s="33" t="inlineStr">
        <is>
          <t>비워 두면 당해의 1년 전 기간이 자동으로 적용됩니다. 다른 기간과 비교할 때만 입력</t>
        </is>
      </c>
    </row>
    <row r="18">
      <c r="B18" s="30" t="inlineStr">
        <is>
          <t>전년 (PY) 적용</t>
        </is>
      </c>
      <c r="C18" s="36">
        <f>IF(C17&lt;&gt;"",C17,IF(NOT(ISNUMBER(C16)),"",IF(C16&lt;3000,C16-1,IF(C16&lt;100000,EDATE(C16,-12),IF(C16&lt;1000000,C16-100,C16-10000)))))</f>
        <v>45658</v>
      </c>
      <c r="D18" s="36">
        <f>IF(D17&lt;&gt;"",D17,IF(NOT(ISNUMBER(D16)),"",IF(D16&lt;3000,D16-1,IF(D16&lt;100000,EDATE(D16,-12),IF(D16&lt;1000000,D16-100,D16-10000)))))</f>
        <v>45930</v>
      </c>
      <c r="E18" s="11" t="str">
        <f>IF(OR(NOT(ISNUMBER(C18)),NOT(ISNUMBER(D18))),"",IF(AND(C18&gt;=3000,C18&lt;100000),TEXT(C18,"yyyy.mm.dd"),TEXT(C18,"0"))&amp;IF(C18=D18,""," ~ "&amp;IF(AND(D18&gt;=3000,D18&lt;100000),TEXT(D18,"yyyy.mm.dd"),TEXT(D18,"0"))))</f>
        <v>2025.01.01 ~ 2025.09.30</v>
      </c>
      <c r="F18" s="33" t="inlineStr">
        <is>
          <t>실제 비교에 쓰이는 전년 기간 (자동 계산)</t>
        </is>
      </c>
    </row>
    <row r="20">
      <c r="B20" s="3" t="inlineStr">
        <is>
          <t>④ 필터 (선택 — 비우면 전체 데이터)</t>
        </is>
      </c>
    </row>
    <row r="21">
      <c r="B21" s="14" t="inlineStr">
        <is>
          <t>구분</t>
        </is>
      </c>
      <c r="C21" s="14" t="inlineStr">
        <is>
          <t>RAW 헤더명 (드롭다운)</t>
        </is>
      </c>
      <c r="D21" s="14" t="inlineStr">
        <is>
          <t>조건 값</t>
        </is>
      </c>
      <c r="E21" s="14" t="inlineStr">
        <is>
          <t>상태</t>
        </is>
      </c>
      <c r="F21" s="14" t="inlineStr">
        <is>
          <t>설명</t>
        </is>
      </c>
    </row>
    <row r="22">
      <c r="B22" s="30" t="inlineStr">
        <is>
          <t>필터 1</t>
        </is>
      </c>
      <c r="C22" s="34" t="inlineStr">
        <is>
          <t>사업부</t>
        </is>
      </c>
      <c r="D22" s="34" t="n"/>
      <c r="E22" s="32" t="str">
        <f>IF(AND($C22="",$D22=""),"– 미사용",IF($D22="","– 미적용 (조건 값 없음)",IF($C22="","⚠ 헤더 미선택",IF(ISNA(MATCH($C22,hdrRow,0)),"✖ 헤더 없음","✔ 적용"))))</f>
        <v>– 미적용 (조건 값 없음)</v>
      </c>
      <c r="F22" s="33" t="inlineStr">
        <is>
          <t>예) 사업부 = 범용수지사업부   /   조건 값에 &lt;&gt;내부거래 처럼 쓰면 '제외'</t>
        </is>
      </c>
      <c r="H22">
        <f>IF(OR($C22="",$D22=""),16384,IFERROR(MATCH($C22,hdrRow,0),16384))</f>
        <v>16384</v>
      </c>
      <c r="I22" t="str">
        <f>IF($H22=16384,"&lt;&gt;§NOFILTER§",$D22)</f>
        <v>&lt;&gt;§NOFILTER§</v>
      </c>
    </row>
    <row r="23">
      <c r="B23" s="30" t="inlineStr">
        <is>
          <t>필터 2</t>
        </is>
      </c>
      <c r="C23" s="34" t="inlineStr">
        <is>
          <t>제품군</t>
        </is>
      </c>
      <c r="D23" s="34" t="n"/>
      <c r="E23" s="32" t="str">
        <f>IF(AND($C23="",$D23=""),"– 미사용",IF($D23="","– 미적용 (조건 값 없음)",IF($C23="","⚠ 헤더 미선택",IF(ISNA(MATCH($C23,hdrRow,0)),"✖ 헤더 없음","✔ 적용"))))</f>
        <v>– 미적용 (조건 값 없음)</v>
      </c>
      <c r="F23" s="33" t="inlineStr">
        <is>
          <t>예) 제품군 = PP   /   PP* 처럼 * 를 쓰면 'PP로 시작하는 값'</t>
        </is>
      </c>
      <c r="H23">
        <f>IF(OR($C23="",$D23=""),16384,IFERROR(MATCH($C23,hdrRow,0),16384))</f>
        <v>16384</v>
      </c>
      <c r="I23" t="str">
        <f>IF($H23=16384,"&lt;&gt;§NOFILTER§",$D23)</f>
        <v>&lt;&gt;§NOFILTER§</v>
      </c>
    </row>
    <row r="24">
      <c r="B24" s="30" t="inlineStr">
        <is>
          <t>필터 3</t>
        </is>
      </c>
      <c r="C24" s="34" t="inlineStr">
        <is>
          <t>통화</t>
        </is>
      </c>
      <c r="D24" s="34" t="n"/>
      <c r="E24" s="32" t="str">
        <f>IF(AND($C24="",$D24=""),"– 미사용",IF($D24="","– 미적용 (조건 값 없음)",IF($C24="","⚠ 헤더 미선택",IF(ISNA(MATCH($C24,hdrRow,0)),"✖ 헤더 없음","✔ 적용"))))</f>
        <v>– 미적용 (조건 값 없음)</v>
      </c>
      <c r="F24" s="33" t="inlineStr">
        <is>
          <t>예) 통화 = KRW  또는  단위 = KG  (단위·통화가 섞여 있으면 꼭 지정)</t>
        </is>
      </c>
      <c r="H24">
        <f>IF(OR($C24="",$D24=""),16384,IFERROR(MATCH($C24,hdrRow,0),16384))</f>
        <v>16384</v>
      </c>
      <c r="I24" t="str">
        <f>IF($H24=16384,"&lt;&gt;§NOFILTER§",$D24)</f>
        <v>&lt;&gt;§NOFILTER§</v>
      </c>
    </row>
    <row r="25">
      <c r="B25" s="30" t="inlineStr">
        <is>
          <t>적용 중인 필터</t>
        </is>
      </c>
      <c r="C25" s="32" t="str">
        <f>IF(COUNTIF($E$22:$E$24,"✔*")=0,"없음 (전체 데이터)",LEFT(IF(LEFT($E22,1)="✔",$C22&amp;IF(LEFT($D22,2)="&lt;&gt;"," ≠ "&amp;MID($D22,3,999)," = "&amp;$D22)&amp;"  ·  ","")&amp;IF(LEFT($E23,1)="✔",$C23&amp;IF(LEFT($D23,2)="&lt;&gt;"," ≠ "&amp;MID($D23,3,999)," = "&amp;$D23)&amp;"  ·  ","")&amp;IF(LEFT($E24,1)="✔",$C24&amp;IF(LEFT($D24,2)="&lt;&gt;"," ≠ "&amp;MID($D24,3,999)," = "&amp;$D24)&amp;"  ·  ",""),LEN(IF(LEFT($E22,1)="✔",$C22&amp;IF(LEFT($D22,2)="&lt;&gt;"," ≠ "&amp;MID($D22,3,999)," = "&amp;$D22)&amp;"  ·  ","")&amp;IF(LEFT($E23,1)="✔",$C23&amp;IF(LEFT($D23,2)="&lt;&gt;"," ≠ "&amp;MID($D23,3,999)," = "&amp;$D23)&amp;"  ·  ","")&amp;IF(LEFT($E24,1)="✔",$C24&amp;IF(LEFT($D24,2)="&lt;&gt;"," ≠ "&amp;MID($D24,3,999)," = "&amp;$D24)&amp;"  ·  ",""))-5))</f>
        <v>없음 (전체 데이터)</v>
      </c>
    </row>
    <row r="27">
      <c r="B27" s="3" t="inlineStr">
        <is>
          <t>⑤ 표시 옵션</t>
        </is>
      </c>
    </row>
    <row r="28">
      <c r="B28" s="30" t="inlineStr">
        <is>
          <t>업체 정렬 기준</t>
        </is>
      </c>
      <c r="C28" s="34" t="inlineStr">
        <is>
          <t>당해 매출액 큰 순</t>
        </is>
      </c>
      <c r="F28" s="33" t="inlineStr">
        <is>
          <t>업체별 ASP 표의 정렬 순서 (드롭다운)</t>
        </is>
      </c>
      <c r="H28">
        <f>IFERROR(MATCH(C28,sortList,0),1)</f>
        <v>1</v>
      </c>
    </row>
    <row r="30">
      <c r="B30" s="3" t="inlineStr">
        <is>
          <t>⑥ 데이터 점검</t>
        </is>
      </c>
    </row>
    <row r="31">
      <c r="B31" s="14" t="inlineStr">
        <is>
          <t>점검 항목</t>
        </is>
      </c>
      <c r="C31" s="14" t="inlineStr">
        <is>
          <t>결과</t>
        </is>
      </c>
      <c r="D31" s="37" t="n"/>
      <c r="E31" s="14" t="inlineStr">
        <is>
          <t>상태</t>
        </is>
      </c>
      <c r="F31" s="14" t="inlineStr">
        <is>
          <t>확인 / 조치 방법</t>
        </is>
      </c>
    </row>
    <row r="32">
      <c r="B32" s="30" t="inlineStr">
        <is>
          <t>RAW 데이터 행 수</t>
        </is>
      </c>
      <c r="C32" s="38">
        <f>MAX(COUNTA(dPer),COUNTA(dCust),COUNTA(dQty),COUNTA(dAmt))</f>
        <v>1025</v>
      </c>
      <c r="E32" s="32" t="str">
        <f>IF(C32&gt;0,"✔ 정상","✖ 데이터 없음")</f>
        <v>✔ 정상</v>
      </c>
      <c r="F32" s="33" t="inlineStr">
        <is>
          <t>RAW 시트의 헤더 행(보통 1행)부터 데이터를 헤더 포함 붙여넣으세요.</t>
        </is>
      </c>
    </row>
    <row r="33">
      <c r="B33" s="30" t="inlineStr">
        <is>
          <t>필수 열 찾기</t>
        </is>
      </c>
      <c r="C33" s="32" t="str">
        <f>COUNTIF($E$9:$E$12,"✔*")+COUNTIF($E$9:$E$12,"⚠*")&amp;" / 4 열"</f>
        <v>4 / 4 열</v>
      </c>
      <c r="E33" s="32" t="str">
        <f>IF(COUNTIF($E$9:$E$12,"✖*")&gt;0,"✖ 확인 필요",IF(COUNTIF($E$9:$E$12,"⚠*")&gt;0,"⚠ 중복 헤더","✔ 정상"))</f>
        <v>✔ 정상</v>
      </c>
      <c r="F33" s="33" t="inlineStr">
        <is>
          <t>② 열 매핑에서 RAW 헤더명을 드롭다운으로 다시 선택하세요.</t>
        </is>
      </c>
    </row>
    <row r="34">
      <c r="B34" s="30" t="inlineStr">
        <is>
          <t>비교 기간 입력</t>
        </is>
      </c>
      <c r="C34" s="32" t="str">
        <f>IF(AND(ISNUMBER(C16),ISNUMBER(D16),ISNUMBER(C18),ISNUMBER(D18)),"입력됨","입력 필요")</f>
        <v>입력됨</v>
      </c>
      <c r="E34" s="32" t="str">
        <f>IF(AND(ISNUMBER(C16),ISNUMBER(D16),ISNUMBER(C18),ISNUMBER(D18)),IF(AND(C16&lt;=D16,C18&lt;=D18),"✔ 정상","✖ 시작 &gt; 종료"),"✖ 확인 필요")</f>
        <v>✔ 정상</v>
      </c>
      <c r="F34" s="33" t="inlineStr">
        <is>
          <t>③ 비교 기간을 날짜(2026-01-01) / 연도(2026) / 연월(202601) 숫자로 입력하세요.</t>
        </is>
      </c>
    </row>
    <row r="35">
      <c r="B35" s="30" t="inlineStr">
        <is>
          <t>기간 열 형식</t>
        </is>
      </c>
      <c r="C35" s="32" t="str">
        <f>"날짜·숫자 "&amp;TEXT(COUNT(dPer),"#,##0")&amp;"행  /  텍스트 "&amp;TEXT(SUMPRODUCT(--ISTEXT(dPer)),"#,##0")&amp;"행"</f>
        <v>날짜·숫자 1,025행  /  텍스트 0행</v>
      </c>
      <c r="E35" s="32" t="str">
        <f>IF(COUNTA(dPer)=0,"✖ 데이터 없음",IF(SUMPRODUCT(--ISTEXT(dPer))&gt;0,"⚠ 텍스트 포함","✔ 정상"))</f>
        <v>✔ 정상</v>
      </c>
      <c r="F35" s="33" t="inlineStr">
        <is>
          <t>텍스트로 된 날짜는 기간 판정에서 빠집니다 → RAW에서 그 열 선택 &gt; 데이터 &gt; 텍스트 나누기 &gt; 마침</t>
        </is>
      </c>
    </row>
    <row r="36">
      <c r="B36" s="30" t="inlineStr">
        <is>
          <t>수량·매출액 숫자 형식</t>
        </is>
      </c>
      <c r="C36" s="32" t="str">
        <f>"텍스트 "&amp;TEXT(SUMPRODUCT(--ISTEXT(dQty))+SUMPRODUCT(--ISTEXT(dAmt)),"#,##0")&amp;"셀"</f>
        <v>텍스트 0셀</v>
      </c>
      <c r="E36" s="32" t="str">
        <f>IF(SUMPRODUCT(--ISTEXT(dQty))+SUMPRODUCT(--ISTEXT(dAmt))&gt;0,"⚠ 텍스트 포함","✔ 정상")</f>
        <v>✔ 정상</v>
      </c>
      <c r="F36" s="33" t="inlineStr">
        <is>
          <t>숫자가 텍스트로 저장된 셀은 합계에서 빠집니다 → 그 열 선택 &gt; 데이터 &gt; 텍스트 나누기 &gt; 마침</t>
        </is>
      </c>
    </row>
    <row r="37">
      <c r="B37" s="30" t="inlineStr">
        <is>
          <t>오류 값 셀</t>
        </is>
      </c>
      <c r="C37" s="39">
        <f>SUMPRODUCT(--ISERROR(dPer))+SUMPRODUCT(--ISERROR(dCust))+SUMPRODUCT(--ISERROR(dQty))+SUMPRODUCT(--ISERROR(dAmt))</f>
        <v>0</v>
      </c>
      <c r="E37" s="32" t="str">
        <f>IF(C37&gt;0,"⚠ 오류 셀 있음","✔ 정상")</f>
        <v>✔ 정상</v>
      </c>
      <c r="F37" s="33" t="inlineStr">
        <is>
          <t>오류 값(N/A, VALUE! 등) 셀은 합계에서 빠집니다 → RAW에서 홈 &gt; 찾기 및 선택 &gt; 이동 옵션 &gt; 상수 &gt; 오류만 체크 → 확인 → Delete</t>
        </is>
      </c>
    </row>
    <row r="38">
      <c r="B38" s="30" t="inlineStr">
        <is>
          <t>당해 기간 데이터</t>
        </is>
      </c>
      <c r="C38" s="38">
        <f>COUNTIFS(dPer,"&gt;="&amp;cyFrom,dPer,"&lt;="&amp;cyTo,dFlt1,critFlt1,dFlt2,critFlt2,dFlt3,critFlt3)</f>
        <v>460</v>
      </c>
      <c r="E38" s="32" t="str">
        <f>IF(C38&gt;0,"✔ 정상","✖ 해당 행 없음")</f>
        <v>✔ 정상</v>
      </c>
      <c r="F38" s="33" t="inlineStr">
        <is>
          <t>당해 기간·필터에 맞는 행이 없습니다 → ③ 기간 형식과 값, ④ 필터를 확인하세요.</t>
        </is>
      </c>
    </row>
    <row r="39">
      <c r="B39" s="30" t="inlineStr">
        <is>
          <t>전년 기간 데이터</t>
        </is>
      </c>
      <c r="C39" s="38">
        <f>COUNTIFS(dPer,"&gt;="&amp;pyFrom,dPer,"&lt;="&amp;pyTo,dFlt1,critFlt1,dFlt2,critFlt2,dFlt3,critFlt3)</f>
        <v>418</v>
      </c>
      <c r="E39" s="32" t="str">
        <f>IF(C39&gt;0,"✔ 정상","✖ 해당 행 없음")</f>
        <v>✔ 정상</v>
      </c>
      <c r="F39" s="33" t="inlineStr">
        <is>
          <t>전년 기간·필터에 맞는 행이 없습니다 → 전년 데이터가 RAW에 함께 들어 있는지 확인하세요.</t>
        </is>
      </c>
    </row>
    <row r="40">
      <c r="B40" s="30" t="inlineStr">
        <is>
          <t>필터</t>
        </is>
      </c>
      <c r="C40" s="32" t="str">
        <f>COUNTIF($E$22:$E$24,"✔*")&amp;"개 적용"</f>
        <v>0개 적용</v>
      </c>
      <c r="E40" s="32" t="str">
        <f>IF(COUNTIF($E$22:$E$24,"✖*")+COUNTIF($E$22:$E$24,"⚠*")&gt;0,"⚠ 확인 필요","✔ 정상")</f>
        <v>✔ 정상</v>
      </c>
      <c r="F40" s="33" t="inlineStr">
        <is>
          <t>④ 필터의 헤더명이 RAW에 있는지 확인하세요.</t>
        </is>
      </c>
    </row>
    <row r="41">
      <c r="B41" s="30" t="inlineStr">
        <is>
          <t>업체 목록 생성</t>
        </is>
      </c>
      <c r="C41" s="32" t="str">
        <f>IF(ISERROR('_calc'!$A$2),"목록 오류",IF(dynNA,"직접 입력 ","자동 생성 ")&amp;TEXT(nList,"#,##0")&amp;"개")</f>
        <v>자동 생성 22개</v>
      </c>
      <c r="E41" s="32" t="str">
        <f>IF(ISERROR('_calc'!$A$2),"✖ _calc 시트 A열 확인",IF(dynNA,IF(nList=0,"✖ Excel 2021 이상 필요","✔ 직접 입력 목록"),"✔ 정상"))</f>
        <v>✔ 정상</v>
      </c>
      <c r="F41" s="33" t="inlineStr">
        <is>
          <t>Excel 2019 이하는 자동 생성이 안 됩니다 → _calc 시트 숨기기 취소 → A2부터 업체 목록 붙여넣기 (RAW의 업체 열 복사 → 데이터 &gt; 중복된 항목 제거)</t>
        </is>
      </c>
    </row>
    <row r="42">
      <c r="B42" s="30" t="inlineStr">
        <is>
          <t>업체 수</t>
        </is>
      </c>
      <c r="C42" s="32" t="str">
        <f>TEXT(nComp,"#,##0")&amp;"개 표시  /  한도 3,000"</f>
        <v>22개 표시  /  한도 3,000</v>
      </c>
      <c r="E42" s="32" t="str">
        <f>IF(nList&gt;3000,"⚠ 한도 초과","✔ 정상")</f>
        <v>✔ 정상</v>
      </c>
      <c r="F42" s="33" t="inlineStr">
        <is>
          <t>업체가 3,000개를 넘으면 나머지는 표시되지 않습니다 → ④ 필터로 나눠서 보세요.</t>
        </is>
      </c>
    </row>
    <row r="43">
      <c r="B43" s="30" t="inlineStr">
        <is>
          <t>합계 검증 (업체 합 = 전체)</t>
        </is>
      </c>
      <c r="C43" s="32" t="str">
        <f>"매출 차이 "&amp;TEXT(H43,"#,##0")&amp;"  /  수량 차이 "&amp;TEXT(I43,"#,##0")</f>
        <v>매출 차이 0  /  수량 차이 0</v>
      </c>
      <c r="E43" s="32" t="str">
        <f>IF(AND(ROUND(H43,0)=0,ROUND(I43,0)=0),"✔ 일치","⚠ 불일치")</f>
        <v>✔ 일치</v>
      </c>
      <c r="F43" s="33" t="str">
        <f>"업체명이 빈 행의 매출액(당해+전년): "&amp;TEXT(SUMIFS(dAmt,dCust,"",dPer,"&gt;="&amp;cyFrom,dPer,"&lt;="&amp;cyTo,dAmt,"&gt;-1E+300",dFlt1,critFlt1,dFlt2,critFlt2,dFlt3,critFlt3)+SUMIFS(dAmt,dCust,"",dPer,"&gt;="&amp;pyFrom,dPer,"&lt;="&amp;pyTo,dAmt,"&gt;-1E+300",dFlt1,critFlt1,dFlt2,critFlt2,dFlt3,critFlt3),"#,##0")&amp;"  → 업체 열이 빈 행은 업체별 표에서 빠집니다"</f>
        <v>업체명이 빈 행의 매출액(당해+전년): 0  → 업체 열이 빈 행은 업체별 표에서 빠집니다</v>
      </c>
      <c r="H43">
        <f>ABS(SUM('_calc'!$C$2:$C$3001)-'업체별 ASP'!$D$8)+ABS(SUM('_calc'!$D$2:$D$3001)-'업체별 ASP'!$E$8)</f>
        <v>0</v>
      </c>
      <c r="I43">
        <f>ABS(SUM('_calc'!$E$2:$E$3001)-'업체별 ASP'!$G$8)+ABS(SUM('_calc'!$F$2:$F$3001)-'업체별 ASP'!$H$8)</f>
        <v>0</v>
      </c>
    </row>
    <row r="44">
      <c r="B44" s="30" t="inlineStr">
        <is>
          <t>예시 데이터</t>
        </is>
      </c>
      <c r="C44" s="32" t="str">
        <f>IF(COUNTIF(RAW!$S:$S,"※예시데이터")&gt;0,"예시 데이터 사용 중","없음")</f>
        <v>예시 데이터 사용 중</v>
      </c>
      <c r="E44" s="32" t="str">
        <f>IF(COUNTIF(RAW!$S:$S,"※예시데이터")&gt;0,"⚠ 예시 데이터","✔ 정상")</f>
        <v>⚠ 예시 데이터</v>
      </c>
      <c r="F44" s="33" t="inlineStr">
        <is>
          <t>실제 데이터를 붙여넣기 전에 RAW 시트 전체를 지우세요 (Ctrl+A → Delete).</t>
        </is>
      </c>
    </row>
    <row r="45">
      <c r="B45" s="30" t="inlineStr">
        <is>
          <t>종합</t>
        </is>
      </c>
      <c r="C45" s="40">
        <f>COUNTIF($E$32:$E$44,"✖*")+COUNTIF($E$32:$E$44,"⚠*")</f>
        <v>1</v>
      </c>
      <c r="E45" s="41" t="str">
        <f>IF(C45=0,"✔ 이상 없음","⚠ "&amp;C45&amp;"건 확인 필요")</f>
        <v>⚠ 1건 확인 필요</v>
      </c>
    </row>
  </sheetData>
  <mergeCells count="17">
    <mergeCell ref="C34:D34"/>
    <mergeCell ref="C43:D43"/>
    <mergeCell ref="C32:D32"/>
    <mergeCell ref="C38:D38"/>
    <mergeCell ref="C33:D33"/>
    <mergeCell ref="C41:D41"/>
    <mergeCell ref="C42:D42"/>
    <mergeCell ref="C37:D37"/>
    <mergeCell ref="C36:D36"/>
    <mergeCell ref="C28:D28"/>
    <mergeCell ref="C44:D44"/>
    <mergeCell ref="C45:D45"/>
    <mergeCell ref="C40:D40"/>
    <mergeCell ref="C31:D31"/>
    <mergeCell ref="C39:D39"/>
    <mergeCell ref="C25:E25"/>
    <mergeCell ref="C35:D35"/>
  </mergeCells>
  <conditionalFormatting sqref="C16:D18">
    <cfRule type="expression" priority="1" dxfId="6">
      <formula>AND(ISNUMBER(C16),OR(C16&lt;3000,C16&gt;=100000))</formula>
    </cfRule>
  </conditionalFormatting>
  <conditionalFormatting sqref="E5:E45">
    <cfRule type="expression" priority="2" dxfId="7">
      <formula>LEFT(E5,1)="✔"</formula>
    </cfRule>
    <cfRule type="expression" priority="3" dxfId="1">
      <formula>LEFT(E5,1)="✖"</formula>
    </cfRule>
    <cfRule type="expression" priority="4" dxfId="8">
      <formula>LEFT(E5,1)="⚠"</formula>
    </cfRule>
    <cfRule type="expression" priority="5" dxfId="9">
      <formula>LEFT(E5,1)="–"</formula>
    </cfRule>
  </conditionalFormatting>
  <dataValidations count="3">
    <dataValidation sqref="C9:C12 C22:C24" showDropDown="0" showInputMessage="0" showErrorMessage="0" allowBlank="1" type="list">
      <formula1>hdrList</formula1>
    </dataValidation>
    <dataValidation sqref="C28" showDropDown="0" showInputMessage="0" showErrorMessage="0" allowBlank="0" type="list">
      <formula1>sortList</formula1>
    </dataValidation>
    <dataValidation sqref="C5" showDropDown="0" showInputMessage="0" showErrorMessage="0" allowBlank="0" errorTitle="헤더 행 번호" error="1~1000 사이 숫자를 입력하세요." type="whole" operator="between">
      <formula1>1</formula1>
      <formula2>1000</formula2>
    </dataValidation>
  </dataValidation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S1026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0" customWidth="1" min="4" max="4"/>
    <col width="20" customWidth="1" min="5" max="5"/>
    <col width="8" customWidth="1" min="6" max="6"/>
    <col width="10" customWidth="1" min="7" max="7"/>
    <col width="1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  <col width="11" customWidth="1" min="14" max="14"/>
    <col width="10" customWidth="1" min="15" max="15"/>
    <col width="12" customWidth="1" min="16" max="16"/>
    <col width="8" customWidth="1" min="17" max="17"/>
    <col width="15" customWidth="1" min="18" max="18"/>
    <col width="13" customWidth="1" min="19" max="19"/>
  </cols>
  <sheetData>
    <row r="1">
      <c r="A1" s="42" t="inlineStr">
        <is>
          <t>회사코드</t>
        </is>
      </c>
      <c r="B1" s="42" t="inlineStr">
        <is>
          <t>사업부</t>
        </is>
      </c>
      <c r="C1" s="42" t="inlineStr">
        <is>
          <t>판매조직</t>
        </is>
      </c>
      <c r="D1" s="42" t="inlineStr">
        <is>
          <t>고객코드</t>
        </is>
      </c>
      <c r="E1" s="42" t="inlineStr">
        <is>
          <t>고객명</t>
        </is>
      </c>
      <c r="F1" s="42" t="inlineStr">
        <is>
          <t>제품군</t>
        </is>
      </c>
      <c r="G1" s="42" t="inlineStr">
        <is>
          <t>제품코드</t>
        </is>
      </c>
      <c r="H1" s="42" t="inlineStr">
        <is>
          <t>제품명</t>
        </is>
      </c>
      <c r="I1" s="42" t="inlineStr">
        <is>
          <t>청구일</t>
        </is>
      </c>
      <c r="J1" s="42" t="inlineStr">
        <is>
          <t>청구연월</t>
        </is>
      </c>
      <c r="K1" s="42" t="inlineStr">
        <is>
          <t>판매수량</t>
        </is>
      </c>
      <c r="L1" s="42" t="inlineStr">
        <is>
          <t>단위</t>
        </is>
      </c>
      <c r="M1" s="42" t="inlineStr">
        <is>
          <t>총매출액</t>
        </is>
      </c>
      <c r="N1" s="42" t="inlineStr">
        <is>
          <t>할인액</t>
        </is>
      </c>
      <c r="O1" s="42" t="inlineStr">
        <is>
          <t>리베이트</t>
        </is>
      </c>
      <c r="P1" s="42" t="inlineStr">
        <is>
          <t>순매출액</t>
        </is>
      </c>
      <c r="Q1" s="42" t="inlineStr">
        <is>
          <t>통화</t>
        </is>
      </c>
      <c r="R1" s="42" t="inlineStr">
        <is>
          <t>전표번호</t>
        </is>
      </c>
      <c r="S1" s="42" t="inlineStr">
        <is>
          <t>※예시데이터</t>
        </is>
      </c>
    </row>
    <row r="2">
      <c r="A2" t="n">
        <v>1000</v>
      </c>
      <c r="B2" t="inlineStr">
        <is>
          <t>EP사업부</t>
        </is>
      </c>
      <c r="C2" t="inlineStr">
        <is>
          <t>국내영업1팀</t>
        </is>
      </c>
      <c r="D2" t="inlineStr">
        <is>
          <t>C10057</t>
        </is>
      </c>
      <c r="E2" t="inlineStr">
        <is>
          <t>자연엠텍</t>
        </is>
      </c>
      <c r="F2" t="inlineStr">
        <is>
          <t>PC</t>
        </is>
      </c>
      <c r="G2" t="inlineStr">
        <is>
          <t>M-2201</t>
        </is>
      </c>
      <c r="H2" t="inlineStr">
        <is>
          <t>PC 일반 C100</t>
        </is>
      </c>
      <c r="I2" s="43" t="n">
        <v>45658</v>
      </c>
      <c r="J2" t="n">
        <v>202501</v>
      </c>
      <c r="K2" s="44" t="n">
        <v>2500</v>
      </c>
      <c r="L2" t="inlineStr">
        <is>
          <t>KG</t>
        </is>
      </c>
      <c r="M2" s="44" t="n">
        <v>9799226</v>
      </c>
      <c r="N2" s="44" t="n">
        <v>489961</v>
      </c>
      <c r="O2" t="n">
        <v>0</v>
      </c>
      <c r="P2" s="44" t="n">
        <v>9309265</v>
      </c>
      <c r="Q2" t="inlineStr">
        <is>
          <t>KRW</t>
        </is>
      </c>
      <c r="R2" t="inlineStr">
        <is>
          <t>INV2501-00001</t>
        </is>
      </c>
      <c r="S2" t="inlineStr">
        <is>
          <t>※예시데이터</t>
        </is>
      </c>
    </row>
    <row r="3">
      <c r="A3" t="n">
        <v>1000</v>
      </c>
      <c r="B3" t="inlineStr">
        <is>
          <t>EP사업부</t>
        </is>
      </c>
      <c r="C3" t="inlineStr">
        <is>
          <t>국내영업1팀</t>
        </is>
      </c>
      <c r="D3" t="inlineStr">
        <is>
          <t>C10043</t>
        </is>
      </c>
      <c r="E3" t="inlineStr">
        <is>
          <t>새봄플라스틱</t>
        </is>
      </c>
      <c r="F3" t="inlineStr">
        <is>
          <t>ABS</t>
        </is>
      </c>
      <c r="G3" t="inlineStr">
        <is>
          <t>M-2102</t>
        </is>
      </c>
      <c r="H3" t="inlineStr">
        <is>
          <t>ABS 내열 HR500</t>
        </is>
      </c>
      <c r="I3" s="43" t="n">
        <v>45659</v>
      </c>
      <c r="J3" t="n">
        <v>202501</v>
      </c>
      <c r="K3" s="44" t="n">
        <v>2075</v>
      </c>
      <c r="L3" t="inlineStr">
        <is>
          <t>KG</t>
        </is>
      </c>
      <c r="M3" s="44" t="n">
        <v>6214719</v>
      </c>
      <c r="N3" s="44" t="n">
        <v>372883</v>
      </c>
      <c r="O3" t="n">
        <v>0</v>
      </c>
      <c r="P3" s="44" t="n">
        <v>5841836</v>
      </c>
      <c r="Q3" t="inlineStr">
        <is>
          <t>KRW</t>
        </is>
      </c>
      <c r="R3" t="inlineStr">
        <is>
          <t>INV2501-00002</t>
        </is>
      </c>
      <c r="S3" t="inlineStr">
        <is>
          <t>※예시데이터</t>
        </is>
      </c>
    </row>
    <row r="4">
      <c r="A4" t="n">
        <v>1000</v>
      </c>
      <c r="B4" t="inlineStr">
        <is>
          <t>범용수지사업부</t>
        </is>
      </c>
      <c r="C4" t="inlineStr">
        <is>
          <t>국내영업1팀</t>
        </is>
      </c>
      <c r="D4" t="inlineStr">
        <is>
          <t>C10106</t>
        </is>
      </c>
      <c r="E4" t="inlineStr">
        <is>
          <t>온새미사출</t>
        </is>
      </c>
      <c r="F4" t="inlineStr">
        <is>
          <t>PP</t>
        </is>
      </c>
      <c r="G4" t="inlineStr">
        <is>
          <t>M-1101</t>
        </is>
      </c>
      <c r="H4" t="inlineStr">
        <is>
          <t>PP 범용사출 H110</t>
        </is>
      </c>
      <c r="I4" s="43" t="n">
        <v>45660</v>
      </c>
      <c r="J4" t="n">
        <v>202501</v>
      </c>
      <c r="K4" s="44" t="n">
        <v>4625</v>
      </c>
      <c r="L4" t="inlineStr">
        <is>
          <t>KG</t>
        </is>
      </c>
      <c r="M4" s="44" t="n">
        <v>7669779</v>
      </c>
      <c r="N4" s="44" t="n">
        <v>383489</v>
      </c>
      <c r="O4" t="n">
        <v>0</v>
      </c>
      <c r="P4" s="44" t="n">
        <v>7286290</v>
      </c>
      <c r="Q4" t="inlineStr">
        <is>
          <t>KRW</t>
        </is>
      </c>
      <c r="R4" t="inlineStr">
        <is>
          <t>INV2501-00003</t>
        </is>
      </c>
      <c r="S4" t="inlineStr">
        <is>
          <t>※예시데이터</t>
        </is>
      </c>
    </row>
    <row r="5">
      <c r="A5" t="n">
        <v>1000</v>
      </c>
      <c r="B5" t="inlineStr">
        <is>
          <t>EP사업부</t>
        </is>
      </c>
      <c r="C5" t="inlineStr">
        <is>
          <t>국내영업1팀</t>
        </is>
      </c>
      <c r="D5" t="inlineStr">
        <is>
          <t>C10134</t>
        </is>
      </c>
      <c r="E5" t="inlineStr">
        <is>
          <t>별하전자(주)</t>
        </is>
      </c>
      <c r="F5" t="inlineStr">
        <is>
          <t>PC</t>
        </is>
      </c>
      <c r="G5" t="inlineStr">
        <is>
          <t>M-2201</t>
        </is>
      </c>
      <c r="H5" t="inlineStr">
        <is>
          <t>PC 일반 C100</t>
        </is>
      </c>
      <c r="I5" s="43" t="n">
        <v>45660</v>
      </c>
      <c r="J5" t="n">
        <v>202501</v>
      </c>
      <c r="K5" t="n">
        <v>750</v>
      </c>
      <c r="L5" t="inlineStr">
        <is>
          <t>KG</t>
        </is>
      </c>
      <c r="M5" s="44" t="n">
        <v>2939768</v>
      </c>
      <c r="N5" s="44" t="n">
        <v>88193</v>
      </c>
      <c r="O5" t="n">
        <v>0</v>
      </c>
      <c r="P5" s="44" t="n">
        <v>2851575</v>
      </c>
      <c r="Q5" t="inlineStr">
        <is>
          <t>KRW</t>
        </is>
      </c>
      <c r="R5" t="inlineStr">
        <is>
          <t>INV2501-00004</t>
        </is>
      </c>
      <c r="S5" t="inlineStr">
        <is>
          <t>※예시데이터</t>
        </is>
      </c>
    </row>
    <row r="6">
      <c r="A6" t="n">
        <v>1000</v>
      </c>
      <c r="B6" t="inlineStr">
        <is>
          <t>범용수지사업부</t>
        </is>
      </c>
      <c r="C6" t="inlineStr">
        <is>
          <t>국내영업1팀</t>
        </is>
      </c>
      <c r="D6" t="inlineStr">
        <is>
          <t>C10001</t>
        </is>
      </c>
      <c r="E6" t="inlineStr">
        <is>
          <t>가온소재(주)</t>
        </is>
      </c>
      <c r="F6" t="inlineStr">
        <is>
          <t>PP</t>
        </is>
      </c>
      <c r="G6" t="inlineStr">
        <is>
          <t>M-1102</t>
        </is>
      </c>
      <c r="H6" t="inlineStr">
        <is>
          <t>PP 고강성 H220</t>
        </is>
      </c>
      <c r="I6" s="43" t="n">
        <v>45661</v>
      </c>
      <c r="J6" t="n">
        <v>202501</v>
      </c>
      <c r="K6" s="44" t="n">
        <v>1925</v>
      </c>
      <c r="L6" t="inlineStr">
        <is>
          <t>KG</t>
        </is>
      </c>
      <c r="M6" s="44" t="n">
        <v>3521189</v>
      </c>
      <c r="N6" s="44" t="n">
        <v>211271</v>
      </c>
      <c r="O6" t="n">
        <v>0</v>
      </c>
      <c r="P6" s="44" t="n">
        <v>3309918</v>
      </c>
      <c r="Q6" t="inlineStr">
        <is>
          <t>KRW</t>
        </is>
      </c>
      <c r="R6" t="inlineStr">
        <is>
          <t>INV2501-00005</t>
        </is>
      </c>
      <c r="S6" t="inlineStr">
        <is>
          <t>※예시데이터</t>
        </is>
      </c>
    </row>
    <row r="7">
      <c r="A7" t="n">
        <v>1000</v>
      </c>
      <c r="B7" t="inlineStr">
        <is>
          <t>범용수지사업부</t>
        </is>
      </c>
      <c r="C7" t="inlineStr">
        <is>
          <t>해외영업팀</t>
        </is>
      </c>
      <c r="D7" t="inlineStr">
        <is>
          <t>C10071</t>
        </is>
      </c>
      <c r="E7" t="inlineStr">
        <is>
          <t>큰별코리아</t>
        </is>
      </c>
      <c r="F7" t="inlineStr">
        <is>
          <t>PE</t>
        </is>
      </c>
      <c r="G7" t="inlineStr">
        <is>
          <t>M-1202</t>
        </is>
      </c>
      <c r="H7" t="inlineStr">
        <is>
          <t>LLDPE 필름 F120</t>
        </is>
      </c>
      <c r="I7" s="43" t="n">
        <v>45663</v>
      </c>
      <c r="J7" t="n">
        <v>202501</v>
      </c>
      <c r="K7" s="44" t="n">
        <v>7475</v>
      </c>
      <c r="L7" t="inlineStr">
        <is>
          <t>KG</t>
        </is>
      </c>
      <c r="M7" s="44" t="n">
        <v>12846785</v>
      </c>
      <c r="N7" s="44" t="n">
        <v>1413146</v>
      </c>
      <c r="O7" s="44" t="n">
        <v>256936</v>
      </c>
      <c r="P7" s="44" t="n">
        <v>11176703</v>
      </c>
      <c r="Q7" t="inlineStr">
        <is>
          <t>KRW</t>
        </is>
      </c>
      <c r="R7" t="inlineStr">
        <is>
          <t>INV2501-00006</t>
        </is>
      </c>
      <c r="S7" t="inlineStr">
        <is>
          <t>※예시데이터</t>
        </is>
      </c>
    </row>
    <row r="8">
      <c r="A8" t="n">
        <v>1000</v>
      </c>
      <c r="B8" t="inlineStr">
        <is>
          <t>범용수지사업부</t>
        </is>
      </c>
      <c r="C8" t="inlineStr">
        <is>
          <t>국내영업1팀</t>
        </is>
      </c>
      <c r="D8" t="inlineStr">
        <is>
          <t>C10092</t>
        </is>
      </c>
      <c r="E8" t="inlineStr">
        <is>
          <t>하늘포장(주)</t>
        </is>
      </c>
      <c r="F8" t="inlineStr">
        <is>
          <t>PE</t>
        </is>
      </c>
      <c r="G8" t="inlineStr">
        <is>
          <t>M-1201</t>
        </is>
      </c>
      <c r="H8" t="inlineStr">
        <is>
          <t>HDPE 블로우 B500</t>
        </is>
      </c>
      <c r="I8" s="43" t="n">
        <v>45663</v>
      </c>
      <c r="J8" t="n">
        <v>202501</v>
      </c>
      <c r="K8" s="44" t="n">
        <v>13775</v>
      </c>
      <c r="L8" t="inlineStr">
        <is>
          <t>KG</t>
        </is>
      </c>
      <c r="M8" s="44" t="n">
        <v>21874385</v>
      </c>
      <c r="N8" s="44" t="n">
        <v>1749951</v>
      </c>
      <c r="O8" t="n">
        <v>0</v>
      </c>
      <c r="P8" s="44" t="n">
        <v>20124434</v>
      </c>
      <c r="Q8" t="inlineStr">
        <is>
          <t>KRW</t>
        </is>
      </c>
      <c r="R8" t="inlineStr">
        <is>
          <t>INV2501-00007</t>
        </is>
      </c>
      <c r="S8" t="inlineStr">
        <is>
          <t>※예시데이터</t>
        </is>
      </c>
    </row>
    <row r="9">
      <c r="A9" t="n">
        <v>1000</v>
      </c>
      <c r="B9" t="inlineStr">
        <is>
          <t>범용수지사업부</t>
        </is>
      </c>
      <c r="C9" t="inlineStr">
        <is>
          <t>국내영업2팀</t>
        </is>
      </c>
      <c r="D9" t="inlineStr">
        <is>
          <t>C10099</t>
        </is>
      </c>
      <c r="E9" t="inlineStr">
        <is>
          <t>한울몰드</t>
        </is>
      </c>
      <c r="F9" t="inlineStr">
        <is>
          <t>PP</t>
        </is>
      </c>
      <c r="G9" t="inlineStr">
        <is>
          <t>M-1101</t>
        </is>
      </c>
      <c r="H9" t="inlineStr">
        <is>
          <t>PP 범용사출 H110</t>
        </is>
      </c>
      <c r="I9" s="43" t="n">
        <v>45663</v>
      </c>
      <c r="J9" t="n">
        <v>202501</v>
      </c>
      <c r="K9" s="44" t="n">
        <v>1950</v>
      </c>
      <c r="L9" t="inlineStr">
        <is>
          <t>KG</t>
        </is>
      </c>
      <c r="M9" s="44" t="n">
        <v>3233745</v>
      </c>
      <c r="N9" s="44" t="n">
        <v>194025</v>
      </c>
      <c r="O9" t="n">
        <v>0</v>
      </c>
      <c r="P9" s="44" t="n">
        <v>3039720</v>
      </c>
      <c r="Q9" t="inlineStr">
        <is>
          <t>KRW</t>
        </is>
      </c>
      <c r="R9" t="inlineStr">
        <is>
          <t>INV2501-00008</t>
        </is>
      </c>
      <c r="S9" t="inlineStr">
        <is>
          <t>※예시데이터</t>
        </is>
      </c>
    </row>
    <row r="10">
      <c r="A10" t="n">
        <v>1000</v>
      </c>
      <c r="B10" t="inlineStr">
        <is>
          <t>EP사업부</t>
        </is>
      </c>
      <c r="C10" t="inlineStr">
        <is>
          <t>국내영업2팀</t>
        </is>
      </c>
      <c r="D10" t="inlineStr">
        <is>
          <t>C10113</t>
        </is>
      </c>
      <c r="E10" t="inlineStr">
        <is>
          <t>누리오토파츠</t>
        </is>
      </c>
      <c r="F10" t="inlineStr">
        <is>
          <t>PC</t>
        </is>
      </c>
      <c r="G10" t="inlineStr">
        <is>
          <t>M-2202</t>
        </is>
      </c>
      <c r="H10" t="inlineStr">
        <is>
          <t>PC 난연 FR200</t>
        </is>
      </c>
      <c r="I10" s="43" t="n">
        <v>45663</v>
      </c>
      <c r="J10" t="n">
        <v>202501</v>
      </c>
      <c r="K10" s="44" t="n">
        <v>2800</v>
      </c>
      <c r="L10" t="inlineStr">
        <is>
          <t>KG</t>
        </is>
      </c>
      <c r="M10" s="44" t="n">
        <v>12241495</v>
      </c>
      <c r="N10" s="44" t="n">
        <v>856905</v>
      </c>
      <c r="O10" s="44" t="n">
        <v>122415</v>
      </c>
      <c r="P10" s="44" t="n">
        <v>11262175</v>
      </c>
      <c r="Q10" t="inlineStr">
        <is>
          <t>KRW</t>
        </is>
      </c>
      <c r="R10" t="inlineStr">
        <is>
          <t>INV2501-00009</t>
        </is>
      </c>
      <c r="S10" t="inlineStr">
        <is>
          <t>※예시데이터</t>
        </is>
      </c>
    </row>
    <row r="11">
      <c r="A11" t="n">
        <v>1000</v>
      </c>
      <c r="B11" t="inlineStr">
        <is>
          <t>범용수지사업부</t>
        </is>
      </c>
      <c r="C11" t="inlineStr">
        <is>
          <t>국내영업2팀</t>
        </is>
      </c>
      <c r="D11" t="inlineStr">
        <is>
          <t>C10127</t>
        </is>
      </c>
      <c r="E11" t="inlineStr">
        <is>
          <t>미르패키징</t>
        </is>
      </c>
      <c r="F11" t="inlineStr">
        <is>
          <t>PP</t>
        </is>
      </c>
      <c r="G11" t="inlineStr">
        <is>
          <t>M-1101</t>
        </is>
      </c>
      <c r="H11" t="inlineStr">
        <is>
          <t>PP 범용사출 H110</t>
        </is>
      </c>
      <c r="I11" s="43" t="n">
        <v>45663</v>
      </c>
      <c r="J11" t="n">
        <v>202501</v>
      </c>
      <c r="K11" s="44" t="n">
        <v>4300</v>
      </c>
      <c r="L11" t="inlineStr">
        <is>
          <t>KG</t>
        </is>
      </c>
      <c r="M11" s="44" t="n">
        <v>7130821</v>
      </c>
      <c r="N11" s="44" t="n">
        <v>641774</v>
      </c>
      <c r="O11" t="n">
        <v>0</v>
      </c>
      <c r="P11" s="44" t="n">
        <v>6489047</v>
      </c>
      <c r="Q11" t="inlineStr">
        <is>
          <t>KRW</t>
        </is>
      </c>
      <c r="R11" t="inlineStr">
        <is>
          <t>INV2501-00010</t>
        </is>
      </c>
      <c r="S11" t="inlineStr">
        <is>
          <t>※예시데이터</t>
        </is>
      </c>
    </row>
    <row r="12">
      <c r="A12" t="n">
        <v>1000</v>
      </c>
      <c r="B12" t="inlineStr">
        <is>
          <t>범용수지사업부</t>
        </is>
      </c>
      <c r="C12" t="inlineStr">
        <is>
          <t>국내영업2팀</t>
        </is>
      </c>
      <c r="D12" t="inlineStr">
        <is>
          <t>C10127</t>
        </is>
      </c>
      <c r="E12" t="inlineStr">
        <is>
          <t>미르패키징</t>
        </is>
      </c>
      <c r="F12" t="inlineStr">
        <is>
          <t>PE</t>
        </is>
      </c>
      <c r="G12" t="inlineStr">
        <is>
          <t>M-1202</t>
        </is>
      </c>
      <c r="H12" t="inlineStr">
        <is>
          <t>LLDPE 필름 F120</t>
        </is>
      </c>
      <c r="I12" s="43" t="n">
        <v>45663</v>
      </c>
      <c r="J12" t="n">
        <v>202501</v>
      </c>
      <c r="K12" s="44" t="n">
        <v>3775</v>
      </c>
      <c r="L12" t="inlineStr">
        <is>
          <t>KG</t>
        </is>
      </c>
      <c r="M12" s="44" t="n">
        <v>6487841</v>
      </c>
      <c r="N12" s="44" t="n">
        <v>583906</v>
      </c>
      <c r="O12" t="n">
        <v>0</v>
      </c>
      <c r="P12" s="44" t="n">
        <v>5903935</v>
      </c>
      <c r="Q12" t="inlineStr">
        <is>
          <t>KRW</t>
        </is>
      </c>
      <c r="R12" t="inlineStr">
        <is>
          <t>INV2501-00011</t>
        </is>
      </c>
      <c r="S12" t="inlineStr">
        <is>
          <t>※예시데이터</t>
        </is>
      </c>
    </row>
    <row r="13">
      <c r="A13" t="n">
        <v>1000</v>
      </c>
      <c r="B13" t="inlineStr">
        <is>
          <t>범용수지사업부</t>
        </is>
      </c>
      <c r="C13" t="inlineStr">
        <is>
          <t>국내영업1팀</t>
        </is>
      </c>
      <c r="D13" t="inlineStr">
        <is>
          <t>C10001</t>
        </is>
      </c>
      <c r="E13" t="inlineStr">
        <is>
          <t>가온소재(주)</t>
        </is>
      </c>
      <c r="F13" t="inlineStr">
        <is>
          <t>PP</t>
        </is>
      </c>
      <c r="G13" t="inlineStr">
        <is>
          <t>M-1102</t>
        </is>
      </c>
      <c r="H13" t="inlineStr">
        <is>
          <t>PP 고강성 H220</t>
        </is>
      </c>
      <c r="I13" s="43" t="n">
        <v>45664</v>
      </c>
      <c r="J13" t="n">
        <v>202501</v>
      </c>
      <c r="K13" s="44" t="n">
        <v>1925</v>
      </c>
      <c r="L13" t="inlineStr">
        <is>
          <t>KG</t>
        </is>
      </c>
      <c r="M13" s="44" t="n">
        <v>3521189</v>
      </c>
      <c r="N13" s="44" t="n">
        <v>211271</v>
      </c>
      <c r="O13" t="n">
        <v>0</v>
      </c>
      <c r="P13" s="44" t="n">
        <v>3309918</v>
      </c>
      <c r="Q13" t="inlineStr">
        <is>
          <t>KRW</t>
        </is>
      </c>
      <c r="R13" t="inlineStr">
        <is>
          <t>INV2501-00012</t>
        </is>
      </c>
      <c r="S13" t="inlineStr">
        <is>
          <t>※예시데이터</t>
        </is>
      </c>
    </row>
    <row r="14">
      <c r="A14" t="n">
        <v>1000</v>
      </c>
      <c r="B14" t="inlineStr">
        <is>
          <t>범용수지사업부</t>
        </is>
      </c>
      <c r="C14" t="inlineStr">
        <is>
          <t>국내영업2팀</t>
        </is>
      </c>
      <c r="D14" t="inlineStr">
        <is>
          <t>C10064</t>
        </is>
      </c>
      <c r="E14" t="inlineStr">
        <is>
          <t>차오름산업</t>
        </is>
      </c>
      <c r="F14" t="inlineStr">
        <is>
          <t>PP</t>
        </is>
      </c>
      <c r="G14" t="inlineStr">
        <is>
          <t>M-1103</t>
        </is>
      </c>
      <c r="H14" t="inlineStr">
        <is>
          <t>PP 투명 R330</t>
        </is>
      </c>
      <c r="I14" s="43" t="n">
        <v>45664</v>
      </c>
      <c r="J14" t="n">
        <v>202501</v>
      </c>
      <c r="K14" s="44" t="n">
        <v>5075</v>
      </c>
      <c r="L14" t="inlineStr">
        <is>
          <t>KG</t>
        </is>
      </c>
      <c r="M14" s="44" t="n">
        <v>9895208</v>
      </c>
      <c r="N14" s="44" t="n">
        <v>692665</v>
      </c>
      <c r="O14" t="n">
        <v>0</v>
      </c>
      <c r="P14" s="44" t="n">
        <v>9202543</v>
      </c>
      <c r="Q14" t="inlineStr">
        <is>
          <t>KRW</t>
        </is>
      </c>
      <c r="R14" t="inlineStr">
        <is>
          <t>INV2501-00013</t>
        </is>
      </c>
      <c r="S14" t="inlineStr">
        <is>
          <t>※예시데이터</t>
        </is>
      </c>
    </row>
    <row r="15">
      <c r="A15" t="n">
        <v>1000</v>
      </c>
      <c r="B15" t="inlineStr">
        <is>
          <t>EP사업부</t>
        </is>
      </c>
      <c r="C15" t="inlineStr">
        <is>
          <t>국내영업1팀</t>
        </is>
      </c>
      <c r="D15" t="inlineStr">
        <is>
          <t>C10134</t>
        </is>
      </c>
      <c r="E15" t="inlineStr">
        <is>
          <t>별하전자(주)</t>
        </is>
      </c>
      <c r="F15" t="inlineStr">
        <is>
          <t>PC</t>
        </is>
      </c>
      <c r="G15" t="inlineStr">
        <is>
          <t>M-2201</t>
        </is>
      </c>
      <c r="H15" t="inlineStr">
        <is>
          <t>PC 일반 C100</t>
        </is>
      </c>
      <c r="I15" s="43" t="n">
        <v>45664</v>
      </c>
      <c r="J15" t="n">
        <v>202501</v>
      </c>
      <c r="K15" t="n">
        <v>750</v>
      </c>
      <c r="L15" t="inlineStr">
        <is>
          <t>KG</t>
        </is>
      </c>
      <c r="M15" s="44" t="n">
        <v>2939768</v>
      </c>
      <c r="N15" s="44" t="n">
        <v>88193</v>
      </c>
      <c r="O15" t="n">
        <v>0</v>
      </c>
      <c r="P15" s="44" t="n">
        <v>2851575</v>
      </c>
      <c r="Q15" t="inlineStr">
        <is>
          <t>KRW</t>
        </is>
      </c>
      <c r="R15" t="inlineStr">
        <is>
          <t>INV2501-00014</t>
        </is>
      </c>
      <c r="S15" t="inlineStr">
        <is>
          <t>※예시데이터</t>
        </is>
      </c>
    </row>
    <row r="16">
      <c r="A16" t="n">
        <v>1000</v>
      </c>
      <c r="B16" t="inlineStr">
        <is>
          <t>EP사업부</t>
        </is>
      </c>
      <c r="C16" t="inlineStr">
        <is>
          <t>국내영업1팀</t>
        </is>
      </c>
      <c r="D16" t="inlineStr">
        <is>
          <t>C10043</t>
        </is>
      </c>
      <c r="E16" t="inlineStr">
        <is>
          <t>새봄플라스틱</t>
        </is>
      </c>
      <c r="F16" t="inlineStr">
        <is>
          <t>ABS</t>
        </is>
      </c>
      <c r="G16" t="inlineStr">
        <is>
          <t>M-2102</t>
        </is>
      </c>
      <c r="H16" t="inlineStr">
        <is>
          <t>ABS 내열 HR500</t>
        </is>
      </c>
      <c r="I16" s="43" t="n">
        <v>45665</v>
      </c>
      <c r="J16" t="n">
        <v>202501</v>
      </c>
      <c r="K16" s="44" t="n">
        <v>2075</v>
      </c>
      <c r="L16" t="inlineStr">
        <is>
          <t>KG</t>
        </is>
      </c>
      <c r="M16" s="44" t="n">
        <v>6214719</v>
      </c>
      <c r="N16" s="44" t="n">
        <v>372883</v>
      </c>
      <c r="O16" t="n">
        <v>0</v>
      </c>
      <c r="P16" s="44" t="n">
        <v>5841836</v>
      </c>
      <c r="Q16" t="inlineStr">
        <is>
          <t>KRW</t>
        </is>
      </c>
      <c r="R16" t="inlineStr">
        <is>
          <t>INV2501-00015</t>
        </is>
      </c>
      <c r="S16" t="inlineStr">
        <is>
          <t>※예시데이터</t>
        </is>
      </c>
    </row>
    <row r="17">
      <c r="A17" t="n">
        <v>1000</v>
      </c>
      <c r="B17" t="inlineStr">
        <is>
          <t>EP사업부</t>
        </is>
      </c>
      <c r="C17" t="inlineStr">
        <is>
          <t>국내영업1팀</t>
        </is>
      </c>
      <c r="D17" t="inlineStr">
        <is>
          <t>C10078</t>
        </is>
      </c>
      <c r="E17" t="inlineStr">
        <is>
          <t>토담정공(주)</t>
        </is>
      </c>
      <c r="F17" t="inlineStr">
        <is>
          <t>ABS</t>
        </is>
      </c>
      <c r="G17" t="inlineStr">
        <is>
          <t>M-2102</t>
        </is>
      </c>
      <c r="H17" t="inlineStr">
        <is>
          <t>ABS 내열 HR500</t>
        </is>
      </c>
      <c r="I17" s="43" t="n">
        <v>45665</v>
      </c>
      <c r="J17" t="n">
        <v>202501</v>
      </c>
      <c r="K17" s="44" t="n">
        <v>4750</v>
      </c>
      <c r="L17" t="inlineStr">
        <is>
          <t>KG</t>
        </is>
      </c>
      <c r="M17" s="44" t="n">
        <v>14226466</v>
      </c>
      <c r="N17" s="44" t="n">
        <v>426794</v>
      </c>
      <c r="O17" t="n">
        <v>0</v>
      </c>
      <c r="P17" s="44" t="n">
        <v>13799672</v>
      </c>
      <c r="Q17" t="inlineStr">
        <is>
          <t>KRW</t>
        </is>
      </c>
      <c r="R17" t="inlineStr">
        <is>
          <t>INV2501-00016</t>
        </is>
      </c>
      <c r="S17" t="inlineStr">
        <is>
          <t>※예시데이터</t>
        </is>
      </c>
    </row>
    <row r="18">
      <c r="A18" t="n">
        <v>1000</v>
      </c>
      <c r="B18" t="inlineStr">
        <is>
          <t>EP사업부</t>
        </is>
      </c>
      <c r="C18" t="inlineStr">
        <is>
          <t>국내영업2팀</t>
        </is>
      </c>
      <c r="D18" t="inlineStr">
        <is>
          <t>C10015</t>
        </is>
      </c>
      <c r="E18" t="inlineStr">
        <is>
          <t>다솜케미칼</t>
        </is>
      </c>
      <c r="F18" t="inlineStr">
        <is>
          <t>ABS</t>
        </is>
      </c>
      <c r="G18" t="inlineStr">
        <is>
          <t>M-2101</t>
        </is>
      </c>
      <c r="H18" t="inlineStr">
        <is>
          <t>ABS 범용 G300</t>
        </is>
      </c>
      <c r="I18" s="43" t="n">
        <v>45666</v>
      </c>
      <c r="J18" t="n">
        <v>202501</v>
      </c>
      <c r="K18" s="44" t="n">
        <v>2700</v>
      </c>
      <c r="L18" t="inlineStr">
        <is>
          <t>KG</t>
        </is>
      </c>
      <c r="M18" s="44" t="n">
        <v>7191124</v>
      </c>
      <c r="N18" s="44" t="n">
        <v>359556</v>
      </c>
      <c r="O18" t="n">
        <v>0</v>
      </c>
      <c r="P18" s="44" t="n">
        <v>6831568</v>
      </c>
      <c r="Q18" t="inlineStr">
        <is>
          <t>KRW</t>
        </is>
      </c>
      <c r="R18" t="inlineStr">
        <is>
          <t>INV2501-00017</t>
        </is>
      </c>
      <c r="S18" t="inlineStr">
        <is>
          <t>※예시데이터</t>
        </is>
      </c>
    </row>
    <row r="19">
      <c r="A19" t="n">
        <v>1000</v>
      </c>
      <c r="B19" t="inlineStr">
        <is>
          <t>범용수지사업부</t>
        </is>
      </c>
      <c r="C19" t="inlineStr">
        <is>
          <t>해외영업팀</t>
        </is>
      </c>
      <c r="D19" t="inlineStr">
        <is>
          <t>C10141</t>
        </is>
      </c>
      <c r="E19" t="inlineStr">
        <is>
          <t>Sinar Plastik (ID)</t>
        </is>
      </c>
      <c r="F19" t="inlineStr">
        <is>
          <t>PP</t>
        </is>
      </c>
      <c r="G19" t="inlineStr">
        <is>
          <t>M-1103</t>
        </is>
      </c>
      <c r="H19" t="inlineStr">
        <is>
          <t>PP 투명 R330</t>
        </is>
      </c>
      <c r="I19" s="43" t="n">
        <v>45666</v>
      </c>
      <c r="J19" t="n">
        <v>202501</v>
      </c>
      <c r="K19" s="44" t="n">
        <v>8875</v>
      </c>
      <c r="L19" t="inlineStr">
        <is>
          <t>KG</t>
        </is>
      </c>
      <c r="M19" s="44" t="n">
        <v>17304428</v>
      </c>
      <c r="N19" s="44" t="n">
        <v>2076531</v>
      </c>
      <c r="O19" t="n">
        <v>0</v>
      </c>
      <c r="P19" s="44" t="n">
        <v>15227897</v>
      </c>
      <c r="Q19" t="inlineStr">
        <is>
          <t>KRW</t>
        </is>
      </c>
      <c r="R19" t="inlineStr">
        <is>
          <t>INV2501-00018</t>
        </is>
      </c>
      <c r="S19" t="inlineStr">
        <is>
          <t>※예시데이터</t>
        </is>
      </c>
    </row>
    <row r="20">
      <c r="A20" t="n">
        <v>1000</v>
      </c>
      <c r="B20" t="inlineStr">
        <is>
          <t>EP사업부</t>
        </is>
      </c>
      <c r="C20" t="inlineStr">
        <is>
          <t>국내영업1팀</t>
        </is>
      </c>
      <c r="D20" t="inlineStr">
        <is>
          <t>C10134</t>
        </is>
      </c>
      <c r="E20" t="inlineStr">
        <is>
          <t>별하전자(주)</t>
        </is>
      </c>
      <c r="F20" t="inlineStr">
        <is>
          <t>PC</t>
        </is>
      </c>
      <c r="G20" t="inlineStr">
        <is>
          <t>M-2202</t>
        </is>
      </c>
      <c r="H20" t="inlineStr">
        <is>
          <t>PC 난연 FR200</t>
        </is>
      </c>
      <c r="I20" s="43" t="n">
        <v>45667</v>
      </c>
      <c r="J20" t="n">
        <v>202501</v>
      </c>
      <c r="K20" t="n">
        <v>800</v>
      </c>
      <c r="L20" t="inlineStr">
        <is>
          <t>KG</t>
        </is>
      </c>
      <c r="M20" s="44" t="n">
        <v>3497570</v>
      </c>
      <c r="N20" s="44" t="n">
        <v>104927</v>
      </c>
      <c r="O20" t="n">
        <v>0</v>
      </c>
      <c r="P20" s="44" t="n">
        <v>3392643</v>
      </c>
      <c r="Q20" t="inlineStr">
        <is>
          <t>KRW</t>
        </is>
      </c>
      <c r="R20" t="inlineStr">
        <is>
          <t>INV2501-00019</t>
        </is>
      </c>
      <c r="S20" t="inlineStr">
        <is>
          <t>※예시데이터</t>
        </is>
      </c>
    </row>
    <row r="21">
      <c r="A21" t="n">
        <v>1000</v>
      </c>
      <c r="B21" t="inlineStr">
        <is>
          <t>EP사업부</t>
        </is>
      </c>
      <c r="C21" t="inlineStr">
        <is>
          <t>국내영업2팀</t>
        </is>
      </c>
      <c r="D21" t="inlineStr">
        <is>
          <t>C10015</t>
        </is>
      </c>
      <c r="E21" t="inlineStr">
        <is>
          <t>다솜케미칼</t>
        </is>
      </c>
      <c r="F21" t="inlineStr">
        <is>
          <t>PC</t>
        </is>
      </c>
      <c r="G21" t="inlineStr">
        <is>
          <t>M-2202</t>
        </is>
      </c>
      <c r="H21" t="inlineStr">
        <is>
          <t>PC 난연 FR200</t>
        </is>
      </c>
      <c r="I21" s="43" t="n">
        <v>45668</v>
      </c>
      <c r="J21" t="n">
        <v>202501</v>
      </c>
      <c r="K21" s="44" t="n">
        <v>2600</v>
      </c>
      <c r="L21" t="inlineStr">
        <is>
          <t>KG</t>
        </is>
      </c>
      <c r="M21" s="44" t="n">
        <v>11367102</v>
      </c>
      <c r="N21" s="44" t="n">
        <v>568355</v>
      </c>
      <c r="O21" t="n">
        <v>0</v>
      </c>
      <c r="P21" s="44" t="n">
        <v>10798747</v>
      </c>
      <c r="Q21" t="inlineStr">
        <is>
          <t>KRW</t>
        </is>
      </c>
      <c r="R21" t="inlineStr">
        <is>
          <t>INV2501-00020</t>
        </is>
      </c>
      <c r="S21" t="inlineStr">
        <is>
          <t>※예시데이터</t>
        </is>
      </c>
    </row>
    <row r="22">
      <c r="A22" t="n">
        <v>1000</v>
      </c>
      <c r="B22" t="inlineStr">
        <is>
          <t>범용수지사업부</t>
        </is>
      </c>
      <c r="C22" t="inlineStr">
        <is>
          <t>해외영업팀</t>
        </is>
      </c>
      <c r="D22" t="inlineStr">
        <is>
          <t>C10141</t>
        </is>
      </c>
      <c r="E22" t="inlineStr">
        <is>
          <t>Sinar Plastik (ID)</t>
        </is>
      </c>
      <c r="F22" t="inlineStr">
        <is>
          <t>PP</t>
        </is>
      </c>
      <c r="G22" t="inlineStr">
        <is>
          <t>M-1102</t>
        </is>
      </c>
      <c r="H22" t="inlineStr">
        <is>
          <t>PP 고강성 H220</t>
        </is>
      </c>
      <c r="I22" s="43" t="n">
        <v>45668</v>
      </c>
      <c r="J22" t="n">
        <v>202501</v>
      </c>
      <c r="K22" s="44" t="n">
        <v>14950</v>
      </c>
      <c r="L22" t="inlineStr">
        <is>
          <t>KG</t>
        </is>
      </c>
      <c r="M22" s="44" t="n">
        <v>27346374</v>
      </c>
      <c r="N22" s="44" t="n">
        <v>3281565</v>
      </c>
      <c r="O22" t="n">
        <v>0</v>
      </c>
      <c r="P22" s="44" t="n">
        <v>24064809</v>
      </c>
      <c r="Q22" t="inlineStr">
        <is>
          <t>KRW</t>
        </is>
      </c>
      <c r="R22" t="inlineStr">
        <is>
          <t>INV2501-00021</t>
        </is>
      </c>
      <c r="S22" t="inlineStr">
        <is>
          <t>※예시데이터</t>
        </is>
      </c>
    </row>
    <row r="23">
      <c r="A23" t="n">
        <v>1000</v>
      </c>
      <c r="B23" t="inlineStr">
        <is>
          <t>EP사업부</t>
        </is>
      </c>
      <c r="C23" t="inlineStr">
        <is>
          <t>국내영업2팀</t>
        </is>
      </c>
      <c r="D23" t="inlineStr">
        <is>
          <t>C10015</t>
        </is>
      </c>
      <c r="E23" t="inlineStr">
        <is>
          <t>다솜케미칼</t>
        </is>
      </c>
      <c r="F23" t="inlineStr">
        <is>
          <t>PC</t>
        </is>
      </c>
      <c r="G23" t="inlineStr">
        <is>
          <t>M-2201</t>
        </is>
      </c>
      <c r="H23" t="inlineStr">
        <is>
          <t>PC 일반 C100</t>
        </is>
      </c>
      <c r="I23" s="43" t="n">
        <v>45669</v>
      </c>
      <c r="J23" t="n">
        <v>202501</v>
      </c>
      <c r="K23" s="44" t="n">
        <v>2500</v>
      </c>
      <c r="L23" t="inlineStr">
        <is>
          <t>KG</t>
        </is>
      </c>
      <c r="M23" s="44" t="n">
        <v>9799226</v>
      </c>
      <c r="N23" s="44" t="n">
        <v>489961</v>
      </c>
      <c r="O23" t="n">
        <v>0</v>
      </c>
      <c r="P23" s="44" t="n">
        <v>9309265</v>
      </c>
      <c r="Q23" t="inlineStr">
        <is>
          <t>KRW</t>
        </is>
      </c>
      <c r="R23" t="inlineStr">
        <is>
          <t>INV2501-00022</t>
        </is>
      </c>
      <c r="S23" t="inlineStr">
        <is>
          <t>※예시데이터</t>
        </is>
      </c>
    </row>
    <row r="24">
      <c r="A24" t="n">
        <v>1000</v>
      </c>
      <c r="B24" t="inlineStr">
        <is>
          <t>범용수지사업부</t>
        </is>
      </c>
      <c r="C24" t="inlineStr">
        <is>
          <t>국내영업2팀</t>
        </is>
      </c>
      <c r="D24" t="inlineStr">
        <is>
          <t>C10036</t>
        </is>
      </c>
      <c r="E24" t="inlineStr">
        <is>
          <t>바른물산</t>
        </is>
      </c>
      <c r="F24" t="inlineStr">
        <is>
          <t>PE</t>
        </is>
      </c>
      <c r="G24" t="inlineStr">
        <is>
          <t>M-1201</t>
        </is>
      </c>
      <c r="H24" t="inlineStr">
        <is>
          <t>HDPE 블로우 B500</t>
        </is>
      </c>
      <c r="I24" s="43" t="n">
        <v>45669</v>
      </c>
      <c r="J24" t="n">
        <v>202501</v>
      </c>
      <c r="K24" s="44" t="n">
        <v>8600</v>
      </c>
      <c r="L24" t="inlineStr">
        <is>
          <t>KG</t>
        </is>
      </c>
      <c r="M24" s="44" t="n">
        <v>13656603</v>
      </c>
      <c r="N24" s="44" t="n">
        <v>1229094</v>
      </c>
      <c r="O24" s="44" t="n">
        <v>273132</v>
      </c>
      <c r="P24" s="44" t="n">
        <v>12154377</v>
      </c>
      <c r="Q24" t="inlineStr">
        <is>
          <t>KRW</t>
        </is>
      </c>
      <c r="R24" t="inlineStr">
        <is>
          <t>INV2501-00023</t>
        </is>
      </c>
      <c r="S24" t="inlineStr">
        <is>
          <t>※예시데이터</t>
        </is>
      </c>
    </row>
    <row r="25">
      <c r="A25" t="n">
        <v>1000</v>
      </c>
      <c r="B25" t="inlineStr">
        <is>
          <t>EP사업부</t>
        </is>
      </c>
      <c r="C25" t="inlineStr">
        <is>
          <t>국내영업2팀</t>
        </is>
      </c>
      <c r="D25" t="inlineStr">
        <is>
          <t>C10085</t>
        </is>
      </c>
      <c r="E25" t="inlineStr">
        <is>
          <t>파란하이텍</t>
        </is>
      </c>
      <c r="F25" t="inlineStr">
        <is>
          <t>PC</t>
        </is>
      </c>
      <c r="G25" t="inlineStr">
        <is>
          <t>M-2202</t>
        </is>
      </c>
      <c r="H25" t="inlineStr">
        <is>
          <t>PC 난연 FR200</t>
        </is>
      </c>
      <c r="I25" s="43" t="n">
        <v>45670</v>
      </c>
      <c r="J25" t="n">
        <v>202501</v>
      </c>
      <c r="K25" s="44" t="n">
        <v>2975</v>
      </c>
      <c r="L25" t="inlineStr">
        <is>
          <t>KG</t>
        </is>
      </c>
      <c r="M25" s="44" t="n">
        <v>13006588</v>
      </c>
      <c r="N25" s="44" t="n">
        <v>780395</v>
      </c>
      <c r="O25" t="n">
        <v>0</v>
      </c>
      <c r="P25" s="44" t="n">
        <v>12226193</v>
      </c>
      <c r="Q25" t="inlineStr">
        <is>
          <t>KRW</t>
        </is>
      </c>
      <c r="R25" t="inlineStr">
        <is>
          <t>INV2501-00024</t>
        </is>
      </c>
      <c r="S25" t="inlineStr">
        <is>
          <t>※예시데이터</t>
        </is>
      </c>
    </row>
    <row r="26">
      <c r="A26" t="n">
        <v>1000</v>
      </c>
      <c r="B26" t="inlineStr">
        <is>
          <t>범용수지사업부</t>
        </is>
      </c>
      <c r="C26" t="inlineStr">
        <is>
          <t>국내영업2팀</t>
        </is>
      </c>
      <c r="D26" t="inlineStr">
        <is>
          <t>C10127</t>
        </is>
      </c>
      <c r="E26" t="inlineStr">
        <is>
          <t>미르패키징</t>
        </is>
      </c>
      <c r="F26" t="inlineStr">
        <is>
          <t>PE</t>
        </is>
      </c>
      <c r="G26" t="inlineStr">
        <is>
          <t>M-1202</t>
        </is>
      </c>
      <c r="H26" t="inlineStr">
        <is>
          <t>LLDPE 필름 F120</t>
        </is>
      </c>
      <c r="I26" s="43" t="n">
        <v>45670</v>
      </c>
      <c r="J26" t="n">
        <v>202501</v>
      </c>
      <c r="K26" s="44" t="n">
        <v>3775</v>
      </c>
      <c r="L26" t="inlineStr">
        <is>
          <t>KG</t>
        </is>
      </c>
      <c r="M26" s="44" t="n">
        <v>6487841</v>
      </c>
      <c r="N26" s="44" t="n">
        <v>583906</v>
      </c>
      <c r="O26" t="n">
        <v>0</v>
      </c>
      <c r="P26" s="44" t="n">
        <v>5903935</v>
      </c>
      <c r="Q26" t="inlineStr">
        <is>
          <t>KRW</t>
        </is>
      </c>
      <c r="R26" t="inlineStr">
        <is>
          <t>INV2501-00025</t>
        </is>
      </c>
      <c r="S26" t="inlineStr">
        <is>
          <t>※예시데이터</t>
        </is>
      </c>
    </row>
    <row r="27">
      <c r="A27" t="n">
        <v>1000</v>
      </c>
      <c r="B27" t="inlineStr">
        <is>
          <t>범용수지사업부</t>
        </is>
      </c>
      <c r="C27" t="inlineStr">
        <is>
          <t>국내영업1팀</t>
        </is>
      </c>
      <c r="D27" t="inlineStr">
        <is>
          <t>C10001</t>
        </is>
      </c>
      <c r="E27" t="inlineStr">
        <is>
          <t>가온소재(주)</t>
        </is>
      </c>
      <c r="F27" t="inlineStr">
        <is>
          <t>PP</t>
        </is>
      </c>
      <c r="G27" t="inlineStr">
        <is>
          <t>M-1103</t>
        </is>
      </c>
      <c r="H27" t="inlineStr">
        <is>
          <t>PP 투명 R330</t>
        </is>
      </c>
      <c r="I27" s="43" t="n">
        <v>45671</v>
      </c>
      <c r="J27" t="n">
        <v>202501</v>
      </c>
      <c r="K27" s="44" t="n">
        <v>2575</v>
      </c>
      <c r="L27" t="inlineStr">
        <is>
          <t>KG</t>
        </is>
      </c>
      <c r="M27" s="44" t="n">
        <v>5020721</v>
      </c>
      <c r="N27" s="44" t="n">
        <v>301243</v>
      </c>
      <c r="O27" t="n">
        <v>0</v>
      </c>
      <c r="P27" s="44" t="n">
        <v>4719478</v>
      </c>
      <c r="Q27" t="inlineStr">
        <is>
          <t>KRW</t>
        </is>
      </c>
      <c r="R27" t="inlineStr">
        <is>
          <t>INV2501-00026</t>
        </is>
      </c>
      <c r="S27" t="inlineStr">
        <is>
          <t>※예시데이터</t>
        </is>
      </c>
    </row>
    <row r="28">
      <c r="A28" t="n">
        <v>1000</v>
      </c>
      <c r="B28" t="inlineStr">
        <is>
          <t>EP사업부</t>
        </is>
      </c>
      <c r="C28" t="inlineStr">
        <is>
          <t>국내영업2팀</t>
        </is>
      </c>
      <c r="D28" t="inlineStr">
        <is>
          <t>C10022</t>
        </is>
      </c>
      <c r="E28" t="inlineStr">
        <is>
          <t>라온테크(주)</t>
        </is>
      </c>
      <c r="F28" t="inlineStr">
        <is>
          <t>ABS</t>
        </is>
      </c>
      <c r="G28" t="inlineStr">
        <is>
          <t>M-2101</t>
        </is>
      </c>
      <c r="H28" t="inlineStr">
        <is>
          <t>ABS 범용 G300</t>
        </is>
      </c>
      <c r="I28" s="43" t="n">
        <v>45671</v>
      </c>
      <c r="J28" t="n">
        <v>202501</v>
      </c>
      <c r="K28" s="44" t="n">
        <v>3825</v>
      </c>
      <c r="L28" t="inlineStr">
        <is>
          <t>KG</t>
        </is>
      </c>
      <c r="M28" s="44" t="n">
        <v>10187426</v>
      </c>
      <c r="N28" s="44" t="n">
        <v>713120</v>
      </c>
      <c r="O28" t="n">
        <v>0</v>
      </c>
      <c r="P28" s="44" t="n">
        <v>9474306</v>
      </c>
      <c r="Q28" t="inlineStr">
        <is>
          <t>KRW</t>
        </is>
      </c>
      <c r="R28" t="inlineStr">
        <is>
          <t>INV2501-00027</t>
        </is>
      </c>
      <c r="S28" t="inlineStr">
        <is>
          <t>※예시데이터</t>
        </is>
      </c>
    </row>
    <row r="29">
      <c r="A29" t="n">
        <v>1000</v>
      </c>
      <c r="B29" t="inlineStr">
        <is>
          <t>범용수지사업부</t>
        </is>
      </c>
      <c r="C29" t="inlineStr">
        <is>
          <t>국내영업1팀</t>
        </is>
      </c>
      <c r="D29" t="inlineStr">
        <is>
          <t>C10001</t>
        </is>
      </c>
      <c r="E29" t="inlineStr">
        <is>
          <t>가온소재(주)</t>
        </is>
      </c>
      <c r="F29" t="inlineStr">
        <is>
          <t>PE</t>
        </is>
      </c>
      <c r="G29" t="inlineStr">
        <is>
          <t>M-1202</t>
        </is>
      </c>
      <c r="H29" t="inlineStr">
        <is>
          <t>LLDPE 필름 F120</t>
        </is>
      </c>
      <c r="I29" s="43" t="n">
        <v>45672</v>
      </c>
      <c r="J29" t="n">
        <v>202501</v>
      </c>
      <c r="K29" s="44" t="n">
        <v>3150</v>
      </c>
      <c r="L29" t="inlineStr">
        <is>
          <t>KG</t>
        </is>
      </c>
      <c r="M29" s="44" t="n">
        <v>5413696</v>
      </c>
      <c r="N29" s="44" t="n">
        <v>324822</v>
      </c>
      <c r="O29" t="n">
        <v>0</v>
      </c>
      <c r="P29" s="44" t="n">
        <v>5088874</v>
      </c>
      <c r="Q29" t="inlineStr">
        <is>
          <t>KRW</t>
        </is>
      </c>
      <c r="R29" t="inlineStr">
        <is>
          <t>INV2501-00028</t>
        </is>
      </c>
      <c r="S29" t="inlineStr">
        <is>
          <t>※예시데이터</t>
        </is>
      </c>
    </row>
    <row r="30">
      <c r="A30" t="n">
        <v>1000</v>
      </c>
      <c r="B30" t="inlineStr">
        <is>
          <t>EP사업부</t>
        </is>
      </c>
      <c r="C30" t="inlineStr">
        <is>
          <t>국내영업2팀</t>
        </is>
      </c>
      <c r="D30" t="inlineStr">
        <is>
          <t>C10099</t>
        </is>
      </c>
      <c r="E30" t="inlineStr">
        <is>
          <t>한울몰드</t>
        </is>
      </c>
      <c r="F30" t="inlineStr">
        <is>
          <t>ABS</t>
        </is>
      </c>
      <c r="G30" t="inlineStr">
        <is>
          <t>M-2101</t>
        </is>
      </c>
      <c r="H30" t="inlineStr">
        <is>
          <t>ABS 범용 G300</t>
        </is>
      </c>
      <c r="I30" s="43" t="n">
        <v>45672</v>
      </c>
      <c r="J30" t="n">
        <v>202501</v>
      </c>
      <c r="K30" s="44" t="n">
        <v>2025</v>
      </c>
      <c r="L30" t="inlineStr">
        <is>
          <t>KG</t>
        </is>
      </c>
      <c r="M30" s="44" t="n">
        <v>5393343</v>
      </c>
      <c r="N30" s="44" t="n">
        <v>323601</v>
      </c>
      <c r="O30" t="n">
        <v>0</v>
      </c>
      <c r="P30" s="44" t="n">
        <v>5069742</v>
      </c>
      <c r="Q30" t="inlineStr">
        <is>
          <t>KRW</t>
        </is>
      </c>
      <c r="R30" t="inlineStr">
        <is>
          <t>INV2501-00029</t>
        </is>
      </c>
      <c r="S30" t="inlineStr">
        <is>
          <t>※예시데이터</t>
        </is>
      </c>
    </row>
    <row r="31">
      <c r="A31" t="n">
        <v>1000</v>
      </c>
      <c r="B31" t="inlineStr">
        <is>
          <t>범용수지사업부</t>
        </is>
      </c>
      <c r="C31" t="inlineStr">
        <is>
          <t>국내영업1팀</t>
        </is>
      </c>
      <c r="D31" t="inlineStr">
        <is>
          <t>C10043</t>
        </is>
      </c>
      <c r="E31" t="inlineStr">
        <is>
          <t>새봄플라스틱</t>
        </is>
      </c>
      <c r="F31" t="inlineStr">
        <is>
          <t>PP</t>
        </is>
      </c>
      <c r="G31" t="inlineStr">
        <is>
          <t>M-1103</t>
        </is>
      </c>
      <c r="H31" t="inlineStr">
        <is>
          <t>PP 투명 R330</t>
        </is>
      </c>
      <c r="I31" s="43" t="n">
        <v>45674</v>
      </c>
      <c r="J31" t="n">
        <v>202501</v>
      </c>
      <c r="K31" s="44" t="n">
        <v>4625</v>
      </c>
      <c r="L31" t="inlineStr">
        <is>
          <t>KG</t>
        </is>
      </c>
      <c r="M31" s="44" t="n">
        <v>9017801</v>
      </c>
      <c r="N31" s="44" t="n">
        <v>541068</v>
      </c>
      <c r="O31" t="n">
        <v>0</v>
      </c>
      <c r="P31" s="44" t="n">
        <v>8476733</v>
      </c>
      <c r="Q31" t="inlineStr">
        <is>
          <t>KRW</t>
        </is>
      </c>
      <c r="R31" t="inlineStr">
        <is>
          <t>INV2501-00030</t>
        </is>
      </c>
      <c r="S31" t="inlineStr">
        <is>
          <t>※예시데이터</t>
        </is>
      </c>
    </row>
    <row r="32">
      <c r="A32" t="n">
        <v>1000</v>
      </c>
      <c r="B32" t="inlineStr">
        <is>
          <t>범용수지사업부</t>
        </is>
      </c>
      <c r="C32" t="inlineStr">
        <is>
          <t>국내영업1팀</t>
        </is>
      </c>
      <c r="D32" t="inlineStr">
        <is>
          <t>C10008</t>
        </is>
      </c>
      <c r="E32" t="inlineStr">
        <is>
          <t>나래산업(주)</t>
        </is>
      </c>
      <c r="F32" t="inlineStr">
        <is>
          <t>PP</t>
        </is>
      </c>
      <c r="G32" t="inlineStr">
        <is>
          <t>M-1101</t>
        </is>
      </c>
      <c r="H32" t="inlineStr">
        <is>
          <t>PP 범용사출 H110</t>
        </is>
      </c>
      <c r="I32" s="43" t="n">
        <v>45676</v>
      </c>
      <c r="J32" t="n">
        <v>202501</v>
      </c>
      <c r="K32" s="44" t="n">
        <v>12225</v>
      </c>
      <c r="L32" t="inlineStr">
        <is>
          <t>KG</t>
        </is>
      </c>
      <c r="M32" s="44" t="n">
        <v>20273091</v>
      </c>
      <c r="N32" s="44" t="n">
        <v>1621847</v>
      </c>
      <c r="O32" s="44" t="n">
        <v>202731</v>
      </c>
      <c r="P32" s="44" t="n">
        <v>18448513</v>
      </c>
      <c r="Q32" t="inlineStr">
        <is>
          <t>KRW</t>
        </is>
      </c>
      <c r="R32" t="inlineStr">
        <is>
          <t>INV2501-00031</t>
        </is>
      </c>
      <c r="S32" t="inlineStr">
        <is>
          <t>※예시데이터</t>
        </is>
      </c>
    </row>
    <row r="33">
      <c r="A33" t="n">
        <v>1000</v>
      </c>
      <c r="B33" t="inlineStr">
        <is>
          <t>EP사업부</t>
        </is>
      </c>
      <c r="C33" t="inlineStr">
        <is>
          <t>국내영업2팀</t>
        </is>
      </c>
      <c r="D33" t="inlineStr">
        <is>
          <t>C10099</t>
        </is>
      </c>
      <c r="E33" t="inlineStr">
        <is>
          <t>한울몰드</t>
        </is>
      </c>
      <c r="F33" t="inlineStr">
        <is>
          <t>ABS</t>
        </is>
      </c>
      <c r="G33" t="inlineStr">
        <is>
          <t>M-2102</t>
        </is>
      </c>
      <c r="H33" t="inlineStr">
        <is>
          <t>ABS 내열 HR500</t>
        </is>
      </c>
      <c r="I33" s="43" t="n">
        <v>45676</v>
      </c>
      <c r="J33" t="n">
        <v>202501</v>
      </c>
      <c r="K33" s="44" t="n">
        <v>3050</v>
      </c>
      <c r="L33" t="inlineStr">
        <is>
          <t>KG</t>
        </is>
      </c>
      <c r="M33" s="44" t="n">
        <v>9134889</v>
      </c>
      <c r="N33" s="44" t="n">
        <v>548093</v>
      </c>
      <c r="O33" t="n">
        <v>0</v>
      </c>
      <c r="P33" s="44" t="n">
        <v>8586796</v>
      </c>
      <c r="Q33" t="inlineStr">
        <is>
          <t>KRW</t>
        </is>
      </c>
      <c r="R33" t="inlineStr">
        <is>
          <t>INV2501-00032</t>
        </is>
      </c>
      <c r="S33" t="inlineStr">
        <is>
          <t>※예시데이터</t>
        </is>
      </c>
    </row>
    <row r="34">
      <c r="A34" t="n">
        <v>1000</v>
      </c>
      <c r="B34" t="inlineStr">
        <is>
          <t>범용수지사업부</t>
        </is>
      </c>
      <c r="C34" t="inlineStr">
        <is>
          <t>국내영업2팀</t>
        </is>
      </c>
      <c r="D34" t="inlineStr">
        <is>
          <t>C10127</t>
        </is>
      </c>
      <c r="E34" t="inlineStr">
        <is>
          <t>미르패키징</t>
        </is>
      </c>
      <c r="F34" t="inlineStr">
        <is>
          <t>PE</t>
        </is>
      </c>
      <c r="G34" t="inlineStr">
        <is>
          <t>M-1201</t>
        </is>
      </c>
      <c r="H34" t="inlineStr">
        <is>
          <t>HDPE 블로우 B500</t>
        </is>
      </c>
      <c r="I34" s="43" t="n">
        <v>45676</v>
      </c>
      <c r="J34" t="n">
        <v>202501</v>
      </c>
      <c r="K34" s="44" t="n">
        <v>4450</v>
      </c>
      <c r="L34" t="inlineStr">
        <is>
          <t>KG</t>
        </is>
      </c>
      <c r="M34" s="44" t="n">
        <v>7066498</v>
      </c>
      <c r="N34" s="44" t="n">
        <v>635985</v>
      </c>
      <c r="O34" t="n">
        <v>0</v>
      </c>
      <c r="P34" s="44" t="n">
        <v>6430513</v>
      </c>
      <c r="Q34" t="inlineStr">
        <is>
          <t>KRW</t>
        </is>
      </c>
      <c r="R34" t="inlineStr">
        <is>
          <t>INV2501-00033</t>
        </is>
      </c>
      <c r="S34" t="inlineStr">
        <is>
          <t>※예시데이터</t>
        </is>
      </c>
    </row>
    <row r="35">
      <c r="A35" t="n">
        <v>1000</v>
      </c>
      <c r="B35" t="inlineStr">
        <is>
          <t>범용수지사업부</t>
        </is>
      </c>
      <c r="C35" t="inlineStr">
        <is>
          <t>국내영업1팀</t>
        </is>
      </c>
      <c r="D35" t="inlineStr">
        <is>
          <t>C10008</t>
        </is>
      </c>
      <c r="E35" t="inlineStr">
        <is>
          <t>나래산업(주)</t>
        </is>
      </c>
      <c r="F35" t="inlineStr">
        <is>
          <t>PP</t>
        </is>
      </c>
      <c r="G35" t="inlineStr">
        <is>
          <t>M-1101</t>
        </is>
      </c>
      <c r="H35" t="inlineStr">
        <is>
          <t>PP 범용사출 H110</t>
        </is>
      </c>
      <c r="I35" s="43" t="n">
        <v>45677</v>
      </c>
      <c r="J35" t="n">
        <v>202501</v>
      </c>
      <c r="K35" s="44" t="n">
        <v>12225</v>
      </c>
      <c r="L35" t="inlineStr">
        <is>
          <t>KG</t>
        </is>
      </c>
      <c r="M35" s="44" t="n">
        <v>20273091</v>
      </c>
      <c r="N35" s="44" t="n">
        <v>1621847</v>
      </c>
      <c r="O35" s="44" t="n">
        <v>202731</v>
      </c>
      <c r="P35" s="44" t="n">
        <v>18448513</v>
      </c>
      <c r="Q35" t="inlineStr">
        <is>
          <t>KRW</t>
        </is>
      </c>
      <c r="R35" t="inlineStr">
        <is>
          <t>INV2501-00034</t>
        </is>
      </c>
      <c r="S35" t="inlineStr">
        <is>
          <t>※예시데이터</t>
        </is>
      </c>
    </row>
    <row r="36">
      <c r="A36" t="n">
        <v>1000</v>
      </c>
      <c r="B36" t="inlineStr">
        <is>
          <t>EP사업부</t>
        </is>
      </c>
      <c r="C36" t="inlineStr">
        <is>
          <t>국내영업1팀</t>
        </is>
      </c>
      <c r="D36" t="inlineStr">
        <is>
          <t>C10029</t>
        </is>
      </c>
      <c r="E36" t="inlineStr">
        <is>
          <t>마루정밀</t>
        </is>
      </c>
      <c r="F36" t="inlineStr">
        <is>
          <t>PC</t>
        </is>
      </c>
      <c r="G36" t="inlineStr">
        <is>
          <t>M-2201</t>
        </is>
      </c>
      <c r="H36" t="inlineStr">
        <is>
          <t>PC 일반 C100</t>
        </is>
      </c>
      <c r="I36" s="43" t="n">
        <v>45677</v>
      </c>
      <c r="J36" t="n">
        <v>202501</v>
      </c>
      <c r="K36" s="44" t="n">
        <v>3975</v>
      </c>
      <c r="L36" t="inlineStr">
        <is>
          <t>KG</t>
        </is>
      </c>
      <c r="M36" s="44" t="n">
        <v>15580769</v>
      </c>
      <c r="N36" s="44" t="n">
        <v>623231</v>
      </c>
      <c r="O36" t="n">
        <v>0</v>
      </c>
      <c r="P36" s="44" t="n">
        <v>14957538</v>
      </c>
      <c r="Q36" t="inlineStr">
        <is>
          <t>KRW</t>
        </is>
      </c>
      <c r="R36" t="inlineStr">
        <is>
          <t>INV2501-00035</t>
        </is>
      </c>
      <c r="S36" t="inlineStr">
        <is>
          <t>※예시데이터</t>
        </is>
      </c>
    </row>
    <row r="37">
      <c r="A37" t="n">
        <v>1000</v>
      </c>
      <c r="B37" t="inlineStr">
        <is>
          <t>범용수지사업부</t>
        </is>
      </c>
      <c r="C37" t="inlineStr">
        <is>
          <t>국내영업2팀</t>
        </is>
      </c>
      <c r="D37" t="inlineStr">
        <is>
          <t>C10050</t>
        </is>
      </c>
      <c r="E37" t="inlineStr">
        <is>
          <t>아름화학(주)</t>
        </is>
      </c>
      <c r="F37" t="inlineStr">
        <is>
          <t>PE</t>
        </is>
      </c>
      <c r="G37" t="inlineStr">
        <is>
          <t>M-1201</t>
        </is>
      </c>
      <c r="H37" t="inlineStr">
        <is>
          <t>HDPE 블로우 B500</t>
        </is>
      </c>
      <c r="I37" s="43" t="n">
        <v>45678</v>
      </c>
      <c r="J37" t="n">
        <v>202501</v>
      </c>
      <c r="K37" s="44" t="n">
        <v>12150</v>
      </c>
      <c r="L37" t="inlineStr">
        <is>
          <t>KG</t>
        </is>
      </c>
      <c r="M37" s="44" t="n">
        <v>19293922</v>
      </c>
      <c r="N37" s="44" t="n">
        <v>1929392</v>
      </c>
      <c r="O37" s="44" t="n">
        <v>192939</v>
      </c>
      <c r="P37" s="44" t="n">
        <v>17171591</v>
      </c>
      <c r="Q37" t="inlineStr">
        <is>
          <t>KRW</t>
        </is>
      </c>
      <c r="R37" t="inlineStr">
        <is>
          <t>INV2501-00036</t>
        </is>
      </c>
      <c r="S37" t="inlineStr">
        <is>
          <t>※예시데이터</t>
        </is>
      </c>
    </row>
    <row r="38">
      <c r="A38" t="n">
        <v>1000</v>
      </c>
      <c r="B38" t="inlineStr">
        <is>
          <t>EP사업부</t>
        </is>
      </c>
      <c r="C38" t="inlineStr">
        <is>
          <t>국내영업1팀</t>
        </is>
      </c>
      <c r="D38" t="inlineStr">
        <is>
          <t>C10134</t>
        </is>
      </c>
      <c r="E38" t="inlineStr">
        <is>
          <t>별하전자(주)</t>
        </is>
      </c>
      <c r="F38" t="inlineStr">
        <is>
          <t>PC</t>
        </is>
      </c>
      <c r="G38" t="inlineStr">
        <is>
          <t>M-2202</t>
        </is>
      </c>
      <c r="H38" t="inlineStr">
        <is>
          <t>PC 난연 FR200</t>
        </is>
      </c>
      <c r="I38" s="43" t="n">
        <v>45678</v>
      </c>
      <c r="J38" t="n">
        <v>202501</v>
      </c>
      <c r="K38" t="n">
        <v>800</v>
      </c>
      <c r="L38" t="inlineStr">
        <is>
          <t>KG</t>
        </is>
      </c>
      <c r="M38" s="44" t="n">
        <v>3497570</v>
      </c>
      <c r="N38" s="44" t="n">
        <v>104927</v>
      </c>
      <c r="O38" t="n">
        <v>0</v>
      </c>
      <c r="P38" s="44" t="n">
        <v>3392643</v>
      </c>
      <c r="Q38" t="inlineStr">
        <is>
          <t>KRW</t>
        </is>
      </c>
      <c r="R38" t="inlineStr">
        <is>
          <t>INV2501-00037</t>
        </is>
      </c>
      <c r="S38" t="inlineStr">
        <is>
          <t>※예시데이터</t>
        </is>
      </c>
    </row>
    <row r="39">
      <c r="A39" t="n">
        <v>1000</v>
      </c>
      <c r="B39" t="inlineStr">
        <is>
          <t>범용수지사업부</t>
        </is>
      </c>
      <c r="C39" t="inlineStr">
        <is>
          <t>국내영업2팀</t>
        </is>
      </c>
      <c r="D39" t="inlineStr">
        <is>
          <t>C10036</t>
        </is>
      </c>
      <c r="E39" t="inlineStr">
        <is>
          <t>바른물산</t>
        </is>
      </c>
      <c r="F39" t="inlineStr">
        <is>
          <t>PE</t>
        </is>
      </c>
      <c r="G39" t="inlineStr">
        <is>
          <t>M-1201</t>
        </is>
      </c>
      <c r="H39" t="inlineStr">
        <is>
          <t>HDPE 블로우 B500</t>
        </is>
      </c>
      <c r="I39" s="43" t="n">
        <v>45679</v>
      </c>
      <c r="J39" t="n">
        <v>202501</v>
      </c>
      <c r="K39" s="44" t="n">
        <v>8600</v>
      </c>
      <c r="L39" t="inlineStr">
        <is>
          <t>KG</t>
        </is>
      </c>
      <c r="M39" s="44" t="n">
        <v>13656603</v>
      </c>
      <c r="N39" s="44" t="n">
        <v>1229094</v>
      </c>
      <c r="O39" s="44" t="n">
        <v>273132</v>
      </c>
      <c r="P39" s="44" t="n">
        <v>12154377</v>
      </c>
      <c r="Q39" t="inlineStr">
        <is>
          <t>KRW</t>
        </is>
      </c>
      <c r="R39" t="inlineStr">
        <is>
          <t>INV2501-00038</t>
        </is>
      </c>
      <c r="S39" t="inlineStr">
        <is>
          <t>※예시데이터</t>
        </is>
      </c>
    </row>
    <row r="40">
      <c r="A40" t="n">
        <v>1000</v>
      </c>
      <c r="B40" t="inlineStr">
        <is>
          <t>범용수지사업부</t>
        </is>
      </c>
      <c r="C40" t="inlineStr">
        <is>
          <t>국내영업1팀</t>
        </is>
      </c>
      <c r="D40" t="inlineStr">
        <is>
          <t>C10001</t>
        </is>
      </c>
      <c r="E40" t="inlineStr">
        <is>
          <t>가온소재(주)</t>
        </is>
      </c>
      <c r="F40" t="inlineStr">
        <is>
          <t>PP</t>
        </is>
      </c>
      <c r="G40" t="inlineStr">
        <is>
          <t>M-1103</t>
        </is>
      </c>
      <c r="H40" t="inlineStr">
        <is>
          <t>PP 투명 R330</t>
        </is>
      </c>
      <c r="I40" s="43" t="n">
        <v>45680</v>
      </c>
      <c r="J40" t="n">
        <v>202501</v>
      </c>
      <c r="K40" s="44" t="n">
        <v>2575</v>
      </c>
      <c r="L40" t="inlineStr">
        <is>
          <t>KG</t>
        </is>
      </c>
      <c r="M40" s="44" t="n">
        <v>5020721</v>
      </c>
      <c r="N40" s="44" t="n">
        <v>301243</v>
      </c>
      <c r="O40" t="n">
        <v>0</v>
      </c>
      <c r="P40" s="44" t="n">
        <v>4719478</v>
      </c>
      <c r="Q40" t="inlineStr">
        <is>
          <t>KRW</t>
        </is>
      </c>
      <c r="R40" t="inlineStr">
        <is>
          <t>INV2501-00039</t>
        </is>
      </c>
      <c r="S40" t="inlineStr">
        <is>
          <t>※예시데이터</t>
        </is>
      </c>
    </row>
    <row r="41">
      <c r="A41" t="n">
        <v>1000</v>
      </c>
      <c r="B41" t="inlineStr">
        <is>
          <t>EP사업부</t>
        </is>
      </c>
      <c r="C41" t="inlineStr">
        <is>
          <t>국내영업2팀</t>
        </is>
      </c>
      <c r="D41" t="inlineStr">
        <is>
          <t>C10022</t>
        </is>
      </c>
      <c r="E41" t="inlineStr">
        <is>
          <t>라온테크(주)</t>
        </is>
      </c>
      <c r="F41" t="inlineStr">
        <is>
          <t>ABS</t>
        </is>
      </c>
      <c r="G41" t="inlineStr">
        <is>
          <t>M-2102</t>
        </is>
      </c>
      <c r="H41" t="inlineStr">
        <is>
          <t>ABS 내열 HR500</t>
        </is>
      </c>
      <c r="I41" s="43" t="n">
        <v>45680</v>
      </c>
      <c r="J41" t="n">
        <v>202501</v>
      </c>
      <c r="K41" s="44" t="n">
        <v>9825</v>
      </c>
      <c r="L41" t="inlineStr">
        <is>
          <t>KG</t>
        </is>
      </c>
      <c r="M41" s="44" t="n">
        <v>29426322</v>
      </c>
      <c r="N41" s="44" t="n">
        <v>2059843</v>
      </c>
      <c r="O41" t="n">
        <v>0</v>
      </c>
      <c r="P41" s="44" t="n">
        <v>27366479</v>
      </c>
      <c r="Q41" t="inlineStr">
        <is>
          <t>KRW</t>
        </is>
      </c>
      <c r="R41" t="inlineStr">
        <is>
          <t>INV2501-00040</t>
        </is>
      </c>
      <c r="S41" t="inlineStr">
        <is>
          <t>※예시데이터</t>
        </is>
      </c>
    </row>
    <row r="42">
      <c r="A42" t="n">
        <v>1000</v>
      </c>
      <c r="B42" t="inlineStr">
        <is>
          <t>범용수지사업부</t>
        </is>
      </c>
      <c r="C42" t="inlineStr">
        <is>
          <t>국내영업2팀</t>
        </is>
      </c>
      <c r="D42" t="inlineStr">
        <is>
          <t>C10050</t>
        </is>
      </c>
      <c r="E42" t="inlineStr">
        <is>
          <t>아름화학(주)</t>
        </is>
      </c>
      <c r="F42" t="inlineStr">
        <is>
          <t>PP</t>
        </is>
      </c>
      <c r="G42" t="inlineStr">
        <is>
          <t>M-1103</t>
        </is>
      </c>
      <c r="H42" t="inlineStr">
        <is>
          <t>PP 투명 R330</t>
        </is>
      </c>
      <c r="I42" s="43" t="n">
        <v>45680</v>
      </c>
      <c r="J42" t="n">
        <v>202501</v>
      </c>
      <c r="K42" s="44" t="n">
        <v>11625</v>
      </c>
      <c r="L42" t="inlineStr">
        <is>
          <t>KG</t>
        </is>
      </c>
      <c r="M42" s="44" t="n">
        <v>22666364</v>
      </c>
      <c r="N42" s="44" t="n">
        <v>2266636</v>
      </c>
      <c r="O42" s="44" t="n">
        <v>226664</v>
      </c>
      <c r="P42" s="44" t="n">
        <v>20173064</v>
      </c>
      <c r="Q42" t="inlineStr">
        <is>
          <t>KRW</t>
        </is>
      </c>
      <c r="R42" t="inlineStr">
        <is>
          <t>INV2501-00041</t>
        </is>
      </c>
      <c r="S42" t="inlineStr">
        <is>
          <t>※예시데이터</t>
        </is>
      </c>
    </row>
    <row r="43">
      <c r="A43" t="n">
        <v>1000</v>
      </c>
      <c r="B43" t="inlineStr">
        <is>
          <t>범용수지사업부</t>
        </is>
      </c>
      <c r="C43" t="inlineStr">
        <is>
          <t>국내영업2팀</t>
        </is>
      </c>
      <c r="D43" t="inlineStr">
        <is>
          <t>C10099</t>
        </is>
      </c>
      <c r="E43" t="inlineStr">
        <is>
          <t>한울몰드</t>
        </is>
      </c>
      <c r="F43" t="inlineStr">
        <is>
          <t>PP</t>
        </is>
      </c>
      <c r="G43" t="inlineStr">
        <is>
          <t>M-1101</t>
        </is>
      </c>
      <c r="H43" t="inlineStr">
        <is>
          <t>PP 범용사출 H110</t>
        </is>
      </c>
      <c r="I43" s="43" t="n">
        <v>45680</v>
      </c>
      <c r="J43" t="n">
        <v>202501</v>
      </c>
      <c r="K43" s="44" t="n">
        <v>1950</v>
      </c>
      <c r="L43" t="inlineStr">
        <is>
          <t>KG</t>
        </is>
      </c>
      <c r="M43" s="44" t="n">
        <v>3233745</v>
      </c>
      <c r="N43" s="44" t="n">
        <v>194025</v>
      </c>
      <c r="O43" t="n">
        <v>0</v>
      </c>
      <c r="P43" s="44" t="n">
        <v>3039720</v>
      </c>
      <c r="Q43" t="inlineStr">
        <is>
          <t>KRW</t>
        </is>
      </c>
      <c r="R43" t="inlineStr">
        <is>
          <t>INV2501-00042</t>
        </is>
      </c>
      <c r="S43" t="inlineStr">
        <is>
          <t>※예시데이터</t>
        </is>
      </c>
    </row>
    <row r="44">
      <c r="A44" t="n">
        <v>1000</v>
      </c>
      <c r="B44" t="inlineStr">
        <is>
          <t>범용수지사업부</t>
        </is>
      </c>
      <c r="C44" t="inlineStr">
        <is>
          <t>해외영업팀</t>
        </is>
      </c>
      <c r="D44" t="inlineStr">
        <is>
          <t>C10071</t>
        </is>
      </c>
      <c r="E44" t="inlineStr">
        <is>
          <t>큰별코리아</t>
        </is>
      </c>
      <c r="F44" t="inlineStr">
        <is>
          <t>PE</t>
        </is>
      </c>
      <c r="G44" t="inlineStr">
        <is>
          <t>M-1201</t>
        </is>
      </c>
      <c r="H44" t="inlineStr">
        <is>
          <t>HDPE 블로우 B500</t>
        </is>
      </c>
      <c r="I44" s="43" t="n">
        <v>45681</v>
      </c>
      <c r="J44" t="n">
        <v>202501</v>
      </c>
      <c r="K44" s="44" t="n">
        <v>8000</v>
      </c>
      <c r="L44" t="inlineStr">
        <is>
          <t>KG</t>
        </is>
      </c>
      <c r="M44" s="44" t="n">
        <v>12703817</v>
      </c>
      <c r="N44" s="44" t="n">
        <v>1397420</v>
      </c>
      <c r="O44" s="44" t="n">
        <v>254076</v>
      </c>
      <c r="P44" s="44" t="n">
        <v>11052321</v>
      </c>
      <c r="Q44" t="inlineStr">
        <is>
          <t>KRW</t>
        </is>
      </c>
      <c r="R44" t="inlineStr">
        <is>
          <t>INV2501-00043</t>
        </is>
      </c>
      <c r="S44" t="inlineStr">
        <is>
          <t>※예시데이터</t>
        </is>
      </c>
    </row>
    <row r="45">
      <c r="A45" t="n">
        <v>1000</v>
      </c>
      <c r="B45" t="inlineStr">
        <is>
          <t>EP사업부</t>
        </is>
      </c>
      <c r="C45" t="inlineStr">
        <is>
          <t>국내영업2팀</t>
        </is>
      </c>
      <c r="D45" t="inlineStr">
        <is>
          <t>C10113</t>
        </is>
      </c>
      <c r="E45" t="inlineStr">
        <is>
          <t>누리오토파츠</t>
        </is>
      </c>
      <c r="F45" t="inlineStr">
        <is>
          <t>ABS</t>
        </is>
      </c>
      <c r="G45" t="inlineStr">
        <is>
          <t>M-2101</t>
        </is>
      </c>
      <c r="H45" t="inlineStr">
        <is>
          <t>ABS 범용 G300</t>
        </is>
      </c>
      <c r="I45" s="43" t="n">
        <v>45681</v>
      </c>
      <c r="J45" t="n">
        <v>202501</v>
      </c>
      <c r="K45" s="44" t="n">
        <v>3550</v>
      </c>
      <c r="L45" t="inlineStr">
        <is>
          <t>KG</t>
        </is>
      </c>
      <c r="M45" s="44" t="n">
        <v>9454997</v>
      </c>
      <c r="N45" s="44" t="n">
        <v>661850</v>
      </c>
      <c r="O45" s="44" t="n">
        <v>94550</v>
      </c>
      <c r="P45" s="44" t="n">
        <v>8698597</v>
      </c>
      <c r="Q45" t="inlineStr">
        <is>
          <t>KRW</t>
        </is>
      </c>
      <c r="R45" t="inlineStr">
        <is>
          <t>INV2501-00044</t>
        </is>
      </c>
      <c r="S45" t="inlineStr">
        <is>
          <t>※예시데이터</t>
        </is>
      </c>
    </row>
    <row r="46">
      <c r="A46" t="n">
        <v>1000</v>
      </c>
      <c r="B46" t="inlineStr">
        <is>
          <t>범용수지사업부</t>
        </is>
      </c>
      <c r="C46" t="inlineStr">
        <is>
          <t>국내영업2팀</t>
        </is>
      </c>
      <c r="D46" t="inlineStr">
        <is>
          <t>C10064</t>
        </is>
      </c>
      <c r="E46" t="inlineStr">
        <is>
          <t>차오름산업</t>
        </is>
      </c>
      <c r="F46" t="inlineStr">
        <is>
          <t>PP</t>
        </is>
      </c>
      <c r="G46" t="inlineStr">
        <is>
          <t>M-1102</t>
        </is>
      </c>
      <c r="H46" t="inlineStr">
        <is>
          <t>PP 고강성 H220</t>
        </is>
      </c>
      <c r="I46" s="43" t="n">
        <v>45682</v>
      </c>
      <c r="J46" t="n">
        <v>202501</v>
      </c>
      <c r="K46" s="44" t="n">
        <v>6200</v>
      </c>
      <c r="L46" t="inlineStr">
        <is>
          <t>KG</t>
        </is>
      </c>
      <c r="M46" s="44" t="n">
        <v>11340971</v>
      </c>
      <c r="N46" s="44" t="n">
        <v>793868</v>
      </c>
      <c r="O46" t="n">
        <v>0</v>
      </c>
      <c r="P46" s="44" t="n">
        <v>10547103</v>
      </c>
      <c r="Q46" t="inlineStr">
        <is>
          <t>KRW</t>
        </is>
      </c>
      <c r="R46" t="inlineStr">
        <is>
          <t>INV2501-00045</t>
        </is>
      </c>
      <c r="S46" t="inlineStr">
        <is>
          <t>※예시데이터</t>
        </is>
      </c>
    </row>
    <row r="47">
      <c r="A47" t="n">
        <v>1000</v>
      </c>
      <c r="B47" t="inlineStr">
        <is>
          <t>범용수지사업부</t>
        </is>
      </c>
      <c r="C47" t="inlineStr">
        <is>
          <t>해외영업팀</t>
        </is>
      </c>
      <c r="D47" t="inlineStr">
        <is>
          <t>C10141</t>
        </is>
      </c>
      <c r="E47" t="inlineStr">
        <is>
          <t>Sinar Plastik (ID)</t>
        </is>
      </c>
      <c r="F47" t="inlineStr">
        <is>
          <t>PP</t>
        </is>
      </c>
      <c r="G47" t="inlineStr">
        <is>
          <t>M-1103</t>
        </is>
      </c>
      <c r="H47" t="inlineStr">
        <is>
          <t>PP 투명 R330</t>
        </is>
      </c>
      <c r="I47" s="43" t="n">
        <v>45682</v>
      </c>
      <c r="J47" t="n">
        <v>202501</v>
      </c>
      <c r="K47" s="44" t="n">
        <v>8875</v>
      </c>
      <c r="L47" t="inlineStr">
        <is>
          <t>KG</t>
        </is>
      </c>
      <c r="M47" s="44" t="n">
        <v>17304428</v>
      </c>
      <c r="N47" s="44" t="n">
        <v>2076531</v>
      </c>
      <c r="O47" t="n">
        <v>0</v>
      </c>
      <c r="P47" s="44" t="n">
        <v>15227897</v>
      </c>
      <c r="Q47" t="inlineStr">
        <is>
          <t>KRW</t>
        </is>
      </c>
      <c r="R47" t="inlineStr">
        <is>
          <t>INV2501-00046</t>
        </is>
      </c>
      <c r="S47" t="inlineStr">
        <is>
          <t>※예시데이터</t>
        </is>
      </c>
    </row>
    <row r="48">
      <c r="A48" t="n">
        <v>1000</v>
      </c>
      <c r="B48" t="inlineStr">
        <is>
          <t>범용수지사업부</t>
        </is>
      </c>
      <c r="C48" t="inlineStr">
        <is>
          <t>국내영업1팀</t>
        </is>
      </c>
      <c r="D48" t="inlineStr">
        <is>
          <t>C10001</t>
        </is>
      </c>
      <c r="E48" t="inlineStr">
        <is>
          <t>가온소재(주)</t>
        </is>
      </c>
      <c r="F48" t="inlineStr">
        <is>
          <t>PP</t>
        </is>
      </c>
      <c r="G48" t="inlineStr">
        <is>
          <t>M-1102</t>
        </is>
      </c>
      <c r="H48" t="inlineStr">
        <is>
          <t>PP 고강성 H220</t>
        </is>
      </c>
      <c r="I48" s="43" t="n">
        <v>45689</v>
      </c>
      <c r="J48" t="n">
        <v>202502</v>
      </c>
      <c r="K48" s="44" t="n">
        <v>1875</v>
      </c>
      <c r="L48" t="inlineStr">
        <is>
          <t>KG</t>
        </is>
      </c>
      <c r="M48" s="44" t="n">
        <v>3431118</v>
      </c>
      <c r="N48" s="44" t="n">
        <v>205867</v>
      </c>
      <c r="O48" t="n">
        <v>0</v>
      </c>
      <c r="P48" s="44" t="n">
        <v>3225251</v>
      </c>
      <c r="Q48" t="inlineStr">
        <is>
          <t>KRW</t>
        </is>
      </c>
      <c r="R48" t="inlineStr">
        <is>
          <t>INV2502-00047</t>
        </is>
      </c>
      <c r="S48" t="inlineStr">
        <is>
          <t>※예시데이터</t>
        </is>
      </c>
    </row>
    <row r="49">
      <c r="A49" t="n">
        <v>1000</v>
      </c>
      <c r="B49" t="inlineStr">
        <is>
          <t>EP사업부</t>
        </is>
      </c>
      <c r="C49" t="inlineStr">
        <is>
          <t>국내영업1팀</t>
        </is>
      </c>
      <c r="D49" t="inlineStr">
        <is>
          <t>C10057</t>
        </is>
      </c>
      <c r="E49" t="inlineStr">
        <is>
          <t>자연엠텍</t>
        </is>
      </c>
      <c r="F49" t="inlineStr">
        <is>
          <t>PC</t>
        </is>
      </c>
      <c r="G49" t="inlineStr">
        <is>
          <t>M-2201</t>
        </is>
      </c>
      <c r="H49" t="inlineStr">
        <is>
          <t>PC 일반 C100</t>
        </is>
      </c>
      <c r="I49" s="43" t="n">
        <v>45689</v>
      </c>
      <c r="J49" t="n">
        <v>202502</v>
      </c>
      <c r="K49" s="44" t="n">
        <v>3250</v>
      </c>
      <c r="L49" t="inlineStr">
        <is>
          <t>KG</t>
        </is>
      </c>
      <c r="M49" s="44" t="n">
        <v>12744152</v>
      </c>
      <c r="N49" s="44" t="n">
        <v>637208</v>
      </c>
      <c r="O49" t="n">
        <v>0</v>
      </c>
      <c r="P49" s="44" t="n">
        <v>12106944</v>
      </c>
      <c r="Q49" t="inlineStr">
        <is>
          <t>KRW</t>
        </is>
      </c>
      <c r="R49" t="inlineStr">
        <is>
          <t>INV2502-00048</t>
        </is>
      </c>
      <c r="S49" t="inlineStr">
        <is>
          <t>※예시데이터</t>
        </is>
      </c>
    </row>
    <row r="50">
      <c r="A50" t="n">
        <v>1000</v>
      </c>
      <c r="B50" t="inlineStr">
        <is>
          <t>EP사업부</t>
        </is>
      </c>
      <c r="C50" t="inlineStr">
        <is>
          <t>국내영업2팀</t>
        </is>
      </c>
      <c r="D50" t="inlineStr">
        <is>
          <t>C10085</t>
        </is>
      </c>
      <c r="E50" t="inlineStr">
        <is>
          <t>파란하이텍</t>
        </is>
      </c>
      <c r="F50" t="inlineStr">
        <is>
          <t>PC</t>
        </is>
      </c>
      <c r="G50" t="inlineStr">
        <is>
          <t>M-2202</t>
        </is>
      </c>
      <c r="H50" t="inlineStr">
        <is>
          <t>PC 난연 FR200</t>
        </is>
      </c>
      <c r="I50" s="43" t="n">
        <v>45691</v>
      </c>
      <c r="J50" t="n">
        <v>202502</v>
      </c>
      <c r="K50" s="44" t="n">
        <v>3400</v>
      </c>
      <c r="L50" t="inlineStr">
        <is>
          <t>KG</t>
        </is>
      </c>
      <c r="M50" s="44" t="n">
        <v>14870691</v>
      </c>
      <c r="N50" s="44" t="n">
        <v>892241</v>
      </c>
      <c r="O50" t="n">
        <v>0</v>
      </c>
      <c r="P50" s="44" t="n">
        <v>13978450</v>
      </c>
      <c r="Q50" t="inlineStr">
        <is>
          <t>KRW</t>
        </is>
      </c>
      <c r="R50" t="inlineStr">
        <is>
          <t>INV2502-00049</t>
        </is>
      </c>
      <c r="S50" t="inlineStr">
        <is>
          <t>※예시데이터</t>
        </is>
      </c>
    </row>
    <row r="51">
      <c r="A51" t="n">
        <v>1000</v>
      </c>
      <c r="B51" t="inlineStr">
        <is>
          <t>EP사업부</t>
        </is>
      </c>
      <c r="C51" t="inlineStr">
        <is>
          <t>국내영업2팀</t>
        </is>
      </c>
      <c r="D51" t="inlineStr">
        <is>
          <t>C10022</t>
        </is>
      </c>
      <c r="E51" t="inlineStr">
        <is>
          <t>라온테크(주)</t>
        </is>
      </c>
      <c r="F51" t="inlineStr">
        <is>
          <t>ABS</t>
        </is>
      </c>
      <c r="G51" t="inlineStr">
        <is>
          <t>M-2101</t>
        </is>
      </c>
      <c r="H51" t="inlineStr">
        <is>
          <t>ABS 범용 G300</t>
        </is>
      </c>
      <c r="I51" s="43" t="n">
        <v>45692</v>
      </c>
      <c r="J51" t="n">
        <v>202502</v>
      </c>
      <c r="K51" s="44" t="n">
        <v>2975</v>
      </c>
      <c r="L51" t="inlineStr">
        <is>
          <t>KG</t>
        </is>
      </c>
      <c r="M51" s="44" t="n">
        <v>7926762</v>
      </c>
      <c r="N51" s="44" t="n">
        <v>554873</v>
      </c>
      <c r="O51" t="n">
        <v>0</v>
      </c>
      <c r="P51" s="44" t="n">
        <v>7371889</v>
      </c>
      <c r="Q51" t="inlineStr">
        <is>
          <t>KRW</t>
        </is>
      </c>
      <c r="R51" t="inlineStr">
        <is>
          <t>INV2502-00050</t>
        </is>
      </c>
      <c r="S51" t="inlineStr">
        <is>
          <t>※예시데이터</t>
        </is>
      </c>
    </row>
    <row r="52">
      <c r="A52" t="n">
        <v>1000</v>
      </c>
      <c r="B52" t="inlineStr">
        <is>
          <t>EP사업부</t>
        </is>
      </c>
      <c r="C52" t="inlineStr">
        <is>
          <t>국내영업1팀</t>
        </is>
      </c>
      <c r="D52" t="inlineStr">
        <is>
          <t>C10134</t>
        </is>
      </c>
      <c r="E52" t="inlineStr">
        <is>
          <t>별하전자(주)</t>
        </is>
      </c>
      <c r="F52" t="inlineStr">
        <is>
          <t>PC</t>
        </is>
      </c>
      <c r="G52" t="inlineStr">
        <is>
          <t>M-2202</t>
        </is>
      </c>
      <c r="H52" t="inlineStr">
        <is>
          <t>PC 난연 FR200</t>
        </is>
      </c>
      <c r="I52" s="43" t="n">
        <v>45692</v>
      </c>
      <c r="J52" t="n">
        <v>202502</v>
      </c>
      <c r="K52" t="n">
        <v>925</v>
      </c>
      <c r="L52" t="inlineStr">
        <is>
          <t>KG</t>
        </is>
      </c>
      <c r="M52" s="44" t="n">
        <v>4045703</v>
      </c>
      <c r="N52" s="44" t="n">
        <v>121371</v>
      </c>
      <c r="O52" t="n">
        <v>0</v>
      </c>
      <c r="P52" s="44" t="n">
        <v>3924332</v>
      </c>
      <c r="Q52" t="inlineStr">
        <is>
          <t>KRW</t>
        </is>
      </c>
      <c r="R52" t="inlineStr">
        <is>
          <t>INV2502-00051</t>
        </is>
      </c>
      <c r="S52" t="inlineStr">
        <is>
          <t>※예시데이터</t>
        </is>
      </c>
    </row>
    <row r="53">
      <c r="A53" t="n">
        <v>1000</v>
      </c>
      <c r="B53" t="inlineStr">
        <is>
          <t>EP사업부</t>
        </is>
      </c>
      <c r="C53" t="inlineStr">
        <is>
          <t>국내영업2팀</t>
        </is>
      </c>
      <c r="D53" t="inlineStr">
        <is>
          <t>C10022</t>
        </is>
      </c>
      <c r="E53" t="inlineStr">
        <is>
          <t>라온테크(주)</t>
        </is>
      </c>
      <c r="F53" t="inlineStr">
        <is>
          <t>ABS</t>
        </is>
      </c>
      <c r="G53" t="inlineStr">
        <is>
          <t>M-2102</t>
        </is>
      </c>
      <c r="H53" t="inlineStr">
        <is>
          <t>ABS 내열 HR500</t>
        </is>
      </c>
      <c r="I53" s="43" t="n">
        <v>45693</v>
      </c>
      <c r="J53" t="n">
        <v>202502</v>
      </c>
      <c r="K53" s="44" t="n">
        <v>3225</v>
      </c>
      <c r="L53" t="inlineStr">
        <is>
          <t>KG</t>
        </is>
      </c>
      <c r="M53" s="44" t="n">
        <v>9662933</v>
      </c>
      <c r="N53" s="44" t="n">
        <v>676405</v>
      </c>
      <c r="O53" t="n">
        <v>0</v>
      </c>
      <c r="P53" s="44" t="n">
        <v>8986528</v>
      </c>
      <c r="Q53" t="inlineStr">
        <is>
          <t>KRW</t>
        </is>
      </c>
      <c r="R53" t="inlineStr">
        <is>
          <t>INV2502-00052</t>
        </is>
      </c>
      <c r="S53" t="inlineStr">
        <is>
          <t>※예시데이터</t>
        </is>
      </c>
    </row>
    <row r="54">
      <c r="A54" t="n">
        <v>1000</v>
      </c>
      <c r="B54" t="inlineStr">
        <is>
          <t>EP사업부</t>
        </is>
      </c>
      <c r="C54" t="inlineStr">
        <is>
          <t>국내영업2팀</t>
        </is>
      </c>
      <c r="D54" t="inlineStr">
        <is>
          <t>C10022</t>
        </is>
      </c>
      <c r="E54" t="inlineStr">
        <is>
          <t>라온테크(주)</t>
        </is>
      </c>
      <c r="F54" t="inlineStr">
        <is>
          <t>ABS</t>
        </is>
      </c>
      <c r="G54" t="inlineStr">
        <is>
          <t>M-2102</t>
        </is>
      </c>
      <c r="H54" t="inlineStr">
        <is>
          <t>ABS 내열 HR500</t>
        </is>
      </c>
      <c r="I54" s="43" t="n">
        <v>45694</v>
      </c>
      <c r="J54" t="n">
        <v>202502</v>
      </c>
      <c r="K54" s="44" t="n">
        <v>3225</v>
      </c>
      <c r="L54" t="inlineStr">
        <is>
          <t>KG</t>
        </is>
      </c>
      <c r="M54" s="44" t="n">
        <v>9662933</v>
      </c>
      <c r="N54" s="44" t="n">
        <v>676405</v>
      </c>
      <c r="O54" t="n">
        <v>0</v>
      </c>
      <c r="P54" s="44" t="n">
        <v>8986528</v>
      </c>
      <c r="Q54" t="inlineStr">
        <is>
          <t>KRW</t>
        </is>
      </c>
      <c r="R54" t="inlineStr">
        <is>
          <t>INV2502-00053</t>
        </is>
      </c>
      <c r="S54" t="inlineStr">
        <is>
          <t>※예시데이터</t>
        </is>
      </c>
    </row>
    <row r="55">
      <c r="A55" t="n">
        <v>1000</v>
      </c>
      <c r="B55" t="inlineStr">
        <is>
          <t>EP사업부</t>
        </is>
      </c>
      <c r="C55" t="inlineStr">
        <is>
          <t>국내영업1팀</t>
        </is>
      </c>
      <c r="D55" t="inlineStr">
        <is>
          <t>C10043</t>
        </is>
      </c>
      <c r="E55" t="inlineStr">
        <is>
          <t>새봄플라스틱</t>
        </is>
      </c>
      <c r="F55" t="inlineStr">
        <is>
          <t>ABS</t>
        </is>
      </c>
      <c r="G55" t="inlineStr">
        <is>
          <t>M-2101</t>
        </is>
      </c>
      <c r="H55" t="inlineStr">
        <is>
          <t>ABS 범용 G300</t>
        </is>
      </c>
      <c r="I55" s="43" t="n">
        <v>45694</v>
      </c>
      <c r="J55" t="n">
        <v>202502</v>
      </c>
      <c r="K55" s="44" t="n">
        <v>3100</v>
      </c>
      <c r="L55" t="inlineStr">
        <is>
          <t>KG</t>
        </is>
      </c>
      <c r="M55" s="44" t="n">
        <v>8259819</v>
      </c>
      <c r="N55" s="44" t="n">
        <v>495589</v>
      </c>
      <c r="O55" t="n">
        <v>0</v>
      </c>
      <c r="P55" s="44" t="n">
        <v>7764230</v>
      </c>
      <c r="Q55" t="inlineStr">
        <is>
          <t>KRW</t>
        </is>
      </c>
      <c r="R55" t="inlineStr">
        <is>
          <t>INV2502-00054</t>
        </is>
      </c>
      <c r="S55" t="inlineStr">
        <is>
          <t>※예시데이터</t>
        </is>
      </c>
    </row>
    <row r="56">
      <c r="A56" t="n">
        <v>1000</v>
      </c>
      <c r="B56" t="inlineStr">
        <is>
          <t>범용수지사업부</t>
        </is>
      </c>
      <c r="C56" t="inlineStr">
        <is>
          <t>국내영업2팀</t>
        </is>
      </c>
      <c r="D56" t="inlineStr">
        <is>
          <t>C10064</t>
        </is>
      </c>
      <c r="E56" t="inlineStr">
        <is>
          <t>차오름산업</t>
        </is>
      </c>
      <c r="F56" t="inlineStr">
        <is>
          <t>PP</t>
        </is>
      </c>
      <c r="G56" t="inlineStr">
        <is>
          <t>M-1102</t>
        </is>
      </c>
      <c r="H56" t="inlineStr">
        <is>
          <t>PP 고강성 H220</t>
        </is>
      </c>
      <c r="I56" s="43" t="n">
        <v>45694</v>
      </c>
      <c r="J56" t="n">
        <v>202502</v>
      </c>
      <c r="K56" s="44" t="n">
        <v>3250</v>
      </c>
      <c r="L56" t="inlineStr">
        <is>
          <t>KG</t>
        </is>
      </c>
      <c r="M56" s="44" t="n">
        <v>5947271</v>
      </c>
      <c r="N56" s="44" t="n">
        <v>416309</v>
      </c>
      <c r="O56" t="n">
        <v>0</v>
      </c>
      <c r="P56" s="44" t="n">
        <v>5530962</v>
      </c>
      <c r="Q56" t="inlineStr">
        <is>
          <t>KRW</t>
        </is>
      </c>
      <c r="R56" t="inlineStr">
        <is>
          <t>INV2502-00055</t>
        </is>
      </c>
      <c r="S56" t="inlineStr">
        <is>
          <t>※예시데이터</t>
        </is>
      </c>
    </row>
    <row r="57">
      <c r="A57" t="n">
        <v>1000</v>
      </c>
      <c r="B57" t="inlineStr">
        <is>
          <t>범용수지사업부</t>
        </is>
      </c>
      <c r="C57" t="inlineStr">
        <is>
          <t>국내영업2팀</t>
        </is>
      </c>
      <c r="D57" t="inlineStr">
        <is>
          <t>C10127</t>
        </is>
      </c>
      <c r="E57" t="inlineStr">
        <is>
          <t>미르패키징</t>
        </is>
      </c>
      <c r="F57" t="inlineStr">
        <is>
          <t>PE</t>
        </is>
      </c>
      <c r="G57" t="inlineStr">
        <is>
          <t>M-1202</t>
        </is>
      </c>
      <c r="H57" t="inlineStr">
        <is>
          <t>LLDPE 필름 F120</t>
        </is>
      </c>
      <c r="I57" s="43" t="n">
        <v>45694</v>
      </c>
      <c r="J57" t="n">
        <v>202502</v>
      </c>
      <c r="K57" s="44" t="n">
        <v>4400</v>
      </c>
      <c r="L57" t="inlineStr">
        <is>
          <t>KG</t>
        </is>
      </c>
      <c r="M57" s="44" t="n">
        <v>7565049</v>
      </c>
      <c r="N57" s="44" t="n">
        <v>680854</v>
      </c>
      <c r="O57" t="n">
        <v>0</v>
      </c>
      <c r="P57" s="44" t="n">
        <v>6884195</v>
      </c>
      <c r="Q57" t="inlineStr">
        <is>
          <t>KRW</t>
        </is>
      </c>
      <c r="R57" t="inlineStr">
        <is>
          <t>INV2502-00056</t>
        </is>
      </c>
      <c r="S57" t="inlineStr">
        <is>
          <t>※예시데이터</t>
        </is>
      </c>
    </row>
    <row r="58">
      <c r="A58" t="n">
        <v>1000</v>
      </c>
      <c r="B58" t="inlineStr">
        <is>
          <t>범용수지사업부</t>
        </is>
      </c>
      <c r="C58" t="inlineStr">
        <is>
          <t>국내영업2팀</t>
        </is>
      </c>
      <c r="D58" t="inlineStr">
        <is>
          <t>C10099</t>
        </is>
      </c>
      <c r="E58" t="inlineStr">
        <is>
          <t>한울몰드</t>
        </is>
      </c>
      <c r="F58" t="inlineStr">
        <is>
          <t>PP</t>
        </is>
      </c>
      <c r="G58" t="inlineStr">
        <is>
          <t>M-1101</t>
        </is>
      </c>
      <c r="H58" t="inlineStr">
        <is>
          <t>PP 범용사출 H110</t>
        </is>
      </c>
      <c r="I58" s="43" t="n">
        <v>45695</v>
      </c>
      <c r="J58" t="n">
        <v>202502</v>
      </c>
      <c r="K58" s="44" t="n">
        <v>1175</v>
      </c>
      <c r="L58" t="inlineStr">
        <is>
          <t>KG</t>
        </is>
      </c>
      <c r="M58" s="44" t="n">
        <v>1949327</v>
      </c>
      <c r="N58" s="44" t="n">
        <v>116960</v>
      </c>
      <c r="O58" t="n">
        <v>0</v>
      </c>
      <c r="P58" s="44" t="n">
        <v>1832367</v>
      </c>
      <c r="Q58" t="inlineStr">
        <is>
          <t>KRW</t>
        </is>
      </c>
      <c r="R58" t="inlineStr">
        <is>
          <t>INV2502-00057</t>
        </is>
      </c>
      <c r="S58" t="inlineStr">
        <is>
          <t>※예시데이터</t>
        </is>
      </c>
    </row>
    <row r="59">
      <c r="A59" t="n">
        <v>1000</v>
      </c>
      <c r="B59" t="inlineStr">
        <is>
          <t>EP사업부</t>
        </is>
      </c>
      <c r="C59" t="inlineStr">
        <is>
          <t>국내영업2팀</t>
        </is>
      </c>
      <c r="D59" t="inlineStr">
        <is>
          <t>C10099</t>
        </is>
      </c>
      <c r="E59" t="inlineStr">
        <is>
          <t>한울몰드</t>
        </is>
      </c>
      <c r="F59" t="inlineStr">
        <is>
          <t>ABS</t>
        </is>
      </c>
      <c r="G59" t="inlineStr">
        <is>
          <t>M-2101</t>
        </is>
      </c>
      <c r="H59" t="inlineStr">
        <is>
          <t>ABS 범용 G300</t>
        </is>
      </c>
      <c r="I59" s="43" t="n">
        <v>45695</v>
      </c>
      <c r="J59" t="n">
        <v>202502</v>
      </c>
      <c r="K59" s="44" t="n">
        <v>3350</v>
      </c>
      <c r="L59" t="inlineStr">
        <is>
          <t>KG</t>
        </is>
      </c>
      <c r="M59" s="44" t="n">
        <v>8925934</v>
      </c>
      <c r="N59" s="44" t="n">
        <v>535556</v>
      </c>
      <c r="O59" t="n">
        <v>0</v>
      </c>
      <c r="P59" s="44" t="n">
        <v>8390378</v>
      </c>
      <c r="Q59" t="inlineStr">
        <is>
          <t>KRW</t>
        </is>
      </c>
      <c r="R59" t="inlineStr">
        <is>
          <t>INV2502-00058</t>
        </is>
      </c>
      <c r="S59" t="inlineStr">
        <is>
          <t>※예시데이터</t>
        </is>
      </c>
    </row>
    <row r="60">
      <c r="A60" t="n">
        <v>1000</v>
      </c>
      <c r="B60" t="inlineStr">
        <is>
          <t>범용수지사업부</t>
        </is>
      </c>
      <c r="C60" t="inlineStr">
        <is>
          <t>해외영업팀</t>
        </is>
      </c>
      <c r="D60" t="inlineStr">
        <is>
          <t>C10071</t>
        </is>
      </c>
      <c r="E60" t="inlineStr">
        <is>
          <t>큰별코리아</t>
        </is>
      </c>
      <c r="F60" t="inlineStr">
        <is>
          <t>PE</t>
        </is>
      </c>
      <c r="G60" t="inlineStr">
        <is>
          <t>M-1201</t>
        </is>
      </c>
      <c r="H60" t="inlineStr">
        <is>
          <t>HDPE 블로우 B500</t>
        </is>
      </c>
      <c r="I60" s="43" t="n">
        <v>45696</v>
      </c>
      <c r="J60" t="n">
        <v>202502</v>
      </c>
      <c r="K60" s="44" t="n">
        <v>7100</v>
      </c>
      <c r="L60" t="inlineStr">
        <is>
          <t>KG</t>
        </is>
      </c>
      <c r="M60" s="44" t="n">
        <v>11279203</v>
      </c>
      <c r="N60" s="44" t="n">
        <v>1240712</v>
      </c>
      <c r="O60" s="44" t="n">
        <v>225584</v>
      </c>
      <c r="P60" s="44" t="n">
        <v>9812907</v>
      </c>
      <c r="Q60" t="inlineStr">
        <is>
          <t>KRW</t>
        </is>
      </c>
      <c r="R60" t="inlineStr">
        <is>
          <t>INV2502-00059</t>
        </is>
      </c>
      <c r="S60" t="inlineStr">
        <is>
          <t>※예시데이터</t>
        </is>
      </c>
    </row>
    <row r="61">
      <c r="A61" t="n">
        <v>1000</v>
      </c>
      <c r="B61" t="inlineStr">
        <is>
          <t>EP사업부</t>
        </is>
      </c>
      <c r="C61" t="inlineStr">
        <is>
          <t>국내영업2팀</t>
        </is>
      </c>
      <c r="D61" t="inlineStr">
        <is>
          <t>C10085</t>
        </is>
      </c>
      <c r="E61" t="inlineStr">
        <is>
          <t>파란하이텍</t>
        </is>
      </c>
      <c r="F61" t="inlineStr">
        <is>
          <t>PC</t>
        </is>
      </c>
      <c r="G61" t="inlineStr">
        <is>
          <t>M-2201</t>
        </is>
      </c>
      <c r="H61" t="inlineStr">
        <is>
          <t>PC 일반 C100</t>
        </is>
      </c>
      <c r="I61" s="43" t="n">
        <v>45696</v>
      </c>
      <c r="J61" t="n">
        <v>202502</v>
      </c>
      <c r="K61" s="44" t="n">
        <v>1825</v>
      </c>
      <c r="L61" t="inlineStr">
        <is>
          <t>KG</t>
        </is>
      </c>
      <c r="M61" s="44" t="n">
        <v>7156332</v>
      </c>
      <c r="N61" s="44" t="n">
        <v>429380</v>
      </c>
      <c r="O61" t="n">
        <v>0</v>
      </c>
      <c r="P61" s="44" t="n">
        <v>6726952</v>
      </c>
      <c r="Q61" t="inlineStr">
        <is>
          <t>KRW</t>
        </is>
      </c>
      <c r="R61" t="inlineStr">
        <is>
          <t>INV2502-00060</t>
        </is>
      </c>
      <c r="S61" t="inlineStr">
        <is>
          <t>※예시데이터</t>
        </is>
      </c>
    </row>
    <row r="62">
      <c r="A62" t="n">
        <v>1000</v>
      </c>
      <c r="B62" t="inlineStr">
        <is>
          <t>범용수지사업부</t>
        </is>
      </c>
      <c r="C62" t="inlineStr">
        <is>
          <t>해외영업팀</t>
        </is>
      </c>
      <c r="D62" t="inlineStr">
        <is>
          <t>C10141</t>
        </is>
      </c>
      <c r="E62" t="inlineStr">
        <is>
          <t>Sinar Plastik (ID)</t>
        </is>
      </c>
      <c r="F62" t="inlineStr">
        <is>
          <t>PP</t>
        </is>
      </c>
      <c r="G62" t="inlineStr">
        <is>
          <t>M-1103</t>
        </is>
      </c>
      <c r="H62" t="inlineStr">
        <is>
          <t>PP 투명 R330</t>
        </is>
      </c>
      <c r="I62" s="43" t="n">
        <v>45696</v>
      </c>
      <c r="J62" t="n">
        <v>202502</v>
      </c>
      <c r="K62" s="44" t="n">
        <v>19575</v>
      </c>
      <c r="L62" t="inlineStr">
        <is>
          <t>KG</t>
        </is>
      </c>
      <c r="M62" s="44" t="n">
        <v>38182686</v>
      </c>
      <c r="N62" s="44" t="n">
        <v>4581922</v>
      </c>
      <c r="O62" t="n">
        <v>0</v>
      </c>
      <c r="P62" s="44" t="n">
        <v>33600764</v>
      </c>
      <c r="Q62" t="inlineStr">
        <is>
          <t>KRW</t>
        </is>
      </c>
      <c r="R62" t="inlineStr">
        <is>
          <t>INV2502-00061</t>
        </is>
      </c>
      <c r="S62" t="inlineStr">
        <is>
          <t>※예시데이터</t>
        </is>
      </c>
    </row>
    <row r="63">
      <c r="A63" t="n">
        <v>1000</v>
      </c>
      <c r="B63" t="inlineStr">
        <is>
          <t>EP사업부</t>
        </is>
      </c>
      <c r="C63" t="inlineStr">
        <is>
          <t>국내영업2팀</t>
        </is>
      </c>
      <c r="D63" t="inlineStr">
        <is>
          <t>C10015</t>
        </is>
      </c>
      <c r="E63" t="inlineStr">
        <is>
          <t>다솜케미칼</t>
        </is>
      </c>
      <c r="F63" t="inlineStr">
        <is>
          <t>PC</t>
        </is>
      </c>
      <c r="G63" t="inlineStr">
        <is>
          <t>M-2202</t>
        </is>
      </c>
      <c r="H63" t="inlineStr">
        <is>
          <t>PC 난연 FR200</t>
        </is>
      </c>
      <c r="I63" s="43" t="n">
        <v>45697</v>
      </c>
      <c r="J63" t="n">
        <v>202502</v>
      </c>
      <c r="K63" s="44" t="n">
        <v>1425</v>
      </c>
      <c r="L63" t="inlineStr">
        <is>
          <t>KG</t>
        </is>
      </c>
      <c r="M63" s="44" t="n">
        <v>6232569</v>
      </c>
      <c r="N63" s="44" t="n">
        <v>311628</v>
      </c>
      <c r="O63" t="n">
        <v>0</v>
      </c>
      <c r="P63" s="44" t="n">
        <v>5920941</v>
      </c>
      <c r="Q63" t="inlineStr">
        <is>
          <t>KRW</t>
        </is>
      </c>
      <c r="R63" t="inlineStr">
        <is>
          <t>INV2502-00062</t>
        </is>
      </c>
      <c r="S63" t="inlineStr">
        <is>
          <t>※예시데이터</t>
        </is>
      </c>
    </row>
    <row r="64">
      <c r="A64" t="n">
        <v>1000</v>
      </c>
      <c r="B64" t="inlineStr">
        <is>
          <t>범용수지사업부</t>
        </is>
      </c>
      <c r="C64" t="inlineStr">
        <is>
          <t>국내영업1팀</t>
        </is>
      </c>
      <c r="D64" t="inlineStr">
        <is>
          <t>C10001</t>
        </is>
      </c>
      <c r="E64" t="inlineStr">
        <is>
          <t>가온소재(주)</t>
        </is>
      </c>
      <c r="F64" t="inlineStr">
        <is>
          <t>PE</t>
        </is>
      </c>
      <c r="G64" t="inlineStr">
        <is>
          <t>M-1201</t>
        </is>
      </c>
      <c r="H64" t="inlineStr">
        <is>
          <t>HDPE 블로우 B500</t>
        </is>
      </c>
      <c r="I64" s="43" t="n">
        <v>45699</v>
      </c>
      <c r="J64" t="n">
        <v>202502</v>
      </c>
      <c r="K64" s="44" t="n">
        <v>5100</v>
      </c>
      <c r="L64" t="inlineStr">
        <is>
          <t>KG</t>
        </is>
      </c>
      <c r="M64" s="44" t="n">
        <v>8101963</v>
      </c>
      <c r="N64" s="44" t="n">
        <v>486118</v>
      </c>
      <c r="O64" t="n">
        <v>0</v>
      </c>
      <c r="P64" s="44" t="n">
        <v>7615845</v>
      </c>
      <c r="Q64" t="inlineStr">
        <is>
          <t>KRW</t>
        </is>
      </c>
      <c r="R64" t="inlineStr">
        <is>
          <t>INV2502-00063</t>
        </is>
      </c>
      <c r="S64" t="inlineStr">
        <is>
          <t>※예시데이터</t>
        </is>
      </c>
    </row>
    <row r="65">
      <c r="A65" t="n">
        <v>1000</v>
      </c>
      <c r="B65" t="inlineStr">
        <is>
          <t>범용수지사업부</t>
        </is>
      </c>
      <c r="C65" t="inlineStr">
        <is>
          <t>해외영업팀</t>
        </is>
      </c>
      <c r="D65" t="inlineStr">
        <is>
          <t>C10141</t>
        </is>
      </c>
      <c r="E65" t="inlineStr">
        <is>
          <t>Sinar Plastik (ID)</t>
        </is>
      </c>
      <c r="F65" t="inlineStr">
        <is>
          <t>PP</t>
        </is>
      </c>
      <c r="G65" t="inlineStr">
        <is>
          <t>M-1102</t>
        </is>
      </c>
      <c r="H65" t="inlineStr">
        <is>
          <t>PP 고강성 H220</t>
        </is>
      </c>
      <c r="I65" s="43" t="n">
        <v>45699</v>
      </c>
      <c r="J65" t="n">
        <v>202502</v>
      </c>
      <c r="K65" s="44" t="n">
        <v>7375</v>
      </c>
      <c r="L65" t="inlineStr">
        <is>
          <t>KG</t>
        </is>
      </c>
      <c r="M65" s="44" t="n">
        <v>13495730</v>
      </c>
      <c r="N65" s="44" t="n">
        <v>1619488</v>
      </c>
      <c r="O65" t="n">
        <v>0</v>
      </c>
      <c r="P65" s="44" t="n">
        <v>11876242</v>
      </c>
      <c r="Q65" t="inlineStr">
        <is>
          <t>KRW</t>
        </is>
      </c>
      <c r="R65" t="inlineStr">
        <is>
          <t>INV2502-00064</t>
        </is>
      </c>
      <c r="S65" t="inlineStr">
        <is>
          <t>※예시데이터</t>
        </is>
      </c>
    </row>
    <row r="66">
      <c r="A66" t="n">
        <v>1000</v>
      </c>
      <c r="B66" t="inlineStr">
        <is>
          <t>범용수지사업부</t>
        </is>
      </c>
      <c r="C66" t="inlineStr">
        <is>
          <t>국내영업1팀</t>
        </is>
      </c>
      <c r="D66" t="inlineStr">
        <is>
          <t>C10001</t>
        </is>
      </c>
      <c r="E66" t="inlineStr">
        <is>
          <t>가온소재(주)</t>
        </is>
      </c>
      <c r="F66" t="inlineStr">
        <is>
          <t>PP</t>
        </is>
      </c>
      <c r="G66" t="inlineStr">
        <is>
          <t>M-1102</t>
        </is>
      </c>
      <c r="H66" t="inlineStr">
        <is>
          <t>PP 고강성 H220</t>
        </is>
      </c>
      <c r="I66" s="43" t="n">
        <v>45701</v>
      </c>
      <c r="J66" t="n">
        <v>202502</v>
      </c>
      <c r="K66" s="44" t="n">
        <v>1875</v>
      </c>
      <c r="L66" t="inlineStr">
        <is>
          <t>KG</t>
        </is>
      </c>
      <c r="M66" s="44" t="n">
        <v>3431118</v>
      </c>
      <c r="N66" s="44" t="n">
        <v>205867</v>
      </c>
      <c r="O66" t="n">
        <v>0</v>
      </c>
      <c r="P66" s="44" t="n">
        <v>3225251</v>
      </c>
      <c r="Q66" t="inlineStr">
        <is>
          <t>KRW</t>
        </is>
      </c>
      <c r="R66" t="inlineStr">
        <is>
          <t>INV2502-00065</t>
        </is>
      </c>
      <c r="S66" t="inlineStr">
        <is>
          <t>※예시데이터</t>
        </is>
      </c>
    </row>
    <row r="67">
      <c r="A67" t="n">
        <v>1000</v>
      </c>
      <c r="B67" t="inlineStr">
        <is>
          <t>EP사업부</t>
        </is>
      </c>
      <c r="C67" t="inlineStr">
        <is>
          <t>국내영업2팀</t>
        </is>
      </c>
      <c r="D67" t="inlineStr">
        <is>
          <t>C10085</t>
        </is>
      </c>
      <c r="E67" t="inlineStr">
        <is>
          <t>파란하이텍</t>
        </is>
      </c>
      <c r="F67" t="inlineStr">
        <is>
          <t>PC</t>
        </is>
      </c>
      <c r="G67" t="inlineStr">
        <is>
          <t>M-2201</t>
        </is>
      </c>
      <c r="H67" t="inlineStr">
        <is>
          <t>PC 일반 C100</t>
        </is>
      </c>
      <c r="I67" s="43" t="n">
        <v>45701</v>
      </c>
      <c r="J67" t="n">
        <v>202502</v>
      </c>
      <c r="K67" s="44" t="n">
        <v>1825</v>
      </c>
      <c r="L67" t="inlineStr">
        <is>
          <t>KG</t>
        </is>
      </c>
      <c r="M67" s="44" t="n">
        <v>7156332</v>
      </c>
      <c r="N67" s="44" t="n">
        <v>429380</v>
      </c>
      <c r="O67" t="n">
        <v>0</v>
      </c>
      <c r="P67" s="44" t="n">
        <v>6726952</v>
      </c>
      <c r="Q67" t="inlineStr">
        <is>
          <t>KRW</t>
        </is>
      </c>
      <c r="R67" t="inlineStr">
        <is>
          <t>INV2502-00066</t>
        </is>
      </c>
      <c r="S67" t="inlineStr">
        <is>
          <t>※예시데이터</t>
        </is>
      </c>
    </row>
    <row r="68">
      <c r="A68" t="n">
        <v>1000</v>
      </c>
      <c r="B68" t="inlineStr">
        <is>
          <t>범용수지사업부</t>
        </is>
      </c>
      <c r="C68" t="inlineStr">
        <is>
          <t>국내영업1팀</t>
        </is>
      </c>
      <c r="D68" t="inlineStr">
        <is>
          <t>C10106</t>
        </is>
      </c>
      <c r="E68" t="inlineStr">
        <is>
          <t>온새미사출</t>
        </is>
      </c>
      <c r="F68" t="inlineStr">
        <is>
          <t>PP</t>
        </is>
      </c>
      <c r="G68" t="inlineStr">
        <is>
          <t>M-1101</t>
        </is>
      </c>
      <c r="H68" t="inlineStr">
        <is>
          <t>PP 범용사출 H110</t>
        </is>
      </c>
      <c r="I68" s="43" t="n">
        <v>45701</v>
      </c>
      <c r="J68" t="n">
        <v>202502</v>
      </c>
      <c r="K68" s="44" t="n">
        <v>5875</v>
      </c>
      <c r="L68" t="inlineStr">
        <is>
          <t>KG</t>
        </is>
      </c>
      <c r="M68" s="44" t="n">
        <v>9746637</v>
      </c>
      <c r="N68" s="44" t="n">
        <v>487332</v>
      </c>
      <c r="O68" t="n">
        <v>0</v>
      </c>
      <c r="P68" s="44" t="n">
        <v>9259305</v>
      </c>
      <c r="Q68" t="inlineStr">
        <is>
          <t>KRW</t>
        </is>
      </c>
      <c r="R68" t="inlineStr">
        <is>
          <t>INV2502-00067</t>
        </is>
      </c>
      <c r="S68" t="inlineStr">
        <is>
          <t>※예시데이터</t>
        </is>
      </c>
    </row>
    <row r="69">
      <c r="A69" t="n">
        <v>1000</v>
      </c>
      <c r="B69" t="inlineStr">
        <is>
          <t>EP사업부</t>
        </is>
      </c>
      <c r="C69" t="inlineStr">
        <is>
          <t>국내영업2팀</t>
        </is>
      </c>
      <c r="D69" t="inlineStr">
        <is>
          <t>C10113</t>
        </is>
      </c>
      <c r="E69" t="inlineStr">
        <is>
          <t>누리오토파츠</t>
        </is>
      </c>
      <c r="F69" t="inlineStr">
        <is>
          <t>ABS</t>
        </is>
      </c>
      <c r="G69" t="inlineStr">
        <is>
          <t>M-2102</t>
        </is>
      </c>
      <c r="H69" t="inlineStr">
        <is>
          <t>ABS 내열 HR500</t>
        </is>
      </c>
      <c r="I69" s="43" t="n">
        <v>45701</v>
      </c>
      <c r="J69" t="n">
        <v>202502</v>
      </c>
      <c r="K69" s="44" t="n">
        <v>2725</v>
      </c>
      <c r="L69" t="inlineStr">
        <is>
          <t>KG</t>
        </is>
      </c>
      <c r="M69" s="44" t="n">
        <v>8164804</v>
      </c>
      <c r="N69" s="44" t="n">
        <v>571536</v>
      </c>
      <c r="O69" s="44" t="n">
        <v>81648</v>
      </c>
      <c r="P69" s="44" t="n">
        <v>7511620</v>
      </c>
      <c r="Q69" t="inlineStr">
        <is>
          <t>KRW</t>
        </is>
      </c>
      <c r="R69" t="inlineStr">
        <is>
          <t>INV2502-00068</t>
        </is>
      </c>
      <c r="S69" t="inlineStr">
        <is>
          <t>※예시데이터</t>
        </is>
      </c>
    </row>
    <row r="70">
      <c r="A70" t="n">
        <v>1000</v>
      </c>
      <c r="B70" t="inlineStr">
        <is>
          <t>범용수지사업부</t>
        </is>
      </c>
      <c r="C70" t="inlineStr">
        <is>
          <t>국내영업1팀</t>
        </is>
      </c>
      <c r="D70" t="inlineStr">
        <is>
          <t>C10001</t>
        </is>
      </c>
      <c r="E70" t="inlineStr">
        <is>
          <t>가온소재(주)</t>
        </is>
      </c>
      <c r="F70" t="inlineStr">
        <is>
          <t>PE</t>
        </is>
      </c>
      <c r="G70" t="inlineStr">
        <is>
          <t>M-1202</t>
        </is>
      </c>
      <c r="H70" t="inlineStr">
        <is>
          <t>LLDPE 필름 F120</t>
        </is>
      </c>
      <c r="I70" s="43" t="n">
        <v>45702</v>
      </c>
      <c r="J70" t="n">
        <v>202502</v>
      </c>
      <c r="K70" s="44" t="n">
        <v>6275</v>
      </c>
      <c r="L70" t="inlineStr">
        <is>
          <t>KG</t>
        </is>
      </c>
      <c r="M70" s="44" t="n">
        <v>10788792</v>
      </c>
      <c r="N70" s="44" t="n">
        <v>647328</v>
      </c>
      <c r="O70" t="n">
        <v>0</v>
      </c>
      <c r="P70" s="44" t="n">
        <v>10141464</v>
      </c>
      <c r="Q70" t="inlineStr">
        <is>
          <t>KRW</t>
        </is>
      </c>
      <c r="R70" t="inlineStr">
        <is>
          <t>INV2502-00069</t>
        </is>
      </c>
      <c r="S70" t="inlineStr">
        <is>
          <t>※예시데이터</t>
        </is>
      </c>
    </row>
    <row r="71">
      <c r="A71" t="n">
        <v>1000</v>
      </c>
      <c r="B71" t="inlineStr">
        <is>
          <t>범용수지사업부</t>
        </is>
      </c>
      <c r="C71" t="inlineStr">
        <is>
          <t>해외영업팀</t>
        </is>
      </c>
      <c r="D71" t="inlineStr">
        <is>
          <t>C10071</t>
        </is>
      </c>
      <c r="E71" t="inlineStr">
        <is>
          <t>큰별코리아</t>
        </is>
      </c>
      <c r="F71" t="inlineStr">
        <is>
          <t>PP</t>
        </is>
      </c>
      <c r="G71" t="inlineStr">
        <is>
          <t>M-1101</t>
        </is>
      </c>
      <c r="H71" t="inlineStr">
        <is>
          <t>PP 범용사출 H110</t>
        </is>
      </c>
      <c r="I71" s="43" t="n">
        <v>45702</v>
      </c>
      <c r="J71" t="n">
        <v>202502</v>
      </c>
      <c r="K71" s="44" t="n">
        <v>15075</v>
      </c>
      <c r="L71" t="inlineStr">
        <is>
          <t>KG</t>
        </is>
      </c>
      <c r="M71" s="44" t="n">
        <v>25009456</v>
      </c>
      <c r="N71" s="44" t="n">
        <v>2751040</v>
      </c>
      <c r="O71" s="44" t="n">
        <v>500189</v>
      </c>
      <c r="P71" s="44" t="n">
        <v>21758227</v>
      </c>
      <c r="Q71" t="inlineStr">
        <is>
          <t>KRW</t>
        </is>
      </c>
      <c r="R71" t="inlineStr">
        <is>
          <t>INV2502-00070</t>
        </is>
      </c>
      <c r="S71" t="inlineStr">
        <is>
          <t>※예시데이터</t>
        </is>
      </c>
    </row>
    <row r="72">
      <c r="A72" t="n">
        <v>1000</v>
      </c>
      <c r="B72" t="inlineStr">
        <is>
          <t>EP사업부</t>
        </is>
      </c>
      <c r="C72" t="inlineStr">
        <is>
          <t>국내영업1팀</t>
        </is>
      </c>
      <c r="D72" t="inlineStr">
        <is>
          <t>C10078</t>
        </is>
      </c>
      <c r="E72" t="inlineStr">
        <is>
          <t>토담정공(주)</t>
        </is>
      </c>
      <c r="F72" t="inlineStr">
        <is>
          <t>ABS</t>
        </is>
      </c>
      <c r="G72" t="inlineStr">
        <is>
          <t>M-2102</t>
        </is>
      </c>
      <c r="H72" t="inlineStr">
        <is>
          <t>ABS 내열 HR500</t>
        </is>
      </c>
      <c r="I72" s="43" t="n">
        <v>45703</v>
      </c>
      <c r="J72" t="n">
        <v>202502</v>
      </c>
      <c r="K72" s="44" t="n">
        <v>3600</v>
      </c>
      <c r="L72" t="inlineStr">
        <is>
          <t>KG</t>
        </is>
      </c>
      <c r="M72" s="44" t="n">
        <v>10786530</v>
      </c>
      <c r="N72" s="44" t="n">
        <v>323596</v>
      </c>
      <c r="O72" t="n">
        <v>0</v>
      </c>
      <c r="P72" s="44" t="n">
        <v>10462934</v>
      </c>
      <c r="Q72" t="inlineStr">
        <is>
          <t>KRW</t>
        </is>
      </c>
      <c r="R72" t="inlineStr">
        <is>
          <t>INV2502-00071</t>
        </is>
      </c>
      <c r="S72" t="inlineStr">
        <is>
          <t>※예시데이터</t>
        </is>
      </c>
    </row>
    <row r="73">
      <c r="A73" t="n">
        <v>1000</v>
      </c>
      <c r="B73" t="inlineStr">
        <is>
          <t>EP사업부</t>
        </is>
      </c>
      <c r="C73" t="inlineStr">
        <is>
          <t>국내영업2팀</t>
        </is>
      </c>
      <c r="D73" t="inlineStr">
        <is>
          <t>C10113</t>
        </is>
      </c>
      <c r="E73" t="inlineStr">
        <is>
          <t>누리오토파츠</t>
        </is>
      </c>
      <c r="F73" t="inlineStr">
        <is>
          <t>PC</t>
        </is>
      </c>
      <c r="G73" t="inlineStr">
        <is>
          <t>M-2202</t>
        </is>
      </c>
      <c r="H73" t="inlineStr">
        <is>
          <t>PC 난연 FR200</t>
        </is>
      </c>
      <c r="I73" s="43" t="n">
        <v>45703</v>
      </c>
      <c r="J73" t="n">
        <v>202502</v>
      </c>
      <c r="K73" s="44" t="n">
        <v>1650</v>
      </c>
      <c r="L73" t="inlineStr">
        <is>
          <t>KG</t>
        </is>
      </c>
      <c r="M73" s="44" t="n">
        <v>7216659</v>
      </c>
      <c r="N73" s="44" t="n">
        <v>505166</v>
      </c>
      <c r="O73" s="44" t="n">
        <v>72167</v>
      </c>
      <c r="P73" s="44" t="n">
        <v>6639326</v>
      </c>
      <c r="Q73" t="inlineStr">
        <is>
          <t>KRW</t>
        </is>
      </c>
      <c r="R73" t="inlineStr">
        <is>
          <t>INV2502-00072</t>
        </is>
      </c>
      <c r="S73" t="inlineStr">
        <is>
          <t>※예시데이터</t>
        </is>
      </c>
    </row>
    <row r="74">
      <c r="A74" t="n">
        <v>1000</v>
      </c>
      <c r="B74" t="inlineStr">
        <is>
          <t>EP사업부</t>
        </is>
      </c>
      <c r="C74" t="inlineStr">
        <is>
          <t>국내영업2팀</t>
        </is>
      </c>
      <c r="D74" t="inlineStr">
        <is>
          <t>C10022</t>
        </is>
      </c>
      <c r="E74" t="inlineStr">
        <is>
          <t>라온테크(주)</t>
        </is>
      </c>
      <c r="F74" t="inlineStr">
        <is>
          <t>ABS</t>
        </is>
      </c>
      <c r="G74" t="inlineStr">
        <is>
          <t>M-2101</t>
        </is>
      </c>
      <c r="H74" t="inlineStr">
        <is>
          <t>ABS 범용 G300</t>
        </is>
      </c>
      <c r="I74" s="43" t="n">
        <v>45704</v>
      </c>
      <c r="J74" t="n">
        <v>202502</v>
      </c>
      <c r="K74" s="44" t="n">
        <v>2975</v>
      </c>
      <c r="L74" t="inlineStr">
        <is>
          <t>KG</t>
        </is>
      </c>
      <c r="M74" s="44" t="n">
        <v>7926762</v>
      </c>
      <c r="N74" s="44" t="n">
        <v>554873</v>
      </c>
      <c r="O74" t="n">
        <v>0</v>
      </c>
      <c r="P74" s="44" t="n">
        <v>7371889</v>
      </c>
      <c r="Q74" t="inlineStr">
        <is>
          <t>KRW</t>
        </is>
      </c>
      <c r="R74" t="inlineStr">
        <is>
          <t>INV2502-00073</t>
        </is>
      </c>
      <c r="S74" t="inlineStr">
        <is>
          <t>※예시데이터</t>
        </is>
      </c>
    </row>
    <row r="75">
      <c r="A75" t="n">
        <v>1000</v>
      </c>
      <c r="B75" t="inlineStr">
        <is>
          <t>범용수지사업부</t>
        </is>
      </c>
      <c r="C75" t="inlineStr">
        <is>
          <t>해외영업팀</t>
        </is>
      </c>
      <c r="D75" t="inlineStr">
        <is>
          <t>C10141</t>
        </is>
      </c>
      <c r="E75" t="inlineStr">
        <is>
          <t>Sinar Plastik (ID)</t>
        </is>
      </c>
      <c r="F75" t="inlineStr">
        <is>
          <t>PP</t>
        </is>
      </c>
      <c r="G75" t="inlineStr">
        <is>
          <t>M-1102</t>
        </is>
      </c>
      <c r="H75" t="inlineStr">
        <is>
          <t>PP 고강성 H220</t>
        </is>
      </c>
      <c r="I75" s="43" t="n">
        <v>45704</v>
      </c>
      <c r="J75" t="n">
        <v>202502</v>
      </c>
      <c r="K75" s="44" t="n">
        <v>7375</v>
      </c>
      <c r="L75" t="inlineStr">
        <is>
          <t>KG</t>
        </is>
      </c>
      <c r="M75" s="44" t="n">
        <v>13495730</v>
      </c>
      <c r="N75" s="44" t="n">
        <v>1619488</v>
      </c>
      <c r="O75" t="n">
        <v>0</v>
      </c>
      <c r="P75" s="44" t="n">
        <v>11876242</v>
      </c>
      <c r="Q75" t="inlineStr">
        <is>
          <t>KRW</t>
        </is>
      </c>
      <c r="R75" t="inlineStr">
        <is>
          <t>INV2502-00074</t>
        </is>
      </c>
      <c r="S75" t="inlineStr">
        <is>
          <t>※예시데이터</t>
        </is>
      </c>
    </row>
    <row r="76">
      <c r="A76" t="n">
        <v>1000</v>
      </c>
      <c r="B76" t="inlineStr">
        <is>
          <t>범용수지사업부</t>
        </is>
      </c>
      <c r="C76" t="inlineStr">
        <is>
          <t>국내영업1팀</t>
        </is>
      </c>
      <c r="D76" t="inlineStr">
        <is>
          <t>C10043</t>
        </is>
      </c>
      <c r="E76" t="inlineStr">
        <is>
          <t>새봄플라스틱</t>
        </is>
      </c>
      <c r="F76" t="inlineStr">
        <is>
          <t>PP</t>
        </is>
      </c>
      <c r="G76" t="inlineStr">
        <is>
          <t>M-1103</t>
        </is>
      </c>
      <c r="H76" t="inlineStr">
        <is>
          <t>PP 투명 R330</t>
        </is>
      </c>
      <c r="I76" s="43" t="n">
        <v>45705</v>
      </c>
      <c r="J76" t="n">
        <v>202502</v>
      </c>
      <c r="K76" s="44" t="n">
        <v>1800</v>
      </c>
      <c r="L76" t="inlineStr">
        <is>
          <t>KG</t>
        </is>
      </c>
      <c r="M76" s="44" t="n">
        <v>3511052</v>
      </c>
      <c r="N76" s="44" t="n">
        <v>210663</v>
      </c>
      <c r="O76" t="n">
        <v>0</v>
      </c>
      <c r="P76" s="44" t="n">
        <v>3300389</v>
      </c>
      <c r="Q76" t="inlineStr">
        <is>
          <t>KRW</t>
        </is>
      </c>
      <c r="R76" t="inlineStr">
        <is>
          <t>INV2502-00075</t>
        </is>
      </c>
      <c r="S76" t="inlineStr">
        <is>
          <t>※예시데이터</t>
        </is>
      </c>
    </row>
    <row r="77">
      <c r="A77" t="n">
        <v>1000</v>
      </c>
      <c r="B77" t="inlineStr">
        <is>
          <t>EP사업부</t>
        </is>
      </c>
      <c r="C77" t="inlineStr">
        <is>
          <t>국내영업2팀</t>
        </is>
      </c>
      <c r="D77" t="inlineStr">
        <is>
          <t>C10113</t>
        </is>
      </c>
      <c r="E77" t="inlineStr">
        <is>
          <t>누리오토파츠</t>
        </is>
      </c>
      <c r="F77" t="inlineStr">
        <is>
          <t>ABS</t>
        </is>
      </c>
      <c r="G77" t="inlineStr">
        <is>
          <t>M-2101</t>
        </is>
      </c>
      <c r="H77" t="inlineStr">
        <is>
          <t>ABS 범용 G300</t>
        </is>
      </c>
      <c r="I77" s="43" t="n">
        <v>45705</v>
      </c>
      <c r="J77" t="n">
        <v>202502</v>
      </c>
      <c r="K77" s="44" t="n">
        <v>2125</v>
      </c>
      <c r="L77" t="inlineStr">
        <is>
          <t>KG</t>
        </is>
      </c>
      <c r="M77" s="44" t="n">
        <v>5661973</v>
      </c>
      <c r="N77" s="44" t="n">
        <v>396338</v>
      </c>
      <c r="O77" s="44" t="n">
        <v>56620</v>
      </c>
      <c r="P77" s="44" t="n">
        <v>5209015</v>
      </c>
      <c r="Q77" t="inlineStr">
        <is>
          <t>KRW</t>
        </is>
      </c>
      <c r="R77" t="inlineStr">
        <is>
          <t>INV2502-00076</t>
        </is>
      </c>
      <c r="S77" t="inlineStr">
        <is>
          <t>※예시데이터</t>
        </is>
      </c>
    </row>
    <row r="78">
      <c r="A78" t="n">
        <v>1000</v>
      </c>
      <c r="B78" t="inlineStr">
        <is>
          <t>범용수지사업부</t>
        </is>
      </c>
      <c r="C78" t="inlineStr">
        <is>
          <t>국내영업1팀</t>
        </is>
      </c>
      <c r="D78" t="inlineStr">
        <is>
          <t>C10008</t>
        </is>
      </c>
      <c r="E78" t="inlineStr">
        <is>
          <t>나래산업(주)</t>
        </is>
      </c>
      <c r="F78" t="inlineStr">
        <is>
          <t>PP</t>
        </is>
      </c>
      <c r="G78" t="inlineStr">
        <is>
          <t>M-1101</t>
        </is>
      </c>
      <c r="H78" t="inlineStr">
        <is>
          <t>PP 범용사출 H110</t>
        </is>
      </c>
      <c r="I78" s="43" t="n">
        <v>45706</v>
      </c>
      <c r="J78" t="n">
        <v>202502</v>
      </c>
      <c r="K78" s="44" t="n">
        <v>27125</v>
      </c>
      <c r="L78" t="inlineStr">
        <is>
          <t>KG</t>
        </is>
      </c>
      <c r="M78" s="44" t="n">
        <v>45000430</v>
      </c>
      <c r="N78" s="44" t="n">
        <v>3600034</v>
      </c>
      <c r="O78" s="44" t="n">
        <v>450004</v>
      </c>
      <c r="P78" s="44" t="n">
        <v>40950392</v>
      </c>
      <c r="Q78" t="inlineStr">
        <is>
          <t>KRW</t>
        </is>
      </c>
      <c r="R78" t="inlineStr">
        <is>
          <t>INV2502-00077</t>
        </is>
      </c>
      <c r="S78" t="inlineStr">
        <is>
          <t>※예시데이터</t>
        </is>
      </c>
    </row>
    <row r="79">
      <c r="A79" t="n">
        <v>1000</v>
      </c>
      <c r="B79" t="inlineStr">
        <is>
          <t>EP사업부</t>
        </is>
      </c>
      <c r="C79" t="inlineStr">
        <is>
          <t>국내영업2팀</t>
        </is>
      </c>
      <c r="D79" t="inlineStr">
        <is>
          <t>C10015</t>
        </is>
      </c>
      <c r="E79" t="inlineStr">
        <is>
          <t>다솜케미칼</t>
        </is>
      </c>
      <c r="F79" t="inlineStr">
        <is>
          <t>PC</t>
        </is>
      </c>
      <c r="G79" t="inlineStr">
        <is>
          <t>M-2202</t>
        </is>
      </c>
      <c r="H79" t="inlineStr">
        <is>
          <t>PC 난연 FR200</t>
        </is>
      </c>
      <c r="I79" s="43" t="n">
        <v>45706</v>
      </c>
      <c r="J79" t="n">
        <v>202502</v>
      </c>
      <c r="K79" s="44" t="n">
        <v>1425</v>
      </c>
      <c r="L79" t="inlineStr">
        <is>
          <t>KG</t>
        </is>
      </c>
      <c r="M79" s="44" t="n">
        <v>6232569</v>
      </c>
      <c r="N79" s="44" t="n">
        <v>311628</v>
      </c>
      <c r="O79" t="n">
        <v>0</v>
      </c>
      <c r="P79" s="44" t="n">
        <v>5920941</v>
      </c>
      <c r="Q79" t="inlineStr">
        <is>
          <t>KRW</t>
        </is>
      </c>
      <c r="R79" t="inlineStr">
        <is>
          <t>INV2502-00078</t>
        </is>
      </c>
      <c r="S79" t="inlineStr">
        <is>
          <t>※예시데이터</t>
        </is>
      </c>
    </row>
    <row r="80">
      <c r="A80" t="n">
        <v>1000</v>
      </c>
      <c r="B80" t="inlineStr">
        <is>
          <t>범용수지사업부</t>
        </is>
      </c>
      <c r="C80" t="inlineStr">
        <is>
          <t>국내영업2팀</t>
        </is>
      </c>
      <c r="D80" t="inlineStr">
        <is>
          <t>C10036</t>
        </is>
      </c>
      <c r="E80" t="inlineStr">
        <is>
          <t>바른물산</t>
        </is>
      </c>
      <c r="F80" t="inlineStr">
        <is>
          <t>PE</t>
        </is>
      </c>
      <c r="G80" t="inlineStr">
        <is>
          <t>M-1201</t>
        </is>
      </c>
      <c r="H80" t="inlineStr">
        <is>
          <t>HDPE 블로우 B500</t>
        </is>
      </c>
      <c r="I80" s="43" t="n">
        <v>45706</v>
      </c>
      <c r="J80" t="n">
        <v>202502</v>
      </c>
      <c r="K80" s="44" t="n">
        <v>20450</v>
      </c>
      <c r="L80" t="inlineStr">
        <is>
          <t>KG</t>
        </is>
      </c>
      <c r="M80" s="44" t="n">
        <v>32487282</v>
      </c>
      <c r="N80" s="44" t="n">
        <v>2923855</v>
      </c>
      <c r="O80" s="44" t="n">
        <v>649746</v>
      </c>
      <c r="P80" s="44" t="n">
        <v>28913681</v>
      </c>
      <c r="Q80" t="inlineStr">
        <is>
          <t>KRW</t>
        </is>
      </c>
      <c r="R80" t="inlineStr">
        <is>
          <t>INV2502-00079</t>
        </is>
      </c>
      <c r="S80" t="inlineStr">
        <is>
          <t>※예시데이터</t>
        </is>
      </c>
    </row>
    <row r="81">
      <c r="A81" t="n">
        <v>1000</v>
      </c>
      <c r="B81" t="inlineStr">
        <is>
          <t>범용수지사업부</t>
        </is>
      </c>
      <c r="C81" t="inlineStr">
        <is>
          <t>국내영업2팀</t>
        </is>
      </c>
      <c r="D81" t="inlineStr">
        <is>
          <t>C10050</t>
        </is>
      </c>
      <c r="E81" t="inlineStr">
        <is>
          <t>아름화학(주)</t>
        </is>
      </c>
      <c r="F81" t="inlineStr">
        <is>
          <t>PP</t>
        </is>
      </c>
      <c r="G81" t="inlineStr">
        <is>
          <t>M-1103</t>
        </is>
      </c>
      <c r="H81" t="inlineStr">
        <is>
          <t>PP 투명 R330</t>
        </is>
      </c>
      <c r="I81" s="43" t="n">
        <v>45707</v>
      </c>
      <c r="J81" t="n">
        <v>202502</v>
      </c>
      <c r="K81" s="44" t="n">
        <v>6825</v>
      </c>
      <c r="L81" t="inlineStr">
        <is>
          <t>KG</t>
        </is>
      </c>
      <c r="M81" s="44" t="n">
        <v>13312737</v>
      </c>
      <c r="N81" s="44" t="n">
        <v>1331274</v>
      </c>
      <c r="O81" s="44" t="n">
        <v>133127</v>
      </c>
      <c r="P81" s="44" t="n">
        <v>11848336</v>
      </c>
      <c r="Q81" t="inlineStr">
        <is>
          <t>KRW</t>
        </is>
      </c>
      <c r="R81" t="inlineStr">
        <is>
          <t>INV2502-00080</t>
        </is>
      </c>
      <c r="S81" t="inlineStr">
        <is>
          <t>※예시데이터</t>
        </is>
      </c>
    </row>
    <row r="82">
      <c r="A82" t="n">
        <v>1000</v>
      </c>
      <c r="B82" t="inlineStr">
        <is>
          <t>범용수지사업부</t>
        </is>
      </c>
      <c r="C82" t="inlineStr">
        <is>
          <t>국내영업2팀</t>
        </is>
      </c>
      <c r="D82" t="inlineStr">
        <is>
          <t>C10050</t>
        </is>
      </c>
      <c r="E82" t="inlineStr">
        <is>
          <t>아름화학(주)</t>
        </is>
      </c>
      <c r="F82" t="inlineStr">
        <is>
          <t>PP</t>
        </is>
      </c>
      <c r="G82" t="inlineStr">
        <is>
          <t>M-1103</t>
        </is>
      </c>
      <c r="H82" t="inlineStr">
        <is>
          <t>PP 투명 R330</t>
        </is>
      </c>
      <c r="I82" s="43" t="n">
        <v>45707</v>
      </c>
      <c r="J82" t="n">
        <v>202502</v>
      </c>
      <c r="K82" s="44" t="n">
        <v>6825</v>
      </c>
      <c r="L82" t="inlineStr">
        <is>
          <t>KG</t>
        </is>
      </c>
      <c r="M82" s="44" t="n">
        <v>13312737</v>
      </c>
      <c r="N82" s="44" t="n">
        <v>1331274</v>
      </c>
      <c r="O82" s="44" t="n">
        <v>133127</v>
      </c>
      <c r="P82" s="44" t="n">
        <v>11848336</v>
      </c>
      <c r="Q82" t="inlineStr">
        <is>
          <t>KRW</t>
        </is>
      </c>
      <c r="R82" t="inlineStr">
        <is>
          <t>INV2502-00081</t>
        </is>
      </c>
      <c r="S82" t="inlineStr">
        <is>
          <t>※예시데이터</t>
        </is>
      </c>
    </row>
    <row r="83">
      <c r="A83" t="n">
        <v>1000</v>
      </c>
      <c r="B83" t="inlineStr">
        <is>
          <t>EP사업부</t>
        </is>
      </c>
      <c r="C83" t="inlineStr">
        <is>
          <t>국내영업2팀</t>
        </is>
      </c>
      <c r="D83" t="inlineStr">
        <is>
          <t>C10113</t>
        </is>
      </c>
      <c r="E83" t="inlineStr">
        <is>
          <t>누리오토파츠</t>
        </is>
      </c>
      <c r="F83" t="inlineStr">
        <is>
          <t>ABS</t>
        </is>
      </c>
      <c r="G83" t="inlineStr">
        <is>
          <t>M-2101</t>
        </is>
      </c>
      <c r="H83" t="inlineStr">
        <is>
          <t>ABS 범용 G300</t>
        </is>
      </c>
      <c r="I83" s="43" t="n">
        <v>45707</v>
      </c>
      <c r="J83" t="n">
        <v>202502</v>
      </c>
      <c r="K83" s="44" t="n">
        <v>2125</v>
      </c>
      <c r="L83" t="inlineStr">
        <is>
          <t>KG</t>
        </is>
      </c>
      <c r="M83" s="44" t="n">
        <v>5661973</v>
      </c>
      <c r="N83" s="44" t="n">
        <v>396338</v>
      </c>
      <c r="O83" s="44" t="n">
        <v>56620</v>
      </c>
      <c r="P83" s="44" t="n">
        <v>5209015</v>
      </c>
      <c r="Q83" t="inlineStr">
        <is>
          <t>KRW</t>
        </is>
      </c>
      <c r="R83" t="inlineStr">
        <is>
          <t>INV2502-00082</t>
        </is>
      </c>
      <c r="S83" t="inlineStr">
        <is>
          <t>※예시데이터</t>
        </is>
      </c>
    </row>
    <row r="84">
      <c r="A84" t="n">
        <v>1000</v>
      </c>
      <c r="B84" t="inlineStr">
        <is>
          <t>EP사업부</t>
        </is>
      </c>
      <c r="C84" t="inlineStr">
        <is>
          <t>국내영업2팀</t>
        </is>
      </c>
      <c r="D84" t="inlineStr">
        <is>
          <t>C10113</t>
        </is>
      </c>
      <c r="E84" t="inlineStr">
        <is>
          <t>누리오토파츠</t>
        </is>
      </c>
      <c r="F84" t="inlineStr">
        <is>
          <t>PC</t>
        </is>
      </c>
      <c r="G84" t="inlineStr">
        <is>
          <t>M-2202</t>
        </is>
      </c>
      <c r="H84" t="inlineStr">
        <is>
          <t>PC 난연 FR200</t>
        </is>
      </c>
      <c r="I84" s="43" t="n">
        <v>45707</v>
      </c>
      <c r="J84" t="n">
        <v>202502</v>
      </c>
      <c r="K84" s="44" t="n">
        <v>1650</v>
      </c>
      <c r="L84" t="inlineStr">
        <is>
          <t>KG</t>
        </is>
      </c>
      <c r="M84" s="44" t="n">
        <v>7216659</v>
      </c>
      <c r="N84" s="44" t="n">
        <v>505166</v>
      </c>
      <c r="O84" s="44" t="n">
        <v>72167</v>
      </c>
      <c r="P84" s="44" t="n">
        <v>6639326</v>
      </c>
      <c r="Q84" t="inlineStr">
        <is>
          <t>KRW</t>
        </is>
      </c>
      <c r="R84" t="inlineStr">
        <is>
          <t>INV2502-00083</t>
        </is>
      </c>
      <c r="S84" t="inlineStr">
        <is>
          <t>※예시데이터</t>
        </is>
      </c>
    </row>
    <row r="85">
      <c r="A85" t="n">
        <v>1000</v>
      </c>
      <c r="B85" t="inlineStr">
        <is>
          <t>범용수지사업부</t>
        </is>
      </c>
      <c r="C85" t="inlineStr">
        <is>
          <t>국내영업2팀</t>
        </is>
      </c>
      <c r="D85" t="inlineStr">
        <is>
          <t>C10099</t>
        </is>
      </c>
      <c r="E85" t="inlineStr">
        <is>
          <t>한울몰드</t>
        </is>
      </c>
      <c r="F85" t="inlineStr">
        <is>
          <t>PP</t>
        </is>
      </c>
      <c r="G85" t="inlineStr">
        <is>
          <t>M-1101</t>
        </is>
      </c>
      <c r="H85" t="inlineStr">
        <is>
          <t>PP 범용사출 H110</t>
        </is>
      </c>
      <c r="I85" s="43" t="n">
        <v>45708</v>
      </c>
      <c r="J85" t="n">
        <v>202502</v>
      </c>
      <c r="K85" s="44" t="n">
        <v>1175</v>
      </c>
      <c r="L85" t="inlineStr">
        <is>
          <t>KG</t>
        </is>
      </c>
      <c r="M85" s="44" t="n">
        <v>1949327</v>
      </c>
      <c r="N85" s="44" t="n">
        <v>116960</v>
      </c>
      <c r="O85" t="n">
        <v>0</v>
      </c>
      <c r="P85" s="44" t="n">
        <v>1832367</v>
      </c>
      <c r="Q85" t="inlineStr">
        <is>
          <t>KRW</t>
        </is>
      </c>
      <c r="R85" t="inlineStr">
        <is>
          <t>INV2502-00084</t>
        </is>
      </c>
      <c r="S85" t="inlineStr">
        <is>
          <t>※예시데이터</t>
        </is>
      </c>
    </row>
    <row r="86">
      <c r="A86" t="n">
        <v>1000</v>
      </c>
      <c r="B86" t="inlineStr">
        <is>
          <t>EP사업부</t>
        </is>
      </c>
      <c r="C86" t="inlineStr">
        <is>
          <t>국내영업2팀</t>
        </is>
      </c>
      <c r="D86" t="inlineStr">
        <is>
          <t>C10099</t>
        </is>
      </c>
      <c r="E86" t="inlineStr">
        <is>
          <t>한울몰드</t>
        </is>
      </c>
      <c r="F86" t="inlineStr">
        <is>
          <t>ABS</t>
        </is>
      </c>
      <c r="G86" t="inlineStr">
        <is>
          <t>M-2102</t>
        </is>
      </c>
      <c r="H86" t="inlineStr">
        <is>
          <t>ABS 내열 HR500</t>
        </is>
      </c>
      <c r="I86" s="43" t="n">
        <v>45710</v>
      </c>
      <c r="J86" t="n">
        <v>202502</v>
      </c>
      <c r="K86" s="44" t="n">
        <v>3650</v>
      </c>
      <c r="L86" t="inlineStr">
        <is>
          <t>KG</t>
        </is>
      </c>
      <c r="M86" s="44" t="n">
        <v>10936343</v>
      </c>
      <c r="N86" s="44" t="n">
        <v>656181</v>
      </c>
      <c r="O86" t="n">
        <v>0</v>
      </c>
      <c r="P86" s="44" t="n">
        <v>10280162</v>
      </c>
      <c r="Q86" t="inlineStr">
        <is>
          <t>KRW</t>
        </is>
      </c>
      <c r="R86" t="inlineStr">
        <is>
          <t>INV2502-00085</t>
        </is>
      </c>
      <c r="S86" t="inlineStr">
        <is>
          <t>※예시데이터</t>
        </is>
      </c>
    </row>
    <row r="87">
      <c r="A87" t="n">
        <v>1000</v>
      </c>
      <c r="B87" t="inlineStr">
        <is>
          <t>EP사업부</t>
        </is>
      </c>
      <c r="C87" t="inlineStr">
        <is>
          <t>국내영업2팀</t>
        </is>
      </c>
      <c r="D87" t="inlineStr">
        <is>
          <t>C10113</t>
        </is>
      </c>
      <c r="E87" t="inlineStr">
        <is>
          <t>누리오토파츠</t>
        </is>
      </c>
      <c r="F87" t="inlineStr">
        <is>
          <t>ABS</t>
        </is>
      </c>
      <c r="G87" t="inlineStr">
        <is>
          <t>M-2102</t>
        </is>
      </c>
      <c r="H87" t="inlineStr">
        <is>
          <t>ABS 내열 HR500</t>
        </is>
      </c>
      <c r="I87" s="43" t="n">
        <v>45710</v>
      </c>
      <c r="J87" t="n">
        <v>202502</v>
      </c>
      <c r="K87" s="44" t="n">
        <v>2725</v>
      </c>
      <c r="L87" t="inlineStr">
        <is>
          <t>KG</t>
        </is>
      </c>
      <c r="M87" s="44" t="n">
        <v>8164804</v>
      </c>
      <c r="N87" s="44" t="n">
        <v>571536</v>
      </c>
      <c r="O87" s="44" t="n">
        <v>81648</v>
      </c>
      <c r="P87" s="44" t="n">
        <v>7511620</v>
      </c>
      <c r="Q87" t="inlineStr">
        <is>
          <t>KRW</t>
        </is>
      </c>
      <c r="R87" t="inlineStr">
        <is>
          <t>INV2502-00086</t>
        </is>
      </c>
      <c r="S87" t="inlineStr">
        <is>
          <t>※예시데이터</t>
        </is>
      </c>
    </row>
    <row r="88">
      <c r="A88" t="n">
        <v>1000</v>
      </c>
      <c r="B88" t="inlineStr">
        <is>
          <t>범용수지사업부</t>
        </is>
      </c>
      <c r="C88" t="inlineStr">
        <is>
          <t>국내영업1팀</t>
        </is>
      </c>
      <c r="D88" t="inlineStr">
        <is>
          <t>C10092</t>
        </is>
      </c>
      <c r="E88" t="inlineStr">
        <is>
          <t>하늘포장(주)</t>
        </is>
      </c>
      <c r="F88" t="inlineStr">
        <is>
          <t>PE</t>
        </is>
      </c>
      <c r="G88" t="inlineStr">
        <is>
          <t>M-1201</t>
        </is>
      </c>
      <c r="H88" t="inlineStr">
        <is>
          <t>HDPE 블로우 B500</t>
        </is>
      </c>
      <c r="I88" s="43" t="n">
        <v>45711</v>
      </c>
      <c r="J88" t="n">
        <v>202502</v>
      </c>
      <c r="K88" s="44" t="n">
        <v>16750</v>
      </c>
      <c r="L88" t="inlineStr">
        <is>
          <t>KG</t>
        </is>
      </c>
      <c r="M88" s="44" t="n">
        <v>26609387</v>
      </c>
      <c r="N88" s="44" t="n">
        <v>2128751</v>
      </c>
      <c r="O88" t="n">
        <v>0</v>
      </c>
      <c r="P88" s="44" t="n">
        <v>24480636</v>
      </c>
      <c r="Q88" t="inlineStr">
        <is>
          <t>KRW</t>
        </is>
      </c>
      <c r="R88" t="inlineStr">
        <is>
          <t>INV2502-00087</t>
        </is>
      </c>
      <c r="S88" t="inlineStr">
        <is>
          <t>※예시데이터</t>
        </is>
      </c>
    </row>
    <row r="89">
      <c r="A89" t="n">
        <v>1000</v>
      </c>
      <c r="B89" t="inlineStr">
        <is>
          <t>범용수지사업부</t>
        </is>
      </c>
      <c r="C89" t="inlineStr">
        <is>
          <t>국내영업2팀</t>
        </is>
      </c>
      <c r="D89" t="inlineStr">
        <is>
          <t>C10127</t>
        </is>
      </c>
      <c r="E89" t="inlineStr">
        <is>
          <t>미르패키징</t>
        </is>
      </c>
      <c r="F89" t="inlineStr">
        <is>
          <t>PE</t>
        </is>
      </c>
      <c r="G89" t="inlineStr">
        <is>
          <t>M-1201</t>
        </is>
      </c>
      <c r="H89" t="inlineStr">
        <is>
          <t>HDPE 블로우 B500</t>
        </is>
      </c>
      <c r="I89" s="43" t="n">
        <v>45711</v>
      </c>
      <c r="J89" t="n">
        <v>202502</v>
      </c>
      <c r="K89" s="44" t="n">
        <v>3625</v>
      </c>
      <c r="L89" t="inlineStr">
        <is>
          <t>KG</t>
        </is>
      </c>
      <c r="M89" s="44" t="n">
        <v>5758748</v>
      </c>
      <c r="N89" s="44" t="n">
        <v>518287</v>
      </c>
      <c r="O89" t="n">
        <v>0</v>
      </c>
      <c r="P89" s="44" t="n">
        <v>5240461</v>
      </c>
      <c r="Q89" t="inlineStr">
        <is>
          <t>KRW</t>
        </is>
      </c>
      <c r="R89" t="inlineStr">
        <is>
          <t>INV2502-00088</t>
        </is>
      </c>
      <c r="S89" t="inlineStr">
        <is>
          <t>※예시데이터</t>
        </is>
      </c>
    </row>
    <row r="90">
      <c r="A90" t="n">
        <v>1000</v>
      </c>
      <c r="B90" t="inlineStr">
        <is>
          <t>EP사업부</t>
        </is>
      </c>
      <c r="C90" t="inlineStr">
        <is>
          <t>국내영업2팀</t>
        </is>
      </c>
      <c r="D90" t="inlineStr">
        <is>
          <t>C10015</t>
        </is>
      </c>
      <c r="E90" t="inlineStr">
        <is>
          <t>다솜케미칼</t>
        </is>
      </c>
      <c r="F90" t="inlineStr">
        <is>
          <t>ABS</t>
        </is>
      </c>
      <c r="G90" t="inlineStr">
        <is>
          <t>M-2101</t>
        </is>
      </c>
      <c r="H90" t="inlineStr">
        <is>
          <t>ABS 범용 G300</t>
        </is>
      </c>
      <c r="I90" s="43" t="n">
        <v>45712</v>
      </c>
      <c r="J90" t="n">
        <v>202502</v>
      </c>
      <c r="K90" s="44" t="n">
        <v>1125</v>
      </c>
      <c r="L90" t="inlineStr">
        <is>
          <t>KG</t>
        </is>
      </c>
      <c r="M90" s="44" t="n">
        <v>2997515</v>
      </c>
      <c r="N90" s="44" t="n">
        <v>149876</v>
      </c>
      <c r="O90" t="n">
        <v>0</v>
      </c>
      <c r="P90" s="44" t="n">
        <v>2847639</v>
      </c>
      <c r="Q90" t="inlineStr">
        <is>
          <t>KRW</t>
        </is>
      </c>
      <c r="R90" t="inlineStr">
        <is>
          <t>INV2502-00089</t>
        </is>
      </c>
      <c r="S90" t="inlineStr">
        <is>
          <t>※예시데이터</t>
        </is>
      </c>
    </row>
    <row r="91">
      <c r="A91" t="n">
        <v>1000</v>
      </c>
      <c r="B91" t="inlineStr">
        <is>
          <t>범용수지사업부</t>
        </is>
      </c>
      <c r="C91" t="inlineStr">
        <is>
          <t>국내영업2팀</t>
        </is>
      </c>
      <c r="D91" t="inlineStr">
        <is>
          <t>C10050</t>
        </is>
      </c>
      <c r="E91" t="inlineStr">
        <is>
          <t>아름화학(주)</t>
        </is>
      </c>
      <c r="F91" t="inlineStr">
        <is>
          <t>PE</t>
        </is>
      </c>
      <c r="G91" t="inlineStr">
        <is>
          <t>M-1201</t>
        </is>
      </c>
      <c r="H91" t="inlineStr">
        <is>
          <t>HDPE 블로우 B500</t>
        </is>
      </c>
      <c r="I91" s="43" t="n">
        <v>45712</v>
      </c>
      <c r="J91" t="n">
        <v>202502</v>
      </c>
      <c r="K91" s="44" t="n">
        <v>15625</v>
      </c>
      <c r="L91" t="inlineStr">
        <is>
          <t>KG</t>
        </is>
      </c>
      <c r="M91" s="44" t="n">
        <v>24822190</v>
      </c>
      <c r="N91" s="44" t="n">
        <v>2482219</v>
      </c>
      <c r="O91" s="44" t="n">
        <v>248222</v>
      </c>
      <c r="P91" s="44" t="n">
        <v>22091749</v>
      </c>
      <c r="Q91" t="inlineStr">
        <is>
          <t>KRW</t>
        </is>
      </c>
      <c r="R91" t="inlineStr">
        <is>
          <t>INV2502-00090</t>
        </is>
      </c>
      <c r="S91" t="inlineStr">
        <is>
          <t>※예시데이터</t>
        </is>
      </c>
    </row>
    <row r="92">
      <c r="A92" t="n">
        <v>1000</v>
      </c>
      <c r="B92" t="inlineStr">
        <is>
          <t>EP사업부</t>
        </is>
      </c>
      <c r="C92" t="inlineStr">
        <is>
          <t>국내영업1팀</t>
        </is>
      </c>
      <c r="D92" t="inlineStr">
        <is>
          <t>C10057</t>
        </is>
      </c>
      <c r="E92" t="inlineStr">
        <is>
          <t>자연엠텍</t>
        </is>
      </c>
      <c r="F92" t="inlineStr">
        <is>
          <t>ABS</t>
        </is>
      </c>
      <c r="G92" t="inlineStr">
        <is>
          <t>M-2101</t>
        </is>
      </c>
      <c r="H92" t="inlineStr">
        <is>
          <t>ABS 범용 G300</t>
        </is>
      </c>
      <c r="I92" s="43" t="n">
        <v>45712</v>
      </c>
      <c r="J92" t="n">
        <v>202502</v>
      </c>
      <c r="K92" s="44" t="n">
        <v>3350</v>
      </c>
      <c r="L92" t="inlineStr">
        <is>
          <t>KG</t>
        </is>
      </c>
      <c r="M92" s="44" t="n">
        <v>8925934</v>
      </c>
      <c r="N92" s="44" t="n">
        <v>446297</v>
      </c>
      <c r="O92" t="n">
        <v>0</v>
      </c>
      <c r="P92" s="44" t="n">
        <v>8479637</v>
      </c>
      <c r="Q92" t="inlineStr">
        <is>
          <t>KRW</t>
        </is>
      </c>
      <c r="R92" t="inlineStr">
        <is>
          <t>INV2502-00091</t>
        </is>
      </c>
      <c r="S92" t="inlineStr">
        <is>
          <t>※예시데이터</t>
        </is>
      </c>
    </row>
    <row r="93">
      <c r="A93" t="n">
        <v>1000</v>
      </c>
      <c r="B93" t="inlineStr">
        <is>
          <t>범용수지사업부</t>
        </is>
      </c>
      <c r="C93" t="inlineStr">
        <is>
          <t>국내영업2팀</t>
        </is>
      </c>
      <c r="D93" t="inlineStr">
        <is>
          <t>C10127</t>
        </is>
      </c>
      <c r="E93" t="inlineStr">
        <is>
          <t>미르패키징</t>
        </is>
      </c>
      <c r="F93" t="inlineStr">
        <is>
          <t>PP</t>
        </is>
      </c>
      <c r="G93" t="inlineStr">
        <is>
          <t>M-1101</t>
        </is>
      </c>
      <c r="H93" t="inlineStr">
        <is>
          <t>PP 범용사출 H110</t>
        </is>
      </c>
      <c r="I93" s="43" t="n">
        <v>45712</v>
      </c>
      <c r="J93" t="n">
        <v>202502</v>
      </c>
      <c r="K93" s="44" t="n">
        <v>5825</v>
      </c>
      <c r="L93" t="inlineStr">
        <is>
          <t>KG</t>
        </is>
      </c>
      <c r="M93" s="44" t="n">
        <v>9663687</v>
      </c>
      <c r="N93" s="44" t="n">
        <v>869732</v>
      </c>
      <c r="O93" t="n">
        <v>0</v>
      </c>
      <c r="P93" s="44" t="n">
        <v>8793955</v>
      </c>
      <c r="Q93" t="inlineStr">
        <is>
          <t>KRW</t>
        </is>
      </c>
      <c r="R93" t="inlineStr">
        <is>
          <t>INV2502-00092</t>
        </is>
      </c>
      <c r="S93" t="inlineStr">
        <is>
          <t>※예시데이터</t>
        </is>
      </c>
    </row>
    <row r="94">
      <c r="A94" t="n">
        <v>1000</v>
      </c>
      <c r="B94" t="inlineStr">
        <is>
          <t>EP사업부</t>
        </is>
      </c>
      <c r="C94" t="inlineStr">
        <is>
          <t>국내영업2팀</t>
        </is>
      </c>
      <c r="D94" t="inlineStr">
        <is>
          <t>C10015</t>
        </is>
      </c>
      <c r="E94" t="inlineStr">
        <is>
          <t>다솜케미칼</t>
        </is>
      </c>
      <c r="F94" t="inlineStr">
        <is>
          <t>ABS</t>
        </is>
      </c>
      <c r="G94" t="inlineStr">
        <is>
          <t>M-2101</t>
        </is>
      </c>
      <c r="H94" t="inlineStr">
        <is>
          <t>ABS 범용 G300</t>
        </is>
      </c>
      <c r="I94" s="43" t="n">
        <v>45713</v>
      </c>
      <c r="J94" t="n">
        <v>202502</v>
      </c>
      <c r="K94" s="44" t="n">
        <v>1125</v>
      </c>
      <c r="L94" t="inlineStr">
        <is>
          <t>KG</t>
        </is>
      </c>
      <c r="M94" s="44" t="n">
        <v>2997515</v>
      </c>
      <c r="N94" s="44" t="n">
        <v>149876</v>
      </c>
      <c r="O94" t="n">
        <v>0</v>
      </c>
      <c r="P94" s="44" t="n">
        <v>2847639</v>
      </c>
      <c r="Q94" t="inlineStr">
        <is>
          <t>KRW</t>
        </is>
      </c>
      <c r="R94" t="inlineStr">
        <is>
          <t>INV2502-00093</t>
        </is>
      </c>
      <c r="S94" t="inlineStr">
        <is>
          <t>※예시데이터</t>
        </is>
      </c>
    </row>
    <row r="95">
      <c r="A95" t="n">
        <v>1000</v>
      </c>
      <c r="B95" t="inlineStr">
        <is>
          <t>EP사업부</t>
        </is>
      </c>
      <c r="C95" t="inlineStr">
        <is>
          <t>국내영업2팀</t>
        </is>
      </c>
      <c r="D95" t="inlineStr">
        <is>
          <t>C10015</t>
        </is>
      </c>
      <c r="E95" t="inlineStr">
        <is>
          <t>다솜케미칼</t>
        </is>
      </c>
      <c r="F95" t="inlineStr">
        <is>
          <t>PC</t>
        </is>
      </c>
      <c r="G95" t="inlineStr">
        <is>
          <t>M-2201</t>
        </is>
      </c>
      <c r="H95" t="inlineStr">
        <is>
          <t>PC 일반 C100</t>
        </is>
      </c>
      <c r="I95" s="43" t="n">
        <v>45713</v>
      </c>
      <c r="J95" t="n">
        <v>202502</v>
      </c>
      <c r="K95" s="44" t="n">
        <v>2800</v>
      </c>
      <c r="L95" t="inlineStr">
        <is>
          <t>KG</t>
        </is>
      </c>
      <c r="M95" s="44" t="n">
        <v>10979577</v>
      </c>
      <c r="N95" s="44" t="n">
        <v>548979</v>
      </c>
      <c r="O95" t="n">
        <v>0</v>
      </c>
      <c r="P95" s="44" t="n">
        <v>10430598</v>
      </c>
      <c r="Q95" t="inlineStr">
        <is>
          <t>KRW</t>
        </is>
      </c>
      <c r="R95" t="inlineStr">
        <is>
          <t>INV2502-00094</t>
        </is>
      </c>
      <c r="S95" t="inlineStr">
        <is>
          <t>※예시데이터</t>
        </is>
      </c>
    </row>
    <row r="96">
      <c r="A96" t="n">
        <v>1000</v>
      </c>
      <c r="B96" t="inlineStr">
        <is>
          <t>범용수지사업부</t>
        </is>
      </c>
      <c r="C96" t="inlineStr">
        <is>
          <t>국내영업1팀</t>
        </is>
      </c>
      <c r="D96" t="inlineStr">
        <is>
          <t>C10043</t>
        </is>
      </c>
      <c r="E96" t="inlineStr">
        <is>
          <t>새봄플라스틱</t>
        </is>
      </c>
      <c r="F96" t="inlineStr">
        <is>
          <t>PP</t>
        </is>
      </c>
      <c r="G96" t="inlineStr">
        <is>
          <t>M-1103</t>
        </is>
      </c>
      <c r="H96" t="inlineStr">
        <is>
          <t>PP 투명 R330</t>
        </is>
      </c>
      <c r="I96" s="43" t="n">
        <v>45713</v>
      </c>
      <c r="J96" t="n">
        <v>202502</v>
      </c>
      <c r="K96" s="44" t="n">
        <v>1800</v>
      </c>
      <c r="L96" t="inlineStr">
        <is>
          <t>KG</t>
        </is>
      </c>
      <c r="M96" s="44" t="n">
        <v>3511052</v>
      </c>
      <c r="N96" s="44" t="n">
        <v>210663</v>
      </c>
      <c r="O96" t="n">
        <v>0</v>
      </c>
      <c r="P96" s="44" t="n">
        <v>3300389</v>
      </c>
      <c r="Q96" t="inlineStr">
        <is>
          <t>KRW</t>
        </is>
      </c>
      <c r="R96" t="inlineStr">
        <is>
          <t>INV2502-00095</t>
        </is>
      </c>
      <c r="S96" t="inlineStr">
        <is>
          <t>※예시데이터</t>
        </is>
      </c>
    </row>
    <row r="97">
      <c r="A97" t="n">
        <v>1000</v>
      </c>
      <c r="B97" t="inlineStr">
        <is>
          <t>EP사업부</t>
        </is>
      </c>
      <c r="C97" t="inlineStr">
        <is>
          <t>국내영업1팀</t>
        </is>
      </c>
      <c r="D97" t="inlineStr">
        <is>
          <t>C10043</t>
        </is>
      </c>
      <c r="E97" t="inlineStr">
        <is>
          <t>새봄플라스틱</t>
        </is>
      </c>
      <c r="F97" t="inlineStr">
        <is>
          <t>ABS</t>
        </is>
      </c>
      <c r="G97" t="inlineStr">
        <is>
          <t>M-2102</t>
        </is>
      </c>
      <c r="H97" t="inlineStr">
        <is>
          <t>ABS 내열 HR500</t>
        </is>
      </c>
      <c r="I97" s="43" t="n">
        <v>45713</v>
      </c>
      <c r="J97" t="n">
        <v>202502</v>
      </c>
      <c r="K97" s="44" t="n">
        <v>5100</v>
      </c>
      <c r="L97" t="inlineStr">
        <is>
          <t>KG</t>
        </is>
      </c>
      <c r="M97" s="44" t="n">
        <v>15280917</v>
      </c>
      <c r="N97" s="44" t="n">
        <v>916855</v>
      </c>
      <c r="O97" t="n">
        <v>0</v>
      </c>
      <c r="P97" s="44" t="n">
        <v>14364062</v>
      </c>
      <c r="Q97" t="inlineStr">
        <is>
          <t>KRW</t>
        </is>
      </c>
      <c r="R97" t="inlineStr">
        <is>
          <t>INV2502-00096</t>
        </is>
      </c>
      <c r="S97" t="inlineStr">
        <is>
          <t>※예시데이터</t>
        </is>
      </c>
    </row>
    <row r="98">
      <c r="A98" t="n">
        <v>1000</v>
      </c>
      <c r="B98" t="inlineStr">
        <is>
          <t>EP사업부</t>
        </is>
      </c>
      <c r="C98" t="inlineStr">
        <is>
          <t>국내영업1팀</t>
        </is>
      </c>
      <c r="D98" t="inlineStr">
        <is>
          <t>C10134</t>
        </is>
      </c>
      <c r="E98" t="inlineStr">
        <is>
          <t>별하전자(주)</t>
        </is>
      </c>
      <c r="F98" t="inlineStr">
        <is>
          <t>PC</t>
        </is>
      </c>
      <c r="G98" t="inlineStr">
        <is>
          <t>M-2201</t>
        </is>
      </c>
      <c r="H98" t="inlineStr">
        <is>
          <t>PC 일반 C100</t>
        </is>
      </c>
      <c r="I98" s="43" t="n">
        <v>45715</v>
      </c>
      <c r="J98" t="n">
        <v>202502</v>
      </c>
      <c r="K98" s="44" t="n">
        <v>1150</v>
      </c>
      <c r="L98" t="inlineStr">
        <is>
          <t>KG</t>
        </is>
      </c>
      <c r="M98" s="44" t="n">
        <v>4509469</v>
      </c>
      <c r="N98" s="44" t="n">
        <v>135284</v>
      </c>
      <c r="O98" t="n">
        <v>0</v>
      </c>
      <c r="P98" s="44" t="n">
        <v>4374185</v>
      </c>
      <c r="Q98" t="inlineStr">
        <is>
          <t>KRW</t>
        </is>
      </c>
      <c r="R98" t="inlineStr">
        <is>
          <t>INV2502-00097</t>
        </is>
      </c>
      <c r="S98" t="inlineStr">
        <is>
          <t>※예시데이터</t>
        </is>
      </c>
    </row>
    <row r="99">
      <c r="A99" t="n">
        <v>1000</v>
      </c>
      <c r="B99" t="inlineStr">
        <is>
          <t>범용수지사업부</t>
        </is>
      </c>
      <c r="C99" t="inlineStr">
        <is>
          <t>국내영업1팀</t>
        </is>
      </c>
      <c r="D99" t="inlineStr">
        <is>
          <t>C10001</t>
        </is>
      </c>
      <c r="E99" t="inlineStr">
        <is>
          <t>가온소재(주)</t>
        </is>
      </c>
      <c r="F99" t="inlineStr">
        <is>
          <t>PP</t>
        </is>
      </c>
      <c r="G99" t="inlineStr">
        <is>
          <t>M-1102</t>
        </is>
      </c>
      <c r="H99" t="inlineStr">
        <is>
          <t>PP 고강성 H220</t>
        </is>
      </c>
      <c r="I99" s="43" t="n">
        <v>45717</v>
      </c>
      <c r="J99" t="n">
        <v>202503</v>
      </c>
      <c r="K99" s="44" t="n">
        <v>4925</v>
      </c>
      <c r="L99" t="inlineStr">
        <is>
          <t>KG</t>
        </is>
      </c>
      <c r="M99" s="44" t="n">
        <v>8971090</v>
      </c>
      <c r="N99" s="44" t="n">
        <v>538265</v>
      </c>
      <c r="O99" t="n">
        <v>0</v>
      </c>
      <c r="P99" s="44" t="n">
        <v>8432825</v>
      </c>
      <c r="Q99" t="inlineStr">
        <is>
          <t>KRW</t>
        </is>
      </c>
      <c r="R99" t="inlineStr">
        <is>
          <t>INV2503-00098</t>
        </is>
      </c>
      <c r="S99" t="inlineStr">
        <is>
          <t>※예시데이터</t>
        </is>
      </c>
    </row>
    <row r="100">
      <c r="A100" t="n">
        <v>1000</v>
      </c>
      <c r="B100" t="inlineStr">
        <is>
          <t>범용수지사업부</t>
        </is>
      </c>
      <c r="C100" t="inlineStr">
        <is>
          <t>해외영업팀</t>
        </is>
      </c>
      <c r="D100" t="inlineStr">
        <is>
          <t>C10071</t>
        </is>
      </c>
      <c r="E100" t="inlineStr">
        <is>
          <t>큰별코리아</t>
        </is>
      </c>
      <c r="F100" t="inlineStr">
        <is>
          <t>PE</t>
        </is>
      </c>
      <c r="G100" t="inlineStr">
        <is>
          <t>M-1202</t>
        </is>
      </c>
      <c r="H100" t="inlineStr">
        <is>
          <t>LLDPE 필름 F120</t>
        </is>
      </c>
      <c r="I100" s="43" t="n">
        <v>45718</v>
      </c>
      <c r="J100" t="n">
        <v>202503</v>
      </c>
      <c r="K100" s="44" t="n">
        <v>5300</v>
      </c>
      <c r="L100" t="inlineStr">
        <is>
          <t>KG</t>
        </is>
      </c>
      <c r="M100" s="44" t="n">
        <v>9070674</v>
      </c>
      <c r="N100" s="44" t="n">
        <v>997774</v>
      </c>
      <c r="O100" s="44" t="n">
        <v>181413</v>
      </c>
      <c r="P100" s="44" t="n">
        <v>7891487</v>
      </c>
      <c r="Q100" t="inlineStr">
        <is>
          <t>KRW</t>
        </is>
      </c>
      <c r="R100" t="inlineStr">
        <is>
          <t>INV2503-00099</t>
        </is>
      </c>
      <c r="S100" t="inlineStr">
        <is>
          <t>※예시데이터</t>
        </is>
      </c>
    </row>
    <row r="101">
      <c r="A101" t="n">
        <v>1000</v>
      </c>
      <c r="B101" t="inlineStr">
        <is>
          <t>EP사업부</t>
        </is>
      </c>
      <c r="C101" t="inlineStr">
        <is>
          <t>국내영업2팀</t>
        </is>
      </c>
      <c r="D101" t="inlineStr">
        <is>
          <t>C10113</t>
        </is>
      </c>
      <c r="E101" t="inlineStr">
        <is>
          <t>누리오토파츠</t>
        </is>
      </c>
      <c r="F101" t="inlineStr">
        <is>
          <t>ABS</t>
        </is>
      </c>
      <c r="G101" t="inlineStr">
        <is>
          <t>M-2101</t>
        </is>
      </c>
      <c r="H101" t="inlineStr">
        <is>
          <t>ABS 범용 G300</t>
        </is>
      </c>
      <c r="I101" s="43" t="n">
        <v>45718</v>
      </c>
      <c r="J101" t="n">
        <v>202503</v>
      </c>
      <c r="K101" s="44" t="n">
        <v>1575</v>
      </c>
      <c r="L101" t="inlineStr">
        <is>
          <t>KG</t>
        </is>
      </c>
      <c r="M101" s="44" t="n">
        <v>4177284</v>
      </c>
      <c r="N101" s="44" t="n">
        <v>292410</v>
      </c>
      <c r="O101" s="44" t="n">
        <v>41773</v>
      </c>
      <c r="P101" s="44" t="n">
        <v>3843101</v>
      </c>
      <c r="Q101" t="inlineStr">
        <is>
          <t>KRW</t>
        </is>
      </c>
      <c r="R101" t="inlineStr">
        <is>
          <t>INV2503-00100</t>
        </is>
      </c>
      <c r="S101" t="inlineStr">
        <is>
          <t>※예시데이터</t>
        </is>
      </c>
    </row>
    <row r="102">
      <c r="A102" t="n">
        <v>1000</v>
      </c>
      <c r="B102" t="inlineStr">
        <is>
          <t>범용수지사업부</t>
        </is>
      </c>
      <c r="C102" t="inlineStr">
        <is>
          <t>국내영업1팀</t>
        </is>
      </c>
      <c r="D102" t="inlineStr">
        <is>
          <t>C10001</t>
        </is>
      </c>
      <c r="E102" t="inlineStr">
        <is>
          <t>가온소재(주)</t>
        </is>
      </c>
      <c r="F102" t="inlineStr">
        <is>
          <t>PE</t>
        </is>
      </c>
      <c r="G102" t="inlineStr">
        <is>
          <t>M-1201</t>
        </is>
      </c>
      <c r="H102" t="inlineStr">
        <is>
          <t>HDPE 블로우 B500</t>
        </is>
      </c>
      <c r="I102" s="43" t="n">
        <v>45719</v>
      </c>
      <c r="J102" t="n">
        <v>202503</v>
      </c>
      <c r="K102" s="44" t="n">
        <v>4375</v>
      </c>
      <c r="L102" t="inlineStr">
        <is>
          <t>KG</t>
        </is>
      </c>
      <c r="M102" s="44" t="n">
        <v>6918353</v>
      </c>
      <c r="N102" s="44" t="n">
        <v>415101</v>
      </c>
      <c r="O102" t="n">
        <v>0</v>
      </c>
      <c r="P102" s="44" t="n">
        <v>6503252</v>
      </c>
      <c r="Q102" t="inlineStr">
        <is>
          <t>KRW</t>
        </is>
      </c>
      <c r="R102" t="inlineStr">
        <is>
          <t>INV2503-00101</t>
        </is>
      </c>
      <c r="S102" t="inlineStr">
        <is>
          <t>※예시데이터</t>
        </is>
      </c>
    </row>
    <row r="103">
      <c r="A103" t="n">
        <v>1000</v>
      </c>
      <c r="B103" t="inlineStr">
        <is>
          <t>EP사업부</t>
        </is>
      </c>
      <c r="C103" t="inlineStr">
        <is>
          <t>국내영업2팀</t>
        </is>
      </c>
      <c r="D103" t="inlineStr">
        <is>
          <t>C10085</t>
        </is>
      </c>
      <c r="E103" t="inlineStr">
        <is>
          <t>파란하이텍</t>
        </is>
      </c>
      <c r="F103" t="inlineStr">
        <is>
          <t>PC</t>
        </is>
      </c>
      <c r="G103" t="inlineStr">
        <is>
          <t>M-2202</t>
        </is>
      </c>
      <c r="H103" t="inlineStr">
        <is>
          <t>PC 난연 FR200</t>
        </is>
      </c>
      <c r="I103" s="43" t="n">
        <v>45719</v>
      </c>
      <c r="J103" t="n">
        <v>202503</v>
      </c>
      <c r="K103" s="44" t="n">
        <v>4875</v>
      </c>
      <c r="L103" t="inlineStr">
        <is>
          <t>KG</t>
        </is>
      </c>
      <c r="M103" s="44" t="n">
        <v>21224206</v>
      </c>
      <c r="N103" s="44" t="n">
        <v>1273452</v>
      </c>
      <c r="O103" t="n">
        <v>0</v>
      </c>
      <c r="P103" s="44" t="n">
        <v>19950754</v>
      </c>
      <c r="Q103" t="inlineStr">
        <is>
          <t>KRW</t>
        </is>
      </c>
      <c r="R103" t="inlineStr">
        <is>
          <t>INV2503-00102</t>
        </is>
      </c>
      <c r="S103" t="inlineStr">
        <is>
          <t>※예시데이터</t>
        </is>
      </c>
    </row>
    <row r="104">
      <c r="A104" t="n">
        <v>1000</v>
      </c>
      <c r="B104" t="inlineStr">
        <is>
          <t>EP사업부</t>
        </is>
      </c>
      <c r="C104" t="inlineStr">
        <is>
          <t>국내영업1팀</t>
        </is>
      </c>
      <c r="D104" t="inlineStr">
        <is>
          <t>C10057</t>
        </is>
      </c>
      <c r="E104" t="inlineStr">
        <is>
          <t>자연엠텍</t>
        </is>
      </c>
      <c r="F104" t="inlineStr">
        <is>
          <t>PC</t>
        </is>
      </c>
      <c r="G104" t="inlineStr">
        <is>
          <t>M-2201</t>
        </is>
      </c>
      <c r="H104" t="inlineStr">
        <is>
          <t>PC 일반 C100</t>
        </is>
      </c>
      <c r="I104" s="43" t="n">
        <v>45721</v>
      </c>
      <c r="J104" t="n">
        <v>202503</v>
      </c>
      <c r="K104" s="44" t="n">
        <v>2550</v>
      </c>
      <c r="L104" t="inlineStr">
        <is>
          <t>KG</t>
        </is>
      </c>
      <c r="M104" s="44" t="n">
        <v>9953421</v>
      </c>
      <c r="N104" s="44" t="n">
        <v>497671</v>
      </c>
      <c r="O104" t="n">
        <v>0</v>
      </c>
      <c r="P104" s="44" t="n">
        <v>9455750</v>
      </c>
      <c r="Q104" t="inlineStr">
        <is>
          <t>KRW</t>
        </is>
      </c>
      <c r="R104" t="inlineStr">
        <is>
          <t>INV2503-00103</t>
        </is>
      </c>
      <c r="S104" t="inlineStr">
        <is>
          <t>※예시데이터</t>
        </is>
      </c>
    </row>
    <row r="105">
      <c r="A105" t="n">
        <v>1000</v>
      </c>
      <c r="B105" t="inlineStr">
        <is>
          <t>범용수지사업부</t>
        </is>
      </c>
      <c r="C105" t="inlineStr">
        <is>
          <t>해외영업팀</t>
        </is>
      </c>
      <c r="D105" t="inlineStr">
        <is>
          <t>C10141</t>
        </is>
      </c>
      <c r="E105" t="inlineStr">
        <is>
          <t>Sinar Plastik (ID)</t>
        </is>
      </c>
      <c r="F105" t="inlineStr">
        <is>
          <t>PP</t>
        </is>
      </c>
      <c r="G105" t="inlineStr">
        <is>
          <t>M-1103</t>
        </is>
      </c>
      <c r="H105" t="inlineStr">
        <is>
          <t>PP 투명 R330</t>
        </is>
      </c>
      <c r="I105" s="43" t="n">
        <v>45722</v>
      </c>
      <c r="J105" t="n">
        <v>202503</v>
      </c>
      <c r="K105" s="44" t="n">
        <v>11150</v>
      </c>
      <c r="L105" t="inlineStr">
        <is>
          <t>KG</t>
        </is>
      </c>
      <c r="M105" s="44" t="n">
        <v>21649315</v>
      </c>
      <c r="N105" s="44" t="n">
        <v>2597918</v>
      </c>
      <c r="O105" t="n">
        <v>0</v>
      </c>
      <c r="P105" s="44" t="n">
        <v>19051397</v>
      </c>
      <c r="Q105" t="inlineStr">
        <is>
          <t>KRW</t>
        </is>
      </c>
      <c r="R105" t="inlineStr">
        <is>
          <t>INV2503-00104</t>
        </is>
      </c>
      <c r="S105" t="inlineStr">
        <is>
          <t>※예시데이터</t>
        </is>
      </c>
    </row>
    <row r="106">
      <c r="A106" t="n">
        <v>1000</v>
      </c>
      <c r="B106" t="inlineStr">
        <is>
          <t>범용수지사업부</t>
        </is>
      </c>
      <c r="C106" t="inlineStr">
        <is>
          <t>국내영업1팀</t>
        </is>
      </c>
      <c r="D106" t="inlineStr">
        <is>
          <t>C10001</t>
        </is>
      </c>
      <c r="E106" t="inlineStr">
        <is>
          <t>가온소재(주)</t>
        </is>
      </c>
      <c r="F106" t="inlineStr">
        <is>
          <t>PE</t>
        </is>
      </c>
      <c r="G106" t="inlineStr">
        <is>
          <t>M-1201</t>
        </is>
      </c>
      <c r="H106" t="inlineStr">
        <is>
          <t>HDPE 블로우 B500</t>
        </is>
      </c>
      <c r="I106" s="43" t="n">
        <v>45723</v>
      </c>
      <c r="J106" t="n">
        <v>202503</v>
      </c>
      <c r="K106" t="n">
        <v>-400</v>
      </c>
      <c r="L106" t="inlineStr">
        <is>
          <t>KG</t>
        </is>
      </c>
      <c r="M106" s="44" t="n">
        <v>-635448</v>
      </c>
      <c r="N106" s="44" t="n">
        <v>-38127</v>
      </c>
      <c r="O106" t="n">
        <v>0</v>
      </c>
      <c r="P106" s="44" t="n">
        <v>-597321</v>
      </c>
      <c r="Q106" t="inlineStr">
        <is>
          <t>KRW</t>
        </is>
      </c>
      <c r="R106" t="inlineStr">
        <is>
          <t>INV2503-00105</t>
        </is>
      </c>
      <c r="S106" t="inlineStr">
        <is>
          <t>※예시데이터</t>
        </is>
      </c>
    </row>
    <row r="107">
      <c r="A107" t="n">
        <v>1000</v>
      </c>
      <c r="B107" t="inlineStr">
        <is>
          <t>범용수지사업부</t>
        </is>
      </c>
      <c r="C107" t="inlineStr">
        <is>
          <t>국내영업1팀</t>
        </is>
      </c>
      <c r="D107" t="inlineStr">
        <is>
          <t>C10001</t>
        </is>
      </c>
      <c r="E107" t="inlineStr">
        <is>
          <t>가온소재(주)</t>
        </is>
      </c>
      <c r="F107" t="inlineStr">
        <is>
          <t>PE</t>
        </is>
      </c>
      <c r="G107" t="inlineStr">
        <is>
          <t>M-1202</t>
        </is>
      </c>
      <c r="H107" t="inlineStr">
        <is>
          <t>LLDPE 필름 F120</t>
        </is>
      </c>
      <c r="I107" s="43" t="n">
        <v>45723</v>
      </c>
      <c r="J107" t="n">
        <v>202503</v>
      </c>
      <c r="K107" s="44" t="n">
        <v>5125</v>
      </c>
      <c r="L107" t="inlineStr">
        <is>
          <t>KG</t>
        </is>
      </c>
      <c r="M107" s="44" t="n">
        <v>8771170</v>
      </c>
      <c r="N107" s="44" t="n">
        <v>526270</v>
      </c>
      <c r="O107" t="n">
        <v>0</v>
      </c>
      <c r="P107" s="44" t="n">
        <v>8244900</v>
      </c>
      <c r="Q107" t="inlineStr">
        <is>
          <t>KRW</t>
        </is>
      </c>
      <c r="R107" t="inlineStr">
        <is>
          <t>INV2503-00106</t>
        </is>
      </c>
      <c r="S107" t="inlineStr">
        <is>
          <t>※예시데이터</t>
        </is>
      </c>
    </row>
    <row r="108">
      <c r="A108" t="n">
        <v>1000</v>
      </c>
      <c r="B108" t="inlineStr">
        <is>
          <t>EP사업부</t>
        </is>
      </c>
      <c r="C108" t="inlineStr">
        <is>
          <t>국내영업2팀</t>
        </is>
      </c>
      <c r="D108" t="inlineStr">
        <is>
          <t>C10015</t>
        </is>
      </c>
      <c r="E108" t="inlineStr">
        <is>
          <t>다솜케미칼</t>
        </is>
      </c>
      <c r="F108" t="inlineStr">
        <is>
          <t>ABS</t>
        </is>
      </c>
      <c r="G108" t="inlineStr">
        <is>
          <t>M-2101</t>
        </is>
      </c>
      <c r="H108" t="inlineStr">
        <is>
          <t>ABS 범용 G300</t>
        </is>
      </c>
      <c r="I108" s="43" t="n">
        <v>45723</v>
      </c>
      <c r="J108" t="n">
        <v>202503</v>
      </c>
      <c r="K108" s="44" t="n">
        <v>2575</v>
      </c>
      <c r="L108" t="inlineStr">
        <is>
          <t>KG</t>
        </is>
      </c>
      <c r="M108" s="44" t="n">
        <v>6829528</v>
      </c>
      <c r="N108" s="44" t="n">
        <v>341476</v>
      </c>
      <c r="O108" t="n">
        <v>0</v>
      </c>
      <c r="P108" s="44" t="n">
        <v>6488052</v>
      </c>
      <c r="Q108" t="inlineStr">
        <is>
          <t>KRW</t>
        </is>
      </c>
      <c r="R108" t="inlineStr">
        <is>
          <t>INV2503-00107</t>
        </is>
      </c>
      <c r="S108" t="inlineStr">
        <is>
          <t>※예시데이터</t>
        </is>
      </c>
    </row>
    <row r="109">
      <c r="A109" t="n">
        <v>1000</v>
      </c>
      <c r="B109" t="inlineStr">
        <is>
          <t>범용수지사업부</t>
        </is>
      </c>
      <c r="C109" t="inlineStr">
        <is>
          <t>국내영업2팀</t>
        </is>
      </c>
      <c r="D109" t="inlineStr">
        <is>
          <t>C10064</t>
        </is>
      </c>
      <c r="E109" t="inlineStr">
        <is>
          <t>차오름산업</t>
        </is>
      </c>
      <c r="F109" t="inlineStr">
        <is>
          <t>PP</t>
        </is>
      </c>
      <c r="G109" t="inlineStr">
        <is>
          <t>M-1102</t>
        </is>
      </c>
      <c r="H109" t="inlineStr">
        <is>
          <t>PP 고강성 H220</t>
        </is>
      </c>
      <c r="I109" s="43" t="n">
        <v>45723</v>
      </c>
      <c r="J109" t="n">
        <v>202503</v>
      </c>
      <c r="K109" s="44" t="n">
        <v>3900</v>
      </c>
      <c r="L109" t="inlineStr">
        <is>
          <t>KG</t>
        </is>
      </c>
      <c r="M109" s="44" t="n">
        <v>7104010</v>
      </c>
      <c r="N109" s="44" t="n">
        <v>497281</v>
      </c>
      <c r="O109" t="n">
        <v>0</v>
      </c>
      <c r="P109" s="44" t="n">
        <v>6606729</v>
      </c>
      <c r="Q109" t="inlineStr">
        <is>
          <t>KRW</t>
        </is>
      </c>
      <c r="R109" t="inlineStr">
        <is>
          <t>INV2503-00108</t>
        </is>
      </c>
      <c r="S109" t="inlineStr">
        <is>
          <t>※예시데이터</t>
        </is>
      </c>
    </row>
    <row r="110">
      <c r="A110" t="n">
        <v>1000</v>
      </c>
      <c r="B110" t="inlineStr">
        <is>
          <t>EP사업부</t>
        </is>
      </c>
      <c r="C110" t="inlineStr">
        <is>
          <t>국내영업2팀</t>
        </is>
      </c>
      <c r="D110" t="inlineStr">
        <is>
          <t>C10085</t>
        </is>
      </c>
      <c r="E110" t="inlineStr">
        <is>
          <t>파란하이텍</t>
        </is>
      </c>
      <c r="F110" t="inlineStr">
        <is>
          <t>PC</t>
        </is>
      </c>
      <c r="G110" t="inlineStr">
        <is>
          <t>M-2201</t>
        </is>
      </c>
      <c r="H110" t="inlineStr">
        <is>
          <t>PC 일반 C100</t>
        </is>
      </c>
      <c r="I110" s="43" t="n">
        <v>45723</v>
      </c>
      <c r="J110" t="n">
        <v>202503</v>
      </c>
      <c r="K110" s="44" t="n">
        <v>4300</v>
      </c>
      <c r="L110" t="inlineStr">
        <is>
          <t>KG</t>
        </is>
      </c>
      <c r="M110" s="44" t="n">
        <v>16784199</v>
      </c>
      <c r="N110" s="44" t="n">
        <v>1007052</v>
      </c>
      <c r="O110" t="n">
        <v>0</v>
      </c>
      <c r="P110" s="44" t="n">
        <v>15777147</v>
      </c>
      <c r="Q110" t="inlineStr">
        <is>
          <t>KRW</t>
        </is>
      </c>
      <c r="R110" t="inlineStr">
        <is>
          <t>INV2503-00109</t>
        </is>
      </c>
      <c r="S110" t="inlineStr">
        <is>
          <t>※예시데이터</t>
        </is>
      </c>
    </row>
    <row r="111">
      <c r="A111" t="n">
        <v>1000</v>
      </c>
      <c r="B111" t="inlineStr">
        <is>
          <t>EP사업부</t>
        </is>
      </c>
      <c r="C111" t="inlineStr">
        <is>
          <t>국내영업2팀</t>
        </is>
      </c>
      <c r="D111" t="inlineStr">
        <is>
          <t>C10022</t>
        </is>
      </c>
      <c r="E111" t="inlineStr">
        <is>
          <t>라온테크(주)</t>
        </is>
      </c>
      <c r="F111" t="inlineStr">
        <is>
          <t>ABS</t>
        </is>
      </c>
      <c r="G111" t="inlineStr">
        <is>
          <t>M-2101</t>
        </is>
      </c>
      <c r="H111" t="inlineStr">
        <is>
          <t>ABS 범용 G300</t>
        </is>
      </c>
      <c r="I111" s="43" t="n">
        <v>45724</v>
      </c>
      <c r="J111" t="n">
        <v>202503</v>
      </c>
      <c r="K111" s="44" t="n">
        <v>6675</v>
      </c>
      <c r="L111" t="inlineStr">
        <is>
          <t>KG</t>
        </is>
      </c>
      <c r="M111" s="44" t="n">
        <v>17703727</v>
      </c>
      <c r="N111" s="44" t="n">
        <v>1239261</v>
      </c>
      <c r="O111" t="n">
        <v>0</v>
      </c>
      <c r="P111" s="44" t="n">
        <v>16464466</v>
      </c>
      <c r="Q111" t="inlineStr">
        <is>
          <t>KRW</t>
        </is>
      </c>
      <c r="R111" t="inlineStr">
        <is>
          <t>INV2503-00110</t>
        </is>
      </c>
      <c r="S111" t="inlineStr">
        <is>
          <t>※예시데이터</t>
        </is>
      </c>
    </row>
    <row r="112">
      <c r="A112" t="n">
        <v>1000</v>
      </c>
      <c r="B112" t="inlineStr">
        <is>
          <t>EP사업부</t>
        </is>
      </c>
      <c r="C112" t="inlineStr">
        <is>
          <t>국내영업2팀</t>
        </is>
      </c>
      <c r="D112" t="inlineStr">
        <is>
          <t>C10022</t>
        </is>
      </c>
      <c r="E112" t="inlineStr">
        <is>
          <t>라온테크(주)</t>
        </is>
      </c>
      <c r="F112" t="inlineStr">
        <is>
          <t>ABS</t>
        </is>
      </c>
      <c r="G112" t="inlineStr">
        <is>
          <t>M-2102</t>
        </is>
      </c>
      <c r="H112" t="inlineStr">
        <is>
          <t>ABS 내열 HR500</t>
        </is>
      </c>
      <c r="I112" s="43" t="n">
        <v>45724</v>
      </c>
      <c r="J112" t="n">
        <v>202503</v>
      </c>
      <c r="K112" s="44" t="n">
        <v>3925</v>
      </c>
      <c r="L112" t="inlineStr">
        <is>
          <t>KG</t>
        </is>
      </c>
      <c r="M112" s="44" t="n">
        <v>11706404</v>
      </c>
      <c r="N112" s="44" t="n">
        <v>819448</v>
      </c>
      <c r="O112" t="n">
        <v>0</v>
      </c>
      <c r="P112" s="44" t="n">
        <v>10886956</v>
      </c>
      <c r="Q112" t="inlineStr">
        <is>
          <t>KRW</t>
        </is>
      </c>
      <c r="R112" t="inlineStr">
        <is>
          <t>INV2503-00111</t>
        </is>
      </c>
      <c r="S112" t="inlineStr">
        <is>
          <t>※예시데이터</t>
        </is>
      </c>
    </row>
    <row r="113">
      <c r="A113" t="n">
        <v>1000</v>
      </c>
      <c r="B113" t="inlineStr">
        <is>
          <t>범용수지사업부</t>
        </is>
      </c>
      <c r="C113" t="inlineStr">
        <is>
          <t>국내영업1팀</t>
        </is>
      </c>
      <c r="D113" t="inlineStr">
        <is>
          <t>C10092</t>
        </is>
      </c>
      <c r="E113" t="inlineStr">
        <is>
          <t>하늘포장(주)</t>
        </is>
      </c>
      <c r="F113" t="inlineStr">
        <is>
          <t>PE</t>
        </is>
      </c>
      <c r="G113" t="inlineStr">
        <is>
          <t>M-1201</t>
        </is>
      </c>
      <c r="H113" t="inlineStr">
        <is>
          <t>HDPE 블로우 B500</t>
        </is>
      </c>
      <c r="I113" s="43" t="n">
        <v>45724</v>
      </c>
      <c r="J113" t="n">
        <v>202503</v>
      </c>
      <c r="K113" s="44" t="n">
        <v>15200</v>
      </c>
      <c r="L113" t="inlineStr">
        <is>
          <t>KG</t>
        </is>
      </c>
      <c r="M113" s="44" t="n">
        <v>24036335</v>
      </c>
      <c r="N113" s="44" t="n">
        <v>1922907</v>
      </c>
      <c r="O113" t="n">
        <v>0</v>
      </c>
      <c r="P113" s="44" t="n">
        <v>22113428</v>
      </c>
      <c r="Q113" t="inlineStr">
        <is>
          <t>KRW</t>
        </is>
      </c>
      <c r="R113" t="inlineStr">
        <is>
          <t>INV2503-00112</t>
        </is>
      </c>
      <c r="S113" t="inlineStr">
        <is>
          <t>※예시데이터</t>
        </is>
      </c>
    </row>
    <row r="114">
      <c r="A114" t="n">
        <v>1000</v>
      </c>
      <c r="B114" t="inlineStr">
        <is>
          <t>EP사업부</t>
        </is>
      </c>
      <c r="C114" t="inlineStr">
        <is>
          <t>국내영업2팀</t>
        </is>
      </c>
      <c r="D114" t="inlineStr">
        <is>
          <t>C10022</t>
        </is>
      </c>
      <c r="E114" t="inlineStr">
        <is>
          <t>라온테크(주)</t>
        </is>
      </c>
      <c r="F114" t="inlineStr">
        <is>
          <t>ABS</t>
        </is>
      </c>
      <c r="G114" t="inlineStr">
        <is>
          <t>M-2102</t>
        </is>
      </c>
      <c r="H114" t="inlineStr">
        <is>
          <t>ABS 내열 HR500</t>
        </is>
      </c>
      <c r="I114" s="43" t="n">
        <v>45726</v>
      </c>
      <c r="J114" t="n">
        <v>202503</v>
      </c>
      <c r="K114" s="44" t="n">
        <v>3925</v>
      </c>
      <c r="L114" t="inlineStr">
        <is>
          <t>KG</t>
        </is>
      </c>
      <c r="M114" s="44" t="n">
        <v>11706404</v>
      </c>
      <c r="N114" s="44" t="n">
        <v>819448</v>
      </c>
      <c r="O114" t="n">
        <v>0</v>
      </c>
      <c r="P114" s="44" t="n">
        <v>10886956</v>
      </c>
      <c r="Q114" t="inlineStr">
        <is>
          <t>KRW</t>
        </is>
      </c>
      <c r="R114" t="inlineStr">
        <is>
          <t>INV2503-00113</t>
        </is>
      </c>
      <c r="S114" t="inlineStr">
        <is>
          <t>※예시데이터</t>
        </is>
      </c>
    </row>
    <row r="115">
      <c r="A115" t="n">
        <v>1000</v>
      </c>
      <c r="B115" t="inlineStr">
        <is>
          <t>범용수지사업부</t>
        </is>
      </c>
      <c r="C115" t="inlineStr">
        <is>
          <t>해외영업팀</t>
        </is>
      </c>
      <c r="D115" t="inlineStr">
        <is>
          <t>C10071</t>
        </is>
      </c>
      <c r="E115" t="inlineStr">
        <is>
          <t>큰별코리아</t>
        </is>
      </c>
      <c r="F115" t="inlineStr">
        <is>
          <t>PE</t>
        </is>
      </c>
      <c r="G115" t="inlineStr">
        <is>
          <t>M-1202</t>
        </is>
      </c>
      <c r="H115" t="inlineStr">
        <is>
          <t>LLDPE 필름 F120</t>
        </is>
      </c>
      <c r="I115" s="43" t="n">
        <v>45726</v>
      </c>
      <c r="J115" t="n">
        <v>202503</v>
      </c>
      <c r="K115" s="44" t="n">
        <v>5300</v>
      </c>
      <c r="L115" t="inlineStr">
        <is>
          <t>KG</t>
        </is>
      </c>
      <c r="M115" s="44" t="n">
        <v>9070674</v>
      </c>
      <c r="N115" s="44" t="n">
        <v>997774</v>
      </c>
      <c r="O115" s="44" t="n">
        <v>181413</v>
      </c>
      <c r="P115" s="44" t="n">
        <v>7891487</v>
      </c>
      <c r="Q115" t="inlineStr">
        <is>
          <t>KRW</t>
        </is>
      </c>
      <c r="R115" t="inlineStr">
        <is>
          <t>INV2503-00114</t>
        </is>
      </c>
      <c r="S115" t="inlineStr">
        <is>
          <t>※예시데이터</t>
        </is>
      </c>
    </row>
    <row r="116">
      <c r="A116" t="n">
        <v>1000</v>
      </c>
      <c r="B116" t="inlineStr">
        <is>
          <t>범용수지사업부</t>
        </is>
      </c>
      <c r="C116" t="inlineStr">
        <is>
          <t>국내영업2팀</t>
        </is>
      </c>
      <c r="D116" t="inlineStr">
        <is>
          <t>C10050</t>
        </is>
      </c>
      <c r="E116" t="inlineStr">
        <is>
          <t>아름화학(주)</t>
        </is>
      </c>
      <c r="F116" t="inlineStr">
        <is>
          <t>PP</t>
        </is>
      </c>
      <c r="G116" t="inlineStr">
        <is>
          <t>M-1103</t>
        </is>
      </c>
      <c r="H116" t="inlineStr">
        <is>
          <t>PP 투명 R330</t>
        </is>
      </c>
      <c r="I116" s="43" t="n">
        <v>45727</v>
      </c>
      <c r="J116" t="n">
        <v>202503</v>
      </c>
      <c r="K116" s="44" t="n">
        <v>9175</v>
      </c>
      <c r="L116" t="inlineStr">
        <is>
          <t>KG</t>
        </is>
      </c>
      <c r="M116" s="44" t="n">
        <v>17814571</v>
      </c>
      <c r="N116" s="44" t="n">
        <v>1781457</v>
      </c>
      <c r="O116" s="44" t="n">
        <v>178146</v>
      </c>
      <c r="P116" s="44" t="n">
        <v>15854968</v>
      </c>
      <c r="Q116" t="inlineStr">
        <is>
          <t>KRW</t>
        </is>
      </c>
      <c r="R116" t="inlineStr">
        <is>
          <t>INV2503-00115</t>
        </is>
      </c>
      <c r="S116" t="inlineStr">
        <is>
          <t>※예시데이터</t>
        </is>
      </c>
    </row>
    <row r="117">
      <c r="A117" t="n">
        <v>1000</v>
      </c>
      <c r="B117" t="inlineStr">
        <is>
          <t>범용수지사업부</t>
        </is>
      </c>
      <c r="C117" t="inlineStr">
        <is>
          <t>해외영업팀</t>
        </is>
      </c>
      <c r="D117" t="inlineStr">
        <is>
          <t>C10071</t>
        </is>
      </c>
      <c r="E117" t="inlineStr">
        <is>
          <t>큰별코리아</t>
        </is>
      </c>
      <c r="F117" t="inlineStr">
        <is>
          <t>PE</t>
        </is>
      </c>
      <c r="G117" t="inlineStr">
        <is>
          <t>M-1201</t>
        </is>
      </c>
      <c r="H117" t="inlineStr">
        <is>
          <t>HDPE 블로우 B500</t>
        </is>
      </c>
      <c r="I117" s="43" t="n">
        <v>45727</v>
      </c>
      <c r="J117" t="n">
        <v>202503</v>
      </c>
      <c r="K117" s="44" t="n">
        <v>8475</v>
      </c>
      <c r="L117" t="inlineStr">
        <is>
          <t>KG</t>
        </is>
      </c>
      <c r="M117" s="44" t="n">
        <v>13401838</v>
      </c>
      <c r="N117" s="44" t="n">
        <v>1474202</v>
      </c>
      <c r="O117" s="44" t="n">
        <v>268037</v>
      </c>
      <c r="P117" s="44" t="n">
        <v>11659599</v>
      </c>
      <c r="Q117" t="inlineStr">
        <is>
          <t>KRW</t>
        </is>
      </c>
      <c r="R117" t="inlineStr">
        <is>
          <t>INV2503-00116</t>
        </is>
      </c>
      <c r="S117" t="inlineStr">
        <is>
          <t>※예시데이터</t>
        </is>
      </c>
    </row>
    <row r="118">
      <c r="A118" t="n">
        <v>1000</v>
      </c>
      <c r="B118" t="inlineStr">
        <is>
          <t>범용수지사업부</t>
        </is>
      </c>
      <c r="C118" t="inlineStr">
        <is>
          <t>국내영업2팀</t>
        </is>
      </c>
      <c r="D118" t="inlineStr">
        <is>
          <t>C10127</t>
        </is>
      </c>
      <c r="E118" t="inlineStr">
        <is>
          <t>미르패키징</t>
        </is>
      </c>
      <c r="F118" t="inlineStr">
        <is>
          <t>PP</t>
        </is>
      </c>
      <c r="G118" t="inlineStr">
        <is>
          <t>M-1101</t>
        </is>
      </c>
      <c r="H118" t="inlineStr">
        <is>
          <t>PP 범용사출 H110</t>
        </is>
      </c>
      <c r="I118" s="43" t="n">
        <v>45727</v>
      </c>
      <c r="J118" t="n">
        <v>202503</v>
      </c>
      <c r="K118" s="44" t="n">
        <v>2575</v>
      </c>
      <c r="L118" t="inlineStr">
        <is>
          <t>KG</t>
        </is>
      </c>
      <c r="M118" s="44" t="n">
        <v>4252348</v>
      </c>
      <c r="N118" s="44" t="n">
        <v>382711</v>
      </c>
      <c r="O118" t="n">
        <v>0</v>
      </c>
      <c r="P118" s="44" t="n">
        <v>3869637</v>
      </c>
      <c r="Q118" t="inlineStr">
        <is>
          <t>KRW</t>
        </is>
      </c>
      <c r="R118" t="inlineStr">
        <is>
          <t>INV2503-00117</t>
        </is>
      </c>
      <c r="S118" t="inlineStr">
        <is>
          <t>※예시데이터</t>
        </is>
      </c>
    </row>
    <row r="119">
      <c r="A119" t="n">
        <v>1000</v>
      </c>
      <c r="B119" t="inlineStr">
        <is>
          <t>EP사업부</t>
        </is>
      </c>
      <c r="C119" t="inlineStr">
        <is>
          <t>국내영업1팀</t>
        </is>
      </c>
      <c r="D119" t="inlineStr">
        <is>
          <t>C10057</t>
        </is>
      </c>
      <c r="E119" t="inlineStr">
        <is>
          <t>자연엠텍</t>
        </is>
      </c>
      <c r="F119" t="inlineStr">
        <is>
          <t>ABS</t>
        </is>
      </c>
      <c r="G119" t="inlineStr">
        <is>
          <t>M-2101</t>
        </is>
      </c>
      <c r="H119" t="inlineStr">
        <is>
          <t>ABS 범용 G300</t>
        </is>
      </c>
      <c r="I119" s="43" t="n">
        <v>45729</v>
      </c>
      <c r="J119" t="n">
        <v>202503</v>
      </c>
      <c r="K119" s="44" t="n">
        <v>2900</v>
      </c>
      <c r="L119" t="inlineStr">
        <is>
          <t>KG</t>
        </is>
      </c>
      <c r="M119" s="44" t="n">
        <v>7691507</v>
      </c>
      <c r="N119" s="44" t="n">
        <v>384575</v>
      </c>
      <c r="O119" t="n">
        <v>0</v>
      </c>
      <c r="P119" s="44" t="n">
        <v>7306932</v>
      </c>
      <c r="Q119" t="inlineStr">
        <is>
          <t>KRW</t>
        </is>
      </c>
      <c r="R119" t="inlineStr">
        <is>
          <t>INV2503-00118</t>
        </is>
      </c>
      <c r="S119" t="inlineStr">
        <is>
          <t>※예시데이터</t>
        </is>
      </c>
    </row>
    <row r="120">
      <c r="A120" t="n">
        <v>1000</v>
      </c>
      <c r="B120" t="inlineStr">
        <is>
          <t>EP사업부</t>
        </is>
      </c>
      <c r="C120" t="inlineStr">
        <is>
          <t>국내영업2팀</t>
        </is>
      </c>
      <c r="D120" t="inlineStr">
        <is>
          <t>C10099</t>
        </is>
      </c>
      <c r="E120" t="inlineStr">
        <is>
          <t>한울몰드</t>
        </is>
      </c>
      <c r="F120" t="inlineStr">
        <is>
          <t>ABS</t>
        </is>
      </c>
      <c r="G120" t="inlineStr">
        <is>
          <t>M-2102</t>
        </is>
      </c>
      <c r="H120" t="inlineStr">
        <is>
          <t>ABS 내열 HR500</t>
        </is>
      </c>
      <c r="I120" s="43" t="n">
        <v>45729</v>
      </c>
      <c r="J120" t="n">
        <v>202503</v>
      </c>
      <c r="K120" s="44" t="n">
        <v>3000</v>
      </c>
      <c r="L120" t="inlineStr">
        <is>
          <t>KG</t>
        </is>
      </c>
      <c r="M120" s="44" t="n">
        <v>8947570</v>
      </c>
      <c r="N120" s="44" t="n">
        <v>536854</v>
      </c>
      <c r="O120" t="n">
        <v>0</v>
      </c>
      <c r="P120" s="44" t="n">
        <v>8410716</v>
      </c>
      <c r="Q120" t="inlineStr">
        <is>
          <t>KRW</t>
        </is>
      </c>
      <c r="R120" t="inlineStr">
        <is>
          <t>INV2503-00119</t>
        </is>
      </c>
      <c r="S120" t="inlineStr">
        <is>
          <t>※예시데이터</t>
        </is>
      </c>
    </row>
    <row r="121">
      <c r="A121" t="n">
        <v>1000</v>
      </c>
      <c r="B121" t="inlineStr">
        <is>
          <t>범용수지사업부</t>
        </is>
      </c>
      <c r="C121" t="inlineStr">
        <is>
          <t>국내영업1팀</t>
        </is>
      </c>
      <c r="D121" t="inlineStr">
        <is>
          <t>C10001</t>
        </is>
      </c>
      <c r="E121" t="inlineStr">
        <is>
          <t>가온소재(주)</t>
        </is>
      </c>
      <c r="F121" t="inlineStr">
        <is>
          <t>PP</t>
        </is>
      </c>
      <c r="G121" t="inlineStr">
        <is>
          <t>M-1103</t>
        </is>
      </c>
      <c r="H121" t="inlineStr">
        <is>
          <t>PP 투명 R330</t>
        </is>
      </c>
      <c r="I121" s="43" t="n">
        <v>45730</v>
      </c>
      <c r="J121" t="n">
        <v>202503</v>
      </c>
      <c r="K121" s="44" t="n">
        <v>5125</v>
      </c>
      <c r="L121" t="inlineStr">
        <is>
          <t>KG</t>
        </is>
      </c>
      <c r="M121" s="44" t="n">
        <v>9950919</v>
      </c>
      <c r="N121" s="44" t="n">
        <v>597055</v>
      </c>
      <c r="O121" t="n">
        <v>0</v>
      </c>
      <c r="P121" s="44" t="n">
        <v>9353864</v>
      </c>
      <c r="Q121" t="inlineStr">
        <is>
          <t>KRW</t>
        </is>
      </c>
      <c r="R121" t="inlineStr">
        <is>
          <t>INV2503-00120</t>
        </is>
      </c>
      <c r="S121" t="inlineStr">
        <is>
          <t>※예시데이터</t>
        </is>
      </c>
    </row>
    <row r="122">
      <c r="A122" t="n">
        <v>1000</v>
      </c>
      <c r="B122" t="inlineStr">
        <is>
          <t>범용수지사업부</t>
        </is>
      </c>
      <c r="C122" t="inlineStr">
        <is>
          <t>국내영업2팀</t>
        </is>
      </c>
      <c r="D122" t="inlineStr">
        <is>
          <t>C10127</t>
        </is>
      </c>
      <c r="E122" t="inlineStr">
        <is>
          <t>미르패키징</t>
        </is>
      </c>
      <c r="F122" t="inlineStr">
        <is>
          <t>PE</t>
        </is>
      </c>
      <c r="G122" t="inlineStr">
        <is>
          <t>M-1202</t>
        </is>
      </c>
      <c r="H122" t="inlineStr">
        <is>
          <t>LLDPE 필름 F120</t>
        </is>
      </c>
      <c r="I122" s="43" t="n">
        <v>45730</v>
      </c>
      <c r="J122" t="n">
        <v>202503</v>
      </c>
      <c r="K122" s="44" t="n">
        <v>1775</v>
      </c>
      <c r="L122" t="inlineStr">
        <is>
          <t>KG</t>
        </is>
      </c>
      <c r="M122" s="44" t="n">
        <v>3037820</v>
      </c>
      <c r="N122" s="44" t="n">
        <v>273404</v>
      </c>
      <c r="O122" t="n">
        <v>0</v>
      </c>
      <c r="P122" s="44" t="n">
        <v>2764416</v>
      </c>
      <c r="Q122" t="inlineStr">
        <is>
          <t>KRW</t>
        </is>
      </c>
      <c r="R122" t="inlineStr">
        <is>
          <t>INV2503-00121</t>
        </is>
      </c>
      <c r="S122" t="inlineStr">
        <is>
          <t>※예시데이터</t>
        </is>
      </c>
    </row>
    <row r="123">
      <c r="A123" t="n">
        <v>1000</v>
      </c>
      <c r="B123" t="inlineStr">
        <is>
          <t>EP사업부</t>
        </is>
      </c>
      <c r="C123" t="inlineStr">
        <is>
          <t>국내영업1팀</t>
        </is>
      </c>
      <c r="D123" t="inlineStr">
        <is>
          <t>C10029</t>
        </is>
      </c>
      <c r="E123" t="inlineStr">
        <is>
          <t>마루정밀</t>
        </is>
      </c>
      <c r="F123" t="inlineStr">
        <is>
          <t>PC</t>
        </is>
      </c>
      <c r="G123" t="inlineStr">
        <is>
          <t>M-2201</t>
        </is>
      </c>
      <c r="H123" t="inlineStr">
        <is>
          <t>PC 일반 C100</t>
        </is>
      </c>
      <c r="I123" s="43" t="n">
        <v>45731</v>
      </c>
      <c r="J123" t="n">
        <v>202503</v>
      </c>
      <c r="K123" s="44" t="n">
        <v>5950</v>
      </c>
      <c r="L123" t="inlineStr">
        <is>
          <t>KG</t>
        </is>
      </c>
      <c r="M123" s="44" t="n">
        <v>23224648</v>
      </c>
      <c r="N123" s="44" t="n">
        <v>928986</v>
      </c>
      <c r="O123" t="n">
        <v>0</v>
      </c>
      <c r="P123" s="44" t="n">
        <v>22295662</v>
      </c>
      <c r="Q123" t="inlineStr">
        <is>
          <t>KRW</t>
        </is>
      </c>
      <c r="R123" t="inlineStr">
        <is>
          <t>INV2503-00122</t>
        </is>
      </c>
      <c r="S123" t="inlineStr">
        <is>
          <t>※예시데이터</t>
        </is>
      </c>
    </row>
    <row r="124">
      <c r="A124" t="n">
        <v>1000</v>
      </c>
      <c r="B124" t="inlineStr">
        <is>
          <t>EP사업부</t>
        </is>
      </c>
      <c r="C124" t="inlineStr">
        <is>
          <t>국내영업2팀</t>
        </is>
      </c>
      <c r="D124" t="inlineStr">
        <is>
          <t>C10113</t>
        </is>
      </c>
      <c r="E124" t="inlineStr">
        <is>
          <t>누리오토파츠</t>
        </is>
      </c>
      <c r="F124" t="inlineStr">
        <is>
          <t>ABS</t>
        </is>
      </c>
      <c r="G124" t="inlineStr">
        <is>
          <t>M-2101</t>
        </is>
      </c>
      <c r="H124" t="inlineStr">
        <is>
          <t>ABS 범용 G300</t>
        </is>
      </c>
      <c r="I124" s="43" t="n">
        <v>45731</v>
      </c>
      <c r="J124" t="n">
        <v>202503</v>
      </c>
      <c r="K124" s="44" t="n">
        <v>1575</v>
      </c>
      <c r="L124" t="inlineStr">
        <is>
          <t>KG</t>
        </is>
      </c>
      <c r="M124" s="44" t="n">
        <v>4177284</v>
      </c>
      <c r="N124" s="44" t="n">
        <v>292410</v>
      </c>
      <c r="O124" s="44" t="n">
        <v>41773</v>
      </c>
      <c r="P124" s="44" t="n">
        <v>3843101</v>
      </c>
      <c r="Q124" t="inlineStr">
        <is>
          <t>KRW</t>
        </is>
      </c>
      <c r="R124" t="inlineStr">
        <is>
          <t>INV2503-00123</t>
        </is>
      </c>
      <c r="S124" t="inlineStr">
        <is>
          <t>※예시데이터</t>
        </is>
      </c>
    </row>
    <row r="125">
      <c r="A125" t="n">
        <v>1000</v>
      </c>
      <c r="B125" t="inlineStr">
        <is>
          <t>범용수지사업부</t>
        </is>
      </c>
      <c r="C125" t="inlineStr">
        <is>
          <t>국내영업2팀</t>
        </is>
      </c>
      <c r="D125" t="inlineStr">
        <is>
          <t>C10099</t>
        </is>
      </c>
      <c r="E125" t="inlineStr">
        <is>
          <t>한울몰드</t>
        </is>
      </c>
      <c r="F125" t="inlineStr">
        <is>
          <t>PP</t>
        </is>
      </c>
      <c r="G125" t="inlineStr">
        <is>
          <t>M-1101</t>
        </is>
      </c>
      <c r="H125" t="inlineStr">
        <is>
          <t>PP 범용사출 H110</t>
        </is>
      </c>
      <c r="I125" s="43" t="n">
        <v>45732</v>
      </c>
      <c r="J125" t="n">
        <v>202503</v>
      </c>
      <c r="K125" s="44" t="n">
        <v>2825</v>
      </c>
      <c r="L125" t="inlineStr">
        <is>
          <t>KG</t>
        </is>
      </c>
      <c r="M125" s="44" t="n">
        <v>4665197</v>
      </c>
      <c r="N125" s="44" t="n">
        <v>279912</v>
      </c>
      <c r="O125" t="n">
        <v>0</v>
      </c>
      <c r="P125" s="44" t="n">
        <v>4385285</v>
      </c>
      <c r="Q125" t="inlineStr">
        <is>
          <t>KRW</t>
        </is>
      </c>
      <c r="R125" t="inlineStr">
        <is>
          <t>INV2503-00124</t>
        </is>
      </c>
      <c r="S125" t="inlineStr">
        <is>
          <t>※예시데이터</t>
        </is>
      </c>
    </row>
    <row r="126">
      <c r="A126" t="n">
        <v>1000</v>
      </c>
      <c r="B126" t="inlineStr">
        <is>
          <t>EP사업부</t>
        </is>
      </c>
      <c r="C126" t="inlineStr">
        <is>
          <t>국내영업2팀</t>
        </is>
      </c>
      <c r="D126" t="inlineStr">
        <is>
          <t>C10015</t>
        </is>
      </c>
      <c r="E126" t="inlineStr">
        <is>
          <t>다솜케미칼</t>
        </is>
      </c>
      <c r="F126" t="inlineStr">
        <is>
          <t>PC</t>
        </is>
      </c>
      <c r="G126" t="inlineStr">
        <is>
          <t>M-2202</t>
        </is>
      </c>
      <c r="H126" t="inlineStr">
        <is>
          <t>PC 난연 FR200</t>
        </is>
      </c>
      <c r="I126" s="43" t="n">
        <v>45733</v>
      </c>
      <c r="J126" t="n">
        <v>202503</v>
      </c>
      <c r="K126" s="44" t="n">
        <v>3475</v>
      </c>
      <c r="L126" t="inlineStr">
        <is>
          <t>KG</t>
        </is>
      </c>
      <c r="M126" s="44" t="n">
        <v>15129049</v>
      </c>
      <c r="N126" s="44" t="n">
        <v>756452</v>
      </c>
      <c r="O126" t="n">
        <v>0</v>
      </c>
      <c r="P126" s="44" t="n">
        <v>14372597</v>
      </c>
      <c r="Q126" t="inlineStr">
        <is>
          <t>KRW</t>
        </is>
      </c>
      <c r="R126" t="inlineStr">
        <is>
          <t>INV2503-00125</t>
        </is>
      </c>
      <c r="S126" t="inlineStr">
        <is>
          <t>※예시데이터</t>
        </is>
      </c>
    </row>
    <row r="127">
      <c r="A127" t="n">
        <v>1000</v>
      </c>
      <c r="B127" t="inlineStr">
        <is>
          <t>EP사업부</t>
        </is>
      </c>
      <c r="C127" t="inlineStr">
        <is>
          <t>국내영업1팀</t>
        </is>
      </c>
      <c r="D127" t="inlineStr">
        <is>
          <t>C10043</t>
        </is>
      </c>
      <c r="E127" t="inlineStr">
        <is>
          <t>새봄플라스틱</t>
        </is>
      </c>
      <c r="F127" t="inlineStr">
        <is>
          <t>ABS</t>
        </is>
      </c>
      <c r="G127" t="inlineStr">
        <is>
          <t>M-2102</t>
        </is>
      </c>
      <c r="H127" t="inlineStr">
        <is>
          <t>ABS 내열 HR500</t>
        </is>
      </c>
      <c r="I127" s="43" t="n">
        <v>45733</v>
      </c>
      <c r="J127" t="n">
        <v>202503</v>
      </c>
      <c r="K127" s="44" t="n">
        <v>4250</v>
      </c>
      <c r="L127" t="inlineStr">
        <is>
          <t>KG</t>
        </is>
      </c>
      <c r="M127" s="44" t="n">
        <v>12675724</v>
      </c>
      <c r="N127" s="44" t="n">
        <v>760543</v>
      </c>
      <c r="O127" t="n">
        <v>0</v>
      </c>
      <c r="P127" s="44" t="n">
        <v>11915181</v>
      </c>
      <c r="Q127" t="inlineStr">
        <is>
          <t>KRW</t>
        </is>
      </c>
      <c r="R127" t="inlineStr">
        <is>
          <t>INV2503-00126</t>
        </is>
      </c>
      <c r="S127" t="inlineStr">
        <is>
          <t>※예시데이터</t>
        </is>
      </c>
    </row>
    <row r="128">
      <c r="A128" t="n">
        <v>1000</v>
      </c>
      <c r="B128" t="inlineStr">
        <is>
          <t>범용수지사업부</t>
        </is>
      </c>
      <c r="C128" t="inlineStr">
        <is>
          <t>국내영업1팀</t>
        </is>
      </c>
      <c r="D128" t="inlineStr">
        <is>
          <t>C10106</t>
        </is>
      </c>
      <c r="E128" t="inlineStr">
        <is>
          <t>온새미사출</t>
        </is>
      </c>
      <c r="F128" t="inlineStr">
        <is>
          <t>PP</t>
        </is>
      </c>
      <c r="G128" t="inlineStr">
        <is>
          <t>M-1101</t>
        </is>
      </c>
      <c r="H128" t="inlineStr">
        <is>
          <t>PP 범용사출 H110</t>
        </is>
      </c>
      <c r="I128" s="43" t="n">
        <v>45734</v>
      </c>
      <c r="J128" t="n">
        <v>202503</v>
      </c>
      <c r="K128" s="44" t="n">
        <v>6775</v>
      </c>
      <c r="L128" t="inlineStr">
        <is>
          <t>KG</t>
        </is>
      </c>
      <c r="M128" s="44" t="n">
        <v>11188215</v>
      </c>
      <c r="N128" s="44" t="n">
        <v>559411</v>
      </c>
      <c r="O128" t="n">
        <v>0</v>
      </c>
      <c r="P128" s="44" t="n">
        <v>10628804</v>
      </c>
      <c r="Q128" t="inlineStr">
        <is>
          <t>KRW</t>
        </is>
      </c>
      <c r="R128" t="inlineStr">
        <is>
          <t>INV2503-00127</t>
        </is>
      </c>
      <c r="S128" t="inlineStr">
        <is>
          <t>※예시데이터</t>
        </is>
      </c>
    </row>
    <row r="129">
      <c r="A129" t="n">
        <v>1000</v>
      </c>
      <c r="B129" t="inlineStr">
        <is>
          <t>EP사업부</t>
        </is>
      </c>
      <c r="C129" t="inlineStr">
        <is>
          <t>국내영업2팀</t>
        </is>
      </c>
      <c r="D129" t="inlineStr">
        <is>
          <t>C10113</t>
        </is>
      </c>
      <c r="E129" t="inlineStr">
        <is>
          <t>누리오토파츠</t>
        </is>
      </c>
      <c r="F129" t="inlineStr">
        <is>
          <t>ABS</t>
        </is>
      </c>
      <c r="G129" t="inlineStr">
        <is>
          <t>M-2102</t>
        </is>
      </c>
      <c r="H129" t="inlineStr">
        <is>
          <t>ABS 내열 HR500</t>
        </is>
      </c>
      <c r="I129" s="43" t="n">
        <v>45735</v>
      </c>
      <c r="J129" t="n">
        <v>202503</v>
      </c>
      <c r="K129" s="44" t="n">
        <v>3200</v>
      </c>
      <c r="L129" t="inlineStr">
        <is>
          <t>KG</t>
        </is>
      </c>
      <c r="M129" s="44" t="n">
        <v>9544074</v>
      </c>
      <c r="N129" s="44" t="n">
        <v>668085</v>
      </c>
      <c r="O129" s="44" t="n">
        <v>95441</v>
      </c>
      <c r="P129" s="44" t="n">
        <v>8780548</v>
      </c>
      <c r="Q129" t="inlineStr">
        <is>
          <t>KRW</t>
        </is>
      </c>
      <c r="R129" t="inlineStr">
        <is>
          <t>INV2503-00128</t>
        </is>
      </c>
      <c r="S129" t="inlineStr">
        <is>
          <t>※예시데이터</t>
        </is>
      </c>
    </row>
    <row r="130">
      <c r="A130" t="n">
        <v>1000</v>
      </c>
      <c r="B130" t="inlineStr">
        <is>
          <t>EP사업부</t>
        </is>
      </c>
      <c r="C130" t="inlineStr">
        <is>
          <t>국내영업1팀</t>
        </is>
      </c>
      <c r="D130" t="inlineStr">
        <is>
          <t>C10078</t>
        </is>
      </c>
      <c r="E130" t="inlineStr">
        <is>
          <t>토담정공(주)</t>
        </is>
      </c>
      <c r="F130" t="inlineStr">
        <is>
          <t>ABS</t>
        </is>
      </c>
      <c r="G130" t="inlineStr">
        <is>
          <t>M-2102</t>
        </is>
      </c>
      <c r="H130" t="inlineStr">
        <is>
          <t>ABS 내열 HR500</t>
        </is>
      </c>
      <c r="I130" s="43" t="n">
        <v>45737</v>
      </c>
      <c r="J130" t="n">
        <v>202503</v>
      </c>
      <c r="K130" s="44" t="n">
        <v>4400</v>
      </c>
      <c r="L130" t="inlineStr">
        <is>
          <t>KG</t>
        </is>
      </c>
      <c r="M130" s="44" t="n">
        <v>13123102</v>
      </c>
      <c r="N130" s="44" t="n">
        <v>393693</v>
      </c>
      <c r="O130" t="n">
        <v>0</v>
      </c>
      <c r="P130" s="44" t="n">
        <v>12729409</v>
      </c>
      <c r="Q130" t="inlineStr">
        <is>
          <t>KRW</t>
        </is>
      </c>
      <c r="R130" t="inlineStr">
        <is>
          <t>INV2503-00129</t>
        </is>
      </c>
      <c r="S130" t="inlineStr">
        <is>
          <t>※예시데이터</t>
        </is>
      </c>
    </row>
    <row r="131">
      <c r="A131" t="n">
        <v>1000</v>
      </c>
      <c r="B131" t="inlineStr">
        <is>
          <t>범용수지사업부</t>
        </is>
      </c>
      <c r="C131" t="inlineStr">
        <is>
          <t>국내영업2팀</t>
        </is>
      </c>
      <c r="D131" t="inlineStr">
        <is>
          <t>C10127</t>
        </is>
      </c>
      <c r="E131" t="inlineStr">
        <is>
          <t>미르패키징</t>
        </is>
      </c>
      <c r="F131" t="inlineStr">
        <is>
          <t>PE</t>
        </is>
      </c>
      <c r="G131" t="inlineStr">
        <is>
          <t>M-1202</t>
        </is>
      </c>
      <c r="H131" t="inlineStr">
        <is>
          <t>LLDPE 필름 F120</t>
        </is>
      </c>
      <c r="I131" s="43" t="n">
        <v>45738</v>
      </c>
      <c r="J131" t="n">
        <v>202503</v>
      </c>
      <c r="K131" s="44" t="n">
        <v>1775</v>
      </c>
      <c r="L131" t="inlineStr">
        <is>
          <t>KG</t>
        </is>
      </c>
      <c r="M131" s="44" t="n">
        <v>3037820</v>
      </c>
      <c r="N131" s="44" t="n">
        <v>273404</v>
      </c>
      <c r="O131" t="n">
        <v>0</v>
      </c>
      <c r="P131" s="44" t="n">
        <v>2764416</v>
      </c>
      <c r="Q131" t="inlineStr">
        <is>
          <t>KRW</t>
        </is>
      </c>
      <c r="R131" t="inlineStr">
        <is>
          <t>INV2503-00130</t>
        </is>
      </c>
      <c r="S131" t="inlineStr">
        <is>
          <t>※예시데이터</t>
        </is>
      </c>
    </row>
    <row r="132">
      <c r="A132" t="n">
        <v>1000</v>
      </c>
      <c r="B132" t="inlineStr">
        <is>
          <t>범용수지사업부</t>
        </is>
      </c>
      <c r="C132" t="inlineStr">
        <is>
          <t>국내영업1팀</t>
        </is>
      </c>
      <c r="D132" t="inlineStr">
        <is>
          <t>C10043</t>
        </is>
      </c>
      <c r="E132" t="inlineStr">
        <is>
          <t>새봄플라스틱</t>
        </is>
      </c>
      <c r="F132" t="inlineStr">
        <is>
          <t>PP</t>
        </is>
      </c>
      <c r="G132" t="inlineStr">
        <is>
          <t>M-1103</t>
        </is>
      </c>
      <c r="H132" t="inlineStr">
        <is>
          <t>PP 투명 R330</t>
        </is>
      </c>
      <c r="I132" s="43" t="n">
        <v>45739</v>
      </c>
      <c r="J132" t="n">
        <v>202503</v>
      </c>
      <c r="K132" s="44" t="n">
        <v>4000</v>
      </c>
      <c r="L132" t="inlineStr">
        <is>
          <t>KG</t>
        </is>
      </c>
      <c r="M132" s="44" t="n">
        <v>7766571</v>
      </c>
      <c r="N132" s="44" t="n">
        <v>465994</v>
      </c>
      <c r="O132" t="n">
        <v>0</v>
      </c>
      <c r="P132" s="44" t="n">
        <v>7300577</v>
      </c>
      <c r="Q132" t="inlineStr">
        <is>
          <t>KRW</t>
        </is>
      </c>
      <c r="R132" t="inlineStr">
        <is>
          <t>INV2503-00131</t>
        </is>
      </c>
      <c r="S132" t="inlineStr">
        <is>
          <t>※예시데이터</t>
        </is>
      </c>
    </row>
    <row r="133">
      <c r="A133" t="n">
        <v>1000</v>
      </c>
      <c r="B133" t="inlineStr">
        <is>
          <t>범용수지사업부</t>
        </is>
      </c>
      <c r="C133" t="inlineStr">
        <is>
          <t>국내영업2팀</t>
        </is>
      </c>
      <c r="D133" t="inlineStr">
        <is>
          <t>C10050</t>
        </is>
      </c>
      <c r="E133" t="inlineStr">
        <is>
          <t>아름화학(주)</t>
        </is>
      </c>
      <c r="F133" t="inlineStr">
        <is>
          <t>PE</t>
        </is>
      </c>
      <c r="G133" t="inlineStr">
        <is>
          <t>M-1201</t>
        </is>
      </c>
      <c r="H133" t="inlineStr">
        <is>
          <t>HDPE 블로우 B500</t>
        </is>
      </c>
      <c r="I133" s="43" t="n">
        <v>45739</v>
      </c>
      <c r="J133" t="n">
        <v>202503</v>
      </c>
      <c r="K133" s="44" t="n">
        <v>9575</v>
      </c>
      <c r="L133" t="inlineStr">
        <is>
          <t>KG</t>
        </is>
      </c>
      <c r="M133" s="44" t="n">
        <v>15141310</v>
      </c>
      <c r="N133" s="44" t="n">
        <v>1514131</v>
      </c>
      <c r="O133" s="44" t="n">
        <v>151413</v>
      </c>
      <c r="P133" s="44" t="n">
        <v>13475766</v>
      </c>
      <c r="Q133" t="inlineStr">
        <is>
          <t>KRW</t>
        </is>
      </c>
      <c r="R133" t="inlineStr">
        <is>
          <t>INV2503-00132</t>
        </is>
      </c>
      <c r="S133" t="inlineStr">
        <is>
          <t>※예시데이터</t>
        </is>
      </c>
    </row>
    <row r="134">
      <c r="A134" t="n">
        <v>1000</v>
      </c>
      <c r="B134" t="inlineStr">
        <is>
          <t>범용수지사업부</t>
        </is>
      </c>
      <c r="C134" t="inlineStr">
        <is>
          <t>국내영업2팀</t>
        </is>
      </c>
      <c r="D134" t="inlineStr">
        <is>
          <t>C10127</t>
        </is>
      </c>
      <c r="E134" t="inlineStr">
        <is>
          <t>미르패키징</t>
        </is>
      </c>
      <c r="F134" t="inlineStr">
        <is>
          <t>PP</t>
        </is>
      </c>
      <c r="G134" t="inlineStr">
        <is>
          <t>M-1101</t>
        </is>
      </c>
      <c r="H134" t="inlineStr">
        <is>
          <t>PP 범용사출 H110</t>
        </is>
      </c>
      <c r="I134" s="43" t="n">
        <v>45739</v>
      </c>
      <c r="J134" t="n">
        <v>202503</v>
      </c>
      <c r="K134" s="44" t="n">
        <v>2575</v>
      </c>
      <c r="L134" t="inlineStr">
        <is>
          <t>KG</t>
        </is>
      </c>
      <c r="M134" s="44" t="n">
        <v>4252348</v>
      </c>
      <c r="N134" s="44" t="n">
        <v>382711</v>
      </c>
      <c r="O134" t="n">
        <v>0</v>
      </c>
      <c r="P134" s="44" t="n">
        <v>3869637</v>
      </c>
      <c r="Q134" t="inlineStr">
        <is>
          <t>KRW</t>
        </is>
      </c>
      <c r="R134" t="inlineStr">
        <is>
          <t>INV2503-00133</t>
        </is>
      </c>
      <c r="S134" t="inlineStr">
        <is>
          <t>※예시데이터</t>
        </is>
      </c>
    </row>
    <row r="135">
      <c r="A135" t="n">
        <v>1000</v>
      </c>
      <c r="B135" t="inlineStr">
        <is>
          <t>EP사업부</t>
        </is>
      </c>
      <c r="C135" t="inlineStr">
        <is>
          <t>국내영업1팀</t>
        </is>
      </c>
      <c r="D135" t="inlineStr">
        <is>
          <t>C10043</t>
        </is>
      </c>
      <c r="E135" t="inlineStr">
        <is>
          <t>새봄플라스틱</t>
        </is>
      </c>
      <c r="F135" t="inlineStr">
        <is>
          <t>ABS</t>
        </is>
      </c>
      <c r="G135" t="inlineStr">
        <is>
          <t>M-2101</t>
        </is>
      </c>
      <c r="H135" t="inlineStr">
        <is>
          <t>ABS 범용 G300</t>
        </is>
      </c>
      <c r="I135" s="43" t="n">
        <v>45740</v>
      </c>
      <c r="J135" t="n">
        <v>202503</v>
      </c>
      <c r="K135" s="44" t="n">
        <v>5525</v>
      </c>
      <c r="L135" t="inlineStr">
        <is>
          <t>KG</t>
        </is>
      </c>
      <c r="M135" s="44" t="n">
        <v>14653647</v>
      </c>
      <c r="N135" s="44" t="n">
        <v>879219</v>
      </c>
      <c r="O135" t="n">
        <v>0</v>
      </c>
      <c r="P135" s="44" t="n">
        <v>13774428</v>
      </c>
      <c r="Q135" t="inlineStr">
        <is>
          <t>KRW</t>
        </is>
      </c>
      <c r="R135" t="inlineStr">
        <is>
          <t>INV2503-00134</t>
        </is>
      </c>
      <c r="S135" t="inlineStr">
        <is>
          <t>※예시데이터</t>
        </is>
      </c>
    </row>
    <row r="136">
      <c r="A136" t="n">
        <v>1000</v>
      </c>
      <c r="B136" t="inlineStr">
        <is>
          <t>EP사업부</t>
        </is>
      </c>
      <c r="C136" t="inlineStr">
        <is>
          <t>국내영업1팀</t>
        </is>
      </c>
      <c r="D136" t="inlineStr">
        <is>
          <t>C10134</t>
        </is>
      </c>
      <c r="E136" t="inlineStr">
        <is>
          <t>별하전자(주)</t>
        </is>
      </c>
      <c r="F136" t="inlineStr">
        <is>
          <t>PC</t>
        </is>
      </c>
      <c r="G136" t="inlineStr">
        <is>
          <t>M-2201</t>
        </is>
      </c>
      <c r="H136" t="inlineStr">
        <is>
          <t>PC 일반 C100</t>
        </is>
      </c>
      <c r="I136" s="43" t="n">
        <v>45741</v>
      </c>
      <c r="J136" t="n">
        <v>202503</v>
      </c>
      <c r="K136" s="44" t="n">
        <v>1225</v>
      </c>
      <c r="L136" t="inlineStr">
        <is>
          <t>KG</t>
        </is>
      </c>
      <c r="M136" s="44" t="n">
        <v>4781545</v>
      </c>
      <c r="N136" s="44" t="n">
        <v>143446</v>
      </c>
      <c r="O136" t="n">
        <v>0</v>
      </c>
      <c r="P136" s="44" t="n">
        <v>4638099</v>
      </c>
      <c r="Q136" t="inlineStr">
        <is>
          <t>KRW</t>
        </is>
      </c>
      <c r="R136" t="inlineStr">
        <is>
          <t>INV2503-00135</t>
        </is>
      </c>
      <c r="S136" t="inlineStr">
        <is>
          <t>※예시데이터</t>
        </is>
      </c>
    </row>
    <row r="137">
      <c r="A137" t="n">
        <v>1000</v>
      </c>
      <c r="B137" t="inlineStr">
        <is>
          <t>EP사업부</t>
        </is>
      </c>
      <c r="C137" t="inlineStr">
        <is>
          <t>국내영업1팀</t>
        </is>
      </c>
      <c r="D137" t="inlineStr">
        <is>
          <t>C10134</t>
        </is>
      </c>
      <c r="E137" t="inlineStr">
        <is>
          <t>별하전자(주)</t>
        </is>
      </c>
      <c r="F137" t="inlineStr">
        <is>
          <t>PC</t>
        </is>
      </c>
      <c r="G137" t="inlineStr">
        <is>
          <t>M-2202</t>
        </is>
      </c>
      <c r="H137" t="inlineStr">
        <is>
          <t>PC 난연 FR200</t>
        </is>
      </c>
      <c r="I137" s="43" t="n">
        <v>45741</v>
      </c>
      <c r="J137" t="n">
        <v>202503</v>
      </c>
      <c r="K137" s="44" t="n">
        <v>1500</v>
      </c>
      <c r="L137" t="inlineStr">
        <is>
          <t>KG</t>
        </is>
      </c>
      <c r="M137" s="44" t="n">
        <v>6530525</v>
      </c>
      <c r="N137" s="44" t="n">
        <v>195916</v>
      </c>
      <c r="O137" t="n">
        <v>0</v>
      </c>
      <c r="P137" s="44" t="n">
        <v>6334609</v>
      </c>
      <c r="Q137" t="inlineStr">
        <is>
          <t>KRW</t>
        </is>
      </c>
      <c r="R137" t="inlineStr">
        <is>
          <t>INV2503-00136</t>
        </is>
      </c>
      <c r="S137" t="inlineStr">
        <is>
          <t>※예시데이터</t>
        </is>
      </c>
    </row>
    <row r="138">
      <c r="A138" t="n">
        <v>1000</v>
      </c>
      <c r="B138" t="inlineStr">
        <is>
          <t>범용수지사업부</t>
        </is>
      </c>
      <c r="C138" t="inlineStr">
        <is>
          <t>국내영업2팀</t>
        </is>
      </c>
      <c r="D138" t="inlineStr">
        <is>
          <t>C10036</t>
        </is>
      </c>
      <c r="E138" t="inlineStr">
        <is>
          <t>바른물산</t>
        </is>
      </c>
      <c r="F138" t="inlineStr">
        <is>
          <t>PE</t>
        </is>
      </c>
      <c r="G138" t="inlineStr">
        <is>
          <t>M-1201</t>
        </is>
      </c>
      <c r="H138" t="inlineStr">
        <is>
          <t>HDPE 블로우 B500</t>
        </is>
      </c>
      <c r="I138" s="43" t="n">
        <v>45742</v>
      </c>
      <c r="J138" t="n">
        <v>202503</v>
      </c>
      <c r="K138" s="44" t="n">
        <v>16975</v>
      </c>
      <c r="L138" t="inlineStr">
        <is>
          <t>KG</t>
        </is>
      </c>
      <c r="M138" s="44" t="n">
        <v>26843209</v>
      </c>
      <c r="N138" s="44" t="n">
        <v>2415889</v>
      </c>
      <c r="O138" s="44" t="n">
        <v>536864</v>
      </c>
      <c r="P138" s="44" t="n">
        <v>23890456</v>
      </c>
      <c r="Q138" t="inlineStr">
        <is>
          <t>KRW</t>
        </is>
      </c>
      <c r="R138" t="inlineStr">
        <is>
          <t>INV2503-00137</t>
        </is>
      </c>
      <c r="S138" t="inlineStr">
        <is>
          <t>※예시데이터</t>
        </is>
      </c>
    </row>
    <row r="139">
      <c r="A139" t="n">
        <v>1000</v>
      </c>
      <c r="B139" t="inlineStr">
        <is>
          <t>범용수지사업부</t>
        </is>
      </c>
      <c r="C139" t="inlineStr">
        <is>
          <t>국내영업2팀</t>
        </is>
      </c>
      <c r="D139" t="inlineStr">
        <is>
          <t>C10127</t>
        </is>
      </c>
      <c r="E139" t="inlineStr">
        <is>
          <t>미르패키징</t>
        </is>
      </c>
      <c r="F139" t="inlineStr">
        <is>
          <t>PE</t>
        </is>
      </c>
      <c r="G139" t="inlineStr">
        <is>
          <t>M-1201</t>
        </is>
      </c>
      <c r="H139" t="inlineStr">
        <is>
          <t>HDPE 블로우 B500</t>
        </is>
      </c>
      <c r="I139" s="43" t="n">
        <v>45742</v>
      </c>
      <c r="J139" t="n">
        <v>202503</v>
      </c>
      <c r="K139" s="44" t="n">
        <v>5025</v>
      </c>
      <c r="L139" t="inlineStr">
        <is>
          <t>KG</t>
        </is>
      </c>
      <c r="M139" s="44" t="n">
        <v>7946223</v>
      </c>
      <c r="N139" s="44" t="n">
        <v>715160</v>
      </c>
      <c r="O139" t="n">
        <v>0</v>
      </c>
      <c r="P139" s="44" t="n">
        <v>7231063</v>
      </c>
      <c r="Q139" t="inlineStr">
        <is>
          <t>KRW</t>
        </is>
      </c>
      <c r="R139" t="inlineStr">
        <is>
          <t>INV2503-00138</t>
        </is>
      </c>
      <c r="S139" t="inlineStr">
        <is>
          <t>※예시데이터</t>
        </is>
      </c>
    </row>
    <row r="140">
      <c r="A140" t="n">
        <v>1000</v>
      </c>
      <c r="B140" t="inlineStr">
        <is>
          <t>범용수지사업부</t>
        </is>
      </c>
      <c r="C140" t="inlineStr">
        <is>
          <t>국내영업1팀</t>
        </is>
      </c>
      <c r="D140" t="inlineStr">
        <is>
          <t>C10008</t>
        </is>
      </c>
      <c r="E140" t="inlineStr">
        <is>
          <t>나래산업(주)</t>
        </is>
      </c>
      <c r="F140" t="inlineStr">
        <is>
          <t>PP</t>
        </is>
      </c>
      <c r="G140" t="inlineStr">
        <is>
          <t>M-1101</t>
        </is>
      </c>
      <c r="H140" t="inlineStr">
        <is>
          <t>PP 범용사출 H110</t>
        </is>
      </c>
      <c r="I140" s="43" t="n">
        <v>45743</v>
      </c>
      <c r="J140" t="n">
        <v>202503</v>
      </c>
      <c r="K140" s="44" t="n">
        <v>17000</v>
      </c>
      <c r="L140" t="inlineStr">
        <is>
          <t>KG</t>
        </is>
      </c>
      <c r="M140" s="44" t="n">
        <v>28073750</v>
      </c>
      <c r="N140" s="44" t="n">
        <v>2245900</v>
      </c>
      <c r="O140" s="44" t="n">
        <v>280738</v>
      </c>
      <c r="P140" s="44" t="n">
        <v>25547112</v>
      </c>
      <c r="Q140" t="inlineStr">
        <is>
          <t>KRW</t>
        </is>
      </c>
      <c r="R140" t="inlineStr">
        <is>
          <t>INV2503-00139</t>
        </is>
      </c>
      <c r="S140" t="inlineStr">
        <is>
          <t>※예시데이터</t>
        </is>
      </c>
    </row>
    <row r="141">
      <c r="A141" t="n">
        <v>1000</v>
      </c>
      <c r="B141" t="inlineStr">
        <is>
          <t>EP사업부</t>
        </is>
      </c>
      <c r="C141" t="inlineStr">
        <is>
          <t>국내영업1팀</t>
        </is>
      </c>
      <c r="D141" t="inlineStr">
        <is>
          <t>C10057</t>
        </is>
      </c>
      <c r="E141" t="inlineStr">
        <is>
          <t>자연엠텍</t>
        </is>
      </c>
      <c r="F141" t="inlineStr">
        <is>
          <t>PC</t>
        </is>
      </c>
      <c r="G141" t="inlineStr">
        <is>
          <t>M-2201</t>
        </is>
      </c>
      <c r="H141" t="inlineStr">
        <is>
          <t>PC 일반 C100</t>
        </is>
      </c>
      <c r="I141" s="43" t="n">
        <v>45744</v>
      </c>
      <c r="J141" t="n">
        <v>202503</v>
      </c>
      <c r="K141" s="44" t="n">
        <v>2550</v>
      </c>
      <c r="L141" t="inlineStr">
        <is>
          <t>KG</t>
        </is>
      </c>
      <c r="M141" s="44" t="n">
        <v>9953421</v>
      </c>
      <c r="N141" s="44" t="n">
        <v>497671</v>
      </c>
      <c r="O141" t="n">
        <v>0</v>
      </c>
      <c r="P141" s="44" t="n">
        <v>9455750</v>
      </c>
      <c r="Q141" t="inlineStr">
        <is>
          <t>KRW</t>
        </is>
      </c>
      <c r="R141" t="inlineStr">
        <is>
          <t>INV2503-00140</t>
        </is>
      </c>
      <c r="S141" t="inlineStr">
        <is>
          <t>※예시데이터</t>
        </is>
      </c>
    </row>
    <row r="142">
      <c r="A142" t="n">
        <v>1000</v>
      </c>
      <c r="B142" t="inlineStr">
        <is>
          <t>범용수지사업부</t>
        </is>
      </c>
      <c r="C142" t="inlineStr">
        <is>
          <t>해외영업팀</t>
        </is>
      </c>
      <c r="D142" t="inlineStr">
        <is>
          <t>C10071</t>
        </is>
      </c>
      <c r="E142" t="inlineStr">
        <is>
          <t>큰별코리아</t>
        </is>
      </c>
      <c r="F142" t="inlineStr">
        <is>
          <t>PP</t>
        </is>
      </c>
      <c r="G142" t="inlineStr">
        <is>
          <t>M-1101</t>
        </is>
      </c>
      <c r="H142" t="inlineStr">
        <is>
          <t>PP 범용사출 H110</t>
        </is>
      </c>
      <c r="I142" s="43" t="n">
        <v>45744</v>
      </c>
      <c r="J142" t="n">
        <v>202503</v>
      </c>
      <c r="K142" s="44" t="n">
        <v>9350</v>
      </c>
      <c r="L142" t="inlineStr">
        <is>
          <t>KG</t>
        </is>
      </c>
      <c r="M142" s="44" t="n">
        <v>15440563</v>
      </c>
      <c r="N142" s="44" t="n">
        <v>1698462</v>
      </c>
      <c r="O142" s="44" t="n">
        <v>308811</v>
      </c>
      <c r="P142" s="44" t="n">
        <v>13433290</v>
      </c>
      <c r="Q142" t="inlineStr">
        <is>
          <t>KRW</t>
        </is>
      </c>
      <c r="R142" t="inlineStr">
        <is>
          <t>INV2503-00141</t>
        </is>
      </c>
      <c r="S142" t="inlineStr">
        <is>
          <t>※예시데이터</t>
        </is>
      </c>
    </row>
    <row r="143">
      <c r="A143" t="n">
        <v>1000</v>
      </c>
      <c r="B143" t="inlineStr">
        <is>
          <t>범용수지사업부</t>
        </is>
      </c>
      <c r="C143" t="inlineStr">
        <is>
          <t>국내영업2팀</t>
        </is>
      </c>
      <c r="D143" t="inlineStr">
        <is>
          <t>C10099</t>
        </is>
      </c>
      <c r="E143" t="inlineStr">
        <is>
          <t>한울몰드</t>
        </is>
      </c>
      <c r="F143" t="inlineStr">
        <is>
          <t>PP</t>
        </is>
      </c>
      <c r="G143" t="inlineStr">
        <is>
          <t>M-1101</t>
        </is>
      </c>
      <c r="H143" t="inlineStr">
        <is>
          <t>PP 범용사출 H110</t>
        </is>
      </c>
      <c r="I143" s="43" t="n">
        <v>45744</v>
      </c>
      <c r="J143" t="n">
        <v>202503</v>
      </c>
      <c r="K143" s="44" t="n">
        <v>2825</v>
      </c>
      <c r="L143" t="inlineStr">
        <is>
          <t>KG</t>
        </is>
      </c>
      <c r="M143" s="44" t="n">
        <v>4665197</v>
      </c>
      <c r="N143" s="44" t="n">
        <v>279912</v>
      </c>
      <c r="O143" t="n">
        <v>0</v>
      </c>
      <c r="P143" s="44" t="n">
        <v>4385285</v>
      </c>
      <c r="Q143" t="inlineStr">
        <is>
          <t>KRW</t>
        </is>
      </c>
      <c r="R143" t="inlineStr">
        <is>
          <t>INV2503-00142</t>
        </is>
      </c>
      <c r="S143" t="inlineStr">
        <is>
          <t>※예시데이터</t>
        </is>
      </c>
    </row>
    <row r="144">
      <c r="A144" t="n">
        <v>1000</v>
      </c>
      <c r="B144" t="inlineStr">
        <is>
          <t>범용수지사업부</t>
        </is>
      </c>
      <c r="C144" t="inlineStr">
        <is>
          <t>해외영업팀</t>
        </is>
      </c>
      <c r="D144" t="inlineStr">
        <is>
          <t>C10141</t>
        </is>
      </c>
      <c r="E144" t="inlineStr">
        <is>
          <t>Sinar Plastik (ID)</t>
        </is>
      </c>
      <c r="F144" t="inlineStr">
        <is>
          <t>PP</t>
        </is>
      </c>
      <c r="G144" t="inlineStr">
        <is>
          <t>M-1102</t>
        </is>
      </c>
      <c r="H144" t="inlineStr">
        <is>
          <t>PP 고강성 H220</t>
        </is>
      </c>
      <c r="I144" s="43" t="n">
        <v>45744</v>
      </c>
      <c r="J144" t="n">
        <v>202503</v>
      </c>
      <c r="K144" s="44" t="n">
        <v>-1050</v>
      </c>
      <c r="L144" t="inlineStr">
        <is>
          <t>KG</t>
        </is>
      </c>
      <c r="M144" s="44" t="n">
        <v>-1921426</v>
      </c>
      <c r="N144" s="44" t="n">
        <v>-230571</v>
      </c>
      <c r="O144" t="n">
        <v>0</v>
      </c>
      <c r="P144" s="44" t="n">
        <v>-1690855</v>
      </c>
      <c r="Q144" t="inlineStr">
        <is>
          <t>KRW</t>
        </is>
      </c>
      <c r="R144" t="inlineStr">
        <is>
          <t>INV2503-00143</t>
        </is>
      </c>
      <c r="S144" t="inlineStr">
        <is>
          <t>※예시데이터</t>
        </is>
      </c>
    </row>
    <row r="145">
      <c r="A145" t="n">
        <v>1000</v>
      </c>
      <c r="B145" t="inlineStr">
        <is>
          <t>범용수지사업부</t>
        </is>
      </c>
      <c r="C145" t="inlineStr">
        <is>
          <t>국내영업1팀</t>
        </is>
      </c>
      <c r="D145" t="inlineStr">
        <is>
          <t>C10001</t>
        </is>
      </c>
      <c r="E145" t="inlineStr">
        <is>
          <t>가온소재(주)</t>
        </is>
      </c>
      <c r="F145" t="inlineStr">
        <is>
          <t>PE</t>
        </is>
      </c>
      <c r="G145" t="inlineStr">
        <is>
          <t>M-1201</t>
        </is>
      </c>
      <c r="H145" t="inlineStr">
        <is>
          <t>HDPE 블로우 B500</t>
        </is>
      </c>
      <c r="I145" s="43" t="n">
        <v>45748</v>
      </c>
      <c r="J145" t="n">
        <v>202504</v>
      </c>
      <c r="K145" s="44" t="n">
        <v>3200</v>
      </c>
      <c r="L145" t="inlineStr">
        <is>
          <t>KG</t>
        </is>
      </c>
      <c r="M145" s="44" t="n">
        <v>5033042</v>
      </c>
      <c r="N145" s="44" t="n">
        <v>301983</v>
      </c>
      <c r="O145" t="n">
        <v>0</v>
      </c>
      <c r="P145" s="44" t="n">
        <v>4731059</v>
      </c>
      <c r="Q145" t="inlineStr">
        <is>
          <t>KRW</t>
        </is>
      </c>
      <c r="R145" t="inlineStr">
        <is>
          <t>INV2504-00144</t>
        </is>
      </c>
      <c r="S145" t="inlineStr">
        <is>
          <t>※예시데이터</t>
        </is>
      </c>
    </row>
    <row r="146">
      <c r="A146" t="n">
        <v>1000</v>
      </c>
      <c r="B146" t="inlineStr">
        <is>
          <t>범용수지사업부</t>
        </is>
      </c>
      <c r="C146" t="inlineStr">
        <is>
          <t>국내영업2팀</t>
        </is>
      </c>
      <c r="D146" t="inlineStr">
        <is>
          <t>C10050</t>
        </is>
      </c>
      <c r="E146" t="inlineStr">
        <is>
          <t>아름화학(주)</t>
        </is>
      </c>
      <c r="F146" t="inlineStr">
        <is>
          <t>PE</t>
        </is>
      </c>
      <c r="G146" t="inlineStr">
        <is>
          <t>M-1201</t>
        </is>
      </c>
      <c r="H146" t="inlineStr">
        <is>
          <t>HDPE 블로우 B500</t>
        </is>
      </c>
      <c r="I146" s="43" t="n">
        <v>45748</v>
      </c>
      <c r="J146" t="n">
        <v>202504</v>
      </c>
      <c r="K146" s="44" t="n">
        <v>5500</v>
      </c>
      <c r="L146" t="inlineStr">
        <is>
          <t>KG</t>
        </is>
      </c>
      <c r="M146" s="44" t="n">
        <v>8650540</v>
      </c>
      <c r="N146" s="44" t="n">
        <v>865054</v>
      </c>
      <c r="O146" s="44" t="n">
        <v>86505</v>
      </c>
      <c r="P146" s="44" t="n">
        <v>7698981</v>
      </c>
      <c r="Q146" t="inlineStr">
        <is>
          <t>KRW</t>
        </is>
      </c>
      <c r="R146" t="inlineStr">
        <is>
          <t>INV2504-00145</t>
        </is>
      </c>
      <c r="S146" t="inlineStr">
        <is>
          <t>※예시데이터</t>
        </is>
      </c>
    </row>
    <row r="147">
      <c r="A147" t="n">
        <v>1000</v>
      </c>
      <c r="B147" t="inlineStr">
        <is>
          <t>EP사업부</t>
        </is>
      </c>
      <c r="C147" t="inlineStr">
        <is>
          <t>국내영업2팀</t>
        </is>
      </c>
      <c r="D147" t="inlineStr">
        <is>
          <t>C10099</t>
        </is>
      </c>
      <c r="E147" t="inlineStr">
        <is>
          <t>한울몰드</t>
        </is>
      </c>
      <c r="F147" t="inlineStr">
        <is>
          <t>ABS</t>
        </is>
      </c>
      <c r="G147" t="inlineStr">
        <is>
          <t>M-2102</t>
        </is>
      </c>
      <c r="H147" t="inlineStr">
        <is>
          <t>ABS 내열 HR500</t>
        </is>
      </c>
      <c r="I147" s="43" t="n">
        <v>45749</v>
      </c>
      <c r="J147" t="n">
        <v>202504</v>
      </c>
      <c r="K147" s="44" t="n">
        <v>1850</v>
      </c>
      <c r="L147" t="inlineStr">
        <is>
          <t>KG</t>
        </is>
      </c>
      <c r="M147" s="44" t="n">
        <v>5487966</v>
      </c>
      <c r="N147" s="44" t="n">
        <v>329278</v>
      </c>
      <c r="O147" t="n">
        <v>0</v>
      </c>
      <c r="P147" s="44" t="n">
        <v>5158688</v>
      </c>
      <c r="Q147" t="inlineStr">
        <is>
          <t>KRW</t>
        </is>
      </c>
      <c r="R147" t="inlineStr">
        <is>
          <t>INV2504-00146</t>
        </is>
      </c>
      <c r="S147" t="inlineStr">
        <is>
          <t>※예시데이터</t>
        </is>
      </c>
    </row>
    <row r="148">
      <c r="A148" t="n">
        <v>1000</v>
      </c>
      <c r="B148" t="inlineStr">
        <is>
          <t>EP사업부</t>
        </is>
      </c>
      <c r="C148" t="inlineStr">
        <is>
          <t>국내영업1팀</t>
        </is>
      </c>
      <c r="D148" t="inlineStr">
        <is>
          <t>C10134</t>
        </is>
      </c>
      <c r="E148" t="inlineStr">
        <is>
          <t>별하전자(주)</t>
        </is>
      </c>
      <c r="F148" t="inlineStr">
        <is>
          <t>PC</t>
        </is>
      </c>
      <c r="G148" t="inlineStr">
        <is>
          <t>M-2201</t>
        </is>
      </c>
      <c r="H148" t="inlineStr">
        <is>
          <t>PC 일반 C100</t>
        </is>
      </c>
      <c r="I148" s="43" t="n">
        <v>45751</v>
      </c>
      <c r="J148" t="n">
        <v>202504</v>
      </c>
      <c r="K148" s="44" t="n">
        <v>1675</v>
      </c>
      <c r="L148" t="inlineStr">
        <is>
          <t>KG</t>
        </is>
      </c>
      <c r="M148" s="44" t="n">
        <v>6502837</v>
      </c>
      <c r="N148" s="44" t="n">
        <v>195085</v>
      </c>
      <c r="O148" t="n">
        <v>0</v>
      </c>
      <c r="P148" s="44" t="n">
        <v>6307752</v>
      </c>
      <c r="Q148" t="inlineStr">
        <is>
          <t>KRW</t>
        </is>
      </c>
      <c r="R148" t="inlineStr">
        <is>
          <t>INV2504-00147</t>
        </is>
      </c>
      <c r="S148" t="inlineStr">
        <is>
          <t>※예시데이터</t>
        </is>
      </c>
    </row>
    <row r="149">
      <c r="A149" t="n">
        <v>1000</v>
      </c>
      <c r="B149" t="inlineStr">
        <is>
          <t>범용수지사업부</t>
        </is>
      </c>
      <c r="C149" t="inlineStr">
        <is>
          <t>국내영업1팀</t>
        </is>
      </c>
      <c r="D149" t="inlineStr">
        <is>
          <t>C10001</t>
        </is>
      </c>
      <c r="E149" t="inlineStr">
        <is>
          <t>가온소재(주)</t>
        </is>
      </c>
      <c r="F149" t="inlineStr">
        <is>
          <t>PP</t>
        </is>
      </c>
      <c r="G149" t="inlineStr">
        <is>
          <t>M-1102</t>
        </is>
      </c>
      <c r="H149" t="inlineStr">
        <is>
          <t>PP 고강성 H220</t>
        </is>
      </c>
      <c r="I149" s="43" t="n">
        <v>45752</v>
      </c>
      <c r="J149" t="n">
        <v>202504</v>
      </c>
      <c r="K149" s="44" t="n">
        <v>5750</v>
      </c>
      <c r="L149" t="inlineStr">
        <is>
          <t>KG</t>
        </is>
      </c>
      <c r="M149" s="44" t="n">
        <v>10417480</v>
      </c>
      <c r="N149" s="44" t="n">
        <v>625049</v>
      </c>
      <c r="O149" t="n">
        <v>0</v>
      </c>
      <c r="P149" s="44" t="n">
        <v>9792431</v>
      </c>
      <c r="Q149" t="inlineStr">
        <is>
          <t>KRW</t>
        </is>
      </c>
      <c r="R149" t="inlineStr">
        <is>
          <t>INV2504-00148</t>
        </is>
      </c>
      <c r="S149" t="inlineStr">
        <is>
          <t>※예시데이터</t>
        </is>
      </c>
    </row>
    <row r="150">
      <c r="A150" t="n">
        <v>1000</v>
      </c>
      <c r="B150" t="inlineStr">
        <is>
          <t>EP사업부</t>
        </is>
      </c>
      <c r="C150" t="inlineStr">
        <is>
          <t>국내영업2팀</t>
        </is>
      </c>
      <c r="D150" t="inlineStr">
        <is>
          <t>C10113</t>
        </is>
      </c>
      <c r="E150" t="inlineStr">
        <is>
          <t>누리오토파츠</t>
        </is>
      </c>
      <c r="F150" t="inlineStr">
        <is>
          <t>ABS</t>
        </is>
      </c>
      <c r="G150" t="inlineStr">
        <is>
          <t>M-2102</t>
        </is>
      </c>
      <c r="H150" t="inlineStr">
        <is>
          <t>ABS 내열 HR500</t>
        </is>
      </c>
      <c r="I150" s="43" t="n">
        <v>45753</v>
      </c>
      <c r="J150" t="n">
        <v>202504</v>
      </c>
      <c r="K150" s="44" t="n">
        <v>3500</v>
      </c>
      <c r="L150" t="inlineStr">
        <is>
          <t>KG</t>
        </is>
      </c>
      <c r="M150" s="44" t="n">
        <v>10382639</v>
      </c>
      <c r="N150" s="44" t="n">
        <v>726785</v>
      </c>
      <c r="O150" s="44" t="n">
        <v>103826</v>
      </c>
      <c r="P150" s="44" t="n">
        <v>9552028</v>
      </c>
      <c r="Q150" t="inlineStr">
        <is>
          <t>KRW</t>
        </is>
      </c>
      <c r="R150" t="inlineStr">
        <is>
          <t>INV2504-00149</t>
        </is>
      </c>
      <c r="S150" t="inlineStr">
        <is>
          <t>※예시데이터</t>
        </is>
      </c>
    </row>
    <row r="151">
      <c r="A151" t="n">
        <v>1000</v>
      </c>
      <c r="B151" t="inlineStr">
        <is>
          <t>EP사업부</t>
        </is>
      </c>
      <c r="C151" t="inlineStr">
        <is>
          <t>국내영업2팀</t>
        </is>
      </c>
      <c r="D151" t="inlineStr">
        <is>
          <t>C10015</t>
        </is>
      </c>
      <c r="E151" t="inlineStr">
        <is>
          <t>다솜케미칼</t>
        </is>
      </c>
      <c r="F151" t="inlineStr">
        <is>
          <t>ABS</t>
        </is>
      </c>
      <c r="G151" t="inlineStr">
        <is>
          <t>M-2101</t>
        </is>
      </c>
      <c r="H151" t="inlineStr">
        <is>
          <t>ABS 범용 G300</t>
        </is>
      </c>
      <c r="I151" s="43" t="n">
        <v>45754</v>
      </c>
      <c r="J151" t="n">
        <v>202504</v>
      </c>
      <c r="K151" s="44" t="n">
        <v>2350</v>
      </c>
      <c r="L151" t="inlineStr">
        <is>
          <t>KG</t>
        </is>
      </c>
      <c r="M151" s="44" t="n">
        <v>6199222</v>
      </c>
      <c r="N151" s="44" t="n">
        <v>309961</v>
      </c>
      <c r="O151" t="n">
        <v>0</v>
      </c>
      <c r="P151" s="44" t="n">
        <v>5889261</v>
      </c>
      <c r="Q151" t="inlineStr">
        <is>
          <t>KRW</t>
        </is>
      </c>
      <c r="R151" t="inlineStr">
        <is>
          <t>INV2504-00150</t>
        </is>
      </c>
      <c r="S151" t="inlineStr">
        <is>
          <t>※예시데이터</t>
        </is>
      </c>
    </row>
    <row r="152">
      <c r="A152" t="n">
        <v>1000</v>
      </c>
      <c r="B152" t="inlineStr">
        <is>
          <t>EP사업부</t>
        </is>
      </c>
      <c r="C152" t="inlineStr">
        <is>
          <t>국내영업2팀</t>
        </is>
      </c>
      <c r="D152" t="inlineStr">
        <is>
          <t>C10022</t>
        </is>
      </c>
      <c r="E152" t="inlineStr">
        <is>
          <t>라온테크(주)</t>
        </is>
      </c>
      <c r="F152" t="inlineStr">
        <is>
          <t>ABS</t>
        </is>
      </c>
      <c r="G152" t="inlineStr">
        <is>
          <t>M-2101</t>
        </is>
      </c>
      <c r="H152" t="inlineStr">
        <is>
          <t>ABS 범용 G300</t>
        </is>
      </c>
      <c r="I152" s="43" t="n">
        <v>45754</v>
      </c>
      <c r="J152" t="n">
        <v>202504</v>
      </c>
      <c r="K152" s="44" t="n">
        <v>6750</v>
      </c>
      <c r="L152" t="inlineStr">
        <is>
          <t>KG</t>
        </is>
      </c>
      <c r="M152" s="44" t="n">
        <v>17806276</v>
      </c>
      <c r="N152" s="44" t="n">
        <v>1246439</v>
      </c>
      <c r="O152" t="n">
        <v>0</v>
      </c>
      <c r="P152" s="44" t="n">
        <v>16559837</v>
      </c>
      <c r="Q152" t="inlineStr">
        <is>
          <t>KRW</t>
        </is>
      </c>
      <c r="R152" t="inlineStr">
        <is>
          <t>INV2504-00151</t>
        </is>
      </c>
      <c r="S152" t="inlineStr">
        <is>
          <t>※예시데이터</t>
        </is>
      </c>
    </row>
    <row r="153">
      <c r="A153" t="n">
        <v>1000</v>
      </c>
      <c r="B153" t="inlineStr">
        <is>
          <t>범용수지사업부</t>
        </is>
      </c>
      <c r="C153" t="inlineStr">
        <is>
          <t>국내영업2팀</t>
        </is>
      </c>
      <c r="D153" t="inlineStr">
        <is>
          <t>C10127</t>
        </is>
      </c>
      <c r="E153" t="inlineStr">
        <is>
          <t>미르패키징</t>
        </is>
      </c>
      <c r="F153" t="inlineStr">
        <is>
          <t>PE</t>
        </is>
      </c>
      <c r="G153" t="inlineStr">
        <is>
          <t>M-1201</t>
        </is>
      </c>
      <c r="H153" t="inlineStr">
        <is>
          <t>HDPE 블로우 B500</t>
        </is>
      </c>
      <c r="I153" s="43" t="n">
        <v>45754</v>
      </c>
      <c r="J153" t="n">
        <v>202504</v>
      </c>
      <c r="K153" s="44" t="n">
        <v>1750</v>
      </c>
      <c r="L153" t="inlineStr">
        <is>
          <t>KG</t>
        </is>
      </c>
      <c r="M153" s="44" t="n">
        <v>2752445</v>
      </c>
      <c r="N153" s="44" t="n">
        <v>247720</v>
      </c>
      <c r="O153" t="n">
        <v>0</v>
      </c>
      <c r="P153" s="44" t="n">
        <v>2504725</v>
      </c>
      <c r="Q153" t="inlineStr">
        <is>
          <t>KRW</t>
        </is>
      </c>
      <c r="R153" t="inlineStr">
        <is>
          <t>INV2504-00152</t>
        </is>
      </c>
      <c r="S153" t="inlineStr">
        <is>
          <t>※예시데이터</t>
        </is>
      </c>
    </row>
    <row r="154">
      <c r="A154" t="n">
        <v>1000</v>
      </c>
      <c r="B154" t="inlineStr">
        <is>
          <t>EP사업부</t>
        </is>
      </c>
      <c r="C154" t="inlineStr">
        <is>
          <t>국내영업2팀</t>
        </is>
      </c>
      <c r="D154" t="inlineStr">
        <is>
          <t>C10113</t>
        </is>
      </c>
      <c r="E154" t="inlineStr">
        <is>
          <t>누리오토파츠</t>
        </is>
      </c>
      <c r="F154" t="inlineStr">
        <is>
          <t>PC</t>
        </is>
      </c>
      <c r="G154" t="inlineStr">
        <is>
          <t>M-2202</t>
        </is>
      </c>
      <c r="H154" t="inlineStr">
        <is>
          <t>PC 난연 FR200</t>
        </is>
      </c>
      <c r="I154" s="43" t="n">
        <v>45755</v>
      </c>
      <c r="J154" t="n">
        <v>202504</v>
      </c>
      <c r="K154" s="44" t="n">
        <v>2875</v>
      </c>
      <c r="L154" t="inlineStr">
        <is>
          <t>KG</t>
        </is>
      </c>
      <c r="M154" s="44" t="n">
        <v>12449461</v>
      </c>
      <c r="N154" s="44" t="n">
        <v>871462</v>
      </c>
      <c r="O154" s="44" t="n">
        <v>124495</v>
      </c>
      <c r="P154" s="44" t="n">
        <v>11453504</v>
      </c>
      <c r="Q154" t="inlineStr">
        <is>
          <t>KRW</t>
        </is>
      </c>
      <c r="R154" t="inlineStr">
        <is>
          <t>INV2504-00153</t>
        </is>
      </c>
      <c r="S154" t="inlineStr">
        <is>
          <t>※예시데이터</t>
        </is>
      </c>
    </row>
    <row r="155">
      <c r="A155" t="n">
        <v>1000</v>
      </c>
      <c r="B155" t="inlineStr">
        <is>
          <t>EP사업부</t>
        </is>
      </c>
      <c r="C155" t="inlineStr">
        <is>
          <t>국내영업2팀</t>
        </is>
      </c>
      <c r="D155" t="inlineStr">
        <is>
          <t>C10015</t>
        </is>
      </c>
      <c r="E155" t="inlineStr">
        <is>
          <t>다솜케미칼</t>
        </is>
      </c>
      <c r="F155" t="inlineStr">
        <is>
          <t>PC</t>
        </is>
      </c>
      <c r="G155" t="inlineStr">
        <is>
          <t>M-2201</t>
        </is>
      </c>
      <c r="H155" t="inlineStr">
        <is>
          <t>PC 일반 C100</t>
        </is>
      </c>
      <c r="I155" s="43" t="n">
        <v>45756</v>
      </c>
      <c r="J155" t="n">
        <v>202504</v>
      </c>
      <c r="K155" s="44" t="n">
        <v>3900</v>
      </c>
      <c r="L155" t="inlineStr">
        <is>
          <t>KG</t>
        </is>
      </c>
      <c r="M155" s="44" t="n">
        <v>15140934</v>
      </c>
      <c r="N155" s="44" t="n">
        <v>757047</v>
      </c>
      <c r="O155" t="n">
        <v>0</v>
      </c>
      <c r="P155" s="44" t="n">
        <v>14383887</v>
      </c>
      <c r="Q155" t="inlineStr">
        <is>
          <t>KRW</t>
        </is>
      </c>
      <c r="R155" t="inlineStr">
        <is>
          <t>INV2504-00154</t>
        </is>
      </c>
      <c r="S155" t="inlineStr">
        <is>
          <t>※예시데이터</t>
        </is>
      </c>
    </row>
    <row r="156">
      <c r="A156" t="n">
        <v>1000</v>
      </c>
      <c r="B156" t="inlineStr">
        <is>
          <t>범용수지사업부</t>
        </is>
      </c>
      <c r="C156" t="inlineStr">
        <is>
          <t>국내영업2팀</t>
        </is>
      </c>
      <c r="D156" t="inlineStr">
        <is>
          <t>C10036</t>
        </is>
      </c>
      <c r="E156" t="inlineStr">
        <is>
          <t>바른물산</t>
        </is>
      </c>
      <c r="F156" t="inlineStr">
        <is>
          <t>PE</t>
        </is>
      </c>
      <c r="G156" t="inlineStr">
        <is>
          <t>M-1201</t>
        </is>
      </c>
      <c r="H156" t="inlineStr">
        <is>
          <t>HDPE 블로우 B500</t>
        </is>
      </c>
      <c r="I156" s="43" t="n">
        <v>45756</v>
      </c>
      <c r="J156" t="n">
        <v>202504</v>
      </c>
      <c r="K156" s="44" t="n">
        <v>5075</v>
      </c>
      <c r="L156" t="inlineStr">
        <is>
          <t>KG</t>
        </is>
      </c>
      <c r="M156" s="44" t="n">
        <v>7982089</v>
      </c>
      <c r="N156" s="44" t="n">
        <v>718388</v>
      </c>
      <c r="O156" s="44" t="n">
        <v>159642</v>
      </c>
      <c r="P156" s="44" t="n">
        <v>7104059</v>
      </c>
      <c r="Q156" t="inlineStr">
        <is>
          <t>KRW</t>
        </is>
      </c>
      <c r="R156" t="inlineStr">
        <is>
          <t>INV2504-00155</t>
        </is>
      </c>
      <c r="S156" t="inlineStr">
        <is>
          <t>※예시데이터</t>
        </is>
      </c>
    </row>
    <row r="157">
      <c r="A157" t="n">
        <v>1000</v>
      </c>
      <c r="B157" t="inlineStr">
        <is>
          <t>범용수지사업부</t>
        </is>
      </c>
      <c r="C157" t="inlineStr">
        <is>
          <t>해외영업팀</t>
        </is>
      </c>
      <c r="D157" t="inlineStr">
        <is>
          <t>C10071</t>
        </is>
      </c>
      <c r="E157" t="inlineStr">
        <is>
          <t>큰별코리아</t>
        </is>
      </c>
      <c r="F157" t="inlineStr">
        <is>
          <t>PE</t>
        </is>
      </c>
      <c r="G157" t="inlineStr">
        <is>
          <t>M-1201</t>
        </is>
      </c>
      <c r="H157" t="inlineStr">
        <is>
          <t>HDPE 블로우 B500</t>
        </is>
      </c>
      <c r="I157" s="43" t="n">
        <v>45757</v>
      </c>
      <c r="J157" t="n">
        <v>202504</v>
      </c>
      <c r="K157" s="44" t="n">
        <v>7250</v>
      </c>
      <c r="L157" t="inlineStr">
        <is>
          <t>KG</t>
        </is>
      </c>
      <c r="M157" s="44" t="n">
        <v>11402985</v>
      </c>
      <c r="N157" s="44" t="n">
        <v>1254328</v>
      </c>
      <c r="O157" s="44" t="n">
        <v>228060</v>
      </c>
      <c r="P157" s="44" t="n">
        <v>9920597</v>
      </c>
      <c r="Q157" t="inlineStr">
        <is>
          <t>KRW</t>
        </is>
      </c>
      <c r="R157" t="inlineStr">
        <is>
          <t>INV2504-00156</t>
        </is>
      </c>
      <c r="S157" t="inlineStr">
        <is>
          <t>※예시데이터</t>
        </is>
      </c>
    </row>
    <row r="158">
      <c r="A158" t="n">
        <v>1000</v>
      </c>
      <c r="B158" t="inlineStr">
        <is>
          <t>범용수지사업부</t>
        </is>
      </c>
      <c r="C158" t="inlineStr">
        <is>
          <t>국내영업2팀</t>
        </is>
      </c>
      <c r="D158" t="inlineStr">
        <is>
          <t>C10050</t>
        </is>
      </c>
      <c r="E158" t="inlineStr">
        <is>
          <t>아름화학(주)</t>
        </is>
      </c>
      <c r="F158" t="inlineStr">
        <is>
          <t>PE</t>
        </is>
      </c>
      <c r="G158" t="inlineStr">
        <is>
          <t>M-1201</t>
        </is>
      </c>
      <c r="H158" t="inlineStr">
        <is>
          <t>HDPE 블로우 B500</t>
        </is>
      </c>
      <c r="I158" s="43" t="n">
        <v>45758</v>
      </c>
      <c r="J158" t="n">
        <v>202504</v>
      </c>
      <c r="K158" s="44" t="n">
        <v>5500</v>
      </c>
      <c r="L158" t="inlineStr">
        <is>
          <t>KG</t>
        </is>
      </c>
      <c r="M158" s="44" t="n">
        <v>8650540</v>
      </c>
      <c r="N158" s="44" t="n">
        <v>865054</v>
      </c>
      <c r="O158" s="44" t="n">
        <v>86505</v>
      </c>
      <c r="P158" s="44" t="n">
        <v>7698981</v>
      </c>
      <c r="Q158" t="inlineStr">
        <is>
          <t>KRW</t>
        </is>
      </c>
      <c r="R158" t="inlineStr">
        <is>
          <t>INV2504-00157</t>
        </is>
      </c>
      <c r="S158" t="inlineStr">
        <is>
          <t>※예시데이터</t>
        </is>
      </c>
    </row>
    <row r="159">
      <c r="A159" t="n">
        <v>1000</v>
      </c>
      <c r="B159" t="inlineStr">
        <is>
          <t>EP사업부</t>
        </is>
      </c>
      <c r="C159" t="inlineStr">
        <is>
          <t>국내영업1팀</t>
        </is>
      </c>
      <c r="D159" t="inlineStr">
        <is>
          <t>C10134</t>
        </is>
      </c>
      <c r="E159" t="inlineStr">
        <is>
          <t>별하전자(주)</t>
        </is>
      </c>
      <c r="F159" t="inlineStr">
        <is>
          <t>PC</t>
        </is>
      </c>
      <c r="G159" t="inlineStr">
        <is>
          <t>M-2202</t>
        </is>
      </c>
      <c r="H159" t="inlineStr">
        <is>
          <t>PC 난연 FR200</t>
        </is>
      </c>
      <c r="I159" s="43" t="n">
        <v>45758</v>
      </c>
      <c r="J159" t="n">
        <v>202504</v>
      </c>
      <c r="K159" t="n">
        <v>850</v>
      </c>
      <c r="L159" t="inlineStr">
        <is>
          <t>KG</t>
        </is>
      </c>
      <c r="M159" s="44" t="n">
        <v>3680710</v>
      </c>
      <c r="N159" s="44" t="n">
        <v>110421</v>
      </c>
      <c r="O159" t="n">
        <v>0</v>
      </c>
      <c r="P159" s="44" t="n">
        <v>3570289</v>
      </c>
      <c r="Q159" t="inlineStr">
        <is>
          <t>KRW</t>
        </is>
      </c>
      <c r="R159" t="inlineStr">
        <is>
          <t>INV2504-00158</t>
        </is>
      </c>
      <c r="S159" t="inlineStr">
        <is>
          <t>※예시데이터</t>
        </is>
      </c>
    </row>
    <row r="160">
      <c r="A160" t="n">
        <v>1000</v>
      </c>
      <c r="B160" t="inlineStr">
        <is>
          <t>범용수지사업부</t>
        </is>
      </c>
      <c r="C160" t="inlineStr">
        <is>
          <t>해외영업팀</t>
        </is>
      </c>
      <c r="D160" t="inlineStr">
        <is>
          <t>C10141</t>
        </is>
      </c>
      <c r="E160" t="inlineStr">
        <is>
          <t>Sinar Plastik (ID)</t>
        </is>
      </c>
      <c r="F160" t="inlineStr">
        <is>
          <t>PP</t>
        </is>
      </c>
      <c r="G160" t="inlineStr">
        <is>
          <t>M-1103</t>
        </is>
      </c>
      <c r="H160" t="inlineStr">
        <is>
          <t>PP 투명 R330</t>
        </is>
      </c>
      <c r="I160" s="43" t="n">
        <v>45758</v>
      </c>
      <c r="J160" t="n">
        <v>202504</v>
      </c>
      <c r="K160" s="44" t="n">
        <v>14400</v>
      </c>
      <c r="L160" t="inlineStr">
        <is>
          <t>KG</t>
        </is>
      </c>
      <c r="M160" s="44" t="n">
        <v>27809148</v>
      </c>
      <c r="N160" s="44" t="n">
        <v>3337098</v>
      </c>
      <c r="O160" t="n">
        <v>0</v>
      </c>
      <c r="P160" s="44" t="n">
        <v>24472050</v>
      </c>
      <c r="Q160" t="inlineStr">
        <is>
          <t>KRW</t>
        </is>
      </c>
      <c r="R160" t="inlineStr">
        <is>
          <t>INV2504-00159</t>
        </is>
      </c>
      <c r="S160" t="inlineStr">
        <is>
          <t>※예시데이터</t>
        </is>
      </c>
    </row>
    <row r="161">
      <c r="A161" t="n">
        <v>1000</v>
      </c>
      <c r="B161" t="inlineStr">
        <is>
          <t>범용수지사업부</t>
        </is>
      </c>
      <c r="C161" t="inlineStr">
        <is>
          <t>국내영업2팀</t>
        </is>
      </c>
      <c r="D161" t="inlineStr">
        <is>
          <t>C10064</t>
        </is>
      </c>
      <c r="E161" t="inlineStr">
        <is>
          <t>차오름산업</t>
        </is>
      </c>
      <c r="F161" t="inlineStr">
        <is>
          <t>PP</t>
        </is>
      </c>
      <c r="G161" t="inlineStr">
        <is>
          <t>M-1103</t>
        </is>
      </c>
      <c r="H161" t="inlineStr">
        <is>
          <t>PP 투명 R330</t>
        </is>
      </c>
      <c r="I161" s="43" t="n">
        <v>45759</v>
      </c>
      <c r="J161" t="n">
        <v>202504</v>
      </c>
      <c r="K161" s="44" t="n">
        <v>2275</v>
      </c>
      <c r="L161" t="inlineStr">
        <is>
          <t>KG</t>
        </is>
      </c>
      <c r="M161" s="44" t="n">
        <v>4393459</v>
      </c>
      <c r="N161" s="44" t="n">
        <v>307542</v>
      </c>
      <c r="O161" t="n">
        <v>0</v>
      </c>
      <c r="P161" s="44" t="n">
        <v>4085917</v>
      </c>
      <c r="Q161" t="inlineStr">
        <is>
          <t>KRW</t>
        </is>
      </c>
      <c r="R161" t="inlineStr">
        <is>
          <t>INV2504-00160</t>
        </is>
      </c>
      <c r="S161" t="inlineStr">
        <is>
          <t>※예시데이터</t>
        </is>
      </c>
    </row>
    <row r="162">
      <c r="A162" t="n">
        <v>1000</v>
      </c>
      <c r="B162" t="inlineStr">
        <is>
          <t>범용수지사업부</t>
        </is>
      </c>
      <c r="C162" t="inlineStr">
        <is>
          <t>국내영업1팀</t>
        </is>
      </c>
      <c r="D162" t="inlineStr">
        <is>
          <t>C10106</t>
        </is>
      </c>
      <c r="E162" t="inlineStr">
        <is>
          <t>온새미사출</t>
        </is>
      </c>
      <c r="F162" t="inlineStr">
        <is>
          <t>PP</t>
        </is>
      </c>
      <c r="G162" t="inlineStr">
        <is>
          <t>M-1101</t>
        </is>
      </c>
      <c r="H162" t="inlineStr">
        <is>
          <t>PP 범용사출 H110</t>
        </is>
      </c>
      <c r="I162" s="43" t="n">
        <v>45759</v>
      </c>
      <c r="J162" t="n">
        <v>202504</v>
      </c>
      <c r="K162" s="44" t="n">
        <v>11700</v>
      </c>
      <c r="L162" t="inlineStr">
        <is>
          <t>KG</t>
        </is>
      </c>
      <c r="M162" s="44" t="n">
        <v>19217340</v>
      </c>
      <c r="N162" s="44" t="n">
        <v>960867</v>
      </c>
      <c r="O162" t="n">
        <v>0</v>
      </c>
      <c r="P162" s="44" t="n">
        <v>18256473</v>
      </c>
      <c r="Q162" t="inlineStr">
        <is>
          <t>KRW</t>
        </is>
      </c>
      <c r="R162" t="inlineStr">
        <is>
          <t>INV2504-00161</t>
        </is>
      </c>
      <c r="S162" t="inlineStr">
        <is>
          <t>※예시데이터</t>
        </is>
      </c>
    </row>
    <row r="163">
      <c r="A163" t="n">
        <v>1000</v>
      </c>
      <c r="B163" t="inlineStr">
        <is>
          <t>범용수지사업부</t>
        </is>
      </c>
      <c r="C163" t="inlineStr">
        <is>
          <t>국내영업2팀</t>
        </is>
      </c>
      <c r="D163" t="inlineStr">
        <is>
          <t>C10127</t>
        </is>
      </c>
      <c r="E163" t="inlineStr">
        <is>
          <t>미르패키징</t>
        </is>
      </c>
      <c r="F163" t="inlineStr">
        <is>
          <t>PP</t>
        </is>
      </c>
      <c r="G163" t="inlineStr">
        <is>
          <t>M-1101</t>
        </is>
      </c>
      <c r="H163" t="inlineStr">
        <is>
          <t>PP 범용사출 H110</t>
        </is>
      </c>
      <c r="I163" s="43" t="n">
        <v>45759</v>
      </c>
      <c r="J163" t="n">
        <v>202504</v>
      </c>
      <c r="K163" s="44" t="n">
        <v>2275</v>
      </c>
      <c r="L163" t="inlineStr">
        <is>
          <t>KG</t>
        </is>
      </c>
      <c r="M163" s="44" t="n">
        <v>3736705</v>
      </c>
      <c r="N163" s="44" t="n">
        <v>336303</v>
      </c>
      <c r="O163" t="n">
        <v>0</v>
      </c>
      <c r="P163" s="44" t="n">
        <v>3400402</v>
      </c>
      <c r="Q163" t="inlineStr">
        <is>
          <t>KRW</t>
        </is>
      </c>
      <c r="R163" t="inlineStr">
        <is>
          <t>INV2504-00162</t>
        </is>
      </c>
      <c r="S163" t="inlineStr">
        <is>
          <t>※예시데이터</t>
        </is>
      </c>
    </row>
    <row r="164">
      <c r="A164" t="n">
        <v>1000</v>
      </c>
      <c r="B164" t="inlineStr">
        <is>
          <t>범용수지사업부</t>
        </is>
      </c>
      <c r="C164" t="inlineStr">
        <is>
          <t>국내영업2팀</t>
        </is>
      </c>
      <c r="D164" t="inlineStr">
        <is>
          <t>C10127</t>
        </is>
      </c>
      <c r="E164" t="inlineStr">
        <is>
          <t>미르패키징</t>
        </is>
      </c>
      <c r="F164" t="inlineStr">
        <is>
          <t>PP</t>
        </is>
      </c>
      <c r="G164" t="inlineStr">
        <is>
          <t>M-1101</t>
        </is>
      </c>
      <c r="H164" t="inlineStr">
        <is>
          <t>PP 범용사출 H110</t>
        </is>
      </c>
      <c r="I164" s="43" t="n">
        <v>45759</v>
      </c>
      <c r="J164" t="n">
        <v>202504</v>
      </c>
      <c r="K164" s="44" t="n">
        <v>2275</v>
      </c>
      <c r="L164" t="inlineStr">
        <is>
          <t>KG</t>
        </is>
      </c>
      <c r="M164" s="44" t="n">
        <v>3736705</v>
      </c>
      <c r="N164" s="44" t="n">
        <v>336303</v>
      </c>
      <c r="O164" t="n">
        <v>0</v>
      </c>
      <c r="P164" s="44" t="n">
        <v>3400402</v>
      </c>
      <c r="Q164" t="inlineStr">
        <is>
          <t>KRW</t>
        </is>
      </c>
      <c r="R164" t="inlineStr">
        <is>
          <t>INV2504-00163</t>
        </is>
      </c>
      <c r="S164" t="inlineStr">
        <is>
          <t>※예시데이터</t>
        </is>
      </c>
    </row>
    <row r="165">
      <c r="A165" t="n">
        <v>1000</v>
      </c>
      <c r="B165" t="inlineStr">
        <is>
          <t>범용수지사업부</t>
        </is>
      </c>
      <c r="C165" t="inlineStr">
        <is>
          <t>국내영업2팀</t>
        </is>
      </c>
      <c r="D165" t="inlineStr">
        <is>
          <t>C10127</t>
        </is>
      </c>
      <c r="E165" t="inlineStr">
        <is>
          <t>미르패키징</t>
        </is>
      </c>
      <c r="F165" t="inlineStr">
        <is>
          <t>PE</t>
        </is>
      </c>
      <c r="G165" t="inlineStr">
        <is>
          <t>M-1201</t>
        </is>
      </c>
      <c r="H165" t="inlineStr">
        <is>
          <t>HDPE 블로우 B500</t>
        </is>
      </c>
      <c r="I165" s="43" t="n">
        <v>45759</v>
      </c>
      <c r="J165" t="n">
        <v>202504</v>
      </c>
      <c r="K165" s="44" t="n">
        <v>1750</v>
      </c>
      <c r="L165" t="inlineStr">
        <is>
          <t>KG</t>
        </is>
      </c>
      <c r="M165" s="44" t="n">
        <v>2752445</v>
      </c>
      <c r="N165" s="44" t="n">
        <v>247720</v>
      </c>
      <c r="O165" t="n">
        <v>0</v>
      </c>
      <c r="P165" s="44" t="n">
        <v>2504725</v>
      </c>
      <c r="Q165" t="inlineStr">
        <is>
          <t>KRW</t>
        </is>
      </c>
      <c r="R165" t="inlineStr">
        <is>
          <t>INV2504-00164</t>
        </is>
      </c>
      <c r="S165" t="inlineStr">
        <is>
          <t>※예시데이터</t>
        </is>
      </c>
    </row>
    <row r="166">
      <c r="A166" t="n">
        <v>1000</v>
      </c>
      <c r="B166" t="inlineStr">
        <is>
          <t>범용수지사업부</t>
        </is>
      </c>
      <c r="C166" t="inlineStr">
        <is>
          <t>해외영업팀</t>
        </is>
      </c>
      <c r="D166" t="inlineStr">
        <is>
          <t>C10141</t>
        </is>
      </c>
      <c r="E166" t="inlineStr">
        <is>
          <t>Sinar Plastik (ID)</t>
        </is>
      </c>
      <c r="F166" t="inlineStr">
        <is>
          <t>PP</t>
        </is>
      </c>
      <c r="G166" t="inlineStr">
        <is>
          <t>M-1102</t>
        </is>
      </c>
      <c r="H166" t="inlineStr">
        <is>
          <t>PP 고강성 H220</t>
        </is>
      </c>
      <c r="I166" s="43" t="n">
        <v>45759</v>
      </c>
      <c r="J166" t="n">
        <v>202504</v>
      </c>
      <c r="K166" s="44" t="n">
        <v>20400</v>
      </c>
      <c r="L166" t="inlineStr">
        <is>
          <t>KG</t>
        </is>
      </c>
      <c r="M166" s="44" t="n">
        <v>36959409</v>
      </c>
      <c r="N166" s="44" t="n">
        <v>4435129</v>
      </c>
      <c r="O166" t="n">
        <v>0</v>
      </c>
      <c r="P166" s="44" t="n">
        <v>32524280</v>
      </c>
      <c r="Q166" t="inlineStr">
        <is>
          <t>KRW</t>
        </is>
      </c>
      <c r="R166" t="inlineStr">
        <is>
          <t>INV2504-00165</t>
        </is>
      </c>
      <c r="S166" t="inlineStr">
        <is>
          <t>※예시데이터</t>
        </is>
      </c>
    </row>
    <row r="167">
      <c r="A167" t="n">
        <v>1000</v>
      </c>
      <c r="B167" t="inlineStr">
        <is>
          <t>범용수지사업부</t>
        </is>
      </c>
      <c r="C167" t="inlineStr">
        <is>
          <t>국내영업1팀</t>
        </is>
      </c>
      <c r="D167" t="inlineStr">
        <is>
          <t>C10001</t>
        </is>
      </c>
      <c r="E167" t="inlineStr">
        <is>
          <t>가온소재(주)</t>
        </is>
      </c>
      <c r="F167" t="inlineStr">
        <is>
          <t>PP</t>
        </is>
      </c>
      <c r="G167" t="inlineStr">
        <is>
          <t>M-1103</t>
        </is>
      </c>
      <c r="H167" t="inlineStr">
        <is>
          <t>PP 투명 R330</t>
        </is>
      </c>
      <c r="I167" s="43" t="n">
        <v>45760</v>
      </c>
      <c r="J167" t="n">
        <v>202504</v>
      </c>
      <c r="K167" s="44" t="n">
        <v>2250</v>
      </c>
      <c r="L167" t="inlineStr">
        <is>
          <t>KG</t>
        </is>
      </c>
      <c r="M167" s="44" t="n">
        <v>4345179</v>
      </c>
      <c r="N167" s="44" t="n">
        <v>260711</v>
      </c>
      <c r="O167" t="n">
        <v>0</v>
      </c>
      <c r="P167" s="44" t="n">
        <v>4084468</v>
      </c>
      <c r="Q167" t="inlineStr">
        <is>
          <t>KRW</t>
        </is>
      </c>
      <c r="R167" t="inlineStr">
        <is>
          <t>INV2504-00166</t>
        </is>
      </c>
      <c r="S167" t="inlineStr">
        <is>
          <t>※예시데이터</t>
        </is>
      </c>
    </row>
    <row r="168">
      <c r="A168" t="n">
        <v>1000</v>
      </c>
      <c r="B168" t="inlineStr">
        <is>
          <t>범용수지사업부</t>
        </is>
      </c>
      <c r="C168" t="inlineStr">
        <is>
          <t>국내영업2팀</t>
        </is>
      </c>
      <c r="D168" t="inlineStr">
        <is>
          <t>C10064</t>
        </is>
      </c>
      <c r="E168" t="inlineStr">
        <is>
          <t>차오름산업</t>
        </is>
      </c>
      <c r="F168" t="inlineStr">
        <is>
          <t>PP</t>
        </is>
      </c>
      <c r="G168" t="inlineStr">
        <is>
          <t>M-1102</t>
        </is>
      </c>
      <c r="H168" t="inlineStr">
        <is>
          <t>PP 고강성 H220</t>
        </is>
      </c>
      <c r="I168" s="43" t="n">
        <v>45760</v>
      </c>
      <c r="J168" t="n">
        <v>202504</v>
      </c>
      <c r="K168" s="44" t="n">
        <v>4800</v>
      </c>
      <c r="L168" t="inlineStr">
        <is>
          <t>KG</t>
        </is>
      </c>
      <c r="M168" s="44" t="n">
        <v>8696331</v>
      </c>
      <c r="N168" s="44" t="n">
        <v>608743</v>
      </c>
      <c r="O168" t="n">
        <v>0</v>
      </c>
      <c r="P168" s="44" t="n">
        <v>8087588</v>
      </c>
      <c r="Q168" t="inlineStr">
        <is>
          <t>KRW</t>
        </is>
      </c>
      <c r="R168" t="inlineStr">
        <is>
          <t>INV2504-00167</t>
        </is>
      </c>
      <c r="S168" t="inlineStr">
        <is>
          <t>※예시데이터</t>
        </is>
      </c>
    </row>
    <row r="169">
      <c r="A169" t="n">
        <v>1000</v>
      </c>
      <c r="B169" t="inlineStr">
        <is>
          <t>범용수지사업부</t>
        </is>
      </c>
      <c r="C169" t="inlineStr">
        <is>
          <t>국내영업1팀</t>
        </is>
      </c>
      <c r="D169" t="inlineStr">
        <is>
          <t>C10001</t>
        </is>
      </c>
      <c r="E169" t="inlineStr">
        <is>
          <t>가온소재(주)</t>
        </is>
      </c>
      <c r="F169" t="inlineStr">
        <is>
          <t>PE</t>
        </is>
      </c>
      <c r="G169" t="inlineStr">
        <is>
          <t>M-1202</t>
        </is>
      </c>
      <c r="H169" t="inlineStr">
        <is>
          <t>LLDPE 필름 F120</t>
        </is>
      </c>
      <c r="I169" s="43" t="n">
        <v>45761</v>
      </c>
      <c r="J169" t="n">
        <v>202504</v>
      </c>
      <c r="K169" s="44" t="n">
        <v>4850</v>
      </c>
      <c r="L169" t="inlineStr">
        <is>
          <t>KG</t>
        </is>
      </c>
      <c r="M169" s="44" t="n">
        <v>8255841</v>
      </c>
      <c r="N169" s="44" t="n">
        <v>495350</v>
      </c>
      <c r="O169" t="n">
        <v>0</v>
      </c>
      <c r="P169" s="44" t="n">
        <v>7760491</v>
      </c>
      <c r="Q169" t="inlineStr">
        <is>
          <t>KRW</t>
        </is>
      </c>
      <c r="R169" t="inlineStr">
        <is>
          <t>INV2504-00168</t>
        </is>
      </c>
      <c r="S169" t="inlineStr">
        <is>
          <t>※예시데이터</t>
        </is>
      </c>
    </row>
    <row r="170">
      <c r="A170" t="n">
        <v>1000</v>
      </c>
      <c r="B170" t="inlineStr">
        <is>
          <t>범용수지사업부</t>
        </is>
      </c>
      <c r="C170" t="inlineStr">
        <is>
          <t>해외영업팀</t>
        </is>
      </c>
      <c r="D170" t="inlineStr">
        <is>
          <t>C10071</t>
        </is>
      </c>
      <c r="E170" t="inlineStr">
        <is>
          <t>큰별코리아</t>
        </is>
      </c>
      <c r="F170" t="inlineStr">
        <is>
          <t>PP</t>
        </is>
      </c>
      <c r="G170" t="inlineStr">
        <is>
          <t>M-1101</t>
        </is>
      </c>
      <c r="H170" t="inlineStr">
        <is>
          <t>PP 범용사출 H110</t>
        </is>
      </c>
      <c r="I170" s="43" t="n">
        <v>45761</v>
      </c>
      <c r="J170" t="n">
        <v>202504</v>
      </c>
      <c r="K170" s="44" t="n">
        <v>3725</v>
      </c>
      <c r="L170" t="inlineStr">
        <is>
          <t>KG</t>
        </is>
      </c>
      <c r="M170" s="44" t="n">
        <v>6118341</v>
      </c>
      <c r="N170" s="44" t="n">
        <v>673018</v>
      </c>
      <c r="O170" s="44" t="n">
        <v>122367</v>
      </c>
      <c r="P170" s="44" t="n">
        <v>5322956</v>
      </c>
      <c r="Q170" t="inlineStr">
        <is>
          <t>KRW</t>
        </is>
      </c>
      <c r="R170" t="inlineStr">
        <is>
          <t>INV2504-00169</t>
        </is>
      </c>
      <c r="S170" t="inlineStr">
        <is>
          <t>※예시데이터</t>
        </is>
      </c>
    </row>
    <row r="171">
      <c r="A171" t="n">
        <v>1000</v>
      </c>
      <c r="B171" t="inlineStr">
        <is>
          <t>EP사업부</t>
        </is>
      </c>
      <c r="C171" t="inlineStr">
        <is>
          <t>국내영업1팀</t>
        </is>
      </c>
      <c r="D171" t="inlineStr">
        <is>
          <t>C10078</t>
        </is>
      </c>
      <c r="E171" t="inlineStr">
        <is>
          <t>토담정공(주)</t>
        </is>
      </c>
      <c r="F171" t="inlineStr">
        <is>
          <t>ABS</t>
        </is>
      </c>
      <c r="G171" t="inlineStr">
        <is>
          <t>M-2102</t>
        </is>
      </c>
      <c r="H171" t="inlineStr">
        <is>
          <t>ABS 내열 HR500</t>
        </is>
      </c>
      <c r="I171" s="43" t="n">
        <v>45761</v>
      </c>
      <c r="J171" t="n">
        <v>202504</v>
      </c>
      <c r="K171" s="44" t="n">
        <v>5200</v>
      </c>
      <c r="L171" t="inlineStr">
        <is>
          <t>KG</t>
        </is>
      </c>
      <c r="M171" s="44" t="n">
        <v>15425636</v>
      </c>
      <c r="N171" s="44" t="n">
        <v>462769</v>
      </c>
      <c r="O171" t="n">
        <v>0</v>
      </c>
      <c r="P171" s="44" t="n">
        <v>14962867</v>
      </c>
      <c r="Q171" t="inlineStr">
        <is>
          <t>KRW</t>
        </is>
      </c>
      <c r="R171" t="inlineStr">
        <is>
          <t>INV2504-00170</t>
        </is>
      </c>
      <c r="S171" t="inlineStr">
        <is>
          <t>※예시데이터</t>
        </is>
      </c>
    </row>
    <row r="172">
      <c r="A172" t="n">
        <v>1000</v>
      </c>
      <c r="B172" t="inlineStr">
        <is>
          <t>EP사업부</t>
        </is>
      </c>
      <c r="C172" t="inlineStr">
        <is>
          <t>국내영업2팀</t>
        </is>
      </c>
      <c r="D172" t="inlineStr">
        <is>
          <t>C10099</t>
        </is>
      </c>
      <c r="E172" t="inlineStr">
        <is>
          <t>한울몰드</t>
        </is>
      </c>
      <c r="F172" t="inlineStr">
        <is>
          <t>ABS</t>
        </is>
      </c>
      <c r="G172" t="inlineStr">
        <is>
          <t>M-2101</t>
        </is>
      </c>
      <c r="H172" t="inlineStr">
        <is>
          <t>ABS 범용 G300</t>
        </is>
      </c>
      <c r="I172" s="43" t="n">
        <v>45761</v>
      </c>
      <c r="J172" t="n">
        <v>202504</v>
      </c>
      <c r="K172" s="44" t="n">
        <v>2950</v>
      </c>
      <c r="L172" t="inlineStr">
        <is>
          <t>KG</t>
        </is>
      </c>
      <c r="M172" s="44" t="n">
        <v>7782002</v>
      </c>
      <c r="N172" s="44" t="n">
        <v>466920</v>
      </c>
      <c r="O172" t="n">
        <v>0</v>
      </c>
      <c r="P172" s="44" t="n">
        <v>7315082</v>
      </c>
      <c r="Q172" t="inlineStr">
        <is>
          <t>KRW</t>
        </is>
      </c>
      <c r="R172" t="inlineStr">
        <is>
          <t>INV2504-00171</t>
        </is>
      </c>
      <c r="S172" t="inlineStr">
        <is>
          <t>※예시데이터</t>
        </is>
      </c>
    </row>
    <row r="173">
      <c r="A173" t="n">
        <v>1000</v>
      </c>
      <c r="B173" t="inlineStr">
        <is>
          <t>EP사업부</t>
        </is>
      </c>
      <c r="C173" t="inlineStr">
        <is>
          <t>국내영업1팀</t>
        </is>
      </c>
      <c r="D173" t="inlineStr">
        <is>
          <t>C10057</t>
        </is>
      </c>
      <c r="E173" t="inlineStr">
        <is>
          <t>자연엠텍</t>
        </is>
      </c>
      <c r="F173" t="inlineStr">
        <is>
          <t>ABS</t>
        </is>
      </c>
      <c r="G173" t="inlineStr">
        <is>
          <t>M-2101</t>
        </is>
      </c>
      <c r="H173" t="inlineStr">
        <is>
          <t>ABS 범용 G300</t>
        </is>
      </c>
      <c r="I173" s="43" t="n">
        <v>45762</v>
      </c>
      <c r="J173" t="n">
        <v>202504</v>
      </c>
      <c r="K173" s="44" t="n">
        <v>3325</v>
      </c>
      <c r="L173" t="inlineStr">
        <is>
          <t>KG</t>
        </is>
      </c>
      <c r="M173" s="44" t="n">
        <v>8771240</v>
      </c>
      <c r="N173" s="44" t="n">
        <v>438562</v>
      </c>
      <c r="O173" t="n">
        <v>0</v>
      </c>
      <c r="P173" s="44" t="n">
        <v>8332678</v>
      </c>
      <c r="Q173" t="inlineStr">
        <is>
          <t>KRW</t>
        </is>
      </c>
      <c r="R173" t="inlineStr">
        <is>
          <t>INV2504-00172</t>
        </is>
      </c>
      <c r="S173" t="inlineStr">
        <is>
          <t>※예시데이터</t>
        </is>
      </c>
    </row>
    <row r="174">
      <c r="A174" t="n">
        <v>1000</v>
      </c>
      <c r="B174" t="inlineStr">
        <is>
          <t>범용수지사업부</t>
        </is>
      </c>
      <c r="C174" t="inlineStr">
        <is>
          <t>국내영업1팀</t>
        </is>
      </c>
      <c r="D174" t="inlineStr">
        <is>
          <t>C10001</t>
        </is>
      </c>
      <c r="E174" t="inlineStr">
        <is>
          <t>가온소재(주)</t>
        </is>
      </c>
      <c r="F174" t="inlineStr">
        <is>
          <t>PP</t>
        </is>
      </c>
      <c r="G174" t="inlineStr">
        <is>
          <t>M-1103</t>
        </is>
      </c>
      <c r="H174" t="inlineStr">
        <is>
          <t>PP 투명 R330</t>
        </is>
      </c>
      <c r="I174" s="43" t="n">
        <v>45763</v>
      </c>
      <c r="J174" t="n">
        <v>202504</v>
      </c>
      <c r="K174" s="44" t="n">
        <v>2250</v>
      </c>
      <c r="L174" t="inlineStr">
        <is>
          <t>KG</t>
        </is>
      </c>
      <c r="M174" s="44" t="n">
        <v>4345179</v>
      </c>
      <c r="N174" s="44" t="n">
        <v>260711</v>
      </c>
      <c r="O174" t="n">
        <v>0</v>
      </c>
      <c r="P174" s="44" t="n">
        <v>4084468</v>
      </c>
      <c r="Q174" t="inlineStr">
        <is>
          <t>KRW</t>
        </is>
      </c>
      <c r="R174" t="inlineStr">
        <is>
          <t>INV2504-00173</t>
        </is>
      </c>
      <c r="S174" t="inlineStr">
        <is>
          <t>※예시데이터</t>
        </is>
      </c>
    </row>
    <row r="175">
      <c r="A175" t="n">
        <v>1000</v>
      </c>
      <c r="B175" t="inlineStr">
        <is>
          <t>범용수지사업부</t>
        </is>
      </c>
      <c r="C175" t="inlineStr">
        <is>
          <t>국내영업2팀</t>
        </is>
      </c>
      <c r="D175" t="inlineStr">
        <is>
          <t>C10064</t>
        </is>
      </c>
      <c r="E175" t="inlineStr">
        <is>
          <t>차오름산업</t>
        </is>
      </c>
      <c r="F175" t="inlineStr">
        <is>
          <t>PP</t>
        </is>
      </c>
      <c r="G175" t="inlineStr">
        <is>
          <t>M-1103</t>
        </is>
      </c>
      <c r="H175" t="inlineStr">
        <is>
          <t>PP 투명 R330</t>
        </is>
      </c>
      <c r="I175" s="43" t="n">
        <v>45763</v>
      </c>
      <c r="J175" t="n">
        <v>202504</v>
      </c>
      <c r="K175" s="44" t="n">
        <v>2275</v>
      </c>
      <c r="L175" t="inlineStr">
        <is>
          <t>KG</t>
        </is>
      </c>
      <c r="M175" s="44" t="n">
        <v>4393459</v>
      </c>
      <c r="N175" s="44" t="n">
        <v>307542</v>
      </c>
      <c r="O175" t="n">
        <v>0</v>
      </c>
      <c r="P175" s="44" t="n">
        <v>4085917</v>
      </c>
      <c r="Q175" t="inlineStr">
        <is>
          <t>KRW</t>
        </is>
      </c>
      <c r="R175" t="inlineStr">
        <is>
          <t>INV2504-00174</t>
        </is>
      </c>
      <c r="S175" t="inlineStr">
        <is>
          <t>※예시데이터</t>
        </is>
      </c>
    </row>
    <row r="176">
      <c r="A176" t="n">
        <v>1000</v>
      </c>
      <c r="B176" t="inlineStr">
        <is>
          <t>범용수지사업부</t>
        </is>
      </c>
      <c r="C176" t="inlineStr">
        <is>
          <t>국내영업1팀</t>
        </is>
      </c>
      <c r="D176" t="inlineStr">
        <is>
          <t>C10001</t>
        </is>
      </c>
      <c r="E176" t="inlineStr">
        <is>
          <t>가온소재(주)</t>
        </is>
      </c>
      <c r="F176" t="inlineStr">
        <is>
          <t>PE</t>
        </is>
      </c>
      <c r="G176" t="inlineStr">
        <is>
          <t>M-1201</t>
        </is>
      </c>
      <c r="H176" t="inlineStr">
        <is>
          <t>HDPE 블로우 B500</t>
        </is>
      </c>
      <c r="I176" s="43" t="n">
        <v>45766</v>
      </c>
      <c r="J176" t="n">
        <v>202504</v>
      </c>
      <c r="K176" s="44" t="n">
        <v>3200</v>
      </c>
      <c r="L176" t="inlineStr">
        <is>
          <t>KG</t>
        </is>
      </c>
      <c r="M176" s="44" t="n">
        <v>5033042</v>
      </c>
      <c r="N176" s="44" t="n">
        <v>301983</v>
      </c>
      <c r="O176" t="n">
        <v>0</v>
      </c>
      <c r="P176" s="44" t="n">
        <v>4731059</v>
      </c>
      <c r="Q176" t="inlineStr">
        <is>
          <t>KRW</t>
        </is>
      </c>
      <c r="R176" t="inlineStr">
        <is>
          <t>INV2504-00175</t>
        </is>
      </c>
      <c r="S176" t="inlineStr">
        <is>
          <t>※예시데이터</t>
        </is>
      </c>
    </row>
    <row r="177">
      <c r="A177" t="n">
        <v>1000</v>
      </c>
      <c r="B177" t="inlineStr">
        <is>
          <t>EP사업부</t>
        </is>
      </c>
      <c r="C177" t="inlineStr">
        <is>
          <t>국내영업1팀</t>
        </is>
      </c>
      <c r="D177" t="inlineStr">
        <is>
          <t>C10029</t>
        </is>
      </c>
      <c r="E177" t="inlineStr">
        <is>
          <t>마루정밀</t>
        </is>
      </c>
      <c r="F177" t="inlineStr">
        <is>
          <t>PC</t>
        </is>
      </c>
      <c r="G177" t="inlineStr">
        <is>
          <t>M-2201</t>
        </is>
      </c>
      <c r="H177" t="inlineStr">
        <is>
          <t>PC 일반 C100</t>
        </is>
      </c>
      <c r="I177" s="43" t="n">
        <v>45767</v>
      </c>
      <c r="J177" t="n">
        <v>202504</v>
      </c>
      <c r="K177" s="44" t="n">
        <v>4925</v>
      </c>
      <c r="L177" t="inlineStr">
        <is>
          <t>KG</t>
        </is>
      </c>
      <c r="M177" s="44" t="n">
        <v>19120282</v>
      </c>
      <c r="N177" s="44" t="n">
        <v>764811</v>
      </c>
      <c r="O177" t="n">
        <v>0</v>
      </c>
      <c r="P177" s="44" t="n">
        <v>18355471</v>
      </c>
      <c r="Q177" t="inlineStr">
        <is>
          <t>KRW</t>
        </is>
      </c>
      <c r="R177" t="inlineStr">
        <is>
          <t>INV2504-00176</t>
        </is>
      </c>
      <c r="S177" t="inlineStr">
        <is>
          <t>※예시데이터</t>
        </is>
      </c>
    </row>
    <row r="178">
      <c r="A178" t="n">
        <v>1000</v>
      </c>
      <c r="B178" t="inlineStr">
        <is>
          <t>범용수지사업부</t>
        </is>
      </c>
      <c r="C178" t="inlineStr">
        <is>
          <t>국내영업2팀</t>
        </is>
      </c>
      <c r="D178" t="inlineStr">
        <is>
          <t>C10036</t>
        </is>
      </c>
      <c r="E178" t="inlineStr">
        <is>
          <t>바른물산</t>
        </is>
      </c>
      <c r="F178" t="inlineStr">
        <is>
          <t>PE</t>
        </is>
      </c>
      <c r="G178" t="inlineStr">
        <is>
          <t>M-1201</t>
        </is>
      </c>
      <c r="H178" t="inlineStr">
        <is>
          <t>HDPE 블로우 B500</t>
        </is>
      </c>
      <c r="I178" s="43" t="n">
        <v>45767</v>
      </c>
      <c r="J178" t="n">
        <v>202504</v>
      </c>
      <c r="K178" s="44" t="n">
        <v>5075</v>
      </c>
      <c r="L178" t="inlineStr">
        <is>
          <t>KG</t>
        </is>
      </c>
      <c r="M178" s="44" t="n">
        <v>7982089</v>
      </c>
      <c r="N178" s="44" t="n">
        <v>718388</v>
      </c>
      <c r="O178" s="44" t="n">
        <v>159642</v>
      </c>
      <c r="P178" s="44" t="n">
        <v>7104059</v>
      </c>
      <c r="Q178" t="inlineStr">
        <is>
          <t>KRW</t>
        </is>
      </c>
      <c r="R178" t="inlineStr">
        <is>
          <t>INV2504-00177</t>
        </is>
      </c>
      <c r="S178" t="inlineStr">
        <is>
          <t>※예시데이터</t>
        </is>
      </c>
    </row>
    <row r="179">
      <c r="A179" t="n">
        <v>1000</v>
      </c>
      <c r="B179" t="inlineStr">
        <is>
          <t>범용수지사업부</t>
        </is>
      </c>
      <c r="C179" t="inlineStr">
        <is>
          <t>해외영업팀</t>
        </is>
      </c>
      <c r="D179" t="inlineStr">
        <is>
          <t>C10071</t>
        </is>
      </c>
      <c r="E179" t="inlineStr">
        <is>
          <t>큰별코리아</t>
        </is>
      </c>
      <c r="F179" t="inlineStr">
        <is>
          <t>PE</t>
        </is>
      </c>
      <c r="G179" t="inlineStr">
        <is>
          <t>M-1202</t>
        </is>
      </c>
      <c r="H179" t="inlineStr">
        <is>
          <t>LLDPE 필름 F120</t>
        </is>
      </c>
      <c r="I179" s="43" t="n">
        <v>45767</v>
      </c>
      <c r="J179" t="n">
        <v>202504</v>
      </c>
      <c r="K179" s="44" t="n">
        <v>9225</v>
      </c>
      <c r="L179" t="inlineStr">
        <is>
          <t>KG</t>
        </is>
      </c>
      <c r="M179" s="44" t="n">
        <v>15703120</v>
      </c>
      <c r="N179" s="44" t="n">
        <v>1727343</v>
      </c>
      <c r="O179" s="44" t="n">
        <v>314062</v>
      </c>
      <c r="P179" s="44" t="n">
        <v>13661715</v>
      </c>
      <c r="Q179" t="inlineStr">
        <is>
          <t>KRW</t>
        </is>
      </c>
      <c r="R179" t="inlineStr">
        <is>
          <t>INV2504-00178</t>
        </is>
      </c>
      <c r="S179" t="inlineStr">
        <is>
          <t>※예시데이터</t>
        </is>
      </c>
    </row>
    <row r="180">
      <c r="A180" t="n">
        <v>1000</v>
      </c>
      <c r="B180" t="inlineStr">
        <is>
          <t>EP사업부</t>
        </is>
      </c>
      <c r="C180" t="inlineStr">
        <is>
          <t>국내영업2팀</t>
        </is>
      </c>
      <c r="D180" t="inlineStr">
        <is>
          <t>C10099</t>
        </is>
      </c>
      <c r="E180" t="inlineStr">
        <is>
          <t>한울몰드</t>
        </is>
      </c>
      <c r="F180" t="inlineStr">
        <is>
          <t>ABS</t>
        </is>
      </c>
      <c r="G180" t="inlineStr">
        <is>
          <t>M-2102</t>
        </is>
      </c>
      <c r="H180" t="inlineStr">
        <is>
          <t>ABS 내열 HR500</t>
        </is>
      </c>
      <c r="I180" s="43" t="n">
        <v>45767</v>
      </c>
      <c r="J180" t="n">
        <v>202504</v>
      </c>
      <c r="K180" s="44" t="n">
        <v>1850</v>
      </c>
      <c r="L180" t="inlineStr">
        <is>
          <t>KG</t>
        </is>
      </c>
      <c r="M180" s="44" t="n">
        <v>5487966</v>
      </c>
      <c r="N180" s="44" t="n">
        <v>329278</v>
      </c>
      <c r="O180" t="n">
        <v>0</v>
      </c>
      <c r="P180" s="44" t="n">
        <v>5158688</v>
      </c>
      <c r="Q180" t="inlineStr">
        <is>
          <t>KRW</t>
        </is>
      </c>
      <c r="R180" t="inlineStr">
        <is>
          <t>INV2504-00179</t>
        </is>
      </c>
      <c r="S180" t="inlineStr">
        <is>
          <t>※예시데이터</t>
        </is>
      </c>
    </row>
    <row r="181">
      <c r="A181" t="n">
        <v>1000</v>
      </c>
      <c r="B181" t="inlineStr">
        <is>
          <t>범용수지사업부</t>
        </is>
      </c>
      <c r="C181" t="inlineStr">
        <is>
          <t>국내영업2팀</t>
        </is>
      </c>
      <c r="D181" t="inlineStr">
        <is>
          <t>C10050</t>
        </is>
      </c>
      <c r="E181" t="inlineStr">
        <is>
          <t>아름화학(주)</t>
        </is>
      </c>
      <c r="F181" t="inlineStr">
        <is>
          <t>PP</t>
        </is>
      </c>
      <c r="G181" t="inlineStr">
        <is>
          <t>M-1103</t>
        </is>
      </c>
      <c r="H181" t="inlineStr">
        <is>
          <t>PP 투명 R330</t>
        </is>
      </c>
      <c r="I181" s="43" t="n">
        <v>45768</v>
      </c>
      <c r="J181" t="n">
        <v>202504</v>
      </c>
      <c r="K181" s="44" t="n">
        <v>8875</v>
      </c>
      <c r="L181" t="inlineStr">
        <is>
          <t>KG</t>
        </is>
      </c>
      <c r="M181" s="44" t="n">
        <v>17139319</v>
      </c>
      <c r="N181" s="44" t="n">
        <v>1713932</v>
      </c>
      <c r="O181" s="44" t="n">
        <v>171393</v>
      </c>
      <c r="P181" s="44" t="n">
        <v>15253994</v>
      </c>
      <c r="Q181" t="inlineStr">
        <is>
          <t>KRW</t>
        </is>
      </c>
      <c r="R181" t="inlineStr">
        <is>
          <t>INV2504-00180</t>
        </is>
      </c>
      <c r="S181" t="inlineStr">
        <is>
          <t>※예시데이터</t>
        </is>
      </c>
    </row>
    <row r="182">
      <c r="A182" t="n">
        <v>1000</v>
      </c>
      <c r="B182" t="inlineStr">
        <is>
          <t>EP사업부</t>
        </is>
      </c>
      <c r="C182" t="inlineStr">
        <is>
          <t>국내영업2팀</t>
        </is>
      </c>
      <c r="D182" t="inlineStr">
        <is>
          <t>C10085</t>
        </is>
      </c>
      <c r="E182" t="inlineStr">
        <is>
          <t>파란하이텍</t>
        </is>
      </c>
      <c r="F182" t="inlineStr">
        <is>
          <t>PC</t>
        </is>
      </c>
      <c r="G182" t="inlineStr">
        <is>
          <t>M-2202</t>
        </is>
      </c>
      <c r="H182" t="inlineStr">
        <is>
          <t>PC 난연 FR200</t>
        </is>
      </c>
      <c r="I182" s="43" t="n">
        <v>45768</v>
      </c>
      <c r="J182" t="n">
        <v>202504</v>
      </c>
      <c r="K182" s="44" t="n">
        <v>3225</v>
      </c>
      <c r="L182" t="inlineStr">
        <is>
          <t>KG</t>
        </is>
      </c>
      <c r="M182" s="44" t="n">
        <v>13965048</v>
      </c>
      <c r="N182" s="44" t="n">
        <v>837903</v>
      </c>
      <c r="O182" t="n">
        <v>0</v>
      </c>
      <c r="P182" s="44" t="n">
        <v>13127145</v>
      </c>
      <c r="Q182" t="inlineStr">
        <is>
          <t>KRW</t>
        </is>
      </c>
      <c r="R182" t="inlineStr">
        <is>
          <t>INV2504-00181</t>
        </is>
      </c>
      <c r="S182" t="inlineStr">
        <is>
          <t>※예시데이터</t>
        </is>
      </c>
    </row>
    <row r="183">
      <c r="A183" t="n">
        <v>1000</v>
      </c>
      <c r="B183" t="inlineStr">
        <is>
          <t>EP사업부</t>
        </is>
      </c>
      <c r="C183" t="inlineStr">
        <is>
          <t>국내영업2팀</t>
        </is>
      </c>
      <c r="D183" t="inlineStr">
        <is>
          <t>C10113</t>
        </is>
      </c>
      <c r="E183" t="inlineStr">
        <is>
          <t>누리오토파츠</t>
        </is>
      </c>
      <c r="F183" t="inlineStr">
        <is>
          <t>ABS</t>
        </is>
      </c>
      <c r="G183" t="inlineStr">
        <is>
          <t>M-2101</t>
        </is>
      </c>
      <c r="H183" t="inlineStr">
        <is>
          <t>ABS 범용 G300</t>
        </is>
      </c>
      <c r="I183" s="43" t="n">
        <v>45769</v>
      </c>
      <c r="J183" t="n">
        <v>202504</v>
      </c>
      <c r="K183" s="44" t="n">
        <v>5050</v>
      </c>
      <c r="L183" t="inlineStr">
        <is>
          <t>KG</t>
        </is>
      </c>
      <c r="M183" s="44" t="n">
        <v>13321733</v>
      </c>
      <c r="N183" s="44" t="n">
        <v>932521</v>
      </c>
      <c r="O183" s="44" t="n">
        <v>133217</v>
      </c>
      <c r="P183" s="44" t="n">
        <v>12255995</v>
      </c>
      <c r="Q183" t="inlineStr">
        <is>
          <t>KRW</t>
        </is>
      </c>
      <c r="R183" t="inlineStr">
        <is>
          <t>INV2504-00182</t>
        </is>
      </c>
      <c r="S183" t="inlineStr">
        <is>
          <t>※예시데이터</t>
        </is>
      </c>
    </row>
    <row r="184">
      <c r="A184" t="n">
        <v>1000</v>
      </c>
      <c r="B184" t="inlineStr">
        <is>
          <t>EP사업부</t>
        </is>
      </c>
      <c r="C184" t="inlineStr">
        <is>
          <t>국내영업1팀</t>
        </is>
      </c>
      <c r="D184" t="inlineStr">
        <is>
          <t>C10057</t>
        </is>
      </c>
      <c r="E184" t="inlineStr">
        <is>
          <t>자연엠텍</t>
        </is>
      </c>
      <c r="F184" t="inlineStr">
        <is>
          <t>PC</t>
        </is>
      </c>
      <c r="G184" t="inlineStr">
        <is>
          <t>M-2201</t>
        </is>
      </c>
      <c r="H184" t="inlineStr">
        <is>
          <t>PC 일반 C100</t>
        </is>
      </c>
      <c r="I184" s="43" t="n">
        <v>45770</v>
      </c>
      <c r="J184" t="n">
        <v>202504</v>
      </c>
      <c r="K184" s="44" t="n">
        <v>3975</v>
      </c>
      <c r="L184" t="inlineStr">
        <is>
          <t>KG</t>
        </is>
      </c>
      <c r="M184" s="44" t="n">
        <v>15432106</v>
      </c>
      <c r="N184" s="44" t="n">
        <v>771605</v>
      </c>
      <c r="O184" t="n">
        <v>0</v>
      </c>
      <c r="P184" s="44" t="n">
        <v>14660501</v>
      </c>
      <c r="Q184" t="inlineStr">
        <is>
          <t>KRW</t>
        </is>
      </c>
      <c r="R184" t="inlineStr">
        <is>
          <t>INV2504-00183</t>
        </is>
      </c>
      <c r="S184" t="inlineStr">
        <is>
          <t>※예시데이터</t>
        </is>
      </c>
    </row>
    <row r="185">
      <c r="A185" t="n">
        <v>1000</v>
      </c>
      <c r="B185" t="inlineStr">
        <is>
          <t>범용수지사업부</t>
        </is>
      </c>
      <c r="C185" t="inlineStr">
        <is>
          <t>국내영업1팀</t>
        </is>
      </c>
      <c r="D185" t="inlineStr">
        <is>
          <t>C10092</t>
        </is>
      </c>
      <c r="E185" t="inlineStr">
        <is>
          <t>하늘포장(주)</t>
        </is>
      </c>
      <c r="F185" t="inlineStr">
        <is>
          <t>PE</t>
        </is>
      </c>
      <c r="G185" t="inlineStr">
        <is>
          <t>M-1201</t>
        </is>
      </c>
      <c r="H185" t="inlineStr">
        <is>
          <t>HDPE 블로우 B500</t>
        </is>
      </c>
      <c r="I185" s="43" t="n">
        <v>45770</v>
      </c>
      <c r="J185" t="n">
        <v>202504</v>
      </c>
      <c r="K185" s="44" t="n">
        <v>13900</v>
      </c>
      <c r="L185" t="inlineStr">
        <is>
          <t>KG</t>
        </is>
      </c>
      <c r="M185" s="44" t="n">
        <v>21862275</v>
      </c>
      <c r="N185" s="44" t="n">
        <v>1748982</v>
      </c>
      <c r="O185" t="n">
        <v>0</v>
      </c>
      <c r="P185" s="44" t="n">
        <v>20113293</v>
      </c>
      <c r="Q185" t="inlineStr">
        <is>
          <t>KRW</t>
        </is>
      </c>
      <c r="R185" t="inlineStr">
        <is>
          <t>INV2504-00184</t>
        </is>
      </c>
      <c r="S185" t="inlineStr">
        <is>
          <t>※예시데이터</t>
        </is>
      </c>
    </row>
    <row r="186">
      <c r="A186" t="n">
        <v>1000</v>
      </c>
      <c r="B186" t="inlineStr">
        <is>
          <t>EP사업부</t>
        </is>
      </c>
      <c r="C186" t="inlineStr">
        <is>
          <t>국내영업2팀</t>
        </is>
      </c>
      <c r="D186" t="inlineStr">
        <is>
          <t>C10015</t>
        </is>
      </c>
      <c r="E186" t="inlineStr">
        <is>
          <t>다솜케미칼</t>
        </is>
      </c>
      <c r="F186" t="inlineStr">
        <is>
          <t>PC</t>
        </is>
      </c>
      <c r="G186" t="inlineStr">
        <is>
          <t>M-2202</t>
        </is>
      </c>
      <c r="H186" t="inlineStr">
        <is>
          <t>PC 난연 FR200</t>
        </is>
      </c>
      <c r="I186" s="43" t="n">
        <v>45771</v>
      </c>
      <c r="J186" t="n">
        <v>202504</v>
      </c>
      <c r="K186" s="44" t="n">
        <v>3075</v>
      </c>
      <c r="L186" t="inlineStr">
        <is>
          <t>KG</t>
        </is>
      </c>
      <c r="M186" s="44" t="n">
        <v>13315511</v>
      </c>
      <c r="N186" s="44" t="n">
        <v>665776</v>
      </c>
      <c r="O186" t="n">
        <v>0</v>
      </c>
      <c r="P186" s="44" t="n">
        <v>12649735</v>
      </c>
      <c r="Q186" t="inlineStr">
        <is>
          <t>KRW</t>
        </is>
      </c>
      <c r="R186" t="inlineStr">
        <is>
          <t>INV2504-00185</t>
        </is>
      </c>
      <c r="S186" t="inlineStr">
        <is>
          <t>※예시데이터</t>
        </is>
      </c>
    </row>
    <row r="187">
      <c r="A187" t="n">
        <v>1000</v>
      </c>
      <c r="B187" t="inlineStr">
        <is>
          <t>범용수지사업부</t>
        </is>
      </c>
      <c r="C187" t="inlineStr">
        <is>
          <t>국내영업2팀</t>
        </is>
      </c>
      <c r="D187" t="inlineStr">
        <is>
          <t>C10099</t>
        </is>
      </c>
      <c r="E187" t="inlineStr">
        <is>
          <t>한울몰드</t>
        </is>
      </c>
      <c r="F187" t="inlineStr">
        <is>
          <t>PP</t>
        </is>
      </c>
      <c r="G187" t="inlineStr">
        <is>
          <t>M-1101</t>
        </is>
      </c>
      <c r="H187" t="inlineStr">
        <is>
          <t>PP 범용사출 H110</t>
        </is>
      </c>
      <c r="I187" s="43" t="n">
        <v>45771</v>
      </c>
      <c r="J187" t="n">
        <v>202504</v>
      </c>
      <c r="K187" s="44" t="n">
        <v>2900</v>
      </c>
      <c r="L187" t="inlineStr">
        <is>
          <t>KG</t>
        </is>
      </c>
      <c r="M187" s="44" t="n">
        <v>4763272</v>
      </c>
      <c r="N187" s="44" t="n">
        <v>285796</v>
      </c>
      <c r="O187" t="n">
        <v>0</v>
      </c>
      <c r="P187" s="44" t="n">
        <v>4477476</v>
      </c>
      <c r="Q187" t="inlineStr">
        <is>
          <t>KRW</t>
        </is>
      </c>
      <c r="R187" t="inlineStr">
        <is>
          <t>INV2504-00186</t>
        </is>
      </c>
      <c r="S187" t="inlineStr">
        <is>
          <t>※예시데이터</t>
        </is>
      </c>
    </row>
    <row r="188">
      <c r="A188" t="n">
        <v>1000</v>
      </c>
      <c r="B188" t="inlineStr">
        <is>
          <t>범용수지사업부</t>
        </is>
      </c>
      <c r="C188" t="inlineStr">
        <is>
          <t>국내영업2팀</t>
        </is>
      </c>
      <c r="D188" t="inlineStr">
        <is>
          <t>C10127</t>
        </is>
      </c>
      <c r="E188" t="inlineStr">
        <is>
          <t>미르패키징</t>
        </is>
      </c>
      <c r="F188" t="inlineStr">
        <is>
          <t>PE</t>
        </is>
      </c>
      <c r="G188" t="inlineStr">
        <is>
          <t>M-1202</t>
        </is>
      </c>
      <c r="H188" t="inlineStr">
        <is>
          <t>LLDPE 필름 F120</t>
        </is>
      </c>
      <c r="I188" s="43" t="n">
        <v>45771</v>
      </c>
      <c r="J188" t="n">
        <v>202504</v>
      </c>
      <c r="K188" s="44" t="n">
        <v>3400</v>
      </c>
      <c r="L188" t="inlineStr">
        <is>
          <t>KG</t>
        </is>
      </c>
      <c r="M188" s="44" t="n">
        <v>5787600</v>
      </c>
      <c r="N188" s="44" t="n">
        <v>520884</v>
      </c>
      <c r="O188" t="n">
        <v>0</v>
      </c>
      <c r="P188" s="44" t="n">
        <v>5266716</v>
      </c>
      <c r="Q188" t="inlineStr">
        <is>
          <t>KRW</t>
        </is>
      </c>
      <c r="R188" t="inlineStr">
        <is>
          <t>INV2504-00187</t>
        </is>
      </c>
      <c r="S188" t="inlineStr">
        <is>
          <t>※예시데이터</t>
        </is>
      </c>
    </row>
    <row r="189">
      <c r="A189" t="n">
        <v>1000</v>
      </c>
      <c r="B189" t="inlineStr">
        <is>
          <t>EP사업부</t>
        </is>
      </c>
      <c r="C189" t="inlineStr">
        <is>
          <t>국내영업2팀</t>
        </is>
      </c>
      <c r="D189" t="inlineStr">
        <is>
          <t>C10022</t>
        </is>
      </c>
      <c r="E189" t="inlineStr">
        <is>
          <t>라온테크(주)</t>
        </is>
      </c>
      <c r="F189" t="inlineStr">
        <is>
          <t>ABS</t>
        </is>
      </c>
      <c r="G189" t="inlineStr">
        <is>
          <t>M-2102</t>
        </is>
      </c>
      <c r="H189" t="inlineStr">
        <is>
          <t>ABS 내열 HR500</t>
        </is>
      </c>
      <c r="I189" s="43" t="n">
        <v>45772</v>
      </c>
      <c r="J189" t="n">
        <v>202504</v>
      </c>
      <c r="K189" s="44" t="n">
        <v>5475</v>
      </c>
      <c r="L189" t="inlineStr">
        <is>
          <t>KG</t>
        </is>
      </c>
      <c r="M189" s="44" t="n">
        <v>16241414</v>
      </c>
      <c r="N189" s="44" t="n">
        <v>1136899</v>
      </c>
      <c r="O189" t="n">
        <v>0</v>
      </c>
      <c r="P189" s="44" t="n">
        <v>15104515</v>
      </c>
      <c r="Q189" t="inlineStr">
        <is>
          <t>KRW</t>
        </is>
      </c>
      <c r="R189" t="inlineStr">
        <is>
          <t>INV2504-00188</t>
        </is>
      </c>
      <c r="S189" t="inlineStr">
        <is>
          <t>※예시데이터</t>
        </is>
      </c>
    </row>
    <row r="190">
      <c r="A190" t="n">
        <v>1000</v>
      </c>
      <c r="B190" t="inlineStr">
        <is>
          <t>EP사업부</t>
        </is>
      </c>
      <c r="C190" t="inlineStr">
        <is>
          <t>국내영업1팀</t>
        </is>
      </c>
      <c r="D190" t="inlineStr">
        <is>
          <t>C10043</t>
        </is>
      </c>
      <c r="E190" t="inlineStr">
        <is>
          <t>새봄플라스틱</t>
        </is>
      </c>
      <c r="F190" t="inlineStr">
        <is>
          <t>ABS</t>
        </is>
      </c>
      <c r="G190" t="inlineStr">
        <is>
          <t>M-2101</t>
        </is>
      </c>
      <c r="H190" t="inlineStr">
        <is>
          <t>ABS 범용 G300</t>
        </is>
      </c>
      <c r="I190" s="43" t="n">
        <v>45772</v>
      </c>
      <c r="J190" t="n">
        <v>202504</v>
      </c>
      <c r="K190" s="44" t="n">
        <v>3450</v>
      </c>
      <c r="L190" t="inlineStr">
        <is>
          <t>KG</t>
        </is>
      </c>
      <c r="M190" s="44" t="n">
        <v>9100986</v>
      </c>
      <c r="N190" s="44" t="n">
        <v>546059</v>
      </c>
      <c r="O190" t="n">
        <v>0</v>
      </c>
      <c r="P190" s="44" t="n">
        <v>8554927</v>
      </c>
      <c r="Q190" t="inlineStr">
        <is>
          <t>KRW</t>
        </is>
      </c>
      <c r="R190" t="inlineStr">
        <is>
          <t>INV2504-00189</t>
        </is>
      </c>
      <c r="S190" t="inlineStr">
        <is>
          <t>※예시데이터</t>
        </is>
      </c>
    </row>
    <row r="191">
      <c r="A191" t="n">
        <v>1000</v>
      </c>
      <c r="B191" t="inlineStr">
        <is>
          <t>EP사업부</t>
        </is>
      </c>
      <c r="C191" t="inlineStr">
        <is>
          <t>국내영업1팀</t>
        </is>
      </c>
      <c r="D191" t="inlineStr">
        <is>
          <t>C10043</t>
        </is>
      </c>
      <c r="E191" t="inlineStr">
        <is>
          <t>새봄플라스틱</t>
        </is>
      </c>
      <c r="F191" t="inlineStr">
        <is>
          <t>ABS</t>
        </is>
      </c>
      <c r="G191" t="inlineStr">
        <is>
          <t>M-2102</t>
        </is>
      </c>
      <c r="H191" t="inlineStr">
        <is>
          <t>ABS 내열 HR500</t>
        </is>
      </c>
      <c r="I191" s="43" t="n">
        <v>45772</v>
      </c>
      <c r="J191" t="n">
        <v>202504</v>
      </c>
      <c r="K191" s="44" t="n">
        <v>3025</v>
      </c>
      <c r="L191" t="inlineStr">
        <is>
          <t>KG</t>
        </is>
      </c>
      <c r="M191" s="44" t="n">
        <v>8973567</v>
      </c>
      <c r="N191" s="44" t="n">
        <v>538414</v>
      </c>
      <c r="O191" t="n">
        <v>0</v>
      </c>
      <c r="P191" s="44" t="n">
        <v>8435153</v>
      </c>
      <c r="Q191" t="inlineStr">
        <is>
          <t>KRW</t>
        </is>
      </c>
      <c r="R191" t="inlineStr">
        <is>
          <t>INV2504-00190</t>
        </is>
      </c>
      <c r="S191" t="inlineStr">
        <is>
          <t>※예시데이터</t>
        </is>
      </c>
    </row>
    <row r="192">
      <c r="A192" t="n">
        <v>1000</v>
      </c>
      <c r="B192" t="inlineStr">
        <is>
          <t>범용수지사업부</t>
        </is>
      </c>
      <c r="C192" t="inlineStr">
        <is>
          <t>해외영업팀</t>
        </is>
      </c>
      <c r="D192" t="inlineStr">
        <is>
          <t>C10071</t>
        </is>
      </c>
      <c r="E192" t="inlineStr">
        <is>
          <t>큰별코리아</t>
        </is>
      </c>
      <c r="F192" t="inlineStr">
        <is>
          <t>PP</t>
        </is>
      </c>
      <c r="G192" t="inlineStr">
        <is>
          <t>M-1101</t>
        </is>
      </c>
      <c r="H192" t="inlineStr">
        <is>
          <t>PP 범용사출 H110</t>
        </is>
      </c>
      <c r="I192" s="43" t="n">
        <v>45772</v>
      </c>
      <c r="J192" t="n">
        <v>202504</v>
      </c>
      <c r="K192" s="44" t="n">
        <v>3725</v>
      </c>
      <c r="L192" t="inlineStr">
        <is>
          <t>KG</t>
        </is>
      </c>
      <c r="M192" s="44" t="n">
        <v>6118341</v>
      </c>
      <c r="N192" s="44" t="n">
        <v>673018</v>
      </c>
      <c r="O192" s="44" t="n">
        <v>122367</v>
      </c>
      <c r="P192" s="44" t="n">
        <v>5322956</v>
      </c>
      <c r="Q192" t="inlineStr">
        <is>
          <t>KRW</t>
        </is>
      </c>
      <c r="R192" t="inlineStr">
        <is>
          <t>INV2504-00191</t>
        </is>
      </c>
      <c r="S192" t="inlineStr">
        <is>
          <t>※예시데이터</t>
        </is>
      </c>
    </row>
    <row r="193">
      <c r="A193" t="n">
        <v>1000</v>
      </c>
      <c r="B193" t="inlineStr">
        <is>
          <t>EP사업부</t>
        </is>
      </c>
      <c r="C193" t="inlineStr">
        <is>
          <t>국내영업2팀</t>
        </is>
      </c>
      <c r="D193" t="inlineStr">
        <is>
          <t>C10085</t>
        </is>
      </c>
      <c r="E193" t="inlineStr">
        <is>
          <t>파란하이텍</t>
        </is>
      </c>
      <c r="F193" t="inlineStr">
        <is>
          <t>PC</t>
        </is>
      </c>
      <c r="G193" t="inlineStr">
        <is>
          <t>M-2201</t>
        </is>
      </c>
      <c r="H193" t="inlineStr">
        <is>
          <t>PC 일반 C100</t>
        </is>
      </c>
      <c r="I193" s="43" t="n">
        <v>45772</v>
      </c>
      <c r="J193" t="n">
        <v>202504</v>
      </c>
      <c r="K193" s="44" t="n">
        <v>3225</v>
      </c>
      <c r="L193" t="inlineStr">
        <is>
          <t>KG</t>
        </is>
      </c>
      <c r="M193" s="44" t="n">
        <v>12520388</v>
      </c>
      <c r="N193" s="44" t="n">
        <v>751223</v>
      </c>
      <c r="O193" t="n">
        <v>0</v>
      </c>
      <c r="P193" s="44" t="n">
        <v>11769165</v>
      </c>
      <c r="Q193" t="inlineStr">
        <is>
          <t>KRW</t>
        </is>
      </c>
      <c r="R193" t="inlineStr">
        <is>
          <t>INV2504-00192</t>
        </is>
      </c>
      <c r="S193" t="inlineStr">
        <is>
          <t>※예시데이터</t>
        </is>
      </c>
    </row>
    <row r="194">
      <c r="A194" t="n">
        <v>1000</v>
      </c>
      <c r="B194" t="inlineStr">
        <is>
          <t>EP사업부</t>
        </is>
      </c>
      <c r="C194" t="inlineStr">
        <is>
          <t>국내영업2팀</t>
        </is>
      </c>
      <c r="D194" t="inlineStr">
        <is>
          <t>C10022</t>
        </is>
      </c>
      <c r="E194" t="inlineStr">
        <is>
          <t>라온테크(주)</t>
        </is>
      </c>
      <c r="F194" t="inlineStr">
        <is>
          <t>ABS</t>
        </is>
      </c>
      <c r="G194" t="inlineStr">
        <is>
          <t>M-2102</t>
        </is>
      </c>
      <c r="H194" t="inlineStr">
        <is>
          <t>ABS 내열 HR500</t>
        </is>
      </c>
      <c r="I194" s="43" t="n">
        <v>45775</v>
      </c>
      <c r="J194" t="n">
        <v>202504</v>
      </c>
      <c r="K194" s="44" t="n">
        <v>5475</v>
      </c>
      <c r="L194" t="inlineStr">
        <is>
          <t>KG</t>
        </is>
      </c>
      <c r="M194" s="44" t="n">
        <v>16241414</v>
      </c>
      <c r="N194" s="44" t="n">
        <v>1136899</v>
      </c>
      <c r="O194" t="n">
        <v>0</v>
      </c>
      <c r="P194" s="44" t="n">
        <v>15104515</v>
      </c>
      <c r="Q194" t="inlineStr">
        <is>
          <t>KRW</t>
        </is>
      </c>
      <c r="R194" t="inlineStr">
        <is>
          <t>INV2504-00193</t>
        </is>
      </c>
      <c r="S194" t="inlineStr">
        <is>
          <t>※예시데이터</t>
        </is>
      </c>
    </row>
    <row r="195">
      <c r="A195" t="n">
        <v>1000</v>
      </c>
      <c r="B195" t="inlineStr">
        <is>
          <t>EP사업부</t>
        </is>
      </c>
      <c r="C195" t="inlineStr">
        <is>
          <t>국내영업2팀</t>
        </is>
      </c>
      <c r="D195" t="inlineStr">
        <is>
          <t>C10113</t>
        </is>
      </c>
      <c r="E195" t="inlineStr">
        <is>
          <t>누리오토파츠</t>
        </is>
      </c>
      <c r="F195" t="inlineStr">
        <is>
          <t>ABS</t>
        </is>
      </c>
      <c r="G195" t="inlineStr">
        <is>
          <t>M-2102</t>
        </is>
      </c>
      <c r="H195" t="inlineStr">
        <is>
          <t>ABS 내열 HR500</t>
        </is>
      </c>
      <c r="I195" s="43" t="n">
        <v>45779</v>
      </c>
      <c r="J195" t="n">
        <v>202505</v>
      </c>
      <c r="K195" s="44" t="n">
        <v>1325</v>
      </c>
      <c r="L195" t="inlineStr">
        <is>
          <t>KG</t>
        </is>
      </c>
      <c r="M195" s="44" t="n">
        <v>3925782</v>
      </c>
      <c r="N195" s="44" t="n">
        <v>274805</v>
      </c>
      <c r="O195" s="44" t="n">
        <v>39258</v>
      </c>
      <c r="P195" s="44" t="n">
        <v>3611719</v>
      </c>
      <c r="Q195" t="inlineStr">
        <is>
          <t>KRW</t>
        </is>
      </c>
      <c r="R195" t="inlineStr">
        <is>
          <t>INV2505-00194</t>
        </is>
      </c>
      <c r="S195" t="inlineStr">
        <is>
          <t>※예시데이터</t>
        </is>
      </c>
    </row>
    <row r="196">
      <c r="A196" t="n">
        <v>1000</v>
      </c>
      <c r="B196" t="inlineStr">
        <is>
          <t>범용수지사업부</t>
        </is>
      </c>
      <c r="C196" t="inlineStr">
        <is>
          <t>해외영업팀</t>
        </is>
      </c>
      <c r="D196" t="inlineStr">
        <is>
          <t>C10071</t>
        </is>
      </c>
      <c r="E196" t="inlineStr">
        <is>
          <t>큰별코리아</t>
        </is>
      </c>
      <c r="F196" t="inlineStr">
        <is>
          <t>PP</t>
        </is>
      </c>
      <c r="G196" t="inlineStr">
        <is>
          <t>M-1101</t>
        </is>
      </c>
      <c r="H196" t="inlineStr">
        <is>
          <t>PP 범용사출 H110</t>
        </is>
      </c>
      <c r="I196" s="43" t="n">
        <v>45780</v>
      </c>
      <c r="J196" t="n">
        <v>202505</v>
      </c>
      <c r="K196" s="44" t="n">
        <v>4825</v>
      </c>
      <c r="L196" t="inlineStr">
        <is>
          <t>KG</t>
        </is>
      </c>
      <c r="M196" s="44" t="n">
        <v>7915445</v>
      </c>
      <c r="N196" s="44" t="n">
        <v>870699</v>
      </c>
      <c r="O196" s="44" t="n">
        <v>158309</v>
      </c>
      <c r="P196" s="44" t="n">
        <v>6886437</v>
      </c>
      <c r="Q196" t="inlineStr">
        <is>
          <t>KRW</t>
        </is>
      </c>
      <c r="R196" t="inlineStr">
        <is>
          <t>INV2505-00195</t>
        </is>
      </c>
      <c r="S196" t="inlineStr">
        <is>
          <t>※예시데이터</t>
        </is>
      </c>
    </row>
    <row r="197">
      <c r="A197" t="n">
        <v>1000</v>
      </c>
      <c r="B197" t="inlineStr">
        <is>
          <t>EP사업부</t>
        </is>
      </c>
      <c r="C197" t="inlineStr">
        <is>
          <t>국내영업2팀</t>
        </is>
      </c>
      <c r="D197" t="inlineStr">
        <is>
          <t>C10085</t>
        </is>
      </c>
      <c r="E197" t="inlineStr">
        <is>
          <t>파란하이텍</t>
        </is>
      </c>
      <c r="F197" t="inlineStr">
        <is>
          <t>PC</t>
        </is>
      </c>
      <c r="G197" t="inlineStr">
        <is>
          <t>M-2202</t>
        </is>
      </c>
      <c r="H197" t="inlineStr">
        <is>
          <t>PC 난연 FR200</t>
        </is>
      </c>
      <c r="I197" s="43" t="n">
        <v>45780</v>
      </c>
      <c r="J197" t="n">
        <v>202505</v>
      </c>
      <c r="K197" s="44" t="n">
        <v>1475</v>
      </c>
      <c r="L197" t="inlineStr">
        <is>
          <t>KG</t>
        </is>
      </c>
      <c r="M197" s="44" t="n">
        <v>6379334</v>
      </c>
      <c r="N197" s="44" t="n">
        <v>382760</v>
      </c>
      <c r="O197" t="n">
        <v>0</v>
      </c>
      <c r="P197" s="44" t="n">
        <v>5996574</v>
      </c>
      <c r="Q197" t="inlineStr">
        <is>
          <t>KRW</t>
        </is>
      </c>
      <c r="R197" t="inlineStr">
        <is>
          <t>INV2505-00196</t>
        </is>
      </c>
      <c r="S197" t="inlineStr">
        <is>
          <t>※예시데이터</t>
        </is>
      </c>
    </row>
    <row r="198">
      <c r="A198" t="n">
        <v>1000</v>
      </c>
      <c r="B198" t="inlineStr">
        <is>
          <t>EP사업부</t>
        </is>
      </c>
      <c r="C198" t="inlineStr">
        <is>
          <t>국내영업2팀</t>
        </is>
      </c>
      <c r="D198" t="inlineStr">
        <is>
          <t>C10113</t>
        </is>
      </c>
      <c r="E198" t="inlineStr">
        <is>
          <t>누리오토파츠</t>
        </is>
      </c>
      <c r="F198" t="inlineStr">
        <is>
          <t>PC</t>
        </is>
      </c>
      <c r="G198" t="inlineStr">
        <is>
          <t>M-2202</t>
        </is>
      </c>
      <c r="H198" t="inlineStr">
        <is>
          <t>PC 난연 FR200</t>
        </is>
      </c>
      <c r="I198" s="43" t="n">
        <v>45780</v>
      </c>
      <c r="J198" t="n">
        <v>202505</v>
      </c>
      <c r="K198" s="44" t="n">
        <v>3050</v>
      </c>
      <c r="L198" t="inlineStr">
        <is>
          <t>KG</t>
        </is>
      </c>
      <c r="M198" s="44" t="n">
        <v>13191165</v>
      </c>
      <c r="N198" s="44" t="n">
        <v>923382</v>
      </c>
      <c r="O198" s="44" t="n">
        <v>131912</v>
      </c>
      <c r="P198" s="44" t="n">
        <v>12135871</v>
      </c>
      <c r="Q198" t="inlineStr">
        <is>
          <t>KRW</t>
        </is>
      </c>
      <c r="R198" t="inlineStr">
        <is>
          <t>INV2505-00197</t>
        </is>
      </c>
      <c r="S198" t="inlineStr">
        <is>
          <t>※예시데이터</t>
        </is>
      </c>
    </row>
    <row r="199">
      <c r="A199" t="n">
        <v>1000</v>
      </c>
      <c r="B199" t="inlineStr">
        <is>
          <t>범용수지사업부</t>
        </is>
      </c>
      <c r="C199" t="inlineStr">
        <is>
          <t>국내영업2팀</t>
        </is>
      </c>
      <c r="D199" t="inlineStr">
        <is>
          <t>C10127</t>
        </is>
      </c>
      <c r="E199" t="inlineStr">
        <is>
          <t>미르패키징</t>
        </is>
      </c>
      <c r="F199" t="inlineStr">
        <is>
          <t>PP</t>
        </is>
      </c>
      <c r="G199" t="inlineStr">
        <is>
          <t>M-1101</t>
        </is>
      </c>
      <c r="H199" t="inlineStr">
        <is>
          <t>PP 범용사출 H110</t>
        </is>
      </c>
      <c r="I199" s="43" t="n">
        <v>45780</v>
      </c>
      <c r="J199" t="n">
        <v>202505</v>
      </c>
      <c r="K199" s="44" t="n">
        <v>3075</v>
      </c>
      <c r="L199" t="inlineStr">
        <is>
          <t>KG</t>
        </is>
      </c>
      <c r="M199" s="44" t="n">
        <v>5044558</v>
      </c>
      <c r="N199" s="44" t="n">
        <v>454010</v>
      </c>
      <c r="O199" t="n">
        <v>0</v>
      </c>
      <c r="P199" s="44" t="n">
        <v>4590548</v>
      </c>
      <c r="Q199" t="inlineStr">
        <is>
          <t>KRW</t>
        </is>
      </c>
      <c r="R199" t="inlineStr">
        <is>
          <t>INV2505-00198</t>
        </is>
      </c>
      <c r="S199" t="inlineStr">
        <is>
          <t>※예시데이터</t>
        </is>
      </c>
    </row>
    <row r="200">
      <c r="A200" t="n">
        <v>1000</v>
      </c>
      <c r="B200" t="inlineStr">
        <is>
          <t>범용수지사업부</t>
        </is>
      </c>
      <c r="C200" t="inlineStr">
        <is>
          <t>국내영업1팀</t>
        </is>
      </c>
      <c r="D200" t="inlineStr">
        <is>
          <t>C10106</t>
        </is>
      </c>
      <c r="E200" t="inlineStr">
        <is>
          <t>온새미사출</t>
        </is>
      </c>
      <c r="F200" t="inlineStr">
        <is>
          <t>PP</t>
        </is>
      </c>
      <c r="G200" t="inlineStr">
        <is>
          <t>M-1101</t>
        </is>
      </c>
      <c r="H200" t="inlineStr">
        <is>
          <t>PP 범용사출 H110</t>
        </is>
      </c>
      <c r="I200" s="43" t="n">
        <v>45781</v>
      </c>
      <c r="J200" t="n">
        <v>202505</v>
      </c>
      <c r="K200" s="44" t="n">
        <v>10325</v>
      </c>
      <c r="L200" t="inlineStr">
        <is>
          <t>KG</t>
        </is>
      </c>
      <c r="M200" s="44" t="n">
        <v>16938231</v>
      </c>
      <c r="N200" s="44" t="n">
        <v>846912</v>
      </c>
      <c r="O200" t="n">
        <v>0</v>
      </c>
      <c r="P200" s="44" t="n">
        <v>16091319</v>
      </c>
      <c r="Q200" t="inlineStr">
        <is>
          <t>KRW</t>
        </is>
      </c>
      <c r="R200" t="inlineStr">
        <is>
          <t>INV2505-00199</t>
        </is>
      </c>
      <c r="S200" t="inlineStr">
        <is>
          <t>※예시데이터</t>
        </is>
      </c>
    </row>
    <row r="201">
      <c r="A201" t="n">
        <v>1000</v>
      </c>
      <c r="B201" t="inlineStr">
        <is>
          <t>범용수지사업부</t>
        </is>
      </c>
      <c r="C201" t="inlineStr">
        <is>
          <t>국내영업2팀</t>
        </is>
      </c>
      <c r="D201" t="inlineStr">
        <is>
          <t>C10050</t>
        </is>
      </c>
      <c r="E201" t="inlineStr">
        <is>
          <t>아름화학(주)</t>
        </is>
      </c>
      <c r="F201" t="inlineStr">
        <is>
          <t>PE</t>
        </is>
      </c>
      <c r="G201" t="inlineStr">
        <is>
          <t>M-1201</t>
        </is>
      </c>
      <c r="H201" t="inlineStr">
        <is>
          <t>HDPE 블로우 B500</t>
        </is>
      </c>
      <c r="I201" s="43" t="n">
        <v>45782</v>
      </c>
      <c r="J201" t="n">
        <v>202505</v>
      </c>
      <c r="K201" s="44" t="n">
        <v>5250</v>
      </c>
      <c r="L201" t="inlineStr">
        <is>
          <t>KG</t>
        </is>
      </c>
      <c r="M201" s="44" t="n">
        <v>8247274</v>
      </c>
      <c r="N201" s="44" t="n">
        <v>824727</v>
      </c>
      <c r="O201" s="44" t="n">
        <v>82473</v>
      </c>
      <c r="P201" s="44" t="n">
        <v>7340074</v>
      </c>
      <c r="Q201" t="inlineStr">
        <is>
          <t>KRW</t>
        </is>
      </c>
      <c r="R201" t="inlineStr">
        <is>
          <t>INV2505-00200</t>
        </is>
      </c>
      <c r="S201" t="inlineStr">
        <is>
          <t>※예시데이터</t>
        </is>
      </c>
    </row>
    <row r="202">
      <c r="A202" t="n">
        <v>1000</v>
      </c>
      <c r="B202" t="inlineStr">
        <is>
          <t>범용수지사업부</t>
        </is>
      </c>
      <c r="C202" t="inlineStr">
        <is>
          <t>국내영업2팀</t>
        </is>
      </c>
      <c r="D202" t="inlineStr">
        <is>
          <t>C10064</t>
        </is>
      </c>
      <c r="E202" t="inlineStr">
        <is>
          <t>차오름산업</t>
        </is>
      </c>
      <c r="F202" t="inlineStr">
        <is>
          <t>PP</t>
        </is>
      </c>
      <c r="G202" t="inlineStr">
        <is>
          <t>M-1103</t>
        </is>
      </c>
      <c r="H202" t="inlineStr">
        <is>
          <t>PP 투명 R330</t>
        </is>
      </c>
      <c r="I202" s="43" t="n">
        <v>45782</v>
      </c>
      <c r="J202" t="n">
        <v>202505</v>
      </c>
      <c r="K202" s="44" t="n">
        <v>4950</v>
      </c>
      <c r="L202" t="inlineStr">
        <is>
          <t>KG</t>
        </is>
      </c>
      <c r="M202" s="44" t="n">
        <v>9547749</v>
      </c>
      <c r="N202" s="44" t="n">
        <v>668342</v>
      </c>
      <c r="O202" t="n">
        <v>0</v>
      </c>
      <c r="P202" s="44" t="n">
        <v>8879407</v>
      </c>
      <c r="Q202" t="inlineStr">
        <is>
          <t>KRW</t>
        </is>
      </c>
      <c r="R202" t="inlineStr">
        <is>
          <t>INV2505-00201</t>
        </is>
      </c>
      <c r="S202" t="inlineStr">
        <is>
          <t>※예시데이터</t>
        </is>
      </c>
    </row>
    <row r="203">
      <c r="A203" t="n">
        <v>1000</v>
      </c>
      <c r="B203" t="inlineStr">
        <is>
          <t>EP사업부</t>
        </is>
      </c>
      <c r="C203" t="inlineStr">
        <is>
          <t>국내영업1팀</t>
        </is>
      </c>
      <c r="D203" t="inlineStr">
        <is>
          <t>C10134</t>
        </is>
      </c>
      <c r="E203" t="inlineStr">
        <is>
          <t>별하전자(주)</t>
        </is>
      </c>
      <c r="F203" t="inlineStr">
        <is>
          <t>PC</t>
        </is>
      </c>
      <c r="G203" t="inlineStr">
        <is>
          <t>M-2201</t>
        </is>
      </c>
      <c r="H203" t="inlineStr">
        <is>
          <t>PC 일반 C100</t>
        </is>
      </c>
      <c r="I203" s="43" t="n">
        <v>45783</v>
      </c>
      <c r="J203" t="n">
        <v>202505</v>
      </c>
      <c r="K203" t="n">
        <v>750</v>
      </c>
      <c r="L203" t="inlineStr">
        <is>
          <t>KG</t>
        </is>
      </c>
      <c r="M203" s="44" t="n">
        <v>2908171</v>
      </c>
      <c r="N203" s="44" t="n">
        <v>87245</v>
      </c>
      <c r="O203" t="n">
        <v>0</v>
      </c>
      <c r="P203" s="44" t="n">
        <v>2820926</v>
      </c>
      <c r="Q203" t="inlineStr">
        <is>
          <t>KRW</t>
        </is>
      </c>
      <c r="R203" t="inlineStr">
        <is>
          <t>INV2505-00202</t>
        </is>
      </c>
      <c r="S203" t="inlineStr">
        <is>
          <t>※예시데이터</t>
        </is>
      </c>
    </row>
    <row r="204">
      <c r="A204" t="n">
        <v>1000</v>
      </c>
      <c r="B204" t="inlineStr">
        <is>
          <t>범용수지사업부</t>
        </is>
      </c>
      <c r="C204" t="inlineStr">
        <is>
          <t>국내영업1팀</t>
        </is>
      </c>
      <c r="D204" t="inlineStr">
        <is>
          <t>C10001</t>
        </is>
      </c>
      <c r="E204" t="inlineStr">
        <is>
          <t>가온소재(주)</t>
        </is>
      </c>
      <c r="F204" t="inlineStr">
        <is>
          <t>PP</t>
        </is>
      </c>
      <c r="G204" t="inlineStr">
        <is>
          <t>M-1102</t>
        </is>
      </c>
      <c r="H204" t="inlineStr">
        <is>
          <t>PP 고강성 H220</t>
        </is>
      </c>
      <c r="I204" s="43" t="n">
        <v>45784</v>
      </c>
      <c r="J204" t="n">
        <v>202505</v>
      </c>
      <c r="K204" s="44" t="n">
        <v>2250</v>
      </c>
      <c r="L204" t="inlineStr">
        <is>
          <t>KG</t>
        </is>
      </c>
      <c r="M204" s="44" t="n">
        <v>4071439</v>
      </c>
      <c r="N204" s="44" t="n">
        <v>244286</v>
      </c>
      <c r="O204" t="n">
        <v>0</v>
      </c>
      <c r="P204" s="44" t="n">
        <v>3827153</v>
      </c>
      <c r="Q204" t="inlineStr">
        <is>
          <t>KRW</t>
        </is>
      </c>
      <c r="R204" t="inlineStr">
        <is>
          <t>INV2505-00203</t>
        </is>
      </c>
      <c r="S204" t="inlineStr">
        <is>
          <t>※예시데이터</t>
        </is>
      </c>
    </row>
    <row r="205">
      <c r="A205" t="n">
        <v>1000</v>
      </c>
      <c r="B205" t="inlineStr">
        <is>
          <t>EP사업부</t>
        </is>
      </c>
      <c r="C205" t="inlineStr">
        <is>
          <t>국내영업2팀</t>
        </is>
      </c>
      <c r="D205" t="inlineStr">
        <is>
          <t>C10085</t>
        </is>
      </c>
      <c r="E205" t="inlineStr">
        <is>
          <t>파란하이텍</t>
        </is>
      </c>
      <c r="F205" t="inlineStr">
        <is>
          <t>PC</t>
        </is>
      </c>
      <c r="G205" t="inlineStr">
        <is>
          <t>M-2202</t>
        </is>
      </c>
      <c r="H205" t="inlineStr">
        <is>
          <t>PC 난연 FR200</t>
        </is>
      </c>
      <c r="I205" s="43" t="n">
        <v>45784</v>
      </c>
      <c r="J205" t="n">
        <v>202505</v>
      </c>
      <c r="K205" s="44" t="n">
        <v>1475</v>
      </c>
      <c r="L205" t="inlineStr">
        <is>
          <t>KG</t>
        </is>
      </c>
      <c r="M205" s="44" t="n">
        <v>6379334</v>
      </c>
      <c r="N205" s="44" t="n">
        <v>382760</v>
      </c>
      <c r="O205" t="n">
        <v>0</v>
      </c>
      <c r="P205" s="44" t="n">
        <v>5996574</v>
      </c>
      <c r="Q205" t="inlineStr">
        <is>
          <t>KRW</t>
        </is>
      </c>
      <c r="R205" t="inlineStr">
        <is>
          <t>INV2505-00204</t>
        </is>
      </c>
      <c r="S205" t="inlineStr">
        <is>
          <t>※예시데이터</t>
        </is>
      </c>
    </row>
    <row r="206">
      <c r="A206" t="n">
        <v>1000</v>
      </c>
      <c r="B206" t="inlineStr">
        <is>
          <t>범용수지사업부</t>
        </is>
      </c>
      <c r="C206" t="inlineStr">
        <is>
          <t>국내영업2팀</t>
        </is>
      </c>
      <c r="D206" t="inlineStr">
        <is>
          <t>C10050</t>
        </is>
      </c>
      <c r="E206" t="inlineStr">
        <is>
          <t>아름화학(주)</t>
        </is>
      </c>
      <c r="F206" t="inlineStr">
        <is>
          <t>PP</t>
        </is>
      </c>
      <c r="G206" t="inlineStr">
        <is>
          <t>M-1103</t>
        </is>
      </c>
      <c r="H206" t="inlineStr">
        <is>
          <t>PP 투명 R330</t>
        </is>
      </c>
      <c r="I206" s="43" t="n">
        <v>45786</v>
      </c>
      <c r="J206" t="n">
        <v>202505</v>
      </c>
      <c r="K206" s="44" t="n">
        <v>9975</v>
      </c>
      <c r="L206" t="inlineStr">
        <is>
          <t>KG</t>
        </is>
      </c>
      <c r="M206" s="44" t="n">
        <v>19240160</v>
      </c>
      <c r="N206" s="44" t="n">
        <v>1924016</v>
      </c>
      <c r="O206" s="44" t="n">
        <v>192402</v>
      </c>
      <c r="P206" s="44" t="n">
        <v>17123742</v>
      </c>
      <c r="Q206" t="inlineStr">
        <is>
          <t>KRW</t>
        </is>
      </c>
      <c r="R206" t="inlineStr">
        <is>
          <t>INV2505-00205</t>
        </is>
      </c>
      <c r="S206" t="inlineStr">
        <is>
          <t>※예시데이터</t>
        </is>
      </c>
    </row>
    <row r="207">
      <c r="A207" t="n">
        <v>1000</v>
      </c>
      <c r="B207" t="inlineStr">
        <is>
          <t>EP사업부</t>
        </is>
      </c>
      <c r="C207" t="inlineStr">
        <is>
          <t>국내영업1팀</t>
        </is>
      </c>
      <c r="D207" t="inlineStr">
        <is>
          <t>C10134</t>
        </is>
      </c>
      <c r="E207" t="inlineStr">
        <is>
          <t>별하전자(주)</t>
        </is>
      </c>
      <c r="F207" t="inlineStr">
        <is>
          <t>PC</t>
        </is>
      </c>
      <c r="G207" t="inlineStr">
        <is>
          <t>M-2201</t>
        </is>
      </c>
      <c r="H207" t="inlineStr">
        <is>
          <t>PC 일반 C100</t>
        </is>
      </c>
      <c r="I207" s="43" t="n">
        <v>45786</v>
      </c>
      <c r="J207" t="n">
        <v>202505</v>
      </c>
      <c r="K207" t="n">
        <v>750</v>
      </c>
      <c r="L207" t="inlineStr">
        <is>
          <t>KG</t>
        </is>
      </c>
      <c r="M207" s="44" t="n">
        <v>2908171</v>
      </c>
      <c r="N207" s="44" t="n">
        <v>87245</v>
      </c>
      <c r="O207" t="n">
        <v>0</v>
      </c>
      <c r="P207" s="44" t="n">
        <v>2820926</v>
      </c>
      <c r="Q207" t="inlineStr">
        <is>
          <t>KRW</t>
        </is>
      </c>
      <c r="R207" t="inlineStr">
        <is>
          <t>INV2505-00206</t>
        </is>
      </c>
      <c r="S207" t="inlineStr">
        <is>
          <t>※예시데이터</t>
        </is>
      </c>
    </row>
    <row r="208">
      <c r="A208" t="n">
        <v>1000</v>
      </c>
      <c r="B208" t="inlineStr">
        <is>
          <t>EP사업부</t>
        </is>
      </c>
      <c r="C208" t="inlineStr">
        <is>
          <t>국내영업1팀</t>
        </is>
      </c>
      <c r="D208" t="inlineStr">
        <is>
          <t>C10134</t>
        </is>
      </c>
      <c r="E208" t="inlineStr">
        <is>
          <t>별하전자(주)</t>
        </is>
      </c>
      <c r="F208" t="inlineStr">
        <is>
          <t>PC</t>
        </is>
      </c>
      <c r="G208" t="inlineStr">
        <is>
          <t>M-2202</t>
        </is>
      </c>
      <c r="H208" t="inlineStr">
        <is>
          <t>PC 난연 FR200</t>
        </is>
      </c>
      <c r="I208" s="43" t="n">
        <v>45786</v>
      </c>
      <c r="J208" t="n">
        <v>202505</v>
      </c>
      <c r="K208" s="44" t="n">
        <v>1225</v>
      </c>
      <c r="L208" t="inlineStr">
        <is>
          <t>KG</t>
        </is>
      </c>
      <c r="M208" s="44" t="n">
        <v>5298091</v>
      </c>
      <c r="N208" s="44" t="n">
        <v>158943</v>
      </c>
      <c r="O208" t="n">
        <v>0</v>
      </c>
      <c r="P208" s="44" t="n">
        <v>5139148</v>
      </c>
      <c r="Q208" t="inlineStr">
        <is>
          <t>KRW</t>
        </is>
      </c>
      <c r="R208" t="inlineStr">
        <is>
          <t>INV2505-00207</t>
        </is>
      </c>
      <c r="S208" t="inlineStr">
        <is>
          <t>※예시데이터</t>
        </is>
      </c>
    </row>
    <row r="209">
      <c r="A209" t="n">
        <v>1000</v>
      </c>
      <c r="B209" t="inlineStr">
        <is>
          <t>범용수지사업부</t>
        </is>
      </c>
      <c r="C209" t="inlineStr">
        <is>
          <t>국내영업1팀</t>
        </is>
      </c>
      <c r="D209" t="inlineStr">
        <is>
          <t>C10043</t>
        </is>
      </c>
      <c r="E209" t="inlineStr">
        <is>
          <t>새봄플라스틱</t>
        </is>
      </c>
      <c r="F209" t="inlineStr">
        <is>
          <t>PP</t>
        </is>
      </c>
      <c r="G209" t="inlineStr">
        <is>
          <t>M-1103</t>
        </is>
      </c>
      <c r="H209" t="inlineStr">
        <is>
          <t>PP 투명 R330</t>
        </is>
      </c>
      <c r="I209" s="43" t="n">
        <v>45787</v>
      </c>
      <c r="J209" t="n">
        <v>202505</v>
      </c>
      <c r="K209" s="44" t="n">
        <v>1950</v>
      </c>
      <c r="L209" t="inlineStr">
        <is>
          <t>KG</t>
        </is>
      </c>
      <c r="M209" s="44" t="n">
        <v>3761234</v>
      </c>
      <c r="N209" s="44" t="n">
        <v>225674</v>
      </c>
      <c r="O209" t="n">
        <v>0</v>
      </c>
      <c r="P209" s="44" t="n">
        <v>3535560</v>
      </c>
      <c r="Q209" t="inlineStr">
        <is>
          <t>KRW</t>
        </is>
      </c>
      <c r="R209" t="inlineStr">
        <is>
          <t>INV2505-00208</t>
        </is>
      </c>
      <c r="S209" t="inlineStr">
        <is>
          <t>※예시데이터</t>
        </is>
      </c>
    </row>
    <row r="210">
      <c r="A210" t="n">
        <v>1000</v>
      </c>
      <c r="B210" t="inlineStr">
        <is>
          <t>EP사업부</t>
        </is>
      </c>
      <c r="C210" t="inlineStr">
        <is>
          <t>국내영업2팀</t>
        </is>
      </c>
      <c r="D210" t="inlineStr">
        <is>
          <t>C10015</t>
        </is>
      </c>
      <c r="E210" t="inlineStr">
        <is>
          <t>다솜케미칼</t>
        </is>
      </c>
      <c r="F210" t="inlineStr">
        <is>
          <t>ABS</t>
        </is>
      </c>
      <c r="G210" t="inlineStr">
        <is>
          <t>M-2101</t>
        </is>
      </c>
      <c r="H210" t="inlineStr">
        <is>
          <t>ABS 범용 G300</t>
        </is>
      </c>
      <c r="I210" s="43" t="n">
        <v>45788</v>
      </c>
      <c r="J210" t="n">
        <v>202505</v>
      </c>
      <c r="K210" s="44" t="n">
        <v>4000</v>
      </c>
      <c r="L210" t="inlineStr">
        <is>
          <t>KG</t>
        </is>
      </c>
      <c r="M210" s="44" t="n">
        <v>10539012</v>
      </c>
      <c r="N210" s="44" t="n">
        <v>526951</v>
      </c>
      <c r="O210" t="n">
        <v>0</v>
      </c>
      <c r="P210" s="44" t="n">
        <v>10012061</v>
      </c>
      <c r="Q210" t="inlineStr">
        <is>
          <t>KRW</t>
        </is>
      </c>
      <c r="R210" t="inlineStr">
        <is>
          <t>INV2505-00209</t>
        </is>
      </c>
      <c r="S210" t="inlineStr">
        <is>
          <t>※예시데이터</t>
        </is>
      </c>
    </row>
    <row r="211">
      <c r="A211" t="n">
        <v>1000</v>
      </c>
      <c r="B211" t="inlineStr">
        <is>
          <t>EP사업부</t>
        </is>
      </c>
      <c r="C211" t="inlineStr">
        <is>
          <t>국내영업1팀</t>
        </is>
      </c>
      <c r="D211" t="inlineStr">
        <is>
          <t>C10057</t>
        </is>
      </c>
      <c r="E211" t="inlineStr">
        <is>
          <t>자연엠텍</t>
        </is>
      </c>
      <c r="F211" t="inlineStr">
        <is>
          <t>ABS</t>
        </is>
      </c>
      <c r="G211" t="inlineStr">
        <is>
          <t>M-2101</t>
        </is>
      </c>
      <c r="H211" t="inlineStr">
        <is>
          <t>ABS 범용 G300</t>
        </is>
      </c>
      <c r="I211" s="43" t="n">
        <v>45788</v>
      </c>
      <c r="J211" t="n">
        <v>202505</v>
      </c>
      <c r="K211" s="44" t="n">
        <v>1525</v>
      </c>
      <c r="L211" t="inlineStr">
        <is>
          <t>KG</t>
        </is>
      </c>
      <c r="M211" s="44" t="n">
        <v>4017998</v>
      </c>
      <c r="N211" s="44" t="n">
        <v>200900</v>
      </c>
      <c r="O211" t="n">
        <v>0</v>
      </c>
      <c r="P211" s="44" t="n">
        <v>3817098</v>
      </c>
      <c r="Q211" t="inlineStr">
        <is>
          <t>KRW</t>
        </is>
      </c>
      <c r="R211" t="inlineStr">
        <is>
          <t>INV2505-00210</t>
        </is>
      </c>
      <c r="S211" t="inlineStr">
        <is>
          <t>※예시데이터</t>
        </is>
      </c>
    </row>
    <row r="212">
      <c r="A212" t="n">
        <v>1000</v>
      </c>
      <c r="B212" t="inlineStr">
        <is>
          <t>EP사업부</t>
        </is>
      </c>
      <c r="C212" t="inlineStr">
        <is>
          <t>국내영업2팀</t>
        </is>
      </c>
      <c r="D212" t="inlineStr">
        <is>
          <t>C10015</t>
        </is>
      </c>
      <c r="E212" t="inlineStr">
        <is>
          <t>다솜케미칼</t>
        </is>
      </c>
      <c r="F212" t="inlineStr">
        <is>
          <t>PC</t>
        </is>
      </c>
      <c r="G212" t="inlineStr">
        <is>
          <t>M-2202</t>
        </is>
      </c>
      <c r="H212" t="inlineStr">
        <is>
          <t>PC 난연 FR200</t>
        </is>
      </c>
      <c r="I212" s="43" t="n">
        <v>45790</v>
      </c>
      <c r="J212" t="n">
        <v>202505</v>
      </c>
      <c r="K212" s="44" t="n">
        <v>2100</v>
      </c>
      <c r="L212" t="inlineStr">
        <is>
          <t>KG</t>
        </is>
      </c>
      <c r="M212" s="44" t="n">
        <v>9082441</v>
      </c>
      <c r="N212" s="44" t="n">
        <v>454122</v>
      </c>
      <c r="O212" t="n">
        <v>0</v>
      </c>
      <c r="P212" s="44" t="n">
        <v>8628319</v>
      </c>
      <c r="Q212" t="inlineStr">
        <is>
          <t>KRW</t>
        </is>
      </c>
      <c r="R212" t="inlineStr">
        <is>
          <t>INV2505-00211</t>
        </is>
      </c>
      <c r="S212" t="inlineStr">
        <is>
          <t>※예시데이터</t>
        </is>
      </c>
    </row>
    <row r="213">
      <c r="A213" t="n">
        <v>1000</v>
      </c>
      <c r="B213" t="inlineStr">
        <is>
          <t>EP사업부</t>
        </is>
      </c>
      <c r="C213" t="inlineStr">
        <is>
          <t>국내영업2팀</t>
        </is>
      </c>
      <c r="D213" t="inlineStr">
        <is>
          <t>C10022</t>
        </is>
      </c>
      <c r="E213" t="inlineStr">
        <is>
          <t>라온테크(주)</t>
        </is>
      </c>
      <c r="F213" t="inlineStr">
        <is>
          <t>ABS</t>
        </is>
      </c>
      <c r="G213" t="inlineStr">
        <is>
          <t>M-2102</t>
        </is>
      </c>
      <c r="H213" t="inlineStr">
        <is>
          <t>ABS 내열 HR500</t>
        </is>
      </c>
      <c r="I213" s="43" t="n">
        <v>45790</v>
      </c>
      <c r="J213" t="n">
        <v>202505</v>
      </c>
      <c r="K213" s="44" t="n">
        <v>7775</v>
      </c>
      <c r="L213" t="inlineStr">
        <is>
          <t>KG</t>
        </is>
      </c>
      <c r="M213" s="44" t="n">
        <v>23036193</v>
      </c>
      <c r="N213" s="44" t="n">
        <v>1612534</v>
      </c>
      <c r="O213" t="n">
        <v>0</v>
      </c>
      <c r="P213" s="44" t="n">
        <v>21423659</v>
      </c>
      <c r="Q213" t="inlineStr">
        <is>
          <t>KRW</t>
        </is>
      </c>
      <c r="R213" t="inlineStr">
        <is>
          <t>INV2505-00212</t>
        </is>
      </c>
      <c r="S213" t="inlineStr">
        <is>
          <t>※예시데이터</t>
        </is>
      </c>
    </row>
    <row r="214">
      <c r="A214" t="n">
        <v>1000</v>
      </c>
      <c r="B214" t="inlineStr">
        <is>
          <t>EP사업부</t>
        </is>
      </c>
      <c r="C214" t="inlineStr">
        <is>
          <t>국내영업1팀</t>
        </is>
      </c>
      <c r="D214" t="inlineStr">
        <is>
          <t>C10043</t>
        </is>
      </c>
      <c r="E214" t="inlineStr">
        <is>
          <t>새봄플라스틱</t>
        </is>
      </c>
      <c r="F214" t="inlineStr">
        <is>
          <t>ABS</t>
        </is>
      </c>
      <c r="G214" t="inlineStr">
        <is>
          <t>M-2101</t>
        </is>
      </c>
      <c r="H214" t="inlineStr">
        <is>
          <t>ABS 범용 G300</t>
        </is>
      </c>
      <c r="I214" s="43" t="n">
        <v>45790</v>
      </c>
      <c r="J214" t="n">
        <v>202505</v>
      </c>
      <c r="K214" s="44" t="n">
        <v>2225</v>
      </c>
      <c r="L214" t="inlineStr">
        <is>
          <t>KG</t>
        </is>
      </c>
      <c r="M214" s="44" t="n">
        <v>5862326</v>
      </c>
      <c r="N214" s="44" t="n">
        <v>351740</v>
      </c>
      <c r="O214" t="n">
        <v>0</v>
      </c>
      <c r="P214" s="44" t="n">
        <v>5510586</v>
      </c>
      <c r="Q214" t="inlineStr">
        <is>
          <t>KRW</t>
        </is>
      </c>
      <c r="R214" t="inlineStr">
        <is>
          <t>INV2505-00213</t>
        </is>
      </c>
      <c r="S214" t="inlineStr">
        <is>
          <t>※예시데이터</t>
        </is>
      </c>
    </row>
    <row r="215">
      <c r="A215" t="n">
        <v>1000</v>
      </c>
      <c r="B215" t="inlineStr">
        <is>
          <t>EP사업부</t>
        </is>
      </c>
      <c r="C215" t="inlineStr">
        <is>
          <t>국내영업2팀</t>
        </is>
      </c>
      <c r="D215" t="inlineStr">
        <is>
          <t>C10015</t>
        </is>
      </c>
      <c r="E215" t="inlineStr">
        <is>
          <t>다솜케미칼</t>
        </is>
      </c>
      <c r="F215" t="inlineStr">
        <is>
          <t>PC</t>
        </is>
      </c>
      <c r="G215" t="inlineStr">
        <is>
          <t>M-2201</t>
        </is>
      </c>
      <c r="H215" t="inlineStr">
        <is>
          <t>PC 일반 C100</t>
        </is>
      </c>
      <c r="I215" s="43" t="n">
        <v>45791</v>
      </c>
      <c r="J215" t="n">
        <v>202505</v>
      </c>
      <c r="K215" s="44" t="n">
        <v>2575</v>
      </c>
      <c r="L215" t="inlineStr">
        <is>
          <t>KG</t>
        </is>
      </c>
      <c r="M215" s="44" t="n">
        <v>9984720</v>
      </c>
      <c r="N215" s="44" t="n">
        <v>499236</v>
      </c>
      <c r="O215" t="n">
        <v>0</v>
      </c>
      <c r="P215" s="44" t="n">
        <v>9485484</v>
      </c>
      <c r="Q215" t="inlineStr">
        <is>
          <t>KRW</t>
        </is>
      </c>
      <c r="R215" t="inlineStr">
        <is>
          <t>INV2505-00214</t>
        </is>
      </c>
      <c r="S215" t="inlineStr">
        <is>
          <t>※예시데이터</t>
        </is>
      </c>
    </row>
    <row r="216">
      <c r="A216" t="n">
        <v>1000</v>
      </c>
      <c r="B216" t="inlineStr">
        <is>
          <t>범용수지사업부</t>
        </is>
      </c>
      <c r="C216" t="inlineStr">
        <is>
          <t>국내영업2팀</t>
        </is>
      </c>
      <c r="D216" t="inlineStr">
        <is>
          <t>C10036</t>
        </is>
      </c>
      <c r="E216" t="inlineStr">
        <is>
          <t>바른물산</t>
        </is>
      </c>
      <c r="F216" t="inlineStr">
        <is>
          <t>PE</t>
        </is>
      </c>
      <c r="G216" t="inlineStr">
        <is>
          <t>M-1201</t>
        </is>
      </c>
      <c r="H216" t="inlineStr">
        <is>
          <t>HDPE 블로우 B500</t>
        </is>
      </c>
      <c r="I216" s="43" t="n">
        <v>45791</v>
      </c>
      <c r="J216" t="n">
        <v>202505</v>
      </c>
      <c r="K216" s="44" t="n">
        <v>5800</v>
      </c>
      <c r="L216" t="inlineStr">
        <is>
          <t>KG</t>
        </is>
      </c>
      <c r="M216" s="44" t="n">
        <v>9111275</v>
      </c>
      <c r="N216" s="44" t="n">
        <v>820015</v>
      </c>
      <c r="O216" s="44" t="n">
        <v>182226</v>
      </c>
      <c r="P216" s="44" t="n">
        <v>8109034</v>
      </c>
      <c r="Q216" t="inlineStr">
        <is>
          <t>KRW</t>
        </is>
      </c>
      <c r="R216" t="inlineStr">
        <is>
          <t>INV2505-00215</t>
        </is>
      </c>
      <c r="S216" t="inlineStr">
        <is>
          <t>※예시데이터</t>
        </is>
      </c>
    </row>
    <row r="217">
      <c r="A217" t="n">
        <v>1000</v>
      </c>
      <c r="B217" t="inlineStr">
        <is>
          <t>EP사업부</t>
        </is>
      </c>
      <c r="C217" t="inlineStr">
        <is>
          <t>국내영업1팀</t>
        </is>
      </c>
      <c r="D217" t="inlineStr">
        <is>
          <t>C10043</t>
        </is>
      </c>
      <c r="E217" t="inlineStr">
        <is>
          <t>새봄플라스틱</t>
        </is>
      </c>
      <c r="F217" t="inlineStr">
        <is>
          <t>ABS</t>
        </is>
      </c>
      <c r="G217" t="inlineStr">
        <is>
          <t>M-2102</t>
        </is>
      </c>
      <c r="H217" t="inlineStr">
        <is>
          <t>ABS 내열 HR500</t>
        </is>
      </c>
      <c r="I217" s="43" t="n">
        <v>45791</v>
      </c>
      <c r="J217" t="n">
        <v>202505</v>
      </c>
      <c r="K217" s="44" t="n">
        <v>3975</v>
      </c>
      <c r="L217" t="inlineStr">
        <is>
          <t>KG</t>
        </is>
      </c>
      <c r="M217" s="44" t="n">
        <v>11777346</v>
      </c>
      <c r="N217" s="44" t="n">
        <v>706641</v>
      </c>
      <c r="O217" t="n">
        <v>0</v>
      </c>
      <c r="P217" s="44" t="n">
        <v>11070705</v>
      </c>
      <c r="Q217" t="inlineStr">
        <is>
          <t>KRW</t>
        </is>
      </c>
      <c r="R217" t="inlineStr">
        <is>
          <t>INV2505-00216</t>
        </is>
      </c>
      <c r="S217" t="inlineStr">
        <is>
          <t>※예시데이터</t>
        </is>
      </c>
    </row>
    <row r="218">
      <c r="A218" t="n">
        <v>1000</v>
      </c>
      <c r="B218" t="inlineStr">
        <is>
          <t>범용수지사업부</t>
        </is>
      </c>
      <c r="C218" t="inlineStr">
        <is>
          <t>국내영업1팀</t>
        </is>
      </c>
      <c r="D218" t="inlineStr">
        <is>
          <t>C10001</t>
        </is>
      </c>
      <c r="E218" t="inlineStr">
        <is>
          <t>가온소재(주)</t>
        </is>
      </c>
      <c r="F218" t="inlineStr">
        <is>
          <t>PE</t>
        </is>
      </c>
      <c r="G218" t="inlineStr">
        <is>
          <t>M-1201</t>
        </is>
      </c>
      <c r="H218" t="inlineStr">
        <is>
          <t>HDPE 블로우 B500</t>
        </is>
      </c>
      <c r="I218" s="43" t="n">
        <v>45793</v>
      </c>
      <c r="J218" t="n">
        <v>202505</v>
      </c>
      <c r="K218" s="44" t="n">
        <v>3725</v>
      </c>
      <c r="L218" t="inlineStr">
        <is>
          <t>KG</t>
        </is>
      </c>
      <c r="M218" s="44" t="n">
        <v>5851638</v>
      </c>
      <c r="N218" s="44" t="n">
        <v>351098</v>
      </c>
      <c r="O218" t="n">
        <v>0</v>
      </c>
      <c r="P218" s="44" t="n">
        <v>5500540</v>
      </c>
      <c r="Q218" t="inlineStr">
        <is>
          <t>KRW</t>
        </is>
      </c>
      <c r="R218" t="inlineStr">
        <is>
          <t>INV2505-00217</t>
        </is>
      </c>
      <c r="S218" t="inlineStr">
        <is>
          <t>※예시데이터</t>
        </is>
      </c>
    </row>
    <row r="219">
      <c r="A219" t="n">
        <v>1000</v>
      </c>
      <c r="B219" t="inlineStr">
        <is>
          <t>범용수지사업부</t>
        </is>
      </c>
      <c r="C219" t="inlineStr">
        <is>
          <t>국내영업1팀</t>
        </is>
      </c>
      <c r="D219" t="inlineStr">
        <is>
          <t>C10001</t>
        </is>
      </c>
      <c r="E219" t="inlineStr">
        <is>
          <t>가온소재(주)</t>
        </is>
      </c>
      <c r="F219" t="inlineStr">
        <is>
          <t>PE</t>
        </is>
      </c>
      <c r="G219" t="inlineStr">
        <is>
          <t>M-1202</t>
        </is>
      </c>
      <c r="H219" t="inlineStr">
        <is>
          <t>LLDPE 필름 F120</t>
        </is>
      </c>
      <c r="I219" s="43" t="n">
        <v>45793</v>
      </c>
      <c r="J219" t="n">
        <v>202505</v>
      </c>
      <c r="K219" s="44" t="n">
        <v>5500</v>
      </c>
      <c r="L219" t="inlineStr">
        <is>
          <t>KG</t>
        </is>
      </c>
      <c r="M219" s="44" t="n">
        <v>9350888</v>
      </c>
      <c r="N219" s="44" t="n">
        <v>561053</v>
      </c>
      <c r="O219" t="n">
        <v>0</v>
      </c>
      <c r="P219" s="44" t="n">
        <v>8789835</v>
      </c>
      <c r="Q219" t="inlineStr">
        <is>
          <t>KRW</t>
        </is>
      </c>
      <c r="R219" t="inlineStr">
        <is>
          <t>INV2505-00218</t>
        </is>
      </c>
      <c r="S219" t="inlineStr">
        <is>
          <t>※예시데이터</t>
        </is>
      </c>
    </row>
    <row r="220">
      <c r="A220" t="n">
        <v>1000</v>
      </c>
      <c r="B220" t="inlineStr">
        <is>
          <t>범용수지사업부</t>
        </is>
      </c>
      <c r="C220" t="inlineStr">
        <is>
          <t>국내영업2팀</t>
        </is>
      </c>
      <c r="D220" t="inlineStr">
        <is>
          <t>C10036</t>
        </is>
      </c>
      <c r="E220" t="inlineStr">
        <is>
          <t>바른물산</t>
        </is>
      </c>
      <c r="F220" t="inlineStr">
        <is>
          <t>PE</t>
        </is>
      </c>
      <c r="G220" t="inlineStr">
        <is>
          <t>M-1201</t>
        </is>
      </c>
      <c r="H220" t="inlineStr">
        <is>
          <t>HDPE 블로우 B500</t>
        </is>
      </c>
      <c r="I220" s="43" t="n">
        <v>45793</v>
      </c>
      <c r="J220" t="n">
        <v>202505</v>
      </c>
      <c r="K220" s="44" t="n">
        <v>5800</v>
      </c>
      <c r="L220" t="inlineStr">
        <is>
          <t>KG</t>
        </is>
      </c>
      <c r="M220" s="44" t="n">
        <v>9111275</v>
      </c>
      <c r="N220" s="44" t="n">
        <v>820015</v>
      </c>
      <c r="O220" s="44" t="n">
        <v>182226</v>
      </c>
      <c r="P220" s="44" t="n">
        <v>8109034</v>
      </c>
      <c r="Q220" t="inlineStr">
        <is>
          <t>KRW</t>
        </is>
      </c>
      <c r="R220" t="inlineStr">
        <is>
          <t>INV2505-00219</t>
        </is>
      </c>
      <c r="S220" t="inlineStr">
        <is>
          <t>※예시데이터</t>
        </is>
      </c>
    </row>
    <row r="221">
      <c r="A221" t="n">
        <v>1000</v>
      </c>
      <c r="B221" t="inlineStr">
        <is>
          <t>범용수지사업부</t>
        </is>
      </c>
      <c r="C221" t="inlineStr">
        <is>
          <t>국내영업2팀</t>
        </is>
      </c>
      <c r="D221" t="inlineStr">
        <is>
          <t>C10127</t>
        </is>
      </c>
      <c r="E221" t="inlineStr">
        <is>
          <t>미르패키징</t>
        </is>
      </c>
      <c r="F221" t="inlineStr">
        <is>
          <t>PE</t>
        </is>
      </c>
      <c r="G221" t="inlineStr">
        <is>
          <t>M-1201</t>
        </is>
      </c>
      <c r="H221" t="inlineStr">
        <is>
          <t>HDPE 블로우 B500</t>
        </is>
      </c>
      <c r="I221" s="43" t="n">
        <v>45793</v>
      </c>
      <c r="J221" t="n">
        <v>202505</v>
      </c>
      <c r="K221" s="44" t="n">
        <v>1850</v>
      </c>
      <c r="L221" t="inlineStr">
        <is>
          <t>KG</t>
        </is>
      </c>
      <c r="M221" s="44" t="n">
        <v>2906182</v>
      </c>
      <c r="N221" s="44" t="n">
        <v>261556</v>
      </c>
      <c r="O221" t="n">
        <v>0</v>
      </c>
      <c r="P221" s="44" t="n">
        <v>2644626</v>
      </c>
      <c r="Q221" t="inlineStr">
        <is>
          <t>KRW</t>
        </is>
      </c>
      <c r="R221" t="inlineStr">
        <is>
          <t>INV2505-00220</t>
        </is>
      </c>
      <c r="S221" t="inlineStr">
        <is>
          <t>※예시데이터</t>
        </is>
      </c>
    </row>
    <row r="222">
      <c r="A222" t="n">
        <v>1000</v>
      </c>
      <c r="B222" t="inlineStr">
        <is>
          <t>범용수지사업부</t>
        </is>
      </c>
      <c r="C222" t="inlineStr">
        <is>
          <t>국내영업2팀</t>
        </is>
      </c>
      <c r="D222" t="inlineStr">
        <is>
          <t>C10127</t>
        </is>
      </c>
      <c r="E222" t="inlineStr">
        <is>
          <t>미르패키징</t>
        </is>
      </c>
      <c r="F222" t="inlineStr">
        <is>
          <t>PE</t>
        </is>
      </c>
      <c r="G222" t="inlineStr">
        <is>
          <t>M-1202</t>
        </is>
      </c>
      <c r="H222" t="inlineStr">
        <is>
          <t>LLDPE 필름 F120</t>
        </is>
      </c>
      <c r="I222" s="43" t="n">
        <v>45793</v>
      </c>
      <c r="J222" t="n">
        <v>202505</v>
      </c>
      <c r="K222" s="44" t="n">
        <v>2950</v>
      </c>
      <c r="L222" t="inlineStr">
        <is>
          <t>KG</t>
        </is>
      </c>
      <c r="M222" s="44" t="n">
        <v>5015476</v>
      </c>
      <c r="N222" s="44" t="n">
        <v>451393</v>
      </c>
      <c r="O222" t="n">
        <v>0</v>
      </c>
      <c r="P222" s="44" t="n">
        <v>4564083</v>
      </c>
      <c r="Q222" t="inlineStr">
        <is>
          <t>KRW</t>
        </is>
      </c>
      <c r="R222" t="inlineStr">
        <is>
          <t>INV2505-00221</t>
        </is>
      </c>
      <c r="S222" t="inlineStr">
        <is>
          <t>※예시데이터</t>
        </is>
      </c>
    </row>
    <row r="223">
      <c r="A223" t="n">
        <v>1000</v>
      </c>
      <c r="B223" t="inlineStr">
        <is>
          <t>EP사업부</t>
        </is>
      </c>
      <c r="C223" t="inlineStr">
        <is>
          <t>국내영업1팀</t>
        </is>
      </c>
      <c r="D223" t="inlineStr">
        <is>
          <t>C10029</t>
        </is>
      </c>
      <c r="E223" t="inlineStr">
        <is>
          <t>마루정밀</t>
        </is>
      </c>
      <c r="F223" t="inlineStr">
        <is>
          <t>PC</t>
        </is>
      </c>
      <c r="G223" t="inlineStr">
        <is>
          <t>M-2201</t>
        </is>
      </c>
      <c r="H223" t="inlineStr">
        <is>
          <t>PC 일반 C100</t>
        </is>
      </c>
      <c r="I223" s="43" t="n">
        <v>45794</v>
      </c>
      <c r="J223" t="n">
        <v>202505</v>
      </c>
      <c r="K223" s="44" t="n">
        <v>5375</v>
      </c>
      <c r="L223" t="inlineStr">
        <is>
          <t>KG</t>
        </is>
      </c>
      <c r="M223" s="44" t="n">
        <v>20841891</v>
      </c>
      <c r="N223" s="44" t="n">
        <v>833676</v>
      </c>
      <c r="O223" t="n">
        <v>0</v>
      </c>
      <c r="P223" s="44" t="n">
        <v>20008215</v>
      </c>
      <c r="Q223" t="inlineStr">
        <is>
          <t>KRW</t>
        </is>
      </c>
      <c r="R223" t="inlineStr">
        <is>
          <t>INV2505-00222</t>
        </is>
      </c>
      <c r="S223" t="inlineStr">
        <is>
          <t>※예시데이터</t>
        </is>
      </c>
    </row>
    <row r="224">
      <c r="A224" t="n">
        <v>1000</v>
      </c>
      <c r="B224" t="inlineStr">
        <is>
          <t>범용수지사업부</t>
        </is>
      </c>
      <c r="C224" t="inlineStr">
        <is>
          <t>해외영업팀</t>
        </is>
      </c>
      <c r="D224" t="inlineStr">
        <is>
          <t>C10071</t>
        </is>
      </c>
      <c r="E224" t="inlineStr">
        <is>
          <t>큰별코리아</t>
        </is>
      </c>
      <c r="F224" t="inlineStr">
        <is>
          <t>PP</t>
        </is>
      </c>
      <c r="G224" t="inlineStr">
        <is>
          <t>M-1101</t>
        </is>
      </c>
      <c r="H224" t="inlineStr">
        <is>
          <t>PP 범용사출 H110</t>
        </is>
      </c>
      <c r="I224" s="43" t="n">
        <v>45794</v>
      </c>
      <c r="J224" t="n">
        <v>202505</v>
      </c>
      <c r="K224" s="44" t="n">
        <v>4825</v>
      </c>
      <c r="L224" t="inlineStr">
        <is>
          <t>KG</t>
        </is>
      </c>
      <c r="M224" s="44" t="n">
        <v>7915445</v>
      </c>
      <c r="N224" s="44" t="n">
        <v>870699</v>
      </c>
      <c r="O224" s="44" t="n">
        <v>158309</v>
      </c>
      <c r="P224" s="44" t="n">
        <v>6886437</v>
      </c>
      <c r="Q224" t="inlineStr">
        <is>
          <t>KRW</t>
        </is>
      </c>
      <c r="R224" t="inlineStr">
        <is>
          <t>INV2505-00223</t>
        </is>
      </c>
      <c r="S224" t="inlineStr">
        <is>
          <t>※예시데이터</t>
        </is>
      </c>
    </row>
    <row r="225">
      <c r="A225" t="n">
        <v>1000</v>
      </c>
      <c r="B225" t="inlineStr">
        <is>
          <t>EP사업부</t>
        </is>
      </c>
      <c r="C225" t="inlineStr">
        <is>
          <t>국내영업1팀</t>
        </is>
      </c>
      <c r="D225" t="inlineStr">
        <is>
          <t>C10057</t>
        </is>
      </c>
      <c r="E225" t="inlineStr">
        <is>
          <t>자연엠텍</t>
        </is>
      </c>
      <c r="F225" t="inlineStr">
        <is>
          <t>ABS</t>
        </is>
      </c>
      <c r="G225" t="inlineStr">
        <is>
          <t>M-2101</t>
        </is>
      </c>
      <c r="H225" t="inlineStr">
        <is>
          <t>ABS 범용 G300</t>
        </is>
      </c>
      <c r="I225" s="43" t="n">
        <v>45796</v>
      </c>
      <c r="J225" t="n">
        <v>202505</v>
      </c>
      <c r="K225" s="44" t="n">
        <v>1525</v>
      </c>
      <c r="L225" t="inlineStr">
        <is>
          <t>KG</t>
        </is>
      </c>
      <c r="M225" s="44" t="n">
        <v>4017998</v>
      </c>
      <c r="N225" s="44" t="n">
        <v>200900</v>
      </c>
      <c r="O225" t="n">
        <v>0</v>
      </c>
      <c r="P225" s="44" t="n">
        <v>3817098</v>
      </c>
      <c r="Q225" t="inlineStr">
        <is>
          <t>KRW</t>
        </is>
      </c>
      <c r="R225" t="inlineStr">
        <is>
          <t>INV2505-00224</t>
        </is>
      </c>
      <c r="S225" t="inlineStr">
        <is>
          <t>※예시데이터</t>
        </is>
      </c>
    </row>
    <row r="226">
      <c r="A226" t="n">
        <v>1000</v>
      </c>
      <c r="B226" t="inlineStr">
        <is>
          <t>EP사업부</t>
        </is>
      </c>
      <c r="C226" t="inlineStr">
        <is>
          <t>국내영업1팀</t>
        </is>
      </c>
      <c r="D226" t="inlineStr">
        <is>
          <t>C10057</t>
        </is>
      </c>
      <c r="E226" t="inlineStr">
        <is>
          <t>자연엠텍</t>
        </is>
      </c>
      <c r="F226" t="inlineStr">
        <is>
          <t>PC</t>
        </is>
      </c>
      <c r="G226" t="inlineStr">
        <is>
          <t>M-2201</t>
        </is>
      </c>
      <c r="H226" t="inlineStr">
        <is>
          <t>PC 일반 C100</t>
        </is>
      </c>
      <c r="I226" s="43" t="n">
        <v>45796</v>
      </c>
      <c r="J226" t="n">
        <v>202505</v>
      </c>
      <c r="K226" s="44" t="n">
        <v>1875</v>
      </c>
      <c r="L226" t="inlineStr">
        <is>
          <t>KG</t>
        </is>
      </c>
      <c r="M226" s="44" t="n">
        <v>7270427</v>
      </c>
      <c r="N226" s="44" t="n">
        <v>363521</v>
      </c>
      <c r="O226" t="n">
        <v>0</v>
      </c>
      <c r="P226" s="44" t="n">
        <v>6906906</v>
      </c>
      <c r="Q226" t="inlineStr">
        <is>
          <t>KRW</t>
        </is>
      </c>
      <c r="R226" t="inlineStr">
        <is>
          <t>INV2505-00225</t>
        </is>
      </c>
      <c r="S226" t="inlineStr">
        <is>
          <t>※예시데이터</t>
        </is>
      </c>
    </row>
    <row r="227">
      <c r="A227" t="n">
        <v>1000</v>
      </c>
      <c r="B227" t="inlineStr">
        <is>
          <t>EP사업부</t>
        </is>
      </c>
      <c r="C227" t="inlineStr">
        <is>
          <t>국내영업2팀</t>
        </is>
      </c>
      <c r="D227" t="inlineStr">
        <is>
          <t>C10113</t>
        </is>
      </c>
      <c r="E227" t="inlineStr">
        <is>
          <t>누리오토파츠</t>
        </is>
      </c>
      <c r="F227" t="inlineStr">
        <is>
          <t>ABS</t>
        </is>
      </c>
      <c r="G227" t="inlineStr">
        <is>
          <t>M-2102</t>
        </is>
      </c>
      <c r="H227" t="inlineStr">
        <is>
          <t>ABS 내열 HR500</t>
        </is>
      </c>
      <c r="I227" s="43" t="n">
        <v>45796</v>
      </c>
      <c r="J227" t="n">
        <v>202505</v>
      </c>
      <c r="K227" s="44" t="n">
        <v>1325</v>
      </c>
      <c r="L227" t="inlineStr">
        <is>
          <t>KG</t>
        </is>
      </c>
      <c r="M227" s="44" t="n">
        <v>3925782</v>
      </c>
      <c r="N227" s="44" t="n">
        <v>274805</v>
      </c>
      <c r="O227" s="44" t="n">
        <v>39258</v>
      </c>
      <c r="P227" s="44" t="n">
        <v>3611719</v>
      </c>
      <c r="Q227" t="inlineStr">
        <is>
          <t>KRW</t>
        </is>
      </c>
      <c r="R227" t="inlineStr">
        <is>
          <t>INV2505-00226</t>
        </is>
      </c>
      <c r="S227" t="inlineStr">
        <is>
          <t>※예시데이터</t>
        </is>
      </c>
    </row>
    <row r="228">
      <c r="A228" t="n">
        <v>1000</v>
      </c>
      <c r="B228" t="inlineStr">
        <is>
          <t>EP사업부</t>
        </is>
      </c>
      <c r="C228" t="inlineStr">
        <is>
          <t>국내영업1팀</t>
        </is>
      </c>
      <c r="D228" t="inlineStr">
        <is>
          <t>C10057</t>
        </is>
      </c>
      <c r="E228" t="inlineStr">
        <is>
          <t>자연엠텍</t>
        </is>
      </c>
      <c r="F228" t="inlineStr">
        <is>
          <t>PC</t>
        </is>
      </c>
      <c r="G228" t="inlineStr">
        <is>
          <t>M-2201</t>
        </is>
      </c>
      <c r="H228" t="inlineStr">
        <is>
          <t>PC 일반 C100</t>
        </is>
      </c>
      <c r="I228" s="43" t="n">
        <v>45797</v>
      </c>
      <c r="J228" t="n">
        <v>202505</v>
      </c>
      <c r="K228" s="44" t="n">
        <v>1875</v>
      </c>
      <c r="L228" t="inlineStr">
        <is>
          <t>KG</t>
        </is>
      </c>
      <c r="M228" s="44" t="n">
        <v>7270427</v>
      </c>
      <c r="N228" s="44" t="n">
        <v>363521</v>
      </c>
      <c r="O228" t="n">
        <v>0</v>
      </c>
      <c r="P228" s="44" t="n">
        <v>6906906</v>
      </c>
      <c r="Q228" t="inlineStr">
        <is>
          <t>KRW</t>
        </is>
      </c>
      <c r="R228" t="inlineStr">
        <is>
          <t>INV2505-00227</t>
        </is>
      </c>
      <c r="S228" t="inlineStr">
        <is>
          <t>※예시데이터</t>
        </is>
      </c>
    </row>
    <row r="229">
      <c r="A229" t="n">
        <v>1000</v>
      </c>
      <c r="B229" t="inlineStr">
        <is>
          <t>범용수지사업부</t>
        </is>
      </c>
      <c r="C229" t="inlineStr">
        <is>
          <t>해외영업팀</t>
        </is>
      </c>
      <c r="D229" t="inlineStr">
        <is>
          <t>C10071</t>
        </is>
      </c>
      <c r="E229" t="inlineStr">
        <is>
          <t>큰별코리아</t>
        </is>
      </c>
      <c r="F229" t="inlineStr">
        <is>
          <t>PE</t>
        </is>
      </c>
      <c r="G229" t="inlineStr">
        <is>
          <t>M-1202</t>
        </is>
      </c>
      <c r="H229" t="inlineStr">
        <is>
          <t>LLDPE 필름 F120</t>
        </is>
      </c>
      <c r="I229" s="43" t="n">
        <v>45797</v>
      </c>
      <c r="J229" t="n">
        <v>202505</v>
      </c>
      <c r="K229" s="44" t="n">
        <v>6250</v>
      </c>
      <c r="L229" t="inlineStr">
        <is>
          <t>KG</t>
        </is>
      </c>
      <c r="M229" s="44" t="n">
        <v>10626009</v>
      </c>
      <c r="N229" s="44" t="n">
        <v>1168861</v>
      </c>
      <c r="O229" s="44" t="n">
        <v>212520</v>
      </c>
      <c r="P229" s="44" t="n">
        <v>9244628</v>
      </c>
      <c r="Q229" t="inlineStr">
        <is>
          <t>KRW</t>
        </is>
      </c>
      <c r="R229" t="inlineStr">
        <is>
          <t>INV2505-00228</t>
        </is>
      </c>
      <c r="S229" t="inlineStr">
        <is>
          <t>※예시데이터</t>
        </is>
      </c>
    </row>
    <row r="230">
      <c r="A230" t="n">
        <v>1000</v>
      </c>
      <c r="B230" t="inlineStr">
        <is>
          <t>범용수지사업부</t>
        </is>
      </c>
      <c r="C230" t="inlineStr">
        <is>
          <t>해외영업팀</t>
        </is>
      </c>
      <c r="D230" t="inlineStr">
        <is>
          <t>C10141</t>
        </is>
      </c>
      <c r="E230" t="inlineStr">
        <is>
          <t>Sinar Plastik (ID)</t>
        </is>
      </c>
      <c r="F230" t="inlineStr">
        <is>
          <t>PP</t>
        </is>
      </c>
      <c r="G230" t="inlineStr">
        <is>
          <t>M-1103</t>
        </is>
      </c>
      <c r="H230" t="inlineStr">
        <is>
          <t>PP 투명 R330</t>
        </is>
      </c>
      <c r="I230" s="43" t="n">
        <v>45797</v>
      </c>
      <c r="J230" t="n">
        <v>202505</v>
      </c>
      <c r="K230" s="44" t="n">
        <v>12950</v>
      </c>
      <c r="L230" t="inlineStr">
        <is>
          <t>KG</t>
        </is>
      </c>
      <c r="M230" s="44" t="n">
        <v>24978454</v>
      </c>
      <c r="N230" s="44" t="n">
        <v>2997414</v>
      </c>
      <c r="O230" t="n">
        <v>0</v>
      </c>
      <c r="P230" s="44" t="n">
        <v>21981040</v>
      </c>
      <c r="Q230" t="inlineStr">
        <is>
          <t>KRW</t>
        </is>
      </c>
      <c r="R230" t="inlineStr">
        <is>
          <t>INV2505-00229</t>
        </is>
      </c>
      <c r="S230" t="inlineStr">
        <is>
          <t>※예시데이터</t>
        </is>
      </c>
    </row>
    <row r="231">
      <c r="A231" t="n">
        <v>1000</v>
      </c>
      <c r="B231" t="inlineStr">
        <is>
          <t>범용수지사업부</t>
        </is>
      </c>
      <c r="C231" t="inlineStr">
        <is>
          <t>국내영업2팀</t>
        </is>
      </c>
      <c r="D231" t="inlineStr">
        <is>
          <t>C10099</t>
        </is>
      </c>
      <c r="E231" t="inlineStr">
        <is>
          <t>한울몰드</t>
        </is>
      </c>
      <c r="F231" t="inlineStr">
        <is>
          <t>PP</t>
        </is>
      </c>
      <c r="G231" t="inlineStr">
        <is>
          <t>M-1101</t>
        </is>
      </c>
      <c r="H231" t="inlineStr">
        <is>
          <t>PP 범용사출 H110</t>
        </is>
      </c>
      <c r="I231" s="43" t="n">
        <v>45798</v>
      </c>
      <c r="J231" t="n">
        <v>202505</v>
      </c>
      <c r="K231" s="44" t="n">
        <v>3525</v>
      </c>
      <c r="L231" t="inlineStr">
        <is>
          <t>KG</t>
        </is>
      </c>
      <c r="M231" s="44" t="n">
        <v>5782786</v>
      </c>
      <c r="N231" s="44" t="n">
        <v>346967</v>
      </c>
      <c r="O231" t="n">
        <v>0</v>
      </c>
      <c r="P231" s="44" t="n">
        <v>5435819</v>
      </c>
      <c r="Q231" t="inlineStr">
        <is>
          <t>KRW</t>
        </is>
      </c>
      <c r="R231" t="inlineStr">
        <is>
          <t>INV2505-00230</t>
        </is>
      </c>
      <c r="S231" t="inlineStr">
        <is>
          <t>※예시데이터</t>
        </is>
      </c>
    </row>
    <row r="232">
      <c r="A232" t="n">
        <v>1000</v>
      </c>
      <c r="B232" t="inlineStr">
        <is>
          <t>범용수지사업부</t>
        </is>
      </c>
      <c r="C232" t="inlineStr">
        <is>
          <t>국내영업2팀</t>
        </is>
      </c>
      <c r="D232" t="inlineStr">
        <is>
          <t>C10127</t>
        </is>
      </c>
      <c r="E232" t="inlineStr">
        <is>
          <t>미르패키징</t>
        </is>
      </c>
      <c r="F232" t="inlineStr">
        <is>
          <t>PE</t>
        </is>
      </c>
      <c r="G232" t="inlineStr">
        <is>
          <t>M-1202</t>
        </is>
      </c>
      <c r="H232" t="inlineStr">
        <is>
          <t>LLDPE 필름 F120</t>
        </is>
      </c>
      <c r="I232" s="43" t="n">
        <v>45798</v>
      </c>
      <c r="J232" t="n">
        <v>202505</v>
      </c>
      <c r="K232" s="44" t="n">
        <v>2950</v>
      </c>
      <c r="L232" t="inlineStr">
        <is>
          <t>KG</t>
        </is>
      </c>
      <c r="M232" s="44" t="n">
        <v>5015476</v>
      </c>
      <c r="N232" s="44" t="n">
        <v>451393</v>
      </c>
      <c r="O232" t="n">
        <v>0</v>
      </c>
      <c r="P232" s="44" t="n">
        <v>4564083</v>
      </c>
      <c r="Q232" t="inlineStr">
        <is>
          <t>KRW</t>
        </is>
      </c>
      <c r="R232" t="inlineStr">
        <is>
          <t>INV2505-00231</t>
        </is>
      </c>
      <c r="S232" t="inlineStr">
        <is>
          <t>※예시데이터</t>
        </is>
      </c>
    </row>
    <row r="233">
      <c r="A233" t="n">
        <v>1000</v>
      </c>
      <c r="B233" t="inlineStr">
        <is>
          <t>EP사업부</t>
        </is>
      </c>
      <c r="C233" t="inlineStr">
        <is>
          <t>국내영업2팀</t>
        </is>
      </c>
      <c r="D233" t="inlineStr">
        <is>
          <t>C10085</t>
        </is>
      </c>
      <c r="E233" t="inlineStr">
        <is>
          <t>파란하이텍</t>
        </is>
      </c>
      <c r="F233" t="inlineStr">
        <is>
          <t>PC</t>
        </is>
      </c>
      <c r="G233" t="inlineStr">
        <is>
          <t>M-2201</t>
        </is>
      </c>
      <c r="H233" t="inlineStr">
        <is>
          <t>PC 일반 C100</t>
        </is>
      </c>
      <c r="I233" s="43" t="n">
        <v>45799</v>
      </c>
      <c r="J233" t="n">
        <v>202505</v>
      </c>
      <c r="K233" s="44" t="n">
        <v>3775</v>
      </c>
      <c r="L233" t="inlineStr">
        <is>
          <t>KG</t>
        </is>
      </c>
      <c r="M233" s="44" t="n">
        <v>14637793</v>
      </c>
      <c r="N233" s="44" t="n">
        <v>878268</v>
      </c>
      <c r="O233" t="n">
        <v>0</v>
      </c>
      <c r="P233" s="44" t="n">
        <v>13759525</v>
      </c>
      <c r="Q233" t="inlineStr">
        <is>
          <t>KRW</t>
        </is>
      </c>
      <c r="R233" t="inlineStr">
        <is>
          <t>INV2505-00232</t>
        </is>
      </c>
      <c r="S233" t="inlineStr">
        <is>
          <t>※예시데이터</t>
        </is>
      </c>
    </row>
    <row r="234">
      <c r="A234" t="n">
        <v>1000</v>
      </c>
      <c r="B234" t="inlineStr">
        <is>
          <t>범용수지사업부</t>
        </is>
      </c>
      <c r="C234" t="inlineStr">
        <is>
          <t>국내영업2팀</t>
        </is>
      </c>
      <c r="D234" t="inlineStr">
        <is>
          <t>C10050</t>
        </is>
      </c>
      <c r="E234" t="inlineStr">
        <is>
          <t>아름화학(주)</t>
        </is>
      </c>
      <c r="F234" t="inlineStr">
        <is>
          <t>PE</t>
        </is>
      </c>
      <c r="G234" t="inlineStr">
        <is>
          <t>M-1201</t>
        </is>
      </c>
      <c r="H234" t="inlineStr">
        <is>
          <t>HDPE 블로우 B500</t>
        </is>
      </c>
      <c r="I234" s="43" t="n">
        <v>45800</v>
      </c>
      <c r="J234" t="n">
        <v>202505</v>
      </c>
      <c r="K234" s="44" t="n">
        <v>5250</v>
      </c>
      <c r="L234" t="inlineStr">
        <is>
          <t>KG</t>
        </is>
      </c>
      <c r="M234" s="44" t="n">
        <v>8247274</v>
      </c>
      <c r="N234" s="44" t="n">
        <v>824727</v>
      </c>
      <c r="O234" s="44" t="n">
        <v>82473</v>
      </c>
      <c r="P234" s="44" t="n">
        <v>7340074</v>
      </c>
      <c r="Q234" t="inlineStr">
        <is>
          <t>KRW</t>
        </is>
      </c>
      <c r="R234" t="inlineStr">
        <is>
          <t>INV2505-00233</t>
        </is>
      </c>
      <c r="S234" t="inlineStr">
        <is>
          <t>※예시데이터</t>
        </is>
      </c>
    </row>
    <row r="235">
      <c r="A235" t="n">
        <v>1000</v>
      </c>
      <c r="B235" t="inlineStr">
        <is>
          <t>EP사업부</t>
        </is>
      </c>
      <c r="C235" t="inlineStr">
        <is>
          <t>국내영업2팀</t>
        </is>
      </c>
      <c r="D235" t="inlineStr">
        <is>
          <t>C10099</t>
        </is>
      </c>
      <c r="E235" t="inlineStr">
        <is>
          <t>한울몰드</t>
        </is>
      </c>
      <c r="F235" t="inlineStr">
        <is>
          <t>ABS</t>
        </is>
      </c>
      <c r="G235" t="inlineStr">
        <is>
          <t>M-2102</t>
        </is>
      </c>
      <c r="H235" t="inlineStr">
        <is>
          <t>ABS 내열 HR500</t>
        </is>
      </c>
      <c r="I235" s="43" t="n">
        <v>45800</v>
      </c>
      <c r="J235" t="n">
        <v>202505</v>
      </c>
      <c r="K235" s="44" t="n">
        <v>3100</v>
      </c>
      <c r="L235" t="inlineStr">
        <is>
          <t>KG</t>
        </is>
      </c>
      <c r="M235" s="44" t="n">
        <v>9184849</v>
      </c>
      <c r="N235" s="44" t="n">
        <v>551091</v>
      </c>
      <c r="O235" t="n">
        <v>0</v>
      </c>
      <c r="P235" s="44" t="n">
        <v>8633758</v>
      </c>
      <c r="Q235" t="inlineStr">
        <is>
          <t>KRW</t>
        </is>
      </c>
      <c r="R235" t="inlineStr">
        <is>
          <t>INV2505-00234</t>
        </is>
      </c>
      <c r="S235" t="inlineStr">
        <is>
          <t>※예시데이터</t>
        </is>
      </c>
    </row>
    <row r="236">
      <c r="A236" t="n">
        <v>1000</v>
      </c>
      <c r="B236" t="inlineStr">
        <is>
          <t>범용수지사업부</t>
        </is>
      </c>
      <c r="C236" t="inlineStr">
        <is>
          <t>국내영업1팀</t>
        </is>
      </c>
      <c r="D236" t="inlineStr">
        <is>
          <t>C10043</t>
        </is>
      </c>
      <c r="E236" t="inlineStr">
        <is>
          <t>새봄플라스틱</t>
        </is>
      </c>
      <c r="F236" t="inlineStr">
        <is>
          <t>PP</t>
        </is>
      </c>
      <c r="G236" t="inlineStr">
        <is>
          <t>M-1103</t>
        </is>
      </c>
      <c r="H236" t="inlineStr">
        <is>
          <t>PP 투명 R330</t>
        </is>
      </c>
      <c r="I236" s="43" t="n">
        <v>45801</v>
      </c>
      <c r="J236" t="n">
        <v>202505</v>
      </c>
      <c r="K236" s="44" t="n">
        <v>1950</v>
      </c>
      <c r="L236" t="inlineStr">
        <is>
          <t>KG</t>
        </is>
      </c>
      <c r="M236" s="44" t="n">
        <v>3761234</v>
      </c>
      <c r="N236" s="44" t="n">
        <v>225674</v>
      </c>
      <c r="O236" t="n">
        <v>0</v>
      </c>
      <c r="P236" s="44" t="n">
        <v>3535560</v>
      </c>
      <c r="Q236" t="inlineStr">
        <is>
          <t>KRW</t>
        </is>
      </c>
      <c r="R236" t="inlineStr">
        <is>
          <t>INV2505-00235</t>
        </is>
      </c>
      <c r="S236" t="inlineStr">
        <is>
          <t>※예시데이터</t>
        </is>
      </c>
    </row>
    <row r="237">
      <c r="A237" t="n">
        <v>1000</v>
      </c>
      <c r="B237" t="inlineStr">
        <is>
          <t>범용수지사업부</t>
        </is>
      </c>
      <c r="C237" t="inlineStr">
        <is>
          <t>국내영업1팀</t>
        </is>
      </c>
      <c r="D237" t="inlineStr">
        <is>
          <t>C10092</t>
        </is>
      </c>
      <c r="E237" t="inlineStr">
        <is>
          <t>하늘포장(주)</t>
        </is>
      </c>
      <c r="F237" t="inlineStr">
        <is>
          <t>PE</t>
        </is>
      </c>
      <c r="G237" t="inlineStr">
        <is>
          <t>M-1201</t>
        </is>
      </c>
      <c r="H237" t="inlineStr">
        <is>
          <t>HDPE 블로우 B500</t>
        </is>
      </c>
      <c r="I237" s="43" t="n">
        <v>45801</v>
      </c>
      <c r="J237" t="n">
        <v>202505</v>
      </c>
      <c r="K237" s="44" t="n">
        <v>14325</v>
      </c>
      <c r="L237" t="inlineStr">
        <is>
          <t>KG</t>
        </is>
      </c>
      <c r="M237" s="44" t="n">
        <v>22503277</v>
      </c>
      <c r="N237" s="44" t="n">
        <v>1800262</v>
      </c>
      <c r="O237" t="n">
        <v>0</v>
      </c>
      <c r="P237" s="44" t="n">
        <v>20703015</v>
      </c>
      <c r="Q237" t="inlineStr">
        <is>
          <t>KRW</t>
        </is>
      </c>
      <c r="R237" t="inlineStr">
        <is>
          <t>INV2505-00236</t>
        </is>
      </c>
      <c r="S237" t="inlineStr">
        <is>
          <t>※예시데이터</t>
        </is>
      </c>
    </row>
    <row r="238">
      <c r="A238" t="n">
        <v>1000</v>
      </c>
      <c r="B238" t="inlineStr">
        <is>
          <t>범용수지사업부</t>
        </is>
      </c>
      <c r="C238" t="inlineStr">
        <is>
          <t>국내영업2팀</t>
        </is>
      </c>
      <c r="D238" t="inlineStr">
        <is>
          <t>C10127</t>
        </is>
      </c>
      <c r="E238" t="inlineStr">
        <is>
          <t>미르패키징</t>
        </is>
      </c>
      <c r="F238" t="inlineStr">
        <is>
          <t>PE</t>
        </is>
      </c>
      <c r="G238" t="inlineStr">
        <is>
          <t>M-1201</t>
        </is>
      </c>
      <c r="H238" t="inlineStr">
        <is>
          <t>HDPE 블로우 B500</t>
        </is>
      </c>
      <c r="I238" s="43" t="n">
        <v>45802</v>
      </c>
      <c r="J238" t="n">
        <v>202505</v>
      </c>
      <c r="K238" s="44" t="n">
        <v>1850</v>
      </c>
      <c r="L238" t="inlineStr">
        <is>
          <t>KG</t>
        </is>
      </c>
      <c r="M238" s="44" t="n">
        <v>2906182</v>
      </c>
      <c r="N238" s="44" t="n">
        <v>261556</v>
      </c>
      <c r="O238" t="n">
        <v>0</v>
      </c>
      <c r="P238" s="44" t="n">
        <v>2644626</v>
      </c>
      <c r="Q238" t="inlineStr">
        <is>
          <t>KRW</t>
        </is>
      </c>
      <c r="R238" t="inlineStr">
        <is>
          <t>INV2505-00237</t>
        </is>
      </c>
      <c r="S238" t="inlineStr">
        <is>
          <t>※예시데이터</t>
        </is>
      </c>
    </row>
    <row r="239">
      <c r="A239" t="n">
        <v>1000</v>
      </c>
      <c r="B239" t="inlineStr">
        <is>
          <t>범용수지사업부</t>
        </is>
      </c>
      <c r="C239" t="inlineStr">
        <is>
          <t>국내영업1팀</t>
        </is>
      </c>
      <c r="D239" t="inlineStr">
        <is>
          <t>C10001</t>
        </is>
      </c>
      <c r="E239" t="inlineStr">
        <is>
          <t>가온소재(주)</t>
        </is>
      </c>
      <c r="F239" t="inlineStr">
        <is>
          <t>PP</t>
        </is>
      </c>
      <c r="G239" t="inlineStr">
        <is>
          <t>M-1102</t>
        </is>
      </c>
      <c r="H239" t="inlineStr">
        <is>
          <t>PP 고강성 H220</t>
        </is>
      </c>
      <c r="I239" s="43" t="n">
        <v>45804</v>
      </c>
      <c r="J239" t="n">
        <v>202505</v>
      </c>
      <c r="K239" s="44" t="n">
        <v>2250</v>
      </c>
      <c r="L239" t="inlineStr">
        <is>
          <t>KG</t>
        </is>
      </c>
      <c r="M239" s="44" t="n">
        <v>4071439</v>
      </c>
      <c r="N239" s="44" t="n">
        <v>244286</v>
      </c>
      <c r="O239" t="n">
        <v>0</v>
      </c>
      <c r="P239" s="44" t="n">
        <v>3827153</v>
      </c>
      <c r="Q239" t="inlineStr">
        <is>
          <t>KRW</t>
        </is>
      </c>
      <c r="R239" t="inlineStr">
        <is>
          <t>INV2505-00238</t>
        </is>
      </c>
      <c r="S239" t="inlineStr">
        <is>
          <t>※예시데이터</t>
        </is>
      </c>
    </row>
    <row r="240">
      <c r="A240" t="n">
        <v>1000</v>
      </c>
      <c r="B240" t="inlineStr">
        <is>
          <t>범용수지사업부</t>
        </is>
      </c>
      <c r="C240" t="inlineStr">
        <is>
          <t>국내영업1팀</t>
        </is>
      </c>
      <c r="D240" t="inlineStr">
        <is>
          <t>C10008</t>
        </is>
      </c>
      <c r="E240" t="inlineStr">
        <is>
          <t>나래산업(주)</t>
        </is>
      </c>
      <c r="F240" t="inlineStr">
        <is>
          <t>PP</t>
        </is>
      </c>
      <c r="G240" t="inlineStr">
        <is>
          <t>M-1101</t>
        </is>
      </c>
      <c r="H240" t="inlineStr">
        <is>
          <t>PP 범용사출 H110</t>
        </is>
      </c>
      <c r="I240" s="43" t="n">
        <v>45804</v>
      </c>
      <c r="J240" t="n">
        <v>202505</v>
      </c>
      <c r="K240" s="44" t="n">
        <v>22575</v>
      </c>
      <c r="L240" t="inlineStr">
        <is>
          <t>KG</t>
        </is>
      </c>
      <c r="M240" s="44" t="n">
        <v>37034438</v>
      </c>
      <c r="N240" s="44" t="n">
        <v>2962755</v>
      </c>
      <c r="O240" s="44" t="n">
        <v>370344</v>
      </c>
      <c r="P240" s="44" t="n">
        <v>33701339</v>
      </c>
      <c r="Q240" t="inlineStr">
        <is>
          <t>KRW</t>
        </is>
      </c>
      <c r="R240" t="inlineStr">
        <is>
          <t>INV2505-00239</t>
        </is>
      </c>
      <c r="S240" t="inlineStr">
        <is>
          <t>※예시데이터</t>
        </is>
      </c>
    </row>
    <row r="241">
      <c r="A241" t="n">
        <v>1000</v>
      </c>
      <c r="B241" t="inlineStr">
        <is>
          <t>EP사업부</t>
        </is>
      </c>
      <c r="C241" t="inlineStr">
        <is>
          <t>국내영업1팀</t>
        </is>
      </c>
      <c r="D241" t="inlineStr">
        <is>
          <t>C10043</t>
        </is>
      </c>
      <c r="E241" t="inlineStr">
        <is>
          <t>새봄플라스틱</t>
        </is>
      </c>
      <c r="F241" t="inlineStr">
        <is>
          <t>ABS</t>
        </is>
      </c>
      <c r="G241" t="inlineStr">
        <is>
          <t>M-2101</t>
        </is>
      </c>
      <c r="H241" t="inlineStr">
        <is>
          <t>ABS 범용 G300</t>
        </is>
      </c>
      <c r="I241" s="43" t="n">
        <v>45805</v>
      </c>
      <c r="J241" t="n">
        <v>202505</v>
      </c>
      <c r="K241" s="44" t="n">
        <v>2225</v>
      </c>
      <c r="L241" t="inlineStr">
        <is>
          <t>KG</t>
        </is>
      </c>
      <c r="M241" s="44" t="n">
        <v>5862326</v>
      </c>
      <c r="N241" s="44" t="n">
        <v>351740</v>
      </c>
      <c r="O241" t="n">
        <v>0</v>
      </c>
      <c r="P241" s="44" t="n">
        <v>5510586</v>
      </c>
      <c r="Q241" t="inlineStr">
        <is>
          <t>KRW</t>
        </is>
      </c>
      <c r="R241" t="inlineStr">
        <is>
          <t>INV2505-00240</t>
        </is>
      </c>
      <c r="S241" t="inlineStr">
        <is>
          <t>※예시데이터</t>
        </is>
      </c>
    </row>
    <row r="242">
      <c r="A242" t="n">
        <v>1000</v>
      </c>
      <c r="B242" t="inlineStr">
        <is>
          <t>범용수지사업부</t>
        </is>
      </c>
      <c r="C242" t="inlineStr">
        <is>
          <t>국내영업1팀</t>
        </is>
      </c>
      <c r="D242" t="inlineStr">
        <is>
          <t>C10001</t>
        </is>
      </c>
      <c r="E242" t="inlineStr">
        <is>
          <t>가온소재(주)</t>
        </is>
      </c>
      <c r="F242" t="inlineStr">
        <is>
          <t>PE</t>
        </is>
      </c>
      <c r="G242" t="inlineStr">
        <is>
          <t>M-1201</t>
        </is>
      </c>
      <c r="H242" t="inlineStr">
        <is>
          <t>HDPE 블로우 B500</t>
        </is>
      </c>
      <c r="I242" s="43" t="n">
        <v>45809</v>
      </c>
      <c r="J242" t="n">
        <v>202506</v>
      </c>
      <c r="K242" s="44" t="n">
        <v>3700</v>
      </c>
      <c r="L242" t="inlineStr">
        <is>
          <t>KG</t>
        </is>
      </c>
      <c r="M242" s="44" t="n">
        <v>5836199</v>
      </c>
      <c r="N242" s="44" t="n">
        <v>350172</v>
      </c>
      <c r="O242" t="n">
        <v>0</v>
      </c>
      <c r="P242" s="44" t="n">
        <v>5486027</v>
      </c>
      <c r="Q242" t="inlineStr">
        <is>
          <t>KRW</t>
        </is>
      </c>
      <c r="R242" t="inlineStr">
        <is>
          <t>INV2506-00241</t>
        </is>
      </c>
      <c r="S242" t="inlineStr">
        <is>
          <t>※예시데이터</t>
        </is>
      </c>
    </row>
    <row r="243">
      <c r="A243" t="n">
        <v>1000</v>
      </c>
      <c r="B243" t="inlineStr">
        <is>
          <t>EP사업부</t>
        </is>
      </c>
      <c r="C243" t="inlineStr">
        <is>
          <t>국내영업1팀</t>
        </is>
      </c>
      <c r="D243" t="inlineStr">
        <is>
          <t>C10078</t>
        </is>
      </c>
      <c r="E243" t="inlineStr">
        <is>
          <t>토담정공(주)</t>
        </is>
      </c>
      <c r="F243" t="inlineStr">
        <is>
          <t>ABS</t>
        </is>
      </c>
      <c r="G243" t="inlineStr">
        <is>
          <t>M-2102</t>
        </is>
      </c>
      <c r="H243" t="inlineStr">
        <is>
          <t>ABS 내열 HR500</t>
        </is>
      </c>
      <c r="I243" s="43" t="n">
        <v>45809</v>
      </c>
      <c r="J243" t="n">
        <v>202506</v>
      </c>
      <c r="K243" s="44" t="n">
        <v>2100</v>
      </c>
      <c r="L243" t="inlineStr">
        <is>
          <t>KG</t>
        </is>
      </c>
      <c r="M243" s="44" t="n">
        <v>6247509</v>
      </c>
      <c r="N243" s="44" t="n">
        <v>187425</v>
      </c>
      <c r="O243" t="n">
        <v>0</v>
      </c>
      <c r="P243" s="44" t="n">
        <v>6060084</v>
      </c>
      <c r="Q243" t="inlineStr">
        <is>
          <t>KRW</t>
        </is>
      </c>
      <c r="R243" t="inlineStr">
        <is>
          <t>INV2506-00242</t>
        </is>
      </c>
      <c r="S243" t="inlineStr">
        <is>
          <t>※예시데이터</t>
        </is>
      </c>
    </row>
    <row r="244">
      <c r="A244" t="n">
        <v>1000</v>
      </c>
      <c r="B244" t="inlineStr">
        <is>
          <t>EP사업부</t>
        </is>
      </c>
      <c r="C244" t="inlineStr">
        <is>
          <t>국내영업2팀</t>
        </is>
      </c>
      <c r="D244" t="inlineStr">
        <is>
          <t>C10113</t>
        </is>
      </c>
      <c r="E244" t="inlineStr">
        <is>
          <t>누리오토파츠</t>
        </is>
      </c>
      <c r="F244" t="inlineStr">
        <is>
          <t>ABS</t>
        </is>
      </c>
      <c r="G244" t="inlineStr">
        <is>
          <t>M-2102</t>
        </is>
      </c>
      <c r="H244" t="inlineStr">
        <is>
          <t>ABS 내열 HR500</t>
        </is>
      </c>
      <c r="I244" s="43" t="n">
        <v>45809</v>
      </c>
      <c r="J244" t="n">
        <v>202506</v>
      </c>
      <c r="K244" s="44" t="n">
        <v>2575</v>
      </c>
      <c r="L244" t="inlineStr">
        <is>
          <t>KG</t>
        </is>
      </c>
      <c r="M244" s="44" t="n">
        <v>7660635</v>
      </c>
      <c r="N244" s="44" t="n">
        <v>536244</v>
      </c>
      <c r="O244" s="44" t="n">
        <v>76606</v>
      </c>
      <c r="P244" s="44" t="n">
        <v>7047785</v>
      </c>
      <c r="Q244" t="inlineStr">
        <is>
          <t>KRW</t>
        </is>
      </c>
      <c r="R244" t="inlineStr">
        <is>
          <t>INV2506-00243</t>
        </is>
      </c>
      <c r="S244" t="inlineStr">
        <is>
          <t>※예시데이터</t>
        </is>
      </c>
    </row>
    <row r="245">
      <c r="A245" t="n">
        <v>1000</v>
      </c>
      <c r="B245" t="inlineStr">
        <is>
          <t>EP사업부</t>
        </is>
      </c>
      <c r="C245" t="inlineStr">
        <is>
          <t>국내영업1팀</t>
        </is>
      </c>
      <c r="D245" t="inlineStr">
        <is>
          <t>C10057</t>
        </is>
      </c>
      <c r="E245" t="inlineStr">
        <is>
          <t>자연엠텍</t>
        </is>
      </c>
      <c r="F245" t="inlineStr">
        <is>
          <t>ABS</t>
        </is>
      </c>
      <c r="G245" t="inlineStr">
        <is>
          <t>M-2101</t>
        </is>
      </c>
      <c r="H245" t="inlineStr">
        <is>
          <t>ABS 범용 G300</t>
        </is>
      </c>
      <c r="I245" s="43" t="n">
        <v>45810</v>
      </c>
      <c r="J245" t="n">
        <v>202506</v>
      </c>
      <c r="K245" s="44" t="n">
        <v>2025</v>
      </c>
      <c r="L245" t="inlineStr">
        <is>
          <t>KG</t>
        </is>
      </c>
      <c r="M245" s="44" t="n">
        <v>5357254</v>
      </c>
      <c r="N245" s="44" t="n">
        <v>267863</v>
      </c>
      <c r="O245" t="n">
        <v>0</v>
      </c>
      <c r="P245" s="44" t="n">
        <v>5089391</v>
      </c>
      <c r="Q245" t="inlineStr">
        <is>
          <t>KRW</t>
        </is>
      </c>
      <c r="R245" t="inlineStr">
        <is>
          <t>INV2506-00244</t>
        </is>
      </c>
      <c r="S245" t="inlineStr">
        <is>
          <t>※예시데이터</t>
        </is>
      </c>
    </row>
    <row r="246">
      <c r="A246" t="n">
        <v>1000</v>
      </c>
      <c r="B246" t="inlineStr">
        <is>
          <t>범용수지사업부</t>
        </is>
      </c>
      <c r="C246" t="inlineStr">
        <is>
          <t>해외영업팀</t>
        </is>
      </c>
      <c r="D246" t="inlineStr">
        <is>
          <t>C10141</t>
        </is>
      </c>
      <c r="E246" t="inlineStr">
        <is>
          <t>Sinar Plastik (ID)</t>
        </is>
      </c>
      <c r="F246" t="inlineStr">
        <is>
          <t>PP</t>
        </is>
      </c>
      <c r="G246" t="inlineStr">
        <is>
          <t>M-1102</t>
        </is>
      </c>
      <c r="H246" t="inlineStr">
        <is>
          <t>PP 고강성 H220</t>
        </is>
      </c>
      <c r="I246" s="43" t="n">
        <v>45810</v>
      </c>
      <c r="J246" t="n">
        <v>202506</v>
      </c>
      <c r="K246" s="44" t="n">
        <v>11000</v>
      </c>
      <c r="L246" t="inlineStr">
        <is>
          <t>KG</t>
        </is>
      </c>
      <c r="M246" s="44" t="n">
        <v>19986437</v>
      </c>
      <c r="N246" s="44" t="n">
        <v>2398372</v>
      </c>
      <c r="O246" t="n">
        <v>0</v>
      </c>
      <c r="P246" s="44" t="n">
        <v>17588065</v>
      </c>
      <c r="Q246" t="inlineStr">
        <is>
          <t>KRW</t>
        </is>
      </c>
      <c r="R246" t="inlineStr">
        <is>
          <t>INV2506-00245</t>
        </is>
      </c>
      <c r="S246" t="inlineStr">
        <is>
          <t>※예시데이터</t>
        </is>
      </c>
    </row>
    <row r="247">
      <c r="A247" t="n">
        <v>1000</v>
      </c>
      <c r="B247" t="inlineStr">
        <is>
          <t>EP사업부</t>
        </is>
      </c>
      <c r="C247" t="inlineStr">
        <is>
          <t>국내영업2팀</t>
        </is>
      </c>
      <c r="D247" t="inlineStr">
        <is>
          <t>C10085</t>
        </is>
      </c>
      <c r="E247" t="inlineStr">
        <is>
          <t>파란하이텍</t>
        </is>
      </c>
      <c r="F247" t="inlineStr">
        <is>
          <t>PC</t>
        </is>
      </c>
      <c r="G247" t="inlineStr">
        <is>
          <t>M-2201</t>
        </is>
      </c>
      <c r="H247" t="inlineStr">
        <is>
          <t>PC 일반 C100</t>
        </is>
      </c>
      <c r="I247" s="43" t="n">
        <v>45811</v>
      </c>
      <c r="J247" t="n">
        <v>202506</v>
      </c>
      <c r="K247" s="44" t="n">
        <v>3175</v>
      </c>
      <c r="L247" t="inlineStr">
        <is>
          <t>KG</t>
        </is>
      </c>
      <c r="M247" s="44" t="n">
        <v>12361741</v>
      </c>
      <c r="N247" s="44" t="n">
        <v>741704</v>
      </c>
      <c r="O247" t="n">
        <v>0</v>
      </c>
      <c r="P247" s="44" t="n">
        <v>11620037</v>
      </c>
      <c r="Q247" t="inlineStr">
        <is>
          <t>KRW</t>
        </is>
      </c>
      <c r="R247" t="inlineStr">
        <is>
          <t>INV2506-00246</t>
        </is>
      </c>
      <c r="S247" t="inlineStr">
        <is>
          <t>※예시데이터</t>
        </is>
      </c>
    </row>
    <row r="248">
      <c r="A248" t="n">
        <v>1000</v>
      </c>
      <c r="B248" t="inlineStr">
        <is>
          <t>범용수지사업부</t>
        </is>
      </c>
      <c r="C248" t="inlineStr">
        <is>
          <t>국내영업1팀</t>
        </is>
      </c>
      <c r="D248" t="inlineStr">
        <is>
          <t>C10043</t>
        </is>
      </c>
      <c r="E248" t="inlineStr">
        <is>
          <t>새봄플라스틱</t>
        </is>
      </c>
      <c r="F248" t="inlineStr">
        <is>
          <t>PP</t>
        </is>
      </c>
      <c r="G248" t="inlineStr">
        <is>
          <t>M-1103</t>
        </is>
      </c>
      <c r="H248" t="inlineStr">
        <is>
          <t>PP 투명 R330</t>
        </is>
      </c>
      <c r="I248" s="43" t="n">
        <v>45812</v>
      </c>
      <c r="J248" t="n">
        <v>202506</v>
      </c>
      <c r="K248" s="44" t="n">
        <v>3575</v>
      </c>
      <c r="L248" t="inlineStr">
        <is>
          <t>KG</t>
        </is>
      </c>
      <c r="M248" s="44" t="n">
        <v>6923873</v>
      </c>
      <c r="N248" s="44" t="n">
        <v>415432</v>
      </c>
      <c r="O248" t="n">
        <v>0</v>
      </c>
      <c r="P248" s="44" t="n">
        <v>6508441</v>
      </c>
      <c r="Q248" t="inlineStr">
        <is>
          <t>KRW</t>
        </is>
      </c>
      <c r="R248" t="inlineStr">
        <is>
          <t>INV2506-00247</t>
        </is>
      </c>
      <c r="S248" t="inlineStr">
        <is>
          <t>※예시데이터</t>
        </is>
      </c>
    </row>
    <row r="249">
      <c r="A249" t="n">
        <v>1000</v>
      </c>
      <c r="B249" t="inlineStr">
        <is>
          <t>EP사업부</t>
        </is>
      </c>
      <c r="C249" t="inlineStr">
        <is>
          <t>국내영업2팀</t>
        </is>
      </c>
      <c r="D249" t="inlineStr">
        <is>
          <t>C10113</t>
        </is>
      </c>
      <c r="E249" t="inlineStr">
        <is>
          <t>누리오토파츠</t>
        </is>
      </c>
      <c r="F249" t="inlineStr">
        <is>
          <t>PC</t>
        </is>
      </c>
      <c r="G249" t="inlineStr">
        <is>
          <t>M-2202</t>
        </is>
      </c>
      <c r="H249" t="inlineStr">
        <is>
          <t>PC 난연 FR200</t>
        </is>
      </c>
      <c r="I249" s="43" t="n">
        <v>45812</v>
      </c>
      <c r="J249" t="n">
        <v>202506</v>
      </c>
      <c r="K249" s="44" t="n">
        <v>1750</v>
      </c>
      <c r="L249" t="inlineStr">
        <is>
          <t>KG</t>
        </is>
      </c>
      <c r="M249" s="44" t="n">
        <v>7599738</v>
      </c>
      <c r="N249" s="44" t="n">
        <v>531982</v>
      </c>
      <c r="O249" s="44" t="n">
        <v>75997</v>
      </c>
      <c r="P249" s="44" t="n">
        <v>6991759</v>
      </c>
      <c r="Q249" t="inlineStr">
        <is>
          <t>KRW</t>
        </is>
      </c>
      <c r="R249" t="inlineStr">
        <is>
          <t>INV2506-00248</t>
        </is>
      </c>
      <c r="S249" t="inlineStr">
        <is>
          <t>※예시데이터</t>
        </is>
      </c>
    </row>
    <row r="250">
      <c r="A250" t="n">
        <v>1000</v>
      </c>
      <c r="B250" t="inlineStr">
        <is>
          <t>범용수지사업부</t>
        </is>
      </c>
      <c r="C250" t="inlineStr">
        <is>
          <t>해외영업팀</t>
        </is>
      </c>
      <c r="D250" t="inlineStr">
        <is>
          <t>C10141</t>
        </is>
      </c>
      <c r="E250" t="inlineStr">
        <is>
          <t>Sinar Plastik (ID)</t>
        </is>
      </c>
      <c r="F250" t="inlineStr">
        <is>
          <t>PP</t>
        </is>
      </c>
      <c r="G250" t="inlineStr">
        <is>
          <t>M-1103</t>
        </is>
      </c>
      <c r="H250" t="inlineStr">
        <is>
          <t>PP 투명 R330</t>
        </is>
      </c>
      <c r="I250" s="43" t="n">
        <v>45813</v>
      </c>
      <c r="J250" t="n">
        <v>202506</v>
      </c>
      <c r="K250" s="44" t="n">
        <v>10500</v>
      </c>
      <c r="L250" t="inlineStr">
        <is>
          <t>KG</t>
        </is>
      </c>
      <c r="M250" s="44" t="n">
        <v>20335850</v>
      </c>
      <c r="N250" s="44" t="n">
        <v>2440302</v>
      </c>
      <c r="O250" t="n">
        <v>0</v>
      </c>
      <c r="P250" s="44" t="n">
        <v>17895548</v>
      </c>
      <c r="Q250" t="inlineStr">
        <is>
          <t>KRW</t>
        </is>
      </c>
      <c r="R250" t="inlineStr">
        <is>
          <t>INV2506-00249</t>
        </is>
      </c>
      <c r="S250" t="inlineStr">
        <is>
          <t>※예시데이터</t>
        </is>
      </c>
    </row>
    <row r="251">
      <c r="A251" t="n">
        <v>1000</v>
      </c>
      <c r="B251" t="inlineStr">
        <is>
          <t>EP사업부</t>
        </is>
      </c>
      <c r="C251" t="inlineStr">
        <is>
          <t>국내영업2팀</t>
        </is>
      </c>
      <c r="D251" t="inlineStr">
        <is>
          <t>C10015</t>
        </is>
      </c>
      <c r="E251" t="inlineStr">
        <is>
          <t>다솜케미칼</t>
        </is>
      </c>
      <c r="F251" t="inlineStr">
        <is>
          <t>ABS</t>
        </is>
      </c>
      <c r="G251" t="inlineStr">
        <is>
          <t>M-2101</t>
        </is>
      </c>
      <c r="H251" t="inlineStr">
        <is>
          <t>ABS 범용 G300</t>
        </is>
      </c>
      <c r="I251" s="43" t="n">
        <v>45814</v>
      </c>
      <c r="J251" t="n">
        <v>202506</v>
      </c>
      <c r="K251" s="44" t="n">
        <v>2950</v>
      </c>
      <c r="L251" t="inlineStr">
        <is>
          <t>KG</t>
        </is>
      </c>
      <c r="M251" s="44" t="n">
        <v>7804394</v>
      </c>
      <c r="N251" s="44" t="n">
        <v>390220</v>
      </c>
      <c r="O251" t="n">
        <v>0</v>
      </c>
      <c r="P251" s="44" t="n">
        <v>7414174</v>
      </c>
      <c r="Q251" t="inlineStr">
        <is>
          <t>KRW</t>
        </is>
      </c>
      <c r="R251" t="inlineStr">
        <is>
          <t>INV2506-00250</t>
        </is>
      </c>
      <c r="S251" t="inlineStr">
        <is>
          <t>※예시데이터</t>
        </is>
      </c>
    </row>
    <row r="252">
      <c r="A252" t="n">
        <v>1000</v>
      </c>
      <c r="B252" t="inlineStr">
        <is>
          <t>EP사업부</t>
        </is>
      </c>
      <c r="C252" t="inlineStr">
        <is>
          <t>국내영업2팀</t>
        </is>
      </c>
      <c r="D252" t="inlineStr">
        <is>
          <t>C10113</t>
        </is>
      </c>
      <c r="E252" t="inlineStr">
        <is>
          <t>누리오토파츠</t>
        </is>
      </c>
      <c r="F252" t="inlineStr">
        <is>
          <t>ABS</t>
        </is>
      </c>
      <c r="G252" t="inlineStr">
        <is>
          <t>M-2101</t>
        </is>
      </c>
      <c r="H252" t="inlineStr">
        <is>
          <t>ABS 범용 G300</t>
        </is>
      </c>
      <c r="I252" s="43" t="n">
        <v>45814</v>
      </c>
      <c r="J252" t="n">
        <v>202506</v>
      </c>
      <c r="K252" s="44" t="n">
        <v>1425</v>
      </c>
      <c r="L252" t="inlineStr">
        <is>
          <t>KG</t>
        </is>
      </c>
      <c r="M252" s="44" t="n">
        <v>3769919</v>
      </c>
      <c r="N252" s="44" t="n">
        <v>263894</v>
      </c>
      <c r="O252" s="44" t="n">
        <v>37699</v>
      </c>
      <c r="P252" s="44" t="n">
        <v>3468326</v>
      </c>
      <c r="Q252" t="inlineStr">
        <is>
          <t>KRW</t>
        </is>
      </c>
      <c r="R252" t="inlineStr">
        <is>
          <t>INV2506-00251</t>
        </is>
      </c>
      <c r="S252" t="inlineStr">
        <is>
          <t>※예시데이터</t>
        </is>
      </c>
    </row>
    <row r="253">
      <c r="A253" t="n">
        <v>1000</v>
      </c>
      <c r="B253" t="inlineStr">
        <is>
          <t>범용수지사업부</t>
        </is>
      </c>
      <c r="C253" t="inlineStr">
        <is>
          <t>국내영업2팀</t>
        </is>
      </c>
      <c r="D253" t="inlineStr">
        <is>
          <t>C10127</t>
        </is>
      </c>
      <c r="E253" t="inlineStr">
        <is>
          <t>미르패키징</t>
        </is>
      </c>
      <c r="F253" t="inlineStr">
        <is>
          <t>PE</t>
        </is>
      </c>
      <c r="G253" t="inlineStr">
        <is>
          <t>M-1201</t>
        </is>
      </c>
      <c r="H253" t="inlineStr">
        <is>
          <t>HDPE 블로우 B500</t>
        </is>
      </c>
      <c r="I253" s="43" t="n">
        <v>45814</v>
      </c>
      <c r="J253" t="n">
        <v>202506</v>
      </c>
      <c r="K253" s="44" t="n">
        <v>3650</v>
      </c>
      <c r="L253" t="inlineStr">
        <is>
          <t>KG</t>
        </is>
      </c>
      <c r="M253" s="44" t="n">
        <v>5757332</v>
      </c>
      <c r="N253" s="44" t="n">
        <v>518160</v>
      </c>
      <c r="O253" t="n">
        <v>0</v>
      </c>
      <c r="P253" s="44" t="n">
        <v>5239172</v>
      </c>
      <c r="Q253" t="inlineStr">
        <is>
          <t>KRW</t>
        </is>
      </c>
      <c r="R253" t="inlineStr">
        <is>
          <t>INV2506-00252</t>
        </is>
      </c>
      <c r="S253" t="inlineStr">
        <is>
          <t>※예시데이터</t>
        </is>
      </c>
    </row>
    <row r="254">
      <c r="A254" t="n">
        <v>1000</v>
      </c>
      <c r="B254" t="inlineStr">
        <is>
          <t>EP사업부</t>
        </is>
      </c>
      <c r="C254" t="inlineStr">
        <is>
          <t>국내영업2팀</t>
        </is>
      </c>
      <c r="D254" t="inlineStr">
        <is>
          <t>C10015</t>
        </is>
      </c>
      <c r="E254" t="inlineStr">
        <is>
          <t>다솜케미칼</t>
        </is>
      </c>
      <c r="F254" t="inlineStr">
        <is>
          <t>PC</t>
        </is>
      </c>
      <c r="G254" t="inlineStr">
        <is>
          <t>M-2201</t>
        </is>
      </c>
      <c r="H254" t="inlineStr">
        <is>
          <t>PC 일반 C100</t>
        </is>
      </c>
      <c r="I254" s="43" t="n">
        <v>45815</v>
      </c>
      <c r="J254" t="n">
        <v>202506</v>
      </c>
      <c r="K254" s="44" t="n">
        <v>2250</v>
      </c>
      <c r="L254" t="inlineStr">
        <is>
          <t>KG</t>
        </is>
      </c>
      <c r="M254" s="44" t="n">
        <v>8760289</v>
      </c>
      <c r="N254" s="44" t="n">
        <v>438014</v>
      </c>
      <c r="O254" t="n">
        <v>0</v>
      </c>
      <c r="P254" s="44" t="n">
        <v>8322275</v>
      </c>
      <c r="Q254" t="inlineStr">
        <is>
          <t>KRW</t>
        </is>
      </c>
      <c r="R254" t="inlineStr">
        <is>
          <t>INV2506-00253</t>
        </is>
      </c>
      <c r="S254" t="inlineStr">
        <is>
          <t>※예시데이터</t>
        </is>
      </c>
    </row>
    <row r="255">
      <c r="A255" t="n">
        <v>1000</v>
      </c>
      <c r="B255" t="inlineStr">
        <is>
          <t>EP사업부</t>
        </is>
      </c>
      <c r="C255" t="inlineStr">
        <is>
          <t>국내영업2팀</t>
        </is>
      </c>
      <c r="D255" t="inlineStr">
        <is>
          <t>C10015</t>
        </is>
      </c>
      <c r="E255" t="inlineStr">
        <is>
          <t>다솜케미칼</t>
        </is>
      </c>
      <c r="F255" t="inlineStr">
        <is>
          <t>PC</t>
        </is>
      </c>
      <c r="G255" t="inlineStr">
        <is>
          <t>M-2202</t>
        </is>
      </c>
      <c r="H255" t="inlineStr">
        <is>
          <t>PC 난연 FR200</t>
        </is>
      </c>
      <c r="I255" s="43" t="n">
        <v>45816</v>
      </c>
      <c r="J255" t="n">
        <v>202506</v>
      </c>
      <c r="K255" s="44" t="n">
        <v>2950</v>
      </c>
      <c r="L255" t="inlineStr">
        <is>
          <t>KG</t>
        </is>
      </c>
      <c r="M255" s="44" t="n">
        <v>12810986</v>
      </c>
      <c r="N255" s="44" t="n">
        <v>640549</v>
      </c>
      <c r="O255" t="n">
        <v>0</v>
      </c>
      <c r="P255" s="44" t="n">
        <v>12170437</v>
      </c>
      <c r="Q255" t="inlineStr">
        <is>
          <t>KRW</t>
        </is>
      </c>
      <c r="R255" t="inlineStr">
        <is>
          <t>INV2506-00254</t>
        </is>
      </c>
      <c r="S255" t="inlineStr">
        <is>
          <t>※예시데이터</t>
        </is>
      </c>
    </row>
    <row r="256">
      <c r="A256" t="n">
        <v>1000</v>
      </c>
      <c r="B256" t="inlineStr">
        <is>
          <t>범용수지사업부</t>
        </is>
      </c>
      <c r="C256" t="inlineStr">
        <is>
          <t>국내영업2팀</t>
        </is>
      </c>
      <c r="D256" t="inlineStr">
        <is>
          <t>C10064</t>
        </is>
      </c>
      <c r="E256" t="inlineStr">
        <is>
          <t>차오름산업</t>
        </is>
      </c>
      <c r="F256" t="inlineStr">
        <is>
          <t>PP</t>
        </is>
      </c>
      <c r="G256" t="inlineStr">
        <is>
          <t>M-1102</t>
        </is>
      </c>
      <c r="H256" t="inlineStr">
        <is>
          <t>PP 고강성 H220</t>
        </is>
      </c>
      <c r="I256" s="43" t="n">
        <v>45816</v>
      </c>
      <c r="J256" t="n">
        <v>202506</v>
      </c>
      <c r="K256" s="44" t="n">
        <v>4425</v>
      </c>
      <c r="L256" t="inlineStr">
        <is>
          <t>KG</t>
        </is>
      </c>
      <c r="M256" s="44" t="n">
        <v>8039998</v>
      </c>
      <c r="N256" s="44" t="n">
        <v>562800</v>
      </c>
      <c r="O256" t="n">
        <v>0</v>
      </c>
      <c r="P256" s="44" t="n">
        <v>7477198</v>
      </c>
      <c r="Q256" t="inlineStr">
        <is>
          <t>KRW</t>
        </is>
      </c>
      <c r="R256" t="inlineStr">
        <is>
          <t>INV2506-00255</t>
        </is>
      </c>
      <c r="S256" t="inlineStr">
        <is>
          <t>※예시데이터</t>
        </is>
      </c>
    </row>
    <row r="257">
      <c r="A257" t="n">
        <v>1000</v>
      </c>
      <c r="B257" t="inlineStr">
        <is>
          <t>EP사업부</t>
        </is>
      </c>
      <c r="C257" t="inlineStr">
        <is>
          <t>국내영업2팀</t>
        </is>
      </c>
      <c r="D257" t="inlineStr">
        <is>
          <t>C10113</t>
        </is>
      </c>
      <c r="E257" t="inlineStr">
        <is>
          <t>누리오토파츠</t>
        </is>
      </c>
      <c r="F257" t="inlineStr">
        <is>
          <t>ABS</t>
        </is>
      </c>
      <c r="G257" t="inlineStr">
        <is>
          <t>M-2101</t>
        </is>
      </c>
      <c r="H257" t="inlineStr">
        <is>
          <t>ABS 범용 G300</t>
        </is>
      </c>
      <c r="I257" s="43" t="n">
        <v>45816</v>
      </c>
      <c r="J257" t="n">
        <v>202506</v>
      </c>
      <c r="K257" s="44" t="n">
        <v>1425</v>
      </c>
      <c r="L257" t="inlineStr">
        <is>
          <t>KG</t>
        </is>
      </c>
      <c r="M257" s="44" t="n">
        <v>3769919</v>
      </c>
      <c r="N257" s="44" t="n">
        <v>263894</v>
      </c>
      <c r="O257" s="44" t="n">
        <v>37699</v>
      </c>
      <c r="P257" s="44" t="n">
        <v>3468326</v>
      </c>
      <c r="Q257" t="inlineStr">
        <is>
          <t>KRW</t>
        </is>
      </c>
      <c r="R257" t="inlineStr">
        <is>
          <t>INV2506-00256</t>
        </is>
      </c>
      <c r="S257" t="inlineStr">
        <is>
          <t>※예시데이터</t>
        </is>
      </c>
    </row>
    <row r="258">
      <c r="A258" t="n">
        <v>1000</v>
      </c>
      <c r="B258" t="inlineStr">
        <is>
          <t>범용수지사업부</t>
        </is>
      </c>
      <c r="C258" t="inlineStr">
        <is>
          <t>국내영업2팀</t>
        </is>
      </c>
      <c r="D258" t="inlineStr">
        <is>
          <t>C10036</t>
        </is>
      </c>
      <c r="E258" t="inlineStr">
        <is>
          <t>바른물산</t>
        </is>
      </c>
      <c r="F258" t="inlineStr">
        <is>
          <t>PE</t>
        </is>
      </c>
      <c r="G258" t="inlineStr">
        <is>
          <t>M-1201</t>
        </is>
      </c>
      <c r="H258" t="inlineStr">
        <is>
          <t>HDPE 블로우 B500</t>
        </is>
      </c>
      <c r="I258" s="43" t="n">
        <v>45821</v>
      </c>
      <c r="J258" t="n">
        <v>202506</v>
      </c>
      <c r="K258" s="44" t="n">
        <v>11900</v>
      </c>
      <c r="L258" t="inlineStr">
        <is>
          <t>KG</t>
        </is>
      </c>
      <c r="M258" s="44" t="n">
        <v>18770479</v>
      </c>
      <c r="N258" s="44" t="n">
        <v>1689343</v>
      </c>
      <c r="O258" s="44" t="n">
        <v>375410</v>
      </c>
      <c r="P258" s="44" t="n">
        <v>16705726</v>
      </c>
      <c r="Q258" t="inlineStr">
        <is>
          <t>KRW</t>
        </is>
      </c>
      <c r="R258" t="inlineStr">
        <is>
          <t>INV2506-00257</t>
        </is>
      </c>
      <c r="S258" t="inlineStr">
        <is>
          <t>※예시데이터</t>
        </is>
      </c>
    </row>
    <row r="259">
      <c r="A259" t="n">
        <v>1000</v>
      </c>
      <c r="B259" t="inlineStr">
        <is>
          <t>범용수지사업부</t>
        </is>
      </c>
      <c r="C259" t="inlineStr">
        <is>
          <t>해외영업팀</t>
        </is>
      </c>
      <c r="D259" t="inlineStr">
        <is>
          <t>C10071</t>
        </is>
      </c>
      <c r="E259" t="inlineStr">
        <is>
          <t>큰별코리아</t>
        </is>
      </c>
      <c r="F259" t="inlineStr">
        <is>
          <t>PE</t>
        </is>
      </c>
      <c r="G259" t="inlineStr">
        <is>
          <t>M-1201</t>
        </is>
      </c>
      <c r="H259" t="inlineStr">
        <is>
          <t>HDPE 블로우 B500</t>
        </is>
      </c>
      <c r="I259" s="43" t="n">
        <v>45821</v>
      </c>
      <c r="J259" t="n">
        <v>202506</v>
      </c>
      <c r="K259" s="44" t="n">
        <v>13400</v>
      </c>
      <c r="L259" t="inlineStr">
        <is>
          <t>KG</t>
        </is>
      </c>
      <c r="M259" s="44" t="n">
        <v>21136505</v>
      </c>
      <c r="N259" s="44" t="n">
        <v>2325016</v>
      </c>
      <c r="O259" s="44" t="n">
        <v>422730</v>
      </c>
      <c r="P259" s="44" t="n">
        <v>18388759</v>
      </c>
      <c r="Q259" t="inlineStr">
        <is>
          <t>KRW</t>
        </is>
      </c>
      <c r="R259" t="inlineStr">
        <is>
          <t>INV2506-00258</t>
        </is>
      </c>
      <c r="S259" t="inlineStr">
        <is>
          <t>※예시데이터</t>
        </is>
      </c>
    </row>
    <row r="260">
      <c r="A260" t="n">
        <v>1000</v>
      </c>
      <c r="B260" t="inlineStr">
        <is>
          <t>범용수지사업부</t>
        </is>
      </c>
      <c r="C260" t="inlineStr">
        <is>
          <t>국내영업1팀</t>
        </is>
      </c>
      <c r="D260" t="inlineStr">
        <is>
          <t>C10001</t>
        </is>
      </c>
      <c r="E260" t="inlineStr">
        <is>
          <t>가온소재(주)</t>
        </is>
      </c>
      <c r="F260" t="inlineStr">
        <is>
          <t>PP</t>
        </is>
      </c>
      <c r="G260" t="inlineStr">
        <is>
          <t>M-1102</t>
        </is>
      </c>
      <c r="H260" t="inlineStr">
        <is>
          <t>PP 고강성 H220</t>
        </is>
      </c>
      <c r="I260" s="43" t="n">
        <v>45822</v>
      </c>
      <c r="J260" t="n">
        <v>202506</v>
      </c>
      <c r="K260" s="44" t="n">
        <v>2250</v>
      </c>
      <c r="L260" t="inlineStr">
        <is>
          <t>KG</t>
        </is>
      </c>
      <c r="M260" s="44" t="n">
        <v>4088135</v>
      </c>
      <c r="N260" s="44" t="n">
        <v>245288</v>
      </c>
      <c r="O260" t="n">
        <v>0</v>
      </c>
      <c r="P260" s="44" t="n">
        <v>3842847</v>
      </c>
      <c r="Q260" t="inlineStr">
        <is>
          <t>KRW</t>
        </is>
      </c>
      <c r="R260" t="inlineStr">
        <is>
          <t>INV2506-00259</t>
        </is>
      </c>
      <c r="S260" t="inlineStr">
        <is>
          <t>※예시데이터</t>
        </is>
      </c>
    </row>
    <row r="261">
      <c r="A261" t="n">
        <v>1000</v>
      </c>
      <c r="B261" t="inlineStr">
        <is>
          <t>EP사업부</t>
        </is>
      </c>
      <c r="C261" t="inlineStr">
        <is>
          <t>국내영업1팀</t>
        </is>
      </c>
      <c r="D261" t="inlineStr">
        <is>
          <t>C10043</t>
        </is>
      </c>
      <c r="E261" t="inlineStr">
        <is>
          <t>새봄플라스틱</t>
        </is>
      </c>
      <c r="F261" t="inlineStr">
        <is>
          <t>ABS</t>
        </is>
      </c>
      <c r="G261" t="inlineStr">
        <is>
          <t>M-2102</t>
        </is>
      </c>
      <c r="H261" t="inlineStr">
        <is>
          <t>ABS 내열 HR500</t>
        </is>
      </c>
      <c r="I261" s="43" t="n">
        <v>45822</v>
      </c>
      <c r="J261" t="n">
        <v>202506</v>
      </c>
      <c r="K261" s="44" t="n">
        <v>3700</v>
      </c>
      <c r="L261" t="inlineStr">
        <is>
          <t>KG</t>
        </is>
      </c>
      <c r="M261" s="44" t="n">
        <v>11007515</v>
      </c>
      <c r="N261" s="44" t="n">
        <v>660451</v>
      </c>
      <c r="O261" t="n">
        <v>0</v>
      </c>
      <c r="P261" s="44" t="n">
        <v>10347064</v>
      </c>
      <c r="Q261" t="inlineStr">
        <is>
          <t>KRW</t>
        </is>
      </c>
      <c r="R261" t="inlineStr">
        <is>
          <t>INV2506-00260</t>
        </is>
      </c>
      <c r="S261" t="inlineStr">
        <is>
          <t>※예시데이터</t>
        </is>
      </c>
    </row>
    <row r="262">
      <c r="A262" t="n">
        <v>1000</v>
      </c>
      <c r="B262" t="inlineStr">
        <is>
          <t>범용수지사업부</t>
        </is>
      </c>
      <c r="C262" t="inlineStr">
        <is>
          <t>국내영업1팀</t>
        </is>
      </c>
      <c r="D262" t="inlineStr">
        <is>
          <t>C10092</t>
        </is>
      </c>
      <c r="E262" t="inlineStr">
        <is>
          <t>하늘포장(주)</t>
        </is>
      </c>
      <c r="F262" t="inlineStr">
        <is>
          <t>PE</t>
        </is>
      </c>
      <c r="G262" t="inlineStr">
        <is>
          <t>M-1201</t>
        </is>
      </c>
      <c r="H262" t="inlineStr">
        <is>
          <t>HDPE 블로우 B500</t>
        </is>
      </c>
      <c r="I262" s="43" t="n">
        <v>45822</v>
      </c>
      <c r="J262" t="n">
        <v>202506</v>
      </c>
      <c r="K262" s="44" t="n">
        <v>17375</v>
      </c>
      <c r="L262" t="inlineStr">
        <is>
          <t>KG</t>
        </is>
      </c>
      <c r="M262" s="44" t="n">
        <v>27406476</v>
      </c>
      <c r="N262" s="44" t="n">
        <v>2192518</v>
      </c>
      <c r="O262" t="n">
        <v>0</v>
      </c>
      <c r="P262" s="44" t="n">
        <v>25213958</v>
      </c>
      <c r="Q262" t="inlineStr">
        <is>
          <t>KRW</t>
        </is>
      </c>
      <c r="R262" t="inlineStr">
        <is>
          <t>INV2506-00261</t>
        </is>
      </c>
      <c r="S262" t="inlineStr">
        <is>
          <t>※예시데이터</t>
        </is>
      </c>
    </row>
    <row r="263">
      <c r="A263" t="n">
        <v>1000</v>
      </c>
      <c r="B263" t="inlineStr">
        <is>
          <t>EP사업부</t>
        </is>
      </c>
      <c r="C263" t="inlineStr">
        <is>
          <t>국내영업2팀</t>
        </is>
      </c>
      <c r="D263" t="inlineStr">
        <is>
          <t>C10015</t>
        </is>
      </c>
      <c r="E263" t="inlineStr">
        <is>
          <t>다솜케미칼</t>
        </is>
      </c>
      <c r="F263" t="inlineStr">
        <is>
          <t>PC</t>
        </is>
      </c>
      <c r="G263" t="inlineStr">
        <is>
          <t>M-2201</t>
        </is>
      </c>
      <c r="H263" t="inlineStr">
        <is>
          <t>PC 일반 C100</t>
        </is>
      </c>
      <c r="I263" s="43" t="n">
        <v>45823</v>
      </c>
      <c r="J263" t="n">
        <v>202506</v>
      </c>
      <c r="K263" s="44" t="n">
        <v>2250</v>
      </c>
      <c r="L263" t="inlineStr">
        <is>
          <t>KG</t>
        </is>
      </c>
      <c r="M263" s="44" t="n">
        <v>8760289</v>
      </c>
      <c r="N263" s="44" t="n">
        <v>438014</v>
      </c>
      <c r="O263" t="n">
        <v>0</v>
      </c>
      <c r="P263" s="44" t="n">
        <v>8322275</v>
      </c>
      <c r="Q263" t="inlineStr">
        <is>
          <t>KRW</t>
        </is>
      </c>
      <c r="R263" t="inlineStr">
        <is>
          <t>INV2506-00262</t>
        </is>
      </c>
      <c r="S263" t="inlineStr">
        <is>
          <t>※예시데이터</t>
        </is>
      </c>
    </row>
    <row r="264">
      <c r="A264" t="n">
        <v>1000</v>
      </c>
      <c r="B264" t="inlineStr">
        <is>
          <t>범용수지사업부</t>
        </is>
      </c>
      <c r="C264" t="inlineStr">
        <is>
          <t>해외영업팀</t>
        </is>
      </c>
      <c r="D264" t="inlineStr">
        <is>
          <t>C10071</t>
        </is>
      </c>
      <c r="E264" t="inlineStr">
        <is>
          <t>큰별코리아</t>
        </is>
      </c>
      <c r="F264" t="inlineStr">
        <is>
          <t>PP</t>
        </is>
      </c>
      <c r="G264" t="inlineStr">
        <is>
          <t>M-1101</t>
        </is>
      </c>
      <c r="H264" t="inlineStr">
        <is>
          <t>PP 범용사출 H110</t>
        </is>
      </c>
      <c r="I264" s="43" t="n">
        <v>45823</v>
      </c>
      <c r="J264" t="n">
        <v>202506</v>
      </c>
      <c r="K264" s="44" t="n">
        <v>3950</v>
      </c>
      <c r="L264" t="inlineStr">
        <is>
          <t>KG</t>
        </is>
      </c>
      <c r="M264" s="44" t="n">
        <v>6506573</v>
      </c>
      <c r="N264" s="44" t="n">
        <v>715723</v>
      </c>
      <c r="O264" s="44" t="n">
        <v>130131</v>
      </c>
      <c r="P264" s="44" t="n">
        <v>5660719</v>
      </c>
      <c r="Q264" t="inlineStr">
        <is>
          <t>KRW</t>
        </is>
      </c>
      <c r="R264" t="inlineStr">
        <is>
          <t>INV2506-00263</t>
        </is>
      </c>
      <c r="S264" t="inlineStr">
        <is>
          <t>※예시데이터</t>
        </is>
      </c>
    </row>
    <row r="265">
      <c r="A265" t="n">
        <v>1000</v>
      </c>
      <c r="B265" t="inlineStr">
        <is>
          <t>EP사업부</t>
        </is>
      </c>
      <c r="C265" t="inlineStr">
        <is>
          <t>국내영업1팀</t>
        </is>
      </c>
      <c r="D265" t="inlineStr">
        <is>
          <t>C10057</t>
        </is>
      </c>
      <c r="E265" t="inlineStr">
        <is>
          <t>자연엠텍</t>
        </is>
      </c>
      <c r="F265" t="inlineStr">
        <is>
          <t>PC</t>
        </is>
      </c>
      <c r="G265" t="inlineStr">
        <is>
          <t>M-2201</t>
        </is>
      </c>
      <c r="H265" t="inlineStr">
        <is>
          <t>PC 일반 C100</t>
        </is>
      </c>
      <c r="I265" s="43" t="n">
        <v>45825</v>
      </c>
      <c r="J265" t="n">
        <v>202506</v>
      </c>
      <c r="K265" s="44" t="n">
        <v>3075</v>
      </c>
      <c r="L265" t="inlineStr">
        <is>
          <t>KG</t>
        </is>
      </c>
      <c r="M265" s="44" t="n">
        <v>11972395</v>
      </c>
      <c r="N265" s="44" t="n">
        <v>598620</v>
      </c>
      <c r="O265" t="n">
        <v>0</v>
      </c>
      <c r="P265" s="44" t="n">
        <v>11373775</v>
      </c>
      <c r="Q265" t="inlineStr">
        <is>
          <t>KRW</t>
        </is>
      </c>
      <c r="R265" t="inlineStr">
        <is>
          <t>INV2506-00264</t>
        </is>
      </c>
      <c r="S265" t="inlineStr">
        <is>
          <t>※예시데이터</t>
        </is>
      </c>
    </row>
    <row r="266">
      <c r="A266" t="n">
        <v>1000</v>
      </c>
      <c r="B266" t="inlineStr">
        <is>
          <t>범용수지사업부</t>
        </is>
      </c>
      <c r="C266" t="inlineStr">
        <is>
          <t>국내영업2팀</t>
        </is>
      </c>
      <c r="D266" t="inlineStr">
        <is>
          <t>C10064</t>
        </is>
      </c>
      <c r="E266" t="inlineStr">
        <is>
          <t>차오름산업</t>
        </is>
      </c>
      <c r="F266" t="inlineStr">
        <is>
          <t>PP</t>
        </is>
      </c>
      <c r="G266" t="inlineStr">
        <is>
          <t>M-1103</t>
        </is>
      </c>
      <c r="H266" t="inlineStr">
        <is>
          <t>PP 투명 R330</t>
        </is>
      </c>
      <c r="I266" s="43" t="n">
        <v>45825</v>
      </c>
      <c r="J266" t="n">
        <v>202506</v>
      </c>
      <c r="K266" s="44" t="n">
        <v>1575</v>
      </c>
      <c r="L266" t="inlineStr">
        <is>
          <t>KG</t>
        </is>
      </c>
      <c r="M266" s="44" t="n">
        <v>3050377</v>
      </c>
      <c r="N266" s="44" t="n">
        <v>213526</v>
      </c>
      <c r="O266" t="n">
        <v>0</v>
      </c>
      <c r="P266" s="44" t="n">
        <v>2836851</v>
      </c>
      <c r="Q266" t="inlineStr">
        <is>
          <t>KRW</t>
        </is>
      </c>
      <c r="R266" t="inlineStr">
        <is>
          <t>INV2506-00265</t>
        </is>
      </c>
      <c r="S266" t="inlineStr">
        <is>
          <t>※예시데이터</t>
        </is>
      </c>
    </row>
    <row r="267">
      <c r="A267" t="n">
        <v>1000</v>
      </c>
      <c r="B267" t="inlineStr">
        <is>
          <t>범용수지사업부</t>
        </is>
      </c>
      <c r="C267" t="inlineStr">
        <is>
          <t>국내영업2팀</t>
        </is>
      </c>
      <c r="D267" t="inlineStr">
        <is>
          <t>C10127</t>
        </is>
      </c>
      <c r="E267" t="inlineStr">
        <is>
          <t>미르패키징</t>
        </is>
      </c>
      <c r="F267" t="inlineStr">
        <is>
          <t>PP</t>
        </is>
      </c>
      <c r="G267" t="inlineStr">
        <is>
          <t>M-1101</t>
        </is>
      </c>
      <c r="H267" t="inlineStr">
        <is>
          <t>PP 범용사출 H110</t>
        </is>
      </c>
      <c r="I267" s="43" t="n">
        <v>45825</v>
      </c>
      <c r="J267" t="n">
        <v>202506</v>
      </c>
      <c r="K267" s="44" t="n">
        <v>4575</v>
      </c>
      <c r="L267" t="inlineStr">
        <is>
          <t>KG</t>
        </is>
      </c>
      <c r="M267" s="44" t="n">
        <v>7536095</v>
      </c>
      <c r="N267" s="44" t="n">
        <v>678249</v>
      </c>
      <c r="O267" t="n">
        <v>0</v>
      </c>
      <c r="P267" s="44" t="n">
        <v>6857846</v>
      </c>
      <c r="Q267" t="inlineStr">
        <is>
          <t>KRW</t>
        </is>
      </c>
      <c r="R267" t="inlineStr">
        <is>
          <t>INV2506-00266</t>
        </is>
      </c>
      <c r="S267" t="inlineStr">
        <is>
          <t>※예시데이터</t>
        </is>
      </c>
    </row>
    <row r="268">
      <c r="A268" t="n">
        <v>1000</v>
      </c>
      <c r="B268" t="inlineStr">
        <is>
          <t>범용수지사업부</t>
        </is>
      </c>
      <c r="C268" t="inlineStr">
        <is>
          <t>해외영업팀</t>
        </is>
      </c>
      <c r="D268" t="inlineStr">
        <is>
          <t>C10141</t>
        </is>
      </c>
      <c r="E268" t="inlineStr">
        <is>
          <t>Sinar Plastik (ID)</t>
        </is>
      </c>
      <c r="F268" t="inlineStr">
        <is>
          <t>PP</t>
        </is>
      </c>
      <c r="G268" t="inlineStr">
        <is>
          <t>M-1103</t>
        </is>
      </c>
      <c r="H268" t="inlineStr">
        <is>
          <t>PP 투명 R330</t>
        </is>
      </c>
      <c r="I268" s="43" t="n">
        <v>45825</v>
      </c>
      <c r="J268" t="n">
        <v>202506</v>
      </c>
      <c r="K268" s="44" t="n">
        <v>10500</v>
      </c>
      <c r="L268" t="inlineStr">
        <is>
          <t>KG</t>
        </is>
      </c>
      <c r="M268" s="44" t="n">
        <v>20335850</v>
      </c>
      <c r="N268" s="44" t="n">
        <v>2440302</v>
      </c>
      <c r="O268" t="n">
        <v>0</v>
      </c>
      <c r="P268" s="44" t="n">
        <v>17895548</v>
      </c>
      <c r="Q268" t="inlineStr">
        <is>
          <t>KRW</t>
        </is>
      </c>
      <c r="R268" t="inlineStr">
        <is>
          <t>INV2506-00267</t>
        </is>
      </c>
      <c r="S268" t="inlineStr">
        <is>
          <t>※예시데이터</t>
        </is>
      </c>
    </row>
    <row r="269">
      <c r="A269" t="n">
        <v>1000</v>
      </c>
      <c r="B269" t="inlineStr">
        <is>
          <t>범용수지사업부</t>
        </is>
      </c>
      <c r="C269" t="inlineStr">
        <is>
          <t>국내영업2팀</t>
        </is>
      </c>
      <c r="D269" t="inlineStr">
        <is>
          <t>C10127</t>
        </is>
      </c>
      <c r="E269" t="inlineStr">
        <is>
          <t>미르패키징</t>
        </is>
      </c>
      <c r="F269" t="inlineStr">
        <is>
          <t>PE</t>
        </is>
      </c>
      <c r="G269" t="inlineStr">
        <is>
          <t>M-1202</t>
        </is>
      </c>
      <c r="H269" t="inlineStr">
        <is>
          <t>LLDPE 필름 F120</t>
        </is>
      </c>
      <c r="I269" s="43" t="n">
        <v>45827</v>
      </c>
      <c r="J269" t="n">
        <v>202506</v>
      </c>
      <c r="K269" s="44" t="n">
        <v>5475</v>
      </c>
      <c r="L269" t="inlineStr">
        <is>
          <t>KG</t>
        </is>
      </c>
      <c r="M269" s="44" t="n">
        <v>9346554</v>
      </c>
      <c r="N269" s="44" t="n">
        <v>841190</v>
      </c>
      <c r="O269" t="n">
        <v>0</v>
      </c>
      <c r="P269" s="44" t="n">
        <v>8505364</v>
      </c>
      <c r="Q269" t="inlineStr">
        <is>
          <t>KRW</t>
        </is>
      </c>
      <c r="R269" t="inlineStr">
        <is>
          <t>INV2506-00268</t>
        </is>
      </c>
      <c r="S269" t="inlineStr">
        <is>
          <t>※예시데이터</t>
        </is>
      </c>
    </row>
    <row r="270">
      <c r="A270" t="n">
        <v>1000</v>
      </c>
      <c r="B270" t="inlineStr">
        <is>
          <t>EP사업부</t>
        </is>
      </c>
      <c r="C270" t="inlineStr">
        <is>
          <t>국내영업1팀</t>
        </is>
      </c>
      <c r="D270" t="inlineStr">
        <is>
          <t>C10134</t>
        </is>
      </c>
      <c r="E270" t="inlineStr">
        <is>
          <t>별하전자(주)</t>
        </is>
      </c>
      <c r="F270" t="inlineStr">
        <is>
          <t>PC</t>
        </is>
      </c>
      <c r="G270" t="inlineStr">
        <is>
          <t>M-2201</t>
        </is>
      </c>
      <c r="H270" t="inlineStr">
        <is>
          <t>PC 일반 C100</t>
        </is>
      </c>
      <c r="I270" s="43" t="n">
        <v>45827</v>
      </c>
      <c r="J270" t="n">
        <v>202506</v>
      </c>
      <c r="K270" s="44" t="n">
        <v>1200</v>
      </c>
      <c r="L270" t="inlineStr">
        <is>
          <t>KG</t>
        </is>
      </c>
      <c r="M270" s="44" t="n">
        <v>4672154</v>
      </c>
      <c r="N270" s="44" t="n">
        <v>140165</v>
      </c>
      <c r="O270" t="n">
        <v>0</v>
      </c>
      <c r="P270" s="44" t="n">
        <v>4531989</v>
      </c>
      <c r="Q270" t="inlineStr">
        <is>
          <t>KRW</t>
        </is>
      </c>
      <c r="R270" t="inlineStr">
        <is>
          <t>INV2506-00269</t>
        </is>
      </c>
      <c r="S270" t="inlineStr">
        <is>
          <t>※예시데이터</t>
        </is>
      </c>
    </row>
    <row r="271">
      <c r="A271" t="n">
        <v>1000</v>
      </c>
      <c r="B271" t="inlineStr">
        <is>
          <t>EP사업부</t>
        </is>
      </c>
      <c r="C271" t="inlineStr">
        <is>
          <t>국내영업2팀</t>
        </is>
      </c>
      <c r="D271" t="inlineStr">
        <is>
          <t>C10099</t>
        </is>
      </c>
      <c r="E271" t="inlineStr">
        <is>
          <t>한울몰드</t>
        </is>
      </c>
      <c r="F271" t="inlineStr">
        <is>
          <t>ABS</t>
        </is>
      </c>
      <c r="G271" t="inlineStr">
        <is>
          <t>M-2101</t>
        </is>
      </c>
      <c r="H271" t="inlineStr">
        <is>
          <t>ABS 범용 G300</t>
        </is>
      </c>
      <c r="I271" s="43" t="n">
        <v>45828</v>
      </c>
      <c r="J271" t="n">
        <v>202506</v>
      </c>
      <c r="K271" s="44" t="n">
        <v>3875</v>
      </c>
      <c r="L271" t="inlineStr">
        <is>
          <t>KG</t>
        </is>
      </c>
      <c r="M271" s="44" t="n">
        <v>10251535</v>
      </c>
      <c r="N271" s="44" t="n">
        <v>615092</v>
      </c>
      <c r="O271" t="n">
        <v>0</v>
      </c>
      <c r="P271" s="44" t="n">
        <v>9636443</v>
      </c>
      <c r="Q271" t="inlineStr">
        <is>
          <t>KRW</t>
        </is>
      </c>
      <c r="R271" t="inlineStr">
        <is>
          <t>INV2506-00270</t>
        </is>
      </c>
      <c r="S271" t="inlineStr">
        <is>
          <t>※예시데이터</t>
        </is>
      </c>
    </row>
    <row r="272">
      <c r="A272" t="n">
        <v>1000</v>
      </c>
      <c r="B272" t="inlineStr">
        <is>
          <t>EP사업부</t>
        </is>
      </c>
      <c r="C272" t="inlineStr">
        <is>
          <t>국내영업1팀</t>
        </is>
      </c>
      <c r="D272" t="inlineStr">
        <is>
          <t>C10078</t>
        </is>
      </c>
      <c r="E272" t="inlineStr">
        <is>
          <t>토담정공(주)</t>
        </is>
      </c>
      <c r="F272" t="inlineStr">
        <is>
          <t>ABS</t>
        </is>
      </c>
      <c r="G272" t="inlineStr">
        <is>
          <t>M-2102</t>
        </is>
      </c>
      <c r="H272" t="inlineStr">
        <is>
          <t>ABS 내열 HR500</t>
        </is>
      </c>
      <c r="I272" s="43" t="n">
        <v>45829</v>
      </c>
      <c r="J272" t="n">
        <v>202506</v>
      </c>
      <c r="K272" s="44" t="n">
        <v>2100</v>
      </c>
      <c r="L272" t="inlineStr">
        <is>
          <t>KG</t>
        </is>
      </c>
      <c r="M272" s="44" t="n">
        <v>6247509</v>
      </c>
      <c r="N272" s="44" t="n">
        <v>187425</v>
      </c>
      <c r="O272" t="n">
        <v>0</v>
      </c>
      <c r="P272" s="44" t="n">
        <v>6060084</v>
      </c>
      <c r="Q272" t="inlineStr">
        <is>
          <t>KRW</t>
        </is>
      </c>
      <c r="R272" t="inlineStr">
        <is>
          <t>INV2506-00271</t>
        </is>
      </c>
      <c r="S272" t="inlineStr">
        <is>
          <t>※예시데이터</t>
        </is>
      </c>
    </row>
    <row r="273">
      <c r="A273" t="n">
        <v>1000</v>
      </c>
      <c r="B273" t="inlineStr">
        <is>
          <t>EP사업부</t>
        </is>
      </c>
      <c r="C273" t="inlineStr">
        <is>
          <t>국내영업2팀</t>
        </is>
      </c>
      <c r="D273" t="inlineStr">
        <is>
          <t>C10113</t>
        </is>
      </c>
      <c r="E273" t="inlineStr">
        <is>
          <t>누리오토파츠</t>
        </is>
      </c>
      <c r="F273" t="inlineStr">
        <is>
          <t>PC</t>
        </is>
      </c>
      <c r="G273" t="inlineStr">
        <is>
          <t>M-2202</t>
        </is>
      </c>
      <c r="H273" t="inlineStr">
        <is>
          <t>PC 난연 FR200</t>
        </is>
      </c>
      <c r="I273" s="43" t="n">
        <v>45829</v>
      </c>
      <c r="J273" t="n">
        <v>202506</v>
      </c>
      <c r="K273" s="44" t="n">
        <v>1750</v>
      </c>
      <c r="L273" t="inlineStr">
        <is>
          <t>KG</t>
        </is>
      </c>
      <c r="M273" s="44" t="n">
        <v>7599738</v>
      </c>
      <c r="N273" s="44" t="n">
        <v>531982</v>
      </c>
      <c r="O273" s="44" t="n">
        <v>75997</v>
      </c>
      <c r="P273" s="44" t="n">
        <v>6991759</v>
      </c>
      <c r="Q273" t="inlineStr">
        <is>
          <t>KRW</t>
        </is>
      </c>
      <c r="R273" t="inlineStr">
        <is>
          <t>INV2506-00272</t>
        </is>
      </c>
      <c r="S273" t="inlineStr">
        <is>
          <t>※예시데이터</t>
        </is>
      </c>
    </row>
    <row r="274">
      <c r="A274" t="n">
        <v>1000</v>
      </c>
      <c r="B274" t="inlineStr">
        <is>
          <t>범용수지사업부</t>
        </is>
      </c>
      <c r="C274" t="inlineStr">
        <is>
          <t>해외영업팀</t>
        </is>
      </c>
      <c r="D274" t="inlineStr">
        <is>
          <t>C10141</t>
        </is>
      </c>
      <c r="E274" t="inlineStr">
        <is>
          <t>Sinar Plastik (ID)</t>
        </is>
      </c>
      <c r="F274" t="inlineStr">
        <is>
          <t>PP</t>
        </is>
      </c>
      <c r="G274" t="inlineStr">
        <is>
          <t>M-1102</t>
        </is>
      </c>
      <c r="H274" t="inlineStr">
        <is>
          <t>PP 고강성 H220</t>
        </is>
      </c>
      <c r="I274" s="43" t="n">
        <v>45830</v>
      </c>
      <c r="J274" t="n">
        <v>202506</v>
      </c>
      <c r="K274" s="44" t="n">
        <v>11000</v>
      </c>
      <c r="L274" t="inlineStr">
        <is>
          <t>KG</t>
        </is>
      </c>
      <c r="M274" s="44" t="n">
        <v>19986437</v>
      </c>
      <c r="N274" s="44" t="n">
        <v>2398372</v>
      </c>
      <c r="O274" t="n">
        <v>0</v>
      </c>
      <c r="P274" s="44" t="n">
        <v>17588065</v>
      </c>
      <c r="Q274" t="inlineStr">
        <is>
          <t>KRW</t>
        </is>
      </c>
      <c r="R274" t="inlineStr">
        <is>
          <t>INV2506-00273</t>
        </is>
      </c>
      <c r="S274" t="inlineStr">
        <is>
          <t>※예시데이터</t>
        </is>
      </c>
    </row>
    <row r="275">
      <c r="A275" t="n">
        <v>1000</v>
      </c>
      <c r="B275" t="inlineStr">
        <is>
          <t>범용수지사업부</t>
        </is>
      </c>
      <c r="C275" t="inlineStr">
        <is>
          <t>국내영업1팀</t>
        </is>
      </c>
      <c r="D275" t="inlineStr">
        <is>
          <t>C10001</t>
        </is>
      </c>
      <c r="E275" t="inlineStr">
        <is>
          <t>가온소재(주)</t>
        </is>
      </c>
      <c r="F275" t="inlineStr">
        <is>
          <t>PP</t>
        </is>
      </c>
      <c r="G275" t="inlineStr">
        <is>
          <t>M-1102</t>
        </is>
      </c>
      <c r="H275" t="inlineStr">
        <is>
          <t>PP 고강성 H220</t>
        </is>
      </c>
      <c r="I275" s="43" t="n">
        <v>45831</v>
      </c>
      <c r="J275" t="n">
        <v>202506</v>
      </c>
      <c r="K275" s="44" t="n">
        <v>2250</v>
      </c>
      <c r="L275" t="inlineStr">
        <is>
          <t>KG</t>
        </is>
      </c>
      <c r="M275" s="44" t="n">
        <v>4088135</v>
      </c>
      <c r="N275" s="44" t="n">
        <v>245288</v>
      </c>
      <c r="O275" t="n">
        <v>0</v>
      </c>
      <c r="P275" s="44" t="n">
        <v>3842847</v>
      </c>
      <c r="Q275" t="inlineStr">
        <is>
          <t>KRW</t>
        </is>
      </c>
      <c r="R275" t="inlineStr">
        <is>
          <t>INV2506-00274</t>
        </is>
      </c>
      <c r="S275" t="inlineStr">
        <is>
          <t>※예시데이터</t>
        </is>
      </c>
    </row>
    <row r="276">
      <c r="A276" t="n">
        <v>1000</v>
      </c>
      <c r="B276" t="inlineStr">
        <is>
          <t>EP사업부</t>
        </is>
      </c>
      <c r="C276" t="inlineStr">
        <is>
          <t>국내영업1팀</t>
        </is>
      </c>
      <c r="D276" t="inlineStr">
        <is>
          <t>C10043</t>
        </is>
      </c>
      <c r="E276" t="inlineStr">
        <is>
          <t>새봄플라스틱</t>
        </is>
      </c>
      <c r="F276" t="inlineStr">
        <is>
          <t>ABS</t>
        </is>
      </c>
      <c r="G276" t="inlineStr">
        <is>
          <t>M-2101</t>
        </is>
      </c>
      <c r="H276" t="inlineStr">
        <is>
          <t>ABS 범용 G300</t>
        </is>
      </c>
      <c r="I276" s="43" t="n">
        <v>45831</v>
      </c>
      <c r="J276" t="n">
        <v>202506</v>
      </c>
      <c r="K276" s="44" t="n">
        <v>3300</v>
      </c>
      <c r="L276" t="inlineStr">
        <is>
          <t>KG</t>
        </is>
      </c>
      <c r="M276" s="44" t="n">
        <v>8730339</v>
      </c>
      <c r="N276" s="44" t="n">
        <v>523820</v>
      </c>
      <c r="O276" t="n">
        <v>0</v>
      </c>
      <c r="P276" s="44" t="n">
        <v>8206519</v>
      </c>
      <c r="Q276" t="inlineStr">
        <is>
          <t>KRW</t>
        </is>
      </c>
      <c r="R276" t="inlineStr">
        <is>
          <t>INV2506-00275</t>
        </is>
      </c>
      <c r="S276" t="inlineStr">
        <is>
          <t>※예시데이터</t>
        </is>
      </c>
    </row>
    <row r="277">
      <c r="A277" t="n">
        <v>1000</v>
      </c>
      <c r="B277" t="inlineStr">
        <is>
          <t>범용수지사업부</t>
        </is>
      </c>
      <c r="C277" t="inlineStr">
        <is>
          <t>국내영업2팀</t>
        </is>
      </c>
      <c r="D277" t="inlineStr">
        <is>
          <t>C10050</t>
        </is>
      </c>
      <c r="E277" t="inlineStr">
        <is>
          <t>아름화학(주)</t>
        </is>
      </c>
      <c r="F277" t="inlineStr">
        <is>
          <t>PP</t>
        </is>
      </c>
      <c r="G277" t="inlineStr">
        <is>
          <t>M-1103</t>
        </is>
      </c>
      <c r="H277" t="inlineStr">
        <is>
          <t>PP 투명 R330</t>
        </is>
      </c>
      <c r="I277" s="43" t="n">
        <v>45832</v>
      </c>
      <c r="J277" t="n">
        <v>202506</v>
      </c>
      <c r="K277" s="44" t="n">
        <v>10500</v>
      </c>
      <c r="L277" t="inlineStr">
        <is>
          <t>KG</t>
        </is>
      </c>
      <c r="M277" s="44" t="n">
        <v>20335850</v>
      </c>
      <c r="N277" s="44" t="n">
        <v>2033585</v>
      </c>
      <c r="O277" s="44" t="n">
        <v>203358</v>
      </c>
      <c r="P277" s="44" t="n">
        <v>18098907</v>
      </c>
      <c r="Q277" t="inlineStr">
        <is>
          <t>KRW</t>
        </is>
      </c>
      <c r="R277" t="inlineStr">
        <is>
          <t>INV2506-00276</t>
        </is>
      </c>
      <c r="S277" t="inlineStr">
        <is>
          <t>※예시데이터</t>
        </is>
      </c>
    </row>
    <row r="278">
      <c r="A278" t="n">
        <v>1000</v>
      </c>
      <c r="B278" t="inlineStr">
        <is>
          <t>범용수지사업부</t>
        </is>
      </c>
      <c r="C278" t="inlineStr">
        <is>
          <t>국내영업2팀</t>
        </is>
      </c>
      <c r="D278" t="inlineStr">
        <is>
          <t>C10064</t>
        </is>
      </c>
      <c r="E278" t="inlineStr">
        <is>
          <t>차오름산업</t>
        </is>
      </c>
      <c r="F278" t="inlineStr">
        <is>
          <t>PP</t>
        </is>
      </c>
      <c r="G278" t="inlineStr">
        <is>
          <t>M-1103</t>
        </is>
      </c>
      <c r="H278" t="inlineStr">
        <is>
          <t>PP 투명 R330</t>
        </is>
      </c>
      <c r="I278" s="43" t="n">
        <v>45832</v>
      </c>
      <c r="J278" t="n">
        <v>202506</v>
      </c>
      <c r="K278" s="44" t="n">
        <v>1575</v>
      </c>
      <c r="L278" t="inlineStr">
        <is>
          <t>KG</t>
        </is>
      </c>
      <c r="M278" s="44" t="n">
        <v>3050377</v>
      </c>
      <c r="N278" s="44" t="n">
        <v>213526</v>
      </c>
      <c r="O278" t="n">
        <v>0</v>
      </c>
      <c r="P278" s="44" t="n">
        <v>2836851</v>
      </c>
      <c r="Q278" t="inlineStr">
        <is>
          <t>KRW</t>
        </is>
      </c>
      <c r="R278" t="inlineStr">
        <is>
          <t>INV2506-00277</t>
        </is>
      </c>
      <c r="S278" t="inlineStr">
        <is>
          <t>※예시데이터</t>
        </is>
      </c>
    </row>
    <row r="279">
      <c r="A279" t="n">
        <v>1000</v>
      </c>
      <c r="B279" t="inlineStr">
        <is>
          <t>범용수지사업부</t>
        </is>
      </c>
      <c r="C279" t="inlineStr">
        <is>
          <t>해외영업팀</t>
        </is>
      </c>
      <c r="D279" t="inlineStr">
        <is>
          <t>C10071</t>
        </is>
      </c>
      <c r="E279" t="inlineStr">
        <is>
          <t>큰별코리아</t>
        </is>
      </c>
      <c r="F279" t="inlineStr">
        <is>
          <t>PP</t>
        </is>
      </c>
      <c r="G279" t="inlineStr">
        <is>
          <t>M-1101</t>
        </is>
      </c>
      <c r="H279" t="inlineStr">
        <is>
          <t>PP 범용사출 H110</t>
        </is>
      </c>
      <c r="I279" s="43" t="n">
        <v>45832</v>
      </c>
      <c r="J279" t="n">
        <v>202506</v>
      </c>
      <c r="K279" s="44" t="n">
        <v>3950</v>
      </c>
      <c r="L279" t="inlineStr">
        <is>
          <t>KG</t>
        </is>
      </c>
      <c r="M279" s="44" t="n">
        <v>6506573</v>
      </c>
      <c r="N279" s="44" t="n">
        <v>715723</v>
      </c>
      <c r="O279" s="44" t="n">
        <v>130131</v>
      </c>
      <c r="P279" s="44" t="n">
        <v>5660719</v>
      </c>
      <c r="Q279" t="inlineStr">
        <is>
          <t>KRW</t>
        </is>
      </c>
      <c r="R279" t="inlineStr">
        <is>
          <t>INV2506-00278</t>
        </is>
      </c>
      <c r="S279" t="inlineStr">
        <is>
          <t>※예시데이터</t>
        </is>
      </c>
    </row>
    <row r="280">
      <c r="A280" t="n">
        <v>1000</v>
      </c>
      <c r="B280" t="inlineStr">
        <is>
          <t>범용수지사업부</t>
        </is>
      </c>
      <c r="C280" t="inlineStr">
        <is>
          <t>국내영업1팀</t>
        </is>
      </c>
      <c r="D280" t="inlineStr">
        <is>
          <t>C10001</t>
        </is>
      </c>
      <c r="E280" t="inlineStr">
        <is>
          <t>가온소재(주)</t>
        </is>
      </c>
      <c r="F280" t="inlineStr">
        <is>
          <t>PE</t>
        </is>
      </c>
      <c r="G280" t="inlineStr">
        <is>
          <t>M-1202</t>
        </is>
      </c>
      <c r="H280" t="inlineStr">
        <is>
          <t>LLDPE 필름 F120</t>
        </is>
      </c>
      <c r="I280" s="43" t="n">
        <v>45833</v>
      </c>
      <c r="J280" t="n">
        <v>202506</v>
      </c>
      <c r="K280" s="44" t="n">
        <v>3925</v>
      </c>
      <c r="L280" t="inlineStr">
        <is>
          <t>KG</t>
        </is>
      </c>
      <c r="M280" s="44" t="n">
        <v>6700498</v>
      </c>
      <c r="N280" s="44" t="n">
        <v>402030</v>
      </c>
      <c r="O280" t="n">
        <v>0</v>
      </c>
      <c r="P280" s="44" t="n">
        <v>6298468</v>
      </c>
      <c r="Q280" t="inlineStr">
        <is>
          <t>KRW</t>
        </is>
      </c>
      <c r="R280" t="inlineStr">
        <is>
          <t>INV2506-00279</t>
        </is>
      </c>
      <c r="S280" t="inlineStr">
        <is>
          <t>※예시데이터</t>
        </is>
      </c>
    </row>
    <row r="281">
      <c r="A281" t="n">
        <v>1000</v>
      </c>
      <c r="B281" t="inlineStr">
        <is>
          <t>EP사업부</t>
        </is>
      </c>
      <c r="C281" t="inlineStr">
        <is>
          <t>국내영업1팀</t>
        </is>
      </c>
      <c r="D281" t="inlineStr">
        <is>
          <t>C10134</t>
        </is>
      </c>
      <c r="E281" t="inlineStr">
        <is>
          <t>별하전자(주)</t>
        </is>
      </c>
      <c r="F281" t="inlineStr">
        <is>
          <t>PC</t>
        </is>
      </c>
      <c r="G281" t="inlineStr">
        <is>
          <t>M-2202</t>
        </is>
      </c>
      <c r="H281" t="inlineStr">
        <is>
          <t>PC 난연 FR200</t>
        </is>
      </c>
      <c r="I281" s="43" t="n">
        <v>45833</v>
      </c>
      <c r="J281" t="n">
        <v>202506</v>
      </c>
      <c r="K281" s="44" t="n">
        <v>1350</v>
      </c>
      <c r="L281" t="inlineStr">
        <is>
          <t>KG</t>
        </is>
      </c>
      <c r="M281" s="44" t="n">
        <v>5862655</v>
      </c>
      <c r="N281" s="44" t="n">
        <v>175880</v>
      </c>
      <c r="O281" t="n">
        <v>0</v>
      </c>
      <c r="P281" s="44" t="n">
        <v>5686775</v>
      </c>
      <c r="Q281" t="inlineStr">
        <is>
          <t>KRW</t>
        </is>
      </c>
      <c r="R281" t="inlineStr">
        <is>
          <t>INV2506-00280</t>
        </is>
      </c>
      <c r="S281" t="inlineStr">
        <is>
          <t>※예시데이터</t>
        </is>
      </c>
    </row>
    <row r="282">
      <c r="A282" t="n">
        <v>1000</v>
      </c>
      <c r="B282" t="inlineStr">
        <is>
          <t>범용수지사업부</t>
        </is>
      </c>
      <c r="C282" t="inlineStr">
        <is>
          <t>국내영업1팀</t>
        </is>
      </c>
      <c r="D282" t="inlineStr">
        <is>
          <t>C10008</t>
        </is>
      </c>
      <c r="E282" t="inlineStr">
        <is>
          <t>나래산업(주)</t>
        </is>
      </c>
      <c r="F282" t="inlineStr">
        <is>
          <t>PP</t>
        </is>
      </c>
      <c r="G282" t="inlineStr">
        <is>
          <t>M-1101</t>
        </is>
      </c>
      <c r="H282" t="inlineStr">
        <is>
          <t>PP 범용사출 H110</t>
        </is>
      </c>
      <c r="I282" s="43" t="n">
        <v>45836</v>
      </c>
      <c r="J282" t="n">
        <v>202506</v>
      </c>
      <c r="K282" s="44" t="n">
        <v>25300</v>
      </c>
      <c r="L282" t="inlineStr">
        <is>
          <t>KG</t>
        </is>
      </c>
      <c r="M282" s="44" t="n">
        <v>41675015</v>
      </c>
      <c r="N282" s="44" t="n">
        <v>3334001</v>
      </c>
      <c r="O282" s="44" t="n">
        <v>416750</v>
      </c>
      <c r="P282" s="44" t="n">
        <v>37924264</v>
      </c>
      <c r="Q282" t="inlineStr">
        <is>
          <t>KRW</t>
        </is>
      </c>
      <c r="R282" t="inlineStr">
        <is>
          <t>INV2506-00281</t>
        </is>
      </c>
      <c r="S282" t="inlineStr">
        <is>
          <t>※예시데이터</t>
        </is>
      </c>
    </row>
    <row r="283">
      <c r="A283" t="n">
        <v>1000</v>
      </c>
      <c r="B283" t="inlineStr">
        <is>
          <t>EP사업부</t>
        </is>
      </c>
      <c r="C283" t="inlineStr">
        <is>
          <t>국내영업2팀</t>
        </is>
      </c>
      <c r="D283" t="inlineStr">
        <is>
          <t>C10022</t>
        </is>
      </c>
      <c r="E283" t="inlineStr">
        <is>
          <t>라온테크(주)</t>
        </is>
      </c>
      <c r="F283" t="inlineStr">
        <is>
          <t>ABS</t>
        </is>
      </c>
      <c r="G283" t="inlineStr">
        <is>
          <t>M-2102</t>
        </is>
      </c>
      <c r="H283" t="inlineStr">
        <is>
          <t>ABS 내열 HR500</t>
        </is>
      </c>
      <c r="I283" s="43" t="n">
        <v>45836</v>
      </c>
      <c r="J283" t="n">
        <v>202506</v>
      </c>
      <c r="K283" s="44" t="n">
        <v>6100</v>
      </c>
      <c r="L283" t="inlineStr">
        <is>
          <t>KG</t>
        </is>
      </c>
      <c r="M283" s="44" t="n">
        <v>18147525</v>
      </c>
      <c r="N283" s="44" t="n">
        <v>1270327</v>
      </c>
      <c r="O283" t="n">
        <v>0</v>
      </c>
      <c r="P283" s="44" t="n">
        <v>16877198</v>
      </c>
      <c r="Q283" t="inlineStr">
        <is>
          <t>KRW</t>
        </is>
      </c>
      <c r="R283" t="inlineStr">
        <is>
          <t>INV2506-00282</t>
        </is>
      </c>
      <c r="S283" t="inlineStr">
        <is>
          <t>※예시데이터</t>
        </is>
      </c>
    </row>
    <row r="284">
      <c r="A284" t="n">
        <v>1000</v>
      </c>
      <c r="B284" t="inlineStr">
        <is>
          <t>EP사업부</t>
        </is>
      </c>
      <c r="C284" t="inlineStr">
        <is>
          <t>국내영업1팀</t>
        </is>
      </c>
      <c r="D284" t="inlineStr">
        <is>
          <t>C10057</t>
        </is>
      </c>
      <c r="E284" t="inlineStr">
        <is>
          <t>자연엠텍</t>
        </is>
      </c>
      <c r="F284" t="inlineStr">
        <is>
          <t>ABS</t>
        </is>
      </c>
      <c r="G284" t="inlineStr">
        <is>
          <t>M-2101</t>
        </is>
      </c>
      <c r="H284" t="inlineStr">
        <is>
          <t>ABS 범용 G300</t>
        </is>
      </c>
      <c r="I284" s="43" t="n">
        <v>45836</v>
      </c>
      <c r="J284" t="n">
        <v>202506</v>
      </c>
      <c r="K284" s="44" t="n">
        <v>2025</v>
      </c>
      <c r="L284" t="inlineStr">
        <is>
          <t>KG</t>
        </is>
      </c>
      <c r="M284" s="44" t="n">
        <v>5357254</v>
      </c>
      <c r="N284" s="44" t="n">
        <v>267863</v>
      </c>
      <c r="O284" t="n">
        <v>0</v>
      </c>
      <c r="P284" s="44" t="n">
        <v>5089391</v>
      </c>
      <c r="Q284" t="inlineStr">
        <is>
          <t>KRW</t>
        </is>
      </c>
      <c r="R284" t="inlineStr">
        <is>
          <t>INV2506-00283</t>
        </is>
      </c>
      <c r="S284" t="inlineStr">
        <is>
          <t>※예시데이터</t>
        </is>
      </c>
    </row>
    <row r="285">
      <c r="A285" t="n">
        <v>1000</v>
      </c>
      <c r="B285" t="inlineStr">
        <is>
          <t>EP사업부</t>
        </is>
      </c>
      <c r="C285" t="inlineStr">
        <is>
          <t>국내영업2팀</t>
        </is>
      </c>
      <c r="D285" t="inlineStr">
        <is>
          <t>C10085</t>
        </is>
      </c>
      <c r="E285" t="inlineStr">
        <is>
          <t>파란하이텍</t>
        </is>
      </c>
      <c r="F285" t="inlineStr">
        <is>
          <t>PC</t>
        </is>
      </c>
      <c r="G285" t="inlineStr">
        <is>
          <t>M-2202</t>
        </is>
      </c>
      <c r="H285" t="inlineStr">
        <is>
          <t>PC 난연 FR200</t>
        </is>
      </c>
      <c r="I285" s="43" t="n">
        <v>45836</v>
      </c>
      <c r="J285" t="n">
        <v>202506</v>
      </c>
      <c r="K285" s="44" t="n">
        <v>4775</v>
      </c>
      <c r="L285" t="inlineStr">
        <is>
          <t>KG</t>
        </is>
      </c>
      <c r="M285" s="44" t="n">
        <v>20736427</v>
      </c>
      <c r="N285" s="44" t="n">
        <v>1244186</v>
      </c>
      <c r="O285" t="n">
        <v>0</v>
      </c>
      <c r="P285" s="44" t="n">
        <v>19492241</v>
      </c>
      <c r="Q285" t="inlineStr">
        <is>
          <t>KRW</t>
        </is>
      </c>
      <c r="R285" t="inlineStr">
        <is>
          <t>INV2506-00284</t>
        </is>
      </c>
      <c r="S285" t="inlineStr">
        <is>
          <t>※예시데이터</t>
        </is>
      </c>
    </row>
    <row r="286">
      <c r="A286" t="n">
        <v>1000</v>
      </c>
      <c r="B286" t="inlineStr">
        <is>
          <t>범용수지사업부</t>
        </is>
      </c>
      <c r="C286" t="inlineStr">
        <is>
          <t>국내영업1팀</t>
        </is>
      </c>
      <c r="D286" t="inlineStr">
        <is>
          <t>C10106</t>
        </is>
      </c>
      <c r="E286" t="inlineStr">
        <is>
          <t>온새미사출</t>
        </is>
      </c>
      <c r="F286" t="inlineStr">
        <is>
          <t>PP</t>
        </is>
      </c>
      <c r="G286" t="inlineStr">
        <is>
          <t>M-1101</t>
        </is>
      </c>
      <c r="H286" t="inlineStr">
        <is>
          <t>PP 범용사출 H110</t>
        </is>
      </c>
      <c r="I286" s="43" t="n">
        <v>45836</v>
      </c>
      <c r="J286" t="n">
        <v>202506</v>
      </c>
      <c r="K286" s="44" t="n">
        <v>6650</v>
      </c>
      <c r="L286" t="inlineStr">
        <is>
          <t>KG</t>
        </is>
      </c>
      <c r="M286" s="44" t="n">
        <v>10954105</v>
      </c>
      <c r="N286" s="44" t="n">
        <v>547705</v>
      </c>
      <c r="O286" t="n">
        <v>0</v>
      </c>
      <c r="P286" s="44" t="n">
        <v>10406400</v>
      </c>
      <c r="Q286" t="inlineStr">
        <is>
          <t>KRW</t>
        </is>
      </c>
      <c r="R286" t="inlineStr">
        <is>
          <t>INV2506-00285</t>
        </is>
      </c>
      <c r="S286" t="inlineStr">
        <is>
          <t>※예시데이터</t>
        </is>
      </c>
    </row>
    <row r="287">
      <c r="A287" t="n">
        <v>1000</v>
      </c>
      <c r="B287" t="inlineStr">
        <is>
          <t>범용수지사업부</t>
        </is>
      </c>
      <c r="C287" t="inlineStr">
        <is>
          <t>국내영업1팀</t>
        </is>
      </c>
      <c r="D287" t="inlineStr">
        <is>
          <t>C10001</t>
        </is>
      </c>
      <c r="E287" t="inlineStr">
        <is>
          <t>가온소재(주)</t>
        </is>
      </c>
      <c r="F287" t="inlineStr">
        <is>
          <t>PP</t>
        </is>
      </c>
      <c r="G287" t="inlineStr">
        <is>
          <t>M-1103</t>
        </is>
      </c>
      <c r="H287" t="inlineStr">
        <is>
          <t>PP 투명 R330</t>
        </is>
      </c>
      <c r="I287" s="43" t="n">
        <v>45839</v>
      </c>
      <c r="J287" t="n">
        <v>202507</v>
      </c>
      <c r="K287" s="44" t="n">
        <v>4475</v>
      </c>
      <c r="L287" t="inlineStr">
        <is>
          <t>KG</t>
        </is>
      </c>
      <c r="M287" s="44" t="n">
        <v>8715722</v>
      </c>
      <c r="N287" s="44" t="n">
        <v>522943</v>
      </c>
      <c r="O287" t="n">
        <v>0</v>
      </c>
      <c r="P287" s="44" t="n">
        <v>8192779</v>
      </c>
      <c r="Q287" t="inlineStr">
        <is>
          <t>KRW</t>
        </is>
      </c>
      <c r="R287" t="inlineStr">
        <is>
          <t>INV2507-00286</t>
        </is>
      </c>
      <c r="S287" t="inlineStr">
        <is>
          <t>※예시데이터</t>
        </is>
      </c>
    </row>
    <row r="288">
      <c r="A288" t="n">
        <v>1000</v>
      </c>
      <c r="B288" t="inlineStr">
        <is>
          <t>범용수지사업부</t>
        </is>
      </c>
      <c r="C288" t="inlineStr">
        <is>
          <t>국내영업1팀</t>
        </is>
      </c>
      <c r="D288" t="inlineStr">
        <is>
          <t>C10008</t>
        </is>
      </c>
      <c r="E288" t="inlineStr">
        <is>
          <t>나래산업(주)</t>
        </is>
      </c>
      <c r="F288" t="inlineStr">
        <is>
          <t>PP</t>
        </is>
      </c>
      <c r="G288" t="inlineStr">
        <is>
          <t>M-1101</t>
        </is>
      </c>
      <c r="H288" t="inlineStr">
        <is>
          <t>PP 범용사출 H110</t>
        </is>
      </c>
      <c r="I288" s="43" t="n">
        <v>45840</v>
      </c>
      <c r="J288" t="n">
        <v>202507</v>
      </c>
      <c r="K288" s="44" t="n">
        <v>20425</v>
      </c>
      <c r="L288" t="inlineStr">
        <is>
          <t>KG</t>
        </is>
      </c>
      <c r="M288" s="44" t="n">
        <v>33834098</v>
      </c>
      <c r="N288" s="44" t="n">
        <v>2706728</v>
      </c>
      <c r="O288" s="44" t="n">
        <v>338341</v>
      </c>
      <c r="P288" s="44" t="n">
        <v>30789029</v>
      </c>
      <c r="Q288" t="inlineStr">
        <is>
          <t>KRW</t>
        </is>
      </c>
      <c r="R288" t="inlineStr">
        <is>
          <t>INV2507-00287</t>
        </is>
      </c>
      <c r="S288" t="inlineStr">
        <is>
          <t>※예시데이터</t>
        </is>
      </c>
    </row>
    <row r="289">
      <c r="A289" t="n">
        <v>1000</v>
      </c>
      <c r="B289" t="inlineStr">
        <is>
          <t>EP사업부</t>
        </is>
      </c>
      <c r="C289" t="inlineStr">
        <is>
          <t>국내영업2팀</t>
        </is>
      </c>
      <c r="D289" t="inlineStr">
        <is>
          <t>C10015</t>
        </is>
      </c>
      <c r="E289" t="inlineStr">
        <is>
          <t>다솜케미칼</t>
        </is>
      </c>
      <c r="F289" t="inlineStr">
        <is>
          <t>PC</t>
        </is>
      </c>
      <c r="G289" t="inlineStr">
        <is>
          <t>M-2202</t>
        </is>
      </c>
      <c r="H289" t="inlineStr">
        <is>
          <t>PC 난연 FR200</t>
        </is>
      </c>
      <c r="I289" s="43" t="n">
        <v>45841</v>
      </c>
      <c r="J289" t="n">
        <v>202507</v>
      </c>
      <c r="K289" s="44" t="n">
        <v>2850</v>
      </c>
      <c r="L289" t="inlineStr">
        <is>
          <t>KG</t>
        </is>
      </c>
      <c r="M289" s="44" t="n">
        <v>12446370</v>
      </c>
      <c r="N289" s="44" t="n">
        <v>622318</v>
      </c>
      <c r="O289" t="n">
        <v>0</v>
      </c>
      <c r="P289" s="44" t="n">
        <v>11824052</v>
      </c>
      <c r="Q289" t="inlineStr">
        <is>
          <t>KRW</t>
        </is>
      </c>
      <c r="R289" t="inlineStr">
        <is>
          <t>INV2507-00288</t>
        </is>
      </c>
      <c r="S289" t="inlineStr">
        <is>
          <t>※예시데이터</t>
        </is>
      </c>
    </row>
    <row r="290">
      <c r="A290" t="n">
        <v>1000</v>
      </c>
      <c r="B290" t="inlineStr">
        <is>
          <t>EP사업부</t>
        </is>
      </c>
      <c r="C290" t="inlineStr">
        <is>
          <t>국내영업2팀</t>
        </is>
      </c>
      <c r="D290" t="inlineStr">
        <is>
          <t>C10022</t>
        </is>
      </c>
      <c r="E290" t="inlineStr">
        <is>
          <t>라온테크(주)</t>
        </is>
      </c>
      <c r="F290" t="inlineStr">
        <is>
          <t>ABS</t>
        </is>
      </c>
      <c r="G290" t="inlineStr">
        <is>
          <t>M-2101</t>
        </is>
      </c>
      <c r="H290" t="inlineStr">
        <is>
          <t>ABS 범용 G300</t>
        </is>
      </c>
      <c r="I290" s="43" t="n">
        <v>45841</v>
      </c>
      <c r="J290" t="n">
        <v>202507</v>
      </c>
      <c r="K290" s="44" t="n">
        <v>2500</v>
      </c>
      <c r="L290" t="inlineStr">
        <is>
          <t>KG</t>
        </is>
      </c>
      <c r="M290" s="44" t="n">
        <v>6651115</v>
      </c>
      <c r="N290" s="44" t="n">
        <v>465578</v>
      </c>
      <c r="O290" t="n">
        <v>0</v>
      </c>
      <c r="P290" s="44" t="n">
        <v>6185537</v>
      </c>
      <c r="Q290" t="inlineStr">
        <is>
          <t>KRW</t>
        </is>
      </c>
      <c r="R290" t="inlineStr">
        <is>
          <t>INV2507-00289</t>
        </is>
      </c>
      <c r="S290" t="inlineStr">
        <is>
          <t>※예시데이터</t>
        </is>
      </c>
    </row>
    <row r="291">
      <c r="A291" t="n">
        <v>1000</v>
      </c>
      <c r="B291" t="inlineStr">
        <is>
          <t>범용수지사업부</t>
        </is>
      </c>
      <c r="C291" t="inlineStr">
        <is>
          <t>국내영업2팀</t>
        </is>
      </c>
      <c r="D291" t="inlineStr">
        <is>
          <t>C10127</t>
        </is>
      </c>
      <c r="E291" t="inlineStr">
        <is>
          <t>미르패키징</t>
        </is>
      </c>
      <c r="F291" t="inlineStr">
        <is>
          <t>PP</t>
        </is>
      </c>
      <c r="G291" t="inlineStr">
        <is>
          <t>M-1101</t>
        </is>
      </c>
      <c r="H291" t="inlineStr">
        <is>
          <t>PP 범용사출 H110</t>
        </is>
      </c>
      <c r="I291" s="43" t="n">
        <v>45841</v>
      </c>
      <c r="J291" t="n">
        <v>202507</v>
      </c>
      <c r="K291" s="44" t="n">
        <v>1375</v>
      </c>
      <c r="L291" t="inlineStr">
        <is>
          <t>KG</t>
        </is>
      </c>
      <c r="M291" s="44" t="n">
        <v>2277693</v>
      </c>
      <c r="N291" s="44" t="n">
        <v>204992</v>
      </c>
      <c r="O291" t="n">
        <v>0</v>
      </c>
      <c r="P291" s="44" t="n">
        <v>2072701</v>
      </c>
      <c r="Q291" t="inlineStr">
        <is>
          <t>KRW</t>
        </is>
      </c>
      <c r="R291" t="inlineStr">
        <is>
          <t>INV2507-00290</t>
        </is>
      </c>
      <c r="S291" t="inlineStr">
        <is>
          <t>※예시데이터</t>
        </is>
      </c>
    </row>
    <row r="292">
      <c r="A292" t="n">
        <v>1000</v>
      </c>
      <c r="B292" t="inlineStr">
        <is>
          <t>범용수지사업부</t>
        </is>
      </c>
      <c r="C292" t="inlineStr">
        <is>
          <t>국내영업1팀</t>
        </is>
      </c>
      <c r="D292" t="inlineStr">
        <is>
          <t>C10043</t>
        </is>
      </c>
      <c r="E292" t="inlineStr">
        <is>
          <t>새봄플라스틱</t>
        </is>
      </c>
      <c r="F292" t="inlineStr">
        <is>
          <t>PP</t>
        </is>
      </c>
      <c r="G292" t="inlineStr">
        <is>
          <t>M-1103</t>
        </is>
      </c>
      <c r="H292" t="inlineStr">
        <is>
          <t>PP 투명 R330</t>
        </is>
      </c>
      <c r="I292" s="43" t="n">
        <v>45842</v>
      </c>
      <c r="J292" t="n">
        <v>202507</v>
      </c>
      <c r="K292" s="44" t="n">
        <v>3850</v>
      </c>
      <c r="L292" t="inlineStr">
        <is>
          <t>KG</t>
        </is>
      </c>
      <c r="M292" s="44" t="n">
        <v>7498442</v>
      </c>
      <c r="N292" s="44" t="n">
        <v>449907</v>
      </c>
      <c r="O292" t="n">
        <v>0</v>
      </c>
      <c r="P292" s="44" t="n">
        <v>7048535</v>
      </c>
      <c r="Q292" t="inlineStr">
        <is>
          <t>KRW</t>
        </is>
      </c>
      <c r="R292" t="inlineStr">
        <is>
          <t>INV2507-00291</t>
        </is>
      </c>
      <c r="S292" t="inlineStr">
        <is>
          <t>※예시데이터</t>
        </is>
      </c>
    </row>
    <row r="293">
      <c r="A293" t="n">
        <v>1000</v>
      </c>
      <c r="B293" t="inlineStr">
        <is>
          <t>범용수지사업부</t>
        </is>
      </c>
      <c r="C293" t="inlineStr">
        <is>
          <t>국내영업2팀</t>
        </is>
      </c>
      <c r="D293" t="inlineStr">
        <is>
          <t>C10064</t>
        </is>
      </c>
      <c r="E293" t="inlineStr">
        <is>
          <t>차오름산업</t>
        </is>
      </c>
      <c r="F293" t="inlineStr">
        <is>
          <t>PP</t>
        </is>
      </c>
      <c r="G293" t="inlineStr">
        <is>
          <t>M-1103</t>
        </is>
      </c>
      <c r="H293" t="inlineStr">
        <is>
          <t>PP 투명 R330</t>
        </is>
      </c>
      <c r="I293" s="43" t="n">
        <v>45842</v>
      </c>
      <c r="J293" t="n">
        <v>202507</v>
      </c>
      <c r="K293" s="44" t="n">
        <v>1450</v>
      </c>
      <c r="L293" t="inlineStr">
        <is>
          <t>KG</t>
        </is>
      </c>
      <c r="M293" s="44" t="n">
        <v>2824089</v>
      </c>
      <c r="N293" s="44" t="n">
        <v>197686</v>
      </c>
      <c r="O293" t="n">
        <v>0</v>
      </c>
      <c r="P293" s="44" t="n">
        <v>2626403</v>
      </c>
      <c r="Q293" t="inlineStr">
        <is>
          <t>KRW</t>
        </is>
      </c>
      <c r="R293" t="inlineStr">
        <is>
          <t>INV2507-00292</t>
        </is>
      </c>
      <c r="S293" t="inlineStr">
        <is>
          <t>※예시데이터</t>
        </is>
      </c>
    </row>
    <row r="294">
      <c r="A294" t="n">
        <v>1000</v>
      </c>
      <c r="B294" t="inlineStr">
        <is>
          <t>범용수지사업부</t>
        </is>
      </c>
      <c r="C294" t="inlineStr">
        <is>
          <t>국내영업2팀</t>
        </is>
      </c>
      <c r="D294" t="inlineStr">
        <is>
          <t>C10050</t>
        </is>
      </c>
      <c r="E294" t="inlineStr">
        <is>
          <t>아름화학(주)</t>
        </is>
      </c>
      <c r="F294" t="inlineStr">
        <is>
          <t>PE</t>
        </is>
      </c>
      <c r="G294" t="inlineStr">
        <is>
          <t>M-1201</t>
        </is>
      </c>
      <c r="H294" t="inlineStr">
        <is>
          <t>HDPE 블로우 B500</t>
        </is>
      </c>
      <c r="I294" s="43" t="n">
        <v>45844</v>
      </c>
      <c r="J294" t="n">
        <v>202507</v>
      </c>
      <c r="K294" s="44" t="n">
        <v>15800</v>
      </c>
      <c r="L294" t="inlineStr">
        <is>
          <t>KG</t>
        </is>
      </c>
      <c r="M294" s="44" t="n">
        <v>25062406</v>
      </c>
      <c r="N294" s="44" t="n">
        <v>2506241</v>
      </c>
      <c r="O294" s="44" t="n">
        <v>250624</v>
      </c>
      <c r="P294" s="44" t="n">
        <v>22305541</v>
      </c>
      <c r="Q294" t="inlineStr">
        <is>
          <t>KRW</t>
        </is>
      </c>
      <c r="R294" t="inlineStr">
        <is>
          <t>INV2507-00293</t>
        </is>
      </c>
      <c r="S294" t="inlineStr">
        <is>
          <t>※예시데이터</t>
        </is>
      </c>
    </row>
    <row r="295">
      <c r="A295" t="n">
        <v>1000</v>
      </c>
      <c r="B295" t="inlineStr">
        <is>
          <t>EP사업부</t>
        </is>
      </c>
      <c r="C295" t="inlineStr">
        <is>
          <t>국내영업1팀</t>
        </is>
      </c>
      <c r="D295" t="inlineStr">
        <is>
          <t>C10134</t>
        </is>
      </c>
      <c r="E295" t="inlineStr">
        <is>
          <t>별하전자(주)</t>
        </is>
      </c>
      <c r="F295" t="inlineStr">
        <is>
          <t>PC</t>
        </is>
      </c>
      <c r="G295" t="inlineStr">
        <is>
          <t>M-2202</t>
        </is>
      </c>
      <c r="H295" t="inlineStr">
        <is>
          <t>PC 난연 FR200</t>
        </is>
      </c>
      <c r="I295" s="43" t="n">
        <v>45844</v>
      </c>
      <c r="J295" t="n">
        <v>202507</v>
      </c>
      <c r="K295" t="n">
        <v>975</v>
      </c>
      <c r="L295" t="inlineStr">
        <is>
          <t>KG</t>
        </is>
      </c>
      <c r="M295" s="44" t="n">
        <v>4257969</v>
      </c>
      <c r="N295" s="44" t="n">
        <v>127739</v>
      </c>
      <c r="O295" t="n">
        <v>0</v>
      </c>
      <c r="P295" s="44" t="n">
        <v>4130230</v>
      </c>
      <c r="Q295" t="inlineStr">
        <is>
          <t>KRW</t>
        </is>
      </c>
      <c r="R295" t="inlineStr">
        <is>
          <t>INV2507-00294</t>
        </is>
      </c>
      <c r="S295" t="inlineStr">
        <is>
          <t>※예시데이터</t>
        </is>
      </c>
    </row>
    <row r="296">
      <c r="A296" t="n">
        <v>1000</v>
      </c>
      <c r="B296" t="inlineStr">
        <is>
          <t>범용수지사업부</t>
        </is>
      </c>
      <c r="C296" t="inlineStr">
        <is>
          <t>국내영업1팀</t>
        </is>
      </c>
      <c r="D296" t="inlineStr">
        <is>
          <t>C10001</t>
        </is>
      </c>
      <c r="E296" t="inlineStr">
        <is>
          <t>가온소재(주)</t>
        </is>
      </c>
      <c r="F296" t="inlineStr">
        <is>
          <t>PP</t>
        </is>
      </c>
      <c r="G296" t="inlineStr">
        <is>
          <t>M-1102</t>
        </is>
      </c>
      <c r="H296" t="inlineStr">
        <is>
          <t>PP 고강성 H220</t>
        </is>
      </c>
      <c r="I296" s="43" t="n">
        <v>45847</v>
      </c>
      <c r="J296" t="n">
        <v>202507</v>
      </c>
      <c r="K296" s="44" t="n">
        <v>2475</v>
      </c>
      <c r="L296" t="inlineStr">
        <is>
          <t>KG</t>
        </is>
      </c>
      <c r="M296" s="44" t="n">
        <v>4522256</v>
      </c>
      <c r="N296" s="44" t="n">
        <v>271335</v>
      </c>
      <c r="O296" t="n">
        <v>0</v>
      </c>
      <c r="P296" s="44" t="n">
        <v>4250921</v>
      </c>
      <c r="Q296" t="inlineStr">
        <is>
          <t>KRW</t>
        </is>
      </c>
      <c r="R296" t="inlineStr">
        <is>
          <t>INV2507-00295</t>
        </is>
      </c>
      <c r="S296" t="inlineStr">
        <is>
          <t>※예시데이터</t>
        </is>
      </c>
    </row>
    <row r="297">
      <c r="A297" t="n">
        <v>1000</v>
      </c>
      <c r="B297" t="inlineStr">
        <is>
          <t>범용수지사업부</t>
        </is>
      </c>
      <c r="C297" t="inlineStr">
        <is>
          <t>해외영업팀</t>
        </is>
      </c>
      <c r="D297" t="inlineStr">
        <is>
          <t>C10071</t>
        </is>
      </c>
      <c r="E297" t="inlineStr">
        <is>
          <t>큰별코리아</t>
        </is>
      </c>
      <c r="F297" t="inlineStr">
        <is>
          <t>PE</t>
        </is>
      </c>
      <c r="G297" t="inlineStr">
        <is>
          <t>M-1202</t>
        </is>
      </c>
      <c r="H297" t="inlineStr">
        <is>
          <t>LLDPE 필름 F120</t>
        </is>
      </c>
      <c r="I297" s="43" t="n">
        <v>45847</v>
      </c>
      <c r="J297" t="n">
        <v>202507</v>
      </c>
      <c r="K297" s="44" t="n">
        <v>4400</v>
      </c>
      <c r="L297" t="inlineStr">
        <is>
          <t>KG</t>
        </is>
      </c>
      <c r="M297" s="44" t="n">
        <v>7553659</v>
      </c>
      <c r="N297" s="44" t="n">
        <v>830902</v>
      </c>
      <c r="O297" s="44" t="n">
        <v>151073</v>
      </c>
      <c r="P297" s="44" t="n">
        <v>6571684</v>
      </c>
      <c r="Q297" t="inlineStr">
        <is>
          <t>KRW</t>
        </is>
      </c>
      <c r="R297" t="inlineStr">
        <is>
          <t>INV2507-00296</t>
        </is>
      </c>
      <c r="S297" t="inlineStr">
        <is>
          <t>※예시데이터</t>
        </is>
      </c>
    </row>
    <row r="298">
      <c r="A298" t="n">
        <v>1000</v>
      </c>
      <c r="B298" t="inlineStr">
        <is>
          <t>범용수지사업부</t>
        </is>
      </c>
      <c r="C298" t="inlineStr">
        <is>
          <t>국내영업1팀</t>
        </is>
      </c>
      <c r="D298" t="inlineStr">
        <is>
          <t>C10001</t>
        </is>
      </c>
      <c r="E298" t="inlineStr">
        <is>
          <t>가온소재(주)</t>
        </is>
      </c>
      <c r="F298" t="inlineStr">
        <is>
          <t>PP</t>
        </is>
      </c>
      <c r="G298" t="inlineStr">
        <is>
          <t>M-1102</t>
        </is>
      </c>
      <c r="H298" t="inlineStr">
        <is>
          <t>PP 고강성 H220</t>
        </is>
      </c>
      <c r="I298" s="43" t="n">
        <v>45848</v>
      </c>
      <c r="J298" t="n">
        <v>202507</v>
      </c>
      <c r="K298" s="44" t="n">
        <v>2475</v>
      </c>
      <c r="L298" t="inlineStr">
        <is>
          <t>KG</t>
        </is>
      </c>
      <c r="M298" s="44" t="n">
        <v>4522256</v>
      </c>
      <c r="N298" s="44" t="n">
        <v>271335</v>
      </c>
      <c r="O298" t="n">
        <v>0</v>
      </c>
      <c r="P298" s="44" t="n">
        <v>4250921</v>
      </c>
      <c r="Q298" t="inlineStr">
        <is>
          <t>KRW</t>
        </is>
      </c>
      <c r="R298" t="inlineStr">
        <is>
          <t>INV2507-00297</t>
        </is>
      </c>
      <c r="S298" t="inlineStr">
        <is>
          <t>※예시데이터</t>
        </is>
      </c>
    </row>
    <row r="299">
      <c r="A299" t="n">
        <v>1000</v>
      </c>
      <c r="B299" t="inlineStr">
        <is>
          <t>EP사업부</t>
        </is>
      </c>
      <c r="C299" t="inlineStr">
        <is>
          <t>국내영업2팀</t>
        </is>
      </c>
      <c r="D299" t="inlineStr">
        <is>
          <t>C10022</t>
        </is>
      </c>
      <c r="E299" t="inlineStr">
        <is>
          <t>라온테크(주)</t>
        </is>
      </c>
      <c r="F299" t="inlineStr">
        <is>
          <t>ABS</t>
        </is>
      </c>
      <c r="G299" t="inlineStr">
        <is>
          <t>M-2101</t>
        </is>
      </c>
      <c r="H299" t="inlineStr">
        <is>
          <t>ABS 범용 G300</t>
        </is>
      </c>
      <c r="I299" s="43" t="n">
        <v>45848</v>
      </c>
      <c r="J299" t="n">
        <v>202507</v>
      </c>
      <c r="K299" s="44" t="n">
        <v>2500</v>
      </c>
      <c r="L299" t="inlineStr">
        <is>
          <t>KG</t>
        </is>
      </c>
      <c r="M299" s="44" t="n">
        <v>6651115</v>
      </c>
      <c r="N299" s="44" t="n">
        <v>465578</v>
      </c>
      <c r="O299" t="n">
        <v>0</v>
      </c>
      <c r="P299" s="44" t="n">
        <v>6185537</v>
      </c>
      <c r="Q299" t="inlineStr">
        <is>
          <t>KRW</t>
        </is>
      </c>
      <c r="R299" t="inlineStr">
        <is>
          <t>INV2507-00298</t>
        </is>
      </c>
      <c r="S299" t="inlineStr">
        <is>
          <t>※예시데이터</t>
        </is>
      </c>
    </row>
    <row r="300">
      <c r="A300" t="n">
        <v>1000</v>
      </c>
      <c r="B300" t="inlineStr">
        <is>
          <t>EP사업부</t>
        </is>
      </c>
      <c r="C300" t="inlineStr">
        <is>
          <t>국내영업1팀</t>
        </is>
      </c>
      <c r="D300" t="inlineStr">
        <is>
          <t>C10057</t>
        </is>
      </c>
      <c r="E300" t="inlineStr">
        <is>
          <t>자연엠텍</t>
        </is>
      </c>
      <c r="F300" t="inlineStr">
        <is>
          <t>PC</t>
        </is>
      </c>
      <c r="G300" t="inlineStr">
        <is>
          <t>M-2201</t>
        </is>
      </c>
      <c r="H300" t="inlineStr">
        <is>
          <t>PC 일반 C100</t>
        </is>
      </c>
      <c r="I300" s="43" t="n">
        <v>45848</v>
      </c>
      <c r="J300" t="n">
        <v>202507</v>
      </c>
      <c r="K300" s="44" t="n">
        <v>1475</v>
      </c>
      <c r="L300" t="inlineStr">
        <is>
          <t>KG</t>
        </is>
      </c>
      <c r="M300" s="44" t="n">
        <v>5775176</v>
      </c>
      <c r="N300" s="44" t="n">
        <v>288759</v>
      </c>
      <c r="O300" t="n">
        <v>0</v>
      </c>
      <c r="P300" s="44" t="n">
        <v>5486417</v>
      </c>
      <c r="Q300" t="inlineStr">
        <is>
          <t>KRW</t>
        </is>
      </c>
      <c r="R300" t="inlineStr">
        <is>
          <t>INV2507-00299</t>
        </is>
      </c>
      <c r="S300" t="inlineStr">
        <is>
          <t>※예시데이터</t>
        </is>
      </c>
    </row>
    <row r="301">
      <c r="A301" t="n">
        <v>1000</v>
      </c>
      <c r="B301" t="inlineStr">
        <is>
          <t>EP사업부</t>
        </is>
      </c>
      <c r="C301" t="inlineStr">
        <is>
          <t>국내영업2팀</t>
        </is>
      </c>
      <c r="D301" t="inlineStr">
        <is>
          <t>C10015</t>
        </is>
      </c>
      <c r="E301" t="inlineStr">
        <is>
          <t>다솜케미칼</t>
        </is>
      </c>
      <c r="F301" t="inlineStr">
        <is>
          <t>ABS</t>
        </is>
      </c>
      <c r="G301" t="inlineStr">
        <is>
          <t>M-2101</t>
        </is>
      </c>
      <c r="H301" t="inlineStr">
        <is>
          <t>ABS 범용 G300</t>
        </is>
      </c>
      <c r="I301" s="43" t="n">
        <v>45849</v>
      </c>
      <c r="J301" t="n">
        <v>202507</v>
      </c>
      <c r="K301" s="44" t="n">
        <v>2975</v>
      </c>
      <c r="L301" t="inlineStr">
        <is>
          <t>KG</t>
        </is>
      </c>
      <c r="M301" s="44" t="n">
        <v>7914827</v>
      </c>
      <c r="N301" s="44" t="n">
        <v>395741</v>
      </c>
      <c r="O301" t="n">
        <v>0</v>
      </c>
      <c r="P301" s="44" t="n">
        <v>7519086</v>
      </c>
      <c r="Q301" t="inlineStr">
        <is>
          <t>KRW</t>
        </is>
      </c>
      <c r="R301" t="inlineStr">
        <is>
          <t>INV2507-00300</t>
        </is>
      </c>
      <c r="S301" t="inlineStr">
        <is>
          <t>※예시데이터</t>
        </is>
      </c>
    </row>
    <row r="302">
      <c r="A302" t="n">
        <v>1000</v>
      </c>
      <c r="B302" t="inlineStr">
        <is>
          <t>EP사업부</t>
        </is>
      </c>
      <c r="C302" t="inlineStr">
        <is>
          <t>국내영업1팀</t>
        </is>
      </c>
      <c r="D302" t="inlineStr">
        <is>
          <t>C10057</t>
        </is>
      </c>
      <c r="E302" t="inlineStr">
        <is>
          <t>자연엠텍</t>
        </is>
      </c>
      <c r="F302" t="inlineStr">
        <is>
          <t>PC</t>
        </is>
      </c>
      <c r="G302" t="inlineStr">
        <is>
          <t>M-2201</t>
        </is>
      </c>
      <c r="H302" t="inlineStr">
        <is>
          <t>PC 일반 C100</t>
        </is>
      </c>
      <c r="I302" s="43" t="n">
        <v>45849</v>
      </c>
      <c r="J302" t="n">
        <v>202507</v>
      </c>
      <c r="K302" s="44" t="n">
        <v>1475</v>
      </c>
      <c r="L302" t="inlineStr">
        <is>
          <t>KG</t>
        </is>
      </c>
      <c r="M302" s="44" t="n">
        <v>5775176</v>
      </c>
      <c r="N302" s="44" t="n">
        <v>288759</v>
      </c>
      <c r="O302" t="n">
        <v>0</v>
      </c>
      <c r="P302" s="44" t="n">
        <v>5486417</v>
      </c>
      <c r="Q302" t="inlineStr">
        <is>
          <t>KRW</t>
        </is>
      </c>
      <c r="R302" t="inlineStr">
        <is>
          <t>INV2507-00301</t>
        </is>
      </c>
      <c r="S302" t="inlineStr">
        <is>
          <t>※예시데이터</t>
        </is>
      </c>
    </row>
    <row r="303">
      <c r="A303" t="n">
        <v>1000</v>
      </c>
      <c r="B303" t="inlineStr">
        <is>
          <t>범용수지사업부</t>
        </is>
      </c>
      <c r="C303" t="inlineStr">
        <is>
          <t>국내영업2팀</t>
        </is>
      </c>
      <c r="D303" t="inlineStr">
        <is>
          <t>C10127</t>
        </is>
      </c>
      <c r="E303" t="inlineStr">
        <is>
          <t>미르패키징</t>
        </is>
      </c>
      <c r="F303" t="inlineStr">
        <is>
          <t>PE</t>
        </is>
      </c>
      <c r="G303" t="inlineStr">
        <is>
          <t>M-1201</t>
        </is>
      </c>
      <c r="H303" t="inlineStr">
        <is>
          <t>HDPE 블로우 B500</t>
        </is>
      </c>
      <c r="I303" s="43" t="n">
        <v>45849</v>
      </c>
      <c r="J303" t="n">
        <v>202507</v>
      </c>
      <c r="K303" s="44" t="n">
        <v>3275</v>
      </c>
      <c r="L303" t="inlineStr">
        <is>
          <t>KG</t>
        </is>
      </c>
      <c r="M303" s="44" t="n">
        <v>5194897</v>
      </c>
      <c r="N303" s="44" t="n">
        <v>467541</v>
      </c>
      <c r="O303" t="n">
        <v>0</v>
      </c>
      <c r="P303" s="44" t="n">
        <v>4727356</v>
      </c>
      <c r="Q303" t="inlineStr">
        <is>
          <t>KRW</t>
        </is>
      </c>
      <c r="R303" t="inlineStr">
        <is>
          <t>INV2507-00302</t>
        </is>
      </c>
      <c r="S303" t="inlineStr">
        <is>
          <t>※예시데이터</t>
        </is>
      </c>
    </row>
    <row r="304">
      <c r="A304" t="n">
        <v>1000</v>
      </c>
      <c r="B304" t="inlineStr">
        <is>
          <t>범용수지사업부</t>
        </is>
      </c>
      <c r="C304" t="inlineStr">
        <is>
          <t>국내영업2팀</t>
        </is>
      </c>
      <c r="D304" t="inlineStr">
        <is>
          <t>C10099</t>
        </is>
      </c>
      <c r="E304" t="inlineStr">
        <is>
          <t>한울몰드</t>
        </is>
      </c>
      <c r="F304" t="inlineStr">
        <is>
          <t>PP</t>
        </is>
      </c>
      <c r="G304" t="inlineStr">
        <is>
          <t>M-1101</t>
        </is>
      </c>
      <c r="H304" t="inlineStr">
        <is>
          <t>PP 범용사출 H110</t>
        </is>
      </c>
      <c r="I304" s="43" t="n">
        <v>45850</v>
      </c>
      <c r="J304" t="n">
        <v>202507</v>
      </c>
      <c r="K304" s="44" t="n">
        <v>1350</v>
      </c>
      <c r="L304" t="inlineStr">
        <is>
          <t>KG</t>
        </is>
      </c>
      <c r="M304" s="44" t="n">
        <v>2236281</v>
      </c>
      <c r="N304" s="44" t="n">
        <v>134177</v>
      </c>
      <c r="O304" t="n">
        <v>0</v>
      </c>
      <c r="P304" s="44" t="n">
        <v>2102104</v>
      </c>
      <c r="Q304" t="inlineStr">
        <is>
          <t>KRW</t>
        </is>
      </c>
      <c r="R304" t="inlineStr">
        <is>
          <t>INV2507-00303</t>
        </is>
      </c>
      <c r="S304" t="inlineStr">
        <is>
          <t>※예시데이터</t>
        </is>
      </c>
    </row>
    <row r="305">
      <c r="A305" t="n">
        <v>1000</v>
      </c>
      <c r="B305" t="inlineStr">
        <is>
          <t>범용수지사업부</t>
        </is>
      </c>
      <c r="C305" t="inlineStr">
        <is>
          <t>국내영업1팀</t>
        </is>
      </c>
      <c r="D305" t="inlineStr">
        <is>
          <t>C10106</t>
        </is>
      </c>
      <c r="E305" t="inlineStr">
        <is>
          <t>온새미사출</t>
        </is>
      </c>
      <c r="F305" t="inlineStr">
        <is>
          <t>PP</t>
        </is>
      </c>
      <c r="G305" t="inlineStr">
        <is>
          <t>M-1101</t>
        </is>
      </c>
      <c r="H305" t="inlineStr">
        <is>
          <t>PP 범용사출 H110</t>
        </is>
      </c>
      <c r="I305" s="43" t="n">
        <v>45850</v>
      </c>
      <c r="J305" t="n">
        <v>202507</v>
      </c>
      <c r="K305" s="44" t="n">
        <v>8725</v>
      </c>
      <c r="L305" t="inlineStr">
        <is>
          <t>KG</t>
        </is>
      </c>
      <c r="M305" s="44" t="n">
        <v>14452999</v>
      </c>
      <c r="N305" s="44" t="n">
        <v>722650</v>
      </c>
      <c r="O305" t="n">
        <v>0</v>
      </c>
      <c r="P305" s="44" t="n">
        <v>13730349</v>
      </c>
      <c r="Q305" t="inlineStr">
        <is>
          <t>KRW</t>
        </is>
      </c>
      <c r="R305" t="inlineStr">
        <is>
          <t>INV2507-00304</t>
        </is>
      </c>
      <c r="S305" t="inlineStr">
        <is>
          <t>※예시데이터</t>
        </is>
      </c>
    </row>
    <row r="306">
      <c r="A306" t="n">
        <v>1000</v>
      </c>
      <c r="B306" t="inlineStr">
        <is>
          <t>범용수지사업부</t>
        </is>
      </c>
      <c r="C306" t="inlineStr">
        <is>
          <t>국내영업2팀</t>
        </is>
      </c>
      <c r="D306" t="inlineStr">
        <is>
          <t>C10050</t>
        </is>
      </c>
      <c r="E306" t="inlineStr">
        <is>
          <t>아름화학(주)</t>
        </is>
      </c>
      <c r="F306" t="inlineStr">
        <is>
          <t>PP</t>
        </is>
      </c>
      <c r="G306" t="inlineStr">
        <is>
          <t>M-1103</t>
        </is>
      </c>
      <c r="H306" t="inlineStr">
        <is>
          <t>PP 투명 R330</t>
        </is>
      </c>
      <c r="I306" s="43" t="n">
        <v>45851</v>
      </c>
      <c r="J306" t="n">
        <v>202507</v>
      </c>
      <c r="K306" s="44" t="n">
        <v>13450</v>
      </c>
      <c r="L306" t="inlineStr">
        <is>
          <t>KG</t>
        </is>
      </c>
      <c r="M306" s="44" t="n">
        <v>26195857</v>
      </c>
      <c r="N306" s="44" t="n">
        <v>2619586</v>
      </c>
      <c r="O306" s="44" t="n">
        <v>261959</v>
      </c>
      <c r="P306" s="44" t="n">
        <v>23314312</v>
      </c>
      <c r="Q306" t="inlineStr">
        <is>
          <t>KRW</t>
        </is>
      </c>
      <c r="R306" t="inlineStr">
        <is>
          <t>INV2507-00305</t>
        </is>
      </c>
      <c r="S306" t="inlineStr">
        <is>
          <t>※예시데이터</t>
        </is>
      </c>
    </row>
    <row r="307">
      <c r="A307" t="n">
        <v>1000</v>
      </c>
      <c r="B307" t="inlineStr">
        <is>
          <t>EP사업부</t>
        </is>
      </c>
      <c r="C307" t="inlineStr">
        <is>
          <t>국내영업2팀</t>
        </is>
      </c>
      <c r="D307" t="inlineStr">
        <is>
          <t>C10015</t>
        </is>
      </c>
      <c r="E307" t="inlineStr">
        <is>
          <t>다솜케미칼</t>
        </is>
      </c>
      <c r="F307" t="inlineStr">
        <is>
          <t>PC</t>
        </is>
      </c>
      <c r="G307" t="inlineStr">
        <is>
          <t>M-2201</t>
        </is>
      </c>
      <c r="H307" t="inlineStr">
        <is>
          <t>PC 일반 C100</t>
        </is>
      </c>
      <c r="I307" s="43" t="n">
        <v>45852</v>
      </c>
      <c r="J307" t="n">
        <v>202507</v>
      </c>
      <c r="K307" s="44" t="n">
        <v>2500</v>
      </c>
      <c r="L307" t="inlineStr">
        <is>
          <t>KG</t>
        </is>
      </c>
      <c r="M307" s="44" t="n">
        <v>9788434</v>
      </c>
      <c r="N307" s="44" t="n">
        <v>489422</v>
      </c>
      <c r="O307" t="n">
        <v>0</v>
      </c>
      <c r="P307" s="44" t="n">
        <v>9299012</v>
      </c>
      <c r="Q307" t="inlineStr">
        <is>
          <t>KRW</t>
        </is>
      </c>
      <c r="R307" t="inlineStr">
        <is>
          <t>INV2507-00306</t>
        </is>
      </c>
      <c r="S307" t="inlineStr">
        <is>
          <t>※예시데이터</t>
        </is>
      </c>
    </row>
    <row r="308">
      <c r="A308" t="n">
        <v>1000</v>
      </c>
      <c r="B308" t="inlineStr">
        <is>
          <t>범용수지사업부</t>
        </is>
      </c>
      <c r="C308" t="inlineStr">
        <is>
          <t>해외영업팀</t>
        </is>
      </c>
      <c r="D308" t="inlineStr">
        <is>
          <t>C10141</t>
        </is>
      </c>
      <c r="E308" t="inlineStr">
        <is>
          <t>Sinar Plastik (ID)</t>
        </is>
      </c>
      <c r="F308" t="inlineStr">
        <is>
          <t>PP</t>
        </is>
      </c>
      <c r="G308" t="inlineStr">
        <is>
          <t>M-1103</t>
        </is>
      </c>
      <c r="H308" t="inlineStr">
        <is>
          <t>PP 투명 R330</t>
        </is>
      </c>
      <c r="I308" s="43" t="n">
        <v>45852</v>
      </c>
      <c r="J308" t="n">
        <v>202507</v>
      </c>
      <c r="K308" s="44" t="n">
        <v>15775</v>
      </c>
      <c r="L308" t="inlineStr">
        <is>
          <t>KG</t>
        </is>
      </c>
      <c r="M308" s="44" t="n">
        <v>30724137</v>
      </c>
      <c r="N308" s="44" t="n">
        <v>3686896</v>
      </c>
      <c r="O308" t="n">
        <v>0</v>
      </c>
      <c r="P308" s="44" t="n">
        <v>27037241</v>
      </c>
      <c r="Q308" t="inlineStr">
        <is>
          <t>KRW</t>
        </is>
      </c>
      <c r="R308" t="inlineStr">
        <is>
          <t>INV2507-00307</t>
        </is>
      </c>
      <c r="S308" t="inlineStr">
        <is>
          <t>※예시데이터</t>
        </is>
      </c>
    </row>
    <row r="309">
      <c r="A309" t="n">
        <v>1000</v>
      </c>
      <c r="B309" t="inlineStr">
        <is>
          <t>범용수지사업부</t>
        </is>
      </c>
      <c r="C309" t="inlineStr">
        <is>
          <t>국내영업1팀</t>
        </is>
      </c>
      <c r="D309" t="inlineStr">
        <is>
          <t>C10001</t>
        </is>
      </c>
      <c r="E309" t="inlineStr">
        <is>
          <t>가온소재(주)</t>
        </is>
      </c>
      <c r="F309" t="inlineStr">
        <is>
          <t>PE</t>
        </is>
      </c>
      <c r="G309" t="inlineStr">
        <is>
          <t>M-1202</t>
        </is>
      </c>
      <c r="H309" t="inlineStr">
        <is>
          <t>LLDPE 필름 F120</t>
        </is>
      </c>
      <c r="I309" s="43" t="n">
        <v>45853</v>
      </c>
      <c r="J309" t="n">
        <v>202507</v>
      </c>
      <c r="K309" s="44" t="n">
        <v>4575</v>
      </c>
      <c r="L309" t="inlineStr">
        <is>
          <t>KG</t>
        </is>
      </c>
      <c r="M309" s="44" t="n">
        <v>7854089</v>
      </c>
      <c r="N309" s="44" t="n">
        <v>471245</v>
      </c>
      <c r="O309" t="n">
        <v>0</v>
      </c>
      <c r="P309" s="44" t="n">
        <v>7382844</v>
      </c>
      <c r="Q309" t="inlineStr">
        <is>
          <t>KRW</t>
        </is>
      </c>
      <c r="R309" t="inlineStr">
        <is>
          <t>INV2507-00308</t>
        </is>
      </c>
      <c r="S309" t="inlineStr">
        <is>
          <t>※예시데이터</t>
        </is>
      </c>
    </row>
    <row r="310">
      <c r="A310" t="n">
        <v>1000</v>
      </c>
      <c r="B310" t="inlineStr">
        <is>
          <t>EP사업부</t>
        </is>
      </c>
      <c r="C310" t="inlineStr">
        <is>
          <t>국내영업2팀</t>
        </is>
      </c>
      <c r="D310" t="inlineStr">
        <is>
          <t>C10099</t>
        </is>
      </c>
      <c r="E310" t="inlineStr">
        <is>
          <t>한울몰드</t>
        </is>
      </c>
      <c r="F310" t="inlineStr">
        <is>
          <t>ABS</t>
        </is>
      </c>
      <c r="G310" t="inlineStr">
        <is>
          <t>M-2102</t>
        </is>
      </c>
      <c r="H310" t="inlineStr">
        <is>
          <t>ABS 내열 HR500</t>
        </is>
      </c>
      <c r="I310" s="43" t="n">
        <v>45853</v>
      </c>
      <c r="J310" t="n">
        <v>202507</v>
      </c>
      <c r="K310" s="44" t="n">
        <v>1725</v>
      </c>
      <c r="L310" t="inlineStr">
        <is>
          <t>KG</t>
        </is>
      </c>
      <c r="M310" s="44" t="n">
        <v>5160763</v>
      </c>
      <c r="N310" s="44" t="n">
        <v>309646</v>
      </c>
      <c r="O310" t="n">
        <v>0</v>
      </c>
      <c r="P310" s="44" t="n">
        <v>4851117</v>
      </c>
      <c r="Q310" t="inlineStr">
        <is>
          <t>KRW</t>
        </is>
      </c>
      <c r="R310" t="inlineStr">
        <is>
          <t>INV2507-00309</t>
        </is>
      </c>
      <c r="S310" t="inlineStr">
        <is>
          <t>※예시데이터</t>
        </is>
      </c>
    </row>
    <row r="311">
      <c r="A311" t="n">
        <v>1000</v>
      </c>
      <c r="B311" t="inlineStr">
        <is>
          <t>EP사업부</t>
        </is>
      </c>
      <c r="C311" t="inlineStr">
        <is>
          <t>국내영업1팀</t>
        </is>
      </c>
      <c r="D311" t="inlineStr">
        <is>
          <t>C10134</t>
        </is>
      </c>
      <c r="E311" t="inlineStr">
        <is>
          <t>별하전자(주)</t>
        </is>
      </c>
      <c r="F311" t="inlineStr">
        <is>
          <t>PC</t>
        </is>
      </c>
      <c r="G311" t="inlineStr">
        <is>
          <t>M-2201</t>
        </is>
      </c>
      <c r="H311" t="inlineStr">
        <is>
          <t>PC 일반 C100</t>
        </is>
      </c>
      <c r="I311" s="43" t="n">
        <v>45853</v>
      </c>
      <c r="J311" t="n">
        <v>202507</v>
      </c>
      <c r="K311" t="n">
        <v>950</v>
      </c>
      <c r="L311" t="inlineStr">
        <is>
          <t>KG</t>
        </is>
      </c>
      <c r="M311" s="44" t="n">
        <v>3719605</v>
      </c>
      <c r="N311" s="44" t="n">
        <v>111588</v>
      </c>
      <c r="O311" t="n">
        <v>0</v>
      </c>
      <c r="P311" s="44" t="n">
        <v>3608017</v>
      </c>
      <c r="Q311" t="inlineStr">
        <is>
          <t>KRW</t>
        </is>
      </c>
      <c r="R311" t="inlineStr">
        <is>
          <t>INV2507-00310</t>
        </is>
      </c>
      <c r="S311" t="inlineStr">
        <is>
          <t>※예시데이터</t>
        </is>
      </c>
    </row>
    <row r="312">
      <c r="A312" t="n">
        <v>1000</v>
      </c>
      <c r="B312" t="inlineStr">
        <is>
          <t>범용수지사업부</t>
        </is>
      </c>
      <c r="C312" t="inlineStr">
        <is>
          <t>국내영업2팀</t>
        </is>
      </c>
      <c r="D312" t="inlineStr">
        <is>
          <t>C10036</t>
        </is>
      </c>
      <c r="E312" t="inlineStr">
        <is>
          <t>바른물산</t>
        </is>
      </c>
      <c r="F312" t="inlineStr">
        <is>
          <t>PE</t>
        </is>
      </c>
      <c r="G312" t="inlineStr">
        <is>
          <t>M-1201</t>
        </is>
      </c>
      <c r="H312" t="inlineStr">
        <is>
          <t>HDPE 블로우 B500</t>
        </is>
      </c>
      <c r="I312" s="43" t="n">
        <v>45854</v>
      </c>
      <c r="J312" t="n">
        <v>202507</v>
      </c>
      <c r="K312" s="44" t="n">
        <v>13925</v>
      </c>
      <c r="L312" t="inlineStr">
        <is>
          <t>KG</t>
        </is>
      </c>
      <c r="M312" s="44" t="n">
        <v>22088228</v>
      </c>
      <c r="N312" s="44" t="n">
        <v>1987941</v>
      </c>
      <c r="O312" s="44" t="n">
        <v>441765</v>
      </c>
      <c r="P312" s="44" t="n">
        <v>19658522</v>
      </c>
      <c r="Q312" t="inlineStr">
        <is>
          <t>KRW</t>
        </is>
      </c>
      <c r="R312" t="inlineStr">
        <is>
          <t>INV2507-00311</t>
        </is>
      </c>
      <c r="S312" t="inlineStr">
        <is>
          <t>※예시데이터</t>
        </is>
      </c>
    </row>
    <row r="313">
      <c r="A313" t="n">
        <v>1000</v>
      </c>
      <c r="B313" t="inlineStr">
        <is>
          <t>EP사업부</t>
        </is>
      </c>
      <c r="C313" t="inlineStr">
        <is>
          <t>국내영업2팀</t>
        </is>
      </c>
      <c r="D313" t="inlineStr">
        <is>
          <t>C10085</t>
        </is>
      </c>
      <c r="E313" t="inlineStr">
        <is>
          <t>파란하이텍</t>
        </is>
      </c>
      <c r="F313" t="inlineStr">
        <is>
          <t>PC</t>
        </is>
      </c>
      <c r="G313" t="inlineStr">
        <is>
          <t>M-2202</t>
        </is>
      </c>
      <c r="H313" t="inlineStr">
        <is>
          <t>PC 난연 FR200</t>
        </is>
      </c>
      <c r="I313" s="43" t="n">
        <v>45854</v>
      </c>
      <c r="J313" t="n">
        <v>202507</v>
      </c>
      <c r="K313" s="44" t="n">
        <v>2125</v>
      </c>
      <c r="L313" t="inlineStr">
        <is>
          <t>KG</t>
        </is>
      </c>
      <c r="M313" s="44" t="n">
        <v>9280188</v>
      </c>
      <c r="N313" s="44" t="n">
        <v>556811</v>
      </c>
      <c r="O313" t="n">
        <v>0</v>
      </c>
      <c r="P313" s="44" t="n">
        <v>8723377</v>
      </c>
      <c r="Q313" t="inlineStr">
        <is>
          <t>KRW</t>
        </is>
      </c>
      <c r="R313" t="inlineStr">
        <is>
          <t>INV2507-00312</t>
        </is>
      </c>
      <c r="S313" t="inlineStr">
        <is>
          <t>※예시데이터</t>
        </is>
      </c>
    </row>
    <row r="314">
      <c r="A314" t="n">
        <v>1000</v>
      </c>
      <c r="B314" t="inlineStr">
        <is>
          <t>범용수지사업부</t>
        </is>
      </c>
      <c r="C314" t="inlineStr">
        <is>
          <t>해외영업팀</t>
        </is>
      </c>
      <c r="D314" t="inlineStr">
        <is>
          <t>C10071</t>
        </is>
      </c>
      <c r="E314" t="inlineStr">
        <is>
          <t>큰별코리아</t>
        </is>
      </c>
      <c r="F314" t="inlineStr">
        <is>
          <t>PP</t>
        </is>
      </c>
      <c r="G314" t="inlineStr">
        <is>
          <t>M-1101</t>
        </is>
      </c>
      <c r="H314" t="inlineStr">
        <is>
          <t>PP 범용사출 H110</t>
        </is>
      </c>
      <c r="I314" s="43" t="n">
        <v>45855</v>
      </c>
      <c r="J314" t="n">
        <v>202507</v>
      </c>
      <c r="K314" s="44" t="n">
        <v>11650</v>
      </c>
      <c r="L314" t="inlineStr">
        <is>
          <t>KG</t>
        </is>
      </c>
      <c r="M314" s="44" t="n">
        <v>19298274</v>
      </c>
      <c r="N314" s="44" t="n">
        <v>2122810</v>
      </c>
      <c r="O314" s="44" t="n">
        <v>385965</v>
      </c>
      <c r="P314" s="44" t="n">
        <v>16789499</v>
      </c>
      <c r="Q314" t="inlineStr">
        <is>
          <t>KRW</t>
        </is>
      </c>
      <c r="R314" t="inlineStr">
        <is>
          <t>INV2507-00313</t>
        </is>
      </c>
      <c r="S314" t="inlineStr">
        <is>
          <t>※예시데이터</t>
        </is>
      </c>
    </row>
    <row r="315">
      <c r="A315" t="n">
        <v>1000</v>
      </c>
      <c r="B315" t="inlineStr">
        <is>
          <t>EP사업부</t>
        </is>
      </c>
      <c r="C315" t="inlineStr">
        <is>
          <t>국내영업2팀</t>
        </is>
      </c>
      <c r="D315" t="inlineStr">
        <is>
          <t>C10022</t>
        </is>
      </c>
      <c r="E315" t="inlineStr">
        <is>
          <t>라온테크(주)</t>
        </is>
      </c>
      <c r="F315" t="inlineStr">
        <is>
          <t>ABS</t>
        </is>
      </c>
      <c r="G315" t="inlineStr">
        <is>
          <t>M-2102</t>
        </is>
      </c>
      <c r="H315" t="inlineStr">
        <is>
          <t>ABS 내열 HR500</t>
        </is>
      </c>
      <c r="I315" s="43" t="n">
        <v>45856</v>
      </c>
      <c r="J315" t="n">
        <v>202507</v>
      </c>
      <c r="K315" s="44" t="n">
        <v>5300</v>
      </c>
      <c r="L315" t="inlineStr">
        <is>
          <t>KG</t>
        </is>
      </c>
      <c r="M315" s="44" t="n">
        <v>15856259</v>
      </c>
      <c r="N315" s="44" t="n">
        <v>1109938</v>
      </c>
      <c r="O315" t="n">
        <v>0</v>
      </c>
      <c r="P315" s="44" t="n">
        <v>14746321</v>
      </c>
      <c r="Q315" t="inlineStr">
        <is>
          <t>KRW</t>
        </is>
      </c>
      <c r="R315" t="inlineStr">
        <is>
          <t>INV2507-00314</t>
        </is>
      </c>
      <c r="S315" t="inlineStr">
        <is>
          <t>※예시데이터</t>
        </is>
      </c>
    </row>
    <row r="316">
      <c r="A316" t="n">
        <v>1000</v>
      </c>
      <c r="B316" t="inlineStr">
        <is>
          <t>EP사업부</t>
        </is>
      </c>
      <c r="C316" t="inlineStr">
        <is>
          <t>국내영업2팀</t>
        </is>
      </c>
      <c r="D316" t="inlineStr">
        <is>
          <t>C10113</t>
        </is>
      </c>
      <c r="E316" t="inlineStr">
        <is>
          <t>누리오토파츠</t>
        </is>
      </c>
      <c r="F316" t="inlineStr">
        <is>
          <t>ABS</t>
        </is>
      </c>
      <c r="G316" t="inlineStr">
        <is>
          <t>M-2102</t>
        </is>
      </c>
      <c r="H316" t="inlineStr">
        <is>
          <t>ABS 내열 HR500</t>
        </is>
      </c>
      <c r="I316" s="43" t="n">
        <v>45856</v>
      </c>
      <c r="J316" t="n">
        <v>202507</v>
      </c>
      <c r="K316" s="44" t="n">
        <v>2700</v>
      </c>
      <c r="L316" t="inlineStr">
        <is>
          <t>KG</t>
        </is>
      </c>
      <c r="M316" s="44" t="n">
        <v>8077717</v>
      </c>
      <c r="N316" s="44" t="n">
        <v>565440</v>
      </c>
      <c r="O316" s="44" t="n">
        <v>80777</v>
      </c>
      <c r="P316" s="44" t="n">
        <v>7431500</v>
      </c>
      <c r="Q316" t="inlineStr">
        <is>
          <t>KRW</t>
        </is>
      </c>
      <c r="R316" t="inlineStr">
        <is>
          <t>INV2507-00315</t>
        </is>
      </c>
      <c r="S316" t="inlineStr">
        <is>
          <t>※예시데이터</t>
        </is>
      </c>
    </row>
    <row r="317">
      <c r="A317" t="n">
        <v>1000</v>
      </c>
      <c r="B317" t="inlineStr">
        <is>
          <t>EP사업부</t>
        </is>
      </c>
      <c r="C317" t="inlineStr">
        <is>
          <t>국내영업2팀</t>
        </is>
      </c>
      <c r="D317" t="inlineStr">
        <is>
          <t>C10099</t>
        </is>
      </c>
      <c r="E317" t="inlineStr">
        <is>
          <t>한울몰드</t>
        </is>
      </c>
      <c r="F317" t="inlineStr">
        <is>
          <t>ABS</t>
        </is>
      </c>
      <c r="G317" t="inlineStr">
        <is>
          <t>M-2102</t>
        </is>
      </c>
      <c r="H317" t="inlineStr">
        <is>
          <t>ABS 내열 HR500</t>
        </is>
      </c>
      <c r="I317" s="43" t="n">
        <v>45857</v>
      </c>
      <c r="J317" t="n">
        <v>202507</v>
      </c>
      <c r="K317" s="44" t="n">
        <v>1725</v>
      </c>
      <c r="L317" t="inlineStr">
        <is>
          <t>KG</t>
        </is>
      </c>
      <c r="M317" s="44" t="n">
        <v>5160763</v>
      </c>
      <c r="N317" s="44" t="n">
        <v>309646</v>
      </c>
      <c r="O317" t="n">
        <v>0</v>
      </c>
      <c r="P317" s="44" t="n">
        <v>4851117</v>
      </c>
      <c r="Q317" t="inlineStr">
        <is>
          <t>KRW</t>
        </is>
      </c>
      <c r="R317" t="inlineStr">
        <is>
          <t>INV2507-00316</t>
        </is>
      </c>
      <c r="S317" t="inlineStr">
        <is>
          <t>※예시데이터</t>
        </is>
      </c>
    </row>
    <row r="318">
      <c r="A318" t="n">
        <v>1000</v>
      </c>
      <c r="B318" t="inlineStr">
        <is>
          <t>EP사업부</t>
        </is>
      </c>
      <c r="C318" t="inlineStr">
        <is>
          <t>국내영업1팀</t>
        </is>
      </c>
      <c r="D318" t="inlineStr">
        <is>
          <t>C10029</t>
        </is>
      </c>
      <c r="E318" t="inlineStr">
        <is>
          <t>마루정밀</t>
        </is>
      </c>
      <c r="F318" t="inlineStr">
        <is>
          <t>PC</t>
        </is>
      </c>
      <c r="G318" t="inlineStr">
        <is>
          <t>M-2201</t>
        </is>
      </c>
      <c r="H318" t="inlineStr">
        <is>
          <t>PC 일반 C100</t>
        </is>
      </c>
      <c r="I318" s="43" t="n">
        <v>45858</v>
      </c>
      <c r="J318" t="n">
        <v>202507</v>
      </c>
      <c r="K318" s="44" t="n">
        <v>5025</v>
      </c>
      <c r="L318" t="inlineStr">
        <is>
          <t>KG</t>
        </is>
      </c>
      <c r="M318" s="44" t="n">
        <v>19674752</v>
      </c>
      <c r="N318" s="44" t="n">
        <v>786990</v>
      </c>
      <c r="O318" t="n">
        <v>0</v>
      </c>
      <c r="P318" s="44" t="n">
        <v>18887762</v>
      </c>
      <c r="Q318" t="inlineStr">
        <is>
          <t>KRW</t>
        </is>
      </c>
      <c r="R318" t="inlineStr">
        <is>
          <t>INV2507-00317</t>
        </is>
      </c>
      <c r="S318" t="inlineStr">
        <is>
          <t>※예시데이터</t>
        </is>
      </c>
    </row>
    <row r="319">
      <c r="A319" t="n">
        <v>1000</v>
      </c>
      <c r="B319" t="inlineStr">
        <is>
          <t>범용수지사업부</t>
        </is>
      </c>
      <c r="C319" t="inlineStr">
        <is>
          <t>국내영업1팀</t>
        </is>
      </c>
      <c r="D319" t="inlineStr">
        <is>
          <t>C10092</t>
        </is>
      </c>
      <c r="E319" t="inlineStr">
        <is>
          <t>하늘포장(주)</t>
        </is>
      </c>
      <c r="F319" t="inlineStr">
        <is>
          <t>PE</t>
        </is>
      </c>
      <c r="G319" t="inlineStr">
        <is>
          <t>M-1201</t>
        </is>
      </c>
      <c r="H319" t="inlineStr">
        <is>
          <t>HDPE 블로우 B500</t>
        </is>
      </c>
      <c r="I319" s="43" t="n">
        <v>45858</v>
      </c>
      <c r="J319" t="n">
        <v>202507</v>
      </c>
      <c r="K319" s="44" t="n">
        <v>20400</v>
      </c>
      <c r="L319" t="inlineStr">
        <is>
          <t>KG</t>
        </is>
      </c>
      <c r="M319" s="44" t="n">
        <v>32359056</v>
      </c>
      <c r="N319" s="44" t="n">
        <v>2588724</v>
      </c>
      <c r="O319" t="n">
        <v>0</v>
      </c>
      <c r="P319" s="44" t="n">
        <v>29770332</v>
      </c>
      <c r="Q319" t="inlineStr">
        <is>
          <t>KRW</t>
        </is>
      </c>
      <c r="R319" t="inlineStr">
        <is>
          <t>INV2507-00318</t>
        </is>
      </c>
      <c r="S319" t="inlineStr">
        <is>
          <t>※예시데이터</t>
        </is>
      </c>
    </row>
    <row r="320">
      <c r="A320" t="n">
        <v>1000</v>
      </c>
      <c r="B320" t="inlineStr">
        <is>
          <t>범용수지사업부</t>
        </is>
      </c>
      <c r="C320" t="inlineStr">
        <is>
          <t>해외영업팀</t>
        </is>
      </c>
      <c r="D320" t="inlineStr">
        <is>
          <t>C10141</t>
        </is>
      </c>
      <c r="E320" t="inlineStr">
        <is>
          <t>Sinar Plastik (ID)</t>
        </is>
      </c>
      <c r="F320" t="inlineStr">
        <is>
          <t>PP</t>
        </is>
      </c>
      <c r="G320" t="inlineStr">
        <is>
          <t>M-1102</t>
        </is>
      </c>
      <c r="H320" t="inlineStr">
        <is>
          <t>PP 고강성 H220</t>
        </is>
      </c>
      <c r="I320" s="43" t="n">
        <v>45858</v>
      </c>
      <c r="J320" t="n">
        <v>202507</v>
      </c>
      <c r="K320" s="44" t="n">
        <v>14150</v>
      </c>
      <c r="L320" t="inlineStr">
        <is>
          <t>KG</t>
        </is>
      </c>
      <c r="M320" s="44" t="n">
        <v>25854516</v>
      </c>
      <c r="N320" s="44" t="n">
        <v>3102542</v>
      </c>
      <c r="O320" t="n">
        <v>0</v>
      </c>
      <c r="P320" s="44" t="n">
        <v>22751974</v>
      </c>
      <c r="Q320" t="inlineStr">
        <is>
          <t>KRW</t>
        </is>
      </c>
      <c r="R320" t="inlineStr">
        <is>
          <t>INV2507-00319</t>
        </is>
      </c>
      <c r="S320" t="inlineStr">
        <is>
          <t>※예시데이터</t>
        </is>
      </c>
    </row>
    <row r="321">
      <c r="A321" t="n">
        <v>1000</v>
      </c>
      <c r="B321" t="inlineStr">
        <is>
          <t>EP사업부</t>
        </is>
      </c>
      <c r="C321" t="inlineStr">
        <is>
          <t>국내영업1팀</t>
        </is>
      </c>
      <c r="D321" t="inlineStr">
        <is>
          <t>C10057</t>
        </is>
      </c>
      <c r="E321" t="inlineStr">
        <is>
          <t>자연엠텍</t>
        </is>
      </c>
      <c r="F321" t="inlineStr">
        <is>
          <t>ABS</t>
        </is>
      </c>
      <c r="G321" t="inlineStr">
        <is>
          <t>M-2101</t>
        </is>
      </c>
      <c r="H321" t="inlineStr">
        <is>
          <t>ABS 범용 G300</t>
        </is>
      </c>
      <c r="I321" s="43" t="n">
        <v>45859</v>
      </c>
      <c r="J321" t="n">
        <v>202507</v>
      </c>
      <c r="K321" s="44" t="n">
        <v>2325</v>
      </c>
      <c r="L321" t="inlineStr">
        <is>
          <t>KG</t>
        </is>
      </c>
      <c r="M321" s="44" t="n">
        <v>6185537</v>
      </c>
      <c r="N321" s="44" t="n">
        <v>309277</v>
      </c>
      <c r="O321" t="n">
        <v>0</v>
      </c>
      <c r="P321" s="44" t="n">
        <v>5876260</v>
      </c>
      <c r="Q321" t="inlineStr">
        <is>
          <t>KRW</t>
        </is>
      </c>
      <c r="R321" t="inlineStr">
        <is>
          <t>INV2507-00320</t>
        </is>
      </c>
      <c r="S321" t="inlineStr">
        <is>
          <t>※예시데이터</t>
        </is>
      </c>
    </row>
    <row r="322">
      <c r="A322" t="n">
        <v>1000</v>
      </c>
      <c r="B322" t="inlineStr">
        <is>
          <t>범용수지사업부</t>
        </is>
      </c>
      <c r="C322" t="inlineStr">
        <is>
          <t>해외영업팀</t>
        </is>
      </c>
      <c r="D322" t="inlineStr">
        <is>
          <t>C10071</t>
        </is>
      </c>
      <c r="E322" t="inlineStr">
        <is>
          <t>큰별코리아</t>
        </is>
      </c>
      <c r="F322" t="inlineStr">
        <is>
          <t>PE</t>
        </is>
      </c>
      <c r="G322" t="inlineStr">
        <is>
          <t>M-1201</t>
        </is>
      </c>
      <c r="H322" t="inlineStr">
        <is>
          <t>HDPE 블로우 B500</t>
        </is>
      </c>
      <c r="I322" s="43" t="n">
        <v>45859</v>
      </c>
      <c r="J322" t="n">
        <v>202507</v>
      </c>
      <c r="K322" s="44" t="n">
        <v>6250</v>
      </c>
      <c r="L322" t="inlineStr">
        <is>
          <t>KG</t>
        </is>
      </c>
      <c r="M322" s="44" t="n">
        <v>9913926</v>
      </c>
      <c r="N322" s="44" t="n">
        <v>1090532</v>
      </c>
      <c r="O322" s="44" t="n">
        <v>198279</v>
      </c>
      <c r="P322" s="44" t="n">
        <v>8625115</v>
      </c>
      <c r="Q322" t="inlineStr">
        <is>
          <t>KRW</t>
        </is>
      </c>
      <c r="R322" t="inlineStr">
        <is>
          <t>INV2507-00321</t>
        </is>
      </c>
      <c r="S322" t="inlineStr">
        <is>
          <t>※예시데이터</t>
        </is>
      </c>
    </row>
    <row r="323">
      <c r="A323" t="n">
        <v>1000</v>
      </c>
      <c r="B323" t="inlineStr">
        <is>
          <t>범용수지사업부</t>
        </is>
      </c>
      <c r="C323" t="inlineStr">
        <is>
          <t>국내영업2팀</t>
        </is>
      </c>
      <c r="D323" t="inlineStr">
        <is>
          <t>C10064</t>
        </is>
      </c>
      <c r="E323" t="inlineStr">
        <is>
          <t>차오름산업</t>
        </is>
      </c>
      <c r="F323" t="inlineStr">
        <is>
          <t>PP</t>
        </is>
      </c>
      <c r="G323" t="inlineStr">
        <is>
          <t>M-1103</t>
        </is>
      </c>
      <c r="H323" t="inlineStr">
        <is>
          <t>PP 투명 R330</t>
        </is>
      </c>
      <c r="I323" s="43" t="n">
        <v>45861</v>
      </c>
      <c r="J323" t="n">
        <v>202507</v>
      </c>
      <c r="K323" s="44" t="n">
        <v>1450</v>
      </c>
      <c r="L323" t="inlineStr">
        <is>
          <t>KG</t>
        </is>
      </c>
      <c r="M323" s="44" t="n">
        <v>2824089</v>
      </c>
      <c r="N323" s="44" t="n">
        <v>197686</v>
      </c>
      <c r="O323" t="n">
        <v>0</v>
      </c>
      <c r="P323" s="44" t="n">
        <v>2626403</v>
      </c>
      <c r="Q323" t="inlineStr">
        <is>
          <t>KRW</t>
        </is>
      </c>
      <c r="R323" t="inlineStr">
        <is>
          <t>INV2507-00322</t>
        </is>
      </c>
      <c r="S323" t="inlineStr">
        <is>
          <t>※예시데이터</t>
        </is>
      </c>
    </row>
    <row r="324">
      <c r="A324" t="n">
        <v>1000</v>
      </c>
      <c r="B324" t="inlineStr">
        <is>
          <t>범용수지사업부</t>
        </is>
      </c>
      <c r="C324" t="inlineStr">
        <is>
          <t>국내영업2팀</t>
        </is>
      </c>
      <c r="D324" t="inlineStr">
        <is>
          <t>C10099</t>
        </is>
      </c>
      <c r="E324" t="inlineStr">
        <is>
          <t>한울몰드</t>
        </is>
      </c>
      <c r="F324" t="inlineStr">
        <is>
          <t>PP</t>
        </is>
      </c>
      <c r="G324" t="inlineStr">
        <is>
          <t>M-1101</t>
        </is>
      </c>
      <c r="H324" t="inlineStr">
        <is>
          <t>PP 범용사출 H110</t>
        </is>
      </c>
      <c r="I324" s="43" t="n">
        <v>45861</v>
      </c>
      <c r="J324" t="n">
        <v>202507</v>
      </c>
      <c r="K324" s="44" t="n">
        <v>1350</v>
      </c>
      <c r="L324" t="inlineStr">
        <is>
          <t>KG</t>
        </is>
      </c>
      <c r="M324" s="44" t="n">
        <v>2236281</v>
      </c>
      <c r="N324" s="44" t="n">
        <v>134177</v>
      </c>
      <c r="O324" t="n">
        <v>0</v>
      </c>
      <c r="P324" s="44" t="n">
        <v>2102104</v>
      </c>
      <c r="Q324" t="inlineStr">
        <is>
          <t>KRW</t>
        </is>
      </c>
      <c r="R324" t="inlineStr">
        <is>
          <t>INV2507-00323</t>
        </is>
      </c>
      <c r="S324" t="inlineStr">
        <is>
          <t>※예시데이터</t>
        </is>
      </c>
    </row>
    <row r="325">
      <c r="A325" t="n">
        <v>1000</v>
      </c>
      <c r="B325" t="inlineStr">
        <is>
          <t>범용수지사업부</t>
        </is>
      </c>
      <c r="C325" t="inlineStr">
        <is>
          <t>국내영업2팀</t>
        </is>
      </c>
      <c r="D325" t="inlineStr">
        <is>
          <t>C10127</t>
        </is>
      </c>
      <c r="E325" t="inlineStr">
        <is>
          <t>미르패키징</t>
        </is>
      </c>
      <c r="F325" t="inlineStr">
        <is>
          <t>PP</t>
        </is>
      </c>
      <c r="G325" t="inlineStr">
        <is>
          <t>M-1101</t>
        </is>
      </c>
      <c r="H325" t="inlineStr">
        <is>
          <t>PP 범용사출 H110</t>
        </is>
      </c>
      <c r="I325" s="43" t="n">
        <v>45861</v>
      </c>
      <c r="J325" t="n">
        <v>202507</v>
      </c>
      <c r="K325" s="44" t="n">
        <v>1375</v>
      </c>
      <c r="L325" t="inlineStr">
        <is>
          <t>KG</t>
        </is>
      </c>
      <c r="M325" s="44" t="n">
        <v>2277693</v>
      </c>
      <c r="N325" s="44" t="n">
        <v>204992</v>
      </c>
      <c r="O325" t="n">
        <v>0</v>
      </c>
      <c r="P325" s="44" t="n">
        <v>2072701</v>
      </c>
      <c r="Q325" t="inlineStr">
        <is>
          <t>KRW</t>
        </is>
      </c>
      <c r="R325" t="inlineStr">
        <is>
          <t>INV2507-00324</t>
        </is>
      </c>
      <c r="S325" t="inlineStr">
        <is>
          <t>※예시데이터</t>
        </is>
      </c>
    </row>
    <row r="326">
      <c r="A326" t="n">
        <v>1000</v>
      </c>
      <c r="B326" t="inlineStr">
        <is>
          <t>범용수지사업부</t>
        </is>
      </c>
      <c r="C326" t="inlineStr">
        <is>
          <t>해외영업팀</t>
        </is>
      </c>
      <c r="D326" t="inlineStr">
        <is>
          <t>C10071</t>
        </is>
      </c>
      <c r="E326" t="inlineStr">
        <is>
          <t>큰별코리아</t>
        </is>
      </c>
      <c r="F326" t="inlineStr">
        <is>
          <t>PE</t>
        </is>
      </c>
      <c r="G326" t="inlineStr">
        <is>
          <t>M-1202</t>
        </is>
      </c>
      <c r="H326" t="inlineStr">
        <is>
          <t>LLDPE 필름 F120</t>
        </is>
      </c>
      <c r="I326" s="43" t="n">
        <v>45863</v>
      </c>
      <c r="J326" t="n">
        <v>202507</v>
      </c>
      <c r="K326" s="44" t="n">
        <v>4400</v>
      </c>
      <c r="L326" t="inlineStr">
        <is>
          <t>KG</t>
        </is>
      </c>
      <c r="M326" s="44" t="n">
        <v>7553659</v>
      </c>
      <c r="N326" s="44" t="n">
        <v>830902</v>
      </c>
      <c r="O326" s="44" t="n">
        <v>151073</v>
      </c>
      <c r="P326" s="44" t="n">
        <v>6571684</v>
      </c>
      <c r="Q326" t="inlineStr">
        <is>
          <t>KRW</t>
        </is>
      </c>
      <c r="R326" t="inlineStr">
        <is>
          <t>INV2507-00325</t>
        </is>
      </c>
      <c r="S326" t="inlineStr">
        <is>
          <t>※예시데이터</t>
        </is>
      </c>
    </row>
    <row r="327">
      <c r="A327" t="n">
        <v>1000</v>
      </c>
      <c r="B327" t="inlineStr">
        <is>
          <t>EP사업부</t>
        </is>
      </c>
      <c r="C327" t="inlineStr">
        <is>
          <t>국내영업1팀</t>
        </is>
      </c>
      <c r="D327" t="inlineStr">
        <is>
          <t>C10043</t>
        </is>
      </c>
      <c r="E327" t="inlineStr">
        <is>
          <t>새봄플라스틱</t>
        </is>
      </c>
      <c r="F327" t="inlineStr">
        <is>
          <t>ABS</t>
        </is>
      </c>
      <c r="G327" t="inlineStr">
        <is>
          <t>M-2101</t>
        </is>
      </c>
      <c r="H327" t="inlineStr">
        <is>
          <t>ABS 범용 G300</t>
        </is>
      </c>
      <c r="I327" s="43" t="n">
        <v>45864</v>
      </c>
      <c r="J327" t="n">
        <v>202507</v>
      </c>
      <c r="K327" s="44" t="n">
        <v>4925</v>
      </c>
      <c r="L327" t="inlineStr">
        <is>
          <t>KG</t>
        </is>
      </c>
      <c r="M327" s="44" t="n">
        <v>13102697</v>
      </c>
      <c r="N327" s="44" t="n">
        <v>786162</v>
      </c>
      <c r="O327" t="n">
        <v>0</v>
      </c>
      <c r="P327" s="44" t="n">
        <v>12316535</v>
      </c>
      <c r="Q327" t="inlineStr">
        <is>
          <t>KRW</t>
        </is>
      </c>
      <c r="R327" t="inlineStr">
        <is>
          <t>INV2507-00326</t>
        </is>
      </c>
      <c r="S327" t="inlineStr">
        <is>
          <t>※예시데이터</t>
        </is>
      </c>
    </row>
    <row r="328">
      <c r="A328" t="n">
        <v>1000</v>
      </c>
      <c r="B328" t="inlineStr">
        <is>
          <t>범용수지사업부</t>
        </is>
      </c>
      <c r="C328" t="inlineStr">
        <is>
          <t>국내영업1팀</t>
        </is>
      </c>
      <c r="D328" t="inlineStr">
        <is>
          <t>C10001</t>
        </is>
      </c>
      <c r="E328" t="inlineStr">
        <is>
          <t>가온소재(주)</t>
        </is>
      </c>
      <c r="F328" t="inlineStr">
        <is>
          <t>PE</t>
        </is>
      </c>
      <c r="G328" t="inlineStr">
        <is>
          <t>M-1201</t>
        </is>
      </c>
      <c r="H328" t="inlineStr">
        <is>
          <t>HDPE 블로우 B500</t>
        </is>
      </c>
      <c r="I328" s="43" t="n">
        <v>45865</v>
      </c>
      <c r="J328" t="n">
        <v>202507</v>
      </c>
      <c r="K328" s="44" t="n">
        <v>4325</v>
      </c>
      <c r="L328" t="inlineStr">
        <is>
          <t>KG</t>
        </is>
      </c>
      <c r="M328" s="44" t="n">
        <v>6860437</v>
      </c>
      <c r="N328" s="44" t="n">
        <v>411626</v>
      </c>
      <c r="O328" t="n">
        <v>0</v>
      </c>
      <c r="P328" s="44" t="n">
        <v>6448811</v>
      </c>
      <c r="Q328" t="inlineStr">
        <is>
          <t>KRW</t>
        </is>
      </c>
      <c r="R328" t="inlineStr">
        <is>
          <t>INV2507-00327</t>
        </is>
      </c>
      <c r="S328" t="inlineStr">
        <is>
          <t>※예시데이터</t>
        </is>
      </c>
    </row>
    <row r="329">
      <c r="A329" t="n">
        <v>1000</v>
      </c>
      <c r="B329" t="inlineStr">
        <is>
          <t>EP사업부</t>
        </is>
      </c>
      <c r="C329" t="inlineStr">
        <is>
          <t>국내영업2팀</t>
        </is>
      </c>
      <c r="D329" t="inlineStr">
        <is>
          <t>C10085</t>
        </is>
      </c>
      <c r="E329" t="inlineStr">
        <is>
          <t>파란하이텍</t>
        </is>
      </c>
      <c r="F329" t="inlineStr">
        <is>
          <t>PC</t>
        </is>
      </c>
      <c r="G329" t="inlineStr">
        <is>
          <t>M-2202</t>
        </is>
      </c>
      <c r="H329" t="inlineStr">
        <is>
          <t>PC 난연 FR200</t>
        </is>
      </c>
      <c r="I329" s="43" t="n">
        <v>45865</v>
      </c>
      <c r="J329" t="n">
        <v>202507</v>
      </c>
      <c r="K329" s="44" t="n">
        <v>2125</v>
      </c>
      <c r="L329" t="inlineStr">
        <is>
          <t>KG</t>
        </is>
      </c>
      <c r="M329" s="44" t="n">
        <v>9280188</v>
      </c>
      <c r="N329" s="44" t="n">
        <v>556811</v>
      </c>
      <c r="O329" t="n">
        <v>0</v>
      </c>
      <c r="P329" s="44" t="n">
        <v>8723377</v>
      </c>
      <c r="Q329" t="inlineStr">
        <is>
          <t>KRW</t>
        </is>
      </c>
      <c r="R329" t="inlineStr">
        <is>
          <t>INV2507-00328</t>
        </is>
      </c>
      <c r="S329" t="inlineStr">
        <is>
          <t>※예시데이터</t>
        </is>
      </c>
    </row>
    <row r="330">
      <c r="A330" t="n">
        <v>1000</v>
      </c>
      <c r="B330" t="inlineStr">
        <is>
          <t>EP사업부</t>
        </is>
      </c>
      <c r="C330" t="inlineStr">
        <is>
          <t>국내영업2팀</t>
        </is>
      </c>
      <c r="D330" t="inlineStr">
        <is>
          <t>C10015</t>
        </is>
      </c>
      <c r="E330" t="inlineStr">
        <is>
          <t>다솜케미칼</t>
        </is>
      </c>
      <c r="F330" t="inlineStr">
        <is>
          <t>PC</t>
        </is>
      </c>
      <c r="G330" t="inlineStr">
        <is>
          <t>M-2202</t>
        </is>
      </c>
      <c r="H330" t="inlineStr">
        <is>
          <t>PC 난연 FR200</t>
        </is>
      </c>
      <c r="I330" s="43" t="n">
        <v>45874</v>
      </c>
      <c r="J330" t="n">
        <v>202508</v>
      </c>
      <c r="K330" s="44" t="n">
        <v>1200</v>
      </c>
      <c r="L330" t="inlineStr">
        <is>
          <t>KG</t>
        </is>
      </c>
      <c r="M330" s="44" t="n">
        <v>5250987</v>
      </c>
      <c r="N330" s="44" t="n">
        <v>262549</v>
      </c>
      <c r="O330" t="n">
        <v>0</v>
      </c>
      <c r="P330" s="44" t="n">
        <v>4988438</v>
      </c>
      <c r="Q330" t="inlineStr">
        <is>
          <t>KRW</t>
        </is>
      </c>
      <c r="R330" t="inlineStr">
        <is>
          <t>INV2508-00329</t>
        </is>
      </c>
      <c r="S330" t="inlineStr">
        <is>
          <t>※예시데이터</t>
        </is>
      </c>
    </row>
    <row r="331">
      <c r="A331" t="n">
        <v>1000</v>
      </c>
      <c r="B331" t="inlineStr">
        <is>
          <t>범용수지사업부</t>
        </is>
      </c>
      <c r="C331" t="inlineStr">
        <is>
          <t>국내영업2팀</t>
        </is>
      </c>
      <c r="D331" t="inlineStr">
        <is>
          <t>C10050</t>
        </is>
      </c>
      <c r="E331" t="inlineStr">
        <is>
          <t>아름화학(주)</t>
        </is>
      </c>
      <c r="F331" t="inlineStr">
        <is>
          <t>PE</t>
        </is>
      </c>
      <c r="G331" t="inlineStr">
        <is>
          <t>M-1201</t>
        </is>
      </c>
      <c r="H331" t="inlineStr">
        <is>
          <t>HDPE 블로우 B500</t>
        </is>
      </c>
      <c r="I331" s="43" t="n">
        <v>45874</v>
      </c>
      <c r="J331" t="n">
        <v>202508</v>
      </c>
      <c r="K331" s="44" t="n">
        <v>9525</v>
      </c>
      <c r="L331" t="inlineStr">
        <is>
          <t>KG</t>
        </is>
      </c>
      <c r="M331" s="44" t="n">
        <v>15138836</v>
      </c>
      <c r="N331" s="44" t="n">
        <v>1513884</v>
      </c>
      <c r="O331" s="44" t="n">
        <v>151388</v>
      </c>
      <c r="P331" s="44" t="n">
        <v>13473564</v>
      </c>
      <c r="Q331" t="inlineStr">
        <is>
          <t>KRW</t>
        </is>
      </c>
      <c r="R331" t="inlineStr">
        <is>
          <t>INV2508-00330</t>
        </is>
      </c>
      <c r="S331" t="inlineStr">
        <is>
          <t>※예시데이터</t>
        </is>
      </c>
    </row>
    <row r="332">
      <c r="A332" t="n">
        <v>1000</v>
      </c>
      <c r="B332" t="inlineStr">
        <is>
          <t>범용수지사업부</t>
        </is>
      </c>
      <c r="C332" t="inlineStr">
        <is>
          <t>국내영업2팀</t>
        </is>
      </c>
      <c r="D332" t="inlineStr">
        <is>
          <t>C10064</t>
        </is>
      </c>
      <c r="E332" t="inlineStr">
        <is>
          <t>차오름산업</t>
        </is>
      </c>
      <c r="F332" t="inlineStr">
        <is>
          <t>PP</t>
        </is>
      </c>
      <c r="G332" t="inlineStr">
        <is>
          <t>M-1102</t>
        </is>
      </c>
      <c r="H332" t="inlineStr">
        <is>
          <t>PP 고강성 H220</t>
        </is>
      </c>
      <c r="I332" s="43" t="n">
        <v>45875</v>
      </c>
      <c r="J332" t="n">
        <v>202508</v>
      </c>
      <c r="K332" s="44" t="n">
        <v>2825</v>
      </c>
      <c r="L332" t="inlineStr">
        <is>
          <t>KG</t>
        </is>
      </c>
      <c r="M332" s="44" t="n">
        <v>5172021</v>
      </c>
      <c r="N332" s="44" t="n">
        <v>362041</v>
      </c>
      <c r="O332" t="n">
        <v>0</v>
      </c>
      <c r="P332" s="44" t="n">
        <v>4809980</v>
      </c>
      <c r="Q332" t="inlineStr">
        <is>
          <t>KRW</t>
        </is>
      </c>
      <c r="R332" t="inlineStr">
        <is>
          <t>INV2508-00331</t>
        </is>
      </c>
      <c r="S332" t="inlineStr">
        <is>
          <t>※예시데이터</t>
        </is>
      </c>
    </row>
    <row r="333">
      <c r="A333" t="n">
        <v>1000</v>
      </c>
      <c r="B333" t="inlineStr">
        <is>
          <t>EP사업부</t>
        </is>
      </c>
      <c r="C333" t="inlineStr">
        <is>
          <t>국내영업1팀</t>
        </is>
      </c>
      <c r="D333" t="inlineStr">
        <is>
          <t>C10057</t>
        </is>
      </c>
      <c r="E333" t="inlineStr">
        <is>
          <t>자연엠텍</t>
        </is>
      </c>
      <c r="F333" t="inlineStr">
        <is>
          <t>ABS</t>
        </is>
      </c>
      <c r="G333" t="inlineStr">
        <is>
          <t>M-2101</t>
        </is>
      </c>
      <c r="H333" t="inlineStr">
        <is>
          <t>ABS 범용 G300</t>
        </is>
      </c>
      <c r="I333" s="43" t="n">
        <v>45876</v>
      </c>
      <c r="J333" t="n">
        <v>202508</v>
      </c>
      <c r="K333" s="44" t="n">
        <v>2900</v>
      </c>
      <c r="L333" t="inlineStr">
        <is>
          <t>KG</t>
        </is>
      </c>
      <c r="M333" s="44" t="n">
        <v>7730619</v>
      </c>
      <c r="N333" s="44" t="n">
        <v>386531</v>
      </c>
      <c r="O333" t="n">
        <v>0</v>
      </c>
      <c r="P333" s="44" t="n">
        <v>7344088</v>
      </c>
      <c r="Q333" t="inlineStr">
        <is>
          <t>KRW</t>
        </is>
      </c>
      <c r="R333" t="inlineStr">
        <is>
          <t>INV2508-00332</t>
        </is>
      </c>
      <c r="S333" t="inlineStr">
        <is>
          <t>※예시데이터</t>
        </is>
      </c>
    </row>
    <row r="334">
      <c r="A334" t="n">
        <v>1000</v>
      </c>
      <c r="B334" t="inlineStr">
        <is>
          <t>EP사업부</t>
        </is>
      </c>
      <c r="C334" t="inlineStr">
        <is>
          <t>국내영업2팀</t>
        </is>
      </c>
      <c r="D334" t="inlineStr">
        <is>
          <t>C10113</t>
        </is>
      </c>
      <c r="E334" t="inlineStr">
        <is>
          <t>누리오토파츠</t>
        </is>
      </c>
      <c r="F334" t="inlineStr">
        <is>
          <t>PC</t>
        </is>
      </c>
      <c r="G334" t="inlineStr">
        <is>
          <t>M-2202</t>
        </is>
      </c>
      <c r="H334" t="inlineStr">
        <is>
          <t>PC 난연 FR200</t>
        </is>
      </c>
      <c r="I334" s="43" t="n">
        <v>45876</v>
      </c>
      <c r="J334" t="n">
        <v>202508</v>
      </c>
      <c r="K334" s="44" t="n">
        <v>2075</v>
      </c>
      <c r="L334" t="inlineStr">
        <is>
          <t>KG</t>
        </is>
      </c>
      <c r="M334" s="44" t="n">
        <v>9079831</v>
      </c>
      <c r="N334" s="44" t="n">
        <v>635588</v>
      </c>
      <c r="O334" s="44" t="n">
        <v>90798</v>
      </c>
      <c r="P334" s="44" t="n">
        <v>8353445</v>
      </c>
      <c r="Q334" t="inlineStr">
        <is>
          <t>KRW</t>
        </is>
      </c>
      <c r="R334" t="inlineStr">
        <is>
          <t>INV2508-00333</t>
        </is>
      </c>
      <c r="S334" t="inlineStr">
        <is>
          <t>※예시데이터</t>
        </is>
      </c>
    </row>
    <row r="335">
      <c r="A335" t="n">
        <v>1000</v>
      </c>
      <c r="B335" t="inlineStr">
        <is>
          <t>범용수지사업부</t>
        </is>
      </c>
      <c r="C335" t="inlineStr">
        <is>
          <t>국내영업2팀</t>
        </is>
      </c>
      <c r="D335" t="inlineStr">
        <is>
          <t>C10127</t>
        </is>
      </c>
      <c r="E335" t="inlineStr">
        <is>
          <t>미르패키징</t>
        </is>
      </c>
      <c r="F335" t="inlineStr">
        <is>
          <t>PE</t>
        </is>
      </c>
      <c r="G335" t="inlineStr">
        <is>
          <t>M-1202</t>
        </is>
      </c>
      <c r="H335" t="inlineStr">
        <is>
          <t>LLDPE 필름 F120</t>
        </is>
      </c>
      <c r="I335" s="43" t="n">
        <v>45876</v>
      </c>
      <c r="J335" t="n">
        <v>202508</v>
      </c>
      <c r="K335" s="44" t="n">
        <v>1925</v>
      </c>
      <c r="L335" t="inlineStr">
        <is>
          <t>KG</t>
        </is>
      </c>
      <c r="M335" s="44" t="n">
        <v>3311290</v>
      </c>
      <c r="N335" s="44" t="n">
        <v>298016</v>
      </c>
      <c r="O335" t="n">
        <v>0</v>
      </c>
      <c r="P335" s="44" t="n">
        <v>3013274</v>
      </c>
      <c r="Q335" t="inlineStr">
        <is>
          <t>KRW</t>
        </is>
      </c>
      <c r="R335" t="inlineStr">
        <is>
          <t>INV2508-00334</t>
        </is>
      </c>
      <c r="S335" t="inlineStr">
        <is>
          <t>※예시데이터</t>
        </is>
      </c>
    </row>
    <row r="336">
      <c r="A336" t="n">
        <v>1000</v>
      </c>
      <c r="B336" t="inlineStr">
        <is>
          <t>범용수지사업부</t>
        </is>
      </c>
      <c r="C336" t="inlineStr">
        <is>
          <t>해외영업팀</t>
        </is>
      </c>
      <c r="D336" t="inlineStr">
        <is>
          <t>C10071</t>
        </is>
      </c>
      <c r="E336" t="inlineStr">
        <is>
          <t>큰별코리아</t>
        </is>
      </c>
      <c r="F336" t="inlineStr">
        <is>
          <t>PE</t>
        </is>
      </c>
      <c r="G336" t="inlineStr">
        <is>
          <t>M-1202</t>
        </is>
      </c>
      <c r="H336" t="inlineStr">
        <is>
          <t>LLDPE 필름 F120</t>
        </is>
      </c>
      <c r="I336" s="43" t="n">
        <v>45877</v>
      </c>
      <c r="J336" t="n">
        <v>202508</v>
      </c>
      <c r="K336" s="44" t="n">
        <v>7225</v>
      </c>
      <c r="L336" t="inlineStr">
        <is>
          <t>KG</t>
        </is>
      </c>
      <c r="M336" s="44" t="n">
        <v>12428090</v>
      </c>
      <c r="N336" s="44" t="n">
        <v>1367090</v>
      </c>
      <c r="O336" s="44" t="n">
        <v>248562</v>
      </c>
      <c r="P336" s="44" t="n">
        <v>10812438</v>
      </c>
      <c r="Q336" t="inlineStr">
        <is>
          <t>KRW</t>
        </is>
      </c>
      <c r="R336" t="inlineStr">
        <is>
          <t>INV2508-00335</t>
        </is>
      </c>
      <c r="S336" t="inlineStr">
        <is>
          <t>※예시데이터</t>
        </is>
      </c>
    </row>
    <row r="337">
      <c r="A337" t="n">
        <v>1000</v>
      </c>
      <c r="B337" t="inlineStr">
        <is>
          <t>EP사업부</t>
        </is>
      </c>
      <c r="C337" t="inlineStr">
        <is>
          <t>국내영업1팀</t>
        </is>
      </c>
      <c r="D337" t="inlineStr">
        <is>
          <t>C10134</t>
        </is>
      </c>
      <c r="E337" t="inlineStr">
        <is>
          <t>별하전자(주)</t>
        </is>
      </c>
      <c r="F337" t="inlineStr">
        <is>
          <t>PC</t>
        </is>
      </c>
      <c r="G337" t="inlineStr">
        <is>
          <t>M-2202</t>
        </is>
      </c>
      <c r="H337" t="inlineStr">
        <is>
          <t>PC 난연 FR200</t>
        </is>
      </c>
      <c r="I337" s="43" t="n">
        <v>45877</v>
      </c>
      <c r="J337" t="n">
        <v>202508</v>
      </c>
      <c r="K337" t="n">
        <v>700</v>
      </c>
      <c r="L337" t="inlineStr">
        <is>
          <t>KG</t>
        </is>
      </c>
      <c r="M337" s="44" t="n">
        <v>3063076</v>
      </c>
      <c r="N337" s="44" t="n">
        <v>91892</v>
      </c>
      <c r="O337" t="n">
        <v>0</v>
      </c>
      <c r="P337" s="44" t="n">
        <v>2971184</v>
      </c>
      <c r="Q337" t="inlineStr">
        <is>
          <t>KRW</t>
        </is>
      </c>
      <c r="R337" t="inlineStr">
        <is>
          <t>INV2508-00336</t>
        </is>
      </c>
      <c r="S337" t="inlineStr">
        <is>
          <t>※예시데이터</t>
        </is>
      </c>
    </row>
    <row r="338">
      <c r="A338" t="n">
        <v>1000</v>
      </c>
      <c r="B338" t="inlineStr">
        <is>
          <t>범용수지사업부</t>
        </is>
      </c>
      <c r="C338" t="inlineStr">
        <is>
          <t>국내영업2팀</t>
        </is>
      </c>
      <c r="D338" t="inlineStr">
        <is>
          <t>C10050</t>
        </is>
      </c>
      <c r="E338" t="inlineStr">
        <is>
          <t>아름화학(주)</t>
        </is>
      </c>
      <c r="F338" t="inlineStr">
        <is>
          <t>PP</t>
        </is>
      </c>
      <c r="G338" t="inlineStr">
        <is>
          <t>M-1103</t>
        </is>
      </c>
      <c r="H338" t="inlineStr">
        <is>
          <t>PP 투명 R330</t>
        </is>
      </c>
      <c r="I338" s="43" t="n">
        <v>45878</v>
      </c>
      <c r="J338" t="n">
        <v>202508</v>
      </c>
      <c r="K338" s="44" t="n">
        <v>6125</v>
      </c>
      <c r="L338" t="inlineStr">
        <is>
          <t>KG</t>
        </is>
      </c>
      <c r="M338" s="44" t="n">
        <v>11953036</v>
      </c>
      <c r="N338" s="44" t="n">
        <v>1195304</v>
      </c>
      <c r="O338" s="44" t="n">
        <v>119530</v>
      </c>
      <c r="P338" s="44" t="n">
        <v>10638202</v>
      </c>
      <c r="Q338" t="inlineStr">
        <is>
          <t>KRW</t>
        </is>
      </c>
      <c r="R338" t="inlineStr">
        <is>
          <t>INV2508-00337</t>
        </is>
      </c>
      <c r="S338" t="inlineStr">
        <is>
          <t>※예시데이터</t>
        </is>
      </c>
    </row>
    <row r="339">
      <c r="A339" t="n">
        <v>1000</v>
      </c>
      <c r="B339" t="inlineStr">
        <is>
          <t>EP사업부</t>
        </is>
      </c>
      <c r="C339" t="inlineStr">
        <is>
          <t>국내영업2팀</t>
        </is>
      </c>
      <c r="D339" t="inlineStr">
        <is>
          <t>C10085</t>
        </is>
      </c>
      <c r="E339" t="inlineStr">
        <is>
          <t>파란하이텍</t>
        </is>
      </c>
      <c r="F339" t="inlineStr">
        <is>
          <t>PC</t>
        </is>
      </c>
      <c r="G339" t="inlineStr">
        <is>
          <t>M-2202</t>
        </is>
      </c>
      <c r="H339" t="inlineStr">
        <is>
          <t>PC 난연 FR200</t>
        </is>
      </c>
      <c r="I339" s="43" t="n">
        <v>45878</v>
      </c>
      <c r="J339" t="n">
        <v>202508</v>
      </c>
      <c r="K339" s="44" t="n">
        <v>1800</v>
      </c>
      <c r="L339" t="inlineStr">
        <is>
          <t>KG</t>
        </is>
      </c>
      <c r="M339" s="44" t="n">
        <v>7876480</v>
      </c>
      <c r="N339" s="44" t="n">
        <v>472589</v>
      </c>
      <c r="O339" t="n">
        <v>0</v>
      </c>
      <c r="P339" s="44" t="n">
        <v>7403891</v>
      </c>
      <c r="Q339" t="inlineStr">
        <is>
          <t>KRW</t>
        </is>
      </c>
      <c r="R339" t="inlineStr">
        <is>
          <t>INV2508-00338</t>
        </is>
      </c>
      <c r="S339" t="inlineStr">
        <is>
          <t>※예시데이터</t>
        </is>
      </c>
    </row>
    <row r="340">
      <c r="A340" t="n">
        <v>1000</v>
      </c>
      <c r="B340" t="inlineStr">
        <is>
          <t>범용수지사업부</t>
        </is>
      </c>
      <c r="C340" t="inlineStr">
        <is>
          <t>국내영업1팀</t>
        </is>
      </c>
      <c r="D340" t="inlineStr">
        <is>
          <t>C10001</t>
        </is>
      </c>
      <c r="E340" t="inlineStr">
        <is>
          <t>가온소재(주)</t>
        </is>
      </c>
      <c r="F340" t="inlineStr">
        <is>
          <t>PE</t>
        </is>
      </c>
      <c r="G340" t="inlineStr">
        <is>
          <t>M-1201</t>
        </is>
      </c>
      <c r="H340" t="inlineStr">
        <is>
          <t>HDPE 블로우 B500</t>
        </is>
      </c>
      <c r="I340" s="43" t="n">
        <v>45879</v>
      </c>
      <c r="J340" t="n">
        <v>202508</v>
      </c>
      <c r="K340" s="44" t="n">
        <v>5525</v>
      </c>
      <c r="L340" t="inlineStr">
        <is>
          <t>KG</t>
        </is>
      </c>
      <c r="M340" s="44" t="n">
        <v>8781320</v>
      </c>
      <c r="N340" s="44" t="n">
        <v>526879</v>
      </c>
      <c r="O340" t="n">
        <v>0</v>
      </c>
      <c r="P340" s="44" t="n">
        <v>8254441</v>
      </c>
      <c r="Q340" t="inlineStr">
        <is>
          <t>KRW</t>
        </is>
      </c>
      <c r="R340" t="inlineStr">
        <is>
          <t>INV2508-00339</t>
        </is>
      </c>
      <c r="S340" t="inlineStr">
        <is>
          <t>※예시데이터</t>
        </is>
      </c>
    </row>
    <row r="341">
      <c r="A341" t="n">
        <v>1000</v>
      </c>
      <c r="B341" t="inlineStr">
        <is>
          <t>EP사업부</t>
        </is>
      </c>
      <c r="C341" t="inlineStr">
        <is>
          <t>국내영업2팀</t>
        </is>
      </c>
      <c r="D341" t="inlineStr">
        <is>
          <t>C10015</t>
        </is>
      </c>
      <c r="E341" t="inlineStr">
        <is>
          <t>다솜케미칼</t>
        </is>
      </c>
      <c r="F341" t="inlineStr">
        <is>
          <t>ABS</t>
        </is>
      </c>
      <c r="G341" t="inlineStr">
        <is>
          <t>M-2101</t>
        </is>
      </c>
      <c r="H341" t="inlineStr">
        <is>
          <t>ABS 범용 G300</t>
        </is>
      </c>
      <c r="I341" s="43" t="n">
        <v>45880</v>
      </c>
      <c r="J341" t="n">
        <v>202508</v>
      </c>
      <c r="K341" s="44" t="n">
        <v>1375</v>
      </c>
      <c r="L341" t="inlineStr">
        <is>
          <t>KG</t>
        </is>
      </c>
      <c r="M341" s="44" t="n">
        <v>3665380</v>
      </c>
      <c r="N341" s="44" t="n">
        <v>183269</v>
      </c>
      <c r="O341" t="n">
        <v>0</v>
      </c>
      <c r="P341" s="44" t="n">
        <v>3482111</v>
      </c>
      <c r="Q341" t="inlineStr">
        <is>
          <t>KRW</t>
        </is>
      </c>
      <c r="R341" t="inlineStr">
        <is>
          <t>INV2508-00340</t>
        </is>
      </c>
      <c r="S341" t="inlineStr">
        <is>
          <t>※예시데이터</t>
        </is>
      </c>
    </row>
    <row r="342">
      <c r="A342" t="n">
        <v>1000</v>
      </c>
      <c r="B342" t="inlineStr">
        <is>
          <t>EP사업부</t>
        </is>
      </c>
      <c r="C342" t="inlineStr">
        <is>
          <t>국내영업1팀</t>
        </is>
      </c>
      <c r="D342" t="inlineStr">
        <is>
          <t>C10057</t>
        </is>
      </c>
      <c r="E342" t="inlineStr">
        <is>
          <t>자연엠텍</t>
        </is>
      </c>
      <c r="F342" t="inlineStr">
        <is>
          <t>PC</t>
        </is>
      </c>
      <c r="G342" t="inlineStr">
        <is>
          <t>M-2201</t>
        </is>
      </c>
      <c r="H342" t="inlineStr">
        <is>
          <t>PC 일반 C100</t>
        </is>
      </c>
      <c r="I342" s="43" t="n">
        <v>45880</v>
      </c>
      <c r="J342" t="n">
        <v>202508</v>
      </c>
      <c r="K342" s="44" t="n">
        <v>2775</v>
      </c>
      <c r="L342" t="inlineStr">
        <is>
          <t>KG</t>
        </is>
      </c>
      <c r="M342" s="44" t="n">
        <v>10886744</v>
      </c>
      <c r="N342" s="44" t="n">
        <v>544337</v>
      </c>
      <c r="O342" t="n">
        <v>0</v>
      </c>
      <c r="P342" s="44" t="n">
        <v>10342407</v>
      </c>
      <c r="Q342" t="inlineStr">
        <is>
          <t>KRW</t>
        </is>
      </c>
      <c r="R342" t="inlineStr">
        <is>
          <t>INV2508-00341</t>
        </is>
      </c>
      <c r="S342" t="inlineStr">
        <is>
          <t>※예시데이터</t>
        </is>
      </c>
    </row>
    <row r="343">
      <c r="A343" t="n">
        <v>1000</v>
      </c>
      <c r="B343" t="inlineStr">
        <is>
          <t>범용수지사업부</t>
        </is>
      </c>
      <c r="C343" t="inlineStr">
        <is>
          <t>국내영업2팀</t>
        </is>
      </c>
      <c r="D343" t="inlineStr">
        <is>
          <t>C10099</t>
        </is>
      </c>
      <c r="E343" t="inlineStr">
        <is>
          <t>한울몰드</t>
        </is>
      </c>
      <c r="F343" t="inlineStr">
        <is>
          <t>PP</t>
        </is>
      </c>
      <c r="G343" t="inlineStr">
        <is>
          <t>M-1101</t>
        </is>
      </c>
      <c r="H343" t="inlineStr">
        <is>
          <t>PP 범용사출 H110</t>
        </is>
      </c>
      <c r="I343" s="43" t="n">
        <v>45880</v>
      </c>
      <c r="J343" t="n">
        <v>202508</v>
      </c>
      <c r="K343" s="44" t="n">
        <v>1225</v>
      </c>
      <c r="L343" t="inlineStr">
        <is>
          <t>KG</t>
        </is>
      </c>
      <c r="M343" s="44" t="n">
        <v>2033248</v>
      </c>
      <c r="N343" s="44" t="n">
        <v>121995</v>
      </c>
      <c r="O343" t="n">
        <v>0</v>
      </c>
      <c r="P343" s="44" t="n">
        <v>1911253</v>
      </c>
      <c r="Q343" t="inlineStr">
        <is>
          <t>KRW</t>
        </is>
      </c>
      <c r="R343" t="inlineStr">
        <is>
          <t>INV2508-00342</t>
        </is>
      </c>
      <c r="S343" t="inlineStr">
        <is>
          <t>※예시데이터</t>
        </is>
      </c>
    </row>
    <row r="344">
      <c r="A344" t="n">
        <v>1000</v>
      </c>
      <c r="B344" t="inlineStr">
        <is>
          <t>EP사업부</t>
        </is>
      </c>
      <c r="C344" t="inlineStr">
        <is>
          <t>국내영업1팀</t>
        </is>
      </c>
      <c r="D344" t="inlineStr">
        <is>
          <t>C10029</t>
        </is>
      </c>
      <c r="E344" t="inlineStr">
        <is>
          <t>마루정밀</t>
        </is>
      </c>
      <c r="F344" t="inlineStr">
        <is>
          <t>PC</t>
        </is>
      </c>
      <c r="G344" t="inlineStr">
        <is>
          <t>M-2201</t>
        </is>
      </c>
      <c r="H344" t="inlineStr">
        <is>
          <t>PC 일반 C100</t>
        </is>
      </c>
      <c r="I344" s="43" t="n">
        <v>45881</v>
      </c>
      <c r="J344" t="n">
        <v>202508</v>
      </c>
      <c r="K344" s="44" t="n">
        <v>1950</v>
      </c>
      <c r="L344" t="inlineStr">
        <is>
          <t>KG</t>
        </is>
      </c>
      <c r="M344" s="44" t="n">
        <v>7650144</v>
      </c>
      <c r="N344" s="44" t="n">
        <v>306006</v>
      </c>
      <c r="O344" t="n">
        <v>0</v>
      </c>
      <c r="P344" s="44" t="n">
        <v>7344138</v>
      </c>
      <c r="Q344" t="inlineStr">
        <is>
          <t>KRW</t>
        </is>
      </c>
      <c r="R344" t="inlineStr">
        <is>
          <t>INV2508-00343</t>
        </is>
      </c>
      <c r="S344" t="inlineStr">
        <is>
          <t>※예시데이터</t>
        </is>
      </c>
    </row>
    <row r="345">
      <c r="A345" t="n">
        <v>1000</v>
      </c>
      <c r="B345" t="inlineStr">
        <is>
          <t>EP사업부</t>
        </is>
      </c>
      <c r="C345" t="inlineStr">
        <is>
          <t>국내영업2팀</t>
        </is>
      </c>
      <c r="D345" t="inlineStr">
        <is>
          <t>C10015</t>
        </is>
      </c>
      <c r="E345" t="inlineStr">
        <is>
          <t>다솜케미칼</t>
        </is>
      </c>
      <c r="F345" t="inlineStr">
        <is>
          <t>ABS</t>
        </is>
      </c>
      <c r="G345" t="inlineStr">
        <is>
          <t>M-2101</t>
        </is>
      </c>
      <c r="H345" t="inlineStr">
        <is>
          <t>ABS 범용 G300</t>
        </is>
      </c>
      <c r="I345" s="43" t="n">
        <v>45883</v>
      </c>
      <c r="J345" t="n">
        <v>202508</v>
      </c>
      <c r="K345" s="44" t="n">
        <v>1375</v>
      </c>
      <c r="L345" t="inlineStr">
        <is>
          <t>KG</t>
        </is>
      </c>
      <c r="M345" s="44" t="n">
        <v>3665380</v>
      </c>
      <c r="N345" s="44" t="n">
        <v>183269</v>
      </c>
      <c r="O345" t="n">
        <v>0</v>
      </c>
      <c r="P345" s="44" t="n">
        <v>3482111</v>
      </c>
      <c r="Q345" t="inlineStr">
        <is>
          <t>KRW</t>
        </is>
      </c>
      <c r="R345" t="inlineStr">
        <is>
          <t>INV2508-00344</t>
        </is>
      </c>
      <c r="S345" t="inlineStr">
        <is>
          <t>※예시데이터</t>
        </is>
      </c>
    </row>
    <row r="346">
      <c r="A346" t="n">
        <v>1000</v>
      </c>
      <c r="B346" t="inlineStr">
        <is>
          <t>범용수지사업부</t>
        </is>
      </c>
      <c r="C346" t="inlineStr">
        <is>
          <t>해외영업팀</t>
        </is>
      </c>
      <c r="D346" t="inlineStr">
        <is>
          <t>C10141</t>
        </is>
      </c>
      <c r="E346" t="inlineStr">
        <is>
          <t>Sinar Plastik (ID)</t>
        </is>
      </c>
      <c r="F346" t="inlineStr">
        <is>
          <t>PP</t>
        </is>
      </c>
      <c r="G346" t="inlineStr">
        <is>
          <t>M-1102</t>
        </is>
      </c>
      <c r="H346" t="inlineStr">
        <is>
          <t>PP 고강성 H220</t>
        </is>
      </c>
      <c r="I346" s="43" t="n">
        <v>45883</v>
      </c>
      <c r="J346" t="n">
        <v>202508</v>
      </c>
      <c r="K346" s="44" t="n">
        <v>8100</v>
      </c>
      <c r="L346" t="inlineStr">
        <is>
          <t>KG</t>
        </is>
      </c>
      <c r="M346" s="44" t="n">
        <v>14829511</v>
      </c>
      <c r="N346" s="44" t="n">
        <v>1779541</v>
      </c>
      <c r="O346" t="n">
        <v>0</v>
      </c>
      <c r="P346" s="44" t="n">
        <v>13049970</v>
      </c>
      <c r="Q346" t="inlineStr">
        <is>
          <t>KRW</t>
        </is>
      </c>
      <c r="R346" t="inlineStr">
        <is>
          <t>INV2508-00345</t>
        </is>
      </c>
      <c r="S346" t="inlineStr">
        <is>
          <t>※예시데이터</t>
        </is>
      </c>
    </row>
    <row r="347">
      <c r="A347" t="n">
        <v>1000</v>
      </c>
      <c r="B347" t="inlineStr">
        <is>
          <t>범용수지사업부</t>
        </is>
      </c>
      <c r="C347" t="inlineStr">
        <is>
          <t>해외영업팀</t>
        </is>
      </c>
      <c r="D347" t="inlineStr">
        <is>
          <t>C10141</t>
        </is>
      </c>
      <c r="E347" t="inlineStr">
        <is>
          <t>Sinar Plastik (ID)</t>
        </is>
      </c>
      <c r="F347" t="inlineStr">
        <is>
          <t>PP</t>
        </is>
      </c>
      <c r="G347" t="inlineStr">
        <is>
          <t>M-1103</t>
        </is>
      </c>
      <c r="H347" t="inlineStr">
        <is>
          <t>PP 투명 R330</t>
        </is>
      </c>
      <c r="I347" s="43" t="n">
        <v>45883</v>
      </c>
      <c r="J347" t="n">
        <v>202508</v>
      </c>
      <c r="K347" s="44" t="n">
        <v>6825</v>
      </c>
      <c r="L347" t="inlineStr">
        <is>
          <t>KG</t>
        </is>
      </c>
      <c r="M347" s="44" t="n">
        <v>13319098</v>
      </c>
      <c r="N347" s="44" t="n">
        <v>1598292</v>
      </c>
      <c r="O347" t="n">
        <v>0</v>
      </c>
      <c r="P347" s="44" t="n">
        <v>11720806</v>
      </c>
      <c r="Q347" t="inlineStr">
        <is>
          <t>KRW</t>
        </is>
      </c>
      <c r="R347" t="inlineStr">
        <is>
          <t>INV2508-00346</t>
        </is>
      </c>
      <c r="S347" t="inlineStr">
        <is>
          <t>※예시데이터</t>
        </is>
      </c>
    </row>
    <row r="348">
      <c r="A348" t="n">
        <v>1000</v>
      </c>
      <c r="B348" t="inlineStr">
        <is>
          <t>EP사업부</t>
        </is>
      </c>
      <c r="C348" t="inlineStr">
        <is>
          <t>국내영업2팀</t>
        </is>
      </c>
      <c r="D348" t="inlineStr">
        <is>
          <t>C10099</t>
        </is>
      </c>
      <c r="E348" t="inlineStr">
        <is>
          <t>한울몰드</t>
        </is>
      </c>
      <c r="F348" t="inlineStr">
        <is>
          <t>ABS</t>
        </is>
      </c>
      <c r="G348" t="inlineStr">
        <is>
          <t>M-2102</t>
        </is>
      </c>
      <c r="H348" t="inlineStr">
        <is>
          <t>ABS 내열 HR500</t>
        </is>
      </c>
      <c r="I348" s="43" t="n">
        <v>45884</v>
      </c>
      <c r="J348" t="n">
        <v>202508</v>
      </c>
      <c r="K348" s="44" t="n">
        <v>1950</v>
      </c>
      <c r="L348" t="inlineStr">
        <is>
          <t>KG</t>
        </is>
      </c>
      <c r="M348" s="44" t="n">
        <v>5845495</v>
      </c>
      <c r="N348" s="44" t="n">
        <v>350730</v>
      </c>
      <c r="O348" t="n">
        <v>0</v>
      </c>
      <c r="P348" s="44" t="n">
        <v>5494765</v>
      </c>
      <c r="Q348" t="inlineStr">
        <is>
          <t>KRW</t>
        </is>
      </c>
      <c r="R348" t="inlineStr">
        <is>
          <t>INV2508-00347</t>
        </is>
      </c>
      <c r="S348" t="inlineStr">
        <is>
          <t>※예시데이터</t>
        </is>
      </c>
    </row>
    <row r="349">
      <c r="A349" t="n">
        <v>1000</v>
      </c>
      <c r="B349" t="inlineStr">
        <is>
          <t>범용수지사업부</t>
        </is>
      </c>
      <c r="C349" t="inlineStr">
        <is>
          <t>국내영업2팀</t>
        </is>
      </c>
      <c r="D349" t="inlineStr">
        <is>
          <t>C10036</t>
        </is>
      </c>
      <c r="E349" t="inlineStr">
        <is>
          <t>바른물산</t>
        </is>
      </c>
      <c r="F349" t="inlineStr">
        <is>
          <t>PE</t>
        </is>
      </c>
      <c r="G349" t="inlineStr">
        <is>
          <t>M-1201</t>
        </is>
      </c>
      <c r="H349" t="inlineStr">
        <is>
          <t>HDPE 블로우 B500</t>
        </is>
      </c>
      <c r="I349" s="43" t="n">
        <v>45885</v>
      </c>
      <c r="J349" t="n">
        <v>202508</v>
      </c>
      <c r="K349" s="44" t="n">
        <v>6900</v>
      </c>
      <c r="L349" t="inlineStr">
        <is>
          <t>KG</t>
        </is>
      </c>
      <c r="M349" s="44" t="n">
        <v>10966716</v>
      </c>
      <c r="N349" s="44" t="n">
        <v>987004</v>
      </c>
      <c r="O349" s="44" t="n">
        <v>219334</v>
      </c>
      <c r="P349" s="44" t="n">
        <v>9760378</v>
      </c>
      <c r="Q349" t="inlineStr">
        <is>
          <t>KRW</t>
        </is>
      </c>
      <c r="R349" t="inlineStr">
        <is>
          <t>INV2508-00348</t>
        </is>
      </c>
      <c r="S349" t="inlineStr">
        <is>
          <t>※예시데이터</t>
        </is>
      </c>
    </row>
    <row r="350">
      <c r="A350" t="n">
        <v>1000</v>
      </c>
      <c r="B350" t="inlineStr">
        <is>
          <t>EP사업부</t>
        </is>
      </c>
      <c r="C350" t="inlineStr">
        <is>
          <t>국내영업2팀</t>
        </is>
      </c>
      <c r="D350" t="inlineStr">
        <is>
          <t>C10085</t>
        </is>
      </c>
      <c r="E350" t="inlineStr">
        <is>
          <t>파란하이텍</t>
        </is>
      </c>
      <c r="F350" t="inlineStr">
        <is>
          <t>PC</t>
        </is>
      </c>
      <c r="G350" t="inlineStr">
        <is>
          <t>M-2201</t>
        </is>
      </c>
      <c r="H350" t="inlineStr">
        <is>
          <t>PC 일반 C100</t>
        </is>
      </c>
      <c r="I350" s="43" t="n">
        <v>45887</v>
      </c>
      <c r="J350" t="n">
        <v>202508</v>
      </c>
      <c r="K350" s="44" t="n">
        <v>2200</v>
      </c>
      <c r="L350" t="inlineStr">
        <is>
          <t>KG</t>
        </is>
      </c>
      <c r="M350" s="44" t="n">
        <v>8630932</v>
      </c>
      <c r="N350" s="44" t="n">
        <v>517856</v>
      </c>
      <c r="O350" t="n">
        <v>0</v>
      </c>
      <c r="P350" s="44" t="n">
        <v>8113076</v>
      </c>
      <c r="Q350" t="inlineStr">
        <is>
          <t>KRW</t>
        </is>
      </c>
      <c r="R350" t="inlineStr">
        <is>
          <t>INV2508-00349</t>
        </is>
      </c>
      <c r="S350" t="inlineStr">
        <is>
          <t>※예시데이터</t>
        </is>
      </c>
    </row>
    <row r="351">
      <c r="A351" t="n">
        <v>1000</v>
      </c>
      <c r="B351" t="inlineStr">
        <is>
          <t>범용수지사업부</t>
        </is>
      </c>
      <c r="C351" t="inlineStr">
        <is>
          <t>국내영업1팀</t>
        </is>
      </c>
      <c r="D351" t="inlineStr">
        <is>
          <t>C10106</t>
        </is>
      </c>
      <c r="E351" t="inlineStr">
        <is>
          <t>온새미사출</t>
        </is>
      </c>
      <c r="F351" t="inlineStr">
        <is>
          <t>PP</t>
        </is>
      </c>
      <c r="G351" t="inlineStr">
        <is>
          <t>M-1101</t>
        </is>
      </c>
      <c r="H351" t="inlineStr">
        <is>
          <t>PP 범용사출 H110</t>
        </is>
      </c>
      <c r="I351" s="43" t="n">
        <v>45887</v>
      </c>
      <c r="J351" t="n">
        <v>202508</v>
      </c>
      <c r="K351" s="44" t="n">
        <v>7975</v>
      </c>
      <c r="L351" t="inlineStr">
        <is>
          <t>KG</t>
        </is>
      </c>
      <c r="M351" s="44" t="n">
        <v>13236862</v>
      </c>
      <c r="N351" s="44" t="n">
        <v>661843</v>
      </c>
      <c r="O351" t="n">
        <v>0</v>
      </c>
      <c r="P351" s="44" t="n">
        <v>12575019</v>
      </c>
      <c r="Q351" t="inlineStr">
        <is>
          <t>KRW</t>
        </is>
      </c>
      <c r="R351" t="inlineStr">
        <is>
          <t>INV2508-00350</t>
        </is>
      </c>
      <c r="S351" t="inlineStr">
        <is>
          <t>※예시데이터</t>
        </is>
      </c>
    </row>
    <row r="352">
      <c r="A352" t="n">
        <v>1000</v>
      </c>
      <c r="B352" t="inlineStr">
        <is>
          <t>범용수지사업부</t>
        </is>
      </c>
      <c r="C352" t="inlineStr">
        <is>
          <t>국내영업2팀</t>
        </is>
      </c>
      <c r="D352" t="inlineStr">
        <is>
          <t>C10127</t>
        </is>
      </c>
      <c r="E352" t="inlineStr">
        <is>
          <t>미르패키징</t>
        </is>
      </c>
      <c r="F352" t="inlineStr">
        <is>
          <t>PE</t>
        </is>
      </c>
      <c r="G352" t="inlineStr">
        <is>
          <t>M-1201</t>
        </is>
      </c>
      <c r="H352" t="inlineStr">
        <is>
          <t>HDPE 블로우 B500</t>
        </is>
      </c>
      <c r="I352" s="43" t="n">
        <v>45887</v>
      </c>
      <c r="J352" t="n">
        <v>202508</v>
      </c>
      <c r="K352" s="44" t="n">
        <v>3800</v>
      </c>
      <c r="L352" t="inlineStr">
        <is>
          <t>KG</t>
        </is>
      </c>
      <c r="M352" s="44" t="n">
        <v>6039641</v>
      </c>
      <c r="N352" s="44" t="n">
        <v>543568</v>
      </c>
      <c r="O352" t="n">
        <v>0</v>
      </c>
      <c r="P352" s="44" t="n">
        <v>5496073</v>
      </c>
      <c r="Q352" t="inlineStr">
        <is>
          <t>KRW</t>
        </is>
      </c>
      <c r="R352" t="inlineStr">
        <is>
          <t>INV2508-00351</t>
        </is>
      </c>
      <c r="S352" t="inlineStr">
        <is>
          <t>※예시데이터</t>
        </is>
      </c>
    </row>
    <row r="353">
      <c r="A353" t="n">
        <v>1000</v>
      </c>
      <c r="B353" t="inlineStr">
        <is>
          <t>EP사업부</t>
        </is>
      </c>
      <c r="C353" t="inlineStr">
        <is>
          <t>국내영업1팀</t>
        </is>
      </c>
      <c r="D353" t="inlineStr">
        <is>
          <t>C10134</t>
        </is>
      </c>
      <c r="E353" t="inlineStr">
        <is>
          <t>별하전자(주)</t>
        </is>
      </c>
      <c r="F353" t="inlineStr">
        <is>
          <t>PC</t>
        </is>
      </c>
      <c r="G353" t="inlineStr">
        <is>
          <t>M-2201</t>
        </is>
      </c>
      <c r="H353" t="inlineStr">
        <is>
          <t>PC 일반 C100</t>
        </is>
      </c>
      <c r="I353" s="43" t="n">
        <v>45887</v>
      </c>
      <c r="J353" t="n">
        <v>202508</v>
      </c>
      <c r="K353" t="n">
        <v>925</v>
      </c>
      <c r="L353" t="inlineStr">
        <is>
          <t>KG</t>
        </is>
      </c>
      <c r="M353" s="44" t="n">
        <v>3628915</v>
      </c>
      <c r="N353" s="44" t="n">
        <v>108867</v>
      </c>
      <c r="O353" t="n">
        <v>0</v>
      </c>
      <c r="P353" s="44" t="n">
        <v>3520048</v>
      </c>
      <c r="Q353" t="inlineStr">
        <is>
          <t>KRW</t>
        </is>
      </c>
      <c r="R353" t="inlineStr">
        <is>
          <t>INV2508-00352</t>
        </is>
      </c>
      <c r="S353" t="inlineStr">
        <is>
          <t>※예시데이터</t>
        </is>
      </c>
    </row>
    <row r="354">
      <c r="A354" t="n">
        <v>1000</v>
      </c>
      <c r="B354" t="inlineStr">
        <is>
          <t>범용수지사업부</t>
        </is>
      </c>
      <c r="C354" t="inlineStr">
        <is>
          <t>해외영업팀</t>
        </is>
      </c>
      <c r="D354" t="inlineStr">
        <is>
          <t>C10141</t>
        </is>
      </c>
      <c r="E354" t="inlineStr">
        <is>
          <t>Sinar Plastik (ID)</t>
        </is>
      </c>
      <c r="F354" t="inlineStr">
        <is>
          <t>PP</t>
        </is>
      </c>
      <c r="G354" t="inlineStr">
        <is>
          <t>M-1103</t>
        </is>
      </c>
      <c r="H354" t="inlineStr">
        <is>
          <t>PP 투명 R330</t>
        </is>
      </c>
      <c r="I354" s="43" t="n">
        <v>45887</v>
      </c>
      <c r="J354" t="n">
        <v>202508</v>
      </c>
      <c r="K354" s="44" t="n">
        <v>6825</v>
      </c>
      <c r="L354" t="inlineStr">
        <is>
          <t>KG</t>
        </is>
      </c>
      <c r="M354" s="44" t="n">
        <v>13319098</v>
      </c>
      <c r="N354" s="44" t="n">
        <v>1598292</v>
      </c>
      <c r="O354" t="n">
        <v>0</v>
      </c>
      <c r="P354" s="44" t="n">
        <v>11720806</v>
      </c>
      <c r="Q354" t="inlineStr">
        <is>
          <t>KRW</t>
        </is>
      </c>
      <c r="R354" t="inlineStr">
        <is>
          <t>INV2508-00353</t>
        </is>
      </c>
      <c r="S354" t="inlineStr">
        <is>
          <t>※예시데이터</t>
        </is>
      </c>
    </row>
    <row r="355">
      <c r="A355" t="n">
        <v>1000</v>
      </c>
      <c r="B355" t="inlineStr">
        <is>
          <t>범용수지사업부</t>
        </is>
      </c>
      <c r="C355" t="inlineStr">
        <is>
          <t>해외영업팀</t>
        </is>
      </c>
      <c r="D355" t="inlineStr">
        <is>
          <t>C10071</t>
        </is>
      </c>
      <c r="E355" t="inlineStr">
        <is>
          <t>큰별코리아</t>
        </is>
      </c>
      <c r="F355" t="inlineStr">
        <is>
          <t>PE</t>
        </is>
      </c>
      <c r="G355" t="inlineStr">
        <is>
          <t>M-1201</t>
        </is>
      </c>
      <c r="H355" t="inlineStr">
        <is>
          <t>HDPE 블로우 B500</t>
        </is>
      </c>
      <c r="I355" s="43" t="n">
        <v>45888</v>
      </c>
      <c r="J355" t="n">
        <v>202508</v>
      </c>
      <c r="K355" s="44" t="n">
        <v>7375</v>
      </c>
      <c r="L355" t="inlineStr">
        <is>
          <t>KG</t>
        </is>
      </c>
      <c r="M355" s="44" t="n">
        <v>11721671</v>
      </c>
      <c r="N355" s="44" t="n">
        <v>1289384</v>
      </c>
      <c r="O355" s="44" t="n">
        <v>234433</v>
      </c>
      <c r="P355" s="44" t="n">
        <v>10197854</v>
      </c>
      <c r="Q355" t="inlineStr">
        <is>
          <t>KRW</t>
        </is>
      </c>
      <c r="R355" t="inlineStr">
        <is>
          <t>INV2508-00354</t>
        </is>
      </c>
      <c r="S355" t="inlineStr">
        <is>
          <t>※예시데이터</t>
        </is>
      </c>
    </row>
    <row r="356">
      <c r="A356" t="n">
        <v>1000</v>
      </c>
      <c r="B356" t="inlineStr">
        <is>
          <t>범용수지사업부</t>
        </is>
      </c>
      <c r="C356" t="inlineStr">
        <is>
          <t>국내영업1팀</t>
        </is>
      </c>
      <c r="D356" t="inlineStr">
        <is>
          <t>C10008</t>
        </is>
      </c>
      <c r="E356" t="inlineStr">
        <is>
          <t>나래산업(주)</t>
        </is>
      </c>
      <c r="F356" t="inlineStr">
        <is>
          <t>PP</t>
        </is>
      </c>
      <c r="G356" t="inlineStr">
        <is>
          <t>M-1101</t>
        </is>
      </c>
      <c r="H356" t="inlineStr">
        <is>
          <t>PP 범용사출 H110</t>
        </is>
      </c>
      <c r="I356" s="43" t="n">
        <v>45889</v>
      </c>
      <c r="J356" t="n">
        <v>202508</v>
      </c>
      <c r="K356" s="44" t="n">
        <v>15300</v>
      </c>
      <c r="L356" t="inlineStr">
        <is>
          <t>KG</t>
        </is>
      </c>
      <c r="M356" s="44" t="n">
        <v>25394858</v>
      </c>
      <c r="N356" s="44" t="n">
        <v>2031589</v>
      </c>
      <c r="O356" s="44" t="n">
        <v>253949</v>
      </c>
      <c r="P356" s="44" t="n">
        <v>23109320</v>
      </c>
      <c r="Q356" t="inlineStr">
        <is>
          <t>KRW</t>
        </is>
      </c>
      <c r="R356" t="inlineStr">
        <is>
          <t>INV2508-00355</t>
        </is>
      </c>
      <c r="S356" t="inlineStr">
        <is>
          <t>※예시데이터</t>
        </is>
      </c>
    </row>
    <row r="357">
      <c r="A357" t="n">
        <v>1000</v>
      </c>
      <c r="B357" t="inlineStr">
        <is>
          <t>범용수지사업부</t>
        </is>
      </c>
      <c r="C357" t="inlineStr">
        <is>
          <t>국내영업2팀</t>
        </is>
      </c>
      <c r="D357" t="inlineStr">
        <is>
          <t>C10036</t>
        </is>
      </c>
      <c r="E357" t="inlineStr">
        <is>
          <t>바른물산</t>
        </is>
      </c>
      <c r="F357" t="inlineStr">
        <is>
          <t>PE</t>
        </is>
      </c>
      <c r="G357" t="inlineStr">
        <is>
          <t>M-1201</t>
        </is>
      </c>
      <c r="H357" t="inlineStr">
        <is>
          <t>HDPE 블로우 B500</t>
        </is>
      </c>
      <c r="I357" s="43" t="n">
        <v>45889</v>
      </c>
      <c r="J357" t="n">
        <v>202508</v>
      </c>
      <c r="K357" s="44" t="n">
        <v>6900</v>
      </c>
      <c r="L357" t="inlineStr">
        <is>
          <t>KG</t>
        </is>
      </c>
      <c r="M357" s="44" t="n">
        <v>10966716</v>
      </c>
      <c r="N357" s="44" t="n">
        <v>987004</v>
      </c>
      <c r="O357" s="44" t="n">
        <v>219334</v>
      </c>
      <c r="P357" s="44" t="n">
        <v>9760378</v>
      </c>
      <c r="Q357" t="inlineStr">
        <is>
          <t>KRW</t>
        </is>
      </c>
      <c r="R357" t="inlineStr">
        <is>
          <t>INV2508-00356</t>
        </is>
      </c>
      <c r="S357" t="inlineStr">
        <is>
          <t>※예시데이터</t>
        </is>
      </c>
    </row>
    <row r="358">
      <c r="A358" t="n">
        <v>1000</v>
      </c>
      <c r="B358" t="inlineStr">
        <is>
          <t>EP사업부</t>
        </is>
      </c>
      <c r="C358" t="inlineStr">
        <is>
          <t>국내영업2팀</t>
        </is>
      </c>
      <c r="D358" t="inlineStr">
        <is>
          <t>C10113</t>
        </is>
      </c>
      <c r="E358" t="inlineStr">
        <is>
          <t>누리오토파츠</t>
        </is>
      </c>
      <c r="F358" t="inlineStr">
        <is>
          <t>ABS</t>
        </is>
      </c>
      <c r="G358" t="inlineStr">
        <is>
          <t>M-2102</t>
        </is>
      </c>
      <c r="H358" t="inlineStr">
        <is>
          <t>ABS 내열 HR500</t>
        </is>
      </c>
      <c r="I358" s="43" t="n">
        <v>45889</v>
      </c>
      <c r="J358" t="n">
        <v>202508</v>
      </c>
      <c r="K358" s="44" t="n">
        <v>1150</v>
      </c>
      <c r="L358" t="inlineStr">
        <is>
          <t>KG</t>
        </is>
      </c>
      <c r="M358" s="44" t="n">
        <v>3447343</v>
      </c>
      <c r="N358" s="44" t="n">
        <v>241314</v>
      </c>
      <c r="O358" s="44" t="n">
        <v>34473</v>
      </c>
      <c r="P358" s="44" t="n">
        <v>3171556</v>
      </c>
      <c r="Q358" t="inlineStr">
        <is>
          <t>KRW</t>
        </is>
      </c>
      <c r="R358" t="inlineStr">
        <is>
          <t>INV2508-00357</t>
        </is>
      </c>
      <c r="S358" t="inlineStr">
        <is>
          <t>※예시데이터</t>
        </is>
      </c>
    </row>
    <row r="359">
      <c r="A359" t="n">
        <v>1000</v>
      </c>
      <c r="B359" t="inlineStr">
        <is>
          <t>범용수지사업부</t>
        </is>
      </c>
      <c r="C359" t="inlineStr">
        <is>
          <t>국내영업2팀</t>
        </is>
      </c>
      <c r="D359" t="inlineStr">
        <is>
          <t>C10127</t>
        </is>
      </c>
      <c r="E359" t="inlineStr">
        <is>
          <t>미르패키징</t>
        </is>
      </c>
      <c r="F359" t="inlineStr">
        <is>
          <t>PP</t>
        </is>
      </c>
      <c r="G359" t="inlineStr">
        <is>
          <t>M-1101</t>
        </is>
      </c>
      <c r="H359" t="inlineStr">
        <is>
          <t>PP 범용사출 H110</t>
        </is>
      </c>
      <c r="I359" s="43" t="n">
        <v>45889</v>
      </c>
      <c r="J359" t="n">
        <v>202508</v>
      </c>
      <c r="K359" s="44" t="n">
        <v>3900</v>
      </c>
      <c r="L359" t="inlineStr">
        <is>
          <t>KG</t>
        </is>
      </c>
      <c r="M359" s="44" t="n">
        <v>6473199</v>
      </c>
      <c r="N359" s="44" t="n">
        <v>582588</v>
      </c>
      <c r="O359" t="n">
        <v>0</v>
      </c>
      <c r="P359" s="44" t="n">
        <v>5890611</v>
      </c>
      <c r="Q359" t="inlineStr">
        <is>
          <t>KRW</t>
        </is>
      </c>
      <c r="R359" t="inlineStr">
        <is>
          <t>INV2508-00358</t>
        </is>
      </c>
      <c r="S359" t="inlineStr">
        <is>
          <t>※예시데이터</t>
        </is>
      </c>
    </row>
    <row r="360">
      <c r="A360" t="n">
        <v>1000</v>
      </c>
      <c r="B360" t="inlineStr">
        <is>
          <t>EP사업부</t>
        </is>
      </c>
      <c r="C360" t="inlineStr">
        <is>
          <t>국내영업1팀</t>
        </is>
      </c>
      <c r="D360" t="inlineStr">
        <is>
          <t>C10078</t>
        </is>
      </c>
      <c r="E360" t="inlineStr">
        <is>
          <t>토담정공(주)</t>
        </is>
      </c>
      <c r="F360" t="inlineStr">
        <is>
          <t>ABS</t>
        </is>
      </c>
      <c r="G360" t="inlineStr">
        <is>
          <t>M-2102</t>
        </is>
      </c>
      <c r="H360" t="inlineStr">
        <is>
          <t>ABS 내열 HR500</t>
        </is>
      </c>
      <c r="I360" s="43" t="n">
        <v>45891</v>
      </c>
      <c r="J360" t="n">
        <v>202508</v>
      </c>
      <c r="K360" s="44" t="n">
        <v>1925</v>
      </c>
      <c r="L360" t="inlineStr">
        <is>
          <t>KG</t>
        </is>
      </c>
      <c r="M360" s="44" t="n">
        <v>5770553</v>
      </c>
      <c r="N360" s="44" t="n">
        <v>173117</v>
      </c>
      <c r="O360" t="n">
        <v>0</v>
      </c>
      <c r="P360" s="44" t="n">
        <v>5597436</v>
      </c>
      <c r="Q360" t="inlineStr">
        <is>
          <t>KRW</t>
        </is>
      </c>
      <c r="R360" t="inlineStr">
        <is>
          <t>INV2508-00359</t>
        </is>
      </c>
      <c r="S360" t="inlineStr">
        <is>
          <t>※예시데이터</t>
        </is>
      </c>
    </row>
    <row r="361">
      <c r="A361" t="n">
        <v>1000</v>
      </c>
      <c r="B361" t="inlineStr">
        <is>
          <t>범용수지사업부</t>
        </is>
      </c>
      <c r="C361" t="inlineStr">
        <is>
          <t>국내영업2팀</t>
        </is>
      </c>
      <c r="D361" t="inlineStr">
        <is>
          <t>C10099</t>
        </is>
      </c>
      <c r="E361" t="inlineStr">
        <is>
          <t>한울몰드</t>
        </is>
      </c>
      <c r="F361" t="inlineStr">
        <is>
          <t>PP</t>
        </is>
      </c>
      <c r="G361" t="inlineStr">
        <is>
          <t>M-1101</t>
        </is>
      </c>
      <c r="H361" t="inlineStr">
        <is>
          <t>PP 범용사출 H110</t>
        </is>
      </c>
      <c r="I361" s="43" t="n">
        <v>45891</v>
      </c>
      <c r="J361" t="n">
        <v>202508</v>
      </c>
      <c r="K361" s="44" t="n">
        <v>1225</v>
      </c>
      <c r="L361" t="inlineStr">
        <is>
          <t>KG</t>
        </is>
      </c>
      <c r="M361" s="44" t="n">
        <v>2033248</v>
      </c>
      <c r="N361" s="44" t="n">
        <v>121995</v>
      </c>
      <c r="O361" t="n">
        <v>0</v>
      </c>
      <c r="P361" s="44" t="n">
        <v>1911253</v>
      </c>
      <c r="Q361" t="inlineStr">
        <is>
          <t>KRW</t>
        </is>
      </c>
      <c r="R361" t="inlineStr">
        <is>
          <t>INV2508-00360</t>
        </is>
      </c>
      <c r="S361" t="inlineStr">
        <is>
          <t>※예시데이터</t>
        </is>
      </c>
    </row>
    <row r="362">
      <c r="A362" t="n">
        <v>1000</v>
      </c>
      <c r="B362" t="inlineStr">
        <is>
          <t>EP사업부</t>
        </is>
      </c>
      <c r="C362" t="inlineStr">
        <is>
          <t>국내영업2팀</t>
        </is>
      </c>
      <c r="D362" t="inlineStr">
        <is>
          <t>C10113</t>
        </is>
      </c>
      <c r="E362" t="inlineStr">
        <is>
          <t>누리오토파츠</t>
        </is>
      </c>
      <c r="F362" t="inlineStr">
        <is>
          <t>ABS</t>
        </is>
      </c>
      <c r="G362" t="inlineStr">
        <is>
          <t>M-2102</t>
        </is>
      </c>
      <c r="H362" t="inlineStr">
        <is>
          <t>ABS 내열 HR500</t>
        </is>
      </c>
      <c r="I362" s="43" t="n">
        <v>45891</v>
      </c>
      <c r="J362" t="n">
        <v>202508</v>
      </c>
      <c r="K362" s="44" t="n">
        <v>1150</v>
      </c>
      <c r="L362" t="inlineStr">
        <is>
          <t>KG</t>
        </is>
      </c>
      <c r="M362" s="44" t="n">
        <v>3447343</v>
      </c>
      <c r="N362" s="44" t="n">
        <v>241314</v>
      </c>
      <c r="O362" s="44" t="n">
        <v>34473</v>
      </c>
      <c r="P362" s="44" t="n">
        <v>3171556</v>
      </c>
      <c r="Q362" t="inlineStr">
        <is>
          <t>KRW</t>
        </is>
      </c>
      <c r="R362" t="inlineStr">
        <is>
          <t>INV2508-00361</t>
        </is>
      </c>
      <c r="S362" t="inlineStr">
        <is>
          <t>※예시데이터</t>
        </is>
      </c>
    </row>
    <row r="363">
      <c r="A363" t="n">
        <v>1000</v>
      </c>
      <c r="B363" t="inlineStr">
        <is>
          <t>EP사업부</t>
        </is>
      </c>
      <c r="C363" t="inlineStr">
        <is>
          <t>국내영업2팀</t>
        </is>
      </c>
      <c r="D363" t="inlineStr">
        <is>
          <t>C10022</t>
        </is>
      </c>
      <c r="E363" t="inlineStr">
        <is>
          <t>라온테크(주)</t>
        </is>
      </c>
      <c r="F363" t="inlineStr">
        <is>
          <t>ABS</t>
        </is>
      </c>
      <c r="G363" t="inlineStr">
        <is>
          <t>M-2101</t>
        </is>
      </c>
      <c r="H363" t="inlineStr">
        <is>
          <t>ABS 범용 G300</t>
        </is>
      </c>
      <c r="I363" s="43" t="n">
        <v>45892</v>
      </c>
      <c r="J363" t="n">
        <v>202508</v>
      </c>
      <c r="K363" s="44" t="n">
        <v>1700</v>
      </c>
      <c r="L363" t="inlineStr">
        <is>
          <t>KG</t>
        </is>
      </c>
      <c r="M363" s="44" t="n">
        <v>4531742</v>
      </c>
      <c r="N363" s="44" t="n">
        <v>317222</v>
      </c>
      <c r="O363" t="n">
        <v>0</v>
      </c>
      <c r="P363" s="44" t="n">
        <v>4214520</v>
      </c>
      <c r="Q363" t="inlineStr">
        <is>
          <t>KRW</t>
        </is>
      </c>
      <c r="R363" t="inlineStr">
        <is>
          <t>INV2508-00362</t>
        </is>
      </c>
      <c r="S363" t="inlineStr">
        <is>
          <t>※예시데이터</t>
        </is>
      </c>
    </row>
    <row r="364">
      <c r="A364" t="n">
        <v>1000</v>
      </c>
      <c r="B364" t="inlineStr">
        <is>
          <t>범용수지사업부</t>
        </is>
      </c>
      <c r="C364" t="inlineStr">
        <is>
          <t>국내영업1팀</t>
        </is>
      </c>
      <c r="D364" t="inlineStr">
        <is>
          <t>C10092</t>
        </is>
      </c>
      <c r="E364" t="inlineStr">
        <is>
          <t>하늘포장(주)</t>
        </is>
      </c>
      <c r="F364" t="inlineStr">
        <is>
          <t>PE</t>
        </is>
      </c>
      <c r="G364" t="inlineStr">
        <is>
          <t>M-1201</t>
        </is>
      </c>
      <c r="H364" t="inlineStr">
        <is>
          <t>HDPE 블로우 B500</t>
        </is>
      </c>
      <c r="I364" s="43" t="n">
        <v>45892</v>
      </c>
      <c r="J364" t="n">
        <v>202508</v>
      </c>
      <c r="K364" s="44" t="n">
        <v>7200</v>
      </c>
      <c r="L364" t="inlineStr">
        <is>
          <t>KG</t>
        </is>
      </c>
      <c r="M364" s="44" t="n">
        <v>11443530</v>
      </c>
      <c r="N364" s="44" t="n">
        <v>915482</v>
      </c>
      <c r="O364" t="n">
        <v>0</v>
      </c>
      <c r="P364" s="44" t="n">
        <v>10528048</v>
      </c>
      <c r="Q364" t="inlineStr">
        <is>
          <t>KRW</t>
        </is>
      </c>
      <c r="R364" t="inlineStr">
        <is>
          <t>INV2508-00363</t>
        </is>
      </c>
      <c r="S364" t="inlineStr">
        <is>
          <t>※예시데이터</t>
        </is>
      </c>
    </row>
    <row r="365">
      <c r="A365" t="n">
        <v>1000</v>
      </c>
      <c r="B365" t="inlineStr">
        <is>
          <t>EP사업부</t>
        </is>
      </c>
      <c r="C365" t="inlineStr">
        <is>
          <t>국내영업2팀</t>
        </is>
      </c>
      <c r="D365" t="inlineStr">
        <is>
          <t>C10015</t>
        </is>
      </c>
      <c r="E365" t="inlineStr">
        <is>
          <t>다솜케미칼</t>
        </is>
      </c>
      <c r="F365" t="inlineStr">
        <is>
          <t>PC</t>
        </is>
      </c>
      <c r="G365" t="inlineStr">
        <is>
          <t>M-2202</t>
        </is>
      </c>
      <c r="H365" t="inlineStr">
        <is>
          <t>PC 난연 FR200</t>
        </is>
      </c>
      <c r="I365" s="43" t="n">
        <v>45893</v>
      </c>
      <c r="J365" t="n">
        <v>202508</v>
      </c>
      <c r="K365" s="44" t="n">
        <v>1200</v>
      </c>
      <c r="L365" t="inlineStr">
        <is>
          <t>KG</t>
        </is>
      </c>
      <c r="M365" s="44" t="n">
        <v>5250987</v>
      </c>
      <c r="N365" s="44" t="n">
        <v>262549</v>
      </c>
      <c r="O365" t="n">
        <v>0</v>
      </c>
      <c r="P365" s="44" t="n">
        <v>4988438</v>
      </c>
      <c r="Q365" t="inlineStr">
        <is>
          <t>KRW</t>
        </is>
      </c>
      <c r="R365" t="inlineStr">
        <is>
          <t>INV2508-00364</t>
        </is>
      </c>
      <c r="S365" t="inlineStr">
        <is>
          <t>※예시데이터</t>
        </is>
      </c>
    </row>
    <row r="366">
      <c r="A366" t="n">
        <v>1000</v>
      </c>
      <c r="B366" t="inlineStr">
        <is>
          <t>EP사업부</t>
        </is>
      </c>
      <c r="C366" t="inlineStr">
        <is>
          <t>국내영업1팀</t>
        </is>
      </c>
      <c r="D366" t="inlineStr">
        <is>
          <t>C10029</t>
        </is>
      </c>
      <c r="E366" t="inlineStr">
        <is>
          <t>마루정밀</t>
        </is>
      </c>
      <c r="F366" t="inlineStr">
        <is>
          <t>PC</t>
        </is>
      </c>
      <c r="G366" t="inlineStr">
        <is>
          <t>M-2201</t>
        </is>
      </c>
      <c r="H366" t="inlineStr">
        <is>
          <t>PC 일반 C100</t>
        </is>
      </c>
      <c r="I366" s="43" t="n">
        <v>45893</v>
      </c>
      <c r="J366" t="n">
        <v>202508</v>
      </c>
      <c r="K366" s="44" t="n">
        <v>1950</v>
      </c>
      <c r="L366" t="inlineStr">
        <is>
          <t>KG</t>
        </is>
      </c>
      <c r="M366" s="44" t="n">
        <v>7650144</v>
      </c>
      <c r="N366" s="44" t="n">
        <v>306006</v>
      </c>
      <c r="O366" t="n">
        <v>0</v>
      </c>
      <c r="P366" s="44" t="n">
        <v>7344138</v>
      </c>
      <c r="Q366" t="inlineStr">
        <is>
          <t>KRW</t>
        </is>
      </c>
      <c r="R366" t="inlineStr">
        <is>
          <t>INV2508-00365</t>
        </is>
      </c>
      <c r="S366" t="inlineStr">
        <is>
          <t>※예시데이터</t>
        </is>
      </c>
    </row>
    <row r="367">
      <c r="A367" t="n">
        <v>1000</v>
      </c>
      <c r="B367" t="inlineStr">
        <is>
          <t>범용수지사업부</t>
        </is>
      </c>
      <c r="C367" t="inlineStr">
        <is>
          <t>해외영업팀</t>
        </is>
      </c>
      <c r="D367" t="inlineStr">
        <is>
          <t>C10071</t>
        </is>
      </c>
      <c r="E367" t="inlineStr">
        <is>
          <t>큰별코리아</t>
        </is>
      </c>
      <c r="F367" t="inlineStr">
        <is>
          <t>PP</t>
        </is>
      </c>
      <c r="G367" t="inlineStr">
        <is>
          <t>M-1101</t>
        </is>
      </c>
      <c r="H367" t="inlineStr">
        <is>
          <t>PP 범용사출 H110</t>
        </is>
      </c>
      <c r="I367" s="43" t="n">
        <v>45893</v>
      </c>
      <c r="J367" t="n">
        <v>202508</v>
      </c>
      <c r="K367" s="44" t="n">
        <v>10175</v>
      </c>
      <c r="L367" t="inlineStr">
        <is>
          <t>KG</t>
        </is>
      </c>
      <c r="M367" s="44" t="n">
        <v>16888411</v>
      </c>
      <c r="N367" s="44" t="n">
        <v>1857725</v>
      </c>
      <c r="O367" s="44" t="n">
        <v>337768</v>
      </c>
      <c r="P367" s="44" t="n">
        <v>14692918</v>
      </c>
      <c r="Q367" t="inlineStr">
        <is>
          <t>KRW</t>
        </is>
      </c>
      <c r="R367" t="inlineStr">
        <is>
          <t>INV2508-00366</t>
        </is>
      </c>
      <c r="S367" t="inlineStr">
        <is>
          <t>※예시데이터</t>
        </is>
      </c>
    </row>
    <row r="368">
      <c r="A368" t="n">
        <v>1000</v>
      </c>
      <c r="B368" t="inlineStr">
        <is>
          <t>범용수지사업부</t>
        </is>
      </c>
      <c r="C368" t="inlineStr">
        <is>
          <t>국내영업1팀</t>
        </is>
      </c>
      <c r="D368" t="inlineStr">
        <is>
          <t>C10092</t>
        </is>
      </c>
      <c r="E368" t="inlineStr">
        <is>
          <t>하늘포장(주)</t>
        </is>
      </c>
      <c r="F368" t="inlineStr">
        <is>
          <t>PE</t>
        </is>
      </c>
      <c r="G368" t="inlineStr">
        <is>
          <t>M-1201</t>
        </is>
      </c>
      <c r="H368" t="inlineStr">
        <is>
          <t>HDPE 블로우 B500</t>
        </is>
      </c>
      <c r="I368" s="43" t="n">
        <v>45893</v>
      </c>
      <c r="J368" t="n">
        <v>202508</v>
      </c>
      <c r="K368" s="44" t="n">
        <v>7200</v>
      </c>
      <c r="L368" t="inlineStr">
        <is>
          <t>KG</t>
        </is>
      </c>
      <c r="M368" s="44" t="n">
        <v>11443530</v>
      </c>
      <c r="N368" s="44" t="n">
        <v>915482</v>
      </c>
      <c r="O368" t="n">
        <v>0</v>
      </c>
      <c r="P368" s="44" t="n">
        <v>10528048</v>
      </c>
      <c r="Q368" t="inlineStr">
        <is>
          <t>KRW</t>
        </is>
      </c>
      <c r="R368" t="inlineStr">
        <is>
          <t>INV2508-00367</t>
        </is>
      </c>
      <c r="S368" t="inlineStr">
        <is>
          <t>※예시데이터</t>
        </is>
      </c>
    </row>
    <row r="369">
      <c r="A369" t="n">
        <v>1000</v>
      </c>
      <c r="B369" t="inlineStr">
        <is>
          <t>EP사업부</t>
        </is>
      </c>
      <c r="C369" t="inlineStr">
        <is>
          <t>국내영업2팀</t>
        </is>
      </c>
      <c r="D369" t="inlineStr">
        <is>
          <t>C10113</t>
        </is>
      </c>
      <c r="E369" t="inlineStr">
        <is>
          <t>누리오토파츠</t>
        </is>
      </c>
      <c r="F369" t="inlineStr">
        <is>
          <t>ABS</t>
        </is>
      </c>
      <c r="G369" t="inlineStr">
        <is>
          <t>M-2101</t>
        </is>
      </c>
      <c r="H369" t="inlineStr">
        <is>
          <t>ABS 범용 G300</t>
        </is>
      </c>
      <c r="I369" s="43" t="n">
        <v>45893</v>
      </c>
      <c r="J369" t="n">
        <v>202508</v>
      </c>
      <c r="K369" s="44" t="n">
        <v>2750</v>
      </c>
      <c r="L369" t="inlineStr">
        <is>
          <t>KG</t>
        </is>
      </c>
      <c r="M369" s="44" t="n">
        <v>7330760</v>
      </c>
      <c r="N369" s="44" t="n">
        <v>513153</v>
      </c>
      <c r="O369" s="44" t="n">
        <v>73308</v>
      </c>
      <c r="P369" s="44" t="n">
        <v>6744299</v>
      </c>
      <c r="Q369" t="inlineStr">
        <is>
          <t>KRW</t>
        </is>
      </c>
      <c r="R369" t="inlineStr">
        <is>
          <t>INV2508-00368</t>
        </is>
      </c>
      <c r="S369" t="inlineStr">
        <is>
          <t>※예시데이터</t>
        </is>
      </c>
    </row>
    <row r="370">
      <c r="A370" t="n">
        <v>1000</v>
      </c>
      <c r="B370" t="inlineStr">
        <is>
          <t>EP사업부</t>
        </is>
      </c>
      <c r="C370" t="inlineStr">
        <is>
          <t>국내영업1팀</t>
        </is>
      </c>
      <c r="D370" t="inlineStr">
        <is>
          <t>C10043</t>
        </is>
      </c>
      <c r="E370" t="inlineStr">
        <is>
          <t>새봄플라스틱</t>
        </is>
      </c>
      <c r="F370" t="inlineStr">
        <is>
          <t>ABS</t>
        </is>
      </c>
      <c r="G370" t="inlineStr">
        <is>
          <t>M-2102</t>
        </is>
      </c>
      <c r="H370" t="inlineStr">
        <is>
          <t>ABS 내열 HR500</t>
        </is>
      </c>
      <c r="I370" s="43" t="n">
        <v>45894</v>
      </c>
      <c r="J370" t="n">
        <v>202508</v>
      </c>
      <c r="K370" s="44" t="n">
        <v>3275</v>
      </c>
      <c r="L370" t="inlineStr">
        <is>
          <t>KG</t>
        </is>
      </c>
      <c r="M370" s="44" t="n">
        <v>9817434</v>
      </c>
      <c r="N370" s="44" t="n">
        <v>589046</v>
      </c>
      <c r="O370" t="n">
        <v>0</v>
      </c>
      <c r="P370" s="44" t="n">
        <v>9228388</v>
      </c>
      <c r="Q370" t="inlineStr">
        <is>
          <t>KRW</t>
        </is>
      </c>
      <c r="R370" t="inlineStr">
        <is>
          <t>INV2508-00369</t>
        </is>
      </c>
      <c r="S370" t="inlineStr">
        <is>
          <t>※예시데이터</t>
        </is>
      </c>
    </row>
    <row r="371">
      <c r="A371" t="n">
        <v>1000</v>
      </c>
      <c r="B371" t="inlineStr">
        <is>
          <t>범용수지사업부</t>
        </is>
      </c>
      <c r="C371" t="inlineStr">
        <is>
          <t>해외영업팀</t>
        </is>
      </c>
      <c r="D371" t="inlineStr">
        <is>
          <t>C10141</t>
        </is>
      </c>
      <c r="E371" t="inlineStr">
        <is>
          <t>Sinar Plastik (ID)</t>
        </is>
      </c>
      <c r="F371" t="inlineStr">
        <is>
          <t>PP</t>
        </is>
      </c>
      <c r="G371" t="inlineStr">
        <is>
          <t>M-1102</t>
        </is>
      </c>
      <c r="H371" t="inlineStr">
        <is>
          <t>PP 고강성 H220</t>
        </is>
      </c>
      <c r="I371" s="43" t="n">
        <v>45894</v>
      </c>
      <c r="J371" t="n">
        <v>202508</v>
      </c>
      <c r="K371" s="44" t="n">
        <v>8100</v>
      </c>
      <c r="L371" t="inlineStr">
        <is>
          <t>KG</t>
        </is>
      </c>
      <c r="M371" s="44" t="n">
        <v>14829511</v>
      </c>
      <c r="N371" s="44" t="n">
        <v>1779541</v>
      </c>
      <c r="O371" t="n">
        <v>0</v>
      </c>
      <c r="P371" s="44" t="n">
        <v>13049970</v>
      </c>
      <c r="Q371" t="inlineStr">
        <is>
          <t>KRW</t>
        </is>
      </c>
      <c r="R371" t="inlineStr">
        <is>
          <t>INV2508-00370</t>
        </is>
      </c>
      <c r="S371" t="inlineStr">
        <is>
          <t>※예시데이터</t>
        </is>
      </c>
    </row>
    <row r="372">
      <c r="A372" t="n">
        <v>1000</v>
      </c>
      <c r="B372" t="inlineStr">
        <is>
          <t>EP사업부</t>
        </is>
      </c>
      <c r="C372" t="inlineStr">
        <is>
          <t>국내영업2팀</t>
        </is>
      </c>
      <c r="D372" t="inlineStr">
        <is>
          <t>C10022</t>
        </is>
      </c>
      <c r="E372" t="inlineStr">
        <is>
          <t>라온테크(주)</t>
        </is>
      </c>
      <c r="F372" t="inlineStr">
        <is>
          <t>ABS</t>
        </is>
      </c>
      <c r="G372" t="inlineStr">
        <is>
          <t>M-2101</t>
        </is>
      </c>
      <c r="H372" t="inlineStr">
        <is>
          <t>ABS 범용 G300</t>
        </is>
      </c>
      <c r="I372" s="43" t="n">
        <v>45895</v>
      </c>
      <c r="J372" t="n">
        <v>202508</v>
      </c>
      <c r="K372" s="44" t="n">
        <v>1700</v>
      </c>
      <c r="L372" t="inlineStr">
        <is>
          <t>KG</t>
        </is>
      </c>
      <c r="M372" s="44" t="n">
        <v>4531742</v>
      </c>
      <c r="N372" s="44" t="n">
        <v>317222</v>
      </c>
      <c r="O372" t="n">
        <v>0</v>
      </c>
      <c r="P372" s="44" t="n">
        <v>4214520</v>
      </c>
      <c r="Q372" t="inlineStr">
        <is>
          <t>KRW</t>
        </is>
      </c>
      <c r="R372" t="inlineStr">
        <is>
          <t>INV2508-00371</t>
        </is>
      </c>
      <c r="S372" t="inlineStr">
        <is>
          <t>※예시데이터</t>
        </is>
      </c>
    </row>
    <row r="373">
      <c r="A373" t="n">
        <v>1000</v>
      </c>
      <c r="B373" t="inlineStr">
        <is>
          <t>범용수지사업부</t>
        </is>
      </c>
      <c r="C373" t="inlineStr">
        <is>
          <t>국내영업2팀</t>
        </is>
      </c>
      <c r="D373" t="inlineStr">
        <is>
          <t>C10127</t>
        </is>
      </c>
      <c r="E373" t="inlineStr">
        <is>
          <t>미르패키징</t>
        </is>
      </c>
      <c r="F373" t="inlineStr">
        <is>
          <t>PE</t>
        </is>
      </c>
      <c r="G373" t="inlineStr">
        <is>
          <t>M-1202</t>
        </is>
      </c>
      <c r="H373" t="inlineStr">
        <is>
          <t>LLDPE 필름 F120</t>
        </is>
      </c>
      <c r="I373" s="43" t="n">
        <v>45895</v>
      </c>
      <c r="J373" t="n">
        <v>202508</v>
      </c>
      <c r="K373" s="44" t="n">
        <v>1925</v>
      </c>
      <c r="L373" t="inlineStr">
        <is>
          <t>KG</t>
        </is>
      </c>
      <c r="M373" s="44" t="n">
        <v>3311290</v>
      </c>
      <c r="N373" s="44" t="n">
        <v>298016</v>
      </c>
      <c r="O373" t="n">
        <v>0</v>
      </c>
      <c r="P373" s="44" t="n">
        <v>3013274</v>
      </c>
      <c r="Q373" t="inlineStr">
        <is>
          <t>KRW</t>
        </is>
      </c>
      <c r="R373" t="inlineStr">
        <is>
          <t>INV2508-00372</t>
        </is>
      </c>
      <c r="S373" t="inlineStr">
        <is>
          <t>※예시데이터</t>
        </is>
      </c>
    </row>
    <row r="374">
      <c r="A374" t="n">
        <v>1000</v>
      </c>
      <c r="B374" t="inlineStr">
        <is>
          <t>EP사업부</t>
        </is>
      </c>
      <c r="C374" t="inlineStr">
        <is>
          <t>국내영업2팀</t>
        </is>
      </c>
      <c r="D374" t="inlineStr">
        <is>
          <t>C10085</t>
        </is>
      </c>
      <c r="E374" t="inlineStr">
        <is>
          <t>파란하이텍</t>
        </is>
      </c>
      <c r="F374" t="inlineStr">
        <is>
          <t>PC</t>
        </is>
      </c>
      <c r="G374" t="inlineStr">
        <is>
          <t>M-2202</t>
        </is>
      </c>
      <c r="H374" t="inlineStr">
        <is>
          <t>PC 난연 FR200</t>
        </is>
      </c>
      <c r="I374" s="43" t="n">
        <v>45896</v>
      </c>
      <c r="J374" t="n">
        <v>202508</v>
      </c>
      <c r="K374" s="44" t="n">
        <v>1800</v>
      </c>
      <c r="L374" t="inlineStr">
        <is>
          <t>KG</t>
        </is>
      </c>
      <c r="M374" s="44" t="n">
        <v>7876480</v>
      </c>
      <c r="N374" s="44" t="n">
        <v>472589</v>
      </c>
      <c r="O374" t="n">
        <v>0</v>
      </c>
      <c r="P374" s="44" t="n">
        <v>7403891</v>
      </c>
      <c r="Q374" t="inlineStr">
        <is>
          <t>KRW</t>
        </is>
      </c>
      <c r="R374" t="inlineStr">
        <is>
          <t>INV2508-00373</t>
        </is>
      </c>
      <c r="S374" t="inlineStr">
        <is>
          <t>※예시데이터</t>
        </is>
      </c>
    </row>
    <row r="375">
      <c r="A375" t="n">
        <v>1000</v>
      </c>
      <c r="B375" t="inlineStr">
        <is>
          <t>범용수지사업부</t>
        </is>
      </c>
      <c r="C375" t="inlineStr">
        <is>
          <t>국내영업1팀</t>
        </is>
      </c>
      <c r="D375" t="inlineStr">
        <is>
          <t>C10001</t>
        </is>
      </c>
      <c r="E375" t="inlineStr">
        <is>
          <t>가온소재(주)</t>
        </is>
      </c>
      <c r="F375" t="inlineStr">
        <is>
          <t>PP</t>
        </is>
      </c>
      <c r="G375" t="inlineStr">
        <is>
          <t>M-1102</t>
        </is>
      </c>
      <c r="H375" t="inlineStr">
        <is>
          <t>PP 고강성 H220</t>
        </is>
      </c>
      <c r="I375" s="43" t="n">
        <v>45897</v>
      </c>
      <c r="J375" t="n">
        <v>202508</v>
      </c>
      <c r="K375" s="44" t="n">
        <v>4775</v>
      </c>
      <c r="L375" t="inlineStr">
        <is>
          <t>KG</t>
        </is>
      </c>
      <c r="M375" s="44" t="n">
        <v>8742088</v>
      </c>
      <c r="N375" s="44" t="n">
        <v>524525</v>
      </c>
      <c r="O375" t="n">
        <v>0</v>
      </c>
      <c r="P375" s="44" t="n">
        <v>8217563</v>
      </c>
      <c r="Q375" t="inlineStr">
        <is>
          <t>KRW</t>
        </is>
      </c>
      <c r="R375" t="inlineStr">
        <is>
          <t>INV2508-00374</t>
        </is>
      </c>
      <c r="S375" t="inlineStr">
        <is>
          <t>※예시데이터</t>
        </is>
      </c>
    </row>
    <row r="376">
      <c r="A376" t="n">
        <v>1000</v>
      </c>
      <c r="B376" t="inlineStr">
        <is>
          <t>EP사업부</t>
        </is>
      </c>
      <c r="C376" t="inlineStr">
        <is>
          <t>국내영업2팀</t>
        </is>
      </c>
      <c r="D376" t="inlineStr">
        <is>
          <t>C10099</t>
        </is>
      </c>
      <c r="E376" t="inlineStr">
        <is>
          <t>한울몰드</t>
        </is>
      </c>
      <c r="F376" t="inlineStr">
        <is>
          <t>ABS</t>
        </is>
      </c>
      <c r="G376" t="inlineStr">
        <is>
          <t>M-2102</t>
        </is>
      </c>
      <c r="H376" t="inlineStr">
        <is>
          <t>ABS 내열 HR500</t>
        </is>
      </c>
      <c r="I376" s="43" t="n">
        <v>45897</v>
      </c>
      <c r="J376" t="n">
        <v>202508</v>
      </c>
      <c r="K376" s="44" t="n">
        <v>1950</v>
      </c>
      <c r="L376" t="inlineStr">
        <is>
          <t>KG</t>
        </is>
      </c>
      <c r="M376" s="44" t="n">
        <v>5845495</v>
      </c>
      <c r="N376" s="44" t="n">
        <v>350730</v>
      </c>
      <c r="O376" t="n">
        <v>0</v>
      </c>
      <c r="P376" s="44" t="n">
        <v>5494765</v>
      </c>
      <c r="Q376" t="inlineStr">
        <is>
          <t>KRW</t>
        </is>
      </c>
      <c r="R376" t="inlineStr">
        <is>
          <t>INV2508-00375</t>
        </is>
      </c>
      <c r="S376" t="inlineStr">
        <is>
          <t>※예시데이터</t>
        </is>
      </c>
    </row>
    <row r="377">
      <c r="A377" t="n">
        <v>1000</v>
      </c>
      <c r="B377" t="inlineStr">
        <is>
          <t>EP사업부</t>
        </is>
      </c>
      <c r="C377" t="inlineStr">
        <is>
          <t>국내영업2팀</t>
        </is>
      </c>
      <c r="D377" t="inlineStr">
        <is>
          <t>C10015</t>
        </is>
      </c>
      <c r="E377" t="inlineStr">
        <is>
          <t>다솜케미칼</t>
        </is>
      </c>
      <c r="F377" t="inlineStr">
        <is>
          <t>ABS</t>
        </is>
      </c>
      <c r="G377" t="inlineStr">
        <is>
          <t>M-2101</t>
        </is>
      </c>
      <c r="H377" t="inlineStr">
        <is>
          <t>ABS 범용 G300</t>
        </is>
      </c>
      <c r="I377" s="43" t="n">
        <v>45901</v>
      </c>
      <c r="J377" t="n">
        <v>202509</v>
      </c>
      <c r="K377" s="44" t="n">
        <v>2550</v>
      </c>
      <c r="L377" t="inlineStr">
        <is>
          <t>KG</t>
        </is>
      </c>
      <c r="M377" s="44" t="n">
        <v>6774209</v>
      </c>
      <c r="N377" s="44" t="n">
        <v>338710</v>
      </c>
      <c r="O377" t="n">
        <v>0</v>
      </c>
      <c r="P377" s="44" t="n">
        <v>6435499</v>
      </c>
      <c r="Q377" t="inlineStr">
        <is>
          <t>KRW</t>
        </is>
      </c>
      <c r="R377" t="inlineStr">
        <is>
          <t>INV2509-00376</t>
        </is>
      </c>
      <c r="S377" t="inlineStr">
        <is>
          <t>※예시데이터</t>
        </is>
      </c>
    </row>
    <row r="378">
      <c r="A378" t="n">
        <v>1000</v>
      </c>
      <c r="B378" t="inlineStr">
        <is>
          <t>EP사업부</t>
        </is>
      </c>
      <c r="C378" t="inlineStr">
        <is>
          <t>국내영업1팀</t>
        </is>
      </c>
      <c r="D378" t="inlineStr">
        <is>
          <t>C10029</t>
        </is>
      </c>
      <c r="E378" t="inlineStr">
        <is>
          <t>마루정밀</t>
        </is>
      </c>
      <c r="F378" t="inlineStr">
        <is>
          <t>PC</t>
        </is>
      </c>
      <c r="G378" t="inlineStr">
        <is>
          <t>M-2201</t>
        </is>
      </c>
      <c r="H378" t="inlineStr">
        <is>
          <t>PC 일반 C100</t>
        </is>
      </c>
      <c r="I378" s="43" t="n">
        <v>45901</v>
      </c>
      <c r="J378" t="n">
        <v>202509</v>
      </c>
      <c r="K378" s="44" t="n">
        <v>5400</v>
      </c>
      <c r="L378" t="inlineStr">
        <is>
          <t>KG</t>
        </is>
      </c>
      <c r="M378" s="44" t="n">
        <v>21112075</v>
      </c>
      <c r="N378" s="44" t="n">
        <v>844483</v>
      </c>
      <c r="O378" t="n">
        <v>0</v>
      </c>
      <c r="P378" s="44" t="n">
        <v>20267592</v>
      </c>
      <c r="Q378" t="inlineStr">
        <is>
          <t>KRW</t>
        </is>
      </c>
      <c r="R378" t="inlineStr">
        <is>
          <t>INV2509-00377</t>
        </is>
      </c>
      <c r="S378" t="inlineStr">
        <is>
          <t>※예시데이터</t>
        </is>
      </c>
    </row>
    <row r="379">
      <c r="A379" t="n">
        <v>1000</v>
      </c>
      <c r="B379" t="inlineStr">
        <is>
          <t>범용수지사업부</t>
        </is>
      </c>
      <c r="C379" t="inlineStr">
        <is>
          <t>국내영업1팀</t>
        </is>
      </c>
      <c r="D379" t="inlineStr">
        <is>
          <t>C10106</t>
        </is>
      </c>
      <c r="E379" t="inlineStr">
        <is>
          <t>온새미사출</t>
        </is>
      </c>
      <c r="F379" t="inlineStr">
        <is>
          <t>PP</t>
        </is>
      </c>
      <c r="G379" t="inlineStr">
        <is>
          <t>M-1101</t>
        </is>
      </c>
      <c r="H379" t="inlineStr">
        <is>
          <t>PP 범용사출 H110</t>
        </is>
      </c>
      <c r="I379" s="43" t="n">
        <v>45901</v>
      </c>
      <c r="J379" t="n">
        <v>202509</v>
      </c>
      <c r="K379" s="44" t="n">
        <v>9075</v>
      </c>
      <c r="L379" t="inlineStr">
        <is>
          <t>KG</t>
        </is>
      </c>
      <c r="M379" s="44" t="n">
        <v>15010776</v>
      </c>
      <c r="N379" s="44" t="n">
        <v>750539</v>
      </c>
      <c r="O379" t="n">
        <v>0</v>
      </c>
      <c r="P379" s="44" t="n">
        <v>14260237</v>
      </c>
      <c r="Q379" t="inlineStr">
        <is>
          <t>KRW</t>
        </is>
      </c>
      <c r="R379" t="inlineStr">
        <is>
          <t>INV2509-00378</t>
        </is>
      </c>
      <c r="S379" t="inlineStr">
        <is>
          <t>※예시데이터</t>
        </is>
      </c>
    </row>
    <row r="380">
      <c r="A380" t="n">
        <v>1000</v>
      </c>
      <c r="B380" t="inlineStr">
        <is>
          <t>EP사업부</t>
        </is>
      </c>
      <c r="C380" t="inlineStr">
        <is>
          <t>국내영업2팀</t>
        </is>
      </c>
      <c r="D380" t="inlineStr">
        <is>
          <t>C10085</t>
        </is>
      </c>
      <c r="E380" t="inlineStr">
        <is>
          <t>파란하이텍</t>
        </is>
      </c>
      <c r="F380" t="inlineStr">
        <is>
          <t>PC</t>
        </is>
      </c>
      <c r="G380" t="inlineStr">
        <is>
          <t>M-2201</t>
        </is>
      </c>
      <c r="H380" t="inlineStr">
        <is>
          <t>PC 일반 C100</t>
        </is>
      </c>
      <c r="I380" s="43" t="n">
        <v>45903</v>
      </c>
      <c r="J380" t="n">
        <v>202509</v>
      </c>
      <c r="K380" s="44" t="n">
        <v>1250</v>
      </c>
      <c r="L380" t="inlineStr">
        <is>
          <t>KG</t>
        </is>
      </c>
      <c r="M380" s="44" t="n">
        <v>4887054</v>
      </c>
      <c r="N380" s="44" t="n">
        <v>293223</v>
      </c>
      <c r="O380" t="n">
        <v>0</v>
      </c>
      <c r="P380" s="44" t="n">
        <v>4593831</v>
      </c>
      <c r="Q380" t="inlineStr">
        <is>
          <t>KRW</t>
        </is>
      </c>
      <c r="R380" t="inlineStr">
        <is>
          <t>INV2509-00379</t>
        </is>
      </c>
      <c r="S380" t="inlineStr">
        <is>
          <t>※예시데이터</t>
        </is>
      </c>
    </row>
    <row r="381">
      <c r="A381" t="n">
        <v>1000</v>
      </c>
      <c r="B381" t="inlineStr">
        <is>
          <t>범용수지사업부</t>
        </is>
      </c>
      <c r="C381" t="inlineStr">
        <is>
          <t>국내영업2팀</t>
        </is>
      </c>
      <c r="D381" t="inlineStr">
        <is>
          <t>C10127</t>
        </is>
      </c>
      <c r="E381" t="inlineStr">
        <is>
          <t>미르패키징</t>
        </is>
      </c>
      <c r="F381" t="inlineStr">
        <is>
          <t>PE</t>
        </is>
      </c>
      <c r="G381" t="inlineStr">
        <is>
          <t>M-1201</t>
        </is>
      </c>
      <c r="H381" t="inlineStr">
        <is>
          <t>HDPE 블로우 B500</t>
        </is>
      </c>
      <c r="I381" s="43" t="n">
        <v>45903</v>
      </c>
      <c r="J381" t="n">
        <v>202509</v>
      </c>
      <c r="K381" s="44" t="n">
        <v>4975</v>
      </c>
      <c r="L381" t="inlineStr">
        <is>
          <t>KG</t>
        </is>
      </c>
      <c r="M381" s="44" t="n">
        <v>7879937</v>
      </c>
      <c r="N381" s="44" t="n">
        <v>709194</v>
      </c>
      <c r="O381" t="n">
        <v>0</v>
      </c>
      <c r="P381" s="44" t="n">
        <v>7170743</v>
      </c>
      <c r="Q381" t="inlineStr">
        <is>
          <t>KRW</t>
        </is>
      </c>
      <c r="R381" t="inlineStr">
        <is>
          <t>INV2509-00380</t>
        </is>
      </c>
      <c r="S381" t="inlineStr">
        <is>
          <t>※예시데이터</t>
        </is>
      </c>
    </row>
    <row r="382">
      <c r="A382" t="n">
        <v>1000</v>
      </c>
      <c r="B382" t="inlineStr">
        <is>
          <t>범용수지사업부</t>
        </is>
      </c>
      <c r="C382" t="inlineStr">
        <is>
          <t>해외영업팀</t>
        </is>
      </c>
      <c r="D382" t="inlineStr">
        <is>
          <t>C10071</t>
        </is>
      </c>
      <c r="E382" t="inlineStr">
        <is>
          <t>큰별코리아</t>
        </is>
      </c>
      <c r="F382" t="inlineStr">
        <is>
          <t>PE</t>
        </is>
      </c>
      <c r="G382" t="inlineStr">
        <is>
          <t>M-1201</t>
        </is>
      </c>
      <c r="H382" t="inlineStr">
        <is>
          <t>HDPE 블로우 B500</t>
        </is>
      </c>
      <c r="I382" s="43" t="n">
        <v>45904</v>
      </c>
      <c r="J382" t="n">
        <v>202509</v>
      </c>
      <c r="K382" s="44" t="n">
        <v>4900</v>
      </c>
      <c r="L382" t="inlineStr">
        <is>
          <t>KG</t>
        </is>
      </c>
      <c r="M382" s="44" t="n">
        <v>7761144</v>
      </c>
      <c r="N382" s="44" t="n">
        <v>853726</v>
      </c>
      <c r="O382" s="44" t="n">
        <v>155223</v>
      </c>
      <c r="P382" s="44" t="n">
        <v>6752195</v>
      </c>
      <c r="Q382" t="inlineStr">
        <is>
          <t>KRW</t>
        </is>
      </c>
      <c r="R382" t="inlineStr">
        <is>
          <t>INV2509-00381</t>
        </is>
      </c>
      <c r="S382" t="inlineStr">
        <is>
          <t>※예시데이터</t>
        </is>
      </c>
    </row>
    <row r="383">
      <c r="A383" t="n">
        <v>1000</v>
      </c>
      <c r="B383" t="inlineStr">
        <is>
          <t>EP사업부</t>
        </is>
      </c>
      <c r="C383" t="inlineStr">
        <is>
          <t>국내영업2팀</t>
        </is>
      </c>
      <c r="D383" t="inlineStr">
        <is>
          <t>C10113</t>
        </is>
      </c>
      <c r="E383" t="inlineStr">
        <is>
          <t>누리오토파츠</t>
        </is>
      </c>
      <c r="F383" t="inlineStr">
        <is>
          <t>ABS</t>
        </is>
      </c>
      <c r="G383" t="inlineStr">
        <is>
          <t>M-2102</t>
        </is>
      </c>
      <c r="H383" t="inlineStr">
        <is>
          <t>ABS 내열 HR500</t>
        </is>
      </c>
      <c r="I383" s="43" t="n">
        <v>45904</v>
      </c>
      <c r="J383" t="n">
        <v>202509</v>
      </c>
      <c r="K383" s="44" t="n">
        <v>3025</v>
      </c>
      <c r="L383" t="inlineStr">
        <is>
          <t>KG</t>
        </is>
      </c>
      <c r="M383" s="44" t="n">
        <v>9036790</v>
      </c>
      <c r="N383" s="44" t="n">
        <v>632575</v>
      </c>
      <c r="O383" s="44" t="n">
        <v>90368</v>
      </c>
      <c r="P383" s="44" t="n">
        <v>8313847</v>
      </c>
      <c r="Q383" t="inlineStr">
        <is>
          <t>KRW</t>
        </is>
      </c>
      <c r="R383" t="inlineStr">
        <is>
          <t>INV2509-00382</t>
        </is>
      </c>
      <c r="S383" t="inlineStr">
        <is>
          <t>※예시데이터</t>
        </is>
      </c>
    </row>
    <row r="384">
      <c r="A384" t="n">
        <v>1000</v>
      </c>
      <c r="B384" t="inlineStr">
        <is>
          <t>범용수지사업부</t>
        </is>
      </c>
      <c r="C384" t="inlineStr">
        <is>
          <t>해외영업팀</t>
        </is>
      </c>
      <c r="D384" t="inlineStr">
        <is>
          <t>C10071</t>
        </is>
      </c>
      <c r="E384" t="inlineStr">
        <is>
          <t>큰별코리아</t>
        </is>
      </c>
      <c r="F384" t="inlineStr">
        <is>
          <t>PP</t>
        </is>
      </c>
      <c r="G384" t="inlineStr">
        <is>
          <t>M-1101</t>
        </is>
      </c>
      <c r="H384" t="inlineStr">
        <is>
          <t>PP 범용사출 H110</t>
        </is>
      </c>
      <c r="I384" s="43" t="n">
        <v>45905</v>
      </c>
      <c r="J384" t="n">
        <v>202509</v>
      </c>
      <c r="K384" s="44" t="n">
        <v>3275</v>
      </c>
      <c r="L384" t="inlineStr">
        <is>
          <t>KG</t>
        </is>
      </c>
      <c r="M384" s="44" t="n">
        <v>5417112</v>
      </c>
      <c r="N384" s="44" t="n">
        <v>595882</v>
      </c>
      <c r="O384" s="44" t="n">
        <v>108342</v>
      </c>
      <c r="P384" s="44" t="n">
        <v>4712888</v>
      </c>
      <c r="Q384" t="inlineStr">
        <is>
          <t>KRW</t>
        </is>
      </c>
      <c r="R384" t="inlineStr">
        <is>
          <t>INV2509-00383</t>
        </is>
      </c>
      <c r="S384" t="inlineStr">
        <is>
          <t>※예시데이터</t>
        </is>
      </c>
    </row>
    <row r="385">
      <c r="A385" t="n">
        <v>1000</v>
      </c>
      <c r="B385" t="inlineStr">
        <is>
          <t>EP사업부</t>
        </is>
      </c>
      <c r="C385" t="inlineStr">
        <is>
          <t>국내영업1팀</t>
        </is>
      </c>
      <c r="D385" t="inlineStr">
        <is>
          <t>C10078</t>
        </is>
      </c>
      <c r="E385" t="inlineStr">
        <is>
          <t>토담정공(주)</t>
        </is>
      </c>
      <c r="F385" t="inlineStr">
        <is>
          <t>ABS</t>
        </is>
      </c>
      <c r="G385" t="inlineStr">
        <is>
          <t>M-2102</t>
        </is>
      </c>
      <c r="H385" t="inlineStr">
        <is>
          <t>ABS 내열 HR500</t>
        </is>
      </c>
      <c r="I385" s="43" t="n">
        <v>45906</v>
      </c>
      <c r="J385" t="n">
        <v>202509</v>
      </c>
      <c r="K385" s="44" t="n">
        <v>3050</v>
      </c>
      <c r="L385" t="inlineStr">
        <is>
          <t>KG</t>
        </is>
      </c>
      <c r="M385" s="44" t="n">
        <v>9111474</v>
      </c>
      <c r="N385" s="44" t="n">
        <v>273344</v>
      </c>
      <c r="O385" t="n">
        <v>0</v>
      </c>
      <c r="P385" s="44" t="n">
        <v>8838130</v>
      </c>
      <c r="Q385" t="inlineStr">
        <is>
          <t>KRW</t>
        </is>
      </c>
      <c r="R385" t="inlineStr">
        <is>
          <t>INV2509-00384</t>
        </is>
      </c>
      <c r="S385" t="inlineStr">
        <is>
          <t>※예시데이터</t>
        </is>
      </c>
    </row>
    <row r="386">
      <c r="A386" t="n">
        <v>1000</v>
      </c>
      <c r="B386" t="inlineStr">
        <is>
          <t>EP사업부</t>
        </is>
      </c>
      <c r="C386" t="inlineStr">
        <is>
          <t>국내영업1팀</t>
        </is>
      </c>
      <c r="D386" t="inlineStr">
        <is>
          <t>C10057</t>
        </is>
      </c>
      <c r="E386" t="inlineStr">
        <is>
          <t>자연엠텍</t>
        </is>
      </c>
      <c r="F386" t="inlineStr">
        <is>
          <t>ABS</t>
        </is>
      </c>
      <c r="G386" t="inlineStr">
        <is>
          <t>M-2101</t>
        </is>
      </c>
      <c r="H386" t="inlineStr">
        <is>
          <t>ABS 범용 G300</t>
        </is>
      </c>
      <c r="I386" s="43" t="n">
        <v>45908</v>
      </c>
      <c r="J386" t="n">
        <v>202509</v>
      </c>
      <c r="K386" s="44" t="n">
        <v>2350</v>
      </c>
      <c r="L386" t="inlineStr">
        <is>
          <t>KG</t>
        </is>
      </c>
      <c r="M386" s="44" t="n">
        <v>6242899</v>
      </c>
      <c r="N386" s="44" t="n">
        <v>312145</v>
      </c>
      <c r="O386" t="n">
        <v>0</v>
      </c>
      <c r="P386" s="44" t="n">
        <v>5930754</v>
      </c>
      <c r="Q386" t="inlineStr">
        <is>
          <t>KRW</t>
        </is>
      </c>
      <c r="R386" t="inlineStr">
        <is>
          <t>INV2509-00385</t>
        </is>
      </c>
      <c r="S386" t="inlineStr">
        <is>
          <t>※예시데이터</t>
        </is>
      </c>
    </row>
    <row r="387">
      <c r="A387" t="n">
        <v>1000</v>
      </c>
      <c r="B387" t="inlineStr">
        <is>
          <t>범용수지사업부</t>
        </is>
      </c>
      <c r="C387" t="inlineStr">
        <is>
          <t>국내영업1팀</t>
        </is>
      </c>
      <c r="D387" t="inlineStr">
        <is>
          <t>C10001</t>
        </is>
      </c>
      <c r="E387" t="inlineStr">
        <is>
          <t>가온소재(주)</t>
        </is>
      </c>
      <c r="F387" t="inlineStr">
        <is>
          <t>PE</t>
        </is>
      </c>
      <c r="G387" t="inlineStr">
        <is>
          <t>M-1202</t>
        </is>
      </c>
      <c r="H387" t="inlineStr">
        <is>
          <t>LLDPE 필름 F120</t>
        </is>
      </c>
      <c r="I387" s="43" t="n">
        <v>45909</v>
      </c>
      <c r="J387" t="n">
        <v>202509</v>
      </c>
      <c r="K387" s="44" t="n">
        <v>3400</v>
      </c>
      <c r="L387" t="inlineStr">
        <is>
          <t>KG</t>
        </is>
      </c>
      <c r="M387" s="44" t="n">
        <v>5828376</v>
      </c>
      <c r="N387" s="44" t="n">
        <v>349703</v>
      </c>
      <c r="O387" t="n">
        <v>0</v>
      </c>
      <c r="P387" s="44" t="n">
        <v>5478673</v>
      </c>
      <c r="Q387" t="inlineStr">
        <is>
          <t>KRW</t>
        </is>
      </c>
      <c r="R387" t="inlineStr">
        <is>
          <t>INV2509-00386</t>
        </is>
      </c>
      <c r="S387" t="inlineStr">
        <is>
          <t>※예시데이터</t>
        </is>
      </c>
    </row>
    <row r="388">
      <c r="A388" t="n">
        <v>1000</v>
      </c>
      <c r="B388" t="inlineStr">
        <is>
          <t>EP사업부</t>
        </is>
      </c>
      <c r="C388" t="inlineStr">
        <is>
          <t>국내영업2팀</t>
        </is>
      </c>
      <c r="D388" t="inlineStr">
        <is>
          <t>C10085</t>
        </is>
      </c>
      <c r="E388" t="inlineStr">
        <is>
          <t>파란하이텍</t>
        </is>
      </c>
      <c r="F388" t="inlineStr">
        <is>
          <t>PC</t>
        </is>
      </c>
      <c r="G388" t="inlineStr">
        <is>
          <t>M-2201</t>
        </is>
      </c>
      <c r="H388" t="inlineStr">
        <is>
          <t>PC 일반 C100</t>
        </is>
      </c>
      <c r="I388" s="43" t="n">
        <v>45909</v>
      </c>
      <c r="J388" t="n">
        <v>202509</v>
      </c>
      <c r="K388" s="44" t="n">
        <v>1250</v>
      </c>
      <c r="L388" t="inlineStr">
        <is>
          <t>KG</t>
        </is>
      </c>
      <c r="M388" s="44" t="n">
        <v>4887054</v>
      </c>
      <c r="N388" s="44" t="n">
        <v>293223</v>
      </c>
      <c r="O388" t="n">
        <v>0</v>
      </c>
      <c r="P388" s="44" t="n">
        <v>4593831</v>
      </c>
      <c r="Q388" t="inlineStr">
        <is>
          <t>KRW</t>
        </is>
      </c>
      <c r="R388" t="inlineStr">
        <is>
          <t>INV2509-00387</t>
        </is>
      </c>
      <c r="S388" t="inlineStr">
        <is>
          <t>※예시데이터</t>
        </is>
      </c>
    </row>
    <row r="389">
      <c r="A389" t="n">
        <v>1000</v>
      </c>
      <c r="B389" t="inlineStr">
        <is>
          <t>범용수지사업부</t>
        </is>
      </c>
      <c r="C389" t="inlineStr">
        <is>
          <t>국내영업2팀</t>
        </is>
      </c>
      <c r="D389" t="inlineStr">
        <is>
          <t>C10099</t>
        </is>
      </c>
      <c r="E389" t="inlineStr">
        <is>
          <t>한울몰드</t>
        </is>
      </c>
      <c r="F389" t="inlineStr">
        <is>
          <t>PP</t>
        </is>
      </c>
      <c r="G389" t="inlineStr">
        <is>
          <t>M-1101</t>
        </is>
      </c>
      <c r="H389" t="inlineStr">
        <is>
          <t>PP 범용사출 H110</t>
        </is>
      </c>
      <c r="I389" s="43" t="n">
        <v>45910</v>
      </c>
      <c r="J389" t="n">
        <v>202509</v>
      </c>
      <c r="K389" s="44" t="n">
        <v>2875</v>
      </c>
      <c r="L389" t="inlineStr">
        <is>
          <t>KG</t>
        </is>
      </c>
      <c r="M389" s="44" t="n">
        <v>4755480</v>
      </c>
      <c r="N389" s="44" t="n">
        <v>285329</v>
      </c>
      <c r="O389" t="n">
        <v>0</v>
      </c>
      <c r="P389" s="44" t="n">
        <v>4470151</v>
      </c>
      <c r="Q389" t="inlineStr">
        <is>
          <t>KRW</t>
        </is>
      </c>
      <c r="R389" t="inlineStr">
        <is>
          <t>INV2509-00388</t>
        </is>
      </c>
      <c r="S389" t="inlineStr">
        <is>
          <t>※예시데이터</t>
        </is>
      </c>
    </row>
    <row r="390">
      <c r="A390" t="n">
        <v>1000</v>
      </c>
      <c r="B390" t="inlineStr">
        <is>
          <t>EP사업부</t>
        </is>
      </c>
      <c r="C390" t="inlineStr">
        <is>
          <t>국내영업1팀</t>
        </is>
      </c>
      <c r="D390" t="inlineStr">
        <is>
          <t>C10043</t>
        </is>
      </c>
      <c r="E390" t="inlineStr">
        <is>
          <t>새봄플라스틱</t>
        </is>
      </c>
      <c r="F390" t="inlineStr">
        <is>
          <t>ABS</t>
        </is>
      </c>
      <c r="G390" t="inlineStr">
        <is>
          <t>M-2102</t>
        </is>
      </c>
      <c r="H390" t="inlineStr">
        <is>
          <t>ABS 내열 HR500</t>
        </is>
      </c>
      <c r="I390" s="43" t="n">
        <v>45911</v>
      </c>
      <c r="J390" t="n">
        <v>202509</v>
      </c>
      <c r="K390" s="44" t="n">
        <v>3125</v>
      </c>
      <c r="L390" t="inlineStr">
        <is>
          <t>KG</t>
        </is>
      </c>
      <c r="M390" s="44" t="n">
        <v>9335527</v>
      </c>
      <c r="N390" s="44" t="n">
        <v>560132</v>
      </c>
      <c r="O390" t="n">
        <v>0</v>
      </c>
      <c r="P390" s="44" t="n">
        <v>8775395</v>
      </c>
      <c r="Q390" t="inlineStr">
        <is>
          <t>KRW</t>
        </is>
      </c>
      <c r="R390" t="inlineStr">
        <is>
          <t>INV2509-00389</t>
        </is>
      </c>
      <c r="S390" t="inlineStr">
        <is>
          <t>※예시데이터</t>
        </is>
      </c>
    </row>
    <row r="391">
      <c r="A391" t="n">
        <v>1000</v>
      </c>
      <c r="B391" t="inlineStr">
        <is>
          <t>범용수지사업부</t>
        </is>
      </c>
      <c r="C391" t="inlineStr">
        <is>
          <t>국내영업2팀</t>
        </is>
      </c>
      <c r="D391" t="inlineStr">
        <is>
          <t>C10127</t>
        </is>
      </c>
      <c r="E391" t="inlineStr">
        <is>
          <t>미르패키징</t>
        </is>
      </c>
      <c r="F391" t="inlineStr">
        <is>
          <t>PE</t>
        </is>
      </c>
      <c r="G391" t="inlineStr">
        <is>
          <t>M-1202</t>
        </is>
      </c>
      <c r="H391" t="inlineStr">
        <is>
          <t>LLDPE 필름 F120</t>
        </is>
      </c>
      <c r="I391" s="43" t="n">
        <v>45911</v>
      </c>
      <c r="J391" t="n">
        <v>202509</v>
      </c>
      <c r="K391" s="44" t="n">
        <v>3200</v>
      </c>
      <c r="L391" t="inlineStr">
        <is>
          <t>KG</t>
        </is>
      </c>
      <c r="M391" s="44" t="n">
        <v>5485531</v>
      </c>
      <c r="N391" s="44" t="n">
        <v>493698</v>
      </c>
      <c r="O391" t="n">
        <v>0</v>
      </c>
      <c r="P391" s="44" t="n">
        <v>4991833</v>
      </c>
      <c r="Q391" t="inlineStr">
        <is>
          <t>KRW</t>
        </is>
      </c>
      <c r="R391" t="inlineStr">
        <is>
          <t>INV2509-00390</t>
        </is>
      </c>
      <c r="S391" t="inlineStr">
        <is>
          <t>※예시데이터</t>
        </is>
      </c>
    </row>
    <row r="392">
      <c r="A392" t="n">
        <v>1000</v>
      </c>
      <c r="B392" t="inlineStr">
        <is>
          <t>EP사업부</t>
        </is>
      </c>
      <c r="C392" t="inlineStr">
        <is>
          <t>국내영업1팀</t>
        </is>
      </c>
      <c r="D392" t="inlineStr">
        <is>
          <t>C10134</t>
        </is>
      </c>
      <c r="E392" t="inlineStr">
        <is>
          <t>별하전자(주)</t>
        </is>
      </c>
      <c r="F392" t="inlineStr">
        <is>
          <t>PC</t>
        </is>
      </c>
      <c r="G392" t="inlineStr">
        <is>
          <t>M-2202</t>
        </is>
      </c>
      <c r="H392" t="inlineStr">
        <is>
          <t>PC 난연 FR200</t>
        </is>
      </c>
      <c r="I392" s="43" t="n">
        <v>45911</v>
      </c>
      <c r="J392" t="n">
        <v>202509</v>
      </c>
      <c r="K392" t="n">
        <v>450</v>
      </c>
      <c r="L392" t="inlineStr">
        <is>
          <t>KG</t>
        </is>
      </c>
      <c r="M392" s="44" t="n">
        <v>1962340</v>
      </c>
      <c r="N392" s="44" t="n">
        <v>58870</v>
      </c>
      <c r="O392" t="n">
        <v>0</v>
      </c>
      <c r="P392" s="44" t="n">
        <v>1903470</v>
      </c>
      <c r="Q392" t="inlineStr">
        <is>
          <t>KRW</t>
        </is>
      </c>
      <c r="R392" t="inlineStr">
        <is>
          <t>INV2509-00391</t>
        </is>
      </c>
      <c r="S392" t="inlineStr">
        <is>
          <t>※예시데이터</t>
        </is>
      </c>
    </row>
    <row r="393">
      <c r="A393" t="n">
        <v>1000</v>
      </c>
      <c r="B393" t="inlineStr">
        <is>
          <t>범용수지사업부</t>
        </is>
      </c>
      <c r="C393" t="inlineStr">
        <is>
          <t>국내영업2팀</t>
        </is>
      </c>
      <c r="D393" t="inlineStr">
        <is>
          <t>C10050</t>
        </is>
      </c>
      <c r="E393" t="inlineStr">
        <is>
          <t>아름화학(주)</t>
        </is>
      </c>
      <c r="F393" t="inlineStr">
        <is>
          <t>PP</t>
        </is>
      </c>
      <c r="G393" t="inlineStr">
        <is>
          <t>M-1103</t>
        </is>
      </c>
      <c r="H393" t="inlineStr">
        <is>
          <t>PP 투명 R330</t>
        </is>
      </c>
      <c r="I393" s="43" t="n">
        <v>45913</v>
      </c>
      <c r="J393" t="n">
        <v>202509</v>
      </c>
      <c r="K393" t="n">
        <v>-975</v>
      </c>
      <c r="L393" t="inlineStr">
        <is>
          <t>KG</t>
        </is>
      </c>
      <c r="M393" s="44" t="n">
        <v>-1902728</v>
      </c>
      <c r="N393" s="44" t="n">
        <v>-190273</v>
      </c>
      <c r="O393" s="44" t="n">
        <v>-19027</v>
      </c>
      <c r="P393" s="44" t="n">
        <v>-1693428</v>
      </c>
      <c r="Q393" t="inlineStr">
        <is>
          <t>KRW</t>
        </is>
      </c>
      <c r="R393" t="inlineStr">
        <is>
          <t>INV2509-00392</t>
        </is>
      </c>
      <c r="S393" t="inlineStr">
        <is>
          <t>※예시데이터</t>
        </is>
      </c>
    </row>
    <row r="394">
      <c r="A394" t="n">
        <v>1000</v>
      </c>
      <c r="B394" t="inlineStr">
        <is>
          <t>범용수지사업부</t>
        </is>
      </c>
      <c r="C394" t="inlineStr">
        <is>
          <t>해외영업팀</t>
        </is>
      </c>
      <c r="D394" t="inlineStr">
        <is>
          <t>C10141</t>
        </is>
      </c>
      <c r="E394" t="inlineStr">
        <is>
          <t>Sinar Plastik (ID)</t>
        </is>
      </c>
      <c r="F394" t="inlineStr">
        <is>
          <t>PP</t>
        </is>
      </c>
      <c r="G394" t="inlineStr">
        <is>
          <t>M-1102</t>
        </is>
      </c>
      <c r="H394" t="inlineStr">
        <is>
          <t>PP 고강성 H220</t>
        </is>
      </c>
      <c r="I394" s="43" t="n">
        <v>45913</v>
      </c>
      <c r="J394" t="n">
        <v>202509</v>
      </c>
      <c r="K394" s="44" t="n">
        <v>14975</v>
      </c>
      <c r="L394" t="inlineStr">
        <is>
          <t>KG</t>
        </is>
      </c>
      <c r="M394" s="44" t="n">
        <v>27321892</v>
      </c>
      <c r="N394" s="44" t="n">
        <v>3278627</v>
      </c>
      <c r="O394" t="n">
        <v>0</v>
      </c>
      <c r="P394" s="44" t="n">
        <v>24043265</v>
      </c>
      <c r="Q394" t="inlineStr">
        <is>
          <t>KRW</t>
        </is>
      </c>
      <c r="R394" t="inlineStr">
        <is>
          <t>INV2509-00393</t>
        </is>
      </c>
      <c r="S394" t="inlineStr">
        <is>
          <t>※예시데이터</t>
        </is>
      </c>
    </row>
    <row r="395">
      <c r="A395" t="n">
        <v>1000</v>
      </c>
      <c r="B395" t="inlineStr">
        <is>
          <t>EP사업부</t>
        </is>
      </c>
      <c r="C395" t="inlineStr">
        <is>
          <t>국내영업2팀</t>
        </is>
      </c>
      <c r="D395" t="inlineStr">
        <is>
          <t>C10015</t>
        </is>
      </c>
      <c r="E395" t="inlineStr">
        <is>
          <t>다솜케미칼</t>
        </is>
      </c>
      <c r="F395" t="inlineStr">
        <is>
          <t>PC</t>
        </is>
      </c>
      <c r="G395" t="inlineStr">
        <is>
          <t>M-2201</t>
        </is>
      </c>
      <c r="H395" t="inlineStr">
        <is>
          <t>PC 일반 C100</t>
        </is>
      </c>
      <c r="I395" s="43" t="n">
        <v>45914</v>
      </c>
      <c r="J395" t="n">
        <v>202509</v>
      </c>
      <c r="K395" s="44" t="n">
        <v>2925</v>
      </c>
      <c r="L395" t="inlineStr">
        <is>
          <t>KG</t>
        </is>
      </c>
      <c r="M395" s="44" t="n">
        <v>11435707</v>
      </c>
      <c r="N395" s="44" t="n">
        <v>571785</v>
      </c>
      <c r="O395" t="n">
        <v>0</v>
      </c>
      <c r="P395" s="44" t="n">
        <v>10863922</v>
      </c>
      <c r="Q395" t="inlineStr">
        <is>
          <t>KRW</t>
        </is>
      </c>
      <c r="R395" t="inlineStr">
        <is>
          <t>INV2509-00394</t>
        </is>
      </c>
      <c r="S395" t="inlineStr">
        <is>
          <t>※예시데이터</t>
        </is>
      </c>
    </row>
    <row r="396">
      <c r="A396" t="n">
        <v>1000</v>
      </c>
      <c r="B396" t="inlineStr">
        <is>
          <t>EP사업부</t>
        </is>
      </c>
      <c r="C396" t="inlineStr">
        <is>
          <t>국내영업2팀</t>
        </is>
      </c>
      <c r="D396" t="inlineStr">
        <is>
          <t>C10022</t>
        </is>
      </c>
      <c r="E396" t="inlineStr">
        <is>
          <t>라온테크(주)</t>
        </is>
      </c>
      <c r="F396" t="inlineStr">
        <is>
          <t>ABS</t>
        </is>
      </c>
      <c r="G396" t="inlineStr">
        <is>
          <t>M-2102</t>
        </is>
      </c>
      <c r="H396" t="inlineStr">
        <is>
          <t>ABS 내열 HR500</t>
        </is>
      </c>
      <c r="I396" s="43" t="n">
        <v>45914</v>
      </c>
      <c r="J396" t="n">
        <v>202509</v>
      </c>
      <c r="K396" s="44" t="n">
        <v>3775</v>
      </c>
      <c r="L396" t="inlineStr">
        <is>
          <t>KG</t>
        </is>
      </c>
      <c r="M396" s="44" t="n">
        <v>11277317</v>
      </c>
      <c r="N396" s="44" t="n">
        <v>789412</v>
      </c>
      <c r="O396" t="n">
        <v>0</v>
      </c>
      <c r="P396" s="44" t="n">
        <v>10487905</v>
      </c>
      <c r="Q396" t="inlineStr">
        <is>
          <t>KRW</t>
        </is>
      </c>
      <c r="R396" t="inlineStr">
        <is>
          <t>INV2509-00395</t>
        </is>
      </c>
      <c r="S396" t="inlineStr">
        <is>
          <t>※예시데이터</t>
        </is>
      </c>
    </row>
    <row r="397">
      <c r="A397" t="n">
        <v>1000</v>
      </c>
      <c r="B397" t="inlineStr">
        <is>
          <t>범용수지사업부</t>
        </is>
      </c>
      <c r="C397" t="inlineStr">
        <is>
          <t>해외영업팀</t>
        </is>
      </c>
      <c r="D397" t="inlineStr">
        <is>
          <t>C10141</t>
        </is>
      </c>
      <c r="E397" t="inlineStr">
        <is>
          <t>Sinar Plastik (ID)</t>
        </is>
      </c>
      <c r="F397" t="inlineStr">
        <is>
          <t>PP</t>
        </is>
      </c>
      <c r="G397" t="inlineStr">
        <is>
          <t>M-1103</t>
        </is>
      </c>
      <c r="H397" t="inlineStr">
        <is>
          <t>PP 투명 R330</t>
        </is>
      </c>
      <c r="I397" s="43" t="n">
        <v>45914</v>
      </c>
      <c r="J397" t="n">
        <v>202509</v>
      </c>
      <c r="K397" s="44" t="n">
        <v>11350</v>
      </c>
      <c r="L397" t="inlineStr">
        <is>
          <t>KG</t>
        </is>
      </c>
      <c r="M397" s="44" t="n">
        <v>22073447</v>
      </c>
      <c r="N397" s="44" t="n">
        <v>2648814</v>
      </c>
      <c r="O397" t="n">
        <v>0</v>
      </c>
      <c r="P397" s="44" t="n">
        <v>19424633</v>
      </c>
      <c r="Q397" t="inlineStr">
        <is>
          <t>KRW</t>
        </is>
      </c>
      <c r="R397" t="inlineStr">
        <is>
          <t>INV2509-00396</t>
        </is>
      </c>
      <c r="S397" t="inlineStr">
        <is>
          <t>※예시데이터</t>
        </is>
      </c>
    </row>
    <row r="398">
      <c r="A398" t="n">
        <v>1000</v>
      </c>
      <c r="B398" t="inlineStr">
        <is>
          <t>범용수지사업부</t>
        </is>
      </c>
      <c r="C398" t="inlineStr">
        <is>
          <t>국내영업2팀</t>
        </is>
      </c>
      <c r="D398" t="inlineStr">
        <is>
          <t>C10050</t>
        </is>
      </c>
      <c r="E398" t="inlineStr">
        <is>
          <t>아름화학(주)</t>
        </is>
      </c>
      <c r="F398" t="inlineStr">
        <is>
          <t>PP</t>
        </is>
      </c>
      <c r="G398" t="inlineStr">
        <is>
          <t>M-1103</t>
        </is>
      </c>
      <c r="H398" t="inlineStr">
        <is>
          <t>PP 투명 R330</t>
        </is>
      </c>
      <c r="I398" s="43" t="n">
        <v>45915</v>
      </c>
      <c r="J398" t="n">
        <v>202509</v>
      </c>
      <c r="K398" s="44" t="n">
        <v>12800</v>
      </c>
      <c r="L398" t="inlineStr">
        <is>
          <t>KG</t>
        </is>
      </c>
      <c r="M398" s="44" t="n">
        <v>24893402</v>
      </c>
      <c r="N398" s="44" t="n">
        <v>2489340</v>
      </c>
      <c r="O398" s="44" t="n">
        <v>248934</v>
      </c>
      <c r="P398" s="44" t="n">
        <v>22155128</v>
      </c>
      <c r="Q398" t="inlineStr">
        <is>
          <t>KRW</t>
        </is>
      </c>
      <c r="R398" t="inlineStr">
        <is>
          <t>INV2509-00397</t>
        </is>
      </c>
      <c r="S398" t="inlineStr">
        <is>
          <t>※예시데이터</t>
        </is>
      </c>
    </row>
    <row r="399">
      <c r="A399" t="n">
        <v>1000</v>
      </c>
      <c r="B399" t="inlineStr">
        <is>
          <t>EP사업부</t>
        </is>
      </c>
      <c r="C399" t="inlineStr">
        <is>
          <t>국내영업1팀</t>
        </is>
      </c>
      <c r="D399" t="inlineStr">
        <is>
          <t>C10134</t>
        </is>
      </c>
      <c r="E399" t="inlineStr">
        <is>
          <t>별하전자(주)</t>
        </is>
      </c>
      <c r="F399" t="inlineStr">
        <is>
          <t>PC</t>
        </is>
      </c>
      <c r="G399" t="inlineStr">
        <is>
          <t>M-2201</t>
        </is>
      </c>
      <c r="H399" t="inlineStr">
        <is>
          <t>PC 일반 C100</t>
        </is>
      </c>
      <c r="I399" s="43" t="n">
        <v>45916</v>
      </c>
      <c r="J399" t="n">
        <v>202509</v>
      </c>
      <c r="K399" s="44" t="n">
        <v>1000</v>
      </c>
      <c r="L399" t="inlineStr">
        <is>
          <t>KG</t>
        </is>
      </c>
      <c r="M399" s="44" t="n">
        <v>3909644</v>
      </c>
      <c r="N399" s="44" t="n">
        <v>117289</v>
      </c>
      <c r="O399" t="n">
        <v>0</v>
      </c>
      <c r="P399" s="44" t="n">
        <v>3792355</v>
      </c>
      <c r="Q399" t="inlineStr">
        <is>
          <t>KRW</t>
        </is>
      </c>
      <c r="R399" t="inlineStr">
        <is>
          <t>INV2509-00398</t>
        </is>
      </c>
      <c r="S399" t="inlineStr">
        <is>
          <t>※예시데이터</t>
        </is>
      </c>
    </row>
    <row r="400">
      <c r="A400" t="n">
        <v>1000</v>
      </c>
      <c r="B400" t="inlineStr">
        <is>
          <t>EP사업부</t>
        </is>
      </c>
      <c r="C400" t="inlineStr">
        <is>
          <t>국내영업1팀</t>
        </is>
      </c>
      <c r="D400" t="inlineStr">
        <is>
          <t>C10078</t>
        </is>
      </c>
      <c r="E400" t="inlineStr">
        <is>
          <t>토담정공(주)</t>
        </is>
      </c>
      <c r="F400" t="inlineStr">
        <is>
          <t>ABS</t>
        </is>
      </c>
      <c r="G400" t="inlineStr">
        <is>
          <t>M-2102</t>
        </is>
      </c>
      <c r="H400" t="inlineStr">
        <is>
          <t>ABS 내열 HR500</t>
        </is>
      </c>
      <c r="I400" s="43" t="n">
        <v>45918</v>
      </c>
      <c r="J400" t="n">
        <v>202509</v>
      </c>
      <c r="K400" s="44" t="n">
        <v>3050</v>
      </c>
      <c r="L400" t="inlineStr">
        <is>
          <t>KG</t>
        </is>
      </c>
      <c r="M400" s="44" t="n">
        <v>9111474</v>
      </c>
      <c r="N400" s="44" t="n">
        <v>273344</v>
      </c>
      <c r="O400" t="n">
        <v>0</v>
      </c>
      <c r="P400" s="44" t="n">
        <v>8838130</v>
      </c>
      <c r="Q400" t="inlineStr">
        <is>
          <t>KRW</t>
        </is>
      </c>
      <c r="R400" t="inlineStr">
        <is>
          <t>INV2509-00399</t>
        </is>
      </c>
      <c r="S400" t="inlineStr">
        <is>
          <t>※예시데이터</t>
        </is>
      </c>
    </row>
    <row r="401">
      <c r="A401" t="n">
        <v>1000</v>
      </c>
      <c r="B401" t="inlineStr">
        <is>
          <t>EP사업부</t>
        </is>
      </c>
      <c r="C401" t="inlineStr">
        <is>
          <t>국내영업2팀</t>
        </is>
      </c>
      <c r="D401" t="inlineStr">
        <is>
          <t>C10099</t>
        </is>
      </c>
      <c r="E401" t="inlineStr">
        <is>
          <t>한울몰드</t>
        </is>
      </c>
      <c r="F401" t="inlineStr">
        <is>
          <t>ABS</t>
        </is>
      </c>
      <c r="G401" t="inlineStr">
        <is>
          <t>M-2101</t>
        </is>
      </c>
      <c r="H401" t="inlineStr">
        <is>
          <t>ABS 범용 G300</t>
        </is>
      </c>
      <c r="I401" s="43" t="n">
        <v>45919</v>
      </c>
      <c r="J401" t="n">
        <v>202509</v>
      </c>
      <c r="K401" s="44" t="n">
        <v>1100</v>
      </c>
      <c r="L401" t="inlineStr">
        <is>
          <t>KG</t>
        </is>
      </c>
      <c r="M401" s="44" t="n">
        <v>2922208</v>
      </c>
      <c r="N401" s="44" t="n">
        <v>175332</v>
      </c>
      <c r="O401" t="n">
        <v>0</v>
      </c>
      <c r="P401" s="44" t="n">
        <v>2746876</v>
      </c>
      <c r="Q401" t="inlineStr">
        <is>
          <t>KRW</t>
        </is>
      </c>
      <c r="R401" t="inlineStr">
        <is>
          <t>INV2509-00400</t>
        </is>
      </c>
      <c r="S401" t="inlineStr">
        <is>
          <t>※예시데이터</t>
        </is>
      </c>
    </row>
    <row r="402">
      <c r="A402" t="n">
        <v>1000</v>
      </c>
      <c r="B402" t="inlineStr">
        <is>
          <t>EP사업부</t>
        </is>
      </c>
      <c r="C402" t="inlineStr">
        <is>
          <t>국내영업2팀</t>
        </is>
      </c>
      <c r="D402" t="inlineStr">
        <is>
          <t>C10099</t>
        </is>
      </c>
      <c r="E402" t="inlineStr">
        <is>
          <t>한울몰드</t>
        </is>
      </c>
      <c r="F402" t="inlineStr">
        <is>
          <t>ABS</t>
        </is>
      </c>
      <c r="G402" t="inlineStr">
        <is>
          <t>M-2102</t>
        </is>
      </c>
      <c r="H402" t="inlineStr">
        <is>
          <t>ABS 내열 HR500</t>
        </is>
      </c>
      <c r="I402" s="43" t="n">
        <v>45919</v>
      </c>
      <c r="J402" t="n">
        <v>202509</v>
      </c>
      <c r="K402" s="44" t="n">
        <v>1900</v>
      </c>
      <c r="L402" t="inlineStr">
        <is>
          <t>KG</t>
        </is>
      </c>
      <c r="M402" s="44" t="n">
        <v>5676000</v>
      </c>
      <c r="N402" s="44" t="n">
        <v>340560</v>
      </c>
      <c r="O402" t="n">
        <v>0</v>
      </c>
      <c r="P402" s="44" t="n">
        <v>5335440</v>
      </c>
      <c r="Q402" t="inlineStr">
        <is>
          <t>KRW</t>
        </is>
      </c>
      <c r="R402" t="inlineStr">
        <is>
          <t>INV2509-00401</t>
        </is>
      </c>
      <c r="S402" t="inlineStr">
        <is>
          <t>※예시데이터</t>
        </is>
      </c>
    </row>
    <row r="403">
      <c r="A403" t="n">
        <v>1000</v>
      </c>
      <c r="B403" t="inlineStr">
        <is>
          <t>범용수지사업부</t>
        </is>
      </c>
      <c r="C403" t="inlineStr">
        <is>
          <t>국내영업1팀</t>
        </is>
      </c>
      <c r="D403" t="inlineStr">
        <is>
          <t>C10008</t>
        </is>
      </c>
      <c r="E403" t="inlineStr">
        <is>
          <t>나래산업(주)</t>
        </is>
      </c>
      <c r="F403" t="inlineStr">
        <is>
          <t>PP</t>
        </is>
      </c>
      <c r="G403" t="inlineStr">
        <is>
          <t>M-1101</t>
        </is>
      </c>
      <c r="H403" t="inlineStr">
        <is>
          <t>PP 범용사출 H110</t>
        </is>
      </c>
      <c r="I403" s="43" t="n">
        <v>45920</v>
      </c>
      <c r="J403" t="n">
        <v>202509</v>
      </c>
      <c r="K403" s="44" t="n">
        <v>21675</v>
      </c>
      <c r="L403" t="inlineStr">
        <is>
          <t>KG</t>
        </is>
      </c>
      <c r="M403" s="44" t="n">
        <v>35852183</v>
      </c>
      <c r="N403" s="44" t="n">
        <v>2868175</v>
      </c>
      <c r="O403" s="44" t="n">
        <v>358522</v>
      </c>
      <c r="P403" s="44" t="n">
        <v>32625486</v>
      </c>
      <c r="Q403" t="inlineStr">
        <is>
          <t>KRW</t>
        </is>
      </c>
      <c r="R403" t="inlineStr">
        <is>
          <t>INV2509-00402</t>
        </is>
      </c>
      <c r="S403" t="inlineStr">
        <is>
          <t>※예시데이터</t>
        </is>
      </c>
    </row>
    <row r="404">
      <c r="A404" t="n">
        <v>1000</v>
      </c>
      <c r="B404" t="inlineStr">
        <is>
          <t>범용수지사업부</t>
        </is>
      </c>
      <c r="C404" t="inlineStr">
        <is>
          <t>해외영업팀</t>
        </is>
      </c>
      <c r="D404" t="inlineStr">
        <is>
          <t>C10071</t>
        </is>
      </c>
      <c r="E404" t="inlineStr">
        <is>
          <t>큰별코리아</t>
        </is>
      </c>
      <c r="F404" t="inlineStr">
        <is>
          <t>PP</t>
        </is>
      </c>
      <c r="G404" t="inlineStr">
        <is>
          <t>M-1101</t>
        </is>
      </c>
      <c r="H404" t="inlineStr">
        <is>
          <t>PP 범용사출 H110</t>
        </is>
      </c>
      <c r="I404" s="43" t="n">
        <v>45920</v>
      </c>
      <c r="J404" t="n">
        <v>202509</v>
      </c>
      <c r="K404" s="44" t="n">
        <v>3275</v>
      </c>
      <c r="L404" t="inlineStr">
        <is>
          <t>KG</t>
        </is>
      </c>
      <c r="M404" s="44" t="n">
        <v>5417112</v>
      </c>
      <c r="N404" s="44" t="n">
        <v>595882</v>
      </c>
      <c r="O404" s="44" t="n">
        <v>108342</v>
      </c>
      <c r="P404" s="44" t="n">
        <v>4712888</v>
      </c>
      <c r="Q404" t="inlineStr">
        <is>
          <t>KRW</t>
        </is>
      </c>
      <c r="R404" t="inlineStr">
        <is>
          <t>INV2509-00403</t>
        </is>
      </c>
      <c r="S404" t="inlineStr">
        <is>
          <t>※예시데이터</t>
        </is>
      </c>
    </row>
    <row r="405">
      <c r="A405" t="n">
        <v>1000</v>
      </c>
      <c r="B405" t="inlineStr">
        <is>
          <t>EP사업부</t>
        </is>
      </c>
      <c r="C405" t="inlineStr">
        <is>
          <t>국내영업2팀</t>
        </is>
      </c>
      <c r="D405" t="inlineStr">
        <is>
          <t>C10099</t>
        </is>
      </c>
      <c r="E405" t="inlineStr">
        <is>
          <t>한울몰드</t>
        </is>
      </c>
      <c r="F405" t="inlineStr">
        <is>
          <t>ABS</t>
        </is>
      </c>
      <c r="G405" t="inlineStr">
        <is>
          <t>M-2101</t>
        </is>
      </c>
      <c r="H405" t="inlineStr">
        <is>
          <t>ABS 범용 G300</t>
        </is>
      </c>
      <c r="I405" s="43" t="n">
        <v>45921</v>
      </c>
      <c r="J405" t="n">
        <v>202509</v>
      </c>
      <c r="K405" s="44" t="n">
        <v>1100</v>
      </c>
      <c r="L405" t="inlineStr">
        <is>
          <t>KG</t>
        </is>
      </c>
      <c r="M405" s="44" t="n">
        <v>2922208</v>
      </c>
      <c r="N405" s="44" t="n">
        <v>175332</v>
      </c>
      <c r="O405" t="n">
        <v>0</v>
      </c>
      <c r="P405" s="44" t="n">
        <v>2746876</v>
      </c>
      <c r="Q405" t="inlineStr">
        <is>
          <t>KRW</t>
        </is>
      </c>
      <c r="R405" t="inlineStr">
        <is>
          <t>INV2509-00404</t>
        </is>
      </c>
      <c r="S405" t="inlineStr">
        <is>
          <t>※예시데이터</t>
        </is>
      </c>
    </row>
    <row r="406">
      <c r="A406" t="n">
        <v>1000</v>
      </c>
      <c r="B406" t="inlineStr">
        <is>
          <t>범용수지사업부</t>
        </is>
      </c>
      <c r="C406" t="inlineStr">
        <is>
          <t>국내영업2팀</t>
        </is>
      </c>
      <c r="D406" t="inlineStr">
        <is>
          <t>C10036</t>
        </is>
      </c>
      <c r="E406" t="inlineStr">
        <is>
          <t>바른물산</t>
        </is>
      </c>
      <c r="F406" t="inlineStr">
        <is>
          <t>PE</t>
        </is>
      </c>
      <c r="G406" t="inlineStr">
        <is>
          <t>M-1201</t>
        </is>
      </c>
      <c r="H406" t="inlineStr">
        <is>
          <t>HDPE 블로우 B500</t>
        </is>
      </c>
      <c r="I406" s="43" t="n">
        <v>45922</v>
      </c>
      <c r="J406" t="n">
        <v>202509</v>
      </c>
      <c r="K406" s="44" t="n">
        <v>19350</v>
      </c>
      <c r="L406" t="inlineStr">
        <is>
          <t>KG</t>
        </is>
      </c>
      <c r="M406" s="44" t="n">
        <v>30648598</v>
      </c>
      <c r="N406" s="44" t="n">
        <v>2758374</v>
      </c>
      <c r="O406" s="44" t="n">
        <v>612972</v>
      </c>
      <c r="P406" s="44" t="n">
        <v>27277252</v>
      </c>
      <c r="Q406" t="inlineStr">
        <is>
          <t>KRW</t>
        </is>
      </c>
      <c r="R406" t="inlineStr">
        <is>
          <t>INV2509-00405</t>
        </is>
      </c>
      <c r="S406" t="inlineStr">
        <is>
          <t>※예시데이터</t>
        </is>
      </c>
    </row>
    <row r="407">
      <c r="A407" t="n">
        <v>1000</v>
      </c>
      <c r="B407" t="inlineStr">
        <is>
          <t>범용수지사업부</t>
        </is>
      </c>
      <c r="C407" t="inlineStr">
        <is>
          <t>해외영업팀</t>
        </is>
      </c>
      <c r="D407" t="inlineStr">
        <is>
          <t>C10071</t>
        </is>
      </c>
      <c r="E407" t="inlineStr">
        <is>
          <t>큰별코리아</t>
        </is>
      </c>
      <c r="F407" t="inlineStr">
        <is>
          <t>PE</t>
        </is>
      </c>
      <c r="G407" t="inlineStr">
        <is>
          <t>M-1201</t>
        </is>
      </c>
      <c r="H407" t="inlineStr">
        <is>
          <t>HDPE 블로우 B500</t>
        </is>
      </c>
      <c r="I407" s="43" t="n">
        <v>45922</v>
      </c>
      <c r="J407" t="n">
        <v>202509</v>
      </c>
      <c r="K407" s="44" t="n">
        <v>4900</v>
      </c>
      <c r="L407" t="inlineStr">
        <is>
          <t>KG</t>
        </is>
      </c>
      <c r="M407" s="44" t="n">
        <v>7761144</v>
      </c>
      <c r="N407" s="44" t="n">
        <v>853726</v>
      </c>
      <c r="O407" s="44" t="n">
        <v>155223</v>
      </c>
      <c r="P407" s="44" t="n">
        <v>6752195</v>
      </c>
      <c r="Q407" t="inlineStr">
        <is>
          <t>KRW</t>
        </is>
      </c>
      <c r="R407" t="inlineStr">
        <is>
          <t>INV2509-00406</t>
        </is>
      </c>
      <c r="S407" t="inlineStr">
        <is>
          <t>※예시데이터</t>
        </is>
      </c>
    </row>
    <row r="408">
      <c r="A408" t="n">
        <v>1000</v>
      </c>
      <c r="B408" t="inlineStr">
        <is>
          <t>EP사업부</t>
        </is>
      </c>
      <c r="C408" t="inlineStr">
        <is>
          <t>국내영업1팀</t>
        </is>
      </c>
      <c r="D408" t="inlineStr">
        <is>
          <t>C10134</t>
        </is>
      </c>
      <c r="E408" t="inlineStr">
        <is>
          <t>별하전자(주)</t>
        </is>
      </c>
      <c r="F408" t="inlineStr">
        <is>
          <t>PC</t>
        </is>
      </c>
      <c r="G408" t="inlineStr">
        <is>
          <t>M-2202</t>
        </is>
      </c>
      <c r="H408" t="inlineStr">
        <is>
          <t>PC 난연 FR200</t>
        </is>
      </c>
      <c r="I408" s="43" t="n">
        <v>45923</v>
      </c>
      <c r="J408" t="n">
        <v>202509</v>
      </c>
      <c r="K408" t="n">
        <v>450</v>
      </c>
      <c r="L408" t="inlineStr">
        <is>
          <t>KG</t>
        </is>
      </c>
      <c r="M408" s="44" t="n">
        <v>1962340</v>
      </c>
      <c r="N408" s="44" t="n">
        <v>58870</v>
      </c>
      <c r="O408" t="n">
        <v>0</v>
      </c>
      <c r="P408" s="44" t="n">
        <v>1903470</v>
      </c>
      <c r="Q408" t="inlineStr">
        <is>
          <t>KRW</t>
        </is>
      </c>
      <c r="R408" t="inlineStr">
        <is>
          <t>INV2509-00407</t>
        </is>
      </c>
      <c r="S408" t="inlineStr">
        <is>
          <t>※예시데이터</t>
        </is>
      </c>
    </row>
    <row r="409">
      <c r="A409" t="n">
        <v>1000</v>
      </c>
      <c r="B409" t="inlineStr">
        <is>
          <t>범용수지사업부</t>
        </is>
      </c>
      <c r="C409" t="inlineStr">
        <is>
          <t>해외영업팀</t>
        </is>
      </c>
      <c r="D409" t="inlineStr">
        <is>
          <t>C10071</t>
        </is>
      </c>
      <c r="E409" t="inlineStr">
        <is>
          <t>큰별코리아</t>
        </is>
      </c>
      <c r="F409" t="inlineStr">
        <is>
          <t>PE</t>
        </is>
      </c>
      <c r="G409" t="inlineStr">
        <is>
          <t>M-1202</t>
        </is>
      </c>
      <c r="H409" t="inlineStr">
        <is>
          <t>LLDPE 필름 F120</t>
        </is>
      </c>
      <c r="I409" s="43" t="n">
        <v>45924</v>
      </c>
      <c r="J409" t="n">
        <v>202509</v>
      </c>
      <c r="K409" s="44" t="n">
        <v>7850</v>
      </c>
      <c r="L409" t="inlineStr">
        <is>
          <t>KG</t>
        </is>
      </c>
      <c r="M409" s="44" t="n">
        <v>13456692</v>
      </c>
      <c r="N409" s="44" t="n">
        <v>1480236</v>
      </c>
      <c r="O409" s="44" t="n">
        <v>269134</v>
      </c>
      <c r="P409" s="44" t="n">
        <v>11707322</v>
      </c>
      <c r="Q409" t="inlineStr">
        <is>
          <t>KRW</t>
        </is>
      </c>
      <c r="R409" t="inlineStr">
        <is>
          <t>INV2509-00408</t>
        </is>
      </c>
      <c r="S409" t="inlineStr">
        <is>
          <t>※예시데이터</t>
        </is>
      </c>
    </row>
    <row r="410">
      <c r="A410" t="n">
        <v>1000</v>
      </c>
      <c r="B410" t="inlineStr">
        <is>
          <t>범용수지사업부</t>
        </is>
      </c>
      <c r="C410" t="inlineStr">
        <is>
          <t>국내영업1팀</t>
        </is>
      </c>
      <c r="D410" t="inlineStr">
        <is>
          <t>C10001</t>
        </is>
      </c>
      <c r="E410" t="inlineStr">
        <is>
          <t>가온소재(주)</t>
        </is>
      </c>
      <c r="F410" t="inlineStr">
        <is>
          <t>PE</t>
        </is>
      </c>
      <c r="G410" t="inlineStr">
        <is>
          <t>M-1201</t>
        </is>
      </c>
      <c r="H410" t="inlineStr">
        <is>
          <t>HDPE 블로우 B500</t>
        </is>
      </c>
      <c r="I410" s="43" t="n">
        <v>45925</v>
      </c>
      <c r="J410" t="n">
        <v>202509</v>
      </c>
      <c r="K410" s="44" t="n">
        <v>5225</v>
      </c>
      <c r="L410" t="inlineStr">
        <is>
          <t>KG</t>
        </is>
      </c>
      <c r="M410" s="44" t="n">
        <v>8275913</v>
      </c>
      <c r="N410" s="44" t="n">
        <v>496555</v>
      </c>
      <c r="O410" t="n">
        <v>0</v>
      </c>
      <c r="P410" s="44" t="n">
        <v>7779358</v>
      </c>
      <c r="Q410" t="inlineStr">
        <is>
          <t>KRW</t>
        </is>
      </c>
      <c r="R410" t="inlineStr">
        <is>
          <t>INV2509-00409</t>
        </is>
      </c>
      <c r="S410" t="inlineStr">
        <is>
          <t>※예시데이터</t>
        </is>
      </c>
    </row>
    <row r="411">
      <c r="A411" t="n">
        <v>1000</v>
      </c>
      <c r="B411" t="inlineStr">
        <is>
          <t>범용수지사업부</t>
        </is>
      </c>
      <c r="C411" t="inlineStr">
        <is>
          <t>국내영업2팀</t>
        </is>
      </c>
      <c r="D411" t="inlineStr">
        <is>
          <t>C10050</t>
        </is>
      </c>
      <c r="E411" t="inlineStr">
        <is>
          <t>아름화학(주)</t>
        </is>
      </c>
      <c r="F411" t="inlineStr">
        <is>
          <t>PE</t>
        </is>
      </c>
      <c r="G411" t="inlineStr">
        <is>
          <t>M-1201</t>
        </is>
      </c>
      <c r="H411" t="inlineStr">
        <is>
          <t>HDPE 블로우 B500</t>
        </is>
      </c>
      <c r="I411" s="43" t="n">
        <v>45925</v>
      </c>
      <c r="J411" t="n">
        <v>202509</v>
      </c>
      <c r="K411" s="44" t="n">
        <v>9725</v>
      </c>
      <c r="L411" t="inlineStr">
        <is>
          <t>KG</t>
        </is>
      </c>
      <c r="M411" s="44" t="n">
        <v>15403494</v>
      </c>
      <c r="N411" s="44" t="n">
        <v>1540349</v>
      </c>
      <c r="O411" s="44" t="n">
        <v>154035</v>
      </c>
      <c r="P411" s="44" t="n">
        <v>13709110</v>
      </c>
      <c r="Q411" t="inlineStr">
        <is>
          <t>KRW</t>
        </is>
      </c>
      <c r="R411" t="inlineStr">
        <is>
          <t>INV2509-00410</t>
        </is>
      </c>
      <c r="S411" t="inlineStr">
        <is>
          <t>※예시데이터</t>
        </is>
      </c>
    </row>
    <row r="412">
      <c r="A412" t="n">
        <v>1000</v>
      </c>
      <c r="B412" t="inlineStr">
        <is>
          <t>EP사업부</t>
        </is>
      </c>
      <c r="C412" t="inlineStr">
        <is>
          <t>국내영업2팀</t>
        </is>
      </c>
      <c r="D412" t="inlineStr">
        <is>
          <t>C10113</t>
        </is>
      </c>
      <c r="E412" t="inlineStr">
        <is>
          <t>누리오토파츠</t>
        </is>
      </c>
      <c r="F412" t="inlineStr">
        <is>
          <t>PC</t>
        </is>
      </c>
      <c r="G412" t="inlineStr">
        <is>
          <t>M-2202</t>
        </is>
      </c>
      <c r="H412" t="inlineStr">
        <is>
          <t>PC 난연 FR200</t>
        </is>
      </c>
      <c r="I412" s="43" t="n">
        <v>45926</v>
      </c>
      <c r="J412" t="n">
        <v>202509</v>
      </c>
      <c r="K412" s="44" t="n">
        <v>2200</v>
      </c>
      <c r="L412" t="inlineStr">
        <is>
          <t>KG</t>
        </is>
      </c>
      <c r="M412" s="44" t="n">
        <v>9593664</v>
      </c>
      <c r="N412" s="44" t="n">
        <v>671556</v>
      </c>
      <c r="O412" s="44" t="n">
        <v>95937</v>
      </c>
      <c r="P412" s="44" t="n">
        <v>8826171</v>
      </c>
      <c r="Q412" t="inlineStr">
        <is>
          <t>KRW</t>
        </is>
      </c>
      <c r="R412" t="inlineStr">
        <is>
          <t>INV2509-00411</t>
        </is>
      </c>
      <c r="S412" t="inlineStr">
        <is>
          <t>※예시데이터</t>
        </is>
      </c>
    </row>
    <row r="413">
      <c r="A413" t="n">
        <v>1000</v>
      </c>
      <c r="B413" t="inlineStr">
        <is>
          <t>범용수지사업부</t>
        </is>
      </c>
      <c r="C413" t="inlineStr">
        <is>
          <t>국내영업1팀</t>
        </is>
      </c>
      <c r="D413" t="inlineStr">
        <is>
          <t>C10001</t>
        </is>
      </c>
      <c r="E413" t="inlineStr">
        <is>
          <t>가온소재(주)</t>
        </is>
      </c>
      <c r="F413" t="inlineStr">
        <is>
          <t>PP</t>
        </is>
      </c>
      <c r="G413" t="inlineStr">
        <is>
          <t>M-1102</t>
        </is>
      </c>
      <c r="H413" t="inlineStr">
        <is>
          <t>PP 고강성 H220</t>
        </is>
      </c>
      <c r="I413" s="43" t="n">
        <v>45927</v>
      </c>
      <c r="J413" t="n">
        <v>202509</v>
      </c>
      <c r="K413" s="44" t="n">
        <v>5050</v>
      </c>
      <c r="L413" t="inlineStr">
        <is>
          <t>KG</t>
        </is>
      </c>
      <c r="M413" s="44" t="n">
        <v>9213727</v>
      </c>
      <c r="N413" s="44" t="n">
        <v>552824</v>
      </c>
      <c r="O413" t="n">
        <v>0</v>
      </c>
      <c r="P413" s="44" t="n">
        <v>8660903</v>
      </c>
      <c r="Q413" t="inlineStr">
        <is>
          <t>KRW</t>
        </is>
      </c>
      <c r="R413" t="inlineStr">
        <is>
          <t>INV2509-00412</t>
        </is>
      </c>
      <c r="S413" t="inlineStr">
        <is>
          <t>※예시데이터</t>
        </is>
      </c>
    </row>
    <row r="414">
      <c r="A414" t="n">
        <v>1000</v>
      </c>
      <c r="B414" t="inlineStr">
        <is>
          <t>범용수지사업부</t>
        </is>
      </c>
      <c r="C414" t="inlineStr">
        <is>
          <t>국내영업1팀</t>
        </is>
      </c>
      <c r="D414" t="inlineStr">
        <is>
          <t>C10043</t>
        </is>
      </c>
      <c r="E414" t="inlineStr">
        <is>
          <t>새봄플라스틱</t>
        </is>
      </c>
      <c r="F414" t="inlineStr">
        <is>
          <t>PP</t>
        </is>
      </c>
      <c r="G414" t="inlineStr">
        <is>
          <t>M-1103</t>
        </is>
      </c>
      <c r="H414" t="inlineStr">
        <is>
          <t>PP 투명 R330</t>
        </is>
      </c>
      <c r="I414" s="43" t="n">
        <v>45927</v>
      </c>
      <c r="J414" t="n">
        <v>202509</v>
      </c>
      <c r="K414" s="44" t="n">
        <v>2850</v>
      </c>
      <c r="L414" t="inlineStr">
        <is>
          <t>KG</t>
        </is>
      </c>
      <c r="M414" s="44" t="n">
        <v>5542672</v>
      </c>
      <c r="N414" s="44" t="n">
        <v>332560</v>
      </c>
      <c r="O414" t="n">
        <v>0</v>
      </c>
      <c r="P414" s="44" t="n">
        <v>5210112</v>
      </c>
      <c r="Q414" t="inlineStr">
        <is>
          <t>KRW</t>
        </is>
      </c>
      <c r="R414" t="inlineStr">
        <is>
          <t>INV2509-00413</t>
        </is>
      </c>
      <c r="S414" t="inlineStr">
        <is>
          <t>※예시데이터</t>
        </is>
      </c>
    </row>
    <row r="415">
      <c r="A415" t="n">
        <v>1000</v>
      </c>
      <c r="B415" t="inlineStr">
        <is>
          <t>EP사업부</t>
        </is>
      </c>
      <c r="C415" t="inlineStr">
        <is>
          <t>국내영업1팀</t>
        </is>
      </c>
      <c r="D415" t="inlineStr">
        <is>
          <t>C10043</t>
        </is>
      </c>
      <c r="E415" t="inlineStr">
        <is>
          <t>새봄플라스틱</t>
        </is>
      </c>
      <c r="F415" t="inlineStr">
        <is>
          <t>ABS</t>
        </is>
      </c>
      <c r="G415" t="inlineStr">
        <is>
          <t>M-2101</t>
        </is>
      </c>
      <c r="H415" t="inlineStr">
        <is>
          <t>ABS 범용 G300</t>
        </is>
      </c>
      <c r="I415" s="43" t="n">
        <v>45927</v>
      </c>
      <c r="J415" t="n">
        <v>202509</v>
      </c>
      <c r="K415" s="44" t="n">
        <v>2900</v>
      </c>
      <c r="L415" t="inlineStr">
        <is>
          <t>KG</t>
        </is>
      </c>
      <c r="M415" s="44" t="n">
        <v>7704003</v>
      </c>
      <c r="N415" s="44" t="n">
        <v>462240</v>
      </c>
      <c r="O415" t="n">
        <v>0</v>
      </c>
      <c r="P415" s="44" t="n">
        <v>7241763</v>
      </c>
      <c r="Q415" t="inlineStr">
        <is>
          <t>KRW</t>
        </is>
      </c>
      <c r="R415" t="inlineStr">
        <is>
          <t>INV2509-00414</t>
        </is>
      </c>
      <c r="S415" t="inlineStr">
        <is>
          <t>※예시데이터</t>
        </is>
      </c>
    </row>
    <row r="416">
      <c r="A416" t="n">
        <v>1000</v>
      </c>
      <c r="B416" t="inlineStr">
        <is>
          <t>EP사업부</t>
        </is>
      </c>
      <c r="C416" t="inlineStr">
        <is>
          <t>국내영업2팀</t>
        </is>
      </c>
      <c r="D416" t="inlineStr">
        <is>
          <t>C10113</t>
        </is>
      </c>
      <c r="E416" t="inlineStr">
        <is>
          <t>누리오토파츠</t>
        </is>
      </c>
      <c r="F416" t="inlineStr">
        <is>
          <t>ABS</t>
        </is>
      </c>
      <c r="G416" t="inlineStr">
        <is>
          <t>M-2101</t>
        </is>
      </c>
      <c r="H416" t="inlineStr">
        <is>
          <t>ABS 범용 G300</t>
        </is>
      </c>
      <c r="I416" s="43" t="n">
        <v>45927</v>
      </c>
      <c r="J416" t="n">
        <v>202509</v>
      </c>
      <c r="K416" s="44" t="n">
        <v>3175</v>
      </c>
      <c r="L416" t="inlineStr">
        <is>
          <t>KG</t>
        </is>
      </c>
      <c r="M416" s="44" t="n">
        <v>8434555</v>
      </c>
      <c r="N416" s="44" t="n">
        <v>590419</v>
      </c>
      <c r="O416" s="44" t="n">
        <v>84346</v>
      </c>
      <c r="P416" s="44" t="n">
        <v>7759790</v>
      </c>
      <c r="Q416" t="inlineStr">
        <is>
          <t>KRW</t>
        </is>
      </c>
      <c r="R416" t="inlineStr">
        <is>
          <t>INV2509-00415</t>
        </is>
      </c>
      <c r="S416" t="inlineStr">
        <is>
          <t>※예시데이터</t>
        </is>
      </c>
    </row>
    <row r="417">
      <c r="A417" t="n">
        <v>1000</v>
      </c>
      <c r="B417" t="inlineStr">
        <is>
          <t>EP사업부</t>
        </is>
      </c>
      <c r="C417" t="inlineStr">
        <is>
          <t>국내영업1팀</t>
        </is>
      </c>
      <c r="D417" t="inlineStr">
        <is>
          <t>C10057</t>
        </is>
      </c>
      <c r="E417" t="inlineStr">
        <is>
          <t>자연엠텍</t>
        </is>
      </c>
      <c r="F417" t="inlineStr">
        <is>
          <t>PC</t>
        </is>
      </c>
      <c r="G417" t="inlineStr">
        <is>
          <t>M-2201</t>
        </is>
      </c>
      <c r="H417" t="inlineStr">
        <is>
          <t>PC 일반 C100</t>
        </is>
      </c>
      <c r="I417" s="43" t="n">
        <v>45928</v>
      </c>
      <c r="J417" t="n">
        <v>202509</v>
      </c>
      <c r="K417" s="44" t="n">
        <v>1075</v>
      </c>
      <c r="L417" t="inlineStr">
        <is>
          <t>KG</t>
        </is>
      </c>
      <c r="M417" s="44" t="n">
        <v>4202867</v>
      </c>
      <c r="N417" s="44" t="n">
        <v>210143</v>
      </c>
      <c r="O417" t="n">
        <v>0</v>
      </c>
      <c r="P417" s="44" t="n">
        <v>3992724</v>
      </c>
      <c r="Q417" t="inlineStr">
        <is>
          <t>KRW</t>
        </is>
      </c>
      <c r="R417" t="inlineStr">
        <is>
          <t>INV2509-00416</t>
        </is>
      </c>
      <c r="S417" t="inlineStr">
        <is>
          <t>※예시데이터</t>
        </is>
      </c>
    </row>
    <row r="418">
      <c r="A418" t="n">
        <v>1000</v>
      </c>
      <c r="B418" t="inlineStr">
        <is>
          <t>EP사업부</t>
        </is>
      </c>
      <c r="C418" t="inlineStr">
        <is>
          <t>국내영업1팀</t>
        </is>
      </c>
      <c r="D418" t="inlineStr">
        <is>
          <t>C10057</t>
        </is>
      </c>
      <c r="E418" t="inlineStr">
        <is>
          <t>자연엠텍</t>
        </is>
      </c>
      <c r="F418" t="inlineStr">
        <is>
          <t>PC</t>
        </is>
      </c>
      <c r="G418" t="inlineStr">
        <is>
          <t>M-2201</t>
        </is>
      </c>
      <c r="H418" t="inlineStr">
        <is>
          <t>PC 일반 C100</t>
        </is>
      </c>
      <c r="I418" s="43" t="n">
        <v>45928</v>
      </c>
      <c r="J418" t="n">
        <v>202509</v>
      </c>
      <c r="K418" s="44" t="n">
        <v>1075</v>
      </c>
      <c r="L418" t="inlineStr">
        <is>
          <t>KG</t>
        </is>
      </c>
      <c r="M418" s="44" t="n">
        <v>4202867</v>
      </c>
      <c r="N418" s="44" t="n">
        <v>210143</v>
      </c>
      <c r="O418" t="n">
        <v>0</v>
      </c>
      <c r="P418" s="44" t="n">
        <v>3992724</v>
      </c>
      <c r="Q418" t="inlineStr">
        <is>
          <t>KRW</t>
        </is>
      </c>
      <c r="R418" t="inlineStr">
        <is>
          <t>INV2509-00417</t>
        </is>
      </c>
      <c r="S418" t="inlineStr">
        <is>
          <t>※예시데이터</t>
        </is>
      </c>
    </row>
    <row r="419">
      <c r="A419" t="n">
        <v>1000</v>
      </c>
      <c r="B419" t="inlineStr">
        <is>
          <t>EP사업부</t>
        </is>
      </c>
      <c r="C419" t="inlineStr">
        <is>
          <t>국내영업2팀</t>
        </is>
      </c>
      <c r="D419" t="inlineStr">
        <is>
          <t>C10085</t>
        </is>
      </c>
      <c r="E419" t="inlineStr">
        <is>
          <t>파란하이텍</t>
        </is>
      </c>
      <c r="F419" t="inlineStr">
        <is>
          <t>PC</t>
        </is>
      </c>
      <c r="G419" t="inlineStr">
        <is>
          <t>M-2202</t>
        </is>
      </c>
      <c r="H419" t="inlineStr">
        <is>
          <t>PC 난연 FR200</t>
        </is>
      </c>
      <c r="I419" s="43" t="n">
        <v>45928</v>
      </c>
      <c r="J419" t="n">
        <v>202509</v>
      </c>
      <c r="K419" s="44" t="n">
        <v>3850</v>
      </c>
      <c r="L419" t="inlineStr">
        <is>
          <t>KG</t>
        </is>
      </c>
      <c r="M419" s="44" t="n">
        <v>16788912</v>
      </c>
      <c r="N419" s="44" t="n">
        <v>1007335</v>
      </c>
      <c r="O419" t="n">
        <v>0</v>
      </c>
      <c r="P419" s="44" t="n">
        <v>15781577</v>
      </c>
      <c r="Q419" t="inlineStr">
        <is>
          <t>KRW</t>
        </is>
      </c>
      <c r="R419" t="inlineStr">
        <is>
          <t>INV2509-00418</t>
        </is>
      </c>
      <c r="S419" t="inlineStr">
        <is>
          <t>※예시데이터</t>
        </is>
      </c>
    </row>
    <row r="420">
      <c r="A420" t="n">
        <v>1000</v>
      </c>
      <c r="B420" t="inlineStr">
        <is>
          <t>EP사업부</t>
        </is>
      </c>
      <c r="C420" t="inlineStr">
        <is>
          <t>국내영업2팀</t>
        </is>
      </c>
      <c r="D420" t="inlineStr">
        <is>
          <t>C10015</t>
        </is>
      </c>
      <c r="E420" t="inlineStr">
        <is>
          <t>다솜케미칼</t>
        </is>
      </c>
      <c r="F420" t="inlineStr">
        <is>
          <t>PC</t>
        </is>
      </c>
      <c r="G420" t="inlineStr">
        <is>
          <t>M-2202</t>
        </is>
      </c>
      <c r="H420" t="inlineStr">
        <is>
          <t>PC 난연 FR200</t>
        </is>
      </c>
      <c r="I420" s="43" t="n">
        <v>45932</v>
      </c>
      <c r="J420" t="n">
        <v>202510</v>
      </c>
      <c r="K420" s="44" t="n">
        <v>3475</v>
      </c>
      <c r="L420" t="inlineStr">
        <is>
          <t>KG</t>
        </is>
      </c>
      <c r="M420" s="44" t="n">
        <v>15066909</v>
      </c>
      <c r="N420" s="44" t="n">
        <v>753345</v>
      </c>
      <c r="O420" t="n">
        <v>0</v>
      </c>
      <c r="P420" s="44" t="n">
        <v>14313564</v>
      </c>
      <c r="Q420" t="inlineStr">
        <is>
          <t>KRW</t>
        </is>
      </c>
      <c r="R420" t="inlineStr">
        <is>
          <t>INV2510-00419</t>
        </is>
      </c>
      <c r="S420" t="inlineStr">
        <is>
          <t>※예시데이터</t>
        </is>
      </c>
    </row>
    <row r="421">
      <c r="A421" t="n">
        <v>1000</v>
      </c>
      <c r="B421" t="inlineStr">
        <is>
          <t>범용수지사업부</t>
        </is>
      </c>
      <c r="C421" t="inlineStr">
        <is>
          <t>국내영업1팀</t>
        </is>
      </c>
      <c r="D421" t="inlineStr">
        <is>
          <t>C10001</t>
        </is>
      </c>
      <c r="E421" t="inlineStr">
        <is>
          <t>가온소재(주)</t>
        </is>
      </c>
      <c r="F421" t="inlineStr">
        <is>
          <t>PE</t>
        </is>
      </c>
      <c r="G421" t="inlineStr">
        <is>
          <t>M-1201</t>
        </is>
      </c>
      <c r="H421" t="inlineStr">
        <is>
          <t>HDPE 블로우 B500</t>
        </is>
      </c>
      <c r="I421" s="43" t="n">
        <v>45936</v>
      </c>
      <c r="J421" t="n">
        <v>202510</v>
      </c>
      <c r="K421" s="44" t="n">
        <v>4350</v>
      </c>
      <c r="L421" t="inlineStr">
        <is>
          <t>KG</t>
        </is>
      </c>
      <c r="M421" s="44" t="n">
        <v>6850566</v>
      </c>
      <c r="N421" s="44" t="n">
        <v>411034</v>
      </c>
      <c r="O421" t="n">
        <v>0</v>
      </c>
      <c r="P421" s="44" t="n">
        <v>6439532</v>
      </c>
      <c r="Q421" t="inlineStr">
        <is>
          <t>KRW</t>
        </is>
      </c>
      <c r="R421" t="inlineStr">
        <is>
          <t>INV2510-00420</t>
        </is>
      </c>
      <c r="S421" t="inlineStr">
        <is>
          <t>※예시데이터</t>
        </is>
      </c>
    </row>
    <row r="422">
      <c r="A422" t="n">
        <v>1000</v>
      </c>
      <c r="B422" t="inlineStr">
        <is>
          <t>범용수지사업부</t>
        </is>
      </c>
      <c r="C422" t="inlineStr">
        <is>
          <t>국내영업2팀</t>
        </is>
      </c>
      <c r="D422" t="inlineStr">
        <is>
          <t>C10050</t>
        </is>
      </c>
      <c r="E422" t="inlineStr">
        <is>
          <t>아름화학(주)</t>
        </is>
      </c>
      <c r="F422" t="inlineStr">
        <is>
          <t>PE</t>
        </is>
      </c>
      <c r="G422" t="inlineStr">
        <is>
          <t>M-1201</t>
        </is>
      </c>
      <c r="H422" t="inlineStr">
        <is>
          <t>HDPE 블로우 B500</t>
        </is>
      </c>
      <c r="I422" s="43" t="n">
        <v>45936</v>
      </c>
      <c r="J422" t="n">
        <v>202510</v>
      </c>
      <c r="K422" s="44" t="n">
        <v>3200</v>
      </c>
      <c r="L422" t="inlineStr">
        <is>
          <t>KG</t>
        </is>
      </c>
      <c r="M422" s="44" t="n">
        <v>5039497</v>
      </c>
      <c r="N422" s="44" t="n">
        <v>503950</v>
      </c>
      <c r="O422" s="44" t="n">
        <v>50395</v>
      </c>
      <c r="P422" s="44" t="n">
        <v>4485152</v>
      </c>
      <c r="Q422" t="inlineStr">
        <is>
          <t>KRW</t>
        </is>
      </c>
      <c r="R422" t="inlineStr">
        <is>
          <t>INV2510-00421</t>
        </is>
      </c>
      <c r="S422" t="inlineStr">
        <is>
          <t>※예시데이터</t>
        </is>
      </c>
    </row>
    <row r="423">
      <c r="A423" t="n">
        <v>1000</v>
      </c>
      <c r="B423" t="inlineStr">
        <is>
          <t>EP사업부</t>
        </is>
      </c>
      <c r="C423" t="inlineStr">
        <is>
          <t>국내영업1팀</t>
        </is>
      </c>
      <c r="D423" t="inlineStr">
        <is>
          <t>C10134</t>
        </is>
      </c>
      <c r="E423" t="inlineStr">
        <is>
          <t>별하전자(주)</t>
        </is>
      </c>
      <c r="F423" t="inlineStr">
        <is>
          <t>PC</t>
        </is>
      </c>
      <c r="G423" t="inlineStr">
        <is>
          <t>M-2202</t>
        </is>
      </c>
      <c r="H423" t="inlineStr">
        <is>
          <t>PC 난연 FR200</t>
        </is>
      </c>
      <c r="I423" s="43" t="n">
        <v>45936</v>
      </c>
      <c r="J423" t="n">
        <v>202510</v>
      </c>
      <c r="K423" t="n">
        <v>700</v>
      </c>
      <c r="L423" t="inlineStr">
        <is>
          <t>KG</t>
        </is>
      </c>
      <c r="M423" s="44" t="n">
        <v>3035061</v>
      </c>
      <c r="N423" s="44" t="n">
        <v>91052</v>
      </c>
      <c r="O423" t="n">
        <v>0</v>
      </c>
      <c r="P423" s="44" t="n">
        <v>2944009</v>
      </c>
      <c r="Q423" t="inlineStr">
        <is>
          <t>KRW</t>
        </is>
      </c>
      <c r="R423" t="inlineStr">
        <is>
          <t>INV2510-00422</t>
        </is>
      </c>
      <c r="S423" t="inlineStr">
        <is>
          <t>※예시데이터</t>
        </is>
      </c>
    </row>
    <row r="424">
      <c r="A424" t="n">
        <v>1000</v>
      </c>
      <c r="B424" t="inlineStr">
        <is>
          <t>범용수지사업부</t>
        </is>
      </c>
      <c r="C424" t="inlineStr">
        <is>
          <t>국내영업2팀</t>
        </is>
      </c>
      <c r="D424" t="inlineStr">
        <is>
          <t>C10050</t>
        </is>
      </c>
      <c r="E424" t="inlineStr">
        <is>
          <t>아름화학(주)</t>
        </is>
      </c>
      <c r="F424" t="inlineStr">
        <is>
          <t>PP</t>
        </is>
      </c>
      <c r="G424" t="inlineStr">
        <is>
          <t>M-1103</t>
        </is>
      </c>
      <c r="H424" t="inlineStr">
        <is>
          <t>PP 투명 R330</t>
        </is>
      </c>
      <c r="I424" s="43" t="n">
        <v>45937</v>
      </c>
      <c r="J424" t="n">
        <v>202510</v>
      </c>
      <c r="K424" s="44" t="n">
        <v>7150</v>
      </c>
      <c r="L424" t="inlineStr">
        <is>
          <t>KG</t>
        </is>
      </c>
      <c r="M424" s="44" t="n">
        <v>13825723</v>
      </c>
      <c r="N424" s="44" t="n">
        <v>1382572</v>
      </c>
      <c r="O424" s="44" t="n">
        <v>138257</v>
      </c>
      <c r="P424" s="44" t="n">
        <v>12304894</v>
      </c>
      <c r="Q424" t="inlineStr">
        <is>
          <t>KRW</t>
        </is>
      </c>
      <c r="R424" t="inlineStr">
        <is>
          <t>INV2510-00423</t>
        </is>
      </c>
      <c r="S424" t="inlineStr">
        <is>
          <t>※예시데이터</t>
        </is>
      </c>
    </row>
    <row r="425">
      <c r="A425" t="n">
        <v>1000</v>
      </c>
      <c r="B425" t="inlineStr">
        <is>
          <t>범용수지사업부</t>
        </is>
      </c>
      <c r="C425" t="inlineStr">
        <is>
          <t>해외영업팀</t>
        </is>
      </c>
      <c r="D425" t="inlineStr">
        <is>
          <t>C10071</t>
        </is>
      </c>
      <c r="E425" t="inlineStr">
        <is>
          <t>큰별코리아</t>
        </is>
      </c>
      <c r="F425" t="inlineStr">
        <is>
          <t>PE</t>
        </is>
      </c>
      <c r="G425" t="inlineStr">
        <is>
          <t>M-1201</t>
        </is>
      </c>
      <c r="H425" t="inlineStr">
        <is>
          <t>HDPE 블로우 B500</t>
        </is>
      </c>
      <c r="I425" s="43" t="n">
        <v>45937</v>
      </c>
      <c r="J425" t="n">
        <v>202510</v>
      </c>
      <c r="K425" s="44" t="n">
        <v>9150</v>
      </c>
      <c r="L425" t="inlineStr">
        <is>
          <t>KG</t>
        </is>
      </c>
      <c r="M425" s="44" t="n">
        <v>14409811</v>
      </c>
      <c r="N425" s="44" t="n">
        <v>1585079</v>
      </c>
      <c r="O425" s="44" t="n">
        <v>288196</v>
      </c>
      <c r="P425" s="44" t="n">
        <v>12536536</v>
      </c>
      <c r="Q425" t="inlineStr">
        <is>
          <t>KRW</t>
        </is>
      </c>
      <c r="R425" t="inlineStr">
        <is>
          <t>INV2510-00424</t>
        </is>
      </c>
      <c r="S425" t="inlineStr">
        <is>
          <t>※예시데이터</t>
        </is>
      </c>
    </row>
    <row r="426">
      <c r="A426" t="n">
        <v>1000</v>
      </c>
      <c r="B426" t="inlineStr">
        <is>
          <t>EP사업부</t>
        </is>
      </c>
      <c r="C426" t="inlineStr">
        <is>
          <t>국내영업1팀</t>
        </is>
      </c>
      <c r="D426" t="inlineStr">
        <is>
          <t>C10078</t>
        </is>
      </c>
      <c r="E426" t="inlineStr">
        <is>
          <t>토담정공(주)</t>
        </is>
      </c>
      <c r="F426" t="inlineStr">
        <is>
          <t>ABS</t>
        </is>
      </c>
      <c r="G426" t="inlineStr">
        <is>
          <t>M-2102</t>
        </is>
      </c>
      <c r="H426" t="inlineStr">
        <is>
          <t>ABS 내열 HR500</t>
        </is>
      </c>
      <c r="I426" s="43" t="n">
        <v>45937</v>
      </c>
      <c r="J426" t="n">
        <v>202510</v>
      </c>
      <c r="K426" s="44" t="n">
        <v>2375</v>
      </c>
      <c r="L426" t="inlineStr">
        <is>
          <t>KG</t>
        </is>
      </c>
      <c r="M426" s="44" t="n">
        <v>7054398</v>
      </c>
      <c r="N426" s="44" t="n">
        <v>211632</v>
      </c>
      <c r="O426" t="n">
        <v>0</v>
      </c>
      <c r="P426" s="44" t="n">
        <v>6842766</v>
      </c>
      <c r="Q426" t="inlineStr">
        <is>
          <t>KRW</t>
        </is>
      </c>
      <c r="R426" t="inlineStr">
        <is>
          <t>INV2510-00425</t>
        </is>
      </c>
      <c r="S426" t="inlineStr">
        <is>
          <t>※예시데이터</t>
        </is>
      </c>
    </row>
    <row r="427">
      <c r="A427" t="n">
        <v>1000</v>
      </c>
      <c r="B427" t="inlineStr">
        <is>
          <t>EP사업부</t>
        </is>
      </c>
      <c r="C427" t="inlineStr">
        <is>
          <t>국내영업1팀</t>
        </is>
      </c>
      <c r="D427" t="inlineStr">
        <is>
          <t>C10043</t>
        </is>
      </c>
      <c r="E427" t="inlineStr">
        <is>
          <t>새봄플라스틱</t>
        </is>
      </c>
      <c r="F427" t="inlineStr">
        <is>
          <t>ABS</t>
        </is>
      </c>
      <c r="G427" t="inlineStr">
        <is>
          <t>M-2102</t>
        </is>
      </c>
      <c r="H427" t="inlineStr">
        <is>
          <t>ABS 내열 HR500</t>
        </is>
      </c>
      <c r="I427" s="43" t="n">
        <v>45938</v>
      </c>
      <c r="J427" t="n">
        <v>202510</v>
      </c>
      <c r="K427" s="44" t="n">
        <v>1350</v>
      </c>
      <c r="L427" t="inlineStr">
        <is>
          <t>KG</t>
        </is>
      </c>
      <c r="M427" s="44" t="n">
        <v>4009868</v>
      </c>
      <c r="N427" s="44" t="n">
        <v>240592</v>
      </c>
      <c r="O427" t="n">
        <v>0</v>
      </c>
      <c r="P427" s="44" t="n">
        <v>3769276</v>
      </c>
      <c r="Q427" t="inlineStr">
        <is>
          <t>KRW</t>
        </is>
      </c>
      <c r="R427" t="inlineStr">
        <is>
          <t>INV2510-00426</t>
        </is>
      </c>
      <c r="S427" t="inlineStr">
        <is>
          <t>※예시데이터</t>
        </is>
      </c>
    </row>
    <row r="428">
      <c r="A428" t="n">
        <v>1000</v>
      </c>
      <c r="B428" t="inlineStr">
        <is>
          <t>EP사업부</t>
        </is>
      </c>
      <c r="C428" t="inlineStr">
        <is>
          <t>국내영업1팀</t>
        </is>
      </c>
      <c r="D428" t="inlineStr">
        <is>
          <t>C10057</t>
        </is>
      </c>
      <c r="E428" t="inlineStr">
        <is>
          <t>자연엠텍</t>
        </is>
      </c>
      <c r="F428" t="inlineStr">
        <is>
          <t>PC</t>
        </is>
      </c>
      <c r="G428" t="inlineStr">
        <is>
          <t>M-2201</t>
        </is>
      </c>
      <c r="H428" t="inlineStr">
        <is>
          <t>PC 일반 C100</t>
        </is>
      </c>
      <c r="I428" s="43" t="n">
        <v>45938</v>
      </c>
      <c r="J428" t="n">
        <v>202510</v>
      </c>
      <c r="K428" s="44" t="n">
        <v>2175</v>
      </c>
      <c r="L428" t="inlineStr">
        <is>
          <t>KG</t>
        </is>
      </c>
      <c r="M428" s="44" t="n">
        <v>8454812</v>
      </c>
      <c r="N428" s="44" t="n">
        <v>422741</v>
      </c>
      <c r="O428" t="n">
        <v>0</v>
      </c>
      <c r="P428" s="44" t="n">
        <v>8032071</v>
      </c>
      <c r="Q428" t="inlineStr">
        <is>
          <t>KRW</t>
        </is>
      </c>
      <c r="R428" t="inlineStr">
        <is>
          <t>INV2510-00427</t>
        </is>
      </c>
      <c r="S428" t="inlineStr">
        <is>
          <t>※예시데이터</t>
        </is>
      </c>
    </row>
    <row r="429">
      <c r="A429" t="n">
        <v>1000</v>
      </c>
      <c r="B429" t="inlineStr">
        <is>
          <t>범용수지사업부</t>
        </is>
      </c>
      <c r="C429" t="inlineStr">
        <is>
          <t>해외영업팀</t>
        </is>
      </c>
      <c r="D429" t="inlineStr">
        <is>
          <t>C10071</t>
        </is>
      </c>
      <c r="E429" t="inlineStr">
        <is>
          <t>큰별코리아</t>
        </is>
      </c>
      <c r="F429" t="inlineStr">
        <is>
          <t>PP</t>
        </is>
      </c>
      <c r="G429" t="inlineStr">
        <is>
          <t>M-1101</t>
        </is>
      </c>
      <c r="H429" t="inlineStr">
        <is>
          <t>PP 범용사출 H110</t>
        </is>
      </c>
      <c r="I429" s="43" t="n">
        <v>45938</v>
      </c>
      <c r="J429" t="n">
        <v>202510</v>
      </c>
      <c r="K429" s="44" t="n">
        <v>3075</v>
      </c>
      <c r="L429" t="inlineStr">
        <is>
          <t>KG</t>
        </is>
      </c>
      <c r="M429" s="44" t="n">
        <v>5057189</v>
      </c>
      <c r="N429" s="44" t="n">
        <v>556291</v>
      </c>
      <c r="O429" s="44" t="n">
        <v>101144</v>
      </c>
      <c r="P429" s="44" t="n">
        <v>4399754</v>
      </c>
      <c r="Q429" t="inlineStr">
        <is>
          <t>KRW</t>
        </is>
      </c>
      <c r="R429" t="inlineStr">
        <is>
          <t>INV2510-00428</t>
        </is>
      </c>
      <c r="S429" t="inlineStr">
        <is>
          <t>※예시데이터</t>
        </is>
      </c>
    </row>
    <row r="430">
      <c r="A430" t="n">
        <v>1000</v>
      </c>
      <c r="B430" t="inlineStr">
        <is>
          <t>EP사업부</t>
        </is>
      </c>
      <c r="C430" t="inlineStr">
        <is>
          <t>국내영업2팀</t>
        </is>
      </c>
      <c r="D430" t="inlineStr">
        <is>
          <t>C10113</t>
        </is>
      </c>
      <c r="E430" t="inlineStr">
        <is>
          <t>누리오토파츠</t>
        </is>
      </c>
      <c r="F430" t="inlineStr">
        <is>
          <t>ABS</t>
        </is>
      </c>
      <c r="G430" t="inlineStr">
        <is>
          <t>M-2101</t>
        </is>
      </c>
      <c r="H430" t="inlineStr">
        <is>
          <t>ABS 범용 G300</t>
        </is>
      </c>
      <c r="I430" s="43" t="n">
        <v>45938</v>
      </c>
      <c r="J430" t="n">
        <v>202510</v>
      </c>
      <c r="K430" s="44" t="n">
        <v>2275</v>
      </c>
      <c r="L430" t="inlineStr">
        <is>
          <t>KG</t>
        </is>
      </c>
      <c r="M430" s="44" t="n">
        <v>6009071</v>
      </c>
      <c r="N430" s="44" t="n">
        <v>420635</v>
      </c>
      <c r="O430" s="44" t="n">
        <v>60091</v>
      </c>
      <c r="P430" s="44" t="n">
        <v>5528345</v>
      </c>
      <c r="Q430" t="inlineStr">
        <is>
          <t>KRW</t>
        </is>
      </c>
      <c r="R430" t="inlineStr">
        <is>
          <t>INV2510-00429</t>
        </is>
      </c>
      <c r="S430" t="inlineStr">
        <is>
          <t>※예시데이터</t>
        </is>
      </c>
    </row>
    <row r="431">
      <c r="A431" t="n">
        <v>1000</v>
      </c>
      <c r="B431" t="inlineStr">
        <is>
          <t>범용수지사업부</t>
        </is>
      </c>
      <c r="C431" t="inlineStr">
        <is>
          <t>해외영업팀</t>
        </is>
      </c>
      <c r="D431" t="inlineStr">
        <is>
          <t>C10141</t>
        </is>
      </c>
      <c r="E431" t="inlineStr">
        <is>
          <t>Sinar Plastik (ID)</t>
        </is>
      </c>
      <c r="F431" t="inlineStr">
        <is>
          <t>PP</t>
        </is>
      </c>
      <c r="G431" t="inlineStr">
        <is>
          <t>M-1102</t>
        </is>
      </c>
      <c r="H431" t="inlineStr">
        <is>
          <t>PP 고강성 H220</t>
        </is>
      </c>
      <c r="I431" s="43" t="n">
        <v>45938</v>
      </c>
      <c r="J431" t="n">
        <v>202510</v>
      </c>
      <c r="K431" s="44" t="n">
        <v>8350</v>
      </c>
      <c r="L431" t="inlineStr">
        <is>
          <t>KG</t>
        </is>
      </c>
      <c r="M431" s="44" t="n">
        <v>15147395</v>
      </c>
      <c r="N431" s="44" t="n">
        <v>1817687</v>
      </c>
      <c r="O431" t="n">
        <v>0</v>
      </c>
      <c r="P431" s="44" t="n">
        <v>13329708</v>
      </c>
      <c r="Q431" t="inlineStr">
        <is>
          <t>KRW</t>
        </is>
      </c>
      <c r="R431" t="inlineStr">
        <is>
          <t>INV2510-00430</t>
        </is>
      </c>
      <c r="S431" t="inlineStr">
        <is>
          <t>※예시데이터</t>
        </is>
      </c>
    </row>
    <row r="432">
      <c r="A432" t="n">
        <v>1000</v>
      </c>
      <c r="B432" t="inlineStr">
        <is>
          <t>EP사업부</t>
        </is>
      </c>
      <c r="C432" t="inlineStr">
        <is>
          <t>국내영업1팀</t>
        </is>
      </c>
      <c r="D432" t="inlineStr">
        <is>
          <t>C10043</t>
        </is>
      </c>
      <c r="E432" t="inlineStr">
        <is>
          <t>새봄플라스틱</t>
        </is>
      </c>
      <c r="F432" t="inlineStr">
        <is>
          <t>ABS</t>
        </is>
      </c>
      <c r="G432" t="inlineStr">
        <is>
          <t>M-2102</t>
        </is>
      </c>
      <c r="H432" t="inlineStr">
        <is>
          <t>ABS 내열 HR500</t>
        </is>
      </c>
      <c r="I432" s="43" t="n">
        <v>45939</v>
      </c>
      <c r="J432" t="n">
        <v>202510</v>
      </c>
      <c r="K432" s="44" t="n">
        <v>1350</v>
      </c>
      <c r="L432" t="inlineStr">
        <is>
          <t>KG</t>
        </is>
      </c>
      <c r="M432" s="44" t="n">
        <v>4009868</v>
      </c>
      <c r="N432" s="44" t="n">
        <v>240592</v>
      </c>
      <c r="O432" t="n">
        <v>0</v>
      </c>
      <c r="P432" s="44" t="n">
        <v>3769276</v>
      </c>
      <c r="Q432" t="inlineStr">
        <is>
          <t>KRW</t>
        </is>
      </c>
      <c r="R432" t="inlineStr">
        <is>
          <t>INV2510-00431</t>
        </is>
      </c>
      <c r="S432" t="inlineStr">
        <is>
          <t>※예시데이터</t>
        </is>
      </c>
    </row>
    <row r="433">
      <c r="A433" t="n">
        <v>1000</v>
      </c>
      <c r="B433" t="inlineStr">
        <is>
          <t>EP사업부</t>
        </is>
      </c>
      <c r="C433" t="inlineStr">
        <is>
          <t>국내영업1팀</t>
        </is>
      </c>
      <c r="D433" t="inlineStr">
        <is>
          <t>C10029</t>
        </is>
      </c>
      <c r="E433" t="inlineStr">
        <is>
          <t>마루정밀</t>
        </is>
      </c>
      <c r="F433" t="inlineStr">
        <is>
          <t>PC</t>
        </is>
      </c>
      <c r="G433" t="inlineStr">
        <is>
          <t>M-2201</t>
        </is>
      </c>
      <c r="H433" t="inlineStr">
        <is>
          <t>PC 일반 C100</t>
        </is>
      </c>
      <c r="I433" s="43" t="n">
        <v>45940</v>
      </c>
      <c r="J433" t="n">
        <v>202510</v>
      </c>
      <c r="K433" s="44" t="n">
        <v>5250</v>
      </c>
      <c r="L433" t="inlineStr">
        <is>
          <t>KG</t>
        </is>
      </c>
      <c r="M433" s="44" t="n">
        <v>20408167</v>
      </c>
      <c r="N433" s="44" t="n">
        <v>816327</v>
      </c>
      <c r="O433" t="n">
        <v>0</v>
      </c>
      <c r="P433" s="44" t="n">
        <v>19591840</v>
      </c>
      <c r="Q433" t="inlineStr">
        <is>
          <t>KRW</t>
        </is>
      </c>
      <c r="R433" t="inlineStr">
        <is>
          <t>INV2510-00432</t>
        </is>
      </c>
      <c r="S433" t="inlineStr">
        <is>
          <t>※예시데이터</t>
        </is>
      </c>
    </row>
    <row r="434">
      <c r="A434" t="n">
        <v>1000</v>
      </c>
      <c r="B434" t="inlineStr">
        <is>
          <t>범용수지사업부</t>
        </is>
      </c>
      <c r="C434" t="inlineStr">
        <is>
          <t>해외영업팀</t>
        </is>
      </c>
      <c r="D434" t="inlineStr">
        <is>
          <t>C10141</t>
        </is>
      </c>
      <c r="E434" t="inlineStr">
        <is>
          <t>Sinar Plastik (ID)</t>
        </is>
      </c>
      <c r="F434" t="inlineStr">
        <is>
          <t>PP</t>
        </is>
      </c>
      <c r="G434" t="inlineStr">
        <is>
          <t>M-1102</t>
        </is>
      </c>
      <c r="H434" t="inlineStr">
        <is>
          <t>PP 고강성 H220</t>
        </is>
      </c>
      <c r="I434" s="43" t="n">
        <v>45940</v>
      </c>
      <c r="J434" t="n">
        <v>202510</v>
      </c>
      <c r="K434" s="44" t="n">
        <v>8350</v>
      </c>
      <c r="L434" t="inlineStr">
        <is>
          <t>KG</t>
        </is>
      </c>
      <c r="M434" s="44" t="n">
        <v>15147395</v>
      </c>
      <c r="N434" s="44" t="n">
        <v>1817687</v>
      </c>
      <c r="O434" t="n">
        <v>0</v>
      </c>
      <c r="P434" s="44" t="n">
        <v>13329708</v>
      </c>
      <c r="Q434" t="inlineStr">
        <is>
          <t>KRW</t>
        </is>
      </c>
      <c r="R434" t="inlineStr">
        <is>
          <t>INV2510-00433</t>
        </is>
      </c>
      <c r="S434" t="inlineStr">
        <is>
          <t>※예시데이터</t>
        </is>
      </c>
    </row>
    <row r="435">
      <c r="A435" t="n">
        <v>1000</v>
      </c>
      <c r="B435" t="inlineStr">
        <is>
          <t>범용수지사업부</t>
        </is>
      </c>
      <c r="C435" t="inlineStr">
        <is>
          <t>국내영업2팀</t>
        </is>
      </c>
      <c r="D435" t="inlineStr">
        <is>
          <t>C10036</t>
        </is>
      </c>
      <c r="E435" t="inlineStr">
        <is>
          <t>바른물산</t>
        </is>
      </c>
      <c r="F435" t="inlineStr">
        <is>
          <t>PE</t>
        </is>
      </c>
      <c r="G435" t="inlineStr">
        <is>
          <t>M-1201</t>
        </is>
      </c>
      <c r="H435" t="inlineStr">
        <is>
          <t>HDPE 블로우 B500</t>
        </is>
      </c>
      <c r="I435" s="43" t="n">
        <v>45942</v>
      </c>
      <c r="J435" t="n">
        <v>202510</v>
      </c>
      <c r="K435" s="44" t="n">
        <v>11300</v>
      </c>
      <c r="L435" t="inlineStr">
        <is>
          <t>KG</t>
        </is>
      </c>
      <c r="M435" s="44" t="n">
        <v>17795722</v>
      </c>
      <c r="N435" s="44" t="n">
        <v>1601615</v>
      </c>
      <c r="O435" s="44" t="n">
        <v>355914</v>
      </c>
      <c r="P435" s="44" t="n">
        <v>15838193</v>
      </c>
      <c r="Q435" t="inlineStr">
        <is>
          <t>KRW</t>
        </is>
      </c>
      <c r="R435" t="inlineStr">
        <is>
          <t>INV2510-00434</t>
        </is>
      </c>
      <c r="S435" t="inlineStr">
        <is>
          <t>※예시데이터</t>
        </is>
      </c>
    </row>
    <row r="436">
      <c r="A436" t="n">
        <v>1000</v>
      </c>
      <c r="B436" t="inlineStr">
        <is>
          <t>EP사업부</t>
        </is>
      </c>
      <c r="C436" t="inlineStr">
        <is>
          <t>국내영업2팀</t>
        </is>
      </c>
      <c r="D436" t="inlineStr">
        <is>
          <t>C10085</t>
        </is>
      </c>
      <c r="E436" t="inlineStr">
        <is>
          <t>파란하이텍</t>
        </is>
      </c>
      <c r="F436" t="inlineStr">
        <is>
          <t>PC</t>
        </is>
      </c>
      <c r="G436" t="inlineStr">
        <is>
          <t>M-2201</t>
        </is>
      </c>
      <c r="H436" t="inlineStr">
        <is>
          <t>PC 일반 C100</t>
        </is>
      </c>
      <c r="I436" s="43" t="n">
        <v>45942</v>
      </c>
      <c r="J436" t="n">
        <v>202510</v>
      </c>
      <c r="K436" s="44" t="n">
        <v>1350</v>
      </c>
      <c r="L436" t="inlineStr">
        <is>
          <t>KG</t>
        </is>
      </c>
      <c r="M436" s="44" t="n">
        <v>5247814</v>
      </c>
      <c r="N436" s="44" t="n">
        <v>314869</v>
      </c>
      <c r="O436" t="n">
        <v>0</v>
      </c>
      <c r="P436" s="44" t="n">
        <v>4932945</v>
      </c>
      <c r="Q436" t="inlineStr">
        <is>
          <t>KRW</t>
        </is>
      </c>
      <c r="R436" t="inlineStr">
        <is>
          <t>INV2510-00435</t>
        </is>
      </c>
      <c r="S436" t="inlineStr">
        <is>
          <t>※예시데이터</t>
        </is>
      </c>
    </row>
    <row r="437">
      <c r="A437" t="n">
        <v>1000</v>
      </c>
      <c r="B437" t="inlineStr">
        <is>
          <t>범용수지사업부</t>
        </is>
      </c>
      <c r="C437" t="inlineStr">
        <is>
          <t>국내영업1팀</t>
        </is>
      </c>
      <c r="D437" t="inlineStr">
        <is>
          <t>C10106</t>
        </is>
      </c>
      <c r="E437" t="inlineStr">
        <is>
          <t>온새미사출</t>
        </is>
      </c>
      <c r="F437" t="inlineStr">
        <is>
          <t>PP</t>
        </is>
      </c>
      <c r="G437" t="inlineStr">
        <is>
          <t>M-1101</t>
        </is>
      </c>
      <c r="H437" t="inlineStr">
        <is>
          <t>PP 범용사출 H110</t>
        </is>
      </c>
      <c r="I437" s="43" t="n">
        <v>45942</v>
      </c>
      <c r="J437" t="n">
        <v>202510</v>
      </c>
      <c r="K437" s="44" t="n">
        <v>2675</v>
      </c>
      <c r="L437" t="inlineStr">
        <is>
          <t>KG</t>
        </is>
      </c>
      <c r="M437" s="44" t="n">
        <v>4399343</v>
      </c>
      <c r="N437" s="44" t="n">
        <v>219967</v>
      </c>
      <c r="O437" t="n">
        <v>0</v>
      </c>
      <c r="P437" s="44" t="n">
        <v>4179376</v>
      </c>
      <c r="Q437" t="inlineStr">
        <is>
          <t>KRW</t>
        </is>
      </c>
      <c r="R437" t="inlineStr">
        <is>
          <t>INV2510-00436</t>
        </is>
      </c>
      <c r="S437" t="inlineStr">
        <is>
          <t>※예시데이터</t>
        </is>
      </c>
    </row>
    <row r="438">
      <c r="A438" t="n">
        <v>1000</v>
      </c>
      <c r="B438" t="inlineStr">
        <is>
          <t>EP사업부</t>
        </is>
      </c>
      <c r="C438" t="inlineStr">
        <is>
          <t>국내영업2팀</t>
        </is>
      </c>
      <c r="D438" t="inlineStr">
        <is>
          <t>C10099</t>
        </is>
      </c>
      <c r="E438" t="inlineStr">
        <is>
          <t>한울몰드</t>
        </is>
      </c>
      <c r="F438" t="inlineStr">
        <is>
          <t>ABS</t>
        </is>
      </c>
      <c r="G438" t="inlineStr">
        <is>
          <t>M-2101</t>
        </is>
      </c>
      <c r="H438" t="inlineStr">
        <is>
          <t>ABS 범용 G300</t>
        </is>
      </c>
      <c r="I438" s="43" t="n">
        <v>45943</v>
      </c>
      <c r="J438" t="n">
        <v>202510</v>
      </c>
      <c r="K438" s="44" t="n">
        <v>2075</v>
      </c>
      <c r="L438" t="inlineStr">
        <is>
          <t>KG</t>
        </is>
      </c>
      <c r="M438" s="44" t="n">
        <v>5480801</v>
      </c>
      <c r="N438" s="44" t="n">
        <v>328848</v>
      </c>
      <c r="O438" t="n">
        <v>0</v>
      </c>
      <c r="P438" s="44" t="n">
        <v>5151953</v>
      </c>
      <c r="Q438" t="inlineStr">
        <is>
          <t>KRW</t>
        </is>
      </c>
      <c r="R438" t="inlineStr">
        <is>
          <t>INV2510-00437</t>
        </is>
      </c>
      <c r="S438" t="inlineStr">
        <is>
          <t>※예시데이터</t>
        </is>
      </c>
    </row>
    <row r="439">
      <c r="A439" t="n">
        <v>1000</v>
      </c>
      <c r="B439" t="inlineStr">
        <is>
          <t>범용수지사업부</t>
        </is>
      </c>
      <c r="C439" t="inlineStr">
        <is>
          <t>국내영업1팀</t>
        </is>
      </c>
      <c r="D439" t="inlineStr">
        <is>
          <t>C10001</t>
        </is>
      </c>
      <c r="E439" t="inlineStr">
        <is>
          <t>가온소재(주)</t>
        </is>
      </c>
      <c r="F439" t="inlineStr">
        <is>
          <t>PP</t>
        </is>
      </c>
      <c r="G439" t="inlineStr">
        <is>
          <t>M-1103</t>
        </is>
      </c>
      <c r="H439" t="inlineStr">
        <is>
          <t>PP 투명 R330</t>
        </is>
      </c>
      <c r="I439" s="43" t="n">
        <v>45944</v>
      </c>
      <c r="J439" t="n">
        <v>202510</v>
      </c>
      <c r="K439" s="44" t="n">
        <v>1875</v>
      </c>
      <c r="L439" t="inlineStr">
        <is>
          <t>KG</t>
        </is>
      </c>
      <c r="M439" s="44" t="n">
        <v>3625627</v>
      </c>
      <c r="N439" s="44" t="n">
        <v>217538</v>
      </c>
      <c r="O439" t="n">
        <v>0</v>
      </c>
      <c r="P439" s="44" t="n">
        <v>3408089</v>
      </c>
      <c r="Q439" t="inlineStr">
        <is>
          <t>KRW</t>
        </is>
      </c>
      <c r="R439" t="inlineStr">
        <is>
          <t>INV2510-00438</t>
        </is>
      </c>
      <c r="S439" t="inlineStr">
        <is>
          <t>※예시데이터</t>
        </is>
      </c>
    </row>
    <row r="440">
      <c r="A440" t="n">
        <v>1000</v>
      </c>
      <c r="B440" t="inlineStr">
        <is>
          <t>범용수지사업부</t>
        </is>
      </c>
      <c r="C440" t="inlineStr">
        <is>
          <t>국내영업2팀</t>
        </is>
      </c>
      <c r="D440" t="inlineStr">
        <is>
          <t>C10050</t>
        </is>
      </c>
      <c r="E440" t="inlineStr">
        <is>
          <t>아름화학(주)</t>
        </is>
      </c>
      <c r="F440" t="inlineStr">
        <is>
          <t>PE</t>
        </is>
      </c>
      <c r="G440" t="inlineStr">
        <is>
          <t>M-1201</t>
        </is>
      </c>
      <c r="H440" t="inlineStr">
        <is>
          <t>HDPE 블로우 B500</t>
        </is>
      </c>
      <c r="I440" s="43" t="n">
        <v>45944</v>
      </c>
      <c r="J440" t="n">
        <v>202510</v>
      </c>
      <c r="K440" s="44" t="n">
        <v>3200</v>
      </c>
      <c r="L440" t="inlineStr">
        <is>
          <t>KG</t>
        </is>
      </c>
      <c r="M440" s="44" t="n">
        <v>5039497</v>
      </c>
      <c r="N440" s="44" t="n">
        <v>503950</v>
      </c>
      <c r="O440" s="44" t="n">
        <v>50395</v>
      </c>
      <c r="P440" s="44" t="n">
        <v>4485152</v>
      </c>
      <c r="Q440" t="inlineStr">
        <is>
          <t>KRW</t>
        </is>
      </c>
      <c r="R440" t="inlineStr">
        <is>
          <t>INV2510-00439</t>
        </is>
      </c>
      <c r="S440" t="inlineStr">
        <is>
          <t>※예시데이터</t>
        </is>
      </c>
    </row>
    <row r="441">
      <c r="A441" t="n">
        <v>1000</v>
      </c>
      <c r="B441" t="inlineStr">
        <is>
          <t>EP사업부</t>
        </is>
      </c>
      <c r="C441" t="inlineStr">
        <is>
          <t>국내영업2팀</t>
        </is>
      </c>
      <c r="D441" t="inlineStr">
        <is>
          <t>C10099</t>
        </is>
      </c>
      <c r="E441" t="inlineStr">
        <is>
          <t>한울몰드</t>
        </is>
      </c>
      <c r="F441" t="inlineStr">
        <is>
          <t>ABS</t>
        </is>
      </c>
      <c r="G441" t="inlineStr">
        <is>
          <t>M-2102</t>
        </is>
      </c>
      <c r="H441" t="inlineStr">
        <is>
          <t>ABS 내열 HR500</t>
        </is>
      </c>
      <c r="I441" s="43" t="n">
        <v>45944</v>
      </c>
      <c r="J441" t="n">
        <v>202510</v>
      </c>
      <c r="K441" s="44" t="n">
        <v>1475</v>
      </c>
      <c r="L441" t="inlineStr">
        <is>
          <t>KG</t>
        </is>
      </c>
      <c r="M441" s="44" t="n">
        <v>4381153</v>
      </c>
      <c r="N441" s="44" t="n">
        <v>262869</v>
      </c>
      <c r="O441" t="n">
        <v>0</v>
      </c>
      <c r="P441" s="44" t="n">
        <v>4118284</v>
      </c>
      <c r="Q441" t="inlineStr">
        <is>
          <t>KRW</t>
        </is>
      </c>
      <c r="R441" t="inlineStr">
        <is>
          <t>INV2510-00440</t>
        </is>
      </c>
      <c r="S441" t="inlineStr">
        <is>
          <t>※예시데이터</t>
        </is>
      </c>
    </row>
    <row r="442">
      <c r="A442" t="n">
        <v>1000</v>
      </c>
      <c r="B442" t="inlineStr">
        <is>
          <t>범용수지사업부</t>
        </is>
      </c>
      <c r="C442" t="inlineStr">
        <is>
          <t>국내영업2팀</t>
        </is>
      </c>
      <c r="D442" t="inlineStr">
        <is>
          <t>C10127</t>
        </is>
      </c>
      <c r="E442" t="inlineStr">
        <is>
          <t>미르패키징</t>
        </is>
      </c>
      <c r="F442" t="inlineStr">
        <is>
          <t>PE</t>
        </is>
      </c>
      <c r="G442" t="inlineStr">
        <is>
          <t>M-1201</t>
        </is>
      </c>
      <c r="H442" t="inlineStr">
        <is>
          <t>HDPE 블로우 B500</t>
        </is>
      </c>
      <c r="I442" s="43" t="n">
        <v>45944</v>
      </c>
      <c r="J442" t="n">
        <v>202510</v>
      </c>
      <c r="K442" s="44" t="n">
        <v>3625</v>
      </c>
      <c r="L442" t="inlineStr">
        <is>
          <t>KG</t>
        </is>
      </c>
      <c r="M442" s="44" t="n">
        <v>5708805</v>
      </c>
      <c r="N442" s="44" t="n">
        <v>513792</v>
      </c>
      <c r="O442" t="n">
        <v>0</v>
      </c>
      <c r="P442" s="44" t="n">
        <v>5195013</v>
      </c>
      <c r="Q442" t="inlineStr">
        <is>
          <t>KRW</t>
        </is>
      </c>
      <c r="R442" t="inlineStr">
        <is>
          <t>INV2510-00441</t>
        </is>
      </c>
      <c r="S442" t="inlineStr">
        <is>
          <t>※예시데이터</t>
        </is>
      </c>
    </row>
    <row r="443">
      <c r="A443" t="n">
        <v>1000</v>
      </c>
      <c r="B443" t="inlineStr">
        <is>
          <t>범용수지사업부</t>
        </is>
      </c>
      <c r="C443" t="inlineStr">
        <is>
          <t>해외영업팀</t>
        </is>
      </c>
      <c r="D443" t="inlineStr">
        <is>
          <t>C10071</t>
        </is>
      </c>
      <c r="E443" t="inlineStr">
        <is>
          <t>큰별코리아</t>
        </is>
      </c>
      <c r="F443" t="inlineStr">
        <is>
          <t>PE</t>
        </is>
      </c>
      <c r="G443" t="inlineStr">
        <is>
          <t>M-1202</t>
        </is>
      </c>
      <c r="H443" t="inlineStr">
        <is>
          <t>LLDPE 필름 F120</t>
        </is>
      </c>
      <c r="I443" s="43" t="n">
        <v>45945</v>
      </c>
      <c r="J443" t="n">
        <v>202510</v>
      </c>
      <c r="K443" s="44" t="n">
        <v>5500</v>
      </c>
      <c r="L443" t="inlineStr">
        <is>
          <t>KG</t>
        </is>
      </c>
      <c r="M443" s="44" t="n">
        <v>9374301</v>
      </c>
      <c r="N443" s="44" t="n">
        <v>1031173</v>
      </c>
      <c r="O443" s="44" t="n">
        <v>187486</v>
      </c>
      <c r="P443" s="44" t="n">
        <v>8155642</v>
      </c>
      <c r="Q443" t="inlineStr">
        <is>
          <t>KRW</t>
        </is>
      </c>
      <c r="R443" t="inlineStr">
        <is>
          <t>INV2510-00442</t>
        </is>
      </c>
      <c r="S443" t="inlineStr">
        <is>
          <t>※예시데이터</t>
        </is>
      </c>
    </row>
    <row r="444">
      <c r="A444" t="n">
        <v>1000</v>
      </c>
      <c r="B444" t="inlineStr">
        <is>
          <t>EP사업부</t>
        </is>
      </c>
      <c r="C444" t="inlineStr">
        <is>
          <t>국내영업2팀</t>
        </is>
      </c>
      <c r="D444" t="inlineStr">
        <is>
          <t>C10099</t>
        </is>
      </c>
      <c r="E444" t="inlineStr">
        <is>
          <t>한울몰드</t>
        </is>
      </c>
      <c r="F444" t="inlineStr">
        <is>
          <t>ABS</t>
        </is>
      </c>
      <c r="G444" t="inlineStr">
        <is>
          <t>M-2102</t>
        </is>
      </c>
      <c r="H444" t="inlineStr">
        <is>
          <t>ABS 내열 HR500</t>
        </is>
      </c>
      <c r="I444" s="43" t="n">
        <v>45947</v>
      </c>
      <c r="J444" t="n">
        <v>202510</v>
      </c>
      <c r="K444" s="44" t="n">
        <v>1475</v>
      </c>
      <c r="L444" t="inlineStr">
        <is>
          <t>KG</t>
        </is>
      </c>
      <c r="M444" s="44" t="n">
        <v>4381153</v>
      </c>
      <c r="N444" s="44" t="n">
        <v>262869</v>
      </c>
      <c r="O444" t="n">
        <v>0</v>
      </c>
      <c r="P444" s="44" t="n">
        <v>4118284</v>
      </c>
      <c r="Q444" t="inlineStr">
        <is>
          <t>KRW</t>
        </is>
      </c>
      <c r="R444" t="inlineStr">
        <is>
          <t>INV2510-00443</t>
        </is>
      </c>
      <c r="S444" t="inlineStr">
        <is>
          <t>※예시데이터</t>
        </is>
      </c>
    </row>
    <row r="445">
      <c r="A445" t="n">
        <v>1000</v>
      </c>
      <c r="B445" t="inlineStr">
        <is>
          <t>EP사업부</t>
        </is>
      </c>
      <c r="C445" t="inlineStr">
        <is>
          <t>국내영업2팀</t>
        </is>
      </c>
      <c r="D445" t="inlineStr">
        <is>
          <t>C10113</t>
        </is>
      </c>
      <c r="E445" t="inlineStr">
        <is>
          <t>누리오토파츠</t>
        </is>
      </c>
      <c r="F445" t="inlineStr">
        <is>
          <t>ABS</t>
        </is>
      </c>
      <c r="G445" t="inlineStr">
        <is>
          <t>M-2102</t>
        </is>
      </c>
      <c r="H445" t="inlineStr">
        <is>
          <t>ABS 내열 HR500</t>
        </is>
      </c>
      <c r="I445" s="43" t="n">
        <v>45950</v>
      </c>
      <c r="J445" t="n">
        <v>202510</v>
      </c>
      <c r="K445" s="44" t="n">
        <v>2175</v>
      </c>
      <c r="L445" t="inlineStr">
        <is>
          <t>KG</t>
        </is>
      </c>
      <c r="M445" s="44" t="n">
        <v>6460344</v>
      </c>
      <c r="N445" s="44" t="n">
        <v>452224</v>
      </c>
      <c r="O445" s="44" t="n">
        <v>64603</v>
      </c>
      <c r="P445" s="44" t="n">
        <v>5943517</v>
      </c>
      <c r="Q445" t="inlineStr">
        <is>
          <t>KRW</t>
        </is>
      </c>
      <c r="R445" t="inlineStr">
        <is>
          <t>INV2510-00444</t>
        </is>
      </c>
      <c r="S445" t="inlineStr">
        <is>
          <t>※예시데이터</t>
        </is>
      </c>
    </row>
    <row r="446">
      <c r="A446" t="n">
        <v>1000</v>
      </c>
      <c r="B446" t="inlineStr">
        <is>
          <t>범용수지사업부</t>
        </is>
      </c>
      <c r="C446" t="inlineStr">
        <is>
          <t>국내영업1팀</t>
        </is>
      </c>
      <c r="D446" t="inlineStr">
        <is>
          <t>C10001</t>
        </is>
      </c>
      <c r="E446" t="inlineStr">
        <is>
          <t>가온소재(주)</t>
        </is>
      </c>
      <c r="F446" t="inlineStr">
        <is>
          <t>PP</t>
        </is>
      </c>
      <c r="G446" t="inlineStr">
        <is>
          <t>M-1103</t>
        </is>
      </c>
      <c r="H446" t="inlineStr">
        <is>
          <t>PP 투명 R330</t>
        </is>
      </c>
      <c r="I446" s="43" t="n">
        <v>45951</v>
      </c>
      <c r="J446" t="n">
        <v>202510</v>
      </c>
      <c r="K446" s="44" t="n">
        <v>1875</v>
      </c>
      <c r="L446" t="inlineStr">
        <is>
          <t>KG</t>
        </is>
      </c>
      <c r="M446" s="44" t="n">
        <v>3625627</v>
      </c>
      <c r="N446" s="44" t="n">
        <v>217538</v>
      </c>
      <c r="O446" t="n">
        <v>0</v>
      </c>
      <c r="P446" s="44" t="n">
        <v>3408089</v>
      </c>
      <c r="Q446" t="inlineStr">
        <is>
          <t>KRW</t>
        </is>
      </c>
      <c r="R446" t="inlineStr">
        <is>
          <t>INV2510-00445</t>
        </is>
      </c>
      <c r="S446" t="inlineStr">
        <is>
          <t>※예시데이터</t>
        </is>
      </c>
    </row>
    <row r="447">
      <c r="A447" t="n">
        <v>1000</v>
      </c>
      <c r="B447" t="inlineStr">
        <is>
          <t>범용수지사업부</t>
        </is>
      </c>
      <c r="C447" t="inlineStr">
        <is>
          <t>국내영업1팀</t>
        </is>
      </c>
      <c r="D447" t="inlineStr">
        <is>
          <t>C10001</t>
        </is>
      </c>
      <c r="E447" t="inlineStr">
        <is>
          <t>가온소재(주)</t>
        </is>
      </c>
      <c r="F447" t="inlineStr">
        <is>
          <t>PE</t>
        </is>
      </c>
      <c r="G447" t="inlineStr">
        <is>
          <t>M-1202</t>
        </is>
      </c>
      <c r="H447" t="inlineStr">
        <is>
          <t>LLDPE 필름 F120</t>
        </is>
      </c>
      <c r="I447" s="43" t="n">
        <v>45952</v>
      </c>
      <c r="J447" t="n">
        <v>202510</v>
      </c>
      <c r="K447" s="44" t="n">
        <v>3500</v>
      </c>
      <c r="L447" t="inlineStr">
        <is>
          <t>KG</t>
        </is>
      </c>
      <c r="M447" s="44" t="n">
        <v>5965464</v>
      </c>
      <c r="N447" s="44" t="n">
        <v>357928</v>
      </c>
      <c r="O447" t="n">
        <v>0</v>
      </c>
      <c r="P447" s="44" t="n">
        <v>5607536</v>
      </c>
      <c r="Q447" t="inlineStr">
        <is>
          <t>KRW</t>
        </is>
      </c>
      <c r="R447" t="inlineStr">
        <is>
          <t>INV2510-00446</t>
        </is>
      </c>
      <c r="S447" t="inlineStr">
        <is>
          <t>※예시데이터</t>
        </is>
      </c>
    </row>
    <row r="448">
      <c r="A448" t="n">
        <v>1000</v>
      </c>
      <c r="B448" t="inlineStr">
        <is>
          <t>EP사업부</t>
        </is>
      </c>
      <c r="C448" t="inlineStr">
        <is>
          <t>국내영업1팀</t>
        </is>
      </c>
      <c r="D448" t="inlineStr">
        <is>
          <t>C10057</t>
        </is>
      </c>
      <c r="E448" t="inlineStr">
        <is>
          <t>자연엠텍</t>
        </is>
      </c>
      <c r="F448" t="inlineStr">
        <is>
          <t>ABS</t>
        </is>
      </c>
      <c r="G448" t="inlineStr">
        <is>
          <t>M-2101</t>
        </is>
      </c>
      <c r="H448" t="inlineStr">
        <is>
          <t>ABS 범용 G300</t>
        </is>
      </c>
      <c r="I448" s="43" t="n">
        <v>45952</v>
      </c>
      <c r="J448" t="n">
        <v>202510</v>
      </c>
      <c r="K448" s="44" t="n">
        <v>1400</v>
      </c>
      <c r="L448" t="inlineStr">
        <is>
          <t>KG</t>
        </is>
      </c>
      <c r="M448" s="44" t="n">
        <v>3697890</v>
      </c>
      <c r="N448" s="44" t="n">
        <v>184894</v>
      </c>
      <c r="O448" t="n">
        <v>0</v>
      </c>
      <c r="P448" s="44" t="n">
        <v>3512996</v>
      </c>
      <c r="Q448" t="inlineStr">
        <is>
          <t>KRW</t>
        </is>
      </c>
      <c r="R448" t="inlineStr">
        <is>
          <t>INV2510-00447</t>
        </is>
      </c>
      <c r="S448" t="inlineStr">
        <is>
          <t>※예시데이터</t>
        </is>
      </c>
    </row>
    <row r="449">
      <c r="A449" t="n">
        <v>1000</v>
      </c>
      <c r="B449" t="inlineStr">
        <is>
          <t>범용수지사업부</t>
        </is>
      </c>
      <c r="C449" t="inlineStr">
        <is>
          <t>국내영업1팀</t>
        </is>
      </c>
      <c r="D449" t="inlineStr">
        <is>
          <t>C10106</t>
        </is>
      </c>
      <c r="E449" t="inlineStr">
        <is>
          <t>온새미사출</t>
        </is>
      </c>
      <c r="F449" t="inlineStr">
        <is>
          <t>PP</t>
        </is>
      </c>
      <c r="G449" t="inlineStr">
        <is>
          <t>M-1101</t>
        </is>
      </c>
      <c r="H449" t="inlineStr">
        <is>
          <t>PP 범용사출 H110</t>
        </is>
      </c>
      <c r="I449" s="43" t="n">
        <v>45952</v>
      </c>
      <c r="J449" t="n">
        <v>202510</v>
      </c>
      <c r="K449" s="44" t="n">
        <v>2675</v>
      </c>
      <c r="L449" t="inlineStr">
        <is>
          <t>KG</t>
        </is>
      </c>
      <c r="M449" s="44" t="n">
        <v>4399343</v>
      </c>
      <c r="N449" s="44" t="n">
        <v>219967</v>
      </c>
      <c r="O449" t="n">
        <v>0</v>
      </c>
      <c r="P449" s="44" t="n">
        <v>4179376</v>
      </c>
      <c r="Q449" t="inlineStr">
        <is>
          <t>KRW</t>
        </is>
      </c>
      <c r="R449" t="inlineStr">
        <is>
          <t>INV2510-00448</t>
        </is>
      </c>
      <c r="S449" t="inlineStr">
        <is>
          <t>※예시데이터</t>
        </is>
      </c>
    </row>
    <row r="450">
      <c r="A450" t="n">
        <v>1000</v>
      </c>
      <c r="B450" t="inlineStr">
        <is>
          <t>EP사업부</t>
        </is>
      </c>
      <c r="C450" t="inlineStr">
        <is>
          <t>국내영업2팀</t>
        </is>
      </c>
      <c r="D450" t="inlineStr">
        <is>
          <t>C10113</t>
        </is>
      </c>
      <c r="E450" t="inlineStr">
        <is>
          <t>누리오토파츠</t>
        </is>
      </c>
      <c r="F450" t="inlineStr">
        <is>
          <t>PC</t>
        </is>
      </c>
      <c r="G450" t="inlineStr">
        <is>
          <t>M-2202</t>
        </is>
      </c>
      <c r="H450" t="inlineStr">
        <is>
          <t>PC 난연 FR200</t>
        </is>
      </c>
      <c r="I450" s="43" t="n">
        <v>45952</v>
      </c>
      <c r="J450" t="n">
        <v>202510</v>
      </c>
      <c r="K450" s="44" t="n">
        <v>1050</v>
      </c>
      <c r="L450" t="inlineStr">
        <is>
          <t>KG</t>
        </is>
      </c>
      <c r="M450" s="44" t="n">
        <v>4552591</v>
      </c>
      <c r="N450" s="44" t="n">
        <v>318681</v>
      </c>
      <c r="O450" s="44" t="n">
        <v>45526</v>
      </c>
      <c r="P450" s="44" t="n">
        <v>4188384</v>
      </c>
      <c r="Q450" t="inlineStr">
        <is>
          <t>KRW</t>
        </is>
      </c>
      <c r="R450" t="inlineStr">
        <is>
          <t>INV2510-00449</t>
        </is>
      </c>
      <c r="S450" t="inlineStr">
        <is>
          <t>※예시데이터</t>
        </is>
      </c>
    </row>
    <row r="451">
      <c r="A451" t="n">
        <v>1000</v>
      </c>
      <c r="B451" t="inlineStr">
        <is>
          <t>EP사업부</t>
        </is>
      </c>
      <c r="C451" t="inlineStr">
        <is>
          <t>국내영업2팀</t>
        </is>
      </c>
      <c r="D451" t="inlineStr">
        <is>
          <t>C10113</t>
        </is>
      </c>
      <c r="E451" t="inlineStr">
        <is>
          <t>누리오토파츠</t>
        </is>
      </c>
      <c r="F451" t="inlineStr">
        <is>
          <t>PC</t>
        </is>
      </c>
      <c r="G451" t="inlineStr">
        <is>
          <t>M-2202</t>
        </is>
      </c>
      <c r="H451" t="inlineStr">
        <is>
          <t>PC 난연 FR200</t>
        </is>
      </c>
      <c r="I451" s="43" t="n">
        <v>45952</v>
      </c>
      <c r="J451" t="n">
        <v>202510</v>
      </c>
      <c r="K451" s="44" t="n">
        <v>1050</v>
      </c>
      <c r="L451" t="inlineStr">
        <is>
          <t>KG</t>
        </is>
      </c>
      <c r="M451" s="44" t="n">
        <v>4552591</v>
      </c>
      <c r="N451" s="44" t="n">
        <v>318681</v>
      </c>
      <c r="O451" s="44" t="n">
        <v>45526</v>
      </c>
      <c r="P451" s="44" t="n">
        <v>4188384</v>
      </c>
      <c r="Q451" t="inlineStr">
        <is>
          <t>KRW</t>
        </is>
      </c>
      <c r="R451" t="inlineStr">
        <is>
          <t>INV2510-00450</t>
        </is>
      </c>
      <c r="S451" t="inlineStr">
        <is>
          <t>※예시데이터</t>
        </is>
      </c>
    </row>
    <row r="452">
      <c r="A452" t="n">
        <v>1000</v>
      </c>
      <c r="B452" t="inlineStr">
        <is>
          <t>EP사업부</t>
        </is>
      </c>
      <c r="C452" t="inlineStr">
        <is>
          <t>국내영업2팀</t>
        </is>
      </c>
      <c r="D452" t="inlineStr">
        <is>
          <t>C10015</t>
        </is>
      </c>
      <c r="E452" t="inlineStr">
        <is>
          <t>다솜케미칼</t>
        </is>
      </c>
      <c r="F452" t="inlineStr">
        <is>
          <t>PC</t>
        </is>
      </c>
      <c r="G452" t="inlineStr">
        <is>
          <t>M-2201</t>
        </is>
      </c>
      <c r="H452" t="inlineStr">
        <is>
          <t>PC 일반 C100</t>
        </is>
      </c>
      <c r="I452" s="43" t="n">
        <v>45953</v>
      </c>
      <c r="J452" t="n">
        <v>202510</v>
      </c>
      <c r="K452" s="44" t="n">
        <v>2950</v>
      </c>
      <c r="L452" t="inlineStr">
        <is>
          <t>KG</t>
        </is>
      </c>
      <c r="M452" s="44" t="n">
        <v>11467446</v>
      </c>
      <c r="N452" s="44" t="n">
        <v>573372</v>
      </c>
      <c r="O452" t="n">
        <v>0</v>
      </c>
      <c r="P452" s="44" t="n">
        <v>10894074</v>
      </c>
      <c r="Q452" t="inlineStr">
        <is>
          <t>KRW</t>
        </is>
      </c>
      <c r="R452" t="inlineStr">
        <is>
          <t>INV2510-00451</t>
        </is>
      </c>
      <c r="S452" t="inlineStr">
        <is>
          <t>※예시데이터</t>
        </is>
      </c>
    </row>
    <row r="453">
      <c r="A453" t="n">
        <v>1000</v>
      </c>
      <c r="B453" t="inlineStr">
        <is>
          <t>범용수지사업부</t>
        </is>
      </c>
      <c r="C453" t="inlineStr">
        <is>
          <t>국내영업1팀</t>
        </is>
      </c>
      <c r="D453" t="inlineStr">
        <is>
          <t>C10043</t>
        </is>
      </c>
      <c r="E453" t="inlineStr">
        <is>
          <t>새봄플라스틱</t>
        </is>
      </c>
      <c r="F453" t="inlineStr">
        <is>
          <t>PP</t>
        </is>
      </c>
      <c r="G453" t="inlineStr">
        <is>
          <t>M-1103</t>
        </is>
      </c>
      <c r="H453" t="inlineStr">
        <is>
          <t>PP 투명 R330</t>
        </is>
      </c>
      <c r="I453" s="43" t="n">
        <v>45953</v>
      </c>
      <c r="J453" t="n">
        <v>202510</v>
      </c>
      <c r="K453" s="44" t="n">
        <v>3450</v>
      </c>
      <c r="L453" t="inlineStr">
        <is>
          <t>KG</t>
        </is>
      </c>
      <c r="M453" s="44" t="n">
        <v>6671153</v>
      </c>
      <c r="N453" s="44" t="n">
        <v>400269</v>
      </c>
      <c r="O453" t="n">
        <v>0</v>
      </c>
      <c r="P453" s="44" t="n">
        <v>6270884</v>
      </c>
      <c r="Q453" t="inlineStr">
        <is>
          <t>KRW</t>
        </is>
      </c>
      <c r="R453" t="inlineStr">
        <is>
          <t>INV2510-00452</t>
        </is>
      </c>
      <c r="S453" t="inlineStr">
        <is>
          <t>※예시데이터</t>
        </is>
      </c>
    </row>
    <row r="454">
      <c r="A454" t="n">
        <v>1000</v>
      </c>
      <c r="B454" t="inlineStr">
        <is>
          <t>EP사업부</t>
        </is>
      </c>
      <c r="C454" t="inlineStr">
        <is>
          <t>국내영업2팀</t>
        </is>
      </c>
      <c r="D454" t="inlineStr">
        <is>
          <t>C10085</t>
        </is>
      </c>
      <c r="E454" t="inlineStr">
        <is>
          <t>파란하이텍</t>
        </is>
      </c>
      <c r="F454" t="inlineStr">
        <is>
          <t>PC</t>
        </is>
      </c>
      <c r="G454" t="inlineStr">
        <is>
          <t>M-2201</t>
        </is>
      </c>
      <c r="H454" t="inlineStr">
        <is>
          <t>PC 일반 C100</t>
        </is>
      </c>
      <c r="I454" s="43" t="n">
        <v>45953</v>
      </c>
      <c r="J454" t="n">
        <v>202510</v>
      </c>
      <c r="K454" s="44" t="n">
        <v>1350</v>
      </c>
      <c r="L454" t="inlineStr">
        <is>
          <t>KG</t>
        </is>
      </c>
      <c r="M454" s="44" t="n">
        <v>5247814</v>
      </c>
      <c r="N454" s="44" t="n">
        <v>314869</v>
      </c>
      <c r="O454" t="n">
        <v>0</v>
      </c>
      <c r="P454" s="44" t="n">
        <v>4932945</v>
      </c>
      <c r="Q454" t="inlineStr">
        <is>
          <t>KRW</t>
        </is>
      </c>
      <c r="R454" t="inlineStr">
        <is>
          <t>INV2510-00453</t>
        </is>
      </c>
      <c r="S454" t="inlineStr">
        <is>
          <t>※예시데이터</t>
        </is>
      </c>
    </row>
    <row r="455">
      <c r="A455" t="n">
        <v>1000</v>
      </c>
      <c r="B455" t="inlineStr">
        <is>
          <t>EP사업부</t>
        </is>
      </c>
      <c r="C455" t="inlineStr">
        <is>
          <t>국내영업1팀</t>
        </is>
      </c>
      <c r="D455" t="inlineStr">
        <is>
          <t>C10120</t>
        </is>
      </c>
      <c r="E455" t="inlineStr">
        <is>
          <t>든솔케이스</t>
        </is>
      </c>
      <c r="F455" t="inlineStr">
        <is>
          <t>ABS</t>
        </is>
      </c>
      <c r="G455" t="inlineStr">
        <is>
          <t>M-2101</t>
        </is>
      </c>
      <c r="H455" t="inlineStr">
        <is>
          <t>ABS 범용 G300</t>
        </is>
      </c>
      <c r="I455" s="43" t="n">
        <v>45953</v>
      </c>
      <c r="J455" t="n">
        <v>202510</v>
      </c>
      <c r="K455" s="44" t="n">
        <v>4625</v>
      </c>
      <c r="L455" t="inlineStr">
        <is>
          <t>KG</t>
        </is>
      </c>
      <c r="M455" s="44" t="n">
        <v>12216244</v>
      </c>
      <c r="N455" s="44" t="n">
        <v>488650</v>
      </c>
      <c r="O455" t="n">
        <v>0</v>
      </c>
      <c r="P455" s="44" t="n">
        <v>11727594</v>
      </c>
      <c r="Q455" t="inlineStr">
        <is>
          <t>KRW</t>
        </is>
      </c>
      <c r="R455" t="inlineStr">
        <is>
          <t>INV2510-00454</t>
        </is>
      </c>
      <c r="S455" t="inlineStr">
        <is>
          <t>※예시데이터</t>
        </is>
      </c>
    </row>
    <row r="456">
      <c r="A456" t="n">
        <v>1000</v>
      </c>
      <c r="B456" t="inlineStr">
        <is>
          <t>EP사업부</t>
        </is>
      </c>
      <c r="C456" t="inlineStr">
        <is>
          <t>국내영업1팀</t>
        </is>
      </c>
      <c r="D456" t="inlineStr">
        <is>
          <t>C10134</t>
        </is>
      </c>
      <c r="E456" t="inlineStr">
        <is>
          <t>별하전자(주)</t>
        </is>
      </c>
      <c r="F456" t="inlineStr">
        <is>
          <t>PC</t>
        </is>
      </c>
      <c r="G456" t="inlineStr">
        <is>
          <t>M-2201</t>
        </is>
      </c>
      <c r="H456" t="inlineStr">
        <is>
          <t>PC 일반 C100</t>
        </is>
      </c>
      <c r="I456" s="43" t="n">
        <v>45954</v>
      </c>
      <c r="J456" t="n">
        <v>202510</v>
      </c>
      <c r="K456" s="44" t="n">
        <v>1450</v>
      </c>
      <c r="L456" t="inlineStr">
        <is>
          <t>KG</t>
        </is>
      </c>
      <c r="M456" s="44" t="n">
        <v>5636541</v>
      </c>
      <c r="N456" s="44" t="n">
        <v>169096</v>
      </c>
      <c r="O456" t="n">
        <v>0</v>
      </c>
      <c r="P456" s="44" t="n">
        <v>5467445</v>
      </c>
      <c r="Q456" t="inlineStr">
        <is>
          <t>KRW</t>
        </is>
      </c>
      <c r="R456" t="inlineStr">
        <is>
          <t>INV2510-00455</t>
        </is>
      </c>
      <c r="S456" t="inlineStr">
        <is>
          <t>※예시데이터</t>
        </is>
      </c>
    </row>
    <row r="457">
      <c r="A457" t="n">
        <v>1000</v>
      </c>
      <c r="B457" t="inlineStr">
        <is>
          <t>범용수지사업부</t>
        </is>
      </c>
      <c r="C457" t="inlineStr">
        <is>
          <t>해외영업팀</t>
        </is>
      </c>
      <c r="D457" t="inlineStr">
        <is>
          <t>C10071</t>
        </is>
      </c>
      <c r="E457" t="inlineStr">
        <is>
          <t>큰별코리아</t>
        </is>
      </c>
      <c r="F457" t="inlineStr">
        <is>
          <t>PP</t>
        </is>
      </c>
      <c r="G457" t="inlineStr">
        <is>
          <t>M-1101</t>
        </is>
      </c>
      <c r="H457" t="inlineStr">
        <is>
          <t>PP 범용사출 H110</t>
        </is>
      </c>
      <c r="I457" s="43" t="n">
        <v>45955</v>
      </c>
      <c r="J457" t="n">
        <v>202510</v>
      </c>
      <c r="K457" s="44" t="n">
        <v>3075</v>
      </c>
      <c r="L457" t="inlineStr">
        <is>
          <t>KG</t>
        </is>
      </c>
      <c r="M457" s="44" t="n">
        <v>5057189</v>
      </c>
      <c r="N457" s="44" t="n">
        <v>556291</v>
      </c>
      <c r="O457" s="44" t="n">
        <v>101144</v>
      </c>
      <c r="P457" s="44" t="n">
        <v>4399754</v>
      </c>
      <c r="Q457" t="inlineStr">
        <is>
          <t>KRW</t>
        </is>
      </c>
      <c r="R457" t="inlineStr">
        <is>
          <t>INV2510-00456</t>
        </is>
      </c>
      <c r="S457" t="inlineStr">
        <is>
          <t>※예시데이터</t>
        </is>
      </c>
    </row>
    <row r="458">
      <c r="A458" t="n">
        <v>1000</v>
      </c>
      <c r="B458" t="inlineStr">
        <is>
          <t>범용수지사업부</t>
        </is>
      </c>
      <c r="C458" t="inlineStr">
        <is>
          <t>국내영업2팀</t>
        </is>
      </c>
      <c r="D458" t="inlineStr">
        <is>
          <t>C10099</t>
        </is>
      </c>
      <c r="E458" t="inlineStr">
        <is>
          <t>한울몰드</t>
        </is>
      </c>
      <c r="F458" t="inlineStr">
        <is>
          <t>PP</t>
        </is>
      </c>
      <c r="G458" t="inlineStr">
        <is>
          <t>M-1101</t>
        </is>
      </c>
      <c r="H458" t="inlineStr">
        <is>
          <t>PP 범용사출 H110</t>
        </is>
      </c>
      <c r="I458" s="43" t="n">
        <v>45956</v>
      </c>
      <c r="J458" t="n">
        <v>202510</v>
      </c>
      <c r="K458" s="44" t="n">
        <v>2500</v>
      </c>
      <c r="L458" t="inlineStr">
        <is>
          <t>KG</t>
        </is>
      </c>
      <c r="M458" s="44" t="n">
        <v>4111535</v>
      </c>
      <c r="N458" s="44" t="n">
        <v>246692</v>
      </c>
      <c r="O458" t="n">
        <v>0</v>
      </c>
      <c r="P458" s="44" t="n">
        <v>3864843</v>
      </c>
      <c r="Q458" t="inlineStr">
        <is>
          <t>KRW</t>
        </is>
      </c>
      <c r="R458" t="inlineStr">
        <is>
          <t>INV2510-00457</t>
        </is>
      </c>
      <c r="S458" t="inlineStr">
        <is>
          <t>※예시데이터</t>
        </is>
      </c>
    </row>
    <row r="459">
      <c r="A459" t="n">
        <v>1000</v>
      </c>
      <c r="B459" t="inlineStr">
        <is>
          <t>EP사업부</t>
        </is>
      </c>
      <c r="C459" t="inlineStr">
        <is>
          <t>국내영업2팀</t>
        </is>
      </c>
      <c r="D459" t="inlineStr">
        <is>
          <t>C10022</t>
        </is>
      </c>
      <c r="E459" t="inlineStr">
        <is>
          <t>라온테크(주)</t>
        </is>
      </c>
      <c r="F459" t="inlineStr">
        <is>
          <t>ABS</t>
        </is>
      </c>
      <c r="G459" t="inlineStr">
        <is>
          <t>M-2102</t>
        </is>
      </c>
      <c r="H459" t="inlineStr">
        <is>
          <t>ABS 내열 HR500</t>
        </is>
      </c>
      <c r="I459" s="43" t="n">
        <v>45957</v>
      </c>
      <c r="J459" t="n">
        <v>202510</v>
      </c>
      <c r="K459" s="44" t="n">
        <v>3475</v>
      </c>
      <c r="L459" t="inlineStr">
        <is>
          <t>KG</t>
        </is>
      </c>
      <c r="M459" s="44" t="n">
        <v>10321698</v>
      </c>
      <c r="N459" s="44" t="n">
        <v>722519</v>
      </c>
      <c r="O459" t="n">
        <v>0</v>
      </c>
      <c r="P459" s="44" t="n">
        <v>9599179</v>
      </c>
      <c r="Q459" t="inlineStr">
        <is>
          <t>KRW</t>
        </is>
      </c>
      <c r="R459" t="inlineStr">
        <is>
          <t>INV2510-00458</t>
        </is>
      </c>
      <c r="S459" t="inlineStr">
        <is>
          <t>※예시데이터</t>
        </is>
      </c>
    </row>
    <row r="460">
      <c r="A460" t="n">
        <v>1000</v>
      </c>
      <c r="B460" t="inlineStr">
        <is>
          <t>EP사업부</t>
        </is>
      </c>
      <c r="C460" t="inlineStr">
        <is>
          <t>국내영업1팀</t>
        </is>
      </c>
      <c r="D460" t="inlineStr">
        <is>
          <t>C10057</t>
        </is>
      </c>
      <c r="E460" t="inlineStr">
        <is>
          <t>자연엠텍</t>
        </is>
      </c>
      <c r="F460" t="inlineStr">
        <is>
          <t>ABS</t>
        </is>
      </c>
      <c r="G460" t="inlineStr">
        <is>
          <t>M-2101</t>
        </is>
      </c>
      <c r="H460" t="inlineStr">
        <is>
          <t>ABS 범용 G300</t>
        </is>
      </c>
      <c r="I460" s="43" t="n">
        <v>45957</v>
      </c>
      <c r="J460" t="n">
        <v>202510</v>
      </c>
      <c r="K460" s="44" t="n">
        <v>1400</v>
      </c>
      <c r="L460" t="inlineStr">
        <is>
          <t>KG</t>
        </is>
      </c>
      <c r="M460" s="44" t="n">
        <v>3697890</v>
      </c>
      <c r="N460" s="44" t="n">
        <v>184894</v>
      </c>
      <c r="O460" t="n">
        <v>0</v>
      </c>
      <c r="P460" s="44" t="n">
        <v>3512996</v>
      </c>
      <c r="Q460" t="inlineStr">
        <is>
          <t>KRW</t>
        </is>
      </c>
      <c r="R460" t="inlineStr">
        <is>
          <t>INV2510-00459</t>
        </is>
      </c>
      <c r="S460" t="inlineStr">
        <is>
          <t>※예시데이터</t>
        </is>
      </c>
    </row>
    <row r="461">
      <c r="A461" t="n">
        <v>1000</v>
      </c>
      <c r="B461" t="inlineStr">
        <is>
          <t>EP사업부</t>
        </is>
      </c>
      <c r="C461" t="inlineStr">
        <is>
          <t>국내영업1팀</t>
        </is>
      </c>
      <c r="D461" t="inlineStr">
        <is>
          <t>C10057</t>
        </is>
      </c>
      <c r="E461" t="inlineStr">
        <is>
          <t>자연엠텍</t>
        </is>
      </c>
      <c r="F461" t="inlineStr">
        <is>
          <t>PC</t>
        </is>
      </c>
      <c r="G461" t="inlineStr">
        <is>
          <t>M-2201</t>
        </is>
      </c>
      <c r="H461" t="inlineStr">
        <is>
          <t>PC 일반 C100</t>
        </is>
      </c>
      <c r="I461" s="43" t="n">
        <v>45957</v>
      </c>
      <c r="J461" t="n">
        <v>202510</v>
      </c>
      <c r="K461" s="44" t="n">
        <v>2175</v>
      </c>
      <c r="L461" t="inlineStr">
        <is>
          <t>KG</t>
        </is>
      </c>
      <c r="M461" s="44" t="n">
        <v>8454812</v>
      </c>
      <c r="N461" s="44" t="n">
        <v>422741</v>
      </c>
      <c r="O461" t="n">
        <v>0</v>
      </c>
      <c r="P461" s="44" t="n">
        <v>8032071</v>
      </c>
      <c r="Q461" t="inlineStr">
        <is>
          <t>KRW</t>
        </is>
      </c>
      <c r="R461" t="inlineStr">
        <is>
          <t>INV2510-00460</t>
        </is>
      </c>
      <c r="S461" t="inlineStr">
        <is>
          <t>※예시데이터</t>
        </is>
      </c>
    </row>
    <row r="462">
      <c r="A462" t="n">
        <v>1000</v>
      </c>
      <c r="B462" t="inlineStr">
        <is>
          <t>EP사업부</t>
        </is>
      </c>
      <c r="C462" t="inlineStr">
        <is>
          <t>국내영업1팀</t>
        </is>
      </c>
      <c r="D462" t="inlineStr">
        <is>
          <t>C10078</t>
        </is>
      </c>
      <c r="E462" t="inlineStr">
        <is>
          <t>토담정공(주)</t>
        </is>
      </c>
      <c r="F462" t="inlineStr">
        <is>
          <t>ABS</t>
        </is>
      </c>
      <c r="G462" t="inlineStr">
        <is>
          <t>M-2102</t>
        </is>
      </c>
      <c r="H462" t="inlineStr">
        <is>
          <t>ABS 내열 HR500</t>
        </is>
      </c>
      <c r="I462" s="43" t="n">
        <v>45957</v>
      </c>
      <c r="J462" t="n">
        <v>202510</v>
      </c>
      <c r="K462" s="44" t="n">
        <v>2375</v>
      </c>
      <c r="L462" t="inlineStr">
        <is>
          <t>KG</t>
        </is>
      </c>
      <c r="M462" s="44" t="n">
        <v>7054398</v>
      </c>
      <c r="N462" s="44" t="n">
        <v>211632</v>
      </c>
      <c r="O462" t="n">
        <v>0</v>
      </c>
      <c r="P462" s="44" t="n">
        <v>6842766</v>
      </c>
      <c r="Q462" t="inlineStr">
        <is>
          <t>KRW</t>
        </is>
      </c>
      <c r="R462" t="inlineStr">
        <is>
          <t>INV2510-00461</t>
        </is>
      </c>
      <c r="S462" t="inlineStr">
        <is>
          <t>※예시데이터</t>
        </is>
      </c>
    </row>
    <row r="463">
      <c r="A463" t="n">
        <v>1000</v>
      </c>
      <c r="B463" t="inlineStr">
        <is>
          <t>EP사업부</t>
        </is>
      </c>
      <c r="C463" t="inlineStr">
        <is>
          <t>국내영업2팀</t>
        </is>
      </c>
      <c r="D463" t="inlineStr">
        <is>
          <t>C10085</t>
        </is>
      </c>
      <c r="E463" t="inlineStr">
        <is>
          <t>파란하이텍</t>
        </is>
      </c>
      <c r="F463" t="inlineStr">
        <is>
          <t>PC</t>
        </is>
      </c>
      <c r="G463" t="inlineStr">
        <is>
          <t>M-2202</t>
        </is>
      </c>
      <c r="H463" t="inlineStr">
        <is>
          <t>PC 난연 FR200</t>
        </is>
      </c>
      <c r="I463" s="43" t="n">
        <v>45957</v>
      </c>
      <c r="J463" t="n">
        <v>202510</v>
      </c>
      <c r="K463" s="44" t="n">
        <v>2875</v>
      </c>
      <c r="L463" t="inlineStr">
        <is>
          <t>KG</t>
        </is>
      </c>
      <c r="M463" s="44" t="n">
        <v>12465428</v>
      </c>
      <c r="N463" s="44" t="n">
        <v>747926</v>
      </c>
      <c r="O463" t="n">
        <v>0</v>
      </c>
      <c r="P463" s="44" t="n">
        <v>11717502</v>
      </c>
      <c r="Q463" t="inlineStr">
        <is>
          <t>KRW</t>
        </is>
      </c>
      <c r="R463" t="inlineStr">
        <is>
          <t>INV2510-00462</t>
        </is>
      </c>
      <c r="S463" t="inlineStr">
        <is>
          <t>※예시데이터</t>
        </is>
      </c>
    </row>
    <row r="464">
      <c r="A464" t="n">
        <v>1000</v>
      </c>
      <c r="B464" t="inlineStr">
        <is>
          <t>범용수지사업부</t>
        </is>
      </c>
      <c r="C464" t="inlineStr">
        <is>
          <t>국내영업1팀</t>
        </is>
      </c>
      <c r="D464" t="inlineStr">
        <is>
          <t>C10092</t>
        </is>
      </c>
      <c r="E464" t="inlineStr">
        <is>
          <t>하늘포장(주)</t>
        </is>
      </c>
      <c r="F464" t="inlineStr">
        <is>
          <t>PE</t>
        </is>
      </c>
      <c r="G464" t="inlineStr">
        <is>
          <t>M-1201</t>
        </is>
      </c>
      <c r="H464" t="inlineStr">
        <is>
          <t>HDPE 블로우 B500</t>
        </is>
      </c>
      <c r="I464" s="43" t="n">
        <v>45957</v>
      </c>
      <c r="J464" t="n">
        <v>202510</v>
      </c>
      <c r="K464" s="44" t="n">
        <v>16750</v>
      </c>
      <c r="L464" t="inlineStr">
        <is>
          <t>KG</t>
        </is>
      </c>
      <c r="M464" s="44" t="n">
        <v>26378615</v>
      </c>
      <c r="N464" s="44" t="n">
        <v>2110289</v>
      </c>
      <c r="O464" t="n">
        <v>0</v>
      </c>
      <c r="P464" s="44" t="n">
        <v>24268326</v>
      </c>
      <c r="Q464" t="inlineStr">
        <is>
          <t>KRW</t>
        </is>
      </c>
      <c r="R464" t="inlineStr">
        <is>
          <t>INV2510-00463</t>
        </is>
      </c>
      <c r="S464" t="inlineStr">
        <is>
          <t>※예시데이터</t>
        </is>
      </c>
    </row>
    <row r="465">
      <c r="A465" t="n">
        <v>1000</v>
      </c>
      <c r="B465" t="inlineStr">
        <is>
          <t>범용수지사업부</t>
        </is>
      </c>
      <c r="C465" t="inlineStr">
        <is>
          <t>국내영업2팀</t>
        </is>
      </c>
      <c r="D465" t="inlineStr">
        <is>
          <t>C10127</t>
        </is>
      </c>
      <c r="E465" t="inlineStr">
        <is>
          <t>미르패키징</t>
        </is>
      </c>
      <c r="F465" t="inlineStr">
        <is>
          <t>PE</t>
        </is>
      </c>
      <c r="G465" t="inlineStr">
        <is>
          <t>M-1202</t>
        </is>
      </c>
      <c r="H465" t="inlineStr">
        <is>
          <t>LLDPE 필름 F120</t>
        </is>
      </c>
      <c r="I465" s="43" t="n">
        <v>45958</v>
      </c>
      <c r="J465" t="n">
        <v>202510</v>
      </c>
      <c r="K465" s="44" t="n">
        <v>3325</v>
      </c>
      <c r="L465" t="inlineStr">
        <is>
          <t>KG</t>
        </is>
      </c>
      <c r="M465" s="44" t="n">
        <v>5667191</v>
      </c>
      <c r="N465" s="44" t="n">
        <v>510047</v>
      </c>
      <c r="O465" t="n">
        <v>0</v>
      </c>
      <c r="P465" s="44" t="n">
        <v>5157144</v>
      </c>
      <c r="Q465" t="inlineStr">
        <is>
          <t>KRW</t>
        </is>
      </c>
      <c r="R465" t="inlineStr">
        <is>
          <t>INV2510-00464</t>
        </is>
      </c>
      <c r="S465" t="inlineStr">
        <is>
          <t>※예시데이터</t>
        </is>
      </c>
    </row>
    <row r="466">
      <c r="A466" t="n">
        <v>1000</v>
      </c>
      <c r="B466" t="inlineStr">
        <is>
          <t>EP사업부</t>
        </is>
      </c>
      <c r="C466" t="inlineStr">
        <is>
          <t>국내영업1팀</t>
        </is>
      </c>
      <c r="D466" t="inlineStr">
        <is>
          <t>C10134</t>
        </is>
      </c>
      <c r="E466" t="inlineStr">
        <is>
          <t>별하전자(주)</t>
        </is>
      </c>
      <c r="F466" t="inlineStr">
        <is>
          <t>PC</t>
        </is>
      </c>
      <c r="G466" t="inlineStr">
        <is>
          <t>M-2202</t>
        </is>
      </c>
      <c r="H466" t="inlineStr">
        <is>
          <t>PC 난연 FR200</t>
        </is>
      </c>
      <c r="I466" s="43" t="n">
        <v>45958</v>
      </c>
      <c r="J466" t="n">
        <v>202510</v>
      </c>
      <c r="K466" t="n">
        <v>700</v>
      </c>
      <c r="L466" t="inlineStr">
        <is>
          <t>KG</t>
        </is>
      </c>
      <c r="M466" s="44" t="n">
        <v>3035061</v>
      </c>
      <c r="N466" s="44" t="n">
        <v>91052</v>
      </c>
      <c r="O466" t="n">
        <v>0</v>
      </c>
      <c r="P466" s="44" t="n">
        <v>2944009</v>
      </c>
      <c r="Q466" t="inlineStr">
        <is>
          <t>KRW</t>
        </is>
      </c>
      <c r="R466" t="inlineStr">
        <is>
          <t>INV2510-00465</t>
        </is>
      </c>
      <c r="S466" t="inlineStr">
        <is>
          <t>※예시데이터</t>
        </is>
      </c>
    </row>
    <row r="467">
      <c r="A467" t="n">
        <v>1000</v>
      </c>
      <c r="B467" t="inlineStr">
        <is>
          <t>범용수지사업부</t>
        </is>
      </c>
      <c r="C467" t="inlineStr">
        <is>
          <t>해외영업팀</t>
        </is>
      </c>
      <c r="D467" t="inlineStr">
        <is>
          <t>C10141</t>
        </is>
      </c>
      <c r="E467" t="inlineStr">
        <is>
          <t>Sinar Plastik (ID)</t>
        </is>
      </c>
      <c r="F467" t="inlineStr">
        <is>
          <t>PP</t>
        </is>
      </c>
      <c r="G467" t="inlineStr">
        <is>
          <t>M-1103</t>
        </is>
      </c>
      <c r="H467" t="inlineStr">
        <is>
          <t>PP 투명 R330</t>
        </is>
      </c>
      <c r="I467" s="43" t="n">
        <v>45958</v>
      </c>
      <c r="J467" t="n">
        <v>202510</v>
      </c>
      <c r="K467" s="44" t="n">
        <v>17275</v>
      </c>
      <c r="L467" t="inlineStr">
        <is>
          <t>KG</t>
        </is>
      </c>
      <c r="M467" s="44" t="n">
        <v>33404108</v>
      </c>
      <c r="N467" s="44" t="n">
        <v>4008493</v>
      </c>
      <c r="O467" t="n">
        <v>0</v>
      </c>
      <c r="P467" s="44" t="n">
        <v>29395615</v>
      </c>
      <c r="Q467" t="inlineStr">
        <is>
          <t>KRW</t>
        </is>
      </c>
      <c r="R467" t="inlineStr">
        <is>
          <t>INV2510-00466</t>
        </is>
      </c>
      <c r="S467" t="inlineStr">
        <is>
          <t>※예시데이터</t>
        </is>
      </c>
    </row>
    <row r="468">
      <c r="A468" t="n">
        <v>1000</v>
      </c>
      <c r="B468" t="inlineStr">
        <is>
          <t>범용수지사업부</t>
        </is>
      </c>
      <c r="C468" t="inlineStr">
        <is>
          <t>국내영업1팀</t>
        </is>
      </c>
      <c r="D468" t="inlineStr">
        <is>
          <t>C10001</t>
        </is>
      </c>
      <c r="E468" t="inlineStr">
        <is>
          <t>가온소재(주)</t>
        </is>
      </c>
      <c r="F468" t="inlineStr">
        <is>
          <t>PP</t>
        </is>
      </c>
      <c r="G468" t="inlineStr">
        <is>
          <t>M-1102</t>
        </is>
      </c>
      <c r="H468" t="inlineStr">
        <is>
          <t>PP 고강성 H220</t>
        </is>
      </c>
      <c r="I468" s="43" t="n">
        <v>45962</v>
      </c>
      <c r="J468" t="n">
        <v>202511</v>
      </c>
      <c r="K468" s="44" t="n">
        <v>1800</v>
      </c>
      <c r="L468" t="inlineStr">
        <is>
          <t>KG</t>
        </is>
      </c>
      <c r="M468" s="44" t="n">
        <v>3256344</v>
      </c>
      <c r="N468" s="44" t="n">
        <v>195381</v>
      </c>
      <c r="O468" t="n">
        <v>0</v>
      </c>
      <c r="P468" s="44" t="n">
        <v>3060963</v>
      </c>
      <c r="Q468" t="inlineStr">
        <is>
          <t>KRW</t>
        </is>
      </c>
      <c r="R468" t="inlineStr">
        <is>
          <t>INV2511-00467</t>
        </is>
      </c>
      <c r="S468" t="inlineStr">
        <is>
          <t>※예시데이터</t>
        </is>
      </c>
    </row>
    <row r="469">
      <c r="A469" t="n">
        <v>1000</v>
      </c>
      <c r="B469" t="inlineStr">
        <is>
          <t>EP사업부</t>
        </is>
      </c>
      <c r="C469" t="inlineStr">
        <is>
          <t>국내영업2팀</t>
        </is>
      </c>
      <c r="D469" t="inlineStr">
        <is>
          <t>C10085</t>
        </is>
      </c>
      <c r="E469" t="inlineStr">
        <is>
          <t>파란하이텍</t>
        </is>
      </c>
      <c r="F469" t="inlineStr">
        <is>
          <t>PC</t>
        </is>
      </c>
      <c r="G469" t="inlineStr">
        <is>
          <t>M-2201</t>
        </is>
      </c>
      <c r="H469" t="inlineStr">
        <is>
          <t>PC 일반 C100</t>
        </is>
      </c>
      <c r="I469" s="43" t="n">
        <v>45962</v>
      </c>
      <c r="J469" t="n">
        <v>202511</v>
      </c>
      <c r="K469" s="44" t="n">
        <v>1475</v>
      </c>
      <c r="L469" t="inlineStr">
        <is>
          <t>KG</t>
        </is>
      </c>
      <c r="M469" s="44" t="n">
        <v>5717985</v>
      </c>
      <c r="N469" s="44" t="n">
        <v>343079</v>
      </c>
      <c r="O469" t="n">
        <v>0</v>
      </c>
      <c r="P469" s="44" t="n">
        <v>5374906</v>
      </c>
      <c r="Q469" t="inlineStr">
        <is>
          <t>KRW</t>
        </is>
      </c>
      <c r="R469" t="inlineStr">
        <is>
          <t>INV2511-00468</t>
        </is>
      </c>
      <c r="S469" t="inlineStr">
        <is>
          <t>※예시데이터</t>
        </is>
      </c>
    </row>
    <row r="470">
      <c r="A470" t="n">
        <v>1000</v>
      </c>
      <c r="B470" t="inlineStr">
        <is>
          <t>범용수지사업부</t>
        </is>
      </c>
      <c r="C470" t="inlineStr">
        <is>
          <t>국내영업1팀</t>
        </is>
      </c>
      <c r="D470" t="inlineStr">
        <is>
          <t>C10001</t>
        </is>
      </c>
      <c r="E470" t="inlineStr">
        <is>
          <t>가온소재(주)</t>
        </is>
      </c>
      <c r="F470" t="inlineStr">
        <is>
          <t>PE</t>
        </is>
      </c>
      <c r="G470" t="inlineStr">
        <is>
          <t>M-1202</t>
        </is>
      </c>
      <c r="H470" t="inlineStr">
        <is>
          <t>LLDPE 필름 F120</t>
        </is>
      </c>
      <c r="I470" s="43" t="n">
        <v>45963</v>
      </c>
      <c r="J470" t="n">
        <v>202511</v>
      </c>
      <c r="K470" s="44" t="n">
        <v>2125</v>
      </c>
      <c r="L470" t="inlineStr">
        <is>
          <t>KG</t>
        </is>
      </c>
      <c r="M470" s="44" t="n">
        <v>3611948</v>
      </c>
      <c r="N470" s="44" t="n">
        <v>216717</v>
      </c>
      <c r="O470" t="n">
        <v>0</v>
      </c>
      <c r="P470" s="44" t="n">
        <v>3395231</v>
      </c>
      <c r="Q470" t="inlineStr">
        <is>
          <t>KRW</t>
        </is>
      </c>
      <c r="R470" t="inlineStr">
        <is>
          <t>INV2511-00469</t>
        </is>
      </c>
      <c r="S470" t="inlineStr">
        <is>
          <t>※예시데이터</t>
        </is>
      </c>
    </row>
    <row r="471">
      <c r="A471" t="n">
        <v>1000</v>
      </c>
      <c r="B471" t="inlineStr">
        <is>
          <t>EP사업부</t>
        </is>
      </c>
      <c r="C471" t="inlineStr">
        <is>
          <t>국내영업1팀</t>
        </is>
      </c>
      <c r="D471" t="inlineStr">
        <is>
          <t>C10029</t>
        </is>
      </c>
      <c r="E471" t="inlineStr">
        <is>
          <t>마루정밀</t>
        </is>
      </c>
      <c r="F471" t="inlineStr">
        <is>
          <t>PC</t>
        </is>
      </c>
      <c r="G471" t="inlineStr">
        <is>
          <t>M-2201</t>
        </is>
      </c>
      <c r="H471" t="inlineStr">
        <is>
          <t>PC 일반 C100</t>
        </is>
      </c>
      <c r="I471" s="43" t="n">
        <v>45963</v>
      </c>
      <c r="J471" t="n">
        <v>202511</v>
      </c>
      <c r="K471" s="44" t="n">
        <v>4225</v>
      </c>
      <c r="L471" t="inlineStr">
        <is>
          <t>KG</t>
        </is>
      </c>
      <c r="M471" s="44" t="n">
        <v>16378636</v>
      </c>
      <c r="N471" s="44" t="n">
        <v>655145</v>
      </c>
      <c r="O471" t="n">
        <v>0</v>
      </c>
      <c r="P471" s="44" t="n">
        <v>15723491</v>
      </c>
      <c r="Q471" t="inlineStr">
        <is>
          <t>KRW</t>
        </is>
      </c>
      <c r="R471" t="inlineStr">
        <is>
          <t>INV2511-00470</t>
        </is>
      </c>
      <c r="S471" t="inlineStr">
        <is>
          <t>※예시데이터</t>
        </is>
      </c>
    </row>
    <row r="472">
      <c r="A472" t="n">
        <v>1000</v>
      </c>
      <c r="B472" t="inlineStr">
        <is>
          <t>범용수지사업부</t>
        </is>
      </c>
      <c r="C472" t="inlineStr">
        <is>
          <t>국내영업1팀</t>
        </is>
      </c>
      <c r="D472" t="inlineStr">
        <is>
          <t>C10043</t>
        </is>
      </c>
      <c r="E472" t="inlineStr">
        <is>
          <t>새봄플라스틱</t>
        </is>
      </c>
      <c r="F472" t="inlineStr">
        <is>
          <t>PP</t>
        </is>
      </c>
      <c r="G472" t="inlineStr">
        <is>
          <t>M-1103</t>
        </is>
      </c>
      <c r="H472" t="inlineStr">
        <is>
          <t>PP 투명 R330</t>
        </is>
      </c>
      <c r="I472" s="43" t="n">
        <v>45963</v>
      </c>
      <c r="J472" t="n">
        <v>202511</v>
      </c>
      <c r="K472" s="44" t="n">
        <v>3775</v>
      </c>
      <c r="L472" t="inlineStr">
        <is>
          <t>KG</t>
        </is>
      </c>
      <c r="M472" s="44" t="n">
        <v>7279559</v>
      </c>
      <c r="N472" s="44" t="n">
        <v>436774</v>
      </c>
      <c r="O472" t="n">
        <v>0</v>
      </c>
      <c r="P472" s="44" t="n">
        <v>6842785</v>
      </c>
      <c r="Q472" t="inlineStr">
        <is>
          <t>KRW</t>
        </is>
      </c>
      <c r="R472" t="inlineStr">
        <is>
          <t>INV2511-00471</t>
        </is>
      </c>
      <c r="S472" t="inlineStr">
        <is>
          <t>※예시데이터</t>
        </is>
      </c>
    </row>
    <row r="473">
      <c r="A473" t="n">
        <v>1000</v>
      </c>
      <c r="B473" t="inlineStr">
        <is>
          <t>EP사업부</t>
        </is>
      </c>
      <c r="C473" t="inlineStr">
        <is>
          <t>국내영업1팀</t>
        </is>
      </c>
      <c r="D473" t="inlineStr">
        <is>
          <t>C10043</t>
        </is>
      </c>
      <c r="E473" t="inlineStr">
        <is>
          <t>새봄플라스틱</t>
        </is>
      </c>
      <c r="F473" t="inlineStr">
        <is>
          <t>ABS</t>
        </is>
      </c>
      <c r="G473" t="inlineStr">
        <is>
          <t>M-2101</t>
        </is>
      </c>
      <c r="H473" t="inlineStr">
        <is>
          <t>ABS 범용 G300</t>
        </is>
      </c>
      <c r="I473" s="43" t="n">
        <v>45963</v>
      </c>
      <c r="J473" t="n">
        <v>202511</v>
      </c>
      <c r="K473" s="44" t="n">
        <v>3300</v>
      </c>
      <c r="L473" t="inlineStr">
        <is>
          <t>KG</t>
        </is>
      </c>
      <c r="M473" s="44" t="n">
        <v>8692531</v>
      </c>
      <c r="N473" s="44" t="n">
        <v>521552</v>
      </c>
      <c r="O473" t="n">
        <v>0</v>
      </c>
      <c r="P473" s="44" t="n">
        <v>8170979</v>
      </c>
      <c r="Q473" t="inlineStr">
        <is>
          <t>KRW</t>
        </is>
      </c>
      <c r="R473" t="inlineStr">
        <is>
          <t>INV2511-00472</t>
        </is>
      </c>
      <c r="S473" t="inlineStr">
        <is>
          <t>※예시데이터</t>
        </is>
      </c>
    </row>
    <row r="474">
      <c r="A474" t="n">
        <v>1000</v>
      </c>
      <c r="B474" t="inlineStr">
        <is>
          <t>범용수지사업부</t>
        </is>
      </c>
      <c r="C474" t="inlineStr">
        <is>
          <t>국내영업1팀</t>
        </is>
      </c>
      <c r="D474" t="inlineStr">
        <is>
          <t>C10106</t>
        </is>
      </c>
      <c r="E474" t="inlineStr">
        <is>
          <t>온새미사출</t>
        </is>
      </c>
      <c r="F474" t="inlineStr">
        <is>
          <t>PP</t>
        </is>
      </c>
      <c r="G474" t="inlineStr">
        <is>
          <t>M-1101</t>
        </is>
      </c>
      <c r="H474" t="inlineStr">
        <is>
          <t>PP 범용사출 H110</t>
        </is>
      </c>
      <c r="I474" s="43" t="n">
        <v>45963</v>
      </c>
      <c r="J474" t="n">
        <v>202511</v>
      </c>
      <c r="K474" s="44" t="n">
        <v>8175</v>
      </c>
      <c r="L474" t="inlineStr">
        <is>
          <t>KG</t>
        </is>
      </c>
      <c r="M474" s="44" t="n">
        <v>13407818</v>
      </c>
      <c r="N474" s="44" t="n">
        <v>670391</v>
      </c>
      <c r="O474" t="n">
        <v>0</v>
      </c>
      <c r="P474" s="44" t="n">
        <v>12737427</v>
      </c>
      <c r="Q474" t="inlineStr">
        <is>
          <t>KRW</t>
        </is>
      </c>
      <c r="R474" t="inlineStr">
        <is>
          <t>INV2511-00473</t>
        </is>
      </c>
      <c r="S474" t="inlineStr">
        <is>
          <t>※예시데이터</t>
        </is>
      </c>
    </row>
    <row r="475">
      <c r="A475" t="n">
        <v>1000</v>
      </c>
      <c r="B475" t="inlineStr">
        <is>
          <t>범용수지사업부</t>
        </is>
      </c>
      <c r="C475" t="inlineStr">
        <is>
          <t>국내영업2팀</t>
        </is>
      </c>
      <c r="D475" t="inlineStr">
        <is>
          <t>C10127</t>
        </is>
      </c>
      <c r="E475" t="inlineStr">
        <is>
          <t>미르패키징</t>
        </is>
      </c>
      <c r="F475" t="inlineStr">
        <is>
          <t>PE</t>
        </is>
      </c>
      <c r="G475" t="inlineStr">
        <is>
          <t>M-1202</t>
        </is>
      </c>
      <c r="H475" t="inlineStr">
        <is>
          <t>LLDPE 필름 F120</t>
        </is>
      </c>
      <c r="I475" s="43" t="n">
        <v>45963</v>
      </c>
      <c r="J475" t="n">
        <v>202511</v>
      </c>
      <c r="K475" s="44" t="n">
        <v>1500</v>
      </c>
      <c r="L475" t="inlineStr">
        <is>
          <t>KG</t>
        </is>
      </c>
      <c r="M475" s="44" t="n">
        <v>2549610</v>
      </c>
      <c r="N475" s="44" t="n">
        <v>229465</v>
      </c>
      <c r="O475" t="n">
        <v>0</v>
      </c>
      <c r="P475" s="44" t="n">
        <v>2320145</v>
      </c>
      <c r="Q475" t="inlineStr">
        <is>
          <t>KRW</t>
        </is>
      </c>
      <c r="R475" t="inlineStr">
        <is>
          <t>INV2511-00474</t>
        </is>
      </c>
      <c r="S475" t="inlineStr">
        <is>
          <t>※예시데이터</t>
        </is>
      </c>
    </row>
    <row r="476">
      <c r="A476" t="n">
        <v>1000</v>
      </c>
      <c r="B476" t="inlineStr">
        <is>
          <t>EP사업부</t>
        </is>
      </c>
      <c r="C476" t="inlineStr">
        <is>
          <t>국내영업1팀</t>
        </is>
      </c>
      <c r="D476" t="inlineStr">
        <is>
          <t>C10134</t>
        </is>
      </c>
      <c r="E476" t="inlineStr">
        <is>
          <t>별하전자(주)</t>
        </is>
      </c>
      <c r="F476" t="inlineStr">
        <is>
          <t>PC</t>
        </is>
      </c>
      <c r="G476" t="inlineStr">
        <is>
          <t>M-2202</t>
        </is>
      </c>
      <c r="H476" t="inlineStr">
        <is>
          <t>PC 난연 FR200</t>
        </is>
      </c>
      <c r="I476" s="43" t="n">
        <v>45965</v>
      </c>
      <c r="J476" t="n">
        <v>202511</v>
      </c>
      <c r="K476" s="44" t="n">
        <v>1200</v>
      </c>
      <c r="L476" t="inlineStr">
        <is>
          <t>KG</t>
        </is>
      </c>
      <c r="M476" s="44" t="n">
        <v>5188680</v>
      </c>
      <c r="N476" s="44" t="n">
        <v>155660</v>
      </c>
      <c r="O476" t="n">
        <v>0</v>
      </c>
      <c r="P476" s="44" t="n">
        <v>5033020</v>
      </c>
      <c r="Q476" t="inlineStr">
        <is>
          <t>KRW</t>
        </is>
      </c>
      <c r="R476" t="inlineStr">
        <is>
          <t>INV2511-00475</t>
        </is>
      </c>
      <c r="S476" t="inlineStr">
        <is>
          <t>※예시데이터</t>
        </is>
      </c>
    </row>
    <row r="477">
      <c r="A477" t="n">
        <v>1000</v>
      </c>
      <c r="B477" t="inlineStr">
        <is>
          <t>범용수지사업부</t>
        </is>
      </c>
      <c r="C477" t="inlineStr">
        <is>
          <t>해외영업팀</t>
        </is>
      </c>
      <c r="D477" t="inlineStr">
        <is>
          <t>C10071</t>
        </is>
      </c>
      <c r="E477" t="inlineStr">
        <is>
          <t>큰별코리아</t>
        </is>
      </c>
      <c r="F477" t="inlineStr">
        <is>
          <t>PE</t>
        </is>
      </c>
      <c r="G477" t="inlineStr">
        <is>
          <t>M-1202</t>
        </is>
      </c>
      <c r="H477" t="inlineStr">
        <is>
          <t>LLDPE 필름 F120</t>
        </is>
      </c>
      <c r="I477" s="43" t="n">
        <v>45966</v>
      </c>
      <c r="J477" t="n">
        <v>202511</v>
      </c>
      <c r="K477" s="44" t="n">
        <v>3125</v>
      </c>
      <c r="L477" t="inlineStr">
        <is>
          <t>KG</t>
        </is>
      </c>
      <c r="M477" s="44" t="n">
        <v>5311688</v>
      </c>
      <c r="N477" s="44" t="n">
        <v>584286</v>
      </c>
      <c r="O477" s="44" t="n">
        <v>106234</v>
      </c>
      <c r="P477" s="44" t="n">
        <v>4621168</v>
      </c>
      <c r="Q477" t="inlineStr">
        <is>
          <t>KRW</t>
        </is>
      </c>
      <c r="R477" t="inlineStr">
        <is>
          <t>INV2511-00476</t>
        </is>
      </c>
      <c r="S477" t="inlineStr">
        <is>
          <t>※예시데이터</t>
        </is>
      </c>
    </row>
    <row r="478">
      <c r="A478" t="n">
        <v>1000</v>
      </c>
      <c r="B478" t="inlineStr">
        <is>
          <t>범용수지사업부</t>
        </is>
      </c>
      <c r="C478" t="inlineStr">
        <is>
          <t>국내영업2팀</t>
        </is>
      </c>
      <c r="D478" t="inlineStr">
        <is>
          <t>C10036</t>
        </is>
      </c>
      <c r="E478" t="inlineStr">
        <is>
          <t>바른물산</t>
        </is>
      </c>
      <c r="F478" t="inlineStr">
        <is>
          <t>PE</t>
        </is>
      </c>
      <c r="G478" t="inlineStr">
        <is>
          <t>M-1201</t>
        </is>
      </c>
      <c r="H478" t="inlineStr">
        <is>
          <t>HDPE 블로우 B500</t>
        </is>
      </c>
      <c r="I478" s="43" t="n">
        <v>45967</v>
      </c>
      <c r="J478" t="n">
        <v>202511</v>
      </c>
      <c r="K478" s="44" t="n">
        <v>24125</v>
      </c>
      <c r="L478" t="inlineStr">
        <is>
          <t>KG</t>
        </is>
      </c>
      <c r="M478" s="44" t="n">
        <v>37888797</v>
      </c>
      <c r="N478" s="44" t="n">
        <v>3409992</v>
      </c>
      <c r="O478" s="44" t="n">
        <v>757776</v>
      </c>
      <c r="P478" s="44" t="n">
        <v>33721029</v>
      </c>
      <c r="Q478" t="inlineStr">
        <is>
          <t>KRW</t>
        </is>
      </c>
      <c r="R478" t="inlineStr">
        <is>
          <t>INV2511-00477</t>
        </is>
      </c>
      <c r="S478" t="inlineStr">
        <is>
          <t>※예시데이터</t>
        </is>
      </c>
    </row>
    <row r="479">
      <c r="A479" t="n">
        <v>1000</v>
      </c>
      <c r="B479" t="inlineStr">
        <is>
          <t>EP사업부</t>
        </is>
      </c>
      <c r="C479" t="inlineStr">
        <is>
          <t>국내영업1팀</t>
        </is>
      </c>
      <c r="D479" t="inlineStr">
        <is>
          <t>C10043</t>
        </is>
      </c>
      <c r="E479" t="inlineStr">
        <is>
          <t>새봄플라스틱</t>
        </is>
      </c>
      <c r="F479" t="inlineStr">
        <is>
          <t>ABS</t>
        </is>
      </c>
      <c r="G479" t="inlineStr">
        <is>
          <t>M-2102</t>
        </is>
      </c>
      <c r="H479" t="inlineStr">
        <is>
          <t>ABS 내열 HR500</t>
        </is>
      </c>
      <c r="I479" s="43" t="n">
        <v>45967</v>
      </c>
      <c r="J479" t="n">
        <v>202511</v>
      </c>
      <c r="K479" t="n">
        <v>-250</v>
      </c>
      <c r="L479" t="inlineStr">
        <is>
          <t>KG</t>
        </is>
      </c>
      <c r="M479" s="44" t="n">
        <v>-742568</v>
      </c>
      <c r="N479" s="44" t="n">
        <v>-44554</v>
      </c>
      <c r="O479" t="n">
        <v>0</v>
      </c>
      <c r="P479" s="44" t="n">
        <v>-698014</v>
      </c>
      <c r="Q479" t="inlineStr">
        <is>
          <t>KRW</t>
        </is>
      </c>
      <c r="R479" t="inlineStr">
        <is>
          <t>INV2511-00478</t>
        </is>
      </c>
      <c r="S479" t="inlineStr">
        <is>
          <t>※예시데이터</t>
        </is>
      </c>
    </row>
    <row r="480">
      <c r="A480" t="n">
        <v>1000</v>
      </c>
      <c r="B480" t="inlineStr">
        <is>
          <t>EP사업부</t>
        </is>
      </c>
      <c r="C480" t="inlineStr">
        <is>
          <t>국내영업1팀</t>
        </is>
      </c>
      <c r="D480" t="inlineStr">
        <is>
          <t>C10043</t>
        </is>
      </c>
      <c r="E480" t="inlineStr">
        <is>
          <t>새봄플라스틱</t>
        </is>
      </c>
      <c r="F480" t="inlineStr">
        <is>
          <t>ABS</t>
        </is>
      </c>
      <c r="G480" t="inlineStr">
        <is>
          <t>M-2102</t>
        </is>
      </c>
      <c r="H480" t="inlineStr">
        <is>
          <t>ABS 내열 HR500</t>
        </is>
      </c>
      <c r="I480" s="43" t="n">
        <v>45968</v>
      </c>
      <c r="J480" t="n">
        <v>202511</v>
      </c>
      <c r="K480" s="44" t="n">
        <v>1250</v>
      </c>
      <c r="L480" t="inlineStr">
        <is>
          <t>KG</t>
        </is>
      </c>
      <c r="M480" s="44" t="n">
        <v>3702650</v>
      </c>
      <c r="N480" s="44" t="n">
        <v>222159</v>
      </c>
      <c r="O480" t="n">
        <v>0</v>
      </c>
      <c r="P480" s="44" t="n">
        <v>3480491</v>
      </c>
      <c r="Q480" t="inlineStr">
        <is>
          <t>KRW</t>
        </is>
      </c>
      <c r="R480" t="inlineStr">
        <is>
          <t>INV2511-00479</t>
        </is>
      </c>
      <c r="S480" t="inlineStr">
        <is>
          <t>※예시데이터</t>
        </is>
      </c>
    </row>
    <row r="481">
      <c r="A481" t="n">
        <v>1000</v>
      </c>
      <c r="B481" t="inlineStr">
        <is>
          <t>EP사업부</t>
        </is>
      </c>
      <c r="C481" t="inlineStr">
        <is>
          <t>국내영업1팀</t>
        </is>
      </c>
      <c r="D481" t="inlineStr">
        <is>
          <t>C10120</t>
        </is>
      </c>
      <c r="E481" t="inlineStr">
        <is>
          <t>든솔케이스</t>
        </is>
      </c>
      <c r="F481" t="inlineStr">
        <is>
          <t>ABS</t>
        </is>
      </c>
      <c r="G481" t="inlineStr">
        <is>
          <t>M-2101</t>
        </is>
      </c>
      <c r="H481" t="inlineStr">
        <is>
          <t>ABS 범용 G300</t>
        </is>
      </c>
      <c r="I481" s="43" t="n">
        <v>45968</v>
      </c>
      <c r="J481" t="n">
        <v>202511</v>
      </c>
      <c r="K481" s="44" t="n">
        <v>1325</v>
      </c>
      <c r="L481" t="inlineStr">
        <is>
          <t>KG</t>
        </is>
      </c>
      <c r="M481" s="44" t="n">
        <v>3490183</v>
      </c>
      <c r="N481" s="44" t="n">
        <v>139607</v>
      </c>
      <c r="O481" t="n">
        <v>0</v>
      </c>
      <c r="P481" s="44" t="n">
        <v>3350576</v>
      </c>
      <c r="Q481" t="inlineStr">
        <is>
          <t>KRW</t>
        </is>
      </c>
      <c r="R481" t="inlineStr">
        <is>
          <t>INV2511-00480</t>
        </is>
      </c>
      <c r="S481" t="inlineStr">
        <is>
          <t>※예시데이터</t>
        </is>
      </c>
    </row>
    <row r="482">
      <c r="A482" t="n">
        <v>1000</v>
      </c>
      <c r="B482" t="inlineStr">
        <is>
          <t>EP사업부</t>
        </is>
      </c>
      <c r="C482" t="inlineStr">
        <is>
          <t>국내영업2팀</t>
        </is>
      </c>
      <c r="D482" t="inlineStr">
        <is>
          <t>C10022</t>
        </is>
      </c>
      <c r="E482" t="inlineStr">
        <is>
          <t>라온테크(주)</t>
        </is>
      </c>
      <c r="F482" t="inlineStr">
        <is>
          <t>ABS</t>
        </is>
      </c>
      <c r="G482" t="inlineStr">
        <is>
          <t>M-2102</t>
        </is>
      </c>
      <c r="H482" t="inlineStr">
        <is>
          <t>ABS 내열 HR500</t>
        </is>
      </c>
      <c r="I482" s="43" t="n">
        <v>45969</v>
      </c>
      <c r="J482" t="n">
        <v>202511</v>
      </c>
      <c r="K482" s="44" t="n">
        <v>3075</v>
      </c>
      <c r="L482" t="inlineStr">
        <is>
          <t>KG</t>
        </is>
      </c>
      <c r="M482" s="44" t="n">
        <v>9108520</v>
      </c>
      <c r="N482" s="44" t="n">
        <v>637596</v>
      </c>
      <c r="O482" t="n">
        <v>0</v>
      </c>
      <c r="P482" s="44" t="n">
        <v>8470924</v>
      </c>
      <c r="Q482" t="inlineStr">
        <is>
          <t>KRW</t>
        </is>
      </c>
      <c r="R482" t="inlineStr">
        <is>
          <t>INV2511-00481</t>
        </is>
      </c>
      <c r="S482" t="inlineStr">
        <is>
          <t>※예시데이터</t>
        </is>
      </c>
    </row>
    <row r="483">
      <c r="A483" t="n">
        <v>1000</v>
      </c>
      <c r="B483" t="inlineStr">
        <is>
          <t>범용수지사업부</t>
        </is>
      </c>
      <c r="C483" t="inlineStr">
        <is>
          <t>해외영업팀</t>
        </is>
      </c>
      <c r="D483" t="inlineStr">
        <is>
          <t>C10071</t>
        </is>
      </c>
      <c r="E483" t="inlineStr">
        <is>
          <t>큰별코리아</t>
        </is>
      </c>
      <c r="F483" t="inlineStr">
        <is>
          <t>PE</t>
        </is>
      </c>
      <c r="G483" t="inlineStr">
        <is>
          <t>M-1202</t>
        </is>
      </c>
      <c r="H483" t="inlineStr">
        <is>
          <t>LLDPE 필름 F120</t>
        </is>
      </c>
      <c r="I483" s="43" t="n">
        <v>45969</v>
      </c>
      <c r="J483" t="n">
        <v>202511</v>
      </c>
      <c r="K483" s="44" t="n">
        <v>3125</v>
      </c>
      <c r="L483" t="inlineStr">
        <is>
          <t>KG</t>
        </is>
      </c>
      <c r="M483" s="44" t="n">
        <v>5311688</v>
      </c>
      <c r="N483" s="44" t="n">
        <v>584286</v>
      </c>
      <c r="O483" s="44" t="n">
        <v>106234</v>
      </c>
      <c r="P483" s="44" t="n">
        <v>4621168</v>
      </c>
      <c r="Q483" t="inlineStr">
        <is>
          <t>KRW</t>
        </is>
      </c>
      <c r="R483" t="inlineStr">
        <is>
          <t>INV2511-00482</t>
        </is>
      </c>
      <c r="S483" t="inlineStr">
        <is>
          <t>※예시데이터</t>
        </is>
      </c>
    </row>
    <row r="484">
      <c r="A484" t="n">
        <v>1000</v>
      </c>
      <c r="B484" t="inlineStr">
        <is>
          <t>EP사업부</t>
        </is>
      </c>
      <c r="C484" t="inlineStr">
        <is>
          <t>국내영업2팀</t>
        </is>
      </c>
      <c r="D484" t="inlineStr">
        <is>
          <t>C10113</t>
        </is>
      </c>
      <c r="E484" t="inlineStr">
        <is>
          <t>누리오토파츠</t>
        </is>
      </c>
      <c r="F484" t="inlineStr">
        <is>
          <t>ABS</t>
        </is>
      </c>
      <c r="G484" t="inlineStr">
        <is>
          <t>M-2102</t>
        </is>
      </c>
      <c r="H484" t="inlineStr">
        <is>
          <t>ABS 내열 HR500</t>
        </is>
      </c>
      <c r="I484" s="43" t="n">
        <v>45969</v>
      </c>
      <c r="J484" t="n">
        <v>202511</v>
      </c>
      <c r="K484" s="44" t="n">
        <v>1400</v>
      </c>
      <c r="L484" t="inlineStr">
        <is>
          <t>KG</t>
        </is>
      </c>
      <c r="M484" s="44" t="n">
        <v>4146968</v>
      </c>
      <c r="N484" s="44" t="n">
        <v>290288</v>
      </c>
      <c r="O484" s="44" t="n">
        <v>41470</v>
      </c>
      <c r="P484" s="44" t="n">
        <v>3815210</v>
      </c>
      <c r="Q484" t="inlineStr">
        <is>
          <t>KRW</t>
        </is>
      </c>
      <c r="R484" t="inlineStr">
        <is>
          <t>INV2511-00483</t>
        </is>
      </c>
      <c r="S484" t="inlineStr">
        <is>
          <t>※예시데이터</t>
        </is>
      </c>
    </row>
    <row r="485">
      <c r="A485" t="n">
        <v>1000</v>
      </c>
      <c r="B485" t="inlineStr">
        <is>
          <t>범용수지사업부</t>
        </is>
      </c>
      <c r="C485" t="inlineStr">
        <is>
          <t>해외영업팀</t>
        </is>
      </c>
      <c r="D485" t="inlineStr">
        <is>
          <t>C10141</t>
        </is>
      </c>
      <c r="E485" t="inlineStr">
        <is>
          <t>Sinar Plastik (ID)</t>
        </is>
      </c>
      <c r="F485" t="inlineStr">
        <is>
          <t>PP</t>
        </is>
      </c>
      <c r="G485" t="inlineStr">
        <is>
          <t>M-1103</t>
        </is>
      </c>
      <c r="H485" t="inlineStr">
        <is>
          <t>PP 투명 R330</t>
        </is>
      </c>
      <c r="I485" s="43" t="n">
        <v>45969</v>
      </c>
      <c r="J485" t="n">
        <v>202511</v>
      </c>
      <c r="K485" s="44" t="n">
        <v>20600</v>
      </c>
      <c r="L485" t="inlineStr">
        <is>
          <t>KG</t>
        </is>
      </c>
      <c r="M485" s="44" t="n">
        <v>39724218</v>
      </c>
      <c r="N485" s="44" t="n">
        <v>4766906</v>
      </c>
      <c r="O485" t="n">
        <v>0</v>
      </c>
      <c r="P485" s="44" t="n">
        <v>34957312</v>
      </c>
      <c r="Q485" t="inlineStr">
        <is>
          <t>KRW</t>
        </is>
      </c>
      <c r="R485" t="inlineStr">
        <is>
          <t>INV2511-00484</t>
        </is>
      </c>
      <c r="S485" t="inlineStr">
        <is>
          <t>※예시데이터</t>
        </is>
      </c>
    </row>
    <row r="486">
      <c r="A486" t="n">
        <v>1000</v>
      </c>
      <c r="B486" t="inlineStr">
        <is>
          <t>범용수지사업부</t>
        </is>
      </c>
      <c r="C486" t="inlineStr">
        <is>
          <t>국내영업1팀</t>
        </is>
      </c>
      <c r="D486" t="inlineStr">
        <is>
          <t>C10001</t>
        </is>
      </c>
      <c r="E486" t="inlineStr">
        <is>
          <t>가온소재(주)</t>
        </is>
      </c>
      <c r="F486" t="inlineStr">
        <is>
          <t>PE</t>
        </is>
      </c>
      <c r="G486" t="inlineStr">
        <is>
          <t>M-1201</t>
        </is>
      </c>
      <c r="H486" t="inlineStr">
        <is>
          <t>HDPE 블로우 B500</t>
        </is>
      </c>
      <c r="I486" s="43" t="n">
        <v>45970</v>
      </c>
      <c r="J486" t="n">
        <v>202511</v>
      </c>
      <c r="K486" s="44" t="n">
        <v>3850</v>
      </c>
      <c r="L486" t="inlineStr">
        <is>
          <t>KG</t>
        </is>
      </c>
      <c r="M486" s="44" t="n">
        <v>6046502</v>
      </c>
      <c r="N486" s="44" t="n">
        <v>362790</v>
      </c>
      <c r="O486" t="n">
        <v>0</v>
      </c>
      <c r="P486" s="44" t="n">
        <v>5683712</v>
      </c>
      <c r="Q486" t="inlineStr">
        <is>
          <t>KRW</t>
        </is>
      </c>
      <c r="R486" t="inlineStr">
        <is>
          <t>INV2511-00485</t>
        </is>
      </c>
      <c r="S486" t="inlineStr">
        <is>
          <t>※예시데이터</t>
        </is>
      </c>
    </row>
    <row r="487">
      <c r="A487" t="n">
        <v>1000</v>
      </c>
      <c r="B487" t="inlineStr">
        <is>
          <t>범용수지사업부</t>
        </is>
      </c>
      <c r="C487" t="inlineStr">
        <is>
          <t>국내영업2팀</t>
        </is>
      </c>
      <c r="D487" t="inlineStr">
        <is>
          <t>C10050</t>
        </is>
      </c>
      <c r="E487" t="inlineStr">
        <is>
          <t>아름화학(주)</t>
        </is>
      </c>
      <c r="F487" t="inlineStr">
        <is>
          <t>PE</t>
        </is>
      </c>
      <c r="G487" t="inlineStr">
        <is>
          <t>M-1201</t>
        </is>
      </c>
      <c r="H487" t="inlineStr">
        <is>
          <t>HDPE 블로우 B500</t>
        </is>
      </c>
      <c r="I487" s="43" t="n">
        <v>45970</v>
      </c>
      <c r="J487" t="n">
        <v>202511</v>
      </c>
      <c r="K487" s="44" t="n">
        <v>8100</v>
      </c>
      <c r="L487" t="inlineStr">
        <is>
          <t>KG</t>
        </is>
      </c>
      <c r="M487" s="44" t="n">
        <v>12721213</v>
      </c>
      <c r="N487" s="44" t="n">
        <v>1272121</v>
      </c>
      <c r="O487" s="44" t="n">
        <v>127212</v>
      </c>
      <c r="P487" s="44" t="n">
        <v>11321880</v>
      </c>
      <c r="Q487" t="inlineStr">
        <is>
          <t>KRW</t>
        </is>
      </c>
      <c r="R487" t="inlineStr">
        <is>
          <t>INV2511-00486</t>
        </is>
      </c>
      <c r="S487" t="inlineStr">
        <is>
          <t>※예시데이터</t>
        </is>
      </c>
    </row>
    <row r="488">
      <c r="A488" t="n">
        <v>1000</v>
      </c>
      <c r="B488" t="inlineStr">
        <is>
          <t>EP사업부</t>
        </is>
      </c>
      <c r="C488" t="inlineStr">
        <is>
          <t>국내영업1팀</t>
        </is>
      </c>
      <c r="D488" t="inlineStr">
        <is>
          <t>C10057</t>
        </is>
      </c>
      <c r="E488" t="inlineStr">
        <is>
          <t>자연엠텍</t>
        </is>
      </c>
      <c r="F488" t="inlineStr">
        <is>
          <t>ABS</t>
        </is>
      </c>
      <c r="G488" t="inlineStr">
        <is>
          <t>M-2101</t>
        </is>
      </c>
      <c r="H488" t="inlineStr">
        <is>
          <t>ABS 범용 G300</t>
        </is>
      </c>
      <c r="I488" s="43" t="n">
        <v>45970</v>
      </c>
      <c r="J488" t="n">
        <v>202511</v>
      </c>
      <c r="K488" s="44" t="n">
        <v>2600</v>
      </c>
      <c r="L488" t="inlineStr">
        <is>
          <t>KG</t>
        </is>
      </c>
      <c r="M488" s="44" t="n">
        <v>6848660</v>
      </c>
      <c r="N488" s="44" t="n">
        <v>342433</v>
      </c>
      <c r="O488" t="n">
        <v>0</v>
      </c>
      <c r="P488" s="44" t="n">
        <v>6506227</v>
      </c>
      <c r="Q488" t="inlineStr">
        <is>
          <t>KRW</t>
        </is>
      </c>
      <c r="R488" t="inlineStr">
        <is>
          <t>INV2511-00487</t>
        </is>
      </c>
      <c r="S488" t="inlineStr">
        <is>
          <t>※예시데이터</t>
        </is>
      </c>
    </row>
    <row r="489">
      <c r="A489" t="n">
        <v>1000</v>
      </c>
      <c r="B489" t="inlineStr">
        <is>
          <t>EP사업부</t>
        </is>
      </c>
      <c r="C489" t="inlineStr">
        <is>
          <t>국내영업2팀</t>
        </is>
      </c>
      <c r="D489" t="inlineStr">
        <is>
          <t>C10113</t>
        </is>
      </c>
      <c r="E489" t="inlineStr">
        <is>
          <t>누리오토파츠</t>
        </is>
      </c>
      <c r="F489" t="inlineStr">
        <is>
          <t>ABS</t>
        </is>
      </c>
      <c r="G489" t="inlineStr">
        <is>
          <t>M-2102</t>
        </is>
      </c>
      <c r="H489" t="inlineStr">
        <is>
          <t>ABS 내열 HR500</t>
        </is>
      </c>
      <c r="I489" s="43" t="n">
        <v>45970</v>
      </c>
      <c r="J489" t="n">
        <v>202511</v>
      </c>
      <c r="K489" s="44" t="n">
        <v>1400</v>
      </c>
      <c r="L489" t="inlineStr">
        <is>
          <t>KG</t>
        </is>
      </c>
      <c r="M489" s="44" t="n">
        <v>4146968</v>
      </c>
      <c r="N489" s="44" t="n">
        <v>290288</v>
      </c>
      <c r="O489" s="44" t="n">
        <v>41470</v>
      </c>
      <c r="P489" s="44" t="n">
        <v>3815210</v>
      </c>
      <c r="Q489" t="inlineStr">
        <is>
          <t>KRW</t>
        </is>
      </c>
      <c r="R489" t="inlineStr">
        <is>
          <t>INV2511-00488</t>
        </is>
      </c>
      <c r="S489" t="inlineStr">
        <is>
          <t>※예시데이터</t>
        </is>
      </c>
    </row>
    <row r="490">
      <c r="A490" t="n">
        <v>1000</v>
      </c>
      <c r="B490" t="inlineStr">
        <is>
          <t>EP사업부</t>
        </is>
      </c>
      <c r="C490" t="inlineStr">
        <is>
          <t>국내영업2팀</t>
        </is>
      </c>
      <c r="D490" t="inlineStr">
        <is>
          <t>C10015</t>
        </is>
      </c>
      <c r="E490" t="inlineStr">
        <is>
          <t>다솜케미칼</t>
        </is>
      </c>
      <c r="F490" t="inlineStr">
        <is>
          <t>PC</t>
        </is>
      </c>
      <c r="G490" t="inlineStr">
        <is>
          <t>M-2202</t>
        </is>
      </c>
      <c r="H490" t="inlineStr">
        <is>
          <t>PC 난연 FR200</t>
        </is>
      </c>
      <c r="I490" s="43" t="n">
        <v>45972</v>
      </c>
      <c r="J490" t="n">
        <v>202511</v>
      </c>
      <c r="K490" s="44" t="n">
        <v>2450</v>
      </c>
      <c r="L490" t="inlineStr">
        <is>
          <t>KG</t>
        </is>
      </c>
      <c r="M490" s="44" t="n">
        <v>10593556</v>
      </c>
      <c r="N490" s="44" t="n">
        <v>529678</v>
      </c>
      <c r="O490" t="n">
        <v>0</v>
      </c>
      <c r="P490" s="44" t="n">
        <v>10063878</v>
      </c>
      <c r="Q490" t="inlineStr">
        <is>
          <t>KRW</t>
        </is>
      </c>
      <c r="R490" t="inlineStr">
        <is>
          <t>INV2511-00489</t>
        </is>
      </c>
      <c r="S490" t="inlineStr">
        <is>
          <t>※예시데이터</t>
        </is>
      </c>
    </row>
    <row r="491">
      <c r="A491" t="n">
        <v>1000</v>
      </c>
      <c r="B491" t="inlineStr">
        <is>
          <t>범용수지사업부</t>
        </is>
      </c>
      <c r="C491" t="inlineStr">
        <is>
          <t>해외영업팀</t>
        </is>
      </c>
      <c r="D491" t="inlineStr">
        <is>
          <t>C10071</t>
        </is>
      </c>
      <c r="E491" t="inlineStr">
        <is>
          <t>큰별코리아</t>
        </is>
      </c>
      <c r="F491" t="inlineStr">
        <is>
          <t>PP</t>
        </is>
      </c>
      <c r="G491" t="inlineStr">
        <is>
          <t>M-1101</t>
        </is>
      </c>
      <c r="H491" t="inlineStr">
        <is>
          <t>PP 범용사출 H110</t>
        </is>
      </c>
      <c r="I491" s="43" t="n">
        <v>45972</v>
      </c>
      <c r="J491" t="n">
        <v>202511</v>
      </c>
      <c r="K491" s="44" t="n">
        <v>3600</v>
      </c>
      <c r="L491" t="inlineStr">
        <is>
          <t>KG</t>
        </is>
      </c>
      <c r="M491" s="44" t="n">
        <v>5904360</v>
      </c>
      <c r="N491" s="44" t="n">
        <v>649480</v>
      </c>
      <c r="O491" s="44" t="n">
        <v>118087</v>
      </c>
      <c r="P491" s="44" t="n">
        <v>5136793</v>
      </c>
      <c r="Q491" t="inlineStr">
        <is>
          <t>KRW</t>
        </is>
      </c>
      <c r="R491" t="inlineStr">
        <is>
          <t>INV2511-00490</t>
        </is>
      </c>
      <c r="S491" t="inlineStr">
        <is>
          <t>※예시데이터</t>
        </is>
      </c>
    </row>
    <row r="492">
      <c r="A492" t="n">
        <v>1000</v>
      </c>
      <c r="B492" t="inlineStr">
        <is>
          <t>EP사업부</t>
        </is>
      </c>
      <c r="C492" t="inlineStr">
        <is>
          <t>국내영업2팀</t>
        </is>
      </c>
      <c r="D492" t="inlineStr">
        <is>
          <t>C10099</t>
        </is>
      </c>
      <c r="E492" t="inlineStr">
        <is>
          <t>한울몰드</t>
        </is>
      </c>
      <c r="F492" t="inlineStr">
        <is>
          <t>ABS</t>
        </is>
      </c>
      <c r="G492" t="inlineStr">
        <is>
          <t>M-2102</t>
        </is>
      </c>
      <c r="H492" t="inlineStr">
        <is>
          <t>ABS 내열 HR500</t>
        </is>
      </c>
      <c r="I492" s="43" t="n">
        <v>45974</v>
      </c>
      <c r="J492" t="n">
        <v>202511</v>
      </c>
      <c r="K492" s="44" t="n">
        <v>1425</v>
      </c>
      <c r="L492" t="inlineStr">
        <is>
          <t>KG</t>
        </is>
      </c>
      <c r="M492" s="44" t="n">
        <v>4221021</v>
      </c>
      <c r="N492" s="44" t="n">
        <v>253261</v>
      </c>
      <c r="O492" t="n">
        <v>0</v>
      </c>
      <c r="P492" s="44" t="n">
        <v>3967760</v>
      </c>
      <c r="Q492" t="inlineStr">
        <is>
          <t>KRW</t>
        </is>
      </c>
      <c r="R492" t="inlineStr">
        <is>
          <t>INV2511-00491</t>
        </is>
      </c>
      <c r="S492" t="inlineStr">
        <is>
          <t>※예시데이터</t>
        </is>
      </c>
    </row>
    <row r="493">
      <c r="A493" t="n">
        <v>1000</v>
      </c>
      <c r="B493" t="inlineStr">
        <is>
          <t>범용수지사업부</t>
        </is>
      </c>
      <c r="C493" t="inlineStr">
        <is>
          <t>국내영업2팀</t>
        </is>
      </c>
      <c r="D493" t="inlineStr">
        <is>
          <t>C10127</t>
        </is>
      </c>
      <c r="E493" t="inlineStr">
        <is>
          <t>미르패키징</t>
        </is>
      </c>
      <c r="F493" t="inlineStr">
        <is>
          <t>PP</t>
        </is>
      </c>
      <c r="G493" t="inlineStr">
        <is>
          <t>M-1101</t>
        </is>
      </c>
      <c r="H493" t="inlineStr">
        <is>
          <t>PP 범용사출 H110</t>
        </is>
      </c>
      <c r="I493" s="43" t="n">
        <v>45974</v>
      </c>
      <c r="J493" t="n">
        <v>202511</v>
      </c>
      <c r="K493" s="44" t="n">
        <v>3950</v>
      </c>
      <c r="L493" t="inlineStr">
        <is>
          <t>KG</t>
        </is>
      </c>
      <c r="M493" s="44" t="n">
        <v>6478395</v>
      </c>
      <c r="N493" s="44" t="n">
        <v>583056</v>
      </c>
      <c r="O493" t="n">
        <v>0</v>
      </c>
      <c r="P493" s="44" t="n">
        <v>5895339</v>
      </c>
      <c r="Q493" t="inlineStr">
        <is>
          <t>KRW</t>
        </is>
      </c>
      <c r="R493" t="inlineStr">
        <is>
          <t>INV2511-00492</t>
        </is>
      </c>
      <c r="S493" t="inlineStr">
        <is>
          <t>※예시데이터</t>
        </is>
      </c>
    </row>
    <row r="494">
      <c r="A494" t="n">
        <v>1000</v>
      </c>
      <c r="B494" t="inlineStr">
        <is>
          <t>범용수지사업부</t>
        </is>
      </c>
      <c r="C494" t="inlineStr">
        <is>
          <t>국내영업1팀</t>
        </is>
      </c>
      <c r="D494" t="inlineStr">
        <is>
          <t>C10001</t>
        </is>
      </c>
      <c r="E494" t="inlineStr">
        <is>
          <t>가온소재(주)</t>
        </is>
      </c>
      <c r="F494" t="inlineStr">
        <is>
          <t>PP</t>
        </is>
      </c>
      <c r="G494" t="inlineStr">
        <is>
          <t>M-1102</t>
        </is>
      </c>
      <c r="H494" t="inlineStr">
        <is>
          <t>PP 고강성 H220</t>
        </is>
      </c>
      <c r="I494" s="43" t="n">
        <v>45975</v>
      </c>
      <c r="J494" t="n">
        <v>202511</v>
      </c>
      <c r="K494" s="44" t="n">
        <v>1800</v>
      </c>
      <c r="L494" t="inlineStr">
        <is>
          <t>KG</t>
        </is>
      </c>
      <c r="M494" s="44" t="n">
        <v>3256344</v>
      </c>
      <c r="N494" s="44" t="n">
        <v>195381</v>
      </c>
      <c r="O494" t="n">
        <v>0</v>
      </c>
      <c r="P494" s="44" t="n">
        <v>3060963</v>
      </c>
      <c r="Q494" t="inlineStr">
        <is>
          <t>KRW</t>
        </is>
      </c>
      <c r="R494" t="inlineStr">
        <is>
          <t>INV2511-00493</t>
        </is>
      </c>
      <c r="S494" t="inlineStr">
        <is>
          <t>※예시데이터</t>
        </is>
      </c>
    </row>
    <row r="495">
      <c r="A495" t="n">
        <v>1000</v>
      </c>
      <c r="B495" t="inlineStr">
        <is>
          <t>EP사업부</t>
        </is>
      </c>
      <c r="C495" t="inlineStr">
        <is>
          <t>국내영업2팀</t>
        </is>
      </c>
      <c r="D495" t="inlineStr">
        <is>
          <t>C10022</t>
        </is>
      </c>
      <c r="E495" t="inlineStr">
        <is>
          <t>라온테크(주)</t>
        </is>
      </c>
      <c r="F495" t="inlineStr">
        <is>
          <t>ABS</t>
        </is>
      </c>
      <c r="G495" t="inlineStr">
        <is>
          <t>M-2102</t>
        </is>
      </c>
      <c r="H495" t="inlineStr">
        <is>
          <t>ABS 내열 HR500</t>
        </is>
      </c>
      <c r="I495" s="43" t="n">
        <v>45976</v>
      </c>
      <c r="J495" t="n">
        <v>202511</v>
      </c>
      <c r="K495" s="44" t="n">
        <v>3075</v>
      </c>
      <c r="L495" t="inlineStr">
        <is>
          <t>KG</t>
        </is>
      </c>
      <c r="M495" s="44" t="n">
        <v>9108520</v>
      </c>
      <c r="N495" s="44" t="n">
        <v>637596</v>
      </c>
      <c r="O495" t="n">
        <v>0</v>
      </c>
      <c r="P495" s="44" t="n">
        <v>8470924</v>
      </c>
      <c r="Q495" t="inlineStr">
        <is>
          <t>KRW</t>
        </is>
      </c>
      <c r="R495" t="inlineStr">
        <is>
          <t>INV2511-00494</t>
        </is>
      </c>
      <c r="S495" t="inlineStr">
        <is>
          <t>※예시데이터</t>
        </is>
      </c>
    </row>
    <row r="496">
      <c r="A496" t="n">
        <v>1000</v>
      </c>
      <c r="B496" t="inlineStr">
        <is>
          <t>범용수지사업부</t>
        </is>
      </c>
      <c r="C496" t="inlineStr">
        <is>
          <t>국내영업2팀</t>
        </is>
      </c>
      <c r="D496" t="inlineStr">
        <is>
          <t>C10050</t>
        </is>
      </c>
      <c r="E496" t="inlineStr">
        <is>
          <t>아름화학(주)</t>
        </is>
      </c>
      <c r="F496" t="inlineStr">
        <is>
          <t>PP</t>
        </is>
      </c>
      <c r="G496" t="inlineStr">
        <is>
          <t>M-1103</t>
        </is>
      </c>
      <c r="H496" t="inlineStr">
        <is>
          <t>PP 투명 R330</t>
        </is>
      </c>
      <c r="I496" s="43" t="n">
        <v>45976</v>
      </c>
      <c r="J496" t="n">
        <v>202511</v>
      </c>
      <c r="K496" s="44" t="n">
        <v>9575</v>
      </c>
      <c r="L496" t="inlineStr">
        <is>
          <t>KG</t>
        </is>
      </c>
      <c r="M496" s="44" t="n">
        <v>18464048</v>
      </c>
      <c r="N496" s="44" t="n">
        <v>1846405</v>
      </c>
      <c r="O496" s="44" t="n">
        <v>184640</v>
      </c>
      <c r="P496" s="44" t="n">
        <v>16433003</v>
      </c>
      <c r="Q496" t="inlineStr">
        <is>
          <t>KRW</t>
        </is>
      </c>
      <c r="R496" t="inlineStr">
        <is>
          <t>INV2511-00495</t>
        </is>
      </c>
      <c r="S496" t="inlineStr">
        <is>
          <t>※예시데이터</t>
        </is>
      </c>
    </row>
    <row r="497">
      <c r="A497" t="n">
        <v>1000</v>
      </c>
      <c r="B497" t="inlineStr">
        <is>
          <t>EP사업부</t>
        </is>
      </c>
      <c r="C497" t="inlineStr">
        <is>
          <t>국내영업1팀</t>
        </is>
      </c>
      <c r="D497" t="inlineStr">
        <is>
          <t>C10043</t>
        </is>
      </c>
      <c r="E497" t="inlineStr">
        <is>
          <t>새봄플라스틱</t>
        </is>
      </c>
      <c r="F497" t="inlineStr">
        <is>
          <t>ABS</t>
        </is>
      </c>
      <c r="G497" t="inlineStr">
        <is>
          <t>M-2102</t>
        </is>
      </c>
      <c r="H497" t="inlineStr">
        <is>
          <t>ABS 내열 HR500</t>
        </is>
      </c>
      <c r="I497" s="43" t="n">
        <v>45977</v>
      </c>
      <c r="J497" t="n">
        <v>202511</v>
      </c>
      <c r="K497" s="44" t="n">
        <v>1250</v>
      </c>
      <c r="L497" t="inlineStr">
        <is>
          <t>KG</t>
        </is>
      </c>
      <c r="M497" s="44" t="n">
        <v>3702650</v>
      </c>
      <c r="N497" s="44" t="n">
        <v>222159</v>
      </c>
      <c r="O497" t="n">
        <v>0</v>
      </c>
      <c r="P497" s="44" t="n">
        <v>3480491</v>
      </c>
      <c r="Q497" t="inlineStr">
        <is>
          <t>KRW</t>
        </is>
      </c>
      <c r="R497" t="inlineStr">
        <is>
          <t>INV2511-00496</t>
        </is>
      </c>
      <c r="S497" t="inlineStr">
        <is>
          <t>※예시데이터</t>
        </is>
      </c>
    </row>
    <row r="498">
      <c r="A498" t="n">
        <v>1000</v>
      </c>
      <c r="B498" t="inlineStr">
        <is>
          <t>EP사업부</t>
        </is>
      </c>
      <c r="C498" t="inlineStr">
        <is>
          <t>국내영업2팀</t>
        </is>
      </c>
      <c r="D498" t="inlineStr">
        <is>
          <t>C10099</t>
        </is>
      </c>
      <c r="E498" t="inlineStr">
        <is>
          <t>한울몰드</t>
        </is>
      </c>
      <c r="F498" t="inlineStr">
        <is>
          <t>ABS</t>
        </is>
      </c>
      <c r="G498" t="inlineStr">
        <is>
          <t>M-2102</t>
        </is>
      </c>
      <c r="H498" t="inlineStr">
        <is>
          <t>ABS 내열 HR500</t>
        </is>
      </c>
      <c r="I498" s="43" t="n">
        <v>45977</v>
      </c>
      <c r="J498" t="n">
        <v>202511</v>
      </c>
      <c r="K498" s="44" t="n">
        <v>1425</v>
      </c>
      <c r="L498" t="inlineStr">
        <is>
          <t>KG</t>
        </is>
      </c>
      <c r="M498" s="44" t="n">
        <v>4221021</v>
      </c>
      <c r="N498" s="44" t="n">
        <v>253261</v>
      </c>
      <c r="O498" t="n">
        <v>0</v>
      </c>
      <c r="P498" s="44" t="n">
        <v>3967760</v>
      </c>
      <c r="Q498" t="inlineStr">
        <is>
          <t>KRW</t>
        </is>
      </c>
      <c r="R498" t="inlineStr">
        <is>
          <t>INV2511-00497</t>
        </is>
      </c>
      <c r="S498" t="inlineStr">
        <is>
          <t>※예시데이터</t>
        </is>
      </c>
    </row>
    <row r="499">
      <c r="A499" t="n">
        <v>1000</v>
      </c>
      <c r="B499" t="inlineStr">
        <is>
          <t>범용수지사업부</t>
        </is>
      </c>
      <c r="C499" t="inlineStr">
        <is>
          <t>국내영업1팀</t>
        </is>
      </c>
      <c r="D499" t="inlineStr">
        <is>
          <t>C10008</t>
        </is>
      </c>
      <c r="E499" t="inlineStr">
        <is>
          <t>나래산업(주)</t>
        </is>
      </c>
      <c r="F499" t="inlineStr">
        <is>
          <t>PP</t>
        </is>
      </c>
      <c r="G499" t="inlineStr">
        <is>
          <t>M-1101</t>
        </is>
      </c>
      <c r="H499" t="inlineStr">
        <is>
          <t>PP 범용사출 H110</t>
        </is>
      </c>
      <c r="I499" s="43" t="n">
        <v>45978</v>
      </c>
      <c r="J499" t="n">
        <v>202511</v>
      </c>
      <c r="K499" s="44" t="n">
        <v>15050</v>
      </c>
      <c r="L499" t="inlineStr">
        <is>
          <t>KG</t>
        </is>
      </c>
      <c r="M499" s="44" t="n">
        <v>24683506</v>
      </c>
      <c r="N499" s="44" t="n">
        <v>1974680</v>
      </c>
      <c r="O499" s="44" t="n">
        <v>246835</v>
      </c>
      <c r="P499" s="44" t="n">
        <v>22461991</v>
      </c>
      <c r="Q499" t="inlineStr">
        <is>
          <t>KRW</t>
        </is>
      </c>
      <c r="R499" t="inlineStr">
        <is>
          <t>INV2511-00498</t>
        </is>
      </c>
      <c r="S499" t="inlineStr">
        <is>
          <t>※예시데이터</t>
        </is>
      </c>
    </row>
    <row r="500">
      <c r="A500" t="n">
        <v>1000</v>
      </c>
      <c r="B500" t="inlineStr">
        <is>
          <t>범용수지사업부</t>
        </is>
      </c>
      <c r="C500" t="inlineStr">
        <is>
          <t>해외영업팀</t>
        </is>
      </c>
      <c r="D500" t="inlineStr">
        <is>
          <t>C10071</t>
        </is>
      </c>
      <c r="E500" t="inlineStr">
        <is>
          <t>큰별코리아</t>
        </is>
      </c>
      <c r="F500" t="inlineStr">
        <is>
          <t>PP</t>
        </is>
      </c>
      <c r="G500" t="inlineStr">
        <is>
          <t>M-1101</t>
        </is>
      </c>
      <c r="H500" t="inlineStr">
        <is>
          <t>PP 범용사출 H110</t>
        </is>
      </c>
      <c r="I500" s="43" t="n">
        <v>45979</v>
      </c>
      <c r="J500" t="n">
        <v>202511</v>
      </c>
      <c r="K500" s="44" t="n">
        <v>3600</v>
      </c>
      <c r="L500" t="inlineStr">
        <is>
          <t>KG</t>
        </is>
      </c>
      <c r="M500" s="44" t="n">
        <v>5904360</v>
      </c>
      <c r="N500" s="44" t="n">
        <v>649480</v>
      </c>
      <c r="O500" s="44" t="n">
        <v>118087</v>
      </c>
      <c r="P500" s="44" t="n">
        <v>5136793</v>
      </c>
      <c r="Q500" t="inlineStr">
        <is>
          <t>KRW</t>
        </is>
      </c>
      <c r="R500" t="inlineStr">
        <is>
          <t>INV2511-00499</t>
        </is>
      </c>
      <c r="S500" t="inlineStr">
        <is>
          <t>※예시데이터</t>
        </is>
      </c>
    </row>
    <row r="501">
      <c r="A501" t="n">
        <v>1000</v>
      </c>
      <c r="B501" t="inlineStr">
        <is>
          <t>EP사업부</t>
        </is>
      </c>
      <c r="C501" t="inlineStr">
        <is>
          <t>국내영업1팀</t>
        </is>
      </c>
      <c r="D501" t="inlineStr">
        <is>
          <t>C10057</t>
        </is>
      </c>
      <c r="E501" t="inlineStr">
        <is>
          <t>자연엠텍</t>
        </is>
      </c>
      <c r="F501" t="inlineStr">
        <is>
          <t>PC</t>
        </is>
      </c>
      <c r="G501" t="inlineStr">
        <is>
          <t>M-2201</t>
        </is>
      </c>
      <c r="H501" t="inlineStr">
        <is>
          <t>PC 일반 C100</t>
        </is>
      </c>
      <c r="I501" s="43" t="n">
        <v>45981</v>
      </c>
      <c r="J501" t="n">
        <v>202511</v>
      </c>
      <c r="K501" s="44" t="n">
        <v>1025</v>
      </c>
      <c r="L501" t="inlineStr">
        <is>
          <t>KG</t>
        </is>
      </c>
      <c r="M501" s="44" t="n">
        <v>3973515</v>
      </c>
      <c r="N501" s="44" t="n">
        <v>198676</v>
      </c>
      <c r="O501" t="n">
        <v>0</v>
      </c>
      <c r="P501" s="44" t="n">
        <v>3774839</v>
      </c>
      <c r="Q501" t="inlineStr">
        <is>
          <t>KRW</t>
        </is>
      </c>
      <c r="R501" t="inlineStr">
        <is>
          <t>INV2511-00500</t>
        </is>
      </c>
      <c r="S501" t="inlineStr">
        <is>
          <t>※예시데이터</t>
        </is>
      </c>
    </row>
    <row r="502">
      <c r="A502" t="n">
        <v>1000</v>
      </c>
      <c r="B502" t="inlineStr">
        <is>
          <t>EP사업부</t>
        </is>
      </c>
      <c r="C502" t="inlineStr">
        <is>
          <t>국내영업1팀</t>
        </is>
      </c>
      <c r="D502" t="inlineStr">
        <is>
          <t>C10120</t>
        </is>
      </c>
      <c r="E502" t="inlineStr">
        <is>
          <t>든솔케이스</t>
        </is>
      </c>
      <c r="F502" t="inlineStr">
        <is>
          <t>ABS</t>
        </is>
      </c>
      <c r="G502" t="inlineStr">
        <is>
          <t>M-2101</t>
        </is>
      </c>
      <c r="H502" t="inlineStr">
        <is>
          <t>ABS 범용 G300</t>
        </is>
      </c>
      <c r="I502" s="43" t="n">
        <v>45981</v>
      </c>
      <c r="J502" t="n">
        <v>202511</v>
      </c>
      <c r="K502" s="44" t="n">
        <v>1325</v>
      </c>
      <c r="L502" t="inlineStr">
        <is>
          <t>KG</t>
        </is>
      </c>
      <c r="M502" s="44" t="n">
        <v>3490183</v>
      </c>
      <c r="N502" s="44" t="n">
        <v>139607</v>
      </c>
      <c r="O502" t="n">
        <v>0</v>
      </c>
      <c r="P502" s="44" t="n">
        <v>3350576</v>
      </c>
      <c r="Q502" t="inlineStr">
        <is>
          <t>KRW</t>
        </is>
      </c>
      <c r="R502" t="inlineStr">
        <is>
          <t>INV2511-00501</t>
        </is>
      </c>
      <c r="S502" t="inlineStr">
        <is>
          <t>※예시데이터</t>
        </is>
      </c>
    </row>
    <row r="503">
      <c r="A503" t="n">
        <v>1000</v>
      </c>
      <c r="B503" t="inlineStr">
        <is>
          <t>EP사업부</t>
        </is>
      </c>
      <c r="C503" t="inlineStr">
        <is>
          <t>국내영업2팀</t>
        </is>
      </c>
      <c r="D503" t="inlineStr">
        <is>
          <t>C10085</t>
        </is>
      </c>
      <c r="E503" t="inlineStr">
        <is>
          <t>파란하이텍</t>
        </is>
      </c>
      <c r="F503" t="inlineStr">
        <is>
          <t>PC</t>
        </is>
      </c>
      <c r="G503" t="inlineStr">
        <is>
          <t>M-2201</t>
        </is>
      </c>
      <c r="H503" t="inlineStr">
        <is>
          <t>PC 일반 C100</t>
        </is>
      </c>
      <c r="I503" s="43" t="n">
        <v>45982</v>
      </c>
      <c r="J503" t="n">
        <v>202511</v>
      </c>
      <c r="K503" s="44" t="n">
        <v>1475</v>
      </c>
      <c r="L503" t="inlineStr">
        <is>
          <t>KG</t>
        </is>
      </c>
      <c r="M503" s="44" t="n">
        <v>5717985</v>
      </c>
      <c r="N503" s="44" t="n">
        <v>343079</v>
      </c>
      <c r="O503" t="n">
        <v>0</v>
      </c>
      <c r="P503" s="44" t="n">
        <v>5374906</v>
      </c>
      <c r="Q503" t="inlineStr">
        <is>
          <t>KRW</t>
        </is>
      </c>
      <c r="R503" t="inlineStr">
        <is>
          <t>INV2511-00502</t>
        </is>
      </c>
      <c r="S503" t="inlineStr">
        <is>
          <t>※예시데이터</t>
        </is>
      </c>
    </row>
    <row r="504">
      <c r="A504" t="n">
        <v>1000</v>
      </c>
      <c r="B504" t="inlineStr">
        <is>
          <t>EP사업부</t>
        </is>
      </c>
      <c r="C504" t="inlineStr">
        <is>
          <t>국내영업1팀</t>
        </is>
      </c>
      <c r="D504" t="inlineStr">
        <is>
          <t>C10134</t>
        </is>
      </c>
      <c r="E504" t="inlineStr">
        <is>
          <t>별하전자(주)</t>
        </is>
      </c>
      <c r="F504" t="inlineStr">
        <is>
          <t>PC</t>
        </is>
      </c>
      <c r="G504" t="inlineStr">
        <is>
          <t>M-2201</t>
        </is>
      </c>
      <c r="H504" t="inlineStr">
        <is>
          <t>PC 일반 C100</t>
        </is>
      </c>
      <c r="I504" s="43" t="n">
        <v>45982</v>
      </c>
      <c r="J504" t="n">
        <v>202511</v>
      </c>
      <c r="K504" s="44" t="n">
        <v>1375</v>
      </c>
      <c r="L504" t="inlineStr">
        <is>
          <t>KG</t>
        </is>
      </c>
      <c r="M504" s="44" t="n">
        <v>5330325</v>
      </c>
      <c r="N504" s="44" t="n">
        <v>159910</v>
      </c>
      <c r="O504" t="n">
        <v>0</v>
      </c>
      <c r="P504" s="44" t="n">
        <v>5170415</v>
      </c>
      <c r="Q504" t="inlineStr">
        <is>
          <t>KRW</t>
        </is>
      </c>
      <c r="R504" t="inlineStr">
        <is>
          <t>INV2511-00503</t>
        </is>
      </c>
      <c r="S504" t="inlineStr">
        <is>
          <t>※예시데이터</t>
        </is>
      </c>
    </row>
    <row r="505">
      <c r="A505" t="n">
        <v>1000</v>
      </c>
      <c r="B505" t="inlineStr">
        <is>
          <t>범용수지사업부</t>
        </is>
      </c>
      <c r="C505" t="inlineStr">
        <is>
          <t>국내영업1팀</t>
        </is>
      </c>
      <c r="D505" t="inlineStr">
        <is>
          <t>C10001</t>
        </is>
      </c>
      <c r="E505" t="inlineStr">
        <is>
          <t>가온소재(주)</t>
        </is>
      </c>
      <c r="F505" t="inlineStr">
        <is>
          <t>PP</t>
        </is>
      </c>
      <c r="G505" t="inlineStr">
        <is>
          <t>M-1103</t>
        </is>
      </c>
      <c r="H505" t="inlineStr">
        <is>
          <t>PP 투명 R330</t>
        </is>
      </c>
      <c r="I505" s="43" t="n">
        <v>45983</v>
      </c>
      <c r="J505" t="n">
        <v>202511</v>
      </c>
      <c r="K505" s="44" t="n">
        <v>5675</v>
      </c>
      <c r="L505" t="inlineStr">
        <is>
          <t>KG</t>
        </is>
      </c>
      <c r="M505" s="44" t="n">
        <v>10943444</v>
      </c>
      <c r="N505" s="44" t="n">
        <v>656607</v>
      </c>
      <c r="O505" t="n">
        <v>0</v>
      </c>
      <c r="P505" s="44" t="n">
        <v>10286837</v>
      </c>
      <c r="Q505" t="inlineStr">
        <is>
          <t>KRW</t>
        </is>
      </c>
      <c r="R505" t="inlineStr">
        <is>
          <t>INV2511-00504</t>
        </is>
      </c>
      <c r="S505" t="inlineStr">
        <is>
          <t>※예시데이터</t>
        </is>
      </c>
    </row>
    <row r="506">
      <c r="A506" t="n">
        <v>1000</v>
      </c>
      <c r="B506" t="inlineStr">
        <is>
          <t>EP사업부</t>
        </is>
      </c>
      <c r="C506" t="inlineStr">
        <is>
          <t>국내영업2팀</t>
        </is>
      </c>
      <c r="D506" t="inlineStr">
        <is>
          <t>C10022</t>
        </is>
      </c>
      <c r="E506" t="inlineStr">
        <is>
          <t>라온테크(주)</t>
        </is>
      </c>
      <c r="F506" t="inlineStr">
        <is>
          <t>ABS</t>
        </is>
      </c>
      <c r="G506" t="inlineStr">
        <is>
          <t>M-2101</t>
        </is>
      </c>
      <c r="H506" t="inlineStr">
        <is>
          <t>ABS 범용 G300</t>
        </is>
      </c>
      <c r="I506" s="43" t="n">
        <v>45983</v>
      </c>
      <c r="J506" t="n">
        <v>202511</v>
      </c>
      <c r="K506" s="44" t="n">
        <v>2875</v>
      </c>
      <c r="L506" t="inlineStr">
        <is>
          <t>KG</t>
        </is>
      </c>
      <c r="M506" s="44" t="n">
        <v>7573038</v>
      </c>
      <c r="N506" s="44" t="n">
        <v>530113</v>
      </c>
      <c r="O506" t="n">
        <v>0</v>
      </c>
      <c r="P506" s="44" t="n">
        <v>7042925</v>
      </c>
      <c r="Q506" t="inlineStr">
        <is>
          <t>KRW</t>
        </is>
      </c>
      <c r="R506" t="inlineStr">
        <is>
          <t>INV2511-00505</t>
        </is>
      </c>
      <c r="S506" t="inlineStr">
        <is>
          <t>※예시데이터</t>
        </is>
      </c>
    </row>
    <row r="507">
      <c r="A507" t="n">
        <v>1000</v>
      </c>
      <c r="B507" t="inlineStr">
        <is>
          <t>EP사업부</t>
        </is>
      </c>
      <c r="C507" t="inlineStr">
        <is>
          <t>국내영업2팀</t>
        </is>
      </c>
      <c r="D507" t="inlineStr">
        <is>
          <t>C10113</t>
        </is>
      </c>
      <c r="E507" t="inlineStr">
        <is>
          <t>누리오토파츠</t>
        </is>
      </c>
      <c r="F507" t="inlineStr">
        <is>
          <t>ABS</t>
        </is>
      </c>
      <c r="G507" t="inlineStr">
        <is>
          <t>M-2101</t>
        </is>
      </c>
      <c r="H507" t="inlineStr">
        <is>
          <t>ABS 범용 G300</t>
        </is>
      </c>
      <c r="I507" s="43" t="n">
        <v>45983</v>
      </c>
      <c r="J507" t="n">
        <v>202511</v>
      </c>
      <c r="K507" s="44" t="n">
        <v>1975</v>
      </c>
      <c r="L507" t="inlineStr">
        <is>
          <t>KG</t>
        </is>
      </c>
      <c r="M507" s="44" t="n">
        <v>5202348</v>
      </c>
      <c r="N507" s="44" t="n">
        <v>364164</v>
      </c>
      <c r="O507" s="44" t="n">
        <v>52023</v>
      </c>
      <c r="P507" s="44" t="n">
        <v>4786161</v>
      </c>
      <c r="Q507" t="inlineStr">
        <is>
          <t>KRW</t>
        </is>
      </c>
      <c r="R507" t="inlineStr">
        <is>
          <t>INV2511-00506</t>
        </is>
      </c>
      <c r="S507" t="inlineStr">
        <is>
          <t>※예시데이터</t>
        </is>
      </c>
    </row>
    <row r="508">
      <c r="A508" t="n">
        <v>1000</v>
      </c>
      <c r="B508" t="inlineStr">
        <is>
          <t>EP사업부</t>
        </is>
      </c>
      <c r="C508" t="inlineStr">
        <is>
          <t>국내영업2팀</t>
        </is>
      </c>
      <c r="D508" t="inlineStr">
        <is>
          <t>C10113</t>
        </is>
      </c>
      <c r="E508" t="inlineStr">
        <is>
          <t>누리오토파츠</t>
        </is>
      </c>
      <c r="F508" t="inlineStr">
        <is>
          <t>PC</t>
        </is>
      </c>
      <c r="G508" t="inlineStr">
        <is>
          <t>M-2202</t>
        </is>
      </c>
      <c r="H508" t="inlineStr">
        <is>
          <t>PC 난연 FR200</t>
        </is>
      </c>
      <c r="I508" s="43" t="n">
        <v>45983</v>
      </c>
      <c r="J508" t="n">
        <v>202511</v>
      </c>
      <c r="K508" s="44" t="n">
        <v>2475</v>
      </c>
      <c r="L508" t="inlineStr">
        <is>
          <t>KG</t>
        </is>
      </c>
      <c r="M508" s="44" t="n">
        <v>10701653</v>
      </c>
      <c r="N508" s="44" t="n">
        <v>749116</v>
      </c>
      <c r="O508" s="44" t="n">
        <v>107017</v>
      </c>
      <c r="P508" s="44" t="n">
        <v>9845520</v>
      </c>
      <c r="Q508" t="inlineStr">
        <is>
          <t>KRW</t>
        </is>
      </c>
      <c r="R508" t="inlineStr">
        <is>
          <t>INV2511-00507</t>
        </is>
      </c>
      <c r="S508" t="inlineStr">
        <is>
          <t>※예시데이터</t>
        </is>
      </c>
    </row>
    <row r="509">
      <c r="A509" t="n">
        <v>1000</v>
      </c>
      <c r="B509" t="inlineStr">
        <is>
          <t>EP사업부</t>
        </is>
      </c>
      <c r="C509" t="inlineStr">
        <is>
          <t>국내영업2팀</t>
        </is>
      </c>
      <c r="D509" t="inlineStr">
        <is>
          <t>C10022</t>
        </is>
      </c>
      <c r="E509" t="inlineStr">
        <is>
          <t>라온테크(주)</t>
        </is>
      </c>
      <c r="F509" t="inlineStr">
        <is>
          <t>ABS</t>
        </is>
      </c>
      <c r="G509" t="inlineStr">
        <is>
          <t>M-2101</t>
        </is>
      </c>
      <c r="H509" t="inlineStr">
        <is>
          <t>ABS 범용 G300</t>
        </is>
      </c>
      <c r="I509" s="43" t="n">
        <v>45985</v>
      </c>
      <c r="J509" t="n">
        <v>202511</v>
      </c>
      <c r="K509" s="44" t="n">
        <v>2875</v>
      </c>
      <c r="L509" t="inlineStr">
        <is>
          <t>KG</t>
        </is>
      </c>
      <c r="M509" s="44" t="n">
        <v>7573038</v>
      </c>
      <c r="N509" s="44" t="n">
        <v>530113</v>
      </c>
      <c r="O509" t="n">
        <v>0</v>
      </c>
      <c r="P509" s="44" t="n">
        <v>7042925</v>
      </c>
      <c r="Q509" t="inlineStr">
        <is>
          <t>KRW</t>
        </is>
      </c>
      <c r="R509" t="inlineStr">
        <is>
          <t>INV2511-00508</t>
        </is>
      </c>
      <c r="S509" t="inlineStr">
        <is>
          <t>※예시데이터</t>
        </is>
      </c>
    </row>
    <row r="510">
      <c r="A510" t="n">
        <v>1000</v>
      </c>
      <c r="B510" t="inlineStr">
        <is>
          <t>EP사업부</t>
        </is>
      </c>
      <c r="C510" t="inlineStr">
        <is>
          <t>국내영업1팀</t>
        </is>
      </c>
      <c r="D510" t="inlineStr">
        <is>
          <t>C10057</t>
        </is>
      </c>
      <c r="E510" t="inlineStr">
        <is>
          <t>자연엠텍</t>
        </is>
      </c>
      <c r="F510" t="inlineStr">
        <is>
          <t>PC</t>
        </is>
      </c>
      <c r="G510" t="inlineStr">
        <is>
          <t>M-2201</t>
        </is>
      </c>
      <c r="H510" t="inlineStr">
        <is>
          <t>PC 일반 C100</t>
        </is>
      </c>
      <c r="I510" s="43" t="n">
        <v>45985</v>
      </c>
      <c r="J510" t="n">
        <v>202511</v>
      </c>
      <c r="K510" s="44" t="n">
        <v>1025</v>
      </c>
      <c r="L510" t="inlineStr">
        <is>
          <t>KG</t>
        </is>
      </c>
      <c r="M510" s="44" t="n">
        <v>3973515</v>
      </c>
      <c r="N510" s="44" t="n">
        <v>198676</v>
      </c>
      <c r="O510" t="n">
        <v>0</v>
      </c>
      <c r="P510" s="44" t="n">
        <v>3774839</v>
      </c>
      <c r="Q510" t="inlineStr">
        <is>
          <t>KRW</t>
        </is>
      </c>
      <c r="R510" t="inlineStr">
        <is>
          <t>INV2511-00509</t>
        </is>
      </c>
      <c r="S510" t="inlineStr">
        <is>
          <t>※예시데이터</t>
        </is>
      </c>
    </row>
    <row r="511">
      <c r="A511" t="n">
        <v>1000</v>
      </c>
      <c r="B511" t="inlineStr">
        <is>
          <t>범용수지사업부</t>
        </is>
      </c>
      <c r="C511" t="inlineStr">
        <is>
          <t>국내영업2팀</t>
        </is>
      </c>
      <c r="D511" t="inlineStr">
        <is>
          <t>C10127</t>
        </is>
      </c>
      <c r="E511" t="inlineStr">
        <is>
          <t>미르패키징</t>
        </is>
      </c>
      <c r="F511" t="inlineStr">
        <is>
          <t>PE</t>
        </is>
      </c>
      <c r="G511" t="inlineStr">
        <is>
          <t>M-1202</t>
        </is>
      </c>
      <c r="H511" t="inlineStr">
        <is>
          <t>LLDPE 필름 F120</t>
        </is>
      </c>
      <c r="I511" s="43" t="n">
        <v>45985</v>
      </c>
      <c r="J511" t="n">
        <v>202511</v>
      </c>
      <c r="K511" s="44" t="n">
        <v>1500</v>
      </c>
      <c r="L511" t="inlineStr">
        <is>
          <t>KG</t>
        </is>
      </c>
      <c r="M511" s="44" t="n">
        <v>2549610</v>
      </c>
      <c r="N511" s="44" t="n">
        <v>229465</v>
      </c>
      <c r="O511" t="n">
        <v>0</v>
      </c>
      <c r="P511" s="44" t="n">
        <v>2320145</v>
      </c>
      <c r="Q511" t="inlineStr">
        <is>
          <t>KRW</t>
        </is>
      </c>
      <c r="R511" t="inlineStr">
        <is>
          <t>INV2511-00510</t>
        </is>
      </c>
      <c r="S511" t="inlineStr">
        <is>
          <t>※예시데이터</t>
        </is>
      </c>
    </row>
    <row r="512">
      <c r="A512" t="n">
        <v>1000</v>
      </c>
      <c r="B512" t="inlineStr">
        <is>
          <t>범용수지사업부</t>
        </is>
      </c>
      <c r="C512" t="inlineStr">
        <is>
          <t>해외영업팀</t>
        </is>
      </c>
      <c r="D512" t="inlineStr">
        <is>
          <t>C10141</t>
        </is>
      </c>
      <c r="E512" t="inlineStr">
        <is>
          <t>Sinar Plastik (ID)</t>
        </is>
      </c>
      <c r="F512" t="inlineStr">
        <is>
          <t>PP</t>
        </is>
      </c>
      <c r="G512" t="inlineStr">
        <is>
          <t>M-1102</t>
        </is>
      </c>
      <c r="H512" t="inlineStr">
        <is>
          <t>PP 고강성 H220</t>
        </is>
      </c>
      <c r="I512" s="43" t="n">
        <v>45985</v>
      </c>
      <c r="J512" t="n">
        <v>202511</v>
      </c>
      <c r="K512" s="44" t="n">
        <v>11500</v>
      </c>
      <c r="L512" t="inlineStr">
        <is>
          <t>KG</t>
        </is>
      </c>
      <c r="M512" s="44" t="n">
        <v>20804421</v>
      </c>
      <c r="N512" s="44" t="n">
        <v>2496531</v>
      </c>
      <c r="O512" t="n">
        <v>0</v>
      </c>
      <c r="P512" s="44" t="n">
        <v>18307890</v>
      </c>
      <c r="Q512" t="inlineStr">
        <is>
          <t>KRW</t>
        </is>
      </c>
      <c r="R512" t="inlineStr">
        <is>
          <t>INV2511-00511</t>
        </is>
      </c>
      <c r="S512" t="inlineStr">
        <is>
          <t>※예시데이터</t>
        </is>
      </c>
    </row>
    <row r="513">
      <c r="A513" t="n">
        <v>1000</v>
      </c>
      <c r="B513" t="inlineStr">
        <is>
          <t>EP사업부</t>
        </is>
      </c>
      <c r="C513" t="inlineStr">
        <is>
          <t>국내영업2팀</t>
        </is>
      </c>
      <c r="D513" t="inlineStr">
        <is>
          <t>C10015</t>
        </is>
      </c>
      <c r="E513" t="inlineStr">
        <is>
          <t>다솜케미칼</t>
        </is>
      </c>
      <c r="F513" t="inlineStr">
        <is>
          <t>ABS</t>
        </is>
      </c>
      <c r="G513" t="inlineStr">
        <is>
          <t>M-2101</t>
        </is>
      </c>
      <c r="H513" t="inlineStr">
        <is>
          <t>ABS 범용 G300</t>
        </is>
      </c>
      <c r="I513" s="43" t="n">
        <v>45986</v>
      </c>
      <c r="J513" t="n">
        <v>202511</v>
      </c>
      <c r="K513" s="44" t="n">
        <v>2725</v>
      </c>
      <c r="L513" t="inlineStr">
        <is>
          <t>KG</t>
        </is>
      </c>
      <c r="M513" s="44" t="n">
        <v>7177923</v>
      </c>
      <c r="N513" s="44" t="n">
        <v>358896</v>
      </c>
      <c r="O513" t="n">
        <v>0</v>
      </c>
      <c r="P513" s="44" t="n">
        <v>6819027</v>
      </c>
      <c r="Q513" t="inlineStr">
        <is>
          <t>KRW</t>
        </is>
      </c>
      <c r="R513" t="inlineStr">
        <is>
          <t>INV2511-00512</t>
        </is>
      </c>
      <c r="S513" t="inlineStr">
        <is>
          <t>※예시데이터</t>
        </is>
      </c>
    </row>
    <row r="514">
      <c r="A514" t="n">
        <v>1000</v>
      </c>
      <c r="B514" t="inlineStr">
        <is>
          <t>EP사업부</t>
        </is>
      </c>
      <c r="C514" t="inlineStr">
        <is>
          <t>국내영업1팀</t>
        </is>
      </c>
      <c r="D514" t="inlineStr">
        <is>
          <t>C10078</t>
        </is>
      </c>
      <c r="E514" t="inlineStr">
        <is>
          <t>토담정공(주)</t>
        </is>
      </c>
      <c r="F514" t="inlineStr">
        <is>
          <t>ABS</t>
        </is>
      </c>
      <c r="G514" t="inlineStr">
        <is>
          <t>M-2102</t>
        </is>
      </c>
      <c r="H514" t="inlineStr">
        <is>
          <t>ABS 내열 HR500</t>
        </is>
      </c>
      <c r="I514" s="43" t="n">
        <v>45986</v>
      </c>
      <c r="J514" t="n">
        <v>202511</v>
      </c>
      <c r="K514" s="44" t="n">
        <v>4400</v>
      </c>
      <c r="L514" t="inlineStr">
        <is>
          <t>KG</t>
        </is>
      </c>
      <c r="M514" s="44" t="n">
        <v>13033329</v>
      </c>
      <c r="N514" s="44" t="n">
        <v>391000</v>
      </c>
      <c r="O514" t="n">
        <v>0</v>
      </c>
      <c r="P514" s="44" t="n">
        <v>12642329</v>
      </c>
      <c r="Q514" t="inlineStr">
        <is>
          <t>KRW</t>
        </is>
      </c>
      <c r="R514" t="inlineStr">
        <is>
          <t>INV2511-00513</t>
        </is>
      </c>
      <c r="S514" t="inlineStr">
        <is>
          <t>※예시데이터</t>
        </is>
      </c>
    </row>
    <row r="515">
      <c r="A515" t="n">
        <v>1000</v>
      </c>
      <c r="B515" t="inlineStr">
        <is>
          <t>범용수지사업부</t>
        </is>
      </c>
      <c r="C515" t="inlineStr">
        <is>
          <t>국내영업1팀</t>
        </is>
      </c>
      <c r="D515" t="inlineStr">
        <is>
          <t>C10092</t>
        </is>
      </c>
      <c r="E515" t="inlineStr">
        <is>
          <t>하늘포장(주)</t>
        </is>
      </c>
      <c r="F515" t="inlineStr">
        <is>
          <t>PE</t>
        </is>
      </c>
      <c r="G515" t="inlineStr">
        <is>
          <t>M-1201</t>
        </is>
      </c>
      <c r="H515" t="inlineStr">
        <is>
          <t>HDPE 블로우 B500</t>
        </is>
      </c>
      <c r="I515" s="43" t="n">
        <v>45986</v>
      </c>
      <c r="J515" t="n">
        <v>202511</v>
      </c>
      <c r="K515" s="44" t="n">
        <v>21700</v>
      </c>
      <c r="L515" t="inlineStr">
        <is>
          <t>KG</t>
        </is>
      </c>
      <c r="M515" s="44" t="n">
        <v>34080286</v>
      </c>
      <c r="N515" s="44" t="n">
        <v>2726423</v>
      </c>
      <c r="O515" t="n">
        <v>0</v>
      </c>
      <c r="P515" s="44" t="n">
        <v>31353863</v>
      </c>
      <c r="Q515" t="inlineStr">
        <is>
          <t>KRW</t>
        </is>
      </c>
      <c r="R515" t="inlineStr">
        <is>
          <t>INV2511-00514</t>
        </is>
      </c>
      <c r="S515" t="inlineStr">
        <is>
          <t>※예시데이터</t>
        </is>
      </c>
    </row>
    <row r="516">
      <c r="A516" t="n">
        <v>1000</v>
      </c>
      <c r="B516" t="inlineStr">
        <is>
          <t>EP사업부</t>
        </is>
      </c>
      <c r="C516" t="inlineStr">
        <is>
          <t>국내영업2팀</t>
        </is>
      </c>
      <c r="D516" t="inlineStr">
        <is>
          <t>C10085</t>
        </is>
      </c>
      <c r="E516" t="inlineStr">
        <is>
          <t>파란하이텍</t>
        </is>
      </c>
      <c r="F516" t="inlineStr">
        <is>
          <t>PC</t>
        </is>
      </c>
      <c r="G516" t="inlineStr">
        <is>
          <t>M-2202</t>
        </is>
      </c>
      <c r="H516" t="inlineStr">
        <is>
          <t>PC 난연 FR200</t>
        </is>
      </c>
      <c r="I516" s="43" t="n">
        <v>45988</v>
      </c>
      <c r="J516" t="n">
        <v>202511</v>
      </c>
      <c r="K516" s="44" t="n">
        <v>2900</v>
      </c>
      <c r="L516" t="inlineStr">
        <is>
          <t>KG</t>
        </is>
      </c>
      <c r="M516" s="44" t="n">
        <v>12539311</v>
      </c>
      <c r="N516" s="44" t="n">
        <v>752359</v>
      </c>
      <c r="O516" t="n">
        <v>0</v>
      </c>
      <c r="P516" s="44" t="n">
        <v>11786952</v>
      </c>
      <c r="Q516" t="inlineStr">
        <is>
          <t>KRW</t>
        </is>
      </c>
      <c r="R516" t="inlineStr">
        <is>
          <t>INV2511-00515</t>
        </is>
      </c>
      <c r="S516" t="inlineStr">
        <is>
          <t>※예시데이터</t>
        </is>
      </c>
    </row>
    <row r="517">
      <c r="A517" t="n">
        <v>1000</v>
      </c>
      <c r="B517" t="inlineStr">
        <is>
          <t>범용수지사업부</t>
        </is>
      </c>
      <c r="C517" t="inlineStr">
        <is>
          <t>국내영업1팀</t>
        </is>
      </c>
      <c r="D517" t="inlineStr">
        <is>
          <t>C10001</t>
        </is>
      </c>
      <c r="E517" t="inlineStr">
        <is>
          <t>가온소재(주)</t>
        </is>
      </c>
      <c r="F517" t="inlineStr">
        <is>
          <t>PE</t>
        </is>
      </c>
      <c r="G517" t="inlineStr">
        <is>
          <t>M-1202</t>
        </is>
      </c>
      <c r="H517" t="inlineStr">
        <is>
          <t>LLDPE 필름 F120</t>
        </is>
      </c>
      <c r="I517" s="43" t="n">
        <v>45989</v>
      </c>
      <c r="J517" t="n">
        <v>202511</v>
      </c>
      <c r="K517" s="44" t="n">
        <v>2125</v>
      </c>
      <c r="L517" t="inlineStr">
        <is>
          <t>KG</t>
        </is>
      </c>
      <c r="M517" s="44" t="n">
        <v>3611948</v>
      </c>
      <c r="N517" s="44" t="n">
        <v>216717</v>
      </c>
      <c r="O517" t="n">
        <v>0</v>
      </c>
      <c r="P517" s="44" t="n">
        <v>3395231</v>
      </c>
      <c r="Q517" t="inlineStr">
        <is>
          <t>KRW</t>
        </is>
      </c>
      <c r="R517" t="inlineStr">
        <is>
          <t>INV2511-00516</t>
        </is>
      </c>
      <c r="S517" t="inlineStr">
        <is>
          <t>※예시데이터</t>
        </is>
      </c>
    </row>
    <row r="518">
      <c r="A518" t="n">
        <v>1000</v>
      </c>
      <c r="B518" t="inlineStr">
        <is>
          <t>범용수지사업부</t>
        </is>
      </c>
      <c r="C518" t="inlineStr">
        <is>
          <t>해외영업팀</t>
        </is>
      </c>
      <c r="D518" t="inlineStr">
        <is>
          <t>C10071</t>
        </is>
      </c>
      <c r="E518" t="inlineStr">
        <is>
          <t>큰별코리아</t>
        </is>
      </c>
      <c r="F518" t="inlineStr">
        <is>
          <t>PE</t>
        </is>
      </c>
      <c r="G518" t="inlineStr">
        <is>
          <t>M-1201</t>
        </is>
      </c>
      <c r="H518" t="inlineStr">
        <is>
          <t>HDPE 블로우 B500</t>
        </is>
      </c>
      <c r="I518" s="43" t="n">
        <v>45989</v>
      </c>
      <c r="J518" t="n">
        <v>202511</v>
      </c>
      <c r="K518" s="44" t="n">
        <v>7150</v>
      </c>
      <c r="L518" t="inlineStr">
        <is>
          <t>KG</t>
        </is>
      </c>
      <c r="M518" s="44" t="n">
        <v>11229219</v>
      </c>
      <c r="N518" s="44" t="n">
        <v>1235214</v>
      </c>
      <c r="O518" s="44" t="n">
        <v>224584</v>
      </c>
      <c r="P518" s="44" t="n">
        <v>9769421</v>
      </c>
      <c r="Q518" t="inlineStr">
        <is>
          <t>KRW</t>
        </is>
      </c>
      <c r="R518" t="inlineStr">
        <is>
          <t>INV2511-00517</t>
        </is>
      </c>
      <c r="S518" t="inlineStr">
        <is>
          <t>※예시데이터</t>
        </is>
      </c>
    </row>
    <row r="519">
      <c r="A519" t="n">
        <v>1000</v>
      </c>
      <c r="B519" t="inlineStr">
        <is>
          <t>범용수지사업부</t>
        </is>
      </c>
      <c r="C519" t="inlineStr">
        <is>
          <t>국내영업2팀</t>
        </is>
      </c>
      <c r="D519" t="inlineStr">
        <is>
          <t>C10127</t>
        </is>
      </c>
      <c r="E519" t="inlineStr">
        <is>
          <t>미르패키징</t>
        </is>
      </c>
      <c r="F519" t="inlineStr">
        <is>
          <t>PE</t>
        </is>
      </c>
      <c r="G519" t="inlineStr">
        <is>
          <t>M-1201</t>
        </is>
      </c>
      <c r="H519" t="inlineStr">
        <is>
          <t>HDPE 블로우 B500</t>
        </is>
      </c>
      <c r="I519" s="43" t="n">
        <v>45989</v>
      </c>
      <c r="J519" t="n">
        <v>202511</v>
      </c>
      <c r="K519" s="44" t="n">
        <v>3850</v>
      </c>
      <c r="L519" t="inlineStr">
        <is>
          <t>KG</t>
        </is>
      </c>
      <c r="M519" s="44" t="n">
        <v>6046502</v>
      </c>
      <c r="N519" s="44" t="n">
        <v>544185</v>
      </c>
      <c r="O519" t="n">
        <v>0</v>
      </c>
      <c r="P519" s="44" t="n">
        <v>5502317</v>
      </c>
      <c r="Q519" t="inlineStr">
        <is>
          <t>KRW</t>
        </is>
      </c>
      <c r="R519" t="inlineStr">
        <is>
          <t>INV2511-00518</t>
        </is>
      </c>
      <c r="S519" t="inlineStr">
        <is>
          <t>※예시데이터</t>
        </is>
      </c>
    </row>
    <row r="520">
      <c r="A520" t="n">
        <v>1000</v>
      </c>
      <c r="B520" t="inlineStr">
        <is>
          <t>범용수지사업부</t>
        </is>
      </c>
      <c r="C520" t="inlineStr">
        <is>
          <t>국내영업1팀</t>
        </is>
      </c>
      <c r="D520" t="inlineStr">
        <is>
          <t>C10001</t>
        </is>
      </c>
      <c r="E520" t="inlineStr">
        <is>
          <t>가온소재(주)</t>
        </is>
      </c>
      <c r="F520" t="inlineStr">
        <is>
          <t>PE</t>
        </is>
      </c>
      <c r="G520" t="inlineStr">
        <is>
          <t>M-1202</t>
        </is>
      </c>
      <c r="H520" t="inlineStr">
        <is>
          <t>LLDPE 필름 F120</t>
        </is>
      </c>
      <c r="I520" s="43" t="n">
        <v>45992</v>
      </c>
      <c r="J520" t="n">
        <v>202512</v>
      </c>
      <c r="K520" s="44" t="n">
        <v>6800</v>
      </c>
      <c r="L520" t="inlineStr">
        <is>
          <t>KG</t>
        </is>
      </c>
      <c r="M520" s="44" t="n">
        <v>11590564</v>
      </c>
      <c r="N520" s="44" t="n">
        <v>695434</v>
      </c>
      <c r="O520" t="n">
        <v>0</v>
      </c>
      <c r="P520" s="44" t="n">
        <v>10895130</v>
      </c>
      <c r="Q520" t="inlineStr">
        <is>
          <t>KRW</t>
        </is>
      </c>
      <c r="R520" t="inlineStr">
        <is>
          <t>INV2512-00519</t>
        </is>
      </c>
      <c r="S520" t="inlineStr">
        <is>
          <t>※예시데이터</t>
        </is>
      </c>
    </row>
    <row r="521">
      <c r="A521" t="n">
        <v>1000</v>
      </c>
      <c r="B521" t="inlineStr">
        <is>
          <t>EP사업부</t>
        </is>
      </c>
      <c r="C521" t="inlineStr">
        <is>
          <t>국내영업1팀</t>
        </is>
      </c>
      <c r="D521" t="inlineStr">
        <is>
          <t>C10134</t>
        </is>
      </c>
      <c r="E521" t="inlineStr">
        <is>
          <t>별하전자(주)</t>
        </is>
      </c>
      <c r="F521" t="inlineStr">
        <is>
          <t>PC</t>
        </is>
      </c>
      <c r="G521" t="inlineStr">
        <is>
          <t>M-2202</t>
        </is>
      </c>
      <c r="H521" t="inlineStr">
        <is>
          <t>PC 난연 FR200</t>
        </is>
      </c>
      <c r="I521" s="43" t="n">
        <v>45992</v>
      </c>
      <c r="J521" t="n">
        <v>202512</v>
      </c>
      <c r="K521" t="n">
        <v>775</v>
      </c>
      <c r="L521" t="inlineStr">
        <is>
          <t>KG</t>
        </is>
      </c>
      <c r="M521" s="44" t="n">
        <v>3360396</v>
      </c>
      <c r="N521" s="44" t="n">
        <v>100812</v>
      </c>
      <c r="O521" t="n">
        <v>0</v>
      </c>
      <c r="P521" s="44" t="n">
        <v>3259584</v>
      </c>
      <c r="Q521" t="inlineStr">
        <is>
          <t>KRW</t>
        </is>
      </c>
      <c r="R521" t="inlineStr">
        <is>
          <t>INV2512-00520</t>
        </is>
      </c>
      <c r="S521" t="inlineStr">
        <is>
          <t>※예시데이터</t>
        </is>
      </c>
    </row>
    <row r="522">
      <c r="A522" t="n">
        <v>1000</v>
      </c>
      <c r="B522" t="inlineStr">
        <is>
          <t>EP사업부</t>
        </is>
      </c>
      <c r="C522" t="inlineStr">
        <is>
          <t>국내영업1팀</t>
        </is>
      </c>
      <c r="D522" t="inlineStr">
        <is>
          <t>C10134</t>
        </is>
      </c>
      <c r="E522" t="inlineStr">
        <is>
          <t>별하전자(주)</t>
        </is>
      </c>
      <c r="F522" t="inlineStr">
        <is>
          <t>PC</t>
        </is>
      </c>
      <c r="G522" t="inlineStr">
        <is>
          <t>M-2201</t>
        </is>
      </c>
      <c r="H522" t="inlineStr">
        <is>
          <t>PC 일반 C100</t>
        </is>
      </c>
      <c r="I522" s="43" t="n">
        <v>45993</v>
      </c>
      <c r="J522" t="n">
        <v>202512</v>
      </c>
      <c r="K522" s="44" t="n">
        <v>1300</v>
      </c>
      <c r="L522" t="inlineStr">
        <is>
          <t>KG</t>
        </is>
      </c>
      <c r="M522" s="44" t="n">
        <v>5053677</v>
      </c>
      <c r="N522" s="44" t="n">
        <v>151610</v>
      </c>
      <c r="O522" t="n">
        <v>0</v>
      </c>
      <c r="P522" s="44" t="n">
        <v>4902067</v>
      </c>
      <c r="Q522" t="inlineStr">
        <is>
          <t>KRW</t>
        </is>
      </c>
      <c r="R522" t="inlineStr">
        <is>
          <t>INV2512-00521</t>
        </is>
      </c>
      <c r="S522" t="inlineStr">
        <is>
          <t>※예시데이터</t>
        </is>
      </c>
    </row>
    <row r="523">
      <c r="A523" t="n">
        <v>1000</v>
      </c>
      <c r="B523" t="inlineStr">
        <is>
          <t>범용수지사업부</t>
        </is>
      </c>
      <c r="C523" t="inlineStr">
        <is>
          <t>국내영업2팀</t>
        </is>
      </c>
      <c r="D523" t="inlineStr">
        <is>
          <t>C10127</t>
        </is>
      </c>
      <c r="E523" t="inlineStr">
        <is>
          <t>미르패키징</t>
        </is>
      </c>
      <c r="F523" t="inlineStr">
        <is>
          <t>PE</t>
        </is>
      </c>
      <c r="G523" t="inlineStr">
        <is>
          <t>M-1201</t>
        </is>
      </c>
      <c r="H523" t="inlineStr">
        <is>
          <t>HDPE 블로우 B500</t>
        </is>
      </c>
      <c r="I523" s="43" t="n">
        <v>45994</v>
      </c>
      <c r="J523" t="n">
        <v>202512</v>
      </c>
      <c r="K523" t="n">
        <v>-500</v>
      </c>
      <c r="L523" t="inlineStr">
        <is>
          <t>KG</t>
        </is>
      </c>
      <c r="M523" s="44" t="n">
        <v>-785260</v>
      </c>
      <c r="N523" s="44" t="n">
        <v>-70673</v>
      </c>
      <c r="O523" t="n">
        <v>0</v>
      </c>
      <c r="P523" s="44" t="n">
        <v>-714587</v>
      </c>
      <c r="Q523" t="inlineStr">
        <is>
          <t>KRW</t>
        </is>
      </c>
      <c r="R523" t="inlineStr">
        <is>
          <t>INV2512-00522</t>
        </is>
      </c>
      <c r="S523" t="inlineStr">
        <is>
          <t>※예시데이터</t>
        </is>
      </c>
    </row>
    <row r="524">
      <c r="A524" t="n">
        <v>1000</v>
      </c>
      <c r="B524" t="inlineStr">
        <is>
          <t>범용수지사업부</t>
        </is>
      </c>
      <c r="C524" t="inlineStr">
        <is>
          <t>국내영업1팀</t>
        </is>
      </c>
      <c r="D524" t="inlineStr">
        <is>
          <t>C10008</t>
        </is>
      </c>
      <c r="E524" t="inlineStr">
        <is>
          <t>나래산업(주)</t>
        </is>
      </c>
      <c r="F524" t="inlineStr">
        <is>
          <t>PP</t>
        </is>
      </c>
      <c r="G524" t="inlineStr">
        <is>
          <t>M-1101</t>
        </is>
      </c>
      <c r="H524" t="inlineStr">
        <is>
          <t>PP 범용사출 H110</t>
        </is>
      </c>
      <c r="I524" s="43" t="n">
        <v>45996</v>
      </c>
      <c r="J524" t="n">
        <v>202512</v>
      </c>
      <c r="K524" s="44" t="n">
        <v>15025</v>
      </c>
      <c r="L524" t="inlineStr">
        <is>
          <t>KG</t>
        </is>
      </c>
      <c r="M524" s="44" t="n">
        <v>24711436</v>
      </c>
      <c r="N524" s="44" t="n">
        <v>1976915</v>
      </c>
      <c r="O524" s="44" t="n">
        <v>247114</v>
      </c>
      <c r="P524" s="44" t="n">
        <v>22487407</v>
      </c>
      <c r="Q524" t="inlineStr">
        <is>
          <t>KRW</t>
        </is>
      </c>
      <c r="R524" t="inlineStr">
        <is>
          <t>INV2512-00523</t>
        </is>
      </c>
      <c r="S524" t="inlineStr">
        <is>
          <t>※예시데이터</t>
        </is>
      </c>
    </row>
    <row r="525">
      <c r="A525" t="n">
        <v>1000</v>
      </c>
      <c r="B525" t="inlineStr">
        <is>
          <t>EP사업부</t>
        </is>
      </c>
      <c r="C525" t="inlineStr">
        <is>
          <t>국내영업1팀</t>
        </is>
      </c>
      <c r="D525" t="inlineStr">
        <is>
          <t>C10043</t>
        </is>
      </c>
      <c r="E525" t="inlineStr">
        <is>
          <t>새봄플라스틱</t>
        </is>
      </c>
      <c r="F525" t="inlineStr">
        <is>
          <t>ABS</t>
        </is>
      </c>
      <c r="G525" t="inlineStr">
        <is>
          <t>M-2101</t>
        </is>
      </c>
      <c r="H525" t="inlineStr">
        <is>
          <t>ABS 범용 G300</t>
        </is>
      </c>
      <c r="I525" s="43" t="n">
        <v>45996</v>
      </c>
      <c r="J525" t="n">
        <v>202512</v>
      </c>
      <c r="K525" s="44" t="n">
        <v>4225</v>
      </c>
      <c r="L525" t="inlineStr">
        <is>
          <t>KG</t>
        </is>
      </c>
      <c r="M525" s="44" t="n">
        <v>11160204</v>
      </c>
      <c r="N525" s="44" t="n">
        <v>669612</v>
      </c>
      <c r="O525" t="n">
        <v>0</v>
      </c>
      <c r="P525" s="44" t="n">
        <v>10490592</v>
      </c>
      <c r="Q525" t="inlineStr">
        <is>
          <t>KRW</t>
        </is>
      </c>
      <c r="R525" t="inlineStr">
        <is>
          <t>INV2512-00524</t>
        </is>
      </c>
      <c r="S525" t="inlineStr">
        <is>
          <t>※예시데이터</t>
        </is>
      </c>
    </row>
    <row r="526">
      <c r="A526" t="n">
        <v>1000</v>
      </c>
      <c r="B526" t="inlineStr">
        <is>
          <t>EP사업부</t>
        </is>
      </c>
      <c r="C526" t="inlineStr">
        <is>
          <t>국내영업2팀</t>
        </is>
      </c>
      <c r="D526" t="inlineStr">
        <is>
          <t>C10085</t>
        </is>
      </c>
      <c r="E526" t="inlineStr">
        <is>
          <t>파란하이텍</t>
        </is>
      </c>
      <c r="F526" t="inlineStr">
        <is>
          <t>PC</t>
        </is>
      </c>
      <c r="G526" t="inlineStr">
        <is>
          <t>M-2202</t>
        </is>
      </c>
      <c r="H526" t="inlineStr">
        <is>
          <t>PC 난연 FR200</t>
        </is>
      </c>
      <c r="I526" s="43" t="n">
        <v>45996</v>
      </c>
      <c r="J526" t="n">
        <v>202512</v>
      </c>
      <c r="K526" s="44" t="n">
        <v>1825</v>
      </c>
      <c r="L526" t="inlineStr">
        <is>
          <t>KG</t>
        </is>
      </c>
      <c r="M526" s="44" t="n">
        <v>7913192</v>
      </c>
      <c r="N526" s="44" t="n">
        <v>474792</v>
      </c>
      <c r="O526" t="n">
        <v>0</v>
      </c>
      <c r="P526" s="44" t="n">
        <v>7438400</v>
      </c>
      <c r="Q526" t="inlineStr">
        <is>
          <t>KRW</t>
        </is>
      </c>
      <c r="R526" t="inlineStr">
        <is>
          <t>INV2512-00525</t>
        </is>
      </c>
      <c r="S526" t="inlineStr">
        <is>
          <t>※예시데이터</t>
        </is>
      </c>
    </row>
    <row r="527">
      <c r="A527" t="n">
        <v>1000</v>
      </c>
      <c r="B527" t="inlineStr">
        <is>
          <t>EP사업부</t>
        </is>
      </c>
      <c r="C527" t="inlineStr">
        <is>
          <t>국내영업2팀</t>
        </is>
      </c>
      <c r="D527" t="inlineStr">
        <is>
          <t>C10022</t>
        </is>
      </c>
      <c r="E527" t="inlineStr">
        <is>
          <t>라온테크(주)</t>
        </is>
      </c>
      <c r="F527" t="inlineStr">
        <is>
          <t>ABS</t>
        </is>
      </c>
      <c r="G527" t="inlineStr">
        <is>
          <t>M-2102</t>
        </is>
      </c>
      <c r="H527" t="inlineStr">
        <is>
          <t>ABS 내열 HR500</t>
        </is>
      </c>
      <c r="I527" s="43" t="n">
        <v>45997</v>
      </c>
      <c r="J527" t="n">
        <v>202512</v>
      </c>
      <c r="K527" s="44" t="n">
        <v>2950</v>
      </c>
      <c r="L527" t="inlineStr">
        <is>
          <t>KG</t>
        </is>
      </c>
      <c r="M527" s="44" t="n">
        <v>8762698</v>
      </c>
      <c r="N527" s="44" t="n">
        <v>613389</v>
      </c>
      <c r="O527" t="n">
        <v>0</v>
      </c>
      <c r="P527" s="44" t="n">
        <v>8149309</v>
      </c>
      <c r="Q527" t="inlineStr">
        <is>
          <t>KRW</t>
        </is>
      </c>
      <c r="R527" t="inlineStr">
        <is>
          <t>INV2512-00526</t>
        </is>
      </c>
      <c r="S527" t="inlineStr">
        <is>
          <t>※예시데이터</t>
        </is>
      </c>
    </row>
    <row r="528">
      <c r="A528" t="n">
        <v>1000</v>
      </c>
      <c r="B528" t="inlineStr">
        <is>
          <t>범용수지사업부</t>
        </is>
      </c>
      <c r="C528" t="inlineStr">
        <is>
          <t>국내영업1팀</t>
        </is>
      </c>
      <c r="D528" t="inlineStr">
        <is>
          <t>C10106</t>
        </is>
      </c>
      <c r="E528" t="inlineStr">
        <is>
          <t>온새미사출</t>
        </is>
      </c>
      <c r="F528" t="inlineStr">
        <is>
          <t>PP</t>
        </is>
      </c>
      <c r="G528" t="inlineStr">
        <is>
          <t>M-1101</t>
        </is>
      </c>
      <c r="H528" t="inlineStr">
        <is>
          <t>PP 범용사출 H110</t>
        </is>
      </c>
      <c r="I528" s="43" t="n">
        <v>45997</v>
      </c>
      <c r="J528" t="n">
        <v>202512</v>
      </c>
      <c r="K528" s="44" t="n">
        <v>3025</v>
      </c>
      <c r="L528" t="inlineStr">
        <is>
          <t>KG</t>
        </is>
      </c>
      <c r="M528" s="44" t="n">
        <v>4975181</v>
      </c>
      <c r="N528" s="44" t="n">
        <v>248759</v>
      </c>
      <c r="O528" t="n">
        <v>0</v>
      </c>
      <c r="P528" s="44" t="n">
        <v>4726422</v>
      </c>
      <c r="Q528" t="inlineStr">
        <is>
          <t>KRW</t>
        </is>
      </c>
      <c r="R528" t="inlineStr">
        <is>
          <t>INV2512-00527</t>
        </is>
      </c>
      <c r="S528" t="inlineStr">
        <is>
          <t>※예시데이터</t>
        </is>
      </c>
    </row>
    <row r="529">
      <c r="A529" t="n">
        <v>1000</v>
      </c>
      <c r="B529" t="inlineStr">
        <is>
          <t>범용수지사업부</t>
        </is>
      </c>
      <c r="C529" t="inlineStr">
        <is>
          <t>국내영업1팀</t>
        </is>
      </c>
      <c r="D529" t="inlineStr">
        <is>
          <t>C10106</t>
        </is>
      </c>
      <c r="E529" t="inlineStr">
        <is>
          <t>온새미사출</t>
        </is>
      </c>
      <c r="F529" t="inlineStr">
        <is>
          <t>PP</t>
        </is>
      </c>
      <c r="G529" t="inlineStr">
        <is>
          <t>M-1101</t>
        </is>
      </c>
      <c r="H529" t="inlineStr">
        <is>
          <t>PP 범용사출 H110</t>
        </is>
      </c>
      <c r="I529" s="43" t="n">
        <v>45998</v>
      </c>
      <c r="J529" t="n">
        <v>202512</v>
      </c>
      <c r="K529" s="44" t="n">
        <v>3025</v>
      </c>
      <c r="L529" t="inlineStr">
        <is>
          <t>KG</t>
        </is>
      </c>
      <c r="M529" s="44" t="n">
        <v>4975181</v>
      </c>
      <c r="N529" s="44" t="n">
        <v>248759</v>
      </c>
      <c r="O529" t="n">
        <v>0</v>
      </c>
      <c r="P529" s="44" t="n">
        <v>4726422</v>
      </c>
      <c r="Q529" t="inlineStr">
        <is>
          <t>KRW</t>
        </is>
      </c>
      <c r="R529" t="inlineStr">
        <is>
          <t>INV2512-00528</t>
        </is>
      </c>
      <c r="S529" t="inlineStr">
        <is>
          <t>※예시데이터</t>
        </is>
      </c>
    </row>
    <row r="530">
      <c r="A530" t="n">
        <v>1000</v>
      </c>
      <c r="B530" t="inlineStr">
        <is>
          <t>EP사업부</t>
        </is>
      </c>
      <c r="C530" t="inlineStr">
        <is>
          <t>국내영업2팀</t>
        </is>
      </c>
      <c r="D530" t="inlineStr">
        <is>
          <t>C10015</t>
        </is>
      </c>
      <c r="E530" t="inlineStr">
        <is>
          <t>다솜케미칼</t>
        </is>
      </c>
      <c r="F530" t="inlineStr">
        <is>
          <t>PC</t>
        </is>
      </c>
      <c r="G530" t="inlineStr">
        <is>
          <t>M-2202</t>
        </is>
      </c>
      <c r="H530" t="inlineStr">
        <is>
          <t>PC 난연 FR200</t>
        </is>
      </c>
      <c r="I530" s="43" t="n">
        <v>45999</v>
      </c>
      <c r="J530" t="n">
        <v>202512</v>
      </c>
      <c r="K530" s="44" t="n">
        <v>1275</v>
      </c>
      <c r="L530" t="inlineStr">
        <is>
          <t>KG</t>
        </is>
      </c>
      <c r="M530" s="44" t="n">
        <v>5528394</v>
      </c>
      <c r="N530" s="44" t="n">
        <v>276420</v>
      </c>
      <c r="O530" t="n">
        <v>0</v>
      </c>
      <c r="P530" s="44" t="n">
        <v>5251974</v>
      </c>
      <c r="Q530" t="inlineStr">
        <is>
          <t>KRW</t>
        </is>
      </c>
      <c r="R530" t="inlineStr">
        <is>
          <t>INV2512-00529</t>
        </is>
      </c>
      <c r="S530" t="inlineStr">
        <is>
          <t>※예시데이터</t>
        </is>
      </c>
    </row>
    <row r="531">
      <c r="A531" t="n">
        <v>1000</v>
      </c>
      <c r="B531" t="inlineStr">
        <is>
          <t>범용수지사업부</t>
        </is>
      </c>
      <c r="C531" t="inlineStr">
        <is>
          <t>국내영업2팀</t>
        </is>
      </c>
      <c r="D531" t="inlineStr">
        <is>
          <t>C10127</t>
        </is>
      </c>
      <c r="E531" t="inlineStr">
        <is>
          <t>미르패키징</t>
        </is>
      </c>
      <c r="F531" t="inlineStr">
        <is>
          <t>PP</t>
        </is>
      </c>
      <c r="G531" t="inlineStr">
        <is>
          <t>M-1101</t>
        </is>
      </c>
      <c r="H531" t="inlineStr">
        <is>
          <t>PP 범용사출 H110</t>
        </is>
      </c>
      <c r="I531" s="43" t="n">
        <v>45999</v>
      </c>
      <c r="J531" t="n">
        <v>202512</v>
      </c>
      <c r="K531" s="44" t="n">
        <v>3900</v>
      </c>
      <c r="L531" t="inlineStr">
        <is>
          <t>KG</t>
        </is>
      </c>
      <c r="M531" s="44" t="n">
        <v>6414283</v>
      </c>
      <c r="N531" s="44" t="n">
        <v>577285</v>
      </c>
      <c r="O531" t="n">
        <v>0</v>
      </c>
      <c r="P531" s="44" t="n">
        <v>5836998</v>
      </c>
      <c r="Q531" t="inlineStr">
        <is>
          <t>KRW</t>
        </is>
      </c>
      <c r="R531" t="inlineStr">
        <is>
          <t>INV2512-00530</t>
        </is>
      </c>
      <c r="S531" t="inlineStr">
        <is>
          <t>※예시데이터</t>
        </is>
      </c>
    </row>
    <row r="532">
      <c r="A532" t="n">
        <v>1000</v>
      </c>
      <c r="B532" t="inlineStr">
        <is>
          <t>범용수지사업부</t>
        </is>
      </c>
      <c r="C532" t="inlineStr">
        <is>
          <t>국내영업2팀</t>
        </is>
      </c>
      <c r="D532" t="inlineStr">
        <is>
          <t>C10127</t>
        </is>
      </c>
      <c r="E532" t="inlineStr">
        <is>
          <t>미르패키징</t>
        </is>
      </c>
      <c r="F532" t="inlineStr">
        <is>
          <t>PE</t>
        </is>
      </c>
      <c r="G532" t="inlineStr">
        <is>
          <t>M-1202</t>
        </is>
      </c>
      <c r="H532" t="inlineStr">
        <is>
          <t>LLDPE 필름 F120</t>
        </is>
      </c>
      <c r="I532" s="43" t="n">
        <v>45999</v>
      </c>
      <c r="J532" t="n">
        <v>202512</v>
      </c>
      <c r="K532" s="44" t="n">
        <v>6475</v>
      </c>
      <c r="L532" t="inlineStr">
        <is>
          <t>KG</t>
        </is>
      </c>
      <c r="M532" s="44" t="n">
        <v>11036604</v>
      </c>
      <c r="N532" s="44" t="n">
        <v>993294</v>
      </c>
      <c r="O532" t="n">
        <v>0</v>
      </c>
      <c r="P532" s="44" t="n">
        <v>10043310</v>
      </c>
      <c r="Q532" t="inlineStr">
        <is>
          <t>KRW</t>
        </is>
      </c>
      <c r="R532" t="inlineStr">
        <is>
          <t>INV2512-00531</t>
        </is>
      </c>
      <c r="S532" t="inlineStr">
        <is>
          <t>※예시데이터</t>
        </is>
      </c>
    </row>
    <row r="533">
      <c r="A533" t="n">
        <v>1000</v>
      </c>
      <c r="B533" t="inlineStr">
        <is>
          <t>범용수지사업부</t>
        </is>
      </c>
      <c r="C533" t="inlineStr">
        <is>
          <t>해외영업팀</t>
        </is>
      </c>
      <c r="D533" t="inlineStr">
        <is>
          <t>C10071</t>
        </is>
      </c>
      <c r="E533" t="inlineStr">
        <is>
          <t>큰별코리아</t>
        </is>
      </c>
      <c r="F533" t="inlineStr">
        <is>
          <t>PP</t>
        </is>
      </c>
      <c r="G533" t="inlineStr">
        <is>
          <t>M-1101</t>
        </is>
      </c>
      <c r="H533" t="inlineStr">
        <is>
          <t>PP 범용사출 H110</t>
        </is>
      </c>
      <c r="I533" s="43" t="n">
        <v>46000</v>
      </c>
      <c r="J533" t="n">
        <v>202512</v>
      </c>
      <c r="K533" s="44" t="n">
        <v>5925</v>
      </c>
      <c r="L533" t="inlineStr">
        <is>
          <t>KG</t>
        </is>
      </c>
      <c r="M533" s="44" t="n">
        <v>9744776</v>
      </c>
      <c r="N533" s="44" t="n">
        <v>1071925</v>
      </c>
      <c r="O533" s="44" t="n">
        <v>194896</v>
      </c>
      <c r="P533" s="44" t="n">
        <v>8477955</v>
      </c>
      <c r="Q533" t="inlineStr">
        <is>
          <t>KRW</t>
        </is>
      </c>
      <c r="R533" t="inlineStr">
        <is>
          <t>INV2512-00532</t>
        </is>
      </c>
      <c r="S533" t="inlineStr">
        <is>
          <t>※예시데이터</t>
        </is>
      </c>
    </row>
    <row r="534">
      <c r="A534" t="n">
        <v>1000</v>
      </c>
      <c r="B534" t="inlineStr">
        <is>
          <t>EP사업부</t>
        </is>
      </c>
      <c r="C534" t="inlineStr">
        <is>
          <t>국내영업2팀</t>
        </is>
      </c>
      <c r="D534" t="inlineStr">
        <is>
          <t>C10113</t>
        </is>
      </c>
      <c r="E534" t="inlineStr">
        <is>
          <t>누리오토파츠</t>
        </is>
      </c>
      <c r="F534" t="inlineStr">
        <is>
          <t>ABS</t>
        </is>
      </c>
      <c r="G534" t="inlineStr">
        <is>
          <t>M-2101</t>
        </is>
      </c>
      <c r="H534" t="inlineStr">
        <is>
          <t>ABS 범용 G300</t>
        </is>
      </c>
      <c r="I534" s="43" t="n">
        <v>46003</v>
      </c>
      <c r="J534" t="n">
        <v>202512</v>
      </c>
      <c r="K534" s="44" t="n">
        <v>1300</v>
      </c>
      <c r="L534" t="inlineStr">
        <is>
          <t>KG</t>
        </is>
      </c>
      <c r="M534" s="44" t="n">
        <v>3433909</v>
      </c>
      <c r="N534" s="44" t="n">
        <v>240374</v>
      </c>
      <c r="O534" s="44" t="n">
        <v>34339</v>
      </c>
      <c r="P534" s="44" t="n">
        <v>3159196</v>
      </c>
      <c r="Q534" t="inlineStr">
        <is>
          <t>KRW</t>
        </is>
      </c>
      <c r="R534" t="inlineStr">
        <is>
          <t>INV2512-00533</t>
        </is>
      </c>
      <c r="S534" t="inlineStr">
        <is>
          <t>※예시데이터</t>
        </is>
      </c>
    </row>
    <row r="535">
      <c r="A535" t="n">
        <v>1000</v>
      </c>
      <c r="B535" t="inlineStr">
        <is>
          <t>EP사업부</t>
        </is>
      </c>
      <c r="C535" t="inlineStr">
        <is>
          <t>국내영업2팀</t>
        </is>
      </c>
      <c r="D535" t="inlineStr">
        <is>
          <t>C10113</t>
        </is>
      </c>
      <c r="E535" t="inlineStr">
        <is>
          <t>누리오토파츠</t>
        </is>
      </c>
      <c r="F535" t="inlineStr">
        <is>
          <t>ABS</t>
        </is>
      </c>
      <c r="G535" t="inlineStr">
        <is>
          <t>M-2101</t>
        </is>
      </c>
      <c r="H535" t="inlineStr">
        <is>
          <t>ABS 범용 G300</t>
        </is>
      </c>
      <c r="I535" s="43" t="n">
        <v>46004</v>
      </c>
      <c r="J535" t="n">
        <v>202512</v>
      </c>
      <c r="K535" s="44" t="n">
        <v>1300</v>
      </c>
      <c r="L535" t="inlineStr">
        <is>
          <t>KG</t>
        </is>
      </c>
      <c r="M535" s="44" t="n">
        <v>3433909</v>
      </c>
      <c r="N535" s="44" t="n">
        <v>240374</v>
      </c>
      <c r="O535" s="44" t="n">
        <v>34339</v>
      </c>
      <c r="P535" s="44" t="n">
        <v>3159196</v>
      </c>
      <c r="Q535" t="inlineStr">
        <is>
          <t>KRW</t>
        </is>
      </c>
      <c r="R535" t="inlineStr">
        <is>
          <t>INV2512-00534</t>
        </is>
      </c>
      <c r="S535" t="inlineStr">
        <is>
          <t>※예시데이터</t>
        </is>
      </c>
    </row>
    <row r="536">
      <c r="A536" t="n">
        <v>1000</v>
      </c>
      <c r="B536" t="inlineStr">
        <is>
          <t>EP사업부</t>
        </is>
      </c>
      <c r="C536" t="inlineStr">
        <is>
          <t>국내영업1팀</t>
        </is>
      </c>
      <c r="D536" t="inlineStr">
        <is>
          <t>C10029</t>
        </is>
      </c>
      <c r="E536" t="inlineStr">
        <is>
          <t>마루정밀</t>
        </is>
      </c>
      <c r="F536" t="inlineStr">
        <is>
          <t>PC</t>
        </is>
      </c>
      <c r="G536" t="inlineStr">
        <is>
          <t>M-2201</t>
        </is>
      </c>
      <c r="H536" t="inlineStr">
        <is>
          <t>PC 일반 C100</t>
        </is>
      </c>
      <c r="I536" s="43" t="n">
        <v>46006</v>
      </c>
      <c r="J536" t="n">
        <v>202512</v>
      </c>
      <c r="K536" s="44" t="n">
        <v>2275</v>
      </c>
      <c r="L536" t="inlineStr">
        <is>
          <t>KG</t>
        </is>
      </c>
      <c r="M536" s="44" t="n">
        <v>8843936</v>
      </c>
      <c r="N536" s="44" t="n">
        <v>353757</v>
      </c>
      <c r="O536" t="n">
        <v>0</v>
      </c>
      <c r="P536" s="44" t="n">
        <v>8490179</v>
      </c>
      <c r="Q536" t="inlineStr">
        <is>
          <t>KRW</t>
        </is>
      </c>
      <c r="R536" t="inlineStr">
        <is>
          <t>INV2512-00535</t>
        </is>
      </c>
      <c r="S536" t="inlineStr">
        <is>
          <t>※예시데이터</t>
        </is>
      </c>
    </row>
    <row r="537">
      <c r="A537" t="n">
        <v>1000</v>
      </c>
      <c r="B537" t="inlineStr">
        <is>
          <t>범용수지사업부</t>
        </is>
      </c>
      <c r="C537" t="inlineStr">
        <is>
          <t>국내영업1팀</t>
        </is>
      </c>
      <c r="D537" t="inlineStr">
        <is>
          <t>C10092</t>
        </is>
      </c>
      <c r="E537" t="inlineStr">
        <is>
          <t>하늘포장(주)</t>
        </is>
      </c>
      <c r="F537" t="inlineStr">
        <is>
          <t>PE</t>
        </is>
      </c>
      <c r="G537" t="inlineStr">
        <is>
          <t>M-1201</t>
        </is>
      </c>
      <c r="H537" t="inlineStr">
        <is>
          <t>HDPE 블로우 B500</t>
        </is>
      </c>
      <c r="I537" s="43" t="n">
        <v>46006</v>
      </c>
      <c r="J537" t="n">
        <v>202512</v>
      </c>
      <c r="K537" s="44" t="n">
        <v>17100</v>
      </c>
      <c r="L537" t="inlineStr">
        <is>
          <t>KG</t>
        </is>
      </c>
      <c r="M537" s="44" t="n">
        <v>26931017</v>
      </c>
      <c r="N537" s="44" t="n">
        <v>2154481</v>
      </c>
      <c r="O537" t="n">
        <v>0</v>
      </c>
      <c r="P537" s="44" t="n">
        <v>24776536</v>
      </c>
      <c r="Q537" t="inlineStr">
        <is>
          <t>KRW</t>
        </is>
      </c>
      <c r="R537" t="inlineStr">
        <is>
          <t>INV2512-00536</t>
        </is>
      </c>
      <c r="S537" t="inlineStr">
        <is>
          <t>※예시데이터</t>
        </is>
      </c>
    </row>
    <row r="538">
      <c r="A538" t="n">
        <v>1000</v>
      </c>
      <c r="B538" t="inlineStr">
        <is>
          <t>범용수지사업부</t>
        </is>
      </c>
      <c r="C538" t="inlineStr">
        <is>
          <t>국내영업1팀</t>
        </is>
      </c>
      <c r="D538" t="inlineStr">
        <is>
          <t>C10001</t>
        </is>
      </c>
      <c r="E538" t="inlineStr">
        <is>
          <t>가온소재(주)</t>
        </is>
      </c>
      <c r="F538" t="inlineStr">
        <is>
          <t>PP</t>
        </is>
      </c>
      <c r="G538" t="inlineStr">
        <is>
          <t>M-1102</t>
        </is>
      </c>
      <c r="H538" t="inlineStr">
        <is>
          <t>PP 고강성 H220</t>
        </is>
      </c>
      <c r="I538" s="43" t="n">
        <v>46007</v>
      </c>
      <c r="J538" t="n">
        <v>202512</v>
      </c>
      <c r="K538" s="44" t="n">
        <v>5550</v>
      </c>
      <c r="L538" t="inlineStr">
        <is>
          <t>KG</t>
        </is>
      </c>
      <c r="M538" s="44" t="n">
        <v>10068480</v>
      </c>
      <c r="N538" s="44" t="n">
        <v>604109</v>
      </c>
      <c r="O538" t="n">
        <v>0</v>
      </c>
      <c r="P538" s="44" t="n">
        <v>9464371</v>
      </c>
      <c r="Q538" t="inlineStr">
        <is>
          <t>KRW</t>
        </is>
      </c>
      <c r="R538" t="inlineStr">
        <is>
          <t>INV2512-00537</t>
        </is>
      </c>
      <c r="S538" t="inlineStr">
        <is>
          <t>※예시데이터</t>
        </is>
      </c>
    </row>
    <row r="539">
      <c r="A539" t="n">
        <v>1000</v>
      </c>
      <c r="B539" t="inlineStr">
        <is>
          <t>EP사업부</t>
        </is>
      </c>
      <c r="C539" t="inlineStr">
        <is>
          <t>국내영업2팀</t>
        </is>
      </c>
      <c r="D539" t="inlineStr">
        <is>
          <t>C10015</t>
        </is>
      </c>
      <c r="E539" t="inlineStr">
        <is>
          <t>다솜케미칼</t>
        </is>
      </c>
      <c r="F539" t="inlineStr">
        <is>
          <t>ABS</t>
        </is>
      </c>
      <c r="G539" t="inlineStr">
        <is>
          <t>M-2101</t>
        </is>
      </c>
      <c r="H539" t="inlineStr">
        <is>
          <t>ABS 범용 G300</t>
        </is>
      </c>
      <c r="I539" s="43" t="n">
        <v>46007</v>
      </c>
      <c r="J539" t="n">
        <v>202512</v>
      </c>
      <c r="K539" s="44" t="n">
        <v>4250</v>
      </c>
      <c r="L539" t="inlineStr">
        <is>
          <t>KG</t>
        </is>
      </c>
      <c r="M539" s="44" t="n">
        <v>11226241</v>
      </c>
      <c r="N539" s="44" t="n">
        <v>561312</v>
      </c>
      <c r="O539" t="n">
        <v>0</v>
      </c>
      <c r="P539" s="44" t="n">
        <v>10664929</v>
      </c>
      <c r="Q539" t="inlineStr">
        <is>
          <t>KRW</t>
        </is>
      </c>
      <c r="R539" t="inlineStr">
        <is>
          <t>INV2512-00538</t>
        </is>
      </c>
      <c r="S539" t="inlineStr">
        <is>
          <t>※예시데이터</t>
        </is>
      </c>
    </row>
    <row r="540">
      <c r="A540" t="n">
        <v>1000</v>
      </c>
      <c r="B540" t="inlineStr">
        <is>
          <t>범용수지사업부</t>
        </is>
      </c>
      <c r="C540" t="inlineStr">
        <is>
          <t>해외영업팀</t>
        </is>
      </c>
      <c r="D540" t="inlineStr">
        <is>
          <t>C10071</t>
        </is>
      </c>
      <c r="E540" t="inlineStr">
        <is>
          <t>큰별코리아</t>
        </is>
      </c>
      <c r="F540" t="inlineStr">
        <is>
          <t>PE</t>
        </is>
      </c>
      <c r="G540" t="inlineStr">
        <is>
          <t>M-1201</t>
        </is>
      </c>
      <c r="H540" t="inlineStr">
        <is>
          <t>HDPE 블로우 B500</t>
        </is>
      </c>
      <c r="I540" s="43" t="n">
        <v>46007</v>
      </c>
      <c r="J540" t="n">
        <v>202512</v>
      </c>
      <c r="K540" s="44" t="n">
        <v>5450</v>
      </c>
      <c r="L540" t="inlineStr">
        <is>
          <t>KG</t>
        </is>
      </c>
      <c r="M540" s="44" t="n">
        <v>8583277</v>
      </c>
      <c r="N540" s="44" t="n">
        <v>944160</v>
      </c>
      <c r="O540" s="44" t="n">
        <v>171666</v>
      </c>
      <c r="P540" s="44" t="n">
        <v>7467451</v>
      </c>
      <c r="Q540" t="inlineStr">
        <is>
          <t>KRW</t>
        </is>
      </c>
      <c r="R540" t="inlineStr">
        <is>
          <t>INV2512-00539</t>
        </is>
      </c>
      <c r="S540" t="inlineStr">
        <is>
          <t>※예시데이터</t>
        </is>
      </c>
    </row>
    <row r="541">
      <c r="A541" t="n">
        <v>1000</v>
      </c>
      <c r="B541" t="inlineStr">
        <is>
          <t>범용수지사업부</t>
        </is>
      </c>
      <c r="C541" t="inlineStr">
        <is>
          <t>해외영업팀</t>
        </is>
      </c>
      <c r="D541" t="inlineStr">
        <is>
          <t>C10141</t>
        </is>
      </c>
      <c r="E541" t="inlineStr">
        <is>
          <t>Sinar Plastik (ID)</t>
        </is>
      </c>
      <c r="F541" t="inlineStr">
        <is>
          <t>PP</t>
        </is>
      </c>
      <c r="G541" t="inlineStr">
        <is>
          <t>M-1102</t>
        </is>
      </c>
      <c r="H541" t="inlineStr">
        <is>
          <t>PP 고강성 H220</t>
        </is>
      </c>
      <c r="I541" s="43" t="n">
        <v>46007</v>
      </c>
      <c r="J541" t="n">
        <v>202512</v>
      </c>
      <c r="K541" s="44" t="n">
        <v>13300</v>
      </c>
      <c r="L541" t="inlineStr">
        <is>
          <t>KG</t>
        </is>
      </c>
      <c r="M541" s="44" t="n">
        <v>24128070</v>
      </c>
      <c r="N541" s="44" t="n">
        <v>2895368</v>
      </c>
      <c r="O541" t="n">
        <v>0</v>
      </c>
      <c r="P541" s="44" t="n">
        <v>21232702</v>
      </c>
      <c r="Q541" t="inlineStr">
        <is>
          <t>KRW</t>
        </is>
      </c>
      <c r="R541" t="inlineStr">
        <is>
          <t>INV2512-00540</t>
        </is>
      </c>
      <c r="S541" t="inlineStr">
        <is>
          <t>※예시데이터</t>
        </is>
      </c>
    </row>
    <row r="542">
      <c r="A542" t="n">
        <v>1000</v>
      </c>
      <c r="B542" t="inlineStr">
        <is>
          <t>범용수지사업부</t>
        </is>
      </c>
      <c r="C542" t="inlineStr">
        <is>
          <t>해외영업팀</t>
        </is>
      </c>
      <c r="D542" t="inlineStr">
        <is>
          <t>C10141</t>
        </is>
      </c>
      <c r="E542" t="inlineStr">
        <is>
          <t>Sinar Plastik (ID)</t>
        </is>
      </c>
      <c r="F542" t="inlineStr">
        <is>
          <t>PP</t>
        </is>
      </c>
      <c r="G542" t="inlineStr">
        <is>
          <t>M-1103</t>
        </is>
      </c>
      <c r="H542" t="inlineStr">
        <is>
          <t>PP 투명 R330</t>
        </is>
      </c>
      <c r="I542" s="43" t="n">
        <v>46007</v>
      </c>
      <c r="J542" t="n">
        <v>202512</v>
      </c>
      <c r="K542" s="44" t="n">
        <v>7900</v>
      </c>
      <c r="L542" t="inlineStr">
        <is>
          <t>KG</t>
        </is>
      </c>
      <c r="M542" s="44" t="n">
        <v>15276659</v>
      </c>
      <c r="N542" s="44" t="n">
        <v>1833199</v>
      </c>
      <c r="O542" t="n">
        <v>0</v>
      </c>
      <c r="P542" s="44" t="n">
        <v>13443460</v>
      </c>
      <c r="Q542" t="inlineStr">
        <is>
          <t>KRW</t>
        </is>
      </c>
      <c r="R542" t="inlineStr">
        <is>
          <t>INV2512-00541</t>
        </is>
      </c>
      <c r="S542" t="inlineStr">
        <is>
          <t>※예시데이터</t>
        </is>
      </c>
    </row>
    <row r="543">
      <c r="A543" t="n">
        <v>1000</v>
      </c>
      <c r="B543" t="inlineStr">
        <is>
          <t>EP사업부</t>
        </is>
      </c>
      <c r="C543" t="inlineStr">
        <is>
          <t>국내영업2팀</t>
        </is>
      </c>
      <c r="D543" t="inlineStr">
        <is>
          <t>C10099</t>
        </is>
      </c>
      <c r="E543" t="inlineStr">
        <is>
          <t>한울몰드</t>
        </is>
      </c>
      <c r="F543" t="inlineStr">
        <is>
          <t>ABS</t>
        </is>
      </c>
      <c r="G543" t="inlineStr">
        <is>
          <t>M-2102</t>
        </is>
      </c>
      <c r="H543" t="inlineStr">
        <is>
          <t>ABS 내열 HR500</t>
        </is>
      </c>
      <c r="I543" s="43" t="n">
        <v>46008</v>
      </c>
      <c r="J543" t="n">
        <v>202512</v>
      </c>
      <c r="K543" s="44" t="n">
        <v>1150</v>
      </c>
      <c r="L543" t="inlineStr">
        <is>
          <t>KG</t>
        </is>
      </c>
      <c r="M543" s="44" t="n">
        <v>3415967</v>
      </c>
      <c r="N543" s="44" t="n">
        <v>204958</v>
      </c>
      <c r="O543" t="n">
        <v>0</v>
      </c>
      <c r="P543" s="44" t="n">
        <v>3211009</v>
      </c>
      <c r="Q543" t="inlineStr">
        <is>
          <t>KRW</t>
        </is>
      </c>
      <c r="R543" t="inlineStr">
        <is>
          <t>INV2512-00542</t>
        </is>
      </c>
      <c r="S543" t="inlineStr">
        <is>
          <t>※예시데이터</t>
        </is>
      </c>
    </row>
    <row r="544">
      <c r="A544" t="n">
        <v>1000</v>
      </c>
      <c r="B544" t="inlineStr">
        <is>
          <t>EP사업부</t>
        </is>
      </c>
      <c r="C544" t="inlineStr">
        <is>
          <t>국내영업2팀</t>
        </is>
      </c>
      <c r="D544" t="inlineStr">
        <is>
          <t>C10085</t>
        </is>
      </c>
      <c r="E544" t="inlineStr">
        <is>
          <t>파란하이텍</t>
        </is>
      </c>
      <c r="F544" t="inlineStr">
        <is>
          <t>PC</t>
        </is>
      </c>
      <c r="G544" t="inlineStr">
        <is>
          <t>M-2201</t>
        </is>
      </c>
      <c r="H544" t="inlineStr">
        <is>
          <t>PC 일반 C100</t>
        </is>
      </c>
      <c r="I544" s="43" t="n">
        <v>46009</v>
      </c>
      <c r="J544" t="n">
        <v>202512</v>
      </c>
      <c r="K544" s="44" t="n">
        <v>2925</v>
      </c>
      <c r="L544" t="inlineStr">
        <is>
          <t>KG</t>
        </is>
      </c>
      <c r="M544" s="44" t="n">
        <v>11370774</v>
      </c>
      <c r="N544" s="44" t="n">
        <v>682246</v>
      </c>
      <c r="O544" t="n">
        <v>0</v>
      </c>
      <c r="P544" s="44" t="n">
        <v>10688528</v>
      </c>
      <c r="Q544" t="inlineStr">
        <is>
          <t>KRW</t>
        </is>
      </c>
      <c r="R544" t="inlineStr">
        <is>
          <t>INV2512-00543</t>
        </is>
      </c>
      <c r="S544" t="inlineStr">
        <is>
          <t>※예시데이터</t>
        </is>
      </c>
    </row>
    <row r="545">
      <c r="A545" t="n">
        <v>1000</v>
      </c>
      <c r="B545" t="inlineStr">
        <is>
          <t>범용수지사업부</t>
        </is>
      </c>
      <c r="C545" t="inlineStr">
        <is>
          <t>국내영업1팀</t>
        </is>
      </c>
      <c r="D545" t="inlineStr">
        <is>
          <t>C10001</t>
        </is>
      </c>
      <c r="E545" t="inlineStr">
        <is>
          <t>가온소재(주)</t>
        </is>
      </c>
      <c r="F545" t="inlineStr">
        <is>
          <t>PP</t>
        </is>
      </c>
      <c r="G545" t="inlineStr">
        <is>
          <t>M-1103</t>
        </is>
      </c>
      <c r="H545" t="inlineStr">
        <is>
          <t>PP 투명 R330</t>
        </is>
      </c>
      <c r="I545" s="43" t="n">
        <v>46010</v>
      </c>
      <c r="J545" t="n">
        <v>202512</v>
      </c>
      <c r="K545" s="44" t="n">
        <v>5350</v>
      </c>
      <c r="L545" t="inlineStr">
        <is>
          <t>KG</t>
        </is>
      </c>
      <c r="M545" s="44" t="n">
        <v>10345585</v>
      </c>
      <c r="N545" s="44" t="n">
        <v>620735</v>
      </c>
      <c r="O545" t="n">
        <v>0</v>
      </c>
      <c r="P545" s="44" t="n">
        <v>9724850</v>
      </c>
      <c r="Q545" t="inlineStr">
        <is>
          <t>KRW</t>
        </is>
      </c>
      <c r="R545" t="inlineStr">
        <is>
          <t>INV2512-00544</t>
        </is>
      </c>
      <c r="S545" t="inlineStr">
        <is>
          <t>※예시데이터</t>
        </is>
      </c>
    </row>
    <row r="546">
      <c r="A546" t="n">
        <v>1000</v>
      </c>
      <c r="B546" t="inlineStr">
        <is>
          <t>EP사업부</t>
        </is>
      </c>
      <c r="C546" t="inlineStr">
        <is>
          <t>국내영업2팀</t>
        </is>
      </c>
      <c r="D546" t="inlineStr">
        <is>
          <t>C10022</t>
        </is>
      </c>
      <c r="E546" t="inlineStr">
        <is>
          <t>라온테크(주)</t>
        </is>
      </c>
      <c r="F546" t="inlineStr">
        <is>
          <t>ABS</t>
        </is>
      </c>
      <c r="G546" t="inlineStr">
        <is>
          <t>M-2102</t>
        </is>
      </c>
      <c r="H546" t="inlineStr">
        <is>
          <t>ABS 내열 HR500</t>
        </is>
      </c>
      <c r="I546" s="43" t="n">
        <v>46010</v>
      </c>
      <c r="J546" t="n">
        <v>202512</v>
      </c>
      <c r="K546" s="44" t="n">
        <v>2950</v>
      </c>
      <c r="L546" t="inlineStr">
        <is>
          <t>KG</t>
        </is>
      </c>
      <c r="M546" s="44" t="n">
        <v>8762698</v>
      </c>
      <c r="N546" s="44" t="n">
        <v>613389</v>
      </c>
      <c r="O546" t="n">
        <v>0</v>
      </c>
      <c r="P546" s="44" t="n">
        <v>8149309</v>
      </c>
      <c r="Q546" t="inlineStr">
        <is>
          <t>KRW</t>
        </is>
      </c>
      <c r="R546" t="inlineStr">
        <is>
          <t>INV2512-00545</t>
        </is>
      </c>
      <c r="S546" t="inlineStr">
        <is>
          <t>※예시데이터</t>
        </is>
      </c>
    </row>
    <row r="547">
      <c r="A547" t="n">
        <v>1000</v>
      </c>
      <c r="B547" t="inlineStr">
        <is>
          <t>범용수지사업부</t>
        </is>
      </c>
      <c r="C547" t="inlineStr">
        <is>
          <t>국내영업2팀</t>
        </is>
      </c>
      <c r="D547" t="inlineStr">
        <is>
          <t>C10050</t>
        </is>
      </c>
      <c r="E547" t="inlineStr">
        <is>
          <t>아름화학(주)</t>
        </is>
      </c>
      <c r="F547" t="inlineStr">
        <is>
          <t>PE</t>
        </is>
      </c>
      <c r="G547" t="inlineStr">
        <is>
          <t>M-1201</t>
        </is>
      </c>
      <c r="H547" t="inlineStr">
        <is>
          <t>HDPE 블로우 B500</t>
        </is>
      </c>
      <c r="I547" s="43" t="n">
        <v>46010</v>
      </c>
      <c r="J547" t="n">
        <v>202512</v>
      </c>
      <c r="K547" s="44" t="n">
        <v>3800</v>
      </c>
      <c r="L547" t="inlineStr">
        <is>
          <t>KG</t>
        </is>
      </c>
      <c r="M547" s="44" t="n">
        <v>5984670</v>
      </c>
      <c r="N547" s="44" t="n">
        <v>598467</v>
      </c>
      <c r="O547" s="44" t="n">
        <v>59847</v>
      </c>
      <c r="P547" s="44" t="n">
        <v>5326356</v>
      </c>
      <c r="Q547" t="inlineStr">
        <is>
          <t>KRW</t>
        </is>
      </c>
      <c r="R547" t="inlineStr">
        <is>
          <t>INV2512-00546</t>
        </is>
      </c>
      <c r="S547" t="inlineStr">
        <is>
          <t>※예시데이터</t>
        </is>
      </c>
    </row>
    <row r="548">
      <c r="A548" t="n">
        <v>1000</v>
      </c>
      <c r="B548" t="inlineStr">
        <is>
          <t>EP사업부</t>
        </is>
      </c>
      <c r="C548" t="inlineStr">
        <is>
          <t>국내영업1팀</t>
        </is>
      </c>
      <c r="D548" t="inlineStr">
        <is>
          <t>C10057</t>
        </is>
      </c>
      <c r="E548" t="inlineStr">
        <is>
          <t>자연엠텍</t>
        </is>
      </c>
      <c r="F548" t="inlineStr">
        <is>
          <t>ABS</t>
        </is>
      </c>
      <c r="G548" t="inlineStr">
        <is>
          <t>M-2101</t>
        </is>
      </c>
      <c r="H548" t="inlineStr">
        <is>
          <t>ABS 범용 G300</t>
        </is>
      </c>
      <c r="I548" s="43" t="n">
        <v>46010</v>
      </c>
      <c r="J548" t="n">
        <v>202512</v>
      </c>
      <c r="K548" s="44" t="n">
        <v>2650</v>
      </c>
      <c r="L548" t="inlineStr">
        <is>
          <t>KG</t>
        </is>
      </c>
      <c r="M548" s="44" t="n">
        <v>6999892</v>
      </c>
      <c r="N548" s="44" t="n">
        <v>349995</v>
      </c>
      <c r="O548" t="n">
        <v>0</v>
      </c>
      <c r="P548" s="44" t="n">
        <v>6649897</v>
      </c>
      <c r="Q548" t="inlineStr">
        <is>
          <t>KRW</t>
        </is>
      </c>
      <c r="R548" t="inlineStr">
        <is>
          <t>INV2512-00547</t>
        </is>
      </c>
      <c r="S548" t="inlineStr">
        <is>
          <t>※예시데이터</t>
        </is>
      </c>
    </row>
    <row r="549">
      <c r="A549" t="n">
        <v>1000</v>
      </c>
      <c r="B549" t="inlineStr">
        <is>
          <t>EP사업부</t>
        </is>
      </c>
      <c r="C549" t="inlineStr">
        <is>
          <t>국내영업1팀</t>
        </is>
      </c>
      <c r="D549" t="inlineStr">
        <is>
          <t>C10057</t>
        </is>
      </c>
      <c r="E549" t="inlineStr">
        <is>
          <t>자연엠텍</t>
        </is>
      </c>
      <c r="F549" t="inlineStr">
        <is>
          <t>PC</t>
        </is>
      </c>
      <c r="G549" t="inlineStr">
        <is>
          <t>M-2201</t>
        </is>
      </c>
      <c r="H549" t="inlineStr">
        <is>
          <t>PC 일반 C100</t>
        </is>
      </c>
      <c r="I549" s="43" t="n">
        <v>46011</v>
      </c>
      <c r="J549" t="n">
        <v>202512</v>
      </c>
      <c r="K549" s="44" t="n">
        <v>1650</v>
      </c>
      <c r="L549" t="inlineStr">
        <is>
          <t>KG</t>
        </is>
      </c>
      <c r="M549" s="44" t="n">
        <v>6414283</v>
      </c>
      <c r="N549" s="44" t="n">
        <v>320714</v>
      </c>
      <c r="O549" t="n">
        <v>0</v>
      </c>
      <c r="P549" s="44" t="n">
        <v>6093569</v>
      </c>
      <c r="Q549" t="inlineStr">
        <is>
          <t>KRW</t>
        </is>
      </c>
      <c r="R549" t="inlineStr">
        <is>
          <t>INV2512-00548</t>
        </is>
      </c>
      <c r="S549" t="inlineStr">
        <is>
          <t>※예시데이터</t>
        </is>
      </c>
    </row>
    <row r="550">
      <c r="A550" t="n">
        <v>1000</v>
      </c>
      <c r="B550" t="inlineStr">
        <is>
          <t>EP사업부</t>
        </is>
      </c>
      <c r="C550" t="inlineStr">
        <is>
          <t>국내영업2팀</t>
        </is>
      </c>
      <c r="D550" t="inlineStr">
        <is>
          <t>C10113</t>
        </is>
      </c>
      <c r="E550" t="inlineStr">
        <is>
          <t>누리오토파츠</t>
        </is>
      </c>
      <c r="F550" t="inlineStr">
        <is>
          <t>ABS</t>
        </is>
      </c>
      <c r="G550" t="inlineStr">
        <is>
          <t>M-2102</t>
        </is>
      </c>
      <c r="H550" t="inlineStr">
        <is>
          <t>ABS 내열 HR500</t>
        </is>
      </c>
      <c r="I550" s="43" t="n">
        <v>46011</v>
      </c>
      <c r="J550" t="n">
        <v>202512</v>
      </c>
      <c r="K550" s="44" t="n">
        <v>3900</v>
      </c>
      <c r="L550" t="inlineStr">
        <is>
          <t>KG</t>
        </is>
      </c>
      <c r="M550" s="44" t="n">
        <v>11584584</v>
      </c>
      <c r="N550" s="44" t="n">
        <v>810921</v>
      </c>
      <c r="O550" s="44" t="n">
        <v>115846</v>
      </c>
      <c r="P550" s="44" t="n">
        <v>10657817</v>
      </c>
      <c r="Q550" t="inlineStr">
        <is>
          <t>KRW</t>
        </is>
      </c>
      <c r="R550" t="inlineStr">
        <is>
          <t>INV2512-00549</t>
        </is>
      </c>
      <c r="S550" t="inlineStr">
        <is>
          <t>※예시데이터</t>
        </is>
      </c>
    </row>
    <row r="551">
      <c r="A551" t="n">
        <v>1000</v>
      </c>
      <c r="B551" t="inlineStr">
        <is>
          <t>EP사업부</t>
        </is>
      </c>
      <c r="C551" t="inlineStr">
        <is>
          <t>국내영업2팀</t>
        </is>
      </c>
      <c r="D551" t="inlineStr">
        <is>
          <t>C10015</t>
        </is>
      </c>
      <c r="E551" t="inlineStr">
        <is>
          <t>다솜케미칼</t>
        </is>
      </c>
      <c r="F551" t="inlineStr">
        <is>
          <t>PC</t>
        </is>
      </c>
      <c r="G551" t="inlineStr">
        <is>
          <t>M-2201</t>
        </is>
      </c>
      <c r="H551" t="inlineStr">
        <is>
          <t>PC 일반 C100</t>
        </is>
      </c>
      <c r="I551" s="43" t="n">
        <v>46012</v>
      </c>
      <c r="J551" t="n">
        <v>202512</v>
      </c>
      <c r="K551" s="44" t="n">
        <v>2575</v>
      </c>
      <c r="L551" t="inlineStr">
        <is>
          <t>KG</t>
        </is>
      </c>
      <c r="M551" s="44" t="n">
        <v>10010169</v>
      </c>
      <c r="N551" s="44" t="n">
        <v>500508</v>
      </c>
      <c r="O551" t="n">
        <v>0</v>
      </c>
      <c r="P551" s="44" t="n">
        <v>9509661</v>
      </c>
      <c r="Q551" t="inlineStr">
        <is>
          <t>KRW</t>
        </is>
      </c>
      <c r="R551" t="inlineStr">
        <is>
          <t>INV2512-00550</t>
        </is>
      </c>
      <c r="S551" t="inlineStr">
        <is>
          <t>※예시데이터</t>
        </is>
      </c>
    </row>
    <row r="552">
      <c r="A552" t="n">
        <v>1000</v>
      </c>
      <c r="B552" t="inlineStr">
        <is>
          <t>EP사업부</t>
        </is>
      </c>
      <c r="C552" t="inlineStr">
        <is>
          <t>국내영업2팀</t>
        </is>
      </c>
      <c r="D552" t="inlineStr">
        <is>
          <t>C10113</t>
        </is>
      </c>
      <c r="E552" t="inlineStr">
        <is>
          <t>누리오토파츠</t>
        </is>
      </c>
      <c r="F552" t="inlineStr">
        <is>
          <t>PC</t>
        </is>
      </c>
      <c r="G552" t="inlineStr">
        <is>
          <t>M-2202</t>
        </is>
      </c>
      <c r="H552" t="inlineStr">
        <is>
          <t>PC 난연 FR200</t>
        </is>
      </c>
      <c r="I552" s="43" t="n">
        <v>46012</v>
      </c>
      <c r="J552" t="n">
        <v>202512</v>
      </c>
      <c r="K552" s="44" t="n">
        <v>3400</v>
      </c>
      <c r="L552" t="inlineStr">
        <is>
          <t>KG</t>
        </is>
      </c>
      <c r="M552" s="44" t="n">
        <v>14742385</v>
      </c>
      <c r="N552" s="44" t="n">
        <v>1031967</v>
      </c>
      <c r="O552" s="44" t="n">
        <v>147424</v>
      </c>
      <c r="P552" s="44" t="n">
        <v>13562994</v>
      </c>
      <c r="Q552" t="inlineStr">
        <is>
          <t>KRW</t>
        </is>
      </c>
      <c r="R552" t="inlineStr">
        <is>
          <t>INV2512-00551</t>
        </is>
      </c>
      <c r="S552" t="inlineStr">
        <is>
          <t>※예시데이터</t>
        </is>
      </c>
    </row>
    <row r="553">
      <c r="A553" t="n">
        <v>1000</v>
      </c>
      <c r="B553" t="inlineStr">
        <is>
          <t>EP사업부</t>
        </is>
      </c>
      <c r="C553" t="inlineStr">
        <is>
          <t>국내영업2팀</t>
        </is>
      </c>
      <c r="D553" t="inlineStr">
        <is>
          <t>C10022</t>
        </is>
      </c>
      <c r="E553" t="inlineStr">
        <is>
          <t>라온테크(주)</t>
        </is>
      </c>
      <c r="F553" t="inlineStr">
        <is>
          <t>ABS</t>
        </is>
      </c>
      <c r="G553" t="inlineStr">
        <is>
          <t>M-2101</t>
        </is>
      </c>
      <c r="H553" t="inlineStr">
        <is>
          <t>ABS 범용 G300</t>
        </is>
      </c>
      <c r="I553" s="43" t="n">
        <v>46013</v>
      </c>
      <c r="J553" t="n">
        <v>202512</v>
      </c>
      <c r="K553" s="44" t="n">
        <v>8600</v>
      </c>
      <c r="L553" t="inlineStr">
        <is>
          <t>KG</t>
        </is>
      </c>
      <c r="M553" s="44" t="n">
        <v>22716629</v>
      </c>
      <c r="N553" s="44" t="n">
        <v>1590164</v>
      </c>
      <c r="O553" t="n">
        <v>0</v>
      </c>
      <c r="P553" s="44" t="n">
        <v>21126465</v>
      </c>
      <c r="Q553" t="inlineStr">
        <is>
          <t>KRW</t>
        </is>
      </c>
      <c r="R553" t="inlineStr">
        <is>
          <t>INV2512-00552</t>
        </is>
      </c>
      <c r="S553" t="inlineStr">
        <is>
          <t>※예시데이터</t>
        </is>
      </c>
    </row>
    <row r="554">
      <c r="A554" t="n">
        <v>1000</v>
      </c>
      <c r="B554" t="inlineStr">
        <is>
          <t>범용수지사업부</t>
        </is>
      </c>
      <c r="C554" t="inlineStr">
        <is>
          <t>국내영업1팀</t>
        </is>
      </c>
      <c r="D554" t="inlineStr">
        <is>
          <t>C10043</t>
        </is>
      </c>
      <c r="E554" t="inlineStr">
        <is>
          <t>새봄플라스틱</t>
        </is>
      </c>
      <c r="F554" t="inlineStr">
        <is>
          <t>PP</t>
        </is>
      </c>
      <c r="G554" t="inlineStr">
        <is>
          <t>M-1103</t>
        </is>
      </c>
      <c r="H554" t="inlineStr">
        <is>
          <t>PP 투명 R330</t>
        </is>
      </c>
      <c r="I554" s="43" t="n">
        <v>46013</v>
      </c>
      <c r="J554" t="n">
        <v>202512</v>
      </c>
      <c r="K554" s="44" t="n">
        <v>4850</v>
      </c>
      <c r="L554" t="inlineStr">
        <is>
          <t>KG</t>
        </is>
      </c>
      <c r="M554" s="44" t="n">
        <v>9378708</v>
      </c>
      <c r="N554" s="44" t="n">
        <v>562722</v>
      </c>
      <c r="O554" t="n">
        <v>0</v>
      </c>
      <c r="P554" s="44" t="n">
        <v>8815986</v>
      </c>
      <c r="Q554" t="inlineStr">
        <is>
          <t>KRW</t>
        </is>
      </c>
      <c r="R554" t="inlineStr">
        <is>
          <t>INV2512-00553</t>
        </is>
      </c>
      <c r="S554" t="inlineStr">
        <is>
          <t>※예시데이터</t>
        </is>
      </c>
    </row>
    <row r="555">
      <c r="A555" t="n">
        <v>1000</v>
      </c>
      <c r="B555" t="inlineStr">
        <is>
          <t>EP사업부</t>
        </is>
      </c>
      <c r="C555" t="inlineStr">
        <is>
          <t>국내영업1팀</t>
        </is>
      </c>
      <c r="D555" t="inlineStr">
        <is>
          <t>C10043</t>
        </is>
      </c>
      <c r="E555" t="inlineStr">
        <is>
          <t>새봄플라스틱</t>
        </is>
      </c>
      <c r="F555" t="inlineStr">
        <is>
          <t>ABS</t>
        </is>
      </c>
      <c r="G555" t="inlineStr">
        <is>
          <t>M-2102</t>
        </is>
      </c>
      <c r="H555" t="inlineStr">
        <is>
          <t>ABS 내열 HR500</t>
        </is>
      </c>
      <c r="I555" s="43" t="n">
        <v>46013</v>
      </c>
      <c r="J555" t="n">
        <v>202512</v>
      </c>
      <c r="K555" s="44" t="n">
        <v>4950</v>
      </c>
      <c r="L555" t="inlineStr">
        <is>
          <t>KG</t>
        </is>
      </c>
      <c r="M555" s="44" t="n">
        <v>14703510</v>
      </c>
      <c r="N555" s="44" t="n">
        <v>882211</v>
      </c>
      <c r="O555" t="n">
        <v>0</v>
      </c>
      <c r="P555" s="44" t="n">
        <v>13821299</v>
      </c>
      <c r="Q555" t="inlineStr">
        <is>
          <t>KRW</t>
        </is>
      </c>
      <c r="R555" t="inlineStr">
        <is>
          <t>INV2512-00554</t>
        </is>
      </c>
      <c r="S555" t="inlineStr">
        <is>
          <t>※예시데이터</t>
        </is>
      </c>
    </row>
    <row r="556">
      <c r="A556" t="n">
        <v>1000</v>
      </c>
      <c r="B556" t="inlineStr">
        <is>
          <t>범용수지사업부</t>
        </is>
      </c>
      <c r="C556" t="inlineStr">
        <is>
          <t>국내영업2팀</t>
        </is>
      </c>
      <c r="D556" t="inlineStr">
        <is>
          <t>C10050</t>
        </is>
      </c>
      <c r="E556" t="inlineStr">
        <is>
          <t>아름화학(주)</t>
        </is>
      </c>
      <c r="F556" t="inlineStr">
        <is>
          <t>PE</t>
        </is>
      </c>
      <c r="G556" t="inlineStr">
        <is>
          <t>M-1201</t>
        </is>
      </c>
      <c r="H556" t="inlineStr">
        <is>
          <t>HDPE 블로우 B500</t>
        </is>
      </c>
      <c r="I556" s="43" t="n">
        <v>46013</v>
      </c>
      <c r="J556" t="n">
        <v>202512</v>
      </c>
      <c r="K556" s="44" t="n">
        <v>3800</v>
      </c>
      <c r="L556" t="inlineStr">
        <is>
          <t>KG</t>
        </is>
      </c>
      <c r="M556" s="44" t="n">
        <v>5984670</v>
      </c>
      <c r="N556" s="44" t="n">
        <v>598467</v>
      </c>
      <c r="O556" s="44" t="n">
        <v>59847</v>
      </c>
      <c r="P556" s="44" t="n">
        <v>5326356</v>
      </c>
      <c r="Q556" t="inlineStr">
        <is>
          <t>KRW</t>
        </is>
      </c>
      <c r="R556" t="inlineStr">
        <is>
          <t>INV2512-00555</t>
        </is>
      </c>
      <c r="S556" t="inlineStr">
        <is>
          <t>※예시데이터</t>
        </is>
      </c>
    </row>
    <row r="557">
      <c r="A557" t="n">
        <v>1000</v>
      </c>
      <c r="B557" t="inlineStr">
        <is>
          <t>EP사업부</t>
        </is>
      </c>
      <c r="C557" t="inlineStr">
        <is>
          <t>국내영업1팀</t>
        </is>
      </c>
      <c r="D557" t="inlineStr">
        <is>
          <t>C10057</t>
        </is>
      </c>
      <c r="E557" t="inlineStr">
        <is>
          <t>자연엠텍</t>
        </is>
      </c>
      <c r="F557" t="inlineStr">
        <is>
          <t>PC</t>
        </is>
      </c>
      <c r="G557" t="inlineStr">
        <is>
          <t>M-2201</t>
        </is>
      </c>
      <c r="H557" t="inlineStr">
        <is>
          <t>PC 일반 C100</t>
        </is>
      </c>
      <c r="I557" s="43" t="n">
        <v>46013</v>
      </c>
      <c r="J557" t="n">
        <v>202512</v>
      </c>
      <c r="K557" s="44" t="n">
        <v>1650</v>
      </c>
      <c r="L557" t="inlineStr">
        <is>
          <t>KG</t>
        </is>
      </c>
      <c r="M557" s="44" t="n">
        <v>6414283</v>
      </c>
      <c r="N557" s="44" t="n">
        <v>320714</v>
      </c>
      <c r="O557" t="n">
        <v>0</v>
      </c>
      <c r="P557" s="44" t="n">
        <v>6093569</v>
      </c>
      <c r="Q557" t="inlineStr">
        <is>
          <t>KRW</t>
        </is>
      </c>
      <c r="R557" t="inlineStr">
        <is>
          <t>INV2512-00556</t>
        </is>
      </c>
      <c r="S557" t="inlineStr">
        <is>
          <t>※예시데이터</t>
        </is>
      </c>
    </row>
    <row r="558">
      <c r="A558" t="n">
        <v>1000</v>
      </c>
      <c r="B558" t="inlineStr">
        <is>
          <t>범용수지사업부</t>
        </is>
      </c>
      <c r="C558" t="inlineStr">
        <is>
          <t>해외영업팀</t>
        </is>
      </c>
      <c r="D558" t="inlineStr">
        <is>
          <t>C10071</t>
        </is>
      </c>
      <c r="E558" t="inlineStr">
        <is>
          <t>큰별코리아</t>
        </is>
      </c>
      <c r="F558" t="inlineStr">
        <is>
          <t>PE</t>
        </is>
      </c>
      <c r="G558" t="inlineStr">
        <is>
          <t>M-1201</t>
        </is>
      </c>
      <c r="H558" t="inlineStr">
        <is>
          <t>HDPE 블로우 B500</t>
        </is>
      </c>
      <c r="I558" s="43" t="n">
        <v>46013</v>
      </c>
      <c r="J558" t="n">
        <v>202512</v>
      </c>
      <c r="K558" s="44" t="n">
        <v>5450</v>
      </c>
      <c r="L558" t="inlineStr">
        <is>
          <t>KG</t>
        </is>
      </c>
      <c r="M558" s="44" t="n">
        <v>8583277</v>
      </c>
      <c r="N558" s="44" t="n">
        <v>944160</v>
      </c>
      <c r="O558" s="44" t="n">
        <v>171666</v>
      </c>
      <c r="P558" s="44" t="n">
        <v>7467451</v>
      </c>
      <c r="Q558" t="inlineStr">
        <is>
          <t>KRW</t>
        </is>
      </c>
      <c r="R558" t="inlineStr">
        <is>
          <t>INV2512-00557</t>
        </is>
      </c>
      <c r="S558" t="inlineStr">
        <is>
          <t>※예시데이터</t>
        </is>
      </c>
    </row>
    <row r="559">
      <c r="A559" t="n">
        <v>1000</v>
      </c>
      <c r="B559" t="inlineStr">
        <is>
          <t>범용수지사업부</t>
        </is>
      </c>
      <c r="C559" t="inlineStr">
        <is>
          <t>국내영업1팀</t>
        </is>
      </c>
      <c r="D559" t="inlineStr">
        <is>
          <t>C10001</t>
        </is>
      </c>
      <c r="E559" t="inlineStr">
        <is>
          <t>가온소재(주)</t>
        </is>
      </c>
      <c r="F559" t="inlineStr">
        <is>
          <t>PE</t>
        </is>
      </c>
      <c r="G559" t="inlineStr">
        <is>
          <t>M-1201</t>
        </is>
      </c>
      <c r="H559" t="inlineStr">
        <is>
          <t>HDPE 블로우 B500</t>
        </is>
      </c>
      <c r="I559" s="43" t="n">
        <v>46014</v>
      </c>
      <c r="J559" t="n">
        <v>202512</v>
      </c>
      <c r="K559" s="44" t="n">
        <v>3425</v>
      </c>
      <c r="L559" t="inlineStr">
        <is>
          <t>KG</t>
        </is>
      </c>
      <c r="M559" s="44" t="n">
        <v>5394078</v>
      </c>
      <c r="N559" s="44" t="n">
        <v>323645</v>
      </c>
      <c r="O559" t="n">
        <v>0</v>
      </c>
      <c r="P559" s="44" t="n">
        <v>5070433</v>
      </c>
      <c r="Q559" t="inlineStr">
        <is>
          <t>KRW</t>
        </is>
      </c>
      <c r="R559" t="inlineStr">
        <is>
          <t>INV2512-00558</t>
        </is>
      </c>
      <c r="S559" t="inlineStr">
        <is>
          <t>※예시데이터</t>
        </is>
      </c>
    </row>
    <row r="560">
      <c r="A560" t="n">
        <v>1000</v>
      </c>
      <c r="B560" t="inlineStr">
        <is>
          <t>범용수지사업부</t>
        </is>
      </c>
      <c r="C560" t="inlineStr">
        <is>
          <t>해외영업팀</t>
        </is>
      </c>
      <c r="D560" t="inlineStr">
        <is>
          <t>C10141</t>
        </is>
      </c>
      <c r="E560" t="inlineStr">
        <is>
          <t>Sinar Plastik (ID)</t>
        </is>
      </c>
      <c r="F560" t="inlineStr">
        <is>
          <t>PP</t>
        </is>
      </c>
      <c r="G560" t="inlineStr">
        <is>
          <t>M-1103</t>
        </is>
      </c>
      <c r="H560" t="inlineStr">
        <is>
          <t>PP 투명 R330</t>
        </is>
      </c>
      <c r="I560" s="43" t="n">
        <v>46014</v>
      </c>
      <c r="J560" t="n">
        <v>202512</v>
      </c>
      <c r="K560" s="44" t="n">
        <v>7900</v>
      </c>
      <c r="L560" t="inlineStr">
        <is>
          <t>KG</t>
        </is>
      </c>
      <c r="M560" s="44" t="n">
        <v>15276659</v>
      </c>
      <c r="N560" s="44" t="n">
        <v>1833199</v>
      </c>
      <c r="O560" t="n">
        <v>0</v>
      </c>
      <c r="P560" s="44" t="n">
        <v>13443460</v>
      </c>
      <c r="Q560" t="inlineStr">
        <is>
          <t>KRW</t>
        </is>
      </c>
      <c r="R560" t="inlineStr">
        <is>
          <t>INV2512-00559</t>
        </is>
      </c>
      <c r="S560" t="inlineStr">
        <is>
          <t>※예시데이터</t>
        </is>
      </c>
    </row>
    <row r="561">
      <c r="A561" t="n">
        <v>1000</v>
      </c>
      <c r="B561" t="inlineStr">
        <is>
          <t>EP사업부</t>
        </is>
      </c>
      <c r="C561" t="inlineStr">
        <is>
          <t>국내영업2팀</t>
        </is>
      </c>
      <c r="D561" t="inlineStr">
        <is>
          <t>C10015</t>
        </is>
      </c>
      <c r="E561" t="inlineStr">
        <is>
          <t>다솜케미칼</t>
        </is>
      </c>
      <c r="F561" t="inlineStr">
        <is>
          <t>PC</t>
        </is>
      </c>
      <c r="G561" t="inlineStr">
        <is>
          <t>M-2202</t>
        </is>
      </c>
      <c r="H561" t="inlineStr">
        <is>
          <t>PC 난연 FR200</t>
        </is>
      </c>
      <c r="I561" s="43" t="n">
        <v>46015</v>
      </c>
      <c r="J561" t="n">
        <v>202512</v>
      </c>
      <c r="K561" s="44" t="n">
        <v>1275</v>
      </c>
      <c r="L561" t="inlineStr">
        <is>
          <t>KG</t>
        </is>
      </c>
      <c r="M561" s="44" t="n">
        <v>5528394</v>
      </c>
      <c r="N561" s="44" t="n">
        <v>276420</v>
      </c>
      <c r="O561" t="n">
        <v>0</v>
      </c>
      <c r="P561" s="44" t="n">
        <v>5251974</v>
      </c>
      <c r="Q561" t="inlineStr">
        <is>
          <t>KRW</t>
        </is>
      </c>
      <c r="R561" t="inlineStr">
        <is>
          <t>INV2512-00560</t>
        </is>
      </c>
      <c r="S561" t="inlineStr">
        <is>
          <t>※예시데이터</t>
        </is>
      </c>
    </row>
    <row r="562">
      <c r="A562" t="n">
        <v>1000</v>
      </c>
      <c r="B562" t="inlineStr">
        <is>
          <t>EP사업부</t>
        </is>
      </c>
      <c r="C562" t="inlineStr">
        <is>
          <t>국내영업1팀</t>
        </is>
      </c>
      <c r="D562" t="inlineStr">
        <is>
          <t>C10078</t>
        </is>
      </c>
      <c r="E562" t="inlineStr">
        <is>
          <t>토담정공(주)</t>
        </is>
      </c>
      <c r="F562" t="inlineStr">
        <is>
          <t>ABS</t>
        </is>
      </c>
      <c r="G562" t="inlineStr">
        <is>
          <t>M-2102</t>
        </is>
      </c>
      <c r="H562" t="inlineStr">
        <is>
          <t>ABS 내열 HR500</t>
        </is>
      </c>
      <c r="I562" s="43" t="n">
        <v>46015</v>
      </c>
      <c r="J562" t="n">
        <v>202512</v>
      </c>
      <c r="K562" s="44" t="n">
        <v>5150</v>
      </c>
      <c r="L562" t="inlineStr">
        <is>
          <t>KG</t>
        </is>
      </c>
      <c r="M562" s="44" t="n">
        <v>15297591</v>
      </c>
      <c r="N562" s="44" t="n">
        <v>458928</v>
      </c>
      <c r="O562" t="n">
        <v>0</v>
      </c>
      <c r="P562" s="44" t="n">
        <v>14838663</v>
      </c>
      <c r="Q562" t="inlineStr">
        <is>
          <t>KRW</t>
        </is>
      </c>
      <c r="R562" t="inlineStr">
        <is>
          <t>INV2512-00561</t>
        </is>
      </c>
      <c r="S562" t="inlineStr">
        <is>
          <t>※예시데이터</t>
        </is>
      </c>
    </row>
    <row r="563">
      <c r="A563" t="n">
        <v>1000</v>
      </c>
      <c r="B563" t="inlineStr">
        <is>
          <t>EP사업부</t>
        </is>
      </c>
      <c r="C563" t="inlineStr">
        <is>
          <t>국내영업2팀</t>
        </is>
      </c>
      <c r="D563" t="inlineStr">
        <is>
          <t>C10085</t>
        </is>
      </c>
      <c r="E563" t="inlineStr">
        <is>
          <t>파란하이텍</t>
        </is>
      </c>
      <c r="F563" t="inlineStr">
        <is>
          <t>PC</t>
        </is>
      </c>
      <c r="G563" t="inlineStr">
        <is>
          <t>M-2202</t>
        </is>
      </c>
      <c r="H563" t="inlineStr">
        <is>
          <t>PC 난연 FR200</t>
        </is>
      </c>
      <c r="I563" s="43" t="n">
        <v>46015</v>
      </c>
      <c r="J563" t="n">
        <v>202512</v>
      </c>
      <c r="K563" s="44" t="n">
        <v>1825</v>
      </c>
      <c r="L563" t="inlineStr">
        <is>
          <t>KG</t>
        </is>
      </c>
      <c r="M563" s="44" t="n">
        <v>7913192</v>
      </c>
      <c r="N563" s="44" t="n">
        <v>474792</v>
      </c>
      <c r="O563" t="n">
        <v>0</v>
      </c>
      <c r="P563" s="44" t="n">
        <v>7438400</v>
      </c>
      <c r="Q563" t="inlineStr">
        <is>
          <t>KRW</t>
        </is>
      </c>
      <c r="R563" t="inlineStr">
        <is>
          <t>INV2512-00562</t>
        </is>
      </c>
      <c r="S563" t="inlineStr">
        <is>
          <t>※예시데이터</t>
        </is>
      </c>
    </row>
    <row r="564">
      <c r="A564" t="n">
        <v>1000</v>
      </c>
      <c r="B564" t="inlineStr">
        <is>
          <t>EP사업부</t>
        </is>
      </c>
      <c r="C564" t="inlineStr">
        <is>
          <t>국내영업1팀</t>
        </is>
      </c>
      <c r="D564" t="inlineStr">
        <is>
          <t>C10029</t>
        </is>
      </c>
      <c r="E564" t="inlineStr">
        <is>
          <t>마루정밀</t>
        </is>
      </c>
      <c r="F564" t="inlineStr">
        <is>
          <t>PC</t>
        </is>
      </c>
      <c r="G564" t="inlineStr">
        <is>
          <t>M-2201</t>
        </is>
      </c>
      <c r="H564" t="inlineStr">
        <is>
          <t>PC 일반 C100</t>
        </is>
      </c>
      <c r="I564" s="43" t="n">
        <v>46017</v>
      </c>
      <c r="J564" t="n">
        <v>202512</v>
      </c>
      <c r="K564" s="44" t="n">
        <v>2275</v>
      </c>
      <c r="L564" t="inlineStr">
        <is>
          <t>KG</t>
        </is>
      </c>
      <c r="M564" s="44" t="n">
        <v>8843936</v>
      </c>
      <c r="N564" s="44" t="n">
        <v>353757</v>
      </c>
      <c r="O564" t="n">
        <v>0</v>
      </c>
      <c r="P564" s="44" t="n">
        <v>8490179</v>
      </c>
      <c r="Q564" t="inlineStr">
        <is>
          <t>KRW</t>
        </is>
      </c>
      <c r="R564" t="inlineStr">
        <is>
          <t>INV2512-00563</t>
        </is>
      </c>
      <c r="S564" t="inlineStr">
        <is>
          <t>※예시데이터</t>
        </is>
      </c>
    </row>
    <row r="565">
      <c r="A565" t="n">
        <v>1000</v>
      </c>
      <c r="B565" t="inlineStr">
        <is>
          <t>EP사업부</t>
        </is>
      </c>
      <c r="C565" t="inlineStr">
        <is>
          <t>국내영업2팀</t>
        </is>
      </c>
      <c r="D565" t="inlineStr">
        <is>
          <t>C10099</t>
        </is>
      </c>
      <c r="E565" t="inlineStr">
        <is>
          <t>한울몰드</t>
        </is>
      </c>
      <c r="F565" t="inlineStr">
        <is>
          <t>ABS</t>
        </is>
      </c>
      <c r="G565" t="inlineStr">
        <is>
          <t>M-2102</t>
        </is>
      </c>
      <c r="H565" t="inlineStr">
        <is>
          <t>ABS 내열 HR500</t>
        </is>
      </c>
      <c r="I565" s="43" t="n">
        <v>46018</v>
      </c>
      <c r="J565" t="n">
        <v>202512</v>
      </c>
      <c r="K565" s="44" t="n">
        <v>1150</v>
      </c>
      <c r="L565" t="inlineStr">
        <is>
          <t>KG</t>
        </is>
      </c>
      <c r="M565" s="44" t="n">
        <v>3415967</v>
      </c>
      <c r="N565" s="44" t="n">
        <v>204958</v>
      </c>
      <c r="O565" t="n">
        <v>0</v>
      </c>
      <c r="P565" s="44" t="n">
        <v>3211009</v>
      </c>
      <c r="Q565" t="inlineStr">
        <is>
          <t>KRW</t>
        </is>
      </c>
      <c r="R565" t="inlineStr">
        <is>
          <t>INV2512-00564</t>
        </is>
      </c>
      <c r="S565" t="inlineStr">
        <is>
          <t>※예시데이터</t>
        </is>
      </c>
    </row>
    <row r="566">
      <c r="A566" t="n">
        <v>1000</v>
      </c>
      <c r="B566" t="inlineStr">
        <is>
          <t>범용수지사업부</t>
        </is>
      </c>
      <c r="C566" t="inlineStr">
        <is>
          <t>국내영업2팀</t>
        </is>
      </c>
      <c r="D566" t="inlineStr">
        <is>
          <t>C10127</t>
        </is>
      </c>
      <c r="E566" t="inlineStr">
        <is>
          <t>미르패키징</t>
        </is>
      </c>
      <c r="F566" t="inlineStr">
        <is>
          <t>PE</t>
        </is>
      </c>
      <c r="G566" t="inlineStr">
        <is>
          <t>M-1201</t>
        </is>
      </c>
      <c r="H566" t="inlineStr">
        <is>
          <t>HDPE 블로우 B500</t>
        </is>
      </c>
      <c r="I566" s="43" t="n">
        <v>46018</v>
      </c>
      <c r="J566" t="n">
        <v>202512</v>
      </c>
      <c r="K566" s="44" t="n">
        <v>3900</v>
      </c>
      <c r="L566" t="inlineStr">
        <is>
          <t>KG</t>
        </is>
      </c>
      <c r="M566" s="44" t="n">
        <v>6142162</v>
      </c>
      <c r="N566" s="44" t="n">
        <v>552795</v>
      </c>
      <c r="O566" t="n">
        <v>0</v>
      </c>
      <c r="P566" s="44" t="n">
        <v>5589367</v>
      </c>
      <c r="Q566" t="inlineStr">
        <is>
          <t>KRW</t>
        </is>
      </c>
      <c r="R566" t="inlineStr">
        <is>
          <t>INV2512-00565</t>
        </is>
      </c>
      <c r="S566" t="inlineStr">
        <is>
          <t>※예시데이터</t>
        </is>
      </c>
    </row>
    <row r="567">
      <c r="A567" t="n">
        <v>1000</v>
      </c>
      <c r="B567" t="inlineStr">
        <is>
          <t>EP사업부</t>
        </is>
      </c>
      <c r="C567" t="inlineStr">
        <is>
          <t>국내영업2팀</t>
        </is>
      </c>
      <c r="D567" t="inlineStr">
        <is>
          <t>C10022</t>
        </is>
      </c>
      <c r="E567" t="inlineStr">
        <is>
          <t>라온테크(주)</t>
        </is>
      </c>
      <c r="F567" t="inlineStr">
        <is>
          <t>ABS</t>
        </is>
      </c>
      <c r="G567" t="inlineStr">
        <is>
          <t>M-2101</t>
        </is>
      </c>
      <c r="H567" t="inlineStr">
        <is>
          <t>ABS 범용 G300</t>
        </is>
      </c>
      <c r="I567" s="43" t="n">
        <v>46023</v>
      </c>
      <c r="J567" t="n">
        <v>202601</v>
      </c>
      <c r="K567" s="44" t="n">
        <v>7250</v>
      </c>
      <c r="L567" t="inlineStr">
        <is>
          <t>KG</t>
        </is>
      </c>
      <c r="M567" s="44" t="n">
        <v>20081881</v>
      </c>
      <c r="N567" s="44" t="n">
        <v>2209007</v>
      </c>
      <c r="O567" t="n">
        <v>0</v>
      </c>
      <c r="P567" s="44" t="n">
        <v>17872874</v>
      </c>
      <c r="Q567" t="inlineStr">
        <is>
          <t>KRW</t>
        </is>
      </c>
      <c r="R567" t="inlineStr">
        <is>
          <t>INV2601-00566</t>
        </is>
      </c>
      <c r="S567" t="inlineStr">
        <is>
          <t>※예시데이터</t>
        </is>
      </c>
    </row>
    <row r="568">
      <c r="A568" t="n">
        <v>1000</v>
      </c>
      <c r="B568" t="inlineStr">
        <is>
          <t>범용수지사업부</t>
        </is>
      </c>
      <c r="C568" t="inlineStr">
        <is>
          <t>국내영업1팀</t>
        </is>
      </c>
      <c r="D568" t="inlineStr">
        <is>
          <t>C10001</t>
        </is>
      </c>
      <c r="E568" t="inlineStr">
        <is>
          <t>가온소재(주)</t>
        </is>
      </c>
      <c r="F568" t="inlineStr">
        <is>
          <t>PP</t>
        </is>
      </c>
      <c r="G568" t="inlineStr">
        <is>
          <t>M-1102</t>
        </is>
      </c>
      <c r="H568" t="inlineStr">
        <is>
          <t>PP 고강성 H220</t>
        </is>
      </c>
      <c r="I568" s="43" t="n">
        <v>46024</v>
      </c>
      <c r="J568" t="n">
        <v>202601</v>
      </c>
      <c r="K568" s="44" t="n">
        <v>4000</v>
      </c>
      <c r="L568" t="inlineStr">
        <is>
          <t>KG</t>
        </is>
      </c>
      <c r="M568" s="44" t="n">
        <v>7536258</v>
      </c>
      <c r="N568" s="44" t="n">
        <v>376813</v>
      </c>
      <c r="O568" t="n">
        <v>0</v>
      </c>
      <c r="P568" s="44" t="n">
        <v>7159445</v>
      </c>
      <c r="Q568" t="inlineStr">
        <is>
          <t>KRW</t>
        </is>
      </c>
      <c r="R568" t="inlineStr">
        <is>
          <t>INV2601-00567</t>
        </is>
      </c>
      <c r="S568" t="inlineStr">
        <is>
          <t>※예시데이터</t>
        </is>
      </c>
    </row>
    <row r="569">
      <c r="A569" t="n">
        <v>1000</v>
      </c>
      <c r="B569" t="inlineStr">
        <is>
          <t>범용수지사업부</t>
        </is>
      </c>
      <c r="C569" t="inlineStr">
        <is>
          <t>국내영업2팀</t>
        </is>
      </c>
      <c r="D569" t="inlineStr">
        <is>
          <t>C10099</t>
        </is>
      </c>
      <c r="E569" t="inlineStr">
        <is>
          <t>한울몰드</t>
        </is>
      </c>
      <c r="F569" t="inlineStr">
        <is>
          <t>PP</t>
        </is>
      </c>
      <c r="G569" t="inlineStr">
        <is>
          <t>M-1101</t>
        </is>
      </c>
      <c r="H569" t="inlineStr">
        <is>
          <t>PP 범용사출 H110</t>
        </is>
      </c>
      <c r="I569" s="43" t="n">
        <v>46024</v>
      </c>
      <c r="J569" t="n">
        <v>202601</v>
      </c>
      <c r="K569" s="44" t="n">
        <v>2700</v>
      </c>
      <c r="L569" t="inlineStr">
        <is>
          <t>KG</t>
        </is>
      </c>
      <c r="M569" s="44" t="n">
        <v>4611817</v>
      </c>
      <c r="N569" s="44" t="n">
        <v>299768</v>
      </c>
      <c r="O569" t="n">
        <v>0</v>
      </c>
      <c r="P569" s="44" t="n">
        <v>4312049</v>
      </c>
      <c r="Q569" t="inlineStr">
        <is>
          <t>KRW</t>
        </is>
      </c>
      <c r="R569" t="inlineStr">
        <is>
          <t>INV2601-00568</t>
        </is>
      </c>
      <c r="S569" t="inlineStr">
        <is>
          <t>※예시데이터</t>
        </is>
      </c>
    </row>
    <row r="570">
      <c r="A570" t="n">
        <v>1000</v>
      </c>
      <c r="B570" t="inlineStr">
        <is>
          <t>범용수지사업부</t>
        </is>
      </c>
      <c r="C570" t="inlineStr">
        <is>
          <t>해외영업팀</t>
        </is>
      </c>
      <c r="D570" t="inlineStr">
        <is>
          <t>C10141</t>
        </is>
      </c>
      <c r="E570" t="inlineStr">
        <is>
          <t>Sinar Plastik (ID)</t>
        </is>
      </c>
      <c r="F570" t="inlineStr">
        <is>
          <t>PP</t>
        </is>
      </c>
      <c r="G570" t="inlineStr">
        <is>
          <t>M-1102</t>
        </is>
      </c>
      <c r="H570" t="inlineStr">
        <is>
          <t>PP 고강성 H220</t>
        </is>
      </c>
      <c r="I570" s="43" t="n">
        <v>46025</v>
      </c>
      <c r="J570" t="n">
        <v>202601</v>
      </c>
      <c r="K570" s="44" t="n">
        <v>7250</v>
      </c>
      <c r="L570" t="inlineStr">
        <is>
          <t>KG</t>
        </is>
      </c>
      <c r="M570" s="44" t="n">
        <v>13659468</v>
      </c>
      <c r="N570" s="44" t="n">
        <v>1912326</v>
      </c>
      <c r="O570" t="n">
        <v>0</v>
      </c>
      <c r="P570" s="44" t="n">
        <v>11747142</v>
      </c>
      <c r="Q570" t="inlineStr">
        <is>
          <t>KRW</t>
        </is>
      </c>
      <c r="R570" t="inlineStr">
        <is>
          <t>INV2601-00569</t>
        </is>
      </c>
      <c r="S570" t="inlineStr">
        <is>
          <t>※예시데이터</t>
        </is>
      </c>
    </row>
    <row r="571">
      <c r="A571" t="n">
        <v>1000</v>
      </c>
      <c r="B571" t="inlineStr">
        <is>
          <t>범용수지사업부</t>
        </is>
      </c>
      <c r="C571" t="inlineStr">
        <is>
          <t>국내영업1팀</t>
        </is>
      </c>
      <c r="D571" t="inlineStr">
        <is>
          <t>C10001</t>
        </is>
      </c>
      <c r="E571" t="inlineStr">
        <is>
          <t>가온소재(주)</t>
        </is>
      </c>
      <c r="F571" t="inlineStr">
        <is>
          <t>PE</t>
        </is>
      </c>
      <c r="G571" t="inlineStr">
        <is>
          <t>M-1202</t>
        </is>
      </c>
      <c r="H571" t="inlineStr">
        <is>
          <t>LLDPE 필름 F120</t>
        </is>
      </c>
      <c r="I571" s="43" t="n">
        <v>46026</v>
      </c>
      <c r="J571" t="n">
        <v>202601</v>
      </c>
      <c r="K571" s="44" t="n">
        <v>3600</v>
      </c>
      <c r="L571" t="inlineStr">
        <is>
          <t>KG</t>
        </is>
      </c>
      <c r="M571" s="44" t="n">
        <v>6094274</v>
      </c>
      <c r="N571" s="44" t="n">
        <v>304714</v>
      </c>
      <c r="O571" t="n">
        <v>0</v>
      </c>
      <c r="P571" s="44" t="n">
        <v>5789560</v>
      </c>
      <c r="Q571" t="inlineStr">
        <is>
          <t>KRW</t>
        </is>
      </c>
      <c r="R571" t="inlineStr">
        <is>
          <t>INV2601-00570</t>
        </is>
      </c>
      <c r="S571" t="inlineStr">
        <is>
          <t>※예시데이터</t>
        </is>
      </c>
    </row>
    <row r="572">
      <c r="A572" t="n">
        <v>1000</v>
      </c>
      <c r="B572" t="inlineStr">
        <is>
          <t>범용수지사업부</t>
        </is>
      </c>
      <c r="C572" t="inlineStr">
        <is>
          <t>국내영업2팀</t>
        </is>
      </c>
      <c r="D572" t="inlineStr">
        <is>
          <t>C10050</t>
        </is>
      </c>
      <c r="E572" t="inlineStr">
        <is>
          <t>아름화학(주)</t>
        </is>
      </c>
      <c r="F572" t="inlineStr">
        <is>
          <t>PE</t>
        </is>
      </c>
      <c r="G572" t="inlineStr">
        <is>
          <t>M-1201</t>
        </is>
      </c>
      <c r="H572" t="inlineStr">
        <is>
          <t>HDPE 블로우 B500</t>
        </is>
      </c>
      <c r="I572" s="43" t="n">
        <v>46026</v>
      </c>
      <c r="J572" t="n">
        <v>202601</v>
      </c>
      <c r="K572" s="44" t="n">
        <v>4825</v>
      </c>
      <c r="L572" t="inlineStr">
        <is>
          <t>KG</t>
        </is>
      </c>
      <c r="M572" s="44" t="n">
        <v>7547060</v>
      </c>
      <c r="N572" s="44" t="n">
        <v>792441</v>
      </c>
      <c r="O572" s="44" t="n">
        <v>75471</v>
      </c>
      <c r="P572" s="44" t="n">
        <v>6679148</v>
      </c>
      <c r="Q572" t="inlineStr">
        <is>
          <t>KRW</t>
        </is>
      </c>
      <c r="R572" t="inlineStr">
        <is>
          <t>INV2601-00571</t>
        </is>
      </c>
      <c r="S572" t="inlineStr">
        <is>
          <t>※예시데이터</t>
        </is>
      </c>
    </row>
    <row r="573">
      <c r="A573" t="n">
        <v>1000</v>
      </c>
      <c r="B573" t="inlineStr">
        <is>
          <t>EP사업부</t>
        </is>
      </c>
      <c r="C573" t="inlineStr">
        <is>
          <t>국내영업1팀</t>
        </is>
      </c>
      <c r="D573" t="inlineStr">
        <is>
          <t>C10057</t>
        </is>
      </c>
      <c r="E573" t="inlineStr">
        <is>
          <t>자연엠텍</t>
        </is>
      </c>
      <c r="F573" t="inlineStr">
        <is>
          <t>ABS</t>
        </is>
      </c>
      <c r="G573" t="inlineStr">
        <is>
          <t>M-2101</t>
        </is>
      </c>
      <c r="H573" t="inlineStr">
        <is>
          <t>ABS 범용 G300</t>
        </is>
      </c>
      <c r="I573" s="43" t="n">
        <v>46026</v>
      </c>
      <c r="J573" t="n">
        <v>202601</v>
      </c>
      <c r="K573" s="44" t="n">
        <v>2500</v>
      </c>
      <c r="L573" t="inlineStr">
        <is>
          <t>KG</t>
        </is>
      </c>
      <c r="M573" s="44" t="n">
        <v>6924786</v>
      </c>
      <c r="N573" s="44" t="n">
        <v>242368</v>
      </c>
      <c r="O573" t="n">
        <v>0</v>
      </c>
      <c r="P573" s="44" t="n">
        <v>6682418</v>
      </c>
      <c r="Q573" t="inlineStr">
        <is>
          <t>KRW</t>
        </is>
      </c>
      <c r="R573" t="inlineStr">
        <is>
          <t>INV2601-00572</t>
        </is>
      </c>
      <c r="S573" t="inlineStr">
        <is>
          <t>※예시데이터</t>
        </is>
      </c>
    </row>
    <row r="574">
      <c r="A574" t="n">
        <v>1000</v>
      </c>
      <c r="B574" t="inlineStr">
        <is>
          <t>EP사업부</t>
        </is>
      </c>
      <c r="C574" t="inlineStr">
        <is>
          <t>국내영업2팀</t>
        </is>
      </c>
      <c r="D574" t="inlineStr">
        <is>
          <t>C10113</t>
        </is>
      </c>
      <c r="E574" t="inlineStr">
        <is>
          <t>누리오토파츠</t>
        </is>
      </c>
      <c r="F574" t="inlineStr">
        <is>
          <t>ABS</t>
        </is>
      </c>
      <c r="G574" t="inlineStr">
        <is>
          <t>M-2101</t>
        </is>
      </c>
      <c r="H574" t="inlineStr">
        <is>
          <t>ABS 범용 G300</t>
        </is>
      </c>
      <c r="I574" s="43" t="n">
        <v>46026</v>
      </c>
      <c r="J574" t="n">
        <v>202601</v>
      </c>
      <c r="K574" s="44" t="n">
        <v>3650</v>
      </c>
      <c r="L574" t="inlineStr">
        <is>
          <t>KG</t>
        </is>
      </c>
      <c r="M574" s="44" t="n">
        <v>10110188</v>
      </c>
      <c r="N574" s="44" t="n">
        <v>909917</v>
      </c>
      <c r="O574" s="44" t="n">
        <v>101102</v>
      </c>
      <c r="P574" s="44" t="n">
        <v>9099169</v>
      </c>
      <c r="Q574" t="inlineStr">
        <is>
          <t>KRW</t>
        </is>
      </c>
      <c r="R574" t="inlineStr">
        <is>
          <t>INV2601-00573</t>
        </is>
      </c>
      <c r="S574" t="inlineStr">
        <is>
          <t>※예시데이터</t>
        </is>
      </c>
    </row>
    <row r="575">
      <c r="A575" t="n">
        <v>1000</v>
      </c>
      <c r="B575" t="inlineStr">
        <is>
          <t>EP사업부</t>
        </is>
      </c>
      <c r="C575" t="inlineStr">
        <is>
          <t>국내영업2팀</t>
        </is>
      </c>
      <c r="D575" t="inlineStr">
        <is>
          <t>C10022</t>
        </is>
      </c>
      <c r="E575" t="inlineStr">
        <is>
          <t>라온테크(주)</t>
        </is>
      </c>
      <c r="F575" t="inlineStr">
        <is>
          <t>ABS</t>
        </is>
      </c>
      <c r="G575" t="inlineStr">
        <is>
          <t>M-2102</t>
        </is>
      </c>
      <c r="H575" t="inlineStr">
        <is>
          <t>ABS 내열 HR500</t>
        </is>
      </c>
      <c r="I575" s="43" t="n">
        <v>46028</v>
      </c>
      <c r="J575" t="n">
        <v>202601</v>
      </c>
      <c r="K575" s="44" t="n">
        <v>6600</v>
      </c>
      <c r="L575" t="inlineStr">
        <is>
          <t>KG</t>
        </is>
      </c>
      <c r="M575" s="44" t="n">
        <v>20557992</v>
      </c>
      <c r="N575" s="44" t="n">
        <v>2261379</v>
      </c>
      <c r="O575" t="n">
        <v>0</v>
      </c>
      <c r="P575" s="44" t="n">
        <v>18296613</v>
      </c>
      <c r="Q575" t="inlineStr">
        <is>
          <t>KRW</t>
        </is>
      </c>
      <c r="R575" t="inlineStr">
        <is>
          <t>INV2601-00574</t>
        </is>
      </c>
      <c r="S575" t="inlineStr">
        <is>
          <t>※예시데이터</t>
        </is>
      </c>
    </row>
    <row r="576">
      <c r="A576" t="n">
        <v>1000</v>
      </c>
      <c r="B576" t="inlineStr">
        <is>
          <t>범용수지사업부</t>
        </is>
      </c>
      <c r="C576" t="inlineStr">
        <is>
          <t>해외영업팀</t>
        </is>
      </c>
      <c r="D576" t="inlineStr">
        <is>
          <t>C10071</t>
        </is>
      </c>
      <c r="E576" t="inlineStr">
        <is>
          <t>큰별코리아</t>
        </is>
      </c>
      <c r="F576" t="inlineStr">
        <is>
          <t>PE</t>
        </is>
      </c>
      <c r="G576" t="inlineStr">
        <is>
          <t>M-1201</t>
        </is>
      </c>
      <c r="H576" t="inlineStr">
        <is>
          <t>HDPE 블로우 B500</t>
        </is>
      </c>
      <c r="I576" s="43" t="n">
        <v>46028</v>
      </c>
      <c r="J576" t="n">
        <v>202601</v>
      </c>
      <c r="K576" s="44" t="n">
        <v>3725</v>
      </c>
      <c r="L576" t="inlineStr">
        <is>
          <t>KG</t>
        </is>
      </c>
      <c r="M576" s="44" t="n">
        <v>5826487</v>
      </c>
      <c r="N576" s="44" t="n">
        <v>728311</v>
      </c>
      <c r="O576" s="44" t="n">
        <v>116530</v>
      </c>
      <c r="P576" s="44" t="n">
        <v>4981646</v>
      </c>
      <c r="Q576" t="inlineStr">
        <is>
          <t>KRW</t>
        </is>
      </c>
      <c r="R576" t="inlineStr">
        <is>
          <t>INV2601-00575</t>
        </is>
      </c>
      <c r="S576" t="inlineStr">
        <is>
          <t>※예시데이터</t>
        </is>
      </c>
    </row>
    <row r="577">
      <c r="A577" t="n">
        <v>1000</v>
      </c>
      <c r="B577" t="inlineStr">
        <is>
          <t>EP사업부</t>
        </is>
      </c>
      <c r="C577" t="inlineStr">
        <is>
          <t>국내영업1팀</t>
        </is>
      </c>
      <c r="D577" t="inlineStr">
        <is>
          <t>C10078</t>
        </is>
      </c>
      <c r="E577" t="inlineStr">
        <is>
          <t>토담정공(주)</t>
        </is>
      </c>
      <c r="F577" t="inlineStr">
        <is>
          <t>ABS</t>
        </is>
      </c>
      <c r="G577" t="inlineStr">
        <is>
          <t>M-2102</t>
        </is>
      </c>
      <c r="H577" t="inlineStr">
        <is>
          <t>ABS 내열 HR500</t>
        </is>
      </c>
      <c r="I577" s="43" t="n">
        <v>46028</v>
      </c>
      <c r="J577" t="n">
        <v>202601</v>
      </c>
      <c r="K577" s="44" t="n">
        <v>2325</v>
      </c>
      <c r="L577" t="inlineStr">
        <is>
          <t>KG</t>
        </is>
      </c>
      <c r="M577" s="44" t="n">
        <v>7242020</v>
      </c>
      <c r="N577" s="44" t="n">
        <v>217261</v>
      </c>
      <c r="O577" t="n">
        <v>0</v>
      </c>
      <c r="P577" s="44" t="n">
        <v>7024759</v>
      </c>
      <c r="Q577" t="inlineStr">
        <is>
          <t>KRW</t>
        </is>
      </c>
      <c r="R577" t="inlineStr">
        <is>
          <t>INV2601-00576</t>
        </is>
      </c>
      <c r="S577" t="inlineStr">
        <is>
          <t>※예시데이터</t>
        </is>
      </c>
    </row>
    <row r="578">
      <c r="A578" t="n">
        <v>1000</v>
      </c>
      <c r="B578" t="inlineStr">
        <is>
          <t>범용수지사업부</t>
        </is>
      </c>
      <c r="C578" t="inlineStr">
        <is>
          <t>국내영업1팀</t>
        </is>
      </c>
      <c r="D578" t="inlineStr">
        <is>
          <t>C10092</t>
        </is>
      </c>
      <c r="E578" t="inlineStr">
        <is>
          <t>하늘포장(주)</t>
        </is>
      </c>
      <c r="F578" t="inlineStr">
        <is>
          <t>PE</t>
        </is>
      </c>
      <c r="G578" t="inlineStr">
        <is>
          <t>M-1201</t>
        </is>
      </c>
      <c r="H578" t="inlineStr">
        <is>
          <t>HDPE 블로우 B500</t>
        </is>
      </c>
      <c r="I578" s="43" t="n">
        <v>46028</v>
      </c>
      <c r="J578" t="n">
        <v>202601</v>
      </c>
      <c r="K578" s="44" t="n">
        <v>14625</v>
      </c>
      <c r="L578" t="inlineStr">
        <is>
          <t>KG</t>
        </is>
      </c>
      <c r="M578" s="44" t="n">
        <v>22875803</v>
      </c>
      <c r="N578" s="44" t="n">
        <v>1601306</v>
      </c>
      <c r="O578" t="n">
        <v>0</v>
      </c>
      <c r="P578" s="44" t="n">
        <v>21274497</v>
      </c>
      <c r="Q578" t="inlineStr">
        <is>
          <t>KRW</t>
        </is>
      </c>
      <c r="R578" t="inlineStr">
        <is>
          <t>INV2601-00577</t>
        </is>
      </c>
      <c r="S578" t="inlineStr">
        <is>
          <t>※예시데이터</t>
        </is>
      </c>
    </row>
    <row r="579">
      <c r="A579" t="n">
        <v>1000</v>
      </c>
      <c r="B579" t="inlineStr">
        <is>
          <t>범용수지사업부</t>
        </is>
      </c>
      <c r="C579" t="inlineStr">
        <is>
          <t>국내영업1팀</t>
        </is>
      </c>
      <c r="D579" t="inlineStr">
        <is>
          <t>C10106</t>
        </is>
      </c>
      <c r="E579" t="inlineStr">
        <is>
          <t>온새미사출</t>
        </is>
      </c>
      <c r="F579" t="inlineStr">
        <is>
          <t>PP</t>
        </is>
      </c>
      <c r="G579" t="inlineStr">
        <is>
          <t>M-1101</t>
        </is>
      </c>
      <c r="H579" t="inlineStr">
        <is>
          <t>PP 범용사출 H110</t>
        </is>
      </c>
      <c r="I579" s="43" t="n">
        <v>46028</v>
      </c>
      <c r="J579" t="n">
        <v>202601</v>
      </c>
      <c r="K579" s="44" t="n">
        <v>4950</v>
      </c>
      <c r="L579" t="inlineStr">
        <is>
          <t>KG</t>
        </is>
      </c>
      <c r="M579" s="44" t="n">
        <v>8454998</v>
      </c>
      <c r="N579" s="44" t="n">
        <v>422750</v>
      </c>
      <c r="O579" t="n">
        <v>0</v>
      </c>
      <c r="P579" s="44" t="n">
        <v>8032248</v>
      </c>
      <c r="Q579" t="inlineStr">
        <is>
          <t>KRW</t>
        </is>
      </c>
      <c r="R579" t="inlineStr">
        <is>
          <t>INV2601-00578</t>
        </is>
      </c>
      <c r="S579" t="inlineStr">
        <is>
          <t>※예시데이터</t>
        </is>
      </c>
    </row>
    <row r="580">
      <c r="A580" t="n">
        <v>1000</v>
      </c>
      <c r="B580" t="inlineStr">
        <is>
          <t>범용수지사업부</t>
        </is>
      </c>
      <c r="C580" t="inlineStr">
        <is>
          <t>해외영업팀</t>
        </is>
      </c>
      <c r="D580" t="inlineStr">
        <is>
          <t>C10071</t>
        </is>
      </c>
      <c r="E580" t="inlineStr">
        <is>
          <t>큰별코리아</t>
        </is>
      </c>
      <c r="F580" t="inlineStr">
        <is>
          <t>PP</t>
        </is>
      </c>
      <c r="G580" t="inlineStr">
        <is>
          <t>M-1101</t>
        </is>
      </c>
      <c r="H580" t="inlineStr">
        <is>
          <t>PP 범용사출 H110</t>
        </is>
      </c>
      <c r="I580" s="43" t="n">
        <v>46029</v>
      </c>
      <c r="J580" t="n">
        <v>202601</v>
      </c>
      <c r="K580" s="44" t="n">
        <v>8600</v>
      </c>
      <c r="L580" t="inlineStr">
        <is>
          <t>KG</t>
        </is>
      </c>
      <c r="M580" s="44" t="n">
        <v>14689492</v>
      </c>
      <c r="N580" s="44" t="n">
        <v>1836186</v>
      </c>
      <c r="O580" s="44" t="n">
        <v>293790</v>
      </c>
      <c r="P580" s="44" t="n">
        <v>12559516</v>
      </c>
      <c r="Q580" t="inlineStr">
        <is>
          <t>KRW</t>
        </is>
      </c>
      <c r="R580" t="inlineStr">
        <is>
          <t>INV2601-00579</t>
        </is>
      </c>
      <c r="S580" t="inlineStr">
        <is>
          <t>※예시데이터</t>
        </is>
      </c>
    </row>
    <row r="581">
      <c r="A581" t="n">
        <v>1000</v>
      </c>
      <c r="B581" t="inlineStr">
        <is>
          <t>범용수지사업부</t>
        </is>
      </c>
      <c r="C581" t="inlineStr">
        <is>
          <t>국내영업2팀</t>
        </is>
      </c>
      <c r="D581" t="inlineStr">
        <is>
          <t>C10050</t>
        </is>
      </c>
      <c r="E581" t="inlineStr">
        <is>
          <t>아름화학(주)</t>
        </is>
      </c>
      <c r="F581" t="inlineStr">
        <is>
          <t>PE</t>
        </is>
      </c>
      <c r="G581" t="inlineStr">
        <is>
          <t>M-1201</t>
        </is>
      </c>
      <c r="H581" t="inlineStr">
        <is>
          <t>HDPE 블로우 B500</t>
        </is>
      </c>
      <c r="I581" s="43" t="n">
        <v>46030</v>
      </c>
      <c r="J581" t="n">
        <v>202601</v>
      </c>
      <c r="K581" s="44" t="n">
        <v>4825</v>
      </c>
      <c r="L581" t="inlineStr">
        <is>
          <t>KG</t>
        </is>
      </c>
      <c r="M581" s="44" t="n">
        <v>7547060</v>
      </c>
      <c r="N581" s="44" t="n">
        <v>792441</v>
      </c>
      <c r="O581" s="44" t="n">
        <v>75471</v>
      </c>
      <c r="P581" s="44" t="n">
        <v>6679148</v>
      </c>
      <c r="Q581" t="inlineStr">
        <is>
          <t>KRW</t>
        </is>
      </c>
      <c r="R581" t="inlineStr">
        <is>
          <t>INV2601-00580</t>
        </is>
      </c>
      <c r="S581" t="inlineStr">
        <is>
          <t>※예시데이터</t>
        </is>
      </c>
    </row>
    <row r="582">
      <c r="A582" t="n">
        <v>1000</v>
      </c>
      <c r="B582" t="inlineStr">
        <is>
          <t>EP사업부</t>
        </is>
      </c>
      <c r="C582" t="inlineStr">
        <is>
          <t>국내영업1팀</t>
        </is>
      </c>
      <c r="D582" t="inlineStr">
        <is>
          <t>C10057</t>
        </is>
      </c>
      <c r="E582" t="inlineStr">
        <is>
          <t>자연엠텍</t>
        </is>
      </c>
      <c r="F582" t="inlineStr">
        <is>
          <t>PC</t>
        </is>
      </c>
      <c r="G582" t="inlineStr">
        <is>
          <t>M-2201</t>
        </is>
      </c>
      <c r="H582" t="inlineStr">
        <is>
          <t>PC 일반 C100</t>
        </is>
      </c>
      <c r="I582" s="43" t="n">
        <v>46030</v>
      </c>
      <c r="J582" t="n">
        <v>202601</v>
      </c>
      <c r="K582" s="44" t="n">
        <v>4800</v>
      </c>
      <c r="L582" t="inlineStr">
        <is>
          <t>KG</t>
        </is>
      </c>
      <c r="M582" s="44" t="n">
        <v>19190804</v>
      </c>
      <c r="N582" s="44" t="n">
        <v>671678</v>
      </c>
      <c r="O582" t="n">
        <v>0</v>
      </c>
      <c r="P582" s="44" t="n">
        <v>18519126</v>
      </c>
      <c r="Q582" t="inlineStr">
        <is>
          <t>KRW</t>
        </is>
      </c>
      <c r="R582" t="inlineStr">
        <is>
          <t>INV2601-00581</t>
        </is>
      </c>
      <c r="S582" t="inlineStr">
        <is>
          <t>※예시데이터</t>
        </is>
      </c>
    </row>
    <row r="583">
      <c r="A583" t="n">
        <v>1000</v>
      </c>
      <c r="B583" t="inlineStr">
        <is>
          <t>EP사업부</t>
        </is>
      </c>
      <c r="C583" t="inlineStr">
        <is>
          <t>국내영업1팀</t>
        </is>
      </c>
      <c r="D583" t="inlineStr">
        <is>
          <t>C10078</t>
        </is>
      </c>
      <c r="E583" t="inlineStr">
        <is>
          <t>토담정공(주)</t>
        </is>
      </c>
      <c r="F583" t="inlineStr">
        <is>
          <t>ABS</t>
        </is>
      </c>
      <c r="G583" t="inlineStr">
        <is>
          <t>M-2102</t>
        </is>
      </c>
      <c r="H583" t="inlineStr">
        <is>
          <t>ABS 내열 HR500</t>
        </is>
      </c>
      <c r="I583" s="43" t="n">
        <v>46030</v>
      </c>
      <c r="J583" t="n">
        <v>202601</v>
      </c>
      <c r="K583" s="44" t="n">
        <v>2325</v>
      </c>
      <c r="L583" t="inlineStr">
        <is>
          <t>KG</t>
        </is>
      </c>
      <c r="M583" s="44" t="n">
        <v>7242020</v>
      </c>
      <c r="N583" s="44" t="n">
        <v>217261</v>
      </c>
      <c r="O583" t="n">
        <v>0</v>
      </c>
      <c r="P583" s="44" t="n">
        <v>7024759</v>
      </c>
      <c r="Q583" t="inlineStr">
        <is>
          <t>KRW</t>
        </is>
      </c>
      <c r="R583" t="inlineStr">
        <is>
          <t>INV2601-00582</t>
        </is>
      </c>
      <c r="S583" t="inlineStr">
        <is>
          <t>※예시데이터</t>
        </is>
      </c>
    </row>
    <row r="584">
      <c r="A584" t="n">
        <v>1000</v>
      </c>
      <c r="B584" t="inlineStr">
        <is>
          <t>EP사업부</t>
        </is>
      </c>
      <c r="C584" t="inlineStr">
        <is>
          <t>국내영업2팀</t>
        </is>
      </c>
      <c r="D584" t="inlineStr">
        <is>
          <t>C10085</t>
        </is>
      </c>
      <c r="E584" t="inlineStr">
        <is>
          <t>파란하이텍</t>
        </is>
      </c>
      <c r="F584" t="inlineStr">
        <is>
          <t>PC</t>
        </is>
      </c>
      <c r="G584" t="inlineStr">
        <is>
          <t>M-2201</t>
        </is>
      </c>
      <c r="H584" t="inlineStr">
        <is>
          <t>PC 일반 C100</t>
        </is>
      </c>
      <c r="I584" s="43" t="n">
        <v>46030</v>
      </c>
      <c r="J584" t="n">
        <v>202601</v>
      </c>
      <c r="K584" s="44" t="n">
        <v>2275</v>
      </c>
      <c r="L584" t="inlineStr">
        <is>
          <t>KG</t>
        </is>
      </c>
      <c r="M584" s="44" t="n">
        <v>9095642</v>
      </c>
      <c r="N584" s="44" t="n">
        <v>818608</v>
      </c>
      <c r="O584" t="n">
        <v>0</v>
      </c>
      <c r="P584" s="44" t="n">
        <v>8277034</v>
      </c>
      <c r="Q584" t="inlineStr">
        <is>
          <t>KRW</t>
        </is>
      </c>
      <c r="R584" t="inlineStr">
        <is>
          <t>INV2601-00583</t>
        </is>
      </c>
      <c r="S584" t="inlineStr">
        <is>
          <t>※예시데이터</t>
        </is>
      </c>
    </row>
    <row r="585">
      <c r="A585" t="n">
        <v>1000</v>
      </c>
      <c r="B585" t="inlineStr">
        <is>
          <t>EP사업부</t>
        </is>
      </c>
      <c r="C585" t="inlineStr">
        <is>
          <t>국내영업2팀</t>
        </is>
      </c>
      <c r="D585" t="inlineStr">
        <is>
          <t>C10113</t>
        </is>
      </c>
      <c r="E585" t="inlineStr">
        <is>
          <t>누리오토파츠</t>
        </is>
      </c>
      <c r="F585" t="inlineStr">
        <is>
          <t>ABS</t>
        </is>
      </c>
      <c r="G585" t="inlineStr">
        <is>
          <t>M-2102</t>
        </is>
      </c>
      <c r="H585" t="inlineStr">
        <is>
          <t>ABS 내열 HR500</t>
        </is>
      </c>
      <c r="I585" s="43" t="n">
        <v>46030</v>
      </c>
      <c r="J585" t="n">
        <v>202601</v>
      </c>
      <c r="K585" s="44" t="n">
        <v>4475</v>
      </c>
      <c r="L585" t="inlineStr">
        <is>
          <t>KG</t>
        </is>
      </c>
      <c r="M585" s="44" t="n">
        <v>13938942</v>
      </c>
      <c r="N585" s="44" t="n">
        <v>1254505</v>
      </c>
      <c r="O585" s="44" t="n">
        <v>139389</v>
      </c>
      <c r="P585" s="44" t="n">
        <v>12545048</v>
      </c>
      <c r="Q585" t="inlineStr">
        <is>
          <t>KRW</t>
        </is>
      </c>
      <c r="R585" t="inlineStr">
        <is>
          <t>INV2601-00584</t>
        </is>
      </c>
      <c r="S585" t="inlineStr">
        <is>
          <t>※예시데이터</t>
        </is>
      </c>
    </row>
    <row r="586">
      <c r="A586" t="n">
        <v>1000</v>
      </c>
      <c r="B586" t="inlineStr">
        <is>
          <t>범용수지사업부</t>
        </is>
      </c>
      <c r="C586" t="inlineStr">
        <is>
          <t>국내영업1팀</t>
        </is>
      </c>
      <c r="D586" t="inlineStr">
        <is>
          <t>C10001</t>
        </is>
      </c>
      <c r="E586" t="inlineStr">
        <is>
          <t>가온소재(주)</t>
        </is>
      </c>
      <c r="F586" t="inlineStr">
        <is>
          <t>PP</t>
        </is>
      </c>
      <c r="G586" t="inlineStr">
        <is>
          <t>M-1103</t>
        </is>
      </c>
      <c r="H586" t="inlineStr">
        <is>
          <t>PP 투명 R330</t>
        </is>
      </c>
      <c r="I586" s="43" t="n">
        <v>46031</v>
      </c>
      <c r="J586" t="n">
        <v>202601</v>
      </c>
      <c r="K586" s="44" t="n">
        <v>3150</v>
      </c>
      <c r="L586" t="inlineStr">
        <is>
          <t>KG</t>
        </is>
      </c>
      <c r="M586" s="44" t="n">
        <v>6326109</v>
      </c>
      <c r="N586" s="44" t="n">
        <v>316305</v>
      </c>
      <c r="O586" t="n">
        <v>0</v>
      </c>
      <c r="P586" s="44" t="n">
        <v>6009804</v>
      </c>
      <c r="Q586" t="inlineStr">
        <is>
          <t>KRW</t>
        </is>
      </c>
      <c r="R586" t="inlineStr">
        <is>
          <t>INV2601-00585</t>
        </is>
      </c>
      <c r="S586" t="inlineStr">
        <is>
          <t>※예시데이터</t>
        </is>
      </c>
    </row>
    <row r="587">
      <c r="A587" t="n">
        <v>1000</v>
      </c>
      <c r="B587" t="inlineStr">
        <is>
          <t>EP사업부</t>
        </is>
      </c>
      <c r="C587" t="inlineStr">
        <is>
          <t>국내영업2팀</t>
        </is>
      </c>
      <c r="D587" t="inlineStr">
        <is>
          <t>C10015</t>
        </is>
      </c>
      <c r="E587" t="inlineStr">
        <is>
          <t>다솜케미칼</t>
        </is>
      </c>
      <c r="F587" t="inlineStr">
        <is>
          <t>PC</t>
        </is>
      </c>
      <c r="G587" t="inlineStr">
        <is>
          <t>M-2201</t>
        </is>
      </c>
      <c r="H587" t="inlineStr">
        <is>
          <t>PC 일반 C100</t>
        </is>
      </c>
      <c r="I587" s="43" t="n">
        <v>46031</v>
      </c>
      <c r="J587" t="n">
        <v>202601</v>
      </c>
      <c r="K587" s="44" t="n">
        <v>3275</v>
      </c>
      <c r="L587" t="inlineStr">
        <is>
          <t>KG</t>
        </is>
      </c>
      <c r="M587" s="44" t="n">
        <v>13093726</v>
      </c>
      <c r="N587" s="44" t="n">
        <v>654686</v>
      </c>
      <c r="O587" t="n">
        <v>0</v>
      </c>
      <c r="P587" s="44" t="n">
        <v>12439040</v>
      </c>
      <c r="Q587" t="inlineStr">
        <is>
          <t>KRW</t>
        </is>
      </c>
      <c r="R587" t="inlineStr">
        <is>
          <t>INV2601-00586</t>
        </is>
      </c>
      <c r="S587" t="inlineStr">
        <is>
          <t>※예시데이터</t>
        </is>
      </c>
    </row>
    <row r="588">
      <c r="A588" t="n">
        <v>1000</v>
      </c>
      <c r="B588" t="inlineStr">
        <is>
          <t>EP사업부</t>
        </is>
      </c>
      <c r="C588" t="inlineStr">
        <is>
          <t>국내영업1팀</t>
        </is>
      </c>
      <c r="D588" t="inlineStr">
        <is>
          <t>C10120</t>
        </is>
      </c>
      <c r="E588" t="inlineStr">
        <is>
          <t>든솔케이스</t>
        </is>
      </c>
      <c r="F588" t="inlineStr">
        <is>
          <t>ABS</t>
        </is>
      </c>
      <c r="G588" t="inlineStr">
        <is>
          <t>M-2101</t>
        </is>
      </c>
      <c r="H588" t="inlineStr">
        <is>
          <t>ABS 범용 G300</t>
        </is>
      </c>
      <c r="I588" s="43" t="n">
        <v>46031</v>
      </c>
      <c r="J588" t="n">
        <v>202601</v>
      </c>
      <c r="K588" s="44" t="n">
        <v>3950</v>
      </c>
      <c r="L588" t="inlineStr">
        <is>
          <t>KG</t>
        </is>
      </c>
      <c r="M588" s="44" t="n">
        <v>10941163</v>
      </c>
      <c r="N588" s="44" t="n">
        <v>437647</v>
      </c>
      <c r="O588" t="n">
        <v>0</v>
      </c>
      <c r="P588" s="44" t="n">
        <v>10503516</v>
      </c>
      <c r="Q588" t="inlineStr">
        <is>
          <t>KRW</t>
        </is>
      </c>
      <c r="R588" t="inlineStr">
        <is>
          <t>INV2601-00587</t>
        </is>
      </c>
      <c r="S588" t="inlineStr">
        <is>
          <t>※예시데이터</t>
        </is>
      </c>
    </row>
    <row r="589">
      <c r="A589" t="n">
        <v>1000</v>
      </c>
      <c r="B589" t="inlineStr">
        <is>
          <t>EP사업부</t>
        </is>
      </c>
      <c r="C589" t="inlineStr">
        <is>
          <t>국내영업1팀</t>
        </is>
      </c>
      <c r="D589" t="inlineStr">
        <is>
          <t>C10134</t>
        </is>
      </c>
      <c r="E589" t="inlineStr">
        <is>
          <t>별하전자(주)</t>
        </is>
      </c>
      <c r="F589" t="inlineStr">
        <is>
          <t>PC</t>
        </is>
      </c>
      <c r="G589" t="inlineStr">
        <is>
          <t>M-2202</t>
        </is>
      </c>
      <c r="H589" t="inlineStr">
        <is>
          <t>PC 난연 FR200</t>
        </is>
      </c>
      <c r="I589" s="43" t="n">
        <v>46031</v>
      </c>
      <c r="J589" t="n">
        <v>202601</v>
      </c>
      <c r="K589" t="n">
        <v>750</v>
      </c>
      <c r="L589" t="inlineStr">
        <is>
          <t>KG</t>
        </is>
      </c>
      <c r="M589" s="44" t="n">
        <v>3344551</v>
      </c>
      <c r="N589" s="44" t="n">
        <v>100337</v>
      </c>
      <c r="O589" t="n">
        <v>0</v>
      </c>
      <c r="P589" s="44" t="n">
        <v>3244214</v>
      </c>
      <c r="Q589" t="inlineStr">
        <is>
          <t>KRW</t>
        </is>
      </c>
      <c r="R589" t="inlineStr">
        <is>
          <t>INV2601-00588</t>
        </is>
      </c>
      <c r="S589" t="inlineStr">
        <is>
          <t>※예시데이터</t>
        </is>
      </c>
    </row>
    <row r="590">
      <c r="A590" t="n">
        <v>1000</v>
      </c>
      <c r="B590" t="inlineStr">
        <is>
          <t>EP사업부</t>
        </is>
      </c>
      <c r="C590" t="inlineStr">
        <is>
          <t>국내영업2팀</t>
        </is>
      </c>
      <c r="D590" t="inlineStr">
        <is>
          <t>C10113</t>
        </is>
      </c>
      <c r="E590" t="inlineStr">
        <is>
          <t>누리오토파츠</t>
        </is>
      </c>
      <c r="F590" t="inlineStr">
        <is>
          <t>PC</t>
        </is>
      </c>
      <c r="G590" t="inlineStr">
        <is>
          <t>M-2202</t>
        </is>
      </c>
      <c r="H590" t="inlineStr">
        <is>
          <t>PC 난연 FR200</t>
        </is>
      </c>
      <c r="I590" s="43" t="n">
        <v>46032</v>
      </c>
      <c r="J590" t="n">
        <v>202601</v>
      </c>
      <c r="K590" s="44" t="n">
        <v>2125</v>
      </c>
      <c r="L590" t="inlineStr">
        <is>
          <t>KG</t>
        </is>
      </c>
      <c r="M590" s="44" t="n">
        <v>9476228</v>
      </c>
      <c r="N590" s="44" t="n">
        <v>852861</v>
      </c>
      <c r="O590" s="44" t="n">
        <v>94762</v>
      </c>
      <c r="P590" s="44" t="n">
        <v>8528605</v>
      </c>
      <c r="Q590" t="inlineStr">
        <is>
          <t>KRW</t>
        </is>
      </c>
      <c r="R590" t="inlineStr">
        <is>
          <t>INV2601-00589</t>
        </is>
      </c>
      <c r="S590" t="inlineStr">
        <is>
          <t>※예시데이터</t>
        </is>
      </c>
    </row>
    <row r="591">
      <c r="A591" t="n">
        <v>1000</v>
      </c>
      <c r="B591" t="inlineStr">
        <is>
          <t>범용수지사업부</t>
        </is>
      </c>
      <c r="C591" t="inlineStr">
        <is>
          <t>국내영업2팀</t>
        </is>
      </c>
      <c r="D591" t="inlineStr">
        <is>
          <t>C10127</t>
        </is>
      </c>
      <c r="E591" t="inlineStr">
        <is>
          <t>미르패키징</t>
        </is>
      </c>
      <c r="F591" t="inlineStr">
        <is>
          <t>PE</t>
        </is>
      </c>
      <c r="G591" t="inlineStr">
        <is>
          <t>M-1202</t>
        </is>
      </c>
      <c r="H591" t="inlineStr">
        <is>
          <t>LLDPE 필름 F120</t>
        </is>
      </c>
      <c r="I591" s="43" t="n">
        <v>46032</v>
      </c>
      <c r="J591" t="n">
        <v>202601</v>
      </c>
      <c r="K591" s="44" t="n">
        <v>2300</v>
      </c>
      <c r="L591" t="inlineStr">
        <is>
          <t>KG</t>
        </is>
      </c>
      <c r="M591" s="44" t="n">
        <v>3893564</v>
      </c>
      <c r="N591" s="44" t="n">
        <v>330953</v>
      </c>
      <c r="O591" t="n">
        <v>0</v>
      </c>
      <c r="P591" s="44" t="n">
        <v>3562611</v>
      </c>
      <c r="Q591" t="inlineStr">
        <is>
          <t>KRW</t>
        </is>
      </c>
      <c r="R591" t="inlineStr">
        <is>
          <t>INV2601-00590</t>
        </is>
      </c>
      <c r="S591" t="inlineStr">
        <is>
          <t>※예시데이터</t>
        </is>
      </c>
    </row>
    <row r="592">
      <c r="A592" t="n">
        <v>1000</v>
      </c>
      <c r="B592" t="inlineStr">
        <is>
          <t>EP사업부</t>
        </is>
      </c>
      <c r="C592" t="inlineStr">
        <is>
          <t>국내영업1팀</t>
        </is>
      </c>
      <c r="D592" t="inlineStr">
        <is>
          <t>C10043</t>
        </is>
      </c>
      <c r="E592" t="inlineStr">
        <is>
          <t>새봄플라스틱</t>
        </is>
      </c>
      <c r="F592" t="inlineStr">
        <is>
          <t>ABS</t>
        </is>
      </c>
      <c r="G592" t="inlineStr">
        <is>
          <t>M-2102</t>
        </is>
      </c>
      <c r="H592" t="inlineStr">
        <is>
          <t>ABS 내열 HR500</t>
        </is>
      </c>
      <c r="I592" s="43" t="n">
        <v>46033</v>
      </c>
      <c r="J592" t="n">
        <v>202601</v>
      </c>
      <c r="K592" s="44" t="n">
        <v>6700</v>
      </c>
      <c r="L592" t="inlineStr">
        <is>
          <t>KG</t>
        </is>
      </c>
      <c r="M592" s="44" t="n">
        <v>20869477</v>
      </c>
      <c r="N592" s="44" t="n">
        <v>1252169</v>
      </c>
      <c r="O592" t="n">
        <v>0</v>
      </c>
      <c r="P592" s="44" t="n">
        <v>19617308</v>
      </c>
      <c r="Q592" t="inlineStr">
        <is>
          <t>KRW</t>
        </is>
      </c>
      <c r="R592" t="inlineStr">
        <is>
          <t>INV2601-00591</t>
        </is>
      </c>
      <c r="S592" t="inlineStr">
        <is>
          <t>※예시데이터</t>
        </is>
      </c>
    </row>
    <row r="593">
      <c r="A593" t="n">
        <v>1000</v>
      </c>
      <c r="B593" t="inlineStr">
        <is>
          <t>범용수지사업부</t>
        </is>
      </c>
      <c r="C593" t="inlineStr">
        <is>
          <t>국내영업2팀</t>
        </is>
      </c>
      <c r="D593" t="inlineStr">
        <is>
          <t>C10127</t>
        </is>
      </c>
      <c r="E593" t="inlineStr">
        <is>
          <t>미르패키징</t>
        </is>
      </c>
      <c r="F593" t="inlineStr">
        <is>
          <t>PP</t>
        </is>
      </c>
      <c r="G593" t="inlineStr">
        <is>
          <t>M-1101</t>
        </is>
      </c>
      <c r="H593" t="inlineStr">
        <is>
          <t>PP 범용사출 H110</t>
        </is>
      </c>
      <c r="I593" s="43" t="n">
        <v>46034</v>
      </c>
      <c r="J593" t="n">
        <v>202601</v>
      </c>
      <c r="K593" s="44" t="n">
        <v>4925</v>
      </c>
      <c r="L593" t="inlineStr">
        <is>
          <t>KG</t>
        </is>
      </c>
      <c r="M593" s="44" t="n">
        <v>8412296</v>
      </c>
      <c r="N593" s="44" t="n">
        <v>715045</v>
      </c>
      <c r="O593" t="n">
        <v>0</v>
      </c>
      <c r="P593" s="44" t="n">
        <v>7697251</v>
      </c>
      <c r="Q593" t="inlineStr">
        <is>
          <t>KRW</t>
        </is>
      </c>
      <c r="R593" t="inlineStr">
        <is>
          <t>INV2601-00592</t>
        </is>
      </c>
      <c r="S593" t="inlineStr">
        <is>
          <t>※예시데이터</t>
        </is>
      </c>
    </row>
    <row r="594">
      <c r="A594" t="n">
        <v>1000</v>
      </c>
      <c r="B594" t="inlineStr">
        <is>
          <t>EP사업부</t>
        </is>
      </c>
      <c r="C594" t="inlineStr">
        <is>
          <t>국내영업1팀</t>
        </is>
      </c>
      <c r="D594" t="inlineStr">
        <is>
          <t>C10134</t>
        </is>
      </c>
      <c r="E594" t="inlineStr">
        <is>
          <t>별하전자(주)</t>
        </is>
      </c>
      <c r="F594" t="inlineStr">
        <is>
          <t>PC</t>
        </is>
      </c>
      <c r="G594" t="inlineStr">
        <is>
          <t>M-2201</t>
        </is>
      </c>
      <c r="H594" t="inlineStr">
        <is>
          <t>PC 일반 C100</t>
        </is>
      </c>
      <c r="I594" s="43" t="n">
        <v>46034</v>
      </c>
      <c r="J594" t="n">
        <v>202601</v>
      </c>
      <c r="K594" s="44" t="n">
        <v>1125</v>
      </c>
      <c r="L594" t="inlineStr">
        <is>
          <t>KG</t>
        </is>
      </c>
      <c r="M594" s="44" t="n">
        <v>4497845</v>
      </c>
      <c r="N594" s="44" t="n">
        <v>134935</v>
      </c>
      <c r="O594" t="n">
        <v>0</v>
      </c>
      <c r="P594" s="44" t="n">
        <v>4362910</v>
      </c>
      <c r="Q594" t="inlineStr">
        <is>
          <t>KRW</t>
        </is>
      </c>
      <c r="R594" t="inlineStr">
        <is>
          <t>INV2601-00593</t>
        </is>
      </c>
      <c r="S594" t="inlineStr">
        <is>
          <t>※예시데이터</t>
        </is>
      </c>
    </row>
    <row r="595">
      <c r="A595" t="n">
        <v>1000</v>
      </c>
      <c r="B595" t="inlineStr">
        <is>
          <t>EP사업부</t>
        </is>
      </c>
      <c r="C595" t="inlineStr">
        <is>
          <t>국내영업1팀</t>
        </is>
      </c>
      <c r="D595" t="inlineStr">
        <is>
          <t>C10134</t>
        </is>
      </c>
      <c r="E595" t="inlineStr">
        <is>
          <t>별하전자(주)</t>
        </is>
      </c>
      <c r="F595" t="inlineStr">
        <is>
          <t>PC</t>
        </is>
      </c>
      <c r="G595" t="inlineStr">
        <is>
          <t>M-2202</t>
        </is>
      </c>
      <c r="H595" t="inlineStr">
        <is>
          <t>PC 난연 FR200</t>
        </is>
      </c>
      <c r="I595" s="43" t="n">
        <v>46035</v>
      </c>
      <c r="J595" t="n">
        <v>202601</v>
      </c>
      <c r="K595" t="n">
        <v>750</v>
      </c>
      <c r="L595" t="inlineStr">
        <is>
          <t>KG</t>
        </is>
      </c>
      <c r="M595" s="44" t="n">
        <v>3344551</v>
      </c>
      <c r="N595" s="44" t="n">
        <v>100337</v>
      </c>
      <c r="O595" t="n">
        <v>0</v>
      </c>
      <c r="P595" s="44" t="n">
        <v>3244214</v>
      </c>
      <c r="Q595" t="inlineStr">
        <is>
          <t>KRW</t>
        </is>
      </c>
      <c r="R595" t="inlineStr">
        <is>
          <t>INV2601-00594</t>
        </is>
      </c>
      <c r="S595" t="inlineStr">
        <is>
          <t>※예시데이터</t>
        </is>
      </c>
    </row>
    <row r="596">
      <c r="A596" t="n">
        <v>1000</v>
      </c>
      <c r="B596" t="inlineStr">
        <is>
          <t>범용수지사업부</t>
        </is>
      </c>
      <c r="C596" t="inlineStr">
        <is>
          <t>국내영업2팀</t>
        </is>
      </c>
      <c r="D596" t="inlineStr">
        <is>
          <t>C10036</t>
        </is>
      </c>
      <c r="E596" t="inlineStr">
        <is>
          <t>바른물산</t>
        </is>
      </c>
      <c r="F596" t="inlineStr">
        <is>
          <t>PE</t>
        </is>
      </c>
      <c r="G596" t="inlineStr">
        <is>
          <t>M-1201</t>
        </is>
      </c>
      <c r="H596" t="inlineStr">
        <is>
          <t>HDPE 블로우 B500</t>
        </is>
      </c>
      <c r="I596" s="43" t="n">
        <v>46036</v>
      </c>
      <c r="J596" t="n">
        <v>202601</v>
      </c>
      <c r="K596" s="44" t="n">
        <v>11950</v>
      </c>
      <c r="L596" t="inlineStr">
        <is>
          <t>KG</t>
        </is>
      </c>
      <c r="M596" s="44" t="n">
        <v>18691682</v>
      </c>
      <c r="N596" s="44" t="n">
        <v>1869168</v>
      </c>
      <c r="O596" s="44" t="n">
        <v>373834</v>
      </c>
      <c r="P596" s="44" t="n">
        <v>16448680</v>
      </c>
      <c r="Q596" t="inlineStr">
        <is>
          <t>KRW</t>
        </is>
      </c>
      <c r="R596" t="inlineStr">
        <is>
          <t>INV2601-00595</t>
        </is>
      </c>
      <c r="S596" t="inlineStr">
        <is>
          <t>※예시데이터</t>
        </is>
      </c>
    </row>
    <row r="597">
      <c r="A597" t="n">
        <v>1000</v>
      </c>
      <c r="B597" t="inlineStr">
        <is>
          <t>범용수지사업부</t>
        </is>
      </c>
      <c r="C597" t="inlineStr">
        <is>
          <t>해외영업팀</t>
        </is>
      </c>
      <c r="D597" t="inlineStr">
        <is>
          <t>C10071</t>
        </is>
      </c>
      <c r="E597" t="inlineStr">
        <is>
          <t>큰별코리아</t>
        </is>
      </c>
      <c r="F597" t="inlineStr">
        <is>
          <t>PE</t>
        </is>
      </c>
      <c r="G597" t="inlineStr">
        <is>
          <t>M-1202</t>
        </is>
      </c>
      <c r="H597" t="inlineStr">
        <is>
          <t>LLDPE 필름 F120</t>
        </is>
      </c>
      <c r="I597" s="43" t="n">
        <v>46036</v>
      </c>
      <c r="J597" t="n">
        <v>202601</v>
      </c>
      <c r="K597" s="44" t="n">
        <v>11825</v>
      </c>
      <c r="L597" t="inlineStr">
        <is>
          <t>KG</t>
        </is>
      </c>
      <c r="M597" s="44" t="n">
        <v>20017998</v>
      </c>
      <c r="N597" s="44" t="n">
        <v>2502250</v>
      </c>
      <c r="O597" s="44" t="n">
        <v>400360</v>
      </c>
      <c r="P597" s="44" t="n">
        <v>17115388</v>
      </c>
      <c r="Q597" t="inlineStr">
        <is>
          <t>KRW</t>
        </is>
      </c>
      <c r="R597" t="inlineStr">
        <is>
          <t>INV2601-00596</t>
        </is>
      </c>
      <c r="S597" t="inlineStr">
        <is>
          <t>※예시데이터</t>
        </is>
      </c>
    </row>
    <row r="598">
      <c r="A598" t="n">
        <v>1000</v>
      </c>
      <c r="B598" t="inlineStr">
        <is>
          <t>범용수지사업부</t>
        </is>
      </c>
      <c r="C598" t="inlineStr">
        <is>
          <t>국내영업2팀</t>
        </is>
      </c>
      <c r="D598" t="inlineStr">
        <is>
          <t>C10127</t>
        </is>
      </c>
      <c r="E598" t="inlineStr">
        <is>
          <t>미르패키징</t>
        </is>
      </c>
      <c r="F598" t="inlineStr">
        <is>
          <t>PE</t>
        </is>
      </c>
      <c r="G598" t="inlineStr">
        <is>
          <t>M-1201</t>
        </is>
      </c>
      <c r="H598" t="inlineStr">
        <is>
          <t>HDPE 블로우 B500</t>
        </is>
      </c>
      <c r="I598" s="43" t="n">
        <v>46036</v>
      </c>
      <c r="J598" t="n">
        <v>202601</v>
      </c>
      <c r="K598" s="44" t="n">
        <v>4450</v>
      </c>
      <c r="L598" t="inlineStr">
        <is>
          <t>KG</t>
        </is>
      </c>
      <c r="M598" s="44" t="n">
        <v>6960501</v>
      </c>
      <c r="N598" s="44" t="n">
        <v>591643</v>
      </c>
      <c r="O598" t="n">
        <v>0</v>
      </c>
      <c r="P598" s="44" t="n">
        <v>6368858</v>
      </c>
      <c r="Q598" t="inlineStr">
        <is>
          <t>KRW</t>
        </is>
      </c>
      <c r="R598" t="inlineStr">
        <is>
          <t>INV2601-00597</t>
        </is>
      </c>
      <c r="S598" t="inlineStr">
        <is>
          <t>※예시데이터</t>
        </is>
      </c>
    </row>
    <row r="599">
      <c r="A599" t="n">
        <v>1000</v>
      </c>
      <c r="B599" t="inlineStr">
        <is>
          <t>EP사업부</t>
        </is>
      </c>
      <c r="C599" t="inlineStr">
        <is>
          <t>국내영업1팀</t>
        </is>
      </c>
      <c r="D599" t="inlineStr">
        <is>
          <t>C10029</t>
        </is>
      </c>
      <c r="E599" t="inlineStr">
        <is>
          <t>마루정밀</t>
        </is>
      </c>
      <c r="F599" t="inlineStr">
        <is>
          <t>PC</t>
        </is>
      </c>
      <c r="G599" t="inlineStr">
        <is>
          <t>M-2201</t>
        </is>
      </c>
      <c r="H599" t="inlineStr">
        <is>
          <t>PC 일반 C100</t>
        </is>
      </c>
      <c r="I599" s="43" t="n">
        <v>46039</v>
      </c>
      <c r="J599" t="n">
        <v>202601</v>
      </c>
      <c r="K599" s="44" t="n">
        <v>4375</v>
      </c>
      <c r="L599" t="inlineStr">
        <is>
          <t>KG</t>
        </is>
      </c>
      <c r="M599" s="44" t="n">
        <v>17491619</v>
      </c>
      <c r="N599" s="44" t="n">
        <v>612207</v>
      </c>
      <c r="O599" t="n">
        <v>0</v>
      </c>
      <c r="P599" s="44" t="n">
        <v>16879412</v>
      </c>
      <c r="Q599" t="inlineStr">
        <is>
          <t>KRW</t>
        </is>
      </c>
      <c r="R599" t="inlineStr">
        <is>
          <t>INV2601-00598</t>
        </is>
      </c>
      <c r="S599" t="inlineStr">
        <is>
          <t>※예시데이터</t>
        </is>
      </c>
    </row>
    <row r="600">
      <c r="A600" t="n">
        <v>1000</v>
      </c>
      <c r="B600" t="inlineStr">
        <is>
          <t>범용수지사업부</t>
        </is>
      </c>
      <c r="C600" t="inlineStr">
        <is>
          <t>해외영업팀</t>
        </is>
      </c>
      <c r="D600" t="inlineStr">
        <is>
          <t>C10071</t>
        </is>
      </c>
      <c r="E600" t="inlineStr">
        <is>
          <t>큰별코리아</t>
        </is>
      </c>
      <c r="F600" t="inlineStr">
        <is>
          <t>PE</t>
        </is>
      </c>
      <c r="G600" t="inlineStr">
        <is>
          <t>M-1201</t>
        </is>
      </c>
      <c r="H600" t="inlineStr">
        <is>
          <t>HDPE 블로우 B500</t>
        </is>
      </c>
      <c r="I600" s="43" t="n">
        <v>46039</v>
      </c>
      <c r="J600" t="n">
        <v>202601</v>
      </c>
      <c r="K600" s="44" t="n">
        <v>3725</v>
      </c>
      <c r="L600" t="inlineStr">
        <is>
          <t>KG</t>
        </is>
      </c>
      <c r="M600" s="44" t="n">
        <v>5826487</v>
      </c>
      <c r="N600" s="44" t="n">
        <v>728311</v>
      </c>
      <c r="O600" s="44" t="n">
        <v>116530</v>
      </c>
      <c r="P600" s="44" t="n">
        <v>4981646</v>
      </c>
      <c r="Q600" t="inlineStr">
        <is>
          <t>KRW</t>
        </is>
      </c>
      <c r="R600" t="inlineStr">
        <is>
          <t>INV2601-00599</t>
        </is>
      </c>
      <c r="S600" t="inlineStr">
        <is>
          <t>※예시데이터</t>
        </is>
      </c>
    </row>
    <row r="601">
      <c r="A601" t="n">
        <v>1000</v>
      </c>
      <c r="B601" t="inlineStr">
        <is>
          <t>범용수지사업부</t>
        </is>
      </c>
      <c r="C601" t="inlineStr">
        <is>
          <t>해외영업팀</t>
        </is>
      </c>
      <c r="D601" t="inlineStr">
        <is>
          <t>C10141</t>
        </is>
      </c>
      <c r="E601" t="inlineStr">
        <is>
          <t>Sinar Plastik (ID)</t>
        </is>
      </c>
      <c r="F601" t="inlineStr">
        <is>
          <t>PP</t>
        </is>
      </c>
      <c r="G601" t="inlineStr">
        <is>
          <t>M-1103</t>
        </is>
      </c>
      <c r="H601" t="inlineStr">
        <is>
          <t>PP 투명 R330</t>
        </is>
      </c>
      <c r="I601" s="43" t="n">
        <v>46040</v>
      </c>
      <c r="J601" t="n">
        <v>202601</v>
      </c>
      <c r="K601" s="44" t="n">
        <v>19325</v>
      </c>
      <c r="L601" t="inlineStr">
        <is>
          <t>KG</t>
        </is>
      </c>
      <c r="M601" s="44" t="n">
        <v>38810176</v>
      </c>
      <c r="N601" s="44" t="n">
        <v>5433425</v>
      </c>
      <c r="O601" t="n">
        <v>0</v>
      </c>
      <c r="P601" s="44" t="n">
        <v>33376751</v>
      </c>
      <c r="Q601" t="inlineStr">
        <is>
          <t>KRW</t>
        </is>
      </c>
      <c r="R601" t="inlineStr">
        <is>
          <t>INV2601-00600</t>
        </is>
      </c>
      <c r="S601" t="inlineStr">
        <is>
          <t>※예시데이터</t>
        </is>
      </c>
    </row>
    <row r="602">
      <c r="A602" t="n">
        <v>1000</v>
      </c>
      <c r="B602" t="inlineStr">
        <is>
          <t>EP사업부</t>
        </is>
      </c>
      <c r="C602" t="inlineStr">
        <is>
          <t>국내영업1팀</t>
        </is>
      </c>
      <c r="D602" t="inlineStr">
        <is>
          <t>C10043</t>
        </is>
      </c>
      <c r="E602" t="inlineStr">
        <is>
          <t>새봄플라스틱</t>
        </is>
      </c>
      <c r="F602" t="inlineStr">
        <is>
          <t>ABS</t>
        </is>
      </c>
      <c r="G602" t="inlineStr">
        <is>
          <t>M-2101</t>
        </is>
      </c>
      <c r="H602" t="inlineStr">
        <is>
          <t>ABS 범용 G300</t>
        </is>
      </c>
      <c r="I602" s="43" t="n">
        <v>46041</v>
      </c>
      <c r="J602" t="n">
        <v>202601</v>
      </c>
      <c r="K602" s="44" t="n">
        <v>8550</v>
      </c>
      <c r="L602" t="inlineStr">
        <is>
          <t>KG</t>
        </is>
      </c>
      <c r="M602" s="44" t="n">
        <v>23682770</v>
      </c>
      <c r="N602" s="44" t="n">
        <v>1420966</v>
      </c>
      <c r="O602" t="n">
        <v>0</v>
      </c>
      <c r="P602" s="44" t="n">
        <v>22261804</v>
      </c>
      <c r="Q602" t="inlineStr">
        <is>
          <t>KRW</t>
        </is>
      </c>
      <c r="R602" t="inlineStr">
        <is>
          <t>INV2601-00601</t>
        </is>
      </c>
      <c r="S602" t="inlineStr">
        <is>
          <t>※예시데이터</t>
        </is>
      </c>
    </row>
    <row r="603">
      <c r="A603" t="n">
        <v>1000</v>
      </c>
      <c r="B603" t="inlineStr">
        <is>
          <t>EP사업부</t>
        </is>
      </c>
      <c r="C603" t="inlineStr">
        <is>
          <t>국내영업2팀</t>
        </is>
      </c>
      <c r="D603" t="inlineStr">
        <is>
          <t>C10099</t>
        </is>
      </c>
      <c r="E603" t="inlineStr">
        <is>
          <t>한울몰드</t>
        </is>
      </c>
      <c r="F603" t="inlineStr">
        <is>
          <t>ABS</t>
        </is>
      </c>
      <c r="G603" t="inlineStr">
        <is>
          <t>M-2102</t>
        </is>
      </c>
      <c r="H603" t="inlineStr">
        <is>
          <t>ABS 내열 HR500</t>
        </is>
      </c>
      <c r="I603" s="43" t="n">
        <v>46041</v>
      </c>
      <c r="J603" t="n">
        <v>202601</v>
      </c>
      <c r="K603" s="44" t="n">
        <v>3475</v>
      </c>
      <c r="L603" t="inlineStr">
        <is>
          <t>KG</t>
        </is>
      </c>
      <c r="M603" s="44" t="n">
        <v>10824094</v>
      </c>
      <c r="N603" s="44" t="n">
        <v>703566</v>
      </c>
      <c r="O603" t="n">
        <v>0</v>
      </c>
      <c r="P603" s="44" t="n">
        <v>10120528</v>
      </c>
      <c r="Q603" t="inlineStr">
        <is>
          <t>KRW</t>
        </is>
      </c>
      <c r="R603" t="inlineStr">
        <is>
          <t>INV2601-00602</t>
        </is>
      </c>
      <c r="S603" t="inlineStr">
        <is>
          <t>※예시데이터</t>
        </is>
      </c>
    </row>
    <row r="604">
      <c r="A604" t="n">
        <v>1000</v>
      </c>
      <c r="B604" t="inlineStr">
        <is>
          <t>EP사업부</t>
        </is>
      </c>
      <c r="C604" t="inlineStr">
        <is>
          <t>국내영업2팀</t>
        </is>
      </c>
      <c r="D604" t="inlineStr">
        <is>
          <t>C10085</t>
        </is>
      </c>
      <c r="E604" t="inlineStr">
        <is>
          <t>파란하이텍</t>
        </is>
      </c>
      <c r="F604" t="inlineStr">
        <is>
          <t>PC</t>
        </is>
      </c>
      <c r="G604" t="inlineStr">
        <is>
          <t>M-2201</t>
        </is>
      </c>
      <c r="H604" t="inlineStr">
        <is>
          <t>PC 일반 C100</t>
        </is>
      </c>
      <c r="I604" s="43" t="n">
        <v>46043</v>
      </c>
      <c r="J604" t="n">
        <v>202601</v>
      </c>
      <c r="K604" s="44" t="n">
        <v>2275</v>
      </c>
      <c r="L604" t="inlineStr">
        <is>
          <t>KG</t>
        </is>
      </c>
      <c r="M604" s="44" t="n">
        <v>9095642</v>
      </c>
      <c r="N604" s="44" t="n">
        <v>818608</v>
      </c>
      <c r="O604" t="n">
        <v>0</v>
      </c>
      <c r="P604" s="44" t="n">
        <v>8277034</v>
      </c>
      <c r="Q604" t="inlineStr">
        <is>
          <t>KRW</t>
        </is>
      </c>
      <c r="R604" t="inlineStr">
        <is>
          <t>INV2601-00603</t>
        </is>
      </c>
      <c r="S604" t="inlineStr">
        <is>
          <t>※예시데이터</t>
        </is>
      </c>
    </row>
    <row r="605">
      <c r="A605" t="n">
        <v>1000</v>
      </c>
      <c r="B605" t="inlineStr">
        <is>
          <t>범용수지사업부</t>
        </is>
      </c>
      <c r="C605" t="inlineStr">
        <is>
          <t>국내영업1팀</t>
        </is>
      </c>
      <c r="D605" t="inlineStr">
        <is>
          <t>C10008</t>
        </is>
      </c>
      <c r="E605" t="inlineStr">
        <is>
          <t>나래산업(주)</t>
        </is>
      </c>
      <c r="F605" t="inlineStr">
        <is>
          <t>PP</t>
        </is>
      </c>
      <c r="G605" t="inlineStr">
        <is>
          <t>M-1101</t>
        </is>
      </c>
      <c r="H605" t="inlineStr">
        <is>
          <t>PP 범용사출 H110</t>
        </is>
      </c>
      <c r="I605" s="43" t="n">
        <v>46045</v>
      </c>
      <c r="J605" t="n">
        <v>202601</v>
      </c>
      <c r="K605" s="44" t="n">
        <v>23600</v>
      </c>
      <c r="L605" t="inlineStr">
        <is>
          <t>KG</t>
        </is>
      </c>
      <c r="M605" s="44" t="n">
        <v>40310699</v>
      </c>
      <c r="N605" s="44" t="n">
        <v>4232623</v>
      </c>
      <c r="O605" s="44" t="n">
        <v>403107</v>
      </c>
      <c r="P605" s="44" t="n">
        <v>35674969</v>
      </c>
      <c r="Q605" t="inlineStr">
        <is>
          <t>KRW</t>
        </is>
      </c>
      <c r="R605" t="inlineStr">
        <is>
          <t>INV2601-00604</t>
        </is>
      </c>
      <c r="S605" t="inlineStr">
        <is>
          <t>※예시데이터</t>
        </is>
      </c>
    </row>
    <row r="606">
      <c r="A606" t="n">
        <v>1000</v>
      </c>
      <c r="B606" t="inlineStr">
        <is>
          <t>EP사업부</t>
        </is>
      </c>
      <c r="C606" t="inlineStr">
        <is>
          <t>국내영업1팀</t>
        </is>
      </c>
      <c r="D606" t="inlineStr">
        <is>
          <t>C10029</t>
        </is>
      </c>
      <c r="E606" t="inlineStr">
        <is>
          <t>마루정밀</t>
        </is>
      </c>
      <c r="F606" t="inlineStr">
        <is>
          <t>PC</t>
        </is>
      </c>
      <c r="G606" t="inlineStr">
        <is>
          <t>M-2201</t>
        </is>
      </c>
      <c r="H606" t="inlineStr">
        <is>
          <t>PC 일반 C100</t>
        </is>
      </c>
      <c r="I606" s="43" t="n">
        <v>46045</v>
      </c>
      <c r="J606" t="n">
        <v>202601</v>
      </c>
      <c r="K606" s="44" t="n">
        <v>4375</v>
      </c>
      <c r="L606" t="inlineStr">
        <is>
          <t>KG</t>
        </is>
      </c>
      <c r="M606" s="44" t="n">
        <v>17491619</v>
      </c>
      <c r="N606" s="44" t="n">
        <v>612207</v>
      </c>
      <c r="O606" t="n">
        <v>0</v>
      </c>
      <c r="P606" s="44" t="n">
        <v>16879412</v>
      </c>
      <c r="Q606" t="inlineStr">
        <is>
          <t>KRW</t>
        </is>
      </c>
      <c r="R606" t="inlineStr">
        <is>
          <t>INV2601-00605</t>
        </is>
      </c>
      <c r="S606" t="inlineStr">
        <is>
          <t>※예시데이터</t>
        </is>
      </c>
    </row>
    <row r="607">
      <c r="A607" t="n">
        <v>1000</v>
      </c>
      <c r="B607" t="inlineStr">
        <is>
          <t>범용수지사업부</t>
        </is>
      </c>
      <c r="C607" t="inlineStr">
        <is>
          <t>국내영업2팀</t>
        </is>
      </c>
      <c r="D607" t="inlineStr">
        <is>
          <t>C10127</t>
        </is>
      </c>
      <c r="E607" t="inlineStr">
        <is>
          <t>미르패키징</t>
        </is>
      </c>
      <c r="F607" t="inlineStr">
        <is>
          <t>PE</t>
        </is>
      </c>
      <c r="G607" t="inlineStr">
        <is>
          <t>M-1202</t>
        </is>
      </c>
      <c r="H607" t="inlineStr">
        <is>
          <t>LLDPE 필름 F120</t>
        </is>
      </c>
      <c r="I607" s="43" t="n">
        <v>46047</v>
      </c>
      <c r="J607" t="n">
        <v>202601</v>
      </c>
      <c r="K607" s="44" t="n">
        <v>2300</v>
      </c>
      <c r="L607" t="inlineStr">
        <is>
          <t>KG</t>
        </is>
      </c>
      <c r="M607" s="44" t="n">
        <v>3893564</v>
      </c>
      <c r="N607" s="44" t="n">
        <v>330953</v>
      </c>
      <c r="O607" t="n">
        <v>0</v>
      </c>
      <c r="P607" s="44" t="n">
        <v>3562611</v>
      </c>
      <c r="Q607" t="inlineStr">
        <is>
          <t>KRW</t>
        </is>
      </c>
      <c r="R607" t="inlineStr">
        <is>
          <t>INV2601-00606</t>
        </is>
      </c>
      <c r="S607" t="inlineStr">
        <is>
          <t>※예시데이터</t>
        </is>
      </c>
    </row>
    <row r="608">
      <c r="A608" t="n">
        <v>1000</v>
      </c>
      <c r="B608" t="inlineStr">
        <is>
          <t>범용수지사업부</t>
        </is>
      </c>
      <c r="C608" t="inlineStr">
        <is>
          <t>국내영업2팀</t>
        </is>
      </c>
      <c r="D608" t="inlineStr">
        <is>
          <t>C10050</t>
        </is>
      </c>
      <c r="E608" t="inlineStr">
        <is>
          <t>아름화학(주)</t>
        </is>
      </c>
      <c r="F608" t="inlineStr">
        <is>
          <t>PP</t>
        </is>
      </c>
      <c r="G608" t="inlineStr">
        <is>
          <t>M-1103</t>
        </is>
      </c>
      <c r="H608" t="inlineStr">
        <is>
          <t>PP 투명 R330</t>
        </is>
      </c>
      <c r="I608" s="43" t="n">
        <v>46048</v>
      </c>
      <c r="J608" t="n">
        <v>202601</v>
      </c>
      <c r="K608" s="44" t="n">
        <v>11500</v>
      </c>
      <c r="L608" t="inlineStr">
        <is>
          <t>KG</t>
        </is>
      </c>
      <c r="M608" s="44" t="n">
        <v>23095318</v>
      </c>
      <c r="N608" s="44" t="n">
        <v>2425008</v>
      </c>
      <c r="O608" s="44" t="n">
        <v>230953</v>
      </c>
      <c r="P608" s="44" t="n">
        <v>20439357</v>
      </c>
      <c r="Q608" t="inlineStr">
        <is>
          <t>KRW</t>
        </is>
      </c>
      <c r="R608" t="inlineStr">
        <is>
          <t>INV2601-00607</t>
        </is>
      </c>
      <c r="S608" t="inlineStr">
        <is>
          <t>※예시데이터</t>
        </is>
      </c>
    </row>
    <row r="609">
      <c r="A609" t="n">
        <v>1000</v>
      </c>
      <c r="B609" t="inlineStr">
        <is>
          <t>EP사업부</t>
        </is>
      </c>
      <c r="C609" t="inlineStr">
        <is>
          <t>국내영업2팀</t>
        </is>
      </c>
      <c r="D609" t="inlineStr">
        <is>
          <t>C10015</t>
        </is>
      </c>
      <c r="E609" t="inlineStr">
        <is>
          <t>다솜케미칼</t>
        </is>
      </c>
      <c r="F609" t="inlineStr">
        <is>
          <t>PC</t>
        </is>
      </c>
      <c r="G609" t="inlineStr">
        <is>
          <t>M-2202</t>
        </is>
      </c>
      <c r="H609" t="inlineStr">
        <is>
          <t>PC 난연 FR200</t>
        </is>
      </c>
      <c r="I609" s="43" t="n">
        <v>46049</v>
      </c>
      <c r="J609" t="n">
        <v>202601</v>
      </c>
      <c r="K609" s="44" t="n">
        <v>2975</v>
      </c>
      <c r="L609" t="inlineStr">
        <is>
          <t>KG</t>
        </is>
      </c>
      <c r="M609" s="44" t="n">
        <v>13266720</v>
      </c>
      <c r="N609" s="44" t="n">
        <v>663336</v>
      </c>
      <c r="O609" t="n">
        <v>0</v>
      </c>
      <c r="P609" s="44" t="n">
        <v>12603384</v>
      </c>
      <c r="Q609" t="inlineStr">
        <is>
          <t>KRW</t>
        </is>
      </c>
      <c r="R609" t="inlineStr">
        <is>
          <t>INV2601-00608</t>
        </is>
      </c>
      <c r="S609" t="inlineStr">
        <is>
          <t>※예시데이터</t>
        </is>
      </c>
    </row>
    <row r="610">
      <c r="A610" t="n">
        <v>1000</v>
      </c>
      <c r="B610" t="inlineStr">
        <is>
          <t>EP사업부</t>
        </is>
      </c>
      <c r="C610" t="inlineStr">
        <is>
          <t>국내영업2팀</t>
        </is>
      </c>
      <c r="D610" t="inlineStr">
        <is>
          <t>C10099</t>
        </is>
      </c>
      <c r="E610" t="inlineStr">
        <is>
          <t>한울몰드</t>
        </is>
      </c>
      <c r="F610" t="inlineStr">
        <is>
          <t>ABS</t>
        </is>
      </c>
      <c r="G610" t="inlineStr">
        <is>
          <t>M-2101</t>
        </is>
      </c>
      <c r="H610" t="inlineStr">
        <is>
          <t>ABS 범용 G300</t>
        </is>
      </c>
      <c r="I610" s="43" t="n">
        <v>46049</v>
      </c>
      <c r="J610" t="n">
        <v>202601</v>
      </c>
      <c r="K610" s="44" t="n">
        <v>5825</v>
      </c>
      <c r="L610" t="inlineStr">
        <is>
          <t>KG</t>
        </is>
      </c>
      <c r="M610" s="44" t="n">
        <v>16134752</v>
      </c>
      <c r="N610" s="44" t="n">
        <v>1048759</v>
      </c>
      <c r="O610" t="n">
        <v>0</v>
      </c>
      <c r="P610" s="44" t="n">
        <v>15085993</v>
      </c>
      <c r="Q610" t="inlineStr">
        <is>
          <t>KRW</t>
        </is>
      </c>
      <c r="R610" t="inlineStr">
        <is>
          <t>INV2601-00609</t>
        </is>
      </c>
      <c r="S610" t="inlineStr">
        <is>
          <t>※예시데이터</t>
        </is>
      </c>
    </row>
    <row r="611">
      <c r="A611" t="n">
        <v>1000</v>
      </c>
      <c r="B611" t="inlineStr">
        <is>
          <t>범용수지사업부</t>
        </is>
      </c>
      <c r="C611" t="inlineStr">
        <is>
          <t>해외영업팀</t>
        </is>
      </c>
      <c r="D611" t="inlineStr">
        <is>
          <t>C10141</t>
        </is>
      </c>
      <c r="E611" t="inlineStr">
        <is>
          <t>Sinar Plastik (ID)</t>
        </is>
      </c>
      <c r="F611" t="inlineStr">
        <is>
          <t>PP</t>
        </is>
      </c>
      <c r="G611" t="inlineStr">
        <is>
          <t>M-1102</t>
        </is>
      </c>
      <c r="H611" t="inlineStr">
        <is>
          <t>PP 고강성 H220</t>
        </is>
      </c>
      <c r="I611" s="43" t="n">
        <v>46049</v>
      </c>
      <c r="J611" t="n">
        <v>202601</v>
      </c>
      <c r="K611" s="44" t="n">
        <v>7250</v>
      </c>
      <c r="L611" t="inlineStr">
        <is>
          <t>KG</t>
        </is>
      </c>
      <c r="M611" s="44" t="n">
        <v>13659468</v>
      </c>
      <c r="N611" s="44" t="n">
        <v>1912326</v>
      </c>
      <c r="O611" t="n">
        <v>0</v>
      </c>
      <c r="P611" s="44" t="n">
        <v>11747142</v>
      </c>
      <c r="Q611" t="inlineStr">
        <is>
          <t>KRW</t>
        </is>
      </c>
      <c r="R611" t="inlineStr">
        <is>
          <t>INV2601-00610</t>
        </is>
      </c>
      <c r="S611" t="inlineStr">
        <is>
          <t>※예시데이터</t>
        </is>
      </c>
    </row>
    <row r="612">
      <c r="A612" t="n">
        <v>1000</v>
      </c>
      <c r="B612" t="inlineStr">
        <is>
          <t>범용수지사업부</t>
        </is>
      </c>
      <c r="C612" t="inlineStr">
        <is>
          <t>국내영업1팀</t>
        </is>
      </c>
      <c r="D612" t="inlineStr">
        <is>
          <t>C10043</t>
        </is>
      </c>
      <c r="E612" t="inlineStr">
        <is>
          <t>새봄플라스틱</t>
        </is>
      </c>
      <c r="F612" t="inlineStr">
        <is>
          <t>PP</t>
        </is>
      </c>
      <c r="G612" t="inlineStr">
        <is>
          <t>M-1103</t>
        </is>
      </c>
      <c r="H612" t="inlineStr">
        <is>
          <t>PP 투명 R330</t>
        </is>
      </c>
      <c r="I612" s="43" t="n">
        <v>46050</v>
      </c>
      <c r="J612" t="n">
        <v>202601</v>
      </c>
      <c r="K612" s="44" t="n">
        <v>2500</v>
      </c>
      <c r="L612" t="inlineStr">
        <is>
          <t>KG</t>
        </is>
      </c>
      <c r="M612" s="44" t="n">
        <v>5020721</v>
      </c>
      <c r="N612" s="44" t="n">
        <v>301243</v>
      </c>
      <c r="O612" t="n">
        <v>0</v>
      </c>
      <c r="P612" s="44" t="n">
        <v>4719478</v>
      </c>
      <c r="Q612" t="inlineStr">
        <is>
          <t>KRW</t>
        </is>
      </c>
      <c r="R612" t="inlineStr">
        <is>
          <t>INV2601-00611</t>
        </is>
      </c>
      <c r="S612" t="inlineStr">
        <is>
          <t>※예시데이터</t>
        </is>
      </c>
    </row>
    <row r="613">
      <c r="A613" t="n">
        <v>1000</v>
      </c>
      <c r="B613" t="inlineStr">
        <is>
          <t>EP사업부</t>
        </is>
      </c>
      <c r="C613" t="inlineStr">
        <is>
          <t>국내영업2팀</t>
        </is>
      </c>
      <c r="D613" t="inlineStr">
        <is>
          <t>C10085</t>
        </is>
      </c>
      <c r="E613" t="inlineStr">
        <is>
          <t>파란하이텍</t>
        </is>
      </c>
      <c r="F613" t="inlineStr">
        <is>
          <t>PC</t>
        </is>
      </c>
      <c r="G613" t="inlineStr">
        <is>
          <t>M-2202</t>
        </is>
      </c>
      <c r="H613" t="inlineStr">
        <is>
          <t>PC 난연 FR200</t>
        </is>
      </c>
      <c r="I613" s="43" t="n">
        <v>46050</v>
      </c>
      <c r="J613" t="n">
        <v>202601</v>
      </c>
      <c r="K613" s="44" t="n">
        <v>2150</v>
      </c>
      <c r="L613" t="inlineStr">
        <is>
          <t>KG</t>
        </is>
      </c>
      <c r="M613" s="44" t="n">
        <v>9587714</v>
      </c>
      <c r="N613" s="44" t="n">
        <v>862894</v>
      </c>
      <c r="O613" t="n">
        <v>0</v>
      </c>
      <c r="P613" s="44" t="n">
        <v>8724820</v>
      </c>
      <c r="Q613" t="inlineStr">
        <is>
          <t>KRW</t>
        </is>
      </c>
      <c r="R613" t="inlineStr">
        <is>
          <t>INV2601-00612</t>
        </is>
      </c>
      <c r="S613" t="inlineStr">
        <is>
          <t>※예시데이터</t>
        </is>
      </c>
    </row>
    <row r="614">
      <c r="A614" t="n">
        <v>1000</v>
      </c>
      <c r="B614" t="inlineStr">
        <is>
          <t>EP사업부</t>
        </is>
      </c>
      <c r="C614" t="inlineStr">
        <is>
          <t>국내영업2팀</t>
        </is>
      </c>
      <c r="D614" t="inlineStr">
        <is>
          <t>C10085</t>
        </is>
      </c>
      <c r="E614" t="inlineStr">
        <is>
          <t>파란하이텍</t>
        </is>
      </c>
      <c r="F614" t="inlineStr">
        <is>
          <t>PC</t>
        </is>
      </c>
      <c r="G614" t="inlineStr">
        <is>
          <t>M-2202</t>
        </is>
      </c>
      <c r="H614" t="inlineStr">
        <is>
          <t>PC 난연 FR200</t>
        </is>
      </c>
      <c r="I614" s="43" t="n">
        <v>46050</v>
      </c>
      <c r="J614" t="n">
        <v>202601</v>
      </c>
      <c r="K614" s="44" t="n">
        <v>2150</v>
      </c>
      <c r="L614" t="inlineStr">
        <is>
          <t>KG</t>
        </is>
      </c>
      <c r="M614" s="44" t="n">
        <v>9587714</v>
      </c>
      <c r="N614" s="44" t="n">
        <v>862894</v>
      </c>
      <c r="O614" t="n">
        <v>0</v>
      </c>
      <c r="P614" s="44" t="n">
        <v>8724820</v>
      </c>
      <c r="Q614" t="inlineStr">
        <is>
          <t>KRW</t>
        </is>
      </c>
      <c r="R614" t="inlineStr">
        <is>
          <t>INV2601-00613</t>
        </is>
      </c>
      <c r="S614" t="inlineStr">
        <is>
          <t>※예시데이터</t>
        </is>
      </c>
    </row>
    <row r="615">
      <c r="A615" t="n">
        <v>1000</v>
      </c>
      <c r="B615" t="inlineStr">
        <is>
          <t>범용수지사업부</t>
        </is>
      </c>
      <c r="C615" t="inlineStr">
        <is>
          <t>국내영업2팀</t>
        </is>
      </c>
      <c r="D615" t="inlineStr">
        <is>
          <t>C10050</t>
        </is>
      </c>
      <c r="E615" t="inlineStr">
        <is>
          <t>아름화학(주)</t>
        </is>
      </c>
      <c r="F615" t="inlineStr">
        <is>
          <t>PE</t>
        </is>
      </c>
      <c r="G615" t="inlineStr">
        <is>
          <t>M-1201</t>
        </is>
      </c>
      <c r="H615" t="inlineStr">
        <is>
          <t>HDPE 블로우 B500</t>
        </is>
      </c>
      <c r="I615" s="43" t="n">
        <v>46054</v>
      </c>
      <c r="J615" t="n">
        <v>202602</v>
      </c>
      <c r="K615" s="44" t="n">
        <v>6775</v>
      </c>
      <c r="L615" t="inlineStr">
        <is>
          <t>KG</t>
        </is>
      </c>
      <c r="M615" s="44" t="n">
        <v>10601458</v>
      </c>
      <c r="N615" s="44" t="n">
        <v>1113153</v>
      </c>
      <c r="O615" s="44" t="n">
        <v>106015</v>
      </c>
      <c r="P615" s="44" t="n">
        <v>9382290</v>
      </c>
      <c r="Q615" t="inlineStr">
        <is>
          <t>KRW</t>
        </is>
      </c>
      <c r="R615" t="inlineStr">
        <is>
          <t>INV2602-00614</t>
        </is>
      </c>
      <c r="S615" t="inlineStr">
        <is>
          <t>※예시데이터</t>
        </is>
      </c>
    </row>
    <row r="616">
      <c r="A616" t="n">
        <v>1000</v>
      </c>
      <c r="B616" t="inlineStr">
        <is>
          <t>EP사업부</t>
        </is>
      </c>
      <c r="C616" t="inlineStr">
        <is>
          <t>국내영업1팀</t>
        </is>
      </c>
      <c r="D616" t="inlineStr">
        <is>
          <t>C10057</t>
        </is>
      </c>
      <c r="E616" t="inlineStr">
        <is>
          <t>자연엠텍</t>
        </is>
      </c>
      <c r="F616" t="inlineStr">
        <is>
          <t>PC</t>
        </is>
      </c>
      <c r="G616" t="inlineStr">
        <is>
          <t>M-2201</t>
        </is>
      </c>
      <c r="H616" t="inlineStr">
        <is>
          <t>PC 일반 C100</t>
        </is>
      </c>
      <c r="I616" s="43" t="n">
        <v>46055</v>
      </c>
      <c r="J616" t="n">
        <v>202602</v>
      </c>
      <c r="K616" s="44" t="n">
        <v>1600</v>
      </c>
      <c r="L616" t="inlineStr">
        <is>
          <t>KG</t>
        </is>
      </c>
      <c r="M616" s="44" t="n">
        <v>6399525</v>
      </c>
      <c r="N616" s="44" t="n">
        <v>223983</v>
      </c>
      <c r="O616" t="n">
        <v>0</v>
      </c>
      <c r="P616" s="44" t="n">
        <v>6175542</v>
      </c>
      <c r="Q616" t="inlineStr">
        <is>
          <t>KRW</t>
        </is>
      </c>
      <c r="R616" t="inlineStr">
        <is>
          <t>INV2602-00615</t>
        </is>
      </c>
      <c r="S616" t="inlineStr">
        <is>
          <t>※예시데이터</t>
        </is>
      </c>
    </row>
    <row r="617">
      <c r="A617" t="n">
        <v>1000</v>
      </c>
      <c r="B617" t="inlineStr">
        <is>
          <t>EP사업부</t>
        </is>
      </c>
      <c r="C617" t="inlineStr">
        <is>
          <t>국내영업2팀</t>
        </is>
      </c>
      <c r="D617" t="inlineStr">
        <is>
          <t>C10113</t>
        </is>
      </c>
      <c r="E617" t="inlineStr">
        <is>
          <t>누리오토파츠</t>
        </is>
      </c>
      <c r="F617" t="inlineStr">
        <is>
          <t>ABS</t>
        </is>
      </c>
      <c r="G617" t="inlineStr">
        <is>
          <t>M-2101</t>
        </is>
      </c>
      <c r="H617" t="inlineStr">
        <is>
          <t>ABS 범용 G300</t>
        </is>
      </c>
      <c r="I617" s="43" t="n">
        <v>46055</v>
      </c>
      <c r="J617" t="n">
        <v>202602</v>
      </c>
      <c r="K617" s="44" t="n">
        <v>3975</v>
      </c>
      <c r="L617" t="inlineStr">
        <is>
          <t>KG</t>
        </is>
      </c>
      <c r="M617" s="44" t="n">
        <v>11014869</v>
      </c>
      <c r="N617" s="44" t="n">
        <v>991338</v>
      </c>
      <c r="O617" s="44" t="n">
        <v>110149</v>
      </c>
      <c r="P617" s="44" t="n">
        <v>9913382</v>
      </c>
      <c r="Q617" t="inlineStr">
        <is>
          <t>KRW</t>
        </is>
      </c>
      <c r="R617" t="inlineStr">
        <is>
          <t>INV2602-00616</t>
        </is>
      </c>
      <c r="S617" t="inlineStr">
        <is>
          <t>※예시데이터</t>
        </is>
      </c>
    </row>
    <row r="618">
      <c r="A618" t="n">
        <v>1000</v>
      </c>
      <c r="B618" t="inlineStr">
        <is>
          <t>EP사업부</t>
        </is>
      </c>
      <c r="C618" t="inlineStr">
        <is>
          <t>국내영업2팀</t>
        </is>
      </c>
      <c r="D618" t="inlineStr">
        <is>
          <t>C10022</t>
        </is>
      </c>
      <c r="E618" t="inlineStr">
        <is>
          <t>라온테크(주)</t>
        </is>
      </c>
      <c r="F618" t="inlineStr">
        <is>
          <t>ABS</t>
        </is>
      </c>
      <c r="G618" t="inlineStr">
        <is>
          <t>M-2101</t>
        </is>
      </c>
      <c r="H618" t="inlineStr">
        <is>
          <t>ABS 범용 G300</t>
        </is>
      </c>
      <c r="I618" s="43" t="n">
        <v>46056</v>
      </c>
      <c r="J618" t="n">
        <v>202602</v>
      </c>
      <c r="K618" s="44" t="n">
        <v>3775</v>
      </c>
      <c r="L618" t="inlineStr">
        <is>
          <t>KG</t>
        </is>
      </c>
      <c r="M618" s="44" t="n">
        <v>10460661</v>
      </c>
      <c r="N618" s="44" t="n">
        <v>1150673</v>
      </c>
      <c r="O618" t="n">
        <v>0</v>
      </c>
      <c r="P618" s="44" t="n">
        <v>9309988</v>
      </c>
      <c r="Q618" t="inlineStr">
        <is>
          <t>KRW</t>
        </is>
      </c>
      <c r="R618" t="inlineStr">
        <is>
          <t>INV2602-00617</t>
        </is>
      </c>
      <c r="S618" t="inlineStr">
        <is>
          <t>※예시데이터</t>
        </is>
      </c>
    </row>
    <row r="619">
      <c r="A619" t="n">
        <v>1000</v>
      </c>
      <c r="B619" t="inlineStr">
        <is>
          <t>EP사업부</t>
        </is>
      </c>
      <c r="C619" t="inlineStr">
        <is>
          <t>국내영업2팀</t>
        </is>
      </c>
      <c r="D619" t="inlineStr">
        <is>
          <t>C10099</t>
        </is>
      </c>
      <c r="E619" t="inlineStr">
        <is>
          <t>한울몰드</t>
        </is>
      </c>
      <c r="F619" t="inlineStr">
        <is>
          <t>ABS</t>
        </is>
      </c>
      <c r="G619" t="inlineStr">
        <is>
          <t>M-2102</t>
        </is>
      </c>
      <c r="H619" t="inlineStr">
        <is>
          <t>ABS 내열 HR500</t>
        </is>
      </c>
      <c r="I619" s="43" t="n">
        <v>46056</v>
      </c>
      <c r="J619" t="n">
        <v>202602</v>
      </c>
      <c r="K619" s="44" t="n">
        <v>3700</v>
      </c>
      <c r="L619" t="inlineStr">
        <is>
          <t>KG</t>
        </is>
      </c>
      <c r="M619" s="44" t="n">
        <v>11529602</v>
      </c>
      <c r="N619" s="44" t="n">
        <v>749424</v>
      </c>
      <c r="O619" t="n">
        <v>0</v>
      </c>
      <c r="P619" s="44" t="n">
        <v>10780178</v>
      </c>
      <c r="Q619" t="inlineStr">
        <is>
          <t>KRW</t>
        </is>
      </c>
      <c r="R619" t="inlineStr">
        <is>
          <t>INV2602-00618</t>
        </is>
      </c>
      <c r="S619" t="inlineStr">
        <is>
          <t>※예시데이터</t>
        </is>
      </c>
    </row>
    <row r="620">
      <c r="A620" t="n">
        <v>1000</v>
      </c>
      <c r="B620" t="inlineStr">
        <is>
          <t>EP사업부</t>
        </is>
      </c>
      <c r="C620" t="inlineStr">
        <is>
          <t>해외영업팀</t>
        </is>
      </c>
      <c r="D620" t="inlineStr">
        <is>
          <t>C10148</t>
        </is>
      </c>
      <c r="E620" t="inlineStr">
        <is>
          <t>Hanoi Molding (VN)</t>
        </is>
      </c>
      <c r="F620" t="inlineStr">
        <is>
          <t>ABS</t>
        </is>
      </c>
      <c r="G620" t="inlineStr">
        <is>
          <t>M-2101</t>
        </is>
      </c>
      <c r="H620" t="inlineStr">
        <is>
          <t>ABS 범용 G300</t>
        </is>
      </c>
      <c r="I620" s="43" t="n">
        <v>46056</v>
      </c>
      <c r="J620" t="n">
        <v>202602</v>
      </c>
      <c r="K620" s="44" t="n">
        <v>10350</v>
      </c>
      <c r="L620" t="inlineStr">
        <is>
          <t>KG</t>
        </is>
      </c>
      <c r="M620" s="44" t="n">
        <v>28680224</v>
      </c>
      <c r="N620" s="44" t="n">
        <v>2868022</v>
      </c>
      <c r="O620" t="n">
        <v>0</v>
      </c>
      <c r="P620" s="44" t="n">
        <v>25812202</v>
      </c>
      <c r="Q620" t="inlineStr">
        <is>
          <t>KRW</t>
        </is>
      </c>
      <c r="R620" t="inlineStr">
        <is>
          <t>INV2602-00619</t>
        </is>
      </c>
      <c r="S620" t="inlineStr">
        <is>
          <t>※예시데이터</t>
        </is>
      </c>
    </row>
    <row r="621">
      <c r="A621" t="n">
        <v>1000</v>
      </c>
      <c r="B621" t="inlineStr">
        <is>
          <t>범용수지사업부</t>
        </is>
      </c>
      <c r="C621" t="inlineStr">
        <is>
          <t>국내영업2팀</t>
        </is>
      </c>
      <c r="D621" t="inlineStr">
        <is>
          <t>C10050</t>
        </is>
      </c>
      <c r="E621" t="inlineStr">
        <is>
          <t>아름화학(주)</t>
        </is>
      </c>
      <c r="F621" t="inlineStr">
        <is>
          <t>PE</t>
        </is>
      </c>
      <c r="G621" t="inlineStr">
        <is>
          <t>M-1201</t>
        </is>
      </c>
      <c r="H621" t="inlineStr">
        <is>
          <t>HDPE 블로우 B500</t>
        </is>
      </c>
      <c r="I621" s="43" t="n">
        <v>46057</v>
      </c>
      <c r="J621" t="n">
        <v>202602</v>
      </c>
      <c r="K621" s="44" t="n">
        <v>6775</v>
      </c>
      <c r="L621" t="inlineStr">
        <is>
          <t>KG</t>
        </is>
      </c>
      <c r="M621" s="44" t="n">
        <v>10601458</v>
      </c>
      <c r="N621" s="44" t="n">
        <v>1113153</v>
      </c>
      <c r="O621" s="44" t="n">
        <v>106015</v>
      </c>
      <c r="P621" s="44" t="n">
        <v>9382290</v>
      </c>
      <c r="Q621" t="inlineStr">
        <is>
          <t>KRW</t>
        </is>
      </c>
      <c r="R621" t="inlineStr">
        <is>
          <t>INV2602-00620</t>
        </is>
      </c>
      <c r="S621" t="inlineStr">
        <is>
          <t>※예시데이터</t>
        </is>
      </c>
    </row>
    <row r="622">
      <c r="A622" t="n">
        <v>1000</v>
      </c>
      <c r="B622" t="inlineStr">
        <is>
          <t>EP사업부</t>
        </is>
      </c>
      <c r="C622" t="inlineStr">
        <is>
          <t>국내영업2팀</t>
        </is>
      </c>
      <c r="D622" t="inlineStr">
        <is>
          <t>C10015</t>
        </is>
      </c>
      <c r="E622" t="inlineStr">
        <is>
          <t>다솜케미칼</t>
        </is>
      </c>
      <c r="F622" t="inlineStr">
        <is>
          <t>PC</t>
        </is>
      </c>
      <c r="G622" t="inlineStr">
        <is>
          <t>M-2202</t>
        </is>
      </c>
      <c r="H622" t="inlineStr">
        <is>
          <t>PC 난연 FR200</t>
        </is>
      </c>
      <c r="I622" s="43" t="n">
        <v>46058</v>
      </c>
      <c r="J622" t="n">
        <v>202602</v>
      </c>
      <c r="K622" s="44" t="n">
        <v>3550</v>
      </c>
      <c r="L622" t="inlineStr">
        <is>
          <t>KG</t>
        </is>
      </c>
      <c r="M622" s="44" t="n">
        <v>15837286</v>
      </c>
      <c r="N622" s="44" t="n">
        <v>791864</v>
      </c>
      <c r="O622" t="n">
        <v>0</v>
      </c>
      <c r="P622" s="44" t="n">
        <v>15045422</v>
      </c>
      <c r="Q622" t="inlineStr">
        <is>
          <t>KRW</t>
        </is>
      </c>
      <c r="R622" t="inlineStr">
        <is>
          <t>INV2602-00621</t>
        </is>
      </c>
      <c r="S622" t="inlineStr">
        <is>
          <t>※예시데이터</t>
        </is>
      </c>
    </row>
    <row r="623">
      <c r="A623" t="n">
        <v>1000</v>
      </c>
      <c r="B623" t="inlineStr">
        <is>
          <t>EP사업부</t>
        </is>
      </c>
      <c r="C623" t="inlineStr">
        <is>
          <t>국내영업1팀</t>
        </is>
      </c>
      <c r="D623" t="inlineStr">
        <is>
          <t>C10043</t>
        </is>
      </c>
      <c r="E623" t="inlineStr">
        <is>
          <t>새봄플라스틱</t>
        </is>
      </c>
      <c r="F623" t="inlineStr">
        <is>
          <t>ABS</t>
        </is>
      </c>
      <c r="G623" t="inlineStr">
        <is>
          <t>M-2101</t>
        </is>
      </c>
      <c r="H623" t="inlineStr">
        <is>
          <t>ABS 범용 G300</t>
        </is>
      </c>
      <c r="I623" s="43" t="n">
        <v>46058</v>
      </c>
      <c r="J623" t="n">
        <v>202602</v>
      </c>
      <c r="K623" s="44" t="n">
        <v>5875</v>
      </c>
      <c r="L623" t="inlineStr">
        <is>
          <t>KG</t>
        </is>
      </c>
      <c r="M623" s="44" t="n">
        <v>16279837</v>
      </c>
      <c r="N623" s="44" t="n">
        <v>976790</v>
      </c>
      <c r="O623" t="n">
        <v>0</v>
      </c>
      <c r="P623" s="44" t="n">
        <v>15303047</v>
      </c>
      <c r="Q623" t="inlineStr">
        <is>
          <t>KRW</t>
        </is>
      </c>
      <c r="R623" t="inlineStr">
        <is>
          <t>INV2602-00622</t>
        </is>
      </c>
      <c r="S623" t="inlineStr">
        <is>
          <t>※예시데이터</t>
        </is>
      </c>
    </row>
    <row r="624">
      <c r="A624" t="n">
        <v>1000</v>
      </c>
      <c r="B624" t="inlineStr">
        <is>
          <t>EP사업부</t>
        </is>
      </c>
      <c r="C624" t="inlineStr">
        <is>
          <t>국내영업1팀</t>
        </is>
      </c>
      <c r="D624" t="inlineStr">
        <is>
          <t>C10078</t>
        </is>
      </c>
      <c r="E624" t="inlineStr">
        <is>
          <t>토담정공(주)</t>
        </is>
      </c>
      <c r="F624" t="inlineStr">
        <is>
          <t>ABS</t>
        </is>
      </c>
      <c r="G624" t="inlineStr">
        <is>
          <t>M-2102</t>
        </is>
      </c>
      <c r="H624" t="inlineStr">
        <is>
          <t>ABS 내열 HR500</t>
        </is>
      </c>
      <c r="I624" s="43" t="n">
        <v>46058</v>
      </c>
      <c r="J624" t="n">
        <v>202602</v>
      </c>
      <c r="K624" s="44" t="n">
        <v>3175</v>
      </c>
      <c r="L624" t="inlineStr">
        <is>
          <t>KG</t>
        </is>
      </c>
      <c r="M624" s="44" t="n">
        <v>9893645</v>
      </c>
      <c r="N624" s="44" t="n">
        <v>296809</v>
      </c>
      <c r="O624" t="n">
        <v>0</v>
      </c>
      <c r="P624" s="44" t="n">
        <v>9596836</v>
      </c>
      <c r="Q624" t="inlineStr">
        <is>
          <t>KRW</t>
        </is>
      </c>
      <c r="R624" t="inlineStr">
        <is>
          <t>INV2602-00623</t>
        </is>
      </c>
      <c r="S624" t="inlineStr">
        <is>
          <t>※예시데이터</t>
        </is>
      </c>
    </row>
    <row r="625">
      <c r="A625" t="n">
        <v>1000</v>
      </c>
      <c r="B625" t="inlineStr">
        <is>
          <t>EP사업부</t>
        </is>
      </c>
      <c r="C625" t="inlineStr">
        <is>
          <t>국내영업2팀</t>
        </is>
      </c>
      <c r="D625" t="inlineStr">
        <is>
          <t>C10099</t>
        </is>
      </c>
      <c r="E625" t="inlineStr">
        <is>
          <t>한울몰드</t>
        </is>
      </c>
      <c r="F625" t="inlineStr">
        <is>
          <t>ABS</t>
        </is>
      </c>
      <c r="G625" t="inlineStr">
        <is>
          <t>M-2101</t>
        </is>
      </c>
      <c r="H625" t="inlineStr">
        <is>
          <t>ABS 범용 G300</t>
        </is>
      </c>
      <c r="I625" s="43" t="n">
        <v>46059</v>
      </c>
      <c r="J625" t="n">
        <v>202602</v>
      </c>
      <c r="K625" s="44" t="n">
        <v>2925</v>
      </c>
      <c r="L625" t="inlineStr">
        <is>
          <t>KG</t>
        </is>
      </c>
      <c r="M625" s="44" t="n">
        <v>8105281</v>
      </c>
      <c r="N625" s="44" t="n">
        <v>526843</v>
      </c>
      <c r="O625" t="n">
        <v>0</v>
      </c>
      <c r="P625" s="44" t="n">
        <v>7578438</v>
      </c>
      <c r="Q625" t="inlineStr">
        <is>
          <t>KRW</t>
        </is>
      </c>
      <c r="R625" t="inlineStr">
        <is>
          <t>INV2602-00624</t>
        </is>
      </c>
      <c r="S625" t="inlineStr">
        <is>
          <t>※예시데이터</t>
        </is>
      </c>
    </row>
    <row r="626">
      <c r="A626" t="n">
        <v>1000</v>
      </c>
      <c r="B626" t="inlineStr">
        <is>
          <t>EP사업부</t>
        </is>
      </c>
      <c r="C626" t="inlineStr">
        <is>
          <t>국내영업2팀</t>
        </is>
      </c>
      <c r="D626" t="inlineStr">
        <is>
          <t>C10015</t>
        </is>
      </c>
      <c r="E626" t="inlineStr">
        <is>
          <t>다솜케미칼</t>
        </is>
      </c>
      <c r="F626" t="inlineStr">
        <is>
          <t>ABS</t>
        </is>
      </c>
      <c r="G626" t="inlineStr">
        <is>
          <t>M-2101</t>
        </is>
      </c>
      <c r="H626" t="inlineStr">
        <is>
          <t>ABS 범용 G300</t>
        </is>
      </c>
      <c r="I626" s="43" t="n">
        <v>46060</v>
      </c>
      <c r="J626" t="n">
        <v>202602</v>
      </c>
      <c r="K626" s="44" t="n">
        <v>1300</v>
      </c>
      <c r="L626" t="inlineStr">
        <is>
          <t>KG</t>
        </is>
      </c>
      <c r="M626" s="44" t="n">
        <v>3602347</v>
      </c>
      <c r="N626" s="44" t="n">
        <v>180117</v>
      </c>
      <c r="O626" t="n">
        <v>0</v>
      </c>
      <c r="P626" s="44" t="n">
        <v>3422230</v>
      </c>
      <c r="Q626" t="inlineStr">
        <is>
          <t>KRW</t>
        </is>
      </c>
      <c r="R626" t="inlineStr">
        <is>
          <t>INV2602-00625</t>
        </is>
      </c>
      <c r="S626" t="inlineStr">
        <is>
          <t>※예시데이터</t>
        </is>
      </c>
    </row>
    <row r="627">
      <c r="A627" t="n">
        <v>1000</v>
      </c>
      <c r="B627" t="inlineStr">
        <is>
          <t>범용수지사업부</t>
        </is>
      </c>
      <c r="C627" t="inlineStr">
        <is>
          <t>국내영업2팀</t>
        </is>
      </c>
      <c r="D627" t="inlineStr">
        <is>
          <t>C10099</t>
        </is>
      </c>
      <c r="E627" t="inlineStr">
        <is>
          <t>한울몰드</t>
        </is>
      </c>
      <c r="F627" t="inlineStr">
        <is>
          <t>PP</t>
        </is>
      </c>
      <c r="G627" t="inlineStr">
        <is>
          <t>M-1101</t>
        </is>
      </c>
      <c r="H627" t="inlineStr">
        <is>
          <t>PP 범용사출 H110</t>
        </is>
      </c>
      <c r="I627" s="43" t="n">
        <v>46060</v>
      </c>
      <c r="J627" t="n">
        <v>202602</v>
      </c>
      <c r="K627" s="44" t="n">
        <v>4675</v>
      </c>
      <c r="L627" t="inlineStr">
        <is>
          <t>KG</t>
        </is>
      </c>
      <c r="M627" s="44" t="n">
        <v>7988510</v>
      </c>
      <c r="N627" s="44" t="n">
        <v>519253</v>
      </c>
      <c r="O627" t="n">
        <v>0</v>
      </c>
      <c r="P627" s="44" t="n">
        <v>7469257</v>
      </c>
      <c r="Q627" t="inlineStr">
        <is>
          <t>KRW</t>
        </is>
      </c>
      <c r="R627" t="inlineStr">
        <is>
          <t>INV2602-00626</t>
        </is>
      </c>
      <c r="S627" t="inlineStr">
        <is>
          <t>※예시데이터</t>
        </is>
      </c>
    </row>
    <row r="628">
      <c r="A628" t="n">
        <v>1000</v>
      </c>
      <c r="B628" t="inlineStr">
        <is>
          <t>범용수지사업부</t>
        </is>
      </c>
      <c r="C628" t="inlineStr">
        <is>
          <t>국내영업1팀</t>
        </is>
      </c>
      <c r="D628" t="inlineStr">
        <is>
          <t>C10092</t>
        </is>
      </c>
      <c r="E628" t="inlineStr">
        <is>
          <t>하늘포장(주)</t>
        </is>
      </c>
      <c r="F628" t="inlineStr">
        <is>
          <t>PE</t>
        </is>
      </c>
      <c r="G628" t="inlineStr">
        <is>
          <t>M-1201</t>
        </is>
      </c>
      <c r="H628" t="inlineStr">
        <is>
          <t>HDPE 블로우 B500</t>
        </is>
      </c>
      <c r="I628" s="43" t="n">
        <v>46061</v>
      </c>
      <c r="J628" t="n">
        <v>202602</v>
      </c>
      <c r="K628" s="44" t="n">
        <v>10275</v>
      </c>
      <c r="L628" t="inlineStr">
        <is>
          <t>KG</t>
        </is>
      </c>
      <c r="M628" s="44" t="n">
        <v>16078226</v>
      </c>
      <c r="N628" s="44" t="n">
        <v>1125476</v>
      </c>
      <c r="O628" t="n">
        <v>0</v>
      </c>
      <c r="P628" s="44" t="n">
        <v>14952750</v>
      </c>
      <c r="Q628" t="inlineStr">
        <is>
          <t>KRW</t>
        </is>
      </c>
      <c r="R628" t="inlineStr">
        <is>
          <t>INV2602-00627</t>
        </is>
      </c>
      <c r="S628" t="inlineStr">
        <is>
          <t>※예시데이터</t>
        </is>
      </c>
    </row>
    <row r="629">
      <c r="A629" t="n">
        <v>1000</v>
      </c>
      <c r="B629" t="inlineStr">
        <is>
          <t>범용수지사업부</t>
        </is>
      </c>
      <c r="C629" t="inlineStr">
        <is>
          <t>국내영업1팀</t>
        </is>
      </c>
      <c r="D629" t="inlineStr">
        <is>
          <t>C10106</t>
        </is>
      </c>
      <c r="E629" t="inlineStr">
        <is>
          <t>온새미사출</t>
        </is>
      </c>
      <c r="F629" t="inlineStr">
        <is>
          <t>PP</t>
        </is>
      </c>
      <c r="G629" t="inlineStr">
        <is>
          <t>M-1101</t>
        </is>
      </c>
      <c r="H629" t="inlineStr">
        <is>
          <t>PP 범용사출 H110</t>
        </is>
      </c>
      <c r="I629" s="43" t="n">
        <v>46061</v>
      </c>
      <c r="J629" t="n">
        <v>202602</v>
      </c>
      <c r="K629" s="44" t="n">
        <v>3050</v>
      </c>
      <c r="L629" t="inlineStr">
        <is>
          <t>KG</t>
        </is>
      </c>
      <c r="M629" s="44" t="n">
        <v>5211755</v>
      </c>
      <c r="N629" s="44" t="n">
        <v>260588</v>
      </c>
      <c r="O629" t="n">
        <v>0</v>
      </c>
      <c r="P629" s="44" t="n">
        <v>4951167</v>
      </c>
      <c r="Q629" t="inlineStr">
        <is>
          <t>KRW</t>
        </is>
      </c>
      <c r="R629" t="inlineStr">
        <is>
          <t>INV2602-00628</t>
        </is>
      </c>
      <c r="S629" t="inlineStr">
        <is>
          <t>※예시데이터</t>
        </is>
      </c>
    </row>
    <row r="630">
      <c r="A630" t="n">
        <v>1000</v>
      </c>
      <c r="B630" t="inlineStr">
        <is>
          <t>범용수지사업부</t>
        </is>
      </c>
      <c r="C630" t="inlineStr">
        <is>
          <t>국내영업2팀</t>
        </is>
      </c>
      <c r="D630" t="inlineStr">
        <is>
          <t>C10127</t>
        </is>
      </c>
      <c r="E630" t="inlineStr">
        <is>
          <t>미르패키징</t>
        </is>
      </c>
      <c r="F630" t="inlineStr">
        <is>
          <t>PE</t>
        </is>
      </c>
      <c r="G630" t="inlineStr">
        <is>
          <t>M-1202</t>
        </is>
      </c>
      <c r="H630" t="inlineStr">
        <is>
          <t>LLDPE 필름 F120</t>
        </is>
      </c>
      <c r="I630" s="43" t="n">
        <v>46061</v>
      </c>
      <c r="J630" t="n">
        <v>202602</v>
      </c>
      <c r="K630" s="44" t="n">
        <v>3750</v>
      </c>
      <c r="L630" t="inlineStr">
        <is>
          <t>KG</t>
        </is>
      </c>
      <c r="M630" s="44" t="n">
        <v>6350773</v>
      </c>
      <c r="N630" s="44" t="n">
        <v>539816</v>
      </c>
      <c r="O630" t="n">
        <v>0</v>
      </c>
      <c r="P630" s="44" t="n">
        <v>5810957</v>
      </c>
      <c r="Q630" t="inlineStr">
        <is>
          <t>KRW</t>
        </is>
      </c>
      <c r="R630" t="inlineStr">
        <is>
          <t>INV2602-00629</t>
        </is>
      </c>
      <c r="S630" t="inlineStr">
        <is>
          <t>※예시데이터</t>
        </is>
      </c>
    </row>
    <row r="631">
      <c r="A631" t="n">
        <v>1000</v>
      </c>
      <c r="B631" t="inlineStr">
        <is>
          <t>EP사업부</t>
        </is>
      </c>
      <c r="C631" t="inlineStr">
        <is>
          <t>국내영업2팀</t>
        </is>
      </c>
      <c r="D631" t="inlineStr">
        <is>
          <t>C10085</t>
        </is>
      </c>
      <c r="E631" t="inlineStr">
        <is>
          <t>파란하이텍</t>
        </is>
      </c>
      <c r="F631" t="inlineStr">
        <is>
          <t>PC</t>
        </is>
      </c>
      <c r="G631" t="inlineStr">
        <is>
          <t>M-2202</t>
        </is>
      </c>
      <c r="H631" t="inlineStr">
        <is>
          <t>PC 난연 FR200</t>
        </is>
      </c>
      <c r="I631" s="43" t="n">
        <v>46062</v>
      </c>
      <c r="J631" t="n">
        <v>202602</v>
      </c>
      <c r="K631" s="44" t="n">
        <v>5125</v>
      </c>
      <c r="L631" t="inlineStr">
        <is>
          <t>KG</t>
        </is>
      </c>
      <c r="M631" s="44" t="n">
        <v>22863687</v>
      </c>
      <c r="N631" s="44" t="n">
        <v>2057732</v>
      </c>
      <c r="O631" t="n">
        <v>0</v>
      </c>
      <c r="P631" s="44" t="n">
        <v>20805955</v>
      </c>
      <c r="Q631" t="inlineStr">
        <is>
          <t>KRW</t>
        </is>
      </c>
      <c r="R631" t="inlineStr">
        <is>
          <t>INV2602-00630</t>
        </is>
      </c>
      <c r="S631" t="inlineStr">
        <is>
          <t>※예시데이터</t>
        </is>
      </c>
    </row>
    <row r="632">
      <c r="A632" t="n">
        <v>1000</v>
      </c>
      <c r="B632" t="inlineStr">
        <is>
          <t>범용수지사업부</t>
        </is>
      </c>
      <c r="C632" t="inlineStr">
        <is>
          <t>국내영업2팀</t>
        </is>
      </c>
      <c r="D632" t="inlineStr">
        <is>
          <t>C10127</t>
        </is>
      </c>
      <c r="E632" t="inlineStr">
        <is>
          <t>미르패키징</t>
        </is>
      </c>
      <c r="F632" t="inlineStr">
        <is>
          <t>PP</t>
        </is>
      </c>
      <c r="G632" t="inlineStr">
        <is>
          <t>M-1101</t>
        </is>
      </c>
      <c r="H632" t="inlineStr">
        <is>
          <t>PP 범용사출 H110</t>
        </is>
      </c>
      <c r="I632" s="43" t="n">
        <v>46062</v>
      </c>
      <c r="J632" t="n">
        <v>202602</v>
      </c>
      <c r="K632" s="44" t="n">
        <v>2375</v>
      </c>
      <c r="L632" t="inlineStr">
        <is>
          <t>KG</t>
        </is>
      </c>
      <c r="M632" s="44" t="n">
        <v>4058334</v>
      </c>
      <c r="N632" s="44" t="n">
        <v>344958</v>
      </c>
      <c r="O632" t="n">
        <v>0</v>
      </c>
      <c r="P632" s="44" t="n">
        <v>3713376</v>
      </c>
      <c r="Q632" t="inlineStr">
        <is>
          <t>KRW</t>
        </is>
      </c>
      <c r="R632" t="inlineStr">
        <is>
          <t>INV2602-00631</t>
        </is>
      </c>
      <c r="S632" t="inlineStr">
        <is>
          <t>※예시데이터</t>
        </is>
      </c>
    </row>
    <row r="633">
      <c r="A633" t="n">
        <v>1000</v>
      </c>
      <c r="B633" t="inlineStr">
        <is>
          <t>범용수지사업부</t>
        </is>
      </c>
      <c r="C633" t="inlineStr">
        <is>
          <t>해외영업팀</t>
        </is>
      </c>
      <c r="D633" t="inlineStr">
        <is>
          <t>C10071</t>
        </is>
      </c>
      <c r="E633" t="inlineStr">
        <is>
          <t>큰별코리아</t>
        </is>
      </c>
      <c r="F633" t="inlineStr">
        <is>
          <t>PE</t>
        </is>
      </c>
      <c r="G633" t="inlineStr">
        <is>
          <t>M-1202</t>
        </is>
      </c>
      <c r="H633" t="inlineStr">
        <is>
          <t>LLDPE 필름 F120</t>
        </is>
      </c>
      <c r="I633" s="43" t="n">
        <v>46063</v>
      </c>
      <c r="J633" t="n">
        <v>202602</v>
      </c>
      <c r="K633" s="44" t="n">
        <v>3875</v>
      </c>
      <c r="L633" t="inlineStr">
        <is>
          <t>KG</t>
        </is>
      </c>
      <c r="M633" s="44" t="n">
        <v>6562465</v>
      </c>
      <c r="N633" s="44" t="n">
        <v>820308</v>
      </c>
      <c r="O633" s="44" t="n">
        <v>131249</v>
      </c>
      <c r="P633" s="44" t="n">
        <v>5610908</v>
      </c>
      <c r="Q633" t="inlineStr">
        <is>
          <t>KRW</t>
        </is>
      </c>
      <c r="R633" t="inlineStr">
        <is>
          <t>INV2602-00632</t>
        </is>
      </c>
      <c r="S633" t="inlineStr">
        <is>
          <t>※예시데이터</t>
        </is>
      </c>
    </row>
    <row r="634">
      <c r="A634" t="n">
        <v>1000</v>
      </c>
      <c r="B634" t="inlineStr">
        <is>
          <t>EP사업부</t>
        </is>
      </c>
      <c r="C634" t="inlineStr">
        <is>
          <t>국내영업1팀</t>
        </is>
      </c>
      <c r="D634" t="inlineStr">
        <is>
          <t>C10078</t>
        </is>
      </c>
      <c r="E634" t="inlineStr">
        <is>
          <t>토담정공(주)</t>
        </is>
      </c>
      <c r="F634" t="inlineStr">
        <is>
          <t>ABS</t>
        </is>
      </c>
      <c r="G634" t="inlineStr">
        <is>
          <t>M-2102</t>
        </is>
      </c>
      <c r="H634" t="inlineStr">
        <is>
          <t>ABS 내열 HR500</t>
        </is>
      </c>
      <c r="I634" s="43" t="n">
        <v>46063</v>
      </c>
      <c r="J634" t="n">
        <v>202602</v>
      </c>
      <c r="K634" s="44" t="n">
        <v>3175</v>
      </c>
      <c r="L634" t="inlineStr">
        <is>
          <t>KG</t>
        </is>
      </c>
      <c r="M634" s="44" t="n">
        <v>9893645</v>
      </c>
      <c r="N634" s="44" t="n">
        <v>296809</v>
      </c>
      <c r="O634" t="n">
        <v>0</v>
      </c>
      <c r="P634" s="44" t="n">
        <v>9596836</v>
      </c>
      <c r="Q634" t="inlineStr">
        <is>
          <t>KRW</t>
        </is>
      </c>
      <c r="R634" t="inlineStr">
        <is>
          <t>INV2602-00633</t>
        </is>
      </c>
      <c r="S634" t="inlineStr">
        <is>
          <t>※예시데이터</t>
        </is>
      </c>
    </row>
    <row r="635">
      <c r="A635" t="n">
        <v>1000</v>
      </c>
      <c r="B635" t="inlineStr">
        <is>
          <t>범용수지사업부</t>
        </is>
      </c>
      <c r="C635" t="inlineStr">
        <is>
          <t>해외영업팀</t>
        </is>
      </c>
      <c r="D635" t="inlineStr">
        <is>
          <t>C10071</t>
        </is>
      </c>
      <c r="E635" t="inlineStr">
        <is>
          <t>큰별코리아</t>
        </is>
      </c>
      <c r="F635" t="inlineStr">
        <is>
          <t>PP</t>
        </is>
      </c>
      <c r="G635" t="inlineStr">
        <is>
          <t>M-1101</t>
        </is>
      </c>
      <c r="H635" t="inlineStr">
        <is>
          <t>PP 범용사출 H110</t>
        </is>
      </c>
      <c r="I635" s="43" t="n">
        <v>46064</v>
      </c>
      <c r="J635" t="n">
        <v>202602</v>
      </c>
      <c r="K635" s="44" t="n">
        <v>11875</v>
      </c>
      <c r="L635" t="inlineStr">
        <is>
          <t>KG</t>
        </is>
      </c>
      <c r="M635" s="44" t="n">
        <v>20291669</v>
      </c>
      <c r="N635" s="44" t="n">
        <v>2536459</v>
      </c>
      <c r="O635" s="44" t="n">
        <v>405833</v>
      </c>
      <c r="P635" s="44" t="n">
        <v>17349377</v>
      </c>
      <c r="Q635" t="inlineStr">
        <is>
          <t>KRW</t>
        </is>
      </c>
      <c r="R635" t="inlineStr">
        <is>
          <t>INV2602-00634</t>
        </is>
      </c>
      <c r="S635" t="inlineStr">
        <is>
          <t>※예시데이터</t>
        </is>
      </c>
    </row>
    <row r="636">
      <c r="A636" t="n">
        <v>1000</v>
      </c>
      <c r="B636" t="inlineStr">
        <is>
          <t>범용수지사업부</t>
        </is>
      </c>
      <c r="C636" t="inlineStr">
        <is>
          <t>국내영업1팀</t>
        </is>
      </c>
      <c r="D636" t="inlineStr">
        <is>
          <t>C10043</t>
        </is>
      </c>
      <c r="E636" t="inlineStr">
        <is>
          <t>새봄플라스틱</t>
        </is>
      </c>
      <c r="F636" t="inlineStr">
        <is>
          <t>PP</t>
        </is>
      </c>
      <c r="G636" t="inlineStr">
        <is>
          <t>M-1103</t>
        </is>
      </c>
      <c r="H636" t="inlineStr">
        <is>
          <t>PP 투명 R330</t>
        </is>
      </c>
      <c r="I636" s="43" t="n">
        <v>46066</v>
      </c>
      <c r="J636" t="n">
        <v>202602</v>
      </c>
      <c r="K636" s="44" t="n">
        <v>1150</v>
      </c>
      <c r="L636" t="inlineStr">
        <is>
          <t>KG</t>
        </is>
      </c>
      <c r="M636" s="44" t="n">
        <v>2310467</v>
      </c>
      <c r="N636" s="44" t="n">
        <v>138628</v>
      </c>
      <c r="O636" t="n">
        <v>0</v>
      </c>
      <c r="P636" s="44" t="n">
        <v>2171839</v>
      </c>
      <c r="Q636" t="inlineStr">
        <is>
          <t>KRW</t>
        </is>
      </c>
      <c r="R636" t="inlineStr">
        <is>
          <t>INV2602-00635</t>
        </is>
      </c>
      <c r="S636" t="inlineStr">
        <is>
          <t>※예시데이터</t>
        </is>
      </c>
    </row>
    <row r="637">
      <c r="A637" t="n">
        <v>1000</v>
      </c>
      <c r="B637" t="inlineStr">
        <is>
          <t>범용수지사업부</t>
        </is>
      </c>
      <c r="C637" t="inlineStr">
        <is>
          <t>국내영업1팀</t>
        </is>
      </c>
      <c r="D637" t="inlineStr">
        <is>
          <t>C10043</t>
        </is>
      </c>
      <c r="E637" t="inlineStr">
        <is>
          <t>새봄플라스틱</t>
        </is>
      </c>
      <c r="F637" t="inlineStr">
        <is>
          <t>PP</t>
        </is>
      </c>
      <c r="G637" t="inlineStr">
        <is>
          <t>M-1103</t>
        </is>
      </c>
      <c r="H637" t="inlineStr">
        <is>
          <t>PP 투명 R330</t>
        </is>
      </c>
      <c r="I637" s="43" t="n">
        <v>46066</v>
      </c>
      <c r="J637" t="n">
        <v>202602</v>
      </c>
      <c r="K637" s="44" t="n">
        <v>1150</v>
      </c>
      <c r="L637" t="inlineStr">
        <is>
          <t>KG</t>
        </is>
      </c>
      <c r="M637" s="44" t="n">
        <v>2310467</v>
      </c>
      <c r="N637" s="44" t="n">
        <v>138628</v>
      </c>
      <c r="O637" t="n">
        <v>0</v>
      </c>
      <c r="P637" s="44" t="n">
        <v>2171839</v>
      </c>
      <c r="Q637" t="inlineStr">
        <is>
          <t>KRW</t>
        </is>
      </c>
      <c r="R637" t="inlineStr">
        <is>
          <t>INV2602-00636</t>
        </is>
      </c>
      <c r="S637" t="inlineStr">
        <is>
          <t>※예시데이터</t>
        </is>
      </c>
    </row>
    <row r="638">
      <c r="A638" t="n">
        <v>1000</v>
      </c>
      <c r="B638" t="inlineStr">
        <is>
          <t>EP사업부</t>
        </is>
      </c>
      <c r="C638" t="inlineStr">
        <is>
          <t>국내영업1팀</t>
        </is>
      </c>
      <c r="D638" t="inlineStr">
        <is>
          <t>C10057</t>
        </is>
      </c>
      <c r="E638" t="inlineStr">
        <is>
          <t>자연엠텍</t>
        </is>
      </c>
      <c r="F638" t="inlineStr">
        <is>
          <t>PC</t>
        </is>
      </c>
      <c r="G638" t="inlineStr">
        <is>
          <t>M-2201</t>
        </is>
      </c>
      <c r="H638" t="inlineStr">
        <is>
          <t>PC 일반 C100</t>
        </is>
      </c>
      <c r="I638" s="43" t="n">
        <v>46066</v>
      </c>
      <c r="J638" t="n">
        <v>202602</v>
      </c>
      <c r="K638" s="44" t="n">
        <v>1600</v>
      </c>
      <c r="L638" t="inlineStr">
        <is>
          <t>KG</t>
        </is>
      </c>
      <c r="M638" s="44" t="n">
        <v>6399525</v>
      </c>
      <c r="N638" s="44" t="n">
        <v>223983</v>
      </c>
      <c r="O638" t="n">
        <v>0</v>
      </c>
      <c r="P638" s="44" t="n">
        <v>6175542</v>
      </c>
      <c r="Q638" t="inlineStr">
        <is>
          <t>KRW</t>
        </is>
      </c>
      <c r="R638" t="inlineStr">
        <is>
          <t>INV2602-00637</t>
        </is>
      </c>
      <c r="S638" t="inlineStr">
        <is>
          <t>※예시데이터</t>
        </is>
      </c>
    </row>
    <row r="639">
      <c r="A639" t="n">
        <v>1000</v>
      </c>
      <c r="B639" t="inlineStr">
        <is>
          <t>범용수지사업부</t>
        </is>
      </c>
      <c r="C639" t="inlineStr">
        <is>
          <t>해외영업팀</t>
        </is>
      </c>
      <c r="D639" t="inlineStr">
        <is>
          <t>C10071</t>
        </is>
      </c>
      <c r="E639" t="inlineStr">
        <is>
          <t>큰별코리아</t>
        </is>
      </c>
      <c r="F639" t="inlineStr">
        <is>
          <t>PE</t>
        </is>
      </c>
      <c r="G639" t="inlineStr">
        <is>
          <t>M-1202</t>
        </is>
      </c>
      <c r="H639" t="inlineStr">
        <is>
          <t>LLDPE 필름 F120</t>
        </is>
      </c>
      <c r="I639" s="43" t="n">
        <v>46066</v>
      </c>
      <c r="J639" t="n">
        <v>202602</v>
      </c>
      <c r="K639" s="44" t="n">
        <v>3875</v>
      </c>
      <c r="L639" t="inlineStr">
        <is>
          <t>KG</t>
        </is>
      </c>
      <c r="M639" s="44" t="n">
        <v>6562465</v>
      </c>
      <c r="N639" s="44" t="n">
        <v>820308</v>
      </c>
      <c r="O639" s="44" t="n">
        <v>131249</v>
      </c>
      <c r="P639" s="44" t="n">
        <v>5610908</v>
      </c>
      <c r="Q639" t="inlineStr">
        <is>
          <t>KRW</t>
        </is>
      </c>
      <c r="R639" t="inlineStr">
        <is>
          <t>INV2602-00638</t>
        </is>
      </c>
      <c r="S639" t="inlineStr">
        <is>
          <t>※예시데이터</t>
        </is>
      </c>
    </row>
    <row r="640">
      <c r="A640" t="n">
        <v>1000</v>
      </c>
      <c r="B640" t="inlineStr">
        <is>
          <t>EP사업부</t>
        </is>
      </c>
      <c r="C640" t="inlineStr">
        <is>
          <t>국내영업2팀</t>
        </is>
      </c>
      <c r="D640" t="inlineStr">
        <is>
          <t>C10085</t>
        </is>
      </c>
      <c r="E640" t="inlineStr">
        <is>
          <t>파란하이텍</t>
        </is>
      </c>
      <c r="F640" t="inlineStr">
        <is>
          <t>PC</t>
        </is>
      </c>
      <c r="G640" t="inlineStr">
        <is>
          <t>M-2201</t>
        </is>
      </c>
      <c r="H640" t="inlineStr">
        <is>
          <t>PC 일반 C100</t>
        </is>
      </c>
      <c r="I640" s="43" t="n">
        <v>46066</v>
      </c>
      <c r="J640" t="n">
        <v>202602</v>
      </c>
      <c r="K640" s="44" t="n">
        <v>4625</v>
      </c>
      <c r="L640" t="inlineStr">
        <is>
          <t>KG</t>
        </is>
      </c>
      <c r="M640" s="44" t="n">
        <v>18498627</v>
      </c>
      <c r="N640" s="44" t="n">
        <v>1664876</v>
      </c>
      <c r="O640" t="n">
        <v>0</v>
      </c>
      <c r="P640" s="44" t="n">
        <v>16833751</v>
      </c>
      <c r="Q640" t="inlineStr">
        <is>
          <t>KRW</t>
        </is>
      </c>
      <c r="R640" t="inlineStr">
        <is>
          <t>INV2602-00639</t>
        </is>
      </c>
      <c r="S640" t="inlineStr">
        <is>
          <t>※예시데이터</t>
        </is>
      </c>
    </row>
    <row r="641">
      <c r="A641" t="n">
        <v>1000</v>
      </c>
      <c r="B641" t="inlineStr">
        <is>
          <t>범용수지사업부</t>
        </is>
      </c>
      <c r="C641" t="inlineStr">
        <is>
          <t>해외영업팀</t>
        </is>
      </c>
      <c r="D641" t="inlineStr">
        <is>
          <t>C10141</t>
        </is>
      </c>
      <c r="E641" t="inlineStr">
        <is>
          <t>Sinar Plastik (ID)</t>
        </is>
      </c>
      <c r="F641" t="inlineStr">
        <is>
          <t>PP</t>
        </is>
      </c>
      <c r="G641" t="inlineStr">
        <is>
          <t>M-1102</t>
        </is>
      </c>
      <c r="H641" t="inlineStr">
        <is>
          <t>PP 고강성 H220</t>
        </is>
      </c>
      <c r="I641" s="43" t="n">
        <v>46066</v>
      </c>
      <c r="J641" t="n">
        <v>202602</v>
      </c>
      <c r="K641" s="44" t="n">
        <v>14425</v>
      </c>
      <c r="L641" t="inlineStr">
        <is>
          <t>KG</t>
        </is>
      </c>
      <c r="M641" s="44" t="n">
        <v>27188635</v>
      </c>
      <c r="N641" s="44" t="n">
        <v>3806409</v>
      </c>
      <c r="O641" t="n">
        <v>0</v>
      </c>
      <c r="P641" s="44" t="n">
        <v>23382226</v>
      </c>
      <c r="Q641" t="inlineStr">
        <is>
          <t>KRW</t>
        </is>
      </c>
      <c r="R641" t="inlineStr">
        <is>
          <t>INV2602-00640</t>
        </is>
      </c>
      <c r="S641" t="inlineStr">
        <is>
          <t>※예시데이터</t>
        </is>
      </c>
    </row>
    <row r="642">
      <c r="A642" t="n">
        <v>1000</v>
      </c>
      <c r="B642" t="inlineStr">
        <is>
          <t>EP사업부</t>
        </is>
      </c>
      <c r="C642" t="inlineStr">
        <is>
          <t>국내영업1팀</t>
        </is>
      </c>
      <c r="D642" t="inlineStr">
        <is>
          <t>C10134</t>
        </is>
      </c>
      <c r="E642" t="inlineStr">
        <is>
          <t>별하전자(주)</t>
        </is>
      </c>
      <c r="F642" t="inlineStr">
        <is>
          <t>PC</t>
        </is>
      </c>
      <c r="G642" t="inlineStr">
        <is>
          <t>M-2201</t>
        </is>
      </c>
      <c r="H642" t="inlineStr">
        <is>
          <t>PC 일반 C100</t>
        </is>
      </c>
      <c r="I642" s="43" t="n">
        <v>46068</v>
      </c>
      <c r="J642" t="n">
        <v>202602</v>
      </c>
      <c r="K642" s="44" t="n">
        <v>1650</v>
      </c>
      <c r="L642" t="inlineStr">
        <is>
          <t>KG</t>
        </is>
      </c>
      <c r="M642" s="44" t="n">
        <v>6599510</v>
      </c>
      <c r="N642" s="44" t="n">
        <v>197985</v>
      </c>
      <c r="O642" t="n">
        <v>0</v>
      </c>
      <c r="P642" s="44" t="n">
        <v>6401525</v>
      </c>
      <c r="Q642" t="inlineStr">
        <is>
          <t>KRW</t>
        </is>
      </c>
      <c r="R642" t="inlineStr">
        <is>
          <t>INV2602-00641</t>
        </is>
      </c>
      <c r="S642" t="inlineStr">
        <is>
          <t>※예시데이터</t>
        </is>
      </c>
    </row>
    <row r="643">
      <c r="A643" t="n">
        <v>1000</v>
      </c>
      <c r="B643" t="inlineStr">
        <is>
          <t>EP사업부</t>
        </is>
      </c>
      <c r="C643" t="inlineStr">
        <is>
          <t>국내영업2팀</t>
        </is>
      </c>
      <c r="D643" t="inlineStr">
        <is>
          <t>C10022</t>
        </is>
      </c>
      <c r="E643" t="inlineStr">
        <is>
          <t>라온테크(주)</t>
        </is>
      </c>
      <c r="F643" t="inlineStr">
        <is>
          <t>ABS</t>
        </is>
      </c>
      <c r="G643" t="inlineStr">
        <is>
          <t>M-2101</t>
        </is>
      </c>
      <c r="H643" t="inlineStr">
        <is>
          <t>ABS 범용 G300</t>
        </is>
      </c>
      <c r="I643" s="43" t="n">
        <v>46070</v>
      </c>
      <c r="J643" t="n">
        <v>202602</v>
      </c>
      <c r="K643" s="44" t="n">
        <v>3775</v>
      </c>
      <c r="L643" t="inlineStr">
        <is>
          <t>KG</t>
        </is>
      </c>
      <c r="M643" s="44" t="n">
        <v>10460661</v>
      </c>
      <c r="N643" s="44" t="n">
        <v>1150673</v>
      </c>
      <c r="O643" t="n">
        <v>0</v>
      </c>
      <c r="P643" s="44" t="n">
        <v>9309988</v>
      </c>
      <c r="Q643" t="inlineStr">
        <is>
          <t>KRW</t>
        </is>
      </c>
      <c r="R643" t="inlineStr">
        <is>
          <t>INV2602-00642</t>
        </is>
      </c>
      <c r="S643" t="inlineStr">
        <is>
          <t>※예시데이터</t>
        </is>
      </c>
    </row>
    <row r="644">
      <c r="A644" t="n">
        <v>1000</v>
      </c>
      <c r="B644" t="inlineStr">
        <is>
          <t>EP사업부</t>
        </is>
      </c>
      <c r="C644" t="inlineStr">
        <is>
          <t>국내영업1팀</t>
        </is>
      </c>
      <c r="D644" t="inlineStr">
        <is>
          <t>C10029</t>
        </is>
      </c>
      <c r="E644" t="inlineStr">
        <is>
          <t>마루정밀</t>
        </is>
      </c>
      <c r="F644" t="inlineStr">
        <is>
          <t>PC</t>
        </is>
      </c>
      <c r="G644" t="inlineStr">
        <is>
          <t>M-2201</t>
        </is>
      </c>
      <c r="H644" t="inlineStr">
        <is>
          <t>PC 일반 C100</t>
        </is>
      </c>
      <c r="I644" s="43" t="n">
        <v>46070</v>
      </c>
      <c r="J644" t="n">
        <v>202602</v>
      </c>
      <c r="K644" s="44" t="n">
        <v>3600</v>
      </c>
      <c r="L644" t="inlineStr">
        <is>
          <t>KG</t>
        </is>
      </c>
      <c r="M644" s="44" t="n">
        <v>14398931</v>
      </c>
      <c r="N644" s="44" t="n">
        <v>503963</v>
      </c>
      <c r="O644" t="n">
        <v>0</v>
      </c>
      <c r="P644" s="44" t="n">
        <v>13894968</v>
      </c>
      <c r="Q644" t="inlineStr">
        <is>
          <t>KRW</t>
        </is>
      </c>
      <c r="R644" t="inlineStr">
        <is>
          <t>INV2602-00643</t>
        </is>
      </c>
      <c r="S644" t="inlineStr">
        <is>
          <t>※예시데이터</t>
        </is>
      </c>
    </row>
    <row r="645">
      <c r="A645" t="n">
        <v>1000</v>
      </c>
      <c r="B645" t="inlineStr">
        <is>
          <t>범용수지사업부</t>
        </is>
      </c>
      <c r="C645" t="inlineStr">
        <is>
          <t>국내영업2팀</t>
        </is>
      </c>
      <c r="D645" t="inlineStr">
        <is>
          <t>C10127</t>
        </is>
      </c>
      <c r="E645" t="inlineStr">
        <is>
          <t>미르패키징</t>
        </is>
      </c>
      <c r="F645" t="inlineStr">
        <is>
          <t>PE</t>
        </is>
      </c>
      <c r="G645" t="inlineStr">
        <is>
          <t>M-1201</t>
        </is>
      </c>
      <c r="H645" t="inlineStr">
        <is>
          <t>HDPE 블로우 B500</t>
        </is>
      </c>
      <c r="I645" s="43" t="n">
        <v>46071</v>
      </c>
      <c r="J645" t="n">
        <v>202602</v>
      </c>
      <c r="K645" s="44" t="n">
        <v>4925</v>
      </c>
      <c r="L645" t="inlineStr">
        <is>
          <t>KG</t>
        </is>
      </c>
      <c r="M645" s="44" t="n">
        <v>7706595</v>
      </c>
      <c r="N645" s="44" t="n">
        <v>655061</v>
      </c>
      <c r="O645" t="n">
        <v>0</v>
      </c>
      <c r="P645" s="44" t="n">
        <v>7051534</v>
      </c>
      <c r="Q645" t="inlineStr">
        <is>
          <t>KRW</t>
        </is>
      </c>
      <c r="R645" t="inlineStr">
        <is>
          <t>INV2602-00644</t>
        </is>
      </c>
      <c r="S645" t="inlineStr">
        <is>
          <t>※예시데이터</t>
        </is>
      </c>
    </row>
    <row r="646">
      <c r="A646" t="n">
        <v>1000</v>
      </c>
      <c r="B646" t="inlineStr">
        <is>
          <t>범용수지사업부</t>
        </is>
      </c>
      <c r="C646" t="inlineStr">
        <is>
          <t>해외영업팀</t>
        </is>
      </c>
      <c r="D646" t="inlineStr">
        <is>
          <t>C10148</t>
        </is>
      </c>
      <c r="E646" t="inlineStr">
        <is>
          <t>Hanoi Molding (VN)</t>
        </is>
      </c>
      <c r="F646" t="inlineStr">
        <is>
          <t>PP</t>
        </is>
      </c>
      <c r="G646" t="inlineStr">
        <is>
          <t>M-1103</t>
        </is>
      </c>
      <c r="H646" t="inlineStr">
        <is>
          <t>PP 투명 R330</t>
        </is>
      </c>
      <c r="I646" s="43" t="n">
        <v>46071</v>
      </c>
      <c r="J646" t="n">
        <v>202602</v>
      </c>
      <c r="K646" s="44" t="n">
        <v>2825</v>
      </c>
      <c r="L646" t="inlineStr">
        <is>
          <t>KG</t>
        </is>
      </c>
      <c r="M646" s="44" t="n">
        <v>5675712</v>
      </c>
      <c r="N646" s="44" t="n">
        <v>567571</v>
      </c>
      <c r="O646" t="n">
        <v>0</v>
      </c>
      <c r="P646" s="44" t="n">
        <v>5108141</v>
      </c>
      <c r="Q646" t="inlineStr">
        <is>
          <t>KRW</t>
        </is>
      </c>
      <c r="R646" t="inlineStr">
        <is>
          <t>INV2602-00645</t>
        </is>
      </c>
      <c r="S646" t="inlineStr">
        <is>
          <t>※예시데이터</t>
        </is>
      </c>
    </row>
    <row r="647">
      <c r="A647" t="n">
        <v>1000</v>
      </c>
      <c r="B647" t="inlineStr">
        <is>
          <t>범용수지사업부</t>
        </is>
      </c>
      <c r="C647" t="inlineStr">
        <is>
          <t>국내영업1팀</t>
        </is>
      </c>
      <c r="D647" t="inlineStr">
        <is>
          <t>C10001</t>
        </is>
      </c>
      <c r="E647" t="inlineStr">
        <is>
          <t>가온소재(주)</t>
        </is>
      </c>
      <c r="F647" t="inlineStr">
        <is>
          <t>PE</t>
        </is>
      </c>
      <c r="G647" t="inlineStr">
        <is>
          <t>M-1201</t>
        </is>
      </c>
      <c r="H647" t="inlineStr">
        <is>
          <t>HDPE 블로우 B500</t>
        </is>
      </c>
      <c r="I647" s="43" t="n">
        <v>46072</v>
      </c>
      <c r="J647" t="n">
        <v>202602</v>
      </c>
      <c r="K647" s="44" t="n">
        <v>5650</v>
      </c>
      <c r="L647" t="inlineStr">
        <is>
          <t>KG</t>
        </is>
      </c>
      <c r="M647" s="44" t="n">
        <v>8841068</v>
      </c>
      <c r="N647" s="44" t="n">
        <v>442053</v>
      </c>
      <c r="O647" t="n">
        <v>0</v>
      </c>
      <c r="P647" s="44" t="n">
        <v>8399015</v>
      </c>
      <c r="Q647" t="inlineStr">
        <is>
          <t>KRW</t>
        </is>
      </c>
      <c r="R647" t="inlineStr">
        <is>
          <t>INV2602-00646</t>
        </is>
      </c>
      <c r="S647" t="inlineStr">
        <is>
          <t>※예시데이터</t>
        </is>
      </c>
    </row>
    <row r="648">
      <c r="A648" t="n">
        <v>1000</v>
      </c>
      <c r="B648" t="inlineStr">
        <is>
          <t>범용수지사업부</t>
        </is>
      </c>
      <c r="C648" t="inlineStr">
        <is>
          <t>국내영업1팀</t>
        </is>
      </c>
      <c r="D648" t="inlineStr">
        <is>
          <t>C10008</t>
        </is>
      </c>
      <c r="E648" t="inlineStr">
        <is>
          <t>나래산업(주)</t>
        </is>
      </c>
      <c r="F648" t="inlineStr">
        <is>
          <t>PP</t>
        </is>
      </c>
      <c r="G648" t="inlineStr">
        <is>
          <t>M-1101</t>
        </is>
      </c>
      <c r="H648" t="inlineStr">
        <is>
          <t>PP 범용사출 H110</t>
        </is>
      </c>
      <c r="I648" s="43" t="n">
        <v>46072</v>
      </c>
      <c r="J648" t="n">
        <v>202602</v>
      </c>
      <c r="K648" s="44" t="n">
        <v>31900</v>
      </c>
      <c r="L648" t="inlineStr">
        <is>
          <t>KG</t>
        </is>
      </c>
      <c r="M648" s="44" t="n">
        <v>54509830</v>
      </c>
      <c r="N648" s="44" t="n">
        <v>5723532</v>
      </c>
      <c r="O648" s="44" t="n">
        <v>545098</v>
      </c>
      <c r="P648" s="44" t="n">
        <v>48241200</v>
      </c>
      <c r="Q648" t="inlineStr">
        <is>
          <t>KRW</t>
        </is>
      </c>
      <c r="R648" t="inlineStr">
        <is>
          <t>INV2602-00647</t>
        </is>
      </c>
      <c r="S648" t="inlineStr">
        <is>
          <t>※예시데이터</t>
        </is>
      </c>
    </row>
    <row r="649">
      <c r="A649" t="n">
        <v>1000</v>
      </c>
      <c r="B649" t="inlineStr">
        <is>
          <t>EP사업부</t>
        </is>
      </c>
      <c r="C649" t="inlineStr">
        <is>
          <t>국내영업2팀</t>
        </is>
      </c>
      <c r="D649" t="inlineStr">
        <is>
          <t>C10015</t>
        </is>
      </c>
      <c r="E649" t="inlineStr">
        <is>
          <t>다솜케미칼</t>
        </is>
      </c>
      <c r="F649" t="inlineStr">
        <is>
          <t>ABS</t>
        </is>
      </c>
      <c r="G649" t="inlineStr">
        <is>
          <t>M-2101</t>
        </is>
      </c>
      <c r="H649" t="inlineStr">
        <is>
          <t>ABS 범용 G300</t>
        </is>
      </c>
      <c r="I649" s="43" t="n">
        <v>46075</v>
      </c>
      <c r="J649" t="n">
        <v>202602</v>
      </c>
      <c r="K649" s="44" t="n">
        <v>1300</v>
      </c>
      <c r="L649" t="inlineStr">
        <is>
          <t>KG</t>
        </is>
      </c>
      <c r="M649" s="44" t="n">
        <v>3602347</v>
      </c>
      <c r="N649" s="44" t="n">
        <v>180117</v>
      </c>
      <c r="O649" t="n">
        <v>0</v>
      </c>
      <c r="P649" s="44" t="n">
        <v>3422230</v>
      </c>
      <c r="Q649" t="inlineStr">
        <is>
          <t>KRW</t>
        </is>
      </c>
      <c r="R649" t="inlineStr">
        <is>
          <t>INV2602-00648</t>
        </is>
      </c>
      <c r="S649" t="inlineStr">
        <is>
          <t>※예시데이터</t>
        </is>
      </c>
    </row>
    <row r="650">
      <c r="A650" t="n">
        <v>1000</v>
      </c>
      <c r="B650" t="inlineStr">
        <is>
          <t>EP사업부</t>
        </is>
      </c>
      <c r="C650" t="inlineStr">
        <is>
          <t>국내영업1팀</t>
        </is>
      </c>
      <c r="D650" t="inlineStr">
        <is>
          <t>C10057</t>
        </is>
      </c>
      <c r="E650" t="inlineStr">
        <is>
          <t>자연엠텍</t>
        </is>
      </c>
      <c r="F650" t="inlineStr">
        <is>
          <t>ABS</t>
        </is>
      </c>
      <c r="G650" t="inlineStr">
        <is>
          <t>M-2101</t>
        </is>
      </c>
      <c r="H650" t="inlineStr">
        <is>
          <t>ABS 범용 G300</t>
        </is>
      </c>
      <c r="I650" s="43" t="n">
        <v>46075</v>
      </c>
      <c r="J650" t="n">
        <v>202602</v>
      </c>
      <c r="K650" s="44" t="n">
        <v>3275</v>
      </c>
      <c r="L650" t="inlineStr">
        <is>
          <t>KG</t>
        </is>
      </c>
      <c r="M650" s="44" t="n">
        <v>9075143</v>
      </c>
      <c r="N650" s="44" t="n">
        <v>317630</v>
      </c>
      <c r="O650" t="n">
        <v>0</v>
      </c>
      <c r="P650" s="44" t="n">
        <v>8757513</v>
      </c>
      <c r="Q650" t="inlineStr">
        <is>
          <t>KRW</t>
        </is>
      </c>
      <c r="R650" t="inlineStr">
        <is>
          <t>INV2602-00649</t>
        </is>
      </c>
      <c r="S650" t="inlineStr">
        <is>
          <t>※예시데이터</t>
        </is>
      </c>
    </row>
    <row r="651">
      <c r="A651" t="n">
        <v>1000</v>
      </c>
      <c r="B651" t="inlineStr">
        <is>
          <t>범용수지사업부</t>
        </is>
      </c>
      <c r="C651" t="inlineStr">
        <is>
          <t>국내영업1팀</t>
        </is>
      </c>
      <c r="D651" t="inlineStr">
        <is>
          <t>C10106</t>
        </is>
      </c>
      <c r="E651" t="inlineStr">
        <is>
          <t>온새미사출</t>
        </is>
      </c>
      <c r="F651" t="inlineStr">
        <is>
          <t>PP</t>
        </is>
      </c>
      <c r="G651" t="inlineStr">
        <is>
          <t>M-1101</t>
        </is>
      </c>
      <c r="H651" t="inlineStr">
        <is>
          <t>PP 범용사출 H110</t>
        </is>
      </c>
      <c r="I651" s="43" t="n">
        <v>46075</v>
      </c>
      <c r="J651" t="n">
        <v>202602</v>
      </c>
      <c r="K651" s="44" t="n">
        <v>3050</v>
      </c>
      <c r="L651" t="inlineStr">
        <is>
          <t>KG</t>
        </is>
      </c>
      <c r="M651" s="44" t="n">
        <v>5211755</v>
      </c>
      <c r="N651" s="44" t="n">
        <v>260588</v>
      </c>
      <c r="O651" t="n">
        <v>0</v>
      </c>
      <c r="P651" s="44" t="n">
        <v>4951167</v>
      </c>
      <c r="Q651" t="inlineStr">
        <is>
          <t>KRW</t>
        </is>
      </c>
      <c r="R651" t="inlineStr">
        <is>
          <t>INV2602-00650</t>
        </is>
      </c>
      <c r="S651" t="inlineStr">
        <is>
          <t>※예시데이터</t>
        </is>
      </c>
    </row>
    <row r="652">
      <c r="A652" t="n">
        <v>1000</v>
      </c>
      <c r="B652" t="inlineStr">
        <is>
          <t>EP사업부</t>
        </is>
      </c>
      <c r="C652" t="inlineStr">
        <is>
          <t>국내영업1팀</t>
        </is>
      </c>
      <c r="D652" t="inlineStr">
        <is>
          <t>C10120</t>
        </is>
      </c>
      <c r="E652" t="inlineStr">
        <is>
          <t>든솔케이스</t>
        </is>
      </c>
      <c r="F652" t="inlineStr">
        <is>
          <t>ABS</t>
        </is>
      </c>
      <c r="G652" t="inlineStr">
        <is>
          <t>M-2101</t>
        </is>
      </c>
      <c r="H652" t="inlineStr">
        <is>
          <t>ABS 범용 G300</t>
        </is>
      </c>
      <c r="I652" s="43" t="n">
        <v>46075</v>
      </c>
      <c r="J652" t="n">
        <v>202602</v>
      </c>
      <c r="K652" s="44" t="n">
        <v>3750</v>
      </c>
      <c r="L652" t="inlineStr">
        <is>
          <t>KG</t>
        </is>
      </c>
      <c r="M652" s="44" t="n">
        <v>10391386</v>
      </c>
      <c r="N652" s="44" t="n">
        <v>415655</v>
      </c>
      <c r="O652" t="n">
        <v>0</v>
      </c>
      <c r="P652" s="44" t="n">
        <v>9975731</v>
      </c>
      <c r="Q652" t="inlineStr">
        <is>
          <t>KRW</t>
        </is>
      </c>
      <c r="R652" t="inlineStr">
        <is>
          <t>INV2602-00651</t>
        </is>
      </c>
      <c r="S652" t="inlineStr">
        <is>
          <t>※예시데이터</t>
        </is>
      </c>
    </row>
    <row r="653">
      <c r="A653" t="n">
        <v>1000</v>
      </c>
      <c r="B653" t="inlineStr">
        <is>
          <t>범용수지사업부</t>
        </is>
      </c>
      <c r="C653" t="inlineStr">
        <is>
          <t>해외영업팀</t>
        </is>
      </c>
      <c r="D653" t="inlineStr">
        <is>
          <t>C10148</t>
        </is>
      </c>
      <c r="E653" t="inlineStr">
        <is>
          <t>Hanoi Molding (VN)</t>
        </is>
      </c>
      <c r="F653" t="inlineStr">
        <is>
          <t>PP</t>
        </is>
      </c>
      <c r="G653" t="inlineStr">
        <is>
          <t>M-1103</t>
        </is>
      </c>
      <c r="H653" t="inlineStr">
        <is>
          <t>PP 투명 R330</t>
        </is>
      </c>
      <c r="I653" s="43" t="n">
        <v>46075</v>
      </c>
      <c r="J653" t="n">
        <v>202602</v>
      </c>
      <c r="K653" s="44" t="n">
        <v>2825</v>
      </c>
      <c r="L653" t="inlineStr">
        <is>
          <t>KG</t>
        </is>
      </c>
      <c r="M653" s="44" t="n">
        <v>5675712</v>
      </c>
      <c r="N653" s="44" t="n">
        <v>567571</v>
      </c>
      <c r="O653" t="n">
        <v>0</v>
      </c>
      <c r="P653" s="44" t="n">
        <v>5108141</v>
      </c>
      <c r="Q653" t="inlineStr">
        <is>
          <t>KRW</t>
        </is>
      </c>
      <c r="R653" t="inlineStr">
        <is>
          <t>INV2602-00652</t>
        </is>
      </c>
      <c r="S653" t="inlineStr">
        <is>
          <t>※예시데이터</t>
        </is>
      </c>
    </row>
    <row r="654">
      <c r="A654" t="n">
        <v>1000</v>
      </c>
      <c r="B654" t="inlineStr">
        <is>
          <t>범용수지사업부</t>
        </is>
      </c>
      <c r="C654" t="inlineStr">
        <is>
          <t>해외영업팀</t>
        </is>
      </c>
      <c r="D654" t="inlineStr">
        <is>
          <t>C10071</t>
        </is>
      </c>
      <c r="E654" t="inlineStr">
        <is>
          <t>큰별코리아</t>
        </is>
      </c>
      <c r="F654" t="inlineStr">
        <is>
          <t>PE</t>
        </is>
      </c>
      <c r="G654" t="inlineStr">
        <is>
          <t>M-1201</t>
        </is>
      </c>
      <c r="H654" t="inlineStr">
        <is>
          <t>HDPE 블로우 B500</t>
        </is>
      </c>
      <c r="I654" s="43" t="n">
        <v>46076</v>
      </c>
      <c r="J654" t="n">
        <v>202602</v>
      </c>
      <c r="K654" s="44" t="n">
        <v>11450</v>
      </c>
      <c r="L654" t="inlineStr">
        <is>
          <t>KG</t>
        </is>
      </c>
      <c r="M654" s="44" t="n">
        <v>17916855</v>
      </c>
      <c r="N654" s="44" t="n">
        <v>2239607</v>
      </c>
      <c r="O654" s="44" t="n">
        <v>358337</v>
      </c>
      <c r="P654" s="44" t="n">
        <v>15318911</v>
      </c>
      <c r="Q654" t="inlineStr">
        <is>
          <t>KRW</t>
        </is>
      </c>
      <c r="R654" t="inlineStr">
        <is>
          <t>INV2602-00653</t>
        </is>
      </c>
      <c r="S654" t="inlineStr">
        <is>
          <t>※예시데이터</t>
        </is>
      </c>
    </row>
    <row r="655">
      <c r="A655" t="n">
        <v>1000</v>
      </c>
      <c r="B655" t="inlineStr">
        <is>
          <t>범용수지사업부</t>
        </is>
      </c>
      <c r="C655" t="inlineStr">
        <is>
          <t>국내영업1팀</t>
        </is>
      </c>
      <c r="D655" t="inlineStr">
        <is>
          <t>C10001</t>
        </is>
      </c>
      <c r="E655" t="inlineStr">
        <is>
          <t>가온소재(주)</t>
        </is>
      </c>
      <c r="F655" t="inlineStr">
        <is>
          <t>PP</t>
        </is>
      </c>
      <c r="G655" t="inlineStr">
        <is>
          <t>M-1103</t>
        </is>
      </c>
      <c r="H655" t="inlineStr">
        <is>
          <t>PP 투명 R330</t>
        </is>
      </c>
      <c r="I655" s="43" t="n">
        <v>46077</v>
      </c>
      <c r="J655" t="n">
        <v>202602</v>
      </c>
      <c r="K655" s="44" t="n">
        <v>4175</v>
      </c>
      <c r="L655" t="inlineStr">
        <is>
          <t>KG</t>
        </is>
      </c>
      <c r="M655" s="44" t="n">
        <v>8388000</v>
      </c>
      <c r="N655" s="44" t="n">
        <v>419400</v>
      </c>
      <c r="O655" t="n">
        <v>0</v>
      </c>
      <c r="P655" s="44" t="n">
        <v>7968600</v>
      </c>
      <c r="Q655" t="inlineStr">
        <is>
          <t>KRW</t>
        </is>
      </c>
      <c r="R655" t="inlineStr">
        <is>
          <t>INV2602-00654</t>
        </is>
      </c>
      <c r="S655" t="inlineStr">
        <is>
          <t>※예시데이터</t>
        </is>
      </c>
    </row>
    <row r="656">
      <c r="A656" t="n">
        <v>1000</v>
      </c>
      <c r="B656" t="inlineStr">
        <is>
          <t>범용수지사업부</t>
        </is>
      </c>
      <c r="C656" t="inlineStr">
        <is>
          <t>해외영업팀</t>
        </is>
      </c>
      <c r="D656" t="inlineStr">
        <is>
          <t>C10141</t>
        </is>
      </c>
      <c r="E656" t="inlineStr">
        <is>
          <t>Sinar Plastik (ID)</t>
        </is>
      </c>
      <c r="F656" t="inlineStr">
        <is>
          <t>PP</t>
        </is>
      </c>
      <c r="G656" t="inlineStr">
        <is>
          <t>M-1103</t>
        </is>
      </c>
      <c r="H656" t="inlineStr">
        <is>
          <t>PP 투명 R330</t>
        </is>
      </c>
      <c r="I656" s="43" t="n">
        <v>46077</v>
      </c>
      <c r="J656" t="n">
        <v>202602</v>
      </c>
      <c r="K656" s="44" t="n">
        <v>14900</v>
      </c>
      <c r="L656" t="inlineStr">
        <is>
          <t>KG</t>
        </is>
      </c>
      <c r="M656" s="44" t="n">
        <v>29935616</v>
      </c>
      <c r="N656" s="44" t="n">
        <v>4190986</v>
      </c>
      <c r="O656" t="n">
        <v>0</v>
      </c>
      <c r="P656" s="44" t="n">
        <v>25744630</v>
      </c>
      <c r="Q656" t="inlineStr">
        <is>
          <t>KRW</t>
        </is>
      </c>
      <c r="R656" t="inlineStr">
        <is>
          <t>INV2602-00655</t>
        </is>
      </c>
      <c r="S656" t="inlineStr">
        <is>
          <t>※예시데이터</t>
        </is>
      </c>
    </row>
    <row r="657">
      <c r="A657" t="n">
        <v>1000</v>
      </c>
      <c r="B657" t="inlineStr">
        <is>
          <t>범용수지사업부</t>
        </is>
      </c>
      <c r="C657" t="inlineStr">
        <is>
          <t>국내영업1팀</t>
        </is>
      </c>
      <c r="D657" t="inlineStr">
        <is>
          <t>C10092</t>
        </is>
      </c>
      <c r="E657" t="inlineStr">
        <is>
          <t>하늘포장(주)</t>
        </is>
      </c>
      <c r="F657" t="inlineStr">
        <is>
          <t>PE</t>
        </is>
      </c>
      <c r="G657" t="inlineStr">
        <is>
          <t>M-1201</t>
        </is>
      </c>
      <c r="H657" t="inlineStr">
        <is>
          <t>HDPE 블로우 B500</t>
        </is>
      </c>
      <c r="I657" s="43" t="n">
        <v>46078</v>
      </c>
      <c r="J657" t="n">
        <v>202602</v>
      </c>
      <c r="K657" s="44" t="n">
        <v>10275</v>
      </c>
      <c r="L657" t="inlineStr">
        <is>
          <t>KG</t>
        </is>
      </c>
      <c r="M657" s="44" t="n">
        <v>16078226</v>
      </c>
      <c r="N657" s="44" t="n">
        <v>1125476</v>
      </c>
      <c r="O657" t="n">
        <v>0</v>
      </c>
      <c r="P657" s="44" t="n">
        <v>14952750</v>
      </c>
      <c r="Q657" t="inlineStr">
        <is>
          <t>KRW</t>
        </is>
      </c>
      <c r="R657" t="inlineStr">
        <is>
          <t>INV2602-00656</t>
        </is>
      </c>
      <c r="S657" t="inlineStr">
        <is>
          <t>※예시데이터</t>
        </is>
      </c>
    </row>
    <row r="658">
      <c r="A658" t="n">
        <v>1000</v>
      </c>
      <c r="B658" t="inlineStr">
        <is>
          <t>범용수지사업부</t>
        </is>
      </c>
      <c r="C658" t="inlineStr">
        <is>
          <t>국내영업1팀</t>
        </is>
      </c>
      <c r="D658" t="inlineStr">
        <is>
          <t>C10001</t>
        </is>
      </c>
      <c r="E658" t="inlineStr">
        <is>
          <t>가온소재(주)</t>
        </is>
      </c>
      <c r="F658" t="inlineStr">
        <is>
          <t>PP</t>
        </is>
      </c>
      <c r="G658" t="inlineStr">
        <is>
          <t>M-1102</t>
        </is>
      </c>
      <c r="H658" t="inlineStr">
        <is>
          <t>PP 고강성 H220</t>
        </is>
      </c>
      <c r="I658" s="43" t="n">
        <v>46079</v>
      </c>
      <c r="J658" t="n">
        <v>202602</v>
      </c>
      <c r="K658" s="44" t="n">
        <v>5825</v>
      </c>
      <c r="L658" t="inlineStr">
        <is>
          <t>KG</t>
        </is>
      </c>
      <c r="M658" s="44" t="n">
        <v>10979120</v>
      </c>
      <c r="N658" s="44" t="n">
        <v>548956</v>
      </c>
      <c r="O658" t="n">
        <v>0</v>
      </c>
      <c r="P658" s="44" t="n">
        <v>10430164</v>
      </c>
      <c r="Q658" t="inlineStr">
        <is>
          <t>KRW</t>
        </is>
      </c>
      <c r="R658" t="inlineStr">
        <is>
          <t>INV2602-00657</t>
        </is>
      </c>
      <c r="S658" t="inlineStr">
        <is>
          <t>※예시데이터</t>
        </is>
      </c>
    </row>
    <row r="659">
      <c r="A659" t="n">
        <v>1000</v>
      </c>
      <c r="B659" t="inlineStr">
        <is>
          <t>EP사업부</t>
        </is>
      </c>
      <c r="C659" t="inlineStr">
        <is>
          <t>국내영업1팀</t>
        </is>
      </c>
      <c r="D659" t="inlineStr">
        <is>
          <t>C10043</t>
        </is>
      </c>
      <c r="E659" t="inlineStr">
        <is>
          <t>새봄플라스틱</t>
        </is>
      </c>
      <c r="F659" t="inlineStr">
        <is>
          <t>ABS</t>
        </is>
      </c>
      <c r="G659" t="inlineStr">
        <is>
          <t>M-2102</t>
        </is>
      </c>
      <c r="H659" t="inlineStr">
        <is>
          <t>ABS 내열 HR500</t>
        </is>
      </c>
      <c r="I659" s="43" t="n">
        <v>46079</v>
      </c>
      <c r="J659" t="n">
        <v>202602</v>
      </c>
      <c r="K659" s="44" t="n">
        <v>7700</v>
      </c>
      <c r="L659" t="inlineStr">
        <is>
          <t>KG</t>
        </is>
      </c>
      <c r="M659" s="44" t="n">
        <v>23994036</v>
      </c>
      <c r="N659" s="44" t="n">
        <v>1439642</v>
      </c>
      <c r="O659" t="n">
        <v>0</v>
      </c>
      <c r="P659" s="44" t="n">
        <v>22554394</v>
      </c>
      <c r="Q659" t="inlineStr">
        <is>
          <t>KRW</t>
        </is>
      </c>
      <c r="R659" t="inlineStr">
        <is>
          <t>INV2602-00658</t>
        </is>
      </c>
      <c r="S659" t="inlineStr">
        <is>
          <t>※예시데이터</t>
        </is>
      </c>
    </row>
    <row r="660">
      <c r="A660" t="n">
        <v>1000</v>
      </c>
      <c r="B660" t="inlineStr">
        <is>
          <t>EP사업부</t>
        </is>
      </c>
      <c r="C660" t="inlineStr">
        <is>
          <t>국내영업2팀</t>
        </is>
      </c>
      <c r="D660" t="inlineStr">
        <is>
          <t>C10113</t>
        </is>
      </c>
      <c r="E660" t="inlineStr">
        <is>
          <t>누리오토파츠</t>
        </is>
      </c>
      <c r="F660" t="inlineStr">
        <is>
          <t>ABS</t>
        </is>
      </c>
      <c r="G660" t="inlineStr">
        <is>
          <t>M-2102</t>
        </is>
      </c>
      <c r="H660" t="inlineStr">
        <is>
          <t>ABS 내열 HR500</t>
        </is>
      </c>
      <c r="I660" s="43" t="n">
        <v>46079</v>
      </c>
      <c r="J660" t="n">
        <v>202602</v>
      </c>
      <c r="K660" s="44" t="n">
        <v>5950</v>
      </c>
      <c r="L660" t="inlineStr">
        <is>
          <t>KG</t>
        </is>
      </c>
      <c r="M660" s="44" t="n">
        <v>18540846</v>
      </c>
      <c r="N660" s="44" t="n">
        <v>1668676</v>
      </c>
      <c r="O660" s="44" t="n">
        <v>185408</v>
      </c>
      <c r="P660" s="44" t="n">
        <v>16686762</v>
      </c>
      <c r="Q660" t="inlineStr">
        <is>
          <t>KRW</t>
        </is>
      </c>
      <c r="R660" t="inlineStr">
        <is>
          <t>INV2602-00659</t>
        </is>
      </c>
      <c r="S660" t="inlineStr">
        <is>
          <t>※예시데이터</t>
        </is>
      </c>
    </row>
    <row r="661">
      <c r="A661" t="n">
        <v>1000</v>
      </c>
      <c r="B661" t="inlineStr">
        <is>
          <t>범용수지사업부</t>
        </is>
      </c>
      <c r="C661" t="inlineStr">
        <is>
          <t>국내영업2팀</t>
        </is>
      </c>
      <c r="D661" t="inlineStr">
        <is>
          <t>C10127</t>
        </is>
      </c>
      <c r="E661" t="inlineStr">
        <is>
          <t>미르패키징</t>
        </is>
      </c>
      <c r="F661" t="inlineStr">
        <is>
          <t>PP</t>
        </is>
      </c>
      <c r="G661" t="inlineStr">
        <is>
          <t>M-1101</t>
        </is>
      </c>
      <c r="H661" t="inlineStr">
        <is>
          <t>PP 범용사출 H110</t>
        </is>
      </c>
      <c r="I661" s="43" t="n">
        <v>46079</v>
      </c>
      <c r="J661" t="n">
        <v>202602</v>
      </c>
      <c r="K661" s="44" t="n">
        <v>2375</v>
      </c>
      <c r="L661" t="inlineStr">
        <is>
          <t>KG</t>
        </is>
      </c>
      <c r="M661" s="44" t="n">
        <v>4058334</v>
      </c>
      <c r="N661" s="44" t="n">
        <v>344958</v>
      </c>
      <c r="O661" t="n">
        <v>0</v>
      </c>
      <c r="P661" s="44" t="n">
        <v>3713376</v>
      </c>
      <c r="Q661" t="inlineStr">
        <is>
          <t>KRW</t>
        </is>
      </c>
      <c r="R661" t="inlineStr">
        <is>
          <t>INV2602-00660</t>
        </is>
      </c>
      <c r="S661" t="inlineStr">
        <is>
          <t>※예시데이터</t>
        </is>
      </c>
    </row>
    <row r="662">
      <c r="A662" t="n">
        <v>1000</v>
      </c>
      <c r="B662" t="inlineStr">
        <is>
          <t>EP사업부</t>
        </is>
      </c>
      <c r="C662" t="inlineStr">
        <is>
          <t>국내영업2팀</t>
        </is>
      </c>
      <c r="D662" t="inlineStr">
        <is>
          <t>C10015</t>
        </is>
      </c>
      <c r="E662" t="inlineStr">
        <is>
          <t>다솜케미칼</t>
        </is>
      </c>
      <c r="F662" t="inlineStr">
        <is>
          <t>PC</t>
        </is>
      </c>
      <c r="G662" t="inlineStr">
        <is>
          <t>M-2201</t>
        </is>
      </c>
      <c r="H662" t="inlineStr">
        <is>
          <t>PC 일반 C100</t>
        </is>
      </c>
      <c r="I662" s="43" t="n">
        <v>46080</v>
      </c>
      <c r="J662" t="n">
        <v>202602</v>
      </c>
      <c r="K662" s="44" t="n">
        <v>3125</v>
      </c>
      <c r="L662" t="inlineStr">
        <is>
          <t>KG</t>
        </is>
      </c>
      <c r="M662" s="44" t="n">
        <v>12499072</v>
      </c>
      <c r="N662" s="44" t="n">
        <v>624954</v>
      </c>
      <c r="O662" t="n">
        <v>0</v>
      </c>
      <c r="P662" s="44" t="n">
        <v>11874118</v>
      </c>
      <c r="Q662" t="inlineStr">
        <is>
          <t>KRW</t>
        </is>
      </c>
      <c r="R662" t="inlineStr">
        <is>
          <t>INV2602-00661</t>
        </is>
      </c>
      <c r="S662" t="inlineStr">
        <is>
          <t>※예시데이터</t>
        </is>
      </c>
    </row>
    <row r="663">
      <c r="A663" t="n">
        <v>1000</v>
      </c>
      <c r="B663" t="inlineStr">
        <is>
          <t>범용수지사업부</t>
        </is>
      </c>
      <c r="C663" t="inlineStr">
        <is>
          <t>국내영업2팀</t>
        </is>
      </c>
      <c r="D663" t="inlineStr">
        <is>
          <t>C10127</t>
        </is>
      </c>
      <c r="E663" t="inlineStr">
        <is>
          <t>미르패키징</t>
        </is>
      </c>
      <c r="F663" t="inlineStr">
        <is>
          <t>PE</t>
        </is>
      </c>
      <c r="G663" t="inlineStr">
        <is>
          <t>M-1202</t>
        </is>
      </c>
      <c r="H663" t="inlineStr">
        <is>
          <t>LLDPE 필름 F120</t>
        </is>
      </c>
      <c r="I663" s="43" t="n">
        <v>46081</v>
      </c>
      <c r="J663" t="n">
        <v>202602</v>
      </c>
      <c r="K663" s="44" t="n">
        <v>3750</v>
      </c>
      <c r="L663" t="inlineStr">
        <is>
          <t>KG</t>
        </is>
      </c>
      <c r="M663" s="44" t="n">
        <v>6350773</v>
      </c>
      <c r="N663" s="44" t="n">
        <v>539816</v>
      </c>
      <c r="O663" t="n">
        <v>0</v>
      </c>
      <c r="P663" s="44" t="n">
        <v>5810957</v>
      </c>
      <c r="Q663" t="inlineStr">
        <is>
          <t>KRW</t>
        </is>
      </c>
      <c r="R663" t="inlineStr">
        <is>
          <t>INV2602-00662</t>
        </is>
      </c>
      <c r="S663" t="inlineStr">
        <is>
          <t>※예시데이터</t>
        </is>
      </c>
    </row>
    <row r="664">
      <c r="A664" t="n">
        <v>1000</v>
      </c>
      <c r="B664" t="inlineStr">
        <is>
          <t>범용수지사업부</t>
        </is>
      </c>
      <c r="C664" t="inlineStr">
        <is>
          <t>국내영업2팀</t>
        </is>
      </c>
      <c r="D664" t="inlineStr">
        <is>
          <t>C10127</t>
        </is>
      </c>
      <c r="E664" t="inlineStr">
        <is>
          <t>미르패키징</t>
        </is>
      </c>
      <c r="F664" t="inlineStr">
        <is>
          <t>PE</t>
        </is>
      </c>
      <c r="G664" t="inlineStr">
        <is>
          <t>M-1201</t>
        </is>
      </c>
      <c r="H664" t="inlineStr">
        <is>
          <t>HDPE 블로우 B500</t>
        </is>
      </c>
      <c r="I664" s="43" t="n">
        <v>46082</v>
      </c>
      <c r="J664" t="n">
        <v>202603</v>
      </c>
      <c r="K664" s="44" t="n">
        <v>2675</v>
      </c>
      <c r="L664" t="inlineStr">
        <is>
          <t>KG</t>
        </is>
      </c>
      <c r="M664" s="44" t="n">
        <v>4166627</v>
      </c>
      <c r="N664" s="44" t="n">
        <v>354163</v>
      </c>
      <c r="O664" t="n">
        <v>0</v>
      </c>
      <c r="P664" s="44" t="n">
        <v>3812464</v>
      </c>
      <c r="Q664" t="inlineStr">
        <is>
          <t>KRW</t>
        </is>
      </c>
      <c r="R664" t="inlineStr">
        <is>
          <t>INV2603-00663</t>
        </is>
      </c>
      <c r="S664" t="inlineStr">
        <is>
          <t>※예시데이터</t>
        </is>
      </c>
    </row>
    <row r="665">
      <c r="A665" t="n">
        <v>1000</v>
      </c>
      <c r="B665" t="inlineStr">
        <is>
          <t>범용수지사업부</t>
        </is>
      </c>
      <c r="C665" t="inlineStr">
        <is>
          <t>해외영업팀</t>
        </is>
      </c>
      <c r="D665" t="inlineStr">
        <is>
          <t>C10141</t>
        </is>
      </c>
      <c r="E665" t="inlineStr">
        <is>
          <t>Sinar Plastik (ID)</t>
        </is>
      </c>
      <c r="F665" t="inlineStr">
        <is>
          <t>PP</t>
        </is>
      </c>
      <c r="G665" t="inlineStr">
        <is>
          <t>M-1102</t>
        </is>
      </c>
      <c r="H665" t="inlineStr">
        <is>
          <t>PP 고강성 H220</t>
        </is>
      </c>
      <c r="I665" s="43" t="n">
        <v>46082</v>
      </c>
      <c r="J665" t="n">
        <v>202603</v>
      </c>
      <c r="K665" s="44" t="n">
        <v>7775</v>
      </c>
      <c r="L665" t="inlineStr">
        <is>
          <t>KG</t>
        </is>
      </c>
      <c r="M665" s="44" t="n">
        <v>14587356</v>
      </c>
      <c r="N665" s="44" t="n">
        <v>2042230</v>
      </c>
      <c r="O665" t="n">
        <v>0</v>
      </c>
      <c r="P665" s="44" t="n">
        <v>12545126</v>
      </c>
      <c r="Q665" t="inlineStr">
        <is>
          <t>KRW</t>
        </is>
      </c>
      <c r="R665" t="inlineStr">
        <is>
          <t>INV2603-00664</t>
        </is>
      </c>
      <c r="S665" t="inlineStr">
        <is>
          <t>※예시데이터</t>
        </is>
      </c>
    </row>
    <row r="666">
      <c r="A666" t="n">
        <v>1000</v>
      </c>
      <c r="B666" t="inlineStr">
        <is>
          <t>범용수지사업부</t>
        </is>
      </c>
      <c r="C666" t="inlineStr">
        <is>
          <t>국내영업1팀</t>
        </is>
      </c>
      <c r="D666" t="inlineStr">
        <is>
          <t>C10008</t>
        </is>
      </c>
      <c r="E666" t="inlineStr">
        <is>
          <t>나래산업(주)</t>
        </is>
      </c>
      <c r="F666" t="inlineStr">
        <is>
          <t>PP</t>
        </is>
      </c>
      <c r="G666" t="inlineStr">
        <is>
          <t>M-1101</t>
        </is>
      </c>
      <c r="H666" t="inlineStr">
        <is>
          <t>PP 범용사출 H110</t>
        </is>
      </c>
      <c r="I666" s="43" t="n">
        <v>46083</v>
      </c>
      <c r="J666" t="n">
        <v>202603</v>
      </c>
      <c r="K666" s="44" t="n">
        <v>15450</v>
      </c>
      <c r="L666" t="inlineStr">
        <is>
          <t>KG</t>
        </is>
      </c>
      <c r="M666" s="44" t="n">
        <v>26279508</v>
      </c>
      <c r="N666" s="44" t="n">
        <v>2759348</v>
      </c>
      <c r="O666" s="44" t="n">
        <v>262795</v>
      </c>
      <c r="P666" s="44" t="n">
        <v>23257365</v>
      </c>
      <c r="Q666" t="inlineStr">
        <is>
          <t>KRW</t>
        </is>
      </c>
      <c r="R666" t="inlineStr">
        <is>
          <t>INV2603-00665</t>
        </is>
      </c>
      <c r="S666" t="inlineStr">
        <is>
          <t>※예시데이터</t>
        </is>
      </c>
    </row>
    <row r="667">
      <c r="A667" t="n">
        <v>1000</v>
      </c>
      <c r="B667" t="inlineStr">
        <is>
          <t>EP사업부</t>
        </is>
      </c>
      <c r="C667" t="inlineStr">
        <is>
          <t>국내영업1팀</t>
        </is>
      </c>
      <c r="D667" t="inlineStr">
        <is>
          <t>C10029</t>
        </is>
      </c>
      <c r="E667" t="inlineStr">
        <is>
          <t>마루정밀</t>
        </is>
      </c>
      <c r="F667" t="inlineStr">
        <is>
          <t>PC</t>
        </is>
      </c>
      <c r="G667" t="inlineStr">
        <is>
          <t>M-2201</t>
        </is>
      </c>
      <c r="H667" t="inlineStr">
        <is>
          <t>PC 일반 C100</t>
        </is>
      </c>
      <c r="I667" s="43" t="n">
        <v>46083</v>
      </c>
      <c r="J667" t="n">
        <v>202603</v>
      </c>
      <c r="K667" s="44" t="n">
        <v>5525</v>
      </c>
      <c r="L667" t="inlineStr">
        <is>
          <t>KG</t>
        </is>
      </c>
      <c r="M667" s="44" t="n">
        <v>21997060</v>
      </c>
      <c r="N667" s="44" t="n">
        <v>769897</v>
      </c>
      <c r="O667" t="n">
        <v>0</v>
      </c>
      <c r="P667" s="44" t="n">
        <v>21227163</v>
      </c>
      <c r="Q667" t="inlineStr">
        <is>
          <t>KRW</t>
        </is>
      </c>
      <c r="R667" t="inlineStr">
        <is>
          <t>INV2603-00666</t>
        </is>
      </c>
      <c r="S667" t="inlineStr">
        <is>
          <t>※예시데이터</t>
        </is>
      </c>
    </row>
    <row r="668">
      <c r="A668" t="n">
        <v>1000</v>
      </c>
      <c r="B668" t="inlineStr">
        <is>
          <t>EP사업부</t>
        </is>
      </c>
      <c r="C668" t="inlineStr">
        <is>
          <t>국내영업1팀</t>
        </is>
      </c>
      <c r="D668" t="inlineStr">
        <is>
          <t>C10043</t>
        </is>
      </c>
      <c r="E668" t="inlineStr">
        <is>
          <t>새봄플라스틱</t>
        </is>
      </c>
      <c r="F668" t="inlineStr">
        <is>
          <t>ABS</t>
        </is>
      </c>
      <c r="G668" t="inlineStr">
        <is>
          <t>M-2102</t>
        </is>
      </c>
      <c r="H668" t="inlineStr">
        <is>
          <t>ABS 내열 HR500</t>
        </is>
      </c>
      <c r="I668" s="43" t="n">
        <v>46083</v>
      </c>
      <c r="J668" t="n">
        <v>202603</v>
      </c>
      <c r="K668" s="44" t="n">
        <v>3850</v>
      </c>
      <c r="L668" t="inlineStr">
        <is>
          <t>KG</t>
        </is>
      </c>
      <c r="M668" s="44" t="n">
        <v>11942023</v>
      </c>
      <c r="N668" s="44" t="n">
        <v>716521</v>
      </c>
      <c r="O668" t="n">
        <v>0</v>
      </c>
      <c r="P668" s="44" t="n">
        <v>11225502</v>
      </c>
      <c r="Q668" t="inlineStr">
        <is>
          <t>KRW</t>
        </is>
      </c>
      <c r="R668" t="inlineStr">
        <is>
          <t>INV2603-00667</t>
        </is>
      </c>
      <c r="S668" t="inlineStr">
        <is>
          <t>※예시데이터</t>
        </is>
      </c>
    </row>
    <row r="669">
      <c r="A669" t="n">
        <v>1000</v>
      </c>
      <c r="B669" t="inlineStr">
        <is>
          <t>EP사업부</t>
        </is>
      </c>
      <c r="C669" t="inlineStr">
        <is>
          <t>국내영업2팀</t>
        </is>
      </c>
      <c r="D669" t="inlineStr">
        <is>
          <t>C10113</t>
        </is>
      </c>
      <c r="E669" t="inlineStr">
        <is>
          <t>누리오토파츠</t>
        </is>
      </c>
      <c r="F669" t="inlineStr">
        <is>
          <t>ABS</t>
        </is>
      </c>
      <c r="G669" t="inlineStr">
        <is>
          <t>M-2101</t>
        </is>
      </c>
      <c r="H669" t="inlineStr">
        <is>
          <t>ABS 범용 G300</t>
        </is>
      </c>
      <c r="I669" s="43" t="n">
        <v>46084</v>
      </c>
      <c r="J669" t="n">
        <v>202603</v>
      </c>
      <c r="K669" s="44" t="n">
        <v>4050</v>
      </c>
      <c r="L669" t="inlineStr">
        <is>
          <t>KG</t>
        </is>
      </c>
      <c r="M669" s="44" t="n">
        <v>11171251</v>
      </c>
      <c r="N669" s="44" t="n">
        <v>1005413</v>
      </c>
      <c r="O669" s="44" t="n">
        <v>111713</v>
      </c>
      <c r="P669" s="44" t="n">
        <v>10054125</v>
      </c>
      <c r="Q669" t="inlineStr">
        <is>
          <t>KRW</t>
        </is>
      </c>
      <c r="R669" t="inlineStr">
        <is>
          <t>INV2603-00668</t>
        </is>
      </c>
      <c r="S669" t="inlineStr">
        <is>
          <t>※예시데이터</t>
        </is>
      </c>
    </row>
    <row r="670">
      <c r="A670" t="n">
        <v>1000</v>
      </c>
      <c r="B670" t="inlineStr">
        <is>
          <t>범용수지사업부</t>
        </is>
      </c>
      <c r="C670" t="inlineStr">
        <is>
          <t>해외영업팀</t>
        </is>
      </c>
      <c r="D670" t="inlineStr">
        <is>
          <t>C10141</t>
        </is>
      </c>
      <c r="E670" t="inlineStr">
        <is>
          <t>Sinar Plastik (ID)</t>
        </is>
      </c>
      <c r="F670" t="inlineStr">
        <is>
          <t>PP</t>
        </is>
      </c>
      <c r="G670" t="inlineStr">
        <is>
          <t>M-1103</t>
        </is>
      </c>
      <c r="H670" t="inlineStr">
        <is>
          <t>PP 투명 R330</t>
        </is>
      </c>
      <c r="I670" s="43" t="n">
        <v>46084</v>
      </c>
      <c r="J670" t="n">
        <v>202603</v>
      </c>
      <c r="K670" s="44" t="n">
        <v>16450</v>
      </c>
      <c r="L670" t="inlineStr">
        <is>
          <t>KG</t>
        </is>
      </c>
      <c r="M670" s="44" t="n">
        <v>32898222</v>
      </c>
      <c r="N670" s="44" t="n">
        <v>4605751</v>
      </c>
      <c r="O670" t="n">
        <v>0</v>
      </c>
      <c r="P670" s="44" t="n">
        <v>28292471</v>
      </c>
      <c r="Q670" t="inlineStr">
        <is>
          <t>KRW</t>
        </is>
      </c>
      <c r="R670" t="inlineStr">
        <is>
          <t>INV2603-00669</t>
        </is>
      </c>
      <c r="S670" t="inlineStr">
        <is>
          <t>※예시데이터</t>
        </is>
      </c>
    </row>
    <row r="671">
      <c r="A671" t="n">
        <v>1000</v>
      </c>
      <c r="B671" t="inlineStr">
        <is>
          <t>범용수지사업부</t>
        </is>
      </c>
      <c r="C671" t="inlineStr">
        <is>
          <t>해외영업팀</t>
        </is>
      </c>
      <c r="D671" t="inlineStr">
        <is>
          <t>C10071</t>
        </is>
      </c>
      <c r="E671" t="inlineStr">
        <is>
          <t>큰별코리아</t>
        </is>
      </c>
      <c r="F671" t="inlineStr">
        <is>
          <t>PE</t>
        </is>
      </c>
      <c r="G671" t="inlineStr">
        <is>
          <t>M-1202</t>
        </is>
      </c>
      <c r="H671" t="inlineStr">
        <is>
          <t>LLDPE 필름 F120</t>
        </is>
      </c>
      <c r="I671" s="43" t="n">
        <v>46085</v>
      </c>
      <c r="J671" t="n">
        <v>202603</v>
      </c>
      <c r="K671" t="n">
        <v>-775</v>
      </c>
      <c r="L671" t="inlineStr">
        <is>
          <t>KG</t>
        </is>
      </c>
      <c r="M671" s="44" t="n">
        <v>-1312493</v>
      </c>
      <c r="N671" s="44" t="n">
        <v>-164062</v>
      </c>
      <c r="O671" s="44" t="n">
        <v>-26250</v>
      </c>
      <c r="P671" s="44" t="n">
        <v>-1122181</v>
      </c>
      <c r="Q671" t="inlineStr">
        <is>
          <t>KRW</t>
        </is>
      </c>
      <c r="R671" t="inlineStr">
        <is>
          <t>INV2603-00670</t>
        </is>
      </c>
      <c r="S671" t="inlineStr">
        <is>
          <t>※예시데이터</t>
        </is>
      </c>
    </row>
    <row r="672">
      <c r="A672" t="n">
        <v>1000</v>
      </c>
      <c r="B672" t="inlineStr">
        <is>
          <t>범용수지사업부</t>
        </is>
      </c>
      <c r="C672" t="inlineStr">
        <is>
          <t>해외영업팀</t>
        </is>
      </c>
      <c r="D672" t="inlineStr">
        <is>
          <t>C10148</t>
        </is>
      </c>
      <c r="E672" t="inlineStr">
        <is>
          <t>Hanoi Molding (VN)</t>
        </is>
      </c>
      <c r="F672" t="inlineStr">
        <is>
          <t>PP</t>
        </is>
      </c>
      <c r="G672" t="inlineStr">
        <is>
          <t>M-1103</t>
        </is>
      </c>
      <c r="H672" t="inlineStr">
        <is>
          <t>PP 투명 R330</t>
        </is>
      </c>
      <c r="I672" s="43" t="n">
        <v>46085</v>
      </c>
      <c r="J672" t="n">
        <v>202603</v>
      </c>
      <c r="K672" s="44" t="n">
        <v>4200</v>
      </c>
      <c r="L672" t="inlineStr">
        <is>
          <t>KG</t>
        </is>
      </c>
      <c r="M672" s="44" t="n">
        <v>8399546</v>
      </c>
      <c r="N672" s="44" t="n">
        <v>839955</v>
      </c>
      <c r="O672" t="n">
        <v>0</v>
      </c>
      <c r="P672" s="44" t="n">
        <v>7559591</v>
      </c>
      <c r="Q672" t="inlineStr">
        <is>
          <t>KRW</t>
        </is>
      </c>
      <c r="R672" t="inlineStr">
        <is>
          <t>INV2603-00671</t>
        </is>
      </c>
      <c r="S672" t="inlineStr">
        <is>
          <t>※예시데이터</t>
        </is>
      </c>
    </row>
    <row r="673">
      <c r="A673" t="n">
        <v>1000</v>
      </c>
      <c r="B673" t="inlineStr">
        <is>
          <t>EP사업부</t>
        </is>
      </c>
      <c r="C673" t="inlineStr">
        <is>
          <t>국내영업2팀</t>
        </is>
      </c>
      <c r="D673" t="inlineStr">
        <is>
          <t>C10085</t>
        </is>
      </c>
      <c r="E673" t="inlineStr">
        <is>
          <t>파란하이텍</t>
        </is>
      </c>
      <c r="F673" t="inlineStr">
        <is>
          <t>PC</t>
        </is>
      </c>
      <c r="G673" t="inlineStr">
        <is>
          <t>M-2202</t>
        </is>
      </c>
      <c r="H673" t="inlineStr">
        <is>
          <t>PC 난연 FR200</t>
        </is>
      </c>
      <c r="I673" s="43" t="n">
        <v>46086</v>
      </c>
      <c r="J673" t="n">
        <v>202603</v>
      </c>
      <c r="K673" s="44" t="n">
        <v>5300</v>
      </c>
      <c r="L673" t="inlineStr">
        <is>
          <t>KG</t>
        </is>
      </c>
      <c r="M673" s="44" t="n">
        <v>23536012</v>
      </c>
      <c r="N673" s="44" t="n">
        <v>2118241</v>
      </c>
      <c r="O673" t="n">
        <v>0</v>
      </c>
      <c r="P673" s="44" t="n">
        <v>21417771</v>
      </c>
      <c r="Q673" t="inlineStr">
        <is>
          <t>KRW</t>
        </is>
      </c>
      <c r="R673" t="inlineStr">
        <is>
          <t>INV2603-00672</t>
        </is>
      </c>
      <c r="S673" t="inlineStr">
        <is>
          <t>※예시데이터</t>
        </is>
      </c>
    </row>
    <row r="674">
      <c r="A674" t="n">
        <v>1000</v>
      </c>
      <c r="B674" t="inlineStr">
        <is>
          <t>범용수지사업부</t>
        </is>
      </c>
      <c r="C674" t="inlineStr">
        <is>
          <t>국내영업1팀</t>
        </is>
      </c>
      <c r="D674" t="inlineStr">
        <is>
          <t>C10092</t>
        </is>
      </c>
      <c r="E674" t="inlineStr">
        <is>
          <t>하늘포장(주)</t>
        </is>
      </c>
      <c r="F674" t="inlineStr">
        <is>
          <t>PE</t>
        </is>
      </c>
      <c r="G674" t="inlineStr">
        <is>
          <t>M-1201</t>
        </is>
      </c>
      <c r="H674" t="inlineStr">
        <is>
          <t>HDPE 블로우 B500</t>
        </is>
      </c>
      <c r="I674" s="43" t="n">
        <v>46086</v>
      </c>
      <c r="J674" t="n">
        <v>202603</v>
      </c>
      <c r="K674" s="44" t="n">
        <v>-2000</v>
      </c>
      <c r="L674" t="inlineStr">
        <is>
          <t>KG</t>
        </is>
      </c>
      <c r="M674" s="44" t="n">
        <v>-3129582</v>
      </c>
      <c r="N674" s="44" t="n">
        <v>-219071</v>
      </c>
      <c r="O674" t="n">
        <v>0</v>
      </c>
      <c r="P674" s="44" t="n">
        <v>-2910511</v>
      </c>
      <c r="Q674" t="inlineStr">
        <is>
          <t>KRW</t>
        </is>
      </c>
      <c r="R674" t="inlineStr">
        <is>
          <t>INV2603-00673</t>
        </is>
      </c>
      <c r="S674" t="inlineStr">
        <is>
          <t>※예시데이터</t>
        </is>
      </c>
    </row>
    <row r="675">
      <c r="A675" t="n">
        <v>1000</v>
      </c>
      <c r="B675" t="inlineStr">
        <is>
          <t>범용수지사업부</t>
        </is>
      </c>
      <c r="C675" t="inlineStr">
        <is>
          <t>국내영업2팀</t>
        </is>
      </c>
      <c r="D675" t="inlineStr">
        <is>
          <t>C10127</t>
        </is>
      </c>
      <c r="E675" t="inlineStr">
        <is>
          <t>미르패키징</t>
        </is>
      </c>
      <c r="F675" t="inlineStr">
        <is>
          <t>PP</t>
        </is>
      </c>
      <c r="G675" t="inlineStr">
        <is>
          <t>M-1101</t>
        </is>
      </c>
      <c r="H675" t="inlineStr">
        <is>
          <t>PP 범용사출 H110</t>
        </is>
      </c>
      <c r="I675" s="43" t="n">
        <v>46086</v>
      </c>
      <c r="J675" t="n">
        <v>202603</v>
      </c>
      <c r="K675" s="44" t="n">
        <v>5825</v>
      </c>
      <c r="L675" t="inlineStr">
        <is>
          <t>KG</t>
        </is>
      </c>
      <c r="M675" s="44" t="n">
        <v>9907970</v>
      </c>
      <c r="N675" s="44" t="n">
        <v>842177</v>
      </c>
      <c r="O675" t="n">
        <v>0</v>
      </c>
      <c r="P675" s="44" t="n">
        <v>9065793</v>
      </c>
      <c r="Q675" t="inlineStr">
        <is>
          <t>KRW</t>
        </is>
      </c>
      <c r="R675" t="inlineStr">
        <is>
          <t>INV2603-00674</t>
        </is>
      </c>
      <c r="S675" t="inlineStr">
        <is>
          <t>※예시데이터</t>
        </is>
      </c>
    </row>
    <row r="676">
      <c r="A676" t="n">
        <v>1000</v>
      </c>
      <c r="B676" t="inlineStr">
        <is>
          <t>범용수지사업부</t>
        </is>
      </c>
      <c r="C676" t="inlineStr">
        <is>
          <t>국내영업1팀</t>
        </is>
      </c>
      <c r="D676" t="inlineStr">
        <is>
          <t>C10001</t>
        </is>
      </c>
      <c r="E676" t="inlineStr">
        <is>
          <t>가온소재(주)</t>
        </is>
      </c>
      <c r="F676" t="inlineStr">
        <is>
          <t>PP</t>
        </is>
      </c>
      <c r="G676" t="inlineStr">
        <is>
          <t>M-1103</t>
        </is>
      </c>
      <c r="H676" t="inlineStr">
        <is>
          <t>PP 투명 R330</t>
        </is>
      </c>
      <c r="I676" s="43" t="n">
        <v>46087</v>
      </c>
      <c r="J676" t="n">
        <v>202603</v>
      </c>
      <c r="K676" s="44" t="n">
        <v>2600</v>
      </c>
      <c r="L676" t="inlineStr">
        <is>
          <t>KG</t>
        </is>
      </c>
      <c r="M676" s="44" t="n">
        <v>5199719</v>
      </c>
      <c r="N676" s="44" t="n">
        <v>259986</v>
      </c>
      <c r="O676" t="n">
        <v>0</v>
      </c>
      <c r="P676" s="44" t="n">
        <v>4939733</v>
      </c>
      <c r="Q676" t="inlineStr">
        <is>
          <t>KRW</t>
        </is>
      </c>
      <c r="R676" t="inlineStr">
        <is>
          <t>INV2603-00675</t>
        </is>
      </c>
      <c r="S676" t="inlineStr">
        <is>
          <t>※예시데이터</t>
        </is>
      </c>
    </row>
    <row r="677">
      <c r="A677" t="n">
        <v>1000</v>
      </c>
      <c r="B677" t="inlineStr">
        <is>
          <t>범용수지사업부</t>
        </is>
      </c>
      <c r="C677" t="inlineStr">
        <is>
          <t>해외영업팀</t>
        </is>
      </c>
      <c r="D677" t="inlineStr">
        <is>
          <t>C10071</t>
        </is>
      </c>
      <c r="E677" t="inlineStr">
        <is>
          <t>큰별코리아</t>
        </is>
      </c>
      <c r="F677" t="inlineStr">
        <is>
          <t>PP</t>
        </is>
      </c>
      <c r="G677" t="inlineStr">
        <is>
          <t>M-1101</t>
        </is>
      </c>
      <c r="H677" t="inlineStr">
        <is>
          <t>PP 범용사출 H110</t>
        </is>
      </c>
      <c r="I677" s="43" t="n">
        <v>46087</v>
      </c>
      <c r="J677" t="n">
        <v>202603</v>
      </c>
      <c r="K677" s="44" t="n">
        <v>5350</v>
      </c>
      <c r="L677" t="inlineStr">
        <is>
          <t>KG</t>
        </is>
      </c>
      <c r="M677" s="44" t="n">
        <v>9100024</v>
      </c>
      <c r="N677" s="44" t="n">
        <v>1137503</v>
      </c>
      <c r="O677" s="44" t="n">
        <v>182000</v>
      </c>
      <c r="P677" s="44" t="n">
        <v>7780521</v>
      </c>
      <c r="Q677" t="inlineStr">
        <is>
          <t>KRW</t>
        </is>
      </c>
      <c r="R677" t="inlineStr">
        <is>
          <t>INV2603-00676</t>
        </is>
      </c>
      <c r="S677" t="inlineStr">
        <is>
          <t>※예시데이터</t>
        </is>
      </c>
    </row>
    <row r="678">
      <c r="A678" t="n">
        <v>1000</v>
      </c>
      <c r="B678" t="inlineStr">
        <is>
          <t>범용수지사업부</t>
        </is>
      </c>
      <c r="C678" t="inlineStr">
        <is>
          <t>해외영업팀</t>
        </is>
      </c>
      <c r="D678" t="inlineStr">
        <is>
          <t>C10141</t>
        </is>
      </c>
      <c r="E678" t="inlineStr">
        <is>
          <t>Sinar Plastik (ID)</t>
        </is>
      </c>
      <c r="F678" t="inlineStr">
        <is>
          <t>PP</t>
        </is>
      </c>
      <c r="G678" t="inlineStr">
        <is>
          <t>M-1102</t>
        </is>
      </c>
      <c r="H678" t="inlineStr">
        <is>
          <t>PP 고강성 H220</t>
        </is>
      </c>
      <c r="I678" s="43" t="n">
        <v>46087</v>
      </c>
      <c r="J678" t="n">
        <v>202603</v>
      </c>
      <c r="K678" s="44" t="n">
        <v>7775</v>
      </c>
      <c r="L678" t="inlineStr">
        <is>
          <t>KG</t>
        </is>
      </c>
      <c r="M678" s="44" t="n">
        <v>14587356</v>
      </c>
      <c r="N678" s="44" t="n">
        <v>2042230</v>
      </c>
      <c r="O678" t="n">
        <v>0</v>
      </c>
      <c r="P678" s="44" t="n">
        <v>12545126</v>
      </c>
      <c r="Q678" t="inlineStr">
        <is>
          <t>KRW</t>
        </is>
      </c>
      <c r="R678" t="inlineStr">
        <is>
          <t>INV2603-00677</t>
        </is>
      </c>
      <c r="S678" t="inlineStr">
        <is>
          <t>※예시데이터</t>
        </is>
      </c>
    </row>
    <row r="679">
      <c r="A679" t="n">
        <v>1000</v>
      </c>
      <c r="B679" t="inlineStr">
        <is>
          <t>범용수지사업부</t>
        </is>
      </c>
      <c r="C679" t="inlineStr">
        <is>
          <t>국내영업1팀</t>
        </is>
      </c>
      <c r="D679" t="inlineStr">
        <is>
          <t>C10001</t>
        </is>
      </c>
      <c r="E679" t="inlineStr">
        <is>
          <t>가온소재(주)</t>
        </is>
      </c>
      <c r="F679" t="inlineStr">
        <is>
          <t>PP</t>
        </is>
      </c>
      <c r="G679" t="inlineStr">
        <is>
          <t>M-1102</t>
        </is>
      </c>
      <c r="H679" t="inlineStr">
        <is>
          <t>PP 고강성 H220</t>
        </is>
      </c>
      <c r="I679" s="43" t="n">
        <v>46088</v>
      </c>
      <c r="J679" t="n">
        <v>202603</v>
      </c>
      <c r="K679" s="44" t="n">
        <v>5275</v>
      </c>
      <c r="L679" t="inlineStr">
        <is>
          <t>KG</t>
        </is>
      </c>
      <c r="M679" s="44" t="n">
        <v>9896888</v>
      </c>
      <c r="N679" s="44" t="n">
        <v>494844</v>
      </c>
      <c r="O679" t="n">
        <v>0</v>
      </c>
      <c r="P679" s="44" t="n">
        <v>9402044</v>
      </c>
      <c r="Q679" t="inlineStr">
        <is>
          <t>KRW</t>
        </is>
      </c>
      <c r="R679" t="inlineStr">
        <is>
          <t>INV2603-00678</t>
        </is>
      </c>
      <c r="S679" t="inlineStr">
        <is>
          <t>※예시데이터</t>
        </is>
      </c>
    </row>
    <row r="680">
      <c r="A680" t="n">
        <v>1000</v>
      </c>
      <c r="B680" t="inlineStr">
        <is>
          <t>범용수지사업부</t>
        </is>
      </c>
      <c r="C680" t="inlineStr">
        <is>
          <t>국내영업1팀</t>
        </is>
      </c>
      <c r="D680" t="inlineStr">
        <is>
          <t>C10001</t>
        </is>
      </c>
      <c r="E680" t="inlineStr">
        <is>
          <t>가온소재(주)</t>
        </is>
      </c>
      <c r="F680" t="inlineStr">
        <is>
          <t>PE</t>
        </is>
      </c>
      <c r="G680" t="inlineStr">
        <is>
          <t>M-1201</t>
        </is>
      </c>
      <c r="H680" t="inlineStr">
        <is>
          <t>HDPE 블로우 B500</t>
        </is>
      </c>
      <c r="I680" s="43" t="n">
        <v>46088</v>
      </c>
      <c r="J680" t="n">
        <v>202603</v>
      </c>
      <c r="K680" s="44" t="n">
        <v>2275</v>
      </c>
      <c r="L680" t="inlineStr">
        <is>
          <t>KG</t>
        </is>
      </c>
      <c r="M680" s="44" t="n">
        <v>3543580</v>
      </c>
      <c r="N680" s="44" t="n">
        <v>177179</v>
      </c>
      <c r="O680" t="n">
        <v>0</v>
      </c>
      <c r="P680" s="44" t="n">
        <v>3366401</v>
      </c>
      <c r="Q680" t="inlineStr">
        <is>
          <t>KRW</t>
        </is>
      </c>
      <c r="R680" t="inlineStr">
        <is>
          <t>INV2603-00679</t>
        </is>
      </c>
      <c r="S680" t="inlineStr">
        <is>
          <t>※예시데이터</t>
        </is>
      </c>
    </row>
    <row r="681">
      <c r="A681" t="n">
        <v>1000</v>
      </c>
      <c r="B681" t="inlineStr">
        <is>
          <t>범용수지사업부</t>
        </is>
      </c>
      <c r="C681" t="inlineStr">
        <is>
          <t>국내영업1팀</t>
        </is>
      </c>
      <c r="D681" t="inlineStr">
        <is>
          <t>C10043</t>
        </is>
      </c>
      <c r="E681" t="inlineStr">
        <is>
          <t>새봄플라스틱</t>
        </is>
      </c>
      <c r="F681" t="inlineStr">
        <is>
          <t>PP</t>
        </is>
      </c>
      <c r="G681" t="inlineStr">
        <is>
          <t>M-1103</t>
        </is>
      </c>
      <c r="H681" t="inlineStr">
        <is>
          <t>PP 투명 R330</t>
        </is>
      </c>
      <c r="I681" s="43" t="n">
        <v>46089</v>
      </c>
      <c r="J681" t="n">
        <v>202603</v>
      </c>
      <c r="K681" s="44" t="n">
        <v>3400</v>
      </c>
      <c r="L681" t="inlineStr">
        <is>
          <t>KG</t>
        </is>
      </c>
      <c r="M681" s="44" t="n">
        <v>6799633</v>
      </c>
      <c r="N681" s="44" t="n">
        <v>407978</v>
      </c>
      <c r="O681" t="n">
        <v>0</v>
      </c>
      <c r="P681" s="44" t="n">
        <v>6391655</v>
      </c>
      <c r="Q681" t="inlineStr">
        <is>
          <t>KRW</t>
        </is>
      </c>
      <c r="R681" t="inlineStr">
        <is>
          <t>INV2603-00680</t>
        </is>
      </c>
      <c r="S681" t="inlineStr">
        <is>
          <t>※예시데이터</t>
        </is>
      </c>
    </row>
    <row r="682">
      <c r="A682" t="n">
        <v>1000</v>
      </c>
      <c r="B682" t="inlineStr">
        <is>
          <t>EP사업부</t>
        </is>
      </c>
      <c r="C682" t="inlineStr">
        <is>
          <t>국내영업2팀</t>
        </is>
      </c>
      <c r="D682" t="inlineStr">
        <is>
          <t>C10015</t>
        </is>
      </c>
      <c r="E682" t="inlineStr">
        <is>
          <t>다솜케미칼</t>
        </is>
      </c>
      <c r="F682" t="inlineStr">
        <is>
          <t>PC</t>
        </is>
      </c>
      <c r="G682" t="inlineStr">
        <is>
          <t>M-2202</t>
        </is>
      </c>
      <c r="H682" t="inlineStr">
        <is>
          <t>PC 난연 FR200</t>
        </is>
      </c>
      <c r="I682" s="43" t="n">
        <v>46090</v>
      </c>
      <c r="J682" t="n">
        <v>202603</v>
      </c>
      <c r="K682" s="44" t="n">
        <v>4300</v>
      </c>
      <c r="L682" t="inlineStr">
        <is>
          <t>KG</t>
        </is>
      </c>
      <c r="M682" s="44" t="n">
        <v>19095255</v>
      </c>
      <c r="N682" s="44" t="n">
        <v>954763</v>
      </c>
      <c r="O682" t="n">
        <v>0</v>
      </c>
      <c r="P682" s="44" t="n">
        <v>18140492</v>
      </c>
      <c r="Q682" t="inlineStr">
        <is>
          <t>KRW</t>
        </is>
      </c>
      <c r="R682" t="inlineStr">
        <is>
          <t>INV2603-00681</t>
        </is>
      </c>
      <c r="S682" t="inlineStr">
        <is>
          <t>※예시데이터</t>
        </is>
      </c>
    </row>
    <row r="683">
      <c r="A683" t="n">
        <v>1000</v>
      </c>
      <c r="B683" t="inlineStr">
        <is>
          <t>EP사업부</t>
        </is>
      </c>
      <c r="C683" t="inlineStr">
        <is>
          <t>국내영업2팀</t>
        </is>
      </c>
      <c r="D683" t="inlineStr">
        <is>
          <t>C10022</t>
        </is>
      </c>
      <c r="E683" t="inlineStr">
        <is>
          <t>라온테크(주)</t>
        </is>
      </c>
      <c r="F683" t="inlineStr">
        <is>
          <t>ABS</t>
        </is>
      </c>
      <c r="G683" t="inlineStr">
        <is>
          <t>M-2102</t>
        </is>
      </c>
      <c r="H683" t="inlineStr">
        <is>
          <t>ABS 내열 HR500</t>
        </is>
      </c>
      <c r="I683" s="43" t="n">
        <v>46090</v>
      </c>
      <c r="J683" t="n">
        <v>202603</v>
      </c>
      <c r="K683" s="44" t="n">
        <v>7425</v>
      </c>
      <c r="L683" t="inlineStr">
        <is>
          <t>KG</t>
        </is>
      </c>
      <c r="M683" s="44" t="n">
        <v>23031044</v>
      </c>
      <c r="N683" s="44" t="n">
        <v>2533415</v>
      </c>
      <c r="O683" t="n">
        <v>0</v>
      </c>
      <c r="P683" s="44" t="n">
        <v>20497629</v>
      </c>
      <c r="Q683" t="inlineStr">
        <is>
          <t>KRW</t>
        </is>
      </c>
      <c r="R683" t="inlineStr">
        <is>
          <t>INV2603-00682</t>
        </is>
      </c>
      <c r="S683" t="inlineStr">
        <is>
          <t>※예시데이터</t>
        </is>
      </c>
    </row>
    <row r="684">
      <c r="A684" t="n">
        <v>1000</v>
      </c>
      <c r="B684" t="inlineStr">
        <is>
          <t>EP사업부</t>
        </is>
      </c>
      <c r="C684" t="inlineStr">
        <is>
          <t>국내영업1팀</t>
        </is>
      </c>
      <c r="D684" t="inlineStr">
        <is>
          <t>C10078</t>
        </is>
      </c>
      <c r="E684" t="inlineStr">
        <is>
          <t>토담정공(주)</t>
        </is>
      </c>
      <c r="F684" t="inlineStr">
        <is>
          <t>ABS</t>
        </is>
      </c>
      <c r="G684" t="inlineStr">
        <is>
          <t>M-2102</t>
        </is>
      </c>
      <c r="H684" t="inlineStr">
        <is>
          <t>ABS 내열 HR500</t>
        </is>
      </c>
      <c r="I684" s="43" t="n">
        <v>46090</v>
      </c>
      <c r="J684" t="n">
        <v>202603</v>
      </c>
      <c r="K684" s="44" t="n">
        <v>1450</v>
      </c>
      <c r="L684" t="inlineStr">
        <is>
          <t>KG</t>
        </is>
      </c>
      <c r="M684" s="44" t="n">
        <v>4497645</v>
      </c>
      <c r="N684" s="44" t="n">
        <v>134929</v>
      </c>
      <c r="O684" t="n">
        <v>0</v>
      </c>
      <c r="P684" s="44" t="n">
        <v>4362716</v>
      </c>
      <c r="Q684" t="inlineStr">
        <is>
          <t>KRW</t>
        </is>
      </c>
      <c r="R684" t="inlineStr">
        <is>
          <t>INV2603-00683</t>
        </is>
      </c>
      <c r="S684" t="inlineStr">
        <is>
          <t>※예시데이터</t>
        </is>
      </c>
    </row>
    <row r="685">
      <c r="A685" t="n">
        <v>1000</v>
      </c>
      <c r="B685" t="inlineStr">
        <is>
          <t>EP사업부</t>
        </is>
      </c>
      <c r="C685" t="inlineStr">
        <is>
          <t>국내영업2팀</t>
        </is>
      </c>
      <c r="D685" t="inlineStr">
        <is>
          <t>C10085</t>
        </is>
      </c>
      <c r="E685" t="inlineStr">
        <is>
          <t>파란하이텍</t>
        </is>
      </c>
      <c r="F685" t="inlineStr">
        <is>
          <t>PC</t>
        </is>
      </c>
      <c r="G685" t="inlineStr">
        <is>
          <t>M-2201</t>
        </is>
      </c>
      <c r="H685" t="inlineStr">
        <is>
          <t>PC 일반 C100</t>
        </is>
      </c>
      <c r="I685" s="43" t="n">
        <v>46091</v>
      </c>
      <c r="J685" t="n">
        <v>202603</v>
      </c>
      <c r="K685" s="44" t="n">
        <v>1975</v>
      </c>
      <c r="L685" t="inlineStr">
        <is>
          <t>KG</t>
        </is>
      </c>
      <c r="M685" s="44" t="n">
        <v>7863202</v>
      </c>
      <c r="N685" s="44" t="n">
        <v>707688</v>
      </c>
      <c r="O685" t="n">
        <v>0</v>
      </c>
      <c r="P685" s="44" t="n">
        <v>7155514</v>
      </c>
      <c r="Q685" t="inlineStr">
        <is>
          <t>KRW</t>
        </is>
      </c>
      <c r="R685" t="inlineStr">
        <is>
          <t>INV2603-00684</t>
        </is>
      </c>
      <c r="S685" t="inlineStr">
        <is>
          <t>※예시데이터</t>
        </is>
      </c>
    </row>
    <row r="686">
      <c r="A686" t="n">
        <v>1000</v>
      </c>
      <c r="B686" t="inlineStr">
        <is>
          <t>범용수지사업부</t>
        </is>
      </c>
      <c r="C686" t="inlineStr">
        <is>
          <t>국내영업1팀</t>
        </is>
      </c>
      <c r="D686" t="inlineStr">
        <is>
          <t>C10092</t>
        </is>
      </c>
      <c r="E686" t="inlineStr">
        <is>
          <t>하늘포장(주)</t>
        </is>
      </c>
      <c r="F686" t="inlineStr">
        <is>
          <t>PE</t>
        </is>
      </c>
      <c r="G686" t="inlineStr">
        <is>
          <t>M-1201</t>
        </is>
      </c>
      <c r="H686" t="inlineStr">
        <is>
          <t>HDPE 블로우 B500</t>
        </is>
      </c>
      <c r="I686" s="43" t="n">
        <v>46091</v>
      </c>
      <c r="J686" t="n">
        <v>202603</v>
      </c>
      <c r="K686" s="44" t="n">
        <v>19750</v>
      </c>
      <c r="L686" t="inlineStr">
        <is>
          <t>KG</t>
        </is>
      </c>
      <c r="M686" s="44" t="n">
        <v>30762951</v>
      </c>
      <c r="N686" s="44" t="n">
        <v>2153407</v>
      </c>
      <c r="O686" t="n">
        <v>0</v>
      </c>
      <c r="P686" s="44" t="n">
        <v>28609544</v>
      </c>
      <c r="Q686" t="inlineStr">
        <is>
          <t>KRW</t>
        </is>
      </c>
      <c r="R686" t="inlineStr">
        <is>
          <t>INV2603-00685</t>
        </is>
      </c>
      <c r="S686" t="inlineStr">
        <is>
          <t>※예시데이터</t>
        </is>
      </c>
    </row>
    <row r="687">
      <c r="A687" t="n">
        <v>1000</v>
      </c>
      <c r="B687" t="inlineStr">
        <is>
          <t>범용수지사업부</t>
        </is>
      </c>
      <c r="C687" t="inlineStr">
        <is>
          <t>해외영업팀</t>
        </is>
      </c>
      <c r="D687" t="inlineStr">
        <is>
          <t>C10071</t>
        </is>
      </c>
      <c r="E687" t="inlineStr">
        <is>
          <t>큰별코리아</t>
        </is>
      </c>
      <c r="F687" t="inlineStr">
        <is>
          <t>PP</t>
        </is>
      </c>
      <c r="G687" t="inlineStr">
        <is>
          <t>M-1101</t>
        </is>
      </c>
      <c r="H687" t="inlineStr">
        <is>
          <t>PP 범용사출 H110</t>
        </is>
      </c>
      <c r="I687" s="43" t="n">
        <v>46092</v>
      </c>
      <c r="J687" t="n">
        <v>202603</v>
      </c>
      <c r="K687" s="44" t="n">
        <v>5350</v>
      </c>
      <c r="L687" t="inlineStr">
        <is>
          <t>KG</t>
        </is>
      </c>
      <c r="M687" s="44" t="n">
        <v>9100024</v>
      </c>
      <c r="N687" s="44" t="n">
        <v>1137503</v>
      </c>
      <c r="O687" s="44" t="n">
        <v>182000</v>
      </c>
      <c r="P687" s="44" t="n">
        <v>7780521</v>
      </c>
      <c r="Q687" t="inlineStr">
        <is>
          <t>KRW</t>
        </is>
      </c>
      <c r="R687" t="inlineStr">
        <is>
          <t>INV2603-00686</t>
        </is>
      </c>
      <c r="S687" t="inlineStr">
        <is>
          <t>※예시데이터</t>
        </is>
      </c>
    </row>
    <row r="688">
      <c r="A688" t="n">
        <v>1000</v>
      </c>
      <c r="B688" t="inlineStr">
        <is>
          <t>EP사업부</t>
        </is>
      </c>
      <c r="C688" t="inlineStr">
        <is>
          <t>국내영업1팀</t>
        </is>
      </c>
      <c r="D688" t="inlineStr">
        <is>
          <t>C10078</t>
        </is>
      </c>
      <c r="E688" t="inlineStr">
        <is>
          <t>토담정공(주)</t>
        </is>
      </c>
      <c r="F688" t="inlineStr">
        <is>
          <t>ABS</t>
        </is>
      </c>
      <c r="G688" t="inlineStr">
        <is>
          <t>M-2102</t>
        </is>
      </c>
      <c r="H688" t="inlineStr">
        <is>
          <t>ABS 내열 HR500</t>
        </is>
      </c>
      <c r="I688" s="43" t="n">
        <v>46092</v>
      </c>
      <c r="J688" t="n">
        <v>202603</v>
      </c>
      <c r="K688" s="44" t="n">
        <v>1450</v>
      </c>
      <c r="L688" t="inlineStr">
        <is>
          <t>KG</t>
        </is>
      </c>
      <c r="M688" s="44" t="n">
        <v>4497645</v>
      </c>
      <c r="N688" s="44" t="n">
        <v>134929</v>
      </c>
      <c r="O688" t="n">
        <v>0</v>
      </c>
      <c r="P688" s="44" t="n">
        <v>4362716</v>
      </c>
      <c r="Q688" t="inlineStr">
        <is>
          <t>KRW</t>
        </is>
      </c>
      <c r="R688" t="inlineStr">
        <is>
          <t>INV2603-00687</t>
        </is>
      </c>
      <c r="S688" t="inlineStr">
        <is>
          <t>※예시데이터</t>
        </is>
      </c>
    </row>
    <row r="689">
      <c r="A689" t="n">
        <v>1000</v>
      </c>
      <c r="B689" t="inlineStr">
        <is>
          <t>범용수지사업부</t>
        </is>
      </c>
      <c r="C689" t="inlineStr">
        <is>
          <t>국내영업2팀</t>
        </is>
      </c>
      <c r="D689" t="inlineStr">
        <is>
          <t>C10127</t>
        </is>
      </c>
      <c r="E689" t="inlineStr">
        <is>
          <t>미르패키징</t>
        </is>
      </c>
      <c r="F689" t="inlineStr">
        <is>
          <t>PE</t>
        </is>
      </c>
      <c r="G689" t="inlineStr">
        <is>
          <t>M-1202</t>
        </is>
      </c>
      <c r="H689" t="inlineStr">
        <is>
          <t>LLDPE 필름 F120</t>
        </is>
      </c>
      <c r="I689" s="43" t="n">
        <v>46092</v>
      </c>
      <c r="J689" t="n">
        <v>202603</v>
      </c>
      <c r="K689" s="44" t="n">
        <v>5425</v>
      </c>
      <c r="L689" t="inlineStr">
        <is>
          <t>KG</t>
        </is>
      </c>
      <c r="M689" s="44" t="n">
        <v>9145336</v>
      </c>
      <c r="N689" s="44" t="n">
        <v>777354</v>
      </c>
      <c r="O689" t="n">
        <v>0</v>
      </c>
      <c r="P689" s="44" t="n">
        <v>8367982</v>
      </c>
      <c r="Q689" t="inlineStr">
        <is>
          <t>KRW</t>
        </is>
      </c>
      <c r="R689" t="inlineStr">
        <is>
          <t>INV2603-00688</t>
        </is>
      </c>
      <c r="S689" t="inlineStr">
        <is>
          <t>※예시데이터</t>
        </is>
      </c>
    </row>
    <row r="690">
      <c r="A690" t="n">
        <v>1000</v>
      </c>
      <c r="B690" t="inlineStr">
        <is>
          <t>범용수지사업부</t>
        </is>
      </c>
      <c r="C690" t="inlineStr">
        <is>
          <t>국내영업2팀</t>
        </is>
      </c>
      <c r="D690" t="inlineStr">
        <is>
          <t>C10036</t>
        </is>
      </c>
      <c r="E690" t="inlineStr">
        <is>
          <t>바른물산</t>
        </is>
      </c>
      <c r="F690" t="inlineStr">
        <is>
          <t>PE</t>
        </is>
      </c>
      <c r="G690" t="inlineStr">
        <is>
          <t>M-1201</t>
        </is>
      </c>
      <c r="H690" t="inlineStr">
        <is>
          <t>HDPE 블로우 B500</t>
        </is>
      </c>
      <c r="I690" s="43" t="n">
        <v>46093</v>
      </c>
      <c r="J690" t="n">
        <v>202603</v>
      </c>
      <c r="K690" s="44" t="n">
        <v>11825</v>
      </c>
      <c r="L690" t="inlineStr">
        <is>
          <t>KG</t>
        </is>
      </c>
      <c r="M690" s="44" t="n">
        <v>18418830</v>
      </c>
      <c r="N690" s="44" t="n">
        <v>1841883</v>
      </c>
      <c r="O690" s="44" t="n">
        <v>368377</v>
      </c>
      <c r="P690" s="44" t="n">
        <v>16208570</v>
      </c>
      <c r="Q690" t="inlineStr">
        <is>
          <t>KRW</t>
        </is>
      </c>
      <c r="R690" t="inlineStr">
        <is>
          <t>INV2603-00689</t>
        </is>
      </c>
      <c r="S690" t="inlineStr">
        <is>
          <t>※예시데이터</t>
        </is>
      </c>
    </row>
    <row r="691">
      <c r="A691" t="n">
        <v>1000</v>
      </c>
      <c r="B691" t="inlineStr">
        <is>
          <t>EP사업부</t>
        </is>
      </c>
      <c r="C691" t="inlineStr">
        <is>
          <t>국내영업1팀</t>
        </is>
      </c>
      <c r="D691" t="inlineStr">
        <is>
          <t>C10134</t>
        </is>
      </c>
      <c r="E691" t="inlineStr">
        <is>
          <t>별하전자(주)</t>
        </is>
      </c>
      <c r="F691" t="inlineStr">
        <is>
          <t>PC</t>
        </is>
      </c>
      <c r="G691" t="inlineStr">
        <is>
          <t>M-2202</t>
        </is>
      </c>
      <c r="H691" t="inlineStr">
        <is>
          <t>PC 난연 FR200</t>
        </is>
      </c>
      <c r="I691" s="43" t="n">
        <v>46093</v>
      </c>
      <c r="J691" t="n">
        <v>202603</v>
      </c>
      <c r="K691" s="44" t="n">
        <v>1300</v>
      </c>
      <c r="L691" t="inlineStr">
        <is>
          <t>KG</t>
        </is>
      </c>
      <c r="M691" s="44" t="n">
        <v>5772984</v>
      </c>
      <c r="N691" s="44" t="n">
        <v>173190</v>
      </c>
      <c r="O691" t="n">
        <v>0</v>
      </c>
      <c r="P691" s="44" t="n">
        <v>5599794</v>
      </c>
      <c r="Q691" t="inlineStr">
        <is>
          <t>KRW</t>
        </is>
      </c>
      <c r="R691" t="inlineStr">
        <is>
          <t>INV2603-00690</t>
        </is>
      </c>
      <c r="S691" t="inlineStr">
        <is>
          <t>※예시데이터</t>
        </is>
      </c>
    </row>
    <row r="692">
      <c r="A692" t="n">
        <v>1000</v>
      </c>
      <c r="B692" t="inlineStr">
        <is>
          <t>범용수지사업부</t>
        </is>
      </c>
      <c r="C692" t="inlineStr">
        <is>
          <t>국내영업1팀</t>
        </is>
      </c>
      <c r="D692" t="inlineStr">
        <is>
          <t>C10008</t>
        </is>
      </c>
      <c r="E692" t="inlineStr">
        <is>
          <t>나래산업(주)</t>
        </is>
      </c>
      <c r="F692" t="inlineStr">
        <is>
          <t>PP</t>
        </is>
      </c>
      <c r="G692" t="inlineStr">
        <is>
          <t>M-1101</t>
        </is>
      </c>
      <c r="H692" t="inlineStr">
        <is>
          <t>PP 범용사출 H110</t>
        </is>
      </c>
      <c r="I692" s="43" t="n">
        <v>46097</v>
      </c>
      <c r="J692" t="n">
        <v>202603</v>
      </c>
      <c r="K692" s="44" t="n">
        <v>15450</v>
      </c>
      <c r="L692" t="inlineStr">
        <is>
          <t>KG</t>
        </is>
      </c>
      <c r="M692" s="44" t="n">
        <v>26279508</v>
      </c>
      <c r="N692" s="44" t="n">
        <v>2759348</v>
      </c>
      <c r="O692" s="44" t="n">
        <v>262795</v>
      </c>
      <c r="P692" s="44" t="n">
        <v>23257365</v>
      </c>
      <c r="Q692" t="inlineStr">
        <is>
          <t>KRW</t>
        </is>
      </c>
      <c r="R692" t="inlineStr">
        <is>
          <t>INV2603-00691</t>
        </is>
      </c>
      <c r="S692" t="inlineStr">
        <is>
          <t>※예시데이터</t>
        </is>
      </c>
    </row>
    <row r="693">
      <c r="A693" t="n">
        <v>1000</v>
      </c>
      <c r="B693" t="inlineStr">
        <is>
          <t>범용수지사업부</t>
        </is>
      </c>
      <c r="C693" t="inlineStr">
        <is>
          <t>국내영업2팀</t>
        </is>
      </c>
      <c r="D693" t="inlineStr">
        <is>
          <t>C10050</t>
        </is>
      </c>
      <c r="E693" t="inlineStr">
        <is>
          <t>아름화학(주)</t>
        </is>
      </c>
      <c r="F693" t="inlineStr">
        <is>
          <t>PE</t>
        </is>
      </c>
      <c r="G693" t="inlineStr">
        <is>
          <t>M-1201</t>
        </is>
      </c>
      <c r="H693" t="inlineStr">
        <is>
          <t>HDPE 블로우 B500</t>
        </is>
      </c>
      <c r="I693" s="43" t="n">
        <v>46097</v>
      </c>
      <c r="J693" t="n">
        <v>202603</v>
      </c>
      <c r="K693" s="44" t="n">
        <v>9150</v>
      </c>
      <c r="L693" t="inlineStr">
        <is>
          <t>KG</t>
        </is>
      </c>
      <c r="M693" s="44" t="n">
        <v>14252202</v>
      </c>
      <c r="N693" s="44" t="n">
        <v>1496481</v>
      </c>
      <c r="O693" s="44" t="n">
        <v>142522</v>
      </c>
      <c r="P693" s="44" t="n">
        <v>12613199</v>
      </c>
      <c r="Q693" t="inlineStr">
        <is>
          <t>KRW</t>
        </is>
      </c>
      <c r="R693" t="inlineStr">
        <is>
          <t>INV2603-00692</t>
        </is>
      </c>
      <c r="S693" t="inlineStr">
        <is>
          <t>※예시데이터</t>
        </is>
      </c>
    </row>
    <row r="694">
      <c r="A694" t="n">
        <v>1000</v>
      </c>
      <c r="B694" t="inlineStr">
        <is>
          <t>범용수지사업부</t>
        </is>
      </c>
      <c r="C694" t="inlineStr">
        <is>
          <t>해외영업팀</t>
        </is>
      </c>
      <c r="D694" t="inlineStr">
        <is>
          <t>C10071</t>
        </is>
      </c>
      <c r="E694" t="inlineStr">
        <is>
          <t>큰별코리아</t>
        </is>
      </c>
      <c r="F694" t="inlineStr">
        <is>
          <t>PE</t>
        </is>
      </c>
      <c r="G694" t="inlineStr">
        <is>
          <t>M-1202</t>
        </is>
      </c>
      <c r="H694" t="inlineStr">
        <is>
          <t>LLDPE 필름 F120</t>
        </is>
      </c>
      <c r="I694" s="43" t="n">
        <v>46097</v>
      </c>
      <c r="J694" t="n">
        <v>202603</v>
      </c>
      <c r="K694" s="44" t="n">
        <v>8800</v>
      </c>
      <c r="L694" t="inlineStr">
        <is>
          <t>KG</t>
        </is>
      </c>
      <c r="M694" s="44" t="n">
        <v>14834830</v>
      </c>
      <c r="N694" s="44" t="n">
        <v>1854354</v>
      </c>
      <c r="O694" s="44" t="n">
        <v>296697</v>
      </c>
      <c r="P694" s="44" t="n">
        <v>12683779</v>
      </c>
      <c r="Q694" t="inlineStr">
        <is>
          <t>KRW</t>
        </is>
      </c>
      <c r="R694" t="inlineStr">
        <is>
          <t>INV2603-00693</t>
        </is>
      </c>
      <c r="S694" t="inlineStr">
        <is>
          <t>※예시데이터</t>
        </is>
      </c>
    </row>
    <row r="695">
      <c r="A695" t="n">
        <v>1000</v>
      </c>
      <c r="B695" t="inlineStr">
        <is>
          <t>EP사업부</t>
        </is>
      </c>
      <c r="C695" t="inlineStr">
        <is>
          <t>해외영업팀</t>
        </is>
      </c>
      <c r="D695" t="inlineStr">
        <is>
          <t>C10148</t>
        </is>
      </c>
      <c r="E695" t="inlineStr">
        <is>
          <t>Hanoi Molding (VN)</t>
        </is>
      </c>
      <c r="F695" t="inlineStr">
        <is>
          <t>ABS</t>
        </is>
      </c>
      <c r="G695" t="inlineStr">
        <is>
          <t>M-2101</t>
        </is>
      </c>
      <c r="H695" t="inlineStr">
        <is>
          <t>ABS 범용 G300</t>
        </is>
      </c>
      <c r="I695" s="43" t="n">
        <v>46098</v>
      </c>
      <c r="J695" t="n">
        <v>202603</v>
      </c>
      <c r="K695" s="44" t="n">
        <v>4850</v>
      </c>
      <c r="L695" t="inlineStr">
        <is>
          <t>KG</t>
        </is>
      </c>
      <c r="M695" s="44" t="n">
        <v>13377918</v>
      </c>
      <c r="N695" s="44" t="n">
        <v>1337792</v>
      </c>
      <c r="O695" t="n">
        <v>0</v>
      </c>
      <c r="P695" s="44" t="n">
        <v>12040126</v>
      </c>
      <c r="Q695" t="inlineStr">
        <is>
          <t>KRW</t>
        </is>
      </c>
      <c r="R695" t="inlineStr">
        <is>
          <t>INV2603-00694</t>
        </is>
      </c>
      <c r="S695" t="inlineStr">
        <is>
          <t>※예시데이터</t>
        </is>
      </c>
    </row>
    <row r="696">
      <c r="A696" t="n">
        <v>1000</v>
      </c>
      <c r="B696" t="inlineStr">
        <is>
          <t>범용수지사업부</t>
        </is>
      </c>
      <c r="C696" t="inlineStr">
        <is>
          <t>국내영업1팀</t>
        </is>
      </c>
      <c r="D696" t="inlineStr">
        <is>
          <t>C10001</t>
        </is>
      </c>
      <c r="E696" t="inlineStr">
        <is>
          <t>가온소재(주)</t>
        </is>
      </c>
      <c r="F696" t="inlineStr">
        <is>
          <t>PP</t>
        </is>
      </c>
      <c r="G696" t="inlineStr">
        <is>
          <t>M-1103</t>
        </is>
      </c>
      <c r="H696" t="inlineStr">
        <is>
          <t>PP 투명 R330</t>
        </is>
      </c>
      <c r="I696" s="43" t="n">
        <v>46100</v>
      </c>
      <c r="J696" t="n">
        <v>202603</v>
      </c>
      <c r="K696" s="44" t="n">
        <v>2600</v>
      </c>
      <c r="L696" t="inlineStr">
        <is>
          <t>KG</t>
        </is>
      </c>
      <c r="M696" s="44" t="n">
        <v>5199719</v>
      </c>
      <c r="N696" s="44" t="n">
        <v>259986</v>
      </c>
      <c r="O696" t="n">
        <v>0</v>
      </c>
      <c r="P696" s="44" t="n">
        <v>4939733</v>
      </c>
      <c r="Q696" t="inlineStr">
        <is>
          <t>KRW</t>
        </is>
      </c>
      <c r="R696" t="inlineStr">
        <is>
          <t>INV2603-00695</t>
        </is>
      </c>
      <c r="S696" t="inlineStr">
        <is>
          <t>※예시데이터</t>
        </is>
      </c>
    </row>
    <row r="697">
      <c r="A697" t="n">
        <v>1000</v>
      </c>
      <c r="B697" t="inlineStr">
        <is>
          <t>범용수지사업부</t>
        </is>
      </c>
      <c r="C697" t="inlineStr">
        <is>
          <t>국내영업2팀</t>
        </is>
      </c>
      <c r="D697" t="inlineStr">
        <is>
          <t>C10050</t>
        </is>
      </c>
      <c r="E697" t="inlineStr">
        <is>
          <t>아름화학(주)</t>
        </is>
      </c>
      <c r="F697" t="inlineStr">
        <is>
          <t>PP</t>
        </is>
      </c>
      <c r="G697" t="inlineStr">
        <is>
          <t>M-1103</t>
        </is>
      </c>
      <c r="H697" t="inlineStr">
        <is>
          <t>PP 투명 R330</t>
        </is>
      </c>
      <c r="I697" s="43" t="n">
        <v>46100</v>
      </c>
      <c r="J697" t="n">
        <v>202603</v>
      </c>
      <c r="K697" s="44" t="n">
        <v>10950</v>
      </c>
      <c r="L697" t="inlineStr">
        <is>
          <t>KG</t>
        </is>
      </c>
      <c r="M697" s="44" t="n">
        <v>21898816</v>
      </c>
      <c r="N697" s="44" t="n">
        <v>2299376</v>
      </c>
      <c r="O697" s="44" t="n">
        <v>218988</v>
      </c>
      <c r="P697" s="44" t="n">
        <v>19380452</v>
      </c>
      <c r="Q697" t="inlineStr">
        <is>
          <t>KRW</t>
        </is>
      </c>
      <c r="R697" t="inlineStr">
        <is>
          <t>INV2603-00696</t>
        </is>
      </c>
      <c r="S697" t="inlineStr">
        <is>
          <t>※예시데이터</t>
        </is>
      </c>
    </row>
    <row r="698">
      <c r="A698" t="n">
        <v>1000</v>
      </c>
      <c r="B698" t="inlineStr">
        <is>
          <t>범용수지사업부</t>
        </is>
      </c>
      <c r="C698" t="inlineStr">
        <is>
          <t>국내영업2팀</t>
        </is>
      </c>
      <c r="D698" t="inlineStr">
        <is>
          <t>C10099</t>
        </is>
      </c>
      <c r="E698" t="inlineStr">
        <is>
          <t>한울몰드</t>
        </is>
      </c>
      <c r="F698" t="inlineStr">
        <is>
          <t>PP</t>
        </is>
      </c>
      <c r="G698" t="inlineStr">
        <is>
          <t>M-1101</t>
        </is>
      </c>
      <c r="H698" t="inlineStr">
        <is>
          <t>PP 범용사출 H110</t>
        </is>
      </c>
      <c r="I698" s="43" t="n">
        <v>46100</v>
      </c>
      <c r="J698" t="n">
        <v>202603</v>
      </c>
      <c r="K698" s="44" t="n">
        <v>3875</v>
      </c>
      <c r="L698" t="inlineStr">
        <is>
          <t>KG</t>
        </is>
      </c>
      <c r="M698" s="44" t="n">
        <v>6591139</v>
      </c>
      <c r="N698" s="44" t="n">
        <v>428424</v>
      </c>
      <c r="O698" t="n">
        <v>0</v>
      </c>
      <c r="P698" s="44" t="n">
        <v>6162715</v>
      </c>
      <c r="Q698" t="inlineStr">
        <is>
          <t>KRW</t>
        </is>
      </c>
      <c r="R698" t="inlineStr">
        <is>
          <t>INV2603-00697</t>
        </is>
      </c>
      <c r="S698" t="inlineStr">
        <is>
          <t>※예시데이터</t>
        </is>
      </c>
    </row>
    <row r="699">
      <c r="A699" t="n">
        <v>1000</v>
      </c>
      <c r="B699" t="inlineStr">
        <is>
          <t>EP사업부</t>
        </is>
      </c>
      <c r="C699" t="inlineStr">
        <is>
          <t>국내영업1팀</t>
        </is>
      </c>
      <c r="D699" t="inlineStr">
        <is>
          <t>C10120</t>
        </is>
      </c>
      <c r="E699" t="inlineStr">
        <is>
          <t>든솔케이스</t>
        </is>
      </c>
      <c r="F699" t="inlineStr">
        <is>
          <t>ABS</t>
        </is>
      </c>
      <c r="G699" t="inlineStr">
        <is>
          <t>M-2101</t>
        </is>
      </c>
      <c r="H699" t="inlineStr">
        <is>
          <t>ABS 범용 G300</t>
        </is>
      </c>
      <c r="I699" s="43" t="n">
        <v>46100</v>
      </c>
      <c r="J699" t="n">
        <v>202603</v>
      </c>
      <c r="K699" s="44" t="n">
        <v>3125</v>
      </c>
      <c r="L699" t="inlineStr">
        <is>
          <t>KG</t>
        </is>
      </c>
      <c r="M699" s="44" t="n">
        <v>8619792</v>
      </c>
      <c r="N699" s="44" t="n">
        <v>344792</v>
      </c>
      <c r="O699" t="n">
        <v>0</v>
      </c>
      <c r="P699" s="44" t="n">
        <v>8275000</v>
      </c>
      <c r="Q699" t="inlineStr">
        <is>
          <t>KRW</t>
        </is>
      </c>
      <c r="R699" t="inlineStr">
        <is>
          <t>INV2603-00698</t>
        </is>
      </c>
      <c r="S699" t="inlineStr">
        <is>
          <t>※예시데이터</t>
        </is>
      </c>
    </row>
    <row r="700">
      <c r="A700" t="n">
        <v>1000</v>
      </c>
      <c r="B700" t="inlineStr">
        <is>
          <t>범용수지사업부</t>
        </is>
      </c>
      <c r="C700" t="inlineStr">
        <is>
          <t>국내영업1팀</t>
        </is>
      </c>
      <c r="D700" t="inlineStr">
        <is>
          <t>C10001</t>
        </is>
      </c>
      <c r="E700" t="inlineStr">
        <is>
          <t>가온소재(주)</t>
        </is>
      </c>
      <c r="F700" t="inlineStr">
        <is>
          <t>PE</t>
        </is>
      </c>
      <c r="G700" t="inlineStr">
        <is>
          <t>M-1201</t>
        </is>
      </c>
      <c r="H700" t="inlineStr">
        <is>
          <t>HDPE 블로우 B500</t>
        </is>
      </c>
      <c r="I700" s="43" t="n">
        <v>46101</v>
      </c>
      <c r="J700" t="n">
        <v>202603</v>
      </c>
      <c r="K700" s="44" t="n">
        <v>2275</v>
      </c>
      <c r="L700" t="inlineStr">
        <is>
          <t>KG</t>
        </is>
      </c>
      <c r="M700" s="44" t="n">
        <v>3543580</v>
      </c>
      <c r="N700" s="44" t="n">
        <v>177179</v>
      </c>
      <c r="O700" t="n">
        <v>0</v>
      </c>
      <c r="P700" s="44" t="n">
        <v>3366401</v>
      </c>
      <c r="Q700" t="inlineStr">
        <is>
          <t>KRW</t>
        </is>
      </c>
      <c r="R700" t="inlineStr">
        <is>
          <t>INV2603-00699</t>
        </is>
      </c>
      <c r="S700" t="inlineStr">
        <is>
          <t>※예시데이터</t>
        </is>
      </c>
    </row>
    <row r="701">
      <c r="A701" t="n">
        <v>1000</v>
      </c>
      <c r="B701" t="inlineStr">
        <is>
          <t>EP사업부</t>
        </is>
      </c>
      <c r="C701" t="inlineStr">
        <is>
          <t>국내영업1팀</t>
        </is>
      </c>
      <c r="D701" t="inlineStr">
        <is>
          <t>C10043</t>
        </is>
      </c>
      <c r="E701" t="inlineStr">
        <is>
          <t>새봄플라스틱</t>
        </is>
      </c>
      <c r="F701" t="inlineStr">
        <is>
          <t>ABS</t>
        </is>
      </c>
      <c r="G701" t="inlineStr">
        <is>
          <t>M-2102</t>
        </is>
      </c>
      <c r="H701" t="inlineStr">
        <is>
          <t>ABS 내열 HR500</t>
        </is>
      </c>
      <c r="I701" s="43" t="n">
        <v>46101</v>
      </c>
      <c r="J701" t="n">
        <v>202603</v>
      </c>
      <c r="K701" s="44" t="n">
        <v>3850</v>
      </c>
      <c r="L701" t="inlineStr">
        <is>
          <t>KG</t>
        </is>
      </c>
      <c r="M701" s="44" t="n">
        <v>11942023</v>
      </c>
      <c r="N701" s="44" t="n">
        <v>716521</v>
      </c>
      <c r="O701" t="n">
        <v>0</v>
      </c>
      <c r="P701" s="44" t="n">
        <v>11225502</v>
      </c>
      <c r="Q701" t="inlineStr">
        <is>
          <t>KRW</t>
        </is>
      </c>
      <c r="R701" t="inlineStr">
        <is>
          <t>INV2603-00700</t>
        </is>
      </c>
      <c r="S701" t="inlineStr">
        <is>
          <t>※예시데이터</t>
        </is>
      </c>
    </row>
    <row r="702">
      <c r="A702" t="n">
        <v>1000</v>
      </c>
      <c r="B702" t="inlineStr">
        <is>
          <t>EP사업부</t>
        </is>
      </c>
      <c r="C702" t="inlineStr">
        <is>
          <t>국내영업1팀</t>
        </is>
      </c>
      <c r="D702" t="inlineStr">
        <is>
          <t>C10057</t>
        </is>
      </c>
      <c r="E702" t="inlineStr">
        <is>
          <t>자연엠텍</t>
        </is>
      </c>
      <c r="F702" t="inlineStr">
        <is>
          <t>PC</t>
        </is>
      </c>
      <c r="G702" t="inlineStr">
        <is>
          <t>M-2201</t>
        </is>
      </c>
      <c r="H702" t="inlineStr">
        <is>
          <t>PC 일반 C100</t>
        </is>
      </c>
      <c r="I702" s="43" t="n">
        <v>46101</v>
      </c>
      <c r="J702" t="n">
        <v>202603</v>
      </c>
      <c r="K702" s="44" t="n">
        <v>3625</v>
      </c>
      <c r="L702" t="inlineStr">
        <is>
          <t>KG</t>
        </is>
      </c>
      <c r="M702" s="44" t="n">
        <v>14432460</v>
      </c>
      <c r="N702" s="44" t="n">
        <v>505136</v>
      </c>
      <c r="O702" t="n">
        <v>0</v>
      </c>
      <c r="P702" s="44" t="n">
        <v>13927324</v>
      </c>
      <c r="Q702" t="inlineStr">
        <is>
          <t>KRW</t>
        </is>
      </c>
      <c r="R702" t="inlineStr">
        <is>
          <t>INV2603-00701</t>
        </is>
      </c>
      <c r="S702" t="inlineStr">
        <is>
          <t>※예시데이터</t>
        </is>
      </c>
    </row>
    <row r="703">
      <c r="A703" t="n">
        <v>1000</v>
      </c>
      <c r="B703" t="inlineStr">
        <is>
          <t>EP사업부</t>
        </is>
      </c>
      <c r="C703" t="inlineStr">
        <is>
          <t>국내영업2팀</t>
        </is>
      </c>
      <c r="D703" t="inlineStr">
        <is>
          <t>C10113</t>
        </is>
      </c>
      <c r="E703" t="inlineStr">
        <is>
          <t>누리오토파츠</t>
        </is>
      </c>
      <c r="F703" t="inlineStr">
        <is>
          <t>ABS</t>
        </is>
      </c>
      <c r="G703" t="inlineStr">
        <is>
          <t>M-2102</t>
        </is>
      </c>
      <c r="H703" t="inlineStr">
        <is>
          <t>ABS 내열 HR500</t>
        </is>
      </c>
      <c r="I703" s="43" t="n">
        <v>46101</v>
      </c>
      <c r="J703" t="n">
        <v>202603</v>
      </c>
      <c r="K703" t="n">
        <v>-350</v>
      </c>
      <c r="L703" t="inlineStr">
        <is>
          <t>KG</t>
        </is>
      </c>
      <c r="M703" s="44" t="n">
        <v>-1090638</v>
      </c>
      <c r="N703" s="44" t="n">
        <v>-98157</v>
      </c>
      <c r="O703" s="44" t="n">
        <v>-10906</v>
      </c>
      <c r="P703" s="44" t="n">
        <v>-981575</v>
      </c>
      <c r="Q703" t="inlineStr">
        <is>
          <t>KRW</t>
        </is>
      </c>
      <c r="R703" t="inlineStr">
        <is>
          <t>INV2603-00702</t>
        </is>
      </c>
      <c r="S703" t="inlineStr">
        <is>
          <t>※예시데이터</t>
        </is>
      </c>
    </row>
    <row r="704">
      <c r="A704" t="n">
        <v>1000</v>
      </c>
      <c r="B704" t="inlineStr">
        <is>
          <t>범용수지사업부</t>
        </is>
      </c>
      <c r="C704" t="inlineStr">
        <is>
          <t>국내영업2팀</t>
        </is>
      </c>
      <c r="D704" t="inlineStr">
        <is>
          <t>C10127</t>
        </is>
      </c>
      <c r="E704" t="inlineStr">
        <is>
          <t>미르패키징</t>
        </is>
      </c>
      <c r="F704" t="inlineStr">
        <is>
          <t>PE</t>
        </is>
      </c>
      <c r="G704" t="inlineStr">
        <is>
          <t>M-1201</t>
        </is>
      </c>
      <c r="H704" t="inlineStr">
        <is>
          <t>HDPE 블로우 B500</t>
        </is>
      </c>
      <c r="I704" s="43" t="n">
        <v>46101</v>
      </c>
      <c r="J704" t="n">
        <v>202603</v>
      </c>
      <c r="K704" s="44" t="n">
        <v>2675</v>
      </c>
      <c r="L704" t="inlineStr">
        <is>
          <t>KG</t>
        </is>
      </c>
      <c r="M704" s="44" t="n">
        <v>4166627</v>
      </c>
      <c r="N704" s="44" t="n">
        <v>354163</v>
      </c>
      <c r="O704" t="n">
        <v>0</v>
      </c>
      <c r="P704" s="44" t="n">
        <v>3812464</v>
      </c>
      <c r="Q704" t="inlineStr">
        <is>
          <t>KRW</t>
        </is>
      </c>
      <c r="R704" t="inlineStr">
        <is>
          <t>INV2603-00703</t>
        </is>
      </c>
      <c r="S704" t="inlineStr">
        <is>
          <t>※예시데이터</t>
        </is>
      </c>
    </row>
    <row r="705">
      <c r="A705" t="n">
        <v>1000</v>
      </c>
      <c r="B705" t="inlineStr">
        <is>
          <t>EP사업부</t>
        </is>
      </c>
      <c r="C705" t="inlineStr">
        <is>
          <t>국내영업1팀</t>
        </is>
      </c>
      <c r="D705" t="inlineStr">
        <is>
          <t>C10134</t>
        </is>
      </c>
      <c r="E705" t="inlineStr">
        <is>
          <t>별하전자(주)</t>
        </is>
      </c>
      <c r="F705" t="inlineStr">
        <is>
          <t>PC</t>
        </is>
      </c>
      <c r="G705" t="inlineStr">
        <is>
          <t>M-2201</t>
        </is>
      </c>
      <c r="H705" t="inlineStr">
        <is>
          <t>PC 일반 C100</t>
        </is>
      </c>
      <c r="I705" s="43" t="n">
        <v>46101</v>
      </c>
      <c r="J705" t="n">
        <v>202603</v>
      </c>
      <c r="K705" s="44" t="n">
        <v>1725</v>
      </c>
      <c r="L705" t="inlineStr">
        <is>
          <t>KG</t>
        </is>
      </c>
      <c r="M705" s="44" t="n">
        <v>6867860</v>
      </c>
      <c r="N705" s="44" t="n">
        <v>206036</v>
      </c>
      <c r="O705" t="n">
        <v>0</v>
      </c>
      <c r="P705" s="44" t="n">
        <v>6661824</v>
      </c>
      <c r="Q705" t="inlineStr">
        <is>
          <t>KRW</t>
        </is>
      </c>
      <c r="R705" t="inlineStr">
        <is>
          <t>INV2603-00704</t>
        </is>
      </c>
      <c r="S705" t="inlineStr">
        <is>
          <t>※예시데이터</t>
        </is>
      </c>
    </row>
    <row r="706">
      <c r="A706" t="n">
        <v>1000</v>
      </c>
      <c r="B706" t="inlineStr">
        <is>
          <t>EP사업부</t>
        </is>
      </c>
      <c r="C706" t="inlineStr">
        <is>
          <t>국내영업1팀</t>
        </is>
      </c>
      <c r="D706" t="inlineStr">
        <is>
          <t>C10043</t>
        </is>
      </c>
      <c r="E706" t="inlineStr">
        <is>
          <t>새봄플라스틱</t>
        </is>
      </c>
      <c r="F706" t="inlineStr">
        <is>
          <t>ABS</t>
        </is>
      </c>
      <c r="G706" t="inlineStr">
        <is>
          <t>M-2101</t>
        </is>
      </c>
      <c r="H706" t="inlineStr">
        <is>
          <t>ABS 범용 G300</t>
        </is>
      </c>
      <c r="I706" s="43" t="n">
        <v>46104</v>
      </c>
      <c r="J706" t="n">
        <v>202603</v>
      </c>
      <c r="K706" s="44" t="n">
        <v>5625</v>
      </c>
      <c r="L706" t="inlineStr">
        <is>
          <t>KG</t>
        </is>
      </c>
      <c r="M706" s="44" t="n">
        <v>15515626</v>
      </c>
      <c r="N706" s="44" t="n">
        <v>930938</v>
      </c>
      <c r="O706" t="n">
        <v>0</v>
      </c>
      <c r="P706" s="44" t="n">
        <v>14584688</v>
      </c>
      <c r="Q706" t="inlineStr">
        <is>
          <t>KRW</t>
        </is>
      </c>
      <c r="R706" t="inlineStr">
        <is>
          <t>INV2603-00705</t>
        </is>
      </c>
      <c r="S706" t="inlineStr">
        <is>
          <t>※예시데이터</t>
        </is>
      </c>
    </row>
    <row r="707">
      <c r="A707" t="n">
        <v>1000</v>
      </c>
      <c r="B707" t="inlineStr">
        <is>
          <t>EP사업부</t>
        </is>
      </c>
      <c r="C707" t="inlineStr">
        <is>
          <t>국내영업2팀</t>
        </is>
      </c>
      <c r="D707" t="inlineStr">
        <is>
          <t>C10015</t>
        </is>
      </c>
      <c r="E707" t="inlineStr">
        <is>
          <t>다솜케미칼</t>
        </is>
      </c>
      <c r="F707" t="inlineStr">
        <is>
          <t>ABS</t>
        </is>
      </c>
      <c r="G707" t="inlineStr">
        <is>
          <t>M-2101</t>
        </is>
      </c>
      <c r="H707" t="inlineStr">
        <is>
          <t>ABS 범용 G300</t>
        </is>
      </c>
      <c r="I707" s="43" t="n">
        <v>46105</v>
      </c>
      <c r="J707" t="n">
        <v>202603</v>
      </c>
      <c r="K707" s="44" t="n">
        <v>3400</v>
      </c>
      <c r="L707" t="inlineStr">
        <is>
          <t>KG</t>
        </is>
      </c>
      <c r="M707" s="44" t="n">
        <v>9378334</v>
      </c>
      <c r="N707" s="44" t="n">
        <v>468917</v>
      </c>
      <c r="O707" t="n">
        <v>0</v>
      </c>
      <c r="P707" s="44" t="n">
        <v>8909417</v>
      </c>
      <c r="Q707" t="inlineStr">
        <is>
          <t>KRW</t>
        </is>
      </c>
      <c r="R707" t="inlineStr">
        <is>
          <t>INV2603-00706</t>
        </is>
      </c>
      <c r="S707" t="inlineStr">
        <is>
          <t>※예시데이터</t>
        </is>
      </c>
    </row>
    <row r="708">
      <c r="A708" t="n">
        <v>1000</v>
      </c>
      <c r="B708" t="inlineStr">
        <is>
          <t>EP사업부</t>
        </is>
      </c>
      <c r="C708" t="inlineStr">
        <is>
          <t>국내영업2팀</t>
        </is>
      </c>
      <c r="D708" t="inlineStr">
        <is>
          <t>C10085</t>
        </is>
      </c>
      <c r="E708" t="inlineStr">
        <is>
          <t>파란하이텍</t>
        </is>
      </c>
      <c r="F708" t="inlineStr">
        <is>
          <t>PC</t>
        </is>
      </c>
      <c r="G708" t="inlineStr">
        <is>
          <t>M-2201</t>
        </is>
      </c>
      <c r="H708" t="inlineStr">
        <is>
          <t>PC 일반 C100</t>
        </is>
      </c>
      <c r="I708" s="43" t="n">
        <v>46105</v>
      </c>
      <c r="J708" t="n">
        <v>202603</v>
      </c>
      <c r="K708" s="44" t="n">
        <v>1975</v>
      </c>
      <c r="L708" t="inlineStr">
        <is>
          <t>KG</t>
        </is>
      </c>
      <c r="M708" s="44" t="n">
        <v>7863202</v>
      </c>
      <c r="N708" s="44" t="n">
        <v>707688</v>
      </c>
      <c r="O708" t="n">
        <v>0</v>
      </c>
      <c r="P708" s="44" t="n">
        <v>7155514</v>
      </c>
      <c r="Q708" t="inlineStr">
        <is>
          <t>KRW</t>
        </is>
      </c>
      <c r="R708" t="inlineStr">
        <is>
          <t>INV2603-00707</t>
        </is>
      </c>
      <c r="S708" t="inlineStr">
        <is>
          <t>※예시데이터</t>
        </is>
      </c>
    </row>
    <row r="709">
      <c r="A709" t="n">
        <v>1000</v>
      </c>
      <c r="B709" t="inlineStr">
        <is>
          <t>범용수지사업부</t>
        </is>
      </c>
      <c r="C709" t="inlineStr">
        <is>
          <t>국내영업1팀</t>
        </is>
      </c>
      <c r="D709" t="inlineStr">
        <is>
          <t>C10001</t>
        </is>
      </c>
      <c r="E709" t="inlineStr">
        <is>
          <t>가온소재(주)</t>
        </is>
      </c>
      <c r="F709" t="inlineStr">
        <is>
          <t>PE</t>
        </is>
      </c>
      <c r="G709" t="inlineStr">
        <is>
          <t>M-1202</t>
        </is>
      </c>
      <c r="H709" t="inlineStr">
        <is>
          <t>LLDPE 필름 F120</t>
        </is>
      </c>
      <c r="I709" s="43" t="n">
        <v>46106</v>
      </c>
      <c r="J709" t="n">
        <v>202603</v>
      </c>
      <c r="K709" s="44" t="n">
        <v>5350</v>
      </c>
      <c r="L709" t="inlineStr">
        <is>
          <t>KG</t>
        </is>
      </c>
      <c r="M709" s="44" t="n">
        <v>9018903</v>
      </c>
      <c r="N709" s="44" t="n">
        <v>450945</v>
      </c>
      <c r="O709" t="n">
        <v>0</v>
      </c>
      <c r="P709" s="44" t="n">
        <v>8567958</v>
      </c>
      <c r="Q709" t="inlineStr">
        <is>
          <t>KRW</t>
        </is>
      </c>
      <c r="R709" t="inlineStr">
        <is>
          <t>INV2603-00708</t>
        </is>
      </c>
      <c r="S709" t="inlineStr">
        <is>
          <t>※예시데이터</t>
        </is>
      </c>
    </row>
    <row r="710">
      <c r="A710" t="n">
        <v>1000</v>
      </c>
      <c r="B710" t="inlineStr">
        <is>
          <t>범용수지사업부</t>
        </is>
      </c>
      <c r="C710" t="inlineStr">
        <is>
          <t>해외영업팀</t>
        </is>
      </c>
      <c r="D710" t="inlineStr">
        <is>
          <t>C10071</t>
        </is>
      </c>
      <c r="E710" t="inlineStr">
        <is>
          <t>큰별코리아</t>
        </is>
      </c>
      <c r="F710" t="inlineStr">
        <is>
          <t>PE</t>
        </is>
      </c>
      <c r="G710" t="inlineStr">
        <is>
          <t>M-1201</t>
        </is>
      </c>
      <c r="H710" t="inlineStr">
        <is>
          <t>HDPE 블로우 B500</t>
        </is>
      </c>
      <c r="I710" s="43" t="n">
        <v>46106</v>
      </c>
      <c r="J710" t="n">
        <v>202603</v>
      </c>
      <c r="K710" s="44" t="n">
        <v>8600</v>
      </c>
      <c r="L710" t="inlineStr">
        <is>
          <t>KG</t>
        </is>
      </c>
      <c r="M710" s="44" t="n">
        <v>13395513</v>
      </c>
      <c r="N710" s="44" t="n">
        <v>1674439</v>
      </c>
      <c r="O710" s="44" t="n">
        <v>267910</v>
      </c>
      <c r="P710" s="44" t="n">
        <v>11453164</v>
      </c>
      <c r="Q710" t="inlineStr">
        <is>
          <t>KRW</t>
        </is>
      </c>
      <c r="R710" t="inlineStr">
        <is>
          <t>INV2603-00709</t>
        </is>
      </c>
      <c r="S710" t="inlineStr">
        <is>
          <t>※예시데이터</t>
        </is>
      </c>
    </row>
    <row r="711">
      <c r="A711" t="n">
        <v>1000</v>
      </c>
      <c r="B711" t="inlineStr">
        <is>
          <t>범용수지사업부</t>
        </is>
      </c>
      <c r="C711" t="inlineStr">
        <is>
          <t>국내영업1팀</t>
        </is>
      </c>
      <c r="D711" t="inlineStr">
        <is>
          <t>C10106</t>
        </is>
      </c>
      <c r="E711" t="inlineStr">
        <is>
          <t>온새미사출</t>
        </is>
      </c>
      <c r="F711" t="inlineStr">
        <is>
          <t>PP</t>
        </is>
      </c>
      <c r="G711" t="inlineStr">
        <is>
          <t>M-1101</t>
        </is>
      </c>
      <c r="H711" t="inlineStr">
        <is>
          <t>PP 범용사출 H110</t>
        </is>
      </c>
      <c r="I711" s="43" t="n">
        <v>46106</v>
      </c>
      <c r="J711" t="n">
        <v>202603</v>
      </c>
      <c r="K711" s="44" t="n">
        <v>8625</v>
      </c>
      <c r="L711" t="inlineStr">
        <is>
          <t>KG</t>
        </is>
      </c>
      <c r="M711" s="44" t="n">
        <v>14670599</v>
      </c>
      <c r="N711" s="44" t="n">
        <v>733530</v>
      </c>
      <c r="O711" t="n">
        <v>0</v>
      </c>
      <c r="P711" s="44" t="n">
        <v>13937069</v>
      </c>
      <c r="Q711" t="inlineStr">
        <is>
          <t>KRW</t>
        </is>
      </c>
      <c r="R711" t="inlineStr">
        <is>
          <t>INV2603-00710</t>
        </is>
      </c>
      <c r="S711" t="inlineStr">
        <is>
          <t>※예시데이터</t>
        </is>
      </c>
    </row>
    <row r="712">
      <c r="A712" t="n">
        <v>1000</v>
      </c>
      <c r="B712" t="inlineStr">
        <is>
          <t>EP사업부</t>
        </is>
      </c>
      <c r="C712" t="inlineStr">
        <is>
          <t>국내영업2팀</t>
        </is>
      </c>
      <c r="D712" t="inlineStr">
        <is>
          <t>C10113</t>
        </is>
      </c>
      <c r="E712" t="inlineStr">
        <is>
          <t>누리오토파츠</t>
        </is>
      </c>
      <c r="F712" t="inlineStr">
        <is>
          <t>ABS</t>
        </is>
      </c>
      <c r="G712" t="inlineStr">
        <is>
          <t>M-2102</t>
        </is>
      </c>
      <c r="H712" t="inlineStr">
        <is>
          <t>ABS 내열 HR500</t>
        </is>
      </c>
      <c r="I712" s="43" t="n">
        <v>46106</v>
      </c>
      <c r="J712" t="n">
        <v>202603</v>
      </c>
      <c r="K712" s="44" t="n">
        <v>6650</v>
      </c>
      <c r="L712" t="inlineStr">
        <is>
          <t>KG</t>
        </is>
      </c>
      <c r="M712" s="44" t="n">
        <v>20627131</v>
      </c>
      <c r="N712" s="44" t="n">
        <v>1856442</v>
      </c>
      <c r="O712" s="44" t="n">
        <v>206271</v>
      </c>
      <c r="P712" s="44" t="n">
        <v>18564418</v>
      </c>
      <c r="Q712" t="inlineStr">
        <is>
          <t>KRW</t>
        </is>
      </c>
      <c r="R712" t="inlineStr">
        <is>
          <t>INV2603-00711</t>
        </is>
      </c>
      <c r="S712" t="inlineStr">
        <is>
          <t>※예시데이터</t>
        </is>
      </c>
    </row>
    <row r="713">
      <c r="A713" t="n">
        <v>1000</v>
      </c>
      <c r="B713" t="inlineStr">
        <is>
          <t>EP사업부</t>
        </is>
      </c>
      <c r="C713" t="inlineStr">
        <is>
          <t>국내영업2팀</t>
        </is>
      </c>
      <c r="D713" t="inlineStr">
        <is>
          <t>C10015</t>
        </is>
      </c>
      <c r="E713" t="inlineStr">
        <is>
          <t>다솜케미칼</t>
        </is>
      </c>
      <c r="F713" t="inlineStr">
        <is>
          <t>PC</t>
        </is>
      </c>
      <c r="G713" t="inlineStr">
        <is>
          <t>M-2201</t>
        </is>
      </c>
      <c r="H713" t="inlineStr">
        <is>
          <t>PC 일반 C100</t>
        </is>
      </c>
      <c r="I713" s="43" t="n">
        <v>46107</v>
      </c>
      <c r="J713" t="n">
        <v>202603</v>
      </c>
      <c r="K713" s="44" t="n">
        <v>3900</v>
      </c>
      <c r="L713" t="inlineStr">
        <is>
          <t>KG</t>
        </is>
      </c>
      <c r="M713" s="44" t="n">
        <v>15527336</v>
      </c>
      <c r="N713" s="44" t="n">
        <v>776367</v>
      </c>
      <c r="O713" t="n">
        <v>0</v>
      </c>
      <c r="P713" s="44" t="n">
        <v>14750969</v>
      </c>
      <c r="Q713" t="inlineStr">
        <is>
          <t>KRW</t>
        </is>
      </c>
      <c r="R713" t="inlineStr">
        <is>
          <t>INV2603-00712</t>
        </is>
      </c>
      <c r="S713" t="inlineStr">
        <is>
          <t>※예시데이터</t>
        </is>
      </c>
    </row>
    <row r="714">
      <c r="A714" t="n">
        <v>1000</v>
      </c>
      <c r="B714" t="inlineStr">
        <is>
          <t>범용수지사업부</t>
        </is>
      </c>
      <c r="C714" t="inlineStr">
        <is>
          <t>해외영업팀</t>
        </is>
      </c>
      <c r="D714" t="inlineStr">
        <is>
          <t>C10148</t>
        </is>
      </c>
      <c r="E714" t="inlineStr">
        <is>
          <t>Hanoi Molding (VN)</t>
        </is>
      </c>
      <c r="F714" t="inlineStr">
        <is>
          <t>PP</t>
        </is>
      </c>
      <c r="G714" t="inlineStr">
        <is>
          <t>M-1103</t>
        </is>
      </c>
      <c r="H714" t="inlineStr">
        <is>
          <t>PP 투명 R330</t>
        </is>
      </c>
      <c r="I714" s="43" t="n">
        <v>46107</v>
      </c>
      <c r="J714" t="n">
        <v>202603</v>
      </c>
      <c r="K714" s="44" t="n">
        <v>4200</v>
      </c>
      <c r="L714" t="inlineStr">
        <is>
          <t>KG</t>
        </is>
      </c>
      <c r="M714" s="44" t="n">
        <v>8399546</v>
      </c>
      <c r="N714" s="44" t="n">
        <v>839955</v>
      </c>
      <c r="O714" t="n">
        <v>0</v>
      </c>
      <c r="P714" s="44" t="n">
        <v>7559591</v>
      </c>
      <c r="Q714" t="inlineStr">
        <is>
          <t>KRW</t>
        </is>
      </c>
      <c r="R714" t="inlineStr">
        <is>
          <t>INV2603-00713</t>
        </is>
      </c>
      <c r="S714" t="inlineStr">
        <is>
          <t>※예시데이터</t>
        </is>
      </c>
    </row>
    <row r="715">
      <c r="A715" t="n">
        <v>1000</v>
      </c>
      <c r="B715" t="inlineStr">
        <is>
          <t>EP사업부</t>
        </is>
      </c>
      <c r="C715" t="inlineStr">
        <is>
          <t>국내영업2팀</t>
        </is>
      </c>
      <c r="D715" t="inlineStr">
        <is>
          <t>C10113</t>
        </is>
      </c>
      <c r="E715" t="inlineStr">
        <is>
          <t>누리오토파츠</t>
        </is>
      </c>
      <c r="F715" t="inlineStr">
        <is>
          <t>PC</t>
        </is>
      </c>
      <c r="G715" t="inlineStr">
        <is>
          <t>M-2202</t>
        </is>
      </c>
      <c r="H715" t="inlineStr">
        <is>
          <t>PC 난연 FR200</t>
        </is>
      </c>
      <c r="I715" s="43" t="n">
        <v>46108</v>
      </c>
      <c r="J715" t="n">
        <v>202603</v>
      </c>
      <c r="K715" s="44" t="n">
        <v>1975</v>
      </c>
      <c r="L715" t="inlineStr">
        <is>
          <t>KG</t>
        </is>
      </c>
      <c r="M715" s="44" t="n">
        <v>8770495</v>
      </c>
      <c r="N715" s="44" t="n">
        <v>789345</v>
      </c>
      <c r="O715" s="44" t="n">
        <v>87705</v>
      </c>
      <c r="P715" s="44" t="n">
        <v>7893445</v>
      </c>
      <c r="Q715" t="inlineStr">
        <is>
          <t>KRW</t>
        </is>
      </c>
      <c r="R715" t="inlineStr">
        <is>
          <t>INV2603-00714</t>
        </is>
      </c>
      <c r="S715" t="inlineStr">
        <is>
          <t>※예시데이터</t>
        </is>
      </c>
    </row>
    <row r="716">
      <c r="A716" t="n">
        <v>1000</v>
      </c>
      <c r="B716" t="inlineStr">
        <is>
          <t>EP사업부</t>
        </is>
      </c>
      <c r="C716" t="inlineStr">
        <is>
          <t>해외영업팀</t>
        </is>
      </c>
      <c r="D716" t="inlineStr">
        <is>
          <t>C10148</t>
        </is>
      </c>
      <c r="E716" t="inlineStr">
        <is>
          <t>Hanoi Molding (VN)</t>
        </is>
      </c>
      <c r="F716" t="inlineStr">
        <is>
          <t>ABS</t>
        </is>
      </c>
      <c r="G716" t="inlineStr">
        <is>
          <t>M-2101</t>
        </is>
      </c>
      <c r="H716" t="inlineStr">
        <is>
          <t>ABS 범용 G300</t>
        </is>
      </c>
      <c r="I716" s="43" t="n">
        <v>46108</v>
      </c>
      <c r="J716" t="n">
        <v>202603</v>
      </c>
      <c r="K716" s="44" t="n">
        <v>4850</v>
      </c>
      <c r="L716" t="inlineStr">
        <is>
          <t>KG</t>
        </is>
      </c>
      <c r="M716" s="44" t="n">
        <v>13377918</v>
      </c>
      <c r="N716" s="44" t="n">
        <v>1337792</v>
      </c>
      <c r="O716" t="n">
        <v>0</v>
      </c>
      <c r="P716" s="44" t="n">
        <v>12040126</v>
      </c>
      <c r="Q716" t="inlineStr">
        <is>
          <t>KRW</t>
        </is>
      </c>
      <c r="R716" t="inlineStr">
        <is>
          <t>INV2603-00715</t>
        </is>
      </c>
      <c r="S716" t="inlineStr">
        <is>
          <t>※예시데이터</t>
        </is>
      </c>
    </row>
    <row r="717">
      <c r="A717" t="n">
        <v>1000</v>
      </c>
      <c r="B717" t="inlineStr">
        <is>
          <t>EP사업부</t>
        </is>
      </c>
      <c r="C717" t="inlineStr">
        <is>
          <t>국내영업1팀</t>
        </is>
      </c>
      <c r="D717" t="inlineStr">
        <is>
          <t>C10057</t>
        </is>
      </c>
      <c r="E717" t="inlineStr">
        <is>
          <t>자연엠텍</t>
        </is>
      </c>
      <c r="F717" t="inlineStr">
        <is>
          <t>ABS</t>
        </is>
      </c>
      <c r="G717" t="inlineStr">
        <is>
          <t>M-2101</t>
        </is>
      </c>
      <c r="H717" t="inlineStr">
        <is>
          <t>ABS 범용 G300</t>
        </is>
      </c>
      <c r="I717" s="43" t="n">
        <v>46109</v>
      </c>
      <c r="J717" t="n">
        <v>202603</v>
      </c>
      <c r="K717" s="44" t="n">
        <v>2975</v>
      </c>
      <c r="L717" t="inlineStr">
        <is>
          <t>KG</t>
        </is>
      </c>
      <c r="M717" s="44" t="n">
        <v>8206042</v>
      </c>
      <c r="N717" s="44" t="n">
        <v>287211</v>
      </c>
      <c r="O717" t="n">
        <v>0</v>
      </c>
      <c r="P717" s="44" t="n">
        <v>7918831</v>
      </c>
      <c r="Q717" t="inlineStr">
        <is>
          <t>KRW</t>
        </is>
      </c>
      <c r="R717" t="inlineStr">
        <is>
          <t>INV2603-00716</t>
        </is>
      </c>
      <c r="S717" t="inlineStr">
        <is>
          <t>※예시데이터</t>
        </is>
      </c>
    </row>
    <row r="718">
      <c r="A718" t="n">
        <v>1000</v>
      </c>
      <c r="B718" t="inlineStr">
        <is>
          <t>EP사업부</t>
        </is>
      </c>
      <c r="C718" t="inlineStr">
        <is>
          <t>국내영업2팀</t>
        </is>
      </c>
      <c r="D718" t="inlineStr">
        <is>
          <t>C10099</t>
        </is>
      </c>
      <c r="E718" t="inlineStr">
        <is>
          <t>한울몰드</t>
        </is>
      </c>
      <c r="F718" t="inlineStr">
        <is>
          <t>ABS</t>
        </is>
      </c>
      <c r="G718" t="inlineStr">
        <is>
          <t>M-2102</t>
        </is>
      </c>
      <c r="H718" t="inlineStr">
        <is>
          <t>ABS 내열 HR500</t>
        </is>
      </c>
      <c r="I718" s="43" t="n">
        <v>46109</v>
      </c>
      <c r="J718" t="n">
        <v>202603</v>
      </c>
      <c r="K718" s="44" t="n">
        <v>4275</v>
      </c>
      <c r="L718" t="inlineStr">
        <is>
          <t>KG</t>
        </is>
      </c>
      <c r="M718" s="44" t="n">
        <v>13260298</v>
      </c>
      <c r="N718" s="44" t="n">
        <v>861919</v>
      </c>
      <c r="O718" t="n">
        <v>0</v>
      </c>
      <c r="P718" s="44" t="n">
        <v>12398379</v>
      </c>
      <c r="Q718" t="inlineStr">
        <is>
          <t>KRW</t>
        </is>
      </c>
      <c r="R718" t="inlineStr">
        <is>
          <t>INV2603-00717</t>
        </is>
      </c>
      <c r="S718" t="inlineStr">
        <is>
          <t>※예시데이터</t>
        </is>
      </c>
    </row>
    <row r="719">
      <c r="A719" t="n">
        <v>1000</v>
      </c>
      <c r="B719" t="inlineStr">
        <is>
          <t>EP사업부</t>
        </is>
      </c>
      <c r="C719" t="inlineStr">
        <is>
          <t>국내영업2팀</t>
        </is>
      </c>
      <c r="D719" t="inlineStr">
        <is>
          <t>C10022</t>
        </is>
      </c>
      <c r="E719" t="inlineStr">
        <is>
          <t>라온테크(주)</t>
        </is>
      </c>
      <c r="F719" t="inlineStr">
        <is>
          <t>ABS</t>
        </is>
      </c>
      <c r="G719" t="inlineStr">
        <is>
          <t>M-2101</t>
        </is>
      </c>
      <c r="H719" t="inlineStr">
        <is>
          <t>ABS 범용 G300</t>
        </is>
      </c>
      <c r="I719" s="43" t="n">
        <v>46113</v>
      </c>
      <c r="J719" t="n">
        <v>202604</v>
      </c>
      <c r="K719" s="44" t="n">
        <v>4300</v>
      </c>
      <c r="L719" t="inlineStr">
        <is>
          <t>KG</t>
        </is>
      </c>
      <c r="M719" s="44" t="n">
        <v>11796988</v>
      </c>
      <c r="N719" s="44" t="n">
        <v>1297669</v>
      </c>
      <c r="O719" t="n">
        <v>0</v>
      </c>
      <c r="P719" s="44" t="n">
        <v>10499319</v>
      </c>
      <c r="Q719" t="inlineStr">
        <is>
          <t>KRW</t>
        </is>
      </c>
      <c r="R719" t="inlineStr">
        <is>
          <t>INV2604-00718</t>
        </is>
      </c>
      <c r="S719" t="inlineStr">
        <is>
          <t>※예시데이터</t>
        </is>
      </c>
    </row>
    <row r="720">
      <c r="A720" t="n">
        <v>1000</v>
      </c>
      <c r="B720" t="inlineStr">
        <is>
          <t>EP사업부</t>
        </is>
      </c>
      <c r="C720" t="inlineStr">
        <is>
          <t>국내영업2팀</t>
        </is>
      </c>
      <c r="D720" t="inlineStr">
        <is>
          <t>C10022</t>
        </is>
      </c>
      <c r="E720" t="inlineStr">
        <is>
          <t>라온테크(주)</t>
        </is>
      </c>
      <c r="F720" t="inlineStr">
        <is>
          <t>ABS</t>
        </is>
      </c>
      <c r="G720" t="inlineStr">
        <is>
          <t>M-2102</t>
        </is>
      </c>
      <c r="H720" t="inlineStr">
        <is>
          <t>ABS 내열 HR500</t>
        </is>
      </c>
      <c r="I720" s="43" t="n">
        <v>46113</v>
      </c>
      <c r="J720" t="n">
        <v>202604</v>
      </c>
      <c r="K720" s="44" t="n">
        <v>3200</v>
      </c>
      <c r="L720" t="inlineStr">
        <is>
          <t>KG</t>
        </is>
      </c>
      <c r="M720" s="44" t="n">
        <v>9872407</v>
      </c>
      <c r="N720" s="44" t="n">
        <v>1085965</v>
      </c>
      <c r="O720" t="n">
        <v>0</v>
      </c>
      <c r="P720" s="44" t="n">
        <v>8786442</v>
      </c>
      <c r="Q720" t="inlineStr">
        <is>
          <t>KRW</t>
        </is>
      </c>
      <c r="R720" t="inlineStr">
        <is>
          <t>INV2604-00719</t>
        </is>
      </c>
      <c r="S720" t="inlineStr">
        <is>
          <t>※예시데이터</t>
        </is>
      </c>
    </row>
    <row r="721">
      <c r="A721" t="n">
        <v>1000</v>
      </c>
      <c r="B721" t="inlineStr">
        <is>
          <t>범용수지사업부</t>
        </is>
      </c>
      <c r="C721" t="inlineStr">
        <is>
          <t>해외영업팀</t>
        </is>
      </c>
      <c r="D721" t="inlineStr">
        <is>
          <t>C10071</t>
        </is>
      </c>
      <c r="E721" t="inlineStr">
        <is>
          <t>큰별코리아</t>
        </is>
      </c>
      <c r="F721" t="inlineStr">
        <is>
          <t>PE</t>
        </is>
      </c>
      <c r="G721" t="inlineStr">
        <is>
          <t>M-1201</t>
        </is>
      </c>
      <c r="H721" t="inlineStr">
        <is>
          <t>HDPE 블로우 B500</t>
        </is>
      </c>
      <c r="I721" s="43" t="n">
        <v>46113</v>
      </c>
      <c r="J721" t="n">
        <v>202604</v>
      </c>
      <c r="K721" s="44" t="n">
        <v>13125</v>
      </c>
      <c r="L721" t="inlineStr">
        <is>
          <t>KG</t>
        </is>
      </c>
      <c r="M721" s="44" t="n">
        <v>20333685</v>
      </c>
      <c r="N721" s="44" t="n">
        <v>2541711</v>
      </c>
      <c r="O721" s="44" t="n">
        <v>406674</v>
      </c>
      <c r="P721" s="44" t="n">
        <v>17385300</v>
      </c>
      <c r="Q721" t="inlineStr">
        <is>
          <t>KRW</t>
        </is>
      </c>
      <c r="R721" t="inlineStr">
        <is>
          <t>INV2604-00720</t>
        </is>
      </c>
      <c r="S721" t="inlineStr">
        <is>
          <t>※예시데이터</t>
        </is>
      </c>
    </row>
    <row r="722">
      <c r="A722" t="n">
        <v>1000</v>
      </c>
      <c r="B722" t="inlineStr">
        <is>
          <t>EP사업부</t>
        </is>
      </c>
      <c r="C722" t="inlineStr">
        <is>
          <t>국내영업2팀</t>
        </is>
      </c>
      <c r="D722" t="inlineStr">
        <is>
          <t>C10015</t>
        </is>
      </c>
      <c r="E722" t="inlineStr">
        <is>
          <t>다솜케미칼</t>
        </is>
      </c>
      <c r="F722" t="inlineStr">
        <is>
          <t>PC</t>
        </is>
      </c>
      <c r="G722" t="inlineStr">
        <is>
          <t>M-2201</t>
        </is>
      </c>
      <c r="H722" t="inlineStr">
        <is>
          <t>PC 일반 C100</t>
        </is>
      </c>
      <c r="I722" s="43" t="n">
        <v>46114</v>
      </c>
      <c r="J722" t="n">
        <v>202604</v>
      </c>
      <c r="K722" s="44" t="n">
        <v>3400</v>
      </c>
      <c r="L722" t="inlineStr">
        <is>
          <t>KG</t>
        </is>
      </c>
      <c r="M722" s="44" t="n">
        <v>13463785</v>
      </c>
      <c r="N722" s="44" t="n">
        <v>673189</v>
      </c>
      <c r="O722" t="n">
        <v>0</v>
      </c>
      <c r="P722" s="44" t="n">
        <v>12790596</v>
      </c>
      <c r="Q722" t="inlineStr">
        <is>
          <t>KRW</t>
        </is>
      </c>
      <c r="R722" t="inlineStr">
        <is>
          <t>INV2604-00721</t>
        </is>
      </c>
      <c r="S722" t="inlineStr">
        <is>
          <t>※예시데이터</t>
        </is>
      </c>
    </row>
    <row r="723">
      <c r="A723" t="n">
        <v>1000</v>
      </c>
      <c r="B723" t="inlineStr">
        <is>
          <t>EP사업부</t>
        </is>
      </c>
      <c r="C723" t="inlineStr">
        <is>
          <t>국내영업1팀</t>
        </is>
      </c>
      <c r="D723" t="inlineStr">
        <is>
          <t>C10120</t>
        </is>
      </c>
      <c r="E723" t="inlineStr">
        <is>
          <t>든솔케이스</t>
        </is>
      </c>
      <c r="F723" t="inlineStr">
        <is>
          <t>ABS</t>
        </is>
      </c>
      <c r="G723" t="inlineStr">
        <is>
          <t>M-2101</t>
        </is>
      </c>
      <c r="H723" t="inlineStr">
        <is>
          <t>ABS 범용 G300</t>
        </is>
      </c>
      <c r="I723" s="43" t="n">
        <v>46114</v>
      </c>
      <c r="J723" t="n">
        <v>202604</v>
      </c>
      <c r="K723" s="44" t="n">
        <v>4700</v>
      </c>
      <c r="L723" t="inlineStr">
        <is>
          <t>KG</t>
        </is>
      </c>
      <c r="M723" s="44" t="n">
        <v>12894382</v>
      </c>
      <c r="N723" s="44" t="n">
        <v>515775</v>
      </c>
      <c r="O723" t="n">
        <v>0</v>
      </c>
      <c r="P723" s="44" t="n">
        <v>12378607</v>
      </c>
      <c r="Q723" t="inlineStr">
        <is>
          <t>KRW</t>
        </is>
      </c>
      <c r="R723" t="inlineStr">
        <is>
          <t>INV2604-00722</t>
        </is>
      </c>
      <c r="S723" t="inlineStr">
        <is>
          <t>※예시데이터</t>
        </is>
      </c>
    </row>
    <row r="724">
      <c r="A724" t="n">
        <v>1000</v>
      </c>
      <c r="B724" t="inlineStr">
        <is>
          <t>범용수지사업부</t>
        </is>
      </c>
      <c r="C724" t="inlineStr">
        <is>
          <t>국내영업1팀</t>
        </is>
      </c>
      <c r="D724" t="inlineStr">
        <is>
          <t>C10001</t>
        </is>
      </c>
      <c r="E724" t="inlineStr">
        <is>
          <t>가온소재(주)</t>
        </is>
      </c>
      <c r="F724" t="inlineStr">
        <is>
          <t>PP</t>
        </is>
      </c>
      <c r="G724" t="inlineStr">
        <is>
          <t>M-1103</t>
        </is>
      </c>
      <c r="H724" t="inlineStr">
        <is>
          <t>PP 투명 R330</t>
        </is>
      </c>
      <c r="I724" s="43" t="n">
        <v>46115</v>
      </c>
      <c r="J724" t="n">
        <v>202604</v>
      </c>
      <c r="K724" s="44" t="n">
        <v>4150</v>
      </c>
      <c r="L724" t="inlineStr">
        <is>
          <t>KG</t>
        </is>
      </c>
      <c r="M724" s="44" t="n">
        <v>8254875</v>
      </c>
      <c r="N724" s="44" t="n">
        <v>412744</v>
      </c>
      <c r="O724" t="n">
        <v>0</v>
      </c>
      <c r="P724" s="44" t="n">
        <v>7842131</v>
      </c>
      <c r="Q724" t="inlineStr">
        <is>
          <t>KRW</t>
        </is>
      </c>
      <c r="R724" t="inlineStr">
        <is>
          <t>INV2604-00723</t>
        </is>
      </c>
      <c r="S724" t="inlineStr">
        <is>
          <t>※예시데이터</t>
        </is>
      </c>
    </row>
    <row r="725">
      <c r="A725" t="n">
        <v>1000</v>
      </c>
      <c r="B725" t="inlineStr">
        <is>
          <t>범용수지사업부</t>
        </is>
      </c>
      <c r="C725" t="inlineStr">
        <is>
          <t>국내영업2팀</t>
        </is>
      </c>
      <c r="D725" t="inlineStr">
        <is>
          <t>C10036</t>
        </is>
      </c>
      <c r="E725" t="inlineStr">
        <is>
          <t>바른물산</t>
        </is>
      </c>
      <c r="F725" t="inlineStr">
        <is>
          <t>PE</t>
        </is>
      </c>
      <c r="G725" t="inlineStr">
        <is>
          <t>M-1201</t>
        </is>
      </c>
      <c r="H725" t="inlineStr">
        <is>
          <t>HDPE 블로우 B500</t>
        </is>
      </c>
      <c r="I725" s="43" t="n">
        <v>46115</v>
      </c>
      <c r="J725" t="n">
        <v>202604</v>
      </c>
      <c r="K725" s="44" t="n">
        <v>6475</v>
      </c>
      <c r="L725" t="inlineStr">
        <is>
          <t>KG</t>
        </is>
      </c>
      <c r="M725" s="44" t="n">
        <v>10031285</v>
      </c>
      <c r="N725" s="44" t="n">
        <v>1003128</v>
      </c>
      <c r="O725" s="44" t="n">
        <v>200626</v>
      </c>
      <c r="P725" s="44" t="n">
        <v>8827531</v>
      </c>
      <c r="Q725" t="inlineStr">
        <is>
          <t>KRW</t>
        </is>
      </c>
      <c r="R725" t="inlineStr">
        <is>
          <t>INV2604-00724</t>
        </is>
      </c>
      <c r="S725" t="inlineStr">
        <is>
          <t>※예시데이터</t>
        </is>
      </c>
    </row>
    <row r="726">
      <c r="A726" t="n">
        <v>1000</v>
      </c>
      <c r="B726" t="inlineStr">
        <is>
          <t>EP사업부</t>
        </is>
      </c>
      <c r="C726" t="inlineStr">
        <is>
          <t>국내영업1팀</t>
        </is>
      </c>
      <c r="D726" t="inlineStr">
        <is>
          <t>C10043</t>
        </is>
      </c>
      <c r="E726" t="inlineStr">
        <is>
          <t>새봄플라스틱</t>
        </is>
      </c>
      <c r="F726" t="inlineStr">
        <is>
          <t>ABS</t>
        </is>
      </c>
      <c r="G726" t="inlineStr">
        <is>
          <t>M-2101</t>
        </is>
      </c>
      <c r="H726" t="inlineStr">
        <is>
          <t>ABS 범용 G300</t>
        </is>
      </c>
      <c r="I726" s="43" t="n">
        <v>46115</v>
      </c>
      <c r="J726" t="n">
        <v>202604</v>
      </c>
      <c r="K726" s="44" t="n">
        <v>9050</v>
      </c>
      <c r="L726" t="inlineStr">
        <is>
          <t>KG</t>
        </is>
      </c>
      <c r="M726" s="44" t="n">
        <v>24828544</v>
      </c>
      <c r="N726" s="44" t="n">
        <v>1489713</v>
      </c>
      <c r="O726" t="n">
        <v>0</v>
      </c>
      <c r="P726" s="44" t="n">
        <v>23338831</v>
      </c>
      <c r="Q726" t="inlineStr">
        <is>
          <t>KRW</t>
        </is>
      </c>
      <c r="R726" t="inlineStr">
        <is>
          <t>INV2604-00725</t>
        </is>
      </c>
      <c r="S726" t="inlineStr">
        <is>
          <t>※예시데이터</t>
        </is>
      </c>
    </row>
    <row r="727">
      <c r="A727" t="n">
        <v>1000</v>
      </c>
      <c r="B727" t="inlineStr">
        <is>
          <t>범용수지사업부</t>
        </is>
      </c>
      <c r="C727" t="inlineStr">
        <is>
          <t>국내영업2팀</t>
        </is>
      </c>
      <c r="D727" t="inlineStr">
        <is>
          <t>C10099</t>
        </is>
      </c>
      <c r="E727" t="inlineStr">
        <is>
          <t>한울몰드</t>
        </is>
      </c>
      <c r="F727" t="inlineStr">
        <is>
          <t>PP</t>
        </is>
      </c>
      <c r="G727" t="inlineStr">
        <is>
          <t>M-1101</t>
        </is>
      </c>
      <c r="H727" t="inlineStr">
        <is>
          <t>PP 범용사출 H110</t>
        </is>
      </c>
      <c r="I727" s="43" t="n">
        <v>46115</v>
      </c>
      <c r="J727" t="n">
        <v>202604</v>
      </c>
      <c r="K727" s="44" t="n">
        <v>2850</v>
      </c>
      <c r="L727" t="inlineStr">
        <is>
          <t>KG</t>
        </is>
      </c>
      <c r="M727" s="44" t="n">
        <v>4821581</v>
      </c>
      <c r="N727" s="44" t="n">
        <v>313403</v>
      </c>
      <c r="O727" t="n">
        <v>0</v>
      </c>
      <c r="P727" s="44" t="n">
        <v>4508178</v>
      </c>
      <c r="Q727" t="inlineStr">
        <is>
          <t>KRW</t>
        </is>
      </c>
      <c r="R727" t="inlineStr">
        <is>
          <t>INV2604-00726</t>
        </is>
      </c>
      <c r="S727" t="inlineStr">
        <is>
          <t>※예시데이터</t>
        </is>
      </c>
    </row>
    <row r="728">
      <c r="A728" t="n">
        <v>1000</v>
      </c>
      <c r="B728" t="inlineStr">
        <is>
          <t>EP사업부</t>
        </is>
      </c>
      <c r="C728" t="inlineStr">
        <is>
          <t>국내영업2팀</t>
        </is>
      </c>
      <c r="D728" t="inlineStr">
        <is>
          <t>C10113</t>
        </is>
      </c>
      <c r="E728" t="inlineStr">
        <is>
          <t>누리오토파츠</t>
        </is>
      </c>
      <c r="F728" t="inlineStr">
        <is>
          <t>ABS</t>
        </is>
      </c>
      <c r="G728" t="inlineStr">
        <is>
          <t>M-2101</t>
        </is>
      </c>
      <c r="H728" t="inlineStr">
        <is>
          <t>ABS 범용 G300</t>
        </is>
      </c>
      <c r="I728" s="43" t="n">
        <v>46116</v>
      </c>
      <c r="J728" t="n">
        <v>202604</v>
      </c>
      <c r="K728" s="44" t="n">
        <v>2825</v>
      </c>
      <c r="L728" t="inlineStr">
        <is>
          <t>KG</t>
        </is>
      </c>
      <c r="M728" s="44" t="n">
        <v>7750347</v>
      </c>
      <c r="N728" s="44" t="n">
        <v>697531</v>
      </c>
      <c r="O728" s="44" t="n">
        <v>77503</v>
      </c>
      <c r="P728" s="44" t="n">
        <v>6975313</v>
      </c>
      <c r="Q728" t="inlineStr">
        <is>
          <t>KRW</t>
        </is>
      </c>
      <c r="R728" t="inlineStr">
        <is>
          <t>INV2604-00727</t>
        </is>
      </c>
      <c r="S728" t="inlineStr">
        <is>
          <t>※예시데이터</t>
        </is>
      </c>
    </row>
    <row r="729">
      <c r="A729" t="n">
        <v>1000</v>
      </c>
      <c r="B729" t="inlineStr">
        <is>
          <t>범용수지사업부</t>
        </is>
      </c>
      <c r="C729" t="inlineStr">
        <is>
          <t>국내영업2팀</t>
        </is>
      </c>
      <c r="D729" t="inlineStr">
        <is>
          <t>C10127</t>
        </is>
      </c>
      <c r="E729" t="inlineStr">
        <is>
          <t>미르패키징</t>
        </is>
      </c>
      <c r="F729" t="inlineStr">
        <is>
          <t>PE</t>
        </is>
      </c>
      <c r="G729" t="inlineStr">
        <is>
          <t>M-1202</t>
        </is>
      </c>
      <c r="H729" t="inlineStr">
        <is>
          <t>LLDPE 필름 F120</t>
        </is>
      </c>
      <c r="I729" s="43" t="n">
        <v>46116</v>
      </c>
      <c r="J729" t="n">
        <v>202604</v>
      </c>
      <c r="K729" s="44" t="n">
        <v>2450</v>
      </c>
      <c r="L729" t="inlineStr">
        <is>
          <t>KG</t>
        </is>
      </c>
      <c r="M729" s="44" t="n">
        <v>4107919</v>
      </c>
      <c r="N729" s="44" t="n">
        <v>349173</v>
      </c>
      <c r="O729" t="n">
        <v>0</v>
      </c>
      <c r="P729" s="44" t="n">
        <v>3758746</v>
      </c>
      <c r="Q729" t="inlineStr">
        <is>
          <t>KRW</t>
        </is>
      </c>
      <c r="R729" t="inlineStr">
        <is>
          <t>INV2604-00728</t>
        </is>
      </c>
      <c r="S729" t="inlineStr">
        <is>
          <t>※예시데이터</t>
        </is>
      </c>
    </row>
    <row r="730">
      <c r="A730" t="n">
        <v>1000</v>
      </c>
      <c r="B730" t="inlineStr">
        <is>
          <t>범용수지사업부</t>
        </is>
      </c>
      <c r="C730" t="inlineStr">
        <is>
          <t>국내영업2팀</t>
        </is>
      </c>
      <c r="D730" t="inlineStr">
        <is>
          <t>C10050</t>
        </is>
      </c>
      <c r="E730" t="inlineStr">
        <is>
          <t>아름화학(주)</t>
        </is>
      </c>
      <c r="F730" t="inlineStr">
        <is>
          <t>PE</t>
        </is>
      </c>
      <c r="G730" t="inlineStr">
        <is>
          <t>M-1201</t>
        </is>
      </c>
      <c r="H730" t="inlineStr">
        <is>
          <t>HDPE 블로우 B500</t>
        </is>
      </c>
      <c r="I730" s="43" t="n">
        <v>46118</v>
      </c>
      <c r="J730" t="n">
        <v>202604</v>
      </c>
      <c r="K730" s="44" t="n">
        <v>16700</v>
      </c>
      <c r="L730" t="inlineStr">
        <is>
          <t>KG</t>
        </is>
      </c>
      <c r="M730" s="44" t="n">
        <v>25872193</v>
      </c>
      <c r="N730" s="44" t="n">
        <v>2716580</v>
      </c>
      <c r="O730" s="44" t="n">
        <v>258722</v>
      </c>
      <c r="P730" s="44" t="n">
        <v>22896891</v>
      </c>
      <c r="Q730" t="inlineStr">
        <is>
          <t>KRW</t>
        </is>
      </c>
      <c r="R730" t="inlineStr">
        <is>
          <t>INV2604-00729</t>
        </is>
      </c>
      <c r="S730" t="inlineStr">
        <is>
          <t>※예시데이터</t>
        </is>
      </c>
    </row>
    <row r="731">
      <c r="A731" t="n">
        <v>1000</v>
      </c>
      <c r="B731" t="inlineStr">
        <is>
          <t>범용수지사업부</t>
        </is>
      </c>
      <c r="C731" t="inlineStr">
        <is>
          <t>해외영업팀</t>
        </is>
      </c>
      <c r="D731" t="inlineStr">
        <is>
          <t>C10141</t>
        </is>
      </c>
      <c r="E731" t="inlineStr">
        <is>
          <t>Sinar Plastik (ID)</t>
        </is>
      </c>
      <c r="F731" t="inlineStr">
        <is>
          <t>PP</t>
        </is>
      </c>
      <c r="G731" t="inlineStr">
        <is>
          <t>M-1102</t>
        </is>
      </c>
      <c r="H731" t="inlineStr">
        <is>
          <t>PP 고강성 H220</t>
        </is>
      </c>
      <c r="I731" s="43" t="n">
        <v>46118</v>
      </c>
      <c r="J731" t="n">
        <v>202604</v>
      </c>
      <c r="K731" s="44" t="n">
        <v>8950</v>
      </c>
      <c r="L731" t="inlineStr">
        <is>
          <t>KG</t>
        </is>
      </c>
      <c r="M731" s="44" t="n">
        <v>16701486</v>
      </c>
      <c r="N731" s="44" t="n">
        <v>2338208</v>
      </c>
      <c r="O731" t="n">
        <v>0</v>
      </c>
      <c r="P731" s="44" t="n">
        <v>14363278</v>
      </c>
      <c r="Q731" t="inlineStr">
        <is>
          <t>KRW</t>
        </is>
      </c>
      <c r="R731" t="inlineStr">
        <is>
          <t>INV2604-00730</t>
        </is>
      </c>
      <c r="S731" t="inlineStr">
        <is>
          <t>※예시데이터</t>
        </is>
      </c>
    </row>
    <row r="732">
      <c r="A732" t="n">
        <v>1000</v>
      </c>
      <c r="B732" t="inlineStr">
        <is>
          <t>범용수지사업부</t>
        </is>
      </c>
      <c r="C732" t="inlineStr">
        <is>
          <t>국내영업1팀</t>
        </is>
      </c>
      <c r="D732" t="inlineStr">
        <is>
          <t>C10092</t>
        </is>
      </c>
      <c r="E732" t="inlineStr">
        <is>
          <t>하늘포장(주)</t>
        </is>
      </c>
      <c r="F732" t="inlineStr">
        <is>
          <t>PE</t>
        </is>
      </c>
      <c r="G732" t="inlineStr">
        <is>
          <t>M-1201</t>
        </is>
      </c>
      <c r="H732" t="inlineStr">
        <is>
          <t>HDPE 블로우 B500</t>
        </is>
      </c>
      <c r="I732" s="43" t="n">
        <v>46119</v>
      </c>
      <c r="J732" t="n">
        <v>202604</v>
      </c>
      <c r="K732" s="44" t="n">
        <v>14725</v>
      </c>
      <c r="L732" t="inlineStr">
        <is>
          <t>KG</t>
        </is>
      </c>
      <c r="M732" s="44" t="n">
        <v>22812458</v>
      </c>
      <c r="N732" s="44" t="n">
        <v>1596872</v>
      </c>
      <c r="O732" t="n">
        <v>0</v>
      </c>
      <c r="P732" s="44" t="n">
        <v>21215586</v>
      </c>
      <c r="Q732" t="inlineStr">
        <is>
          <t>KRW</t>
        </is>
      </c>
      <c r="R732" t="inlineStr">
        <is>
          <t>INV2604-00731</t>
        </is>
      </c>
      <c r="S732" t="inlineStr">
        <is>
          <t>※예시데이터</t>
        </is>
      </c>
    </row>
    <row r="733">
      <c r="A733" t="n">
        <v>1000</v>
      </c>
      <c r="B733" t="inlineStr">
        <is>
          <t>범용수지사업부</t>
        </is>
      </c>
      <c r="C733" t="inlineStr">
        <is>
          <t>국내영업1팀</t>
        </is>
      </c>
      <c r="D733" t="inlineStr">
        <is>
          <t>C10001</t>
        </is>
      </c>
      <c r="E733" t="inlineStr">
        <is>
          <t>가온소재(주)</t>
        </is>
      </c>
      <c r="F733" t="inlineStr">
        <is>
          <t>PP</t>
        </is>
      </c>
      <c r="G733" t="inlineStr">
        <is>
          <t>M-1102</t>
        </is>
      </c>
      <c r="H733" t="inlineStr">
        <is>
          <t>PP 고강성 H220</t>
        </is>
      </c>
      <c r="I733" s="43" t="n">
        <v>46121</v>
      </c>
      <c r="J733" t="n">
        <v>202604</v>
      </c>
      <c r="K733" s="44" t="n">
        <v>2625</v>
      </c>
      <c r="L733" t="inlineStr">
        <is>
          <t>KG</t>
        </is>
      </c>
      <c r="M733" s="44" t="n">
        <v>4898480</v>
      </c>
      <c r="N733" s="44" t="n">
        <v>244924</v>
      </c>
      <c r="O733" t="n">
        <v>0</v>
      </c>
      <c r="P733" s="44" t="n">
        <v>4653556</v>
      </c>
      <c r="Q733" t="inlineStr">
        <is>
          <t>KRW</t>
        </is>
      </c>
      <c r="R733" t="inlineStr">
        <is>
          <t>INV2604-00732</t>
        </is>
      </c>
      <c r="S733" t="inlineStr">
        <is>
          <t>※예시데이터</t>
        </is>
      </c>
    </row>
    <row r="734">
      <c r="A734" t="n">
        <v>1000</v>
      </c>
      <c r="B734" t="inlineStr">
        <is>
          <t>EP사업부</t>
        </is>
      </c>
      <c r="C734" t="inlineStr">
        <is>
          <t>국내영업2팀</t>
        </is>
      </c>
      <c r="D734" t="inlineStr">
        <is>
          <t>C10113</t>
        </is>
      </c>
      <c r="E734" t="inlineStr">
        <is>
          <t>누리오토파츠</t>
        </is>
      </c>
      <c r="F734" t="inlineStr">
        <is>
          <t>ABS</t>
        </is>
      </c>
      <c r="G734" t="inlineStr">
        <is>
          <t>M-2102</t>
        </is>
      </c>
      <c r="H734" t="inlineStr">
        <is>
          <t>ABS 내열 HR500</t>
        </is>
      </c>
      <c r="I734" s="43" t="n">
        <v>46121</v>
      </c>
      <c r="J734" t="n">
        <v>202604</v>
      </c>
      <c r="K734" t="n">
        <v>-925</v>
      </c>
      <c r="L734" t="inlineStr">
        <is>
          <t>KG</t>
        </is>
      </c>
      <c r="M734" s="44" t="n">
        <v>-2869187</v>
      </c>
      <c r="N734" s="44" t="n">
        <v>-258227</v>
      </c>
      <c r="O734" s="44" t="n">
        <v>-28692</v>
      </c>
      <c r="P734" s="44" t="n">
        <v>-2582268</v>
      </c>
      <c r="Q734" t="inlineStr">
        <is>
          <t>KRW</t>
        </is>
      </c>
      <c r="R734" t="inlineStr">
        <is>
          <t>INV2604-00733</t>
        </is>
      </c>
      <c r="S734" t="inlineStr">
        <is>
          <t>※예시데이터</t>
        </is>
      </c>
    </row>
    <row r="735">
      <c r="A735" t="n">
        <v>1000</v>
      </c>
      <c r="B735" t="inlineStr">
        <is>
          <t>EP사업부</t>
        </is>
      </c>
      <c r="C735" t="inlineStr">
        <is>
          <t>국내영업2팀</t>
        </is>
      </c>
      <c r="D735" t="inlineStr">
        <is>
          <t>C10015</t>
        </is>
      </c>
      <c r="E735" t="inlineStr">
        <is>
          <t>다솜케미칼</t>
        </is>
      </c>
      <c r="F735" t="inlineStr">
        <is>
          <t>ABS</t>
        </is>
      </c>
      <c r="G735" t="inlineStr">
        <is>
          <t>M-2101</t>
        </is>
      </c>
      <c r="H735" t="inlineStr">
        <is>
          <t>ABS 범용 G300</t>
        </is>
      </c>
      <c r="I735" s="43" t="n">
        <v>46122</v>
      </c>
      <c r="J735" t="n">
        <v>202604</v>
      </c>
      <c r="K735" s="44" t="n">
        <v>1500</v>
      </c>
      <c r="L735" t="inlineStr">
        <is>
          <t>KG</t>
        </is>
      </c>
      <c r="M735" s="44" t="n">
        <v>4115228</v>
      </c>
      <c r="N735" s="44" t="n">
        <v>205761</v>
      </c>
      <c r="O735" t="n">
        <v>0</v>
      </c>
      <c r="P735" s="44" t="n">
        <v>3909467</v>
      </c>
      <c r="Q735" t="inlineStr">
        <is>
          <t>KRW</t>
        </is>
      </c>
      <c r="R735" t="inlineStr">
        <is>
          <t>INV2604-00734</t>
        </is>
      </c>
      <c r="S735" t="inlineStr">
        <is>
          <t>※예시데이터</t>
        </is>
      </c>
    </row>
    <row r="736">
      <c r="A736" t="n">
        <v>1000</v>
      </c>
      <c r="B736" t="inlineStr">
        <is>
          <t>범용수지사업부</t>
        </is>
      </c>
      <c r="C736" t="inlineStr">
        <is>
          <t>국내영업1팀</t>
        </is>
      </c>
      <c r="D736" t="inlineStr">
        <is>
          <t>C10001</t>
        </is>
      </c>
      <c r="E736" t="inlineStr">
        <is>
          <t>가온소재(주)</t>
        </is>
      </c>
      <c r="F736" t="inlineStr">
        <is>
          <t>PE</t>
        </is>
      </c>
      <c r="G736" t="inlineStr">
        <is>
          <t>M-1202</t>
        </is>
      </c>
      <c r="H736" t="inlineStr">
        <is>
          <t>LLDPE 필름 F120</t>
        </is>
      </c>
      <c r="I736" s="43" t="n">
        <v>46123</v>
      </c>
      <c r="J736" t="n">
        <v>202604</v>
      </c>
      <c r="K736" s="44" t="n">
        <v>7200</v>
      </c>
      <c r="L736" t="inlineStr">
        <is>
          <t>KG</t>
        </is>
      </c>
      <c r="M736" s="44" t="n">
        <v>12072252</v>
      </c>
      <c r="N736" s="44" t="n">
        <v>603613</v>
      </c>
      <c r="O736" t="n">
        <v>0</v>
      </c>
      <c r="P736" s="44" t="n">
        <v>11468639</v>
      </c>
      <c r="Q736" t="inlineStr">
        <is>
          <t>KRW</t>
        </is>
      </c>
      <c r="R736" t="inlineStr">
        <is>
          <t>INV2604-00735</t>
        </is>
      </c>
      <c r="S736" t="inlineStr">
        <is>
          <t>※예시데이터</t>
        </is>
      </c>
    </row>
    <row r="737">
      <c r="A737" t="n">
        <v>1000</v>
      </c>
      <c r="B737" t="inlineStr">
        <is>
          <t>EP사업부</t>
        </is>
      </c>
      <c r="C737" t="inlineStr">
        <is>
          <t>국내영업2팀</t>
        </is>
      </c>
      <c r="D737" t="inlineStr">
        <is>
          <t>C10022</t>
        </is>
      </c>
      <c r="E737" t="inlineStr">
        <is>
          <t>라온테크(주)</t>
        </is>
      </c>
      <c r="F737" t="inlineStr">
        <is>
          <t>ABS</t>
        </is>
      </c>
      <c r="G737" t="inlineStr">
        <is>
          <t>M-2101</t>
        </is>
      </c>
      <c r="H737" t="inlineStr">
        <is>
          <t>ABS 범용 G300</t>
        </is>
      </c>
      <c r="I737" s="43" t="n">
        <v>46123</v>
      </c>
      <c r="J737" t="n">
        <v>202604</v>
      </c>
      <c r="K737" s="44" t="n">
        <v>4300</v>
      </c>
      <c r="L737" t="inlineStr">
        <is>
          <t>KG</t>
        </is>
      </c>
      <c r="M737" s="44" t="n">
        <v>11796988</v>
      </c>
      <c r="N737" s="44" t="n">
        <v>1297669</v>
      </c>
      <c r="O737" t="n">
        <v>0</v>
      </c>
      <c r="P737" s="44" t="n">
        <v>10499319</v>
      </c>
      <c r="Q737" t="inlineStr">
        <is>
          <t>KRW</t>
        </is>
      </c>
      <c r="R737" t="inlineStr">
        <is>
          <t>INV2604-00736</t>
        </is>
      </c>
      <c r="S737" t="inlineStr">
        <is>
          <t>※예시데이터</t>
        </is>
      </c>
    </row>
    <row r="738">
      <c r="A738" t="n">
        <v>1000</v>
      </c>
      <c r="B738" t="inlineStr">
        <is>
          <t>EP사업부</t>
        </is>
      </c>
      <c r="C738" t="inlineStr">
        <is>
          <t>국내영업1팀</t>
        </is>
      </c>
      <c r="D738" t="inlineStr">
        <is>
          <t>C10043</t>
        </is>
      </c>
      <c r="E738" t="inlineStr">
        <is>
          <t>새봄플라스틱</t>
        </is>
      </c>
      <c r="F738" t="inlineStr">
        <is>
          <t>ABS</t>
        </is>
      </c>
      <c r="G738" t="inlineStr">
        <is>
          <t>M-2102</t>
        </is>
      </c>
      <c r="H738" t="inlineStr">
        <is>
          <t>ABS 내열 HR500</t>
        </is>
      </c>
      <c r="I738" s="43" t="n">
        <v>46123</v>
      </c>
      <c r="J738" t="n">
        <v>202604</v>
      </c>
      <c r="K738" s="44" t="n">
        <v>4725</v>
      </c>
      <c r="L738" t="inlineStr">
        <is>
          <t>KG</t>
        </is>
      </c>
      <c r="M738" s="44" t="n">
        <v>14577226</v>
      </c>
      <c r="N738" s="44" t="n">
        <v>874634</v>
      </c>
      <c r="O738" t="n">
        <v>0</v>
      </c>
      <c r="P738" s="44" t="n">
        <v>13702592</v>
      </c>
      <c r="Q738" t="inlineStr">
        <is>
          <t>KRW</t>
        </is>
      </c>
      <c r="R738" t="inlineStr">
        <is>
          <t>INV2604-00737</t>
        </is>
      </c>
      <c r="S738" t="inlineStr">
        <is>
          <t>※예시데이터</t>
        </is>
      </c>
    </row>
    <row r="739">
      <c r="A739" t="n">
        <v>1000</v>
      </c>
      <c r="B739" t="inlineStr">
        <is>
          <t>EP사업부</t>
        </is>
      </c>
      <c r="C739" t="inlineStr">
        <is>
          <t>국내영업2팀</t>
        </is>
      </c>
      <c r="D739" t="inlineStr">
        <is>
          <t>C10113</t>
        </is>
      </c>
      <c r="E739" t="inlineStr">
        <is>
          <t>누리오토파츠</t>
        </is>
      </c>
      <c r="F739" t="inlineStr">
        <is>
          <t>ABS</t>
        </is>
      </c>
      <c r="G739" t="inlineStr">
        <is>
          <t>M-2101</t>
        </is>
      </c>
      <c r="H739" t="inlineStr">
        <is>
          <t>ABS 범용 G300</t>
        </is>
      </c>
      <c r="I739" s="43" t="n">
        <v>46123</v>
      </c>
      <c r="J739" t="n">
        <v>202604</v>
      </c>
      <c r="K739" s="44" t="n">
        <v>2825</v>
      </c>
      <c r="L739" t="inlineStr">
        <is>
          <t>KG</t>
        </is>
      </c>
      <c r="M739" s="44" t="n">
        <v>7750347</v>
      </c>
      <c r="N739" s="44" t="n">
        <v>697531</v>
      </c>
      <c r="O739" s="44" t="n">
        <v>77503</v>
      </c>
      <c r="P739" s="44" t="n">
        <v>6975313</v>
      </c>
      <c r="Q739" t="inlineStr">
        <is>
          <t>KRW</t>
        </is>
      </c>
      <c r="R739" t="inlineStr">
        <is>
          <t>INV2604-00738</t>
        </is>
      </c>
      <c r="S739" t="inlineStr">
        <is>
          <t>※예시데이터</t>
        </is>
      </c>
    </row>
    <row r="740">
      <c r="A740" t="n">
        <v>1000</v>
      </c>
      <c r="B740" t="inlineStr">
        <is>
          <t>EP사업부</t>
        </is>
      </c>
      <c r="C740" t="inlineStr">
        <is>
          <t>국내영업1팀</t>
        </is>
      </c>
      <c r="D740" t="inlineStr">
        <is>
          <t>C10134</t>
        </is>
      </c>
      <c r="E740" t="inlineStr">
        <is>
          <t>별하전자(주)</t>
        </is>
      </c>
      <c r="F740" t="inlineStr">
        <is>
          <t>PC</t>
        </is>
      </c>
      <c r="G740" t="inlineStr">
        <is>
          <t>M-2201</t>
        </is>
      </c>
      <c r="H740" t="inlineStr">
        <is>
          <t>PC 일반 C100</t>
        </is>
      </c>
      <c r="I740" s="43" t="n">
        <v>46123</v>
      </c>
      <c r="J740" t="n">
        <v>202604</v>
      </c>
      <c r="K740" t="n">
        <v>775</v>
      </c>
      <c r="L740" t="inlineStr">
        <is>
          <t>KG</t>
        </is>
      </c>
      <c r="M740" s="44" t="n">
        <v>3068951</v>
      </c>
      <c r="N740" s="44" t="n">
        <v>92069</v>
      </c>
      <c r="O740" t="n">
        <v>0</v>
      </c>
      <c r="P740" s="44" t="n">
        <v>2976882</v>
      </c>
      <c r="Q740" t="inlineStr">
        <is>
          <t>KRW</t>
        </is>
      </c>
      <c r="R740" t="inlineStr">
        <is>
          <t>INV2604-00739</t>
        </is>
      </c>
      <c r="S740" t="inlineStr">
        <is>
          <t>※예시데이터</t>
        </is>
      </c>
    </row>
    <row r="741">
      <c r="A741" t="n">
        <v>1000</v>
      </c>
      <c r="B741" t="inlineStr">
        <is>
          <t>EP사업부</t>
        </is>
      </c>
      <c r="C741" t="inlineStr">
        <is>
          <t>해외영업팀</t>
        </is>
      </c>
      <c r="D741" t="inlineStr">
        <is>
          <t>C10148</t>
        </is>
      </c>
      <c r="E741" t="inlineStr">
        <is>
          <t>Hanoi Molding (VN)</t>
        </is>
      </c>
      <c r="F741" t="inlineStr">
        <is>
          <t>ABS</t>
        </is>
      </c>
      <c r="G741" t="inlineStr">
        <is>
          <t>M-2101</t>
        </is>
      </c>
      <c r="H741" t="inlineStr">
        <is>
          <t>ABS 범용 G300</t>
        </is>
      </c>
      <c r="I741" s="43" t="n">
        <v>46123</v>
      </c>
      <c r="J741" t="n">
        <v>202604</v>
      </c>
      <c r="K741" s="44" t="n">
        <v>4300</v>
      </c>
      <c r="L741" t="inlineStr">
        <is>
          <t>KG</t>
        </is>
      </c>
      <c r="M741" s="44" t="n">
        <v>11796988</v>
      </c>
      <c r="N741" s="44" t="n">
        <v>1179699</v>
      </c>
      <c r="O741" t="n">
        <v>0</v>
      </c>
      <c r="P741" s="44" t="n">
        <v>10617289</v>
      </c>
      <c r="Q741" t="inlineStr">
        <is>
          <t>KRW</t>
        </is>
      </c>
      <c r="R741" t="inlineStr">
        <is>
          <t>INV2604-00740</t>
        </is>
      </c>
      <c r="S741" t="inlineStr">
        <is>
          <t>※예시데이터</t>
        </is>
      </c>
    </row>
    <row r="742">
      <c r="A742" t="n">
        <v>1000</v>
      </c>
      <c r="B742" t="inlineStr">
        <is>
          <t>EP사업부</t>
        </is>
      </c>
      <c r="C742" t="inlineStr">
        <is>
          <t>국내영업1팀</t>
        </is>
      </c>
      <c r="D742" t="inlineStr">
        <is>
          <t>C10078</t>
        </is>
      </c>
      <c r="E742" t="inlineStr">
        <is>
          <t>토담정공(주)</t>
        </is>
      </c>
      <c r="F742" t="inlineStr">
        <is>
          <t>ABS</t>
        </is>
      </c>
      <c r="G742" t="inlineStr">
        <is>
          <t>M-2102</t>
        </is>
      </c>
      <c r="H742" t="inlineStr">
        <is>
          <t>ABS 내열 HR500</t>
        </is>
      </c>
      <c r="I742" s="43" t="n">
        <v>46124</v>
      </c>
      <c r="J742" t="n">
        <v>202604</v>
      </c>
      <c r="K742" s="44" t="n">
        <v>4550</v>
      </c>
      <c r="L742" t="inlineStr">
        <is>
          <t>KG</t>
        </is>
      </c>
      <c r="M742" s="44" t="n">
        <v>14037328</v>
      </c>
      <c r="N742" s="44" t="n">
        <v>421120</v>
      </c>
      <c r="O742" t="n">
        <v>0</v>
      </c>
      <c r="P742" s="44" t="n">
        <v>13616208</v>
      </c>
      <c r="Q742" t="inlineStr">
        <is>
          <t>KRW</t>
        </is>
      </c>
      <c r="R742" t="inlineStr">
        <is>
          <t>INV2604-00741</t>
        </is>
      </c>
      <c r="S742" t="inlineStr">
        <is>
          <t>※예시데이터</t>
        </is>
      </c>
    </row>
    <row r="743">
      <c r="A743" t="n">
        <v>1000</v>
      </c>
      <c r="B743" t="inlineStr">
        <is>
          <t>범용수지사업부</t>
        </is>
      </c>
      <c r="C743" t="inlineStr">
        <is>
          <t>해외영업팀</t>
        </is>
      </c>
      <c r="D743" t="inlineStr">
        <is>
          <t>C10148</t>
        </is>
      </c>
      <c r="E743" t="inlineStr">
        <is>
          <t>Hanoi Molding (VN)</t>
        </is>
      </c>
      <c r="F743" t="inlineStr">
        <is>
          <t>PP</t>
        </is>
      </c>
      <c r="G743" t="inlineStr">
        <is>
          <t>M-1103</t>
        </is>
      </c>
      <c r="H743" t="inlineStr">
        <is>
          <t>PP 투명 R330</t>
        </is>
      </c>
      <c r="I743" s="43" t="n">
        <v>46125</v>
      </c>
      <c r="J743" t="n">
        <v>202604</v>
      </c>
      <c r="K743" s="44" t="n">
        <v>6650</v>
      </c>
      <c r="L743" t="inlineStr">
        <is>
          <t>KG</t>
        </is>
      </c>
      <c r="M743" s="44" t="n">
        <v>13227692</v>
      </c>
      <c r="N743" s="44" t="n">
        <v>1322769</v>
      </c>
      <c r="O743" t="n">
        <v>0</v>
      </c>
      <c r="P743" s="44" t="n">
        <v>11904923</v>
      </c>
      <c r="Q743" t="inlineStr">
        <is>
          <t>KRW</t>
        </is>
      </c>
      <c r="R743" t="inlineStr">
        <is>
          <t>INV2604-00742</t>
        </is>
      </c>
      <c r="S743" t="inlineStr">
        <is>
          <t>※예시데이터</t>
        </is>
      </c>
    </row>
    <row r="744">
      <c r="A744" t="n">
        <v>1000</v>
      </c>
      <c r="B744" t="inlineStr">
        <is>
          <t>EP사업부</t>
        </is>
      </c>
      <c r="C744" t="inlineStr">
        <is>
          <t>국내영업2팀</t>
        </is>
      </c>
      <c r="D744" t="inlineStr">
        <is>
          <t>C10022</t>
        </is>
      </c>
      <c r="E744" t="inlineStr">
        <is>
          <t>라온테크(주)</t>
        </is>
      </c>
      <c r="F744" t="inlineStr">
        <is>
          <t>ABS</t>
        </is>
      </c>
      <c r="G744" t="inlineStr">
        <is>
          <t>M-2102</t>
        </is>
      </c>
      <c r="H744" t="inlineStr">
        <is>
          <t>ABS 내열 HR500</t>
        </is>
      </c>
      <c r="I744" s="43" t="n">
        <v>46127</v>
      </c>
      <c r="J744" t="n">
        <v>202604</v>
      </c>
      <c r="K744" s="44" t="n">
        <v>3200</v>
      </c>
      <c r="L744" t="inlineStr">
        <is>
          <t>KG</t>
        </is>
      </c>
      <c r="M744" s="44" t="n">
        <v>9872407</v>
      </c>
      <c r="N744" s="44" t="n">
        <v>1085965</v>
      </c>
      <c r="O744" t="n">
        <v>0</v>
      </c>
      <c r="P744" s="44" t="n">
        <v>8786442</v>
      </c>
      <c r="Q744" t="inlineStr">
        <is>
          <t>KRW</t>
        </is>
      </c>
      <c r="R744" t="inlineStr">
        <is>
          <t>INV2604-00743</t>
        </is>
      </c>
      <c r="S744" t="inlineStr">
        <is>
          <t>※예시데이터</t>
        </is>
      </c>
    </row>
    <row r="745">
      <c r="A745" t="n">
        <v>1000</v>
      </c>
      <c r="B745" t="inlineStr">
        <is>
          <t>범용수지사업부</t>
        </is>
      </c>
      <c r="C745" t="inlineStr">
        <is>
          <t>국내영업2팀</t>
        </is>
      </c>
      <c r="D745" t="inlineStr">
        <is>
          <t>C10127</t>
        </is>
      </c>
      <c r="E745" t="inlineStr">
        <is>
          <t>미르패키징</t>
        </is>
      </c>
      <c r="F745" t="inlineStr">
        <is>
          <t>PE</t>
        </is>
      </c>
      <c r="G745" t="inlineStr">
        <is>
          <t>M-1201</t>
        </is>
      </c>
      <c r="H745" t="inlineStr">
        <is>
          <t>HDPE 블로우 B500</t>
        </is>
      </c>
      <c r="I745" s="43" t="n">
        <v>46128</v>
      </c>
      <c r="J745" t="n">
        <v>202604</v>
      </c>
      <c r="K745" s="44" t="n">
        <v>3025</v>
      </c>
      <c r="L745" t="inlineStr">
        <is>
          <t>KG</t>
        </is>
      </c>
      <c r="M745" s="44" t="n">
        <v>4686430</v>
      </c>
      <c r="N745" s="44" t="n">
        <v>398347</v>
      </c>
      <c r="O745" t="n">
        <v>0</v>
      </c>
      <c r="P745" s="44" t="n">
        <v>4288083</v>
      </c>
      <c r="Q745" t="inlineStr">
        <is>
          <t>KRW</t>
        </is>
      </c>
      <c r="R745" t="inlineStr">
        <is>
          <t>INV2604-00744</t>
        </is>
      </c>
      <c r="S745" t="inlineStr">
        <is>
          <t>※예시데이터</t>
        </is>
      </c>
    </row>
    <row r="746">
      <c r="A746" t="n">
        <v>1000</v>
      </c>
      <c r="B746" t="inlineStr">
        <is>
          <t>EP사업부</t>
        </is>
      </c>
      <c r="C746" t="inlineStr">
        <is>
          <t>국내영업1팀</t>
        </is>
      </c>
      <c r="D746" t="inlineStr">
        <is>
          <t>C10134</t>
        </is>
      </c>
      <c r="E746" t="inlineStr">
        <is>
          <t>별하전자(주)</t>
        </is>
      </c>
      <c r="F746" t="inlineStr">
        <is>
          <t>PC</t>
        </is>
      </c>
      <c r="G746" t="inlineStr">
        <is>
          <t>M-2201</t>
        </is>
      </c>
      <c r="H746" t="inlineStr">
        <is>
          <t>PC 일반 C100</t>
        </is>
      </c>
      <c r="I746" s="43" t="n">
        <v>46128</v>
      </c>
      <c r="J746" t="n">
        <v>202604</v>
      </c>
      <c r="K746" t="n">
        <v>775</v>
      </c>
      <c r="L746" t="inlineStr">
        <is>
          <t>KG</t>
        </is>
      </c>
      <c r="M746" s="44" t="n">
        <v>3068951</v>
      </c>
      <c r="N746" s="44" t="n">
        <v>92069</v>
      </c>
      <c r="O746" t="n">
        <v>0</v>
      </c>
      <c r="P746" s="44" t="n">
        <v>2976882</v>
      </c>
      <c r="Q746" t="inlineStr">
        <is>
          <t>KRW</t>
        </is>
      </c>
      <c r="R746" t="inlineStr">
        <is>
          <t>INV2604-00745</t>
        </is>
      </c>
      <c r="S746" t="inlineStr">
        <is>
          <t>※예시데이터</t>
        </is>
      </c>
    </row>
    <row r="747">
      <c r="A747" t="n">
        <v>1000</v>
      </c>
      <c r="B747" t="inlineStr">
        <is>
          <t>EP사업부</t>
        </is>
      </c>
      <c r="C747" t="inlineStr">
        <is>
          <t>국내영업2팀</t>
        </is>
      </c>
      <c r="D747" t="inlineStr">
        <is>
          <t>C10015</t>
        </is>
      </c>
      <c r="E747" t="inlineStr">
        <is>
          <t>다솜케미칼</t>
        </is>
      </c>
      <c r="F747" t="inlineStr">
        <is>
          <t>PC</t>
        </is>
      </c>
      <c r="G747" t="inlineStr">
        <is>
          <t>M-2202</t>
        </is>
      </c>
      <c r="H747" t="inlineStr">
        <is>
          <t>PC 난연 FR200</t>
        </is>
      </c>
      <c r="I747" s="43" t="n">
        <v>46129</v>
      </c>
      <c r="J747" t="n">
        <v>202604</v>
      </c>
      <c r="K747" s="44" t="n">
        <v>1750</v>
      </c>
      <c r="L747" t="inlineStr">
        <is>
          <t>KG</t>
        </is>
      </c>
      <c r="M747" s="44" t="n">
        <v>7729492</v>
      </c>
      <c r="N747" s="44" t="n">
        <v>386475</v>
      </c>
      <c r="O747" t="n">
        <v>0</v>
      </c>
      <c r="P747" s="44" t="n">
        <v>7343017</v>
      </c>
      <c r="Q747" t="inlineStr">
        <is>
          <t>KRW</t>
        </is>
      </c>
      <c r="R747" t="inlineStr">
        <is>
          <t>INV2604-00746</t>
        </is>
      </c>
      <c r="S747" t="inlineStr">
        <is>
          <t>※예시데이터</t>
        </is>
      </c>
    </row>
    <row r="748">
      <c r="A748" t="n">
        <v>1000</v>
      </c>
      <c r="B748" t="inlineStr">
        <is>
          <t>EP사업부</t>
        </is>
      </c>
      <c r="C748" t="inlineStr">
        <is>
          <t>국내영업1팀</t>
        </is>
      </c>
      <c r="D748" t="inlineStr">
        <is>
          <t>C10029</t>
        </is>
      </c>
      <c r="E748" t="inlineStr">
        <is>
          <t>마루정밀</t>
        </is>
      </c>
      <c r="F748" t="inlineStr">
        <is>
          <t>PC</t>
        </is>
      </c>
      <c r="G748" t="inlineStr">
        <is>
          <t>M-2201</t>
        </is>
      </c>
      <c r="H748" t="inlineStr">
        <is>
          <t>PC 일반 C100</t>
        </is>
      </c>
      <c r="I748" s="43" t="n">
        <v>46129</v>
      </c>
      <c r="J748" t="n">
        <v>202604</v>
      </c>
      <c r="K748" s="44" t="n">
        <v>3450</v>
      </c>
      <c r="L748" t="inlineStr">
        <is>
          <t>KG</t>
        </is>
      </c>
      <c r="M748" s="44" t="n">
        <v>13661781</v>
      </c>
      <c r="N748" s="44" t="n">
        <v>478162</v>
      </c>
      <c r="O748" t="n">
        <v>0</v>
      </c>
      <c r="P748" s="44" t="n">
        <v>13183619</v>
      </c>
      <c r="Q748" t="inlineStr">
        <is>
          <t>KRW</t>
        </is>
      </c>
      <c r="R748" t="inlineStr">
        <is>
          <t>INV2604-00747</t>
        </is>
      </c>
      <c r="S748" t="inlineStr">
        <is>
          <t>※예시데이터</t>
        </is>
      </c>
    </row>
    <row r="749">
      <c r="A749" t="n">
        <v>1000</v>
      </c>
      <c r="B749" t="inlineStr">
        <is>
          <t>범용수지사업부</t>
        </is>
      </c>
      <c r="C749" t="inlineStr">
        <is>
          <t>국내영업1팀</t>
        </is>
      </c>
      <c r="D749" t="inlineStr">
        <is>
          <t>C10043</t>
        </is>
      </c>
      <c r="E749" t="inlineStr">
        <is>
          <t>새봄플라스틱</t>
        </is>
      </c>
      <c r="F749" t="inlineStr">
        <is>
          <t>PP</t>
        </is>
      </c>
      <c r="G749" t="inlineStr">
        <is>
          <t>M-1103</t>
        </is>
      </c>
      <c r="H749" t="inlineStr">
        <is>
          <t>PP 투명 R330</t>
        </is>
      </c>
      <c r="I749" s="43" t="n">
        <v>46129</v>
      </c>
      <c r="J749" t="n">
        <v>202604</v>
      </c>
      <c r="K749" s="44" t="n">
        <v>3175</v>
      </c>
      <c r="L749" t="inlineStr">
        <is>
          <t>KG</t>
        </is>
      </c>
      <c r="M749" s="44" t="n">
        <v>6315477</v>
      </c>
      <c r="N749" s="44" t="n">
        <v>378929</v>
      </c>
      <c r="O749" t="n">
        <v>0</v>
      </c>
      <c r="P749" s="44" t="n">
        <v>5936548</v>
      </c>
      <c r="Q749" t="inlineStr">
        <is>
          <t>KRW</t>
        </is>
      </c>
      <c r="R749" t="inlineStr">
        <is>
          <t>INV2604-00748</t>
        </is>
      </c>
      <c r="S749" t="inlineStr">
        <is>
          <t>※예시데이터</t>
        </is>
      </c>
    </row>
    <row r="750">
      <c r="A750" t="n">
        <v>1000</v>
      </c>
      <c r="B750" t="inlineStr">
        <is>
          <t>범용수지사업부</t>
        </is>
      </c>
      <c r="C750" t="inlineStr">
        <is>
          <t>해외영업팀</t>
        </is>
      </c>
      <c r="D750" t="inlineStr">
        <is>
          <t>C10071</t>
        </is>
      </c>
      <c r="E750" t="inlineStr">
        <is>
          <t>큰별코리아</t>
        </is>
      </c>
      <c r="F750" t="inlineStr">
        <is>
          <t>PP</t>
        </is>
      </c>
      <c r="G750" t="inlineStr">
        <is>
          <t>M-1101</t>
        </is>
      </c>
      <c r="H750" t="inlineStr">
        <is>
          <t>PP 범용사출 H110</t>
        </is>
      </c>
      <c r="I750" s="43" t="n">
        <v>46129</v>
      </c>
      <c r="J750" t="n">
        <v>202604</v>
      </c>
      <c r="K750" s="44" t="n">
        <v>12075</v>
      </c>
      <c r="L750" t="inlineStr">
        <is>
          <t>KG</t>
        </is>
      </c>
      <c r="M750" s="44" t="n">
        <v>20428278</v>
      </c>
      <c r="N750" s="44" t="n">
        <v>2553535</v>
      </c>
      <c r="O750" s="44" t="n">
        <v>408566</v>
      </c>
      <c r="P750" s="44" t="n">
        <v>17466177</v>
      </c>
      <c r="Q750" t="inlineStr">
        <is>
          <t>KRW</t>
        </is>
      </c>
      <c r="R750" t="inlineStr">
        <is>
          <t>INV2604-00749</t>
        </is>
      </c>
      <c r="S750" t="inlineStr">
        <is>
          <t>※예시데이터</t>
        </is>
      </c>
    </row>
    <row r="751">
      <c r="A751" t="n">
        <v>1000</v>
      </c>
      <c r="B751" t="inlineStr">
        <is>
          <t>범용수지사업부</t>
        </is>
      </c>
      <c r="C751" t="inlineStr">
        <is>
          <t>국내영업2팀</t>
        </is>
      </c>
      <c r="D751" t="inlineStr">
        <is>
          <t>C10127</t>
        </is>
      </c>
      <c r="E751" t="inlineStr">
        <is>
          <t>미르패키징</t>
        </is>
      </c>
      <c r="F751" t="inlineStr">
        <is>
          <t>PP</t>
        </is>
      </c>
      <c r="G751" t="inlineStr">
        <is>
          <t>M-1101</t>
        </is>
      </c>
      <c r="H751" t="inlineStr">
        <is>
          <t>PP 범용사출 H110</t>
        </is>
      </c>
      <c r="I751" s="43" t="n">
        <v>46129</v>
      </c>
      <c r="J751" t="n">
        <v>202604</v>
      </c>
      <c r="K751" s="44" t="n">
        <v>2700</v>
      </c>
      <c r="L751" t="inlineStr">
        <is>
          <t>KG</t>
        </is>
      </c>
      <c r="M751" s="44" t="n">
        <v>4567814</v>
      </c>
      <c r="N751" s="44" t="n">
        <v>388264</v>
      </c>
      <c r="O751" t="n">
        <v>0</v>
      </c>
      <c r="P751" s="44" t="n">
        <v>4179550</v>
      </c>
      <c r="Q751" t="inlineStr">
        <is>
          <t>KRW</t>
        </is>
      </c>
      <c r="R751" t="inlineStr">
        <is>
          <t>INV2604-00750</t>
        </is>
      </c>
      <c r="S751" t="inlineStr">
        <is>
          <t>※예시데이터</t>
        </is>
      </c>
    </row>
    <row r="752">
      <c r="A752" t="n">
        <v>1000</v>
      </c>
      <c r="B752" t="inlineStr">
        <is>
          <t>범용수지사업부</t>
        </is>
      </c>
      <c r="C752" t="inlineStr">
        <is>
          <t>해외영업팀</t>
        </is>
      </c>
      <c r="D752" t="inlineStr">
        <is>
          <t>C10141</t>
        </is>
      </c>
      <c r="E752" t="inlineStr">
        <is>
          <t>Sinar Plastik (ID)</t>
        </is>
      </c>
      <c r="F752" t="inlineStr">
        <is>
          <t>PP</t>
        </is>
      </c>
      <c r="G752" t="inlineStr">
        <is>
          <t>M-1103</t>
        </is>
      </c>
      <c r="H752" t="inlineStr">
        <is>
          <t>PP 투명 R330</t>
        </is>
      </c>
      <c r="I752" s="43" t="n">
        <v>46129</v>
      </c>
      <c r="J752" t="n">
        <v>202604</v>
      </c>
      <c r="K752" s="44" t="n">
        <v>15475</v>
      </c>
      <c r="L752" t="inlineStr">
        <is>
          <t>KG</t>
        </is>
      </c>
      <c r="M752" s="44" t="n">
        <v>30781733</v>
      </c>
      <c r="N752" s="44" t="n">
        <v>4309443</v>
      </c>
      <c r="O752" t="n">
        <v>0</v>
      </c>
      <c r="P752" s="44" t="n">
        <v>26472290</v>
      </c>
      <c r="Q752" t="inlineStr">
        <is>
          <t>KRW</t>
        </is>
      </c>
      <c r="R752" t="inlineStr">
        <is>
          <t>INV2604-00751</t>
        </is>
      </c>
      <c r="S752" t="inlineStr">
        <is>
          <t>※예시데이터</t>
        </is>
      </c>
    </row>
    <row r="753">
      <c r="A753" t="n">
        <v>1000</v>
      </c>
      <c r="B753" t="inlineStr">
        <is>
          <t>범용수지사업부</t>
        </is>
      </c>
      <c r="C753" t="inlineStr">
        <is>
          <t>국내영업1팀</t>
        </is>
      </c>
      <c r="D753" t="inlineStr">
        <is>
          <t>C10001</t>
        </is>
      </c>
      <c r="E753" t="inlineStr">
        <is>
          <t>가온소재(주)</t>
        </is>
      </c>
      <c r="F753" t="inlineStr">
        <is>
          <t>PP</t>
        </is>
      </c>
      <c r="G753" t="inlineStr">
        <is>
          <t>M-1102</t>
        </is>
      </c>
      <c r="H753" t="inlineStr">
        <is>
          <t>PP 고강성 H220</t>
        </is>
      </c>
      <c r="I753" s="43" t="n">
        <v>46130</v>
      </c>
      <c r="J753" t="n">
        <v>202604</v>
      </c>
      <c r="K753" s="44" t="n">
        <v>2625</v>
      </c>
      <c r="L753" t="inlineStr">
        <is>
          <t>KG</t>
        </is>
      </c>
      <c r="M753" s="44" t="n">
        <v>4898480</v>
      </c>
      <c r="N753" s="44" t="n">
        <v>244924</v>
      </c>
      <c r="O753" t="n">
        <v>0</v>
      </c>
      <c r="P753" s="44" t="n">
        <v>4653556</v>
      </c>
      <c r="Q753" t="inlineStr">
        <is>
          <t>KRW</t>
        </is>
      </c>
      <c r="R753" t="inlineStr">
        <is>
          <t>INV2604-00752</t>
        </is>
      </c>
      <c r="S753" t="inlineStr">
        <is>
          <t>※예시데이터</t>
        </is>
      </c>
    </row>
    <row r="754">
      <c r="A754" t="n">
        <v>1000</v>
      </c>
      <c r="B754" t="inlineStr">
        <is>
          <t>EP사업부</t>
        </is>
      </c>
      <c r="C754" t="inlineStr">
        <is>
          <t>국내영업2팀</t>
        </is>
      </c>
      <c r="D754" t="inlineStr">
        <is>
          <t>C10113</t>
        </is>
      </c>
      <c r="E754" t="inlineStr">
        <is>
          <t>누리오토파츠</t>
        </is>
      </c>
      <c r="F754" t="inlineStr">
        <is>
          <t>PC</t>
        </is>
      </c>
      <c r="G754" t="inlineStr">
        <is>
          <t>M-2202</t>
        </is>
      </c>
      <c r="H754" t="inlineStr">
        <is>
          <t>PC 난연 FR200</t>
        </is>
      </c>
      <c r="I754" s="43" t="n">
        <v>46130</v>
      </c>
      <c r="J754" t="n">
        <v>202604</v>
      </c>
      <c r="K754" s="44" t="n">
        <v>2250</v>
      </c>
      <c r="L754" t="inlineStr">
        <is>
          <t>KG</t>
        </is>
      </c>
      <c r="M754" s="44" t="n">
        <v>9937918</v>
      </c>
      <c r="N754" s="44" t="n">
        <v>894413</v>
      </c>
      <c r="O754" s="44" t="n">
        <v>99379</v>
      </c>
      <c r="P754" s="44" t="n">
        <v>8944126</v>
      </c>
      <c r="Q754" t="inlineStr">
        <is>
          <t>KRW</t>
        </is>
      </c>
      <c r="R754" t="inlineStr">
        <is>
          <t>INV2604-00753</t>
        </is>
      </c>
      <c r="S754" t="inlineStr">
        <is>
          <t>※예시데이터</t>
        </is>
      </c>
    </row>
    <row r="755">
      <c r="A755" t="n">
        <v>1000</v>
      </c>
      <c r="B755" t="inlineStr">
        <is>
          <t>EP사업부</t>
        </is>
      </c>
      <c r="C755" t="inlineStr">
        <is>
          <t>국내영업1팀</t>
        </is>
      </c>
      <c r="D755" t="inlineStr">
        <is>
          <t>C10029</t>
        </is>
      </c>
      <c r="E755" t="inlineStr">
        <is>
          <t>마루정밀</t>
        </is>
      </c>
      <c r="F755" t="inlineStr">
        <is>
          <t>PC</t>
        </is>
      </c>
      <c r="G755" t="inlineStr">
        <is>
          <t>M-2201</t>
        </is>
      </c>
      <c r="H755" t="inlineStr">
        <is>
          <t>PC 일반 C100</t>
        </is>
      </c>
      <c r="I755" s="43" t="n">
        <v>46131</v>
      </c>
      <c r="J755" t="n">
        <v>202604</v>
      </c>
      <c r="K755" s="44" t="n">
        <v>3450</v>
      </c>
      <c r="L755" t="inlineStr">
        <is>
          <t>KG</t>
        </is>
      </c>
      <c r="M755" s="44" t="n">
        <v>13661781</v>
      </c>
      <c r="N755" s="44" t="n">
        <v>478162</v>
      </c>
      <c r="O755" t="n">
        <v>0</v>
      </c>
      <c r="P755" s="44" t="n">
        <v>13183619</v>
      </c>
      <c r="Q755" t="inlineStr">
        <is>
          <t>KRW</t>
        </is>
      </c>
      <c r="R755" t="inlineStr">
        <is>
          <t>INV2604-00754</t>
        </is>
      </c>
      <c r="S755" t="inlineStr">
        <is>
          <t>※예시데이터</t>
        </is>
      </c>
    </row>
    <row r="756">
      <c r="A756" t="n">
        <v>1000</v>
      </c>
      <c r="B756" t="inlineStr">
        <is>
          <t>범용수지사업부</t>
        </is>
      </c>
      <c r="C756" t="inlineStr">
        <is>
          <t>국내영업2팀</t>
        </is>
      </c>
      <c r="D756" t="inlineStr">
        <is>
          <t>C10036</t>
        </is>
      </c>
      <c r="E756" t="inlineStr">
        <is>
          <t>바른물산</t>
        </is>
      </c>
      <c r="F756" t="inlineStr">
        <is>
          <t>PE</t>
        </is>
      </c>
      <c r="G756" t="inlineStr">
        <is>
          <t>M-1201</t>
        </is>
      </c>
      <c r="H756" t="inlineStr">
        <is>
          <t>HDPE 블로우 B500</t>
        </is>
      </c>
      <c r="I756" s="43" t="n">
        <v>46131</v>
      </c>
      <c r="J756" t="n">
        <v>202604</v>
      </c>
      <c r="K756" s="44" t="n">
        <v>6475</v>
      </c>
      <c r="L756" t="inlineStr">
        <is>
          <t>KG</t>
        </is>
      </c>
      <c r="M756" s="44" t="n">
        <v>10031285</v>
      </c>
      <c r="N756" s="44" t="n">
        <v>1003128</v>
      </c>
      <c r="O756" s="44" t="n">
        <v>200626</v>
      </c>
      <c r="P756" s="44" t="n">
        <v>8827531</v>
      </c>
      <c r="Q756" t="inlineStr">
        <is>
          <t>KRW</t>
        </is>
      </c>
      <c r="R756" t="inlineStr">
        <is>
          <t>INV2604-00755</t>
        </is>
      </c>
      <c r="S756" t="inlineStr">
        <is>
          <t>※예시데이터</t>
        </is>
      </c>
    </row>
    <row r="757">
      <c r="A757" t="n">
        <v>1000</v>
      </c>
      <c r="B757" t="inlineStr">
        <is>
          <t>범용수지사업부</t>
        </is>
      </c>
      <c r="C757" t="inlineStr">
        <is>
          <t>해외영업팀</t>
        </is>
      </c>
      <c r="D757" t="inlineStr">
        <is>
          <t>C10071</t>
        </is>
      </c>
      <c r="E757" t="inlineStr">
        <is>
          <t>큰별코리아</t>
        </is>
      </c>
      <c r="F757" t="inlineStr">
        <is>
          <t>PE</t>
        </is>
      </c>
      <c r="G757" t="inlineStr">
        <is>
          <t>M-1202</t>
        </is>
      </c>
      <c r="H757" t="inlineStr">
        <is>
          <t>LLDPE 필름 F120</t>
        </is>
      </c>
      <c r="I757" s="43" t="n">
        <v>46131</v>
      </c>
      <c r="J757" t="n">
        <v>202604</v>
      </c>
      <c r="K757" s="44" t="n">
        <v>6375</v>
      </c>
      <c r="L757" t="inlineStr">
        <is>
          <t>KG</t>
        </is>
      </c>
      <c r="M757" s="44" t="n">
        <v>10688973</v>
      </c>
      <c r="N757" s="44" t="n">
        <v>1336122</v>
      </c>
      <c r="O757" s="44" t="n">
        <v>213779</v>
      </c>
      <c r="P757" s="44" t="n">
        <v>9139072</v>
      </c>
      <c r="Q757" t="inlineStr">
        <is>
          <t>KRW</t>
        </is>
      </c>
      <c r="R757" t="inlineStr">
        <is>
          <t>INV2604-00756</t>
        </is>
      </c>
      <c r="S757" t="inlineStr">
        <is>
          <t>※예시데이터</t>
        </is>
      </c>
    </row>
    <row r="758">
      <c r="A758" t="n">
        <v>1000</v>
      </c>
      <c r="B758" t="inlineStr">
        <is>
          <t>범용수지사업부</t>
        </is>
      </c>
      <c r="C758" t="inlineStr">
        <is>
          <t>해외영업팀</t>
        </is>
      </c>
      <c r="D758" t="inlineStr">
        <is>
          <t>C10071</t>
        </is>
      </c>
      <c r="E758" t="inlineStr">
        <is>
          <t>큰별코리아</t>
        </is>
      </c>
      <c r="F758" t="inlineStr">
        <is>
          <t>PE</t>
        </is>
      </c>
      <c r="G758" t="inlineStr">
        <is>
          <t>M-1202</t>
        </is>
      </c>
      <c r="H758" t="inlineStr">
        <is>
          <t>LLDPE 필름 F120</t>
        </is>
      </c>
      <c r="I758" s="43" t="n">
        <v>46131</v>
      </c>
      <c r="J758" t="n">
        <v>202604</v>
      </c>
      <c r="K758" s="44" t="n">
        <v>6375</v>
      </c>
      <c r="L758" t="inlineStr">
        <is>
          <t>KG</t>
        </is>
      </c>
      <c r="M758" s="44" t="n">
        <v>10688973</v>
      </c>
      <c r="N758" s="44" t="n">
        <v>1336122</v>
      </c>
      <c r="O758" s="44" t="n">
        <v>213779</v>
      </c>
      <c r="P758" s="44" t="n">
        <v>9139072</v>
      </c>
      <c r="Q758" t="inlineStr">
        <is>
          <t>KRW</t>
        </is>
      </c>
      <c r="R758" t="inlineStr">
        <is>
          <t>INV2604-00757</t>
        </is>
      </c>
      <c r="S758" t="inlineStr">
        <is>
          <t>※예시데이터</t>
        </is>
      </c>
    </row>
    <row r="759">
      <c r="A759" t="n">
        <v>1000</v>
      </c>
      <c r="B759" t="inlineStr">
        <is>
          <t>범용수지사업부</t>
        </is>
      </c>
      <c r="C759" t="inlineStr">
        <is>
          <t>해외영업팀</t>
        </is>
      </c>
      <c r="D759" t="inlineStr">
        <is>
          <t>C10141</t>
        </is>
      </c>
      <c r="E759" t="inlineStr">
        <is>
          <t>Sinar Plastik (ID)</t>
        </is>
      </c>
      <c r="F759" t="inlineStr">
        <is>
          <t>PP</t>
        </is>
      </c>
      <c r="G759" t="inlineStr">
        <is>
          <t>M-1102</t>
        </is>
      </c>
      <c r="H759" t="inlineStr">
        <is>
          <t>PP 고강성 H220</t>
        </is>
      </c>
      <c r="I759" s="43" t="n">
        <v>46131</v>
      </c>
      <c r="J759" t="n">
        <v>202604</v>
      </c>
      <c r="K759" s="44" t="n">
        <v>8950</v>
      </c>
      <c r="L759" t="inlineStr">
        <is>
          <t>KG</t>
        </is>
      </c>
      <c r="M759" s="44" t="n">
        <v>16701486</v>
      </c>
      <c r="N759" s="44" t="n">
        <v>2338208</v>
      </c>
      <c r="O759" t="n">
        <v>0</v>
      </c>
      <c r="P759" s="44" t="n">
        <v>14363278</v>
      </c>
      <c r="Q759" t="inlineStr">
        <is>
          <t>KRW</t>
        </is>
      </c>
      <c r="R759" t="inlineStr">
        <is>
          <t>INV2604-00758</t>
        </is>
      </c>
      <c r="S759" t="inlineStr">
        <is>
          <t>※예시데이터</t>
        </is>
      </c>
    </row>
    <row r="760">
      <c r="A760" t="n">
        <v>1000</v>
      </c>
      <c r="B760" t="inlineStr">
        <is>
          <t>범용수지사업부</t>
        </is>
      </c>
      <c r="C760" t="inlineStr">
        <is>
          <t>국내영업2팀</t>
        </is>
      </c>
      <c r="D760" t="inlineStr">
        <is>
          <t>C10050</t>
        </is>
      </c>
      <c r="E760" t="inlineStr">
        <is>
          <t>아름화학(주)</t>
        </is>
      </c>
      <c r="F760" t="inlineStr">
        <is>
          <t>PP</t>
        </is>
      </c>
      <c r="G760" t="inlineStr">
        <is>
          <t>M-1103</t>
        </is>
      </c>
      <c r="H760" t="inlineStr">
        <is>
          <t>PP 투명 R330</t>
        </is>
      </c>
      <c r="I760" s="43" t="n">
        <v>46132</v>
      </c>
      <c r="J760" t="n">
        <v>202604</v>
      </c>
      <c r="K760" s="44" t="n">
        <v>10200</v>
      </c>
      <c r="L760" t="inlineStr">
        <is>
          <t>KG</t>
        </is>
      </c>
      <c r="M760" s="44" t="n">
        <v>20289091</v>
      </c>
      <c r="N760" s="44" t="n">
        <v>2130355</v>
      </c>
      <c r="O760" s="44" t="n">
        <v>202891</v>
      </c>
      <c r="P760" s="44" t="n">
        <v>17955845</v>
      </c>
      <c r="Q760" t="inlineStr">
        <is>
          <t>KRW</t>
        </is>
      </c>
      <c r="R760" t="inlineStr">
        <is>
          <t>INV2604-00759</t>
        </is>
      </c>
      <c r="S760" t="inlineStr">
        <is>
          <t>※예시데이터</t>
        </is>
      </c>
    </row>
    <row r="761">
      <c r="A761" t="n">
        <v>1000</v>
      </c>
      <c r="B761" t="inlineStr">
        <is>
          <t>범용수지사업부</t>
        </is>
      </c>
      <c r="C761" t="inlineStr">
        <is>
          <t>국내영업2팀</t>
        </is>
      </c>
      <c r="D761" t="inlineStr">
        <is>
          <t>C10050</t>
        </is>
      </c>
      <c r="E761" t="inlineStr">
        <is>
          <t>아름화학(주)</t>
        </is>
      </c>
      <c r="F761" t="inlineStr">
        <is>
          <t>PP</t>
        </is>
      </c>
      <c r="G761" t="inlineStr">
        <is>
          <t>M-1103</t>
        </is>
      </c>
      <c r="H761" t="inlineStr">
        <is>
          <t>PP 투명 R330</t>
        </is>
      </c>
      <c r="I761" s="43" t="n">
        <v>46133</v>
      </c>
      <c r="J761" t="n">
        <v>202604</v>
      </c>
      <c r="K761" s="44" t="n">
        <v>10200</v>
      </c>
      <c r="L761" t="inlineStr">
        <is>
          <t>KG</t>
        </is>
      </c>
      <c r="M761" s="44" t="n">
        <v>20289091</v>
      </c>
      <c r="N761" s="44" t="n">
        <v>2130355</v>
      </c>
      <c r="O761" s="44" t="n">
        <v>202891</v>
      </c>
      <c r="P761" s="44" t="n">
        <v>17955845</v>
      </c>
      <c r="Q761" t="inlineStr">
        <is>
          <t>KRW</t>
        </is>
      </c>
      <c r="R761" t="inlineStr">
        <is>
          <t>INV2604-00760</t>
        </is>
      </c>
      <c r="S761" t="inlineStr">
        <is>
          <t>※예시데이터</t>
        </is>
      </c>
    </row>
    <row r="762">
      <c r="A762" t="n">
        <v>1000</v>
      </c>
      <c r="B762" t="inlineStr">
        <is>
          <t>범용수지사업부</t>
        </is>
      </c>
      <c r="C762" t="inlineStr">
        <is>
          <t>국내영업1팀</t>
        </is>
      </c>
      <c r="D762" t="inlineStr">
        <is>
          <t>C10008</t>
        </is>
      </c>
      <c r="E762" t="inlineStr">
        <is>
          <t>나래산업(주)</t>
        </is>
      </c>
      <c r="F762" t="inlineStr">
        <is>
          <t>PP</t>
        </is>
      </c>
      <c r="G762" t="inlineStr">
        <is>
          <t>M-1101</t>
        </is>
      </c>
      <c r="H762" t="inlineStr">
        <is>
          <t>PP 범용사출 H110</t>
        </is>
      </c>
      <c r="I762" s="43" t="n">
        <v>46134</v>
      </c>
      <c r="J762" t="n">
        <v>202604</v>
      </c>
      <c r="K762" s="44" t="n">
        <v>25700</v>
      </c>
      <c r="L762" t="inlineStr">
        <is>
          <t>KG</t>
        </is>
      </c>
      <c r="M762" s="44" t="n">
        <v>43478820</v>
      </c>
      <c r="N762" s="44" t="n">
        <v>4565276</v>
      </c>
      <c r="O762" s="44" t="n">
        <v>434788</v>
      </c>
      <c r="P762" s="44" t="n">
        <v>38478756</v>
      </c>
      <c r="Q762" t="inlineStr">
        <is>
          <t>KRW</t>
        </is>
      </c>
      <c r="R762" t="inlineStr">
        <is>
          <t>INV2604-00761</t>
        </is>
      </c>
      <c r="S762" t="inlineStr">
        <is>
          <t>※예시데이터</t>
        </is>
      </c>
    </row>
    <row r="763">
      <c r="A763" t="n">
        <v>1000</v>
      </c>
      <c r="B763" t="inlineStr">
        <is>
          <t>EP사업부</t>
        </is>
      </c>
      <c r="C763" t="inlineStr">
        <is>
          <t>국내영업2팀</t>
        </is>
      </c>
      <c r="D763" t="inlineStr">
        <is>
          <t>C10099</t>
        </is>
      </c>
      <c r="E763" t="inlineStr">
        <is>
          <t>한울몰드</t>
        </is>
      </c>
      <c r="F763" t="inlineStr">
        <is>
          <t>ABS</t>
        </is>
      </c>
      <c r="G763" t="inlineStr">
        <is>
          <t>M-2102</t>
        </is>
      </c>
      <c r="H763" t="inlineStr">
        <is>
          <t>ABS 내열 HR500</t>
        </is>
      </c>
      <c r="I763" s="43" t="n">
        <v>46134</v>
      </c>
      <c r="J763" t="n">
        <v>202604</v>
      </c>
      <c r="K763" s="44" t="n">
        <v>2950</v>
      </c>
      <c r="L763" t="inlineStr">
        <is>
          <t>KG</t>
        </is>
      </c>
      <c r="M763" s="44" t="n">
        <v>9101125</v>
      </c>
      <c r="N763" s="44" t="n">
        <v>591573</v>
      </c>
      <c r="O763" t="n">
        <v>0</v>
      </c>
      <c r="P763" s="44" t="n">
        <v>8509552</v>
      </c>
      <c r="Q763" t="inlineStr">
        <is>
          <t>KRW</t>
        </is>
      </c>
      <c r="R763" t="inlineStr">
        <is>
          <t>INV2604-00762</t>
        </is>
      </c>
      <c r="S763" t="inlineStr">
        <is>
          <t>※예시데이터</t>
        </is>
      </c>
    </row>
    <row r="764">
      <c r="A764" t="n">
        <v>1000</v>
      </c>
      <c r="B764" t="inlineStr">
        <is>
          <t>범용수지사업부</t>
        </is>
      </c>
      <c r="C764" t="inlineStr">
        <is>
          <t>국내영업2팀</t>
        </is>
      </c>
      <c r="D764" t="inlineStr">
        <is>
          <t>C10127</t>
        </is>
      </c>
      <c r="E764" t="inlineStr">
        <is>
          <t>미르패키징</t>
        </is>
      </c>
      <c r="F764" t="inlineStr">
        <is>
          <t>PP</t>
        </is>
      </c>
      <c r="G764" t="inlineStr">
        <is>
          <t>M-1101</t>
        </is>
      </c>
      <c r="H764" t="inlineStr">
        <is>
          <t>PP 범용사출 H110</t>
        </is>
      </c>
      <c r="I764" s="43" t="n">
        <v>46134</v>
      </c>
      <c r="J764" t="n">
        <v>202604</v>
      </c>
      <c r="K764" s="44" t="n">
        <v>2700</v>
      </c>
      <c r="L764" t="inlineStr">
        <is>
          <t>KG</t>
        </is>
      </c>
      <c r="M764" s="44" t="n">
        <v>4567814</v>
      </c>
      <c r="N764" s="44" t="n">
        <v>388264</v>
      </c>
      <c r="O764" t="n">
        <v>0</v>
      </c>
      <c r="P764" s="44" t="n">
        <v>4179550</v>
      </c>
      <c r="Q764" t="inlineStr">
        <is>
          <t>KRW</t>
        </is>
      </c>
      <c r="R764" t="inlineStr">
        <is>
          <t>INV2604-00763</t>
        </is>
      </c>
      <c r="S764" t="inlineStr">
        <is>
          <t>※예시데이터</t>
        </is>
      </c>
    </row>
    <row r="765">
      <c r="A765" t="n">
        <v>1000</v>
      </c>
      <c r="B765" t="inlineStr">
        <is>
          <t>EP사업부</t>
        </is>
      </c>
      <c r="C765" t="inlineStr">
        <is>
          <t>국내영업1팀</t>
        </is>
      </c>
      <c r="D765" t="inlineStr">
        <is>
          <t>C10134</t>
        </is>
      </c>
      <c r="E765" t="inlineStr">
        <is>
          <t>별하전자(주)</t>
        </is>
      </c>
      <c r="F765" t="inlineStr">
        <is>
          <t>PC</t>
        </is>
      </c>
      <c r="G765" t="inlineStr">
        <is>
          <t>M-2202</t>
        </is>
      </c>
      <c r="H765" t="inlineStr">
        <is>
          <t>PC 난연 FR200</t>
        </is>
      </c>
      <c r="I765" s="43" t="n">
        <v>46134</v>
      </c>
      <c r="J765" t="n">
        <v>202604</v>
      </c>
      <c r="K765" s="44" t="n">
        <v>1400</v>
      </c>
      <c r="L765" t="inlineStr">
        <is>
          <t>KG</t>
        </is>
      </c>
      <c r="M765" s="44" t="n">
        <v>6183593</v>
      </c>
      <c r="N765" s="44" t="n">
        <v>185508</v>
      </c>
      <c r="O765" t="n">
        <v>0</v>
      </c>
      <c r="P765" s="44" t="n">
        <v>5998085</v>
      </c>
      <c r="Q765" t="inlineStr">
        <is>
          <t>KRW</t>
        </is>
      </c>
      <c r="R765" t="inlineStr">
        <is>
          <t>INV2604-00764</t>
        </is>
      </c>
      <c r="S765" t="inlineStr">
        <is>
          <t>※예시데이터</t>
        </is>
      </c>
    </row>
    <row r="766">
      <c r="A766" t="n">
        <v>1000</v>
      </c>
      <c r="B766" t="inlineStr">
        <is>
          <t>범용수지사업부</t>
        </is>
      </c>
      <c r="C766" t="inlineStr">
        <is>
          <t>국내영업1팀</t>
        </is>
      </c>
      <c r="D766" t="inlineStr">
        <is>
          <t>C10001</t>
        </is>
      </c>
      <c r="E766" t="inlineStr">
        <is>
          <t>가온소재(주)</t>
        </is>
      </c>
      <c r="F766" t="inlineStr">
        <is>
          <t>PE</t>
        </is>
      </c>
      <c r="G766" t="inlineStr">
        <is>
          <t>M-1201</t>
        </is>
      </c>
      <c r="H766" t="inlineStr">
        <is>
          <t>HDPE 블로우 B500</t>
        </is>
      </c>
      <c r="I766" s="43" t="n">
        <v>46137</v>
      </c>
      <c r="J766" t="n">
        <v>202604</v>
      </c>
      <c r="K766" s="44" t="n">
        <v>3950</v>
      </c>
      <c r="L766" t="inlineStr">
        <is>
          <t>KG</t>
        </is>
      </c>
      <c r="M766" s="44" t="n">
        <v>6119471</v>
      </c>
      <c r="N766" s="44" t="n">
        <v>305974</v>
      </c>
      <c r="O766" t="n">
        <v>0</v>
      </c>
      <c r="P766" s="44" t="n">
        <v>5813497</v>
      </c>
      <c r="Q766" t="inlineStr">
        <is>
          <t>KRW</t>
        </is>
      </c>
      <c r="R766" t="inlineStr">
        <is>
          <t>INV2604-00765</t>
        </is>
      </c>
      <c r="S766" t="inlineStr">
        <is>
          <t>※예시데이터</t>
        </is>
      </c>
    </row>
    <row r="767">
      <c r="A767" t="n">
        <v>1000</v>
      </c>
      <c r="B767" t="inlineStr">
        <is>
          <t>EP사업부</t>
        </is>
      </c>
      <c r="C767" t="inlineStr">
        <is>
          <t>국내영업2팀</t>
        </is>
      </c>
      <c r="D767" t="inlineStr">
        <is>
          <t>C10015</t>
        </is>
      </c>
      <c r="E767" t="inlineStr">
        <is>
          <t>다솜케미칼</t>
        </is>
      </c>
      <c r="F767" t="inlineStr">
        <is>
          <t>PC</t>
        </is>
      </c>
      <c r="G767" t="inlineStr">
        <is>
          <t>M-2202</t>
        </is>
      </c>
      <c r="H767" t="inlineStr">
        <is>
          <t>PC 난연 FR200</t>
        </is>
      </c>
      <c r="I767" s="43" t="n">
        <v>46137</v>
      </c>
      <c r="J767" t="n">
        <v>202604</v>
      </c>
      <c r="K767" s="44" t="n">
        <v>1750</v>
      </c>
      <c r="L767" t="inlineStr">
        <is>
          <t>KG</t>
        </is>
      </c>
      <c r="M767" s="44" t="n">
        <v>7729492</v>
      </c>
      <c r="N767" s="44" t="n">
        <v>386475</v>
      </c>
      <c r="O767" t="n">
        <v>0</v>
      </c>
      <c r="P767" s="44" t="n">
        <v>7343017</v>
      </c>
      <c r="Q767" t="inlineStr">
        <is>
          <t>KRW</t>
        </is>
      </c>
      <c r="R767" t="inlineStr">
        <is>
          <t>INV2604-00766</t>
        </is>
      </c>
      <c r="S767" t="inlineStr">
        <is>
          <t>※예시데이터</t>
        </is>
      </c>
    </row>
    <row r="768">
      <c r="A768" t="n">
        <v>1000</v>
      </c>
      <c r="B768" t="inlineStr">
        <is>
          <t>범용수지사업부</t>
        </is>
      </c>
      <c r="C768" t="inlineStr">
        <is>
          <t>국내영업2팀</t>
        </is>
      </c>
      <c r="D768" t="inlineStr">
        <is>
          <t>C10127</t>
        </is>
      </c>
      <c r="E768" t="inlineStr">
        <is>
          <t>미르패키징</t>
        </is>
      </c>
      <c r="F768" t="inlineStr">
        <is>
          <t>PE</t>
        </is>
      </c>
      <c r="G768" t="inlineStr">
        <is>
          <t>M-1202</t>
        </is>
      </c>
      <c r="H768" t="inlineStr">
        <is>
          <t>LLDPE 필름 F120</t>
        </is>
      </c>
      <c r="I768" s="43" t="n">
        <v>46138</v>
      </c>
      <c r="J768" t="n">
        <v>202604</v>
      </c>
      <c r="K768" s="44" t="n">
        <v>2450</v>
      </c>
      <c r="L768" t="inlineStr">
        <is>
          <t>KG</t>
        </is>
      </c>
      <c r="M768" s="44" t="n">
        <v>4107919</v>
      </c>
      <c r="N768" s="44" t="n">
        <v>349173</v>
      </c>
      <c r="O768" t="n">
        <v>0</v>
      </c>
      <c r="P768" s="44" t="n">
        <v>3758746</v>
      </c>
      <c r="Q768" t="inlineStr">
        <is>
          <t>KRW</t>
        </is>
      </c>
      <c r="R768" t="inlineStr">
        <is>
          <t>INV2604-00767</t>
        </is>
      </c>
      <c r="S768" t="inlineStr">
        <is>
          <t>※예시데이터</t>
        </is>
      </c>
    </row>
    <row r="769">
      <c r="A769" t="n">
        <v>1000</v>
      </c>
      <c r="B769" t="inlineStr">
        <is>
          <t>EP사업부</t>
        </is>
      </c>
      <c r="C769" t="inlineStr">
        <is>
          <t>해외영업팀</t>
        </is>
      </c>
      <c r="D769" t="inlineStr">
        <is>
          <t>C10148</t>
        </is>
      </c>
      <c r="E769" t="inlineStr">
        <is>
          <t>Hanoi Molding (VN)</t>
        </is>
      </c>
      <c r="F769" t="inlineStr">
        <is>
          <t>ABS</t>
        </is>
      </c>
      <c r="G769" t="inlineStr">
        <is>
          <t>M-2101</t>
        </is>
      </c>
      <c r="H769" t="inlineStr">
        <is>
          <t>ABS 범용 G300</t>
        </is>
      </c>
      <c r="I769" s="43" t="n">
        <v>46138</v>
      </c>
      <c r="J769" t="n">
        <v>202604</v>
      </c>
      <c r="K769" s="44" t="n">
        <v>4300</v>
      </c>
      <c r="L769" t="inlineStr">
        <is>
          <t>KG</t>
        </is>
      </c>
      <c r="M769" s="44" t="n">
        <v>11796988</v>
      </c>
      <c r="N769" s="44" t="n">
        <v>1179699</v>
      </c>
      <c r="O769" t="n">
        <v>0</v>
      </c>
      <c r="P769" s="44" t="n">
        <v>10617289</v>
      </c>
      <c r="Q769" t="inlineStr">
        <is>
          <t>KRW</t>
        </is>
      </c>
      <c r="R769" t="inlineStr">
        <is>
          <t>INV2604-00768</t>
        </is>
      </c>
      <c r="S769" t="inlineStr">
        <is>
          <t>※예시데이터</t>
        </is>
      </c>
    </row>
    <row r="770">
      <c r="A770" t="n">
        <v>1000</v>
      </c>
      <c r="B770" t="inlineStr">
        <is>
          <t>EP사업부</t>
        </is>
      </c>
      <c r="C770" t="inlineStr">
        <is>
          <t>국내영업2팀</t>
        </is>
      </c>
      <c r="D770" t="inlineStr">
        <is>
          <t>C10015</t>
        </is>
      </c>
      <c r="E770" t="inlineStr">
        <is>
          <t>다솜케미칼</t>
        </is>
      </c>
      <c r="F770" t="inlineStr">
        <is>
          <t>ABS</t>
        </is>
      </c>
      <c r="G770" t="inlineStr">
        <is>
          <t>M-2101</t>
        </is>
      </c>
      <c r="H770" t="inlineStr">
        <is>
          <t>ABS 범용 G300</t>
        </is>
      </c>
      <c r="I770" s="43" t="n">
        <v>46139</v>
      </c>
      <c r="J770" t="n">
        <v>202604</v>
      </c>
      <c r="K770" s="44" t="n">
        <v>1500</v>
      </c>
      <c r="L770" t="inlineStr">
        <is>
          <t>KG</t>
        </is>
      </c>
      <c r="M770" s="44" t="n">
        <v>4115228</v>
      </c>
      <c r="N770" s="44" t="n">
        <v>205761</v>
      </c>
      <c r="O770" t="n">
        <v>0</v>
      </c>
      <c r="P770" s="44" t="n">
        <v>3909467</v>
      </c>
      <c r="Q770" t="inlineStr">
        <is>
          <t>KRW</t>
        </is>
      </c>
      <c r="R770" t="inlineStr">
        <is>
          <t>INV2604-00769</t>
        </is>
      </c>
      <c r="S770" t="inlineStr">
        <is>
          <t>※예시데이터</t>
        </is>
      </c>
    </row>
    <row r="771">
      <c r="A771" t="n">
        <v>1000</v>
      </c>
      <c r="B771" t="inlineStr">
        <is>
          <t>EP사업부</t>
        </is>
      </c>
      <c r="C771" t="inlineStr">
        <is>
          <t>국내영업1팀</t>
        </is>
      </c>
      <c r="D771" t="inlineStr">
        <is>
          <t>C10057</t>
        </is>
      </c>
      <c r="E771" t="inlineStr">
        <is>
          <t>자연엠텍</t>
        </is>
      </c>
      <c r="F771" t="inlineStr">
        <is>
          <t>ABS</t>
        </is>
      </c>
      <c r="G771" t="inlineStr">
        <is>
          <t>M-2101</t>
        </is>
      </c>
      <c r="H771" t="inlineStr">
        <is>
          <t>ABS 범용 G300</t>
        </is>
      </c>
      <c r="I771" s="43" t="n">
        <v>46139</v>
      </c>
      <c r="J771" t="n">
        <v>202604</v>
      </c>
      <c r="K771" s="44" t="n">
        <v>3000</v>
      </c>
      <c r="L771" t="inlineStr">
        <is>
          <t>KG</t>
        </is>
      </c>
      <c r="M771" s="44" t="n">
        <v>8230457</v>
      </c>
      <c r="N771" s="44" t="n">
        <v>288066</v>
      </c>
      <c r="O771" t="n">
        <v>0</v>
      </c>
      <c r="P771" s="44" t="n">
        <v>7942391</v>
      </c>
      <c r="Q771" t="inlineStr">
        <is>
          <t>KRW</t>
        </is>
      </c>
      <c r="R771" t="inlineStr">
        <is>
          <t>INV2604-00770</t>
        </is>
      </c>
      <c r="S771" t="inlineStr">
        <is>
          <t>※예시데이터</t>
        </is>
      </c>
    </row>
    <row r="772">
      <c r="A772" t="n">
        <v>1000</v>
      </c>
      <c r="B772" t="inlineStr">
        <is>
          <t>범용수지사업부</t>
        </is>
      </c>
      <c r="C772" t="inlineStr">
        <is>
          <t>국내영업1팀</t>
        </is>
      </c>
      <c r="D772" t="inlineStr">
        <is>
          <t>C10008</t>
        </is>
      </c>
      <c r="E772" t="inlineStr">
        <is>
          <t>나래산업(주)</t>
        </is>
      </c>
      <c r="F772" t="inlineStr">
        <is>
          <t>PP</t>
        </is>
      </c>
      <c r="G772" t="inlineStr">
        <is>
          <t>M-1101</t>
        </is>
      </c>
      <c r="H772" t="inlineStr">
        <is>
          <t>PP 범용사출 H110</t>
        </is>
      </c>
      <c r="I772" s="43" t="n">
        <v>46140</v>
      </c>
      <c r="J772" t="n">
        <v>202604</v>
      </c>
      <c r="K772" t="n">
        <v>0</v>
      </c>
      <c r="L772" t="inlineStr">
        <is>
          <t>KG</t>
        </is>
      </c>
      <c r="M772" t="n">
        <v>0</v>
      </c>
      <c r="N772" t="n">
        <v>0</v>
      </c>
      <c r="O772" s="44" t="n">
        <v>4200000</v>
      </c>
      <c r="P772" s="44" t="n">
        <v>-4200000</v>
      </c>
      <c r="Q772" t="inlineStr">
        <is>
          <t>KRW</t>
        </is>
      </c>
      <c r="R772" t="inlineStr">
        <is>
          <t>INV2604-00771</t>
        </is>
      </c>
      <c r="S772" t="inlineStr">
        <is>
          <t>※예시데이터</t>
        </is>
      </c>
    </row>
    <row r="773">
      <c r="A773" t="n">
        <v>1000</v>
      </c>
      <c r="B773" t="inlineStr">
        <is>
          <t>EP사업부</t>
        </is>
      </c>
      <c r="C773" t="inlineStr">
        <is>
          <t>국내영업2팀</t>
        </is>
      </c>
      <c r="D773" t="inlineStr">
        <is>
          <t>C10085</t>
        </is>
      </c>
      <c r="E773" t="inlineStr">
        <is>
          <t>파란하이텍</t>
        </is>
      </c>
      <c r="F773" t="inlineStr">
        <is>
          <t>PC</t>
        </is>
      </c>
      <c r="G773" t="inlineStr">
        <is>
          <t>M-2201</t>
        </is>
      </c>
      <c r="H773" t="inlineStr">
        <is>
          <t>PC 일반 C100</t>
        </is>
      </c>
      <c r="I773" s="43" t="n">
        <v>46140</v>
      </c>
      <c r="J773" t="n">
        <v>202604</v>
      </c>
      <c r="K773" s="44" t="n">
        <v>4475</v>
      </c>
      <c r="L773" t="inlineStr">
        <is>
          <t>KG</t>
        </is>
      </c>
      <c r="M773" s="44" t="n">
        <v>17720716</v>
      </c>
      <c r="N773" s="44" t="n">
        <v>1594864</v>
      </c>
      <c r="O773" t="n">
        <v>0</v>
      </c>
      <c r="P773" s="44" t="n">
        <v>16125852</v>
      </c>
      <c r="Q773" t="inlineStr">
        <is>
          <t>KRW</t>
        </is>
      </c>
      <c r="R773" t="inlineStr">
        <is>
          <t>INV2604-00772</t>
        </is>
      </c>
      <c r="S773" t="inlineStr">
        <is>
          <t>※예시데이터</t>
        </is>
      </c>
    </row>
    <row r="774">
      <c r="A774" t="n">
        <v>1000</v>
      </c>
      <c r="B774" t="inlineStr">
        <is>
          <t>EP사업부</t>
        </is>
      </c>
      <c r="C774" t="inlineStr">
        <is>
          <t>국내영업2팀</t>
        </is>
      </c>
      <c r="D774" t="inlineStr">
        <is>
          <t>C10085</t>
        </is>
      </c>
      <c r="E774" t="inlineStr">
        <is>
          <t>파란하이텍</t>
        </is>
      </c>
      <c r="F774" t="inlineStr">
        <is>
          <t>PC</t>
        </is>
      </c>
      <c r="G774" t="inlineStr">
        <is>
          <t>M-2202</t>
        </is>
      </c>
      <c r="H774" t="inlineStr">
        <is>
          <t>PC 난연 FR200</t>
        </is>
      </c>
      <c r="I774" s="43" t="n">
        <v>46140</v>
      </c>
      <c r="J774" t="n">
        <v>202604</v>
      </c>
      <c r="K774" s="44" t="n">
        <v>5050</v>
      </c>
      <c r="L774" t="inlineStr">
        <is>
          <t>KG</t>
        </is>
      </c>
      <c r="M774" s="44" t="n">
        <v>22305105</v>
      </c>
      <c r="N774" s="44" t="n">
        <v>2007459</v>
      </c>
      <c r="O774" t="n">
        <v>0</v>
      </c>
      <c r="P774" s="44" t="n">
        <v>20297646</v>
      </c>
      <c r="Q774" t="inlineStr">
        <is>
          <t>KRW</t>
        </is>
      </c>
      <c r="R774" t="inlineStr">
        <is>
          <t>INV2604-00773</t>
        </is>
      </c>
      <c r="S774" t="inlineStr">
        <is>
          <t>※예시데이터</t>
        </is>
      </c>
    </row>
    <row r="775">
      <c r="A775" t="n">
        <v>1000</v>
      </c>
      <c r="B775" t="inlineStr">
        <is>
          <t>범용수지사업부</t>
        </is>
      </c>
      <c r="C775" t="inlineStr">
        <is>
          <t>국내영업1팀</t>
        </is>
      </c>
      <c r="D775" t="inlineStr">
        <is>
          <t>C10106</t>
        </is>
      </c>
      <c r="E775" t="inlineStr">
        <is>
          <t>온새미사출</t>
        </is>
      </c>
      <c r="F775" t="inlineStr">
        <is>
          <t>PP</t>
        </is>
      </c>
      <c r="G775" t="inlineStr">
        <is>
          <t>M-1101</t>
        </is>
      </c>
      <c r="H775" t="inlineStr">
        <is>
          <t>PP 범용사출 H110</t>
        </is>
      </c>
      <c r="I775" s="43" t="n">
        <v>46140</v>
      </c>
      <c r="J775" t="n">
        <v>202604</v>
      </c>
      <c r="K775" s="44" t="n">
        <v>4950</v>
      </c>
      <c r="L775" t="inlineStr">
        <is>
          <t>KG</t>
        </is>
      </c>
      <c r="M775" s="44" t="n">
        <v>8374325</v>
      </c>
      <c r="N775" s="44" t="n">
        <v>418716</v>
      </c>
      <c r="O775" t="n">
        <v>0</v>
      </c>
      <c r="P775" s="44" t="n">
        <v>7955609</v>
      </c>
      <c r="Q775" t="inlineStr">
        <is>
          <t>KRW</t>
        </is>
      </c>
      <c r="R775" t="inlineStr">
        <is>
          <t>INV2604-00774</t>
        </is>
      </c>
      <c r="S775" t="inlineStr">
        <is>
          <t>※예시데이터</t>
        </is>
      </c>
    </row>
    <row r="776">
      <c r="A776" t="n">
        <v>1000</v>
      </c>
      <c r="B776" t="inlineStr">
        <is>
          <t>EP사업부</t>
        </is>
      </c>
      <c r="C776" t="inlineStr">
        <is>
          <t>국내영업1팀</t>
        </is>
      </c>
      <c r="D776" t="inlineStr">
        <is>
          <t>C10043</t>
        </is>
      </c>
      <c r="E776" t="inlineStr">
        <is>
          <t>새봄플라스틱</t>
        </is>
      </c>
      <c r="F776" t="inlineStr">
        <is>
          <t>ABS</t>
        </is>
      </c>
      <c r="G776" t="inlineStr">
        <is>
          <t>M-2102</t>
        </is>
      </c>
      <c r="H776" t="inlineStr">
        <is>
          <t>ABS 내열 HR500</t>
        </is>
      </c>
      <c r="I776" s="43" t="n">
        <v>46143</v>
      </c>
      <c r="J776" t="n">
        <v>202605</v>
      </c>
      <c r="K776" s="44" t="n">
        <v>6575</v>
      </c>
      <c r="L776" t="inlineStr">
        <is>
          <t>KG</t>
        </is>
      </c>
      <c r="M776" s="44" t="n">
        <v>20259999</v>
      </c>
      <c r="N776" s="44" t="n">
        <v>1215600</v>
      </c>
      <c r="O776" t="n">
        <v>0</v>
      </c>
      <c r="P776" s="44" t="n">
        <v>19044399</v>
      </c>
      <c r="Q776" t="inlineStr">
        <is>
          <t>KRW</t>
        </is>
      </c>
      <c r="R776" t="inlineStr">
        <is>
          <t>INV2605-00775</t>
        </is>
      </c>
      <c r="S776" t="inlineStr">
        <is>
          <t>※예시데이터</t>
        </is>
      </c>
    </row>
    <row r="777">
      <c r="A777" t="n">
        <v>1000</v>
      </c>
      <c r="B777" t="inlineStr">
        <is>
          <t>EP사업부</t>
        </is>
      </c>
      <c r="C777" t="inlineStr">
        <is>
          <t>국내영업2팀</t>
        </is>
      </c>
      <c r="D777" t="inlineStr">
        <is>
          <t>C10099</t>
        </is>
      </c>
      <c r="E777" t="inlineStr">
        <is>
          <t>한울몰드</t>
        </is>
      </c>
      <c r="F777" t="inlineStr">
        <is>
          <t>ABS</t>
        </is>
      </c>
      <c r="G777" t="inlineStr">
        <is>
          <t>M-2102</t>
        </is>
      </c>
      <c r="H777" t="inlineStr">
        <is>
          <t>ABS 내열 HR500</t>
        </is>
      </c>
      <c r="I777" s="43" t="n">
        <v>46143</v>
      </c>
      <c r="J777" t="n">
        <v>202605</v>
      </c>
      <c r="K777" s="44" t="n">
        <v>3050</v>
      </c>
      <c r="L777" t="inlineStr">
        <is>
          <t>KG</t>
        </is>
      </c>
      <c r="M777" s="44" t="n">
        <v>9398174</v>
      </c>
      <c r="N777" s="44" t="n">
        <v>610881</v>
      </c>
      <c r="O777" t="n">
        <v>0</v>
      </c>
      <c r="P777" s="44" t="n">
        <v>8787293</v>
      </c>
      <c r="Q777" t="inlineStr">
        <is>
          <t>KRW</t>
        </is>
      </c>
      <c r="R777" t="inlineStr">
        <is>
          <t>INV2605-00776</t>
        </is>
      </c>
      <c r="S777" t="inlineStr">
        <is>
          <t>※예시데이터</t>
        </is>
      </c>
    </row>
    <row r="778">
      <c r="A778" t="n">
        <v>1000</v>
      </c>
      <c r="B778" t="inlineStr">
        <is>
          <t>EP사업부</t>
        </is>
      </c>
      <c r="C778" t="inlineStr">
        <is>
          <t>국내영업2팀</t>
        </is>
      </c>
      <c r="D778" t="inlineStr">
        <is>
          <t>C10113</t>
        </is>
      </c>
      <c r="E778" t="inlineStr">
        <is>
          <t>누리오토파츠</t>
        </is>
      </c>
      <c r="F778" t="inlineStr">
        <is>
          <t>ABS</t>
        </is>
      </c>
      <c r="G778" t="inlineStr">
        <is>
          <t>M-2102</t>
        </is>
      </c>
      <c r="H778" t="inlineStr">
        <is>
          <t>ABS 내열 HR500</t>
        </is>
      </c>
      <c r="I778" s="43" t="n">
        <v>46146</v>
      </c>
      <c r="J778" t="n">
        <v>202605</v>
      </c>
      <c r="K778" s="44" t="n">
        <v>1975</v>
      </c>
      <c r="L778" t="inlineStr">
        <is>
          <t>KG</t>
        </is>
      </c>
      <c r="M778" s="44" t="n">
        <v>6085703</v>
      </c>
      <c r="N778" s="44" t="n">
        <v>547713</v>
      </c>
      <c r="O778" s="44" t="n">
        <v>60857</v>
      </c>
      <c r="P778" s="44" t="n">
        <v>5477133</v>
      </c>
      <c r="Q778" t="inlineStr">
        <is>
          <t>KRW</t>
        </is>
      </c>
      <c r="R778" t="inlineStr">
        <is>
          <t>INV2605-00777</t>
        </is>
      </c>
      <c r="S778" t="inlineStr">
        <is>
          <t>※예시데이터</t>
        </is>
      </c>
    </row>
    <row r="779">
      <c r="A779" t="n">
        <v>1000</v>
      </c>
      <c r="B779" t="inlineStr">
        <is>
          <t>범용수지사업부</t>
        </is>
      </c>
      <c r="C779" t="inlineStr">
        <is>
          <t>국내영업2팀</t>
        </is>
      </c>
      <c r="D779" t="inlineStr">
        <is>
          <t>C10099</t>
        </is>
      </c>
      <c r="E779" t="inlineStr">
        <is>
          <t>한울몰드</t>
        </is>
      </c>
      <c r="F779" t="inlineStr">
        <is>
          <t>PP</t>
        </is>
      </c>
      <c r="G779" t="inlineStr">
        <is>
          <t>M-1101</t>
        </is>
      </c>
      <c r="H779" t="inlineStr">
        <is>
          <t>PP 범용사출 H110</t>
        </is>
      </c>
      <c r="I779" s="43" t="n">
        <v>46147</v>
      </c>
      <c r="J779" t="n">
        <v>202605</v>
      </c>
      <c r="K779" s="44" t="n">
        <v>1300</v>
      </c>
      <c r="L779" t="inlineStr">
        <is>
          <t>KG</t>
        </is>
      </c>
      <c r="M779" s="44" t="n">
        <v>2196638</v>
      </c>
      <c r="N779" s="44" t="n">
        <v>142781</v>
      </c>
      <c r="O779" t="n">
        <v>0</v>
      </c>
      <c r="P779" s="44" t="n">
        <v>2053857</v>
      </c>
      <c r="Q779" t="inlineStr">
        <is>
          <t>KRW</t>
        </is>
      </c>
      <c r="R779" t="inlineStr">
        <is>
          <t>INV2605-00778</t>
        </is>
      </c>
      <c r="S779" t="inlineStr">
        <is>
          <t>※예시데이터</t>
        </is>
      </c>
    </row>
    <row r="780">
      <c r="A780" t="n">
        <v>1000</v>
      </c>
      <c r="B780" t="inlineStr">
        <is>
          <t>EP사업부</t>
        </is>
      </c>
      <c r="C780" t="inlineStr">
        <is>
          <t>국내영업2팀</t>
        </is>
      </c>
      <c r="D780" t="inlineStr">
        <is>
          <t>C10113</t>
        </is>
      </c>
      <c r="E780" t="inlineStr">
        <is>
          <t>누리오토파츠</t>
        </is>
      </c>
      <c r="F780" t="inlineStr">
        <is>
          <t>ABS</t>
        </is>
      </c>
      <c r="G780" t="inlineStr">
        <is>
          <t>M-2102</t>
        </is>
      </c>
      <c r="H780" t="inlineStr">
        <is>
          <t>ABS 내열 HR500</t>
        </is>
      </c>
      <c r="I780" s="43" t="n">
        <v>46147</v>
      </c>
      <c r="J780" t="n">
        <v>202605</v>
      </c>
      <c r="K780" s="44" t="n">
        <v>1975</v>
      </c>
      <c r="L780" t="inlineStr">
        <is>
          <t>KG</t>
        </is>
      </c>
      <c r="M780" s="44" t="n">
        <v>6085703</v>
      </c>
      <c r="N780" s="44" t="n">
        <v>547713</v>
      </c>
      <c r="O780" s="44" t="n">
        <v>60857</v>
      </c>
      <c r="P780" s="44" t="n">
        <v>5477133</v>
      </c>
      <c r="Q780" t="inlineStr">
        <is>
          <t>KRW</t>
        </is>
      </c>
      <c r="R780" t="inlineStr">
        <is>
          <t>INV2605-00779</t>
        </is>
      </c>
      <c r="S780" t="inlineStr">
        <is>
          <t>※예시데이터</t>
        </is>
      </c>
    </row>
    <row r="781">
      <c r="A781" t="n">
        <v>1000</v>
      </c>
      <c r="B781" t="inlineStr">
        <is>
          <t>범용수지사업부</t>
        </is>
      </c>
      <c r="C781" t="inlineStr">
        <is>
          <t>국내영업2팀</t>
        </is>
      </c>
      <c r="D781" t="inlineStr">
        <is>
          <t>C10050</t>
        </is>
      </c>
      <c r="E781" t="inlineStr">
        <is>
          <t>아름화학(주)</t>
        </is>
      </c>
      <c r="F781" t="inlineStr">
        <is>
          <t>PE</t>
        </is>
      </c>
      <c r="G781" t="inlineStr">
        <is>
          <t>M-1201</t>
        </is>
      </c>
      <c r="H781" t="inlineStr">
        <is>
          <t>HDPE 블로우 B500</t>
        </is>
      </c>
      <c r="I781" s="43" t="n">
        <v>46148</v>
      </c>
      <c r="J781" t="n">
        <v>202605</v>
      </c>
      <c r="K781" s="44" t="n">
        <v>14325</v>
      </c>
      <c r="L781" t="inlineStr">
        <is>
          <t>KG</t>
        </is>
      </c>
      <c r="M781" s="44" t="n">
        <v>22165728</v>
      </c>
      <c r="N781" s="44" t="n">
        <v>2327401</v>
      </c>
      <c r="O781" s="44" t="n">
        <v>221657</v>
      </c>
      <c r="P781" s="44" t="n">
        <v>19616670</v>
      </c>
      <c r="Q781" t="inlineStr">
        <is>
          <t>KRW</t>
        </is>
      </c>
      <c r="R781" t="inlineStr">
        <is>
          <t>INV2605-00780</t>
        </is>
      </c>
      <c r="S781" t="inlineStr">
        <is>
          <t>※예시데이터</t>
        </is>
      </c>
    </row>
    <row r="782">
      <c r="A782" t="n">
        <v>1000</v>
      </c>
      <c r="B782" t="inlineStr">
        <is>
          <t>EP사업부</t>
        </is>
      </c>
      <c r="C782" t="inlineStr">
        <is>
          <t>국내영업2팀</t>
        </is>
      </c>
      <c r="D782" t="inlineStr">
        <is>
          <t>C10099</t>
        </is>
      </c>
      <c r="E782" t="inlineStr">
        <is>
          <t>한울몰드</t>
        </is>
      </c>
      <c r="F782" t="inlineStr">
        <is>
          <t>ABS</t>
        </is>
      </c>
      <c r="G782" t="inlineStr">
        <is>
          <t>M-2101</t>
        </is>
      </c>
      <c r="H782" t="inlineStr">
        <is>
          <t>ABS 범용 G300</t>
        </is>
      </c>
      <c r="I782" s="43" t="n">
        <v>46148</v>
      </c>
      <c r="J782" t="n">
        <v>202605</v>
      </c>
      <c r="K782" s="44" t="n">
        <v>1200</v>
      </c>
      <c r="L782" t="inlineStr">
        <is>
          <t>KG</t>
        </is>
      </c>
      <c r="M782" s="44" t="n">
        <v>3288172</v>
      </c>
      <c r="N782" s="44" t="n">
        <v>213731</v>
      </c>
      <c r="O782" t="n">
        <v>0</v>
      </c>
      <c r="P782" s="44" t="n">
        <v>3074441</v>
      </c>
      <c r="Q782" t="inlineStr">
        <is>
          <t>KRW</t>
        </is>
      </c>
      <c r="R782" t="inlineStr">
        <is>
          <t>INV2605-00781</t>
        </is>
      </c>
      <c r="S782" t="inlineStr">
        <is>
          <t>※예시데이터</t>
        </is>
      </c>
    </row>
    <row r="783">
      <c r="A783" t="n">
        <v>1000</v>
      </c>
      <c r="B783" t="inlineStr">
        <is>
          <t>범용수지사업부</t>
        </is>
      </c>
      <c r="C783" t="inlineStr">
        <is>
          <t>국내영업1팀</t>
        </is>
      </c>
      <c r="D783" t="inlineStr">
        <is>
          <t>C10001</t>
        </is>
      </c>
      <c r="E783" t="inlineStr">
        <is>
          <t>가온소재(주)</t>
        </is>
      </c>
      <c r="F783" t="inlineStr">
        <is>
          <t>PP</t>
        </is>
      </c>
      <c r="G783" t="inlineStr">
        <is>
          <t>M-1102</t>
        </is>
      </c>
      <c r="H783" t="inlineStr">
        <is>
          <t>PP 고강성 H220</t>
        </is>
      </c>
      <c r="I783" s="43" t="n">
        <v>46149</v>
      </c>
      <c r="J783" t="n">
        <v>202605</v>
      </c>
      <c r="K783" s="44" t="n">
        <v>1400</v>
      </c>
      <c r="L783" t="inlineStr">
        <is>
          <t>KG</t>
        </is>
      </c>
      <c r="M783" s="44" t="n">
        <v>2609340</v>
      </c>
      <c r="N783" s="44" t="n">
        <v>130467</v>
      </c>
      <c r="O783" t="n">
        <v>0</v>
      </c>
      <c r="P783" s="44" t="n">
        <v>2478873</v>
      </c>
      <c r="Q783" t="inlineStr">
        <is>
          <t>KRW</t>
        </is>
      </c>
      <c r="R783" t="inlineStr">
        <is>
          <t>INV2605-00782</t>
        </is>
      </c>
      <c r="S783" t="inlineStr">
        <is>
          <t>※예시데이터</t>
        </is>
      </c>
    </row>
    <row r="784">
      <c r="A784" t="n">
        <v>1000</v>
      </c>
      <c r="B784" t="inlineStr">
        <is>
          <t>EP사업부</t>
        </is>
      </c>
      <c r="C784" t="inlineStr">
        <is>
          <t>국내영업2팀</t>
        </is>
      </c>
      <c r="D784" t="inlineStr">
        <is>
          <t>C10022</t>
        </is>
      </c>
      <c r="E784" t="inlineStr">
        <is>
          <t>라온테크(주)</t>
        </is>
      </c>
      <c r="F784" t="inlineStr">
        <is>
          <t>ABS</t>
        </is>
      </c>
      <c r="G784" t="inlineStr">
        <is>
          <t>M-2101</t>
        </is>
      </c>
      <c r="H784" t="inlineStr">
        <is>
          <t>ABS 범용 G300</t>
        </is>
      </c>
      <c r="I784" s="43" t="n">
        <v>46149</v>
      </c>
      <c r="J784" t="n">
        <v>202605</v>
      </c>
      <c r="K784" s="44" t="n">
        <v>3200</v>
      </c>
      <c r="L784" t="inlineStr">
        <is>
          <t>KG</t>
        </is>
      </c>
      <c r="M784" s="44" t="n">
        <v>8768458</v>
      </c>
      <c r="N784" s="44" t="n">
        <v>964530</v>
      </c>
      <c r="O784" t="n">
        <v>0</v>
      </c>
      <c r="P784" s="44" t="n">
        <v>7803928</v>
      </c>
      <c r="Q784" t="inlineStr">
        <is>
          <t>KRW</t>
        </is>
      </c>
      <c r="R784" t="inlineStr">
        <is>
          <t>INV2605-00783</t>
        </is>
      </c>
      <c r="S784" t="inlineStr">
        <is>
          <t>※예시데이터</t>
        </is>
      </c>
    </row>
    <row r="785">
      <c r="A785" t="n">
        <v>1000</v>
      </c>
      <c r="B785" t="inlineStr">
        <is>
          <t>범용수지사업부</t>
        </is>
      </c>
      <c r="C785" t="inlineStr">
        <is>
          <t>국내영업1팀</t>
        </is>
      </c>
      <c r="D785" t="inlineStr">
        <is>
          <t>C10106</t>
        </is>
      </c>
      <c r="E785" t="inlineStr">
        <is>
          <t>온새미사출</t>
        </is>
      </c>
      <c r="F785" t="inlineStr">
        <is>
          <t>PP</t>
        </is>
      </c>
      <c r="G785" t="inlineStr">
        <is>
          <t>M-1101</t>
        </is>
      </c>
      <c r="H785" t="inlineStr">
        <is>
          <t>PP 범용사출 H110</t>
        </is>
      </c>
      <c r="I785" s="43" t="n">
        <v>46149</v>
      </c>
      <c r="J785" t="n">
        <v>202605</v>
      </c>
      <c r="K785" s="44" t="n">
        <v>2875</v>
      </c>
      <c r="L785" t="inlineStr">
        <is>
          <t>KG</t>
        </is>
      </c>
      <c r="M785" s="44" t="n">
        <v>4857950</v>
      </c>
      <c r="N785" s="44" t="n">
        <v>242898</v>
      </c>
      <c r="O785" t="n">
        <v>0</v>
      </c>
      <c r="P785" s="44" t="n">
        <v>4615052</v>
      </c>
      <c r="Q785" t="inlineStr">
        <is>
          <t>KRW</t>
        </is>
      </c>
      <c r="R785" t="inlineStr">
        <is>
          <t>INV2605-00784</t>
        </is>
      </c>
      <c r="S785" t="inlineStr">
        <is>
          <t>※예시데이터</t>
        </is>
      </c>
    </row>
    <row r="786">
      <c r="A786" t="n">
        <v>1000</v>
      </c>
      <c r="B786" t="inlineStr">
        <is>
          <t>EP사업부</t>
        </is>
      </c>
      <c r="C786" t="inlineStr">
        <is>
          <t>국내영업2팀</t>
        </is>
      </c>
      <c r="D786" t="inlineStr">
        <is>
          <t>C10015</t>
        </is>
      </c>
      <c r="E786" t="inlineStr">
        <is>
          <t>다솜케미칼</t>
        </is>
      </c>
      <c r="F786" t="inlineStr">
        <is>
          <t>ABS</t>
        </is>
      </c>
      <c r="G786" t="inlineStr">
        <is>
          <t>M-2101</t>
        </is>
      </c>
      <c r="H786" t="inlineStr">
        <is>
          <t>ABS 범용 G300</t>
        </is>
      </c>
      <c r="I786" s="43" t="n">
        <v>46150</v>
      </c>
      <c r="J786" t="n">
        <v>202605</v>
      </c>
      <c r="K786" s="44" t="n">
        <v>1250</v>
      </c>
      <c r="L786" t="inlineStr">
        <is>
          <t>KG</t>
        </is>
      </c>
      <c r="M786" s="44" t="n">
        <v>3425179</v>
      </c>
      <c r="N786" s="44" t="n">
        <v>171259</v>
      </c>
      <c r="O786" t="n">
        <v>0</v>
      </c>
      <c r="P786" s="44" t="n">
        <v>3253920</v>
      </c>
      <c r="Q786" t="inlineStr">
        <is>
          <t>KRW</t>
        </is>
      </c>
      <c r="R786" t="inlineStr">
        <is>
          <t>INV2605-00785</t>
        </is>
      </c>
      <c r="S786" t="inlineStr">
        <is>
          <t>※예시데이터</t>
        </is>
      </c>
    </row>
    <row r="787">
      <c r="A787" t="n">
        <v>1000</v>
      </c>
      <c r="B787" t="inlineStr">
        <is>
          <t>범용수지사업부</t>
        </is>
      </c>
      <c r="C787" t="inlineStr">
        <is>
          <t>국내영업2팀</t>
        </is>
      </c>
      <c r="D787" t="inlineStr">
        <is>
          <t>C10036</t>
        </is>
      </c>
      <c r="E787" t="inlineStr">
        <is>
          <t>바른물산</t>
        </is>
      </c>
      <c r="F787" t="inlineStr">
        <is>
          <t>PE</t>
        </is>
      </c>
      <c r="G787" t="inlineStr">
        <is>
          <t>M-1201</t>
        </is>
      </c>
      <c r="H787" t="inlineStr">
        <is>
          <t>HDPE 블로우 B500</t>
        </is>
      </c>
      <c r="I787" s="43" t="n">
        <v>46151</v>
      </c>
      <c r="J787" t="n">
        <v>202605</v>
      </c>
      <c r="K787" s="44" t="n">
        <v>18450</v>
      </c>
      <c r="L787" t="inlineStr">
        <is>
          <t>KG</t>
        </is>
      </c>
      <c r="M787" s="44" t="n">
        <v>28548529</v>
      </c>
      <c r="N787" s="44" t="n">
        <v>2854853</v>
      </c>
      <c r="O787" s="44" t="n">
        <v>570971</v>
      </c>
      <c r="P787" s="44" t="n">
        <v>25122705</v>
      </c>
      <c r="Q787" t="inlineStr">
        <is>
          <t>KRW</t>
        </is>
      </c>
      <c r="R787" t="inlineStr">
        <is>
          <t>INV2605-00786</t>
        </is>
      </c>
      <c r="S787" t="inlineStr">
        <is>
          <t>※예시데이터</t>
        </is>
      </c>
    </row>
    <row r="788">
      <c r="A788" t="n">
        <v>1000</v>
      </c>
      <c r="B788" t="inlineStr">
        <is>
          <t>EP사업부</t>
        </is>
      </c>
      <c r="C788" t="inlineStr">
        <is>
          <t>국내영업1팀</t>
        </is>
      </c>
      <c r="D788" t="inlineStr">
        <is>
          <t>C10134</t>
        </is>
      </c>
      <c r="E788" t="inlineStr">
        <is>
          <t>별하전자(주)</t>
        </is>
      </c>
      <c r="F788" t="inlineStr">
        <is>
          <t>PC</t>
        </is>
      </c>
      <c r="G788" t="inlineStr">
        <is>
          <t>M-2201</t>
        </is>
      </c>
      <c r="H788" t="inlineStr">
        <is>
          <t>PC 일반 C100</t>
        </is>
      </c>
      <c r="I788" s="43" t="n">
        <v>46151</v>
      </c>
      <c r="J788" t="n">
        <v>202605</v>
      </c>
      <c r="K788" s="44" t="n">
        <v>1500</v>
      </c>
      <c r="L788" t="inlineStr">
        <is>
          <t>KG</t>
        </is>
      </c>
      <c r="M788" s="44" t="n">
        <v>5932669</v>
      </c>
      <c r="N788" s="44" t="n">
        <v>177980</v>
      </c>
      <c r="O788" t="n">
        <v>0</v>
      </c>
      <c r="P788" s="44" t="n">
        <v>5754689</v>
      </c>
      <c r="Q788" t="inlineStr">
        <is>
          <t>KRW</t>
        </is>
      </c>
      <c r="R788" t="inlineStr">
        <is>
          <t>INV2605-00787</t>
        </is>
      </c>
      <c r="S788" t="inlineStr">
        <is>
          <t>※예시데이터</t>
        </is>
      </c>
    </row>
    <row r="789">
      <c r="A789" t="n">
        <v>1000</v>
      </c>
      <c r="B789" t="inlineStr">
        <is>
          <t>범용수지사업부</t>
        </is>
      </c>
      <c r="C789" t="inlineStr">
        <is>
          <t>국내영업1팀</t>
        </is>
      </c>
      <c r="D789" t="inlineStr">
        <is>
          <t>C10092</t>
        </is>
      </c>
      <c r="E789" t="inlineStr">
        <is>
          <t>하늘포장(주)</t>
        </is>
      </c>
      <c r="F789" t="inlineStr">
        <is>
          <t>PE</t>
        </is>
      </c>
      <c r="G789" t="inlineStr">
        <is>
          <t>M-1201</t>
        </is>
      </c>
      <c r="H789" t="inlineStr">
        <is>
          <t>HDPE 블로우 B500</t>
        </is>
      </c>
      <c r="I789" s="43" t="n">
        <v>46152</v>
      </c>
      <c r="J789" t="n">
        <v>202605</v>
      </c>
      <c r="K789" s="44" t="n">
        <v>13475</v>
      </c>
      <c r="L789" t="inlineStr">
        <is>
          <t>KG</t>
        </is>
      </c>
      <c r="M789" s="44" t="n">
        <v>20850484</v>
      </c>
      <c r="N789" s="44" t="n">
        <v>1459534</v>
      </c>
      <c r="O789" t="n">
        <v>0</v>
      </c>
      <c r="P789" s="44" t="n">
        <v>19390950</v>
      </c>
      <c r="Q789" t="inlineStr">
        <is>
          <t>KRW</t>
        </is>
      </c>
      <c r="R789" t="inlineStr">
        <is>
          <t>INV2605-00788</t>
        </is>
      </c>
      <c r="S789" t="inlineStr">
        <is>
          <t>※예시데이터</t>
        </is>
      </c>
    </row>
    <row r="790">
      <c r="A790" t="n">
        <v>1000</v>
      </c>
      <c r="B790" t="inlineStr">
        <is>
          <t>EP사업부</t>
        </is>
      </c>
      <c r="C790" t="inlineStr">
        <is>
          <t>국내영업2팀</t>
        </is>
      </c>
      <c r="D790" t="inlineStr">
        <is>
          <t>C10113</t>
        </is>
      </c>
      <c r="E790" t="inlineStr">
        <is>
          <t>누리오토파츠</t>
        </is>
      </c>
      <c r="F790" t="inlineStr">
        <is>
          <t>ABS</t>
        </is>
      </c>
      <c r="G790" t="inlineStr">
        <is>
          <t>M-2101</t>
        </is>
      </c>
      <c r="H790" t="inlineStr">
        <is>
          <t>ABS 범용 G300</t>
        </is>
      </c>
      <c r="I790" s="43" t="n">
        <v>46152</v>
      </c>
      <c r="J790" t="n">
        <v>202605</v>
      </c>
      <c r="K790" s="44" t="n">
        <v>5450</v>
      </c>
      <c r="L790" t="inlineStr">
        <is>
          <t>KG</t>
        </is>
      </c>
      <c r="M790" s="44" t="n">
        <v>14933781</v>
      </c>
      <c r="N790" s="44" t="n">
        <v>1344040</v>
      </c>
      <c r="O790" s="44" t="n">
        <v>149338</v>
      </c>
      <c r="P790" s="44" t="n">
        <v>13440403</v>
      </c>
      <c r="Q790" t="inlineStr">
        <is>
          <t>KRW</t>
        </is>
      </c>
      <c r="R790" t="inlineStr">
        <is>
          <t>INV2605-00789</t>
        </is>
      </c>
      <c r="S790" t="inlineStr">
        <is>
          <t>※예시데이터</t>
        </is>
      </c>
    </row>
    <row r="791">
      <c r="A791" t="n">
        <v>1000</v>
      </c>
      <c r="B791" t="inlineStr">
        <is>
          <t>범용수지사업부</t>
        </is>
      </c>
      <c r="C791" t="inlineStr">
        <is>
          <t>국내영업2팀</t>
        </is>
      </c>
      <c r="D791" t="inlineStr">
        <is>
          <t>C10127</t>
        </is>
      </c>
      <c r="E791" t="inlineStr">
        <is>
          <t>미르패키징</t>
        </is>
      </c>
      <c r="F791" t="inlineStr">
        <is>
          <t>PE</t>
        </is>
      </c>
      <c r="G791" t="inlineStr">
        <is>
          <t>M-1201</t>
        </is>
      </c>
      <c r="H791" t="inlineStr">
        <is>
          <t>HDPE 블로우 B500</t>
        </is>
      </c>
      <c r="I791" s="43" t="n">
        <v>46152</v>
      </c>
      <c r="J791" t="n">
        <v>202605</v>
      </c>
      <c r="K791" s="44" t="n">
        <v>2425</v>
      </c>
      <c r="L791" t="inlineStr">
        <is>
          <t>KG</t>
        </is>
      </c>
      <c r="M791" s="44" t="n">
        <v>3752313</v>
      </c>
      <c r="N791" s="44" t="n">
        <v>318947</v>
      </c>
      <c r="O791" t="n">
        <v>0</v>
      </c>
      <c r="P791" s="44" t="n">
        <v>3433366</v>
      </c>
      <c r="Q791" t="inlineStr">
        <is>
          <t>KRW</t>
        </is>
      </c>
      <c r="R791" t="inlineStr">
        <is>
          <t>INV2605-00790</t>
        </is>
      </c>
      <c r="S791" t="inlineStr">
        <is>
          <t>※예시데이터</t>
        </is>
      </c>
    </row>
    <row r="792">
      <c r="A792" t="n">
        <v>1000</v>
      </c>
      <c r="B792" t="inlineStr">
        <is>
          <t>범용수지사업부</t>
        </is>
      </c>
      <c r="C792" t="inlineStr">
        <is>
          <t>국내영업1팀</t>
        </is>
      </c>
      <c r="D792" t="inlineStr">
        <is>
          <t>C10043</t>
        </is>
      </c>
      <c r="E792" t="inlineStr">
        <is>
          <t>새봄플라스틱</t>
        </is>
      </c>
      <c r="F792" t="inlineStr">
        <is>
          <t>PP</t>
        </is>
      </c>
      <c r="G792" t="inlineStr">
        <is>
          <t>M-1103</t>
        </is>
      </c>
      <c r="H792" t="inlineStr">
        <is>
          <t>PP 투명 R330</t>
        </is>
      </c>
      <c r="I792" s="43" t="n">
        <v>46153</v>
      </c>
      <c r="J792" t="n">
        <v>202605</v>
      </c>
      <c r="K792" s="44" t="n">
        <v>3975</v>
      </c>
      <c r="L792" t="inlineStr">
        <is>
          <t>KG</t>
        </is>
      </c>
      <c r="M792" s="44" t="n">
        <v>7897145</v>
      </c>
      <c r="N792" s="44" t="n">
        <v>473829</v>
      </c>
      <c r="O792" t="n">
        <v>0</v>
      </c>
      <c r="P792" s="44" t="n">
        <v>7423316</v>
      </c>
      <c r="Q792" t="inlineStr">
        <is>
          <t>KRW</t>
        </is>
      </c>
      <c r="R792" t="inlineStr">
        <is>
          <t>INV2605-00791</t>
        </is>
      </c>
      <c r="S792" t="inlineStr">
        <is>
          <t>※예시데이터</t>
        </is>
      </c>
    </row>
    <row r="793">
      <c r="A793" t="n">
        <v>1000</v>
      </c>
      <c r="B793" t="inlineStr">
        <is>
          <t>EP사업부</t>
        </is>
      </c>
      <c r="C793" t="inlineStr">
        <is>
          <t>국내영업2팀</t>
        </is>
      </c>
      <c r="D793" t="inlineStr">
        <is>
          <t>C10022</t>
        </is>
      </c>
      <c r="E793" t="inlineStr">
        <is>
          <t>라온테크(주)</t>
        </is>
      </c>
      <c r="F793" t="inlineStr">
        <is>
          <t>ABS</t>
        </is>
      </c>
      <c r="G793" t="inlineStr">
        <is>
          <t>M-2102</t>
        </is>
      </c>
      <c r="H793" t="inlineStr">
        <is>
          <t>ABS 내열 HR500</t>
        </is>
      </c>
      <c r="I793" s="43" t="n">
        <v>46154</v>
      </c>
      <c r="J793" t="n">
        <v>202605</v>
      </c>
      <c r="K793" s="44" t="n">
        <v>7850</v>
      </c>
      <c r="L793" t="inlineStr">
        <is>
          <t>KG</t>
        </is>
      </c>
      <c r="M793" s="44" t="n">
        <v>24188744</v>
      </c>
      <c r="N793" s="44" t="n">
        <v>2660762</v>
      </c>
      <c r="O793" t="n">
        <v>0</v>
      </c>
      <c r="P793" s="44" t="n">
        <v>21527982</v>
      </c>
      <c r="Q793" t="inlineStr">
        <is>
          <t>KRW</t>
        </is>
      </c>
      <c r="R793" t="inlineStr">
        <is>
          <t>INV2605-00792</t>
        </is>
      </c>
      <c r="S793" t="inlineStr">
        <is>
          <t>※예시데이터</t>
        </is>
      </c>
    </row>
    <row r="794">
      <c r="A794" t="n">
        <v>1000</v>
      </c>
      <c r="B794" t="inlineStr">
        <is>
          <t>범용수지사업부</t>
        </is>
      </c>
      <c r="C794" t="inlineStr">
        <is>
          <t>해외영업팀</t>
        </is>
      </c>
      <c r="D794" t="inlineStr">
        <is>
          <t>C10071</t>
        </is>
      </c>
      <c r="E794" t="inlineStr">
        <is>
          <t>큰별코리아</t>
        </is>
      </c>
      <c r="F794" t="inlineStr">
        <is>
          <t>PP</t>
        </is>
      </c>
      <c r="G794" t="inlineStr">
        <is>
          <t>M-1101</t>
        </is>
      </c>
      <c r="H794" t="inlineStr">
        <is>
          <t>PP 범용사출 H110</t>
        </is>
      </c>
      <c r="I794" s="43" t="n">
        <v>46154</v>
      </c>
      <c r="J794" t="n">
        <v>202605</v>
      </c>
      <c r="K794" s="44" t="n">
        <v>9900</v>
      </c>
      <c r="L794" t="inlineStr">
        <is>
          <t>KG</t>
        </is>
      </c>
      <c r="M794" s="44" t="n">
        <v>16728246</v>
      </c>
      <c r="N794" s="44" t="n">
        <v>2091031</v>
      </c>
      <c r="O794" s="44" t="n">
        <v>334565</v>
      </c>
      <c r="P794" s="44" t="n">
        <v>14302650</v>
      </c>
      <c r="Q794" t="inlineStr">
        <is>
          <t>KRW</t>
        </is>
      </c>
      <c r="R794" t="inlineStr">
        <is>
          <t>INV2605-00793</t>
        </is>
      </c>
      <c r="S794" t="inlineStr">
        <is>
          <t>※예시데이터</t>
        </is>
      </c>
    </row>
    <row r="795">
      <c r="A795" t="n">
        <v>1000</v>
      </c>
      <c r="B795" t="inlineStr">
        <is>
          <t>범용수지사업부</t>
        </is>
      </c>
      <c r="C795" t="inlineStr">
        <is>
          <t>국내영업2팀</t>
        </is>
      </c>
      <c r="D795" t="inlineStr">
        <is>
          <t>C10099</t>
        </is>
      </c>
      <c r="E795" t="inlineStr">
        <is>
          <t>한울몰드</t>
        </is>
      </c>
      <c r="F795" t="inlineStr">
        <is>
          <t>PP</t>
        </is>
      </c>
      <c r="G795" t="inlineStr">
        <is>
          <t>M-1101</t>
        </is>
      </c>
      <c r="H795" t="inlineStr">
        <is>
          <t>PP 범용사출 H110</t>
        </is>
      </c>
      <c r="I795" s="43" t="n">
        <v>46154</v>
      </c>
      <c r="J795" t="n">
        <v>202605</v>
      </c>
      <c r="K795" s="44" t="n">
        <v>1300</v>
      </c>
      <c r="L795" t="inlineStr">
        <is>
          <t>KG</t>
        </is>
      </c>
      <c r="M795" s="44" t="n">
        <v>2196638</v>
      </c>
      <c r="N795" s="44" t="n">
        <v>142781</v>
      </c>
      <c r="O795" t="n">
        <v>0</v>
      </c>
      <c r="P795" s="44" t="n">
        <v>2053857</v>
      </c>
      <c r="Q795" t="inlineStr">
        <is>
          <t>KRW</t>
        </is>
      </c>
      <c r="R795" t="inlineStr">
        <is>
          <t>INV2605-00794</t>
        </is>
      </c>
      <c r="S795" t="inlineStr">
        <is>
          <t>※예시데이터</t>
        </is>
      </c>
    </row>
    <row r="796">
      <c r="A796" t="n">
        <v>1000</v>
      </c>
      <c r="B796" t="inlineStr">
        <is>
          <t>EP사업부</t>
        </is>
      </c>
      <c r="C796" t="inlineStr">
        <is>
          <t>국내영업2팀</t>
        </is>
      </c>
      <c r="D796" t="inlineStr">
        <is>
          <t>C10113</t>
        </is>
      </c>
      <c r="E796" t="inlineStr">
        <is>
          <t>누리오토파츠</t>
        </is>
      </c>
      <c r="F796" t="inlineStr">
        <is>
          <t>PC</t>
        </is>
      </c>
      <c r="G796" t="inlineStr">
        <is>
          <t>M-2202</t>
        </is>
      </c>
      <c r="H796" t="inlineStr">
        <is>
          <t>PC 난연 FR200</t>
        </is>
      </c>
      <c r="I796" s="43" t="n">
        <v>46154</v>
      </c>
      <c r="J796" t="n">
        <v>202605</v>
      </c>
      <c r="K796" s="44" t="n">
        <v>2000</v>
      </c>
      <c r="L796" t="inlineStr">
        <is>
          <t>KG</t>
        </is>
      </c>
      <c r="M796" s="44" t="n">
        <v>8822943</v>
      </c>
      <c r="N796" s="44" t="n">
        <v>794065</v>
      </c>
      <c r="O796" s="44" t="n">
        <v>88229</v>
      </c>
      <c r="P796" s="44" t="n">
        <v>7940649</v>
      </c>
      <c r="Q796" t="inlineStr">
        <is>
          <t>KRW</t>
        </is>
      </c>
      <c r="R796" t="inlineStr">
        <is>
          <t>INV2605-00795</t>
        </is>
      </c>
      <c r="S796" t="inlineStr">
        <is>
          <t>※예시데이터</t>
        </is>
      </c>
    </row>
    <row r="797">
      <c r="A797" t="n">
        <v>1000</v>
      </c>
      <c r="B797" t="inlineStr">
        <is>
          <t>범용수지사업부</t>
        </is>
      </c>
      <c r="C797" t="inlineStr">
        <is>
          <t>해외영업팀</t>
        </is>
      </c>
      <c r="D797" t="inlineStr">
        <is>
          <t>C10071</t>
        </is>
      </c>
      <c r="E797" t="inlineStr">
        <is>
          <t>큰별코리아</t>
        </is>
      </c>
      <c r="F797" t="inlineStr">
        <is>
          <t>PE</t>
        </is>
      </c>
      <c r="G797" t="inlineStr">
        <is>
          <t>M-1202</t>
        </is>
      </c>
      <c r="H797" t="inlineStr">
        <is>
          <t>LLDPE 필름 F120</t>
        </is>
      </c>
      <c r="I797" s="43" t="n">
        <v>46155</v>
      </c>
      <c r="J797" t="n">
        <v>202605</v>
      </c>
      <c r="K797" s="44" t="n">
        <v>10250</v>
      </c>
      <c r="L797" t="inlineStr">
        <is>
          <t>KG</t>
        </is>
      </c>
      <c r="M797" s="44" t="n">
        <v>17165255</v>
      </c>
      <c r="N797" s="44" t="n">
        <v>2145657</v>
      </c>
      <c r="O797" s="44" t="n">
        <v>343305</v>
      </c>
      <c r="P797" s="44" t="n">
        <v>14676293</v>
      </c>
      <c r="Q797" t="inlineStr">
        <is>
          <t>KRW</t>
        </is>
      </c>
      <c r="R797" t="inlineStr">
        <is>
          <t>INV2605-00796</t>
        </is>
      </c>
      <c r="S797" t="inlineStr">
        <is>
          <t>※예시데이터</t>
        </is>
      </c>
    </row>
    <row r="798">
      <c r="A798" t="n">
        <v>1000</v>
      </c>
      <c r="B798" t="inlineStr">
        <is>
          <t>EP사업부</t>
        </is>
      </c>
      <c r="C798" t="inlineStr">
        <is>
          <t>국내영업1팀</t>
        </is>
      </c>
      <c r="D798" t="inlineStr">
        <is>
          <t>C10078</t>
        </is>
      </c>
      <c r="E798" t="inlineStr">
        <is>
          <t>토담정공(주)</t>
        </is>
      </c>
      <c r="F798" t="inlineStr">
        <is>
          <t>ABS</t>
        </is>
      </c>
      <c r="G798" t="inlineStr">
        <is>
          <t>M-2102</t>
        </is>
      </c>
      <c r="H798" t="inlineStr">
        <is>
          <t>ABS 내열 HR500</t>
        </is>
      </c>
      <c r="I798" s="43" t="n">
        <v>46155</v>
      </c>
      <c r="J798" t="n">
        <v>202605</v>
      </c>
      <c r="K798" s="44" t="n">
        <v>3650</v>
      </c>
      <c r="L798" t="inlineStr">
        <is>
          <t>KG</t>
        </is>
      </c>
      <c r="M798" s="44" t="n">
        <v>11246995</v>
      </c>
      <c r="N798" s="44" t="n">
        <v>337410</v>
      </c>
      <c r="O798" t="n">
        <v>0</v>
      </c>
      <c r="P798" s="44" t="n">
        <v>10909585</v>
      </c>
      <c r="Q798" t="inlineStr">
        <is>
          <t>KRW</t>
        </is>
      </c>
      <c r="R798" t="inlineStr">
        <is>
          <t>INV2605-00797</t>
        </is>
      </c>
      <c r="S798" t="inlineStr">
        <is>
          <t>※예시데이터</t>
        </is>
      </c>
    </row>
    <row r="799">
      <c r="A799" t="n">
        <v>1000</v>
      </c>
      <c r="B799" t="inlineStr">
        <is>
          <t>EP사업부</t>
        </is>
      </c>
      <c r="C799" t="inlineStr">
        <is>
          <t>국내영업2팀</t>
        </is>
      </c>
      <c r="D799" t="inlineStr">
        <is>
          <t>C10099</t>
        </is>
      </c>
      <c r="E799" t="inlineStr">
        <is>
          <t>한울몰드</t>
        </is>
      </c>
      <c r="F799" t="inlineStr">
        <is>
          <t>ABS</t>
        </is>
      </c>
      <c r="G799" t="inlineStr">
        <is>
          <t>M-2101</t>
        </is>
      </c>
      <c r="H799" t="inlineStr">
        <is>
          <t>ABS 범용 G300</t>
        </is>
      </c>
      <c r="I799" s="43" t="n">
        <v>46155</v>
      </c>
      <c r="J799" t="n">
        <v>202605</v>
      </c>
      <c r="K799" s="44" t="n">
        <v>1200</v>
      </c>
      <c r="L799" t="inlineStr">
        <is>
          <t>KG</t>
        </is>
      </c>
      <c r="M799" s="44" t="n">
        <v>3288172</v>
      </c>
      <c r="N799" s="44" t="n">
        <v>213731</v>
      </c>
      <c r="O799" t="n">
        <v>0</v>
      </c>
      <c r="P799" s="44" t="n">
        <v>3074441</v>
      </c>
      <c r="Q799" t="inlineStr">
        <is>
          <t>KRW</t>
        </is>
      </c>
      <c r="R799" t="inlineStr">
        <is>
          <t>INV2605-00798</t>
        </is>
      </c>
      <c r="S799" t="inlineStr">
        <is>
          <t>※예시데이터</t>
        </is>
      </c>
    </row>
    <row r="800">
      <c r="A800" t="n">
        <v>1000</v>
      </c>
      <c r="B800" t="inlineStr">
        <is>
          <t>범용수지사업부</t>
        </is>
      </c>
      <c r="C800" t="inlineStr">
        <is>
          <t>국내영업1팀</t>
        </is>
      </c>
      <c r="D800" t="inlineStr">
        <is>
          <t>C10008</t>
        </is>
      </c>
      <c r="E800" t="inlineStr">
        <is>
          <t>나래산업(주)</t>
        </is>
      </c>
      <c r="F800" t="inlineStr">
        <is>
          <t>PP</t>
        </is>
      </c>
      <c r="G800" t="inlineStr">
        <is>
          <t>M-1101</t>
        </is>
      </c>
      <c r="H800" t="inlineStr">
        <is>
          <t>PP 범용사출 H110</t>
        </is>
      </c>
      <c r="I800" s="43" t="n">
        <v>46156</v>
      </c>
      <c r="J800" t="n">
        <v>202605</v>
      </c>
      <c r="K800" s="44" t="n">
        <v>23575</v>
      </c>
      <c r="L800" t="inlineStr">
        <is>
          <t>KG</t>
        </is>
      </c>
      <c r="M800" s="44" t="n">
        <v>39835193</v>
      </c>
      <c r="N800" s="44" t="n">
        <v>4182695</v>
      </c>
      <c r="O800" s="44" t="n">
        <v>398352</v>
      </c>
      <c r="P800" s="44" t="n">
        <v>35254146</v>
      </c>
      <c r="Q800" t="inlineStr">
        <is>
          <t>KRW</t>
        </is>
      </c>
      <c r="R800" t="inlineStr">
        <is>
          <t>INV2605-00799</t>
        </is>
      </c>
      <c r="S800" t="inlineStr">
        <is>
          <t>※예시데이터</t>
        </is>
      </c>
    </row>
    <row r="801">
      <c r="A801" t="n">
        <v>1000</v>
      </c>
      <c r="B801" t="inlineStr">
        <is>
          <t>범용수지사업부</t>
        </is>
      </c>
      <c r="C801" t="inlineStr">
        <is>
          <t>국내영업2팀</t>
        </is>
      </c>
      <c r="D801" t="inlineStr">
        <is>
          <t>C10050</t>
        </is>
      </c>
      <c r="E801" t="inlineStr">
        <is>
          <t>아름화학(주)</t>
        </is>
      </c>
      <c r="F801" t="inlineStr">
        <is>
          <t>PP</t>
        </is>
      </c>
      <c r="G801" t="inlineStr">
        <is>
          <t>M-1103</t>
        </is>
      </c>
      <c r="H801" t="inlineStr">
        <is>
          <t>PP 투명 R330</t>
        </is>
      </c>
      <c r="I801" s="43" t="n">
        <v>46156</v>
      </c>
      <c r="J801" t="n">
        <v>202605</v>
      </c>
      <c r="K801" s="44" t="n">
        <v>9275</v>
      </c>
      <c r="L801" t="inlineStr">
        <is>
          <t>KG</t>
        </is>
      </c>
      <c r="M801" s="44" t="n">
        <v>18426673</v>
      </c>
      <c r="N801" s="44" t="n">
        <v>1934801</v>
      </c>
      <c r="O801" s="44" t="n">
        <v>184267</v>
      </c>
      <c r="P801" s="44" t="n">
        <v>16307605</v>
      </c>
      <c r="Q801" t="inlineStr">
        <is>
          <t>KRW</t>
        </is>
      </c>
      <c r="R801" t="inlineStr">
        <is>
          <t>INV2605-00800</t>
        </is>
      </c>
      <c r="S801" t="inlineStr">
        <is>
          <t>※예시데이터</t>
        </is>
      </c>
    </row>
    <row r="802">
      <c r="A802" t="n">
        <v>1000</v>
      </c>
      <c r="B802" t="inlineStr">
        <is>
          <t>범용수지사업부</t>
        </is>
      </c>
      <c r="C802" t="inlineStr">
        <is>
          <t>해외영업팀</t>
        </is>
      </c>
      <c r="D802" t="inlineStr">
        <is>
          <t>C10071</t>
        </is>
      </c>
      <c r="E802" t="inlineStr">
        <is>
          <t>큰별코리아</t>
        </is>
      </c>
      <c r="F802" t="inlineStr">
        <is>
          <t>PE</t>
        </is>
      </c>
      <c r="G802" t="inlineStr">
        <is>
          <t>M-1201</t>
        </is>
      </c>
      <c r="H802" t="inlineStr">
        <is>
          <t>HDPE 블로우 B500</t>
        </is>
      </c>
      <c r="I802" s="43" t="n">
        <v>46156</v>
      </c>
      <c r="J802" t="n">
        <v>202605</v>
      </c>
      <c r="K802" s="44" t="n">
        <v>3850</v>
      </c>
      <c r="L802" t="inlineStr">
        <is>
          <t>KG</t>
        </is>
      </c>
      <c r="M802" s="44" t="n">
        <v>5957281</v>
      </c>
      <c r="N802" s="44" t="n">
        <v>744660</v>
      </c>
      <c r="O802" s="44" t="n">
        <v>119146</v>
      </c>
      <c r="P802" s="44" t="n">
        <v>5093475</v>
      </c>
      <c r="Q802" t="inlineStr">
        <is>
          <t>KRW</t>
        </is>
      </c>
      <c r="R802" t="inlineStr">
        <is>
          <t>INV2605-00801</t>
        </is>
      </c>
      <c r="S802" t="inlineStr">
        <is>
          <t>※예시데이터</t>
        </is>
      </c>
    </row>
    <row r="803">
      <c r="A803" t="n">
        <v>1000</v>
      </c>
      <c r="B803" t="inlineStr">
        <is>
          <t>범용수지사업부</t>
        </is>
      </c>
      <c r="C803" t="inlineStr">
        <is>
          <t>해외영업팀</t>
        </is>
      </c>
      <c r="D803" t="inlineStr">
        <is>
          <t>C10141</t>
        </is>
      </c>
      <c r="E803" t="inlineStr">
        <is>
          <t>Sinar Plastik (ID)</t>
        </is>
      </c>
      <c r="F803" t="inlineStr">
        <is>
          <t>PP</t>
        </is>
      </c>
      <c r="G803" t="inlineStr">
        <is>
          <t>M-1102</t>
        </is>
      </c>
      <c r="H803" t="inlineStr">
        <is>
          <t>PP 고강성 H220</t>
        </is>
      </c>
      <c r="I803" s="43" t="n">
        <v>46156</v>
      </c>
      <c r="J803" t="n">
        <v>202605</v>
      </c>
      <c r="K803" s="44" t="n">
        <v>11100</v>
      </c>
      <c r="L803" t="inlineStr">
        <is>
          <t>KG</t>
        </is>
      </c>
      <c r="M803" s="44" t="n">
        <v>20688340</v>
      </c>
      <c r="N803" s="44" t="n">
        <v>2896368</v>
      </c>
      <c r="O803" t="n">
        <v>0</v>
      </c>
      <c r="P803" s="44" t="n">
        <v>17791972</v>
      </c>
      <c r="Q803" t="inlineStr">
        <is>
          <t>KRW</t>
        </is>
      </c>
      <c r="R803" t="inlineStr">
        <is>
          <t>INV2605-00802</t>
        </is>
      </c>
      <c r="S803" t="inlineStr">
        <is>
          <t>※예시데이터</t>
        </is>
      </c>
    </row>
    <row r="804">
      <c r="A804" t="n">
        <v>1000</v>
      </c>
      <c r="B804" t="inlineStr">
        <is>
          <t>범용수지사업부</t>
        </is>
      </c>
      <c r="C804" t="inlineStr">
        <is>
          <t>국내영업1팀</t>
        </is>
      </c>
      <c r="D804" t="inlineStr">
        <is>
          <t>C10001</t>
        </is>
      </c>
      <c r="E804" t="inlineStr">
        <is>
          <t>가온소재(주)</t>
        </is>
      </c>
      <c r="F804" t="inlineStr">
        <is>
          <t>PP</t>
        </is>
      </c>
      <c r="G804" t="inlineStr">
        <is>
          <t>M-1102</t>
        </is>
      </c>
      <c r="H804" t="inlineStr">
        <is>
          <t>PP 고강성 H220</t>
        </is>
      </c>
      <c r="I804" s="43" t="n">
        <v>46157</v>
      </c>
      <c r="J804" t="n">
        <v>202605</v>
      </c>
      <c r="K804" s="44" t="n">
        <v>1400</v>
      </c>
      <c r="L804" t="inlineStr">
        <is>
          <t>KG</t>
        </is>
      </c>
      <c r="M804" s="44" t="n">
        <v>2609340</v>
      </c>
      <c r="N804" s="44" t="n">
        <v>130467</v>
      </c>
      <c r="O804" t="n">
        <v>0</v>
      </c>
      <c r="P804" s="44" t="n">
        <v>2478873</v>
      </c>
      <c r="Q804" t="inlineStr">
        <is>
          <t>KRW</t>
        </is>
      </c>
      <c r="R804" t="inlineStr">
        <is>
          <t>INV2605-00803</t>
        </is>
      </c>
      <c r="S804" t="inlineStr">
        <is>
          <t>※예시데이터</t>
        </is>
      </c>
    </row>
    <row r="805">
      <c r="A805" t="n">
        <v>1000</v>
      </c>
      <c r="B805" t="inlineStr">
        <is>
          <t>범용수지사업부</t>
        </is>
      </c>
      <c r="C805" t="inlineStr">
        <is>
          <t>국내영업2팀</t>
        </is>
      </c>
      <c r="D805" t="inlineStr">
        <is>
          <t>C10127</t>
        </is>
      </c>
      <c r="E805" t="inlineStr">
        <is>
          <t>미르패키징</t>
        </is>
      </c>
      <c r="F805" t="inlineStr">
        <is>
          <t>PE</t>
        </is>
      </c>
      <c r="G805" t="inlineStr">
        <is>
          <t>M-1201</t>
        </is>
      </c>
      <c r="H805" t="inlineStr">
        <is>
          <t>HDPE 블로우 B500</t>
        </is>
      </c>
      <c r="I805" s="43" t="n">
        <v>46157</v>
      </c>
      <c r="J805" t="n">
        <v>202605</v>
      </c>
      <c r="K805" s="44" t="n">
        <v>2425</v>
      </c>
      <c r="L805" t="inlineStr">
        <is>
          <t>KG</t>
        </is>
      </c>
      <c r="M805" s="44" t="n">
        <v>3752313</v>
      </c>
      <c r="N805" s="44" t="n">
        <v>318947</v>
      </c>
      <c r="O805" t="n">
        <v>0</v>
      </c>
      <c r="P805" s="44" t="n">
        <v>3433366</v>
      </c>
      <c r="Q805" t="inlineStr">
        <is>
          <t>KRW</t>
        </is>
      </c>
      <c r="R805" t="inlineStr">
        <is>
          <t>INV2605-00804</t>
        </is>
      </c>
      <c r="S805" t="inlineStr">
        <is>
          <t>※예시데이터</t>
        </is>
      </c>
    </row>
    <row r="806">
      <c r="A806" t="n">
        <v>1000</v>
      </c>
      <c r="B806" t="inlineStr">
        <is>
          <t>EP사업부</t>
        </is>
      </c>
      <c r="C806" t="inlineStr">
        <is>
          <t>국내영업2팀</t>
        </is>
      </c>
      <c r="D806" t="inlineStr">
        <is>
          <t>C10022</t>
        </is>
      </c>
      <c r="E806" t="inlineStr">
        <is>
          <t>라온테크(주)</t>
        </is>
      </c>
      <c r="F806" t="inlineStr">
        <is>
          <t>ABS</t>
        </is>
      </c>
      <c r="G806" t="inlineStr">
        <is>
          <t>M-2101</t>
        </is>
      </c>
      <c r="H806" t="inlineStr">
        <is>
          <t>ABS 범용 G300</t>
        </is>
      </c>
      <c r="I806" s="43" t="n">
        <v>46159</v>
      </c>
      <c r="J806" t="n">
        <v>202605</v>
      </c>
      <c r="K806" s="44" t="n">
        <v>3200</v>
      </c>
      <c r="L806" t="inlineStr">
        <is>
          <t>KG</t>
        </is>
      </c>
      <c r="M806" s="44" t="n">
        <v>8768458</v>
      </c>
      <c r="N806" s="44" t="n">
        <v>964530</v>
      </c>
      <c r="O806" t="n">
        <v>0</v>
      </c>
      <c r="P806" s="44" t="n">
        <v>7803928</v>
      </c>
      <c r="Q806" t="inlineStr">
        <is>
          <t>KRW</t>
        </is>
      </c>
      <c r="R806" t="inlineStr">
        <is>
          <t>INV2605-00805</t>
        </is>
      </c>
      <c r="S806" t="inlineStr">
        <is>
          <t>※예시데이터</t>
        </is>
      </c>
    </row>
    <row r="807">
      <c r="A807" t="n">
        <v>1000</v>
      </c>
      <c r="B807" t="inlineStr">
        <is>
          <t>EP사업부</t>
        </is>
      </c>
      <c r="C807" t="inlineStr">
        <is>
          <t>국내영업1팀</t>
        </is>
      </c>
      <c r="D807" t="inlineStr">
        <is>
          <t>C10043</t>
        </is>
      </c>
      <c r="E807" t="inlineStr">
        <is>
          <t>새봄플라스틱</t>
        </is>
      </c>
      <c r="F807" t="inlineStr">
        <is>
          <t>ABS</t>
        </is>
      </c>
      <c r="G807" t="inlineStr">
        <is>
          <t>M-2101</t>
        </is>
      </c>
      <c r="H807" t="inlineStr">
        <is>
          <t>ABS 범용 G300</t>
        </is>
      </c>
      <c r="I807" s="43" t="n">
        <v>46159</v>
      </c>
      <c r="J807" t="n">
        <v>202605</v>
      </c>
      <c r="K807" s="44" t="n">
        <v>3175</v>
      </c>
      <c r="L807" t="inlineStr">
        <is>
          <t>KG</t>
        </is>
      </c>
      <c r="M807" s="44" t="n">
        <v>8699955</v>
      </c>
      <c r="N807" s="44" t="n">
        <v>521997</v>
      </c>
      <c r="O807" t="n">
        <v>0</v>
      </c>
      <c r="P807" s="44" t="n">
        <v>8177958</v>
      </c>
      <c r="Q807" t="inlineStr">
        <is>
          <t>KRW</t>
        </is>
      </c>
      <c r="R807" t="inlineStr">
        <is>
          <t>INV2605-00806</t>
        </is>
      </c>
      <c r="S807" t="inlineStr">
        <is>
          <t>※예시데이터</t>
        </is>
      </c>
    </row>
    <row r="808">
      <c r="A808" t="n">
        <v>1000</v>
      </c>
      <c r="B808" t="inlineStr">
        <is>
          <t>EP사업부</t>
        </is>
      </c>
      <c r="C808" t="inlineStr">
        <is>
          <t>국내영업1팀</t>
        </is>
      </c>
      <c r="D808" t="inlineStr">
        <is>
          <t>C10057</t>
        </is>
      </c>
      <c r="E808" t="inlineStr">
        <is>
          <t>자연엠텍</t>
        </is>
      </c>
      <c r="F808" t="inlineStr">
        <is>
          <t>ABS</t>
        </is>
      </c>
      <c r="G808" t="inlineStr">
        <is>
          <t>M-2101</t>
        </is>
      </c>
      <c r="H808" t="inlineStr">
        <is>
          <t>ABS 범용 G300</t>
        </is>
      </c>
      <c r="I808" s="43" t="n">
        <v>46159</v>
      </c>
      <c r="J808" t="n">
        <v>202605</v>
      </c>
      <c r="K808" s="44" t="n">
        <v>2250</v>
      </c>
      <c r="L808" t="inlineStr">
        <is>
          <t>KG</t>
        </is>
      </c>
      <c r="M808" s="44" t="n">
        <v>6165322</v>
      </c>
      <c r="N808" s="44" t="n">
        <v>215786</v>
      </c>
      <c r="O808" t="n">
        <v>0</v>
      </c>
      <c r="P808" s="44" t="n">
        <v>5949536</v>
      </c>
      <c r="Q808" t="inlineStr">
        <is>
          <t>KRW</t>
        </is>
      </c>
      <c r="R808" t="inlineStr">
        <is>
          <t>INV2605-00807</t>
        </is>
      </c>
      <c r="S808" t="inlineStr">
        <is>
          <t>※예시데이터</t>
        </is>
      </c>
    </row>
    <row r="809">
      <c r="A809" t="n">
        <v>1000</v>
      </c>
      <c r="B809" t="inlineStr">
        <is>
          <t>범용수지사업부</t>
        </is>
      </c>
      <c r="C809" t="inlineStr">
        <is>
          <t>국내영업2팀</t>
        </is>
      </c>
      <c r="D809" t="inlineStr">
        <is>
          <t>C10127</t>
        </is>
      </c>
      <c r="E809" t="inlineStr">
        <is>
          <t>미르패키징</t>
        </is>
      </c>
      <c r="F809" t="inlineStr">
        <is>
          <t>PP</t>
        </is>
      </c>
      <c r="G809" t="inlineStr">
        <is>
          <t>M-1101</t>
        </is>
      </c>
      <c r="H809" t="inlineStr">
        <is>
          <t>PP 범용사출 H110</t>
        </is>
      </c>
      <c r="I809" s="43" t="n">
        <v>46159</v>
      </c>
      <c r="J809" t="n">
        <v>202605</v>
      </c>
      <c r="K809" s="44" t="n">
        <v>3525</v>
      </c>
      <c r="L809" t="inlineStr">
        <is>
          <t>KG</t>
        </is>
      </c>
      <c r="M809" s="44" t="n">
        <v>5956270</v>
      </c>
      <c r="N809" s="44" t="n">
        <v>506283</v>
      </c>
      <c r="O809" t="n">
        <v>0</v>
      </c>
      <c r="P809" s="44" t="n">
        <v>5449987</v>
      </c>
      <c r="Q809" t="inlineStr">
        <is>
          <t>KRW</t>
        </is>
      </c>
      <c r="R809" t="inlineStr">
        <is>
          <t>INV2605-00808</t>
        </is>
      </c>
      <c r="S809" t="inlineStr">
        <is>
          <t>※예시데이터</t>
        </is>
      </c>
    </row>
    <row r="810">
      <c r="A810" t="n">
        <v>1000</v>
      </c>
      <c r="B810" t="inlineStr">
        <is>
          <t>EP사업부</t>
        </is>
      </c>
      <c r="C810" t="inlineStr">
        <is>
          <t>해외영업팀</t>
        </is>
      </c>
      <c r="D810" t="inlineStr">
        <is>
          <t>C10148</t>
        </is>
      </c>
      <c r="E810" t="inlineStr">
        <is>
          <t>Hanoi Molding (VN)</t>
        </is>
      </c>
      <c r="F810" t="inlineStr">
        <is>
          <t>ABS</t>
        </is>
      </c>
      <c r="G810" t="inlineStr">
        <is>
          <t>M-2101</t>
        </is>
      </c>
      <c r="H810" t="inlineStr">
        <is>
          <t>ABS 범용 G300</t>
        </is>
      </c>
      <c r="I810" s="43" t="n">
        <v>46159</v>
      </c>
      <c r="J810" t="n">
        <v>202605</v>
      </c>
      <c r="K810" s="44" t="n">
        <v>5750</v>
      </c>
      <c r="L810" t="inlineStr">
        <is>
          <t>KG</t>
        </is>
      </c>
      <c r="M810" s="44" t="n">
        <v>15755824</v>
      </c>
      <c r="N810" s="44" t="n">
        <v>1575582</v>
      </c>
      <c r="O810" t="n">
        <v>0</v>
      </c>
      <c r="P810" s="44" t="n">
        <v>14180242</v>
      </c>
      <c r="Q810" t="inlineStr">
        <is>
          <t>KRW</t>
        </is>
      </c>
      <c r="R810" t="inlineStr">
        <is>
          <t>INV2605-00809</t>
        </is>
      </c>
      <c r="S810" t="inlineStr">
        <is>
          <t>※예시데이터</t>
        </is>
      </c>
    </row>
    <row r="811">
      <c r="A811" t="n">
        <v>1000</v>
      </c>
      <c r="B811" t="inlineStr">
        <is>
          <t>범용수지사업부</t>
        </is>
      </c>
      <c r="C811" t="inlineStr">
        <is>
          <t>국내영업1팀</t>
        </is>
      </c>
      <c r="D811" t="inlineStr">
        <is>
          <t>C10001</t>
        </is>
      </c>
      <c r="E811" t="inlineStr">
        <is>
          <t>가온소재(주)</t>
        </is>
      </c>
      <c r="F811" t="inlineStr">
        <is>
          <t>PP</t>
        </is>
      </c>
      <c r="G811" t="inlineStr">
        <is>
          <t>M-1103</t>
        </is>
      </c>
      <c r="H811" t="inlineStr">
        <is>
          <t>PP 투명 R330</t>
        </is>
      </c>
      <c r="I811" s="43" t="n">
        <v>46160</v>
      </c>
      <c r="J811" t="n">
        <v>202605</v>
      </c>
      <c r="K811" s="44" t="n">
        <v>4825</v>
      </c>
      <c r="L811" t="inlineStr">
        <is>
          <t>KG</t>
        </is>
      </c>
      <c r="M811" s="44" t="n">
        <v>9585843</v>
      </c>
      <c r="N811" s="44" t="n">
        <v>479292</v>
      </c>
      <c r="O811" t="n">
        <v>0</v>
      </c>
      <c r="P811" s="44" t="n">
        <v>9106551</v>
      </c>
      <c r="Q811" t="inlineStr">
        <is>
          <t>KRW</t>
        </is>
      </c>
      <c r="R811" t="inlineStr">
        <is>
          <t>INV2605-00810</t>
        </is>
      </c>
      <c r="S811" t="inlineStr">
        <is>
          <t>※예시데이터</t>
        </is>
      </c>
    </row>
    <row r="812">
      <c r="A812" t="n">
        <v>1000</v>
      </c>
      <c r="B812" t="inlineStr">
        <is>
          <t>EP사업부</t>
        </is>
      </c>
      <c r="C812" t="inlineStr">
        <is>
          <t>국내영업2팀</t>
        </is>
      </c>
      <c r="D812" t="inlineStr">
        <is>
          <t>C10085</t>
        </is>
      </c>
      <c r="E812" t="inlineStr">
        <is>
          <t>파란하이텍</t>
        </is>
      </c>
      <c r="F812" t="inlineStr">
        <is>
          <t>PC</t>
        </is>
      </c>
      <c r="G812" t="inlineStr">
        <is>
          <t>M-2202</t>
        </is>
      </c>
      <c r="H812" t="inlineStr">
        <is>
          <t>PC 난연 FR200</t>
        </is>
      </c>
      <c r="I812" s="43" t="n">
        <v>46160</v>
      </c>
      <c r="J812" t="n">
        <v>202605</v>
      </c>
      <c r="K812" s="44" t="n">
        <v>5400</v>
      </c>
      <c r="L812" t="inlineStr">
        <is>
          <t>KG</t>
        </is>
      </c>
      <c r="M812" s="44" t="n">
        <v>23821946</v>
      </c>
      <c r="N812" s="44" t="n">
        <v>2143975</v>
      </c>
      <c r="O812" t="n">
        <v>0</v>
      </c>
      <c r="P812" s="44" t="n">
        <v>21677971</v>
      </c>
      <c r="Q812" t="inlineStr">
        <is>
          <t>KRW</t>
        </is>
      </c>
      <c r="R812" t="inlineStr">
        <is>
          <t>INV2605-00811</t>
        </is>
      </c>
      <c r="S812" t="inlineStr">
        <is>
          <t>※예시데이터</t>
        </is>
      </c>
    </row>
    <row r="813">
      <c r="A813" t="n">
        <v>1000</v>
      </c>
      <c r="B813" t="inlineStr">
        <is>
          <t>EP사업부</t>
        </is>
      </c>
      <c r="C813" t="inlineStr">
        <is>
          <t>국내영업1팀</t>
        </is>
      </c>
      <c r="D813" t="inlineStr">
        <is>
          <t>C10043</t>
        </is>
      </c>
      <c r="E813" t="inlineStr">
        <is>
          <t>새봄플라스틱</t>
        </is>
      </c>
      <c r="F813" t="inlineStr">
        <is>
          <t>ABS</t>
        </is>
      </c>
      <c r="G813" t="inlineStr">
        <is>
          <t>M-2101</t>
        </is>
      </c>
      <c r="H813" t="inlineStr">
        <is>
          <t>ABS 범용 G300</t>
        </is>
      </c>
      <c r="I813" s="43" t="n">
        <v>46162</v>
      </c>
      <c r="J813" t="n">
        <v>202605</v>
      </c>
      <c r="K813" s="44" t="n">
        <v>3175</v>
      </c>
      <c r="L813" t="inlineStr">
        <is>
          <t>KG</t>
        </is>
      </c>
      <c r="M813" s="44" t="n">
        <v>8699955</v>
      </c>
      <c r="N813" s="44" t="n">
        <v>521997</v>
      </c>
      <c r="O813" t="n">
        <v>0</v>
      </c>
      <c r="P813" s="44" t="n">
        <v>8177958</v>
      </c>
      <c r="Q813" t="inlineStr">
        <is>
          <t>KRW</t>
        </is>
      </c>
      <c r="R813" t="inlineStr">
        <is>
          <t>INV2605-00812</t>
        </is>
      </c>
      <c r="S813" t="inlineStr">
        <is>
          <t>※예시데이터</t>
        </is>
      </c>
    </row>
    <row r="814">
      <c r="A814" t="n">
        <v>1000</v>
      </c>
      <c r="B814" t="inlineStr">
        <is>
          <t>EP사업부</t>
        </is>
      </c>
      <c r="C814" t="inlineStr">
        <is>
          <t>국내영업2팀</t>
        </is>
      </c>
      <c r="D814" t="inlineStr">
        <is>
          <t>C10085</t>
        </is>
      </c>
      <c r="E814" t="inlineStr">
        <is>
          <t>파란하이텍</t>
        </is>
      </c>
      <c r="F814" t="inlineStr">
        <is>
          <t>PC</t>
        </is>
      </c>
      <c r="G814" t="inlineStr">
        <is>
          <t>M-2201</t>
        </is>
      </c>
      <c r="H814" t="inlineStr">
        <is>
          <t>PC 일반 C100</t>
        </is>
      </c>
      <c r="I814" s="43" t="n">
        <v>46162</v>
      </c>
      <c r="J814" t="n">
        <v>202605</v>
      </c>
      <c r="K814" s="44" t="n">
        <v>3225</v>
      </c>
      <c r="L814" t="inlineStr">
        <is>
          <t>KG</t>
        </is>
      </c>
      <c r="M814" s="44" t="n">
        <v>12755237</v>
      </c>
      <c r="N814" s="44" t="n">
        <v>1147971</v>
      </c>
      <c r="O814" t="n">
        <v>0</v>
      </c>
      <c r="P814" s="44" t="n">
        <v>11607266</v>
      </c>
      <c r="Q814" t="inlineStr">
        <is>
          <t>KRW</t>
        </is>
      </c>
      <c r="R814" t="inlineStr">
        <is>
          <t>INV2605-00813</t>
        </is>
      </c>
      <c r="S814" t="inlineStr">
        <is>
          <t>※예시데이터</t>
        </is>
      </c>
    </row>
    <row r="815">
      <c r="A815" t="n">
        <v>1000</v>
      </c>
      <c r="B815" t="inlineStr">
        <is>
          <t>EP사업부</t>
        </is>
      </c>
      <c r="C815" t="inlineStr">
        <is>
          <t>국내영업1팀</t>
        </is>
      </c>
      <c r="D815" t="inlineStr">
        <is>
          <t>C10134</t>
        </is>
      </c>
      <c r="E815" t="inlineStr">
        <is>
          <t>별하전자(주)</t>
        </is>
      </c>
      <c r="F815" t="inlineStr">
        <is>
          <t>PC</t>
        </is>
      </c>
      <c r="G815" t="inlineStr">
        <is>
          <t>M-2202</t>
        </is>
      </c>
      <c r="H815" t="inlineStr">
        <is>
          <t>PC 난연 FR200</t>
        </is>
      </c>
      <c r="I815" s="43" t="n">
        <v>46162</v>
      </c>
      <c r="J815" t="n">
        <v>202605</v>
      </c>
      <c r="K815" s="44" t="n">
        <v>1875</v>
      </c>
      <c r="L815" t="inlineStr">
        <is>
          <t>KG</t>
        </is>
      </c>
      <c r="M815" s="44" t="n">
        <v>8271509</v>
      </c>
      <c r="N815" s="44" t="n">
        <v>248145</v>
      </c>
      <c r="O815" t="n">
        <v>0</v>
      </c>
      <c r="P815" s="44" t="n">
        <v>8023364</v>
      </c>
      <c r="Q815" t="inlineStr">
        <is>
          <t>KRW</t>
        </is>
      </c>
      <c r="R815" t="inlineStr">
        <is>
          <t>INV2605-00814</t>
        </is>
      </c>
      <c r="S815" t="inlineStr">
        <is>
          <t>※예시데이터</t>
        </is>
      </c>
    </row>
    <row r="816">
      <c r="A816" t="n">
        <v>1000</v>
      </c>
      <c r="B816" t="inlineStr">
        <is>
          <t>EP사업부</t>
        </is>
      </c>
      <c r="C816" t="inlineStr">
        <is>
          <t>국내영업1팀</t>
        </is>
      </c>
      <c r="D816" t="inlineStr">
        <is>
          <t>C10057</t>
        </is>
      </c>
      <c r="E816" t="inlineStr">
        <is>
          <t>자연엠텍</t>
        </is>
      </c>
      <c r="F816" t="inlineStr">
        <is>
          <t>ABS</t>
        </is>
      </c>
      <c r="G816" t="inlineStr">
        <is>
          <t>M-2101</t>
        </is>
      </c>
      <c r="H816" t="inlineStr">
        <is>
          <t>ABS 범용 G300</t>
        </is>
      </c>
      <c r="I816" s="43" t="n">
        <v>46163</v>
      </c>
      <c r="J816" t="n">
        <v>202605</v>
      </c>
      <c r="K816" s="44" t="n">
        <v>2250</v>
      </c>
      <c r="L816" t="inlineStr">
        <is>
          <t>KG</t>
        </is>
      </c>
      <c r="M816" s="44" t="n">
        <v>6165322</v>
      </c>
      <c r="N816" s="44" t="n">
        <v>215786</v>
      </c>
      <c r="O816" t="n">
        <v>0</v>
      </c>
      <c r="P816" s="44" t="n">
        <v>5949536</v>
      </c>
      <c r="Q816" t="inlineStr">
        <is>
          <t>KRW</t>
        </is>
      </c>
      <c r="R816" t="inlineStr">
        <is>
          <t>INV2605-00815</t>
        </is>
      </c>
      <c r="S816" t="inlineStr">
        <is>
          <t>※예시데이터</t>
        </is>
      </c>
    </row>
    <row r="817">
      <c r="A817" t="n">
        <v>1000</v>
      </c>
      <c r="B817" t="inlineStr">
        <is>
          <t>범용수지사업부</t>
        </is>
      </c>
      <c r="C817" t="inlineStr">
        <is>
          <t>해외영업팀</t>
        </is>
      </c>
      <c r="D817" t="inlineStr">
        <is>
          <t>C10071</t>
        </is>
      </c>
      <c r="E817" t="inlineStr">
        <is>
          <t>큰별코리아</t>
        </is>
      </c>
      <c r="F817" t="inlineStr">
        <is>
          <t>PE</t>
        </is>
      </c>
      <c r="G817" t="inlineStr">
        <is>
          <t>M-1201</t>
        </is>
      </c>
      <c r="H817" t="inlineStr">
        <is>
          <t>HDPE 블로우 B500</t>
        </is>
      </c>
      <c r="I817" s="43" t="n">
        <v>46163</v>
      </c>
      <c r="J817" t="n">
        <v>202605</v>
      </c>
      <c r="K817" s="44" t="n">
        <v>3850</v>
      </c>
      <c r="L817" t="inlineStr">
        <is>
          <t>KG</t>
        </is>
      </c>
      <c r="M817" s="44" t="n">
        <v>5957281</v>
      </c>
      <c r="N817" s="44" t="n">
        <v>744660</v>
      </c>
      <c r="O817" s="44" t="n">
        <v>119146</v>
      </c>
      <c r="P817" s="44" t="n">
        <v>5093475</v>
      </c>
      <c r="Q817" t="inlineStr">
        <is>
          <t>KRW</t>
        </is>
      </c>
      <c r="R817" t="inlineStr">
        <is>
          <t>INV2605-00816</t>
        </is>
      </c>
      <c r="S817" t="inlineStr">
        <is>
          <t>※예시데이터</t>
        </is>
      </c>
    </row>
    <row r="818">
      <c r="A818" t="n">
        <v>1000</v>
      </c>
      <c r="B818" t="inlineStr">
        <is>
          <t>범용수지사업부</t>
        </is>
      </c>
      <c r="C818" t="inlineStr">
        <is>
          <t>국내영업1팀</t>
        </is>
      </c>
      <c r="D818" t="inlineStr">
        <is>
          <t>C10106</t>
        </is>
      </c>
      <c r="E818" t="inlineStr">
        <is>
          <t>온새미사출</t>
        </is>
      </c>
      <c r="F818" t="inlineStr">
        <is>
          <t>PP</t>
        </is>
      </c>
      <c r="G818" t="inlineStr">
        <is>
          <t>M-1101</t>
        </is>
      </c>
      <c r="H818" t="inlineStr">
        <is>
          <t>PP 범용사출 H110</t>
        </is>
      </c>
      <c r="I818" s="43" t="n">
        <v>46163</v>
      </c>
      <c r="J818" t="n">
        <v>202605</v>
      </c>
      <c r="K818" s="44" t="n">
        <v>2875</v>
      </c>
      <c r="L818" t="inlineStr">
        <is>
          <t>KG</t>
        </is>
      </c>
      <c r="M818" s="44" t="n">
        <v>4857950</v>
      </c>
      <c r="N818" s="44" t="n">
        <v>242898</v>
      </c>
      <c r="O818" t="n">
        <v>0</v>
      </c>
      <c r="P818" s="44" t="n">
        <v>4615052</v>
      </c>
      <c r="Q818" t="inlineStr">
        <is>
          <t>KRW</t>
        </is>
      </c>
      <c r="R818" t="inlineStr">
        <is>
          <t>INV2605-00817</t>
        </is>
      </c>
      <c r="S818" t="inlineStr">
        <is>
          <t>※예시데이터</t>
        </is>
      </c>
    </row>
    <row r="819">
      <c r="A819" t="n">
        <v>1000</v>
      </c>
      <c r="B819" t="inlineStr">
        <is>
          <t>EP사업부</t>
        </is>
      </c>
      <c r="C819" t="inlineStr">
        <is>
          <t>국내영업1팀</t>
        </is>
      </c>
      <c r="D819" t="inlineStr">
        <is>
          <t>C10120</t>
        </is>
      </c>
      <c r="E819" t="inlineStr">
        <is>
          <t>든솔케이스</t>
        </is>
      </c>
      <c r="F819" t="inlineStr">
        <is>
          <t>ABS</t>
        </is>
      </c>
      <c r="G819" t="inlineStr">
        <is>
          <t>M-2101</t>
        </is>
      </c>
      <c r="H819" t="inlineStr">
        <is>
          <t>ABS 범용 G300</t>
        </is>
      </c>
      <c r="I819" s="43" t="n">
        <v>46165</v>
      </c>
      <c r="J819" t="n">
        <v>202605</v>
      </c>
      <c r="K819" s="44" t="n">
        <v>3950</v>
      </c>
      <c r="L819" t="inlineStr">
        <is>
          <t>KG</t>
        </is>
      </c>
      <c r="M819" s="44" t="n">
        <v>10823566</v>
      </c>
      <c r="N819" s="44" t="n">
        <v>432943</v>
      </c>
      <c r="O819" t="n">
        <v>0</v>
      </c>
      <c r="P819" s="44" t="n">
        <v>10390623</v>
      </c>
      <c r="Q819" t="inlineStr">
        <is>
          <t>KRW</t>
        </is>
      </c>
      <c r="R819" t="inlineStr">
        <is>
          <t>INV2605-00818</t>
        </is>
      </c>
      <c r="S819" t="inlineStr">
        <is>
          <t>※예시데이터</t>
        </is>
      </c>
    </row>
    <row r="820">
      <c r="A820" t="n">
        <v>1000</v>
      </c>
      <c r="B820" t="inlineStr">
        <is>
          <t>EP사업부</t>
        </is>
      </c>
      <c r="C820" t="inlineStr">
        <is>
          <t>국내영업2팀</t>
        </is>
      </c>
      <c r="D820" t="inlineStr">
        <is>
          <t>C10015</t>
        </is>
      </c>
      <c r="E820" t="inlineStr">
        <is>
          <t>다솜케미칼</t>
        </is>
      </c>
      <c r="F820" t="inlineStr">
        <is>
          <t>PC</t>
        </is>
      </c>
      <c r="G820" t="inlineStr">
        <is>
          <t>M-2201</t>
        </is>
      </c>
      <c r="H820" t="inlineStr">
        <is>
          <t>PC 일반 C100</t>
        </is>
      </c>
      <c r="I820" s="43" t="n">
        <v>46166</v>
      </c>
      <c r="J820" t="n">
        <v>202605</v>
      </c>
      <c r="K820" s="44" t="n">
        <v>1525</v>
      </c>
      <c r="L820" t="inlineStr">
        <is>
          <t>KG</t>
        </is>
      </c>
      <c r="M820" s="44" t="n">
        <v>6031546</v>
      </c>
      <c r="N820" s="44" t="n">
        <v>301577</v>
      </c>
      <c r="O820" t="n">
        <v>0</v>
      </c>
      <c r="P820" s="44" t="n">
        <v>5729969</v>
      </c>
      <c r="Q820" t="inlineStr">
        <is>
          <t>KRW</t>
        </is>
      </c>
      <c r="R820" t="inlineStr">
        <is>
          <t>INV2605-00819</t>
        </is>
      </c>
      <c r="S820" t="inlineStr">
        <is>
          <t>※예시데이터</t>
        </is>
      </c>
    </row>
    <row r="821">
      <c r="A821" t="n">
        <v>1000</v>
      </c>
      <c r="B821" t="inlineStr">
        <is>
          <t>EP사업부</t>
        </is>
      </c>
      <c r="C821" t="inlineStr">
        <is>
          <t>국내영업2팀</t>
        </is>
      </c>
      <c r="D821" t="inlineStr">
        <is>
          <t>C10015</t>
        </is>
      </c>
      <c r="E821" t="inlineStr">
        <is>
          <t>다솜케미칼</t>
        </is>
      </c>
      <c r="F821" t="inlineStr">
        <is>
          <t>ABS</t>
        </is>
      </c>
      <c r="G821" t="inlineStr">
        <is>
          <t>M-2101</t>
        </is>
      </c>
      <c r="H821" t="inlineStr">
        <is>
          <t>ABS 범용 G300</t>
        </is>
      </c>
      <c r="I821" s="43" t="n">
        <v>46167</v>
      </c>
      <c r="J821" t="n">
        <v>202605</v>
      </c>
      <c r="K821" s="44" t="n">
        <v>1250</v>
      </c>
      <c r="L821" t="inlineStr">
        <is>
          <t>KG</t>
        </is>
      </c>
      <c r="M821" s="44" t="n">
        <v>3425179</v>
      </c>
      <c r="N821" s="44" t="n">
        <v>171259</v>
      </c>
      <c r="O821" t="n">
        <v>0</v>
      </c>
      <c r="P821" s="44" t="n">
        <v>3253920</v>
      </c>
      <c r="Q821" t="inlineStr">
        <is>
          <t>KRW</t>
        </is>
      </c>
      <c r="R821" t="inlineStr">
        <is>
          <t>INV2605-00820</t>
        </is>
      </c>
      <c r="S821" t="inlineStr">
        <is>
          <t>※예시데이터</t>
        </is>
      </c>
    </row>
    <row r="822">
      <c r="A822" t="n">
        <v>1000</v>
      </c>
      <c r="B822" t="inlineStr">
        <is>
          <t>EP사업부</t>
        </is>
      </c>
      <c r="C822" t="inlineStr">
        <is>
          <t>국내영업2팀</t>
        </is>
      </c>
      <c r="D822" t="inlineStr">
        <is>
          <t>C10015</t>
        </is>
      </c>
      <c r="E822" t="inlineStr">
        <is>
          <t>다솜케미칼</t>
        </is>
      </c>
      <c r="F822" t="inlineStr">
        <is>
          <t>PC</t>
        </is>
      </c>
      <c r="G822" t="inlineStr">
        <is>
          <t>M-2202</t>
        </is>
      </c>
      <c r="H822" t="inlineStr">
        <is>
          <t>PC 난연 FR200</t>
        </is>
      </c>
      <c r="I822" s="43" t="n">
        <v>46167</v>
      </c>
      <c r="J822" t="n">
        <v>202605</v>
      </c>
      <c r="K822" s="44" t="n">
        <v>2750</v>
      </c>
      <c r="L822" t="inlineStr">
        <is>
          <t>KG</t>
        </is>
      </c>
      <c r="M822" s="44" t="n">
        <v>12131547</v>
      </c>
      <c r="N822" s="44" t="n">
        <v>606577</v>
      </c>
      <c r="O822" t="n">
        <v>0</v>
      </c>
      <c r="P822" s="44" t="n">
        <v>11524970</v>
      </c>
      <c r="Q822" t="inlineStr">
        <is>
          <t>KRW</t>
        </is>
      </c>
      <c r="R822" t="inlineStr">
        <is>
          <t>INV2605-00821</t>
        </is>
      </c>
      <c r="S822" t="inlineStr">
        <is>
          <t>※예시데이터</t>
        </is>
      </c>
    </row>
    <row r="823">
      <c r="A823" t="n">
        <v>1000</v>
      </c>
      <c r="B823" t="inlineStr">
        <is>
          <t>범용수지사업부</t>
        </is>
      </c>
      <c r="C823" t="inlineStr">
        <is>
          <t>해외영업팀</t>
        </is>
      </c>
      <c r="D823" t="inlineStr">
        <is>
          <t>C10141</t>
        </is>
      </c>
      <c r="E823" t="inlineStr">
        <is>
          <t>Sinar Plastik (ID)</t>
        </is>
      </c>
      <c r="F823" t="inlineStr">
        <is>
          <t>PP</t>
        </is>
      </c>
      <c r="G823" t="inlineStr">
        <is>
          <t>M-1103</t>
        </is>
      </c>
      <c r="H823" t="inlineStr">
        <is>
          <t>PP 투명 R330</t>
        </is>
      </c>
      <c r="I823" s="43" t="n">
        <v>46167</v>
      </c>
      <c r="J823" t="n">
        <v>202605</v>
      </c>
      <c r="K823" s="44" t="n">
        <v>12700</v>
      </c>
      <c r="L823" t="inlineStr">
        <is>
          <t>KG</t>
        </is>
      </c>
      <c r="M823" s="44" t="n">
        <v>25231131</v>
      </c>
      <c r="N823" s="44" t="n">
        <v>3532358</v>
      </c>
      <c r="O823" t="n">
        <v>0</v>
      </c>
      <c r="P823" s="44" t="n">
        <v>21698773</v>
      </c>
      <c r="Q823" t="inlineStr">
        <is>
          <t>KRW</t>
        </is>
      </c>
      <c r="R823" t="inlineStr">
        <is>
          <t>INV2605-00822</t>
        </is>
      </c>
      <c r="S823" t="inlineStr">
        <is>
          <t>※예시데이터</t>
        </is>
      </c>
    </row>
    <row r="824">
      <c r="A824" t="n">
        <v>1000</v>
      </c>
      <c r="B824" t="inlineStr">
        <is>
          <t>범용수지사업부</t>
        </is>
      </c>
      <c r="C824" t="inlineStr">
        <is>
          <t>국내영업1팀</t>
        </is>
      </c>
      <c r="D824" t="inlineStr">
        <is>
          <t>C10001</t>
        </is>
      </c>
      <c r="E824" t="inlineStr">
        <is>
          <t>가온소재(주)</t>
        </is>
      </c>
      <c r="F824" t="inlineStr">
        <is>
          <t>PE</t>
        </is>
      </c>
      <c r="G824" t="inlineStr">
        <is>
          <t>M-1201</t>
        </is>
      </c>
      <c r="H824" t="inlineStr">
        <is>
          <t>HDPE 블로우 B500</t>
        </is>
      </c>
      <c r="I824" s="43" t="n">
        <v>46168</v>
      </c>
      <c r="J824" t="n">
        <v>202605</v>
      </c>
      <c r="K824" s="44" t="n">
        <v>4425</v>
      </c>
      <c r="L824" t="inlineStr">
        <is>
          <t>KG</t>
        </is>
      </c>
      <c r="M824" s="44" t="n">
        <v>6847005</v>
      </c>
      <c r="N824" s="44" t="n">
        <v>342350</v>
      </c>
      <c r="O824" t="n">
        <v>0</v>
      </c>
      <c r="P824" s="44" t="n">
        <v>6504655</v>
      </c>
      <c r="Q824" t="inlineStr">
        <is>
          <t>KRW</t>
        </is>
      </c>
      <c r="R824" t="inlineStr">
        <is>
          <t>INV2605-00823</t>
        </is>
      </c>
      <c r="S824" t="inlineStr">
        <is>
          <t>※예시데이터</t>
        </is>
      </c>
    </row>
    <row r="825">
      <c r="A825" t="n">
        <v>1000</v>
      </c>
      <c r="B825" t="inlineStr">
        <is>
          <t>EP사업부</t>
        </is>
      </c>
      <c r="C825" t="inlineStr">
        <is>
          <t>국내영업2팀</t>
        </is>
      </c>
      <c r="D825" t="inlineStr">
        <is>
          <t>C10015</t>
        </is>
      </c>
      <c r="E825" t="inlineStr">
        <is>
          <t>다솜케미칼</t>
        </is>
      </c>
      <c r="F825" t="inlineStr">
        <is>
          <t>PC</t>
        </is>
      </c>
      <c r="G825" t="inlineStr">
        <is>
          <t>M-2201</t>
        </is>
      </c>
      <c r="H825" t="inlineStr">
        <is>
          <t>PC 일반 C100</t>
        </is>
      </c>
      <c r="I825" s="43" t="n">
        <v>46168</v>
      </c>
      <c r="J825" t="n">
        <v>202605</v>
      </c>
      <c r="K825" s="44" t="n">
        <v>1525</v>
      </c>
      <c r="L825" t="inlineStr">
        <is>
          <t>KG</t>
        </is>
      </c>
      <c r="M825" s="44" t="n">
        <v>6031546</v>
      </c>
      <c r="N825" s="44" t="n">
        <v>301577</v>
      </c>
      <c r="O825" t="n">
        <v>0</v>
      </c>
      <c r="P825" s="44" t="n">
        <v>5729969</v>
      </c>
      <c r="Q825" t="inlineStr">
        <is>
          <t>KRW</t>
        </is>
      </c>
      <c r="R825" t="inlineStr">
        <is>
          <t>INV2605-00824</t>
        </is>
      </c>
      <c r="S825" t="inlineStr">
        <is>
          <t>※예시데이터</t>
        </is>
      </c>
    </row>
    <row r="826">
      <c r="A826" t="n">
        <v>1000</v>
      </c>
      <c r="B826" t="inlineStr">
        <is>
          <t>EP사업부</t>
        </is>
      </c>
      <c r="C826" t="inlineStr">
        <is>
          <t>국내영업2팀</t>
        </is>
      </c>
      <c r="D826" t="inlineStr">
        <is>
          <t>C10022</t>
        </is>
      </c>
      <c r="E826" t="inlineStr">
        <is>
          <t>라온테크(주)</t>
        </is>
      </c>
      <c r="F826" t="inlineStr">
        <is>
          <t>ABS</t>
        </is>
      </c>
      <c r="G826" t="inlineStr">
        <is>
          <t>M-2101</t>
        </is>
      </c>
      <c r="H826" t="inlineStr">
        <is>
          <t>ABS 범용 G300</t>
        </is>
      </c>
      <c r="I826" s="43" t="n">
        <v>46174</v>
      </c>
      <c r="J826" t="n">
        <v>202606</v>
      </c>
      <c r="K826" s="44" t="n">
        <v>6925</v>
      </c>
      <c r="L826" t="inlineStr">
        <is>
          <t>KG</t>
        </is>
      </c>
      <c r="M826" s="44" t="n">
        <v>19053304</v>
      </c>
      <c r="N826" s="44" t="n">
        <v>2095863</v>
      </c>
      <c r="O826" t="n">
        <v>0</v>
      </c>
      <c r="P826" s="44" t="n">
        <v>16957441</v>
      </c>
      <c r="Q826" t="inlineStr">
        <is>
          <t>KRW</t>
        </is>
      </c>
      <c r="R826" t="inlineStr">
        <is>
          <t>INV2606-00825</t>
        </is>
      </c>
      <c r="S826" t="inlineStr">
        <is>
          <t>※예시데이터</t>
        </is>
      </c>
    </row>
    <row r="827">
      <c r="A827" t="n">
        <v>1000</v>
      </c>
      <c r="B827" t="inlineStr">
        <is>
          <t>EP사업부</t>
        </is>
      </c>
      <c r="C827" t="inlineStr">
        <is>
          <t>국내영업1팀</t>
        </is>
      </c>
      <c r="D827" t="inlineStr">
        <is>
          <t>C10120</t>
        </is>
      </c>
      <c r="E827" t="inlineStr">
        <is>
          <t>든솔케이스</t>
        </is>
      </c>
      <c r="F827" t="inlineStr">
        <is>
          <t>ABS</t>
        </is>
      </c>
      <c r="G827" t="inlineStr">
        <is>
          <t>M-2101</t>
        </is>
      </c>
      <c r="H827" t="inlineStr">
        <is>
          <t>ABS 범용 G300</t>
        </is>
      </c>
      <c r="I827" s="43" t="n">
        <v>46174</v>
      </c>
      <c r="J827" t="n">
        <v>202606</v>
      </c>
      <c r="K827" s="44" t="n">
        <v>1675</v>
      </c>
      <c r="L827" t="inlineStr">
        <is>
          <t>KG</t>
        </is>
      </c>
      <c r="M827" s="44" t="n">
        <v>4608561</v>
      </c>
      <c r="N827" s="44" t="n">
        <v>184342</v>
      </c>
      <c r="O827" t="n">
        <v>0</v>
      </c>
      <c r="P827" s="44" t="n">
        <v>4424219</v>
      </c>
      <c r="Q827" t="inlineStr">
        <is>
          <t>KRW</t>
        </is>
      </c>
      <c r="R827" t="inlineStr">
        <is>
          <t>INV2606-00826</t>
        </is>
      </c>
      <c r="S827" t="inlineStr">
        <is>
          <t>※예시데이터</t>
        </is>
      </c>
    </row>
    <row r="828">
      <c r="A828" t="n">
        <v>1000</v>
      </c>
      <c r="B828" t="inlineStr">
        <is>
          <t>EP사업부</t>
        </is>
      </c>
      <c r="C828" t="inlineStr">
        <is>
          <t>국내영업1팀</t>
        </is>
      </c>
      <c r="D828" t="inlineStr">
        <is>
          <t>C10043</t>
        </is>
      </c>
      <c r="E828" t="inlineStr">
        <is>
          <t>새봄플라스틱</t>
        </is>
      </c>
      <c r="F828" t="inlineStr">
        <is>
          <t>ABS</t>
        </is>
      </c>
      <c r="G828" t="inlineStr">
        <is>
          <t>M-2101</t>
        </is>
      </c>
      <c r="H828" t="inlineStr">
        <is>
          <t>ABS 범용 G300</t>
        </is>
      </c>
      <c r="I828" s="43" t="n">
        <v>46175</v>
      </c>
      <c r="J828" t="n">
        <v>202606</v>
      </c>
      <c r="K828" s="44" t="n">
        <v>3375</v>
      </c>
      <c r="L828" t="inlineStr">
        <is>
          <t>KG</t>
        </is>
      </c>
      <c r="M828" s="44" t="n">
        <v>9285906</v>
      </c>
      <c r="N828" s="44" t="n">
        <v>557154</v>
      </c>
      <c r="O828" t="n">
        <v>0</v>
      </c>
      <c r="P828" s="44" t="n">
        <v>8728752</v>
      </c>
      <c r="Q828" t="inlineStr">
        <is>
          <t>KRW</t>
        </is>
      </c>
      <c r="R828" t="inlineStr">
        <is>
          <t>INV2606-00827</t>
        </is>
      </c>
      <c r="S828" t="inlineStr">
        <is>
          <t>※예시데이터</t>
        </is>
      </c>
    </row>
    <row r="829">
      <c r="A829" t="n">
        <v>1000</v>
      </c>
      <c r="B829" t="inlineStr">
        <is>
          <t>EP사업부</t>
        </is>
      </c>
      <c r="C829" t="inlineStr">
        <is>
          <t>국내영업2팀</t>
        </is>
      </c>
      <c r="D829" t="inlineStr">
        <is>
          <t>C10015</t>
        </is>
      </c>
      <c r="E829" t="inlineStr">
        <is>
          <t>다솜케미칼</t>
        </is>
      </c>
      <c r="F829" t="inlineStr">
        <is>
          <t>ABS</t>
        </is>
      </c>
      <c r="G829" t="inlineStr">
        <is>
          <t>M-2101</t>
        </is>
      </c>
      <c r="H829" t="inlineStr">
        <is>
          <t>ABS 범용 G300</t>
        </is>
      </c>
      <c r="I829" s="43" t="n">
        <v>46180</v>
      </c>
      <c r="J829" t="n">
        <v>202606</v>
      </c>
      <c r="K829" s="44" t="n">
        <v>2900</v>
      </c>
      <c r="L829" t="inlineStr">
        <is>
          <t>KG</t>
        </is>
      </c>
      <c r="M829" s="44" t="n">
        <v>7979001</v>
      </c>
      <c r="N829" s="44" t="n">
        <v>398950</v>
      </c>
      <c r="O829" t="n">
        <v>0</v>
      </c>
      <c r="P829" s="44" t="n">
        <v>7580051</v>
      </c>
      <c r="Q829" t="inlineStr">
        <is>
          <t>KRW</t>
        </is>
      </c>
      <c r="R829" t="inlineStr">
        <is>
          <t>INV2606-00828</t>
        </is>
      </c>
      <c r="S829" t="inlineStr">
        <is>
          <t>※예시데이터</t>
        </is>
      </c>
    </row>
    <row r="830">
      <c r="A830" t="n">
        <v>1000</v>
      </c>
      <c r="B830" t="inlineStr">
        <is>
          <t>EP사업부</t>
        </is>
      </c>
      <c r="C830" t="inlineStr">
        <is>
          <t>해외영업팀</t>
        </is>
      </c>
      <c r="D830" t="inlineStr">
        <is>
          <t>C10148</t>
        </is>
      </c>
      <c r="E830" t="inlineStr">
        <is>
          <t>Hanoi Molding (VN)</t>
        </is>
      </c>
      <c r="F830" t="inlineStr">
        <is>
          <t>ABS</t>
        </is>
      </c>
      <c r="G830" t="inlineStr">
        <is>
          <t>M-2101</t>
        </is>
      </c>
      <c r="H830" t="inlineStr">
        <is>
          <t>ABS 범용 G300</t>
        </is>
      </c>
      <c r="I830" s="43" t="n">
        <v>46180</v>
      </c>
      <c r="J830" t="n">
        <v>202606</v>
      </c>
      <c r="K830" s="44" t="n">
        <v>4025</v>
      </c>
      <c r="L830" t="inlineStr">
        <is>
          <t>KG</t>
        </is>
      </c>
      <c r="M830" s="44" t="n">
        <v>11074303</v>
      </c>
      <c r="N830" s="44" t="n">
        <v>1107430</v>
      </c>
      <c r="O830" t="n">
        <v>0</v>
      </c>
      <c r="P830" s="44" t="n">
        <v>9966873</v>
      </c>
      <c r="Q830" t="inlineStr">
        <is>
          <t>KRW</t>
        </is>
      </c>
      <c r="R830" t="inlineStr">
        <is>
          <t>INV2606-00829</t>
        </is>
      </c>
      <c r="S830" t="inlineStr">
        <is>
          <t>※예시데이터</t>
        </is>
      </c>
    </row>
    <row r="831">
      <c r="A831" t="n">
        <v>1000</v>
      </c>
      <c r="B831" t="inlineStr">
        <is>
          <t>EP사업부</t>
        </is>
      </c>
      <c r="C831" t="inlineStr">
        <is>
          <t>해외영업팀</t>
        </is>
      </c>
      <c r="D831" t="inlineStr">
        <is>
          <t>C10148</t>
        </is>
      </c>
      <c r="E831" t="inlineStr">
        <is>
          <t>Hanoi Molding (VN)</t>
        </is>
      </c>
      <c r="F831" t="inlineStr">
        <is>
          <t>ABS</t>
        </is>
      </c>
      <c r="G831" t="inlineStr">
        <is>
          <t>M-2101</t>
        </is>
      </c>
      <c r="H831" t="inlineStr">
        <is>
          <t>ABS 범용 G300</t>
        </is>
      </c>
      <c r="I831" s="43" t="n">
        <v>46180</v>
      </c>
      <c r="J831" t="n">
        <v>202606</v>
      </c>
      <c r="K831" s="44" t="n">
        <v>4025</v>
      </c>
      <c r="L831" t="inlineStr">
        <is>
          <t>KG</t>
        </is>
      </c>
      <c r="M831" s="44" t="n">
        <v>11074303</v>
      </c>
      <c r="N831" s="44" t="n">
        <v>1107430</v>
      </c>
      <c r="O831" t="n">
        <v>0</v>
      </c>
      <c r="P831" s="44" t="n">
        <v>9966873</v>
      </c>
      <c r="Q831" t="inlineStr">
        <is>
          <t>KRW</t>
        </is>
      </c>
      <c r="R831" t="inlineStr">
        <is>
          <t>INV2606-00830</t>
        </is>
      </c>
      <c r="S831" t="inlineStr">
        <is>
          <t>※예시데이터</t>
        </is>
      </c>
    </row>
    <row r="832">
      <c r="A832" t="n">
        <v>1000</v>
      </c>
      <c r="B832" t="inlineStr">
        <is>
          <t>범용수지사업부</t>
        </is>
      </c>
      <c r="C832" t="inlineStr">
        <is>
          <t>해외영업팀</t>
        </is>
      </c>
      <c r="D832" t="inlineStr">
        <is>
          <t>C10071</t>
        </is>
      </c>
      <c r="E832" t="inlineStr">
        <is>
          <t>큰별코리아</t>
        </is>
      </c>
      <c r="F832" t="inlineStr">
        <is>
          <t>PP</t>
        </is>
      </c>
      <c r="G832" t="inlineStr">
        <is>
          <t>M-1101</t>
        </is>
      </c>
      <c r="H832" t="inlineStr">
        <is>
          <t>PP 범용사출 H110</t>
        </is>
      </c>
      <c r="I832" s="43" t="n">
        <v>46181</v>
      </c>
      <c r="J832" t="n">
        <v>202606</v>
      </c>
      <c r="K832" s="44" t="n">
        <v>7900</v>
      </c>
      <c r="L832" t="inlineStr">
        <is>
          <t>KG</t>
        </is>
      </c>
      <c r="M832" s="44" t="n">
        <v>13403541</v>
      </c>
      <c r="N832" s="44" t="n">
        <v>1675443</v>
      </c>
      <c r="O832" s="44" t="n">
        <v>268071</v>
      </c>
      <c r="P832" s="44" t="n">
        <v>11460027</v>
      </c>
      <c r="Q832" t="inlineStr">
        <is>
          <t>KRW</t>
        </is>
      </c>
      <c r="R832" t="inlineStr">
        <is>
          <t>INV2606-00831</t>
        </is>
      </c>
      <c r="S832" t="inlineStr">
        <is>
          <t>※예시데이터</t>
        </is>
      </c>
    </row>
    <row r="833">
      <c r="A833" t="n">
        <v>1000</v>
      </c>
      <c r="B833" t="inlineStr">
        <is>
          <t>범용수지사업부</t>
        </is>
      </c>
      <c r="C833" t="inlineStr">
        <is>
          <t>국내영업1팀</t>
        </is>
      </c>
      <c r="D833" t="inlineStr">
        <is>
          <t>C10001</t>
        </is>
      </c>
      <c r="E833" t="inlineStr">
        <is>
          <t>가온소재(주)</t>
        </is>
      </c>
      <c r="F833" t="inlineStr">
        <is>
          <t>PP</t>
        </is>
      </c>
      <c r="G833" t="inlineStr">
        <is>
          <t>M-1103</t>
        </is>
      </c>
      <c r="H833" t="inlineStr">
        <is>
          <t>PP 투명 R330</t>
        </is>
      </c>
      <c r="I833" s="43" t="n">
        <v>46182</v>
      </c>
      <c r="J833" t="n">
        <v>202606</v>
      </c>
      <c r="K833" s="44" t="n">
        <v>5475</v>
      </c>
      <c r="L833" t="inlineStr">
        <is>
          <t>KG</t>
        </is>
      </c>
      <c r="M833" s="44" t="n">
        <v>10921804</v>
      </c>
      <c r="N833" s="44" t="n">
        <v>546090</v>
      </c>
      <c r="O833" t="n">
        <v>0</v>
      </c>
      <c r="P833" s="44" t="n">
        <v>10375714</v>
      </c>
      <c r="Q833" t="inlineStr">
        <is>
          <t>KRW</t>
        </is>
      </c>
      <c r="R833" t="inlineStr">
        <is>
          <t>INV2606-00832</t>
        </is>
      </c>
      <c r="S833" t="inlineStr">
        <is>
          <t>※예시데이터</t>
        </is>
      </c>
    </row>
    <row r="834">
      <c r="A834" t="n">
        <v>1000</v>
      </c>
      <c r="B834" t="inlineStr">
        <is>
          <t>EP사업부</t>
        </is>
      </c>
      <c r="C834" t="inlineStr">
        <is>
          <t>국내영업2팀</t>
        </is>
      </c>
      <c r="D834" t="inlineStr">
        <is>
          <t>C10099</t>
        </is>
      </c>
      <c r="E834" t="inlineStr">
        <is>
          <t>한울몰드</t>
        </is>
      </c>
      <c r="F834" t="inlineStr">
        <is>
          <t>ABS</t>
        </is>
      </c>
      <c r="G834" t="inlineStr">
        <is>
          <t>M-2102</t>
        </is>
      </c>
      <c r="H834" t="inlineStr">
        <is>
          <t>ABS 내열 HR500</t>
        </is>
      </c>
      <c r="I834" s="43" t="n">
        <v>46182</v>
      </c>
      <c r="J834" t="n">
        <v>202606</v>
      </c>
      <c r="K834" s="44" t="n">
        <v>3300</v>
      </c>
      <c r="L834" t="inlineStr">
        <is>
          <t>KG</t>
        </is>
      </c>
      <c r="M834" s="44" t="n">
        <v>10210214</v>
      </c>
      <c r="N834" s="44" t="n">
        <v>663664</v>
      </c>
      <c r="O834" t="n">
        <v>0</v>
      </c>
      <c r="P834" s="44" t="n">
        <v>9546550</v>
      </c>
      <c r="Q834" t="inlineStr">
        <is>
          <t>KRW</t>
        </is>
      </c>
      <c r="R834" t="inlineStr">
        <is>
          <t>INV2606-00833</t>
        </is>
      </c>
      <c r="S834" t="inlineStr">
        <is>
          <t>※예시데이터</t>
        </is>
      </c>
    </row>
    <row r="835">
      <c r="A835" t="n">
        <v>1000</v>
      </c>
      <c r="B835" t="inlineStr">
        <is>
          <t>범용수지사업부</t>
        </is>
      </c>
      <c r="C835" t="inlineStr">
        <is>
          <t>국내영업1팀</t>
        </is>
      </c>
      <c r="D835" t="inlineStr">
        <is>
          <t>C10001</t>
        </is>
      </c>
      <c r="E835" t="inlineStr">
        <is>
          <t>가온소재(주)</t>
        </is>
      </c>
      <c r="F835" t="inlineStr">
        <is>
          <t>PE</t>
        </is>
      </c>
      <c r="G835" t="inlineStr">
        <is>
          <t>M-1202</t>
        </is>
      </c>
      <c r="H835" t="inlineStr">
        <is>
          <t>LLDPE 필름 F120</t>
        </is>
      </c>
      <c r="I835" s="43" t="n">
        <v>46183</v>
      </c>
      <c r="J835" t="n">
        <v>202606</v>
      </c>
      <c r="K835" s="44" t="n">
        <v>2075</v>
      </c>
      <c r="L835" t="inlineStr">
        <is>
          <t>KG</t>
        </is>
      </c>
      <c r="M835" s="44" t="n">
        <v>3489167</v>
      </c>
      <c r="N835" s="44" t="n">
        <v>174458</v>
      </c>
      <c r="O835" t="n">
        <v>0</v>
      </c>
      <c r="P835" s="44" t="n">
        <v>3314709</v>
      </c>
      <c r="Q835" t="inlineStr">
        <is>
          <t>KRW</t>
        </is>
      </c>
      <c r="R835" t="inlineStr">
        <is>
          <t>INV2606-00834</t>
        </is>
      </c>
      <c r="S835" t="inlineStr">
        <is>
          <t>※예시데이터</t>
        </is>
      </c>
    </row>
    <row r="836">
      <c r="A836" t="n">
        <v>1000</v>
      </c>
      <c r="B836" t="inlineStr">
        <is>
          <t>범용수지사업부</t>
        </is>
      </c>
      <c r="C836" t="inlineStr">
        <is>
          <t>국내영업1팀</t>
        </is>
      </c>
      <c r="D836" t="inlineStr">
        <is>
          <t>C10092</t>
        </is>
      </c>
      <c r="E836" t="inlineStr">
        <is>
          <t>하늘포장(주)</t>
        </is>
      </c>
      <c r="F836" t="inlineStr">
        <is>
          <t>PE</t>
        </is>
      </c>
      <c r="G836" t="inlineStr">
        <is>
          <t>M-1201</t>
        </is>
      </c>
      <c r="H836" t="inlineStr">
        <is>
          <t>HDPE 블로우 B500</t>
        </is>
      </c>
      <c r="I836" s="43" t="n">
        <v>46183</v>
      </c>
      <c r="J836" t="n">
        <v>202606</v>
      </c>
      <c r="K836" s="44" t="n">
        <v>8700</v>
      </c>
      <c r="L836" t="inlineStr">
        <is>
          <t>KG</t>
        </is>
      </c>
      <c r="M836" s="44" t="n">
        <v>13517111</v>
      </c>
      <c r="N836" s="44" t="n">
        <v>946198</v>
      </c>
      <c r="O836" t="n">
        <v>0</v>
      </c>
      <c r="P836" s="44" t="n">
        <v>12570913</v>
      </c>
      <c r="Q836" t="inlineStr">
        <is>
          <t>KRW</t>
        </is>
      </c>
      <c r="R836" t="inlineStr">
        <is>
          <t>INV2606-00835</t>
        </is>
      </c>
      <c r="S836" t="inlineStr">
        <is>
          <t>※예시데이터</t>
        </is>
      </c>
    </row>
    <row r="837">
      <c r="A837" t="n">
        <v>1000</v>
      </c>
      <c r="B837" t="inlineStr">
        <is>
          <t>EP사업부</t>
        </is>
      </c>
      <c r="C837" t="inlineStr">
        <is>
          <t>국내영업2팀</t>
        </is>
      </c>
      <c r="D837" t="inlineStr">
        <is>
          <t>C10015</t>
        </is>
      </c>
      <c r="E837" t="inlineStr">
        <is>
          <t>다솜케미칼</t>
        </is>
      </c>
      <c r="F837" t="inlineStr">
        <is>
          <t>PC</t>
        </is>
      </c>
      <c r="G837" t="inlineStr">
        <is>
          <t>M-2201</t>
        </is>
      </c>
      <c r="H837" t="inlineStr">
        <is>
          <t>PC 일반 C100</t>
        </is>
      </c>
      <c r="I837" s="43" t="n">
        <v>46184</v>
      </c>
      <c r="J837" t="n">
        <v>202606</v>
      </c>
      <c r="K837" s="44" t="n">
        <v>2925</v>
      </c>
      <c r="L837" t="inlineStr">
        <is>
          <t>KG</t>
        </is>
      </c>
      <c r="M837" s="44" t="n">
        <v>11616143</v>
      </c>
      <c r="N837" s="44" t="n">
        <v>580807</v>
      </c>
      <c r="O837" t="n">
        <v>0</v>
      </c>
      <c r="P837" s="44" t="n">
        <v>11035336</v>
      </c>
      <c r="Q837" t="inlineStr">
        <is>
          <t>KRW</t>
        </is>
      </c>
      <c r="R837" t="inlineStr">
        <is>
          <t>INV2606-00836</t>
        </is>
      </c>
      <c r="S837" t="inlineStr">
        <is>
          <t>※예시데이터</t>
        </is>
      </c>
    </row>
    <row r="838">
      <c r="A838" t="n">
        <v>1000</v>
      </c>
      <c r="B838" t="inlineStr">
        <is>
          <t>EP사업부</t>
        </is>
      </c>
      <c r="C838" t="inlineStr">
        <is>
          <t>국내영업2팀</t>
        </is>
      </c>
      <c r="D838" t="inlineStr">
        <is>
          <t>C10099</t>
        </is>
      </c>
      <c r="E838" t="inlineStr">
        <is>
          <t>한울몰드</t>
        </is>
      </c>
      <c r="F838" t="inlineStr">
        <is>
          <t>ABS</t>
        </is>
      </c>
      <c r="G838" t="inlineStr">
        <is>
          <t>M-2101</t>
        </is>
      </c>
      <c r="H838" t="inlineStr">
        <is>
          <t>ABS 범용 G300</t>
        </is>
      </c>
      <c r="I838" s="43" t="n">
        <v>46184</v>
      </c>
      <c r="J838" t="n">
        <v>202606</v>
      </c>
      <c r="K838" s="44" t="n">
        <v>3650</v>
      </c>
      <c r="L838" t="inlineStr">
        <is>
          <t>KG</t>
        </is>
      </c>
      <c r="M838" s="44" t="n">
        <v>10042535</v>
      </c>
      <c r="N838" s="44" t="n">
        <v>652765</v>
      </c>
      <c r="O838" t="n">
        <v>0</v>
      </c>
      <c r="P838" s="44" t="n">
        <v>9389770</v>
      </c>
      <c r="Q838" t="inlineStr">
        <is>
          <t>KRW</t>
        </is>
      </c>
      <c r="R838" t="inlineStr">
        <is>
          <t>INV2606-00837</t>
        </is>
      </c>
      <c r="S838" t="inlineStr">
        <is>
          <t>※예시데이터</t>
        </is>
      </c>
    </row>
    <row r="839">
      <c r="A839" t="n">
        <v>1000</v>
      </c>
      <c r="B839" t="inlineStr">
        <is>
          <t>EP사업부</t>
        </is>
      </c>
      <c r="C839" t="inlineStr">
        <is>
          <t>국내영업2팀</t>
        </is>
      </c>
      <c r="D839" t="inlineStr">
        <is>
          <t>C10015</t>
        </is>
      </c>
      <c r="E839" t="inlineStr">
        <is>
          <t>다솜케미칼</t>
        </is>
      </c>
      <c r="F839" t="inlineStr">
        <is>
          <t>PC</t>
        </is>
      </c>
      <c r="G839" t="inlineStr">
        <is>
          <t>M-2202</t>
        </is>
      </c>
      <c r="H839" t="inlineStr">
        <is>
          <t>PC 난연 FR200</t>
        </is>
      </c>
      <c r="I839" s="43" t="n">
        <v>46185</v>
      </c>
      <c r="J839" t="n">
        <v>202606</v>
      </c>
      <c r="K839" s="44" t="n">
        <v>2075</v>
      </c>
      <c r="L839" t="inlineStr">
        <is>
          <t>KG</t>
        </is>
      </c>
      <c r="M839" s="44" t="n">
        <v>9191340</v>
      </c>
      <c r="N839" s="44" t="n">
        <v>459567</v>
      </c>
      <c r="O839" t="n">
        <v>0</v>
      </c>
      <c r="P839" s="44" t="n">
        <v>8731773</v>
      </c>
      <c r="Q839" t="inlineStr">
        <is>
          <t>KRW</t>
        </is>
      </c>
      <c r="R839" t="inlineStr">
        <is>
          <t>INV2606-00838</t>
        </is>
      </c>
      <c r="S839" t="inlineStr">
        <is>
          <t>※예시데이터</t>
        </is>
      </c>
    </row>
    <row r="840">
      <c r="A840" t="n">
        <v>1000</v>
      </c>
      <c r="B840" t="inlineStr">
        <is>
          <t>범용수지사업부</t>
        </is>
      </c>
      <c r="C840" t="inlineStr">
        <is>
          <t>국내영업2팀</t>
        </is>
      </c>
      <c r="D840" t="inlineStr">
        <is>
          <t>C10036</t>
        </is>
      </c>
      <c r="E840" t="inlineStr">
        <is>
          <t>바른물산</t>
        </is>
      </c>
      <c r="F840" t="inlineStr">
        <is>
          <t>PE</t>
        </is>
      </c>
      <c r="G840" t="inlineStr">
        <is>
          <t>M-1201</t>
        </is>
      </c>
      <c r="H840" t="inlineStr">
        <is>
          <t>HDPE 블로우 B500</t>
        </is>
      </c>
      <c r="I840" s="43" t="n">
        <v>46185</v>
      </c>
      <c r="J840" t="n">
        <v>202606</v>
      </c>
      <c r="K840" s="44" t="n">
        <v>9500</v>
      </c>
      <c r="L840" t="inlineStr">
        <is>
          <t>KG</t>
        </is>
      </c>
      <c r="M840" s="44" t="n">
        <v>14760063</v>
      </c>
      <c r="N840" s="44" t="n">
        <v>1476006</v>
      </c>
      <c r="O840" s="44" t="n">
        <v>295201</v>
      </c>
      <c r="P840" s="44" t="n">
        <v>12988856</v>
      </c>
      <c r="Q840" t="inlineStr">
        <is>
          <t>KRW</t>
        </is>
      </c>
      <c r="R840" t="inlineStr">
        <is>
          <t>INV2606-00839</t>
        </is>
      </c>
      <c r="S840" t="inlineStr">
        <is>
          <t>※예시데이터</t>
        </is>
      </c>
    </row>
    <row r="841">
      <c r="A841" t="n">
        <v>1000</v>
      </c>
      <c r="B841" t="inlineStr">
        <is>
          <t>범용수지사업부</t>
        </is>
      </c>
      <c r="C841" t="inlineStr">
        <is>
          <t>국내영업2팀</t>
        </is>
      </c>
      <c r="D841" t="inlineStr">
        <is>
          <t>C10127</t>
        </is>
      </c>
      <c r="E841" t="inlineStr">
        <is>
          <t>미르패키징</t>
        </is>
      </c>
      <c r="F841" t="inlineStr">
        <is>
          <t>PE</t>
        </is>
      </c>
      <c r="G841" t="inlineStr">
        <is>
          <t>M-1201</t>
        </is>
      </c>
      <c r="H841" t="inlineStr">
        <is>
          <t>HDPE 블로우 B500</t>
        </is>
      </c>
      <c r="I841" s="43" t="n">
        <v>46185</v>
      </c>
      <c r="J841" t="n">
        <v>202606</v>
      </c>
      <c r="K841" s="44" t="n">
        <v>2525</v>
      </c>
      <c r="L841" t="inlineStr">
        <is>
          <t>KG</t>
        </is>
      </c>
      <c r="M841" s="44" t="n">
        <v>3923069</v>
      </c>
      <c r="N841" s="44" t="n">
        <v>333461</v>
      </c>
      <c r="O841" t="n">
        <v>0</v>
      </c>
      <c r="P841" s="44" t="n">
        <v>3589608</v>
      </c>
      <c r="Q841" t="inlineStr">
        <is>
          <t>KRW</t>
        </is>
      </c>
      <c r="R841" t="inlineStr">
        <is>
          <t>INV2606-00840</t>
        </is>
      </c>
      <c r="S841" t="inlineStr">
        <is>
          <t>※예시데이터</t>
        </is>
      </c>
    </row>
    <row r="842">
      <c r="A842" t="n">
        <v>1000</v>
      </c>
      <c r="B842" t="inlineStr">
        <is>
          <t>EP사업부</t>
        </is>
      </c>
      <c r="C842" t="inlineStr">
        <is>
          <t>국내영업1팀</t>
        </is>
      </c>
      <c r="D842" t="inlineStr">
        <is>
          <t>C10029</t>
        </is>
      </c>
      <c r="E842" t="inlineStr">
        <is>
          <t>마루정밀</t>
        </is>
      </c>
      <c r="F842" t="inlineStr">
        <is>
          <t>PC</t>
        </is>
      </c>
      <c r="G842" t="inlineStr">
        <is>
          <t>M-2201</t>
        </is>
      </c>
      <c r="H842" t="inlineStr">
        <is>
          <t>PC 일반 C100</t>
        </is>
      </c>
      <c r="I842" s="43" t="n">
        <v>46186</v>
      </c>
      <c r="J842" t="n">
        <v>202606</v>
      </c>
      <c r="K842" s="44" t="n">
        <v>5425</v>
      </c>
      <c r="L842" t="inlineStr">
        <is>
          <t>KG</t>
        </is>
      </c>
      <c r="M842" s="44" t="n">
        <v>21544470</v>
      </c>
      <c r="N842" s="44" t="n">
        <v>754056</v>
      </c>
      <c r="O842" t="n">
        <v>0</v>
      </c>
      <c r="P842" s="44" t="n">
        <v>20790414</v>
      </c>
      <c r="Q842" t="inlineStr">
        <is>
          <t>KRW</t>
        </is>
      </c>
      <c r="R842" t="inlineStr">
        <is>
          <t>INV2606-00841</t>
        </is>
      </c>
      <c r="S842" t="inlineStr">
        <is>
          <t>※예시데이터</t>
        </is>
      </c>
    </row>
    <row r="843">
      <c r="A843" t="n">
        <v>1000</v>
      </c>
      <c r="B843" t="inlineStr">
        <is>
          <t>범용수지사업부</t>
        </is>
      </c>
      <c r="C843" t="inlineStr">
        <is>
          <t>국내영업2팀</t>
        </is>
      </c>
      <c r="D843" t="inlineStr">
        <is>
          <t>C10050</t>
        </is>
      </c>
      <c r="E843" t="inlineStr">
        <is>
          <t>아름화학(주)</t>
        </is>
      </c>
      <c r="F843" t="inlineStr">
        <is>
          <t>PE</t>
        </is>
      </c>
      <c r="G843" t="inlineStr">
        <is>
          <t>M-1201</t>
        </is>
      </c>
      <c r="H843" t="inlineStr">
        <is>
          <t>HDPE 블로우 B500</t>
        </is>
      </c>
      <c r="I843" s="43" t="n">
        <v>46186</v>
      </c>
      <c r="J843" t="n">
        <v>202606</v>
      </c>
      <c r="K843" s="44" t="n">
        <v>7425</v>
      </c>
      <c r="L843" t="inlineStr">
        <is>
          <t>KG</t>
        </is>
      </c>
      <c r="M843" s="44" t="n">
        <v>11536155</v>
      </c>
      <c r="N843" s="44" t="n">
        <v>1211296</v>
      </c>
      <c r="O843" s="44" t="n">
        <v>115362</v>
      </c>
      <c r="P843" s="44" t="n">
        <v>10209497</v>
      </c>
      <c r="Q843" t="inlineStr">
        <is>
          <t>KRW</t>
        </is>
      </c>
      <c r="R843" t="inlineStr">
        <is>
          <t>INV2606-00842</t>
        </is>
      </c>
      <c r="S843" t="inlineStr">
        <is>
          <t>※예시데이터</t>
        </is>
      </c>
    </row>
    <row r="844">
      <c r="A844" t="n">
        <v>1000</v>
      </c>
      <c r="B844" t="inlineStr">
        <is>
          <t>범용수지사업부</t>
        </is>
      </c>
      <c r="C844" t="inlineStr">
        <is>
          <t>해외영업팀</t>
        </is>
      </c>
      <c r="D844" t="inlineStr">
        <is>
          <t>C10071</t>
        </is>
      </c>
      <c r="E844" t="inlineStr">
        <is>
          <t>큰별코리아</t>
        </is>
      </c>
      <c r="F844" t="inlineStr">
        <is>
          <t>PE</t>
        </is>
      </c>
      <c r="G844" t="inlineStr">
        <is>
          <t>M-1202</t>
        </is>
      </c>
      <c r="H844" t="inlineStr">
        <is>
          <t>LLDPE 필름 F120</t>
        </is>
      </c>
      <c r="I844" s="43" t="n">
        <v>46186</v>
      </c>
      <c r="J844" t="n">
        <v>202606</v>
      </c>
      <c r="K844" s="44" t="n">
        <v>11125</v>
      </c>
      <c r="L844" t="inlineStr">
        <is>
          <t>KG</t>
        </is>
      </c>
      <c r="M844" s="44" t="n">
        <v>18706979</v>
      </c>
      <c r="N844" s="44" t="n">
        <v>2338372</v>
      </c>
      <c r="O844" s="44" t="n">
        <v>374140</v>
      </c>
      <c r="P844" s="44" t="n">
        <v>15994467</v>
      </c>
      <c r="Q844" t="inlineStr">
        <is>
          <t>KRW</t>
        </is>
      </c>
      <c r="R844" t="inlineStr">
        <is>
          <t>INV2606-00843</t>
        </is>
      </c>
      <c r="S844" t="inlineStr">
        <is>
          <t>※예시데이터</t>
        </is>
      </c>
    </row>
    <row r="845">
      <c r="A845" t="n">
        <v>1000</v>
      </c>
      <c r="B845" t="inlineStr">
        <is>
          <t>EP사업부</t>
        </is>
      </c>
      <c r="C845" t="inlineStr">
        <is>
          <t>국내영업2팀</t>
        </is>
      </c>
      <c r="D845" t="inlineStr">
        <is>
          <t>C10113</t>
        </is>
      </c>
      <c r="E845" t="inlineStr">
        <is>
          <t>누리오토파츠</t>
        </is>
      </c>
      <c r="F845" t="inlineStr">
        <is>
          <t>ABS</t>
        </is>
      </c>
      <c r="G845" t="inlineStr">
        <is>
          <t>M-2102</t>
        </is>
      </c>
      <c r="H845" t="inlineStr">
        <is>
          <t>ABS 내열 HR500</t>
        </is>
      </c>
      <c r="I845" s="43" t="n">
        <v>46186</v>
      </c>
      <c r="J845" t="n">
        <v>202606</v>
      </c>
      <c r="K845" s="44" t="n">
        <v>2100</v>
      </c>
      <c r="L845" t="inlineStr">
        <is>
          <t>KG</t>
        </is>
      </c>
      <c r="M845" s="44" t="n">
        <v>6497409</v>
      </c>
      <c r="N845" s="44" t="n">
        <v>584767</v>
      </c>
      <c r="O845" s="44" t="n">
        <v>64974</v>
      </c>
      <c r="P845" s="44" t="n">
        <v>5847668</v>
      </c>
      <c r="Q845" t="inlineStr">
        <is>
          <t>KRW</t>
        </is>
      </c>
      <c r="R845" t="inlineStr">
        <is>
          <t>INV2606-00844</t>
        </is>
      </c>
      <c r="S845" t="inlineStr">
        <is>
          <t>※예시데이터</t>
        </is>
      </c>
    </row>
    <row r="846">
      <c r="A846" t="n">
        <v>1000</v>
      </c>
      <c r="B846" t="inlineStr">
        <is>
          <t>EP사업부</t>
        </is>
      </c>
      <c r="C846" t="inlineStr">
        <is>
          <t>국내영업1팀</t>
        </is>
      </c>
      <c r="D846" t="inlineStr">
        <is>
          <t>C10134</t>
        </is>
      </c>
      <c r="E846" t="inlineStr">
        <is>
          <t>별하전자(주)</t>
        </is>
      </c>
      <c r="F846" t="inlineStr">
        <is>
          <t>PC</t>
        </is>
      </c>
      <c r="G846" t="inlineStr">
        <is>
          <t>M-2202</t>
        </is>
      </c>
      <c r="H846" t="inlineStr">
        <is>
          <t>PC 난연 FR200</t>
        </is>
      </c>
      <c r="I846" s="43" t="n">
        <v>46186</v>
      </c>
      <c r="J846" t="n">
        <v>202606</v>
      </c>
      <c r="K846" s="44" t="n">
        <v>1175</v>
      </c>
      <c r="L846" t="inlineStr">
        <is>
          <t>KG</t>
        </is>
      </c>
      <c r="M846" s="44" t="n">
        <v>5204735</v>
      </c>
      <c r="N846" s="44" t="n">
        <v>156142</v>
      </c>
      <c r="O846" t="n">
        <v>0</v>
      </c>
      <c r="P846" s="44" t="n">
        <v>5048593</v>
      </c>
      <c r="Q846" t="inlineStr">
        <is>
          <t>KRW</t>
        </is>
      </c>
      <c r="R846" t="inlineStr">
        <is>
          <t>INV2606-00845</t>
        </is>
      </c>
      <c r="S846" t="inlineStr">
        <is>
          <t>※예시데이터</t>
        </is>
      </c>
    </row>
    <row r="847">
      <c r="A847" t="n">
        <v>1000</v>
      </c>
      <c r="B847" t="inlineStr">
        <is>
          <t>EP사업부</t>
        </is>
      </c>
      <c r="C847" t="inlineStr">
        <is>
          <t>국내영업1팀</t>
        </is>
      </c>
      <c r="D847" t="inlineStr">
        <is>
          <t>C10043</t>
        </is>
      </c>
      <c r="E847" t="inlineStr">
        <is>
          <t>새봄플라스틱</t>
        </is>
      </c>
      <c r="F847" t="inlineStr">
        <is>
          <t>ABS</t>
        </is>
      </c>
      <c r="G847" t="inlineStr">
        <is>
          <t>M-2101</t>
        </is>
      </c>
      <c r="H847" t="inlineStr">
        <is>
          <t>ABS 범용 G300</t>
        </is>
      </c>
      <c r="I847" s="43" t="n">
        <v>46187</v>
      </c>
      <c r="J847" t="n">
        <v>202606</v>
      </c>
      <c r="K847" s="44" t="n">
        <v>3375</v>
      </c>
      <c r="L847" t="inlineStr">
        <is>
          <t>KG</t>
        </is>
      </c>
      <c r="M847" s="44" t="n">
        <v>9285906</v>
      </c>
      <c r="N847" s="44" t="n">
        <v>557154</v>
      </c>
      <c r="O847" t="n">
        <v>0</v>
      </c>
      <c r="P847" s="44" t="n">
        <v>8728752</v>
      </c>
      <c r="Q847" t="inlineStr">
        <is>
          <t>KRW</t>
        </is>
      </c>
      <c r="R847" t="inlineStr">
        <is>
          <t>INV2606-00846</t>
        </is>
      </c>
      <c r="S847" t="inlineStr">
        <is>
          <t>※예시데이터</t>
        </is>
      </c>
    </row>
    <row r="848">
      <c r="A848" t="n">
        <v>1000</v>
      </c>
      <c r="B848" t="inlineStr">
        <is>
          <t>범용수지사업부</t>
        </is>
      </c>
      <c r="C848" t="inlineStr">
        <is>
          <t>국내영업2팀</t>
        </is>
      </c>
      <c r="D848" t="inlineStr">
        <is>
          <t>C10099</t>
        </is>
      </c>
      <c r="E848" t="inlineStr">
        <is>
          <t>한울몰드</t>
        </is>
      </c>
      <c r="F848" t="inlineStr">
        <is>
          <t>PP</t>
        </is>
      </c>
      <c r="G848" t="inlineStr">
        <is>
          <t>M-1101</t>
        </is>
      </c>
      <c r="H848" t="inlineStr">
        <is>
          <t>PP 범용사출 H110</t>
        </is>
      </c>
      <c r="I848" s="43" t="n">
        <v>46187</v>
      </c>
      <c r="J848" t="n">
        <v>202606</v>
      </c>
      <c r="K848" s="44" t="n">
        <v>2000</v>
      </c>
      <c r="L848" t="inlineStr">
        <is>
          <t>KG</t>
        </is>
      </c>
      <c r="M848" s="44" t="n">
        <v>3393302</v>
      </c>
      <c r="N848" s="44" t="n">
        <v>220565</v>
      </c>
      <c r="O848" t="n">
        <v>0</v>
      </c>
      <c r="P848" s="44" t="n">
        <v>3172737</v>
      </c>
      <c r="Q848" t="inlineStr">
        <is>
          <t>KRW</t>
        </is>
      </c>
      <c r="R848" t="inlineStr">
        <is>
          <t>INV2606-00847</t>
        </is>
      </c>
      <c r="S848" t="inlineStr">
        <is>
          <t>※예시데이터</t>
        </is>
      </c>
    </row>
    <row r="849">
      <c r="A849" t="n">
        <v>1000</v>
      </c>
      <c r="B849" t="inlineStr">
        <is>
          <t>범용수지사업부</t>
        </is>
      </c>
      <c r="C849" t="inlineStr">
        <is>
          <t>국내영업1팀</t>
        </is>
      </c>
      <c r="D849" t="inlineStr">
        <is>
          <t>C10106</t>
        </is>
      </c>
      <c r="E849" t="inlineStr">
        <is>
          <t>온새미사출</t>
        </is>
      </c>
      <c r="F849" t="inlineStr">
        <is>
          <t>PP</t>
        </is>
      </c>
      <c r="G849" t="inlineStr">
        <is>
          <t>M-1101</t>
        </is>
      </c>
      <c r="H849" t="inlineStr">
        <is>
          <t>PP 범용사출 H110</t>
        </is>
      </c>
      <c r="I849" s="43" t="n">
        <v>46187</v>
      </c>
      <c r="J849" t="n">
        <v>202606</v>
      </c>
      <c r="K849" s="44" t="n">
        <v>2800</v>
      </c>
      <c r="L849" t="inlineStr">
        <is>
          <t>KG</t>
        </is>
      </c>
      <c r="M849" s="44" t="n">
        <v>4750622</v>
      </c>
      <c r="N849" s="44" t="n">
        <v>237531</v>
      </c>
      <c r="O849" t="n">
        <v>0</v>
      </c>
      <c r="P849" s="44" t="n">
        <v>4513091</v>
      </c>
      <c r="Q849" t="inlineStr">
        <is>
          <t>KRW</t>
        </is>
      </c>
      <c r="R849" t="inlineStr">
        <is>
          <t>INV2606-00848</t>
        </is>
      </c>
      <c r="S849" t="inlineStr">
        <is>
          <t>※예시데이터</t>
        </is>
      </c>
    </row>
    <row r="850">
      <c r="A850" t="n">
        <v>1000</v>
      </c>
      <c r="B850" t="inlineStr">
        <is>
          <t>범용수지사업부</t>
        </is>
      </c>
      <c r="C850" t="inlineStr">
        <is>
          <t>해외영업팀</t>
        </is>
      </c>
      <c r="D850" t="inlineStr">
        <is>
          <t>C10141</t>
        </is>
      </c>
      <c r="E850" t="inlineStr">
        <is>
          <t>Sinar Plastik (ID)</t>
        </is>
      </c>
      <c r="F850" t="inlineStr">
        <is>
          <t>PP</t>
        </is>
      </c>
      <c r="G850" t="inlineStr">
        <is>
          <t>M-1102</t>
        </is>
      </c>
      <c r="H850" t="inlineStr">
        <is>
          <t>PP 고강성 H220</t>
        </is>
      </c>
      <c r="I850" s="43" t="n">
        <v>46187</v>
      </c>
      <c r="J850" t="n">
        <v>202606</v>
      </c>
      <c r="K850" s="44" t="n">
        <v>19725</v>
      </c>
      <c r="L850" t="inlineStr">
        <is>
          <t>KG</t>
        </is>
      </c>
      <c r="M850" s="44" t="n">
        <v>36914494</v>
      </c>
      <c r="N850" s="44" t="n">
        <v>5168029</v>
      </c>
      <c r="O850" t="n">
        <v>0</v>
      </c>
      <c r="P850" s="44" t="n">
        <v>31746465</v>
      </c>
      <c r="Q850" t="inlineStr">
        <is>
          <t>KRW</t>
        </is>
      </c>
      <c r="R850" t="inlineStr">
        <is>
          <t>INV2606-00849</t>
        </is>
      </c>
      <c r="S850" t="inlineStr">
        <is>
          <t>※예시데이터</t>
        </is>
      </c>
    </row>
    <row r="851">
      <c r="A851" t="n">
        <v>1000</v>
      </c>
      <c r="B851" t="inlineStr">
        <is>
          <t>EP사업부</t>
        </is>
      </c>
      <c r="C851" t="inlineStr">
        <is>
          <t>국내영업2팀</t>
        </is>
      </c>
      <c r="D851" t="inlineStr">
        <is>
          <t>C10022</t>
        </is>
      </c>
      <c r="E851" t="inlineStr">
        <is>
          <t>라온테크(주)</t>
        </is>
      </c>
      <c r="F851" t="inlineStr">
        <is>
          <t>ABS</t>
        </is>
      </c>
      <c r="G851" t="inlineStr">
        <is>
          <t>M-2102</t>
        </is>
      </c>
      <c r="H851" t="inlineStr">
        <is>
          <t>ABS 내열 HR500</t>
        </is>
      </c>
      <c r="I851" s="43" t="n">
        <v>46188</v>
      </c>
      <c r="J851" t="n">
        <v>202606</v>
      </c>
      <c r="K851" s="44" t="n">
        <v>8250</v>
      </c>
      <c r="L851" t="inlineStr">
        <is>
          <t>KG</t>
        </is>
      </c>
      <c r="M851" s="44" t="n">
        <v>25525535</v>
      </c>
      <c r="N851" s="44" t="n">
        <v>2807809</v>
      </c>
      <c r="O851" t="n">
        <v>0</v>
      </c>
      <c r="P851" s="44" t="n">
        <v>22717726</v>
      </c>
      <c r="Q851" t="inlineStr">
        <is>
          <t>KRW</t>
        </is>
      </c>
      <c r="R851" t="inlineStr">
        <is>
          <t>INV2606-00850</t>
        </is>
      </c>
      <c r="S851" t="inlineStr">
        <is>
          <t>※예시데이터</t>
        </is>
      </c>
    </row>
    <row r="852">
      <c r="A852" t="n">
        <v>1000</v>
      </c>
      <c r="B852" t="inlineStr">
        <is>
          <t>범용수지사업부</t>
        </is>
      </c>
      <c r="C852" t="inlineStr">
        <is>
          <t>국내영업1팀</t>
        </is>
      </c>
      <c r="D852" t="inlineStr">
        <is>
          <t>C10106</t>
        </is>
      </c>
      <c r="E852" t="inlineStr">
        <is>
          <t>온새미사출</t>
        </is>
      </c>
      <c r="F852" t="inlineStr">
        <is>
          <t>PP</t>
        </is>
      </c>
      <c r="G852" t="inlineStr">
        <is>
          <t>M-1101</t>
        </is>
      </c>
      <c r="H852" t="inlineStr">
        <is>
          <t>PP 범용사출 H110</t>
        </is>
      </c>
      <c r="I852" s="43" t="n">
        <v>46188</v>
      </c>
      <c r="J852" t="n">
        <v>202606</v>
      </c>
      <c r="K852" s="44" t="n">
        <v>2800</v>
      </c>
      <c r="L852" t="inlineStr">
        <is>
          <t>KG</t>
        </is>
      </c>
      <c r="M852" s="44" t="n">
        <v>4750622</v>
      </c>
      <c r="N852" s="44" t="n">
        <v>237531</v>
      </c>
      <c r="O852" t="n">
        <v>0</v>
      </c>
      <c r="P852" s="44" t="n">
        <v>4513091</v>
      </c>
      <c r="Q852" t="inlineStr">
        <is>
          <t>KRW</t>
        </is>
      </c>
      <c r="R852" t="inlineStr">
        <is>
          <t>INV2606-00851</t>
        </is>
      </c>
      <c r="S852" t="inlineStr">
        <is>
          <t>※예시데이터</t>
        </is>
      </c>
    </row>
    <row r="853">
      <c r="A853" t="n">
        <v>1000</v>
      </c>
      <c r="B853" t="inlineStr">
        <is>
          <t>범용수지사업부</t>
        </is>
      </c>
      <c r="C853" t="inlineStr">
        <is>
          <t>해외영업팀</t>
        </is>
      </c>
      <c r="D853" t="inlineStr">
        <is>
          <t>C10141</t>
        </is>
      </c>
      <c r="E853" t="inlineStr">
        <is>
          <t>Sinar Plastik (ID)</t>
        </is>
      </c>
      <c r="F853" t="inlineStr">
        <is>
          <t>PP</t>
        </is>
      </c>
      <c r="G853" t="inlineStr">
        <is>
          <t>M-1103</t>
        </is>
      </c>
      <c r="H853" t="inlineStr">
        <is>
          <t>PP 투명 R330</t>
        </is>
      </c>
      <c r="I853" s="43" t="n">
        <v>46188</v>
      </c>
      <c r="J853" t="n">
        <v>202606</v>
      </c>
      <c r="K853" s="44" t="n">
        <v>7025</v>
      </c>
      <c r="L853" t="inlineStr">
        <is>
          <t>KG</t>
        </is>
      </c>
      <c r="M853" s="44" t="n">
        <v>14013821</v>
      </c>
      <c r="N853" s="44" t="n">
        <v>1961935</v>
      </c>
      <c r="O853" t="n">
        <v>0</v>
      </c>
      <c r="P853" s="44" t="n">
        <v>12051886</v>
      </c>
      <c r="Q853" t="inlineStr">
        <is>
          <t>KRW</t>
        </is>
      </c>
      <c r="R853" t="inlineStr">
        <is>
          <t>INV2606-00852</t>
        </is>
      </c>
      <c r="S853" t="inlineStr">
        <is>
          <t>※예시데이터</t>
        </is>
      </c>
    </row>
    <row r="854">
      <c r="A854" t="n">
        <v>1000</v>
      </c>
      <c r="B854" t="inlineStr">
        <is>
          <t>범용수지사업부</t>
        </is>
      </c>
      <c r="C854" t="inlineStr">
        <is>
          <t>해외영업팀</t>
        </is>
      </c>
      <c r="D854" t="inlineStr">
        <is>
          <t>C10071</t>
        </is>
      </c>
      <c r="E854" t="inlineStr">
        <is>
          <t>큰별코리아</t>
        </is>
      </c>
      <c r="F854" t="inlineStr">
        <is>
          <t>PE</t>
        </is>
      </c>
      <c r="G854" t="inlineStr">
        <is>
          <t>M-1201</t>
        </is>
      </c>
      <c r="H854" t="inlineStr">
        <is>
          <t>HDPE 블로우 B500</t>
        </is>
      </c>
      <c r="I854" s="43" t="n">
        <v>46190</v>
      </c>
      <c r="J854" t="n">
        <v>202606</v>
      </c>
      <c r="K854" s="44" t="n">
        <v>8250</v>
      </c>
      <c r="L854" t="inlineStr">
        <is>
          <t>KG</t>
        </is>
      </c>
      <c r="M854" s="44" t="n">
        <v>12817950</v>
      </c>
      <c r="N854" s="44" t="n">
        <v>1602244</v>
      </c>
      <c r="O854" s="44" t="n">
        <v>256359</v>
      </c>
      <c r="P854" s="44" t="n">
        <v>10959347</v>
      </c>
      <c r="Q854" t="inlineStr">
        <is>
          <t>KRW</t>
        </is>
      </c>
      <c r="R854" t="inlineStr">
        <is>
          <t>INV2606-00853</t>
        </is>
      </c>
      <c r="S854" t="inlineStr">
        <is>
          <t>※예시데이터</t>
        </is>
      </c>
    </row>
    <row r="855">
      <c r="A855" t="n">
        <v>1000</v>
      </c>
      <c r="B855" t="inlineStr">
        <is>
          <t>범용수지사업부</t>
        </is>
      </c>
      <c r="C855" t="inlineStr">
        <is>
          <t>해외영업팀</t>
        </is>
      </c>
      <c r="D855" t="inlineStr">
        <is>
          <t>C10141</t>
        </is>
      </c>
      <c r="E855" t="inlineStr">
        <is>
          <t>Sinar Plastik (ID)</t>
        </is>
      </c>
      <c r="F855" t="inlineStr">
        <is>
          <t>PP</t>
        </is>
      </c>
      <c r="G855" t="inlineStr">
        <is>
          <t>M-1103</t>
        </is>
      </c>
      <c r="H855" t="inlineStr">
        <is>
          <t>PP 투명 R330</t>
        </is>
      </c>
      <c r="I855" s="43" t="n">
        <v>46190</v>
      </c>
      <c r="J855" t="n">
        <v>202606</v>
      </c>
      <c r="K855" s="44" t="n">
        <v>7025</v>
      </c>
      <c r="L855" t="inlineStr">
        <is>
          <t>KG</t>
        </is>
      </c>
      <c r="M855" s="44" t="n">
        <v>14013821</v>
      </c>
      <c r="N855" s="44" t="n">
        <v>1961935</v>
      </c>
      <c r="O855" t="n">
        <v>0</v>
      </c>
      <c r="P855" s="44" t="n">
        <v>12051886</v>
      </c>
      <c r="Q855" t="inlineStr">
        <is>
          <t>KRW</t>
        </is>
      </c>
      <c r="R855" t="inlineStr">
        <is>
          <t>INV2606-00854</t>
        </is>
      </c>
      <c r="S855" t="inlineStr">
        <is>
          <t>※예시데이터</t>
        </is>
      </c>
    </row>
    <row r="856">
      <c r="A856" t="n">
        <v>1000</v>
      </c>
      <c r="B856" t="inlineStr">
        <is>
          <t>범용수지사업부</t>
        </is>
      </c>
      <c r="C856" t="inlineStr">
        <is>
          <t>국내영업1팀</t>
        </is>
      </c>
      <c r="D856" t="inlineStr">
        <is>
          <t>C10001</t>
        </is>
      </c>
      <c r="E856" t="inlineStr">
        <is>
          <t>가온소재(주)</t>
        </is>
      </c>
      <c r="F856" t="inlineStr">
        <is>
          <t>PE</t>
        </is>
      </c>
      <c r="G856" t="inlineStr">
        <is>
          <t>M-1201</t>
        </is>
      </c>
      <c r="H856" t="inlineStr">
        <is>
          <t>HDPE 블로우 B500</t>
        </is>
      </c>
      <c r="I856" s="43" t="n">
        <v>46191</v>
      </c>
      <c r="J856" t="n">
        <v>202606</v>
      </c>
      <c r="K856" s="44" t="n">
        <v>4775</v>
      </c>
      <c r="L856" t="inlineStr">
        <is>
          <t>KG</t>
        </is>
      </c>
      <c r="M856" s="44" t="n">
        <v>7418874</v>
      </c>
      <c r="N856" s="44" t="n">
        <v>370944</v>
      </c>
      <c r="O856" t="n">
        <v>0</v>
      </c>
      <c r="P856" s="44" t="n">
        <v>7047930</v>
      </c>
      <c r="Q856" t="inlineStr">
        <is>
          <t>KRW</t>
        </is>
      </c>
      <c r="R856" t="inlineStr">
        <is>
          <t>INV2606-00855</t>
        </is>
      </c>
      <c r="S856" t="inlineStr">
        <is>
          <t>※예시데이터</t>
        </is>
      </c>
    </row>
    <row r="857">
      <c r="A857" t="n">
        <v>1000</v>
      </c>
      <c r="B857" t="inlineStr">
        <is>
          <t>범용수지사업부</t>
        </is>
      </c>
      <c r="C857" t="inlineStr">
        <is>
          <t>국내영업1팀</t>
        </is>
      </c>
      <c r="D857" t="inlineStr">
        <is>
          <t>C10008</t>
        </is>
      </c>
      <c r="E857" t="inlineStr">
        <is>
          <t>나래산업(주)</t>
        </is>
      </c>
      <c r="F857" t="inlineStr">
        <is>
          <t>PP</t>
        </is>
      </c>
      <c r="G857" t="inlineStr">
        <is>
          <t>M-1101</t>
        </is>
      </c>
      <c r="H857" t="inlineStr">
        <is>
          <t>PP 범용사출 H110</t>
        </is>
      </c>
      <c r="I857" s="43" t="n">
        <v>46191</v>
      </c>
      <c r="J857" t="n">
        <v>202606</v>
      </c>
      <c r="K857" s="44" t="n">
        <v>26075</v>
      </c>
      <c r="L857" t="inlineStr">
        <is>
          <t>KG</t>
        </is>
      </c>
      <c r="M857" s="44" t="n">
        <v>44240170</v>
      </c>
      <c r="N857" s="44" t="n">
        <v>4645218</v>
      </c>
      <c r="O857" s="44" t="n">
        <v>442402</v>
      </c>
      <c r="P857" s="44" t="n">
        <v>39152550</v>
      </c>
      <c r="Q857" t="inlineStr">
        <is>
          <t>KRW</t>
        </is>
      </c>
      <c r="R857" t="inlineStr">
        <is>
          <t>INV2606-00856</t>
        </is>
      </c>
      <c r="S857" t="inlineStr">
        <is>
          <t>※예시데이터</t>
        </is>
      </c>
    </row>
    <row r="858">
      <c r="A858" t="n">
        <v>1000</v>
      </c>
      <c r="B858" t="inlineStr">
        <is>
          <t>범용수지사업부</t>
        </is>
      </c>
      <c r="C858" t="inlineStr">
        <is>
          <t>국내영업1팀</t>
        </is>
      </c>
      <c r="D858" t="inlineStr">
        <is>
          <t>C10043</t>
        </is>
      </c>
      <c r="E858" t="inlineStr">
        <is>
          <t>새봄플라스틱</t>
        </is>
      </c>
      <c r="F858" t="inlineStr">
        <is>
          <t>PP</t>
        </is>
      </c>
      <c r="G858" t="inlineStr">
        <is>
          <t>M-1103</t>
        </is>
      </c>
      <c r="H858" t="inlineStr">
        <is>
          <t>PP 투명 R330</t>
        </is>
      </c>
      <c r="I858" s="43" t="n">
        <v>46191</v>
      </c>
      <c r="J858" t="n">
        <v>202606</v>
      </c>
      <c r="K858" s="44" t="n">
        <v>3050</v>
      </c>
      <c r="L858" t="inlineStr">
        <is>
          <t>KG</t>
        </is>
      </c>
      <c r="M858" s="44" t="n">
        <v>6084293</v>
      </c>
      <c r="N858" s="44" t="n">
        <v>365058</v>
      </c>
      <c r="O858" t="n">
        <v>0</v>
      </c>
      <c r="P858" s="44" t="n">
        <v>5719235</v>
      </c>
      <c r="Q858" t="inlineStr">
        <is>
          <t>KRW</t>
        </is>
      </c>
      <c r="R858" t="inlineStr">
        <is>
          <t>INV2606-00857</t>
        </is>
      </c>
      <c r="S858" t="inlineStr">
        <is>
          <t>※예시데이터</t>
        </is>
      </c>
    </row>
    <row r="859">
      <c r="A859" t="n">
        <v>1000</v>
      </c>
      <c r="B859" t="inlineStr">
        <is>
          <t>EP사업부</t>
        </is>
      </c>
      <c r="C859" t="inlineStr">
        <is>
          <t>국내영업1팀</t>
        </is>
      </c>
      <c r="D859" t="inlineStr">
        <is>
          <t>C10043</t>
        </is>
      </c>
      <c r="E859" t="inlineStr">
        <is>
          <t>새봄플라스틱</t>
        </is>
      </c>
      <c r="F859" t="inlineStr">
        <is>
          <t>ABS</t>
        </is>
      </c>
      <c r="G859" t="inlineStr">
        <is>
          <t>M-2102</t>
        </is>
      </c>
      <c r="H859" t="inlineStr">
        <is>
          <t>ABS 내열 HR500</t>
        </is>
      </c>
      <c r="I859" s="43" t="n">
        <v>46191</v>
      </c>
      <c r="J859" t="n">
        <v>202606</v>
      </c>
      <c r="K859" s="44" t="n">
        <v>6250</v>
      </c>
      <c r="L859" t="inlineStr">
        <is>
          <t>KG</t>
        </is>
      </c>
      <c r="M859" s="44" t="n">
        <v>19337526</v>
      </c>
      <c r="N859" s="44" t="n">
        <v>1160252</v>
      </c>
      <c r="O859" t="n">
        <v>0</v>
      </c>
      <c r="P859" s="44" t="n">
        <v>18177274</v>
      </c>
      <c r="Q859" t="inlineStr">
        <is>
          <t>KRW</t>
        </is>
      </c>
      <c r="R859" t="inlineStr">
        <is>
          <t>INV2606-00858</t>
        </is>
      </c>
      <c r="S859" t="inlineStr">
        <is>
          <t>※예시데이터</t>
        </is>
      </c>
    </row>
    <row r="860">
      <c r="A860" t="n">
        <v>1000</v>
      </c>
      <c r="B860" t="inlineStr">
        <is>
          <t>EP사업부</t>
        </is>
      </c>
      <c r="C860" t="inlineStr">
        <is>
          <t>국내영업2팀</t>
        </is>
      </c>
      <c r="D860" t="inlineStr">
        <is>
          <t>C10113</t>
        </is>
      </c>
      <c r="E860" t="inlineStr">
        <is>
          <t>누리오토파츠</t>
        </is>
      </c>
      <c r="F860" t="inlineStr">
        <is>
          <t>ABS</t>
        </is>
      </c>
      <c r="G860" t="inlineStr">
        <is>
          <t>M-2102</t>
        </is>
      </c>
      <c r="H860" t="inlineStr">
        <is>
          <t>ABS 내열 HR500</t>
        </is>
      </c>
      <c r="I860" s="43" t="n">
        <v>46191</v>
      </c>
      <c r="J860" t="n">
        <v>202606</v>
      </c>
      <c r="K860" s="44" t="n">
        <v>2100</v>
      </c>
      <c r="L860" t="inlineStr">
        <is>
          <t>KG</t>
        </is>
      </c>
      <c r="M860" s="44" t="n">
        <v>6497409</v>
      </c>
      <c r="N860" s="44" t="n">
        <v>584767</v>
      </c>
      <c r="O860" s="44" t="n">
        <v>64974</v>
      </c>
      <c r="P860" s="44" t="n">
        <v>5847668</v>
      </c>
      <c r="Q860" t="inlineStr">
        <is>
          <t>KRW</t>
        </is>
      </c>
      <c r="R860" t="inlineStr">
        <is>
          <t>INV2606-00859</t>
        </is>
      </c>
      <c r="S860" t="inlineStr">
        <is>
          <t>※예시데이터</t>
        </is>
      </c>
    </row>
    <row r="861">
      <c r="A861" t="n">
        <v>1000</v>
      </c>
      <c r="B861" t="inlineStr">
        <is>
          <t>EP사업부</t>
        </is>
      </c>
      <c r="C861" t="inlineStr">
        <is>
          <t>국내영업1팀</t>
        </is>
      </c>
      <c r="D861" t="inlineStr">
        <is>
          <t>C10078</t>
        </is>
      </c>
      <c r="E861" t="inlineStr">
        <is>
          <t>토담정공(주)</t>
        </is>
      </c>
      <c r="F861" t="inlineStr">
        <is>
          <t>ABS</t>
        </is>
      </c>
      <c r="G861" t="inlineStr">
        <is>
          <t>M-2102</t>
        </is>
      </c>
      <c r="H861" t="inlineStr">
        <is>
          <t>ABS 내열 HR500</t>
        </is>
      </c>
      <c r="I861" s="43" t="n">
        <v>46192</v>
      </c>
      <c r="J861" t="n">
        <v>202606</v>
      </c>
      <c r="K861" s="44" t="n">
        <v>3650</v>
      </c>
      <c r="L861" t="inlineStr">
        <is>
          <t>KG</t>
        </is>
      </c>
      <c r="M861" s="44" t="n">
        <v>11293115</v>
      </c>
      <c r="N861" s="44" t="n">
        <v>338793</v>
      </c>
      <c r="O861" t="n">
        <v>0</v>
      </c>
      <c r="P861" s="44" t="n">
        <v>10954322</v>
      </c>
      <c r="Q861" t="inlineStr">
        <is>
          <t>KRW</t>
        </is>
      </c>
      <c r="R861" t="inlineStr">
        <is>
          <t>INV2606-00860</t>
        </is>
      </c>
      <c r="S861" t="inlineStr">
        <is>
          <t>※예시데이터</t>
        </is>
      </c>
    </row>
    <row r="862">
      <c r="A862" t="n">
        <v>1000</v>
      </c>
      <c r="B862" t="inlineStr">
        <is>
          <t>EP사업부</t>
        </is>
      </c>
      <c r="C862" t="inlineStr">
        <is>
          <t>국내영업1팀</t>
        </is>
      </c>
      <c r="D862" t="inlineStr">
        <is>
          <t>C10120</t>
        </is>
      </c>
      <c r="E862" t="inlineStr">
        <is>
          <t>든솔케이스</t>
        </is>
      </c>
      <c r="F862" t="inlineStr">
        <is>
          <t>ABS</t>
        </is>
      </c>
      <c r="G862" t="inlineStr">
        <is>
          <t>M-2101</t>
        </is>
      </c>
      <c r="H862" t="inlineStr">
        <is>
          <t>ABS 범용 G300</t>
        </is>
      </c>
      <c r="I862" s="43" t="n">
        <v>46194</v>
      </c>
      <c r="J862" t="n">
        <v>202606</v>
      </c>
      <c r="K862" s="44" t="n">
        <v>1675</v>
      </c>
      <c r="L862" t="inlineStr">
        <is>
          <t>KG</t>
        </is>
      </c>
      <c r="M862" s="44" t="n">
        <v>4608561</v>
      </c>
      <c r="N862" s="44" t="n">
        <v>184342</v>
      </c>
      <c r="O862" t="n">
        <v>0</v>
      </c>
      <c r="P862" s="44" t="n">
        <v>4424219</v>
      </c>
      <c r="Q862" t="inlineStr">
        <is>
          <t>KRW</t>
        </is>
      </c>
      <c r="R862" t="inlineStr">
        <is>
          <t>INV2606-00861</t>
        </is>
      </c>
      <c r="S862" t="inlineStr">
        <is>
          <t>※예시데이터</t>
        </is>
      </c>
    </row>
    <row r="863">
      <c r="A863" t="n">
        <v>1000</v>
      </c>
      <c r="B863" t="inlineStr">
        <is>
          <t>범용수지사업부</t>
        </is>
      </c>
      <c r="C863" t="inlineStr">
        <is>
          <t>해외영업팀</t>
        </is>
      </c>
      <c r="D863" t="inlineStr">
        <is>
          <t>C10148</t>
        </is>
      </c>
      <c r="E863" t="inlineStr">
        <is>
          <t>Hanoi Molding (VN)</t>
        </is>
      </c>
      <c r="F863" t="inlineStr">
        <is>
          <t>PP</t>
        </is>
      </c>
      <c r="G863" t="inlineStr">
        <is>
          <t>M-1103</t>
        </is>
      </c>
      <c r="H863" t="inlineStr">
        <is>
          <t>PP 투명 R330</t>
        </is>
      </c>
      <c r="I863" s="43" t="n">
        <v>46194</v>
      </c>
      <c r="J863" t="n">
        <v>202606</v>
      </c>
      <c r="K863" s="44" t="n">
        <v>6675</v>
      </c>
      <c r="L863" t="inlineStr">
        <is>
          <t>KG</t>
        </is>
      </c>
      <c r="M863" s="44" t="n">
        <v>13315624</v>
      </c>
      <c r="N863" s="44" t="n">
        <v>1331562</v>
      </c>
      <c r="O863" t="n">
        <v>0</v>
      </c>
      <c r="P863" s="44" t="n">
        <v>11984062</v>
      </c>
      <c r="Q863" t="inlineStr">
        <is>
          <t>KRW</t>
        </is>
      </c>
      <c r="R863" t="inlineStr">
        <is>
          <t>INV2606-00862</t>
        </is>
      </c>
      <c r="S863" t="inlineStr">
        <is>
          <t>※예시데이터</t>
        </is>
      </c>
    </row>
    <row r="864">
      <c r="A864" t="n">
        <v>1000</v>
      </c>
      <c r="B864" t="inlineStr">
        <is>
          <t>범용수지사업부</t>
        </is>
      </c>
      <c r="C864" t="inlineStr">
        <is>
          <t>국내영업2팀</t>
        </is>
      </c>
      <c r="D864" t="inlineStr">
        <is>
          <t>C10050</t>
        </is>
      </c>
      <c r="E864" t="inlineStr">
        <is>
          <t>아름화학(주)</t>
        </is>
      </c>
      <c r="F864" t="inlineStr">
        <is>
          <t>PP</t>
        </is>
      </c>
      <c r="G864" t="inlineStr">
        <is>
          <t>M-1103</t>
        </is>
      </c>
      <c r="H864" t="inlineStr">
        <is>
          <t>PP 투명 R330</t>
        </is>
      </c>
      <c r="I864" s="43" t="n">
        <v>46196</v>
      </c>
      <c r="J864" t="n">
        <v>202606</v>
      </c>
      <c r="K864" s="44" t="n">
        <v>9400</v>
      </c>
      <c r="L864" t="inlineStr">
        <is>
          <t>KG</t>
        </is>
      </c>
      <c r="M864" s="44" t="n">
        <v>18751590</v>
      </c>
      <c r="N864" s="44" t="n">
        <v>1968917</v>
      </c>
      <c r="O864" s="44" t="n">
        <v>187516</v>
      </c>
      <c r="P864" s="44" t="n">
        <v>16595157</v>
      </c>
      <c r="Q864" t="inlineStr">
        <is>
          <t>KRW</t>
        </is>
      </c>
      <c r="R864" t="inlineStr">
        <is>
          <t>INV2606-00863</t>
        </is>
      </c>
      <c r="S864" t="inlineStr">
        <is>
          <t>※예시데이터</t>
        </is>
      </c>
    </row>
    <row r="865">
      <c r="A865" t="n">
        <v>1000</v>
      </c>
      <c r="B865" t="inlineStr">
        <is>
          <t>범용수지사업부</t>
        </is>
      </c>
      <c r="C865" t="inlineStr">
        <is>
          <t>국내영업1팀</t>
        </is>
      </c>
      <c r="D865" t="inlineStr">
        <is>
          <t>C10001</t>
        </is>
      </c>
      <c r="E865" t="inlineStr">
        <is>
          <t>가온소재(주)</t>
        </is>
      </c>
      <c r="F865" t="inlineStr">
        <is>
          <t>PE</t>
        </is>
      </c>
      <c r="G865" t="inlineStr">
        <is>
          <t>M-1202</t>
        </is>
      </c>
      <c r="H865" t="inlineStr">
        <is>
          <t>LLDPE 필름 F120</t>
        </is>
      </c>
      <c r="I865" s="43" t="n">
        <v>46197</v>
      </c>
      <c r="J865" t="n">
        <v>202606</v>
      </c>
      <c r="K865" s="44" t="n">
        <v>2075</v>
      </c>
      <c r="L865" t="inlineStr">
        <is>
          <t>KG</t>
        </is>
      </c>
      <c r="M865" s="44" t="n">
        <v>3489167</v>
      </c>
      <c r="N865" s="44" t="n">
        <v>174458</v>
      </c>
      <c r="O865" t="n">
        <v>0</v>
      </c>
      <c r="P865" s="44" t="n">
        <v>3314709</v>
      </c>
      <c r="Q865" t="inlineStr">
        <is>
          <t>KRW</t>
        </is>
      </c>
      <c r="R865" t="inlineStr">
        <is>
          <t>INV2606-00864</t>
        </is>
      </c>
      <c r="S865" t="inlineStr">
        <is>
          <t>※예시데이터</t>
        </is>
      </c>
    </row>
    <row r="866">
      <c r="A866" t="n">
        <v>1000</v>
      </c>
      <c r="B866" t="inlineStr">
        <is>
          <t>범용수지사업부</t>
        </is>
      </c>
      <c r="C866" t="inlineStr">
        <is>
          <t>국내영업2팀</t>
        </is>
      </c>
      <c r="D866" t="inlineStr">
        <is>
          <t>C10099</t>
        </is>
      </c>
      <c r="E866" t="inlineStr">
        <is>
          <t>한울몰드</t>
        </is>
      </c>
      <c r="F866" t="inlineStr">
        <is>
          <t>PP</t>
        </is>
      </c>
      <c r="G866" t="inlineStr">
        <is>
          <t>M-1101</t>
        </is>
      </c>
      <c r="H866" t="inlineStr">
        <is>
          <t>PP 범용사출 H110</t>
        </is>
      </c>
      <c r="I866" s="43" t="n">
        <v>46198</v>
      </c>
      <c r="J866" t="n">
        <v>202606</v>
      </c>
      <c r="K866" s="44" t="n">
        <v>2000</v>
      </c>
      <c r="L866" t="inlineStr">
        <is>
          <t>KG</t>
        </is>
      </c>
      <c r="M866" s="44" t="n">
        <v>3393302</v>
      </c>
      <c r="N866" s="44" t="n">
        <v>220565</v>
      </c>
      <c r="O866" t="n">
        <v>0</v>
      </c>
      <c r="P866" s="44" t="n">
        <v>3172737</v>
      </c>
      <c r="Q866" t="inlineStr">
        <is>
          <t>KRW</t>
        </is>
      </c>
      <c r="R866" t="inlineStr">
        <is>
          <t>INV2606-00865</t>
        </is>
      </c>
      <c r="S866" t="inlineStr">
        <is>
          <t>※예시데이터</t>
        </is>
      </c>
    </row>
    <row r="867">
      <c r="A867" t="n">
        <v>1000</v>
      </c>
      <c r="B867" t="inlineStr">
        <is>
          <t>EP사업부</t>
        </is>
      </c>
      <c r="C867" t="inlineStr">
        <is>
          <t>국내영업2팀</t>
        </is>
      </c>
      <c r="D867" t="inlineStr">
        <is>
          <t>C10113</t>
        </is>
      </c>
      <c r="E867" t="inlineStr">
        <is>
          <t>누리오토파츠</t>
        </is>
      </c>
      <c r="F867" t="inlineStr">
        <is>
          <t>PC</t>
        </is>
      </c>
      <c r="G867" t="inlineStr">
        <is>
          <t>M-2202</t>
        </is>
      </c>
      <c r="H867" t="inlineStr">
        <is>
          <t>PC 난연 FR200</t>
        </is>
      </c>
      <c r="I867" s="43" t="n">
        <v>46198</v>
      </c>
      <c r="J867" t="n">
        <v>202606</v>
      </c>
      <c r="K867" s="44" t="n">
        <v>3050</v>
      </c>
      <c r="L867" t="inlineStr">
        <is>
          <t>KG</t>
        </is>
      </c>
      <c r="M867" s="44" t="n">
        <v>13510162</v>
      </c>
      <c r="N867" s="44" t="n">
        <v>1215915</v>
      </c>
      <c r="O867" s="44" t="n">
        <v>135102</v>
      </c>
      <c r="P867" s="44" t="n">
        <v>12159145</v>
      </c>
      <c r="Q867" t="inlineStr">
        <is>
          <t>KRW</t>
        </is>
      </c>
      <c r="R867" t="inlineStr">
        <is>
          <t>INV2606-00866</t>
        </is>
      </c>
      <c r="S867" t="inlineStr">
        <is>
          <t>※예시데이터</t>
        </is>
      </c>
    </row>
    <row r="868">
      <c r="A868" t="n">
        <v>1000</v>
      </c>
      <c r="B868" t="inlineStr">
        <is>
          <t>EP사업부</t>
        </is>
      </c>
      <c r="C868" t="inlineStr">
        <is>
          <t>국내영업1팀</t>
        </is>
      </c>
      <c r="D868" t="inlineStr">
        <is>
          <t>C10134</t>
        </is>
      </c>
      <c r="E868" t="inlineStr">
        <is>
          <t>별하전자(주)</t>
        </is>
      </c>
      <c r="F868" t="inlineStr">
        <is>
          <t>PC</t>
        </is>
      </c>
      <c r="G868" t="inlineStr">
        <is>
          <t>M-2201</t>
        </is>
      </c>
      <c r="H868" t="inlineStr">
        <is>
          <t>PC 일반 C100</t>
        </is>
      </c>
      <c r="I868" s="43" t="n">
        <v>46199</v>
      </c>
      <c r="J868" t="n">
        <v>202606</v>
      </c>
      <c r="K868" t="n">
        <v>650</v>
      </c>
      <c r="L868" t="inlineStr">
        <is>
          <t>KG</t>
        </is>
      </c>
      <c r="M868" s="44" t="n">
        <v>2581365</v>
      </c>
      <c r="N868" s="44" t="n">
        <v>77441</v>
      </c>
      <c r="O868" t="n">
        <v>0</v>
      </c>
      <c r="P868" s="44" t="n">
        <v>2503924</v>
      </c>
      <c r="Q868" t="inlineStr">
        <is>
          <t>KRW</t>
        </is>
      </c>
      <c r="R868" t="inlineStr">
        <is>
          <t>INV2606-00867</t>
        </is>
      </c>
      <c r="S868" t="inlineStr">
        <is>
          <t>※예시데이터</t>
        </is>
      </c>
    </row>
    <row r="869">
      <c r="A869" t="n">
        <v>1000</v>
      </c>
      <c r="B869" t="inlineStr">
        <is>
          <t>EP사업부</t>
        </is>
      </c>
      <c r="C869" t="inlineStr">
        <is>
          <t>국내영업2팀</t>
        </is>
      </c>
      <c r="D869" t="inlineStr">
        <is>
          <t>C10085</t>
        </is>
      </c>
      <c r="E869" t="inlineStr">
        <is>
          <t>파란하이텍</t>
        </is>
      </c>
      <c r="F869" t="inlineStr">
        <is>
          <t>PC</t>
        </is>
      </c>
      <c r="G869" t="inlineStr">
        <is>
          <t>M-2202</t>
        </is>
      </c>
      <c r="H869" t="inlineStr">
        <is>
          <t>PC 난연 FR200</t>
        </is>
      </c>
      <c r="I869" s="43" t="n">
        <v>46200</v>
      </c>
      <c r="J869" t="n">
        <v>202606</v>
      </c>
      <c r="K869" s="44" t="n">
        <v>4050</v>
      </c>
      <c r="L869" t="inlineStr">
        <is>
          <t>KG</t>
        </is>
      </c>
      <c r="M869" s="44" t="n">
        <v>17939724</v>
      </c>
      <c r="N869" s="44" t="n">
        <v>1614575</v>
      </c>
      <c r="O869" t="n">
        <v>0</v>
      </c>
      <c r="P869" s="44" t="n">
        <v>16325149</v>
      </c>
      <c r="Q869" t="inlineStr">
        <is>
          <t>KRW</t>
        </is>
      </c>
      <c r="R869" t="inlineStr">
        <is>
          <t>INV2606-00868</t>
        </is>
      </c>
      <c r="S869" t="inlineStr">
        <is>
          <t>※예시데이터</t>
        </is>
      </c>
    </row>
    <row r="870">
      <c r="A870" t="n">
        <v>1000</v>
      </c>
      <c r="B870" t="inlineStr">
        <is>
          <t>EP사업부</t>
        </is>
      </c>
      <c r="C870" t="inlineStr">
        <is>
          <t>국내영업2팀</t>
        </is>
      </c>
      <c r="D870" t="inlineStr">
        <is>
          <t>C10113</t>
        </is>
      </c>
      <c r="E870" t="inlineStr">
        <is>
          <t>누리오토파츠</t>
        </is>
      </c>
      <c r="F870" t="inlineStr">
        <is>
          <t>ABS</t>
        </is>
      </c>
      <c r="G870" t="inlineStr">
        <is>
          <t>M-2101</t>
        </is>
      </c>
      <c r="H870" t="inlineStr">
        <is>
          <t>ABS 범용 G300</t>
        </is>
      </c>
      <c r="I870" s="43" t="n">
        <v>46200</v>
      </c>
      <c r="J870" t="n">
        <v>202606</v>
      </c>
      <c r="K870" s="44" t="n">
        <v>7375</v>
      </c>
      <c r="L870" t="inlineStr">
        <is>
          <t>KG</t>
        </is>
      </c>
      <c r="M870" s="44" t="n">
        <v>20291424</v>
      </c>
      <c r="N870" s="44" t="n">
        <v>1826228</v>
      </c>
      <c r="O870" s="44" t="n">
        <v>202914</v>
      </c>
      <c r="P870" s="44" t="n">
        <v>18262282</v>
      </c>
      <c r="Q870" t="inlineStr">
        <is>
          <t>KRW</t>
        </is>
      </c>
      <c r="R870" t="inlineStr">
        <is>
          <t>INV2606-00869</t>
        </is>
      </c>
      <c r="S870" t="inlineStr">
        <is>
          <t>※예시데이터</t>
        </is>
      </c>
    </row>
    <row r="871">
      <c r="A871" t="n">
        <v>1000</v>
      </c>
      <c r="B871" t="inlineStr">
        <is>
          <t>EP사업부</t>
        </is>
      </c>
      <c r="C871" t="inlineStr">
        <is>
          <t>국내영업1팀</t>
        </is>
      </c>
      <c r="D871" t="inlineStr">
        <is>
          <t>C10134</t>
        </is>
      </c>
      <c r="E871" t="inlineStr">
        <is>
          <t>별하전자(주)</t>
        </is>
      </c>
      <c r="F871" t="inlineStr">
        <is>
          <t>PC</t>
        </is>
      </c>
      <c r="G871" t="inlineStr">
        <is>
          <t>M-2201</t>
        </is>
      </c>
      <c r="H871" t="inlineStr">
        <is>
          <t>PC 일반 C100</t>
        </is>
      </c>
      <c r="I871" s="43" t="n">
        <v>46200</v>
      </c>
      <c r="J871" t="n">
        <v>202606</v>
      </c>
      <c r="K871" t="n">
        <v>650</v>
      </c>
      <c r="L871" t="inlineStr">
        <is>
          <t>KG</t>
        </is>
      </c>
      <c r="M871" s="44" t="n">
        <v>2581365</v>
      </c>
      <c r="N871" s="44" t="n">
        <v>77441</v>
      </c>
      <c r="O871" t="n">
        <v>0</v>
      </c>
      <c r="P871" s="44" t="n">
        <v>2503924</v>
      </c>
      <c r="Q871" t="inlineStr">
        <is>
          <t>KRW</t>
        </is>
      </c>
      <c r="R871" t="inlineStr">
        <is>
          <t>INV2606-00870</t>
        </is>
      </c>
      <c r="S871" t="inlineStr">
        <is>
          <t>※예시데이터</t>
        </is>
      </c>
    </row>
    <row r="872">
      <c r="A872" t="n">
        <v>1000</v>
      </c>
      <c r="B872" t="inlineStr">
        <is>
          <t>범용수지사업부</t>
        </is>
      </c>
      <c r="C872" t="inlineStr">
        <is>
          <t>국내영업1팀</t>
        </is>
      </c>
      <c r="D872" t="inlineStr">
        <is>
          <t>C10092</t>
        </is>
      </c>
      <c r="E872" t="inlineStr">
        <is>
          <t>하늘포장(주)</t>
        </is>
      </c>
      <c r="F872" t="inlineStr">
        <is>
          <t>PE</t>
        </is>
      </c>
      <c r="G872" t="inlineStr">
        <is>
          <t>M-1201</t>
        </is>
      </c>
      <c r="H872" t="inlineStr">
        <is>
          <t>HDPE 블로우 B500</t>
        </is>
      </c>
      <c r="I872" s="43" t="n">
        <v>46201</v>
      </c>
      <c r="J872" t="n">
        <v>202606</v>
      </c>
      <c r="K872" s="44" t="n">
        <v>8700</v>
      </c>
      <c r="L872" t="inlineStr">
        <is>
          <t>KG</t>
        </is>
      </c>
      <c r="M872" s="44" t="n">
        <v>13517111</v>
      </c>
      <c r="N872" s="44" t="n">
        <v>946198</v>
      </c>
      <c r="O872" t="n">
        <v>0</v>
      </c>
      <c r="P872" s="44" t="n">
        <v>12570913</v>
      </c>
      <c r="Q872" t="inlineStr">
        <is>
          <t>KRW</t>
        </is>
      </c>
      <c r="R872" t="inlineStr">
        <is>
          <t>INV2606-00871</t>
        </is>
      </c>
      <c r="S872" t="inlineStr">
        <is>
          <t>※예시데이터</t>
        </is>
      </c>
    </row>
    <row r="873">
      <c r="A873" t="n">
        <v>1000</v>
      </c>
      <c r="B873" t="inlineStr">
        <is>
          <t>범용수지사업부</t>
        </is>
      </c>
      <c r="C873" t="inlineStr">
        <is>
          <t>국내영업1팀</t>
        </is>
      </c>
      <c r="D873" t="inlineStr">
        <is>
          <t>C10001</t>
        </is>
      </c>
      <c r="E873" t="inlineStr">
        <is>
          <t>가온소재(주)</t>
        </is>
      </c>
      <c r="F873" t="inlineStr">
        <is>
          <t>PP</t>
        </is>
      </c>
      <c r="G873" t="inlineStr">
        <is>
          <t>M-1102</t>
        </is>
      </c>
      <c r="H873" t="inlineStr">
        <is>
          <t>PP 고강성 H220</t>
        </is>
      </c>
      <c r="I873" s="43" t="n">
        <v>46204</v>
      </c>
      <c r="J873" t="n">
        <v>202607</v>
      </c>
      <c r="K873" s="44" t="n">
        <v>3475</v>
      </c>
      <c r="L873" t="inlineStr">
        <is>
          <t>KG</t>
        </is>
      </c>
      <c r="M873" s="44" t="n">
        <v>6539914</v>
      </c>
      <c r="N873" s="44" t="n">
        <v>326996</v>
      </c>
      <c r="O873" t="n">
        <v>0</v>
      </c>
      <c r="P873" s="44" t="n">
        <v>6212918</v>
      </c>
      <c r="Q873" t="inlineStr">
        <is>
          <t>KRW</t>
        </is>
      </c>
      <c r="R873" t="inlineStr">
        <is>
          <t>INV2607-00872</t>
        </is>
      </c>
      <c r="S873" t="inlineStr">
        <is>
          <t>※예시데이터</t>
        </is>
      </c>
    </row>
    <row r="874">
      <c r="A874" t="n">
        <v>1000</v>
      </c>
      <c r="B874" t="inlineStr">
        <is>
          <t>범용수지사업부</t>
        </is>
      </c>
      <c r="C874" t="inlineStr">
        <is>
          <t>국내영업1팀</t>
        </is>
      </c>
      <c r="D874" t="inlineStr">
        <is>
          <t>C10008</t>
        </is>
      </c>
      <c r="E874" t="inlineStr">
        <is>
          <t>나래산업(주)</t>
        </is>
      </c>
      <c r="F874" t="inlineStr">
        <is>
          <t>PP</t>
        </is>
      </c>
      <c r="G874" t="inlineStr">
        <is>
          <t>M-1101</t>
        </is>
      </c>
      <c r="H874" t="inlineStr">
        <is>
          <t>PP 범용사출 H110</t>
        </is>
      </c>
      <c r="I874" s="43" t="n">
        <v>46205</v>
      </c>
      <c r="J874" t="n">
        <v>202607</v>
      </c>
      <c r="K874" s="44" t="n">
        <v>10100</v>
      </c>
      <c r="L874" t="inlineStr">
        <is>
          <t>KG</t>
        </is>
      </c>
      <c r="M874" s="44" t="n">
        <v>17232613</v>
      </c>
      <c r="N874" s="44" t="n">
        <v>1809424</v>
      </c>
      <c r="O874" s="44" t="n">
        <v>172326</v>
      </c>
      <c r="P874" s="44" t="n">
        <v>15250863</v>
      </c>
      <c r="Q874" t="inlineStr">
        <is>
          <t>KRW</t>
        </is>
      </c>
      <c r="R874" t="inlineStr">
        <is>
          <t>INV2607-00873</t>
        </is>
      </c>
      <c r="S874" t="inlineStr">
        <is>
          <t>※예시데이터</t>
        </is>
      </c>
    </row>
    <row r="875">
      <c r="A875" t="n">
        <v>1000</v>
      </c>
      <c r="B875" t="inlineStr">
        <is>
          <t>EP사업부</t>
        </is>
      </c>
      <c r="C875" t="inlineStr">
        <is>
          <t>국내영업2팀</t>
        </is>
      </c>
      <c r="D875" t="inlineStr">
        <is>
          <t>C10015</t>
        </is>
      </c>
      <c r="E875" t="inlineStr">
        <is>
          <t>다솜케미칼</t>
        </is>
      </c>
      <c r="F875" t="inlineStr">
        <is>
          <t>ABS</t>
        </is>
      </c>
      <c r="G875" t="inlineStr">
        <is>
          <t>M-2101</t>
        </is>
      </c>
      <c r="H875" t="inlineStr">
        <is>
          <t>ABS 범용 G300</t>
        </is>
      </c>
      <c r="I875" s="43" t="n">
        <v>46205</v>
      </c>
      <c r="J875" t="n">
        <v>202607</v>
      </c>
      <c r="K875" s="44" t="n">
        <v>3075</v>
      </c>
      <c r="L875" t="inlineStr">
        <is>
          <t>KG</t>
        </is>
      </c>
      <c r="M875" s="44" t="n">
        <v>8508107</v>
      </c>
      <c r="N875" s="44" t="n">
        <v>425405</v>
      </c>
      <c r="O875" t="n">
        <v>0</v>
      </c>
      <c r="P875" s="44" t="n">
        <v>8082702</v>
      </c>
      <c r="Q875" t="inlineStr">
        <is>
          <t>KRW</t>
        </is>
      </c>
      <c r="R875" t="inlineStr">
        <is>
          <t>INV2607-00874</t>
        </is>
      </c>
      <c r="S875" t="inlineStr">
        <is>
          <t>※예시데이터</t>
        </is>
      </c>
    </row>
    <row r="876">
      <c r="A876" t="n">
        <v>1000</v>
      </c>
      <c r="B876" t="inlineStr">
        <is>
          <t>EP사업부</t>
        </is>
      </c>
      <c r="C876" t="inlineStr">
        <is>
          <t>국내영업1팀</t>
        </is>
      </c>
      <c r="D876" t="inlineStr">
        <is>
          <t>C10057</t>
        </is>
      </c>
      <c r="E876" t="inlineStr">
        <is>
          <t>자연엠텍</t>
        </is>
      </c>
      <c r="F876" t="inlineStr">
        <is>
          <t>ABS</t>
        </is>
      </c>
      <c r="G876" t="inlineStr">
        <is>
          <t>M-2101</t>
        </is>
      </c>
      <c r="H876" t="inlineStr">
        <is>
          <t>ABS 범용 G300</t>
        </is>
      </c>
      <c r="I876" s="43" t="n">
        <v>46206</v>
      </c>
      <c r="J876" t="n">
        <v>202607</v>
      </c>
      <c r="K876" s="44" t="n">
        <v>1150</v>
      </c>
      <c r="L876" t="inlineStr">
        <is>
          <t>KG</t>
        </is>
      </c>
      <c r="M876" s="44" t="n">
        <v>3181894</v>
      </c>
      <c r="N876" s="44" t="n">
        <v>111366</v>
      </c>
      <c r="O876" t="n">
        <v>0</v>
      </c>
      <c r="P876" s="44" t="n">
        <v>3070528</v>
      </c>
      <c r="Q876" t="inlineStr">
        <is>
          <t>KRW</t>
        </is>
      </c>
      <c r="R876" t="inlineStr">
        <is>
          <t>INV2607-00875</t>
        </is>
      </c>
      <c r="S876" t="inlineStr">
        <is>
          <t>※예시데이터</t>
        </is>
      </c>
    </row>
    <row r="877">
      <c r="A877" t="n">
        <v>1000</v>
      </c>
      <c r="B877" t="inlineStr">
        <is>
          <t>범용수지사업부</t>
        </is>
      </c>
      <c r="C877" t="inlineStr">
        <is>
          <t>해외영업팀</t>
        </is>
      </c>
      <c r="D877" t="inlineStr">
        <is>
          <t>C10071</t>
        </is>
      </c>
      <c r="E877" t="inlineStr">
        <is>
          <t>큰별코리아</t>
        </is>
      </c>
      <c r="F877" t="inlineStr">
        <is>
          <t>PE</t>
        </is>
      </c>
      <c r="G877" t="inlineStr">
        <is>
          <t>M-1202</t>
        </is>
      </c>
      <c r="H877" t="inlineStr">
        <is>
          <t>LLDPE 필름 F120</t>
        </is>
      </c>
      <c r="I877" s="43" t="n">
        <v>46206</v>
      </c>
      <c r="J877" t="n">
        <v>202607</v>
      </c>
      <c r="K877" s="44" t="n">
        <v>7450</v>
      </c>
      <c r="L877" t="inlineStr">
        <is>
          <t>KG</t>
        </is>
      </c>
      <c r="M877" s="44" t="n">
        <v>12597872</v>
      </c>
      <c r="N877" s="44" t="n">
        <v>1574734</v>
      </c>
      <c r="O877" s="44" t="n">
        <v>251957</v>
      </c>
      <c r="P877" s="44" t="n">
        <v>10771181</v>
      </c>
      <c r="Q877" t="inlineStr">
        <is>
          <t>KRW</t>
        </is>
      </c>
      <c r="R877" t="inlineStr">
        <is>
          <t>INV2607-00876</t>
        </is>
      </c>
      <c r="S877" t="inlineStr">
        <is>
          <t>※예시데이터</t>
        </is>
      </c>
    </row>
    <row r="878">
      <c r="A878" t="n">
        <v>1000</v>
      </c>
      <c r="B878" t="inlineStr">
        <is>
          <t>범용수지사업부</t>
        </is>
      </c>
      <c r="C878" t="inlineStr">
        <is>
          <t>국내영업2팀</t>
        </is>
      </c>
      <c r="D878" t="inlineStr">
        <is>
          <t>C10036</t>
        </is>
      </c>
      <c r="E878" t="inlineStr">
        <is>
          <t>바른물산</t>
        </is>
      </c>
      <c r="F878" t="inlineStr">
        <is>
          <t>PE</t>
        </is>
      </c>
      <c r="G878" t="inlineStr">
        <is>
          <t>M-1201</t>
        </is>
      </c>
      <c r="H878" t="inlineStr">
        <is>
          <t>HDPE 블로우 B500</t>
        </is>
      </c>
      <c r="I878" s="43" t="n">
        <v>46207</v>
      </c>
      <c r="J878" t="n">
        <v>202607</v>
      </c>
      <c r="K878" s="44" t="n">
        <v>12075</v>
      </c>
      <c r="L878" t="inlineStr">
        <is>
          <t>KG</t>
        </is>
      </c>
      <c r="M878" s="44" t="n">
        <v>18866400</v>
      </c>
      <c r="N878" s="44" t="n">
        <v>1886640</v>
      </c>
      <c r="O878" s="44" t="n">
        <v>377328</v>
      </c>
      <c r="P878" s="44" t="n">
        <v>16602432</v>
      </c>
      <c r="Q878" t="inlineStr">
        <is>
          <t>KRW</t>
        </is>
      </c>
      <c r="R878" t="inlineStr">
        <is>
          <t>INV2607-00877</t>
        </is>
      </c>
      <c r="S878" t="inlineStr">
        <is>
          <t>※예시데이터</t>
        </is>
      </c>
    </row>
    <row r="879">
      <c r="A879" t="n">
        <v>1000</v>
      </c>
      <c r="B879" t="inlineStr">
        <is>
          <t>EP사업부</t>
        </is>
      </c>
      <c r="C879" t="inlineStr">
        <is>
          <t>국내영업2팀</t>
        </is>
      </c>
      <c r="D879" t="inlineStr">
        <is>
          <t>C10099</t>
        </is>
      </c>
      <c r="E879" t="inlineStr">
        <is>
          <t>한울몰드</t>
        </is>
      </c>
      <c r="F879" t="inlineStr">
        <is>
          <t>ABS</t>
        </is>
      </c>
      <c r="G879" t="inlineStr">
        <is>
          <t>M-2102</t>
        </is>
      </c>
      <c r="H879" t="inlineStr">
        <is>
          <t>ABS 내열 HR500</t>
        </is>
      </c>
      <c r="I879" s="43" t="n">
        <v>46207</v>
      </c>
      <c r="J879" t="n">
        <v>202607</v>
      </c>
      <c r="K879" s="44" t="n">
        <v>3375</v>
      </c>
      <c r="L879" t="inlineStr">
        <is>
          <t>KG</t>
        </is>
      </c>
      <c r="M879" s="44" t="n">
        <v>10501032</v>
      </c>
      <c r="N879" s="44" t="n">
        <v>682567</v>
      </c>
      <c r="O879" t="n">
        <v>0</v>
      </c>
      <c r="P879" s="44" t="n">
        <v>9818465</v>
      </c>
      <c r="Q879" t="inlineStr">
        <is>
          <t>KRW</t>
        </is>
      </c>
      <c r="R879" t="inlineStr">
        <is>
          <t>INV2607-00878</t>
        </is>
      </c>
      <c r="S879" t="inlineStr">
        <is>
          <t>※예시데이터</t>
        </is>
      </c>
    </row>
    <row r="880">
      <c r="A880" t="n">
        <v>1000</v>
      </c>
      <c r="B880" t="inlineStr">
        <is>
          <t>범용수지사업부</t>
        </is>
      </c>
      <c r="C880" t="inlineStr">
        <is>
          <t>국내영업2팀</t>
        </is>
      </c>
      <c r="D880" t="inlineStr">
        <is>
          <t>C10127</t>
        </is>
      </c>
      <c r="E880" t="inlineStr">
        <is>
          <t>미르패키징</t>
        </is>
      </c>
      <c r="F880" t="inlineStr">
        <is>
          <t>PP</t>
        </is>
      </c>
      <c r="G880" t="inlineStr">
        <is>
          <t>M-1101</t>
        </is>
      </c>
      <c r="H880" t="inlineStr">
        <is>
          <t>PP 범용사출 H110</t>
        </is>
      </c>
      <c r="I880" s="43" t="n">
        <v>46207</v>
      </c>
      <c r="J880" t="n">
        <v>202607</v>
      </c>
      <c r="K880" s="44" t="n">
        <v>1825</v>
      </c>
      <c r="L880" t="inlineStr">
        <is>
          <t>KG</t>
        </is>
      </c>
      <c r="M880" s="44" t="n">
        <v>3113814</v>
      </c>
      <c r="N880" s="44" t="n">
        <v>264674</v>
      </c>
      <c r="O880" t="n">
        <v>0</v>
      </c>
      <c r="P880" s="44" t="n">
        <v>2849140</v>
      </c>
      <c r="Q880" t="inlineStr">
        <is>
          <t>KRW</t>
        </is>
      </c>
      <c r="R880" t="inlineStr">
        <is>
          <t>INV2607-00879</t>
        </is>
      </c>
      <c r="S880" t="inlineStr">
        <is>
          <t>※예시데이터</t>
        </is>
      </c>
    </row>
    <row r="881">
      <c r="A881" t="n">
        <v>1000</v>
      </c>
      <c r="B881" t="inlineStr">
        <is>
          <t>범용수지사업부</t>
        </is>
      </c>
      <c r="C881" t="inlineStr">
        <is>
          <t>국내영업2팀</t>
        </is>
      </c>
      <c r="D881" t="inlineStr">
        <is>
          <t>C10127</t>
        </is>
      </c>
      <c r="E881" t="inlineStr">
        <is>
          <t>미르패키징</t>
        </is>
      </c>
      <c r="F881" t="inlineStr">
        <is>
          <t>PP</t>
        </is>
      </c>
      <c r="G881" t="inlineStr">
        <is>
          <t>M-1101</t>
        </is>
      </c>
      <c r="H881" t="inlineStr">
        <is>
          <t>PP 범용사출 H110</t>
        </is>
      </c>
      <c r="I881" s="43" t="n">
        <v>46207</v>
      </c>
      <c r="J881" t="n">
        <v>202607</v>
      </c>
      <c r="K881" s="44" t="n">
        <v>1825</v>
      </c>
      <c r="L881" t="inlineStr">
        <is>
          <t>KG</t>
        </is>
      </c>
      <c r="M881" s="44" t="n">
        <v>3113814</v>
      </c>
      <c r="N881" s="44" t="n">
        <v>264674</v>
      </c>
      <c r="O881" t="n">
        <v>0</v>
      </c>
      <c r="P881" s="44" t="n">
        <v>2849140</v>
      </c>
      <c r="Q881" t="inlineStr">
        <is>
          <t>KRW</t>
        </is>
      </c>
      <c r="R881" t="inlineStr">
        <is>
          <t>INV2607-00880</t>
        </is>
      </c>
      <c r="S881" t="inlineStr">
        <is>
          <t>※예시데이터</t>
        </is>
      </c>
    </row>
    <row r="882">
      <c r="A882" t="n">
        <v>1000</v>
      </c>
      <c r="B882" t="inlineStr">
        <is>
          <t>EP사업부</t>
        </is>
      </c>
      <c r="C882" t="inlineStr">
        <is>
          <t>국내영업1팀</t>
        </is>
      </c>
      <c r="D882" t="inlineStr">
        <is>
          <t>C10029</t>
        </is>
      </c>
      <c r="E882" t="inlineStr">
        <is>
          <t>마루정밀</t>
        </is>
      </c>
      <c r="F882" t="inlineStr">
        <is>
          <t>PC</t>
        </is>
      </c>
      <c r="G882" t="inlineStr">
        <is>
          <t>M-2201</t>
        </is>
      </c>
      <c r="H882" t="inlineStr">
        <is>
          <t>PC 일반 C100</t>
        </is>
      </c>
      <c r="I882" s="43" t="n">
        <v>46209</v>
      </c>
      <c r="J882" t="n">
        <v>202607</v>
      </c>
      <c r="K882" s="44" t="n">
        <v>2625</v>
      </c>
      <c r="L882" t="inlineStr">
        <is>
          <t>KG</t>
        </is>
      </c>
      <c r="M882" s="44" t="n">
        <v>10483413</v>
      </c>
      <c r="N882" s="44" t="n">
        <v>366919</v>
      </c>
      <c r="O882" t="n">
        <v>0</v>
      </c>
      <c r="P882" s="44" t="n">
        <v>10116494</v>
      </c>
      <c r="Q882" t="inlineStr">
        <is>
          <t>KRW</t>
        </is>
      </c>
      <c r="R882" t="inlineStr">
        <is>
          <t>INV2607-00881</t>
        </is>
      </c>
      <c r="S882" t="inlineStr">
        <is>
          <t>※예시데이터</t>
        </is>
      </c>
    </row>
    <row r="883">
      <c r="A883" t="n">
        <v>1000</v>
      </c>
      <c r="B883" t="inlineStr">
        <is>
          <t>EP사업부</t>
        </is>
      </c>
      <c r="C883" t="inlineStr">
        <is>
          <t>국내영업1팀</t>
        </is>
      </c>
      <c r="D883" t="inlineStr">
        <is>
          <t>C10043</t>
        </is>
      </c>
      <c r="E883" t="inlineStr">
        <is>
          <t>새봄플라스틱</t>
        </is>
      </c>
      <c r="F883" t="inlineStr">
        <is>
          <t>ABS</t>
        </is>
      </c>
      <c r="G883" t="inlineStr">
        <is>
          <t>M-2101</t>
        </is>
      </c>
      <c r="H883" t="inlineStr">
        <is>
          <t>ABS 범용 G300</t>
        </is>
      </c>
      <c r="I883" s="43" t="n">
        <v>46209</v>
      </c>
      <c r="J883" t="n">
        <v>202607</v>
      </c>
      <c r="K883" s="44" t="n">
        <v>5000</v>
      </c>
      <c r="L883" t="inlineStr">
        <is>
          <t>KG</t>
        </is>
      </c>
      <c r="M883" s="44" t="n">
        <v>13834320</v>
      </c>
      <c r="N883" s="44" t="n">
        <v>830059</v>
      </c>
      <c r="O883" t="n">
        <v>0</v>
      </c>
      <c r="P883" s="44" t="n">
        <v>13004261</v>
      </c>
      <c r="Q883" t="inlineStr">
        <is>
          <t>KRW</t>
        </is>
      </c>
      <c r="R883" t="inlineStr">
        <is>
          <t>INV2607-00882</t>
        </is>
      </c>
      <c r="S883" t="inlineStr">
        <is>
          <t>※예시데이터</t>
        </is>
      </c>
    </row>
    <row r="884">
      <c r="A884" t="n">
        <v>1000</v>
      </c>
      <c r="B884" t="inlineStr">
        <is>
          <t>범용수지사업부</t>
        </is>
      </c>
      <c r="C884" t="inlineStr">
        <is>
          <t>국내영업2팀</t>
        </is>
      </c>
      <c r="D884" t="inlineStr">
        <is>
          <t>C10127</t>
        </is>
      </c>
      <c r="E884" t="inlineStr">
        <is>
          <t>미르패키징</t>
        </is>
      </c>
      <c r="F884" t="inlineStr">
        <is>
          <t>PE</t>
        </is>
      </c>
      <c r="G884" t="inlineStr">
        <is>
          <t>M-1202</t>
        </is>
      </c>
      <c r="H884" t="inlineStr">
        <is>
          <t>LLDPE 필름 F120</t>
        </is>
      </c>
      <c r="I884" s="43" t="n">
        <v>46209</v>
      </c>
      <c r="J884" t="n">
        <v>202607</v>
      </c>
      <c r="K884" s="44" t="n">
        <v>1850</v>
      </c>
      <c r="L884" t="inlineStr">
        <is>
          <t>KG</t>
        </is>
      </c>
      <c r="M884" s="44" t="n">
        <v>3128331</v>
      </c>
      <c r="N884" s="44" t="n">
        <v>265908</v>
      </c>
      <c r="O884" t="n">
        <v>0</v>
      </c>
      <c r="P884" s="44" t="n">
        <v>2862423</v>
      </c>
      <c r="Q884" t="inlineStr">
        <is>
          <t>KRW</t>
        </is>
      </c>
      <c r="R884" t="inlineStr">
        <is>
          <t>INV2607-00883</t>
        </is>
      </c>
      <c r="S884" t="inlineStr">
        <is>
          <t>※예시데이터</t>
        </is>
      </c>
    </row>
    <row r="885">
      <c r="A885" t="n">
        <v>1000</v>
      </c>
      <c r="B885" t="inlineStr">
        <is>
          <t>범용수지사업부</t>
        </is>
      </c>
      <c r="C885" t="inlineStr">
        <is>
          <t>해외영업팀</t>
        </is>
      </c>
      <c r="D885" t="inlineStr">
        <is>
          <t>C10148</t>
        </is>
      </c>
      <c r="E885" t="inlineStr">
        <is>
          <t>Hanoi Molding (VN)</t>
        </is>
      </c>
      <c r="F885" t="inlineStr">
        <is>
          <t>PP</t>
        </is>
      </c>
      <c r="G885" t="inlineStr">
        <is>
          <t>M-1103</t>
        </is>
      </c>
      <c r="H885" t="inlineStr">
        <is>
          <t>PP 투명 R330</t>
        </is>
      </c>
      <c r="I885" s="43" t="n">
        <v>46209</v>
      </c>
      <c r="J885" t="n">
        <v>202607</v>
      </c>
      <c r="K885" s="44" t="n">
        <v>2650</v>
      </c>
      <c r="L885" t="inlineStr">
        <is>
          <t>KG</t>
        </is>
      </c>
      <c r="M885" s="44" t="n">
        <v>5316103</v>
      </c>
      <c r="N885" s="44" t="n">
        <v>531610</v>
      </c>
      <c r="O885" t="n">
        <v>0</v>
      </c>
      <c r="P885" s="44" t="n">
        <v>4784493</v>
      </c>
      <c r="Q885" t="inlineStr">
        <is>
          <t>KRW</t>
        </is>
      </c>
      <c r="R885" t="inlineStr">
        <is>
          <t>INV2607-00884</t>
        </is>
      </c>
      <c r="S885" t="inlineStr">
        <is>
          <t>※예시데이터</t>
        </is>
      </c>
    </row>
    <row r="886">
      <c r="A886" t="n">
        <v>1000</v>
      </c>
      <c r="B886" t="inlineStr">
        <is>
          <t>범용수지사업부</t>
        </is>
      </c>
      <c r="C886" t="inlineStr">
        <is>
          <t>해외영업팀</t>
        </is>
      </c>
      <c r="D886" t="inlineStr">
        <is>
          <t>C10148</t>
        </is>
      </c>
      <c r="E886" t="inlineStr">
        <is>
          <t>Hanoi Molding (VN)</t>
        </is>
      </c>
      <c r="F886" t="inlineStr">
        <is>
          <t>PP</t>
        </is>
      </c>
      <c r="G886" t="inlineStr">
        <is>
          <t>M-1103</t>
        </is>
      </c>
      <c r="H886" t="inlineStr">
        <is>
          <t>PP 투명 R330</t>
        </is>
      </c>
      <c r="I886" s="43" t="n">
        <v>46209</v>
      </c>
      <c r="J886" t="n">
        <v>202607</v>
      </c>
      <c r="K886" s="44" t="n">
        <v>2650</v>
      </c>
      <c r="L886" t="inlineStr">
        <is>
          <t>KG</t>
        </is>
      </c>
      <c r="M886" s="44" t="n">
        <v>5316103</v>
      </c>
      <c r="N886" s="44" t="n">
        <v>531610</v>
      </c>
      <c r="O886" t="n">
        <v>0</v>
      </c>
      <c r="P886" s="44" t="n">
        <v>4784493</v>
      </c>
      <c r="Q886" t="inlineStr">
        <is>
          <t>KRW</t>
        </is>
      </c>
      <c r="R886" t="inlineStr">
        <is>
          <t>INV2607-00885</t>
        </is>
      </c>
      <c r="S886" t="inlineStr">
        <is>
          <t>※예시데이터</t>
        </is>
      </c>
    </row>
    <row r="887">
      <c r="A887" t="n">
        <v>1000</v>
      </c>
      <c r="B887" t="inlineStr">
        <is>
          <t>EP사업부</t>
        </is>
      </c>
      <c r="C887" t="inlineStr">
        <is>
          <t>국내영업2팀</t>
        </is>
      </c>
      <c r="D887" t="inlineStr">
        <is>
          <t>C10085</t>
        </is>
      </c>
      <c r="E887" t="inlineStr">
        <is>
          <t>파란하이텍</t>
        </is>
      </c>
      <c r="F887" t="inlineStr">
        <is>
          <t>PC</t>
        </is>
      </c>
      <c r="G887" t="inlineStr">
        <is>
          <t>M-2201</t>
        </is>
      </c>
      <c r="H887" t="inlineStr">
        <is>
          <t>PC 일반 C100</t>
        </is>
      </c>
      <c r="I887" s="43" t="n">
        <v>46210</v>
      </c>
      <c r="J887" t="n">
        <v>202607</v>
      </c>
      <c r="K887" s="44" t="n">
        <v>2075</v>
      </c>
      <c r="L887" t="inlineStr">
        <is>
          <t>KG</t>
        </is>
      </c>
      <c r="M887" s="44" t="n">
        <v>8286888</v>
      </c>
      <c r="N887" s="44" t="n">
        <v>745820</v>
      </c>
      <c r="O887" t="n">
        <v>0</v>
      </c>
      <c r="P887" s="44" t="n">
        <v>7541068</v>
      </c>
      <c r="Q887" t="inlineStr">
        <is>
          <t>KRW</t>
        </is>
      </c>
      <c r="R887" t="inlineStr">
        <is>
          <t>INV2607-00886</t>
        </is>
      </c>
      <c r="S887" t="inlineStr">
        <is>
          <t>※예시데이터</t>
        </is>
      </c>
    </row>
    <row r="888">
      <c r="A888" t="n">
        <v>1000</v>
      </c>
      <c r="B888" t="inlineStr">
        <is>
          <t>범용수지사업부</t>
        </is>
      </c>
      <c r="C888" t="inlineStr">
        <is>
          <t>해외영업팀</t>
        </is>
      </c>
      <c r="D888" t="inlineStr">
        <is>
          <t>C10141</t>
        </is>
      </c>
      <c r="E888" t="inlineStr">
        <is>
          <t>Sinar Plastik (ID)</t>
        </is>
      </c>
      <c r="F888" t="inlineStr">
        <is>
          <t>PP</t>
        </is>
      </c>
      <c r="G888" t="inlineStr">
        <is>
          <t>M-1102</t>
        </is>
      </c>
      <c r="H888" t="inlineStr">
        <is>
          <t>PP 고강성 H220</t>
        </is>
      </c>
      <c r="I888" s="43" t="n">
        <v>46210</v>
      </c>
      <c r="J888" t="n">
        <v>202607</v>
      </c>
      <c r="K888" s="44" t="n">
        <v>14950</v>
      </c>
      <c r="L888" t="inlineStr">
        <is>
          <t>KG</t>
        </is>
      </c>
      <c r="M888" s="44" t="n">
        <v>28135743</v>
      </c>
      <c r="N888" s="44" t="n">
        <v>3939004</v>
      </c>
      <c r="O888" t="n">
        <v>0</v>
      </c>
      <c r="P888" s="44" t="n">
        <v>24196739</v>
      </c>
      <c r="Q888" t="inlineStr">
        <is>
          <t>KRW</t>
        </is>
      </c>
      <c r="R888" t="inlineStr">
        <is>
          <t>INV2607-00887</t>
        </is>
      </c>
      <c r="S888" t="inlineStr">
        <is>
          <t>※예시데이터</t>
        </is>
      </c>
    </row>
    <row r="889">
      <c r="A889" t="n">
        <v>1000</v>
      </c>
      <c r="B889" t="inlineStr">
        <is>
          <t>범용수지사업부</t>
        </is>
      </c>
      <c r="C889" t="inlineStr">
        <is>
          <t>해외영업팀</t>
        </is>
      </c>
      <c r="D889" t="inlineStr">
        <is>
          <t>C10141</t>
        </is>
      </c>
      <c r="E889" t="inlineStr">
        <is>
          <t>Sinar Plastik (ID)</t>
        </is>
      </c>
      <c r="F889" t="inlineStr">
        <is>
          <t>PP</t>
        </is>
      </c>
      <c r="G889" t="inlineStr">
        <is>
          <t>M-1103</t>
        </is>
      </c>
      <c r="H889" t="inlineStr">
        <is>
          <t>PP 투명 R330</t>
        </is>
      </c>
      <c r="I889" s="43" t="n">
        <v>46211</v>
      </c>
      <c r="J889" t="n">
        <v>202607</v>
      </c>
      <c r="K889" s="44" t="n">
        <v>19275</v>
      </c>
      <c r="L889" t="inlineStr">
        <is>
          <t>KG</t>
        </is>
      </c>
      <c r="M889" s="44" t="n">
        <v>38667129</v>
      </c>
      <c r="N889" s="44" t="n">
        <v>5413398</v>
      </c>
      <c r="O889" t="n">
        <v>0</v>
      </c>
      <c r="P889" s="44" t="n">
        <v>33253731</v>
      </c>
      <c r="Q889" t="inlineStr">
        <is>
          <t>KRW</t>
        </is>
      </c>
      <c r="R889" t="inlineStr">
        <is>
          <t>INV2607-00888</t>
        </is>
      </c>
      <c r="S889" t="inlineStr">
        <is>
          <t>※예시데이터</t>
        </is>
      </c>
    </row>
    <row r="890">
      <c r="A890" t="n">
        <v>1000</v>
      </c>
      <c r="B890" t="inlineStr">
        <is>
          <t>EP사업부</t>
        </is>
      </c>
      <c r="C890" t="inlineStr">
        <is>
          <t>국내영업1팀</t>
        </is>
      </c>
      <c r="D890" t="inlineStr">
        <is>
          <t>C10043</t>
        </is>
      </c>
      <c r="E890" t="inlineStr">
        <is>
          <t>새봄플라스틱</t>
        </is>
      </c>
      <c r="F890" t="inlineStr">
        <is>
          <t>ABS</t>
        </is>
      </c>
      <c r="G890" t="inlineStr">
        <is>
          <t>M-2101</t>
        </is>
      </c>
      <c r="H890" t="inlineStr">
        <is>
          <t>ABS 범용 G300</t>
        </is>
      </c>
      <c r="I890" s="43" t="n">
        <v>46212</v>
      </c>
      <c r="J890" t="n">
        <v>202607</v>
      </c>
      <c r="K890" s="44" t="n">
        <v>5000</v>
      </c>
      <c r="L890" t="inlineStr">
        <is>
          <t>KG</t>
        </is>
      </c>
      <c r="M890" s="44" t="n">
        <v>13834320</v>
      </c>
      <c r="N890" s="44" t="n">
        <v>830059</v>
      </c>
      <c r="O890" t="n">
        <v>0</v>
      </c>
      <c r="P890" s="44" t="n">
        <v>13004261</v>
      </c>
      <c r="Q890" t="inlineStr">
        <is>
          <t>KRW</t>
        </is>
      </c>
      <c r="R890" t="inlineStr">
        <is>
          <t>INV2607-00889</t>
        </is>
      </c>
      <c r="S890" t="inlineStr">
        <is>
          <t>※예시데이터</t>
        </is>
      </c>
    </row>
    <row r="891">
      <c r="A891" t="n">
        <v>1000</v>
      </c>
      <c r="B891" t="inlineStr">
        <is>
          <t>범용수지사업부</t>
        </is>
      </c>
      <c r="C891" t="inlineStr">
        <is>
          <t>국내영업2팀</t>
        </is>
      </c>
      <c r="D891" t="inlineStr">
        <is>
          <t>C10050</t>
        </is>
      </c>
      <c r="E891" t="inlineStr">
        <is>
          <t>아름화학(주)</t>
        </is>
      </c>
      <c r="F891" t="inlineStr">
        <is>
          <t>PE</t>
        </is>
      </c>
      <c r="G891" t="inlineStr">
        <is>
          <t>M-1201</t>
        </is>
      </c>
      <c r="H891" t="inlineStr">
        <is>
          <t>HDPE 블로우 B500</t>
        </is>
      </c>
      <c r="I891" s="43" t="n">
        <v>46212</v>
      </c>
      <c r="J891" t="n">
        <v>202607</v>
      </c>
      <c r="K891" s="44" t="n">
        <v>11325</v>
      </c>
      <c r="L891" t="inlineStr">
        <is>
          <t>KG</t>
        </is>
      </c>
      <c r="M891" s="44" t="n">
        <v>17694574</v>
      </c>
      <c r="N891" s="44" t="n">
        <v>1857930</v>
      </c>
      <c r="O891" s="44" t="n">
        <v>176946</v>
      </c>
      <c r="P891" s="44" t="n">
        <v>15659698</v>
      </c>
      <c r="Q891" t="inlineStr">
        <is>
          <t>KRW</t>
        </is>
      </c>
      <c r="R891" t="inlineStr">
        <is>
          <t>INV2607-00890</t>
        </is>
      </c>
      <c r="S891" t="inlineStr">
        <is>
          <t>※예시데이터</t>
        </is>
      </c>
    </row>
    <row r="892">
      <c r="A892" t="n">
        <v>1000</v>
      </c>
      <c r="B892" t="inlineStr">
        <is>
          <t>EP사업부</t>
        </is>
      </c>
      <c r="C892" t="inlineStr">
        <is>
          <t>국내영업1팀</t>
        </is>
      </c>
      <c r="D892" t="inlineStr">
        <is>
          <t>C10057</t>
        </is>
      </c>
      <c r="E892" t="inlineStr">
        <is>
          <t>자연엠텍</t>
        </is>
      </c>
      <c r="F892" t="inlineStr">
        <is>
          <t>ABS</t>
        </is>
      </c>
      <c r="G892" t="inlineStr">
        <is>
          <t>M-2101</t>
        </is>
      </c>
      <c r="H892" t="inlineStr">
        <is>
          <t>ABS 범용 G300</t>
        </is>
      </c>
      <c r="I892" s="43" t="n">
        <v>46212</v>
      </c>
      <c r="J892" t="n">
        <v>202607</v>
      </c>
      <c r="K892" s="44" t="n">
        <v>1150</v>
      </c>
      <c r="L892" t="inlineStr">
        <is>
          <t>KG</t>
        </is>
      </c>
      <c r="M892" s="44" t="n">
        <v>3181894</v>
      </c>
      <c r="N892" s="44" t="n">
        <v>111366</v>
      </c>
      <c r="O892" t="n">
        <v>0</v>
      </c>
      <c r="P892" s="44" t="n">
        <v>3070528</v>
      </c>
      <c r="Q892" t="inlineStr">
        <is>
          <t>KRW</t>
        </is>
      </c>
      <c r="R892" t="inlineStr">
        <is>
          <t>INV2607-00891</t>
        </is>
      </c>
      <c r="S892" t="inlineStr">
        <is>
          <t>※예시데이터</t>
        </is>
      </c>
    </row>
    <row r="893">
      <c r="A893" t="n">
        <v>1000</v>
      </c>
      <c r="B893" t="inlineStr">
        <is>
          <t>범용수지사업부</t>
        </is>
      </c>
      <c r="C893" t="inlineStr">
        <is>
          <t>해외영업팀</t>
        </is>
      </c>
      <c r="D893" t="inlineStr">
        <is>
          <t>C10071</t>
        </is>
      </c>
      <c r="E893" t="inlineStr">
        <is>
          <t>큰별코리아</t>
        </is>
      </c>
      <c r="F893" t="inlineStr">
        <is>
          <t>PP</t>
        </is>
      </c>
      <c r="G893" t="inlineStr">
        <is>
          <t>M-1101</t>
        </is>
      </c>
      <c r="H893" t="inlineStr">
        <is>
          <t>PP 범용사출 H110</t>
        </is>
      </c>
      <c r="I893" s="43" t="n">
        <v>46212</v>
      </c>
      <c r="J893" t="n">
        <v>202607</v>
      </c>
      <c r="K893" s="44" t="n">
        <v>13200</v>
      </c>
      <c r="L893" t="inlineStr">
        <is>
          <t>KG</t>
        </is>
      </c>
      <c r="M893" s="44" t="n">
        <v>22521831</v>
      </c>
      <c r="N893" s="44" t="n">
        <v>2815229</v>
      </c>
      <c r="O893" s="44" t="n">
        <v>450437</v>
      </c>
      <c r="P893" s="44" t="n">
        <v>19256165</v>
      </c>
      <c r="Q893" t="inlineStr">
        <is>
          <t>KRW</t>
        </is>
      </c>
      <c r="R893" t="inlineStr">
        <is>
          <t>INV2607-00892</t>
        </is>
      </c>
      <c r="S893" t="inlineStr">
        <is>
          <t>※예시데이터</t>
        </is>
      </c>
    </row>
    <row r="894">
      <c r="A894" t="n">
        <v>1000</v>
      </c>
      <c r="B894" t="inlineStr">
        <is>
          <t>범용수지사업부</t>
        </is>
      </c>
      <c r="C894" t="inlineStr">
        <is>
          <t>국내영업2팀</t>
        </is>
      </c>
      <c r="D894" t="inlineStr">
        <is>
          <t>C10127</t>
        </is>
      </c>
      <c r="E894" t="inlineStr">
        <is>
          <t>미르패키징</t>
        </is>
      </c>
      <c r="F894" t="inlineStr">
        <is>
          <t>PE</t>
        </is>
      </c>
      <c r="G894" t="inlineStr">
        <is>
          <t>M-1201</t>
        </is>
      </c>
      <c r="H894" t="inlineStr">
        <is>
          <t>HDPE 블로우 B500</t>
        </is>
      </c>
      <c r="I894" s="43" t="n">
        <v>46212</v>
      </c>
      <c r="J894" t="n">
        <v>202607</v>
      </c>
      <c r="K894" s="44" t="n">
        <v>5700</v>
      </c>
      <c r="L894" t="inlineStr">
        <is>
          <t>KG</t>
        </is>
      </c>
      <c r="M894" s="44" t="n">
        <v>8905878</v>
      </c>
      <c r="N894" s="44" t="n">
        <v>757000</v>
      </c>
      <c r="O894" t="n">
        <v>0</v>
      </c>
      <c r="P894" s="44" t="n">
        <v>8148878</v>
      </c>
      <c r="Q894" t="inlineStr">
        <is>
          <t>KRW</t>
        </is>
      </c>
      <c r="R894" t="inlineStr">
        <is>
          <t>INV2607-00893</t>
        </is>
      </c>
      <c r="S894" t="inlineStr">
        <is>
          <t>※예시데이터</t>
        </is>
      </c>
    </row>
    <row r="895">
      <c r="A895" t="n">
        <v>1000</v>
      </c>
      <c r="B895" t="inlineStr">
        <is>
          <t>범용수지사업부</t>
        </is>
      </c>
      <c r="C895" t="inlineStr">
        <is>
          <t>국내영업1팀</t>
        </is>
      </c>
      <c r="D895" t="inlineStr">
        <is>
          <t>C10008</t>
        </is>
      </c>
      <c r="E895" t="inlineStr">
        <is>
          <t>나래산업(주)</t>
        </is>
      </c>
      <c r="F895" t="inlineStr">
        <is>
          <t>PP</t>
        </is>
      </c>
      <c r="G895" t="inlineStr">
        <is>
          <t>M-1101</t>
        </is>
      </c>
      <c r="H895" t="inlineStr">
        <is>
          <t>PP 범용사출 H110</t>
        </is>
      </c>
      <c r="I895" s="43" t="n">
        <v>46213</v>
      </c>
      <c r="J895" t="n">
        <v>202607</v>
      </c>
      <c r="K895" s="44" t="n">
        <v>10100</v>
      </c>
      <c r="L895" t="inlineStr">
        <is>
          <t>KG</t>
        </is>
      </c>
      <c r="M895" s="44" t="n">
        <v>17232613</v>
      </c>
      <c r="N895" s="44" t="n">
        <v>1809424</v>
      </c>
      <c r="O895" s="44" t="n">
        <v>172326</v>
      </c>
      <c r="P895" s="44" t="n">
        <v>15250863</v>
      </c>
      <c r="Q895" t="inlineStr">
        <is>
          <t>KRW</t>
        </is>
      </c>
      <c r="R895" t="inlineStr">
        <is>
          <t>INV2607-00894</t>
        </is>
      </c>
      <c r="S895" t="inlineStr">
        <is>
          <t>※예시데이터</t>
        </is>
      </c>
    </row>
    <row r="896">
      <c r="A896" t="n">
        <v>1000</v>
      </c>
      <c r="B896" t="inlineStr">
        <is>
          <t>EP사업부</t>
        </is>
      </c>
      <c r="C896" t="inlineStr">
        <is>
          <t>국내영업2팀</t>
        </is>
      </c>
      <c r="D896" t="inlineStr">
        <is>
          <t>C10022</t>
        </is>
      </c>
      <c r="E896" t="inlineStr">
        <is>
          <t>라온테크(주)</t>
        </is>
      </c>
      <c r="F896" t="inlineStr">
        <is>
          <t>ABS</t>
        </is>
      </c>
      <c r="G896" t="inlineStr">
        <is>
          <t>M-2101</t>
        </is>
      </c>
      <c r="H896" t="inlineStr">
        <is>
          <t>ABS 범용 G300</t>
        </is>
      </c>
      <c r="I896" s="43" t="n">
        <v>46213</v>
      </c>
      <c r="J896" t="n">
        <v>202607</v>
      </c>
      <c r="K896" s="44" t="n">
        <v>6850</v>
      </c>
      <c r="L896" t="inlineStr">
        <is>
          <t>KG</t>
        </is>
      </c>
      <c r="M896" s="44" t="n">
        <v>18953018</v>
      </c>
      <c r="N896" s="44" t="n">
        <v>2084832</v>
      </c>
      <c r="O896" t="n">
        <v>0</v>
      </c>
      <c r="P896" s="44" t="n">
        <v>16868186</v>
      </c>
      <c r="Q896" t="inlineStr">
        <is>
          <t>KRW</t>
        </is>
      </c>
      <c r="R896" t="inlineStr">
        <is>
          <t>INV2607-00895</t>
        </is>
      </c>
      <c r="S896" t="inlineStr">
        <is>
          <t>※예시데이터</t>
        </is>
      </c>
    </row>
    <row r="897">
      <c r="A897" t="n">
        <v>1000</v>
      </c>
      <c r="B897" t="inlineStr">
        <is>
          <t>범용수지사업부</t>
        </is>
      </c>
      <c r="C897" t="inlineStr">
        <is>
          <t>국내영업1팀</t>
        </is>
      </c>
      <c r="D897" t="inlineStr">
        <is>
          <t>C10043</t>
        </is>
      </c>
      <c r="E897" t="inlineStr">
        <is>
          <t>새봄플라스틱</t>
        </is>
      </c>
      <c r="F897" t="inlineStr">
        <is>
          <t>PP</t>
        </is>
      </c>
      <c r="G897" t="inlineStr">
        <is>
          <t>M-1103</t>
        </is>
      </c>
      <c r="H897" t="inlineStr">
        <is>
          <t>PP 투명 R330</t>
        </is>
      </c>
      <c r="I897" s="43" t="n">
        <v>46213</v>
      </c>
      <c r="J897" t="n">
        <v>202607</v>
      </c>
      <c r="K897" s="44" t="n">
        <v>2425</v>
      </c>
      <c r="L897" t="inlineStr">
        <is>
          <t>KG</t>
        </is>
      </c>
      <c r="M897" s="44" t="n">
        <v>4864736</v>
      </c>
      <c r="N897" s="44" t="n">
        <v>291884</v>
      </c>
      <c r="O897" t="n">
        <v>0</v>
      </c>
      <c r="P897" s="44" t="n">
        <v>4572852</v>
      </c>
      <c r="Q897" t="inlineStr">
        <is>
          <t>KRW</t>
        </is>
      </c>
      <c r="R897" t="inlineStr">
        <is>
          <t>INV2607-00896</t>
        </is>
      </c>
      <c r="S897" t="inlineStr">
        <is>
          <t>※예시데이터</t>
        </is>
      </c>
    </row>
    <row r="898">
      <c r="A898" t="n">
        <v>1000</v>
      </c>
      <c r="B898" t="inlineStr">
        <is>
          <t>EP사업부</t>
        </is>
      </c>
      <c r="C898" t="inlineStr">
        <is>
          <t>국내영업2팀</t>
        </is>
      </c>
      <c r="D898" t="inlineStr">
        <is>
          <t>C10085</t>
        </is>
      </c>
      <c r="E898" t="inlineStr">
        <is>
          <t>파란하이텍</t>
        </is>
      </c>
      <c r="F898" t="inlineStr">
        <is>
          <t>PC</t>
        </is>
      </c>
      <c r="G898" t="inlineStr">
        <is>
          <t>M-2202</t>
        </is>
      </c>
      <c r="H898" t="inlineStr">
        <is>
          <t>PC 난연 FR200</t>
        </is>
      </c>
      <c r="I898" s="43" t="n">
        <v>46213</v>
      </c>
      <c r="J898" t="n">
        <v>202607</v>
      </c>
      <c r="K898" s="44" t="n">
        <v>5625</v>
      </c>
      <c r="L898" t="inlineStr">
        <is>
          <t>KG</t>
        </is>
      </c>
      <c r="M898" s="44" t="n">
        <v>25056508</v>
      </c>
      <c r="N898" s="44" t="n">
        <v>2255086</v>
      </c>
      <c r="O898" t="n">
        <v>0</v>
      </c>
      <c r="P898" s="44" t="n">
        <v>22801422</v>
      </c>
      <c r="Q898" t="inlineStr">
        <is>
          <t>KRW</t>
        </is>
      </c>
      <c r="R898" t="inlineStr">
        <is>
          <t>INV2607-00897</t>
        </is>
      </c>
      <c r="S898" t="inlineStr">
        <is>
          <t>※예시데이터</t>
        </is>
      </c>
    </row>
    <row r="899">
      <c r="A899" t="n">
        <v>1000</v>
      </c>
      <c r="B899" t="inlineStr">
        <is>
          <t>범용수지사업부</t>
        </is>
      </c>
      <c r="C899" t="inlineStr">
        <is>
          <t>국내영업1팀</t>
        </is>
      </c>
      <c r="D899" t="inlineStr">
        <is>
          <t>C10001</t>
        </is>
      </c>
      <c r="E899" t="inlineStr">
        <is>
          <t>가온소재(주)</t>
        </is>
      </c>
      <c r="F899" t="inlineStr">
        <is>
          <t>PE</t>
        </is>
      </c>
      <c r="G899" t="inlineStr">
        <is>
          <t>M-1201</t>
        </is>
      </c>
      <c r="H899" t="inlineStr">
        <is>
          <t>HDPE 블로우 B500</t>
        </is>
      </c>
      <c r="I899" s="43" t="n">
        <v>46214</v>
      </c>
      <c r="J899" t="n">
        <v>202607</v>
      </c>
      <c r="K899" s="44" t="n">
        <v>3675</v>
      </c>
      <c r="L899" t="inlineStr">
        <is>
          <t>KG</t>
        </is>
      </c>
      <c r="M899" s="44" t="n">
        <v>5741948</v>
      </c>
      <c r="N899" s="44" t="n">
        <v>287097</v>
      </c>
      <c r="O899" t="n">
        <v>0</v>
      </c>
      <c r="P899" s="44" t="n">
        <v>5454851</v>
      </c>
      <c r="Q899" t="inlineStr">
        <is>
          <t>KRW</t>
        </is>
      </c>
      <c r="R899" t="inlineStr">
        <is>
          <t>INV2607-00898</t>
        </is>
      </c>
      <c r="S899" t="inlineStr">
        <is>
          <t>※예시데이터</t>
        </is>
      </c>
    </row>
    <row r="900">
      <c r="A900" t="n">
        <v>1000</v>
      </c>
      <c r="B900" t="inlineStr">
        <is>
          <t>범용수지사업부</t>
        </is>
      </c>
      <c r="C900" t="inlineStr">
        <is>
          <t>국내영업1팀</t>
        </is>
      </c>
      <c r="D900" t="inlineStr">
        <is>
          <t>C10106</t>
        </is>
      </c>
      <c r="E900" t="inlineStr">
        <is>
          <t>온새미사출</t>
        </is>
      </c>
      <c r="F900" t="inlineStr">
        <is>
          <t>PP</t>
        </is>
      </c>
      <c r="G900" t="inlineStr">
        <is>
          <t>M-1101</t>
        </is>
      </c>
      <c r="H900" t="inlineStr">
        <is>
          <t>PP 범용사출 H110</t>
        </is>
      </c>
      <c r="I900" s="43" t="n">
        <v>46214</v>
      </c>
      <c r="J900" t="n">
        <v>202607</v>
      </c>
      <c r="K900" s="44" t="n">
        <v>7125</v>
      </c>
      <c r="L900" t="inlineStr">
        <is>
          <t>KG</t>
        </is>
      </c>
      <c r="M900" s="44" t="n">
        <v>12156670</v>
      </c>
      <c r="N900" s="44" t="n">
        <v>607834</v>
      </c>
      <c r="O900" t="n">
        <v>0</v>
      </c>
      <c r="P900" s="44" t="n">
        <v>11548836</v>
      </c>
      <c r="Q900" t="inlineStr">
        <is>
          <t>KRW</t>
        </is>
      </c>
      <c r="R900" t="inlineStr">
        <is>
          <t>INV2607-00899</t>
        </is>
      </c>
      <c r="S900" t="inlineStr">
        <is>
          <t>※예시데이터</t>
        </is>
      </c>
    </row>
    <row r="901">
      <c r="A901" t="n">
        <v>1000</v>
      </c>
      <c r="B901" t="inlineStr">
        <is>
          <t>범용수지사업부</t>
        </is>
      </c>
      <c r="C901" t="inlineStr">
        <is>
          <t>해외영업팀</t>
        </is>
      </c>
      <c r="D901" t="inlineStr">
        <is>
          <t>C10071</t>
        </is>
      </c>
      <c r="E901" t="inlineStr">
        <is>
          <t>큰별코리아</t>
        </is>
      </c>
      <c r="F901" t="inlineStr">
        <is>
          <t>PE</t>
        </is>
      </c>
      <c r="G901" t="inlineStr">
        <is>
          <t>M-1201</t>
        </is>
      </c>
      <c r="H901" t="inlineStr">
        <is>
          <t>HDPE 블로우 B500</t>
        </is>
      </c>
      <c r="I901" s="43" t="n">
        <v>46215</v>
      </c>
      <c r="J901" t="n">
        <v>202607</v>
      </c>
      <c r="K901" s="44" t="n">
        <v>4075</v>
      </c>
      <c r="L901" t="inlineStr">
        <is>
          <t>KG</t>
        </is>
      </c>
      <c r="M901" s="44" t="n">
        <v>6366922</v>
      </c>
      <c r="N901" s="44" t="n">
        <v>795865</v>
      </c>
      <c r="O901" s="44" t="n">
        <v>127338</v>
      </c>
      <c r="P901" s="44" t="n">
        <v>5443719</v>
      </c>
      <c r="Q901" t="inlineStr">
        <is>
          <t>KRW</t>
        </is>
      </c>
      <c r="R901" t="inlineStr">
        <is>
          <t>INV2607-00900</t>
        </is>
      </c>
      <c r="S901" t="inlineStr">
        <is>
          <t>※예시데이터</t>
        </is>
      </c>
    </row>
    <row r="902">
      <c r="A902" t="n">
        <v>1000</v>
      </c>
      <c r="B902" t="inlineStr">
        <is>
          <t>범용수지사업부</t>
        </is>
      </c>
      <c r="C902" t="inlineStr">
        <is>
          <t>국내영업2팀</t>
        </is>
      </c>
      <c r="D902" t="inlineStr">
        <is>
          <t>C10050</t>
        </is>
      </c>
      <c r="E902" t="inlineStr">
        <is>
          <t>아름화학(주)</t>
        </is>
      </c>
      <c r="F902" t="inlineStr">
        <is>
          <t>PP</t>
        </is>
      </c>
      <c r="G902" t="inlineStr">
        <is>
          <t>M-1103</t>
        </is>
      </c>
      <c r="H902" t="inlineStr">
        <is>
          <t>PP 투명 R330</t>
        </is>
      </c>
      <c r="I902" s="43" t="n">
        <v>46217</v>
      </c>
      <c r="J902" t="n">
        <v>202607</v>
      </c>
      <c r="K902" s="44" t="n">
        <v>5200</v>
      </c>
      <c r="L902" t="inlineStr">
        <is>
          <t>KG</t>
        </is>
      </c>
      <c r="M902" s="44" t="n">
        <v>10431599</v>
      </c>
      <c r="N902" s="44" t="n">
        <v>1095318</v>
      </c>
      <c r="O902" s="44" t="n">
        <v>104316</v>
      </c>
      <c r="P902" s="44" t="n">
        <v>9231965</v>
      </c>
      <c r="Q902" t="inlineStr">
        <is>
          <t>KRW</t>
        </is>
      </c>
      <c r="R902" t="inlineStr">
        <is>
          <t>INV2607-00901</t>
        </is>
      </c>
      <c r="S902" t="inlineStr">
        <is>
          <t>※예시데이터</t>
        </is>
      </c>
    </row>
    <row r="903">
      <c r="A903" t="n">
        <v>1000</v>
      </c>
      <c r="B903" t="inlineStr">
        <is>
          <t>범용수지사업부</t>
        </is>
      </c>
      <c r="C903" t="inlineStr">
        <is>
          <t>국내영업1팀</t>
        </is>
      </c>
      <c r="D903" t="inlineStr">
        <is>
          <t>C10001</t>
        </is>
      </c>
      <c r="E903" t="inlineStr">
        <is>
          <t>가온소재(주)</t>
        </is>
      </c>
      <c r="F903" t="inlineStr">
        <is>
          <t>PE</t>
        </is>
      </c>
      <c r="G903" t="inlineStr">
        <is>
          <t>M-1202</t>
        </is>
      </c>
      <c r="H903" t="inlineStr">
        <is>
          <t>LLDPE 필름 F120</t>
        </is>
      </c>
      <c r="I903" s="43" t="n">
        <v>46218</v>
      </c>
      <c r="J903" t="n">
        <v>202607</v>
      </c>
      <c r="K903" s="44" t="n">
        <v>3100</v>
      </c>
      <c r="L903" t="inlineStr">
        <is>
          <t>KG</t>
        </is>
      </c>
      <c r="M903" s="44" t="n">
        <v>5242068</v>
      </c>
      <c r="N903" s="44" t="n">
        <v>262103</v>
      </c>
      <c r="O903" t="n">
        <v>0</v>
      </c>
      <c r="P903" s="44" t="n">
        <v>4979965</v>
      </c>
      <c r="Q903" t="inlineStr">
        <is>
          <t>KRW</t>
        </is>
      </c>
      <c r="R903" t="inlineStr">
        <is>
          <t>INV2607-00902</t>
        </is>
      </c>
      <c r="S903" t="inlineStr">
        <is>
          <t>※예시데이터</t>
        </is>
      </c>
    </row>
    <row r="904">
      <c r="A904" t="n">
        <v>1000</v>
      </c>
      <c r="B904" t="inlineStr">
        <is>
          <t>EP사업부</t>
        </is>
      </c>
      <c r="C904" t="inlineStr">
        <is>
          <t>국내영업1팀</t>
        </is>
      </c>
      <c r="D904" t="inlineStr">
        <is>
          <t>C10078</t>
        </is>
      </c>
      <c r="E904" t="inlineStr">
        <is>
          <t>토담정공(주)</t>
        </is>
      </c>
      <c r="F904" t="inlineStr">
        <is>
          <t>ABS</t>
        </is>
      </c>
      <c r="G904" t="inlineStr">
        <is>
          <t>M-2102</t>
        </is>
      </c>
      <c r="H904" t="inlineStr">
        <is>
          <t>ABS 내열 HR500</t>
        </is>
      </c>
      <c r="I904" s="43" t="n">
        <v>46218</v>
      </c>
      <c r="J904" t="n">
        <v>202607</v>
      </c>
      <c r="K904" s="44" t="n">
        <v>3400</v>
      </c>
      <c r="L904" t="inlineStr">
        <is>
          <t>KG</t>
        </is>
      </c>
      <c r="M904" s="44" t="n">
        <v>10578817</v>
      </c>
      <c r="N904" s="44" t="n">
        <v>317365</v>
      </c>
      <c r="O904" t="n">
        <v>0</v>
      </c>
      <c r="P904" s="44" t="n">
        <v>10261452</v>
      </c>
      <c r="Q904" t="inlineStr">
        <is>
          <t>KRW</t>
        </is>
      </c>
      <c r="R904" t="inlineStr">
        <is>
          <t>INV2607-00903</t>
        </is>
      </c>
      <c r="S904" t="inlineStr">
        <is>
          <t>※예시데이터</t>
        </is>
      </c>
    </row>
    <row r="905">
      <c r="A905" t="n">
        <v>1000</v>
      </c>
      <c r="B905" t="inlineStr">
        <is>
          <t>범용수지사업부</t>
        </is>
      </c>
      <c r="C905" t="inlineStr">
        <is>
          <t>국내영업2팀</t>
        </is>
      </c>
      <c r="D905" t="inlineStr">
        <is>
          <t>C10127</t>
        </is>
      </c>
      <c r="E905" t="inlineStr">
        <is>
          <t>미르패키징</t>
        </is>
      </c>
      <c r="F905" t="inlineStr">
        <is>
          <t>PE</t>
        </is>
      </c>
      <c r="G905" t="inlineStr">
        <is>
          <t>M-1202</t>
        </is>
      </c>
      <c r="H905" t="inlineStr">
        <is>
          <t>LLDPE 필름 F120</t>
        </is>
      </c>
      <c r="I905" s="43" t="n">
        <v>46218</v>
      </c>
      <c r="J905" t="n">
        <v>202607</v>
      </c>
      <c r="K905" s="44" t="n">
        <v>1850</v>
      </c>
      <c r="L905" t="inlineStr">
        <is>
          <t>KG</t>
        </is>
      </c>
      <c r="M905" s="44" t="n">
        <v>3128331</v>
      </c>
      <c r="N905" s="44" t="n">
        <v>265908</v>
      </c>
      <c r="O905" t="n">
        <v>0</v>
      </c>
      <c r="P905" s="44" t="n">
        <v>2862423</v>
      </c>
      <c r="Q905" t="inlineStr">
        <is>
          <t>KRW</t>
        </is>
      </c>
      <c r="R905" t="inlineStr">
        <is>
          <t>INV2607-00904</t>
        </is>
      </c>
      <c r="S905" t="inlineStr">
        <is>
          <t>※예시데이터</t>
        </is>
      </c>
    </row>
    <row r="906">
      <c r="A906" t="n">
        <v>1000</v>
      </c>
      <c r="B906" t="inlineStr">
        <is>
          <t>EP사업부</t>
        </is>
      </c>
      <c r="C906" t="inlineStr">
        <is>
          <t>국내영업2팀</t>
        </is>
      </c>
      <c r="D906" t="inlineStr">
        <is>
          <t>C10015</t>
        </is>
      </c>
      <c r="E906" t="inlineStr">
        <is>
          <t>다솜케미칼</t>
        </is>
      </c>
      <c r="F906" t="inlineStr">
        <is>
          <t>PC</t>
        </is>
      </c>
      <c r="G906" t="inlineStr">
        <is>
          <t>M-2202</t>
        </is>
      </c>
      <c r="H906" t="inlineStr">
        <is>
          <t>PC 난연 FR200</t>
        </is>
      </c>
      <c r="I906" s="43" t="n">
        <v>46219</v>
      </c>
      <c r="J906" t="n">
        <v>202607</v>
      </c>
      <c r="K906" s="44" t="n">
        <v>2475</v>
      </c>
      <c r="L906" t="inlineStr">
        <is>
          <t>KG</t>
        </is>
      </c>
      <c r="M906" s="44" t="n">
        <v>11024863</v>
      </c>
      <c r="N906" s="44" t="n">
        <v>551243</v>
      </c>
      <c r="O906" t="n">
        <v>0</v>
      </c>
      <c r="P906" s="44" t="n">
        <v>10473620</v>
      </c>
      <c r="Q906" t="inlineStr">
        <is>
          <t>KRW</t>
        </is>
      </c>
      <c r="R906" t="inlineStr">
        <is>
          <t>INV2607-00905</t>
        </is>
      </c>
      <c r="S906" t="inlineStr">
        <is>
          <t>※예시데이터</t>
        </is>
      </c>
    </row>
    <row r="907">
      <c r="A907" t="n">
        <v>1000</v>
      </c>
      <c r="B907" t="inlineStr">
        <is>
          <t>EP사업부</t>
        </is>
      </c>
      <c r="C907" t="inlineStr">
        <is>
          <t>해외영업팀</t>
        </is>
      </c>
      <c r="D907" t="inlineStr">
        <is>
          <t>C10148</t>
        </is>
      </c>
      <c r="E907" t="inlineStr">
        <is>
          <t>Hanoi Molding (VN)</t>
        </is>
      </c>
      <c r="F907" t="inlineStr">
        <is>
          <t>ABS</t>
        </is>
      </c>
      <c r="G907" t="inlineStr">
        <is>
          <t>M-2101</t>
        </is>
      </c>
      <c r="H907" t="inlineStr">
        <is>
          <t>ABS 범용 G300</t>
        </is>
      </c>
      <c r="I907" s="43" t="n">
        <v>46219</v>
      </c>
      <c r="J907" t="n">
        <v>202607</v>
      </c>
      <c r="K907" s="44" t="n">
        <v>4075</v>
      </c>
      <c r="L907" t="inlineStr">
        <is>
          <t>KG</t>
        </is>
      </c>
      <c r="M907" s="44" t="n">
        <v>11274971</v>
      </c>
      <c r="N907" s="44" t="n">
        <v>1127497</v>
      </c>
      <c r="O907" t="n">
        <v>0</v>
      </c>
      <c r="P907" s="44" t="n">
        <v>10147474</v>
      </c>
      <c r="Q907" t="inlineStr">
        <is>
          <t>KRW</t>
        </is>
      </c>
      <c r="R907" t="inlineStr">
        <is>
          <t>INV2607-00906</t>
        </is>
      </c>
      <c r="S907" t="inlineStr">
        <is>
          <t>※예시데이터</t>
        </is>
      </c>
    </row>
    <row r="908">
      <c r="A908" t="n">
        <v>1000</v>
      </c>
      <c r="B908" t="inlineStr">
        <is>
          <t>EP사업부</t>
        </is>
      </c>
      <c r="C908" t="inlineStr">
        <is>
          <t>국내영업2팀</t>
        </is>
      </c>
      <c r="D908" t="inlineStr">
        <is>
          <t>C10015</t>
        </is>
      </c>
      <c r="E908" t="inlineStr">
        <is>
          <t>다솜케미칼</t>
        </is>
      </c>
      <c r="F908" t="inlineStr">
        <is>
          <t>PC</t>
        </is>
      </c>
      <c r="G908" t="inlineStr">
        <is>
          <t>M-2201</t>
        </is>
      </c>
      <c r="H908" t="inlineStr">
        <is>
          <t>PC 일반 C100</t>
        </is>
      </c>
      <c r="I908" s="43" t="n">
        <v>46221</v>
      </c>
      <c r="J908" t="n">
        <v>202607</v>
      </c>
      <c r="K908" s="44" t="n">
        <v>2475</v>
      </c>
      <c r="L908" t="inlineStr">
        <is>
          <t>KG</t>
        </is>
      </c>
      <c r="M908" s="44" t="n">
        <v>9884360</v>
      </c>
      <c r="N908" s="44" t="n">
        <v>494218</v>
      </c>
      <c r="O908" t="n">
        <v>0</v>
      </c>
      <c r="P908" s="44" t="n">
        <v>9390142</v>
      </c>
      <c r="Q908" t="inlineStr">
        <is>
          <t>KRW</t>
        </is>
      </c>
      <c r="R908" t="inlineStr">
        <is>
          <t>INV2607-00907</t>
        </is>
      </c>
      <c r="S908" t="inlineStr">
        <is>
          <t>※예시데이터</t>
        </is>
      </c>
    </row>
    <row r="909">
      <c r="A909" t="n">
        <v>1000</v>
      </c>
      <c r="B909" t="inlineStr">
        <is>
          <t>범용수지사업부</t>
        </is>
      </c>
      <c r="C909" t="inlineStr">
        <is>
          <t>국내영업2팀</t>
        </is>
      </c>
      <c r="D909" t="inlineStr">
        <is>
          <t>C10050</t>
        </is>
      </c>
      <c r="E909" t="inlineStr">
        <is>
          <t>아름화학(주)</t>
        </is>
      </c>
      <c r="F909" t="inlineStr">
        <is>
          <t>PP</t>
        </is>
      </c>
      <c r="G909" t="inlineStr">
        <is>
          <t>M-1103</t>
        </is>
      </c>
      <c r="H909" t="inlineStr">
        <is>
          <t>PP 투명 R330</t>
        </is>
      </c>
      <c r="I909" s="43" t="n">
        <v>46221</v>
      </c>
      <c r="J909" t="n">
        <v>202607</v>
      </c>
      <c r="K909" s="44" t="n">
        <v>5200</v>
      </c>
      <c r="L909" t="inlineStr">
        <is>
          <t>KG</t>
        </is>
      </c>
      <c r="M909" s="44" t="n">
        <v>10431599</v>
      </c>
      <c r="N909" s="44" t="n">
        <v>1095318</v>
      </c>
      <c r="O909" s="44" t="n">
        <v>104316</v>
      </c>
      <c r="P909" s="44" t="n">
        <v>9231965</v>
      </c>
      <c r="Q909" t="inlineStr">
        <is>
          <t>KRW</t>
        </is>
      </c>
      <c r="R909" t="inlineStr">
        <is>
          <t>INV2607-00908</t>
        </is>
      </c>
      <c r="S909" t="inlineStr">
        <is>
          <t>※예시데이터</t>
        </is>
      </c>
    </row>
    <row r="910">
      <c r="A910" t="n">
        <v>1000</v>
      </c>
      <c r="B910" t="inlineStr">
        <is>
          <t>EP사업부</t>
        </is>
      </c>
      <c r="C910" t="inlineStr">
        <is>
          <t>국내영업1팀</t>
        </is>
      </c>
      <c r="D910" t="inlineStr">
        <is>
          <t>C10134</t>
        </is>
      </c>
      <c r="E910" t="inlineStr">
        <is>
          <t>별하전자(주)</t>
        </is>
      </c>
      <c r="F910" t="inlineStr">
        <is>
          <t>PC</t>
        </is>
      </c>
      <c r="G910" t="inlineStr">
        <is>
          <t>M-2201</t>
        </is>
      </c>
      <c r="H910" t="inlineStr">
        <is>
          <t>PC 일반 C100</t>
        </is>
      </c>
      <c r="I910" s="43" t="n">
        <v>46222</v>
      </c>
      <c r="J910" t="n">
        <v>202607</v>
      </c>
      <c r="K910" s="44" t="n">
        <v>1650</v>
      </c>
      <c r="L910" t="inlineStr">
        <is>
          <t>KG</t>
        </is>
      </c>
      <c r="M910" s="44" t="n">
        <v>6589574</v>
      </c>
      <c r="N910" s="44" t="n">
        <v>197687</v>
      </c>
      <c r="O910" t="n">
        <v>0</v>
      </c>
      <c r="P910" s="44" t="n">
        <v>6391887</v>
      </c>
      <c r="Q910" t="inlineStr">
        <is>
          <t>KRW</t>
        </is>
      </c>
      <c r="R910" t="inlineStr">
        <is>
          <t>INV2607-00909</t>
        </is>
      </c>
      <c r="S910" t="inlineStr">
        <is>
          <t>※예시데이터</t>
        </is>
      </c>
    </row>
    <row r="911">
      <c r="A911" t="n">
        <v>1000</v>
      </c>
      <c r="B911" t="inlineStr">
        <is>
          <t>EP사업부</t>
        </is>
      </c>
      <c r="C911" t="inlineStr">
        <is>
          <t>국내영업2팀</t>
        </is>
      </c>
      <c r="D911" t="inlineStr">
        <is>
          <t>C10099</t>
        </is>
      </c>
      <c r="E911" t="inlineStr">
        <is>
          <t>한울몰드</t>
        </is>
      </c>
      <c r="F911" t="inlineStr">
        <is>
          <t>ABS</t>
        </is>
      </c>
      <c r="G911" t="inlineStr">
        <is>
          <t>M-2101</t>
        </is>
      </c>
      <c r="H911" t="inlineStr">
        <is>
          <t>ABS 범용 G300</t>
        </is>
      </c>
      <c r="I911" s="43" t="n">
        <v>46223</v>
      </c>
      <c r="J911" t="n">
        <v>202607</v>
      </c>
      <c r="K911" s="44" t="n">
        <v>3325</v>
      </c>
      <c r="L911" t="inlineStr">
        <is>
          <t>KG</t>
        </is>
      </c>
      <c r="M911" s="44" t="n">
        <v>9199823</v>
      </c>
      <c r="N911" s="44" t="n">
        <v>597988</v>
      </c>
      <c r="O911" t="n">
        <v>0</v>
      </c>
      <c r="P911" s="44" t="n">
        <v>8601835</v>
      </c>
      <c r="Q911" t="inlineStr">
        <is>
          <t>KRW</t>
        </is>
      </c>
      <c r="R911" t="inlineStr">
        <is>
          <t>INV2607-00910</t>
        </is>
      </c>
      <c r="S911" t="inlineStr">
        <is>
          <t>※예시데이터</t>
        </is>
      </c>
    </row>
    <row r="912">
      <c r="A912" t="n">
        <v>1000</v>
      </c>
      <c r="B912" t="inlineStr">
        <is>
          <t>EP사업부</t>
        </is>
      </c>
      <c r="C912" t="inlineStr">
        <is>
          <t>국내영업2팀</t>
        </is>
      </c>
      <c r="D912" t="inlineStr">
        <is>
          <t>C10022</t>
        </is>
      </c>
      <c r="E912" t="inlineStr">
        <is>
          <t>라온테크(주)</t>
        </is>
      </c>
      <c r="F912" t="inlineStr">
        <is>
          <t>ABS</t>
        </is>
      </c>
      <c r="G912" t="inlineStr">
        <is>
          <t>M-2102</t>
        </is>
      </c>
      <c r="H912" t="inlineStr">
        <is>
          <t>ABS 내열 HR500</t>
        </is>
      </c>
      <c r="I912" s="43" t="n">
        <v>46224</v>
      </c>
      <c r="J912" t="n">
        <v>202607</v>
      </c>
      <c r="K912" s="44" t="n">
        <v>6325</v>
      </c>
      <c r="L912" t="inlineStr">
        <is>
          <t>KG</t>
        </is>
      </c>
      <c r="M912" s="44" t="n">
        <v>19679711</v>
      </c>
      <c r="N912" s="44" t="n">
        <v>2164768</v>
      </c>
      <c r="O912" t="n">
        <v>0</v>
      </c>
      <c r="P912" s="44" t="n">
        <v>17514943</v>
      </c>
      <c r="Q912" t="inlineStr">
        <is>
          <t>KRW</t>
        </is>
      </c>
      <c r="R912" t="inlineStr">
        <is>
          <t>INV2607-00911</t>
        </is>
      </c>
      <c r="S912" t="inlineStr">
        <is>
          <t>※예시데이터</t>
        </is>
      </c>
    </row>
    <row r="913">
      <c r="A913" t="n">
        <v>1000</v>
      </c>
      <c r="B913" t="inlineStr">
        <is>
          <t>범용수지사업부</t>
        </is>
      </c>
      <c r="C913" t="inlineStr">
        <is>
          <t>해외영업팀</t>
        </is>
      </c>
      <c r="D913" t="inlineStr">
        <is>
          <t>C10071</t>
        </is>
      </c>
      <c r="E913" t="inlineStr">
        <is>
          <t>큰별코리아</t>
        </is>
      </c>
      <c r="F913" t="inlineStr">
        <is>
          <t>PE</t>
        </is>
      </c>
      <c r="G913" t="inlineStr">
        <is>
          <t>M-1201</t>
        </is>
      </c>
      <c r="H913" t="inlineStr">
        <is>
          <t>HDPE 블로우 B500</t>
        </is>
      </c>
      <c r="I913" s="43" t="n">
        <v>46224</v>
      </c>
      <c r="J913" t="n">
        <v>202607</v>
      </c>
      <c r="K913" s="44" t="n">
        <v>4075</v>
      </c>
      <c r="L913" t="inlineStr">
        <is>
          <t>KG</t>
        </is>
      </c>
      <c r="M913" s="44" t="n">
        <v>6366922</v>
      </c>
      <c r="N913" s="44" t="n">
        <v>795865</v>
      </c>
      <c r="O913" s="44" t="n">
        <v>127338</v>
      </c>
      <c r="P913" s="44" t="n">
        <v>5443719</v>
      </c>
      <c r="Q913" t="inlineStr">
        <is>
          <t>KRW</t>
        </is>
      </c>
      <c r="R913" t="inlineStr">
        <is>
          <t>INV2607-00912</t>
        </is>
      </c>
      <c r="S913" t="inlineStr">
        <is>
          <t>※예시데이터</t>
        </is>
      </c>
    </row>
    <row r="914">
      <c r="A914" t="n">
        <v>1000</v>
      </c>
      <c r="B914" t="inlineStr">
        <is>
          <t>EP사업부</t>
        </is>
      </c>
      <c r="C914" t="inlineStr">
        <is>
          <t>국내영업2팀</t>
        </is>
      </c>
      <c r="D914" t="inlineStr">
        <is>
          <t>C10085</t>
        </is>
      </c>
      <c r="E914" t="inlineStr">
        <is>
          <t>파란하이텍</t>
        </is>
      </c>
      <c r="F914" t="inlineStr">
        <is>
          <t>PC</t>
        </is>
      </c>
      <c r="G914" t="inlineStr">
        <is>
          <t>M-2201</t>
        </is>
      </c>
      <c r="H914" t="inlineStr">
        <is>
          <t>PC 일반 C100</t>
        </is>
      </c>
      <c r="I914" s="43" t="n">
        <v>46225</v>
      </c>
      <c r="J914" t="n">
        <v>202607</v>
      </c>
      <c r="K914" s="44" t="n">
        <v>2075</v>
      </c>
      <c r="L914" t="inlineStr">
        <is>
          <t>KG</t>
        </is>
      </c>
      <c r="M914" s="44" t="n">
        <v>8286888</v>
      </c>
      <c r="N914" s="44" t="n">
        <v>745820</v>
      </c>
      <c r="O914" t="n">
        <v>0</v>
      </c>
      <c r="P914" s="44" t="n">
        <v>7541068</v>
      </c>
      <c r="Q914" t="inlineStr">
        <is>
          <t>KRW</t>
        </is>
      </c>
      <c r="R914" t="inlineStr">
        <is>
          <t>INV2607-00913</t>
        </is>
      </c>
      <c r="S914" t="inlineStr">
        <is>
          <t>※예시데이터</t>
        </is>
      </c>
    </row>
    <row r="915">
      <c r="A915" t="n">
        <v>1000</v>
      </c>
      <c r="B915" t="inlineStr">
        <is>
          <t>범용수지사업부</t>
        </is>
      </c>
      <c r="C915" t="inlineStr">
        <is>
          <t>국내영업1팀</t>
        </is>
      </c>
      <c r="D915" t="inlineStr">
        <is>
          <t>C10001</t>
        </is>
      </c>
      <c r="E915" t="inlineStr">
        <is>
          <t>가온소재(주)</t>
        </is>
      </c>
      <c r="F915" t="inlineStr">
        <is>
          <t>PP</t>
        </is>
      </c>
      <c r="G915" t="inlineStr">
        <is>
          <t>M-1103</t>
        </is>
      </c>
      <c r="H915" t="inlineStr">
        <is>
          <t>PP 투명 R330</t>
        </is>
      </c>
      <c r="I915" s="43" t="n">
        <v>46227</v>
      </c>
      <c r="J915" t="n">
        <v>202607</v>
      </c>
      <c r="K915" s="44" t="n">
        <v>4225</v>
      </c>
      <c r="L915" t="inlineStr">
        <is>
          <t>KG</t>
        </is>
      </c>
      <c r="M915" s="44" t="n">
        <v>8475674</v>
      </c>
      <c r="N915" s="44" t="n">
        <v>423784</v>
      </c>
      <c r="O915" t="n">
        <v>0</v>
      </c>
      <c r="P915" s="44" t="n">
        <v>8051890</v>
      </c>
      <c r="Q915" t="inlineStr">
        <is>
          <t>KRW</t>
        </is>
      </c>
      <c r="R915" t="inlineStr">
        <is>
          <t>INV2607-00914</t>
        </is>
      </c>
      <c r="S915" t="inlineStr">
        <is>
          <t>※예시데이터</t>
        </is>
      </c>
    </row>
    <row r="916">
      <c r="A916" t="n">
        <v>1000</v>
      </c>
      <c r="B916" t="inlineStr">
        <is>
          <t>범용수지사업부</t>
        </is>
      </c>
      <c r="C916" t="inlineStr">
        <is>
          <t>국내영업1팀</t>
        </is>
      </c>
      <c r="D916" t="inlineStr">
        <is>
          <t>C10001</t>
        </is>
      </c>
      <c r="E916" t="inlineStr">
        <is>
          <t>가온소재(주)</t>
        </is>
      </c>
      <c r="F916" t="inlineStr">
        <is>
          <t>PE</t>
        </is>
      </c>
      <c r="G916" t="inlineStr">
        <is>
          <t>M-1202</t>
        </is>
      </c>
      <c r="H916" t="inlineStr">
        <is>
          <t>LLDPE 필름 F120</t>
        </is>
      </c>
      <c r="I916" s="43" t="n">
        <v>46229</v>
      </c>
      <c r="J916" t="n">
        <v>202607</v>
      </c>
      <c r="K916" s="44" t="n">
        <v>3100</v>
      </c>
      <c r="L916" t="inlineStr">
        <is>
          <t>KG</t>
        </is>
      </c>
      <c r="M916" s="44" t="n">
        <v>5242068</v>
      </c>
      <c r="N916" s="44" t="n">
        <v>262103</v>
      </c>
      <c r="O916" t="n">
        <v>0</v>
      </c>
      <c r="P916" s="44" t="n">
        <v>4979965</v>
      </c>
      <c r="Q916" t="inlineStr">
        <is>
          <t>KRW</t>
        </is>
      </c>
      <c r="R916" t="inlineStr">
        <is>
          <t>INV2607-00915</t>
        </is>
      </c>
      <c r="S916" t="inlineStr">
        <is>
          <t>※예시데이터</t>
        </is>
      </c>
    </row>
    <row r="917">
      <c r="A917" t="n">
        <v>1000</v>
      </c>
      <c r="B917" t="inlineStr">
        <is>
          <t>EP사업부</t>
        </is>
      </c>
      <c r="C917" t="inlineStr">
        <is>
          <t>국내영업2팀</t>
        </is>
      </c>
      <c r="D917" t="inlineStr">
        <is>
          <t>C10113</t>
        </is>
      </c>
      <c r="E917" t="inlineStr">
        <is>
          <t>누리오토파츠</t>
        </is>
      </c>
      <c r="F917" t="inlineStr">
        <is>
          <t>ABS</t>
        </is>
      </c>
      <c r="G917" t="inlineStr">
        <is>
          <t>M-2102</t>
        </is>
      </c>
      <c r="H917" t="inlineStr">
        <is>
          <t>ABS 내열 HR500</t>
        </is>
      </c>
      <c r="I917" s="43" t="n">
        <v>46229</v>
      </c>
      <c r="J917" t="n">
        <v>202607</v>
      </c>
      <c r="K917" s="44" t="n">
        <v>2500</v>
      </c>
      <c r="L917" t="inlineStr">
        <is>
          <t>KG</t>
        </is>
      </c>
      <c r="M917" s="44" t="n">
        <v>7778542</v>
      </c>
      <c r="N917" s="44" t="n">
        <v>700069</v>
      </c>
      <c r="O917" s="44" t="n">
        <v>77785</v>
      </c>
      <c r="P917" s="44" t="n">
        <v>7000688</v>
      </c>
      <c r="Q917" t="inlineStr">
        <is>
          <t>KRW</t>
        </is>
      </c>
      <c r="R917" t="inlineStr">
        <is>
          <t>INV2607-00916</t>
        </is>
      </c>
      <c r="S917" t="inlineStr">
        <is>
          <t>※예시데이터</t>
        </is>
      </c>
    </row>
    <row r="918">
      <c r="A918" t="n">
        <v>1000</v>
      </c>
      <c r="B918" t="inlineStr">
        <is>
          <t>EP사업부</t>
        </is>
      </c>
      <c r="C918" t="inlineStr">
        <is>
          <t>국내영업1팀</t>
        </is>
      </c>
      <c r="D918" t="inlineStr">
        <is>
          <t>C10029</t>
        </is>
      </c>
      <c r="E918" t="inlineStr">
        <is>
          <t>마루정밀</t>
        </is>
      </c>
      <c r="F918" t="inlineStr">
        <is>
          <t>PC</t>
        </is>
      </c>
      <c r="G918" t="inlineStr">
        <is>
          <t>M-2201</t>
        </is>
      </c>
      <c r="H918" t="inlineStr">
        <is>
          <t>PC 일반 C100</t>
        </is>
      </c>
      <c r="I918" s="43" t="n">
        <v>46230</v>
      </c>
      <c r="J918" t="n">
        <v>202607</v>
      </c>
      <c r="K918" s="44" t="n">
        <v>2625</v>
      </c>
      <c r="L918" t="inlineStr">
        <is>
          <t>KG</t>
        </is>
      </c>
      <c r="M918" s="44" t="n">
        <v>10483413</v>
      </c>
      <c r="N918" s="44" t="n">
        <v>366919</v>
      </c>
      <c r="O918" t="n">
        <v>0</v>
      </c>
      <c r="P918" s="44" t="n">
        <v>10116494</v>
      </c>
      <c r="Q918" t="inlineStr">
        <is>
          <t>KRW</t>
        </is>
      </c>
      <c r="R918" t="inlineStr">
        <is>
          <t>INV2607-00917</t>
        </is>
      </c>
      <c r="S918" t="inlineStr">
        <is>
          <t>※예시데이터</t>
        </is>
      </c>
    </row>
    <row r="919">
      <c r="A919" t="n">
        <v>1000</v>
      </c>
      <c r="B919" t="inlineStr">
        <is>
          <t>범용수지사업부</t>
        </is>
      </c>
      <c r="C919" t="inlineStr">
        <is>
          <t>국내영업2팀</t>
        </is>
      </c>
      <c r="D919" t="inlineStr">
        <is>
          <t>C10099</t>
        </is>
      </c>
      <c r="E919" t="inlineStr">
        <is>
          <t>한울몰드</t>
        </is>
      </c>
      <c r="F919" t="inlineStr">
        <is>
          <t>PP</t>
        </is>
      </c>
      <c r="G919" t="inlineStr">
        <is>
          <t>M-1101</t>
        </is>
      </c>
      <c r="H919" t="inlineStr">
        <is>
          <t>PP 범용사출 H110</t>
        </is>
      </c>
      <c r="I919" s="43" t="n">
        <v>46230</v>
      </c>
      <c r="J919" t="n">
        <v>202607</v>
      </c>
      <c r="K919" s="44" t="n">
        <v>2325</v>
      </c>
      <c r="L919" t="inlineStr">
        <is>
          <t>KG</t>
        </is>
      </c>
      <c r="M919" s="44" t="n">
        <v>3966913</v>
      </c>
      <c r="N919" s="44" t="n">
        <v>257849</v>
      </c>
      <c r="O919" t="n">
        <v>0</v>
      </c>
      <c r="P919" s="44" t="n">
        <v>3709064</v>
      </c>
      <c r="Q919" t="inlineStr">
        <is>
          <t>KRW</t>
        </is>
      </c>
      <c r="R919" t="inlineStr">
        <is>
          <t>INV2607-00918</t>
        </is>
      </c>
      <c r="S919" t="inlineStr">
        <is>
          <t>※예시데이터</t>
        </is>
      </c>
    </row>
    <row r="920">
      <c r="A920" t="n">
        <v>1000</v>
      </c>
      <c r="B920" t="inlineStr">
        <is>
          <t>EP사업부</t>
        </is>
      </c>
      <c r="C920" t="inlineStr">
        <is>
          <t>국내영업1팀</t>
        </is>
      </c>
      <c r="D920" t="inlineStr">
        <is>
          <t>C10120</t>
        </is>
      </c>
      <c r="E920" t="inlineStr">
        <is>
          <t>든솔케이스</t>
        </is>
      </c>
      <c r="F920" t="inlineStr">
        <is>
          <t>ABS</t>
        </is>
      </c>
      <c r="G920" t="inlineStr">
        <is>
          <t>M-2101</t>
        </is>
      </c>
      <c r="H920" t="inlineStr">
        <is>
          <t>ABS 범용 G300</t>
        </is>
      </c>
      <c r="I920" s="43" t="n">
        <v>46230</v>
      </c>
      <c r="J920" t="n">
        <v>202607</v>
      </c>
      <c r="K920" s="44" t="n">
        <v>2675</v>
      </c>
      <c r="L920" t="inlineStr">
        <is>
          <t>KG</t>
        </is>
      </c>
      <c r="M920" s="44" t="n">
        <v>7401361</v>
      </c>
      <c r="N920" s="44" t="n">
        <v>296054</v>
      </c>
      <c r="O920" t="n">
        <v>0</v>
      </c>
      <c r="P920" s="44" t="n">
        <v>7105307</v>
      </c>
      <c r="Q920" t="inlineStr">
        <is>
          <t>KRW</t>
        </is>
      </c>
      <c r="R920" t="inlineStr">
        <is>
          <t>INV2607-00919</t>
        </is>
      </c>
      <c r="S920" t="inlineStr">
        <is>
          <t>※예시데이터</t>
        </is>
      </c>
    </row>
    <row r="921">
      <c r="A921" t="n">
        <v>1000</v>
      </c>
      <c r="B921" t="inlineStr">
        <is>
          <t>EP사업부</t>
        </is>
      </c>
      <c r="C921" t="inlineStr">
        <is>
          <t>해외영업팀</t>
        </is>
      </c>
      <c r="D921" t="inlineStr">
        <is>
          <t>C10148</t>
        </is>
      </c>
      <c r="E921" t="inlineStr">
        <is>
          <t>Hanoi Molding (VN)</t>
        </is>
      </c>
      <c r="F921" t="inlineStr">
        <is>
          <t>ABS</t>
        </is>
      </c>
      <c r="G921" t="inlineStr">
        <is>
          <t>M-2101</t>
        </is>
      </c>
      <c r="H921" t="inlineStr">
        <is>
          <t>ABS 범용 G300</t>
        </is>
      </c>
      <c r="I921" s="43" t="n">
        <v>46230</v>
      </c>
      <c r="J921" t="n">
        <v>202607</v>
      </c>
      <c r="K921" s="44" t="n">
        <v>4075</v>
      </c>
      <c r="L921" t="inlineStr">
        <is>
          <t>KG</t>
        </is>
      </c>
      <c r="M921" s="44" t="n">
        <v>11274971</v>
      </c>
      <c r="N921" s="44" t="n">
        <v>1127497</v>
      </c>
      <c r="O921" t="n">
        <v>0</v>
      </c>
      <c r="P921" s="44" t="n">
        <v>10147474</v>
      </c>
      <c r="Q921" t="inlineStr">
        <is>
          <t>KRW</t>
        </is>
      </c>
      <c r="R921" t="inlineStr">
        <is>
          <t>INV2607-00920</t>
        </is>
      </c>
      <c r="S921" t="inlineStr">
        <is>
          <t>※예시데이터</t>
        </is>
      </c>
    </row>
    <row r="922">
      <c r="A922" t="n">
        <v>1000</v>
      </c>
      <c r="B922" t="inlineStr">
        <is>
          <t>범용수지사업부</t>
        </is>
      </c>
      <c r="C922" t="inlineStr">
        <is>
          <t>국내영업1팀</t>
        </is>
      </c>
      <c r="D922" t="inlineStr">
        <is>
          <t>C10008</t>
        </is>
      </c>
      <c r="E922" t="inlineStr">
        <is>
          <t>나래산업(주)</t>
        </is>
      </c>
      <c r="F922" t="inlineStr">
        <is>
          <t>PP</t>
        </is>
      </c>
      <c r="G922" t="inlineStr">
        <is>
          <t>M-1101</t>
        </is>
      </c>
      <c r="H922" t="inlineStr">
        <is>
          <t>PP 범용사출 H110</t>
        </is>
      </c>
      <c r="I922" s="43" t="n">
        <v>46231</v>
      </c>
      <c r="J922" t="n">
        <v>202607</v>
      </c>
      <c r="K922" t="n">
        <v>0</v>
      </c>
      <c r="L922" t="inlineStr">
        <is>
          <t>KG</t>
        </is>
      </c>
      <c r="M922" t="n">
        <v>0</v>
      </c>
      <c r="N922" t="n">
        <v>0</v>
      </c>
      <c r="O922" s="44" t="n">
        <v>3600000</v>
      </c>
      <c r="P922" s="44" t="n">
        <v>-3600000</v>
      </c>
      <c r="Q922" t="inlineStr">
        <is>
          <t>KRW</t>
        </is>
      </c>
      <c r="R922" t="inlineStr">
        <is>
          <t>INV2607-00921</t>
        </is>
      </c>
      <c r="S922" t="inlineStr">
        <is>
          <t>※예시데이터</t>
        </is>
      </c>
    </row>
    <row r="923">
      <c r="A923" t="n">
        <v>1000</v>
      </c>
      <c r="B923" t="inlineStr">
        <is>
          <t>범용수지사업부</t>
        </is>
      </c>
      <c r="C923" t="inlineStr">
        <is>
          <t>국내영업1팀</t>
        </is>
      </c>
      <c r="D923" t="inlineStr">
        <is>
          <t>C10001</t>
        </is>
      </c>
      <c r="E923" t="inlineStr">
        <is>
          <t>가온소재(주)</t>
        </is>
      </c>
      <c r="F923" t="inlineStr">
        <is>
          <t>PE</t>
        </is>
      </c>
      <c r="G923" t="inlineStr">
        <is>
          <t>M-1201</t>
        </is>
      </c>
      <c r="H923" t="inlineStr">
        <is>
          <t>HDPE 블로우 B500</t>
        </is>
      </c>
      <c r="I923" s="43" t="n">
        <v>46235</v>
      </c>
      <c r="J923" t="n">
        <v>202608</v>
      </c>
      <c r="K923" s="44" t="n">
        <v>5600</v>
      </c>
      <c r="L923" t="inlineStr">
        <is>
          <t>KG</t>
        </is>
      </c>
      <c r="M923" s="44" t="n">
        <v>8767015</v>
      </c>
      <c r="N923" s="44" t="n">
        <v>438351</v>
      </c>
      <c r="O923" t="n">
        <v>0</v>
      </c>
      <c r="P923" s="44" t="n">
        <v>8328664</v>
      </c>
      <c r="Q923" t="inlineStr">
        <is>
          <t>KRW</t>
        </is>
      </c>
      <c r="R923" t="inlineStr">
        <is>
          <t>INV2608-00922</t>
        </is>
      </c>
      <c r="S923" t="inlineStr">
        <is>
          <t>※예시데이터</t>
        </is>
      </c>
    </row>
    <row r="924">
      <c r="A924" t="n">
        <v>1000</v>
      </c>
      <c r="B924" t="inlineStr">
        <is>
          <t>범용수지사업부</t>
        </is>
      </c>
      <c r="C924" t="inlineStr">
        <is>
          <t>해외영업팀</t>
        </is>
      </c>
      <c r="D924" t="inlineStr">
        <is>
          <t>C10071</t>
        </is>
      </c>
      <c r="E924" t="inlineStr">
        <is>
          <t>큰별코리아</t>
        </is>
      </c>
      <c r="F924" t="inlineStr">
        <is>
          <t>PE</t>
        </is>
      </c>
      <c r="G924" t="inlineStr">
        <is>
          <t>M-1202</t>
        </is>
      </c>
      <c r="H924" t="inlineStr">
        <is>
          <t>LLDPE 필름 F120</t>
        </is>
      </c>
      <c r="I924" s="43" t="n">
        <v>46235</v>
      </c>
      <c r="J924" t="n">
        <v>202608</v>
      </c>
      <c r="K924" s="44" t="n">
        <v>10525</v>
      </c>
      <c r="L924" t="inlineStr">
        <is>
          <t>KG</t>
        </is>
      </c>
      <c r="M924" s="44" t="n">
        <v>17833019</v>
      </c>
      <c r="N924" s="44" t="n">
        <v>2229127</v>
      </c>
      <c r="O924" s="44" t="n">
        <v>356660</v>
      </c>
      <c r="P924" s="44" t="n">
        <v>15247232</v>
      </c>
      <c r="Q924" t="inlineStr">
        <is>
          <t>KRW</t>
        </is>
      </c>
      <c r="R924" t="inlineStr">
        <is>
          <t>INV2608-00923</t>
        </is>
      </c>
      <c r="S924" t="inlineStr">
        <is>
          <t>※예시데이터</t>
        </is>
      </c>
    </row>
    <row r="925">
      <c r="A925" t="n">
        <v>1000</v>
      </c>
      <c r="B925" t="inlineStr">
        <is>
          <t>EP사업부</t>
        </is>
      </c>
      <c r="C925" t="inlineStr">
        <is>
          <t>국내영업2팀</t>
        </is>
      </c>
      <c r="D925" t="inlineStr">
        <is>
          <t>C10085</t>
        </is>
      </c>
      <c r="E925" t="inlineStr">
        <is>
          <t>파란하이텍</t>
        </is>
      </c>
      <c r="F925" t="inlineStr">
        <is>
          <t>PC</t>
        </is>
      </c>
      <c r="G925" t="inlineStr">
        <is>
          <t>M-2201</t>
        </is>
      </c>
      <c r="H925" t="inlineStr">
        <is>
          <t>PC 일반 C100</t>
        </is>
      </c>
      <c r="I925" s="43" t="n">
        <v>46235</v>
      </c>
      <c r="J925" t="n">
        <v>202608</v>
      </c>
      <c r="K925" s="44" t="n">
        <v>1775</v>
      </c>
      <c r="L925" t="inlineStr">
        <is>
          <t>KG</t>
        </is>
      </c>
      <c r="M925" s="44" t="n">
        <v>7102865</v>
      </c>
      <c r="N925" s="44" t="n">
        <v>639258</v>
      </c>
      <c r="O925" t="n">
        <v>0</v>
      </c>
      <c r="P925" s="44" t="n">
        <v>6463607</v>
      </c>
      <c r="Q925" t="inlineStr">
        <is>
          <t>KRW</t>
        </is>
      </c>
      <c r="R925" t="inlineStr">
        <is>
          <t>INV2608-00924</t>
        </is>
      </c>
      <c r="S925" t="inlineStr">
        <is>
          <t>※예시데이터</t>
        </is>
      </c>
    </row>
    <row r="926">
      <c r="A926" t="n">
        <v>1000</v>
      </c>
      <c r="B926" t="inlineStr">
        <is>
          <t>EP사업부</t>
        </is>
      </c>
      <c r="C926" t="inlineStr">
        <is>
          <t>국내영업2팀</t>
        </is>
      </c>
      <c r="D926" t="inlineStr">
        <is>
          <t>C10022</t>
        </is>
      </c>
      <c r="E926" t="inlineStr">
        <is>
          <t>라온테크(주)</t>
        </is>
      </c>
      <c r="F926" t="inlineStr">
        <is>
          <t>ABS</t>
        </is>
      </c>
      <c r="G926" t="inlineStr">
        <is>
          <t>M-2102</t>
        </is>
      </c>
      <c r="H926" t="inlineStr">
        <is>
          <t>ABS 내열 HR500</t>
        </is>
      </c>
      <c r="I926" s="43" t="n">
        <v>46236</v>
      </c>
      <c r="J926" t="n">
        <v>202608</v>
      </c>
      <c r="K926" s="44" t="n">
        <v>5000</v>
      </c>
      <c r="L926" t="inlineStr">
        <is>
          <t>KG</t>
        </is>
      </c>
      <c r="M926" s="44" t="n">
        <v>15587987</v>
      </c>
      <c r="N926" s="44" t="n">
        <v>1714679</v>
      </c>
      <c r="O926" t="n">
        <v>0</v>
      </c>
      <c r="P926" s="44" t="n">
        <v>13873308</v>
      </c>
      <c r="Q926" t="inlineStr">
        <is>
          <t>KRW</t>
        </is>
      </c>
      <c r="R926" t="inlineStr">
        <is>
          <t>INV2608-00925</t>
        </is>
      </c>
      <c r="S926" t="inlineStr">
        <is>
          <t>※예시데이터</t>
        </is>
      </c>
    </row>
    <row r="927">
      <c r="A927" t="n">
        <v>1000</v>
      </c>
      <c r="B927" t="inlineStr">
        <is>
          <t>EP사업부</t>
        </is>
      </c>
      <c r="C927" t="inlineStr">
        <is>
          <t>국내영업1팀</t>
        </is>
      </c>
      <c r="D927" t="inlineStr">
        <is>
          <t>C10057</t>
        </is>
      </c>
      <c r="E927" t="inlineStr">
        <is>
          <t>자연엠텍</t>
        </is>
      </c>
      <c r="F927" t="inlineStr">
        <is>
          <t>PC</t>
        </is>
      </c>
      <c r="G927" t="inlineStr">
        <is>
          <t>M-2201</t>
        </is>
      </c>
      <c r="H927" t="inlineStr">
        <is>
          <t>PC 일반 C100</t>
        </is>
      </c>
      <c r="I927" s="43" t="n">
        <v>46236</v>
      </c>
      <c r="J927" t="n">
        <v>202608</v>
      </c>
      <c r="K927" s="44" t="n">
        <v>1675</v>
      </c>
      <c r="L927" t="inlineStr">
        <is>
          <t>KG</t>
        </is>
      </c>
      <c r="M927" s="44" t="n">
        <v>6702703</v>
      </c>
      <c r="N927" s="44" t="n">
        <v>234595</v>
      </c>
      <c r="O927" t="n">
        <v>0</v>
      </c>
      <c r="P927" s="44" t="n">
        <v>6468108</v>
      </c>
      <c r="Q927" t="inlineStr">
        <is>
          <t>KRW</t>
        </is>
      </c>
      <c r="R927" t="inlineStr">
        <is>
          <t>INV2608-00926</t>
        </is>
      </c>
      <c r="S927" t="inlineStr">
        <is>
          <t>※예시데이터</t>
        </is>
      </c>
    </row>
    <row r="928">
      <c r="A928" t="n">
        <v>1000</v>
      </c>
      <c r="B928" t="inlineStr">
        <is>
          <t>범용수지사업부</t>
        </is>
      </c>
      <c r="C928" t="inlineStr">
        <is>
          <t>국내영업1팀</t>
        </is>
      </c>
      <c r="D928" t="inlineStr">
        <is>
          <t>C10106</t>
        </is>
      </c>
      <c r="E928" t="inlineStr">
        <is>
          <t>온새미사출</t>
        </is>
      </c>
      <c r="F928" t="inlineStr">
        <is>
          <t>PP</t>
        </is>
      </c>
      <c r="G928" t="inlineStr">
        <is>
          <t>M-1101</t>
        </is>
      </c>
      <c r="H928" t="inlineStr">
        <is>
          <t>PP 범용사출 H110</t>
        </is>
      </c>
      <c r="I928" s="43" t="n">
        <v>46236</v>
      </c>
      <c r="J928" t="n">
        <v>202608</v>
      </c>
      <c r="K928" s="44" t="n">
        <v>5275</v>
      </c>
      <c r="L928" t="inlineStr">
        <is>
          <t>KG</t>
        </is>
      </c>
      <c r="M928" s="44" t="n">
        <v>9018079</v>
      </c>
      <c r="N928" s="44" t="n">
        <v>450904</v>
      </c>
      <c r="O928" t="n">
        <v>0</v>
      </c>
      <c r="P928" s="44" t="n">
        <v>8567175</v>
      </c>
      <c r="Q928" t="inlineStr">
        <is>
          <t>KRW</t>
        </is>
      </c>
      <c r="R928" t="inlineStr">
        <is>
          <t>INV2608-00927</t>
        </is>
      </c>
      <c r="S928" t="inlineStr">
        <is>
          <t>※예시데이터</t>
        </is>
      </c>
    </row>
    <row r="929">
      <c r="A929" t="n">
        <v>1000</v>
      </c>
      <c r="B929" t="inlineStr">
        <is>
          <t>EP사업부</t>
        </is>
      </c>
      <c r="C929" t="inlineStr">
        <is>
          <t>국내영업1팀</t>
        </is>
      </c>
      <c r="D929" t="inlineStr">
        <is>
          <t>C10120</t>
        </is>
      </c>
      <c r="E929" t="inlineStr">
        <is>
          <t>든솔케이스</t>
        </is>
      </c>
      <c r="F929" t="inlineStr">
        <is>
          <t>ABS</t>
        </is>
      </c>
      <c r="G929" t="inlineStr">
        <is>
          <t>M-2101</t>
        </is>
      </c>
      <c r="H929" t="inlineStr">
        <is>
          <t>ABS 범용 G300</t>
        </is>
      </c>
      <c r="I929" s="43" t="n">
        <v>46236</v>
      </c>
      <c r="J929" t="n">
        <v>202608</v>
      </c>
      <c r="K929" s="44" t="n">
        <v>1925</v>
      </c>
      <c r="L929" t="inlineStr">
        <is>
          <t>KG</t>
        </is>
      </c>
      <c r="M929" s="44" t="n">
        <v>5336793</v>
      </c>
      <c r="N929" s="44" t="n">
        <v>213472</v>
      </c>
      <c r="O929" t="n">
        <v>0</v>
      </c>
      <c r="P929" s="44" t="n">
        <v>5123321</v>
      </c>
      <c r="Q929" t="inlineStr">
        <is>
          <t>KRW</t>
        </is>
      </c>
      <c r="R929" t="inlineStr">
        <is>
          <t>INV2608-00928</t>
        </is>
      </c>
      <c r="S929" t="inlineStr">
        <is>
          <t>※예시데이터</t>
        </is>
      </c>
    </row>
    <row r="930">
      <c r="A930" t="n">
        <v>1000</v>
      </c>
      <c r="B930" t="inlineStr">
        <is>
          <t>EP사업부</t>
        </is>
      </c>
      <c r="C930" t="inlineStr">
        <is>
          <t>국내영업1팀</t>
        </is>
      </c>
      <c r="D930" t="inlineStr">
        <is>
          <t>C10057</t>
        </is>
      </c>
      <c r="E930" t="inlineStr">
        <is>
          <t>자연엠텍</t>
        </is>
      </c>
      <c r="F930" t="inlineStr">
        <is>
          <t>PC</t>
        </is>
      </c>
      <c r="G930" t="inlineStr">
        <is>
          <t>M-2201</t>
        </is>
      </c>
      <c r="H930" t="inlineStr">
        <is>
          <t>PC 일반 C100</t>
        </is>
      </c>
      <c r="I930" s="43" t="n">
        <v>46237</v>
      </c>
      <c r="J930" t="n">
        <v>202608</v>
      </c>
      <c r="K930" s="44" t="n">
        <v>1675</v>
      </c>
      <c r="L930" t="inlineStr">
        <is>
          <t>KG</t>
        </is>
      </c>
      <c r="M930" s="44" t="n">
        <v>6702703</v>
      </c>
      <c r="N930" s="44" t="n">
        <v>234595</v>
      </c>
      <c r="O930" t="n">
        <v>0</v>
      </c>
      <c r="P930" s="44" t="n">
        <v>6468108</v>
      </c>
      <c r="Q930" t="inlineStr">
        <is>
          <t>KRW</t>
        </is>
      </c>
      <c r="R930" t="inlineStr">
        <is>
          <t>INV2608-00929</t>
        </is>
      </c>
      <c r="S930" t="inlineStr">
        <is>
          <t>※예시데이터</t>
        </is>
      </c>
    </row>
    <row r="931">
      <c r="A931" t="n">
        <v>1000</v>
      </c>
      <c r="B931" t="inlineStr">
        <is>
          <t>EP사업부</t>
        </is>
      </c>
      <c r="C931" t="inlineStr">
        <is>
          <t>국내영업2팀</t>
        </is>
      </c>
      <c r="D931" t="inlineStr">
        <is>
          <t>C10085</t>
        </is>
      </c>
      <c r="E931" t="inlineStr">
        <is>
          <t>파란하이텍</t>
        </is>
      </c>
      <c r="F931" t="inlineStr">
        <is>
          <t>PC</t>
        </is>
      </c>
      <c r="G931" t="inlineStr">
        <is>
          <t>M-2202</t>
        </is>
      </c>
      <c r="H931" t="inlineStr">
        <is>
          <t>PC 난연 FR200</t>
        </is>
      </c>
      <c r="I931" s="43" t="n">
        <v>46237</v>
      </c>
      <c r="J931" t="n">
        <v>202608</v>
      </c>
      <c r="K931" s="44" t="n">
        <v>3975</v>
      </c>
      <c r="L931" t="inlineStr">
        <is>
          <t>KG</t>
        </is>
      </c>
      <c r="M931" s="44" t="n">
        <v>17741771</v>
      </c>
      <c r="N931" s="44" t="n">
        <v>1596759</v>
      </c>
      <c r="O931" t="n">
        <v>0</v>
      </c>
      <c r="P931" s="44" t="n">
        <v>16145012</v>
      </c>
      <c r="Q931" t="inlineStr">
        <is>
          <t>KRW</t>
        </is>
      </c>
      <c r="R931" t="inlineStr">
        <is>
          <t>INV2608-00930</t>
        </is>
      </c>
      <c r="S931" t="inlineStr">
        <is>
          <t>※예시데이터</t>
        </is>
      </c>
    </row>
    <row r="932">
      <c r="A932" t="n">
        <v>1000</v>
      </c>
      <c r="B932" t="inlineStr">
        <is>
          <t>EP사업부</t>
        </is>
      </c>
      <c r="C932" t="inlineStr">
        <is>
          <t>국내영업1팀</t>
        </is>
      </c>
      <c r="D932" t="inlineStr">
        <is>
          <t>C10134</t>
        </is>
      </c>
      <c r="E932" t="inlineStr">
        <is>
          <t>별하전자(주)</t>
        </is>
      </c>
      <c r="F932" t="inlineStr">
        <is>
          <t>PC</t>
        </is>
      </c>
      <c r="G932" t="inlineStr">
        <is>
          <t>M-2202</t>
        </is>
      </c>
      <c r="H932" t="inlineStr">
        <is>
          <t>PC 난연 FR200</t>
        </is>
      </c>
      <c r="I932" s="43" t="n">
        <v>46237</v>
      </c>
      <c r="J932" t="n">
        <v>202608</v>
      </c>
      <c r="K932" s="44" t="n">
        <v>1675</v>
      </c>
      <c r="L932" t="inlineStr">
        <is>
          <t>KG</t>
        </is>
      </c>
      <c r="M932" s="44" t="n">
        <v>7476092</v>
      </c>
      <c r="N932" s="44" t="n">
        <v>224283</v>
      </c>
      <c r="O932" t="n">
        <v>0</v>
      </c>
      <c r="P932" s="44" t="n">
        <v>7251809</v>
      </c>
      <c r="Q932" t="inlineStr">
        <is>
          <t>KRW</t>
        </is>
      </c>
      <c r="R932" t="inlineStr">
        <is>
          <t>INV2608-00931</t>
        </is>
      </c>
      <c r="S932" t="inlineStr">
        <is>
          <t>※예시데이터</t>
        </is>
      </c>
    </row>
    <row r="933">
      <c r="A933" t="n">
        <v>1000</v>
      </c>
      <c r="B933" t="inlineStr">
        <is>
          <t>범용수지사업부</t>
        </is>
      </c>
      <c r="C933" t="inlineStr">
        <is>
          <t>국내영업2팀</t>
        </is>
      </c>
      <c r="D933" t="inlineStr">
        <is>
          <t>C10099</t>
        </is>
      </c>
      <c r="E933" t="inlineStr">
        <is>
          <t>한울몰드</t>
        </is>
      </c>
      <c r="F933" t="inlineStr">
        <is>
          <t>PP</t>
        </is>
      </c>
      <c r="G933" t="inlineStr">
        <is>
          <t>M-1101</t>
        </is>
      </c>
      <c r="H933" t="inlineStr">
        <is>
          <t>PP 범용사출 H110</t>
        </is>
      </c>
      <c r="I933" s="43" t="n">
        <v>46238</v>
      </c>
      <c r="J933" t="n">
        <v>202608</v>
      </c>
      <c r="K933" s="44" t="n">
        <v>1500</v>
      </c>
      <c r="L933" t="inlineStr">
        <is>
          <t>KG</t>
        </is>
      </c>
      <c r="M933" s="44" t="n">
        <v>2564383</v>
      </c>
      <c r="N933" s="44" t="n">
        <v>166685</v>
      </c>
      <c r="O933" t="n">
        <v>0</v>
      </c>
      <c r="P933" s="44" t="n">
        <v>2397698</v>
      </c>
      <c r="Q933" t="inlineStr">
        <is>
          <t>KRW</t>
        </is>
      </c>
      <c r="R933" t="inlineStr">
        <is>
          <t>INV2608-00932</t>
        </is>
      </c>
      <c r="S933" t="inlineStr">
        <is>
          <t>※예시데이터</t>
        </is>
      </c>
    </row>
    <row r="934">
      <c r="A934" t="n">
        <v>1000</v>
      </c>
      <c r="B934" t="inlineStr">
        <is>
          <t>범용수지사업부</t>
        </is>
      </c>
      <c r="C934" t="inlineStr">
        <is>
          <t>국내영업1팀</t>
        </is>
      </c>
      <c r="D934" t="inlineStr">
        <is>
          <t>C10001</t>
        </is>
      </c>
      <c r="E934" t="inlineStr">
        <is>
          <t>가온소재(주)</t>
        </is>
      </c>
      <c r="F934" t="inlineStr">
        <is>
          <t>PP</t>
        </is>
      </c>
      <c r="G934" t="inlineStr">
        <is>
          <t>M-1103</t>
        </is>
      </c>
      <c r="H934" t="inlineStr">
        <is>
          <t>PP 투명 R330</t>
        </is>
      </c>
      <c r="I934" s="43" t="n">
        <v>46239</v>
      </c>
      <c r="J934" t="n">
        <v>202608</v>
      </c>
      <c r="K934" s="44" t="n">
        <v>4050</v>
      </c>
      <c r="L934" t="inlineStr">
        <is>
          <t>KG</t>
        </is>
      </c>
      <c r="M934" s="44" t="n">
        <v>8140750</v>
      </c>
      <c r="N934" s="44" t="n">
        <v>407037</v>
      </c>
      <c r="O934" t="n">
        <v>0</v>
      </c>
      <c r="P934" s="44" t="n">
        <v>7733713</v>
      </c>
      <c r="Q934" t="inlineStr">
        <is>
          <t>KRW</t>
        </is>
      </c>
      <c r="R934" t="inlineStr">
        <is>
          <t>INV2608-00933</t>
        </is>
      </c>
      <c r="S934" t="inlineStr">
        <is>
          <t>※예시데이터</t>
        </is>
      </c>
    </row>
    <row r="935">
      <c r="A935" t="n">
        <v>1000</v>
      </c>
      <c r="B935" t="inlineStr">
        <is>
          <t>범용수지사업부</t>
        </is>
      </c>
      <c r="C935" t="inlineStr">
        <is>
          <t>국내영업2팀</t>
        </is>
      </c>
      <c r="D935" t="inlineStr">
        <is>
          <t>C10127</t>
        </is>
      </c>
      <c r="E935" t="inlineStr">
        <is>
          <t>미르패키징</t>
        </is>
      </c>
      <c r="F935" t="inlineStr">
        <is>
          <t>PP</t>
        </is>
      </c>
      <c r="G935" t="inlineStr">
        <is>
          <t>M-1101</t>
        </is>
      </c>
      <c r="H935" t="inlineStr">
        <is>
          <t>PP 범용사출 H110</t>
        </is>
      </c>
      <c r="I935" s="43" t="n">
        <v>46239</v>
      </c>
      <c r="J935" t="n">
        <v>202608</v>
      </c>
      <c r="K935" s="44" t="n">
        <v>4100</v>
      </c>
      <c r="L935" t="inlineStr">
        <is>
          <t>KG</t>
        </is>
      </c>
      <c r="M935" s="44" t="n">
        <v>7009313</v>
      </c>
      <c r="N935" s="44" t="n">
        <v>595792</v>
      </c>
      <c r="O935" t="n">
        <v>0</v>
      </c>
      <c r="P935" s="44" t="n">
        <v>6413521</v>
      </c>
      <c r="Q935" t="inlineStr">
        <is>
          <t>KRW</t>
        </is>
      </c>
      <c r="R935" t="inlineStr">
        <is>
          <t>INV2608-00934</t>
        </is>
      </c>
      <c r="S935" t="inlineStr">
        <is>
          <t>※예시데이터</t>
        </is>
      </c>
    </row>
    <row r="936">
      <c r="A936" t="n">
        <v>1000</v>
      </c>
      <c r="B936" t="inlineStr">
        <is>
          <t>EP사업부</t>
        </is>
      </c>
      <c r="C936" t="inlineStr">
        <is>
          <t>국내영업1팀</t>
        </is>
      </c>
      <c r="D936" t="inlineStr">
        <is>
          <t>C10120</t>
        </is>
      </c>
      <c r="E936" t="inlineStr">
        <is>
          <t>든솔케이스</t>
        </is>
      </c>
      <c r="F936" t="inlineStr">
        <is>
          <t>ABS</t>
        </is>
      </c>
      <c r="G936" t="inlineStr">
        <is>
          <t>M-2101</t>
        </is>
      </c>
      <c r="H936" t="inlineStr">
        <is>
          <t>ABS 범용 G300</t>
        </is>
      </c>
      <c r="I936" s="43" t="n">
        <v>46240</v>
      </c>
      <c r="J936" t="n">
        <v>202608</v>
      </c>
      <c r="K936" s="44" t="n">
        <v>1925</v>
      </c>
      <c r="L936" t="inlineStr">
        <is>
          <t>KG</t>
        </is>
      </c>
      <c r="M936" s="44" t="n">
        <v>5336793</v>
      </c>
      <c r="N936" s="44" t="n">
        <v>213472</v>
      </c>
      <c r="O936" t="n">
        <v>0</v>
      </c>
      <c r="P936" s="44" t="n">
        <v>5123321</v>
      </c>
      <c r="Q936" t="inlineStr">
        <is>
          <t>KRW</t>
        </is>
      </c>
      <c r="R936" t="inlineStr">
        <is>
          <t>INV2608-00935</t>
        </is>
      </c>
      <c r="S936" t="inlineStr">
        <is>
          <t>※예시데이터</t>
        </is>
      </c>
    </row>
    <row r="937">
      <c r="A937" t="n">
        <v>1000</v>
      </c>
      <c r="B937" t="inlineStr">
        <is>
          <t>범용수지사업부</t>
        </is>
      </c>
      <c r="C937" t="inlineStr">
        <is>
          <t>국내영업2팀</t>
        </is>
      </c>
      <c r="D937" t="inlineStr">
        <is>
          <t>C10127</t>
        </is>
      </c>
      <c r="E937" t="inlineStr">
        <is>
          <t>미르패키징</t>
        </is>
      </c>
      <c r="F937" t="inlineStr">
        <is>
          <t>PE</t>
        </is>
      </c>
      <c r="G937" t="inlineStr">
        <is>
          <t>M-1201</t>
        </is>
      </c>
      <c r="H937" t="inlineStr">
        <is>
          <t>HDPE 블로우 B500</t>
        </is>
      </c>
      <c r="I937" s="43" t="n">
        <v>46240</v>
      </c>
      <c r="J937" t="n">
        <v>202608</v>
      </c>
      <c r="K937" s="44" t="n">
        <v>5625</v>
      </c>
      <c r="L937" t="inlineStr">
        <is>
          <t>KG</t>
        </is>
      </c>
      <c r="M937" s="44" t="n">
        <v>8806154</v>
      </c>
      <c r="N937" s="44" t="n">
        <v>748523</v>
      </c>
      <c r="O937" t="n">
        <v>0</v>
      </c>
      <c r="P937" s="44" t="n">
        <v>8057631</v>
      </c>
      <c r="Q937" t="inlineStr">
        <is>
          <t>KRW</t>
        </is>
      </c>
      <c r="R937" t="inlineStr">
        <is>
          <t>INV2608-00936</t>
        </is>
      </c>
      <c r="S937" t="inlineStr">
        <is>
          <t>※예시데이터</t>
        </is>
      </c>
    </row>
    <row r="938">
      <c r="A938" t="n">
        <v>1000</v>
      </c>
      <c r="B938" t="inlineStr">
        <is>
          <t>범용수지사업부</t>
        </is>
      </c>
      <c r="C938" t="inlineStr">
        <is>
          <t>국내영업1팀</t>
        </is>
      </c>
      <c r="D938" t="inlineStr">
        <is>
          <t>C10008</t>
        </is>
      </c>
      <c r="E938" t="inlineStr">
        <is>
          <t>나래산업(주)</t>
        </is>
      </c>
      <c r="F938" t="inlineStr">
        <is>
          <t>PP</t>
        </is>
      </c>
      <c r="G938" t="inlineStr">
        <is>
          <t>M-1101</t>
        </is>
      </c>
      <c r="H938" t="inlineStr">
        <is>
          <t>PP 범용사출 H110</t>
        </is>
      </c>
      <c r="I938" s="43" t="n">
        <v>46241</v>
      </c>
      <c r="J938" t="n">
        <v>202608</v>
      </c>
      <c r="K938" s="44" t="n">
        <v>26325</v>
      </c>
      <c r="L938" t="inlineStr">
        <is>
          <t>KG</t>
        </is>
      </c>
      <c r="M938" s="44" t="n">
        <v>45004917</v>
      </c>
      <c r="N938" s="44" t="n">
        <v>4725516</v>
      </c>
      <c r="O938" s="44" t="n">
        <v>450049</v>
      </c>
      <c r="P938" s="44" t="n">
        <v>39829352</v>
      </c>
      <c r="Q938" t="inlineStr">
        <is>
          <t>KRW</t>
        </is>
      </c>
      <c r="R938" t="inlineStr">
        <is>
          <t>INV2608-00937</t>
        </is>
      </c>
      <c r="S938" t="inlineStr">
        <is>
          <t>※예시데이터</t>
        </is>
      </c>
    </row>
    <row r="939">
      <c r="A939" t="n">
        <v>1000</v>
      </c>
      <c r="B939" t="inlineStr">
        <is>
          <t>EP사업부</t>
        </is>
      </c>
      <c r="C939" t="inlineStr">
        <is>
          <t>국내영업2팀</t>
        </is>
      </c>
      <c r="D939" t="inlineStr">
        <is>
          <t>C10015</t>
        </is>
      </c>
      <c r="E939" t="inlineStr">
        <is>
          <t>다솜케미칼</t>
        </is>
      </c>
      <c r="F939" t="inlineStr">
        <is>
          <t>PC</t>
        </is>
      </c>
      <c r="G939" t="inlineStr">
        <is>
          <t>M-2202</t>
        </is>
      </c>
      <c r="H939" t="inlineStr">
        <is>
          <t>PC 난연 FR200</t>
        </is>
      </c>
      <c r="I939" s="43" t="n">
        <v>46242</v>
      </c>
      <c r="J939" t="n">
        <v>202608</v>
      </c>
      <c r="K939" s="44" t="n">
        <v>2950</v>
      </c>
      <c r="L939" t="inlineStr">
        <is>
          <t>KG</t>
        </is>
      </c>
      <c r="M939" s="44" t="n">
        <v>13166849</v>
      </c>
      <c r="N939" s="44" t="n">
        <v>658342</v>
      </c>
      <c r="O939" t="n">
        <v>0</v>
      </c>
      <c r="P939" s="44" t="n">
        <v>12508507</v>
      </c>
      <c r="Q939" t="inlineStr">
        <is>
          <t>KRW</t>
        </is>
      </c>
      <c r="R939" t="inlineStr">
        <is>
          <t>INV2608-00938</t>
        </is>
      </c>
      <c r="S939" t="inlineStr">
        <is>
          <t>※예시데이터</t>
        </is>
      </c>
    </row>
    <row r="940">
      <c r="A940" t="n">
        <v>1000</v>
      </c>
      <c r="B940" t="inlineStr">
        <is>
          <t>EP사업부</t>
        </is>
      </c>
      <c r="C940" t="inlineStr">
        <is>
          <t>국내영업1팀</t>
        </is>
      </c>
      <c r="D940" t="inlineStr">
        <is>
          <t>C10078</t>
        </is>
      </c>
      <c r="E940" t="inlineStr">
        <is>
          <t>토담정공(주)</t>
        </is>
      </c>
      <c r="F940" t="inlineStr">
        <is>
          <t>ABS</t>
        </is>
      </c>
      <c r="G940" t="inlineStr">
        <is>
          <t>M-2102</t>
        </is>
      </c>
      <c r="H940" t="inlineStr">
        <is>
          <t>ABS 내열 HR500</t>
        </is>
      </c>
      <c r="I940" s="43" t="n">
        <v>46242</v>
      </c>
      <c r="J940" t="n">
        <v>202608</v>
      </c>
      <c r="K940" s="44" t="n">
        <v>2050</v>
      </c>
      <c r="L940" t="inlineStr">
        <is>
          <t>KG</t>
        </is>
      </c>
      <c r="M940" s="44" t="n">
        <v>6391074</v>
      </c>
      <c r="N940" s="44" t="n">
        <v>191732</v>
      </c>
      <c r="O940" t="n">
        <v>0</v>
      </c>
      <c r="P940" s="44" t="n">
        <v>6199342</v>
      </c>
      <c r="Q940" t="inlineStr">
        <is>
          <t>KRW</t>
        </is>
      </c>
      <c r="R940" t="inlineStr">
        <is>
          <t>INV2608-00939</t>
        </is>
      </c>
      <c r="S940" t="inlineStr">
        <is>
          <t>※예시데이터</t>
        </is>
      </c>
    </row>
    <row r="941">
      <c r="A941" t="n">
        <v>1000</v>
      </c>
      <c r="B941" t="inlineStr">
        <is>
          <t>EP사업부</t>
        </is>
      </c>
      <c r="C941" t="inlineStr">
        <is>
          <t>국내영업2팀</t>
        </is>
      </c>
      <c r="D941" t="inlineStr">
        <is>
          <t>C10113</t>
        </is>
      </c>
      <c r="E941" t="inlineStr">
        <is>
          <t>누리오토파츠</t>
        </is>
      </c>
      <c r="F941" t="inlineStr">
        <is>
          <t>ABS</t>
        </is>
      </c>
      <c r="G941" t="inlineStr">
        <is>
          <t>M-2101</t>
        </is>
      </c>
      <c r="H941" t="inlineStr">
        <is>
          <t>ABS 범용 G300</t>
        </is>
      </c>
      <c r="I941" s="43" t="n">
        <v>46242</v>
      </c>
      <c r="J941" t="n">
        <v>202608</v>
      </c>
      <c r="K941" s="44" t="n">
        <v>5150</v>
      </c>
      <c r="L941" t="inlineStr">
        <is>
          <t>KG</t>
        </is>
      </c>
      <c r="M941" s="44" t="n">
        <v>14277654</v>
      </c>
      <c r="N941" s="44" t="n">
        <v>1284989</v>
      </c>
      <c r="O941" s="44" t="n">
        <v>142777</v>
      </c>
      <c r="P941" s="44" t="n">
        <v>12849888</v>
      </c>
      <c r="Q941" t="inlineStr">
        <is>
          <t>KRW</t>
        </is>
      </c>
      <c r="R941" t="inlineStr">
        <is>
          <t>INV2608-00940</t>
        </is>
      </c>
      <c r="S941" t="inlineStr">
        <is>
          <t>※예시데이터</t>
        </is>
      </c>
    </row>
    <row r="942">
      <c r="A942" t="n">
        <v>1000</v>
      </c>
      <c r="B942" t="inlineStr">
        <is>
          <t>범용수지사업부</t>
        </is>
      </c>
      <c r="C942" t="inlineStr">
        <is>
          <t>해외영업팀</t>
        </is>
      </c>
      <c r="D942" t="inlineStr">
        <is>
          <t>C10141</t>
        </is>
      </c>
      <c r="E942" t="inlineStr">
        <is>
          <t>Sinar Plastik (ID)</t>
        </is>
      </c>
      <c r="F942" t="inlineStr">
        <is>
          <t>PP</t>
        </is>
      </c>
      <c r="G942" t="inlineStr">
        <is>
          <t>M-1102</t>
        </is>
      </c>
      <c r="H942" t="inlineStr">
        <is>
          <t>PP 고강성 H220</t>
        </is>
      </c>
      <c r="I942" s="43" t="n">
        <v>46242</v>
      </c>
      <c r="J942" t="n">
        <v>202608</v>
      </c>
      <c r="K942" s="44" t="n">
        <v>11875</v>
      </c>
      <c r="L942" t="inlineStr">
        <is>
          <t>KG</t>
        </is>
      </c>
      <c r="M942" s="44" t="n">
        <v>22393019</v>
      </c>
      <c r="N942" s="44" t="n">
        <v>3135023</v>
      </c>
      <c r="O942" t="n">
        <v>0</v>
      </c>
      <c r="P942" s="44" t="n">
        <v>19257996</v>
      </c>
      <c r="Q942" t="inlineStr">
        <is>
          <t>KRW</t>
        </is>
      </c>
      <c r="R942" t="inlineStr">
        <is>
          <t>INV2608-00941</t>
        </is>
      </c>
      <c r="S942" t="inlineStr">
        <is>
          <t>※예시데이터</t>
        </is>
      </c>
    </row>
    <row r="943">
      <c r="A943" t="n">
        <v>1000</v>
      </c>
      <c r="B943" t="inlineStr">
        <is>
          <t>EP사업부</t>
        </is>
      </c>
      <c r="C943" t="inlineStr">
        <is>
          <t>국내영업2팀</t>
        </is>
      </c>
      <c r="D943" t="inlineStr">
        <is>
          <t>C10022</t>
        </is>
      </c>
      <c r="E943" t="inlineStr">
        <is>
          <t>라온테크(주)</t>
        </is>
      </c>
      <c r="F943" t="inlineStr">
        <is>
          <t>ABS</t>
        </is>
      </c>
      <c r="G943" t="inlineStr">
        <is>
          <t>M-2101</t>
        </is>
      </c>
      <c r="H943" t="inlineStr">
        <is>
          <t>ABS 범용 G300</t>
        </is>
      </c>
      <c r="I943" s="43" t="n">
        <v>46243</v>
      </c>
      <c r="J943" t="n">
        <v>202608</v>
      </c>
      <c r="K943" s="44" t="n">
        <v>2900</v>
      </c>
      <c r="L943" t="inlineStr">
        <is>
          <t>KG</t>
        </is>
      </c>
      <c r="M943" s="44" t="n">
        <v>8039844</v>
      </c>
      <c r="N943" s="44" t="n">
        <v>884383</v>
      </c>
      <c r="O943" t="n">
        <v>0</v>
      </c>
      <c r="P943" s="44" t="n">
        <v>7155461</v>
      </c>
      <c r="Q943" t="inlineStr">
        <is>
          <t>KRW</t>
        </is>
      </c>
      <c r="R943" t="inlineStr">
        <is>
          <t>INV2608-00942</t>
        </is>
      </c>
      <c r="S943" t="inlineStr">
        <is>
          <t>※예시데이터</t>
        </is>
      </c>
    </row>
    <row r="944">
      <c r="A944" t="n">
        <v>1000</v>
      </c>
      <c r="B944" t="inlineStr">
        <is>
          <t>EP사업부</t>
        </is>
      </c>
      <c r="C944" t="inlineStr">
        <is>
          <t>국내영업1팀</t>
        </is>
      </c>
      <c r="D944" t="inlineStr">
        <is>
          <t>C10029</t>
        </is>
      </c>
      <c r="E944" t="inlineStr">
        <is>
          <t>마루정밀</t>
        </is>
      </c>
      <c r="F944" t="inlineStr">
        <is>
          <t>PC</t>
        </is>
      </c>
      <c r="G944" t="inlineStr">
        <is>
          <t>M-2201</t>
        </is>
      </c>
      <c r="H944" t="inlineStr">
        <is>
          <t>PC 일반 C100</t>
        </is>
      </c>
      <c r="I944" s="43" t="n">
        <v>46243</v>
      </c>
      <c r="J944" t="n">
        <v>202608</v>
      </c>
      <c r="K944" s="44" t="n">
        <v>5075</v>
      </c>
      <c r="L944" t="inlineStr">
        <is>
          <t>KG</t>
        </is>
      </c>
      <c r="M944" s="44" t="n">
        <v>20308191</v>
      </c>
      <c r="N944" s="44" t="n">
        <v>710787</v>
      </c>
      <c r="O944" t="n">
        <v>0</v>
      </c>
      <c r="P944" s="44" t="n">
        <v>19597404</v>
      </c>
      <c r="Q944" t="inlineStr">
        <is>
          <t>KRW</t>
        </is>
      </c>
      <c r="R944" t="inlineStr">
        <is>
          <t>INV2608-00943</t>
        </is>
      </c>
      <c r="S944" t="inlineStr">
        <is>
          <t>※예시데이터</t>
        </is>
      </c>
    </row>
    <row r="945">
      <c r="A945" t="n">
        <v>1000</v>
      </c>
      <c r="B945" t="inlineStr">
        <is>
          <t>범용수지사업부</t>
        </is>
      </c>
      <c r="C945" t="inlineStr">
        <is>
          <t>국내영업1팀</t>
        </is>
      </c>
      <c r="D945" t="inlineStr">
        <is>
          <t>C10043</t>
        </is>
      </c>
      <c r="E945" t="inlineStr">
        <is>
          <t>새봄플라스틱</t>
        </is>
      </c>
      <c r="F945" t="inlineStr">
        <is>
          <t>PP</t>
        </is>
      </c>
      <c r="G945" t="inlineStr">
        <is>
          <t>M-1103</t>
        </is>
      </c>
      <c r="H945" t="inlineStr">
        <is>
          <t>PP 투명 R330</t>
        </is>
      </c>
      <c r="I945" s="43" t="n">
        <v>46243</v>
      </c>
      <c r="J945" t="n">
        <v>202608</v>
      </c>
      <c r="K945" s="44" t="n">
        <v>1100</v>
      </c>
      <c r="L945" t="inlineStr">
        <is>
          <t>KG</t>
        </is>
      </c>
      <c r="M945" s="44" t="n">
        <v>2211068</v>
      </c>
      <c r="N945" s="44" t="n">
        <v>132664</v>
      </c>
      <c r="O945" t="n">
        <v>0</v>
      </c>
      <c r="P945" s="44" t="n">
        <v>2078404</v>
      </c>
      <c r="Q945" t="inlineStr">
        <is>
          <t>KRW</t>
        </is>
      </c>
      <c r="R945" t="inlineStr">
        <is>
          <t>INV2608-00944</t>
        </is>
      </c>
      <c r="S945" t="inlineStr">
        <is>
          <t>※예시데이터</t>
        </is>
      </c>
    </row>
    <row r="946">
      <c r="A946" t="n">
        <v>1000</v>
      </c>
      <c r="B946" t="inlineStr">
        <is>
          <t>EP사업부</t>
        </is>
      </c>
      <c r="C946" t="inlineStr">
        <is>
          <t>국내영업1팀</t>
        </is>
      </c>
      <c r="D946" t="inlineStr">
        <is>
          <t>C10043</t>
        </is>
      </c>
      <c r="E946" t="inlineStr">
        <is>
          <t>새봄플라스틱</t>
        </is>
      </c>
      <c r="F946" t="inlineStr">
        <is>
          <t>ABS</t>
        </is>
      </c>
      <c r="G946" t="inlineStr">
        <is>
          <t>M-2101</t>
        </is>
      </c>
      <c r="H946" t="inlineStr">
        <is>
          <t>ABS 범용 G300</t>
        </is>
      </c>
      <c r="I946" s="43" t="n">
        <v>46243</v>
      </c>
      <c r="J946" t="n">
        <v>202608</v>
      </c>
      <c r="K946" s="44" t="n">
        <v>1975</v>
      </c>
      <c r="L946" t="inlineStr">
        <is>
          <t>KG</t>
        </is>
      </c>
      <c r="M946" s="44" t="n">
        <v>5475411</v>
      </c>
      <c r="N946" s="44" t="n">
        <v>328525</v>
      </c>
      <c r="O946" t="n">
        <v>0</v>
      </c>
      <c r="P946" s="44" t="n">
        <v>5146886</v>
      </c>
      <c r="Q946" t="inlineStr">
        <is>
          <t>KRW</t>
        </is>
      </c>
      <c r="R946" t="inlineStr">
        <is>
          <t>INV2608-00945</t>
        </is>
      </c>
      <c r="S946" t="inlineStr">
        <is>
          <t>※예시데이터</t>
        </is>
      </c>
    </row>
    <row r="947">
      <c r="A947" t="n">
        <v>1000</v>
      </c>
      <c r="B947" t="inlineStr">
        <is>
          <t>범용수지사업부</t>
        </is>
      </c>
      <c r="C947" t="inlineStr">
        <is>
          <t>국내영업2팀</t>
        </is>
      </c>
      <c r="D947" t="inlineStr">
        <is>
          <t>C10050</t>
        </is>
      </c>
      <c r="E947" t="inlineStr">
        <is>
          <t>아름화학(주)</t>
        </is>
      </c>
      <c r="F947" t="inlineStr">
        <is>
          <t>PE</t>
        </is>
      </c>
      <c r="G947" t="inlineStr">
        <is>
          <t>M-1201</t>
        </is>
      </c>
      <c r="H947" t="inlineStr">
        <is>
          <t>HDPE 블로우 B500</t>
        </is>
      </c>
      <c r="I947" s="43" t="n">
        <v>46245</v>
      </c>
      <c r="J947" t="n">
        <v>202608</v>
      </c>
      <c r="K947" s="44" t="n">
        <v>4375</v>
      </c>
      <c r="L947" t="inlineStr">
        <is>
          <t>KG</t>
        </is>
      </c>
      <c r="M947" s="44" t="n">
        <v>6849231</v>
      </c>
      <c r="N947" s="44" t="n">
        <v>719169</v>
      </c>
      <c r="O947" s="44" t="n">
        <v>68492</v>
      </c>
      <c r="P947" s="44" t="n">
        <v>6061570</v>
      </c>
      <c r="Q947" t="inlineStr">
        <is>
          <t>KRW</t>
        </is>
      </c>
      <c r="R947" t="inlineStr">
        <is>
          <t>INV2608-00946</t>
        </is>
      </c>
      <c r="S947" t="inlineStr">
        <is>
          <t>※예시데이터</t>
        </is>
      </c>
    </row>
    <row r="948">
      <c r="A948" t="n">
        <v>1000</v>
      </c>
      <c r="B948" t="inlineStr">
        <is>
          <t>EP사업부</t>
        </is>
      </c>
      <c r="C948" t="inlineStr">
        <is>
          <t>국내영업2팀</t>
        </is>
      </c>
      <c r="D948" t="inlineStr">
        <is>
          <t>C10015</t>
        </is>
      </c>
      <c r="E948" t="inlineStr">
        <is>
          <t>다솜케미칼</t>
        </is>
      </c>
      <c r="F948" t="inlineStr">
        <is>
          <t>PC</t>
        </is>
      </c>
      <c r="G948" t="inlineStr">
        <is>
          <t>M-2201</t>
        </is>
      </c>
      <c r="H948" t="inlineStr">
        <is>
          <t>PC 일반 C100</t>
        </is>
      </c>
      <c r="I948" s="43" t="n">
        <v>46246</v>
      </c>
      <c r="J948" t="n">
        <v>202608</v>
      </c>
      <c r="K948" s="44" t="n">
        <v>4025</v>
      </c>
      <c r="L948" t="inlineStr">
        <is>
          <t>KG</t>
        </is>
      </c>
      <c r="M948" s="44" t="n">
        <v>16106496</v>
      </c>
      <c r="N948" s="44" t="n">
        <v>805325</v>
      </c>
      <c r="O948" t="n">
        <v>0</v>
      </c>
      <c r="P948" s="44" t="n">
        <v>15301171</v>
      </c>
      <c r="Q948" t="inlineStr">
        <is>
          <t>KRW</t>
        </is>
      </c>
      <c r="R948" t="inlineStr">
        <is>
          <t>INV2608-00947</t>
        </is>
      </c>
      <c r="S948" t="inlineStr">
        <is>
          <t>※예시데이터</t>
        </is>
      </c>
    </row>
    <row r="949">
      <c r="A949" t="n">
        <v>1000</v>
      </c>
      <c r="B949" t="inlineStr">
        <is>
          <t>EP사업부</t>
        </is>
      </c>
      <c r="C949" t="inlineStr">
        <is>
          <t>국내영업1팀</t>
        </is>
      </c>
      <c r="D949" t="inlineStr">
        <is>
          <t>C10057</t>
        </is>
      </c>
      <c r="E949" t="inlineStr">
        <is>
          <t>자연엠텍</t>
        </is>
      </c>
      <c r="F949" t="inlineStr">
        <is>
          <t>ABS</t>
        </is>
      </c>
      <c r="G949" t="inlineStr">
        <is>
          <t>M-2101</t>
        </is>
      </c>
      <c r="H949" t="inlineStr">
        <is>
          <t>ABS 범용 G300</t>
        </is>
      </c>
      <c r="I949" s="43" t="n">
        <v>46246</v>
      </c>
      <c r="J949" t="n">
        <v>202608</v>
      </c>
      <c r="K949" s="44" t="n">
        <v>1925</v>
      </c>
      <c r="L949" t="inlineStr">
        <is>
          <t>KG</t>
        </is>
      </c>
      <c r="M949" s="44" t="n">
        <v>5336793</v>
      </c>
      <c r="N949" s="44" t="n">
        <v>186788</v>
      </c>
      <c r="O949" t="n">
        <v>0</v>
      </c>
      <c r="P949" s="44" t="n">
        <v>5150005</v>
      </c>
      <c r="Q949" t="inlineStr">
        <is>
          <t>KRW</t>
        </is>
      </c>
      <c r="R949" t="inlineStr">
        <is>
          <t>INV2608-00948</t>
        </is>
      </c>
      <c r="S949" t="inlineStr">
        <is>
          <t>※예시데이터</t>
        </is>
      </c>
    </row>
    <row r="950">
      <c r="A950" t="n">
        <v>1000</v>
      </c>
      <c r="B950" t="inlineStr">
        <is>
          <t>EP사업부</t>
        </is>
      </c>
      <c r="C950" t="inlineStr">
        <is>
          <t>국내영업2팀</t>
        </is>
      </c>
      <c r="D950" t="inlineStr">
        <is>
          <t>C10099</t>
        </is>
      </c>
      <c r="E950" t="inlineStr">
        <is>
          <t>한울몰드</t>
        </is>
      </c>
      <c r="F950" t="inlineStr">
        <is>
          <t>ABS</t>
        </is>
      </c>
      <c r="G950" t="inlineStr">
        <is>
          <t>M-2101</t>
        </is>
      </c>
      <c r="H950" t="inlineStr">
        <is>
          <t>ABS 범용 G300</t>
        </is>
      </c>
      <c r="I950" s="43" t="n">
        <v>46248</v>
      </c>
      <c r="J950" t="n">
        <v>202608</v>
      </c>
      <c r="K950" s="44" t="n">
        <v>2200</v>
      </c>
      <c r="L950" t="inlineStr">
        <is>
          <t>KG</t>
        </is>
      </c>
      <c r="M950" s="44" t="n">
        <v>6099192</v>
      </c>
      <c r="N950" s="44" t="n">
        <v>396447</v>
      </c>
      <c r="O950" t="n">
        <v>0</v>
      </c>
      <c r="P950" s="44" t="n">
        <v>5702745</v>
      </c>
      <c r="Q950" t="inlineStr">
        <is>
          <t>KRW</t>
        </is>
      </c>
      <c r="R950" t="inlineStr">
        <is>
          <t>INV2608-00949</t>
        </is>
      </c>
      <c r="S950" t="inlineStr">
        <is>
          <t>※예시데이터</t>
        </is>
      </c>
    </row>
    <row r="951">
      <c r="A951" t="n">
        <v>1000</v>
      </c>
      <c r="B951" t="inlineStr">
        <is>
          <t>EP사업부</t>
        </is>
      </c>
      <c r="C951" t="inlineStr">
        <is>
          <t>국내영업2팀</t>
        </is>
      </c>
      <c r="D951" t="inlineStr">
        <is>
          <t>C10015</t>
        </is>
      </c>
      <c r="E951" t="inlineStr">
        <is>
          <t>다솜케미칼</t>
        </is>
      </c>
      <c r="F951" t="inlineStr">
        <is>
          <t>ABS</t>
        </is>
      </c>
      <c r="G951" t="inlineStr">
        <is>
          <t>M-2101</t>
        </is>
      </c>
      <c r="H951" t="inlineStr">
        <is>
          <t>ABS 범용 G300</t>
        </is>
      </c>
      <c r="I951" s="43" t="n">
        <v>46249</v>
      </c>
      <c r="J951" t="n">
        <v>202608</v>
      </c>
      <c r="K951" s="44" t="n">
        <v>1025</v>
      </c>
      <c r="L951" t="inlineStr">
        <is>
          <t>KG</t>
        </is>
      </c>
      <c r="M951" s="44" t="n">
        <v>2841669</v>
      </c>
      <c r="N951" s="44" t="n">
        <v>142083</v>
      </c>
      <c r="O951" t="n">
        <v>0</v>
      </c>
      <c r="P951" s="44" t="n">
        <v>2699586</v>
      </c>
      <c r="Q951" t="inlineStr">
        <is>
          <t>KRW</t>
        </is>
      </c>
      <c r="R951" t="inlineStr">
        <is>
          <t>INV2608-00950</t>
        </is>
      </c>
      <c r="S951" t="inlineStr">
        <is>
          <t>※예시데이터</t>
        </is>
      </c>
    </row>
    <row r="952">
      <c r="A952" t="n">
        <v>1000</v>
      </c>
      <c r="B952" t="inlineStr">
        <is>
          <t>범용수지사업부</t>
        </is>
      </c>
      <c r="C952" t="inlineStr">
        <is>
          <t>해외영업팀</t>
        </is>
      </c>
      <c r="D952" t="inlineStr">
        <is>
          <t>C10071</t>
        </is>
      </c>
      <c r="E952" t="inlineStr">
        <is>
          <t>큰별코리아</t>
        </is>
      </c>
      <c r="F952" t="inlineStr">
        <is>
          <t>PP</t>
        </is>
      </c>
      <c r="G952" t="inlineStr">
        <is>
          <t>M-1101</t>
        </is>
      </c>
      <c r="H952" t="inlineStr">
        <is>
          <t>PP 범용사출 H110</t>
        </is>
      </c>
      <c r="I952" s="43" t="n">
        <v>46249</v>
      </c>
      <c r="J952" t="n">
        <v>202608</v>
      </c>
      <c r="K952" s="44" t="n">
        <v>4200</v>
      </c>
      <c r="L952" t="inlineStr">
        <is>
          <t>KG</t>
        </is>
      </c>
      <c r="M952" s="44" t="n">
        <v>7180272</v>
      </c>
      <c r="N952" s="44" t="n">
        <v>897534</v>
      </c>
      <c r="O952" s="44" t="n">
        <v>143605</v>
      </c>
      <c r="P952" s="44" t="n">
        <v>6139133</v>
      </c>
      <c r="Q952" t="inlineStr">
        <is>
          <t>KRW</t>
        </is>
      </c>
      <c r="R952" t="inlineStr">
        <is>
          <t>INV2608-00951</t>
        </is>
      </c>
      <c r="S952" t="inlineStr">
        <is>
          <t>※예시데이터</t>
        </is>
      </c>
    </row>
    <row r="953">
      <c r="A953" t="n">
        <v>1000</v>
      </c>
      <c r="B953" t="inlineStr">
        <is>
          <t>범용수지사업부</t>
        </is>
      </c>
      <c r="C953" t="inlineStr">
        <is>
          <t>해외영업팀</t>
        </is>
      </c>
      <c r="D953" t="inlineStr">
        <is>
          <t>C10071</t>
        </is>
      </c>
      <c r="E953" t="inlineStr">
        <is>
          <t>큰별코리아</t>
        </is>
      </c>
      <c r="F953" t="inlineStr">
        <is>
          <t>PP</t>
        </is>
      </c>
      <c r="G953" t="inlineStr">
        <is>
          <t>M-1101</t>
        </is>
      </c>
      <c r="H953" t="inlineStr">
        <is>
          <t>PP 범용사출 H110</t>
        </is>
      </c>
      <c r="I953" s="43" t="n">
        <v>46249</v>
      </c>
      <c r="J953" t="n">
        <v>202608</v>
      </c>
      <c r="K953" s="44" t="n">
        <v>4200</v>
      </c>
      <c r="L953" t="inlineStr">
        <is>
          <t>KG</t>
        </is>
      </c>
      <c r="M953" s="44" t="n">
        <v>7180272</v>
      </c>
      <c r="N953" s="44" t="n">
        <v>897534</v>
      </c>
      <c r="O953" s="44" t="n">
        <v>143605</v>
      </c>
      <c r="P953" s="44" t="n">
        <v>6139133</v>
      </c>
      <c r="Q953" t="inlineStr">
        <is>
          <t>KRW</t>
        </is>
      </c>
      <c r="R953" t="inlineStr">
        <is>
          <t>INV2608-00952</t>
        </is>
      </c>
      <c r="S953" t="inlineStr">
        <is>
          <t>※예시데이터</t>
        </is>
      </c>
    </row>
    <row r="954">
      <c r="A954" t="n">
        <v>1000</v>
      </c>
      <c r="B954" t="inlineStr">
        <is>
          <t>범용수지사업부</t>
        </is>
      </c>
      <c r="C954" t="inlineStr">
        <is>
          <t>국내영업2팀</t>
        </is>
      </c>
      <c r="D954" t="inlineStr">
        <is>
          <t>C10127</t>
        </is>
      </c>
      <c r="E954" t="inlineStr">
        <is>
          <t>미르패키징</t>
        </is>
      </c>
      <c r="F954" t="inlineStr">
        <is>
          <t>PE</t>
        </is>
      </c>
      <c r="G954" t="inlineStr">
        <is>
          <t>M-1202</t>
        </is>
      </c>
      <c r="H954" t="inlineStr">
        <is>
          <t>LLDPE 필름 F120</t>
        </is>
      </c>
      <c r="I954" s="43" t="n">
        <v>46249</v>
      </c>
      <c r="J954" t="n">
        <v>202608</v>
      </c>
      <c r="K954" s="44" t="n">
        <v>3700</v>
      </c>
      <c r="L954" t="inlineStr">
        <is>
          <t>KG</t>
        </is>
      </c>
      <c r="M954" s="44" t="n">
        <v>6269090</v>
      </c>
      <c r="N954" s="44" t="n">
        <v>532873</v>
      </c>
      <c r="O954" t="n">
        <v>0</v>
      </c>
      <c r="P954" s="44" t="n">
        <v>5736217</v>
      </c>
      <c r="Q954" t="inlineStr">
        <is>
          <t>KRW</t>
        </is>
      </c>
      <c r="R954" t="inlineStr">
        <is>
          <t>INV2608-00953</t>
        </is>
      </c>
      <c r="S954" t="inlineStr">
        <is>
          <t>※예시데이터</t>
        </is>
      </c>
    </row>
    <row r="955">
      <c r="A955" t="n">
        <v>1000</v>
      </c>
      <c r="B955" t="inlineStr">
        <is>
          <t>EP사업부</t>
        </is>
      </c>
      <c r="C955" t="inlineStr">
        <is>
          <t>국내영업1팀</t>
        </is>
      </c>
      <c r="D955" t="inlineStr">
        <is>
          <t>C10078</t>
        </is>
      </c>
      <c r="E955" t="inlineStr">
        <is>
          <t>토담정공(주)</t>
        </is>
      </c>
      <c r="F955" t="inlineStr">
        <is>
          <t>ABS</t>
        </is>
      </c>
      <c r="G955" t="inlineStr">
        <is>
          <t>M-2102</t>
        </is>
      </c>
      <c r="H955" t="inlineStr">
        <is>
          <t>ABS 내열 HR500</t>
        </is>
      </c>
      <c r="I955" s="43" t="n">
        <v>46250</v>
      </c>
      <c r="J955" t="n">
        <v>202608</v>
      </c>
      <c r="K955" s="44" t="n">
        <v>2050</v>
      </c>
      <c r="L955" t="inlineStr">
        <is>
          <t>KG</t>
        </is>
      </c>
      <c r="M955" s="44" t="n">
        <v>6391074</v>
      </c>
      <c r="N955" s="44" t="n">
        <v>191732</v>
      </c>
      <c r="O955" t="n">
        <v>0</v>
      </c>
      <c r="P955" s="44" t="n">
        <v>6199342</v>
      </c>
      <c r="Q955" t="inlineStr">
        <is>
          <t>KRW</t>
        </is>
      </c>
      <c r="R955" t="inlineStr">
        <is>
          <t>INV2608-00954</t>
        </is>
      </c>
      <c r="S955" t="inlineStr">
        <is>
          <t>※예시데이터</t>
        </is>
      </c>
    </row>
    <row r="956">
      <c r="A956" t="n">
        <v>1000</v>
      </c>
      <c r="B956" t="inlineStr">
        <is>
          <t>EP사업부</t>
        </is>
      </c>
      <c r="C956" t="inlineStr">
        <is>
          <t>국내영업2팀</t>
        </is>
      </c>
      <c r="D956" t="inlineStr">
        <is>
          <t>C10085</t>
        </is>
      </c>
      <c r="E956" t="inlineStr">
        <is>
          <t>파란하이텍</t>
        </is>
      </c>
      <c r="F956" t="inlineStr">
        <is>
          <t>PC</t>
        </is>
      </c>
      <c r="G956" t="inlineStr">
        <is>
          <t>M-2201</t>
        </is>
      </c>
      <c r="H956" t="inlineStr">
        <is>
          <t>PC 일반 C100</t>
        </is>
      </c>
      <c r="I956" s="43" t="n">
        <v>46250</v>
      </c>
      <c r="J956" t="n">
        <v>202608</v>
      </c>
      <c r="K956" s="44" t="n">
        <v>1775</v>
      </c>
      <c r="L956" t="inlineStr">
        <is>
          <t>KG</t>
        </is>
      </c>
      <c r="M956" s="44" t="n">
        <v>7102865</v>
      </c>
      <c r="N956" s="44" t="n">
        <v>639258</v>
      </c>
      <c r="O956" t="n">
        <v>0</v>
      </c>
      <c r="P956" s="44" t="n">
        <v>6463607</v>
      </c>
      <c r="Q956" t="inlineStr">
        <is>
          <t>KRW</t>
        </is>
      </c>
      <c r="R956" t="inlineStr">
        <is>
          <t>INV2608-00955</t>
        </is>
      </c>
      <c r="S956" t="inlineStr">
        <is>
          <t>※예시데이터</t>
        </is>
      </c>
    </row>
    <row r="957">
      <c r="A957" t="n">
        <v>1000</v>
      </c>
      <c r="B957" t="inlineStr">
        <is>
          <t>범용수지사업부</t>
        </is>
      </c>
      <c r="C957" t="inlineStr">
        <is>
          <t>국내영업1팀</t>
        </is>
      </c>
      <c r="D957" t="inlineStr">
        <is>
          <t>C10001</t>
        </is>
      </c>
      <c r="E957" t="inlineStr">
        <is>
          <t>가온소재(주)</t>
        </is>
      </c>
      <c r="F957" t="inlineStr">
        <is>
          <t>PP</t>
        </is>
      </c>
      <c r="G957" t="inlineStr">
        <is>
          <t>M-1102</t>
        </is>
      </c>
      <c r="H957" t="inlineStr">
        <is>
          <t>PP 고강성 H220</t>
        </is>
      </c>
      <c r="I957" s="43" t="n">
        <v>46251</v>
      </c>
      <c r="J957" t="n">
        <v>202608</v>
      </c>
      <c r="K957" s="44" t="n">
        <v>3400</v>
      </c>
      <c r="L957" t="inlineStr">
        <is>
          <t>KG</t>
        </is>
      </c>
      <c r="M957" s="44" t="n">
        <v>6411475</v>
      </c>
      <c r="N957" s="44" t="n">
        <v>320574</v>
      </c>
      <c r="O957" t="n">
        <v>0</v>
      </c>
      <c r="P957" s="44" t="n">
        <v>6090901</v>
      </c>
      <c r="Q957" t="inlineStr">
        <is>
          <t>KRW</t>
        </is>
      </c>
      <c r="R957" t="inlineStr">
        <is>
          <t>INV2608-00956</t>
        </is>
      </c>
      <c r="S957" t="inlineStr">
        <is>
          <t>※예시데이터</t>
        </is>
      </c>
    </row>
    <row r="958">
      <c r="A958" t="n">
        <v>1000</v>
      </c>
      <c r="B958" t="inlineStr">
        <is>
          <t>범용수지사업부</t>
        </is>
      </c>
      <c r="C958" t="inlineStr">
        <is>
          <t>국내영업1팀</t>
        </is>
      </c>
      <c r="D958" t="inlineStr">
        <is>
          <t>C10043</t>
        </is>
      </c>
      <c r="E958" t="inlineStr">
        <is>
          <t>새봄플라스틱</t>
        </is>
      </c>
      <c r="F958" t="inlineStr">
        <is>
          <t>PP</t>
        </is>
      </c>
      <c r="G958" t="inlineStr">
        <is>
          <t>M-1103</t>
        </is>
      </c>
      <c r="H958" t="inlineStr">
        <is>
          <t>PP 투명 R330</t>
        </is>
      </c>
      <c r="I958" s="43" t="n">
        <v>46251</v>
      </c>
      <c r="J958" t="n">
        <v>202608</v>
      </c>
      <c r="K958" s="44" t="n">
        <v>1100</v>
      </c>
      <c r="L958" t="inlineStr">
        <is>
          <t>KG</t>
        </is>
      </c>
      <c r="M958" s="44" t="n">
        <v>2211068</v>
      </c>
      <c r="N958" s="44" t="n">
        <v>132664</v>
      </c>
      <c r="O958" t="n">
        <v>0</v>
      </c>
      <c r="P958" s="44" t="n">
        <v>2078404</v>
      </c>
      <c r="Q958" t="inlineStr">
        <is>
          <t>KRW</t>
        </is>
      </c>
      <c r="R958" t="inlineStr">
        <is>
          <t>INV2608-00957</t>
        </is>
      </c>
      <c r="S958" t="inlineStr">
        <is>
          <t>※예시데이터</t>
        </is>
      </c>
    </row>
    <row r="959">
      <c r="A959" t="n">
        <v>1000</v>
      </c>
      <c r="B959" t="inlineStr">
        <is>
          <t>범용수지사업부</t>
        </is>
      </c>
      <c r="C959" t="inlineStr">
        <is>
          <t>국내영업2팀</t>
        </is>
      </c>
      <c r="D959" t="inlineStr">
        <is>
          <t>C10099</t>
        </is>
      </c>
      <c r="E959" t="inlineStr">
        <is>
          <t>한울몰드</t>
        </is>
      </c>
      <c r="F959" t="inlineStr">
        <is>
          <t>PP</t>
        </is>
      </c>
      <c r="G959" t="inlineStr">
        <is>
          <t>M-1101</t>
        </is>
      </c>
      <c r="H959" t="inlineStr">
        <is>
          <t>PP 범용사출 H110</t>
        </is>
      </c>
      <c r="I959" s="43" t="n">
        <v>46251</v>
      </c>
      <c r="J959" t="n">
        <v>202608</v>
      </c>
      <c r="K959" s="44" t="n">
        <v>1500</v>
      </c>
      <c r="L959" t="inlineStr">
        <is>
          <t>KG</t>
        </is>
      </c>
      <c r="M959" s="44" t="n">
        <v>2564383</v>
      </c>
      <c r="N959" s="44" t="n">
        <v>166685</v>
      </c>
      <c r="O959" t="n">
        <v>0</v>
      </c>
      <c r="P959" s="44" t="n">
        <v>2397698</v>
      </c>
      <c r="Q959" t="inlineStr">
        <is>
          <t>KRW</t>
        </is>
      </c>
      <c r="R959" t="inlineStr">
        <is>
          <t>INV2608-00958</t>
        </is>
      </c>
      <c r="S959" t="inlineStr">
        <is>
          <t>※예시데이터</t>
        </is>
      </c>
    </row>
    <row r="960">
      <c r="A960" t="n">
        <v>1000</v>
      </c>
      <c r="B960" t="inlineStr">
        <is>
          <t>범용수지사업부</t>
        </is>
      </c>
      <c r="C960" t="inlineStr">
        <is>
          <t>해외영업팀</t>
        </is>
      </c>
      <c r="D960" t="inlineStr">
        <is>
          <t>C10148</t>
        </is>
      </c>
      <c r="E960" t="inlineStr">
        <is>
          <t>Hanoi Molding (VN)</t>
        </is>
      </c>
      <c r="F960" t="inlineStr">
        <is>
          <t>PP</t>
        </is>
      </c>
      <c r="G960" t="inlineStr">
        <is>
          <t>M-1103</t>
        </is>
      </c>
      <c r="H960" t="inlineStr">
        <is>
          <t>PP 투명 R330</t>
        </is>
      </c>
      <c r="I960" s="43" t="n">
        <v>46251</v>
      </c>
      <c r="J960" t="n">
        <v>202608</v>
      </c>
      <c r="K960" s="44" t="n">
        <v>7600</v>
      </c>
      <c r="L960" t="inlineStr">
        <is>
          <t>KG</t>
        </is>
      </c>
      <c r="M960" s="44" t="n">
        <v>15276468</v>
      </c>
      <c r="N960" s="44" t="n">
        <v>1527647</v>
      </c>
      <c r="O960" t="n">
        <v>0</v>
      </c>
      <c r="P960" s="44" t="n">
        <v>13748821</v>
      </c>
      <c r="Q960" t="inlineStr">
        <is>
          <t>KRW</t>
        </is>
      </c>
      <c r="R960" t="inlineStr">
        <is>
          <t>INV2608-00959</t>
        </is>
      </c>
      <c r="S960" t="inlineStr">
        <is>
          <t>※예시데이터</t>
        </is>
      </c>
    </row>
    <row r="961">
      <c r="A961" t="n">
        <v>1000</v>
      </c>
      <c r="B961" t="inlineStr">
        <is>
          <t>EP사업부</t>
        </is>
      </c>
      <c r="C961" t="inlineStr">
        <is>
          <t>국내영업2팀</t>
        </is>
      </c>
      <c r="D961" t="inlineStr">
        <is>
          <t>C10015</t>
        </is>
      </c>
      <c r="E961" t="inlineStr">
        <is>
          <t>다솜케미칼</t>
        </is>
      </c>
      <c r="F961" t="inlineStr">
        <is>
          <t>ABS</t>
        </is>
      </c>
      <c r="G961" t="inlineStr">
        <is>
          <t>M-2101</t>
        </is>
      </c>
      <c r="H961" t="inlineStr">
        <is>
          <t>ABS 범용 G300</t>
        </is>
      </c>
      <c r="I961" s="43" t="n">
        <v>46252</v>
      </c>
      <c r="J961" t="n">
        <v>202608</v>
      </c>
      <c r="K961" s="44" t="n">
        <v>1025</v>
      </c>
      <c r="L961" t="inlineStr">
        <is>
          <t>KG</t>
        </is>
      </c>
      <c r="M961" s="44" t="n">
        <v>2841669</v>
      </c>
      <c r="N961" s="44" t="n">
        <v>142083</v>
      </c>
      <c r="O961" t="n">
        <v>0</v>
      </c>
      <c r="P961" s="44" t="n">
        <v>2699586</v>
      </c>
      <c r="Q961" t="inlineStr">
        <is>
          <t>KRW</t>
        </is>
      </c>
      <c r="R961" t="inlineStr">
        <is>
          <t>INV2608-00960</t>
        </is>
      </c>
      <c r="S961" t="inlineStr">
        <is>
          <t>※예시데이터</t>
        </is>
      </c>
    </row>
    <row r="962">
      <c r="A962" t="n">
        <v>1000</v>
      </c>
      <c r="B962" t="inlineStr">
        <is>
          <t>범용수지사업부</t>
        </is>
      </c>
      <c r="C962" t="inlineStr">
        <is>
          <t>국내영업2팀</t>
        </is>
      </c>
      <c r="D962" t="inlineStr">
        <is>
          <t>C10050</t>
        </is>
      </c>
      <c r="E962" t="inlineStr">
        <is>
          <t>아름화학(주)</t>
        </is>
      </c>
      <c r="F962" t="inlineStr">
        <is>
          <t>PE</t>
        </is>
      </c>
      <c r="G962" t="inlineStr">
        <is>
          <t>M-1201</t>
        </is>
      </c>
      <c r="H962" t="inlineStr">
        <is>
          <t>HDPE 블로우 B500</t>
        </is>
      </c>
      <c r="I962" s="43" t="n">
        <v>46252</v>
      </c>
      <c r="J962" t="n">
        <v>202608</v>
      </c>
      <c r="K962" s="44" t="n">
        <v>4375</v>
      </c>
      <c r="L962" t="inlineStr">
        <is>
          <t>KG</t>
        </is>
      </c>
      <c r="M962" s="44" t="n">
        <v>6849231</v>
      </c>
      <c r="N962" s="44" t="n">
        <v>719169</v>
      </c>
      <c r="O962" s="44" t="n">
        <v>68492</v>
      </c>
      <c r="P962" s="44" t="n">
        <v>6061570</v>
      </c>
      <c r="Q962" t="inlineStr">
        <is>
          <t>KRW</t>
        </is>
      </c>
      <c r="R962" t="inlineStr">
        <is>
          <t>INV2608-00961</t>
        </is>
      </c>
      <c r="S962" t="inlineStr">
        <is>
          <t>※예시데이터</t>
        </is>
      </c>
    </row>
    <row r="963">
      <c r="A963" t="n">
        <v>1000</v>
      </c>
      <c r="B963" t="inlineStr">
        <is>
          <t>EP사업부</t>
        </is>
      </c>
      <c r="C963" t="inlineStr">
        <is>
          <t>국내영업2팀</t>
        </is>
      </c>
      <c r="D963" t="inlineStr">
        <is>
          <t>C10099</t>
        </is>
      </c>
      <c r="E963" t="inlineStr">
        <is>
          <t>한울몰드</t>
        </is>
      </c>
      <c r="F963" t="inlineStr">
        <is>
          <t>ABS</t>
        </is>
      </c>
      <c r="G963" t="inlineStr">
        <is>
          <t>M-2102</t>
        </is>
      </c>
      <c r="H963" t="inlineStr">
        <is>
          <t>ABS 내열 HR500</t>
        </is>
      </c>
      <c r="I963" s="43" t="n">
        <v>46253</v>
      </c>
      <c r="J963" t="n">
        <v>202608</v>
      </c>
      <c r="K963" s="44" t="n">
        <v>2575</v>
      </c>
      <c r="L963" t="inlineStr">
        <is>
          <t>KG</t>
        </is>
      </c>
      <c r="M963" s="44" t="n">
        <v>8027813</v>
      </c>
      <c r="N963" s="44" t="n">
        <v>521808</v>
      </c>
      <c r="O963" t="n">
        <v>0</v>
      </c>
      <c r="P963" s="44" t="n">
        <v>7506005</v>
      </c>
      <c r="Q963" t="inlineStr">
        <is>
          <t>KRW</t>
        </is>
      </c>
      <c r="R963" t="inlineStr">
        <is>
          <t>INV2608-00962</t>
        </is>
      </c>
      <c r="S963" t="inlineStr">
        <is>
          <t>※예시데이터</t>
        </is>
      </c>
    </row>
    <row r="964">
      <c r="A964" t="n">
        <v>1000</v>
      </c>
      <c r="B964" t="inlineStr">
        <is>
          <t>EP사업부</t>
        </is>
      </c>
      <c r="C964" t="inlineStr">
        <is>
          <t>국내영업1팀</t>
        </is>
      </c>
      <c r="D964" t="inlineStr">
        <is>
          <t>C10134</t>
        </is>
      </c>
      <c r="E964" t="inlineStr">
        <is>
          <t>별하전자(주)</t>
        </is>
      </c>
      <c r="F964" t="inlineStr">
        <is>
          <t>PC</t>
        </is>
      </c>
      <c r="G964" t="inlineStr">
        <is>
          <t>M-2201</t>
        </is>
      </c>
      <c r="H964" t="inlineStr">
        <is>
          <t>PC 일반 C100</t>
        </is>
      </c>
      <c r="I964" s="43" t="n">
        <v>46254</v>
      </c>
      <c r="J964" t="n">
        <v>202608</v>
      </c>
      <c r="K964" t="n">
        <v>575</v>
      </c>
      <c r="L964" t="inlineStr">
        <is>
          <t>KG</t>
        </is>
      </c>
      <c r="M964" s="44" t="n">
        <v>2300928</v>
      </c>
      <c r="N964" s="44" t="n">
        <v>69028</v>
      </c>
      <c r="O964" t="n">
        <v>0</v>
      </c>
      <c r="P964" s="44" t="n">
        <v>2231900</v>
      </c>
      <c r="Q964" t="inlineStr">
        <is>
          <t>KRW</t>
        </is>
      </c>
      <c r="R964" t="inlineStr">
        <is>
          <t>INV2608-00963</t>
        </is>
      </c>
      <c r="S964" t="inlineStr">
        <is>
          <t>※예시데이터</t>
        </is>
      </c>
    </row>
    <row r="965">
      <c r="A965" t="n">
        <v>1000</v>
      </c>
      <c r="B965" t="inlineStr">
        <is>
          <t>EP사업부</t>
        </is>
      </c>
      <c r="C965" t="inlineStr">
        <is>
          <t>국내영업2팀</t>
        </is>
      </c>
      <c r="D965" t="inlineStr">
        <is>
          <t>C10113</t>
        </is>
      </c>
      <c r="E965" t="inlineStr">
        <is>
          <t>누리오토파츠</t>
        </is>
      </c>
      <c r="F965" t="inlineStr">
        <is>
          <t>PC</t>
        </is>
      </c>
      <c r="G965" t="inlineStr">
        <is>
          <t>M-2202</t>
        </is>
      </c>
      <c r="H965" t="inlineStr">
        <is>
          <t>PC 난연 FR200</t>
        </is>
      </c>
      <c r="I965" s="43" t="n">
        <v>46255</v>
      </c>
      <c r="J965" t="n">
        <v>202608</v>
      </c>
      <c r="K965" s="44" t="n">
        <v>1050</v>
      </c>
      <c r="L965" t="inlineStr">
        <is>
          <t>KG</t>
        </is>
      </c>
      <c r="M965" s="44" t="n">
        <v>4686506</v>
      </c>
      <c r="N965" s="44" t="n">
        <v>421786</v>
      </c>
      <c r="O965" s="44" t="n">
        <v>46865</v>
      </c>
      <c r="P965" s="44" t="n">
        <v>4217855</v>
      </c>
      <c r="Q965" t="inlineStr">
        <is>
          <t>KRW</t>
        </is>
      </c>
      <c r="R965" t="inlineStr">
        <is>
          <t>INV2608-00964</t>
        </is>
      </c>
      <c r="S965" t="inlineStr">
        <is>
          <t>※예시데이터</t>
        </is>
      </c>
    </row>
    <row r="966">
      <c r="A966" t="n">
        <v>1000</v>
      </c>
      <c r="B966" t="inlineStr">
        <is>
          <t>EP사업부</t>
        </is>
      </c>
      <c r="C966" t="inlineStr">
        <is>
          <t>국내영업1팀</t>
        </is>
      </c>
      <c r="D966" t="inlineStr">
        <is>
          <t>C10134</t>
        </is>
      </c>
      <c r="E966" t="inlineStr">
        <is>
          <t>별하전자(주)</t>
        </is>
      </c>
      <c r="F966" t="inlineStr">
        <is>
          <t>PC</t>
        </is>
      </c>
      <c r="G966" t="inlineStr">
        <is>
          <t>M-2201</t>
        </is>
      </c>
      <c r="H966" t="inlineStr">
        <is>
          <t>PC 일반 C100</t>
        </is>
      </c>
      <c r="I966" s="43" t="n">
        <v>46256</v>
      </c>
      <c r="J966" t="n">
        <v>202608</v>
      </c>
      <c r="K966" t="n">
        <v>575</v>
      </c>
      <c r="L966" t="inlineStr">
        <is>
          <t>KG</t>
        </is>
      </c>
      <c r="M966" s="44" t="n">
        <v>2300928</v>
      </c>
      <c r="N966" s="44" t="n">
        <v>69028</v>
      </c>
      <c r="O966" t="n">
        <v>0</v>
      </c>
      <c r="P966" s="44" t="n">
        <v>2231900</v>
      </c>
      <c r="Q966" t="inlineStr">
        <is>
          <t>KRW</t>
        </is>
      </c>
      <c r="R966" t="inlineStr">
        <is>
          <t>INV2608-00965</t>
        </is>
      </c>
      <c r="S966" t="inlineStr">
        <is>
          <t>※예시데이터</t>
        </is>
      </c>
    </row>
    <row r="967">
      <c r="A967" t="n">
        <v>1000</v>
      </c>
      <c r="B967" t="inlineStr">
        <is>
          <t>범용수지사업부</t>
        </is>
      </c>
      <c r="C967" t="inlineStr">
        <is>
          <t>해외영업팀</t>
        </is>
      </c>
      <c r="D967" t="inlineStr">
        <is>
          <t>C10141</t>
        </is>
      </c>
      <c r="E967" t="inlineStr">
        <is>
          <t>Sinar Plastik (ID)</t>
        </is>
      </c>
      <c r="F967" t="inlineStr">
        <is>
          <t>PP</t>
        </is>
      </c>
      <c r="G967" t="inlineStr">
        <is>
          <t>M-1103</t>
        </is>
      </c>
      <c r="H967" t="inlineStr">
        <is>
          <t>PP 투명 R330</t>
        </is>
      </c>
      <c r="I967" s="43" t="n">
        <v>46256</v>
      </c>
      <c r="J967" t="n">
        <v>202608</v>
      </c>
      <c r="K967" s="44" t="n">
        <v>-2200</v>
      </c>
      <c r="L967" t="inlineStr">
        <is>
          <t>KG</t>
        </is>
      </c>
      <c r="M967" s="44" t="n">
        <v>-4413369</v>
      </c>
      <c r="N967" s="44" t="n">
        <v>-617872</v>
      </c>
      <c r="O967" t="n">
        <v>0</v>
      </c>
      <c r="P967" s="44" t="n">
        <v>-3795497</v>
      </c>
      <c r="Q967" t="inlineStr">
        <is>
          <t>KRW</t>
        </is>
      </c>
      <c r="R967" t="inlineStr">
        <is>
          <t>INV2608-00966</t>
        </is>
      </c>
      <c r="S967" t="inlineStr">
        <is>
          <t>※예시데이터</t>
        </is>
      </c>
    </row>
    <row r="968">
      <c r="A968" t="n">
        <v>1000</v>
      </c>
      <c r="B968" t="inlineStr">
        <is>
          <t>EP사업부</t>
        </is>
      </c>
      <c r="C968" t="inlineStr">
        <is>
          <t>국내영업1팀</t>
        </is>
      </c>
      <c r="D968" t="inlineStr">
        <is>
          <t>C10043</t>
        </is>
      </c>
      <c r="E968" t="inlineStr">
        <is>
          <t>새봄플라스틱</t>
        </is>
      </c>
      <c r="F968" t="inlineStr">
        <is>
          <t>ABS</t>
        </is>
      </c>
      <c r="G968" t="inlineStr">
        <is>
          <t>M-2102</t>
        </is>
      </c>
      <c r="H968" t="inlineStr">
        <is>
          <t>ABS 내열 HR500</t>
        </is>
      </c>
      <c r="I968" s="43" t="n">
        <v>46257</v>
      </c>
      <c r="J968" t="n">
        <v>202608</v>
      </c>
      <c r="K968" s="44" t="n">
        <v>3500</v>
      </c>
      <c r="L968" t="inlineStr">
        <is>
          <t>KG</t>
        </is>
      </c>
      <c r="M968" s="44" t="n">
        <v>10911591</v>
      </c>
      <c r="N968" s="44" t="n">
        <v>654695</v>
      </c>
      <c r="O968" t="n">
        <v>0</v>
      </c>
      <c r="P968" s="44" t="n">
        <v>10256896</v>
      </c>
      <c r="Q968" t="inlineStr">
        <is>
          <t>KRW</t>
        </is>
      </c>
      <c r="R968" t="inlineStr">
        <is>
          <t>INV2608-00967</t>
        </is>
      </c>
      <c r="S968" t="inlineStr">
        <is>
          <t>※예시데이터</t>
        </is>
      </c>
    </row>
    <row r="969">
      <c r="A969" t="n">
        <v>1000</v>
      </c>
      <c r="B969" t="inlineStr">
        <is>
          <t>범용수지사업부</t>
        </is>
      </c>
      <c r="C969" t="inlineStr">
        <is>
          <t>해외영업팀</t>
        </is>
      </c>
      <c r="D969" t="inlineStr">
        <is>
          <t>C10071</t>
        </is>
      </c>
      <c r="E969" t="inlineStr">
        <is>
          <t>큰별코리아</t>
        </is>
      </c>
      <c r="F969" t="inlineStr">
        <is>
          <t>PE</t>
        </is>
      </c>
      <c r="G969" t="inlineStr">
        <is>
          <t>M-1201</t>
        </is>
      </c>
      <c r="H969" t="inlineStr">
        <is>
          <t>HDPE 블로우 B500</t>
        </is>
      </c>
      <c r="I969" s="43" t="n">
        <v>46258</v>
      </c>
      <c r="J969" t="n">
        <v>202608</v>
      </c>
      <c r="K969" s="44" t="n">
        <v>11775</v>
      </c>
      <c r="L969" t="inlineStr">
        <is>
          <t>KG</t>
        </is>
      </c>
      <c r="M969" s="44" t="n">
        <v>18434215</v>
      </c>
      <c r="N969" s="44" t="n">
        <v>2304277</v>
      </c>
      <c r="O969" s="44" t="n">
        <v>368684</v>
      </c>
      <c r="P969" s="44" t="n">
        <v>15761254</v>
      </c>
      <c r="Q969" t="inlineStr">
        <is>
          <t>KRW</t>
        </is>
      </c>
      <c r="R969" t="inlineStr">
        <is>
          <t>INV2608-00968</t>
        </is>
      </c>
      <c r="S969" t="inlineStr">
        <is>
          <t>※예시데이터</t>
        </is>
      </c>
    </row>
    <row r="970">
      <c r="A970" t="n">
        <v>1000</v>
      </c>
      <c r="B970" t="inlineStr">
        <is>
          <t>EP사업부</t>
        </is>
      </c>
      <c r="C970" t="inlineStr">
        <is>
          <t>국내영업2팀</t>
        </is>
      </c>
      <c r="D970" t="inlineStr">
        <is>
          <t>C10113</t>
        </is>
      </c>
      <c r="E970" t="inlineStr">
        <is>
          <t>누리오토파츠</t>
        </is>
      </c>
      <c r="F970" t="inlineStr">
        <is>
          <t>PC</t>
        </is>
      </c>
      <c r="G970" t="inlineStr">
        <is>
          <t>M-2202</t>
        </is>
      </c>
      <c r="H970" t="inlineStr">
        <is>
          <t>PC 난연 FR200</t>
        </is>
      </c>
      <c r="I970" s="43" t="n">
        <v>46258</v>
      </c>
      <c r="J970" t="n">
        <v>202608</v>
      </c>
      <c r="K970" s="44" t="n">
        <v>1050</v>
      </c>
      <c r="L970" t="inlineStr">
        <is>
          <t>KG</t>
        </is>
      </c>
      <c r="M970" s="44" t="n">
        <v>4686506</v>
      </c>
      <c r="N970" s="44" t="n">
        <v>421786</v>
      </c>
      <c r="O970" s="44" t="n">
        <v>46865</v>
      </c>
      <c r="P970" s="44" t="n">
        <v>4217855</v>
      </c>
      <c r="Q970" t="inlineStr">
        <is>
          <t>KRW</t>
        </is>
      </c>
      <c r="R970" t="inlineStr">
        <is>
          <t>INV2608-00969</t>
        </is>
      </c>
      <c r="S970" t="inlineStr">
        <is>
          <t>※예시데이터</t>
        </is>
      </c>
    </row>
    <row r="971">
      <c r="A971" t="n">
        <v>1000</v>
      </c>
      <c r="B971" t="inlineStr">
        <is>
          <t>EP사업부</t>
        </is>
      </c>
      <c r="C971" t="inlineStr">
        <is>
          <t>국내영업2팀</t>
        </is>
      </c>
      <c r="D971" t="inlineStr">
        <is>
          <t>C10113</t>
        </is>
      </c>
      <c r="E971" t="inlineStr">
        <is>
          <t>누리오토파츠</t>
        </is>
      </c>
      <c r="F971" t="inlineStr">
        <is>
          <t>ABS</t>
        </is>
      </c>
      <c r="G971" t="inlineStr">
        <is>
          <t>M-2102</t>
        </is>
      </c>
      <c r="H971" t="inlineStr">
        <is>
          <t>ABS 내열 HR500</t>
        </is>
      </c>
      <c r="I971" s="43" t="n">
        <v>46259</v>
      </c>
      <c r="J971" t="n">
        <v>202608</v>
      </c>
      <c r="K971" s="44" t="n">
        <v>5325</v>
      </c>
      <c r="L971" t="inlineStr">
        <is>
          <t>KG</t>
        </is>
      </c>
      <c r="M971" s="44" t="n">
        <v>16601206</v>
      </c>
      <c r="N971" s="44" t="n">
        <v>1494109</v>
      </c>
      <c r="O971" s="44" t="n">
        <v>166012</v>
      </c>
      <c r="P971" s="44" t="n">
        <v>14941085</v>
      </c>
      <c r="Q971" t="inlineStr">
        <is>
          <t>KRW</t>
        </is>
      </c>
      <c r="R971" t="inlineStr">
        <is>
          <t>INV2608-00970</t>
        </is>
      </c>
      <c r="S971" t="inlineStr">
        <is>
          <t>※예시데이터</t>
        </is>
      </c>
    </row>
    <row r="972">
      <c r="A972" t="n">
        <v>1000</v>
      </c>
      <c r="B972" t="inlineStr">
        <is>
          <t>EP사업부</t>
        </is>
      </c>
      <c r="C972" t="inlineStr">
        <is>
          <t>국내영업1팀</t>
        </is>
      </c>
      <c r="D972" t="inlineStr">
        <is>
          <t>C10043</t>
        </is>
      </c>
      <c r="E972" t="inlineStr">
        <is>
          <t>새봄플라스틱</t>
        </is>
      </c>
      <c r="F972" t="inlineStr">
        <is>
          <t>ABS</t>
        </is>
      </c>
      <c r="G972" t="inlineStr">
        <is>
          <t>M-2101</t>
        </is>
      </c>
      <c r="H972" t="inlineStr">
        <is>
          <t>ABS 범용 G300</t>
        </is>
      </c>
      <c r="I972" s="43" t="n">
        <v>46260</v>
      </c>
      <c r="J972" t="n">
        <v>202608</v>
      </c>
      <c r="K972" s="44" t="n">
        <v>1975</v>
      </c>
      <c r="L972" t="inlineStr">
        <is>
          <t>KG</t>
        </is>
      </c>
      <c r="M972" s="44" t="n">
        <v>5475411</v>
      </c>
      <c r="N972" s="44" t="n">
        <v>328525</v>
      </c>
      <c r="O972" t="n">
        <v>0</v>
      </c>
      <c r="P972" s="44" t="n">
        <v>5146886</v>
      </c>
      <c r="Q972" t="inlineStr">
        <is>
          <t>KRW</t>
        </is>
      </c>
      <c r="R972" t="inlineStr">
        <is>
          <t>INV2608-00971</t>
        </is>
      </c>
      <c r="S972" t="inlineStr">
        <is>
          <t>※예시데이터</t>
        </is>
      </c>
    </row>
    <row r="973">
      <c r="A973" t="n">
        <v>1000</v>
      </c>
      <c r="B973" t="inlineStr">
        <is>
          <t>EP사업부</t>
        </is>
      </c>
      <c r="C973" t="inlineStr">
        <is>
          <t>국내영업2팀</t>
        </is>
      </c>
      <c r="D973" t="inlineStr">
        <is>
          <t>C10022</t>
        </is>
      </c>
      <c r="E973" t="inlineStr">
        <is>
          <t>라온테크(주)</t>
        </is>
      </c>
      <c r="F973" t="inlineStr">
        <is>
          <t>ABS</t>
        </is>
      </c>
      <c r="G973" t="inlineStr">
        <is>
          <t>M-2101</t>
        </is>
      </c>
      <c r="H973" t="inlineStr">
        <is>
          <t>ABS 범용 G300</t>
        </is>
      </c>
      <c r="I973" s="43" t="n">
        <v>46261</v>
      </c>
      <c r="J973" t="n">
        <v>202608</v>
      </c>
      <c r="K973" s="44" t="n">
        <v>2900</v>
      </c>
      <c r="L973" t="inlineStr">
        <is>
          <t>KG</t>
        </is>
      </c>
      <c r="M973" s="44" t="n">
        <v>8039844</v>
      </c>
      <c r="N973" s="44" t="n">
        <v>884383</v>
      </c>
      <c r="O973" t="n">
        <v>0</v>
      </c>
      <c r="P973" s="44" t="n">
        <v>7155461</v>
      </c>
      <c r="Q973" t="inlineStr">
        <is>
          <t>KRW</t>
        </is>
      </c>
      <c r="R973" t="inlineStr">
        <is>
          <t>INV2608-00972</t>
        </is>
      </c>
      <c r="S973" t="inlineStr">
        <is>
          <t>※예시데이터</t>
        </is>
      </c>
    </row>
    <row r="974">
      <c r="A974" t="n">
        <v>1000</v>
      </c>
      <c r="B974" t="inlineStr">
        <is>
          <t>범용수지사업부</t>
        </is>
      </c>
      <c r="C974" t="inlineStr">
        <is>
          <t>국내영업1팀</t>
        </is>
      </c>
      <c r="D974" t="inlineStr">
        <is>
          <t>C10092</t>
        </is>
      </c>
      <c r="E974" t="inlineStr">
        <is>
          <t>하늘포장(주)</t>
        </is>
      </c>
      <c r="F974" t="inlineStr">
        <is>
          <t>PE</t>
        </is>
      </c>
      <c r="G974" t="inlineStr">
        <is>
          <t>M-1201</t>
        </is>
      </c>
      <c r="H974" t="inlineStr">
        <is>
          <t>HDPE 블로우 B500</t>
        </is>
      </c>
      <c r="I974" s="43" t="n">
        <v>46261</v>
      </c>
      <c r="J974" t="n">
        <v>202608</v>
      </c>
      <c r="K974" s="44" t="n">
        <v>14150</v>
      </c>
      <c r="L974" t="inlineStr">
        <is>
          <t>KG</t>
        </is>
      </c>
      <c r="M974" s="44" t="n">
        <v>22152369</v>
      </c>
      <c r="N974" s="44" t="n">
        <v>1550666</v>
      </c>
      <c r="O974" t="n">
        <v>0</v>
      </c>
      <c r="P974" s="44" t="n">
        <v>20601703</v>
      </c>
      <c r="Q974" t="inlineStr">
        <is>
          <t>KRW</t>
        </is>
      </c>
      <c r="R974" t="inlineStr">
        <is>
          <t>INV2608-00973</t>
        </is>
      </c>
      <c r="S974" t="inlineStr">
        <is>
          <t>※예시데이터</t>
        </is>
      </c>
    </row>
    <row r="975">
      <c r="A975" t="n">
        <v>1000</v>
      </c>
      <c r="B975" t="inlineStr">
        <is>
          <t>범용수지사업부</t>
        </is>
      </c>
      <c r="C975" t="inlineStr">
        <is>
          <t>국내영업2팀</t>
        </is>
      </c>
      <c r="D975" t="inlineStr">
        <is>
          <t>C10127</t>
        </is>
      </c>
      <c r="E975" t="inlineStr">
        <is>
          <t>미르패키징</t>
        </is>
      </c>
      <c r="F975" t="inlineStr">
        <is>
          <t>PE</t>
        </is>
      </c>
      <c r="G975" t="inlineStr">
        <is>
          <t>M-1201</t>
        </is>
      </c>
      <c r="H975" t="inlineStr">
        <is>
          <t>HDPE 블로우 B500</t>
        </is>
      </c>
      <c r="I975" s="43" t="n">
        <v>46267</v>
      </c>
      <c r="J975" t="n">
        <v>202609</v>
      </c>
      <c r="K975" s="44" t="n">
        <v>2475</v>
      </c>
      <c r="L975" t="inlineStr">
        <is>
          <t>KG</t>
        </is>
      </c>
      <c r="M975" s="44" t="n">
        <v>3861367</v>
      </c>
      <c r="N975" s="44" t="n">
        <v>328216</v>
      </c>
      <c r="O975" t="n">
        <v>0</v>
      </c>
      <c r="P975" s="44" t="n">
        <v>3533151</v>
      </c>
      <c r="Q975" t="inlineStr">
        <is>
          <t>KRW</t>
        </is>
      </c>
      <c r="R975" t="inlineStr">
        <is>
          <t>INV2609-00974</t>
        </is>
      </c>
      <c r="S975" t="inlineStr">
        <is>
          <t>※예시데이터</t>
        </is>
      </c>
    </row>
    <row r="976">
      <c r="A976" t="n">
        <v>1000</v>
      </c>
      <c r="B976" t="inlineStr">
        <is>
          <t>EP사업부</t>
        </is>
      </c>
      <c r="C976" t="inlineStr">
        <is>
          <t>국내영업1팀</t>
        </is>
      </c>
      <c r="D976" t="inlineStr">
        <is>
          <t>C10120</t>
        </is>
      </c>
      <c r="E976" t="inlineStr">
        <is>
          <t>든솔케이스</t>
        </is>
      </c>
      <c r="F976" t="inlineStr">
        <is>
          <t>ABS</t>
        </is>
      </c>
      <c r="G976" t="inlineStr">
        <is>
          <t>M-2101</t>
        </is>
      </c>
      <c r="H976" t="inlineStr">
        <is>
          <t>ABS 범용 G300</t>
        </is>
      </c>
      <c r="I976" s="43" t="n">
        <v>46268</v>
      </c>
      <c r="J976" t="n">
        <v>202609</v>
      </c>
      <c r="K976" s="44" t="n">
        <v>2200</v>
      </c>
      <c r="L976" t="inlineStr">
        <is>
          <t>KG</t>
        </is>
      </c>
      <c r="M976" s="44" t="n">
        <v>6078193</v>
      </c>
      <c r="N976" s="44" t="n">
        <v>243128</v>
      </c>
      <c r="O976" t="n">
        <v>0</v>
      </c>
      <c r="P976" s="44" t="n">
        <v>5835065</v>
      </c>
      <c r="Q976" t="inlineStr">
        <is>
          <t>KRW</t>
        </is>
      </c>
      <c r="R976" t="inlineStr">
        <is>
          <t>INV2609-00975</t>
        </is>
      </c>
      <c r="S976" t="inlineStr">
        <is>
          <t>※예시데이터</t>
        </is>
      </c>
    </row>
    <row r="977">
      <c r="A977" t="n">
        <v>1000</v>
      </c>
      <c r="B977" t="inlineStr">
        <is>
          <t>범용수지사업부</t>
        </is>
      </c>
      <c r="C977" t="inlineStr">
        <is>
          <t>국내영업1팀</t>
        </is>
      </c>
      <c r="D977" t="inlineStr">
        <is>
          <t>C10001</t>
        </is>
      </c>
      <c r="E977" t="inlineStr">
        <is>
          <t>가온소재(주)</t>
        </is>
      </c>
      <c r="F977" t="inlineStr">
        <is>
          <t>PE</t>
        </is>
      </c>
      <c r="G977" t="inlineStr">
        <is>
          <t>M-1201</t>
        </is>
      </c>
      <c r="H977" t="inlineStr">
        <is>
          <t>HDPE 블로우 B500</t>
        </is>
      </c>
      <c r="I977" s="43" t="n">
        <v>46269</v>
      </c>
      <c r="J977" t="n">
        <v>202609</v>
      </c>
      <c r="K977" s="44" t="n">
        <v>2000</v>
      </c>
      <c r="L977" t="inlineStr">
        <is>
          <t>KG</t>
        </is>
      </c>
      <c r="M977" s="44" t="n">
        <v>3120297</v>
      </c>
      <c r="N977" s="44" t="n">
        <v>156015</v>
      </c>
      <c r="O977" t="n">
        <v>0</v>
      </c>
      <c r="P977" s="44" t="n">
        <v>2964282</v>
      </c>
      <c r="Q977" t="inlineStr">
        <is>
          <t>KRW</t>
        </is>
      </c>
      <c r="R977" t="inlineStr">
        <is>
          <t>INV2609-00976</t>
        </is>
      </c>
      <c r="S977" t="inlineStr">
        <is>
          <t>※예시데이터</t>
        </is>
      </c>
    </row>
    <row r="978">
      <c r="A978" t="n">
        <v>1000</v>
      </c>
      <c r="B978" t="inlineStr">
        <is>
          <t>EP사업부</t>
        </is>
      </c>
      <c r="C978" t="inlineStr">
        <is>
          <t>국내영업1팀</t>
        </is>
      </c>
      <c r="D978" t="inlineStr">
        <is>
          <t>C10134</t>
        </is>
      </c>
      <c r="E978" t="inlineStr">
        <is>
          <t>별하전자(주)</t>
        </is>
      </c>
      <c r="F978" t="inlineStr">
        <is>
          <t>PC</t>
        </is>
      </c>
      <c r="G978" t="inlineStr">
        <is>
          <t>M-2201</t>
        </is>
      </c>
      <c r="H978" t="inlineStr">
        <is>
          <t>PC 일반 C100</t>
        </is>
      </c>
      <c r="I978" s="43" t="n">
        <v>46269</v>
      </c>
      <c r="J978" t="n">
        <v>202609</v>
      </c>
      <c r="K978" s="44" t="n">
        <v>1000</v>
      </c>
      <c r="L978" t="inlineStr">
        <is>
          <t>KG</t>
        </is>
      </c>
      <c r="M978" s="44" t="n">
        <v>3987836</v>
      </c>
      <c r="N978" s="44" t="n">
        <v>119635</v>
      </c>
      <c r="O978" t="n">
        <v>0</v>
      </c>
      <c r="P978" s="44" t="n">
        <v>3868201</v>
      </c>
      <c r="Q978" t="inlineStr">
        <is>
          <t>KRW</t>
        </is>
      </c>
      <c r="R978" t="inlineStr">
        <is>
          <t>INV2609-00977</t>
        </is>
      </c>
      <c r="S978" t="inlineStr">
        <is>
          <t>※예시데이터</t>
        </is>
      </c>
    </row>
    <row r="979">
      <c r="A979" t="n">
        <v>1000</v>
      </c>
      <c r="B979" t="inlineStr">
        <is>
          <t>범용수지사업부</t>
        </is>
      </c>
      <c r="C979" t="inlineStr">
        <is>
          <t>국내영업1팀</t>
        </is>
      </c>
      <c r="D979" t="inlineStr">
        <is>
          <t>C10008</t>
        </is>
      </c>
      <c r="E979" t="inlineStr">
        <is>
          <t>나래산업(주)</t>
        </is>
      </c>
      <c r="F979" t="inlineStr">
        <is>
          <t>PP</t>
        </is>
      </c>
      <c r="G979" t="inlineStr">
        <is>
          <t>M-1101</t>
        </is>
      </c>
      <c r="H979" t="inlineStr">
        <is>
          <t>PP 범용사출 H110</t>
        </is>
      </c>
      <c r="I979" s="43" t="n">
        <v>46270</v>
      </c>
      <c r="J979" t="n">
        <v>202609</v>
      </c>
      <c r="K979" s="44" t="n">
        <v>17175</v>
      </c>
      <c r="L979" t="inlineStr">
        <is>
          <t>KG</t>
        </is>
      </c>
      <c r="M979" s="44" t="n">
        <v>29261088</v>
      </c>
      <c r="N979" s="44" t="n">
        <v>3072414</v>
      </c>
      <c r="O979" s="44" t="n">
        <v>292611</v>
      </c>
      <c r="P979" s="44" t="n">
        <v>25896063</v>
      </c>
      <c r="Q979" t="inlineStr">
        <is>
          <t>KRW</t>
        </is>
      </c>
      <c r="R979" t="inlineStr">
        <is>
          <t>INV2609-00978</t>
        </is>
      </c>
      <c r="S979" t="inlineStr">
        <is>
          <t>※예시데이터</t>
        </is>
      </c>
    </row>
    <row r="980">
      <c r="A980" t="n">
        <v>1000</v>
      </c>
      <c r="B980" t="inlineStr">
        <is>
          <t>범용수지사업부</t>
        </is>
      </c>
      <c r="C980" t="inlineStr">
        <is>
          <t>국내영업2팀</t>
        </is>
      </c>
      <c r="D980" t="inlineStr">
        <is>
          <t>C10050</t>
        </is>
      </c>
      <c r="E980" t="inlineStr">
        <is>
          <t>아름화학(주)</t>
        </is>
      </c>
      <c r="F980" t="inlineStr">
        <is>
          <t>PP</t>
        </is>
      </c>
      <c r="G980" t="inlineStr">
        <is>
          <t>M-1103</t>
        </is>
      </c>
      <c r="H980" t="inlineStr">
        <is>
          <t>PP 투명 R330</t>
        </is>
      </c>
      <c r="I980" s="43" t="n">
        <v>46270</v>
      </c>
      <c r="J980" t="n">
        <v>202609</v>
      </c>
      <c r="K980" s="44" t="n">
        <v>5225</v>
      </c>
      <c r="L980" t="inlineStr">
        <is>
          <t>KG</t>
        </is>
      </c>
      <c r="M980" s="44" t="n">
        <v>10466412</v>
      </c>
      <c r="N980" s="44" t="n">
        <v>1098973</v>
      </c>
      <c r="O980" s="44" t="n">
        <v>104664</v>
      </c>
      <c r="P980" s="44" t="n">
        <v>9262775</v>
      </c>
      <c r="Q980" t="inlineStr">
        <is>
          <t>KRW</t>
        </is>
      </c>
      <c r="R980" t="inlineStr">
        <is>
          <t>INV2609-00979</t>
        </is>
      </c>
      <c r="S980" t="inlineStr">
        <is>
          <t>※예시데이터</t>
        </is>
      </c>
    </row>
    <row r="981">
      <c r="A981" t="n">
        <v>1000</v>
      </c>
      <c r="B981" t="inlineStr">
        <is>
          <t>범용수지사업부</t>
        </is>
      </c>
      <c r="C981" t="inlineStr">
        <is>
          <t>해외영업팀</t>
        </is>
      </c>
      <c r="D981" t="inlineStr">
        <is>
          <t>C10071</t>
        </is>
      </c>
      <c r="E981" t="inlineStr">
        <is>
          <t>큰별코리아</t>
        </is>
      </c>
      <c r="F981" t="inlineStr">
        <is>
          <t>PP</t>
        </is>
      </c>
      <c r="G981" t="inlineStr">
        <is>
          <t>M-1101</t>
        </is>
      </c>
      <c r="H981" t="inlineStr">
        <is>
          <t>PP 범용사출 H110</t>
        </is>
      </c>
      <c r="I981" s="43" t="n">
        <v>46270</v>
      </c>
      <c r="J981" t="n">
        <v>202609</v>
      </c>
      <c r="K981" s="44" t="n">
        <v>4425</v>
      </c>
      <c r="L981" t="inlineStr">
        <is>
          <t>KG</t>
        </is>
      </c>
      <c r="M981" s="44" t="n">
        <v>7538883</v>
      </c>
      <c r="N981" s="44" t="n">
        <v>942360</v>
      </c>
      <c r="O981" s="44" t="n">
        <v>150778</v>
      </c>
      <c r="P981" s="44" t="n">
        <v>6445745</v>
      </c>
      <c r="Q981" t="inlineStr">
        <is>
          <t>KRW</t>
        </is>
      </c>
      <c r="R981" t="inlineStr">
        <is>
          <t>INV2609-00980</t>
        </is>
      </c>
      <c r="S981" t="inlineStr">
        <is>
          <t>※예시데이터</t>
        </is>
      </c>
    </row>
    <row r="982">
      <c r="A982" t="n">
        <v>1000</v>
      </c>
      <c r="B982" t="inlineStr">
        <is>
          <t>범용수지사업부</t>
        </is>
      </c>
      <c r="C982" t="inlineStr">
        <is>
          <t>해외영업팀</t>
        </is>
      </c>
      <c r="D982" t="inlineStr">
        <is>
          <t>C10071</t>
        </is>
      </c>
      <c r="E982" t="inlineStr">
        <is>
          <t>큰별코리아</t>
        </is>
      </c>
      <c r="F982" t="inlineStr">
        <is>
          <t>PE</t>
        </is>
      </c>
      <c r="G982" t="inlineStr">
        <is>
          <t>M-1201</t>
        </is>
      </c>
      <c r="H982" t="inlineStr">
        <is>
          <t>HDPE 블로우 B500</t>
        </is>
      </c>
      <c r="I982" s="43" t="n">
        <v>46270</v>
      </c>
      <c r="J982" t="n">
        <v>202609</v>
      </c>
      <c r="K982" s="44" t="n">
        <v>4900</v>
      </c>
      <c r="L982" t="inlineStr">
        <is>
          <t>KG</t>
        </is>
      </c>
      <c r="M982" s="44" t="n">
        <v>7644727</v>
      </c>
      <c r="N982" s="44" t="n">
        <v>955591</v>
      </c>
      <c r="O982" s="44" t="n">
        <v>152895</v>
      </c>
      <c r="P982" s="44" t="n">
        <v>6536241</v>
      </c>
      <c r="Q982" t="inlineStr">
        <is>
          <t>KRW</t>
        </is>
      </c>
      <c r="R982" t="inlineStr">
        <is>
          <t>INV2609-00981</t>
        </is>
      </c>
      <c r="S982" t="inlineStr">
        <is>
          <t>※예시데이터</t>
        </is>
      </c>
    </row>
    <row r="983">
      <c r="A983" t="n">
        <v>1000</v>
      </c>
      <c r="B983" t="inlineStr">
        <is>
          <t>EP사업부</t>
        </is>
      </c>
      <c r="C983" t="inlineStr">
        <is>
          <t>국내영업2팀</t>
        </is>
      </c>
      <c r="D983" t="inlineStr">
        <is>
          <t>C10099</t>
        </is>
      </c>
      <c r="E983" t="inlineStr">
        <is>
          <t>한울몰드</t>
        </is>
      </c>
      <c r="F983" t="inlineStr">
        <is>
          <t>ABS</t>
        </is>
      </c>
      <c r="G983" t="inlineStr">
        <is>
          <t>M-2101</t>
        </is>
      </c>
      <c r="H983" t="inlineStr">
        <is>
          <t>ABS 범용 G300</t>
        </is>
      </c>
      <c r="I983" s="43" t="n">
        <v>46270</v>
      </c>
      <c r="J983" t="n">
        <v>202609</v>
      </c>
      <c r="K983" s="44" t="n">
        <v>2375</v>
      </c>
      <c r="L983" t="inlineStr">
        <is>
          <t>KG</t>
        </is>
      </c>
      <c r="M983" s="44" t="n">
        <v>6561685</v>
      </c>
      <c r="N983" s="44" t="n">
        <v>426510</v>
      </c>
      <c r="O983" t="n">
        <v>0</v>
      </c>
      <c r="P983" s="44" t="n">
        <v>6135175</v>
      </c>
      <c r="Q983" t="inlineStr">
        <is>
          <t>KRW</t>
        </is>
      </c>
      <c r="R983" t="inlineStr">
        <is>
          <t>INV2609-00982</t>
        </is>
      </c>
      <c r="S983" t="inlineStr">
        <is>
          <t>※예시데이터</t>
        </is>
      </c>
    </row>
    <row r="984">
      <c r="A984" t="n">
        <v>1000</v>
      </c>
      <c r="B984" t="inlineStr">
        <is>
          <t>EP사업부</t>
        </is>
      </c>
      <c r="C984" t="inlineStr">
        <is>
          <t>국내영업1팀</t>
        </is>
      </c>
      <c r="D984" t="inlineStr">
        <is>
          <t>C10029</t>
        </is>
      </c>
      <c r="E984" t="inlineStr">
        <is>
          <t>마루정밀</t>
        </is>
      </c>
      <c r="F984" t="inlineStr">
        <is>
          <t>PC</t>
        </is>
      </c>
      <c r="G984" t="inlineStr">
        <is>
          <t>M-2201</t>
        </is>
      </c>
      <c r="H984" t="inlineStr">
        <is>
          <t>PC 일반 C100</t>
        </is>
      </c>
      <c r="I984" s="43" t="n">
        <v>46271</v>
      </c>
      <c r="J984" t="n">
        <v>202609</v>
      </c>
      <c r="K984" s="44" t="n">
        <v>2125</v>
      </c>
      <c r="L984" t="inlineStr">
        <is>
          <t>KG</t>
        </is>
      </c>
      <c r="M984" s="44" t="n">
        <v>8474152</v>
      </c>
      <c r="N984" s="44" t="n">
        <v>296595</v>
      </c>
      <c r="O984" t="n">
        <v>0</v>
      </c>
      <c r="P984" s="44" t="n">
        <v>8177557</v>
      </c>
      <c r="Q984" t="inlineStr">
        <is>
          <t>KRW</t>
        </is>
      </c>
      <c r="R984" t="inlineStr">
        <is>
          <t>INV2609-00983</t>
        </is>
      </c>
      <c r="S984" t="inlineStr">
        <is>
          <t>※예시데이터</t>
        </is>
      </c>
    </row>
    <row r="985">
      <c r="A985" t="n">
        <v>1000</v>
      </c>
      <c r="B985" t="inlineStr">
        <is>
          <t>EP사업부</t>
        </is>
      </c>
      <c r="C985" t="inlineStr">
        <is>
          <t>국내영업1팀</t>
        </is>
      </c>
      <c r="D985" t="inlineStr">
        <is>
          <t>C10043</t>
        </is>
      </c>
      <c r="E985" t="inlineStr">
        <is>
          <t>새봄플라스틱</t>
        </is>
      </c>
      <c r="F985" t="inlineStr">
        <is>
          <t>ABS</t>
        </is>
      </c>
      <c r="G985" t="inlineStr">
        <is>
          <t>M-2101</t>
        </is>
      </c>
      <c r="H985" t="inlineStr">
        <is>
          <t>ABS 범용 G300</t>
        </is>
      </c>
      <c r="I985" s="43" t="n">
        <v>46271</v>
      </c>
      <c r="J985" t="n">
        <v>202609</v>
      </c>
      <c r="K985" s="44" t="n">
        <v>2450</v>
      </c>
      <c r="L985" t="inlineStr">
        <is>
          <t>KG</t>
        </is>
      </c>
      <c r="M985" s="44" t="n">
        <v>6768896</v>
      </c>
      <c r="N985" s="44" t="n">
        <v>406134</v>
      </c>
      <c r="O985" t="n">
        <v>0</v>
      </c>
      <c r="P985" s="44" t="n">
        <v>6362762</v>
      </c>
      <c r="Q985" t="inlineStr">
        <is>
          <t>KRW</t>
        </is>
      </c>
      <c r="R985" t="inlineStr">
        <is>
          <t>INV2609-00984</t>
        </is>
      </c>
      <c r="S985" t="inlineStr">
        <is>
          <t>※예시데이터</t>
        </is>
      </c>
    </row>
    <row r="986">
      <c r="A986" t="n">
        <v>1000</v>
      </c>
      <c r="B986" t="inlineStr">
        <is>
          <t>EP사업부</t>
        </is>
      </c>
      <c r="C986" t="inlineStr">
        <is>
          <t>국내영업2팀</t>
        </is>
      </c>
      <c r="D986" t="inlineStr">
        <is>
          <t>C10113</t>
        </is>
      </c>
      <c r="E986" t="inlineStr">
        <is>
          <t>누리오토파츠</t>
        </is>
      </c>
      <c r="F986" t="inlineStr">
        <is>
          <t>ABS</t>
        </is>
      </c>
      <c r="G986" t="inlineStr">
        <is>
          <t>M-2102</t>
        </is>
      </c>
      <c r="H986" t="inlineStr">
        <is>
          <t>ABS 내열 HR500</t>
        </is>
      </c>
      <c r="I986" s="43" t="n">
        <v>46271</v>
      </c>
      <c r="J986" t="n">
        <v>202609</v>
      </c>
      <c r="K986" s="44" t="n">
        <v>3875</v>
      </c>
      <c r="L986" t="inlineStr">
        <is>
          <t>KG</t>
        </is>
      </c>
      <c r="M986" s="44" t="n">
        <v>12039096</v>
      </c>
      <c r="N986" s="44" t="n">
        <v>1083519</v>
      </c>
      <c r="O986" s="44" t="n">
        <v>120391</v>
      </c>
      <c r="P986" s="44" t="n">
        <v>10835186</v>
      </c>
      <c r="Q986" t="inlineStr">
        <is>
          <t>KRW</t>
        </is>
      </c>
      <c r="R986" t="inlineStr">
        <is>
          <t>INV2609-00985</t>
        </is>
      </c>
      <c r="S986" t="inlineStr">
        <is>
          <t>※예시데이터</t>
        </is>
      </c>
    </row>
    <row r="987">
      <c r="A987" t="n">
        <v>1000</v>
      </c>
      <c r="B987" t="inlineStr">
        <is>
          <t>EP사업부</t>
        </is>
      </c>
      <c r="C987" t="inlineStr">
        <is>
          <t>국내영업2팀</t>
        </is>
      </c>
      <c r="D987" t="inlineStr">
        <is>
          <t>C10113</t>
        </is>
      </c>
      <c r="E987" t="inlineStr">
        <is>
          <t>누리오토파츠</t>
        </is>
      </c>
      <c r="F987" t="inlineStr">
        <is>
          <t>PC</t>
        </is>
      </c>
      <c r="G987" t="inlineStr">
        <is>
          <t>M-2202</t>
        </is>
      </c>
      <c r="H987" t="inlineStr">
        <is>
          <t>PC 난연 FR200</t>
        </is>
      </c>
      <c r="I987" s="43" t="n">
        <v>46271</v>
      </c>
      <c r="J987" t="n">
        <v>202609</v>
      </c>
      <c r="K987" s="44" t="n">
        <v>1675</v>
      </c>
      <c r="L987" t="inlineStr">
        <is>
          <t>KG</t>
        </is>
      </c>
      <c r="M987" s="44" t="n">
        <v>7450352</v>
      </c>
      <c r="N987" s="44" t="n">
        <v>670532</v>
      </c>
      <c r="O987" s="44" t="n">
        <v>74504</v>
      </c>
      <c r="P987" s="44" t="n">
        <v>6705316</v>
      </c>
      <c r="Q987" t="inlineStr">
        <is>
          <t>KRW</t>
        </is>
      </c>
      <c r="R987" t="inlineStr">
        <is>
          <t>INV2609-00986</t>
        </is>
      </c>
      <c r="S987" t="inlineStr">
        <is>
          <t>※예시데이터</t>
        </is>
      </c>
    </row>
    <row r="988">
      <c r="A988" t="n">
        <v>1000</v>
      </c>
      <c r="B988" t="inlineStr">
        <is>
          <t>EP사업부</t>
        </is>
      </c>
      <c r="C988" t="inlineStr">
        <is>
          <t>국내영업2팀</t>
        </is>
      </c>
      <c r="D988" t="inlineStr">
        <is>
          <t>C10015</t>
        </is>
      </c>
      <c r="E988" t="inlineStr">
        <is>
          <t>다솜케미칼</t>
        </is>
      </c>
      <c r="F988" t="inlineStr">
        <is>
          <t>ABS</t>
        </is>
      </c>
      <c r="G988" t="inlineStr">
        <is>
          <t>M-2101</t>
        </is>
      </c>
      <c r="H988" t="inlineStr">
        <is>
          <t>ABS 범용 G300</t>
        </is>
      </c>
      <c r="I988" s="43" t="n">
        <v>46272</v>
      </c>
      <c r="J988" t="n">
        <v>202609</v>
      </c>
      <c r="K988" s="44" t="n">
        <v>1425</v>
      </c>
      <c r="L988" t="inlineStr">
        <is>
          <t>KG</t>
        </is>
      </c>
      <c r="M988" s="44" t="n">
        <v>3937011</v>
      </c>
      <c r="N988" s="44" t="n">
        <v>196851</v>
      </c>
      <c r="O988" t="n">
        <v>0</v>
      </c>
      <c r="P988" s="44" t="n">
        <v>3740160</v>
      </c>
      <c r="Q988" t="inlineStr">
        <is>
          <t>KRW</t>
        </is>
      </c>
      <c r="R988" t="inlineStr">
        <is>
          <t>INV2609-00987</t>
        </is>
      </c>
      <c r="S988" t="inlineStr">
        <is>
          <t>※예시데이터</t>
        </is>
      </c>
    </row>
    <row r="989">
      <c r="A989" t="n">
        <v>1000</v>
      </c>
      <c r="B989" t="inlineStr">
        <is>
          <t>EP사업부</t>
        </is>
      </c>
      <c r="C989" t="inlineStr">
        <is>
          <t>국내영업1팀</t>
        </is>
      </c>
      <c r="D989" t="inlineStr">
        <is>
          <t>C10043</t>
        </is>
      </c>
      <c r="E989" t="inlineStr">
        <is>
          <t>새봄플라스틱</t>
        </is>
      </c>
      <c r="F989" t="inlineStr">
        <is>
          <t>ABS</t>
        </is>
      </c>
      <c r="G989" t="inlineStr">
        <is>
          <t>M-2102</t>
        </is>
      </c>
      <c r="H989" t="inlineStr">
        <is>
          <t>ABS 내열 HR500</t>
        </is>
      </c>
      <c r="I989" s="43" t="n">
        <v>46272</v>
      </c>
      <c r="J989" t="n">
        <v>202609</v>
      </c>
      <c r="K989" s="44" t="n">
        <v>5550</v>
      </c>
      <c r="L989" t="inlineStr">
        <is>
          <t>KG</t>
        </is>
      </c>
      <c r="M989" s="44" t="n">
        <v>17243092</v>
      </c>
      <c r="N989" s="44" t="n">
        <v>1034586</v>
      </c>
      <c r="O989" t="n">
        <v>0</v>
      </c>
      <c r="P989" s="44" t="n">
        <v>16208506</v>
      </c>
      <c r="Q989" t="inlineStr">
        <is>
          <t>KRW</t>
        </is>
      </c>
      <c r="R989" t="inlineStr">
        <is>
          <t>INV2609-00988</t>
        </is>
      </c>
      <c r="S989" t="inlineStr">
        <is>
          <t>※예시데이터</t>
        </is>
      </c>
    </row>
    <row r="990">
      <c r="A990" t="n">
        <v>1000</v>
      </c>
      <c r="B990" t="inlineStr">
        <is>
          <t>범용수지사업부</t>
        </is>
      </c>
      <c r="C990" t="inlineStr">
        <is>
          <t>국내영업2팀</t>
        </is>
      </c>
      <c r="D990" t="inlineStr">
        <is>
          <t>C10127</t>
        </is>
      </c>
      <c r="E990" t="inlineStr">
        <is>
          <t>미르패키징</t>
        </is>
      </c>
      <c r="F990" t="inlineStr">
        <is>
          <t>PP</t>
        </is>
      </c>
      <c r="G990" t="inlineStr">
        <is>
          <t>M-1101</t>
        </is>
      </c>
      <c r="H990" t="inlineStr">
        <is>
          <t>PP 범용사출 H110</t>
        </is>
      </c>
      <c r="I990" s="43" t="n">
        <v>46272</v>
      </c>
      <c r="J990" t="n">
        <v>202609</v>
      </c>
      <c r="K990" s="44" t="n">
        <v>5525</v>
      </c>
      <c r="L990" t="inlineStr">
        <is>
          <t>KG</t>
        </is>
      </c>
      <c r="M990" s="44" t="n">
        <v>9412956</v>
      </c>
      <c r="N990" s="44" t="n">
        <v>800101</v>
      </c>
      <c r="O990" t="n">
        <v>0</v>
      </c>
      <c r="P990" s="44" t="n">
        <v>8612855</v>
      </c>
      <c r="Q990" t="inlineStr">
        <is>
          <t>KRW</t>
        </is>
      </c>
      <c r="R990" t="inlineStr">
        <is>
          <t>INV2609-00989</t>
        </is>
      </c>
      <c r="S990" t="inlineStr">
        <is>
          <t>※예시데이터</t>
        </is>
      </c>
    </row>
    <row r="991">
      <c r="A991" t="n">
        <v>1000</v>
      </c>
      <c r="B991" t="inlineStr">
        <is>
          <t>범용수지사업부</t>
        </is>
      </c>
      <c r="C991" t="inlineStr">
        <is>
          <t>해외영업팀</t>
        </is>
      </c>
      <c r="D991" t="inlineStr">
        <is>
          <t>C10071</t>
        </is>
      </c>
      <c r="E991" t="inlineStr">
        <is>
          <t>큰별코리아</t>
        </is>
      </c>
      <c r="F991" t="inlineStr">
        <is>
          <t>PE</t>
        </is>
      </c>
      <c r="G991" t="inlineStr">
        <is>
          <t>M-1202</t>
        </is>
      </c>
      <c r="H991" t="inlineStr">
        <is>
          <t>LLDPE 필름 F120</t>
        </is>
      </c>
      <c r="I991" s="43" t="n">
        <v>46273</v>
      </c>
      <c r="J991" t="n">
        <v>202609</v>
      </c>
      <c r="K991" s="44" t="n">
        <v>6250</v>
      </c>
      <c r="L991" t="inlineStr">
        <is>
          <t>KG</t>
        </is>
      </c>
      <c r="M991" s="44" t="n">
        <v>10553218</v>
      </c>
      <c r="N991" s="44" t="n">
        <v>1319152</v>
      </c>
      <c r="O991" s="44" t="n">
        <v>211064</v>
      </c>
      <c r="P991" s="44" t="n">
        <v>9023002</v>
      </c>
      <c r="Q991" t="inlineStr">
        <is>
          <t>KRW</t>
        </is>
      </c>
      <c r="R991" t="inlineStr">
        <is>
          <t>INV2609-00990</t>
        </is>
      </c>
      <c r="S991" t="inlineStr">
        <is>
          <t>※예시데이터</t>
        </is>
      </c>
    </row>
    <row r="992">
      <c r="A992" t="n">
        <v>1000</v>
      </c>
      <c r="B992" t="inlineStr">
        <is>
          <t>EP사업부</t>
        </is>
      </c>
      <c r="C992" t="inlineStr">
        <is>
          <t>국내영업2팀</t>
        </is>
      </c>
      <c r="D992" t="inlineStr">
        <is>
          <t>C10022</t>
        </is>
      </c>
      <c r="E992" t="inlineStr">
        <is>
          <t>라온테크(주)</t>
        </is>
      </c>
      <c r="F992" t="inlineStr">
        <is>
          <t>ABS</t>
        </is>
      </c>
      <c r="G992" t="inlineStr">
        <is>
          <t>M-2101</t>
        </is>
      </c>
      <c r="H992" t="inlineStr">
        <is>
          <t>ABS 범용 G300</t>
        </is>
      </c>
      <c r="I992" s="43" t="n">
        <v>46274</v>
      </c>
      <c r="J992" t="n">
        <v>202609</v>
      </c>
      <c r="K992" s="44" t="n">
        <v>6325</v>
      </c>
      <c r="L992" t="inlineStr">
        <is>
          <t>KG</t>
        </is>
      </c>
      <c r="M992" s="44" t="n">
        <v>17474804</v>
      </c>
      <c r="N992" s="44" t="n">
        <v>1922228</v>
      </c>
      <c r="O992" t="n">
        <v>0</v>
      </c>
      <c r="P992" s="44" t="n">
        <v>15552576</v>
      </c>
      <c r="Q992" t="inlineStr">
        <is>
          <t>KRW</t>
        </is>
      </c>
      <c r="R992" t="inlineStr">
        <is>
          <t>INV2609-00991</t>
        </is>
      </c>
      <c r="S992" t="inlineStr">
        <is>
          <t>※예시데이터</t>
        </is>
      </c>
    </row>
    <row r="993">
      <c r="A993" t="n">
        <v>1000</v>
      </c>
      <c r="B993" t="inlineStr">
        <is>
          <t>EP사업부</t>
        </is>
      </c>
      <c r="C993" t="inlineStr">
        <is>
          <t>국내영업2팀</t>
        </is>
      </c>
      <c r="D993" t="inlineStr">
        <is>
          <t>C10085</t>
        </is>
      </c>
      <c r="E993" t="inlineStr">
        <is>
          <t>파란하이텍</t>
        </is>
      </c>
      <c r="F993" t="inlineStr">
        <is>
          <t>PC</t>
        </is>
      </c>
      <c r="G993" t="inlineStr">
        <is>
          <t>M-2201</t>
        </is>
      </c>
      <c r="H993" t="inlineStr">
        <is>
          <t>PC 일반 C100</t>
        </is>
      </c>
      <c r="I993" s="43" t="n">
        <v>46274</v>
      </c>
      <c r="J993" t="n">
        <v>202609</v>
      </c>
      <c r="K993" s="44" t="n">
        <v>4425</v>
      </c>
      <c r="L993" t="inlineStr">
        <is>
          <t>KG</t>
        </is>
      </c>
      <c r="M993" s="44" t="n">
        <v>17646176</v>
      </c>
      <c r="N993" s="44" t="n">
        <v>1588156</v>
      </c>
      <c r="O993" t="n">
        <v>0</v>
      </c>
      <c r="P993" s="44" t="n">
        <v>16058020</v>
      </c>
      <c r="Q993" t="inlineStr">
        <is>
          <t>KRW</t>
        </is>
      </c>
      <c r="R993" t="inlineStr">
        <is>
          <t>INV2609-00992</t>
        </is>
      </c>
      <c r="S993" t="inlineStr">
        <is>
          <t>※예시데이터</t>
        </is>
      </c>
    </row>
    <row r="994">
      <c r="A994" t="n">
        <v>1000</v>
      </c>
      <c r="B994" t="inlineStr">
        <is>
          <t>EP사업부</t>
        </is>
      </c>
      <c r="C994" t="inlineStr">
        <is>
          <t>국내영업1팀</t>
        </is>
      </c>
      <c r="D994" t="inlineStr">
        <is>
          <t>C10078</t>
        </is>
      </c>
      <c r="E994" t="inlineStr">
        <is>
          <t>토담정공(주)</t>
        </is>
      </c>
      <c r="F994" t="inlineStr">
        <is>
          <t>ABS</t>
        </is>
      </c>
      <c r="G994" t="inlineStr">
        <is>
          <t>M-2102</t>
        </is>
      </c>
      <c r="H994" t="inlineStr">
        <is>
          <t>ABS 내열 HR500</t>
        </is>
      </c>
      <c r="I994" s="43" t="n">
        <v>46275</v>
      </c>
      <c r="J994" t="n">
        <v>202609</v>
      </c>
      <c r="K994" t="n">
        <v>-325</v>
      </c>
      <c r="L994" t="inlineStr">
        <is>
          <t>KG</t>
        </is>
      </c>
      <c r="M994" s="44" t="n">
        <v>-1013219</v>
      </c>
      <c r="N994" s="44" t="n">
        <v>-30397</v>
      </c>
      <c r="O994" t="n">
        <v>0</v>
      </c>
      <c r="P994" s="44" t="n">
        <v>-982822</v>
      </c>
      <c r="Q994" t="inlineStr">
        <is>
          <t>KRW</t>
        </is>
      </c>
      <c r="R994" t="inlineStr">
        <is>
          <t>INV2609-00993</t>
        </is>
      </c>
      <c r="S994" t="inlineStr">
        <is>
          <t>※예시데이터</t>
        </is>
      </c>
    </row>
    <row r="995">
      <c r="A995" t="n">
        <v>1000</v>
      </c>
      <c r="B995" t="inlineStr">
        <is>
          <t>범용수지사업부</t>
        </is>
      </c>
      <c r="C995" t="inlineStr">
        <is>
          <t>국내영업2팀</t>
        </is>
      </c>
      <c r="D995" t="inlineStr">
        <is>
          <t>C10127</t>
        </is>
      </c>
      <c r="E995" t="inlineStr">
        <is>
          <t>미르패키징</t>
        </is>
      </c>
      <c r="F995" t="inlineStr">
        <is>
          <t>PE</t>
        </is>
      </c>
      <c r="G995" t="inlineStr">
        <is>
          <t>M-1201</t>
        </is>
      </c>
      <c r="H995" t="inlineStr">
        <is>
          <t>HDPE 블로우 B500</t>
        </is>
      </c>
      <c r="I995" s="43" t="n">
        <v>46275</v>
      </c>
      <c r="J995" t="n">
        <v>202609</v>
      </c>
      <c r="K995" s="44" t="n">
        <v>2475</v>
      </c>
      <c r="L995" t="inlineStr">
        <is>
          <t>KG</t>
        </is>
      </c>
      <c r="M995" s="44" t="n">
        <v>3861367</v>
      </c>
      <c r="N995" s="44" t="n">
        <v>328216</v>
      </c>
      <c r="O995" t="n">
        <v>0</v>
      </c>
      <c r="P995" s="44" t="n">
        <v>3533151</v>
      </c>
      <c r="Q995" t="inlineStr">
        <is>
          <t>KRW</t>
        </is>
      </c>
      <c r="R995" t="inlineStr">
        <is>
          <t>INV2609-00994</t>
        </is>
      </c>
      <c r="S995" t="inlineStr">
        <is>
          <t>※예시데이터</t>
        </is>
      </c>
    </row>
    <row r="996">
      <c r="A996" t="n">
        <v>1000</v>
      </c>
      <c r="B996" t="inlineStr">
        <is>
          <t>EP사업부</t>
        </is>
      </c>
      <c r="C996" t="inlineStr">
        <is>
          <t>국내영업2팀</t>
        </is>
      </c>
      <c r="D996" t="inlineStr">
        <is>
          <t>C10015</t>
        </is>
      </c>
      <c r="E996" t="inlineStr">
        <is>
          <t>다솜케미칼</t>
        </is>
      </c>
      <c r="F996" t="inlineStr">
        <is>
          <t>ABS</t>
        </is>
      </c>
      <c r="G996" t="inlineStr">
        <is>
          <t>M-2101</t>
        </is>
      </c>
      <c r="H996" t="inlineStr">
        <is>
          <t>ABS 범용 G300</t>
        </is>
      </c>
      <c r="I996" s="43" t="n">
        <v>46276</v>
      </c>
      <c r="J996" t="n">
        <v>202609</v>
      </c>
      <c r="K996" s="44" t="n">
        <v>1425</v>
      </c>
      <c r="L996" t="inlineStr">
        <is>
          <t>KG</t>
        </is>
      </c>
      <c r="M996" s="44" t="n">
        <v>3937011</v>
      </c>
      <c r="N996" s="44" t="n">
        <v>196851</v>
      </c>
      <c r="O996" t="n">
        <v>0</v>
      </c>
      <c r="P996" s="44" t="n">
        <v>3740160</v>
      </c>
      <c r="Q996" t="inlineStr">
        <is>
          <t>KRW</t>
        </is>
      </c>
      <c r="R996" t="inlineStr">
        <is>
          <t>INV2609-00995</t>
        </is>
      </c>
      <c r="S996" t="inlineStr">
        <is>
          <t>※예시데이터</t>
        </is>
      </c>
    </row>
    <row r="997">
      <c r="A997" t="n">
        <v>1000</v>
      </c>
      <c r="B997" t="inlineStr">
        <is>
          <t>범용수지사업부</t>
        </is>
      </c>
      <c r="C997" t="inlineStr">
        <is>
          <t>국내영업2팀</t>
        </is>
      </c>
      <c r="D997" t="inlineStr">
        <is>
          <t>C10050</t>
        </is>
      </c>
      <c r="E997" t="inlineStr">
        <is>
          <t>아름화학(주)</t>
        </is>
      </c>
      <c r="F997" t="inlineStr">
        <is>
          <t>PP</t>
        </is>
      </c>
      <c r="G997" t="inlineStr">
        <is>
          <t>M-1103</t>
        </is>
      </c>
      <c r="H997" t="inlineStr">
        <is>
          <t>PP 투명 R330</t>
        </is>
      </c>
      <c r="I997" s="43" t="n">
        <v>46276</v>
      </c>
      <c r="J997" t="n">
        <v>202609</v>
      </c>
      <c r="K997" s="44" t="n">
        <v>5225</v>
      </c>
      <c r="L997" t="inlineStr">
        <is>
          <t>KG</t>
        </is>
      </c>
      <c r="M997" s="44" t="n">
        <v>10466412</v>
      </c>
      <c r="N997" s="44" t="n">
        <v>1098973</v>
      </c>
      <c r="O997" s="44" t="n">
        <v>104664</v>
      </c>
      <c r="P997" s="44" t="n">
        <v>9262775</v>
      </c>
      <c r="Q997" t="inlineStr">
        <is>
          <t>KRW</t>
        </is>
      </c>
      <c r="R997" t="inlineStr">
        <is>
          <t>INV2609-00996</t>
        </is>
      </c>
      <c r="S997" t="inlineStr">
        <is>
          <t>※예시데이터</t>
        </is>
      </c>
    </row>
    <row r="998">
      <c r="A998" t="n">
        <v>1000</v>
      </c>
      <c r="B998" t="inlineStr">
        <is>
          <t>EP사업부</t>
        </is>
      </c>
      <c r="C998" t="inlineStr">
        <is>
          <t>국내영업1팀</t>
        </is>
      </c>
      <c r="D998" t="inlineStr">
        <is>
          <t>C10057</t>
        </is>
      </c>
      <c r="E998" t="inlineStr">
        <is>
          <t>자연엠텍</t>
        </is>
      </c>
      <c r="F998" t="inlineStr">
        <is>
          <t>PC</t>
        </is>
      </c>
      <c r="G998" t="inlineStr">
        <is>
          <t>M-2201</t>
        </is>
      </c>
      <c r="H998" t="inlineStr">
        <is>
          <t>PC 일반 C100</t>
        </is>
      </c>
      <c r="I998" s="43" t="n">
        <v>46276</v>
      </c>
      <c r="J998" t="n">
        <v>202609</v>
      </c>
      <c r="K998" t="n">
        <v>-200</v>
      </c>
      <c r="L998" t="inlineStr">
        <is>
          <t>KG</t>
        </is>
      </c>
      <c r="M998" s="44" t="n">
        <v>-800323</v>
      </c>
      <c r="N998" s="44" t="n">
        <v>-28011</v>
      </c>
      <c r="O998" t="n">
        <v>0</v>
      </c>
      <c r="P998" s="44" t="n">
        <v>-772312</v>
      </c>
      <c r="Q998" t="inlineStr">
        <is>
          <t>KRW</t>
        </is>
      </c>
      <c r="R998" t="inlineStr">
        <is>
          <t>INV2609-00997</t>
        </is>
      </c>
      <c r="S998" t="inlineStr">
        <is>
          <t>※예시데이터</t>
        </is>
      </c>
    </row>
    <row r="999">
      <c r="A999" t="n">
        <v>1000</v>
      </c>
      <c r="B999" t="inlineStr">
        <is>
          <t>EP사업부</t>
        </is>
      </c>
      <c r="C999" t="inlineStr">
        <is>
          <t>국내영업1팀</t>
        </is>
      </c>
      <c r="D999" t="inlineStr">
        <is>
          <t>C10078</t>
        </is>
      </c>
      <c r="E999" t="inlineStr">
        <is>
          <t>토담정공(주)</t>
        </is>
      </c>
      <c r="F999" t="inlineStr">
        <is>
          <t>ABS</t>
        </is>
      </c>
      <c r="G999" t="inlineStr">
        <is>
          <t>M-2102</t>
        </is>
      </c>
      <c r="H999" t="inlineStr">
        <is>
          <t>ABS 내열 HR500</t>
        </is>
      </c>
      <c r="I999" s="43" t="n">
        <v>46277</v>
      </c>
      <c r="J999" t="n">
        <v>202609</v>
      </c>
      <c r="K999" s="44" t="n">
        <v>1425</v>
      </c>
      <c r="L999" t="inlineStr">
        <is>
          <t>KG</t>
        </is>
      </c>
      <c r="M999" s="44" t="n">
        <v>4427280</v>
      </c>
      <c r="N999" s="44" t="n">
        <v>132818</v>
      </c>
      <c r="O999" t="n">
        <v>0</v>
      </c>
      <c r="P999" s="44" t="n">
        <v>4294462</v>
      </c>
      <c r="Q999" t="inlineStr">
        <is>
          <t>KRW</t>
        </is>
      </c>
      <c r="R999" t="inlineStr">
        <is>
          <t>INV2609-00998</t>
        </is>
      </c>
      <c r="S999" t="inlineStr">
        <is>
          <t>※예시데이터</t>
        </is>
      </c>
    </row>
    <row r="1000">
      <c r="A1000" t="n">
        <v>1000</v>
      </c>
      <c r="B1000" t="inlineStr">
        <is>
          <t>범용수지사업부</t>
        </is>
      </c>
      <c r="C1000" t="inlineStr">
        <is>
          <t>국내영업2팀</t>
        </is>
      </c>
      <c r="D1000" t="inlineStr">
        <is>
          <t>C10099</t>
        </is>
      </c>
      <c r="E1000" t="inlineStr">
        <is>
          <t>한울몰드</t>
        </is>
      </c>
      <c r="F1000" t="inlineStr">
        <is>
          <t>PP</t>
        </is>
      </c>
      <c r="G1000" t="inlineStr">
        <is>
          <t>M-1101</t>
        </is>
      </c>
      <c r="H1000" t="inlineStr">
        <is>
          <t>PP 범용사출 H110</t>
        </is>
      </c>
      <c r="I1000" s="43" t="n">
        <v>46277</v>
      </c>
      <c r="J1000" t="n">
        <v>202609</v>
      </c>
      <c r="K1000" s="44" t="n">
        <v>2400</v>
      </c>
      <c r="L1000" t="inlineStr">
        <is>
          <t>KG</t>
        </is>
      </c>
      <c r="M1000" s="44" t="n">
        <v>4088886</v>
      </c>
      <c r="N1000" s="44" t="n">
        <v>265778</v>
      </c>
      <c r="O1000" t="n">
        <v>0</v>
      </c>
      <c r="P1000" s="44" t="n">
        <v>3823108</v>
      </c>
      <c r="Q1000" t="inlineStr">
        <is>
          <t>KRW</t>
        </is>
      </c>
      <c r="R1000" t="inlineStr">
        <is>
          <t>INV2609-00999</t>
        </is>
      </c>
      <c r="S1000" t="inlineStr">
        <is>
          <t>※예시데이터</t>
        </is>
      </c>
    </row>
    <row r="1001">
      <c r="A1001" t="n">
        <v>1000</v>
      </c>
      <c r="B1001" t="inlineStr">
        <is>
          <t>범용수지사업부</t>
        </is>
      </c>
      <c r="C1001" t="inlineStr">
        <is>
          <t>국내영업1팀</t>
        </is>
      </c>
      <c r="D1001" t="inlineStr">
        <is>
          <t>C10106</t>
        </is>
      </c>
      <c r="E1001" t="inlineStr">
        <is>
          <t>온새미사출</t>
        </is>
      </c>
      <c r="F1001" t="inlineStr">
        <is>
          <t>PP</t>
        </is>
      </c>
      <c r="G1001" t="inlineStr">
        <is>
          <t>M-1101</t>
        </is>
      </c>
      <c r="H1001" t="inlineStr">
        <is>
          <t>PP 범용사출 H110</t>
        </is>
      </c>
      <c r="I1001" s="43" t="n">
        <v>46278</v>
      </c>
      <c r="J1001" t="n">
        <v>202609</v>
      </c>
      <c r="K1001" s="44" t="n">
        <v>5375</v>
      </c>
      <c r="L1001" t="inlineStr">
        <is>
          <t>KG</t>
        </is>
      </c>
      <c r="M1001" s="44" t="n">
        <v>9157400</v>
      </c>
      <c r="N1001" s="44" t="n">
        <v>457870</v>
      </c>
      <c r="O1001" t="n">
        <v>0</v>
      </c>
      <c r="P1001" s="44" t="n">
        <v>8699530</v>
      </c>
      <c r="Q1001" t="inlineStr">
        <is>
          <t>KRW</t>
        </is>
      </c>
      <c r="R1001" t="inlineStr">
        <is>
          <t>INV2609-01000</t>
        </is>
      </c>
      <c r="S1001" t="inlineStr">
        <is>
          <t>※예시데이터</t>
        </is>
      </c>
    </row>
    <row r="1002">
      <c r="A1002" t="n">
        <v>1000</v>
      </c>
      <c r="B1002" t="inlineStr">
        <is>
          <t>EP사업부</t>
        </is>
      </c>
      <c r="C1002" t="inlineStr">
        <is>
          <t>국내영업2팀</t>
        </is>
      </c>
      <c r="D1002" t="inlineStr">
        <is>
          <t>C10015</t>
        </is>
      </c>
      <c r="E1002" t="inlineStr">
        <is>
          <t>다솜케미칼</t>
        </is>
      </c>
      <c r="F1002" t="inlineStr">
        <is>
          <t>PC</t>
        </is>
      </c>
      <c r="G1002" t="inlineStr">
        <is>
          <t>M-2202</t>
        </is>
      </c>
      <c r="H1002" t="inlineStr">
        <is>
          <t>PC 난연 FR200</t>
        </is>
      </c>
      <c r="I1002" s="43" t="n">
        <v>46279</v>
      </c>
      <c r="J1002" t="n">
        <v>202609</v>
      </c>
      <c r="K1002" s="44" t="n">
        <v>1450</v>
      </c>
      <c r="L1002" t="inlineStr">
        <is>
          <t>KG</t>
        </is>
      </c>
      <c r="M1002" s="44" t="n">
        <v>6449559</v>
      </c>
      <c r="N1002" s="44" t="n">
        <v>322478</v>
      </c>
      <c r="O1002" t="n">
        <v>0</v>
      </c>
      <c r="P1002" s="44" t="n">
        <v>6127081</v>
      </c>
      <c r="Q1002" t="inlineStr">
        <is>
          <t>KRW</t>
        </is>
      </c>
      <c r="R1002" t="inlineStr">
        <is>
          <t>INV2609-01001</t>
        </is>
      </c>
      <c r="S1002" t="inlineStr">
        <is>
          <t>※예시데이터</t>
        </is>
      </c>
    </row>
    <row r="1003">
      <c r="A1003" t="n">
        <v>1000</v>
      </c>
      <c r="B1003" t="inlineStr">
        <is>
          <t>EP사업부</t>
        </is>
      </c>
      <c r="C1003" t="inlineStr">
        <is>
          <t>국내영업2팀</t>
        </is>
      </c>
      <c r="D1003" t="inlineStr">
        <is>
          <t>C10015</t>
        </is>
      </c>
      <c r="E1003" t="inlineStr">
        <is>
          <t>다솜케미칼</t>
        </is>
      </c>
      <c r="F1003" t="inlineStr">
        <is>
          <t>PC</t>
        </is>
      </c>
      <c r="G1003" t="inlineStr">
        <is>
          <t>M-2202</t>
        </is>
      </c>
      <c r="H1003" t="inlineStr">
        <is>
          <t>PC 난연 FR200</t>
        </is>
      </c>
      <c r="I1003" s="43" t="n">
        <v>46279</v>
      </c>
      <c r="J1003" t="n">
        <v>202609</v>
      </c>
      <c r="K1003" s="44" t="n">
        <v>1450</v>
      </c>
      <c r="L1003" t="inlineStr">
        <is>
          <t>KG</t>
        </is>
      </c>
      <c r="M1003" s="44" t="n">
        <v>6449559</v>
      </c>
      <c r="N1003" s="44" t="n">
        <v>322478</v>
      </c>
      <c r="O1003" t="n">
        <v>0</v>
      </c>
      <c r="P1003" s="44" t="n">
        <v>6127081</v>
      </c>
      <c r="Q1003" t="inlineStr">
        <is>
          <t>KRW</t>
        </is>
      </c>
      <c r="R1003" t="inlineStr">
        <is>
          <t>INV2609-01002</t>
        </is>
      </c>
      <c r="S1003" t="inlineStr">
        <is>
          <t>※예시데이터</t>
        </is>
      </c>
    </row>
    <row r="1004">
      <c r="A1004" t="n">
        <v>1000</v>
      </c>
      <c r="B1004" t="inlineStr">
        <is>
          <t>범용수지사업부</t>
        </is>
      </c>
      <c r="C1004" t="inlineStr">
        <is>
          <t>해외영업팀</t>
        </is>
      </c>
      <c r="D1004" t="inlineStr">
        <is>
          <t>C10071</t>
        </is>
      </c>
      <c r="E1004" t="inlineStr">
        <is>
          <t>큰별코리아</t>
        </is>
      </c>
      <c r="F1004" t="inlineStr">
        <is>
          <t>PP</t>
        </is>
      </c>
      <c r="G1004" t="inlineStr">
        <is>
          <t>M-1101</t>
        </is>
      </c>
      <c r="H1004" t="inlineStr">
        <is>
          <t>PP 범용사출 H110</t>
        </is>
      </c>
      <c r="I1004" s="43" t="n">
        <v>46279</v>
      </c>
      <c r="J1004" t="n">
        <v>202609</v>
      </c>
      <c r="K1004" s="44" t="n">
        <v>4425</v>
      </c>
      <c r="L1004" t="inlineStr">
        <is>
          <t>KG</t>
        </is>
      </c>
      <c r="M1004" s="44" t="n">
        <v>7538883</v>
      </c>
      <c r="N1004" s="44" t="n">
        <v>942360</v>
      </c>
      <c r="O1004" s="44" t="n">
        <v>150778</v>
      </c>
      <c r="P1004" s="44" t="n">
        <v>6445745</v>
      </c>
      <c r="Q1004" t="inlineStr">
        <is>
          <t>KRW</t>
        </is>
      </c>
      <c r="R1004" t="inlineStr">
        <is>
          <t>INV2609-01003</t>
        </is>
      </c>
      <c r="S1004" t="inlineStr">
        <is>
          <t>※예시데이터</t>
        </is>
      </c>
    </row>
    <row r="1005">
      <c r="A1005" t="n">
        <v>1000</v>
      </c>
      <c r="B1005" t="inlineStr">
        <is>
          <t>범용수지사업부</t>
        </is>
      </c>
      <c r="C1005" t="inlineStr">
        <is>
          <t>국내영업1팀</t>
        </is>
      </c>
      <c r="D1005" t="inlineStr">
        <is>
          <t>C10001</t>
        </is>
      </c>
      <c r="E1005" t="inlineStr">
        <is>
          <t>가온소재(주)</t>
        </is>
      </c>
      <c r="F1005" t="inlineStr">
        <is>
          <t>PE</t>
        </is>
      </c>
      <c r="G1005" t="inlineStr">
        <is>
          <t>M-1201</t>
        </is>
      </c>
      <c r="H1005" t="inlineStr">
        <is>
          <t>HDPE 블로우 B500</t>
        </is>
      </c>
      <c r="I1005" s="43" t="n">
        <v>46280</v>
      </c>
      <c r="J1005" t="n">
        <v>202609</v>
      </c>
      <c r="K1005" s="44" t="n">
        <v>2000</v>
      </c>
      <c r="L1005" t="inlineStr">
        <is>
          <t>KG</t>
        </is>
      </c>
      <c r="M1005" s="44" t="n">
        <v>3120297</v>
      </c>
      <c r="N1005" s="44" t="n">
        <v>156015</v>
      </c>
      <c r="O1005" t="n">
        <v>0</v>
      </c>
      <c r="P1005" s="44" t="n">
        <v>2964282</v>
      </c>
      <c r="Q1005" t="inlineStr">
        <is>
          <t>KRW</t>
        </is>
      </c>
      <c r="R1005" t="inlineStr">
        <is>
          <t>INV2609-01004</t>
        </is>
      </c>
      <c r="S1005" t="inlineStr">
        <is>
          <t>※예시데이터</t>
        </is>
      </c>
    </row>
    <row r="1006">
      <c r="A1006" t="n">
        <v>1000</v>
      </c>
      <c r="B1006" t="inlineStr">
        <is>
          <t>EP사업부</t>
        </is>
      </c>
      <c r="C1006" t="inlineStr">
        <is>
          <t>국내영업2팀</t>
        </is>
      </c>
      <c r="D1006" t="inlineStr">
        <is>
          <t>C10113</t>
        </is>
      </c>
      <c r="E1006" t="inlineStr">
        <is>
          <t>누리오토파츠</t>
        </is>
      </c>
      <c r="F1006" t="inlineStr">
        <is>
          <t>ABS</t>
        </is>
      </c>
      <c r="G1006" t="inlineStr">
        <is>
          <t>M-2101</t>
        </is>
      </c>
      <c r="H1006" t="inlineStr">
        <is>
          <t>ABS 범용 G300</t>
        </is>
      </c>
      <c r="I1006" s="43" t="n">
        <v>46280</v>
      </c>
      <c r="J1006" t="n">
        <v>202609</v>
      </c>
      <c r="K1006" s="44" t="n">
        <v>1750</v>
      </c>
      <c r="L1006" t="inlineStr">
        <is>
          <t>KG</t>
        </is>
      </c>
      <c r="M1006" s="44" t="n">
        <v>4834926</v>
      </c>
      <c r="N1006" s="44" t="n">
        <v>435143</v>
      </c>
      <c r="O1006" s="44" t="n">
        <v>48349</v>
      </c>
      <c r="P1006" s="44" t="n">
        <v>4351434</v>
      </c>
      <c r="Q1006" t="inlineStr">
        <is>
          <t>KRW</t>
        </is>
      </c>
      <c r="R1006" t="inlineStr">
        <is>
          <t>INV2609-01005</t>
        </is>
      </c>
      <c r="S1006" t="inlineStr">
        <is>
          <t>※예시데이터</t>
        </is>
      </c>
    </row>
    <row r="1007">
      <c r="A1007" t="n">
        <v>1000</v>
      </c>
      <c r="B1007" t="inlineStr">
        <is>
          <t>범용수지사업부</t>
        </is>
      </c>
      <c r="C1007" t="inlineStr">
        <is>
          <t>국내영업2팀</t>
        </is>
      </c>
      <c r="D1007" t="inlineStr">
        <is>
          <t>C10036</t>
        </is>
      </c>
      <c r="E1007" t="inlineStr">
        <is>
          <t>바른물산</t>
        </is>
      </c>
      <c r="F1007" t="inlineStr">
        <is>
          <t>PE</t>
        </is>
      </c>
      <c r="G1007" t="inlineStr">
        <is>
          <t>M-1201</t>
        </is>
      </c>
      <c r="H1007" t="inlineStr">
        <is>
          <t>HDPE 블로우 B500</t>
        </is>
      </c>
      <c r="I1007" s="43" t="n">
        <v>46282</v>
      </c>
      <c r="J1007" t="n">
        <v>202609</v>
      </c>
      <c r="K1007" s="44" t="n">
        <v>7425</v>
      </c>
      <c r="L1007" t="inlineStr">
        <is>
          <t>KG</t>
        </is>
      </c>
      <c r="M1007" s="44" t="n">
        <v>11584101</v>
      </c>
      <c r="N1007" s="44" t="n">
        <v>1158410</v>
      </c>
      <c r="O1007" s="44" t="n">
        <v>231682</v>
      </c>
      <c r="P1007" s="44" t="n">
        <v>10194009</v>
      </c>
      <c r="Q1007" t="inlineStr">
        <is>
          <t>KRW</t>
        </is>
      </c>
      <c r="R1007" t="inlineStr">
        <is>
          <t>INV2609-01006</t>
        </is>
      </c>
      <c r="S1007" t="inlineStr">
        <is>
          <t>※예시데이터</t>
        </is>
      </c>
    </row>
    <row r="1008">
      <c r="A1008" t="n">
        <v>1000</v>
      </c>
      <c r="B1008" t="inlineStr">
        <is>
          <t>범용수지사업부</t>
        </is>
      </c>
      <c r="C1008" t="inlineStr">
        <is>
          <t>국내영업1팀</t>
        </is>
      </c>
      <c r="D1008" t="inlineStr">
        <is>
          <t>C10001</t>
        </is>
      </c>
      <c r="E1008" t="inlineStr">
        <is>
          <t>가온소재(주)</t>
        </is>
      </c>
      <c r="F1008" t="inlineStr">
        <is>
          <t>PE</t>
        </is>
      </c>
      <c r="G1008" t="inlineStr">
        <is>
          <t>M-1202</t>
        </is>
      </c>
      <c r="H1008" t="inlineStr">
        <is>
          <t>LLDPE 필름 F120</t>
        </is>
      </c>
      <c r="I1008" s="43" t="n">
        <v>46283</v>
      </c>
      <c r="J1008" t="n">
        <v>202609</v>
      </c>
      <c r="K1008" s="44" t="n">
        <v>5125</v>
      </c>
      <c r="L1008" t="inlineStr">
        <is>
          <t>KG</t>
        </is>
      </c>
      <c r="M1008" s="44" t="n">
        <v>8653639</v>
      </c>
      <c r="N1008" s="44" t="n">
        <v>432682</v>
      </c>
      <c r="O1008" t="n">
        <v>0</v>
      </c>
      <c r="P1008" s="44" t="n">
        <v>8220957</v>
      </c>
      <c r="Q1008" t="inlineStr">
        <is>
          <t>KRW</t>
        </is>
      </c>
      <c r="R1008" t="inlineStr">
        <is>
          <t>INV2609-01007</t>
        </is>
      </c>
      <c r="S1008" t="inlineStr">
        <is>
          <t>※예시데이터</t>
        </is>
      </c>
    </row>
    <row r="1009">
      <c r="A1009" t="n">
        <v>1000</v>
      </c>
      <c r="B1009" t="inlineStr">
        <is>
          <t>범용수지사업부</t>
        </is>
      </c>
      <c r="C1009" t="inlineStr">
        <is>
          <t>해외영업팀</t>
        </is>
      </c>
      <c r="D1009" t="inlineStr">
        <is>
          <t>C10141</t>
        </is>
      </c>
      <c r="E1009" t="inlineStr">
        <is>
          <t>Sinar Plastik (ID)</t>
        </is>
      </c>
      <c r="F1009" t="inlineStr">
        <is>
          <t>PP</t>
        </is>
      </c>
      <c r="G1009" t="inlineStr">
        <is>
          <t>M-1102</t>
        </is>
      </c>
      <c r="H1009" t="inlineStr">
        <is>
          <t>PP 고강성 H220</t>
        </is>
      </c>
      <c r="I1009" s="43" t="n">
        <v>46283</v>
      </c>
      <c r="J1009" t="n">
        <v>202609</v>
      </c>
      <c r="K1009" s="44" t="n">
        <v>9600</v>
      </c>
      <c r="L1009" t="inlineStr">
        <is>
          <t>KG</t>
        </is>
      </c>
      <c r="M1009" s="44" t="n">
        <v>18040659</v>
      </c>
      <c r="N1009" s="44" t="n">
        <v>2525692</v>
      </c>
      <c r="O1009" t="n">
        <v>0</v>
      </c>
      <c r="P1009" s="44" t="n">
        <v>15514967</v>
      </c>
      <c r="Q1009" t="inlineStr">
        <is>
          <t>KRW</t>
        </is>
      </c>
      <c r="R1009" t="inlineStr">
        <is>
          <t>INV2609-01008</t>
        </is>
      </c>
      <c r="S1009" t="inlineStr">
        <is>
          <t>※예시데이터</t>
        </is>
      </c>
    </row>
    <row r="1010">
      <c r="A1010" t="n">
        <v>1000</v>
      </c>
      <c r="B1010" t="inlineStr">
        <is>
          <t>범용수지사업부</t>
        </is>
      </c>
      <c r="C1010" t="inlineStr">
        <is>
          <t>국내영업1팀</t>
        </is>
      </c>
      <c r="D1010" t="inlineStr">
        <is>
          <t>C10092</t>
        </is>
      </c>
      <c r="E1010" t="inlineStr">
        <is>
          <t>하늘포장(주)</t>
        </is>
      </c>
      <c r="F1010" t="inlineStr">
        <is>
          <t>PE</t>
        </is>
      </c>
      <c r="G1010" t="inlineStr">
        <is>
          <t>M-1201</t>
        </is>
      </c>
      <c r="H1010" t="inlineStr">
        <is>
          <t>HDPE 블로우 B500</t>
        </is>
      </c>
      <c r="I1010" s="43" t="n">
        <v>46284</v>
      </c>
      <c r="J1010" t="n">
        <v>202609</v>
      </c>
      <c r="K1010" s="44" t="n">
        <v>6350</v>
      </c>
      <c r="L1010" t="inlineStr">
        <is>
          <t>KG</t>
        </is>
      </c>
      <c r="M1010" s="44" t="n">
        <v>9906942</v>
      </c>
      <c r="N1010" s="44" t="n">
        <v>693486</v>
      </c>
      <c r="O1010" t="n">
        <v>0</v>
      </c>
      <c r="P1010" s="44" t="n">
        <v>9213456</v>
      </c>
      <c r="Q1010" t="inlineStr">
        <is>
          <t>KRW</t>
        </is>
      </c>
      <c r="R1010" t="inlineStr">
        <is>
          <t>INV2609-01009</t>
        </is>
      </c>
      <c r="S1010" t="inlineStr">
        <is>
          <t>※예시데이터</t>
        </is>
      </c>
    </row>
    <row r="1011">
      <c r="A1011" t="n">
        <v>1000</v>
      </c>
      <c r="B1011" t="inlineStr">
        <is>
          <t>EP사업부</t>
        </is>
      </c>
      <c r="C1011" t="inlineStr">
        <is>
          <t>국내영업1팀</t>
        </is>
      </c>
      <c r="D1011" t="inlineStr">
        <is>
          <t>C10043</t>
        </is>
      </c>
      <c r="E1011" t="inlineStr">
        <is>
          <t>새봄플라스틱</t>
        </is>
      </c>
      <c r="F1011" t="inlineStr">
        <is>
          <t>ABS</t>
        </is>
      </c>
      <c r="G1011" t="inlineStr">
        <is>
          <t>M-2101</t>
        </is>
      </c>
      <c r="H1011" t="inlineStr">
        <is>
          <t>ABS 범용 G300</t>
        </is>
      </c>
      <c r="I1011" s="43" t="n">
        <v>46285</v>
      </c>
      <c r="J1011" t="n">
        <v>202609</v>
      </c>
      <c r="K1011" s="44" t="n">
        <v>2450</v>
      </c>
      <c r="L1011" t="inlineStr">
        <is>
          <t>KG</t>
        </is>
      </c>
      <c r="M1011" s="44" t="n">
        <v>6768896</v>
      </c>
      <c r="N1011" s="44" t="n">
        <v>406134</v>
      </c>
      <c r="O1011" t="n">
        <v>0</v>
      </c>
      <c r="P1011" s="44" t="n">
        <v>6362762</v>
      </c>
      <c r="Q1011" t="inlineStr">
        <is>
          <t>KRW</t>
        </is>
      </c>
      <c r="R1011" t="inlineStr">
        <is>
          <t>INV2609-01010</t>
        </is>
      </c>
      <c r="S1011" t="inlineStr">
        <is>
          <t>※예시데이터</t>
        </is>
      </c>
    </row>
    <row r="1012">
      <c r="A1012" t="n">
        <v>1000</v>
      </c>
      <c r="B1012" t="inlineStr">
        <is>
          <t>범용수지사업부</t>
        </is>
      </c>
      <c r="C1012" t="inlineStr">
        <is>
          <t>국내영업1팀</t>
        </is>
      </c>
      <c r="D1012" t="inlineStr">
        <is>
          <t>C10092</t>
        </is>
      </c>
      <c r="E1012" t="inlineStr">
        <is>
          <t>하늘포장(주)</t>
        </is>
      </c>
      <c r="F1012" t="inlineStr">
        <is>
          <t>PE</t>
        </is>
      </c>
      <c r="G1012" t="inlineStr">
        <is>
          <t>M-1201</t>
        </is>
      </c>
      <c r="H1012" t="inlineStr">
        <is>
          <t>HDPE 블로우 B500</t>
        </is>
      </c>
      <c r="I1012" s="43" t="n">
        <v>46285</v>
      </c>
      <c r="J1012" t="n">
        <v>202609</v>
      </c>
      <c r="K1012" s="44" t="n">
        <v>6350</v>
      </c>
      <c r="L1012" t="inlineStr">
        <is>
          <t>KG</t>
        </is>
      </c>
      <c r="M1012" s="44" t="n">
        <v>9906942</v>
      </c>
      <c r="N1012" s="44" t="n">
        <v>693486</v>
      </c>
      <c r="O1012" t="n">
        <v>0</v>
      </c>
      <c r="P1012" s="44" t="n">
        <v>9213456</v>
      </c>
      <c r="Q1012" t="inlineStr">
        <is>
          <t>KRW</t>
        </is>
      </c>
      <c r="R1012" t="inlineStr">
        <is>
          <t>INV2609-01011</t>
        </is>
      </c>
      <c r="S1012" t="inlineStr">
        <is>
          <t>※예시데이터</t>
        </is>
      </c>
    </row>
    <row r="1013">
      <c r="A1013" t="n">
        <v>1000</v>
      </c>
      <c r="B1013" t="inlineStr">
        <is>
          <t>EP사업부</t>
        </is>
      </c>
      <c r="C1013" t="inlineStr">
        <is>
          <t>국내영업2팀</t>
        </is>
      </c>
      <c r="D1013" t="inlineStr">
        <is>
          <t>C10113</t>
        </is>
      </c>
      <c r="E1013" t="inlineStr">
        <is>
          <t>누리오토파츠</t>
        </is>
      </c>
      <c r="F1013" t="inlineStr">
        <is>
          <t>ABS</t>
        </is>
      </c>
      <c r="G1013" t="inlineStr">
        <is>
          <t>M-2101</t>
        </is>
      </c>
      <c r="H1013" t="inlineStr">
        <is>
          <t>ABS 범용 G300</t>
        </is>
      </c>
      <c r="I1013" s="43" t="n">
        <v>46285</v>
      </c>
      <c r="J1013" t="n">
        <v>202609</v>
      </c>
      <c r="K1013" s="44" t="n">
        <v>1750</v>
      </c>
      <c r="L1013" t="inlineStr">
        <is>
          <t>KG</t>
        </is>
      </c>
      <c r="M1013" s="44" t="n">
        <v>4834926</v>
      </c>
      <c r="N1013" s="44" t="n">
        <v>435143</v>
      </c>
      <c r="O1013" s="44" t="n">
        <v>48349</v>
      </c>
      <c r="P1013" s="44" t="n">
        <v>4351434</v>
      </c>
      <c r="Q1013" t="inlineStr">
        <is>
          <t>KRW</t>
        </is>
      </c>
      <c r="R1013" t="inlineStr">
        <is>
          <t>INV2609-01012</t>
        </is>
      </c>
      <c r="S1013" t="inlineStr">
        <is>
          <t>※예시데이터</t>
        </is>
      </c>
    </row>
    <row r="1014">
      <c r="A1014" t="n">
        <v>1000</v>
      </c>
      <c r="B1014" t="inlineStr">
        <is>
          <t>범용수지사업부</t>
        </is>
      </c>
      <c r="C1014" t="inlineStr">
        <is>
          <t>국내영업1팀</t>
        </is>
      </c>
      <c r="D1014" t="inlineStr">
        <is>
          <t>C10043</t>
        </is>
      </c>
      <c r="E1014" t="inlineStr">
        <is>
          <t>새봄플라스틱</t>
        </is>
      </c>
      <c r="F1014" t="inlineStr">
        <is>
          <t>PP</t>
        </is>
      </c>
      <c r="G1014" t="inlineStr">
        <is>
          <t>M-1103</t>
        </is>
      </c>
      <c r="H1014" t="inlineStr">
        <is>
          <t>PP 투명 R330</t>
        </is>
      </c>
      <c r="I1014" s="43" t="n">
        <v>46286</v>
      </c>
      <c r="J1014" t="n">
        <v>202609</v>
      </c>
      <c r="K1014" s="44" t="n">
        <v>3525</v>
      </c>
      <c r="L1014" t="inlineStr">
        <is>
          <t>KG</t>
        </is>
      </c>
      <c r="M1014" s="44" t="n">
        <v>7061072</v>
      </c>
      <c r="N1014" s="44" t="n">
        <v>423664</v>
      </c>
      <c r="O1014" t="n">
        <v>0</v>
      </c>
      <c r="P1014" s="44" t="n">
        <v>6637408</v>
      </c>
      <c r="Q1014" t="inlineStr">
        <is>
          <t>KRW</t>
        </is>
      </c>
      <c r="R1014" t="inlineStr">
        <is>
          <t>INV2609-01013</t>
        </is>
      </c>
      <c r="S1014" t="inlineStr">
        <is>
          <t>※예시데이터</t>
        </is>
      </c>
    </row>
    <row r="1015">
      <c r="A1015" t="n">
        <v>1000</v>
      </c>
      <c r="B1015" t="inlineStr">
        <is>
          <t>EP사업부</t>
        </is>
      </c>
      <c r="C1015" t="inlineStr">
        <is>
          <t>해외영업팀</t>
        </is>
      </c>
      <c r="D1015" t="inlineStr">
        <is>
          <t>C10148</t>
        </is>
      </c>
      <c r="E1015" t="inlineStr">
        <is>
          <t>Hanoi Molding (VN)</t>
        </is>
      </c>
      <c r="F1015" t="inlineStr">
        <is>
          <t>ABS</t>
        </is>
      </c>
      <c r="G1015" t="inlineStr">
        <is>
          <t>M-2101</t>
        </is>
      </c>
      <c r="H1015" t="inlineStr">
        <is>
          <t>ABS 범용 G300</t>
        </is>
      </c>
      <c r="I1015" s="43" t="n">
        <v>46286</v>
      </c>
      <c r="J1015" t="n">
        <v>202609</v>
      </c>
      <c r="K1015" s="44" t="n">
        <v>2775</v>
      </c>
      <c r="L1015" t="inlineStr">
        <is>
          <t>KG</t>
        </is>
      </c>
      <c r="M1015" s="44" t="n">
        <v>7666811</v>
      </c>
      <c r="N1015" s="44" t="n">
        <v>766681</v>
      </c>
      <c r="O1015" t="n">
        <v>0</v>
      </c>
      <c r="P1015" s="44" t="n">
        <v>6900130</v>
      </c>
      <c r="Q1015" t="inlineStr">
        <is>
          <t>KRW</t>
        </is>
      </c>
      <c r="R1015" t="inlineStr">
        <is>
          <t>INV2609-01014</t>
        </is>
      </c>
      <c r="S1015" t="inlineStr">
        <is>
          <t>※예시데이터</t>
        </is>
      </c>
    </row>
    <row r="1016">
      <c r="A1016" t="n">
        <v>1000</v>
      </c>
      <c r="B1016" t="inlineStr">
        <is>
          <t>EP사업부</t>
        </is>
      </c>
      <c r="C1016" t="inlineStr">
        <is>
          <t>국내영업1팀</t>
        </is>
      </c>
      <c r="D1016" t="inlineStr">
        <is>
          <t>C10057</t>
        </is>
      </c>
      <c r="E1016" t="inlineStr">
        <is>
          <t>자연엠텍</t>
        </is>
      </c>
      <c r="F1016" t="inlineStr">
        <is>
          <t>PC</t>
        </is>
      </c>
      <c r="G1016" t="inlineStr">
        <is>
          <t>M-2201</t>
        </is>
      </c>
      <c r="H1016" t="inlineStr">
        <is>
          <t>PC 일반 C100</t>
        </is>
      </c>
      <c r="I1016" s="43" t="n">
        <v>46288</v>
      </c>
      <c r="J1016" t="n">
        <v>202609</v>
      </c>
      <c r="K1016" s="44" t="n">
        <v>2500</v>
      </c>
      <c r="L1016" t="inlineStr">
        <is>
          <t>KG</t>
        </is>
      </c>
      <c r="M1016" s="44" t="n">
        <v>9969591</v>
      </c>
      <c r="N1016" s="44" t="n">
        <v>348936</v>
      </c>
      <c r="O1016" t="n">
        <v>0</v>
      </c>
      <c r="P1016" s="44" t="n">
        <v>9620655</v>
      </c>
      <c r="Q1016" t="inlineStr">
        <is>
          <t>KRW</t>
        </is>
      </c>
      <c r="R1016" t="inlineStr">
        <is>
          <t>INV2609-01015</t>
        </is>
      </c>
      <c r="S1016" t="inlineStr">
        <is>
          <t>※예시데이터</t>
        </is>
      </c>
    </row>
    <row r="1017">
      <c r="A1017" t="n">
        <v>1000</v>
      </c>
      <c r="B1017" t="inlineStr">
        <is>
          <t>EP사업부</t>
        </is>
      </c>
      <c r="C1017" t="inlineStr">
        <is>
          <t>국내영업1팀</t>
        </is>
      </c>
      <c r="D1017" t="inlineStr">
        <is>
          <t>C10078</t>
        </is>
      </c>
      <c r="E1017" t="inlineStr">
        <is>
          <t>토담정공(주)</t>
        </is>
      </c>
      <c r="F1017" t="inlineStr">
        <is>
          <t>ABS</t>
        </is>
      </c>
      <c r="G1017" t="inlineStr">
        <is>
          <t>M-2102</t>
        </is>
      </c>
      <c r="H1017" t="inlineStr">
        <is>
          <t>ABS 내열 HR500</t>
        </is>
      </c>
      <c r="I1017" s="43" t="n">
        <v>46288</v>
      </c>
      <c r="J1017" t="n">
        <v>202609</v>
      </c>
      <c r="K1017" s="44" t="n">
        <v>1425</v>
      </c>
      <c r="L1017" t="inlineStr">
        <is>
          <t>KG</t>
        </is>
      </c>
      <c r="M1017" s="44" t="n">
        <v>4427280</v>
      </c>
      <c r="N1017" s="44" t="n">
        <v>132818</v>
      </c>
      <c r="O1017" t="n">
        <v>0</v>
      </c>
      <c r="P1017" s="44" t="n">
        <v>4294462</v>
      </c>
      <c r="Q1017" t="inlineStr">
        <is>
          <t>KRW</t>
        </is>
      </c>
      <c r="R1017" t="inlineStr">
        <is>
          <t>INV2609-01016</t>
        </is>
      </c>
      <c r="S1017" t="inlineStr">
        <is>
          <t>※예시데이터</t>
        </is>
      </c>
    </row>
    <row r="1018">
      <c r="A1018" t="n">
        <v>1000</v>
      </c>
      <c r="B1018" t="inlineStr">
        <is>
          <t>범용수지사업부</t>
        </is>
      </c>
      <c r="C1018" t="inlineStr">
        <is>
          <t>해외영업팀</t>
        </is>
      </c>
      <c r="D1018" t="inlineStr">
        <is>
          <t>C10148</t>
        </is>
      </c>
      <c r="E1018" t="inlineStr">
        <is>
          <t>Hanoi Molding (VN)</t>
        </is>
      </c>
      <c r="F1018" t="inlineStr">
        <is>
          <t>PP</t>
        </is>
      </c>
      <c r="G1018" t="inlineStr">
        <is>
          <t>M-1103</t>
        </is>
      </c>
      <c r="H1018" t="inlineStr">
        <is>
          <t>PP 투명 R330</t>
        </is>
      </c>
      <c r="I1018" s="43" t="n">
        <v>46288</v>
      </c>
      <c r="J1018" t="n">
        <v>202609</v>
      </c>
      <c r="K1018" s="44" t="n">
        <v>7550</v>
      </c>
      <c r="L1018" t="inlineStr">
        <is>
          <t>KG</t>
        </is>
      </c>
      <c r="M1018" s="44" t="n">
        <v>15123714</v>
      </c>
      <c r="N1018" s="44" t="n">
        <v>1512371</v>
      </c>
      <c r="O1018" t="n">
        <v>0</v>
      </c>
      <c r="P1018" s="44" t="n">
        <v>13611343</v>
      </c>
      <c r="Q1018" t="inlineStr">
        <is>
          <t>KRW</t>
        </is>
      </c>
      <c r="R1018" t="inlineStr">
        <is>
          <t>INV2609-01017</t>
        </is>
      </c>
      <c r="S1018" t="inlineStr">
        <is>
          <t>※예시데이터</t>
        </is>
      </c>
    </row>
    <row r="1019">
      <c r="A1019" t="n">
        <v>1000</v>
      </c>
      <c r="B1019" t="inlineStr">
        <is>
          <t>범용수지사업부</t>
        </is>
      </c>
      <c r="C1019" t="inlineStr">
        <is>
          <t>해외영업팀</t>
        </is>
      </c>
      <c r="D1019" t="inlineStr">
        <is>
          <t>C10071</t>
        </is>
      </c>
      <c r="E1019" t="inlineStr">
        <is>
          <t>큰별코리아</t>
        </is>
      </c>
      <c r="F1019" t="inlineStr">
        <is>
          <t>PE</t>
        </is>
      </c>
      <c r="G1019" t="inlineStr">
        <is>
          <t>M-1201</t>
        </is>
      </c>
      <c r="H1019" t="inlineStr">
        <is>
          <t>HDPE 블로우 B500</t>
        </is>
      </c>
      <c r="I1019" s="43" t="n">
        <v>46290</v>
      </c>
      <c r="J1019" t="n">
        <v>202609</v>
      </c>
      <c r="K1019" s="44" t="n">
        <v>4900</v>
      </c>
      <c r="L1019" t="inlineStr">
        <is>
          <t>KG</t>
        </is>
      </c>
      <c r="M1019" s="44" t="n">
        <v>7644727</v>
      </c>
      <c r="N1019" s="44" t="n">
        <v>955591</v>
      </c>
      <c r="O1019" s="44" t="n">
        <v>152895</v>
      </c>
      <c r="P1019" s="44" t="n">
        <v>6536241</v>
      </c>
      <c r="Q1019" t="inlineStr">
        <is>
          <t>KRW</t>
        </is>
      </c>
      <c r="R1019" t="inlineStr">
        <is>
          <t>INV2609-01018</t>
        </is>
      </c>
      <c r="S1019" t="inlineStr">
        <is>
          <t>※예시데이터</t>
        </is>
      </c>
    </row>
    <row r="1020">
      <c r="A1020" t="n">
        <v>1000</v>
      </c>
      <c r="B1020" t="inlineStr">
        <is>
          <t>범용수지사업부</t>
        </is>
      </c>
      <c r="C1020" t="inlineStr">
        <is>
          <t>해외영업팀</t>
        </is>
      </c>
      <c r="D1020" t="inlineStr">
        <is>
          <t>C10071</t>
        </is>
      </c>
      <c r="E1020" t="inlineStr">
        <is>
          <t>큰별코리아</t>
        </is>
      </c>
      <c r="F1020" t="inlineStr">
        <is>
          <t>PE</t>
        </is>
      </c>
      <c r="G1020" t="inlineStr">
        <is>
          <t>M-1202</t>
        </is>
      </c>
      <c r="H1020" t="inlineStr">
        <is>
          <t>LLDPE 필름 F120</t>
        </is>
      </c>
      <c r="I1020" s="43" t="n">
        <v>46290</v>
      </c>
      <c r="J1020" t="n">
        <v>202609</v>
      </c>
      <c r="K1020" s="44" t="n">
        <v>6250</v>
      </c>
      <c r="L1020" t="inlineStr">
        <is>
          <t>KG</t>
        </is>
      </c>
      <c r="M1020" s="44" t="n">
        <v>10553218</v>
      </c>
      <c r="N1020" s="44" t="n">
        <v>1319152</v>
      </c>
      <c r="O1020" s="44" t="n">
        <v>211064</v>
      </c>
      <c r="P1020" s="44" t="n">
        <v>9023002</v>
      </c>
      <c r="Q1020" t="inlineStr">
        <is>
          <t>KRW</t>
        </is>
      </c>
      <c r="R1020" t="inlineStr">
        <is>
          <t>INV2609-01019</t>
        </is>
      </c>
      <c r="S1020" t="inlineStr">
        <is>
          <t>※예시데이터</t>
        </is>
      </c>
    </row>
    <row r="1021">
      <c r="A1021" t="n">
        <v>1000</v>
      </c>
      <c r="B1021" t="inlineStr">
        <is>
          <t>EP사업부</t>
        </is>
      </c>
      <c r="C1021" t="inlineStr">
        <is>
          <t>국내영업2팀</t>
        </is>
      </c>
      <c r="D1021" t="inlineStr">
        <is>
          <t>C10085</t>
        </is>
      </c>
      <c r="E1021" t="inlineStr">
        <is>
          <t>파란하이텍</t>
        </is>
      </c>
      <c r="F1021" t="inlineStr">
        <is>
          <t>PC</t>
        </is>
      </c>
      <c r="G1021" t="inlineStr">
        <is>
          <t>M-2202</t>
        </is>
      </c>
      <c r="H1021" t="inlineStr">
        <is>
          <t>PC 난연 FR200</t>
        </is>
      </c>
      <c r="I1021" s="43" t="n">
        <v>46290</v>
      </c>
      <c r="J1021" t="n">
        <v>202609</v>
      </c>
      <c r="K1021" s="44" t="n">
        <v>4500</v>
      </c>
      <c r="L1021" t="inlineStr">
        <is>
          <t>KG</t>
        </is>
      </c>
      <c r="M1021" s="44" t="n">
        <v>20015871</v>
      </c>
      <c r="N1021" s="44" t="n">
        <v>1801428</v>
      </c>
      <c r="O1021" t="n">
        <v>0</v>
      </c>
      <c r="P1021" s="44" t="n">
        <v>18214443</v>
      </c>
      <c r="Q1021" t="inlineStr">
        <is>
          <t>KRW</t>
        </is>
      </c>
      <c r="R1021" t="inlineStr">
        <is>
          <t>INV2609-01020</t>
        </is>
      </c>
      <c r="S1021" t="inlineStr">
        <is>
          <t>※예시데이터</t>
        </is>
      </c>
    </row>
    <row r="1022">
      <c r="A1022" t="n">
        <v>1000</v>
      </c>
      <c r="B1022" t="inlineStr">
        <is>
          <t>EP사업부</t>
        </is>
      </c>
      <c r="C1022" t="inlineStr">
        <is>
          <t>국내영업2팀</t>
        </is>
      </c>
      <c r="D1022" t="inlineStr">
        <is>
          <t>C10099</t>
        </is>
      </c>
      <c r="E1022" t="inlineStr">
        <is>
          <t>한울몰드</t>
        </is>
      </c>
      <c r="F1022" t="inlineStr">
        <is>
          <t>ABS</t>
        </is>
      </c>
      <c r="G1022" t="inlineStr">
        <is>
          <t>M-2102</t>
        </is>
      </c>
      <c r="H1022" t="inlineStr">
        <is>
          <t>ABS 내열 HR500</t>
        </is>
      </c>
      <c r="I1022" s="43" t="n">
        <v>46292</v>
      </c>
      <c r="J1022" t="n">
        <v>202609</v>
      </c>
      <c r="K1022" s="44" t="n">
        <v>2950</v>
      </c>
      <c r="L1022" t="inlineStr">
        <is>
          <t>KG</t>
        </is>
      </c>
      <c r="M1022" s="44" t="n">
        <v>9165247</v>
      </c>
      <c r="N1022" s="44" t="n">
        <v>595741</v>
      </c>
      <c r="O1022" t="n">
        <v>0</v>
      </c>
      <c r="P1022" s="44" t="n">
        <v>8569506</v>
      </c>
      <c r="Q1022" t="inlineStr">
        <is>
          <t>KRW</t>
        </is>
      </c>
      <c r="R1022" t="inlineStr">
        <is>
          <t>INV2609-01021</t>
        </is>
      </c>
      <c r="S1022" t="inlineStr">
        <is>
          <t>※예시데이터</t>
        </is>
      </c>
    </row>
    <row r="1023">
      <c r="A1023" t="n">
        <v>1000</v>
      </c>
      <c r="B1023" t="inlineStr">
        <is>
          <t>EP사업부</t>
        </is>
      </c>
      <c r="C1023" t="inlineStr">
        <is>
          <t>해외영업팀</t>
        </is>
      </c>
      <c r="D1023" t="inlineStr">
        <is>
          <t>C10148</t>
        </is>
      </c>
      <c r="E1023" t="inlineStr">
        <is>
          <t>Hanoi Molding (VN)</t>
        </is>
      </c>
      <c r="F1023" t="inlineStr">
        <is>
          <t>ABS</t>
        </is>
      </c>
      <c r="G1023" t="inlineStr">
        <is>
          <t>M-2101</t>
        </is>
      </c>
      <c r="H1023" t="inlineStr">
        <is>
          <t>ABS 범용 G300</t>
        </is>
      </c>
      <c r="I1023" s="43" t="n">
        <v>46292</v>
      </c>
      <c r="J1023" t="n">
        <v>202609</v>
      </c>
      <c r="K1023" s="44" t="n">
        <v>2775</v>
      </c>
      <c r="L1023" t="inlineStr">
        <is>
          <t>KG</t>
        </is>
      </c>
      <c r="M1023" s="44" t="n">
        <v>7666811</v>
      </c>
      <c r="N1023" s="44" t="n">
        <v>766681</v>
      </c>
      <c r="O1023" t="n">
        <v>0</v>
      </c>
      <c r="P1023" s="44" t="n">
        <v>6900130</v>
      </c>
      <c r="Q1023" t="inlineStr">
        <is>
          <t>KRW</t>
        </is>
      </c>
      <c r="R1023" t="inlineStr">
        <is>
          <t>INV2609-01022</t>
        </is>
      </c>
      <c r="S1023" t="inlineStr">
        <is>
          <t>※예시데이터</t>
        </is>
      </c>
    </row>
    <row r="1024">
      <c r="A1024" t="n">
        <v>1000</v>
      </c>
      <c r="B1024" t="inlineStr">
        <is>
          <t>EP사업부</t>
        </is>
      </c>
      <c r="C1024" t="inlineStr">
        <is>
          <t>국내영업2팀</t>
        </is>
      </c>
      <c r="D1024" t="inlineStr">
        <is>
          <t>C10022</t>
        </is>
      </c>
      <c r="E1024" t="inlineStr">
        <is>
          <t>라온테크(주)</t>
        </is>
      </c>
      <c r="F1024" t="inlineStr">
        <is>
          <t>ABS</t>
        </is>
      </c>
      <c r="G1024" t="inlineStr">
        <is>
          <t>M-2102</t>
        </is>
      </c>
      <c r="H1024" t="inlineStr">
        <is>
          <t>ABS 내열 HR500</t>
        </is>
      </c>
      <c r="I1024" s="43" t="n">
        <v>46293</v>
      </c>
      <c r="J1024" t="n">
        <v>202609</v>
      </c>
      <c r="K1024" s="44" t="n">
        <v>5775</v>
      </c>
      <c r="L1024" t="inlineStr">
        <is>
          <t>KG</t>
        </is>
      </c>
      <c r="M1024" s="44" t="n">
        <v>17942136</v>
      </c>
      <c r="N1024" s="44" t="n">
        <v>1973635</v>
      </c>
      <c r="O1024" t="n">
        <v>0</v>
      </c>
      <c r="P1024" s="44" t="n">
        <v>15968501</v>
      </c>
      <c r="Q1024" t="inlineStr">
        <is>
          <t>KRW</t>
        </is>
      </c>
      <c r="R1024" t="inlineStr">
        <is>
          <t>INV2609-01023</t>
        </is>
      </c>
      <c r="S1024" t="inlineStr">
        <is>
          <t>※예시데이터</t>
        </is>
      </c>
    </row>
    <row r="1025">
      <c r="A1025" t="n">
        <v>1000</v>
      </c>
      <c r="B1025" t="inlineStr">
        <is>
          <t>EP사업부</t>
        </is>
      </c>
      <c r="C1025" t="inlineStr">
        <is>
          <t>국내영업1팀</t>
        </is>
      </c>
      <c r="D1025" t="inlineStr">
        <is>
          <t>C10029</t>
        </is>
      </c>
      <c r="E1025" t="inlineStr">
        <is>
          <t>마루정밀</t>
        </is>
      </c>
      <c r="F1025" t="inlineStr">
        <is>
          <t>PC</t>
        </is>
      </c>
      <c r="G1025" t="inlineStr">
        <is>
          <t>M-2201</t>
        </is>
      </c>
      <c r="H1025" t="inlineStr">
        <is>
          <t>PC 일반 C100</t>
        </is>
      </c>
      <c r="I1025" s="43" t="n">
        <v>46293</v>
      </c>
      <c r="J1025" t="n">
        <v>202609</v>
      </c>
      <c r="K1025" s="44" t="n">
        <v>2125</v>
      </c>
      <c r="L1025" t="inlineStr">
        <is>
          <t>KG</t>
        </is>
      </c>
      <c r="M1025" s="44" t="n">
        <v>8474152</v>
      </c>
      <c r="N1025" s="44" t="n">
        <v>296595</v>
      </c>
      <c r="O1025" t="n">
        <v>0</v>
      </c>
      <c r="P1025" s="44" t="n">
        <v>8177557</v>
      </c>
      <c r="Q1025" t="inlineStr">
        <is>
          <t>KRW</t>
        </is>
      </c>
      <c r="R1025" t="inlineStr">
        <is>
          <t>INV2609-01024</t>
        </is>
      </c>
      <c r="S1025" t="inlineStr">
        <is>
          <t>※예시데이터</t>
        </is>
      </c>
    </row>
    <row r="1026">
      <c r="A1026" t="n">
        <v>1000</v>
      </c>
      <c r="B1026" t="inlineStr">
        <is>
          <t>범용수지사업부</t>
        </is>
      </c>
      <c r="C1026" t="inlineStr">
        <is>
          <t>국내영업2팀</t>
        </is>
      </c>
      <c r="D1026" t="inlineStr">
        <is>
          <t>C10127</t>
        </is>
      </c>
      <c r="E1026" t="inlineStr">
        <is>
          <t>미르패키징</t>
        </is>
      </c>
      <c r="F1026" t="inlineStr">
        <is>
          <t>PE</t>
        </is>
      </c>
      <c r="G1026" t="inlineStr">
        <is>
          <t>M-1202</t>
        </is>
      </c>
      <c r="H1026" t="inlineStr">
        <is>
          <t>LLDPE 필름 F120</t>
        </is>
      </c>
      <c r="I1026" s="43" t="n">
        <v>46293</v>
      </c>
      <c r="J1026" t="n">
        <v>202609</v>
      </c>
      <c r="K1026" s="44" t="n">
        <v>4075</v>
      </c>
      <c r="L1026" t="inlineStr">
        <is>
          <t>KG</t>
        </is>
      </c>
      <c r="M1026" s="44" t="n">
        <v>6880698</v>
      </c>
      <c r="N1026" s="44" t="n">
        <v>584859</v>
      </c>
      <c r="O1026" t="n">
        <v>0</v>
      </c>
      <c r="P1026" s="44" t="n">
        <v>6295839</v>
      </c>
      <c r="Q1026" t="inlineStr">
        <is>
          <t>KRW</t>
        </is>
      </c>
      <c r="R1026" t="inlineStr">
        <is>
          <t>INV2609-01025</t>
        </is>
      </c>
      <c r="S1026" t="inlineStr">
        <is>
          <t>※예시데이터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01"/>
  <sheetViews>
    <sheetView tabSelected="0" workbookViewId="0">
      <selection activeCell="A1" sqref="A1"/>
    </sheetView>
  </sheetViews>
  <sheetFormatPr baseColWidth="8" defaultRowHeight="15"/>
  <cols>
    <col width="24" customWidth="1" min="1" max="1"/>
    <col width="16" customWidth="1" min="16" max="16"/>
    <col width="30" customWidth="1" min="17" max="17"/>
  </cols>
  <sheetData>
    <row r="1">
      <c r="A1" s="45" t="inlineStr">
        <is>
          <t>업체</t>
        </is>
      </c>
      <c r="B1" s="45" t="inlineStr">
        <is>
          <t>SUMIFS 조건</t>
        </is>
      </c>
      <c r="C1" s="45" t="inlineStr">
        <is>
          <t>매출 전년</t>
        </is>
      </c>
      <c r="D1" s="45" t="inlineStr">
        <is>
          <t>매출 당해</t>
        </is>
      </c>
      <c r="E1" s="45" t="inlineStr">
        <is>
          <t>수량 전년</t>
        </is>
      </c>
      <c r="F1" s="45" t="inlineStr">
        <is>
          <t>수량 당해</t>
        </is>
      </c>
      <c r="G1" s="45" t="inlineStr">
        <is>
          <t>활성</t>
        </is>
      </c>
      <c r="H1" s="45" t="inlineStr">
        <is>
          <t>ASP 전년</t>
        </is>
      </c>
      <c r="I1" s="45" t="inlineStr">
        <is>
          <t>ASP 당해</t>
        </is>
      </c>
      <c r="J1" s="45" t="inlineStr">
        <is>
          <t>ASP 증감률</t>
        </is>
      </c>
      <c r="K1" s="45" t="inlineStr">
        <is>
          <t>정렬 키</t>
        </is>
      </c>
      <c r="L1" s="45" t="inlineStr">
        <is>
          <t>순위</t>
        </is>
      </c>
    </row>
    <row r="2">
      <c r="A2" cm="1" t="str">
        <f t="array" ref="A2:A23">IFERROR(_xlfn.UNIQUE(_xlfn._xlws.FILTER(dCust,IFERROR((dCust&lt;&gt;"")*((dPer&gt;=cyFrom)*(dPer&lt;=cyTo)+(dPer&gt;=pyFrom)*(dPer&lt;=pyTo)),0))),"")</f>
        <v>자연엠텍</v>
      </c>
      <c r="B2" t="str">
        <f>IFERROR(IF(A2="","","="&amp;SUBSTITUTE(SUBSTITUTE(SUBSTITUTE(A2,"~","~~"),"*","~*"),"?","~?")),"")</f>
        <v>=자연엠텍</v>
      </c>
      <c r="C2">
        <f>IF($B2="","",SUMIFS(dAmt,dCust,$B2,dPer,"&gt;="&amp;pyFrom,dPer,"&lt;="&amp;pyTo,dAmt,"&gt;-1E+300",dFlt1,critFlt1,dFlt2,critFlt2,dFlt3,critFlt3))</f>
        <v>170559813</v>
      </c>
      <c r="D2">
        <f>IF($B2="","",SUMIFS(dAmt,dCust,$B2,dPer,"&gt;="&amp;cyFrom,dPer,"&lt;="&amp;cyTo,dAmt,"&gt;-1E+300",dFlt1,critFlt1,dFlt2,critFlt2,dFlt3,critFlt3))</f>
        <v>121073379</v>
      </c>
      <c r="E2">
        <f>IF($B2="","",SUMIFS(dQty,dCust,$B2,dPer,"&gt;="&amp;pyFrom,dPer,"&lt;="&amp;pyTo,dQty,"&gt;-1E+300",dFlt1,critFlt1,dFlt2,critFlt2,dFlt3,critFlt3))</f>
        <v>53775</v>
      </c>
      <c r="F2">
        <f>IF($B2="","",SUMIFS(dQty,dCust,$B2,dPer,"&gt;="&amp;cyFrom,dPer,"&lt;="&amp;cyTo,dQty,"&gt;-1E+300",dFlt1,critFlt1,dFlt2,critFlt2,dFlt3,critFlt3))</f>
        <v>37750</v>
      </c>
      <c r="G2">
        <f>IF($B2="",0,IFERROR(IF(OR(C2&lt;&gt;0,D2&lt;&gt;0,E2&lt;&gt;0,F2&lt;&gt;0),1,0),1))</f>
        <v>1</v>
      </c>
      <c r="H2">
        <f>IF(OR(G2=0,E2=0),"",C2/E2)</f>
        <v>3171.73059972106</v>
      </c>
      <c r="I2">
        <f>IF(OR(G2=0,F2=0),"",D2/F2)</f>
        <v>3207.24182781457</v>
      </c>
      <c r="J2">
        <f>IF(OR(H2="",I2=""),"",IF(H2=0,"",I2/H2-1))</f>
        <v>0.0111961678260546</v>
      </c>
      <c r="K2">
        <f>IF($B2="","",IFERROR(IF(G2=0,-2E+300,CHOOSE(sortIdx,ROUND(D2,0),IF(J2="",-1E+300,ROUND(-J2,6)),IF(J2="",-1E+300,ROUND(J2,6)))),-1.5E+300))</f>
        <v>121073379</v>
      </c>
      <c r="L2">
        <f>IF(K2="","",RANK(K2,$K$2:$K$3001,0)+COUNTIF($K$2:K2,K2)-1)</f>
        <v>16</v>
      </c>
      <c r="P2" t="inlineStr">
        <is>
          <t>표시 업체 수</t>
        </is>
      </c>
      <c r="Q2">
        <f>IF(mapOK,SUM($G$2:$G$3001),0)</f>
        <v>22</v>
      </c>
    </row>
    <row r="3">
      <c r="A3" t="str">
        <v>새봄플라스틱</v>
      </c>
      <c r="B3" t="str">
        <f>IFERROR(IF(A3="","","="&amp;SUBSTITUTE(SUBSTITUTE(SUBSTITUTE(A3,"~","~~"),"*","~*"),"?","~?")),"")</f>
        <v>=새봄플라스틱</v>
      </c>
      <c r="C3">
        <f>IF($B3="","",SUMIFS(dAmt,dCust,$B3,dPer,"&gt;="&amp;pyFrom,dPer,"&lt;="&amp;pyTo,dAmt,"&gt;-1E+300",dFlt1,critFlt1,dFlt2,critFlt2,dFlt3,critFlt3))</f>
        <v>202915490</v>
      </c>
      <c r="D3">
        <f>IF($B3="","",SUMIFS(dAmt,dCust,$B3,dPer,"&gt;="&amp;cyFrom,dPer,"&lt;="&amp;cyTo,dAmt,"&gt;-1E+300",dFlt1,critFlt1,dFlt2,critFlt2,dFlt3,critFlt3))</f>
        <v>350242959</v>
      </c>
      <c r="E3">
        <f>IF($B3="","",SUMIFS(dQty,dCust,$B3,dPer,"&gt;="&amp;pyFrom,dPer,"&lt;="&amp;pyTo,dQty,"&gt;-1E+300",dFlt1,critFlt1,dFlt2,critFlt2,dFlt3,critFlt3))</f>
        <v>84650</v>
      </c>
      <c r="F3">
        <f>IF($B3="","",SUMIFS(dQty,dCust,$B3,dPer,"&gt;="&amp;cyFrom,dPer,"&lt;="&amp;cyTo,dQty,"&gt;-1E+300",dFlt1,critFlt1,dFlt2,critFlt2,dFlt3,critFlt3))</f>
        <v>136300</v>
      </c>
      <c r="G3">
        <f>IF($B3="",0,IFERROR(IF(OR(C3&lt;&gt;0,D3&lt;&gt;0,E3&lt;&gt;0,F3&lt;&gt;0),1,0),1))</f>
        <v>1</v>
      </c>
      <c r="H3">
        <f>IF(OR(G3=0,E3=0),"",C3/E3)</f>
        <v>2397.11151801536</v>
      </c>
      <c r="I3">
        <f>IF(OR(G3=0,F3=0),"",D3/F3)</f>
        <v>2569.6475348496</v>
      </c>
      <c r="J3">
        <f>IF(OR(H3="",I3=""),"",IF(H3=0,"",I3/H3-1))</f>
        <v>0.0719766333512455</v>
      </c>
      <c r="K3">
        <f>IF($B3="","",IFERROR(IF(G3=0,-2E+300,CHOOSE(sortIdx,ROUND(D3,0),IF(J3="",-1E+300,ROUND(-J3,6)),IF(J3="",-1E+300,ROUND(J3,6)))),-1.5E+300))</f>
        <v>350242959</v>
      </c>
      <c r="L3">
        <f>IF(K3="","",RANK(K3,$K$2:$K$3001,0)+COUNTIF($K$2:K3,K3)-1)</f>
        <v>3</v>
      </c>
      <c r="P3" t="inlineStr">
        <is>
          <t>헤더 마지막 열</t>
        </is>
      </c>
      <c r="Q3">
        <f>IFERROR(LOOKUP(2,1/(hdrRow&lt;&gt;""),COLUMN(hdrRow)),1)</f>
        <v>19</v>
      </c>
    </row>
    <row r="4">
      <c r="A4" t="str">
        <v>온새미사출</v>
      </c>
      <c r="B4" t="str">
        <f>IFERROR(IF(A4="","","="&amp;SUBSTITUTE(SUBSTITUTE(SUBSTITUTE(A4,"~","~~"),"*","~*"),"?","~?")),"")</f>
        <v>=온새미사출</v>
      </c>
      <c r="C4">
        <f>IF($B4="","",SUMIFS(dAmt,dCust,$B4,dPer,"&gt;="&amp;pyFrom,dPer,"&lt;="&amp;pyTo,dAmt,"&gt;-1E+300",dFlt1,critFlt1,dFlt2,critFlt2,dFlt3,critFlt3))</f>
        <v>112494196</v>
      </c>
      <c r="D4">
        <f>IF($B4="","",SUMIFS(dAmt,dCust,$B4,dPer,"&gt;="&amp;cyFrom,dPer,"&lt;="&amp;cyTo,dAmt,"&gt;-1E+300",dFlt1,critFlt1,dFlt2,critFlt2,dFlt3,critFlt3))</f>
        <v>86899087</v>
      </c>
      <c r="E4">
        <f>IF($B4="","",SUMIFS(dQty,dCust,$B4,dPer,"&gt;="&amp;pyFrom,dPer,"&lt;="&amp;pyTo,dQty,"&gt;-1E+300",dFlt1,critFlt1,dFlt2,critFlt2,dFlt3,critFlt3))</f>
        <v>71725</v>
      </c>
      <c r="F4">
        <f>IF($B4="","",SUMIFS(dQty,dCust,$B4,dPer,"&gt;="&amp;cyFrom,dPer,"&lt;="&amp;cyTo,dQty,"&gt;-1E+300",dFlt1,critFlt1,dFlt2,critFlt2,dFlt3,critFlt3))</f>
        <v>53750</v>
      </c>
      <c r="G4">
        <f>IF($B4="",0,IFERROR(IF(OR(C4&lt;&gt;0,D4&lt;&gt;0,E4&lt;&gt;0,F4&lt;&gt;0),1,0),1))</f>
        <v>1</v>
      </c>
      <c r="H4">
        <f>IF(OR(G4=0,E4=0),"",C4/E4)</f>
        <v>1568.40984315092</v>
      </c>
      <c r="I4">
        <f>IF(OR(G4=0,F4=0),"",D4/F4)</f>
        <v>1616.7272</v>
      </c>
      <c r="J4">
        <f>IF(OR(H4="",I4=""),"",IF(H4=0,"",I4/H4-1))</f>
        <v>0.0308065886350262</v>
      </c>
      <c r="K4">
        <f>IF($B4="","",IFERROR(IF(G4=0,-2E+300,CHOOSE(sortIdx,ROUND(D4,0),IF(J4="",-1E+300,ROUND(-J4,6)),IF(J4="",-1E+300,ROUND(J4,6)))),-1.5E+300))</f>
        <v>86899087</v>
      </c>
      <c r="L4">
        <f>IF(K4="","",RANK(K4,$K$2:$K$3001,0)+COUNTIF($K$2:K4,K4)-1)</f>
        <v>20</v>
      </c>
      <c r="P4" t="inlineStr">
        <is>
          <t>업체 목록 개수</t>
        </is>
      </c>
      <c r="Q4">
        <f>COUNTA($A$2:$A$1048576)-IFERROR(IF($A$2="",1,0),0)</f>
        <v>22</v>
      </c>
    </row>
    <row r="5">
      <c r="A5" t="str">
        <v>별하전자(주)</v>
      </c>
      <c r="B5" t="str">
        <f>IFERROR(IF(A5="","","="&amp;SUBSTITUTE(SUBSTITUTE(SUBSTITUTE(A5,"~","~~"),"*","~*"),"?","~?")),"")</f>
        <v>=별하전자(주)</v>
      </c>
      <c r="C5">
        <f>IF($B5="","",SUMIFS(dAmt,dCust,$B5,dPer,"&gt;="&amp;pyFrom,dPer,"&lt;="&amp;pyTo,dAmt,"&gt;-1E+300",dFlt1,critFlt1,dFlt2,critFlt2,dFlt3,critFlt3))</f>
        <v>84466240</v>
      </c>
      <c r="D5">
        <f>IF($B5="","",SUMIFS(dAmt,dCust,$B5,dPer,"&gt;="&amp;cyFrom,dPer,"&lt;="&amp;cyTo,dAmt,"&gt;-1E+300",dFlt1,critFlt1,dFlt2,critFlt2,dFlt3,critFlt3))</f>
        <v>87276521</v>
      </c>
      <c r="E5">
        <f>IF($B5="","",SUMIFS(dQty,dCust,$B5,dPer,"&gt;="&amp;pyFrom,dPer,"&lt;="&amp;pyTo,dQty,"&gt;-1E+300",dFlt1,critFlt1,dFlt2,critFlt2,dFlt3,critFlt3))</f>
        <v>21150</v>
      </c>
      <c r="F5">
        <f>IF($B5="","",SUMIFS(dQty,dCust,$B5,dPer,"&gt;="&amp;cyFrom,dPer,"&lt;="&amp;cyTo,dQty,"&gt;-1E+300",dFlt1,critFlt1,dFlt2,critFlt2,dFlt3,critFlt3))</f>
        <v>21575</v>
      </c>
      <c r="G5">
        <f>IF($B5="",0,IFERROR(IF(OR(C5&lt;&gt;0,D5&lt;&gt;0,E5&lt;&gt;0,F5&lt;&gt;0),1,0),1))</f>
        <v>1</v>
      </c>
      <c r="H5">
        <f>IF(OR(G5=0,E5=0),"",C5/E5)</f>
        <v>3993.6756501182</v>
      </c>
      <c r="I5">
        <f>IF(OR(G5=0,F5=0),"",D5/F5)</f>
        <v>4045.26169177289</v>
      </c>
      <c r="J5">
        <f>IF(OR(H5="",I5=""),"",IF(H5=0,"",I5/H5-1))</f>
        <v>0.0129169332149333</v>
      </c>
      <c r="K5">
        <f>IF($B5="","",IFERROR(IF(G5=0,-2E+300,CHOOSE(sortIdx,ROUND(D5,0),IF(J5="",-1E+300,ROUND(-J5,6)),IF(J5="",-1E+300,ROUND(J5,6)))),-1.5E+300))</f>
        <v>87276521</v>
      </c>
      <c r="L5">
        <f>IF(K5="","",RANK(K5,$K$2:$K$3001,0)+COUNTIF($K$2:K5,K5)-1)</f>
        <v>19</v>
      </c>
      <c r="P5" t="inlineStr">
        <is>
          <t>필수 열 모두 찾음</t>
        </is>
      </c>
      <c r="Q5" t="b">
        <f>COUNTIF('설정'!$E$9:$E$12,"✖*")=0</f>
        <v>1</v>
      </c>
    </row>
    <row r="6">
      <c r="A6" t="str">
        <v>가온소재(주)</v>
      </c>
      <c r="B6" t="str">
        <f>IFERROR(IF(A6="","","="&amp;SUBSTITUTE(SUBSTITUTE(SUBSTITUTE(A6,"~","~~"),"*","~*"),"?","~?")),"")</f>
        <v>=가온소재(주)</v>
      </c>
      <c r="C6">
        <f>IF($B6="","",SUMIFS(dAmt,dCust,$B6,dPer,"&gt;="&amp;pyFrom,dPer,"&lt;="&amp;pyTo,dAmt,"&gt;-1E+300",dFlt1,critFlt1,dFlt2,critFlt2,dFlt3,critFlt3))</f>
        <v>222809057</v>
      </c>
      <c r="D6">
        <f>IF($B6="","",SUMIFS(dAmt,dCust,$B6,dPer,"&gt;="&amp;cyFrom,dPer,"&lt;="&amp;cyTo,dAmt,"&gt;-1E+300",dFlt1,critFlt1,dFlt2,critFlt2,dFlt3,critFlt3))</f>
        <v>225374639</v>
      </c>
      <c r="E6">
        <f>IF($B6="","",SUMIFS(dQty,dCust,$B6,dPer,"&gt;="&amp;pyFrom,dPer,"&lt;="&amp;pyTo,dQty,"&gt;-1E+300",dFlt1,critFlt1,dFlt2,critFlt2,dFlt3,critFlt3))</f>
        <v>136075</v>
      </c>
      <c r="F6">
        <f>IF($B6="","",SUMIFS(dQty,dCust,$B6,dPer,"&gt;="&amp;cyFrom,dPer,"&lt;="&amp;cyTo,dQty,"&gt;-1E+300",dFlt1,critFlt1,dFlt2,critFlt2,dFlt3,critFlt3))</f>
        <v>133525</v>
      </c>
      <c r="G6">
        <f>IF($B6="",0,IFERROR(IF(OR(C6&lt;&gt;0,D6&lt;&gt;0,E6&lt;&gt;0,F6&lt;&gt;0),1,0),1))</f>
        <v>1</v>
      </c>
      <c r="H6">
        <f>IF(OR(G6=0,E6=0),"",C6/E6)</f>
        <v>1637.39891236451</v>
      </c>
      <c r="I6">
        <f>IF(OR(G6=0,F6=0),"",D6/F6)</f>
        <v>1687.88346002621</v>
      </c>
      <c r="J6">
        <f>IF(OR(H6="",I6=""),"",IF(H6=0,"",I6/H6-1))</f>
        <v>0.0308321614729818</v>
      </c>
      <c r="K6">
        <f>IF($B6="","",IFERROR(IF(G6=0,-2E+300,CHOOSE(sortIdx,ROUND(D6,0),IF(J6="",-1E+300,ROUND(-J6,6)),IF(J6="",-1E+300,ROUND(J6,6)))),-1.5E+300))</f>
        <v>225374639</v>
      </c>
      <c r="L6">
        <f>IF(K6="","",RANK(K6,$K$2:$K$3001,0)+COUNTIF($K$2:K6,K6)-1)</f>
        <v>11</v>
      </c>
      <c r="P6" t="inlineStr">
        <is>
          <t>동적 배열 미지원</t>
        </is>
      </c>
      <c r="Q6" cm="1" t="b">
        <f t="array" ref="Q6">ISERROR(_xlfn.UNIQUE({1;1}))</f>
        <v>0</v>
      </c>
    </row>
    <row r="7">
      <c r="A7" t="str">
        <v>큰별코리아</v>
      </c>
      <c r="B7" t="str">
        <f>IFERROR(IF(A7="","","="&amp;SUBSTITUTE(SUBSTITUTE(SUBSTITUTE(A7,"~","~~"),"*","~*"),"?","~?")),"")</f>
        <v>=큰별코리아</v>
      </c>
      <c r="C7">
        <f>IF($B7="","",SUMIFS(dAmt,dCust,$B7,dPer,"&gt;="&amp;pyFrom,dPer,"&lt;="&amp;pyTo,dAmt,"&gt;-1E+300",dFlt1,critFlt1,dFlt2,critFlt2,dFlt3,critFlt3))</f>
        <v>290530624</v>
      </c>
      <c r="D7">
        <f>IF($B7="","",SUMIFS(dAmt,dCust,$B7,dPer,"&gt;="&amp;cyFrom,dPer,"&lt;="&amp;cyTo,dAmt,"&gt;-1E+300",dFlt1,critFlt1,dFlt2,critFlt2,dFlt3,critFlt3))</f>
        <v>381024971</v>
      </c>
      <c r="E7">
        <f>IF($B7="","",SUMIFS(dQty,dCust,$B7,dPer,"&gt;="&amp;pyFrom,dPer,"&lt;="&amp;pyTo,dQty,"&gt;-1E+300",dFlt1,critFlt1,dFlt2,critFlt2,dFlt3,critFlt3))</f>
        <v>202875</v>
      </c>
      <c r="F7">
        <f>IF($B7="","",SUMIFS(dQty,dCust,$B7,dPer,"&gt;="&amp;cyFrom,dPer,"&lt;="&amp;cyTo,dQty,"&gt;-1E+300",dFlt1,critFlt1,dFlt2,critFlt2,dFlt3,critFlt3))</f>
        <v>270000</v>
      </c>
      <c r="G7">
        <f>IF($B7="",0,IFERROR(IF(OR(C7&lt;&gt;0,D7&lt;&gt;0,E7&lt;&gt;0,F7&lt;&gt;0),1,0),1))</f>
        <v>1</v>
      </c>
      <c r="H7">
        <f>IF(OR(G7=0,E7=0),"",C7/E7)</f>
        <v>1432.06715465188</v>
      </c>
      <c r="I7">
        <f>IF(OR(G7=0,F7=0),"",D7/F7)</f>
        <v>1411.2035962963</v>
      </c>
      <c r="J7">
        <f>IF(OR(H7="",I7=""),"",IF(H7=0,"",I7/H7-1))</f>
        <v>-0.014568840775246</v>
      </c>
      <c r="K7">
        <f>IF($B7="","",IFERROR(IF(G7=0,-2E+300,CHOOSE(sortIdx,ROUND(D7,0),IF(J7="",-1E+300,ROUND(-J7,6)),IF(J7="",-1E+300,ROUND(J7,6)))),-1.5E+300))</f>
        <v>381024971</v>
      </c>
      <c r="L7">
        <f>IF(K7="","",RANK(K7,$K$2:$K$3001,0)+COUNTIF($K$2:K7,K7)-1)</f>
        <v>2</v>
      </c>
    </row>
    <row r="8">
      <c r="A8" t="str">
        <v>하늘포장(주)</v>
      </c>
      <c r="B8" t="str">
        <f>IFERROR(IF(A8="","","="&amp;SUBSTITUTE(SUBSTITUTE(SUBSTITUTE(A8,"~","~~"),"*","~*"),"?","~?")),"")</f>
        <v>=하늘포장(주)</v>
      </c>
      <c r="C8">
        <f>IF($B8="","",SUMIFS(dAmt,dCust,$B8,dPer,"&gt;="&amp;pyFrom,dPer,"&lt;="&amp;pyTo,dAmt,"&gt;-1E+300",dFlt1,critFlt1,dFlt2,critFlt2,dFlt3,critFlt3))</f>
        <v>183575192</v>
      </c>
      <c r="D8">
        <f>IF($B8="","",SUMIFS(dAmt,dCust,$B8,dPer,"&gt;="&amp;cyFrom,dPer,"&lt;="&amp;cyTo,dAmt,"&gt;-1E+300",dFlt1,critFlt1,dFlt2,critFlt2,dFlt3,critFlt3))</f>
        <v>181656007</v>
      </c>
      <c r="E8">
        <f>IF($B8="","",SUMIFS(dQty,dCust,$B8,dPer,"&gt;="&amp;pyFrom,dPer,"&lt;="&amp;pyTo,dQty,"&gt;-1E+300",dFlt1,critFlt1,dFlt2,critFlt2,dFlt3,critFlt3))</f>
        <v>126125</v>
      </c>
      <c r="F8">
        <f>IF($B8="","",SUMIFS(dQty,dCust,$B8,dPer,"&gt;="&amp;cyFrom,dPer,"&lt;="&amp;cyTo,dQty,"&gt;-1E+300",dFlt1,critFlt1,dFlt2,critFlt2,dFlt3,critFlt3))</f>
        <v>125375</v>
      </c>
      <c r="G8">
        <f>IF($B8="",0,IFERROR(IF(OR(C8&lt;&gt;0,D8&lt;&gt;0,E8&lt;&gt;0,F8&lt;&gt;0),1,0),1))</f>
        <v>1</v>
      </c>
      <c r="H8">
        <f>IF(OR(G8=0,E8=0),"",C8/E8)</f>
        <v>1455.50201783945</v>
      </c>
      <c r="I8">
        <f>IF(OR(G8=0,F8=0),"",D8/F8)</f>
        <v>1448.90135194417</v>
      </c>
      <c r="J8">
        <f>IF(OR(H8="",I8=""),"",IF(H8=0,"",I8/H8-1))</f>
        <v>-0.00453497543416359</v>
      </c>
      <c r="K8">
        <f>IF($B8="","",IFERROR(IF(G8=0,-2E+300,CHOOSE(sortIdx,ROUND(D8,0),IF(J8="",-1E+300,ROUND(-J8,6)),IF(J8="",-1E+300,ROUND(J8,6)))),-1.5E+300))</f>
        <v>181656007</v>
      </c>
      <c r="L8">
        <f>IF(K8="","",RANK(K8,$K$2:$K$3001,0)+COUNTIF($K$2:K8,K8)-1)</f>
        <v>13</v>
      </c>
      <c r="P8" t="inlineStr">
        <is>
          <t>정렬 옵션</t>
        </is>
      </c>
      <c r="Q8" t="inlineStr">
        <is>
          <t>당해 매출액 큰 순</t>
        </is>
      </c>
    </row>
    <row r="9">
      <c r="A9" t="str">
        <v>한울몰드</v>
      </c>
      <c r="B9" t="str">
        <f>IFERROR(IF(A9="","","="&amp;SUBSTITUTE(SUBSTITUTE(SUBSTITUTE(A9,"~","~~"),"*","~*"),"?","~?")),"")</f>
        <v>=한울몰드</v>
      </c>
      <c r="C9">
        <f>IF($B9="","",SUMIFS(dAmt,dCust,$B9,dPer,"&gt;="&amp;pyFrom,dPer,"&lt;="&amp;pyTo,dAmt,"&gt;-1E+300",dFlt1,critFlt1,dFlt2,critFlt2,dFlt3,critFlt3))</f>
        <v>149086313</v>
      </c>
      <c r="D9">
        <f>IF($B9="","",SUMIFS(dAmt,dCust,$B9,dPer,"&gt;="&amp;cyFrom,dPer,"&lt;="&amp;cyTo,dAmt,"&gt;-1E+300",dFlt1,critFlt1,dFlt2,critFlt2,dFlt3,critFlt3))</f>
        <v>189912249</v>
      </c>
      <c r="E9">
        <f>IF($B9="","",SUMIFS(dQty,dCust,$B9,dPer,"&gt;="&amp;pyFrom,dPer,"&lt;="&amp;pyTo,dQty,"&gt;-1E+300",dFlt1,critFlt1,dFlt2,critFlt2,dFlt3,critFlt3))</f>
        <v>66500</v>
      </c>
      <c r="F9">
        <f>IF($B9="","",SUMIFS(dQty,dCust,$B9,dPer,"&gt;="&amp;cyFrom,dPer,"&lt;="&amp;cyTo,dQty,"&gt;-1E+300",dFlt1,critFlt1,dFlt2,critFlt2,dFlt3,critFlt3))</f>
        <v>80775</v>
      </c>
      <c r="G9">
        <f>IF($B9="",0,IFERROR(IF(OR(C9&lt;&gt;0,D9&lt;&gt;0,E9&lt;&gt;0,F9&lt;&gt;0),1,0),1))</f>
        <v>1</v>
      </c>
      <c r="H9">
        <f>IF(OR(G9=0,E9=0),"",C9/E9)</f>
        <v>2241.89944360902</v>
      </c>
      <c r="I9">
        <f>IF(OR(G9=0,F9=0),"",D9/F9)</f>
        <v>2351.12657381616</v>
      </c>
      <c r="J9">
        <f>IF(OR(H9="",I9=""),"",IF(H9=0,"",I9/H9-1))</f>
        <v>0.0487207981243347</v>
      </c>
      <c r="K9">
        <f>IF($B9="","",IFERROR(IF(G9=0,-2E+300,CHOOSE(sortIdx,ROUND(D9,0),IF(J9="",-1E+300,ROUND(-J9,6)),IF(J9="",-1E+300,ROUND(J9,6)))),-1.5E+300))</f>
        <v>189912249</v>
      </c>
      <c r="L9">
        <f>IF(K9="","",RANK(K9,$K$2:$K$3001,0)+COUNTIF($K$2:K9,K9)-1)</f>
        <v>12</v>
      </c>
      <c r="Q9" t="inlineStr">
        <is>
          <t>ASP 증감률 낮은 순 (하락 먼저)</t>
        </is>
      </c>
    </row>
    <row r="10">
      <c r="A10" t="str">
        <v>누리오토파츠</v>
      </c>
      <c r="B10" t="str">
        <f>IFERROR(IF(A10="","","="&amp;SUBSTITUTE(SUBSTITUTE(SUBSTITUTE(A10,"~","~~"),"*","~*"),"?","~?")),"")</f>
        <v>=누리오토파츠</v>
      </c>
      <c r="C10">
        <f>IF($B10="","",SUMIFS(dAmt,dCust,$B10,dPer,"&gt;="&amp;pyFrom,dPer,"&lt;="&amp;pyTo,dAmt,"&gt;-1E+300",dFlt1,critFlt1,dFlt2,critFlt2,dFlt3,critFlt3))</f>
        <v>209508399</v>
      </c>
      <c r="D10">
        <f>IF($B10="","",SUMIFS(dAmt,dCust,$B10,dPer,"&gt;="&amp;cyFrom,dPer,"&lt;="&amp;cyTo,dAmt,"&gt;-1E+300",dFlt1,critFlt1,dFlt2,critFlt2,dFlt3,critFlt3))</f>
        <v>256538685</v>
      </c>
      <c r="E10">
        <f>IF($B10="","",SUMIFS(dQty,dCust,$B10,dPer,"&gt;="&amp;pyFrom,dPer,"&lt;="&amp;pyTo,dQty,"&gt;-1E+300",dFlt1,critFlt1,dFlt2,critFlt2,dFlt3,critFlt3))</f>
        <v>69975</v>
      </c>
      <c r="F10">
        <f>IF($B10="","",SUMIFS(dQty,dCust,$B10,dPer,"&gt;="&amp;cyFrom,dPer,"&lt;="&amp;cyTo,dQty,"&gt;-1E+300",dFlt1,critFlt1,dFlt2,critFlt2,dFlt3,critFlt3))</f>
        <v>89625</v>
      </c>
      <c r="G10">
        <f>IF($B10="",0,IFERROR(IF(OR(C10&lt;&gt;0,D10&lt;&gt;0,E10&lt;&gt;0,F10&lt;&gt;0),1,0),1))</f>
        <v>1</v>
      </c>
      <c r="H10">
        <f>IF(OR(G10=0,E10=0),"",C10/E10)</f>
        <v>2994.04643086817</v>
      </c>
      <c r="I10">
        <f>IF(OR(G10=0,F10=0),"",D10/F10)</f>
        <v>2862.35631799163</v>
      </c>
      <c r="J10">
        <f>IF(OR(H10="",I10=""),"",IF(H10=0,"",I10/H10-1))</f>
        <v>-0.0439839915369482</v>
      </c>
      <c r="K10">
        <f>IF($B10="","",IFERROR(IF(G10=0,-2E+300,CHOOSE(sortIdx,ROUND(D10,0),IF(J10="",-1E+300,ROUND(-J10,6)),IF(J10="",-1E+300,ROUND(J10,6)))),-1.5E+300))</f>
        <v>256538685</v>
      </c>
      <c r="L10">
        <f>IF(K10="","",RANK(K10,$K$2:$K$3001,0)+COUNTIF($K$2:K10,K10)-1)</f>
        <v>9</v>
      </c>
      <c r="Q10" t="inlineStr">
        <is>
          <t>ASP 증감률 높은 순 (상승 먼저)</t>
        </is>
      </c>
    </row>
    <row r="11">
      <c r="A11" t="str">
        <v>미르패키징</v>
      </c>
      <c r="B11" t="str">
        <f>IFERROR(IF(A11="","","="&amp;SUBSTITUTE(SUBSTITUTE(SUBSTITUTE(A11,"~","~~"),"*","~*"),"?","~?")),"")</f>
        <v>=미르패키징</v>
      </c>
      <c r="C11">
        <f>IF($B11="","",SUMIFS(dAmt,dCust,$B11,dPer,"&gt;="&amp;pyFrom,dPer,"&lt;="&amp;pyTo,dAmt,"&gt;-1E+300",dFlt1,critFlt1,dFlt2,critFlt2,dFlt3,critFlt3))</f>
        <v>161281094</v>
      </c>
      <c r="D11">
        <f>IF($B11="","",SUMIFS(dAmt,dCust,$B11,dPer,"&gt;="&amp;cyFrom,dPer,"&lt;="&amp;cyTo,dAmt,"&gt;-1E+300",dFlt1,critFlt1,dFlt2,critFlt2,dFlt3,critFlt3))</f>
        <v>170175605</v>
      </c>
      <c r="E11">
        <f>IF($B11="","",SUMIFS(dQty,dCust,$B11,dPer,"&gt;="&amp;pyFrom,dPer,"&lt;="&amp;pyTo,dQty,"&gt;-1E+300",dFlt1,critFlt1,dFlt2,critFlt2,dFlt3,critFlt3))</f>
        <v>107450</v>
      </c>
      <c r="F11">
        <f>IF($B11="","",SUMIFS(dQty,dCust,$B11,dPer,"&gt;="&amp;cyFrom,dPer,"&lt;="&amp;cyTo,dQty,"&gt;-1E+300",dFlt1,critFlt1,dFlt2,critFlt2,dFlt3,critFlt3))</f>
        <v>113000</v>
      </c>
      <c r="G11">
        <f>IF($B11="",0,IFERROR(IF(OR(C11&lt;&gt;0,D11&lt;&gt;0,E11&lt;&gt;0,F11&lt;&gt;0),1,0),1))</f>
        <v>1</v>
      </c>
      <c r="H11">
        <f>IF(OR(G11=0,E11=0),"",C11/E11)</f>
        <v>1500.98738017683</v>
      </c>
      <c r="I11">
        <f>IF(OR(G11=0,F11=0),"",D11/F11)</f>
        <v>1505.97880530973</v>
      </c>
      <c r="J11">
        <f>IF(OR(H11="",I11=""),"",IF(H11=0,"",I11/H11-1))</f>
        <v>0.00332542778095846</v>
      </c>
      <c r="K11">
        <f>IF($B11="","",IFERROR(IF(G11=0,-2E+300,CHOOSE(sortIdx,ROUND(D11,0),IF(J11="",-1E+300,ROUND(-J11,6)),IF(J11="",-1E+300,ROUND(J11,6)))),-1.5E+300))</f>
        <v>170175605</v>
      </c>
      <c r="L11">
        <f>IF(K11="","",RANK(K11,$K$2:$K$3001,0)+COUNTIF($K$2:K11,K11)-1)</f>
        <v>15</v>
      </c>
    </row>
    <row r="12">
      <c r="A12" t="str">
        <v>차오름산업</v>
      </c>
      <c r="B12" t="str">
        <f>IFERROR(IF(A12="","","="&amp;SUBSTITUTE(SUBSTITUTE(SUBSTITUTE(A12,"~","~~"),"*","~*"),"?","~?")),"")</f>
        <v>=차오름산업</v>
      </c>
      <c r="C12">
        <f>IF($B12="","",SUMIFS(dAmt,dCust,$B12,dPer,"&gt;="&amp;pyFrom,dPer,"&lt;="&amp;pyTo,dAmt,"&gt;-1E+300",dFlt1,critFlt1,dFlt2,critFlt2,dFlt3,critFlt3))</f>
        <v>80239852</v>
      </c>
      <c r="D12">
        <f>IF($B12="","",SUMIFS(dAmt,dCust,$B12,dPer,"&gt;="&amp;cyFrom,dPer,"&lt;="&amp;cyTo,dAmt,"&gt;-1E+300",dFlt1,critFlt1,dFlt2,critFlt2,dFlt3,critFlt3))</f>
        <v>0</v>
      </c>
      <c r="E12">
        <f>IF($B12="","",SUMIFS(dQty,dCust,$B12,dPer,"&gt;="&amp;pyFrom,dPer,"&lt;="&amp;pyTo,dQty,"&gt;-1E+300",dFlt1,critFlt1,dFlt2,critFlt2,dFlt3,critFlt3))</f>
        <v>46025</v>
      </c>
      <c r="F12">
        <f>IF($B12="","",SUMIFS(dQty,dCust,$B12,dPer,"&gt;="&amp;cyFrom,dPer,"&lt;="&amp;cyTo,dQty,"&gt;-1E+300",dFlt1,critFlt1,dFlt2,critFlt2,dFlt3,critFlt3))</f>
        <v>0</v>
      </c>
      <c r="G12">
        <f>IF($B12="",0,IFERROR(IF(OR(C12&lt;&gt;0,D12&lt;&gt;0,E12&lt;&gt;0,F12&lt;&gt;0),1,0),1))</f>
        <v>1</v>
      </c>
      <c r="H12">
        <f>IF(OR(G12=0,E12=0),"",C12/E12)</f>
        <v>1743.39711026616</v>
      </c>
      <c r="I12" t="str">
        <f>IF(OR(G12=0,F12=0),"",D12/F12)</f>
        <v/>
      </c>
      <c r="J12" t="str">
        <f>IF(OR(H12="",I12=""),"",IF(H12=0,"",I12/H12-1))</f>
        <v/>
      </c>
      <c r="K12">
        <f>IF($B12="","",IFERROR(IF(G12=0,-2E+300,CHOOSE(sortIdx,ROUND(D12,0),IF(J12="",-1E+300,ROUND(-J12,6)),IF(J12="",-1E+300,ROUND(J12,6)))),-1.5E+300))</f>
        <v>0</v>
      </c>
      <c r="L12">
        <f>IF(K12="","",RANK(K12,$K$2:$K$3001,0)+COUNTIF($K$2:K12,K12)-1)</f>
        <v>22</v>
      </c>
    </row>
    <row r="13">
      <c r="A13" t="str">
        <v>토담정공(주)</v>
      </c>
      <c r="B13" t="str">
        <f>IFERROR(IF(A13="","","="&amp;SUBSTITUTE(SUBSTITUTE(SUBSTITUTE(A13,"~","~~"),"*","~*"),"?","~?")),"")</f>
        <v>=토담정공(주)</v>
      </c>
      <c r="C13">
        <f>IF($B13="","",SUMIFS(dAmt,dCust,$B13,dPer,"&gt;="&amp;pyFrom,dPer,"&lt;="&amp;pyTo,dAmt,"&gt;-1E+300",dFlt1,critFlt1,dFlt2,critFlt2,dFlt3,critFlt3))</f>
        <v>87348746</v>
      </c>
      <c r="D13">
        <f>IF($B13="","",SUMIFS(dAmt,dCust,$B13,dPer,"&gt;="&amp;cyFrom,dPer,"&lt;="&amp;cyTo,dAmt,"&gt;-1E+300",dFlt1,critFlt1,dFlt2,critFlt2,dFlt3,critFlt3))</f>
        <v>107714975</v>
      </c>
      <c r="E13">
        <f>IF($B13="","",SUMIFS(dQty,dCust,$B13,dPer,"&gt;="&amp;pyFrom,dPer,"&lt;="&amp;pyTo,dQty,"&gt;-1E+300",dFlt1,critFlt1,dFlt2,critFlt2,dFlt3,critFlt3))</f>
        <v>30175</v>
      </c>
      <c r="F13">
        <f>IF($B13="","",SUMIFS(dQty,dCust,$B13,dPer,"&gt;="&amp;cyFrom,dPer,"&lt;="&amp;cyTo,dQty,"&gt;-1E+300",dFlt1,critFlt1,dFlt2,critFlt2,dFlt3,critFlt3))</f>
        <v>35775</v>
      </c>
      <c r="G13">
        <f>IF($B13="",0,IFERROR(IF(OR(C13&lt;&gt;0,D13&lt;&gt;0,E13&lt;&gt;0,F13&lt;&gt;0),1,0),1))</f>
        <v>1</v>
      </c>
      <c r="H13">
        <f>IF(OR(G13=0,E13=0),"",C13/E13)</f>
        <v>2894.73888980945</v>
      </c>
      <c r="I13">
        <f>IF(OR(G13=0,F13=0),"",D13/F13)</f>
        <v>3010.90076869322</v>
      </c>
      <c r="J13">
        <f>IF(OR(H13="",I13=""),"",IF(H13=0,"",I13/H13-1))</f>
        <v>0.0401286206824074</v>
      </c>
      <c r="K13">
        <f>IF($B13="","",IFERROR(IF(G13=0,-2E+300,CHOOSE(sortIdx,ROUND(D13,0),IF(J13="",-1E+300,ROUND(-J13,6)),IF(J13="",-1E+300,ROUND(J13,6)))),-1.5E+300))</f>
        <v>107714975</v>
      </c>
      <c r="L13">
        <f>IF(K13="","",RANK(K13,$K$2:$K$3001,0)+COUNTIF($K$2:K13,K13)-1)</f>
        <v>18</v>
      </c>
    </row>
    <row r="14">
      <c r="A14" t="str">
        <v>다솜케미칼</v>
      </c>
      <c r="B14" t="str">
        <f>IFERROR(IF(A14="","","="&amp;SUBSTITUTE(SUBSTITUTE(SUBSTITUTE(A14,"~","~~"),"*","~*"),"?","~?")),"")</f>
        <v>=다솜케미칼</v>
      </c>
      <c r="C14">
        <f>IF($B14="","",SUMIFS(dAmt,dCust,$B14,dPer,"&gt;="&amp;pyFrom,dPer,"&lt;="&amp;pyTo,dAmt,"&gt;-1E+300",dFlt1,critFlt1,dFlt2,critFlt2,dFlt3,critFlt3))</f>
        <v>235928564</v>
      </c>
      <c r="D14">
        <f>IF($B14="","",SUMIFS(dAmt,dCust,$B14,dPer,"&gt;="&amp;cyFrom,dPer,"&lt;="&amp;cyTo,dAmt,"&gt;-1E+300",dFlt1,critFlt1,dFlt2,critFlt2,dFlt3,critFlt3))</f>
        <v>273632570</v>
      </c>
      <c r="E14">
        <f>IF($B14="","",SUMIFS(dQty,dCust,$B14,dPer,"&gt;="&amp;pyFrom,dPer,"&lt;="&amp;pyTo,dQty,"&gt;-1E+300",dFlt1,critFlt1,dFlt2,critFlt2,dFlt3,critFlt3))</f>
        <v>69100</v>
      </c>
      <c r="F14">
        <f>IF($B14="","",SUMIFS(dQty,dCust,$B14,dPer,"&gt;="&amp;cyFrom,dPer,"&lt;="&amp;cyTo,dQty,"&gt;-1E+300",dFlt1,critFlt1,dFlt2,critFlt2,dFlt3,critFlt3))</f>
        <v>76025</v>
      </c>
      <c r="G14">
        <f>IF($B14="",0,IFERROR(IF(OR(C14&lt;&gt;0,D14&lt;&gt;0,E14&lt;&gt;0,F14&lt;&gt;0),1,0),1))</f>
        <v>1</v>
      </c>
      <c r="H14">
        <f>IF(OR(G14=0,E14=0),"",C14/E14)</f>
        <v>3414.30628075253</v>
      </c>
      <c r="I14">
        <f>IF(OR(G14=0,F14=0),"",D14/F14)</f>
        <v>3599.2445905952</v>
      </c>
      <c r="J14">
        <f>IF(OR(H14="",I14=""),"",IF(H14=0,"",I14/H14-1))</f>
        <v>0.0541657058961638</v>
      </c>
      <c r="K14">
        <f>IF($B14="","",IFERROR(IF(G14=0,-2E+300,CHOOSE(sortIdx,ROUND(D14,0),IF(J14="",-1E+300,ROUND(-J14,6)),IF(J14="",-1E+300,ROUND(J14,6)))),-1.5E+300))</f>
        <v>273632570</v>
      </c>
      <c r="L14">
        <f>IF(K14="","",RANK(K14,$K$2:$K$3001,0)+COUNTIF($K$2:K14,K14)-1)</f>
        <v>7</v>
      </c>
    </row>
    <row r="15">
      <c r="A15" t="str">
        <v>Sinar Plastik (ID)</v>
      </c>
      <c r="B15" t="str">
        <f>IFERROR(IF(A15="","","="&amp;SUBSTITUTE(SUBSTITUTE(SUBSTITUTE(A15,"~","~~"),"*","~*"),"?","~?")),"")</f>
        <v>=Sinar Plastik (ID)</v>
      </c>
      <c r="C15">
        <f>IF($B15="","",SUMIFS(dAmt,dCust,$B15,dPer,"&gt;="&amp;pyFrom,dPer,"&lt;="&amp;pyTo,dAmt,"&gt;-1E+300",dFlt1,critFlt1,dFlt2,critFlt2,dFlt3,critFlt3))</f>
        <v>421977654</v>
      </c>
      <c r="D15">
        <f>IF($B15="","",SUMIFS(dAmt,dCust,$B15,dPer,"&gt;="&amp;cyFrom,dPer,"&lt;="&amp;cyTo,dAmt,"&gt;-1E+300",dFlt1,critFlt1,dFlt2,critFlt2,dFlt3,critFlt3))</f>
        <v>398348378</v>
      </c>
      <c r="E15">
        <f>IF($B15="","",SUMIFS(dQty,dCust,$B15,dPer,"&gt;="&amp;pyFrom,dPer,"&lt;="&amp;pyTo,dQty,"&gt;-1E+300",dFlt1,critFlt1,dFlt2,critFlt2,dFlt3,critFlt3))</f>
        <v>253975</v>
      </c>
      <c r="F15">
        <f>IF($B15="","",SUMIFS(dQty,dCust,$B15,dPer,"&gt;="&amp;cyFrom,dPer,"&lt;="&amp;cyTo,dQty,"&gt;-1E+300",dFlt1,critFlt1,dFlt2,critFlt2,dFlt3,critFlt3))</f>
        <v>239600</v>
      </c>
      <c r="G15">
        <f>IF($B15="",0,IFERROR(IF(OR(C15&lt;&gt;0,D15&lt;&gt;0,E15&lt;&gt;0,F15&lt;&gt;0),1,0),1))</f>
        <v>1</v>
      </c>
      <c r="H15">
        <f>IF(OR(G15=0,E15=0),"",C15/E15)</f>
        <v>1661.4928792204</v>
      </c>
      <c r="I15">
        <f>IF(OR(G15=0,F15=0),"",D15/F15)</f>
        <v>1662.55583472454</v>
      </c>
      <c r="J15">
        <f>IF(OR(H15="",I15=""),"",IF(H15=0,"",I15/H15-1))</f>
        <v>0.000639759289635888</v>
      </c>
      <c r="K15">
        <f>IF($B15="","",IFERROR(IF(G15=0,-2E+300,CHOOSE(sortIdx,ROUND(D15,0),IF(J15="",-1E+300,ROUND(-J15,6)),IF(J15="",-1E+300,ROUND(J15,6)))),-1.5E+300))</f>
        <v>398348378</v>
      </c>
      <c r="L15">
        <f>IF(K15="","",RANK(K15,$K$2:$K$3001,0)+COUNTIF($K$2:K15,K15)-1)</f>
        <v>1</v>
      </c>
    </row>
    <row r="16">
      <c r="A16" t="str">
        <v>바른물산</v>
      </c>
      <c r="B16" t="str">
        <f>IFERROR(IF(A16="","","="&amp;SUBSTITUTE(SUBSTITUTE(SUBSTITUTE(A16,"~","~~"),"*","~*"),"?","~?")),"")</f>
        <v>=바른물산</v>
      </c>
      <c r="C16">
        <f>IF($B16="","",SUMIFS(dAmt,dCust,$B16,dPer,"&gt;="&amp;pyFrom,dPer,"&lt;="&amp;pyTo,dAmt,"&gt;-1E+300",dFlt1,critFlt1,dFlt2,critFlt2,dFlt3,critFlt3))</f>
        <v>190701333</v>
      </c>
      <c r="D16">
        <f>IF($B16="","",SUMIFS(dAmt,dCust,$B16,dPer,"&gt;="&amp;cyFrom,dPer,"&lt;="&amp;cyTo,dAmt,"&gt;-1E+300",dFlt1,critFlt1,dFlt2,critFlt2,dFlt3,critFlt3))</f>
        <v>115220314</v>
      </c>
      <c r="E16">
        <f>IF($B16="","",SUMIFS(dQty,dCust,$B16,dPer,"&gt;="&amp;pyFrom,dPer,"&lt;="&amp;pyTo,dQty,"&gt;-1E+300",dFlt1,critFlt1,dFlt2,critFlt2,dFlt3,critFlt3))</f>
        <v>135350</v>
      </c>
      <c r="F16">
        <f>IF($B16="","",SUMIFS(dQty,dCust,$B16,dPer,"&gt;="&amp;cyFrom,dPer,"&lt;="&amp;cyTo,dQty,"&gt;-1E+300",dFlt1,critFlt1,dFlt2,critFlt2,dFlt3,critFlt3))</f>
        <v>84175</v>
      </c>
      <c r="G16">
        <f>IF($B16="",0,IFERROR(IF(OR(C16&lt;&gt;0,D16&lt;&gt;0,E16&lt;&gt;0,F16&lt;&gt;0),1,0),1))</f>
        <v>1</v>
      </c>
      <c r="H16">
        <f>IF(OR(G16=0,E16=0),"",C16/E16)</f>
        <v>1408.94963428149</v>
      </c>
      <c r="I16">
        <f>IF(OR(G16=0,F16=0),"",D16/F16)</f>
        <v>1368.8186991387</v>
      </c>
      <c r="J16">
        <f>IF(OR(H16="",I16=""),"",IF(H16=0,"",I16/H16-1))</f>
        <v>-0.0284828741683577</v>
      </c>
      <c r="K16">
        <f>IF($B16="","",IFERROR(IF(G16=0,-2E+300,CHOOSE(sortIdx,ROUND(D16,0),IF(J16="",-1E+300,ROUND(-J16,6)),IF(J16="",-1E+300,ROUND(J16,6)))),-1.5E+300))</f>
        <v>115220314</v>
      </c>
      <c r="L16">
        <f>IF(K16="","",RANK(K16,$K$2:$K$3001,0)+COUNTIF($K$2:K16,K16)-1)</f>
        <v>17</v>
      </c>
    </row>
    <row r="17">
      <c r="A17" t="str">
        <v>파란하이텍</v>
      </c>
      <c r="B17" t="str">
        <f>IFERROR(IF(A17="","","="&amp;SUBSTITUTE(SUBSTITUTE(SUBSTITUTE(A17,"~","~~"),"*","~*"),"?","~?")),"")</f>
        <v>=파란하이텍</v>
      </c>
      <c r="C17">
        <f>IF($B17="","",SUMIFS(dAmt,dCust,$B17,dPer,"&gt;="&amp;pyFrom,dPer,"&lt;="&amp;pyTo,dAmt,"&gt;-1E+300",dFlt1,critFlt1,dFlt2,critFlt2,dFlt3,critFlt3))</f>
        <v>222484560</v>
      </c>
      <c r="D17">
        <f>IF($B17="","",SUMIFS(dAmt,dCust,$B17,dPer,"&gt;="&amp;cyFrom,dPer,"&lt;="&amp;cyTo,dAmt,"&gt;-1E+300",dFlt1,critFlt1,dFlt2,critFlt2,dFlt3,critFlt3))</f>
        <v>294634344</v>
      </c>
      <c r="E17">
        <f>IF($B17="","",SUMIFS(dQty,dCust,$B17,dPer,"&gt;="&amp;pyFrom,dPer,"&lt;="&amp;pyTo,dQty,"&gt;-1E+300",dFlt1,critFlt1,dFlt2,critFlt2,dFlt3,critFlt3))</f>
        <v>56725</v>
      </c>
      <c r="F17">
        <f>IF($B17="","",SUMIFS(dQty,dCust,$B17,dPer,"&gt;="&amp;cyFrom,dPer,"&lt;="&amp;cyTo,dQty,"&gt;-1E+300",dFlt1,critFlt1,dFlt2,critFlt2,dFlt3,critFlt3))</f>
        <v>76275</v>
      </c>
      <c r="G17">
        <f>IF($B17="",0,IFERROR(IF(OR(C17&lt;&gt;0,D17&lt;&gt;0,E17&lt;&gt;0,F17&lt;&gt;0),1,0),1))</f>
        <v>1</v>
      </c>
      <c r="H17">
        <f>IF(OR(G17=0,E17=0),"",C17/E17)</f>
        <v>3922.16059938299</v>
      </c>
      <c r="I17">
        <f>IF(OR(G17=0,F17=0),"",D17/F17)</f>
        <v>3862.79048180924</v>
      </c>
      <c r="J17">
        <f>IF(OR(H17="",I17=""),"",IF(H17=0,"",I17/H17-1))</f>
        <v>-0.015137094993786</v>
      </c>
      <c r="K17">
        <f>IF($B17="","",IFERROR(IF(G17=0,-2E+300,CHOOSE(sortIdx,ROUND(D17,0),IF(J17="",-1E+300,ROUND(-J17,6)),IF(J17="",-1E+300,ROUND(J17,6)))),-1.5E+300))</f>
        <v>294634344</v>
      </c>
      <c r="L17">
        <f>IF(K17="","",RANK(K17,$K$2:$K$3001,0)+COUNTIF($K$2:K17,K17)-1)</f>
        <v>5</v>
      </c>
    </row>
    <row r="18">
      <c r="A18" t="str">
        <v>라온테크(주)</v>
      </c>
      <c r="B18" t="str">
        <f>IFERROR(IF(A18="","","="&amp;SUBSTITUTE(SUBSTITUTE(SUBSTITUTE(A18,"~","~~"),"*","~*"),"?","~?")),"")</f>
        <v>=라온테크(주)</v>
      </c>
      <c r="C18">
        <f>IF($B18="","",SUMIFS(dAmt,dCust,$B18,dPer,"&gt;="&amp;pyFrom,dPer,"&lt;="&amp;pyTo,dAmt,"&gt;-1E+300",dFlt1,critFlt1,dFlt2,critFlt2,dFlt3,critFlt3))</f>
        <v>238900061</v>
      </c>
      <c r="D18">
        <f>IF($B18="","",SUMIFS(dAmt,dCust,$B18,dPer,"&gt;="&amp;cyFrom,dPer,"&lt;="&amp;cyTo,dAmt,"&gt;-1E+300",dFlt1,critFlt1,dFlt2,critFlt2,dFlt3,critFlt3))</f>
        <v>284758055</v>
      </c>
      <c r="E18">
        <f>IF($B18="","",SUMIFS(dQty,dCust,$B18,dPer,"&gt;="&amp;pyFrom,dPer,"&lt;="&amp;pyTo,dQty,"&gt;-1E+300",dFlt1,critFlt1,dFlt2,critFlt2,dFlt3,critFlt3))</f>
        <v>89625</v>
      </c>
      <c r="F18">
        <f>IF($B18="","",SUMIFS(dQty,dCust,$B18,dPer,"&gt;="&amp;cyFrom,dPer,"&lt;="&amp;cyTo,dQty,"&gt;-1E+300",dFlt1,critFlt1,dFlt2,critFlt2,dFlt3,critFlt3))</f>
        <v>109325</v>
      </c>
      <c r="G18">
        <f>IF($B18="",0,IFERROR(IF(OR(C18&lt;&gt;0,D18&lt;&gt;0,E18&lt;&gt;0,F18&lt;&gt;0),1,0),1))</f>
        <v>1</v>
      </c>
      <c r="H18">
        <f>IF(OR(G18=0,E18=0),"",C18/E18)</f>
        <v>2665.55158716876</v>
      </c>
      <c r="I18">
        <f>IF(OR(G18=0,F18=0),"",D18/F18)</f>
        <v>2604.69293391265</v>
      </c>
      <c r="J18">
        <f>IF(OR(H18="",I18=""),"",IF(H18=0,"",I18/H18-1))</f>
        <v>-0.0228315420902263</v>
      </c>
      <c r="K18">
        <f>IF($B18="","",IFERROR(IF(G18=0,-2E+300,CHOOSE(sortIdx,ROUND(D18,0),IF(J18="",-1E+300,ROUND(-J18,6)),IF(J18="",-1E+300,ROUND(J18,6)))),-1.5E+300))</f>
        <v>284758055</v>
      </c>
      <c r="L18">
        <f>IF(K18="","",RANK(K18,$K$2:$K$3001,0)+COUNTIF($K$2:K18,K18)-1)</f>
        <v>6</v>
      </c>
    </row>
    <row r="19">
      <c r="A19" t="str">
        <v>나래산업(주)</v>
      </c>
      <c r="B19" t="str">
        <f>IFERROR(IF(A19="","","="&amp;SUBSTITUTE(SUBSTITUTE(SUBSTITUTE(A19,"~","~~"),"*","~*"),"?","~?")),"")</f>
        <v>=나래산업(주)</v>
      </c>
      <c r="C19">
        <f>IF($B19="","",SUMIFS(dAmt,dCust,$B19,dPer,"&gt;="&amp;pyFrom,dPer,"&lt;="&amp;pyTo,dAmt,"&gt;-1E+300",dFlt1,critFlt1,dFlt2,critFlt2,dFlt3,critFlt3))</f>
        <v>261543968</v>
      </c>
      <c r="D19">
        <f>IF($B19="","",SUMIFS(dAmt,dCust,$B19,dPer,"&gt;="&amp;cyFrom,dPer,"&lt;="&amp;cyTo,dAmt,"&gt;-1E+300",dFlt1,critFlt1,dFlt2,critFlt2,dFlt3,critFlt3))</f>
        <v>331743492</v>
      </c>
      <c r="E19">
        <f>IF($B19="","",SUMIFS(dQty,dCust,$B19,dPer,"&gt;="&amp;pyFrom,dPer,"&lt;="&amp;pyTo,dQty,"&gt;-1E+300",dFlt1,critFlt1,dFlt2,critFlt2,dFlt3,critFlt3))</f>
        <v>173850</v>
      </c>
      <c r="F19">
        <f>IF($B19="","",SUMIFS(dQty,dCust,$B19,dPer,"&gt;="&amp;cyFrom,dPer,"&lt;="&amp;cyTo,dQty,"&gt;-1E+300",dFlt1,critFlt1,dFlt2,critFlt2,dFlt3,critFlt3))</f>
        <v>225450</v>
      </c>
      <c r="G19">
        <f>IF($B19="",0,IFERROR(IF(OR(C19&lt;&gt;0,D19&lt;&gt;0,E19&lt;&gt;0,F19&lt;&gt;0),1,0),1))</f>
        <v>1</v>
      </c>
      <c r="H19">
        <f>IF(OR(G19=0,E19=0),"",C19/E19)</f>
        <v>1504.42316939891</v>
      </c>
      <c r="I19">
        <f>IF(OR(G19=0,F19=0),"",D19/F19)</f>
        <v>1471.4725748503</v>
      </c>
      <c r="J19">
        <f>IF(OR(H19="",I19=""),"",IF(H19=0,"",I19/H19-1))</f>
        <v>-0.021902477453716</v>
      </c>
      <c r="K19">
        <f>IF($B19="","",IFERROR(IF(G19=0,-2E+300,CHOOSE(sortIdx,ROUND(D19,0),IF(J19="",-1E+300,ROUND(-J19,6)),IF(J19="",-1E+300,ROUND(J19,6)))),-1.5E+300))</f>
        <v>331743492</v>
      </c>
      <c r="L19">
        <f>IF(K19="","",RANK(K19,$K$2:$K$3001,0)+COUNTIF($K$2:K19,K19)-1)</f>
        <v>4</v>
      </c>
    </row>
    <row r="20">
      <c r="A20" t="str">
        <v>마루정밀</v>
      </c>
      <c r="B20" t="str">
        <f>IFERROR(IF(A20="","","="&amp;SUBSTITUTE(SUBSTITUTE(SUBSTITUTE(A20,"~","~~"),"*","~*"),"?","~?")),"")</f>
        <v>=마루정밀</v>
      </c>
      <c r="C20">
        <f>IF($B20="","",SUMIFS(dAmt,dCust,$B20,dPer,"&gt;="&amp;pyFrom,dPer,"&lt;="&amp;pyTo,dAmt,"&gt;-1E+300",dFlt1,critFlt1,dFlt2,critFlt2,dFlt3,critFlt3))</f>
        <v>129460516</v>
      </c>
      <c r="D20">
        <f>IF($B20="","",SUMIFS(dAmt,dCust,$B20,dPer,"&gt;="&amp;cyFrom,dPer,"&lt;="&amp;cyTo,dAmt,"&gt;-1E+300",dFlt1,critFlt1,dFlt2,critFlt2,dFlt3,critFlt3))</f>
        <v>172224113</v>
      </c>
      <c r="E20">
        <f>IF($B20="","",SUMIFS(dQty,dCust,$B20,dPer,"&gt;="&amp;pyFrom,dPer,"&lt;="&amp;pyTo,dQty,"&gt;-1E+300",dFlt1,critFlt1,dFlt2,critFlt2,dFlt3,critFlt3))</f>
        <v>34550</v>
      </c>
      <c r="F20">
        <f>IF($B20="","",SUMIFS(dQty,dCust,$B20,dPer,"&gt;="&amp;cyFrom,dPer,"&lt;="&amp;cyTo,dQty,"&gt;-1E+300",dFlt1,critFlt1,dFlt2,critFlt2,dFlt3,critFlt3))</f>
        <v>44775</v>
      </c>
      <c r="G20">
        <f>IF($B20="",0,IFERROR(IF(OR(C20&lt;&gt;0,D20&lt;&gt;0,E20&lt;&gt;0,F20&lt;&gt;0),1,0),1))</f>
        <v>1</v>
      </c>
      <c r="H20">
        <f>IF(OR(G20=0,E20=0),"",C20/E20)</f>
        <v>3747.04821997106</v>
      </c>
      <c r="I20">
        <f>IF(OR(G20=0,F20=0),"",D20/F20)</f>
        <v>3846.43468453378</v>
      </c>
      <c r="J20">
        <f>IF(OR(H20="",I20=""),"",IF(H20=0,"",I20/H20-1))</f>
        <v>0.0265239353027305</v>
      </c>
      <c r="K20">
        <f>IF($B20="","",IFERROR(IF(G20=0,-2E+300,CHOOSE(sortIdx,ROUND(D20,0),IF(J20="",-1E+300,ROUND(-J20,6)),IF(J20="",-1E+300,ROUND(J20,6)))),-1.5E+300))</f>
        <v>172224113</v>
      </c>
      <c r="L20">
        <f>IF(K20="","",RANK(K20,$K$2:$K$3001,0)+COUNTIF($K$2:K20,K20)-1)</f>
        <v>14</v>
      </c>
    </row>
    <row r="21">
      <c r="A21" t="str">
        <v>아름화학(주)</v>
      </c>
      <c r="B21" t="str">
        <f>IFERROR(IF(A21="","","="&amp;SUBSTITUTE(SUBSTITUTE(SUBSTITUTE(A21,"~","~~"),"*","~*"),"?","~?")),"")</f>
        <v>=아름화학(주)</v>
      </c>
      <c r="C21">
        <f>IF($B21="","",SUMIFS(dAmt,dCust,$B21,dPer,"&gt;="&amp;pyFrom,dPer,"&lt;="&amp;pyTo,dAmt,"&gt;-1E+300",dFlt1,critFlt1,dFlt2,critFlt2,dFlt3,critFlt3))</f>
        <v>296920992</v>
      </c>
      <c r="D21">
        <f>IF($B21="","",SUMIFS(dAmt,dCust,$B21,dPer,"&gt;="&amp;cyFrom,dPer,"&lt;="&amp;cyTo,dAmt,"&gt;-1E+300",dFlt1,critFlt1,dFlt2,critFlt2,dFlt3,critFlt3))</f>
        <v>270865712</v>
      </c>
      <c r="E21">
        <f>IF($B21="","",SUMIFS(dQty,dCust,$B21,dPer,"&gt;="&amp;pyFrom,dPer,"&lt;="&amp;pyTo,dQty,"&gt;-1E+300",dFlt1,critFlt1,dFlt2,critFlt2,dFlt3,critFlt3))</f>
        <v>189100</v>
      </c>
      <c r="F21">
        <f>IF($B21="","",SUMIFS(dQty,dCust,$B21,dPer,"&gt;="&amp;cyFrom,dPer,"&lt;="&amp;cyTo,dQty,"&gt;-1E+300",dFlt1,critFlt1,dFlt2,critFlt2,dFlt3,critFlt3))</f>
        <v>173250</v>
      </c>
      <c r="G21">
        <f>IF($B21="",0,IFERROR(IF(OR(C21&lt;&gt;0,D21&lt;&gt;0,E21&lt;&gt;0,F21&lt;&gt;0),1,0),1))</f>
        <v>1</v>
      </c>
      <c r="H21">
        <f>IF(OR(G21=0,E21=0),"",C21/E21)</f>
        <v>1570.17975674246</v>
      </c>
      <c r="I21">
        <f>IF(OR(G21=0,F21=0),"",D21/F21)</f>
        <v>1563.43845310245</v>
      </c>
      <c r="J21">
        <f>IF(OR(H21="",I21=""),"",IF(H21=0,"",I21/H21-1))</f>
        <v>-0.00429333241054952</v>
      </c>
      <c r="K21">
        <f>IF($B21="","",IFERROR(IF(G21=0,-2E+300,CHOOSE(sortIdx,ROUND(D21,0),IF(J21="",-1E+300,ROUND(-J21,6)),IF(J21="",-1E+300,ROUND(J21,6)))),-1.5E+300))</f>
        <v>270865712</v>
      </c>
      <c r="L21">
        <f>IF(K21="","",RANK(K21,$K$2:$K$3001,0)+COUNTIF($K$2:K21,K21)-1)</f>
        <v>8</v>
      </c>
    </row>
    <row r="22">
      <c r="A22" t="str">
        <v>든솔케이스</v>
      </c>
      <c r="B22" t="str">
        <f>IFERROR(IF(A22="","","="&amp;SUBSTITUTE(SUBSTITUTE(SUBSTITUTE(A22,"~","~~"),"*","~*"),"?","~?")),"")</f>
        <v>=든솔케이스</v>
      </c>
      <c r="C22">
        <f>IF($B22="","",SUMIFS(dAmt,dCust,$B22,dPer,"&gt;="&amp;pyFrom,dPer,"&lt;="&amp;pyTo,dAmt,"&gt;-1E+300",dFlt1,critFlt1,dFlt2,critFlt2,dFlt3,critFlt3))</f>
        <v>0</v>
      </c>
      <c r="D22">
        <f>IF($B22="","",SUMIFS(dAmt,dCust,$B22,dPer,"&gt;="&amp;cyFrom,dPer,"&lt;="&amp;cyTo,dAmt,"&gt;-1E+300",dFlt1,critFlt1,dFlt2,critFlt2,dFlt3,critFlt3))</f>
        <v>83558929</v>
      </c>
      <c r="E22">
        <f>IF($B22="","",SUMIFS(dQty,dCust,$B22,dPer,"&gt;="&amp;pyFrom,dPer,"&lt;="&amp;pyTo,dQty,"&gt;-1E+300",dFlt1,critFlt1,dFlt2,critFlt2,dFlt3,critFlt3))</f>
        <v>0</v>
      </c>
      <c r="F22">
        <f>IF($B22="","",SUMIFS(dQty,dCust,$B22,dPer,"&gt;="&amp;cyFrom,dPer,"&lt;="&amp;cyTo,dQty,"&gt;-1E+300",dFlt1,critFlt1,dFlt2,critFlt2,dFlt3,critFlt3))</f>
        <v>31550</v>
      </c>
      <c r="G22">
        <f>IF($B22="",0,IFERROR(IF(OR(C22&lt;&gt;0,D22&lt;&gt;0,E22&lt;&gt;0,F22&lt;&gt;0),1,0),1))</f>
        <v>1</v>
      </c>
      <c r="H22" t="str">
        <f>IF(OR(G22=0,E22=0),"",C22/E22)</f>
        <v/>
      </c>
      <c r="I22">
        <f>IF(OR(G22=0,F22=0),"",D22/F22)</f>
        <v>2648.46050713154</v>
      </c>
      <c r="J22" t="str">
        <f>IF(OR(H22="",I22=""),"",IF(H22=0,"",I22/H22-1))</f>
        <v/>
      </c>
      <c r="K22">
        <f>IF($B22="","",IFERROR(IF(G22=0,-2E+300,CHOOSE(sortIdx,ROUND(D22,0),IF(J22="",-1E+300,ROUND(-J22,6)),IF(J22="",-1E+300,ROUND(J22,6)))),-1.5E+300))</f>
        <v>83558929</v>
      </c>
      <c r="L22">
        <f>IF(K22="","",RANK(K22,$K$2:$K$3001,0)+COUNTIF($K$2:K22,K22)-1)</f>
        <v>21</v>
      </c>
    </row>
    <row r="23">
      <c r="A23" t="str">
        <v>Hanoi Molding (VN)</v>
      </c>
      <c r="B23" t="str">
        <f>IFERROR(IF(A23="","","="&amp;SUBSTITUTE(SUBSTITUTE(SUBSTITUTE(A23,"~","~~"),"*","~*"),"?","~?")),"")</f>
        <v>=Hanoi Molding (VN)</v>
      </c>
      <c r="C23">
        <f>IF($B23="","",SUMIFS(dAmt,dCust,$B23,dPer,"&gt;="&amp;pyFrom,dPer,"&lt;="&amp;pyTo,dAmt,"&gt;-1E+300",dFlt1,critFlt1,dFlt2,critFlt2,dFlt3,critFlt3))</f>
        <v>0</v>
      </c>
      <c r="D23">
        <f>IF($B23="","",SUMIFS(dAmt,dCust,$B23,dPer,"&gt;="&amp;cyFrom,dPer,"&lt;="&amp;cyTo,dAmt,"&gt;-1E+300",dFlt1,critFlt1,dFlt2,critFlt2,dFlt3,critFlt3))</f>
        <v>225489827</v>
      </c>
      <c r="E23">
        <f>IF($B23="","",SUMIFS(dQty,dCust,$B23,dPer,"&gt;="&amp;pyFrom,dPer,"&lt;="&amp;pyTo,dQty,"&gt;-1E+300",dFlt1,critFlt1,dFlt2,critFlt2,dFlt3,critFlt3))</f>
        <v>0</v>
      </c>
      <c r="F23">
        <f>IF($B23="","",SUMIFS(dQty,dCust,$B23,dPer,"&gt;="&amp;cyFrom,dPer,"&lt;="&amp;cyTo,dQty,"&gt;-1E+300",dFlt1,critFlt1,dFlt2,critFlt2,dFlt3,critFlt3))</f>
        <v>103975</v>
      </c>
      <c r="G23">
        <f>IF($B23="",0,IFERROR(IF(OR(C23&lt;&gt;0,D23&lt;&gt;0,E23&lt;&gt;0,F23&lt;&gt;0),1,0),1))</f>
        <v>1</v>
      </c>
      <c r="H23" t="str">
        <f>IF(OR(G23=0,E23=0),"",C23/E23)</f>
        <v/>
      </c>
      <c r="I23">
        <f>IF(OR(G23=0,F23=0),"",D23/F23)</f>
        <v>2168.69273383025</v>
      </c>
      <c r="J23" t="str">
        <f>IF(OR(H23="",I23=""),"",IF(H23=0,"",I23/H23-1))</f>
        <v/>
      </c>
      <c r="K23">
        <f>IF($B23="","",IFERROR(IF(G23=0,-2E+300,CHOOSE(sortIdx,ROUND(D23,0),IF(J23="",-1E+300,ROUND(-J23,6)),IF(J23="",-1E+300,ROUND(J23,6)))),-1.5E+300))</f>
        <v>225489827</v>
      </c>
      <c r="L23">
        <f>IF(K23="","",RANK(K23,$K$2:$K$3001,0)+COUNTIF($K$2:K23,K23)-1)</f>
        <v>10</v>
      </c>
    </row>
    <row r="24">
      <c r="B24" t="str">
        <f>IFERROR(IF(A24="","","="&amp;SUBSTITUTE(SUBSTITUTE(SUBSTITUTE(A24,"~","~~"),"*","~*"),"?","~?")),"")</f>
        <v/>
      </c>
      <c r="C24" t="str">
        <f>IF($B24="","",SUMIFS(dAmt,dCust,$B24,dPer,"&gt;="&amp;pyFrom,dPer,"&lt;="&amp;pyTo,dAmt,"&gt;-1E+300",dFlt1,critFlt1,dFlt2,critFlt2,dFlt3,critFlt3))</f>
        <v/>
      </c>
      <c r="D24" t="str">
        <f>IF($B24="","",SUMIFS(dAmt,dCust,$B24,dPer,"&gt;="&amp;cyFrom,dPer,"&lt;="&amp;cyTo,dAmt,"&gt;-1E+300",dFlt1,critFlt1,dFlt2,critFlt2,dFlt3,critFlt3))</f>
        <v/>
      </c>
      <c r="E24" t="str">
        <f>IF($B24="","",SUMIFS(dQty,dCust,$B24,dPer,"&gt;="&amp;pyFrom,dPer,"&lt;="&amp;pyTo,dQty,"&gt;-1E+300",dFlt1,critFlt1,dFlt2,critFlt2,dFlt3,critFlt3))</f>
        <v/>
      </c>
      <c r="F24" t="str">
        <f>IF($B24="","",SUMIFS(dQty,dCust,$B24,dPer,"&gt;="&amp;cyFrom,dPer,"&lt;="&amp;cyTo,dQty,"&gt;-1E+300",dFlt1,critFlt1,dFlt2,critFlt2,dFlt3,critFlt3))</f>
        <v/>
      </c>
      <c r="G24">
        <f>IF($B24="",0,IFERROR(IF(OR(C24&lt;&gt;0,D24&lt;&gt;0,E24&lt;&gt;0,F24&lt;&gt;0),1,0),1))</f>
        <v>0</v>
      </c>
      <c r="H24" t="str">
        <f>IF(OR(G24=0,E24=0),"",C24/E24)</f>
        <v/>
      </c>
      <c r="I24" t="str">
        <f>IF(OR(G24=0,F24=0),"",D24/F24)</f>
        <v/>
      </c>
      <c r="J24" t="str">
        <f>IF(OR(H24="",I24=""),"",IF(H24=0,"",I24/H24-1))</f>
        <v/>
      </c>
      <c r="K24" t="str">
        <f>IF($B24="","",IFERROR(IF(G24=0,-2E+300,CHOOSE(sortIdx,ROUND(D24,0),IF(J24="",-1E+300,ROUND(-J24,6)),IF(J24="",-1E+300,ROUND(J24,6)))),-1.5E+300))</f>
        <v/>
      </c>
      <c r="L24" t="str">
        <f>IF(K24="","",RANK(K24,$K$2:$K$3001,0)+COUNTIF($K$2:K24,K24)-1)</f>
        <v/>
      </c>
    </row>
    <row r="25">
      <c r="B25" t="str">
        <f>IFERROR(IF(A25="","","="&amp;SUBSTITUTE(SUBSTITUTE(SUBSTITUTE(A25,"~","~~"),"*","~*"),"?","~?")),"")</f>
        <v/>
      </c>
      <c r="C25" t="str">
        <f>IF($B25="","",SUMIFS(dAmt,dCust,$B25,dPer,"&gt;="&amp;pyFrom,dPer,"&lt;="&amp;pyTo,dAmt,"&gt;-1E+300",dFlt1,critFlt1,dFlt2,critFlt2,dFlt3,critFlt3))</f>
        <v/>
      </c>
      <c r="D25" t="str">
        <f>IF($B25="","",SUMIFS(dAmt,dCust,$B25,dPer,"&gt;="&amp;cyFrom,dPer,"&lt;="&amp;cyTo,dAmt,"&gt;-1E+300",dFlt1,critFlt1,dFlt2,critFlt2,dFlt3,critFlt3))</f>
        <v/>
      </c>
      <c r="E25" t="str">
        <f>IF($B25="","",SUMIFS(dQty,dCust,$B25,dPer,"&gt;="&amp;pyFrom,dPer,"&lt;="&amp;pyTo,dQty,"&gt;-1E+300",dFlt1,critFlt1,dFlt2,critFlt2,dFlt3,critFlt3))</f>
        <v/>
      </c>
      <c r="F25" t="str">
        <f>IF($B25="","",SUMIFS(dQty,dCust,$B25,dPer,"&gt;="&amp;cyFrom,dPer,"&lt;="&amp;cyTo,dQty,"&gt;-1E+300",dFlt1,critFlt1,dFlt2,critFlt2,dFlt3,critFlt3))</f>
        <v/>
      </c>
      <c r="G25">
        <f>IF($B25="",0,IFERROR(IF(OR(C25&lt;&gt;0,D25&lt;&gt;0,E25&lt;&gt;0,F25&lt;&gt;0),1,0),1))</f>
        <v>0</v>
      </c>
      <c r="H25" t="str">
        <f>IF(OR(G25=0,E25=0),"",C25/E25)</f>
        <v/>
      </c>
      <c r="I25" t="str">
        <f>IF(OR(G25=0,F25=0),"",D25/F25)</f>
        <v/>
      </c>
      <c r="J25" t="str">
        <f>IF(OR(H25="",I25=""),"",IF(H25=0,"",I25/H25-1))</f>
        <v/>
      </c>
      <c r="K25" t="str">
        <f>IF($B25="","",IFERROR(IF(G25=0,-2E+300,CHOOSE(sortIdx,ROUND(D25,0),IF(J25="",-1E+300,ROUND(-J25,6)),IF(J25="",-1E+300,ROUND(J25,6)))),-1.5E+300))</f>
        <v/>
      </c>
      <c r="L25" t="str">
        <f>IF(K25="","",RANK(K25,$K$2:$K$3001,0)+COUNTIF($K$2:K25,K25)-1)</f>
        <v/>
      </c>
    </row>
    <row r="26">
      <c r="B26" t="str">
        <f>IFERROR(IF(A26="","","="&amp;SUBSTITUTE(SUBSTITUTE(SUBSTITUTE(A26,"~","~~"),"*","~*"),"?","~?")),"")</f>
        <v/>
      </c>
      <c r="C26" t="str">
        <f>IF($B26="","",SUMIFS(dAmt,dCust,$B26,dPer,"&gt;="&amp;pyFrom,dPer,"&lt;="&amp;pyTo,dAmt,"&gt;-1E+300",dFlt1,critFlt1,dFlt2,critFlt2,dFlt3,critFlt3))</f>
        <v/>
      </c>
      <c r="D26" t="str">
        <f>IF($B26="","",SUMIFS(dAmt,dCust,$B26,dPer,"&gt;="&amp;cyFrom,dPer,"&lt;="&amp;cyTo,dAmt,"&gt;-1E+300",dFlt1,critFlt1,dFlt2,critFlt2,dFlt3,critFlt3))</f>
        <v/>
      </c>
      <c r="E26" t="str">
        <f>IF($B26="","",SUMIFS(dQty,dCust,$B26,dPer,"&gt;="&amp;pyFrom,dPer,"&lt;="&amp;pyTo,dQty,"&gt;-1E+300",dFlt1,critFlt1,dFlt2,critFlt2,dFlt3,critFlt3))</f>
        <v/>
      </c>
      <c r="F26" t="str">
        <f>IF($B26="","",SUMIFS(dQty,dCust,$B26,dPer,"&gt;="&amp;cyFrom,dPer,"&lt;="&amp;cyTo,dQty,"&gt;-1E+300",dFlt1,critFlt1,dFlt2,critFlt2,dFlt3,critFlt3))</f>
        <v/>
      </c>
      <c r="G26">
        <f>IF($B26="",0,IFERROR(IF(OR(C26&lt;&gt;0,D26&lt;&gt;0,E26&lt;&gt;0,F26&lt;&gt;0),1,0),1))</f>
        <v>0</v>
      </c>
      <c r="H26" t="str">
        <f>IF(OR(G26=0,E26=0),"",C26/E26)</f>
        <v/>
      </c>
      <c r="I26" t="str">
        <f>IF(OR(G26=0,F26=0),"",D26/F26)</f>
        <v/>
      </c>
      <c r="J26" t="str">
        <f>IF(OR(H26="",I26=""),"",IF(H26=0,"",I26/H26-1))</f>
        <v/>
      </c>
      <c r="K26" t="str">
        <f>IF($B26="","",IFERROR(IF(G26=0,-2E+300,CHOOSE(sortIdx,ROUND(D26,0),IF(J26="",-1E+300,ROUND(-J26,6)),IF(J26="",-1E+300,ROUND(J26,6)))),-1.5E+300))</f>
        <v/>
      </c>
      <c r="L26" t="str">
        <f>IF(K26="","",RANK(K26,$K$2:$K$3001,0)+COUNTIF($K$2:K26,K26)-1)</f>
        <v/>
      </c>
    </row>
    <row r="27">
      <c r="B27" t="str">
        <f>IFERROR(IF(A27="","","="&amp;SUBSTITUTE(SUBSTITUTE(SUBSTITUTE(A27,"~","~~"),"*","~*"),"?","~?")),"")</f>
        <v/>
      </c>
      <c r="C27" t="str">
        <f>IF($B27="","",SUMIFS(dAmt,dCust,$B27,dPer,"&gt;="&amp;pyFrom,dPer,"&lt;="&amp;pyTo,dAmt,"&gt;-1E+300",dFlt1,critFlt1,dFlt2,critFlt2,dFlt3,critFlt3))</f>
        <v/>
      </c>
      <c r="D27" t="str">
        <f>IF($B27="","",SUMIFS(dAmt,dCust,$B27,dPer,"&gt;="&amp;cyFrom,dPer,"&lt;="&amp;cyTo,dAmt,"&gt;-1E+300",dFlt1,critFlt1,dFlt2,critFlt2,dFlt3,critFlt3))</f>
        <v/>
      </c>
      <c r="E27" t="str">
        <f>IF($B27="","",SUMIFS(dQty,dCust,$B27,dPer,"&gt;="&amp;pyFrom,dPer,"&lt;="&amp;pyTo,dQty,"&gt;-1E+300",dFlt1,critFlt1,dFlt2,critFlt2,dFlt3,critFlt3))</f>
        <v/>
      </c>
      <c r="F27" t="str">
        <f>IF($B27="","",SUMIFS(dQty,dCust,$B27,dPer,"&gt;="&amp;cyFrom,dPer,"&lt;="&amp;cyTo,dQty,"&gt;-1E+300",dFlt1,critFlt1,dFlt2,critFlt2,dFlt3,critFlt3))</f>
        <v/>
      </c>
      <c r="G27">
        <f>IF($B27="",0,IFERROR(IF(OR(C27&lt;&gt;0,D27&lt;&gt;0,E27&lt;&gt;0,F27&lt;&gt;0),1,0),1))</f>
        <v>0</v>
      </c>
      <c r="H27" t="str">
        <f>IF(OR(G27=0,E27=0),"",C27/E27)</f>
        <v/>
      </c>
      <c r="I27" t="str">
        <f>IF(OR(G27=0,F27=0),"",D27/F27)</f>
        <v/>
      </c>
      <c r="J27" t="str">
        <f>IF(OR(H27="",I27=""),"",IF(H27=0,"",I27/H27-1))</f>
        <v/>
      </c>
      <c r="K27" t="str">
        <f>IF($B27="","",IFERROR(IF(G27=0,-2E+300,CHOOSE(sortIdx,ROUND(D27,0),IF(J27="",-1E+300,ROUND(-J27,6)),IF(J27="",-1E+300,ROUND(J27,6)))),-1.5E+300))</f>
        <v/>
      </c>
      <c r="L27" t="str">
        <f>IF(K27="","",RANK(K27,$K$2:$K$3001,0)+COUNTIF($K$2:K27,K27)-1)</f>
        <v/>
      </c>
    </row>
    <row r="28">
      <c r="B28" t="str">
        <f>IFERROR(IF(A28="","","="&amp;SUBSTITUTE(SUBSTITUTE(SUBSTITUTE(A28,"~","~~"),"*","~*"),"?","~?")),"")</f>
        <v/>
      </c>
      <c r="C28" t="str">
        <f>IF($B28="","",SUMIFS(dAmt,dCust,$B28,dPer,"&gt;="&amp;pyFrom,dPer,"&lt;="&amp;pyTo,dAmt,"&gt;-1E+300",dFlt1,critFlt1,dFlt2,critFlt2,dFlt3,critFlt3))</f>
        <v/>
      </c>
      <c r="D28" t="str">
        <f>IF($B28="","",SUMIFS(dAmt,dCust,$B28,dPer,"&gt;="&amp;cyFrom,dPer,"&lt;="&amp;cyTo,dAmt,"&gt;-1E+300",dFlt1,critFlt1,dFlt2,critFlt2,dFlt3,critFlt3))</f>
        <v/>
      </c>
      <c r="E28" t="str">
        <f>IF($B28="","",SUMIFS(dQty,dCust,$B28,dPer,"&gt;="&amp;pyFrom,dPer,"&lt;="&amp;pyTo,dQty,"&gt;-1E+300",dFlt1,critFlt1,dFlt2,critFlt2,dFlt3,critFlt3))</f>
        <v/>
      </c>
      <c r="F28" t="str">
        <f>IF($B28="","",SUMIFS(dQty,dCust,$B28,dPer,"&gt;="&amp;cyFrom,dPer,"&lt;="&amp;cyTo,dQty,"&gt;-1E+300",dFlt1,critFlt1,dFlt2,critFlt2,dFlt3,critFlt3))</f>
        <v/>
      </c>
      <c r="G28">
        <f>IF($B28="",0,IFERROR(IF(OR(C28&lt;&gt;0,D28&lt;&gt;0,E28&lt;&gt;0,F28&lt;&gt;0),1,0),1))</f>
        <v>0</v>
      </c>
      <c r="H28" t="str">
        <f>IF(OR(G28=0,E28=0),"",C28/E28)</f>
        <v/>
      </c>
      <c r="I28" t="str">
        <f>IF(OR(G28=0,F28=0),"",D28/F28)</f>
        <v/>
      </c>
      <c r="J28" t="str">
        <f>IF(OR(H28="",I28=""),"",IF(H28=0,"",I28/H28-1))</f>
        <v/>
      </c>
      <c r="K28" t="str">
        <f>IF($B28="","",IFERROR(IF(G28=0,-2E+300,CHOOSE(sortIdx,ROUND(D28,0),IF(J28="",-1E+300,ROUND(-J28,6)),IF(J28="",-1E+300,ROUND(J28,6)))),-1.5E+300))</f>
        <v/>
      </c>
      <c r="L28" t="str">
        <f>IF(K28="","",RANK(K28,$K$2:$K$3001,0)+COUNTIF($K$2:K28,K28)-1)</f>
        <v/>
      </c>
    </row>
    <row r="29">
      <c r="B29" t="str">
        <f>IFERROR(IF(A29="","","="&amp;SUBSTITUTE(SUBSTITUTE(SUBSTITUTE(A29,"~","~~"),"*","~*"),"?","~?")),"")</f>
        <v/>
      </c>
      <c r="C29" t="str">
        <f>IF($B29="","",SUMIFS(dAmt,dCust,$B29,dPer,"&gt;="&amp;pyFrom,dPer,"&lt;="&amp;pyTo,dAmt,"&gt;-1E+300",dFlt1,critFlt1,dFlt2,critFlt2,dFlt3,critFlt3))</f>
        <v/>
      </c>
      <c r="D29" t="str">
        <f>IF($B29="","",SUMIFS(dAmt,dCust,$B29,dPer,"&gt;="&amp;cyFrom,dPer,"&lt;="&amp;cyTo,dAmt,"&gt;-1E+300",dFlt1,critFlt1,dFlt2,critFlt2,dFlt3,critFlt3))</f>
        <v/>
      </c>
      <c r="E29" t="str">
        <f>IF($B29="","",SUMIFS(dQty,dCust,$B29,dPer,"&gt;="&amp;pyFrom,dPer,"&lt;="&amp;pyTo,dQty,"&gt;-1E+300",dFlt1,critFlt1,dFlt2,critFlt2,dFlt3,critFlt3))</f>
        <v/>
      </c>
      <c r="F29" t="str">
        <f>IF($B29="","",SUMIFS(dQty,dCust,$B29,dPer,"&gt;="&amp;cyFrom,dPer,"&lt;="&amp;cyTo,dQty,"&gt;-1E+300",dFlt1,critFlt1,dFlt2,critFlt2,dFlt3,critFlt3))</f>
        <v/>
      </c>
      <c r="G29">
        <f>IF($B29="",0,IFERROR(IF(OR(C29&lt;&gt;0,D29&lt;&gt;0,E29&lt;&gt;0,F29&lt;&gt;0),1,0),1))</f>
        <v>0</v>
      </c>
      <c r="H29" t="str">
        <f>IF(OR(G29=0,E29=0),"",C29/E29)</f>
        <v/>
      </c>
      <c r="I29" t="str">
        <f>IF(OR(G29=0,F29=0),"",D29/F29)</f>
        <v/>
      </c>
      <c r="J29" t="str">
        <f>IF(OR(H29="",I29=""),"",IF(H29=0,"",I29/H29-1))</f>
        <v/>
      </c>
      <c r="K29" t="str">
        <f>IF($B29="","",IFERROR(IF(G29=0,-2E+300,CHOOSE(sortIdx,ROUND(D29,0),IF(J29="",-1E+300,ROUND(-J29,6)),IF(J29="",-1E+300,ROUND(J29,6)))),-1.5E+300))</f>
        <v/>
      </c>
      <c r="L29" t="str">
        <f>IF(K29="","",RANK(K29,$K$2:$K$3001,0)+COUNTIF($K$2:K29,K29)-1)</f>
        <v/>
      </c>
    </row>
    <row r="30">
      <c r="B30" t="str">
        <f>IFERROR(IF(A30="","","="&amp;SUBSTITUTE(SUBSTITUTE(SUBSTITUTE(A30,"~","~~"),"*","~*"),"?","~?")),"")</f>
        <v/>
      </c>
      <c r="C30" t="str">
        <f>IF($B30="","",SUMIFS(dAmt,dCust,$B30,dPer,"&gt;="&amp;pyFrom,dPer,"&lt;="&amp;pyTo,dAmt,"&gt;-1E+300",dFlt1,critFlt1,dFlt2,critFlt2,dFlt3,critFlt3))</f>
        <v/>
      </c>
      <c r="D30" t="str">
        <f>IF($B30="","",SUMIFS(dAmt,dCust,$B30,dPer,"&gt;="&amp;cyFrom,dPer,"&lt;="&amp;cyTo,dAmt,"&gt;-1E+300",dFlt1,critFlt1,dFlt2,critFlt2,dFlt3,critFlt3))</f>
        <v/>
      </c>
      <c r="E30" t="str">
        <f>IF($B30="","",SUMIFS(dQty,dCust,$B30,dPer,"&gt;="&amp;pyFrom,dPer,"&lt;="&amp;pyTo,dQty,"&gt;-1E+300",dFlt1,critFlt1,dFlt2,critFlt2,dFlt3,critFlt3))</f>
        <v/>
      </c>
      <c r="F30" t="str">
        <f>IF($B30="","",SUMIFS(dQty,dCust,$B30,dPer,"&gt;="&amp;cyFrom,dPer,"&lt;="&amp;cyTo,dQty,"&gt;-1E+300",dFlt1,critFlt1,dFlt2,critFlt2,dFlt3,critFlt3))</f>
        <v/>
      </c>
      <c r="G30">
        <f>IF($B30="",0,IFERROR(IF(OR(C30&lt;&gt;0,D30&lt;&gt;0,E30&lt;&gt;0,F30&lt;&gt;0),1,0),1))</f>
        <v>0</v>
      </c>
      <c r="H30" t="str">
        <f>IF(OR(G30=0,E30=0),"",C30/E30)</f>
        <v/>
      </c>
      <c r="I30" t="str">
        <f>IF(OR(G30=0,F30=0),"",D30/F30)</f>
        <v/>
      </c>
      <c r="J30" t="str">
        <f>IF(OR(H30="",I30=""),"",IF(H30=0,"",I30/H30-1))</f>
        <v/>
      </c>
      <c r="K30" t="str">
        <f>IF($B30="","",IFERROR(IF(G30=0,-2E+300,CHOOSE(sortIdx,ROUND(D30,0),IF(J30="",-1E+300,ROUND(-J30,6)),IF(J30="",-1E+300,ROUND(J30,6)))),-1.5E+300))</f>
        <v/>
      </c>
      <c r="L30" t="str">
        <f>IF(K30="","",RANK(K30,$K$2:$K$3001,0)+COUNTIF($K$2:K30,K30)-1)</f>
        <v/>
      </c>
    </row>
    <row r="31">
      <c r="B31" t="str">
        <f>IFERROR(IF(A31="","","="&amp;SUBSTITUTE(SUBSTITUTE(SUBSTITUTE(A31,"~","~~"),"*","~*"),"?","~?")),"")</f>
        <v/>
      </c>
      <c r="C31" t="str">
        <f>IF($B31="","",SUMIFS(dAmt,dCust,$B31,dPer,"&gt;="&amp;pyFrom,dPer,"&lt;="&amp;pyTo,dAmt,"&gt;-1E+300",dFlt1,critFlt1,dFlt2,critFlt2,dFlt3,critFlt3))</f>
        <v/>
      </c>
      <c r="D31" t="str">
        <f>IF($B31="","",SUMIFS(dAmt,dCust,$B31,dPer,"&gt;="&amp;cyFrom,dPer,"&lt;="&amp;cyTo,dAmt,"&gt;-1E+300",dFlt1,critFlt1,dFlt2,critFlt2,dFlt3,critFlt3))</f>
        <v/>
      </c>
      <c r="E31" t="str">
        <f>IF($B31="","",SUMIFS(dQty,dCust,$B31,dPer,"&gt;="&amp;pyFrom,dPer,"&lt;="&amp;pyTo,dQty,"&gt;-1E+300",dFlt1,critFlt1,dFlt2,critFlt2,dFlt3,critFlt3))</f>
        <v/>
      </c>
      <c r="F31" t="str">
        <f>IF($B31="","",SUMIFS(dQty,dCust,$B31,dPer,"&gt;="&amp;cyFrom,dPer,"&lt;="&amp;cyTo,dQty,"&gt;-1E+300",dFlt1,critFlt1,dFlt2,critFlt2,dFlt3,critFlt3))</f>
        <v/>
      </c>
      <c r="G31">
        <f>IF($B31="",0,IFERROR(IF(OR(C31&lt;&gt;0,D31&lt;&gt;0,E31&lt;&gt;0,F31&lt;&gt;0),1,0),1))</f>
        <v>0</v>
      </c>
      <c r="H31" t="str">
        <f>IF(OR(G31=0,E31=0),"",C31/E31)</f>
        <v/>
      </c>
      <c r="I31" t="str">
        <f>IF(OR(G31=0,F31=0),"",D31/F31)</f>
        <v/>
      </c>
      <c r="J31" t="str">
        <f>IF(OR(H31="",I31=""),"",IF(H31=0,"",I31/H31-1))</f>
        <v/>
      </c>
      <c r="K31" t="str">
        <f>IF($B31="","",IFERROR(IF(G31=0,-2E+300,CHOOSE(sortIdx,ROUND(D31,0),IF(J31="",-1E+300,ROUND(-J31,6)),IF(J31="",-1E+300,ROUND(J31,6)))),-1.5E+300))</f>
        <v/>
      </c>
      <c r="L31" t="str">
        <f>IF(K31="","",RANK(K31,$K$2:$K$3001,0)+COUNTIF($K$2:K31,K31)-1)</f>
        <v/>
      </c>
    </row>
    <row r="32">
      <c r="B32" t="str">
        <f>IFERROR(IF(A32="","","="&amp;SUBSTITUTE(SUBSTITUTE(SUBSTITUTE(A32,"~","~~"),"*","~*"),"?","~?")),"")</f>
        <v/>
      </c>
      <c r="C32" t="str">
        <f>IF($B32="","",SUMIFS(dAmt,dCust,$B32,dPer,"&gt;="&amp;pyFrom,dPer,"&lt;="&amp;pyTo,dAmt,"&gt;-1E+300",dFlt1,critFlt1,dFlt2,critFlt2,dFlt3,critFlt3))</f>
        <v/>
      </c>
      <c r="D32" t="str">
        <f>IF($B32="","",SUMIFS(dAmt,dCust,$B32,dPer,"&gt;="&amp;cyFrom,dPer,"&lt;="&amp;cyTo,dAmt,"&gt;-1E+300",dFlt1,critFlt1,dFlt2,critFlt2,dFlt3,critFlt3))</f>
        <v/>
      </c>
      <c r="E32" t="str">
        <f>IF($B32="","",SUMIFS(dQty,dCust,$B32,dPer,"&gt;="&amp;pyFrom,dPer,"&lt;="&amp;pyTo,dQty,"&gt;-1E+300",dFlt1,critFlt1,dFlt2,critFlt2,dFlt3,critFlt3))</f>
        <v/>
      </c>
      <c r="F32" t="str">
        <f>IF($B32="","",SUMIFS(dQty,dCust,$B32,dPer,"&gt;="&amp;cyFrom,dPer,"&lt;="&amp;cyTo,dQty,"&gt;-1E+300",dFlt1,critFlt1,dFlt2,critFlt2,dFlt3,critFlt3))</f>
        <v/>
      </c>
      <c r="G32">
        <f>IF($B32="",0,IFERROR(IF(OR(C32&lt;&gt;0,D32&lt;&gt;0,E32&lt;&gt;0,F32&lt;&gt;0),1,0),1))</f>
        <v>0</v>
      </c>
      <c r="H32" t="str">
        <f>IF(OR(G32=0,E32=0),"",C32/E32)</f>
        <v/>
      </c>
      <c r="I32" t="str">
        <f>IF(OR(G32=0,F32=0),"",D32/F32)</f>
        <v/>
      </c>
      <c r="J32" t="str">
        <f>IF(OR(H32="",I32=""),"",IF(H32=0,"",I32/H32-1))</f>
        <v/>
      </c>
      <c r="K32" t="str">
        <f>IF($B32="","",IFERROR(IF(G32=0,-2E+300,CHOOSE(sortIdx,ROUND(D32,0),IF(J32="",-1E+300,ROUND(-J32,6)),IF(J32="",-1E+300,ROUND(J32,6)))),-1.5E+300))</f>
        <v/>
      </c>
      <c r="L32" t="str">
        <f>IF(K32="","",RANK(K32,$K$2:$K$3001,0)+COUNTIF($K$2:K32,K32)-1)</f>
        <v/>
      </c>
    </row>
    <row r="33">
      <c r="B33" t="str">
        <f>IFERROR(IF(A33="","","="&amp;SUBSTITUTE(SUBSTITUTE(SUBSTITUTE(A33,"~","~~"),"*","~*"),"?","~?")),"")</f>
        <v/>
      </c>
      <c r="C33" t="str">
        <f>IF($B33="","",SUMIFS(dAmt,dCust,$B33,dPer,"&gt;="&amp;pyFrom,dPer,"&lt;="&amp;pyTo,dAmt,"&gt;-1E+300",dFlt1,critFlt1,dFlt2,critFlt2,dFlt3,critFlt3))</f>
        <v/>
      </c>
      <c r="D33" t="str">
        <f>IF($B33="","",SUMIFS(dAmt,dCust,$B33,dPer,"&gt;="&amp;cyFrom,dPer,"&lt;="&amp;cyTo,dAmt,"&gt;-1E+300",dFlt1,critFlt1,dFlt2,critFlt2,dFlt3,critFlt3))</f>
        <v/>
      </c>
      <c r="E33" t="str">
        <f>IF($B33="","",SUMIFS(dQty,dCust,$B33,dPer,"&gt;="&amp;pyFrom,dPer,"&lt;="&amp;pyTo,dQty,"&gt;-1E+300",dFlt1,critFlt1,dFlt2,critFlt2,dFlt3,critFlt3))</f>
        <v/>
      </c>
      <c r="F33" t="str">
        <f>IF($B33="","",SUMIFS(dQty,dCust,$B33,dPer,"&gt;="&amp;cyFrom,dPer,"&lt;="&amp;cyTo,dQty,"&gt;-1E+300",dFlt1,critFlt1,dFlt2,critFlt2,dFlt3,critFlt3))</f>
        <v/>
      </c>
      <c r="G33">
        <f>IF($B33="",0,IFERROR(IF(OR(C33&lt;&gt;0,D33&lt;&gt;0,E33&lt;&gt;0,F33&lt;&gt;0),1,0),1))</f>
        <v>0</v>
      </c>
      <c r="H33" t="str">
        <f>IF(OR(G33=0,E33=0),"",C33/E33)</f>
        <v/>
      </c>
      <c r="I33" t="str">
        <f>IF(OR(G33=0,F33=0),"",D33/F33)</f>
        <v/>
      </c>
      <c r="J33" t="str">
        <f>IF(OR(H33="",I33=""),"",IF(H33=0,"",I33/H33-1))</f>
        <v/>
      </c>
      <c r="K33" t="str">
        <f>IF($B33="","",IFERROR(IF(G33=0,-2E+300,CHOOSE(sortIdx,ROUND(D33,0),IF(J33="",-1E+300,ROUND(-J33,6)),IF(J33="",-1E+300,ROUND(J33,6)))),-1.5E+300))</f>
        <v/>
      </c>
      <c r="L33" t="str">
        <f>IF(K33="","",RANK(K33,$K$2:$K$3001,0)+COUNTIF($K$2:K33,K33)-1)</f>
        <v/>
      </c>
    </row>
    <row r="34">
      <c r="B34" t="str">
        <f>IFERROR(IF(A34="","","="&amp;SUBSTITUTE(SUBSTITUTE(SUBSTITUTE(A34,"~","~~"),"*","~*"),"?","~?")),"")</f>
        <v/>
      </c>
      <c r="C34" t="str">
        <f>IF($B34="","",SUMIFS(dAmt,dCust,$B34,dPer,"&gt;="&amp;pyFrom,dPer,"&lt;="&amp;pyTo,dAmt,"&gt;-1E+300",dFlt1,critFlt1,dFlt2,critFlt2,dFlt3,critFlt3))</f>
        <v/>
      </c>
      <c r="D34" t="str">
        <f>IF($B34="","",SUMIFS(dAmt,dCust,$B34,dPer,"&gt;="&amp;cyFrom,dPer,"&lt;="&amp;cyTo,dAmt,"&gt;-1E+300",dFlt1,critFlt1,dFlt2,critFlt2,dFlt3,critFlt3))</f>
        <v/>
      </c>
      <c r="E34" t="str">
        <f>IF($B34="","",SUMIFS(dQty,dCust,$B34,dPer,"&gt;="&amp;pyFrom,dPer,"&lt;="&amp;pyTo,dQty,"&gt;-1E+300",dFlt1,critFlt1,dFlt2,critFlt2,dFlt3,critFlt3))</f>
        <v/>
      </c>
      <c r="F34" t="str">
        <f>IF($B34="","",SUMIFS(dQty,dCust,$B34,dPer,"&gt;="&amp;cyFrom,dPer,"&lt;="&amp;cyTo,dQty,"&gt;-1E+300",dFlt1,critFlt1,dFlt2,critFlt2,dFlt3,critFlt3))</f>
        <v/>
      </c>
      <c r="G34">
        <f>IF($B34="",0,IFERROR(IF(OR(C34&lt;&gt;0,D34&lt;&gt;0,E34&lt;&gt;0,F34&lt;&gt;0),1,0),1))</f>
        <v>0</v>
      </c>
      <c r="H34" t="str">
        <f>IF(OR(G34=0,E34=0),"",C34/E34)</f>
        <v/>
      </c>
      <c r="I34" t="str">
        <f>IF(OR(G34=0,F34=0),"",D34/F34)</f>
        <v/>
      </c>
      <c r="J34" t="str">
        <f>IF(OR(H34="",I34=""),"",IF(H34=0,"",I34/H34-1))</f>
        <v/>
      </c>
      <c r="K34" t="str">
        <f>IF($B34="","",IFERROR(IF(G34=0,-2E+300,CHOOSE(sortIdx,ROUND(D34,0),IF(J34="",-1E+300,ROUND(-J34,6)),IF(J34="",-1E+300,ROUND(J34,6)))),-1.5E+300))</f>
        <v/>
      </c>
      <c r="L34" t="str">
        <f>IF(K34="","",RANK(K34,$K$2:$K$3001,0)+COUNTIF($K$2:K34,K34)-1)</f>
        <v/>
      </c>
    </row>
    <row r="35">
      <c r="B35" t="str">
        <f>IFERROR(IF(A35="","","="&amp;SUBSTITUTE(SUBSTITUTE(SUBSTITUTE(A35,"~","~~"),"*","~*"),"?","~?")),"")</f>
        <v/>
      </c>
      <c r="C35" t="str">
        <f>IF($B35="","",SUMIFS(dAmt,dCust,$B35,dPer,"&gt;="&amp;pyFrom,dPer,"&lt;="&amp;pyTo,dAmt,"&gt;-1E+300",dFlt1,critFlt1,dFlt2,critFlt2,dFlt3,critFlt3))</f>
        <v/>
      </c>
      <c r="D35" t="str">
        <f>IF($B35="","",SUMIFS(dAmt,dCust,$B35,dPer,"&gt;="&amp;cyFrom,dPer,"&lt;="&amp;cyTo,dAmt,"&gt;-1E+300",dFlt1,critFlt1,dFlt2,critFlt2,dFlt3,critFlt3))</f>
        <v/>
      </c>
      <c r="E35" t="str">
        <f>IF($B35="","",SUMIFS(dQty,dCust,$B35,dPer,"&gt;="&amp;pyFrom,dPer,"&lt;="&amp;pyTo,dQty,"&gt;-1E+300",dFlt1,critFlt1,dFlt2,critFlt2,dFlt3,critFlt3))</f>
        <v/>
      </c>
      <c r="F35" t="str">
        <f>IF($B35="","",SUMIFS(dQty,dCust,$B35,dPer,"&gt;="&amp;cyFrom,dPer,"&lt;="&amp;cyTo,dQty,"&gt;-1E+300",dFlt1,critFlt1,dFlt2,critFlt2,dFlt3,critFlt3))</f>
        <v/>
      </c>
      <c r="G35">
        <f>IF($B35="",0,IFERROR(IF(OR(C35&lt;&gt;0,D35&lt;&gt;0,E35&lt;&gt;0,F35&lt;&gt;0),1,0),1))</f>
        <v>0</v>
      </c>
      <c r="H35" t="str">
        <f>IF(OR(G35=0,E35=0),"",C35/E35)</f>
        <v/>
      </c>
      <c r="I35" t="str">
        <f>IF(OR(G35=0,F35=0),"",D35/F35)</f>
        <v/>
      </c>
      <c r="J35" t="str">
        <f>IF(OR(H35="",I35=""),"",IF(H35=0,"",I35/H35-1))</f>
        <v/>
      </c>
      <c r="K35" t="str">
        <f>IF($B35="","",IFERROR(IF(G35=0,-2E+300,CHOOSE(sortIdx,ROUND(D35,0),IF(J35="",-1E+300,ROUND(-J35,6)),IF(J35="",-1E+300,ROUND(J35,6)))),-1.5E+300))</f>
        <v/>
      </c>
      <c r="L35" t="str">
        <f>IF(K35="","",RANK(K35,$K$2:$K$3001,0)+COUNTIF($K$2:K35,K35)-1)</f>
        <v/>
      </c>
    </row>
    <row r="36">
      <c r="B36" t="str">
        <f>IFERROR(IF(A36="","","="&amp;SUBSTITUTE(SUBSTITUTE(SUBSTITUTE(A36,"~","~~"),"*","~*"),"?","~?")),"")</f>
        <v/>
      </c>
      <c r="C36" t="str">
        <f>IF($B36="","",SUMIFS(dAmt,dCust,$B36,dPer,"&gt;="&amp;pyFrom,dPer,"&lt;="&amp;pyTo,dAmt,"&gt;-1E+300",dFlt1,critFlt1,dFlt2,critFlt2,dFlt3,critFlt3))</f>
        <v/>
      </c>
      <c r="D36" t="str">
        <f>IF($B36="","",SUMIFS(dAmt,dCust,$B36,dPer,"&gt;="&amp;cyFrom,dPer,"&lt;="&amp;cyTo,dAmt,"&gt;-1E+300",dFlt1,critFlt1,dFlt2,critFlt2,dFlt3,critFlt3))</f>
        <v/>
      </c>
      <c r="E36" t="str">
        <f>IF($B36="","",SUMIFS(dQty,dCust,$B36,dPer,"&gt;="&amp;pyFrom,dPer,"&lt;="&amp;pyTo,dQty,"&gt;-1E+300",dFlt1,critFlt1,dFlt2,critFlt2,dFlt3,critFlt3))</f>
        <v/>
      </c>
      <c r="F36" t="str">
        <f>IF($B36="","",SUMIFS(dQty,dCust,$B36,dPer,"&gt;="&amp;cyFrom,dPer,"&lt;="&amp;cyTo,dQty,"&gt;-1E+300",dFlt1,critFlt1,dFlt2,critFlt2,dFlt3,critFlt3))</f>
        <v/>
      </c>
      <c r="G36">
        <f>IF($B36="",0,IFERROR(IF(OR(C36&lt;&gt;0,D36&lt;&gt;0,E36&lt;&gt;0,F36&lt;&gt;0),1,0),1))</f>
        <v>0</v>
      </c>
      <c r="H36" t="str">
        <f>IF(OR(G36=0,E36=0),"",C36/E36)</f>
        <v/>
      </c>
      <c r="I36" t="str">
        <f>IF(OR(G36=0,F36=0),"",D36/F36)</f>
        <v/>
      </c>
      <c r="J36" t="str">
        <f>IF(OR(H36="",I36=""),"",IF(H36=0,"",I36/H36-1))</f>
        <v/>
      </c>
      <c r="K36" t="str">
        <f>IF($B36="","",IFERROR(IF(G36=0,-2E+300,CHOOSE(sortIdx,ROUND(D36,0),IF(J36="",-1E+300,ROUND(-J36,6)),IF(J36="",-1E+300,ROUND(J36,6)))),-1.5E+300))</f>
        <v/>
      </c>
      <c r="L36" t="str">
        <f>IF(K36="","",RANK(K36,$K$2:$K$3001,0)+COUNTIF($K$2:K36,K36)-1)</f>
        <v/>
      </c>
    </row>
    <row r="37">
      <c r="B37" t="str">
        <f>IFERROR(IF(A37="","","="&amp;SUBSTITUTE(SUBSTITUTE(SUBSTITUTE(A37,"~","~~"),"*","~*"),"?","~?")),"")</f>
        <v/>
      </c>
      <c r="C37" t="str">
        <f>IF($B37="","",SUMIFS(dAmt,dCust,$B37,dPer,"&gt;="&amp;pyFrom,dPer,"&lt;="&amp;pyTo,dAmt,"&gt;-1E+300",dFlt1,critFlt1,dFlt2,critFlt2,dFlt3,critFlt3))</f>
        <v/>
      </c>
      <c r="D37" t="str">
        <f>IF($B37="","",SUMIFS(dAmt,dCust,$B37,dPer,"&gt;="&amp;cyFrom,dPer,"&lt;="&amp;cyTo,dAmt,"&gt;-1E+300",dFlt1,critFlt1,dFlt2,critFlt2,dFlt3,critFlt3))</f>
        <v/>
      </c>
      <c r="E37" t="str">
        <f>IF($B37="","",SUMIFS(dQty,dCust,$B37,dPer,"&gt;="&amp;pyFrom,dPer,"&lt;="&amp;pyTo,dQty,"&gt;-1E+300",dFlt1,critFlt1,dFlt2,critFlt2,dFlt3,critFlt3))</f>
        <v/>
      </c>
      <c r="F37" t="str">
        <f>IF($B37="","",SUMIFS(dQty,dCust,$B37,dPer,"&gt;="&amp;cyFrom,dPer,"&lt;="&amp;cyTo,dQty,"&gt;-1E+300",dFlt1,critFlt1,dFlt2,critFlt2,dFlt3,critFlt3))</f>
        <v/>
      </c>
      <c r="G37">
        <f>IF($B37="",0,IFERROR(IF(OR(C37&lt;&gt;0,D37&lt;&gt;0,E37&lt;&gt;0,F37&lt;&gt;0),1,0),1))</f>
        <v>0</v>
      </c>
      <c r="H37" t="str">
        <f>IF(OR(G37=0,E37=0),"",C37/E37)</f>
        <v/>
      </c>
      <c r="I37" t="str">
        <f>IF(OR(G37=0,F37=0),"",D37/F37)</f>
        <v/>
      </c>
      <c r="J37" t="str">
        <f>IF(OR(H37="",I37=""),"",IF(H37=0,"",I37/H37-1))</f>
        <v/>
      </c>
      <c r="K37" t="str">
        <f>IF($B37="","",IFERROR(IF(G37=0,-2E+300,CHOOSE(sortIdx,ROUND(D37,0),IF(J37="",-1E+300,ROUND(-J37,6)),IF(J37="",-1E+300,ROUND(J37,6)))),-1.5E+300))</f>
        <v/>
      </c>
      <c r="L37" t="str">
        <f>IF(K37="","",RANK(K37,$K$2:$K$3001,0)+COUNTIF($K$2:K37,K37)-1)</f>
        <v/>
      </c>
    </row>
    <row r="38">
      <c r="B38" t="str">
        <f>IFERROR(IF(A38="","","="&amp;SUBSTITUTE(SUBSTITUTE(SUBSTITUTE(A38,"~","~~"),"*","~*"),"?","~?")),"")</f>
        <v/>
      </c>
      <c r="C38" t="str">
        <f>IF($B38="","",SUMIFS(dAmt,dCust,$B38,dPer,"&gt;="&amp;pyFrom,dPer,"&lt;="&amp;pyTo,dAmt,"&gt;-1E+300",dFlt1,critFlt1,dFlt2,critFlt2,dFlt3,critFlt3))</f>
        <v/>
      </c>
      <c r="D38" t="str">
        <f>IF($B38="","",SUMIFS(dAmt,dCust,$B38,dPer,"&gt;="&amp;cyFrom,dPer,"&lt;="&amp;cyTo,dAmt,"&gt;-1E+300",dFlt1,critFlt1,dFlt2,critFlt2,dFlt3,critFlt3))</f>
        <v/>
      </c>
      <c r="E38" t="str">
        <f>IF($B38="","",SUMIFS(dQty,dCust,$B38,dPer,"&gt;="&amp;pyFrom,dPer,"&lt;="&amp;pyTo,dQty,"&gt;-1E+300",dFlt1,critFlt1,dFlt2,critFlt2,dFlt3,critFlt3))</f>
        <v/>
      </c>
      <c r="F38" t="str">
        <f>IF($B38="","",SUMIFS(dQty,dCust,$B38,dPer,"&gt;="&amp;cyFrom,dPer,"&lt;="&amp;cyTo,dQty,"&gt;-1E+300",dFlt1,critFlt1,dFlt2,critFlt2,dFlt3,critFlt3))</f>
        <v/>
      </c>
      <c r="G38">
        <f>IF($B38="",0,IFERROR(IF(OR(C38&lt;&gt;0,D38&lt;&gt;0,E38&lt;&gt;0,F38&lt;&gt;0),1,0),1))</f>
        <v>0</v>
      </c>
      <c r="H38" t="str">
        <f>IF(OR(G38=0,E38=0),"",C38/E38)</f>
        <v/>
      </c>
      <c r="I38" t="str">
        <f>IF(OR(G38=0,F38=0),"",D38/F38)</f>
        <v/>
      </c>
      <c r="J38" t="str">
        <f>IF(OR(H38="",I38=""),"",IF(H38=0,"",I38/H38-1))</f>
        <v/>
      </c>
      <c r="K38" t="str">
        <f>IF($B38="","",IFERROR(IF(G38=0,-2E+300,CHOOSE(sortIdx,ROUND(D38,0),IF(J38="",-1E+300,ROUND(-J38,6)),IF(J38="",-1E+300,ROUND(J38,6)))),-1.5E+300))</f>
        <v/>
      </c>
      <c r="L38" t="str">
        <f>IF(K38="","",RANK(K38,$K$2:$K$3001,0)+COUNTIF($K$2:K38,K38)-1)</f>
        <v/>
      </c>
    </row>
    <row r="39">
      <c r="B39" t="str">
        <f>IFERROR(IF(A39="","","="&amp;SUBSTITUTE(SUBSTITUTE(SUBSTITUTE(A39,"~","~~"),"*","~*"),"?","~?")),"")</f>
        <v/>
      </c>
      <c r="C39" t="str">
        <f>IF($B39="","",SUMIFS(dAmt,dCust,$B39,dPer,"&gt;="&amp;pyFrom,dPer,"&lt;="&amp;pyTo,dAmt,"&gt;-1E+300",dFlt1,critFlt1,dFlt2,critFlt2,dFlt3,critFlt3))</f>
        <v/>
      </c>
      <c r="D39" t="str">
        <f>IF($B39="","",SUMIFS(dAmt,dCust,$B39,dPer,"&gt;="&amp;cyFrom,dPer,"&lt;="&amp;cyTo,dAmt,"&gt;-1E+300",dFlt1,critFlt1,dFlt2,critFlt2,dFlt3,critFlt3))</f>
        <v/>
      </c>
      <c r="E39" t="str">
        <f>IF($B39="","",SUMIFS(dQty,dCust,$B39,dPer,"&gt;="&amp;pyFrom,dPer,"&lt;="&amp;pyTo,dQty,"&gt;-1E+300",dFlt1,critFlt1,dFlt2,critFlt2,dFlt3,critFlt3))</f>
        <v/>
      </c>
      <c r="F39" t="str">
        <f>IF($B39="","",SUMIFS(dQty,dCust,$B39,dPer,"&gt;="&amp;cyFrom,dPer,"&lt;="&amp;cyTo,dQty,"&gt;-1E+300",dFlt1,critFlt1,dFlt2,critFlt2,dFlt3,critFlt3))</f>
        <v/>
      </c>
      <c r="G39">
        <f>IF($B39="",0,IFERROR(IF(OR(C39&lt;&gt;0,D39&lt;&gt;0,E39&lt;&gt;0,F39&lt;&gt;0),1,0),1))</f>
        <v>0</v>
      </c>
      <c r="H39" t="str">
        <f>IF(OR(G39=0,E39=0),"",C39/E39)</f>
        <v/>
      </c>
      <c r="I39" t="str">
        <f>IF(OR(G39=0,F39=0),"",D39/F39)</f>
        <v/>
      </c>
      <c r="J39" t="str">
        <f>IF(OR(H39="",I39=""),"",IF(H39=0,"",I39/H39-1))</f>
        <v/>
      </c>
      <c r="K39" t="str">
        <f>IF($B39="","",IFERROR(IF(G39=0,-2E+300,CHOOSE(sortIdx,ROUND(D39,0),IF(J39="",-1E+300,ROUND(-J39,6)),IF(J39="",-1E+300,ROUND(J39,6)))),-1.5E+300))</f>
        <v/>
      </c>
      <c r="L39" t="str">
        <f>IF(K39="","",RANK(K39,$K$2:$K$3001,0)+COUNTIF($K$2:K39,K39)-1)</f>
        <v/>
      </c>
    </row>
    <row r="40">
      <c r="B40" t="str">
        <f>IFERROR(IF(A40="","","="&amp;SUBSTITUTE(SUBSTITUTE(SUBSTITUTE(A40,"~","~~"),"*","~*"),"?","~?")),"")</f>
        <v/>
      </c>
      <c r="C40" t="str">
        <f>IF($B40="","",SUMIFS(dAmt,dCust,$B40,dPer,"&gt;="&amp;pyFrom,dPer,"&lt;="&amp;pyTo,dAmt,"&gt;-1E+300",dFlt1,critFlt1,dFlt2,critFlt2,dFlt3,critFlt3))</f>
        <v/>
      </c>
      <c r="D40" t="str">
        <f>IF($B40="","",SUMIFS(dAmt,dCust,$B40,dPer,"&gt;="&amp;cyFrom,dPer,"&lt;="&amp;cyTo,dAmt,"&gt;-1E+300",dFlt1,critFlt1,dFlt2,critFlt2,dFlt3,critFlt3))</f>
        <v/>
      </c>
      <c r="E40" t="str">
        <f>IF($B40="","",SUMIFS(dQty,dCust,$B40,dPer,"&gt;="&amp;pyFrom,dPer,"&lt;="&amp;pyTo,dQty,"&gt;-1E+300",dFlt1,critFlt1,dFlt2,critFlt2,dFlt3,critFlt3))</f>
        <v/>
      </c>
      <c r="F40" t="str">
        <f>IF($B40="","",SUMIFS(dQty,dCust,$B40,dPer,"&gt;="&amp;cyFrom,dPer,"&lt;="&amp;cyTo,dQty,"&gt;-1E+300",dFlt1,critFlt1,dFlt2,critFlt2,dFlt3,critFlt3))</f>
        <v/>
      </c>
      <c r="G40">
        <f>IF($B40="",0,IFERROR(IF(OR(C40&lt;&gt;0,D40&lt;&gt;0,E40&lt;&gt;0,F40&lt;&gt;0),1,0),1))</f>
        <v>0</v>
      </c>
      <c r="H40" t="str">
        <f>IF(OR(G40=0,E40=0),"",C40/E40)</f>
        <v/>
      </c>
      <c r="I40" t="str">
        <f>IF(OR(G40=0,F40=0),"",D40/F40)</f>
        <v/>
      </c>
      <c r="J40" t="str">
        <f>IF(OR(H40="",I40=""),"",IF(H40=0,"",I40/H40-1))</f>
        <v/>
      </c>
      <c r="K40" t="str">
        <f>IF($B40="","",IFERROR(IF(G40=0,-2E+300,CHOOSE(sortIdx,ROUND(D40,0),IF(J40="",-1E+300,ROUND(-J40,6)),IF(J40="",-1E+300,ROUND(J40,6)))),-1.5E+300))</f>
        <v/>
      </c>
      <c r="L40" t="str">
        <f>IF(K40="","",RANK(K40,$K$2:$K$3001,0)+COUNTIF($K$2:K40,K40)-1)</f>
        <v/>
      </c>
    </row>
    <row r="41">
      <c r="B41" t="str">
        <f>IFERROR(IF(A41="","","="&amp;SUBSTITUTE(SUBSTITUTE(SUBSTITUTE(A41,"~","~~"),"*","~*"),"?","~?")),"")</f>
        <v/>
      </c>
      <c r="C41" t="str">
        <f>IF($B41="","",SUMIFS(dAmt,dCust,$B41,dPer,"&gt;="&amp;pyFrom,dPer,"&lt;="&amp;pyTo,dAmt,"&gt;-1E+300",dFlt1,critFlt1,dFlt2,critFlt2,dFlt3,critFlt3))</f>
        <v/>
      </c>
      <c r="D41" t="str">
        <f>IF($B41="","",SUMIFS(dAmt,dCust,$B41,dPer,"&gt;="&amp;cyFrom,dPer,"&lt;="&amp;cyTo,dAmt,"&gt;-1E+300",dFlt1,critFlt1,dFlt2,critFlt2,dFlt3,critFlt3))</f>
        <v/>
      </c>
      <c r="E41" t="str">
        <f>IF($B41="","",SUMIFS(dQty,dCust,$B41,dPer,"&gt;="&amp;pyFrom,dPer,"&lt;="&amp;pyTo,dQty,"&gt;-1E+300",dFlt1,critFlt1,dFlt2,critFlt2,dFlt3,critFlt3))</f>
        <v/>
      </c>
      <c r="F41" t="str">
        <f>IF($B41="","",SUMIFS(dQty,dCust,$B41,dPer,"&gt;="&amp;cyFrom,dPer,"&lt;="&amp;cyTo,dQty,"&gt;-1E+300",dFlt1,critFlt1,dFlt2,critFlt2,dFlt3,critFlt3))</f>
        <v/>
      </c>
      <c r="G41">
        <f>IF($B41="",0,IFERROR(IF(OR(C41&lt;&gt;0,D41&lt;&gt;0,E41&lt;&gt;0,F41&lt;&gt;0),1,0),1))</f>
        <v>0</v>
      </c>
      <c r="H41" t="str">
        <f>IF(OR(G41=0,E41=0),"",C41/E41)</f>
        <v/>
      </c>
      <c r="I41" t="str">
        <f>IF(OR(G41=0,F41=0),"",D41/F41)</f>
        <v/>
      </c>
      <c r="J41" t="str">
        <f>IF(OR(H41="",I41=""),"",IF(H41=0,"",I41/H41-1))</f>
        <v/>
      </c>
      <c r="K41" t="str">
        <f>IF($B41="","",IFERROR(IF(G41=0,-2E+300,CHOOSE(sortIdx,ROUND(D41,0),IF(J41="",-1E+300,ROUND(-J41,6)),IF(J41="",-1E+300,ROUND(J41,6)))),-1.5E+300))</f>
        <v/>
      </c>
      <c r="L41" t="str">
        <f>IF(K41="","",RANK(K41,$K$2:$K$3001,0)+COUNTIF($K$2:K41,K41)-1)</f>
        <v/>
      </c>
    </row>
    <row r="42">
      <c r="B42" t="str">
        <f>IFERROR(IF(A42="","","="&amp;SUBSTITUTE(SUBSTITUTE(SUBSTITUTE(A42,"~","~~"),"*","~*"),"?","~?")),"")</f>
        <v/>
      </c>
      <c r="C42" t="str">
        <f>IF($B42="","",SUMIFS(dAmt,dCust,$B42,dPer,"&gt;="&amp;pyFrom,dPer,"&lt;="&amp;pyTo,dAmt,"&gt;-1E+300",dFlt1,critFlt1,dFlt2,critFlt2,dFlt3,critFlt3))</f>
        <v/>
      </c>
      <c r="D42" t="str">
        <f>IF($B42="","",SUMIFS(dAmt,dCust,$B42,dPer,"&gt;="&amp;cyFrom,dPer,"&lt;="&amp;cyTo,dAmt,"&gt;-1E+300",dFlt1,critFlt1,dFlt2,critFlt2,dFlt3,critFlt3))</f>
        <v/>
      </c>
      <c r="E42" t="str">
        <f>IF($B42="","",SUMIFS(dQty,dCust,$B42,dPer,"&gt;="&amp;pyFrom,dPer,"&lt;="&amp;pyTo,dQty,"&gt;-1E+300",dFlt1,critFlt1,dFlt2,critFlt2,dFlt3,critFlt3))</f>
        <v/>
      </c>
      <c r="F42" t="str">
        <f>IF($B42="","",SUMIFS(dQty,dCust,$B42,dPer,"&gt;="&amp;cyFrom,dPer,"&lt;="&amp;cyTo,dQty,"&gt;-1E+300",dFlt1,critFlt1,dFlt2,critFlt2,dFlt3,critFlt3))</f>
        <v/>
      </c>
      <c r="G42">
        <f>IF($B42="",0,IFERROR(IF(OR(C42&lt;&gt;0,D42&lt;&gt;0,E42&lt;&gt;0,F42&lt;&gt;0),1,0),1))</f>
        <v>0</v>
      </c>
      <c r="H42" t="str">
        <f>IF(OR(G42=0,E42=0),"",C42/E42)</f>
        <v/>
      </c>
      <c r="I42" t="str">
        <f>IF(OR(G42=0,F42=0),"",D42/F42)</f>
        <v/>
      </c>
      <c r="J42" t="str">
        <f>IF(OR(H42="",I42=""),"",IF(H42=0,"",I42/H42-1))</f>
        <v/>
      </c>
      <c r="K42" t="str">
        <f>IF($B42="","",IFERROR(IF(G42=0,-2E+300,CHOOSE(sortIdx,ROUND(D42,0),IF(J42="",-1E+300,ROUND(-J42,6)),IF(J42="",-1E+300,ROUND(J42,6)))),-1.5E+300))</f>
        <v/>
      </c>
      <c r="L42" t="str">
        <f>IF(K42="","",RANK(K42,$K$2:$K$3001,0)+COUNTIF($K$2:K42,K42)-1)</f>
        <v/>
      </c>
    </row>
    <row r="43">
      <c r="B43" t="str">
        <f>IFERROR(IF(A43="","","="&amp;SUBSTITUTE(SUBSTITUTE(SUBSTITUTE(A43,"~","~~"),"*","~*"),"?","~?")),"")</f>
        <v/>
      </c>
      <c r="C43" t="str">
        <f>IF($B43="","",SUMIFS(dAmt,dCust,$B43,dPer,"&gt;="&amp;pyFrom,dPer,"&lt;="&amp;pyTo,dAmt,"&gt;-1E+300",dFlt1,critFlt1,dFlt2,critFlt2,dFlt3,critFlt3))</f>
        <v/>
      </c>
      <c r="D43" t="str">
        <f>IF($B43="","",SUMIFS(dAmt,dCust,$B43,dPer,"&gt;="&amp;cyFrom,dPer,"&lt;="&amp;cyTo,dAmt,"&gt;-1E+300",dFlt1,critFlt1,dFlt2,critFlt2,dFlt3,critFlt3))</f>
        <v/>
      </c>
      <c r="E43" t="str">
        <f>IF($B43="","",SUMIFS(dQty,dCust,$B43,dPer,"&gt;="&amp;pyFrom,dPer,"&lt;="&amp;pyTo,dQty,"&gt;-1E+300",dFlt1,critFlt1,dFlt2,critFlt2,dFlt3,critFlt3))</f>
        <v/>
      </c>
      <c r="F43" t="str">
        <f>IF($B43="","",SUMIFS(dQty,dCust,$B43,dPer,"&gt;="&amp;cyFrom,dPer,"&lt;="&amp;cyTo,dQty,"&gt;-1E+300",dFlt1,critFlt1,dFlt2,critFlt2,dFlt3,critFlt3))</f>
        <v/>
      </c>
      <c r="G43">
        <f>IF($B43="",0,IFERROR(IF(OR(C43&lt;&gt;0,D43&lt;&gt;0,E43&lt;&gt;0,F43&lt;&gt;0),1,0),1))</f>
        <v>0</v>
      </c>
      <c r="H43" t="str">
        <f>IF(OR(G43=0,E43=0),"",C43/E43)</f>
        <v/>
      </c>
      <c r="I43" t="str">
        <f>IF(OR(G43=0,F43=0),"",D43/F43)</f>
        <v/>
      </c>
      <c r="J43" t="str">
        <f>IF(OR(H43="",I43=""),"",IF(H43=0,"",I43/H43-1))</f>
        <v/>
      </c>
      <c r="K43" t="str">
        <f>IF($B43="","",IFERROR(IF(G43=0,-2E+300,CHOOSE(sortIdx,ROUND(D43,0),IF(J43="",-1E+300,ROUND(-J43,6)),IF(J43="",-1E+300,ROUND(J43,6)))),-1.5E+300))</f>
        <v/>
      </c>
      <c r="L43" t="str">
        <f>IF(K43="","",RANK(K43,$K$2:$K$3001,0)+COUNTIF($K$2:K43,K43)-1)</f>
        <v/>
      </c>
    </row>
    <row r="44">
      <c r="B44" t="str">
        <f>IFERROR(IF(A44="","","="&amp;SUBSTITUTE(SUBSTITUTE(SUBSTITUTE(A44,"~","~~"),"*","~*"),"?","~?")),"")</f>
        <v/>
      </c>
      <c r="C44" t="str">
        <f>IF($B44="","",SUMIFS(dAmt,dCust,$B44,dPer,"&gt;="&amp;pyFrom,dPer,"&lt;="&amp;pyTo,dAmt,"&gt;-1E+300",dFlt1,critFlt1,dFlt2,critFlt2,dFlt3,critFlt3))</f>
        <v/>
      </c>
      <c r="D44" t="str">
        <f>IF($B44="","",SUMIFS(dAmt,dCust,$B44,dPer,"&gt;="&amp;cyFrom,dPer,"&lt;="&amp;cyTo,dAmt,"&gt;-1E+300",dFlt1,critFlt1,dFlt2,critFlt2,dFlt3,critFlt3))</f>
        <v/>
      </c>
      <c r="E44" t="str">
        <f>IF($B44="","",SUMIFS(dQty,dCust,$B44,dPer,"&gt;="&amp;pyFrom,dPer,"&lt;="&amp;pyTo,dQty,"&gt;-1E+300",dFlt1,critFlt1,dFlt2,critFlt2,dFlt3,critFlt3))</f>
        <v/>
      </c>
      <c r="F44" t="str">
        <f>IF($B44="","",SUMIFS(dQty,dCust,$B44,dPer,"&gt;="&amp;cyFrom,dPer,"&lt;="&amp;cyTo,dQty,"&gt;-1E+300",dFlt1,critFlt1,dFlt2,critFlt2,dFlt3,critFlt3))</f>
        <v/>
      </c>
      <c r="G44">
        <f>IF($B44="",0,IFERROR(IF(OR(C44&lt;&gt;0,D44&lt;&gt;0,E44&lt;&gt;0,F44&lt;&gt;0),1,0),1))</f>
        <v>0</v>
      </c>
      <c r="H44" t="str">
        <f>IF(OR(G44=0,E44=0),"",C44/E44)</f>
        <v/>
      </c>
      <c r="I44" t="str">
        <f>IF(OR(G44=0,F44=0),"",D44/F44)</f>
        <v/>
      </c>
      <c r="J44" t="str">
        <f>IF(OR(H44="",I44=""),"",IF(H44=0,"",I44/H44-1))</f>
        <v/>
      </c>
      <c r="K44" t="str">
        <f>IF($B44="","",IFERROR(IF(G44=0,-2E+300,CHOOSE(sortIdx,ROUND(D44,0),IF(J44="",-1E+300,ROUND(-J44,6)),IF(J44="",-1E+300,ROUND(J44,6)))),-1.5E+300))</f>
        <v/>
      </c>
      <c r="L44" t="str">
        <f>IF(K44="","",RANK(K44,$K$2:$K$3001,0)+COUNTIF($K$2:K44,K44)-1)</f>
        <v/>
      </c>
    </row>
    <row r="45">
      <c r="B45" t="str">
        <f>IFERROR(IF(A45="","","="&amp;SUBSTITUTE(SUBSTITUTE(SUBSTITUTE(A45,"~","~~"),"*","~*"),"?","~?")),"")</f>
        <v/>
      </c>
      <c r="C45" t="str">
        <f>IF($B45="","",SUMIFS(dAmt,dCust,$B45,dPer,"&gt;="&amp;pyFrom,dPer,"&lt;="&amp;pyTo,dAmt,"&gt;-1E+300",dFlt1,critFlt1,dFlt2,critFlt2,dFlt3,critFlt3))</f>
        <v/>
      </c>
      <c r="D45" t="str">
        <f>IF($B45="","",SUMIFS(dAmt,dCust,$B45,dPer,"&gt;="&amp;cyFrom,dPer,"&lt;="&amp;cyTo,dAmt,"&gt;-1E+300",dFlt1,critFlt1,dFlt2,critFlt2,dFlt3,critFlt3))</f>
        <v/>
      </c>
      <c r="E45" t="str">
        <f>IF($B45="","",SUMIFS(dQty,dCust,$B45,dPer,"&gt;="&amp;pyFrom,dPer,"&lt;="&amp;pyTo,dQty,"&gt;-1E+300",dFlt1,critFlt1,dFlt2,critFlt2,dFlt3,critFlt3))</f>
        <v/>
      </c>
      <c r="F45" t="str">
        <f>IF($B45="","",SUMIFS(dQty,dCust,$B45,dPer,"&gt;="&amp;cyFrom,dPer,"&lt;="&amp;cyTo,dQty,"&gt;-1E+300",dFlt1,critFlt1,dFlt2,critFlt2,dFlt3,critFlt3))</f>
        <v/>
      </c>
      <c r="G45">
        <f>IF($B45="",0,IFERROR(IF(OR(C45&lt;&gt;0,D45&lt;&gt;0,E45&lt;&gt;0,F45&lt;&gt;0),1,0),1))</f>
        <v>0</v>
      </c>
      <c r="H45" t="str">
        <f>IF(OR(G45=0,E45=0),"",C45/E45)</f>
        <v/>
      </c>
      <c r="I45" t="str">
        <f>IF(OR(G45=0,F45=0),"",D45/F45)</f>
        <v/>
      </c>
      <c r="J45" t="str">
        <f>IF(OR(H45="",I45=""),"",IF(H45=0,"",I45/H45-1))</f>
        <v/>
      </c>
      <c r="K45" t="str">
        <f>IF($B45="","",IFERROR(IF(G45=0,-2E+300,CHOOSE(sortIdx,ROUND(D45,0),IF(J45="",-1E+300,ROUND(-J45,6)),IF(J45="",-1E+300,ROUND(J45,6)))),-1.5E+300))</f>
        <v/>
      </c>
      <c r="L45" t="str">
        <f>IF(K45="","",RANK(K45,$K$2:$K$3001,0)+COUNTIF($K$2:K45,K45)-1)</f>
        <v/>
      </c>
    </row>
    <row r="46">
      <c r="B46" t="str">
        <f>IFERROR(IF(A46="","","="&amp;SUBSTITUTE(SUBSTITUTE(SUBSTITUTE(A46,"~","~~"),"*","~*"),"?","~?")),"")</f>
        <v/>
      </c>
      <c r="C46" t="str">
        <f>IF($B46="","",SUMIFS(dAmt,dCust,$B46,dPer,"&gt;="&amp;pyFrom,dPer,"&lt;="&amp;pyTo,dAmt,"&gt;-1E+300",dFlt1,critFlt1,dFlt2,critFlt2,dFlt3,critFlt3))</f>
        <v/>
      </c>
      <c r="D46" t="str">
        <f>IF($B46="","",SUMIFS(dAmt,dCust,$B46,dPer,"&gt;="&amp;cyFrom,dPer,"&lt;="&amp;cyTo,dAmt,"&gt;-1E+300",dFlt1,critFlt1,dFlt2,critFlt2,dFlt3,critFlt3))</f>
        <v/>
      </c>
      <c r="E46" t="str">
        <f>IF($B46="","",SUMIFS(dQty,dCust,$B46,dPer,"&gt;="&amp;pyFrom,dPer,"&lt;="&amp;pyTo,dQty,"&gt;-1E+300",dFlt1,critFlt1,dFlt2,critFlt2,dFlt3,critFlt3))</f>
        <v/>
      </c>
      <c r="F46" t="str">
        <f>IF($B46="","",SUMIFS(dQty,dCust,$B46,dPer,"&gt;="&amp;cyFrom,dPer,"&lt;="&amp;cyTo,dQty,"&gt;-1E+300",dFlt1,critFlt1,dFlt2,critFlt2,dFlt3,critFlt3))</f>
        <v/>
      </c>
      <c r="G46">
        <f>IF($B46="",0,IFERROR(IF(OR(C46&lt;&gt;0,D46&lt;&gt;0,E46&lt;&gt;0,F46&lt;&gt;0),1,0),1))</f>
        <v>0</v>
      </c>
      <c r="H46" t="str">
        <f>IF(OR(G46=0,E46=0),"",C46/E46)</f>
        <v/>
      </c>
      <c r="I46" t="str">
        <f>IF(OR(G46=0,F46=0),"",D46/F46)</f>
        <v/>
      </c>
      <c r="J46" t="str">
        <f>IF(OR(H46="",I46=""),"",IF(H46=0,"",I46/H46-1))</f>
        <v/>
      </c>
      <c r="K46" t="str">
        <f>IF($B46="","",IFERROR(IF(G46=0,-2E+300,CHOOSE(sortIdx,ROUND(D46,0),IF(J46="",-1E+300,ROUND(-J46,6)),IF(J46="",-1E+300,ROUND(J46,6)))),-1.5E+300))</f>
        <v/>
      </c>
      <c r="L46" t="str">
        <f>IF(K46="","",RANK(K46,$K$2:$K$3001,0)+COUNTIF($K$2:K46,K46)-1)</f>
        <v/>
      </c>
    </row>
    <row r="47">
      <c r="B47" t="str">
        <f>IFERROR(IF(A47="","","="&amp;SUBSTITUTE(SUBSTITUTE(SUBSTITUTE(A47,"~","~~"),"*","~*"),"?","~?")),"")</f>
        <v/>
      </c>
      <c r="C47" t="str">
        <f>IF($B47="","",SUMIFS(dAmt,dCust,$B47,dPer,"&gt;="&amp;pyFrom,dPer,"&lt;="&amp;pyTo,dAmt,"&gt;-1E+300",dFlt1,critFlt1,dFlt2,critFlt2,dFlt3,critFlt3))</f>
        <v/>
      </c>
      <c r="D47" t="str">
        <f>IF($B47="","",SUMIFS(dAmt,dCust,$B47,dPer,"&gt;="&amp;cyFrom,dPer,"&lt;="&amp;cyTo,dAmt,"&gt;-1E+300",dFlt1,critFlt1,dFlt2,critFlt2,dFlt3,critFlt3))</f>
        <v/>
      </c>
      <c r="E47" t="str">
        <f>IF($B47="","",SUMIFS(dQty,dCust,$B47,dPer,"&gt;="&amp;pyFrom,dPer,"&lt;="&amp;pyTo,dQty,"&gt;-1E+300",dFlt1,critFlt1,dFlt2,critFlt2,dFlt3,critFlt3))</f>
        <v/>
      </c>
      <c r="F47" t="str">
        <f>IF($B47="","",SUMIFS(dQty,dCust,$B47,dPer,"&gt;="&amp;cyFrom,dPer,"&lt;="&amp;cyTo,dQty,"&gt;-1E+300",dFlt1,critFlt1,dFlt2,critFlt2,dFlt3,critFlt3))</f>
        <v/>
      </c>
      <c r="G47">
        <f>IF($B47="",0,IFERROR(IF(OR(C47&lt;&gt;0,D47&lt;&gt;0,E47&lt;&gt;0,F47&lt;&gt;0),1,0),1))</f>
        <v>0</v>
      </c>
      <c r="H47" t="str">
        <f>IF(OR(G47=0,E47=0),"",C47/E47)</f>
        <v/>
      </c>
      <c r="I47" t="str">
        <f>IF(OR(G47=0,F47=0),"",D47/F47)</f>
        <v/>
      </c>
      <c r="J47" t="str">
        <f>IF(OR(H47="",I47=""),"",IF(H47=0,"",I47/H47-1))</f>
        <v/>
      </c>
      <c r="K47" t="str">
        <f>IF($B47="","",IFERROR(IF(G47=0,-2E+300,CHOOSE(sortIdx,ROUND(D47,0),IF(J47="",-1E+300,ROUND(-J47,6)),IF(J47="",-1E+300,ROUND(J47,6)))),-1.5E+300))</f>
        <v/>
      </c>
      <c r="L47" t="str">
        <f>IF(K47="","",RANK(K47,$K$2:$K$3001,0)+COUNTIF($K$2:K47,K47)-1)</f>
        <v/>
      </c>
    </row>
    <row r="48">
      <c r="B48" t="str">
        <f>IFERROR(IF(A48="","","="&amp;SUBSTITUTE(SUBSTITUTE(SUBSTITUTE(A48,"~","~~"),"*","~*"),"?","~?")),"")</f>
        <v/>
      </c>
      <c r="C48" t="str">
        <f>IF($B48="","",SUMIFS(dAmt,dCust,$B48,dPer,"&gt;="&amp;pyFrom,dPer,"&lt;="&amp;pyTo,dAmt,"&gt;-1E+300",dFlt1,critFlt1,dFlt2,critFlt2,dFlt3,critFlt3))</f>
        <v/>
      </c>
      <c r="D48" t="str">
        <f>IF($B48="","",SUMIFS(dAmt,dCust,$B48,dPer,"&gt;="&amp;cyFrom,dPer,"&lt;="&amp;cyTo,dAmt,"&gt;-1E+300",dFlt1,critFlt1,dFlt2,critFlt2,dFlt3,critFlt3))</f>
        <v/>
      </c>
      <c r="E48" t="str">
        <f>IF($B48="","",SUMIFS(dQty,dCust,$B48,dPer,"&gt;="&amp;pyFrom,dPer,"&lt;="&amp;pyTo,dQty,"&gt;-1E+300",dFlt1,critFlt1,dFlt2,critFlt2,dFlt3,critFlt3))</f>
        <v/>
      </c>
      <c r="F48" t="str">
        <f>IF($B48="","",SUMIFS(dQty,dCust,$B48,dPer,"&gt;="&amp;cyFrom,dPer,"&lt;="&amp;cyTo,dQty,"&gt;-1E+300",dFlt1,critFlt1,dFlt2,critFlt2,dFlt3,critFlt3))</f>
        <v/>
      </c>
      <c r="G48">
        <f>IF($B48="",0,IFERROR(IF(OR(C48&lt;&gt;0,D48&lt;&gt;0,E48&lt;&gt;0,F48&lt;&gt;0),1,0),1))</f>
        <v>0</v>
      </c>
      <c r="H48" t="str">
        <f>IF(OR(G48=0,E48=0),"",C48/E48)</f>
        <v/>
      </c>
      <c r="I48" t="str">
        <f>IF(OR(G48=0,F48=0),"",D48/F48)</f>
        <v/>
      </c>
      <c r="J48" t="str">
        <f>IF(OR(H48="",I48=""),"",IF(H48=0,"",I48/H48-1))</f>
        <v/>
      </c>
      <c r="K48" t="str">
        <f>IF($B48="","",IFERROR(IF(G48=0,-2E+300,CHOOSE(sortIdx,ROUND(D48,0),IF(J48="",-1E+300,ROUND(-J48,6)),IF(J48="",-1E+300,ROUND(J48,6)))),-1.5E+300))</f>
        <v/>
      </c>
      <c r="L48" t="str">
        <f>IF(K48="","",RANK(K48,$K$2:$K$3001,0)+COUNTIF($K$2:K48,K48)-1)</f>
        <v/>
      </c>
    </row>
    <row r="49">
      <c r="B49" t="str">
        <f>IFERROR(IF(A49="","","="&amp;SUBSTITUTE(SUBSTITUTE(SUBSTITUTE(A49,"~","~~"),"*","~*"),"?","~?")),"")</f>
        <v/>
      </c>
      <c r="C49" t="str">
        <f>IF($B49="","",SUMIFS(dAmt,dCust,$B49,dPer,"&gt;="&amp;pyFrom,dPer,"&lt;="&amp;pyTo,dAmt,"&gt;-1E+300",dFlt1,critFlt1,dFlt2,critFlt2,dFlt3,critFlt3))</f>
        <v/>
      </c>
      <c r="D49" t="str">
        <f>IF($B49="","",SUMIFS(dAmt,dCust,$B49,dPer,"&gt;="&amp;cyFrom,dPer,"&lt;="&amp;cyTo,dAmt,"&gt;-1E+300",dFlt1,critFlt1,dFlt2,critFlt2,dFlt3,critFlt3))</f>
        <v/>
      </c>
      <c r="E49" t="str">
        <f>IF($B49="","",SUMIFS(dQty,dCust,$B49,dPer,"&gt;="&amp;pyFrom,dPer,"&lt;="&amp;pyTo,dQty,"&gt;-1E+300",dFlt1,critFlt1,dFlt2,critFlt2,dFlt3,critFlt3))</f>
        <v/>
      </c>
      <c r="F49" t="str">
        <f>IF($B49="","",SUMIFS(dQty,dCust,$B49,dPer,"&gt;="&amp;cyFrom,dPer,"&lt;="&amp;cyTo,dQty,"&gt;-1E+300",dFlt1,critFlt1,dFlt2,critFlt2,dFlt3,critFlt3))</f>
        <v/>
      </c>
      <c r="G49">
        <f>IF($B49="",0,IFERROR(IF(OR(C49&lt;&gt;0,D49&lt;&gt;0,E49&lt;&gt;0,F49&lt;&gt;0),1,0),1))</f>
        <v>0</v>
      </c>
      <c r="H49" t="str">
        <f>IF(OR(G49=0,E49=0),"",C49/E49)</f>
        <v/>
      </c>
      <c r="I49" t="str">
        <f>IF(OR(G49=0,F49=0),"",D49/F49)</f>
        <v/>
      </c>
      <c r="J49" t="str">
        <f>IF(OR(H49="",I49=""),"",IF(H49=0,"",I49/H49-1))</f>
        <v/>
      </c>
      <c r="K49" t="str">
        <f>IF($B49="","",IFERROR(IF(G49=0,-2E+300,CHOOSE(sortIdx,ROUND(D49,0),IF(J49="",-1E+300,ROUND(-J49,6)),IF(J49="",-1E+300,ROUND(J49,6)))),-1.5E+300))</f>
        <v/>
      </c>
      <c r="L49" t="str">
        <f>IF(K49="","",RANK(K49,$K$2:$K$3001,0)+COUNTIF($K$2:K49,K49)-1)</f>
        <v/>
      </c>
    </row>
    <row r="50">
      <c r="B50" t="str">
        <f>IFERROR(IF(A50="","","="&amp;SUBSTITUTE(SUBSTITUTE(SUBSTITUTE(A50,"~","~~"),"*","~*"),"?","~?")),"")</f>
        <v/>
      </c>
      <c r="C50" t="str">
        <f>IF($B50="","",SUMIFS(dAmt,dCust,$B50,dPer,"&gt;="&amp;pyFrom,dPer,"&lt;="&amp;pyTo,dAmt,"&gt;-1E+300",dFlt1,critFlt1,dFlt2,critFlt2,dFlt3,critFlt3))</f>
        <v/>
      </c>
      <c r="D50" t="str">
        <f>IF($B50="","",SUMIFS(dAmt,dCust,$B50,dPer,"&gt;="&amp;cyFrom,dPer,"&lt;="&amp;cyTo,dAmt,"&gt;-1E+300",dFlt1,critFlt1,dFlt2,critFlt2,dFlt3,critFlt3))</f>
        <v/>
      </c>
      <c r="E50" t="str">
        <f>IF($B50="","",SUMIFS(dQty,dCust,$B50,dPer,"&gt;="&amp;pyFrom,dPer,"&lt;="&amp;pyTo,dQty,"&gt;-1E+300",dFlt1,critFlt1,dFlt2,critFlt2,dFlt3,critFlt3))</f>
        <v/>
      </c>
      <c r="F50" t="str">
        <f>IF($B50="","",SUMIFS(dQty,dCust,$B50,dPer,"&gt;="&amp;cyFrom,dPer,"&lt;="&amp;cyTo,dQty,"&gt;-1E+300",dFlt1,critFlt1,dFlt2,critFlt2,dFlt3,critFlt3))</f>
        <v/>
      </c>
      <c r="G50">
        <f>IF($B50="",0,IFERROR(IF(OR(C50&lt;&gt;0,D50&lt;&gt;0,E50&lt;&gt;0,F50&lt;&gt;0),1,0),1))</f>
        <v>0</v>
      </c>
      <c r="H50" t="str">
        <f>IF(OR(G50=0,E50=0),"",C50/E50)</f>
        <v/>
      </c>
      <c r="I50" t="str">
        <f>IF(OR(G50=0,F50=0),"",D50/F50)</f>
        <v/>
      </c>
      <c r="J50" t="str">
        <f>IF(OR(H50="",I50=""),"",IF(H50=0,"",I50/H50-1))</f>
        <v/>
      </c>
      <c r="K50" t="str">
        <f>IF($B50="","",IFERROR(IF(G50=0,-2E+300,CHOOSE(sortIdx,ROUND(D50,0),IF(J50="",-1E+300,ROUND(-J50,6)),IF(J50="",-1E+300,ROUND(J50,6)))),-1.5E+300))</f>
        <v/>
      </c>
      <c r="L50" t="str">
        <f>IF(K50="","",RANK(K50,$K$2:$K$3001,0)+COUNTIF($K$2:K50,K50)-1)</f>
        <v/>
      </c>
    </row>
    <row r="51">
      <c r="B51" t="str">
        <f>IFERROR(IF(A51="","","="&amp;SUBSTITUTE(SUBSTITUTE(SUBSTITUTE(A51,"~","~~"),"*","~*"),"?","~?")),"")</f>
        <v/>
      </c>
      <c r="C51" t="str">
        <f>IF($B51="","",SUMIFS(dAmt,dCust,$B51,dPer,"&gt;="&amp;pyFrom,dPer,"&lt;="&amp;pyTo,dAmt,"&gt;-1E+300",dFlt1,critFlt1,dFlt2,critFlt2,dFlt3,critFlt3))</f>
        <v/>
      </c>
      <c r="D51" t="str">
        <f>IF($B51="","",SUMIFS(dAmt,dCust,$B51,dPer,"&gt;="&amp;cyFrom,dPer,"&lt;="&amp;cyTo,dAmt,"&gt;-1E+300",dFlt1,critFlt1,dFlt2,critFlt2,dFlt3,critFlt3))</f>
        <v/>
      </c>
      <c r="E51" t="str">
        <f>IF($B51="","",SUMIFS(dQty,dCust,$B51,dPer,"&gt;="&amp;pyFrom,dPer,"&lt;="&amp;pyTo,dQty,"&gt;-1E+300",dFlt1,critFlt1,dFlt2,critFlt2,dFlt3,critFlt3))</f>
        <v/>
      </c>
      <c r="F51" t="str">
        <f>IF($B51="","",SUMIFS(dQty,dCust,$B51,dPer,"&gt;="&amp;cyFrom,dPer,"&lt;="&amp;cyTo,dQty,"&gt;-1E+300",dFlt1,critFlt1,dFlt2,critFlt2,dFlt3,critFlt3))</f>
        <v/>
      </c>
      <c r="G51">
        <f>IF($B51="",0,IFERROR(IF(OR(C51&lt;&gt;0,D51&lt;&gt;0,E51&lt;&gt;0,F51&lt;&gt;0),1,0),1))</f>
        <v>0</v>
      </c>
      <c r="H51" t="str">
        <f>IF(OR(G51=0,E51=0),"",C51/E51)</f>
        <v/>
      </c>
      <c r="I51" t="str">
        <f>IF(OR(G51=0,F51=0),"",D51/F51)</f>
        <v/>
      </c>
      <c r="J51" t="str">
        <f>IF(OR(H51="",I51=""),"",IF(H51=0,"",I51/H51-1))</f>
        <v/>
      </c>
      <c r="K51" t="str">
        <f>IF($B51="","",IFERROR(IF(G51=0,-2E+300,CHOOSE(sortIdx,ROUND(D51,0),IF(J51="",-1E+300,ROUND(-J51,6)),IF(J51="",-1E+300,ROUND(J51,6)))),-1.5E+300))</f>
        <v/>
      </c>
      <c r="L51" t="str">
        <f>IF(K51="","",RANK(K51,$K$2:$K$3001,0)+COUNTIF($K$2:K51,K51)-1)</f>
        <v/>
      </c>
    </row>
    <row r="52">
      <c r="B52" t="str">
        <f>IFERROR(IF(A52="","","="&amp;SUBSTITUTE(SUBSTITUTE(SUBSTITUTE(A52,"~","~~"),"*","~*"),"?","~?")),"")</f>
        <v/>
      </c>
      <c r="C52" t="str">
        <f>IF($B52="","",SUMIFS(dAmt,dCust,$B52,dPer,"&gt;="&amp;pyFrom,dPer,"&lt;="&amp;pyTo,dAmt,"&gt;-1E+300",dFlt1,critFlt1,dFlt2,critFlt2,dFlt3,critFlt3))</f>
        <v/>
      </c>
      <c r="D52" t="str">
        <f>IF($B52="","",SUMIFS(dAmt,dCust,$B52,dPer,"&gt;="&amp;cyFrom,dPer,"&lt;="&amp;cyTo,dAmt,"&gt;-1E+300",dFlt1,critFlt1,dFlt2,critFlt2,dFlt3,critFlt3))</f>
        <v/>
      </c>
      <c r="E52" t="str">
        <f>IF($B52="","",SUMIFS(dQty,dCust,$B52,dPer,"&gt;="&amp;pyFrom,dPer,"&lt;="&amp;pyTo,dQty,"&gt;-1E+300",dFlt1,critFlt1,dFlt2,critFlt2,dFlt3,critFlt3))</f>
        <v/>
      </c>
      <c r="F52" t="str">
        <f>IF($B52="","",SUMIFS(dQty,dCust,$B52,dPer,"&gt;="&amp;cyFrom,dPer,"&lt;="&amp;cyTo,dQty,"&gt;-1E+300",dFlt1,critFlt1,dFlt2,critFlt2,dFlt3,critFlt3))</f>
        <v/>
      </c>
      <c r="G52">
        <f>IF($B52="",0,IFERROR(IF(OR(C52&lt;&gt;0,D52&lt;&gt;0,E52&lt;&gt;0,F52&lt;&gt;0),1,0),1))</f>
        <v>0</v>
      </c>
      <c r="H52" t="str">
        <f>IF(OR(G52=0,E52=0),"",C52/E52)</f>
        <v/>
      </c>
      <c r="I52" t="str">
        <f>IF(OR(G52=0,F52=0),"",D52/F52)</f>
        <v/>
      </c>
      <c r="J52" t="str">
        <f>IF(OR(H52="",I52=""),"",IF(H52=0,"",I52/H52-1))</f>
        <v/>
      </c>
      <c r="K52" t="str">
        <f>IF($B52="","",IFERROR(IF(G52=0,-2E+300,CHOOSE(sortIdx,ROUND(D52,0),IF(J52="",-1E+300,ROUND(-J52,6)),IF(J52="",-1E+300,ROUND(J52,6)))),-1.5E+300))</f>
        <v/>
      </c>
      <c r="L52" t="str">
        <f>IF(K52="","",RANK(K52,$K$2:$K$3001,0)+COUNTIF($K$2:K52,K52)-1)</f>
        <v/>
      </c>
    </row>
    <row r="53">
      <c r="B53" t="str">
        <f>IFERROR(IF(A53="","","="&amp;SUBSTITUTE(SUBSTITUTE(SUBSTITUTE(A53,"~","~~"),"*","~*"),"?","~?")),"")</f>
        <v/>
      </c>
      <c r="C53" t="str">
        <f>IF($B53="","",SUMIFS(dAmt,dCust,$B53,dPer,"&gt;="&amp;pyFrom,dPer,"&lt;="&amp;pyTo,dAmt,"&gt;-1E+300",dFlt1,critFlt1,dFlt2,critFlt2,dFlt3,critFlt3))</f>
        <v/>
      </c>
      <c r="D53" t="str">
        <f>IF($B53="","",SUMIFS(dAmt,dCust,$B53,dPer,"&gt;="&amp;cyFrom,dPer,"&lt;="&amp;cyTo,dAmt,"&gt;-1E+300",dFlt1,critFlt1,dFlt2,critFlt2,dFlt3,critFlt3))</f>
        <v/>
      </c>
      <c r="E53" t="str">
        <f>IF($B53="","",SUMIFS(dQty,dCust,$B53,dPer,"&gt;="&amp;pyFrom,dPer,"&lt;="&amp;pyTo,dQty,"&gt;-1E+300",dFlt1,critFlt1,dFlt2,critFlt2,dFlt3,critFlt3))</f>
        <v/>
      </c>
      <c r="F53" t="str">
        <f>IF($B53="","",SUMIFS(dQty,dCust,$B53,dPer,"&gt;="&amp;cyFrom,dPer,"&lt;="&amp;cyTo,dQty,"&gt;-1E+300",dFlt1,critFlt1,dFlt2,critFlt2,dFlt3,critFlt3))</f>
        <v/>
      </c>
      <c r="G53">
        <f>IF($B53="",0,IFERROR(IF(OR(C53&lt;&gt;0,D53&lt;&gt;0,E53&lt;&gt;0,F53&lt;&gt;0),1,0),1))</f>
        <v>0</v>
      </c>
      <c r="H53" t="str">
        <f>IF(OR(G53=0,E53=0),"",C53/E53)</f>
        <v/>
      </c>
      <c r="I53" t="str">
        <f>IF(OR(G53=0,F53=0),"",D53/F53)</f>
        <v/>
      </c>
      <c r="J53" t="str">
        <f>IF(OR(H53="",I53=""),"",IF(H53=0,"",I53/H53-1))</f>
        <v/>
      </c>
      <c r="K53" t="str">
        <f>IF($B53="","",IFERROR(IF(G53=0,-2E+300,CHOOSE(sortIdx,ROUND(D53,0),IF(J53="",-1E+300,ROUND(-J53,6)),IF(J53="",-1E+300,ROUND(J53,6)))),-1.5E+300))</f>
        <v/>
      </c>
      <c r="L53" t="str">
        <f>IF(K53="","",RANK(K53,$K$2:$K$3001,0)+COUNTIF($K$2:K53,K53)-1)</f>
        <v/>
      </c>
    </row>
    <row r="54">
      <c r="B54" t="str">
        <f>IFERROR(IF(A54="","","="&amp;SUBSTITUTE(SUBSTITUTE(SUBSTITUTE(A54,"~","~~"),"*","~*"),"?","~?")),"")</f>
        <v/>
      </c>
      <c r="C54" t="str">
        <f>IF($B54="","",SUMIFS(dAmt,dCust,$B54,dPer,"&gt;="&amp;pyFrom,dPer,"&lt;="&amp;pyTo,dAmt,"&gt;-1E+300",dFlt1,critFlt1,dFlt2,critFlt2,dFlt3,critFlt3))</f>
        <v/>
      </c>
      <c r="D54" t="str">
        <f>IF($B54="","",SUMIFS(dAmt,dCust,$B54,dPer,"&gt;="&amp;cyFrom,dPer,"&lt;="&amp;cyTo,dAmt,"&gt;-1E+300",dFlt1,critFlt1,dFlt2,critFlt2,dFlt3,critFlt3))</f>
        <v/>
      </c>
      <c r="E54" t="str">
        <f>IF($B54="","",SUMIFS(dQty,dCust,$B54,dPer,"&gt;="&amp;pyFrom,dPer,"&lt;="&amp;pyTo,dQty,"&gt;-1E+300",dFlt1,critFlt1,dFlt2,critFlt2,dFlt3,critFlt3))</f>
        <v/>
      </c>
      <c r="F54" t="str">
        <f>IF($B54="","",SUMIFS(dQty,dCust,$B54,dPer,"&gt;="&amp;cyFrom,dPer,"&lt;="&amp;cyTo,dQty,"&gt;-1E+300",dFlt1,critFlt1,dFlt2,critFlt2,dFlt3,critFlt3))</f>
        <v/>
      </c>
      <c r="G54">
        <f>IF($B54="",0,IFERROR(IF(OR(C54&lt;&gt;0,D54&lt;&gt;0,E54&lt;&gt;0,F54&lt;&gt;0),1,0),1))</f>
        <v>0</v>
      </c>
      <c r="H54" t="str">
        <f>IF(OR(G54=0,E54=0),"",C54/E54)</f>
        <v/>
      </c>
      <c r="I54" t="str">
        <f>IF(OR(G54=0,F54=0),"",D54/F54)</f>
        <v/>
      </c>
      <c r="J54" t="str">
        <f>IF(OR(H54="",I54=""),"",IF(H54=0,"",I54/H54-1))</f>
        <v/>
      </c>
      <c r="K54" t="str">
        <f>IF($B54="","",IFERROR(IF(G54=0,-2E+300,CHOOSE(sortIdx,ROUND(D54,0),IF(J54="",-1E+300,ROUND(-J54,6)),IF(J54="",-1E+300,ROUND(J54,6)))),-1.5E+300))</f>
        <v/>
      </c>
      <c r="L54" t="str">
        <f>IF(K54="","",RANK(K54,$K$2:$K$3001,0)+COUNTIF($K$2:K54,K54)-1)</f>
        <v/>
      </c>
    </row>
    <row r="55">
      <c r="B55" t="str">
        <f>IFERROR(IF(A55="","","="&amp;SUBSTITUTE(SUBSTITUTE(SUBSTITUTE(A55,"~","~~"),"*","~*"),"?","~?")),"")</f>
        <v/>
      </c>
      <c r="C55" t="str">
        <f>IF($B55="","",SUMIFS(dAmt,dCust,$B55,dPer,"&gt;="&amp;pyFrom,dPer,"&lt;="&amp;pyTo,dAmt,"&gt;-1E+300",dFlt1,critFlt1,dFlt2,critFlt2,dFlt3,critFlt3))</f>
        <v/>
      </c>
      <c r="D55" t="str">
        <f>IF($B55="","",SUMIFS(dAmt,dCust,$B55,dPer,"&gt;="&amp;cyFrom,dPer,"&lt;="&amp;cyTo,dAmt,"&gt;-1E+300",dFlt1,critFlt1,dFlt2,critFlt2,dFlt3,critFlt3))</f>
        <v/>
      </c>
      <c r="E55" t="str">
        <f>IF($B55="","",SUMIFS(dQty,dCust,$B55,dPer,"&gt;="&amp;pyFrom,dPer,"&lt;="&amp;pyTo,dQty,"&gt;-1E+300",dFlt1,critFlt1,dFlt2,critFlt2,dFlt3,critFlt3))</f>
        <v/>
      </c>
      <c r="F55" t="str">
        <f>IF($B55="","",SUMIFS(dQty,dCust,$B55,dPer,"&gt;="&amp;cyFrom,dPer,"&lt;="&amp;cyTo,dQty,"&gt;-1E+300",dFlt1,critFlt1,dFlt2,critFlt2,dFlt3,critFlt3))</f>
        <v/>
      </c>
      <c r="G55">
        <f>IF($B55="",0,IFERROR(IF(OR(C55&lt;&gt;0,D55&lt;&gt;0,E55&lt;&gt;0,F55&lt;&gt;0),1,0),1))</f>
        <v>0</v>
      </c>
      <c r="H55" t="str">
        <f>IF(OR(G55=0,E55=0),"",C55/E55)</f>
        <v/>
      </c>
      <c r="I55" t="str">
        <f>IF(OR(G55=0,F55=0),"",D55/F55)</f>
        <v/>
      </c>
      <c r="J55" t="str">
        <f>IF(OR(H55="",I55=""),"",IF(H55=0,"",I55/H55-1))</f>
        <v/>
      </c>
      <c r="K55" t="str">
        <f>IF($B55="","",IFERROR(IF(G55=0,-2E+300,CHOOSE(sortIdx,ROUND(D55,0),IF(J55="",-1E+300,ROUND(-J55,6)),IF(J55="",-1E+300,ROUND(J55,6)))),-1.5E+300))</f>
        <v/>
      </c>
      <c r="L55" t="str">
        <f>IF(K55="","",RANK(K55,$K$2:$K$3001,0)+COUNTIF($K$2:K55,K55)-1)</f>
        <v/>
      </c>
    </row>
    <row r="56">
      <c r="B56" t="str">
        <f>IFERROR(IF(A56="","","="&amp;SUBSTITUTE(SUBSTITUTE(SUBSTITUTE(A56,"~","~~"),"*","~*"),"?","~?")),"")</f>
        <v/>
      </c>
      <c r="C56" t="str">
        <f>IF($B56="","",SUMIFS(dAmt,dCust,$B56,dPer,"&gt;="&amp;pyFrom,dPer,"&lt;="&amp;pyTo,dAmt,"&gt;-1E+300",dFlt1,critFlt1,dFlt2,critFlt2,dFlt3,critFlt3))</f>
        <v/>
      </c>
      <c r="D56" t="str">
        <f>IF($B56="","",SUMIFS(dAmt,dCust,$B56,dPer,"&gt;="&amp;cyFrom,dPer,"&lt;="&amp;cyTo,dAmt,"&gt;-1E+300",dFlt1,critFlt1,dFlt2,critFlt2,dFlt3,critFlt3))</f>
        <v/>
      </c>
      <c r="E56" t="str">
        <f>IF($B56="","",SUMIFS(dQty,dCust,$B56,dPer,"&gt;="&amp;pyFrom,dPer,"&lt;="&amp;pyTo,dQty,"&gt;-1E+300",dFlt1,critFlt1,dFlt2,critFlt2,dFlt3,critFlt3))</f>
        <v/>
      </c>
      <c r="F56" t="str">
        <f>IF($B56="","",SUMIFS(dQty,dCust,$B56,dPer,"&gt;="&amp;cyFrom,dPer,"&lt;="&amp;cyTo,dQty,"&gt;-1E+300",dFlt1,critFlt1,dFlt2,critFlt2,dFlt3,critFlt3))</f>
        <v/>
      </c>
      <c r="G56">
        <f>IF($B56="",0,IFERROR(IF(OR(C56&lt;&gt;0,D56&lt;&gt;0,E56&lt;&gt;0,F56&lt;&gt;0),1,0),1))</f>
        <v>0</v>
      </c>
      <c r="H56" t="str">
        <f>IF(OR(G56=0,E56=0),"",C56/E56)</f>
        <v/>
      </c>
      <c r="I56" t="str">
        <f>IF(OR(G56=0,F56=0),"",D56/F56)</f>
        <v/>
      </c>
      <c r="J56" t="str">
        <f>IF(OR(H56="",I56=""),"",IF(H56=0,"",I56/H56-1))</f>
        <v/>
      </c>
      <c r="K56" t="str">
        <f>IF($B56="","",IFERROR(IF(G56=0,-2E+300,CHOOSE(sortIdx,ROUND(D56,0),IF(J56="",-1E+300,ROUND(-J56,6)),IF(J56="",-1E+300,ROUND(J56,6)))),-1.5E+300))</f>
        <v/>
      </c>
      <c r="L56" t="str">
        <f>IF(K56="","",RANK(K56,$K$2:$K$3001,0)+COUNTIF($K$2:K56,K56)-1)</f>
        <v/>
      </c>
    </row>
    <row r="57">
      <c r="B57" t="str">
        <f>IFERROR(IF(A57="","","="&amp;SUBSTITUTE(SUBSTITUTE(SUBSTITUTE(A57,"~","~~"),"*","~*"),"?","~?")),"")</f>
        <v/>
      </c>
      <c r="C57" t="str">
        <f>IF($B57="","",SUMIFS(dAmt,dCust,$B57,dPer,"&gt;="&amp;pyFrom,dPer,"&lt;="&amp;pyTo,dAmt,"&gt;-1E+300",dFlt1,critFlt1,dFlt2,critFlt2,dFlt3,critFlt3))</f>
        <v/>
      </c>
      <c r="D57" t="str">
        <f>IF($B57="","",SUMIFS(dAmt,dCust,$B57,dPer,"&gt;="&amp;cyFrom,dPer,"&lt;="&amp;cyTo,dAmt,"&gt;-1E+300",dFlt1,critFlt1,dFlt2,critFlt2,dFlt3,critFlt3))</f>
        <v/>
      </c>
      <c r="E57" t="str">
        <f>IF($B57="","",SUMIFS(dQty,dCust,$B57,dPer,"&gt;="&amp;pyFrom,dPer,"&lt;="&amp;pyTo,dQty,"&gt;-1E+300",dFlt1,critFlt1,dFlt2,critFlt2,dFlt3,critFlt3))</f>
        <v/>
      </c>
      <c r="F57" t="str">
        <f>IF($B57="","",SUMIFS(dQty,dCust,$B57,dPer,"&gt;="&amp;cyFrom,dPer,"&lt;="&amp;cyTo,dQty,"&gt;-1E+300",dFlt1,critFlt1,dFlt2,critFlt2,dFlt3,critFlt3))</f>
        <v/>
      </c>
      <c r="G57">
        <f>IF($B57="",0,IFERROR(IF(OR(C57&lt;&gt;0,D57&lt;&gt;0,E57&lt;&gt;0,F57&lt;&gt;0),1,0),1))</f>
        <v>0</v>
      </c>
      <c r="H57" t="str">
        <f>IF(OR(G57=0,E57=0),"",C57/E57)</f>
        <v/>
      </c>
      <c r="I57" t="str">
        <f>IF(OR(G57=0,F57=0),"",D57/F57)</f>
        <v/>
      </c>
      <c r="J57" t="str">
        <f>IF(OR(H57="",I57=""),"",IF(H57=0,"",I57/H57-1))</f>
        <v/>
      </c>
      <c r="K57" t="str">
        <f>IF($B57="","",IFERROR(IF(G57=0,-2E+300,CHOOSE(sortIdx,ROUND(D57,0),IF(J57="",-1E+300,ROUND(-J57,6)),IF(J57="",-1E+300,ROUND(J57,6)))),-1.5E+300))</f>
        <v/>
      </c>
      <c r="L57" t="str">
        <f>IF(K57="","",RANK(K57,$K$2:$K$3001,0)+COUNTIF($K$2:K57,K57)-1)</f>
        <v/>
      </c>
    </row>
    <row r="58">
      <c r="B58" t="str">
        <f>IFERROR(IF(A58="","","="&amp;SUBSTITUTE(SUBSTITUTE(SUBSTITUTE(A58,"~","~~"),"*","~*"),"?","~?")),"")</f>
        <v/>
      </c>
      <c r="C58" t="str">
        <f>IF($B58="","",SUMIFS(dAmt,dCust,$B58,dPer,"&gt;="&amp;pyFrom,dPer,"&lt;="&amp;pyTo,dAmt,"&gt;-1E+300",dFlt1,critFlt1,dFlt2,critFlt2,dFlt3,critFlt3))</f>
        <v/>
      </c>
      <c r="D58" t="str">
        <f>IF($B58="","",SUMIFS(dAmt,dCust,$B58,dPer,"&gt;="&amp;cyFrom,dPer,"&lt;="&amp;cyTo,dAmt,"&gt;-1E+300",dFlt1,critFlt1,dFlt2,critFlt2,dFlt3,critFlt3))</f>
        <v/>
      </c>
      <c r="E58" t="str">
        <f>IF($B58="","",SUMIFS(dQty,dCust,$B58,dPer,"&gt;="&amp;pyFrom,dPer,"&lt;="&amp;pyTo,dQty,"&gt;-1E+300",dFlt1,critFlt1,dFlt2,critFlt2,dFlt3,critFlt3))</f>
        <v/>
      </c>
      <c r="F58" t="str">
        <f>IF($B58="","",SUMIFS(dQty,dCust,$B58,dPer,"&gt;="&amp;cyFrom,dPer,"&lt;="&amp;cyTo,dQty,"&gt;-1E+300",dFlt1,critFlt1,dFlt2,critFlt2,dFlt3,critFlt3))</f>
        <v/>
      </c>
      <c r="G58">
        <f>IF($B58="",0,IFERROR(IF(OR(C58&lt;&gt;0,D58&lt;&gt;0,E58&lt;&gt;0,F58&lt;&gt;0),1,0),1))</f>
        <v>0</v>
      </c>
      <c r="H58" t="str">
        <f>IF(OR(G58=0,E58=0),"",C58/E58)</f>
        <v/>
      </c>
      <c r="I58" t="str">
        <f>IF(OR(G58=0,F58=0),"",D58/F58)</f>
        <v/>
      </c>
      <c r="J58" t="str">
        <f>IF(OR(H58="",I58=""),"",IF(H58=0,"",I58/H58-1))</f>
        <v/>
      </c>
      <c r="K58" t="str">
        <f>IF($B58="","",IFERROR(IF(G58=0,-2E+300,CHOOSE(sortIdx,ROUND(D58,0),IF(J58="",-1E+300,ROUND(-J58,6)),IF(J58="",-1E+300,ROUND(J58,6)))),-1.5E+300))</f>
        <v/>
      </c>
      <c r="L58" t="str">
        <f>IF(K58="","",RANK(K58,$K$2:$K$3001,0)+COUNTIF($K$2:K58,K58)-1)</f>
        <v/>
      </c>
    </row>
    <row r="59">
      <c r="B59" t="str">
        <f>IFERROR(IF(A59="","","="&amp;SUBSTITUTE(SUBSTITUTE(SUBSTITUTE(A59,"~","~~"),"*","~*"),"?","~?")),"")</f>
        <v/>
      </c>
      <c r="C59" t="str">
        <f>IF($B59="","",SUMIFS(dAmt,dCust,$B59,dPer,"&gt;="&amp;pyFrom,dPer,"&lt;="&amp;pyTo,dAmt,"&gt;-1E+300",dFlt1,critFlt1,dFlt2,critFlt2,dFlt3,critFlt3))</f>
        <v/>
      </c>
      <c r="D59" t="str">
        <f>IF($B59="","",SUMIFS(dAmt,dCust,$B59,dPer,"&gt;="&amp;cyFrom,dPer,"&lt;="&amp;cyTo,dAmt,"&gt;-1E+300",dFlt1,critFlt1,dFlt2,critFlt2,dFlt3,critFlt3))</f>
        <v/>
      </c>
      <c r="E59" t="str">
        <f>IF($B59="","",SUMIFS(dQty,dCust,$B59,dPer,"&gt;="&amp;pyFrom,dPer,"&lt;="&amp;pyTo,dQty,"&gt;-1E+300",dFlt1,critFlt1,dFlt2,critFlt2,dFlt3,critFlt3))</f>
        <v/>
      </c>
      <c r="F59" t="str">
        <f>IF($B59="","",SUMIFS(dQty,dCust,$B59,dPer,"&gt;="&amp;cyFrom,dPer,"&lt;="&amp;cyTo,dQty,"&gt;-1E+300",dFlt1,critFlt1,dFlt2,critFlt2,dFlt3,critFlt3))</f>
        <v/>
      </c>
      <c r="G59">
        <f>IF($B59="",0,IFERROR(IF(OR(C59&lt;&gt;0,D59&lt;&gt;0,E59&lt;&gt;0,F59&lt;&gt;0),1,0),1))</f>
        <v>0</v>
      </c>
      <c r="H59" t="str">
        <f>IF(OR(G59=0,E59=0),"",C59/E59)</f>
        <v/>
      </c>
      <c r="I59" t="str">
        <f>IF(OR(G59=0,F59=0),"",D59/F59)</f>
        <v/>
      </c>
      <c r="J59" t="str">
        <f>IF(OR(H59="",I59=""),"",IF(H59=0,"",I59/H59-1))</f>
        <v/>
      </c>
      <c r="K59" t="str">
        <f>IF($B59="","",IFERROR(IF(G59=0,-2E+300,CHOOSE(sortIdx,ROUND(D59,0),IF(J59="",-1E+300,ROUND(-J59,6)),IF(J59="",-1E+300,ROUND(J59,6)))),-1.5E+300))</f>
        <v/>
      </c>
      <c r="L59" t="str">
        <f>IF(K59="","",RANK(K59,$K$2:$K$3001,0)+COUNTIF($K$2:K59,K59)-1)</f>
        <v/>
      </c>
    </row>
    <row r="60">
      <c r="B60" t="str">
        <f>IFERROR(IF(A60="","","="&amp;SUBSTITUTE(SUBSTITUTE(SUBSTITUTE(A60,"~","~~"),"*","~*"),"?","~?")),"")</f>
        <v/>
      </c>
      <c r="C60" t="str">
        <f>IF($B60="","",SUMIFS(dAmt,dCust,$B60,dPer,"&gt;="&amp;pyFrom,dPer,"&lt;="&amp;pyTo,dAmt,"&gt;-1E+300",dFlt1,critFlt1,dFlt2,critFlt2,dFlt3,critFlt3))</f>
        <v/>
      </c>
      <c r="D60" t="str">
        <f>IF($B60="","",SUMIFS(dAmt,dCust,$B60,dPer,"&gt;="&amp;cyFrom,dPer,"&lt;="&amp;cyTo,dAmt,"&gt;-1E+300",dFlt1,critFlt1,dFlt2,critFlt2,dFlt3,critFlt3))</f>
        <v/>
      </c>
      <c r="E60" t="str">
        <f>IF($B60="","",SUMIFS(dQty,dCust,$B60,dPer,"&gt;="&amp;pyFrom,dPer,"&lt;="&amp;pyTo,dQty,"&gt;-1E+300",dFlt1,critFlt1,dFlt2,critFlt2,dFlt3,critFlt3))</f>
        <v/>
      </c>
      <c r="F60" t="str">
        <f>IF($B60="","",SUMIFS(dQty,dCust,$B60,dPer,"&gt;="&amp;cyFrom,dPer,"&lt;="&amp;cyTo,dQty,"&gt;-1E+300",dFlt1,critFlt1,dFlt2,critFlt2,dFlt3,critFlt3))</f>
        <v/>
      </c>
      <c r="G60">
        <f>IF($B60="",0,IFERROR(IF(OR(C60&lt;&gt;0,D60&lt;&gt;0,E60&lt;&gt;0,F60&lt;&gt;0),1,0),1))</f>
        <v>0</v>
      </c>
      <c r="H60" t="str">
        <f>IF(OR(G60=0,E60=0),"",C60/E60)</f>
        <v/>
      </c>
      <c r="I60" t="str">
        <f>IF(OR(G60=0,F60=0),"",D60/F60)</f>
        <v/>
      </c>
      <c r="J60" t="str">
        <f>IF(OR(H60="",I60=""),"",IF(H60=0,"",I60/H60-1))</f>
        <v/>
      </c>
      <c r="K60" t="str">
        <f>IF($B60="","",IFERROR(IF(G60=0,-2E+300,CHOOSE(sortIdx,ROUND(D60,0),IF(J60="",-1E+300,ROUND(-J60,6)),IF(J60="",-1E+300,ROUND(J60,6)))),-1.5E+300))</f>
        <v/>
      </c>
      <c r="L60" t="str">
        <f>IF(K60="","",RANK(K60,$K$2:$K$3001,0)+COUNTIF($K$2:K60,K60)-1)</f>
        <v/>
      </c>
    </row>
    <row r="61">
      <c r="B61" t="str">
        <f>IFERROR(IF(A61="","","="&amp;SUBSTITUTE(SUBSTITUTE(SUBSTITUTE(A61,"~","~~"),"*","~*"),"?","~?")),"")</f>
        <v/>
      </c>
      <c r="C61" t="str">
        <f>IF($B61="","",SUMIFS(dAmt,dCust,$B61,dPer,"&gt;="&amp;pyFrom,dPer,"&lt;="&amp;pyTo,dAmt,"&gt;-1E+300",dFlt1,critFlt1,dFlt2,critFlt2,dFlt3,critFlt3))</f>
        <v/>
      </c>
      <c r="D61" t="str">
        <f>IF($B61="","",SUMIFS(dAmt,dCust,$B61,dPer,"&gt;="&amp;cyFrom,dPer,"&lt;="&amp;cyTo,dAmt,"&gt;-1E+300",dFlt1,critFlt1,dFlt2,critFlt2,dFlt3,critFlt3))</f>
        <v/>
      </c>
      <c r="E61" t="str">
        <f>IF($B61="","",SUMIFS(dQty,dCust,$B61,dPer,"&gt;="&amp;pyFrom,dPer,"&lt;="&amp;pyTo,dQty,"&gt;-1E+300",dFlt1,critFlt1,dFlt2,critFlt2,dFlt3,critFlt3))</f>
        <v/>
      </c>
      <c r="F61" t="str">
        <f>IF($B61="","",SUMIFS(dQty,dCust,$B61,dPer,"&gt;="&amp;cyFrom,dPer,"&lt;="&amp;cyTo,dQty,"&gt;-1E+300",dFlt1,critFlt1,dFlt2,critFlt2,dFlt3,critFlt3))</f>
        <v/>
      </c>
      <c r="G61">
        <f>IF($B61="",0,IFERROR(IF(OR(C61&lt;&gt;0,D61&lt;&gt;0,E61&lt;&gt;0,F61&lt;&gt;0),1,0),1))</f>
        <v>0</v>
      </c>
      <c r="H61" t="str">
        <f>IF(OR(G61=0,E61=0),"",C61/E61)</f>
        <v/>
      </c>
      <c r="I61" t="str">
        <f>IF(OR(G61=0,F61=0),"",D61/F61)</f>
        <v/>
      </c>
      <c r="J61" t="str">
        <f>IF(OR(H61="",I61=""),"",IF(H61=0,"",I61/H61-1))</f>
        <v/>
      </c>
      <c r="K61" t="str">
        <f>IF($B61="","",IFERROR(IF(G61=0,-2E+300,CHOOSE(sortIdx,ROUND(D61,0),IF(J61="",-1E+300,ROUND(-J61,6)),IF(J61="",-1E+300,ROUND(J61,6)))),-1.5E+300))</f>
        <v/>
      </c>
      <c r="L61" t="str">
        <f>IF(K61="","",RANK(K61,$K$2:$K$3001,0)+COUNTIF($K$2:K61,K61)-1)</f>
        <v/>
      </c>
    </row>
    <row r="62">
      <c r="B62" t="str">
        <f>IFERROR(IF(A62="","","="&amp;SUBSTITUTE(SUBSTITUTE(SUBSTITUTE(A62,"~","~~"),"*","~*"),"?","~?")),"")</f>
        <v/>
      </c>
      <c r="C62" t="str">
        <f>IF($B62="","",SUMIFS(dAmt,dCust,$B62,dPer,"&gt;="&amp;pyFrom,dPer,"&lt;="&amp;pyTo,dAmt,"&gt;-1E+300",dFlt1,critFlt1,dFlt2,critFlt2,dFlt3,critFlt3))</f>
        <v/>
      </c>
      <c r="D62" t="str">
        <f>IF($B62="","",SUMIFS(dAmt,dCust,$B62,dPer,"&gt;="&amp;cyFrom,dPer,"&lt;="&amp;cyTo,dAmt,"&gt;-1E+300",dFlt1,critFlt1,dFlt2,critFlt2,dFlt3,critFlt3))</f>
        <v/>
      </c>
      <c r="E62" t="str">
        <f>IF($B62="","",SUMIFS(dQty,dCust,$B62,dPer,"&gt;="&amp;pyFrom,dPer,"&lt;="&amp;pyTo,dQty,"&gt;-1E+300",dFlt1,critFlt1,dFlt2,critFlt2,dFlt3,critFlt3))</f>
        <v/>
      </c>
      <c r="F62" t="str">
        <f>IF($B62="","",SUMIFS(dQty,dCust,$B62,dPer,"&gt;="&amp;cyFrom,dPer,"&lt;="&amp;cyTo,dQty,"&gt;-1E+300",dFlt1,critFlt1,dFlt2,critFlt2,dFlt3,critFlt3))</f>
        <v/>
      </c>
      <c r="G62">
        <f>IF($B62="",0,IFERROR(IF(OR(C62&lt;&gt;0,D62&lt;&gt;0,E62&lt;&gt;0,F62&lt;&gt;0),1,0),1))</f>
        <v>0</v>
      </c>
      <c r="H62" t="str">
        <f>IF(OR(G62=0,E62=0),"",C62/E62)</f>
        <v/>
      </c>
      <c r="I62" t="str">
        <f>IF(OR(G62=0,F62=0),"",D62/F62)</f>
        <v/>
      </c>
      <c r="J62" t="str">
        <f>IF(OR(H62="",I62=""),"",IF(H62=0,"",I62/H62-1))</f>
        <v/>
      </c>
      <c r="K62" t="str">
        <f>IF($B62="","",IFERROR(IF(G62=0,-2E+300,CHOOSE(sortIdx,ROUND(D62,0),IF(J62="",-1E+300,ROUND(-J62,6)),IF(J62="",-1E+300,ROUND(J62,6)))),-1.5E+300))</f>
        <v/>
      </c>
      <c r="L62" t="str">
        <f>IF(K62="","",RANK(K62,$K$2:$K$3001,0)+COUNTIF($K$2:K62,K62)-1)</f>
        <v/>
      </c>
    </row>
    <row r="63">
      <c r="B63" t="str">
        <f>IFERROR(IF(A63="","","="&amp;SUBSTITUTE(SUBSTITUTE(SUBSTITUTE(A63,"~","~~"),"*","~*"),"?","~?")),"")</f>
        <v/>
      </c>
      <c r="C63" t="str">
        <f>IF($B63="","",SUMIFS(dAmt,dCust,$B63,dPer,"&gt;="&amp;pyFrom,dPer,"&lt;="&amp;pyTo,dAmt,"&gt;-1E+300",dFlt1,critFlt1,dFlt2,critFlt2,dFlt3,critFlt3))</f>
        <v/>
      </c>
      <c r="D63" t="str">
        <f>IF($B63="","",SUMIFS(dAmt,dCust,$B63,dPer,"&gt;="&amp;cyFrom,dPer,"&lt;="&amp;cyTo,dAmt,"&gt;-1E+300",dFlt1,critFlt1,dFlt2,critFlt2,dFlt3,critFlt3))</f>
        <v/>
      </c>
      <c r="E63" t="str">
        <f>IF($B63="","",SUMIFS(dQty,dCust,$B63,dPer,"&gt;="&amp;pyFrom,dPer,"&lt;="&amp;pyTo,dQty,"&gt;-1E+300",dFlt1,critFlt1,dFlt2,critFlt2,dFlt3,critFlt3))</f>
        <v/>
      </c>
      <c r="F63" t="str">
        <f>IF($B63="","",SUMIFS(dQty,dCust,$B63,dPer,"&gt;="&amp;cyFrom,dPer,"&lt;="&amp;cyTo,dQty,"&gt;-1E+300",dFlt1,critFlt1,dFlt2,critFlt2,dFlt3,critFlt3))</f>
        <v/>
      </c>
      <c r="G63">
        <f>IF($B63="",0,IFERROR(IF(OR(C63&lt;&gt;0,D63&lt;&gt;0,E63&lt;&gt;0,F63&lt;&gt;0),1,0),1))</f>
        <v>0</v>
      </c>
      <c r="H63" t="str">
        <f>IF(OR(G63=0,E63=0),"",C63/E63)</f>
        <v/>
      </c>
      <c r="I63" t="str">
        <f>IF(OR(G63=0,F63=0),"",D63/F63)</f>
        <v/>
      </c>
      <c r="J63" t="str">
        <f>IF(OR(H63="",I63=""),"",IF(H63=0,"",I63/H63-1))</f>
        <v/>
      </c>
      <c r="K63" t="str">
        <f>IF($B63="","",IFERROR(IF(G63=0,-2E+300,CHOOSE(sortIdx,ROUND(D63,0),IF(J63="",-1E+300,ROUND(-J63,6)),IF(J63="",-1E+300,ROUND(J63,6)))),-1.5E+300))</f>
        <v/>
      </c>
      <c r="L63" t="str">
        <f>IF(K63="","",RANK(K63,$K$2:$K$3001,0)+COUNTIF($K$2:K63,K63)-1)</f>
        <v/>
      </c>
    </row>
    <row r="64">
      <c r="B64" t="str">
        <f>IFERROR(IF(A64="","","="&amp;SUBSTITUTE(SUBSTITUTE(SUBSTITUTE(A64,"~","~~"),"*","~*"),"?","~?")),"")</f>
        <v/>
      </c>
      <c r="C64" t="str">
        <f>IF($B64="","",SUMIFS(dAmt,dCust,$B64,dPer,"&gt;="&amp;pyFrom,dPer,"&lt;="&amp;pyTo,dAmt,"&gt;-1E+300",dFlt1,critFlt1,dFlt2,critFlt2,dFlt3,critFlt3))</f>
        <v/>
      </c>
      <c r="D64" t="str">
        <f>IF($B64="","",SUMIFS(dAmt,dCust,$B64,dPer,"&gt;="&amp;cyFrom,dPer,"&lt;="&amp;cyTo,dAmt,"&gt;-1E+300",dFlt1,critFlt1,dFlt2,critFlt2,dFlt3,critFlt3))</f>
        <v/>
      </c>
      <c r="E64" t="str">
        <f>IF($B64="","",SUMIFS(dQty,dCust,$B64,dPer,"&gt;="&amp;pyFrom,dPer,"&lt;="&amp;pyTo,dQty,"&gt;-1E+300",dFlt1,critFlt1,dFlt2,critFlt2,dFlt3,critFlt3))</f>
        <v/>
      </c>
      <c r="F64" t="str">
        <f>IF($B64="","",SUMIFS(dQty,dCust,$B64,dPer,"&gt;="&amp;cyFrom,dPer,"&lt;="&amp;cyTo,dQty,"&gt;-1E+300",dFlt1,critFlt1,dFlt2,critFlt2,dFlt3,critFlt3))</f>
        <v/>
      </c>
      <c r="G64">
        <f>IF($B64="",0,IFERROR(IF(OR(C64&lt;&gt;0,D64&lt;&gt;0,E64&lt;&gt;0,F64&lt;&gt;0),1,0),1))</f>
        <v>0</v>
      </c>
      <c r="H64" t="str">
        <f>IF(OR(G64=0,E64=0),"",C64/E64)</f>
        <v/>
      </c>
      <c r="I64" t="str">
        <f>IF(OR(G64=0,F64=0),"",D64/F64)</f>
        <v/>
      </c>
      <c r="J64" t="str">
        <f>IF(OR(H64="",I64=""),"",IF(H64=0,"",I64/H64-1))</f>
        <v/>
      </c>
      <c r="K64" t="str">
        <f>IF($B64="","",IFERROR(IF(G64=0,-2E+300,CHOOSE(sortIdx,ROUND(D64,0),IF(J64="",-1E+300,ROUND(-J64,6)),IF(J64="",-1E+300,ROUND(J64,6)))),-1.5E+300))</f>
        <v/>
      </c>
      <c r="L64" t="str">
        <f>IF(K64="","",RANK(K64,$K$2:$K$3001,0)+COUNTIF($K$2:K64,K64)-1)</f>
        <v/>
      </c>
    </row>
    <row r="65">
      <c r="B65" t="str">
        <f>IFERROR(IF(A65="","","="&amp;SUBSTITUTE(SUBSTITUTE(SUBSTITUTE(A65,"~","~~"),"*","~*"),"?","~?")),"")</f>
        <v/>
      </c>
      <c r="C65" t="str">
        <f>IF($B65="","",SUMIFS(dAmt,dCust,$B65,dPer,"&gt;="&amp;pyFrom,dPer,"&lt;="&amp;pyTo,dAmt,"&gt;-1E+300",dFlt1,critFlt1,dFlt2,critFlt2,dFlt3,critFlt3))</f>
        <v/>
      </c>
      <c r="D65" t="str">
        <f>IF($B65="","",SUMIFS(dAmt,dCust,$B65,dPer,"&gt;="&amp;cyFrom,dPer,"&lt;="&amp;cyTo,dAmt,"&gt;-1E+300",dFlt1,critFlt1,dFlt2,critFlt2,dFlt3,critFlt3))</f>
        <v/>
      </c>
      <c r="E65" t="str">
        <f>IF($B65="","",SUMIFS(dQty,dCust,$B65,dPer,"&gt;="&amp;pyFrom,dPer,"&lt;="&amp;pyTo,dQty,"&gt;-1E+300",dFlt1,critFlt1,dFlt2,critFlt2,dFlt3,critFlt3))</f>
        <v/>
      </c>
      <c r="F65" t="str">
        <f>IF($B65="","",SUMIFS(dQty,dCust,$B65,dPer,"&gt;="&amp;cyFrom,dPer,"&lt;="&amp;cyTo,dQty,"&gt;-1E+300",dFlt1,critFlt1,dFlt2,critFlt2,dFlt3,critFlt3))</f>
        <v/>
      </c>
      <c r="G65">
        <f>IF($B65="",0,IFERROR(IF(OR(C65&lt;&gt;0,D65&lt;&gt;0,E65&lt;&gt;0,F65&lt;&gt;0),1,0),1))</f>
        <v>0</v>
      </c>
      <c r="H65" t="str">
        <f>IF(OR(G65=0,E65=0),"",C65/E65)</f>
        <v/>
      </c>
      <c r="I65" t="str">
        <f>IF(OR(G65=0,F65=0),"",D65/F65)</f>
        <v/>
      </c>
      <c r="J65" t="str">
        <f>IF(OR(H65="",I65=""),"",IF(H65=0,"",I65/H65-1))</f>
        <v/>
      </c>
      <c r="K65" t="str">
        <f>IF($B65="","",IFERROR(IF(G65=0,-2E+300,CHOOSE(sortIdx,ROUND(D65,0),IF(J65="",-1E+300,ROUND(-J65,6)),IF(J65="",-1E+300,ROUND(J65,6)))),-1.5E+300))</f>
        <v/>
      </c>
      <c r="L65" t="str">
        <f>IF(K65="","",RANK(K65,$K$2:$K$3001,0)+COUNTIF($K$2:K65,K65)-1)</f>
        <v/>
      </c>
    </row>
    <row r="66">
      <c r="B66" t="str">
        <f>IFERROR(IF(A66="","","="&amp;SUBSTITUTE(SUBSTITUTE(SUBSTITUTE(A66,"~","~~"),"*","~*"),"?","~?")),"")</f>
        <v/>
      </c>
      <c r="C66" t="str">
        <f>IF($B66="","",SUMIFS(dAmt,dCust,$B66,dPer,"&gt;="&amp;pyFrom,dPer,"&lt;="&amp;pyTo,dAmt,"&gt;-1E+300",dFlt1,critFlt1,dFlt2,critFlt2,dFlt3,critFlt3))</f>
        <v/>
      </c>
      <c r="D66" t="str">
        <f>IF($B66="","",SUMIFS(dAmt,dCust,$B66,dPer,"&gt;="&amp;cyFrom,dPer,"&lt;="&amp;cyTo,dAmt,"&gt;-1E+300",dFlt1,critFlt1,dFlt2,critFlt2,dFlt3,critFlt3))</f>
        <v/>
      </c>
      <c r="E66" t="str">
        <f>IF($B66="","",SUMIFS(dQty,dCust,$B66,dPer,"&gt;="&amp;pyFrom,dPer,"&lt;="&amp;pyTo,dQty,"&gt;-1E+300",dFlt1,critFlt1,dFlt2,critFlt2,dFlt3,critFlt3))</f>
        <v/>
      </c>
      <c r="F66" t="str">
        <f>IF($B66="","",SUMIFS(dQty,dCust,$B66,dPer,"&gt;="&amp;cyFrom,dPer,"&lt;="&amp;cyTo,dQty,"&gt;-1E+300",dFlt1,critFlt1,dFlt2,critFlt2,dFlt3,critFlt3))</f>
        <v/>
      </c>
      <c r="G66">
        <f>IF($B66="",0,IFERROR(IF(OR(C66&lt;&gt;0,D66&lt;&gt;0,E66&lt;&gt;0,F66&lt;&gt;0),1,0),1))</f>
        <v>0</v>
      </c>
      <c r="H66" t="str">
        <f>IF(OR(G66=0,E66=0),"",C66/E66)</f>
        <v/>
      </c>
      <c r="I66" t="str">
        <f>IF(OR(G66=0,F66=0),"",D66/F66)</f>
        <v/>
      </c>
      <c r="J66" t="str">
        <f>IF(OR(H66="",I66=""),"",IF(H66=0,"",I66/H66-1))</f>
        <v/>
      </c>
      <c r="K66" t="str">
        <f>IF($B66="","",IFERROR(IF(G66=0,-2E+300,CHOOSE(sortIdx,ROUND(D66,0),IF(J66="",-1E+300,ROUND(-J66,6)),IF(J66="",-1E+300,ROUND(J66,6)))),-1.5E+300))</f>
        <v/>
      </c>
      <c r="L66" t="str">
        <f>IF(K66="","",RANK(K66,$K$2:$K$3001,0)+COUNTIF($K$2:K66,K66)-1)</f>
        <v/>
      </c>
    </row>
    <row r="67">
      <c r="B67" t="str">
        <f>IFERROR(IF(A67="","","="&amp;SUBSTITUTE(SUBSTITUTE(SUBSTITUTE(A67,"~","~~"),"*","~*"),"?","~?")),"")</f>
        <v/>
      </c>
      <c r="C67" t="str">
        <f>IF($B67="","",SUMIFS(dAmt,dCust,$B67,dPer,"&gt;="&amp;pyFrom,dPer,"&lt;="&amp;pyTo,dAmt,"&gt;-1E+300",dFlt1,critFlt1,dFlt2,critFlt2,dFlt3,critFlt3))</f>
        <v/>
      </c>
      <c r="D67" t="str">
        <f>IF($B67="","",SUMIFS(dAmt,dCust,$B67,dPer,"&gt;="&amp;cyFrom,dPer,"&lt;="&amp;cyTo,dAmt,"&gt;-1E+300",dFlt1,critFlt1,dFlt2,critFlt2,dFlt3,critFlt3))</f>
        <v/>
      </c>
      <c r="E67" t="str">
        <f>IF($B67="","",SUMIFS(dQty,dCust,$B67,dPer,"&gt;="&amp;pyFrom,dPer,"&lt;="&amp;pyTo,dQty,"&gt;-1E+300",dFlt1,critFlt1,dFlt2,critFlt2,dFlt3,critFlt3))</f>
        <v/>
      </c>
      <c r="F67" t="str">
        <f>IF($B67="","",SUMIFS(dQty,dCust,$B67,dPer,"&gt;="&amp;cyFrom,dPer,"&lt;="&amp;cyTo,dQty,"&gt;-1E+300",dFlt1,critFlt1,dFlt2,critFlt2,dFlt3,critFlt3))</f>
        <v/>
      </c>
      <c r="G67">
        <f>IF($B67="",0,IFERROR(IF(OR(C67&lt;&gt;0,D67&lt;&gt;0,E67&lt;&gt;0,F67&lt;&gt;0),1,0),1))</f>
        <v>0</v>
      </c>
      <c r="H67" t="str">
        <f>IF(OR(G67=0,E67=0),"",C67/E67)</f>
        <v/>
      </c>
      <c r="I67" t="str">
        <f>IF(OR(G67=0,F67=0),"",D67/F67)</f>
        <v/>
      </c>
      <c r="J67" t="str">
        <f>IF(OR(H67="",I67=""),"",IF(H67=0,"",I67/H67-1))</f>
        <v/>
      </c>
      <c r="K67" t="str">
        <f>IF($B67="","",IFERROR(IF(G67=0,-2E+300,CHOOSE(sortIdx,ROUND(D67,0),IF(J67="",-1E+300,ROUND(-J67,6)),IF(J67="",-1E+300,ROUND(J67,6)))),-1.5E+300))</f>
        <v/>
      </c>
      <c r="L67" t="str">
        <f>IF(K67="","",RANK(K67,$K$2:$K$3001,0)+COUNTIF($K$2:K67,K67)-1)</f>
        <v/>
      </c>
    </row>
    <row r="68">
      <c r="B68" t="str">
        <f>IFERROR(IF(A68="","","="&amp;SUBSTITUTE(SUBSTITUTE(SUBSTITUTE(A68,"~","~~"),"*","~*"),"?","~?")),"")</f>
        <v/>
      </c>
      <c r="C68" t="str">
        <f>IF($B68="","",SUMIFS(dAmt,dCust,$B68,dPer,"&gt;="&amp;pyFrom,dPer,"&lt;="&amp;pyTo,dAmt,"&gt;-1E+300",dFlt1,critFlt1,dFlt2,critFlt2,dFlt3,critFlt3))</f>
        <v/>
      </c>
      <c r="D68" t="str">
        <f>IF($B68="","",SUMIFS(dAmt,dCust,$B68,dPer,"&gt;="&amp;cyFrom,dPer,"&lt;="&amp;cyTo,dAmt,"&gt;-1E+300",dFlt1,critFlt1,dFlt2,critFlt2,dFlt3,critFlt3))</f>
        <v/>
      </c>
      <c r="E68" t="str">
        <f>IF($B68="","",SUMIFS(dQty,dCust,$B68,dPer,"&gt;="&amp;pyFrom,dPer,"&lt;="&amp;pyTo,dQty,"&gt;-1E+300",dFlt1,critFlt1,dFlt2,critFlt2,dFlt3,critFlt3))</f>
        <v/>
      </c>
      <c r="F68" t="str">
        <f>IF($B68="","",SUMIFS(dQty,dCust,$B68,dPer,"&gt;="&amp;cyFrom,dPer,"&lt;="&amp;cyTo,dQty,"&gt;-1E+300",dFlt1,critFlt1,dFlt2,critFlt2,dFlt3,critFlt3))</f>
        <v/>
      </c>
      <c r="G68">
        <f>IF($B68="",0,IFERROR(IF(OR(C68&lt;&gt;0,D68&lt;&gt;0,E68&lt;&gt;0,F68&lt;&gt;0),1,0),1))</f>
        <v>0</v>
      </c>
      <c r="H68" t="str">
        <f>IF(OR(G68=0,E68=0),"",C68/E68)</f>
        <v/>
      </c>
      <c r="I68" t="str">
        <f>IF(OR(G68=0,F68=0),"",D68/F68)</f>
        <v/>
      </c>
      <c r="J68" t="str">
        <f>IF(OR(H68="",I68=""),"",IF(H68=0,"",I68/H68-1))</f>
        <v/>
      </c>
      <c r="K68" t="str">
        <f>IF($B68="","",IFERROR(IF(G68=0,-2E+300,CHOOSE(sortIdx,ROUND(D68,0),IF(J68="",-1E+300,ROUND(-J68,6)),IF(J68="",-1E+300,ROUND(J68,6)))),-1.5E+300))</f>
        <v/>
      </c>
      <c r="L68" t="str">
        <f>IF(K68="","",RANK(K68,$K$2:$K$3001,0)+COUNTIF($K$2:K68,K68)-1)</f>
        <v/>
      </c>
    </row>
    <row r="69">
      <c r="B69" t="str">
        <f>IFERROR(IF(A69="","","="&amp;SUBSTITUTE(SUBSTITUTE(SUBSTITUTE(A69,"~","~~"),"*","~*"),"?","~?")),"")</f>
        <v/>
      </c>
      <c r="C69" t="str">
        <f>IF($B69="","",SUMIFS(dAmt,dCust,$B69,dPer,"&gt;="&amp;pyFrom,dPer,"&lt;="&amp;pyTo,dAmt,"&gt;-1E+300",dFlt1,critFlt1,dFlt2,critFlt2,dFlt3,critFlt3))</f>
        <v/>
      </c>
      <c r="D69" t="str">
        <f>IF($B69="","",SUMIFS(dAmt,dCust,$B69,dPer,"&gt;="&amp;cyFrom,dPer,"&lt;="&amp;cyTo,dAmt,"&gt;-1E+300",dFlt1,critFlt1,dFlt2,critFlt2,dFlt3,critFlt3))</f>
        <v/>
      </c>
      <c r="E69" t="str">
        <f>IF($B69="","",SUMIFS(dQty,dCust,$B69,dPer,"&gt;="&amp;pyFrom,dPer,"&lt;="&amp;pyTo,dQty,"&gt;-1E+300",dFlt1,critFlt1,dFlt2,critFlt2,dFlt3,critFlt3))</f>
        <v/>
      </c>
      <c r="F69" t="str">
        <f>IF($B69="","",SUMIFS(dQty,dCust,$B69,dPer,"&gt;="&amp;cyFrom,dPer,"&lt;="&amp;cyTo,dQty,"&gt;-1E+300",dFlt1,critFlt1,dFlt2,critFlt2,dFlt3,critFlt3))</f>
        <v/>
      </c>
      <c r="G69">
        <f>IF($B69="",0,IFERROR(IF(OR(C69&lt;&gt;0,D69&lt;&gt;0,E69&lt;&gt;0,F69&lt;&gt;0),1,0),1))</f>
        <v>0</v>
      </c>
      <c r="H69" t="str">
        <f>IF(OR(G69=0,E69=0),"",C69/E69)</f>
        <v/>
      </c>
      <c r="I69" t="str">
        <f>IF(OR(G69=0,F69=0),"",D69/F69)</f>
        <v/>
      </c>
      <c r="J69" t="str">
        <f>IF(OR(H69="",I69=""),"",IF(H69=0,"",I69/H69-1))</f>
        <v/>
      </c>
      <c r="K69" t="str">
        <f>IF($B69="","",IFERROR(IF(G69=0,-2E+300,CHOOSE(sortIdx,ROUND(D69,0),IF(J69="",-1E+300,ROUND(-J69,6)),IF(J69="",-1E+300,ROUND(J69,6)))),-1.5E+300))</f>
        <v/>
      </c>
      <c r="L69" t="str">
        <f>IF(K69="","",RANK(K69,$K$2:$K$3001,0)+COUNTIF($K$2:K69,K69)-1)</f>
        <v/>
      </c>
    </row>
    <row r="70">
      <c r="B70" t="str">
        <f>IFERROR(IF(A70="","","="&amp;SUBSTITUTE(SUBSTITUTE(SUBSTITUTE(A70,"~","~~"),"*","~*"),"?","~?")),"")</f>
        <v/>
      </c>
      <c r="C70" t="str">
        <f>IF($B70="","",SUMIFS(dAmt,dCust,$B70,dPer,"&gt;="&amp;pyFrom,dPer,"&lt;="&amp;pyTo,dAmt,"&gt;-1E+300",dFlt1,critFlt1,dFlt2,critFlt2,dFlt3,critFlt3))</f>
        <v/>
      </c>
      <c r="D70" t="str">
        <f>IF($B70="","",SUMIFS(dAmt,dCust,$B70,dPer,"&gt;="&amp;cyFrom,dPer,"&lt;="&amp;cyTo,dAmt,"&gt;-1E+300",dFlt1,critFlt1,dFlt2,critFlt2,dFlt3,critFlt3))</f>
        <v/>
      </c>
      <c r="E70" t="str">
        <f>IF($B70="","",SUMIFS(dQty,dCust,$B70,dPer,"&gt;="&amp;pyFrom,dPer,"&lt;="&amp;pyTo,dQty,"&gt;-1E+300",dFlt1,critFlt1,dFlt2,critFlt2,dFlt3,critFlt3))</f>
        <v/>
      </c>
      <c r="F70" t="str">
        <f>IF($B70="","",SUMIFS(dQty,dCust,$B70,dPer,"&gt;="&amp;cyFrom,dPer,"&lt;="&amp;cyTo,dQty,"&gt;-1E+300",dFlt1,critFlt1,dFlt2,critFlt2,dFlt3,critFlt3))</f>
        <v/>
      </c>
      <c r="G70">
        <f>IF($B70="",0,IFERROR(IF(OR(C70&lt;&gt;0,D70&lt;&gt;0,E70&lt;&gt;0,F70&lt;&gt;0),1,0),1))</f>
        <v>0</v>
      </c>
      <c r="H70" t="str">
        <f>IF(OR(G70=0,E70=0),"",C70/E70)</f>
        <v/>
      </c>
      <c r="I70" t="str">
        <f>IF(OR(G70=0,F70=0),"",D70/F70)</f>
        <v/>
      </c>
      <c r="J70" t="str">
        <f>IF(OR(H70="",I70=""),"",IF(H70=0,"",I70/H70-1))</f>
        <v/>
      </c>
      <c r="K70" t="str">
        <f>IF($B70="","",IFERROR(IF(G70=0,-2E+300,CHOOSE(sortIdx,ROUND(D70,0),IF(J70="",-1E+300,ROUND(-J70,6)),IF(J70="",-1E+300,ROUND(J70,6)))),-1.5E+300))</f>
        <v/>
      </c>
      <c r="L70" t="str">
        <f>IF(K70="","",RANK(K70,$K$2:$K$3001,0)+COUNTIF($K$2:K70,K70)-1)</f>
        <v/>
      </c>
    </row>
    <row r="71">
      <c r="B71" t="str">
        <f>IFERROR(IF(A71="","","="&amp;SUBSTITUTE(SUBSTITUTE(SUBSTITUTE(A71,"~","~~"),"*","~*"),"?","~?")),"")</f>
        <v/>
      </c>
      <c r="C71" t="str">
        <f>IF($B71="","",SUMIFS(dAmt,dCust,$B71,dPer,"&gt;="&amp;pyFrom,dPer,"&lt;="&amp;pyTo,dAmt,"&gt;-1E+300",dFlt1,critFlt1,dFlt2,critFlt2,dFlt3,critFlt3))</f>
        <v/>
      </c>
      <c r="D71" t="str">
        <f>IF($B71="","",SUMIFS(dAmt,dCust,$B71,dPer,"&gt;="&amp;cyFrom,dPer,"&lt;="&amp;cyTo,dAmt,"&gt;-1E+300",dFlt1,critFlt1,dFlt2,critFlt2,dFlt3,critFlt3))</f>
        <v/>
      </c>
      <c r="E71" t="str">
        <f>IF($B71="","",SUMIFS(dQty,dCust,$B71,dPer,"&gt;="&amp;pyFrom,dPer,"&lt;="&amp;pyTo,dQty,"&gt;-1E+300",dFlt1,critFlt1,dFlt2,critFlt2,dFlt3,critFlt3))</f>
        <v/>
      </c>
      <c r="F71" t="str">
        <f>IF($B71="","",SUMIFS(dQty,dCust,$B71,dPer,"&gt;="&amp;cyFrom,dPer,"&lt;="&amp;cyTo,dQty,"&gt;-1E+300",dFlt1,critFlt1,dFlt2,critFlt2,dFlt3,critFlt3))</f>
        <v/>
      </c>
      <c r="G71">
        <f>IF($B71="",0,IFERROR(IF(OR(C71&lt;&gt;0,D71&lt;&gt;0,E71&lt;&gt;0,F71&lt;&gt;0),1,0),1))</f>
        <v>0</v>
      </c>
      <c r="H71" t="str">
        <f>IF(OR(G71=0,E71=0),"",C71/E71)</f>
        <v/>
      </c>
      <c r="I71" t="str">
        <f>IF(OR(G71=0,F71=0),"",D71/F71)</f>
        <v/>
      </c>
      <c r="J71" t="str">
        <f>IF(OR(H71="",I71=""),"",IF(H71=0,"",I71/H71-1))</f>
        <v/>
      </c>
      <c r="K71" t="str">
        <f>IF($B71="","",IFERROR(IF(G71=0,-2E+300,CHOOSE(sortIdx,ROUND(D71,0),IF(J71="",-1E+300,ROUND(-J71,6)),IF(J71="",-1E+300,ROUND(J71,6)))),-1.5E+300))</f>
        <v/>
      </c>
      <c r="L71" t="str">
        <f>IF(K71="","",RANK(K71,$K$2:$K$3001,0)+COUNTIF($K$2:K71,K71)-1)</f>
        <v/>
      </c>
    </row>
    <row r="72">
      <c r="B72" t="str">
        <f>IFERROR(IF(A72="","","="&amp;SUBSTITUTE(SUBSTITUTE(SUBSTITUTE(A72,"~","~~"),"*","~*"),"?","~?")),"")</f>
        <v/>
      </c>
      <c r="C72" t="str">
        <f>IF($B72="","",SUMIFS(dAmt,dCust,$B72,dPer,"&gt;="&amp;pyFrom,dPer,"&lt;="&amp;pyTo,dAmt,"&gt;-1E+300",dFlt1,critFlt1,dFlt2,critFlt2,dFlt3,critFlt3))</f>
        <v/>
      </c>
      <c r="D72" t="str">
        <f>IF($B72="","",SUMIFS(dAmt,dCust,$B72,dPer,"&gt;="&amp;cyFrom,dPer,"&lt;="&amp;cyTo,dAmt,"&gt;-1E+300",dFlt1,critFlt1,dFlt2,critFlt2,dFlt3,critFlt3))</f>
        <v/>
      </c>
      <c r="E72" t="str">
        <f>IF($B72="","",SUMIFS(dQty,dCust,$B72,dPer,"&gt;="&amp;pyFrom,dPer,"&lt;="&amp;pyTo,dQty,"&gt;-1E+300",dFlt1,critFlt1,dFlt2,critFlt2,dFlt3,critFlt3))</f>
        <v/>
      </c>
      <c r="F72" t="str">
        <f>IF($B72="","",SUMIFS(dQty,dCust,$B72,dPer,"&gt;="&amp;cyFrom,dPer,"&lt;="&amp;cyTo,dQty,"&gt;-1E+300",dFlt1,critFlt1,dFlt2,critFlt2,dFlt3,critFlt3))</f>
        <v/>
      </c>
      <c r="G72">
        <f>IF($B72="",0,IFERROR(IF(OR(C72&lt;&gt;0,D72&lt;&gt;0,E72&lt;&gt;0,F72&lt;&gt;0),1,0),1))</f>
        <v>0</v>
      </c>
      <c r="H72" t="str">
        <f>IF(OR(G72=0,E72=0),"",C72/E72)</f>
        <v/>
      </c>
      <c r="I72" t="str">
        <f>IF(OR(G72=0,F72=0),"",D72/F72)</f>
        <v/>
      </c>
      <c r="J72" t="str">
        <f>IF(OR(H72="",I72=""),"",IF(H72=0,"",I72/H72-1))</f>
        <v/>
      </c>
      <c r="K72" t="str">
        <f>IF($B72="","",IFERROR(IF(G72=0,-2E+300,CHOOSE(sortIdx,ROUND(D72,0),IF(J72="",-1E+300,ROUND(-J72,6)),IF(J72="",-1E+300,ROUND(J72,6)))),-1.5E+300))</f>
        <v/>
      </c>
      <c r="L72" t="str">
        <f>IF(K72="","",RANK(K72,$K$2:$K$3001,0)+COUNTIF($K$2:K72,K72)-1)</f>
        <v/>
      </c>
    </row>
    <row r="73">
      <c r="B73" t="str">
        <f>IFERROR(IF(A73="","","="&amp;SUBSTITUTE(SUBSTITUTE(SUBSTITUTE(A73,"~","~~"),"*","~*"),"?","~?")),"")</f>
        <v/>
      </c>
      <c r="C73" t="str">
        <f>IF($B73="","",SUMIFS(dAmt,dCust,$B73,dPer,"&gt;="&amp;pyFrom,dPer,"&lt;="&amp;pyTo,dAmt,"&gt;-1E+300",dFlt1,critFlt1,dFlt2,critFlt2,dFlt3,critFlt3))</f>
        <v/>
      </c>
      <c r="D73" t="str">
        <f>IF($B73="","",SUMIFS(dAmt,dCust,$B73,dPer,"&gt;="&amp;cyFrom,dPer,"&lt;="&amp;cyTo,dAmt,"&gt;-1E+300",dFlt1,critFlt1,dFlt2,critFlt2,dFlt3,critFlt3))</f>
        <v/>
      </c>
      <c r="E73" t="str">
        <f>IF($B73="","",SUMIFS(dQty,dCust,$B73,dPer,"&gt;="&amp;pyFrom,dPer,"&lt;="&amp;pyTo,dQty,"&gt;-1E+300",dFlt1,critFlt1,dFlt2,critFlt2,dFlt3,critFlt3))</f>
        <v/>
      </c>
      <c r="F73" t="str">
        <f>IF($B73="","",SUMIFS(dQty,dCust,$B73,dPer,"&gt;="&amp;cyFrom,dPer,"&lt;="&amp;cyTo,dQty,"&gt;-1E+300",dFlt1,critFlt1,dFlt2,critFlt2,dFlt3,critFlt3))</f>
        <v/>
      </c>
      <c r="G73">
        <f>IF($B73="",0,IFERROR(IF(OR(C73&lt;&gt;0,D73&lt;&gt;0,E73&lt;&gt;0,F73&lt;&gt;0),1,0),1))</f>
        <v>0</v>
      </c>
      <c r="H73" t="str">
        <f>IF(OR(G73=0,E73=0),"",C73/E73)</f>
        <v/>
      </c>
      <c r="I73" t="str">
        <f>IF(OR(G73=0,F73=0),"",D73/F73)</f>
        <v/>
      </c>
      <c r="J73" t="str">
        <f>IF(OR(H73="",I73=""),"",IF(H73=0,"",I73/H73-1))</f>
        <v/>
      </c>
      <c r="K73" t="str">
        <f>IF($B73="","",IFERROR(IF(G73=0,-2E+300,CHOOSE(sortIdx,ROUND(D73,0),IF(J73="",-1E+300,ROUND(-J73,6)),IF(J73="",-1E+300,ROUND(J73,6)))),-1.5E+300))</f>
        <v/>
      </c>
      <c r="L73" t="str">
        <f>IF(K73="","",RANK(K73,$K$2:$K$3001,0)+COUNTIF($K$2:K73,K73)-1)</f>
        <v/>
      </c>
    </row>
    <row r="74">
      <c r="B74" t="str">
        <f>IFERROR(IF(A74="","","="&amp;SUBSTITUTE(SUBSTITUTE(SUBSTITUTE(A74,"~","~~"),"*","~*"),"?","~?")),"")</f>
        <v/>
      </c>
      <c r="C74" t="str">
        <f>IF($B74="","",SUMIFS(dAmt,dCust,$B74,dPer,"&gt;="&amp;pyFrom,dPer,"&lt;="&amp;pyTo,dAmt,"&gt;-1E+300",dFlt1,critFlt1,dFlt2,critFlt2,dFlt3,critFlt3))</f>
        <v/>
      </c>
      <c r="D74" t="str">
        <f>IF($B74="","",SUMIFS(dAmt,dCust,$B74,dPer,"&gt;="&amp;cyFrom,dPer,"&lt;="&amp;cyTo,dAmt,"&gt;-1E+300",dFlt1,critFlt1,dFlt2,critFlt2,dFlt3,critFlt3))</f>
        <v/>
      </c>
      <c r="E74" t="str">
        <f>IF($B74="","",SUMIFS(dQty,dCust,$B74,dPer,"&gt;="&amp;pyFrom,dPer,"&lt;="&amp;pyTo,dQty,"&gt;-1E+300",dFlt1,critFlt1,dFlt2,critFlt2,dFlt3,critFlt3))</f>
        <v/>
      </c>
      <c r="F74" t="str">
        <f>IF($B74="","",SUMIFS(dQty,dCust,$B74,dPer,"&gt;="&amp;cyFrom,dPer,"&lt;="&amp;cyTo,dQty,"&gt;-1E+300",dFlt1,critFlt1,dFlt2,critFlt2,dFlt3,critFlt3))</f>
        <v/>
      </c>
      <c r="G74">
        <f>IF($B74="",0,IFERROR(IF(OR(C74&lt;&gt;0,D74&lt;&gt;0,E74&lt;&gt;0,F74&lt;&gt;0),1,0),1))</f>
        <v>0</v>
      </c>
      <c r="H74" t="str">
        <f>IF(OR(G74=0,E74=0),"",C74/E74)</f>
        <v/>
      </c>
      <c r="I74" t="str">
        <f>IF(OR(G74=0,F74=0),"",D74/F74)</f>
        <v/>
      </c>
      <c r="J74" t="str">
        <f>IF(OR(H74="",I74=""),"",IF(H74=0,"",I74/H74-1))</f>
        <v/>
      </c>
      <c r="K74" t="str">
        <f>IF($B74="","",IFERROR(IF(G74=0,-2E+300,CHOOSE(sortIdx,ROUND(D74,0),IF(J74="",-1E+300,ROUND(-J74,6)),IF(J74="",-1E+300,ROUND(J74,6)))),-1.5E+300))</f>
        <v/>
      </c>
      <c r="L74" t="str">
        <f>IF(K74="","",RANK(K74,$K$2:$K$3001,0)+COUNTIF($K$2:K74,K74)-1)</f>
        <v/>
      </c>
    </row>
    <row r="75">
      <c r="B75" t="str">
        <f>IFERROR(IF(A75="","","="&amp;SUBSTITUTE(SUBSTITUTE(SUBSTITUTE(A75,"~","~~"),"*","~*"),"?","~?")),"")</f>
        <v/>
      </c>
      <c r="C75" t="str">
        <f>IF($B75="","",SUMIFS(dAmt,dCust,$B75,dPer,"&gt;="&amp;pyFrom,dPer,"&lt;="&amp;pyTo,dAmt,"&gt;-1E+300",dFlt1,critFlt1,dFlt2,critFlt2,dFlt3,critFlt3))</f>
        <v/>
      </c>
      <c r="D75" t="str">
        <f>IF($B75="","",SUMIFS(dAmt,dCust,$B75,dPer,"&gt;="&amp;cyFrom,dPer,"&lt;="&amp;cyTo,dAmt,"&gt;-1E+300",dFlt1,critFlt1,dFlt2,critFlt2,dFlt3,critFlt3))</f>
        <v/>
      </c>
      <c r="E75" t="str">
        <f>IF($B75="","",SUMIFS(dQty,dCust,$B75,dPer,"&gt;="&amp;pyFrom,dPer,"&lt;="&amp;pyTo,dQty,"&gt;-1E+300",dFlt1,critFlt1,dFlt2,critFlt2,dFlt3,critFlt3))</f>
        <v/>
      </c>
      <c r="F75" t="str">
        <f>IF($B75="","",SUMIFS(dQty,dCust,$B75,dPer,"&gt;="&amp;cyFrom,dPer,"&lt;="&amp;cyTo,dQty,"&gt;-1E+300",dFlt1,critFlt1,dFlt2,critFlt2,dFlt3,critFlt3))</f>
        <v/>
      </c>
      <c r="G75">
        <f>IF($B75="",0,IFERROR(IF(OR(C75&lt;&gt;0,D75&lt;&gt;0,E75&lt;&gt;0,F75&lt;&gt;0),1,0),1))</f>
        <v>0</v>
      </c>
      <c r="H75" t="str">
        <f>IF(OR(G75=0,E75=0),"",C75/E75)</f>
        <v/>
      </c>
      <c r="I75" t="str">
        <f>IF(OR(G75=0,F75=0),"",D75/F75)</f>
        <v/>
      </c>
      <c r="J75" t="str">
        <f>IF(OR(H75="",I75=""),"",IF(H75=0,"",I75/H75-1))</f>
        <v/>
      </c>
      <c r="K75" t="str">
        <f>IF($B75="","",IFERROR(IF(G75=0,-2E+300,CHOOSE(sortIdx,ROUND(D75,0),IF(J75="",-1E+300,ROUND(-J75,6)),IF(J75="",-1E+300,ROUND(J75,6)))),-1.5E+300))</f>
        <v/>
      </c>
      <c r="L75" t="str">
        <f>IF(K75="","",RANK(K75,$K$2:$K$3001,0)+COUNTIF($K$2:K75,K75)-1)</f>
        <v/>
      </c>
    </row>
    <row r="76">
      <c r="B76" t="str">
        <f>IFERROR(IF(A76="","","="&amp;SUBSTITUTE(SUBSTITUTE(SUBSTITUTE(A76,"~","~~"),"*","~*"),"?","~?")),"")</f>
        <v/>
      </c>
      <c r="C76" t="str">
        <f>IF($B76="","",SUMIFS(dAmt,dCust,$B76,dPer,"&gt;="&amp;pyFrom,dPer,"&lt;="&amp;pyTo,dAmt,"&gt;-1E+300",dFlt1,critFlt1,dFlt2,critFlt2,dFlt3,critFlt3))</f>
        <v/>
      </c>
      <c r="D76" t="str">
        <f>IF($B76="","",SUMIFS(dAmt,dCust,$B76,dPer,"&gt;="&amp;cyFrom,dPer,"&lt;="&amp;cyTo,dAmt,"&gt;-1E+300",dFlt1,critFlt1,dFlt2,critFlt2,dFlt3,critFlt3))</f>
        <v/>
      </c>
      <c r="E76" t="str">
        <f>IF($B76="","",SUMIFS(dQty,dCust,$B76,dPer,"&gt;="&amp;pyFrom,dPer,"&lt;="&amp;pyTo,dQty,"&gt;-1E+300",dFlt1,critFlt1,dFlt2,critFlt2,dFlt3,critFlt3))</f>
        <v/>
      </c>
      <c r="F76" t="str">
        <f>IF($B76="","",SUMIFS(dQty,dCust,$B76,dPer,"&gt;="&amp;cyFrom,dPer,"&lt;="&amp;cyTo,dQty,"&gt;-1E+300",dFlt1,critFlt1,dFlt2,critFlt2,dFlt3,critFlt3))</f>
        <v/>
      </c>
      <c r="G76">
        <f>IF($B76="",0,IFERROR(IF(OR(C76&lt;&gt;0,D76&lt;&gt;0,E76&lt;&gt;0,F76&lt;&gt;0),1,0),1))</f>
        <v>0</v>
      </c>
      <c r="H76" t="str">
        <f>IF(OR(G76=0,E76=0),"",C76/E76)</f>
        <v/>
      </c>
      <c r="I76" t="str">
        <f>IF(OR(G76=0,F76=0),"",D76/F76)</f>
        <v/>
      </c>
      <c r="J76" t="str">
        <f>IF(OR(H76="",I76=""),"",IF(H76=0,"",I76/H76-1))</f>
        <v/>
      </c>
      <c r="K76" t="str">
        <f>IF($B76="","",IFERROR(IF(G76=0,-2E+300,CHOOSE(sortIdx,ROUND(D76,0),IF(J76="",-1E+300,ROUND(-J76,6)),IF(J76="",-1E+300,ROUND(J76,6)))),-1.5E+300))</f>
        <v/>
      </c>
      <c r="L76" t="str">
        <f>IF(K76="","",RANK(K76,$K$2:$K$3001,0)+COUNTIF($K$2:K76,K76)-1)</f>
        <v/>
      </c>
    </row>
    <row r="77">
      <c r="B77" t="str">
        <f>IFERROR(IF(A77="","","="&amp;SUBSTITUTE(SUBSTITUTE(SUBSTITUTE(A77,"~","~~"),"*","~*"),"?","~?")),"")</f>
        <v/>
      </c>
      <c r="C77" t="str">
        <f>IF($B77="","",SUMIFS(dAmt,dCust,$B77,dPer,"&gt;="&amp;pyFrom,dPer,"&lt;="&amp;pyTo,dAmt,"&gt;-1E+300",dFlt1,critFlt1,dFlt2,critFlt2,dFlt3,critFlt3))</f>
        <v/>
      </c>
      <c r="D77" t="str">
        <f>IF($B77="","",SUMIFS(dAmt,dCust,$B77,dPer,"&gt;="&amp;cyFrom,dPer,"&lt;="&amp;cyTo,dAmt,"&gt;-1E+300",dFlt1,critFlt1,dFlt2,critFlt2,dFlt3,critFlt3))</f>
        <v/>
      </c>
      <c r="E77" t="str">
        <f>IF($B77="","",SUMIFS(dQty,dCust,$B77,dPer,"&gt;="&amp;pyFrom,dPer,"&lt;="&amp;pyTo,dQty,"&gt;-1E+300",dFlt1,critFlt1,dFlt2,critFlt2,dFlt3,critFlt3))</f>
        <v/>
      </c>
      <c r="F77" t="str">
        <f>IF($B77="","",SUMIFS(dQty,dCust,$B77,dPer,"&gt;="&amp;cyFrom,dPer,"&lt;="&amp;cyTo,dQty,"&gt;-1E+300",dFlt1,critFlt1,dFlt2,critFlt2,dFlt3,critFlt3))</f>
        <v/>
      </c>
      <c r="G77">
        <f>IF($B77="",0,IFERROR(IF(OR(C77&lt;&gt;0,D77&lt;&gt;0,E77&lt;&gt;0,F77&lt;&gt;0),1,0),1))</f>
        <v>0</v>
      </c>
      <c r="H77" t="str">
        <f>IF(OR(G77=0,E77=0),"",C77/E77)</f>
        <v/>
      </c>
      <c r="I77" t="str">
        <f>IF(OR(G77=0,F77=0),"",D77/F77)</f>
        <v/>
      </c>
      <c r="J77" t="str">
        <f>IF(OR(H77="",I77=""),"",IF(H77=0,"",I77/H77-1))</f>
        <v/>
      </c>
      <c r="K77" t="str">
        <f>IF($B77="","",IFERROR(IF(G77=0,-2E+300,CHOOSE(sortIdx,ROUND(D77,0),IF(J77="",-1E+300,ROUND(-J77,6)),IF(J77="",-1E+300,ROUND(J77,6)))),-1.5E+300))</f>
        <v/>
      </c>
      <c r="L77" t="str">
        <f>IF(K77="","",RANK(K77,$K$2:$K$3001,0)+COUNTIF($K$2:K77,K77)-1)</f>
        <v/>
      </c>
    </row>
    <row r="78">
      <c r="B78" t="str">
        <f>IFERROR(IF(A78="","","="&amp;SUBSTITUTE(SUBSTITUTE(SUBSTITUTE(A78,"~","~~"),"*","~*"),"?","~?")),"")</f>
        <v/>
      </c>
      <c r="C78" t="str">
        <f>IF($B78="","",SUMIFS(dAmt,dCust,$B78,dPer,"&gt;="&amp;pyFrom,dPer,"&lt;="&amp;pyTo,dAmt,"&gt;-1E+300",dFlt1,critFlt1,dFlt2,critFlt2,dFlt3,critFlt3))</f>
        <v/>
      </c>
      <c r="D78" t="str">
        <f>IF($B78="","",SUMIFS(dAmt,dCust,$B78,dPer,"&gt;="&amp;cyFrom,dPer,"&lt;="&amp;cyTo,dAmt,"&gt;-1E+300",dFlt1,critFlt1,dFlt2,critFlt2,dFlt3,critFlt3))</f>
        <v/>
      </c>
      <c r="E78" t="str">
        <f>IF($B78="","",SUMIFS(dQty,dCust,$B78,dPer,"&gt;="&amp;pyFrom,dPer,"&lt;="&amp;pyTo,dQty,"&gt;-1E+300",dFlt1,critFlt1,dFlt2,critFlt2,dFlt3,critFlt3))</f>
        <v/>
      </c>
      <c r="F78" t="str">
        <f>IF($B78="","",SUMIFS(dQty,dCust,$B78,dPer,"&gt;="&amp;cyFrom,dPer,"&lt;="&amp;cyTo,dQty,"&gt;-1E+300",dFlt1,critFlt1,dFlt2,critFlt2,dFlt3,critFlt3))</f>
        <v/>
      </c>
      <c r="G78">
        <f>IF($B78="",0,IFERROR(IF(OR(C78&lt;&gt;0,D78&lt;&gt;0,E78&lt;&gt;0,F78&lt;&gt;0),1,0),1))</f>
        <v>0</v>
      </c>
      <c r="H78" t="str">
        <f>IF(OR(G78=0,E78=0),"",C78/E78)</f>
        <v/>
      </c>
      <c r="I78" t="str">
        <f>IF(OR(G78=0,F78=0),"",D78/F78)</f>
        <v/>
      </c>
      <c r="J78" t="str">
        <f>IF(OR(H78="",I78=""),"",IF(H78=0,"",I78/H78-1))</f>
        <v/>
      </c>
      <c r="K78" t="str">
        <f>IF($B78="","",IFERROR(IF(G78=0,-2E+300,CHOOSE(sortIdx,ROUND(D78,0),IF(J78="",-1E+300,ROUND(-J78,6)),IF(J78="",-1E+300,ROUND(J78,6)))),-1.5E+300))</f>
        <v/>
      </c>
      <c r="L78" t="str">
        <f>IF(K78="","",RANK(K78,$K$2:$K$3001,0)+COUNTIF($K$2:K78,K78)-1)</f>
        <v/>
      </c>
    </row>
    <row r="79">
      <c r="B79" t="str">
        <f>IFERROR(IF(A79="","","="&amp;SUBSTITUTE(SUBSTITUTE(SUBSTITUTE(A79,"~","~~"),"*","~*"),"?","~?")),"")</f>
        <v/>
      </c>
      <c r="C79" t="str">
        <f>IF($B79="","",SUMIFS(dAmt,dCust,$B79,dPer,"&gt;="&amp;pyFrom,dPer,"&lt;="&amp;pyTo,dAmt,"&gt;-1E+300",dFlt1,critFlt1,dFlt2,critFlt2,dFlt3,critFlt3))</f>
        <v/>
      </c>
      <c r="D79" t="str">
        <f>IF($B79="","",SUMIFS(dAmt,dCust,$B79,dPer,"&gt;="&amp;cyFrom,dPer,"&lt;="&amp;cyTo,dAmt,"&gt;-1E+300",dFlt1,critFlt1,dFlt2,critFlt2,dFlt3,critFlt3))</f>
        <v/>
      </c>
      <c r="E79" t="str">
        <f>IF($B79="","",SUMIFS(dQty,dCust,$B79,dPer,"&gt;="&amp;pyFrom,dPer,"&lt;="&amp;pyTo,dQty,"&gt;-1E+300",dFlt1,critFlt1,dFlt2,critFlt2,dFlt3,critFlt3))</f>
        <v/>
      </c>
      <c r="F79" t="str">
        <f>IF($B79="","",SUMIFS(dQty,dCust,$B79,dPer,"&gt;="&amp;cyFrom,dPer,"&lt;="&amp;cyTo,dQty,"&gt;-1E+300",dFlt1,critFlt1,dFlt2,critFlt2,dFlt3,critFlt3))</f>
        <v/>
      </c>
      <c r="G79">
        <f>IF($B79="",0,IFERROR(IF(OR(C79&lt;&gt;0,D79&lt;&gt;0,E79&lt;&gt;0,F79&lt;&gt;0),1,0),1))</f>
        <v>0</v>
      </c>
      <c r="H79" t="str">
        <f>IF(OR(G79=0,E79=0),"",C79/E79)</f>
        <v/>
      </c>
      <c r="I79" t="str">
        <f>IF(OR(G79=0,F79=0),"",D79/F79)</f>
        <v/>
      </c>
      <c r="J79" t="str">
        <f>IF(OR(H79="",I79=""),"",IF(H79=0,"",I79/H79-1))</f>
        <v/>
      </c>
      <c r="K79" t="str">
        <f>IF($B79="","",IFERROR(IF(G79=0,-2E+300,CHOOSE(sortIdx,ROUND(D79,0),IF(J79="",-1E+300,ROUND(-J79,6)),IF(J79="",-1E+300,ROUND(J79,6)))),-1.5E+300))</f>
        <v/>
      </c>
      <c r="L79" t="str">
        <f>IF(K79="","",RANK(K79,$K$2:$K$3001,0)+COUNTIF($K$2:K79,K79)-1)</f>
        <v/>
      </c>
    </row>
    <row r="80">
      <c r="B80" t="str">
        <f>IFERROR(IF(A80="","","="&amp;SUBSTITUTE(SUBSTITUTE(SUBSTITUTE(A80,"~","~~"),"*","~*"),"?","~?")),"")</f>
        <v/>
      </c>
      <c r="C80" t="str">
        <f>IF($B80="","",SUMIFS(dAmt,dCust,$B80,dPer,"&gt;="&amp;pyFrom,dPer,"&lt;="&amp;pyTo,dAmt,"&gt;-1E+300",dFlt1,critFlt1,dFlt2,critFlt2,dFlt3,critFlt3))</f>
        <v/>
      </c>
      <c r="D80" t="str">
        <f>IF($B80="","",SUMIFS(dAmt,dCust,$B80,dPer,"&gt;="&amp;cyFrom,dPer,"&lt;="&amp;cyTo,dAmt,"&gt;-1E+300",dFlt1,critFlt1,dFlt2,critFlt2,dFlt3,critFlt3))</f>
        <v/>
      </c>
      <c r="E80" t="str">
        <f>IF($B80="","",SUMIFS(dQty,dCust,$B80,dPer,"&gt;="&amp;pyFrom,dPer,"&lt;="&amp;pyTo,dQty,"&gt;-1E+300",dFlt1,critFlt1,dFlt2,critFlt2,dFlt3,critFlt3))</f>
        <v/>
      </c>
      <c r="F80" t="str">
        <f>IF($B80="","",SUMIFS(dQty,dCust,$B80,dPer,"&gt;="&amp;cyFrom,dPer,"&lt;="&amp;cyTo,dQty,"&gt;-1E+300",dFlt1,critFlt1,dFlt2,critFlt2,dFlt3,critFlt3))</f>
        <v/>
      </c>
      <c r="G80">
        <f>IF($B80="",0,IFERROR(IF(OR(C80&lt;&gt;0,D80&lt;&gt;0,E80&lt;&gt;0,F80&lt;&gt;0),1,0),1))</f>
        <v>0</v>
      </c>
      <c r="H80" t="str">
        <f>IF(OR(G80=0,E80=0),"",C80/E80)</f>
        <v/>
      </c>
      <c r="I80" t="str">
        <f>IF(OR(G80=0,F80=0),"",D80/F80)</f>
        <v/>
      </c>
      <c r="J80" t="str">
        <f>IF(OR(H80="",I80=""),"",IF(H80=0,"",I80/H80-1))</f>
        <v/>
      </c>
      <c r="K80" t="str">
        <f>IF($B80="","",IFERROR(IF(G80=0,-2E+300,CHOOSE(sortIdx,ROUND(D80,0),IF(J80="",-1E+300,ROUND(-J80,6)),IF(J80="",-1E+300,ROUND(J80,6)))),-1.5E+300))</f>
        <v/>
      </c>
      <c r="L80" t="str">
        <f>IF(K80="","",RANK(K80,$K$2:$K$3001,0)+COUNTIF($K$2:K80,K80)-1)</f>
        <v/>
      </c>
    </row>
    <row r="81">
      <c r="B81" t="str">
        <f>IFERROR(IF(A81="","","="&amp;SUBSTITUTE(SUBSTITUTE(SUBSTITUTE(A81,"~","~~"),"*","~*"),"?","~?")),"")</f>
        <v/>
      </c>
      <c r="C81" t="str">
        <f>IF($B81="","",SUMIFS(dAmt,dCust,$B81,dPer,"&gt;="&amp;pyFrom,dPer,"&lt;="&amp;pyTo,dAmt,"&gt;-1E+300",dFlt1,critFlt1,dFlt2,critFlt2,dFlt3,critFlt3))</f>
        <v/>
      </c>
      <c r="D81" t="str">
        <f>IF($B81="","",SUMIFS(dAmt,dCust,$B81,dPer,"&gt;="&amp;cyFrom,dPer,"&lt;="&amp;cyTo,dAmt,"&gt;-1E+300",dFlt1,critFlt1,dFlt2,critFlt2,dFlt3,critFlt3))</f>
        <v/>
      </c>
      <c r="E81" t="str">
        <f>IF($B81="","",SUMIFS(dQty,dCust,$B81,dPer,"&gt;="&amp;pyFrom,dPer,"&lt;="&amp;pyTo,dQty,"&gt;-1E+300",dFlt1,critFlt1,dFlt2,critFlt2,dFlt3,critFlt3))</f>
        <v/>
      </c>
      <c r="F81" t="str">
        <f>IF($B81="","",SUMIFS(dQty,dCust,$B81,dPer,"&gt;="&amp;cyFrom,dPer,"&lt;="&amp;cyTo,dQty,"&gt;-1E+300",dFlt1,critFlt1,dFlt2,critFlt2,dFlt3,critFlt3))</f>
        <v/>
      </c>
      <c r="G81">
        <f>IF($B81="",0,IFERROR(IF(OR(C81&lt;&gt;0,D81&lt;&gt;0,E81&lt;&gt;0,F81&lt;&gt;0),1,0),1))</f>
        <v>0</v>
      </c>
      <c r="H81" t="str">
        <f>IF(OR(G81=0,E81=0),"",C81/E81)</f>
        <v/>
      </c>
      <c r="I81" t="str">
        <f>IF(OR(G81=0,F81=0),"",D81/F81)</f>
        <v/>
      </c>
      <c r="J81" t="str">
        <f>IF(OR(H81="",I81=""),"",IF(H81=0,"",I81/H81-1))</f>
        <v/>
      </c>
      <c r="K81" t="str">
        <f>IF($B81="","",IFERROR(IF(G81=0,-2E+300,CHOOSE(sortIdx,ROUND(D81,0),IF(J81="",-1E+300,ROUND(-J81,6)),IF(J81="",-1E+300,ROUND(J81,6)))),-1.5E+300))</f>
        <v/>
      </c>
      <c r="L81" t="str">
        <f>IF(K81="","",RANK(K81,$K$2:$K$3001,0)+COUNTIF($K$2:K81,K81)-1)</f>
        <v/>
      </c>
    </row>
    <row r="82">
      <c r="B82" t="str">
        <f>IFERROR(IF(A82="","","="&amp;SUBSTITUTE(SUBSTITUTE(SUBSTITUTE(A82,"~","~~"),"*","~*"),"?","~?")),"")</f>
        <v/>
      </c>
      <c r="C82" t="str">
        <f>IF($B82="","",SUMIFS(dAmt,dCust,$B82,dPer,"&gt;="&amp;pyFrom,dPer,"&lt;="&amp;pyTo,dAmt,"&gt;-1E+300",dFlt1,critFlt1,dFlt2,critFlt2,dFlt3,critFlt3))</f>
        <v/>
      </c>
      <c r="D82" t="str">
        <f>IF($B82="","",SUMIFS(dAmt,dCust,$B82,dPer,"&gt;="&amp;cyFrom,dPer,"&lt;="&amp;cyTo,dAmt,"&gt;-1E+300",dFlt1,critFlt1,dFlt2,critFlt2,dFlt3,critFlt3))</f>
        <v/>
      </c>
      <c r="E82" t="str">
        <f>IF($B82="","",SUMIFS(dQty,dCust,$B82,dPer,"&gt;="&amp;pyFrom,dPer,"&lt;="&amp;pyTo,dQty,"&gt;-1E+300",dFlt1,critFlt1,dFlt2,critFlt2,dFlt3,critFlt3))</f>
        <v/>
      </c>
      <c r="F82" t="str">
        <f>IF($B82="","",SUMIFS(dQty,dCust,$B82,dPer,"&gt;="&amp;cyFrom,dPer,"&lt;="&amp;cyTo,dQty,"&gt;-1E+300",dFlt1,critFlt1,dFlt2,critFlt2,dFlt3,critFlt3))</f>
        <v/>
      </c>
      <c r="G82">
        <f>IF($B82="",0,IFERROR(IF(OR(C82&lt;&gt;0,D82&lt;&gt;0,E82&lt;&gt;0,F82&lt;&gt;0),1,0),1))</f>
        <v>0</v>
      </c>
      <c r="H82" t="str">
        <f>IF(OR(G82=0,E82=0),"",C82/E82)</f>
        <v/>
      </c>
      <c r="I82" t="str">
        <f>IF(OR(G82=0,F82=0),"",D82/F82)</f>
        <v/>
      </c>
      <c r="J82" t="str">
        <f>IF(OR(H82="",I82=""),"",IF(H82=0,"",I82/H82-1))</f>
        <v/>
      </c>
      <c r="K82" t="str">
        <f>IF($B82="","",IFERROR(IF(G82=0,-2E+300,CHOOSE(sortIdx,ROUND(D82,0),IF(J82="",-1E+300,ROUND(-J82,6)),IF(J82="",-1E+300,ROUND(J82,6)))),-1.5E+300))</f>
        <v/>
      </c>
      <c r="L82" t="str">
        <f>IF(K82="","",RANK(K82,$K$2:$K$3001,0)+COUNTIF($K$2:K82,K82)-1)</f>
        <v/>
      </c>
    </row>
    <row r="83">
      <c r="B83" t="str">
        <f>IFERROR(IF(A83="","","="&amp;SUBSTITUTE(SUBSTITUTE(SUBSTITUTE(A83,"~","~~"),"*","~*"),"?","~?")),"")</f>
        <v/>
      </c>
      <c r="C83" t="str">
        <f>IF($B83="","",SUMIFS(dAmt,dCust,$B83,dPer,"&gt;="&amp;pyFrom,dPer,"&lt;="&amp;pyTo,dAmt,"&gt;-1E+300",dFlt1,critFlt1,dFlt2,critFlt2,dFlt3,critFlt3))</f>
        <v/>
      </c>
      <c r="D83" t="str">
        <f>IF($B83="","",SUMIFS(dAmt,dCust,$B83,dPer,"&gt;="&amp;cyFrom,dPer,"&lt;="&amp;cyTo,dAmt,"&gt;-1E+300",dFlt1,critFlt1,dFlt2,critFlt2,dFlt3,critFlt3))</f>
        <v/>
      </c>
      <c r="E83" t="str">
        <f>IF($B83="","",SUMIFS(dQty,dCust,$B83,dPer,"&gt;="&amp;pyFrom,dPer,"&lt;="&amp;pyTo,dQty,"&gt;-1E+300",dFlt1,critFlt1,dFlt2,critFlt2,dFlt3,critFlt3))</f>
        <v/>
      </c>
      <c r="F83" t="str">
        <f>IF($B83="","",SUMIFS(dQty,dCust,$B83,dPer,"&gt;="&amp;cyFrom,dPer,"&lt;="&amp;cyTo,dQty,"&gt;-1E+300",dFlt1,critFlt1,dFlt2,critFlt2,dFlt3,critFlt3))</f>
        <v/>
      </c>
      <c r="G83">
        <f>IF($B83="",0,IFERROR(IF(OR(C83&lt;&gt;0,D83&lt;&gt;0,E83&lt;&gt;0,F83&lt;&gt;0),1,0),1))</f>
        <v>0</v>
      </c>
      <c r="H83" t="str">
        <f>IF(OR(G83=0,E83=0),"",C83/E83)</f>
        <v/>
      </c>
      <c r="I83" t="str">
        <f>IF(OR(G83=0,F83=0),"",D83/F83)</f>
        <v/>
      </c>
      <c r="J83" t="str">
        <f>IF(OR(H83="",I83=""),"",IF(H83=0,"",I83/H83-1))</f>
        <v/>
      </c>
      <c r="K83" t="str">
        <f>IF($B83="","",IFERROR(IF(G83=0,-2E+300,CHOOSE(sortIdx,ROUND(D83,0),IF(J83="",-1E+300,ROUND(-J83,6)),IF(J83="",-1E+300,ROUND(J83,6)))),-1.5E+300))</f>
        <v/>
      </c>
      <c r="L83" t="str">
        <f>IF(K83="","",RANK(K83,$K$2:$K$3001,0)+COUNTIF($K$2:K83,K83)-1)</f>
        <v/>
      </c>
    </row>
    <row r="84">
      <c r="B84" t="str">
        <f>IFERROR(IF(A84="","","="&amp;SUBSTITUTE(SUBSTITUTE(SUBSTITUTE(A84,"~","~~"),"*","~*"),"?","~?")),"")</f>
        <v/>
      </c>
      <c r="C84" t="str">
        <f>IF($B84="","",SUMIFS(dAmt,dCust,$B84,dPer,"&gt;="&amp;pyFrom,dPer,"&lt;="&amp;pyTo,dAmt,"&gt;-1E+300",dFlt1,critFlt1,dFlt2,critFlt2,dFlt3,critFlt3))</f>
        <v/>
      </c>
      <c r="D84" t="str">
        <f>IF($B84="","",SUMIFS(dAmt,dCust,$B84,dPer,"&gt;="&amp;cyFrom,dPer,"&lt;="&amp;cyTo,dAmt,"&gt;-1E+300",dFlt1,critFlt1,dFlt2,critFlt2,dFlt3,critFlt3))</f>
        <v/>
      </c>
      <c r="E84" t="str">
        <f>IF($B84="","",SUMIFS(dQty,dCust,$B84,dPer,"&gt;="&amp;pyFrom,dPer,"&lt;="&amp;pyTo,dQty,"&gt;-1E+300",dFlt1,critFlt1,dFlt2,critFlt2,dFlt3,critFlt3))</f>
        <v/>
      </c>
      <c r="F84" t="str">
        <f>IF($B84="","",SUMIFS(dQty,dCust,$B84,dPer,"&gt;="&amp;cyFrom,dPer,"&lt;="&amp;cyTo,dQty,"&gt;-1E+300",dFlt1,critFlt1,dFlt2,critFlt2,dFlt3,critFlt3))</f>
        <v/>
      </c>
      <c r="G84">
        <f>IF($B84="",0,IFERROR(IF(OR(C84&lt;&gt;0,D84&lt;&gt;0,E84&lt;&gt;0,F84&lt;&gt;0),1,0),1))</f>
        <v>0</v>
      </c>
      <c r="H84" t="str">
        <f>IF(OR(G84=0,E84=0),"",C84/E84)</f>
        <v/>
      </c>
      <c r="I84" t="str">
        <f>IF(OR(G84=0,F84=0),"",D84/F84)</f>
        <v/>
      </c>
      <c r="J84" t="str">
        <f>IF(OR(H84="",I84=""),"",IF(H84=0,"",I84/H84-1))</f>
        <v/>
      </c>
      <c r="K84" t="str">
        <f>IF($B84="","",IFERROR(IF(G84=0,-2E+300,CHOOSE(sortIdx,ROUND(D84,0),IF(J84="",-1E+300,ROUND(-J84,6)),IF(J84="",-1E+300,ROUND(J84,6)))),-1.5E+300))</f>
        <v/>
      </c>
      <c r="L84" t="str">
        <f>IF(K84="","",RANK(K84,$K$2:$K$3001,0)+COUNTIF($K$2:K84,K84)-1)</f>
        <v/>
      </c>
    </row>
    <row r="85">
      <c r="B85" t="str">
        <f>IFERROR(IF(A85="","","="&amp;SUBSTITUTE(SUBSTITUTE(SUBSTITUTE(A85,"~","~~"),"*","~*"),"?","~?")),"")</f>
        <v/>
      </c>
      <c r="C85" t="str">
        <f>IF($B85="","",SUMIFS(dAmt,dCust,$B85,dPer,"&gt;="&amp;pyFrom,dPer,"&lt;="&amp;pyTo,dAmt,"&gt;-1E+300",dFlt1,critFlt1,dFlt2,critFlt2,dFlt3,critFlt3))</f>
        <v/>
      </c>
      <c r="D85" t="str">
        <f>IF($B85="","",SUMIFS(dAmt,dCust,$B85,dPer,"&gt;="&amp;cyFrom,dPer,"&lt;="&amp;cyTo,dAmt,"&gt;-1E+300",dFlt1,critFlt1,dFlt2,critFlt2,dFlt3,critFlt3))</f>
        <v/>
      </c>
      <c r="E85" t="str">
        <f>IF($B85="","",SUMIFS(dQty,dCust,$B85,dPer,"&gt;="&amp;pyFrom,dPer,"&lt;="&amp;pyTo,dQty,"&gt;-1E+300",dFlt1,critFlt1,dFlt2,critFlt2,dFlt3,critFlt3))</f>
        <v/>
      </c>
      <c r="F85" t="str">
        <f>IF($B85="","",SUMIFS(dQty,dCust,$B85,dPer,"&gt;="&amp;cyFrom,dPer,"&lt;="&amp;cyTo,dQty,"&gt;-1E+300",dFlt1,critFlt1,dFlt2,critFlt2,dFlt3,critFlt3))</f>
        <v/>
      </c>
      <c r="G85">
        <f>IF($B85="",0,IFERROR(IF(OR(C85&lt;&gt;0,D85&lt;&gt;0,E85&lt;&gt;0,F85&lt;&gt;0),1,0),1))</f>
        <v>0</v>
      </c>
      <c r="H85" t="str">
        <f>IF(OR(G85=0,E85=0),"",C85/E85)</f>
        <v/>
      </c>
      <c r="I85" t="str">
        <f>IF(OR(G85=0,F85=0),"",D85/F85)</f>
        <v/>
      </c>
      <c r="J85" t="str">
        <f>IF(OR(H85="",I85=""),"",IF(H85=0,"",I85/H85-1))</f>
        <v/>
      </c>
      <c r="K85" t="str">
        <f>IF($B85="","",IFERROR(IF(G85=0,-2E+300,CHOOSE(sortIdx,ROUND(D85,0),IF(J85="",-1E+300,ROUND(-J85,6)),IF(J85="",-1E+300,ROUND(J85,6)))),-1.5E+300))</f>
        <v/>
      </c>
      <c r="L85" t="str">
        <f>IF(K85="","",RANK(K85,$K$2:$K$3001,0)+COUNTIF($K$2:K85,K85)-1)</f>
        <v/>
      </c>
    </row>
    <row r="86">
      <c r="B86" t="str">
        <f>IFERROR(IF(A86="","","="&amp;SUBSTITUTE(SUBSTITUTE(SUBSTITUTE(A86,"~","~~"),"*","~*"),"?","~?")),"")</f>
        <v/>
      </c>
      <c r="C86" t="str">
        <f>IF($B86="","",SUMIFS(dAmt,dCust,$B86,dPer,"&gt;="&amp;pyFrom,dPer,"&lt;="&amp;pyTo,dAmt,"&gt;-1E+300",dFlt1,critFlt1,dFlt2,critFlt2,dFlt3,critFlt3))</f>
        <v/>
      </c>
      <c r="D86" t="str">
        <f>IF($B86="","",SUMIFS(dAmt,dCust,$B86,dPer,"&gt;="&amp;cyFrom,dPer,"&lt;="&amp;cyTo,dAmt,"&gt;-1E+300",dFlt1,critFlt1,dFlt2,critFlt2,dFlt3,critFlt3))</f>
        <v/>
      </c>
      <c r="E86" t="str">
        <f>IF($B86="","",SUMIFS(dQty,dCust,$B86,dPer,"&gt;="&amp;pyFrom,dPer,"&lt;="&amp;pyTo,dQty,"&gt;-1E+300",dFlt1,critFlt1,dFlt2,critFlt2,dFlt3,critFlt3))</f>
        <v/>
      </c>
      <c r="F86" t="str">
        <f>IF($B86="","",SUMIFS(dQty,dCust,$B86,dPer,"&gt;="&amp;cyFrom,dPer,"&lt;="&amp;cyTo,dQty,"&gt;-1E+300",dFlt1,critFlt1,dFlt2,critFlt2,dFlt3,critFlt3))</f>
        <v/>
      </c>
      <c r="G86">
        <f>IF($B86="",0,IFERROR(IF(OR(C86&lt;&gt;0,D86&lt;&gt;0,E86&lt;&gt;0,F86&lt;&gt;0),1,0),1))</f>
        <v>0</v>
      </c>
      <c r="H86" t="str">
        <f>IF(OR(G86=0,E86=0),"",C86/E86)</f>
        <v/>
      </c>
      <c r="I86" t="str">
        <f>IF(OR(G86=0,F86=0),"",D86/F86)</f>
        <v/>
      </c>
      <c r="J86" t="str">
        <f>IF(OR(H86="",I86=""),"",IF(H86=0,"",I86/H86-1))</f>
        <v/>
      </c>
      <c r="K86" t="str">
        <f>IF($B86="","",IFERROR(IF(G86=0,-2E+300,CHOOSE(sortIdx,ROUND(D86,0),IF(J86="",-1E+300,ROUND(-J86,6)),IF(J86="",-1E+300,ROUND(J86,6)))),-1.5E+300))</f>
        <v/>
      </c>
      <c r="L86" t="str">
        <f>IF(K86="","",RANK(K86,$K$2:$K$3001,0)+COUNTIF($K$2:K86,K86)-1)</f>
        <v/>
      </c>
    </row>
    <row r="87">
      <c r="B87" t="str">
        <f>IFERROR(IF(A87="","","="&amp;SUBSTITUTE(SUBSTITUTE(SUBSTITUTE(A87,"~","~~"),"*","~*"),"?","~?")),"")</f>
        <v/>
      </c>
      <c r="C87" t="str">
        <f>IF($B87="","",SUMIFS(dAmt,dCust,$B87,dPer,"&gt;="&amp;pyFrom,dPer,"&lt;="&amp;pyTo,dAmt,"&gt;-1E+300",dFlt1,critFlt1,dFlt2,critFlt2,dFlt3,critFlt3))</f>
        <v/>
      </c>
      <c r="D87" t="str">
        <f>IF($B87="","",SUMIFS(dAmt,dCust,$B87,dPer,"&gt;="&amp;cyFrom,dPer,"&lt;="&amp;cyTo,dAmt,"&gt;-1E+300",dFlt1,critFlt1,dFlt2,critFlt2,dFlt3,critFlt3))</f>
        <v/>
      </c>
      <c r="E87" t="str">
        <f>IF($B87="","",SUMIFS(dQty,dCust,$B87,dPer,"&gt;="&amp;pyFrom,dPer,"&lt;="&amp;pyTo,dQty,"&gt;-1E+300",dFlt1,critFlt1,dFlt2,critFlt2,dFlt3,critFlt3))</f>
        <v/>
      </c>
      <c r="F87" t="str">
        <f>IF($B87="","",SUMIFS(dQty,dCust,$B87,dPer,"&gt;="&amp;cyFrom,dPer,"&lt;="&amp;cyTo,dQty,"&gt;-1E+300",dFlt1,critFlt1,dFlt2,critFlt2,dFlt3,critFlt3))</f>
        <v/>
      </c>
      <c r="G87">
        <f>IF($B87="",0,IFERROR(IF(OR(C87&lt;&gt;0,D87&lt;&gt;0,E87&lt;&gt;0,F87&lt;&gt;0),1,0),1))</f>
        <v>0</v>
      </c>
      <c r="H87" t="str">
        <f>IF(OR(G87=0,E87=0),"",C87/E87)</f>
        <v/>
      </c>
      <c r="I87" t="str">
        <f>IF(OR(G87=0,F87=0),"",D87/F87)</f>
        <v/>
      </c>
      <c r="J87" t="str">
        <f>IF(OR(H87="",I87=""),"",IF(H87=0,"",I87/H87-1))</f>
        <v/>
      </c>
      <c r="K87" t="str">
        <f>IF($B87="","",IFERROR(IF(G87=0,-2E+300,CHOOSE(sortIdx,ROUND(D87,0),IF(J87="",-1E+300,ROUND(-J87,6)),IF(J87="",-1E+300,ROUND(J87,6)))),-1.5E+300))</f>
        <v/>
      </c>
      <c r="L87" t="str">
        <f>IF(K87="","",RANK(K87,$K$2:$K$3001,0)+COUNTIF($K$2:K87,K87)-1)</f>
        <v/>
      </c>
    </row>
    <row r="88">
      <c r="B88" t="str">
        <f>IFERROR(IF(A88="","","="&amp;SUBSTITUTE(SUBSTITUTE(SUBSTITUTE(A88,"~","~~"),"*","~*"),"?","~?")),"")</f>
        <v/>
      </c>
      <c r="C88" t="str">
        <f>IF($B88="","",SUMIFS(dAmt,dCust,$B88,dPer,"&gt;="&amp;pyFrom,dPer,"&lt;="&amp;pyTo,dAmt,"&gt;-1E+300",dFlt1,critFlt1,dFlt2,critFlt2,dFlt3,critFlt3))</f>
        <v/>
      </c>
      <c r="D88" t="str">
        <f>IF($B88="","",SUMIFS(dAmt,dCust,$B88,dPer,"&gt;="&amp;cyFrom,dPer,"&lt;="&amp;cyTo,dAmt,"&gt;-1E+300",dFlt1,critFlt1,dFlt2,critFlt2,dFlt3,critFlt3))</f>
        <v/>
      </c>
      <c r="E88" t="str">
        <f>IF($B88="","",SUMIFS(dQty,dCust,$B88,dPer,"&gt;="&amp;pyFrom,dPer,"&lt;="&amp;pyTo,dQty,"&gt;-1E+300",dFlt1,critFlt1,dFlt2,critFlt2,dFlt3,critFlt3))</f>
        <v/>
      </c>
      <c r="F88" t="str">
        <f>IF($B88="","",SUMIFS(dQty,dCust,$B88,dPer,"&gt;="&amp;cyFrom,dPer,"&lt;="&amp;cyTo,dQty,"&gt;-1E+300",dFlt1,critFlt1,dFlt2,critFlt2,dFlt3,critFlt3))</f>
        <v/>
      </c>
      <c r="G88">
        <f>IF($B88="",0,IFERROR(IF(OR(C88&lt;&gt;0,D88&lt;&gt;0,E88&lt;&gt;0,F88&lt;&gt;0),1,0),1))</f>
        <v>0</v>
      </c>
      <c r="H88" t="str">
        <f>IF(OR(G88=0,E88=0),"",C88/E88)</f>
        <v/>
      </c>
      <c r="I88" t="str">
        <f>IF(OR(G88=0,F88=0),"",D88/F88)</f>
        <v/>
      </c>
      <c r="J88" t="str">
        <f>IF(OR(H88="",I88=""),"",IF(H88=0,"",I88/H88-1))</f>
        <v/>
      </c>
      <c r="K88" t="str">
        <f>IF($B88="","",IFERROR(IF(G88=0,-2E+300,CHOOSE(sortIdx,ROUND(D88,0),IF(J88="",-1E+300,ROUND(-J88,6)),IF(J88="",-1E+300,ROUND(J88,6)))),-1.5E+300))</f>
        <v/>
      </c>
      <c r="L88" t="str">
        <f>IF(K88="","",RANK(K88,$K$2:$K$3001,0)+COUNTIF($K$2:K88,K88)-1)</f>
        <v/>
      </c>
    </row>
    <row r="89">
      <c r="B89" t="str">
        <f>IFERROR(IF(A89="","","="&amp;SUBSTITUTE(SUBSTITUTE(SUBSTITUTE(A89,"~","~~"),"*","~*"),"?","~?")),"")</f>
        <v/>
      </c>
      <c r="C89" t="str">
        <f>IF($B89="","",SUMIFS(dAmt,dCust,$B89,dPer,"&gt;="&amp;pyFrom,dPer,"&lt;="&amp;pyTo,dAmt,"&gt;-1E+300",dFlt1,critFlt1,dFlt2,critFlt2,dFlt3,critFlt3))</f>
        <v/>
      </c>
      <c r="D89" t="str">
        <f>IF($B89="","",SUMIFS(dAmt,dCust,$B89,dPer,"&gt;="&amp;cyFrom,dPer,"&lt;="&amp;cyTo,dAmt,"&gt;-1E+300",dFlt1,critFlt1,dFlt2,critFlt2,dFlt3,critFlt3))</f>
        <v/>
      </c>
      <c r="E89" t="str">
        <f>IF($B89="","",SUMIFS(dQty,dCust,$B89,dPer,"&gt;="&amp;pyFrom,dPer,"&lt;="&amp;pyTo,dQty,"&gt;-1E+300",dFlt1,critFlt1,dFlt2,critFlt2,dFlt3,critFlt3))</f>
        <v/>
      </c>
      <c r="F89" t="str">
        <f>IF($B89="","",SUMIFS(dQty,dCust,$B89,dPer,"&gt;="&amp;cyFrom,dPer,"&lt;="&amp;cyTo,dQty,"&gt;-1E+300",dFlt1,critFlt1,dFlt2,critFlt2,dFlt3,critFlt3))</f>
        <v/>
      </c>
      <c r="G89">
        <f>IF($B89="",0,IFERROR(IF(OR(C89&lt;&gt;0,D89&lt;&gt;0,E89&lt;&gt;0,F89&lt;&gt;0),1,0),1))</f>
        <v>0</v>
      </c>
      <c r="H89" t="str">
        <f>IF(OR(G89=0,E89=0),"",C89/E89)</f>
        <v/>
      </c>
      <c r="I89" t="str">
        <f>IF(OR(G89=0,F89=0),"",D89/F89)</f>
        <v/>
      </c>
      <c r="J89" t="str">
        <f>IF(OR(H89="",I89=""),"",IF(H89=0,"",I89/H89-1))</f>
        <v/>
      </c>
      <c r="K89" t="str">
        <f>IF($B89="","",IFERROR(IF(G89=0,-2E+300,CHOOSE(sortIdx,ROUND(D89,0),IF(J89="",-1E+300,ROUND(-J89,6)),IF(J89="",-1E+300,ROUND(J89,6)))),-1.5E+300))</f>
        <v/>
      </c>
      <c r="L89" t="str">
        <f>IF(K89="","",RANK(K89,$K$2:$K$3001,0)+COUNTIF($K$2:K89,K89)-1)</f>
        <v/>
      </c>
    </row>
    <row r="90">
      <c r="B90" t="str">
        <f>IFERROR(IF(A90="","","="&amp;SUBSTITUTE(SUBSTITUTE(SUBSTITUTE(A90,"~","~~"),"*","~*"),"?","~?")),"")</f>
        <v/>
      </c>
      <c r="C90" t="str">
        <f>IF($B90="","",SUMIFS(dAmt,dCust,$B90,dPer,"&gt;="&amp;pyFrom,dPer,"&lt;="&amp;pyTo,dAmt,"&gt;-1E+300",dFlt1,critFlt1,dFlt2,critFlt2,dFlt3,critFlt3))</f>
        <v/>
      </c>
      <c r="D90" t="str">
        <f>IF($B90="","",SUMIFS(dAmt,dCust,$B90,dPer,"&gt;="&amp;cyFrom,dPer,"&lt;="&amp;cyTo,dAmt,"&gt;-1E+300",dFlt1,critFlt1,dFlt2,critFlt2,dFlt3,critFlt3))</f>
        <v/>
      </c>
      <c r="E90" t="str">
        <f>IF($B90="","",SUMIFS(dQty,dCust,$B90,dPer,"&gt;="&amp;pyFrom,dPer,"&lt;="&amp;pyTo,dQty,"&gt;-1E+300",dFlt1,critFlt1,dFlt2,critFlt2,dFlt3,critFlt3))</f>
        <v/>
      </c>
      <c r="F90" t="str">
        <f>IF($B90="","",SUMIFS(dQty,dCust,$B90,dPer,"&gt;="&amp;cyFrom,dPer,"&lt;="&amp;cyTo,dQty,"&gt;-1E+300",dFlt1,critFlt1,dFlt2,critFlt2,dFlt3,critFlt3))</f>
        <v/>
      </c>
      <c r="G90">
        <f>IF($B90="",0,IFERROR(IF(OR(C90&lt;&gt;0,D90&lt;&gt;0,E90&lt;&gt;0,F90&lt;&gt;0),1,0),1))</f>
        <v>0</v>
      </c>
      <c r="H90" t="str">
        <f>IF(OR(G90=0,E90=0),"",C90/E90)</f>
        <v/>
      </c>
      <c r="I90" t="str">
        <f>IF(OR(G90=0,F90=0),"",D90/F90)</f>
        <v/>
      </c>
      <c r="J90" t="str">
        <f>IF(OR(H90="",I90=""),"",IF(H90=0,"",I90/H90-1))</f>
        <v/>
      </c>
      <c r="K90" t="str">
        <f>IF($B90="","",IFERROR(IF(G90=0,-2E+300,CHOOSE(sortIdx,ROUND(D90,0),IF(J90="",-1E+300,ROUND(-J90,6)),IF(J90="",-1E+300,ROUND(J90,6)))),-1.5E+300))</f>
        <v/>
      </c>
      <c r="L90" t="str">
        <f>IF(K90="","",RANK(K90,$K$2:$K$3001,0)+COUNTIF($K$2:K90,K90)-1)</f>
        <v/>
      </c>
    </row>
    <row r="91">
      <c r="B91" t="str">
        <f>IFERROR(IF(A91="","","="&amp;SUBSTITUTE(SUBSTITUTE(SUBSTITUTE(A91,"~","~~"),"*","~*"),"?","~?")),"")</f>
        <v/>
      </c>
      <c r="C91" t="str">
        <f>IF($B91="","",SUMIFS(dAmt,dCust,$B91,dPer,"&gt;="&amp;pyFrom,dPer,"&lt;="&amp;pyTo,dAmt,"&gt;-1E+300",dFlt1,critFlt1,dFlt2,critFlt2,dFlt3,critFlt3))</f>
        <v/>
      </c>
      <c r="D91" t="str">
        <f>IF($B91="","",SUMIFS(dAmt,dCust,$B91,dPer,"&gt;="&amp;cyFrom,dPer,"&lt;="&amp;cyTo,dAmt,"&gt;-1E+300",dFlt1,critFlt1,dFlt2,critFlt2,dFlt3,critFlt3))</f>
        <v/>
      </c>
      <c r="E91" t="str">
        <f>IF($B91="","",SUMIFS(dQty,dCust,$B91,dPer,"&gt;="&amp;pyFrom,dPer,"&lt;="&amp;pyTo,dQty,"&gt;-1E+300",dFlt1,critFlt1,dFlt2,critFlt2,dFlt3,critFlt3))</f>
        <v/>
      </c>
      <c r="F91" t="str">
        <f>IF($B91="","",SUMIFS(dQty,dCust,$B91,dPer,"&gt;="&amp;cyFrom,dPer,"&lt;="&amp;cyTo,dQty,"&gt;-1E+300",dFlt1,critFlt1,dFlt2,critFlt2,dFlt3,critFlt3))</f>
        <v/>
      </c>
      <c r="G91">
        <f>IF($B91="",0,IFERROR(IF(OR(C91&lt;&gt;0,D91&lt;&gt;0,E91&lt;&gt;0,F91&lt;&gt;0),1,0),1))</f>
        <v>0</v>
      </c>
      <c r="H91" t="str">
        <f>IF(OR(G91=0,E91=0),"",C91/E91)</f>
        <v/>
      </c>
      <c r="I91" t="str">
        <f>IF(OR(G91=0,F91=0),"",D91/F91)</f>
        <v/>
      </c>
      <c r="J91" t="str">
        <f>IF(OR(H91="",I91=""),"",IF(H91=0,"",I91/H91-1))</f>
        <v/>
      </c>
      <c r="K91" t="str">
        <f>IF($B91="","",IFERROR(IF(G91=0,-2E+300,CHOOSE(sortIdx,ROUND(D91,0),IF(J91="",-1E+300,ROUND(-J91,6)),IF(J91="",-1E+300,ROUND(J91,6)))),-1.5E+300))</f>
        <v/>
      </c>
      <c r="L91" t="str">
        <f>IF(K91="","",RANK(K91,$K$2:$K$3001,0)+COUNTIF($K$2:K91,K91)-1)</f>
        <v/>
      </c>
    </row>
    <row r="92">
      <c r="B92" t="str">
        <f>IFERROR(IF(A92="","","="&amp;SUBSTITUTE(SUBSTITUTE(SUBSTITUTE(A92,"~","~~"),"*","~*"),"?","~?")),"")</f>
        <v/>
      </c>
      <c r="C92" t="str">
        <f>IF($B92="","",SUMIFS(dAmt,dCust,$B92,dPer,"&gt;="&amp;pyFrom,dPer,"&lt;="&amp;pyTo,dAmt,"&gt;-1E+300",dFlt1,critFlt1,dFlt2,critFlt2,dFlt3,critFlt3))</f>
        <v/>
      </c>
      <c r="D92" t="str">
        <f>IF($B92="","",SUMIFS(dAmt,dCust,$B92,dPer,"&gt;="&amp;cyFrom,dPer,"&lt;="&amp;cyTo,dAmt,"&gt;-1E+300",dFlt1,critFlt1,dFlt2,critFlt2,dFlt3,critFlt3))</f>
        <v/>
      </c>
      <c r="E92" t="str">
        <f>IF($B92="","",SUMIFS(dQty,dCust,$B92,dPer,"&gt;="&amp;pyFrom,dPer,"&lt;="&amp;pyTo,dQty,"&gt;-1E+300",dFlt1,critFlt1,dFlt2,critFlt2,dFlt3,critFlt3))</f>
        <v/>
      </c>
      <c r="F92" t="str">
        <f>IF($B92="","",SUMIFS(dQty,dCust,$B92,dPer,"&gt;="&amp;cyFrom,dPer,"&lt;="&amp;cyTo,dQty,"&gt;-1E+300",dFlt1,critFlt1,dFlt2,critFlt2,dFlt3,critFlt3))</f>
        <v/>
      </c>
      <c r="G92">
        <f>IF($B92="",0,IFERROR(IF(OR(C92&lt;&gt;0,D92&lt;&gt;0,E92&lt;&gt;0,F92&lt;&gt;0),1,0),1))</f>
        <v>0</v>
      </c>
      <c r="H92" t="str">
        <f>IF(OR(G92=0,E92=0),"",C92/E92)</f>
        <v/>
      </c>
      <c r="I92" t="str">
        <f>IF(OR(G92=0,F92=0),"",D92/F92)</f>
        <v/>
      </c>
      <c r="J92" t="str">
        <f>IF(OR(H92="",I92=""),"",IF(H92=0,"",I92/H92-1))</f>
        <v/>
      </c>
      <c r="K92" t="str">
        <f>IF($B92="","",IFERROR(IF(G92=0,-2E+300,CHOOSE(sortIdx,ROUND(D92,0),IF(J92="",-1E+300,ROUND(-J92,6)),IF(J92="",-1E+300,ROUND(J92,6)))),-1.5E+300))</f>
        <v/>
      </c>
      <c r="L92" t="str">
        <f>IF(K92="","",RANK(K92,$K$2:$K$3001,0)+COUNTIF($K$2:K92,K92)-1)</f>
        <v/>
      </c>
    </row>
    <row r="93">
      <c r="B93" t="str">
        <f>IFERROR(IF(A93="","","="&amp;SUBSTITUTE(SUBSTITUTE(SUBSTITUTE(A93,"~","~~"),"*","~*"),"?","~?")),"")</f>
        <v/>
      </c>
      <c r="C93" t="str">
        <f>IF($B93="","",SUMIFS(dAmt,dCust,$B93,dPer,"&gt;="&amp;pyFrom,dPer,"&lt;="&amp;pyTo,dAmt,"&gt;-1E+300",dFlt1,critFlt1,dFlt2,critFlt2,dFlt3,critFlt3))</f>
        <v/>
      </c>
      <c r="D93" t="str">
        <f>IF($B93="","",SUMIFS(dAmt,dCust,$B93,dPer,"&gt;="&amp;cyFrom,dPer,"&lt;="&amp;cyTo,dAmt,"&gt;-1E+300",dFlt1,critFlt1,dFlt2,critFlt2,dFlt3,critFlt3))</f>
        <v/>
      </c>
      <c r="E93" t="str">
        <f>IF($B93="","",SUMIFS(dQty,dCust,$B93,dPer,"&gt;="&amp;pyFrom,dPer,"&lt;="&amp;pyTo,dQty,"&gt;-1E+300",dFlt1,critFlt1,dFlt2,critFlt2,dFlt3,critFlt3))</f>
        <v/>
      </c>
      <c r="F93" t="str">
        <f>IF($B93="","",SUMIFS(dQty,dCust,$B93,dPer,"&gt;="&amp;cyFrom,dPer,"&lt;="&amp;cyTo,dQty,"&gt;-1E+300",dFlt1,critFlt1,dFlt2,critFlt2,dFlt3,critFlt3))</f>
        <v/>
      </c>
      <c r="G93">
        <f>IF($B93="",0,IFERROR(IF(OR(C93&lt;&gt;0,D93&lt;&gt;0,E93&lt;&gt;0,F93&lt;&gt;0),1,0),1))</f>
        <v>0</v>
      </c>
      <c r="H93" t="str">
        <f>IF(OR(G93=0,E93=0),"",C93/E93)</f>
        <v/>
      </c>
      <c r="I93" t="str">
        <f>IF(OR(G93=0,F93=0),"",D93/F93)</f>
        <v/>
      </c>
      <c r="J93" t="str">
        <f>IF(OR(H93="",I93=""),"",IF(H93=0,"",I93/H93-1))</f>
        <v/>
      </c>
      <c r="K93" t="str">
        <f>IF($B93="","",IFERROR(IF(G93=0,-2E+300,CHOOSE(sortIdx,ROUND(D93,0),IF(J93="",-1E+300,ROUND(-J93,6)),IF(J93="",-1E+300,ROUND(J93,6)))),-1.5E+300))</f>
        <v/>
      </c>
      <c r="L93" t="str">
        <f>IF(K93="","",RANK(K93,$K$2:$K$3001,0)+COUNTIF($K$2:K93,K93)-1)</f>
        <v/>
      </c>
    </row>
    <row r="94">
      <c r="B94" t="str">
        <f>IFERROR(IF(A94="","","="&amp;SUBSTITUTE(SUBSTITUTE(SUBSTITUTE(A94,"~","~~"),"*","~*"),"?","~?")),"")</f>
        <v/>
      </c>
      <c r="C94" t="str">
        <f>IF($B94="","",SUMIFS(dAmt,dCust,$B94,dPer,"&gt;="&amp;pyFrom,dPer,"&lt;="&amp;pyTo,dAmt,"&gt;-1E+300",dFlt1,critFlt1,dFlt2,critFlt2,dFlt3,critFlt3))</f>
        <v/>
      </c>
      <c r="D94" t="str">
        <f>IF($B94="","",SUMIFS(dAmt,dCust,$B94,dPer,"&gt;="&amp;cyFrom,dPer,"&lt;="&amp;cyTo,dAmt,"&gt;-1E+300",dFlt1,critFlt1,dFlt2,critFlt2,dFlt3,critFlt3))</f>
        <v/>
      </c>
      <c r="E94" t="str">
        <f>IF($B94="","",SUMIFS(dQty,dCust,$B94,dPer,"&gt;="&amp;pyFrom,dPer,"&lt;="&amp;pyTo,dQty,"&gt;-1E+300",dFlt1,critFlt1,dFlt2,critFlt2,dFlt3,critFlt3))</f>
        <v/>
      </c>
      <c r="F94" t="str">
        <f>IF($B94="","",SUMIFS(dQty,dCust,$B94,dPer,"&gt;="&amp;cyFrom,dPer,"&lt;="&amp;cyTo,dQty,"&gt;-1E+300",dFlt1,critFlt1,dFlt2,critFlt2,dFlt3,critFlt3))</f>
        <v/>
      </c>
      <c r="G94">
        <f>IF($B94="",0,IFERROR(IF(OR(C94&lt;&gt;0,D94&lt;&gt;0,E94&lt;&gt;0,F94&lt;&gt;0),1,0),1))</f>
        <v>0</v>
      </c>
      <c r="H94" t="str">
        <f>IF(OR(G94=0,E94=0),"",C94/E94)</f>
        <v/>
      </c>
      <c r="I94" t="str">
        <f>IF(OR(G94=0,F94=0),"",D94/F94)</f>
        <v/>
      </c>
      <c r="J94" t="str">
        <f>IF(OR(H94="",I94=""),"",IF(H94=0,"",I94/H94-1))</f>
        <v/>
      </c>
      <c r="K94" t="str">
        <f>IF($B94="","",IFERROR(IF(G94=0,-2E+300,CHOOSE(sortIdx,ROUND(D94,0),IF(J94="",-1E+300,ROUND(-J94,6)),IF(J94="",-1E+300,ROUND(J94,6)))),-1.5E+300))</f>
        <v/>
      </c>
      <c r="L94" t="str">
        <f>IF(K94="","",RANK(K94,$K$2:$K$3001,0)+COUNTIF($K$2:K94,K94)-1)</f>
        <v/>
      </c>
    </row>
    <row r="95">
      <c r="B95" t="str">
        <f>IFERROR(IF(A95="","","="&amp;SUBSTITUTE(SUBSTITUTE(SUBSTITUTE(A95,"~","~~"),"*","~*"),"?","~?")),"")</f>
        <v/>
      </c>
      <c r="C95" t="str">
        <f>IF($B95="","",SUMIFS(dAmt,dCust,$B95,dPer,"&gt;="&amp;pyFrom,dPer,"&lt;="&amp;pyTo,dAmt,"&gt;-1E+300",dFlt1,critFlt1,dFlt2,critFlt2,dFlt3,critFlt3))</f>
        <v/>
      </c>
      <c r="D95" t="str">
        <f>IF($B95="","",SUMIFS(dAmt,dCust,$B95,dPer,"&gt;="&amp;cyFrom,dPer,"&lt;="&amp;cyTo,dAmt,"&gt;-1E+300",dFlt1,critFlt1,dFlt2,critFlt2,dFlt3,critFlt3))</f>
        <v/>
      </c>
      <c r="E95" t="str">
        <f>IF($B95="","",SUMIFS(dQty,dCust,$B95,dPer,"&gt;="&amp;pyFrom,dPer,"&lt;="&amp;pyTo,dQty,"&gt;-1E+300",dFlt1,critFlt1,dFlt2,critFlt2,dFlt3,critFlt3))</f>
        <v/>
      </c>
      <c r="F95" t="str">
        <f>IF($B95="","",SUMIFS(dQty,dCust,$B95,dPer,"&gt;="&amp;cyFrom,dPer,"&lt;="&amp;cyTo,dQty,"&gt;-1E+300",dFlt1,critFlt1,dFlt2,critFlt2,dFlt3,critFlt3))</f>
        <v/>
      </c>
      <c r="G95">
        <f>IF($B95="",0,IFERROR(IF(OR(C95&lt;&gt;0,D95&lt;&gt;0,E95&lt;&gt;0,F95&lt;&gt;0),1,0),1))</f>
        <v>0</v>
      </c>
      <c r="H95" t="str">
        <f>IF(OR(G95=0,E95=0),"",C95/E95)</f>
        <v/>
      </c>
      <c r="I95" t="str">
        <f>IF(OR(G95=0,F95=0),"",D95/F95)</f>
        <v/>
      </c>
      <c r="J95" t="str">
        <f>IF(OR(H95="",I95=""),"",IF(H95=0,"",I95/H95-1))</f>
        <v/>
      </c>
      <c r="K95" t="str">
        <f>IF($B95="","",IFERROR(IF(G95=0,-2E+300,CHOOSE(sortIdx,ROUND(D95,0),IF(J95="",-1E+300,ROUND(-J95,6)),IF(J95="",-1E+300,ROUND(J95,6)))),-1.5E+300))</f>
        <v/>
      </c>
      <c r="L95" t="str">
        <f>IF(K95="","",RANK(K95,$K$2:$K$3001,0)+COUNTIF($K$2:K95,K95)-1)</f>
        <v/>
      </c>
    </row>
    <row r="96">
      <c r="B96" t="str">
        <f>IFERROR(IF(A96="","","="&amp;SUBSTITUTE(SUBSTITUTE(SUBSTITUTE(A96,"~","~~"),"*","~*"),"?","~?")),"")</f>
        <v/>
      </c>
      <c r="C96" t="str">
        <f>IF($B96="","",SUMIFS(dAmt,dCust,$B96,dPer,"&gt;="&amp;pyFrom,dPer,"&lt;="&amp;pyTo,dAmt,"&gt;-1E+300",dFlt1,critFlt1,dFlt2,critFlt2,dFlt3,critFlt3))</f>
        <v/>
      </c>
      <c r="D96" t="str">
        <f>IF($B96="","",SUMIFS(dAmt,dCust,$B96,dPer,"&gt;="&amp;cyFrom,dPer,"&lt;="&amp;cyTo,dAmt,"&gt;-1E+300",dFlt1,critFlt1,dFlt2,critFlt2,dFlt3,critFlt3))</f>
        <v/>
      </c>
      <c r="E96" t="str">
        <f>IF($B96="","",SUMIFS(dQty,dCust,$B96,dPer,"&gt;="&amp;pyFrom,dPer,"&lt;="&amp;pyTo,dQty,"&gt;-1E+300",dFlt1,critFlt1,dFlt2,critFlt2,dFlt3,critFlt3))</f>
        <v/>
      </c>
      <c r="F96" t="str">
        <f>IF($B96="","",SUMIFS(dQty,dCust,$B96,dPer,"&gt;="&amp;cyFrom,dPer,"&lt;="&amp;cyTo,dQty,"&gt;-1E+300",dFlt1,critFlt1,dFlt2,critFlt2,dFlt3,critFlt3))</f>
        <v/>
      </c>
      <c r="G96">
        <f>IF($B96="",0,IFERROR(IF(OR(C96&lt;&gt;0,D96&lt;&gt;0,E96&lt;&gt;0,F96&lt;&gt;0),1,0),1))</f>
        <v>0</v>
      </c>
      <c r="H96" t="str">
        <f>IF(OR(G96=0,E96=0),"",C96/E96)</f>
        <v/>
      </c>
      <c r="I96" t="str">
        <f>IF(OR(G96=0,F96=0),"",D96/F96)</f>
        <v/>
      </c>
      <c r="J96" t="str">
        <f>IF(OR(H96="",I96=""),"",IF(H96=0,"",I96/H96-1))</f>
        <v/>
      </c>
      <c r="K96" t="str">
        <f>IF($B96="","",IFERROR(IF(G96=0,-2E+300,CHOOSE(sortIdx,ROUND(D96,0),IF(J96="",-1E+300,ROUND(-J96,6)),IF(J96="",-1E+300,ROUND(J96,6)))),-1.5E+300))</f>
        <v/>
      </c>
      <c r="L96" t="str">
        <f>IF(K96="","",RANK(K96,$K$2:$K$3001,0)+COUNTIF($K$2:K96,K96)-1)</f>
        <v/>
      </c>
    </row>
    <row r="97">
      <c r="B97" t="str">
        <f>IFERROR(IF(A97="","","="&amp;SUBSTITUTE(SUBSTITUTE(SUBSTITUTE(A97,"~","~~"),"*","~*"),"?","~?")),"")</f>
        <v/>
      </c>
      <c r="C97" t="str">
        <f>IF($B97="","",SUMIFS(dAmt,dCust,$B97,dPer,"&gt;="&amp;pyFrom,dPer,"&lt;="&amp;pyTo,dAmt,"&gt;-1E+300",dFlt1,critFlt1,dFlt2,critFlt2,dFlt3,critFlt3))</f>
        <v/>
      </c>
      <c r="D97" t="str">
        <f>IF($B97="","",SUMIFS(dAmt,dCust,$B97,dPer,"&gt;="&amp;cyFrom,dPer,"&lt;="&amp;cyTo,dAmt,"&gt;-1E+300",dFlt1,critFlt1,dFlt2,critFlt2,dFlt3,critFlt3))</f>
        <v/>
      </c>
      <c r="E97" t="str">
        <f>IF($B97="","",SUMIFS(dQty,dCust,$B97,dPer,"&gt;="&amp;pyFrom,dPer,"&lt;="&amp;pyTo,dQty,"&gt;-1E+300",dFlt1,critFlt1,dFlt2,critFlt2,dFlt3,critFlt3))</f>
        <v/>
      </c>
      <c r="F97" t="str">
        <f>IF($B97="","",SUMIFS(dQty,dCust,$B97,dPer,"&gt;="&amp;cyFrom,dPer,"&lt;="&amp;cyTo,dQty,"&gt;-1E+300",dFlt1,critFlt1,dFlt2,critFlt2,dFlt3,critFlt3))</f>
        <v/>
      </c>
      <c r="G97">
        <f>IF($B97="",0,IFERROR(IF(OR(C97&lt;&gt;0,D97&lt;&gt;0,E97&lt;&gt;0,F97&lt;&gt;0),1,0),1))</f>
        <v>0</v>
      </c>
      <c r="H97" t="str">
        <f>IF(OR(G97=0,E97=0),"",C97/E97)</f>
        <v/>
      </c>
      <c r="I97" t="str">
        <f>IF(OR(G97=0,F97=0),"",D97/F97)</f>
        <v/>
      </c>
      <c r="J97" t="str">
        <f>IF(OR(H97="",I97=""),"",IF(H97=0,"",I97/H97-1))</f>
        <v/>
      </c>
      <c r="K97" t="str">
        <f>IF($B97="","",IFERROR(IF(G97=0,-2E+300,CHOOSE(sortIdx,ROUND(D97,0),IF(J97="",-1E+300,ROUND(-J97,6)),IF(J97="",-1E+300,ROUND(J97,6)))),-1.5E+300))</f>
        <v/>
      </c>
      <c r="L97" t="str">
        <f>IF(K97="","",RANK(K97,$K$2:$K$3001,0)+COUNTIF($K$2:K97,K97)-1)</f>
        <v/>
      </c>
    </row>
    <row r="98">
      <c r="B98" t="str">
        <f>IFERROR(IF(A98="","","="&amp;SUBSTITUTE(SUBSTITUTE(SUBSTITUTE(A98,"~","~~"),"*","~*"),"?","~?")),"")</f>
        <v/>
      </c>
      <c r="C98" t="str">
        <f>IF($B98="","",SUMIFS(dAmt,dCust,$B98,dPer,"&gt;="&amp;pyFrom,dPer,"&lt;="&amp;pyTo,dAmt,"&gt;-1E+300",dFlt1,critFlt1,dFlt2,critFlt2,dFlt3,critFlt3))</f>
        <v/>
      </c>
      <c r="D98" t="str">
        <f>IF($B98="","",SUMIFS(dAmt,dCust,$B98,dPer,"&gt;="&amp;cyFrom,dPer,"&lt;="&amp;cyTo,dAmt,"&gt;-1E+300",dFlt1,critFlt1,dFlt2,critFlt2,dFlt3,critFlt3))</f>
        <v/>
      </c>
      <c r="E98" t="str">
        <f>IF($B98="","",SUMIFS(dQty,dCust,$B98,dPer,"&gt;="&amp;pyFrom,dPer,"&lt;="&amp;pyTo,dQty,"&gt;-1E+300",dFlt1,critFlt1,dFlt2,critFlt2,dFlt3,critFlt3))</f>
        <v/>
      </c>
      <c r="F98" t="str">
        <f>IF($B98="","",SUMIFS(dQty,dCust,$B98,dPer,"&gt;="&amp;cyFrom,dPer,"&lt;="&amp;cyTo,dQty,"&gt;-1E+300",dFlt1,critFlt1,dFlt2,critFlt2,dFlt3,critFlt3))</f>
        <v/>
      </c>
      <c r="G98">
        <f>IF($B98="",0,IFERROR(IF(OR(C98&lt;&gt;0,D98&lt;&gt;0,E98&lt;&gt;0,F98&lt;&gt;0),1,0),1))</f>
        <v>0</v>
      </c>
      <c r="H98" t="str">
        <f>IF(OR(G98=0,E98=0),"",C98/E98)</f>
        <v/>
      </c>
      <c r="I98" t="str">
        <f>IF(OR(G98=0,F98=0),"",D98/F98)</f>
        <v/>
      </c>
      <c r="J98" t="str">
        <f>IF(OR(H98="",I98=""),"",IF(H98=0,"",I98/H98-1))</f>
        <v/>
      </c>
      <c r="K98" t="str">
        <f>IF($B98="","",IFERROR(IF(G98=0,-2E+300,CHOOSE(sortIdx,ROUND(D98,0),IF(J98="",-1E+300,ROUND(-J98,6)),IF(J98="",-1E+300,ROUND(J98,6)))),-1.5E+300))</f>
        <v/>
      </c>
      <c r="L98" t="str">
        <f>IF(K98="","",RANK(K98,$K$2:$K$3001,0)+COUNTIF($K$2:K98,K98)-1)</f>
        <v/>
      </c>
    </row>
    <row r="99">
      <c r="B99" t="str">
        <f>IFERROR(IF(A99="","","="&amp;SUBSTITUTE(SUBSTITUTE(SUBSTITUTE(A99,"~","~~"),"*","~*"),"?","~?")),"")</f>
        <v/>
      </c>
      <c r="C99" t="str">
        <f>IF($B99="","",SUMIFS(dAmt,dCust,$B99,dPer,"&gt;="&amp;pyFrom,dPer,"&lt;="&amp;pyTo,dAmt,"&gt;-1E+300",dFlt1,critFlt1,dFlt2,critFlt2,dFlt3,critFlt3))</f>
        <v/>
      </c>
      <c r="D99" t="str">
        <f>IF($B99="","",SUMIFS(dAmt,dCust,$B99,dPer,"&gt;="&amp;cyFrom,dPer,"&lt;="&amp;cyTo,dAmt,"&gt;-1E+300",dFlt1,critFlt1,dFlt2,critFlt2,dFlt3,critFlt3))</f>
        <v/>
      </c>
      <c r="E99" t="str">
        <f>IF($B99="","",SUMIFS(dQty,dCust,$B99,dPer,"&gt;="&amp;pyFrom,dPer,"&lt;="&amp;pyTo,dQty,"&gt;-1E+300",dFlt1,critFlt1,dFlt2,critFlt2,dFlt3,critFlt3))</f>
        <v/>
      </c>
      <c r="F99" t="str">
        <f>IF($B99="","",SUMIFS(dQty,dCust,$B99,dPer,"&gt;="&amp;cyFrom,dPer,"&lt;="&amp;cyTo,dQty,"&gt;-1E+300",dFlt1,critFlt1,dFlt2,critFlt2,dFlt3,critFlt3))</f>
        <v/>
      </c>
      <c r="G99">
        <f>IF($B99="",0,IFERROR(IF(OR(C99&lt;&gt;0,D99&lt;&gt;0,E99&lt;&gt;0,F99&lt;&gt;0),1,0),1))</f>
        <v>0</v>
      </c>
      <c r="H99" t="str">
        <f>IF(OR(G99=0,E99=0),"",C99/E99)</f>
        <v/>
      </c>
      <c r="I99" t="str">
        <f>IF(OR(G99=0,F99=0),"",D99/F99)</f>
        <v/>
      </c>
      <c r="J99" t="str">
        <f>IF(OR(H99="",I99=""),"",IF(H99=0,"",I99/H99-1))</f>
        <v/>
      </c>
      <c r="K99" t="str">
        <f>IF($B99="","",IFERROR(IF(G99=0,-2E+300,CHOOSE(sortIdx,ROUND(D99,0),IF(J99="",-1E+300,ROUND(-J99,6)),IF(J99="",-1E+300,ROUND(J99,6)))),-1.5E+300))</f>
        <v/>
      </c>
      <c r="L99" t="str">
        <f>IF(K99="","",RANK(K99,$K$2:$K$3001,0)+COUNTIF($K$2:K99,K99)-1)</f>
        <v/>
      </c>
    </row>
    <row r="100">
      <c r="B100" t="str">
        <f>IFERROR(IF(A100="","","="&amp;SUBSTITUTE(SUBSTITUTE(SUBSTITUTE(A100,"~","~~"),"*","~*"),"?","~?")),"")</f>
        <v/>
      </c>
      <c r="C100" t="str">
        <f>IF($B100="","",SUMIFS(dAmt,dCust,$B100,dPer,"&gt;="&amp;pyFrom,dPer,"&lt;="&amp;pyTo,dAmt,"&gt;-1E+300",dFlt1,critFlt1,dFlt2,critFlt2,dFlt3,critFlt3))</f>
        <v/>
      </c>
      <c r="D100" t="str">
        <f>IF($B100="","",SUMIFS(dAmt,dCust,$B100,dPer,"&gt;="&amp;cyFrom,dPer,"&lt;="&amp;cyTo,dAmt,"&gt;-1E+300",dFlt1,critFlt1,dFlt2,critFlt2,dFlt3,critFlt3))</f>
        <v/>
      </c>
      <c r="E100" t="str">
        <f>IF($B100="","",SUMIFS(dQty,dCust,$B100,dPer,"&gt;="&amp;pyFrom,dPer,"&lt;="&amp;pyTo,dQty,"&gt;-1E+300",dFlt1,critFlt1,dFlt2,critFlt2,dFlt3,critFlt3))</f>
        <v/>
      </c>
      <c r="F100" t="str">
        <f>IF($B100="","",SUMIFS(dQty,dCust,$B100,dPer,"&gt;="&amp;cyFrom,dPer,"&lt;="&amp;cyTo,dQty,"&gt;-1E+300",dFlt1,critFlt1,dFlt2,critFlt2,dFlt3,critFlt3))</f>
        <v/>
      </c>
      <c r="G100">
        <f>IF($B100="",0,IFERROR(IF(OR(C100&lt;&gt;0,D100&lt;&gt;0,E100&lt;&gt;0,F100&lt;&gt;0),1,0),1))</f>
        <v>0</v>
      </c>
      <c r="H100" t="str">
        <f>IF(OR(G100=0,E100=0),"",C100/E100)</f>
        <v/>
      </c>
      <c r="I100" t="str">
        <f>IF(OR(G100=0,F100=0),"",D100/F100)</f>
        <v/>
      </c>
      <c r="J100" t="str">
        <f>IF(OR(H100="",I100=""),"",IF(H100=0,"",I100/H100-1))</f>
        <v/>
      </c>
      <c r="K100" t="str">
        <f>IF($B100="","",IFERROR(IF(G100=0,-2E+300,CHOOSE(sortIdx,ROUND(D100,0),IF(J100="",-1E+300,ROUND(-J100,6)),IF(J100="",-1E+300,ROUND(J100,6)))),-1.5E+300))</f>
        <v/>
      </c>
      <c r="L100" t="str">
        <f>IF(K100="","",RANK(K100,$K$2:$K$3001,0)+COUNTIF($K$2:K100,K100)-1)</f>
        <v/>
      </c>
    </row>
    <row r="101">
      <c r="B101" t="str">
        <f>IFERROR(IF(A101="","","="&amp;SUBSTITUTE(SUBSTITUTE(SUBSTITUTE(A101,"~","~~"),"*","~*"),"?","~?")),"")</f>
        <v/>
      </c>
      <c r="C101" t="str">
        <f>IF($B101="","",SUMIFS(dAmt,dCust,$B101,dPer,"&gt;="&amp;pyFrom,dPer,"&lt;="&amp;pyTo,dAmt,"&gt;-1E+300",dFlt1,critFlt1,dFlt2,critFlt2,dFlt3,critFlt3))</f>
        <v/>
      </c>
      <c r="D101" t="str">
        <f>IF($B101="","",SUMIFS(dAmt,dCust,$B101,dPer,"&gt;="&amp;cyFrom,dPer,"&lt;="&amp;cyTo,dAmt,"&gt;-1E+300",dFlt1,critFlt1,dFlt2,critFlt2,dFlt3,critFlt3))</f>
        <v/>
      </c>
      <c r="E101" t="str">
        <f>IF($B101="","",SUMIFS(dQty,dCust,$B101,dPer,"&gt;="&amp;pyFrom,dPer,"&lt;="&amp;pyTo,dQty,"&gt;-1E+300",dFlt1,critFlt1,dFlt2,critFlt2,dFlt3,critFlt3))</f>
        <v/>
      </c>
      <c r="F101" t="str">
        <f>IF($B101="","",SUMIFS(dQty,dCust,$B101,dPer,"&gt;="&amp;cyFrom,dPer,"&lt;="&amp;cyTo,dQty,"&gt;-1E+300",dFlt1,critFlt1,dFlt2,critFlt2,dFlt3,critFlt3))</f>
        <v/>
      </c>
      <c r="G101">
        <f>IF($B101="",0,IFERROR(IF(OR(C101&lt;&gt;0,D101&lt;&gt;0,E101&lt;&gt;0,F101&lt;&gt;0),1,0),1))</f>
        <v>0</v>
      </c>
      <c r="H101" t="str">
        <f>IF(OR(G101=0,E101=0),"",C101/E101)</f>
        <v/>
      </c>
      <c r="I101" t="str">
        <f>IF(OR(G101=0,F101=0),"",D101/F101)</f>
        <v/>
      </c>
      <c r="J101" t="str">
        <f>IF(OR(H101="",I101=""),"",IF(H101=0,"",I101/H101-1))</f>
        <v/>
      </c>
      <c r="K101" t="str">
        <f>IF($B101="","",IFERROR(IF(G101=0,-2E+300,CHOOSE(sortIdx,ROUND(D101,0),IF(J101="",-1E+300,ROUND(-J101,6)),IF(J101="",-1E+300,ROUND(J101,6)))),-1.5E+300))</f>
        <v/>
      </c>
      <c r="L101" t="str">
        <f>IF(K101="","",RANK(K101,$K$2:$K$3001,0)+COUNTIF($K$2:K101,K101)-1)</f>
        <v/>
      </c>
    </row>
    <row r="102">
      <c r="B102" t="str">
        <f>IFERROR(IF(A102="","","="&amp;SUBSTITUTE(SUBSTITUTE(SUBSTITUTE(A102,"~","~~"),"*","~*"),"?","~?")),"")</f>
        <v/>
      </c>
      <c r="C102" t="str">
        <f>IF($B102="","",SUMIFS(dAmt,dCust,$B102,dPer,"&gt;="&amp;pyFrom,dPer,"&lt;="&amp;pyTo,dAmt,"&gt;-1E+300",dFlt1,critFlt1,dFlt2,critFlt2,dFlt3,critFlt3))</f>
        <v/>
      </c>
      <c r="D102" t="str">
        <f>IF($B102="","",SUMIFS(dAmt,dCust,$B102,dPer,"&gt;="&amp;cyFrom,dPer,"&lt;="&amp;cyTo,dAmt,"&gt;-1E+300",dFlt1,critFlt1,dFlt2,critFlt2,dFlt3,critFlt3))</f>
        <v/>
      </c>
      <c r="E102" t="str">
        <f>IF($B102="","",SUMIFS(dQty,dCust,$B102,dPer,"&gt;="&amp;pyFrom,dPer,"&lt;="&amp;pyTo,dQty,"&gt;-1E+300",dFlt1,critFlt1,dFlt2,critFlt2,dFlt3,critFlt3))</f>
        <v/>
      </c>
      <c r="F102" t="str">
        <f>IF($B102="","",SUMIFS(dQty,dCust,$B102,dPer,"&gt;="&amp;cyFrom,dPer,"&lt;="&amp;cyTo,dQty,"&gt;-1E+300",dFlt1,critFlt1,dFlt2,critFlt2,dFlt3,critFlt3))</f>
        <v/>
      </c>
      <c r="G102">
        <f>IF($B102="",0,IFERROR(IF(OR(C102&lt;&gt;0,D102&lt;&gt;0,E102&lt;&gt;0,F102&lt;&gt;0),1,0),1))</f>
        <v>0</v>
      </c>
      <c r="H102" t="str">
        <f>IF(OR(G102=0,E102=0),"",C102/E102)</f>
        <v/>
      </c>
      <c r="I102" t="str">
        <f>IF(OR(G102=0,F102=0),"",D102/F102)</f>
        <v/>
      </c>
      <c r="J102" t="str">
        <f>IF(OR(H102="",I102=""),"",IF(H102=0,"",I102/H102-1))</f>
        <v/>
      </c>
      <c r="K102" t="str">
        <f>IF($B102="","",IFERROR(IF(G102=0,-2E+300,CHOOSE(sortIdx,ROUND(D102,0),IF(J102="",-1E+300,ROUND(-J102,6)),IF(J102="",-1E+300,ROUND(J102,6)))),-1.5E+300))</f>
        <v/>
      </c>
      <c r="L102" t="str">
        <f>IF(K102="","",RANK(K102,$K$2:$K$3001,0)+COUNTIF($K$2:K102,K102)-1)</f>
        <v/>
      </c>
    </row>
    <row r="103">
      <c r="B103" t="str">
        <f>IFERROR(IF(A103="","","="&amp;SUBSTITUTE(SUBSTITUTE(SUBSTITUTE(A103,"~","~~"),"*","~*"),"?","~?")),"")</f>
        <v/>
      </c>
      <c r="C103" t="str">
        <f>IF($B103="","",SUMIFS(dAmt,dCust,$B103,dPer,"&gt;="&amp;pyFrom,dPer,"&lt;="&amp;pyTo,dAmt,"&gt;-1E+300",dFlt1,critFlt1,dFlt2,critFlt2,dFlt3,critFlt3))</f>
        <v/>
      </c>
      <c r="D103" t="str">
        <f>IF($B103="","",SUMIFS(dAmt,dCust,$B103,dPer,"&gt;="&amp;cyFrom,dPer,"&lt;="&amp;cyTo,dAmt,"&gt;-1E+300",dFlt1,critFlt1,dFlt2,critFlt2,dFlt3,critFlt3))</f>
        <v/>
      </c>
      <c r="E103" t="str">
        <f>IF($B103="","",SUMIFS(dQty,dCust,$B103,dPer,"&gt;="&amp;pyFrom,dPer,"&lt;="&amp;pyTo,dQty,"&gt;-1E+300",dFlt1,critFlt1,dFlt2,critFlt2,dFlt3,critFlt3))</f>
        <v/>
      </c>
      <c r="F103" t="str">
        <f>IF($B103="","",SUMIFS(dQty,dCust,$B103,dPer,"&gt;="&amp;cyFrom,dPer,"&lt;="&amp;cyTo,dQty,"&gt;-1E+300",dFlt1,critFlt1,dFlt2,critFlt2,dFlt3,critFlt3))</f>
        <v/>
      </c>
      <c r="G103">
        <f>IF($B103="",0,IFERROR(IF(OR(C103&lt;&gt;0,D103&lt;&gt;0,E103&lt;&gt;0,F103&lt;&gt;0),1,0),1))</f>
        <v>0</v>
      </c>
      <c r="H103" t="str">
        <f>IF(OR(G103=0,E103=0),"",C103/E103)</f>
        <v/>
      </c>
      <c r="I103" t="str">
        <f>IF(OR(G103=0,F103=0),"",D103/F103)</f>
        <v/>
      </c>
      <c r="J103" t="str">
        <f>IF(OR(H103="",I103=""),"",IF(H103=0,"",I103/H103-1))</f>
        <v/>
      </c>
      <c r="K103" t="str">
        <f>IF($B103="","",IFERROR(IF(G103=0,-2E+300,CHOOSE(sortIdx,ROUND(D103,0),IF(J103="",-1E+300,ROUND(-J103,6)),IF(J103="",-1E+300,ROUND(J103,6)))),-1.5E+300))</f>
        <v/>
      </c>
      <c r="L103" t="str">
        <f>IF(K103="","",RANK(K103,$K$2:$K$3001,0)+COUNTIF($K$2:K103,K103)-1)</f>
        <v/>
      </c>
    </row>
    <row r="104">
      <c r="B104" t="str">
        <f>IFERROR(IF(A104="","","="&amp;SUBSTITUTE(SUBSTITUTE(SUBSTITUTE(A104,"~","~~"),"*","~*"),"?","~?")),"")</f>
        <v/>
      </c>
      <c r="C104" t="str">
        <f>IF($B104="","",SUMIFS(dAmt,dCust,$B104,dPer,"&gt;="&amp;pyFrom,dPer,"&lt;="&amp;pyTo,dAmt,"&gt;-1E+300",dFlt1,critFlt1,dFlt2,critFlt2,dFlt3,critFlt3))</f>
        <v/>
      </c>
      <c r="D104" t="str">
        <f>IF($B104="","",SUMIFS(dAmt,dCust,$B104,dPer,"&gt;="&amp;cyFrom,dPer,"&lt;="&amp;cyTo,dAmt,"&gt;-1E+300",dFlt1,critFlt1,dFlt2,critFlt2,dFlt3,critFlt3))</f>
        <v/>
      </c>
      <c r="E104" t="str">
        <f>IF($B104="","",SUMIFS(dQty,dCust,$B104,dPer,"&gt;="&amp;pyFrom,dPer,"&lt;="&amp;pyTo,dQty,"&gt;-1E+300",dFlt1,critFlt1,dFlt2,critFlt2,dFlt3,critFlt3))</f>
        <v/>
      </c>
      <c r="F104" t="str">
        <f>IF($B104="","",SUMIFS(dQty,dCust,$B104,dPer,"&gt;="&amp;cyFrom,dPer,"&lt;="&amp;cyTo,dQty,"&gt;-1E+300",dFlt1,critFlt1,dFlt2,critFlt2,dFlt3,critFlt3))</f>
        <v/>
      </c>
      <c r="G104">
        <f>IF($B104="",0,IFERROR(IF(OR(C104&lt;&gt;0,D104&lt;&gt;0,E104&lt;&gt;0,F104&lt;&gt;0),1,0),1))</f>
        <v>0</v>
      </c>
      <c r="H104" t="str">
        <f>IF(OR(G104=0,E104=0),"",C104/E104)</f>
        <v/>
      </c>
      <c r="I104" t="str">
        <f>IF(OR(G104=0,F104=0),"",D104/F104)</f>
        <v/>
      </c>
      <c r="J104" t="str">
        <f>IF(OR(H104="",I104=""),"",IF(H104=0,"",I104/H104-1))</f>
        <v/>
      </c>
      <c r="K104" t="str">
        <f>IF($B104="","",IFERROR(IF(G104=0,-2E+300,CHOOSE(sortIdx,ROUND(D104,0),IF(J104="",-1E+300,ROUND(-J104,6)),IF(J104="",-1E+300,ROUND(J104,6)))),-1.5E+300))</f>
        <v/>
      </c>
      <c r="L104" t="str">
        <f>IF(K104="","",RANK(K104,$K$2:$K$3001,0)+COUNTIF($K$2:K104,K104)-1)</f>
        <v/>
      </c>
    </row>
    <row r="105">
      <c r="B105" t="str">
        <f>IFERROR(IF(A105="","","="&amp;SUBSTITUTE(SUBSTITUTE(SUBSTITUTE(A105,"~","~~"),"*","~*"),"?","~?")),"")</f>
        <v/>
      </c>
      <c r="C105" t="str">
        <f>IF($B105="","",SUMIFS(dAmt,dCust,$B105,dPer,"&gt;="&amp;pyFrom,dPer,"&lt;="&amp;pyTo,dAmt,"&gt;-1E+300",dFlt1,critFlt1,dFlt2,critFlt2,dFlt3,critFlt3))</f>
        <v/>
      </c>
      <c r="D105" t="str">
        <f>IF($B105="","",SUMIFS(dAmt,dCust,$B105,dPer,"&gt;="&amp;cyFrom,dPer,"&lt;="&amp;cyTo,dAmt,"&gt;-1E+300",dFlt1,critFlt1,dFlt2,critFlt2,dFlt3,critFlt3))</f>
        <v/>
      </c>
      <c r="E105" t="str">
        <f>IF($B105="","",SUMIFS(dQty,dCust,$B105,dPer,"&gt;="&amp;pyFrom,dPer,"&lt;="&amp;pyTo,dQty,"&gt;-1E+300",dFlt1,critFlt1,dFlt2,critFlt2,dFlt3,critFlt3))</f>
        <v/>
      </c>
      <c r="F105" t="str">
        <f>IF($B105="","",SUMIFS(dQty,dCust,$B105,dPer,"&gt;="&amp;cyFrom,dPer,"&lt;="&amp;cyTo,dQty,"&gt;-1E+300",dFlt1,critFlt1,dFlt2,critFlt2,dFlt3,critFlt3))</f>
        <v/>
      </c>
      <c r="G105">
        <f>IF($B105="",0,IFERROR(IF(OR(C105&lt;&gt;0,D105&lt;&gt;0,E105&lt;&gt;0,F105&lt;&gt;0),1,0),1))</f>
        <v>0</v>
      </c>
      <c r="H105" t="str">
        <f>IF(OR(G105=0,E105=0),"",C105/E105)</f>
        <v/>
      </c>
      <c r="I105" t="str">
        <f>IF(OR(G105=0,F105=0),"",D105/F105)</f>
        <v/>
      </c>
      <c r="J105" t="str">
        <f>IF(OR(H105="",I105=""),"",IF(H105=0,"",I105/H105-1))</f>
        <v/>
      </c>
      <c r="K105" t="str">
        <f>IF($B105="","",IFERROR(IF(G105=0,-2E+300,CHOOSE(sortIdx,ROUND(D105,0),IF(J105="",-1E+300,ROUND(-J105,6)),IF(J105="",-1E+300,ROUND(J105,6)))),-1.5E+300))</f>
        <v/>
      </c>
      <c r="L105" t="str">
        <f>IF(K105="","",RANK(K105,$K$2:$K$3001,0)+COUNTIF($K$2:K105,K105)-1)</f>
        <v/>
      </c>
    </row>
    <row r="106">
      <c r="B106" t="str">
        <f>IFERROR(IF(A106="","","="&amp;SUBSTITUTE(SUBSTITUTE(SUBSTITUTE(A106,"~","~~"),"*","~*"),"?","~?")),"")</f>
        <v/>
      </c>
      <c r="C106" t="str">
        <f>IF($B106="","",SUMIFS(dAmt,dCust,$B106,dPer,"&gt;="&amp;pyFrom,dPer,"&lt;="&amp;pyTo,dAmt,"&gt;-1E+300",dFlt1,critFlt1,dFlt2,critFlt2,dFlt3,critFlt3))</f>
        <v/>
      </c>
      <c r="D106" t="str">
        <f>IF($B106="","",SUMIFS(dAmt,dCust,$B106,dPer,"&gt;="&amp;cyFrom,dPer,"&lt;="&amp;cyTo,dAmt,"&gt;-1E+300",dFlt1,critFlt1,dFlt2,critFlt2,dFlt3,critFlt3))</f>
        <v/>
      </c>
      <c r="E106" t="str">
        <f>IF($B106="","",SUMIFS(dQty,dCust,$B106,dPer,"&gt;="&amp;pyFrom,dPer,"&lt;="&amp;pyTo,dQty,"&gt;-1E+300",dFlt1,critFlt1,dFlt2,critFlt2,dFlt3,critFlt3))</f>
        <v/>
      </c>
      <c r="F106" t="str">
        <f>IF($B106="","",SUMIFS(dQty,dCust,$B106,dPer,"&gt;="&amp;cyFrom,dPer,"&lt;="&amp;cyTo,dQty,"&gt;-1E+300",dFlt1,critFlt1,dFlt2,critFlt2,dFlt3,critFlt3))</f>
        <v/>
      </c>
      <c r="G106">
        <f>IF($B106="",0,IFERROR(IF(OR(C106&lt;&gt;0,D106&lt;&gt;0,E106&lt;&gt;0,F106&lt;&gt;0),1,0),1))</f>
        <v>0</v>
      </c>
      <c r="H106" t="str">
        <f>IF(OR(G106=0,E106=0),"",C106/E106)</f>
        <v/>
      </c>
      <c r="I106" t="str">
        <f>IF(OR(G106=0,F106=0),"",D106/F106)</f>
        <v/>
      </c>
      <c r="J106" t="str">
        <f>IF(OR(H106="",I106=""),"",IF(H106=0,"",I106/H106-1))</f>
        <v/>
      </c>
      <c r="K106" t="str">
        <f>IF($B106="","",IFERROR(IF(G106=0,-2E+300,CHOOSE(sortIdx,ROUND(D106,0),IF(J106="",-1E+300,ROUND(-J106,6)),IF(J106="",-1E+300,ROUND(J106,6)))),-1.5E+300))</f>
        <v/>
      </c>
      <c r="L106" t="str">
        <f>IF(K106="","",RANK(K106,$K$2:$K$3001,0)+COUNTIF($K$2:K106,K106)-1)</f>
        <v/>
      </c>
    </row>
    <row r="107">
      <c r="B107" t="str">
        <f>IFERROR(IF(A107="","","="&amp;SUBSTITUTE(SUBSTITUTE(SUBSTITUTE(A107,"~","~~"),"*","~*"),"?","~?")),"")</f>
        <v/>
      </c>
      <c r="C107" t="str">
        <f>IF($B107="","",SUMIFS(dAmt,dCust,$B107,dPer,"&gt;="&amp;pyFrom,dPer,"&lt;="&amp;pyTo,dAmt,"&gt;-1E+300",dFlt1,critFlt1,dFlt2,critFlt2,dFlt3,critFlt3))</f>
        <v/>
      </c>
      <c r="D107" t="str">
        <f>IF($B107="","",SUMIFS(dAmt,dCust,$B107,dPer,"&gt;="&amp;cyFrom,dPer,"&lt;="&amp;cyTo,dAmt,"&gt;-1E+300",dFlt1,critFlt1,dFlt2,critFlt2,dFlt3,critFlt3))</f>
        <v/>
      </c>
      <c r="E107" t="str">
        <f>IF($B107="","",SUMIFS(dQty,dCust,$B107,dPer,"&gt;="&amp;pyFrom,dPer,"&lt;="&amp;pyTo,dQty,"&gt;-1E+300",dFlt1,critFlt1,dFlt2,critFlt2,dFlt3,critFlt3))</f>
        <v/>
      </c>
      <c r="F107" t="str">
        <f>IF($B107="","",SUMIFS(dQty,dCust,$B107,dPer,"&gt;="&amp;cyFrom,dPer,"&lt;="&amp;cyTo,dQty,"&gt;-1E+300",dFlt1,critFlt1,dFlt2,critFlt2,dFlt3,critFlt3))</f>
        <v/>
      </c>
      <c r="G107">
        <f>IF($B107="",0,IFERROR(IF(OR(C107&lt;&gt;0,D107&lt;&gt;0,E107&lt;&gt;0,F107&lt;&gt;0),1,0),1))</f>
        <v>0</v>
      </c>
      <c r="H107" t="str">
        <f>IF(OR(G107=0,E107=0),"",C107/E107)</f>
        <v/>
      </c>
      <c r="I107" t="str">
        <f>IF(OR(G107=0,F107=0),"",D107/F107)</f>
        <v/>
      </c>
      <c r="J107" t="str">
        <f>IF(OR(H107="",I107=""),"",IF(H107=0,"",I107/H107-1))</f>
        <v/>
      </c>
      <c r="K107" t="str">
        <f>IF($B107="","",IFERROR(IF(G107=0,-2E+300,CHOOSE(sortIdx,ROUND(D107,0),IF(J107="",-1E+300,ROUND(-J107,6)),IF(J107="",-1E+300,ROUND(J107,6)))),-1.5E+300))</f>
        <v/>
      </c>
      <c r="L107" t="str">
        <f>IF(K107="","",RANK(K107,$K$2:$K$3001,0)+COUNTIF($K$2:K107,K107)-1)</f>
        <v/>
      </c>
    </row>
    <row r="108">
      <c r="B108" t="str">
        <f>IFERROR(IF(A108="","","="&amp;SUBSTITUTE(SUBSTITUTE(SUBSTITUTE(A108,"~","~~"),"*","~*"),"?","~?")),"")</f>
        <v/>
      </c>
      <c r="C108" t="str">
        <f>IF($B108="","",SUMIFS(dAmt,dCust,$B108,dPer,"&gt;="&amp;pyFrom,dPer,"&lt;="&amp;pyTo,dAmt,"&gt;-1E+300",dFlt1,critFlt1,dFlt2,critFlt2,dFlt3,critFlt3))</f>
        <v/>
      </c>
      <c r="D108" t="str">
        <f>IF($B108="","",SUMIFS(dAmt,dCust,$B108,dPer,"&gt;="&amp;cyFrom,dPer,"&lt;="&amp;cyTo,dAmt,"&gt;-1E+300",dFlt1,critFlt1,dFlt2,critFlt2,dFlt3,critFlt3))</f>
        <v/>
      </c>
      <c r="E108" t="str">
        <f>IF($B108="","",SUMIFS(dQty,dCust,$B108,dPer,"&gt;="&amp;pyFrom,dPer,"&lt;="&amp;pyTo,dQty,"&gt;-1E+300",dFlt1,critFlt1,dFlt2,critFlt2,dFlt3,critFlt3))</f>
        <v/>
      </c>
      <c r="F108" t="str">
        <f>IF($B108="","",SUMIFS(dQty,dCust,$B108,dPer,"&gt;="&amp;cyFrom,dPer,"&lt;="&amp;cyTo,dQty,"&gt;-1E+300",dFlt1,critFlt1,dFlt2,critFlt2,dFlt3,critFlt3))</f>
        <v/>
      </c>
      <c r="G108">
        <f>IF($B108="",0,IFERROR(IF(OR(C108&lt;&gt;0,D108&lt;&gt;0,E108&lt;&gt;0,F108&lt;&gt;0),1,0),1))</f>
        <v>0</v>
      </c>
      <c r="H108" t="str">
        <f>IF(OR(G108=0,E108=0),"",C108/E108)</f>
        <v/>
      </c>
      <c r="I108" t="str">
        <f>IF(OR(G108=0,F108=0),"",D108/F108)</f>
        <v/>
      </c>
      <c r="J108" t="str">
        <f>IF(OR(H108="",I108=""),"",IF(H108=0,"",I108/H108-1))</f>
        <v/>
      </c>
      <c r="K108" t="str">
        <f>IF($B108="","",IFERROR(IF(G108=0,-2E+300,CHOOSE(sortIdx,ROUND(D108,0),IF(J108="",-1E+300,ROUND(-J108,6)),IF(J108="",-1E+300,ROUND(J108,6)))),-1.5E+300))</f>
        <v/>
      </c>
      <c r="L108" t="str">
        <f>IF(K108="","",RANK(K108,$K$2:$K$3001,0)+COUNTIF($K$2:K108,K108)-1)</f>
        <v/>
      </c>
    </row>
    <row r="109">
      <c r="B109" t="str">
        <f>IFERROR(IF(A109="","","="&amp;SUBSTITUTE(SUBSTITUTE(SUBSTITUTE(A109,"~","~~"),"*","~*"),"?","~?")),"")</f>
        <v/>
      </c>
      <c r="C109" t="str">
        <f>IF($B109="","",SUMIFS(dAmt,dCust,$B109,dPer,"&gt;="&amp;pyFrom,dPer,"&lt;="&amp;pyTo,dAmt,"&gt;-1E+300",dFlt1,critFlt1,dFlt2,critFlt2,dFlt3,critFlt3))</f>
        <v/>
      </c>
      <c r="D109" t="str">
        <f>IF($B109="","",SUMIFS(dAmt,dCust,$B109,dPer,"&gt;="&amp;cyFrom,dPer,"&lt;="&amp;cyTo,dAmt,"&gt;-1E+300",dFlt1,critFlt1,dFlt2,critFlt2,dFlt3,critFlt3))</f>
        <v/>
      </c>
      <c r="E109" t="str">
        <f>IF($B109="","",SUMIFS(dQty,dCust,$B109,dPer,"&gt;="&amp;pyFrom,dPer,"&lt;="&amp;pyTo,dQty,"&gt;-1E+300",dFlt1,critFlt1,dFlt2,critFlt2,dFlt3,critFlt3))</f>
        <v/>
      </c>
      <c r="F109" t="str">
        <f>IF($B109="","",SUMIFS(dQty,dCust,$B109,dPer,"&gt;="&amp;cyFrom,dPer,"&lt;="&amp;cyTo,dQty,"&gt;-1E+300",dFlt1,critFlt1,dFlt2,critFlt2,dFlt3,critFlt3))</f>
        <v/>
      </c>
      <c r="G109">
        <f>IF($B109="",0,IFERROR(IF(OR(C109&lt;&gt;0,D109&lt;&gt;0,E109&lt;&gt;0,F109&lt;&gt;0),1,0),1))</f>
        <v>0</v>
      </c>
      <c r="H109" t="str">
        <f>IF(OR(G109=0,E109=0),"",C109/E109)</f>
        <v/>
      </c>
      <c r="I109" t="str">
        <f>IF(OR(G109=0,F109=0),"",D109/F109)</f>
        <v/>
      </c>
      <c r="J109" t="str">
        <f>IF(OR(H109="",I109=""),"",IF(H109=0,"",I109/H109-1))</f>
        <v/>
      </c>
      <c r="K109" t="str">
        <f>IF($B109="","",IFERROR(IF(G109=0,-2E+300,CHOOSE(sortIdx,ROUND(D109,0),IF(J109="",-1E+300,ROUND(-J109,6)),IF(J109="",-1E+300,ROUND(J109,6)))),-1.5E+300))</f>
        <v/>
      </c>
      <c r="L109" t="str">
        <f>IF(K109="","",RANK(K109,$K$2:$K$3001,0)+COUNTIF($K$2:K109,K109)-1)</f>
        <v/>
      </c>
    </row>
    <row r="110">
      <c r="B110" t="str">
        <f>IFERROR(IF(A110="","","="&amp;SUBSTITUTE(SUBSTITUTE(SUBSTITUTE(A110,"~","~~"),"*","~*"),"?","~?")),"")</f>
        <v/>
      </c>
      <c r="C110" t="str">
        <f>IF($B110="","",SUMIFS(dAmt,dCust,$B110,dPer,"&gt;="&amp;pyFrom,dPer,"&lt;="&amp;pyTo,dAmt,"&gt;-1E+300",dFlt1,critFlt1,dFlt2,critFlt2,dFlt3,critFlt3))</f>
        <v/>
      </c>
      <c r="D110" t="str">
        <f>IF($B110="","",SUMIFS(dAmt,dCust,$B110,dPer,"&gt;="&amp;cyFrom,dPer,"&lt;="&amp;cyTo,dAmt,"&gt;-1E+300",dFlt1,critFlt1,dFlt2,critFlt2,dFlt3,critFlt3))</f>
        <v/>
      </c>
      <c r="E110" t="str">
        <f>IF($B110="","",SUMIFS(dQty,dCust,$B110,dPer,"&gt;="&amp;pyFrom,dPer,"&lt;="&amp;pyTo,dQty,"&gt;-1E+300",dFlt1,critFlt1,dFlt2,critFlt2,dFlt3,critFlt3))</f>
        <v/>
      </c>
      <c r="F110" t="str">
        <f>IF($B110="","",SUMIFS(dQty,dCust,$B110,dPer,"&gt;="&amp;cyFrom,dPer,"&lt;="&amp;cyTo,dQty,"&gt;-1E+300",dFlt1,critFlt1,dFlt2,critFlt2,dFlt3,critFlt3))</f>
        <v/>
      </c>
      <c r="G110">
        <f>IF($B110="",0,IFERROR(IF(OR(C110&lt;&gt;0,D110&lt;&gt;0,E110&lt;&gt;0,F110&lt;&gt;0),1,0),1))</f>
        <v>0</v>
      </c>
      <c r="H110" t="str">
        <f>IF(OR(G110=0,E110=0),"",C110/E110)</f>
        <v/>
      </c>
      <c r="I110" t="str">
        <f>IF(OR(G110=0,F110=0),"",D110/F110)</f>
        <v/>
      </c>
      <c r="J110" t="str">
        <f>IF(OR(H110="",I110=""),"",IF(H110=0,"",I110/H110-1))</f>
        <v/>
      </c>
      <c r="K110" t="str">
        <f>IF($B110="","",IFERROR(IF(G110=0,-2E+300,CHOOSE(sortIdx,ROUND(D110,0),IF(J110="",-1E+300,ROUND(-J110,6)),IF(J110="",-1E+300,ROUND(J110,6)))),-1.5E+300))</f>
        <v/>
      </c>
      <c r="L110" t="str">
        <f>IF(K110="","",RANK(K110,$K$2:$K$3001,0)+COUNTIF($K$2:K110,K110)-1)</f>
        <v/>
      </c>
    </row>
    <row r="111">
      <c r="B111" t="str">
        <f>IFERROR(IF(A111="","","="&amp;SUBSTITUTE(SUBSTITUTE(SUBSTITUTE(A111,"~","~~"),"*","~*"),"?","~?")),"")</f>
        <v/>
      </c>
      <c r="C111" t="str">
        <f>IF($B111="","",SUMIFS(dAmt,dCust,$B111,dPer,"&gt;="&amp;pyFrom,dPer,"&lt;="&amp;pyTo,dAmt,"&gt;-1E+300",dFlt1,critFlt1,dFlt2,critFlt2,dFlt3,critFlt3))</f>
        <v/>
      </c>
      <c r="D111" t="str">
        <f>IF($B111="","",SUMIFS(dAmt,dCust,$B111,dPer,"&gt;="&amp;cyFrom,dPer,"&lt;="&amp;cyTo,dAmt,"&gt;-1E+300",dFlt1,critFlt1,dFlt2,critFlt2,dFlt3,critFlt3))</f>
        <v/>
      </c>
      <c r="E111" t="str">
        <f>IF($B111="","",SUMIFS(dQty,dCust,$B111,dPer,"&gt;="&amp;pyFrom,dPer,"&lt;="&amp;pyTo,dQty,"&gt;-1E+300",dFlt1,critFlt1,dFlt2,critFlt2,dFlt3,critFlt3))</f>
        <v/>
      </c>
      <c r="F111" t="str">
        <f>IF($B111="","",SUMIFS(dQty,dCust,$B111,dPer,"&gt;="&amp;cyFrom,dPer,"&lt;="&amp;cyTo,dQty,"&gt;-1E+300",dFlt1,critFlt1,dFlt2,critFlt2,dFlt3,critFlt3))</f>
        <v/>
      </c>
      <c r="G111">
        <f>IF($B111="",0,IFERROR(IF(OR(C111&lt;&gt;0,D111&lt;&gt;0,E111&lt;&gt;0,F111&lt;&gt;0),1,0),1))</f>
        <v>0</v>
      </c>
      <c r="H111" t="str">
        <f>IF(OR(G111=0,E111=0),"",C111/E111)</f>
        <v/>
      </c>
      <c r="I111" t="str">
        <f>IF(OR(G111=0,F111=0),"",D111/F111)</f>
        <v/>
      </c>
      <c r="J111" t="str">
        <f>IF(OR(H111="",I111=""),"",IF(H111=0,"",I111/H111-1))</f>
        <v/>
      </c>
      <c r="K111" t="str">
        <f>IF($B111="","",IFERROR(IF(G111=0,-2E+300,CHOOSE(sortIdx,ROUND(D111,0),IF(J111="",-1E+300,ROUND(-J111,6)),IF(J111="",-1E+300,ROUND(J111,6)))),-1.5E+300))</f>
        <v/>
      </c>
      <c r="L111" t="str">
        <f>IF(K111="","",RANK(K111,$K$2:$K$3001,0)+COUNTIF($K$2:K111,K111)-1)</f>
        <v/>
      </c>
    </row>
    <row r="112">
      <c r="B112" t="str">
        <f>IFERROR(IF(A112="","","="&amp;SUBSTITUTE(SUBSTITUTE(SUBSTITUTE(A112,"~","~~"),"*","~*"),"?","~?")),"")</f>
        <v/>
      </c>
      <c r="C112" t="str">
        <f>IF($B112="","",SUMIFS(dAmt,dCust,$B112,dPer,"&gt;="&amp;pyFrom,dPer,"&lt;="&amp;pyTo,dAmt,"&gt;-1E+300",dFlt1,critFlt1,dFlt2,critFlt2,dFlt3,critFlt3))</f>
        <v/>
      </c>
      <c r="D112" t="str">
        <f>IF($B112="","",SUMIFS(dAmt,dCust,$B112,dPer,"&gt;="&amp;cyFrom,dPer,"&lt;="&amp;cyTo,dAmt,"&gt;-1E+300",dFlt1,critFlt1,dFlt2,critFlt2,dFlt3,critFlt3))</f>
        <v/>
      </c>
      <c r="E112" t="str">
        <f>IF($B112="","",SUMIFS(dQty,dCust,$B112,dPer,"&gt;="&amp;pyFrom,dPer,"&lt;="&amp;pyTo,dQty,"&gt;-1E+300",dFlt1,critFlt1,dFlt2,critFlt2,dFlt3,critFlt3))</f>
        <v/>
      </c>
      <c r="F112" t="str">
        <f>IF($B112="","",SUMIFS(dQty,dCust,$B112,dPer,"&gt;="&amp;cyFrom,dPer,"&lt;="&amp;cyTo,dQty,"&gt;-1E+300",dFlt1,critFlt1,dFlt2,critFlt2,dFlt3,critFlt3))</f>
        <v/>
      </c>
      <c r="G112">
        <f>IF($B112="",0,IFERROR(IF(OR(C112&lt;&gt;0,D112&lt;&gt;0,E112&lt;&gt;0,F112&lt;&gt;0),1,0),1))</f>
        <v>0</v>
      </c>
      <c r="H112" t="str">
        <f>IF(OR(G112=0,E112=0),"",C112/E112)</f>
        <v/>
      </c>
      <c r="I112" t="str">
        <f>IF(OR(G112=0,F112=0),"",D112/F112)</f>
        <v/>
      </c>
      <c r="J112" t="str">
        <f>IF(OR(H112="",I112=""),"",IF(H112=0,"",I112/H112-1))</f>
        <v/>
      </c>
      <c r="K112" t="str">
        <f>IF($B112="","",IFERROR(IF(G112=0,-2E+300,CHOOSE(sortIdx,ROUND(D112,0),IF(J112="",-1E+300,ROUND(-J112,6)),IF(J112="",-1E+300,ROUND(J112,6)))),-1.5E+300))</f>
        <v/>
      </c>
      <c r="L112" t="str">
        <f>IF(K112="","",RANK(K112,$K$2:$K$3001,0)+COUNTIF($K$2:K112,K112)-1)</f>
        <v/>
      </c>
    </row>
    <row r="113">
      <c r="B113" t="str">
        <f>IFERROR(IF(A113="","","="&amp;SUBSTITUTE(SUBSTITUTE(SUBSTITUTE(A113,"~","~~"),"*","~*"),"?","~?")),"")</f>
        <v/>
      </c>
      <c r="C113" t="str">
        <f>IF($B113="","",SUMIFS(dAmt,dCust,$B113,dPer,"&gt;="&amp;pyFrom,dPer,"&lt;="&amp;pyTo,dAmt,"&gt;-1E+300",dFlt1,critFlt1,dFlt2,critFlt2,dFlt3,critFlt3))</f>
        <v/>
      </c>
      <c r="D113" t="str">
        <f>IF($B113="","",SUMIFS(dAmt,dCust,$B113,dPer,"&gt;="&amp;cyFrom,dPer,"&lt;="&amp;cyTo,dAmt,"&gt;-1E+300",dFlt1,critFlt1,dFlt2,critFlt2,dFlt3,critFlt3))</f>
        <v/>
      </c>
      <c r="E113" t="str">
        <f>IF($B113="","",SUMIFS(dQty,dCust,$B113,dPer,"&gt;="&amp;pyFrom,dPer,"&lt;="&amp;pyTo,dQty,"&gt;-1E+300",dFlt1,critFlt1,dFlt2,critFlt2,dFlt3,critFlt3))</f>
        <v/>
      </c>
      <c r="F113" t="str">
        <f>IF($B113="","",SUMIFS(dQty,dCust,$B113,dPer,"&gt;="&amp;cyFrom,dPer,"&lt;="&amp;cyTo,dQty,"&gt;-1E+300",dFlt1,critFlt1,dFlt2,critFlt2,dFlt3,critFlt3))</f>
        <v/>
      </c>
      <c r="G113">
        <f>IF($B113="",0,IFERROR(IF(OR(C113&lt;&gt;0,D113&lt;&gt;0,E113&lt;&gt;0,F113&lt;&gt;0),1,0),1))</f>
        <v>0</v>
      </c>
      <c r="H113" t="str">
        <f>IF(OR(G113=0,E113=0),"",C113/E113)</f>
        <v/>
      </c>
      <c r="I113" t="str">
        <f>IF(OR(G113=0,F113=0),"",D113/F113)</f>
        <v/>
      </c>
      <c r="J113" t="str">
        <f>IF(OR(H113="",I113=""),"",IF(H113=0,"",I113/H113-1))</f>
        <v/>
      </c>
      <c r="K113" t="str">
        <f>IF($B113="","",IFERROR(IF(G113=0,-2E+300,CHOOSE(sortIdx,ROUND(D113,0),IF(J113="",-1E+300,ROUND(-J113,6)),IF(J113="",-1E+300,ROUND(J113,6)))),-1.5E+300))</f>
        <v/>
      </c>
      <c r="L113" t="str">
        <f>IF(K113="","",RANK(K113,$K$2:$K$3001,0)+COUNTIF($K$2:K113,K113)-1)</f>
        <v/>
      </c>
    </row>
    <row r="114">
      <c r="B114" t="str">
        <f>IFERROR(IF(A114="","","="&amp;SUBSTITUTE(SUBSTITUTE(SUBSTITUTE(A114,"~","~~"),"*","~*"),"?","~?")),"")</f>
        <v/>
      </c>
      <c r="C114" t="str">
        <f>IF($B114="","",SUMIFS(dAmt,dCust,$B114,dPer,"&gt;="&amp;pyFrom,dPer,"&lt;="&amp;pyTo,dAmt,"&gt;-1E+300",dFlt1,critFlt1,dFlt2,critFlt2,dFlt3,critFlt3))</f>
        <v/>
      </c>
      <c r="D114" t="str">
        <f>IF($B114="","",SUMIFS(dAmt,dCust,$B114,dPer,"&gt;="&amp;cyFrom,dPer,"&lt;="&amp;cyTo,dAmt,"&gt;-1E+300",dFlt1,critFlt1,dFlt2,critFlt2,dFlt3,critFlt3))</f>
        <v/>
      </c>
      <c r="E114" t="str">
        <f>IF($B114="","",SUMIFS(dQty,dCust,$B114,dPer,"&gt;="&amp;pyFrom,dPer,"&lt;="&amp;pyTo,dQty,"&gt;-1E+300",dFlt1,critFlt1,dFlt2,critFlt2,dFlt3,critFlt3))</f>
        <v/>
      </c>
      <c r="F114" t="str">
        <f>IF($B114="","",SUMIFS(dQty,dCust,$B114,dPer,"&gt;="&amp;cyFrom,dPer,"&lt;="&amp;cyTo,dQty,"&gt;-1E+300",dFlt1,critFlt1,dFlt2,critFlt2,dFlt3,critFlt3))</f>
        <v/>
      </c>
      <c r="G114">
        <f>IF($B114="",0,IFERROR(IF(OR(C114&lt;&gt;0,D114&lt;&gt;0,E114&lt;&gt;0,F114&lt;&gt;0),1,0),1))</f>
        <v>0</v>
      </c>
      <c r="H114" t="str">
        <f>IF(OR(G114=0,E114=0),"",C114/E114)</f>
        <v/>
      </c>
      <c r="I114" t="str">
        <f>IF(OR(G114=0,F114=0),"",D114/F114)</f>
        <v/>
      </c>
      <c r="J114" t="str">
        <f>IF(OR(H114="",I114=""),"",IF(H114=0,"",I114/H114-1))</f>
        <v/>
      </c>
      <c r="K114" t="str">
        <f>IF($B114="","",IFERROR(IF(G114=0,-2E+300,CHOOSE(sortIdx,ROUND(D114,0),IF(J114="",-1E+300,ROUND(-J114,6)),IF(J114="",-1E+300,ROUND(J114,6)))),-1.5E+300))</f>
        <v/>
      </c>
      <c r="L114" t="str">
        <f>IF(K114="","",RANK(K114,$K$2:$K$3001,0)+COUNTIF($K$2:K114,K114)-1)</f>
        <v/>
      </c>
    </row>
    <row r="115">
      <c r="B115" t="str">
        <f>IFERROR(IF(A115="","","="&amp;SUBSTITUTE(SUBSTITUTE(SUBSTITUTE(A115,"~","~~"),"*","~*"),"?","~?")),"")</f>
        <v/>
      </c>
      <c r="C115" t="str">
        <f>IF($B115="","",SUMIFS(dAmt,dCust,$B115,dPer,"&gt;="&amp;pyFrom,dPer,"&lt;="&amp;pyTo,dAmt,"&gt;-1E+300",dFlt1,critFlt1,dFlt2,critFlt2,dFlt3,critFlt3))</f>
        <v/>
      </c>
      <c r="D115" t="str">
        <f>IF($B115="","",SUMIFS(dAmt,dCust,$B115,dPer,"&gt;="&amp;cyFrom,dPer,"&lt;="&amp;cyTo,dAmt,"&gt;-1E+300",dFlt1,critFlt1,dFlt2,critFlt2,dFlt3,critFlt3))</f>
        <v/>
      </c>
      <c r="E115" t="str">
        <f>IF($B115="","",SUMIFS(dQty,dCust,$B115,dPer,"&gt;="&amp;pyFrom,dPer,"&lt;="&amp;pyTo,dQty,"&gt;-1E+300",dFlt1,critFlt1,dFlt2,critFlt2,dFlt3,critFlt3))</f>
        <v/>
      </c>
      <c r="F115" t="str">
        <f>IF($B115="","",SUMIFS(dQty,dCust,$B115,dPer,"&gt;="&amp;cyFrom,dPer,"&lt;="&amp;cyTo,dQty,"&gt;-1E+300",dFlt1,critFlt1,dFlt2,critFlt2,dFlt3,critFlt3))</f>
        <v/>
      </c>
      <c r="G115">
        <f>IF($B115="",0,IFERROR(IF(OR(C115&lt;&gt;0,D115&lt;&gt;0,E115&lt;&gt;0,F115&lt;&gt;0),1,0),1))</f>
        <v>0</v>
      </c>
      <c r="H115" t="str">
        <f>IF(OR(G115=0,E115=0),"",C115/E115)</f>
        <v/>
      </c>
      <c r="I115" t="str">
        <f>IF(OR(G115=0,F115=0),"",D115/F115)</f>
        <v/>
      </c>
      <c r="J115" t="str">
        <f>IF(OR(H115="",I115=""),"",IF(H115=0,"",I115/H115-1))</f>
        <v/>
      </c>
      <c r="K115" t="str">
        <f>IF($B115="","",IFERROR(IF(G115=0,-2E+300,CHOOSE(sortIdx,ROUND(D115,0),IF(J115="",-1E+300,ROUND(-J115,6)),IF(J115="",-1E+300,ROUND(J115,6)))),-1.5E+300))</f>
        <v/>
      </c>
      <c r="L115" t="str">
        <f>IF(K115="","",RANK(K115,$K$2:$K$3001,0)+COUNTIF($K$2:K115,K115)-1)</f>
        <v/>
      </c>
    </row>
    <row r="116">
      <c r="B116" t="str">
        <f>IFERROR(IF(A116="","","="&amp;SUBSTITUTE(SUBSTITUTE(SUBSTITUTE(A116,"~","~~"),"*","~*"),"?","~?")),"")</f>
        <v/>
      </c>
      <c r="C116" t="str">
        <f>IF($B116="","",SUMIFS(dAmt,dCust,$B116,dPer,"&gt;="&amp;pyFrom,dPer,"&lt;="&amp;pyTo,dAmt,"&gt;-1E+300",dFlt1,critFlt1,dFlt2,critFlt2,dFlt3,critFlt3))</f>
        <v/>
      </c>
      <c r="D116" t="str">
        <f>IF($B116="","",SUMIFS(dAmt,dCust,$B116,dPer,"&gt;="&amp;cyFrom,dPer,"&lt;="&amp;cyTo,dAmt,"&gt;-1E+300",dFlt1,critFlt1,dFlt2,critFlt2,dFlt3,critFlt3))</f>
        <v/>
      </c>
      <c r="E116" t="str">
        <f>IF($B116="","",SUMIFS(dQty,dCust,$B116,dPer,"&gt;="&amp;pyFrom,dPer,"&lt;="&amp;pyTo,dQty,"&gt;-1E+300",dFlt1,critFlt1,dFlt2,critFlt2,dFlt3,critFlt3))</f>
        <v/>
      </c>
      <c r="F116" t="str">
        <f>IF($B116="","",SUMIFS(dQty,dCust,$B116,dPer,"&gt;="&amp;cyFrom,dPer,"&lt;="&amp;cyTo,dQty,"&gt;-1E+300",dFlt1,critFlt1,dFlt2,critFlt2,dFlt3,critFlt3))</f>
        <v/>
      </c>
      <c r="G116">
        <f>IF($B116="",0,IFERROR(IF(OR(C116&lt;&gt;0,D116&lt;&gt;0,E116&lt;&gt;0,F116&lt;&gt;0),1,0),1))</f>
        <v>0</v>
      </c>
      <c r="H116" t="str">
        <f>IF(OR(G116=0,E116=0),"",C116/E116)</f>
        <v/>
      </c>
      <c r="I116" t="str">
        <f>IF(OR(G116=0,F116=0),"",D116/F116)</f>
        <v/>
      </c>
      <c r="J116" t="str">
        <f>IF(OR(H116="",I116=""),"",IF(H116=0,"",I116/H116-1))</f>
        <v/>
      </c>
      <c r="K116" t="str">
        <f>IF($B116="","",IFERROR(IF(G116=0,-2E+300,CHOOSE(sortIdx,ROUND(D116,0),IF(J116="",-1E+300,ROUND(-J116,6)),IF(J116="",-1E+300,ROUND(J116,6)))),-1.5E+300))</f>
        <v/>
      </c>
      <c r="L116" t="str">
        <f>IF(K116="","",RANK(K116,$K$2:$K$3001,0)+COUNTIF($K$2:K116,K116)-1)</f>
        <v/>
      </c>
    </row>
    <row r="117">
      <c r="B117" t="str">
        <f>IFERROR(IF(A117="","","="&amp;SUBSTITUTE(SUBSTITUTE(SUBSTITUTE(A117,"~","~~"),"*","~*"),"?","~?")),"")</f>
        <v/>
      </c>
      <c r="C117" t="str">
        <f>IF($B117="","",SUMIFS(dAmt,dCust,$B117,dPer,"&gt;="&amp;pyFrom,dPer,"&lt;="&amp;pyTo,dAmt,"&gt;-1E+300",dFlt1,critFlt1,dFlt2,critFlt2,dFlt3,critFlt3))</f>
        <v/>
      </c>
      <c r="D117" t="str">
        <f>IF($B117="","",SUMIFS(dAmt,dCust,$B117,dPer,"&gt;="&amp;cyFrom,dPer,"&lt;="&amp;cyTo,dAmt,"&gt;-1E+300",dFlt1,critFlt1,dFlt2,critFlt2,dFlt3,critFlt3))</f>
        <v/>
      </c>
      <c r="E117" t="str">
        <f>IF($B117="","",SUMIFS(dQty,dCust,$B117,dPer,"&gt;="&amp;pyFrom,dPer,"&lt;="&amp;pyTo,dQty,"&gt;-1E+300",dFlt1,critFlt1,dFlt2,critFlt2,dFlt3,critFlt3))</f>
        <v/>
      </c>
      <c r="F117" t="str">
        <f>IF($B117="","",SUMIFS(dQty,dCust,$B117,dPer,"&gt;="&amp;cyFrom,dPer,"&lt;="&amp;cyTo,dQty,"&gt;-1E+300",dFlt1,critFlt1,dFlt2,critFlt2,dFlt3,critFlt3))</f>
        <v/>
      </c>
      <c r="G117">
        <f>IF($B117="",0,IFERROR(IF(OR(C117&lt;&gt;0,D117&lt;&gt;0,E117&lt;&gt;0,F117&lt;&gt;0),1,0),1))</f>
        <v>0</v>
      </c>
      <c r="H117" t="str">
        <f>IF(OR(G117=0,E117=0),"",C117/E117)</f>
        <v/>
      </c>
      <c r="I117" t="str">
        <f>IF(OR(G117=0,F117=0),"",D117/F117)</f>
        <v/>
      </c>
      <c r="J117" t="str">
        <f>IF(OR(H117="",I117=""),"",IF(H117=0,"",I117/H117-1))</f>
        <v/>
      </c>
      <c r="K117" t="str">
        <f>IF($B117="","",IFERROR(IF(G117=0,-2E+300,CHOOSE(sortIdx,ROUND(D117,0),IF(J117="",-1E+300,ROUND(-J117,6)),IF(J117="",-1E+300,ROUND(J117,6)))),-1.5E+300))</f>
        <v/>
      </c>
      <c r="L117" t="str">
        <f>IF(K117="","",RANK(K117,$K$2:$K$3001,0)+COUNTIF($K$2:K117,K117)-1)</f>
        <v/>
      </c>
    </row>
    <row r="118">
      <c r="B118" t="str">
        <f>IFERROR(IF(A118="","","="&amp;SUBSTITUTE(SUBSTITUTE(SUBSTITUTE(A118,"~","~~"),"*","~*"),"?","~?")),"")</f>
        <v/>
      </c>
      <c r="C118" t="str">
        <f>IF($B118="","",SUMIFS(dAmt,dCust,$B118,dPer,"&gt;="&amp;pyFrom,dPer,"&lt;="&amp;pyTo,dAmt,"&gt;-1E+300",dFlt1,critFlt1,dFlt2,critFlt2,dFlt3,critFlt3))</f>
        <v/>
      </c>
      <c r="D118" t="str">
        <f>IF($B118="","",SUMIFS(dAmt,dCust,$B118,dPer,"&gt;="&amp;cyFrom,dPer,"&lt;="&amp;cyTo,dAmt,"&gt;-1E+300",dFlt1,critFlt1,dFlt2,critFlt2,dFlt3,critFlt3))</f>
        <v/>
      </c>
      <c r="E118" t="str">
        <f>IF($B118="","",SUMIFS(dQty,dCust,$B118,dPer,"&gt;="&amp;pyFrom,dPer,"&lt;="&amp;pyTo,dQty,"&gt;-1E+300",dFlt1,critFlt1,dFlt2,critFlt2,dFlt3,critFlt3))</f>
        <v/>
      </c>
      <c r="F118" t="str">
        <f>IF($B118="","",SUMIFS(dQty,dCust,$B118,dPer,"&gt;="&amp;cyFrom,dPer,"&lt;="&amp;cyTo,dQty,"&gt;-1E+300",dFlt1,critFlt1,dFlt2,critFlt2,dFlt3,critFlt3))</f>
        <v/>
      </c>
      <c r="G118">
        <f>IF($B118="",0,IFERROR(IF(OR(C118&lt;&gt;0,D118&lt;&gt;0,E118&lt;&gt;0,F118&lt;&gt;0),1,0),1))</f>
        <v>0</v>
      </c>
      <c r="H118" t="str">
        <f>IF(OR(G118=0,E118=0),"",C118/E118)</f>
        <v/>
      </c>
      <c r="I118" t="str">
        <f>IF(OR(G118=0,F118=0),"",D118/F118)</f>
        <v/>
      </c>
      <c r="J118" t="str">
        <f>IF(OR(H118="",I118=""),"",IF(H118=0,"",I118/H118-1))</f>
        <v/>
      </c>
      <c r="K118" t="str">
        <f>IF($B118="","",IFERROR(IF(G118=0,-2E+300,CHOOSE(sortIdx,ROUND(D118,0),IF(J118="",-1E+300,ROUND(-J118,6)),IF(J118="",-1E+300,ROUND(J118,6)))),-1.5E+300))</f>
        <v/>
      </c>
      <c r="L118" t="str">
        <f>IF(K118="","",RANK(K118,$K$2:$K$3001,0)+COUNTIF($K$2:K118,K118)-1)</f>
        <v/>
      </c>
    </row>
    <row r="119">
      <c r="B119" t="str">
        <f>IFERROR(IF(A119="","","="&amp;SUBSTITUTE(SUBSTITUTE(SUBSTITUTE(A119,"~","~~"),"*","~*"),"?","~?")),"")</f>
        <v/>
      </c>
      <c r="C119" t="str">
        <f>IF($B119="","",SUMIFS(dAmt,dCust,$B119,dPer,"&gt;="&amp;pyFrom,dPer,"&lt;="&amp;pyTo,dAmt,"&gt;-1E+300",dFlt1,critFlt1,dFlt2,critFlt2,dFlt3,critFlt3))</f>
        <v/>
      </c>
      <c r="D119" t="str">
        <f>IF($B119="","",SUMIFS(dAmt,dCust,$B119,dPer,"&gt;="&amp;cyFrom,dPer,"&lt;="&amp;cyTo,dAmt,"&gt;-1E+300",dFlt1,critFlt1,dFlt2,critFlt2,dFlt3,critFlt3))</f>
        <v/>
      </c>
      <c r="E119" t="str">
        <f>IF($B119="","",SUMIFS(dQty,dCust,$B119,dPer,"&gt;="&amp;pyFrom,dPer,"&lt;="&amp;pyTo,dQty,"&gt;-1E+300",dFlt1,critFlt1,dFlt2,critFlt2,dFlt3,critFlt3))</f>
        <v/>
      </c>
      <c r="F119" t="str">
        <f>IF($B119="","",SUMIFS(dQty,dCust,$B119,dPer,"&gt;="&amp;cyFrom,dPer,"&lt;="&amp;cyTo,dQty,"&gt;-1E+300",dFlt1,critFlt1,dFlt2,critFlt2,dFlt3,critFlt3))</f>
        <v/>
      </c>
      <c r="G119">
        <f>IF($B119="",0,IFERROR(IF(OR(C119&lt;&gt;0,D119&lt;&gt;0,E119&lt;&gt;0,F119&lt;&gt;0),1,0),1))</f>
        <v>0</v>
      </c>
      <c r="H119" t="str">
        <f>IF(OR(G119=0,E119=0),"",C119/E119)</f>
        <v/>
      </c>
      <c r="I119" t="str">
        <f>IF(OR(G119=0,F119=0),"",D119/F119)</f>
        <v/>
      </c>
      <c r="J119" t="str">
        <f>IF(OR(H119="",I119=""),"",IF(H119=0,"",I119/H119-1))</f>
        <v/>
      </c>
      <c r="K119" t="str">
        <f>IF($B119="","",IFERROR(IF(G119=0,-2E+300,CHOOSE(sortIdx,ROUND(D119,0),IF(J119="",-1E+300,ROUND(-J119,6)),IF(J119="",-1E+300,ROUND(J119,6)))),-1.5E+300))</f>
        <v/>
      </c>
      <c r="L119" t="str">
        <f>IF(K119="","",RANK(K119,$K$2:$K$3001,0)+COUNTIF($K$2:K119,K119)-1)</f>
        <v/>
      </c>
    </row>
    <row r="120">
      <c r="B120" t="str">
        <f>IFERROR(IF(A120="","","="&amp;SUBSTITUTE(SUBSTITUTE(SUBSTITUTE(A120,"~","~~"),"*","~*"),"?","~?")),"")</f>
        <v/>
      </c>
      <c r="C120" t="str">
        <f>IF($B120="","",SUMIFS(dAmt,dCust,$B120,dPer,"&gt;="&amp;pyFrom,dPer,"&lt;="&amp;pyTo,dAmt,"&gt;-1E+300",dFlt1,critFlt1,dFlt2,critFlt2,dFlt3,critFlt3))</f>
        <v/>
      </c>
      <c r="D120" t="str">
        <f>IF($B120="","",SUMIFS(dAmt,dCust,$B120,dPer,"&gt;="&amp;cyFrom,dPer,"&lt;="&amp;cyTo,dAmt,"&gt;-1E+300",dFlt1,critFlt1,dFlt2,critFlt2,dFlt3,critFlt3))</f>
        <v/>
      </c>
      <c r="E120" t="str">
        <f>IF($B120="","",SUMIFS(dQty,dCust,$B120,dPer,"&gt;="&amp;pyFrom,dPer,"&lt;="&amp;pyTo,dQty,"&gt;-1E+300",dFlt1,critFlt1,dFlt2,critFlt2,dFlt3,critFlt3))</f>
        <v/>
      </c>
      <c r="F120" t="str">
        <f>IF($B120="","",SUMIFS(dQty,dCust,$B120,dPer,"&gt;="&amp;cyFrom,dPer,"&lt;="&amp;cyTo,dQty,"&gt;-1E+300",dFlt1,critFlt1,dFlt2,critFlt2,dFlt3,critFlt3))</f>
        <v/>
      </c>
      <c r="G120">
        <f>IF($B120="",0,IFERROR(IF(OR(C120&lt;&gt;0,D120&lt;&gt;0,E120&lt;&gt;0,F120&lt;&gt;0),1,0),1))</f>
        <v>0</v>
      </c>
      <c r="H120" t="str">
        <f>IF(OR(G120=0,E120=0),"",C120/E120)</f>
        <v/>
      </c>
      <c r="I120" t="str">
        <f>IF(OR(G120=0,F120=0),"",D120/F120)</f>
        <v/>
      </c>
      <c r="J120" t="str">
        <f>IF(OR(H120="",I120=""),"",IF(H120=0,"",I120/H120-1))</f>
        <v/>
      </c>
      <c r="K120" t="str">
        <f>IF($B120="","",IFERROR(IF(G120=0,-2E+300,CHOOSE(sortIdx,ROUND(D120,0),IF(J120="",-1E+300,ROUND(-J120,6)),IF(J120="",-1E+300,ROUND(J120,6)))),-1.5E+300))</f>
        <v/>
      </c>
      <c r="L120" t="str">
        <f>IF(K120="","",RANK(K120,$K$2:$K$3001,0)+COUNTIF($K$2:K120,K120)-1)</f>
        <v/>
      </c>
    </row>
    <row r="121">
      <c r="B121" t="str">
        <f>IFERROR(IF(A121="","","="&amp;SUBSTITUTE(SUBSTITUTE(SUBSTITUTE(A121,"~","~~"),"*","~*"),"?","~?")),"")</f>
        <v/>
      </c>
      <c r="C121" t="str">
        <f>IF($B121="","",SUMIFS(dAmt,dCust,$B121,dPer,"&gt;="&amp;pyFrom,dPer,"&lt;="&amp;pyTo,dAmt,"&gt;-1E+300",dFlt1,critFlt1,dFlt2,critFlt2,dFlt3,critFlt3))</f>
        <v/>
      </c>
      <c r="D121" t="str">
        <f>IF($B121="","",SUMIFS(dAmt,dCust,$B121,dPer,"&gt;="&amp;cyFrom,dPer,"&lt;="&amp;cyTo,dAmt,"&gt;-1E+300",dFlt1,critFlt1,dFlt2,critFlt2,dFlt3,critFlt3))</f>
        <v/>
      </c>
      <c r="E121" t="str">
        <f>IF($B121="","",SUMIFS(dQty,dCust,$B121,dPer,"&gt;="&amp;pyFrom,dPer,"&lt;="&amp;pyTo,dQty,"&gt;-1E+300",dFlt1,critFlt1,dFlt2,critFlt2,dFlt3,critFlt3))</f>
        <v/>
      </c>
      <c r="F121" t="str">
        <f>IF($B121="","",SUMIFS(dQty,dCust,$B121,dPer,"&gt;="&amp;cyFrom,dPer,"&lt;="&amp;cyTo,dQty,"&gt;-1E+300",dFlt1,critFlt1,dFlt2,critFlt2,dFlt3,critFlt3))</f>
        <v/>
      </c>
      <c r="G121">
        <f>IF($B121="",0,IFERROR(IF(OR(C121&lt;&gt;0,D121&lt;&gt;0,E121&lt;&gt;0,F121&lt;&gt;0),1,0),1))</f>
        <v>0</v>
      </c>
      <c r="H121" t="str">
        <f>IF(OR(G121=0,E121=0),"",C121/E121)</f>
        <v/>
      </c>
      <c r="I121" t="str">
        <f>IF(OR(G121=0,F121=0),"",D121/F121)</f>
        <v/>
      </c>
      <c r="J121" t="str">
        <f>IF(OR(H121="",I121=""),"",IF(H121=0,"",I121/H121-1))</f>
        <v/>
      </c>
      <c r="K121" t="str">
        <f>IF($B121="","",IFERROR(IF(G121=0,-2E+300,CHOOSE(sortIdx,ROUND(D121,0),IF(J121="",-1E+300,ROUND(-J121,6)),IF(J121="",-1E+300,ROUND(J121,6)))),-1.5E+300))</f>
        <v/>
      </c>
      <c r="L121" t="str">
        <f>IF(K121="","",RANK(K121,$K$2:$K$3001,0)+COUNTIF($K$2:K121,K121)-1)</f>
        <v/>
      </c>
    </row>
    <row r="122">
      <c r="B122" t="str">
        <f>IFERROR(IF(A122="","","="&amp;SUBSTITUTE(SUBSTITUTE(SUBSTITUTE(A122,"~","~~"),"*","~*"),"?","~?")),"")</f>
        <v/>
      </c>
      <c r="C122" t="str">
        <f>IF($B122="","",SUMIFS(dAmt,dCust,$B122,dPer,"&gt;="&amp;pyFrom,dPer,"&lt;="&amp;pyTo,dAmt,"&gt;-1E+300",dFlt1,critFlt1,dFlt2,critFlt2,dFlt3,critFlt3))</f>
        <v/>
      </c>
      <c r="D122" t="str">
        <f>IF($B122="","",SUMIFS(dAmt,dCust,$B122,dPer,"&gt;="&amp;cyFrom,dPer,"&lt;="&amp;cyTo,dAmt,"&gt;-1E+300",dFlt1,critFlt1,dFlt2,critFlt2,dFlt3,critFlt3))</f>
        <v/>
      </c>
      <c r="E122" t="str">
        <f>IF($B122="","",SUMIFS(dQty,dCust,$B122,dPer,"&gt;="&amp;pyFrom,dPer,"&lt;="&amp;pyTo,dQty,"&gt;-1E+300",dFlt1,critFlt1,dFlt2,critFlt2,dFlt3,critFlt3))</f>
        <v/>
      </c>
      <c r="F122" t="str">
        <f>IF($B122="","",SUMIFS(dQty,dCust,$B122,dPer,"&gt;="&amp;cyFrom,dPer,"&lt;="&amp;cyTo,dQty,"&gt;-1E+300",dFlt1,critFlt1,dFlt2,critFlt2,dFlt3,critFlt3))</f>
        <v/>
      </c>
      <c r="G122">
        <f>IF($B122="",0,IFERROR(IF(OR(C122&lt;&gt;0,D122&lt;&gt;0,E122&lt;&gt;0,F122&lt;&gt;0),1,0),1))</f>
        <v>0</v>
      </c>
      <c r="H122" t="str">
        <f>IF(OR(G122=0,E122=0),"",C122/E122)</f>
        <v/>
      </c>
      <c r="I122" t="str">
        <f>IF(OR(G122=0,F122=0),"",D122/F122)</f>
        <v/>
      </c>
      <c r="J122" t="str">
        <f>IF(OR(H122="",I122=""),"",IF(H122=0,"",I122/H122-1))</f>
        <v/>
      </c>
      <c r="K122" t="str">
        <f>IF($B122="","",IFERROR(IF(G122=0,-2E+300,CHOOSE(sortIdx,ROUND(D122,0),IF(J122="",-1E+300,ROUND(-J122,6)),IF(J122="",-1E+300,ROUND(J122,6)))),-1.5E+300))</f>
        <v/>
      </c>
      <c r="L122" t="str">
        <f>IF(K122="","",RANK(K122,$K$2:$K$3001,0)+COUNTIF($K$2:K122,K122)-1)</f>
        <v/>
      </c>
    </row>
    <row r="123">
      <c r="B123" t="str">
        <f>IFERROR(IF(A123="","","="&amp;SUBSTITUTE(SUBSTITUTE(SUBSTITUTE(A123,"~","~~"),"*","~*"),"?","~?")),"")</f>
        <v/>
      </c>
      <c r="C123" t="str">
        <f>IF($B123="","",SUMIFS(dAmt,dCust,$B123,dPer,"&gt;="&amp;pyFrom,dPer,"&lt;="&amp;pyTo,dAmt,"&gt;-1E+300",dFlt1,critFlt1,dFlt2,critFlt2,dFlt3,critFlt3))</f>
        <v/>
      </c>
      <c r="D123" t="str">
        <f>IF($B123="","",SUMIFS(dAmt,dCust,$B123,dPer,"&gt;="&amp;cyFrom,dPer,"&lt;="&amp;cyTo,dAmt,"&gt;-1E+300",dFlt1,critFlt1,dFlt2,critFlt2,dFlt3,critFlt3))</f>
        <v/>
      </c>
      <c r="E123" t="str">
        <f>IF($B123="","",SUMIFS(dQty,dCust,$B123,dPer,"&gt;="&amp;pyFrom,dPer,"&lt;="&amp;pyTo,dQty,"&gt;-1E+300",dFlt1,critFlt1,dFlt2,critFlt2,dFlt3,critFlt3))</f>
        <v/>
      </c>
      <c r="F123" t="str">
        <f>IF($B123="","",SUMIFS(dQty,dCust,$B123,dPer,"&gt;="&amp;cyFrom,dPer,"&lt;="&amp;cyTo,dQty,"&gt;-1E+300",dFlt1,critFlt1,dFlt2,critFlt2,dFlt3,critFlt3))</f>
        <v/>
      </c>
      <c r="G123">
        <f>IF($B123="",0,IFERROR(IF(OR(C123&lt;&gt;0,D123&lt;&gt;0,E123&lt;&gt;0,F123&lt;&gt;0),1,0),1))</f>
        <v>0</v>
      </c>
      <c r="H123" t="str">
        <f>IF(OR(G123=0,E123=0),"",C123/E123)</f>
        <v/>
      </c>
      <c r="I123" t="str">
        <f>IF(OR(G123=0,F123=0),"",D123/F123)</f>
        <v/>
      </c>
      <c r="J123" t="str">
        <f>IF(OR(H123="",I123=""),"",IF(H123=0,"",I123/H123-1))</f>
        <v/>
      </c>
      <c r="K123" t="str">
        <f>IF($B123="","",IFERROR(IF(G123=0,-2E+300,CHOOSE(sortIdx,ROUND(D123,0),IF(J123="",-1E+300,ROUND(-J123,6)),IF(J123="",-1E+300,ROUND(J123,6)))),-1.5E+300))</f>
        <v/>
      </c>
      <c r="L123" t="str">
        <f>IF(K123="","",RANK(K123,$K$2:$K$3001,0)+COUNTIF($K$2:K123,K123)-1)</f>
        <v/>
      </c>
    </row>
    <row r="124">
      <c r="B124" t="str">
        <f>IFERROR(IF(A124="","","="&amp;SUBSTITUTE(SUBSTITUTE(SUBSTITUTE(A124,"~","~~"),"*","~*"),"?","~?")),"")</f>
        <v/>
      </c>
      <c r="C124" t="str">
        <f>IF($B124="","",SUMIFS(dAmt,dCust,$B124,dPer,"&gt;="&amp;pyFrom,dPer,"&lt;="&amp;pyTo,dAmt,"&gt;-1E+300",dFlt1,critFlt1,dFlt2,critFlt2,dFlt3,critFlt3))</f>
        <v/>
      </c>
      <c r="D124" t="str">
        <f>IF($B124="","",SUMIFS(dAmt,dCust,$B124,dPer,"&gt;="&amp;cyFrom,dPer,"&lt;="&amp;cyTo,dAmt,"&gt;-1E+300",dFlt1,critFlt1,dFlt2,critFlt2,dFlt3,critFlt3))</f>
        <v/>
      </c>
      <c r="E124" t="str">
        <f>IF($B124="","",SUMIFS(dQty,dCust,$B124,dPer,"&gt;="&amp;pyFrom,dPer,"&lt;="&amp;pyTo,dQty,"&gt;-1E+300",dFlt1,critFlt1,dFlt2,critFlt2,dFlt3,critFlt3))</f>
        <v/>
      </c>
      <c r="F124" t="str">
        <f>IF($B124="","",SUMIFS(dQty,dCust,$B124,dPer,"&gt;="&amp;cyFrom,dPer,"&lt;="&amp;cyTo,dQty,"&gt;-1E+300",dFlt1,critFlt1,dFlt2,critFlt2,dFlt3,critFlt3))</f>
        <v/>
      </c>
      <c r="G124">
        <f>IF($B124="",0,IFERROR(IF(OR(C124&lt;&gt;0,D124&lt;&gt;0,E124&lt;&gt;0,F124&lt;&gt;0),1,0),1))</f>
        <v>0</v>
      </c>
      <c r="H124" t="str">
        <f>IF(OR(G124=0,E124=0),"",C124/E124)</f>
        <v/>
      </c>
      <c r="I124" t="str">
        <f>IF(OR(G124=0,F124=0),"",D124/F124)</f>
        <v/>
      </c>
      <c r="J124" t="str">
        <f>IF(OR(H124="",I124=""),"",IF(H124=0,"",I124/H124-1))</f>
        <v/>
      </c>
      <c r="K124" t="str">
        <f>IF($B124="","",IFERROR(IF(G124=0,-2E+300,CHOOSE(sortIdx,ROUND(D124,0),IF(J124="",-1E+300,ROUND(-J124,6)),IF(J124="",-1E+300,ROUND(J124,6)))),-1.5E+300))</f>
        <v/>
      </c>
      <c r="L124" t="str">
        <f>IF(K124="","",RANK(K124,$K$2:$K$3001,0)+COUNTIF($K$2:K124,K124)-1)</f>
        <v/>
      </c>
    </row>
    <row r="125">
      <c r="B125" t="str">
        <f>IFERROR(IF(A125="","","="&amp;SUBSTITUTE(SUBSTITUTE(SUBSTITUTE(A125,"~","~~"),"*","~*"),"?","~?")),"")</f>
        <v/>
      </c>
      <c r="C125" t="str">
        <f>IF($B125="","",SUMIFS(dAmt,dCust,$B125,dPer,"&gt;="&amp;pyFrom,dPer,"&lt;="&amp;pyTo,dAmt,"&gt;-1E+300",dFlt1,critFlt1,dFlt2,critFlt2,dFlt3,critFlt3))</f>
        <v/>
      </c>
      <c r="D125" t="str">
        <f>IF($B125="","",SUMIFS(dAmt,dCust,$B125,dPer,"&gt;="&amp;cyFrom,dPer,"&lt;="&amp;cyTo,dAmt,"&gt;-1E+300",dFlt1,critFlt1,dFlt2,critFlt2,dFlt3,critFlt3))</f>
        <v/>
      </c>
      <c r="E125" t="str">
        <f>IF($B125="","",SUMIFS(dQty,dCust,$B125,dPer,"&gt;="&amp;pyFrom,dPer,"&lt;="&amp;pyTo,dQty,"&gt;-1E+300",dFlt1,critFlt1,dFlt2,critFlt2,dFlt3,critFlt3))</f>
        <v/>
      </c>
      <c r="F125" t="str">
        <f>IF($B125="","",SUMIFS(dQty,dCust,$B125,dPer,"&gt;="&amp;cyFrom,dPer,"&lt;="&amp;cyTo,dQty,"&gt;-1E+300",dFlt1,critFlt1,dFlt2,critFlt2,dFlt3,critFlt3))</f>
        <v/>
      </c>
      <c r="G125">
        <f>IF($B125="",0,IFERROR(IF(OR(C125&lt;&gt;0,D125&lt;&gt;0,E125&lt;&gt;0,F125&lt;&gt;0),1,0),1))</f>
        <v>0</v>
      </c>
      <c r="H125" t="str">
        <f>IF(OR(G125=0,E125=0),"",C125/E125)</f>
        <v/>
      </c>
      <c r="I125" t="str">
        <f>IF(OR(G125=0,F125=0),"",D125/F125)</f>
        <v/>
      </c>
      <c r="J125" t="str">
        <f>IF(OR(H125="",I125=""),"",IF(H125=0,"",I125/H125-1))</f>
        <v/>
      </c>
      <c r="K125" t="str">
        <f>IF($B125="","",IFERROR(IF(G125=0,-2E+300,CHOOSE(sortIdx,ROUND(D125,0),IF(J125="",-1E+300,ROUND(-J125,6)),IF(J125="",-1E+300,ROUND(J125,6)))),-1.5E+300))</f>
        <v/>
      </c>
      <c r="L125" t="str">
        <f>IF(K125="","",RANK(K125,$K$2:$K$3001,0)+COUNTIF($K$2:K125,K125)-1)</f>
        <v/>
      </c>
    </row>
    <row r="126">
      <c r="B126" t="str">
        <f>IFERROR(IF(A126="","","="&amp;SUBSTITUTE(SUBSTITUTE(SUBSTITUTE(A126,"~","~~"),"*","~*"),"?","~?")),"")</f>
        <v/>
      </c>
      <c r="C126" t="str">
        <f>IF($B126="","",SUMIFS(dAmt,dCust,$B126,dPer,"&gt;="&amp;pyFrom,dPer,"&lt;="&amp;pyTo,dAmt,"&gt;-1E+300",dFlt1,critFlt1,dFlt2,critFlt2,dFlt3,critFlt3))</f>
        <v/>
      </c>
      <c r="D126" t="str">
        <f>IF($B126="","",SUMIFS(dAmt,dCust,$B126,dPer,"&gt;="&amp;cyFrom,dPer,"&lt;="&amp;cyTo,dAmt,"&gt;-1E+300",dFlt1,critFlt1,dFlt2,critFlt2,dFlt3,critFlt3))</f>
        <v/>
      </c>
      <c r="E126" t="str">
        <f>IF($B126="","",SUMIFS(dQty,dCust,$B126,dPer,"&gt;="&amp;pyFrom,dPer,"&lt;="&amp;pyTo,dQty,"&gt;-1E+300",dFlt1,critFlt1,dFlt2,critFlt2,dFlt3,critFlt3))</f>
        <v/>
      </c>
      <c r="F126" t="str">
        <f>IF($B126="","",SUMIFS(dQty,dCust,$B126,dPer,"&gt;="&amp;cyFrom,dPer,"&lt;="&amp;cyTo,dQty,"&gt;-1E+300",dFlt1,critFlt1,dFlt2,critFlt2,dFlt3,critFlt3))</f>
        <v/>
      </c>
      <c r="G126">
        <f>IF($B126="",0,IFERROR(IF(OR(C126&lt;&gt;0,D126&lt;&gt;0,E126&lt;&gt;0,F126&lt;&gt;0),1,0),1))</f>
        <v>0</v>
      </c>
      <c r="H126" t="str">
        <f>IF(OR(G126=0,E126=0),"",C126/E126)</f>
        <v/>
      </c>
      <c r="I126" t="str">
        <f>IF(OR(G126=0,F126=0),"",D126/F126)</f>
        <v/>
      </c>
      <c r="J126" t="str">
        <f>IF(OR(H126="",I126=""),"",IF(H126=0,"",I126/H126-1))</f>
        <v/>
      </c>
      <c r="K126" t="str">
        <f>IF($B126="","",IFERROR(IF(G126=0,-2E+300,CHOOSE(sortIdx,ROUND(D126,0),IF(J126="",-1E+300,ROUND(-J126,6)),IF(J126="",-1E+300,ROUND(J126,6)))),-1.5E+300))</f>
        <v/>
      </c>
      <c r="L126" t="str">
        <f>IF(K126="","",RANK(K126,$K$2:$K$3001,0)+COUNTIF($K$2:K126,K126)-1)</f>
        <v/>
      </c>
    </row>
    <row r="127">
      <c r="B127" t="str">
        <f>IFERROR(IF(A127="","","="&amp;SUBSTITUTE(SUBSTITUTE(SUBSTITUTE(A127,"~","~~"),"*","~*"),"?","~?")),"")</f>
        <v/>
      </c>
      <c r="C127" t="str">
        <f>IF($B127="","",SUMIFS(dAmt,dCust,$B127,dPer,"&gt;="&amp;pyFrom,dPer,"&lt;="&amp;pyTo,dAmt,"&gt;-1E+300",dFlt1,critFlt1,dFlt2,critFlt2,dFlt3,critFlt3))</f>
        <v/>
      </c>
      <c r="D127" t="str">
        <f>IF($B127="","",SUMIFS(dAmt,dCust,$B127,dPer,"&gt;="&amp;cyFrom,dPer,"&lt;="&amp;cyTo,dAmt,"&gt;-1E+300",dFlt1,critFlt1,dFlt2,critFlt2,dFlt3,critFlt3))</f>
        <v/>
      </c>
      <c r="E127" t="str">
        <f>IF($B127="","",SUMIFS(dQty,dCust,$B127,dPer,"&gt;="&amp;pyFrom,dPer,"&lt;="&amp;pyTo,dQty,"&gt;-1E+300",dFlt1,critFlt1,dFlt2,critFlt2,dFlt3,critFlt3))</f>
        <v/>
      </c>
      <c r="F127" t="str">
        <f>IF($B127="","",SUMIFS(dQty,dCust,$B127,dPer,"&gt;="&amp;cyFrom,dPer,"&lt;="&amp;cyTo,dQty,"&gt;-1E+300",dFlt1,critFlt1,dFlt2,critFlt2,dFlt3,critFlt3))</f>
        <v/>
      </c>
      <c r="G127">
        <f>IF($B127="",0,IFERROR(IF(OR(C127&lt;&gt;0,D127&lt;&gt;0,E127&lt;&gt;0,F127&lt;&gt;0),1,0),1))</f>
        <v>0</v>
      </c>
      <c r="H127" t="str">
        <f>IF(OR(G127=0,E127=0),"",C127/E127)</f>
        <v/>
      </c>
      <c r="I127" t="str">
        <f>IF(OR(G127=0,F127=0),"",D127/F127)</f>
        <v/>
      </c>
      <c r="J127" t="str">
        <f>IF(OR(H127="",I127=""),"",IF(H127=0,"",I127/H127-1))</f>
        <v/>
      </c>
      <c r="K127" t="str">
        <f>IF($B127="","",IFERROR(IF(G127=0,-2E+300,CHOOSE(sortIdx,ROUND(D127,0),IF(J127="",-1E+300,ROUND(-J127,6)),IF(J127="",-1E+300,ROUND(J127,6)))),-1.5E+300))</f>
        <v/>
      </c>
      <c r="L127" t="str">
        <f>IF(K127="","",RANK(K127,$K$2:$K$3001,0)+COUNTIF($K$2:K127,K127)-1)</f>
        <v/>
      </c>
    </row>
    <row r="128">
      <c r="B128" t="str">
        <f>IFERROR(IF(A128="","","="&amp;SUBSTITUTE(SUBSTITUTE(SUBSTITUTE(A128,"~","~~"),"*","~*"),"?","~?")),"")</f>
        <v/>
      </c>
      <c r="C128" t="str">
        <f>IF($B128="","",SUMIFS(dAmt,dCust,$B128,dPer,"&gt;="&amp;pyFrom,dPer,"&lt;="&amp;pyTo,dAmt,"&gt;-1E+300",dFlt1,critFlt1,dFlt2,critFlt2,dFlt3,critFlt3))</f>
        <v/>
      </c>
      <c r="D128" t="str">
        <f>IF($B128="","",SUMIFS(dAmt,dCust,$B128,dPer,"&gt;="&amp;cyFrom,dPer,"&lt;="&amp;cyTo,dAmt,"&gt;-1E+300",dFlt1,critFlt1,dFlt2,critFlt2,dFlt3,critFlt3))</f>
        <v/>
      </c>
      <c r="E128" t="str">
        <f>IF($B128="","",SUMIFS(dQty,dCust,$B128,dPer,"&gt;="&amp;pyFrom,dPer,"&lt;="&amp;pyTo,dQty,"&gt;-1E+300",dFlt1,critFlt1,dFlt2,critFlt2,dFlt3,critFlt3))</f>
        <v/>
      </c>
      <c r="F128" t="str">
        <f>IF($B128="","",SUMIFS(dQty,dCust,$B128,dPer,"&gt;="&amp;cyFrom,dPer,"&lt;="&amp;cyTo,dQty,"&gt;-1E+300",dFlt1,critFlt1,dFlt2,critFlt2,dFlt3,critFlt3))</f>
        <v/>
      </c>
      <c r="G128">
        <f>IF($B128="",0,IFERROR(IF(OR(C128&lt;&gt;0,D128&lt;&gt;0,E128&lt;&gt;0,F128&lt;&gt;0),1,0),1))</f>
        <v>0</v>
      </c>
      <c r="H128" t="str">
        <f>IF(OR(G128=0,E128=0),"",C128/E128)</f>
        <v/>
      </c>
      <c r="I128" t="str">
        <f>IF(OR(G128=0,F128=0),"",D128/F128)</f>
        <v/>
      </c>
      <c r="J128" t="str">
        <f>IF(OR(H128="",I128=""),"",IF(H128=0,"",I128/H128-1))</f>
        <v/>
      </c>
      <c r="K128" t="str">
        <f>IF($B128="","",IFERROR(IF(G128=0,-2E+300,CHOOSE(sortIdx,ROUND(D128,0),IF(J128="",-1E+300,ROUND(-J128,6)),IF(J128="",-1E+300,ROUND(J128,6)))),-1.5E+300))</f>
        <v/>
      </c>
      <c r="L128" t="str">
        <f>IF(K128="","",RANK(K128,$K$2:$K$3001,0)+COUNTIF($K$2:K128,K128)-1)</f>
        <v/>
      </c>
    </row>
    <row r="129">
      <c r="B129" t="str">
        <f>IFERROR(IF(A129="","","="&amp;SUBSTITUTE(SUBSTITUTE(SUBSTITUTE(A129,"~","~~"),"*","~*"),"?","~?")),"")</f>
        <v/>
      </c>
      <c r="C129" t="str">
        <f>IF($B129="","",SUMIFS(dAmt,dCust,$B129,dPer,"&gt;="&amp;pyFrom,dPer,"&lt;="&amp;pyTo,dAmt,"&gt;-1E+300",dFlt1,critFlt1,dFlt2,critFlt2,dFlt3,critFlt3))</f>
        <v/>
      </c>
      <c r="D129" t="str">
        <f>IF($B129="","",SUMIFS(dAmt,dCust,$B129,dPer,"&gt;="&amp;cyFrom,dPer,"&lt;="&amp;cyTo,dAmt,"&gt;-1E+300",dFlt1,critFlt1,dFlt2,critFlt2,dFlt3,critFlt3))</f>
        <v/>
      </c>
      <c r="E129" t="str">
        <f>IF($B129="","",SUMIFS(dQty,dCust,$B129,dPer,"&gt;="&amp;pyFrom,dPer,"&lt;="&amp;pyTo,dQty,"&gt;-1E+300",dFlt1,critFlt1,dFlt2,critFlt2,dFlt3,critFlt3))</f>
        <v/>
      </c>
      <c r="F129" t="str">
        <f>IF($B129="","",SUMIFS(dQty,dCust,$B129,dPer,"&gt;="&amp;cyFrom,dPer,"&lt;="&amp;cyTo,dQty,"&gt;-1E+300",dFlt1,critFlt1,dFlt2,critFlt2,dFlt3,critFlt3))</f>
        <v/>
      </c>
      <c r="G129">
        <f>IF($B129="",0,IFERROR(IF(OR(C129&lt;&gt;0,D129&lt;&gt;0,E129&lt;&gt;0,F129&lt;&gt;0),1,0),1))</f>
        <v>0</v>
      </c>
      <c r="H129" t="str">
        <f>IF(OR(G129=0,E129=0),"",C129/E129)</f>
        <v/>
      </c>
      <c r="I129" t="str">
        <f>IF(OR(G129=0,F129=0),"",D129/F129)</f>
        <v/>
      </c>
      <c r="J129" t="str">
        <f>IF(OR(H129="",I129=""),"",IF(H129=0,"",I129/H129-1))</f>
        <v/>
      </c>
      <c r="K129" t="str">
        <f>IF($B129="","",IFERROR(IF(G129=0,-2E+300,CHOOSE(sortIdx,ROUND(D129,0),IF(J129="",-1E+300,ROUND(-J129,6)),IF(J129="",-1E+300,ROUND(J129,6)))),-1.5E+300))</f>
        <v/>
      </c>
      <c r="L129" t="str">
        <f>IF(K129="","",RANK(K129,$K$2:$K$3001,0)+COUNTIF($K$2:K129,K129)-1)</f>
        <v/>
      </c>
    </row>
    <row r="130">
      <c r="B130" t="str">
        <f>IFERROR(IF(A130="","","="&amp;SUBSTITUTE(SUBSTITUTE(SUBSTITUTE(A130,"~","~~"),"*","~*"),"?","~?")),"")</f>
        <v/>
      </c>
      <c r="C130" t="str">
        <f>IF($B130="","",SUMIFS(dAmt,dCust,$B130,dPer,"&gt;="&amp;pyFrom,dPer,"&lt;="&amp;pyTo,dAmt,"&gt;-1E+300",dFlt1,critFlt1,dFlt2,critFlt2,dFlt3,critFlt3))</f>
        <v/>
      </c>
      <c r="D130" t="str">
        <f>IF($B130="","",SUMIFS(dAmt,dCust,$B130,dPer,"&gt;="&amp;cyFrom,dPer,"&lt;="&amp;cyTo,dAmt,"&gt;-1E+300",dFlt1,critFlt1,dFlt2,critFlt2,dFlt3,critFlt3))</f>
        <v/>
      </c>
      <c r="E130" t="str">
        <f>IF($B130="","",SUMIFS(dQty,dCust,$B130,dPer,"&gt;="&amp;pyFrom,dPer,"&lt;="&amp;pyTo,dQty,"&gt;-1E+300",dFlt1,critFlt1,dFlt2,critFlt2,dFlt3,critFlt3))</f>
        <v/>
      </c>
      <c r="F130" t="str">
        <f>IF($B130="","",SUMIFS(dQty,dCust,$B130,dPer,"&gt;="&amp;cyFrom,dPer,"&lt;="&amp;cyTo,dQty,"&gt;-1E+300",dFlt1,critFlt1,dFlt2,critFlt2,dFlt3,critFlt3))</f>
        <v/>
      </c>
      <c r="G130">
        <f>IF($B130="",0,IFERROR(IF(OR(C130&lt;&gt;0,D130&lt;&gt;0,E130&lt;&gt;0,F130&lt;&gt;0),1,0),1))</f>
        <v>0</v>
      </c>
      <c r="H130" t="str">
        <f>IF(OR(G130=0,E130=0),"",C130/E130)</f>
        <v/>
      </c>
      <c r="I130" t="str">
        <f>IF(OR(G130=0,F130=0),"",D130/F130)</f>
        <v/>
      </c>
      <c r="J130" t="str">
        <f>IF(OR(H130="",I130=""),"",IF(H130=0,"",I130/H130-1))</f>
        <v/>
      </c>
      <c r="K130" t="str">
        <f>IF($B130="","",IFERROR(IF(G130=0,-2E+300,CHOOSE(sortIdx,ROUND(D130,0),IF(J130="",-1E+300,ROUND(-J130,6)),IF(J130="",-1E+300,ROUND(J130,6)))),-1.5E+300))</f>
        <v/>
      </c>
      <c r="L130" t="str">
        <f>IF(K130="","",RANK(K130,$K$2:$K$3001,0)+COUNTIF($K$2:K130,K130)-1)</f>
        <v/>
      </c>
    </row>
    <row r="131">
      <c r="B131" t="str">
        <f>IFERROR(IF(A131="","","="&amp;SUBSTITUTE(SUBSTITUTE(SUBSTITUTE(A131,"~","~~"),"*","~*"),"?","~?")),"")</f>
        <v/>
      </c>
      <c r="C131" t="str">
        <f>IF($B131="","",SUMIFS(dAmt,dCust,$B131,dPer,"&gt;="&amp;pyFrom,dPer,"&lt;="&amp;pyTo,dAmt,"&gt;-1E+300",dFlt1,critFlt1,dFlt2,critFlt2,dFlt3,critFlt3))</f>
        <v/>
      </c>
      <c r="D131" t="str">
        <f>IF($B131="","",SUMIFS(dAmt,dCust,$B131,dPer,"&gt;="&amp;cyFrom,dPer,"&lt;="&amp;cyTo,dAmt,"&gt;-1E+300",dFlt1,critFlt1,dFlt2,critFlt2,dFlt3,critFlt3))</f>
        <v/>
      </c>
      <c r="E131" t="str">
        <f>IF($B131="","",SUMIFS(dQty,dCust,$B131,dPer,"&gt;="&amp;pyFrom,dPer,"&lt;="&amp;pyTo,dQty,"&gt;-1E+300",dFlt1,critFlt1,dFlt2,critFlt2,dFlt3,critFlt3))</f>
        <v/>
      </c>
      <c r="F131" t="str">
        <f>IF($B131="","",SUMIFS(dQty,dCust,$B131,dPer,"&gt;="&amp;cyFrom,dPer,"&lt;="&amp;cyTo,dQty,"&gt;-1E+300",dFlt1,critFlt1,dFlt2,critFlt2,dFlt3,critFlt3))</f>
        <v/>
      </c>
      <c r="G131">
        <f>IF($B131="",0,IFERROR(IF(OR(C131&lt;&gt;0,D131&lt;&gt;0,E131&lt;&gt;0,F131&lt;&gt;0),1,0),1))</f>
        <v>0</v>
      </c>
      <c r="H131" t="str">
        <f>IF(OR(G131=0,E131=0),"",C131/E131)</f>
        <v/>
      </c>
      <c r="I131" t="str">
        <f>IF(OR(G131=0,F131=0),"",D131/F131)</f>
        <v/>
      </c>
      <c r="J131" t="str">
        <f>IF(OR(H131="",I131=""),"",IF(H131=0,"",I131/H131-1))</f>
        <v/>
      </c>
      <c r="K131" t="str">
        <f>IF($B131="","",IFERROR(IF(G131=0,-2E+300,CHOOSE(sortIdx,ROUND(D131,0),IF(J131="",-1E+300,ROUND(-J131,6)),IF(J131="",-1E+300,ROUND(J131,6)))),-1.5E+300))</f>
        <v/>
      </c>
      <c r="L131" t="str">
        <f>IF(K131="","",RANK(K131,$K$2:$K$3001,0)+COUNTIF($K$2:K131,K131)-1)</f>
        <v/>
      </c>
    </row>
    <row r="132">
      <c r="B132" t="str">
        <f>IFERROR(IF(A132="","","="&amp;SUBSTITUTE(SUBSTITUTE(SUBSTITUTE(A132,"~","~~"),"*","~*"),"?","~?")),"")</f>
        <v/>
      </c>
      <c r="C132" t="str">
        <f>IF($B132="","",SUMIFS(dAmt,dCust,$B132,dPer,"&gt;="&amp;pyFrom,dPer,"&lt;="&amp;pyTo,dAmt,"&gt;-1E+300",dFlt1,critFlt1,dFlt2,critFlt2,dFlt3,critFlt3))</f>
        <v/>
      </c>
      <c r="D132" t="str">
        <f>IF($B132="","",SUMIFS(dAmt,dCust,$B132,dPer,"&gt;="&amp;cyFrom,dPer,"&lt;="&amp;cyTo,dAmt,"&gt;-1E+300",dFlt1,critFlt1,dFlt2,critFlt2,dFlt3,critFlt3))</f>
        <v/>
      </c>
      <c r="E132" t="str">
        <f>IF($B132="","",SUMIFS(dQty,dCust,$B132,dPer,"&gt;="&amp;pyFrom,dPer,"&lt;="&amp;pyTo,dQty,"&gt;-1E+300",dFlt1,critFlt1,dFlt2,critFlt2,dFlt3,critFlt3))</f>
        <v/>
      </c>
      <c r="F132" t="str">
        <f>IF($B132="","",SUMIFS(dQty,dCust,$B132,dPer,"&gt;="&amp;cyFrom,dPer,"&lt;="&amp;cyTo,dQty,"&gt;-1E+300",dFlt1,critFlt1,dFlt2,critFlt2,dFlt3,critFlt3))</f>
        <v/>
      </c>
      <c r="G132">
        <f>IF($B132="",0,IFERROR(IF(OR(C132&lt;&gt;0,D132&lt;&gt;0,E132&lt;&gt;0,F132&lt;&gt;0),1,0),1))</f>
        <v>0</v>
      </c>
      <c r="H132" t="str">
        <f>IF(OR(G132=0,E132=0),"",C132/E132)</f>
        <v/>
      </c>
      <c r="I132" t="str">
        <f>IF(OR(G132=0,F132=0),"",D132/F132)</f>
        <v/>
      </c>
      <c r="J132" t="str">
        <f>IF(OR(H132="",I132=""),"",IF(H132=0,"",I132/H132-1))</f>
        <v/>
      </c>
      <c r="K132" t="str">
        <f>IF($B132="","",IFERROR(IF(G132=0,-2E+300,CHOOSE(sortIdx,ROUND(D132,0),IF(J132="",-1E+300,ROUND(-J132,6)),IF(J132="",-1E+300,ROUND(J132,6)))),-1.5E+300))</f>
        <v/>
      </c>
      <c r="L132" t="str">
        <f>IF(K132="","",RANK(K132,$K$2:$K$3001,0)+COUNTIF($K$2:K132,K132)-1)</f>
        <v/>
      </c>
    </row>
    <row r="133">
      <c r="B133" t="str">
        <f>IFERROR(IF(A133="","","="&amp;SUBSTITUTE(SUBSTITUTE(SUBSTITUTE(A133,"~","~~"),"*","~*"),"?","~?")),"")</f>
        <v/>
      </c>
      <c r="C133" t="str">
        <f>IF($B133="","",SUMIFS(dAmt,dCust,$B133,dPer,"&gt;="&amp;pyFrom,dPer,"&lt;="&amp;pyTo,dAmt,"&gt;-1E+300",dFlt1,critFlt1,dFlt2,critFlt2,dFlt3,critFlt3))</f>
        <v/>
      </c>
      <c r="D133" t="str">
        <f>IF($B133="","",SUMIFS(dAmt,dCust,$B133,dPer,"&gt;="&amp;cyFrom,dPer,"&lt;="&amp;cyTo,dAmt,"&gt;-1E+300",dFlt1,critFlt1,dFlt2,critFlt2,dFlt3,critFlt3))</f>
        <v/>
      </c>
      <c r="E133" t="str">
        <f>IF($B133="","",SUMIFS(dQty,dCust,$B133,dPer,"&gt;="&amp;pyFrom,dPer,"&lt;="&amp;pyTo,dQty,"&gt;-1E+300",dFlt1,critFlt1,dFlt2,critFlt2,dFlt3,critFlt3))</f>
        <v/>
      </c>
      <c r="F133" t="str">
        <f>IF($B133="","",SUMIFS(dQty,dCust,$B133,dPer,"&gt;="&amp;cyFrom,dPer,"&lt;="&amp;cyTo,dQty,"&gt;-1E+300",dFlt1,critFlt1,dFlt2,critFlt2,dFlt3,critFlt3))</f>
        <v/>
      </c>
      <c r="G133">
        <f>IF($B133="",0,IFERROR(IF(OR(C133&lt;&gt;0,D133&lt;&gt;0,E133&lt;&gt;0,F133&lt;&gt;0),1,0),1))</f>
        <v>0</v>
      </c>
      <c r="H133" t="str">
        <f>IF(OR(G133=0,E133=0),"",C133/E133)</f>
        <v/>
      </c>
      <c r="I133" t="str">
        <f>IF(OR(G133=0,F133=0),"",D133/F133)</f>
        <v/>
      </c>
      <c r="J133" t="str">
        <f>IF(OR(H133="",I133=""),"",IF(H133=0,"",I133/H133-1))</f>
        <v/>
      </c>
      <c r="K133" t="str">
        <f>IF($B133="","",IFERROR(IF(G133=0,-2E+300,CHOOSE(sortIdx,ROUND(D133,0),IF(J133="",-1E+300,ROUND(-J133,6)),IF(J133="",-1E+300,ROUND(J133,6)))),-1.5E+300))</f>
        <v/>
      </c>
      <c r="L133" t="str">
        <f>IF(K133="","",RANK(K133,$K$2:$K$3001,0)+COUNTIF($K$2:K133,K133)-1)</f>
        <v/>
      </c>
    </row>
    <row r="134">
      <c r="B134" t="str">
        <f>IFERROR(IF(A134="","","="&amp;SUBSTITUTE(SUBSTITUTE(SUBSTITUTE(A134,"~","~~"),"*","~*"),"?","~?")),"")</f>
        <v/>
      </c>
      <c r="C134" t="str">
        <f>IF($B134="","",SUMIFS(dAmt,dCust,$B134,dPer,"&gt;="&amp;pyFrom,dPer,"&lt;="&amp;pyTo,dAmt,"&gt;-1E+300",dFlt1,critFlt1,dFlt2,critFlt2,dFlt3,critFlt3))</f>
        <v/>
      </c>
      <c r="D134" t="str">
        <f>IF($B134="","",SUMIFS(dAmt,dCust,$B134,dPer,"&gt;="&amp;cyFrom,dPer,"&lt;="&amp;cyTo,dAmt,"&gt;-1E+300",dFlt1,critFlt1,dFlt2,critFlt2,dFlt3,critFlt3))</f>
        <v/>
      </c>
      <c r="E134" t="str">
        <f>IF($B134="","",SUMIFS(dQty,dCust,$B134,dPer,"&gt;="&amp;pyFrom,dPer,"&lt;="&amp;pyTo,dQty,"&gt;-1E+300",dFlt1,critFlt1,dFlt2,critFlt2,dFlt3,critFlt3))</f>
        <v/>
      </c>
      <c r="F134" t="str">
        <f>IF($B134="","",SUMIFS(dQty,dCust,$B134,dPer,"&gt;="&amp;cyFrom,dPer,"&lt;="&amp;cyTo,dQty,"&gt;-1E+300",dFlt1,critFlt1,dFlt2,critFlt2,dFlt3,critFlt3))</f>
        <v/>
      </c>
      <c r="G134">
        <f>IF($B134="",0,IFERROR(IF(OR(C134&lt;&gt;0,D134&lt;&gt;0,E134&lt;&gt;0,F134&lt;&gt;0),1,0),1))</f>
        <v>0</v>
      </c>
      <c r="H134" t="str">
        <f>IF(OR(G134=0,E134=0),"",C134/E134)</f>
        <v/>
      </c>
      <c r="I134" t="str">
        <f>IF(OR(G134=0,F134=0),"",D134/F134)</f>
        <v/>
      </c>
      <c r="J134" t="str">
        <f>IF(OR(H134="",I134=""),"",IF(H134=0,"",I134/H134-1))</f>
        <v/>
      </c>
      <c r="K134" t="str">
        <f>IF($B134="","",IFERROR(IF(G134=0,-2E+300,CHOOSE(sortIdx,ROUND(D134,0),IF(J134="",-1E+300,ROUND(-J134,6)),IF(J134="",-1E+300,ROUND(J134,6)))),-1.5E+300))</f>
        <v/>
      </c>
      <c r="L134" t="str">
        <f>IF(K134="","",RANK(K134,$K$2:$K$3001,0)+COUNTIF($K$2:K134,K134)-1)</f>
        <v/>
      </c>
    </row>
    <row r="135">
      <c r="B135" t="str">
        <f>IFERROR(IF(A135="","","="&amp;SUBSTITUTE(SUBSTITUTE(SUBSTITUTE(A135,"~","~~"),"*","~*"),"?","~?")),"")</f>
        <v/>
      </c>
      <c r="C135" t="str">
        <f>IF($B135="","",SUMIFS(dAmt,dCust,$B135,dPer,"&gt;="&amp;pyFrom,dPer,"&lt;="&amp;pyTo,dAmt,"&gt;-1E+300",dFlt1,critFlt1,dFlt2,critFlt2,dFlt3,critFlt3))</f>
        <v/>
      </c>
      <c r="D135" t="str">
        <f>IF($B135="","",SUMIFS(dAmt,dCust,$B135,dPer,"&gt;="&amp;cyFrom,dPer,"&lt;="&amp;cyTo,dAmt,"&gt;-1E+300",dFlt1,critFlt1,dFlt2,critFlt2,dFlt3,critFlt3))</f>
        <v/>
      </c>
      <c r="E135" t="str">
        <f>IF($B135="","",SUMIFS(dQty,dCust,$B135,dPer,"&gt;="&amp;pyFrom,dPer,"&lt;="&amp;pyTo,dQty,"&gt;-1E+300",dFlt1,critFlt1,dFlt2,critFlt2,dFlt3,critFlt3))</f>
        <v/>
      </c>
      <c r="F135" t="str">
        <f>IF($B135="","",SUMIFS(dQty,dCust,$B135,dPer,"&gt;="&amp;cyFrom,dPer,"&lt;="&amp;cyTo,dQty,"&gt;-1E+300",dFlt1,critFlt1,dFlt2,critFlt2,dFlt3,critFlt3))</f>
        <v/>
      </c>
      <c r="G135">
        <f>IF($B135="",0,IFERROR(IF(OR(C135&lt;&gt;0,D135&lt;&gt;0,E135&lt;&gt;0,F135&lt;&gt;0),1,0),1))</f>
        <v>0</v>
      </c>
      <c r="H135" t="str">
        <f>IF(OR(G135=0,E135=0),"",C135/E135)</f>
        <v/>
      </c>
      <c r="I135" t="str">
        <f>IF(OR(G135=0,F135=0),"",D135/F135)</f>
        <v/>
      </c>
      <c r="J135" t="str">
        <f>IF(OR(H135="",I135=""),"",IF(H135=0,"",I135/H135-1))</f>
        <v/>
      </c>
      <c r="K135" t="str">
        <f>IF($B135="","",IFERROR(IF(G135=0,-2E+300,CHOOSE(sortIdx,ROUND(D135,0),IF(J135="",-1E+300,ROUND(-J135,6)),IF(J135="",-1E+300,ROUND(J135,6)))),-1.5E+300))</f>
        <v/>
      </c>
      <c r="L135" t="str">
        <f>IF(K135="","",RANK(K135,$K$2:$K$3001,0)+COUNTIF($K$2:K135,K135)-1)</f>
        <v/>
      </c>
    </row>
    <row r="136">
      <c r="B136" t="str">
        <f>IFERROR(IF(A136="","","="&amp;SUBSTITUTE(SUBSTITUTE(SUBSTITUTE(A136,"~","~~"),"*","~*"),"?","~?")),"")</f>
        <v/>
      </c>
      <c r="C136" t="str">
        <f>IF($B136="","",SUMIFS(dAmt,dCust,$B136,dPer,"&gt;="&amp;pyFrom,dPer,"&lt;="&amp;pyTo,dAmt,"&gt;-1E+300",dFlt1,critFlt1,dFlt2,critFlt2,dFlt3,critFlt3))</f>
        <v/>
      </c>
      <c r="D136" t="str">
        <f>IF($B136="","",SUMIFS(dAmt,dCust,$B136,dPer,"&gt;="&amp;cyFrom,dPer,"&lt;="&amp;cyTo,dAmt,"&gt;-1E+300",dFlt1,critFlt1,dFlt2,critFlt2,dFlt3,critFlt3))</f>
        <v/>
      </c>
      <c r="E136" t="str">
        <f>IF($B136="","",SUMIFS(dQty,dCust,$B136,dPer,"&gt;="&amp;pyFrom,dPer,"&lt;="&amp;pyTo,dQty,"&gt;-1E+300",dFlt1,critFlt1,dFlt2,critFlt2,dFlt3,critFlt3))</f>
        <v/>
      </c>
      <c r="F136" t="str">
        <f>IF($B136="","",SUMIFS(dQty,dCust,$B136,dPer,"&gt;="&amp;cyFrom,dPer,"&lt;="&amp;cyTo,dQty,"&gt;-1E+300",dFlt1,critFlt1,dFlt2,critFlt2,dFlt3,critFlt3))</f>
        <v/>
      </c>
      <c r="G136">
        <f>IF($B136="",0,IFERROR(IF(OR(C136&lt;&gt;0,D136&lt;&gt;0,E136&lt;&gt;0,F136&lt;&gt;0),1,0),1))</f>
        <v>0</v>
      </c>
      <c r="H136" t="str">
        <f>IF(OR(G136=0,E136=0),"",C136/E136)</f>
        <v/>
      </c>
      <c r="I136" t="str">
        <f>IF(OR(G136=0,F136=0),"",D136/F136)</f>
        <v/>
      </c>
      <c r="J136" t="str">
        <f>IF(OR(H136="",I136=""),"",IF(H136=0,"",I136/H136-1))</f>
        <v/>
      </c>
      <c r="K136" t="str">
        <f>IF($B136="","",IFERROR(IF(G136=0,-2E+300,CHOOSE(sortIdx,ROUND(D136,0),IF(J136="",-1E+300,ROUND(-J136,6)),IF(J136="",-1E+300,ROUND(J136,6)))),-1.5E+300))</f>
        <v/>
      </c>
      <c r="L136" t="str">
        <f>IF(K136="","",RANK(K136,$K$2:$K$3001,0)+COUNTIF($K$2:K136,K136)-1)</f>
        <v/>
      </c>
    </row>
    <row r="137">
      <c r="B137" t="str">
        <f>IFERROR(IF(A137="","","="&amp;SUBSTITUTE(SUBSTITUTE(SUBSTITUTE(A137,"~","~~"),"*","~*"),"?","~?")),"")</f>
        <v/>
      </c>
      <c r="C137" t="str">
        <f>IF($B137="","",SUMIFS(dAmt,dCust,$B137,dPer,"&gt;="&amp;pyFrom,dPer,"&lt;="&amp;pyTo,dAmt,"&gt;-1E+300",dFlt1,critFlt1,dFlt2,critFlt2,dFlt3,critFlt3))</f>
        <v/>
      </c>
      <c r="D137" t="str">
        <f>IF($B137="","",SUMIFS(dAmt,dCust,$B137,dPer,"&gt;="&amp;cyFrom,dPer,"&lt;="&amp;cyTo,dAmt,"&gt;-1E+300",dFlt1,critFlt1,dFlt2,critFlt2,dFlt3,critFlt3))</f>
        <v/>
      </c>
      <c r="E137" t="str">
        <f>IF($B137="","",SUMIFS(dQty,dCust,$B137,dPer,"&gt;="&amp;pyFrom,dPer,"&lt;="&amp;pyTo,dQty,"&gt;-1E+300",dFlt1,critFlt1,dFlt2,critFlt2,dFlt3,critFlt3))</f>
        <v/>
      </c>
      <c r="F137" t="str">
        <f>IF($B137="","",SUMIFS(dQty,dCust,$B137,dPer,"&gt;="&amp;cyFrom,dPer,"&lt;="&amp;cyTo,dQty,"&gt;-1E+300",dFlt1,critFlt1,dFlt2,critFlt2,dFlt3,critFlt3))</f>
        <v/>
      </c>
      <c r="G137">
        <f>IF($B137="",0,IFERROR(IF(OR(C137&lt;&gt;0,D137&lt;&gt;0,E137&lt;&gt;0,F137&lt;&gt;0),1,0),1))</f>
        <v>0</v>
      </c>
      <c r="H137" t="str">
        <f>IF(OR(G137=0,E137=0),"",C137/E137)</f>
        <v/>
      </c>
      <c r="I137" t="str">
        <f>IF(OR(G137=0,F137=0),"",D137/F137)</f>
        <v/>
      </c>
      <c r="J137" t="str">
        <f>IF(OR(H137="",I137=""),"",IF(H137=0,"",I137/H137-1))</f>
        <v/>
      </c>
      <c r="K137" t="str">
        <f>IF($B137="","",IFERROR(IF(G137=0,-2E+300,CHOOSE(sortIdx,ROUND(D137,0),IF(J137="",-1E+300,ROUND(-J137,6)),IF(J137="",-1E+300,ROUND(J137,6)))),-1.5E+300))</f>
        <v/>
      </c>
      <c r="L137" t="str">
        <f>IF(K137="","",RANK(K137,$K$2:$K$3001,0)+COUNTIF($K$2:K137,K137)-1)</f>
        <v/>
      </c>
    </row>
    <row r="138">
      <c r="B138" t="str">
        <f>IFERROR(IF(A138="","","="&amp;SUBSTITUTE(SUBSTITUTE(SUBSTITUTE(A138,"~","~~"),"*","~*"),"?","~?")),"")</f>
        <v/>
      </c>
      <c r="C138" t="str">
        <f>IF($B138="","",SUMIFS(dAmt,dCust,$B138,dPer,"&gt;="&amp;pyFrom,dPer,"&lt;="&amp;pyTo,dAmt,"&gt;-1E+300",dFlt1,critFlt1,dFlt2,critFlt2,dFlt3,critFlt3))</f>
        <v/>
      </c>
      <c r="D138" t="str">
        <f>IF($B138="","",SUMIFS(dAmt,dCust,$B138,dPer,"&gt;="&amp;cyFrom,dPer,"&lt;="&amp;cyTo,dAmt,"&gt;-1E+300",dFlt1,critFlt1,dFlt2,critFlt2,dFlt3,critFlt3))</f>
        <v/>
      </c>
      <c r="E138" t="str">
        <f>IF($B138="","",SUMIFS(dQty,dCust,$B138,dPer,"&gt;="&amp;pyFrom,dPer,"&lt;="&amp;pyTo,dQty,"&gt;-1E+300",dFlt1,critFlt1,dFlt2,critFlt2,dFlt3,critFlt3))</f>
        <v/>
      </c>
      <c r="F138" t="str">
        <f>IF($B138="","",SUMIFS(dQty,dCust,$B138,dPer,"&gt;="&amp;cyFrom,dPer,"&lt;="&amp;cyTo,dQty,"&gt;-1E+300",dFlt1,critFlt1,dFlt2,critFlt2,dFlt3,critFlt3))</f>
        <v/>
      </c>
      <c r="G138">
        <f>IF($B138="",0,IFERROR(IF(OR(C138&lt;&gt;0,D138&lt;&gt;0,E138&lt;&gt;0,F138&lt;&gt;0),1,0),1))</f>
        <v>0</v>
      </c>
      <c r="H138" t="str">
        <f>IF(OR(G138=0,E138=0),"",C138/E138)</f>
        <v/>
      </c>
      <c r="I138" t="str">
        <f>IF(OR(G138=0,F138=0),"",D138/F138)</f>
        <v/>
      </c>
      <c r="J138" t="str">
        <f>IF(OR(H138="",I138=""),"",IF(H138=0,"",I138/H138-1))</f>
        <v/>
      </c>
      <c r="K138" t="str">
        <f>IF($B138="","",IFERROR(IF(G138=0,-2E+300,CHOOSE(sortIdx,ROUND(D138,0),IF(J138="",-1E+300,ROUND(-J138,6)),IF(J138="",-1E+300,ROUND(J138,6)))),-1.5E+300))</f>
        <v/>
      </c>
      <c r="L138" t="str">
        <f>IF(K138="","",RANK(K138,$K$2:$K$3001,0)+COUNTIF($K$2:K138,K138)-1)</f>
        <v/>
      </c>
    </row>
    <row r="139">
      <c r="B139" t="str">
        <f>IFERROR(IF(A139="","","="&amp;SUBSTITUTE(SUBSTITUTE(SUBSTITUTE(A139,"~","~~"),"*","~*"),"?","~?")),"")</f>
        <v/>
      </c>
      <c r="C139" t="str">
        <f>IF($B139="","",SUMIFS(dAmt,dCust,$B139,dPer,"&gt;="&amp;pyFrom,dPer,"&lt;="&amp;pyTo,dAmt,"&gt;-1E+300",dFlt1,critFlt1,dFlt2,critFlt2,dFlt3,critFlt3))</f>
        <v/>
      </c>
      <c r="D139" t="str">
        <f>IF($B139="","",SUMIFS(dAmt,dCust,$B139,dPer,"&gt;="&amp;cyFrom,dPer,"&lt;="&amp;cyTo,dAmt,"&gt;-1E+300",dFlt1,critFlt1,dFlt2,critFlt2,dFlt3,critFlt3))</f>
        <v/>
      </c>
      <c r="E139" t="str">
        <f>IF($B139="","",SUMIFS(dQty,dCust,$B139,dPer,"&gt;="&amp;pyFrom,dPer,"&lt;="&amp;pyTo,dQty,"&gt;-1E+300",dFlt1,critFlt1,dFlt2,critFlt2,dFlt3,critFlt3))</f>
        <v/>
      </c>
      <c r="F139" t="str">
        <f>IF($B139="","",SUMIFS(dQty,dCust,$B139,dPer,"&gt;="&amp;cyFrom,dPer,"&lt;="&amp;cyTo,dQty,"&gt;-1E+300",dFlt1,critFlt1,dFlt2,critFlt2,dFlt3,critFlt3))</f>
        <v/>
      </c>
      <c r="G139">
        <f>IF($B139="",0,IFERROR(IF(OR(C139&lt;&gt;0,D139&lt;&gt;0,E139&lt;&gt;0,F139&lt;&gt;0),1,0),1))</f>
        <v>0</v>
      </c>
      <c r="H139" t="str">
        <f>IF(OR(G139=0,E139=0),"",C139/E139)</f>
        <v/>
      </c>
      <c r="I139" t="str">
        <f>IF(OR(G139=0,F139=0),"",D139/F139)</f>
        <v/>
      </c>
      <c r="J139" t="str">
        <f>IF(OR(H139="",I139=""),"",IF(H139=0,"",I139/H139-1))</f>
        <v/>
      </c>
      <c r="K139" t="str">
        <f>IF($B139="","",IFERROR(IF(G139=0,-2E+300,CHOOSE(sortIdx,ROUND(D139,0),IF(J139="",-1E+300,ROUND(-J139,6)),IF(J139="",-1E+300,ROUND(J139,6)))),-1.5E+300))</f>
        <v/>
      </c>
      <c r="L139" t="str">
        <f>IF(K139="","",RANK(K139,$K$2:$K$3001,0)+COUNTIF($K$2:K139,K139)-1)</f>
        <v/>
      </c>
    </row>
    <row r="140">
      <c r="B140" t="str">
        <f>IFERROR(IF(A140="","","="&amp;SUBSTITUTE(SUBSTITUTE(SUBSTITUTE(A140,"~","~~"),"*","~*"),"?","~?")),"")</f>
        <v/>
      </c>
      <c r="C140" t="str">
        <f>IF($B140="","",SUMIFS(dAmt,dCust,$B140,dPer,"&gt;="&amp;pyFrom,dPer,"&lt;="&amp;pyTo,dAmt,"&gt;-1E+300",dFlt1,critFlt1,dFlt2,critFlt2,dFlt3,critFlt3))</f>
        <v/>
      </c>
      <c r="D140" t="str">
        <f>IF($B140="","",SUMIFS(dAmt,dCust,$B140,dPer,"&gt;="&amp;cyFrom,dPer,"&lt;="&amp;cyTo,dAmt,"&gt;-1E+300",dFlt1,critFlt1,dFlt2,critFlt2,dFlt3,critFlt3))</f>
        <v/>
      </c>
      <c r="E140" t="str">
        <f>IF($B140="","",SUMIFS(dQty,dCust,$B140,dPer,"&gt;="&amp;pyFrom,dPer,"&lt;="&amp;pyTo,dQty,"&gt;-1E+300",dFlt1,critFlt1,dFlt2,critFlt2,dFlt3,critFlt3))</f>
        <v/>
      </c>
      <c r="F140" t="str">
        <f>IF($B140="","",SUMIFS(dQty,dCust,$B140,dPer,"&gt;="&amp;cyFrom,dPer,"&lt;="&amp;cyTo,dQty,"&gt;-1E+300",dFlt1,critFlt1,dFlt2,critFlt2,dFlt3,critFlt3))</f>
        <v/>
      </c>
      <c r="G140">
        <f>IF($B140="",0,IFERROR(IF(OR(C140&lt;&gt;0,D140&lt;&gt;0,E140&lt;&gt;0,F140&lt;&gt;0),1,0),1))</f>
        <v>0</v>
      </c>
      <c r="H140" t="str">
        <f>IF(OR(G140=0,E140=0),"",C140/E140)</f>
        <v/>
      </c>
      <c r="I140" t="str">
        <f>IF(OR(G140=0,F140=0),"",D140/F140)</f>
        <v/>
      </c>
      <c r="J140" t="str">
        <f>IF(OR(H140="",I140=""),"",IF(H140=0,"",I140/H140-1))</f>
        <v/>
      </c>
      <c r="K140" t="str">
        <f>IF($B140="","",IFERROR(IF(G140=0,-2E+300,CHOOSE(sortIdx,ROUND(D140,0),IF(J140="",-1E+300,ROUND(-J140,6)),IF(J140="",-1E+300,ROUND(J140,6)))),-1.5E+300))</f>
        <v/>
      </c>
      <c r="L140" t="str">
        <f>IF(K140="","",RANK(K140,$K$2:$K$3001,0)+COUNTIF($K$2:K140,K140)-1)</f>
        <v/>
      </c>
    </row>
    <row r="141">
      <c r="B141" t="str">
        <f>IFERROR(IF(A141="","","="&amp;SUBSTITUTE(SUBSTITUTE(SUBSTITUTE(A141,"~","~~"),"*","~*"),"?","~?")),"")</f>
        <v/>
      </c>
      <c r="C141" t="str">
        <f>IF($B141="","",SUMIFS(dAmt,dCust,$B141,dPer,"&gt;="&amp;pyFrom,dPer,"&lt;="&amp;pyTo,dAmt,"&gt;-1E+300",dFlt1,critFlt1,dFlt2,critFlt2,dFlt3,critFlt3))</f>
        <v/>
      </c>
      <c r="D141" t="str">
        <f>IF($B141="","",SUMIFS(dAmt,dCust,$B141,dPer,"&gt;="&amp;cyFrom,dPer,"&lt;="&amp;cyTo,dAmt,"&gt;-1E+300",dFlt1,critFlt1,dFlt2,critFlt2,dFlt3,critFlt3))</f>
        <v/>
      </c>
      <c r="E141" t="str">
        <f>IF($B141="","",SUMIFS(dQty,dCust,$B141,dPer,"&gt;="&amp;pyFrom,dPer,"&lt;="&amp;pyTo,dQty,"&gt;-1E+300",dFlt1,critFlt1,dFlt2,critFlt2,dFlt3,critFlt3))</f>
        <v/>
      </c>
      <c r="F141" t="str">
        <f>IF($B141="","",SUMIFS(dQty,dCust,$B141,dPer,"&gt;="&amp;cyFrom,dPer,"&lt;="&amp;cyTo,dQty,"&gt;-1E+300",dFlt1,critFlt1,dFlt2,critFlt2,dFlt3,critFlt3))</f>
        <v/>
      </c>
      <c r="G141">
        <f>IF($B141="",0,IFERROR(IF(OR(C141&lt;&gt;0,D141&lt;&gt;0,E141&lt;&gt;0,F141&lt;&gt;0),1,0),1))</f>
        <v>0</v>
      </c>
      <c r="H141" t="str">
        <f>IF(OR(G141=0,E141=0),"",C141/E141)</f>
        <v/>
      </c>
      <c r="I141" t="str">
        <f>IF(OR(G141=0,F141=0),"",D141/F141)</f>
        <v/>
      </c>
      <c r="J141" t="str">
        <f>IF(OR(H141="",I141=""),"",IF(H141=0,"",I141/H141-1))</f>
        <v/>
      </c>
      <c r="K141" t="str">
        <f>IF($B141="","",IFERROR(IF(G141=0,-2E+300,CHOOSE(sortIdx,ROUND(D141,0),IF(J141="",-1E+300,ROUND(-J141,6)),IF(J141="",-1E+300,ROUND(J141,6)))),-1.5E+300))</f>
        <v/>
      </c>
      <c r="L141" t="str">
        <f>IF(K141="","",RANK(K141,$K$2:$K$3001,0)+COUNTIF($K$2:K141,K141)-1)</f>
        <v/>
      </c>
    </row>
    <row r="142">
      <c r="B142" t="str">
        <f>IFERROR(IF(A142="","","="&amp;SUBSTITUTE(SUBSTITUTE(SUBSTITUTE(A142,"~","~~"),"*","~*"),"?","~?")),"")</f>
        <v/>
      </c>
      <c r="C142" t="str">
        <f>IF($B142="","",SUMIFS(dAmt,dCust,$B142,dPer,"&gt;="&amp;pyFrom,dPer,"&lt;="&amp;pyTo,dAmt,"&gt;-1E+300",dFlt1,critFlt1,dFlt2,critFlt2,dFlt3,critFlt3))</f>
        <v/>
      </c>
      <c r="D142" t="str">
        <f>IF($B142="","",SUMIFS(dAmt,dCust,$B142,dPer,"&gt;="&amp;cyFrom,dPer,"&lt;="&amp;cyTo,dAmt,"&gt;-1E+300",dFlt1,critFlt1,dFlt2,critFlt2,dFlt3,critFlt3))</f>
        <v/>
      </c>
      <c r="E142" t="str">
        <f>IF($B142="","",SUMIFS(dQty,dCust,$B142,dPer,"&gt;="&amp;pyFrom,dPer,"&lt;="&amp;pyTo,dQty,"&gt;-1E+300",dFlt1,critFlt1,dFlt2,critFlt2,dFlt3,critFlt3))</f>
        <v/>
      </c>
      <c r="F142" t="str">
        <f>IF($B142="","",SUMIFS(dQty,dCust,$B142,dPer,"&gt;="&amp;cyFrom,dPer,"&lt;="&amp;cyTo,dQty,"&gt;-1E+300",dFlt1,critFlt1,dFlt2,critFlt2,dFlt3,critFlt3))</f>
        <v/>
      </c>
      <c r="G142">
        <f>IF($B142="",0,IFERROR(IF(OR(C142&lt;&gt;0,D142&lt;&gt;0,E142&lt;&gt;0,F142&lt;&gt;0),1,0),1))</f>
        <v>0</v>
      </c>
      <c r="H142" t="str">
        <f>IF(OR(G142=0,E142=0),"",C142/E142)</f>
        <v/>
      </c>
      <c r="I142" t="str">
        <f>IF(OR(G142=0,F142=0),"",D142/F142)</f>
        <v/>
      </c>
      <c r="J142" t="str">
        <f>IF(OR(H142="",I142=""),"",IF(H142=0,"",I142/H142-1))</f>
        <v/>
      </c>
      <c r="K142" t="str">
        <f>IF($B142="","",IFERROR(IF(G142=0,-2E+300,CHOOSE(sortIdx,ROUND(D142,0),IF(J142="",-1E+300,ROUND(-J142,6)),IF(J142="",-1E+300,ROUND(J142,6)))),-1.5E+300))</f>
        <v/>
      </c>
      <c r="L142" t="str">
        <f>IF(K142="","",RANK(K142,$K$2:$K$3001,0)+COUNTIF($K$2:K142,K142)-1)</f>
        <v/>
      </c>
    </row>
    <row r="143">
      <c r="B143" t="str">
        <f>IFERROR(IF(A143="","","="&amp;SUBSTITUTE(SUBSTITUTE(SUBSTITUTE(A143,"~","~~"),"*","~*"),"?","~?")),"")</f>
        <v/>
      </c>
      <c r="C143" t="str">
        <f>IF($B143="","",SUMIFS(dAmt,dCust,$B143,dPer,"&gt;="&amp;pyFrom,dPer,"&lt;="&amp;pyTo,dAmt,"&gt;-1E+300",dFlt1,critFlt1,dFlt2,critFlt2,dFlt3,critFlt3))</f>
        <v/>
      </c>
      <c r="D143" t="str">
        <f>IF($B143="","",SUMIFS(dAmt,dCust,$B143,dPer,"&gt;="&amp;cyFrom,dPer,"&lt;="&amp;cyTo,dAmt,"&gt;-1E+300",dFlt1,critFlt1,dFlt2,critFlt2,dFlt3,critFlt3))</f>
        <v/>
      </c>
      <c r="E143" t="str">
        <f>IF($B143="","",SUMIFS(dQty,dCust,$B143,dPer,"&gt;="&amp;pyFrom,dPer,"&lt;="&amp;pyTo,dQty,"&gt;-1E+300",dFlt1,critFlt1,dFlt2,critFlt2,dFlt3,critFlt3))</f>
        <v/>
      </c>
      <c r="F143" t="str">
        <f>IF($B143="","",SUMIFS(dQty,dCust,$B143,dPer,"&gt;="&amp;cyFrom,dPer,"&lt;="&amp;cyTo,dQty,"&gt;-1E+300",dFlt1,critFlt1,dFlt2,critFlt2,dFlt3,critFlt3))</f>
        <v/>
      </c>
      <c r="G143">
        <f>IF($B143="",0,IFERROR(IF(OR(C143&lt;&gt;0,D143&lt;&gt;0,E143&lt;&gt;0,F143&lt;&gt;0),1,0),1))</f>
        <v>0</v>
      </c>
      <c r="H143" t="str">
        <f>IF(OR(G143=0,E143=0),"",C143/E143)</f>
        <v/>
      </c>
      <c r="I143" t="str">
        <f>IF(OR(G143=0,F143=0),"",D143/F143)</f>
        <v/>
      </c>
      <c r="J143" t="str">
        <f>IF(OR(H143="",I143=""),"",IF(H143=0,"",I143/H143-1))</f>
        <v/>
      </c>
      <c r="K143" t="str">
        <f>IF($B143="","",IFERROR(IF(G143=0,-2E+300,CHOOSE(sortIdx,ROUND(D143,0),IF(J143="",-1E+300,ROUND(-J143,6)),IF(J143="",-1E+300,ROUND(J143,6)))),-1.5E+300))</f>
        <v/>
      </c>
      <c r="L143" t="str">
        <f>IF(K143="","",RANK(K143,$K$2:$K$3001,0)+COUNTIF($K$2:K143,K143)-1)</f>
        <v/>
      </c>
    </row>
    <row r="144">
      <c r="B144" t="str">
        <f>IFERROR(IF(A144="","","="&amp;SUBSTITUTE(SUBSTITUTE(SUBSTITUTE(A144,"~","~~"),"*","~*"),"?","~?")),"")</f>
        <v/>
      </c>
      <c r="C144" t="str">
        <f>IF($B144="","",SUMIFS(dAmt,dCust,$B144,dPer,"&gt;="&amp;pyFrom,dPer,"&lt;="&amp;pyTo,dAmt,"&gt;-1E+300",dFlt1,critFlt1,dFlt2,critFlt2,dFlt3,critFlt3))</f>
        <v/>
      </c>
      <c r="D144" t="str">
        <f>IF($B144="","",SUMIFS(dAmt,dCust,$B144,dPer,"&gt;="&amp;cyFrom,dPer,"&lt;="&amp;cyTo,dAmt,"&gt;-1E+300",dFlt1,critFlt1,dFlt2,critFlt2,dFlt3,critFlt3))</f>
        <v/>
      </c>
      <c r="E144" t="str">
        <f>IF($B144="","",SUMIFS(dQty,dCust,$B144,dPer,"&gt;="&amp;pyFrom,dPer,"&lt;="&amp;pyTo,dQty,"&gt;-1E+300",dFlt1,critFlt1,dFlt2,critFlt2,dFlt3,critFlt3))</f>
        <v/>
      </c>
      <c r="F144" t="str">
        <f>IF($B144="","",SUMIFS(dQty,dCust,$B144,dPer,"&gt;="&amp;cyFrom,dPer,"&lt;="&amp;cyTo,dQty,"&gt;-1E+300",dFlt1,critFlt1,dFlt2,critFlt2,dFlt3,critFlt3))</f>
        <v/>
      </c>
      <c r="G144">
        <f>IF($B144="",0,IFERROR(IF(OR(C144&lt;&gt;0,D144&lt;&gt;0,E144&lt;&gt;0,F144&lt;&gt;0),1,0),1))</f>
        <v>0</v>
      </c>
      <c r="H144" t="str">
        <f>IF(OR(G144=0,E144=0),"",C144/E144)</f>
        <v/>
      </c>
      <c r="I144" t="str">
        <f>IF(OR(G144=0,F144=0),"",D144/F144)</f>
        <v/>
      </c>
      <c r="J144" t="str">
        <f>IF(OR(H144="",I144=""),"",IF(H144=0,"",I144/H144-1))</f>
        <v/>
      </c>
      <c r="K144" t="str">
        <f>IF($B144="","",IFERROR(IF(G144=0,-2E+300,CHOOSE(sortIdx,ROUND(D144,0),IF(J144="",-1E+300,ROUND(-J144,6)),IF(J144="",-1E+300,ROUND(J144,6)))),-1.5E+300))</f>
        <v/>
      </c>
      <c r="L144" t="str">
        <f>IF(K144="","",RANK(K144,$K$2:$K$3001,0)+COUNTIF($K$2:K144,K144)-1)</f>
        <v/>
      </c>
    </row>
    <row r="145">
      <c r="B145" t="str">
        <f>IFERROR(IF(A145="","","="&amp;SUBSTITUTE(SUBSTITUTE(SUBSTITUTE(A145,"~","~~"),"*","~*"),"?","~?")),"")</f>
        <v/>
      </c>
      <c r="C145" t="str">
        <f>IF($B145="","",SUMIFS(dAmt,dCust,$B145,dPer,"&gt;="&amp;pyFrom,dPer,"&lt;="&amp;pyTo,dAmt,"&gt;-1E+300",dFlt1,critFlt1,dFlt2,critFlt2,dFlt3,critFlt3))</f>
        <v/>
      </c>
      <c r="D145" t="str">
        <f>IF($B145="","",SUMIFS(dAmt,dCust,$B145,dPer,"&gt;="&amp;cyFrom,dPer,"&lt;="&amp;cyTo,dAmt,"&gt;-1E+300",dFlt1,critFlt1,dFlt2,critFlt2,dFlt3,critFlt3))</f>
        <v/>
      </c>
      <c r="E145" t="str">
        <f>IF($B145="","",SUMIFS(dQty,dCust,$B145,dPer,"&gt;="&amp;pyFrom,dPer,"&lt;="&amp;pyTo,dQty,"&gt;-1E+300",dFlt1,critFlt1,dFlt2,critFlt2,dFlt3,critFlt3))</f>
        <v/>
      </c>
      <c r="F145" t="str">
        <f>IF($B145="","",SUMIFS(dQty,dCust,$B145,dPer,"&gt;="&amp;cyFrom,dPer,"&lt;="&amp;cyTo,dQty,"&gt;-1E+300",dFlt1,critFlt1,dFlt2,critFlt2,dFlt3,critFlt3))</f>
        <v/>
      </c>
      <c r="G145">
        <f>IF($B145="",0,IFERROR(IF(OR(C145&lt;&gt;0,D145&lt;&gt;0,E145&lt;&gt;0,F145&lt;&gt;0),1,0),1))</f>
        <v>0</v>
      </c>
      <c r="H145" t="str">
        <f>IF(OR(G145=0,E145=0),"",C145/E145)</f>
        <v/>
      </c>
      <c r="I145" t="str">
        <f>IF(OR(G145=0,F145=0),"",D145/F145)</f>
        <v/>
      </c>
      <c r="J145" t="str">
        <f>IF(OR(H145="",I145=""),"",IF(H145=0,"",I145/H145-1))</f>
        <v/>
      </c>
      <c r="K145" t="str">
        <f>IF($B145="","",IFERROR(IF(G145=0,-2E+300,CHOOSE(sortIdx,ROUND(D145,0),IF(J145="",-1E+300,ROUND(-J145,6)),IF(J145="",-1E+300,ROUND(J145,6)))),-1.5E+300))</f>
        <v/>
      </c>
      <c r="L145" t="str">
        <f>IF(K145="","",RANK(K145,$K$2:$K$3001,0)+COUNTIF($K$2:K145,K145)-1)</f>
        <v/>
      </c>
    </row>
    <row r="146">
      <c r="B146" t="str">
        <f>IFERROR(IF(A146="","","="&amp;SUBSTITUTE(SUBSTITUTE(SUBSTITUTE(A146,"~","~~"),"*","~*"),"?","~?")),"")</f>
        <v/>
      </c>
      <c r="C146" t="str">
        <f>IF($B146="","",SUMIFS(dAmt,dCust,$B146,dPer,"&gt;="&amp;pyFrom,dPer,"&lt;="&amp;pyTo,dAmt,"&gt;-1E+300",dFlt1,critFlt1,dFlt2,critFlt2,dFlt3,critFlt3))</f>
        <v/>
      </c>
      <c r="D146" t="str">
        <f>IF($B146="","",SUMIFS(dAmt,dCust,$B146,dPer,"&gt;="&amp;cyFrom,dPer,"&lt;="&amp;cyTo,dAmt,"&gt;-1E+300",dFlt1,critFlt1,dFlt2,critFlt2,dFlt3,critFlt3))</f>
        <v/>
      </c>
      <c r="E146" t="str">
        <f>IF($B146="","",SUMIFS(dQty,dCust,$B146,dPer,"&gt;="&amp;pyFrom,dPer,"&lt;="&amp;pyTo,dQty,"&gt;-1E+300",dFlt1,critFlt1,dFlt2,critFlt2,dFlt3,critFlt3))</f>
        <v/>
      </c>
      <c r="F146" t="str">
        <f>IF($B146="","",SUMIFS(dQty,dCust,$B146,dPer,"&gt;="&amp;cyFrom,dPer,"&lt;="&amp;cyTo,dQty,"&gt;-1E+300",dFlt1,critFlt1,dFlt2,critFlt2,dFlt3,critFlt3))</f>
        <v/>
      </c>
      <c r="G146">
        <f>IF($B146="",0,IFERROR(IF(OR(C146&lt;&gt;0,D146&lt;&gt;0,E146&lt;&gt;0,F146&lt;&gt;0),1,0),1))</f>
        <v>0</v>
      </c>
      <c r="H146" t="str">
        <f>IF(OR(G146=0,E146=0),"",C146/E146)</f>
        <v/>
      </c>
      <c r="I146" t="str">
        <f>IF(OR(G146=0,F146=0),"",D146/F146)</f>
        <v/>
      </c>
      <c r="J146" t="str">
        <f>IF(OR(H146="",I146=""),"",IF(H146=0,"",I146/H146-1))</f>
        <v/>
      </c>
      <c r="K146" t="str">
        <f>IF($B146="","",IFERROR(IF(G146=0,-2E+300,CHOOSE(sortIdx,ROUND(D146,0),IF(J146="",-1E+300,ROUND(-J146,6)),IF(J146="",-1E+300,ROUND(J146,6)))),-1.5E+300))</f>
        <v/>
      </c>
      <c r="L146" t="str">
        <f>IF(K146="","",RANK(K146,$K$2:$K$3001,0)+COUNTIF($K$2:K146,K146)-1)</f>
        <v/>
      </c>
    </row>
    <row r="147">
      <c r="B147" t="str">
        <f>IFERROR(IF(A147="","","="&amp;SUBSTITUTE(SUBSTITUTE(SUBSTITUTE(A147,"~","~~"),"*","~*"),"?","~?")),"")</f>
        <v/>
      </c>
      <c r="C147" t="str">
        <f>IF($B147="","",SUMIFS(dAmt,dCust,$B147,dPer,"&gt;="&amp;pyFrom,dPer,"&lt;="&amp;pyTo,dAmt,"&gt;-1E+300",dFlt1,critFlt1,dFlt2,critFlt2,dFlt3,critFlt3))</f>
        <v/>
      </c>
      <c r="D147" t="str">
        <f>IF($B147="","",SUMIFS(dAmt,dCust,$B147,dPer,"&gt;="&amp;cyFrom,dPer,"&lt;="&amp;cyTo,dAmt,"&gt;-1E+300",dFlt1,critFlt1,dFlt2,critFlt2,dFlt3,critFlt3))</f>
        <v/>
      </c>
      <c r="E147" t="str">
        <f>IF($B147="","",SUMIFS(dQty,dCust,$B147,dPer,"&gt;="&amp;pyFrom,dPer,"&lt;="&amp;pyTo,dQty,"&gt;-1E+300",dFlt1,critFlt1,dFlt2,critFlt2,dFlt3,critFlt3))</f>
        <v/>
      </c>
      <c r="F147" t="str">
        <f>IF($B147="","",SUMIFS(dQty,dCust,$B147,dPer,"&gt;="&amp;cyFrom,dPer,"&lt;="&amp;cyTo,dQty,"&gt;-1E+300",dFlt1,critFlt1,dFlt2,critFlt2,dFlt3,critFlt3))</f>
        <v/>
      </c>
      <c r="G147">
        <f>IF($B147="",0,IFERROR(IF(OR(C147&lt;&gt;0,D147&lt;&gt;0,E147&lt;&gt;0,F147&lt;&gt;0),1,0),1))</f>
        <v>0</v>
      </c>
      <c r="H147" t="str">
        <f>IF(OR(G147=0,E147=0),"",C147/E147)</f>
        <v/>
      </c>
      <c r="I147" t="str">
        <f>IF(OR(G147=0,F147=0),"",D147/F147)</f>
        <v/>
      </c>
      <c r="J147" t="str">
        <f>IF(OR(H147="",I147=""),"",IF(H147=0,"",I147/H147-1))</f>
        <v/>
      </c>
      <c r="K147" t="str">
        <f>IF($B147="","",IFERROR(IF(G147=0,-2E+300,CHOOSE(sortIdx,ROUND(D147,0),IF(J147="",-1E+300,ROUND(-J147,6)),IF(J147="",-1E+300,ROUND(J147,6)))),-1.5E+300))</f>
        <v/>
      </c>
      <c r="L147" t="str">
        <f>IF(K147="","",RANK(K147,$K$2:$K$3001,0)+COUNTIF($K$2:K147,K147)-1)</f>
        <v/>
      </c>
    </row>
    <row r="148">
      <c r="B148" t="str">
        <f>IFERROR(IF(A148="","","="&amp;SUBSTITUTE(SUBSTITUTE(SUBSTITUTE(A148,"~","~~"),"*","~*"),"?","~?")),"")</f>
        <v/>
      </c>
      <c r="C148" t="str">
        <f>IF($B148="","",SUMIFS(dAmt,dCust,$B148,dPer,"&gt;="&amp;pyFrom,dPer,"&lt;="&amp;pyTo,dAmt,"&gt;-1E+300",dFlt1,critFlt1,dFlt2,critFlt2,dFlt3,critFlt3))</f>
        <v/>
      </c>
      <c r="D148" t="str">
        <f>IF($B148="","",SUMIFS(dAmt,dCust,$B148,dPer,"&gt;="&amp;cyFrom,dPer,"&lt;="&amp;cyTo,dAmt,"&gt;-1E+300",dFlt1,critFlt1,dFlt2,critFlt2,dFlt3,critFlt3))</f>
        <v/>
      </c>
      <c r="E148" t="str">
        <f>IF($B148="","",SUMIFS(dQty,dCust,$B148,dPer,"&gt;="&amp;pyFrom,dPer,"&lt;="&amp;pyTo,dQty,"&gt;-1E+300",dFlt1,critFlt1,dFlt2,critFlt2,dFlt3,critFlt3))</f>
        <v/>
      </c>
      <c r="F148" t="str">
        <f>IF($B148="","",SUMIFS(dQty,dCust,$B148,dPer,"&gt;="&amp;cyFrom,dPer,"&lt;="&amp;cyTo,dQty,"&gt;-1E+300",dFlt1,critFlt1,dFlt2,critFlt2,dFlt3,critFlt3))</f>
        <v/>
      </c>
      <c r="G148">
        <f>IF($B148="",0,IFERROR(IF(OR(C148&lt;&gt;0,D148&lt;&gt;0,E148&lt;&gt;0,F148&lt;&gt;0),1,0),1))</f>
        <v>0</v>
      </c>
      <c r="H148" t="str">
        <f>IF(OR(G148=0,E148=0),"",C148/E148)</f>
        <v/>
      </c>
      <c r="I148" t="str">
        <f>IF(OR(G148=0,F148=0),"",D148/F148)</f>
        <v/>
      </c>
      <c r="J148" t="str">
        <f>IF(OR(H148="",I148=""),"",IF(H148=0,"",I148/H148-1))</f>
        <v/>
      </c>
      <c r="K148" t="str">
        <f>IF($B148="","",IFERROR(IF(G148=0,-2E+300,CHOOSE(sortIdx,ROUND(D148,0),IF(J148="",-1E+300,ROUND(-J148,6)),IF(J148="",-1E+300,ROUND(J148,6)))),-1.5E+300))</f>
        <v/>
      </c>
      <c r="L148" t="str">
        <f>IF(K148="","",RANK(K148,$K$2:$K$3001,0)+COUNTIF($K$2:K148,K148)-1)</f>
        <v/>
      </c>
    </row>
    <row r="149">
      <c r="B149" t="str">
        <f>IFERROR(IF(A149="","","="&amp;SUBSTITUTE(SUBSTITUTE(SUBSTITUTE(A149,"~","~~"),"*","~*"),"?","~?")),"")</f>
        <v/>
      </c>
      <c r="C149" t="str">
        <f>IF($B149="","",SUMIFS(dAmt,dCust,$B149,dPer,"&gt;="&amp;pyFrom,dPer,"&lt;="&amp;pyTo,dAmt,"&gt;-1E+300",dFlt1,critFlt1,dFlt2,critFlt2,dFlt3,critFlt3))</f>
        <v/>
      </c>
      <c r="D149" t="str">
        <f>IF($B149="","",SUMIFS(dAmt,dCust,$B149,dPer,"&gt;="&amp;cyFrom,dPer,"&lt;="&amp;cyTo,dAmt,"&gt;-1E+300",dFlt1,critFlt1,dFlt2,critFlt2,dFlt3,critFlt3))</f>
        <v/>
      </c>
      <c r="E149" t="str">
        <f>IF($B149="","",SUMIFS(dQty,dCust,$B149,dPer,"&gt;="&amp;pyFrom,dPer,"&lt;="&amp;pyTo,dQty,"&gt;-1E+300",dFlt1,critFlt1,dFlt2,critFlt2,dFlt3,critFlt3))</f>
        <v/>
      </c>
      <c r="F149" t="str">
        <f>IF($B149="","",SUMIFS(dQty,dCust,$B149,dPer,"&gt;="&amp;cyFrom,dPer,"&lt;="&amp;cyTo,dQty,"&gt;-1E+300",dFlt1,critFlt1,dFlt2,critFlt2,dFlt3,critFlt3))</f>
        <v/>
      </c>
      <c r="G149">
        <f>IF($B149="",0,IFERROR(IF(OR(C149&lt;&gt;0,D149&lt;&gt;0,E149&lt;&gt;0,F149&lt;&gt;0),1,0),1))</f>
        <v>0</v>
      </c>
      <c r="H149" t="str">
        <f>IF(OR(G149=0,E149=0),"",C149/E149)</f>
        <v/>
      </c>
      <c r="I149" t="str">
        <f>IF(OR(G149=0,F149=0),"",D149/F149)</f>
        <v/>
      </c>
      <c r="J149" t="str">
        <f>IF(OR(H149="",I149=""),"",IF(H149=0,"",I149/H149-1))</f>
        <v/>
      </c>
      <c r="K149" t="str">
        <f>IF($B149="","",IFERROR(IF(G149=0,-2E+300,CHOOSE(sortIdx,ROUND(D149,0),IF(J149="",-1E+300,ROUND(-J149,6)),IF(J149="",-1E+300,ROUND(J149,6)))),-1.5E+300))</f>
        <v/>
      </c>
      <c r="L149" t="str">
        <f>IF(K149="","",RANK(K149,$K$2:$K$3001,0)+COUNTIF($K$2:K149,K149)-1)</f>
        <v/>
      </c>
    </row>
    <row r="150">
      <c r="B150" t="str">
        <f>IFERROR(IF(A150="","","="&amp;SUBSTITUTE(SUBSTITUTE(SUBSTITUTE(A150,"~","~~"),"*","~*"),"?","~?")),"")</f>
        <v/>
      </c>
      <c r="C150" t="str">
        <f>IF($B150="","",SUMIFS(dAmt,dCust,$B150,dPer,"&gt;="&amp;pyFrom,dPer,"&lt;="&amp;pyTo,dAmt,"&gt;-1E+300",dFlt1,critFlt1,dFlt2,critFlt2,dFlt3,critFlt3))</f>
        <v/>
      </c>
      <c r="D150" t="str">
        <f>IF($B150="","",SUMIFS(dAmt,dCust,$B150,dPer,"&gt;="&amp;cyFrom,dPer,"&lt;="&amp;cyTo,dAmt,"&gt;-1E+300",dFlt1,critFlt1,dFlt2,critFlt2,dFlt3,critFlt3))</f>
        <v/>
      </c>
      <c r="E150" t="str">
        <f>IF($B150="","",SUMIFS(dQty,dCust,$B150,dPer,"&gt;="&amp;pyFrom,dPer,"&lt;="&amp;pyTo,dQty,"&gt;-1E+300",dFlt1,critFlt1,dFlt2,critFlt2,dFlt3,critFlt3))</f>
        <v/>
      </c>
      <c r="F150" t="str">
        <f>IF($B150="","",SUMIFS(dQty,dCust,$B150,dPer,"&gt;="&amp;cyFrom,dPer,"&lt;="&amp;cyTo,dQty,"&gt;-1E+300",dFlt1,critFlt1,dFlt2,critFlt2,dFlt3,critFlt3))</f>
        <v/>
      </c>
      <c r="G150">
        <f>IF($B150="",0,IFERROR(IF(OR(C150&lt;&gt;0,D150&lt;&gt;0,E150&lt;&gt;0,F150&lt;&gt;0),1,0),1))</f>
        <v>0</v>
      </c>
      <c r="H150" t="str">
        <f>IF(OR(G150=0,E150=0),"",C150/E150)</f>
        <v/>
      </c>
      <c r="I150" t="str">
        <f>IF(OR(G150=0,F150=0),"",D150/F150)</f>
        <v/>
      </c>
      <c r="J150" t="str">
        <f>IF(OR(H150="",I150=""),"",IF(H150=0,"",I150/H150-1))</f>
        <v/>
      </c>
      <c r="K150" t="str">
        <f>IF($B150="","",IFERROR(IF(G150=0,-2E+300,CHOOSE(sortIdx,ROUND(D150,0),IF(J150="",-1E+300,ROUND(-J150,6)),IF(J150="",-1E+300,ROUND(J150,6)))),-1.5E+300))</f>
        <v/>
      </c>
      <c r="L150" t="str">
        <f>IF(K150="","",RANK(K150,$K$2:$K$3001,0)+COUNTIF($K$2:K150,K150)-1)</f>
        <v/>
      </c>
    </row>
    <row r="151">
      <c r="B151" t="str">
        <f>IFERROR(IF(A151="","","="&amp;SUBSTITUTE(SUBSTITUTE(SUBSTITUTE(A151,"~","~~"),"*","~*"),"?","~?")),"")</f>
        <v/>
      </c>
      <c r="C151" t="str">
        <f>IF($B151="","",SUMIFS(dAmt,dCust,$B151,dPer,"&gt;="&amp;pyFrom,dPer,"&lt;="&amp;pyTo,dAmt,"&gt;-1E+300",dFlt1,critFlt1,dFlt2,critFlt2,dFlt3,critFlt3))</f>
        <v/>
      </c>
      <c r="D151" t="str">
        <f>IF($B151="","",SUMIFS(dAmt,dCust,$B151,dPer,"&gt;="&amp;cyFrom,dPer,"&lt;="&amp;cyTo,dAmt,"&gt;-1E+300",dFlt1,critFlt1,dFlt2,critFlt2,dFlt3,critFlt3))</f>
        <v/>
      </c>
      <c r="E151" t="str">
        <f>IF($B151="","",SUMIFS(dQty,dCust,$B151,dPer,"&gt;="&amp;pyFrom,dPer,"&lt;="&amp;pyTo,dQty,"&gt;-1E+300",dFlt1,critFlt1,dFlt2,critFlt2,dFlt3,critFlt3))</f>
        <v/>
      </c>
      <c r="F151" t="str">
        <f>IF($B151="","",SUMIFS(dQty,dCust,$B151,dPer,"&gt;="&amp;cyFrom,dPer,"&lt;="&amp;cyTo,dQty,"&gt;-1E+300",dFlt1,critFlt1,dFlt2,critFlt2,dFlt3,critFlt3))</f>
        <v/>
      </c>
      <c r="G151">
        <f>IF($B151="",0,IFERROR(IF(OR(C151&lt;&gt;0,D151&lt;&gt;0,E151&lt;&gt;0,F151&lt;&gt;0),1,0),1))</f>
        <v>0</v>
      </c>
      <c r="H151" t="str">
        <f>IF(OR(G151=0,E151=0),"",C151/E151)</f>
        <v/>
      </c>
      <c r="I151" t="str">
        <f>IF(OR(G151=0,F151=0),"",D151/F151)</f>
        <v/>
      </c>
      <c r="J151" t="str">
        <f>IF(OR(H151="",I151=""),"",IF(H151=0,"",I151/H151-1))</f>
        <v/>
      </c>
      <c r="K151" t="str">
        <f>IF($B151="","",IFERROR(IF(G151=0,-2E+300,CHOOSE(sortIdx,ROUND(D151,0),IF(J151="",-1E+300,ROUND(-J151,6)),IF(J151="",-1E+300,ROUND(J151,6)))),-1.5E+300))</f>
        <v/>
      </c>
      <c r="L151" t="str">
        <f>IF(K151="","",RANK(K151,$K$2:$K$3001,0)+COUNTIF($K$2:K151,K151)-1)</f>
        <v/>
      </c>
    </row>
    <row r="152">
      <c r="B152" t="str">
        <f>IFERROR(IF(A152="","","="&amp;SUBSTITUTE(SUBSTITUTE(SUBSTITUTE(A152,"~","~~"),"*","~*"),"?","~?")),"")</f>
        <v/>
      </c>
      <c r="C152" t="str">
        <f>IF($B152="","",SUMIFS(dAmt,dCust,$B152,dPer,"&gt;="&amp;pyFrom,dPer,"&lt;="&amp;pyTo,dAmt,"&gt;-1E+300",dFlt1,critFlt1,dFlt2,critFlt2,dFlt3,critFlt3))</f>
        <v/>
      </c>
      <c r="D152" t="str">
        <f>IF($B152="","",SUMIFS(dAmt,dCust,$B152,dPer,"&gt;="&amp;cyFrom,dPer,"&lt;="&amp;cyTo,dAmt,"&gt;-1E+300",dFlt1,critFlt1,dFlt2,critFlt2,dFlt3,critFlt3))</f>
        <v/>
      </c>
      <c r="E152" t="str">
        <f>IF($B152="","",SUMIFS(dQty,dCust,$B152,dPer,"&gt;="&amp;pyFrom,dPer,"&lt;="&amp;pyTo,dQty,"&gt;-1E+300",dFlt1,critFlt1,dFlt2,critFlt2,dFlt3,critFlt3))</f>
        <v/>
      </c>
      <c r="F152" t="str">
        <f>IF($B152="","",SUMIFS(dQty,dCust,$B152,dPer,"&gt;="&amp;cyFrom,dPer,"&lt;="&amp;cyTo,dQty,"&gt;-1E+300",dFlt1,critFlt1,dFlt2,critFlt2,dFlt3,critFlt3))</f>
        <v/>
      </c>
      <c r="G152">
        <f>IF($B152="",0,IFERROR(IF(OR(C152&lt;&gt;0,D152&lt;&gt;0,E152&lt;&gt;0,F152&lt;&gt;0),1,0),1))</f>
        <v>0</v>
      </c>
      <c r="H152" t="str">
        <f>IF(OR(G152=0,E152=0),"",C152/E152)</f>
        <v/>
      </c>
      <c r="I152" t="str">
        <f>IF(OR(G152=0,F152=0),"",D152/F152)</f>
        <v/>
      </c>
      <c r="J152" t="str">
        <f>IF(OR(H152="",I152=""),"",IF(H152=0,"",I152/H152-1))</f>
        <v/>
      </c>
      <c r="K152" t="str">
        <f>IF($B152="","",IFERROR(IF(G152=0,-2E+300,CHOOSE(sortIdx,ROUND(D152,0),IF(J152="",-1E+300,ROUND(-J152,6)),IF(J152="",-1E+300,ROUND(J152,6)))),-1.5E+300))</f>
        <v/>
      </c>
      <c r="L152" t="str">
        <f>IF(K152="","",RANK(K152,$K$2:$K$3001,0)+COUNTIF($K$2:K152,K152)-1)</f>
        <v/>
      </c>
    </row>
    <row r="153">
      <c r="B153" t="str">
        <f>IFERROR(IF(A153="","","="&amp;SUBSTITUTE(SUBSTITUTE(SUBSTITUTE(A153,"~","~~"),"*","~*"),"?","~?")),"")</f>
        <v/>
      </c>
      <c r="C153" t="str">
        <f>IF($B153="","",SUMIFS(dAmt,dCust,$B153,dPer,"&gt;="&amp;pyFrom,dPer,"&lt;="&amp;pyTo,dAmt,"&gt;-1E+300",dFlt1,critFlt1,dFlt2,critFlt2,dFlt3,critFlt3))</f>
        <v/>
      </c>
      <c r="D153" t="str">
        <f>IF($B153="","",SUMIFS(dAmt,dCust,$B153,dPer,"&gt;="&amp;cyFrom,dPer,"&lt;="&amp;cyTo,dAmt,"&gt;-1E+300",dFlt1,critFlt1,dFlt2,critFlt2,dFlt3,critFlt3))</f>
        <v/>
      </c>
      <c r="E153" t="str">
        <f>IF($B153="","",SUMIFS(dQty,dCust,$B153,dPer,"&gt;="&amp;pyFrom,dPer,"&lt;="&amp;pyTo,dQty,"&gt;-1E+300",dFlt1,critFlt1,dFlt2,critFlt2,dFlt3,critFlt3))</f>
        <v/>
      </c>
      <c r="F153" t="str">
        <f>IF($B153="","",SUMIFS(dQty,dCust,$B153,dPer,"&gt;="&amp;cyFrom,dPer,"&lt;="&amp;cyTo,dQty,"&gt;-1E+300",dFlt1,critFlt1,dFlt2,critFlt2,dFlt3,critFlt3))</f>
        <v/>
      </c>
      <c r="G153">
        <f>IF($B153="",0,IFERROR(IF(OR(C153&lt;&gt;0,D153&lt;&gt;0,E153&lt;&gt;0,F153&lt;&gt;0),1,0),1))</f>
        <v>0</v>
      </c>
      <c r="H153" t="str">
        <f>IF(OR(G153=0,E153=0),"",C153/E153)</f>
        <v/>
      </c>
      <c r="I153" t="str">
        <f>IF(OR(G153=0,F153=0),"",D153/F153)</f>
        <v/>
      </c>
      <c r="J153" t="str">
        <f>IF(OR(H153="",I153=""),"",IF(H153=0,"",I153/H153-1))</f>
        <v/>
      </c>
      <c r="K153" t="str">
        <f>IF($B153="","",IFERROR(IF(G153=0,-2E+300,CHOOSE(sortIdx,ROUND(D153,0),IF(J153="",-1E+300,ROUND(-J153,6)),IF(J153="",-1E+300,ROUND(J153,6)))),-1.5E+300))</f>
        <v/>
      </c>
      <c r="L153" t="str">
        <f>IF(K153="","",RANK(K153,$K$2:$K$3001,0)+COUNTIF($K$2:K153,K153)-1)</f>
        <v/>
      </c>
    </row>
    <row r="154">
      <c r="B154" t="str">
        <f>IFERROR(IF(A154="","","="&amp;SUBSTITUTE(SUBSTITUTE(SUBSTITUTE(A154,"~","~~"),"*","~*"),"?","~?")),"")</f>
        <v/>
      </c>
      <c r="C154" t="str">
        <f>IF($B154="","",SUMIFS(dAmt,dCust,$B154,dPer,"&gt;="&amp;pyFrom,dPer,"&lt;="&amp;pyTo,dAmt,"&gt;-1E+300",dFlt1,critFlt1,dFlt2,critFlt2,dFlt3,critFlt3))</f>
        <v/>
      </c>
      <c r="D154" t="str">
        <f>IF($B154="","",SUMIFS(dAmt,dCust,$B154,dPer,"&gt;="&amp;cyFrom,dPer,"&lt;="&amp;cyTo,dAmt,"&gt;-1E+300",dFlt1,critFlt1,dFlt2,critFlt2,dFlt3,critFlt3))</f>
        <v/>
      </c>
      <c r="E154" t="str">
        <f>IF($B154="","",SUMIFS(dQty,dCust,$B154,dPer,"&gt;="&amp;pyFrom,dPer,"&lt;="&amp;pyTo,dQty,"&gt;-1E+300",dFlt1,critFlt1,dFlt2,critFlt2,dFlt3,critFlt3))</f>
        <v/>
      </c>
      <c r="F154" t="str">
        <f>IF($B154="","",SUMIFS(dQty,dCust,$B154,dPer,"&gt;="&amp;cyFrom,dPer,"&lt;="&amp;cyTo,dQty,"&gt;-1E+300",dFlt1,critFlt1,dFlt2,critFlt2,dFlt3,critFlt3))</f>
        <v/>
      </c>
      <c r="G154">
        <f>IF($B154="",0,IFERROR(IF(OR(C154&lt;&gt;0,D154&lt;&gt;0,E154&lt;&gt;0,F154&lt;&gt;0),1,0),1))</f>
        <v>0</v>
      </c>
      <c r="H154" t="str">
        <f>IF(OR(G154=0,E154=0),"",C154/E154)</f>
        <v/>
      </c>
      <c r="I154" t="str">
        <f>IF(OR(G154=0,F154=0),"",D154/F154)</f>
        <v/>
      </c>
      <c r="J154" t="str">
        <f>IF(OR(H154="",I154=""),"",IF(H154=0,"",I154/H154-1))</f>
        <v/>
      </c>
      <c r="K154" t="str">
        <f>IF($B154="","",IFERROR(IF(G154=0,-2E+300,CHOOSE(sortIdx,ROUND(D154,0),IF(J154="",-1E+300,ROUND(-J154,6)),IF(J154="",-1E+300,ROUND(J154,6)))),-1.5E+300))</f>
        <v/>
      </c>
      <c r="L154" t="str">
        <f>IF(K154="","",RANK(K154,$K$2:$K$3001,0)+COUNTIF($K$2:K154,K154)-1)</f>
        <v/>
      </c>
    </row>
    <row r="155">
      <c r="B155" t="str">
        <f>IFERROR(IF(A155="","","="&amp;SUBSTITUTE(SUBSTITUTE(SUBSTITUTE(A155,"~","~~"),"*","~*"),"?","~?")),"")</f>
        <v/>
      </c>
      <c r="C155" t="str">
        <f>IF($B155="","",SUMIFS(dAmt,dCust,$B155,dPer,"&gt;="&amp;pyFrom,dPer,"&lt;="&amp;pyTo,dAmt,"&gt;-1E+300",dFlt1,critFlt1,dFlt2,critFlt2,dFlt3,critFlt3))</f>
        <v/>
      </c>
      <c r="D155" t="str">
        <f>IF($B155="","",SUMIFS(dAmt,dCust,$B155,dPer,"&gt;="&amp;cyFrom,dPer,"&lt;="&amp;cyTo,dAmt,"&gt;-1E+300",dFlt1,critFlt1,dFlt2,critFlt2,dFlt3,critFlt3))</f>
        <v/>
      </c>
      <c r="E155" t="str">
        <f>IF($B155="","",SUMIFS(dQty,dCust,$B155,dPer,"&gt;="&amp;pyFrom,dPer,"&lt;="&amp;pyTo,dQty,"&gt;-1E+300",dFlt1,critFlt1,dFlt2,critFlt2,dFlt3,critFlt3))</f>
        <v/>
      </c>
      <c r="F155" t="str">
        <f>IF($B155="","",SUMIFS(dQty,dCust,$B155,dPer,"&gt;="&amp;cyFrom,dPer,"&lt;="&amp;cyTo,dQty,"&gt;-1E+300",dFlt1,critFlt1,dFlt2,critFlt2,dFlt3,critFlt3))</f>
        <v/>
      </c>
      <c r="G155">
        <f>IF($B155="",0,IFERROR(IF(OR(C155&lt;&gt;0,D155&lt;&gt;0,E155&lt;&gt;0,F155&lt;&gt;0),1,0),1))</f>
        <v>0</v>
      </c>
      <c r="H155" t="str">
        <f>IF(OR(G155=0,E155=0),"",C155/E155)</f>
        <v/>
      </c>
      <c r="I155" t="str">
        <f>IF(OR(G155=0,F155=0),"",D155/F155)</f>
        <v/>
      </c>
      <c r="J155" t="str">
        <f>IF(OR(H155="",I155=""),"",IF(H155=0,"",I155/H155-1))</f>
        <v/>
      </c>
      <c r="K155" t="str">
        <f>IF($B155="","",IFERROR(IF(G155=0,-2E+300,CHOOSE(sortIdx,ROUND(D155,0),IF(J155="",-1E+300,ROUND(-J155,6)),IF(J155="",-1E+300,ROUND(J155,6)))),-1.5E+300))</f>
        <v/>
      </c>
      <c r="L155" t="str">
        <f>IF(K155="","",RANK(K155,$K$2:$K$3001,0)+COUNTIF($K$2:K155,K155)-1)</f>
        <v/>
      </c>
    </row>
    <row r="156">
      <c r="B156" t="str">
        <f>IFERROR(IF(A156="","","="&amp;SUBSTITUTE(SUBSTITUTE(SUBSTITUTE(A156,"~","~~"),"*","~*"),"?","~?")),"")</f>
        <v/>
      </c>
      <c r="C156" t="str">
        <f>IF($B156="","",SUMIFS(dAmt,dCust,$B156,dPer,"&gt;="&amp;pyFrom,dPer,"&lt;="&amp;pyTo,dAmt,"&gt;-1E+300",dFlt1,critFlt1,dFlt2,critFlt2,dFlt3,critFlt3))</f>
        <v/>
      </c>
      <c r="D156" t="str">
        <f>IF($B156="","",SUMIFS(dAmt,dCust,$B156,dPer,"&gt;="&amp;cyFrom,dPer,"&lt;="&amp;cyTo,dAmt,"&gt;-1E+300",dFlt1,critFlt1,dFlt2,critFlt2,dFlt3,critFlt3))</f>
        <v/>
      </c>
      <c r="E156" t="str">
        <f>IF($B156="","",SUMIFS(dQty,dCust,$B156,dPer,"&gt;="&amp;pyFrom,dPer,"&lt;="&amp;pyTo,dQty,"&gt;-1E+300",dFlt1,critFlt1,dFlt2,critFlt2,dFlt3,critFlt3))</f>
        <v/>
      </c>
      <c r="F156" t="str">
        <f>IF($B156="","",SUMIFS(dQty,dCust,$B156,dPer,"&gt;="&amp;cyFrom,dPer,"&lt;="&amp;cyTo,dQty,"&gt;-1E+300",dFlt1,critFlt1,dFlt2,critFlt2,dFlt3,critFlt3))</f>
        <v/>
      </c>
      <c r="G156">
        <f>IF($B156="",0,IFERROR(IF(OR(C156&lt;&gt;0,D156&lt;&gt;0,E156&lt;&gt;0,F156&lt;&gt;0),1,0),1))</f>
        <v>0</v>
      </c>
      <c r="H156" t="str">
        <f>IF(OR(G156=0,E156=0),"",C156/E156)</f>
        <v/>
      </c>
      <c r="I156" t="str">
        <f>IF(OR(G156=0,F156=0),"",D156/F156)</f>
        <v/>
      </c>
      <c r="J156" t="str">
        <f>IF(OR(H156="",I156=""),"",IF(H156=0,"",I156/H156-1))</f>
        <v/>
      </c>
      <c r="K156" t="str">
        <f>IF($B156="","",IFERROR(IF(G156=0,-2E+300,CHOOSE(sortIdx,ROUND(D156,0),IF(J156="",-1E+300,ROUND(-J156,6)),IF(J156="",-1E+300,ROUND(J156,6)))),-1.5E+300))</f>
        <v/>
      </c>
      <c r="L156" t="str">
        <f>IF(K156="","",RANK(K156,$K$2:$K$3001,0)+COUNTIF($K$2:K156,K156)-1)</f>
        <v/>
      </c>
    </row>
    <row r="157">
      <c r="B157" t="str">
        <f>IFERROR(IF(A157="","","="&amp;SUBSTITUTE(SUBSTITUTE(SUBSTITUTE(A157,"~","~~"),"*","~*"),"?","~?")),"")</f>
        <v/>
      </c>
      <c r="C157" t="str">
        <f>IF($B157="","",SUMIFS(dAmt,dCust,$B157,dPer,"&gt;="&amp;pyFrom,dPer,"&lt;="&amp;pyTo,dAmt,"&gt;-1E+300",dFlt1,critFlt1,dFlt2,critFlt2,dFlt3,critFlt3))</f>
        <v/>
      </c>
      <c r="D157" t="str">
        <f>IF($B157="","",SUMIFS(dAmt,dCust,$B157,dPer,"&gt;="&amp;cyFrom,dPer,"&lt;="&amp;cyTo,dAmt,"&gt;-1E+300",dFlt1,critFlt1,dFlt2,critFlt2,dFlt3,critFlt3))</f>
        <v/>
      </c>
      <c r="E157" t="str">
        <f>IF($B157="","",SUMIFS(dQty,dCust,$B157,dPer,"&gt;="&amp;pyFrom,dPer,"&lt;="&amp;pyTo,dQty,"&gt;-1E+300",dFlt1,critFlt1,dFlt2,critFlt2,dFlt3,critFlt3))</f>
        <v/>
      </c>
      <c r="F157" t="str">
        <f>IF($B157="","",SUMIFS(dQty,dCust,$B157,dPer,"&gt;="&amp;cyFrom,dPer,"&lt;="&amp;cyTo,dQty,"&gt;-1E+300",dFlt1,critFlt1,dFlt2,critFlt2,dFlt3,critFlt3))</f>
        <v/>
      </c>
      <c r="G157">
        <f>IF($B157="",0,IFERROR(IF(OR(C157&lt;&gt;0,D157&lt;&gt;0,E157&lt;&gt;0,F157&lt;&gt;0),1,0),1))</f>
        <v>0</v>
      </c>
      <c r="H157" t="str">
        <f>IF(OR(G157=0,E157=0),"",C157/E157)</f>
        <v/>
      </c>
      <c r="I157" t="str">
        <f>IF(OR(G157=0,F157=0),"",D157/F157)</f>
        <v/>
      </c>
      <c r="J157" t="str">
        <f>IF(OR(H157="",I157=""),"",IF(H157=0,"",I157/H157-1))</f>
        <v/>
      </c>
      <c r="K157" t="str">
        <f>IF($B157="","",IFERROR(IF(G157=0,-2E+300,CHOOSE(sortIdx,ROUND(D157,0),IF(J157="",-1E+300,ROUND(-J157,6)),IF(J157="",-1E+300,ROUND(J157,6)))),-1.5E+300))</f>
        <v/>
      </c>
      <c r="L157" t="str">
        <f>IF(K157="","",RANK(K157,$K$2:$K$3001,0)+COUNTIF($K$2:K157,K157)-1)</f>
        <v/>
      </c>
    </row>
    <row r="158">
      <c r="B158" t="str">
        <f>IFERROR(IF(A158="","","="&amp;SUBSTITUTE(SUBSTITUTE(SUBSTITUTE(A158,"~","~~"),"*","~*"),"?","~?")),"")</f>
        <v/>
      </c>
      <c r="C158" t="str">
        <f>IF($B158="","",SUMIFS(dAmt,dCust,$B158,dPer,"&gt;="&amp;pyFrom,dPer,"&lt;="&amp;pyTo,dAmt,"&gt;-1E+300",dFlt1,critFlt1,dFlt2,critFlt2,dFlt3,critFlt3))</f>
        <v/>
      </c>
      <c r="D158" t="str">
        <f>IF($B158="","",SUMIFS(dAmt,dCust,$B158,dPer,"&gt;="&amp;cyFrom,dPer,"&lt;="&amp;cyTo,dAmt,"&gt;-1E+300",dFlt1,critFlt1,dFlt2,critFlt2,dFlt3,critFlt3))</f>
        <v/>
      </c>
      <c r="E158" t="str">
        <f>IF($B158="","",SUMIFS(dQty,dCust,$B158,dPer,"&gt;="&amp;pyFrom,dPer,"&lt;="&amp;pyTo,dQty,"&gt;-1E+300",dFlt1,critFlt1,dFlt2,critFlt2,dFlt3,critFlt3))</f>
        <v/>
      </c>
      <c r="F158" t="str">
        <f>IF($B158="","",SUMIFS(dQty,dCust,$B158,dPer,"&gt;="&amp;cyFrom,dPer,"&lt;="&amp;cyTo,dQty,"&gt;-1E+300",dFlt1,critFlt1,dFlt2,critFlt2,dFlt3,critFlt3))</f>
        <v/>
      </c>
      <c r="G158">
        <f>IF($B158="",0,IFERROR(IF(OR(C158&lt;&gt;0,D158&lt;&gt;0,E158&lt;&gt;0,F158&lt;&gt;0),1,0),1))</f>
        <v>0</v>
      </c>
      <c r="H158" t="str">
        <f>IF(OR(G158=0,E158=0),"",C158/E158)</f>
        <v/>
      </c>
      <c r="I158" t="str">
        <f>IF(OR(G158=0,F158=0),"",D158/F158)</f>
        <v/>
      </c>
      <c r="J158" t="str">
        <f>IF(OR(H158="",I158=""),"",IF(H158=0,"",I158/H158-1))</f>
        <v/>
      </c>
      <c r="K158" t="str">
        <f>IF($B158="","",IFERROR(IF(G158=0,-2E+300,CHOOSE(sortIdx,ROUND(D158,0),IF(J158="",-1E+300,ROUND(-J158,6)),IF(J158="",-1E+300,ROUND(J158,6)))),-1.5E+300))</f>
        <v/>
      </c>
      <c r="L158" t="str">
        <f>IF(K158="","",RANK(K158,$K$2:$K$3001,0)+COUNTIF($K$2:K158,K158)-1)</f>
        <v/>
      </c>
    </row>
    <row r="159">
      <c r="B159" t="str">
        <f>IFERROR(IF(A159="","","="&amp;SUBSTITUTE(SUBSTITUTE(SUBSTITUTE(A159,"~","~~"),"*","~*"),"?","~?")),"")</f>
        <v/>
      </c>
      <c r="C159" t="str">
        <f>IF($B159="","",SUMIFS(dAmt,dCust,$B159,dPer,"&gt;="&amp;pyFrom,dPer,"&lt;="&amp;pyTo,dAmt,"&gt;-1E+300",dFlt1,critFlt1,dFlt2,critFlt2,dFlt3,critFlt3))</f>
        <v/>
      </c>
      <c r="D159" t="str">
        <f>IF($B159="","",SUMIFS(dAmt,dCust,$B159,dPer,"&gt;="&amp;cyFrom,dPer,"&lt;="&amp;cyTo,dAmt,"&gt;-1E+300",dFlt1,critFlt1,dFlt2,critFlt2,dFlt3,critFlt3))</f>
        <v/>
      </c>
      <c r="E159" t="str">
        <f>IF($B159="","",SUMIFS(dQty,dCust,$B159,dPer,"&gt;="&amp;pyFrom,dPer,"&lt;="&amp;pyTo,dQty,"&gt;-1E+300",dFlt1,critFlt1,dFlt2,critFlt2,dFlt3,critFlt3))</f>
        <v/>
      </c>
      <c r="F159" t="str">
        <f>IF($B159="","",SUMIFS(dQty,dCust,$B159,dPer,"&gt;="&amp;cyFrom,dPer,"&lt;="&amp;cyTo,dQty,"&gt;-1E+300",dFlt1,critFlt1,dFlt2,critFlt2,dFlt3,critFlt3))</f>
        <v/>
      </c>
      <c r="G159">
        <f>IF($B159="",0,IFERROR(IF(OR(C159&lt;&gt;0,D159&lt;&gt;0,E159&lt;&gt;0,F159&lt;&gt;0),1,0),1))</f>
        <v>0</v>
      </c>
      <c r="H159" t="str">
        <f>IF(OR(G159=0,E159=0),"",C159/E159)</f>
        <v/>
      </c>
      <c r="I159" t="str">
        <f>IF(OR(G159=0,F159=0),"",D159/F159)</f>
        <v/>
      </c>
      <c r="J159" t="str">
        <f>IF(OR(H159="",I159=""),"",IF(H159=0,"",I159/H159-1))</f>
        <v/>
      </c>
      <c r="K159" t="str">
        <f>IF($B159="","",IFERROR(IF(G159=0,-2E+300,CHOOSE(sortIdx,ROUND(D159,0),IF(J159="",-1E+300,ROUND(-J159,6)),IF(J159="",-1E+300,ROUND(J159,6)))),-1.5E+300))</f>
        <v/>
      </c>
      <c r="L159" t="str">
        <f>IF(K159="","",RANK(K159,$K$2:$K$3001,0)+COUNTIF($K$2:K159,K159)-1)</f>
        <v/>
      </c>
    </row>
    <row r="160">
      <c r="B160" t="str">
        <f>IFERROR(IF(A160="","","="&amp;SUBSTITUTE(SUBSTITUTE(SUBSTITUTE(A160,"~","~~"),"*","~*"),"?","~?")),"")</f>
        <v/>
      </c>
      <c r="C160" t="str">
        <f>IF($B160="","",SUMIFS(dAmt,dCust,$B160,dPer,"&gt;="&amp;pyFrom,dPer,"&lt;="&amp;pyTo,dAmt,"&gt;-1E+300",dFlt1,critFlt1,dFlt2,critFlt2,dFlt3,critFlt3))</f>
        <v/>
      </c>
      <c r="D160" t="str">
        <f>IF($B160="","",SUMIFS(dAmt,dCust,$B160,dPer,"&gt;="&amp;cyFrom,dPer,"&lt;="&amp;cyTo,dAmt,"&gt;-1E+300",dFlt1,critFlt1,dFlt2,critFlt2,dFlt3,critFlt3))</f>
        <v/>
      </c>
      <c r="E160" t="str">
        <f>IF($B160="","",SUMIFS(dQty,dCust,$B160,dPer,"&gt;="&amp;pyFrom,dPer,"&lt;="&amp;pyTo,dQty,"&gt;-1E+300",dFlt1,critFlt1,dFlt2,critFlt2,dFlt3,critFlt3))</f>
        <v/>
      </c>
      <c r="F160" t="str">
        <f>IF($B160="","",SUMIFS(dQty,dCust,$B160,dPer,"&gt;="&amp;cyFrom,dPer,"&lt;="&amp;cyTo,dQty,"&gt;-1E+300",dFlt1,critFlt1,dFlt2,critFlt2,dFlt3,critFlt3))</f>
        <v/>
      </c>
      <c r="G160">
        <f>IF($B160="",0,IFERROR(IF(OR(C160&lt;&gt;0,D160&lt;&gt;0,E160&lt;&gt;0,F160&lt;&gt;0),1,0),1))</f>
        <v>0</v>
      </c>
      <c r="H160" t="str">
        <f>IF(OR(G160=0,E160=0),"",C160/E160)</f>
        <v/>
      </c>
      <c r="I160" t="str">
        <f>IF(OR(G160=0,F160=0),"",D160/F160)</f>
        <v/>
      </c>
      <c r="J160" t="str">
        <f>IF(OR(H160="",I160=""),"",IF(H160=0,"",I160/H160-1))</f>
        <v/>
      </c>
      <c r="K160" t="str">
        <f>IF($B160="","",IFERROR(IF(G160=0,-2E+300,CHOOSE(sortIdx,ROUND(D160,0),IF(J160="",-1E+300,ROUND(-J160,6)),IF(J160="",-1E+300,ROUND(J160,6)))),-1.5E+300))</f>
        <v/>
      </c>
      <c r="L160" t="str">
        <f>IF(K160="","",RANK(K160,$K$2:$K$3001,0)+COUNTIF($K$2:K160,K160)-1)</f>
        <v/>
      </c>
    </row>
    <row r="161">
      <c r="B161" t="str">
        <f>IFERROR(IF(A161="","","="&amp;SUBSTITUTE(SUBSTITUTE(SUBSTITUTE(A161,"~","~~"),"*","~*"),"?","~?")),"")</f>
        <v/>
      </c>
      <c r="C161" t="str">
        <f>IF($B161="","",SUMIFS(dAmt,dCust,$B161,dPer,"&gt;="&amp;pyFrom,dPer,"&lt;="&amp;pyTo,dAmt,"&gt;-1E+300",dFlt1,critFlt1,dFlt2,critFlt2,dFlt3,critFlt3))</f>
        <v/>
      </c>
      <c r="D161" t="str">
        <f>IF($B161="","",SUMIFS(dAmt,dCust,$B161,dPer,"&gt;="&amp;cyFrom,dPer,"&lt;="&amp;cyTo,dAmt,"&gt;-1E+300",dFlt1,critFlt1,dFlt2,critFlt2,dFlt3,critFlt3))</f>
        <v/>
      </c>
      <c r="E161" t="str">
        <f>IF($B161="","",SUMIFS(dQty,dCust,$B161,dPer,"&gt;="&amp;pyFrom,dPer,"&lt;="&amp;pyTo,dQty,"&gt;-1E+300",dFlt1,critFlt1,dFlt2,critFlt2,dFlt3,critFlt3))</f>
        <v/>
      </c>
      <c r="F161" t="str">
        <f>IF($B161="","",SUMIFS(dQty,dCust,$B161,dPer,"&gt;="&amp;cyFrom,dPer,"&lt;="&amp;cyTo,dQty,"&gt;-1E+300",dFlt1,critFlt1,dFlt2,critFlt2,dFlt3,critFlt3))</f>
        <v/>
      </c>
      <c r="G161">
        <f>IF($B161="",0,IFERROR(IF(OR(C161&lt;&gt;0,D161&lt;&gt;0,E161&lt;&gt;0,F161&lt;&gt;0),1,0),1))</f>
        <v>0</v>
      </c>
      <c r="H161" t="str">
        <f>IF(OR(G161=0,E161=0),"",C161/E161)</f>
        <v/>
      </c>
      <c r="I161" t="str">
        <f>IF(OR(G161=0,F161=0),"",D161/F161)</f>
        <v/>
      </c>
      <c r="J161" t="str">
        <f>IF(OR(H161="",I161=""),"",IF(H161=0,"",I161/H161-1))</f>
        <v/>
      </c>
      <c r="K161" t="str">
        <f>IF($B161="","",IFERROR(IF(G161=0,-2E+300,CHOOSE(sortIdx,ROUND(D161,0),IF(J161="",-1E+300,ROUND(-J161,6)),IF(J161="",-1E+300,ROUND(J161,6)))),-1.5E+300))</f>
        <v/>
      </c>
      <c r="L161" t="str">
        <f>IF(K161="","",RANK(K161,$K$2:$K$3001,0)+COUNTIF($K$2:K161,K161)-1)</f>
        <v/>
      </c>
    </row>
    <row r="162">
      <c r="B162" t="str">
        <f>IFERROR(IF(A162="","","="&amp;SUBSTITUTE(SUBSTITUTE(SUBSTITUTE(A162,"~","~~"),"*","~*"),"?","~?")),"")</f>
        <v/>
      </c>
      <c r="C162" t="str">
        <f>IF($B162="","",SUMIFS(dAmt,dCust,$B162,dPer,"&gt;="&amp;pyFrom,dPer,"&lt;="&amp;pyTo,dAmt,"&gt;-1E+300",dFlt1,critFlt1,dFlt2,critFlt2,dFlt3,critFlt3))</f>
        <v/>
      </c>
      <c r="D162" t="str">
        <f>IF($B162="","",SUMIFS(dAmt,dCust,$B162,dPer,"&gt;="&amp;cyFrom,dPer,"&lt;="&amp;cyTo,dAmt,"&gt;-1E+300",dFlt1,critFlt1,dFlt2,critFlt2,dFlt3,critFlt3))</f>
        <v/>
      </c>
      <c r="E162" t="str">
        <f>IF($B162="","",SUMIFS(dQty,dCust,$B162,dPer,"&gt;="&amp;pyFrom,dPer,"&lt;="&amp;pyTo,dQty,"&gt;-1E+300",dFlt1,critFlt1,dFlt2,critFlt2,dFlt3,critFlt3))</f>
        <v/>
      </c>
      <c r="F162" t="str">
        <f>IF($B162="","",SUMIFS(dQty,dCust,$B162,dPer,"&gt;="&amp;cyFrom,dPer,"&lt;="&amp;cyTo,dQty,"&gt;-1E+300",dFlt1,critFlt1,dFlt2,critFlt2,dFlt3,critFlt3))</f>
        <v/>
      </c>
      <c r="G162">
        <f>IF($B162="",0,IFERROR(IF(OR(C162&lt;&gt;0,D162&lt;&gt;0,E162&lt;&gt;0,F162&lt;&gt;0),1,0),1))</f>
        <v>0</v>
      </c>
      <c r="H162" t="str">
        <f>IF(OR(G162=0,E162=0),"",C162/E162)</f>
        <v/>
      </c>
      <c r="I162" t="str">
        <f>IF(OR(G162=0,F162=0),"",D162/F162)</f>
        <v/>
      </c>
      <c r="J162" t="str">
        <f>IF(OR(H162="",I162=""),"",IF(H162=0,"",I162/H162-1))</f>
        <v/>
      </c>
      <c r="K162" t="str">
        <f>IF($B162="","",IFERROR(IF(G162=0,-2E+300,CHOOSE(sortIdx,ROUND(D162,0),IF(J162="",-1E+300,ROUND(-J162,6)),IF(J162="",-1E+300,ROUND(J162,6)))),-1.5E+300))</f>
        <v/>
      </c>
      <c r="L162" t="str">
        <f>IF(K162="","",RANK(K162,$K$2:$K$3001,0)+COUNTIF($K$2:K162,K162)-1)</f>
        <v/>
      </c>
    </row>
    <row r="163">
      <c r="B163" t="str">
        <f>IFERROR(IF(A163="","","="&amp;SUBSTITUTE(SUBSTITUTE(SUBSTITUTE(A163,"~","~~"),"*","~*"),"?","~?")),"")</f>
        <v/>
      </c>
      <c r="C163" t="str">
        <f>IF($B163="","",SUMIFS(dAmt,dCust,$B163,dPer,"&gt;="&amp;pyFrom,dPer,"&lt;="&amp;pyTo,dAmt,"&gt;-1E+300",dFlt1,critFlt1,dFlt2,critFlt2,dFlt3,critFlt3))</f>
        <v/>
      </c>
      <c r="D163" t="str">
        <f>IF($B163="","",SUMIFS(dAmt,dCust,$B163,dPer,"&gt;="&amp;cyFrom,dPer,"&lt;="&amp;cyTo,dAmt,"&gt;-1E+300",dFlt1,critFlt1,dFlt2,critFlt2,dFlt3,critFlt3))</f>
        <v/>
      </c>
      <c r="E163" t="str">
        <f>IF($B163="","",SUMIFS(dQty,dCust,$B163,dPer,"&gt;="&amp;pyFrom,dPer,"&lt;="&amp;pyTo,dQty,"&gt;-1E+300",dFlt1,critFlt1,dFlt2,critFlt2,dFlt3,critFlt3))</f>
        <v/>
      </c>
      <c r="F163" t="str">
        <f>IF($B163="","",SUMIFS(dQty,dCust,$B163,dPer,"&gt;="&amp;cyFrom,dPer,"&lt;="&amp;cyTo,dQty,"&gt;-1E+300",dFlt1,critFlt1,dFlt2,critFlt2,dFlt3,critFlt3))</f>
        <v/>
      </c>
      <c r="G163">
        <f>IF($B163="",0,IFERROR(IF(OR(C163&lt;&gt;0,D163&lt;&gt;0,E163&lt;&gt;0,F163&lt;&gt;0),1,0),1))</f>
        <v>0</v>
      </c>
      <c r="H163" t="str">
        <f>IF(OR(G163=0,E163=0),"",C163/E163)</f>
        <v/>
      </c>
      <c r="I163" t="str">
        <f>IF(OR(G163=0,F163=0),"",D163/F163)</f>
        <v/>
      </c>
      <c r="J163" t="str">
        <f>IF(OR(H163="",I163=""),"",IF(H163=0,"",I163/H163-1))</f>
        <v/>
      </c>
      <c r="K163" t="str">
        <f>IF($B163="","",IFERROR(IF(G163=0,-2E+300,CHOOSE(sortIdx,ROUND(D163,0),IF(J163="",-1E+300,ROUND(-J163,6)),IF(J163="",-1E+300,ROUND(J163,6)))),-1.5E+300))</f>
        <v/>
      </c>
      <c r="L163" t="str">
        <f>IF(K163="","",RANK(K163,$K$2:$K$3001,0)+COUNTIF($K$2:K163,K163)-1)</f>
        <v/>
      </c>
    </row>
    <row r="164">
      <c r="B164" t="str">
        <f>IFERROR(IF(A164="","","="&amp;SUBSTITUTE(SUBSTITUTE(SUBSTITUTE(A164,"~","~~"),"*","~*"),"?","~?")),"")</f>
        <v/>
      </c>
      <c r="C164" t="str">
        <f>IF($B164="","",SUMIFS(dAmt,dCust,$B164,dPer,"&gt;="&amp;pyFrom,dPer,"&lt;="&amp;pyTo,dAmt,"&gt;-1E+300",dFlt1,critFlt1,dFlt2,critFlt2,dFlt3,critFlt3))</f>
        <v/>
      </c>
      <c r="D164" t="str">
        <f>IF($B164="","",SUMIFS(dAmt,dCust,$B164,dPer,"&gt;="&amp;cyFrom,dPer,"&lt;="&amp;cyTo,dAmt,"&gt;-1E+300",dFlt1,critFlt1,dFlt2,critFlt2,dFlt3,critFlt3))</f>
        <v/>
      </c>
      <c r="E164" t="str">
        <f>IF($B164="","",SUMIFS(dQty,dCust,$B164,dPer,"&gt;="&amp;pyFrom,dPer,"&lt;="&amp;pyTo,dQty,"&gt;-1E+300",dFlt1,critFlt1,dFlt2,critFlt2,dFlt3,critFlt3))</f>
        <v/>
      </c>
      <c r="F164" t="str">
        <f>IF($B164="","",SUMIFS(dQty,dCust,$B164,dPer,"&gt;="&amp;cyFrom,dPer,"&lt;="&amp;cyTo,dQty,"&gt;-1E+300",dFlt1,critFlt1,dFlt2,critFlt2,dFlt3,critFlt3))</f>
        <v/>
      </c>
      <c r="G164">
        <f>IF($B164="",0,IFERROR(IF(OR(C164&lt;&gt;0,D164&lt;&gt;0,E164&lt;&gt;0,F164&lt;&gt;0),1,0),1))</f>
        <v>0</v>
      </c>
      <c r="H164" t="str">
        <f>IF(OR(G164=0,E164=0),"",C164/E164)</f>
        <v/>
      </c>
      <c r="I164" t="str">
        <f>IF(OR(G164=0,F164=0),"",D164/F164)</f>
        <v/>
      </c>
      <c r="J164" t="str">
        <f>IF(OR(H164="",I164=""),"",IF(H164=0,"",I164/H164-1))</f>
        <v/>
      </c>
      <c r="K164" t="str">
        <f>IF($B164="","",IFERROR(IF(G164=0,-2E+300,CHOOSE(sortIdx,ROUND(D164,0),IF(J164="",-1E+300,ROUND(-J164,6)),IF(J164="",-1E+300,ROUND(J164,6)))),-1.5E+300))</f>
        <v/>
      </c>
      <c r="L164" t="str">
        <f>IF(K164="","",RANK(K164,$K$2:$K$3001,0)+COUNTIF($K$2:K164,K164)-1)</f>
        <v/>
      </c>
    </row>
    <row r="165">
      <c r="B165" t="str">
        <f>IFERROR(IF(A165="","","="&amp;SUBSTITUTE(SUBSTITUTE(SUBSTITUTE(A165,"~","~~"),"*","~*"),"?","~?")),"")</f>
        <v/>
      </c>
      <c r="C165" t="str">
        <f>IF($B165="","",SUMIFS(dAmt,dCust,$B165,dPer,"&gt;="&amp;pyFrom,dPer,"&lt;="&amp;pyTo,dAmt,"&gt;-1E+300",dFlt1,critFlt1,dFlt2,critFlt2,dFlt3,critFlt3))</f>
        <v/>
      </c>
      <c r="D165" t="str">
        <f>IF($B165="","",SUMIFS(dAmt,dCust,$B165,dPer,"&gt;="&amp;cyFrom,dPer,"&lt;="&amp;cyTo,dAmt,"&gt;-1E+300",dFlt1,critFlt1,dFlt2,critFlt2,dFlt3,critFlt3))</f>
        <v/>
      </c>
      <c r="E165" t="str">
        <f>IF($B165="","",SUMIFS(dQty,dCust,$B165,dPer,"&gt;="&amp;pyFrom,dPer,"&lt;="&amp;pyTo,dQty,"&gt;-1E+300",dFlt1,critFlt1,dFlt2,critFlt2,dFlt3,critFlt3))</f>
        <v/>
      </c>
      <c r="F165" t="str">
        <f>IF($B165="","",SUMIFS(dQty,dCust,$B165,dPer,"&gt;="&amp;cyFrom,dPer,"&lt;="&amp;cyTo,dQty,"&gt;-1E+300",dFlt1,critFlt1,dFlt2,critFlt2,dFlt3,critFlt3))</f>
        <v/>
      </c>
      <c r="G165">
        <f>IF($B165="",0,IFERROR(IF(OR(C165&lt;&gt;0,D165&lt;&gt;0,E165&lt;&gt;0,F165&lt;&gt;0),1,0),1))</f>
        <v>0</v>
      </c>
      <c r="H165" t="str">
        <f>IF(OR(G165=0,E165=0),"",C165/E165)</f>
        <v/>
      </c>
      <c r="I165" t="str">
        <f>IF(OR(G165=0,F165=0),"",D165/F165)</f>
        <v/>
      </c>
      <c r="J165" t="str">
        <f>IF(OR(H165="",I165=""),"",IF(H165=0,"",I165/H165-1))</f>
        <v/>
      </c>
      <c r="K165" t="str">
        <f>IF($B165="","",IFERROR(IF(G165=0,-2E+300,CHOOSE(sortIdx,ROUND(D165,0),IF(J165="",-1E+300,ROUND(-J165,6)),IF(J165="",-1E+300,ROUND(J165,6)))),-1.5E+300))</f>
        <v/>
      </c>
      <c r="L165" t="str">
        <f>IF(K165="","",RANK(K165,$K$2:$K$3001,0)+COUNTIF($K$2:K165,K165)-1)</f>
        <v/>
      </c>
    </row>
    <row r="166">
      <c r="B166" t="str">
        <f>IFERROR(IF(A166="","","="&amp;SUBSTITUTE(SUBSTITUTE(SUBSTITUTE(A166,"~","~~"),"*","~*"),"?","~?")),"")</f>
        <v/>
      </c>
      <c r="C166" t="str">
        <f>IF($B166="","",SUMIFS(dAmt,dCust,$B166,dPer,"&gt;="&amp;pyFrom,dPer,"&lt;="&amp;pyTo,dAmt,"&gt;-1E+300",dFlt1,critFlt1,dFlt2,critFlt2,dFlt3,critFlt3))</f>
        <v/>
      </c>
      <c r="D166" t="str">
        <f>IF($B166="","",SUMIFS(dAmt,dCust,$B166,dPer,"&gt;="&amp;cyFrom,dPer,"&lt;="&amp;cyTo,dAmt,"&gt;-1E+300",dFlt1,critFlt1,dFlt2,critFlt2,dFlt3,critFlt3))</f>
        <v/>
      </c>
      <c r="E166" t="str">
        <f>IF($B166="","",SUMIFS(dQty,dCust,$B166,dPer,"&gt;="&amp;pyFrom,dPer,"&lt;="&amp;pyTo,dQty,"&gt;-1E+300",dFlt1,critFlt1,dFlt2,critFlt2,dFlt3,critFlt3))</f>
        <v/>
      </c>
      <c r="F166" t="str">
        <f>IF($B166="","",SUMIFS(dQty,dCust,$B166,dPer,"&gt;="&amp;cyFrom,dPer,"&lt;="&amp;cyTo,dQty,"&gt;-1E+300",dFlt1,critFlt1,dFlt2,critFlt2,dFlt3,critFlt3))</f>
        <v/>
      </c>
      <c r="G166">
        <f>IF($B166="",0,IFERROR(IF(OR(C166&lt;&gt;0,D166&lt;&gt;0,E166&lt;&gt;0,F166&lt;&gt;0),1,0),1))</f>
        <v>0</v>
      </c>
      <c r="H166" t="str">
        <f>IF(OR(G166=0,E166=0),"",C166/E166)</f>
        <v/>
      </c>
      <c r="I166" t="str">
        <f>IF(OR(G166=0,F166=0),"",D166/F166)</f>
        <v/>
      </c>
      <c r="J166" t="str">
        <f>IF(OR(H166="",I166=""),"",IF(H166=0,"",I166/H166-1))</f>
        <v/>
      </c>
      <c r="K166" t="str">
        <f>IF($B166="","",IFERROR(IF(G166=0,-2E+300,CHOOSE(sortIdx,ROUND(D166,0),IF(J166="",-1E+300,ROUND(-J166,6)),IF(J166="",-1E+300,ROUND(J166,6)))),-1.5E+300))</f>
        <v/>
      </c>
      <c r="L166" t="str">
        <f>IF(K166="","",RANK(K166,$K$2:$K$3001,0)+COUNTIF($K$2:K166,K166)-1)</f>
        <v/>
      </c>
    </row>
    <row r="167">
      <c r="B167" t="str">
        <f>IFERROR(IF(A167="","","="&amp;SUBSTITUTE(SUBSTITUTE(SUBSTITUTE(A167,"~","~~"),"*","~*"),"?","~?")),"")</f>
        <v/>
      </c>
      <c r="C167" t="str">
        <f>IF($B167="","",SUMIFS(dAmt,dCust,$B167,dPer,"&gt;="&amp;pyFrom,dPer,"&lt;="&amp;pyTo,dAmt,"&gt;-1E+300",dFlt1,critFlt1,dFlt2,critFlt2,dFlt3,critFlt3))</f>
        <v/>
      </c>
      <c r="D167" t="str">
        <f>IF($B167="","",SUMIFS(dAmt,dCust,$B167,dPer,"&gt;="&amp;cyFrom,dPer,"&lt;="&amp;cyTo,dAmt,"&gt;-1E+300",dFlt1,critFlt1,dFlt2,critFlt2,dFlt3,critFlt3))</f>
        <v/>
      </c>
      <c r="E167" t="str">
        <f>IF($B167="","",SUMIFS(dQty,dCust,$B167,dPer,"&gt;="&amp;pyFrom,dPer,"&lt;="&amp;pyTo,dQty,"&gt;-1E+300",dFlt1,critFlt1,dFlt2,critFlt2,dFlt3,critFlt3))</f>
        <v/>
      </c>
      <c r="F167" t="str">
        <f>IF($B167="","",SUMIFS(dQty,dCust,$B167,dPer,"&gt;="&amp;cyFrom,dPer,"&lt;="&amp;cyTo,dQty,"&gt;-1E+300",dFlt1,critFlt1,dFlt2,critFlt2,dFlt3,critFlt3))</f>
        <v/>
      </c>
      <c r="G167">
        <f>IF($B167="",0,IFERROR(IF(OR(C167&lt;&gt;0,D167&lt;&gt;0,E167&lt;&gt;0,F167&lt;&gt;0),1,0),1))</f>
        <v>0</v>
      </c>
      <c r="H167" t="str">
        <f>IF(OR(G167=0,E167=0),"",C167/E167)</f>
        <v/>
      </c>
      <c r="I167" t="str">
        <f>IF(OR(G167=0,F167=0),"",D167/F167)</f>
        <v/>
      </c>
      <c r="J167" t="str">
        <f>IF(OR(H167="",I167=""),"",IF(H167=0,"",I167/H167-1))</f>
        <v/>
      </c>
      <c r="K167" t="str">
        <f>IF($B167="","",IFERROR(IF(G167=0,-2E+300,CHOOSE(sortIdx,ROUND(D167,0),IF(J167="",-1E+300,ROUND(-J167,6)),IF(J167="",-1E+300,ROUND(J167,6)))),-1.5E+300))</f>
        <v/>
      </c>
      <c r="L167" t="str">
        <f>IF(K167="","",RANK(K167,$K$2:$K$3001,0)+COUNTIF($K$2:K167,K167)-1)</f>
        <v/>
      </c>
    </row>
    <row r="168">
      <c r="B168" t="str">
        <f>IFERROR(IF(A168="","","="&amp;SUBSTITUTE(SUBSTITUTE(SUBSTITUTE(A168,"~","~~"),"*","~*"),"?","~?")),"")</f>
        <v/>
      </c>
      <c r="C168" t="str">
        <f>IF($B168="","",SUMIFS(dAmt,dCust,$B168,dPer,"&gt;="&amp;pyFrom,dPer,"&lt;="&amp;pyTo,dAmt,"&gt;-1E+300",dFlt1,critFlt1,dFlt2,critFlt2,dFlt3,critFlt3))</f>
        <v/>
      </c>
      <c r="D168" t="str">
        <f>IF($B168="","",SUMIFS(dAmt,dCust,$B168,dPer,"&gt;="&amp;cyFrom,dPer,"&lt;="&amp;cyTo,dAmt,"&gt;-1E+300",dFlt1,critFlt1,dFlt2,critFlt2,dFlt3,critFlt3))</f>
        <v/>
      </c>
      <c r="E168" t="str">
        <f>IF($B168="","",SUMIFS(dQty,dCust,$B168,dPer,"&gt;="&amp;pyFrom,dPer,"&lt;="&amp;pyTo,dQty,"&gt;-1E+300",dFlt1,critFlt1,dFlt2,critFlt2,dFlt3,critFlt3))</f>
        <v/>
      </c>
      <c r="F168" t="str">
        <f>IF($B168="","",SUMIFS(dQty,dCust,$B168,dPer,"&gt;="&amp;cyFrom,dPer,"&lt;="&amp;cyTo,dQty,"&gt;-1E+300",dFlt1,critFlt1,dFlt2,critFlt2,dFlt3,critFlt3))</f>
        <v/>
      </c>
      <c r="G168">
        <f>IF($B168="",0,IFERROR(IF(OR(C168&lt;&gt;0,D168&lt;&gt;0,E168&lt;&gt;0,F168&lt;&gt;0),1,0),1))</f>
        <v>0</v>
      </c>
      <c r="H168" t="str">
        <f>IF(OR(G168=0,E168=0),"",C168/E168)</f>
        <v/>
      </c>
      <c r="I168" t="str">
        <f>IF(OR(G168=0,F168=0),"",D168/F168)</f>
        <v/>
      </c>
      <c r="J168" t="str">
        <f>IF(OR(H168="",I168=""),"",IF(H168=0,"",I168/H168-1))</f>
        <v/>
      </c>
      <c r="K168" t="str">
        <f>IF($B168="","",IFERROR(IF(G168=0,-2E+300,CHOOSE(sortIdx,ROUND(D168,0),IF(J168="",-1E+300,ROUND(-J168,6)),IF(J168="",-1E+300,ROUND(J168,6)))),-1.5E+300))</f>
        <v/>
      </c>
      <c r="L168" t="str">
        <f>IF(K168="","",RANK(K168,$K$2:$K$3001,0)+COUNTIF($K$2:K168,K168)-1)</f>
        <v/>
      </c>
    </row>
    <row r="169">
      <c r="B169" t="str">
        <f>IFERROR(IF(A169="","","="&amp;SUBSTITUTE(SUBSTITUTE(SUBSTITUTE(A169,"~","~~"),"*","~*"),"?","~?")),"")</f>
        <v/>
      </c>
      <c r="C169" t="str">
        <f>IF($B169="","",SUMIFS(dAmt,dCust,$B169,dPer,"&gt;="&amp;pyFrom,dPer,"&lt;="&amp;pyTo,dAmt,"&gt;-1E+300",dFlt1,critFlt1,dFlt2,critFlt2,dFlt3,critFlt3))</f>
        <v/>
      </c>
      <c r="D169" t="str">
        <f>IF($B169="","",SUMIFS(dAmt,dCust,$B169,dPer,"&gt;="&amp;cyFrom,dPer,"&lt;="&amp;cyTo,dAmt,"&gt;-1E+300",dFlt1,critFlt1,dFlt2,critFlt2,dFlt3,critFlt3))</f>
        <v/>
      </c>
      <c r="E169" t="str">
        <f>IF($B169="","",SUMIFS(dQty,dCust,$B169,dPer,"&gt;="&amp;pyFrom,dPer,"&lt;="&amp;pyTo,dQty,"&gt;-1E+300",dFlt1,critFlt1,dFlt2,critFlt2,dFlt3,critFlt3))</f>
        <v/>
      </c>
      <c r="F169" t="str">
        <f>IF($B169="","",SUMIFS(dQty,dCust,$B169,dPer,"&gt;="&amp;cyFrom,dPer,"&lt;="&amp;cyTo,dQty,"&gt;-1E+300",dFlt1,critFlt1,dFlt2,critFlt2,dFlt3,critFlt3))</f>
        <v/>
      </c>
      <c r="G169">
        <f>IF($B169="",0,IFERROR(IF(OR(C169&lt;&gt;0,D169&lt;&gt;0,E169&lt;&gt;0,F169&lt;&gt;0),1,0),1))</f>
        <v>0</v>
      </c>
      <c r="H169" t="str">
        <f>IF(OR(G169=0,E169=0),"",C169/E169)</f>
        <v/>
      </c>
      <c r="I169" t="str">
        <f>IF(OR(G169=0,F169=0),"",D169/F169)</f>
        <v/>
      </c>
      <c r="J169" t="str">
        <f>IF(OR(H169="",I169=""),"",IF(H169=0,"",I169/H169-1))</f>
        <v/>
      </c>
      <c r="K169" t="str">
        <f>IF($B169="","",IFERROR(IF(G169=0,-2E+300,CHOOSE(sortIdx,ROUND(D169,0),IF(J169="",-1E+300,ROUND(-J169,6)),IF(J169="",-1E+300,ROUND(J169,6)))),-1.5E+300))</f>
        <v/>
      </c>
      <c r="L169" t="str">
        <f>IF(K169="","",RANK(K169,$K$2:$K$3001,0)+COUNTIF($K$2:K169,K169)-1)</f>
        <v/>
      </c>
    </row>
    <row r="170">
      <c r="B170" t="str">
        <f>IFERROR(IF(A170="","","="&amp;SUBSTITUTE(SUBSTITUTE(SUBSTITUTE(A170,"~","~~"),"*","~*"),"?","~?")),"")</f>
        <v/>
      </c>
      <c r="C170" t="str">
        <f>IF($B170="","",SUMIFS(dAmt,dCust,$B170,dPer,"&gt;="&amp;pyFrom,dPer,"&lt;="&amp;pyTo,dAmt,"&gt;-1E+300",dFlt1,critFlt1,dFlt2,critFlt2,dFlt3,critFlt3))</f>
        <v/>
      </c>
      <c r="D170" t="str">
        <f>IF($B170="","",SUMIFS(dAmt,dCust,$B170,dPer,"&gt;="&amp;cyFrom,dPer,"&lt;="&amp;cyTo,dAmt,"&gt;-1E+300",dFlt1,critFlt1,dFlt2,critFlt2,dFlt3,critFlt3))</f>
        <v/>
      </c>
      <c r="E170" t="str">
        <f>IF($B170="","",SUMIFS(dQty,dCust,$B170,dPer,"&gt;="&amp;pyFrom,dPer,"&lt;="&amp;pyTo,dQty,"&gt;-1E+300",dFlt1,critFlt1,dFlt2,critFlt2,dFlt3,critFlt3))</f>
        <v/>
      </c>
      <c r="F170" t="str">
        <f>IF($B170="","",SUMIFS(dQty,dCust,$B170,dPer,"&gt;="&amp;cyFrom,dPer,"&lt;="&amp;cyTo,dQty,"&gt;-1E+300",dFlt1,critFlt1,dFlt2,critFlt2,dFlt3,critFlt3))</f>
        <v/>
      </c>
      <c r="G170">
        <f>IF($B170="",0,IFERROR(IF(OR(C170&lt;&gt;0,D170&lt;&gt;0,E170&lt;&gt;0,F170&lt;&gt;0),1,0),1))</f>
        <v>0</v>
      </c>
      <c r="H170" t="str">
        <f>IF(OR(G170=0,E170=0),"",C170/E170)</f>
        <v/>
      </c>
      <c r="I170" t="str">
        <f>IF(OR(G170=0,F170=0),"",D170/F170)</f>
        <v/>
      </c>
      <c r="J170" t="str">
        <f>IF(OR(H170="",I170=""),"",IF(H170=0,"",I170/H170-1))</f>
        <v/>
      </c>
      <c r="K170" t="str">
        <f>IF($B170="","",IFERROR(IF(G170=0,-2E+300,CHOOSE(sortIdx,ROUND(D170,0),IF(J170="",-1E+300,ROUND(-J170,6)),IF(J170="",-1E+300,ROUND(J170,6)))),-1.5E+300))</f>
        <v/>
      </c>
      <c r="L170" t="str">
        <f>IF(K170="","",RANK(K170,$K$2:$K$3001,0)+COUNTIF($K$2:K170,K170)-1)</f>
        <v/>
      </c>
    </row>
    <row r="171">
      <c r="B171" t="str">
        <f>IFERROR(IF(A171="","","="&amp;SUBSTITUTE(SUBSTITUTE(SUBSTITUTE(A171,"~","~~"),"*","~*"),"?","~?")),"")</f>
        <v/>
      </c>
      <c r="C171" t="str">
        <f>IF($B171="","",SUMIFS(dAmt,dCust,$B171,dPer,"&gt;="&amp;pyFrom,dPer,"&lt;="&amp;pyTo,dAmt,"&gt;-1E+300",dFlt1,critFlt1,dFlt2,critFlt2,dFlt3,critFlt3))</f>
        <v/>
      </c>
      <c r="D171" t="str">
        <f>IF($B171="","",SUMIFS(dAmt,dCust,$B171,dPer,"&gt;="&amp;cyFrom,dPer,"&lt;="&amp;cyTo,dAmt,"&gt;-1E+300",dFlt1,critFlt1,dFlt2,critFlt2,dFlt3,critFlt3))</f>
        <v/>
      </c>
      <c r="E171" t="str">
        <f>IF($B171="","",SUMIFS(dQty,dCust,$B171,dPer,"&gt;="&amp;pyFrom,dPer,"&lt;="&amp;pyTo,dQty,"&gt;-1E+300",dFlt1,critFlt1,dFlt2,critFlt2,dFlt3,critFlt3))</f>
        <v/>
      </c>
      <c r="F171" t="str">
        <f>IF($B171="","",SUMIFS(dQty,dCust,$B171,dPer,"&gt;="&amp;cyFrom,dPer,"&lt;="&amp;cyTo,dQty,"&gt;-1E+300",dFlt1,critFlt1,dFlt2,critFlt2,dFlt3,critFlt3))</f>
        <v/>
      </c>
      <c r="G171">
        <f>IF($B171="",0,IFERROR(IF(OR(C171&lt;&gt;0,D171&lt;&gt;0,E171&lt;&gt;0,F171&lt;&gt;0),1,0),1))</f>
        <v>0</v>
      </c>
      <c r="H171" t="str">
        <f>IF(OR(G171=0,E171=0),"",C171/E171)</f>
        <v/>
      </c>
      <c r="I171" t="str">
        <f>IF(OR(G171=0,F171=0),"",D171/F171)</f>
        <v/>
      </c>
      <c r="J171" t="str">
        <f>IF(OR(H171="",I171=""),"",IF(H171=0,"",I171/H171-1))</f>
        <v/>
      </c>
      <c r="K171" t="str">
        <f>IF($B171="","",IFERROR(IF(G171=0,-2E+300,CHOOSE(sortIdx,ROUND(D171,0),IF(J171="",-1E+300,ROUND(-J171,6)),IF(J171="",-1E+300,ROUND(J171,6)))),-1.5E+300))</f>
        <v/>
      </c>
      <c r="L171" t="str">
        <f>IF(K171="","",RANK(K171,$K$2:$K$3001,0)+COUNTIF($K$2:K171,K171)-1)</f>
        <v/>
      </c>
    </row>
    <row r="172">
      <c r="B172" t="str">
        <f>IFERROR(IF(A172="","","="&amp;SUBSTITUTE(SUBSTITUTE(SUBSTITUTE(A172,"~","~~"),"*","~*"),"?","~?")),"")</f>
        <v/>
      </c>
      <c r="C172" t="str">
        <f>IF($B172="","",SUMIFS(dAmt,dCust,$B172,dPer,"&gt;="&amp;pyFrom,dPer,"&lt;="&amp;pyTo,dAmt,"&gt;-1E+300",dFlt1,critFlt1,dFlt2,critFlt2,dFlt3,critFlt3))</f>
        <v/>
      </c>
      <c r="D172" t="str">
        <f>IF($B172="","",SUMIFS(dAmt,dCust,$B172,dPer,"&gt;="&amp;cyFrom,dPer,"&lt;="&amp;cyTo,dAmt,"&gt;-1E+300",dFlt1,critFlt1,dFlt2,critFlt2,dFlt3,critFlt3))</f>
        <v/>
      </c>
      <c r="E172" t="str">
        <f>IF($B172="","",SUMIFS(dQty,dCust,$B172,dPer,"&gt;="&amp;pyFrom,dPer,"&lt;="&amp;pyTo,dQty,"&gt;-1E+300",dFlt1,critFlt1,dFlt2,critFlt2,dFlt3,critFlt3))</f>
        <v/>
      </c>
      <c r="F172" t="str">
        <f>IF($B172="","",SUMIFS(dQty,dCust,$B172,dPer,"&gt;="&amp;cyFrom,dPer,"&lt;="&amp;cyTo,dQty,"&gt;-1E+300",dFlt1,critFlt1,dFlt2,critFlt2,dFlt3,critFlt3))</f>
        <v/>
      </c>
      <c r="G172">
        <f>IF($B172="",0,IFERROR(IF(OR(C172&lt;&gt;0,D172&lt;&gt;0,E172&lt;&gt;0,F172&lt;&gt;0),1,0),1))</f>
        <v>0</v>
      </c>
      <c r="H172" t="str">
        <f>IF(OR(G172=0,E172=0),"",C172/E172)</f>
        <v/>
      </c>
      <c r="I172" t="str">
        <f>IF(OR(G172=0,F172=0),"",D172/F172)</f>
        <v/>
      </c>
      <c r="J172" t="str">
        <f>IF(OR(H172="",I172=""),"",IF(H172=0,"",I172/H172-1))</f>
        <v/>
      </c>
      <c r="K172" t="str">
        <f>IF($B172="","",IFERROR(IF(G172=0,-2E+300,CHOOSE(sortIdx,ROUND(D172,0),IF(J172="",-1E+300,ROUND(-J172,6)),IF(J172="",-1E+300,ROUND(J172,6)))),-1.5E+300))</f>
        <v/>
      </c>
      <c r="L172" t="str">
        <f>IF(K172="","",RANK(K172,$K$2:$K$3001,0)+COUNTIF($K$2:K172,K172)-1)</f>
        <v/>
      </c>
    </row>
    <row r="173">
      <c r="B173" t="str">
        <f>IFERROR(IF(A173="","","="&amp;SUBSTITUTE(SUBSTITUTE(SUBSTITUTE(A173,"~","~~"),"*","~*"),"?","~?")),"")</f>
        <v/>
      </c>
      <c r="C173" t="str">
        <f>IF($B173="","",SUMIFS(dAmt,dCust,$B173,dPer,"&gt;="&amp;pyFrom,dPer,"&lt;="&amp;pyTo,dAmt,"&gt;-1E+300",dFlt1,critFlt1,dFlt2,critFlt2,dFlt3,critFlt3))</f>
        <v/>
      </c>
      <c r="D173" t="str">
        <f>IF($B173="","",SUMIFS(dAmt,dCust,$B173,dPer,"&gt;="&amp;cyFrom,dPer,"&lt;="&amp;cyTo,dAmt,"&gt;-1E+300",dFlt1,critFlt1,dFlt2,critFlt2,dFlt3,critFlt3))</f>
        <v/>
      </c>
      <c r="E173" t="str">
        <f>IF($B173="","",SUMIFS(dQty,dCust,$B173,dPer,"&gt;="&amp;pyFrom,dPer,"&lt;="&amp;pyTo,dQty,"&gt;-1E+300",dFlt1,critFlt1,dFlt2,critFlt2,dFlt3,critFlt3))</f>
        <v/>
      </c>
      <c r="F173" t="str">
        <f>IF($B173="","",SUMIFS(dQty,dCust,$B173,dPer,"&gt;="&amp;cyFrom,dPer,"&lt;="&amp;cyTo,dQty,"&gt;-1E+300",dFlt1,critFlt1,dFlt2,critFlt2,dFlt3,critFlt3))</f>
        <v/>
      </c>
      <c r="G173">
        <f>IF($B173="",0,IFERROR(IF(OR(C173&lt;&gt;0,D173&lt;&gt;0,E173&lt;&gt;0,F173&lt;&gt;0),1,0),1))</f>
        <v>0</v>
      </c>
      <c r="H173" t="str">
        <f>IF(OR(G173=0,E173=0),"",C173/E173)</f>
        <v/>
      </c>
      <c r="I173" t="str">
        <f>IF(OR(G173=0,F173=0),"",D173/F173)</f>
        <v/>
      </c>
      <c r="J173" t="str">
        <f>IF(OR(H173="",I173=""),"",IF(H173=0,"",I173/H173-1))</f>
        <v/>
      </c>
      <c r="K173" t="str">
        <f>IF($B173="","",IFERROR(IF(G173=0,-2E+300,CHOOSE(sortIdx,ROUND(D173,0),IF(J173="",-1E+300,ROUND(-J173,6)),IF(J173="",-1E+300,ROUND(J173,6)))),-1.5E+300))</f>
        <v/>
      </c>
      <c r="L173" t="str">
        <f>IF(K173="","",RANK(K173,$K$2:$K$3001,0)+COUNTIF($K$2:K173,K173)-1)</f>
        <v/>
      </c>
    </row>
    <row r="174">
      <c r="B174" t="str">
        <f>IFERROR(IF(A174="","","="&amp;SUBSTITUTE(SUBSTITUTE(SUBSTITUTE(A174,"~","~~"),"*","~*"),"?","~?")),"")</f>
        <v/>
      </c>
      <c r="C174" t="str">
        <f>IF($B174="","",SUMIFS(dAmt,dCust,$B174,dPer,"&gt;="&amp;pyFrom,dPer,"&lt;="&amp;pyTo,dAmt,"&gt;-1E+300",dFlt1,critFlt1,dFlt2,critFlt2,dFlt3,critFlt3))</f>
        <v/>
      </c>
      <c r="D174" t="str">
        <f>IF($B174="","",SUMIFS(dAmt,dCust,$B174,dPer,"&gt;="&amp;cyFrom,dPer,"&lt;="&amp;cyTo,dAmt,"&gt;-1E+300",dFlt1,critFlt1,dFlt2,critFlt2,dFlt3,critFlt3))</f>
        <v/>
      </c>
      <c r="E174" t="str">
        <f>IF($B174="","",SUMIFS(dQty,dCust,$B174,dPer,"&gt;="&amp;pyFrom,dPer,"&lt;="&amp;pyTo,dQty,"&gt;-1E+300",dFlt1,critFlt1,dFlt2,critFlt2,dFlt3,critFlt3))</f>
        <v/>
      </c>
      <c r="F174" t="str">
        <f>IF($B174="","",SUMIFS(dQty,dCust,$B174,dPer,"&gt;="&amp;cyFrom,dPer,"&lt;="&amp;cyTo,dQty,"&gt;-1E+300",dFlt1,critFlt1,dFlt2,critFlt2,dFlt3,critFlt3))</f>
        <v/>
      </c>
      <c r="G174">
        <f>IF($B174="",0,IFERROR(IF(OR(C174&lt;&gt;0,D174&lt;&gt;0,E174&lt;&gt;0,F174&lt;&gt;0),1,0),1))</f>
        <v>0</v>
      </c>
      <c r="H174" t="str">
        <f>IF(OR(G174=0,E174=0),"",C174/E174)</f>
        <v/>
      </c>
      <c r="I174" t="str">
        <f>IF(OR(G174=0,F174=0),"",D174/F174)</f>
        <v/>
      </c>
      <c r="J174" t="str">
        <f>IF(OR(H174="",I174=""),"",IF(H174=0,"",I174/H174-1))</f>
        <v/>
      </c>
      <c r="K174" t="str">
        <f>IF($B174="","",IFERROR(IF(G174=0,-2E+300,CHOOSE(sortIdx,ROUND(D174,0),IF(J174="",-1E+300,ROUND(-J174,6)),IF(J174="",-1E+300,ROUND(J174,6)))),-1.5E+300))</f>
        <v/>
      </c>
      <c r="L174" t="str">
        <f>IF(K174="","",RANK(K174,$K$2:$K$3001,0)+COUNTIF($K$2:K174,K174)-1)</f>
        <v/>
      </c>
    </row>
    <row r="175">
      <c r="B175" t="str">
        <f>IFERROR(IF(A175="","","="&amp;SUBSTITUTE(SUBSTITUTE(SUBSTITUTE(A175,"~","~~"),"*","~*"),"?","~?")),"")</f>
        <v/>
      </c>
      <c r="C175" t="str">
        <f>IF($B175="","",SUMIFS(dAmt,dCust,$B175,dPer,"&gt;="&amp;pyFrom,dPer,"&lt;="&amp;pyTo,dAmt,"&gt;-1E+300",dFlt1,critFlt1,dFlt2,critFlt2,dFlt3,critFlt3))</f>
        <v/>
      </c>
      <c r="D175" t="str">
        <f>IF($B175="","",SUMIFS(dAmt,dCust,$B175,dPer,"&gt;="&amp;cyFrom,dPer,"&lt;="&amp;cyTo,dAmt,"&gt;-1E+300",dFlt1,critFlt1,dFlt2,critFlt2,dFlt3,critFlt3))</f>
        <v/>
      </c>
      <c r="E175" t="str">
        <f>IF($B175="","",SUMIFS(dQty,dCust,$B175,dPer,"&gt;="&amp;pyFrom,dPer,"&lt;="&amp;pyTo,dQty,"&gt;-1E+300",dFlt1,critFlt1,dFlt2,critFlt2,dFlt3,critFlt3))</f>
        <v/>
      </c>
      <c r="F175" t="str">
        <f>IF($B175="","",SUMIFS(dQty,dCust,$B175,dPer,"&gt;="&amp;cyFrom,dPer,"&lt;="&amp;cyTo,dQty,"&gt;-1E+300",dFlt1,critFlt1,dFlt2,critFlt2,dFlt3,critFlt3))</f>
        <v/>
      </c>
      <c r="G175">
        <f>IF($B175="",0,IFERROR(IF(OR(C175&lt;&gt;0,D175&lt;&gt;0,E175&lt;&gt;0,F175&lt;&gt;0),1,0),1))</f>
        <v>0</v>
      </c>
      <c r="H175" t="str">
        <f>IF(OR(G175=0,E175=0),"",C175/E175)</f>
        <v/>
      </c>
      <c r="I175" t="str">
        <f>IF(OR(G175=0,F175=0),"",D175/F175)</f>
        <v/>
      </c>
      <c r="J175" t="str">
        <f>IF(OR(H175="",I175=""),"",IF(H175=0,"",I175/H175-1))</f>
        <v/>
      </c>
      <c r="K175" t="str">
        <f>IF($B175="","",IFERROR(IF(G175=0,-2E+300,CHOOSE(sortIdx,ROUND(D175,0),IF(J175="",-1E+300,ROUND(-J175,6)),IF(J175="",-1E+300,ROUND(J175,6)))),-1.5E+300))</f>
        <v/>
      </c>
      <c r="L175" t="str">
        <f>IF(K175="","",RANK(K175,$K$2:$K$3001,0)+COUNTIF($K$2:K175,K175)-1)</f>
        <v/>
      </c>
    </row>
    <row r="176">
      <c r="B176" t="str">
        <f>IFERROR(IF(A176="","","="&amp;SUBSTITUTE(SUBSTITUTE(SUBSTITUTE(A176,"~","~~"),"*","~*"),"?","~?")),"")</f>
        <v/>
      </c>
      <c r="C176" t="str">
        <f>IF($B176="","",SUMIFS(dAmt,dCust,$B176,dPer,"&gt;="&amp;pyFrom,dPer,"&lt;="&amp;pyTo,dAmt,"&gt;-1E+300",dFlt1,critFlt1,dFlt2,critFlt2,dFlt3,critFlt3))</f>
        <v/>
      </c>
      <c r="D176" t="str">
        <f>IF($B176="","",SUMIFS(dAmt,dCust,$B176,dPer,"&gt;="&amp;cyFrom,dPer,"&lt;="&amp;cyTo,dAmt,"&gt;-1E+300",dFlt1,critFlt1,dFlt2,critFlt2,dFlt3,critFlt3))</f>
        <v/>
      </c>
      <c r="E176" t="str">
        <f>IF($B176="","",SUMIFS(dQty,dCust,$B176,dPer,"&gt;="&amp;pyFrom,dPer,"&lt;="&amp;pyTo,dQty,"&gt;-1E+300",dFlt1,critFlt1,dFlt2,critFlt2,dFlt3,critFlt3))</f>
        <v/>
      </c>
      <c r="F176" t="str">
        <f>IF($B176="","",SUMIFS(dQty,dCust,$B176,dPer,"&gt;="&amp;cyFrom,dPer,"&lt;="&amp;cyTo,dQty,"&gt;-1E+300",dFlt1,critFlt1,dFlt2,critFlt2,dFlt3,critFlt3))</f>
        <v/>
      </c>
      <c r="G176">
        <f>IF($B176="",0,IFERROR(IF(OR(C176&lt;&gt;0,D176&lt;&gt;0,E176&lt;&gt;0,F176&lt;&gt;0),1,0),1))</f>
        <v>0</v>
      </c>
      <c r="H176" t="str">
        <f>IF(OR(G176=0,E176=0),"",C176/E176)</f>
        <v/>
      </c>
      <c r="I176" t="str">
        <f>IF(OR(G176=0,F176=0),"",D176/F176)</f>
        <v/>
      </c>
      <c r="J176" t="str">
        <f>IF(OR(H176="",I176=""),"",IF(H176=0,"",I176/H176-1))</f>
        <v/>
      </c>
      <c r="K176" t="str">
        <f>IF($B176="","",IFERROR(IF(G176=0,-2E+300,CHOOSE(sortIdx,ROUND(D176,0),IF(J176="",-1E+300,ROUND(-J176,6)),IF(J176="",-1E+300,ROUND(J176,6)))),-1.5E+300))</f>
        <v/>
      </c>
      <c r="L176" t="str">
        <f>IF(K176="","",RANK(K176,$K$2:$K$3001,0)+COUNTIF($K$2:K176,K176)-1)</f>
        <v/>
      </c>
    </row>
    <row r="177">
      <c r="B177" t="str">
        <f>IFERROR(IF(A177="","","="&amp;SUBSTITUTE(SUBSTITUTE(SUBSTITUTE(A177,"~","~~"),"*","~*"),"?","~?")),"")</f>
        <v/>
      </c>
      <c r="C177" t="str">
        <f>IF($B177="","",SUMIFS(dAmt,dCust,$B177,dPer,"&gt;="&amp;pyFrom,dPer,"&lt;="&amp;pyTo,dAmt,"&gt;-1E+300",dFlt1,critFlt1,dFlt2,critFlt2,dFlt3,critFlt3))</f>
        <v/>
      </c>
      <c r="D177" t="str">
        <f>IF($B177="","",SUMIFS(dAmt,dCust,$B177,dPer,"&gt;="&amp;cyFrom,dPer,"&lt;="&amp;cyTo,dAmt,"&gt;-1E+300",dFlt1,critFlt1,dFlt2,critFlt2,dFlt3,critFlt3))</f>
        <v/>
      </c>
      <c r="E177" t="str">
        <f>IF($B177="","",SUMIFS(dQty,dCust,$B177,dPer,"&gt;="&amp;pyFrom,dPer,"&lt;="&amp;pyTo,dQty,"&gt;-1E+300",dFlt1,critFlt1,dFlt2,critFlt2,dFlt3,critFlt3))</f>
        <v/>
      </c>
      <c r="F177" t="str">
        <f>IF($B177="","",SUMIFS(dQty,dCust,$B177,dPer,"&gt;="&amp;cyFrom,dPer,"&lt;="&amp;cyTo,dQty,"&gt;-1E+300",dFlt1,critFlt1,dFlt2,critFlt2,dFlt3,critFlt3))</f>
        <v/>
      </c>
      <c r="G177">
        <f>IF($B177="",0,IFERROR(IF(OR(C177&lt;&gt;0,D177&lt;&gt;0,E177&lt;&gt;0,F177&lt;&gt;0),1,0),1))</f>
        <v>0</v>
      </c>
      <c r="H177" t="str">
        <f>IF(OR(G177=0,E177=0),"",C177/E177)</f>
        <v/>
      </c>
      <c r="I177" t="str">
        <f>IF(OR(G177=0,F177=0),"",D177/F177)</f>
        <v/>
      </c>
      <c r="J177" t="str">
        <f>IF(OR(H177="",I177=""),"",IF(H177=0,"",I177/H177-1))</f>
        <v/>
      </c>
      <c r="K177" t="str">
        <f>IF($B177="","",IFERROR(IF(G177=0,-2E+300,CHOOSE(sortIdx,ROUND(D177,0),IF(J177="",-1E+300,ROUND(-J177,6)),IF(J177="",-1E+300,ROUND(J177,6)))),-1.5E+300))</f>
        <v/>
      </c>
      <c r="L177" t="str">
        <f>IF(K177="","",RANK(K177,$K$2:$K$3001,0)+COUNTIF($K$2:K177,K177)-1)</f>
        <v/>
      </c>
    </row>
    <row r="178">
      <c r="B178" t="str">
        <f>IFERROR(IF(A178="","","="&amp;SUBSTITUTE(SUBSTITUTE(SUBSTITUTE(A178,"~","~~"),"*","~*"),"?","~?")),"")</f>
        <v/>
      </c>
      <c r="C178" t="str">
        <f>IF($B178="","",SUMIFS(dAmt,dCust,$B178,dPer,"&gt;="&amp;pyFrom,dPer,"&lt;="&amp;pyTo,dAmt,"&gt;-1E+300",dFlt1,critFlt1,dFlt2,critFlt2,dFlt3,critFlt3))</f>
        <v/>
      </c>
      <c r="D178" t="str">
        <f>IF($B178="","",SUMIFS(dAmt,dCust,$B178,dPer,"&gt;="&amp;cyFrom,dPer,"&lt;="&amp;cyTo,dAmt,"&gt;-1E+300",dFlt1,critFlt1,dFlt2,critFlt2,dFlt3,critFlt3))</f>
        <v/>
      </c>
      <c r="E178" t="str">
        <f>IF($B178="","",SUMIFS(dQty,dCust,$B178,dPer,"&gt;="&amp;pyFrom,dPer,"&lt;="&amp;pyTo,dQty,"&gt;-1E+300",dFlt1,critFlt1,dFlt2,critFlt2,dFlt3,critFlt3))</f>
        <v/>
      </c>
      <c r="F178" t="str">
        <f>IF($B178="","",SUMIFS(dQty,dCust,$B178,dPer,"&gt;="&amp;cyFrom,dPer,"&lt;="&amp;cyTo,dQty,"&gt;-1E+300",dFlt1,critFlt1,dFlt2,critFlt2,dFlt3,critFlt3))</f>
        <v/>
      </c>
      <c r="G178">
        <f>IF($B178="",0,IFERROR(IF(OR(C178&lt;&gt;0,D178&lt;&gt;0,E178&lt;&gt;0,F178&lt;&gt;0),1,0),1))</f>
        <v>0</v>
      </c>
      <c r="H178" t="str">
        <f>IF(OR(G178=0,E178=0),"",C178/E178)</f>
        <v/>
      </c>
      <c r="I178" t="str">
        <f>IF(OR(G178=0,F178=0),"",D178/F178)</f>
        <v/>
      </c>
      <c r="J178" t="str">
        <f>IF(OR(H178="",I178=""),"",IF(H178=0,"",I178/H178-1))</f>
        <v/>
      </c>
      <c r="K178" t="str">
        <f>IF($B178="","",IFERROR(IF(G178=0,-2E+300,CHOOSE(sortIdx,ROUND(D178,0),IF(J178="",-1E+300,ROUND(-J178,6)),IF(J178="",-1E+300,ROUND(J178,6)))),-1.5E+300))</f>
        <v/>
      </c>
      <c r="L178" t="str">
        <f>IF(K178="","",RANK(K178,$K$2:$K$3001,0)+COUNTIF($K$2:K178,K178)-1)</f>
        <v/>
      </c>
    </row>
    <row r="179">
      <c r="B179" t="str">
        <f>IFERROR(IF(A179="","","="&amp;SUBSTITUTE(SUBSTITUTE(SUBSTITUTE(A179,"~","~~"),"*","~*"),"?","~?")),"")</f>
        <v/>
      </c>
      <c r="C179" t="str">
        <f>IF($B179="","",SUMIFS(dAmt,dCust,$B179,dPer,"&gt;="&amp;pyFrom,dPer,"&lt;="&amp;pyTo,dAmt,"&gt;-1E+300",dFlt1,critFlt1,dFlt2,critFlt2,dFlt3,critFlt3))</f>
        <v/>
      </c>
      <c r="D179" t="str">
        <f>IF($B179="","",SUMIFS(dAmt,dCust,$B179,dPer,"&gt;="&amp;cyFrom,dPer,"&lt;="&amp;cyTo,dAmt,"&gt;-1E+300",dFlt1,critFlt1,dFlt2,critFlt2,dFlt3,critFlt3))</f>
        <v/>
      </c>
      <c r="E179" t="str">
        <f>IF($B179="","",SUMIFS(dQty,dCust,$B179,dPer,"&gt;="&amp;pyFrom,dPer,"&lt;="&amp;pyTo,dQty,"&gt;-1E+300",dFlt1,critFlt1,dFlt2,critFlt2,dFlt3,critFlt3))</f>
        <v/>
      </c>
      <c r="F179" t="str">
        <f>IF($B179="","",SUMIFS(dQty,dCust,$B179,dPer,"&gt;="&amp;cyFrom,dPer,"&lt;="&amp;cyTo,dQty,"&gt;-1E+300",dFlt1,critFlt1,dFlt2,critFlt2,dFlt3,critFlt3))</f>
        <v/>
      </c>
      <c r="G179">
        <f>IF($B179="",0,IFERROR(IF(OR(C179&lt;&gt;0,D179&lt;&gt;0,E179&lt;&gt;0,F179&lt;&gt;0),1,0),1))</f>
        <v>0</v>
      </c>
      <c r="H179" t="str">
        <f>IF(OR(G179=0,E179=0),"",C179/E179)</f>
        <v/>
      </c>
      <c r="I179" t="str">
        <f>IF(OR(G179=0,F179=0),"",D179/F179)</f>
        <v/>
      </c>
      <c r="J179" t="str">
        <f>IF(OR(H179="",I179=""),"",IF(H179=0,"",I179/H179-1))</f>
        <v/>
      </c>
      <c r="K179" t="str">
        <f>IF($B179="","",IFERROR(IF(G179=0,-2E+300,CHOOSE(sortIdx,ROUND(D179,0),IF(J179="",-1E+300,ROUND(-J179,6)),IF(J179="",-1E+300,ROUND(J179,6)))),-1.5E+300))</f>
        <v/>
      </c>
      <c r="L179" t="str">
        <f>IF(K179="","",RANK(K179,$K$2:$K$3001,0)+COUNTIF($K$2:K179,K179)-1)</f>
        <v/>
      </c>
    </row>
    <row r="180">
      <c r="B180" t="str">
        <f>IFERROR(IF(A180="","","="&amp;SUBSTITUTE(SUBSTITUTE(SUBSTITUTE(A180,"~","~~"),"*","~*"),"?","~?")),"")</f>
        <v/>
      </c>
      <c r="C180" t="str">
        <f>IF($B180="","",SUMIFS(dAmt,dCust,$B180,dPer,"&gt;="&amp;pyFrom,dPer,"&lt;="&amp;pyTo,dAmt,"&gt;-1E+300",dFlt1,critFlt1,dFlt2,critFlt2,dFlt3,critFlt3))</f>
        <v/>
      </c>
      <c r="D180" t="str">
        <f>IF($B180="","",SUMIFS(dAmt,dCust,$B180,dPer,"&gt;="&amp;cyFrom,dPer,"&lt;="&amp;cyTo,dAmt,"&gt;-1E+300",dFlt1,critFlt1,dFlt2,critFlt2,dFlt3,critFlt3))</f>
        <v/>
      </c>
      <c r="E180" t="str">
        <f>IF($B180="","",SUMIFS(dQty,dCust,$B180,dPer,"&gt;="&amp;pyFrom,dPer,"&lt;="&amp;pyTo,dQty,"&gt;-1E+300",dFlt1,critFlt1,dFlt2,critFlt2,dFlt3,critFlt3))</f>
        <v/>
      </c>
      <c r="F180" t="str">
        <f>IF($B180="","",SUMIFS(dQty,dCust,$B180,dPer,"&gt;="&amp;cyFrom,dPer,"&lt;="&amp;cyTo,dQty,"&gt;-1E+300",dFlt1,critFlt1,dFlt2,critFlt2,dFlt3,critFlt3))</f>
        <v/>
      </c>
      <c r="G180">
        <f>IF($B180="",0,IFERROR(IF(OR(C180&lt;&gt;0,D180&lt;&gt;0,E180&lt;&gt;0,F180&lt;&gt;0),1,0),1))</f>
        <v>0</v>
      </c>
      <c r="H180" t="str">
        <f>IF(OR(G180=0,E180=0),"",C180/E180)</f>
        <v/>
      </c>
      <c r="I180" t="str">
        <f>IF(OR(G180=0,F180=0),"",D180/F180)</f>
        <v/>
      </c>
      <c r="J180" t="str">
        <f>IF(OR(H180="",I180=""),"",IF(H180=0,"",I180/H180-1))</f>
        <v/>
      </c>
      <c r="K180" t="str">
        <f>IF($B180="","",IFERROR(IF(G180=0,-2E+300,CHOOSE(sortIdx,ROUND(D180,0),IF(J180="",-1E+300,ROUND(-J180,6)),IF(J180="",-1E+300,ROUND(J180,6)))),-1.5E+300))</f>
        <v/>
      </c>
      <c r="L180" t="str">
        <f>IF(K180="","",RANK(K180,$K$2:$K$3001,0)+COUNTIF($K$2:K180,K180)-1)</f>
        <v/>
      </c>
    </row>
    <row r="181">
      <c r="B181" t="str">
        <f>IFERROR(IF(A181="","","="&amp;SUBSTITUTE(SUBSTITUTE(SUBSTITUTE(A181,"~","~~"),"*","~*"),"?","~?")),"")</f>
        <v/>
      </c>
      <c r="C181" t="str">
        <f>IF($B181="","",SUMIFS(dAmt,dCust,$B181,dPer,"&gt;="&amp;pyFrom,dPer,"&lt;="&amp;pyTo,dAmt,"&gt;-1E+300",dFlt1,critFlt1,dFlt2,critFlt2,dFlt3,critFlt3))</f>
        <v/>
      </c>
      <c r="D181" t="str">
        <f>IF($B181="","",SUMIFS(dAmt,dCust,$B181,dPer,"&gt;="&amp;cyFrom,dPer,"&lt;="&amp;cyTo,dAmt,"&gt;-1E+300",dFlt1,critFlt1,dFlt2,critFlt2,dFlt3,critFlt3))</f>
        <v/>
      </c>
      <c r="E181" t="str">
        <f>IF($B181="","",SUMIFS(dQty,dCust,$B181,dPer,"&gt;="&amp;pyFrom,dPer,"&lt;="&amp;pyTo,dQty,"&gt;-1E+300",dFlt1,critFlt1,dFlt2,critFlt2,dFlt3,critFlt3))</f>
        <v/>
      </c>
      <c r="F181" t="str">
        <f>IF($B181="","",SUMIFS(dQty,dCust,$B181,dPer,"&gt;="&amp;cyFrom,dPer,"&lt;="&amp;cyTo,dQty,"&gt;-1E+300",dFlt1,critFlt1,dFlt2,critFlt2,dFlt3,critFlt3))</f>
        <v/>
      </c>
      <c r="G181">
        <f>IF($B181="",0,IFERROR(IF(OR(C181&lt;&gt;0,D181&lt;&gt;0,E181&lt;&gt;0,F181&lt;&gt;0),1,0),1))</f>
        <v>0</v>
      </c>
      <c r="H181" t="str">
        <f>IF(OR(G181=0,E181=0),"",C181/E181)</f>
        <v/>
      </c>
      <c r="I181" t="str">
        <f>IF(OR(G181=0,F181=0),"",D181/F181)</f>
        <v/>
      </c>
      <c r="J181" t="str">
        <f>IF(OR(H181="",I181=""),"",IF(H181=0,"",I181/H181-1))</f>
        <v/>
      </c>
      <c r="K181" t="str">
        <f>IF($B181="","",IFERROR(IF(G181=0,-2E+300,CHOOSE(sortIdx,ROUND(D181,0),IF(J181="",-1E+300,ROUND(-J181,6)),IF(J181="",-1E+300,ROUND(J181,6)))),-1.5E+300))</f>
        <v/>
      </c>
      <c r="L181" t="str">
        <f>IF(K181="","",RANK(K181,$K$2:$K$3001,0)+COUNTIF($K$2:K181,K181)-1)</f>
        <v/>
      </c>
    </row>
    <row r="182">
      <c r="B182" t="str">
        <f>IFERROR(IF(A182="","","="&amp;SUBSTITUTE(SUBSTITUTE(SUBSTITUTE(A182,"~","~~"),"*","~*"),"?","~?")),"")</f>
        <v/>
      </c>
      <c r="C182" t="str">
        <f>IF($B182="","",SUMIFS(dAmt,dCust,$B182,dPer,"&gt;="&amp;pyFrom,dPer,"&lt;="&amp;pyTo,dAmt,"&gt;-1E+300",dFlt1,critFlt1,dFlt2,critFlt2,dFlt3,critFlt3))</f>
        <v/>
      </c>
      <c r="D182" t="str">
        <f>IF($B182="","",SUMIFS(dAmt,dCust,$B182,dPer,"&gt;="&amp;cyFrom,dPer,"&lt;="&amp;cyTo,dAmt,"&gt;-1E+300",dFlt1,critFlt1,dFlt2,critFlt2,dFlt3,critFlt3))</f>
        <v/>
      </c>
      <c r="E182" t="str">
        <f>IF($B182="","",SUMIFS(dQty,dCust,$B182,dPer,"&gt;="&amp;pyFrom,dPer,"&lt;="&amp;pyTo,dQty,"&gt;-1E+300",dFlt1,critFlt1,dFlt2,critFlt2,dFlt3,critFlt3))</f>
        <v/>
      </c>
      <c r="F182" t="str">
        <f>IF($B182="","",SUMIFS(dQty,dCust,$B182,dPer,"&gt;="&amp;cyFrom,dPer,"&lt;="&amp;cyTo,dQty,"&gt;-1E+300",dFlt1,critFlt1,dFlt2,critFlt2,dFlt3,critFlt3))</f>
        <v/>
      </c>
      <c r="G182">
        <f>IF($B182="",0,IFERROR(IF(OR(C182&lt;&gt;0,D182&lt;&gt;0,E182&lt;&gt;0,F182&lt;&gt;0),1,0),1))</f>
        <v>0</v>
      </c>
      <c r="H182" t="str">
        <f>IF(OR(G182=0,E182=0),"",C182/E182)</f>
        <v/>
      </c>
      <c r="I182" t="str">
        <f>IF(OR(G182=0,F182=0),"",D182/F182)</f>
        <v/>
      </c>
      <c r="J182" t="str">
        <f>IF(OR(H182="",I182=""),"",IF(H182=0,"",I182/H182-1))</f>
        <v/>
      </c>
      <c r="K182" t="str">
        <f>IF($B182="","",IFERROR(IF(G182=0,-2E+300,CHOOSE(sortIdx,ROUND(D182,0),IF(J182="",-1E+300,ROUND(-J182,6)),IF(J182="",-1E+300,ROUND(J182,6)))),-1.5E+300))</f>
        <v/>
      </c>
      <c r="L182" t="str">
        <f>IF(K182="","",RANK(K182,$K$2:$K$3001,0)+COUNTIF($K$2:K182,K182)-1)</f>
        <v/>
      </c>
    </row>
    <row r="183">
      <c r="B183" t="str">
        <f>IFERROR(IF(A183="","","="&amp;SUBSTITUTE(SUBSTITUTE(SUBSTITUTE(A183,"~","~~"),"*","~*"),"?","~?")),"")</f>
        <v/>
      </c>
      <c r="C183" t="str">
        <f>IF($B183="","",SUMIFS(dAmt,dCust,$B183,dPer,"&gt;="&amp;pyFrom,dPer,"&lt;="&amp;pyTo,dAmt,"&gt;-1E+300",dFlt1,critFlt1,dFlt2,critFlt2,dFlt3,critFlt3))</f>
        <v/>
      </c>
      <c r="D183" t="str">
        <f>IF($B183="","",SUMIFS(dAmt,dCust,$B183,dPer,"&gt;="&amp;cyFrom,dPer,"&lt;="&amp;cyTo,dAmt,"&gt;-1E+300",dFlt1,critFlt1,dFlt2,critFlt2,dFlt3,critFlt3))</f>
        <v/>
      </c>
      <c r="E183" t="str">
        <f>IF($B183="","",SUMIFS(dQty,dCust,$B183,dPer,"&gt;="&amp;pyFrom,dPer,"&lt;="&amp;pyTo,dQty,"&gt;-1E+300",dFlt1,critFlt1,dFlt2,critFlt2,dFlt3,critFlt3))</f>
        <v/>
      </c>
      <c r="F183" t="str">
        <f>IF($B183="","",SUMIFS(dQty,dCust,$B183,dPer,"&gt;="&amp;cyFrom,dPer,"&lt;="&amp;cyTo,dQty,"&gt;-1E+300",dFlt1,critFlt1,dFlt2,critFlt2,dFlt3,critFlt3))</f>
        <v/>
      </c>
      <c r="G183">
        <f>IF($B183="",0,IFERROR(IF(OR(C183&lt;&gt;0,D183&lt;&gt;0,E183&lt;&gt;0,F183&lt;&gt;0),1,0),1))</f>
        <v>0</v>
      </c>
      <c r="H183" t="str">
        <f>IF(OR(G183=0,E183=0),"",C183/E183)</f>
        <v/>
      </c>
      <c r="I183" t="str">
        <f>IF(OR(G183=0,F183=0),"",D183/F183)</f>
        <v/>
      </c>
      <c r="J183" t="str">
        <f>IF(OR(H183="",I183=""),"",IF(H183=0,"",I183/H183-1))</f>
        <v/>
      </c>
      <c r="K183" t="str">
        <f>IF($B183="","",IFERROR(IF(G183=0,-2E+300,CHOOSE(sortIdx,ROUND(D183,0),IF(J183="",-1E+300,ROUND(-J183,6)),IF(J183="",-1E+300,ROUND(J183,6)))),-1.5E+300))</f>
        <v/>
      </c>
      <c r="L183" t="str">
        <f>IF(K183="","",RANK(K183,$K$2:$K$3001,0)+COUNTIF($K$2:K183,K183)-1)</f>
        <v/>
      </c>
    </row>
    <row r="184">
      <c r="B184" t="str">
        <f>IFERROR(IF(A184="","","="&amp;SUBSTITUTE(SUBSTITUTE(SUBSTITUTE(A184,"~","~~"),"*","~*"),"?","~?")),"")</f>
        <v/>
      </c>
      <c r="C184" t="str">
        <f>IF($B184="","",SUMIFS(dAmt,dCust,$B184,dPer,"&gt;="&amp;pyFrom,dPer,"&lt;="&amp;pyTo,dAmt,"&gt;-1E+300",dFlt1,critFlt1,dFlt2,critFlt2,dFlt3,critFlt3))</f>
        <v/>
      </c>
      <c r="D184" t="str">
        <f>IF($B184="","",SUMIFS(dAmt,dCust,$B184,dPer,"&gt;="&amp;cyFrom,dPer,"&lt;="&amp;cyTo,dAmt,"&gt;-1E+300",dFlt1,critFlt1,dFlt2,critFlt2,dFlt3,critFlt3))</f>
        <v/>
      </c>
      <c r="E184" t="str">
        <f>IF($B184="","",SUMIFS(dQty,dCust,$B184,dPer,"&gt;="&amp;pyFrom,dPer,"&lt;="&amp;pyTo,dQty,"&gt;-1E+300",dFlt1,critFlt1,dFlt2,critFlt2,dFlt3,critFlt3))</f>
        <v/>
      </c>
      <c r="F184" t="str">
        <f>IF($B184="","",SUMIFS(dQty,dCust,$B184,dPer,"&gt;="&amp;cyFrom,dPer,"&lt;="&amp;cyTo,dQty,"&gt;-1E+300",dFlt1,critFlt1,dFlt2,critFlt2,dFlt3,critFlt3))</f>
        <v/>
      </c>
      <c r="G184">
        <f>IF($B184="",0,IFERROR(IF(OR(C184&lt;&gt;0,D184&lt;&gt;0,E184&lt;&gt;0,F184&lt;&gt;0),1,0),1))</f>
        <v>0</v>
      </c>
      <c r="H184" t="str">
        <f>IF(OR(G184=0,E184=0),"",C184/E184)</f>
        <v/>
      </c>
      <c r="I184" t="str">
        <f>IF(OR(G184=0,F184=0),"",D184/F184)</f>
        <v/>
      </c>
      <c r="J184" t="str">
        <f>IF(OR(H184="",I184=""),"",IF(H184=0,"",I184/H184-1))</f>
        <v/>
      </c>
      <c r="K184" t="str">
        <f>IF($B184="","",IFERROR(IF(G184=0,-2E+300,CHOOSE(sortIdx,ROUND(D184,0),IF(J184="",-1E+300,ROUND(-J184,6)),IF(J184="",-1E+300,ROUND(J184,6)))),-1.5E+300))</f>
        <v/>
      </c>
      <c r="L184" t="str">
        <f>IF(K184="","",RANK(K184,$K$2:$K$3001,0)+COUNTIF($K$2:K184,K184)-1)</f>
        <v/>
      </c>
    </row>
    <row r="185">
      <c r="B185" t="str">
        <f>IFERROR(IF(A185="","","="&amp;SUBSTITUTE(SUBSTITUTE(SUBSTITUTE(A185,"~","~~"),"*","~*"),"?","~?")),"")</f>
        <v/>
      </c>
      <c r="C185" t="str">
        <f>IF($B185="","",SUMIFS(dAmt,dCust,$B185,dPer,"&gt;="&amp;pyFrom,dPer,"&lt;="&amp;pyTo,dAmt,"&gt;-1E+300",dFlt1,critFlt1,dFlt2,critFlt2,dFlt3,critFlt3))</f>
        <v/>
      </c>
      <c r="D185" t="str">
        <f>IF($B185="","",SUMIFS(dAmt,dCust,$B185,dPer,"&gt;="&amp;cyFrom,dPer,"&lt;="&amp;cyTo,dAmt,"&gt;-1E+300",dFlt1,critFlt1,dFlt2,critFlt2,dFlt3,critFlt3))</f>
        <v/>
      </c>
      <c r="E185" t="str">
        <f>IF($B185="","",SUMIFS(dQty,dCust,$B185,dPer,"&gt;="&amp;pyFrom,dPer,"&lt;="&amp;pyTo,dQty,"&gt;-1E+300",dFlt1,critFlt1,dFlt2,critFlt2,dFlt3,critFlt3))</f>
        <v/>
      </c>
      <c r="F185" t="str">
        <f>IF($B185="","",SUMIFS(dQty,dCust,$B185,dPer,"&gt;="&amp;cyFrom,dPer,"&lt;="&amp;cyTo,dQty,"&gt;-1E+300",dFlt1,critFlt1,dFlt2,critFlt2,dFlt3,critFlt3))</f>
        <v/>
      </c>
      <c r="G185">
        <f>IF($B185="",0,IFERROR(IF(OR(C185&lt;&gt;0,D185&lt;&gt;0,E185&lt;&gt;0,F185&lt;&gt;0),1,0),1))</f>
        <v>0</v>
      </c>
      <c r="H185" t="str">
        <f>IF(OR(G185=0,E185=0),"",C185/E185)</f>
        <v/>
      </c>
      <c r="I185" t="str">
        <f>IF(OR(G185=0,F185=0),"",D185/F185)</f>
        <v/>
      </c>
      <c r="J185" t="str">
        <f>IF(OR(H185="",I185=""),"",IF(H185=0,"",I185/H185-1))</f>
        <v/>
      </c>
      <c r="K185" t="str">
        <f>IF($B185="","",IFERROR(IF(G185=0,-2E+300,CHOOSE(sortIdx,ROUND(D185,0),IF(J185="",-1E+300,ROUND(-J185,6)),IF(J185="",-1E+300,ROUND(J185,6)))),-1.5E+300))</f>
        <v/>
      </c>
      <c r="L185" t="str">
        <f>IF(K185="","",RANK(K185,$K$2:$K$3001,0)+COUNTIF($K$2:K185,K185)-1)</f>
        <v/>
      </c>
    </row>
    <row r="186">
      <c r="B186" t="str">
        <f>IFERROR(IF(A186="","","="&amp;SUBSTITUTE(SUBSTITUTE(SUBSTITUTE(A186,"~","~~"),"*","~*"),"?","~?")),"")</f>
        <v/>
      </c>
      <c r="C186" t="str">
        <f>IF($B186="","",SUMIFS(dAmt,dCust,$B186,dPer,"&gt;="&amp;pyFrom,dPer,"&lt;="&amp;pyTo,dAmt,"&gt;-1E+300",dFlt1,critFlt1,dFlt2,critFlt2,dFlt3,critFlt3))</f>
        <v/>
      </c>
      <c r="D186" t="str">
        <f>IF($B186="","",SUMIFS(dAmt,dCust,$B186,dPer,"&gt;="&amp;cyFrom,dPer,"&lt;="&amp;cyTo,dAmt,"&gt;-1E+300",dFlt1,critFlt1,dFlt2,critFlt2,dFlt3,critFlt3))</f>
        <v/>
      </c>
      <c r="E186" t="str">
        <f>IF($B186="","",SUMIFS(dQty,dCust,$B186,dPer,"&gt;="&amp;pyFrom,dPer,"&lt;="&amp;pyTo,dQty,"&gt;-1E+300",dFlt1,critFlt1,dFlt2,critFlt2,dFlt3,critFlt3))</f>
        <v/>
      </c>
      <c r="F186" t="str">
        <f>IF($B186="","",SUMIFS(dQty,dCust,$B186,dPer,"&gt;="&amp;cyFrom,dPer,"&lt;="&amp;cyTo,dQty,"&gt;-1E+300",dFlt1,critFlt1,dFlt2,critFlt2,dFlt3,critFlt3))</f>
        <v/>
      </c>
      <c r="G186">
        <f>IF($B186="",0,IFERROR(IF(OR(C186&lt;&gt;0,D186&lt;&gt;0,E186&lt;&gt;0,F186&lt;&gt;0),1,0),1))</f>
        <v>0</v>
      </c>
      <c r="H186" t="str">
        <f>IF(OR(G186=0,E186=0),"",C186/E186)</f>
        <v/>
      </c>
      <c r="I186" t="str">
        <f>IF(OR(G186=0,F186=0),"",D186/F186)</f>
        <v/>
      </c>
      <c r="J186" t="str">
        <f>IF(OR(H186="",I186=""),"",IF(H186=0,"",I186/H186-1))</f>
        <v/>
      </c>
      <c r="K186" t="str">
        <f>IF($B186="","",IFERROR(IF(G186=0,-2E+300,CHOOSE(sortIdx,ROUND(D186,0),IF(J186="",-1E+300,ROUND(-J186,6)),IF(J186="",-1E+300,ROUND(J186,6)))),-1.5E+300))</f>
        <v/>
      </c>
      <c r="L186" t="str">
        <f>IF(K186="","",RANK(K186,$K$2:$K$3001,0)+COUNTIF($K$2:K186,K186)-1)</f>
        <v/>
      </c>
    </row>
    <row r="187">
      <c r="B187" t="str">
        <f>IFERROR(IF(A187="","","="&amp;SUBSTITUTE(SUBSTITUTE(SUBSTITUTE(A187,"~","~~"),"*","~*"),"?","~?")),"")</f>
        <v/>
      </c>
      <c r="C187" t="str">
        <f>IF($B187="","",SUMIFS(dAmt,dCust,$B187,dPer,"&gt;="&amp;pyFrom,dPer,"&lt;="&amp;pyTo,dAmt,"&gt;-1E+300",dFlt1,critFlt1,dFlt2,critFlt2,dFlt3,critFlt3))</f>
        <v/>
      </c>
      <c r="D187" t="str">
        <f>IF($B187="","",SUMIFS(dAmt,dCust,$B187,dPer,"&gt;="&amp;cyFrom,dPer,"&lt;="&amp;cyTo,dAmt,"&gt;-1E+300",dFlt1,critFlt1,dFlt2,critFlt2,dFlt3,critFlt3))</f>
        <v/>
      </c>
      <c r="E187" t="str">
        <f>IF($B187="","",SUMIFS(dQty,dCust,$B187,dPer,"&gt;="&amp;pyFrom,dPer,"&lt;="&amp;pyTo,dQty,"&gt;-1E+300",dFlt1,critFlt1,dFlt2,critFlt2,dFlt3,critFlt3))</f>
        <v/>
      </c>
      <c r="F187" t="str">
        <f>IF($B187="","",SUMIFS(dQty,dCust,$B187,dPer,"&gt;="&amp;cyFrom,dPer,"&lt;="&amp;cyTo,dQty,"&gt;-1E+300",dFlt1,critFlt1,dFlt2,critFlt2,dFlt3,critFlt3))</f>
        <v/>
      </c>
      <c r="G187">
        <f>IF($B187="",0,IFERROR(IF(OR(C187&lt;&gt;0,D187&lt;&gt;0,E187&lt;&gt;0,F187&lt;&gt;0),1,0),1))</f>
        <v>0</v>
      </c>
      <c r="H187" t="str">
        <f>IF(OR(G187=0,E187=0),"",C187/E187)</f>
        <v/>
      </c>
      <c r="I187" t="str">
        <f>IF(OR(G187=0,F187=0),"",D187/F187)</f>
        <v/>
      </c>
      <c r="J187" t="str">
        <f>IF(OR(H187="",I187=""),"",IF(H187=0,"",I187/H187-1))</f>
        <v/>
      </c>
      <c r="K187" t="str">
        <f>IF($B187="","",IFERROR(IF(G187=0,-2E+300,CHOOSE(sortIdx,ROUND(D187,0),IF(J187="",-1E+300,ROUND(-J187,6)),IF(J187="",-1E+300,ROUND(J187,6)))),-1.5E+300))</f>
        <v/>
      </c>
      <c r="L187" t="str">
        <f>IF(K187="","",RANK(K187,$K$2:$K$3001,0)+COUNTIF($K$2:K187,K187)-1)</f>
        <v/>
      </c>
    </row>
    <row r="188">
      <c r="B188" t="str">
        <f>IFERROR(IF(A188="","","="&amp;SUBSTITUTE(SUBSTITUTE(SUBSTITUTE(A188,"~","~~"),"*","~*"),"?","~?")),"")</f>
        <v/>
      </c>
      <c r="C188" t="str">
        <f>IF($B188="","",SUMIFS(dAmt,dCust,$B188,dPer,"&gt;="&amp;pyFrom,dPer,"&lt;="&amp;pyTo,dAmt,"&gt;-1E+300",dFlt1,critFlt1,dFlt2,critFlt2,dFlt3,critFlt3))</f>
        <v/>
      </c>
      <c r="D188" t="str">
        <f>IF($B188="","",SUMIFS(dAmt,dCust,$B188,dPer,"&gt;="&amp;cyFrom,dPer,"&lt;="&amp;cyTo,dAmt,"&gt;-1E+300",dFlt1,critFlt1,dFlt2,critFlt2,dFlt3,critFlt3))</f>
        <v/>
      </c>
      <c r="E188" t="str">
        <f>IF($B188="","",SUMIFS(dQty,dCust,$B188,dPer,"&gt;="&amp;pyFrom,dPer,"&lt;="&amp;pyTo,dQty,"&gt;-1E+300",dFlt1,critFlt1,dFlt2,critFlt2,dFlt3,critFlt3))</f>
        <v/>
      </c>
      <c r="F188" t="str">
        <f>IF($B188="","",SUMIFS(dQty,dCust,$B188,dPer,"&gt;="&amp;cyFrom,dPer,"&lt;="&amp;cyTo,dQty,"&gt;-1E+300",dFlt1,critFlt1,dFlt2,critFlt2,dFlt3,critFlt3))</f>
        <v/>
      </c>
      <c r="G188">
        <f>IF($B188="",0,IFERROR(IF(OR(C188&lt;&gt;0,D188&lt;&gt;0,E188&lt;&gt;0,F188&lt;&gt;0),1,0),1))</f>
        <v>0</v>
      </c>
      <c r="H188" t="str">
        <f>IF(OR(G188=0,E188=0),"",C188/E188)</f>
        <v/>
      </c>
      <c r="I188" t="str">
        <f>IF(OR(G188=0,F188=0),"",D188/F188)</f>
        <v/>
      </c>
      <c r="J188" t="str">
        <f>IF(OR(H188="",I188=""),"",IF(H188=0,"",I188/H188-1))</f>
        <v/>
      </c>
      <c r="K188" t="str">
        <f>IF($B188="","",IFERROR(IF(G188=0,-2E+300,CHOOSE(sortIdx,ROUND(D188,0),IF(J188="",-1E+300,ROUND(-J188,6)),IF(J188="",-1E+300,ROUND(J188,6)))),-1.5E+300))</f>
        <v/>
      </c>
      <c r="L188" t="str">
        <f>IF(K188="","",RANK(K188,$K$2:$K$3001,0)+COUNTIF($K$2:K188,K188)-1)</f>
        <v/>
      </c>
    </row>
    <row r="189">
      <c r="B189" t="str">
        <f>IFERROR(IF(A189="","","="&amp;SUBSTITUTE(SUBSTITUTE(SUBSTITUTE(A189,"~","~~"),"*","~*"),"?","~?")),"")</f>
        <v/>
      </c>
      <c r="C189" t="str">
        <f>IF($B189="","",SUMIFS(dAmt,dCust,$B189,dPer,"&gt;="&amp;pyFrom,dPer,"&lt;="&amp;pyTo,dAmt,"&gt;-1E+300",dFlt1,critFlt1,dFlt2,critFlt2,dFlt3,critFlt3))</f>
        <v/>
      </c>
      <c r="D189" t="str">
        <f>IF($B189="","",SUMIFS(dAmt,dCust,$B189,dPer,"&gt;="&amp;cyFrom,dPer,"&lt;="&amp;cyTo,dAmt,"&gt;-1E+300",dFlt1,critFlt1,dFlt2,critFlt2,dFlt3,critFlt3))</f>
        <v/>
      </c>
      <c r="E189" t="str">
        <f>IF($B189="","",SUMIFS(dQty,dCust,$B189,dPer,"&gt;="&amp;pyFrom,dPer,"&lt;="&amp;pyTo,dQty,"&gt;-1E+300",dFlt1,critFlt1,dFlt2,critFlt2,dFlt3,critFlt3))</f>
        <v/>
      </c>
      <c r="F189" t="str">
        <f>IF($B189="","",SUMIFS(dQty,dCust,$B189,dPer,"&gt;="&amp;cyFrom,dPer,"&lt;="&amp;cyTo,dQty,"&gt;-1E+300",dFlt1,critFlt1,dFlt2,critFlt2,dFlt3,critFlt3))</f>
        <v/>
      </c>
      <c r="G189">
        <f>IF($B189="",0,IFERROR(IF(OR(C189&lt;&gt;0,D189&lt;&gt;0,E189&lt;&gt;0,F189&lt;&gt;0),1,0),1))</f>
        <v>0</v>
      </c>
      <c r="H189" t="str">
        <f>IF(OR(G189=0,E189=0),"",C189/E189)</f>
        <v/>
      </c>
      <c r="I189" t="str">
        <f>IF(OR(G189=0,F189=0),"",D189/F189)</f>
        <v/>
      </c>
      <c r="J189" t="str">
        <f>IF(OR(H189="",I189=""),"",IF(H189=0,"",I189/H189-1))</f>
        <v/>
      </c>
      <c r="K189" t="str">
        <f>IF($B189="","",IFERROR(IF(G189=0,-2E+300,CHOOSE(sortIdx,ROUND(D189,0),IF(J189="",-1E+300,ROUND(-J189,6)),IF(J189="",-1E+300,ROUND(J189,6)))),-1.5E+300))</f>
        <v/>
      </c>
      <c r="L189" t="str">
        <f>IF(K189="","",RANK(K189,$K$2:$K$3001,0)+COUNTIF($K$2:K189,K189)-1)</f>
        <v/>
      </c>
    </row>
    <row r="190">
      <c r="B190" t="str">
        <f>IFERROR(IF(A190="","","="&amp;SUBSTITUTE(SUBSTITUTE(SUBSTITUTE(A190,"~","~~"),"*","~*"),"?","~?")),"")</f>
        <v/>
      </c>
      <c r="C190" t="str">
        <f>IF($B190="","",SUMIFS(dAmt,dCust,$B190,dPer,"&gt;="&amp;pyFrom,dPer,"&lt;="&amp;pyTo,dAmt,"&gt;-1E+300",dFlt1,critFlt1,dFlt2,critFlt2,dFlt3,critFlt3))</f>
        <v/>
      </c>
      <c r="D190" t="str">
        <f>IF($B190="","",SUMIFS(dAmt,dCust,$B190,dPer,"&gt;="&amp;cyFrom,dPer,"&lt;="&amp;cyTo,dAmt,"&gt;-1E+300",dFlt1,critFlt1,dFlt2,critFlt2,dFlt3,critFlt3))</f>
        <v/>
      </c>
      <c r="E190" t="str">
        <f>IF($B190="","",SUMIFS(dQty,dCust,$B190,dPer,"&gt;="&amp;pyFrom,dPer,"&lt;="&amp;pyTo,dQty,"&gt;-1E+300",dFlt1,critFlt1,dFlt2,critFlt2,dFlt3,critFlt3))</f>
        <v/>
      </c>
      <c r="F190" t="str">
        <f>IF($B190="","",SUMIFS(dQty,dCust,$B190,dPer,"&gt;="&amp;cyFrom,dPer,"&lt;="&amp;cyTo,dQty,"&gt;-1E+300",dFlt1,critFlt1,dFlt2,critFlt2,dFlt3,critFlt3))</f>
        <v/>
      </c>
      <c r="G190">
        <f>IF($B190="",0,IFERROR(IF(OR(C190&lt;&gt;0,D190&lt;&gt;0,E190&lt;&gt;0,F190&lt;&gt;0),1,0),1))</f>
        <v>0</v>
      </c>
      <c r="H190" t="str">
        <f>IF(OR(G190=0,E190=0),"",C190/E190)</f>
        <v/>
      </c>
      <c r="I190" t="str">
        <f>IF(OR(G190=0,F190=0),"",D190/F190)</f>
        <v/>
      </c>
      <c r="J190" t="str">
        <f>IF(OR(H190="",I190=""),"",IF(H190=0,"",I190/H190-1))</f>
        <v/>
      </c>
      <c r="K190" t="str">
        <f>IF($B190="","",IFERROR(IF(G190=0,-2E+300,CHOOSE(sortIdx,ROUND(D190,0),IF(J190="",-1E+300,ROUND(-J190,6)),IF(J190="",-1E+300,ROUND(J190,6)))),-1.5E+300))</f>
        <v/>
      </c>
      <c r="L190" t="str">
        <f>IF(K190="","",RANK(K190,$K$2:$K$3001,0)+COUNTIF($K$2:K190,K190)-1)</f>
        <v/>
      </c>
    </row>
    <row r="191">
      <c r="B191" t="str">
        <f>IFERROR(IF(A191="","","="&amp;SUBSTITUTE(SUBSTITUTE(SUBSTITUTE(A191,"~","~~"),"*","~*"),"?","~?")),"")</f>
        <v/>
      </c>
      <c r="C191" t="str">
        <f>IF($B191="","",SUMIFS(dAmt,dCust,$B191,dPer,"&gt;="&amp;pyFrom,dPer,"&lt;="&amp;pyTo,dAmt,"&gt;-1E+300",dFlt1,critFlt1,dFlt2,critFlt2,dFlt3,critFlt3))</f>
        <v/>
      </c>
      <c r="D191" t="str">
        <f>IF($B191="","",SUMIFS(dAmt,dCust,$B191,dPer,"&gt;="&amp;cyFrom,dPer,"&lt;="&amp;cyTo,dAmt,"&gt;-1E+300",dFlt1,critFlt1,dFlt2,critFlt2,dFlt3,critFlt3))</f>
        <v/>
      </c>
      <c r="E191" t="str">
        <f>IF($B191="","",SUMIFS(dQty,dCust,$B191,dPer,"&gt;="&amp;pyFrom,dPer,"&lt;="&amp;pyTo,dQty,"&gt;-1E+300",dFlt1,critFlt1,dFlt2,critFlt2,dFlt3,critFlt3))</f>
        <v/>
      </c>
      <c r="F191" t="str">
        <f>IF($B191="","",SUMIFS(dQty,dCust,$B191,dPer,"&gt;="&amp;cyFrom,dPer,"&lt;="&amp;cyTo,dQty,"&gt;-1E+300",dFlt1,critFlt1,dFlt2,critFlt2,dFlt3,critFlt3))</f>
        <v/>
      </c>
      <c r="G191">
        <f>IF($B191="",0,IFERROR(IF(OR(C191&lt;&gt;0,D191&lt;&gt;0,E191&lt;&gt;0,F191&lt;&gt;0),1,0),1))</f>
        <v>0</v>
      </c>
      <c r="H191" t="str">
        <f>IF(OR(G191=0,E191=0),"",C191/E191)</f>
        <v/>
      </c>
      <c r="I191" t="str">
        <f>IF(OR(G191=0,F191=0),"",D191/F191)</f>
        <v/>
      </c>
      <c r="J191" t="str">
        <f>IF(OR(H191="",I191=""),"",IF(H191=0,"",I191/H191-1))</f>
        <v/>
      </c>
      <c r="K191" t="str">
        <f>IF($B191="","",IFERROR(IF(G191=0,-2E+300,CHOOSE(sortIdx,ROUND(D191,0),IF(J191="",-1E+300,ROUND(-J191,6)),IF(J191="",-1E+300,ROUND(J191,6)))),-1.5E+300))</f>
        <v/>
      </c>
      <c r="L191" t="str">
        <f>IF(K191="","",RANK(K191,$K$2:$K$3001,0)+COUNTIF($K$2:K191,K191)-1)</f>
        <v/>
      </c>
    </row>
    <row r="192">
      <c r="B192" t="str">
        <f>IFERROR(IF(A192="","","="&amp;SUBSTITUTE(SUBSTITUTE(SUBSTITUTE(A192,"~","~~"),"*","~*"),"?","~?")),"")</f>
        <v/>
      </c>
      <c r="C192" t="str">
        <f>IF($B192="","",SUMIFS(dAmt,dCust,$B192,dPer,"&gt;="&amp;pyFrom,dPer,"&lt;="&amp;pyTo,dAmt,"&gt;-1E+300",dFlt1,critFlt1,dFlt2,critFlt2,dFlt3,critFlt3))</f>
        <v/>
      </c>
      <c r="D192" t="str">
        <f>IF($B192="","",SUMIFS(dAmt,dCust,$B192,dPer,"&gt;="&amp;cyFrom,dPer,"&lt;="&amp;cyTo,dAmt,"&gt;-1E+300",dFlt1,critFlt1,dFlt2,critFlt2,dFlt3,critFlt3))</f>
        <v/>
      </c>
      <c r="E192" t="str">
        <f>IF($B192="","",SUMIFS(dQty,dCust,$B192,dPer,"&gt;="&amp;pyFrom,dPer,"&lt;="&amp;pyTo,dQty,"&gt;-1E+300",dFlt1,critFlt1,dFlt2,critFlt2,dFlt3,critFlt3))</f>
        <v/>
      </c>
      <c r="F192" t="str">
        <f>IF($B192="","",SUMIFS(dQty,dCust,$B192,dPer,"&gt;="&amp;cyFrom,dPer,"&lt;="&amp;cyTo,dQty,"&gt;-1E+300",dFlt1,critFlt1,dFlt2,critFlt2,dFlt3,critFlt3))</f>
        <v/>
      </c>
      <c r="G192">
        <f>IF($B192="",0,IFERROR(IF(OR(C192&lt;&gt;0,D192&lt;&gt;0,E192&lt;&gt;0,F192&lt;&gt;0),1,0),1))</f>
        <v>0</v>
      </c>
      <c r="H192" t="str">
        <f>IF(OR(G192=0,E192=0),"",C192/E192)</f>
        <v/>
      </c>
      <c r="I192" t="str">
        <f>IF(OR(G192=0,F192=0),"",D192/F192)</f>
        <v/>
      </c>
      <c r="J192" t="str">
        <f>IF(OR(H192="",I192=""),"",IF(H192=0,"",I192/H192-1))</f>
        <v/>
      </c>
      <c r="K192" t="str">
        <f>IF($B192="","",IFERROR(IF(G192=0,-2E+300,CHOOSE(sortIdx,ROUND(D192,0),IF(J192="",-1E+300,ROUND(-J192,6)),IF(J192="",-1E+300,ROUND(J192,6)))),-1.5E+300))</f>
        <v/>
      </c>
      <c r="L192" t="str">
        <f>IF(K192="","",RANK(K192,$K$2:$K$3001,0)+COUNTIF($K$2:K192,K192)-1)</f>
        <v/>
      </c>
    </row>
    <row r="193">
      <c r="B193" t="str">
        <f>IFERROR(IF(A193="","","="&amp;SUBSTITUTE(SUBSTITUTE(SUBSTITUTE(A193,"~","~~"),"*","~*"),"?","~?")),"")</f>
        <v/>
      </c>
      <c r="C193" t="str">
        <f>IF($B193="","",SUMIFS(dAmt,dCust,$B193,dPer,"&gt;="&amp;pyFrom,dPer,"&lt;="&amp;pyTo,dAmt,"&gt;-1E+300",dFlt1,critFlt1,dFlt2,critFlt2,dFlt3,critFlt3))</f>
        <v/>
      </c>
      <c r="D193" t="str">
        <f>IF($B193="","",SUMIFS(dAmt,dCust,$B193,dPer,"&gt;="&amp;cyFrom,dPer,"&lt;="&amp;cyTo,dAmt,"&gt;-1E+300",dFlt1,critFlt1,dFlt2,critFlt2,dFlt3,critFlt3))</f>
        <v/>
      </c>
      <c r="E193" t="str">
        <f>IF($B193="","",SUMIFS(dQty,dCust,$B193,dPer,"&gt;="&amp;pyFrom,dPer,"&lt;="&amp;pyTo,dQty,"&gt;-1E+300",dFlt1,critFlt1,dFlt2,critFlt2,dFlt3,critFlt3))</f>
        <v/>
      </c>
      <c r="F193" t="str">
        <f>IF($B193="","",SUMIFS(dQty,dCust,$B193,dPer,"&gt;="&amp;cyFrom,dPer,"&lt;="&amp;cyTo,dQty,"&gt;-1E+300",dFlt1,critFlt1,dFlt2,critFlt2,dFlt3,critFlt3))</f>
        <v/>
      </c>
      <c r="G193">
        <f>IF($B193="",0,IFERROR(IF(OR(C193&lt;&gt;0,D193&lt;&gt;0,E193&lt;&gt;0,F193&lt;&gt;0),1,0),1))</f>
        <v>0</v>
      </c>
      <c r="H193" t="str">
        <f>IF(OR(G193=0,E193=0),"",C193/E193)</f>
        <v/>
      </c>
      <c r="I193" t="str">
        <f>IF(OR(G193=0,F193=0),"",D193/F193)</f>
        <v/>
      </c>
      <c r="J193" t="str">
        <f>IF(OR(H193="",I193=""),"",IF(H193=0,"",I193/H193-1))</f>
        <v/>
      </c>
      <c r="K193" t="str">
        <f>IF($B193="","",IFERROR(IF(G193=0,-2E+300,CHOOSE(sortIdx,ROUND(D193,0),IF(J193="",-1E+300,ROUND(-J193,6)),IF(J193="",-1E+300,ROUND(J193,6)))),-1.5E+300))</f>
        <v/>
      </c>
      <c r="L193" t="str">
        <f>IF(K193="","",RANK(K193,$K$2:$K$3001,0)+COUNTIF($K$2:K193,K193)-1)</f>
        <v/>
      </c>
    </row>
    <row r="194">
      <c r="B194" t="str">
        <f>IFERROR(IF(A194="","","="&amp;SUBSTITUTE(SUBSTITUTE(SUBSTITUTE(A194,"~","~~"),"*","~*"),"?","~?")),"")</f>
        <v/>
      </c>
      <c r="C194" t="str">
        <f>IF($B194="","",SUMIFS(dAmt,dCust,$B194,dPer,"&gt;="&amp;pyFrom,dPer,"&lt;="&amp;pyTo,dAmt,"&gt;-1E+300",dFlt1,critFlt1,dFlt2,critFlt2,dFlt3,critFlt3))</f>
        <v/>
      </c>
      <c r="D194" t="str">
        <f>IF($B194="","",SUMIFS(dAmt,dCust,$B194,dPer,"&gt;="&amp;cyFrom,dPer,"&lt;="&amp;cyTo,dAmt,"&gt;-1E+300",dFlt1,critFlt1,dFlt2,critFlt2,dFlt3,critFlt3))</f>
        <v/>
      </c>
      <c r="E194" t="str">
        <f>IF($B194="","",SUMIFS(dQty,dCust,$B194,dPer,"&gt;="&amp;pyFrom,dPer,"&lt;="&amp;pyTo,dQty,"&gt;-1E+300",dFlt1,critFlt1,dFlt2,critFlt2,dFlt3,critFlt3))</f>
        <v/>
      </c>
      <c r="F194" t="str">
        <f>IF($B194="","",SUMIFS(dQty,dCust,$B194,dPer,"&gt;="&amp;cyFrom,dPer,"&lt;="&amp;cyTo,dQty,"&gt;-1E+300",dFlt1,critFlt1,dFlt2,critFlt2,dFlt3,critFlt3))</f>
        <v/>
      </c>
      <c r="G194">
        <f>IF($B194="",0,IFERROR(IF(OR(C194&lt;&gt;0,D194&lt;&gt;0,E194&lt;&gt;0,F194&lt;&gt;0),1,0),1))</f>
        <v>0</v>
      </c>
      <c r="H194" t="str">
        <f>IF(OR(G194=0,E194=0),"",C194/E194)</f>
        <v/>
      </c>
      <c r="I194" t="str">
        <f>IF(OR(G194=0,F194=0),"",D194/F194)</f>
        <v/>
      </c>
      <c r="J194" t="str">
        <f>IF(OR(H194="",I194=""),"",IF(H194=0,"",I194/H194-1))</f>
        <v/>
      </c>
      <c r="K194" t="str">
        <f>IF($B194="","",IFERROR(IF(G194=0,-2E+300,CHOOSE(sortIdx,ROUND(D194,0),IF(J194="",-1E+300,ROUND(-J194,6)),IF(J194="",-1E+300,ROUND(J194,6)))),-1.5E+300))</f>
        <v/>
      </c>
      <c r="L194" t="str">
        <f>IF(K194="","",RANK(K194,$K$2:$K$3001,0)+COUNTIF($K$2:K194,K194)-1)</f>
        <v/>
      </c>
    </row>
    <row r="195">
      <c r="B195" t="str">
        <f>IFERROR(IF(A195="","","="&amp;SUBSTITUTE(SUBSTITUTE(SUBSTITUTE(A195,"~","~~"),"*","~*"),"?","~?")),"")</f>
        <v/>
      </c>
      <c r="C195" t="str">
        <f>IF($B195="","",SUMIFS(dAmt,dCust,$B195,dPer,"&gt;="&amp;pyFrom,dPer,"&lt;="&amp;pyTo,dAmt,"&gt;-1E+300",dFlt1,critFlt1,dFlt2,critFlt2,dFlt3,critFlt3))</f>
        <v/>
      </c>
      <c r="D195" t="str">
        <f>IF($B195="","",SUMIFS(dAmt,dCust,$B195,dPer,"&gt;="&amp;cyFrom,dPer,"&lt;="&amp;cyTo,dAmt,"&gt;-1E+300",dFlt1,critFlt1,dFlt2,critFlt2,dFlt3,critFlt3))</f>
        <v/>
      </c>
      <c r="E195" t="str">
        <f>IF($B195="","",SUMIFS(dQty,dCust,$B195,dPer,"&gt;="&amp;pyFrom,dPer,"&lt;="&amp;pyTo,dQty,"&gt;-1E+300",dFlt1,critFlt1,dFlt2,critFlt2,dFlt3,critFlt3))</f>
        <v/>
      </c>
      <c r="F195" t="str">
        <f>IF($B195="","",SUMIFS(dQty,dCust,$B195,dPer,"&gt;="&amp;cyFrom,dPer,"&lt;="&amp;cyTo,dQty,"&gt;-1E+300",dFlt1,critFlt1,dFlt2,critFlt2,dFlt3,critFlt3))</f>
        <v/>
      </c>
      <c r="G195">
        <f>IF($B195="",0,IFERROR(IF(OR(C195&lt;&gt;0,D195&lt;&gt;0,E195&lt;&gt;0,F195&lt;&gt;0),1,0),1))</f>
        <v>0</v>
      </c>
      <c r="H195" t="str">
        <f>IF(OR(G195=0,E195=0),"",C195/E195)</f>
        <v/>
      </c>
      <c r="I195" t="str">
        <f>IF(OR(G195=0,F195=0),"",D195/F195)</f>
        <v/>
      </c>
      <c r="J195" t="str">
        <f>IF(OR(H195="",I195=""),"",IF(H195=0,"",I195/H195-1))</f>
        <v/>
      </c>
      <c r="K195" t="str">
        <f>IF($B195="","",IFERROR(IF(G195=0,-2E+300,CHOOSE(sortIdx,ROUND(D195,0),IF(J195="",-1E+300,ROUND(-J195,6)),IF(J195="",-1E+300,ROUND(J195,6)))),-1.5E+300))</f>
        <v/>
      </c>
      <c r="L195" t="str">
        <f>IF(K195="","",RANK(K195,$K$2:$K$3001,0)+COUNTIF($K$2:K195,K195)-1)</f>
        <v/>
      </c>
    </row>
    <row r="196">
      <c r="B196" t="str">
        <f>IFERROR(IF(A196="","","="&amp;SUBSTITUTE(SUBSTITUTE(SUBSTITUTE(A196,"~","~~"),"*","~*"),"?","~?")),"")</f>
        <v/>
      </c>
      <c r="C196" t="str">
        <f>IF($B196="","",SUMIFS(dAmt,dCust,$B196,dPer,"&gt;="&amp;pyFrom,dPer,"&lt;="&amp;pyTo,dAmt,"&gt;-1E+300",dFlt1,critFlt1,dFlt2,critFlt2,dFlt3,critFlt3))</f>
        <v/>
      </c>
      <c r="D196" t="str">
        <f>IF($B196="","",SUMIFS(dAmt,dCust,$B196,dPer,"&gt;="&amp;cyFrom,dPer,"&lt;="&amp;cyTo,dAmt,"&gt;-1E+300",dFlt1,critFlt1,dFlt2,critFlt2,dFlt3,critFlt3))</f>
        <v/>
      </c>
      <c r="E196" t="str">
        <f>IF($B196="","",SUMIFS(dQty,dCust,$B196,dPer,"&gt;="&amp;pyFrom,dPer,"&lt;="&amp;pyTo,dQty,"&gt;-1E+300",dFlt1,critFlt1,dFlt2,critFlt2,dFlt3,critFlt3))</f>
        <v/>
      </c>
      <c r="F196" t="str">
        <f>IF($B196="","",SUMIFS(dQty,dCust,$B196,dPer,"&gt;="&amp;cyFrom,dPer,"&lt;="&amp;cyTo,dQty,"&gt;-1E+300",dFlt1,critFlt1,dFlt2,critFlt2,dFlt3,critFlt3))</f>
        <v/>
      </c>
      <c r="G196">
        <f>IF($B196="",0,IFERROR(IF(OR(C196&lt;&gt;0,D196&lt;&gt;0,E196&lt;&gt;0,F196&lt;&gt;0),1,0),1))</f>
        <v>0</v>
      </c>
      <c r="H196" t="str">
        <f>IF(OR(G196=0,E196=0),"",C196/E196)</f>
        <v/>
      </c>
      <c r="I196" t="str">
        <f>IF(OR(G196=0,F196=0),"",D196/F196)</f>
        <v/>
      </c>
      <c r="J196" t="str">
        <f>IF(OR(H196="",I196=""),"",IF(H196=0,"",I196/H196-1))</f>
        <v/>
      </c>
      <c r="K196" t="str">
        <f>IF($B196="","",IFERROR(IF(G196=0,-2E+300,CHOOSE(sortIdx,ROUND(D196,0),IF(J196="",-1E+300,ROUND(-J196,6)),IF(J196="",-1E+300,ROUND(J196,6)))),-1.5E+300))</f>
        <v/>
      </c>
      <c r="L196" t="str">
        <f>IF(K196="","",RANK(K196,$K$2:$K$3001,0)+COUNTIF($K$2:K196,K196)-1)</f>
        <v/>
      </c>
    </row>
    <row r="197">
      <c r="B197" t="str">
        <f>IFERROR(IF(A197="","","="&amp;SUBSTITUTE(SUBSTITUTE(SUBSTITUTE(A197,"~","~~"),"*","~*"),"?","~?")),"")</f>
        <v/>
      </c>
      <c r="C197" t="str">
        <f>IF($B197="","",SUMIFS(dAmt,dCust,$B197,dPer,"&gt;="&amp;pyFrom,dPer,"&lt;="&amp;pyTo,dAmt,"&gt;-1E+300",dFlt1,critFlt1,dFlt2,critFlt2,dFlt3,critFlt3))</f>
        <v/>
      </c>
      <c r="D197" t="str">
        <f>IF($B197="","",SUMIFS(dAmt,dCust,$B197,dPer,"&gt;="&amp;cyFrom,dPer,"&lt;="&amp;cyTo,dAmt,"&gt;-1E+300",dFlt1,critFlt1,dFlt2,critFlt2,dFlt3,critFlt3))</f>
        <v/>
      </c>
      <c r="E197" t="str">
        <f>IF($B197="","",SUMIFS(dQty,dCust,$B197,dPer,"&gt;="&amp;pyFrom,dPer,"&lt;="&amp;pyTo,dQty,"&gt;-1E+300",dFlt1,critFlt1,dFlt2,critFlt2,dFlt3,critFlt3))</f>
        <v/>
      </c>
      <c r="F197" t="str">
        <f>IF($B197="","",SUMIFS(dQty,dCust,$B197,dPer,"&gt;="&amp;cyFrom,dPer,"&lt;="&amp;cyTo,dQty,"&gt;-1E+300",dFlt1,critFlt1,dFlt2,critFlt2,dFlt3,critFlt3))</f>
        <v/>
      </c>
      <c r="G197">
        <f>IF($B197="",0,IFERROR(IF(OR(C197&lt;&gt;0,D197&lt;&gt;0,E197&lt;&gt;0,F197&lt;&gt;0),1,0),1))</f>
        <v>0</v>
      </c>
      <c r="H197" t="str">
        <f>IF(OR(G197=0,E197=0),"",C197/E197)</f>
        <v/>
      </c>
      <c r="I197" t="str">
        <f>IF(OR(G197=0,F197=0),"",D197/F197)</f>
        <v/>
      </c>
      <c r="J197" t="str">
        <f>IF(OR(H197="",I197=""),"",IF(H197=0,"",I197/H197-1))</f>
        <v/>
      </c>
      <c r="K197" t="str">
        <f>IF($B197="","",IFERROR(IF(G197=0,-2E+300,CHOOSE(sortIdx,ROUND(D197,0),IF(J197="",-1E+300,ROUND(-J197,6)),IF(J197="",-1E+300,ROUND(J197,6)))),-1.5E+300))</f>
        <v/>
      </c>
      <c r="L197" t="str">
        <f>IF(K197="","",RANK(K197,$K$2:$K$3001,0)+COUNTIF($K$2:K197,K197)-1)</f>
        <v/>
      </c>
    </row>
    <row r="198">
      <c r="B198" t="str">
        <f>IFERROR(IF(A198="","","="&amp;SUBSTITUTE(SUBSTITUTE(SUBSTITUTE(A198,"~","~~"),"*","~*"),"?","~?")),"")</f>
        <v/>
      </c>
      <c r="C198" t="str">
        <f>IF($B198="","",SUMIFS(dAmt,dCust,$B198,dPer,"&gt;="&amp;pyFrom,dPer,"&lt;="&amp;pyTo,dAmt,"&gt;-1E+300",dFlt1,critFlt1,dFlt2,critFlt2,dFlt3,critFlt3))</f>
        <v/>
      </c>
      <c r="D198" t="str">
        <f>IF($B198="","",SUMIFS(dAmt,dCust,$B198,dPer,"&gt;="&amp;cyFrom,dPer,"&lt;="&amp;cyTo,dAmt,"&gt;-1E+300",dFlt1,critFlt1,dFlt2,critFlt2,dFlt3,critFlt3))</f>
        <v/>
      </c>
      <c r="E198" t="str">
        <f>IF($B198="","",SUMIFS(dQty,dCust,$B198,dPer,"&gt;="&amp;pyFrom,dPer,"&lt;="&amp;pyTo,dQty,"&gt;-1E+300",dFlt1,critFlt1,dFlt2,critFlt2,dFlt3,critFlt3))</f>
        <v/>
      </c>
      <c r="F198" t="str">
        <f>IF($B198="","",SUMIFS(dQty,dCust,$B198,dPer,"&gt;="&amp;cyFrom,dPer,"&lt;="&amp;cyTo,dQty,"&gt;-1E+300",dFlt1,critFlt1,dFlt2,critFlt2,dFlt3,critFlt3))</f>
        <v/>
      </c>
      <c r="G198">
        <f>IF($B198="",0,IFERROR(IF(OR(C198&lt;&gt;0,D198&lt;&gt;0,E198&lt;&gt;0,F198&lt;&gt;0),1,0),1))</f>
        <v>0</v>
      </c>
      <c r="H198" t="str">
        <f>IF(OR(G198=0,E198=0),"",C198/E198)</f>
        <v/>
      </c>
      <c r="I198" t="str">
        <f>IF(OR(G198=0,F198=0),"",D198/F198)</f>
        <v/>
      </c>
      <c r="J198" t="str">
        <f>IF(OR(H198="",I198=""),"",IF(H198=0,"",I198/H198-1))</f>
        <v/>
      </c>
      <c r="K198" t="str">
        <f>IF($B198="","",IFERROR(IF(G198=0,-2E+300,CHOOSE(sortIdx,ROUND(D198,0),IF(J198="",-1E+300,ROUND(-J198,6)),IF(J198="",-1E+300,ROUND(J198,6)))),-1.5E+300))</f>
        <v/>
      </c>
      <c r="L198" t="str">
        <f>IF(K198="","",RANK(K198,$K$2:$K$3001,0)+COUNTIF($K$2:K198,K198)-1)</f>
        <v/>
      </c>
    </row>
    <row r="199">
      <c r="B199" t="str">
        <f>IFERROR(IF(A199="","","="&amp;SUBSTITUTE(SUBSTITUTE(SUBSTITUTE(A199,"~","~~"),"*","~*"),"?","~?")),"")</f>
        <v/>
      </c>
      <c r="C199" t="str">
        <f>IF($B199="","",SUMIFS(dAmt,dCust,$B199,dPer,"&gt;="&amp;pyFrom,dPer,"&lt;="&amp;pyTo,dAmt,"&gt;-1E+300",dFlt1,critFlt1,dFlt2,critFlt2,dFlt3,critFlt3))</f>
        <v/>
      </c>
      <c r="D199" t="str">
        <f>IF($B199="","",SUMIFS(dAmt,dCust,$B199,dPer,"&gt;="&amp;cyFrom,dPer,"&lt;="&amp;cyTo,dAmt,"&gt;-1E+300",dFlt1,critFlt1,dFlt2,critFlt2,dFlt3,critFlt3))</f>
        <v/>
      </c>
      <c r="E199" t="str">
        <f>IF($B199="","",SUMIFS(dQty,dCust,$B199,dPer,"&gt;="&amp;pyFrom,dPer,"&lt;="&amp;pyTo,dQty,"&gt;-1E+300",dFlt1,critFlt1,dFlt2,critFlt2,dFlt3,critFlt3))</f>
        <v/>
      </c>
      <c r="F199" t="str">
        <f>IF($B199="","",SUMIFS(dQty,dCust,$B199,dPer,"&gt;="&amp;cyFrom,dPer,"&lt;="&amp;cyTo,dQty,"&gt;-1E+300",dFlt1,critFlt1,dFlt2,critFlt2,dFlt3,critFlt3))</f>
        <v/>
      </c>
      <c r="G199">
        <f>IF($B199="",0,IFERROR(IF(OR(C199&lt;&gt;0,D199&lt;&gt;0,E199&lt;&gt;0,F199&lt;&gt;0),1,0),1))</f>
        <v>0</v>
      </c>
      <c r="H199" t="str">
        <f>IF(OR(G199=0,E199=0),"",C199/E199)</f>
        <v/>
      </c>
      <c r="I199" t="str">
        <f>IF(OR(G199=0,F199=0),"",D199/F199)</f>
        <v/>
      </c>
      <c r="J199" t="str">
        <f>IF(OR(H199="",I199=""),"",IF(H199=0,"",I199/H199-1))</f>
        <v/>
      </c>
      <c r="K199" t="str">
        <f>IF($B199="","",IFERROR(IF(G199=0,-2E+300,CHOOSE(sortIdx,ROUND(D199,0),IF(J199="",-1E+300,ROUND(-J199,6)),IF(J199="",-1E+300,ROUND(J199,6)))),-1.5E+300))</f>
        <v/>
      </c>
      <c r="L199" t="str">
        <f>IF(K199="","",RANK(K199,$K$2:$K$3001,0)+COUNTIF($K$2:K199,K199)-1)</f>
        <v/>
      </c>
    </row>
    <row r="200">
      <c r="B200" t="str">
        <f>IFERROR(IF(A200="","","="&amp;SUBSTITUTE(SUBSTITUTE(SUBSTITUTE(A200,"~","~~"),"*","~*"),"?","~?")),"")</f>
        <v/>
      </c>
      <c r="C200" t="str">
        <f>IF($B200="","",SUMIFS(dAmt,dCust,$B200,dPer,"&gt;="&amp;pyFrom,dPer,"&lt;="&amp;pyTo,dAmt,"&gt;-1E+300",dFlt1,critFlt1,dFlt2,critFlt2,dFlt3,critFlt3))</f>
        <v/>
      </c>
      <c r="D200" t="str">
        <f>IF($B200="","",SUMIFS(dAmt,dCust,$B200,dPer,"&gt;="&amp;cyFrom,dPer,"&lt;="&amp;cyTo,dAmt,"&gt;-1E+300",dFlt1,critFlt1,dFlt2,critFlt2,dFlt3,critFlt3))</f>
        <v/>
      </c>
      <c r="E200" t="str">
        <f>IF($B200="","",SUMIFS(dQty,dCust,$B200,dPer,"&gt;="&amp;pyFrom,dPer,"&lt;="&amp;pyTo,dQty,"&gt;-1E+300",dFlt1,critFlt1,dFlt2,critFlt2,dFlt3,critFlt3))</f>
        <v/>
      </c>
      <c r="F200" t="str">
        <f>IF($B200="","",SUMIFS(dQty,dCust,$B200,dPer,"&gt;="&amp;cyFrom,dPer,"&lt;="&amp;cyTo,dQty,"&gt;-1E+300",dFlt1,critFlt1,dFlt2,critFlt2,dFlt3,critFlt3))</f>
        <v/>
      </c>
      <c r="G200">
        <f>IF($B200="",0,IFERROR(IF(OR(C200&lt;&gt;0,D200&lt;&gt;0,E200&lt;&gt;0,F200&lt;&gt;0),1,0),1))</f>
        <v>0</v>
      </c>
      <c r="H200" t="str">
        <f>IF(OR(G200=0,E200=0),"",C200/E200)</f>
        <v/>
      </c>
      <c r="I200" t="str">
        <f>IF(OR(G200=0,F200=0),"",D200/F200)</f>
        <v/>
      </c>
      <c r="J200" t="str">
        <f>IF(OR(H200="",I200=""),"",IF(H200=0,"",I200/H200-1))</f>
        <v/>
      </c>
      <c r="K200" t="str">
        <f>IF($B200="","",IFERROR(IF(G200=0,-2E+300,CHOOSE(sortIdx,ROUND(D200,0),IF(J200="",-1E+300,ROUND(-J200,6)),IF(J200="",-1E+300,ROUND(J200,6)))),-1.5E+300))</f>
        <v/>
      </c>
      <c r="L200" t="str">
        <f>IF(K200="","",RANK(K200,$K$2:$K$3001,0)+COUNTIF($K$2:K200,K200)-1)</f>
        <v/>
      </c>
    </row>
    <row r="201">
      <c r="B201" t="str">
        <f>IFERROR(IF(A201="","","="&amp;SUBSTITUTE(SUBSTITUTE(SUBSTITUTE(A201,"~","~~"),"*","~*"),"?","~?")),"")</f>
        <v/>
      </c>
      <c r="C201" t="str">
        <f>IF($B201="","",SUMIFS(dAmt,dCust,$B201,dPer,"&gt;="&amp;pyFrom,dPer,"&lt;="&amp;pyTo,dAmt,"&gt;-1E+300",dFlt1,critFlt1,dFlt2,critFlt2,dFlt3,critFlt3))</f>
        <v/>
      </c>
      <c r="D201" t="str">
        <f>IF($B201="","",SUMIFS(dAmt,dCust,$B201,dPer,"&gt;="&amp;cyFrom,dPer,"&lt;="&amp;cyTo,dAmt,"&gt;-1E+300",dFlt1,critFlt1,dFlt2,critFlt2,dFlt3,critFlt3))</f>
        <v/>
      </c>
      <c r="E201" t="str">
        <f>IF($B201="","",SUMIFS(dQty,dCust,$B201,dPer,"&gt;="&amp;pyFrom,dPer,"&lt;="&amp;pyTo,dQty,"&gt;-1E+300",dFlt1,critFlt1,dFlt2,critFlt2,dFlt3,critFlt3))</f>
        <v/>
      </c>
      <c r="F201" t="str">
        <f>IF($B201="","",SUMIFS(dQty,dCust,$B201,dPer,"&gt;="&amp;cyFrom,dPer,"&lt;="&amp;cyTo,dQty,"&gt;-1E+300",dFlt1,critFlt1,dFlt2,critFlt2,dFlt3,critFlt3))</f>
        <v/>
      </c>
      <c r="G201">
        <f>IF($B201="",0,IFERROR(IF(OR(C201&lt;&gt;0,D201&lt;&gt;0,E201&lt;&gt;0,F201&lt;&gt;0),1,0),1))</f>
        <v>0</v>
      </c>
      <c r="H201" t="str">
        <f>IF(OR(G201=0,E201=0),"",C201/E201)</f>
        <v/>
      </c>
      <c r="I201" t="str">
        <f>IF(OR(G201=0,F201=0),"",D201/F201)</f>
        <v/>
      </c>
      <c r="J201" t="str">
        <f>IF(OR(H201="",I201=""),"",IF(H201=0,"",I201/H201-1))</f>
        <v/>
      </c>
      <c r="K201" t="str">
        <f>IF($B201="","",IFERROR(IF(G201=0,-2E+300,CHOOSE(sortIdx,ROUND(D201,0),IF(J201="",-1E+300,ROUND(-J201,6)),IF(J201="",-1E+300,ROUND(J201,6)))),-1.5E+300))</f>
        <v/>
      </c>
      <c r="L201" t="str">
        <f>IF(K201="","",RANK(K201,$K$2:$K$3001,0)+COUNTIF($K$2:K201,K201)-1)</f>
        <v/>
      </c>
    </row>
    <row r="202">
      <c r="B202" t="str">
        <f>IFERROR(IF(A202="","","="&amp;SUBSTITUTE(SUBSTITUTE(SUBSTITUTE(A202,"~","~~"),"*","~*"),"?","~?")),"")</f>
        <v/>
      </c>
      <c r="C202" t="str">
        <f>IF($B202="","",SUMIFS(dAmt,dCust,$B202,dPer,"&gt;="&amp;pyFrom,dPer,"&lt;="&amp;pyTo,dAmt,"&gt;-1E+300",dFlt1,critFlt1,dFlt2,critFlt2,dFlt3,critFlt3))</f>
        <v/>
      </c>
      <c r="D202" t="str">
        <f>IF($B202="","",SUMIFS(dAmt,dCust,$B202,dPer,"&gt;="&amp;cyFrom,dPer,"&lt;="&amp;cyTo,dAmt,"&gt;-1E+300",dFlt1,critFlt1,dFlt2,critFlt2,dFlt3,critFlt3))</f>
        <v/>
      </c>
      <c r="E202" t="str">
        <f>IF($B202="","",SUMIFS(dQty,dCust,$B202,dPer,"&gt;="&amp;pyFrom,dPer,"&lt;="&amp;pyTo,dQty,"&gt;-1E+300",dFlt1,critFlt1,dFlt2,critFlt2,dFlt3,critFlt3))</f>
        <v/>
      </c>
      <c r="F202" t="str">
        <f>IF($B202="","",SUMIFS(dQty,dCust,$B202,dPer,"&gt;="&amp;cyFrom,dPer,"&lt;="&amp;cyTo,dQty,"&gt;-1E+300",dFlt1,critFlt1,dFlt2,critFlt2,dFlt3,critFlt3))</f>
        <v/>
      </c>
      <c r="G202">
        <f>IF($B202="",0,IFERROR(IF(OR(C202&lt;&gt;0,D202&lt;&gt;0,E202&lt;&gt;0,F202&lt;&gt;0),1,0),1))</f>
        <v>0</v>
      </c>
      <c r="H202" t="str">
        <f>IF(OR(G202=0,E202=0),"",C202/E202)</f>
        <v/>
      </c>
      <c r="I202" t="str">
        <f>IF(OR(G202=0,F202=0),"",D202/F202)</f>
        <v/>
      </c>
      <c r="J202" t="str">
        <f>IF(OR(H202="",I202=""),"",IF(H202=0,"",I202/H202-1))</f>
        <v/>
      </c>
      <c r="K202" t="str">
        <f>IF($B202="","",IFERROR(IF(G202=0,-2E+300,CHOOSE(sortIdx,ROUND(D202,0),IF(J202="",-1E+300,ROUND(-J202,6)),IF(J202="",-1E+300,ROUND(J202,6)))),-1.5E+300))</f>
        <v/>
      </c>
      <c r="L202" t="str">
        <f>IF(K202="","",RANK(K202,$K$2:$K$3001,0)+COUNTIF($K$2:K202,K202)-1)</f>
        <v/>
      </c>
    </row>
    <row r="203">
      <c r="B203" t="str">
        <f>IFERROR(IF(A203="","","="&amp;SUBSTITUTE(SUBSTITUTE(SUBSTITUTE(A203,"~","~~"),"*","~*"),"?","~?")),"")</f>
        <v/>
      </c>
      <c r="C203" t="str">
        <f>IF($B203="","",SUMIFS(dAmt,dCust,$B203,dPer,"&gt;="&amp;pyFrom,dPer,"&lt;="&amp;pyTo,dAmt,"&gt;-1E+300",dFlt1,critFlt1,dFlt2,critFlt2,dFlt3,critFlt3))</f>
        <v/>
      </c>
      <c r="D203" t="str">
        <f>IF($B203="","",SUMIFS(dAmt,dCust,$B203,dPer,"&gt;="&amp;cyFrom,dPer,"&lt;="&amp;cyTo,dAmt,"&gt;-1E+300",dFlt1,critFlt1,dFlt2,critFlt2,dFlt3,critFlt3))</f>
        <v/>
      </c>
      <c r="E203" t="str">
        <f>IF($B203="","",SUMIFS(dQty,dCust,$B203,dPer,"&gt;="&amp;pyFrom,dPer,"&lt;="&amp;pyTo,dQty,"&gt;-1E+300",dFlt1,critFlt1,dFlt2,critFlt2,dFlt3,critFlt3))</f>
        <v/>
      </c>
      <c r="F203" t="str">
        <f>IF($B203="","",SUMIFS(dQty,dCust,$B203,dPer,"&gt;="&amp;cyFrom,dPer,"&lt;="&amp;cyTo,dQty,"&gt;-1E+300",dFlt1,critFlt1,dFlt2,critFlt2,dFlt3,critFlt3))</f>
        <v/>
      </c>
      <c r="G203">
        <f>IF($B203="",0,IFERROR(IF(OR(C203&lt;&gt;0,D203&lt;&gt;0,E203&lt;&gt;0,F203&lt;&gt;0),1,0),1))</f>
        <v>0</v>
      </c>
      <c r="H203" t="str">
        <f>IF(OR(G203=0,E203=0),"",C203/E203)</f>
        <v/>
      </c>
      <c r="I203" t="str">
        <f>IF(OR(G203=0,F203=0),"",D203/F203)</f>
        <v/>
      </c>
      <c r="J203" t="str">
        <f>IF(OR(H203="",I203=""),"",IF(H203=0,"",I203/H203-1))</f>
        <v/>
      </c>
      <c r="K203" t="str">
        <f>IF($B203="","",IFERROR(IF(G203=0,-2E+300,CHOOSE(sortIdx,ROUND(D203,0),IF(J203="",-1E+300,ROUND(-J203,6)),IF(J203="",-1E+300,ROUND(J203,6)))),-1.5E+300))</f>
        <v/>
      </c>
      <c r="L203" t="str">
        <f>IF(K203="","",RANK(K203,$K$2:$K$3001,0)+COUNTIF($K$2:K203,K203)-1)</f>
        <v/>
      </c>
    </row>
    <row r="204">
      <c r="B204" t="str">
        <f>IFERROR(IF(A204="","","="&amp;SUBSTITUTE(SUBSTITUTE(SUBSTITUTE(A204,"~","~~"),"*","~*"),"?","~?")),"")</f>
        <v/>
      </c>
      <c r="C204" t="str">
        <f>IF($B204="","",SUMIFS(dAmt,dCust,$B204,dPer,"&gt;="&amp;pyFrom,dPer,"&lt;="&amp;pyTo,dAmt,"&gt;-1E+300",dFlt1,critFlt1,dFlt2,critFlt2,dFlt3,critFlt3))</f>
        <v/>
      </c>
      <c r="D204" t="str">
        <f>IF($B204="","",SUMIFS(dAmt,dCust,$B204,dPer,"&gt;="&amp;cyFrom,dPer,"&lt;="&amp;cyTo,dAmt,"&gt;-1E+300",dFlt1,critFlt1,dFlt2,critFlt2,dFlt3,critFlt3))</f>
        <v/>
      </c>
      <c r="E204" t="str">
        <f>IF($B204="","",SUMIFS(dQty,dCust,$B204,dPer,"&gt;="&amp;pyFrom,dPer,"&lt;="&amp;pyTo,dQty,"&gt;-1E+300",dFlt1,critFlt1,dFlt2,critFlt2,dFlt3,critFlt3))</f>
        <v/>
      </c>
      <c r="F204" t="str">
        <f>IF($B204="","",SUMIFS(dQty,dCust,$B204,dPer,"&gt;="&amp;cyFrom,dPer,"&lt;="&amp;cyTo,dQty,"&gt;-1E+300",dFlt1,critFlt1,dFlt2,critFlt2,dFlt3,critFlt3))</f>
        <v/>
      </c>
      <c r="G204">
        <f>IF($B204="",0,IFERROR(IF(OR(C204&lt;&gt;0,D204&lt;&gt;0,E204&lt;&gt;0,F204&lt;&gt;0),1,0),1))</f>
        <v>0</v>
      </c>
      <c r="H204" t="str">
        <f>IF(OR(G204=0,E204=0),"",C204/E204)</f>
        <v/>
      </c>
      <c r="I204" t="str">
        <f>IF(OR(G204=0,F204=0),"",D204/F204)</f>
        <v/>
      </c>
      <c r="J204" t="str">
        <f>IF(OR(H204="",I204=""),"",IF(H204=0,"",I204/H204-1))</f>
        <v/>
      </c>
      <c r="K204" t="str">
        <f>IF($B204="","",IFERROR(IF(G204=0,-2E+300,CHOOSE(sortIdx,ROUND(D204,0),IF(J204="",-1E+300,ROUND(-J204,6)),IF(J204="",-1E+300,ROUND(J204,6)))),-1.5E+300))</f>
        <v/>
      </c>
      <c r="L204" t="str">
        <f>IF(K204="","",RANK(K204,$K$2:$K$3001,0)+COUNTIF($K$2:K204,K204)-1)</f>
        <v/>
      </c>
    </row>
    <row r="205">
      <c r="B205" t="str">
        <f>IFERROR(IF(A205="","","="&amp;SUBSTITUTE(SUBSTITUTE(SUBSTITUTE(A205,"~","~~"),"*","~*"),"?","~?")),"")</f>
        <v/>
      </c>
      <c r="C205" t="str">
        <f>IF($B205="","",SUMIFS(dAmt,dCust,$B205,dPer,"&gt;="&amp;pyFrom,dPer,"&lt;="&amp;pyTo,dAmt,"&gt;-1E+300",dFlt1,critFlt1,dFlt2,critFlt2,dFlt3,critFlt3))</f>
        <v/>
      </c>
      <c r="D205" t="str">
        <f>IF($B205="","",SUMIFS(dAmt,dCust,$B205,dPer,"&gt;="&amp;cyFrom,dPer,"&lt;="&amp;cyTo,dAmt,"&gt;-1E+300",dFlt1,critFlt1,dFlt2,critFlt2,dFlt3,critFlt3))</f>
        <v/>
      </c>
      <c r="E205" t="str">
        <f>IF($B205="","",SUMIFS(dQty,dCust,$B205,dPer,"&gt;="&amp;pyFrom,dPer,"&lt;="&amp;pyTo,dQty,"&gt;-1E+300",dFlt1,critFlt1,dFlt2,critFlt2,dFlt3,critFlt3))</f>
        <v/>
      </c>
      <c r="F205" t="str">
        <f>IF($B205="","",SUMIFS(dQty,dCust,$B205,dPer,"&gt;="&amp;cyFrom,dPer,"&lt;="&amp;cyTo,dQty,"&gt;-1E+300",dFlt1,critFlt1,dFlt2,critFlt2,dFlt3,critFlt3))</f>
        <v/>
      </c>
      <c r="G205">
        <f>IF($B205="",0,IFERROR(IF(OR(C205&lt;&gt;0,D205&lt;&gt;0,E205&lt;&gt;0,F205&lt;&gt;0),1,0),1))</f>
        <v>0</v>
      </c>
      <c r="H205" t="str">
        <f>IF(OR(G205=0,E205=0),"",C205/E205)</f>
        <v/>
      </c>
      <c r="I205" t="str">
        <f>IF(OR(G205=0,F205=0),"",D205/F205)</f>
        <v/>
      </c>
      <c r="J205" t="str">
        <f>IF(OR(H205="",I205=""),"",IF(H205=0,"",I205/H205-1))</f>
        <v/>
      </c>
      <c r="K205" t="str">
        <f>IF($B205="","",IFERROR(IF(G205=0,-2E+300,CHOOSE(sortIdx,ROUND(D205,0),IF(J205="",-1E+300,ROUND(-J205,6)),IF(J205="",-1E+300,ROUND(J205,6)))),-1.5E+300))</f>
        <v/>
      </c>
      <c r="L205" t="str">
        <f>IF(K205="","",RANK(K205,$K$2:$K$3001,0)+COUNTIF($K$2:K205,K205)-1)</f>
        <v/>
      </c>
    </row>
    <row r="206">
      <c r="B206" t="str">
        <f>IFERROR(IF(A206="","","="&amp;SUBSTITUTE(SUBSTITUTE(SUBSTITUTE(A206,"~","~~"),"*","~*"),"?","~?")),"")</f>
        <v/>
      </c>
      <c r="C206" t="str">
        <f>IF($B206="","",SUMIFS(dAmt,dCust,$B206,dPer,"&gt;="&amp;pyFrom,dPer,"&lt;="&amp;pyTo,dAmt,"&gt;-1E+300",dFlt1,critFlt1,dFlt2,critFlt2,dFlt3,critFlt3))</f>
        <v/>
      </c>
      <c r="D206" t="str">
        <f>IF($B206="","",SUMIFS(dAmt,dCust,$B206,dPer,"&gt;="&amp;cyFrom,dPer,"&lt;="&amp;cyTo,dAmt,"&gt;-1E+300",dFlt1,critFlt1,dFlt2,critFlt2,dFlt3,critFlt3))</f>
        <v/>
      </c>
      <c r="E206" t="str">
        <f>IF($B206="","",SUMIFS(dQty,dCust,$B206,dPer,"&gt;="&amp;pyFrom,dPer,"&lt;="&amp;pyTo,dQty,"&gt;-1E+300",dFlt1,critFlt1,dFlt2,critFlt2,dFlt3,critFlt3))</f>
        <v/>
      </c>
      <c r="F206" t="str">
        <f>IF($B206="","",SUMIFS(dQty,dCust,$B206,dPer,"&gt;="&amp;cyFrom,dPer,"&lt;="&amp;cyTo,dQty,"&gt;-1E+300",dFlt1,critFlt1,dFlt2,critFlt2,dFlt3,critFlt3))</f>
        <v/>
      </c>
      <c r="G206">
        <f>IF($B206="",0,IFERROR(IF(OR(C206&lt;&gt;0,D206&lt;&gt;0,E206&lt;&gt;0,F206&lt;&gt;0),1,0),1))</f>
        <v>0</v>
      </c>
      <c r="H206" t="str">
        <f>IF(OR(G206=0,E206=0),"",C206/E206)</f>
        <v/>
      </c>
      <c r="I206" t="str">
        <f>IF(OR(G206=0,F206=0),"",D206/F206)</f>
        <v/>
      </c>
      <c r="J206" t="str">
        <f>IF(OR(H206="",I206=""),"",IF(H206=0,"",I206/H206-1))</f>
        <v/>
      </c>
      <c r="K206" t="str">
        <f>IF($B206="","",IFERROR(IF(G206=0,-2E+300,CHOOSE(sortIdx,ROUND(D206,0),IF(J206="",-1E+300,ROUND(-J206,6)),IF(J206="",-1E+300,ROUND(J206,6)))),-1.5E+300))</f>
        <v/>
      </c>
      <c r="L206" t="str">
        <f>IF(K206="","",RANK(K206,$K$2:$K$3001,0)+COUNTIF($K$2:K206,K206)-1)</f>
        <v/>
      </c>
    </row>
    <row r="207">
      <c r="B207" t="str">
        <f>IFERROR(IF(A207="","","="&amp;SUBSTITUTE(SUBSTITUTE(SUBSTITUTE(A207,"~","~~"),"*","~*"),"?","~?")),"")</f>
        <v/>
      </c>
      <c r="C207" t="str">
        <f>IF($B207="","",SUMIFS(dAmt,dCust,$B207,dPer,"&gt;="&amp;pyFrom,dPer,"&lt;="&amp;pyTo,dAmt,"&gt;-1E+300",dFlt1,critFlt1,dFlt2,critFlt2,dFlt3,critFlt3))</f>
        <v/>
      </c>
      <c r="D207" t="str">
        <f>IF($B207="","",SUMIFS(dAmt,dCust,$B207,dPer,"&gt;="&amp;cyFrom,dPer,"&lt;="&amp;cyTo,dAmt,"&gt;-1E+300",dFlt1,critFlt1,dFlt2,critFlt2,dFlt3,critFlt3))</f>
        <v/>
      </c>
      <c r="E207" t="str">
        <f>IF($B207="","",SUMIFS(dQty,dCust,$B207,dPer,"&gt;="&amp;pyFrom,dPer,"&lt;="&amp;pyTo,dQty,"&gt;-1E+300",dFlt1,critFlt1,dFlt2,critFlt2,dFlt3,critFlt3))</f>
        <v/>
      </c>
      <c r="F207" t="str">
        <f>IF($B207="","",SUMIFS(dQty,dCust,$B207,dPer,"&gt;="&amp;cyFrom,dPer,"&lt;="&amp;cyTo,dQty,"&gt;-1E+300",dFlt1,critFlt1,dFlt2,critFlt2,dFlt3,critFlt3))</f>
        <v/>
      </c>
      <c r="G207">
        <f>IF($B207="",0,IFERROR(IF(OR(C207&lt;&gt;0,D207&lt;&gt;0,E207&lt;&gt;0,F207&lt;&gt;0),1,0),1))</f>
        <v>0</v>
      </c>
      <c r="H207" t="str">
        <f>IF(OR(G207=0,E207=0),"",C207/E207)</f>
        <v/>
      </c>
      <c r="I207" t="str">
        <f>IF(OR(G207=0,F207=0),"",D207/F207)</f>
        <v/>
      </c>
      <c r="J207" t="str">
        <f>IF(OR(H207="",I207=""),"",IF(H207=0,"",I207/H207-1))</f>
        <v/>
      </c>
      <c r="K207" t="str">
        <f>IF($B207="","",IFERROR(IF(G207=0,-2E+300,CHOOSE(sortIdx,ROUND(D207,0),IF(J207="",-1E+300,ROUND(-J207,6)),IF(J207="",-1E+300,ROUND(J207,6)))),-1.5E+300))</f>
        <v/>
      </c>
      <c r="L207" t="str">
        <f>IF(K207="","",RANK(K207,$K$2:$K$3001,0)+COUNTIF($K$2:K207,K207)-1)</f>
        <v/>
      </c>
    </row>
    <row r="208">
      <c r="B208" t="str">
        <f>IFERROR(IF(A208="","","="&amp;SUBSTITUTE(SUBSTITUTE(SUBSTITUTE(A208,"~","~~"),"*","~*"),"?","~?")),"")</f>
        <v/>
      </c>
      <c r="C208" t="str">
        <f>IF($B208="","",SUMIFS(dAmt,dCust,$B208,dPer,"&gt;="&amp;pyFrom,dPer,"&lt;="&amp;pyTo,dAmt,"&gt;-1E+300",dFlt1,critFlt1,dFlt2,critFlt2,dFlt3,critFlt3))</f>
        <v/>
      </c>
      <c r="D208" t="str">
        <f>IF($B208="","",SUMIFS(dAmt,dCust,$B208,dPer,"&gt;="&amp;cyFrom,dPer,"&lt;="&amp;cyTo,dAmt,"&gt;-1E+300",dFlt1,critFlt1,dFlt2,critFlt2,dFlt3,critFlt3))</f>
        <v/>
      </c>
      <c r="E208" t="str">
        <f>IF($B208="","",SUMIFS(dQty,dCust,$B208,dPer,"&gt;="&amp;pyFrom,dPer,"&lt;="&amp;pyTo,dQty,"&gt;-1E+300",dFlt1,critFlt1,dFlt2,critFlt2,dFlt3,critFlt3))</f>
        <v/>
      </c>
      <c r="F208" t="str">
        <f>IF($B208="","",SUMIFS(dQty,dCust,$B208,dPer,"&gt;="&amp;cyFrom,dPer,"&lt;="&amp;cyTo,dQty,"&gt;-1E+300",dFlt1,critFlt1,dFlt2,critFlt2,dFlt3,critFlt3))</f>
        <v/>
      </c>
      <c r="G208">
        <f>IF($B208="",0,IFERROR(IF(OR(C208&lt;&gt;0,D208&lt;&gt;0,E208&lt;&gt;0,F208&lt;&gt;0),1,0),1))</f>
        <v>0</v>
      </c>
      <c r="H208" t="str">
        <f>IF(OR(G208=0,E208=0),"",C208/E208)</f>
        <v/>
      </c>
      <c r="I208" t="str">
        <f>IF(OR(G208=0,F208=0),"",D208/F208)</f>
        <v/>
      </c>
      <c r="J208" t="str">
        <f>IF(OR(H208="",I208=""),"",IF(H208=0,"",I208/H208-1))</f>
        <v/>
      </c>
      <c r="K208" t="str">
        <f>IF($B208="","",IFERROR(IF(G208=0,-2E+300,CHOOSE(sortIdx,ROUND(D208,0),IF(J208="",-1E+300,ROUND(-J208,6)),IF(J208="",-1E+300,ROUND(J208,6)))),-1.5E+300))</f>
        <v/>
      </c>
      <c r="L208" t="str">
        <f>IF(K208="","",RANK(K208,$K$2:$K$3001,0)+COUNTIF($K$2:K208,K208)-1)</f>
        <v/>
      </c>
    </row>
    <row r="209">
      <c r="B209" t="str">
        <f>IFERROR(IF(A209="","","="&amp;SUBSTITUTE(SUBSTITUTE(SUBSTITUTE(A209,"~","~~"),"*","~*"),"?","~?")),"")</f>
        <v/>
      </c>
      <c r="C209" t="str">
        <f>IF($B209="","",SUMIFS(dAmt,dCust,$B209,dPer,"&gt;="&amp;pyFrom,dPer,"&lt;="&amp;pyTo,dAmt,"&gt;-1E+300",dFlt1,critFlt1,dFlt2,critFlt2,dFlt3,critFlt3))</f>
        <v/>
      </c>
      <c r="D209" t="str">
        <f>IF($B209="","",SUMIFS(dAmt,dCust,$B209,dPer,"&gt;="&amp;cyFrom,dPer,"&lt;="&amp;cyTo,dAmt,"&gt;-1E+300",dFlt1,critFlt1,dFlt2,critFlt2,dFlt3,critFlt3))</f>
        <v/>
      </c>
      <c r="E209" t="str">
        <f>IF($B209="","",SUMIFS(dQty,dCust,$B209,dPer,"&gt;="&amp;pyFrom,dPer,"&lt;="&amp;pyTo,dQty,"&gt;-1E+300",dFlt1,critFlt1,dFlt2,critFlt2,dFlt3,critFlt3))</f>
        <v/>
      </c>
      <c r="F209" t="str">
        <f>IF($B209="","",SUMIFS(dQty,dCust,$B209,dPer,"&gt;="&amp;cyFrom,dPer,"&lt;="&amp;cyTo,dQty,"&gt;-1E+300",dFlt1,critFlt1,dFlt2,critFlt2,dFlt3,critFlt3))</f>
        <v/>
      </c>
      <c r="G209">
        <f>IF($B209="",0,IFERROR(IF(OR(C209&lt;&gt;0,D209&lt;&gt;0,E209&lt;&gt;0,F209&lt;&gt;0),1,0),1))</f>
        <v>0</v>
      </c>
      <c r="H209" t="str">
        <f>IF(OR(G209=0,E209=0),"",C209/E209)</f>
        <v/>
      </c>
      <c r="I209" t="str">
        <f>IF(OR(G209=0,F209=0),"",D209/F209)</f>
        <v/>
      </c>
      <c r="J209" t="str">
        <f>IF(OR(H209="",I209=""),"",IF(H209=0,"",I209/H209-1))</f>
        <v/>
      </c>
      <c r="K209" t="str">
        <f>IF($B209="","",IFERROR(IF(G209=0,-2E+300,CHOOSE(sortIdx,ROUND(D209,0),IF(J209="",-1E+300,ROUND(-J209,6)),IF(J209="",-1E+300,ROUND(J209,6)))),-1.5E+300))</f>
        <v/>
      </c>
      <c r="L209" t="str">
        <f>IF(K209="","",RANK(K209,$K$2:$K$3001,0)+COUNTIF($K$2:K209,K209)-1)</f>
        <v/>
      </c>
    </row>
    <row r="210">
      <c r="B210" t="str">
        <f>IFERROR(IF(A210="","","="&amp;SUBSTITUTE(SUBSTITUTE(SUBSTITUTE(A210,"~","~~"),"*","~*"),"?","~?")),"")</f>
        <v/>
      </c>
      <c r="C210" t="str">
        <f>IF($B210="","",SUMIFS(dAmt,dCust,$B210,dPer,"&gt;="&amp;pyFrom,dPer,"&lt;="&amp;pyTo,dAmt,"&gt;-1E+300",dFlt1,critFlt1,dFlt2,critFlt2,dFlt3,critFlt3))</f>
        <v/>
      </c>
      <c r="D210" t="str">
        <f>IF($B210="","",SUMIFS(dAmt,dCust,$B210,dPer,"&gt;="&amp;cyFrom,dPer,"&lt;="&amp;cyTo,dAmt,"&gt;-1E+300",dFlt1,critFlt1,dFlt2,critFlt2,dFlt3,critFlt3))</f>
        <v/>
      </c>
      <c r="E210" t="str">
        <f>IF($B210="","",SUMIFS(dQty,dCust,$B210,dPer,"&gt;="&amp;pyFrom,dPer,"&lt;="&amp;pyTo,dQty,"&gt;-1E+300",dFlt1,critFlt1,dFlt2,critFlt2,dFlt3,critFlt3))</f>
        <v/>
      </c>
      <c r="F210" t="str">
        <f>IF($B210="","",SUMIFS(dQty,dCust,$B210,dPer,"&gt;="&amp;cyFrom,dPer,"&lt;="&amp;cyTo,dQty,"&gt;-1E+300",dFlt1,critFlt1,dFlt2,critFlt2,dFlt3,critFlt3))</f>
        <v/>
      </c>
      <c r="G210">
        <f>IF($B210="",0,IFERROR(IF(OR(C210&lt;&gt;0,D210&lt;&gt;0,E210&lt;&gt;0,F210&lt;&gt;0),1,0),1))</f>
        <v>0</v>
      </c>
      <c r="H210" t="str">
        <f>IF(OR(G210=0,E210=0),"",C210/E210)</f>
        <v/>
      </c>
      <c r="I210" t="str">
        <f>IF(OR(G210=0,F210=0),"",D210/F210)</f>
        <v/>
      </c>
      <c r="J210" t="str">
        <f>IF(OR(H210="",I210=""),"",IF(H210=0,"",I210/H210-1))</f>
        <v/>
      </c>
      <c r="K210" t="str">
        <f>IF($B210="","",IFERROR(IF(G210=0,-2E+300,CHOOSE(sortIdx,ROUND(D210,0),IF(J210="",-1E+300,ROUND(-J210,6)),IF(J210="",-1E+300,ROUND(J210,6)))),-1.5E+300))</f>
        <v/>
      </c>
      <c r="L210" t="str">
        <f>IF(K210="","",RANK(K210,$K$2:$K$3001,0)+COUNTIF($K$2:K210,K210)-1)</f>
        <v/>
      </c>
    </row>
    <row r="211">
      <c r="B211" t="str">
        <f>IFERROR(IF(A211="","","="&amp;SUBSTITUTE(SUBSTITUTE(SUBSTITUTE(A211,"~","~~"),"*","~*"),"?","~?")),"")</f>
        <v/>
      </c>
      <c r="C211" t="str">
        <f>IF($B211="","",SUMIFS(dAmt,dCust,$B211,dPer,"&gt;="&amp;pyFrom,dPer,"&lt;="&amp;pyTo,dAmt,"&gt;-1E+300",dFlt1,critFlt1,dFlt2,critFlt2,dFlt3,critFlt3))</f>
        <v/>
      </c>
      <c r="D211" t="str">
        <f>IF($B211="","",SUMIFS(dAmt,dCust,$B211,dPer,"&gt;="&amp;cyFrom,dPer,"&lt;="&amp;cyTo,dAmt,"&gt;-1E+300",dFlt1,critFlt1,dFlt2,critFlt2,dFlt3,critFlt3))</f>
        <v/>
      </c>
      <c r="E211" t="str">
        <f>IF($B211="","",SUMIFS(dQty,dCust,$B211,dPer,"&gt;="&amp;pyFrom,dPer,"&lt;="&amp;pyTo,dQty,"&gt;-1E+300",dFlt1,critFlt1,dFlt2,critFlt2,dFlt3,critFlt3))</f>
        <v/>
      </c>
      <c r="F211" t="str">
        <f>IF($B211="","",SUMIFS(dQty,dCust,$B211,dPer,"&gt;="&amp;cyFrom,dPer,"&lt;="&amp;cyTo,dQty,"&gt;-1E+300",dFlt1,critFlt1,dFlt2,critFlt2,dFlt3,critFlt3))</f>
        <v/>
      </c>
      <c r="G211">
        <f>IF($B211="",0,IFERROR(IF(OR(C211&lt;&gt;0,D211&lt;&gt;0,E211&lt;&gt;0,F211&lt;&gt;0),1,0),1))</f>
        <v>0</v>
      </c>
      <c r="H211" t="str">
        <f>IF(OR(G211=0,E211=0),"",C211/E211)</f>
        <v/>
      </c>
      <c r="I211" t="str">
        <f>IF(OR(G211=0,F211=0),"",D211/F211)</f>
        <v/>
      </c>
      <c r="J211" t="str">
        <f>IF(OR(H211="",I211=""),"",IF(H211=0,"",I211/H211-1))</f>
        <v/>
      </c>
      <c r="K211" t="str">
        <f>IF($B211="","",IFERROR(IF(G211=0,-2E+300,CHOOSE(sortIdx,ROUND(D211,0),IF(J211="",-1E+300,ROUND(-J211,6)),IF(J211="",-1E+300,ROUND(J211,6)))),-1.5E+300))</f>
        <v/>
      </c>
      <c r="L211" t="str">
        <f>IF(K211="","",RANK(K211,$K$2:$K$3001,0)+COUNTIF($K$2:K211,K211)-1)</f>
        <v/>
      </c>
    </row>
    <row r="212">
      <c r="B212" t="str">
        <f>IFERROR(IF(A212="","","="&amp;SUBSTITUTE(SUBSTITUTE(SUBSTITUTE(A212,"~","~~"),"*","~*"),"?","~?")),"")</f>
        <v/>
      </c>
      <c r="C212" t="str">
        <f>IF($B212="","",SUMIFS(dAmt,dCust,$B212,dPer,"&gt;="&amp;pyFrom,dPer,"&lt;="&amp;pyTo,dAmt,"&gt;-1E+300",dFlt1,critFlt1,dFlt2,critFlt2,dFlt3,critFlt3))</f>
        <v/>
      </c>
      <c r="D212" t="str">
        <f>IF($B212="","",SUMIFS(dAmt,dCust,$B212,dPer,"&gt;="&amp;cyFrom,dPer,"&lt;="&amp;cyTo,dAmt,"&gt;-1E+300",dFlt1,critFlt1,dFlt2,critFlt2,dFlt3,critFlt3))</f>
        <v/>
      </c>
      <c r="E212" t="str">
        <f>IF($B212="","",SUMIFS(dQty,dCust,$B212,dPer,"&gt;="&amp;pyFrom,dPer,"&lt;="&amp;pyTo,dQty,"&gt;-1E+300",dFlt1,critFlt1,dFlt2,critFlt2,dFlt3,critFlt3))</f>
        <v/>
      </c>
      <c r="F212" t="str">
        <f>IF($B212="","",SUMIFS(dQty,dCust,$B212,dPer,"&gt;="&amp;cyFrom,dPer,"&lt;="&amp;cyTo,dQty,"&gt;-1E+300",dFlt1,critFlt1,dFlt2,critFlt2,dFlt3,critFlt3))</f>
        <v/>
      </c>
      <c r="G212">
        <f>IF($B212="",0,IFERROR(IF(OR(C212&lt;&gt;0,D212&lt;&gt;0,E212&lt;&gt;0,F212&lt;&gt;0),1,0),1))</f>
        <v>0</v>
      </c>
      <c r="H212" t="str">
        <f>IF(OR(G212=0,E212=0),"",C212/E212)</f>
        <v/>
      </c>
      <c r="I212" t="str">
        <f>IF(OR(G212=0,F212=0),"",D212/F212)</f>
        <v/>
      </c>
      <c r="J212" t="str">
        <f>IF(OR(H212="",I212=""),"",IF(H212=0,"",I212/H212-1))</f>
        <v/>
      </c>
      <c r="K212" t="str">
        <f>IF($B212="","",IFERROR(IF(G212=0,-2E+300,CHOOSE(sortIdx,ROUND(D212,0),IF(J212="",-1E+300,ROUND(-J212,6)),IF(J212="",-1E+300,ROUND(J212,6)))),-1.5E+300))</f>
        <v/>
      </c>
      <c r="L212" t="str">
        <f>IF(K212="","",RANK(K212,$K$2:$K$3001,0)+COUNTIF($K$2:K212,K212)-1)</f>
        <v/>
      </c>
    </row>
    <row r="213">
      <c r="B213" t="str">
        <f>IFERROR(IF(A213="","","="&amp;SUBSTITUTE(SUBSTITUTE(SUBSTITUTE(A213,"~","~~"),"*","~*"),"?","~?")),"")</f>
        <v/>
      </c>
      <c r="C213" t="str">
        <f>IF($B213="","",SUMIFS(dAmt,dCust,$B213,dPer,"&gt;="&amp;pyFrom,dPer,"&lt;="&amp;pyTo,dAmt,"&gt;-1E+300",dFlt1,critFlt1,dFlt2,critFlt2,dFlt3,critFlt3))</f>
        <v/>
      </c>
      <c r="D213" t="str">
        <f>IF($B213="","",SUMIFS(dAmt,dCust,$B213,dPer,"&gt;="&amp;cyFrom,dPer,"&lt;="&amp;cyTo,dAmt,"&gt;-1E+300",dFlt1,critFlt1,dFlt2,critFlt2,dFlt3,critFlt3))</f>
        <v/>
      </c>
      <c r="E213" t="str">
        <f>IF($B213="","",SUMIFS(dQty,dCust,$B213,dPer,"&gt;="&amp;pyFrom,dPer,"&lt;="&amp;pyTo,dQty,"&gt;-1E+300",dFlt1,critFlt1,dFlt2,critFlt2,dFlt3,critFlt3))</f>
        <v/>
      </c>
      <c r="F213" t="str">
        <f>IF($B213="","",SUMIFS(dQty,dCust,$B213,dPer,"&gt;="&amp;cyFrom,dPer,"&lt;="&amp;cyTo,dQty,"&gt;-1E+300",dFlt1,critFlt1,dFlt2,critFlt2,dFlt3,critFlt3))</f>
        <v/>
      </c>
      <c r="G213">
        <f>IF($B213="",0,IFERROR(IF(OR(C213&lt;&gt;0,D213&lt;&gt;0,E213&lt;&gt;0,F213&lt;&gt;0),1,0),1))</f>
        <v>0</v>
      </c>
      <c r="H213" t="str">
        <f>IF(OR(G213=0,E213=0),"",C213/E213)</f>
        <v/>
      </c>
      <c r="I213" t="str">
        <f>IF(OR(G213=0,F213=0),"",D213/F213)</f>
        <v/>
      </c>
      <c r="J213" t="str">
        <f>IF(OR(H213="",I213=""),"",IF(H213=0,"",I213/H213-1))</f>
        <v/>
      </c>
      <c r="K213" t="str">
        <f>IF($B213="","",IFERROR(IF(G213=0,-2E+300,CHOOSE(sortIdx,ROUND(D213,0),IF(J213="",-1E+300,ROUND(-J213,6)),IF(J213="",-1E+300,ROUND(J213,6)))),-1.5E+300))</f>
        <v/>
      </c>
      <c r="L213" t="str">
        <f>IF(K213="","",RANK(K213,$K$2:$K$3001,0)+COUNTIF($K$2:K213,K213)-1)</f>
        <v/>
      </c>
    </row>
    <row r="214">
      <c r="B214" t="str">
        <f>IFERROR(IF(A214="","","="&amp;SUBSTITUTE(SUBSTITUTE(SUBSTITUTE(A214,"~","~~"),"*","~*"),"?","~?")),"")</f>
        <v/>
      </c>
      <c r="C214" t="str">
        <f>IF($B214="","",SUMIFS(dAmt,dCust,$B214,dPer,"&gt;="&amp;pyFrom,dPer,"&lt;="&amp;pyTo,dAmt,"&gt;-1E+300",dFlt1,critFlt1,dFlt2,critFlt2,dFlt3,critFlt3))</f>
        <v/>
      </c>
      <c r="D214" t="str">
        <f>IF($B214="","",SUMIFS(dAmt,dCust,$B214,dPer,"&gt;="&amp;cyFrom,dPer,"&lt;="&amp;cyTo,dAmt,"&gt;-1E+300",dFlt1,critFlt1,dFlt2,critFlt2,dFlt3,critFlt3))</f>
        <v/>
      </c>
      <c r="E214" t="str">
        <f>IF($B214="","",SUMIFS(dQty,dCust,$B214,dPer,"&gt;="&amp;pyFrom,dPer,"&lt;="&amp;pyTo,dQty,"&gt;-1E+300",dFlt1,critFlt1,dFlt2,critFlt2,dFlt3,critFlt3))</f>
        <v/>
      </c>
      <c r="F214" t="str">
        <f>IF($B214="","",SUMIFS(dQty,dCust,$B214,dPer,"&gt;="&amp;cyFrom,dPer,"&lt;="&amp;cyTo,dQty,"&gt;-1E+300",dFlt1,critFlt1,dFlt2,critFlt2,dFlt3,critFlt3))</f>
        <v/>
      </c>
      <c r="G214">
        <f>IF($B214="",0,IFERROR(IF(OR(C214&lt;&gt;0,D214&lt;&gt;0,E214&lt;&gt;0,F214&lt;&gt;0),1,0),1))</f>
        <v>0</v>
      </c>
      <c r="H214" t="str">
        <f>IF(OR(G214=0,E214=0),"",C214/E214)</f>
        <v/>
      </c>
      <c r="I214" t="str">
        <f>IF(OR(G214=0,F214=0),"",D214/F214)</f>
        <v/>
      </c>
      <c r="J214" t="str">
        <f>IF(OR(H214="",I214=""),"",IF(H214=0,"",I214/H214-1))</f>
        <v/>
      </c>
      <c r="K214" t="str">
        <f>IF($B214="","",IFERROR(IF(G214=0,-2E+300,CHOOSE(sortIdx,ROUND(D214,0),IF(J214="",-1E+300,ROUND(-J214,6)),IF(J214="",-1E+300,ROUND(J214,6)))),-1.5E+300))</f>
        <v/>
      </c>
      <c r="L214" t="str">
        <f>IF(K214="","",RANK(K214,$K$2:$K$3001,0)+COUNTIF($K$2:K214,K214)-1)</f>
        <v/>
      </c>
    </row>
    <row r="215">
      <c r="B215" t="str">
        <f>IFERROR(IF(A215="","","="&amp;SUBSTITUTE(SUBSTITUTE(SUBSTITUTE(A215,"~","~~"),"*","~*"),"?","~?")),"")</f>
        <v/>
      </c>
      <c r="C215" t="str">
        <f>IF($B215="","",SUMIFS(dAmt,dCust,$B215,dPer,"&gt;="&amp;pyFrom,dPer,"&lt;="&amp;pyTo,dAmt,"&gt;-1E+300",dFlt1,critFlt1,dFlt2,critFlt2,dFlt3,critFlt3))</f>
        <v/>
      </c>
      <c r="D215" t="str">
        <f>IF($B215="","",SUMIFS(dAmt,dCust,$B215,dPer,"&gt;="&amp;cyFrom,dPer,"&lt;="&amp;cyTo,dAmt,"&gt;-1E+300",dFlt1,critFlt1,dFlt2,critFlt2,dFlt3,critFlt3))</f>
        <v/>
      </c>
      <c r="E215" t="str">
        <f>IF($B215="","",SUMIFS(dQty,dCust,$B215,dPer,"&gt;="&amp;pyFrom,dPer,"&lt;="&amp;pyTo,dQty,"&gt;-1E+300",dFlt1,critFlt1,dFlt2,critFlt2,dFlt3,critFlt3))</f>
        <v/>
      </c>
      <c r="F215" t="str">
        <f>IF($B215="","",SUMIFS(dQty,dCust,$B215,dPer,"&gt;="&amp;cyFrom,dPer,"&lt;="&amp;cyTo,dQty,"&gt;-1E+300",dFlt1,critFlt1,dFlt2,critFlt2,dFlt3,critFlt3))</f>
        <v/>
      </c>
      <c r="G215">
        <f>IF($B215="",0,IFERROR(IF(OR(C215&lt;&gt;0,D215&lt;&gt;0,E215&lt;&gt;0,F215&lt;&gt;0),1,0),1))</f>
        <v>0</v>
      </c>
      <c r="H215" t="str">
        <f>IF(OR(G215=0,E215=0),"",C215/E215)</f>
        <v/>
      </c>
      <c r="I215" t="str">
        <f>IF(OR(G215=0,F215=0),"",D215/F215)</f>
        <v/>
      </c>
      <c r="J215" t="str">
        <f>IF(OR(H215="",I215=""),"",IF(H215=0,"",I215/H215-1))</f>
        <v/>
      </c>
      <c r="K215" t="str">
        <f>IF($B215="","",IFERROR(IF(G215=0,-2E+300,CHOOSE(sortIdx,ROUND(D215,0),IF(J215="",-1E+300,ROUND(-J215,6)),IF(J215="",-1E+300,ROUND(J215,6)))),-1.5E+300))</f>
        <v/>
      </c>
      <c r="L215" t="str">
        <f>IF(K215="","",RANK(K215,$K$2:$K$3001,0)+COUNTIF($K$2:K215,K215)-1)</f>
        <v/>
      </c>
    </row>
    <row r="216">
      <c r="B216" t="str">
        <f>IFERROR(IF(A216="","","="&amp;SUBSTITUTE(SUBSTITUTE(SUBSTITUTE(A216,"~","~~"),"*","~*"),"?","~?")),"")</f>
        <v/>
      </c>
      <c r="C216" t="str">
        <f>IF($B216="","",SUMIFS(dAmt,dCust,$B216,dPer,"&gt;="&amp;pyFrom,dPer,"&lt;="&amp;pyTo,dAmt,"&gt;-1E+300",dFlt1,critFlt1,dFlt2,critFlt2,dFlt3,critFlt3))</f>
        <v/>
      </c>
      <c r="D216" t="str">
        <f>IF($B216="","",SUMIFS(dAmt,dCust,$B216,dPer,"&gt;="&amp;cyFrom,dPer,"&lt;="&amp;cyTo,dAmt,"&gt;-1E+300",dFlt1,critFlt1,dFlt2,critFlt2,dFlt3,critFlt3))</f>
        <v/>
      </c>
      <c r="E216" t="str">
        <f>IF($B216="","",SUMIFS(dQty,dCust,$B216,dPer,"&gt;="&amp;pyFrom,dPer,"&lt;="&amp;pyTo,dQty,"&gt;-1E+300",dFlt1,critFlt1,dFlt2,critFlt2,dFlt3,critFlt3))</f>
        <v/>
      </c>
      <c r="F216" t="str">
        <f>IF($B216="","",SUMIFS(dQty,dCust,$B216,dPer,"&gt;="&amp;cyFrom,dPer,"&lt;="&amp;cyTo,dQty,"&gt;-1E+300",dFlt1,critFlt1,dFlt2,critFlt2,dFlt3,critFlt3))</f>
        <v/>
      </c>
      <c r="G216">
        <f>IF($B216="",0,IFERROR(IF(OR(C216&lt;&gt;0,D216&lt;&gt;0,E216&lt;&gt;0,F216&lt;&gt;0),1,0),1))</f>
        <v>0</v>
      </c>
      <c r="H216" t="str">
        <f>IF(OR(G216=0,E216=0),"",C216/E216)</f>
        <v/>
      </c>
      <c r="I216" t="str">
        <f>IF(OR(G216=0,F216=0),"",D216/F216)</f>
        <v/>
      </c>
      <c r="J216" t="str">
        <f>IF(OR(H216="",I216=""),"",IF(H216=0,"",I216/H216-1))</f>
        <v/>
      </c>
      <c r="K216" t="str">
        <f>IF($B216="","",IFERROR(IF(G216=0,-2E+300,CHOOSE(sortIdx,ROUND(D216,0),IF(J216="",-1E+300,ROUND(-J216,6)),IF(J216="",-1E+300,ROUND(J216,6)))),-1.5E+300))</f>
        <v/>
      </c>
      <c r="L216" t="str">
        <f>IF(K216="","",RANK(K216,$K$2:$K$3001,0)+COUNTIF($K$2:K216,K216)-1)</f>
        <v/>
      </c>
    </row>
    <row r="217">
      <c r="B217" t="str">
        <f>IFERROR(IF(A217="","","="&amp;SUBSTITUTE(SUBSTITUTE(SUBSTITUTE(A217,"~","~~"),"*","~*"),"?","~?")),"")</f>
        <v/>
      </c>
      <c r="C217" t="str">
        <f>IF($B217="","",SUMIFS(dAmt,dCust,$B217,dPer,"&gt;="&amp;pyFrom,dPer,"&lt;="&amp;pyTo,dAmt,"&gt;-1E+300",dFlt1,critFlt1,dFlt2,critFlt2,dFlt3,critFlt3))</f>
        <v/>
      </c>
      <c r="D217" t="str">
        <f>IF($B217="","",SUMIFS(dAmt,dCust,$B217,dPer,"&gt;="&amp;cyFrom,dPer,"&lt;="&amp;cyTo,dAmt,"&gt;-1E+300",dFlt1,critFlt1,dFlt2,critFlt2,dFlt3,critFlt3))</f>
        <v/>
      </c>
      <c r="E217" t="str">
        <f>IF($B217="","",SUMIFS(dQty,dCust,$B217,dPer,"&gt;="&amp;pyFrom,dPer,"&lt;="&amp;pyTo,dQty,"&gt;-1E+300",dFlt1,critFlt1,dFlt2,critFlt2,dFlt3,critFlt3))</f>
        <v/>
      </c>
      <c r="F217" t="str">
        <f>IF($B217="","",SUMIFS(dQty,dCust,$B217,dPer,"&gt;="&amp;cyFrom,dPer,"&lt;="&amp;cyTo,dQty,"&gt;-1E+300",dFlt1,critFlt1,dFlt2,critFlt2,dFlt3,critFlt3))</f>
        <v/>
      </c>
      <c r="G217">
        <f>IF($B217="",0,IFERROR(IF(OR(C217&lt;&gt;0,D217&lt;&gt;0,E217&lt;&gt;0,F217&lt;&gt;0),1,0),1))</f>
        <v>0</v>
      </c>
      <c r="H217" t="str">
        <f>IF(OR(G217=0,E217=0),"",C217/E217)</f>
        <v/>
      </c>
      <c r="I217" t="str">
        <f>IF(OR(G217=0,F217=0),"",D217/F217)</f>
        <v/>
      </c>
      <c r="J217" t="str">
        <f>IF(OR(H217="",I217=""),"",IF(H217=0,"",I217/H217-1))</f>
        <v/>
      </c>
      <c r="K217" t="str">
        <f>IF($B217="","",IFERROR(IF(G217=0,-2E+300,CHOOSE(sortIdx,ROUND(D217,0),IF(J217="",-1E+300,ROUND(-J217,6)),IF(J217="",-1E+300,ROUND(J217,6)))),-1.5E+300))</f>
        <v/>
      </c>
      <c r="L217" t="str">
        <f>IF(K217="","",RANK(K217,$K$2:$K$3001,0)+COUNTIF($K$2:K217,K217)-1)</f>
        <v/>
      </c>
    </row>
    <row r="218">
      <c r="B218" t="str">
        <f>IFERROR(IF(A218="","","="&amp;SUBSTITUTE(SUBSTITUTE(SUBSTITUTE(A218,"~","~~"),"*","~*"),"?","~?")),"")</f>
        <v/>
      </c>
      <c r="C218" t="str">
        <f>IF($B218="","",SUMIFS(dAmt,dCust,$B218,dPer,"&gt;="&amp;pyFrom,dPer,"&lt;="&amp;pyTo,dAmt,"&gt;-1E+300",dFlt1,critFlt1,dFlt2,critFlt2,dFlt3,critFlt3))</f>
        <v/>
      </c>
      <c r="D218" t="str">
        <f>IF($B218="","",SUMIFS(dAmt,dCust,$B218,dPer,"&gt;="&amp;cyFrom,dPer,"&lt;="&amp;cyTo,dAmt,"&gt;-1E+300",dFlt1,critFlt1,dFlt2,critFlt2,dFlt3,critFlt3))</f>
        <v/>
      </c>
      <c r="E218" t="str">
        <f>IF($B218="","",SUMIFS(dQty,dCust,$B218,dPer,"&gt;="&amp;pyFrom,dPer,"&lt;="&amp;pyTo,dQty,"&gt;-1E+300",dFlt1,critFlt1,dFlt2,critFlt2,dFlt3,critFlt3))</f>
        <v/>
      </c>
      <c r="F218" t="str">
        <f>IF($B218="","",SUMIFS(dQty,dCust,$B218,dPer,"&gt;="&amp;cyFrom,dPer,"&lt;="&amp;cyTo,dQty,"&gt;-1E+300",dFlt1,critFlt1,dFlt2,critFlt2,dFlt3,critFlt3))</f>
        <v/>
      </c>
      <c r="G218">
        <f>IF($B218="",0,IFERROR(IF(OR(C218&lt;&gt;0,D218&lt;&gt;0,E218&lt;&gt;0,F218&lt;&gt;0),1,0),1))</f>
        <v>0</v>
      </c>
      <c r="H218" t="str">
        <f>IF(OR(G218=0,E218=0),"",C218/E218)</f>
        <v/>
      </c>
      <c r="I218" t="str">
        <f>IF(OR(G218=0,F218=0),"",D218/F218)</f>
        <v/>
      </c>
      <c r="J218" t="str">
        <f>IF(OR(H218="",I218=""),"",IF(H218=0,"",I218/H218-1))</f>
        <v/>
      </c>
      <c r="K218" t="str">
        <f>IF($B218="","",IFERROR(IF(G218=0,-2E+300,CHOOSE(sortIdx,ROUND(D218,0),IF(J218="",-1E+300,ROUND(-J218,6)),IF(J218="",-1E+300,ROUND(J218,6)))),-1.5E+300))</f>
        <v/>
      </c>
      <c r="L218" t="str">
        <f>IF(K218="","",RANK(K218,$K$2:$K$3001,0)+COUNTIF($K$2:K218,K218)-1)</f>
        <v/>
      </c>
    </row>
    <row r="219">
      <c r="B219" t="str">
        <f>IFERROR(IF(A219="","","="&amp;SUBSTITUTE(SUBSTITUTE(SUBSTITUTE(A219,"~","~~"),"*","~*"),"?","~?")),"")</f>
        <v/>
      </c>
      <c r="C219" t="str">
        <f>IF($B219="","",SUMIFS(dAmt,dCust,$B219,dPer,"&gt;="&amp;pyFrom,dPer,"&lt;="&amp;pyTo,dAmt,"&gt;-1E+300",dFlt1,critFlt1,dFlt2,critFlt2,dFlt3,critFlt3))</f>
        <v/>
      </c>
      <c r="D219" t="str">
        <f>IF($B219="","",SUMIFS(dAmt,dCust,$B219,dPer,"&gt;="&amp;cyFrom,dPer,"&lt;="&amp;cyTo,dAmt,"&gt;-1E+300",dFlt1,critFlt1,dFlt2,critFlt2,dFlt3,critFlt3))</f>
        <v/>
      </c>
      <c r="E219" t="str">
        <f>IF($B219="","",SUMIFS(dQty,dCust,$B219,dPer,"&gt;="&amp;pyFrom,dPer,"&lt;="&amp;pyTo,dQty,"&gt;-1E+300",dFlt1,critFlt1,dFlt2,critFlt2,dFlt3,critFlt3))</f>
        <v/>
      </c>
      <c r="F219" t="str">
        <f>IF($B219="","",SUMIFS(dQty,dCust,$B219,dPer,"&gt;="&amp;cyFrom,dPer,"&lt;="&amp;cyTo,dQty,"&gt;-1E+300",dFlt1,critFlt1,dFlt2,critFlt2,dFlt3,critFlt3))</f>
        <v/>
      </c>
      <c r="G219">
        <f>IF($B219="",0,IFERROR(IF(OR(C219&lt;&gt;0,D219&lt;&gt;0,E219&lt;&gt;0,F219&lt;&gt;0),1,0),1))</f>
        <v>0</v>
      </c>
      <c r="H219" t="str">
        <f>IF(OR(G219=0,E219=0),"",C219/E219)</f>
        <v/>
      </c>
      <c r="I219" t="str">
        <f>IF(OR(G219=0,F219=0),"",D219/F219)</f>
        <v/>
      </c>
      <c r="J219" t="str">
        <f>IF(OR(H219="",I219=""),"",IF(H219=0,"",I219/H219-1))</f>
        <v/>
      </c>
      <c r="K219" t="str">
        <f>IF($B219="","",IFERROR(IF(G219=0,-2E+300,CHOOSE(sortIdx,ROUND(D219,0),IF(J219="",-1E+300,ROUND(-J219,6)),IF(J219="",-1E+300,ROUND(J219,6)))),-1.5E+300))</f>
        <v/>
      </c>
      <c r="L219" t="str">
        <f>IF(K219="","",RANK(K219,$K$2:$K$3001,0)+COUNTIF($K$2:K219,K219)-1)</f>
        <v/>
      </c>
    </row>
    <row r="220">
      <c r="B220" t="str">
        <f>IFERROR(IF(A220="","","="&amp;SUBSTITUTE(SUBSTITUTE(SUBSTITUTE(A220,"~","~~"),"*","~*"),"?","~?")),"")</f>
        <v/>
      </c>
      <c r="C220" t="str">
        <f>IF($B220="","",SUMIFS(dAmt,dCust,$B220,dPer,"&gt;="&amp;pyFrom,dPer,"&lt;="&amp;pyTo,dAmt,"&gt;-1E+300",dFlt1,critFlt1,dFlt2,critFlt2,dFlt3,critFlt3))</f>
        <v/>
      </c>
      <c r="D220" t="str">
        <f>IF($B220="","",SUMIFS(dAmt,dCust,$B220,dPer,"&gt;="&amp;cyFrom,dPer,"&lt;="&amp;cyTo,dAmt,"&gt;-1E+300",dFlt1,critFlt1,dFlt2,critFlt2,dFlt3,critFlt3))</f>
        <v/>
      </c>
      <c r="E220" t="str">
        <f>IF($B220="","",SUMIFS(dQty,dCust,$B220,dPer,"&gt;="&amp;pyFrom,dPer,"&lt;="&amp;pyTo,dQty,"&gt;-1E+300",dFlt1,critFlt1,dFlt2,critFlt2,dFlt3,critFlt3))</f>
        <v/>
      </c>
      <c r="F220" t="str">
        <f>IF($B220="","",SUMIFS(dQty,dCust,$B220,dPer,"&gt;="&amp;cyFrom,dPer,"&lt;="&amp;cyTo,dQty,"&gt;-1E+300",dFlt1,critFlt1,dFlt2,critFlt2,dFlt3,critFlt3))</f>
        <v/>
      </c>
      <c r="G220">
        <f>IF($B220="",0,IFERROR(IF(OR(C220&lt;&gt;0,D220&lt;&gt;0,E220&lt;&gt;0,F220&lt;&gt;0),1,0),1))</f>
        <v>0</v>
      </c>
      <c r="H220" t="str">
        <f>IF(OR(G220=0,E220=0),"",C220/E220)</f>
        <v/>
      </c>
      <c r="I220" t="str">
        <f>IF(OR(G220=0,F220=0),"",D220/F220)</f>
        <v/>
      </c>
      <c r="J220" t="str">
        <f>IF(OR(H220="",I220=""),"",IF(H220=0,"",I220/H220-1))</f>
        <v/>
      </c>
      <c r="K220" t="str">
        <f>IF($B220="","",IFERROR(IF(G220=0,-2E+300,CHOOSE(sortIdx,ROUND(D220,0),IF(J220="",-1E+300,ROUND(-J220,6)),IF(J220="",-1E+300,ROUND(J220,6)))),-1.5E+300))</f>
        <v/>
      </c>
      <c r="L220" t="str">
        <f>IF(K220="","",RANK(K220,$K$2:$K$3001,0)+COUNTIF($K$2:K220,K220)-1)</f>
        <v/>
      </c>
    </row>
    <row r="221">
      <c r="B221" t="str">
        <f>IFERROR(IF(A221="","","="&amp;SUBSTITUTE(SUBSTITUTE(SUBSTITUTE(A221,"~","~~"),"*","~*"),"?","~?")),"")</f>
        <v/>
      </c>
      <c r="C221" t="str">
        <f>IF($B221="","",SUMIFS(dAmt,dCust,$B221,dPer,"&gt;="&amp;pyFrom,dPer,"&lt;="&amp;pyTo,dAmt,"&gt;-1E+300",dFlt1,critFlt1,dFlt2,critFlt2,dFlt3,critFlt3))</f>
        <v/>
      </c>
      <c r="D221" t="str">
        <f>IF($B221="","",SUMIFS(dAmt,dCust,$B221,dPer,"&gt;="&amp;cyFrom,dPer,"&lt;="&amp;cyTo,dAmt,"&gt;-1E+300",dFlt1,critFlt1,dFlt2,critFlt2,dFlt3,critFlt3))</f>
        <v/>
      </c>
      <c r="E221" t="str">
        <f>IF($B221="","",SUMIFS(dQty,dCust,$B221,dPer,"&gt;="&amp;pyFrom,dPer,"&lt;="&amp;pyTo,dQty,"&gt;-1E+300",dFlt1,critFlt1,dFlt2,critFlt2,dFlt3,critFlt3))</f>
        <v/>
      </c>
      <c r="F221" t="str">
        <f>IF($B221="","",SUMIFS(dQty,dCust,$B221,dPer,"&gt;="&amp;cyFrom,dPer,"&lt;="&amp;cyTo,dQty,"&gt;-1E+300",dFlt1,critFlt1,dFlt2,critFlt2,dFlt3,critFlt3))</f>
        <v/>
      </c>
      <c r="G221">
        <f>IF($B221="",0,IFERROR(IF(OR(C221&lt;&gt;0,D221&lt;&gt;0,E221&lt;&gt;0,F221&lt;&gt;0),1,0),1))</f>
        <v>0</v>
      </c>
      <c r="H221" t="str">
        <f>IF(OR(G221=0,E221=0),"",C221/E221)</f>
        <v/>
      </c>
      <c r="I221" t="str">
        <f>IF(OR(G221=0,F221=0),"",D221/F221)</f>
        <v/>
      </c>
      <c r="J221" t="str">
        <f>IF(OR(H221="",I221=""),"",IF(H221=0,"",I221/H221-1))</f>
        <v/>
      </c>
      <c r="K221" t="str">
        <f>IF($B221="","",IFERROR(IF(G221=0,-2E+300,CHOOSE(sortIdx,ROUND(D221,0),IF(J221="",-1E+300,ROUND(-J221,6)),IF(J221="",-1E+300,ROUND(J221,6)))),-1.5E+300))</f>
        <v/>
      </c>
      <c r="L221" t="str">
        <f>IF(K221="","",RANK(K221,$K$2:$K$3001,0)+COUNTIF($K$2:K221,K221)-1)</f>
        <v/>
      </c>
    </row>
    <row r="222">
      <c r="B222" t="str">
        <f>IFERROR(IF(A222="","","="&amp;SUBSTITUTE(SUBSTITUTE(SUBSTITUTE(A222,"~","~~"),"*","~*"),"?","~?")),"")</f>
        <v/>
      </c>
      <c r="C222" t="str">
        <f>IF($B222="","",SUMIFS(dAmt,dCust,$B222,dPer,"&gt;="&amp;pyFrom,dPer,"&lt;="&amp;pyTo,dAmt,"&gt;-1E+300",dFlt1,critFlt1,dFlt2,critFlt2,dFlt3,critFlt3))</f>
        <v/>
      </c>
      <c r="D222" t="str">
        <f>IF($B222="","",SUMIFS(dAmt,dCust,$B222,dPer,"&gt;="&amp;cyFrom,dPer,"&lt;="&amp;cyTo,dAmt,"&gt;-1E+300",dFlt1,critFlt1,dFlt2,critFlt2,dFlt3,critFlt3))</f>
        <v/>
      </c>
      <c r="E222" t="str">
        <f>IF($B222="","",SUMIFS(dQty,dCust,$B222,dPer,"&gt;="&amp;pyFrom,dPer,"&lt;="&amp;pyTo,dQty,"&gt;-1E+300",dFlt1,critFlt1,dFlt2,critFlt2,dFlt3,critFlt3))</f>
        <v/>
      </c>
      <c r="F222" t="str">
        <f>IF($B222="","",SUMIFS(dQty,dCust,$B222,dPer,"&gt;="&amp;cyFrom,dPer,"&lt;="&amp;cyTo,dQty,"&gt;-1E+300",dFlt1,critFlt1,dFlt2,critFlt2,dFlt3,critFlt3))</f>
        <v/>
      </c>
      <c r="G222">
        <f>IF($B222="",0,IFERROR(IF(OR(C222&lt;&gt;0,D222&lt;&gt;0,E222&lt;&gt;0,F222&lt;&gt;0),1,0),1))</f>
        <v>0</v>
      </c>
      <c r="H222" t="str">
        <f>IF(OR(G222=0,E222=0),"",C222/E222)</f>
        <v/>
      </c>
      <c r="I222" t="str">
        <f>IF(OR(G222=0,F222=0),"",D222/F222)</f>
        <v/>
      </c>
      <c r="J222" t="str">
        <f>IF(OR(H222="",I222=""),"",IF(H222=0,"",I222/H222-1))</f>
        <v/>
      </c>
      <c r="K222" t="str">
        <f>IF($B222="","",IFERROR(IF(G222=0,-2E+300,CHOOSE(sortIdx,ROUND(D222,0),IF(J222="",-1E+300,ROUND(-J222,6)),IF(J222="",-1E+300,ROUND(J222,6)))),-1.5E+300))</f>
        <v/>
      </c>
      <c r="L222" t="str">
        <f>IF(K222="","",RANK(K222,$K$2:$K$3001,0)+COUNTIF($K$2:K222,K222)-1)</f>
        <v/>
      </c>
    </row>
    <row r="223">
      <c r="B223" t="str">
        <f>IFERROR(IF(A223="","","="&amp;SUBSTITUTE(SUBSTITUTE(SUBSTITUTE(A223,"~","~~"),"*","~*"),"?","~?")),"")</f>
        <v/>
      </c>
      <c r="C223" t="str">
        <f>IF($B223="","",SUMIFS(dAmt,dCust,$B223,dPer,"&gt;="&amp;pyFrom,dPer,"&lt;="&amp;pyTo,dAmt,"&gt;-1E+300",dFlt1,critFlt1,dFlt2,critFlt2,dFlt3,critFlt3))</f>
        <v/>
      </c>
      <c r="D223" t="str">
        <f>IF($B223="","",SUMIFS(dAmt,dCust,$B223,dPer,"&gt;="&amp;cyFrom,dPer,"&lt;="&amp;cyTo,dAmt,"&gt;-1E+300",dFlt1,critFlt1,dFlt2,critFlt2,dFlt3,critFlt3))</f>
        <v/>
      </c>
      <c r="E223" t="str">
        <f>IF($B223="","",SUMIFS(dQty,dCust,$B223,dPer,"&gt;="&amp;pyFrom,dPer,"&lt;="&amp;pyTo,dQty,"&gt;-1E+300",dFlt1,critFlt1,dFlt2,critFlt2,dFlt3,critFlt3))</f>
        <v/>
      </c>
      <c r="F223" t="str">
        <f>IF($B223="","",SUMIFS(dQty,dCust,$B223,dPer,"&gt;="&amp;cyFrom,dPer,"&lt;="&amp;cyTo,dQty,"&gt;-1E+300",dFlt1,critFlt1,dFlt2,critFlt2,dFlt3,critFlt3))</f>
        <v/>
      </c>
      <c r="G223">
        <f>IF($B223="",0,IFERROR(IF(OR(C223&lt;&gt;0,D223&lt;&gt;0,E223&lt;&gt;0,F223&lt;&gt;0),1,0),1))</f>
        <v>0</v>
      </c>
      <c r="H223" t="str">
        <f>IF(OR(G223=0,E223=0),"",C223/E223)</f>
        <v/>
      </c>
      <c r="I223" t="str">
        <f>IF(OR(G223=0,F223=0),"",D223/F223)</f>
        <v/>
      </c>
      <c r="J223" t="str">
        <f>IF(OR(H223="",I223=""),"",IF(H223=0,"",I223/H223-1))</f>
        <v/>
      </c>
      <c r="K223" t="str">
        <f>IF($B223="","",IFERROR(IF(G223=0,-2E+300,CHOOSE(sortIdx,ROUND(D223,0),IF(J223="",-1E+300,ROUND(-J223,6)),IF(J223="",-1E+300,ROUND(J223,6)))),-1.5E+300))</f>
        <v/>
      </c>
      <c r="L223" t="str">
        <f>IF(K223="","",RANK(K223,$K$2:$K$3001,0)+COUNTIF($K$2:K223,K223)-1)</f>
        <v/>
      </c>
    </row>
    <row r="224">
      <c r="B224" t="str">
        <f>IFERROR(IF(A224="","","="&amp;SUBSTITUTE(SUBSTITUTE(SUBSTITUTE(A224,"~","~~"),"*","~*"),"?","~?")),"")</f>
        <v/>
      </c>
      <c r="C224" t="str">
        <f>IF($B224="","",SUMIFS(dAmt,dCust,$B224,dPer,"&gt;="&amp;pyFrom,dPer,"&lt;="&amp;pyTo,dAmt,"&gt;-1E+300",dFlt1,critFlt1,dFlt2,critFlt2,dFlt3,critFlt3))</f>
        <v/>
      </c>
      <c r="D224" t="str">
        <f>IF($B224="","",SUMIFS(dAmt,dCust,$B224,dPer,"&gt;="&amp;cyFrom,dPer,"&lt;="&amp;cyTo,dAmt,"&gt;-1E+300",dFlt1,critFlt1,dFlt2,critFlt2,dFlt3,critFlt3))</f>
        <v/>
      </c>
      <c r="E224" t="str">
        <f>IF($B224="","",SUMIFS(dQty,dCust,$B224,dPer,"&gt;="&amp;pyFrom,dPer,"&lt;="&amp;pyTo,dQty,"&gt;-1E+300",dFlt1,critFlt1,dFlt2,critFlt2,dFlt3,critFlt3))</f>
        <v/>
      </c>
      <c r="F224" t="str">
        <f>IF($B224="","",SUMIFS(dQty,dCust,$B224,dPer,"&gt;="&amp;cyFrom,dPer,"&lt;="&amp;cyTo,dQty,"&gt;-1E+300",dFlt1,critFlt1,dFlt2,critFlt2,dFlt3,critFlt3))</f>
        <v/>
      </c>
      <c r="G224">
        <f>IF($B224="",0,IFERROR(IF(OR(C224&lt;&gt;0,D224&lt;&gt;0,E224&lt;&gt;0,F224&lt;&gt;0),1,0),1))</f>
        <v>0</v>
      </c>
      <c r="H224" t="str">
        <f>IF(OR(G224=0,E224=0),"",C224/E224)</f>
        <v/>
      </c>
      <c r="I224" t="str">
        <f>IF(OR(G224=0,F224=0),"",D224/F224)</f>
        <v/>
      </c>
      <c r="J224" t="str">
        <f>IF(OR(H224="",I224=""),"",IF(H224=0,"",I224/H224-1))</f>
        <v/>
      </c>
      <c r="K224" t="str">
        <f>IF($B224="","",IFERROR(IF(G224=0,-2E+300,CHOOSE(sortIdx,ROUND(D224,0),IF(J224="",-1E+300,ROUND(-J224,6)),IF(J224="",-1E+300,ROUND(J224,6)))),-1.5E+300))</f>
        <v/>
      </c>
      <c r="L224" t="str">
        <f>IF(K224="","",RANK(K224,$K$2:$K$3001,0)+COUNTIF($K$2:K224,K224)-1)</f>
        <v/>
      </c>
    </row>
    <row r="225">
      <c r="B225" t="str">
        <f>IFERROR(IF(A225="","","="&amp;SUBSTITUTE(SUBSTITUTE(SUBSTITUTE(A225,"~","~~"),"*","~*"),"?","~?")),"")</f>
        <v/>
      </c>
      <c r="C225" t="str">
        <f>IF($B225="","",SUMIFS(dAmt,dCust,$B225,dPer,"&gt;="&amp;pyFrom,dPer,"&lt;="&amp;pyTo,dAmt,"&gt;-1E+300",dFlt1,critFlt1,dFlt2,critFlt2,dFlt3,critFlt3))</f>
        <v/>
      </c>
      <c r="D225" t="str">
        <f>IF($B225="","",SUMIFS(dAmt,dCust,$B225,dPer,"&gt;="&amp;cyFrom,dPer,"&lt;="&amp;cyTo,dAmt,"&gt;-1E+300",dFlt1,critFlt1,dFlt2,critFlt2,dFlt3,critFlt3))</f>
        <v/>
      </c>
      <c r="E225" t="str">
        <f>IF($B225="","",SUMIFS(dQty,dCust,$B225,dPer,"&gt;="&amp;pyFrom,dPer,"&lt;="&amp;pyTo,dQty,"&gt;-1E+300",dFlt1,critFlt1,dFlt2,critFlt2,dFlt3,critFlt3))</f>
        <v/>
      </c>
      <c r="F225" t="str">
        <f>IF($B225="","",SUMIFS(dQty,dCust,$B225,dPer,"&gt;="&amp;cyFrom,dPer,"&lt;="&amp;cyTo,dQty,"&gt;-1E+300",dFlt1,critFlt1,dFlt2,critFlt2,dFlt3,critFlt3))</f>
        <v/>
      </c>
      <c r="G225">
        <f>IF($B225="",0,IFERROR(IF(OR(C225&lt;&gt;0,D225&lt;&gt;0,E225&lt;&gt;0,F225&lt;&gt;0),1,0),1))</f>
        <v>0</v>
      </c>
      <c r="H225" t="str">
        <f>IF(OR(G225=0,E225=0),"",C225/E225)</f>
        <v/>
      </c>
      <c r="I225" t="str">
        <f>IF(OR(G225=0,F225=0),"",D225/F225)</f>
        <v/>
      </c>
      <c r="J225" t="str">
        <f>IF(OR(H225="",I225=""),"",IF(H225=0,"",I225/H225-1))</f>
        <v/>
      </c>
      <c r="K225" t="str">
        <f>IF($B225="","",IFERROR(IF(G225=0,-2E+300,CHOOSE(sortIdx,ROUND(D225,0),IF(J225="",-1E+300,ROUND(-J225,6)),IF(J225="",-1E+300,ROUND(J225,6)))),-1.5E+300))</f>
        <v/>
      </c>
      <c r="L225" t="str">
        <f>IF(K225="","",RANK(K225,$K$2:$K$3001,0)+COUNTIF($K$2:K225,K225)-1)</f>
        <v/>
      </c>
    </row>
    <row r="226">
      <c r="B226" t="str">
        <f>IFERROR(IF(A226="","","="&amp;SUBSTITUTE(SUBSTITUTE(SUBSTITUTE(A226,"~","~~"),"*","~*"),"?","~?")),"")</f>
        <v/>
      </c>
      <c r="C226" t="str">
        <f>IF($B226="","",SUMIFS(dAmt,dCust,$B226,dPer,"&gt;="&amp;pyFrom,dPer,"&lt;="&amp;pyTo,dAmt,"&gt;-1E+300",dFlt1,critFlt1,dFlt2,critFlt2,dFlt3,critFlt3))</f>
        <v/>
      </c>
      <c r="D226" t="str">
        <f>IF($B226="","",SUMIFS(dAmt,dCust,$B226,dPer,"&gt;="&amp;cyFrom,dPer,"&lt;="&amp;cyTo,dAmt,"&gt;-1E+300",dFlt1,critFlt1,dFlt2,critFlt2,dFlt3,critFlt3))</f>
        <v/>
      </c>
      <c r="E226" t="str">
        <f>IF($B226="","",SUMIFS(dQty,dCust,$B226,dPer,"&gt;="&amp;pyFrom,dPer,"&lt;="&amp;pyTo,dQty,"&gt;-1E+300",dFlt1,critFlt1,dFlt2,critFlt2,dFlt3,critFlt3))</f>
        <v/>
      </c>
      <c r="F226" t="str">
        <f>IF($B226="","",SUMIFS(dQty,dCust,$B226,dPer,"&gt;="&amp;cyFrom,dPer,"&lt;="&amp;cyTo,dQty,"&gt;-1E+300",dFlt1,critFlt1,dFlt2,critFlt2,dFlt3,critFlt3))</f>
        <v/>
      </c>
      <c r="G226">
        <f>IF($B226="",0,IFERROR(IF(OR(C226&lt;&gt;0,D226&lt;&gt;0,E226&lt;&gt;0,F226&lt;&gt;0),1,0),1))</f>
        <v>0</v>
      </c>
      <c r="H226" t="str">
        <f>IF(OR(G226=0,E226=0),"",C226/E226)</f>
        <v/>
      </c>
      <c r="I226" t="str">
        <f>IF(OR(G226=0,F226=0),"",D226/F226)</f>
        <v/>
      </c>
      <c r="J226" t="str">
        <f>IF(OR(H226="",I226=""),"",IF(H226=0,"",I226/H226-1))</f>
        <v/>
      </c>
      <c r="K226" t="str">
        <f>IF($B226="","",IFERROR(IF(G226=0,-2E+300,CHOOSE(sortIdx,ROUND(D226,0),IF(J226="",-1E+300,ROUND(-J226,6)),IF(J226="",-1E+300,ROUND(J226,6)))),-1.5E+300))</f>
        <v/>
      </c>
      <c r="L226" t="str">
        <f>IF(K226="","",RANK(K226,$K$2:$K$3001,0)+COUNTIF($K$2:K226,K226)-1)</f>
        <v/>
      </c>
    </row>
    <row r="227">
      <c r="B227" t="str">
        <f>IFERROR(IF(A227="","","="&amp;SUBSTITUTE(SUBSTITUTE(SUBSTITUTE(A227,"~","~~"),"*","~*"),"?","~?")),"")</f>
        <v/>
      </c>
      <c r="C227" t="str">
        <f>IF($B227="","",SUMIFS(dAmt,dCust,$B227,dPer,"&gt;="&amp;pyFrom,dPer,"&lt;="&amp;pyTo,dAmt,"&gt;-1E+300",dFlt1,critFlt1,dFlt2,critFlt2,dFlt3,critFlt3))</f>
        <v/>
      </c>
      <c r="D227" t="str">
        <f>IF($B227="","",SUMIFS(dAmt,dCust,$B227,dPer,"&gt;="&amp;cyFrom,dPer,"&lt;="&amp;cyTo,dAmt,"&gt;-1E+300",dFlt1,critFlt1,dFlt2,critFlt2,dFlt3,critFlt3))</f>
        <v/>
      </c>
      <c r="E227" t="str">
        <f>IF($B227="","",SUMIFS(dQty,dCust,$B227,dPer,"&gt;="&amp;pyFrom,dPer,"&lt;="&amp;pyTo,dQty,"&gt;-1E+300",dFlt1,critFlt1,dFlt2,critFlt2,dFlt3,critFlt3))</f>
        <v/>
      </c>
      <c r="F227" t="str">
        <f>IF($B227="","",SUMIFS(dQty,dCust,$B227,dPer,"&gt;="&amp;cyFrom,dPer,"&lt;="&amp;cyTo,dQty,"&gt;-1E+300",dFlt1,critFlt1,dFlt2,critFlt2,dFlt3,critFlt3))</f>
        <v/>
      </c>
      <c r="G227">
        <f>IF($B227="",0,IFERROR(IF(OR(C227&lt;&gt;0,D227&lt;&gt;0,E227&lt;&gt;0,F227&lt;&gt;0),1,0),1))</f>
        <v>0</v>
      </c>
      <c r="H227" t="str">
        <f>IF(OR(G227=0,E227=0),"",C227/E227)</f>
        <v/>
      </c>
      <c r="I227" t="str">
        <f>IF(OR(G227=0,F227=0),"",D227/F227)</f>
        <v/>
      </c>
      <c r="J227" t="str">
        <f>IF(OR(H227="",I227=""),"",IF(H227=0,"",I227/H227-1))</f>
        <v/>
      </c>
      <c r="K227" t="str">
        <f>IF($B227="","",IFERROR(IF(G227=0,-2E+300,CHOOSE(sortIdx,ROUND(D227,0),IF(J227="",-1E+300,ROUND(-J227,6)),IF(J227="",-1E+300,ROUND(J227,6)))),-1.5E+300))</f>
        <v/>
      </c>
      <c r="L227" t="str">
        <f>IF(K227="","",RANK(K227,$K$2:$K$3001,0)+COUNTIF($K$2:K227,K227)-1)</f>
        <v/>
      </c>
    </row>
    <row r="228">
      <c r="B228" t="str">
        <f>IFERROR(IF(A228="","","="&amp;SUBSTITUTE(SUBSTITUTE(SUBSTITUTE(A228,"~","~~"),"*","~*"),"?","~?")),"")</f>
        <v/>
      </c>
      <c r="C228" t="str">
        <f>IF($B228="","",SUMIFS(dAmt,dCust,$B228,dPer,"&gt;="&amp;pyFrom,dPer,"&lt;="&amp;pyTo,dAmt,"&gt;-1E+300",dFlt1,critFlt1,dFlt2,critFlt2,dFlt3,critFlt3))</f>
        <v/>
      </c>
      <c r="D228" t="str">
        <f>IF($B228="","",SUMIFS(dAmt,dCust,$B228,dPer,"&gt;="&amp;cyFrom,dPer,"&lt;="&amp;cyTo,dAmt,"&gt;-1E+300",dFlt1,critFlt1,dFlt2,critFlt2,dFlt3,critFlt3))</f>
        <v/>
      </c>
      <c r="E228" t="str">
        <f>IF($B228="","",SUMIFS(dQty,dCust,$B228,dPer,"&gt;="&amp;pyFrom,dPer,"&lt;="&amp;pyTo,dQty,"&gt;-1E+300",dFlt1,critFlt1,dFlt2,critFlt2,dFlt3,critFlt3))</f>
        <v/>
      </c>
      <c r="F228" t="str">
        <f>IF($B228="","",SUMIFS(dQty,dCust,$B228,dPer,"&gt;="&amp;cyFrom,dPer,"&lt;="&amp;cyTo,dQty,"&gt;-1E+300",dFlt1,critFlt1,dFlt2,critFlt2,dFlt3,critFlt3))</f>
        <v/>
      </c>
      <c r="G228">
        <f>IF($B228="",0,IFERROR(IF(OR(C228&lt;&gt;0,D228&lt;&gt;0,E228&lt;&gt;0,F228&lt;&gt;0),1,0),1))</f>
        <v>0</v>
      </c>
      <c r="H228" t="str">
        <f>IF(OR(G228=0,E228=0),"",C228/E228)</f>
        <v/>
      </c>
      <c r="I228" t="str">
        <f>IF(OR(G228=0,F228=0),"",D228/F228)</f>
        <v/>
      </c>
      <c r="J228" t="str">
        <f>IF(OR(H228="",I228=""),"",IF(H228=0,"",I228/H228-1))</f>
        <v/>
      </c>
      <c r="K228" t="str">
        <f>IF($B228="","",IFERROR(IF(G228=0,-2E+300,CHOOSE(sortIdx,ROUND(D228,0),IF(J228="",-1E+300,ROUND(-J228,6)),IF(J228="",-1E+300,ROUND(J228,6)))),-1.5E+300))</f>
        <v/>
      </c>
      <c r="L228" t="str">
        <f>IF(K228="","",RANK(K228,$K$2:$K$3001,0)+COUNTIF($K$2:K228,K228)-1)</f>
        <v/>
      </c>
    </row>
    <row r="229">
      <c r="B229" t="str">
        <f>IFERROR(IF(A229="","","="&amp;SUBSTITUTE(SUBSTITUTE(SUBSTITUTE(A229,"~","~~"),"*","~*"),"?","~?")),"")</f>
        <v/>
      </c>
      <c r="C229" t="str">
        <f>IF($B229="","",SUMIFS(dAmt,dCust,$B229,dPer,"&gt;="&amp;pyFrom,dPer,"&lt;="&amp;pyTo,dAmt,"&gt;-1E+300",dFlt1,critFlt1,dFlt2,critFlt2,dFlt3,critFlt3))</f>
        <v/>
      </c>
      <c r="D229" t="str">
        <f>IF($B229="","",SUMIFS(dAmt,dCust,$B229,dPer,"&gt;="&amp;cyFrom,dPer,"&lt;="&amp;cyTo,dAmt,"&gt;-1E+300",dFlt1,critFlt1,dFlt2,critFlt2,dFlt3,critFlt3))</f>
        <v/>
      </c>
      <c r="E229" t="str">
        <f>IF($B229="","",SUMIFS(dQty,dCust,$B229,dPer,"&gt;="&amp;pyFrom,dPer,"&lt;="&amp;pyTo,dQty,"&gt;-1E+300",dFlt1,critFlt1,dFlt2,critFlt2,dFlt3,critFlt3))</f>
        <v/>
      </c>
      <c r="F229" t="str">
        <f>IF($B229="","",SUMIFS(dQty,dCust,$B229,dPer,"&gt;="&amp;cyFrom,dPer,"&lt;="&amp;cyTo,dQty,"&gt;-1E+300",dFlt1,critFlt1,dFlt2,critFlt2,dFlt3,critFlt3))</f>
        <v/>
      </c>
      <c r="G229">
        <f>IF($B229="",0,IFERROR(IF(OR(C229&lt;&gt;0,D229&lt;&gt;0,E229&lt;&gt;0,F229&lt;&gt;0),1,0),1))</f>
        <v>0</v>
      </c>
      <c r="H229" t="str">
        <f>IF(OR(G229=0,E229=0),"",C229/E229)</f>
        <v/>
      </c>
      <c r="I229" t="str">
        <f>IF(OR(G229=0,F229=0),"",D229/F229)</f>
        <v/>
      </c>
      <c r="J229" t="str">
        <f>IF(OR(H229="",I229=""),"",IF(H229=0,"",I229/H229-1))</f>
        <v/>
      </c>
      <c r="K229" t="str">
        <f>IF($B229="","",IFERROR(IF(G229=0,-2E+300,CHOOSE(sortIdx,ROUND(D229,0),IF(J229="",-1E+300,ROUND(-J229,6)),IF(J229="",-1E+300,ROUND(J229,6)))),-1.5E+300))</f>
        <v/>
      </c>
      <c r="L229" t="str">
        <f>IF(K229="","",RANK(K229,$K$2:$K$3001,0)+COUNTIF($K$2:K229,K229)-1)</f>
        <v/>
      </c>
    </row>
    <row r="230">
      <c r="B230" t="str">
        <f>IFERROR(IF(A230="","","="&amp;SUBSTITUTE(SUBSTITUTE(SUBSTITUTE(A230,"~","~~"),"*","~*"),"?","~?")),"")</f>
        <v/>
      </c>
      <c r="C230" t="str">
        <f>IF($B230="","",SUMIFS(dAmt,dCust,$B230,dPer,"&gt;="&amp;pyFrom,dPer,"&lt;="&amp;pyTo,dAmt,"&gt;-1E+300",dFlt1,critFlt1,dFlt2,critFlt2,dFlt3,critFlt3))</f>
        <v/>
      </c>
      <c r="D230" t="str">
        <f>IF($B230="","",SUMIFS(dAmt,dCust,$B230,dPer,"&gt;="&amp;cyFrom,dPer,"&lt;="&amp;cyTo,dAmt,"&gt;-1E+300",dFlt1,critFlt1,dFlt2,critFlt2,dFlt3,critFlt3))</f>
        <v/>
      </c>
      <c r="E230" t="str">
        <f>IF($B230="","",SUMIFS(dQty,dCust,$B230,dPer,"&gt;="&amp;pyFrom,dPer,"&lt;="&amp;pyTo,dQty,"&gt;-1E+300",dFlt1,critFlt1,dFlt2,critFlt2,dFlt3,critFlt3))</f>
        <v/>
      </c>
      <c r="F230" t="str">
        <f>IF($B230="","",SUMIFS(dQty,dCust,$B230,dPer,"&gt;="&amp;cyFrom,dPer,"&lt;="&amp;cyTo,dQty,"&gt;-1E+300",dFlt1,critFlt1,dFlt2,critFlt2,dFlt3,critFlt3))</f>
        <v/>
      </c>
      <c r="G230">
        <f>IF($B230="",0,IFERROR(IF(OR(C230&lt;&gt;0,D230&lt;&gt;0,E230&lt;&gt;0,F230&lt;&gt;0),1,0),1))</f>
        <v>0</v>
      </c>
      <c r="H230" t="str">
        <f>IF(OR(G230=0,E230=0),"",C230/E230)</f>
        <v/>
      </c>
      <c r="I230" t="str">
        <f>IF(OR(G230=0,F230=0),"",D230/F230)</f>
        <v/>
      </c>
      <c r="J230" t="str">
        <f>IF(OR(H230="",I230=""),"",IF(H230=0,"",I230/H230-1))</f>
        <v/>
      </c>
      <c r="K230" t="str">
        <f>IF($B230="","",IFERROR(IF(G230=0,-2E+300,CHOOSE(sortIdx,ROUND(D230,0),IF(J230="",-1E+300,ROUND(-J230,6)),IF(J230="",-1E+300,ROUND(J230,6)))),-1.5E+300))</f>
        <v/>
      </c>
      <c r="L230" t="str">
        <f>IF(K230="","",RANK(K230,$K$2:$K$3001,0)+COUNTIF($K$2:K230,K230)-1)</f>
        <v/>
      </c>
    </row>
    <row r="231">
      <c r="B231" t="str">
        <f>IFERROR(IF(A231="","","="&amp;SUBSTITUTE(SUBSTITUTE(SUBSTITUTE(A231,"~","~~"),"*","~*"),"?","~?")),"")</f>
        <v/>
      </c>
      <c r="C231" t="str">
        <f>IF($B231="","",SUMIFS(dAmt,dCust,$B231,dPer,"&gt;="&amp;pyFrom,dPer,"&lt;="&amp;pyTo,dAmt,"&gt;-1E+300",dFlt1,critFlt1,dFlt2,critFlt2,dFlt3,critFlt3))</f>
        <v/>
      </c>
      <c r="D231" t="str">
        <f>IF($B231="","",SUMIFS(dAmt,dCust,$B231,dPer,"&gt;="&amp;cyFrom,dPer,"&lt;="&amp;cyTo,dAmt,"&gt;-1E+300",dFlt1,critFlt1,dFlt2,critFlt2,dFlt3,critFlt3))</f>
        <v/>
      </c>
      <c r="E231" t="str">
        <f>IF($B231="","",SUMIFS(dQty,dCust,$B231,dPer,"&gt;="&amp;pyFrom,dPer,"&lt;="&amp;pyTo,dQty,"&gt;-1E+300",dFlt1,critFlt1,dFlt2,critFlt2,dFlt3,critFlt3))</f>
        <v/>
      </c>
      <c r="F231" t="str">
        <f>IF($B231="","",SUMIFS(dQty,dCust,$B231,dPer,"&gt;="&amp;cyFrom,dPer,"&lt;="&amp;cyTo,dQty,"&gt;-1E+300",dFlt1,critFlt1,dFlt2,critFlt2,dFlt3,critFlt3))</f>
        <v/>
      </c>
      <c r="G231">
        <f>IF($B231="",0,IFERROR(IF(OR(C231&lt;&gt;0,D231&lt;&gt;0,E231&lt;&gt;0,F231&lt;&gt;0),1,0),1))</f>
        <v>0</v>
      </c>
      <c r="H231" t="str">
        <f>IF(OR(G231=0,E231=0),"",C231/E231)</f>
        <v/>
      </c>
      <c r="I231" t="str">
        <f>IF(OR(G231=0,F231=0),"",D231/F231)</f>
        <v/>
      </c>
      <c r="J231" t="str">
        <f>IF(OR(H231="",I231=""),"",IF(H231=0,"",I231/H231-1))</f>
        <v/>
      </c>
      <c r="K231" t="str">
        <f>IF($B231="","",IFERROR(IF(G231=0,-2E+300,CHOOSE(sortIdx,ROUND(D231,0),IF(J231="",-1E+300,ROUND(-J231,6)),IF(J231="",-1E+300,ROUND(J231,6)))),-1.5E+300))</f>
        <v/>
      </c>
      <c r="L231" t="str">
        <f>IF(K231="","",RANK(K231,$K$2:$K$3001,0)+COUNTIF($K$2:K231,K231)-1)</f>
        <v/>
      </c>
    </row>
    <row r="232">
      <c r="B232" t="str">
        <f>IFERROR(IF(A232="","","="&amp;SUBSTITUTE(SUBSTITUTE(SUBSTITUTE(A232,"~","~~"),"*","~*"),"?","~?")),"")</f>
        <v/>
      </c>
      <c r="C232" t="str">
        <f>IF($B232="","",SUMIFS(dAmt,dCust,$B232,dPer,"&gt;="&amp;pyFrom,dPer,"&lt;="&amp;pyTo,dAmt,"&gt;-1E+300",dFlt1,critFlt1,dFlt2,critFlt2,dFlt3,critFlt3))</f>
        <v/>
      </c>
      <c r="D232" t="str">
        <f>IF($B232="","",SUMIFS(dAmt,dCust,$B232,dPer,"&gt;="&amp;cyFrom,dPer,"&lt;="&amp;cyTo,dAmt,"&gt;-1E+300",dFlt1,critFlt1,dFlt2,critFlt2,dFlt3,critFlt3))</f>
        <v/>
      </c>
      <c r="E232" t="str">
        <f>IF($B232="","",SUMIFS(dQty,dCust,$B232,dPer,"&gt;="&amp;pyFrom,dPer,"&lt;="&amp;pyTo,dQty,"&gt;-1E+300",dFlt1,critFlt1,dFlt2,critFlt2,dFlt3,critFlt3))</f>
        <v/>
      </c>
      <c r="F232" t="str">
        <f>IF($B232="","",SUMIFS(dQty,dCust,$B232,dPer,"&gt;="&amp;cyFrom,dPer,"&lt;="&amp;cyTo,dQty,"&gt;-1E+300",dFlt1,critFlt1,dFlt2,critFlt2,dFlt3,critFlt3))</f>
        <v/>
      </c>
      <c r="G232">
        <f>IF($B232="",0,IFERROR(IF(OR(C232&lt;&gt;0,D232&lt;&gt;0,E232&lt;&gt;0,F232&lt;&gt;0),1,0),1))</f>
        <v>0</v>
      </c>
      <c r="H232" t="str">
        <f>IF(OR(G232=0,E232=0),"",C232/E232)</f>
        <v/>
      </c>
      <c r="I232" t="str">
        <f>IF(OR(G232=0,F232=0),"",D232/F232)</f>
        <v/>
      </c>
      <c r="J232" t="str">
        <f>IF(OR(H232="",I232=""),"",IF(H232=0,"",I232/H232-1))</f>
        <v/>
      </c>
      <c r="K232" t="str">
        <f>IF($B232="","",IFERROR(IF(G232=0,-2E+300,CHOOSE(sortIdx,ROUND(D232,0),IF(J232="",-1E+300,ROUND(-J232,6)),IF(J232="",-1E+300,ROUND(J232,6)))),-1.5E+300))</f>
        <v/>
      </c>
      <c r="L232" t="str">
        <f>IF(K232="","",RANK(K232,$K$2:$K$3001,0)+COUNTIF($K$2:K232,K232)-1)</f>
        <v/>
      </c>
    </row>
    <row r="233">
      <c r="B233" t="str">
        <f>IFERROR(IF(A233="","","="&amp;SUBSTITUTE(SUBSTITUTE(SUBSTITUTE(A233,"~","~~"),"*","~*"),"?","~?")),"")</f>
        <v/>
      </c>
      <c r="C233" t="str">
        <f>IF($B233="","",SUMIFS(dAmt,dCust,$B233,dPer,"&gt;="&amp;pyFrom,dPer,"&lt;="&amp;pyTo,dAmt,"&gt;-1E+300",dFlt1,critFlt1,dFlt2,critFlt2,dFlt3,critFlt3))</f>
        <v/>
      </c>
      <c r="D233" t="str">
        <f>IF($B233="","",SUMIFS(dAmt,dCust,$B233,dPer,"&gt;="&amp;cyFrom,dPer,"&lt;="&amp;cyTo,dAmt,"&gt;-1E+300",dFlt1,critFlt1,dFlt2,critFlt2,dFlt3,critFlt3))</f>
        <v/>
      </c>
      <c r="E233" t="str">
        <f>IF($B233="","",SUMIFS(dQty,dCust,$B233,dPer,"&gt;="&amp;pyFrom,dPer,"&lt;="&amp;pyTo,dQty,"&gt;-1E+300",dFlt1,critFlt1,dFlt2,critFlt2,dFlt3,critFlt3))</f>
        <v/>
      </c>
      <c r="F233" t="str">
        <f>IF($B233="","",SUMIFS(dQty,dCust,$B233,dPer,"&gt;="&amp;cyFrom,dPer,"&lt;="&amp;cyTo,dQty,"&gt;-1E+300",dFlt1,critFlt1,dFlt2,critFlt2,dFlt3,critFlt3))</f>
        <v/>
      </c>
      <c r="G233">
        <f>IF($B233="",0,IFERROR(IF(OR(C233&lt;&gt;0,D233&lt;&gt;0,E233&lt;&gt;0,F233&lt;&gt;0),1,0),1))</f>
        <v>0</v>
      </c>
      <c r="H233" t="str">
        <f>IF(OR(G233=0,E233=0),"",C233/E233)</f>
        <v/>
      </c>
      <c r="I233" t="str">
        <f>IF(OR(G233=0,F233=0),"",D233/F233)</f>
        <v/>
      </c>
      <c r="J233" t="str">
        <f>IF(OR(H233="",I233=""),"",IF(H233=0,"",I233/H233-1))</f>
        <v/>
      </c>
      <c r="K233" t="str">
        <f>IF($B233="","",IFERROR(IF(G233=0,-2E+300,CHOOSE(sortIdx,ROUND(D233,0),IF(J233="",-1E+300,ROUND(-J233,6)),IF(J233="",-1E+300,ROUND(J233,6)))),-1.5E+300))</f>
        <v/>
      </c>
      <c r="L233" t="str">
        <f>IF(K233="","",RANK(K233,$K$2:$K$3001,0)+COUNTIF($K$2:K233,K233)-1)</f>
        <v/>
      </c>
    </row>
    <row r="234">
      <c r="B234" t="str">
        <f>IFERROR(IF(A234="","","="&amp;SUBSTITUTE(SUBSTITUTE(SUBSTITUTE(A234,"~","~~"),"*","~*"),"?","~?")),"")</f>
        <v/>
      </c>
      <c r="C234" t="str">
        <f>IF($B234="","",SUMIFS(dAmt,dCust,$B234,dPer,"&gt;="&amp;pyFrom,dPer,"&lt;="&amp;pyTo,dAmt,"&gt;-1E+300",dFlt1,critFlt1,dFlt2,critFlt2,dFlt3,critFlt3))</f>
        <v/>
      </c>
      <c r="D234" t="str">
        <f>IF($B234="","",SUMIFS(dAmt,dCust,$B234,dPer,"&gt;="&amp;cyFrom,dPer,"&lt;="&amp;cyTo,dAmt,"&gt;-1E+300",dFlt1,critFlt1,dFlt2,critFlt2,dFlt3,critFlt3))</f>
        <v/>
      </c>
      <c r="E234" t="str">
        <f>IF($B234="","",SUMIFS(dQty,dCust,$B234,dPer,"&gt;="&amp;pyFrom,dPer,"&lt;="&amp;pyTo,dQty,"&gt;-1E+300",dFlt1,critFlt1,dFlt2,critFlt2,dFlt3,critFlt3))</f>
        <v/>
      </c>
      <c r="F234" t="str">
        <f>IF($B234="","",SUMIFS(dQty,dCust,$B234,dPer,"&gt;="&amp;cyFrom,dPer,"&lt;="&amp;cyTo,dQty,"&gt;-1E+300",dFlt1,critFlt1,dFlt2,critFlt2,dFlt3,critFlt3))</f>
        <v/>
      </c>
      <c r="G234">
        <f>IF($B234="",0,IFERROR(IF(OR(C234&lt;&gt;0,D234&lt;&gt;0,E234&lt;&gt;0,F234&lt;&gt;0),1,0),1))</f>
        <v>0</v>
      </c>
      <c r="H234" t="str">
        <f>IF(OR(G234=0,E234=0),"",C234/E234)</f>
        <v/>
      </c>
      <c r="I234" t="str">
        <f>IF(OR(G234=0,F234=0),"",D234/F234)</f>
        <v/>
      </c>
      <c r="J234" t="str">
        <f>IF(OR(H234="",I234=""),"",IF(H234=0,"",I234/H234-1))</f>
        <v/>
      </c>
      <c r="K234" t="str">
        <f>IF($B234="","",IFERROR(IF(G234=0,-2E+300,CHOOSE(sortIdx,ROUND(D234,0),IF(J234="",-1E+300,ROUND(-J234,6)),IF(J234="",-1E+300,ROUND(J234,6)))),-1.5E+300))</f>
        <v/>
      </c>
      <c r="L234" t="str">
        <f>IF(K234="","",RANK(K234,$K$2:$K$3001,0)+COUNTIF($K$2:K234,K234)-1)</f>
        <v/>
      </c>
    </row>
    <row r="235">
      <c r="B235" t="str">
        <f>IFERROR(IF(A235="","","="&amp;SUBSTITUTE(SUBSTITUTE(SUBSTITUTE(A235,"~","~~"),"*","~*"),"?","~?")),"")</f>
        <v/>
      </c>
      <c r="C235" t="str">
        <f>IF($B235="","",SUMIFS(dAmt,dCust,$B235,dPer,"&gt;="&amp;pyFrom,dPer,"&lt;="&amp;pyTo,dAmt,"&gt;-1E+300",dFlt1,critFlt1,dFlt2,critFlt2,dFlt3,critFlt3))</f>
        <v/>
      </c>
      <c r="D235" t="str">
        <f>IF($B235="","",SUMIFS(dAmt,dCust,$B235,dPer,"&gt;="&amp;cyFrom,dPer,"&lt;="&amp;cyTo,dAmt,"&gt;-1E+300",dFlt1,critFlt1,dFlt2,critFlt2,dFlt3,critFlt3))</f>
        <v/>
      </c>
      <c r="E235" t="str">
        <f>IF($B235="","",SUMIFS(dQty,dCust,$B235,dPer,"&gt;="&amp;pyFrom,dPer,"&lt;="&amp;pyTo,dQty,"&gt;-1E+300",dFlt1,critFlt1,dFlt2,critFlt2,dFlt3,critFlt3))</f>
        <v/>
      </c>
      <c r="F235" t="str">
        <f>IF($B235="","",SUMIFS(dQty,dCust,$B235,dPer,"&gt;="&amp;cyFrom,dPer,"&lt;="&amp;cyTo,dQty,"&gt;-1E+300",dFlt1,critFlt1,dFlt2,critFlt2,dFlt3,critFlt3))</f>
        <v/>
      </c>
      <c r="G235">
        <f>IF($B235="",0,IFERROR(IF(OR(C235&lt;&gt;0,D235&lt;&gt;0,E235&lt;&gt;0,F235&lt;&gt;0),1,0),1))</f>
        <v>0</v>
      </c>
      <c r="H235" t="str">
        <f>IF(OR(G235=0,E235=0),"",C235/E235)</f>
        <v/>
      </c>
      <c r="I235" t="str">
        <f>IF(OR(G235=0,F235=0),"",D235/F235)</f>
        <v/>
      </c>
      <c r="J235" t="str">
        <f>IF(OR(H235="",I235=""),"",IF(H235=0,"",I235/H235-1))</f>
        <v/>
      </c>
      <c r="K235" t="str">
        <f>IF($B235="","",IFERROR(IF(G235=0,-2E+300,CHOOSE(sortIdx,ROUND(D235,0),IF(J235="",-1E+300,ROUND(-J235,6)),IF(J235="",-1E+300,ROUND(J235,6)))),-1.5E+300))</f>
        <v/>
      </c>
      <c r="L235" t="str">
        <f>IF(K235="","",RANK(K235,$K$2:$K$3001,0)+COUNTIF($K$2:K235,K235)-1)</f>
        <v/>
      </c>
    </row>
    <row r="236">
      <c r="B236" t="str">
        <f>IFERROR(IF(A236="","","="&amp;SUBSTITUTE(SUBSTITUTE(SUBSTITUTE(A236,"~","~~"),"*","~*"),"?","~?")),"")</f>
        <v/>
      </c>
      <c r="C236" t="str">
        <f>IF($B236="","",SUMIFS(dAmt,dCust,$B236,dPer,"&gt;="&amp;pyFrom,dPer,"&lt;="&amp;pyTo,dAmt,"&gt;-1E+300",dFlt1,critFlt1,dFlt2,critFlt2,dFlt3,critFlt3))</f>
        <v/>
      </c>
      <c r="D236" t="str">
        <f>IF($B236="","",SUMIFS(dAmt,dCust,$B236,dPer,"&gt;="&amp;cyFrom,dPer,"&lt;="&amp;cyTo,dAmt,"&gt;-1E+300",dFlt1,critFlt1,dFlt2,critFlt2,dFlt3,critFlt3))</f>
        <v/>
      </c>
      <c r="E236" t="str">
        <f>IF($B236="","",SUMIFS(dQty,dCust,$B236,dPer,"&gt;="&amp;pyFrom,dPer,"&lt;="&amp;pyTo,dQty,"&gt;-1E+300",dFlt1,critFlt1,dFlt2,critFlt2,dFlt3,critFlt3))</f>
        <v/>
      </c>
      <c r="F236" t="str">
        <f>IF($B236="","",SUMIFS(dQty,dCust,$B236,dPer,"&gt;="&amp;cyFrom,dPer,"&lt;="&amp;cyTo,dQty,"&gt;-1E+300",dFlt1,critFlt1,dFlt2,critFlt2,dFlt3,critFlt3))</f>
        <v/>
      </c>
      <c r="G236">
        <f>IF($B236="",0,IFERROR(IF(OR(C236&lt;&gt;0,D236&lt;&gt;0,E236&lt;&gt;0,F236&lt;&gt;0),1,0),1))</f>
        <v>0</v>
      </c>
      <c r="H236" t="str">
        <f>IF(OR(G236=0,E236=0),"",C236/E236)</f>
        <v/>
      </c>
      <c r="I236" t="str">
        <f>IF(OR(G236=0,F236=0),"",D236/F236)</f>
        <v/>
      </c>
      <c r="J236" t="str">
        <f>IF(OR(H236="",I236=""),"",IF(H236=0,"",I236/H236-1))</f>
        <v/>
      </c>
      <c r="K236" t="str">
        <f>IF($B236="","",IFERROR(IF(G236=0,-2E+300,CHOOSE(sortIdx,ROUND(D236,0),IF(J236="",-1E+300,ROUND(-J236,6)),IF(J236="",-1E+300,ROUND(J236,6)))),-1.5E+300))</f>
        <v/>
      </c>
      <c r="L236" t="str">
        <f>IF(K236="","",RANK(K236,$K$2:$K$3001,0)+COUNTIF($K$2:K236,K236)-1)</f>
        <v/>
      </c>
    </row>
    <row r="237">
      <c r="B237" t="str">
        <f>IFERROR(IF(A237="","","="&amp;SUBSTITUTE(SUBSTITUTE(SUBSTITUTE(A237,"~","~~"),"*","~*"),"?","~?")),"")</f>
        <v/>
      </c>
      <c r="C237" t="str">
        <f>IF($B237="","",SUMIFS(dAmt,dCust,$B237,dPer,"&gt;="&amp;pyFrom,dPer,"&lt;="&amp;pyTo,dAmt,"&gt;-1E+300",dFlt1,critFlt1,dFlt2,critFlt2,dFlt3,critFlt3))</f>
        <v/>
      </c>
      <c r="D237" t="str">
        <f>IF($B237="","",SUMIFS(dAmt,dCust,$B237,dPer,"&gt;="&amp;cyFrom,dPer,"&lt;="&amp;cyTo,dAmt,"&gt;-1E+300",dFlt1,critFlt1,dFlt2,critFlt2,dFlt3,critFlt3))</f>
        <v/>
      </c>
      <c r="E237" t="str">
        <f>IF($B237="","",SUMIFS(dQty,dCust,$B237,dPer,"&gt;="&amp;pyFrom,dPer,"&lt;="&amp;pyTo,dQty,"&gt;-1E+300",dFlt1,critFlt1,dFlt2,critFlt2,dFlt3,critFlt3))</f>
        <v/>
      </c>
      <c r="F237" t="str">
        <f>IF($B237="","",SUMIFS(dQty,dCust,$B237,dPer,"&gt;="&amp;cyFrom,dPer,"&lt;="&amp;cyTo,dQty,"&gt;-1E+300",dFlt1,critFlt1,dFlt2,critFlt2,dFlt3,critFlt3))</f>
        <v/>
      </c>
      <c r="G237">
        <f>IF($B237="",0,IFERROR(IF(OR(C237&lt;&gt;0,D237&lt;&gt;0,E237&lt;&gt;0,F237&lt;&gt;0),1,0),1))</f>
        <v>0</v>
      </c>
      <c r="H237" t="str">
        <f>IF(OR(G237=0,E237=0),"",C237/E237)</f>
        <v/>
      </c>
      <c r="I237" t="str">
        <f>IF(OR(G237=0,F237=0),"",D237/F237)</f>
        <v/>
      </c>
      <c r="J237" t="str">
        <f>IF(OR(H237="",I237=""),"",IF(H237=0,"",I237/H237-1))</f>
        <v/>
      </c>
      <c r="K237" t="str">
        <f>IF($B237="","",IFERROR(IF(G237=0,-2E+300,CHOOSE(sortIdx,ROUND(D237,0),IF(J237="",-1E+300,ROUND(-J237,6)),IF(J237="",-1E+300,ROUND(J237,6)))),-1.5E+300))</f>
        <v/>
      </c>
      <c r="L237" t="str">
        <f>IF(K237="","",RANK(K237,$K$2:$K$3001,0)+COUNTIF($K$2:K237,K237)-1)</f>
        <v/>
      </c>
    </row>
    <row r="238">
      <c r="B238" t="str">
        <f>IFERROR(IF(A238="","","="&amp;SUBSTITUTE(SUBSTITUTE(SUBSTITUTE(A238,"~","~~"),"*","~*"),"?","~?")),"")</f>
        <v/>
      </c>
      <c r="C238" t="str">
        <f>IF($B238="","",SUMIFS(dAmt,dCust,$B238,dPer,"&gt;="&amp;pyFrom,dPer,"&lt;="&amp;pyTo,dAmt,"&gt;-1E+300",dFlt1,critFlt1,dFlt2,critFlt2,dFlt3,critFlt3))</f>
        <v/>
      </c>
      <c r="D238" t="str">
        <f>IF($B238="","",SUMIFS(dAmt,dCust,$B238,dPer,"&gt;="&amp;cyFrom,dPer,"&lt;="&amp;cyTo,dAmt,"&gt;-1E+300",dFlt1,critFlt1,dFlt2,critFlt2,dFlt3,critFlt3))</f>
        <v/>
      </c>
      <c r="E238" t="str">
        <f>IF($B238="","",SUMIFS(dQty,dCust,$B238,dPer,"&gt;="&amp;pyFrom,dPer,"&lt;="&amp;pyTo,dQty,"&gt;-1E+300",dFlt1,critFlt1,dFlt2,critFlt2,dFlt3,critFlt3))</f>
        <v/>
      </c>
      <c r="F238" t="str">
        <f>IF($B238="","",SUMIFS(dQty,dCust,$B238,dPer,"&gt;="&amp;cyFrom,dPer,"&lt;="&amp;cyTo,dQty,"&gt;-1E+300",dFlt1,critFlt1,dFlt2,critFlt2,dFlt3,critFlt3))</f>
        <v/>
      </c>
      <c r="G238">
        <f>IF($B238="",0,IFERROR(IF(OR(C238&lt;&gt;0,D238&lt;&gt;0,E238&lt;&gt;0,F238&lt;&gt;0),1,0),1))</f>
        <v>0</v>
      </c>
      <c r="H238" t="str">
        <f>IF(OR(G238=0,E238=0),"",C238/E238)</f>
        <v/>
      </c>
      <c r="I238" t="str">
        <f>IF(OR(G238=0,F238=0),"",D238/F238)</f>
        <v/>
      </c>
      <c r="J238" t="str">
        <f>IF(OR(H238="",I238=""),"",IF(H238=0,"",I238/H238-1))</f>
        <v/>
      </c>
      <c r="K238" t="str">
        <f>IF($B238="","",IFERROR(IF(G238=0,-2E+300,CHOOSE(sortIdx,ROUND(D238,0),IF(J238="",-1E+300,ROUND(-J238,6)),IF(J238="",-1E+300,ROUND(J238,6)))),-1.5E+300))</f>
        <v/>
      </c>
      <c r="L238" t="str">
        <f>IF(K238="","",RANK(K238,$K$2:$K$3001,0)+COUNTIF($K$2:K238,K238)-1)</f>
        <v/>
      </c>
    </row>
    <row r="239">
      <c r="B239" t="str">
        <f>IFERROR(IF(A239="","","="&amp;SUBSTITUTE(SUBSTITUTE(SUBSTITUTE(A239,"~","~~"),"*","~*"),"?","~?")),"")</f>
        <v/>
      </c>
      <c r="C239" t="str">
        <f>IF($B239="","",SUMIFS(dAmt,dCust,$B239,dPer,"&gt;="&amp;pyFrom,dPer,"&lt;="&amp;pyTo,dAmt,"&gt;-1E+300",dFlt1,critFlt1,dFlt2,critFlt2,dFlt3,critFlt3))</f>
        <v/>
      </c>
      <c r="D239" t="str">
        <f>IF($B239="","",SUMIFS(dAmt,dCust,$B239,dPer,"&gt;="&amp;cyFrom,dPer,"&lt;="&amp;cyTo,dAmt,"&gt;-1E+300",dFlt1,critFlt1,dFlt2,critFlt2,dFlt3,critFlt3))</f>
        <v/>
      </c>
      <c r="E239" t="str">
        <f>IF($B239="","",SUMIFS(dQty,dCust,$B239,dPer,"&gt;="&amp;pyFrom,dPer,"&lt;="&amp;pyTo,dQty,"&gt;-1E+300",dFlt1,critFlt1,dFlt2,critFlt2,dFlt3,critFlt3))</f>
        <v/>
      </c>
      <c r="F239" t="str">
        <f>IF($B239="","",SUMIFS(dQty,dCust,$B239,dPer,"&gt;="&amp;cyFrom,dPer,"&lt;="&amp;cyTo,dQty,"&gt;-1E+300",dFlt1,critFlt1,dFlt2,critFlt2,dFlt3,critFlt3))</f>
        <v/>
      </c>
      <c r="G239">
        <f>IF($B239="",0,IFERROR(IF(OR(C239&lt;&gt;0,D239&lt;&gt;0,E239&lt;&gt;0,F239&lt;&gt;0),1,0),1))</f>
        <v>0</v>
      </c>
      <c r="H239" t="str">
        <f>IF(OR(G239=0,E239=0),"",C239/E239)</f>
        <v/>
      </c>
      <c r="I239" t="str">
        <f>IF(OR(G239=0,F239=0),"",D239/F239)</f>
        <v/>
      </c>
      <c r="J239" t="str">
        <f>IF(OR(H239="",I239=""),"",IF(H239=0,"",I239/H239-1))</f>
        <v/>
      </c>
      <c r="K239" t="str">
        <f>IF($B239="","",IFERROR(IF(G239=0,-2E+300,CHOOSE(sortIdx,ROUND(D239,0),IF(J239="",-1E+300,ROUND(-J239,6)),IF(J239="",-1E+300,ROUND(J239,6)))),-1.5E+300))</f>
        <v/>
      </c>
      <c r="L239" t="str">
        <f>IF(K239="","",RANK(K239,$K$2:$K$3001,0)+COUNTIF($K$2:K239,K239)-1)</f>
        <v/>
      </c>
    </row>
    <row r="240">
      <c r="B240" t="str">
        <f>IFERROR(IF(A240="","","="&amp;SUBSTITUTE(SUBSTITUTE(SUBSTITUTE(A240,"~","~~"),"*","~*"),"?","~?")),"")</f>
        <v/>
      </c>
      <c r="C240" t="str">
        <f>IF($B240="","",SUMIFS(dAmt,dCust,$B240,dPer,"&gt;="&amp;pyFrom,dPer,"&lt;="&amp;pyTo,dAmt,"&gt;-1E+300",dFlt1,critFlt1,dFlt2,critFlt2,dFlt3,critFlt3))</f>
        <v/>
      </c>
      <c r="D240" t="str">
        <f>IF($B240="","",SUMIFS(dAmt,dCust,$B240,dPer,"&gt;="&amp;cyFrom,dPer,"&lt;="&amp;cyTo,dAmt,"&gt;-1E+300",dFlt1,critFlt1,dFlt2,critFlt2,dFlt3,critFlt3))</f>
        <v/>
      </c>
      <c r="E240" t="str">
        <f>IF($B240="","",SUMIFS(dQty,dCust,$B240,dPer,"&gt;="&amp;pyFrom,dPer,"&lt;="&amp;pyTo,dQty,"&gt;-1E+300",dFlt1,critFlt1,dFlt2,critFlt2,dFlt3,critFlt3))</f>
        <v/>
      </c>
      <c r="F240" t="str">
        <f>IF($B240="","",SUMIFS(dQty,dCust,$B240,dPer,"&gt;="&amp;cyFrom,dPer,"&lt;="&amp;cyTo,dQty,"&gt;-1E+300",dFlt1,critFlt1,dFlt2,critFlt2,dFlt3,critFlt3))</f>
        <v/>
      </c>
      <c r="G240">
        <f>IF($B240="",0,IFERROR(IF(OR(C240&lt;&gt;0,D240&lt;&gt;0,E240&lt;&gt;0,F240&lt;&gt;0),1,0),1))</f>
        <v>0</v>
      </c>
      <c r="H240" t="str">
        <f>IF(OR(G240=0,E240=0),"",C240/E240)</f>
        <v/>
      </c>
      <c r="I240" t="str">
        <f>IF(OR(G240=0,F240=0),"",D240/F240)</f>
        <v/>
      </c>
      <c r="J240" t="str">
        <f>IF(OR(H240="",I240=""),"",IF(H240=0,"",I240/H240-1))</f>
        <v/>
      </c>
      <c r="K240" t="str">
        <f>IF($B240="","",IFERROR(IF(G240=0,-2E+300,CHOOSE(sortIdx,ROUND(D240,0),IF(J240="",-1E+300,ROUND(-J240,6)),IF(J240="",-1E+300,ROUND(J240,6)))),-1.5E+300))</f>
        <v/>
      </c>
      <c r="L240" t="str">
        <f>IF(K240="","",RANK(K240,$K$2:$K$3001,0)+COUNTIF($K$2:K240,K240)-1)</f>
        <v/>
      </c>
    </row>
    <row r="241">
      <c r="B241" t="str">
        <f>IFERROR(IF(A241="","","="&amp;SUBSTITUTE(SUBSTITUTE(SUBSTITUTE(A241,"~","~~"),"*","~*"),"?","~?")),"")</f>
        <v/>
      </c>
      <c r="C241" t="str">
        <f>IF($B241="","",SUMIFS(dAmt,dCust,$B241,dPer,"&gt;="&amp;pyFrom,dPer,"&lt;="&amp;pyTo,dAmt,"&gt;-1E+300",dFlt1,critFlt1,dFlt2,critFlt2,dFlt3,critFlt3))</f>
        <v/>
      </c>
      <c r="D241" t="str">
        <f>IF($B241="","",SUMIFS(dAmt,dCust,$B241,dPer,"&gt;="&amp;cyFrom,dPer,"&lt;="&amp;cyTo,dAmt,"&gt;-1E+300",dFlt1,critFlt1,dFlt2,critFlt2,dFlt3,critFlt3))</f>
        <v/>
      </c>
      <c r="E241" t="str">
        <f>IF($B241="","",SUMIFS(dQty,dCust,$B241,dPer,"&gt;="&amp;pyFrom,dPer,"&lt;="&amp;pyTo,dQty,"&gt;-1E+300",dFlt1,critFlt1,dFlt2,critFlt2,dFlt3,critFlt3))</f>
        <v/>
      </c>
      <c r="F241" t="str">
        <f>IF($B241="","",SUMIFS(dQty,dCust,$B241,dPer,"&gt;="&amp;cyFrom,dPer,"&lt;="&amp;cyTo,dQty,"&gt;-1E+300",dFlt1,critFlt1,dFlt2,critFlt2,dFlt3,critFlt3))</f>
        <v/>
      </c>
      <c r="G241">
        <f>IF($B241="",0,IFERROR(IF(OR(C241&lt;&gt;0,D241&lt;&gt;0,E241&lt;&gt;0,F241&lt;&gt;0),1,0),1))</f>
        <v>0</v>
      </c>
      <c r="H241" t="str">
        <f>IF(OR(G241=0,E241=0),"",C241/E241)</f>
        <v/>
      </c>
      <c r="I241" t="str">
        <f>IF(OR(G241=0,F241=0),"",D241/F241)</f>
        <v/>
      </c>
      <c r="J241" t="str">
        <f>IF(OR(H241="",I241=""),"",IF(H241=0,"",I241/H241-1))</f>
        <v/>
      </c>
      <c r="K241" t="str">
        <f>IF($B241="","",IFERROR(IF(G241=0,-2E+300,CHOOSE(sortIdx,ROUND(D241,0),IF(J241="",-1E+300,ROUND(-J241,6)),IF(J241="",-1E+300,ROUND(J241,6)))),-1.5E+300))</f>
        <v/>
      </c>
      <c r="L241" t="str">
        <f>IF(K241="","",RANK(K241,$K$2:$K$3001,0)+COUNTIF($K$2:K241,K241)-1)</f>
        <v/>
      </c>
    </row>
    <row r="242">
      <c r="B242" t="str">
        <f>IFERROR(IF(A242="","","="&amp;SUBSTITUTE(SUBSTITUTE(SUBSTITUTE(A242,"~","~~"),"*","~*"),"?","~?")),"")</f>
        <v/>
      </c>
      <c r="C242" t="str">
        <f>IF($B242="","",SUMIFS(dAmt,dCust,$B242,dPer,"&gt;="&amp;pyFrom,dPer,"&lt;="&amp;pyTo,dAmt,"&gt;-1E+300",dFlt1,critFlt1,dFlt2,critFlt2,dFlt3,critFlt3))</f>
        <v/>
      </c>
      <c r="D242" t="str">
        <f>IF($B242="","",SUMIFS(dAmt,dCust,$B242,dPer,"&gt;="&amp;cyFrom,dPer,"&lt;="&amp;cyTo,dAmt,"&gt;-1E+300",dFlt1,critFlt1,dFlt2,critFlt2,dFlt3,critFlt3))</f>
        <v/>
      </c>
      <c r="E242" t="str">
        <f>IF($B242="","",SUMIFS(dQty,dCust,$B242,dPer,"&gt;="&amp;pyFrom,dPer,"&lt;="&amp;pyTo,dQty,"&gt;-1E+300",dFlt1,critFlt1,dFlt2,critFlt2,dFlt3,critFlt3))</f>
        <v/>
      </c>
      <c r="F242" t="str">
        <f>IF($B242="","",SUMIFS(dQty,dCust,$B242,dPer,"&gt;="&amp;cyFrom,dPer,"&lt;="&amp;cyTo,dQty,"&gt;-1E+300",dFlt1,critFlt1,dFlt2,critFlt2,dFlt3,critFlt3))</f>
        <v/>
      </c>
      <c r="G242">
        <f>IF($B242="",0,IFERROR(IF(OR(C242&lt;&gt;0,D242&lt;&gt;0,E242&lt;&gt;0,F242&lt;&gt;0),1,0),1))</f>
        <v>0</v>
      </c>
      <c r="H242" t="str">
        <f>IF(OR(G242=0,E242=0),"",C242/E242)</f>
        <v/>
      </c>
      <c r="I242" t="str">
        <f>IF(OR(G242=0,F242=0),"",D242/F242)</f>
        <v/>
      </c>
      <c r="J242" t="str">
        <f>IF(OR(H242="",I242=""),"",IF(H242=0,"",I242/H242-1))</f>
        <v/>
      </c>
      <c r="K242" t="str">
        <f>IF($B242="","",IFERROR(IF(G242=0,-2E+300,CHOOSE(sortIdx,ROUND(D242,0),IF(J242="",-1E+300,ROUND(-J242,6)),IF(J242="",-1E+300,ROUND(J242,6)))),-1.5E+300))</f>
        <v/>
      </c>
      <c r="L242" t="str">
        <f>IF(K242="","",RANK(K242,$K$2:$K$3001,0)+COUNTIF($K$2:K242,K242)-1)</f>
        <v/>
      </c>
    </row>
    <row r="243">
      <c r="B243" t="str">
        <f>IFERROR(IF(A243="","","="&amp;SUBSTITUTE(SUBSTITUTE(SUBSTITUTE(A243,"~","~~"),"*","~*"),"?","~?")),"")</f>
        <v/>
      </c>
      <c r="C243" t="str">
        <f>IF($B243="","",SUMIFS(dAmt,dCust,$B243,dPer,"&gt;="&amp;pyFrom,dPer,"&lt;="&amp;pyTo,dAmt,"&gt;-1E+300",dFlt1,critFlt1,dFlt2,critFlt2,dFlt3,critFlt3))</f>
        <v/>
      </c>
      <c r="D243" t="str">
        <f>IF($B243="","",SUMIFS(dAmt,dCust,$B243,dPer,"&gt;="&amp;cyFrom,dPer,"&lt;="&amp;cyTo,dAmt,"&gt;-1E+300",dFlt1,critFlt1,dFlt2,critFlt2,dFlt3,critFlt3))</f>
        <v/>
      </c>
      <c r="E243" t="str">
        <f>IF($B243="","",SUMIFS(dQty,dCust,$B243,dPer,"&gt;="&amp;pyFrom,dPer,"&lt;="&amp;pyTo,dQty,"&gt;-1E+300",dFlt1,critFlt1,dFlt2,critFlt2,dFlt3,critFlt3))</f>
        <v/>
      </c>
      <c r="F243" t="str">
        <f>IF($B243="","",SUMIFS(dQty,dCust,$B243,dPer,"&gt;="&amp;cyFrom,dPer,"&lt;="&amp;cyTo,dQty,"&gt;-1E+300",dFlt1,critFlt1,dFlt2,critFlt2,dFlt3,critFlt3))</f>
        <v/>
      </c>
      <c r="G243">
        <f>IF($B243="",0,IFERROR(IF(OR(C243&lt;&gt;0,D243&lt;&gt;0,E243&lt;&gt;0,F243&lt;&gt;0),1,0),1))</f>
        <v>0</v>
      </c>
      <c r="H243" t="str">
        <f>IF(OR(G243=0,E243=0),"",C243/E243)</f>
        <v/>
      </c>
      <c r="I243" t="str">
        <f>IF(OR(G243=0,F243=0),"",D243/F243)</f>
        <v/>
      </c>
      <c r="J243" t="str">
        <f>IF(OR(H243="",I243=""),"",IF(H243=0,"",I243/H243-1))</f>
        <v/>
      </c>
      <c r="K243" t="str">
        <f>IF($B243="","",IFERROR(IF(G243=0,-2E+300,CHOOSE(sortIdx,ROUND(D243,0),IF(J243="",-1E+300,ROUND(-J243,6)),IF(J243="",-1E+300,ROUND(J243,6)))),-1.5E+300))</f>
        <v/>
      </c>
      <c r="L243" t="str">
        <f>IF(K243="","",RANK(K243,$K$2:$K$3001,0)+COUNTIF($K$2:K243,K243)-1)</f>
        <v/>
      </c>
    </row>
    <row r="244">
      <c r="B244" t="str">
        <f>IFERROR(IF(A244="","","="&amp;SUBSTITUTE(SUBSTITUTE(SUBSTITUTE(A244,"~","~~"),"*","~*"),"?","~?")),"")</f>
        <v/>
      </c>
      <c r="C244" t="str">
        <f>IF($B244="","",SUMIFS(dAmt,dCust,$B244,dPer,"&gt;="&amp;pyFrom,dPer,"&lt;="&amp;pyTo,dAmt,"&gt;-1E+300",dFlt1,critFlt1,dFlt2,critFlt2,dFlt3,critFlt3))</f>
        <v/>
      </c>
      <c r="D244" t="str">
        <f>IF($B244="","",SUMIFS(dAmt,dCust,$B244,dPer,"&gt;="&amp;cyFrom,dPer,"&lt;="&amp;cyTo,dAmt,"&gt;-1E+300",dFlt1,critFlt1,dFlt2,critFlt2,dFlt3,critFlt3))</f>
        <v/>
      </c>
      <c r="E244" t="str">
        <f>IF($B244="","",SUMIFS(dQty,dCust,$B244,dPer,"&gt;="&amp;pyFrom,dPer,"&lt;="&amp;pyTo,dQty,"&gt;-1E+300",dFlt1,critFlt1,dFlt2,critFlt2,dFlt3,critFlt3))</f>
        <v/>
      </c>
      <c r="F244" t="str">
        <f>IF($B244="","",SUMIFS(dQty,dCust,$B244,dPer,"&gt;="&amp;cyFrom,dPer,"&lt;="&amp;cyTo,dQty,"&gt;-1E+300",dFlt1,critFlt1,dFlt2,critFlt2,dFlt3,critFlt3))</f>
        <v/>
      </c>
      <c r="G244">
        <f>IF($B244="",0,IFERROR(IF(OR(C244&lt;&gt;0,D244&lt;&gt;0,E244&lt;&gt;0,F244&lt;&gt;0),1,0),1))</f>
        <v>0</v>
      </c>
      <c r="H244" t="str">
        <f>IF(OR(G244=0,E244=0),"",C244/E244)</f>
        <v/>
      </c>
      <c r="I244" t="str">
        <f>IF(OR(G244=0,F244=0),"",D244/F244)</f>
        <v/>
      </c>
      <c r="J244" t="str">
        <f>IF(OR(H244="",I244=""),"",IF(H244=0,"",I244/H244-1))</f>
        <v/>
      </c>
      <c r="K244" t="str">
        <f>IF($B244="","",IFERROR(IF(G244=0,-2E+300,CHOOSE(sortIdx,ROUND(D244,0),IF(J244="",-1E+300,ROUND(-J244,6)),IF(J244="",-1E+300,ROUND(J244,6)))),-1.5E+300))</f>
        <v/>
      </c>
      <c r="L244" t="str">
        <f>IF(K244="","",RANK(K244,$K$2:$K$3001,0)+COUNTIF($K$2:K244,K244)-1)</f>
        <v/>
      </c>
    </row>
    <row r="245">
      <c r="B245" t="str">
        <f>IFERROR(IF(A245="","","="&amp;SUBSTITUTE(SUBSTITUTE(SUBSTITUTE(A245,"~","~~"),"*","~*"),"?","~?")),"")</f>
        <v/>
      </c>
      <c r="C245" t="str">
        <f>IF($B245="","",SUMIFS(dAmt,dCust,$B245,dPer,"&gt;="&amp;pyFrom,dPer,"&lt;="&amp;pyTo,dAmt,"&gt;-1E+300",dFlt1,critFlt1,dFlt2,critFlt2,dFlt3,critFlt3))</f>
        <v/>
      </c>
      <c r="D245" t="str">
        <f>IF($B245="","",SUMIFS(dAmt,dCust,$B245,dPer,"&gt;="&amp;cyFrom,dPer,"&lt;="&amp;cyTo,dAmt,"&gt;-1E+300",dFlt1,critFlt1,dFlt2,critFlt2,dFlt3,critFlt3))</f>
        <v/>
      </c>
      <c r="E245" t="str">
        <f>IF($B245="","",SUMIFS(dQty,dCust,$B245,dPer,"&gt;="&amp;pyFrom,dPer,"&lt;="&amp;pyTo,dQty,"&gt;-1E+300",dFlt1,critFlt1,dFlt2,critFlt2,dFlt3,critFlt3))</f>
        <v/>
      </c>
      <c r="F245" t="str">
        <f>IF($B245="","",SUMIFS(dQty,dCust,$B245,dPer,"&gt;="&amp;cyFrom,dPer,"&lt;="&amp;cyTo,dQty,"&gt;-1E+300",dFlt1,critFlt1,dFlt2,critFlt2,dFlt3,critFlt3))</f>
        <v/>
      </c>
      <c r="G245">
        <f>IF($B245="",0,IFERROR(IF(OR(C245&lt;&gt;0,D245&lt;&gt;0,E245&lt;&gt;0,F245&lt;&gt;0),1,0),1))</f>
        <v>0</v>
      </c>
      <c r="H245" t="str">
        <f>IF(OR(G245=0,E245=0),"",C245/E245)</f>
        <v/>
      </c>
      <c r="I245" t="str">
        <f>IF(OR(G245=0,F245=0),"",D245/F245)</f>
        <v/>
      </c>
      <c r="J245" t="str">
        <f>IF(OR(H245="",I245=""),"",IF(H245=0,"",I245/H245-1))</f>
        <v/>
      </c>
      <c r="K245" t="str">
        <f>IF($B245="","",IFERROR(IF(G245=0,-2E+300,CHOOSE(sortIdx,ROUND(D245,0),IF(J245="",-1E+300,ROUND(-J245,6)),IF(J245="",-1E+300,ROUND(J245,6)))),-1.5E+300))</f>
        <v/>
      </c>
      <c r="L245" t="str">
        <f>IF(K245="","",RANK(K245,$K$2:$K$3001,0)+COUNTIF($K$2:K245,K245)-1)</f>
        <v/>
      </c>
    </row>
    <row r="246">
      <c r="B246" t="str">
        <f>IFERROR(IF(A246="","","="&amp;SUBSTITUTE(SUBSTITUTE(SUBSTITUTE(A246,"~","~~"),"*","~*"),"?","~?")),"")</f>
        <v/>
      </c>
      <c r="C246" t="str">
        <f>IF($B246="","",SUMIFS(dAmt,dCust,$B246,dPer,"&gt;="&amp;pyFrom,dPer,"&lt;="&amp;pyTo,dAmt,"&gt;-1E+300",dFlt1,critFlt1,dFlt2,critFlt2,dFlt3,critFlt3))</f>
        <v/>
      </c>
      <c r="D246" t="str">
        <f>IF($B246="","",SUMIFS(dAmt,dCust,$B246,dPer,"&gt;="&amp;cyFrom,dPer,"&lt;="&amp;cyTo,dAmt,"&gt;-1E+300",dFlt1,critFlt1,dFlt2,critFlt2,dFlt3,critFlt3))</f>
        <v/>
      </c>
      <c r="E246" t="str">
        <f>IF($B246="","",SUMIFS(dQty,dCust,$B246,dPer,"&gt;="&amp;pyFrom,dPer,"&lt;="&amp;pyTo,dQty,"&gt;-1E+300",dFlt1,critFlt1,dFlt2,critFlt2,dFlt3,critFlt3))</f>
        <v/>
      </c>
      <c r="F246" t="str">
        <f>IF($B246="","",SUMIFS(dQty,dCust,$B246,dPer,"&gt;="&amp;cyFrom,dPer,"&lt;="&amp;cyTo,dQty,"&gt;-1E+300",dFlt1,critFlt1,dFlt2,critFlt2,dFlt3,critFlt3))</f>
        <v/>
      </c>
      <c r="G246">
        <f>IF($B246="",0,IFERROR(IF(OR(C246&lt;&gt;0,D246&lt;&gt;0,E246&lt;&gt;0,F246&lt;&gt;0),1,0),1))</f>
        <v>0</v>
      </c>
      <c r="H246" t="str">
        <f>IF(OR(G246=0,E246=0),"",C246/E246)</f>
        <v/>
      </c>
      <c r="I246" t="str">
        <f>IF(OR(G246=0,F246=0),"",D246/F246)</f>
        <v/>
      </c>
      <c r="J246" t="str">
        <f>IF(OR(H246="",I246=""),"",IF(H246=0,"",I246/H246-1))</f>
        <v/>
      </c>
      <c r="K246" t="str">
        <f>IF($B246="","",IFERROR(IF(G246=0,-2E+300,CHOOSE(sortIdx,ROUND(D246,0),IF(J246="",-1E+300,ROUND(-J246,6)),IF(J246="",-1E+300,ROUND(J246,6)))),-1.5E+300))</f>
        <v/>
      </c>
      <c r="L246" t="str">
        <f>IF(K246="","",RANK(K246,$K$2:$K$3001,0)+COUNTIF($K$2:K246,K246)-1)</f>
        <v/>
      </c>
    </row>
    <row r="247">
      <c r="B247" t="str">
        <f>IFERROR(IF(A247="","","="&amp;SUBSTITUTE(SUBSTITUTE(SUBSTITUTE(A247,"~","~~"),"*","~*"),"?","~?")),"")</f>
        <v/>
      </c>
      <c r="C247" t="str">
        <f>IF($B247="","",SUMIFS(dAmt,dCust,$B247,dPer,"&gt;="&amp;pyFrom,dPer,"&lt;="&amp;pyTo,dAmt,"&gt;-1E+300",dFlt1,critFlt1,dFlt2,critFlt2,dFlt3,critFlt3))</f>
        <v/>
      </c>
      <c r="D247" t="str">
        <f>IF($B247="","",SUMIFS(dAmt,dCust,$B247,dPer,"&gt;="&amp;cyFrom,dPer,"&lt;="&amp;cyTo,dAmt,"&gt;-1E+300",dFlt1,critFlt1,dFlt2,critFlt2,dFlt3,critFlt3))</f>
        <v/>
      </c>
      <c r="E247" t="str">
        <f>IF($B247="","",SUMIFS(dQty,dCust,$B247,dPer,"&gt;="&amp;pyFrom,dPer,"&lt;="&amp;pyTo,dQty,"&gt;-1E+300",dFlt1,critFlt1,dFlt2,critFlt2,dFlt3,critFlt3))</f>
        <v/>
      </c>
      <c r="F247" t="str">
        <f>IF($B247="","",SUMIFS(dQty,dCust,$B247,dPer,"&gt;="&amp;cyFrom,dPer,"&lt;="&amp;cyTo,dQty,"&gt;-1E+300",dFlt1,critFlt1,dFlt2,critFlt2,dFlt3,critFlt3))</f>
        <v/>
      </c>
      <c r="G247">
        <f>IF($B247="",0,IFERROR(IF(OR(C247&lt;&gt;0,D247&lt;&gt;0,E247&lt;&gt;0,F247&lt;&gt;0),1,0),1))</f>
        <v>0</v>
      </c>
      <c r="H247" t="str">
        <f>IF(OR(G247=0,E247=0),"",C247/E247)</f>
        <v/>
      </c>
      <c r="I247" t="str">
        <f>IF(OR(G247=0,F247=0),"",D247/F247)</f>
        <v/>
      </c>
      <c r="J247" t="str">
        <f>IF(OR(H247="",I247=""),"",IF(H247=0,"",I247/H247-1))</f>
        <v/>
      </c>
      <c r="K247" t="str">
        <f>IF($B247="","",IFERROR(IF(G247=0,-2E+300,CHOOSE(sortIdx,ROUND(D247,0),IF(J247="",-1E+300,ROUND(-J247,6)),IF(J247="",-1E+300,ROUND(J247,6)))),-1.5E+300))</f>
        <v/>
      </c>
      <c r="L247" t="str">
        <f>IF(K247="","",RANK(K247,$K$2:$K$3001,0)+COUNTIF($K$2:K247,K247)-1)</f>
        <v/>
      </c>
    </row>
    <row r="248">
      <c r="B248" t="str">
        <f>IFERROR(IF(A248="","","="&amp;SUBSTITUTE(SUBSTITUTE(SUBSTITUTE(A248,"~","~~"),"*","~*"),"?","~?")),"")</f>
        <v/>
      </c>
      <c r="C248" t="str">
        <f>IF($B248="","",SUMIFS(dAmt,dCust,$B248,dPer,"&gt;="&amp;pyFrom,dPer,"&lt;="&amp;pyTo,dAmt,"&gt;-1E+300",dFlt1,critFlt1,dFlt2,critFlt2,dFlt3,critFlt3))</f>
        <v/>
      </c>
      <c r="D248" t="str">
        <f>IF($B248="","",SUMIFS(dAmt,dCust,$B248,dPer,"&gt;="&amp;cyFrom,dPer,"&lt;="&amp;cyTo,dAmt,"&gt;-1E+300",dFlt1,critFlt1,dFlt2,critFlt2,dFlt3,critFlt3))</f>
        <v/>
      </c>
      <c r="E248" t="str">
        <f>IF($B248="","",SUMIFS(dQty,dCust,$B248,dPer,"&gt;="&amp;pyFrom,dPer,"&lt;="&amp;pyTo,dQty,"&gt;-1E+300",dFlt1,critFlt1,dFlt2,critFlt2,dFlt3,critFlt3))</f>
        <v/>
      </c>
      <c r="F248" t="str">
        <f>IF($B248="","",SUMIFS(dQty,dCust,$B248,dPer,"&gt;="&amp;cyFrom,dPer,"&lt;="&amp;cyTo,dQty,"&gt;-1E+300",dFlt1,critFlt1,dFlt2,critFlt2,dFlt3,critFlt3))</f>
        <v/>
      </c>
      <c r="G248">
        <f>IF($B248="",0,IFERROR(IF(OR(C248&lt;&gt;0,D248&lt;&gt;0,E248&lt;&gt;0,F248&lt;&gt;0),1,0),1))</f>
        <v>0</v>
      </c>
      <c r="H248" t="str">
        <f>IF(OR(G248=0,E248=0),"",C248/E248)</f>
        <v/>
      </c>
      <c r="I248" t="str">
        <f>IF(OR(G248=0,F248=0),"",D248/F248)</f>
        <v/>
      </c>
      <c r="J248" t="str">
        <f>IF(OR(H248="",I248=""),"",IF(H248=0,"",I248/H248-1))</f>
        <v/>
      </c>
      <c r="K248" t="str">
        <f>IF($B248="","",IFERROR(IF(G248=0,-2E+300,CHOOSE(sortIdx,ROUND(D248,0),IF(J248="",-1E+300,ROUND(-J248,6)),IF(J248="",-1E+300,ROUND(J248,6)))),-1.5E+300))</f>
        <v/>
      </c>
      <c r="L248" t="str">
        <f>IF(K248="","",RANK(K248,$K$2:$K$3001,0)+COUNTIF($K$2:K248,K248)-1)</f>
        <v/>
      </c>
    </row>
    <row r="249">
      <c r="B249" t="str">
        <f>IFERROR(IF(A249="","","="&amp;SUBSTITUTE(SUBSTITUTE(SUBSTITUTE(A249,"~","~~"),"*","~*"),"?","~?")),"")</f>
        <v/>
      </c>
      <c r="C249" t="str">
        <f>IF($B249="","",SUMIFS(dAmt,dCust,$B249,dPer,"&gt;="&amp;pyFrom,dPer,"&lt;="&amp;pyTo,dAmt,"&gt;-1E+300",dFlt1,critFlt1,dFlt2,critFlt2,dFlt3,critFlt3))</f>
        <v/>
      </c>
      <c r="D249" t="str">
        <f>IF($B249="","",SUMIFS(dAmt,dCust,$B249,dPer,"&gt;="&amp;cyFrom,dPer,"&lt;="&amp;cyTo,dAmt,"&gt;-1E+300",dFlt1,critFlt1,dFlt2,critFlt2,dFlt3,critFlt3))</f>
        <v/>
      </c>
      <c r="E249" t="str">
        <f>IF($B249="","",SUMIFS(dQty,dCust,$B249,dPer,"&gt;="&amp;pyFrom,dPer,"&lt;="&amp;pyTo,dQty,"&gt;-1E+300",dFlt1,critFlt1,dFlt2,critFlt2,dFlt3,critFlt3))</f>
        <v/>
      </c>
      <c r="F249" t="str">
        <f>IF($B249="","",SUMIFS(dQty,dCust,$B249,dPer,"&gt;="&amp;cyFrom,dPer,"&lt;="&amp;cyTo,dQty,"&gt;-1E+300",dFlt1,critFlt1,dFlt2,critFlt2,dFlt3,critFlt3))</f>
        <v/>
      </c>
      <c r="G249">
        <f>IF($B249="",0,IFERROR(IF(OR(C249&lt;&gt;0,D249&lt;&gt;0,E249&lt;&gt;0,F249&lt;&gt;0),1,0),1))</f>
        <v>0</v>
      </c>
      <c r="H249" t="str">
        <f>IF(OR(G249=0,E249=0),"",C249/E249)</f>
        <v/>
      </c>
      <c r="I249" t="str">
        <f>IF(OR(G249=0,F249=0),"",D249/F249)</f>
        <v/>
      </c>
      <c r="J249" t="str">
        <f>IF(OR(H249="",I249=""),"",IF(H249=0,"",I249/H249-1))</f>
        <v/>
      </c>
      <c r="K249" t="str">
        <f>IF($B249="","",IFERROR(IF(G249=0,-2E+300,CHOOSE(sortIdx,ROUND(D249,0),IF(J249="",-1E+300,ROUND(-J249,6)),IF(J249="",-1E+300,ROUND(J249,6)))),-1.5E+300))</f>
        <v/>
      </c>
      <c r="L249" t="str">
        <f>IF(K249="","",RANK(K249,$K$2:$K$3001,0)+COUNTIF($K$2:K249,K249)-1)</f>
        <v/>
      </c>
    </row>
    <row r="250">
      <c r="B250" t="str">
        <f>IFERROR(IF(A250="","","="&amp;SUBSTITUTE(SUBSTITUTE(SUBSTITUTE(A250,"~","~~"),"*","~*"),"?","~?")),"")</f>
        <v/>
      </c>
      <c r="C250" t="str">
        <f>IF($B250="","",SUMIFS(dAmt,dCust,$B250,dPer,"&gt;="&amp;pyFrom,dPer,"&lt;="&amp;pyTo,dAmt,"&gt;-1E+300",dFlt1,critFlt1,dFlt2,critFlt2,dFlt3,critFlt3))</f>
        <v/>
      </c>
      <c r="D250" t="str">
        <f>IF($B250="","",SUMIFS(dAmt,dCust,$B250,dPer,"&gt;="&amp;cyFrom,dPer,"&lt;="&amp;cyTo,dAmt,"&gt;-1E+300",dFlt1,critFlt1,dFlt2,critFlt2,dFlt3,critFlt3))</f>
        <v/>
      </c>
      <c r="E250" t="str">
        <f>IF($B250="","",SUMIFS(dQty,dCust,$B250,dPer,"&gt;="&amp;pyFrom,dPer,"&lt;="&amp;pyTo,dQty,"&gt;-1E+300",dFlt1,critFlt1,dFlt2,critFlt2,dFlt3,critFlt3))</f>
        <v/>
      </c>
      <c r="F250" t="str">
        <f>IF($B250="","",SUMIFS(dQty,dCust,$B250,dPer,"&gt;="&amp;cyFrom,dPer,"&lt;="&amp;cyTo,dQty,"&gt;-1E+300",dFlt1,critFlt1,dFlt2,critFlt2,dFlt3,critFlt3))</f>
        <v/>
      </c>
      <c r="G250">
        <f>IF($B250="",0,IFERROR(IF(OR(C250&lt;&gt;0,D250&lt;&gt;0,E250&lt;&gt;0,F250&lt;&gt;0),1,0),1))</f>
        <v>0</v>
      </c>
      <c r="H250" t="str">
        <f>IF(OR(G250=0,E250=0),"",C250/E250)</f>
        <v/>
      </c>
      <c r="I250" t="str">
        <f>IF(OR(G250=0,F250=0),"",D250/F250)</f>
        <v/>
      </c>
      <c r="J250" t="str">
        <f>IF(OR(H250="",I250=""),"",IF(H250=0,"",I250/H250-1))</f>
        <v/>
      </c>
      <c r="K250" t="str">
        <f>IF($B250="","",IFERROR(IF(G250=0,-2E+300,CHOOSE(sortIdx,ROUND(D250,0),IF(J250="",-1E+300,ROUND(-J250,6)),IF(J250="",-1E+300,ROUND(J250,6)))),-1.5E+300))</f>
        <v/>
      </c>
      <c r="L250" t="str">
        <f>IF(K250="","",RANK(K250,$K$2:$K$3001,0)+COUNTIF($K$2:K250,K250)-1)</f>
        <v/>
      </c>
    </row>
    <row r="251">
      <c r="B251" t="str">
        <f>IFERROR(IF(A251="","","="&amp;SUBSTITUTE(SUBSTITUTE(SUBSTITUTE(A251,"~","~~"),"*","~*"),"?","~?")),"")</f>
        <v/>
      </c>
      <c r="C251" t="str">
        <f>IF($B251="","",SUMIFS(dAmt,dCust,$B251,dPer,"&gt;="&amp;pyFrom,dPer,"&lt;="&amp;pyTo,dAmt,"&gt;-1E+300",dFlt1,critFlt1,dFlt2,critFlt2,dFlt3,critFlt3))</f>
        <v/>
      </c>
      <c r="D251" t="str">
        <f>IF($B251="","",SUMIFS(dAmt,dCust,$B251,dPer,"&gt;="&amp;cyFrom,dPer,"&lt;="&amp;cyTo,dAmt,"&gt;-1E+300",dFlt1,critFlt1,dFlt2,critFlt2,dFlt3,critFlt3))</f>
        <v/>
      </c>
      <c r="E251" t="str">
        <f>IF($B251="","",SUMIFS(dQty,dCust,$B251,dPer,"&gt;="&amp;pyFrom,dPer,"&lt;="&amp;pyTo,dQty,"&gt;-1E+300",dFlt1,critFlt1,dFlt2,critFlt2,dFlt3,critFlt3))</f>
        <v/>
      </c>
      <c r="F251" t="str">
        <f>IF($B251="","",SUMIFS(dQty,dCust,$B251,dPer,"&gt;="&amp;cyFrom,dPer,"&lt;="&amp;cyTo,dQty,"&gt;-1E+300",dFlt1,critFlt1,dFlt2,critFlt2,dFlt3,critFlt3))</f>
        <v/>
      </c>
      <c r="G251">
        <f>IF($B251="",0,IFERROR(IF(OR(C251&lt;&gt;0,D251&lt;&gt;0,E251&lt;&gt;0,F251&lt;&gt;0),1,0),1))</f>
        <v>0</v>
      </c>
      <c r="H251" t="str">
        <f>IF(OR(G251=0,E251=0),"",C251/E251)</f>
        <v/>
      </c>
      <c r="I251" t="str">
        <f>IF(OR(G251=0,F251=0),"",D251/F251)</f>
        <v/>
      </c>
      <c r="J251" t="str">
        <f>IF(OR(H251="",I251=""),"",IF(H251=0,"",I251/H251-1))</f>
        <v/>
      </c>
      <c r="K251" t="str">
        <f>IF($B251="","",IFERROR(IF(G251=0,-2E+300,CHOOSE(sortIdx,ROUND(D251,0),IF(J251="",-1E+300,ROUND(-J251,6)),IF(J251="",-1E+300,ROUND(J251,6)))),-1.5E+300))</f>
        <v/>
      </c>
      <c r="L251" t="str">
        <f>IF(K251="","",RANK(K251,$K$2:$K$3001,0)+COUNTIF($K$2:K251,K251)-1)</f>
        <v/>
      </c>
    </row>
    <row r="252">
      <c r="B252" t="str">
        <f>IFERROR(IF(A252="","","="&amp;SUBSTITUTE(SUBSTITUTE(SUBSTITUTE(A252,"~","~~"),"*","~*"),"?","~?")),"")</f>
        <v/>
      </c>
      <c r="C252" t="str">
        <f>IF($B252="","",SUMIFS(dAmt,dCust,$B252,dPer,"&gt;="&amp;pyFrom,dPer,"&lt;="&amp;pyTo,dAmt,"&gt;-1E+300",dFlt1,critFlt1,dFlt2,critFlt2,dFlt3,critFlt3))</f>
        <v/>
      </c>
      <c r="D252" t="str">
        <f>IF($B252="","",SUMIFS(dAmt,dCust,$B252,dPer,"&gt;="&amp;cyFrom,dPer,"&lt;="&amp;cyTo,dAmt,"&gt;-1E+300",dFlt1,critFlt1,dFlt2,critFlt2,dFlt3,critFlt3))</f>
        <v/>
      </c>
      <c r="E252" t="str">
        <f>IF($B252="","",SUMIFS(dQty,dCust,$B252,dPer,"&gt;="&amp;pyFrom,dPer,"&lt;="&amp;pyTo,dQty,"&gt;-1E+300",dFlt1,critFlt1,dFlt2,critFlt2,dFlt3,critFlt3))</f>
        <v/>
      </c>
      <c r="F252" t="str">
        <f>IF($B252="","",SUMIFS(dQty,dCust,$B252,dPer,"&gt;="&amp;cyFrom,dPer,"&lt;="&amp;cyTo,dQty,"&gt;-1E+300",dFlt1,critFlt1,dFlt2,critFlt2,dFlt3,critFlt3))</f>
        <v/>
      </c>
      <c r="G252">
        <f>IF($B252="",0,IFERROR(IF(OR(C252&lt;&gt;0,D252&lt;&gt;0,E252&lt;&gt;0,F252&lt;&gt;0),1,0),1))</f>
        <v>0</v>
      </c>
      <c r="H252" t="str">
        <f>IF(OR(G252=0,E252=0),"",C252/E252)</f>
        <v/>
      </c>
      <c r="I252" t="str">
        <f>IF(OR(G252=0,F252=0),"",D252/F252)</f>
        <v/>
      </c>
      <c r="J252" t="str">
        <f>IF(OR(H252="",I252=""),"",IF(H252=0,"",I252/H252-1))</f>
        <v/>
      </c>
      <c r="K252" t="str">
        <f>IF($B252="","",IFERROR(IF(G252=0,-2E+300,CHOOSE(sortIdx,ROUND(D252,0),IF(J252="",-1E+300,ROUND(-J252,6)),IF(J252="",-1E+300,ROUND(J252,6)))),-1.5E+300))</f>
        <v/>
      </c>
      <c r="L252" t="str">
        <f>IF(K252="","",RANK(K252,$K$2:$K$3001,0)+COUNTIF($K$2:K252,K252)-1)</f>
        <v/>
      </c>
    </row>
    <row r="253">
      <c r="B253" t="str">
        <f>IFERROR(IF(A253="","","="&amp;SUBSTITUTE(SUBSTITUTE(SUBSTITUTE(A253,"~","~~"),"*","~*"),"?","~?")),"")</f>
        <v/>
      </c>
      <c r="C253" t="str">
        <f>IF($B253="","",SUMIFS(dAmt,dCust,$B253,dPer,"&gt;="&amp;pyFrom,dPer,"&lt;="&amp;pyTo,dAmt,"&gt;-1E+300",dFlt1,critFlt1,dFlt2,critFlt2,dFlt3,critFlt3))</f>
        <v/>
      </c>
      <c r="D253" t="str">
        <f>IF($B253="","",SUMIFS(dAmt,dCust,$B253,dPer,"&gt;="&amp;cyFrom,dPer,"&lt;="&amp;cyTo,dAmt,"&gt;-1E+300",dFlt1,critFlt1,dFlt2,critFlt2,dFlt3,critFlt3))</f>
        <v/>
      </c>
      <c r="E253" t="str">
        <f>IF($B253="","",SUMIFS(dQty,dCust,$B253,dPer,"&gt;="&amp;pyFrom,dPer,"&lt;="&amp;pyTo,dQty,"&gt;-1E+300",dFlt1,critFlt1,dFlt2,critFlt2,dFlt3,critFlt3))</f>
        <v/>
      </c>
      <c r="F253" t="str">
        <f>IF($B253="","",SUMIFS(dQty,dCust,$B253,dPer,"&gt;="&amp;cyFrom,dPer,"&lt;="&amp;cyTo,dQty,"&gt;-1E+300",dFlt1,critFlt1,dFlt2,critFlt2,dFlt3,critFlt3))</f>
        <v/>
      </c>
      <c r="G253">
        <f>IF($B253="",0,IFERROR(IF(OR(C253&lt;&gt;0,D253&lt;&gt;0,E253&lt;&gt;0,F253&lt;&gt;0),1,0),1))</f>
        <v>0</v>
      </c>
      <c r="H253" t="str">
        <f>IF(OR(G253=0,E253=0),"",C253/E253)</f>
        <v/>
      </c>
      <c r="I253" t="str">
        <f>IF(OR(G253=0,F253=0),"",D253/F253)</f>
        <v/>
      </c>
      <c r="J253" t="str">
        <f>IF(OR(H253="",I253=""),"",IF(H253=0,"",I253/H253-1))</f>
        <v/>
      </c>
      <c r="K253" t="str">
        <f>IF($B253="","",IFERROR(IF(G253=0,-2E+300,CHOOSE(sortIdx,ROUND(D253,0),IF(J253="",-1E+300,ROUND(-J253,6)),IF(J253="",-1E+300,ROUND(J253,6)))),-1.5E+300))</f>
        <v/>
      </c>
      <c r="L253" t="str">
        <f>IF(K253="","",RANK(K253,$K$2:$K$3001,0)+COUNTIF($K$2:K253,K253)-1)</f>
        <v/>
      </c>
    </row>
    <row r="254">
      <c r="B254" t="str">
        <f>IFERROR(IF(A254="","","="&amp;SUBSTITUTE(SUBSTITUTE(SUBSTITUTE(A254,"~","~~"),"*","~*"),"?","~?")),"")</f>
        <v/>
      </c>
      <c r="C254" t="str">
        <f>IF($B254="","",SUMIFS(dAmt,dCust,$B254,dPer,"&gt;="&amp;pyFrom,dPer,"&lt;="&amp;pyTo,dAmt,"&gt;-1E+300",dFlt1,critFlt1,dFlt2,critFlt2,dFlt3,critFlt3))</f>
        <v/>
      </c>
      <c r="D254" t="str">
        <f>IF($B254="","",SUMIFS(dAmt,dCust,$B254,dPer,"&gt;="&amp;cyFrom,dPer,"&lt;="&amp;cyTo,dAmt,"&gt;-1E+300",dFlt1,critFlt1,dFlt2,critFlt2,dFlt3,critFlt3))</f>
        <v/>
      </c>
      <c r="E254" t="str">
        <f>IF($B254="","",SUMIFS(dQty,dCust,$B254,dPer,"&gt;="&amp;pyFrom,dPer,"&lt;="&amp;pyTo,dQty,"&gt;-1E+300",dFlt1,critFlt1,dFlt2,critFlt2,dFlt3,critFlt3))</f>
        <v/>
      </c>
      <c r="F254" t="str">
        <f>IF($B254="","",SUMIFS(dQty,dCust,$B254,dPer,"&gt;="&amp;cyFrom,dPer,"&lt;="&amp;cyTo,dQty,"&gt;-1E+300",dFlt1,critFlt1,dFlt2,critFlt2,dFlt3,critFlt3))</f>
        <v/>
      </c>
      <c r="G254">
        <f>IF($B254="",0,IFERROR(IF(OR(C254&lt;&gt;0,D254&lt;&gt;0,E254&lt;&gt;0,F254&lt;&gt;0),1,0),1))</f>
        <v>0</v>
      </c>
      <c r="H254" t="str">
        <f>IF(OR(G254=0,E254=0),"",C254/E254)</f>
        <v/>
      </c>
      <c r="I254" t="str">
        <f>IF(OR(G254=0,F254=0),"",D254/F254)</f>
        <v/>
      </c>
      <c r="J254" t="str">
        <f>IF(OR(H254="",I254=""),"",IF(H254=0,"",I254/H254-1))</f>
        <v/>
      </c>
      <c r="K254" t="str">
        <f>IF($B254="","",IFERROR(IF(G254=0,-2E+300,CHOOSE(sortIdx,ROUND(D254,0),IF(J254="",-1E+300,ROUND(-J254,6)),IF(J254="",-1E+300,ROUND(J254,6)))),-1.5E+300))</f>
        <v/>
      </c>
      <c r="L254" t="str">
        <f>IF(K254="","",RANK(K254,$K$2:$K$3001,0)+COUNTIF($K$2:K254,K254)-1)</f>
        <v/>
      </c>
    </row>
    <row r="255">
      <c r="B255" t="str">
        <f>IFERROR(IF(A255="","","="&amp;SUBSTITUTE(SUBSTITUTE(SUBSTITUTE(A255,"~","~~"),"*","~*"),"?","~?")),"")</f>
        <v/>
      </c>
      <c r="C255" t="str">
        <f>IF($B255="","",SUMIFS(dAmt,dCust,$B255,dPer,"&gt;="&amp;pyFrom,dPer,"&lt;="&amp;pyTo,dAmt,"&gt;-1E+300",dFlt1,critFlt1,dFlt2,critFlt2,dFlt3,critFlt3))</f>
        <v/>
      </c>
      <c r="D255" t="str">
        <f>IF($B255="","",SUMIFS(dAmt,dCust,$B255,dPer,"&gt;="&amp;cyFrom,dPer,"&lt;="&amp;cyTo,dAmt,"&gt;-1E+300",dFlt1,critFlt1,dFlt2,critFlt2,dFlt3,critFlt3))</f>
        <v/>
      </c>
      <c r="E255" t="str">
        <f>IF($B255="","",SUMIFS(dQty,dCust,$B255,dPer,"&gt;="&amp;pyFrom,dPer,"&lt;="&amp;pyTo,dQty,"&gt;-1E+300",dFlt1,critFlt1,dFlt2,critFlt2,dFlt3,critFlt3))</f>
        <v/>
      </c>
      <c r="F255" t="str">
        <f>IF($B255="","",SUMIFS(dQty,dCust,$B255,dPer,"&gt;="&amp;cyFrom,dPer,"&lt;="&amp;cyTo,dQty,"&gt;-1E+300",dFlt1,critFlt1,dFlt2,critFlt2,dFlt3,critFlt3))</f>
        <v/>
      </c>
      <c r="G255">
        <f>IF($B255="",0,IFERROR(IF(OR(C255&lt;&gt;0,D255&lt;&gt;0,E255&lt;&gt;0,F255&lt;&gt;0),1,0),1))</f>
        <v>0</v>
      </c>
      <c r="H255" t="str">
        <f>IF(OR(G255=0,E255=0),"",C255/E255)</f>
        <v/>
      </c>
      <c r="I255" t="str">
        <f>IF(OR(G255=0,F255=0),"",D255/F255)</f>
        <v/>
      </c>
      <c r="J255" t="str">
        <f>IF(OR(H255="",I255=""),"",IF(H255=0,"",I255/H255-1))</f>
        <v/>
      </c>
      <c r="K255" t="str">
        <f>IF($B255="","",IFERROR(IF(G255=0,-2E+300,CHOOSE(sortIdx,ROUND(D255,0),IF(J255="",-1E+300,ROUND(-J255,6)),IF(J255="",-1E+300,ROUND(J255,6)))),-1.5E+300))</f>
        <v/>
      </c>
      <c r="L255" t="str">
        <f>IF(K255="","",RANK(K255,$K$2:$K$3001,0)+COUNTIF($K$2:K255,K255)-1)</f>
        <v/>
      </c>
    </row>
    <row r="256">
      <c r="B256" t="str">
        <f>IFERROR(IF(A256="","","="&amp;SUBSTITUTE(SUBSTITUTE(SUBSTITUTE(A256,"~","~~"),"*","~*"),"?","~?")),"")</f>
        <v/>
      </c>
      <c r="C256" t="str">
        <f>IF($B256="","",SUMIFS(dAmt,dCust,$B256,dPer,"&gt;="&amp;pyFrom,dPer,"&lt;="&amp;pyTo,dAmt,"&gt;-1E+300",dFlt1,critFlt1,dFlt2,critFlt2,dFlt3,critFlt3))</f>
        <v/>
      </c>
      <c r="D256" t="str">
        <f>IF($B256="","",SUMIFS(dAmt,dCust,$B256,dPer,"&gt;="&amp;cyFrom,dPer,"&lt;="&amp;cyTo,dAmt,"&gt;-1E+300",dFlt1,critFlt1,dFlt2,critFlt2,dFlt3,critFlt3))</f>
        <v/>
      </c>
      <c r="E256" t="str">
        <f>IF($B256="","",SUMIFS(dQty,dCust,$B256,dPer,"&gt;="&amp;pyFrom,dPer,"&lt;="&amp;pyTo,dQty,"&gt;-1E+300",dFlt1,critFlt1,dFlt2,critFlt2,dFlt3,critFlt3))</f>
        <v/>
      </c>
      <c r="F256" t="str">
        <f>IF($B256="","",SUMIFS(dQty,dCust,$B256,dPer,"&gt;="&amp;cyFrom,dPer,"&lt;="&amp;cyTo,dQty,"&gt;-1E+300",dFlt1,critFlt1,dFlt2,critFlt2,dFlt3,critFlt3))</f>
        <v/>
      </c>
      <c r="G256">
        <f>IF($B256="",0,IFERROR(IF(OR(C256&lt;&gt;0,D256&lt;&gt;0,E256&lt;&gt;0,F256&lt;&gt;0),1,0),1))</f>
        <v>0</v>
      </c>
      <c r="H256" t="str">
        <f>IF(OR(G256=0,E256=0),"",C256/E256)</f>
        <v/>
      </c>
      <c r="I256" t="str">
        <f>IF(OR(G256=0,F256=0),"",D256/F256)</f>
        <v/>
      </c>
      <c r="J256" t="str">
        <f>IF(OR(H256="",I256=""),"",IF(H256=0,"",I256/H256-1))</f>
        <v/>
      </c>
      <c r="K256" t="str">
        <f>IF($B256="","",IFERROR(IF(G256=0,-2E+300,CHOOSE(sortIdx,ROUND(D256,0),IF(J256="",-1E+300,ROUND(-J256,6)),IF(J256="",-1E+300,ROUND(J256,6)))),-1.5E+300))</f>
        <v/>
      </c>
      <c r="L256" t="str">
        <f>IF(K256="","",RANK(K256,$K$2:$K$3001,0)+COUNTIF($K$2:K256,K256)-1)</f>
        <v/>
      </c>
    </row>
    <row r="257">
      <c r="B257" t="str">
        <f>IFERROR(IF(A257="","","="&amp;SUBSTITUTE(SUBSTITUTE(SUBSTITUTE(A257,"~","~~"),"*","~*"),"?","~?")),"")</f>
        <v/>
      </c>
      <c r="C257" t="str">
        <f>IF($B257="","",SUMIFS(dAmt,dCust,$B257,dPer,"&gt;="&amp;pyFrom,dPer,"&lt;="&amp;pyTo,dAmt,"&gt;-1E+300",dFlt1,critFlt1,dFlt2,critFlt2,dFlt3,critFlt3))</f>
        <v/>
      </c>
      <c r="D257" t="str">
        <f>IF($B257="","",SUMIFS(dAmt,dCust,$B257,dPer,"&gt;="&amp;cyFrom,dPer,"&lt;="&amp;cyTo,dAmt,"&gt;-1E+300",dFlt1,critFlt1,dFlt2,critFlt2,dFlt3,critFlt3))</f>
        <v/>
      </c>
      <c r="E257" t="str">
        <f>IF($B257="","",SUMIFS(dQty,dCust,$B257,dPer,"&gt;="&amp;pyFrom,dPer,"&lt;="&amp;pyTo,dQty,"&gt;-1E+300",dFlt1,critFlt1,dFlt2,critFlt2,dFlt3,critFlt3))</f>
        <v/>
      </c>
      <c r="F257" t="str">
        <f>IF($B257="","",SUMIFS(dQty,dCust,$B257,dPer,"&gt;="&amp;cyFrom,dPer,"&lt;="&amp;cyTo,dQty,"&gt;-1E+300",dFlt1,critFlt1,dFlt2,critFlt2,dFlt3,critFlt3))</f>
        <v/>
      </c>
      <c r="G257">
        <f>IF($B257="",0,IFERROR(IF(OR(C257&lt;&gt;0,D257&lt;&gt;0,E257&lt;&gt;0,F257&lt;&gt;0),1,0),1))</f>
        <v>0</v>
      </c>
      <c r="H257" t="str">
        <f>IF(OR(G257=0,E257=0),"",C257/E257)</f>
        <v/>
      </c>
      <c r="I257" t="str">
        <f>IF(OR(G257=0,F257=0),"",D257/F257)</f>
        <v/>
      </c>
      <c r="J257" t="str">
        <f>IF(OR(H257="",I257=""),"",IF(H257=0,"",I257/H257-1))</f>
        <v/>
      </c>
      <c r="K257" t="str">
        <f>IF($B257="","",IFERROR(IF(G257=0,-2E+300,CHOOSE(sortIdx,ROUND(D257,0),IF(J257="",-1E+300,ROUND(-J257,6)),IF(J257="",-1E+300,ROUND(J257,6)))),-1.5E+300))</f>
        <v/>
      </c>
      <c r="L257" t="str">
        <f>IF(K257="","",RANK(K257,$K$2:$K$3001,0)+COUNTIF($K$2:K257,K257)-1)</f>
        <v/>
      </c>
    </row>
    <row r="258">
      <c r="B258" t="str">
        <f>IFERROR(IF(A258="","","="&amp;SUBSTITUTE(SUBSTITUTE(SUBSTITUTE(A258,"~","~~"),"*","~*"),"?","~?")),"")</f>
        <v/>
      </c>
      <c r="C258" t="str">
        <f>IF($B258="","",SUMIFS(dAmt,dCust,$B258,dPer,"&gt;="&amp;pyFrom,dPer,"&lt;="&amp;pyTo,dAmt,"&gt;-1E+300",dFlt1,critFlt1,dFlt2,critFlt2,dFlt3,critFlt3))</f>
        <v/>
      </c>
      <c r="D258" t="str">
        <f>IF($B258="","",SUMIFS(dAmt,dCust,$B258,dPer,"&gt;="&amp;cyFrom,dPer,"&lt;="&amp;cyTo,dAmt,"&gt;-1E+300",dFlt1,critFlt1,dFlt2,critFlt2,dFlt3,critFlt3))</f>
        <v/>
      </c>
      <c r="E258" t="str">
        <f>IF($B258="","",SUMIFS(dQty,dCust,$B258,dPer,"&gt;="&amp;pyFrom,dPer,"&lt;="&amp;pyTo,dQty,"&gt;-1E+300",dFlt1,critFlt1,dFlt2,critFlt2,dFlt3,critFlt3))</f>
        <v/>
      </c>
      <c r="F258" t="str">
        <f>IF($B258="","",SUMIFS(dQty,dCust,$B258,dPer,"&gt;="&amp;cyFrom,dPer,"&lt;="&amp;cyTo,dQty,"&gt;-1E+300",dFlt1,critFlt1,dFlt2,critFlt2,dFlt3,critFlt3))</f>
        <v/>
      </c>
      <c r="G258">
        <f>IF($B258="",0,IFERROR(IF(OR(C258&lt;&gt;0,D258&lt;&gt;0,E258&lt;&gt;0,F258&lt;&gt;0),1,0),1))</f>
        <v>0</v>
      </c>
      <c r="H258" t="str">
        <f>IF(OR(G258=0,E258=0),"",C258/E258)</f>
        <v/>
      </c>
      <c r="I258" t="str">
        <f>IF(OR(G258=0,F258=0),"",D258/F258)</f>
        <v/>
      </c>
      <c r="J258" t="str">
        <f>IF(OR(H258="",I258=""),"",IF(H258=0,"",I258/H258-1))</f>
        <v/>
      </c>
      <c r="K258" t="str">
        <f>IF($B258="","",IFERROR(IF(G258=0,-2E+300,CHOOSE(sortIdx,ROUND(D258,0),IF(J258="",-1E+300,ROUND(-J258,6)),IF(J258="",-1E+300,ROUND(J258,6)))),-1.5E+300))</f>
        <v/>
      </c>
      <c r="L258" t="str">
        <f>IF(K258="","",RANK(K258,$K$2:$K$3001,0)+COUNTIF($K$2:K258,K258)-1)</f>
        <v/>
      </c>
    </row>
    <row r="259">
      <c r="B259" t="str">
        <f>IFERROR(IF(A259="","","="&amp;SUBSTITUTE(SUBSTITUTE(SUBSTITUTE(A259,"~","~~"),"*","~*"),"?","~?")),"")</f>
        <v/>
      </c>
      <c r="C259" t="str">
        <f>IF($B259="","",SUMIFS(dAmt,dCust,$B259,dPer,"&gt;="&amp;pyFrom,dPer,"&lt;="&amp;pyTo,dAmt,"&gt;-1E+300",dFlt1,critFlt1,dFlt2,critFlt2,dFlt3,critFlt3))</f>
        <v/>
      </c>
      <c r="D259" t="str">
        <f>IF($B259="","",SUMIFS(dAmt,dCust,$B259,dPer,"&gt;="&amp;cyFrom,dPer,"&lt;="&amp;cyTo,dAmt,"&gt;-1E+300",dFlt1,critFlt1,dFlt2,critFlt2,dFlt3,critFlt3))</f>
        <v/>
      </c>
      <c r="E259" t="str">
        <f>IF($B259="","",SUMIFS(dQty,dCust,$B259,dPer,"&gt;="&amp;pyFrom,dPer,"&lt;="&amp;pyTo,dQty,"&gt;-1E+300",dFlt1,critFlt1,dFlt2,critFlt2,dFlt3,critFlt3))</f>
        <v/>
      </c>
      <c r="F259" t="str">
        <f>IF($B259="","",SUMIFS(dQty,dCust,$B259,dPer,"&gt;="&amp;cyFrom,dPer,"&lt;="&amp;cyTo,dQty,"&gt;-1E+300",dFlt1,critFlt1,dFlt2,critFlt2,dFlt3,critFlt3))</f>
        <v/>
      </c>
      <c r="G259">
        <f>IF($B259="",0,IFERROR(IF(OR(C259&lt;&gt;0,D259&lt;&gt;0,E259&lt;&gt;0,F259&lt;&gt;0),1,0),1))</f>
        <v>0</v>
      </c>
      <c r="H259" t="str">
        <f>IF(OR(G259=0,E259=0),"",C259/E259)</f>
        <v/>
      </c>
      <c r="I259" t="str">
        <f>IF(OR(G259=0,F259=0),"",D259/F259)</f>
        <v/>
      </c>
      <c r="J259" t="str">
        <f>IF(OR(H259="",I259=""),"",IF(H259=0,"",I259/H259-1))</f>
        <v/>
      </c>
      <c r="K259" t="str">
        <f>IF($B259="","",IFERROR(IF(G259=0,-2E+300,CHOOSE(sortIdx,ROUND(D259,0),IF(J259="",-1E+300,ROUND(-J259,6)),IF(J259="",-1E+300,ROUND(J259,6)))),-1.5E+300))</f>
        <v/>
      </c>
      <c r="L259" t="str">
        <f>IF(K259="","",RANK(K259,$K$2:$K$3001,0)+COUNTIF($K$2:K259,K259)-1)</f>
        <v/>
      </c>
    </row>
    <row r="260">
      <c r="B260" t="str">
        <f>IFERROR(IF(A260="","","="&amp;SUBSTITUTE(SUBSTITUTE(SUBSTITUTE(A260,"~","~~"),"*","~*"),"?","~?")),"")</f>
        <v/>
      </c>
      <c r="C260" t="str">
        <f>IF($B260="","",SUMIFS(dAmt,dCust,$B260,dPer,"&gt;="&amp;pyFrom,dPer,"&lt;="&amp;pyTo,dAmt,"&gt;-1E+300",dFlt1,critFlt1,dFlt2,critFlt2,dFlt3,critFlt3))</f>
        <v/>
      </c>
      <c r="D260" t="str">
        <f>IF($B260="","",SUMIFS(dAmt,dCust,$B260,dPer,"&gt;="&amp;cyFrom,dPer,"&lt;="&amp;cyTo,dAmt,"&gt;-1E+300",dFlt1,critFlt1,dFlt2,critFlt2,dFlt3,critFlt3))</f>
        <v/>
      </c>
      <c r="E260" t="str">
        <f>IF($B260="","",SUMIFS(dQty,dCust,$B260,dPer,"&gt;="&amp;pyFrom,dPer,"&lt;="&amp;pyTo,dQty,"&gt;-1E+300",dFlt1,critFlt1,dFlt2,critFlt2,dFlt3,critFlt3))</f>
        <v/>
      </c>
      <c r="F260" t="str">
        <f>IF($B260="","",SUMIFS(dQty,dCust,$B260,dPer,"&gt;="&amp;cyFrom,dPer,"&lt;="&amp;cyTo,dQty,"&gt;-1E+300",dFlt1,critFlt1,dFlt2,critFlt2,dFlt3,critFlt3))</f>
        <v/>
      </c>
      <c r="G260">
        <f>IF($B260="",0,IFERROR(IF(OR(C260&lt;&gt;0,D260&lt;&gt;0,E260&lt;&gt;0,F260&lt;&gt;0),1,0),1))</f>
        <v>0</v>
      </c>
      <c r="H260" t="str">
        <f>IF(OR(G260=0,E260=0),"",C260/E260)</f>
        <v/>
      </c>
      <c r="I260" t="str">
        <f>IF(OR(G260=0,F260=0),"",D260/F260)</f>
        <v/>
      </c>
      <c r="J260" t="str">
        <f>IF(OR(H260="",I260=""),"",IF(H260=0,"",I260/H260-1))</f>
        <v/>
      </c>
      <c r="K260" t="str">
        <f>IF($B260="","",IFERROR(IF(G260=0,-2E+300,CHOOSE(sortIdx,ROUND(D260,0),IF(J260="",-1E+300,ROUND(-J260,6)),IF(J260="",-1E+300,ROUND(J260,6)))),-1.5E+300))</f>
        <v/>
      </c>
      <c r="L260" t="str">
        <f>IF(K260="","",RANK(K260,$K$2:$K$3001,0)+COUNTIF($K$2:K260,K260)-1)</f>
        <v/>
      </c>
    </row>
    <row r="261">
      <c r="B261" t="str">
        <f>IFERROR(IF(A261="","","="&amp;SUBSTITUTE(SUBSTITUTE(SUBSTITUTE(A261,"~","~~"),"*","~*"),"?","~?")),"")</f>
        <v/>
      </c>
      <c r="C261" t="str">
        <f>IF($B261="","",SUMIFS(dAmt,dCust,$B261,dPer,"&gt;="&amp;pyFrom,dPer,"&lt;="&amp;pyTo,dAmt,"&gt;-1E+300",dFlt1,critFlt1,dFlt2,critFlt2,dFlt3,critFlt3))</f>
        <v/>
      </c>
      <c r="D261" t="str">
        <f>IF($B261="","",SUMIFS(dAmt,dCust,$B261,dPer,"&gt;="&amp;cyFrom,dPer,"&lt;="&amp;cyTo,dAmt,"&gt;-1E+300",dFlt1,critFlt1,dFlt2,critFlt2,dFlt3,critFlt3))</f>
        <v/>
      </c>
      <c r="E261" t="str">
        <f>IF($B261="","",SUMIFS(dQty,dCust,$B261,dPer,"&gt;="&amp;pyFrom,dPer,"&lt;="&amp;pyTo,dQty,"&gt;-1E+300",dFlt1,critFlt1,dFlt2,critFlt2,dFlt3,critFlt3))</f>
        <v/>
      </c>
      <c r="F261" t="str">
        <f>IF($B261="","",SUMIFS(dQty,dCust,$B261,dPer,"&gt;="&amp;cyFrom,dPer,"&lt;="&amp;cyTo,dQty,"&gt;-1E+300",dFlt1,critFlt1,dFlt2,critFlt2,dFlt3,critFlt3))</f>
        <v/>
      </c>
      <c r="G261">
        <f>IF($B261="",0,IFERROR(IF(OR(C261&lt;&gt;0,D261&lt;&gt;0,E261&lt;&gt;0,F261&lt;&gt;0),1,0),1))</f>
        <v>0</v>
      </c>
      <c r="H261" t="str">
        <f>IF(OR(G261=0,E261=0),"",C261/E261)</f>
        <v/>
      </c>
      <c r="I261" t="str">
        <f>IF(OR(G261=0,F261=0),"",D261/F261)</f>
        <v/>
      </c>
      <c r="J261" t="str">
        <f>IF(OR(H261="",I261=""),"",IF(H261=0,"",I261/H261-1))</f>
        <v/>
      </c>
      <c r="K261" t="str">
        <f>IF($B261="","",IFERROR(IF(G261=0,-2E+300,CHOOSE(sortIdx,ROUND(D261,0),IF(J261="",-1E+300,ROUND(-J261,6)),IF(J261="",-1E+300,ROUND(J261,6)))),-1.5E+300))</f>
        <v/>
      </c>
      <c r="L261" t="str">
        <f>IF(K261="","",RANK(K261,$K$2:$K$3001,0)+COUNTIF($K$2:K261,K261)-1)</f>
        <v/>
      </c>
    </row>
    <row r="262">
      <c r="B262" t="str">
        <f>IFERROR(IF(A262="","","="&amp;SUBSTITUTE(SUBSTITUTE(SUBSTITUTE(A262,"~","~~"),"*","~*"),"?","~?")),"")</f>
        <v/>
      </c>
      <c r="C262" t="str">
        <f>IF($B262="","",SUMIFS(dAmt,dCust,$B262,dPer,"&gt;="&amp;pyFrom,dPer,"&lt;="&amp;pyTo,dAmt,"&gt;-1E+300",dFlt1,critFlt1,dFlt2,critFlt2,dFlt3,critFlt3))</f>
        <v/>
      </c>
      <c r="D262" t="str">
        <f>IF($B262="","",SUMIFS(dAmt,dCust,$B262,dPer,"&gt;="&amp;cyFrom,dPer,"&lt;="&amp;cyTo,dAmt,"&gt;-1E+300",dFlt1,critFlt1,dFlt2,critFlt2,dFlt3,critFlt3))</f>
        <v/>
      </c>
      <c r="E262" t="str">
        <f>IF($B262="","",SUMIFS(dQty,dCust,$B262,dPer,"&gt;="&amp;pyFrom,dPer,"&lt;="&amp;pyTo,dQty,"&gt;-1E+300",dFlt1,critFlt1,dFlt2,critFlt2,dFlt3,critFlt3))</f>
        <v/>
      </c>
      <c r="F262" t="str">
        <f>IF($B262="","",SUMIFS(dQty,dCust,$B262,dPer,"&gt;="&amp;cyFrom,dPer,"&lt;="&amp;cyTo,dQty,"&gt;-1E+300",dFlt1,critFlt1,dFlt2,critFlt2,dFlt3,critFlt3))</f>
        <v/>
      </c>
      <c r="G262">
        <f>IF($B262="",0,IFERROR(IF(OR(C262&lt;&gt;0,D262&lt;&gt;0,E262&lt;&gt;0,F262&lt;&gt;0),1,0),1))</f>
        <v>0</v>
      </c>
      <c r="H262" t="str">
        <f>IF(OR(G262=0,E262=0),"",C262/E262)</f>
        <v/>
      </c>
      <c r="I262" t="str">
        <f>IF(OR(G262=0,F262=0),"",D262/F262)</f>
        <v/>
      </c>
      <c r="J262" t="str">
        <f>IF(OR(H262="",I262=""),"",IF(H262=0,"",I262/H262-1))</f>
        <v/>
      </c>
      <c r="K262" t="str">
        <f>IF($B262="","",IFERROR(IF(G262=0,-2E+300,CHOOSE(sortIdx,ROUND(D262,0),IF(J262="",-1E+300,ROUND(-J262,6)),IF(J262="",-1E+300,ROUND(J262,6)))),-1.5E+300))</f>
        <v/>
      </c>
      <c r="L262" t="str">
        <f>IF(K262="","",RANK(K262,$K$2:$K$3001,0)+COUNTIF($K$2:K262,K262)-1)</f>
        <v/>
      </c>
    </row>
    <row r="263">
      <c r="B263" t="str">
        <f>IFERROR(IF(A263="","","="&amp;SUBSTITUTE(SUBSTITUTE(SUBSTITUTE(A263,"~","~~"),"*","~*"),"?","~?")),"")</f>
        <v/>
      </c>
      <c r="C263" t="str">
        <f>IF($B263="","",SUMIFS(dAmt,dCust,$B263,dPer,"&gt;="&amp;pyFrom,dPer,"&lt;="&amp;pyTo,dAmt,"&gt;-1E+300",dFlt1,critFlt1,dFlt2,critFlt2,dFlt3,critFlt3))</f>
        <v/>
      </c>
      <c r="D263" t="str">
        <f>IF($B263="","",SUMIFS(dAmt,dCust,$B263,dPer,"&gt;="&amp;cyFrom,dPer,"&lt;="&amp;cyTo,dAmt,"&gt;-1E+300",dFlt1,critFlt1,dFlt2,critFlt2,dFlt3,critFlt3))</f>
        <v/>
      </c>
      <c r="E263" t="str">
        <f>IF($B263="","",SUMIFS(dQty,dCust,$B263,dPer,"&gt;="&amp;pyFrom,dPer,"&lt;="&amp;pyTo,dQty,"&gt;-1E+300",dFlt1,critFlt1,dFlt2,critFlt2,dFlt3,critFlt3))</f>
        <v/>
      </c>
      <c r="F263" t="str">
        <f>IF($B263="","",SUMIFS(dQty,dCust,$B263,dPer,"&gt;="&amp;cyFrom,dPer,"&lt;="&amp;cyTo,dQty,"&gt;-1E+300",dFlt1,critFlt1,dFlt2,critFlt2,dFlt3,critFlt3))</f>
        <v/>
      </c>
      <c r="G263">
        <f>IF($B263="",0,IFERROR(IF(OR(C263&lt;&gt;0,D263&lt;&gt;0,E263&lt;&gt;0,F263&lt;&gt;0),1,0),1))</f>
        <v>0</v>
      </c>
      <c r="H263" t="str">
        <f>IF(OR(G263=0,E263=0),"",C263/E263)</f>
        <v/>
      </c>
      <c r="I263" t="str">
        <f>IF(OR(G263=0,F263=0),"",D263/F263)</f>
        <v/>
      </c>
      <c r="J263" t="str">
        <f>IF(OR(H263="",I263=""),"",IF(H263=0,"",I263/H263-1))</f>
        <v/>
      </c>
      <c r="K263" t="str">
        <f>IF($B263="","",IFERROR(IF(G263=0,-2E+300,CHOOSE(sortIdx,ROUND(D263,0),IF(J263="",-1E+300,ROUND(-J263,6)),IF(J263="",-1E+300,ROUND(J263,6)))),-1.5E+300))</f>
        <v/>
      </c>
      <c r="L263" t="str">
        <f>IF(K263="","",RANK(K263,$K$2:$K$3001,0)+COUNTIF($K$2:K263,K263)-1)</f>
        <v/>
      </c>
    </row>
    <row r="264">
      <c r="B264" t="str">
        <f>IFERROR(IF(A264="","","="&amp;SUBSTITUTE(SUBSTITUTE(SUBSTITUTE(A264,"~","~~"),"*","~*"),"?","~?")),"")</f>
        <v/>
      </c>
      <c r="C264" t="str">
        <f>IF($B264="","",SUMIFS(dAmt,dCust,$B264,dPer,"&gt;="&amp;pyFrom,dPer,"&lt;="&amp;pyTo,dAmt,"&gt;-1E+300",dFlt1,critFlt1,dFlt2,critFlt2,dFlt3,critFlt3))</f>
        <v/>
      </c>
      <c r="D264" t="str">
        <f>IF($B264="","",SUMIFS(dAmt,dCust,$B264,dPer,"&gt;="&amp;cyFrom,dPer,"&lt;="&amp;cyTo,dAmt,"&gt;-1E+300",dFlt1,critFlt1,dFlt2,critFlt2,dFlt3,critFlt3))</f>
        <v/>
      </c>
      <c r="E264" t="str">
        <f>IF($B264="","",SUMIFS(dQty,dCust,$B264,dPer,"&gt;="&amp;pyFrom,dPer,"&lt;="&amp;pyTo,dQty,"&gt;-1E+300",dFlt1,critFlt1,dFlt2,critFlt2,dFlt3,critFlt3))</f>
        <v/>
      </c>
      <c r="F264" t="str">
        <f>IF($B264="","",SUMIFS(dQty,dCust,$B264,dPer,"&gt;="&amp;cyFrom,dPer,"&lt;="&amp;cyTo,dQty,"&gt;-1E+300",dFlt1,critFlt1,dFlt2,critFlt2,dFlt3,critFlt3))</f>
        <v/>
      </c>
      <c r="G264">
        <f>IF($B264="",0,IFERROR(IF(OR(C264&lt;&gt;0,D264&lt;&gt;0,E264&lt;&gt;0,F264&lt;&gt;0),1,0),1))</f>
        <v>0</v>
      </c>
      <c r="H264" t="str">
        <f>IF(OR(G264=0,E264=0),"",C264/E264)</f>
        <v/>
      </c>
      <c r="I264" t="str">
        <f>IF(OR(G264=0,F264=0),"",D264/F264)</f>
        <v/>
      </c>
      <c r="J264" t="str">
        <f>IF(OR(H264="",I264=""),"",IF(H264=0,"",I264/H264-1))</f>
        <v/>
      </c>
      <c r="K264" t="str">
        <f>IF($B264="","",IFERROR(IF(G264=0,-2E+300,CHOOSE(sortIdx,ROUND(D264,0),IF(J264="",-1E+300,ROUND(-J264,6)),IF(J264="",-1E+300,ROUND(J264,6)))),-1.5E+300))</f>
        <v/>
      </c>
      <c r="L264" t="str">
        <f>IF(K264="","",RANK(K264,$K$2:$K$3001,0)+COUNTIF($K$2:K264,K264)-1)</f>
        <v/>
      </c>
    </row>
    <row r="265">
      <c r="B265" t="str">
        <f>IFERROR(IF(A265="","","="&amp;SUBSTITUTE(SUBSTITUTE(SUBSTITUTE(A265,"~","~~"),"*","~*"),"?","~?")),"")</f>
        <v/>
      </c>
      <c r="C265" t="str">
        <f>IF($B265="","",SUMIFS(dAmt,dCust,$B265,dPer,"&gt;="&amp;pyFrom,dPer,"&lt;="&amp;pyTo,dAmt,"&gt;-1E+300",dFlt1,critFlt1,dFlt2,critFlt2,dFlt3,critFlt3))</f>
        <v/>
      </c>
      <c r="D265" t="str">
        <f>IF($B265="","",SUMIFS(dAmt,dCust,$B265,dPer,"&gt;="&amp;cyFrom,dPer,"&lt;="&amp;cyTo,dAmt,"&gt;-1E+300",dFlt1,critFlt1,dFlt2,critFlt2,dFlt3,critFlt3))</f>
        <v/>
      </c>
      <c r="E265" t="str">
        <f>IF($B265="","",SUMIFS(dQty,dCust,$B265,dPer,"&gt;="&amp;pyFrom,dPer,"&lt;="&amp;pyTo,dQty,"&gt;-1E+300",dFlt1,critFlt1,dFlt2,critFlt2,dFlt3,critFlt3))</f>
        <v/>
      </c>
      <c r="F265" t="str">
        <f>IF($B265="","",SUMIFS(dQty,dCust,$B265,dPer,"&gt;="&amp;cyFrom,dPer,"&lt;="&amp;cyTo,dQty,"&gt;-1E+300",dFlt1,critFlt1,dFlt2,critFlt2,dFlt3,critFlt3))</f>
        <v/>
      </c>
      <c r="G265">
        <f>IF($B265="",0,IFERROR(IF(OR(C265&lt;&gt;0,D265&lt;&gt;0,E265&lt;&gt;0,F265&lt;&gt;0),1,0),1))</f>
        <v>0</v>
      </c>
      <c r="H265" t="str">
        <f>IF(OR(G265=0,E265=0),"",C265/E265)</f>
        <v/>
      </c>
      <c r="I265" t="str">
        <f>IF(OR(G265=0,F265=0),"",D265/F265)</f>
        <v/>
      </c>
      <c r="J265" t="str">
        <f>IF(OR(H265="",I265=""),"",IF(H265=0,"",I265/H265-1))</f>
        <v/>
      </c>
      <c r="K265" t="str">
        <f>IF($B265="","",IFERROR(IF(G265=0,-2E+300,CHOOSE(sortIdx,ROUND(D265,0),IF(J265="",-1E+300,ROUND(-J265,6)),IF(J265="",-1E+300,ROUND(J265,6)))),-1.5E+300))</f>
        <v/>
      </c>
      <c r="L265" t="str">
        <f>IF(K265="","",RANK(K265,$K$2:$K$3001,0)+COUNTIF($K$2:K265,K265)-1)</f>
        <v/>
      </c>
    </row>
    <row r="266">
      <c r="B266" t="str">
        <f>IFERROR(IF(A266="","","="&amp;SUBSTITUTE(SUBSTITUTE(SUBSTITUTE(A266,"~","~~"),"*","~*"),"?","~?")),"")</f>
        <v/>
      </c>
      <c r="C266" t="str">
        <f>IF($B266="","",SUMIFS(dAmt,dCust,$B266,dPer,"&gt;="&amp;pyFrom,dPer,"&lt;="&amp;pyTo,dAmt,"&gt;-1E+300",dFlt1,critFlt1,dFlt2,critFlt2,dFlt3,critFlt3))</f>
        <v/>
      </c>
      <c r="D266" t="str">
        <f>IF($B266="","",SUMIFS(dAmt,dCust,$B266,dPer,"&gt;="&amp;cyFrom,dPer,"&lt;="&amp;cyTo,dAmt,"&gt;-1E+300",dFlt1,critFlt1,dFlt2,critFlt2,dFlt3,critFlt3))</f>
        <v/>
      </c>
      <c r="E266" t="str">
        <f>IF($B266="","",SUMIFS(dQty,dCust,$B266,dPer,"&gt;="&amp;pyFrom,dPer,"&lt;="&amp;pyTo,dQty,"&gt;-1E+300",dFlt1,critFlt1,dFlt2,critFlt2,dFlt3,critFlt3))</f>
        <v/>
      </c>
      <c r="F266" t="str">
        <f>IF($B266="","",SUMIFS(dQty,dCust,$B266,dPer,"&gt;="&amp;cyFrom,dPer,"&lt;="&amp;cyTo,dQty,"&gt;-1E+300",dFlt1,critFlt1,dFlt2,critFlt2,dFlt3,critFlt3))</f>
        <v/>
      </c>
      <c r="G266">
        <f>IF($B266="",0,IFERROR(IF(OR(C266&lt;&gt;0,D266&lt;&gt;0,E266&lt;&gt;0,F266&lt;&gt;0),1,0),1))</f>
        <v>0</v>
      </c>
      <c r="H266" t="str">
        <f>IF(OR(G266=0,E266=0),"",C266/E266)</f>
        <v/>
      </c>
      <c r="I266" t="str">
        <f>IF(OR(G266=0,F266=0),"",D266/F266)</f>
        <v/>
      </c>
      <c r="J266" t="str">
        <f>IF(OR(H266="",I266=""),"",IF(H266=0,"",I266/H266-1))</f>
        <v/>
      </c>
      <c r="K266" t="str">
        <f>IF($B266="","",IFERROR(IF(G266=0,-2E+300,CHOOSE(sortIdx,ROUND(D266,0),IF(J266="",-1E+300,ROUND(-J266,6)),IF(J266="",-1E+300,ROUND(J266,6)))),-1.5E+300))</f>
        <v/>
      </c>
      <c r="L266" t="str">
        <f>IF(K266="","",RANK(K266,$K$2:$K$3001,0)+COUNTIF($K$2:K266,K266)-1)</f>
        <v/>
      </c>
    </row>
    <row r="267">
      <c r="B267" t="str">
        <f>IFERROR(IF(A267="","","="&amp;SUBSTITUTE(SUBSTITUTE(SUBSTITUTE(A267,"~","~~"),"*","~*"),"?","~?")),"")</f>
        <v/>
      </c>
      <c r="C267" t="str">
        <f>IF($B267="","",SUMIFS(dAmt,dCust,$B267,dPer,"&gt;="&amp;pyFrom,dPer,"&lt;="&amp;pyTo,dAmt,"&gt;-1E+300",dFlt1,critFlt1,dFlt2,critFlt2,dFlt3,critFlt3))</f>
        <v/>
      </c>
      <c r="D267" t="str">
        <f>IF($B267="","",SUMIFS(dAmt,dCust,$B267,dPer,"&gt;="&amp;cyFrom,dPer,"&lt;="&amp;cyTo,dAmt,"&gt;-1E+300",dFlt1,critFlt1,dFlt2,critFlt2,dFlt3,critFlt3))</f>
        <v/>
      </c>
      <c r="E267" t="str">
        <f>IF($B267="","",SUMIFS(dQty,dCust,$B267,dPer,"&gt;="&amp;pyFrom,dPer,"&lt;="&amp;pyTo,dQty,"&gt;-1E+300",dFlt1,critFlt1,dFlt2,critFlt2,dFlt3,critFlt3))</f>
        <v/>
      </c>
      <c r="F267" t="str">
        <f>IF($B267="","",SUMIFS(dQty,dCust,$B267,dPer,"&gt;="&amp;cyFrom,dPer,"&lt;="&amp;cyTo,dQty,"&gt;-1E+300",dFlt1,critFlt1,dFlt2,critFlt2,dFlt3,critFlt3))</f>
        <v/>
      </c>
      <c r="G267">
        <f>IF($B267="",0,IFERROR(IF(OR(C267&lt;&gt;0,D267&lt;&gt;0,E267&lt;&gt;0,F267&lt;&gt;0),1,0),1))</f>
        <v>0</v>
      </c>
      <c r="H267" t="str">
        <f>IF(OR(G267=0,E267=0),"",C267/E267)</f>
        <v/>
      </c>
      <c r="I267" t="str">
        <f>IF(OR(G267=0,F267=0),"",D267/F267)</f>
        <v/>
      </c>
      <c r="J267" t="str">
        <f>IF(OR(H267="",I267=""),"",IF(H267=0,"",I267/H267-1))</f>
        <v/>
      </c>
      <c r="K267" t="str">
        <f>IF($B267="","",IFERROR(IF(G267=0,-2E+300,CHOOSE(sortIdx,ROUND(D267,0),IF(J267="",-1E+300,ROUND(-J267,6)),IF(J267="",-1E+300,ROUND(J267,6)))),-1.5E+300))</f>
        <v/>
      </c>
      <c r="L267" t="str">
        <f>IF(K267="","",RANK(K267,$K$2:$K$3001,0)+COUNTIF($K$2:K267,K267)-1)</f>
        <v/>
      </c>
    </row>
    <row r="268">
      <c r="B268" t="str">
        <f>IFERROR(IF(A268="","","="&amp;SUBSTITUTE(SUBSTITUTE(SUBSTITUTE(A268,"~","~~"),"*","~*"),"?","~?")),"")</f>
        <v/>
      </c>
      <c r="C268" t="str">
        <f>IF($B268="","",SUMIFS(dAmt,dCust,$B268,dPer,"&gt;="&amp;pyFrom,dPer,"&lt;="&amp;pyTo,dAmt,"&gt;-1E+300",dFlt1,critFlt1,dFlt2,critFlt2,dFlt3,critFlt3))</f>
        <v/>
      </c>
      <c r="D268" t="str">
        <f>IF($B268="","",SUMIFS(dAmt,dCust,$B268,dPer,"&gt;="&amp;cyFrom,dPer,"&lt;="&amp;cyTo,dAmt,"&gt;-1E+300",dFlt1,critFlt1,dFlt2,critFlt2,dFlt3,critFlt3))</f>
        <v/>
      </c>
      <c r="E268" t="str">
        <f>IF($B268="","",SUMIFS(dQty,dCust,$B268,dPer,"&gt;="&amp;pyFrom,dPer,"&lt;="&amp;pyTo,dQty,"&gt;-1E+300",dFlt1,critFlt1,dFlt2,critFlt2,dFlt3,critFlt3))</f>
        <v/>
      </c>
      <c r="F268" t="str">
        <f>IF($B268="","",SUMIFS(dQty,dCust,$B268,dPer,"&gt;="&amp;cyFrom,dPer,"&lt;="&amp;cyTo,dQty,"&gt;-1E+300",dFlt1,critFlt1,dFlt2,critFlt2,dFlt3,critFlt3))</f>
        <v/>
      </c>
      <c r="G268">
        <f>IF($B268="",0,IFERROR(IF(OR(C268&lt;&gt;0,D268&lt;&gt;0,E268&lt;&gt;0,F268&lt;&gt;0),1,0),1))</f>
        <v>0</v>
      </c>
      <c r="H268" t="str">
        <f>IF(OR(G268=0,E268=0),"",C268/E268)</f>
        <v/>
      </c>
      <c r="I268" t="str">
        <f>IF(OR(G268=0,F268=0),"",D268/F268)</f>
        <v/>
      </c>
      <c r="J268" t="str">
        <f>IF(OR(H268="",I268=""),"",IF(H268=0,"",I268/H268-1))</f>
        <v/>
      </c>
      <c r="K268" t="str">
        <f>IF($B268="","",IFERROR(IF(G268=0,-2E+300,CHOOSE(sortIdx,ROUND(D268,0),IF(J268="",-1E+300,ROUND(-J268,6)),IF(J268="",-1E+300,ROUND(J268,6)))),-1.5E+300))</f>
        <v/>
      </c>
      <c r="L268" t="str">
        <f>IF(K268="","",RANK(K268,$K$2:$K$3001,0)+COUNTIF($K$2:K268,K268)-1)</f>
        <v/>
      </c>
    </row>
    <row r="269">
      <c r="B269" t="str">
        <f>IFERROR(IF(A269="","","="&amp;SUBSTITUTE(SUBSTITUTE(SUBSTITUTE(A269,"~","~~"),"*","~*"),"?","~?")),"")</f>
        <v/>
      </c>
      <c r="C269" t="str">
        <f>IF($B269="","",SUMIFS(dAmt,dCust,$B269,dPer,"&gt;="&amp;pyFrom,dPer,"&lt;="&amp;pyTo,dAmt,"&gt;-1E+300",dFlt1,critFlt1,dFlt2,critFlt2,dFlt3,critFlt3))</f>
        <v/>
      </c>
      <c r="D269" t="str">
        <f>IF($B269="","",SUMIFS(dAmt,dCust,$B269,dPer,"&gt;="&amp;cyFrom,dPer,"&lt;="&amp;cyTo,dAmt,"&gt;-1E+300",dFlt1,critFlt1,dFlt2,critFlt2,dFlt3,critFlt3))</f>
        <v/>
      </c>
      <c r="E269" t="str">
        <f>IF($B269="","",SUMIFS(dQty,dCust,$B269,dPer,"&gt;="&amp;pyFrom,dPer,"&lt;="&amp;pyTo,dQty,"&gt;-1E+300",dFlt1,critFlt1,dFlt2,critFlt2,dFlt3,critFlt3))</f>
        <v/>
      </c>
      <c r="F269" t="str">
        <f>IF($B269="","",SUMIFS(dQty,dCust,$B269,dPer,"&gt;="&amp;cyFrom,dPer,"&lt;="&amp;cyTo,dQty,"&gt;-1E+300",dFlt1,critFlt1,dFlt2,critFlt2,dFlt3,critFlt3))</f>
        <v/>
      </c>
      <c r="G269">
        <f>IF($B269="",0,IFERROR(IF(OR(C269&lt;&gt;0,D269&lt;&gt;0,E269&lt;&gt;0,F269&lt;&gt;0),1,0),1))</f>
        <v>0</v>
      </c>
      <c r="H269" t="str">
        <f>IF(OR(G269=0,E269=0),"",C269/E269)</f>
        <v/>
      </c>
      <c r="I269" t="str">
        <f>IF(OR(G269=0,F269=0),"",D269/F269)</f>
        <v/>
      </c>
      <c r="J269" t="str">
        <f>IF(OR(H269="",I269=""),"",IF(H269=0,"",I269/H269-1))</f>
        <v/>
      </c>
      <c r="K269" t="str">
        <f>IF($B269="","",IFERROR(IF(G269=0,-2E+300,CHOOSE(sortIdx,ROUND(D269,0),IF(J269="",-1E+300,ROUND(-J269,6)),IF(J269="",-1E+300,ROUND(J269,6)))),-1.5E+300))</f>
        <v/>
      </c>
      <c r="L269" t="str">
        <f>IF(K269="","",RANK(K269,$K$2:$K$3001,0)+COUNTIF($K$2:K269,K269)-1)</f>
        <v/>
      </c>
    </row>
    <row r="270">
      <c r="B270" t="str">
        <f>IFERROR(IF(A270="","","="&amp;SUBSTITUTE(SUBSTITUTE(SUBSTITUTE(A270,"~","~~"),"*","~*"),"?","~?")),"")</f>
        <v/>
      </c>
      <c r="C270" t="str">
        <f>IF($B270="","",SUMIFS(dAmt,dCust,$B270,dPer,"&gt;="&amp;pyFrom,dPer,"&lt;="&amp;pyTo,dAmt,"&gt;-1E+300",dFlt1,critFlt1,dFlt2,critFlt2,dFlt3,critFlt3))</f>
        <v/>
      </c>
      <c r="D270" t="str">
        <f>IF($B270="","",SUMIFS(dAmt,dCust,$B270,dPer,"&gt;="&amp;cyFrom,dPer,"&lt;="&amp;cyTo,dAmt,"&gt;-1E+300",dFlt1,critFlt1,dFlt2,critFlt2,dFlt3,critFlt3))</f>
        <v/>
      </c>
      <c r="E270" t="str">
        <f>IF($B270="","",SUMIFS(dQty,dCust,$B270,dPer,"&gt;="&amp;pyFrom,dPer,"&lt;="&amp;pyTo,dQty,"&gt;-1E+300",dFlt1,critFlt1,dFlt2,critFlt2,dFlt3,critFlt3))</f>
        <v/>
      </c>
      <c r="F270" t="str">
        <f>IF($B270="","",SUMIFS(dQty,dCust,$B270,dPer,"&gt;="&amp;cyFrom,dPer,"&lt;="&amp;cyTo,dQty,"&gt;-1E+300",dFlt1,critFlt1,dFlt2,critFlt2,dFlt3,critFlt3))</f>
        <v/>
      </c>
      <c r="G270">
        <f>IF($B270="",0,IFERROR(IF(OR(C270&lt;&gt;0,D270&lt;&gt;0,E270&lt;&gt;0,F270&lt;&gt;0),1,0),1))</f>
        <v>0</v>
      </c>
      <c r="H270" t="str">
        <f>IF(OR(G270=0,E270=0),"",C270/E270)</f>
        <v/>
      </c>
      <c r="I270" t="str">
        <f>IF(OR(G270=0,F270=0),"",D270/F270)</f>
        <v/>
      </c>
      <c r="J270" t="str">
        <f>IF(OR(H270="",I270=""),"",IF(H270=0,"",I270/H270-1))</f>
        <v/>
      </c>
      <c r="K270" t="str">
        <f>IF($B270="","",IFERROR(IF(G270=0,-2E+300,CHOOSE(sortIdx,ROUND(D270,0),IF(J270="",-1E+300,ROUND(-J270,6)),IF(J270="",-1E+300,ROUND(J270,6)))),-1.5E+300))</f>
        <v/>
      </c>
      <c r="L270" t="str">
        <f>IF(K270="","",RANK(K270,$K$2:$K$3001,0)+COUNTIF($K$2:K270,K270)-1)</f>
        <v/>
      </c>
    </row>
    <row r="271">
      <c r="B271" t="str">
        <f>IFERROR(IF(A271="","","="&amp;SUBSTITUTE(SUBSTITUTE(SUBSTITUTE(A271,"~","~~"),"*","~*"),"?","~?")),"")</f>
        <v/>
      </c>
      <c r="C271" t="str">
        <f>IF($B271="","",SUMIFS(dAmt,dCust,$B271,dPer,"&gt;="&amp;pyFrom,dPer,"&lt;="&amp;pyTo,dAmt,"&gt;-1E+300",dFlt1,critFlt1,dFlt2,critFlt2,dFlt3,critFlt3))</f>
        <v/>
      </c>
      <c r="D271" t="str">
        <f>IF($B271="","",SUMIFS(dAmt,dCust,$B271,dPer,"&gt;="&amp;cyFrom,dPer,"&lt;="&amp;cyTo,dAmt,"&gt;-1E+300",dFlt1,critFlt1,dFlt2,critFlt2,dFlt3,critFlt3))</f>
        <v/>
      </c>
      <c r="E271" t="str">
        <f>IF($B271="","",SUMIFS(dQty,dCust,$B271,dPer,"&gt;="&amp;pyFrom,dPer,"&lt;="&amp;pyTo,dQty,"&gt;-1E+300",dFlt1,critFlt1,dFlt2,critFlt2,dFlt3,critFlt3))</f>
        <v/>
      </c>
      <c r="F271" t="str">
        <f>IF($B271="","",SUMIFS(dQty,dCust,$B271,dPer,"&gt;="&amp;cyFrom,dPer,"&lt;="&amp;cyTo,dQty,"&gt;-1E+300",dFlt1,critFlt1,dFlt2,critFlt2,dFlt3,critFlt3))</f>
        <v/>
      </c>
      <c r="G271">
        <f>IF($B271="",0,IFERROR(IF(OR(C271&lt;&gt;0,D271&lt;&gt;0,E271&lt;&gt;0,F271&lt;&gt;0),1,0),1))</f>
        <v>0</v>
      </c>
      <c r="H271" t="str">
        <f>IF(OR(G271=0,E271=0),"",C271/E271)</f>
        <v/>
      </c>
      <c r="I271" t="str">
        <f>IF(OR(G271=0,F271=0),"",D271/F271)</f>
        <v/>
      </c>
      <c r="J271" t="str">
        <f>IF(OR(H271="",I271=""),"",IF(H271=0,"",I271/H271-1))</f>
        <v/>
      </c>
      <c r="K271" t="str">
        <f>IF($B271="","",IFERROR(IF(G271=0,-2E+300,CHOOSE(sortIdx,ROUND(D271,0),IF(J271="",-1E+300,ROUND(-J271,6)),IF(J271="",-1E+300,ROUND(J271,6)))),-1.5E+300))</f>
        <v/>
      </c>
      <c r="L271" t="str">
        <f>IF(K271="","",RANK(K271,$K$2:$K$3001,0)+COUNTIF($K$2:K271,K271)-1)</f>
        <v/>
      </c>
    </row>
    <row r="272">
      <c r="B272" t="str">
        <f>IFERROR(IF(A272="","","="&amp;SUBSTITUTE(SUBSTITUTE(SUBSTITUTE(A272,"~","~~"),"*","~*"),"?","~?")),"")</f>
        <v/>
      </c>
      <c r="C272" t="str">
        <f>IF($B272="","",SUMIFS(dAmt,dCust,$B272,dPer,"&gt;="&amp;pyFrom,dPer,"&lt;="&amp;pyTo,dAmt,"&gt;-1E+300",dFlt1,critFlt1,dFlt2,critFlt2,dFlt3,critFlt3))</f>
        <v/>
      </c>
      <c r="D272" t="str">
        <f>IF($B272="","",SUMIFS(dAmt,dCust,$B272,dPer,"&gt;="&amp;cyFrom,dPer,"&lt;="&amp;cyTo,dAmt,"&gt;-1E+300",dFlt1,critFlt1,dFlt2,critFlt2,dFlt3,critFlt3))</f>
        <v/>
      </c>
      <c r="E272" t="str">
        <f>IF($B272="","",SUMIFS(dQty,dCust,$B272,dPer,"&gt;="&amp;pyFrom,dPer,"&lt;="&amp;pyTo,dQty,"&gt;-1E+300",dFlt1,critFlt1,dFlt2,critFlt2,dFlt3,critFlt3))</f>
        <v/>
      </c>
      <c r="F272" t="str">
        <f>IF($B272="","",SUMIFS(dQty,dCust,$B272,dPer,"&gt;="&amp;cyFrom,dPer,"&lt;="&amp;cyTo,dQty,"&gt;-1E+300",dFlt1,critFlt1,dFlt2,critFlt2,dFlt3,critFlt3))</f>
        <v/>
      </c>
      <c r="G272">
        <f>IF($B272="",0,IFERROR(IF(OR(C272&lt;&gt;0,D272&lt;&gt;0,E272&lt;&gt;0,F272&lt;&gt;0),1,0),1))</f>
        <v>0</v>
      </c>
      <c r="H272" t="str">
        <f>IF(OR(G272=0,E272=0),"",C272/E272)</f>
        <v/>
      </c>
      <c r="I272" t="str">
        <f>IF(OR(G272=0,F272=0),"",D272/F272)</f>
        <v/>
      </c>
      <c r="J272" t="str">
        <f>IF(OR(H272="",I272=""),"",IF(H272=0,"",I272/H272-1))</f>
        <v/>
      </c>
      <c r="K272" t="str">
        <f>IF($B272="","",IFERROR(IF(G272=0,-2E+300,CHOOSE(sortIdx,ROUND(D272,0),IF(J272="",-1E+300,ROUND(-J272,6)),IF(J272="",-1E+300,ROUND(J272,6)))),-1.5E+300))</f>
        <v/>
      </c>
      <c r="L272" t="str">
        <f>IF(K272="","",RANK(K272,$K$2:$K$3001,0)+COUNTIF($K$2:K272,K272)-1)</f>
        <v/>
      </c>
    </row>
    <row r="273">
      <c r="B273" t="str">
        <f>IFERROR(IF(A273="","","="&amp;SUBSTITUTE(SUBSTITUTE(SUBSTITUTE(A273,"~","~~"),"*","~*"),"?","~?")),"")</f>
        <v/>
      </c>
      <c r="C273" t="str">
        <f>IF($B273="","",SUMIFS(dAmt,dCust,$B273,dPer,"&gt;="&amp;pyFrom,dPer,"&lt;="&amp;pyTo,dAmt,"&gt;-1E+300",dFlt1,critFlt1,dFlt2,critFlt2,dFlt3,critFlt3))</f>
        <v/>
      </c>
      <c r="D273" t="str">
        <f>IF($B273="","",SUMIFS(dAmt,dCust,$B273,dPer,"&gt;="&amp;cyFrom,dPer,"&lt;="&amp;cyTo,dAmt,"&gt;-1E+300",dFlt1,critFlt1,dFlt2,critFlt2,dFlt3,critFlt3))</f>
        <v/>
      </c>
      <c r="E273" t="str">
        <f>IF($B273="","",SUMIFS(dQty,dCust,$B273,dPer,"&gt;="&amp;pyFrom,dPer,"&lt;="&amp;pyTo,dQty,"&gt;-1E+300",dFlt1,critFlt1,dFlt2,critFlt2,dFlt3,critFlt3))</f>
        <v/>
      </c>
      <c r="F273" t="str">
        <f>IF($B273="","",SUMIFS(dQty,dCust,$B273,dPer,"&gt;="&amp;cyFrom,dPer,"&lt;="&amp;cyTo,dQty,"&gt;-1E+300",dFlt1,critFlt1,dFlt2,critFlt2,dFlt3,critFlt3))</f>
        <v/>
      </c>
      <c r="G273">
        <f>IF($B273="",0,IFERROR(IF(OR(C273&lt;&gt;0,D273&lt;&gt;0,E273&lt;&gt;0,F273&lt;&gt;0),1,0),1))</f>
        <v>0</v>
      </c>
      <c r="H273" t="str">
        <f>IF(OR(G273=0,E273=0),"",C273/E273)</f>
        <v/>
      </c>
      <c r="I273" t="str">
        <f>IF(OR(G273=0,F273=0),"",D273/F273)</f>
        <v/>
      </c>
      <c r="J273" t="str">
        <f>IF(OR(H273="",I273=""),"",IF(H273=0,"",I273/H273-1))</f>
        <v/>
      </c>
      <c r="K273" t="str">
        <f>IF($B273="","",IFERROR(IF(G273=0,-2E+300,CHOOSE(sortIdx,ROUND(D273,0),IF(J273="",-1E+300,ROUND(-J273,6)),IF(J273="",-1E+300,ROUND(J273,6)))),-1.5E+300))</f>
        <v/>
      </c>
      <c r="L273" t="str">
        <f>IF(K273="","",RANK(K273,$K$2:$K$3001,0)+COUNTIF($K$2:K273,K273)-1)</f>
        <v/>
      </c>
    </row>
    <row r="274">
      <c r="B274" t="str">
        <f>IFERROR(IF(A274="","","="&amp;SUBSTITUTE(SUBSTITUTE(SUBSTITUTE(A274,"~","~~"),"*","~*"),"?","~?")),"")</f>
        <v/>
      </c>
      <c r="C274" t="str">
        <f>IF($B274="","",SUMIFS(dAmt,dCust,$B274,dPer,"&gt;="&amp;pyFrom,dPer,"&lt;="&amp;pyTo,dAmt,"&gt;-1E+300",dFlt1,critFlt1,dFlt2,critFlt2,dFlt3,critFlt3))</f>
        <v/>
      </c>
      <c r="D274" t="str">
        <f>IF($B274="","",SUMIFS(dAmt,dCust,$B274,dPer,"&gt;="&amp;cyFrom,dPer,"&lt;="&amp;cyTo,dAmt,"&gt;-1E+300",dFlt1,critFlt1,dFlt2,critFlt2,dFlt3,critFlt3))</f>
        <v/>
      </c>
      <c r="E274" t="str">
        <f>IF($B274="","",SUMIFS(dQty,dCust,$B274,dPer,"&gt;="&amp;pyFrom,dPer,"&lt;="&amp;pyTo,dQty,"&gt;-1E+300",dFlt1,critFlt1,dFlt2,critFlt2,dFlt3,critFlt3))</f>
        <v/>
      </c>
      <c r="F274" t="str">
        <f>IF($B274="","",SUMIFS(dQty,dCust,$B274,dPer,"&gt;="&amp;cyFrom,dPer,"&lt;="&amp;cyTo,dQty,"&gt;-1E+300",dFlt1,critFlt1,dFlt2,critFlt2,dFlt3,critFlt3))</f>
        <v/>
      </c>
      <c r="G274">
        <f>IF($B274="",0,IFERROR(IF(OR(C274&lt;&gt;0,D274&lt;&gt;0,E274&lt;&gt;0,F274&lt;&gt;0),1,0),1))</f>
        <v>0</v>
      </c>
      <c r="H274" t="str">
        <f>IF(OR(G274=0,E274=0),"",C274/E274)</f>
        <v/>
      </c>
      <c r="I274" t="str">
        <f>IF(OR(G274=0,F274=0),"",D274/F274)</f>
        <v/>
      </c>
      <c r="J274" t="str">
        <f>IF(OR(H274="",I274=""),"",IF(H274=0,"",I274/H274-1))</f>
        <v/>
      </c>
      <c r="K274" t="str">
        <f>IF($B274="","",IFERROR(IF(G274=0,-2E+300,CHOOSE(sortIdx,ROUND(D274,0),IF(J274="",-1E+300,ROUND(-J274,6)),IF(J274="",-1E+300,ROUND(J274,6)))),-1.5E+300))</f>
        <v/>
      </c>
      <c r="L274" t="str">
        <f>IF(K274="","",RANK(K274,$K$2:$K$3001,0)+COUNTIF($K$2:K274,K274)-1)</f>
        <v/>
      </c>
    </row>
    <row r="275">
      <c r="B275" t="str">
        <f>IFERROR(IF(A275="","","="&amp;SUBSTITUTE(SUBSTITUTE(SUBSTITUTE(A275,"~","~~"),"*","~*"),"?","~?")),"")</f>
        <v/>
      </c>
      <c r="C275" t="str">
        <f>IF($B275="","",SUMIFS(dAmt,dCust,$B275,dPer,"&gt;="&amp;pyFrom,dPer,"&lt;="&amp;pyTo,dAmt,"&gt;-1E+300",dFlt1,critFlt1,dFlt2,critFlt2,dFlt3,critFlt3))</f>
        <v/>
      </c>
      <c r="D275" t="str">
        <f>IF($B275="","",SUMIFS(dAmt,dCust,$B275,dPer,"&gt;="&amp;cyFrom,dPer,"&lt;="&amp;cyTo,dAmt,"&gt;-1E+300",dFlt1,critFlt1,dFlt2,critFlt2,dFlt3,critFlt3))</f>
        <v/>
      </c>
      <c r="E275" t="str">
        <f>IF($B275="","",SUMIFS(dQty,dCust,$B275,dPer,"&gt;="&amp;pyFrom,dPer,"&lt;="&amp;pyTo,dQty,"&gt;-1E+300",dFlt1,critFlt1,dFlt2,critFlt2,dFlt3,critFlt3))</f>
        <v/>
      </c>
      <c r="F275" t="str">
        <f>IF($B275="","",SUMIFS(dQty,dCust,$B275,dPer,"&gt;="&amp;cyFrom,dPer,"&lt;="&amp;cyTo,dQty,"&gt;-1E+300",dFlt1,critFlt1,dFlt2,critFlt2,dFlt3,critFlt3))</f>
        <v/>
      </c>
      <c r="G275">
        <f>IF($B275="",0,IFERROR(IF(OR(C275&lt;&gt;0,D275&lt;&gt;0,E275&lt;&gt;0,F275&lt;&gt;0),1,0),1))</f>
        <v>0</v>
      </c>
      <c r="H275" t="str">
        <f>IF(OR(G275=0,E275=0),"",C275/E275)</f>
        <v/>
      </c>
      <c r="I275" t="str">
        <f>IF(OR(G275=0,F275=0),"",D275/F275)</f>
        <v/>
      </c>
      <c r="J275" t="str">
        <f>IF(OR(H275="",I275=""),"",IF(H275=0,"",I275/H275-1))</f>
        <v/>
      </c>
      <c r="K275" t="str">
        <f>IF($B275="","",IFERROR(IF(G275=0,-2E+300,CHOOSE(sortIdx,ROUND(D275,0),IF(J275="",-1E+300,ROUND(-J275,6)),IF(J275="",-1E+300,ROUND(J275,6)))),-1.5E+300))</f>
        <v/>
      </c>
      <c r="L275" t="str">
        <f>IF(K275="","",RANK(K275,$K$2:$K$3001,0)+COUNTIF($K$2:K275,K275)-1)</f>
        <v/>
      </c>
    </row>
    <row r="276">
      <c r="B276" t="str">
        <f>IFERROR(IF(A276="","","="&amp;SUBSTITUTE(SUBSTITUTE(SUBSTITUTE(A276,"~","~~"),"*","~*"),"?","~?")),"")</f>
        <v/>
      </c>
      <c r="C276" t="str">
        <f>IF($B276="","",SUMIFS(dAmt,dCust,$B276,dPer,"&gt;="&amp;pyFrom,dPer,"&lt;="&amp;pyTo,dAmt,"&gt;-1E+300",dFlt1,critFlt1,dFlt2,critFlt2,dFlt3,critFlt3))</f>
        <v/>
      </c>
      <c r="D276" t="str">
        <f>IF($B276="","",SUMIFS(dAmt,dCust,$B276,dPer,"&gt;="&amp;cyFrom,dPer,"&lt;="&amp;cyTo,dAmt,"&gt;-1E+300",dFlt1,critFlt1,dFlt2,critFlt2,dFlt3,critFlt3))</f>
        <v/>
      </c>
      <c r="E276" t="str">
        <f>IF($B276="","",SUMIFS(dQty,dCust,$B276,dPer,"&gt;="&amp;pyFrom,dPer,"&lt;="&amp;pyTo,dQty,"&gt;-1E+300",dFlt1,critFlt1,dFlt2,critFlt2,dFlt3,critFlt3))</f>
        <v/>
      </c>
      <c r="F276" t="str">
        <f>IF($B276="","",SUMIFS(dQty,dCust,$B276,dPer,"&gt;="&amp;cyFrom,dPer,"&lt;="&amp;cyTo,dQty,"&gt;-1E+300",dFlt1,critFlt1,dFlt2,critFlt2,dFlt3,critFlt3))</f>
        <v/>
      </c>
      <c r="G276">
        <f>IF($B276="",0,IFERROR(IF(OR(C276&lt;&gt;0,D276&lt;&gt;0,E276&lt;&gt;0,F276&lt;&gt;0),1,0),1))</f>
        <v>0</v>
      </c>
      <c r="H276" t="str">
        <f>IF(OR(G276=0,E276=0),"",C276/E276)</f>
        <v/>
      </c>
      <c r="I276" t="str">
        <f>IF(OR(G276=0,F276=0),"",D276/F276)</f>
        <v/>
      </c>
      <c r="J276" t="str">
        <f>IF(OR(H276="",I276=""),"",IF(H276=0,"",I276/H276-1))</f>
        <v/>
      </c>
      <c r="K276" t="str">
        <f>IF($B276="","",IFERROR(IF(G276=0,-2E+300,CHOOSE(sortIdx,ROUND(D276,0),IF(J276="",-1E+300,ROUND(-J276,6)),IF(J276="",-1E+300,ROUND(J276,6)))),-1.5E+300))</f>
        <v/>
      </c>
      <c r="L276" t="str">
        <f>IF(K276="","",RANK(K276,$K$2:$K$3001,0)+COUNTIF($K$2:K276,K276)-1)</f>
        <v/>
      </c>
    </row>
    <row r="277">
      <c r="B277" t="str">
        <f>IFERROR(IF(A277="","","="&amp;SUBSTITUTE(SUBSTITUTE(SUBSTITUTE(A277,"~","~~"),"*","~*"),"?","~?")),"")</f>
        <v/>
      </c>
      <c r="C277" t="str">
        <f>IF($B277="","",SUMIFS(dAmt,dCust,$B277,dPer,"&gt;="&amp;pyFrom,dPer,"&lt;="&amp;pyTo,dAmt,"&gt;-1E+300",dFlt1,critFlt1,dFlt2,critFlt2,dFlt3,critFlt3))</f>
        <v/>
      </c>
      <c r="D277" t="str">
        <f>IF($B277="","",SUMIFS(dAmt,dCust,$B277,dPer,"&gt;="&amp;cyFrom,dPer,"&lt;="&amp;cyTo,dAmt,"&gt;-1E+300",dFlt1,critFlt1,dFlt2,critFlt2,dFlt3,critFlt3))</f>
        <v/>
      </c>
      <c r="E277" t="str">
        <f>IF($B277="","",SUMIFS(dQty,dCust,$B277,dPer,"&gt;="&amp;pyFrom,dPer,"&lt;="&amp;pyTo,dQty,"&gt;-1E+300",dFlt1,critFlt1,dFlt2,critFlt2,dFlt3,critFlt3))</f>
        <v/>
      </c>
      <c r="F277" t="str">
        <f>IF($B277="","",SUMIFS(dQty,dCust,$B277,dPer,"&gt;="&amp;cyFrom,dPer,"&lt;="&amp;cyTo,dQty,"&gt;-1E+300",dFlt1,critFlt1,dFlt2,critFlt2,dFlt3,critFlt3))</f>
        <v/>
      </c>
      <c r="G277">
        <f>IF($B277="",0,IFERROR(IF(OR(C277&lt;&gt;0,D277&lt;&gt;0,E277&lt;&gt;0,F277&lt;&gt;0),1,0),1))</f>
        <v>0</v>
      </c>
      <c r="H277" t="str">
        <f>IF(OR(G277=0,E277=0),"",C277/E277)</f>
        <v/>
      </c>
      <c r="I277" t="str">
        <f>IF(OR(G277=0,F277=0),"",D277/F277)</f>
        <v/>
      </c>
      <c r="J277" t="str">
        <f>IF(OR(H277="",I277=""),"",IF(H277=0,"",I277/H277-1))</f>
        <v/>
      </c>
      <c r="K277" t="str">
        <f>IF($B277="","",IFERROR(IF(G277=0,-2E+300,CHOOSE(sortIdx,ROUND(D277,0),IF(J277="",-1E+300,ROUND(-J277,6)),IF(J277="",-1E+300,ROUND(J277,6)))),-1.5E+300))</f>
        <v/>
      </c>
      <c r="L277" t="str">
        <f>IF(K277="","",RANK(K277,$K$2:$K$3001,0)+COUNTIF($K$2:K277,K277)-1)</f>
        <v/>
      </c>
    </row>
    <row r="278">
      <c r="B278" t="str">
        <f>IFERROR(IF(A278="","","="&amp;SUBSTITUTE(SUBSTITUTE(SUBSTITUTE(A278,"~","~~"),"*","~*"),"?","~?")),"")</f>
        <v/>
      </c>
      <c r="C278" t="str">
        <f>IF($B278="","",SUMIFS(dAmt,dCust,$B278,dPer,"&gt;="&amp;pyFrom,dPer,"&lt;="&amp;pyTo,dAmt,"&gt;-1E+300",dFlt1,critFlt1,dFlt2,critFlt2,dFlt3,critFlt3))</f>
        <v/>
      </c>
      <c r="D278" t="str">
        <f>IF($B278="","",SUMIFS(dAmt,dCust,$B278,dPer,"&gt;="&amp;cyFrom,dPer,"&lt;="&amp;cyTo,dAmt,"&gt;-1E+300",dFlt1,critFlt1,dFlt2,critFlt2,dFlt3,critFlt3))</f>
        <v/>
      </c>
      <c r="E278" t="str">
        <f>IF($B278="","",SUMIFS(dQty,dCust,$B278,dPer,"&gt;="&amp;pyFrom,dPer,"&lt;="&amp;pyTo,dQty,"&gt;-1E+300",dFlt1,critFlt1,dFlt2,critFlt2,dFlt3,critFlt3))</f>
        <v/>
      </c>
      <c r="F278" t="str">
        <f>IF($B278="","",SUMIFS(dQty,dCust,$B278,dPer,"&gt;="&amp;cyFrom,dPer,"&lt;="&amp;cyTo,dQty,"&gt;-1E+300",dFlt1,critFlt1,dFlt2,critFlt2,dFlt3,critFlt3))</f>
        <v/>
      </c>
      <c r="G278">
        <f>IF($B278="",0,IFERROR(IF(OR(C278&lt;&gt;0,D278&lt;&gt;0,E278&lt;&gt;0,F278&lt;&gt;0),1,0),1))</f>
        <v>0</v>
      </c>
      <c r="H278" t="str">
        <f>IF(OR(G278=0,E278=0),"",C278/E278)</f>
        <v/>
      </c>
      <c r="I278" t="str">
        <f>IF(OR(G278=0,F278=0),"",D278/F278)</f>
        <v/>
      </c>
      <c r="J278" t="str">
        <f>IF(OR(H278="",I278=""),"",IF(H278=0,"",I278/H278-1))</f>
        <v/>
      </c>
      <c r="K278" t="str">
        <f>IF($B278="","",IFERROR(IF(G278=0,-2E+300,CHOOSE(sortIdx,ROUND(D278,0),IF(J278="",-1E+300,ROUND(-J278,6)),IF(J278="",-1E+300,ROUND(J278,6)))),-1.5E+300))</f>
        <v/>
      </c>
      <c r="L278" t="str">
        <f>IF(K278="","",RANK(K278,$K$2:$K$3001,0)+COUNTIF($K$2:K278,K278)-1)</f>
        <v/>
      </c>
    </row>
    <row r="279">
      <c r="B279" t="str">
        <f>IFERROR(IF(A279="","","="&amp;SUBSTITUTE(SUBSTITUTE(SUBSTITUTE(A279,"~","~~"),"*","~*"),"?","~?")),"")</f>
        <v/>
      </c>
      <c r="C279" t="str">
        <f>IF($B279="","",SUMIFS(dAmt,dCust,$B279,dPer,"&gt;="&amp;pyFrom,dPer,"&lt;="&amp;pyTo,dAmt,"&gt;-1E+300",dFlt1,critFlt1,dFlt2,critFlt2,dFlt3,critFlt3))</f>
        <v/>
      </c>
      <c r="D279" t="str">
        <f>IF($B279="","",SUMIFS(dAmt,dCust,$B279,dPer,"&gt;="&amp;cyFrom,dPer,"&lt;="&amp;cyTo,dAmt,"&gt;-1E+300",dFlt1,critFlt1,dFlt2,critFlt2,dFlt3,critFlt3))</f>
        <v/>
      </c>
      <c r="E279" t="str">
        <f>IF($B279="","",SUMIFS(dQty,dCust,$B279,dPer,"&gt;="&amp;pyFrom,dPer,"&lt;="&amp;pyTo,dQty,"&gt;-1E+300",dFlt1,critFlt1,dFlt2,critFlt2,dFlt3,critFlt3))</f>
        <v/>
      </c>
      <c r="F279" t="str">
        <f>IF($B279="","",SUMIFS(dQty,dCust,$B279,dPer,"&gt;="&amp;cyFrom,dPer,"&lt;="&amp;cyTo,dQty,"&gt;-1E+300",dFlt1,critFlt1,dFlt2,critFlt2,dFlt3,critFlt3))</f>
        <v/>
      </c>
      <c r="G279">
        <f>IF($B279="",0,IFERROR(IF(OR(C279&lt;&gt;0,D279&lt;&gt;0,E279&lt;&gt;0,F279&lt;&gt;0),1,0),1))</f>
        <v>0</v>
      </c>
      <c r="H279" t="str">
        <f>IF(OR(G279=0,E279=0),"",C279/E279)</f>
        <v/>
      </c>
      <c r="I279" t="str">
        <f>IF(OR(G279=0,F279=0),"",D279/F279)</f>
        <v/>
      </c>
      <c r="J279" t="str">
        <f>IF(OR(H279="",I279=""),"",IF(H279=0,"",I279/H279-1))</f>
        <v/>
      </c>
      <c r="K279" t="str">
        <f>IF($B279="","",IFERROR(IF(G279=0,-2E+300,CHOOSE(sortIdx,ROUND(D279,0),IF(J279="",-1E+300,ROUND(-J279,6)),IF(J279="",-1E+300,ROUND(J279,6)))),-1.5E+300))</f>
        <v/>
      </c>
      <c r="L279" t="str">
        <f>IF(K279="","",RANK(K279,$K$2:$K$3001,0)+COUNTIF($K$2:K279,K279)-1)</f>
        <v/>
      </c>
    </row>
    <row r="280">
      <c r="B280" t="str">
        <f>IFERROR(IF(A280="","","="&amp;SUBSTITUTE(SUBSTITUTE(SUBSTITUTE(A280,"~","~~"),"*","~*"),"?","~?")),"")</f>
        <v/>
      </c>
      <c r="C280" t="str">
        <f>IF($B280="","",SUMIFS(dAmt,dCust,$B280,dPer,"&gt;="&amp;pyFrom,dPer,"&lt;="&amp;pyTo,dAmt,"&gt;-1E+300",dFlt1,critFlt1,dFlt2,critFlt2,dFlt3,critFlt3))</f>
        <v/>
      </c>
      <c r="D280" t="str">
        <f>IF($B280="","",SUMIFS(dAmt,dCust,$B280,dPer,"&gt;="&amp;cyFrom,dPer,"&lt;="&amp;cyTo,dAmt,"&gt;-1E+300",dFlt1,critFlt1,dFlt2,critFlt2,dFlt3,critFlt3))</f>
        <v/>
      </c>
      <c r="E280" t="str">
        <f>IF($B280="","",SUMIFS(dQty,dCust,$B280,dPer,"&gt;="&amp;pyFrom,dPer,"&lt;="&amp;pyTo,dQty,"&gt;-1E+300",dFlt1,critFlt1,dFlt2,critFlt2,dFlt3,critFlt3))</f>
        <v/>
      </c>
      <c r="F280" t="str">
        <f>IF($B280="","",SUMIFS(dQty,dCust,$B280,dPer,"&gt;="&amp;cyFrom,dPer,"&lt;="&amp;cyTo,dQty,"&gt;-1E+300",dFlt1,critFlt1,dFlt2,critFlt2,dFlt3,critFlt3))</f>
        <v/>
      </c>
      <c r="G280">
        <f>IF($B280="",0,IFERROR(IF(OR(C280&lt;&gt;0,D280&lt;&gt;0,E280&lt;&gt;0,F280&lt;&gt;0),1,0),1))</f>
        <v>0</v>
      </c>
      <c r="H280" t="str">
        <f>IF(OR(G280=0,E280=0),"",C280/E280)</f>
        <v/>
      </c>
      <c r="I280" t="str">
        <f>IF(OR(G280=0,F280=0),"",D280/F280)</f>
        <v/>
      </c>
      <c r="J280" t="str">
        <f>IF(OR(H280="",I280=""),"",IF(H280=0,"",I280/H280-1))</f>
        <v/>
      </c>
      <c r="K280" t="str">
        <f>IF($B280="","",IFERROR(IF(G280=0,-2E+300,CHOOSE(sortIdx,ROUND(D280,0),IF(J280="",-1E+300,ROUND(-J280,6)),IF(J280="",-1E+300,ROUND(J280,6)))),-1.5E+300))</f>
        <v/>
      </c>
      <c r="L280" t="str">
        <f>IF(K280="","",RANK(K280,$K$2:$K$3001,0)+COUNTIF($K$2:K280,K280)-1)</f>
        <v/>
      </c>
    </row>
    <row r="281">
      <c r="B281" t="str">
        <f>IFERROR(IF(A281="","","="&amp;SUBSTITUTE(SUBSTITUTE(SUBSTITUTE(A281,"~","~~"),"*","~*"),"?","~?")),"")</f>
        <v/>
      </c>
      <c r="C281" t="str">
        <f>IF($B281="","",SUMIFS(dAmt,dCust,$B281,dPer,"&gt;="&amp;pyFrom,dPer,"&lt;="&amp;pyTo,dAmt,"&gt;-1E+300",dFlt1,critFlt1,dFlt2,critFlt2,dFlt3,critFlt3))</f>
        <v/>
      </c>
      <c r="D281" t="str">
        <f>IF($B281="","",SUMIFS(dAmt,dCust,$B281,dPer,"&gt;="&amp;cyFrom,dPer,"&lt;="&amp;cyTo,dAmt,"&gt;-1E+300",dFlt1,critFlt1,dFlt2,critFlt2,dFlt3,critFlt3))</f>
        <v/>
      </c>
      <c r="E281" t="str">
        <f>IF($B281="","",SUMIFS(dQty,dCust,$B281,dPer,"&gt;="&amp;pyFrom,dPer,"&lt;="&amp;pyTo,dQty,"&gt;-1E+300",dFlt1,critFlt1,dFlt2,critFlt2,dFlt3,critFlt3))</f>
        <v/>
      </c>
      <c r="F281" t="str">
        <f>IF($B281="","",SUMIFS(dQty,dCust,$B281,dPer,"&gt;="&amp;cyFrom,dPer,"&lt;="&amp;cyTo,dQty,"&gt;-1E+300",dFlt1,critFlt1,dFlt2,critFlt2,dFlt3,critFlt3))</f>
        <v/>
      </c>
      <c r="G281">
        <f>IF($B281="",0,IFERROR(IF(OR(C281&lt;&gt;0,D281&lt;&gt;0,E281&lt;&gt;0,F281&lt;&gt;0),1,0),1))</f>
        <v>0</v>
      </c>
      <c r="H281" t="str">
        <f>IF(OR(G281=0,E281=0),"",C281/E281)</f>
        <v/>
      </c>
      <c r="I281" t="str">
        <f>IF(OR(G281=0,F281=0),"",D281/F281)</f>
        <v/>
      </c>
      <c r="J281" t="str">
        <f>IF(OR(H281="",I281=""),"",IF(H281=0,"",I281/H281-1))</f>
        <v/>
      </c>
      <c r="K281" t="str">
        <f>IF($B281="","",IFERROR(IF(G281=0,-2E+300,CHOOSE(sortIdx,ROUND(D281,0),IF(J281="",-1E+300,ROUND(-J281,6)),IF(J281="",-1E+300,ROUND(J281,6)))),-1.5E+300))</f>
        <v/>
      </c>
      <c r="L281" t="str">
        <f>IF(K281="","",RANK(K281,$K$2:$K$3001,0)+COUNTIF($K$2:K281,K281)-1)</f>
        <v/>
      </c>
    </row>
    <row r="282">
      <c r="B282" t="str">
        <f>IFERROR(IF(A282="","","="&amp;SUBSTITUTE(SUBSTITUTE(SUBSTITUTE(A282,"~","~~"),"*","~*"),"?","~?")),"")</f>
        <v/>
      </c>
      <c r="C282" t="str">
        <f>IF($B282="","",SUMIFS(dAmt,dCust,$B282,dPer,"&gt;="&amp;pyFrom,dPer,"&lt;="&amp;pyTo,dAmt,"&gt;-1E+300",dFlt1,critFlt1,dFlt2,critFlt2,dFlt3,critFlt3))</f>
        <v/>
      </c>
      <c r="D282" t="str">
        <f>IF($B282="","",SUMIFS(dAmt,dCust,$B282,dPer,"&gt;="&amp;cyFrom,dPer,"&lt;="&amp;cyTo,dAmt,"&gt;-1E+300",dFlt1,critFlt1,dFlt2,critFlt2,dFlt3,critFlt3))</f>
        <v/>
      </c>
      <c r="E282" t="str">
        <f>IF($B282="","",SUMIFS(dQty,dCust,$B282,dPer,"&gt;="&amp;pyFrom,dPer,"&lt;="&amp;pyTo,dQty,"&gt;-1E+300",dFlt1,critFlt1,dFlt2,critFlt2,dFlt3,critFlt3))</f>
        <v/>
      </c>
      <c r="F282" t="str">
        <f>IF($B282="","",SUMIFS(dQty,dCust,$B282,dPer,"&gt;="&amp;cyFrom,dPer,"&lt;="&amp;cyTo,dQty,"&gt;-1E+300",dFlt1,critFlt1,dFlt2,critFlt2,dFlt3,critFlt3))</f>
        <v/>
      </c>
      <c r="G282">
        <f>IF($B282="",0,IFERROR(IF(OR(C282&lt;&gt;0,D282&lt;&gt;0,E282&lt;&gt;0,F282&lt;&gt;0),1,0),1))</f>
        <v>0</v>
      </c>
      <c r="H282" t="str">
        <f>IF(OR(G282=0,E282=0),"",C282/E282)</f>
        <v/>
      </c>
      <c r="I282" t="str">
        <f>IF(OR(G282=0,F282=0),"",D282/F282)</f>
        <v/>
      </c>
      <c r="J282" t="str">
        <f>IF(OR(H282="",I282=""),"",IF(H282=0,"",I282/H282-1))</f>
        <v/>
      </c>
      <c r="K282" t="str">
        <f>IF($B282="","",IFERROR(IF(G282=0,-2E+300,CHOOSE(sortIdx,ROUND(D282,0),IF(J282="",-1E+300,ROUND(-J282,6)),IF(J282="",-1E+300,ROUND(J282,6)))),-1.5E+300))</f>
        <v/>
      </c>
      <c r="L282" t="str">
        <f>IF(K282="","",RANK(K282,$K$2:$K$3001,0)+COUNTIF($K$2:K282,K282)-1)</f>
        <v/>
      </c>
    </row>
    <row r="283">
      <c r="B283" t="str">
        <f>IFERROR(IF(A283="","","="&amp;SUBSTITUTE(SUBSTITUTE(SUBSTITUTE(A283,"~","~~"),"*","~*"),"?","~?")),"")</f>
        <v/>
      </c>
      <c r="C283" t="str">
        <f>IF($B283="","",SUMIFS(dAmt,dCust,$B283,dPer,"&gt;="&amp;pyFrom,dPer,"&lt;="&amp;pyTo,dAmt,"&gt;-1E+300",dFlt1,critFlt1,dFlt2,critFlt2,dFlt3,critFlt3))</f>
        <v/>
      </c>
      <c r="D283" t="str">
        <f>IF($B283="","",SUMIFS(dAmt,dCust,$B283,dPer,"&gt;="&amp;cyFrom,dPer,"&lt;="&amp;cyTo,dAmt,"&gt;-1E+300",dFlt1,critFlt1,dFlt2,critFlt2,dFlt3,critFlt3))</f>
        <v/>
      </c>
      <c r="E283" t="str">
        <f>IF($B283="","",SUMIFS(dQty,dCust,$B283,dPer,"&gt;="&amp;pyFrom,dPer,"&lt;="&amp;pyTo,dQty,"&gt;-1E+300",dFlt1,critFlt1,dFlt2,critFlt2,dFlt3,critFlt3))</f>
        <v/>
      </c>
      <c r="F283" t="str">
        <f>IF($B283="","",SUMIFS(dQty,dCust,$B283,dPer,"&gt;="&amp;cyFrom,dPer,"&lt;="&amp;cyTo,dQty,"&gt;-1E+300",dFlt1,critFlt1,dFlt2,critFlt2,dFlt3,critFlt3))</f>
        <v/>
      </c>
      <c r="G283">
        <f>IF($B283="",0,IFERROR(IF(OR(C283&lt;&gt;0,D283&lt;&gt;0,E283&lt;&gt;0,F283&lt;&gt;0),1,0),1))</f>
        <v>0</v>
      </c>
      <c r="H283" t="str">
        <f>IF(OR(G283=0,E283=0),"",C283/E283)</f>
        <v/>
      </c>
      <c r="I283" t="str">
        <f>IF(OR(G283=0,F283=0),"",D283/F283)</f>
        <v/>
      </c>
      <c r="J283" t="str">
        <f>IF(OR(H283="",I283=""),"",IF(H283=0,"",I283/H283-1))</f>
        <v/>
      </c>
      <c r="K283" t="str">
        <f>IF($B283="","",IFERROR(IF(G283=0,-2E+300,CHOOSE(sortIdx,ROUND(D283,0),IF(J283="",-1E+300,ROUND(-J283,6)),IF(J283="",-1E+300,ROUND(J283,6)))),-1.5E+300))</f>
        <v/>
      </c>
      <c r="L283" t="str">
        <f>IF(K283="","",RANK(K283,$K$2:$K$3001,0)+COUNTIF($K$2:K283,K283)-1)</f>
        <v/>
      </c>
    </row>
    <row r="284">
      <c r="B284" t="str">
        <f>IFERROR(IF(A284="","","="&amp;SUBSTITUTE(SUBSTITUTE(SUBSTITUTE(A284,"~","~~"),"*","~*"),"?","~?")),"")</f>
        <v/>
      </c>
      <c r="C284" t="str">
        <f>IF($B284="","",SUMIFS(dAmt,dCust,$B284,dPer,"&gt;="&amp;pyFrom,dPer,"&lt;="&amp;pyTo,dAmt,"&gt;-1E+300",dFlt1,critFlt1,dFlt2,critFlt2,dFlt3,critFlt3))</f>
        <v/>
      </c>
      <c r="D284" t="str">
        <f>IF($B284="","",SUMIFS(dAmt,dCust,$B284,dPer,"&gt;="&amp;cyFrom,dPer,"&lt;="&amp;cyTo,dAmt,"&gt;-1E+300",dFlt1,critFlt1,dFlt2,critFlt2,dFlt3,critFlt3))</f>
        <v/>
      </c>
      <c r="E284" t="str">
        <f>IF($B284="","",SUMIFS(dQty,dCust,$B284,dPer,"&gt;="&amp;pyFrom,dPer,"&lt;="&amp;pyTo,dQty,"&gt;-1E+300",dFlt1,critFlt1,dFlt2,critFlt2,dFlt3,critFlt3))</f>
        <v/>
      </c>
      <c r="F284" t="str">
        <f>IF($B284="","",SUMIFS(dQty,dCust,$B284,dPer,"&gt;="&amp;cyFrom,dPer,"&lt;="&amp;cyTo,dQty,"&gt;-1E+300",dFlt1,critFlt1,dFlt2,critFlt2,dFlt3,critFlt3))</f>
        <v/>
      </c>
      <c r="G284">
        <f>IF($B284="",0,IFERROR(IF(OR(C284&lt;&gt;0,D284&lt;&gt;0,E284&lt;&gt;0,F284&lt;&gt;0),1,0),1))</f>
        <v>0</v>
      </c>
      <c r="H284" t="str">
        <f>IF(OR(G284=0,E284=0),"",C284/E284)</f>
        <v/>
      </c>
      <c r="I284" t="str">
        <f>IF(OR(G284=0,F284=0),"",D284/F284)</f>
        <v/>
      </c>
      <c r="J284" t="str">
        <f>IF(OR(H284="",I284=""),"",IF(H284=0,"",I284/H284-1))</f>
        <v/>
      </c>
      <c r="K284" t="str">
        <f>IF($B284="","",IFERROR(IF(G284=0,-2E+300,CHOOSE(sortIdx,ROUND(D284,0),IF(J284="",-1E+300,ROUND(-J284,6)),IF(J284="",-1E+300,ROUND(J284,6)))),-1.5E+300))</f>
        <v/>
      </c>
      <c r="L284" t="str">
        <f>IF(K284="","",RANK(K284,$K$2:$K$3001,0)+COUNTIF($K$2:K284,K284)-1)</f>
        <v/>
      </c>
    </row>
    <row r="285">
      <c r="B285" t="str">
        <f>IFERROR(IF(A285="","","="&amp;SUBSTITUTE(SUBSTITUTE(SUBSTITUTE(A285,"~","~~"),"*","~*"),"?","~?")),"")</f>
        <v/>
      </c>
      <c r="C285" t="str">
        <f>IF($B285="","",SUMIFS(dAmt,dCust,$B285,dPer,"&gt;="&amp;pyFrom,dPer,"&lt;="&amp;pyTo,dAmt,"&gt;-1E+300",dFlt1,critFlt1,dFlt2,critFlt2,dFlt3,critFlt3))</f>
        <v/>
      </c>
      <c r="D285" t="str">
        <f>IF($B285="","",SUMIFS(dAmt,dCust,$B285,dPer,"&gt;="&amp;cyFrom,dPer,"&lt;="&amp;cyTo,dAmt,"&gt;-1E+300",dFlt1,critFlt1,dFlt2,critFlt2,dFlt3,critFlt3))</f>
        <v/>
      </c>
      <c r="E285" t="str">
        <f>IF($B285="","",SUMIFS(dQty,dCust,$B285,dPer,"&gt;="&amp;pyFrom,dPer,"&lt;="&amp;pyTo,dQty,"&gt;-1E+300",dFlt1,critFlt1,dFlt2,critFlt2,dFlt3,critFlt3))</f>
        <v/>
      </c>
      <c r="F285" t="str">
        <f>IF($B285="","",SUMIFS(dQty,dCust,$B285,dPer,"&gt;="&amp;cyFrom,dPer,"&lt;="&amp;cyTo,dQty,"&gt;-1E+300",dFlt1,critFlt1,dFlt2,critFlt2,dFlt3,critFlt3))</f>
        <v/>
      </c>
      <c r="G285">
        <f>IF($B285="",0,IFERROR(IF(OR(C285&lt;&gt;0,D285&lt;&gt;0,E285&lt;&gt;0,F285&lt;&gt;0),1,0),1))</f>
        <v>0</v>
      </c>
      <c r="H285" t="str">
        <f>IF(OR(G285=0,E285=0),"",C285/E285)</f>
        <v/>
      </c>
      <c r="I285" t="str">
        <f>IF(OR(G285=0,F285=0),"",D285/F285)</f>
        <v/>
      </c>
      <c r="J285" t="str">
        <f>IF(OR(H285="",I285=""),"",IF(H285=0,"",I285/H285-1))</f>
        <v/>
      </c>
      <c r="K285" t="str">
        <f>IF($B285="","",IFERROR(IF(G285=0,-2E+300,CHOOSE(sortIdx,ROUND(D285,0),IF(J285="",-1E+300,ROUND(-J285,6)),IF(J285="",-1E+300,ROUND(J285,6)))),-1.5E+300))</f>
        <v/>
      </c>
      <c r="L285" t="str">
        <f>IF(K285="","",RANK(K285,$K$2:$K$3001,0)+COUNTIF($K$2:K285,K285)-1)</f>
        <v/>
      </c>
    </row>
    <row r="286">
      <c r="B286" t="str">
        <f>IFERROR(IF(A286="","","="&amp;SUBSTITUTE(SUBSTITUTE(SUBSTITUTE(A286,"~","~~"),"*","~*"),"?","~?")),"")</f>
        <v/>
      </c>
      <c r="C286" t="str">
        <f>IF($B286="","",SUMIFS(dAmt,dCust,$B286,dPer,"&gt;="&amp;pyFrom,dPer,"&lt;="&amp;pyTo,dAmt,"&gt;-1E+300",dFlt1,critFlt1,dFlt2,critFlt2,dFlt3,critFlt3))</f>
        <v/>
      </c>
      <c r="D286" t="str">
        <f>IF($B286="","",SUMIFS(dAmt,dCust,$B286,dPer,"&gt;="&amp;cyFrom,dPer,"&lt;="&amp;cyTo,dAmt,"&gt;-1E+300",dFlt1,critFlt1,dFlt2,critFlt2,dFlt3,critFlt3))</f>
        <v/>
      </c>
      <c r="E286" t="str">
        <f>IF($B286="","",SUMIFS(dQty,dCust,$B286,dPer,"&gt;="&amp;pyFrom,dPer,"&lt;="&amp;pyTo,dQty,"&gt;-1E+300",dFlt1,critFlt1,dFlt2,critFlt2,dFlt3,critFlt3))</f>
        <v/>
      </c>
      <c r="F286" t="str">
        <f>IF($B286="","",SUMIFS(dQty,dCust,$B286,dPer,"&gt;="&amp;cyFrom,dPer,"&lt;="&amp;cyTo,dQty,"&gt;-1E+300",dFlt1,critFlt1,dFlt2,critFlt2,dFlt3,critFlt3))</f>
        <v/>
      </c>
      <c r="G286">
        <f>IF($B286="",0,IFERROR(IF(OR(C286&lt;&gt;0,D286&lt;&gt;0,E286&lt;&gt;0,F286&lt;&gt;0),1,0),1))</f>
        <v>0</v>
      </c>
      <c r="H286" t="str">
        <f>IF(OR(G286=0,E286=0),"",C286/E286)</f>
        <v/>
      </c>
      <c r="I286" t="str">
        <f>IF(OR(G286=0,F286=0),"",D286/F286)</f>
        <v/>
      </c>
      <c r="J286" t="str">
        <f>IF(OR(H286="",I286=""),"",IF(H286=0,"",I286/H286-1))</f>
        <v/>
      </c>
      <c r="K286" t="str">
        <f>IF($B286="","",IFERROR(IF(G286=0,-2E+300,CHOOSE(sortIdx,ROUND(D286,0),IF(J286="",-1E+300,ROUND(-J286,6)),IF(J286="",-1E+300,ROUND(J286,6)))),-1.5E+300))</f>
        <v/>
      </c>
      <c r="L286" t="str">
        <f>IF(K286="","",RANK(K286,$K$2:$K$3001,0)+COUNTIF($K$2:K286,K286)-1)</f>
        <v/>
      </c>
    </row>
    <row r="287">
      <c r="B287" t="str">
        <f>IFERROR(IF(A287="","","="&amp;SUBSTITUTE(SUBSTITUTE(SUBSTITUTE(A287,"~","~~"),"*","~*"),"?","~?")),"")</f>
        <v/>
      </c>
      <c r="C287" t="str">
        <f>IF($B287="","",SUMIFS(dAmt,dCust,$B287,dPer,"&gt;="&amp;pyFrom,dPer,"&lt;="&amp;pyTo,dAmt,"&gt;-1E+300",dFlt1,critFlt1,dFlt2,critFlt2,dFlt3,critFlt3))</f>
        <v/>
      </c>
      <c r="D287" t="str">
        <f>IF($B287="","",SUMIFS(dAmt,dCust,$B287,dPer,"&gt;="&amp;cyFrom,dPer,"&lt;="&amp;cyTo,dAmt,"&gt;-1E+300",dFlt1,critFlt1,dFlt2,critFlt2,dFlt3,critFlt3))</f>
        <v/>
      </c>
      <c r="E287" t="str">
        <f>IF($B287="","",SUMIFS(dQty,dCust,$B287,dPer,"&gt;="&amp;pyFrom,dPer,"&lt;="&amp;pyTo,dQty,"&gt;-1E+300",dFlt1,critFlt1,dFlt2,critFlt2,dFlt3,critFlt3))</f>
        <v/>
      </c>
      <c r="F287" t="str">
        <f>IF($B287="","",SUMIFS(dQty,dCust,$B287,dPer,"&gt;="&amp;cyFrom,dPer,"&lt;="&amp;cyTo,dQty,"&gt;-1E+300",dFlt1,critFlt1,dFlt2,critFlt2,dFlt3,critFlt3))</f>
        <v/>
      </c>
      <c r="G287">
        <f>IF($B287="",0,IFERROR(IF(OR(C287&lt;&gt;0,D287&lt;&gt;0,E287&lt;&gt;0,F287&lt;&gt;0),1,0),1))</f>
        <v>0</v>
      </c>
      <c r="H287" t="str">
        <f>IF(OR(G287=0,E287=0),"",C287/E287)</f>
        <v/>
      </c>
      <c r="I287" t="str">
        <f>IF(OR(G287=0,F287=0),"",D287/F287)</f>
        <v/>
      </c>
      <c r="J287" t="str">
        <f>IF(OR(H287="",I287=""),"",IF(H287=0,"",I287/H287-1))</f>
        <v/>
      </c>
      <c r="K287" t="str">
        <f>IF($B287="","",IFERROR(IF(G287=0,-2E+300,CHOOSE(sortIdx,ROUND(D287,0),IF(J287="",-1E+300,ROUND(-J287,6)),IF(J287="",-1E+300,ROUND(J287,6)))),-1.5E+300))</f>
        <v/>
      </c>
      <c r="L287" t="str">
        <f>IF(K287="","",RANK(K287,$K$2:$K$3001,0)+COUNTIF($K$2:K287,K287)-1)</f>
        <v/>
      </c>
    </row>
    <row r="288">
      <c r="B288" t="str">
        <f>IFERROR(IF(A288="","","="&amp;SUBSTITUTE(SUBSTITUTE(SUBSTITUTE(A288,"~","~~"),"*","~*"),"?","~?")),"")</f>
        <v/>
      </c>
      <c r="C288" t="str">
        <f>IF($B288="","",SUMIFS(dAmt,dCust,$B288,dPer,"&gt;="&amp;pyFrom,dPer,"&lt;="&amp;pyTo,dAmt,"&gt;-1E+300",dFlt1,critFlt1,dFlt2,critFlt2,dFlt3,critFlt3))</f>
        <v/>
      </c>
      <c r="D288" t="str">
        <f>IF($B288="","",SUMIFS(dAmt,dCust,$B288,dPer,"&gt;="&amp;cyFrom,dPer,"&lt;="&amp;cyTo,dAmt,"&gt;-1E+300",dFlt1,critFlt1,dFlt2,critFlt2,dFlt3,critFlt3))</f>
        <v/>
      </c>
      <c r="E288" t="str">
        <f>IF($B288="","",SUMIFS(dQty,dCust,$B288,dPer,"&gt;="&amp;pyFrom,dPer,"&lt;="&amp;pyTo,dQty,"&gt;-1E+300",dFlt1,critFlt1,dFlt2,critFlt2,dFlt3,critFlt3))</f>
        <v/>
      </c>
      <c r="F288" t="str">
        <f>IF($B288="","",SUMIFS(dQty,dCust,$B288,dPer,"&gt;="&amp;cyFrom,dPer,"&lt;="&amp;cyTo,dQty,"&gt;-1E+300",dFlt1,critFlt1,dFlt2,critFlt2,dFlt3,critFlt3))</f>
        <v/>
      </c>
      <c r="G288">
        <f>IF($B288="",0,IFERROR(IF(OR(C288&lt;&gt;0,D288&lt;&gt;0,E288&lt;&gt;0,F288&lt;&gt;0),1,0),1))</f>
        <v>0</v>
      </c>
      <c r="H288" t="str">
        <f>IF(OR(G288=0,E288=0),"",C288/E288)</f>
        <v/>
      </c>
      <c r="I288" t="str">
        <f>IF(OR(G288=0,F288=0),"",D288/F288)</f>
        <v/>
      </c>
      <c r="J288" t="str">
        <f>IF(OR(H288="",I288=""),"",IF(H288=0,"",I288/H288-1))</f>
        <v/>
      </c>
      <c r="K288" t="str">
        <f>IF($B288="","",IFERROR(IF(G288=0,-2E+300,CHOOSE(sortIdx,ROUND(D288,0),IF(J288="",-1E+300,ROUND(-J288,6)),IF(J288="",-1E+300,ROUND(J288,6)))),-1.5E+300))</f>
        <v/>
      </c>
      <c r="L288" t="str">
        <f>IF(K288="","",RANK(K288,$K$2:$K$3001,0)+COUNTIF($K$2:K288,K288)-1)</f>
        <v/>
      </c>
    </row>
    <row r="289">
      <c r="B289" t="str">
        <f>IFERROR(IF(A289="","","="&amp;SUBSTITUTE(SUBSTITUTE(SUBSTITUTE(A289,"~","~~"),"*","~*"),"?","~?")),"")</f>
        <v/>
      </c>
      <c r="C289" t="str">
        <f>IF($B289="","",SUMIFS(dAmt,dCust,$B289,dPer,"&gt;="&amp;pyFrom,dPer,"&lt;="&amp;pyTo,dAmt,"&gt;-1E+300",dFlt1,critFlt1,dFlt2,critFlt2,dFlt3,critFlt3))</f>
        <v/>
      </c>
      <c r="D289" t="str">
        <f>IF($B289="","",SUMIFS(dAmt,dCust,$B289,dPer,"&gt;="&amp;cyFrom,dPer,"&lt;="&amp;cyTo,dAmt,"&gt;-1E+300",dFlt1,critFlt1,dFlt2,critFlt2,dFlt3,critFlt3))</f>
        <v/>
      </c>
      <c r="E289" t="str">
        <f>IF($B289="","",SUMIFS(dQty,dCust,$B289,dPer,"&gt;="&amp;pyFrom,dPer,"&lt;="&amp;pyTo,dQty,"&gt;-1E+300",dFlt1,critFlt1,dFlt2,critFlt2,dFlt3,critFlt3))</f>
        <v/>
      </c>
      <c r="F289" t="str">
        <f>IF($B289="","",SUMIFS(dQty,dCust,$B289,dPer,"&gt;="&amp;cyFrom,dPer,"&lt;="&amp;cyTo,dQty,"&gt;-1E+300",dFlt1,critFlt1,dFlt2,critFlt2,dFlt3,critFlt3))</f>
        <v/>
      </c>
      <c r="G289">
        <f>IF($B289="",0,IFERROR(IF(OR(C289&lt;&gt;0,D289&lt;&gt;0,E289&lt;&gt;0,F289&lt;&gt;0),1,0),1))</f>
        <v>0</v>
      </c>
      <c r="H289" t="str">
        <f>IF(OR(G289=0,E289=0),"",C289/E289)</f>
        <v/>
      </c>
      <c r="I289" t="str">
        <f>IF(OR(G289=0,F289=0),"",D289/F289)</f>
        <v/>
      </c>
      <c r="J289" t="str">
        <f>IF(OR(H289="",I289=""),"",IF(H289=0,"",I289/H289-1))</f>
        <v/>
      </c>
      <c r="K289" t="str">
        <f>IF($B289="","",IFERROR(IF(G289=0,-2E+300,CHOOSE(sortIdx,ROUND(D289,0),IF(J289="",-1E+300,ROUND(-J289,6)),IF(J289="",-1E+300,ROUND(J289,6)))),-1.5E+300))</f>
        <v/>
      </c>
      <c r="L289" t="str">
        <f>IF(K289="","",RANK(K289,$K$2:$K$3001,0)+COUNTIF($K$2:K289,K289)-1)</f>
        <v/>
      </c>
    </row>
    <row r="290">
      <c r="B290" t="str">
        <f>IFERROR(IF(A290="","","="&amp;SUBSTITUTE(SUBSTITUTE(SUBSTITUTE(A290,"~","~~"),"*","~*"),"?","~?")),"")</f>
        <v/>
      </c>
      <c r="C290" t="str">
        <f>IF($B290="","",SUMIFS(dAmt,dCust,$B290,dPer,"&gt;="&amp;pyFrom,dPer,"&lt;="&amp;pyTo,dAmt,"&gt;-1E+300",dFlt1,critFlt1,dFlt2,critFlt2,dFlt3,critFlt3))</f>
        <v/>
      </c>
      <c r="D290" t="str">
        <f>IF($B290="","",SUMIFS(dAmt,dCust,$B290,dPer,"&gt;="&amp;cyFrom,dPer,"&lt;="&amp;cyTo,dAmt,"&gt;-1E+300",dFlt1,critFlt1,dFlt2,critFlt2,dFlt3,critFlt3))</f>
        <v/>
      </c>
      <c r="E290" t="str">
        <f>IF($B290="","",SUMIFS(dQty,dCust,$B290,dPer,"&gt;="&amp;pyFrom,dPer,"&lt;="&amp;pyTo,dQty,"&gt;-1E+300",dFlt1,critFlt1,dFlt2,critFlt2,dFlt3,critFlt3))</f>
        <v/>
      </c>
      <c r="F290" t="str">
        <f>IF($B290="","",SUMIFS(dQty,dCust,$B290,dPer,"&gt;="&amp;cyFrom,dPer,"&lt;="&amp;cyTo,dQty,"&gt;-1E+300",dFlt1,critFlt1,dFlt2,critFlt2,dFlt3,critFlt3))</f>
        <v/>
      </c>
      <c r="G290">
        <f>IF($B290="",0,IFERROR(IF(OR(C290&lt;&gt;0,D290&lt;&gt;0,E290&lt;&gt;0,F290&lt;&gt;0),1,0),1))</f>
        <v>0</v>
      </c>
      <c r="H290" t="str">
        <f>IF(OR(G290=0,E290=0),"",C290/E290)</f>
        <v/>
      </c>
      <c r="I290" t="str">
        <f>IF(OR(G290=0,F290=0),"",D290/F290)</f>
        <v/>
      </c>
      <c r="J290" t="str">
        <f>IF(OR(H290="",I290=""),"",IF(H290=0,"",I290/H290-1))</f>
        <v/>
      </c>
      <c r="K290" t="str">
        <f>IF($B290="","",IFERROR(IF(G290=0,-2E+300,CHOOSE(sortIdx,ROUND(D290,0),IF(J290="",-1E+300,ROUND(-J290,6)),IF(J290="",-1E+300,ROUND(J290,6)))),-1.5E+300))</f>
        <v/>
      </c>
      <c r="L290" t="str">
        <f>IF(K290="","",RANK(K290,$K$2:$K$3001,0)+COUNTIF($K$2:K290,K290)-1)</f>
        <v/>
      </c>
    </row>
    <row r="291">
      <c r="B291" t="str">
        <f>IFERROR(IF(A291="","","="&amp;SUBSTITUTE(SUBSTITUTE(SUBSTITUTE(A291,"~","~~"),"*","~*"),"?","~?")),"")</f>
        <v/>
      </c>
      <c r="C291" t="str">
        <f>IF($B291="","",SUMIFS(dAmt,dCust,$B291,dPer,"&gt;="&amp;pyFrom,dPer,"&lt;="&amp;pyTo,dAmt,"&gt;-1E+300",dFlt1,critFlt1,dFlt2,critFlt2,dFlt3,critFlt3))</f>
        <v/>
      </c>
      <c r="D291" t="str">
        <f>IF($B291="","",SUMIFS(dAmt,dCust,$B291,dPer,"&gt;="&amp;cyFrom,dPer,"&lt;="&amp;cyTo,dAmt,"&gt;-1E+300",dFlt1,critFlt1,dFlt2,critFlt2,dFlt3,critFlt3))</f>
        <v/>
      </c>
      <c r="E291" t="str">
        <f>IF($B291="","",SUMIFS(dQty,dCust,$B291,dPer,"&gt;="&amp;pyFrom,dPer,"&lt;="&amp;pyTo,dQty,"&gt;-1E+300",dFlt1,critFlt1,dFlt2,critFlt2,dFlt3,critFlt3))</f>
        <v/>
      </c>
      <c r="F291" t="str">
        <f>IF($B291="","",SUMIFS(dQty,dCust,$B291,dPer,"&gt;="&amp;cyFrom,dPer,"&lt;="&amp;cyTo,dQty,"&gt;-1E+300",dFlt1,critFlt1,dFlt2,critFlt2,dFlt3,critFlt3))</f>
        <v/>
      </c>
      <c r="G291">
        <f>IF($B291="",0,IFERROR(IF(OR(C291&lt;&gt;0,D291&lt;&gt;0,E291&lt;&gt;0,F291&lt;&gt;0),1,0),1))</f>
        <v>0</v>
      </c>
      <c r="H291" t="str">
        <f>IF(OR(G291=0,E291=0),"",C291/E291)</f>
        <v/>
      </c>
      <c r="I291" t="str">
        <f>IF(OR(G291=0,F291=0),"",D291/F291)</f>
        <v/>
      </c>
      <c r="J291" t="str">
        <f>IF(OR(H291="",I291=""),"",IF(H291=0,"",I291/H291-1))</f>
        <v/>
      </c>
      <c r="K291" t="str">
        <f>IF($B291="","",IFERROR(IF(G291=0,-2E+300,CHOOSE(sortIdx,ROUND(D291,0),IF(J291="",-1E+300,ROUND(-J291,6)),IF(J291="",-1E+300,ROUND(J291,6)))),-1.5E+300))</f>
        <v/>
      </c>
      <c r="L291" t="str">
        <f>IF(K291="","",RANK(K291,$K$2:$K$3001,0)+COUNTIF($K$2:K291,K291)-1)</f>
        <v/>
      </c>
    </row>
    <row r="292">
      <c r="B292" t="str">
        <f>IFERROR(IF(A292="","","="&amp;SUBSTITUTE(SUBSTITUTE(SUBSTITUTE(A292,"~","~~"),"*","~*"),"?","~?")),"")</f>
        <v/>
      </c>
      <c r="C292" t="str">
        <f>IF($B292="","",SUMIFS(dAmt,dCust,$B292,dPer,"&gt;="&amp;pyFrom,dPer,"&lt;="&amp;pyTo,dAmt,"&gt;-1E+300",dFlt1,critFlt1,dFlt2,critFlt2,dFlt3,critFlt3))</f>
        <v/>
      </c>
      <c r="D292" t="str">
        <f>IF($B292="","",SUMIFS(dAmt,dCust,$B292,dPer,"&gt;="&amp;cyFrom,dPer,"&lt;="&amp;cyTo,dAmt,"&gt;-1E+300",dFlt1,critFlt1,dFlt2,critFlt2,dFlt3,critFlt3))</f>
        <v/>
      </c>
      <c r="E292" t="str">
        <f>IF($B292="","",SUMIFS(dQty,dCust,$B292,dPer,"&gt;="&amp;pyFrom,dPer,"&lt;="&amp;pyTo,dQty,"&gt;-1E+300",dFlt1,critFlt1,dFlt2,critFlt2,dFlt3,critFlt3))</f>
        <v/>
      </c>
      <c r="F292" t="str">
        <f>IF($B292="","",SUMIFS(dQty,dCust,$B292,dPer,"&gt;="&amp;cyFrom,dPer,"&lt;="&amp;cyTo,dQty,"&gt;-1E+300",dFlt1,critFlt1,dFlt2,critFlt2,dFlt3,critFlt3))</f>
        <v/>
      </c>
      <c r="G292">
        <f>IF($B292="",0,IFERROR(IF(OR(C292&lt;&gt;0,D292&lt;&gt;0,E292&lt;&gt;0,F292&lt;&gt;0),1,0),1))</f>
        <v>0</v>
      </c>
      <c r="H292" t="str">
        <f>IF(OR(G292=0,E292=0),"",C292/E292)</f>
        <v/>
      </c>
      <c r="I292" t="str">
        <f>IF(OR(G292=0,F292=0),"",D292/F292)</f>
        <v/>
      </c>
      <c r="J292" t="str">
        <f>IF(OR(H292="",I292=""),"",IF(H292=0,"",I292/H292-1))</f>
        <v/>
      </c>
      <c r="K292" t="str">
        <f>IF($B292="","",IFERROR(IF(G292=0,-2E+300,CHOOSE(sortIdx,ROUND(D292,0),IF(J292="",-1E+300,ROUND(-J292,6)),IF(J292="",-1E+300,ROUND(J292,6)))),-1.5E+300))</f>
        <v/>
      </c>
      <c r="L292" t="str">
        <f>IF(K292="","",RANK(K292,$K$2:$K$3001,0)+COUNTIF($K$2:K292,K292)-1)</f>
        <v/>
      </c>
    </row>
    <row r="293">
      <c r="B293" t="str">
        <f>IFERROR(IF(A293="","","="&amp;SUBSTITUTE(SUBSTITUTE(SUBSTITUTE(A293,"~","~~"),"*","~*"),"?","~?")),"")</f>
        <v/>
      </c>
      <c r="C293" t="str">
        <f>IF($B293="","",SUMIFS(dAmt,dCust,$B293,dPer,"&gt;="&amp;pyFrom,dPer,"&lt;="&amp;pyTo,dAmt,"&gt;-1E+300",dFlt1,critFlt1,dFlt2,critFlt2,dFlt3,critFlt3))</f>
        <v/>
      </c>
      <c r="D293" t="str">
        <f>IF($B293="","",SUMIFS(dAmt,dCust,$B293,dPer,"&gt;="&amp;cyFrom,dPer,"&lt;="&amp;cyTo,dAmt,"&gt;-1E+300",dFlt1,critFlt1,dFlt2,critFlt2,dFlt3,critFlt3))</f>
        <v/>
      </c>
      <c r="E293" t="str">
        <f>IF($B293="","",SUMIFS(dQty,dCust,$B293,dPer,"&gt;="&amp;pyFrom,dPer,"&lt;="&amp;pyTo,dQty,"&gt;-1E+300",dFlt1,critFlt1,dFlt2,critFlt2,dFlt3,critFlt3))</f>
        <v/>
      </c>
      <c r="F293" t="str">
        <f>IF($B293="","",SUMIFS(dQty,dCust,$B293,dPer,"&gt;="&amp;cyFrom,dPer,"&lt;="&amp;cyTo,dQty,"&gt;-1E+300",dFlt1,critFlt1,dFlt2,critFlt2,dFlt3,critFlt3))</f>
        <v/>
      </c>
      <c r="G293">
        <f>IF($B293="",0,IFERROR(IF(OR(C293&lt;&gt;0,D293&lt;&gt;0,E293&lt;&gt;0,F293&lt;&gt;0),1,0),1))</f>
        <v>0</v>
      </c>
      <c r="H293" t="str">
        <f>IF(OR(G293=0,E293=0),"",C293/E293)</f>
        <v/>
      </c>
      <c r="I293" t="str">
        <f>IF(OR(G293=0,F293=0),"",D293/F293)</f>
        <v/>
      </c>
      <c r="J293" t="str">
        <f>IF(OR(H293="",I293=""),"",IF(H293=0,"",I293/H293-1))</f>
        <v/>
      </c>
      <c r="K293" t="str">
        <f>IF($B293="","",IFERROR(IF(G293=0,-2E+300,CHOOSE(sortIdx,ROUND(D293,0),IF(J293="",-1E+300,ROUND(-J293,6)),IF(J293="",-1E+300,ROUND(J293,6)))),-1.5E+300))</f>
        <v/>
      </c>
      <c r="L293" t="str">
        <f>IF(K293="","",RANK(K293,$K$2:$K$3001,0)+COUNTIF($K$2:K293,K293)-1)</f>
        <v/>
      </c>
    </row>
    <row r="294">
      <c r="B294" t="str">
        <f>IFERROR(IF(A294="","","="&amp;SUBSTITUTE(SUBSTITUTE(SUBSTITUTE(A294,"~","~~"),"*","~*"),"?","~?")),"")</f>
        <v/>
      </c>
      <c r="C294" t="str">
        <f>IF($B294="","",SUMIFS(dAmt,dCust,$B294,dPer,"&gt;="&amp;pyFrom,dPer,"&lt;="&amp;pyTo,dAmt,"&gt;-1E+300",dFlt1,critFlt1,dFlt2,critFlt2,dFlt3,critFlt3))</f>
        <v/>
      </c>
      <c r="D294" t="str">
        <f>IF($B294="","",SUMIFS(dAmt,dCust,$B294,dPer,"&gt;="&amp;cyFrom,dPer,"&lt;="&amp;cyTo,dAmt,"&gt;-1E+300",dFlt1,critFlt1,dFlt2,critFlt2,dFlt3,critFlt3))</f>
        <v/>
      </c>
      <c r="E294" t="str">
        <f>IF($B294="","",SUMIFS(dQty,dCust,$B294,dPer,"&gt;="&amp;pyFrom,dPer,"&lt;="&amp;pyTo,dQty,"&gt;-1E+300",dFlt1,critFlt1,dFlt2,critFlt2,dFlt3,critFlt3))</f>
        <v/>
      </c>
      <c r="F294" t="str">
        <f>IF($B294="","",SUMIFS(dQty,dCust,$B294,dPer,"&gt;="&amp;cyFrom,dPer,"&lt;="&amp;cyTo,dQty,"&gt;-1E+300",dFlt1,critFlt1,dFlt2,critFlt2,dFlt3,critFlt3))</f>
        <v/>
      </c>
      <c r="G294">
        <f>IF($B294="",0,IFERROR(IF(OR(C294&lt;&gt;0,D294&lt;&gt;0,E294&lt;&gt;0,F294&lt;&gt;0),1,0),1))</f>
        <v>0</v>
      </c>
      <c r="H294" t="str">
        <f>IF(OR(G294=0,E294=0),"",C294/E294)</f>
        <v/>
      </c>
      <c r="I294" t="str">
        <f>IF(OR(G294=0,F294=0),"",D294/F294)</f>
        <v/>
      </c>
      <c r="J294" t="str">
        <f>IF(OR(H294="",I294=""),"",IF(H294=0,"",I294/H294-1))</f>
        <v/>
      </c>
      <c r="K294" t="str">
        <f>IF($B294="","",IFERROR(IF(G294=0,-2E+300,CHOOSE(sortIdx,ROUND(D294,0),IF(J294="",-1E+300,ROUND(-J294,6)),IF(J294="",-1E+300,ROUND(J294,6)))),-1.5E+300))</f>
        <v/>
      </c>
      <c r="L294" t="str">
        <f>IF(K294="","",RANK(K294,$K$2:$K$3001,0)+COUNTIF($K$2:K294,K294)-1)</f>
        <v/>
      </c>
    </row>
    <row r="295">
      <c r="B295" t="str">
        <f>IFERROR(IF(A295="","","="&amp;SUBSTITUTE(SUBSTITUTE(SUBSTITUTE(A295,"~","~~"),"*","~*"),"?","~?")),"")</f>
        <v/>
      </c>
      <c r="C295" t="str">
        <f>IF($B295="","",SUMIFS(dAmt,dCust,$B295,dPer,"&gt;="&amp;pyFrom,dPer,"&lt;="&amp;pyTo,dAmt,"&gt;-1E+300",dFlt1,critFlt1,dFlt2,critFlt2,dFlt3,critFlt3))</f>
        <v/>
      </c>
      <c r="D295" t="str">
        <f>IF($B295="","",SUMIFS(dAmt,dCust,$B295,dPer,"&gt;="&amp;cyFrom,dPer,"&lt;="&amp;cyTo,dAmt,"&gt;-1E+300",dFlt1,critFlt1,dFlt2,critFlt2,dFlt3,critFlt3))</f>
        <v/>
      </c>
      <c r="E295" t="str">
        <f>IF($B295="","",SUMIFS(dQty,dCust,$B295,dPer,"&gt;="&amp;pyFrom,dPer,"&lt;="&amp;pyTo,dQty,"&gt;-1E+300",dFlt1,critFlt1,dFlt2,critFlt2,dFlt3,critFlt3))</f>
        <v/>
      </c>
      <c r="F295" t="str">
        <f>IF($B295="","",SUMIFS(dQty,dCust,$B295,dPer,"&gt;="&amp;cyFrom,dPer,"&lt;="&amp;cyTo,dQty,"&gt;-1E+300",dFlt1,critFlt1,dFlt2,critFlt2,dFlt3,critFlt3))</f>
        <v/>
      </c>
      <c r="G295">
        <f>IF($B295="",0,IFERROR(IF(OR(C295&lt;&gt;0,D295&lt;&gt;0,E295&lt;&gt;0,F295&lt;&gt;0),1,0),1))</f>
        <v>0</v>
      </c>
      <c r="H295" t="str">
        <f>IF(OR(G295=0,E295=0),"",C295/E295)</f>
        <v/>
      </c>
      <c r="I295" t="str">
        <f>IF(OR(G295=0,F295=0),"",D295/F295)</f>
        <v/>
      </c>
      <c r="J295" t="str">
        <f>IF(OR(H295="",I295=""),"",IF(H295=0,"",I295/H295-1))</f>
        <v/>
      </c>
      <c r="K295" t="str">
        <f>IF($B295="","",IFERROR(IF(G295=0,-2E+300,CHOOSE(sortIdx,ROUND(D295,0),IF(J295="",-1E+300,ROUND(-J295,6)),IF(J295="",-1E+300,ROUND(J295,6)))),-1.5E+300))</f>
        <v/>
      </c>
      <c r="L295" t="str">
        <f>IF(K295="","",RANK(K295,$K$2:$K$3001,0)+COUNTIF($K$2:K295,K295)-1)</f>
        <v/>
      </c>
    </row>
    <row r="296">
      <c r="B296" t="str">
        <f>IFERROR(IF(A296="","","="&amp;SUBSTITUTE(SUBSTITUTE(SUBSTITUTE(A296,"~","~~"),"*","~*"),"?","~?")),"")</f>
        <v/>
      </c>
      <c r="C296" t="str">
        <f>IF($B296="","",SUMIFS(dAmt,dCust,$B296,dPer,"&gt;="&amp;pyFrom,dPer,"&lt;="&amp;pyTo,dAmt,"&gt;-1E+300",dFlt1,critFlt1,dFlt2,critFlt2,dFlt3,critFlt3))</f>
        <v/>
      </c>
      <c r="D296" t="str">
        <f>IF($B296="","",SUMIFS(dAmt,dCust,$B296,dPer,"&gt;="&amp;cyFrom,dPer,"&lt;="&amp;cyTo,dAmt,"&gt;-1E+300",dFlt1,critFlt1,dFlt2,critFlt2,dFlt3,critFlt3))</f>
        <v/>
      </c>
      <c r="E296" t="str">
        <f>IF($B296="","",SUMIFS(dQty,dCust,$B296,dPer,"&gt;="&amp;pyFrom,dPer,"&lt;="&amp;pyTo,dQty,"&gt;-1E+300",dFlt1,critFlt1,dFlt2,critFlt2,dFlt3,critFlt3))</f>
        <v/>
      </c>
      <c r="F296" t="str">
        <f>IF($B296="","",SUMIFS(dQty,dCust,$B296,dPer,"&gt;="&amp;cyFrom,dPer,"&lt;="&amp;cyTo,dQty,"&gt;-1E+300",dFlt1,critFlt1,dFlt2,critFlt2,dFlt3,critFlt3))</f>
        <v/>
      </c>
      <c r="G296">
        <f>IF($B296="",0,IFERROR(IF(OR(C296&lt;&gt;0,D296&lt;&gt;0,E296&lt;&gt;0,F296&lt;&gt;0),1,0),1))</f>
        <v>0</v>
      </c>
      <c r="H296" t="str">
        <f>IF(OR(G296=0,E296=0),"",C296/E296)</f>
        <v/>
      </c>
      <c r="I296" t="str">
        <f>IF(OR(G296=0,F296=0),"",D296/F296)</f>
        <v/>
      </c>
      <c r="J296" t="str">
        <f>IF(OR(H296="",I296=""),"",IF(H296=0,"",I296/H296-1))</f>
        <v/>
      </c>
      <c r="K296" t="str">
        <f>IF($B296="","",IFERROR(IF(G296=0,-2E+300,CHOOSE(sortIdx,ROUND(D296,0),IF(J296="",-1E+300,ROUND(-J296,6)),IF(J296="",-1E+300,ROUND(J296,6)))),-1.5E+300))</f>
        <v/>
      </c>
      <c r="L296" t="str">
        <f>IF(K296="","",RANK(K296,$K$2:$K$3001,0)+COUNTIF($K$2:K296,K296)-1)</f>
        <v/>
      </c>
    </row>
    <row r="297">
      <c r="B297" t="str">
        <f>IFERROR(IF(A297="","","="&amp;SUBSTITUTE(SUBSTITUTE(SUBSTITUTE(A297,"~","~~"),"*","~*"),"?","~?")),"")</f>
        <v/>
      </c>
      <c r="C297" t="str">
        <f>IF($B297="","",SUMIFS(dAmt,dCust,$B297,dPer,"&gt;="&amp;pyFrom,dPer,"&lt;="&amp;pyTo,dAmt,"&gt;-1E+300",dFlt1,critFlt1,dFlt2,critFlt2,dFlt3,critFlt3))</f>
        <v/>
      </c>
      <c r="D297" t="str">
        <f>IF($B297="","",SUMIFS(dAmt,dCust,$B297,dPer,"&gt;="&amp;cyFrom,dPer,"&lt;="&amp;cyTo,dAmt,"&gt;-1E+300",dFlt1,critFlt1,dFlt2,critFlt2,dFlt3,critFlt3))</f>
        <v/>
      </c>
      <c r="E297" t="str">
        <f>IF($B297="","",SUMIFS(dQty,dCust,$B297,dPer,"&gt;="&amp;pyFrom,dPer,"&lt;="&amp;pyTo,dQty,"&gt;-1E+300",dFlt1,critFlt1,dFlt2,critFlt2,dFlt3,critFlt3))</f>
        <v/>
      </c>
      <c r="F297" t="str">
        <f>IF($B297="","",SUMIFS(dQty,dCust,$B297,dPer,"&gt;="&amp;cyFrom,dPer,"&lt;="&amp;cyTo,dQty,"&gt;-1E+300",dFlt1,critFlt1,dFlt2,critFlt2,dFlt3,critFlt3))</f>
        <v/>
      </c>
      <c r="G297">
        <f>IF($B297="",0,IFERROR(IF(OR(C297&lt;&gt;0,D297&lt;&gt;0,E297&lt;&gt;0,F297&lt;&gt;0),1,0),1))</f>
        <v>0</v>
      </c>
      <c r="H297" t="str">
        <f>IF(OR(G297=0,E297=0),"",C297/E297)</f>
        <v/>
      </c>
      <c r="I297" t="str">
        <f>IF(OR(G297=0,F297=0),"",D297/F297)</f>
        <v/>
      </c>
      <c r="J297" t="str">
        <f>IF(OR(H297="",I297=""),"",IF(H297=0,"",I297/H297-1))</f>
        <v/>
      </c>
      <c r="K297" t="str">
        <f>IF($B297="","",IFERROR(IF(G297=0,-2E+300,CHOOSE(sortIdx,ROUND(D297,0),IF(J297="",-1E+300,ROUND(-J297,6)),IF(J297="",-1E+300,ROUND(J297,6)))),-1.5E+300))</f>
        <v/>
      </c>
      <c r="L297" t="str">
        <f>IF(K297="","",RANK(K297,$K$2:$K$3001,0)+COUNTIF($K$2:K297,K297)-1)</f>
        <v/>
      </c>
    </row>
    <row r="298">
      <c r="B298" t="str">
        <f>IFERROR(IF(A298="","","="&amp;SUBSTITUTE(SUBSTITUTE(SUBSTITUTE(A298,"~","~~"),"*","~*"),"?","~?")),"")</f>
        <v/>
      </c>
      <c r="C298" t="str">
        <f>IF($B298="","",SUMIFS(dAmt,dCust,$B298,dPer,"&gt;="&amp;pyFrom,dPer,"&lt;="&amp;pyTo,dAmt,"&gt;-1E+300",dFlt1,critFlt1,dFlt2,critFlt2,dFlt3,critFlt3))</f>
        <v/>
      </c>
      <c r="D298" t="str">
        <f>IF($B298="","",SUMIFS(dAmt,dCust,$B298,dPer,"&gt;="&amp;cyFrom,dPer,"&lt;="&amp;cyTo,dAmt,"&gt;-1E+300",dFlt1,critFlt1,dFlt2,critFlt2,dFlt3,critFlt3))</f>
        <v/>
      </c>
      <c r="E298" t="str">
        <f>IF($B298="","",SUMIFS(dQty,dCust,$B298,dPer,"&gt;="&amp;pyFrom,dPer,"&lt;="&amp;pyTo,dQty,"&gt;-1E+300",dFlt1,critFlt1,dFlt2,critFlt2,dFlt3,critFlt3))</f>
        <v/>
      </c>
      <c r="F298" t="str">
        <f>IF($B298="","",SUMIFS(dQty,dCust,$B298,dPer,"&gt;="&amp;cyFrom,dPer,"&lt;="&amp;cyTo,dQty,"&gt;-1E+300",dFlt1,critFlt1,dFlt2,critFlt2,dFlt3,critFlt3))</f>
        <v/>
      </c>
      <c r="G298">
        <f>IF($B298="",0,IFERROR(IF(OR(C298&lt;&gt;0,D298&lt;&gt;0,E298&lt;&gt;0,F298&lt;&gt;0),1,0),1))</f>
        <v>0</v>
      </c>
      <c r="H298" t="str">
        <f>IF(OR(G298=0,E298=0),"",C298/E298)</f>
        <v/>
      </c>
      <c r="I298" t="str">
        <f>IF(OR(G298=0,F298=0),"",D298/F298)</f>
        <v/>
      </c>
      <c r="J298" t="str">
        <f>IF(OR(H298="",I298=""),"",IF(H298=0,"",I298/H298-1))</f>
        <v/>
      </c>
      <c r="K298" t="str">
        <f>IF($B298="","",IFERROR(IF(G298=0,-2E+300,CHOOSE(sortIdx,ROUND(D298,0),IF(J298="",-1E+300,ROUND(-J298,6)),IF(J298="",-1E+300,ROUND(J298,6)))),-1.5E+300))</f>
        <v/>
      </c>
      <c r="L298" t="str">
        <f>IF(K298="","",RANK(K298,$K$2:$K$3001,0)+COUNTIF($K$2:K298,K298)-1)</f>
        <v/>
      </c>
    </row>
    <row r="299">
      <c r="B299" t="str">
        <f>IFERROR(IF(A299="","","="&amp;SUBSTITUTE(SUBSTITUTE(SUBSTITUTE(A299,"~","~~"),"*","~*"),"?","~?")),"")</f>
        <v/>
      </c>
      <c r="C299" t="str">
        <f>IF($B299="","",SUMIFS(dAmt,dCust,$B299,dPer,"&gt;="&amp;pyFrom,dPer,"&lt;="&amp;pyTo,dAmt,"&gt;-1E+300",dFlt1,critFlt1,dFlt2,critFlt2,dFlt3,critFlt3))</f>
        <v/>
      </c>
      <c r="D299" t="str">
        <f>IF($B299="","",SUMIFS(dAmt,dCust,$B299,dPer,"&gt;="&amp;cyFrom,dPer,"&lt;="&amp;cyTo,dAmt,"&gt;-1E+300",dFlt1,critFlt1,dFlt2,critFlt2,dFlt3,critFlt3))</f>
        <v/>
      </c>
      <c r="E299" t="str">
        <f>IF($B299="","",SUMIFS(dQty,dCust,$B299,dPer,"&gt;="&amp;pyFrom,dPer,"&lt;="&amp;pyTo,dQty,"&gt;-1E+300",dFlt1,critFlt1,dFlt2,critFlt2,dFlt3,critFlt3))</f>
        <v/>
      </c>
      <c r="F299" t="str">
        <f>IF($B299="","",SUMIFS(dQty,dCust,$B299,dPer,"&gt;="&amp;cyFrom,dPer,"&lt;="&amp;cyTo,dQty,"&gt;-1E+300",dFlt1,critFlt1,dFlt2,critFlt2,dFlt3,critFlt3))</f>
        <v/>
      </c>
      <c r="G299">
        <f>IF($B299="",0,IFERROR(IF(OR(C299&lt;&gt;0,D299&lt;&gt;0,E299&lt;&gt;0,F299&lt;&gt;0),1,0),1))</f>
        <v>0</v>
      </c>
      <c r="H299" t="str">
        <f>IF(OR(G299=0,E299=0),"",C299/E299)</f>
        <v/>
      </c>
      <c r="I299" t="str">
        <f>IF(OR(G299=0,F299=0),"",D299/F299)</f>
        <v/>
      </c>
      <c r="J299" t="str">
        <f>IF(OR(H299="",I299=""),"",IF(H299=0,"",I299/H299-1))</f>
        <v/>
      </c>
      <c r="K299" t="str">
        <f>IF($B299="","",IFERROR(IF(G299=0,-2E+300,CHOOSE(sortIdx,ROUND(D299,0),IF(J299="",-1E+300,ROUND(-J299,6)),IF(J299="",-1E+300,ROUND(J299,6)))),-1.5E+300))</f>
        <v/>
      </c>
      <c r="L299" t="str">
        <f>IF(K299="","",RANK(K299,$K$2:$K$3001,0)+COUNTIF($K$2:K299,K299)-1)</f>
        <v/>
      </c>
    </row>
    <row r="300">
      <c r="B300" t="str">
        <f>IFERROR(IF(A300="","","="&amp;SUBSTITUTE(SUBSTITUTE(SUBSTITUTE(A300,"~","~~"),"*","~*"),"?","~?")),"")</f>
        <v/>
      </c>
      <c r="C300" t="str">
        <f>IF($B300="","",SUMIFS(dAmt,dCust,$B300,dPer,"&gt;="&amp;pyFrom,dPer,"&lt;="&amp;pyTo,dAmt,"&gt;-1E+300",dFlt1,critFlt1,dFlt2,critFlt2,dFlt3,critFlt3))</f>
        <v/>
      </c>
      <c r="D300" t="str">
        <f>IF($B300="","",SUMIFS(dAmt,dCust,$B300,dPer,"&gt;="&amp;cyFrom,dPer,"&lt;="&amp;cyTo,dAmt,"&gt;-1E+300",dFlt1,critFlt1,dFlt2,critFlt2,dFlt3,critFlt3))</f>
        <v/>
      </c>
      <c r="E300" t="str">
        <f>IF($B300="","",SUMIFS(dQty,dCust,$B300,dPer,"&gt;="&amp;pyFrom,dPer,"&lt;="&amp;pyTo,dQty,"&gt;-1E+300",dFlt1,critFlt1,dFlt2,critFlt2,dFlt3,critFlt3))</f>
        <v/>
      </c>
      <c r="F300" t="str">
        <f>IF($B300="","",SUMIFS(dQty,dCust,$B300,dPer,"&gt;="&amp;cyFrom,dPer,"&lt;="&amp;cyTo,dQty,"&gt;-1E+300",dFlt1,critFlt1,dFlt2,critFlt2,dFlt3,critFlt3))</f>
        <v/>
      </c>
      <c r="G300">
        <f>IF($B300="",0,IFERROR(IF(OR(C300&lt;&gt;0,D300&lt;&gt;0,E300&lt;&gt;0,F300&lt;&gt;0),1,0),1))</f>
        <v>0</v>
      </c>
      <c r="H300" t="str">
        <f>IF(OR(G300=0,E300=0),"",C300/E300)</f>
        <v/>
      </c>
      <c r="I300" t="str">
        <f>IF(OR(G300=0,F300=0),"",D300/F300)</f>
        <v/>
      </c>
      <c r="J300" t="str">
        <f>IF(OR(H300="",I300=""),"",IF(H300=0,"",I300/H300-1))</f>
        <v/>
      </c>
      <c r="K300" t="str">
        <f>IF($B300="","",IFERROR(IF(G300=0,-2E+300,CHOOSE(sortIdx,ROUND(D300,0),IF(J300="",-1E+300,ROUND(-J300,6)),IF(J300="",-1E+300,ROUND(J300,6)))),-1.5E+300))</f>
        <v/>
      </c>
      <c r="L300" t="str">
        <f>IF(K300="","",RANK(K300,$K$2:$K$3001,0)+COUNTIF($K$2:K300,K300)-1)</f>
        <v/>
      </c>
    </row>
    <row r="301">
      <c r="B301" t="str">
        <f>IFERROR(IF(A301="","","="&amp;SUBSTITUTE(SUBSTITUTE(SUBSTITUTE(A301,"~","~~"),"*","~*"),"?","~?")),"")</f>
        <v/>
      </c>
      <c r="C301" t="str">
        <f>IF($B301="","",SUMIFS(dAmt,dCust,$B301,dPer,"&gt;="&amp;pyFrom,dPer,"&lt;="&amp;pyTo,dAmt,"&gt;-1E+300",dFlt1,critFlt1,dFlt2,critFlt2,dFlt3,critFlt3))</f>
        <v/>
      </c>
      <c r="D301" t="str">
        <f>IF($B301="","",SUMIFS(dAmt,dCust,$B301,dPer,"&gt;="&amp;cyFrom,dPer,"&lt;="&amp;cyTo,dAmt,"&gt;-1E+300",dFlt1,critFlt1,dFlt2,critFlt2,dFlt3,critFlt3))</f>
        <v/>
      </c>
      <c r="E301" t="str">
        <f>IF($B301="","",SUMIFS(dQty,dCust,$B301,dPer,"&gt;="&amp;pyFrom,dPer,"&lt;="&amp;pyTo,dQty,"&gt;-1E+300",dFlt1,critFlt1,dFlt2,critFlt2,dFlt3,critFlt3))</f>
        <v/>
      </c>
      <c r="F301" t="str">
        <f>IF($B301="","",SUMIFS(dQty,dCust,$B301,dPer,"&gt;="&amp;cyFrom,dPer,"&lt;="&amp;cyTo,dQty,"&gt;-1E+300",dFlt1,critFlt1,dFlt2,critFlt2,dFlt3,critFlt3))</f>
        <v/>
      </c>
      <c r="G301">
        <f>IF($B301="",0,IFERROR(IF(OR(C301&lt;&gt;0,D301&lt;&gt;0,E301&lt;&gt;0,F301&lt;&gt;0),1,0),1))</f>
        <v>0</v>
      </c>
      <c r="H301" t="str">
        <f>IF(OR(G301=0,E301=0),"",C301/E301)</f>
        <v/>
      </c>
      <c r="I301" t="str">
        <f>IF(OR(G301=0,F301=0),"",D301/F301)</f>
        <v/>
      </c>
      <c r="J301" t="str">
        <f>IF(OR(H301="",I301=""),"",IF(H301=0,"",I301/H301-1))</f>
        <v/>
      </c>
      <c r="K301" t="str">
        <f>IF($B301="","",IFERROR(IF(G301=0,-2E+300,CHOOSE(sortIdx,ROUND(D301,0),IF(J301="",-1E+300,ROUND(-J301,6)),IF(J301="",-1E+300,ROUND(J301,6)))),-1.5E+300))</f>
        <v/>
      </c>
      <c r="L301" t="str">
        <f>IF(K301="","",RANK(K301,$K$2:$K$3001,0)+COUNTIF($K$2:K301,K301)-1)</f>
        <v/>
      </c>
    </row>
    <row r="302">
      <c r="B302" t="str">
        <f>IFERROR(IF(A302="","","="&amp;SUBSTITUTE(SUBSTITUTE(SUBSTITUTE(A302,"~","~~"),"*","~*"),"?","~?")),"")</f>
        <v/>
      </c>
      <c r="C302" t="str">
        <f>IF($B302="","",SUMIFS(dAmt,dCust,$B302,dPer,"&gt;="&amp;pyFrom,dPer,"&lt;="&amp;pyTo,dAmt,"&gt;-1E+300",dFlt1,critFlt1,dFlt2,critFlt2,dFlt3,critFlt3))</f>
        <v/>
      </c>
      <c r="D302" t="str">
        <f>IF($B302="","",SUMIFS(dAmt,dCust,$B302,dPer,"&gt;="&amp;cyFrom,dPer,"&lt;="&amp;cyTo,dAmt,"&gt;-1E+300",dFlt1,critFlt1,dFlt2,critFlt2,dFlt3,critFlt3))</f>
        <v/>
      </c>
      <c r="E302" t="str">
        <f>IF($B302="","",SUMIFS(dQty,dCust,$B302,dPer,"&gt;="&amp;pyFrom,dPer,"&lt;="&amp;pyTo,dQty,"&gt;-1E+300",dFlt1,critFlt1,dFlt2,critFlt2,dFlt3,critFlt3))</f>
        <v/>
      </c>
      <c r="F302" t="str">
        <f>IF($B302="","",SUMIFS(dQty,dCust,$B302,dPer,"&gt;="&amp;cyFrom,dPer,"&lt;="&amp;cyTo,dQty,"&gt;-1E+300",dFlt1,critFlt1,dFlt2,critFlt2,dFlt3,critFlt3))</f>
        <v/>
      </c>
      <c r="G302">
        <f>IF($B302="",0,IFERROR(IF(OR(C302&lt;&gt;0,D302&lt;&gt;0,E302&lt;&gt;0,F302&lt;&gt;0),1,0),1))</f>
        <v>0</v>
      </c>
      <c r="H302" t="str">
        <f>IF(OR(G302=0,E302=0),"",C302/E302)</f>
        <v/>
      </c>
      <c r="I302" t="str">
        <f>IF(OR(G302=0,F302=0),"",D302/F302)</f>
        <v/>
      </c>
      <c r="J302" t="str">
        <f>IF(OR(H302="",I302=""),"",IF(H302=0,"",I302/H302-1))</f>
        <v/>
      </c>
      <c r="K302" t="str">
        <f>IF($B302="","",IFERROR(IF(G302=0,-2E+300,CHOOSE(sortIdx,ROUND(D302,0),IF(J302="",-1E+300,ROUND(-J302,6)),IF(J302="",-1E+300,ROUND(J302,6)))),-1.5E+300))</f>
        <v/>
      </c>
      <c r="L302" t="str">
        <f>IF(K302="","",RANK(K302,$K$2:$K$3001,0)+COUNTIF($K$2:K302,K302)-1)</f>
        <v/>
      </c>
    </row>
    <row r="303">
      <c r="B303" t="str">
        <f>IFERROR(IF(A303="","","="&amp;SUBSTITUTE(SUBSTITUTE(SUBSTITUTE(A303,"~","~~"),"*","~*"),"?","~?")),"")</f>
        <v/>
      </c>
      <c r="C303" t="str">
        <f>IF($B303="","",SUMIFS(dAmt,dCust,$B303,dPer,"&gt;="&amp;pyFrom,dPer,"&lt;="&amp;pyTo,dAmt,"&gt;-1E+300",dFlt1,critFlt1,dFlt2,critFlt2,dFlt3,critFlt3))</f>
        <v/>
      </c>
      <c r="D303" t="str">
        <f>IF($B303="","",SUMIFS(dAmt,dCust,$B303,dPer,"&gt;="&amp;cyFrom,dPer,"&lt;="&amp;cyTo,dAmt,"&gt;-1E+300",dFlt1,critFlt1,dFlt2,critFlt2,dFlt3,critFlt3))</f>
        <v/>
      </c>
      <c r="E303" t="str">
        <f>IF($B303="","",SUMIFS(dQty,dCust,$B303,dPer,"&gt;="&amp;pyFrom,dPer,"&lt;="&amp;pyTo,dQty,"&gt;-1E+300",dFlt1,critFlt1,dFlt2,critFlt2,dFlt3,critFlt3))</f>
        <v/>
      </c>
      <c r="F303" t="str">
        <f>IF($B303="","",SUMIFS(dQty,dCust,$B303,dPer,"&gt;="&amp;cyFrom,dPer,"&lt;="&amp;cyTo,dQty,"&gt;-1E+300",dFlt1,critFlt1,dFlt2,critFlt2,dFlt3,critFlt3))</f>
        <v/>
      </c>
      <c r="G303">
        <f>IF($B303="",0,IFERROR(IF(OR(C303&lt;&gt;0,D303&lt;&gt;0,E303&lt;&gt;0,F303&lt;&gt;0),1,0),1))</f>
        <v>0</v>
      </c>
      <c r="H303" t="str">
        <f>IF(OR(G303=0,E303=0),"",C303/E303)</f>
        <v/>
      </c>
      <c r="I303" t="str">
        <f>IF(OR(G303=0,F303=0),"",D303/F303)</f>
        <v/>
      </c>
      <c r="J303" t="str">
        <f>IF(OR(H303="",I303=""),"",IF(H303=0,"",I303/H303-1))</f>
        <v/>
      </c>
      <c r="K303" t="str">
        <f>IF($B303="","",IFERROR(IF(G303=0,-2E+300,CHOOSE(sortIdx,ROUND(D303,0),IF(J303="",-1E+300,ROUND(-J303,6)),IF(J303="",-1E+300,ROUND(J303,6)))),-1.5E+300))</f>
        <v/>
      </c>
      <c r="L303" t="str">
        <f>IF(K303="","",RANK(K303,$K$2:$K$3001,0)+COUNTIF($K$2:K303,K303)-1)</f>
        <v/>
      </c>
    </row>
    <row r="304">
      <c r="B304" t="str">
        <f>IFERROR(IF(A304="","","="&amp;SUBSTITUTE(SUBSTITUTE(SUBSTITUTE(A304,"~","~~"),"*","~*"),"?","~?")),"")</f>
        <v/>
      </c>
      <c r="C304" t="str">
        <f>IF($B304="","",SUMIFS(dAmt,dCust,$B304,dPer,"&gt;="&amp;pyFrom,dPer,"&lt;="&amp;pyTo,dAmt,"&gt;-1E+300",dFlt1,critFlt1,dFlt2,critFlt2,dFlt3,critFlt3))</f>
        <v/>
      </c>
      <c r="D304" t="str">
        <f>IF($B304="","",SUMIFS(dAmt,dCust,$B304,dPer,"&gt;="&amp;cyFrom,dPer,"&lt;="&amp;cyTo,dAmt,"&gt;-1E+300",dFlt1,critFlt1,dFlt2,critFlt2,dFlt3,critFlt3))</f>
        <v/>
      </c>
      <c r="E304" t="str">
        <f>IF($B304="","",SUMIFS(dQty,dCust,$B304,dPer,"&gt;="&amp;pyFrom,dPer,"&lt;="&amp;pyTo,dQty,"&gt;-1E+300",dFlt1,critFlt1,dFlt2,critFlt2,dFlt3,critFlt3))</f>
        <v/>
      </c>
      <c r="F304" t="str">
        <f>IF($B304="","",SUMIFS(dQty,dCust,$B304,dPer,"&gt;="&amp;cyFrom,dPer,"&lt;="&amp;cyTo,dQty,"&gt;-1E+300",dFlt1,critFlt1,dFlt2,critFlt2,dFlt3,critFlt3))</f>
        <v/>
      </c>
      <c r="G304">
        <f>IF($B304="",0,IFERROR(IF(OR(C304&lt;&gt;0,D304&lt;&gt;0,E304&lt;&gt;0,F304&lt;&gt;0),1,0),1))</f>
        <v>0</v>
      </c>
      <c r="H304" t="str">
        <f>IF(OR(G304=0,E304=0),"",C304/E304)</f>
        <v/>
      </c>
      <c r="I304" t="str">
        <f>IF(OR(G304=0,F304=0),"",D304/F304)</f>
        <v/>
      </c>
      <c r="J304" t="str">
        <f>IF(OR(H304="",I304=""),"",IF(H304=0,"",I304/H304-1))</f>
        <v/>
      </c>
      <c r="K304" t="str">
        <f>IF($B304="","",IFERROR(IF(G304=0,-2E+300,CHOOSE(sortIdx,ROUND(D304,0),IF(J304="",-1E+300,ROUND(-J304,6)),IF(J304="",-1E+300,ROUND(J304,6)))),-1.5E+300))</f>
        <v/>
      </c>
      <c r="L304" t="str">
        <f>IF(K304="","",RANK(K304,$K$2:$K$3001,0)+COUNTIF($K$2:K304,K304)-1)</f>
        <v/>
      </c>
    </row>
    <row r="305">
      <c r="B305" t="str">
        <f>IFERROR(IF(A305="","","="&amp;SUBSTITUTE(SUBSTITUTE(SUBSTITUTE(A305,"~","~~"),"*","~*"),"?","~?")),"")</f>
        <v/>
      </c>
      <c r="C305" t="str">
        <f>IF($B305="","",SUMIFS(dAmt,dCust,$B305,dPer,"&gt;="&amp;pyFrom,dPer,"&lt;="&amp;pyTo,dAmt,"&gt;-1E+300",dFlt1,critFlt1,dFlt2,critFlt2,dFlt3,critFlt3))</f>
        <v/>
      </c>
      <c r="D305" t="str">
        <f>IF($B305="","",SUMIFS(dAmt,dCust,$B305,dPer,"&gt;="&amp;cyFrom,dPer,"&lt;="&amp;cyTo,dAmt,"&gt;-1E+300",dFlt1,critFlt1,dFlt2,critFlt2,dFlt3,critFlt3))</f>
        <v/>
      </c>
      <c r="E305" t="str">
        <f>IF($B305="","",SUMIFS(dQty,dCust,$B305,dPer,"&gt;="&amp;pyFrom,dPer,"&lt;="&amp;pyTo,dQty,"&gt;-1E+300",dFlt1,critFlt1,dFlt2,critFlt2,dFlt3,critFlt3))</f>
        <v/>
      </c>
      <c r="F305" t="str">
        <f>IF($B305="","",SUMIFS(dQty,dCust,$B305,dPer,"&gt;="&amp;cyFrom,dPer,"&lt;="&amp;cyTo,dQty,"&gt;-1E+300",dFlt1,critFlt1,dFlt2,critFlt2,dFlt3,critFlt3))</f>
        <v/>
      </c>
      <c r="G305">
        <f>IF($B305="",0,IFERROR(IF(OR(C305&lt;&gt;0,D305&lt;&gt;0,E305&lt;&gt;0,F305&lt;&gt;0),1,0),1))</f>
        <v>0</v>
      </c>
      <c r="H305" t="str">
        <f>IF(OR(G305=0,E305=0),"",C305/E305)</f>
        <v/>
      </c>
      <c r="I305" t="str">
        <f>IF(OR(G305=0,F305=0),"",D305/F305)</f>
        <v/>
      </c>
      <c r="J305" t="str">
        <f>IF(OR(H305="",I305=""),"",IF(H305=0,"",I305/H305-1))</f>
        <v/>
      </c>
      <c r="K305" t="str">
        <f>IF($B305="","",IFERROR(IF(G305=0,-2E+300,CHOOSE(sortIdx,ROUND(D305,0),IF(J305="",-1E+300,ROUND(-J305,6)),IF(J305="",-1E+300,ROUND(J305,6)))),-1.5E+300))</f>
        <v/>
      </c>
      <c r="L305" t="str">
        <f>IF(K305="","",RANK(K305,$K$2:$K$3001,0)+COUNTIF($K$2:K305,K305)-1)</f>
        <v/>
      </c>
    </row>
    <row r="306">
      <c r="B306" t="str">
        <f>IFERROR(IF(A306="","","="&amp;SUBSTITUTE(SUBSTITUTE(SUBSTITUTE(A306,"~","~~"),"*","~*"),"?","~?")),"")</f>
        <v/>
      </c>
      <c r="C306" t="str">
        <f>IF($B306="","",SUMIFS(dAmt,dCust,$B306,dPer,"&gt;="&amp;pyFrom,dPer,"&lt;="&amp;pyTo,dAmt,"&gt;-1E+300",dFlt1,critFlt1,dFlt2,critFlt2,dFlt3,critFlt3))</f>
        <v/>
      </c>
      <c r="D306" t="str">
        <f>IF($B306="","",SUMIFS(dAmt,dCust,$B306,dPer,"&gt;="&amp;cyFrom,dPer,"&lt;="&amp;cyTo,dAmt,"&gt;-1E+300",dFlt1,critFlt1,dFlt2,critFlt2,dFlt3,critFlt3))</f>
        <v/>
      </c>
      <c r="E306" t="str">
        <f>IF($B306="","",SUMIFS(dQty,dCust,$B306,dPer,"&gt;="&amp;pyFrom,dPer,"&lt;="&amp;pyTo,dQty,"&gt;-1E+300",dFlt1,critFlt1,dFlt2,critFlt2,dFlt3,critFlt3))</f>
        <v/>
      </c>
      <c r="F306" t="str">
        <f>IF($B306="","",SUMIFS(dQty,dCust,$B306,dPer,"&gt;="&amp;cyFrom,dPer,"&lt;="&amp;cyTo,dQty,"&gt;-1E+300",dFlt1,critFlt1,dFlt2,critFlt2,dFlt3,critFlt3))</f>
        <v/>
      </c>
      <c r="G306">
        <f>IF($B306="",0,IFERROR(IF(OR(C306&lt;&gt;0,D306&lt;&gt;0,E306&lt;&gt;0,F306&lt;&gt;0),1,0),1))</f>
        <v>0</v>
      </c>
      <c r="H306" t="str">
        <f>IF(OR(G306=0,E306=0),"",C306/E306)</f>
        <v/>
      </c>
      <c r="I306" t="str">
        <f>IF(OR(G306=0,F306=0),"",D306/F306)</f>
        <v/>
      </c>
      <c r="J306" t="str">
        <f>IF(OR(H306="",I306=""),"",IF(H306=0,"",I306/H306-1))</f>
        <v/>
      </c>
      <c r="K306" t="str">
        <f>IF($B306="","",IFERROR(IF(G306=0,-2E+300,CHOOSE(sortIdx,ROUND(D306,0),IF(J306="",-1E+300,ROUND(-J306,6)),IF(J306="",-1E+300,ROUND(J306,6)))),-1.5E+300))</f>
        <v/>
      </c>
      <c r="L306" t="str">
        <f>IF(K306="","",RANK(K306,$K$2:$K$3001,0)+COUNTIF($K$2:K306,K306)-1)</f>
        <v/>
      </c>
    </row>
    <row r="307">
      <c r="B307" t="str">
        <f>IFERROR(IF(A307="","","="&amp;SUBSTITUTE(SUBSTITUTE(SUBSTITUTE(A307,"~","~~"),"*","~*"),"?","~?")),"")</f>
        <v/>
      </c>
      <c r="C307" t="str">
        <f>IF($B307="","",SUMIFS(dAmt,dCust,$B307,dPer,"&gt;="&amp;pyFrom,dPer,"&lt;="&amp;pyTo,dAmt,"&gt;-1E+300",dFlt1,critFlt1,dFlt2,critFlt2,dFlt3,critFlt3))</f>
        <v/>
      </c>
      <c r="D307" t="str">
        <f>IF($B307="","",SUMIFS(dAmt,dCust,$B307,dPer,"&gt;="&amp;cyFrom,dPer,"&lt;="&amp;cyTo,dAmt,"&gt;-1E+300",dFlt1,critFlt1,dFlt2,critFlt2,dFlt3,critFlt3))</f>
        <v/>
      </c>
      <c r="E307" t="str">
        <f>IF($B307="","",SUMIFS(dQty,dCust,$B307,dPer,"&gt;="&amp;pyFrom,dPer,"&lt;="&amp;pyTo,dQty,"&gt;-1E+300",dFlt1,critFlt1,dFlt2,critFlt2,dFlt3,critFlt3))</f>
        <v/>
      </c>
      <c r="F307" t="str">
        <f>IF($B307="","",SUMIFS(dQty,dCust,$B307,dPer,"&gt;="&amp;cyFrom,dPer,"&lt;="&amp;cyTo,dQty,"&gt;-1E+300",dFlt1,critFlt1,dFlt2,critFlt2,dFlt3,critFlt3))</f>
        <v/>
      </c>
      <c r="G307">
        <f>IF($B307="",0,IFERROR(IF(OR(C307&lt;&gt;0,D307&lt;&gt;0,E307&lt;&gt;0,F307&lt;&gt;0),1,0),1))</f>
        <v>0</v>
      </c>
      <c r="H307" t="str">
        <f>IF(OR(G307=0,E307=0),"",C307/E307)</f>
        <v/>
      </c>
      <c r="I307" t="str">
        <f>IF(OR(G307=0,F307=0),"",D307/F307)</f>
        <v/>
      </c>
      <c r="J307" t="str">
        <f>IF(OR(H307="",I307=""),"",IF(H307=0,"",I307/H307-1))</f>
        <v/>
      </c>
      <c r="K307" t="str">
        <f>IF($B307="","",IFERROR(IF(G307=0,-2E+300,CHOOSE(sortIdx,ROUND(D307,0),IF(J307="",-1E+300,ROUND(-J307,6)),IF(J307="",-1E+300,ROUND(J307,6)))),-1.5E+300))</f>
        <v/>
      </c>
      <c r="L307" t="str">
        <f>IF(K307="","",RANK(K307,$K$2:$K$3001,0)+COUNTIF($K$2:K307,K307)-1)</f>
        <v/>
      </c>
    </row>
    <row r="308">
      <c r="B308" t="str">
        <f>IFERROR(IF(A308="","","="&amp;SUBSTITUTE(SUBSTITUTE(SUBSTITUTE(A308,"~","~~"),"*","~*"),"?","~?")),"")</f>
        <v/>
      </c>
      <c r="C308" t="str">
        <f>IF($B308="","",SUMIFS(dAmt,dCust,$B308,dPer,"&gt;="&amp;pyFrom,dPer,"&lt;="&amp;pyTo,dAmt,"&gt;-1E+300",dFlt1,critFlt1,dFlt2,critFlt2,dFlt3,critFlt3))</f>
        <v/>
      </c>
      <c r="D308" t="str">
        <f>IF($B308="","",SUMIFS(dAmt,dCust,$B308,dPer,"&gt;="&amp;cyFrom,dPer,"&lt;="&amp;cyTo,dAmt,"&gt;-1E+300",dFlt1,critFlt1,dFlt2,critFlt2,dFlt3,critFlt3))</f>
        <v/>
      </c>
      <c r="E308" t="str">
        <f>IF($B308="","",SUMIFS(dQty,dCust,$B308,dPer,"&gt;="&amp;pyFrom,dPer,"&lt;="&amp;pyTo,dQty,"&gt;-1E+300",dFlt1,critFlt1,dFlt2,critFlt2,dFlt3,critFlt3))</f>
        <v/>
      </c>
      <c r="F308" t="str">
        <f>IF($B308="","",SUMIFS(dQty,dCust,$B308,dPer,"&gt;="&amp;cyFrom,dPer,"&lt;="&amp;cyTo,dQty,"&gt;-1E+300",dFlt1,critFlt1,dFlt2,critFlt2,dFlt3,critFlt3))</f>
        <v/>
      </c>
      <c r="G308">
        <f>IF($B308="",0,IFERROR(IF(OR(C308&lt;&gt;0,D308&lt;&gt;0,E308&lt;&gt;0,F308&lt;&gt;0),1,0),1))</f>
        <v>0</v>
      </c>
      <c r="H308" t="str">
        <f>IF(OR(G308=0,E308=0),"",C308/E308)</f>
        <v/>
      </c>
      <c r="I308" t="str">
        <f>IF(OR(G308=0,F308=0),"",D308/F308)</f>
        <v/>
      </c>
      <c r="J308" t="str">
        <f>IF(OR(H308="",I308=""),"",IF(H308=0,"",I308/H308-1))</f>
        <v/>
      </c>
      <c r="K308" t="str">
        <f>IF($B308="","",IFERROR(IF(G308=0,-2E+300,CHOOSE(sortIdx,ROUND(D308,0),IF(J308="",-1E+300,ROUND(-J308,6)),IF(J308="",-1E+300,ROUND(J308,6)))),-1.5E+300))</f>
        <v/>
      </c>
      <c r="L308" t="str">
        <f>IF(K308="","",RANK(K308,$K$2:$K$3001,0)+COUNTIF($K$2:K308,K308)-1)</f>
        <v/>
      </c>
    </row>
    <row r="309">
      <c r="B309" t="str">
        <f>IFERROR(IF(A309="","","="&amp;SUBSTITUTE(SUBSTITUTE(SUBSTITUTE(A309,"~","~~"),"*","~*"),"?","~?")),"")</f>
        <v/>
      </c>
      <c r="C309" t="str">
        <f>IF($B309="","",SUMIFS(dAmt,dCust,$B309,dPer,"&gt;="&amp;pyFrom,dPer,"&lt;="&amp;pyTo,dAmt,"&gt;-1E+300",dFlt1,critFlt1,dFlt2,critFlt2,dFlt3,critFlt3))</f>
        <v/>
      </c>
      <c r="D309" t="str">
        <f>IF($B309="","",SUMIFS(dAmt,dCust,$B309,dPer,"&gt;="&amp;cyFrom,dPer,"&lt;="&amp;cyTo,dAmt,"&gt;-1E+300",dFlt1,critFlt1,dFlt2,critFlt2,dFlt3,critFlt3))</f>
        <v/>
      </c>
      <c r="E309" t="str">
        <f>IF($B309="","",SUMIFS(dQty,dCust,$B309,dPer,"&gt;="&amp;pyFrom,dPer,"&lt;="&amp;pyTo,dQty,"&gt;-1E+300",dFlt1,critFlt1,dFlt2,critFlt2,dFlt3,critFlt3))</f>
        <v/>
      </c>
      <c r="F309" t="str">
        <f>IF($B309="","",SUMIFS(dQty,dCust,$B309,dPer,"&gt;="&amp;cyFrom,dPer,"&lt;="&amp;cyTo,dQty,"&gt;-1E+300",dFlt1,critFlt1,dFlt2,critFlt2,dFlt3,critFlt3))</f>
        <v/>
      </c>
      <c r="G309">
        <f>IF($B309="",0,IFERROR(IF(OR(C309&lt;&gt;0,D309&lt;&gt;0,E309&lt;&gt;0,F309&lt;&gt;0),1,0),1))</f>
        <v>0</v>
      </c>
      <c r="H309" t="str">
        <f>IF(OR(G309=0,E309=0),"",C309/E309)</f>
        <v/>
      </c>
      <c r="I309" t="str">
        <f>IF(OR(G309=0,F309=0),"",D309/F309)</f>
        <v/>
      </c>
      <c r="J309" t="str">
        <f>IF(OR(H309="",I309=""),"",IF(H309=0,"",I309/H309-1))</f>
        <v/>
      </c>
      <c r="K309" t="str">
        <f>IF($B309="","",IFERROR(IF(G309=0,-2E+300,CHOOSE(sortIdx,ROUND(D309,0),IF(J309="",-1E+300,ROUND(-J309,6)),IF(J309="",-1E+300,ROUND(J309,6)))),-1.5E+300))</f>
        <v/>
      </c>
      <c r="L309" t="str">
        <f>IF(K309="","",RANK(K309,$K$2:$K$3001,0)+COUNTIF($K$2:K309,K309)-1)</f>
        <v/>
      </c>
    </row>
    <row r="310">
      <c r="B310" t="str">
        <f>IFERROR(IF(A310="","","="&amp;SUBSTITUTE(SUBSTITUTE(SUBSTITUTE(A310,"~","~~"),"*","~*"),"?","~?")),"")</f>
        <v/>
      </c>
      <c r="C310" t="str">
        <f>IF($B310="","",SUMIFS(dAmt,dCust,$B310,dPer,"&gt;="&amp;pyFrom,dPer,"&lt;="&amp;pyTo,dAmt,"&gt;-1E+300",dFlt1,critFlt1,dFlt2,critFlt2,dFlt3,critFlt3))</f>
        <v/>
      </c>
      <c r="D310" t="str">
        <f>IF($B310="","",SUMIFS(dAmt,dCust,$B310,dPer,"&gt;="&amp;cyFrom,dPer,"&lt;="&amp;cyTo,dAmt,"&gt;-1E+300",dFlt1,critFlt1,dFlt2,critFlt2,dFlt3,critFlt3))</f>
        <v/>
      </c>
      <c r="E310" t="str">
        <f>IF($B310="","",SUMIFS(dQty,dCust,$B310,dPer,"&gt;="&amp;pyFrom,dPer,"&lt;="&amp;pyTo,dQty,"&gt;-1E+300",dFlt1,critFlt1,dFlt2,critFlt2,dFlt3,critFlt3))</f>
        <v/>
      </c>
      <c r="F310" t="str">
        <f>IF($B310="","",SUMIFS(dQty,dCust,$B310,dPer,"&gt;="&amp;cyFrom,dPer,"&lt;="&amp;cyTo,dQty,"&gt;-1E+300",dFlt1,critFlt1,dFlt2,critFlt2,dFlt3,critFlt3))</f>
        <v/>
      </c>
      <c r="G310">
        <f>IF($B310="",0,IFERROR(IF(OR(C310&lt;&gt;0,D310&lt;&gt;0,E310&lt;&gt;0,F310&lt;&gt;0),1,0),1))</f>
        <v>0</v>
      </c>
      <c r="H310" t="str">
        <f>IF(OR(G310=0,E310=0),"",C310/E310)</f>
        <v/>
      </c>
      <c r="I310" t="str">
        <f>IF(OR(G310=0,F310=0),"",D310/F310)</f>
        <v/>
      </c>
      <c r="J310" t="str">
        <f>IF(OR(H310="",I310=""),"",IF(H310=0,"",I310/H310-1))</f>
        <v/>
      </c>
      <c r="K310" t="str">
        <f>IF($B310="","",IFERROR(IF(G310=0,-2E+300,CHOOSE(sortIdx,ROUND(D310,0),IF(J310="",-1E+300,ROUND(-J310,6)),IF(J310="",-1E+300,ROUND(J310,6)))),-1.5E+300))</f>
        <v/>
      </c>
      <c r="L310" t="str">
        <f>IF(K310="","",RANK(K310,$K$2:$K$3001,0)+COUNTIF($K$2:K310,K310)-1)</f>
        <v/>
      </c>
    </row>
    <row r="311">
      <c r="B311" t="str">
        <f>IFERROR(IF(A311="","","="&amp;SUBSTITUTE(SUBSTITUTE(SUBSTITUTE(A311,"~","~~"),"*","~*"),"?","~?")),"")</f>
        <v/>
      </c>
      <c r="C311" t="str">
        <f>IF($B311="","",SUMIFS(dAmt,dCust,$B311,dPer,"&gt;="&amp;pyFrom,dPer,"&lt;="&amp;pyTo,dAmt,"&gt;-1E+300",dFlt1,critFlt1,dFlt2,critFlt2,dFlt3,critFlt3))</f>
        <v/>
      </c>
      <c r="D311" t="str">
        <f>IF($B311="","",SUMIFS(dAmt,dCust,$B311,dPer,"&gt;="&amp;cyFrom,dPer,"&lt;="&amp;cyTo,dAmt,"&gt;-1E+300",dFlt1,critFlt1,dFlt2,critFlt2,dFlt3,critFlt3))</f>
        <v/>
      </c>
      <c r="E311" t="str">
        <f>IF($B311="","",SUMIFS(dQty,dCust,$B311,dPer,"&gt;="&amp;pyFrom,dPer,"&lt;="&amp;pyTo,dQty,"&gt;-1E+300",dFlt1,critFlt1,dFlt2,critFlt2,dFlt3,critFlt3))</f>
        <v/>
      </c>
      <c r="F311" t="str">
        <f>IF($B311="","",SUMIFS(dQty,dCust,$B311,dPer,"&gt;="&amp;cyFrom,dPer,"&lt;="&amp;cyTo,dQty,"&gt;-1E+300",dFlt1,critFlt1,dFlt2,critFlt2,dFlt3,critFlt3))</f>
        <v/>
      </c>
      <c r="G311">
        <f>IF($B311="",0,IFERROR(IF(OR(C311&lt;&gt;0,D311&lt;&gt;0,E311&lt;&gt;0,F311&lt;&gt;0),1,0),1))</f>
        <v>0</v>
      </c>
      <c r="H311" t="str">
        <f>IF(OR(G311=0,E311=0),"",C311/E311)</f>
        <v/>
      </c>
      <c r="I311" t="str">
        <f>IF(OR(G311=0,F311=0),"",D311/F311)</f>
        <v/>
      </c>
      <c r="J311" t="str">
        <f>IF(OR(H311="",I311=""),"",IF(H311=0,"",I311/H311-1))</f>
        <v/>
      </c>
      <c r="K311" t="str">
        <f>IF($B311="","",IFERROR(IF(G311=0,-2E+300,CHOOSE(sortIdx,ROUND(D311,0),IF(J311="",-1E+300,ROUND(-J311,6)),IF(J311="",-1E+300,ROUND(J311,6)))),-1.5E+300))</f>
        <v/>
      </c>
      <c r="L311" t="str">
        <f>IF(K311="","",RANK(K311,$K$2:$K$3001,0)+COUNTIF($K$2:K311,K311)-1)</f>
        <v/>
      </c>
    </row>
    <row r="312">
      <c r="B312" t="str">
        <f>IFERROR(IF(A312="","","="&amp;SUBSTITUTE(SUBSTITUTE(SUBSTITUTE(A312,"~","~~"),"*","~*"),"?","~?")),"")</f>
        <v/>
      </c>
      <c r="C312" t="str">
        <f>IF($B312="","",SUMIFS(dAmt,dCust,$B312,dPer,"&gt;="&amp;pyFrom,dPer,"&lt;="&amp;pyTo,dAmt,"&gt;-1E+300",dFlt1,critFlt1,dFlt2,critFlt2,dFlt3,critFlt3))</f>
        <v/>
      </c>
      <c r="D312" t="str">
        <f>IF($B312="","",SUMIFS(dAmt,dCust,$B312,dPer,"&gt;="&amp;cyFrom,dPer,"&lt;="&amp;cyTo,dAmt,"&gt;-1E+300",dFlt1,critFlt1,dFlt2,critFlt2,dFlt3,critFlt3))</f>
        <v/>
      </c>
      <c r="E312" t="str">
        <f>IF($B312="","",SUMIFS(dQty,dCust,$B312,dPer,"&gt;="&amp;pyFrom,dPer,"&lt;="&amp;pyTo,dQty,"&gt;-1E+300",dFlt1,critFlt1,dFlt2,critFlt2,dFlt3,critFlt3))</f>
        <v/>
      </c>
      <c r="F312" t="str">
        <f>IF($B312="","",SUMIFS(dQty,dCust,$B312,dPer,"&gt;="&amp;cyFrom,dPer,"&lt;="&amp;cyTo,dQty,"&gt;-1E+300",dFlt1,critFlt1,dFlt2,critFlt2,dFlt3,critFlt3))</f>
        <v/>
      </c>
      <c r="G312">
        <f>IF($B312="",0,IFERROR(IF(OR(C312&lt;&gt;0,D312&lt;&gt;0,E312&lt;&gt;0,F312&lt;&gt;0),1,0),1))</f>
        <v>0</v>
      </c>
      <c r="H312" t="str">
        <f>IF(OR(G312=0,E312=0),"",C312/E312)</f>
        <v/>
      </c>
      <c r="I312" t="str">
        <f>IF(OR(G312=0,F312=0),"",D312/F312)</f>
        <v/>
      </c>
      <c r="J312" t="str">
        <f>IF(OR(H312="",I312=""),"",IF(H312=0,"",I312/H312-1))</f>
        <v/>
      </c>
      <c r="K312" t="str">
        <f>IF($B312="","",IFERROR(IF(G312=0,-2E+300,CHOOSE(sortIdx,ROUND(D312,0),IF(J312="",-1E+300,ROUND(-J312,6)),IF(J312="",-1E+300,ROUND(J312,6)))),-1.5E+300))</f>
        <v/>
      </c>
      <c r="L312" t="str">
        <f>IF(K312="","",RANK(K312,$K$2:$K$3001,0)+COUNTIF($K$2:K312,K312)-1)</f>
        <v/>
      </c>
    </row>
    <row r="313">
      <c r="B313" t="str">
        <f>IFERROR(IF(A313="","","="&amp;SUBSTITUTE(SUBSTITUTE(SUBSTITUTE(A313,"~","~~"),"*","~*"),"?","~?")),"")</f>
        <v/>
      </c>
      <c r="C313" t="str">
        <f>IF($B313="","",SUMIFS(dAmt,dCust,$B313,dPer,"&gt;="&amp;pyFrom,dPer,"&lt;="&amp;pyTo,dAmt,"&gt;-1E+300",dFlt1,critFlt1,dFlt2,critFlt2,dFlt3,critFlt3))</f>
        <v/>
      </c>
      <c r="D313" t="str">
        <f>IF($B313="","",SUMIFS(dAmt,dCust,$B313,dPer,"&gt;="&amp;cyFrom,dPer,"&lt;="&amp;cyTo,dAmt,"&gt;-1E+300",dFlt1,critFlt1,dFlt2,critFlt2,dFlt3,critFlt3))</f>
        <v/>
      </c>
      <c r="E313" t="str">
        <f>IF($B313="","",SUMIFS(dQty,dCust,$B313,dPer,"&gt;="&amp;pyFrom,dPer,"&lt;="&amp;pyTo,dQty,"&gt;-1E+300",dFlt1,critFlt1,dFlt2,critFlt2,dFlt3,critFlt3))</f>
        <v/>
      </c>
      <c r="F313" t="str">
        <f>IF($B313="","",SUMIFS(dQty,dCust,$B313,dPer,"&gt;="&amp;cyFrom,dPer,"&lt;="&amp;cyTo,dQty,"&gt;-1E+300",dFlt1,critFlt1,dFlt2,critFlt2,dFlt3,critFlt3))</f>
        <v/>
      </c>
      <c r="G313">
        <f>IF($B313="",0,IFERROR(IF(OR(C313&lt;&gt;0,D313&lt;&gt;0,E313&lt;&gt;0,F313&lt;&gt;0),1,0),1))</f>
        <v>0</v>
      </c>
      <c r="H313" t="str">
        <f>IF(OR(G313=0,E313=0),"",C313/E313)</f>
        <v/>
      </c>
      <c r="I313" t="str">
        <f>IF(OR(G313=0,F313=0),"",D313/F313)</f>
        <v/>
      </c>
      <c r="J313" t="str">
        <f>IF(OR(H313="",I313=""),"",IF(H313=0,"",I313/H313-1))</f>
        <v/>
      </c>
      <c r="K313" t="str">
        <f>IF($B313="","",IFERROR(IF(G313=0,-2E+300,CHOOSE(sortIdx,ROUND(D313,0),IF(J313="",-1E+300,ROUND(-J313,6)),IF(J313="",-1E+300,ROUND(J313,6)))),-1.5E+300))</f>
        <v/>
      </c>
      <c r="L313" t="str">
        <f>IF(K313="","",RANK(K313,$K$2:$K$3001,0)+COUNTIF($K$2:K313,K313)-1)</f>
        <v/>
      </c>
    </row>
    <row r="314">
      <c r="B314" t="str">
        <f>IFERROR(IF(A314="","","="&amp;SUBSTITUTE(SUBSTITUTE(SUBSTITUTE(A314,"~","~~"),"*","~*"),"?","~?")),"")</f>
        <v/>
      </c>
      <c r="C314" t="str">
        <f>IF($B314="","",SUMIFS(dAmt,dCust,$B314,dPer,"&gt;="&amp;pyFrom,dPer,"&lt;="&amp;pyTo,dAmt,"&gt;-1E+300",dFlt1,critFlt1,dFlt2,critFlt2,dFlt3,critFlt3))</f>
        <v/>
      </c>
      <c r="D314" t="str">
        <f>IF($B314="","",SUMIFS(dAmt,dCust,$B314,dPer,"&gt;="&amp;cyFrom,dPer,"&lt;="&amp;cyTo,dAmt,"&gt;-1E+300",dFlt1,critFlt1,dFlt2,critFlt2,dFlt3,critFlt3))</f>
        <v/>
      </c>
      <c r="E314" t="str">
        <f>IF($B314="","",SUMIFS(dQty,dCust,$B314,dPer,"&gt;="&amp;pyFrom,dPer,"&lt;="&amp;pyTo,dQty,"&gt;-1E+300",dFlt1,critFlt1,dFlt2,critFlt2,dFlt3,critFlt3))</f>
        <v/>
      </c>
      <c r="F314" t="str">
        <f>IF($B314="","",SUMIFS(dQty,dCust,$B314,dPer,"&gt;="&amp;cyFrom,dPer,"&lt;="&amp;cyTo,dQty,"&gt;-1E+300",dFlt1,critFlt1,dFlt2,critFlt2,dFlt3,critFlt3))</f>
        <v/>
      </c>
      <c r="G314">
        <f>IF($B314="",0,IFERROR(IF(OR(C314&lt;&gt;0,D314&lt;&gt;0,E314&lt;&gt;0,F314&lt;&gt;0),1,0),1))</f>
        <v>0</v>
      </c>
      <c r="H314" t="str">
        <f>IF(OR(G314=0,E314=0),"",C314/E314)</f>
        <v/>
      </c>
      <c r="I314" t="str">
        <f>IF(OR(G314=0,F314=0),"",D314/F314)</f>
        <v/>
      </c>
      <c r="J314" t="str">
        <f>IF(OR(H314="",I314=""),"",IF(H314=0,"",I314/H314-1))</f>
        <v/>
      </c>
      <c r="K314" t="str">
        <f>IF($B314="","",IFERROR(IF(G314=0,-2E+300,CHOOSE(sortIdx,ROUND(D314,0),IF(J314="",-1E+300,ROUND(-J314,6)),IF(J314="",-1E+300,ROUND(J314,6)))),-1.5E+300))</f>
        <v/>
      </c>
      <c r="L314" t="str">
        <f>IF(K314="","",RANK(K314,$K$2:$K$3001,0)+COUNTIF($K$2:K314,K314)-1)</f>
        <v/>
      </c>
    </row>
    <row r="315">
      <c r="B315" t="str">
        <f>IFERROR(IF(A315="","","="&amp;SUBSTITUTE(SUBSTITUTE(SUBSTITUTE(A315,"~","~~"),"*","~*"),"?","~?")),"")</f>
        <v/>
      </c>
      <c r="C315" t="str">
        <f>IF($B315="","",SUMIFS(dAmt,dCust,$B315,dPer,"&gt;="&amp;pyFrom,dPer,"&lt;="&amp;pyTo,dAmt,"&gt;-1E+300",dFlt1,critFlt1,dFlt2,critFlt2,dFlt3,critFlt3))</f>
        <v/>
      </c>
      <c r="D315" t="str">
        <f>IF($B315="","",SUMIFS(dAmt,dCust,$B315,dPer,"&gt;="&amp;cyFrom,dPer,"&lt;="&amp;cyTo,dAmt,"&gt;-1E+300",dFlt1,critFlt1,dFlt2,critFlt2,dFlt3,critFlt3))</f>
        <v/>
      </c>
      <c r="E315" t="str">
        <f>IF($B315="","",SUMIFS(dQty,dCust,$B315,dPer,"&gt;="&amp;pyFrom,dPer,"&lt;="&amp;pyTo,dQty,"&gt;-1E+300",dFlt1,critFlt1,dFlt2,critFlt2,dFlt3,critFlt3))</f>
        <v/>
      </c>
      <c r="F315" t="str">
        <f>IF($B315="","",SUMIFS(dQty,dCust,$B315,dPer,"&gt;="&amp;cyFrom,dPer,"&lt;="&amp;cyTo,dQty,"&gt;-1E+300",dFlt1,critFlt1,dFlt2,critFlt2,dFlt3,critFlt3))</f>
        <v/>
      </c>
      <c r="G315">
        <f>IF($B315="",0,IFERROR(IF(OR(C315&lt;&gt;0,D315&lt;&gt;0,E315&lt;&gt;0,F315&lt;&gt;0),1,0),1))</f>
        <v>0</v>
      </c>
      <c r="H315" t="str">
        <f>IF(OR(G315=0,E315=0),"",C315/E315)</f>
        <v/>
      </c>
      <c r="I315" t="str">
        <f>IF(OR(G315=0,F315=0),"",D315/F315)</f>
        <v/>
      </c>
      <c r="J315" t="str">
        <f>IF(OR(H315="",I315=""),"",IF(H315=0,"",I315/H315-1))</f>
        <v/>
      </c>
      <c r="K315" t="str">
        <f>IF($B315="","",IFERROR(IF(G315=0,-2E+300,CHOOSE(sortIdx,ROUND(D315,0),IF(J315="",-1E+300,ROUND(-J315,6)),IF(J315="",-1E+300,ROUND(J315,6)))),-1.5E+300))</f>
        <v/>
      </c>
      <c r="L315" t="str">
        <f>IF(K315="","",RANK(K315,$K$2:$K$3001,0)+COUNTIF($K$2:K315,K315)-1)</f>
        <v/>
      </c>
    </row>
    <row r="316">
      <c r="B316" t="str">
        <f>IFERROR(IF(A316="","","="&amp;SUBSTITUTE(SUBSTITUTE(SUBSTITUTE(A316,"~","~~"),"*","~*"),"?","~?")),"")</f>
        <v/>
      </c>
      <c r="C316" t="str">
        <f>IF($B316="","",SUMIFS(dAmt,dCust,$B316,dPer,"&gt;="&amp;pyFrom,dPer,"&lt;="&amp;pyTo,dAmt,"&gt;-1E+300",dFlt1,critFlt1,dFlt2,critFlt2,dFlt3,critFlt3))</f>
        <v/>
      </c>
      <c r="D316" t="str">
        <f>IF($B316="","",SUMIFS(dAmt,dCust,$B316,dPer,"&gt;="&amp;cyFrom,dPer,"&lt;="&amp;cyTo,dAmt,"&gt;-1E+300",dFlt1,critFlt1,dFlt2,critFlt2,dFlt3,critFlt3))</f>
        <v/>
      </c>
      <c r="E316" t="str">
        <f>IF($B316="","",SUMIFS(dQty,dCust,$B316,dPer,"&gt;="&amp;pyFrom,dPer,"&lt;="&amp;pyTo,dQty,"&gt;-1E+300",dFlt1,critFlt1,dFlt2,critFlt2,dFlt3,critFlt3))</f>
        <v/>
      </c>
      <c r="F316" t="str">
        <f>IF($B316="","",SUMIFS(dQty,dCust,$B316,dPer,"&gt;="&amp;cyFrom,dPer,"&lt;="&amp;cyTo,dQty,"&gt;-1E+300",dFlt1,critFlt1,dFlt2,critFlt2,dFlt3,critFlt3))</f>
        <v/>
      </c>
      <c r="G316">
        <f>IF($B316="",0,IFERROR(IF(OR(C316&lt;&gt;0,D316&lt;&gt;0,E316&lt;&gt;0,F316&lt;&gt;0),1,0),1))</f>
        <v>0</v>
      </c>
      <c r="H316" t="str">
        <f>IF(OR(G316=0,E316=0),"",C316/E316)</f>
        <v/>
      </c>
      <c r="I316" t="str">
        <f>IF(OR(G316=0,F316=0),"",D316/F316)</f>
        <v/>
      </c>
      <c r="J316" t="str">
        <f>IF(OR(H316="",I316=""),"",IF(H316=0,"",I316/H316-1))</f>
        <v/>
      </c>
      <c r="K316" t="str">
        <f>IF($B316="","",IFERROR(IF(G316=0,-2E+300,CHOOSE(sortIdx,ROUND(D316,0),IF(J316="",-1E+300,ROUND(-J316,6)),IF(J316="",-1E+300,ROUND(J316,6)))),-1.5E+300))</f>
        <v/>
      </c>
      <c r="L316" t="str">
        <f>IF(K316="","",RANK(K316,$K$2:$K$3001,0)+COUNTIF($K$2:K316,K316)-1)</f>
        <v/>
      </c>
    </row>
    <row r="317">
      <c r="B317" t="str">
        <f>IFERROR(IF(A317="","","="&amp;SUBSTITUTE(SUBSTITUTE(SUBSTITUTE(A317,"~","~~"),"*","~*"),"?","~?")),"")</f>
        <v/>
      </c>
      <c r="C317" t="str">
        <f>IF($B317="","",SUMIFS(dAmt,dCust,$B317,dPer,"&gt;="&amp;pyFrom,dPer,"&lt;="&amp;pyTo,dAmt,"&gt;-1E+300",dFlt1,critFlt1,dFlt2,critFlt2,dFlt3,critFlt3))</f>
        <v/>
      </c>
      <c r="D317" t="str">
        <f>IF($B317="","",SUMIFS(dAmt,dCust,$B317,dPer,"&gt;="&amp;cyFrom,dPer,"&lt;="&amp;cyTo,dAmt,"&gt;-1E+300",dFlt1,critFlt1,dFlt2,critFlt2,dFlt3,critFlt3))</f>
        <v/>
      </c>
      <c r="E317" t="str">
        <f>IF($B317="","",SUMIFS(dQty,dCust,$B317,dPer,"&gt;="&amp;pyFrom,dPer,"&lt;="&amp;pyTo,dQty,"&gt;-1E+300",dFlt1,critFlt1,dFlt2,critFlt2,dFlt3,critFlt3))</f>
        <v/>
      </c>
      <c r="F317" t="str">
        <f>IF($B317="","",SUMIFS(dQty,dCust,$B317,dPer,"&gt;="&amp;cyFrom,dPer,"&lt;="&amp;cyTo,dQty,"&gt;-1E+300",dFlt1,critFlt1,dFlt2,critFlt2,dFlt3,critFlt3))</f>
        <v/>
      </c>
      <c r="G317">
        <f>IF($B317="",0,IFERROR(IF(OR(C317&lt;&gt;0,D317&lt;&gt;0,E317&lt;&gt;0,F317&lt;&gt;0),1,0),1))</f>
        <v>0</v>
      </c>
      <c r="H317" t="str">
        <f>IF(OR(G317=0,E317=0),"",C317/E317)</f>
        <v/>
      </c>
      <c r="I317" t="str">
        <f>IF(OR(G317=0,F317=0),"",D317/F317)</f>
        <v/>
      </c>
      <c r="J317" t="str">
        <f>IF(OR(H317="",I317=""),"",IF(H317=0,"",I317/H317-1))</f>
        <v/>
      </c>
      <c r="K317" t="str">
        <f>IF($B317="","",IFERROR(IF(G317=0,-2E+300,CHOOSE(sortIdx,ROUND(D317,0),IF(J317="",-1E+300,ROUND(-J317,6)),IF(J317="",-1E+300,ROUND(J317,6)))),-1.5E+300))</f>
        <v/>
      </c>
      <c r="L317" t="str">
        <f>IF(K317="","",RANK(K317,$K$2:$K$3001,0)+COUNTIF($K$2:K317,K317)-1)</f>
        <v/>
      </c>
    </row>
    <row r="318">
      <c r="B318" t="str">
        <f>IFERROR(IF(A318="","","="&amp;SUBSTITUTE(SUBSTITUTE(SUBSTITUTE(A318,"~","~~"),"*","~*"),"?","~?")),"")</f>
        <v/>
      </c>
      <c r="C318" t="str">
        <f>IF($B318="","",SUMIFS(dAmt,dCust,$B318,dPer,"&gt;="&amp;pyFrom,dPer,"&lt;="&amp;pyTo,dAmt,"&gt;-1E+300",dFlt1,critFlt1,dFlt2,critFlt2,dFlt3,critFlt3))</f>
        <v/>
      </c>
      <c r="D318" t="str">
        <f>IF($B318="","",SUMIFS(dAmt,dCust,$B318,dPer,"&gt;="&amp;cyFrom,dPer,"&lt;="&amp;cyTo,dAmt,"&gt;-1E+300",dFlt1,critFlt1,dFlt2,critFlt2,dFlt3,critFlt3))</f>
        <v/>
      </c>
      <c r="E318" t="str">
        <f>IF($B318="","",SUMIFS(dQty,dCust,$B318,dPer,"&gt;="&amp;pyFrom,dPer,"&lt;="&amp;pyTo,dQty,"&gt;-1E+300",dFlt1,critFlt1,dFlt2,critFlt2,dFlt3,critFlt3))</f>
        <v/>
      </c>
      <c r="F318" t="str">
        <f>IF($B318="","",SUMIFS(dQty,dCust,$B318,dPer,"&gt;="&amp;cyFrom,dPer,"&lt;="&amp;cyTo,dQty,"&gt;-1E+300",dFlt1,critFlt1,dFlt2,critFlt2,dFlt3,critFlt3))</f>
        <v/>
      </c>
      <c r="G318">
        <f>IF($B318="",0,IFERROR(IF(OR(C318&lt;&gt;0,D318&lt;&gt;0,E318&lt;&gt;0,F318&lt;&gt;0),1,0),1))</f>
        <v>0</v>
      </c>
      <c r="H318" t="str">
        <f>IF(OR(G318=0,E318=0),"",C318/E318)</f>
        <v/>
      </c>
      <c r="I318" t="str">
        <f>IF(OR(G318=0,F318=0),"",D318/F318)</f>
        <v/>
      </c>
      <c r="J318" t="str">
        <f>IF(OR(H318="",I318=""),"",IF(H318=0,"",I318/H318-1))</f>
        <v/>
      </c>
      <c r="K318" t="str">
        <f>IF($B318="","",IFERROR(IF(G318=0,-2E+300,CHOOSE(sortIdx,ROUND(D318,0),IF(J318="",-1E+300,ROUND(-J318,6)),IF(J318="",-1E+300,ROUND(J318,6)))),-1.5E+300))</f>
        <v/>
      </c>
      <c r="L318" t="str">
        <f>IF(K318="","",RANK(K318,$K$2:$K$3001,0)+COUNTIF($K$2:K318,K318)-1)</f>
        <v/>
      </c>
    </row>
    <row r="319">
      <c r="B319" t="str">
        <f>IFERROR(IF(A319="","","="&amp;SUBSTITUTE(SUBSTITUTE(SUBSTITUTE(A319,"~","~~"),"*","~*"),"?","~?")),"")</f>
        <v/>
      </c>
      <c r="C319" t="str">
        <f>IF($B319="","",SUMIFS(dAmt,dCust,$B319,dPer,"&gt;="&amp;pyFrom,dPer,"&lt;="&amp;pyTo,dAmt,"&gt;-1E+300",dFlt1,critFlt1,dFlt2,critFlt2,dFlt3,critFlt3))</f>
        <v/>
      </c>
      <c r="D319" t="str">
        <f>IF($B319="","",SUMIFS(dAmt,dCust,$B319,dPer,"&gt;="&amp;cyFrom,dPer,"&lt;="&amp;cyTo,dAmt,"&gt;-1E+300",dFlt1,critFlt1,dFlt2,critFlt2,dFlt3,critFlt3))</f>
        <v/>
      </c>
      <c r="E319" t="str">
        <f>IF($B319="","",SUMIFS(dQty,dCust,$B319,dPer,"&gt;="&amp;pyFrom,dPer,"&lt;="&amp;pyTo,dQty,"&gt;-1E+300",dFlt1,critFlt1,dFlt2,critFlt2,dFlt3,critFlt3))</f>
        <v/>
      </c>
      <c r="F319" t="str">
        <f>IF($B319="","",SUMIFS(dQty,dCust,$B319,dPer,"&gt;="&amp;cyFrom,dPer,"&lt;="&amp;cyTo,dQty,"&gt;-1E+300",dFlt1,critFlt1,dFlt2,critFlt2,dFlt3,critFlt3))</f>
        <v/>
      </c>
      <c r="G319">
        <f>IF($B319="",0,IFERROR(IF(OR(C319&lt;&gt;0,D319&lt;&gt;0,E319&lt;&gt;0,F319&lt;&gt;0),1,0),1))</f>
        <v>0</v>
      </c>
      <c r="H319" t="str">
        <f>IF(OR(G319=0,E319=0),"",C319/E319)</f>
        <v/>
      </c>
      <c r="I319" t="str">
        <f>IF(OR(G319=0,F319=0),"",D319/F319)</f>
        <v/>
      </c>
      <c r="J319" t="str">
        <f>IF(OR(H319="",I319=""),"",IF(H319=0,"",I319/H319-1))</f>
        <v/>
      </c>
      <c r="K319" t="str">
        <f>IF($B319="","",IFERROR(IF(G319=0,-2E+300,CHOOSE(sortIdx,ROUND(D319,0),IF(J319="",-1E+300,ROUND(-J319,6)),IF(J319="",-1E+300,ROUND(J319,6)))),-1.5E+300))</f>
        <v/>
      </c>
      <c r="L319" t="str">
        <f>IF(K319="","",RANK(K319,$K$2:$K$3001,0)+COUNTIF($K$2:K319,K319)-1)</f>
        <v/>
      </c>
    </row>
    <row r="320">
      <c r="B320" t="str">
        <f>IFERROR(IF(A320="","","="&amp;SUBSTITUTE(SUBSTITUTE(SUBSTITUTE(A320,"~","~~"),"*","~*"),"?","~?")),"")</f>
        <v/>
      </c>
      <c r="C320" t="str">
        <f>IF($B320="","",SUMIFS(dAmt,dCust,$B320,dPer,"&gt;="&amp;pyFrom,dPer,"&lt;="&amp;pyTo,dAmt,"&gt;-1E+300",dFlt1,critFlt1,dFlt2,critFlt2,dFlt3,critFlt3))</f>
        <v/>
      </c>
      <c r="D320" t="str">
        <f>IF($B320="","",SUMIFS(dAmt,dCust,$B320,dPer,"&gt;="&amp;cyFrom,dPer,"&lt;="&amp;cyTo,dAmt,"&gt;-1E+300",dFlt1,critFlt1,dFlt2,critFlt2,dFlt3,critFlt3))</f>
        <v/>
      </c>
      <c r="E320" t="str">
        <f>IF($B320="","",SUMIFS(dQty,dCust,$B320,dPer,"&gt;="&amp;pyFrom,dPer,"&lt;="&amp;pyTo,dQty,"&gt;-1E+300",dFlt1,critFlt1,dFlt2,critFlt2,dFlt3,critFlt3))</f>
        <v/>
      </c>
      <c r="F320" t="str">
        <f>IF($B320="","",SUMIFS(dQty,dCust,$B320,dPer,"&gt;="&amp;cyFrom,dPer,"&lt;="&amp;cyTo,dQty,"&gt;-1E+300",dFlt1,critFlt1,dFlt2,critFlt2,dFlt3,critFlt3))</f>
        <v/>
      </c>
      <c r="G320">
        <f>IF($B320="",0,IFERROR(IF(OR(C320&lt;&gt;0,D320&lt;&gt;0,E320&lt;&gt;0,F320&lt;&gt;0),1,0),1))</f>
        <v>0</v>
      </c>
      <c r="H320" t="str">
        <f>IF(OR(G320=0,E320=0),"",C320/E320)</f>
        <v/>
      </c>
      <c r="I320" t="str">
        <f>IF(OR(G320=0,F320=0),"",D320/F320)</f>
        <v/>
      </c>
      <c r="J320" t="str">
        <f>IF(OR(H320="",I320=""),"",IF(H320=0,"",I320/H320-1))</f>
        <v/>
      </c>
      <c r="K320" t="str">
        <f>IF($B320="","",IFERROR(IF(G320=0,-2E+300,CHOOSE(sortIdx,ROUND(D320,0),IF(J320="",-1E+300,ROUND(-J320,6)),IF(J320="",-1E+300,ROUND(J320,6)))),-1.5E+300))</f>
        <v/>
      </c>
      <c r="L320" t="str">
        <f>IF(K320="","",RANK(K320,$K$2:$K$3001,0)+COUNTIF($K$2:K320,K320)-1)</f>
        <v/>
      </c>
    </row>
    <row r="321">
      <c r="B321" t="str">
        <f>IFERROR(IF(A321="","","="&amp;SUBSTITUTE(SUBSTITUTE(SUBSTITUTE(A321,"~","~~"),"*","~*"),"?","~?")),"")</f>
        <v/>
      </c>
      <c r="C321" t="str">
        <f>IF($B321="","",SUMIFS(dAmt,dCust,$B321,dPer,"&gt;="&amp;pyFrom,dPer,"&lt;="&amp;pyTo,dAmt,"&gt;-1E+300",dFlt1,critFlt1,dFlt2,critFlt2,dFlt3,critFlt3))</f>
        <v/>
      </c>
      <c r="D321" t="str">
        <f>IF($B321="","",SUMIFS(dAmt,dCust,$B321,dPer,"&gt;="&amp;cyFrom,dPer,"&lt;="&amp;cyTo,dAmt,"&gt;-1E+300",dFlt1,critFlt1,dFlt2,critFlt2,dFlt3,critFlt3))</f>
        <v/>
      </c>
      <c r="E321" t="str">
        <f>IF($B321="","",SUMIFS(dQty,dCust,$B321,dPer,"&gt;="&amp;pyFrom,dPer,"&lt;="&amp;pyTo,dQty,"&gt;-1E+300",dFlt1,critFlt1,dFlt2,critFlt2,dFlt3,critFlt3))</f>
        <v/>
      </c>
      <c r="F321" t="str">
        <f>IF($B321="","",SUMIFS(dQty,dCust,$B321,dPer,"&gt;="&amp;cyFrom,dPer,"&lt;="&amp;cyTo,dQty,"&gt;-1E+300",dFlt1,critFlt1,dFlt2,critFlt2,dFlt3,critFlt3))</f>
        <v/>
      </c>
      <c r="G321">
        <f>IF($B321="",0,IFERROR(IF(OR(C321&lt;&gt;0,D321&lt;&gt;0,E321&lt;&gt;0,F321&lt;&gt;0),1,0),1))</f>
        <v>0</v>
      </c>
      <c r="H321" t="str">
        <f>IF(OR(G321=0,E321=0),"",C321/E321)</f>
        <v/>
      </c>
      <c r="I321" t="str">
        <f>IF(OR(G321=0,F321=0),"",D321/F321)</f>
        <v/>
      </c>
      <c r="J321" t="str">
        <f>IF(OR(H321="",I321=""),"",IF(H321=0,"",I321/H321-1))</f>
        <v/>
      </c>
      <c r="K321" t="str">
        <f>IF($B321="","",IFERROR(IF(G321=0,-2E+300,CHOOSE(sortIdx,ROUND(D321,0),IF(J321="",-1E+300,ROUND(-J321,6)),IF(J321="",-1E+300,ROUND(J321,6)))),-1.5E+300))</f>
        <v/>
      </c>
      <c r="L321" t="str">
        <f>IF(K321="","",RANK(K321,$K$2:$K$3001,0)+COUNTIF($K$2:K321,K321)-1)</f>
        <v/>
      </c>
    </row>
    <row r="322">
      <c r="B322" t="str">
        <f>IFERROR(IF(A322="","","="&amp;SUBSTITUTE(SUBSTITUTE(SUBSTITUTE(A322,"~","~~"),"*","~*"),"?","~?")),"")</f>
        <v/>
      </c>
      <c r="C322" t="str">
        <f>IF($B322="","",SUMIFS(dAmt,dCust,$B322,dPer,"&gt;="&amp;pyFrom,dPer,"&lt;="&amp;pyTo,dAmt,"&gt;-1E+300",dFlt1,critFlt1,dFlt2,critFlt2,dFlt3,critFlt3))</f>
        <v/>
      </c>
      <c r="D322" t="str">
        <f>IF($B322="","",SUMIFS(dAmt,dCust,$B322,dPer,"&gt;="&amp;cyFrom,dPer,"&lt;="&amp;cyTo,dAmt,"&gt;-1E+300",dFlt1,critFlt1,dFlt2,critFlt2,dFlt3,critFlt3))</f>
        <v/>
      </c>
      <c r="E322" t="str">
        <f>IF($B322="","",SUMIFS(dQty,dCust,$B322,dPer,"&gt;="&amp;pyFrom,dPer,"&lt;="&amp;pyTo,dQty,"&gt;-1E+300",dFlt1,critFlt1,dFlt2,critFlt2,dFlt3,critFlt3))</f>
        <v/>
      </c>
      <c r="F322" t="str">
        <f>IF($B322="","",SUMIFS(dQty,dCust,$B322,dPer,"&gt;="&amp;cyFrom,dPer,"&lt;="&amp;cyTo,dQty,"&gt;-1E+300",dFlt1,critFlt1,dFlt2,critFlt2,dFlt3,critFlt3))</f>
        <v/>
      </c>
      <c r="G322">
        <f>IF($B322="",0,IFERROR(IF(OR(C322&lt;&gt;0,D322&lt;&gt;0,E322&lt;&gt;0,F322&lt;&gt;0),1,0),1))</f>
        <v>0</v>
      </c>
      <c r="H322" t="str">
        <f>IF(OR(G322=0,E322=0),"",C322/E322)</f>
        <v/>
      </c>
      <c r="I322" t="str">
        <f>IF(OR(G322=0,F322=0),"",D322/F322)</f>
        <v/>
      </c>
      <c r="J322" t="str">
        <f>IF(OR(H322="",I322=""),"",IF(H322=0,"",I322/H322-1))</f>
        <v/>
      </c>
      <c r="K322" t="str">
        <f>IF($B322="","",IFERROR(IF(G322=0,-2E+300,CHOOSE(sortIdx,ROUND(D322,0),IF(J322="",-1E+300,ROUND(-J322,6)),IF(J322="",-1E+300,ROUND(J322,6)))),-1.5E+300))</f>
        <v/>
      </c>
      <c r="L322" t="str">
        <f>IF(K322="","",RANK(K322,$K$2:$K$3001,0)+COUNTIF($K$2:K322,K322)-1)</f>
        <v/>
      </c>
    </row>
    <row r="323">
      <c r="B323" t="str">
        <f>IFERROR(IF(A323="","","="&amp;SUBSTITUTE(SUBSTITUTE(SUBSTITUTE(A323,"~","~~"),"*","~*"),"?","~?")),"")</f>
        <v/>
      </c>
      <c r="C323" t="str">
        <f>IF($B323="","",SUMIFS(dAmt,dCust,$B323,dPer,"&gt;="&amp;pyFrom,dPer,"&lt;="&amp;pyTo,dAmt,"&gt;-1E+300",dFlt1,critFlt1,dFlt2,critFlt2,dFlt3,critFlt3))</f>
        <v/>
      </c>
      <c r="D323" t="str">
        <f>IF($B323="","",SUMIFS(dAmt,dCust,$B323,dPer,"&gt;="&amp;cyFrom,dPer,"&lt;="&amp;cyTo,dAmt,"&gt;-1E+300",dFlt1,critFlt1,dFlt2,critFlt2,dFlt3,critFlt3))</f>
        <v/>
      </c>
      <c r="E323" t="str">
        <f>IF($B323="","",SUMIFS(dQty,dCust,$B323,dPer,"&gt;="&amp;pyFrom,dPer,"&lt;="&amp;pyTo,dQty,"&gt;-1E+300",dFlt1,critFlt1,dFlt2,critFlt2,dFlt3,critFlt3))</f>
        <v/>
      </c>
      <c r="F323" t="str">
        <f>IF($B323="","",SUMIFS(dQty,dCust,$B323,dPer,"&gt;="&amp;cyFrom,dPer,"&lt;="&amp;cyTo,dQty,"&gt;-1E+300",dFlt1,critFlt1,dFlt2,critFlt2,dFlt3,critFlt3))</f>
        <v/>
      </c>
      <c r="G323">
        <f>IF($B323="",0,IFERROR(IF(OR(C323&lt;&gt;0,D323&lt;&gt;0,E323&lt;&gt;0,F323&lt;&gt;0),1,0),1))</f>
        <v>0</v>
      </c>
      <c r="H323" t="str">
        <f>IF(OR(G323=0,E323=0),"",C323/E323)</f>
        <v/>
      </c>
      <c r="I323" t="str">
        <f>IF(OR(G323=0,F323=0),"",D323/F323)</f>
        <v/>
      </c>
      <c r="J323" t="str">
        <f>IF(OR(H323="",I323=""),"",IF(H323=0,"",I323/H323-1))</f>
        <v/>
      </c>
      <c r="K323" t="str">
        <f>IF($B323="","",IFERROR(IF(G323=0,-2E+300,CHOOSE(sortIdx,ROUND(D323,0),IF(J323="",-1E+300,ROUND(-J323,6)),IF(J323="",-1E+300,ROUND(J323,6)))),-1.5E+300))</f>
        <v/>
      </c>
      <c r="L323" t="str">
        <f>IF(K323="","",RANK(K323,$K$2:$K$3001,0)+COUNTIF($K$2:K323,K323)-1)</f>
        <v/>
      </c>
    </row>
    <row r="324">
      <c r="B324" t="str">
        <f>IFERROR(IF(A324="","","="&amp;SUBSTITUTE(SUBSTITUTE(SUBSTITUTE(A324,"~","~~"),"*","~*"),"?","~?")),"")</f>
        <v/>
      </c>
      <c r="C324" t="str">
        <f>IF($B324="","",SUMIFS(dAmt,dCust,$B324,dPer,"&gt;="&amp;pyFrom,dPer,"&lt;="&amp;pyTo,dAmt,"&gt;-1E+300",dFlt1,critFlt1,dFlt2,critFlt2,dFlt3,critFlt3))</f>
        <v/>
      </c>
      <c r="D324" t="str">
        <f>IF($B324="","",SUMIFS(dAmt,dCust,$B324,dPer,"&gt;="&amp;cyFrom,dPer,"&lt;="&amp;cyTo,dAmt,"&gt;-1E+300",dFlt1,critFlt1,dFlt2,critFlt2,dFlt3,critFlt3))</f>
        <v/>
      </c>
      <c r="E324" t="str">
        <f>IF($B324="","",SUMIFS(dQty,dCust,$B324,dPer,"&gt;="&amp;pyFrom,dPer,"&lt;="&amp;pyTo,dQty,"&gt;-1E+300",dFlt1,critFlt1,dFlt2,critFlt2,dFlt3,critFlt3))</f>
        <v/>
      </c>
      <c r="F324" t="str">
        <f>IF($B324="","",SUMIFS(dQty,dCust,$B324,dPer,"&gt;="&amp;cyFrom,dPer,"&lt;="&amp;cyTo,dQty,"&gt;-1E+300",dFlt1,critFlt1,dFlt2,critFlt2,dFlt3,critFlt3))</f>
        <v/>
      </c>
      <c r="G324">
        <f>IF($B324="",0,IFERROR(IF(OR(C324&lt;&gt;0,D324&lt;&gt;0,E324&lt;&gt;0,F324&lt;&gt;0),1,0),1))</f>
        <v>0</v>
      </c>
      <c r="H324" t="str">
        <f>IF(OR(G324=0,E324=0),"",C324/E324)</f>
        <v/>
      </c>
      <c r="I324" t="str">
        <f>IF(OR(G324=0,F324=0),"",D324/F324)</f>
        <v/>
      </c>
      <c r="J324" t="str">
        <f>IF(OR(H324="",I324=""),"",IF(H324=0,"",I324/H324-1))</f>
        <v/>
      </c>
      <c r="K324" t="str">
        <f>IF($B324="","",IFERROR(IF(G324=0,-2E+300,CHOOSE(sortIdx,ROUND(D324,0),IF(J324="",-1E+300,ROUND(-J324,6)),IF(J324="",-1E+300,ROUND(J324,6)))),-1.5E+300))</f>
        <v/>
      </c>
      <c r="L324" t="str">
        <f>IF(K324="","",RANK(K324,$K$2:$K$3001,0)+COUNTIF($K$2:K324,K324)-1)</f>
        <v/>
      </c>
    </row>
    <row r="325">
      <c r="B325" t="str">
        <f>IFERROR(IF(A325="","","="&amp;SUBSTITUTE(SUBSTITUTE(SUBSTITUTE(A325,"~","~~"),"*","~*"),"?","~?")),"")</f>
        <v/>
      </c>
      <c r="C325" t="str">
        <f>IF($B325="","",SUMIFS(dAmt,dCust,$B325,dPer,"&gt;="&amp;pyFrom,dPer,"&lt;="&amp;pyTo,dAmt,"&gt;-1E+300",dFlt1,critFlt1,dFlt2,critFlt2,dFlt3,critFlt3))</f>
        <v/>
      </c>
      <c r="D325" t="str">
        <f>IF($B325="","",SUMIFS(dAmt,dCust,$B325,dPer,"&gt;="&amp;cyFrom,dPer,"&lt;="&amp;cyTo,dAmt,"&gt;-1E+300",dFlt1,critFlt1,dFlt2,critFlt2,dFlt3,critFlt3))</f>
        <v/>
      </c>
      <c r="E325" t="str">
        <f>IF($B325="","",SUMIFS(dQty,dCust,$B325,dPer,"&gt;="&amp;pyFrom,dPer,"&lt;="&amp;pyTo,dQty,"&gt;-1E+300",dFlt1,critFlt1,dFlt2,critFlt2,dFlt3,critFlt3))</f>
        <v/>
      </c>
      <c r="F325" t="str">
        <f>IF($B325="","",SUMIFS(dQty,dCust,$B325,dPer,"&gt;="&amp;cyFrom,dPer,"&lt;="&amp;cyTo,dQty,"&gt;-1E+300",dFlt1,critFlt1,dFlt2,critFlt2,dFlt3,critFlt3))</f>
        <v/>
      </c>
      <c r="G325">
        <f>IF($B325="",0,IFERROR(IF(OR(C325&lt;&gt;0,D325&lt;&gt;0,E325&lt;&gt;0,F325&lt;&gt;0),1,0),1))</f>
        <v>0</v>
      </c>
      <c r="H325" t="str">
        <f>IF(OR(G325=0,E325=0),"",C325/E325)</f>
        <v/>
      </c>
      <c r="I325" t="str">
        <f>IF(OR(G325=0,F325=0),"",D325/F325)</f>
        <v/>
      </c>
      <c r="J325" t="str">
        <f>IF(OR(H325="",I325=""),"",IF(H325=0,"",I325/H325-1))</f>
        <v/>
      </c>
      <c r="K325" t="str">
        <f>IF($B325="","",IFERROR(IF(G325=0,-2E+300,CHOOSE(sortIdx,ROUND(D325,0),IF(J325="",-1E+300,ROUND(-J325,6)),IF(J325="",-1E+300,ROUND(J325,6)))),-1.5E+300))</f>
        <v/>
      </c>
      <c r="L325" t="str">
        <f>IF(K325="","",RANK(K325,$K$2:$K$3001,0)+COUNTIF($K$2:K325,K325)-1)</f>
        <v/>
      </c>
    </row>
    <row r="326">
      <c r="B326" t="str">
        <f>IFERROR(IF(A326="","","="&amp;SUBSTITUTE(SUBSTITUTE(SUBSTITUTE(A326,"~","~~"),"*","~*"),"?","~?")),"")</f>
        <v/>
      </c>
      <c r="C326" t="str">
        <f>IF($B326="","",SUMIFS(dAmt,dCust,$B326,dPer,"&gt;="&amp;pyFrom,dPer,"&lt;="&amp;pyTo,dAmt,"&gt;-1E+300",dFlt1,critFlt1,dFlt2,critFlt2,dFlt3,critFlt3))</f>
        <v/>
      </c>
      <c r="D326" t="str">
        <f>IF($B326="","",SUMIFS(dAmt,dCust,$B326,dPer,"&gt;="&amp;cyFrom,dPer,"&lt;="&amp;cyTo,dAmt,"&gt;-1E+300",dFlt1,critFlt1,dFlt2,critFlt2,dFlt3,critFlt3))</f>
        <v/>
      </c>
      <c r="E326" t="str">
        <f>IF($B326="","",SUMIFS(dQty,dCust,$B326,dPer,"&gt;="&amp;pyFrom,dPer,"&lt;="&amp;pyTo,dQty,"&gt;-1E+300",dFlt1,critFlt1,dFlt2,critFlt2,dFlt3,critFlt3))</f>
        <v/>
      </c>
      <c r="F326" t="str">
        <f>IF($B326="","",SUMIFS(dQty,dCust,$B326,dPer,"&gt;="&amp;cyFrom,dPer,"&lt;="&amp;cyTo,dQty,"&gt;-1E+300",dFlt1,critFlt1,dFlt2,critFlt2,dFlt3,critFlt3))</f>
        <v/>
      </c>
      <c r="G326">
        <f>IF($B326="",0,IFERROR(IF(OR(C326&lt;&gt;0,D326&lt;&gt;0,E326&lt;&gt;0,F326&lt;&gt;0),1,0),1))</f>
        <v>0</v>
      </c>
      <c r="H326" t="str">
        <f>IF(OR(G326=0,E326=0),"",C326/E326)</f>
        <v/>
      </c>
      <c r="I326" t="str">
        <f>IF(OR(G326=0,F326=0),"",D326/F326)</f>
        <v/>
      </c>
      <c r="J326" t="str">
        <f>IF(OR(H326="",I326=""),"",IF(H326=0,"",I326/H326-1))</f>
        <v/>
      </c>
      <c r="K326" t="str">
        <f>IF($B326="","",IFERROR(IF(G326=0,-2E+300,CHOOSE(sortIdx,ROUND(D326,0),IF(J326="",-1E+300,ROUND(-J326,6)),IF(J326="",-1E+300,ROUND(J326,6)))),-1.5E+300))</f>
        <v/>
      </c>
      <c r="L326" t="str">
        <f>IF(K326="","",RANK(K326,$K$2:$K$3001,0)+COUNTIF($K$2:K326,K326)-1)</f>
        <v/>
      </c>
    </row>
    <row r="327">
      <c r="B327" t="str">
        <f>IFERROR(IF(A327="","","="&amp;SUBSTITUTE(SUBSTITUTE(SUBSTITUTE(A327,"~","~~"),"*","~*"),"?","~?")),"")</f>
        <v/>
      </c>
      <c r="C327" t="str">
        <f>IF($B327="","",SUMIFS(dAmt,dCust,$B327,dPer,"&gt;="&amp;pyFrom,dPer,"&lt;="&amp;pyTo,dAmt,"&gt;-1E+300",dFlt1,critFlt1,dFlt2,critFlt2,dFlt3,critFlt3))</f>
        <v/>
      </c>
      <c r="D327" t="str">
        <f>IF($B327="","",SUMIFS(dAmt,dCust,$B327,dPer,"&gt;="&amp;cyFrom,dPer,"&lt;="&amp;cyTo,dAmt,"&gt;-1E+300",dFlt1,critFlt1,dFlt2,critFlt2,dFlt3,critFlt3))</f>
        <v/>
      </c>
      <c r="E327" t="str">
        <f>IF($B327="","",SUMIFS(dQty,dCust,$B327,dPer,"&gt;="&amp;pyFrom,dPer,"&lt;="&amp;pyTo,dQty,"&gt;-1E+300",dFlt1,critFlt1,dFlt2,critFlt2,dFlt3,critFlt3))</f>
        <v/>
      </c>
      <c r="F327" t="str">
        <f>IF($B327="","",SUMIFS(dQty,dCust,$B327,dPer,"&gt;="&amp;cyFrom,dPer,"&lt;="&amp;cyTo,dQty,"&gt;-1E+300",dFlt1,critFlt1,dFlt2,critFlt2,dFlt3,critFlt3))</f>
        <v/>
      </c>
      <c r="G327">
        <f>IF($B327="",0,IFERROR(IF(OR(C327&lt;&gt;0,D327&lt;&gt;0,E327&lt;&gt;0,F327&lt;&gt;0),1,0),1))</f>
        <v>0</v>
      </c>
      <c r="H327" t="str">
        <f>IF(OR(G327=0,E327=0),"",C327/E327)</f>
        <v/>
      </c>
      <c r="I327" t="str">
        <f>IF(OR(G327=0,F327=0),"",D327/F327)</f>
        <v/>
      </c>
      <c r="J327" t="str">
        <f>IF(OR(H327="",I327=""),"",IF(H327=0,"",I327/H327-1))</f>
        <v/>
      </c>
      <c r="K327" t="str">
        <f>IF($B327="","",IFERROR(IF(G327=0,-2E+300,CHOOSE(sortIdx,ROUND(D327,0),IF(J327="",-1E+300,ROUND(-J327,6)),IF(J327="",-1E+300,ROUND(J327,6)))),-1.5E+300))</f>
        <v/>
      </c>
      <c r="L327" t="str">
        <f>IF(K327="","",RANK(K327,$K$2:$K$3001,0)+COUNTIF($K$2:K327,K327)-1)</f>
        <v/>
      </c>
    </row>
    <row r="328">
      <c r="B328" t="str">
        <f>IFERROR(IF(A328="","","="&amp;SUBSTITUTE(SUBSTITUTE(SUBSTITUTE(A328,"~","~~"),"*","~*"),"?","~?")),"")</f>
        <v/>
      </c>
      <c r="C328" t="str">
        <f>IF($B328="","",SUMIFS(dAmt,dCust,$B328,dPer,"&gt;="&amp;pyFrom,dPer,"&lt;="&amp;pyTo,dAmt,"&gt;-1E+300",dFlt1,critFlt1,dFlt2,critFlt2,dFlt3,critFlt3))</f>
        <v/>
      </c>
      <c r="D328" t="str">
        <f>IF($B328="","",SUMIFS(dAmt,dCust,$B328,dPer,"&gt;="&amp;cyFrom,dPer,"&lt;="&amp;cyTo,dAmt,"&gt;-1E+300",dFlt1,critFlt1,dFlt2,critFlt2,dFlt3,critFlt3))</f>
        <v/>
      </c>
      <c r="E328" t="str">
        <f>IF($B328="","",SUMIFS(dQty,dCust,$B328,dPer,"&gt;="&amp;pyFrom,dPer,"&lt;="&amp;pyTo,dQty,"&gt;-1E+300",dFlt1,critFlt1,dFlt2,critFlt2,dFlt3,critFlt3))</f>
        <v/>
      </c>
      <c r="F328" t="str">
        <f>IF($B328="","",SUMIFS(dQty,dCust,$B328,dPer,"&gt;="&amp;cyFrom,dPer,"&lt;="&amp;cyTo,dQty,"&gt;-1E+300",dFlt1,critFlt1,dFlt2,critFlt2,dFlt3,critFlt3))</f>
        <v/>
      </c>
      <c r="G328">
        <f>IF($B328="",0,IFERROR(IF(OR(C328&lt;&gt;0,D328&lt;&gt;0,E328&lt;&gt;0,F328&lt;&gt;0),1,0),1))</f>
        <v>0</v>
      </c>
      <c r="H328" t="str">
        <f>IF(OR(G328=0,E328=0),"",C328/E328)</f>
        <v/>
      </c>
      <c r="I328" t="str">
        <f>IF(OR(G328=0,F328=0),"",D328/F328)</f>
        <v/>
      </c>
      <c r="J328" t="str">
        <f>IF(OR(H328="",I328=""),"",IF(H328=0,"",I328/H328-1))</f>
        <v/>
      </c>
      <c r="K328" t="str">
        <f>IF($B328="","",IFERROR(IF(G328=0,-2E+300,CHOOSE(sortIdx,ROUND(D328,0),IF(J328="",-1E+300,ROUND(-J328,6)),IF(J328="",-1E+300,ROUND(J328,6)))),-1.5E+300))</f>
        <v/>
      </c>
      <c r="L328" t="str">
        <f>IF(K328="","",RANK(K328,$K$2:$K$3001,0)+COUNTIF($K$2:K328,K328)-1)</f>
        <v/>
      </c>
    </row>
    <row r="329">
      <c r="B329" t="str">
        <f>IFERROR(IF(A329="","","="&amp;SUBSTITUTE(SUBSTITUTE(SUBSTITUTE(A329,"~","~~"),"*","~*"),"?","~?")),"")</f>
        <v/>
      </c>
      <c r="C329" t="str">
        <f>IF($B329="","",SUMIFS(dAmt,dCust,$B329,dPer,"&gt;="&amp;pyFrom,dPer,"&lt;="&amp;pyTo,dAmt,"&gt;-1E+300",dFlt1,critFlt1,dFlt2,critFlt2,dFlt3,critFlt3))</f>
        <v/>
      </c>
      <c r="D329" t="str">
        <f>IF($B329="","",SUMIFS(dAmt,dCust,$B329,dPer,"&gt;="&amp;cyFrom,dPer,"&lt;="&amp;cyTo,dAmt,"&gt;-1E+300",dFlt1,critFlt1,dFlt2,critFlt2,dFlt3,critFlt3))</f>
        <v/>
      </c>
      <c r="E329" t="str">
        <f>IF($B329="","",SUMIFS(dQty,dCust,$B329,dPer,"&gt;="&amp;pyFrom,dPer,"&lt;="&amp;pyTo,dQty,"&gt;-1E+300",dFlt1,critFlt1,dFlt2,critFlt2,dFlt3,critFlt3))</f>
        <v/>
      </c>
      <c r="F329" t="str">
        <f>IF($B329="","",SUMIFS(dQty,dCust,$B329,dPer,"&gt;="&amp;cyFrom,dPer,"&lt;="&amp;cyTo,dQty,"&gt;-1E+300",dFlt1,critFlt1,dFlt2,critFlt2,dFlt3,critFlt3))</f>
        <v/>
      </c>
      <c r="G329">
        <f>IF($B329="",0,IFERROR(IF(OR(C329&lt;&gt;0,D329&lt;&gt;0,E329&lt;&gt;0,F329&lt;&gt;0),1,0),1))</f>
        <v>0</v>
      </c>
      <c r="H329" t="str">
        <f>IF(OR(G329=0,E329=0),"",C329/E329)</f>
        <v/>
      </c>
      <c r="I329" t="str">
        <f>IF(OR(G329=0,F329=0),"",D329/F329)</f>
        <v/>
      </c>
      <c r="J329" t="str">
        <f>IF(OR(H329="",I329=""),"",IF(H329=0,"",I329/H329-1))</f>
        <v/>
      </c>
      <c r="K329" t="str">
        <f>IF($B329="","",IFERROR(IF(G329=0,-2E+300,CHOOSE(sortIdx,ROUND(D329,0),IF(J329="",-1E+300,ROUND(-J329,6)),IF(J329="",-1E+300,ROUND(J329,6)))),-1.5E+300))</f>
        <v/>
      </c>
      <c r="L329" t="str">
        <f>IF(K329="","",RANK(K329,$K$2:$K$3001,0)+COUNTIF($K$2:K329,K329)-1)</f>
        <v/>
      </c>
    </row>
    <row r="330">
      <c r="B330" t="str">
        <f>IFERROR(IF(A330="","","="&amp;SUBSTITUTE(SUBSTITUTE(SUBSTITUTE(A330,"~","~~"),"*","~*"),"?","~?")),"")</f>
        <v/>
      </c>
      <c r="C330" t="str">
        <f>IF($B330="","",SUMIFS(dAmt,dCust,$B330,dPer,"&gt;="&amp;pyFrom,dPer,"&lt;="&amp;pyTo,dAmt,"&gt;-1E+300",dFlt1,critFlt1,dFlt2,critFlt2,dFlt3,critFlt3))</f>
        <v/>
      </c>
      <c r="D330" t="str">
        <f>IF($B330="","",SUMIFS(dAmt,dCust,$B330,dPer,"&gt;="&amp;cyFrom,dPer,"&lt;="&amp;cyTo,dAmt,"&gt;-1E+300",dFlt1,critFlt1,dFlt2,critFlt2,dFlt3,critFlt3))</f>
        <v/>
      </c>
      <c r="E330" t="str">
        <f>IF($B330="","",SUMIFS(dQty,dCust,$B330,dPer,"&gt;="&amp;pyFrom,dPer,"&lt;="&amp;pyTo,dQty,"&gt;-1E+300",dFlt1,critFlt1,dFlt2,critFlt2,dFlt3,critFlt3))</f>
        <v/>
      </c>
      <c r="F330" t="str">
        <f>IF($B330="","",SUMIFS(dQty,dCust,$B330,dPer,"&gt;="&amp;cyFrom,dPer,"&lt;="&amp;cyTo,dQty,"&gt;-1E+300",dFlt1,critFlt1,dFlt2,critFlt2,dFlt3,critFlt3))</f>
        <v/>
      </c>
      <c r="G330">
        <f>IF($B330="",0,IFERROR(IF(OR(C330&lt;&gt;0,D330&lt;&gt;0,E330&lt;&gt;0,F330&lt;&gt;0),1,0),1))</f>
        <v>0</v>
      </c>
      <c r="H330" t="str">
        <f>IF(OR(G330=0,E330=0),"",C330/E330)</f>
        <v/>
      </c>
      <c r="I330" t="str">
        <f>IF(OR(G330=0,F330=0),"",D330/F330)</f>
        <v/>
      </c>
      <c r="J330" t="str">
        <f>IF(OR(H330="",I330=""),"",IF(H330=0,"",I330/H330-1))</f>
        <v/>
      </c>
      <c r="K330" t="str">
        <f>IF($B330="","",IFERROR(IF(G330=0,-2E+300,CHOOSE(sortIdx,ROUND(D330,0),IF(J330="",-1E+300,ROUND(-J330,6)),IF(J330="",-1E+300,ROUND(J330,6)))),-1.5E+300))</f>
        <v/>
      </c>
      <c r="L330" t="str">
        <f>IF(K330="","",RANK(K330,$K$2:$K$3001,0)+COUNTIF($K$2:K330,K330)-1)</f>
        <v/>
      </c>
    </row>
    <row r="331">
      <c r="B331" t="str">
        <f>IFERROR(IF(A331="","","="&amp;SUBSTITUTE(SUBSTITUTE(SUBSTITUTE(A331,"~","~~"),"*","~*"),"?","~?")),"")</f>
        <v/>
      </c>
      <c r="C331" t="str">
        <f>IF($B331="","",SUMIFS(dAmt,dCust,$B331,dPer,"&gt;="&amp;pyFrom,dPer,"&lt;="&amp;pyTo,dAmt,"&gt;-1E+300",dFlt1,critFlt1,dFlt2,critFlt2,dFlt3,critFlt3))</f>
        <v/>
      </c>
      <c r="D331" t="str">
        <f>IF($B331="","",SUMIFS(dAmt,dCust,$B331,dPer,"&gt;="&amp;cyFrom,dPer,"&lt;="&amp;cyTo,dAmt,"&gt;-1E+300",dFlt1,critFlt1,dFlt2,critFlt2,dFlt3,critFlt3))</f>
        <v/>
      </c>
      <c r="E331" t="str">
        <f>IF($B331="","",SUMIFS(dQty,dCust,$B331,dPer,"&gt;="&amp;pyFrom,dPer,"&lt;="&amp;pyTo,dQty,"&gt;-1E+300",dFlt1,critFlt1,dFlt2,critFlt2,dFlt3,critFlt3))</f>
        <v/>
      </c>
      <c r="F331" t="str">
        <f>IF($B331="","",SUMIFS(dQty,dCust,$B331,dPer,"&gt;="&amp;cyFrom,dPer,"&lt;="&amp;cyTo,dQty,"&gt;-1E+300",dFlt1,critFlt1,dFlt2,critFlt2,dFlt3,critFlt3))</f>
        <v/>
      </c>
      <c r="G331">
        <f>IF($B331="",0,IFERROR(IF(OR(C331&lt;&gt;0,D331&lt;&gt;0,E331&lt;&gt;0,F331&lt;&gt;0),1,0),1))</f>
        <v>0</v>
      </c>
      <c r="H331" t="str">
        <f>IF(OR(G331=0,E331=0),"",C331/E331)</f>
        <v/>
      </c>
      <c r="I331" t="str">
        <f>IF(OR(G331=0,F331=0),"",D331/F331)</f>
        <v/>
      </c>
      <c r="J331" t="str">
        <f>IF(OR(H331="",I331=""),"",IF(H331=0,"",I331/H331-1))</f>
        <v/>
      </c>
      <c r="K331" t="str">
        <f>IF($B331="","",IFERROR(IF(G331=0,-2E+300,CHOOSE(sortIdx,ROUND(D331,0),IF(J331="",-1E+300,ROUND(-J331,6)),IF(J331="",-1E+300,ROUND(J331,6)))),-1.5E+300))</f>
        <v/>
      </c>
      <c r="L331" t="str">
        <f>IF(K331="","",RANK(K331,$K$2:$K$3001,0)+COUNTIF($K$2:K331,K331)-1)</f>
        <v/>
      </c>
    </row>
    <row r="332">
      <c r="B332" t="str">
        <f>IFERROR(IF(A332="","","="&amp;SUBSTITUTE(SUBSTITUTE(SUBSTITUTE(A332,"~","~~"),"*","~*"),"?","~?")),"")</f>
        <v/>
      </c>
      <c r="C332" t="str">
        <f>IF($B332="","",SUMIFS(dAmt,dCust,$B332,dPer,"&gt;="&amp;pyFrom,dPer,"&lt;="&amp;pyTo,dAmt,"&gt;-1E+300",dFlt1,critFlt1,dFlt2,critFlt2,dFlt3,critFlt3))</f>
        <v/>
      </c>
      <c r="D332" t="str">
        <f>IF($B332="","",SUMIFS(dAmt,dCust,$B332,dPer,"&gt;="&amp;cyFrom,dPer,"&lt;="&amp;cyTo,dAmt,"&gt;-1E+300",dFlt1,critFlt1,dFlt2,critFlt2,dFlt3,critFlt3))</f>
        <v/>
      </c>
      <c r="E332" t="str">
        <f>IF($B332="","",SUMIFS(dQty,dCust,$B332,dPer,"&gt;="&amp;pyFrom,dPer,"&lt;="&amp;pyTo,dQty,"&gt;-1E+300",dFlt1,critFlt1,dFlt2,critFlt2,dFlt3,critFlt3))</f>
        <v/>
      </c>
      <c r="F332" t="str">
        <f>IF($B332="","",SUMIFS(dQty,dCust,$B332,dPer,"&gt;="&amp;cyFrom,dPer,"&lt;="&amp;cyTo,dQty,"&gt;-1E+300",dFlt1,critFlt1,dFlt2,critFlt2,dFlt3,critFlt3))</f>
        <v/>
      </c>
      <c r="G332">
        <f>IF($B332="",0,IFERROR(IF(OR(C332&lt;&gt;0,D332&lt;&gt;0,E332&lt;&gt;0,F332&lt;&gt;0),1,0),1))</f>
        <v>0</v>
      </c>
      <c r="H332" t="str">
        <f>IF(OR(G332=0,E332=0),"",C332/E332)</f>
        <v/>
      </c>
      <c r="I332" t="str">
        <f>IF(OR(G332=0,F332=0),"",D332/F332)</f>
        <v/>
      </c>
      <c r="J332" t="str">
        <f>IF(OR(H332="",I332=""),"",IF(H332=0,"",I332/H332-1))</f>
        <v/>
      </c>
      <c r="K332" t="str">
        <f>IF($B332="","",IFERROR(IF(G332=0,-2E+300,CHOOSE(sortIdx,ROUND(D332,0),IF(J332="",-1E+300,ROUND(-J332,6)),IF(J332="",-1E+300,ROUND(J332,6)))),-1.5E+300))</f>
        <v/>
      </c>
      <c r="L332" t="str">
        <f>IF(K332="","",RANK(K332,$K$2:$K$3001,0)+COUNTIF($K$2:K332,K332)-1)</f>
        <v/>
      </c>
    </row>
    <row r="333">
      <c r="B333" t="str">
        <f>IFERROR(IF(A333="","","="&amp;SUBSTITUTE(SUBSTITUTE(SUBSTITUTE(A333,"~","~~"),"*","~*"),"?","~?")),"")</f>
        <v/>
      </c>
      <c r="C333" t="str">
        <f>IF($B333="","",SUMIFS(dAmt,dCust,$B333,dPer,"&gt;="&amp;pyFrom,dPer,"&lt;="&amp;pyTo,dAmt,"&gt;-1E+300",dFlt1,critFlt1,dFlt2,critFlt2,dFlt3,critFlt3))</f>
        <v/>
      </c>
      <c r="D333" t="str">
        <f>IF($B333="","",SUMIFS(dAmt,dCust,$B333,dPer,"&gt;="&amp;cyFrom,dPer,"&lt;="&amp;cyTo,dAmt,"&gt;-1E+300",dFlt1,critFlt1,dFlt2,critFlt2,dFlt3,critFlt3))</f>
        <v/>
      </c>
      <c r="E333" t="str">
        <f>IF($B333="","",SUMIFS(dQty,dCust,$B333,dPer,"&gt;="&amp;pyFrom,dPer,"&lt;="&amp;pyTo,dQty,"&gt;-1E+300",dFlt1,critFlt1,dFlt2,critFlt2,dFlt3,critFlt3))</f>
        <v/>
      </c>
      <c r="F333" t="str">
        <f>IF($B333="","",SUMIFS(dQty,dCust,$B333,dPer,"&gt;="&amp;cyFrom,dPer,"&lt;="&amp;cyTo,dQty,"&gt;-1E+300",dFlt1,critFlt1,dFlt2,critFlt2,dFlt3,critFlt3))</f>
        <v/>
      </c>
      <c r="G333">
        <f>IF($B333="",0,IFERROR(IF(OR(C333&lt;&gt;0,D333&lt;&gt;0,E333&lt;&gt;0,F333&lt;&gt;0),1,0),1))</f>
        <v>0</v>
      </c>
      <c r="H333" t="str">
        <f>IF(OR(G333=0,E333=0),"",C333/E333)</f>
        <v/>
      </c>
      <c r="I333" t="str">
        <f>IF(OR(G333=0,F333=0),"",D333/F333)</f>
        <v/>
      </c>
      <c r="J333" t="str">
        <f>IF(OR(H333="",I333=""),"",IF(H333=0,"",I333/H333-1))</f>
        <v/>
      </c>
      <c r="K333" t="str">
        <f>IF($B333="","",IFERROR(IF(G333=0,-2E+300,CHOOSE(sortIdx,ROUND(D333,0),IF(J333="",-1E+300,ROUND(-J333,6)),IF(J333="",-1E+300,ROUND(J333,6)))),-1.5E+300))</f>
        <v/>
      </c>
      <c r="L333" t="str">
        <f>IF(K333="","",RANK(K333,$K$2:$K$3001,0)+COUNTIF($K$2:K333,K333)-1)</f>
        <v/>
      </c>
    </row>
    <row r="334">
      <c r="B334" t="str">
        <f>IFERROR(IF(A334="","","="&amp;SUBSTITUTE(SUBSTITUTE(SUBSTITUTE(A334,"~","~~"),"*","~*"),"?","~?")),"")</f>
        <v/>
      </c>
      <c r="C334" t="str">
        <f>IF($B334="","",SUMIFS(dAmt,dCust,$B334,dPer,"&gt;="&amp;pyFrom,dPer,"&lt;="&amp;pyTo,dAmt,"&gt;-1E+300",dFlt1,critFlt1,dFlt2,critFlt2,dFlt3,critFlt3))</f>
        <v/>
      </c>
      <c r="D334" t="str">
        <f>IF($B334="","",SUMIFS(dAmt,dCust,$B334,dPer,"&gt;="&amp;cyFrom,dPer,"&lt;="&amp;cyTo,dAmt,"&gt;-1E+300",dFlt1,critFlt1,dFlt2,critFlt2,dFlt3,critFlt3))</f>
        <v/>
      </c>
      <c r="E334" t="str">
        <f>IF($B334="","",SUMIFS(dQty,dCust,$B334,dPer,"&gt;="&amp;pyFrom,dPer,"&lt;="&amp;pyTo,dQty,"&gt;-1E+300",dFlt1,critFlt1,dFlt2,critFlt2,dFlt3,critFlt3))</f>
        <v/>
      </c>
      <c r="F334" t="str">
        <f>IF($B334="","",SUMIFS(dQty,dCust,$B334,dPer,"&gt;="&amp;cyFrom,dPer,"&lt;="&amp;cyTo,dQty,"&gt;-1E+300",dFlt1,critFlt1,dFlt2,critFlt2,dFlt3,critFlt3))</f>
        <v/>
      </c>
      <c r="G334">
        <f>IF($B334="",0,IFERROR(IF(OR(C334&lt;&gt;0,D334&lt;&gt;0,E334&lt;&gt;0,F334&lt;&gt;0),1,0),1))</f>
        <v>0</v>
      </c>
      <c r="H334" t="str">
        <f>IF(OR(G334=0,E334=0),"",C334/E334)</f>
        <v/>
      </c>
      <c r="I334" t="str">
        <f>IF(OR(G334=0,F334=0),"",D334/F334)</f>
        <v/>
      </c>
      <c r="J334" t="str">
        <f>IF(OR(H334="",I334=""),"",IF(H334=0,"",I334/H334-1))</f>
        <v/>
      </c>
      <c r="K334" t="str">
        <f>IF($B334="","",IFERROR(IF(G334=0,-2E+300,CHOOSE(sortIdx,ROUND(D334,0),IF(J334="",-1E+300,ROUND(-J334,6)),IF(J334="",-1E+300,ROUND(J334,6)))),-1.5E+300))</f>
        <v/>
      </c>
      <c r="L334" t="str">
        <f>IF(K334="","",RANK(K334,$K$2:$K$3001,0)+COUNTIF($K$2:K334,K334)-1)</f>
        <v/>
      </c>
    </row>
    <row r="335">
      <c r="B335" t="str">
        <f>IFERROR(IF(A335="","","="&amp;SUBSTITUTE(SUBSTITUTE(SUBSTITUTE(A335,"~","~~"),"*","~*"),"?","~?")),"")</f>
        <v/>
      </c>
      <c r="C335" t="str">
        <f>IF($B335="","",SUMIFS(dAmt,dCust,$B335,dPer,"&gt;="&amp;pyFrom,dPer,"&lt;="&amp;pyTo,dAmt,"&gt;-1E+300",dFlt1,critFlt1,dFlt2,critFlt2,dFlt3,critFlt3))</f>
        <v/>
      </c>
      <c r="D335" t="str">
        <f>IF($B335="","",SUMIFS(dAmt,dCust,$B335,dPer,"&gt;="&amp;cyFrom,dPer,"&lt;="&amp;cyTo,dAmt,"&gt;-1E+300",dFlt1,critFlt1,dFlt2,critFlt2,dFlt3,critFlt3))</f>
        <v/>
      </c>
      <c r="E335" t="str">
        <f>IF($B335="","",SUMIFS(dQty,dCust,$B335,dPer,"&gt;="&amp;pyFrom,dPer,"&lt;="&amp;pyTo,dQty,"&gt;-1E+300",dFlt1,critFlt1,dFlt2,critFlt2,dFlt3,critFlt3))</f>
        <v/>
      </c>
      <c r="F335" t="str">
        <f>IF($B335="","",SUMIFS(dQty,dCust,$B335,dPer,"&gt;="&amp;cyFrom,dPer,"&lt;="&amp;cyTo,dQty,"&gt;-1E+300",dFlt1,critFlt1,dFlt2,critFlt2,dFlt3,critFlt3))</f>
        <v/>
      </c>
      <c r="G335">
        <f>IF($B335="",0,IFERROR(IF(OR(C335&lt;&gt;0,D335&lt;&gt;0,E335&lt;&gt;0,F335&lt;&gt;0),1,0),1))</f>
        <v>0</v>
      </c>
      <c r="H335" t="str">
        <f>IF(OR(G335=0,E335=0),"",C335/E335)</f>
        <v/>
      </c>
      <c r="I335" t="str">
        <f>IF(OR(G335=0,F335=0),"",D335/F335)</f>
        <v/>
      </c>
      <c r="J335" t="str">
        <f>IF(OR(H335="",I335=""),"",IF(H335=0,"",I335/H335-1))</f>
        <v/>
      </c>
      <c r="K335" t="str">
        <f>IF($B335="","",IFERROR(IF(G335=0,-2E+300,CHOOSE(sortIdx,ROUND(D335,0),IF(J335="",-1E+300,ROUND(-J335,6)),IF(J335="",-1E+300,ROUND(J335,6)))),-1.5E+300))</f>
        <v/>
      </c>
      <c r="L335" t="str">
        <f>IF(K335="","",RANK(K335,$K$2:$K$3001,0)+COUNTIF($K$2:K335,K335)-1)</f>
        <v/>
      </c>
    </row>
    <row r="336">
      <c r="B336" t="str">
        <f>IFERROR(IF(A336="","","="&amp;SUBSTITUTE(SUBSTITUTE(SUBSTITUTE(A336,"~","~~"),"*","~*"),"?","~?")),"")</f>
        <v/>
      </c>
      <c r="C336" t="str">
        <f>IF($B336="","",SUMIFS(dAmt,dCust,$B336,dPer,"&gt;="&amp;pyFrom,dPer,"&lt;="&amp;pyTo,dAmt,"&gt;-1E+300",dFlt1,critFlt1,dFlt2,critFlt2,dFlt3,critFlt3))</f>
        <v/>
      </c>
      <c r="D336" t="str">
        <f>IF($B336="","",SUMIFS(dAmt,dCust,$B336,dPer,"&gt;="&amp;cyFrom,dPer,"&lt;="&amp;cyTo,dAmt,"&gt;-1E+300",dFlt1,critFlt1,dFlt2,critFlt2,dFlt3,critFlt3))</f>
        <v/>
      </c>
      <c r="E336" t="str">
        <f>IF($B336="","",SUMIFS(dQty,dCust,$B336,dPer,"&gt;="&amp;pyFrom,dPer,"&lt;="&amp;pyTo,dQty,"&gt;-1E+300",dFlt1,critFlt1,dFlt2,critFlt2,dFlt3,critFlt3))</f>
        <v/>
      </c>
      <c r="F336" t="str">
        <f>IF($B336="","",SUMIFS(dQty,dCust,$B336,dPer,"&gt;="&amp;cyFrom,dPer,"&lt;="&amp;cyTo,dQty,"&gt;-1E+300",dFlt1,critFlt1,dFlt2,critFlt2,dFlt3,critFlt3))</f>
        <v/>
      </c>
      <c r="G336">
        <f>IF($B336="",0,IFERROR(IF(OR(C336&lt;&gt;0,D336&lt;&gt;0,E336&lt;&gt;0,F336&lt;&gt;0),1,0),1))</f>
        <v>0</v>
      </c>
      <c r="H336" t="str">
        <f>IF(OR(G336=0,E336=0),"",C336/E336)</f>
        <v/>
      </c>
      <c r="I336" t="str">
        <f>IF(OR(G336=0,F336=0),"",D336/F336)</f>
        <v/>
      </c>
      <c r="J336" t="str">
        <f>IF(OR(H336="",I336=""),"",IF(H336=0,"",I336/H336-1))</f>
        <v/>
      </c>
      <c r="K336" t="str">
        <f>IF($B336="","",IFERROR(IF(G336=0,-2E+300,CHOOSE(sortIdx,ROUND(D336,0),IF(J336="",-1E+300,ROUND(-J336,6)),IF(J336="",-1E+300,ROUND(J336,6)))),-1.5E+300))</f>
        <v/>
      </c>
      <c r="L336" t="str">
        <f>IF(K336="","",RANK(K336,$K$2:$K$3001,0)+COUNTIF($K$2:K336,K336)-1)</f>
        <v/>
      </c>
    </row>
    <row r="337">
      <c r="B337" t="str">
        <f>IFERROR(IF(A337="","","="&amp;SUBSTITUTE(SUBSTITUTE(SUBSTITUTE(A337,"~","~~"),"*","~*"),"?","~?")),"")</f>
        <v/>
      </c>
      <c r="C337" t="str">
        <f>IF($B337="","",SUMIFS(dAmt,dCust,$B337,dPer,"&gt;="&amp;pyFrom,dPer,"&lt;="&amp;pyTo,dAmt,"&gt;-1E+300",dFlt1,critFlt1,dFlt2,critFlt2,dFlt3,critFlt3))</f>
        <v/>
      </c>
      <c r="D337" t="str">
        <f>IF($B337="","",SUMIFS(dAmt,dCust,$B337,dPer,"&gt;="&amp;cyFrom,dPer,"&lt;="&amp;cyTo,dAmt,"&gt;-1E+300",dFlt1,critFlt1,dFlt2,critFlt2,dFlt3,critFlt3))</f>
        <v/>
      </c>
      <c r="E337" t="str">
        <f>IF($B337="","",SUMIFS(dQty,dCust,$B337,dPer,"&gt;="&amp;pyFrom,dPer,"&lt;="&amp;pyTo,dQty,"&gt;-1E+300",dFlt1,critFlt1,dFlt2,critFlt2,dFlt3,critFlt3))</f>
        <v/>
      </c>
      <c r="F337" t="str">
        <f>IF($B337="","",SUMIFS(dQty,dCust,$B337,dPer,"&gt;="&amp;cyFrom,dPer,"&lt;="&amp;cyTo,dQty,"&gt;-1E+300",dFlt1,critFlt1,dFlt2,critFlt2,dFlt3,critFlt3))</f>
        <v/>
      </c>
      <c r="G337">
        <f>IF($B337="",0,IFERROR(IF(OR(C337&lt;&gt;0,D337&lt;&gt;0,E337&lt;&gt;0,F337&lt;&gt;0),1,0),1))</f>
        <v>0</v>
      </c>
      <c r="H337" t="str">
        <f>IF(OR(G337=0,E337=0),"",C337/E337)</f>
        <v/>
      </c>
      <c r="I337" t="str">
        <f>IF(OR(G337=0,F337=0),"",D337/F337)</f>
        <v/>
      </c>
      <c r="J337" t="str">
        <f>IF(OR(H337="",I337=""),"",IF(H337=0,"",I337/H337-1))</f>
        <v/>
      </c>
      <c r="K337" t="str">
        <f>IF($B337="","",IFERROR(IF(G337=0,-2E+300,CHOOSE(sortIdx,ROUND(D337,0),IF(J337="",-1E+300,ROUND(-J337,6)),IF(J337="",-1E+300,ROUND(J337,6)))),-1.5E+300))</f>
        <v/>
      </c>
      <c r="L337" t="str">
        <f>IF(K337="","",RANK(K337,$K$2:$K$3001,0)+COUNTIF($K$2:K337,K337)-1)</f>
        <v/>
      </c>
    </row>
    <row r="338">
      <c r="B338" t="str">
        <f>IFERROR(IF(A338="","","="&amp;SUBSTITUTE(SUBSTITUTE(SUBSTITUTE(A338,"~","~~"),"*","~*"),"?","~?")),"")</f>
        <v/>
      </c>
      <c r="C338" t="str">
        <f>IF($B338="","",SUMIFS(dAmt,dCust,$B338,dPer,"&gt;="&amp;pyFrom,dPer,"&lt;="&amp;pyTo,dAmt,"&gt;-1E+300",dFlt1,critFlt1,dFlt2,critFlt2,dFlt3,critFlt3))</f>
        <v/>
      </c>
      <c r="D338" t="str">
        <f>IF($B338="","",SUMIFS(dAmt,dCust,$B338,dPer,"&gt;="&amp;cyFrom,dPer,"&lt;="&amp;cyTo,dAmt,"&gt;-1E+300",dFlt1,critFlt1,dFlt2,critFlt2,dFlt3,critFlt3))</f>
        <v/>
      </c>
      <c r="E338" t="str">
        <f>IF($B338="","",SUMIFS(dQty,dCust,$B338,dPer,"&gt;="&amp;pyFrom,dPer,"&lt;="&amp;pyTo,dQty,"&gt;-1E+300",dFlt1,critFlt1,dFlt2,critFlt2,dFlt3,critFlt3))</f>
        <v/>
      </c>
      <c r="F338" t="str">
        <f>IF($B338="","",SUMIFS(dQty,dCust,$B338,dPer,"&gt;="&amp;cyFrom,dPer,"&lt;="&amp;cyTo,dQty,"&gt;-1E+300",dFlt1,critFlt1,dFlt2,critFlt2,dFlt3,critFlt3))</f>
        <v/>
      </c>
      <c r="G338">
        <f>IF($B338="",0,IFERROR(IF(OR(C338&lt;&gt;0,D338&lt;&gt;0,E338&lt;&gt;0,F338&lt;&gt;0),1,0),1))</f>
        <v>0</v>
      </c>
      <c r="H338" t="str">
        <f>IF(OR(G338=0,E338=0),"",C338/E338)</f>
        <v/>
      </c>
      <c r="I338" t="str">
        <f>IF(OR(G338=0,F338=0),"",D338/F338)</f>
        <v/>
      </c>
      <c r="J338" t="str">
        <f>IF(OR(H338="",I338=""),"",IF(H338=0,"",I338/H338-1))</f>
        <v/>
      </c>
      <c r="K338" t="str">
        <f>IF($B338="","",IFERROR(IF(G338=0,-2E+300,CHOOSE(sortIdx,ROUND(D338,0),IF(J338="",-1E+300,ROUND(-J338,6)),IF(J338="",-1E+300,ROUND(J338,6)))),-1.5E+300))</f>
        <v/>
      </c>
      <c r="L338" t="str">
        <f>IF(K338="","",RANK(K338,$K$2:$K$3001,0)+COUNTIF($K$2:K338,K338)-1)</f>
        <v/>
      </c>
    </row>
    <row r="339">
      <c r="B339" t="str">
        <f>IFERROR(IF(A339="","","="&amp;SUBSTITUTE(SUBSTITUTE(SUBSTITUTE(A339,"~","~~"),"*","~*"),"?","~?")),"")</f>
        <v/>
      </c>
      <c r="C339" t="str">
        <f>IF($B339="","",SUMIFS(dAmt,dCust,$B339,dPer,"&gt;="&amp;pyFrom,dPer,"&lt;="&amp;pyTo,dAmt,"&gt;-1E+300",dFlt1,critFlt1,dFlt2,critFlt2,dFlt3,critFlt3))</f>
        <v/>
      </c>
      <c r="D339" t="str">
        <f>IF($B339="","",SUMIFS(dAmt,dCust,$B339,dPer,"&gt;="&amp;cyFrom,dPer,"&lt;="&amp;cyTo,dAmt,"&gt;-1E+300",dFlt1,critFlt1,dFlt2,critFlt2,dFlt3,critFlt3))</f>
        <v/>
      </c>
      <c r="E339" t="str">
        <f>IF($B339="","",SUMIFS(dQty,dCust,$B339,dPer,"&gt;="&amp;pyFrom,dPer,"&lt;="&amp;pyTo,dQty,"&gt;-1E+300",dFlt1,critFlt1,dFlt2,critFlt2,dFlt3,critFlt3))</f>
        <v/>
      </c>
      <c r="F339" t="str">
        <f>IF($B339="","",SUMIFS(dQty,dCust,$B339,dPer,"&gt;="&amp;cyFrom,dPer,"&lt;="&amp;cyTo,dQty,"&gt;-1E+300",dFlt1,critFlt1,dFlt2,critFlt2,dFlt3,critFlt3))</f>
        <v/>
      </c>
      <c r="G339">
        <f>IF($B339="",0,IFERROR(IF(OR(C339&lt;&gt;0,D339&lt;&gt;0,E339&lt;&gt;0,F339&lt;&gt;0),1,0),1))</f>
        <v>0</v>
      </c>
      <c r="H339" t="str">
        <f>IF(OR(G339=0,E339=0),"",C339/E339)</f>
        <v/>
      </c>
      <c r="I339" t="str">
        <f>IF(OR(G339=0,F339=0),"",D339/F339)</f>
        <v/>
      </c>
      <c r="J339" t="str">
        <f>IF(OR(H339="",I339=""),"",IF(H339=0,"",I339/H339-1))</f>
        <v/>
      </c>
      <c r="K339" t="str">
        <f>IF($B339="","",IFERROR(IF(G339=0,-2E+300,CHOOSE(sortIdx,ROUND(D339,0),IF(J339="",-1E+300,ROUND(-J339,6)),IF(J339="",-1E+300,ROUND(J339,6)))),-1.5E+300))</f>
        <v/>
      </c>
      <c r="L339" t="str">
        <f>IF(K339="","",RANK(K339,$K$2:$K$3001,0)+COUNTIF($K$2:K339,K339)-1)</f>
        <v/>
      </c>
    </row>
    <row r="340">
      <c r="B340" t="str">
        <f>IFERROR(IF(A340="","","="&amp;SUBSTITUTE(SUBSTITUTE(SUBSTITUTE(A340,"~","~~"),"*","~*"),"?","~?")),"")</f>
        <v/>
      </c>
      <c r="C340" t="str">
        <f>IF($B340="","",SUMIFS(dAmt,dCust,$B340,dPer,"&gt;="&amp;pyFrom,dPer,"&lt;="&amp;pyTo,dAmt,"&gt;-1E+300",dFlt1,critFlt1,dFlt2,critFlt2,dFlt3,critFlt3))</f>
        <v/>
      </c>
      <c r="D340" t="str">
        <f>IF($B340="","",SUMIFS(dAmt,dCust,$B340,dPer,"&gt;="&amp;cyFrom,dPer,"&lt;="&amp;cyTo,dAmt,"&gt;-1E+300",dFlt1,critFlt1,dFlt2,critFlt2,dFlt3,critFlt3))</f>
        <v/>
      </c>
      <c r="E340" t="str">
        <f>IF($B340="","",SUMIFS(dQty,dCust,$B340,dPer,"&gt;="&amp;pyFrom,dPer,"&lt;="&amp;pyTo,dQty,"&gt;-1E+300",dFlt1,critFlt1,dFlt2,critFlt2,dFlt3,critFlt3))</f>
        <v/>
      </c>
      <c r="F340" t="str">
        <f>IF($B340="","",SUMIFS(dQty,dCust,$B340,dPer,"&gt;="&amp;cyFrom,dPer,"&lt;="&amp;cyTo,dQty,"&gt;-1E+300",dFlt1,critFlt1,dFlt2,critFlt2,dFlt3,critFlt3))</f>
        <v/>
      </c>
      <c r="G340">
        <f>IF($B340="",0,IFERROR(IF(OR(C340&lt;&gt;0,D340&lt;&gt;0,E340&lt;&gt;0,F340&lt;&gt;0),1,0),1))</f>
        <v>0</v>
      </c>
      <c r="H340" t="str">
        <f>IF(OR(G340=0,E340=0),"",C340/E340)</f>
        <v/>
      </c>
      <c r="I340" t="str">
        <f>IF(OR(G340=0,F340=0),"",D340/F340)</f>
        <v/>
      </c>
      <c r="J340" t="str">
        <f>IF(OR(H340="",I340=""),"",IF(H340=0,"",I340/H340-1))</f>
        <v/>
      </c>
      <c r="K340" t="str">
        <f>IF($B340="","",IFERROR(IF(G340=0,-2E+300,CHOOSE(sortIdx,ROUND(D340,0),IF(J340="",-1E+300,ROUND(-J340,6)),IF(J340="",-1E+300,ROUND(J340,6)))),-1.5E+300))</f>
        <v/>
      </c>
      <c r="L340" t="str">
        <f>IF(K340="","",RANK(K340,$K$2:$K$3001,0)+COUNTIF($K$2:K340,K340)-1)</f>
        <v/>
      </c>
    </row>
    <row r="341">
      <c r="B341" t="str">
        <f>IFERROR(IF(A341="","","="&amp;SUBSTITUTE(SUBSTITUTE(SUBSTITUTE(A341,"~","~~"),"*","~*"),"?","~?")),"")</f>
        <v/>
      </c>
      <c r="C341" t="str">
        <f>IF($B341="","",SUMIFS(dAmt,dCust,$B341,dPer,"&gt;="&amp;pyFrom,dPer,"&lt;="&amp;pyTo,dAmt,"&gt;-1E+300",dFlt1,critFlt1,dFlt2,critFlt2,dFlt3,critFlt3))</f>
        <v/>
      </c>
      <c r="D341" t="str">
        <f>IF($B341="","",SUMIFS(dAmt,dCust,$B341,dPer,"&gt;="&amp;cyFrom,dPer,"&lt;="&amp;cyTo,dAmt,"&gt;-1E+300",dFlt1,critFlt1,dFlt2,critFlt2,dFlt3,critFlt3))</f>
        <v/>
      </c>
      <c r="E341" t="str">
        <f>IF($B341="","",SUMIFS(dQty,dCust,$B341,dPer,"&gt;="&amp;pyFrom,dPer,"&lt;="&amp;pyTo,dQty,"&gt;-1E+300",dFlt1,critFlt1,dFlt2,critFlt2,dFlt3,critFlt3))</f>
        <v/>
      </c>
      <c r="F341" t="str">
        <f>IF($B341="","",SUMIFS(dQty,dCust,$B341,dPer,"&gt;="&amp;cyFrom,dPer,"&lt;="&amp;cyTo,dQty,"&gt;-1E+300",dFlt1,critFlt1,dFlt2,critFlt2,dFlt3,critFlt3))</f>
        <v/>
      </c>
      <c r="G341">
        <f>IF($B341="",0,IFERROR(IF(OR(C341&lt;&gt;0,D341&lt;&gt;0,E341&lt;&gt;0,F341&lt;&gt;0),1,0),1))</f>
        <v>0</v>
      </c>
      <c r="H341" t="str">
        <f>IF(OR(G341=0,E341=0),"",C341/E341)</f>
        <v/>
      </c>
      <c r="I341" t="str">
        <f>IF(OR(G341=0,F341=0),"",D341/F341)</f>
        <v/>
      </c>
      <c r="J341" t="str">
        <f>IF(OR(H341="",I341=""),"",IF(H341=0,"",I341/H341-1))</f>
        <v/>
      </c>
      <c r="K341" t="str">
        <f>IF($B341="","",IFERROR(IF(G341=0,-2E+300,CHOOSE(sortIdx,ROUND(D341,0),IF(J341="",-1E+300,ROUND(-J341,6)),IF(J341="",-1E+300,ROUND(J341,6)))),-1.5E+300))</f>
        <v/>
      </c>
      <c r="L341" t="str">
        <f>IF(K341="","",RANK(K341,$K$2:$K$3001,0)+COUNTIF($K$2:K341,K341)-1)</f>
        <v/>
      </c>
    </row>
    <row r="342">
      <c r="B342" t="str">
        <f>IFERROR(IF(A342="","","="&amp;SUBSTITUTE(SUBSTITUTE(SUBSTITUTE(A342,"~","~~"),"*","~*"),"?","~?")),"")</f>
        <v/>
      </c>
      <c r="C342" t="str">
        <f>IF($B342="","",SUMIFS(dAmt,dCust,$B342,dPer,"&gt;="&amp;pyFrom,dPer,"&lt;="&amp;pyTo,dAmt,"&gt;-1E+300",dFlt1,critFlt1,dFlt2,critFlt2,dFlt3,critFlt3))</f>
        <v/>
      </c>
      <c r="D342" t="str">
        <f>IF($B342="","",SUMIFS(dAmt,dCust,$B342,dPer,"&gt;="&amp;cyFrom,dPer,"&lt;="&amp;cyTo,dAmt,"&gt;-1E+300",dFlt1,critFlt1,dFlt2,critFlt2,dFlt3,critFlt3))</f>
        <v/>
      </c>
      <c r="E342" t="str">
        <f>IF($B342="","",SUMIFS(dQty,dCust,$B342,dPer,"&gt;="&amp;pyFrom,dPer,"&lt;="&amp;pyTo,dQty,"&gt;-1E+300",dFlt1,critFlt1,dFlt2,critFlt2,dFlt3,critFlt3))</f>
        <v/>
      </c>
      <c r="F342" t="str">
        <f>IF($B342="","",SUMIFS(dQty,dCust,$B342,dPer,"&gt;="&amp;cyFrom,dPer,"&lt;="&amp;cyTo,dQty,"&gt;-1E+300",dFlt1,critFlt1,dFlt2,critFlt2,dFlt3,critFlt3))</f>
        <v/>
      </c>
      <c r="G342">
        <f>IF($B342="",0,IFERROR(IF(OR(C342&lt;&gt;0,D342&lt;&gt;0,E342&lt;&gt;0,F342&lt;&gt;0),1,0),1))</f>
        <v>0</v>
      </c>
      <c r="H342" t="str">
        <f>IF(OR(G342=0,E342=0),"",C342/E342)</f>
        <v/>
      </c>
      <c r="I342" t="str">
        <f>IF(OR(G342=0,F342=0),"",D342/F342)</f>
        <v/>
      </c>
      <c r="J342" t="str">
        <f>IF(OR(H342="",I342=""),"",IF(H342=0,"",I342/H342-1))</f>
        <v/>
      </c>
      <c r="K342" t="str">
        <f>IF($B342="","",IFERROR(IF(G342=0,-2E+300,CHOOSE(sortIdx,ROUND(D342,0),IF(J342="",-1E+300,ROUND(-J342,6)),IF(J342="",-1E+300,ROUND(J342,6)))),-1.5E+300))</f>
        <v/>
      </c>
      <c r="L342" t="str">
        <f>IF(K342="","",RANK(K342,$K$2:$K$3001,0)+COUNTIF($K$2:K342,K342)-1)</f>
        <v/>
      </c>
    </row>
    <row r="343">
      <c r="B343" t="str">
        <f>IFERROR(IF(A343="","","="&amp;SUBSTITUTE(SUBSTITUTE(SUBSTITUTE(A343,"~","~~"),"*","~*"),"?","~?")),"")</f>
        <v/>
      </c>
      <c r="C343" t="str">
        <f>IF($B343="","",SUMIFS(dAmt,dCust,$B343,dPer,"&gt;="&amp;pyFrom,dPer,"&lt;="&amp;pyTo,dAmt,"&gt;-1E+300",dFlt1,critFlt1,dFlt2,critFlt2,dFlt3,critFlt3))</f>
        <v/>
      </c>
      <c r="D343" t="str">
        <f>IF($B343="","",SUMIFS(dAmt,dCust,$B343,dPer,"&gt;="&amp;cyFrom,dPer,"&lt;="&amp;cyTo,dAmt,"&gt;-1E+300",dFlt1,critFlt1,dFlt2,critFlt2,dFlt3,critFlt3))</f>
        <v/>
      </c>
      <c r="E343" t="str">
        <f>IF($B343="","",SUMIFS(dQty,dCust,$B343,dPer,"&gt;="&amp;pyFrom,dPer,"&lt;="&amp;pyTo,dQty,"&gt;-1E+300",dFlt1,critFlt1,dFlt2,critFlt2,dFlt3,critFlt3))</f>
        <v/>
      </c>
      <c r="F343" t="str">
        <f>IF($B343="","",SUMIFS(dQty,dCust,$B343,dPer,"&gt;="&amp;cyFrom,dPer,"&lt;="&amp;cyTo,dQty,"&gt;-1E+300",dFlt1,critFlt1,dFlt2,critFlt2,dFlt3,critFlt3))</f>
        <v/>
      </c>
      <c r="G343">
        <f>IF($B343="",0,IFERROR(IF(OR(C343&lt;&gt;0,D343&lt;&gt;0,E343&lt;&gt;0,F343&lt;&gt;0),1,0),1))</f>
        <v>0</v>
      </c>
      <c r="H343" t="str">
        <f>IF(OR(G343=0,E343=0),"",C343/E343)</f>
        <v/>
      </c>
      <c r="I343" t="str">
        <f>IF(OR(G343=0,F343=0),"",D343/F343)</f>
        <v/>
      </c>
      <c r="J343" t="str">
        <f>IF(OR(H343="",I343=""),"",IF(H343=0,"",I343/H343-1))</f>
        <v/>
      </c>
      <c r="K343" t="str">
        <f>IF($B343="","",IFERROR(IF(G343=0,-2E+300,CHOOSE(sortIdx,ROUND(D343,0),IF(J343="",-1E+300,ROUND(-J343,6)),IF(J343="",-1E+300,ROUND(J343,6)))),-1.5E+300))</f>
        <v/>
      </c>
      <c r="L343" t="str">
        <f>IF(K343="","",RANK(K343,$K$2:$K$3001,0)+COUNTIF($K$2:K343,K343)-1)</f>
        <v/>
      </c>
    </row>
    <row r="344">
      <c r="B344" t="str">
        <f>IFERROR(IF(A344="","","="&amp;SUBSTITUTE(SUBSTITUTE(SUBSTITUTE(A344,"~","~~"),"*","~*"),"?","~?")),"")</f>
        <v/>
      </c>
      <c r="C344" t="str">
        <f>IF($B344="","",SUMIFS(dAmt,dCust,$B344,dPer,"&gt;="&amp;pyFrom,dPer,"&lt;="&amp;pyTo,dAmt,"&gt;-1E+300",dFlt1,critFlt1,dFlt2,critFlt2,dFlt3,critFlt3))</f>
        <v/>
      </c>
      <c r="D344" t="str">
        <f>IF($B344="","",SUMIFS(dAmt,dCust,$B344,dPer,"&gt;="&amp;cyFrom,dPer,"&lt;="&amp;cyTo,dAmt,"&gt;-1E+300",dFlt1,critFlt1,dFlt2,critFlt2,dFlt3,critFlt3))</f>
        <v/>
      </c>
      <c r="E344" t="str">
        <f>IF($B344="","",SUMIFS(dQty,dCust,$B344,dPer,"&gt;="&amp;pyFrom,dPer,"&lt;="&amp;pyTo,dQty,"&gt;-1E+300",dFlt1,critFlt1,dFlt2,critFlt2,dFlt3,critFlt3))</f>
        <v/>
      </c>
      <c r="F344" t="str">
        <f>IF($B344="","",SUMIFS(dQty,dCust,$B344,dPer,"&gt;="&amp;cyFrom,dPer,"&lt;="&amp;cyTo,dQty,"&gt;-1E+300",dFlt1,critFlt1,dFlt2,critFlt2,dFlt3,critFlt3))</f>
        <v/>
      </c>
      <c r="G344">
        <f>IF($B344="",0,IFERROR(IF(OR(C344&lt;&gt;0,D344&lt;&gt;0,E344&lt;&gt;0,F344&lt;&gt;0),1,0),1))</f>
        <v>0</v>
      </c>
      <c r="H344" t="str">
        <f>IF(OR(G344=0,E344=0),"",C344/E344)</f>
        <v/>
      </c>
      <c r="I344" t="str">
        <f>IF(OR(G344=0,F344=0),"",D344/F344)</f>
        <v/>
      </c>
      <c r="J344" t="str">
        <f>IF(OR(H344="",I344=""),"",IF(H344=0,"",I344/H344-1))</f>
        <v/>
      </c>
      <c r="K344" t="str">
        <f>IF($B344="","",IFERROR(IF(G344=0,-2E+300,CHOOSE(sortIdx,ROUND(D344,0),IF(J344="",-1E+300,ROUND(-J344,6)),IF(J344="",-1E+300,ROUND(J344,6)))),-1.5E+300))</f>
        <v/>
      </c>
      <c r="L344" t="str">
        <f>IF(K344="","",RANK(K344,$K$2:$K$3001,0)+COUNTIF($K$2:K344,K344)-1)</f>
        <v/>
      </c>
    </row>
    <row r="345">
      <c r="B345" t="str">
        <f>IFERROR(IF(A345="","","="&amp;SUBSTITUTE(SUBSTITUTE(SUBSTITUTE(A345,"~","~~"),"*","~*"),"?","~?")),"")</f>
        <v/>
      </c>
      <c r="C345" t="str">
        <f>IF($B345="","",SUMIFS(dAmt,dCust,$B345,dPer,"&gt;="&amp;pyFrom,dPer,"&lt;="&amp;pyTo,dAmt,"&gt;-1E+300",dFlt1,critFlt1,dFlt2,critFlt2,dFlt3,critFlt3))</f>
        <v/>
      </c>
      <c r="D345" t="str">
        <f>IF($B345="","",SUMIFS(dAmt,dCust,$B345,dPer,"&gt;="&amp;cyFrom,dPer,"&lt;="&amp;cyTo,dAmt,"&gt;-1E+300",dFlt1,critFlt1,dFlt2,critFlt2,dFlt3,critFlt3))</f>
        <v/>
      </c>
      <c r="E345" t="str">
        <f>IF($B345="","",SUMIFS(dQty,dCust,$B345,dPer,"&gt;="&amp;pyFrom,dPer,"&lt;="&amp;pyTo,dQty,"&gt;-1E+300",dFlt1,critFlt1,dFlt2,critFlt2,dFlt3,critFlt3))</f>
        <v/>
      </c>
      <c r="F345" t="str">
        <f>IF($B345="","",SUMIFS(dQty,dCust,$B345,dPer,"&gt;="&amp;cyFrom,dPer,"&lt;="&amp;cyTo,dQty,"&gt;-1E+300",dFlt1,critFlt1,dFlt2,critFlt2,dFlt3,critFlt3))</f>
        <v/>
      </c>
      <c r="G345">
        <f>IF($B345="",0,IFERROR(IF(OR(C345&lt;&gt;0,D345&lt;&gt;0,E345&lt;&gt;0,F345&lt;&gt;0),1,0),1))</f>
        <v>0</v>
      </c>
      <c r="H345" t="str">
        <f>IF(OR(G345=0,E345=0),"",C345/E345)</f>
        <v/>
      </c>
      <c r="I345" t="str">
        <f>IF(OR(G345=0,F345=0),"",D345/F345)</f>
        <v/>
      </c>
      <c r="J345" t="str">
        <f>IF(OR(H345="",I345=""),"",IF(H345=0,"",I345/H345-1))</f>
        <v/>
      </c>
      <c r="K345" t="str">
        <f>IF($B345="","",IFERROR(IF(G345=0,-2E+300,CHOOSE(sortIdx,ROUND(D345,0),IF(J345="",-1E+300,ROUND(-J345,6)),IF(J345="",-1E+300,ROUND(J345,6)))),-1.5E+300))</f>
        <v/>
      </c>
      <c r="L345" t="str">
        <f>IF(K345="","",RANK(K345,$K$2:$K$3001,0)+COUNTIF($K$2:K345,K345)-1)</f>
        <v/>
      </c>
    </row>
    <row r="346">
      <c r="B346" t="str">
        <f>IFERROR(IF(A346="","","="&amp;SUBSTITUTE(SUBSTITUTE(SUBSTITUTE(A346,"~","~~"),"*","~*"),"?","~?")),"")</f>
        <v/>
      </c>
      <c r="C346" t="str">
        <f>IF($B346="","",SUMIFS(dAmt,dCust,$B346,dPer,"&gt;="&amp;pyFrom,dPer,"&lt;="&amp;pyTo,dAmt,"&gt;-1E+300",dFlt1,critFlt1,dFlt2,critFlt2,dFlt3,critFlt3))</f>
        <v/>
      </c>
      <c r="D346" t="str">
        <f>IF($B346="","",SUMIFS(dAmt,dCust,$B346,dPer,"&gt;="&amp;cyFrom,dPer,"&lt;="&amp;cyTo,dAmt,"&gt;-1E+300",dFlt1,critFlt1,dFlt2,critFlt2,dFlt3,critFlt3))</f>
        <v/>
      </c>
      <c r="E346" t="str">
        <f>IF($B346="","",SUMIFS(dQty,dCust,$B346,dPer,"&gt;="&amp;pyFrom,dPer,"&lt;="&amp;pyTo,dQty,"&gt;-1E+300",dFlt1,critFlt1,dFlt2,critFlt2,dFlt3,critFlt3))</f>
        <v/>
      </c>
      <c r="F346" t="str">
        <f>IF($B346="","",SUMIFS(dQty,dCust,$B346,dPer,"&gt;="&amp;cyFrom,dPer,"&lt;="&amp;cyTo,dQty,"&gt;-1E+300",dFlt1,critFlt1,dFlt2,critFlt2,dFlt3,critFlt3))</f>
        <v/>
      </c>
      <c r="G346">
        <f>IF($B346="",0,IFERROR(IF(OR(C346&lt;&gt;0,D346&lt;&gt;0,E346&lt;&gt;0,F346&lt;&gt;0),1,0),1))</f>
        <v>0</v>
      </c>
      <c r="H346" t="str">
        <f>IF(OR(G346=0,E346=0),"",C346/E346)</f>
        <v/>
      </c>
      <c r="I346" t="str">
        <f>IF(OR(G346=0,F346=0),"",D346/F346)</f>
        <v/>
      </c>
      <c r="J346" t="str">
        <f>IF(OR(H346="",I346=""),"",IF(H346=0,"",I346/H346-1))</f>
        <v/>
      </c>
      <c r="K346" t="str">
        <f>IF($B346="","",IFERROR(IF(G346=0,-2E+300,CHOOSE(sortIdx,ROUND(D346,0),IF(J346="",-1E+300,ROUND(-J346,6)),IF(J346="",-1E+300,ROUND(J346,6)))),-1.5E+300))</f>
        <v/>
      </c>
      <c r="L346" t="str">
        <f>IF(K346="","",RANK(K346,$K$2:$K$3001,0)+COUNTIF($K$2:K346,K346)-1)</f>
        <v/>
      </c>
    </row>
    <row r="347">
      <c r="B347" t="str">
        <f>IFERROR(IF(A347="","","="&amp;SUBSTITUTE(SUBSTITUTE(SUBSTITUTE(A347,"~","~~"),"*","~*"),"?","~?")),"")</f>
        <v/>
      </c>
      <c r="C347" t="str">
        <f>IF($B347="","",SUMIFS(dAmt,dCust,$B347,dPer,"&gt;="&amp;pyFrom,dPer,"&lt;="&amp;pyTo,dAmt,"&gt;-1E+300",dFlt1,critFlt1,dFlt2,critFlt2,dFlt3,critFlt3))</f>
        <v/>
      </c>
      <c r="D347" t="str">
        <f>IF($B347="","",SUMIFS(dAmt,dCust,$B347,dPer,"&gt;="&amp;cyFrom,dPer,"&lt;="&amp;cyTo,dAmt,"&gt;-1E+300",dFlt1,critFlt1,dFlt2,critFlt2,dFlt3,critFlt3))</f>
        <v/>
      </c>
      <c r="E347" t="str">
        <f>IF($B347="","",SUMIFS(dQty,dCust,$B347,dPer,"&gt;="&amp;pyFrom,dPer,"&lt;="&amp;pyTo,dQty,"&gt;-1E+300",dFlt1,critFlt1,dFlt2,critFlt2,dFlt3,critFlt3))</f>
        <v/>
      </c>
      <c r="F347" t="str">
        <f>IF($B347="","",SUMIFS(dQty,dCust,$B347,dPer,"&gt;="&amp;cyFrom,dPer,"&lt;="&amp;cyTo,dQty,"&gt;-1E+300",dFlt1,critFlt1,dFlt2,critFlt2,dFlt3,critFlt3))</f>
        <v/>
      </c>
      <c r="G347">
        <f>IF($B347="",0,IFERROR(IF(OR(C347&lt;&gt;0,D347&lt;&gt;0,E347&lt;&gt;0,F347&lt;&gt;0),1,0),1))</f>
        <v>0</v>
      </c>
      <c r="H347" t="str">
        <f>IF(OR(G347=0,E347=0),"",C347/E347)</f>
        <v/>
      </c>
      <c r="I347" t="str">
        <f>IF(OR(G347=0,F347=0),"",D347/F347)</f>
        <v/>
      </c>
      <c r="J347" t="str">
        <f>IF(OR(H347="",I347=""),"",IF(H347=0,"",I347/H347-1))</f>
        <v/>
      </c>
      <c r="K347" t="str">
        <f>IF($B347="","",IFERROR(IF(G347=0,-2E+300,CHOOSE(sortIdx,ROUND(D347,0),IF(J347="",-1E+300,ROUND(-J347,6)),IF(J347="",-1E+300,ROUND(J347,6)))),-1.5E+300))</f>
        <v/>
      </c>
      <c r="L347" t="str">
        <f>IF(K347="","",RANK(K347,$K$2:$K$3001,0)+COUNTIF($K$2:K347,K347)-1)</f>
        <v/>
      </c>
    </row>
    <row r="348">
      <c r="B348" t="str">
        <f>IFERROR(IF(A348="","","="&amp;SUBSTITUTE(SUBSTITUTE(SUBSTITUTE(A348,"~","~~"),"*","~*"),"?","~?")),"")</f>
        <v/>
      </c>
      <c r="C348" t="str">
        <f>IF($B348="","",SUMIFS(dAmt,dCust,$B348,dPer,"&gt;="&amp;pyFrom,dPer,"&lt;="&amp;pyTo,dAmt,"&gt;-1E+300",dFlt1,critFlt1,dFlt2,critFlt2,dFlt3,critFlt3))</f>
        <v/>
      </c>
      <c r="D348" t="str">
        <f>IF($B348="","",SUMIFS(dAmt,dCust,$B348,dPer,"&gt;="&amp;cyFrom,dPer,"&lt;="&amp;cyTo,dAmt,"&gt;-1E+300",dFlt1,critFlt1,dFlt2,critFlt2,dFlt3,critFlt3))</f>
        <v/>
      </c>
      <c r="E348" t="str">
        <f>IF($B348="","",SUMIFS(dQty,dCust,$B348,dPer,"&gt;="&amp;pyFrom,dPer,"&lt;="&amp;pyTo,dQty,"&gt;-1E+300",dFlt1,critFlt1,dFlt2,critFlt2,dFlt3,critFlt3))</f>
        <v/>
      </c>
      <c r="F348" t="str">
        <f>IF($B348="","",SUMIFS(dQty,dCust,$B348,dPer,"&gt;="&amp;cyFrom,dPer,"&lt;="&amp;cyTo,dQty,"&gt;-1E+300",dFlt1,critFlt1,dFlt2,critFlt2,dFlt3,critFlt3))</f>
        <v/>
      </c>
      <c r="G348">
        <f>IF($B348="",0,IFERROR(IF(OR(C348&lt;&gt;0,D348&lt;&gt;0,E348&lt;&gt;0,F348&lt;&gt;0),1,0),1))</f>
        <v>0</v>
      </c>
      <c r="H348" t="str">
        <f>IF(OR(G348=0,E348=0),"",C348/E348)</f>
        <v/>
      </c>
      <c r="I348" t="str">
        <f>IF(OR(G348=0,F348=0),"",D348/F348)</f>
        <v/>
      </c>
      <c r="J348" t="str">
        <f>IF(OR(H348="",I348=""),"",IF(H348=0,"",I348/H348-1))</f>
        <v/>
      </c>
      <c r="K348" t="str">
        <f>IF($B348="","",IFERROR(IF(G348=0,-2E+300,CHOOSE(sortIdx,ROUND(D348,0),IF(J348="",-1E+300,ROUND(-J348,6)),IF(J348="",-1E+300,ROUND(J348,6)))),-1.5E+300))</f>
        <v/>
      </c>
      <c r="L348" t="str">
        <f>IF(K348="","",RANK(K348,$K$2:$K$3001,0)+COUNTIF($K$2:K348,K348)-1)</f>
        <v/>
      </c>
    </row>
    <row r="349">
      <c r="B349" t="str">
        <f>IFERROR(IF(A349="","","="&amp;SUBSTITUTE(SUBSTITUTE(SUBSTITUTE(A349,"~","~~"),"*","~*"),"?","~?")),"")</f>
        <v/>
      </c>
      <c r="C349" t="str">
        <f>IF($B349="","",SUMIFS(dAmt,dCust,$B349,dPer,"&gt;="&amp;pyFrom,dPer,"&lt;="&amp;pyTo,dAmt,"&gt;-1E+300",dFlt1,critFlt1,dFlt2,critFlt2,dFlt3,critFlt3))</f>
        <v/>
      </c>
      <c r="D349" t="str">
        <f>IF($B349="","",SUMIFS(dAmt,dCust,$B349,dPer,"&gt;="&amp;cyFrom,dPer,"&lt;="&amp;cyTo,dAmt,"&gt;-1E+300",dFlt1,critFlt1,dFlt2,critFlt2,dFlt3,critFlt3))</f>
        <v/>
      </c>
      <c r="E349" t="str">
        <f>IF($B349="","",SUMIFS(dQty,dCust,$B349,dPer,"&gt;="&amp;pyFrom,dPer,"&lt;="&amp;pyTo,dQty,"&gt;-1E+300",dFlt1,critFlt1,dFlt2,critFlt2,dFlt3,critFlt3))</f>
        <v/>
      </c>
      <c r="F349" t="str">
        <f>IF($B349="","",SUMIFS(dQty,dCust,$B349,dPer,"&gt;="&amp;cyFrom,dPer,"&lt;="&amp;cyTo,dQty,"&gt;-1E+300",dFlt1,critFlt1,dFlt2,critFlt2,dFlt3,critFlt3))</f>
        <v/>
      </c>
      <c r="G349">
        <f>IF($B349="",0,IFERROR(IF(OR(C349&lt;&gt;0,D349&lt;&gt;0,E349&lt;&gt;0,F349&lt;&gt;0),1,0),1))</f>
        <v>0</v>
      </c>
      <c r="H349" t="str">
        <f>IF(OR(G349=0,E349=0),"",C349/E349)</f>
        <v/>
      </c>
      <c r="I349" t="str">
        <f>IF(OR(G349=0,F349=0),"",D349/F349)</f>
        <v/>
      </c>
      <c r="J349" t="str">
        <f>IF(OR(H349="",I349=""),"",IF(H349=0,"",I349/H349-1))</f>
        <v/>
      </c>
      <c r="K349" t="str">
        <f>IF($B349="","",IFERROR(IF(G349=0,-2E+300,CHOOSE(sortIdx,ROUND(D349,0),IF(J349="",-1E+300,ROUND(-J349,6)),IF(J349="",-1E+300,ROUND(J349,6)))),-1.5E+300))</f>
        <v/>
      </c>
      <c r="L349" t="str">
        <f>IF(K349="","",RANK(K349,$K$2:$K$3001,0)+COUNTIF($K$2:K349,K349)-1)</f>
        <v/>
      </c>
    </row>
    <row r="350">
      <c r="B350" t="str">
        <f>IFERROR(IF(A350="","","="&amp;SUBSTITUTE(SUBSTITUTE(SUBSTITUTE(A350,"~","~~"),"*","~*"),"?","~?")),"")</f>
        <v/>
      </c>
      <c r="C350" t="str">
        <f>IF($B350="","",SUMIFS(dAmt,dCust,$B350,dPer,"&gt;="&amp;pyFrom,dPer,"&lt;="&amp;pyTo,dAmt,"&gt;-1E+300",dFlt1,critFlt1,dFlt2,critFlt2,dFlt3,critFlt3))</f>
        <v/>
      </c>
      <c r="D350" t="str">
        <f>IF($B350="","",SUMIFS(dAmt,dCust,$B350,dPer,"&gt;="&amp;cyFrom,dPer,"&lt;="&amp;cyTo,dAmt,"&gt;-1E+300",dFlt1,critFlt1,dFlt2,critFlt2,dFlt3,critFlt3))</f>
        <v/>
      </c>
      <c r="E350" t="str">
        <f>IF($B350="","",SUMIFS(dQty,dCust,$B350,dPer,"&gt;="&amp;pyFrom,dPer,"&lt;="&amp;pyTo,dQty,"&gt;-1E+300",dFlt1,critFlt1,dFlt2,critFlt2,dFlt3,critFlt3))</f>
        <v/>
      </c>
      <c r="F350" t="str">
        <f>IF($B350="","",SUMIFS(dQty,dCust,$B350,dPer,"&gt;="&amp;cyFrom,dPer,"&lt;="&amp;cyTo,dQty,"&gt;-1E+300",dFlt1,critFlt1,dFlt2,critFlt2,dFlt3,critFlt3))</f>
        <v/>
      </c>
      <c r="G350">
        <f>IF($B350="",0,IFERROR(IF(OR(C350&lt;&gt;0,D350&lt;&gt;0,E350&lt;&gt;0,F350&lt;&gt;0),1,0),1))</f>
        <v>0</v>
      </c>
      <c r="H350" t="str">
        <f>IF(OR(G350=0,E350=0),"",C350/E350)</f>
        <v/>
      </c>
      <c r="I350" t="str">
        <f>IF(OR(G350=0,F350=0),"",D350/F350)</f>
        <v/>
      </c>
      <c r="J350" t="str">
        <f>IF(OR(H350="",I350=""),"",IF(H350=0,"",I350/H350-1))</f>
        <v/>
      </c>
      <c r="K350" t="str">
        <f>IF($B350="","",IFERROR(IF(G350=0,-2E+300,CHOOSE(sortIdx,ROUND(D350,0),IF(J350="",-1E+300,ROUND(-J350,6)),IF(J350="",-1E+300,ROUND(J350,6)))),-1.5E+300))</f>
        <v/>
      </c>
      <c r="L350" t="str">
        <f>IF(K350="","",RANK(K350,$K$2:$K$3001,0)+COUNTIF($K$2:K350,K350)-1)</f>
        <v/>
      </c>
    </row>
    <row r="351">
      <c r="B351" t="str">
        <f>IFERROR(IF(A351="","","="&amp;SUBSTITUTE(SUBSTITUTE(SUBSTITUTE(A351,"~","~~"),"*","~*"),"?","~?")),"")</f>
        <v/>
      </c>
      <c r="C351" t="str">
        <f>IF($B351="","",SUMIFS(dAmt,dCust,$B351,dPer,"&gt;="&amp;pyFrom,dPer,"&lt;="&amp;pyTo,dAmt,"&gt;-1E+300",dFlt1,critFlt1,dFlt2,critFlt2,dFlt3,critFlt3))</f>
        <v/>
      </c>
      <c r="D351" t="str">
        <f>IF($B351="","",SUMIFS(dAmt,dCust,$B351,dPer,"&gt;="&amp;cyFrom,dPer,"&lt;="&amp;cyTo,dAmt,"&gt;-1E+300",dFlt1,critFlt1,dFlt2,critFlt2,dFlt3,critFlt3))</f>
        <v/>
      </c>
      <c r="E351" t="str">
        <f>IF($B351="","",SUMIFS(dQty,dCust,$B351,dPer,"&gt;="&amp;pyFrom,dPer,"&lt;="&amp;pyTo,dQty,"&gt;-1E+300",dFlt1,critFlt1,dFlt2,critFlt2,dFlt3,critFlt3))</f>
        <v/>
      </c>
      <c r="F351" t="str">
        <f>IF($B351="","",SUMIFS(dQty,dCust,$B351,dPer,"&gt;="&amp;cyFrom,dPer,"&lt;="&amp;cyTo,dQty,"&gt;-1E+300",dFlt1,critFlt1,dFlt2,critFlt2,dFlt3,critFlt3))</f>
        <v/>
      </c>
      <c r="G351">
        <f>IF($B351="",0,IFERROR(IF(OR(C351&lt;&gt;0,D351&lt;&gt;0,E351&lt;&gt;0,F351&lt;&gt;0),1,0),1))</f>
        <v>0</v>
      </c>
      <c r="H351" t="str">
        <f>IF(OR(G351=0,E351=0),"",C351/E351)</f>
        <v/>
      </c>
      <c r="I351" t="str">
        <f>IF(OR(G351=0,F351=0),"",D351/F351)</f>
        <v/>
      </c>
      <c r="J351" t="str">
        <f>IF(OR(H351="",I351=""),"",IF(H351=0,"",I351/H351-1))</f>
        <v/>
      </c>
      <c r="K351" t="str">
        <f>IF($B351="","",IFERROR(IF(G351=0,-2E+300,CHOOSE(sortIdx,ROUND(D351,0),IF(J351="",-1E+300,ROUND(-J351,6)),IF(J351="",-1E+300,ROUND(J351,6)))),-1.5E+300))</f>
        <v/>
      </c>
      <c r="L351" t="str">
        <f>IF(K351="","",RANK(K351,$K$2:$K$3001,0)+COUNTIF($K$2:K351,K351)-1)</f>
        <v/>
      </c>
    </row>
    <row r="352">
      <c r="B352" t="str">
        <f>IFERROR(IF(A352="","","="&amp;SUBSTITUTE(SUBSTITUTE(SUBSTITUTE(A352,"~","~~"),"*","~*"),"?","~?")),"")</f>
        <v/>
      </c>
      <c r="C352" t="str">
        <f>IF($B352="","",SUMIFS(dAmt,dCust,$B352,dPer,"&gt;="&amp;pyFrom,dPer,"&lt;="&amp;pyTo,dAmt,"&gt;-1E+300",dFlt1,critFlt1,dFlt2,critFlt2,dFlt3,critFlt3))</f>
        <v/>
      </c>
      <c r="D352" t="str">
        <f>IF($B352="","",SUMIFS(dAmt,dCust,$B352,dPer,"&gt;="&amp;cyFrom,dPer,"&lt;="&amp;cyTo,dAmt,"&gt;-1E+300",dFlt1,critFlt1,dFlt2,critFlt2,dFlt3,critFlt3))</f>
        <v/>
      </c>
      <c r="E352" t="str">
        <f>IF($B352="","",SUMIFS(dQty,dCust,$B352,dPer,"&gt;="&amp;pyFrom,dPer,"&lt;="&amp;pyTo,dQty,"&gt;-1E+300",dFlt1,critFlt1,dFlt2,critFlt2,dFlt3,critFlt3))</f>
        <v/>
      </c>
      <c r="F352" t="str">
        <f>IF($B352="","",SUMIFS(dQty,dCust,$B352,dPer,"&gt;="&amp;cyFrom,dPer,"&lt;="&amp;cyTo,dQty,"&gt;-1E+300",dFlt1,critFlt1,dFlt2,critFlt2,dFlt3,critFlt3))</f>
        <v/>
      </c>
      <c r="G352">
        <f>IF($B352="",0,IFERROR(IF(OR(C352&lt;&gt;0,D352&lt;&gt;0,E352&lt;&gt;0,F352&lt;&gt;0),1,0),1))</f>
        <v>0</v>
      </c>
      <c r="H352" t="str">
        <f>IF(OR(G352=0,E352=0),"",C352/E352)</f>
        <v/>
      </c>
      <c r="I352" t="str">
        <f>IF(OR(G352=0,F352=0),"",D352/F352)</f>
        <v/>
      </c>
      <c r="J352" t="str">
        <f>IF(OR(H352="",I352=""),"",IF(H352=0,"",I352/H352-1))</f>
        <v/>
      </c>
      <c r="K352" t="str">
        <f>IF($B352="","",IFERROR(IF(G352=0,-2E+300,CHOOSE(sortIdx,ROUND(D352,0),IF(J352="",-1E+300,ROUND(-J352,6)),IF(J352="",-1E+300,ROUND(J352,6)))),-1.5E+300))</f>
        <v/>
      </c>
      <c r="L352" t="str">
        <f>IF(K352="","",RANK(K352,$K$2:$K$3001,0)+COUNTIF($K$2:K352,K352)-1)</f>
        <v/>
      </c>
    </row>
    <row r="353">
      <c r="B353" t="str">
        <f>IFERROR(IF(A353="","","="&amp;SUBSTITUTE(SUBSTITUTE(SUBSTITUTE(A353,"~","~~"),"*","~*"),"?","~?")),"")</f>
        <v/>
      </c>
      <c r="C353" t="str">
        <f>IF($B353="","",SUMIFS(dAmt,dCust,$B353,dPer,"&gt;="&amp;pyFrom,dPer,"&lt;="&amp;pyTo,dAmt,"&gt;-1E+300",dFlt1,critFlt1,dFlt2,critFlt2,dFlt3,critFlt3))</f>
        <v/>
      </c>
      <c r="D353" t="str">
        <f>IF($B353="","",SUMIFS(dAmt,dCust,$B353,dPer,"&gt;="&amp;cyFrom,dPer,"&lt;="&amp;cyTo,dAmt,"&gt;-1E+300",dFlt1,critFlt1,dFlt2,critFlt2,dFlt3,critFlt3))</f>
        <v/>
      </c>
      <c r="E353" t="str">
        <f>IF($B353="","",SUMIFS(dQty,dCust,$B353,dPer,"&gt;="&amp;pyFrom,dPer,"&lt;="&amp;pyTo,dQty,"&gt;-1E+300",dFlt1,critFlt1,dFlt2,critFlt2,dFlt3,critFlt3))</f>
        <v/>
      </c>
      <c r="F353" t="str">
        <f>IF($B353="","",SUMIFS(dQty,dCust,$B353,dPer,"&gt;="&amp;cyFrom,dPer,"&lt;="&amp;cyTo,dQty,"&gt;-1E+300",dFlt1,critFlt1,dFlt2,critFlt2,dFlt3,critFlt3))</f>
        <v/>
      </c>
      <c r="G353">
        <f>IF($B353="",0,IFERROR(IF(OR(C353&lt;&gt;0,D353&lt;&gt;0,E353&lt;&gt;0,F353&lt;&gt;0),1,0),1))</f>
        <v>0</v>
      </c>
      <c r="H353" t="str">
        <f>IF(OR(G353=0,E353=0),"",C353/E353)</f>
        <v/>
      </c>
      <c r="I353" t="str">
        <f>IF(OR(G353=0,F353=0),"",D353/F353)</f>
        <v/>
      </c>
      <c r="J353" t="str">
        <f>IF(OR(H353="",I353=""),"",IF(H353=0,"",I353/H353-1))</f>
        <v/>
      </c>
      <c r="K353" t="str">
        <f>IF($B353="","",IFERROR(IF(G353=0,-2E+300,CHOOSE(sortIdx,ROUND(D353,0),IF(J353="",-1E+300,ROUND(-J353,6)),IF(J353="",-1E+300,ROUND(J353,6)))),-1.5E+300))</f>
        <v/>
      </c>
      <c r="L353" t="str">
        <f>IF(K353="","",RANK(K353,$K$2:$K$3001,0)+COUNTIF($K$2:K353,K353)-1)</f>
        <v/>
      </c>
    </row>
    <row r="354">
      <c r="B354" t="str">
        <f>IFERROR(IF(A354="","","="&amp;SUBSTITUTE(SUBSTITUTE(SUBSTITUTE(A354,"~","~~"),"*","~*"),"?","~?")),"")</f>
        <v/>
      </c>
      <c r="C354" t="str">
        <f>IF($B354="","",SUMIFS(dAmt,dCust,$B354,dPer,"&gt;="&amp;pyFrom,dPer,"&lt;="&amp;pyTo,dAmt,"&gt;-1E+300",dFlt1,critFlt1,dFlt2,critFlt2,dFlt3,critFlt3))</f>
        <v/>
      </c>
      <c r="D354" t="str">
        <f>IF($B354="","",SUMIFS(dAmt,dCust,$B354,dPer,"&gt;="&amp;cyFrom,dPer,"&lt;="&amp;cyTo,dAmt,"&gt;-1E+300",dFlt1,critFlt1,dFlt2,critFlt2,dFlt3,critFlt3))</f>
        <v/>
      </c>
      <c r="E354" t="str">
        <f>IF($B354="","",SUMIFS(dQty,dCust,$B354,dPer,"&gt;="&amp;pyFrom,dPer,"&lt;="&amp;pyTo,dQty,"&gt;-1E+300",dFlt1,critFlt1,dFlt2,critFlt2,dFlt3,critFlt3))</f>
        <v/>
      </c>
      <c r="F354" t="str">
        <f>IF($B354="","",SUMIFS(dQty,dCust,$B354,dPer,"&gt;="&amp;cyFrom,dPer,"&lt;="&amp;cyTo,dQty,"&gt;-1E+300",dFlt1,critFlt1,dFlt2,critFlt2,dFlt3,critFlt3))</f>
        <v/>
      </c>
      <c r="G354">
        <f>IF($B354="",0,IFERROR(IF(OR(C354&lt;&gt;0,D354&lt;&gt;0,E354&lt;&gt;0,F354&lt;&gt;0),1,0),1))</f>
        <v>0</v>
      </c>
      <c r="H354" t="str">
        <f>IF(OR(G354=0,E354=0),"",C354/E354)</f>
        <v/>
      </c>
      <c r="I354" t="str">
        <f>IF(OR(G354=0,F354=0),"",D354/F354)</f>
        <v/>
      </c>
      <c r="J354" t="str">
        <f>IF(OR(H354="",I354=""),"",IF(H354=0,"",I354/H354-1))</f>
        <v/>
      </c>
      <c r="K354" t="str">
        <f>IF($B354="","",IFERROR(IF(G354=0,-2E+300,CHOOSE(sortIdx,ROUND(D354,0),IF(J354="",-1E+300,ROUND(-J354,6)),IF(J354="",-1E+300,ROUND(J354,6)))),-1.5E+300))</f>
        <v/>
      </c>
      <c r="L354" t="str">
        <f>IF(K354="","",RANK(K354,$K$2:$K$3001,0)+COUNTIF($K$2:K354,K354)-1)</f>
        <v/>
      </c>
    </row>
    <row r="355">
      <c r="B355" t="str">
        <f>IFERROR(IF(A355="","","="&amp;SUBSTITUTE(SUBSTITUTE(SUBSTITUTE(A355,"~","~~"),"*","~*"),"?","~?")),"")</f>
        <v/>
      </c>
      <c r="C355" t="str">
        <f>IF($B355="","",SUMIFS(dAmt,dCust,$B355,dPer,"&gt;="&amp;pyFrom,dPer,"&lt;="&amp;pyTo,dAmt,"&gt;-1E+300",dFlt1,critFlt1,dFlt2,critFlt2,dFlt3,critFlt3))</f>
        <v/>
      </c>
      <c r="D355" t="str">
        <f>IF($B355="","",SUMIFS(dAmt,dCust,$B355,dPer,"&gt;="&amp;cyFrom,dPer,"&lt;="&amp;cyTo,dAmt,"&gt;-1E+300",dFlt1,critFlt1,dFlt2,critFlt2,dFlt3,critFlt3))</f>
        <v/>
      </c>
      <c r="E355" t="str">
        <f>IF($B355="","",SUMIFS(dQty,dCust,$B355,dPer,"&gt;="&amp;pyFrom,dPer,"&lt;="&amp;pyTo,dQty,"&gt;-1E+300",dFlt1,critFlt1,dFlt2,critFlt2,dFlt3,critFlt3))</f>
        <v/>
      </c>
      <c r="F355" t="str">
        <f>IF($B355="","",SUMIFS(dQty,dCust,$B355,dPer,"&gt;="&amp;cyFrom,dPer,"&lt;="&amp;cyTo,dQty,"&gt;-1E+300",dFlt1,critFlt1,dFlt2,critFlt2,dFlt3,critFlt3))</f>
        <v/>
      </c>
      <c r="G355">
        <f>IF($B355="",0,IFERROR(IF(OR(C355&lt;&gt;0,D355&lt;&gt;0,E355&lt;&gt;0,F355&lt;&gt;0),1,0),1))</f>
        <v>0</v>
      </c>
      <c r="H355" t="str">
        <f>IF(OR(G355=0,E355=0),"",C355/E355)</f>
        <v/>
      </c>
      <c r="I355" t="str">
        <f>IF(OR(G355=0,F355=0),"",D355/F355)</f>
        <v/>
      </c>
      <c r="J355" t="str">
        <f>IF(OR(H355="",I355=""),"",IF(H355=0,"",I355/H355-1))</f>
        <v/>
      </c>
      <c r="K355" t="str">
        <f>IF($B355="","",IFERROR(IF(G355=0,-2E+300,CHOOSE(sortIdx,ROUND(D355,0),IF(J355="",-1E+300,ROUND(-J355,6)),IF(J355="",-1E+300,ROUND(J355,6)))),-1.5E+300))</f>
        <v/>
      </c>
      <c r="L355" t="str">
        <f>IF(K355="","",RANK(K355,$K$2:$K$3001,0)+COUNTIF($K$2:K355,K355)-1)</f>
        <v/>
      </c>
    </row>
    <row r="356">
      <c r="B356" t="str">
        <f>IFERROR(IF(A356="","","="&amp;SUBSTITUTE(SUBSTITUTE(SUBSTITUTE(A356,"~","~~"),"*","~*"),"?","~?")),"")</f>
        <v/>
      </c>
      <c r="C356" t="str">
        <f>IF($B356="","",SUMIFS(dAmt,dCust,$B356,dPer,"&gt;="&amp;pyFrom,dPer,"&lt;="&amp;pyTo,dAmt,"&gt;-1E+300",dFlt1,critFlt1,dFlt2,critFlt2,dFlt3,critFlt3))</f>
        <v/>
      </c>
      <c r="D356" t="str">
        <f>IF($B356="","",SUMIFS(dAmt,dCust,$B356,dPer,"&gt;="&amp;cyFrom,dPer,"&lt;="&amp;cyTo,dAmt,"&gt;-1E+300",dFlt1,critFlt1,dFlt2,critFlt2,dFlt3,critFlt3))</f>
        <v/>
      </c>
      <c r="E356" t="str">
        <f>IF($B356="","",SUMIFS(dQty,dCust,$B356,dPer,"&gt;="&amp;pyFrom,dPer,"&lt;="&amp;pyTo,dQty,"&gt;-1E+300",dFlt1,critFlt1,dFlt2,critFlt2,dFlt3,critFlt3))</f>
        <v/>
      </c>
      <c r="F356" t="str">
        <f>IF($B356="","",SUMIFS(dQty,dCust,$B356,dPer,"&gt;="&amp;cyFrom,dPer,"&lt;="&amp;cyTo,dQty,"&gt;-1E+300",dFlt1,critFlt1,dFlt2,critFlt2,dFlt3,critFlt3))</f>
        <v/>
      </c>
      <c r="G356">
        <f>IF($B356="",0,IFERROR(IF(OR(C356&lt;&gt;0,D356&lt;&gt;0,E356&lt;&gt;0,F356&lt;&gt;0),1,0),1))</f>
        <v>0</v>
      </c>
      <c r="H356" t="str">
        <f>IF(OR(G356=0,E356=0),"",C356/E356)</f>
        <v/>
      </c>
      <c r="I356" t="str">
        <f>IF(OR(G356=0,F356=0),"",D356/F356)</f>
        <v/>
      </c>
      <c r="J356" t="str">
        <f>IF(OR(H356="",I356=""),"",IF(H356=0,"",I356/H356-1))</f>
        <v/>
      </c>
      <c r="K356" t="str">
        <f>IF($B356="","",IFERROR(IF(G356=0,-2E+300,CHOOSE(sortIdx,ROUND(D356,0),IF(J356="",-1E+300,ROUND(-J356,6)),IF(J356="",-1E+300,ROUND(J356,6)))),-1.5E+300))</f>
        <v/>
      </c>
      <c r="L356" t="str">
        <f>IF(K356="","",RANK(K356,$K$2:$K$3001,0)+COUNTIF($K$2:K356,K356)-1)</f>
        <v/>
      </c>
    </row>
    <row r="357">
      <c r="B357" t="str">
        <f>IFERROR(IF(A357="","","="&amp;SUBSTITUTE(SUBSTITUTE(SUBSTITUTE(A357,"~","~~"),"*","~*"),"?","~?")),"")</f>
        <v/>
      </c>
      <c r="C357" t="str">
        <f>IF($B357="","",SUMIFS(dAmt,dCust,$B357,dPer,"&gt;="&amp;pyFrom,dPer,"&lt;="&amp;pyTo,dAmt,"&gt;-1E+300",dFlt1,critFlt1,dFlt2,critFlt2,dFlt3,critFlt3))</f>
        <v/>
      </c>
      <c r="D357" t="str">
        <f>IF($B357="","",SUMIFS(dAmt,dCust,$B357,dPer,"&gt;="&amp;cyFrom,dPer,"&lt;="&amp;cyTo,dAmt,"&gt;-1E+300",dFlt1,critFlt1,dFlt2,critFlt2,dFlt3,critFlt3))</f>
        <v/>
      </c>
      <c r="E357" t="str">
        <f>IF($B357="","",SUMIFS(dQty,dCust,$B357,dPer,"&gt;="&amp;pyFrom,dPer,"&lt;="&amp;pyTo,dQty,"&gt;-1E+300",dFlt1,critFlt1,dFlt2,critFlt2,dFlt3,critFlt3))</f>
        <v/>
      </c>
      <c r="F357" t="str">
        <f>IF($B357="","",SUMIFS(dQty,dCust,$B357,dPer,"&gt;="&amp;cyFrom,dPer,"&lt;="&amp;cyTo,dQty,"&gt;-1E+300",dFlt1,critFlt1,dFlt2,critFlt2,dFlt3,critFlt3))</f>
        <v/>
      </c>
      <c r="G357">
        <f>IF($B357="",0,IFERROR(IF(OR(C357&lt;&gt;0,D357&lt;&gt;0,E357&lt;&gt;0,F357&lt;&gt;0),1,0),1))</f>
        <v>0</v>
      </c>
      <c r="H357" t="str">
        <f>IF(OR(G357=0,E357=0),"",C357/E357)</f>
        <v/>
      </c>
      <c r="I357" t="str">
        <f>IF(OR(G357=0,F357=0),"",D357/F357)</f>
        <v/>
      </c>
      <c r="J357" t="str">
        <f>IF(OR(H357="",I357=""),"",IF(H357=0,"",I357/H357-1))</f>
        <v/>
      </c>
      <c r="K357" t="str">
        <f>IF($B357="","",IFERROR(IF(G357=0,-2E+300,CHOOSE(sortIdx,ROUND(D357,0),IF(J357="",-1E+300,ROUND(-J357,6)),IF(J357="",-1E+300,ROUND(J357,6)))),-1.5E+300))</f>
        <v/>
      </c>
      <c r="L357" t="str">
        <f>IF(K357="","",RANK(K357,$K$2:$K$3001,0)+COUNTIF($K$2:K357,K357)-1)</f>
        <v/>
      </c>
    </row>
    <row r="358">
      <c r="B358" t="str">
        <f>IFERROR(IF(A358="","","="&amp;SUBSTITUTE(SUBSTITUTE(SUBSTITUTE(A358,"~","~~"),"*","~*"),"?","~?")),"")</f>
        <v/>
      </c>
      <c r="C358" t="str">
        <f>IF($B358="","",SUMIFS(dAmt,dCust,$B358,dPer,"&gt;="&amp;pyFrom,dPer,"&lt;="&amp;pyTo,dAmt,"&gt;-1E+300",dFlt1,critFlt1,dFlt2,critFlt2,dFlt3,critFlt3))</f>
        <v/>
      </c>
      <c r="D358" t="str">
        <f>IF($B358="","",SUMIFS(dAmt,dCust,$B358,dPer,"&gt;="&amp;cyFrom,dPer,"&lt;="&amp;cyTo,dAmt,"&gt;-1E+300",dFlt1,critFlt1,dFlt2,critFlt2,dFlt3,critFlt3))</f>
        <v/>
      </c>
      <c r="E358" t="str">
        <f>IF($B358="","",SUMIFS(dQty,dCust,$B358,dPer,"&gt;="&amp;pyFrom,dPer,"&lt;="&amp;pyTo,dQty,"&gt;-1E+300",dFlt1,critFlt1,dFlt2,critFlt2,dFlt3,critFlt3))</f>
        <v/>
      </c>
      <c r="F358" t="str">
        <f>IF($B358="","",SUMIFS(dQty,dCust,$B358,dPer,"&gt;="&amp;cyFrom,dPer,"&lt;="&amp;cyTo,dQty,"&gt;-1E+300",dFlt1,critFlt1,dFlt2,critFlt2,dFlt3,critFlt3))</f>
        <v/>
      </c>
      <c r="G358">
        <f>IF($B358="",0,IFERROR(IF(OR(C358&lt;&gt;0,D358&lt;&gt;0,E358&lt;&gt;0,F358&lt;&gt;0),1,0),1))</f>
        <v>0</v>
      </c>
      <c r="H358" t="str">
        <f>IF(OR(G358=0,E358=0),"",C358/E358)</f>
        <v/>
      </c>
      <c r="I358" t="str">
        <f>IF(OR(G358=0,F358=0),"",D358/F358)</f>
        <v/>
      </c>
      <c r="J358" t="str">
        <f>IF(OR(H358="",I358=""),"",IF(H358=0,"",I358/H358-1))</f>
        <v/>
      </c>
      <c r="K358" t="str">
        <f>IF($B358="","",IFERROR(IF(G358=0,-2E+300,CHOOSE(sortIdx,ROUND(D358,0),IF(J358="",-1E+300,ROUND(-J358,6)),IF(J358="",-1E+300,ROUND(J358,6)))),-1.5E+300))</f>
        <v/>
      </c>
      <c r="L358" t="str">
        <f>IF(K358="","",RANK(K358,$K$2:$K$3001,0)+COUNTIF($K$2:K358,K358)-1)</f>
        <v/>
      </c>
    </row>
    <row r="359">
      <c r="B359" t="str">
        <f>IFERROR(IF(A359="","","="&amp;SUBSTITUTE(SUBSTITUTE(SUBSTITUTE(A359,"~","~~"),"*","~*"),"?","~?")),"")</f>
        <v/>
      </c>
      <c r="C359" t="str">
        <f>IF($B359="","",SUMIFS(dAmt,dCust,$B359,dPer,"&gt;="&amp;pyFrom,dPer,"&lt;="&amp;pyTo,dAmt,"&gt;-1E+300",dFlt1,critFlt1,dFlt2,critFlt2,dFlt3,critFlt3))</f>
        <v/>
      </c>
      <c r="D359" t="str">
        <f>IF($B359="","",SUMIFS(dAmt,dCust,$B359,dPer,"&gt;="&amp;cyFrom,dPer,"&lt;="&amp;cyTo,dAmt,"&gt;-1E+300",dFlt1,critFlt1,dFlt2,critFlt2,dFlt3,critFlt3))</f>
        <v/>
      </c>
      <c r="E359" t="str">
        <f>IF($B359="","",SUMIFS(dQty,dCust,$B359,dPer,"&gt;="&amp;pyFrom,dPer,"&lt;="&amp;pyTo,dQty,"&gt;-1E+300",dFlt1,critFlt1,dFlt2,critFlt2,dFlt3,critFlt3))</f>
        <v/>
      </c>
      <c r="F359" t="str">
        <f>IF($B359="","",SUMIFS(dQty,dCust,$B359,dPer,"&gt;="&amp;cyFrom,dPer,"&lt;="&amp;cyTo,dQty,"&gt;-1E+300",dFlt1,critFlt1,dFlt2,critFlt2,dFlt3,critFlt3))</f>
        <v/>
      </c>
      <c r="G359">
        <f>IF($B359="",0,IFERROR(IF(OR(C359&lt;&gt;0,D359&lt;&gt;0,E359&lt;&gt;0,F359&lt;&gt;0),1,0),1))</f>
        <v>0</v>
      </c>
      <c r="H359" t="str">
        <f>IF(OR(G359=0,E359=0),"",C359/E359)</f>
        <v/>
      </c>
      <c r="I359" t="str">
        <f>IF(OR(G359=0,F359=0),"",D359/F359)</f>
        <v/>
      </c>
      <c r="J359" t="str">
        <f>IF(OR(H359="",I359=""),"",IF(H359=0,"",I359/H359-1))</f>
        <v/>
      </c>
      <c r="K359" t="str">
        <f>IF($B359="","",IFERROR(IF(G359=0,-2E+300,CHOOSE(sortIdx,ROUND(D359,0),IF(J359="",-1E+300,ROUND(-J359,6)),IF(J359="",-1E+300,ROUND(J359,6)))),-1.5E+300))</f>
        <v/>
      </c>
      <c r="L359" t="str">
        <f>IF(K359="","",RANK(K359,$K$2:$K$3001,0)+COUNTIF($K$2:K359,K359)-1)</f>
        <v/>
      </c>
    </row>
    <row r="360">
      <c r="B360" t="str">
        <f>IFERROR(IF(A360="","","="&amp;SUBSTITUTE(SUBSTITUTE(SUBSTITUTE(A360,"~","~~"),"*","~*"),"?","~?")),"")</f>
        <v/>
      </c>
      <c r="C360" t="str">
        <f>IF($B360="","",SUMIFS(dAmt,dCust,$B360,dPer,"&gt;="&amp;pyFrom,dPer,"&lt;="&amp;pyTo,dAmt,"&gt;-1E+300",dFlt1,critFlt1,dFlt2,critFlt2,dFlt3,critFlt3))</f>
        <v/>
      </c>
      <c r="D360" t="str">
        <f>IF($B360="","",SUMIFS(dAmt,dCust,$B360,dPer,"&gt;="&amp;cyFrom,dPer,"&lt;="&amp;cyTo,dAmt,"&gt;-1E+300",dFlt1,critFlt1,dFlt2,critFlt2,dFlt3,critFlt3))</f>
        <v/>
      </c>
      <c r="E360" t="str">
        <f>IF($B360="","",SUMIFS(dQty,dCust,$B360,dPer,"&gt;="&amp;pyFrom,dPer,"&lt;="&amp;pyTo,dQty,"&gt;-1E+300",dFlt1,critFlt1,dFlt2,critFlt2,dFlt3,critFlt3))</f>
        <v/>
      </c>
      <c r="F360" t="str">
        <f>IF($B360="","",SUMIFS(dQty,dCust,$B360,dPer,"&gt;="&amp;cyFrom,dPer,"&lt;="&amp;cyTo,dQty,"&gt;-1E+300",dFlt1,critFlt1,dFlt2,critFlt2,dFlt3,critFlt3))</f>
        <v/>
      </c>
      <c r="G360">
        <f>IF($B360="",0,IFERROR(IF(OR(C360&lt;&gt;0,D360&lt;&gt;0,E360&lt;&gt;0,F360&lt;&gt;0),1,0),1))</f>
        <v>0</v>
      </c>
      <c r="H360" t="str">
        <f>IF(OR(G360=0,E360=0),"",C360/E360)</f>
        <v/>
      </c>
      <c r="I360" t="str">
        <f>IF(OR(G360=0,F360=0),"",D360/F360)</f>
        <v/>
      </c>
      <c r="J360" t="str">
        <f>IF(OR(H360="",I360=""),"",IF(H360=0,"",I360/H360-1))</f>
        <v/>
      </c>
      <c r="K360" t="str">
        <f>IF($B360="","",IFERROR(IF(G360=0,-2E+300,CHOOSE(sortIdx,ROUND(D360,0),IF(J360="",-1E+300,ROUND(-J360,6)),IF(J360="",-1E+300,ROUND(J360,6)))),-1.5E+300))</f>
        <v/>
      </c>
      <c r="L360" t="str">
        <f>IF(K360="","",RANK(K360,$K$2:$K$3001,0)+COUNTIF($K$2:K360,K360)-1)</f>
        <v/>
      </c>
    </row>
    <row r="361">
      <c r="B361" t="str">
        <f>IFERROR(IF(A361="","","="&amp;SUBSTITUTE(SUBSTITUTE(SUBSTITUTE(A361,"~","~~"),"*","~*"),"?","~?")),"")</f>
        <v/>
      </c>
      <c r="C361" t="str">
        <f>IF($B361="","",SUMIFS(dAmt,dCust,$B361,dPer,"&gt;="&amp;pyFrom,dPer,"&lt;="&amp;pyTo,dAmt,"&gt;-1E+300",dFlt1,critFlt1,dFlt2,critFlt2,dFlt3,critFlt3))</f>
        <v/>
      </c>
      <c r="D361" t="str">
        <f>IF($B361="","",SUMIFS(dAmt,dCust,$B361,dPer,"&gt;="&amp;cyFrom,dPer,"&lt;="&amp;cyTo,dAmt,"&gt;-1E+300",dFlt1,critFlt1,dFlt2,critFlt2,dFlt3,critFlt3))</f>
        <v/>
      </c>
      <c r="E361" t="str">
        <f>IF($B361="","",SUMIFS(dQty,dCust,$B361,dPer,"&gt;="&amp;pyFrom,dPer,"&lt;="&amp;pyTo,dQty,"&gt;-1E+300",dFlt1,critFlt1,dFlt2,critFlt2,dFlt3,critFlt3))</f>
        <v/>
      </c>
      <c r="F361" t="str">
        <f>IF($B361="","",SUMIFS(dQty,dCust,$B361,dPer,"&gt;="&amp;cyFrom,dPer,"&lt;="&amp;cyTo,dQty,"&gt;-1E+300",dFlt1,critFlt1,dFlt2,critFlt2,dFlt3,critFlt3))</f>
        <v/>
      </c>
      <c r="G361">
        <f>IF($B361="",0,IFERROR(IF(OR(C361&lt;&gt;0,D361&lt;&gt;0,E361&lt;&gt;0,F361&lt;&gt;0),1,0),1))</f>
        <v>0</v>
      </c>
      <c r="H361" t="str">
        <f>IF(OR(G361=0,E361=0),"",C361/E361)</f>
        <v/>
      </c>
      <c r="I361" t="str">
        <f>IF(OR(G361=0,F361=0),"",D361/F361)</f>
        <v/>
      </c>
      <c r="J361" t="str">
        <f>IF(OR(H361="",I361=""),"",IF(H361=0,"",I361/H361-1))</f>
        <v/>
      </c>
      <c r="K361" t="str">
        <f>IF($B361="","",IFERROR(IF(G361=0,-2E+300,CHOOSE(sortIdx,ROUND(D361,0),IF(J361="",-1E+300,ROUND(-J361,6)),IF(J361="",-1E+300,ROUND(J361,6)))),-1.5E+300))</f>
        <v/>
      </c>
      <c r="L361" t="str">
        <f>IF(K361="","",RANK(K361,$K$2:$K$3001,0)+COUNTIF($K$2:K361,K361)-1)</f>
        <v/>
      </c>
    </row>
    <row r="362">
      <c r="B362" t="str">
        <f>IFERROR(IF(A362="","","="&amp;SUBSTITUTE(SUBSTITUTE(SUBSTITUTE(A362,"~","~~"),"*","~*"),"?","~?")),"")</f>
        <v/>
      </c>
      <c r="C362" t="str">
        <f>IF($B362="","",SUMIFS(dAmt,dCust,$B362,dPer,"&gt;="&amp;pyFrom,dPer,"&lt;="&amp;pyTo,dAmt,"&gt;-1E+300",dFlt1,critFlt1,dFlt2,critFlt2,dFlt3,critFlt3))</f>
        <v/>
      </c>
      <c r="D362" t="str">
        <f>IF($B362="","",SUMIFS(dAmt,dCust,$B362,dPer,"&gt;="&amp;cyFrom,dPer,"&lt;="&amp;cyTo,dAmt,"&gt;-1E+300",dFlt1,critFlt1,dFlt2,critFlt2,dFlt3,critFlt3))</f>
        <v/>
      </c>
      <c r="E362" t="str">
        <f>IF($B362="","",SUMIFS(dQty,dCust,$B362,dPer,"&gt;="&amp;pyFrom,dPer,"&lt;="&amp;pyTo,dQty,"&gt;-1E+300",dFlt1,critFlt1,dFlt2,critFlt2,dFlt3,critFlt3))</f>
        <v/>
      </c>
      <c r="F362" t="str">
        <f>IF($B362="","",SUMIFS(dQty,dCust,$B362,dPer,"&gt;="&amp;cyFrom,dPer,"&lt;="&amp;cyTo,dQty,"&gt;-1E+300",dFlt1,critFlt1,dFlt2,critFlt2,dFlt3,critFlt3))</f>
        <v/>
      </c>
      <c r="G362">
        <f>IF($B362="",0,IFERROR(IF(OR(C362&lt;&gt;0,D362&lt;&gt;0,E362&lt;&gt;0,F362&lt;&gt;0),1,0),1))</f>
        <v>0</v>
      </c>
      <c r="H362" t="str">
        <f>IF(OR(G362=0,E362=0),"",C362/E362)</f>
        <v/>
      </c>
      <c r="I362" t="str">
        <f>IF(OR(G362=0,F362=0),"",D362/F362)</f>
        <v/>
      </c>
      <c r="J362" t="str">
        <f>IF(OR(H362="",I362=""),"",IF(H362=0,"",I362/H362-1))</f>
        <v/>
      </c>
      <c r="K362" t="str">
        <f>IF($B362="","",IFERROR(IF(G362=0,-2E+300,CHOOSE(sortIdx,ROUND(D362,0),IF(J362="",-1E+300,ROUND(-J362,6)),IF(J362="",-1E+300,ROUND(J362,6)))),-1.5E+300))</f>
        <v/>
      </c>
      <c r="L362" t="str">
        <f>IF(K362="","",RANK(K362,$K$2:$K$3001,0)+COUNTIF($K$2:K362,K362)-1)</f>
        <v/>
      </c>
    </row>
    <row r="363">
      <c r="B363" t="str">
        <f>IFERROR(IF(A363="","","="&amp;SUBSTITUTE(SUBSTITUTE(SUBSTITUTE(A363,"~","~~"),"*","~*"),"?","~?")),"")</f>
        <v/>
      </c>
      <c r="C363" t="str">
        <f>IF($B363="","",SUMIFS(dAmt,dCust,$B363,dPer,"&gt;="&amp;pyFrom,dPer,"&lt;="&amp;pyTo,dAmt,"&gt;-1E+300",dFlt1,critFlt1,dFlt2,critFlt2,dFlt3,critFlt3))</f>
        <v/>
      </c>
      <c r="D363" t="str">
        <f>IF($B363="","",SUMIFS(dAmt,dCust,$B363,dPer,"&gt;="&amp;cyFrom,dPer,"&lt;="&amp;cyTo,dAmt,"&gt;-1E+300",dFlt1,critFlt1,dFlt2,critFlt2,dFlt3,critFlt3))</f>
        <v/>
      </c>
      <c r="E363" t="str">
        <f>IF($B363="","",SUMIFS(dQty,dCust,$B363,dPer,"&gt;="&amp;pyFrom,dPer,"&lt;="&amp;pyTo,dQty,"&gt;-1E+300",dFlt1,critFlt1,dFlt2,critFlt2,dFlt3,critFlt3))</f>
        <v/>
      </c>
      <c r="F363" t="str">
        <f>IF($B363="","",SUMIFS(dQty,dCust,$B363,dPer,"&gt;="&amp;cyFrom,dPer,"&lt;="&amp;cyTo,dQty,"&gt;-1E+300",dFlt1,critFlt1,dFlt2,critFlt2,dFlt3,critFlt3))</f>
        <v/>
      </c>
      <c r="G363">
        <f>IF($B363="",0,IFERROR(IF(OR(C363&lt;&gt;0,D363&lt;&gt;0,E363&lt;&gt;0,F363&lt;&gt;0),1,0),1))</f>
        <v>0</v>
      </c>
      <c r="H363" t="str">
        <f>IF(OR(G363=0,E363=0),"",C363/E363)</f>
        <v/>
      </c>
      <c r="I363" t="str">
        <f>IF(OR(G363=0,F363=0),"",D363/F363)</f>
        <v/>
      </c>
      <c r="J363" t="str">
        <f>IF(OR(H363="",I363=""),"",IF(H363=0,"",I363/H363-1))</f>
        <v/>
      </c>
      <c r="K363" t="str">
        <f>IF($B363="","",IFERROR(IF(G363=0,-2E+300,CHOOSE(sortIdx,ROUND(D363,0),IF(J363="",-1E+300,ROUND(-J363,6)),IF(J363="",-1E+300,ROUND(J363,6)))),-1.5E+300))</f>
        <v/>
      </c>
      <c r="L363" t="str">
        <f>IF(K363="","",RANK(K363,$K$2:$K$3001,0)+COUNTIF($K$2:K363,K363)-1)</f>
        <v/>
      </c>
    </row>
    <row r="364">
      <c r="B364" t="str">
        <f>IFERROR(IF(A364="","","="&amp;SUBSTITUTE(SUBSTITUTE(SUBSTITUTE(A364,"~","~~"),"*","~*"),"?","~?")),"")</f>
        <v/>
      </c>
      <c r="C364" t="str">
        <f>IF($B364="","",SUMIFS(dAmt,dCust,$B364,dPer,"&gt;="&amp;pyFrom,dPer,"&lt;="&amp;pyTo,dAmt,"&gt;-1E+300",dFlt1,critFlt1,dFlt2,critFlt2,dFlt3,critFlt3))</f>
        <v/>
      </c>
      <c r="D364" t="str">
        <f>IF($B364="","",SUMIFS(dAmt,dCust,$B364,dPer,"&gt;="&amp;cyFrom,dPer,"&lt;="&amp;cyTo,dAmt,"&gt;-1E+300",dFlt1,critFlt1,dFlt2,critFlt2,dFlt3,critFlt3))</f>
        <v/>
      </c>
      <c r="E364" t="str">
        <f>IF($B364="","",SUMIFS(dQty,dCust,$B364,dPer,"&gt;="&amp;pyFrom,dPer,"&lt;="&amp;pyTo,dQty,"&gt;-1E+300",dFlt1,critFlt1,dFlt2,critFlt2,dFlt3,critFlt3))</f>
        <v/>
      </c>
      <c r="F364" t="str">
        <f>IF($B364="","",SUMIFS(dQty,dCust,$B364,dPer,"&gt;="&amp;cyFrom,dPer,"&lt;="&amp;cyTo,dQty,"&gt;-1E+300",dFlt1,critFlt1,dFlt2,critFlt2,dFlt3,critFlt3))</f>
        <v/>
      </c>
      <c r="G364">
        <f>IF($B364="",0,IFERROR(IF(OR(C364&lt;&gt;0,D364&lt;&gt;0,E364&lt;&gt;0,F364&lt;&gt;0),1,0),1))</f>
        <v>0</v>
      </c>
      <c r="H364" t="str">
        <f>IF(OR(G364=0,E364=0),"",C364/E364)</f>
        <v/>
      </c>
      <c r="I364" t="str">
        <f>IF(OR(G364=0,F364=0),"",D364/F364)</f>
        <v/>
      </c>
      <c r="J364" t="str">
        <f>IF(OR(H364="",I364=""),"",IF(H364=0,"",I364/H364-1))</f>
        <v/>
      </c>
      <c r="K364" t="str">
        <f>IF($B364="","",IFERROR(IF(G364=0,-2E+300,CHOOSE(sortIdx,ROUND(D364,0),IF(J364="",-1E+300,ROUND(-J364,6)),IF(J364="",-1E+300,ROUND(J364,6)))),-1.5E+300))</f>
        <v/>
      </c>
      <c r="L364" t="str">
        <f>IF(K364="","",RANK(K364,$K$2:$K$3001,0)+COUNTIF($K$2:K364,K364)-1)</f>
        <v/>
      </c>
    </row>
    <row r="365">
      <c r="B365" t="str">
        <f>IFERROR(IF(A365="","","="&amp;SUBSTITUTE(SUBSTITUTE(SUBSTITUTE(A365,"~","~~"),"*","~*"),"?","~?")),"")</f>
        <v/>
      </c>
      <c r="C365" t="str">
        <f>IF($B365="","",SUMIFS(dAmt,dCust,$B365,dPer,"&gt;="&amp;pyFrom,dPer,"&lt;="&amp;pyTo,dAmt,"&gt;-1E+300",dFlt1,critFlt1,dFlt2,critFlt2,dFlt3,critFlt3))</f>
        <v/>
      </c>
      <c r="D365" t="str">
        <f>IF($B365="","",SUMIFS(dAmt,dCust,$B365,dPer,"&gt;="&amp;cyFrom,dPer,"&lt;="&amp;cyTo,dAmt,"&gt;-1E+300",dFlt1,critFlt1,dFlt2,critFlt2,dFlt3,critFlt3))</f>
        <v/>
      </c>
      <c r="E365" t="str">
        <f>IF($B365="","",SUMIFS(dQty,dCust,$B365,dPer,"&gt;="&amp;pyFrom,dPer,"&lt;="&amp;pyTo,dQty,"&gt;-1E+300",dFlt1,critFlt1,dFlt2,critFlt2,dFlt3,critFlt3))</f>
        <v/>
      </c>
      <c r="F365" t="str">
        <f>IF($B365="","",SUMIFS(dQty,dCust,$B365,dPer,"&gt;="&amp;cyFrom,dPer,"&lt;="&amp;cyTo,dQty,"&gt;-1E+300",dFlt1,critFlt1,dFlt2,critFlt2,dFlt3,critFlt3))</f>
        <v/>
      </c>
      <c r="G365">
        <f>IF($B365="",0,IFERROR(IF(OR(C365&lt;&gt;0,D365&lt;&gt;0,E365&lt;&gt;0,F365&lt;&gt;0),1,0),1))</f>
        <v>0</v>
      </c>
      <c r="H365" t="str">
        <f>IF(OR(G365=0,E365=0),"",C365/E365)</f>
        <v/>
      </c>
      <c r="I365" t="str">
        <f>IF(OR(G365=0,F365=0),"",D365/F365)</f>
        <v/>
      </c>
      <c r="J365" t="str">
        <f>IF(OR(H365="",I365=""),"",IF(H365=0,"",I365/H365-1))</f>
        <v/>
      </c>
      <c r="K365" t="str">
        <f>IF($B365="","",IFERROR(IF(G365=0,-2E+300,CHOOSE(sortIdx,ROUND(D365,0),IF(J365="",-1E+300,ROUND(-J365,6)),IF(J365="",-1E+300,ROUND(J365,6)))),-1.5E+300))</f>
        <v/>
      </c>
      <c r="L365" t="str">
        <f>IF(K365="","",RANK(K365,$K$2:$K$3001,0)+COUNTIF($K$2:K365,K365)-1)</f>
        <v/>
      </c>
    </row>
    <row r="366">
      <c r="B366" t="str">
        <f>IFERROR(IF(A366="","","="&amp;SUBSTITUTE(SUBSTITUTE(SUBSTITUTE(A366,"~","~~"),"*","~*"),"?","~?")),"")</f>
        <v/>
      </c>
      <c r="C366" t="str">
        <f>IF($B366="","",SUMIFS(dAmt,dCust,$B366,dPer,"&gt;="&amp;pyFrom,dPer,"&lt;="&amp;pyTo,dAmt,"&gt;-1E+300",dFlt1,critFlt1,dFlt2,critFlt2,dFlt3,critFlt3))</f>
        <v/>
      </c>
      <c r="D366" t="str">
        <f>IF($B366="","",SUMIFS(dAmt,dCust,$B366,dPer,"&gt;="&amp;cyFrom,dPer,"&lt;="&amp;cyTo,dAmt,"&gt;-1E+300",dFlt1,critFlt1,dFlt2,critFlt2,dFlt3,critFlt3))</f>
        <v/>
      </c>
      <c r="E366" t="str">
        <f>IF($B366="","",SUMIFS(dQty,dCust,$B366,dPer,"&gt;="&amp;pyFrom,dPer,"&lt;="&amp;pyTo,dQty,"&gt;-1E+300",dFlt1,critFlt1,dFlt2,critFlt2,dFlt3,critFlt3))</f>
        <v/>
      </c>
      <c r="F366" t="str">
        <f>IF($B366="","",SUMIFS(dQty,dCust,$B366,dPer,"&gt;="&amp;cyFrom,dPer,"&lt;="&amp;cyTo,dQty,"&gt;-1E+300",dFlt1,critFlt1,dFlt2,critFlt2,dFlt3,critFlt3))</f>
        <v/>
      </c>
      <c r="G366">
        <f>IF($B366="",0,IFERROR(IF(OR(C366&lt;&gt;0,D366&lt;&gt;0,E366&lt;&gt;0,F366&lt;&gt;0),1,0),1))</f>
        <v>0</v>
      </c>
      <c r="H366" t="str">
        <f>IF(OR(G366=0,E366=0),"",C366/E366)</f>
        <v/>
      </c>
      <c r="I366" t="str">
        <f>IF(OR(G366=0,F366=0),"",D366/F366)</f>
        <v/>
      </c>
      <c r="J366" t="str">
        <f>IF(OR(H366="",I366=""),"",IF(H366=0,"",I366/H366-1))</f>
        <v/>
      </c>
      <c r="K366" t="str">
        <f>IF($B366="","",IFERROR(IF(G366=0,-2E+300,CHOOSE(sortIdx,ROUND(D366,0),IF(J366="",-1E+300,ROUND(-J366,6)),IF(J366="",-1E+300,ROUND(J366,6)))),-1.5E+300))</f>
        <v/>
      </c>
      <c r="L366" t="str">
        <f>IF(K366="","",RANK(K366,$K$2:$K$3001,0)+COUNTIF($K$2:K366,K366)-1)</f>
        <v/>
      </c>
    </row>
    <row r="367">
      <c r="B367" t="str">
        <f>IFERROR(IF(A367="","","="&amp;SUBSTITUTE(SUBSTITUTE(SUBSTITUTE(A367,"~","~~"),"*","~*"),"?","~?")),"")</f>
        <v/>
      </c>
      <c r="C367" t="str">
        <f>IF($B367="","",SUMIFS(dAmt,dCust,$B367,dPer,"&gt;="&amp;pyFrom,dPer,"&lt;="&amp;pyTo,dAmt,"&gt;-1E+300",dFlt1,critFlt1,dFlt2,critFlt2,dFlt3,critFlt3))</f>
        <v/>
      </c>
      <c r="D367" t="str">
        <f>IF($B367="","",SUMIFS(dAmt,dCust,$B367,dPer,"&gt;="&amp;cyFrom,dPer,"&lt;="&amp;cyTo,dAmt,"&gt;-1E+300",dFlt1,critFlt1,dFlt2,critFlt2,dFlt3,critFlt3))</f>
        <v/>
      </c>
      <c r="E367" t="str">
        <f>IF($B367="","",SUMIFS(dQty,dCust,$B367,dPer,"&gt;="&amp;pyFrom,dPer,"&lt;="&amp;pyTo,dQty,"&gt;-1E+300",dFlt1,critFlt1,dFlt2,critFlt2,dFlt3,critFlt3))</f>
        <v/>
      </c>
      <c r="F367" t="str">
        <f>IF($B367="","",SUMIFS(dQty,dCust,$B367,dPer,"&gt;="&amp;cyFrom,dPer,"&lt;="&amp;cyTo,dQty,"&gt;-1E+300",dFlt1,critFlt1,dFlt2,critFlt2,dFlt3,critFlt3))</f>
        <v/>
      </c>
      <c r="G367">
        <f>IF($B367="",0,IFERROR(IF(OR(C367&lt;&gt;0,D367&lt;&gt;0,E367&lt;&gt;0,F367&lt;&gt;0),1,0),1))</f>
        <v>0</v>
      </c>
      <c r="H367" t="str">
        <f>IF(OR(G367=0,E367=0),"",C367/E367)</f>
        <v/>
      </c>
      <c r="I367" t="str">
        <f>IF(OR(G367=0,F367=0),"",D367/F367)</f>
        <v/>
      </c>
      <c r="J367" t="str">
        <f>IF(OR(H367="",I367=""),"",IF(H367=0,"",I367/H367-1))</f>
        <v/>
      </c>
      <c r="K367" t="str">
        <f>IF($B367="","",IFERROR(IF(G367=0,-2E+300,CHOOSE(sortIdx,ROUND(D367,0),IF(J367="",-1E+300,ROUND(-J367,6)),IF(J367="",-1E+300,ROUND(J367,6)))),-1.5E+300))</f>
        <v/>
      </c>
      <c r="L367" t="str">
        <f>IF(K367="","",RANK(K367,$K$2:$K$3001,0)+COUNTIF($K$2:K367,K367)-1)</f>
        <v/>
      </c>
    </row>
    <row r="368">
      <c r="B368" t="str">
        <f>IFERROR(IF(A368="","","="&amp;SUBSTITUTE(SUBSTITUTE(SUBSTITUTE(A368,"~","~~"),"*","~*"),"?","~?")),"")</f>
        <v/>
      </c>
      <c r="C368" t="str">
        <f>IF($B368="","",SUMIFS(dAmt,dCust,$B368,dPer,"&gt;="&amp;pyFrom,dPer,"&lt;="&amp;pyTo,dAmt,"&gt;-1E+300",dFlt1,critFlt1,dFlt2,critFlt2,dFlt3,critFlt3))</f>
        <v/>
      </c>
      <c r="D368" t="str">
        <f>IF($B368="","",SUMIFS(dAmt,dCust,$B368,dPer,"&gt;="&amp;cyFrom,dPer,"&lt;="&amp;cyTo,dAmt,"&gt;-1E+300",dFlt1,critFlt1,dFlt2,critFlt2,dFlt3,critFlt3))</f>
        <v/>
      </c>
      <c r="E368" t="str">
        <f>IF($B368="","",SUMIFS(dQty,dCust,$B368,dPer,"&gt;="&amp;pyFrom,dPer,"&lt;="&amp;pyTo,dQty,"&gt;-1E+300",dFlt1,critFlt1,dFlt2,critFlt2,dFlt3,critFlt3))</f>
        <v/>
      </c>
      <c r="F368" t="str">
        <f>IF($B368="","",SUMIFS(dQty,dCust,$B368,dPer,"&gt;="&amp;cyFrom,dPer,"&lt;="&amp;cyTo,dQty,"&gt;-1E+300",dFlt1,critFlt1,dFlt2,critFlt2,dFlt3,critFlt3))</f>
        <v/>
      </c>
      <c r="G368">
        <f>IF($B368="",0,IFERROR(IF(OR(C368&lt;&gt;0,D368&lt;&gt;0,E368&lt;&gt;0,F368&lt;&gt;0),1,0),1))</f>
        <v>0</v>
      </c>
      <c r="H368" t="str">
        <f>IF(OR(G368=0,E368=0),"",C368/E368)</f>
        <v/>
      </c>
      <c r="I368" t="str">
        <f>IF(OR(G368=0,F368=0),"",D368/F368)</f>
        <v/>
      </c>
      <c r="J368" t="str">
        <f>IF(OR(H368="",I368=""),"",IF(H368=0,"",I368/H368-1))</f>
        <v/>
      </c>
      <c r="K368" t="str">
        <f>IF($B368="","",IFERROR(IF(G368=0,-2E+300,CHOOSE(sortIdx,ROUND(D368,0),IF(J368="",-1E+300,ROUND(-J368,6)),IF(J368="",-1E+300,ROUND(J368,6)))),-1.5E+300))</f>
        <v/>
      </c>
      <c r="L368" t="str">
        <f>IF(K368="","",RANK(K368,$K$2:$K$3001,0)+COUNTIF($K$2:K368,K368)-1)</f>
        <v/>
      </c>
    </row>
    <row r="369">
      <c r="B369" t="str">
        <f>IFERROR(IF(A369="","","="&amp;SUBSTITUTE(SUBSTITUTE(SUBSTITUTE(A369,"~","~~"),"*","~*"),"?","~?")),"")</f>
        <v/>
      </c>
      <c r="C369" t="str">
        <f>IF($B369="","",SUMIFS(dAmt,dCust,$B369,dPer,"&gt;="&amp;pyFrom,dPer,"&lt;="&amp;pyTo,dAmt,"&gt;-1E+300",dFlt1,critFlt1,dFlt2,critFlt2,dFlt3,critFlt3))</f>
        <v/>
      </c>
      <c r="D369" t="str">
        <f>IF($B369="","",SUMIFS(dAmt,dCust,$B369,dPer,"&gt;="&amp;cyFrom,dPer,"&lt;="&amp;cyTo,dAmt,"&gt;-1E+300",dFlt1,critFlt1,dFlt2,critFlt2,dFlt3,critFlt3))</f>
        <v/>
      </c>
      <c r="E369" t="str">
        <f>IF($B369="","",SUMIFS(dQty,dCust,$B369,dPer,"&gt;="&amp;pyFrom,dPer,"&lt;="&amp;pyTo,dQty,"&gt;-1E+300",dFlt1,critFlt1,dFlt2,critFlt2,dFlt3,critFlt3))</f>
        <v/>
      </c>
      <c r="F369" t="str">
        <f>IF($B369="","",SUMIFS(dQty,dCust,$B369,dPer,"&gt;="&amp;cyFrom,dPer,"&lt;="&amp;cyTo,dQty,"&gt;-1E+300",dFlt1,critFlt1,dFlt2,critFlt2,dFlt3,critFlt3))</f>
        <v/>
      </c>
      <c r="G369">
        <f>IF($B369="",0,IFERROR(IF(OR(C369&lt;&gt;0,D369&lt;&gt;0,E369&lt;&gt;0,F369&lt;&gt;0),1,0),1))</f>
        <v>0</v>
      </c>
      <c r="H369" t="str">
        <f>IF(OR(G369=0,E369=0),"",C369/E369)</f>
        <v/>
      </c>
      <c r="I369" t="str">
        <f>IF(OR(G369=0,F369=0),"",D369/F369)</f>
        <v/>
      </c>
      <c r="J369" t="str">
        <f>IF(OR(H369="",I369=""),"",IF(H369=0,"",I369/H369-1))</f>
        <v/>
      </c>
      <c r="K369" t="str">
        <f>IF($B369="","",IFERROR(IF(G369=0,-2E+300,CHOOSE(sortIdx,ROUND(D369,0),IF(J369="",-1E+300,ROUND(-J369,6)),IF(J369="",-1E+300,ROUND(J369,6)))),-1.5E+300))</f>
        <v/>
      </c>
      <c r="L369" t="str">
        <f>IF(K369="","",RANK(K369,$K$2:$K$3001,0)+COUNTIF($K$2:K369,K369)-1)</f>
        <v/>
      </c>
    </row>
    <row r="370">
      <c r="B370" t="str">
        <f>IFERROR(IF(A370="","","="&amp;SUBSTITUTE(SUBSTITUTE(SUBSTITUTE(A370,"~","~~"),"*","~*"),"?","~?")),"")</f>
        <v/>
      </c>
      <c r="C370" t="str">
        <f>IF($B370="","",SUMIFS(dAmt,dCust,$B370,dPer,"&gt;="&amp;pyFrom,dPer,"&lt;="&amp;pyTo,dAmt,"&gt;-1E+300",dFlt1,critFlt1,dFlt2,critFlt2,dFlt3,critFlt3))</f>
        <v/>
      </c>
      <c r="D370" t="str">
        <f>IF($B370="","",SUMIFS(dAmt,dCust,$B370,dPer,"&gt;="&amp;cyFrom,dPer,"&lt;="&amp;cyTo,dAmt,"&gt;-1E+300",dFlt1,critFlt1,dFlt2,critFlt2,dFlt3,critFlt3))</f>
        <v/>
      </c>
      <c r="E370" t="str">
        <f>IF($B370="","",SUMIFS(dQty,dCust,$B370,dPer,"&gt;="&amp;pyFrom,dPer,"&lt;="&amp;pyTo,dQty,"&gt;-1E+300",dFlt1,critFlt1,dFlt2,critFlt2,dFlt3,critFlt3))</f>
        <v/>
      </c>
      <c r="F370" t="str">
        <f>IF($B370="","",SUMIFS(dQty,dCust,$B370,dPer,"&gt;="&amp;cyFrom,dPer,"&lt;="&amp;cyTo,dQty,"&gt;-1E+300",dFlt1,critFlt1,dFlt2,critFlt2,dFlt3,critFlt3))</f>
        <v/>
      </c>
      <c r="G370">
        <f>IF($B370="",0,IFERROR(IF(OR(C370&lt;&gt;0,D370&lt;&gt;0,E370&lt;&gt;0,F370&lt;&gt;0),1,0),1))</f>
        <v>0</v>
      </c>
      <c r="H370" t="str">
        <f>IF(OR(G370=0,E370=0),"",C370/E370)</f>
        <v/>
      </c>
      <c r="I370" t="str">
        <f>IF(OR(G370=0,F370=0),"",D370/F370)</f>
        <v/>
      </c>
      <c r="J370" t="str">
        <f>IF(OR(H370="",I370=""),"",IF(H370=0,"",I370/H370-1))</f>
        <v/>
      </c>
      <c r="K370" t="str">
        <f>IF($B370="","",IFERROR(IF(G370=0,-2E+300,CHOOSE(sortIdx,ROUND(D370,0),IF(J370="",-1E+300,ROUND(-J370,6)),IF(J370="",-1E+300,ROUND(J370,6)))),-1.5E+300))</f>
        <v/>
      </c>
      <c r="L370" t="str">
        <f>IF(K370="","",RANK(K370,$K$2:$K$3001,0)+COUNTIF($K$2:K370,K370)-1)</f>
        <v/>
      </c>
    </row>
    <row r="371">
      <c r="B371" t="str">
        <f>IFERROR(IF(A371="","","="&amp;SUBSTITUTE(SUBSTITUTE(SUBSTITUTE(A371,"~","~~"),"*","~*"),"?","~?")),"")</f>
        <v/>
      </c>
      <c r="C371" t="str">
        <f>IF($B371="","",SUMIFS(dAmt,dCust,$B371,dPer,"&gt;="&amp;pyFrom,dPer,"&lt;="&amp;pyTo,dAmt,"&gt;-1E+300",dFlt1,critFlt1,dFlt2,critFlt2,dFlt3,critFlt3))</f>
        <v/>
      </c>
      <c r="D371" t="str">
        <f>IF($B371="","",SUMIFS(dAmt,dCust,$B371,dPer,"&gt;="&amp;cyFrom,dPer,"&lt;="&amp;cyTo,dAmt,"&gt;-1E+300",dFlt1,critFlt1,dFlt2,critFlt2,dFlt3,critFlt3))</f>
        <v/>
      </c>
      <c r="E371" t="str">
        <f>IF($B371="","",SUMIFS(dQty,dCust,$B371,dPer,"&gt;="&amp;pyFrom,dPer,"&lt;="&amp;pyTo,dQty,"&gt;-1E+300",dFlt1,critFlt1,dFlt2,critFlt2,dFlt3,critFlt3))</f>
        <v/>
      </c>
      <c r="F371" t="str">
        <f>IF($B371="","",SUMIFS(dQty,dCust,$B371,dPer,"&gt;="&amp;cyFrom,dPer,"&lt;="&amp;cyTo,dQty,"&gt;-1E+300",dFlt1,critFlt1,dFlt2,critFlt2,dFlt3,critFlt3))</f>
        <v/>
      </c>
      <c r="G371">
        <f>IF($B371="",0,IFERROR(IF(OR(C371&lt;&gt;0,D371&lt;&gt;0,E371&lt;&gt;0,F371&lt;&gt;0),1,0),1))</f>
        <v>0</v>
      </c>
      <c r="H371" t="str">
        <f>IF(OR(G371=0,E371=0),"",C371/E371)</f>
        <v/>
      </c>
      <c r="I371" t="str">
        <f>IF(OR(G371=0,F371=0),"",D371/F371)</f>
        <v/>
      </c>
      <c r="J371" t="str">
        <f>IF(OR(H371="",I371=""),"",IF(H371=0,"",I371/H371-1))</f>
        <v/>
      </c>
      <c r="K371" t="str">
        <f>IF($B371="","",IFERROR(IF(G371=0,-2E+300,CHOOSE(sortIdx,ROUND(D371,0),IF(J371="",-1E+300,ROUND(-J371,6)),IF(J371="",-1E+300,ROUND(J371,6)))),-1.5E+300))</f>
        <v/>
      </c>
      <c r="L371" t="str">
        <f>IF(K371="","",RANK(K371,$K$2:$K$3001,0)+COUNTIF($K$2:K371,K371)-1)</f>
        <v/>
      </c>
    </row>
    <row r="372">
      <c r="B372" t="str">
        <f>IFERROR(IF(A372="","","="&amp;SUBSTITUTE(SUBSTITUTE(SUBSTITUTE(A372,"~","~~"),"*","~*"),"?","~?")),"")</f>
        <v/>
      </c>
      <c r="C372" t="str">
        <f>IF($B372="","",SUMIFS(dAmt,dCust,$B372,dPer,"&gt;="&amp;pyFrom,dPer,"&lt;="&amp;pyTo,dAmt,"&gt;-1E+300",dFlt1,critFlt1,dFlt2,critFlt2,dFlt3,critFlt3))</f>
        <v/>
      </c>
      <c r="D372" t="str">
        <f>IF($B372="","",SUMIFS(dAmt,dCust,$B372,dPer,"&gt;="&amp;cyFrom,dPer,"&lt;="&amp;cyTo,dAmt,"&gt;-1E+300",dFlt1,critFlt1,dFlt2,critFlt2,dFlt3,critFlt3))</f>
        <v/>
      </c>
      <c r="E372" t="str">
        <f>IF($B372="","",SUMIFS(dQty,dCust,$B372,dPer,"&gt;="&amp;pyFrom,dPer,"&lt;="&amp;pyTo,dQty,"&gt;-1E+300",dFlt1,critFlt1,dFlt2,critFlt2,dFlt3,critFlt3))</f>
        <v/>
      </c>
      <c r="F372" t="str">
        <f>IF($B372="","",SUMIFS(dQty,dCust,$B372,dPer,"&gt;="&amp;cyFrom,dPer,"&lt;="&amp;cyTo,dQty,"&gt;-1E+300",dFlt1,critFlt1,dFlt2,critFlt2,dFlt3,critFlt3))</f>
        <v/>
      </c>
      <c r="G372">
        <f>IF($B372="",0,IFERROR(IF(OR(C372&lt;&gt;0,D372&lt;&gt;0,E372&lt;&gt;0,F372&lt;&gt;0),1,0),1))</f>
        <v>0</v>
      </c>
      <c r="H372" t="str">
        <f>IF(OR(G372=0,E372=0),"",C372/E372)</f>
        <v/>
      </c>
      <c r="I372" t="str">
        <f>IF(OR(G372=0,F372=0),"",D372/F372)</f>
        <v/>
      </c>
      <c r="J372" t="str">
        <f>IF(OR(H372="",I372=""),"",IF(H372=0,"",I372/H372-1))</f>
        <v/>
      </c>
      <c r="K372" t="str">
        <f>IF($B372="","",IFERROR(IF(G372=0,-2E+300,CHOOSE(sortIdx,ROUND(D372,0),IF(J372="",-1E+300,ROUND(-J372,6)),IF(J372="",-1E+300,ROUND(J372,6)))),-1.5E+300))</f>
        <v/>
      </c>
      <c r="L372" t="str">
        <f>IF(K372="","",RANK(K372,$K$2:$K$3001,0)+COUNTIF($K$2:K372,K372)-1)</f>
        <v/>
      </c>
    </row>
    <row r="373">
      <c r="B373" t="str">
        <f>IFERROR(IF(A373="","","="&amp;SUBSTITUTE(SUBSTITUTE(SUBSTITUTE(A373,"~","~~"),"*","~*"),"?","~?")),"")</f>
        <v/>
      </c>
      <c r="C373" t="str">
        <f>IF($B373="","",SUMIFS(dAmt,dCust,$B373,dPer,"&gt;="&amp;pyFrom,dPer,"&lt;="&amp;pyTo,dAmt,"&gt;-1E+300",dFlt1,critFlt1,dFlt2,critFlt2,dFlt3,critFlt3))</f>
        <v/>
      </c>
      <c r="D373" t="str">
        <f>IF($B373="","",SUMIFS(dAmt,dCust,$B373,dPer,"&gt;="&amp;cyFrom,dPer,"&lt;="&amp;cyTo,dAmt,"&gt;-1E+300",dFlt1,critFlt1,dFlt2,critFlt2,dFlt3,critFlt3))</f>
        <v/>
      </c>
      <c r="E373" t="str">
        <f>IF($B373="","",SUMIFS(dQty,dCust,$B373,dPer,"&gt;="&amp;pyFrom,dPer,"&lt;="&amp;pyTo,dQty,"&gt;-1E+300",dFlt1,critFlt1,dFlt2,critFlt2,dFlt3,critFlt3))</f>
        <v/>
      </c>
      <c r="F373" t="str">
        <f>IF($B373="","",SUMIFS(dQty,dCust,$B373,dPer,"&gt;="&amp;cyFrom,dPer,"&lt;="&amp;cyTo,dQty,"&gt;-1E+300",dFlt1,critFlt1,dFlt2,critFlt2,dFlt3,critFlt3))</f>
        <v/>
      </c>
      <c r="G373">
        <f>IF($B373="",0,IFERROR(IF(OR(C373&lt;&gt;0,D373&lt;&gt;0,E373&lt;&gt;0,F373&lt;&gt;0),1,0),1))</f>
        <v>0</v>
      </c>
      <c r="H373" t="str">
        <f>IF(OR(G373=0,E373=0),"",C373/E373)</f>
        <v/>
      </c>
      <c r="I373" t="str">
        <f>IF(OR(G373=0,F373=0),"",D373/F373)</f>
        <v/>
      </c>
      <c r="J373" t="str">
        <f>IF(OR(H373="",I373=""),"",IF(H373=0,"",I373/H373-1))</f>
        <v/>
      </c>
      <c r="K373" t="str">
        <f>IF($B373="","",IFERROR(IF(G373=0,-2E+300,CHOOSE(sortIdx,ROUND(D373,0),IF(J373="",-1E+300,ROUND(-J373,6)),IF(J373="",-1E+300,ROUND(J373,6)))),-1.5E+300))</f>
        <v/>
      </c>
      <c r="L373" t="str">
        <f>IF(K373="","",RANK(K373,$K$2:$K$3001,0)+COUNTIF($K$2:K373,K373)-1)</f>
        <v/>
      </c>
    </row>
    <row r="374">
      <c r="B374" t="str">
        <f>IFERROR(IF(A374="","","="&amp;SUBSTITUTE(SUBSTITUTE(SUBSTITUTE(A374,"~","~~"),"*","~*"),"?","~?")),"")</f>
        <v/>
      </c>
      <c r="C374" t="str">
        <f>IF($B374="","",SUMIFS(dAmt,dCust,$B374,dPer,"&gt;="&amp;pyFrom,dPer,"&lt;="&amp;pyTo,dAmt,"&gt;-1E+300",dFlt1,critFlt1,dFlt2,critFlt2,dFlt3,critFlt3))</f>
        <v/>
      </c>
      <c r="D374" t="str">
        <f>IF($B374="","",SUMIFS(dAmt,dCust,$B374,dPer,"&gt;="&amp;cyFrom,dPer,"&lt;="&amp;cyTo,dAmt,"&gt;-1E+300",dFlt1,critFlt1,dFlt2,critFlt2,dFlt3,critFlt3))</f>
        <v/>
      </c>
      <c r="E374" t="str">
        <f>IF($B374="","",SUMIFS(dQty,dCust,$B374,dPer,"&gt;="&amp;pyFrom,dPer,"&lt;="&amp;pyTo,dQty,"&gt;-1E+300",dFlt1,critFlt1,dFlt2,critFlt2,dFlt3,critFlt3))</f>
        <v/>
      </c>
      <c r="F374" t="str">
        <f>IF($B374="","",SUMIFS(dQty,dCust,$B374,dPer,"&gt;="&amp;cyFrom,dPer,"&lt;="&amp;cyTo,dQty,"&gt;-1E+300",dFlt1,critFlt1,dFlt2,critFlt2,dFlt3,critFlt3))</f>
        <v/>
      </c>
      <c r="G374">
        <f>IF($B374="",0,IFERROR(IF(OR(C374&lt;&gt;0,D374&lt;&gt;0,E374&lt;&gt;0,F374&lt;&gt;0),1,0),1))</f>
        <v>0</v>
      </c>
      <c r="H374" t="str">
        <f>IF(OR(G374=0,E374=0),"",C374/E374)</f>
        <v/>
      </c>
      <c r="I374" t="str">
        <f>IF(OR(G374=0,F374=0),"",D374/F374)</f>
        <v/>
      </c>
      <c r="J374" t="str">
        <f>IF(OR(H374="",I374=""),"",IF(H374=0,"",I374/H374-1))</f>
        <v/>
      </c>
      <c r="K374" t="str">
        <f>IF($B374="","",IFERROR(IF(G374=0,-2E+300,CHOOSE(sortIdx,ROUND(D374,0),IF(J374="",-1E+300,ROUND(-J374,6)),IF(J374="",-1E+300,ROUND(J374,6)))),-1.5E+300))</f>
        <v/>
      </c>
      <c r="L374" t="str">
        <f>IF(K374="","",RANK(K374,$K$2:$K$3001,0)+COUNTIF($K$2:K374,K374)-1)</f>
        <v/>
      </c>
    </row>
    <row r="375">
      <c r="B375" t="str">
        <f>IFERROR(IF(A375="","","="&amp;SUBSTITUTE(SUBSTITUTE(SUBSTITUTE(A375,"~","~~"),"*","~*"),"?","~?")),"")</f>
        <v/>
      </c>
      <c r="C375" t="str">
        <f>IF($B375="","",SUMIFS(dAmt,dCust,$B375,dPer,"&gt;="&amp;pyFrom,dPer,"&lt;="&amp;pyTo,dAmt,"&gt;-1E+300",dFlt1,critFlt1,dFlt2,critFlt2,dFlt3,critFlt3))</f>
        <v/>
      </c>
      <c r="D375" t="str">
        <f>IF($B375="","",SUMIFS(dAmt,dCust,$B375,dPer,"&gt;="&amp;cyFrom,dPer,"&lt;="&amp;cyTo,dAmt,"&gt;-1E+300",dFlt1,critFlt1,dFlt2,critFlt2,dFlt3,critFlt3))</f>
        <v/>
      </c>
      <c r="E375" t="str">
        <f>IF($B375="","",SUMIFS(dQty,dCust,$B375,dPer,"&gt;="&amp;pyFrom,dPer,"&lt;="&amp;pyTo,dQty,"&gt;-1E+300",dFlt1,critFlt1,dFlt2,critFlt2,dFlt3,critFlt3))</f>
        <v/>
      </c>
      <c r="F375" t="str">
        <f>IF($B375="","",SUMIFS(dQty,dCust,$B375,dPer,"&gt;="&amp;cyFrom,dPer,"&lt;="&amp;cyTo,dQty,"&gt;-1E+300",dFlt1,critFlt1,dFlt2,critFlt2,dFlt3,critFlt3))</f>
        <v/>
      </c>
      <c r="G375">
        <f>IF($B375="",0,IFERROR(IF(OR(C375&lt;&gt;0,D375&lt;&gt;0,E375&lt;&gt;0,F375&lt;&gt;0),1,0),1))</f>
        <v>0</v>
      </c>
      <c r="H375" t="str">
        <f>IF(OR(G375=0,E375=0),"",C375/E375)</f>
        <v/>
      </c>
      <c r="I375" t="str">
        <f>IF(OR(G375=0,F375=0),"",D375/F375)</f>
        <v/>
      </c>
      <c r="J375" t="str">
        <f>IF(OR(H375="",I375=""),"",IF(H375=0,"",I375/H375-1))</f>
        <v/>
      </c>
      <c r="K375" t="str">
        <f>IF($B375="","",IFERROR(IF(G375=0,-2E+300,CHOOSE(sortIdx,ROUND(D375,0),IF(J375="",-1E+300,ROUND(-J375,6)),IF(J375="",-1E+300,ROUND(J375,6)))),-1.5E+300))</f>
        <v/>
      </c>
      <c r="L375" t="str">
        <f>IF(K375="","",RANK(K375,$K$2:$K$3001,0)+COUNTIF($K$2:K375,K375)-1)</f>
        <v/>
      </c>
    </row>
    <row r="376">
      <c r="B376" t="str">
        <f>IFERROR(IF(A376="","","="&amp;SUBSTITUTE(SUBSTITUTE(SUBSTITUTE(A376,"~","~~"),"*","~*"),"?","~?")),"")</f>
        <v/>
      </c>
      <c r="C376" t="str">
        <f>IF($B376="","",SUMIFS(dAmt,dCust,$B376,dPer,"&gt;="&amp;pyFrom,dPer,"&lt;="&amp;pyTo,dAmt,"&gt;-1E+300",dFlt1,critFlt1,dFlt2,critFlt2,dFlt3,critFlt3))</f>
        <v/>
      </c>
      <c r="D376" t="str">
        <f>IF($B376="","",SUMIFS(dAmt,dCust,$B376,dPer,"&gt;="&amp;cyFrom,dPer,"&lt;="&amp;cyTo,dAmt,"&gt;-1E+300",dFlt1,critFlt1,dFlt2,critFlt2,dFlt3,critFlt3))</f>
        <v/>
      </c>
      <c r="E376" t="str">
        <f>IF($B376="","",SUMIFS(dQty,dCust,$B376,dPer,"&gt;="&amp;pyFrom,dPer,"&lt;="&amp;pyTo,dQty,"&gt;-1E+300",dFlt1,critFlt1,dFlt2,critFlt2,dFlt3,critFlt3))</f>
        <v/>
      </c>
      <c r="F376" t="str">
        <f>IF($B376="","",SUMIFS(dQty,dCust,$B376,dPer,"&gt;="&amp;cyFrom,dPer,"&lt;="&amp;cyTo,dQty,"&gt;-1E+300",dFlt1,critFlt1,dFlt2,critFlt2,dFlt3,critFlt3))</f>
        <v/>
      </c>
      <c r="G376">
        <f>IF($B376="",0,IFERROR(IF(OR(C376&lt;&gt;0,D376&lt;&gt;0,E376&lt;&gt;0,F376&lt;&gt;0),1,0),1))</f>
        <v>0</v>
      </c>
      <c r="H376" t="str">
        <f>IF(OR(G376=0,E376=0),"",C376/E376)</f>
        <v/>
      </c>
      <c r="I376" t="str">
        <f>IF(OR(G376=0,F376=0),"",D376/F376)</f>
        <v/>
      </c>
      <c r="J376" t="str">
        <f>IF(OR(H376="",I376=""),"",IF(H376=0,"",I376/H376-1))</f>
        <v/>
      </c>
      <c r="K376" t="str">
        <f>IF($B376="","",IFERROR(IF(G376=0,-2E+300,CHOOSE(sortIdx,ROUND(D376,0),IF(J376="",-1E+300,ROUND(-J376,6)),IF(J376="",-1E+300,ROUND(J376,6)))),-1.5E+300))</f>
        <v/>
      </c>
      <c r="L376" t="str">
        <f>IF(K376="","",RANK(K376,$K$2:$K$3001,0)+COUNTIF($K$2:K376,K376)-1)</f>
        <v/>
      </c>
    </row>
    <row r="377">
      <c r="B377" t="str">
        <f>IFERROR(IF(A377="","","="&amp;SUBSTITUTE(SUBSTITUTE(SUBSTITUTE(A377,"~","~~"),"*","~*"),"?","~?")),"")</f>
        <v/>
      </c>
      <c r="C377" t="str">
        <f>IF($B377="","",SUMIFS(dAmt,dCust,$B377,dPer,"&gt;="&amp;pyFrom,dPer,"&lt;="&amp;pyTo,dAmt,"&gt;-1E+300",dFlt1,critFlt1,dFlt2,critFlt2,dFlt3,critFlt3))</f>
        <v/>
      </c>
      <c r="D377" t="str">
        <f>IF($B377="","",SUMIFS(dAmt,dCust,$B377,dPer,"&gt;="&amp;cyFrom,dPer,"&lt;="&amp;cyTo,dAmt,"&gt;-1E+300",dFlt1,critFlt1,dFlt2,critFlt2,dFlt3,critFlt3))</f>
        <v/>
      </c>
      <c r="E377" t="str">
        <f>IF($B377="","",SUMIFS(dQty,dCust,$B377,dPer,"&gt;="&amp;pyFrom,dPer,"&lt;="&amp;pyTo,dQty,"&gt;-1E+300",dFlt1,critFlt1,dFlt2,critFlt2,dFlt3,critFlt3))</f>
        <v/>
      </c>
      <c r="F377" t="str">
        <f>IF($B377="","",SUMIFS(dQty,dCust,$B377,dPer,"&gt;="&amp;cyFrom,dPer,"&lt;="&amp;cyTo,dQty,"&gt;-1E+300",dFlt1,critFlt1,dFlt2,critFlt2,dFlt3,critFlt3))</f>
        <v/>
      </c>
      <c r="G377">
        <f>IF($B377="",0,IFERROR(IF(OR(C377&lt;&gt;0,D377&lt;&gt;0,E377&lt;&gt;0,F377&lt;&gt;0),1,0),1))</f>
        <v>0</v>
      </c>
      <c r="H377" t="str">
        <f>IF(OR(G377=0,E377=0),"",C377/E377)</f>
        <v/>
      </c>
      <c r="I377" t="str">
        <f>IF(OR(G377=0,F377=0),"",D377/F377)</f>
        <v/>
      </c>
      <c r="J377" t="str">
        <f>IF(OR(H377="",I377=""),"",IF(H377=0,"",I377/H377-1))</f>
        <v/>
      </c>
      <c r="K377" t="str">
        <f>IF($B377="","",IFERROR(IF(G377=0,-2E+300,CHOOSE(sortIdx,ROUND(D377,0),IF(J377="",-1E+300,ROUND(-J377,6)),IF(J377="",-1E+300,ROUND(J377,6)))),-1.5E+300))</f>
        <v/>
      </c>
      <c r="L377" t="str">
        <f>IF(K377="","",RANK(K377,$K$2:$K$3001,0)+COUNTIF($K$2:K377,K377)-1)</f>
        <v/>
      </c>
    </row>
    <row r="378">
      <c r="B378" t="str">
        <f>IFERROR(IF(A378="","","="&amp;SUBSTITUTE(SUBSTITUTE(SUBSTITUTE(A378,"~","~~"),"*","~*"),"?","~?")),"")</f>
        <v/>
      </c>
      <c r="C378" t="str">
        <f>IF($B378="","",SUMIFS(dAmt,dCust,$B378,dPer,"&gt;="&amp;pyFrom,dPer,"&lt;="&amp;pyTo,dAmt,"&gt;-1E+300",dFlt1,critFlt1,dFlt2,critFlt2,dFlt3,critFlt3))</f>
        <v/>
      </c>
      <c r="D378" t="str">
        <f>IF($B378="","",SUMIFS(dAmt,dCust,$B378,dPer,"&gt;="&amp;cyFrom,dPer,"&lt;="&amp;cyTo,dAmt,"&gt;-1E+300",dFlt1,critFlt1,dFlt2,critFlt2,dFlt3,critFlt3))</f>
        <v/>
      </c>
      <c r="E378" t="str">
        <f>IF($B378="","",SUMIFS(dQty,dCust,$B378,dPer,"&gt;="&amp;pyFrom,dPer,"&lt;="&amp;pyTo,dQty,"&gt;-1E+300",dFlt1,critFlt1,dFlt2,critFlt2,dFlt3,critFlt3))</f>
        <v/>
      </c>
      <c r="F378" t="str">
        <f>IF($B378="","",SUMIFS(dQty,dCust,$B378,dPer,"&gt;="&amp;cyFrom,dPer,"&lt;="&amp;cyTo,dQty,"&gt;-1E+300",dFlt1,critFlt1,dFlt2,critFlt2,dFlt3,critFlt3))</f>
        <v/>
      </c>
      <c r="G378">
        <f>IF($B378="",0,IFERROR(IF(OR(C378&lt;&gt;0,D378&lt;&gt;0,E378&lt;&gt;0,F378&lt;&gt;0),1,0),1))</f>
        <v>0</v>
      </c>
      <c r="H378" t="str">
        <f>IF(OR(G378=0,E378=0),"",C378/E378)</f>
        <v/>
      </c>
      <c r="I378" t="str">
        <f>IF(OR(G378=0,F378=0),"",D378/F378)</f>
        <v/>
      </c>
      <c r="J378" t="str">
        <f>IF(OR(H378="",I378=""),"",IF(H378=0,"",I378/H378-1))</f>
        <v/>
      </c>
      <c r="K378" t="str">
        <f>IF($B378="","",IFERROR(IF(G378=0,-2E+300,CHOOSE(sortIdx,ROUND(D378,0),IF(J378="",-1E+300,ROUND(-J378,6)),IF(J378="",-1E+300,ROUND(J378,6)))),-1.5E+300))</f>
        <v/>
      </c>
      <c r="L378" t="str">
        <f>IF(K378="","",RANK(K378,$K$2:$K$3001,0)+COUNTIF($K$2:K378,K378)-1)</f>
        <v/>
      </c>
    </row>
    <row r="379">
      <c r="B379" t="str">
        <f>IFERROR(IF(A379="","","="&amp;SUBSTITUTE(SUBSTITUTE(SUBSTITUTE(A379,"~","~~"),"*","~*"),"?","~?")),"")</f>
        <v/>
      </c>
      <c r="C379" t="str">
        <f>IF($B379="","",SUMIFS(dAmt,dCust,$B379,dPer,"&gt;="&amp;pyFrom,dPer,"&lt;="&amp;pyTo,dAmt,"&gt;-1E+300",dFlt1,critFlt1,dFlt2,critFlt2,dFlt3,critFlt3))</f>
        <v/>
      </c>
      <c r="D379" t="str">
        <f>IF($B379="","",SUMIFS(dAmt,dCust,$B379,dPer,"&gt;="&amp;cyFrom,dPer,"&lt;="&amp;cyTo,dAmt,"&gt;-1E+300",dFlt1,critFlt1,dFlt2,critFlt2,dFlt3,critFlt3))</f>
        <v/>
      </c>
      <c r="E379" t="str">
        <f>IF($B379="","",SUMIFS(dQty,dCust,$B379,dPer,"&gt;="&amp;pyFrom,dPer,"&lt;="&amp;pyTo,dQty,"&gt;-1E+300",dFlt1,critFlt1,dFlt2,critFlt2,dFlt3,critFlt3))</f>
        <v/>
      </c>
      <c r="F379" t="str">
        <f>IF($B379="","",SUMIFS(dQty,dCust,$B379,dPer,"&gt;="&amp;cyFrom,dPer,"&lt;="&amp;cyTo,dQty,"&gt;-1E+300",dFlt1,critFlt1,dFlt2,critFlt2,dFlt3,critFlt3))</f>
        <v/>
      </c>
      <c r="G379">
        <f>IF($B379="",0,IFERROR(IF(OR(C379&lt;&gt;0,D379&lt;&gt;0,E379&lt;&gt;0,F379&lt;&gt;0),1,0),1))</f>
        <v>0</v>
      </c>
      <c r="H379" t="str">
        <f>IF(OR(G379=0,E379=0),"",C379/E379)</f>
        <v/>
      </c>
      <c r="I379" t="str">
        <f>IF(OR(G379=0,F379=0),"",D379/F379)</f>
        <v/>
      </c>
      <c r="J379" t="str">
        <f>IF(OR(H379="",I379=""),"",IF(H379=0,"",I379/H379-1))</f>
        <v/>
      </c>
      <c r="K379" t="str">
        <f>IF($B379="","",IFERROR(IF(G379=0,-2E+300,CHOOSE(sortIdx,ROUND(D379,0),IF(J379="",-1E+300,ROUND(-J379,6)),IF(J379="",-1E+300,ROUND(J379,6)))),-1.5E+300))</f>
        <v/>
      </c>
      <c r="L379" t="str">
        <f>IF(K379="","",RANK(K379,$K$2:$K$3001,0)+COUNTIF($K$2:K379,K379)-1)</f>
        <v/>
      </c>
    </row>
    <row r="380">
      <c r="B380" t="str">
        <f>IFERROR(IF(A380="","","="&amp;SUBSTITUTE(SUBSTITUTE(SUBSTITUTE(A380,"~","~~"),"*","~*"),"?","~?")),"")</f>
        <v/>
      </c>
      <c r="C380" t="str">
        <f>IF($B380="","",SUMIFS(dAmt,dCust,$B380,dPer,"&gt;="&amp;pyFrom,dPer,"&lt;="&amp;pyTo,dAmt,"&gt;-1E+300",dFlt1,critFlt1,dFlt2,critFlt2,dFlt3,critFlt3))</f>
        <v/>
      </c>
      <c r="D380" t="str">
        <f>IF($B380="","",SUMIFS(dAmt,dCust,$B380,dPer,"&gt;="&amp;cyFrom,dPer,"&lt;="&amp;cyTo,dAmt,"&gt;-1E+300",dFlt1,critFlt1,dFlt2,critFlt2,dFlt3,critFlt3))</f>
        <v/>
      </c>
      <c r="E380" t="str">
        <f>IF($B380="","",SUMIFS(dQty,dCust,$B380,dPer,"&gt;="&amp;pyFrom,dPer,"&lt;="&amp;pyTo,dQty,"&gt;-1E+300",dFlt1,critFlt1,dFlt2,critFlt2,dFlt3,critFlt3))</f>
        <v/>
      </c>
      <c r="F380" t="str">
        <f>IF($B380="","",SUMIFS(dQty,dCust,$B380,dPer,"&gt;="&amp;cyFrom,dPer,"&lt;="&amp;cyTo,dQty,"&gt;-1E+300",dFlt1,critFlt1,dFlt2,critFlt2,dFlt3,critFlt3))</f>
        <v/>
      </c>
      <c r="G380">
        <f>IF($B380="",0,IFERROR(IF(OR(C380&lt;&gt;0,D380&lt;&gt;0,E380&lt;&gt;0,F380&lt;&gt;0),1,0),1))</f>
        <v>0</v>
      </c>
      <c r="H380" t="str">
        <f>IF(OR(G380=0,E380=0),"",C380/E380)</f>
        <v/>
      </c>
      <c r="I380" t="str">
        <f>IF(OR(G380=0,F380=0),"",D380/F380)</f>
        <v/>
      </c>
      <c r="J380" t="str">
        <f>IF(OR(H380="",I380=""),"",IF(H380=0,"",I380/H380-1))</f>
        <v/>
      </c>
      <c r="K380" t="str">
        <f>IF($B380="","",IFERROR(IF(G380=0,-2E+300,CHOOSE(sortIdx,ROUND(D380,0),IF(J380="",-1E+300,ROUND(-J380,6)),IF(J380="",-1E+300,ROUND(J380,6)))),-1.5E+300))</f>
        <v/>
      </c>
      <c r="L380" t="str">
        <f>IF(K380="","",RANK(K380,$K$2:$K$3001,0)+COUNTIF($K$2:K380,K380)-1)</f>
        <v/>
      </c>
    </row>
    <row r="381">
      <c r="B381" t="str">
        <f>IFERROR(IF(A381="","","="&amp;SUBSTITUTE(SUBSTITUTE(SUBSTITUTE(A381,"~","~~"),"*","~*"),"?","~?")),"")</f>
        <v/>
      </c>
      <c r="C381" t="str">
        <f>IF($B381="","",SUMIFS(dAmt,dCust,$B381,dPer,"&gt;="&amp;pyFrom,dPer,"&lt;="&amp;pyTo,dAmt,"&gt;-1E+300",dFlt1,critFlt1,dFlt2,critFlt2,dFlt3,critFlt3))</f>
        <v/>
      </c>
      <c r="D381" t="str">
        <f>IF($B381="","",SUMIFS(dAmt,dCust,$B381,dPer,"&gt;="&amp;cyFrom,dPer,"&lt;="&amp;cyTo,dAmt,"&gt;-1E+300",dFlt1,critFlt1,dFlt2,critFlt2,dFlt3,critFlt3))</f>
        <v/>
      </c>
      <c r="E381" t="str">
        <f>IF($B381="","",SUMIFS(dQty,dCust,$B381,dPer,"&gt;="&amp;pyFrom,dPer,"&lt;="&amp;pyTo,dQty,"&gt;-1E+300",dFlt1,critFlt1,dFlt2,critFlt2,dFlt3,critFlt3))</f>
        <v/>
      </c>
      <c r="F381" t="str">
        <f>IF($B381="","",SUMIFS(dQty,dCust,$B381,dPer,"&gt;="&amp;cyFrom,dPer,"&lt;="&amp;cyTo,dQty,"&gt;-1E+300",dFlt1,critFlt1,dFlt2,critFlt2,dFlt3,critFlt3))</f>
        <v/>
      </c>
      <c r="G381">
        <f>IF($B381="",0,IFERROR(IF(OR(C381&lt;&gt;0,D381&lt;&gt;0,E381&lt;&gt;0,F381&lt;&gt;0),1,0),1))</f>
        <v>0</v>
      </c>
      <c r="H381" t="str">
        <f>IF(OR(G381=0,E381=0),"",C381/E381)</f>
        <v/>
      </c>
      <c r="I381" t="str">
        <f>IF(OR(G381=0,F381=0),"",D381/F381)</f>
        <v/>
      </c>
      <c r="J381" t="str">
        <f>IF(OR(H381="",I381=""),"",IF(H381=0,"",I381/H381-1))</f>
        <v/>
      </c>
      <c r="K381" t="str">
        <f>IF($B381="","",IFERROR(IF(G381=0,-2E+300,CHOOSE(sortIdx,ROUND(D381,0),IF(J381="",-1E+300,ROUND(-J381,6)),IF(J381="",-1E+300,ROUND(J381,6)))),-1.5E+300))</f>
        <v/>
      </c>
      <c r="L381" t="str">
        <f>IF(K381="","",RANK(K381,$K$2:$K$3001,0)+COUNTIF($K$2:K381,K381)-1)</f>
        <v/>
      </c>
    </row>
    <row r="382">
      <c r="B382" t="str">
        <f>IFERROR(IF(A382="","","="&amp;SUBSTITUTE(SUBSTITUTE(SUBSTITUTE(A382,"~","~~"),"*","~*"),"?","~?")),"")</f>
        <v/>
      </c>
      <c r="C382" t="str">
        <f>IF($B382="","",SUMIFS(dAmt,dCust,$B382,dPer,"&gt;="&amp;pyFrom,dPer,"&lt;="&amp;pyTo,dAmt,"&gt;-1E+300",dFlt1,critFlt1,dFlt2,critFlt2,dFlt3,critFlt3))</f>
        <v/>
      </c>
      <c r="D382" t="str">
        <f>IF($B382="","",SUMIFS(dAmt,dCust,$B382,dPer,"&gt;="&amp;cyFrom,dPer,"&lt;="&amp;cyTo,dAmt,"&gt;-1E+300",dFlt1,critFlt1,dFlt2,critFlt2,dFlt3,critFlt3))</f>
        <v/>
      </c>
      <c r="E382" t="str">
        <f>IF($B382="","",SUMIFS(dQty,dCust,$B382,dPer,"&gt;="&amp;pyFrom,dPer,"&lt;="&amp;pyTo,dQty,"&gt;-1E+300",dFlt1,critFlt1,dFlt2,critFlt2,dFlt3,critFlt3))</f>
        <v/>
      </c>
      <c r="F382" t="str">
        <f>IF($B382="","",SUMIFS(dQty,dCust,$B382,dPer,"&gt;="&amp;cyFrom,dPer,"&lt;="&amp;cyTo,dQty,"&gt;-1E+300",dFlt1,critFlt1,dFlt2,critFlt2,dFlt3,critFlt3))</f>
        <v/>
      </c>
      <c r="G382">
        <f>IF($B382="",0,IFERROR(IF(OR(C382&lt;&gt;0,D382&lt;&gt;0,E382&lt;&gt;0,F382&lt;&gt;0),1,0),1))</f>
        <v>0</v>
      </c>
      <c r="H382" t="str">
        <f>IF(OR(G382=0,E382=0),"",C382/E382)</f>
        <v/>
      </c>
      <c r="I382" t="str">
        <f>IF(OR(G382=0,F382=0),"",D382/F382)</f>
        <v/>
      </c>
      <c r="J382" t="str">
        <f>IF(OR(H382="",I382=""),"",IF(H382=0,"",I382/H382-1))</f>
        <v/>
      </c>
      <c r="K382" t="str">
        <f>IF($B382="","",IFERROR(IF(G382=0,-2E+300,CHOOSE(sortIdx,ROUND(D382,0),IF(J382="",-1E+300,ROUND(-J382,6)),IF(J382="",-1E+300,ROUND(J382,6)))),-1.5E+300))</f>
        <v/>
      </c>
      <c r="L382" t="str">
        <f>IF(K382="","",RANK(K382,$K$2:$K$3001,0)+COUNTIF($K$2:K382,K382)-1)</f>
        <v/>
      </c>
    </row>
    <row r="383">
      <c r="B383" t="str">
        <f>IFERROR(IF(A383="","","="&amp;SUBSTITUTE(SUBSTITUTE(SUBSTITUTE(A383,"~","~~"),"*","~*"),"?","~?")),"")</f>
        <v/>
      </c>
      <c r="C383" t="str">
        <f>IF($B383="","",SUMIFS(dAmt,dCust,$B383,dPer,"&gt;="&amp;pyFrom,dPer,"&lt;="&amp;pyTo,dAmt,"&gt;-1E+300",dFlt1,critFlt1,dFlt2,critFlt2,dFlt3,critFlt3))</f>
        <v/>
      </c>
      <c r="D383" t="str">
        <f>IF($B383="","",SUMIFS(dAmt,dCust,$B383,dPer,"&gt;="&amp;cyFrom,dPer,"&lt;="&amp;cyTo,dAmt,"&gt;-1E+300",dFlt1,critFlt1,dFlt2,critFlt2,dFlt3,critFlt3))</f>
        <v/>
      </c>
      <c r="E383" t="str">
        <f>IF($B383="","",SUMIFS(dQty,dCust,$B383,dPer,"&gt;="&amp;pyFrom,dPer,"&lt;="&amp;pyTo,dQty,"&gt;-1E+300",dFlt1,critFlt1,dFlt2,critFlt2,dFlt3,critFlt3))</f>
        <v/>
      </c>
      <c r="F383" t="str">
        <f>IF($B383="","",SUMIFS(dQty,dCust,$B383,dPer,"&gt;="&amp;cyFrom,dPer,"&lt;="&amp;cyTo,dQty,"&gt;-1E+300",dFlt1,critFlt1,dFlt2,critFlt2,dFlt3,critFlt3))</f>
        <v/>
      </c>
      <c r="G383">
        <f>IF($B383="",0,IFERROR(IF(OR(C383&lt;&gt;0,D383&lt;&gt;0,E383&lt;&gt;0,F383&lt;&gt;0),1,0),1))</f>
        <v>0</v>
      </c>
      <c r="H383" t="str">
        <f>IF(OR(G383=0,E383=0),"",C383/E383)</f>
        <v/>
      </c>
      <c r="I383" t="str">
        <f>IF(OR(G383=0,F383=0),"",D383/F383)</f>
        <v/>
      </c>
      <c r="J383" t="str">
        <f>IF(OR(H383="",I383=""),"",IF(H383=0,"",I383/H383-1))</f>
        <v/>
      </c>
      <c r="K383" t="str">
        <f>IF($B383="","",IFERROR(IF(G383=0,-2E+300,CHOOSE(sortIdx,ROUND(D383,0),IF(J383="",-1E+300,ROUND(-J383,6)),IF(J383="",-1E+300,ROUND(J383,6)))),-1.5E+300))</f>
        <v/>
      </c>
      <c r="L383" t="str">
        <f>IF(K383="","",RANK(K383,$K$2:$K$3001,0)+COUNTIF($K$2:K383,K383)-1)</f>
        <v/>
      </c>
    </row>
    <row r="384">
      <c r="B384" t="str">
        <f>IFERROR(IF(A384="","","="&amp;SUBSTITUTE(SUBSTITUTE(SUBSTITUTE(A384,"~","~~"),"*","~*"),"?","~?")),"")</f>
        <v/>
      </c>
      <c r="C384" t="str">
        <f>IF($B384="","",SUMIFS(dAmt,dCust,$B384,dPer,"&gt;="&amp;pyFrom,dPer,"&lt;="&amp;pyTo,dAmt,"&gt;-1E+300",dFlt1,critFlt1,dFlt2,critFlt2,dFlt3,critFlt3))</f>
        <v/>
      </c>
      <c r="D384" t="str">
        <f>IF($B384="","",SUMIFS(dAmt,dCust,$B384,dPer,"&gt;="&amp;cyFrom,dPer,"&lt;="&amp;cyTo,dAmt,"&gt;-1E+300",dFlt1,critFlt1,dFlt2,critFlt2,dFlt3,critFlt3))</f>
        <v/>
      </c>
      <c r="E384" t="str">
        <f>IF($B384="","",SUMIFS(dQty,dCust,$B384,dPer,"&gt;="&amp;pyFrom,dPer,"&lt;="&amp;pyTo,dQty,"&gt;-1E+300",dFlt1,critFlt1,dFlt2,critFlt2,dFlt3,critFlt3))</f>
        <v/>
      </c>
      <c r="F384" t="str">
        <f>IF($B384="","",SUMIFS(dQty,dCust,$B384,dPer,"&gt;="&amp;cyFrom,dPer,"&lt;="&amp;cyTo,dQty,"&gt;-1E+300",dFlt1,critFlt1,dFlt2,critFlt2,dFlt3,critFlt3))</f>
        <v/>
      </c>
      <c r="G384">
        <f>IF($B384="",0,IFERROR(IF(OR(C384&lt;&gt;0,D384&lt;&gt;0,E384&lt;&gt;0,F384&lt;&gt;0),1,0),1))</f>
        <v>0</v>
      </c>
      <c r="H384" t="str">
        <f>IF(OR(G384=0,E384=0),"",C384/E384)</f>
        <v/>
      </c>
      <c r="I384" t="str">
        <f>IF(OR(G384=0,F384=0),"",D384/F384)</f>
        <v/>
      </c>
      <c r="J384" t="str">
        <f>IF(OR(H384="",I384=""),"",IF(H384=0,"",I384/H384-1))</f>
        <v/>
      </c>
      <c r="K384" t="str">
        <f>IF($B384="","",IFERROR(IF(G384=0,-2E+300,CHOOSE(sortIdx,ROUND(D384,0),IF(J384="",-1E+300,ROUND(-J384,6)),IF(J384="",-1E+300,ROUND(J384,6)))),-1.5E+300))</f>
        <v/>
      </c>
      <c r="L384" t="str">
        <f>IF(K384="","",RANK(K384,$K$2:$K$3001,0)+COUNTIF($K$2:K384,K384)-1)</f>
        <v/>
      </c>
    </row>
    <row r="385">
      <c r="B385" t="str">
        <f>IFERROR(IF(A385="","","="&amp;SUBSTITUTE(SUBSTITUTE(SUBSTITUTE(A385,"~","~~"),"*","~*"),"?","~?")),"")</f>
        <v/>
      </c>
      <c r="C385" t="str">
        <f>IF($B385="","",SUMIFS(dAmt,dCust,$B385,dPer,"&gt;="&amp;pyFrom,dPer,"&lt;="&amp;pyTo,dAmt,"&gt;-1E+300",dFlt1,critFlt1,dFlt2,critFlt2,dFlt3,critFlt3))</f>
        <v/>
      </c>
      <c r="D385" t="str">
        <f>IF($B385="","",SUMIFS(dAmt,dCust,$B385,dPer,"&gt;="&amp;cyFrom,dPer,"&lt;="&amp;cyTo,dAmt,"&gt;-1E+300",dFlt1,critFlt1,dFlt2,critFlt2,dFlt3,critFlt3))</f>
        <v/>
      </c>
      <c r="E385" t="str">
        <f>IF($B385="","",SUMIFS(dQty,dCust,$B385,dPer,"&gt;="&amp;pyFrom,dPer,"&lt;="&amp;pyTo,dQty,"&gt;-1E+300",dFlt1,critFlt1,dFlt2,critFlt2,dFlt3,critFlt3))</f>
        <v/>
      </c>
      <c r="F385" t="str">
        <f>IF($B385="","",SUMIFS(dQty,dCust,$B385,dPer,"&gt;="&amp;cyFrom,dPer,"&lt;="&amp;cyTo,dQty,"&gt;-1E+300",dFlt1,critFlt1,dFlt2,critFlt2,dFlt3,critFlt3))</f>
        <v/>
      </c>
      <c r="G385">
        <f>IF($B385="",0,IFERROR(IF(OR(C385&lt;&gt;0,D385&lt;&gt;0,E385&lt;&gt;0,F385&lt;&gt;0),1,0),1))</f>
        <v>0</v>
      </c>
      <c r="H385" t="str">
        <f>IF(OR(G385=0,E385=0),"",C385/E385)</f>
        <v/>
      </c>
      <c r="I385" t="str">
        <f>IF(OR(G385=0,F385=0),"",D385/F385)</f>
        <v/>
      </c>
      <c r="J385" t="str">
        <f>IF(OR(H385="",I385=""),"",IF(H385=0,"",I385/H385-1))</f>
        <v/>
      </c>
      <c r="K385" t="str">
        <f>IF($B385="","",IFERROR(IF(G385=0,-2E+300,CHOOSE(sortIdx,ROUND(D385,0),IF(J385="",-1E+300,ROUND(-J385,6)),IF(J385="",-1E+300,ROUND(J385,6)))),-1.5E+300))</f>
        <v/>
      </c>
      <c r="L385" t="str">
        <f>IF(K385="","",RANK(K385,$K$2:$K$3001,0)+COUNTIF($K$2:K385,K385)-1)</f>
        <v/>
      </c>
    </row>
    <row r="386">
      <c r="B386" t="str">
        <f>IFERROR(IF(A386="","","="&amp;SUBSTITUTE(SUBSTITUTE(SUBSTITUTE(A386,"~","~~"),"*","~*"),"?","~?")),"")</f>
        <v/>
      </c>
      <c r="C386" t="str">
        <f>IF($B386="","",SUMIFS(dAmt,dCust,$B386,dPer,"&gt;="&amp;pyFrom,dPer,"&lt;="&amp;pyTo,dAmt,"&gt;-1E+300",dFlt1,critFlt1,dFlt2,critFlt2,dFlt3,critFlt3))</f>
        <v/>
      </c>
      <c r="D386" t="str">
        <f>IF($B386="","",SUMIFS(dAmt,dCust,$B386,dPer,"&gt;="&amp;cyFrom,dPer,"&lt;="&amp;cyTo,dAmt,"&gt;-1E+300",dFlt1,critFlt1,dFlt2,critFlt2,dFlt3,critFlt3))</f>
        <v/>
      </c>
      <c r="E386" t="str">
        <f>IF($B386="","",SUMIFS(dQty,dCust,$B386,dPer,"&gt;="&amp;pyFrom,dPer,"&lt;="&amp;pyTo,dQty,"&gt;-1E+300",dFlt1,critFlt1,dFlt2,critFlt2,dFlt3,critFlt3))</f>
        <v/>
      </c>
      <c r="F386" t="str">
        <f>IF($B386="","",SUMIFS(dQty,dCust,$B386,dPer,"&gt;="&amp;cyFrom,dPer,"&lt;="&amp;cyTo,dQty,"&gt;-1E+300",dFlt1,critFlt1,dFlt2,critFlt2,dFlt3,critFlt3))</f>
        <v/>
      </c>
      <c r="G386">
        <f>IF($B386="",0,IFERROR(IF(OR(C386&lt;&gt;0,D386&lt;&gt;0,E386&lt;&gt;0,F386&lt;&gt;0),1,0),1))</f>
        <v>0</v>
      </c>
      <c r="H386" t="str">
        <f>IF(OR(G386=0,E386=0),"",C386/E386)</f>
        <v/>
      </c>
      <c r="I386" t="str">
        <f>IF(OR(G386=0,F386=0),"",D386/F386)</f>
        <v/>
      </c>
      <c r="J386" t="str">
        <f>IF(OR(H386="",I386=""),"",IF(H386=0,"",I386/H386-1))</f>
        <v/>
      </c>
      <c r="K386" t="str">
        <f>IF($B386="","",IFERROR(IF(G386=0,-2E+300,CHOOSE(sortIdx,ROUND(D386,0),IF(J386="",-1E+300,ROUND(-J386,6)),IF(J386="",-1E+300,ROUND(J386,6)))),-1.5E+300))</f>
        <v/>
      </c>
      <c r="L386" t="str">
        <f>IF(K386="","",RANK(K386,$K$2:$K$3001,0)+COUNTIF($K$2:K386,K386)-1)</f>
        <v/>
      </c>
    </row>
    <row r="387">
      <c r="B387" t="str">
        <f>IFERROR(IF(A387="","","="&amp;SUBSTITUTE(SUBSTITUTE(SUBSTITUTE(A387,"~","~~"),"*","~*"),"?","~?")),"")</f>
        <v/>
      </c>
      <c r="C387" t="str">
        <f>IF($B387="","",SUMIFS(dAmt,dCust,$B387,dPer,"&gt;="&amp;pyFrom,dPer,"&lt;="&amp;pyTo,dAmt,"&gt;-1E+300",dFlt1,critFlt1,dFlt2,critFlt2,dFlt3,critFlt3))</f>
        <v/>
      </c>
      <c r="D387" t="str">
        <f>IF($B387="","",SUMIFS(dAmt,dCust,$B387,dPer,"&gt;="&amp;cyFrom,dPer,"&lt;="&amp;cyTo,dAmt,"&gt;-1E+300",dFlt1,critFlt1,dFlt2,critFlt2,dFlt3,critFlt3))</f>
        <v/>
      </c>
      <c r="E387" t="str">
        <f>IF($B387="","",SUMIFS(dQty,dCust,$B387,dPer,"&gt;="&amp;pyFrom,dPer,"&lt;="&amp;pyTo,dQty,"&gt;-1E+300",dFlt1,critFlt1,dFlt2,critFlt2,dFlt3,critFlt3))</f>
        <v/>
      </c>
      <c r="F387" t="str">
        <f>IF($B387="","",SUMIFS(dQty,dCust,$B387,dPer,"&gt;="&amp;cyFrom,dPer,"&lt;="&amp;cyTo,dQty,"&gt;-1E+300",dFlt1,critFlt1,dFlt2,critFlt2,dFlt3,critFlt3))</f>
        <v/>
      </c>
      <c r="G387">
        <f>IF($B387="",0,IFERROR(IF(OR(C387&lt;&gt;0,D387&lt;&gt;0,E387&lt;&gt;0,F387&lt;&gt;0),1,0),1))</f>
        <v>0</v>
      </c>
      <c r="H387" t="str">
        <f>IF(OR(G387=0,E387=0),"",C387/E387)</f>
        <v/>
      </c>
      <c r="I387" t="str">
        <f>IF(OR(G387=0,F387=0),"",D387/F387)</f>
        <v/>
      </c>
      <c r="J387" t="str">
        <f>IF(OR(H387="",I387=""),"",IF(H387=0,"",I387/H387-1))</f>
        <v/>
      </c>
      <c r="K387" t="str">
        <f>IF($B387="","",IFERROR(IF(G387=0,-2E+300,CHOOSE(sortIdx,ROUND(D387,0),IF(J387="",-1E+300,ROUND(-J387,6)),IF(J387="",-1E+300,ROUND(J387,6)))),-1.5E+300))</f>
        <v/>
      </c>
      <c r="L387" t="str">
        <f>IF(K387="","",RANK(K387,$K$2:$K$3001,0)+COUNTIF($K$2:K387,K387)-1)</f>
        <v/>
      </c>
    </row>
    <row r="388">
      <c r="B388" t="str">
        <f>IFERROR(IF(A388="","","="&amp;SUBSTITUTE(SUBSTITUTE(SUBSTITUTE(A388,"~","~~"),"*","~*"),"?","~?")),"")</f>
        <v/>
      </c>
      <c r="C388" t="str">
        <f>IF($B388="","",SUMIFS(dAmt,dCust,$B388,dPer,"&gt;="&amp;pyFrom,dPer,"&lt;="&amp;pyTo,dAmt,"&gt;-1E+300",dFlt1,critFlt1,dFlt2,critFlt2,dFlt3,critFlt3))</f>
        <v/>
      </c>
      <c r="D388" t="str">
        <f>IF($B388="","",SUMIFS(dAmt,dCust,$B388,dPer,"&gt;="&amp;cyFrom,dPer,"&lt;="&amp;cyTo,dAmt,"&gt;-1E+300",dFlt1,critFlt1,dFlt2,critFlt2,dFlt3,critFlt3))</f>
        <v/>
      </c>
      <c r="E388" t="str">
        <f>IF($B388="","",SUMIFS(dQty,dCust,$B388,dPer,"&gt;="&amp;pyFrom,dPer,"&lt;="&amp;pyTo,dQty,"&gt;-1E+300",dFlt1,critFlt1,dFlt2,critFlt2,dFlt3,critFlt3))</f>
        <v/>
      </c>
      <c r="F388" t="str">
        <f>IF($B388="","",SUMIFS(dQty,dCust,$B388,dPer,"&gt;="&amp;cyFrom,dPer,"&lt;="&amp;cyTo,dQty,"&gt;-1E+300",dFlt1,critFlt1,dFlt2,critFlt2,dFlt3,critFlt3))</f>
        <v/>
      </c>
      <c r="G388">
        <f>IF($B388="",0,IFERROR(IF(OR(C388&lt;&gt;0,D388&lt;&gt;0,E388&lt;&gt;0,F388&lt;&gt;0),1,0),1))</f>
        <v>0</v>
      </c>
      <c r="H388" t="str">
        <f>IF(OR(G388=0,E388=0),"",C388/E388)</f>
        <v/>
      </c>
      <c r="I388" t="str">
        <f>IF(OR(G388=0,F388=0),"",D388/F388)</f>
        <v/>
      </c>
      <c r="J388" t="str">
        <f>IF(OR(H388="",I388=""),"",IF(H388=0,"",I388/H388-1))</f>
        <v/>
      </c>
      <c r="K388" t="str">
        <f>IF($B388="","",IFERROR(IF(G388=0,-2E+300,CHOOSE(sortIdx,ROUND(D388,0),IF(J388="",-1E+300,ROUND(-J388,6)),IF(J388="",-1E+300,ROUND(J388,6)))),-1.5E+300))</f>
        <v/>
      </c>
      <c r="L388" t="str">
        <f>IF(K388="","",RANK(K388,$K$2:$K$3001,0)+COUNTIF($K$2:K388,K388)-1)</f>
        <v/>
      </c>
    </row>
    <row r="389">
      <c r="B389" t="str">
        <f>IFERROR(IF(A389="","","="&amp;SUBSTITUTE(SUBSTITUTE(SUBSTITUTE(A389,"~","~~"),"*","~*"),"?","~?")),"")</f>
        <v/>
      </c>
      <c r="C389" t="str">
        <f>IF($B389="","",SUMIFS(dAmt,dCust,$B389,dPer,"&gt;="&amp;pyFrom,dPer,"&lt;="&amp;pyTo,dAmt,"&gt;-1E+300",dFlt1,critFlt1,dFlt2,critFlt2,dFlt3,critFlt3))</f>
        <v/>
      </c>
      <c r="D389" t="str">
        <f>IF($B389="","",SUMIFS(dAmt,dCust,$B389,dPer,"&gt;="&amp;cyFrom,dPer,"&lt;="&amp;cyTo,dAmt,"&gt;-1E+300",dFlt1,critFlt1,dFlt2,critFlt2,dFlt3,critFlt3))</f>
        <v/>
      </c>
      <c r="E389" t="str">
        <f>IF($B389="","",SUMIFS(dQty,dCust,$B389,dPer,"&gt;="&amp;pyFrom,dPer,"&lt;="&amp;pyTo,dQty,"&gt;-1E+300",dFlt1,critFlt1,dFlt2,critFlt2,dFlt3,critFlt3))</f>
        <v/>
      </c>
      <c r="F389" t="str">
        <f>IF($B389="","",SUMIFS(dQty,dCust,$B389,dPer,"&gt;="&amp;cyFrom,dPer,"&lt;="&amp;cyTo,dQty,"&gt;-1E+300",dFlt1,critFlt1,dFlt2,critFlt2,dFlt3,critFlt3))</f>
        <v/>
      </c>
      <c r="G389">
        <f>IF($B389="",0,IFERROR(IF(OR(C389&lt;&gt;0,D389&lt;&gt;0,E389&lt;&gt;0,F389&lt;&gt;0),1,0),1))</f>
        <v>0</v>
      </c>
      <c r="H389" t="str">
        <f>IF(OR(G389=0,E389=0),"",C389/E389)</f>
        <v/>
      </c>
      <c r="I389" t="str">
        <f>IF(OR(G389=0,F389=0),"",D389/F389)</f>
        <v/>
      </c>
      <c r="J389" t="str">
        <f>IF(OR(H389="",I389=""),"",IF(H389=0,"",I389/H389-1))</f>
        <v/>
      </c>
      <c r="K389" t="str">
        <f>IF($B389="","",IFERROR(IF(G389=0,-2E+300,CHOOSE(sortIdx,ROUND(D389,0),IF(J389="",-1E+300,ROUND(-J389,6)),IF(J389="",-1E+300,ROUND(J389,6)))),-1.5E+300))</f>
        <v/>
      </c>
      <c r="L389" t="str">
        <f>IF(K389="","",RANK(K389,$K$2:$K$3001,0)+COUNTIF($K$2:K389,K389)-1)</f>
        <v/>
      </c>
    </row>
    <row r="390">
      <c r="B390" t="str">
        <f>IFERROR(IF(A390="","","="&amp;SUBSTITUTE(SUBSTITUTE(SUBSTITUTE(A390,"~","~~"),"*","~*"),"?","~?")),"")</f>
        <v/>
      </c>
      <c r="C390" t="str">
        <f>IF($B390="","",SUMIFS(dAmt,dCust,$B390,dPer,"&gt;="&amp;pyFrom,dPer,"&lt;="&amp;pyTo,dAmt,"&gt;-1E+300",dFlt1,critFlt1,dFlt2,critFlt2,dFlt3,critFlt3))</f>
        <v/>
      </c>
      <c r="D390" t="str">
        <f>IF($B390="","",SUMIFS(dAmt,dCust,$B390,dPer,"&gt;="&amp;cyFrom,dPer,"&lt;="&amp;cyTo,dAmt,"&gt;-1E+300",dFlt1,critFlt1,dFlt2,critFlt2,dFlt3,critFlt3))</f>
        <v/>
      </c>
      <c r="E390" t="str">
        <f>IF($B390="","",SUMIFS(dQty,dCust,$B390,dPer,"&gt;="&amp;pyFrom,dPer,"&lt;="&amp;pyTo,dQty,"&gt;-1E+300",dFlt1,critFlt1,dFlt2,critFlt2,dFlt3,critFlt3))</f>
        <v/>
      </c>
      <c r="F390" t="str">
        <f>IF($B390="","",SUMIFS(dQty,dCust,$B390,dPer,"&gt;="&amp;cyFrom,dPer,"&lt;="&amp;cyTo,dQty,"&gt;-1E+300",dFlt1,critFlt1,dFlt2,critFlt2,dFlt3,critFlt3))</f>
        <v/>
      </c>
      <c r="G390">
        <f>IF($B390="",0,IFERROR(IF(OR(C390&lt;&gt;0,D390&lt;&gt;0,E390&lt;&gt;0,F390&lt;&gt;0),1,0),1))</f>
        <v>0</v>
      </c>
      <c r="H390" t="str">
        <f>IF(OR(G390=0,E390=0),"",C390/E390)</f>
        <v/>
      </c>
      <c r="I390" t="str">
        <f>IF(OR(G390=0,F390=0),"",D390/F390)</f>
        <v/>
      </c>
      <c r="J390" t="str">
        <f>IF(OR(H390="",I390=""),"",IF(H390=0,"",I390/H390-1))</f>
        <v/>
      </c>
      <c r="K390" t="str">
        <f>IF($B390="","",IFERROR(IF(G390=0,-2E+300,CHOOSE(sortIdx,ROUND(D390,0),IF(J390="",-1E+300,ROUND(-J390,6)),IF(J390="",-1E+300,ROUND(J390,6)))),-1.5E+300))</f>
        <v/>
      </c>
      <c r="L390" t="str">
        <f>IF(K390="","",RANK(K390,$K$2:$K$3001,0)+COUNTIF($K$2:K390,K390)-1)</f>
        <v/>
      </c>
    </row>
    <row r="391">
      <c r="B391" t="str">
        <f>IFERROR(IF(A391="","","="&amp;SUBSTITUTE(SUBSTITUTE(SUBSTITUTE(A391,"~","~~"),"*","~*"),"?","~?")),"")</f>
        <v/>
      </c>
      <c r="C391" t="str">
        <f>IF($B391="","",SUMIFS(dAmt,dCust,$B391,dPer,"&gt;="&amp;pyFrom,dPer,"&lt;="&amp;pyTo,dAmt,"&gt;-1E+300",dFlt1,critFlt1,dFlt2,critFlt2,dFlt3,critFlt3))</f>
        <v/>
      </c>
      <c r="D391" t="str">
        <f>IF($B391="","",SUMIFS(dAmt,dCust,$B391,dPer,"&gt;="&amp;cyFrom,dPer,"&lt;="&amp;cyTo,dAmt,"&gt;-1E+300",dFlt1,critFlt1,dFlt2,critFlt2,dFlt3,critFlt3))</f>
        <v/>
      </c>
      <c r="E391" t="str">
        <f>IF($B391="","",SUMIFS(dQty,dCust,$B391,dPer,"&gt;="&amp;pyFrom,dPer,"&lt;="&amp;pyTo,dQty,"&gt;-1E+300",dFlt1,critFlt1,dFlt2,critFlt2,dFlt3,critFlt3))</f>
        <v/>
      </c>
      <c r="F391" t="str">
        <f>IF($B391="","",SUMIFS(dQty,dCust,$B391,dPer,"&gt;="&amp;cyFrom,dPer,"&lt;="&amp;cyTo,dQty,"&gt;-1E+300",dFlt1,critFlt1,dFlt2,critFlt2,dFlt3,critFlt3))</f>
        <v/>
      </c>
      <c r="G391">
        <f>IF($B391="",0,IFERROR(IF(OR(C391&lt;&gt;0,D391&lt;&gt;0,E391&lt;&gt;0,F391&lt;&gt;0),1,0),1))</f>
        <v>0</v>
      </c>
      <c r="H391" t="str">
        <f>IF(OR(G391=0,E391=0),"",C391/E391)</f>
        <v/>
      </c>
      <c r="I391" t="str">
        <f>IF(OR(G391=0,F391=0),"",D391/F391)</f>
        <v/>
      </c>
      <c r="J391" t="str">
        <f>IF(OR(H391="",I391=""),"",IF(H391=0,"",I391/H391-1))</f>
        <v/>
      </c>
      <c r="K391" t="str">
        <f>IF($B391="","",IFERROR(IF(G391=0,-2E+300,CHOOSE(sortIdx,ROUND(D391,0),IF(J391="",-1E+300,ROUND(-J391,6)),IF(J391="",-1E+300,ROUND(J391,6)))),-1.5E+300))</f>
        <v/>
      </c>
      <c r="L391" t="str">
        <f>IF(K391="","",RANK(K391,$K$2:$K$3001,0)+COUNTIF($K$2:K391,K391)-1)</f>
        <v/>
      </c>
    </row>
    <row r="392">
      <c r="B392" t="str">
        <f>IFERROR(IF(A392="","","="&amp;SUBSTITUTE(SUBSTITUTE(SUBSTITUTE(A392,"~","~~"),"*","~*"),"?","~?")),"")</f>
        <v/>
      </c>
      <c r="C392" t="str">
        <f>IF($B392="","",SUMIFS(dAmt,dCust,$B392,dPer,"&gt;="&amp;pyFrom,dPer,"&lt;="&amp;pyTo,dAmt,"&gt;-1E+300",dFlt1,critFlt1,dFlt2,critFlt2,dFlt3,critFlt3))</f>
        <v/>
      </c>
      <c r="D392" t="str">
        <f>IF($B392="","",SUMIFS(dAmt,dCust,$B392,dPer,"&gt;="&amp;cyFrom,dPer,"&lt;="&amp;cyTo,dAmt,"&gt;-1E+300",dFlt1,critFlt1,dFlt2,critFlt2,dFlt3,critFlt3))</f>
        <v/>
      </c>
      <c r="E392" t="str">
        <f>IF($B392="","",SUMIFS(dQty,dCust,$B392,dPer,"&gt;="&amp;pyFrom,dPer,"&lt;="&amp;pyTo,dQty,"&gt;-1E+300",dFlt1,critFlt1,dFlt2,critFlt2,dFlt3,critFlt3))</f>
        <v/>
      </c>
      <c r="F392" t="str">
        <f>IF($B392="","",SUMIFS(dQty,dCust,$B392,dPer,"&gt;="&amp;cyFrom,dPer,"&lt;="&amp;cyTo,dQty,"&gt;-1E+300",dFlt1,critFlt1,dFlt2,critFlt2,dFlt3,critFlt3))</f>
        <v/>
      </c>
      <c r="G392">
        <f>IF($B392="",0,IFERROR(IF(OR(C392&lt;&gt;0,D392&lt;&gt;0,E392&lt;&gt;0,F392&lt;&gt;0),1,0),1))</f>
        <v>0</v>
      </c>
      <c r="H392" t="str">
        <f>IF(OR(G392=0,E392=0),"",C392/E392)</f>
        <v/>
      </c>
      <c r="I392" t="str">
        <f>IF(OR(G392=0,F392=0),"",D392/F392)</f>
        <v/>
      </c>
      <c r="J392" t="str">
        <f>IF(OR(H392="",I392=""),"",IF(H392=0,"",I392/H392-1))</f>
        <v/>
      </c>
      <c r="K392" t="str">
        <f>IF($B392="","",IFERROR(IF(G392=0,-2E+300,CHOOSE(sortIdx,ROUND(D392,0),IF(J392="",-1E+300,ROUND(-J392,6)),IF(J392="",-1E+300,ROUND(J392,6)))),-1.5E+300))</f>
        <v/>
      </c>
      <c r="L392" t="str">
        <f>IF(K392="","",RANK(K392,$K$2:$K$3001,0)+COUNTIF($K$2:K392,K392)-1)</f>
        <v/>
      </c>
    </row>
    <row r="393">
      <c r="B393" t="str">
        <f>IFERROR(IF(A393="","","="&amp;SUBSTITUTE(SUBSTITUTE(SUBSTITUTE(A393,"~","~~"),"*","~*"),"?","~?")),"")</f>
        <v/>
      </c>
      <c r="C393" t="str">
        <f>IF($B393="","",SUMIFS(dAmt,dCust,$B393,dPer,"&gt;="&amp;pyFrom,dPer,"&lt;="&amp;pyTo,dAmt,"&gt;-1E+300",dFlt1,critFlt1,dFlt2,critFlt2,dFlt3,critFlt3))</f>
        <v/>
      </c>
      <c r="D393" t="str">
        <f>IF($B393="","",SUMIFS(dAmt,dCust,$B393,dPer,"&gt;="&amp;cyFrom,dPer,"&lt;="&amp;cyTo,dAmt,"&gt;-1E+300",dFlt1,critFlt1,dFlt2,critFlt2,dFlt3,critFlt3))</f>
        <v/>
      </c>
      <c r="E393" t="str">
        <f>IF($B393="","",SUMIFS(dQty,dCust,$B393,dPer,"&gt;="&amp;pyFrom,dPer,"&lt;="&amp;pyTo,dQty,"&gt;-1E+300",dFlt1,critFlt1,dFlt2,critFlt2,dFlt3,critFlt3))</f>
        <v/>
      </c>
      <c r="F393" t="str">
        <f>IF($B393="","",SUMIFS(dQty,dCust,$B393,dPer,"&gt;="&amp;cyFrom,dPer,"&lt;="&amp;cyTo,dQty,"&gt;-1E+300",dFlt1,critFlt1,dFlt2,critFlt2,dFlt3,critFlt3))</f>
        <v/>
      </c>
      <c r="G393">
        <f>IF($B393="",0,IFERROR(IF(OR(C393&lt;&gt;0,D393&lt;&gt;0,E393&lt;&gt;0,F393&lt;&gt;0),1,0),1))</f>
        <v>0</v>
      </c>
      <c r="H393" t="str">
        <f>IF(OR(G393=0,E393=0),"",C393/E393)</f>
        <v/>
      </c>
      <c r="I393" t="str">
        <f>IF(OR(G393=0,F393=0),"",D393/F393)</f>
        <v/>
      </c>
      <c r="J393" t="str">
        <f>IF(OR(H393="",I393=""),"",IF(H393=0,"",I393/H393-1))</f>
        <v/>
      </c>
      <c r="K393" t="str">
        <f>IF($B393="","",IFERROR(IF(G393=0,-2E+300,CHOOSE(sortIdx,ROUND(D393,0),IF(J393="",-1E+300,ROUND(-J393,6)),IF(J393="",-1E+300,ROUND(J393,6)))),-1.5E+300))</f>
        <v/>
      </c>
      <c r="L393" t="str">
        <f>IF(K393="","",RANK(K393,$K$2:$K$3001,0)+COUNTIF($K$2:K393,K393)-1)</f>
        <v/>
      </c>
    </row>
    <row r="394">
      <c r="B394" t="str">
        <f>IFERROR(IF(A394="","","="&amp;SUBSTITUTE(SUBSTITUTE(SUBSTITUTE(A394,"~","~~"),"*","~*"),"?","~?")),"")</f>
        <v/>
      </c>
      <c r="C394" t="str">
        <f>IF($B394="","",SUMIFS(dAmt,dCust,$B394,dPer,"&gt;="&amp;pyFrom,dPer,"&lt;="&amp;pyTo,dAmt,"&gt;-1E+300",dFlt1,critFlt1,dFlt2,critFlt2,dFlt3,critFlt3))</f>
        <v/>
      </c>
      <c r="D394" t="str">
        <f>IF($B394="","",SUMIFS(dAmt,dCust,$B394,dPer,"&gt;="&amp;cyFrom,dPer,"&lt;="&amp;cyTo,dAmt,"&gt;-1E+300",dFlt1,critFlt1,dFlt2,critFlt2,dFlt3,critFlt3))</f>
        <v/>
      </c>
      <c r="E394" t="str">
        <f>IF($B394="","",SUMIFS(dQty,dCust,$B394,dPer,"&gt;="&amp;pyFrom,dPer,"&lt;="&amp;pyTo,dQty,"&gt;-1E+300",dFlt1,critFlt1,dFlt2,critFlt2,dFlt3,critFlt3))</f>
        <v/>
      </c>
      <c r="F394" t="str">
        <f>IF($B394="","",SUMIFS(dQty,dCust,$B394,dPer,"&gt;="&amp;cyFrom,dPer,"&lt;="&amp;cyTo,dQty,"&gt;-1E+300",dFlt1,critFlt1,dFlt2,critFlt2,dFlt3,critFlt3))</f>
        <v/>
      </c>
      <c r="G394">
        <f>IF($B394="",0,IFERROR(IF(OR(C394&lt;&gt;0,D394&lt;&gt;0,E394&lt;&gt;0,F394&lt;&gt;0),1,0),1))</f>
        <v>0</v>
      </c>
      <c r="H394" t="str">
        <f>IF(OR(G394=0,E394=0),"",C394/E394)</f>
        <v/>
      </c>
      <c r="I394" t="str">
        <f>IF(OR(G394=0,F394=0),"",D394/F394)</f>
        <v/>
      </c>
      <c r="J394" t="str">
        <f>IF(OR(H394="",I394=""),"",IF(H394=0,"",I394/H394-1))</f>
        <v/>
      </c>
      <c r="K394" t="str">
        <f>IF($B394="","",IFERROR(IF(G394=0,-2E+300,CHOOSE(sortIdx,ROUND(D394,0),IF(J394="",-1E+300,ROUND(-J394,6)),IF(J394="",-1E+300,ROUND(J394,6)))),-1.5E+300))</f>
        <v/>
      </c>
      <c r="L394" t="str">
        <f>IF(K394="","",RANK(K394,$K$2:$K$3001,0)+COUNTIF($K$2:K394,K394)-1)</f>
        <v/>
      </c>
    </row>
    <row r="395">
      <c r="B395" t="str">
        <f>IFERROR(IF(A395="","","="&amp;SUBSTITUTE(SUBSTITUTE(SUBSTITUTE(A395,"~","~~"),"*","~*"),"?","~?")),"")</f>
        <v/>
      </c>
      <c r="C395" t="str">
        <f>IF($B395="","",SUMIFS(dAmt,dCust,$B395,dPer,"&gt;="&amp;pyFrom,dPer,"&lt;="&amp;pyTo,dAmt,"&gt;-1E+300",dFlt1,critFlt1,dFlt2,critFlt2,dFlt3,critFlt3))</f>
        <v/>
      </c>
      <c r="D395" t="str">
        <f>IF($B395="","",SUMIFS(dAmt,dCust,$B395,dPer,"&gt;="&amp;cyFrom,dPer,"&lt;="&amp;cyTo,dAmt,"&gt;-1E+300",dFlt1,critFlt1,dFlt2,critFlt2,dFlt3,critFlt3))</f>
        <v/>
      </c>
      <c r="E395" t="str">
        <f>IF($B395="","",SUMIFS(dQty,dCust,$B395,dPer,"&gt;="&amp;pyFrom,dPer,"&lt;="&amp;pyTo,dQty,"&gt;-1E+300",dFlt1,critFlt1,dFlt2,critFlt2,dFlt3,critFlt3))</f>
        <v/>
      </c>
      <c r="F395" t="str">
        <f>IF($B395="","",SUMIFS(dQty,dCust,$B395,dPer,"&gt;="&amp;cyFrom,dPer,"&lt;="&amp;cyTo,dQty,"&gt;-1E+300",dFlt1,critFlt1,dFlt2,critFlt2,dFlt3,critFlt3))</f>
        <v/>
      </c>
      <c r="G395">
        <f>IF($B395="",0,IFERROR(IF(OR(C395&lt;&gt;0,D395&lt;&gt;0,E395&lt;&gt;0,F395&lt;&gt;0),1,0),1))</f>
        <v>0</v>
      </c>
      <c r="H395" t="str">
        <f>IF(OR(G395=0,E395=0),"",C395/E395)</f>
        <v/>
      </c>
      <c r="I395" t="str">
        <f>IF(OR(G395=0,F395=0),"",D395/F395)</f>
        <v/>
      </c>
      <c r="J395" t="str">
        <f>IF(OR(H395="",I395=""),"",IF(H395=0,"",I395/H395-1))</f>
        <v/>
      </c>
      <c r="K395" t="str">
        <f>IF($B395="","",IFERROR(IF(G395=0,-2E+300,CHOOSE(sortIdx,ROUND(D395,0),IF(J395="",-1E+300,ROUND(-J395,6)),IF(J395="",-1E+300,ROUND(J395,6)))),-1.5E+300))</f>
        <v/>
      </c>
      <c r="L395" t="str">
        <f>IF(K395="","",RANK(K395,$K$2:$K$3001,0)+COUNTIF($K$2:K395,K395)-1)</f>
        <v/>
      </c>
    </row>
    <row r="396">
      <c r="B396" t="str">
        <f>IFERROR(IF(A396="","","="&amp;SUBSTITUTE(SUBSTITUTE(SUBSTITUTE(A396,"~","~~"),"*","~*"),"?","~?")),"")</f>
        <v/>
      </c>
      <c r="C396" t="str">
        <f>IF($B396="","",SUMIFS(dAmt,dCust,$B396,dPer,"&gt;="&amp;pyFrom,dPer,"&lt;="&amp;pyTo,dAmt,"&gt;-1E+300",dFlt1,critFlt1,dFlt2,critFlt2,dFlt3,critFlt3))</f>
        <v/>
      </c>
      <c r="D396" t="str">
        <f>IF($B396="","",SUMIFS(dAmt,dCust,$B396,dPer,"&gt;="&amp;cyFrom,dPer,"&lt;="&amp;cyTo,dAmt,"&gt;-1E+300",dFlt1,critFlt1,dFlt2,critFlt2,dFlt3,critFlt3))</f>
        <v/>
      </c>
      <c r="E396" t="str">
        <f>IF($B396="","",SUMIFS(dQty,dCust,$B396,dPer,"&gt;="&amp;pyFrom,dPer,"&lt;="&amp;pyTo,dQty,"&gt;-1E+300",dFlt1,critFlt1,dFlt2,critFlt2,dFlt3,critFlt3))</f>
        <v/>
      </c>
      <c r="F396" t="str">
        <f>IF($B396="","",SUMIFS(dQty,dCust,$B396,dPer,"&gt;="&amp;cyFrom,dPer,"&lt;="&amp;cyTo,dQty,"&gt;-1E+300",dFlt1,critFlt1,dFlt2,critFlt2,dFlt3,critFlt3))</f>
        <v/>
      </c>
      <c r="G396">
        <f>IF($B396="",0,IFERROR(IF(OR(C396&lt;&gt;0,D396&lt;&gt;0,E396&lt;&gt;0,F396&lt;&gt;0),1,0),1))</f>
        <v>0</v>
      </c>
      <c r="H396" t="str">
        <f>IF(OR(G396=0,E396=0),"",C396/E396)</f>
        <v/>
      </c>
      <c r="I396" t="str">
        <f>IF(OR(G396=0,F396=0),"",D396/F396)</f>
        <v/>
      </c>
      <c r="J396" t="str">
        <f>IF(OR(H396="",I396=""),"",IF(H396=0,"",I396/H396-1))</f>
        <v/>
      </c>
      <c r="K396" t="str">
        <f>IF($B396="","",IFERROR(IF(G396=0,-2E+300,CHOOSE(sortIdx,ROUND(D396,0),IF(J396="",-1E+300,ROUND(-J396,6)),IF(J396="",-1E+300,ROUND(J396,6)))),-1.5E+300))</f>
        <v/>
      </c>
      <c r="L396" t="str">
        <f>IF(K396="","",RANK(K396,$K$2:$K$3001,0)+COUNTIF($K$2:K396,K396)-1)</f>
        <v/>
      </c>
    </row>
    <row r="397">
      <c r="B397" t="str">
        <f>IFERROR(IF(A397="","","="&amp;SUBSTITUTE(SUBSTITUTE(SUBSTITUTE(A397,"~","~~"),"*","~*"),"?","~?")),"")</f>
        <v/>
      </c>
      <c r="C397" t="str">
        <f>IF($B397="","",SUMIFS(dAmt,dCust,$B397,dPer,"&gt;="&amp;pyFrom,dPer,"&lt;="&amp;pyTo,dAmt,"&gt;-1E+300",dFlt1,critFlt1,dFlt2,critFlt2,dFlt3,critFlt3))</f>
        <v/>
      </c>
      <c r="D397" t="str">
        <f>IF($B397="","",SUMIFS(dAmt,dCust,$B397,dPer,"&gt;="&amp;cyFrom,dPer,"&lt;="&amp;cyTo,dAmt,"&gt;-1E+300",dFlt1,critFlt1,dFlt2,critFlt2,dFlt3,critFlt3))</f>
        <v/>
      </c>
      <c r="E397" t="str">
        <f>IF($B397="","",SUMIFS(dQty,dCust,$B397,dPer,"&gt;="&amp;pyFrom,dPer,"&lt;="&amp;pyTo,dQty,"&gt;-1E+300",dFlt1,critFlt1,dFlt2,critFlt2,dFlt3,critFlt3))</f>
        <v/>
      </c>
      <c r="F397" t="str">
        <f>IF($B397="","",SUMIFS(dQty,dCust,$B397,dPer,"&gt;="&amp;cyFrom,dPer,"&lt;="&amp;cyTo,dQty,"&gt;-1E+300",dFlt1,critFlt1,dFlt2,critFlt2,dFlt3,critFlt3))</f>
        <v/>
      </c>
      <c r="G397">
        <f>IF($B397="",0,IFERROR(IF(OR(C397&lt;&gt;0,D397&lt;&gt;0,E397&lt;&gt;0,F397&lt;&gt;0),1,0),1))</f>
        <v>0</v>
      </c>
      <c r="H397" t="str">
        <f>IF(OR(G397=0,E397=0),"",C397/E397)</f>
        <v/>
      </c>
      <c r="I397" t="str">
        <f>IF(OR(G397=0,F397=0),"",D397/F397)</f>
        <v/>
      </c>
      <c r="J397" t="str">
        <f>IF(OR(H397="",I397=""),"",IF(H397=0,"",I397/H397-1))</f>
        <v/>
      </c>
      <c r="K397" t="str">
        <f>IF($B397="","",IFERROR(IF(G397=0,-2E+300,CHOOSE(sortIdx,ROUND(D397,0),IF(J397="",-1E+300,ROUND(-J397,6)),IF(J397="",-1E+300,ROUND(J397,6)))),-1.5E+300))</f>
        <v/>
      </c>
      <c r="L397" t="str">
        <f>IF(K397="","",RANK(K397,$K$2:$K$3001,0)+COUNTIF($K$2:K397,K397)-1)</f>
        <v/>
      </c>
    </row>
    <row r="398">
      <c r="B398" t="str">
        <f>IFERROR(IF(A398="","","="&amp;SUBSTITUTE(SUBSTITUTE(SUBSTITUTE(A398,"~","~~"),"*","~*"),"?","~?")),"")</f>
        <v/>
      </c>
      <c r="C398" t="str">
        <f>IF($B398="","",SUMIFS(dAmt,dCust,$B398,dPer,"&gt;="&amp;pyFrom,dPer,"&lt;="&amp;pyTo,dAmt,"&gt;-1E+300",dFlt1,critFlt1,dFlt2,critFlt2,dFlt3,critFlt3))</f>
        <v/>
      </c>
      <c r="D398" t="str">
        <f>IF($B398="","",SUMIFS(dAmt,dCust,$B398,dPer,"&gt;="&amp;cyFrom,dPer,"&lt;="&amp;cyTo,dAmt,"&gt;-1E+300",dFlt1,critFlt1,dFlt2,critFlt2,dFlt3,critFlt3))</f>
        <v/>
      </c>
      <c r="E398" t="str">
        <f>IF($B398="","",SUMIFS(dQty,dCust,$B398,dPer,"&gt;="&amp;pyFrom,dPer,"&lt;="&amp;pyTo,dQty,"&gt;-1E+300",dFlt1,critFlt1,dFlt2,critFlt2,dFlt3,critFlt3))</f>
        <v/>
      </c>
      <c r="F398" t="str">
        <f>IF($B398="","",SUMIFS(dQty,dCust,$B398,dPer,"&gt;="&amp;cyFrom,dPer,"&lt;="&amp;cyTo,dQty,"&gt;-1E+300",dFlt1,critFlt1,dFlt2,critFlt2,dFlt3,critFlt3))</f>
        <v/>
      </c>
      <c r="G398">
        <f>IF($B398="",0,IFERROR(IF(OR(C398&lt;&gt;0,D398&lt;&gt;0,E398&lt;&gt;0,F398&lt;&gt;0),1,0),1))</f>
        <v>0</v>
      </c>
      <c r="H398" t="str">
        <f>IF(OR(G398=0,E398=0),"",C398/E398)</f>
        <v/>
      </c>
      <c r="I398" t="str">
        <f>IF(OR(G398=0,F398=0),"",D398/F398)</f>
        <v/>
      </c>
      <c r="J398" t="str">
        <f>IF(OR(H398="",I398=""),"",IF(H398=0,"",I398/H398-1))</f>
        <v/>
      </c>
      <c r="K398" t="str">
        <f>IF($B398="","",IFERROR(IF(G398=0,-2E+300,CHOOSE(sortIdx,ROUND(D398,0),IF(J398="",-1E+300,ROUND(-J398,6)),IF(J398="",-1E+300,ROUND(J398,6)))),-1.5E+300))</f>
        <v/>
      </c>
      <c r="L398" t="str">
        <f>IF(K398="","",RANK(K398,$K$2:$K$3001,0)+COUNTIF($K$2:K398,K398)-1)</f>
        <v/>
      </c>
    </row>
    <row r="399">
      <c r="B399" t="str">
        <f>IFERROR(IF(A399="","","="&amp;SUBSTITUTE(SUBSTITUTE(SUBSTITUTE(A399,"~","~~"),"*","~*"),"?","~?")),"")</f>
        <v/>
      </c>
      <c r="C399" t="str">
        <f>IF($B399="","",SUMIFS(dAmt,dCust,$B399,dPer,"&gt;="&amp;pyFrom,dPer,"&lt;="&amp;pyTo,dAmt,"&gt;-1E+300",dFlt1,critFlt1,dFlt2,critFlt2,dFlt3,critFlt3))</f>
        <v/>
      </c>
      <c r="D399" t="str">
        <f>IF($B399="","",SUMIFS(dAmt,dCust,$B399,dPer,"&gt;="&amp;cyFrom,dPer,"&lt;="&amp;cyTo,dAmt,"&gt;-1E+300",dFlt1,critFlt1,dFlt2,critFlt2,dFlt3,critFlt3))</f>
        <v/>
      </c>
      <c r="E399" t="str">
        <f>IF($B399="","",SUMIFS(dQty,dCust,$B399,dPer,"&gt;="&amp;pyFrom,dPer,"&lt;="&amp;pyTo,dQty,"&gt;-1E+300",dFlt1,critFlt1,dFlt2,critFlt2,dFlt3,critFlt3))</f>
        <v/>
      </c>
      <c r="F399" t="str">
        <f>IF($B399="","",SUMIFS(dQty,dCust,$B399,dPer,"&gt;="&amp;cyFrom,dPer,"&lt;="&amp;cyTo,dQty,"&gt;-1E+300",dFlt1,critFlt1,dFlt2,critFlt2,dFlt3,critFlt3))</f>
        <v/>
      </c>
      <c r="G399">
        <f>IF($B399="",0,IFERROR(IF(OR(C399&lt;&gt;0,D399&lt;&gt;0,E399&lt;&gt;0,F399&lt;&gt;0),1,0),1))</f>
        <v>0</v>
      </c>
      <c r="H399" t="str">
        <f>IF(OR(G399=0,E399=0),"",C399/E399)</f>
        <v/>
      </c>
      <c r="I399" t="str">
        <f>IF(OR(G399=0,F399=0),"",D399/F399)</f>
        <v/>
      </c>
      <c r="J399" t="str">
        <f>IF(OR(H399="",I399=""),"",IF(H399=0,"",I399/H399-1))</f>
        <v/>
      </c>
      <c r="K399" t="str">
        <f>IF($B399="","",IFERROR(IF(G399=0,-2E+300,CHOOSE(sortIdx,ROUND(D399,0),IF(J399="",-1E+300,ROUND(-J399,6)),IF(J399="",-1E+300,ROUND(J399,6)))),-1.5E+300))</f>
        <v/>
      </c>
      <c r="L399" t="str">
        <f>IF(K399="","",RANK(K399,$K$2:$K$3001,0)+COUNTIF($K$2:K399,K399)-1)</f>
        <v/>
      </c>
    </row>
    <row r="400">
      <c r="B400" t="str">
        <f>IFERROR(IF(A400="","","="&amp;SUBSTITUTE(SUBSTITUTE(SUBSTITUTE(A400,"~","~~"),"*","~*"),"?","~?")),"")</f>
        <v/>
      </c>
      <c r="C400" t="str">
        <f>IF($B400="","",SUMIFS(dAmt,dCust,$B400,dPer,"&gt;="&amp;pyFrom,dPer,"&lt;="&amp;pyTo,dAmt,"&gt;-1E+300",dFlt1,critFlt1,dFlt2,critFlt2,dFlt3,critFlt3))</f>
        <v/>
      </c>
      <c r="D400" t="str">
        <f>IF($B400="","",SUMIFS(dAmt,dCust,$B400,dPer,"&gt;="&amp;cyFrom,dPer,"&lt;="&amp;cyTo,dAmt,"&gt;-1E+300",dFlt1,critFlt1,dFlt2,critFlt2,dFlt3,critFlt3))</f>
        <v/>
      </c>
      <c r="E400" t="str">
        <f>IF($B400="","",SUMIFS(dQty,dCust,$B400,dPer,"&gt;="&amp;pyFrom,dPer,"&lt;="&amp;pyTo,dQty,"&gt;-1E+300",dFlt1,critFlt1,dFlt2,critFlt2,dFlt3,critFlt3))</f>
        <v/>
      </c>
      <c r="F400" t="str">
        <f>IF($B400="","",SUMIFS(dQty,dCust,$B400,dPer,"&gt;="&amp;cyFrom,dPer,"&lt;="&amp;cyTo,dQty,"&gt;-1E+300",dFlt1,critFlt1,dFlt2,critFlt2,dFlt3,critFlt3))</f>
        <v/>
      </c>
      <c r="G400">
        <f>IF($B400="",0,IFERROR(IF(OR(C400&lt;&gt;0,D400&lt;&gt;0,E400&lt;&gt;0,F400&lt;&gt;0),1,0),1))</f>
        <v>0</v>
      </c>
      <c r="H400" t="str">
        <f>IF(OR(G400=0,E400=0),"",C400/E400)</f>
        <v/>
      </c>
      <c r="I400" t="str">
        <f>IF(OR(G400=0,F400=0),"",D400/F400)</f>
        <v/>
      </c>
      <c r="J400" t="str">
        <f>IF(OR(H400="",I400=""),"",IF(H400=0,"",I400/H400-1))</f>
        <v/>
      </c>
      <c r="K400" t="str">
        <f>IF($B400="","",IFERROR(IF(G400=0,-2E+300,CHOOSE(sortIdx,ROUND(D400,0),IF(J400="",-1E+300,ROUND(-J400,6)),IF(J400="",-1E+300,ROUND(J400,6)))),-1.5E+300))</f>
        <v/>
      </c>
      <c r="L400" t="str">
        <f>IF(K400="","",RANK(K400,$K$2:$K$3001,0)+COUNTIF($K$2:K400,K400)-1)</f>
        <v/>
      </c>
    </row>
    <row r="401">
      <c r="B401" t="str">
        <f>IFERROR(IF(A401="","","="&amp;SUBSTITUTE(SUBSTITUTE(SUBSTITUTE(A401,"~","~~"),"*","~*"),"?","~?")),"")</f>
        <v/>
      </c>
      <c r="C401" t="str">
        <f>IF($B401="","",SUMIFS(dAmt,dCust,$B401,dPer,"&gt;="&amp;pyFrom,dPer,"&lt;="&amp;pyTo,dAmt,"&gt;-1E+300",dFlt1,critFlt1,dFlt2,critFlt2,dFlt3,critFlt3))</f>
        <v/>
      </c>
      <c r="D401" t="str">
        <f>IF($B401="","",SUMIFS(dAmt,dCust,$B401,dPer,"&gt;="&amp;cyFrom,dPer,"&lt;="&amp;cyTo,dAmt,"&gt;-1E+300",dFlt1,critFlt1,dFlt2,critFlt2,dFlt3,critFlt3))</f>
        <v/>
      </c>
      <c r="E401" t="str">
        <f>IF($B401="","",SUMIFS(dQty,dCust,$B401,dPer,"&gt;="&amp;pyFrom,dPer,"&lt;="&amp;pyTo,dQty,"&gt;-1E+300",dFlt1,critFlt1,dFlt2,critFlt2,dFlt3,critFlt3))</f>
        <v/>
      </c>
      <c r="F401" t="str">
        <f>IF($B401="","",SUMIFS(dQty,dCust,$B401,dPer,"&gt;="&amp;cyFrom,dPer,"&lt;="&amp;cyTo,dQty,"&gt;-1E+300",dFlt1,critFlt1,dFlt2,critFlt2,dFlt3,critFlt3))</f>
        <v/>
      </c>
      <c r="G401">
        <f>IF($B401="",0,IFERROR(IF(OR(C401&lt;&gt;0,D401&lt;&gt;0,E401&lt;&gt;0,F401&lt;&gt;0),1,0),1))</f>
        <v>0</v>
      </c>
      <c r="H401" t="str">
        <f>IF(OR(G401=0,E401=0),"",C401/E401)</f>
        <v/>
      </c>
      <c r="I401" t="str">
        <f>IF(OR(G401=0,F401=0),"",D401/F401)</f>
        <v/>
      </c>
      <c r="J401" t="str">
        <f>IF(OR(H401="",I401=""),"",IF(H401=0,"",I401/H401-1))</f>
        <v/>
      </c>
      <c r="K401" t="str">
        <f>IF($B401="","",IFERROR(IF(G401=0,-2E+300,CHOOSE(sortIdx,ROUND(D401,0),IF(J401="",-1E+300,ROUND(-J401,6)),IF(J401="",-1E+300,ROUND(J401,6)))),-1.5E+300))</f>
        <v/>
      </c>
      <c r="L401" t="str">
        <f>IF(K401="","",RANK(K401,$K$2:$K$3001,0)+COUNTIF($K$2:K401,K401)-1)</f>
        <v/>
      </c>
    </row>
    <row r="402">
      <c r="B402" t="str">
        <f>IFERROR(IF(A402="","","="&amp;SUBSTITUTE(SUBSTITUTE(SUBSTITUTE(A402,"~","~~"),"*","~*"),"?","~?")),"")</f>
        <v/>
      </c>
      <c r="C402" t="str">
        <f>IF($B402="","",SUMIFS(dAmt,dCust,$B402,dPer,"&gt;="&amp;pyFrom,dPer,"&lt;="&amp;pyTo,dAmt,"&gt;-1E+300",dFlt1,critFlt1,dFlt2,critFlt2,dFlt3,critFlt3))</f>
        <v/>
      </c>
      <c r="D402" t="str">
        <f>IF($B402="","",SUMIFS(dAmt,dCust,$B402,dPer,"&gt;="&amp;cyFrom,dPer,"&lt;="&amp;cyTo,dAmt,"&gt;-1E+300",dFlt1,critFlt1,dFlt2,critFlt2,dFlt3,critFlt3))</f>
        <v/>
      </c>
      <c r="E402" t="str">
        <f>IF($B402="","",SUMIFS(dQty,dCust,$B402,dPer,"&gt;="&amp;pyFrom,dPer,"&lt;="&amp;pyTo,dQty,"&gt;-1E+300",dFlt1,critFlt1,dFlt2,critFlt2,dFlt3,critFlt3))</f>
        <v/>
      </c>
      <c r="F402" t="str">
        <f>IF($B402="","",SUMIFS(dQty,dCust,$B402,dPer,"&gt;="&amp;cyFrom,dPer,"&lt;="&amp;cyTo,dQty,"&gt;-1E+300",dFlt1,critFlt1,dFlt2,critFlt2,dFlt3,critFlt3))</f>
        <v/>
      </c>
      <c r="G402">
        <f>IF($B402="",0,IFERROR(IF(OR(C402&lt;&gt;0,D402&lt;&gt;0,E402&lt;&gt;0,F402&lt;&gt;0),1,0),1))</f>
        <v>0</v>
      </c>
      <c r="H402" t="str">
        <f>IF(OR(G402=0,E402=0),"",C402/E402)</f>
        <v/>
      </c>
      <c r="I402" t="str">
        <f>IF(OR(G402=0,F402=0),"",D402/F402)</f>
        <v/>
      </c>
      <c r="J402" t="str">
        <f>IF(OR(H402="",I402=""),"",IF(H402=0,"",I402/H402-1))</f>
        <v/>
      </c>
      <c r="K402" t="str">
        <f>IF($B402="","",IFERROR(IF(G402=0,-2E+300,CHOOSE(sortIdx,ROUND(D402,0),IF(J402="",-1E+300,ROUND(-J402,6)),IF(J402="",-1E+300,ROUND(J402,6)))),-1.5E+300))</f>
        <v/>
      </c>
      <c r="L402" t="str">
        <f>IF(K402="","",RANK(K402,$K$2:$K$3001,0)+COUNTIF($K$2:K402,K402)-1)</f>
        <v/>
      </c>
    </row>
    <row r="403">
      <c r="B403" t="str">
        <f>IFERROR(IF(A403="","","="&amp;SUBSTITUTE(SUBSTITUTE(SUBSTITUTE(A403,"~","~~"),"*","~*"),"?","~?")),"")</f>
        <v/>
      </c>
      <c r="C403" t="str">
        <f>IF($B403="","",SUMIFS(dAmt,dCust,$B403,dPer,"&gt;="&amp;pyFrom,dPer,"&lt;="&amp;pyTo,dAmt,"&gt;-1E+300",dFlt1,critFlt1,dFlt2,critFlt2,dFlt3,critFlt3))</f>
        <v/>
      </c>
      <c r="D403" t="str">
        <f>IF($B403="","",SUMIFS(dAmt,dCust,$B403,dPer,"&gt;="&amp;cyFrom,dPer,"&lt;="&amp;cyTo,dAmt,"&gt;-1E+300",dFlt1,critFlt1,dFlt2,critFlt2,dFlt3,critFlt3))</f>
        <v/>
      </c>
      <c r="E403" t="str">
        <f>IF($B403="","",SUMIFS(dQty,dCust,$B403,dPer,"&gt;="&amp;pyFrom,dPer,"&lt;="&amp;pyTo,dQty,"&gt;-1E+300",dFlt1,critFlt1,dFlt2,critFlt2,dFlt3,critFlt3))</f>
        <v/>
      </c>
      <c r="F403" t="str">
        <f>IF($B403="","",SUMIFS(dQty,dCust,$B403,dPer,"&gt;="&amp;cyFrom,dPer,"&lt;="&amp;cyTo,dQty,"&gt;-1E+300",dFlt1,critFlt1,dFlt2,critFlt2,dFlt3,critFlt3))</f>
        <v/>
      </c>
      <c r="G403">
        <f>IF($B403="",0,IFERROR(IF(OR(C403&lt;&gt;0,D403&lt;&gt;0,E403&lt;&gt;0,F403&lt;&gt;0),1,0),1))</f>
        <v>0</v>
      </c>
      <c r="H403" t="str">
        <f>IF(OR(G403=0,E403=0),"",C403/E403)</f>
        <v/>
      </c>
      <c r="I403" t="str">
        <f>IF(OR(G403=0,F403=0),"",D403/F403)</f>
        <v/>
      </c>
      <c r="J403" t="str">
        <f>IF(OR(H403="",I403=""),"",IF(H403=0,"",I403/H403-1))</f>
        <v/>
      </c>
      <c r="K403" t="str">
        <f>IF($B403="","",IFERROR(IF(G403=0,-2E+300,CHOOSE(sortIdx,ROUND(D403,0),IF(J403="",-1E+300,ROUND(-J403,6)),IF(J403="",-1E+300,ROUND(J403,6)))),-1.5E+300))</f>
        <v/>
      </c>
      <c r="L403" t="str">
        <f>IF(K403="","",RANK(K403,$K$2:$K$3001,0)+COUNTIF($K$2:K403,K403)-1)</f>
        <v/>
      </c>
    </row>
    <row r="404">
      <c r="B404" t="str">
        <f>IFERROR(IF(A404="","","="&amp;SUBSTITUTE(SUBSTITUTE(SUBSTITUTE(A404,"~","~~"),"*","~*"),"?","~?")),"")</f>
        <v/>
      </c>
      <c r="C404" t="str">
        <f>IF($B404="","",SUMIFS(dAmt,dCust,$B404,dPer,"&gt;="&amp;pyFrom,dPer,"&lt;="&amp;pyTo,dAmt,"&gt;-1E+300",dFlt1,critFlt1,dFlt2,critFlt2,dFlt3,critFlt3))</f>
        <v/>
      </c>
      <c r="D404" t="str">
        <f>IF($B404="","",SUMIFS(dAmt,dCust,$B404,dPer,"&gt;="&amp;cyFrom,dPer,"&lt;="&amp;cyTo,dAmt,"&gt;-1E+300",dFlt1,critFlt1,dFlt2,critFlt2,dFlt3,critFlt3))</f>
        <v/>
      </c>
      <c r="E404" t="str">
        <f>IF($B404="","",SUMIFS(dQty,dCust,$B404,dPer,"&gt;="&amp;pyFrom,dPer,"&lt;="&amp;pyTo,dQty,"&gt;-1E+300",dFlt1,critFlt1,dFlt2,critFlt2,dFlt3,critFlt3))</f>
        <v/>
      </c>
      <c r="F404" t="str">
        <f>IF($B404="","",SUMIFS(dQty,dCust,$B404,dPer,"&gt;="&amp;cyFrom,dPer,"&lt;="&amp;cyTo,dQty,"&gt;-1E+300",dFlt1,critFlt1,dFlt2,critFlt2,dFlt3,critFlt3))</f>
        <v/>
      </c>
      <c r="G404">
        <f>IF($B404="",0,IFERROR(IF(OR(C404&lt;&gt;0,D404&lt;&gt;0,E404&lt;&gt;0,F404&lt;&gt;0),1,0),1))</f>
        <v>0</v>
      </c>
      <c r="H404" t="str">
        <f>IF(OR(G404=0,E404=0),"",C404/E404)</f>
        <v/>
      </c>
      <c r="I404" t="str">
        <f>IF(OR(G404=0,F404=0),"",D404/F404)</f>
        <v/>
      </c>
      <c r="J404" t="str">
        <f>IF(OR(H404="",I404=""),"",IF(H404=0,"",I404/H404-1))</f>
        <v/>
      </c>
      <c r="K404" t="str">
        <f>IF($B404="","",IFERROR(IF(G404=0,-2E+300,CHOOSE(sortIdx,ROUND(D404,0),IF(J404="",-1E+300,ROUND(-J404,6)),IF(J404="",-1E+300,ROUND(J404,6)))),-1.5E+300))</f>
        <v/>
      </c>
      <c r="L404" t="str">
        <f>IF(K404="","",RANK(K404,$K$2:$K$3001,0)+COUNTIF($K$2:K404,K404)-1)</f>
        <v/>
      </c>
    </row>
    <row r="405">
      <c r="B405" t="str">
        <f>IFERROR(IF(A405="","","="&amp;SUBSTITUTE(SUBSTITUTE(SUBSTITUTE(A405,"~","~~"),"*","~*"),"?","~?")),"")</f>
        <v/>
      </c>
      <c r="C405" t="str">
        <f>IF($B405="","",SUMIFS(dAmt,dCust,$B405,dPer,"&gt;="&amp;pyFrom,dPer,"&lt;="&amp;pyTo,dAmt,"&gt;-1E+300",dFlt1,critFlt1,dFlt2,critFlt2,dFlt3,critFlt3))</f>
        <v/>
      </c>
      <c r="D405" t="str">
        <f>IF($B405="","",SUMIFS(dAmt,dCust,$B405,dPer,"&gt;="&amp;cyFrom,dPer,"&lt;="&amp;cyTo,dAmt,"&gt;-1E+300",dFlt1,critFlt1,dFlt2,critFlt2,dFlt3,critFlt3))</f>
        <v/>
      </c>
      <c r="E405" t="str">
        <f>IF($B405="","",SUMIFS(dQty,dCust,$B405,dPer,"&gt;="&amp;pyFrom,dPer,"&lt;="&amp;pyTo,dQty,"&gt;-1E+300",dFlt1,critFlt1,dFlt2,critFlt2,dFlt3,critFlt3))</f>
        <v/>
      </c>
      <c r="F405" t="str">
        <f>IF($B405="","",SUMIFS(dQty,dCust,$B405,dPer,"&gt;="&amp;cyFrom,dPer,"&lt;="&amp;cyTo,dQty,"&gt;-1E+300",dFlt1,critFlt1,dFlt2,critFlt2,dFlt3,critFlt3))</f>
        <v/>
      </c>
      <c r="G405">
        <f>IF($B405="",0,IFERROR(IF(OR(C405&lt;&gt;0,D405&lt;&gt;0,E405&lt;&gt;0,F405&lt;&gt;0),1,0),1))</f>
        <v>0</v>
      </c>
      <c r="H405" t="str">
        <f>IF(OR(G405=0,E405=0),"",C405/E405)</f>
        <v/>
      </c>
      <c r="I405" t="str">
        <f>IF(OR(G405=0,F405=0),"",D405/F405)</f>
        <v/>
      </c>
      <c r="J405" t="str">
        <f>IF(OR(H405="",I405=""),"",IF(H405=0,"",I405/H405-1))</f>
        <v/>
      </c>
      <c r="K405" t="str">
        <f>IF($B405="","",IFERROR(IF(G405=0,-2E+300,CHOOSE(sortIdx,ROUND(D405,0),IF(J405="",-1E+300,ROUND(-J405,6)),IF(J405="",-1E+300,ROUND(J405,6)))),-1.5E+300))</f>
        <v/>
      </c>
      <c r="L405" t="str">
        <f>IF(K405="","",RANK(K405,$K$2:$K$3001,0)+COUNTIF($K$2:K405,K405)-1)</f>
        <v/>
      </c>
    </row>
    <row r="406">
      <c r="B406" t="str">
        <f>IFERROR(IF(A406="","","="&amp;SUBSTITUTE(SUBSTITUTE(SUBSTITUTE(A406,"~","~~"),"*","~*"),"?","~?")),"")</f>
        <v/>
      </c>
      <c r="C406" t="str">
        <f>IF($B406="","",SUMIFS(dAmt,dCust,$B406,dPer,"&gt;="&amp;pyFrom,dPer,"&lt;="&amp;pyTo,dAmt,"&gt;-1E+300",dFlt1,critFlt1,dFlt2,critFlt2,dFlt3,critFlt3))</f>
        <v/>
      </c>
      <c r="D406" t="str">
        <f>IF($B406="","",SUMIFS(dAmt,dCust,$B406,dPer,"&gt;="&amp;cyFrom,dPer,"&lt;="&amp;cyTo,dAmt,"&gt;-1E+300",dFlt1,critFlt1,dFlt2,critFlt2,dFlt3,critFlt3))</f>
        <v/>
      </c>
      <c r="E406" t="str">
        <f>IF($B406="","",SUMIFS(dQty,dCust,$B406,dPer,"&gt;="&amp;pyFrom,dPer,"&lt;="&amp;pyTo,dQty,"&gt;-1E+300",dFlt1,critFlt1,dFlt2,critFlt2,dFlt3,critFlt3))</f>
        <v/>
      </c>
      <c r="F406" t="str">
        <f>IF($B406="","",SUMIFS(dQty,dCust,$B406,dPer,"&gt;="&amp;cyFrom,dPer,"&lt;="&amp;cyTo,dQty,"&gt;-1E+300",dFlt1,critFlt1,dFlt2,critFlt2,dFlt3,critFlt3))</f>
        <v/>
      </c>
      <c r="G406">
        <f>IF($B406="",0,IFERROR(IF(OR(C406&lt;&gt;0,D406&lt;&gt;0,E406&lt;&gt;0,F406&lt;&gt;0),1,0),1))</f>
        <v>0</v>
      </c>
      <c r="H406" t="str">
        <f>IF(OR(G406=0,E406=0),"",C406/E406)</f>
        <v/>
      </c>
      <c r="I406" t="str">
        <f>IF(OR(G406=0,F406=0),"",D406/F406)</f>
        <v/>
      </c>
      <c r="J406" t="str">
        <f>IF(OR(H406="",I406=""),"",IF(H406=0,"",I406/H406-1))</f>
        <v/>
      </c>
      <c r="K406" t="str">
        <f>IF($B406="","",IFERROR(IF(G406=0,-2E+300,CHOOSE(sortIdx,ROUND(D406,0),IF(J406="",-1E+300,ROUND(-J406,6)),IF(J406="",-1E+300,ROUND(J406,6)))),-1.5E+300))</f>
        <v/>
      </c>
      <c r="L406" t="str">
        <f>IF(K406="","",RANK(K406,$K$2:$K$3001,0)+COUNTIF($K$2:K406,K406)-1)</f>
        <v/>
      </c>
    </row>
    <row r="407">
      <c r="B407" t="str">
        <f>IFERROR(IF(A407="","","="&amp;SUBSTITUTE(SUBSTITUTE(SUBSTITUTE(A407,"~","~~"),"*","~*"),"?","~?")),"")</f>
        <v/>
      </c>
      <c r="C407" t="str">
        <f>IF($B407="","",SUMIFS(dAmt,dCust,$B407,dPer,"&gt;="&amp;pyFrom,dPer,"&lt;="&amp;pyTo,dAmt,"&gt;-1E+300",dFlt1,critFlt1,dFlt2,critFlt2,dFlt3,critFlt3))</f>
        <v/>
      </c>
      <c r="D407" t="str">
        <f>IF($B407="","",SUMIFS(dAmt,dCust,$B407,dPer,"&gt;="&amp;cyFrom,dPer,"&lt;="&amp;cyTo,dAmt,"&gt;-1E+300",dFlt1,critFlt1,dFlt2,critFlt2,dFlt3,critFlt3))</f>
        <v/>
      </c>
      <c r="E407" t="str">
        <f>IF($B407="","",SUMIFS(dQty,dCust,$B407,dPer,"&gt;="&amp;pyFrom,dPer,"&lt;="&amp;pyTo,dQty,"&gt;-1E+300",dFlt1,critFlt1,dFlt2,critFlt2,dFlt3,critFlt3))</f>
        <v/>
      </c>
      <c r="F407" t="str">
        <f>IF($B407="","",SUMIFS(dQty,dCust,$B407,dPer,"&gt;="&amp;cyFrom,dPer,"&lt;="&amp;cyTo,dQty,"&gt;-1E+300",dFlt1,critFlt1,dFlt2,critFlt2,dFlt3,critFlt3))</f>
        <v/>
      </c>
      <c r="G407">
        <f>IF($B407="",0,IFERROR(IF(OR(C407&lt;&gt;0,D407&lt;&gt;0,E407&lt;&gt;0,F407&lt;&gt;0),1,0),1))</f>
        <v>0</v>
      </c>
      <c r="H407" t="str">
        <f>IF(OR(G407=0,E407=0),"",C407/E407)</f>
        <v/>
      </c>
      <c r="I407" t="str">
        <f>IF(OR(G407=0,F407=0),"",D407/F407)</f>
        <v/>
      </c>
      <c r="J407" t="str">
        <f>IF(OR(H407="",I407=""),"",IF(H407=0,"",I407/H407-1))</f>
        <v/>
      </c>
      <c r="K407" t="str">
        <f>IF($B407="","",IFERROR(IF(G407=0,-2E+300,CHOOSE(sortIdx,ROUND(D407,0),IF(J407="",-1E+300,ROUND(-J407,6)),IF(J407="",-1E+300,ROUND(J407,6)))),-1.5E+300))</f>
        <v/>
      </c>
      <c r="L407" t="str">
        <f>IF(K407="","",RANK(K407,$K$2:$K$3001,0)+COUNTIF($K$2:K407,K407)-1)</f>
        <v/>
      </c>
    </row>
    <row r="408">
      <c r="B408" t="str">
        <f>IFERROR(IF(A408="","","="&amp;SUBSTITUTE(SUBSTITUTE(SUBSTITUTE(A408,"~","~~"),"*","~*"),"?","~?")),"")</f>
        <v/>
      </c>
      <c r="C408" t="str">
        <f>IF($B408="","",SUMIFS(dAmt,dCust,$B408,dPer,"&gt;="&amp;pyFrom,dPer,"&lt;="&amp;pyTo,dAmt,"&gt;-1E+300",dFlt1,critFlt1,dFlt2,critFlt2,dFlt3,critFlt3))</f>
        <v/>
      </c>
      <c r="D408" t="str">
        <f>IF($B408="","",SUMIFS(dAmt,dCust,$B408,dPer,"&gt;="&amp;cyFrom,dPer,"&lt;="&amp;cyTo,dAmt,"&gt;-1E+300",dFlt1,critFlt1,dFlt2,critFlt2,dFlt3,critFlt3))</f>
        <v/>
      </c>
      <c r="E408" t="str">
        <f>IF($B408="","",SUMIFS(dQty,dCust,$B408,dPer,"&gt;="&amp;pyFrom,dPer,"&lt;="&amp;pyTo,dQty,"&gt;-1E+300",dFlt1,critFlt1,dFlt2,critFlt2,dFlt3,critFlt3))</f>
        <v/>
      </c>
      <c r="F408" t="str">
        <f>IF($B408="","",SUMIFS(dQty,dCust,$B408,dPer,"&gt;="&amp;cyFrom,dPer,"&lt;="&amp;cyTo,dQty,"&gt;-1E+300",dFlt1,critFlt1,dFlt2,critFlt2,dFlt3,critFlt3))</f>
        <v/>
      </c>
      <c r="G408">
        <f>IF($B408="",0,IFERROR(IF(OR(C408&lt;&gt;0,D408&lt;&gt;0,E408&lt;&gt;0,F408&lt;&gt;0),1,0),1))</f>
        <v>0</v>
      </c>
      <c r="H408" t="str">
        <f>IF(OR(G408=0,E408=0),"",C408/E408)</f>
        <v/>
      </c>
      <c r="I408" t="str">
        <f>IF(OR(G408=0,F408=0),"",D408/F408)</f>
        <v/>
      </c>
      <c r="J408" t="str">
        <f>IF(OR(H408="",I408=""),"",IF(H408=0,"",I408/H408-1))</f>
        <v/>
      </c>
      <c r="K408" t="str">
        <f>IF($B408="","",IFERROR(IF(G408=0,-2E+300,CHOOSE(sortIdx,ROUND(D408,0),IF(J408="",-1E+300,ROUND(-J408,6)),IF(J408="",-1E+300,ROUND(J408,6)))),-1.5E+300))</f>
        <v/>
      </c>
      <c r="L408" t="str">
        <f>IF(K408="","",RANK(K408,$K$2:$K$3001,0)+COUNTIF($K$2:K408,K408)-1)</f>
        <v/>
      </c>
    </row>
    <row r="409">
      <c r="B409" t="str">
        <f>IFERROR(IF(A409="","","="&amp;SUBSTITUTE(SUBSTITUTE(SUBSTITUTE(A409,"~","~~"),"*","~*"),"?","~?")),"")</f>
        <v/>
      </c>
      <c r="C409" t="str">
        <f>IF($B409="","",SUMIFS(dAmt,dCust,$B409,dPer,"&gt;="&amp;pyFrom,dPer,"&lt;="&amp;pyTo,dAmt,"&gt;-1E+300",dFlt1,critFlt1,dFlt2,critFlt2,dFlt3,critFlt3))</f>
        <v/>
      </c>
      <c r="D409" t="str">
        <f>IF($B409="","",SUMIFS(dAmt,dCust,$B409,dPer,"&gt;="&amp;cyFrom,dPer,"&lt;="&amp;cyTo,dAmt,"&gt;-1E+300",dFlt1,critFlt1,dFlt2,critFlt2,dFlt3,critFlt3))</f>
        <v/>
      </c>
      <c r="E409" t="str">
        <f>IF($B409="","",SUMIFS(dQty,dCust,$B409,dPer,"&gt;="&amp;pyFrom,dPer,"&lt;="&amp;pyTo,dQty,"&gt;-1E+300",dFlt1,critFlt1,dFlt2,critFlt2,dFlt3,critFlt3))</f>
        <v/>
      </c>
      <c r="F409" t="str">
        <f>IF($B409="","",SUMIFS(dQty,dCust,$B409,dPer,"&gt;="&amp;cyFrom,dPer,"&lt;="&amp;cyTo,dQty,"&gt;-1E+300",dFlt1,critFlt1,dFlt2,critFlt2,dFlt3,critFlt3))</f>
        <v/>
      </c>
      <c r="G409">
        <f>IF($B409="",0,IFERROR(IF(OR(C409&lt;&gt;0,D409&lt;&gt;0,E409&lt;&gt;0,F409&lt;&gt;0),1,0),1))</f>
        <v>0</v>
      </c>
      <c r="H409" t="str">
        <f>IF(OR(G409=0,E409=0),"",C409/E409)</f>
        <v/>
      </c>
      <c r="I409" t="str">
        <f>IF(OR(G409=0,F409=0),"",D409/F409)</f>
        <v/>
      </c>
      <c r="J409" t="str">
        <f>IF(OR(H409="",I409=""),"",IF(H409=0,"",I409/H409-1))</f>
        <v/>
      </c>
      <c r="K409" t="str">
        <f>IF($B409="","",IFERROR(IF(G409=0,-2E+300,CHOOSE(sortIdx,ROUND(D409,0),IF(J409="",-1E+300,ROUND(-J409,6)),IF(J409="",-1E+300,ROUND(J409,6)))),-1.5E+300))</f>
        <v/>
      </c>
      <c r="L409" t="str">
        <f>IF(K409="","",RANK(K409,$K$2:$K$3001,0)+COUNTIF($K$2:K409,K409)-1)</f>
        <v/>
      </c>
    </row>
    <row r="410">
      <c r="B410" t="str">
        <f>IFERROR(IF(A410="","","="&amp;SUBSTITUTE(SUBSTITUTE(SUBSTITUTE(A410,"~","~~"),"*","~*"),"?","~?")),"")</f>
        <v/>
      </c>
      <c r="C410" t="str">
        <f>IF($B410="","",SUMIFS(dAmt,dCust,$B410,dPer,"&gt;="&amp;pyFrom,dPer,"&lt;="&amp;pyTo,dAmt,"&gt;-1E+300",dFlt1,critFlt1,dFlt2,critFlt2,dFlt3,critFlt3))</f>
        <v/>
      </c>
      <c r="D410" t="str">
        <f>IF($B410="","",SUMIFS(dAmt,dCust,$B410,dPer,"&gt;="&amp;cyFrom,dPer,"&lt;="&amp;cyTo,dAmt,"&gt;-1E+300",dFlt1,critFlt1,dFlt2,critFlt2,dFlt3,critFlt3))</f>
        <v/>
      </c>
      <c r="E410" t="str">
        <f>IF($B410="","",SUMIFS(dQty,dCust,$B410,dPer,"&gt;="&amp;pyFrom,dPer,"&lt;="&amp;pyTo,dQty,"&gt;-1E+300",dFlt1,critFlt1,dFlt2,critFlt2,dFlt3,critFlt3))</f>
        <v/>
      </c>
      <c r="F410" t="str">
        <f>IF($B410="","",SUMIFS(dQty,dCust,$B410,dPer,"&gt;="&amp;cyFrom,dPer,"&lt;="&amp;cyTo,dQty,"&gt;-1E+300",dFlt1,critFlt1,dFlt2,critFlt2,dFlt3,critFlt3))</f>
        <v/>
      </c>
      <c r="G410">
        <f>IF($B410="",0,IFERROR(IF(OR(C410&lt;&gt;0,D410&lt;&gt;0,E410&lt;&gt;0,F410&lt;&gt;0),1,0),1))</f>
        <v>0</v>
      </c>
      <c r="H410" t="str">
        <f>IF(OR(G410=0,E410=0),"",C410/E410)</f>
        <v/>
      </c>
      <c r="I410" t="str">
        <f>IF(OR(G410=0,F410=0),"",D410/F410)</f>
        <v/>
      </c>
      <c r="J410" t="str">
        <f>IF(OR(H410="",I410=""),"",IF(H410=0,"",I410/H410-1))</f>
        <v/>
      </c>
      <c r="K410" t="str">
        <f>IF($B410="","",IFERROR(IF(G410=0,-2E+300,CHOOSE(sortIdx,ROUND(D410,0),IF(J410="",-1E+300,ROUND(-J410,6)),IF(J410="",-1E+300,ROUND(J410,6)))),-1.5E+300))</f>
        <v/>
      </c>
      <c r="L410" t="str">
        <f>IF(K410="","",RANK(K410,$K$2:$K$3001,0)+COUNTIF($K$2:K410,K410)-1)</f>
        <v/>
      </c>
    </row>
    <row r="411">
      <c r="B411" t="str">
        <f>IFERROR(IF(A411="","","="&amp;SUBSTITUTE(SUBSTITUTE(SUBSTITUTE(A411,"~","~~"),"*","~*"),"?","~?")),"")</f>
        <v/>
      </c>
      <c r="C411" t="str">
        <f>IF($B411="","",SUMIFS(dAmt,dCust,$B411,dPer,"&gt;="&amp;pyFrom,dPer,"&lt;="&amp;pyTo,dAmt,"&gt;-1E+300",dFlt1,critFlt1,dFlt2,critFlt2,dFlt3,critFlt3))</f>
        <v/>
      </c>
      <c r="D411" t="str">
        <f>IF($B411="","",SUMIFS(dAmt,dCust,$B411,dPer,"&gt;="&amp;cyFrom,dPer,"&lt;="&amp;cyTo,dAmt,"&gt;-1E+300",dFlt1,critFlt1,dFlt2,critFlt2,dFlt3,critFlt3))</f>
        <v/>
      </c>
      <c r="E411" t="str">
        <f>IF($B411="","",SUMIFS(dQty,dCust,$B411,dPer,"&gt;="&amp;pyFrom,dPer,"&lt;="&amp;pyTo,dQty,"&gt;-1E+300",dFlt1,critFlt1,dFlt2,critFlt2,dFlt3,critFlt3))</f>
        <v/>
      </c>
      <c r="F411" t="str">
        <f>IF($B411="","",SUMIFS(dQty,dCust,$B411,dPer,"&gt;="&amp;cyFrom,dPer,"&lt;="&amp;cyTo,dQty,"&gt;-1E+300",dFlt1,critFlt1,dFlt2,critFlt2,dFlt3,critFlt3))</f>
        <v/>
      </c>
      <c r="G411">
        <f>IF($B411="",0,IFERROR(IF(OR(C411&lt;&gt;0,D411&lt;&gt;0,E411&lt;&gt;0,F411&lt;&gt;0),1,0),1))</f>
        <v>0</v>
      </c>
      <c r="H411" t="str">
        <f>IF(OR(G411=0,E411=0),"",C411/E411)</f>
        <v/>
      </c>
      <c r="I411" t="str">
        <f>IF(OR(G411=0,F411=0),"",D411/F411)</f>
        <v/>
      </c>
      <c r="J411" t="str">
        <f>IF(OR(H411="",I411=""),"",IF(H411=0,"",I411/H411-1))</f>
        <v/>
      </c>
      <c r="K411" t="str">
        <f>IF($B411="","",IFERROR(IF(G411=0,-2E+300,CHOOSE(sortIdx,ROUND(D411,0),IF(J411="",-1E+300,ROUND(-J411,6)),IF(J411="",-1E+300,ROUND(J411,6)))),-1.5E+300))</f>
        <v/>
      </c>
      <c r="L411" t="str">
        <f>IF(K411="","",RANK(K411,$K$2:$K$3001,0)+COUNTIF($K$2:K411,K411)-1)</f>
        <v/>
      </c>
    </row>
    <row r="412">
      <c r="B412" t="str">
        <f>IFERROR(IF(A412="","","="&amp;SUBSTITUTE(SUBSTITUTE(SUBSTITUTE(A412,"~","~~"),"*","~*"),"?","~?")),"")</f>
        <v/>
      </c>
      <c r="C412" t="str">
        <f>IF($B412="","",SUMIFS(dAmt,dCust,$B412,dPer,"&gt;="&amp;pyFrom,dPer,"&lt;="&amp;pyTo,dAmt,"&gt;-1E+300",dFlt1,critFlt1,dFlt2,critFlt2,dFlt3,critFlt3))</f>
        <v/>
      </c>
      <c r="D412" t="str">
        <f>IF($B412="","",SUMIFS(dAmt,dCust,$B412,dPer,"&gt;="&amp;cyFrom,dPer,"&lt;="&amp;cyTo,dAmt,"&gt;-1E+300",dFlt1,critFlt1,dFlt2,critFlt2,dFlt3,critFlt3))</f>
        <v/>
      </c>
      <c r="E412" t="str">
        <f>IF($B412="","",SUMIFS(dQty,dCust,$B412,dPer,"&gt;="&amp;pyFrom,dPer,"&lt;="&amp;pyTo,dQty,"&gt;-1E+300",dFlt1,critFlt1,dFlt2,critFlt2,dFlt3,critFlt3))</f>
        <v/>
      </c>
      <c r="F412" t="str">
        <f>IF($B412="","",SUMIFS(dQty,dCust,$B412,dPer,"&gt;="&amp;cyFrom,dPer,"&lt;="&amp;cyTo,dQty,"&gt;-1E+300",dFlt1,critFlt1,dFlt2,critFlt2,dFlt3,critFlt3))</f>
        <v/>
      </c>
      <c r="G412">
        <f>IF($B412="",0,IFERROR(IF(OR(C412&lt;&gt;0,D412&lt;&gt;0,E412&lt;&gt;0,F412&lt;&gt;0),1,0),1))</f>
        <v>0</v>
      </c>
      <c r="H412" t="str">
        <f>IF(OR(G412=0,E412=0),"",C412/E412)</f>
        <v/>
      </c>
      <c r="I412" t="str">
        <f>IF(OR(G412=0,F412=0),"",D412/F412)</f>
        <v/>
      </c>
      <c r="J412" t="str">
        <f>IF(OR(H412="",I412=""),"",IF(H412=0,"",I412/H412-1))</f>
        <v/>
      </c>
      <c r="K412" t="str">
        <f>IF($B412="","",IFERROR(IF(G412=0,-2E+300,CHOOSE(sortIdx,ROUND(D412,0),IF(J412="",-1E+300,ROUND(-J412,6)),IF(J412="",-1E+300,ROUND(J412,6)))),-1.5E+300))</f>
        <v/>
      </c>
      <c r="L412" t="str">
        <f>IF(K412="","",RANK(K412,$K$2:$K$3001,0)+COUNTIF($K$2:K412,K412)-1)</f>
        <v/>
      </c>
    </row>
    <row r="413">
      <c r="B413" t="str">
        <f>IFERROR(IF(A413="","","="&amp;SUBSTITUTE(SUBSTITUTE(SUBSTITUTE(A413,"~","~~"),"*","~*"),"?","~?")),"")</f>
        <v/>
      </c>
      <c r="C413" t="str">
        <f>IF($B413="","",SUMIFS(dAmt,dCust,$B413,dPer,"&gt;="&amp;pyFrom,dPer,"&lt;="&amp;pyTo,dAmt,"&gt;-1E+300",dFlt1,critFlt1,dFlt2,critFlt2,dFlt3,critFlt3))</f>
        <v/>
      </c>
      <c r="D413" t="str">
        <f>IF($B413="","",SUMIFS(dAmt,dCust,$B413,dPer,"&gt;="&amp;cyFrom,dPer,"&lt;="&amp;cyTo,dAmt,"&gt;-1E+300",dFlt1,critFlt1,dFlt2,critFlt2,dFlt3,critFlt3))</f>
        <v/>
      </c>
      <c r="E413" t="str">
        <f>IF($B413="","",SUMIFS(dQty,dCust,$B413,dPer,"&gt;="&amp;pyFrom,dPer,"&lt;="&amp;pyTo,dQty,"&gt;-1E+300",dFlt1,critFlt1,dFlt2,critFlt2,dFlt3,critFlt3))</f>
        <v/>
      </c>
      <c r="F413" t="str">
        <f>IF($B413="","",SUMIFS(dQty,dCust,$B413,dPer,"&gt;="&amp;cyFrom,dPer,"&lt;="&amp;cyTo,dQty,"&gt;-1E+300",dFlt1,critFlt1,dFlt2,critFlt2,dFlt3,critFlt3))</f>
        <v/>
      </c>
      <c r="G413">
        <f>IF($B413="",0,IFERROR(IF(OR(C413&lt;&gt;0,D413&lt;&gt;0,E413&lt;&gt;0,F413&lt;&gt;0),1,0),1))</f>
        <v>0</v>
      </c>
      <c r="H413" t="str">
        <f>IF(OR(G413=0,E413=0),"",C413/E413)</f>
        <v/>
      </c>
      <c r="I413" t="str">
        <f>IF(OR(G413=0,F413=0),"",D413/F413)</f>
        <v/>
      </c>
      <c r="J413" t="str">
        <f>IF(OR(H413="",I413=""),"",IF(H413=0,"",I413/H413-1))</f>
        <v/>
      </c>
      <c r="K413" t="str">
        <f>IF($B413="","",IFERROR(IF(G413=0,-2E+300,CHOOSE(sortIdx,ROUND(D413,0),IF(J413="",-1E+300,ROUND(-J413,6)),IF(J413="",-1E+300,ROUND(J413,6)))),-1.5E+300))</f>
        <v/>
      </c>
      <c r="L413" t="str">
        <f>IF(K413="","",RANK(K413,$K$2:$K$3001,0)+COUNTIF($K$2:K413,K413)-1)</f>
        <v/>
      </c>
    </row>
    <row r="414">
      <c r="B414" t="str">
        <f>IFERROR(IF(A414="","","="&amp;SUBSTITUTE(SUBSTITUTE(SUBSTITUTE(A414,"~","~~"),"*","~*"),"?","~?")),"")</f>
        <v/>
      </c>
      <c r="C414" t="str">
        <f>IF($B414="","",SUMIFS(dAmt,dCust,$B414,dPer,"&gt;="&amp;pyFrom,dPer,"&lt;="&amp;pyTo,dAmt,"&gt;-1E+300",dFlt1,critFlt1,dFlt2,critFlt2,dFlt3,critFlt3))</f>
        <v/>
      </c>
      <c r="D414" t="str">
        <f>IF($B414="","",SUMIFS(dAmt,dCust,$B414,dPer,"&gt;="&amp;cyFrom,dPer,"&lt;="&amp;cyTo,dAmt,"&gt;-1E+300",dFlt1,critFlt1,dFlt2,critFlt2,dFlt3,critFlt3))</f>
        <v/>
      </c>
      <c r="E414" t="str">
        <f>IF($B414="","",SUMIFS(dQty,dCust,$B414,dPer,"&gt;="&amp;pyFrom,dPer,"&lt;="&amp;pyTo,dQty,"&gt;-1E+300",dFlt1,critFlt1,dFlt2,critFlt2,dFlt3,critFlt3))</f>
        <v/>
      </c>
      <c r="F414" t="str">
        <f>IF($B414="","",SUMIFS(dQty,dCust,$B414,dPer,"&gt;="&amp;cyFrom,dPer,"&lt;="&amp;cyTo,dQty,"&gt;-1E+300",dFlt1,critFlt1,dFlt2,critFlt2,dFlt3,critFlt3))</f>
        <v/>
      </c>
      <c r="G414">
        <f>IF($B414="",0,IFERROR(IF(OR(C414&lt;&gt;0,D414&lt;&gt;0,E414&lt;&gt;0,F414&lt;&gt;0),1,0),1))</f>
        <v>0</v>
      </c>
      <c r="H414" t="str">
        <f>IF(OR(G414=0,E414=0),"",C414/E414)</f>
        <v/>
      </c>
      <c r="I414" t="str">
        <f>IF(OR(G414=0,F414=0),"",D414/F414)</f>
        <v/>
      </c>
      <c r="J414" t="str">
        <f>IF(OR(H414="",I414=""),"",IF(H414=0,"",I414/H414-1))</f>
        <v/>
      </c>
      <c r="K414" t="str">
        <f>IF($B414="","",IFERROR(IF(G414=0,-2E+300,CHOOSE(sortIdx,ROUND(D414,0),IF(J414="",-1E+300,ROUND(-J414,6)),IF(J414="",-1E+300,ROUND(J414,6)))),-1.5E+300))</f>
        <v/>
      </c>
      <c r="L414" t="str">
        <f>IF(K414="","",RANK(K414,$K$2:$K$3001,0)+COUNTIF($K$2:K414,K414)-1)</f>
        <v/>
      </c>
    </row>
    <row r="415">
      <c r="B415" t="str">
        <f>IFERROR(IF(A415="","","="&amp;SUBSTITUTE(SUBSTITUTE(SUBSTITUTE(A415,"~","~~"),"*","~*"),"?","~?")),"")</f>
        <v/>
      </c>
      <c r="C415" t="str">
        <f>IF($B415="","",SUMIFS(dAmt,dCust,$B415,dPer,"&gt;="&amp;pyFrom,dPer,"&lt;="&amp;pyTo,dAmt,"&gt;-1E+300",dFlt1,critFlt1,dFlt2,critFlt2,dFlt3,critFlt3))</f>
        <v/>
      </c>
      <c r="D415" t="str">
        <f>IF($B415="","",SUMIFS(dAmt,dCust,$B415,dPer,"&gt;="&amp;cyFrom,dPer,"&lt;="&amp;cyTo,dAmt,"&gt;-1E+300",dFlt1,critFlt1,dFlt2,critFlt2,dFlt3,critFlt3))</f>
        <v/>
      </c>
      <c r="E415" t="str">
        <f>IF($B415="","",SUMIFS(dQty,dCust,$B415,dPer,"&gt;="&amp;pyFrom,dPer,"&lt;="&amp;pyTo,dQty,"&gt;-1E+300",dFlt1,critFlt1,dFlt2,critFlt2,dFlt3,critFlt3))</f>
        <v/>
      </c>
      <c r="F415" t="str">
        <f>IF($B415="","",SUMIFS(dQty,dCust,$B415,dPer,"&gt;="&amp;cyFrom,dPer,"&lt;="&amp;cyTo,dQty,"&gt;-1E+300",dFlt1,critFlt1,dFlt2,critFlt2,dFlt3,critFlt3))</f>
        <v/>
      </c>
      <c r="G415">
        <f>IF($B415="",0,IFERROR(IF(OR(C415&lt;&gt;0,D415&lt;&gt;0,E415&lt;&gt;0,F415&lt;&gt;0),1,0),1))</f>
        <v>0</v>
      </c>
      <c r="H415" t="str">
        <f>IF(OR(G415=0,E415=0),"",C415/E415)</f>
        <v/>
      </c>
      <c r="I415" t="str">
        <f>IF(OR(G415=0,F415=0),"",D415/F415)</f>
        <v/>
      </c>
      <c r="J415" t="str">
        <f>IF(OR(H415="",I415=""),"",IF(H415=0,"",I415/H415-1))</f>
        <v/>
      </c>
      <c r="K415" t="str">
        <f>IF($B415="","",IFERROR(IF(G415=0,-2E+300,CHOOSE(sortIdx,ROUND(D415,0),IF(J415="",-1E+300,ROUND(-J415,6)),IF(J415="",-1E+300,ROUND(J415,6)))),-1.5E+300))</f>
        <v/>
      </c>
      <c r="L415" t="str">
        <f>IF(K415="","",RANK(K415,$K$2:$K$3001,0)+COUNTIF($K$2:K415,K415)-1)</f>
        <v/>
      </c>
    </row>
    <row r="416">
      <c r="B416" t="str">
        <f>IFERROR(IF(A416="","","="&amp;SUBSTITUTE(SUBSTITUTE(SUBSTITUTE(A416,"~","~~"),"*","~*"),"?","~?")),"")</f>
        <v/>
      </c>
      <c r="C416" t="str">
        <f>IF($B416="","",SUMIFS(dAmt,dCust,$B416,dPer,"&gt;="&amp;pyFrom,dPer,"&lt;="&amp;pyTo,dAmt,"&gt;-1E+300",dFlt1,critFlt1,dFlt2,critFlt2,dFlt3,critFlt3))</f>
        <v/>
      </c>
      <c r="D416" t="str">
        <f>IF($B416="","",SUMIFS(dAmt,dCust,$B416,dPer,"&gt;="&amp;cyFrom,dPer,"&lt;="&amp;cyTo,dAmt,"&gt;-1E+300",dFlt1,critFlt1,dFlt2,critFlt2,dFlt3,critFlt3))</f>
        <v/>
      </c>
      <c r="E416" t="str">
        <f>IF($B416="","",SUMIFS(dQty,dCust,$B416,dPer,"&gt;="&amp;pyFrom,dPer,"&lt;="&amp;pyTo,dQty,"&gt;-1E+300",dFlt1,critFlt1,dFlt2,critFlt2,dFlt3,critFlt3))</f>
        <v/>
      </c>
      <c r="F416" t="str">
        <f>IF($B416="","",SUMIFS(dQty,dCust,$B416,dPer,"&gt;="&amp;cyFrom,dPer,"&lt;="&amp;cyTo,dQty,"&gt;-1E+300",dFlt1,critFlt1,dFlt2,critFlt2,dFlt3,critFlt3))</f>
        <v/>
      </c>
      <c r="G416">
        <f>IF($B416="",0,IFERROR(IF(OR(C416&lt;&gt;0,D416&lt;&gt;0,E416&lt;&gt;0,F416&lt;&gt;0),1,0),1))</f>
        <v>0</v>
      </c>
      <c r="H416" t="str">
        <f>IF(OR(G416=0,E416=0),"",C416/E416)</f>
        <v/>
      </c>
      <c r="I416" t="str">
        <f>IF(OR(G416=0,F416=0),"",D416/F416)</f>
        <v/>
      </c>
      <c r="J416" t="str">
        <f>IF(OR(H416="",I416=""),"",IF(H416=0,"",I416/H416-1))</f>
        <v/>
      </c>
      <c r="K416" t="str">
        <f>IF($B416="","",IFERROR(IF(G416=0,-2E+300,CHOOSE(sortIdx,ROUND(D416,0),IF(J416="",-1E+300,ROUND(-J416,6)),IF(J416="",-1E+300,ROUND(J416,6)))),-1.5E+300))</f>
        <v/>
      </c>
      <c r="L416" t="str">
        <f>IF(K416="","",RANK(K416,$K$2:$K$3001,0)+COUNTIF($K$2:K416,K416)-1)</f>
        <v/>
      </c>
    </row>
    <row r="417">
      <c r="B417" t="str">
        <f>IFERROR(IF(A417="","","="&amp;SUBSTITUTE(SUBSTITUTE(SUBSTITUTE(A417,"~","~~"),"*","~*"),"?","~?")),"")</f>
        <v/>
      </c>
      <c r="C417" t="str">
        <f>IF($B417="","",SUMIFS(dAmt,dCust,$B417,dPer,"&gt;="&amp;pyFrom,dPer,"&lt;="&amp;pyTo,dAmt,"&gt;-1E+300",dFlt1,critFlt1,dFlt2,critFlt2,dFlt3,critFlt3))</f>
        <v/>
      </c>
      <c r="D417" t="str">
        <f>IF($B417="","",SUMIFS(dAmt,dCust,$B417,dPer,"&gt;="&amp;cyFrom,dPer,"&lt;="&amp;cyTo,dAmt,"&gt;-1E+300",dFlt1,critFlt1,dFlt2,critFlt2,dFlt3,critFlt3))</f>
        <v/>
      </c>
      <c r="E417" t="str">
        <f>IF($B417="","",SUMIFS(dQty,dCust,$B417,dPer,"&gt;="&amp;pyFrom,dPer,"&lt;="&amp;pyTo,dQty,"&gt;-1E+300",dFlt1,critFlt1,dFlt2,critFlt2,dFlt3,critFlt3))</f>
        <v/>
      </c>
      <c r="F417" t="str">
        <f>IF($B417="","",SUMIFS(dQty,dCust,$B417,dPer,"&gt;="&amp;cyFrom,dPer,"&lt;="&amp;cyTo,dQty,"&gt;-1E+300",dFlt1,critFlt1,dFlt2,critFlt2,dFlt3,critFlt3))</f>
        <v/>
      </c>
      <c r="G417">
        <f>IF($B417="",0,IFERROR(IF(OR(C417&lt;&gt;0,D417&lt;&gt;0,E417&lt;&gt;0,F417&lt;&gt;0),1,0),1))</f>
        <v>0</v>
      </c>
      <c r="H417" t="str">
        <f>IF(OR(G417=0,E417=0),"",C417/E417)</f>
        <v/>
      </c>
      <c r="I417" t="str">
        <f>IF(OR(G417=0,F417=0),"",D417/F417)</f>
        <v/>
      </c>
      <c r="J417" t="str">
        <f>IF(OR(H417="",I417=""),"",IF(H417=0,"",I417/H417-1))</f>
        <v/>
      </c>
      <c r="K417" t="str">
        <f>IF($B417="","",IFERROR(IF(G417=0,-2E+300,CHOOSE(sortIdx,ROUND(D417,0),IF(J417="",-1E+300,ROUND(-J417,6)),IF(J417="",-1E+300,ROUND(J417,6)))),-1.5E+300))</f>
        <v/>
      </c>
      <c r="L417" t="str">
        <f>IF(K417="","",RANK(K417,$K$2:$K$3001,0)+COUNTIF($K$2:K417,K417)-1)</f>
        <v/>
      </c>
    </row>
    <row r="418">
      <c r="B418" t="str">
        <f>IFERROR(IF(A418="","","="&amp;SUBSTITUTE(SUBSTITUTE(SUBSTITUTE(A418,"~","~~"),"*","~*"),"?","~?")),"")</f>
        <v/>
      </c>
      <c r="C418" t="str">
        <f>IF($B418="","",SUMIFS(dAmt,dCust,$B418,dPer,"&gt;="&amp;pyFrom,dPer,"&lt;="&amp;pyTo,dAmt,"&gt;-1E+300",dFlt1,critFlt1,dFlt2,critFlt2,dFlt3,critFlt3))</f>
        <v/>
      </c>
      <c r="D418" t="str">
        <f>IF($B418="","",SUMIFS(dAmt,dCust,$B418,dPer,"&gt;="&amp;cyFrom,dPer,"&lt;="&amp;cyTo,dAmt,"&gt;-1E+300",dFlt1,critFlt1,dFlt2,critFlt2,dFlt3,critFlt3))</f>
        <v/>
      </c>
      <c r="E418" t="str">
        <f>IF($B418="","",SUMIFS(dQty,dCust,$B418,dPer,"&gt;="&amp;pyFrom,dPer,"&lt;="&amp;pyTo,dQty,"&gt;-1E+300",dFlt1,critFlt1,dFlt2,critFlt2,dFlt3,critFlt3))</f>
        <v/>
      </c>
      <c r="F418" t="str">
        <f>IF($B418="","",SUMIFS(dQty,dCust,$B418,dPer,"&gt;="&amp;cyFrom,dPer,"&lt;="&amp;cyTo,dQty,"&gt;-1E+300",dFlt1,critFlt1,dFlt2,critFlt2,dFlt3,critFlt3))</f>
        <v/>
      </c>
      <c r="G418">
        <f>IF($B418="",0,IFERROR(IF(OR(C418&lt;&gt;0,D418&lt;&gt;0,E418&lt;&gt;0,F418&lt;&gt;0),1,0),1))</f>
        <v>0</v>
      </c>
      <c r="H418" t="str">
        <f>IF(OR(G418=0,E418=0),"",C418/E418)</f>
        <v/>
      </c>
      <c r="I418" t="str">
        <f>IF(OR(G418=0,F418=0),"",D418/F418)</f>
        <v/>
      </c>
      <c r="J418" t="str">
        <f>IF(OR(H418="",I418=""),"",IF(H418=0,"",I418/H418-1))</f>
        <v/>
      </c>
      <c r="K418" t="str">
        <f>IF($B418="","",IFERROR(IF(G418=0,-2E+300,CHOOSE(sortIdx,ROUND(D418,0),IF(J418="",-1E+300,ROUND(-J418,6)),IF(J418="",-1E+300,ROUND(J418,6)))),-1.5E+300))</f>
        <v/>
      </c>
      <c r="L418" t="str">
        <f>IF(K418="","",RANK(K418,$K$2:$K$3001,0)+COUNTIF($K$2:K418,K418)-1)</f>
        <v/>
      </c>
    </row>
    <row r="419">
      <c r="B419" t="str">
        <f>IFERROR(IF(A419="","","="&amp;SUBSTITUTE(SUBSTITUTE(SUBSTITUTE(A419,"~","~~"),"*","~*"),"?","~?")),"")</f>
        <v/>
      </c>
      <c r="C419" t="str">
        <f>IF($B419="","",SUMIFS(dAmt,dCust,$B419,dPer,"&gt;="&amp;pyFrom,dPer,"&lt;="&amp;pyTo,dAmt,"&gt;-1E+300",dFlt1,critFlt1,dFlt2,critFlt2,dFlt3,critFlt3))</f>
        <v/>
      </c>
      <c r="D419" t="str">
        <f>IF($B419="","",SUMIFS(dAmt,dCust,$B419,dPer,"&gt;="&amp;cyFrom,dPer,"&lt;="&amp;cyTo,dAmt,"&gt;-1E+300",dFlt1,critFlt1,dFlt2,critFlt2,dFlt3,critFlt3))</f>
        <v/>
      </c>
      <c r="E419" t="str">
        <f>IF($B419="","",SUMIFS(dQty,dCust,$B419,dPer,"&gt;="&amp;pyFrom,dPer,"&lt;="&amp;pyTo,dQty,"&gt;-1E+300",dFlt1,critFlt1,dFlt2,critFlt2,dFlt3,critFlt3))</f>
        <v/>
      </c>
      <c r="F419" t="str">
        <f>IF($B419="","",SUMIFS(dQty,dCust,$B419,dPer,"&gt;="&amp;cyFrom,dPer,"&lt;="&amp;cyTo,dQty,"&gt;-1E+300",dFlt1,critFlt1,dFlt2,critFlt2,dFlt3,critFlt3))</f>
        <v/>
      </c>
      <c r="G419">
        <f>IF($B419="",0,IFERROR(IF(OR(C419&lt;&gt;0,D419&lt;&gt;0,E419&lt;&gt;0,F419&lt;&gt;0),1,0),1))</f>
        <v>0</v>
      </c>
      <c r="H419" t="str">
        <f>IF(OR(G419=0,E419=0),"",C419/E419)</f>
        <v/>
      </c>
      <c r="I419" t="str">
        <f>IF(OR(G419=0,F419=0),"",D419/F419)</f>
        <v/>
      </c>
      <c r="J419" t="str">
        <f>IF(OR(H419="",I419=""),"",IF(H419=0,"",I419/H419-1))</f>
        <v/>
      </c>
      <c r="K419" t="str">
        <f>IF($B419="","",IFERROR(IF(G419=0,-2E+300,CHOOSE(sortIdx,ROUND(D419,0),IF(J419="",-1E+300,ROUND(-J419,6)),IF(J419="",-1E+300,ROUND(J419,6)))),-1.5E+300))</f>
        <v/>
      </c>
      <c r="L419" t="str">
        <f>IF(K419="","",RANK(K419,$K$2:$K$3001,0)+COUNTIF($K$2:K419,K419)-1)</f>
        <v/>
      </c>
    </row>
    <row r="420">
      <c r="B420" t="str">
        <f>IFERROR(IF(A420="","","="&amp;SUBSTITUTE(SUBSTITUTE(SUBSTITUTE(A420,"~","~~"),"*","~*"),"?","~?")),"")</f>
        <v/>
      </c>
      <c r="C420" t="str">
        <f>IF($B420="","",SUMIFS(dAmt,dCust,$B420,dPer,"&gt;="&amp;pyFrom,dPer,"&lt;="&amp;pyTo,dAmt,"&gt;-1E+300",dFlt1,critFlt1,dFlt2,critFlt2,dFlt3,critFlt3))</f>
        <v/>
      </c>
      <c r="D420" t="str">
        <f>IF($B420="","",SUMIFS(dAmt,dCust,$B420,dPer,"&gt;="&amp;cyFrom,dPer,"&lt;="&amp;cyTo,dAmt,"&gt;-1E+300",dFlt1,critFlt1,dFlt2,critFlt2,dFlt3,critFlt3))</f>
        <v/>
      </c>
      <c r="E420" t="str">
        <f>IF($B420="","",SUMIFS(dQty,dCust,$B420,dPer,"&gt;="&amp;pyFrom,dPer,"&lt;="&amp;pyTo,dQty,"&gt;-1E+300",dFlt1,critFlt1,dFlt2,critFlt2,dFlt3,critFlt3))</f>
        <v/>
      </c>
      <c r="F420" t="str">
        <f>IF($B420="","",SUMIFS(dQty,dCust,$B420,dPer,"&gt;="&amp;cyFrom,dPer,"&lt;="&amp;cyTo,dQty,"&gt;-1E+300",dFlt1,critFlt1,dFlt2,critFlt2,dFlt3,critFlt3))</f>
        <v/>
      </c>
      <c r="G420">
        <f>IF($B420="",0,IFERROR(IF(OR(C420&lt;&gt;0,D420&lt;&gt;0,E420&lt;&gt;0,F420&lt;&gt;0),1,0),1))</f>
        <v>0</v>
      </c>
      <c r="H420" t="str">
        <f>IF(OR(G420=0,E420=0),"",C420/E420)</f>
        <v/>
      </c>
      <c r="I420" t="str">
        <f>IF(OR(G420=0,F420=0),"",D420/F420)</f>
        <v/>
      </c>
      <c r="J420" t="str">
        <f>IF(OR(H420="",I420=""),"",IF(H420=0,"",I420/H420-1))</f>
        <v/>
      </c>
      <c r="K420" t="str">
        <f>IF($B420="","",IFERROR(IF(G420=0,-2E+300,CHOOSE(sortIdx,ROUND(D420,0),IF(J420="",-1E+300,ROUND(-J420,6)),IF(J420="",-1E+300,ROUND(J420,6)))),-1.5E+300))</f>
        <v/>
      </c>
      <c r="L420" t="str">
        <f>IF(K420="","",RANK(K420,$K$2:$K$3001,0)+COUNTIF($K$2:K420,K420)-1)</f>
        <v/>
      </c>
    </row>
    <row r="421">
      <c r="B421" t="str">
        <f>IFERROR(IF(A421="","","="&amp;SUBSTITUTE(SUBSTITUTE(SUBSTITUTE(A421,"~","~~"),"*","~*"),"?","~?")),"")</f>
        <v/>
      </c>
      <c r="C421" t="str">
        <f>IF($B421="","",SUMIFS(dAmt,dCust,$B421,dPer,"&gt;="&amp;pyFrom,dPer,"&lt;="&amp;pyTo,dAmt,"&gt;-1E+300",dFlt1,critFlt1,dFlt2,critFlt2,dFlt3,critFlt3))</f>
        <v/>
      </c>
      <c r="D421" t="str">
        <f>IF($B421="","",SUMIFS(dAmt,dCust,$B421,dPer,"&gt;="&amp;cyFrom,dPer,"&lt;="&amp;cyTo,dAmt,"&gt;-1E+300",dFlt1,critFlt1,dFlt2,critFlt2,dFlt3,critFlt3))</f>
        <v/>
      </c>
      <c r="E421" t="str">
        <f>IF($B421="","",SUMIFS(dQty,dCust,$B421,dPer,"&gt;="&amp;pyFrom,dPer,"&lt;="&amp;pyTo,dQty,"&gt;-1E+300",dFlt1,critFlt1,dFlt2,critFlt2,dFlt3,critFlt3))</f>
        <v/>
      </c>
      <c r="F421" t="str">
        <f>IF($B421="","",SUMIFS(dQty,dCust,$B421,dPer,"&gt;="&amp;cyFrom,dPer,"&lt;="&amp;cyTo,dQty,"&gt;-1E+300",dFlt1,critFlt1,dFlt2,critFlt2,dFlt3,critFlt3))</f>
        <v/>
      </c>
      <c r="G421">
        <f>IF($B421="",0,IFERROR(IF(OR(C421&lt;&gt;0,D421&lt;&gt;0,E421&lt;&gt;0,F421&lt;&gt;0),1,0),1))</f>
        <v>0</v>
      </c>
      <c r="H421" t="str">
        <f>IF(OR(G421=0,E421=0),"",C421/E421)</f>
        <v/>
      </c>
      <c r="I421" t="str">
        <f>IF(OR(G421=0,F421=0),"",D421/F421)</f>
        <v/>
      </c>
      <c r="J421" t="str">
        <f>IF(OR(H421="",I421=""),"",IF(H421=0,"",I421/H421-1))</f>
        <v/>
      </c>
      <c r="K421" t="str">
        <f>IF($B421="","",IFERROR(IF(G421=0,-2E+300,CHOOSE(sortIdx,ROUND(D421,0),IF(J421="",-1E+300,ROUND(-J421,6)),IF(J421="",-1E+300,ROUND(J421,6)))),-1.5E+300))</f>
        <v/>
      </c>
      <c r="L421" t="str">
        <f>IF(K421="","",RANK(K421,$K$2:$K$3001,0)+COUNTIF($K$2:K421,K421)-1)</f>
        <v/>
      </c>
    </row>
    <row r="422">
      <c r="B422" t="str">
        <f>IFERROR(IF(A422="","","="&amp;SUBSTITUTE(SUBSTITUTE(SUBSTITUTE(A422,"~","~~"),"*","~*"),"?","~?")),"")</f>
        <v/>
      </c>
      <c r="C422" t="str">
        <f>IF($B422="","",SUMIFS(dAmt,dCust,$B422,dPer,"&gt;="&amp;pyFrom,dPer,"&lt;="&amp;pyTo,dAmt,"&gt;-1E+300",dFlt1,critFlt1,dFlt2,critFlt2,dFlt3,critFlt3))</f>
        <v/>
      </c>
      <c r="D422" t="str">
        <f>IF($B422="","",SUMIFS(dAmt,dCust,$B422,dPer,"&gt;="&amp;cyFrom,dPer,"&lt;="&amp;cyTo,dAmt,"&gt;-1E+300",dFlt1,critFlt1,dFlt2,critFlt2,dFlt3,critFlt3))</f>
        <v/>
      </c>
      <c r="E422" t="str">
        <f>IF($B422="","",SUMIFS(dQty,dCust,$B422,dPer,"&gt;="&amp;pyFrom,dPer,"&lt;="&amp;pyTo,dQty,"&gt;-1E+300",dFlt1,critFlt1,dFlt2,critFlt2,dFlt3,critFlt3))</f>
        <v/>
      </c>
      <c r="F422" t="str">
        <f>IF($B422="","",SUMIFS(dQty,dCust,$B422,dPer,"&gt;="&amp;cyFrom,dPer,"&lt;="&amp;cyTo,dQty,"&gt;-1E+300",dFlt1,critFlt1,dFlt2,critFlt2,dFlt3,critFlt3))</f>
        <v/>
      </c>
      <c r="G422">
        <f>IF($B422="",0,IFERROR(IF(OR(C422&lt;&gt;0,D422&lt;&gt;0,E422&lt;&gt;0,F422&lt;&gt;0),1,0),1))</f>
        <v>0</v>
      </c>
      <c r="H422" t="str">
        <f>IF(OR(G422=0,E422=0),"",C422/E422)</f>
        <v/>
      </c>
      <c r="I422" t="str">
        <f>IF(OR(G422=0,F422=0),"",D422/F422)</f>
        <v/>
      </c>
      <c r="J422" t="str">
        <f>IF(OR(H422="",I422=""),"",IF(H422=0,"",I422/H422-1))</f>
        <v/>
      </c>
      <c r="K422" t="str">
        <f>IF($B422="","",IFERROR(IF(G422=0,-2E+300,CHOOSE(sortIdx,ROUND(D422,0),IF(J422="",-1E+300,ROUND(-J422,6)),IF(J422="",-1E+300,ROUND(J422,6)))),-1.5E+300))</f>
        <v/>
      </c>
      <c r="L422" t="str">
        <f>IF(K422="","",RANK(K422,$K$2:$K$3001,0)+COUNTIF($K$2:K422,K422)-1)</f>
        <v/>
      </c>
    </row>
    <row r="423">
      <c r="B423" t="str">
        <f>IFERROR(IF(A423="","","="&amp;SUBSTITUTE(SUBSTITUTE(SUBSTITUTE(A423,"~","~~"),"*","~*"),"?","~?")),"")</f>
        <v/>
      </c>
      <c r="C423" t="str">
        <f>IF($B423="","",SUMIFS(dAmt,dCust,$B423,dPer,"&gt;="&amp;pyFrom,dPer,"&lt;="&amp;pyTo,dAmt,"&gt;-1E+300",dFlt1,critFlt1,dFlt2,critFlt2,dFlt3,critFlt3))</f>
        <v/>
      </c>
      <c r="D423" t="str">
        <f>IF($B423="","",SUMIFS(dAmt,dCust,$B423,dPer,"&gt;="&amp;cyFrom,dPer,"&lt;="&amp;cyTo,dAmt,"&gt;-1E+300",dFlt1,critFlt1,dFlt2,critFlt2,dFlt3,critFlt3))</f>
        <v/>
      </c>
      <c r="E423" t="str">
        <f>IF($B423="","",SUMIFS(dQty,dCust,$B423,dPer,"&gt;="&amp;pyFrom,dPer,"&lt;="&amp;pyTo,dQty,"&gt;-1E+300",dFlt1,critFlt1,dFlt2,critFlt2,dFlt3,critFlt3))</f>
        <v/>
      </c>
      <c r="F423" t="str">
        <f>IF($B423="","",SUMIFS(dQty,dCust,$B423,dPer,"&gt;="&amp;cyFrom,dPer,"&lt;="&amp;cyTo,dQty,"&gt;-1E+300",dFlt1,critFlt1,dFlt2,critFlt2,dFlt3,critFlt3))</f>
        <v/>
      </c>
      <c r="G423">
        <f>IF($B423="",0,IFERROR(IF(OR(C423&lt;&gt;0,D423&lt;&gt;0,E423&lt;&gt;0,F423&lt;&gt;0),1,0),1))</f>
        <v>0</v>
      </c>
      <c r="H423" t="str">
        <f>IF(OR(G423=0,E423=0),"",C423/E423)</f>
        <v/>
      </c>
      <c r="I423" t="str">
        <f>IF(OR(G423=0,F423=0),"",D423/F423)</f>
        <v/>
      </c>
      <c r="J423" t="str">
        <f>IF(OR(H423="",I423=""),"",IF(H423=0,"",I423/H423-1))</f>
        <v/>
      </c>
      <c r="K423" t="str">
        <f>IF($B423="","",IFERROR(IF(G423=0,-2E+300,CHOOSE(sortIdx,ROUND(D423,0),IF(J423="",-1E+300,ROUND(-J423,6)),IF(J423="",-1E+300,ROUND(J423,6)))),-1.5E+300))</f>
        <v/>
      </c>
      <c r="L423" t="str">
        <f>IF(K423="","",RANK(K423,$K$2:$K$3001,0)+COUNTIF($K$2:K423,K423)-1)</f>
        <v/>
      </c>
    </row>
    <row r="424">
      <c r="B424" t="str">
        <f>IFERROR(IF(A424="","","="&amp;SUBSTITUTE(SUBSTITUTE(SUBSTITUTE(A424,"~","~~"),"*","~*"),"?","~?")),"")</f>
        <v/>
      </c>
      <c r="C424" t="str">
        <f>IF($B424="","",SUMIFS(dAmt,dCust,$B424,dPer,"&gt;="&amp;pyFrom,dPer,"&lt;="&amp;pyTo,dAmt,"&gt;-1E+300",dFlt1,critFlt1,dFlt2,critFlt2,dFlt3,critFlt3))</f>
        <v/>
      </c>
      <c r="D424" t="str">
        <f>IF($B424="","",SUMIFS(dAmt,dCust,$B424,dPer,"&gt;="&amp;cyFrom,dPer,"&lt;="&amp;cyTo,dAmt,"&gt;-1E+300",dFlt1,critFlt1,dFlt2,critFlt2,dFlt3,critFlt3))</f>
        <v/>
      </c>
      <c r="E424" t="str">
        <f>IF($B424="","",SUMIFS(dQty,dCust,$B424,dPer,"&gt;="&amp;pyFrom,dPer,"&lt;="&amp;pyTo,dQty,"&gt;-1E+300",dFlt1,critFlt1,dFlt2,critFlt2,dFlt3,critFlt3))</f>
        <v/>
      </c>
      <c r="F424" t="str">
        <f>IF($B424="","",SUMIFS(dQty,dCust,$B424,dPer,"&gt;="&amp;cyFrom,dPer,"&lt;="&amp;cyTo,dQty,"&gt;-1E+300",dFlt1,critFlt1,dFlt2,critFlt2,dFlt3,critFlt3))</f>
        <v/>
      </c>
      <c r="G424">
        <f>IF($B424="",0,IFERROR(IF(OR(C424&lt;&gt;0,D424&lt;&gt;0,E424&lt;&gt;0,F424&lt;&gt;0),1,0),1))</f>
        <v>0</v>
      </c>
      <c r="H424" t="str">
        <f>IF(OR(G424=0,E424=0),"",C424/E424)</f>
        <v/>
      </c>
      <c r="I424" t="str">
        <f>IF(OR(G424=0,F424=0),"",D424/F424)</f>
        <v/>
      </c>
      <c r="J424" t="str">
        <f>IF(OR(H424="",I424=""),"",IF(H424=0,"",I424/H424-1))</f>
        <v/>
      </c>
      <c r="K424" t="str">
        <f>IF($B424="","",IFERROR(IF(G424=0,-2E+300,CHOOSE(sortIdx,ROUND(D424,0),IF(J424="",-1E+300,ROUND(-J424,6)),IF(J424="",-1E+300,ROUND(J424,6)))),-1.5E+300))</f>
        <v/>
      </c>
      <c r="L424" t="str">
        <f>IF(K424="","",RANK(K424,$K$2:$K$3001,0)+COUNTIF($K$2:K424,K424)-1)</f>
        <v/>
      </c>
    </row>
    <row r="425">
      <c r="B425" t="str">
        <f>IFERROR(IF(A425="","","="&amp;SUBSTITUTE(SUBSTITUTE(SUBSTITUTE(A425,"~","~~"),"*","~*"),"?","~?")),"")</f>
        <v/>
      </c>
      <c r="C425" t="str">
        <f>IF($B425="","",SUMIFS(dAmt,dCust,$B425,dPer,"&gt;="&amp;pyFrom,dPer,"&lt;="&amp;pyTo,dAmt,"&gt;-1E+300",dFlt1,critFlt1,dFlt2,critFlt2,dFlt3,critFlt3))</f>
        <v/>
      </c>
      <c r="D425" t="str">
        <f>IF($B425="","",SUMIFS(dAmt,dCust,$B425,dPer,"&gt;="&amp;cyFrom,dPer,"&lt;="&amp;cyTo,dAmt,"&gt;-1E+300",dFlt1,critFlt1,dFlt2,critFlt2,dFlt3,critFlt3))</f>
        <v/>
      </c>
      <c r="E425" t="str">
        <f>IF($B425="","",SUMIFS(dQty,dCust,$B425,dPer,"&gt;="&amp;pyFrom,dPer,"&lt;="&amp;pyTo,dQty,"&gt;-1E+300",dFlt1,critFlt1,dFlt2,critFlt2,dFlt3,critFlt3))</f>
        <v/>
      </c>
      <c r="F425" t="str">
        <f>IF($B425="","",SUMIFS(dQty,dCust,$B425,dPer,"&gt;="&amp;cyFrom,dPer,"&lt;="&amp;cyTo,dQty,"&gt;-1E+300",dFlt1,critFlt1,dFlt2,critFlt2,dFlt3,critFlt3))</f>
        <v/>
      </c>
      <c r="G425">
        <f>IF($B425="",0,IFERROR(IF(OR(C425&lt;&gt;0,D425&lt;&gt;0,E425&lt;&gt;0,F425&lt;&gt;0),1,0),1))</f>
        <v>0</v>
      </c>
      <c r="H425" t="str">
        <f>IF(OR(G425=0,E425=0),"",C425/E425)</f>
        <v/>
      </c>
      <c r="I425" t="str">
        <f>IF(OR(G425=0,F425=0),"",D425/F425)</f>
        <v/>
      </c>
      <c r="J425" t="str">
        <f>IF(OR(H425="",I425=""),"",IF(H425=0,"",I425/H425-1))</f>
        <v/>
      </c>
      <c r="K425" t="str">
        <f>IF($B425="","",IFERROR(IF(G425=0,-2E+300,CHOOSE(sortIdx,ROUND(D425,0),IF(J425="",-1E+300,ROUND(-J425,6)),IF(J425="",-1E+300,ROUND(J425,6)))),-1.5E+300))</f>
        <v/>
      </c>
      <c r="L425" t="str">
        <f>IF(K425="","",RANK(K425,$K$2:$K$3001,0)+COUNTIF($K$2:K425,K425)-1)</f>
        <v/>
      </c>
    </row>
    <row r="426">
      <c r="B426" t="str">
        <f>IFERROR(IF(A426="","","="&amp;SUBSTITUTE(SUBSTITUTE(SUBSTITUTE(A426,"~","~~"),"*","~*"),"?","~?")),"")</f>
        <v/>
      </c>
      <c r="C426" t="str">
        <f>IF($B426="","",SUMIFS(dAmt,dCust,$B426,dPer,"&gt;="&amp;pyFrom,dPer,"&lt;="&amp;pyTo,dAmt,"&gt;-1E+300",dFlt1,critFlt1,dFlt2,critFlt2,dFlt3,critFlt3))</f>
        <v/>
      </c>
      <c r="D426" t="str">
        <f>IF($B426="","",SUMIFS(dAmt,dCust,$B426,dPer,"&gt;="&amp;cyFrom,dPer,"&lt;="&amp;cyTo,dAmt,"&gt;-1E+300",dFlt1,critFlt1,dFlt2,critFlt2,dFlt3,critFlt3))</f>
        <v/>
      </c>
      <c r="E426" t="str">
        <f>IF($B426="","",SUMIFS(dQty,dCust,$B426,dPer,"&gt;="&amp;pyFrom,dPer,"&lt;="&amp;pyTo,dQty,"&gt;-1E+300",dFlt1,critFlt1,dFlt2,critFlt2,dFlt3,critFlt3))</f>
        <v/>
      </c>
      <c r="F426" t="str">
        <f>IF($B426="","",SUMIFS(dQty,dCust,$B426,dPer,"&gt;="&amp;cyFrom,dPer,"&lt;="&amp;cyTo,dQty,"&gt;-1E+300",dFlt1,critFlt1,dFlt2,critFlt2,dFlt3,critFlt3))</f>
        <v/>
      </c>
      <c r="G426">
        <f>IF($B426="",0,IFERROR(IF(OR(C426&lt;&gt;0,D426&lt;&gt;0,E426&lt;&gt;0,F426&lt;&gt;0),1,0),1))</f>
        <v>0</v>
      </c>
      <c r="H426" t="str">
        <f>IF(OR(G426=0,E426=0),"",C426/E426)</f>
        <v/>
      </c>
      <c r="I426" t="str">
        <f>IF(OR(G426=0,F426=0),"",D426/F426)</f>
        <v/>
      </c>
      <c r="J426" t="str">
        <f>IF(OR(H426="",I426=""),"",IF(H426=0,"",I426/H426-1))</f>
        <v/>
      </c>
      <c r="K426" t="str">
        <f>IF($B426="","",IFERROR(IF(G426=0,-2E+300,CHOOSE(sortIdx,ROUND(D426,0),IF(J426="",-1E+300,ROUND(-J426,6)),IF(J426="",-1E+300,ROUND(J426,6)))),-1.5E+300))</f>
        <v/>
      </c>
      <c r="L426" t="str">
        <f>IF(K426="","",RANK(K426,$K$2:$K$3001,0)+COUNTIF($K$2:K426,K426)-1)</f>
        <v/>
      </c>
    </row>
    <row r="427">
      <c r="B427" t="str">
        <f>IFERROR(IF(A427="","","="&amp;SUBSTITUTE(SUBSTITUTE(SUBSTITUTE(A427,"~","~~"),"*","~*"),"?","~?")),"")</f>
        <v/>
      </c>
      <c r="C427" t="str">
        <f>IF($B427="","",SUMIFS(dAmt,dCust,$B427,dPer,"&gt;="&amp;pyFrom,dPer,"&lt;="&amp;pyTo,dAmt,"&gt;-1E+300",dFlt1,critFlt1,dFlt2,critFlt2,dFlt3,critFlt3))</f>
        <v/>
      </c>
      <c r="D427" t="str">
        <f>IF($B427="","",SUMIFS(dAmt,dCust,$B427,dPer,"&gt;="&amp;cyFrom,dPer,"&lt;="&amp;cyTo,dAmt,"&gt;-1E+300",dFlt1,critFlt1,dFlt2,critFlt2,dFlt3,critFlt3))</f>
        <v/>
      </c>
      <c r="E427" t="str">
        <f>IF($B427="","",SUMIFS(dQty,dCust,$B427,dPer,"&gt;="&amp;pyFrom,dPer,"&lt;="&amp;pyTo,dQty,"&gt;-1E+300",dFlt1,critFlt1,dFlt2,critFlt2,dFlt3,critFlt3))</f>
        <v/>
      </c>
      <c r="F427" t="str">
        <f>IF($B427="","",SUMIFS(dQty,dCust,$B427,dPer,"&gt;="&amp;cyFrom,dPer,"&lt;="&amp;cyTo,dQty,"&gt;-1E+300",dFlt1,critFlt1,dFlt2,critFlt2,dFlt3,critFlt3))</f>
        <v/>
      </c>
      <c r="G427">
        <f>IF($B427="",0,IFERROR(IF(OR(C427&lt;&gt;0,D427&lt;&gt;0,E427&lt;&gt;0,F427&lt;&gt;0),1,0),1))</f>
        <v>0</v>
      </c>
      <c r="H427" t="str">
        <f>IF(OR(G427=0,E427=0),"",C427/E427)</f>
        <v/>
      </c>
      <c r="I427" t="str">
        <f>IF(OR(G427=0,F427=0),"",D427/F427)</f>
        <v/>
      </c>
      <c r="J427" t="str">
        <f>IF(OR(H427="",I427=""),"",IF(H427=0,"",I427/H427-1))</f>
        <v/>
      </c>
      <c r="K427" t="str">
        <f>IF($B427="","",IFERROR(IF(G427=0,-2E+300,CHOOSE(sortIdx,ROUND(D427,0),IF(J427="",-1E+300,ROUND(-J427,6)),IF(J427="",-1E+300,ROUND(J427,6)))),-1.5E+300))</f>
        <v/>
      </c>
      <c r="L427" t="str">
        <f>IF(K427="","",RANK(K427,$K$2:$K$3001,0)+COUNTIF($K$2:K427,K427)-1)</f>
        <v/>
      </c>
    </row>
    <row r="428">
      <c r="B428" t="str">
        <f>IFERROR(IF(A428="","","="&amp;SUBSTITUTE(SUBSTITUTE(SUBSTITUTE(A428,"~","~~"),"*","~*"),"?","~?")),"")</f>
        <v/>
      </c>
      <c r="C428" t="str">
        <f>IF($B428="","",SUMIFS(dAmt,dCust,$B428,dPer,"&gt;="&amp;pyFrom,dPer,"&lt;="&amp;pyTo,dAmt,"&gt;-1E+300",dFlt1,critFlt1,dFlt2,critFlt2,dFlt3,critFlt3))</f>
        <v/>
      </c>
      <c r="D428" t="str">
        <f>IF($B428="","",SUMIFS(dAmt,dCust,$B428,dPer,"&gt;="&amp;cyFrom,dPer,"&lt;="&amp;cyTo,dAmt,"&gt;-1E+300",dFlt1,critFlt1,dFlt2,critFlt2,dFlt3,critFlt3))</f>
        <v/>
      </c>
      <c r="E428" t="str">
        <f>IF($B428="","",SUMIFS(dQty,dCust,$B428,dPer,"&gt;="&amp;pyFrom,dPer,"&lt;="&amp;pyTo,dQty,"&gt;-1E+300",dFlt1,critFlt1,dFlt2,critFlt2,dFlt3,critFlt3))</f>
        <v/>
      </c>
      <c r="F428" t="str">
        <f>IF($B428="","",SUMIFS(dQty,dCust,$B428,dPer,"&gt;="&amp;cyFrom,dPer,"&lt;="&amp;cyTo,dQty,"&gt;-1E+300",dFlt1,critFlt1,dFlt2,critFlt2,dFlt3,critFlt3))</f>
        <v/>
      </c>
      <c r="G428">
        <f>IF($B428="",0,IFERROR(IF(OR(C428&lt;&gt;0,D428&lt;&gt;0,E428&lt;&gt;0,F428&lt;&gt;0),1,0),1))</f>
        <v>0</v>
      </c>
      <c r="H428" t="str">
        <f>IF(OR(G428=0,E428=0),"",C428/E428)</f>
        <v/>
      </c>
      <c r="I428" t="str">
        <f>IF(OR(G428=0,F428=0),"",D428/F428)</f>
        <v/>
      </c>
      <c r="J428" t="str">
        <f>IF(OR(H428="",I428=""),"",IF(H428=0,"",I428/H428-1))</f>
        <v/>
      </c>
      <c r="K428" t="str">
        <f>IF($B428="","",IFERROR(IF(G428=0,-2E+300,CHOOSE(sortIdx,ROUND(D428,0),IF(J428="",-1E+300,ROUND(-J428,6)),IF(J428="",-1E+300,ROUND(J428,6)))),-1.5E+300))</f>
        <v/>
      </c>
      <c r="L428" t="str">
        <f>IF(K428="","",RANK(K428,$K$2:$K$3001,0)+COUNTIF($K$2:K428,K428)-1)</f>
        <v/>
      </c>
    </row>
    <row r="429">
      <c r="B429" t="str">
        <f>IFERROR(IF(A429="","","="&amp;SUBSTITUTE(SUBSTITUTE(SUBSTITUTE(A429,"~","~~"),"*","~*"),"?","~?")),"")</f>
        <v/>
      </c>
      <c r="C429" t="str">
        <f>IF($B429="","",SUMIFS(dAmt,dCust,$B429,dPer,"&gt;="&amp;pyFrom,dPer,"&lt;="&amp;pyTo,dAmt,"&gt;-1E+300",dFlt1,critFlt1,dFlt2,critFlt2,dFlt3,critFlt3))</f>
        <v/>
      </c>
      <c r="D429" t="str">
        <f>IF($B429="","",SUMIFS(dAmt,dCust,$B429,dPer,"&gt;="&amp;cyFrom,dPer,"&lt;="&amp;cyTo,dAmt,"&gt;-1E+300",dFlt1,critFlt1,dFlt2,critFlt2,dFlt3,critFlt3))</f>
        <v/>
      </c>
      <c r="E429" t="str">
        <f>IF($B429="","",SUMIFS(dQty,dCust,$B429,dPer,"&gt;="&amp;pyFrom,dPer,"&lt;="&amp;pyTo,dQty,"&gt;-1E+300",dFlt1,critFlt1,dFlt2,critFlt2,dFlt3,critFlt3))</f>
        <v/>
      </c>
      <c r="F429" t="str">
        <f>IF($B429="","",SUMIFS(dQty,dCust,$B429,dPer,"&gt;="&amp;cyFrom,dPer,"&lt;="&amp;cyTo,dQty,"&gt;-1E+300",dFlt1,critFlt1,dFlt2,critFlt2,dFlt3,critFlt3))</f>
        <v/>
      </c>
      <c r="G429">
        <f>IF($B429="",0,IFERROR(IF(OR(C429&lt;&gt;0,D429&lt;&gt;0,E429&lt;&gt;0,F429&lt;&gt;0),1,0),1))</f>
        <v>0</v>
      </c>
      <c r="H429" t="str">
        <f>IF(OR(G429=0,E429=0),"",C429/E429)</f>
        <v/>
      </c>
      <c r="I429" t="str">
        <f>IF(OR(G429=0,F429=0),"",D429/F429)</f>
        <v/>
      </c>
      <c r="J429" t="str">
        <f>IF(OR(H429="",I429=""),"",IF(H429=0,"",I429/H429-1))</f>
        <v/>
      </c>
      <c r="K429" t="str">
        <f>IF($B429="","",IFERROR(IF(G429=0,-2E+300,CHOOSE(sortIdx,ROUND(D429,0),IF(J429="",-1E+300,ROUND(-J429,6)),IF(J429="",-1E+300,ROUND(J429,6)))),-1.5E+300))</f>
        <v/>
      </c>
      <c r="L429" t="str">
        <f>IF(K429="","",RANK(K429,$K$2:$K$3001,0)+COUNTIF($K$2:K429,K429)-1)</f>
        <v/>
      </c>
    </row>
    <row r="430">
      <c r="B430" t="str">
        <f>IFERROR(IF(A430="","","="&amp;SUBSTITUTE(SUBSTITUTE(SUBSTITUTE(A430,"~","~~"),"*","~*"),"?","~?")),"")</f>
        <v/>
      </c>
      <c r="C430" t="str">
        <f>IF($B430="","",SUMIFS(dAmt,dCust,$B430,dPer,"&gt;="&amp;pyFrom,dPer,"&lt;="&amp;pyTo,dAmt,"&gt;-1E+300",dFlt1,critFlt1,dFlt2,critFlt2,dFlt3,critFlt3))</f>
        <v/>
      </c>
      <c r="D430" t="str">
        <f>IF($B430="","",SUMIFS(dAmt,dCust,$B430,dPer,"&gt;="&amp;cyFrom,dPer,"&lt;="&amp;cyTo,dAmt,"&gt;-1E+300",dFlt1,critFlt1,dFlt2,critFlt2,dFlt3,critFlt3))</f>
        <v/>
      </c>
      <c r="E430" t="str">
        <f>IF($B430="","",SUMIFS(dQty,dCust,$B430,dPer,"&gt;="&amp;pyFrom,dPer,"&lt;="&amp;pyTo,dQty,"&gt;-1E+300",dFlt1,critFlt1,dFlt2,critFlt2,dFlt3,critFlt3))</f>
        <v/>
      </c>
      <c r="F430" t="str">
        <f>IF($B430="","",SUMIFS(dQty,dCust,$B430,dPer,"&gt;="&amp;cyFrom,dPer,"&lt;="&amp;cyTo,dQty,"&gt;-1E+300",dFlt1,critFlt1,dFlt2,critFlt2,dFlt3,critFlt3))</f>
        <v/>
      </c>
      <c r="G430">
        <f>IF($B430="",0,IFERROR(IF(OR(C430&lt;&gt;0,D430&lt;&gt;0,E430&lt;&gt;0,F430&lt;&gt;0),1,0),1))</f>
        <v>0</v>
      </c>
      <c r="H430" t="str">
        <f>IF(OR(G430=0,E430=0),"",C430/E430)</f>
        <v/>
      </c>
      <c r="I430" t="str">
        <f>IF(OR(G430=0,F430=0),"",D430/F430)</f>
        <v/>
      </c>
      <c r="J430" t="str">
        <f>IF(OR(H430="",I430=""),"",IF(H430=0,"",I430/H430-1))</f>
        <v/>
      </c>
      <c r="K430" t="str">
        <f>IF($B430="","",IFERROR(IF(G430=0,-2E+300,CHOOSE(sortIdx,ROUND(D430,0),IF(J430="",-1E+300,ROUND(-J430,6)),IF(J430="",-1E+300,ROUND(J430,6)))),-1.5E+300))</f>
        <v/>
      </c>
      <c r="L430" t="str">
        <f>IF(K430="","",RANK(K430,$K$2:$K$3001,0)+COUNTIF($K$2:K430,K430)-1)</f>
        <v/>
      </c>
    </row>
    <row r="431">
      <c r="B431" t="str">
        <f>IFERROR(IF(A431="","","="&amp;SUBSTITUTE(SUBSTITUTE(SUBSTITUTE(A431,"~","~~"),"*","~*"),"?","~?")),"")</f>
        <v/>
      </c>
      <c r="C431" t="str">
        <f>IF($B431="","",SUMIFS(dAmt,dCust,$B431,dPer,"&gt;="&amp;pyFrom,dPer,"&lt;="&amp;pyTo,dAmt,"&gt;-1E+300",dFlt1,critFlt1,dFlt2,critFlt2,dFlt3,critFlt3))</f>
        <v/>
      </c>
      <c r="D431" t="str">
        <f>IF($B431="","",SUMIFS(dAmt,dCust,$B431,dPer,"&gt;="&amp;cyFrom,dPer,"&lt;="&amp;cyTo,dAmt,"&gt;-1E+300",dFlt1,critFlt1,dFlt2,critFlt2,dFlt3,critFlt3))</f>
        <v/>
      </c>
      <c r="E431" t="str">
        <f>IF($B431="","",SUMIFS(dQty,dCust,$B431,dPer,"&gt;="&amp;pyFrom,dPer,"&lt;="&amp;pyTo,dQty,"&gt;-1E+300",dFlt1,critFlt1,dFlt2,critFlt2,dFlt3,critFlt3))</f>
        <v/>
      </c>
      <c r="F431" t="str">
        <f>IF($B431="","",SUMIFS(dQty,dCust,$B431,dPer,"&gt;="&amp;cyFrom,dPer,"&lt;="&amp;cyTo,dQty,"&gt;-1E+300",dFlt1,critFlt1,dFlt2,critFlt2,dFlt3,critFlt3))</f>
        <v/>
      </c>
      <c r="G431">
        <f>IF($B431="",0,IFERROR(IF(OR(C431&lt;&gt;0,D431&lt;&gt;0,E431&lt;&gt;0,F431&lt;&gt;0),1,0),1))</f>
        <v>0</v>
      </c>
      <c r="H431" t="str">
        <f>IF(OR(G431=0,E431=0),"",C431/E431)</f>
        <v/>
      </c>
      <c r="I431" t="str">
        <f>IF(OR(G431=0,F431=0),"",D431/F431)</f>
        <v/>
      </c>
      <c r="J431" t="str">
        <f>IF(OR(H431="",I431=""),"",IF(H431=0,"",I431/H431-1))</f>
        <v/>
      </c>
      <c r="K431" t="str">
        <f>IF($B431="","",IFERROR(IF(G431=0,-2E+300,CHOOSE(sortIdx,ROUND(D431,0),IF(J431="",-1E+300,ROUND(-J431,6)),IF(J431="",-1E+300,ROUND(J431,6)))),-1.5E+300))</f>
        <v/>
      </c>
      <c r="L431" t="str">
        <f>IF(K431="","",RANK(K431,$K$2:$K$3001,0)+COUNTIF($K$2:K431,K431)-1)</f>
        <v/>
      </c>
    </row>
    <row r="432">
      <c r="B432" t="str">
        <f>IFERROR(IF(A432="","","="&amp;SUBSTITUTE(SUBSTITUTE(SUBSTITUTE(A432,"~","~~"),"*","~*"),"?","~?")),"")</f>
        <v/>
      </c>
      <c r="C432" t="str">
        <f>IF($B432="","",SUMIFS(dAmt,dCust,$B432,dPer,"&gt;="&amp;pyFrom,dPer,"&lt;="&amp;pyTo,dAmt,"&gt;-1E+300",dFlt1,critFlt1,dFlt2,critFlt2,dFlt3,critFlt3))</f>
        <v/>
      </c>
      <c r="D432" t="str">
        <f>IF($B432="","",SUMIFS(dAmt,dCust,$B432,dPer,"&gt;="&amp;cyFrom,dPer,"&lt;="&amp;cyTo,dAmt,"&gt;-1E+300",dFlt1,critFlt1,dFlt2,critFlt2,dFlt3,critFlt3))</f>
        <v/>
      </c>
      <c r="E432" t="str">
        <f>IF($B432="","",SUMIFS(dQty,dCust,$B432,dPer,"&gt;="&amp;pyFrom,dPer,"&lt;="&amp;pyTo,dQty,"&gt;-1E+300",dFlt1,critFlt1,dFlt2,critFlt2,dFlt3,critFlt3))</f>
        <v/>
      </c>
      <c r="F432" t="str">
        <f>IF($B432="","",SUMIFS(dQty,dCust,$B432,dPer,"&gt;="&amp;cyFrom,dPer,"&lt;="&amp;cyTo,dQty,"&gt;-1E+300",dFlt1,critFlt1,dFlt2,critFlt2,dFlt3,critFlt3))</f>
        <v/>
      </c>
      <c r="G432">
        <f>IF($B432="",0,IFERROR(IF(OR(C432&lt;&gt;0,D432&lt;&gt;0,E432&lt;&gt;0,F432&lt;&gt;0),1,0),1))</f>
        <v>0</v>
      </c>
      <c r="H432" t="str">
        <f>IF(OR(G432=0,E432=0),"",C432/E432)</f>
        <v/>
      </c>
      <c r="I432" t="str">
        <f>IF(OR(G432=0,F432=0),"",D432/F432)</f>
        <v/>
      </c>
      <c r="J432" t="str">
        <f>IF(OR(H432="",I432=""),"",IF(H432=0,"",I432/H432-1))</f>
        <v/>
      </c>
      <c r="K432" t="str">
        <f>IF($B432="","",IFERROR(IF(G432=0,-2E+300,CHOOSE(sortIdx,ROUND(D432,0),IF(J432="",-1E+300,ROUND(-J432,6)),IF(J432="",-1E+300,ROUND(J432,6)))),-1.5E+300))</f>
        <v/>
      </c>
      <c r="L432" t="str">
        <f>IF(K432="","",RANK(K432,$K$2:$K$3001,0)+COUNTIF($K$2:K432,K432)-1)</f>
        <v/>
      </c>
    </row>
    <row r="433">
      <c r="B433" t="str">
        <f>IFERROR(IF(A433="","","="&amp;SUBSTITUTE(SUBSTITUTE(SUBSTITUTE(A433,"~","~~"),"*","~*"),"?","~?")),"")</f>
        <v/>
      </c>
      <c r="C433" t="str">
        <f>IF($B433="","",SUMIFS(dAmt,dCust,$B433,dPer,"&gt;="&amp;pyFrom,dPer,"&lt;="&amp;pyTo,dAmt,"&gt;-1E+300",dFlt1,critFlt1,dFlt2,critFlt2,dFlt3,critFlt3))</f>
        <v/>
      </c>
      <c r="D433" t="str">
        <f>IF($B433="","",SUMIFS(dAmt,dCust,$B433,dPer,"&gt;="&amp;cyFrom,dPer,"&lt;="&amp;cyTo,dAmt,"&gt;-1E+300",dFlt1,critFlt1,dFlt2,critFlt2,dFlt3,critFlt3))</f>
        <v/>
      </c>
      <c r="E433" t="str">
        <f>IF($B433="","",SUMIFS(dQty,dCust,$B433,dPer,"&gt;="&amp;pyFrom,dPer,"&lt;="&amp;pyTo,dQty,"&gt;-1E+300",dFlt1,critFlt1,dFlt2,critFlt2,dFlt3,critFlt3))</f>
        <v/>
      </c>
      <c r="F433" t="str">
        <f>IF($B433="","",SUMIFS(dQty,dCust,$B433,dPer,"&gt;="&amp;cyFrom,dPer,"&lt;="&amp;cyTo,dQty,"&gt;-1E+300",dFlt1,critFlt1,dFlt2,critFlt2,dFlt3,critFlt3))</f>
        <v/>
      </c>
      <c r="G433">
        <f>IF($B433="",0,IFERROR(IF(OR(C433&lt;&gt;0,D433&lt;&gt;0,E433&lt;&gt;0,F433&lt;&gt;0),1,0),1))</f>
        <v>0</v>
      </c>
      <c r="H433" t="str">
        <f>IF(OR(G433=0,E433=0),"",C433/E433)</f>
        <v/>
      </c>
      <c r="I433" t="str">
        <f>IF(OR(G433=0,F433=0),"",D433/F433)</f>
        <v/>
      </c>
      <c r="J433" t="str">
        <f>IF(OR(H433="",I433=""),"",IF(H433=0,"",I433/H433-1))</f>
        <v/>
      </c>
      <c r="K433" t="str">
        <f>IF($B433="","",IFERROR(IF(G433=0,-2E+300,CHOOSE(sortIdx,ROUND(D433,0),IF(J433="",-1E+300,ROUND(-J433,6)),IF(J433="",-1E+300,ROUND(J433,6)))),-1.5E+300))</f>
        <v/>
      </c>
      <c r="L433" t="str">
        <f>IF(K433="","",RANK(K433,$K$2:$K$3001,0)+COUNTIF($K$2:K433,K433)-1)</f>
        <v/>
      </c>
    </row>
    <row r="434">
      <c r="B434" t="str">
        <f>IFERROR(IF(A434="","","="&amp;SUBSTITUTE(SUBSTITUTE(SUBSTITUTE(A434,"~","~~"),"*","~*"),"?","~?")),"")</f>
        <v/>
      </c>
      <c r="C434" t="str">
        <f>IF($B434="","",SUMIFS(dAmt,dCust,$B434,dPer,"&gt;="&amp;pyFrom,dPer,"&lt;="&amp;pyTo,dAmt,"&gt;-1E+300",dFlt1,critFlt1,dFlt2,critFlt2,dFlt3,critFlt3))</f>
        <v/>
      </c>
      <c r="D434" t="str">
        <f>IF($B434="","",SUMIFS(dAmt,dCust,$B434,dPer,"&gt;="&amp;cyFrom,dPer,"&lt;="&amp;cyTo,dAmt,"&gt;-1E+300",dFlt1,critFlt1,dFlt2,critFlt2,dFlt3,critFlt3))</f>
        <v/>
      </c>
      <c r="E434" t="str">
        <f>IF($B434="","",SUMIFS(dQty,dCust,$B434,dPer,"&gt;="&amp;pyFrom,dPer,"&lt;="&amp;pyTo,dQty,"&gt;-1E+300",dFlt1,critFlt1,dFlt2,critFlt2,dFlt3,critFlt3))</f>
        <v/>
      </c>
      <c r="F434" t="str">
        <f>IF($B434="","",SUMIFS(dQty,dCust,$B434,dPer,"&gt;="&amp;cyFrom,dPer,"&lt;="&amp;cyTo,dQty,"&gt;-1E+300",dFlt1,critFlt1,dFlt2,critFlt2,dFlt3,critFlt3))</f>
        <v/>
      </c>
      <c r="G434">
        <f>IF($B434="",0,IFERROR(IF(OR(C434&lt;&gt;0,D434&lt;&gt;0,E434&lt;&gt;0,F434&lt;&gt;0),1,0),1))</f>
        <v>0</v>
      </c>
      <c r="H434" t="str">
        <f>IF(OR(G434=0,E434=0),"",C434/E434)</f>
        <v/>
      </c>
      <c r="I434" t="str">
        <f>IF(OR(G434=0,F434=0),"",D434/F434)</f>
        <v/>
      </c>
      <c r="J434" t="str">
        <f>IF(OR(H434="",I434=""),"",IF(H434=0,"",I434/H434-1))</f>
        <v/>
      </c>
      <c r="K434" t="str">
        <f>IF($B434="","",IFERROR(IF(G434=0,-2E+300,CHOOSE(sortIdx,ROUND(D434,0),IF(J434="",-1E+300,ROUND(-J434,6)),IF(J434="",-1E+300,ROUND(J434,6)))),-1.5E+300))</f>
        <v/>
      </c>
      <c r="L434" t="str">
        <f>IF(K434="","",RANK(K434,$K$2:$K$3001,0)+COUNTIF($K$2:K434,K434)-1)</f>
        <v/>
      </c>
    </row>
    <row r="435">
      <c r="B435" t="str">
        <f>IFERROR(IF(A435="","","="&amp;SUBSTITUTE(SUBSTITUTE(SUBSTITUTE(A435,"~","~~"),"*","~*"),"?","~?")),"")</f>
        <v/>
      </c>
      <c r="C435" t="str">
        <f>IF($B435="","",SUMIFS(dAmt,dCust,$B435,dPer,"&gt;="&amp;pyFrom,dPer,"&lt;="&amp;pyTo,dAmt,"&gt;-1E+300",dFlt1,critFlt1,dFlt2,critFlt2,dFlt3,critFlt3))</f>
        <v/>
      </c>
      <c r="D435" t="str">
        <f>IF($B435="","",SUMIFS(dAmt,dCust,$B435,dPer,"&gt;="&amp;cyFrom,dPer,"&lt;="&amp;cyTo,dAmt,"&gt;-1E+300",dFlt1,critFlt1,dFlt2,critFlt2,dFlt3,critFlt3))</f>
        <v/>
      </c>
      <c r="E435" t="str">
        <f>IF($B435="","",SUMIFS(dQty,dCust,$B435,dPer,"&gt;="&amp;pyFrom,dPer,"&lt;="&amp;pyTo,dQty,"&gt;-1E+300",dFlt1,critFlt1,dFlt2,critFlt2,dFlt3,critFlt3))</f>
        <v/>
      </c>
      <c r="F435" t="str">
        <f>IF($B435="","",SUMIFS(dQty,dCust,$B435,dPer,"&gt;="&amp;cyFrom,dPer,"&lt;="&amp;cyTo,dQty,"&gt;-1E+300",dFlt1,critFlt1,dFlt2,critFlt2,dFlt3,critFlt3))</f>
        <v/>
      </c>
      <c r="G435">
        <f>IF($B435="",0,IFERROR(IF(OR(C435&lt;&gt;0,D435&lt;&gt;0,E435&lt;&gt;0,F435&lt;&gt;0),1,0),1))</f>
        <v>0</v>
      </c>
      <c r="H435" t="str">
        <f>IF(OR(G435=0,E435=0),"",C435/E435)</f>
        <v/>
      </c>
      <c r="I435" t="str">
        <f>IF(OR(G435=0,F435=0),"",D435/F435)</f>
        <v/>
      </c>
      <c r="J435" t="str">
        <f>IF(OR(H435="",I435=""),"",IF(H435=0,"",I435/H435-1))</f>
        <v/>
      </c>
      <c r="K435" t="str">
        <f>IF($B435="","",IFERROR(IF(G435=0,-2E+300,CHOOSE(sortIdx,ROUND(D435,0),IF(J435="",-1E+300,ROUND(-J435,6)),IF(J435="",-1E+300,ROUND(J435,6)))),-1.5E+300))</f>
        <v/>
      </c>
      <c r="L435" t="str">
        <f>IF(K435="","",RANK(K435,$K$2:$K$3001,0)+COUNTIF($K$2:K435,K435)-1)</f>
        <v/>
      </c>
    </row>
    <row r="436">
      <c r="B436" t="str">
        <f>IFERROR(IF(A436="","","="&amp;SUBSTITUTE(SUBSTITUTE(SUBSTITUTE(A436,"~","~~"),"*","~*"),"?","~?")),"")</f>
        <v/>
      </c>
      <c r="C436" t="str">
        <f>IF($B436="","",SUMIFS(dAmt,dCust,$B436,dPer,"&gt;="&amp;pyFrom,dPer,"&lt;="&amp;pyTo,dAmt,"&gt;-1E+300",dFlt1,critFlt1,dFlt2,critFlt2,dFlt3,critFlt3))</f>
        <v/>
      </c>
      <c r="D436" t="str">
        <f>IF($B436="","",SUMIFS(dAmt,dCust,$B436,dPer,"&gt;="&amp;cyFrom,dPer,"&lt;="&amp;cyTo,dAmt,"&gt;-1E+300",dFlt1,critFlt1,dFlt2,critFlt2,dFlt3,critFlt3))</f>
        <v/>
      </c>
      <c r="E436" t="str">
        <f>IF($B436="","",SUMIFS(dQty,dCust,$B436,dPer,"&gt;="&amp;pyFrom,dPer,"&lt;="&amp;pyTo,dQty,"&gt;-1E+300",dFlt1,critFlt1,dFlt2,critFlt2,dFlt3,critFlt3))</f>
        <v/>
      </c>
      <c r="F436" t="str">
        <f>IF($B436="","",SUMIFS(dQty,dCust,$B436,dPer,"&gt;="&amp;cyFrom,dPer,"&lt;="&amp;cyTo,dQty,"&gt;-1E+300",dFlt1,critFlt1,dFlt2,critFlt2,dFlt3,critFlt3))</f>
        <v/>
      </c>
      <c r="G436">
        <f>IF($B436="",0,IFERROR(IF(OR(C436&lt;&gt;0,D436&lt;&gt;0,E436&lt;&gt;0,F436&lt;&gt;0),1,0),1))</f>
        <v>0</v>
      </c>
      <c r="H436" t="str">
        <f>IF(OR(G436=0,E436=0),"",C436/E436)</f>
        <v/>
      </c>
      <c r="I436" t="str">
        <f>IF(OR(G436=0,F436=0),"",D436/F436)</f>
        <v/>
      </c>
      <c r="J436" t="str">
        <f>IF(OR(H436="",I436=""),"",IF(H436=0,"",I436/H436-1))</f>
        <v/>
      </c>
      <c r="K436" t="str">
        <f>IF($B436="","",IFERROR(IF(G436=0,-2E+300,CHOOSE(sortIdx,ROUND(D436,0),IF(J436="",-1E+300,ROUND(-J436,6)),IF(J436="",-1E+300,ROUND(J436,6)))),-1.5E+300))</f>
        <v/>
      </c>
      <c r="L436" t="str">
        <f>IF(K436="","",RANK(K436,$K$2:$K$3001,0)+COUNTIF($K$2:K436,K436)-1)</f>
        <v/>
      </c>
    </row>
    <row r="437">
      <c r="B437" t="str">
        <f>IFERROR(IF(A437="","","="&amp;SUBSTITUTE(SUBSTITUTE(SUBSTITUTE(A437,"~","~~"),"*","~*"),"?","~?")),"")</f>
        <v/>
      </c>
      <c r="C437" t="str">
        <f>IF($B437="","",SUMIFS(dAmt,dCust,$B437,dPer,"&gt;="&amp;pyFrom,dPer,"&lt;="&amp;pyTo,dAmt,"&gt;-1E+300",dFlt1,critFlt1,dFlt2,critFlt2,dFlt3,critFlt3))</f>
        <v/>
      </c>
      <c r="D437" t="str">
        <f>IF($B437="","",SUMIFS(dAmt,dCust,$B437,dPer,"&gt;="&amp;cyFrom,dPer,"&lt;="&amp;cyTo,dAmt,"&gt;-1E+300",dFlt1,critFlt1,dFlt2,critFlt2,dFlt3,critFlt3))</f>
        <v/>
      </c>
      <c r="E437" t="str">
        <f>IF($B437="","",SUMIFS(dQty,dCust,$B437,dPer,"&gt;="&amp;pyFrom,dPer,"&lt;="&amp;pyTo,dQty,"&gt;-1E+300",dFlt1,critFlt1,dFlt2,critFlt2,dFlt3,critFlt3))</f>
        <v/>
      </c>
      <c r="F437" t="str">
        <f>IF($B437="","",SUMIFS(dQty,dCust,$B437,dPer,"&gt;="&amp;cyFrom,dPer,"&lt;="&amp;cyTo,dQty,"&gt;-1E+300",dFlt1,critFlt1,dFlt2,critFlt2,dFlt3,critFlt3))</f>
        <v/>
      </c>
      <c r="G437">
        <f>IF($B437="",0,IFERROR(IF(OR(C437&lt;&gt;0,D437&lt;&gt;0,E437&lt;&gt;0,F437&lt;&gt;0),1,0),1))</f>
        <v>0</v>
      </c>
      <c r="H437" t="str">
        <f>IF(OR(G437=0,E437=0),"",C437/E437)</f>
        <v/>
      </c>
      <c r="I437" t="str">
        <f>IF(OR(G437=0,F437=0),"",D437/F437)</f>
        <v/>
      </c>
      <c r="J437" t="str">
        <f>IF(OR(H437="",I437=""),"",IF(H437=0,"",I437/H437-1))</f>
        <v/>
      </c>
      <c r="K437" t="str">
        <f>IF($B437="","",IFERROR(IF(G437=0,-2E+300,CHOOSE(sortIdx,ROUND(D437,0),IF(J437="",-1E+300,ROUND(-J437,6)),IF(J437="",-1E+300,ROUND(J437,6)))),-1.5E+300))</f>
        <v/>
      </c>
      <c r="L437" t="str">
        <f>IF(K437="","",RANK(K437,$K$2:$K$3001,0)+COUNTIF($K$2:K437,K437)-1)</f>
        <v/>
      </c>
    </row>
    <row r="438">
      <c r="B438" t="str">
        <f>IFERROR(IF(A438="","","="&amp;SUBSTITUTE(SUBSTITUTE(SUBSTITUTE(A438,"~","~~"),"*","~*"),"?","~?")),"")</f>
        <v/>
      </c>
      <c r="C438" t="str">
        <f>IF($B438="","",SUMIFS(dAmt,dCust,$B438,dPer,"&gt;="&amp;pyFrom,dPer,"&lt;="&amp;pyTo,dAmt,"&gt;-1E+300",dFlt1,critFlt1,dFlt2,critFlt2,dFlt3,critFlt3))</f>
        <v/>
      </c>
      <c r="D438" t="str">
        <f>IF($B438="","",SUMIFS(dAmt,dCust,$B438,dPer,"&gt;="&amp;cyFrom,dPer,"&lt;="&amp;cyTo,dAmt,"&gt;-1E+300",dFlt1,critFlt1,dFlt2,critFlt2,dFlt3,critFlt3))</f>
        <v/>
      </c>
      <c r="E438" t="str">
        <f>IF($B438="","",SUMIFS(dQty,dCust,$B438,dPer,"&gt;="&amp;pyFrom,dPer,"&lt;="&amp;pyTo,dQty,"&gt;-1E+300",dFlt1,critFlt1,dFlt2,critFlt2,dFlt3,critFlt3))</f>
        <v/>
      </c>
      <c r="F438" t="str">
        <f>IF($B438="","",SUMIFS(dQty,dCust,$B438,dPer,"&gt;="&amp;cyFrom,dPer,"&lt;="&amp;cyTo,dQty,"&gt;-1E+300",dFlt1,critFlt1,dFlt2,critFlt2,dFlt3,critFlt3))</f>
        <v/>
      </c>
      <c r="G438">
        <f>IF($B438="",0,IFERROR(IF(OR(C438&lt;&gt;0,D438&lt;&gt;0,E438&lt;&gt;0,F438&lt;&gt;0),1,0),1))</f>
        <v>0</v>
      </c>
      <c r="H438" t="str">
        <f>IF(OR(G438=0,E438=0),"",C438/E438)</f>
        <v/>
      </c>
      <c r="I438" t="str">
        <f>IF(OR(G438=0,F438=0),"",D438/F438)</f>
        <v/>
      </c>
      <c r="J438" t="str">
        <f>IF(OR(H438="",I438=""),"",IF(H438=0,"",I438/H438-1))</f>
        <v/>
      </c>
      <c r="K438" t="str">
        <f>IF($B438="","",IFERROR(IF(G438=0,-2E+300,CHOOSE(sortIdx,ROUND(D438,0),IF(J438="",-1E+300,ROUND(-J438,6)),IF(J438="",-1E+300,ROUND(J438,6)))),-1.5E+300))</f>
        <v/>
      </c>
      <c r="L438" t="str">
        <f>IF(K438="","",RANK(K438,$K$2:$K$3001,0)+COUNTIF($K$2:K438,K438)-1)</f>
        <v/>
      </c>
    </row>
    <row r="439">
      <c r="B439" t="str">
        <f>IFERROR(IF(A439="","","="&amp;SUBSTITUTE(SUBSTITUTE(SUBSTITUTE(A439,"~","~~"),"*","~*"),"?","~?")),"")</f>
        <v/>
      </c>
      <c r="C439" t="str">
        <f>IF($B439="","",SUMIFS(dAmt,dCust,$B439,dPer,"&gt;="&amp;pyFrom,dPer,"&lt;="&amp;pyTo,dAmt,"&gt;-1E+300",dFlt1,critFlt1,dFlt2,critFlt2,dFlt3,critFlt3))</f>
        <v/>
      </c>
      <c r="D439" t="str">
        <f>IF($B439="","",SUMIFS(dAmt,dCust,$B439,dPer,"&gt;="&amp;cyFrom,dPer,"&lt;="&amp;cyTo,dAmt,"&gt;-1E+300",dFlt1,critFlt1,dFlt2,critFlt2,dFlt3,critFlt3))</f>
        <v/>
      </c>
      <c r="E439" t="str">
        <f>IF($B439="","",SUMIFS(dQty,dCust,$B439,dPer,"&gt;="&amp;pyFrom,dPer,"&lt;="&amp;pyTo,dQty,"&gt;-1E+300",dFlt1,critFlt1,dFlt2,critFlt2,dFlt3,critFlt3))</f>
        <v/>
      </c>
      <c r="F439" t="str">
        <f>IF($B439="","",SUMIFS(dQty,dCust,$B439,dPer,"&gt;="&amp;cyFrom,dPer,"&lt;="&amp;cyTo,dQty,"&gt;-1E+300",dFlt1,critFlt1,dFlt2,critFlt2,dFlt3,critFlt3))</f>
        <v/>
      </c>
      <c r="G439">
        <f>IF($B439="",0,IFERROR(IF(OR(C439&lt;&gt;0,D439&lt;&gt;0,E439&lt;&gt;0,F439&lt;&gt;0),1,0),1))</f>
        <v>0</v>
      </c>
      <c r="H439" t="str">
        <f>IF(OR(G439=0,E439=0),"",C439/E439)</f>
        <v/>
      </c>
      <c r="I439" t="str">
        <f>IF(OR(G439=0,F439=0),"",D439/F439)</f>
        <v/>
      </c>
      <c r="J439" t="str">
        <f>IF(OR(H439="",I439=""),"",IF(H439=0,"",I439/H439-1))</f>
        <v/>
      </c>
      <c r="K439" t="str">
        <f>IF($B439="","",IFERROR(IF(G439=0,-2E+300,CHOOSE(sortIdx,ROUND(D439,0),IF(J439="",-1E+300,ROUND(-J439,6)),IF(J439="",-1E+300,ROUND(J439,6)))),-1.5E+300))</f>
        <v/>
      </c>
      <c r="L439" t="str">
        <f>IF(K439="","",RANK(K439,$K$2:$K$3001,0)+COUNTIF($K$2:K439,K439)-1)</f>
        <v/>
      </c>
    </row>
    <row r="440">
      <c r="B440" t="str">
        <f>IFERROR(IF(A440="","","="&amp;SUBSTITUTE(SUBSTITUTE(SUBSTITUTE(A440,"~","~~"),"*","~*"),"?","~?")),"")</f>
        <v/>
      </c>
      <c r="C440" t="str">
        <f>IF($B440="","",SUMIFS(dAmt,dCust,$B440,dPer,"&gt;="&amp;pyFrom,dPer,"&lt;="&amp;pyTo,dAmt,"&gt;-1E+300",dFlt1,critFlt1,dFlt2,critFlt2,dFlt3,critFlt3))</f>
        <v/>
      </c>
      <c r="D440" t="str">
        <f>IF($B440="","",SUMIFS(dAmt,dCust,$B440,dPer,"&gt;="&amp;cyFrom,dPer,"&lt;="&amp;cyTo,dAmt,"&gt;-1E+300",dFlt1,critFlt1,dFlt2,critFlt2,dFlt3,critFlt3))</f>
        <v/>
      </c>
      <c r="E440" t="str">
        <f>IF($B440="","",SUMIFS(dQty,dCust,$B440,dPer,"&gt;="&amp;pyFrom,dPer,"&lt;="&amp;pyTo,dQty,"&gt;-1E+300",dFlt1,critFlt1,dFlt2,critFlt2,dFlt3,critFlt3))</f>
        <v/>
      </c>
      <c r="F440" t="str">
        <f>IF($B440="","",SUMIFS(dQty,dCust,$B440,dPer,"&gt;="&amp;cyFrom,dPer,"&lt;="&amp;cyTo,dQty,"&gt;-1E+300",dFlt1,critFlt1,dFlt2,critFlt2,dFlt3,critFlt3))</f>
        <v/>
      </c>
      <c r="G440">
        <f>IF($B440="",0,IFERROR(IF(OR(C440&lt;&gt;0,D440&lt;&gt;0,E440&lt;&gt;0,F440&lt;&gt;0),1,0),1))</f>
        <v>0</v>
      </c>
      <c r="H440" t="str">
        <f>IF(OR(G440=0,E440=0),"",C440/E440)</f>
        <v/>
      </c>
      <c r="I440" t="str">
        <f>IF(OR(G440=0,F440=0),"",D440/F440)</f>
        <v/>
      </c>
      <c r="J440" t="str">
        <f>IF(OR(H440="",I440=""),"",IF(H440=0,"",I440/H440-1))</f>
        <v/>
      </c>
      <c r="K440" t="str">
        <f>IF($B440="","",IFERROR(IF(G440=0,-2E+300,CHOOSE(sortIdx,ROUND(D440,0),IF(J440="",-1E+300,ROUND(-J440,6)),IF(J440="",-1E+300,ROUND(J440,6)))),-1.5E+300))</f>
        <v/>
      </c>
      <c r="L440" t="str">
        <f>IF(K440="","",RANK(K440,$K$2:$K$3001,0)+COUNTIF($K$2:K440,K440)-1)</f>
        <v/>
      </c>
    </row>
    <row r="441">
      <c r="B441" t="str">
        <f>IFERROR(IF(A441="","","="&amp;SUBSTITUTE(SUBSTITUTE(SUBSTITUTE(A441,"~","~~"),"*","~*"),"?","~?")),"")</f>
        <v/>
      </c>
      <c r="C441" t="str">
        <f>IF($B441="","",SUMIFS(dAmt,dCust,$B441,dPer,"&gt;="&amp;pyFrom,dPer,"&lt;="&amp;pyTo,dAmt,"&gt;-1E+300",dFlt1,critFlt1,dFlt2,critFlt2,dFlt3,critFlt3))</f>
        <v/>
      </c>
      <c r="D441" t="str">
        <f>IF($B441="","",SUMIFS(dAmt,dCust,$B441,dPer,"&gt;="&amp;cyFrom,dPer,"&lt;="&amp;cyTo,dAmt,"&gt;-1E+300",dFlt1,critFlt1,dFlt2,critFlt2,dFlt3,critFlt3))</f>
        <v/>
      </c>
      <c r="E441" t="str">
        <f>IF($B441="","",SUMIFS(dQty,dCust,$B441,dPer,"&gt;="&amp;pyFrom,dPer,"&lt;="&amp;pyTo,dQty,"&gt;-1E+300",dFlt1,critFlt1,dFlt2,critFlt2,dFlt3,critFlt3))</f>
        <v/>
      </c>
      <c r="F441" t="str">
        <f>IF($B441="","",SUMIFS(dQty,dCust,$B441,dPer,"&gt;="&amp;cyFrom,dPer,"&lt;="&amp;cyTo,dQty,"&gt;-1E+300",dFlt1,critFlt1,dFlt2,critFlt2,dFlt3,critFlt3))</f>
        <v/>
      </c>
      <c r="G441">
        <f>IF($B441="",0,IFERROR(IF(OR(C441&lt;&gt;0,D441&lt;&gt;0,E441&lt;&gt;0,F441&lt;&gt;0),1,0),1))</f>
        <v>0</v>
      </c>
      <c r="H441" t="str">
        <f>IF(OR(G441=0,E441=0),"",C441/E441)</f>
        <v/>
      </c>
      <c r="I441" t="str">
        <f>IF(OR(G441=0,F441=0),"",D441/F441)</f>
        <v/>
      </c>
      <c r="J441" t="str">
        <f>IF(OR(H441="",I441=""),"",IF(H441=0,"",I441/H441-1))</f>
        <v/>
      </c>
      <c r="K441" t="str">
        <f>IF($B441="","",IFERROR(IF(G441=0,-2E+300,CHOOSE(sortIdx,ROUND(D441,0),IF(J441="",-1E+300,ROUND(-J441,6)),IF(J441="",-1E+300,ROUND(J441,6)))),-1.5E+300))</f>
        <v/>
      </c>
      <c r="L441" t="str">
        <f>IF(K441="","",RANK(K441,$K$2:$K$3001,0)+COUNTIF($K$2:K441,K441)-1)</f>
        <v/>
      </c>
    </row>
    <row r="442">
      <c r="B442" t="str">
        <f>IFERROR(IF(A442="","","="&amp;SUBSTITUTE(SUBSTITUTE(SUBSTITUTE(A442,"~","~~"),"*","~*"),"?","~?")),"")</f>
        <v/>
      </c>
      <c r="C442" t="str">
        <f>IF($B442="","",SUMIFS(dAmt,dCust,$B442,dPer,"&gt;="&amp;pyFrom,dPer,"&lt;="&amp;pyTo,dAmt,"&gt;-1E+300",dFlt1,critFlt1,dFlt2,critFlt2,dFlt3,critFlt3))</f>
        <v/>
      </c>
      <c r="D442" t="str">
        <f>IF($B442="","",SUMIFS(dAmt,dCust,$B442,dPer,"&gt;="&amp;cyFrom,dPer,"&lt;="&amp;cyTo,dAmt,"&gt;-1E+300",dFlt1,critFlt1,dFlt2,critFlt2,dFlt3,critFlt3))</f>
        <v/>
      </c>
      <c r="E442" t="str">
        <f>IF($B442="","",SUMIFS(dQty,dCust,$B442,dPer,"&gt;="&amp;pyFrom,dPer,"&lt;="&amp;pyTo,dQty,"&gt;-1E+300",dFlt1,critFlt1,dFlt2,critFlt2,dFlt3,critFlt3))</f>
        <v/>
      </c>
      <c r="F442" t="str">
        <f>IF($B442="","",SUMIFS(dQty,dCust,$B442,dPer,"&gt;="&amp;cyFrom,dPer,"&lt;="&amp;cyTo,dQty,"&gt;-1E+300",dFlt1,critFlt1,dFlt2,critFlt2,dFlt3,critFlt3))</f>
        <v/>
      </c>
      <c r="G442">
        <f>IF($B442="",0,IFERROR(IF(OR(C442&lt;&gt;0,D442&lt;&gt;0,E442&lt;&gt;0,F442&lt;&gt;0),1,0),1))</f>
        <v>0</v>
      </c>
      <c r="H442" t="str">
        <f>IF(OR(G442=0,E442=0),"",C442/E442)</f>
        <v/>
      </c>
      <c r="I442" t="str">
        <f>IF(OR(G442=0,F442=0),"",D442/F442)</f>
        <v/>
      </c>
      <c r="J442" t="str">
        <f>IF(OR(H442="",I442=""),"",IF(H442=0,"",I442/H442-1))</f>
        <v/>
      </c>
      <c r="K442" t="str">
        <f>IF($B442="","",IFERROR(IF(G442=0,-2E+300,CHOOSE(sortIdx,ROUND(D442,0),IF(J442="",-1E+300,ROUND(-J442,6)),IF(J442="",-1E+300,ROUND(J442,6)))),-1.5E+300))</f>
        <v/>
      </c>
      <c r="L442" t="str">
        <f>IF(K442="","",RANK(K442,$K$2:$K$3001,0)+COUNTIF($K$2:K442,K442)-1)</f>
        <v/>
      </c>
    </row>
    <row r="443">
      <c r="B443" t="str">
        <f>IFERROR(IF(A443="","","="&amp;SUBSTITUTE(SUBSTITUTE(SUBSTITUTE(A443,"~","~~"),"*","~*"),"?","~?")),"")</f>
        <v/>
      </c>
      <c r="C443" t="str">
        <f>IF($B443="","",SUMIFS(dAmt,dCust,$B443,dPer,"&gt;="&amp;pyFrom,dPer,"&lt;="&amp;pyTo,dAmt,"&gt;-1E+300",dFlt1,critFlt1,dFlt2,critFlt2,dFlt3,critFlt3))</f>
        <v/>
      </c>
      <c r="D443" t="str">
        <f>IF($B443="","",SUMIFS(dAmt,dCust,$B443,dPer,"&gt;="&amp;cyFrom,dPer,"&lt;="&amp;cyTo,dAmt,"&gt;-1E+300",dFlt1,critFlt1,dFlt2,critFlt2,dFlt3,critFlt3))</f>
        <v/>
      </c>
      <c r="E443" t="str">
        <f>IF($B443="","",SUMIFS(dQty,dCust,$B443,dPer,"&gt;="&amp;pyFrom,dPer,"&lt;="&amp;pyTo,dQty,"&gt;-1E+300",dFlt1,critFlt1,dFlt2,critFlt2,dFlt3,critFlt3))</f>
        <v/>
      </c>
      <c r="F443" t="str">
        <f>IF($B443="","",SUMIFS(dQty,dCust,$B443,dPer,"&gt;="&amp;cyFrom,dPer,"&lt;="&amp;cyTo,dQty,"&gt;-1E+300",dFlt1,critFlt1,dFlt2,critFlt2,dFlt3,critFlt3))</f>
        <v/>
      </c>
      <c r="G443">
        <f>IF($B443="",0,IFERROR(IF(OR(C443&lt;&gt;0,D443&lt;&gt;0,E443&lt;&gt;0,F443&lt;&gt;0),1,0),1))</f>
        <v>0</v>
      </c>
      <c r="H443" t="str">
        <f>IF(OR(G443=0,E443=0),"",C443/E443)</f>
        <v/>
      </c>
      <c r="I443" t="str">
        <f>IF(OR(G443=0,F443=0),"",D443/F443)</f>
        <v/>
      </c>
      <c r="J443" t="str">
        <f>IF(OR(H443="",I443=""),"",IF(H443=0,"",I443/H443-1))</f>
        <v/>
      </c>
      <c r="K443" t="str">
        <f>IF($B443="","",IFERROR(IF(G443=0,-2E+300,CHOOSE(sortIdx,ROUND(D443,0),IF(J443="",-1E+300,ROUND(-J443,6)),IF(J443="",-1E+300,ROUND(J443,6)))),-1.5E+300))</f>
        <v/>
      </c>
      <c r="L443" t="str">
        <f>IF(K443="","",RANK(K443,$K$2:$K$3001,0)+COUNTIF($K$2:K443,K443)-1)</f>
        <v/>
      </c>
    </row>
    <row r="444">
      <c r="B444" t="str">
        <f>IFERROR(IF(A444="","","="&amp;SUBSTITUTE(SUBSTITUTE(SUBSTITUTE(A444,"~","~~"),"*","~*"),"?","~?")),"")</f>
        <v/>
      </c>
      <c r="C444" t="str">
        <f>IF($B444="","",SUMIFS(dAmt,dCust,$B444,dPer,"&gt;="&amp;pyFrom,dPer,"&lt;="&amp;pyTo,dAmt,"&gt;-1E+300",dFlt1,critFlt1,dFlt2,critFlt2,dFlt3,critFlt3))</f>
        <v/>
      </c>
      <c r="D444" t="str">
        <f>IF($B444="","",SUMIFS(dAmt,dCust,$B444,dPer,"&gt;="&amp;cyFrom,dPer,"&lt;="&amp;cyTo,dAmt,"&gt;-1E+300",dFlt1,critFlt1,dFlt2,critFlt2,dFlt3,critFlt3))</f>
        <v/>
      </c>
      <c r="E444" t="str">
        <f>IF($B444="","",SUMIFS(dQty,dCust,$B444,dPer,"&gt;="&amp;pyFrom,dPer,"&lt;="&amp;pyTo,dQty,"&gt;-1E+300",dFlt1,critFlt1,dFlt2,critFlt2,dFlt3,critFlt3))</f>
        <v/>
      </c>
      <c r="F444" t="str">
        <f>IF($B444="","",SUMIFS(dQty,dCust,$B444,dPer,"&gt;="&amp;cyFrom,dPer,"&lt;="&amp;cyTo,dQty,"&gt;-1E+300",dFlt1,critFlt1,dFlt2,critFlt2,dFlt3,critFlt3))</f>
        <v/>
      </c>
      <c r="G444">
        <f>IF($B444="",0,IFERROR(IF(OR(C444&lt;&gt;0,D444&lt;&gt;0,E444&lt;&gt;0,F444&lt;&gt;0),1,0),1))</f>
        <v>0</v>
      </c>
      <c r="H444" t="str">
        <f>IF(OR(G444=0,E444=0),"",C444/E444)</f>
        <v/>
      </c>
      <c r="I444" t="str">
        <f>IF(OR(G444=0,F444=0),"",D444/F444)</f>
        <v/>
      </c>
      <c r="J444" t="str">
        <f>IF(OR(H444="",I444=""),"",IF(H444=0,"",I444/H444-1))</f>
        <v/>
      </c>
      <c r="K444" t="str">
        <f>IF($B444="","",IFERROR(IF(G444=0,-2E+300,CHOOSE(sortIdx,ROUND(D444,0),IF(J444="",-1E+300,ROUND(-J444,6)),IF(J444="",-1E+300,ROUND(J444,6)))),-1.5E+300))</f>
        <v/>
      </c>
      <c r="L444" t="str">
        <f>IF(K444="","",RANK(K444,$K$2:$K$3001,0)+COUNTIF($K$2:K444,K444)-1)</f>
        <v/>
      </c>
    </row>
    <row r="445">
      <c r="B445" t="str">
        <f>IFERROR(IF(A445="","","="&amp;SUBSTITUTE(SUBSTITUTE(SUBSTITUTE(A445,"~","~~"),"*","~*"),"?","~?")),"")</f>
        <v/>
      </c>
      <c r="C445" t="str">
        <f>IF($B445="","",SUMIFS(dAmt,dCust,$B445,dPer,"&gt;="&amp;pyFrom,dPer,"&lt;="&amp;pyTo,dAmt,"&gt;-1E+300",dFlt1,critFlt1,dFlt2,critFlt2,dFlt3,critFlt3))</f>
        <v/>
      </c>
      <c r="D445" t="str">
        <f>IF($B445="","",SUMIFS(dAmt,dCust,$B445,dPer,"&gt;="&amp;cyFrom,dPer,"&lt;="&amp;cyTo,dAmt,"&gt;-1E+300",dFlt1,critFlt1,dFlt2,critFlt2,dFlt3,critFlt3))</f>
        <v/>
      </c>
      <c r="E445" t="str">
        <f>IF($B445="","",SUMIFS(dQty,dCust,$B445,dPer,"&gt;="&amp;pyFrom,dPer,"&lt;="&amp;pyTo,dQty,"&gt;-1E+300",dFlt1,critFlt1,dFlt2,critFlt2,dFlt3,critFlt3))</f>
        <v/>
      </c>
      <c r="F445" t="str">
        <f>IF($B445="","",SUMIFS(dQty,dCust,$B445,dPer,"&gt;="&amp;cyFrom,dPer,"&lt;="&amp;cyTo,dQty,"&gt;-1E+300",dFlt1,critFlt1,dFlt2,critFlt2,dFlt3,critFlt3))</f>
        <v/>
      </c>
      <c r="G445">
        <f>IF($B445="",0,IFERROR(IF(OR(C445&lt;&gt;0,D445&lt;&gt;0,E445&lt;&gt;0,F445&lt;&gt;0),1,0),1))</f>
        <v>0</v>
      </c>
      <c r="H445" t="str">
        <f>IF(OR(G445=0,E445=0),"",C445/E445)</f>
        <v/>
      </c>
      <c r="I445" t="str">
        <f>IF(OR(G445=0,F445=0),"",D445/F445)</f>
        <v/>
      </c>
      <c r="J445" t="str">
        <f>IF(OR(H445="",I445=""),"",IF(H445=0,"",I445/H445-1))</f>
        <v/>
      </c>
      <c r="K445" t="str">
        <f>IF($B445="","",IFERROR(IF(G445=0,-2E+300,CHOOSE(sortIdx,ROUND(D445,0),IF(J445="",-1E+300,ROUND(-J445,6)),IF(J445="",-1E+300,ROUND(J445,6)))),-1.5E+300))</f>
        <v/>
      </c>
      <c r="L445" t="str">
        <f>IF(K445="","",RANK(K445,$K$2:$K$3001,0)+COUNTIF($K$2:K445,K445)-1)</f>
        <v/>
      </c>
    </row>
    <row r="446">
      <c r="B446" t="str">
        <f>IFERROR(IF(A446="","","="&amp;SUBSTITUTE(SUBSTITUTE(SUBSTITUTE(A446,"~","~~"),"*","~*"),"?","~?")),"")</f>
        <v/>
      </c>
      <c r="C446" t="str">
        <f>IF($B446="","",SUMIFS(dAmt,dCust,$B446,dPer,"&gt;="&amp;pyFrom,dPer,"&lt;="&amp;pyTo,dAmt,"&gt;-1E+300",dFlt1,critFlt1,dFlt2,critFlt2,dFlt3,critFlt3))</f>
        <v/>
      </c>
      <c r="D446" t="str">
        <f>IF($B446="","",SUMIFS(dAmt,dCust,$B446,dPer,"&gt;="&amp;cyFrom,dPer,"&lt;="&amp;cyTo,dAmt,"&gt;-1E+300",dFlt1,critFlt1,dFlt2,critFlt2,dFlt3,critFlt3))</f>
        <v/>
      </c>
      <c r="E446" t="str">
        <f>IF($B446="","",SUMIFS(dQty,dCust,$B446,dPer,"&gt;="&amp;pyFrom,dPer,"&lt;="&amp;pyTo,dQty,"&gt;-1E+300",dFlt1,critFlt1,dFlt2,critFlt2,dFlt3,critFlt3))</f>
        <v/>
      </c>
      <c r="F446" t="str">
        <f>IF($B446="","",SUMIFS(dQty,dCust,$B446,dPer,"&gt;="&amp;cyFrom,dPer,"&lt;="&amp;cyTo,dQty,"&gt;-1E+300",dFlt1,critFlt1,dFlt2,critFlt2,dFlt3,critFlt3))</f>
        <v/>
      </c>
      <c r="G446">
        <f>IF($B446="",0,IFERROR(IF(OR(C446&lt;&gt;0,D446&lt;&gt;0,E446&lt;&gt;0,F446&lt;&gt;0),1,0),1))</f>
        <v>0</v>
      </c>
      <c r="H446" t="str">
        <f>IF(OR(G446=0,E446=0),"",C446/E446)</f>
        <v/>
      </c>
      <c r="I446" t="str">
        <f>IF(OR(G446=0,F446=0),"",D446/F446)</f>
        <v/>
      </c>
      <c r="J446" t="str">
        <f>IF(OR(H446="",I446=""),"",IF(H446=0,"",I446/H446-1))</f>
        <v/>
      </c>
      <c r="K446" t="str">
        <f>IF($B446="","",IFERROR(IF(G446=0,-2E+300,CHOOSE(sortIdx,ROUND(D446,0),IF(J446="",-1E+300,ROUND(-J446,6)),IF(J446="",-1E+300,ROUND(J446,6)))),-1.5E+300))</f>
        <v/>
      </c>
      <c r="L446" t="str">
        <f>IF(K446="","",RANK(K446,$K$2:$K$3001,0)+COUNTIF($K$2:K446,K446)-1)</f>
        <v/>
      </c>
    </row>
    <row r="447">
      <c r="B447" t="str">
        <f>IFERROR(IF(A447="","","="&amp;SUBSTITUTE(SUBSTITUTE(SUBSTITUTE(A447,"~","~~"),"*","~*"),"?","~?")),"")</f>
        <v/>
      </c>
      <c r="C447" t="str">
        <f>IF($B447="","",SUMIFS(dAmt,dCust,$B447,dPer,"&gt;="&amp;pyFrom,dPer,"&lt;="&amp;pyTo,dAmt,"&gt;-1E+300",dFlt1,critFlt1,dFlt2,critFlt2,dFlt3,critFlt3))</f>
        <v/>
      </c>
      <c r="D447" t="str">
        <f>IF($B447="","",SUMIFS(dAmt,dCust,$B447,dPer,"&gt;="&amp;cyFrom,dPer,"&lt;="&amp;cyTo,dAmt,"&gt;-1E+300",dFlt1,critFlt1,dFlt2,critFlt2,dFlt3,critFlt3))</f>
        <v/>
      </c>
      <c r="E447" t="str">
        <f>IF($B447="","",SUMIFS(dQty,dCust,$B447,dPer,"&gt;="&amp;pyFrom,dPer,"&lt;="&amp;pyTo,dQty,"&gt;-1E+300",dFlt1,critFlt1,dFlt2,critFlt2,dFlt3,critFlt3))</f>
        <v/>
      </c>
      <c r="F447" t="str">
        <f>IF($B447="","",SUMIFS(dQty,dCust,$B447,dPer,"&gt;="&amp;cyFrom,dPer,"&lt;="&amp;cyTo,dQty,"&gt;-1E+300",dFlt1,critFlt1,dFlt2,critFlt2,dFlt3,critFlt3))</f>
        <v/>
      </c>
      <c r="G447">
        <f>IF($B447="",0,IFERROR(IF(OR(C447&lt;&gt;0,D447&lt;&gt;0,E447&lt;&gt;0,F447&lt;&gt;0),1,0),1))</f>
        <v>0</v>
      </c>
      <c r="H447" t="str">
        <f>IF(OR(G447=0,E447=0),"",C447/E447)</f>
        <v/>
      </c>
      <c r="I447" t="str">
        <f>IF(OR(G447=0,F447=0),"",D447/F447)</f>
        <v/>
      </c>
      <c r="J447" t="str">
        <f>IF(OR(H447="",I447=""),"",IF(H447=0,"",I447/H447-1))</f>
        <v/>
      </c>
      <c r="K447" t="str">
        <f>IF($B447="","",IFERROR(IF(G447=0,-2E+300,CHOOSE(sortIdx,ROUND(D447,0),IF(J447="",-1E+300,ROUND(-J447,6)),IF(J447="",-1E+300,ROUND(J447,6)))),-1.5E+300))</f>
        <v/>
      </c>
      <c r="L447" t="str">
        <f>IF(K447="","",RANK(K447,$K$2:$K$3001,0)+COUNTIF($K$2:K447,K447)-1)</f>
        <v/>
      </c>
    </row>
    <row r="448">
      <c r="B448" t="str">
        <f>IFERROR(IF(A448="","","="&amp;SUBSTITUTE(SUBSTITUTE(SUBSTITUTE(A448,"~","~~"),"*","~*"),"?","~?")),"")</f>
        <v/>
      </c>
      <c r="C448" t="str">
        <f>IF($B448="","",SUMIFS(dAmt,dCust,$B448,dPer,"&gt;="&amp;pyFrom,dPer,"&lt;="&amp;pyTo,dAmt,"&gt;-1E+300",dFlt1,critFlt1,dFlt2,critFlt2,dFlt3,critFlt3))</f>
        <v/>
      </c>
      <c r="D448" t="str">
        <f>IF($B448="","",SUMIFS(dAmt,dCust,$B448,dPer,"&gt;="&amp;cyFrom,dPer,"&lt;="&amp;cyTo,dAmt,"&gt;-1E+300",dFlt1,critFlt1,dFlt2,critFlt2,dFlt3,critFlt3))</f>
        <v/>
      </c>
      <c r="E448" t="str">
        <f>IF($B448="","",SUMIFS(dQty,dCust,$B448,dPer,"&gt;="&amp;pyFrom,dPer,"&lt;="&amp;pyTo,dQty,"&gt;-1E+300",dFlt1,critFlt1,dFlt2,critFlt2,dFlt3,critFlt3))</f>
        <v/>
      </c>
      <c r="F448" t="str">
        <f>IF($B448="","",SUMIFS(dQty,dCust,$B448,dPer,"&gt;="&amp;cyFrom,dPer,"&lt;="&amp;cyTo,dQty,"&gt;-1E+300",dFlt1,critFlt1,dFlt2,critFlt2,dFlt3,critFlt3))</f>
        <v/>
      </c>
      <c r="G448">
        <f>IF($B448="",0,IFERROR(IF(OR(C448&lt;&gt;0,D448&lt;&gt;0,E448&lt;&gt;0,F448&lt;&gt;0),1,0),1))</f>
        <v>0</v>
      </c>
      <c r="H448" t="str">
        <f>IF(OR(G448=0,E448=0),"",C448/E448)</f>
        <v/>
      </c>
      <c r="I448" t="str">
        <f>IF(OR(G448=0,F448=0),"",D448/F448)</f>
        <v/>
      </c>
      <c r="J448" t="str">
        <f>IF(OR(H448="",I448=""),"",IF(H448=0,"",I448/H448-1))</f>
        <v/>
      </c>
      <c r="K448" t="str">
        <f>IF($B448="","",IFERROR(IF(G448=0,-2E+300,CHOOSE(sortIdx,ROUND(D448,0),IF(J448="",-1E+300,ROUND(-J448,6)),IF(J448="",-1E+300,ROUND(J448,6)))),-1.5E+300))</f>
        <v/>
      </c>
      <c r="L448" t="str">
        <f>IF(K448="","",RANK(K448,$K$2:$K$3001,0)+COUNTIF($K$2:K448,K448)-1)</f>
        <v/>
      </c>
    </row>
    <row r="449">
      <c r="B449" t="str">
        <f>IFERROR(IF(A449="","","="&amp;SUBSTITUTE(SUBSTITUTE(SUBSTITUTE(A449,"~","~~"),"*","~*"),"?","~?")),"")</f>
        <v/>
      </c>
      <c r="C449" t="str">
        <f>IF($B449="","",SUMIFS(dAmt,dCust,$B449,dPer,"&gt;="&amp;pyFrom,dPer,"&lt;="&amp;pyTo,dAmt,"&gt;-1E+300",dFlt1,critFlt1,dFlt2,critFlt2,dFlt3,critFlt3))</f>
        <v/>
      </c>
      <c r="D449" t="str">
        <f>IF($B449="","",SUMIFS(dAmt,dCust,$B449,dPer,"&gt;="&amp;cyFrom,dPer,"&lt;="&amp;cyTo,dAmt,"&gt;-1E+300",dFlt1,critFlt1,dFlt2,critFlt2,dFlt3,critFlt3))</f>
        <v/>
      </c>
      <c r="E449" t="str">
        <f>IF($B449="","",SUMIFS(dQty,dCust,$B449,dPer,"&gt;="&amp;pyFrom,dPer,"&lt;="&amp;pyTo,dQty,"&gt;-1E+300",dFlt1,critFlt1,dFlt2,critFlt2,dFlt3,critFlt3))</f>
        <v/>
      </c>
      <c r="F449" t="str">
        <f>IF($B449="","",SUMIFS(dQty,dCust,$B449,dPer,"&gt;="&amp;cyFrom,dPer,"&lt;="&amp;cyTo,dQty,"&gt;-1E+300",dFlt1,critFlt1,dFlt2,critFlt2,dFlt3,critFlt3))</f>
        <v/>
      </c>
      <c r="G449">
        <f>IF($B449="",0,IFERROR(IF(OR(C449&lt;&gt;0,D449&lt;&gt;0,E449&lt;&gt;0,F449&lt;&gt;0),1,0),1))</f>
        <v>0</v>
      </c>
      <c r="H449" t="str">
        <f>IF(OR(G449=0,E449=0),"",C449/E449)</f>
        <v/>
      </c>
      <c r="I449" t="str">
        <f>IF(OR(G449=0,F449=0),"",D449/F449)</f>
        <v/>
      </c>
      <c r="J449" t="str">
        <f>IF(OR(H449="",I449=""),"",IF(H449=0,"",I449/H449-1))</f>
        <v/>
      </c>
      <c r="K449" t="str">
        <f>IF($B449="","",IFERROR(IF(G449=0,-2E+300,CHOOSE(sortIdx,ROUND(D449,0),IF(J449="",-1E+300,ROUND(-J449,6)),IF(J449="",-1E+300,ROUND(J449,6)))),-1.5E+300))</f>
        <v/>
      </c>
      <c r="L449" t="str">
        <f>IF(K449="","",RANK(K449,$K$2:$K$3001,0)+COUNTIF($K$2:K449,K449)-1)</f>
        <v/>
      </c>
    </row>
    <row r="450">
      <c r="B450" t="str">
        <f>IFERROR(IF(A450="","","="&amp;SUBSTITUTE(SUBSTITUTE(SUBSTITUTE(A450,"~","~~"),"*","~*"),"?","~?")),"")</f>
        <v/>
      </c>
      <c r="C450" t="str">
        <f>IF($B450="","",SUMIFS(dAmt,dCust,$B450,dPer,"&gt;="&amp;pyFrom,dPer,"&lt;="&amp;pyTo,dAmt,"&gt;-1E+300",dFlt1,critFlt1,dFlt2,critFlt2,dFlt3,critFlt3))</f>
        <v/>
      </c>
      <c r="D450" t="str">
        <f>IF($B450="","",SUMIFS(dAmt,dCust,$B450,dPer,"&gt;="&amp;cyFrom,dPer,"&lt;="&amp;cyTo,dAmt,"&gt;-1E+300",dFlt1,critFlt1,dFlt2,critFlt2,dFlt3,critFlt3))</f>
        <v/>
      </c>
      <c r="E450" t="str">
        <f>IF($B450="","",SUMIFS(dQty,dCust,$B450,dPer,"&gt;="&amp;pyFrom,dPer,"&lt;="&amp;pyTo,dQty,"&gt;-1E+300",dFlt1,critFlt1,dFlt2,critFlt2,dFlt3,critFlt3))</f>
        <v/>
      </c>
      <c r="F450" t="str">
        <f>IF($B450="","",SUMIFS(dQty,dCust,$B450,dPer,"&gt;="&amp;cyFrom,dPer,"&lt;="&amp;cyTo,dQty,"&gt;-1E+300",dFlt1,critFlt1,dFlt2,critFlt2,dFlt3,critFlt3))</f>
        <v/>
      </c>
      <c r="G450">
        <f>IF($B450="",0,IFERROR(IF(OR(C450&lt;&gt;0,D450&lt;&gt;0,E450&lt;&gt;0,F450&lt;&gt;0),1,0),1))</f>
        <v>0</v>
      </c>
      <c r="H450" t="str">
        <f>IF(OR(G450=0,E450=0),"",C450/E450)</f>
        <v/>
      </c>
      <c r="I450" t="str">
        <f>IF(OR(G450=0,F450=0),"",D450/F450)</f>
        <v/>
      </c>
      <c r="J450" t="str">
        <f>IF(OR(H450="",I450=""),"",IF(H450=0,"",I450/H450-1))</f>
        <v/>
      </c>
      <c r="K450" t="str">
        <f>IF($B450="","",IFERROR(IF(G450=0,-2E+300,CHOOSE(sortIdx,ROUND(D450,0),IF(J450="",-1E+300,ROUND(-J450,6)),IF(J450="",-1E+300,ROUND(J450,6)))),-1.5E+300))</f>
        <v/>
      </c>
      <c r="L450" t="str">
        <f>IF(K450="","",RANK(K450,$K$2:$K$3001,0)+COUNTIF($K$2:K450,K450)-1)</f>
        <v/>
      </c>
    </row>
    <row r="451">
      <c r="B451" t="str">
        <f>IFERROR(IF(A451="","","="&amp;SUBSTITUTE(SUBSTITUTE(SUBSTITUTE(A451,"~","~~"),"*","~*"),"?","~?")),"")</f>
        <v/>
      </c>
      <c r="C451" t="str">
        <f>IF($B451="","",SUMIFS(dAmt,dCust,$B451,dPer,"&gt;="&amp;pyFrom,dPer,"&lt;="&amp;pyTo,dAmt,"&gt;-1E+300",dFlt1,critFlt1,dFlt2,critFlt2,dFlt3,critFlt3))</f>
        <v/>
      </c>
      <c r="D451" t="str">
        <f>IF($B451="","",SUMIFS(dAmt,dCust,$B451,dPer,"&gt;="&amp;cyFrom,dPer,"&lt;="&amp;cyTo,dAmt,"&gt;-1E+300",dFlt1,critFlt1,dFlt2,critFlt2,dFlt3,critFlt3))</f>
        <v/>
      </c>
      <c r="E451" t="str">
        <f>IF($B451="","",SUMIFS(dQty,dCust,$B451,dPer,"&gt;="&amp;pyFrom,dPer,"&lt;="&amp;pyTo,dQty,"&gt;-1E+300",dFlt1,critFlt1,dFlt2,critFlt2,dFlt3,critFlt3))</f>
        <v/>
      </c>
      <c r="F451" t="str">
        <f>IF($B451="","",SUMIFS(dQty,dCust,$B451,dPer,"&gt;="&amp;cyFrom,dPer,"&lt;="&amp;cyTo,dQty,"&gt;-1E+300",dFlt1,critFlt1,dFlt2,critFlt2,dFlt3,critFlt3))</f>
        <v/>
      </c>
      <c r="G451">
        <f>IF($B451="",0,IFERROR(IF(OR(C451&lt;&gt;0,D451&lt;&gt;0,E451&lt;&gt;0,F451&lt;&gt;0),1,0),1))</f>
        <v>0</v>
      </c>
      <c r="H451" t="str">
        <f>IF(OR(G451=0,E451=0),"",C451/E451)</f>
        <v/>
      </c>
      <c r="I451" t="str">
        <f>IF(OR(G451=0,F451=0),"",D451/F451)</f>
        <v/>
      </c>
      <c r="J451" t="str">
        <f>IF(OR(H451="",I451=""),"",IF(H451=0,"",I451/H451-1))</f>
        <v/>
      </c>
      <c r="K451" t="str">
        <f>IF($B451="","",IFERROR(IF(G451=0,-2E+300,CHOOSE(sortIdx,ROUND(D451,0),IF(J451="",-1E+300,ROUND(-J451,6)),IF(J451="",-1E+300,ROUND(J451,6)))),-1.5E+300))</f>
        <v/>
      </c>
      <c r="L451" t="str">
        <f>IF(K451="","",RANK(K451,$K$2:$K$3001,0)+COUNTIF($K$2:K451,K451)-1)</f>
        <v/>
      </c>
    </row>
    <row r="452">
      <c r="B452" t="str">
        <f>IFERROR(IF(A452="","","="&amp;SUBSTITUTE(SUBSTITUTE(SUBSTITUTE(A452,"~","~~"),"*","~*"),"?","~?")),"")</f>
        <v/>
      </c>
      <c r="C452" t="str">
        <f>IF($B452="","",SUMIFS(dAmt,dCust,$B452,dPer,"&gt;="&amp;pyFrom,dPer,"&lt;="&amp;pyTo,dAmt,"&gt;-1E+300",dFlt1,critFlt1,dFlt2,critFlt2,dFlt3,critFlt3))</f>
        <v/>
      </c>
      <c r="D452" t="str">
        <f>IF($B452="","",SUMIFS(dAmt,dCust,$B452,dPer,"&gt;="&amp;cyFrom,dPer,"&lt;="&amp;cyTo,dAmt,"&gt;-1E+300",dFlt1,critFlt1,dFlt2,critFlt2,dFlt3,critFlt3))</f>
        <v/>
      </c>
      <c r="E452" t="str">
        <f>IF($B452="","",SUMIFS(dQty,dCust,$B452,dPer,"&gt;="&amp;pyFrom,dPer,"&lt;="&amp;pyTo,dQty,"&gt;-1E+300",dFlt1,critFlt1,dFlt2,critFlt2,dFlt3,critFlt3))</f>
        <v/>
      </c>
      <c r="F452" t="str">
        <f>IF($B452="","",SUMIFS(dQty,dCust,$B452,dPer,"&gt;="&amp;cyFrom,dPer,"&lt;="&amp;cyTo,dQty,"&gt;-1E+300",dFlt1,critFlt1,dFlt2,critFlt2,dFlt3,critFlt3))</f>
        <v/>
      </c>
      <c r="G452">
        <f>IF($B452="",0,IFERROR(IF(OR(C452&lt;&gt;0,D452&lt;&gt;0,E452&lt;&gt;0,F452&lt;&gt;0),1,0),1))</f>
        <v>0</v>
      </c>
      <c r="H452" t="str">
        <f>IF(OR(G452=0,E452=0),"",C452/E452)</f>
        <v/>
      </c>
      <c r="I452" t="str">
        <f>IF(OR(G452=0,F452=0),"",D452/F452)</f>
        <v/>
      </c>
      <c r="J452" t="str">
        <f>IF(OR(H452="",I452=""),"",IF(H452=0,"",I452/H452-1))</f>
        <v/>
      </c>
      <c r="K452" t="str">
        <f>IF($B452="","",IFERROR(IF(G452=0,-2E+300,CHOOSE(sortIdx,ROUND(D452,0),IF(J452="",-1E+300,ROUND(-J452,6)),IF(J452="",-1E+300,ROUND(J452,6)))),-1.5E+300))</f>
        <v/>
      </c>
      <c r="L452" t="str">
        <f>IF(K452="","",RANK(K452,$K$2:$K$3001,0)+COUNTIF($K$2:K452,K452)-1)</f>
        <v/>
      </c>
    </row>
    <row r="453">
      <c r="B453" t="str">
        <f>IFERROR(IF(A453="","","="&amp;SUBSTITUTE(SUBSTITUTE(SUBSTITUTE(A453,"~","~~"),"*","~*"),"?","~?")),"")</f>
        <v/>
      </c>
      <c r="C453" t="str">
        <f>IF($B453="","",SUMIFS(dAmt,dCust,$B453,dPer,"&gt;="&amp;pyFrom,dPer,"&lt;="&amp;pyTo,dAmt,"&gt;-1E+300",dFlt1,critFlt1,dFlt2,critFlt2,dFlt3,critFlt3))</f>
        <v/>
      </c>
      <c r="D453" t="str">
        <f>IF($B453="","",SUMIFS(dAmt,dCust,$B453,dPer,"&gt;="&amp;cyFrom,dPer,"&lt;="&amp;cyTo,dAmt,"&gt;-1E+300",dFlt1,critFlt1,dFlt2,critFlt2,dFlt3,critFlt3))</f>
        <v/>
      </c>
      <c r="E453" t="str">
        <f>IF($B453="","",SUMIFS(dQty,dCust,$B453,dPer,"&gt;="&amp;pyFrom,dPer,"&lt;="&amp;pyTo,dQty,"&gt;-1E+300",dFlt1,critFlt1,dFlt2,critFlt2,dFlt3,critFlt3))</f>
        <v/>
      </c>
      <c r="F453" t="str">
        <f>IF($B453="","",SUMIFS(dQty,dCust,$B453,dPer,"&gt;="&amp;cyFrom,dPer,"&lt;="&amp;cyTo,dQty,"&gt;-1E+300",dFlt1,critFlt1,dFlt2,critFlt2,dFlt3,critFlt3))</f>
        <v/>
      </c>
      <c r="G453">
        <f>IF($B453="",0,IFERROR(IF(OR(C453&lt;&gt;0,D453&lt;&gt;0,E453&lt;&gt;0,F453&lt;&gt;0),1,0),1))</f>
        <v>0</v>
      </c>
      <c r="H453" t="str">
        <f>IF(OR(G453=0,E453=0),"",C453/E453)</f>
        <v/>
      </c>
      <c r="I453" t="str">
        <f>IF(OR(G453=0,F453=0),"",D453/F453)</f>
        <v/>
      </c>
      <c r="J453" t="str">
        <f>IF(OR(H453="",I453=""),"",IF(H453=0,"",I453/H453-1))</f>
        <v/>
      </c>
      <c r="K453" t="str">
        <f>IF($B453="","",IFERROR(IF(G453=0,-2E+300,CHOOSE(sortIdx,ROUND(D453,0),IF(J453="",-1E+300,ROUND(-J453,6)),IF(J453="",-1E+300,ROUND(J453,6)))),-1.5E+300))</f>
        <v/>
      </c>
      <c r="L453" t="str">
        <f>IF(K453="","",RANK(K453,$K$2:$K$3001,0)+COUNTIF($K$2:K453,K453)-1)</f>
        <v/>
      </c>
    </row>
    <row r="454">
      <c r="B454" t="str">
        <f>IFERROR(IF(A454="","","="&amp;SUBSTITUTE(SUBSTITUTE(SUBSTITUTE(A454,"~","~~"),"*","~*"),"?","~?")),"")</f>
        <v/>
      </c>
      <c r="C454" t="str">
        <f>IF($B454="","",SUMIFS(dAmt,dCust,$B454,dPer,"&gt;="&amp;pyFrom,dPer,"&lt;="&amp;pyTo,dAmt,"&gt;-1E+300",dFlt1,critFlt1,dFlt2,critFlt2,dFlt3,critFlt3))</f>
        <v/>
      </c>
      <c r="D454" t="str">
        <f>IF($B454="","",SUMIFS(dAmt,dCust,$B454,dPer,"&gt;="&amp;cyFrom,dPer,"&lt;="&amp;cyTo,dAmt,"&gt;-1E+300",dFlt1,critFlt1,dFlt2,critFlt2,dFlt3,critFlt3))</f>
        <v/>
      </c>
      <c r="E454" t="str">
        <f>IF($B454="","",SUMIFS(dQty,dCust,$B454,dPer,"&gt;="&amp;pyFrom,dPer,"&lt;="&amp;pyTo,dQty,"&gt;-1E+300",dFlt1,critFlt1,dFlt2,critFlt2,dFlt3,critFlt3))</f>
        <v/>
      </c>
      <c r="F454" t="str">
        <f>IF($B454="","",SUMIFS(dQty,dCust,$B454,dPer,"&gt;="&amp;cyFrom,dPer,"&lt;="&amp;cyTo,dQty,"&gt;-1E+300",dFlt1,critFlt1,dFlt2,critFlt2,dFlt3,critFlt3))</f>
        <v/>
      </c>
      <c r="G454">
        <f>IF($B454="",0,IFERROR(IF(OR(C454&lt;&gt;0,D454&lt;&gt;0,E454&lt;&gt;0,F454&lt;&gt;0),1,0),1))</f>
        <v>0</v>
      </c>
      <c r="H454" t="str">
        <f>IF(OR(G454=0,E454=0),"",C454/E454)</f>
        <v/>
      </c>
      <c r="I454" t="str">
        <f>IF(OR(G454=0,F454=0),"",D454/F454)</f>
        <v/>
      </c>
      <c r="J454" t="str">
        <f>IF(OR(H454="",I454=""),"",IF(H454=0,"",I454/H454-1))</f>
        <v/>
      </c>
      <c r="K454" t="str">
        <f>IF($B454="","",IFERROR(IF(G454=0,-2E+300,CHOOSE(sortIdx,ROUND(D454,0),IF(J454="",-1E+300,ROUND(-J454,6)),IF(J454="",-1E+300,ROUND(J454,6)))),-1.5E+300))</f>
        <v/>
      </c>
      <c r="L454" t="str">
        <f>IF(K454="","",RANK(K454,$K$2:$K$3001,0)+COUNTIF($K$2:K454,K454)-1)</f>
        <v/>
      </c>
    </row>
    <row r="455">
      <c r="B455" t="str">
        <f>IFERROR(IF(A455="","","="&amp;SUBSTITUTE(SUBSTITUTE(SUBSTITUTE(A455,"~","~~"),"*","~*"),"?","~?")),"")</f>
        <v/>
      </c>
      <c r="C455" t="str">
        <f>IF($B455="","",SUMIFS(dAmt,dCust,$B455,dPer,"&gt;="&amp;pyFrom,dPer,"&lt;="&amp;pyTo,dAmt,"&gt;-1E+300",dFlt1,critFlt1,dFlt2,critFlt2,dFlt3,critFlt3))</f>
        <v/>
      </c>
      <c r="D455" t="str">
        <f>IF($B455="","",SUMIFS(dAmt,dCust,$B455,dPer,"&gt;="&amp;cyFrom,dPer,"&lt;="&amp;cyTo,dAmt,"&gt;-1E+300",dFlt1,critFlt1,dFlt2,critFlt2,dFlt3,critFlt3))</f>
        <v/>
      </c>
      <c r="E455" t="str">
        <f>IF($B455="","",SUMIFS(dQty,dCust,$B455,dPer,"&gt;="&amp;pyFrom,dPer,"&lt;="&amp;pyTo,dQty,"&gt;-1E+300",dFlt1,critFlt1,dFlt2,critFlt2,dFlt3,critFlt3))</f>
        <v/>
      </c>
      <c r="F455" t="str">
        <f>IF($B455="","",SUMIFS(dQty,dCust,$B455,dPer,"&gt;="&amp;cyFrom,dPer,"&lt;="&amp;cyTo,dQty,"&gt;-1E+300",dFlt1,critFlt1,dFlt2,critFlt2,dFlt3,critFlt3))</f>
        <v/>
      </c>
      <c r="G455">
        <f>IF($B455="",0,IFERROR(IF(OR(C455&lt;&gt;0,D455&lt;&gt;0,E455&lt;&gt;0,F455&lt;&gt;0),1,0),1))</f>
        <v>0</v>
      </c>
      <c r="H455" t="str">
        <f>IF(OR(G455=0,E455=0),"",C455/E455)</f>
        <v/>
      </c>
      <c r="I455" t="str">
        <f>IF(OR(G455=0,F455=0),"",D455/F455)</f>
        <v/>
      </c>
      <c r="J455" t="str">
        <f>IF(OR(H455="",I455=""),"",IF(H455=0,"",I455/H455-1))</f>
        <v/>
      </c>
      <c r="K455" t="str">
        <f>IF($B455="","",IFERROR(IF(G455=0,-2E+300,CHOOSE(sortIdx,ROUND(D455,0),IF(J455="",-1E+300,ROUND(-J455,6)),IF(J455="",-1E+300,ROUND(J455,6)))),-1.5E+300))</f>
        <v/>
      </c>
      <c r="L455" t="str">
        <f>IF(K455="","",RANK(K455,$K$2:$K$3001,0)+COUNTIF($K$2:K455,K455)-1)</f>
        <v/>
      </c>
    </row>
    <row r="456">
      <c r="B456" t="str">
        <f>IFERROR(IF(A456="","","="&amp;SUBSTITUTE(SUBSTITUTE(SUBSTITUTE(A456,"~","~~"),"*","~*"),"?","~?")),"")</f>
        <v/>
      </c>
      <c r="C456" t="str">
        <f>IF($B456="","",SUMIFS(dAmt,dCust,$B456,dPer,"&gt;="&amp;pyFrom,dPer,"&lt;="&amp;pyTo,dAmt,"&gt;-1E+300",dFlt1,critFlt1,dFlt2,critFlt2,dFlt3,critFlt3))</f>
        <v/>
      </c>
      <c r="D456" t="str">
        <f>IF($B456="","",SUMIFS(dAmt,dCust,$B456,dPer,"&gt;="&amp;cyFrom,dPer,"&lt;="&amp;cyTo,dAmt,"&gt;-1E+300",dFlt1,critFlt1,dFlt2,critFlt2,dFlt3,critFlt3))</f>
        <v/>
      </c>
      <c r="E456" t="str">
        <f>IF($B456="","",SUMIFS(dQty,dCust,$B456,dPer,"&gt;="&amp;pyFrom,dPer,"&lt;="&amp;pyTo,dQty,"&gt;-1E+300",dFlt1,critFlt1,dFlt2,critFlt2,dFlt3,critFlt3))</f>
        <v/>
      </c>
      <c r="F456" t="str">
        <f>IF($B456="","",SUMIFS(dQty,dCust,$B456,dPer,"&gt;="&amp;cyFrom,dPer,"&lt;="&amp;cyTo,dQty,"&gt;-1E+300",dFlt1,critFlt1,dFlt2,critFlt2,dFlt3,critFlt3))</f>
        <v/>
      </c>
      <c r="G456">
        <f>IF($B456="",0,IFERROR(IF(OR(C456&lt;&gt;0,D456&lt;&gt;0,E456&lt;&gt;0,F456&lt;&gt;0),1,0),1))</f>
        <v>0</v>
      </c>
      <c r="H456" t="str">
        <f>IF(OR(G456=0,E456=0),"",C456/E456)</f>
        <v/>
      </c>
      <c r="I456" t="str">
        <f>IF(OR(G456=0,F456=0),"",D456/F456)</f>
        <v/>
      </c>
      <c r="J456" t="str">
        <f>IF(OR(H456="",I456=""),"",IF(H456=0,"",I456/H456-1))</f>
        <v/>
      </c>
      <c r="K456" t="str">
        <f>IF($B456="","",IFERROR(IF(G456=0,-2E+300,CHOOSE(sortIdx,ROUND(D456,0),IF(J456="",-1E+300,ROUND(-J456,6)),IF(J456="",-1E+300,ROUND(J456,6)))),-1.5E+300))</f>
        <v/>
      </c>
      <c r="L456" t="str">
        <f>IF(K456="","",RANK(K456,$K$2:$K$3001,0)+COUNTIF($K$2:K456,K456)-1)</f>
        <v/>
      </c>
    </row>
    <row r="457">
      <c r="B457" t="str">
        <f>IFERROR(IF(A457="","","="&amp;SUBSTITUTE(SUBSTITUTE(SUBSTITUTE(A457,"~","~~"),"*","~*"),"?","~?")),"")</f>
        <v/>
      </c>
      <c r="C457" t="str">
        <f>IF($B457="","",SUMIFS(dAmt,dCust,$B457,dPer,"&gt;="&amp;pyFrom,dPer,"&lt;="&amp;pyTo,dAmt,"&gt;-1E+300",dFlt1,critFlt1,dFlt2,critFlt2,dFlt3,critFlt3))</f>
        <v/>
      </c>
      <c r="D457" t="str">
        <f>IF($B457="","",SUMIFS(dAmt,dCust,$B457,dPer,"&gt;="&amp;cyFrom,dPer,"&lt;="&amp;cyTo,dAmt,"&gt;-1E+300",dFlt1,critFlt1,dFlt2,critFlt2,dFlt3,critFlt3))</f>
        <v/>
      </c>
      <c r="E457" t="str">
        <f>IF($B457="","",SUMIFS(dQty,dCust,$B457,dPer,"&gt;="&amp;pyFrom,dPer,"&lt;="&amp;pyTo,dQty,"&gt;-1E+300",dFlt1,critFlt1,dFlt2,critFlt2,dFlt3,critFlt3))</f>
        <v/>
      </c>
      <c r="F457" t="str">
        <f>IF($B457="","",SUMIFS(dQty,dCust,$B457,dPer,"&gt;="&amp;cyFrom,dPer,"&lt;="&amp;cyTo,dQty,"&gt;-1E+300",dFlt1,critFlt1,dFlt2,critFlt2,dFlt3,critFlt3))</f>
        <v/>
      </c>
      <c r="G457">
        <f>IF($B457="",0,IFERROR(IF(OR(C457&lt;&gt;0,D457&lt;&gt;0,E457&lt;&gt;0,F457&lt;&gt;0),1,0),1))</f>
        <v>0</v>
      </c>
      <c r="H457" t="str">
        <f>IF(OR(G457=0,E457=0),"",C457/E457)</f>
        <v/>
      </c>
      <c r="I457" t="str">
        <f>IF(OR(G457=0,F457=0),"",D457/F457)</f>
        <v/>
      </c>
      <c r="J457" t="str">
        <f>IF(OR(H457="",I457=""),"",IF(H457=0,"",I457/H457-1))</f>
        <v/>
      </c>
      <c r="K457" t="str">
        <f>IF($B457="","",IFERROR(IF(G457=0,-2E+300,CHOOSE(sortIdx,ROUND(D457,0),IF(J457="",-1E+300,ROUND(-J457,6)),IF(J457="",-1E+300,ROUND(J457,6)))),-1.5E+300))</f>
        <v/>
      </c>
      <c r="L457" t="str">
        <f>IF(K457="","",RANK(K457,$K$2:$K$3001,0)+COUNTIF($K$2:K457,K457)-1)</f>
        <v/>
      </c>
    </row>
    <row r="458">
      <c r="B458" t="str">
        <f>IFERROR(IF(A458="","","="&amp;SUBSTITUTE(SUBSTITUTE(SUBSTITUTE(A458,"~","~~"),"*","~*"),"?","~?")),"")</f>
        <v/>
      </c>
      <c r="C458" t="str">
        <f>IF($B458="","",SUMIFS(dAmt,dCust,$B458,dPer,"&gt;="&amp;pyFrom,dPer,"&lt;="&amp;pyTo,dAmt,"&gt;-1E+300",dFlt1,critFlt1,dFlt2,critFlt2,dFlt3,critFlt3))</f>
        <v/>
      </c>
      <c r="D458" t="str">
        <f>IF($B458="","",SUMIFS(dAmt,dCust,$B458,dPer,"&gt;="&amp;cyFrom,dPer,"&lt;="&amp;cyTo,dAmt,"&gt;-1E+300",dFlt1,critFlt1,dFlt2,critFlt2,dFlt3,critFlt3))</f>
        <v/>
      </c>
      <c r="E458" t="str">
        <f>IF($B458="","",SUMIFS(dQty,dCust,$B458,dPer,"&gt;="&amp;pyFrom,dPer,"&lt;="&amp;pyTo,dQty,"&gt;-1E+300",dFlt1,critFlt1,dFlt2,critFlt2,dFlt3,critFlt3))</f>
        <v/>
      </c>
      <c r="F458" t="str">
        <f>IF($B458="","",SUMIFS(dQty,dCust,$B458,dPer,"&gt;="&amp;cyFrom,dPer,"&lt;="&amp;cyTo,dQty,"&gt;-1E+300",dFlt1,critFlt1,dFlt2,critFlt2,dFlt3,critFlt3))</f>
        <v/>
      </c>
      <c r="G458">
        <f>IF($B458="",0,IFERROR(IF(OR(C458&lt;&gt;0,D458&lt;&gt;0,E458&lt;&gt;0,F458&lt;&gt;0),1,0),1))</f>
        <v>0</v>
      </c>
      <c r="H458" t="str">
        <f>IF(OR(G458=0,E458=0),"",C458/E458)</f>
        <v/>
      </c>
      <c r="I458" t="str">
        <f>IF(OR(G458=0,F458=0),"",D458/F458)</f>
        <v/>
      </c>
      <c r="J458" t="str">
        <f>IF(OR(H458="",I458=""),"",IF(H458=0,"",I458/H458-1))</f>
        <v/>
      </c>
      <c r="K458" t="str">
        <f>IF($B458="","",IFERROR(IF(G458=0,-2E+300,CHOOSE(sortIdx,ROUND(D458,0),IF(J458="",-1E+300,ROUND(-J458,6)),IF(J458="",-1E+300,ROUND(J458,6)))),-1.5E+300))</f>
        <v/>
      </c>
      <c r="L458" t="str">
        <f>IF(K458="","",RANK(K458,$K$2:$K$3001,0)+COUNTIF($K$2:K458,K458)-1)</f>
        <v/>
      </c>
    </row>
    <row r="459">
      <c r="B459" t="str">
        <f>IFERROR(IF(A459="","","="&amp;SUBSTITUTE(SUBSTITUTE(SUBSTITUTE(A459,"~","~~"),"*","~*"),"?","~?")),"")</f>
        <v/>
      </c>
      <c r="C459" t="str">
        <f>IF($B459="","",SUMIFS(dAmt,dCust,$B459,dPer,"&gt;="&amp;pyFrom,dPer,"&lt;="&amp;pyTo,dAmt,"&gt;-1E+300",dFlt1,critFlt1,dFlt2,critFlt2,dFlt3,critFlt3))</f>
        <v/>
      </c>
      <c r="D459" t="str">
        <f>IF($B459="","",SUMIFS(dAmt,dCust,$B459,dPer,"&gt;="&amp;cyFrom,dPer,"&lt;="&amp;cyTo,dAmt,"&gt;-1E+300",dFlt1,critFlt1,dFlt2,critFlt2,dFlt3,critFlt3))</f>
        <v/>
      </c>
      <c r="E459" t="str">
        <f>IF($B459="","",SUMIFS(dQty,dCust,$B459,dPer,"&gt;="&amp;pyFrom,dPer,"&lt;="&amp;pyTo,dQty,"&gt;-1E+300",dFlt1,critFlt1,dFlt2,critFlt2,dFlt3,critFlt3))</f>
        <v/>
      </c>
      <c r="F459" t="str">
        <f>IF($B459="","",SUMIFS(dQty,dCust,$B459,dPer,"&gt;="&amp;cyFrom,dPer,"&lt;="&amp;cyTo,dQty,"&gt;-1E+300",dFlt1,critFlt1,dFlt2,critFlt2,dFlt3,critFlt3))</f>
        <v/>
      </c>
      <c r="G459">
        <f>IF($B459="",0,IFERROR(IF(OR(C459&lt;&gt;0,D459&lt;&gt;0,E459&lt;&gt;0,F459&lt;&gt;0),1,0),1))</f>
        <v>0</v>
      </c>
      <c r="H459" t="str">
        <f>IF(OR(G459=0,E459=0),"",C459/E459)</f>
        <v/>
      </c>
      <c r="I459" t="str">
        <f>IF(OR(G459=0,F459=0),"",D459/F459)</f>
        <v/>
      </c>
      <c r="J459" t="str">
        <f>IF(OR(H459="",I459=""),"",IF(H459=0,"",I459/H459-1))</f>
        <v/>
      </c>
      <c r="K459" t="str">
        <f>IF($B459="","",IFERROR(IF(G459=0,-2E+300,CHOOSE(sortIdx,ROUND(D459,0),IF(J459="",-1E+300,ROUND(-J459,6)),IF(J459="",-1E+300,ROUND(J459,6)))),-1.5E+300))</f>
        <v/>
      </c>
      <c r="L459" t="str">
        <f>IF(K459="","",RANK(K459,$K$2:$K$3001,0)+COUNTIF($K$2:K459,K459)-1)</f>
        <v/>
      </c>
    </row>
    <row r="460">
      <c r="B460" t="str">
        <f>IFERROR(IF(A460="","","="&amp;SUBSTITUTE(SUBSTITUTE(SUBSTITUTE(A460,"~","~~"),"*","~*"),"?","~?")),"")</f>
        <v/>
      </c>
      <c r="C460" t="str">
        <f>IF($B460="","",SUMIFS(dAmt,dCust,$B460,dPer,"&gt;="&amp;pyFrom,dPer,"&lt;="&amp;pyTo,dAmt,"&gt;-1E+300",dFlt1,critFlt1,dFlt2,critFlt2,dFlt3,critFlt3))</f>
        <v/>
      </c>
      <c r="D460" t="str">
        <f>IF($B460="","",SUMIFS(dAmt,dCust,$B460,dPer,"&gt;="&amp;cyFrom,dPer,"&lt;="&amp;cyTo,dAmt,"&gt;-1E+300",dFlt1,critFlt1,dFlt2,critFlt2,dFlt3,critFlt3))</f>
        <v/>
      </c>
      <c r="E460" t="str">
        <f>IF($B460="","",SUMIFS(dQty,dCust,$B460,dPer,"&gt;="&amp;pyFrom,dPer,"&lt;="&amp;pyTo,dQty,"&gt;-1E+300",dFlt1,critFlt1,dFlt2,critFlt2,dFlt3,critFlt3))</f>
        <v/>
      </c>
      <c r="F460" t="str">
        <f>IF($B460="","",SUMIFS(dQty,dCust,$B460,dPer,"&gt;="&amp;cyFrom,dPer,"&lt;="&amp;cyTo,dQty,"&gt;-1E+300",dFlt1,critFlt1,dFlt2,critFlt2,dFlt3,critFlt3))</f>
        <v/>
      </c>
      <c r="G460">
        <f>IF($B460="",0,IFERROR(IF(OR(C460&lt;&gt;0,D460&lt;&gt;0,E460&lt;&gt;0,F460&lt;&gt;0),1,0),1))</f>
        <v>0</v>
      </c>
      <c r="H460" t="str">
        <f>IF(OR(G460=0,E460=0),"",C460/E460)</f>
        <v/>
      </c>
      <c r="I460" t="str">
        <f>IF(OR(G460=0,F460=0),"",D460/F460)</f>
        <v/>
      </c>
      <c r="J460" t="str">
        <f>IF(OR(H460="",I460=""),"",IF(H460=0,"",I460/H460-1))</f>
        <v/>
      </c>
      <c r="K460" t="str">
        <f>IF($B460="","",IFERROR(IF(G460=0,-2E+300,CHOOSE(sortIdx,ROUND(D460,0),IF(J460="",-1E+300,ROUND(-J460,6)),IF(J460="",-1E+300,ROUND(J460,6)))),-1.5E+300))</f>
        <v/>
      </c>
      <c r="L460" t="str">
        <f>IF(K460="","",RANK(K460,$K$2:$K$3001,0)+COUNTIF($K$2:K460,K460)-1)</f>
        <v/>
      </c>
    </row>
    <row r="461">
      <c r="B461" t="str">
        <f>IFERROR(IF(A461="","","="&amp;SUBSTITUTE(SUBSTITUTE(SUBSTITUTE(A461,"~","~~"),"*","~*"),"?","~?")),"")</f>
        <v/>
      </c>
      <c r="C461" t="str">
        <f>IF($B461="","",SUMIFS(dAmt,dCust,$B461,dPer,"&gt;="&amp;pyFrom,dPer,"&lt;="&amp;pyTo,dAmt,"&gt;-1E+300",dFlt1,critFlt1,dFlt2,critFlt2,dFlt3,critFlt3))</f>
        <v/>
      </c>
      <c r="D461" t="str">
        <f>IF($B461="","",SUMIFS(dAmt,dCust,$B461,dPer,"&gt;="&amp;cyFrom,dPer,"&lt;="&amp;cyTo,dAmt,"&gt;-1E+300",dFlt1,critFlt1,dFlt2,critFlt2,dFlt3,critFlt3))</f>
        <v/>
      </c>
      <c r="E461" t="str">
        <f>IF($B461="","",SUMIFS(dQty,dCust,$B461,dPer,"&gt;="&amp;pyFrom,dPer,"&lt;="&amp;pyTo,dQty,"&gt;-1E+300",dFlt1,critFlt1,dFlt2,critFlt2,dFlt3,critFlt3))</f>
        <v/>
      </c>
      <c r="F461" t="str">
        <f>IF($B461="","",SUMIFS(dQty,dCust,$B461,dPer,"&gt;="&amp;cyFrom,dPer,"&lt;="&amp;cyTo,dQty,"&gt;-1E+300",dFlt1,critFlt1,dFlt2,critFlt2,dFlt3,critFlt3))</f>
        <v/>
      </c>
      <c r="G461">
        <f>IF($B461="",0,IFERROR(IF(OR(C461&lt;&gt;0,D461&lt;&gt;0,E461&lt;&gt;0,F461&lt;&gt;0),1,0),1))</f>
        <v>0</v>
      </c>
      <c r="H461" t="str">
        <f>IF(OR(G461=0,E461=0),"",C461/E461)</f>
        <v/>
      </c>
      <c r="I461" t="str">
        <f>IF(OR(G461=0,F461=0),"",D461/F461)</f>
        <v/>
      </c>
      <c r="J461" t="str">
        <f>IF(OR(H461="",I461=""),"",IF(H461=0,"",I461/H461-1))</f>
        <v/>
      </c>
      <c r="K461" t="str">
        <f>IF($B461="","",IFERROR(IF(G461=0,-2E+300,CHOOSE(sortIdx,ROUND(D461,0),IF(J461="",-1E+300,ROUND(-J461,6)),IF(J461="",-1E+300,ROUND(J461,6)))),-1.5E+300))</f>
        <v/>
      </c>
      <c r="L461" t="str">
        <f>IF(K461="","",RANK(K461,$K$2:$K$3001,0)+COUNTIF($K$2:K461,K461)-1)</f>
        <v/>
      </c>
    </row>
    <row r="462">
      <c r="B462" t="str">
        <f>IFERROR(IF(A462="","","="&amp;SUBSTITUTE(SUBSTITUTE(SUBSTITUTE(A462,"~","~~"),"*","~*"),"?","~?")),"")</f>
        <v/>
      </c>
      <c r="C462" t="str">
        <f>IF($B462="","",SUMIFS(dAmt,dCust,$B462,dPer,"&gt;="&amp;pyFrom,dPer,"&lt;="&amp;pyTo,dAmt,"&gt;-1E+300",dFlt1,critFlt1,dFlt2,critFlt2,dFlt3,critFlt3))</f>
        <v/>
      </c>
      <c r="D462" t="str">
        <f>IF($B462="","",SUMIFS(dAmt,dCust,$B462,dPer,"&gt;="&amp;cyFrom,dPer,"&lt;="&amp;cyTo,dAmt,"&gt;-1E+300",dFlt1,critFlt1,dFlt2,critFlt2,dFlt3,critFlt3))</f>
        <v/>
      </c>
      <c r="E462" t="str">
        <f>IF($B462="","",SUMIFS(dQty,dCust,$B462,dPer,"&gt;="&amp;pyFrom,dPer,"&lt;="&amp;pyTo,dQty,"&gt;-1E+300",dFlt1,critFlt1,dFlt2,critFlt2,dFlt3,critFlt3))</f>
        <v/>
      </c>
      <c r="F462" t="str">
        <f>IF($B462="","",SUMIFS(dQty,dCust,$B462,dPer,"&gt;="&amp;cyFrom,dPer,"&lt;="&amp;cyTo,dQty,"&gt;-1E+300",dFlt1,critFlt1,dFlt2,critFlt2,dFlt3,critFlt3))</f>
        <v/>
      </c>
      <c r="G462">
        <f>IF($B462="",0,IFERROR(IF(OR(C462&lt;&gt;0,D462&lt;&gt;0,E462&lt;&gt;0,F462&lt;&gt;0),1,0),1))</f>
        <v>0</v>
      </c>
      <c r="H462" t="str">
        <f>IF(OR(G462=0,E462=0),"",C462/E462)</f>
        <v/>
      </c>
      <c r="I462" t="str">
        <f>IF(OR(G462=0,F462=0),"",D462/F462)</f>
        <v/>
      </c>
      <c r="J462" t="str">
        <f>IF(OR(H462="",I462=""),"",IF(H462=0,"",I462/H462-1))</f>
        <v/>
      </c>
      <c r="K462" t="str">
        <f>IF($B462="","",IFERROR(IF(G462=0,-2E+300,CHOOSE(sortIdx,ROUND(D462,0),IF(J462="",-1E+300,ROUND(-J462,6)),IF(J462="",-1E+300,ROUND(J462,6)))),-1.5E+300))</f>
        <v/>
      </c>
      <c r="L462" t="str">
        <f>IF(K462="","",RANK(K462,$K$2:$K$3001,0)+COUNTIF($K$2:K462,K462)-1)</f>
        <v/>
      </c>
    </row>
    <row r="463">
      <c r="B463" t="str">
        <f>IFERROR(IF(A463="","","="&amp;SUBSTITUTE(SUBSTITUTE(SUBSTITUTE(A463,"~","~~"),"*","~*"),"?","~?")),"")</f>
        <v/>
      </c>
      <c r="C463" t="str">
        <f>IF($B463="","",SUMIFS(dAmt,dCust,$B463,dPer,"&gt;="&amp;pyFrom,dPer,"&lt;="&amp;pyTo,dAmt,"&gt;-1E+300",dFlt1,critFlt1,dFlt2,critFlt2,dFlt3,critFlt3))</f>
        <v/>
      </c>
      <c r="D463" t="str">
        <f>IF($B463="","",SUMIFS(dAmt,dCust,$B463,dPer,"&gt;="&amp;cyFrom,dPer,"&lt;="&amp;cyTo,dAmt,"&gt;-1E+300",dFlt1,critFlt1,dFlt2,critFlt2,dFlt3,critFlt3))</f>
        <v/>
      </c>
      <c r="E463" t="str">
        <f>IF($B463="","",SUMIFS(dQty,dCust,$B463,dPer,"&gt;="&amp;pyFrom,dPer,"&lt;="&amp;pyTo,dQty,"&gt;-1E+300",dFlt1,critFlt1,dFlt2,critFlt2,dFlt3,critFlt3))</f>
        <v/>
      </c>
      <c r="F463" t="str">
        <f>IF($B463="","",SUMIFS(dQty,dCust,$B463,dPer,"&gt;="&amp;cyFrom,dPer,"&lt;="&amp;cyTo,dQty,"&gt;-1E+300",dFlt1,critFlt1,dFlt2,critFlt2,dFlt3,critFlt3))</f>
        <v/>
      </c>
      <c r="G463">
        <f>IF($B463="",0,IFERROR(IF(OR(C463&lt;&gt;0,D463&lt;&gt;0,E463&lt;&gt;0,F463&lt;&gt;0),1,0),1))</f>
        <v>0</v>
      </c>
      <c r="H463" t="str">
        <f>IF(OR(G463=0,E463=0),"",C463/E463)</f>
        <v/>
      </c>
      <c r="I463" t="str">
        <f>IF(OR(G463=0,F463=0),"",D463/F463)</f>
        <v/>
      </c>
      <c r="J463" t="str">
        <f>IF(OR(H463="",I463=""),"",IF(H463=0,"",I463/H463-1))</f>
        <v/>
      </c>
      <c r="K463" t="str">
        <f>IF($B463="","",IFERROR(IF(G463=0,-2E+300,CHOOSE(sortIdx,ROUND(D463,0),IF(J463="",-1E+300,ROUND(-J463,6)),IF(J463="",-1E+300,ROUND(J463,6)))),-1.5E+300))</f>
        <v/>
      </c>
      <c r="L463" t="str">
        <f>IF(K463="","",RANK(K463,$K$2:$K$3001,0)+COUNTIF($K$2:K463,K463)-1)</f>
        <v/>
      </c>
    </row>
    <row r="464">
      <c r="B464" t="str">
        <f>IFERROR(IF(A464="","","="&amp;SUBSTITUTE(SUBSTITUTE(SUBSTITUTE(A464,"~","~~"),"*","~*"),"?","~?")),"")</f>
        <v/>
      </c>
      <c r="C464" t="str">
        <f>IF($B464="","",SUMIFS(dAmt,dCust,$B464,dPer,"&gt;="&amp;pyFrom,dPer,"&lt;="&amp;pyTo,dAmt,"&gt;-1E+300",dFlt1,critFlt1,dFlt2,critFlt2,dFlt3,critFlt3))</f>
        <v/>
      </c>
      <c r="D464" t="str">
        <f>IF($B464="","",SUMIFS(dAmt,dCust,$B464,dPer,"&gt;="&amp;cyFrom,dPer,"&lt;="&amp;cyTo,dAmt,"&gt;-1E+300",dFlt1,critFlt1,dFlt2,critFlt2,dFlt3,critFlt3))</f>
        <v/>
      </c>
      <c r="E464" t="str">
        <f>IF($B464="","",SUMIFS(dQty,dCust,$B464,dPer,"&gt;="&amp;pyFrom,dPer,"&lt;="&amp;pyTo,dQty,"&gt;-1E+300",dFlt1,critFlt1,dFlt2,critFlt2,dFlt3,critFlt3))</f>
        <v/>
      </c>
      <c r="F464" t="str">
        <f>IF($B464="","",SUMIFS(dQty,dCust,$B464,dPer,"&gt;="&amp;cyFrom,dPer,"&lt;="&amp;cyTo,dQty,"&gt;-1E+300",dFlt1,critFlt1,dFlt2,critFlt2,dFlt3,critFlt3))</f>
        <v/>
      </c>
      <c r="G464">
        <f>IF($B464="",0,IFERROR(IF(OR(C464&lt;&gt;0,D464&lt;&gt;0,E464&lt;&gt;0,F464&lt;&gt;0),1,0),1))</f>
        <v>0</v>
      </c>
      <c r="H464" t="str">
        <f>IF(OR(G464=0,E464=0),"",C464/E464)</f>
        <v/>
      </c>
      <c r="I464" t="str">
        <f>IF(OR(G464=0,F464=0),"",D464/F464)</f>
        <v/>
      </c>
      <c r="J464" t="str">
        <f>IF(OR(H464="",I464=""),"",IF(H464=0,"",I464/H464-1))</f>
        <v/>
      </c>
      <c r="K464" t="str">
        <f>IF($B464="","",IFERROR(IF(G464=0,-2E+300,CHOOSE(sortIdx,ROUND(D464,0),IF(J464="",-1E+300,ROUND(-J464,6)),IF(J464="",-1E+300,ROUND(J464,6)))),-1.5E+300))</f>
        <v/>
      </c>
      <c r="L464" t="str">
        <f>IF(K464="","",RANK(K464,$K$2:$K$3001,0)+COUNTIF($K$2:K464,K464)-1)</f>
        <v/>
      </c>
    </row>
    <row r="465">
      <c r="B465" t="str">
        <f>IFERROR(IF(A465="","","="&amp;SUBSTITUTE(SUBSTITUTE(SUBSTITUTE(A465,"~","~~"),"*","~*"),"?","~?")),"")</f>
        <v/>
      </c>
      <c r="C465" t="str">
        <f>IF($B465="","",SUMIFS(dAmt,dCust,$B465,dPer,"&gt;="&amp;pyFrom,dPer,"&lt;="&amp;pyTo,dAmt,"&gt;-1E+300",dFlt1,critFlt1,dFlt2,critFlt2,dFlt3,critFlt3))</f>
        <v/>
      </c>
      <c r="D465" t="str">
        <f>IF($B465="","",SUMIFS(dAmt,dCust,$B465,dPer,"&gt;="&amp;cyFrom,dPer,"&lt;="&amp;cyTo,dAmt,"&gt;-1E+300",dFlt1,critFlt1,dFlt2,critFlt2,dFlt3,critFlt3))</f>
        <v/>
      </c>
      <c r="E465" t="str">
        <f>IF($B465="","",SUMIFS(dQty,dCust,$B465,dPer,"&gt;="&amp;pyFrom,dPer,"&lt;="&amp;pyTo,dQty,"&gt;-1E+300",dFlt1,critFlt1,dFlt2,critFlt2,dFlt3,critFlt3))</f>
        <v/>
      </c>
      <c r="F465" t="str">
        <f>IF($B465="","",SUMIFS(dQty,dCust,$B465,dPer,"&gt;="&amp;cyFrom,dPer,"&lt;="&amp;cyTo,dQty,"&gt;-1E+300",dFlt1,critFlt1,dFlt2,critFlt2,dFlt3,critFlt3))</f>
        <v/>
      </c>
      <c r="G465">
        <f>IF($B465="",0,IFERROR(IF(OR(C465&lt;&gt;0,D465&lt;&gt;0,E465&lt;&gt;0,F465&lt;&gt;0),1,0),1))</f>
        <v>0</v>
      </c>
      <c r="H465" t="str">
        <f>IF(OR(G465=0,E465=0),"",C465/E465)</f>
        <v/>
      </c>
      <c r="I465" t="str">
        <f>IF(OR(G465=0,F465=0),"",D465/F465)</f>
        <v/>
      </c>
      <c r="J465" t="str">
        <f>IF(OR(H465="",I465=""),"",IF(H465=0,"",I465/H465-1))</f>
        <v/>
      </c>
      <c r="K465" t="str">
        <f>IF($B465="","",IFERROR(IF(G465=0,-2E+300,CHOOSE(sortIdx,ROUND(D465,0),IF(J465="",-1E+300,ROUND(-J465,6)),IF(J465="",-1E+300,ROUND(J465,6)))),-1.5E+300))</f>
        <v/>
      </c>
      <c r="L465" t="str">
        <f>IF(K465="","",RANK(K465,$K$2:$K$3001,0)+COUNTIF($K$2:K465,K465)-1)</f>
        <v/>
      </c>
    </row>
    <row r="466">
      <c r="B466" t="str">
        <f>IFERROR(IF(A466="","","="&amp;SUBSTITUTE(SUBSTITUTE(SUBSTITUTE(A466,"~","~~"),"*","~*"),"?","~?")),"")</f>
        <v/>
      </c>
      <c r="C466" t="str">
        <f>IF($B466="","",SUMIFS(dAmt,dCust,$B466,dPer,"&gt;="&amp;pyFrom,dPer,"&lt;="&amp;pyTo,dAmt,"&gt;-1E+300",dFlt1,critFlt1,dFlt2,critFlt2,dFlt3,critFlt3))</f>
        <v/>
      </c>
      <c r="D466" t="str">
        <f>IF($B466="","",SUMIFS(dAmt,dCust,$B466,dPer,"&gt;="&amp;cyFrom,dPer,"&lt;="&amp;cyTo,dAmt,"&gt;-1E+300",dFlt1,critFlt1,dFlt2,critFlt2,dFlt3,critFlt3))</f>
        <v/>
      </c>
      <c r="E466" t="str">
        <f>IF($B466="","",SUMIFS(dQty,dCust,$B466,dPer,"&gt;="&amp;pyFrom,dPer,"&lt;="&amp;pyTo,dQty,"&gt;-1E+300",dFlt1,critFlt1,dFlt2,critFlt2,dFlt3,critFlt3))</f>
        <v/>
      </c>
      <c r="F466" t="str">
        <f>IF($B466="","",SUMIFS(dQty,dCust,$B466,dPer,"&gt;="&amp;cyFrom,dPer,"&lt;="&amp;cyTo,dQty,"&gt;-1E+300",dFlt1,critFlt1,dFlt2,critFlt2,dFlt3,critFlt3))</f>
        <v/>
      </c>
      <c r="G466">
        <f>IF($B466="",0,IFERROR(IF(OR(C466&lt;&gt;0,D466&lt;&gt;0,E466&lt;&gt;0,F466&lt;&gt;0),1,0),1))</f>
        <v>0</v>
      </c>
      <c r="H466" t="str">
        <f>IF(OR(G466=0,E466=0),"",C466/E466)</f>
        <v/>
      </c>
      <c r="I466" t="str">
        <f>IF(OR(G466=0,F466=0),"",D466/F466)</f>
        <v/>
      </c>
      <c r="J466" t="str">
        <f>IF(OR(H466="",I466=""),"",IF(H466=0,"",I466/H466-1))</f>
        <v/>
      </c>
      <c r="K466" t="str">
        <f>IF($B466="","",IFERROR(IF(G466=0,-2E+300,CHOOSE(sortIdx,ROUND(D466,0),IF(J466="",-1E+300,ROUND(-J466,6)),IF(J466="",-1E+300,ROUND(J466,6)))),-1.5E+300))</f>
        <v/>
      </c>
      <c r="L466" t="str">
        <f>IF(K466="","",RANK(K466,$K$2:$K$3001,0)+COUNTIF($K$2:K466,K466)-1)</f>
        <v/>
      </c>
    </row>
    <row r="467">
      <c r="B467" t="str">
        <f>IFERROR(IF(A467="","","="&amp;SUBSTITUTE(SUBSTITUTE(SUBSTITUTE(A467,"~","~~"),"*","~*"),"?","~?")),"")</f>
        <v/>
      </c>
      <c r="C467" t="str">
        <f>IF($B467="","",SUMIFS(dAmt,dCust,$B467,dPer,"&gt;="&amp;pyFrom,dPer,"&lt;="&amp;pyTo,dAmt,"&gt;-1E+300",dFlt1,critFlt1,dFlt2,critFlt2,dFlt3,critFlt3))</f>
        <v/>
      </c>
      <c r="D467" t="str">
        <f>IF($B467="","",SUMIFS(dAmt,dCust,$B467,dPer,"&gt;="&amp;cyFrom,dPer,"&lt;="&amp;cyTo,dAmt,"&gt;-1E+300",dFlt1,critFlt1,dFlt2,critFlt2,dFlt3,critFlt3))</f>
        <v/>
      </c>
      <c r="E467" t="str">
        <f>IF($B467="","",SUMIFS(dQty,dCust,$B467,dPer,"&gt;="&amp;pyFrom,dPer,"&lt;="&amp;pyTo,dQty,"&gt;-1E+300",dFlt1,critFlt1,dFlt2,critFlt2,dFlt3,critFlt3))</f>
        <v/>
      </c>
      <c r="F467" t="str">
        <f>IF($B467="","",SUMIFS(dQty,dCust,$B467,dPer,"&gt;="&amp;cyFrom,dPer,"&lt;="&amp;cyTo,dQty,"&gt;-1E+300",dFlt1,critFlt1,dFlt2,critFlt2,dFlt3,critFlt3))</f>
        <v/>
      </c>
      <c r="G467">
        <f>IF($B467="",0,IFERROR(IF(OR(C467&lt;&gt;0,D467&lt;&gt;0,E467&lt;&gt;0,F467&lt;&gt;0),1,0),1))</f>
        <v>0</v>
      </c>
      <c r="H467" t="str">
        <f>IF(OR(G467=0,E467=0),"",C467/E467)</f>
        <v/>
      </c>
      <c r="I467" t="str">
        <f>IF(OR(G467=0,F467=0),"",D467/F467)</f>
        <v/>
      </c>
      <c r="J467" t="str">
        <f>IF(OR(H467="",I467=""),"",IF(H467=0,"",I467/H467-1))</f>
        <v/>
      </c>
      <c r="K467" t="str">
        <f>IF($B467="","",IFERROR(IF(G467=0,-2E+300,CHOOSE(sortIdx,ROUND(D467,0),IF(J467="",-1E+300,ROUND(-J467,6)),IF(J467="",-1E+300,ROUND(J467,6)))),-1.5E+300))</f>
        <v/>
      </c>
      <c r="L467" t="str">
        <f>IF(K467="","",RANK(K467,$K$2:$K$3001,0)+COUNTIF($K$2:K467,K467)-1)</f>
        <v/>
      </c>
    </row>
    <row r="468">
      <c r="B468" t="str">
        <f>IFERROR(IF(A468="","","="&amp;SUBSTITUTE(SUBSTITUTE(SUBSTITUTE(A468,"~","~~"),"*","~*"),"?","~?")),"")</f>
        <v/>
      </c>
      <c r="C468" t="str">
        <f>IF($B468="","",SUMIFS(dAmt,dCust,$B468,dPer,"&gt;="&amp;pyFrom,dPer,"&lt;="&amp;pyTo,dAmt,"&gt;-1E+300",dFlt1,critFlt1,dFlt2,critFlt2,dFlt3,critFlt3))</f>
        <v/>
      </c>
      <c r="D468" t="str">
        <f>IF($B468="","",SUMIFS(dAmt,dCust,$B468,dPer,"&gt;="&amp;cyFrom,dPer,"&lt;="&amp;cyTo,dAmt,"&gt;-1E+300",dFlt1,critFlt1,dFlt2,critFlt2,dFlt3,critFlt3))</f>
        <v/>
      </c>
      <c r="E468" t="str">
        <f>IF($B468="","",SUMIFS(dQty,dCust,$B468,dPer,"&gt;="&amp;pyFrom,dPer,"&lt;="&amp;pyTo,dQty,"&gt;-1E+300",dFlt1,critFlt1,dFlt2,critFlt2,dFlt3,critFlt3))</f>
        <v/>
      </c>
      <c r="F468" t="str">
        <f>IF($B468="","",SUMIFS(dQty,dCust,$B468,dPer,"&gt;="&amp;cyFrom,dPer,"&lt;="&amp;cyTo,dQty,"&gt;-1E+300",dFlt1,critFlt1,dFlt2,critFlt2,dFlt3,critFlt3))</f>
        <v/>
      </c>
      <c r="G468">
        <f>IF($B468="",0,IFERROR(IF(OR(C468&lt;&gt;0,D468&lt;&gt;0,E468&lt;&gt;0,F468&lt;&gt;0),1,0),1))</f>
        <v>0</v>
      </c>
      <c r="H468" t="str">
        <f>IF(OR(G468=0,E468=0),"",C468/E468)</f>
        <v/>
      </c>
      <c r="I468" t="str">
        <f>IF(OR(G468=0,F468=0),"",D468/F468)</f>
        <v/>
      </c>
      <c r="J468" t="str">
        <f>IF(OR(H468="",I468=""),"",IF(H468=0,"",I468/H468-1))</f>
        <v/>
      </c>
      <c r="K468" t="str">
        <f>IF($B468="","",IFERROR(IF(G468=0,-2E+300,CHOOSE(sortIdx,ROUND(D468,0),IF(J468="",-1E+300,ROUND(-J468,6)),IF(J468="",-1E+300,ROUND(J468,6)))),-1.5E+300))</f>
        <v/>
      </c>
      <c r="L468" t="str">
        <f>IF(K468="","",RANK(K468,$K$2:$K$3001,0)+COUNTIF($K$2:K468,K468)-1)</f>
        <v/>
      </c>
    </row>
    <row r="469">
      <c r="B469" t="str">
        <f>IFERROR(IF(A469="","","="&amp;SUBSTITUTE(SUBSTITUTE(SUBSTITUTE(A469,"~","~~"),"*","~*"),"?","~?")),"")</f>
        <v/>
      </c>
      <c r="C469" t="str">
        <f>IF($B469="","",SUMIFS(dAmt,dCust,$B469,dPer,"&gt;="&amp;pyFrom,dPer,"&lt;="&amp;pyTo,dAmt,"&gt;-1E+300",dFlt1,critFlt1,dFlt2,critFlt2,dFlt3,critFlt3))</f>
        <v/>
      </c>
      <c r="D469" t="str">
        <f>IF($B469="","",SUMIFS(dAmt,dCust,$B469,dPer,"&gt;="&amp;cyFrom,dPer,"&lt;="&amp;cyTo,dAmt,"&gt;-1E+300",dFlt1,critFlt1,dFlt2,critFlt2,dFlt3,critFlt3))</f>
        <v/>
      </c>
      <c r="E469" t="str">
        <f>IF($B469="","",SUMIFS(dQty,dCust,$B469,dPer,"&gt;="&amp;pyFrom,dPer,"&lt;="&amp;pyTo,dQty,"&gt;-1E+300",dFlt1,critFlt1,dFlt2,critFlt2,dFlt3,critFlt3))</f>
        <v/>
      </c>
      <c r="F469" t="str">
        <f>IF($B469="","",SUMIFS(dQty,dCust,$B469,dPer,"&gt;="&amp;cyFrom,dPer,"&lt;="&amp;cyTo,dQty,"&gt;-1E+300",dFlt1,critFlt1,dFlt2,critFlt2,dFlt3,critFlt3))</f>
        <v/>
      </c>
      <c r="G469">
        <f>IF($B469="",0,IFERROR(IF(OR(C469&lt;&gt;0,D469&lt;&gt;0,E469&lt;&gt;0,F469&lt;&gt;0),1,0),1))</f>
        <v>0</v>
      </c>
      <c r="H469" t="str">
        <f>IF(OR(G469=0,E469=0),"",C469/E469)</f>
        <v/>
      </c>
      <c r="I469" t="str">
        <f>IF(OR(G469=0,F469=0),"",D469/F469)</f>
        <v/>
      </c>
      <c r="J469" t="str">
        <f>IF(OR(H469="",I469=""),"",IF(H469=0,"",I469/H469-1))</f>
        <v/>
      </c>
      <c r="K469" t="str">
        <f>IF($B469="","",IFERROR(IF(G469=0,-2E+300,CHOOSE(sortIdx,ROUND(D469,0),IF(J469="",-1E+300,ROUND(-J469,6)),IF(J469="",-1E+300,ROUND(J469,6)))),-1.5E+300))</f>
        <v/>
      </c>
      <c r="L469" t="str">
        <f>IF(K469="","",RANK(K469,$K$2:$K$3001,0)+COUNTIF($K$2:K469,K469)-1)</f>
        <v/>
      </c>
    </row>
    <row r="470">
      <c r="B470" t="str">
        <f>IFERROR(IF(A470="","","="&amp;SUBSTITUTE(SUBSTITUTE(SUBSTITUTE(A470,"~","~~"),"*","~*"),"?","~?")),"")</f>
        <v/>
      </c>
      <c r="C470" t="str">
        <f>IF($B470="","",SUMIFS(dAmt,dCust,$B470,dPer,"&gt;="&amp;pyFrom,dPer,"&lt;="&amp;pyTo,dAmt,"&gt;-1E+300",dFlt1,critFlt1,dFlt2,critFlt2,dFlt3,critFlt3))</f>
        <v/>
      </c>
      <c r="D470" t="str">
        <f>IF($B470="","",SUMIFS(dAmt,dCust,$B470,dPer,"&gt;="&amp;cyFrom,dPer,"&lt;="&amp;cyTo,dAmt,"&gt;-1E+300",dFlt1,critFlt1,dFlt2,critFlt2,dFlt3,critFlt3))</f>
        <v/>
      </c>
      <c r="E470" t="str">
        <f>IF($B470="","",SUMIFS(dQty,dCust,$B470,dPer,"&gt;="&amp;pyFrom,dPer,"&lt;="&amp;pyTo,dQty,"&gt;-1E+300",dFlt1,critFlt1,dFlt2,critFlt2,dFlt3,critFlt3))</f>
        <v/>
      </c>
      <c r="F470" t="str">
        <f>IF($B470="","",SUMIFS(dQty,dCust,$B470,dPer,"&gt;="&amp;cyFrom,dPer,"&lt;="&amp;cyTo,dQty,"&gt;-1E+300",dFlt1,critFlt1,dFlt2,critFlt2,dFlt3,critFlt3))</f>
        <v/>
      </c>
      <c r="G470">
        <f>IF($B470="",0,IFERROR(IF(OR(C470&lt;&gt;0,D470&lt;&gt;0,E470&lt;&gt;0,F470&lt;&gt;0),1,0),1))</f>
        <v>0</v>
      </c>
      <c r="H470" t="str">
        <f>IF(OR(G470=0,E470=0),"",C470/E470)</f>
        <v/>
      </c>
      <c r="I470" t="str">
        <f>IF(OR(G470=0,F470=0),"",D470/F470)</f>
        <v/>
      </c>
      <c r="J470" t="str">
        <f>IF(OR(H470="",I470=""),"",IF(H470=0,"",I470/H470-1))</f>
        <v/>
      </c>
      <c r="K470" t="str">
        <f>IF($B470="","",IFERROR(IF(G470=0,-2E+300,CHOOSE(sortIdx,ROUND(D470,0),IF(J470="",-1E+300,ROUND(-J470,6)),IF(J470="",-1E+300,ROUND(J470,6)))),-1.5E+300))</f>
        <v/>
      </c>
      <c r="L470" t="str">
        <f>IF(K470="","",RANK(K470,$K$2:$K$3001,0)+COUNTIF($K$2:K470,K470)-1)</f>
        <v/>
      </c>
    </row>
    <row r="471">
      <c r="B471" t="str">
        <f>IFERROR(IF(A471="","","="&amp;SUBSTITUTE(SUBSTITUTE(SUBSTITUTE(A471,"~","~~"),"*","~*"),"?","~?")),"")</f>
        <v/>
      </c>
      <c r="C471" t="str">
        <f>IF($B471="","",SUMIFS(dAmt,dCust,$B471,dPer,"&gt;="&amp;pyFrom,dPer,"&lt;="&amp;pyTo,dAmt,"&gt;-1E+300",dFlt1,critFlt1,dFlt2,critFlt2,dFlt3,critFlt3))</f>
        <v/>
      </c>
      <c r="D471" t="str">
        <f>IF($B471="","",SUMIFS(dAmt,dCust,$B471,dPer,"&gt;="&amp;cyFrom,dPer,"&lt;="&amp;cyTo,dAmt,"&gt;-1E+300",dFlt1,critFlt1,dFlt2,critFlt2,dFlt3,critFlt3))</f>
        <v/>
      </c>
      <c r="E471" t="str">
        <f>IF($B471="","",SUMIFS(dQty,dCust,$B471,dPer,"&gt;="&amp;pyFrom,dPer,"&lt;="&amp;pyTo,dQty,"&gt;-1E+300",dFlt1,critFlt1,dFlt2,critFlt2,dFlt3,critFlt3))</f>
        <v/>
      </c>
      <c r="F471" t="str">
        <f>IF($B471="","",SUMIFS(dQty,dCust,$B471,dPer,"&gt;="&amp;cyFrom,dPer,"&lt;="&amp;cyTo,dQty,"&gt;-1E+300",dFlt1,critFlt1,dFlt2,critFlt2,dFlt3,critFlt3))</f>
        <v/>
      </c>
      <c r="G471">
        <f>IF($B471="",0,IFERROR(IF(OR(C471&lt;&gt;0,D471&lt;&gt;0,E471&lt;&gt;0,F471&lt;&gt;0),1,0),1))</f>
        <v>0</v>
      </c>
      <c r="H471" t="str">
        <f>IF(OR(G471=0,E471=0),"",C471/E471)</f>
        <v/>
      </c>
      <c r="I471" t="str">
        <f>IF(OR(G471=0,F471=0),"",D471/F471)</f>
        <v/>
      </c>
      <c r="J471" t="str">
        <f>IF(OR(H471="",I471=""),"",IF(H471=0,"",I471/H471-1))</f>
        <v/>
      </c>
      <c r="K471" t="str">
        <f>IF($B471="","",IFERROR(IF(G471=0,-2E+300,CHOOSE(sortIdx,ROUND(D471,0),IF(J471="",-1E+300,ROUND(-J471,6)),IF(J471="",-1E+300,ROUND(J471,6)))),-1.5E+300))</f>
        <v/>
      </c>
      <c r="L471" t="str">
        <f>IF(K471="","",RANK(K471,$K$2:$K$3001,0)+COUNTIF($K$2:K471,K471)-1)</f>
        <v/>
      </c>
    </row>
    <row r="472">
      <c r="B472" t="str">
        <f>IFERROR(IF(A472="","","="&amp;SUBSTITUTE(SUBSTITUTE(SUBSTITUTE(A472,"~","~~"),"*","~*"),"?","~?")),"")</f>
        <v/>
      </c>
      <c r="C472" t="str">
        <f>IF($B472="","",SUMIFS(dAmt,dCust,$B472,dPer,"&gt;="&amp;pyFrom,dPer,"&lt;="&amp;pyTo,dAmt,"&gt;-1E+300",dFlt1,critFlt1,dFlt2,critFlt2,dFlt3,critFlt3))</f>
        <v/>
      </c>
      <c r="D472" t="str">
        <f>IF($B472="","",SUMIFS(dAmt,dCust,$B472,dPer,"&gt;="&amp;cyFrom,dPer,"&lt;="&amp;cyTo,dAmt,"&gt;-1E+300",dFlt1,critFlt1,dFlt2,critFlt2,dFlt3,critFlt3))</f>
        <v/>
      </c>
      <c r="E472" t="str">
        <f>IF($B472="","",SUMIFS(dQty,dCust,$B472,dPer,"&gt;="&amp;pyFrom,dPer,"&lt;="&amp;pyTo,dQty,"&gt;-1E+300",dFlt1,critFlt1,dFlt2,critFlt2,dFlt3,critFlt3))</f>
        <v/>
      </c>
      <c r="F472" t="str">
        <f>IF($B472="","",SUMIFS(dQty,dCust,$B472,dPer,"&gt;="&amp;cyFrom,dPer,"&lt;="&amp;cyTo,dQty,"&gt;-1E+300",dFlt1,critFlt1,dFlt2,critFlt2,dFlt3,critFlt3))</f>
        <v/>
      </c>
      <c r="G472">
        <f>IF($B472="",0,IFERROR(IF(OR(C472&lt;&gt;0,D472&lt;&gt;0,E472&lt;&gt;0,F472&lt;&gt;0),1,0),1))</f>
        <v>0</v>
      </c>
      <c r="H472" t="str">
        <f>IF(OR(G472=0,E472=0),"",C472/E472)</f>
        <v/>
      </c>
      <c r="I472" t="str">
        <f>IF(OR(G472=0,F472=0),"",D472/F472)</f>
        <v/>
      </c>
      <c r="J472" t="str">
        <f>IF(OR(H472="",I472=""),"",IF(H472=0,"",I472/H472-1))</f>
        <v/>
      </c>
      <c r="K472" t="str">
        <f>IF($B472="","",IFERROR(IF(G472=0,-2E+300,CHOOSE(sortIdx,ROUND(D472,0),IF(J472="",-1E+300,ROUND(-J472,6)),IF(J472="",-1E+300,ROUND(J472,6)))),-1.5E+300))</f>
        <v/>
      </c>
      <c r="L472" t="str">
        <f>IF(K472="","",RANK(K472,$K$2:$K$3001,0)+COUNTIF($K$2:K472,K472)-1)</f>
        <v/>
      </c>
    </row>
    <row r="473">
      <c r="B473" t="str">
        <f>IFERROR(IF(A473="","","="&amp;SUBSTITUTE(SUBSTITUTE(SUBSTITUTE(A473,"~","~~"),"*","~*"),"?","~?")),"")</f>
        <v/>
      </c>
      <c r="C473" t="str">
        <f>IF($B473="","",SUMIFS(dAmt,dCust,$B473,dPer,"&gt;="&amp;pyFrom,dPer,"&lt;="&amp;pyTo,dAmt,"&gt;-1E+300",dFlt1,critFlt1,dFlt2,critFlt2,dFlt3,critFlt3))</f>
        <v/>
      </c>
      <c r="D473" t="str">
        <f>IF($B473="","",SUMIFS(dAmt,dCust,$B473,dPer,"&gt;="&amp;cyFrom,dPer,"&lt;="&amp;cyTo,dAmt,"&gt;-1E+300",dFlt1,critFlt1,dFlt2,critFlt2,dFlt3,critFlt3))</f>
        <v/>
      </c>
      <c r="E473" t="str">
        <f>IF($B473="","",SUMIFS(dQty,dCust,$B473,dPer,"&gt;="&amp;pyFrom,dPer,"&lt;="&amp;pyTo,dQty,"&gt;-1E+300",dFlt1,critFlt1,dFlt2,critFlt2,dFlt3,critFlt3))</f>
        <v/>
      </c>
      <c r="F473" t="str">
        <f>IF($B473="","",SUMIFS(dQty,dCust,$B473,dPer,"&gt;="&amp;cyFrom,dPer,"&lt;="&amp;cyTo,dQty,"&gt;-1E+300",dFlt1,critFlt1,dFlt2,critFlt2,dFlt3,critFlt3))</f>
        <v/>
      </c>
      <c r="G473">
        <f>IF($B473="",0,IFERROR(IF(OR(C473&lt;&gt;0,D473&lt;&gt;0,E473&lt;&gt;0,F473&lt;&gt;0),1,0),1))</f>
        <v>0</v>
      </c>
      <c r="H473" t="str">
        <f>IF(OR(G473=0,E473=0),"",C473/E473)</f>
        <v/>
      </c>
      <c r="I473" t="str">
        <f>IF(OR(G473=0,F473=0),"",D473/F473)</f>
        <v/>
      </c>
      <c r="J473" t="str">
        <f>IF(OR(H473="",I473=""),"",IF(H473=0,"",I473/H473-1))</f>
        <v/>
      </c>
      <c r="K473" t="str">
        <f>IF($B473="","",IFERROR(IF(G473=0,-2E+300,CHOOSE(sortIdx,ROUND(D473,0),IF(J473="",-1E+300,ROUND(-J473,6)),IF(J473="",-1E+300,ROUND(J473,6)))),-1.5E+300))</f>
        <v/>
      </c>
      <c r="L473" t="str">
        <f>IF(K473="","",RANK(K473,$K$2:$K$3001,0)+COUNTIF($K$2:K473,K473)-1)</f>
        <v/>
      </c>
    </row>
    <row r="474">
      <c r="B474" t="str">
        <f>IFERROR(IF(A474="","","="&amp;SUBSTITUTE(SUBSTITUTE(SUBSTITUTE(A474,"~","~~"),"*","~*"),"?","~?")),"")</f>
        <v/>
      </c>
      <c r="C474" t="str">
        <f>IF($B474="","",SUMIFS(dAmt,dCust,$B474,dPer,"&gt;="&amp;pyFrom,dPer,"&lt;="&amp;pyTo,dAmt,"&gt;-1E+300",dFlt1,critFlt1,dFlt2,critFlt2,dFlt3,critFlt3))</f>
        <v/>
      </c>
      <c r="D474" t="str">
        <f>IF($B474="","",SUMIFS(dAmt,dCust,$B474,dPer,"&gt;="&amp;cyFrom,dPer,"&lt;="&amp;cyTo,dAmt,"&gt;-1E+300",dFlt1,critFlt1,dFlt2,critFlt2,dFlt3,critFlt3))</f>
        <v/>
      </c>
      <c r="E474" t="str">
        <f>IF($B474="","",SUMIFS(dQty,dCust,$B474,dPer,"&gt;="&amp;pyFrom,dPer,"&lt;="&amp;pyTo,dQty,"&gt;-1E+300",dFlt1,critFlt1,dFlt2,critFlt2,dFlt3,critFlt3))</f>
        <v/>
      </c>
      <c r="F474" t="str">
        <f>IF($B474="","",SUMIFS(dQty,dCust,$B474,dPer,"&gt;="&amp;cyFrom,dPer,"&lt;="&amp;cyTo,dQty,"&gt;-1E+300",dFlt1,critFlt1,dFlt2,critFlt2,dFlt3,critFlt3))</f>
        <v/>
      </c>
      <c r="G474">
        <f>IF($B474="",0,IFERROR(IF(OR(C474&lt;&gt;0,D474&lt;&gt;0,E474&lt;&gt;0,F474&lt;&gt;0),1,0),1))</f>
        <v>0</v>
      </c>
      <c r="H474" t="str">
        <f>IF(OR(G474=0,E474=0),"",C474/E474)</f>
        <v/>
      </c>
      <c r="I474" t="str">
        <f>IF(OR(G474=0,F474=0),"",D474/F474)</f>
        <v/>
      </c>
      <c r="J474" t="str">
        <f>IF(OR(H474="",I474=""),"",IF(H474=0,"",I474/H474-1))</f>
        <v/>
      </c>
      <c r="K474" t="str">
        <f>IF($B474="","",IFERROR(IF(G474=0,-2E+300,CHOOSE(sortIdx,ROUND(D474,0),IF(J474="",-1E+300,ROUND(-J474,6)),IF(J474="",-1E+300,ROUND(J474,6)))),-1.5E+300))</f>
        <v/>
      </c>
      <c r="L474" t="str">
        <f>IF(K474="","",RANK(K474,$K$2:$K$3001,0)+COUNTIF($K$2:K474,K474)-1)</f>
        <v/>
      </c>
    </row>
    <row r="475">
      <c r="B475" t="str">
        <f>IFERROR(IF(A475="","","="&amp;SUBSTITUTE(SUBSTITUTE(SUBSTITUTE(A475,"~","~~"),"*","~*"),"?","~?")),"")</f>
        <v/>
      </c>
      <c r="C475" t="str">
        <f>IF($B475="","",SUMIFS(dAmt,dCust,$B475,dPer,"&gt;="&amp;pyFrom,dPer,"&lt;="&amp;pyTo,dAmt,"&gt;-1E+300",dFlt1,critFlt1,dFlt2,critFlt2,dFlt3,critFlt3))</f>
        <v/>
      </c>
      <c r="D475" t="str">
        <f>IF($B475="","",SUMIFS(dAmt,dCust,$B475,dPer,"&gt;="&amp;cyFrom,dPer,"&lt;="&amp;cyTo,dAmt,"&gt;-1E+300",dFlt1,critFlt1,dFlt2,critFlt2,dFlt3,critFlt3))</f>
        <v/>
      </c>
      <c r="E475" t="str">
        <f>IF($B475="","",SUMIFS(dQty,dCust,$B475,dPer,"&gt;="&amp;pyFrom,dPer,"&lt;="&amp;pyTo,dQty,"&gt;-1E+300",dFlt1,critFlt1,dFlt2,critFlt2,dFlt3,critFlt3))</f>
        <v/>
      </c>
      <c r="F475" t="str">
        <f>IF($B475="","",SUMIFS(dQty,dCust,$B475,dPer,"&gt;="&amp;cyFrom,dPer,"&lt;="&amp;cyTo,dQty,"&gt;-1E+300",dFlt1,critFlt1,dFlt2,critFlt2,dFlt3,critFlt3))</f>
        <v/>
      </c>
      <c r="G475">
        <f>IF($B475="",0,IFERROR(IF(OR(C475&lt;&gt;0,D475&lt;&gt;0,E475&lt;&gt;0,F475&lt;&gt;0),1,0),1))</f>
        <v>0</v>
      </c>
      <c r="H475" t="str">
        <f>IF(OR(G475=0,E475=0),"",C475/E475)</f>
        <v/>
      </c>
      <c r="I475" t="str">
        <f>IF(OR(G475=0,F475=0),"",D475/F475)</f>
        <v/>
      </c>
      <c r="J475" t="str">
        <f>IF(OR(H475="",I475=""),"",IF(H475=0,"",I475/H475-1))</f>
        <v/>
      </c>
      <c r="K475" t="str">
        <f>IF($B475="","",IFERROR(IF(G475=0,-2E+300,CHOOSE(sortIdx,ROUND(D475,0),IF(J475="",-1E+300,ROUND(-J475,6)),IF(J475="",-1E+300,ROUND(J475,6)))),-1.5E+300))</f>
        <v/>
      </c>
      <c r="L475" t="str">
        <f>IF(K475="","",RANK(K475,$K$2:$K$3001,0)+COUNTIF($K$2:K475,K475)-1)</f>
        <v/>
      </c>
    </row>
    <row r="476">
      <c r="B476" t="str">
        <f>IFERROR(IF(A476="","","="&amp;SUBSTITUTE(SUBSTITUTE(SUBSTITUTE(A476,"~","~~"),"*","~*"),"?","~?")),"")</f>
        <v/>
      </c>
      <c r="C476" t="str">
        <f>IF($B476="","",SUMIFS(dAmt,dCust,$B476,dPer,"&gt;="&amp;pyFrom,dPer,"&lt;="&amp;pyTo,dAmt,"&gt;-1E+300",dFlt1,critFlt1,dFlt2,critFlt2,dFlt3,critFlt3))</f>
        <v/>
      </c>
      <c r="D476" t="str">
        <f>IF($B476="","",SUMIFS(dAmt,dCust,$B476,dPer,"&gt;="&amp;cyFrom,dPer,"&lt;="&amp;cyTo,dAmt,"&gt;-1E+300",dFlt1,critFlt1,dFlt2,critFlt2,dFlt3,critFlt3))</f>
        <v/>
      </c>
      <c r="E476" t="str">
        <f>IF($B476="","",SUMIFS(dQty,dCust,$B476,dPer,"&gt;="&amp;pyFrom,dPer,"&lt;="&amp;pyTo,dQty,"&gt;-1E+300",dFlt1,critFlt1,dFlt2,critFlt2,dFlt3,critFlt3))</f>
        <v/>
      </c>
      <c r="F476" t="str">
        <f>IF($B476="","",SUMIFS(dQty,dCust,$B476,dPer,"&gt;="&amp;cyFrom,dPer,"&lt;="&amp;cyTo,dQty,"&gt;-1E+300",dFlt1,critFlt1,dFlt2,critFlt2,dFlt3,critFlt3))</f>
        <v/>
      </c>
      <c r="G476">
        <f>IF($B476="",0,IFERROR(IF(OR(C476&lt;&gt;0,D476&lt;&gt;0,E476&lt;&gt;0,F476&lt;&gt;0),1,0),1))</f>
        <v>0</v>
      </c>
      <c r="H476" t="str">
        <f>IF(OR(G476=0,E476=0),"",C476/E476)</f>
        <v/>
      </c>
      <c r="I476" t="str">
        <f>IF(OR(G476=0,F476=0),"",D476/F476)</f>
        <v/>
      </c>
      <c r="J476" t="str">
        <f>IF(OR(H476="",I476=""),"",IF(H476=0,"",I476/H476-1))</f>
        <v/>
      </c>
      <c r="K476" t="str">
        <f>IF($B476="","",IFERROR(IF(G476=0,-2E+300,CHOOSE(sortIdx,ROUND(D476,0),IF(J476="",-1E+300,ROUND(-J476,6)),IF(J476="",-1E+300,ROUND(J476,6)))),-1.5E+300))</f>
        <v/>
      </c>
      <c r="L476" t="str">
        <f>IF(K476="","",RANK(K476,$K$2:$K$3001,0)+COUNTIF($K$2:K476,K476)-1)</f>
        <v/>
      </c>
    </row>
    <row r="477">
      <c r="B477" t="str">
        <f>IFERROR(IF(A477="","","="&amp;SUBSTITUTE(SUBSTITUTE(SUBSTITUTE(A477,"~","~~"),"*","~*"),"?","~?")),"")</f>
        <v/>
      </c>
      <c r="C477" t="str">
        <f>IF($B477="","",SUMIFS(dAmt,dCust,$B477,dPer,"&gt;="&amp;pyFrom,dPer,"&lt;="&amp;pyTo,dAmt,"&gt;-1E+300",dFlt1,critFlt1,dFlt2,critFlt2,dFlt3,critFlt3))</f>
        <v/>
      </c>
      <c r="D477" t="str">
        <f>IF($B477="","",SUMIFS(dAmt,dCust,$B477,dPer,"&gt;="&amp;cyFrom,dPer,"&lt;="&amp;cyTo,dAmt,"&gt;-1E+300",dFlt1,critFlt1,dFlt2,critFlt2,dFlt3,critFlt3))</f>
        <v/>
      </c>
      <c r="E477" t="str">
        <f>IF($B477="","",SUMIFS(dQty,dCust,$B477,dPer,"&gt;="&amp;pyFrom,dPer,"&lt;="&amp;pyTo,dQty,"&gt;-1E+300",dFlt1,critFlt1,dFlt2,critFlt2,dFlt3,critFlt3))</f>
        <v/>
      </c>
      <c r="F477" t="str">
        <f>IF($B477="","",SUMIFS(dQty,dCust,$B477,dPer,"&gt;="&amp;cyFrom,dPer,"&lt;="&amp;cyTo,dQty,"&gt;-1E+300",dFlt1,critFlt1,dFlt2,critFlt2,dFlt3,critFlt3))</f>
        <v/>
      </c>
      <c r="G477">
        <f>IF($B477="",0,IFERROR(IF(OR(C477&lt;&gt;0,D477&lt;&gt;0,E477&lt;&gt;0,F477&lt;&gt;0),1,0),1))</f>
        <v>0</v>
      </c>
      <c r="H477" t="str">
        <f>IF(OR(G477=0,E477=0),"",C477/E477)</f>
        <v/>
      </c>
      <c r="I477" t="str">
        <f>IF(OR(G477=0,F477=0),"",D477/F477)</f>
        <v/>
      </c>
      <c r="J477" t="str">
        <f>IF(OR(H477="",I477=""),"",IF(H477=0,"",I477/H477-1))</f>
        <v/>
      </c>
      <c r="K477" t="str">
        <f>IF($B477="","",IFERROR(IF(G477=0,-2E+300,CHOOSE(sortIdx,ROUND(D477,0),IF(J477="",-1E+300,ROUND(-J477,6)),IF(J477="",-1E+300,ROUND(J477,6)))),-1.5E+300))</f>
        <v/>
      </c>
      <c r="L477" t="str">
        <f>IF(K477="","",RANK(K477,$K$2:$K$3001,0)+COUNTIF($K$2:K477,K477)-1)</f>
        <v/>
      </c>
    </row>
    <row r="478">
      <c r="B478" t="str">
        <f>IFERROR(IF(A478="","","="&amp;SUBSTITUTE(SUBSTITUTE(SUBSTITUTE(A478,"~","~~"),"*","~*"),"?","~?")),"")</f>
        <v/>
      </c>
      <c r="C478" t="str">
        <f>IF($B478="","",SUMIFS(dAmt,dCust,$B478,dPer,"&gt;="&amp;pyFrom,dPer,"&lt;="&amp;pyTo,dAmt,"&gt;-1E+300",dFlt1,critFlt1,dFlt2,critFlt2,dFlt3,critFlt3))</f>
        <v/>
      </c>
      <c r="D478" t="str">
        <f>IF($B478="","",SUMIFS(dAmt,dCust,$B478,dPer,"&gt;="&amp;cyFrom,dPer,"&lt;="&amp;cyTo,dAmt,"&gt;-1E+300",dFlt1,critFlt1,dFlt2,critFlt2,dFlt3,critFlt3))</f>
        <v/>
      </c>
      <c r="E478" t="str">
        <f>IF($B478="","",SUMIFS(dQty,dCust,$B478,dPer,"&gt;="&amp;pyFrom,dPer,"&lt;="&amp;pyTo,dQty,"&gt;-1E+300",dFlt1,critFlt1,dFlt2,critFlt2,dFlt3,critFlt3))</f>
        <v/>
      </c>
      <c r="F478" t="str">
        <f>IF($B478="","",SUMIFS(dQty,dCust,$B478,dPer,"&gt;="&amp;cyFrom,dPer,"&lt;="&amp;cyTo,dQty,"&gt;-1E+300",dFlt1,critFlt1,dFlt2,critFlt2,dFlt3,critFlt3))</f>
        <v/>
      </c>
      <c r="G478">
        <f>IF($B478="",0,IFERROR(IF(OR(C478&lt;&gt;0,D478&lt;&gt;0,E478&lt;&gt;0,F478&lt;&gt;0),1,0),1))</f>
        <v>0</v>
      </c>
      <c r="H478" t="str">
        <f>IF(OR(G478=0,E478=0),"",C478/E478)</f>
        <v/>
      </c>
      <c r="I478" t="str">
        <f>IF(OR(G478=0,F478=0),"",D478/F478)</f>
        <v/>
      </c>
      <c r="J478" t="str">
        <f>IF(OR(H478="",I478=""),"",IF(H478=0,"",I478/H478-1))</f>
        <v/>
      </c>
      <c r="K478" t="str">
        <f>IF($B478="","",IFERROR(IF(G478=0,-2E+300,CHOOSE(sortIdx,ROUND(D478,0),IF(J478="",-1E+300,ROUND(-J478,6)),IF(J478="",-1E+300,ROUND(J478,6)))),-1.5E+300))</f>
        <v/>
      </c>
      <c r="L478" t="str">
        <f>IF(K478="","",RANK(K478,$K$2:$K$3001,0)+COUNTIF($K$2:K478,K478)-1)</f>
        <v/>
      </c>
    </row>
    <row r="479">
      <c r="B479" t="str">
        <f>IFERROR(IF(A479="","","="&amp;SUBSTITUTE(SUBSTITUTE(SUBSTITUTE(A479,"~","~~"),"*","~*"),"?","~?")),"")</f>
        <v/>
      </c>
      <c r="C479" t="str">
        <f>IF($B479="","",SUMIFS(dAmt,dCust,$B479,dPer,"&gt;="&amp;pyFrom,dPer,"&lt;="&amp;pyTo,dAmt,"&gt;-1E+300",dFlt1,critFlt1,dFlt2,critFlt2,dFlt3,critFlt3))</f>
        <v/>
      </c>
      <c r="D479" t="str">
        <f>IF($B479="","",SUMIFS(dAmt,dCust,$B479,dPer,"&gt;="&amp;cyFrom,dPer,"&lt;="&amp;cyTo,dAmt,"&gt;-1E+300",dFlt1,critFlt1,dFlt2,critFlt2,dFlt3,critFlt3))</f>
        <v/>
      </c>
      <c r="E479" t="str">
        <f>IF($B479="","",SUMIFS(dQty,dCust,$B479,dPer,"&gt;="&amp;pyFrom,dPer,"&lt;="&amp;pyTo,dQty,"&gt;-1E+300",dFlt1,critFlt1,dFlt2,critFlt2,dFlt3,critFlt3))</f>
        <v/>
      </c>
      <c r="F479" t="str">
        <f>IF($B479="","",SUMIFS(dQty,dCust,$B479,dPer,"&gt;="&amp;cyFrom,dPer,"&lt;="&amp;cyTo,dQty,"&gt;-1E+300",dFlt1,critFlt1,dFlt2,critFlt2,dFlt3,critFlt3))</f>
        <v/>
      </c>
      <c r="G479">
        <f>IF($B479="",0,IFERROR(IF(OR(C479&lt;&gt;0,D479&lt;&gt;0,E479&lt;&gt;0,F479&lt;&gt;0),1,0),1))</f>
        <v>0</v>
      </c>
      <c r="H479" t="str">
        <f>IF(OR(G479=0,E479=0),"",C479/E479)</f>
        <v/>
      </c>
      <c r="I479" t="str">
        <f>IF(OR(G479=0,F479=0),"",D479/F479)</f>
        <v/>
      </c>
      <c r="J479" t="str">
        <f>IF(OR(H479="",I479=""),"",IF(H479=0,"",I479/H479-1))</f>
        <v/>
      </c>
      <c r="K479" t="str">
        <f>IF($B479="","",IFERROR(IF(G479=0,-2E+300,CHOOSE(sortIdx,ROUND(D479,0),IF(J479="",-1E+300,ROUND(-J479,6)),IF(J479="",-1E+300,ROUND(J479,6)))),-1.5E+300))</f>
        <v/>
      </c>
      <c r="L479" t="str">
        <f>IF(K479="","",RANK(K479,$K$2:$K$3001,0)+COUNTIF($K$2:K479,K479)-1)</f>
        <v/>
      </c>
    </row>
    <row r="480">
      <c r="B480" t="str">
        <f>IFERROR(IF(A480="","","="&amp;SUBSTITUTE(SUBSTITUTE(SUBSTITUTE(A480,"~","~~"),"*","~*"),"?","~?")),"")</f>
        <v/>
      </c>
      <c r="C480" t="str">
        <f>IF($B480="","",SUMIFS(dAmt,dCust,$B480,dPer,"&gt;="&amp;pyFrom,dPer,"&lt;="&amp;pyTo,dAmt,"&gt;-1E+300",dFlt1,critFlt1,dFlt2,critFlt2,dFlt3,critFlt3))</f>
        <v/>
      </c>
      <c r="D480" t="str">
        <f>IF($B480="","",SUMIFS(dAmt,dCust,$B480,dPer,"&gt;="&amp;cyFrom,dPer,"&lt;="&amp;cyTo,dAmt,"&gt;-1E+300",dFlt1,critFlt1,dFlt2,critFlt2,dFlt3,critFlt3))</f>
        <v/>
      </c>
      <c r="E480" t="str">
        <f>IF($B480="","",SUMIFS(dQty,dCust,$B480,dPer,"&gt;="&amp;pyFrom,dPer,"&lt;="&amp;pyTo,dQty,"&gt;-1E+300",dFlt1,critFlt1,dFlt2,critFlt2,dFlt3,critFlt3))</f>
        <v/>
      </c>
      <c r="F480" t="str">
        <f>IF($B480="","",SUMIFS(dQty,dCust,$B480,dPer,"&gt;="&amp;cyFrom,dPer,"&lt;="&amp;cyTo,dQty,"&gt;-1E+300",dFlt1,critFlt1,dFlt2,critFlt2,dFlt3,critFlt3))</f>
        <v/>
      </c>
      <c r="G480">
        <f>IF($B480="",0,IFERROR(IF(OR(C480&lt;&gt;0,D480&lt;&gt;0,E480&lt;&gt;0,F480&lt;&gt;0),1,0),1))</f>
        <v>0</v>
      </c>
      <c r="H480" t="str">
        <f>IF(OR(G480=0,E480=0),"",C480/E480)</f>
        <v/>
      </c>
      <c r="I480" t="str">
        <f>IF(OR(G480=0,F480=0),"",D480/F480)</f>
        <v/>
      </c>
      <c r="J480" t="str">
        <f>IF(OR(H480="",I480=""),"",IF(H480=0,"",I480/H480-1))</f>
        <v/>
      </c>
      <c r="K480" t="str">
        <f>IF($B480="","",IFERROR(IF(G480=0,-2E+300,CHOOSE(sortIdx,ROUND(D480,0),IF(J480="",-1E+300,ROUND(-J480,6)),IF(J480="",-1E+300,ROUND(J480,6)))),-1.5E+300))</f>
        <v/>
      </c>
      <c r="L480" t="str">
        <f>IF(K480="","",RANK(K480,$K$2:$K$3001,0)+COUNTIF($K$2:K480,K480)-1)</f>
        <v/>
      </c>
    </row>
    <row r="481">
      <c r="B481" t="str">
        <f>IFERROR(IF(A481="","","="&amp;SUBSTITUTE(SUBSTITUTE(SUBSTITUTE(A481,"~","~~"),"*","~*"),"?","~?")),"")</f>
        <v/>
      </c>
      <c r="C481" t="str">
        <f>IF($B481="","",SUMIFS(dAmt,dCust,$B481,dPer,"&gt;="&amp;pyFrom,dPer,"&lt;="&amp;pyTo,dAmt,"&gt;-1E+300",dFlt1,critFlt1,dFlt2,critFlt2,dFlt3,critFlt3))</f>
        <v/>
      </c>
      <c r="D481" t="str">
        <f>IF($B481="","",SUMIFS(dAmt,dCust,$B481,dPer,"&gt;="&amp;cyFrom,dPer,"&lt;="&amp;cyTo,dAmt,"&gt;-1E+300",dFlt1,critFlt1,dFlt2,critFlt2,dFlt3,critFlt3))</f>
        <v/>
      </c>
      <c r="E481" t="str">
        <f>IF($B481="","",SUMIFS(dQty,dCust,$B481,dPer,"&gt;="&amp;pyFrom,dPer,"&lt;="&amp;pyTo,dQty,"&gt;-1E+300",dFlt1,critFlt1,dFlt2,critFlt2,dFlt3,critFlt3))</f>
        <v/>
      </c>
      <c r="F481" t="str">
        <f>IF($B481="","",SUMIFS(dQty,dCust,$B481,dPer,"&gt;="&amp;cyFrom,dPer,"&lt;="&amp;cyTo,dQty,"&gt;-1E+300",dFlt1,critFlt1,dFlt2,critFlt2,dFlt3,critFlt3))</f>
        <v/>
      </c>
      <c r="G481">
        <f>IF($B481="",0,IFERROR(IF(OR(C481&lt;&gt;0,D481&lt;&gt;0,E481&lt;&gt;0,F481&lt;&gt;0),1,0),1))</f>
        <v>0</v>
      </c>
      <c r="H481" t="str">
        <f>IF(OR(G481=0,E481=0),"",C481/E481)</f>
        <v/>
      </c>
      <c r="I481" t="str">
        <f>IF(OR(G481=0,F481=0),"",D481/F481)</f>
        <v/>
      </c>
      <c r="J481" t="str">
        <f>IF(OR(H481="",I481=""),"",IF(H481=0,"",I481/H481-1))</f>
        <v/>
      </c>
      <c r="K481" t="str">
        <f>IF($B481="","",IFERROR(IF(G481=0,-2E+300,CHOOSE(sortIdx,ROUND(D481,0),IF(J481="",-1E+300,ROUND(-J481,6)),IF(J481="",-1E+300,ROUND(J481,6)))),-1.5E+300))</f>
        <v/>
      </c>
      <c r="L481" t="str">
        <f>IF(K481="","",RANK(K481,$K$2:$K$3001,0)+COUNTIF($K$2:K481,K481)-1)</f>
        <v/>
      </c>
    </row>
    <row r="482">
      <c r="B482" t="str">
        <f>IFERROR(IF(A482="","","="&amp;SUBSTITUTE(SUBSTITUTE(SUBSTITUTE(A482,"~","~~"),"*","~*"),"?","~?")),"")</f>
        <v/>
      </c>
      <c r="C482" t="str">
        <f>IF($B482="","",SUMIFS(dAmt,dCust,$B482,dPer,"&gt;="&amp;pyFrom,dPer,"&lt;="&amp;pyTo,dAmt,"&gt;-1E+300",dFlt1,critFlt1,dFlt2,critFlt2,dFlt3,critFlt3))</f>
        <v/>
      </c>
      <c r="D482" t="str">
        <f>IF($B482="","",SUMIFS(dAmt,dCust,$B482,dPer,"&gt;="&amp;cyFrom,dPer,"&lt;="&amp;cyTo,dAmt,"&gt;-1E+300",dFlt1,critFlt1,dFlt2,critFlt2,dFlt3,critFlt3))</f>
        <v/>
      </c>
      <c r="E482" t="str">
        <f>IF($B482="","",SUMIFS(dQty,dCust,$B482,dPer,"&gt;="&amp;pyFrom,dPer,"&lt;="&amp;pyTo,dQty,"&gt;-1E+300",dFlt1,critFlt1,dFlt2,critFlt2,dFlt3,critFlt3))</f>
        <v/>
      </c>
      <c r="F482" t="str">
        <f>IF($B482="","",SUMIFS(dQty,dCust,$B482,dPer,"&gt;="&amp;cyFrom,dPer,"&lt;="&amp;cyTo,dQty,"&gt;-1E+300",dFlt1,critFlt1,dFlt2,critFlt2,dFlt3,critFlt3))</f>
        <v/>
      </c>
      <c r="G482">
        <f>IF($B482="",0,IFERROR(IF(OR(C482&lt;&gt;0,D482&lt;&gt;0,E482&lt;&gt;0,F482&lt;&gt;0),1,0),1))</f>
        <v>0</v>
      </c>
      <c r="H482" t="str">
        <f>IF(OR(G482=0,E482=0),"",C482/E482)</f>
        <v/>
      </c>
      <c r="I482" t="str">
        <f>IF(OR(G482=0,F482=0),"",D482/F482)</f>
        <v/>
      </c>
      <c r="J482" t="str">
        <f>IF(OR(H482="",I482=""),"",IF(H482=0,"",I482/H482-1))</f>
        <v/>
      </c>
      <c r="K482" t="str">
        <f>IF($B482="","",IFERROR(IF(G482=0,-2E+300,CHOOSE(sortIdx,ROUND(D482,0),IF(J482="",-1E+300,ROUND(-J482,6)),IF(J482="",-1E+300,ROUND(J482,6)))),-1.5E+300))</f>
        <v/>
      </c>
      <c r="L482" t="str">
        <f>IF(K482="","",RANK(K482,$K$2:$K$3001,0)+COUNTIF($K$2:K482,K482)-1)</f>
        <v/>
      </c>
    </row>
    <row r="483">
      <c r="B483" t="str">
        <f>IFERROR(IF(A483="","","="&amp;SUBSTITUTE(SUBSTITUTE(SUBSTITUTE(A483,"~","~~"),"*","~*"),"?","~?")),"")</f>
        <v/>
      </c>
      <c r="C483" t="str">
        <f>IF($B483="","",SUMIFS(dAmt,dCust,$B483,dPer,"&gt;="&amp;pyFrom,dPer,"&lt;="&amp;pyTo,dAmt,"&gt;-1E+300",dFlt1,critFlt1,dFlt2,critFlt2,dFlt3,critFlt3))</f>
        <v/>
      </c>
      <c r="D483" t="str">
        <f>IF($B483="","",SUMIFS(dAmt,dCust,$B483,dPer,"&gt;="&amp;cyFrom,dPer,"&lt;="&amp;cyTo,dAmt,"&gt;-1E+300",dFlt1,critFlt1,dFlt2,critFlt2,dFlt3,critFlt3))</f>
        <v/>
      </c>
      <c r="E483" t="str">
        <f>IF($B483="","",SUMIFS(dQty,dCust,$B483,dPer,"&gt;="&amp;pyFrom,dPer,"&lt;="&amp;pyTo,dQty,"&gt;-1E+300",dFlt1,critFlt1,dFlt2,critFlt2,dFlt3,critFlt3))</f>
        <v/>
      </c>
      <c r="F483" t="str">
        <f>IF($B483="","",SUMIFS(dQty,dCust,$B483,dPer,"&gt;="&amp;cyFrom,dPer,"&lt;="&amp;cyTo,dQty,"&gt;-1E+300",dFlt1,critFlt1,dFlt2,critFlt2,dFlt3,critFlt3))</f>
        <v/>
      </c>
      <c r="G483">
        <f>IF($B483="",0,IFERROR(IF(OR(C483&lt;&gt;0,D483&lt;&gt;0,E483&lt;&gt;0,F483&lt;&gt;0),1,0),1))</f>
        <v>0</v>
      </c>
      <c r="H483" t="str">
        <f>IF(OR(G483=0,E483=0),"",C483/E483)</f>
        <v/>
      </c>
      <c r="I483" t="str">
        <f>IF(OR(G483=0,F483=0),"",D483/F483)</f>
        <v/>
      </c>
      <c r="J483" t="str">
        <f>IF(OR(H483="",I483=""),"",IF(H483=0,"",I483/H483-1))</f>
        <v/>
      </c>
      <c r="K483" t="str">
        <f>IF($B483="","",IFERROR(IF(G483=0,-2E+300,CHOOSE(sortIdx,ROUND(D483,0),IF(J483="",-1E+300,ROUND(-J483,6)),IF(J483="",-1E+300,ROUND(J483,6)))),-1.5E+300))</f>
        <v/>
      </c>
      <c r="L483" t="str">
        <f>IF(K483="","",RANK(K483,$K$2:$K$3001,0)+COUNTIF($K$2:K483,K483)-1)</f>
        <v/>
      </c>
    </row>
    <row r="484">
      <c r="B484" t="str">
        <f>IFERROR(IF(A484="","","="&amp;SUBSTITUTE(SUBSTITUTE(SUBSTITUTE(A484,"~","~~"),"*","~*"),"?","~?")),"")</f>
        <v/>
      </c>
      <c r="C484" t="str">
        <f>IF($B484="","",SUMIFS(dAmt,dCust,$B484,dPer,"&gt;="&amp;pyFrom,dPer,"&lt;="&amp;pyTo,dAmt,"&gt;-1E+300",dFlt1,critFlt1,dFlt2,critFlt2,dFlt3,critFlt3))</f>
        <v/>
      </c>
      <c r="D484" t="str">
        <f>IF($B484="","",SUMIFS(dAmt,dCust,$B484,dPer,"&gt;="&amp;cyFrom,dPer,"&lt;="&amp;cyTo,dAmt,"&gt;-1E+300",dFlt1,critFlt1,dFlt2,critFlt2,dFlt3,critFlt3))</f>
        <v/>
      </c>
      <c r="E484" t="str">
        <f>IF($B484="","",SUMIFS(dQty,dCust,$B484,dPer,"&gt;="&amp;pyFrom,dPer,"&lt;="&amp;pyTo,dQty,"&gt;-1E+300",dFlt1,critFlt1,dFlt2,critFlt2,dFlt3,critFlt3))</f>
        <v/>
      </c>
      <c r="F484" t="str">
        <f>IF($B484="","",SUMIFS(dQty,dCust,$B484,dPer,"&gt;="&amp;cyFrom,dPer,"&lt;="&amp;cyTo,dQty,"&gt;-1E+300",dFlt1,critFlt1,dFlt2,critFlt2,dFlt3,critFlt3))</f>
        <v/>
      </c>
      <c r="G484">
        <f>IF($B484="",0,IFERROR(IF(OR(C484&lt;&gt;0,D484&lt;&gt;0,E484&lt;&gt;0,F484&lt;&gt;0),1,0),1))</f>
        <v>0</v>
      </c>
      <c r="H484" t="str">
        <f>IF(OR(G484=0,E484=0),"",C484/E484)</f>
        <v/>
      </c>
      <c r="I484" t="str">
        <f>IF(OR(G484=0,F484=0),"",D484/F484)</f>
        <v/>
      </c>
      <c r="J484" t="str">
        <f>IF(OR(H484="",I484=""),"",IF(H484=0,"",I484/H484-1))</f>
        <v/>
      </c>
      <c r="K484" t="str">
        <f>IF($B484="","",IFERROR(IF(G484=0,-2E+300,CHOOSE(sortIdx,ROUND(D484,0),IF(J484="",-1E+300,ROUND(-J484,6)),IF(J484="",-1E+300,ROUND(J484,6)))),-1.5E+300))</f>
        <v/>
      </c>
      <c r="L484" t="str">
        <f>IF(K484="","",RANK(K484,$K$2:$K$3001,0)+COUNTIF($K$2:K484,K484)-1)</f>
        <v/>
      </c>
    </row>
    <row r="485">
      <c r="B485" t="str">
        <f>IFERROR(IF(A485="","","="&amp;SUBSTITUTE(SUBSTITUTE(SUBSTITUTE(A485,"~","~~"),"*","~*"),"?","~?")),"")</f>
        <v/>
      </c>
      <c r="C485" t="str">
        <f>IF($B485="","",SUMIFS(dAmt,dCust,$B485,dPer,"&gt;="&amp;pyFrom,dPer,"&lt;="&amp;pyTo,dAmt,"&gt;-1E+300",dFlt1,critFlt1,dFlt2,critFlt2,dFlt3,critFlt3))</f>
        <v/>
      </c>
      <c r="D485" t="str">
        <f>IF($B485="","",SUMIFS(dAmt,dCust,$B485,dPer,"&gt;="&amp;cyFrom,dPer,"&lt;="&amp;cyTo,dAmt,"&gt;-1E+300",dFlt1,critFlt1,dFlt2,critFlt2,dFlt3,critFlt3))</f>
        <v/>
      </c>
      <c r="E485" t="str">
        <f>IF($B485="","",SUMIFS(dQty,dCust,$B485,dPer,"&gt;="&amp;pyFrom,dPer,"&lt;="&amp;pyTo,dQty,"&gt;-1E+300",dFlt1,critFlt1,dFlt2,critFlt2,dFlt3,critFlt3))</f>
        <v/>
      </c>
      <c r="F485" t="str">
        <f>IF($B485="","",SUMIFS(dQty,dCust,$B485,dPer,"&gt;="&amp;cyFrom,dPer,"&lt;="&amp;cyTo,dQty,"&gt;-1E+300",dFlt1,critFlt1,dFlt2,critFlt2,dFlt3,critFlt3))</f>
        <v/>
      </c>
      <c r="G485">
        <f>IF($B485="",0,IFERROR(IF(OR(C485&lt;&gt;0,D485&lt;&gt;0,E485&lt;&gt;0,F485&lt;&gt;0),1,0),1))</f>
        <v>0</v>
      </c>
      <c r="H485" t="str">
        <f>IF(OR(G485=0,E485=0),"",C485/E485)</f>
        <v/>
      </c>
      <c r="I485" t="str">
        <f>IF(OR(G485=0,F485=0),"",D485/F485)</f>
        <v/>
      </c>
      <c r="J485" t="str">
        <f>IF(OR(H485="",I485=""),"",IF(H485=0,"",I485/H485-1))</f>
        <v/>
      </c>
      <c r="K485" t="str">
        <f>IF($B485="","",IFERROR(IF(G485=0,-2E+300,CHOOSE(sortIdx,ROUND(D485,0),IF(J485="",-1E+300,ROUND(-J485,6)),IF(J485="",-1E+300,ROUND(J485,6)))),-1.5E+300))</f>
        <v/>
      </c>
      <c r="L485" t="str">
        <f>IF(K485="","",RANK(K485,$K$2:$K$3001,0)+COUNTIF($K$2:K485,K485)-1)</f>
        <v/>
      </c>
    </row>
    <row r="486">
      <c r="B486" t="str">
        <f>IFERROR(IF(A486="","","="&amp;SUBSTITUTE(SUBSTITUTE(SUBSTITUTE(A486,"~","~~"),"*","~*"),"?","~?")),"")</f>
        <v/>
      </c>
      <c r="C486" t="str">
        <f>IF($B486="","",SUMIFS(dAmt,dCust,$B486,dPer,"&gt;="&amp;pyFrom,dPer,"&lt;="&amp;pyTo,dAmt,"&gt;-1E+300",dFlt1,critFlt1,dFlt2,critFlt2,dFlt3,critFlt3))</f>
        <v/>
      </c>
      <c r="D486" t="str">
        <f>IF($B486="","",SUMIFS(dAmt,dCust,$B486,dPer,"&gt;="&amp;cyFrom,dPer,"&lt;="&amp;cyTo,dAmt,"&gt;-1E+300",dFlt1,critFlt1,dFlt2,critFlt2,dFlt3,critFlt3))</f>
        <v/>
      </c>
      <c r="E486" t="str">
        <f>IF($B486="","",SUMIFS(dQty,dCust,$B486,dPer,"&gt;="&amp;pyFrom,dPer,"&lt;="&amp;pyTo,dQty,"&gt;-1E+300",dFlt1,critFlt1,dFlt2,critFlt2,dFlt3,critFlt3))</f>
        <v/>
      </c>
      <c r="F486" t="str">
        <f>IF($B486="","",SUMIFS(dQty,dCust,$B486,dPer,"&gt;="&amp;cyFrom,dPer,"&lt;="&amp;cyTo,dQty,"&gt;-1E+300",dFlt1,critFlt1,dFlt2,critFlt2,dFlt3,critFlt3))</f>
        <v/>
      </c>
      <c r="G486">
        <f>IF($B486="",0,IFERROR(IF(OR(C486&lt;&gt;0,D486&lt;&gt;0,E486&lt;&gt;0,F486&lt;&gt;0),1,0),1))</f>
        <v>0</v>
      </c>
      <c r="H486" t="str">
        <f>IF(OR(G486=0,E486=0),"",C486/E486)</f>
        <v/>
      </c>
      <c r="I486" t="str">
        <f>IF(OR(G486=0,F486=0),"",D486/F486)</f>
        <v/>
      </c>
      <c r="J486" t="str">
        <f>IF(OR(H486="",I486=""),"",IF(H486=0,"",I486/H486-1))</f>
        <v/>
      </c>
      <c r="K486" t="str">
        <f>IF($B486="","",IFERROR(IF(G486=0,-2E+300,CHOOSE(sortIdx,ROUND(D486,0),IF(J486="",-1E+300,ROUND(-J486,6)),IF(J486="",-1E+300,ROUND(J486,6)))),-1.5E+300))</f>
        <v/>
      </c>
      <c r="L486" t="str">
        <f>IF(K486="","",RANK(K486,$K$2:$K$3001,0)+COUNTIF($K$2:K486,K486)-1)</f>
        <v/>
      </c>
    </row>
    <row r="487">
      <c r="B487" t="str">
        <f>IFERROR(IF(A487="","","="&amp;SUBSTITUTE(SUBSTITUTE(SUBSTITUTE(A487,"~","~~"),"*","~*"),"?","~?")),"")</f>
        <v/>
      </c>
      <c r="C487" t="str">
        <f>IF($B487="","",SUMIFS(dAmt,dCust,$B487,dPer,"&gt;="&amp;pyFrom,dPer,"&lt;="&amp;pyTo,dAmt,"&gt;-1E+300",dFlt1,critFlt1,dFlt2,critFlt2,dFlt3,critFlt3))</f>
        <v/>
      </c>
      <c r="D487" t="str">
        <f>IF($B487="","",SUMIFS(dAmt,dCust,$B487,dPer,"&gt;="&amp;cyFrom,dPer,"&lt;="&amp;cyTo,dAmt,"&gt;-1E+300",dFlt1,critFlt1,dFlt2,critFlt2,dFlt3,critFlt3))</f>
        <v/>
      </c>
      <c r="E487" t="str">
        <f>IF($B487="","",SUMIFS(dQty,dCust,$B487,dPer,"&gt;="&amp;pyFrom,dPer,"&lt;="&amp;pyTo,dQty,"&gt;-1E+300",dFlt1,critFlt1,dFlt2,critFlt2,dFlt3,critFlt3))</f>
        <v/>
      </c>
      <c r="F487" t="str">
        <f>IF($B487="","",SUMIFS(dQty,dCust,$B487,dPer,"&gt;="&amp;cyFrom,dPer,"&lt;="&amp;cyTo,dQty,"&gt;-1E+300",dFlt1,critFlt1,dFlt2,critFlt2,dFlt3,critFlt3))</f>
        <v/>
      </c>
      <c r="G487">
        <f>IF($B487="",0,IFERROR(IF(OR(C487&lt;&gt;0,D487&lt;&gt;0,E487&lt;&gt;0,F487&lt;&gt;0),1,0),1))</f>
        <v>0</v>
      </c>
      <c r="H487" t="str">
        <f>IF(OR(G487=0,E487=0),"",C487/E487)</f>
        <v/>
      </c>
      <c r="I487" t="str">
        <f>IF(OR(G487=0,F487=0),"",D487/F487)</f>
        <v/>
      </c>
      <c r="J487" t="str">
        <f>IF(OR(H487="",I487=""),"",IF(H487=0,"",I487/H487-1))</f>
        <v/>
      </c>
      <c r="K487" t="str">
        <f>IF($B487="","",IFERROR(IF(G487=0,-2E+300,CHOOSE(sortIdx,ROUND(D487,0),IF(J487="",-1E+300,ROUND(-J487,6)),IF(J487="",-1E+300,ROUND(J487,6)))),-1.5E+300))</f>
        <v/>
      </c>
      <c r="L487" t="str">
        <f>IF(K487="","",RANK(K487,$K$2:$K$3001,0)+COUNTIF($K$2:K487,K487)-1)</f>
        <v/>
      </c>
    </row>
    <row r="488">
      <c r="B488" t="str">
        <f>IFERROR(IF(A488="","","="&amp;SUBSTITUTE(SUBSTITUTE(SUBSTITUTE(A488,"~","~~"),"*","~*"),"?","~?")),"")</f>
        <v/>
      </c>
      <c r="C488" t="str">
        <f>IF($B488="","",SUMIFS(dAmt,dCust,$B488,dPer,"&gt;="&amp;pyFrom,dPer,"&lt;="&amp;pyTo,dAmt,"&gt;-1E+300",dFlt1,critFlt1,dFlt2,critFlt2,dFlt3,critFlt3))</f>
        <v/>
      </c>
      <c r="D488" t="str">
        <f>IF($B488="","",SUMIFS(dAmt,dCust,$B488,dPer,"&gt;="&amp;cyFrom,dPer,"&lt;="&amp;cyTo,dAmt,"&gt;-1E+300",dFlt1,critFlt1,dFlt2,critFlt2,dFlt3,critFlt3))</f>
        <v/>
      </c>
      <c r="E488" t="str">
        <f>IF($B488="","",SUMIFS(dQty,dCust,$B488,dPer,"&gt;="&amp;pyFrom,dPer,"&lt;="&amp;pyTo,dQty,"&gt;-1E+300",dFlt1,critFlt1,dFlt2,critFlt2,dFlt3,critFlt3))</f>
        <v/>
      </c>
      <c r="F488" t="str">
        <f>IF($B488="","",SUMIFS(dQty,dCust,$B488,dPer,"&gt;="&amp;cyFrom,dPer,"&lt;="&amp;cyTo,dQty,"&gt;-1E+300",dFlt1,critFlt1,dFlt2,critFlt2,dFlt3,critFlt3))</f>
        <v/>
      </c>
      <c r="G488">
        <f>IF($B488="",0,IFERROR(IF(OR(C488&lt;&gt;0,D488&lt;&gt;0,E488&lt;&gt;0,F488&lt;&gt;0),1,0),1))</f>
        <v>0</v>
      </c>
      <c r="H488" t="str">
        <f>IF(OR(G488=0,E488=0),"",C488/E488)</f>
        <v/>
      </c>
      <c r="I488" t="str">
        <f>IF(OR(G488=0,F488=0),"",D488/F488)</f>
        <v/>
      </c>
      <c r="J488" t="str">
        <f>IF(OR(H488="",I488=""),"",IF(H488=0,"",I488/H488-1))</f>
        <v/>
      </c>
      <c r="K488" t="str">
        <f>IF($B488="","",IFERROR(IF(G488=0,-2E+300,CHOOSE(sortIdx,ROUND(D488,0),IF(J488="",-1E+300,ROUND(-J488,6)),IF(J488="",-1E+300,ROUND(J488,6)))),-1.5E+300))</f>
        <v/>
      </c>
      <c r="L488" t="str">
        <f>IF(K488="","",RANK(K488,$K$2:$K$3001,0)+COUNTIF($K$2:K488,K488)-1)</f>
        <v/>
      </c>
    </row>
    <row r="489">
      <c r="B489" t="str">
        <f>IFERROR(IF(A489="","","="&amp;SUBSTITUTE(SUBSTITUTE(SUBSTITUTE(A489,"~","~~"),"*","~*"),"?","~?")),"")</f>
        <v/>
      </c>
      <c r="C489" t="str">
        <f>IF($B489="","",SUMIFS(dAmt,dCust,$B489,dPer,"&gt;="&amp;pyFrom,dPer,"&lt;="&amp;pyTo,dAmt,"&gt;-1E+300",dFlt1,critFlt1,dFlt2,critFlt2,dFlt3,critFlt3))</f>
        <v/>
      </c>
      <c r="D489" t="str">
        <f>IF($B489="","",SUMIFS(dAmt,dCust,$B489,dPer,"&gt;="&amp;cyFrom,dPer,"&lt;="&amp;cyTo,dAmt,"&gt;-1E+300",dFlt1,critFlt1,dFlt2,critFlt2,dFlt3,critFlt3))</f>
        <v/>
      </c>
      <c r="E489" t="str">
        <f>IF($B489="","",SUMIFS(dQty,dCust,$B489,dPer,"&gt;="&amp;pyFrom,dPer,"&lt;="&amp;pyTo,dQty,"&gt;-1E+300",dFlt1,critFlt1,dFlt2,critFlt2,dFlt3,critFlt3))</f>
        <v/>
      </c>
      <c r="F489" t="str">
        <f>IF($B489="","",SUMIFS(dQty,dCust,$B489,dPer,"&gt;="&amp;cyFrom,dPer,"&lt;="&amp;cyTo,dQty,"&gt;-1E+300",dFlt1,critFlt1,dFlt2,critFlt2,dFlt3,critFlt3))</f>
        <v/>
      </c>
      <c r="G489">
        <f>IF($B489="",0,IFERROR(IF(OR(C489&lt;&gt;0,D489&lt;&gt;0,E489&lt;&gt;0,F489&lt;&gt;0),1,0),1))</f>
        <v>0</v>
      </c>
      <c r="H489" t="str">
        <f>IF(OR(G489=0,E489=0),"",C489/E489)</f>
        <v/>
      </c>
      <c r="I489" t="str">
        <f>IF(OR(G489=0,F489=0),"",D489/F489)</f>
        <v/>
      </c>
      <c r="J489" t="str">
        <f>IF(OR(H489="",I489=""),"",IF(H489=0,"",I489/H489-1))</f>
        <v/>
      </c>
      <c r="K489" t="str">
        <f>IF($B489="","",IFERROR(IF(G489=0,-2E+300,CHOOSE(sortIdx,ROUND(D489,0),IF(J489="",-1E+300,ROUND(-J489,6)),IF(J489="",-1E+300,ROUND(J489,6)))),-1.5E+300))</f>
        <v/>
      </c>
      <c r="L489" t="str">
        <f>IF(K489="","",RANK(K489,$K$2:$K$3001,0)+COUNTIF($K$2:K489,K489)-1)</f>
        <v/>
      </c>
    </row>
    <row r="490">
      <c r="B490" t="str">
        <f>IFERROR(IF(A490="","","="&amp;SUBSTITUTE(SUBSTITUTE(SUBSTITUTE(A490,"~","~~"),"*","~*"),"?","~?")),"")</f>
        <v/>
      </c>
      <c r="C490" t="str">
        <f>IF($B490="","",SUMIFS(dAmt,dCust,$B490,dPer,"&gt;="&amp;pyFrom,dPer,"&lt;="&amp;pyTo,dAmt,"&gt;-1E+300",dFlt1,critFlt1,dFlt2,critFlt2,dFlt3,critFlt3))</f>
        <v/>
      </c>
      <c r="D490" t="str">
        <f>IF($B490="","",SUMIFS(dAmt,dCust,$B490,dPer,"&gt;="&amp;cyFrom,dPer,"&lt;="&amp;cyTo,dAmt,"&gt;-1E+300",dFlt1,critFlt1,dFlt2,critFlt2,dFlt3,critFlt3))</f>
        <v/>
      </c>
      <c r="E490" t="str">
        <f>IF($B490="","",SUMIFS(dQty,dCust,$B490,dPer,"&gt;="&amp;pyFrom,dPer,"&lt;="&amp;pyTo,dQty,"&gt;-1E+300",dFlt1,critFlt1,dFlt2,critFlt2,dFlt3,critFlt3))</f>
        <v/>
      </c>
      <c r="F490" t="str">
        <f>IF($B490="","",SUMIFS(dQty,dCust,$B490,dPer,"&gt;="&amp;cyFrom,dPer,"&lt;="&amp;cyTo,dQty,"&gt;-1E+300",dFlt1,critFlt1,dFlt2,critFlt2,dFlt3,critFlt3))</f>
        <v/>
      </c>
      <c r="G490">
        <f>IF($B490="",0,IFERROR(IF(OR(C490&lt;&gt;0,D490&lt;&gt;0,E490&lt;&gt;0,F490&lt;&gt;0),1,0),1))</f>
        <v>0</v>
      </c>
      <c r="H490" t="str">
        <f>IF(OR(G490=0,E490=0),"",C490/E490)</f>
        <v/>
      </c>
      <c r="I490" t="str">
        <f>IF(OR(G490=0,F490=0),"",D490/F490)</f>
        <v/>
      </c>
      <c r="J490" t="str">
        <f>IF(OR(H490="",I490=""),"",IF(H490=0,"",I490/H490-1))</f>
        <v/>
      </c>
      <c r="K490" t="str">
        <f>IF($B490="","",IFERROR(IF(G490=0,-2E+300,CHOOSE(sortIdx,ROUND(D490,0),IF(J490="",-1E+300,ROUND(-J490,6)),IF(J490="",-1E+300,ROUND(J490,6)))),-1.5E+300))</f>
        <v/>
      </c>
      <c r="L490" t="str">
        <f>IF(K490="","",RANK(K490,$K$2:$K$3001,0)+COUNTIF($K$2:K490,K490)-1)</f>
        <v/>
      </c>
    </row>
    <row r="491">
      <c r="B491" t="str">
        <f>IFERROR(IF(A491="","","="&amp;SUBSTITUTE(SUBSTITUTE(SUBSTITUTE(A491,"~","~~"),"*","~*"),"?","~?")),"")</f>
        <v/>
      </c>
      <c r="C491" t="str">
        <f>IF($B491="","",SUMIFS(dAmt,dCust,$B491,dPer,"&gt;="&amp;pyFrom,dPer,"&lt;="&amp;pyTo,dAmt,"&gt;-1E+300",dFlt1,critFlt1,dFlt2,critFlt2,dFlt3,critFlt3))</f>
        <v/>
      </c>
      <c r="D491" t="str">
        <f>IF($B491="","",SUMIFS(dAmt,dCust,$B491,dPer,"&gt;="&amp;cyFrom,dPer,"&lt;="&amp;cyTo,dAmt,"&gt;-1E+300",dFlt1,critFlt1,dFlt2,critFlt2,dFlt3,critFlt3))</f>
        <v/>
      </c>
      <c r="E491" t="str">
        <f>IF($B491="","",SUMIFS(dQty,dCust,$B491,dPer,"&gt;="&amp;pyFrom,dPer,"&lt;="&amp;pyTo,dQty,"&gt;-1E+300",dFlt1,critFlt1,dFlt2,critFlt2,dFlt3,critFlt3))</f>
        <v/>
      </c>
      <c r="F491" t="str">
        <f>IF($B491="","",SUMIFS(dQty,dCust,$B491,dPer,"&gt;="&amp;cyFrom,dPer,"&lt;="&amp;cyTo,dQty,"&gt;-1E+300",dFlt1,critFlt1,dFlt2,critFlt2,dFlt3,critFlt3))</f>
        <v/>
      </c>
      <c r="G491">
        <f>IF($B491="",0,IFERROR(IF(OR(C491&lt;&gt;0,D491&lt;&gt;0,E491&lt;&gt;0,F491&lt;&gt;0),1,0),1))</f>
        <v>0</v>
      </c>
      <c r="H491" t="str">
        <f>IF(OR(G491=0,E491=0),"",C491/E491)</f>
        <v/>
      </c>
      <c r="I491" t="str">
        <f>IF(OR(G491=0,F491=0),"",D491/F491)</f>
        <v/>
      </c>
      <c r="J491" t="str">
        <f>IF(OR(H491="",I491=""),"",IF(H491=0,"",I491/H491-1))</f>
        <v/>
      </c>
      <c r="K491" t="str">
        <f>IF($B491="","",IFERROR(IF(G491=0,-2E+300,CHOOSE(sortIdx,ROUND(D491,0),IF(J491="",-1E+300,ROUND(-J491,6)),IF(J491="",-1E+300,ROUND(J491,6)))),-1.5E+300))</f>
        <v/>
      </c>
      <c r="L491" t="str">
        <f>IF(K491="","",RANK(K491,$K$2:$K$3001,0)+COUNTIF($K$2:K491,K491)-1)</f>
        <v/>
      </c>
    </row>
    <row r="492">
      <c r="B492" t="str">
        <f>IFERROR(IF(A492="","","="&amp;SUBSTITUTE(SUBSTITUTE(SUBSTITUTE(A492,"~","~~"),"*","~*"),"?","~?")),"")</f>
        <v/>
      </c>
      <c r="C492" t="str">
        <f>IF($B492="","",SUMIFS(dAmt,dCust,$B492,dPer,"&gt;="&amp;pyFrom,dPer,"&lt;="&amp;pyTo,dAmt,"&gt;-1E+300",dFlt1,critFlt1,dFlt2,critFlt2,dFlt3,critFlt3))</f>
        <v/>
      </c>
      <c r="D492" t="str">
        <f>IF($B492="","",SUMIFS(dAmt,dCust,$B492,dPer,"&gt;="&amp;cyFrom,dPer,"&lt;="&amp;cyTo,dAmt,"&gt;-1E+300",dFlt1,critFlt1,dFlt2,critFlt2,dFlt3,critFlt3))</f>
        <v/>
      </c>
      <c r="E492" t="str">
        <f>IF($B492="","",SUMIFS(dQty,dCust,$B492,dPer,"&gt;="&amp;pyFrom,dPer,"&lt;="&amp;pyTo,dQty,"&gt;-1E+300",dFlt1,critFlt1,dFlt2,critFlt2,dFlt3,critFlt3))</f>
        <v/>
      </c>
      <c r="F492" t="str">
        <f>IF($B492="","",SUMIFS(dQty,dCust,$B492,dPer,"&gt;="&amp;cyFrom,dPer,"&lt;="&amp;cyTo,dQty,"&gt;-1E+300",dFlt1,critFlt1,dFlt2,critFlt2,dFlt3,critFlt3))</f>
        <v/>
      </c>
      <c r="G492">
        <f>IF($B492="",0,IFERROR(IF(OR(C492&lt;&gt;0,D492&lt;&gt;0,E492&lt;&gt;0,F492&lt;&gt;0),1,0),1))</f>
        <v>0</v>
      </c>
      <c r="H492" t="str">
        <f>IF(OR(G492=0,E492=0),"",C492/E492)</f>
        <v/>
      </c>
      <c r="I492" t="str">
        <f>IF(OR(G492=0,F492=0),"",D492/F492)</f>
        <v/>
      </c>
      <c r="J492" t="str">
        <f>IF(OR(H492="",I492=""),"",IF(H492=0,"",I492/H492-1))</f>
        <v/>
      </c>
      <c r="K492" t="str">
        <f>IF($B492="","",IFERROR(IF(G492=0,-2E+300,CHOOSE(sortIdx,ROUND(D492,0),IF(J492="",-1E+300,ROUND(-J492,6)),IF(J492="",-1E+300,ROUND(J492,6)))),-1.5E+300))</f>
        <v/>
      </c>
      <c r="L492" t="str">
        <f>IF(K492="","",RANK(K492,$K$2:$K$3001,0)+COUNTIF($K$2:K492,K492)-1)</f>
        <v/>
      </c>
    </row>
    <row r="493">
      <c r="B493" t="str">
        <f>IFERROR(IF(A493="","","="&amp;SUBSTITUTE(SUBSTITUTE(SUBSTITUTE(A493,"~","~~"),"*","~*"),"?","~?")),"")</f>
        <v/>
      </c>
      <c r="C493" t="str">
        <f>IF($B493="","",SUMIFS(dAmt,dCust,$B493,dPer,"&gt;="&amp;pyFrom,dPer,"&lt;="&amp;pyTo,dAmt,"&gt;-1E+300",dFlt1,critFlt1,dFlt2,critFlt2,dFlt3,critFlt3))</f>
        <v/>
      </c>
      <c r="D493" t="str">
        <f>IF($B493="","",SUMIFS(dAmt,dCust,$B493,dPer,"&gt;="&amp;cyFrom,dPer,"&lt;="&amp;cyTo,dAmt,"&gt;-1E+300",dFlt1,critFlt1,dFlt2,critFlt2,dFlt3,critFlt3))</f>
        <v/>
      </c>
      <c r="E493" t="str">
        <f>IF($B493="","",SUMIFS(dQty,dCust,$B493,dPer,"&gt;="&amp;pyFrom,dPer,"&lt;="&amp;pyTo,dQty,"&gt;-1E+300",dFlt1,critFlt1,dFlt2,critFlt2,dFlt3,critFlt3))</f>
        <v/>
      </c>
      <c r="F493" t="str">
        <f>IF($B493="","",SUMIFS(dQty,dCust,$B493,dPer,"&gt;="&amp;cyFrom,dPer,"&lt;="&amp;cyTo,dQty,"&gt;-1E+300",dFlt1,critFlt1,dFlt2,critFlt2,dFlt3,critFlt3))</f>
        <v/>
      </c>
      <c r="G493">
        <f>IF($B493="",0,IFERROR(IF(OR(C493&lt;&gt;0,D493&lt;&gt;0,E493&lt;&gt;0,F493&lt;&gt;0),1,0),1))</f>
        <v>0</v>
      </c>
      <c r="H493" t="str">
        <f>IF(OR(G493=0,E493=0),"",C493/E493)</f>
        <v/>
      </c>
      <c r="I493" t="str">
        <f>IF(OR(G493=0,F493=0),"",D493/F493)</f>
        <v/>
      </c>
      <c r="J493" t="str">
        <f>IF(OR(H493="",I493=""),"",IF(H493=0,"",I493/H493-1))</f>
        <v/>
      </c>
      <c r="K493" t="str">
        <f>IF($B493="","",IFERROR(IF(G493=0,-2E+300,CHOOSE(sortIdx,ROUND(D493,0),IF(J493="",-1E+300,ROUND(-J493,6)),IF(J493="",-1E+300,ROUND(J493,6)))),-1.5E+300))</f>
        <v/>
      </c>
      <c r="L493" t="str">
        <f>IF(K493="","",RANK(K493,$K$2:$K$3001,0)+COUNTIF($K$2:K493,K493)-1)</f>
        <v/>
      </c>
    </row>
    <row r="494">
      <c r="B494" t="str">
        <f>IFERROR(IF(A494="","","="&amp;SUBSTITUTE(SUBSTITUTE(SUBSTITUTE(A494,"~","~~"),"*","~*"),"?","~?")),"")</f>
        <v/>
      </c>
      <c r="C494" t="str">
        <f>IF($B494="","",SUMIFS(dAmt,dCust,$B494,dPer,"&gt;="&amp;pyFrom,dPer,"&lt;="&amp;pyTo,dAmt,"&gt;-1E+300",dFlt1,critFlt1,dFlt2,critFlt2,dFlt3,critFlt3))</f>
        <v/>
      </c>
      <c r="D494" t="str">
        <f>IF($B494="","",SUMIFS(dAmt,dCust,$B494,dPer,"&gt;="&amp;cyFrom,dPer,"&lt;="&amp;cyTo,dAmt,"&gt;-1E+300",dFlt1,critFlt1,dFlt2,critFlt2,dFlt3,critFlt3))</f>
        <v/>
      </c>
      <c r="E494" t="str">
        <f>IF($B494="","",SUMIFS(dQty,dCust,$B494,dPer,"&gt;="&amp;pyFrom,dPer,"&lt;="&amp;pyTo,dQty,"&gt;-1E+300",dFlt1,critFlt1,dFlt2,critFlt2,dFlt3,critFlt3))</f>
        <v/>
      </c>
      <c r="F494" t="str">
        <f>IF($B494="","",SUMIFS(dQty,dCust,$B494,dPer,"&gt;="&amp;cyFrom,dPer,"&lt;="&amp;cyTo,dQty,"&gt;-1E+300",dFlt1,critFlt1,dFlt2,critFlt2,dFlt3,critFlt3))</f>
        <v/>
      </c>
      <c r="G494">
        <f>IF($B494="",0,IFERROR(IF(OR(C494&lt;&gt;0,D494&lt;&gt;0,E494&lt;&gt;0,F494&lt;&gt;0),1,0),1))</f>
        <v>0</v>
      </c>
      <c r="H494" t="str">
        <f>IF(OR(G494=0,E494=0),"",C494/E494)</f>
        <v/>
      </c>
      <c r="I494" t="str">
        <f>IF(OR(G494=0,F494=0),"",D494/F494)</f>
        <v/>
      </c>
      <c r="J494" t="str">
        <f>IF(OR(H494="",I494=""),"",IF(H494=0,"",I494/H494-1))</f>
        <v/>
      </c>
      <c r="K494" t="str">
        <f>IF($B494="","",IFERROR(IF(G494=0,-2E+300,CHOOSE(sortIdx,ROUND(D494,0),IF(J494="",-1E+300,ROUND(-J494,6)),IF(J494="",-1E+300,ROUND(J494,6)))),-1.5E+300))</f>
        <v/>
      </c>
      <c r="L494" t="str">
        <f>IF(K494="","",RANK(K494,$K$2:$K$3001,0)+COUNTIF($K$2:K494,K494)-1)</f>
        <v/>
      </c>
    </row>
    <row r="495">
      <c r="B495" t="str">
        <f>IFERROR(IF(A495="","","="&amp;SUBSTITUTE(SUBSTITUTE(SUBSTITUTE(A495,"~","~~"),"*","~*"),"?","~?")),"")</f>
        <v/>
      </c>
      <c r="C495" t="str">
        <f>IF($B495="","",SUMIFS(dAmt,dCust,$B495,dPer,"&gt;="&amp;pyFrom,dPer,"&lt;="&amp;pyTo,dAmt,"&gt;-1E+300",dFlt1,critFlt1,dFlt2,critFlt2,dFlt3,critFlt3))</f>
        <v/>
      </c>
      <c r="D495" t="str">
        <f>IF($B495="","",SUMIFS(dAmt,dCust,$B495,dPer,"&gt;="&amp;cyFrom,dPer,"&lt;="&amp;cyTo,dAmt,"&gt;-1E+300",dFlt1,critFlt1,dFlt2,critFlt2,dFlt3,critFlt3))</f>
        <v/>
      </c>
      <c r="E495" t="str">
        <f>IF($B495="","",SUMIFS(dQty,dCust,$B495,dPer,"&gt;="&amp;pyFrom,dPer,"&lt;="&amp;pyTo,dQty,"&gt;-1E+300",dFlt1,critFlt1,dFlt2,critFlt2,dFlt3,critFlt3))</f>
        <v/>
      </c>
      <c r="F495" t="str">
        <f>IF($B495="","",SUMIFS(dQty,dCust,$B495,dPer,"&gt;="&amp;cyFrom,dPer,"&lt;="&amp;cyTo,dQty,"&gt;-1E+300",dFlt1,critFlt1,dFlt2,critFlt2,dFlt3,critFlt3))</f>
        <v/>
      </c>
      <c r="G495">
        <f>IF($B495="",0,IFERROR(IF(OR(C495&lt;&gt;0,D495&lt;&gt;0,E495&lt;&gt;0,F495&lt;&gt;0),1,0),1))</f>
        <v>0</v>
      </c>
      <c r="H495" t="str">
        <f>IF(OR(G495=0,E495=0),"",C495/E495)</f>
        <v/>
      </c>
      <c r="I495" t="str">
        <f>IF(OR(G495=0,F495=0),"",D495/F495)</f>
        <v/>
      </c>
      <c r="J495" t="str">
        <f>IF(OR(H495="",I495=""),"",IF(H495=0,"",I495/H495-1))</f>
        <v/>
      </c>
      <c r="K495" t="str">
        <f>IF($B495="","",IFERROR(IF(G495=0,-2E+300,CHOOSE(sortIdx,ROUND(D495,0),IF(J495="",-1E+300,ROUND(-J495,6)),IF(J495="",-1E+300,ROUND(J495,6)))),-1.5E+300))</f>
        <v/>
      </c>
      <c r="L495" t="str">
        <f>IF(K495="","",RANK(K495,$K$2:$K$3001,0)+COUNTIF($K$2:K495,K495)-1)</f>
        <v/>
      </c>
    </row>
    <row r="496">
      <c r="B496" t="str">
        <f>IFERROR(IF(A496="","","="&amp;SUBSTITUTE(SUBSTITUTE(SUBSTITUTE(A496,"~","~~"),"*","~*"),"?","~?")),"")</f>
        <v/>
      </c>
      <c r="C496" t="str">
        <f>IF($B496="","",SUMIFS(dAmt,dCust,$B496,dPer,"&gt;="&amp;pyFrom,dPer,"&lt;="&amp;pyTo,dAmt,"&gt;-1E+300",dFlt1,critFlt1,dFlt2,critFlt2,dFlt3,critFlt3))</f>
        <v/>
      </c>
      <c r="D496" t="str">
        <f>IF($B496="","",SUMIFS(dAmt,dCust,$B496,dPer,"&gt;="&amp;cyFrom,dPer,"&lt;="&amp;cyTo,dAmt,"&gt;-1E+300",dFlt1,critFlt1,dFlt2,critFlt2,dFlt3,critFlt3))</f>
        <v/>
      </c>
      <c r="E496" t="str">
        <f>IF($B496="","",SUMIFS(dQty,dCust,$B496,dPer,"&gt;="&amp;pyFrom,dPer,"&lt;="&amp;pyTo,dQty,"&gt;-1E+300",dFlt1,critFlt1,dFlt2,critFlt2,dFlt3,critFlt3))</f>
        <v/>
      </c>
      <c r="F496" t="str">
        <f>IF($B496="","",SUMIFS(dQty,dCust,$B496,dPer,"&gt;="&amp;cyFrom,dPer,"&lt;="&amp;cyTo,dQty,"&gt;-1E+300",dFlt1,critFlt1,dFlt2,critFlt2,dFlt3,critFlt3))</f>
        <v/>
      </c>
      <c r="G496">
        <f>IF($B496="",0,IFERROR(IF(OR(C496&lt;&gt;0,D496&lt;&gt;0,E496&lt;&gt;0,F496&lt;&gt;0),1,0),1))</f>
        <v>0</v>
      </c>
      <c r="H496" t="str">
        <f>IF(OR(G496=0,E496=0),"",C496/E496)</f>
        <v/>
      </c>
      <c r="I496" t="str">
        <f>IF(OR(G496=0,F496=0),"",D496/F496)</f>
        <v/>
      </c>
      <c r="J496" t="str">
        <f>IF(OR(H496="",I496=""),"",IF(H496=0,"",I496/H496-1))</f>
        <v/>
      </c>
      <c r="K496" t="str">
        <f>IF($B496="","",IFERROR(IF(G496=0,-2E+300,CHOOSE(sortIdx,ROUND(D496,0),IF(J496="",-1E+300,ROUND(-J496,6)),IF(J496="",-1E+300,ROUND(J496,6)))),-1.5E+300))</f>
        <v/>
      </c>
      <c r="L496" t="str">
        <f>IF(K496="","",RANK(K496,$K$2:$K$3001,0)+COUNTIF($K$2:K496,K496)-1)</f>
        <v/>
      </c>
    </row>
    <row r="497">
      <c r="B497" t="str">
        <f>IFERROR(IF(A497="","","="&amp;SUBSTITUTE(SUBSTITUTE(SUBSTITUTE(A497,"~","~~"),"*","~*"),"?","~?")),"")</f>
        <v/>
      </c>
      <c r="C497" t="str">
        <f>IF($B497="","",SUMIFS(dAmt,dCust,$B497,dPer,"&gt;="&amp;pyFrom,dPer,"&lt;="&amp;pyTo,dAmt,"&gt;-1E+300",dFlt1,critFlt1,dFlt2,critFlt2,dFlt3,critFlt3))</f>
        <v/>
      </c>
      <c r="D497" t="str">
        <f>IF($B497="","",SUMIFS(dAmt,dCust,$B497,dPer,"&gt;="&amp;cyFrom,dPer,"&lt;="&amp;cyTo,dAmt,"&gt;-1E+300",dFlt1,critFlt1,dFlt2,critFlt2,dFlt3,critFlt3))</f>
        <v/>
      </c>
      <c r="E497" t="str">
        <f>IF($B497="","",SUMIFS(dQty,dCust,$B497,dPer,"&gt;="&amp;pyFrom,dPer,"&lt;="&amp;pyTo,dQty,"&gt;-1E+300",dFlt1,critFlt1,dFlt2,critFlt2,dFlt3,critFlt3))</f>
        <v/>
      </c>
      <c r="F497" t="str">
        <f>IF($B497="","",SUMIFS(dQty,dCust,$B497,dPer,"&gt;="&amp;cyFrom,dPer,"&lt;="&amp;cyTo,dQty,"&gt;-1E+300",dFlt1,critFlt1,dFlt2,critFlt2,dFlt3,critFlt3))</f>
        <v/>
      </c>
      <c r="G497">
        <f>IF($B497="",0,IFERROR(IF(OR(C497&lt;&gt;0,D497&lt;&gt;0,E497&lt;&gt;0,F497&lt;&gt;0),1,0),1))</f>
        <v>0</v>
      </c>
      <c r="H497" t="str">
        <f>IF(OR(G497=0,E497=0),"",C497/E497)</f>
        <v/>
      </c>
      <c r="I497" t="str">
        <f>IF(OR(G497=0,F497=0),"",D497/F497)</f>
        <v/>
      </c>
      <c r="J497" t="str">
        <f>IF(OR(H497="",I497=""),"",IF(H497=0,"",I497/H497-1))</f>
        <v/>
      </c>
      <c r="K497" t="str">
        <f>IF($B497="","",IFERROR(IF(G497=0,-2E+300,CHOOSE(sortIdx,ROUND(D497,0),IF(J497="",-1E+300,ROUND(-J497,6)),IF(J497="",-1E+300,ROUND(J497,6)))),-1.5E+300))</f>
        <v/>
      </c>
      <c r="L497" t="str">
        <f>IF(K497="","",RANK(K497,$K$2:$K$3001,0)+COUNTIF($K$2:K497,K497)-1)</f>
        <v/>
      </c>
    </row>
    <row r="498">
      <c r="B498" t="str">
        <f>IFERROR(IF(A498="","","="&amp;SUBSTITUTE(SUBSTITUTE(SUBSTITUTE(A498,"~","~~"),"*","~*"),"?","~?")),"")</f>
        <v/>
      </c>
      <c r="C498" t="str">
        <f>IF($B498="","",SUMIFS(dAmt,dCust,$B498,dPer,"&gt;="&amp;pyFrom,dPer,"&lt;="&amp;pyTo,dAmt,"&gt;-1E+300",dFlt1,critFlt1,dFlt2,critFlt2,dFlt3,critFlt3))</f>
        <v/>
      </c>
      <c r="D498" t="str">
        <f>IF($B498="","",SUMIFS(dAmt,dCust,$B498,dPer,"&gt;="&amp;cyFrom,dPer,"&lt;="&amp;cyTo,dAmt,"&gt;-1E+300",dFlt1,critFlt1,dFlt2,critFlt2,dFlt3,critFlt3))</f>
        <v/>
      </c>
      <c r="E498" t="str">
        <f>IF($B498="","",SUMIFS(dQty,dCust,$B498,dPer,"&gt;="&amp;pyFrom,dPer,"&lt;="&amp;pyTo,dQty,"&gt;-1E+300",dFlt1,critFlt1,dFlt2,critFlt2,dFlt3,critFlt3))</f>
        <v/>
      </c>
      <c r="F498" t="str">
        <f>IF($B498="","",SUMIFS(dQty,dCust,$B498,dPer,"&gt;="&amp;cyFrom,dPer,"&lt;="&amp;cyTo,dQty,"&gt;-1E+300",dFlt1,critFlt1,dFlt2,critFlt2,dFlt3,critFlt3))</f>
        <v/>
      </c>
      <c r="G498">
        <f>IF($B498="",0,IFERROR(IF(OR(C498&lt;&gt;0,D498&lt;&gt;0,E498&lt;&gt;0,F498&lt;&gt;0),1,0),1))</f>
        <v>0</v>
      </c>
      <c r="H498" t="str">
        <f>IF(OR(G498=0,E498=0),"",C498/E498)</f>
        <v/>
      </c>
      <c r="I498" t="str">
        <f>IF(OR(G498=0,F498=0),"",D498/F498)</f>
        <v/>
      </c>
      <c r="J498" t="str">
        <f>IF(OR(H498="",I498=""),"",IF(H498=0,"",I498/H498-1))</f>
        <v/>
      </c>
      <c r="K498" t="str">
        <f>IF($B498="","",IFERROR(IF(G498=0,-2E+300,CHOOSE(sortIdx,ROUND(D498,0),IF(J498="",-1E+300,ROUND(-J498,6)),IF(J498="",-1E+300,ROUND(J498,6)))),-1.5E+300))</f>
        <v/>
      </c>
      <c r="L498" t="str">
        <f>IF(K498="","",RANK(K498,$K$2:$K$3001,0)+COUNTIF($K$2:K498,K498)-1)</f>
        <v/>
      </c>
    </row>
    <row r="499">
      <c r="B499" t="str">
        <f>IFERROR(IF(A499="","","="&amp;SUBSTITUTE(SUBSTITUTE(SUBSTITUTE(A499,"~","~~"),"*","~*"),"?","~?")),"")</f>
        <v/>
      </c>
      <c r="C499" t="str">
        <f>IF($B499="","",SUMIFS(dAmt,dCust,$B499,dPer,"&gt;="&amp;pyFrom,dPer,"&lt;="&amp;pyTo,dAmt,"&gt;-1E+300",dFlt1,critFlt1,dFlt2,critFlt2,dFlt3,critFlt3))</f>
        <v/>
      </c>
      <c r="D499" t="str">
        <f>IF($B499="","",SUMIFS(dAmt,dCust,$B499,dPer,"&gt;="&amp;cyFrom,dPer,"&lt;="&amp;cyTo,dAmt,"&gt;-1E+300",dFlt1,critFlt1,dFlt2,critFlt2,dFlt3,critFlt3))</f>
        <v/>
      </c>
      <c r="E499" t="str">
        <f>IF($B499="","",SUMIFS(dQty,dCust,$B499,dPer,"&gt;="&amp;pyFrom,dPer,"&lt;="&amp;pyTo,dQty,"&gt;-1E+300",dFlt1,critFlt1,dFlt2,critFlt2,dFlt3,critFlt3))</f>
        <v/>
      </c>
      <c r="F499" t="str">
        <f>IF($B499="","",SUMIFS(dQty,dCust,$B499,dPer,"&gt;="&amp;cyFrom,dPer,"&lt;="&amp;cyTo,dQty,"&gt;-1E+300",dFlt1,critFlt1,dFlt2,critFlt2,dFlt3,critFlt3))</f>
        <v/>
      </c>
      <c r="G499">
        <f>IF($B499="",0,IFERROR(IF(OR(C499&lt;&gt;0,D499&lt;&gt;0,E499&lt;&gt;0,F499&lt;&gt;0),1,0),1))</f>
        <v>0</v>
      </c>
      <c r="H499" t="str">
        <f>IF(OR(G499=0,E499=0),"",C499/E499)</f>
        <v/>
      </c>
      <c r="I499" t="str">
        <f>IF(OR(G499=0,F499=0),"",D499/F499)</f>
        <v/>
      </c>
      <c r="J499" t="str">
        <f>IF(OR(H499="",I499=""),"",IF(H499=0,"",I499/H499-1))</f>
        <v/>
      </c>
      <c r="K499" t="str">
        <f>IF($B499="","",IFERROR(IF(G499=0,-2E+300,CHOOSE(sortIdx,ROUND(D499,0),IF(J499="",-1E+300,ROUND(-J499,6)),IF(J499="",-1E+300,ROUND(J499,6)))),-1.5E+300))</f>
        <v/>
      </c>
      <c r="L499" t="str">
        <f>IF(K499="","",RANK(K499,$K$2:$K$3001,0)+COUNTIF($K$2:K499,K499)-1)</f>
        <v/>
      </c>
    </row>
    <row r="500">
      <c r="B500" t="str">
        <f>IFERROR(IF(A500="","","="&amp;SUBSTITUTE(SUBSTITUTE(SUBSTITUTE(A500,"~","~~"),"*","~*"),"?","~?")),"")</f>
        <v/>
      </c>
      <c r="C500" t="str">
        <f>IF($B500="","",SUMIFS(dAmt,dCust,$B500,dPer,"&gt;="&amp;pyFrom,dPer,"&lt;="&amp;pyTo,dAmt,"&gt;-1E+300",dFlt1,critFlt1,dFlt2,critFlt2,dFlt3,critFlt3))</f>
        <v/>
      </c>
      <c r="D500" t="str">
        <f>IF($B500="","",SUMIFS(dAmt,dCust,$B500,dPer,"&gt;="&amp;cyFrom,dPer,"&lt;="&amp;cyTo,dAmt,"&gt;-1E+300",dFlt1,critFlt1,dFlt2,critFlt2,dFlt3,critFlt3))</f>
        <v/>
      </c>
      <c r="E500" t="str">
        <f>IF($B500="","",SUMIFS(dQty,dCust,$B500,dPer,"&gt;="&amp;pyFrom,dPer,"&lt;="&amp;pyTo,dQty,"&gt;-1E+300",dFlt1,critFlt1,dFlt2,critFlt2,dFlt3,critFlt3))</f>
        <v/>
      </c>
      <c r="F500" t="str">
        <f>IF($B500="","",SUMIFS(dQty,dCust,$B500,dPer,"&gt;="&amp;cyFrom,dPer,"&lt;="&amp;cyTo,dQty,"&gt;-1E+300",dFlt1,critFlt1,dFlt2,critFlt2,dFlt3,critFlt3))</f>
        <v/>
      </c>
      <c r="G500">
        <f>IF($B500="",0,IFERROR(IF(OR(C500&lt;&gt;0,D500&lt;&gt;0,E500&lt;&gt;0,F500&lt;&gt;0),1,0),1))</f>
        <v>0</v>
      </c>
      <c r="H500" t="str">
        <f>IF(OR(G500=0,E500=0),"",C500/E500)</f>
        <v/>
      </c>
      <c r="I500" t="str">
        <f>IF(OR(G500=0,F500=0),"",D500/F500)</f>
        <v/>
      </c>
      <c r="J500" t="str">
        <f>IF(OR(H500="",I500=""),"",IF(H500=0,"",I500/H500-1))</f>
        <v/>
      </c>
      <c r="K500" t="str">
        <f>IF($B500="","",IFERROR(IF(G500=0,-2E+300,CHOOSE(sortIdx,ROUND(D500,0),IF(J500="",-1E+300,ROUND(-J500,6)),IF(J500="",-1E+300,ROUND(J500,6)))),-1.5E+300))</f>
        <v/>
      </c>
      <c r="L500" t="str">
        <f>IF(K500="","",RANK(K500,$K$2:$K$3001,0)+COUNTIF($K$2:K500,K500)-1)</f>
        <v/>
      </c>
    </row>
    <row r="501">
      <c r="B501" t="str">
        <f>IFERROR(IF(A501="","","="&amp;SUBSTITUTE(SUBSTITUTE(SUBSTITUTE(A501,"~","~~"),"*","~*"),"?","~?")),"")</f>
        <v/>
      </c>
      <c r="C501" t="str">
        <f>IF($B501="","",SUMIFS(dAmt,dCust,$B501,dPer,"&gt;="&amp;pyFrom,dPer,"&lt;="&amp;pyTo,dAmt,"&gt;-1E+300",dFlt1,critFlt1,dFlt2,critFlt2,dFlt3,critFlt3))</f>
        <v/>
      </c>
      <c r="D501" t="str">
        <f>IF($B501="","",SUMIFS(dAmt,dCust,$B501,dPer,"&gt;="&amp;cyFrom,dPer,"&lt;="&amp;cyTo,dAmt,"&gt;-1E+300",dFlt1,critFlt1,dFlt2,critFlt2,dFlt3,critFlt3))</f>
        <v/>
      </c>
      <c r="E501" t="str">
        <f>IF($B501="","",SUMIFS(dQty,dCust,$B501,dPer,"&gt;="&amp;pyFrom,dPer,"&lt;="&amp;pyTo,dQty,"&gt;-1E+300",dFlt1,critFlt1,dFlt2,critFlt2,dFlt3,critFlt3))</f>
        <v/>
      </c>
      <c r="F501" t="str">
        <f>IF($B501="","",SUMIFS(dQty,dCust,$B501,dPer,"&gt;="&amp;cyFrom,dPer,"&lt;="&amp;cyTo,dQty,"&gt;-1E+300",dFlt1,critFlt1,dFlt2,critFlt2,dFlt3,critFlt3))</f>
        <v/>
      </c>
      <c r="G501">
        <f>IF($B501="",0,IFERROR(IF(OR(C501&lt;&gt;0,D501&lt;&gt;0,E501&lt;&gt;0,F501&lt;&gt;0),1,0),1))</f>
        <v>0</v>
      </c>
      <c r="H501" t="str">
        <f>IF(OR(G501=0,E501=0),"",C501/E501)</f>
        <v/>
      </c>
      <c r="I501" t="str">
        <f>IF(OR(G501=0,F501=0),"",D501/F501)</f>
        <v/>
      </c>
      <c r="J501" t="str">
        <f>IF(OR(H501="",I501=""),"",IF(H501=0,"",I501/H501-1))</f>
        <v/>
      </c>
      <c r="K501" t="str">
        <f>IF($B501="","",IFERROR(IF(G501=0,-2E+300,CHOOSE(sortIdx,ROUND(D501,0),IF(J501="",-1E+300,ROUND(-J501,6)),IF(J501="",-1E+300,ROUND(J501,6)))),-1.5E+300))</f>
        <v/>
      </c>
      <c r="L501" t="str">
        <f>IF(K501="","",RANK(K501,$K$2:$K$3001,0)+COUNTIF($K$2:K501,K501)-1)</f>
        <v/>
      </c>
    </row>
    <row r="502">
      <c r="B502" t="str">
        <f>IFERROR(IF(A502="","","="&amp;SUBSTITUTE(SUBSTITUTE(SUBSTITUTE(A502,"~","~~"),"*","~*"),"?","~?")),"")</f>
        <v/>
      </c>
      <c r="C502" t="str">
        <f>IF($B502="","",SUMIFS(dAmt,dCust,$B502,dPer,"&gt;="&amp;pyFrom,dPer,"&lt;="&amp;pyTo,dAmt,"&gt;-1E+300",dFlt1,critFlt1,dFlt2,critFlt2,dFlt3,critFlt3))</f>
        <v/>
      </c>
      <c r="D502" t="str">
        <f>IF($B502="","",SUMIFS(dAmt,dCust,$B502,dPer,"&gt;="&amp;cyFrom,dPer,"&lt;="&amp;cyTo,dAmt,"&gt;-1E+300",dFlt1,critFlt1,dFlt2,critFlt2,dFlt3,critFlt3))</f>
        <v/>
      </c>
      <c r="E502" t="str">
        <f>IF($B502="","",SUMIFS(dQty,dCust,$B502,dPer,"&gt;="&amp;pyFrom,dPer,"&lt;="&amp;pyTo,dQty,"&gt;-1E+300",dFlt1,critFlt1,dFlt2,critFlt2,dFlt3,critFlt3))</f>
        <v/>
      </c>
      <c r="F502" t="str">
        <f>IF($B502="","",SUMIFS(dQty,dCust,$B502,dPer,"&gt;="&amp;cyFrom,dPer,"&lt;="&amp;cyTo,dQty,"&gt;-1E+300",dFlt1,critFlt1,dFlt2,critFlt2,dFlt3,critFlt3))</f>
        <v/>
      </c>
      <c r="G502">
        <f>IF($B502="",0,IFERROR(IF(OR(C502&lt;&gt;0,D502&lt;&gt;0,E502&lt;&gt;0,F502&lt;&gt;0),1,0),1))</f>
        <v>0</v>
      </c>
      <c r="H502" t="str">
        <f>IF(OR(G502=0,E502=0),"",C502/E502)</f>
        <v/>
      </c>
      <c r="I502" t="str">
        <f>IF(OR(G502=0,F502=0),"",D502/F502)</f>
        <v/>
      </c>
      <c r="J502" t="str">
        <f>IF(OR(H502="",I502=""),"",IF(H502=0,"",I502/H502-1))</f>
        <v/>
      </c>
      <c r="K502" t="str">
        <f>IF($B502="","",IFERROR(IF(G502=0,-2E+300,CHOOSE(sortIdx,ROUND(D502,0),IF(J502="",-1E+300,ROUND(-J502,6)),IF(J502="",-1E+300,ROUND(J502,6)))),-1.5E+300))</f>
        <v/>
      </c>
      <c r="L502" t="str">
        <f>IF(K502="","",RANK(K502,$K$2:$K$3001,0)+COUNTIF($K$2:K502,K502)-1)</f>
        <v/>
      </c>
    </row>
    <row r="503">
      <c r="B503" t="str">
        <f>IFERROR(IF(A503="","","="&amp;SUBSTITUTE(SUBSTITUTE(SUBSTITUTE(A503,"~","~~"),"*","~*"),"?","~?")),"")</f>
        <v/>
      </c>
      <c r="C503" t="str">
        <f>IF($B503="","",SUMIFS(dAmt,dCust,$B503,dPer,"&gt;="&amp;pyFrom,dPer,"&lt;="&amp;pyTo,dAmt,"&gt;-1E+300",dFlt1,critFlt1,dFlt2,critFlt2,dFlt3,critFlt3))</f>
        <v/>
      </c>
      <c r="D503" t="str">
        <f>IF($B503="","",SUMIFS(dAmt,dCust,$B503,dPer,"&gt;="&amp;cyFrom,dPer,"&lt;="&amp;cyTo,dAmt,"&gt;-1E+300",dFlt1,critFlt1,dFlt2,critFlt2,dFlt3,critFlt3))</f>
        <v/>
      </c>
      <c r="E503" t="str">
        <f>IF($B503="","",SUMIFS(dQty,dCust,$B503,dPer,"&gt;="&amp;pyFrom,dPer,"&lt;="&amp;pyTo,dQty,"&gt;-1E+300",dFlt1,critFlt1,dFlt2,critFlt2,dFlt3,critFlt3))</f>
        <v/>
      </c>
      <c r="F503" t="str">
        <f>IF($B503="","",SUMIFS(dQty,dCust,$B503,dPer,"&gt;="&amp;cyFrom,dPer,"&lt;="&amp;cyTo,dQty,"&gt;-1E+300",dFlt1,critFlt1,dFlt2,critFlt2,dFlt3,critFlt3))</f>
        <v/>
      </c>
      <c r="G503">
        <f>IF($B503="",0,IFERROR(IF(OR(C503&lt;&gt;0,D503&lt;&gt;0,E503&lt;&gt;0,F503&lt;&gt;0),1,0),1))</f>
        <v>0</v>
      </c>
      <c r="H503" t="str">
        <f>IF(OR(G503=0,E503=0),"",C503/E503)</f>
        <v/>
      </c>
      <c r="I503" t="str">
        <f>IF(OR(G503=0,F503=0),"",D503/F503)</f>
        <v/>
      </c>
      <c r="J503" t="str">
        <f>IF(OR(H503="",I503=""),"",IF(H503=0,"",I503/H503-1))</f>
        <v/>
      </c>
      <c r="K503" t="str">
        <f>IF($B503="","",IFERROR(IF(G503=0,-2E+300,CHOOSE(sortIdx,ROUND(D503,0),IF(J503="",-1E+300,ROUND(-J503,6)),IF(J503="",-1E+300,ROUND(J503,6)))),-1.5E+300))</f>
        <v/>
      </c>
      <c r="L503" t="str">
        <f>IF(K503="","",RANK(K503,$K$2:$K$3001,0)+COUNTIF($K$2:K503,K503)-1)</f>
        <v/>
      </c>
    </row>
    <row r="504">
      <c r="B504" t="str">
        <f>IFERROR(IF(A504="","","="&amp;SUBSTITUTE(SUBSTITUTE(SUBSTITUTE(A504,"~","~~"),"*","~*"),"?","~?")),"")</f>
        <v/>
      </c>
      <c r="C504" t="str">
        <f>IF($B504="","",SUMIFS(dAmt,dCust,$B504,dPer,"&gt;="&amp;pyFrom,dPer,"&lt;="&amp;pyTo,dAmt,"&gt;-1E+300",dFlt1,critFlt1,dFlt2,critFlt2,dFlt3,critFlt3))</f>
        <v/>
      </c>
      <c r="D504" t="str">
        <f>IF($B504="","",SUMIFS(dAmt,dCust,$B504,dPer,"&gt;="&amp;cyFrom,dPer,"&lt;="&amp;cyTo,dAmt,"&gt;-1E+300",dFlt1,critFlt1,dFlt2,critFlt2,dFlt3,critFlt3))</f>
        <v/>
      </c>
      <c r="E504" t="str">
        <f>IF($B504="","",SUMIFS(dQty,dCust,$B504,dPer,"&gt;="&amp;pyFrom,dPer,"&lt;="&amp;pyTo,dQty,"&gt;-1E+300",dFlt1,critFlt1,dFlt2,critFlt2,dFlt3,critFlt3))</f>
        <v/>
      </c>
      <c r="F504" t="str">
        <f>IF($B504="","",SUMIFS(dQty,dCust,$B504,dPer,"&gt;="&amp;cyFrom,dPer,"&lt;="&amp;cyTo,dQty,"&gt;-1E+300",dFlt1,critFlt1,dFlt2,critFlt2,dFlt3,critFlt3))</f>
        <v/>
      </c>
      <c r="G504">
        <f>IF($B504="",0,IFERROR(IF(OR(C504&lt;&gt;0,D504&lt;&gt;0,E504&lt;&gt;0,F504&lt;&gt;0),1,0),1))</f>
        <v>0</v>
      </c>
      <c r="H504" t="str">
        <f>IF(OR(G504=0,E504=0),"",C504/E504)</f>
        <v/>
      </c>
      <c r="I504" t="str">
        <f>IF(OR(G504=0,F504=0),"",D504/F504)</f>
        <v/>
      </c>
      <c r="J504" t="str">
        <f>IF(OR(H504="",I504=""),"",IF(H504=0,"",I504/H504-1))</f>
        <v/>
      </c>
      <c r="K504" t="str">
        <f>IF($B504="","",IFERROR(IF(G504=0,-2E+300,CHOOSE(sortIdx,ROUND(D504,0),IF(J504="",-1E+300,ROUND(-J504,6)),IF(J504="",-1E+300,ROUND(J504,6)))),-1.5E+300))</f>
        <v/>
      </c>
      <c r="L504" t="str">
        <f>IF(K504="","",RANK(K504,$K$2:$K$3001,0)+COUNTIF($K$2:K504,K504)-1)</f>
        <v/>
      </c>
    </row>
    <row r="505">
      <c r="B505" t="str">
        <f>IFERROR(IF(A505="","","="&amp;SUBSTITUTE(SUBSTITUTE(SUBSTITUTE(A505,"~","~~"),"*","~*"),"?","~?")),"")</f>
        <v/>
      </c>
      <c r="C505" t="str">
        <f>IF($B505="","",SUMIFS(dAmt,dCust,$B505,dPer,"&gt;="&amp;pyFrom,dPer,"&lt;="&amp;pyTo,dAmt,"&gt;-1E+300",dFlt1,critFlt1,dFlt2,critFlt2,dFlt3,critFlt3))</f>
        <v/>
      </c>
      <c r="D505" t="str">
        <f>IF($B505="","",SUMIFS(dAmt,dCust,$B505,dPer,"&gt;="&amp;cyFrom,dPer,"&lt;="&amp;cyTo,dAmt,"&gt;-1E+300",dFlt1,critFlt1,dFlt2,critFlt2,dFlt3,critFlt3))</f>
        <v/>
      </c>
      <c r="E505" t="str">
        <f>IF($B505="","",SUMIFS(dQty,dCust,$B505,dPer,"&gt;="&amp;pyFrom,dPer,"&lt;="&amp;pyTo,dQty,"&gt;-1E+300",dFlt1,critFlt1,dFlt2,critFlt2,dFlt3,critFlt3))</f>
        <v/>
      </c>
      <c r="F505" t="str">
        <f>IF($B505="","",SUMIFS(dQty,dCust,$B505,dPer,"&gt;="&amp;cyFrom,dPer,"&lt;="&amp;cyTo,dQty,"&gt;-1E+300",dFlt1,critFlt1,dFlt2,critFlt2,dFlt3,critFlt3))</f>
        <v/>
      </c>
      <c r="G505">
        <f>IF($B505="",0,IFERROR(IF(OR(C505&lt;&gt;0,D505&lt;&gt;0,E505&lt;&gt;0,F505&lt;&gt;0),1,0),1))</f>
        <v>0</v>
      </c>
      <c r="H505" t="str">
        <f>IF(OR(G505=0,E505=0),"",C505/E505)</f>
        <v/>
      </c>
      <c r="I505" t="str">
        <f>IF(OR(G505=0,F505=0),"",D505/F505)</f>
        <v/>
      </c>
      <c r="J505" t="str">
        <f>IF(OR(H505="",I505=""),"",IF(H505=0,"",I505/H505-1))</f>
        <v/>
      </c>
      <c r="K505" t="str">
        <f>IF($B505="","",IFERROR(IF(G505=0,-2E+300,CHOOSE(sortIdx,ROUND(D505,0),IF(J505="",-1E+300,ROUND(-J505,6)),IF(J505="",-1E+300,ROUND(J505,6)))),-1.5E+300))</f>
        <v/>
      </c>
      <c r="L505" t="str">
        <f>IF(K505="","",RANK(K505,$K$2:$K$3001,0)+COUNTIF($K$2:K505,K505)-1)</f>
        <v/>
      </c>
    </row>
    <row r="506">
      <c r="B506" t="str">
        <f>IFERROR(IF(A506="","","="&amp;SUBSTITUTE(SUBSTITUTE(SUBSTITUTE(A506,"~","~~"),"*","~*"),"?","~?")),"")</f>
        <v/>
      </c>
      <c r="C506" t="str">
        <f>IF($B506="","",SUMIFS(dAmt,dCust,$B506,dPer,"&gt;="&amp;pyFrom,dPer,"&lt;="&amp;pyTo,dAmt,"&gt;-1E+300",dFlt1,critFlt1,dFlt2,critFlt2,dFlt3,critFlt3))</f>
        <v/>
      </c>
      <c r="D506" t="str">
        <f>IF($B506="","",SUMIFS(dAmt,dCust,$B506,dPer,"&gt;="&amp;cyFrom,dPer,"&lt;="&amp;cyTo,dAmt,"&gt;-1E+300",dFlt1,critFlt1,dFlt2,critFlt2,dFlt3,critFlt3))</f>
        <v/>
      </c>
      <c r="E506" t="str">
        <f>IF($B506="","",SUMIFS(dQty,dCust,$B506,dPer,"&gt;="&amp;pyFrom,dPer,"&lt;="&amp;pyTo,dQty,"&gt;-1E+300",dFlt1,critFlt1,dFlt2,critFlt2,dFlt3,critFlt3))</f>
        <v/>
      </c>
      <c r="F506" t="str">
        <f>IF($B506="","",SUMIFS(dQty,dCust,$B506,dPer,"&gt;="&amp;cyFrom,dPer,"&lt;="&amp;cyTo,dQty,"&gt;-1E+300",dFlt1,critFlt1,dFlt2,critFlt2,dFlt3,critFlt3))</f>
        <v/>
      </c>
      <c r="G506">
        <f>IF($B506="",0,IFERROR(IF(OR(C506&lt;&gt;0,D506&lt;&gt;0,E506&lt;&gt;0,F506&lt;&gt;0),1,0),1))</f>
        <v>0</v>
      </c>
      <c r="H506" t="str">
        <f>IF(OR(G506=0,E506=0),"",C506/E506)</f>
        <v/>
      </c>
      <c r="I506" t="str">
        <f>IF(OR(G506=0,F506=0),"",D506/F506)</f>
        <v/>
      </c>
      <c r="J506" t="str">
        <f>IF(OR(H506="",I506=""),"",IF(H506=0,"",I506/H506-1))</f>
        <v/>
      </c>
      <c r="K506" t="str">
        <f>IF($B506="","",IFERROR(IF(G506=0,-2E+300,CHOOSE(sortIdx,ROUND(D506,0),IF(J506="",-1E+300,ROUND(-J506,6)),IF(J506="",-1E+300,ROUND(J506,6)))),-1.5E+300))</f>
        <v/>
      </c>
      <c r="L506" t="str">
        <f>IF(K506="","",RANK(K506,$K$2:$K$3001,0)+COUNTIF($K$2:K506,K506)-1)</f>
        <v/>
      </c>
    </row>
    <row r="507">
      <c r="B507" t="str">
        <f>IFERROR(IF(A507="","","="&amp;SUBSTITUTE(SUBSTITUTE(SUBSTITUTE(A507,"~","~~"),"*","~*"),"?","~?")),"")</f>
        <v/>
      </c>
      <c r="C507" t="str">
        <f>IF($B507="","",SUMIFS(dAmt,dCust,$B507,dPer,"&gt;="&amp;pyFrom,dPer,"&lt;="&amp;pyTo,dAmt,"&gt;-1E+300",dFlt1,critFlt1,dFlt2,critFlt2,dFlt3,critFlt3))</f>
        <v/>
      </c>
      <c r="D507" t="str">
        <f>IF($B507="","",SUMIFS(dAmt,dCust,$B507,dPer,"&gt;="&amp;cyFrom,dPer,"&lt;="&amp;cyTo,dAmt,"&gt;-1E+300",dFlt1,critFlt1,dFlt2,critFlt2,dFlt3,critFlt3))</f>
        <v/>
      </c>
      <c r="E507" t="str">
        <f>IF($B507="","",SUMIFS(dQty,dCust,$B507,dPer,"&gt;="&amp;pyFrom,dPer,"&lt;="&amp;pyTo,dQty,"&gt;-1E+300",dFlt1,critFlt1,dFlt2,critFlt2,dFlt3,critFlt3))</f>
        <v/>
      </c>
      <c r="F507" t="str">
        <f>IF($B507="","",SUMIFS(dQty,dCust,$B507,dPer,"&gt;="&amp;cyFrom,dPer,"&lt;="&amp;cyTo,dQty,"&gt;-1E+300",dFlt1,critFlt1,dFlt2,critFlt2,dFlt3,critFlt3))</f>
        <v/>
      </c>
      <c r="G507">
        <f>IF($B507="",0,IFERROR(IF(OR(C507&lt;&gt;0,D507&lt;&gt;0,E507&lt;&gt;0,F507&lt;&gt;0),1,0),1))</f>
        <v>0</v>
      </c>
      <c r="H507" t="str">
        <f>IF(OR(G507=0,E507=0),"",C507/E507)</f>
        <v/>
      </c>
      <c r="I507" t="str">
        <f>IF(OR(G507=0,F507=0),"",D507/F507)</f>
        <v/>
      </c>
      <c r="J507" t="str">
        <f>IF(OR(H507="",I507=""),"",IF(H507=0,"",I507/H507-1))</f>
        <v/>
      </c>
      <c r="K507" t="str">
        <f>IF($B507="","",IFERROR(IF(G507=0,-2E+300,CHOOSE(sortIdx,ROUND(D507,0),IF(J507="",-1E+300,ROUND(-J507,6)),IF(J507="",-1E+300,ROUND(J507,6)))),-1.5E+300))</f>
        <v/>
      </c>
      <c r="L507" t="str">
        <f>IF(K507="","",RANK(K507,$K$2:$K$3001,0)+COUNTIF($K$2:K507,K507)-1)</f>
        <v/>
      </c>
    </row>
    <row r="508">
      <c r="B508" t="str">
        <f>IFERROR(IF(A508="","","="&amp;SUBSTITUTE(SUBSTITUTE(SUBSTITUTE(A508,"~","~~"),"*","~*"),"?","~?")),"")</f>
        <v/>
      </c>
      <c r="C508" t="str">
        <f>IF($B508="","",SUMIFS(dAmt,dCust,$B508,dPer,"&gt;="&amp;pyFrom,dPer,"&lt;="&amp;pyTo,dAmt,"&gt;-1E+300",dFlt1,critFlt1,dFlt2,critFlt2,dFlt3,critFlt3))</f>
        <v/>
      </c>
      <c r="D508" t="str">
        <f>IF($B508="","",SUMIFS(dAmt,dCust,$B508,dPer,"&gt;="&amp;cyFrom,dPer,"&lt;="&amp;cyTo,dAmt,"&gt;-1E+300",dFlt1,critFlt1,dFlt2,critFlt2,dFlt3,critFlt3))</f>
        <v/>
      </c>
      <c r="E508" t="str">
        <f>IF($B508="","",SUMIFS(dQty,dCust,$B508,dPer,"&gt;="&amp;pyFrom,dPer,"&lt;="&amp;pyTo,dQty,"&gt;-1E+300",dFlt1,critFlt1,dFlt2,critFlt2,dFlt3,critFlt3))</f>
        <v/>
      </c>
      <c r="F508" t="str">
        <f>IF($B508="","",SUMIFS(dQty,dCust,$B508,dPer,"&gt;="&amp;cyFrom,dPer,"&lt;="&amp;cyTo,dQty,"&gt;-1E+300",dFlt1,critFlt1,dFlt2,critFlt2,dFlt3,critFlt3))</f>
        <v/>
      </c>
      <c r="G508">
        <f>IF($B508="",0,IFERROR(IF(OR(C508&lt;&gt;0,D508&lt;&gt;0,E508&lt;&gt;0,F508&lt;&gt;0),1,0),1))</f>
        <v>0</v>
      </c>
      <c r="H508" t="str">
        <f>IF(OR(G508=0,E508=0),"",C508/E508)</f>
        <v/>
      </c>
      <c r="I508" t="str">
        <f>IF(OR(G508=0,F508=0),"",D508/F508)</f>
        <v/>
      </c>
      <c r="J508" t="str">
        <f>IF(OR(H508="",I508=""),"",IF(H508=0,"",I508/H508-1))</f>
        <v/>
      </c>
      <c r="K508" t="str">
        <f>IF($B508="","",IFERROR(IF(G508=0,-2E+300,CHOOSE(sortIdx,ROUND(D508,0),IF(J508="",-1E+300,ROUND(-J508,6)),IF(J508="",-1E+300,ROUND(J508,6)))),-1.5E+300))</f>
        <v/>
      </c>
      <c r="L508" t="str">
        <f>IF(K508="","",RANK(K508,$K$2:$K$3001,0)+COUNTIF($K$2:K508,K508)-1)</f>
        <v/>
      </c>
    </row>
    <row r="509">
      <c r="B509" t="str">
        <f>IFERROR(IF(A509="","","="&amp;SUBSTITUTE(SUBSTITUTE(SUBSTITUTE(A509,"~","~~"),"*","~*"),"?","~?")),"")</f>
        <v/>
      </c>
      <c r="C509" t="str">
        <f>IF($B509="","",SUMIFS(dAmt,dCust,$B509,dPer,"&gt;="&amp;pyFrom,dPer,"&lt;="&amp;pyTo,dAmt,"&gt;-1E+300",dFlt1,critFlt1,dFlt2,critFlt2,dFlt3,critFlt3))</f>
        <v/>
      </c>
      <c r="D509" t="str">
        <f>IF($B509="","",SUMIFS(dAmt,dCust,$B509,dPer,"&gt;="&amp;cyFrom,dPer,"&lt;="&amp;cyTo,dAmt,"&gt;-1E+300",dFlt1,critFlt1,dFlt2,critFlt2,dFlt3,critFlt3))</f>
        <v/>
      </c>
      <c r="E509" t="str">
        <f>IF($B509="","",SUMIFS(dQty,dCust,$B509,dPer,"&gt;="&amp;pyFrom,dPer,"&lt;="&amp;pyTo,dQty,"&gt;-1E+300",dFlt1,critFlt1,dFlt2,critFlt2,dFlt3,critFlt3))</f>
        <v/>
      </c>
      <c r="F509" t="str">
        <f>IF($B509="","",SUMIFS(dQty,dCust,$B509,dPer,"&gt;="&amp;cyFrom,dPer,"&lt;="&amp;cyTo,dQty,"&gt;-1E+300",dFlt1,critFlt1,dFlt2,critFlt2,dFlt3,critFlt3))</f>
        <v/>
      </c>
      <c r="G509">
        <f>IF($B509="",0,IFERROR(IF(OR(C509&lt;&gt;0,D509&lt;&gt;0,E509&lt;&gt;0,F509&lt;&gt;0),1,0),1))</f>
        <v>0</v>
      </c>
      <c r="H509" t="str">
        <f>IF(OR(G509=0,E509=0),"",C509/E509)</f>
        <v/>
      </c>
      <c r="I509" t="str">
        <f>IF(OR(G509=0,F509=0),"",D509/F509)</f>
        <v/>
      </c>
      <c r="J509" t="str">
        <f>IF(OR(H509="",I509=""),"",IF(H509=0,"",I509/H509-1))</f>
        <v/>
      </c>
      <c r="K509" t="str">
        <f>IF($B509="","",IFERROR(IF(G509=0,-2E+300,CHOOSE(sortIdx,ROUND(D509,0),IF(J509="",-1E+300,ROUND(-J509,6)),IF(J509="",-1E+300,ROUND(J509,6)))),-1.5E+300))</f>
        <v/>
      </c>
      <c r="L509" t="str">
        <f>IF(K509="","",RANK(K509,$K$2:$K$3001,0)+COUNTIF($K$2:K509,K509)-1)</f>
        <v/>
      </c>
    </row>
    <row r="510">
      <c r="B510" t="str">
        <f>IFERROR(IF(A510="","","="&amp;SUBSTITUTE(SUBSTITUTE(SUBSTITUTE(A510,"~","~~"),"*","~*"),"?","~?")),"")</f>
        <v/>
      </c>
      <c r="C510" t="str">
        <f>IF($B510="","",SUMIFS(dAmt,dCust,$B510,dPer,"&gt;="&amp;pyFrom,dPer,"&lt;="&amp;pyTo,dAmt,"&gt;-1E+300",dFlt1,critFlt1,dFlt2,critFlt2,dFlt3,critFlt3))</f>
        <v/>
      </c>
      <c r="D510" t="str">
        <f>IF($B510="","",SUMIFS(dAmt,dCust,$B510,dPer,"&gt;="&amp;cyFrom,dPer,"&lt;="&amp;cyTo,dAmt,"&gt;-1E+300",dFlt1,critFlt1,dFlt2,critFlt2,dFlt3,critFlt3))</f>
        <v/>
      </c>
      <c r="E510" t="str">
        <f>IF($B510="","",SUMIFS(dQty,dCust,$B510,dPer,"&gt;="&amp;pyFrom,dPer,"&lt;="&amp;pyTo,dQty,"&gt;-1E+300",dFlt1,critFlt1,dFlt2,critFlt2,dFlt3,critFlt3))</f>
        <v/>
      </c>
      <c r="F510" t="str">
        <f>IF($B510="","",SUMIFS(dQty,dCust,$B510,dPer,"&gt;="&amp;cyFrom,dPer,"&lt;="&amp;cyTo,dQty,"&gt;-1E+300",dFlt1,critFlt1,dFlt2,critFlt2,dFlt3,critFlt3))</f>
        <v/>
      </c>
      <c r="G510">
        <f>IF($B510="",0,IFERROR(IF(OR(C510&lt;&gt;0,D510&lt;&gt;0,E510&lt;&gt;0,F510&lt;&gt;0),1,0),1))</f>
        <v>0</v>
      </c>
      <c r="H510" t="str">
        <f>IF(OR(G510=0,E510=0),"",C510/E510)</f>
        <v/>
      </c>
      <c r="I510" t="str">
        <f>IF(OR(G510=0,F510=0),"",D510/F510)</f>
        <v/>
      </c>
      <c r="J510" t="str">
        <f>IF(OR(H510="",I510=""),"",IF(H510=0,"",I510/H510-1))</f>
        <v/>
      </c>
      <c r="K510" t="str">
        <f>IF($B510="","",IFERROR(IF(G510=0,-2E+300,CHOOSE(sortIdx,ROUND(D510,0),IF(J510="",-1E+300,ROUND(-J510,6)),IF(J510="",-1E+300,ROUND(J510,6)))),-1.5E+300))</f>
        <v/>
      </c>
      <c r="L510" t="str">
        <f>IF(K510="","",RANK(K510,$K$2:$K$3001,0)+COUNTIF($K$2:K510,K510)-1)</f>
        <v/>
      </c>
    </row>
    <row r="511">
      <c r="B511" t="str">
        <f>IFERROR(IF(A511="","","="&amp;SUBSTITUTE(SUBSTITUTE(SUBSTITUTE(A511,"~","~~"),"*","~*"),"?","~?")),"")</f>
        <v/>
      </c>
      <c r="C511" t="str">
        <f>IF($B511="","",SUMIFS(dAmt,dCust,$B511,dPer,"&gt;="&amp;pyFrom,dPer,"&lt;="&amp;pyTo,dAmt,"&gt;-1E+300",dFlt1,critFlt1,dFlt2,critFlt2,dFlt3,critFlt3))</f>
        <v/>
      </c>
      <c r="D511" t="str">
        <f>IF($B511="","",SUMIFS(dAmt,dCust,$B511,dPer,"&gt;="&amp;cyFrom,dPer,"&lt;="&amp;cyTo,dAmt,"&gt;-1E+300",dFlt1,critFlt1,dFlt2,critFlt2,dFlt3,critFlt3))</f>
        <v/>
      </c>
      <c r="E511" t="str">
        <f>IF($B511="","",SUMIFS(dQty,dCust,$B511,dPer,"&gt;="&amp;pyFrom,dPer,"&lt;="&amp;pyTo,dQty,"&gt;-1E+300",dFlt1,critFlt1,dFlt2,critFlt2,dFlt3,critFlt3))</f>
        <v/>
      </c>
      <c r="F511" t="str">
        <f>IF($B511="","",SUMIFS(dQty,dCust,$B511,dPer,"&gt;="&amp;cyFrom,dPer,"&lt;="&amp;cyTo,dQty,"&gt;-1E+300",dFlt1,critFlt1,dFlt2,critFlt2,dFlt3,critFlt3))</f>
        <v/>
      </c>
      <c r="G511">
        <f>IF($B511="",0,IFERROR(IF(OR(C511&lt;&gt;0,D511&lt;&gt;0,E511&lt;&gt;0,F511&lt;&gt;0),1,0),1))</f>
        <v>0</v>
      </c>
      <c r="H511" t="str">
        <f>IF(OR(G511=0,E511=0),"",C511/E511)</f>
        <v/>
      </c>
      <c r="I511" t="str">
        <f>IF(OR(G511=0,F511=0),"",D511/F511)</f>
        <v/>
      </c>
      <c r="J511" t="str">
        <f>IF(OR(H511="",I511=""),"",IF(H511=0,"",I511/H511-1))</f>
        <v/>
      </c>
      <c r="K511" t="str">
        <f>IF($B511="","",IFERROR(IF(G511=0,-2E+300,CHOOSE(sortIdx,ROUND(D511,0),IF(J511="",-1E+300,ROUND(-J511,6)),IF(J511="",-1E+300,ROUND(J511,6)))),-1.5E+300))</f>
        <v/>
      </c>
      <c r="L511" t="str">
        <f>IF(K511="","",RANK(K511,$K$2:$K$3001,0)+COUNTIF($K$2:K511,K511)-1)</f>
        <v/>
      </c>
    </row>
    <row r="512">
      <c r="B512" t="str">
        <f>IFERROR(IF(A512="","","="&amp;SUBSTITUTE(SUBSTITUTE(SUBSTITUTE(A512,"~","~~"),"*","~*"),"?","~?")),"")</f>
        <v/>
      </c>
      <c r="C512" t="str">
        <f>IF($B512="","",SUMIFS(dAmt,dCust,$B512,dPer,"&gt;="&amp;pyFrom,dPer,"&lt;="&amp;pyTo,dAmt,"&gt;-1E+300",dFlt1,critFlt1,dFlt2,critFlt2,dFlt3,critFlt3))</f>
        <v/>
      </c>
      <c r="D512" t="str">
        <f>IF($B512="","",SUMIFS(dAmt,dCust,$B512,dPer,"&gt;="&amp;cyFrom,dPer,"&lt;="&amp;cyTo,dAmt,"&gt;-1E+300",dFlt1,critFlt1,dFlt2,critFlt2,dFlt3,critFlt3))</f>
        <v/>
      </c>
      <c r="E512" t="str">
        <f>IF($B512="","",SUMIFS(dQty,dCust,$B512,dPer,"&gt;="&amp;pyFrom,dPer,"&lt;="&amp;pyTo,dQty,"&gt;-1E+300",dFlt1,critFlt1,dFlt2,critFlt2,dFlt3,critFlt3))</f>
        <v/>
      </c>
      <c r="F512" t="str">
        <f>IF($B512="","",SUMIFS(dQty,dCust,$B512,dPer,"&gt;="&amp;cyFrom,dPer,"&lt;="&amp;cyTo,dQty,"&gt;-1E+300",dFlt1,critFlt1,dFlt2,critFlt2,dFlt3,critFlt3))</f>
        <v/>
      </c>
      <c r="G512">
        <f>IF($B512="",0,IFERROR(IF(OR(C512&lt;&gt;0,D512&lt;&gt;0,E512&lt;&gt;0,F512&lt;&gt;0),1,0),1))</f>
        <v>0</v>
      </c>
      <c r="H512" t="str">
        <f>IF(OR(G512=0,E512=0),"",C512/E512)</f>
        <v/>
      </c>
      <c r="I512" t="str">
        <f>IF(OR(G512=0,F512=0),"",D512/F512)</f>
        <v/>
      </c>
      <c r="J512" t="str">
        <f>IF(OR(H512="",I512=""),"",IF(H512=0,"",I512/H512-1))</f>
        <v/>
      </c>
      <c r="K512" t="str">
        <f>IF($B512="","",IFERROR(IF(G512=0,-2E+300,CHOOSE(sortIdx,ROUND(D512,0),IF(J512="",-1E+300,ROUND(-J512,6)),IF(J512="",-1E+300,ROUND(J512,6)))),-1.5E+300))</f>
        <v/>
      </c>
      <c r="L512" t="str">
        <f>IF(K512="","",RANK(K512,$K$2:$K$3001,0)+COUNTIF($K$2:K512,K512)-1)</f>
        <v/>
      </c>
    </row>
    <row r="513">
      <c r="B513" t="str">
        <f>IFERROR(IF(A513="","","="&amp;SUBSTITUTE(SUBSTITUTE(SUBSTITUTE(A513,"~","~~"),"*","~*"),"?","~?")),"")</f>
        <v/>
      </c>
      <c r="C513" t="str">
        <f>IF($B513="","",SUMIFS(dAmt,dCust,$B513,dPer,"&gt;="&amp;pyFrom,dPer,"&lt;="&amp;pyTo,dAmt,"&gt;-1E+300",dFlt1,critFlt1,dFlt2,critFlt2,dFlt3,critFlt3))</f>
        <v/>
      </c>
      <c r="D513" t="str">
        <f>IF($B513="","",SUMIFS(dAmt,dCust,$B513,dPer,"&gt;="&amp;cyFrom,dPer,"&lt;="&amp;cyTo,dAmt,"&gt;-1E+300",dFlt1,critFlt1,dFlt2,critFlt2,dFlt3,critFlt3))</f>
        <v/>
      </c>
      <c r="E513" t="str">
        <f>IF($B513="","",SUMIFS(dQty,dCust,$B513,dPer,"&gt;="&amp;pyFrom,dPer,"&lt;="&amp;pyTo,dQty,"&gt;-1E+300",dFlt1,critFlt1,dFlt2,critFlt2,dFlt3,critFlt3))</f>
        <v/>
      </c>
      <c r="F513" t="str">
        <f>IF($B513="","",SUMIFS(dQty,dCust,$B513,dPer,"&gt;="&amp;cyFrom,dPer,"&lt;="&amp;cyTo,dQty,"&gt;-1E+300",dFlt1,critFlt1,dFlt2,critFlt2,dFlt3,critFlt3))</f>
        <v/>
      </c>
      <c r="G513">
        <f>IF($B513="",0,IFERROR(IF(OR(C513&lt;&gt;0,D513&lt;&gt;0,E513&lt;&gt;0,F513&lt;&gt;0),1,0),1))</f>
        <v>0</v>
      </c>
      <c r="H513" t="str">
        <f>IF(OR(G513=0,E513=0),"",C513/E513)</f>
        <v/>
      </c>
      <c r="I513" t="str">
        <f>IF(OR(G513=0,F513=0),"",D513/F513)</f>
        <v/>
      </c>
      <c r="J513" t="str">
        <f>IF(OR(H513="",I513=""),"",IF(H513=0,"",I513/H513-1))</f>
        <v/>
      </c>
      <c r="K513" t="str">
        <f>IF($B513="","",IFERROR(IF(G513=0,-2E+300,CHOOSE(sortIdx,ROUND(D513,0),IF(J513="",-1E+300,ROUND(-J513,6)),IF(J513="",-1E+300,ROUND(J513,6)))),-1.5E+300))</f>
        <v/>
      </c>
      <c r="L513" t="str">
        <f>IF(K513="","",RANK(K513,$K$2:$K$3001,0)+COUNTIF($K$2:K513,K513)-1)</f>
        <v/>
      </c>
    </row>
    <row r="514">
      <c r="B514" t="str">
        <f>IFERROR(IF(A514="","","="&amp;SUBSTITUTE(SUBSTITUTE(SUBSTITUTE(A514,"~","~~"),"*","~*"),"?","~?")),"")</f>
        <v/>
      </c>
      <c r="C514" t="str">
        <f>IF($B514="","",SUMIFS(dAmt,dCust,$B514,dPer,"&gt;="&amp;pyFrom,dPer,"&lt;="&amp;pyTo,dAmt,"&gt;-1E+300",dFlt1,critFlt1,dFlt2,critFlt2,dFlt3,critFlt3))</f>
        <v/>
      </c>
      <c r="D514" t="str">
        <f>IF($B514="","",SUMIFS(dAmt,dCust,$B514,dPer,"&gt;="&amp;cyFrom,dPer,"&lt;="&amp;cyTo,dAmt,"&gt;-1E+300",dFlt1,critFlt1,dFlt2,critFlt2,dFlt3,critFlt3))</f>
        <v/>
      </c>
      <c r="E514" t="str">
        <f>IF($B514="","",SUMIFS(dQty,dCust,$B514,dPer,"&gt;="&amp;pyFrom,dPer,"&lt;="&amp;pyTo,dQty,"&gt;-1E+300",dFlt1,critFlt1,dFlt2,critFlt2,dFlt3,critFlt3))</f>
        <v/>
      </c>
      <c r="F514" t="str">
        <f>IF($B514="","",SUMIFS(dQty,dCust,$B514,dPer,"&gt;="&amp;cyFrom,dPer,"&lt;="&amp;cyTo,dQty,"&gt;-1E+300",dFlt1,critFlt1,dFlt2,critFlt2,dFlt3,critFlt3))</f>
        <v/>
      </c>
      <c r="G514">
        <f>IF($B514="",0,IFERROR(IF(OR(C514&lt;&gt;0,D514&lt;&gt;0,E514&lt;&gt;0,F514&lt;&gt;0),1,0),1))</f>
        <v>0</v>
      </c>
      <c r="H514" t="str">
        <f>IF(OR(G514=0,E514=0),"",C514/E514)</f>
        <v/>
      </c>
      <c r="I514" t="str">
        <f>IF(OR(G514=0,F514=0),"",D514/F514)</f>
        <v/>
      </c>
      <c r="J514" t="str">
        <f>IF(OR(H514="",I514=""),"",IF(H514=0,"",I514/H514-1))</f>
        <v/>
      </c>
      <c r="K514" t="str">
        <f>IF($B514="","",IFERROR(IF(G514=0,-2E+300,CHOOSE(sortIdx,ROUND(D514,0),IF(J514="",-1E+300,ROUND(-J514,6)),IF(J514="",-1E+300,ROUND(J514,6)))),-1.5E+300))</f>
        <v/>
      </c>
      <c r="L514" t="str">
        <f>IF(K514="","",RANK(K514,$K$2:$K$3001,0)+COUNTIF($K$2:K514,K514)-1)</f>
        <v/>
      </c>
    </row>
    <row r="515">
      <c r="B515" t="str">
        <f>IFERROR(IF(A515="","","="&amp;SUBSTITUTE(SUBSTITUTE(SUBSTITUTE(A515,"~","~~"),"*","~*"),"?","~?")),"")</f>
        <v/>
      </c>
      <c r="C515" t="str">
        <f>IF($B515="","",SUMIFS(dAmt,dCust,$B515,dPer,"&gt;="&amp;pyFrom,dPer,"&lt;="&amp;pyTo,dAmt,"&gt;-1E+300",dFlt1,critFlt1,dFlt2,critFlt2,dFlt3,critFlt3))</f>
        <v/>
      </c>
      <c r="D515" t="str">
        <f>IF($B515="","",SUMIFS(dAmt,dCust,$B515,dPer,"&gt;="&amp;cyFrom,dPer,"&lt;="&amp;cyTo,dAmt,"&gt;-1E+300",dFlt1,critFlt1,dFlt2,critFlt2,dFlt3,critFlt3))</f>
        <v/>
      </c>
      <c r="E515" t="str">
        <f>IF($B515="","",SUMIFS(dQty,dCust,$B515,dPer,"&gt;="&amp;pyFrom,dPer,"&lt;="&amp;pyTo,dQty,"&gt;-1E+300",dFlt1,critFlt1,dFlt2,critFlt2,dFlt3,critFlt3))</f>
        <v/>
      </c>
      <c r="F515" t="str">
        <f>IF($B515="","",SUMIFS(dQty,dCust,$B515,dPer,"&gt;="&amp;cyFrom,dPer,"&lt;="&amp;cyTo,dQty,"&gt;-1E+300",dFlt1,critFlt1,dFlt2,critFlt2,dFlt3,critFlt3))</f>
        <v/>
      </c>
      <c r="G515">
        <f>IF($B515="",0,IFERROR(IF(OR(C515&lt;&gt;0,D515&lt;&gt;0,E515&lt;&gt;0,F515&lt;&gt;0),1,0),1))</f>
        <v>0</v>
      </c>
      <c r="H515" t="str">
        <f>IF(OR(G515=0,E515=0),"",C515/E515)</f>
        <v/>
      </c>
      <c r="I515" t="str">
        <f>IF(OR(G515=0,F515=0),"",D515/F515)</f>
        <v/>
      </c>
      <c r="J515" t="str">
        <f>IF(OR(H515="",I515=""),"",IF(H515=0,"",I515/H515-1))</f>
        <v/>
      </c>
      <c r="K515" t="str">
        <f>IF($B515="","",IFERROR(IF(G515=0,-2E+300,CHOOSE(sortIdx,ROUND(D515,0),IF(J515="",-1E+300,ROUND(-J515,6)),IF(J515="",-1E+300,ROUND(J515,6)))),-1.5E+300))</f>
        <v/>
      </c>
      <c r="L515" t="str">
        <f>IF(K515="","",RANK(K515,$K$2:$K$3001,0)+COUNTIF($K$2:K515,K515)-1)</f>
        <v/>
      </c>
    </row>
    <row r="516">
      <c r="B516" t="str">
        <f>IFERROR(IF(A516="","","="&amp;SUBSTITUTE(SUBSTITUTE(SUBSTITUTE(A516,"~","~~"),"*","~*"),"?","~?")),"")</f>
        <v/>
      </c>
      <c r="C516" t="str">
        <f>IF($B516="","",SUMIFS(dAmt,dCust,$B516,dPer,"&gt;="&amp;pyFrom,dPer,"&lt;="&amp;pyTo,dAmt,"&gt;-1E+300",dFlt1,critFlt1,dFlt2,critFlt2,dFlt3,critFlt3))</f>
        <v/>
      </c>
      <c r="D516" t="str">
        <f>IF($B516="","",SUMIFS(dAmt,dCust,$B516,dPer,"&gt;="&amp;cyFrom,dPer,"&lt;="&amp;cyTo,dAmt,"&gt;-1E+300",dFlt1,critFlt1,dFlt2,critFlt2,dFlt3,critFlt3))</f>
        <v/>
      </c>
      <c r="E516" t="str">
        <f>IF($B516="","",SUMIFS(dQty,dCust,$B516,dPer,"&gt;="&amp;pyFrom,dPer,"&lt;="&amp;pyTo,dQty,"&gt;-1E+300",dFlt1,critFlt1,dFlt2,critFlt2,dFlt3,critFlt3))</f>
        <v/>
      </c>
      <c r="F516" t="str">
        <f>IF($B516="","",SUMIFS(dQty,dCust,$B516,dPer,"&gt;="&amp;cyFrom,dPer,"&lt;="&amp;cyTo,dQty,"&gt;-1E+300",dFlt1,critFlt1,dFlt2,critFlt2,dFlt3,critFlt3))</f>
        <v/>
      </c>
      <c r="G516">
        <f>IF($B516="",0,IFERROR(IF(OR(C516&lt;&gt;0,D516&lt;&gt;0,E516&lt;&gt;0,F516&lt;&gt;0),1,0),1))</f>
        <v>0</v>
      </c>
      <c r="H516" t="str">
        <f>IF(OR(G516=0,E516=0),"",C516/E516)</f>
        <v/>
      </c>
      <c r="I516" t="str">
        <f>IF(OR(G516=0,F516=0),"",D516/F516)</f>
        <v/>
      </c>
      <c r="J516" t="str">
        <f>IF(OR(H516="",I516=""),"",IF(H516=0,"",I516/H516-1))</f>
        <v/>
      </c>
      <c r="K516" t="str">
        <f>IF($B516="","",IFERROR(IF(G516=0,-2E+300,CHOOSE(sortIdx,ROUND(D516,0),IF(J516="",-1E+300,ROUND(-J516,6)),IF(J516="",-1E+300,ROUND(J516,6)))),-1.5E+300))</f>
        <v/>
      </c>
      <c r="L516" t="str">
        <f>IF(K516="","",RANK(K516,$K$2:$K$3001,0)+COUNTIF($K$2:K516,K516)-1)</f>
        <v/>
      </c>
    </row>
    <row r="517">
      <c r="B517" t="str">
        <f>IFERROR(IF(A517="","","="&amp;SUBSTITUTE(SUBSTITUTE(SUBSTITUTE(A517,"~","~~"),"*","~*"),"?","~?")),"")</f>
        <v/>
      </c>
      <c r="C517" t="str">
        <f>IF($B517="","",SUMIFS(dAmt,dCust,$B517,dPer,"&gt;="&amp;pyFrom,dPer,"&lt;="&amp;pyTo,dAmt,"&gt;-1E+300",dFlt1,critFlt1,dFlt2,critFlt2,dFlt3,critFlt3))</f>
        <v/>
      </c>
      <c r="D517" t="str">
        <f>IF($B517="","",SUMIFS(dAmt,dCust,$B517,dPer,"&gt;="&amp;cyFrom,dPer,"&lt;="&amp;cyTo,dAmt,"&gt;-1E+300",dFlt1,critFlt1,dFlt2,critFlt2,dFlt3,critFlt3))</f>
        <v/>
      </c>
      <c r="E517" t="str">
        <f>IF($B517="","",SUMIFS(dQty,dCust,$B517,dPer,"&gt;="&amp;pyFrom,dPer,"&lt;="&amp;pyTo,dQty,"&gt;-1E+300",dFlt1,critFlt1,dFlt2,critFlt2,dFlt3,critFlt3))</f>
        <v/>
      </c>
      <c r="F517" t="str">
        <f>IF($B517="","",SUMIFS(dQty,dCust,$B517,dPer,"&gt;="&amp;cyFrom,dPer,"&lt;="&amp;cyTo,dQty,"&gt;-1E+300",dFlt1,critFlt1,dFlt2,critFlt2,dFlt3,critFlt3))</f>
        <v/>
      </c>
      <c r="G517">
        <f>IF($B517="",0,IFERROR(IF(OR(C517&lt;&gt;0,D517&lt;&gt;0,E517&lt;&gt;0,F517&lt;&gt;0),1,0),1))</f>
        <v>0</v>
      </c>
      <c r="H517" t="str">
        <f>IF(OR(G517=0,E517=0),"",C517/E517)</f>
        <v/>
      </c>
      <c r="I517" t="str">
        <f>IF(OR(G517=0,F517=0),"",D517/F517)</f>
        <v/>
      </c>
      <c r="J517" t="str">
        <f>IF(OR(H517="",I517=""),"",IF(H517=0,"",I517/H517-1))</f>
        <v/>
      </c>
      <c r="K517" t="str">
        <f>IF($B517="","",IFERROR(IF(G517=0,-2E+300,CHOOSE(sortIdx,ROUND(D517,0),IF(J517="",-1E+300,ROUND(-J517,6)),IF(J517="",-1E+300,ROUND(J517,6)))),-1.5E+300))</f>
        <v/>
      </c>
      <c r="L517" t="str">
        <f>IF(K517="","",RANK(K517,$K$2:$K$3001,0)+COUNTIF($K$2:K517,K517)-1)</f>
        <v/>
      </c>
    </row>
    <row r="518">
      <c r="B518" t="str">
        <f>IFERROR(IF(A518="","","="&amp;SUBSTITUTE(SUBSTITUTE(SUBSTITUTE(A518,"~","~~"),"*","~*"),"?","~?")),"")</f>
        <v/>
      </c>
      <c r="C518" t="str">
        <f>IF($B518="","",SUMIFS(dAmt,dCust,$B518,dPer,"&gt;="&amp;pyFrom,dPer,"&lt;="&amp;pyTo,dAmt,"&gt;-1E+300",dFlt1,critFlt1,dFlt2,critFlt2,dFlt3,critFlt3))</f>
        <v/>
      </c>
      <c r="D518" t="str">
        <f>IF($B518="","",SUMIFS(dAmt,dCust,$B518,dPer,"&gt;="&amp;cyFrom,dPer,"&lt;="&amp;cyTo,dAmt,"&gt;-1E+300",dFlt1,critFlt1,dFlt2,critFlt2,dFlt3,critFlt3))</f>
        <v/>
      </c>
      <c r="E518" t="str">
        <f>IF($B518="","",SUMIFS(dQty,dCust,$B518,dPer,"&gt;="&amp;pyFrom,dPer,"&lt;="&amp;pyTo,dQty,"&gt;-1E+300",dFlt1,critFlt1,dFlt2,critFlt2,dFlt3,critFlt3))</f>
        <v/>
      </c>
      <c r="F518" t="str">
        <f>IF($B518="","",SUMIFS(dQty,dCust,$B518,dPer,"&gt;="&amp;cyFrom,dPer,"&lt;="&amp;cyTo,dQty,"&gt;-1E+300",dFlt1,critFlt1,dFlt2,critFlt2,dFlt3,critFlt3))</f>
        <v/>
      </c>
      <c r="G518">
        <f>IF($B518="",0,IFERROR(IF(OR(C518&lt;&gt;0,D518&lt;&gt;0,E518&lt;&gt;0,F518&lt;&gt;0),1,0),1))</f>
        <v>0</v>
      </c>
      <c r="H518" t="str">
        <f>IF(OR(G518=0,E518=0),"",C518/E518)</f>
        <v/>
      </c>
      <c r="I518" t="str">
        <f>IF(OR(G518=0,F518=0),"",D518/F518)</f>
        <v/>
      </c>
      <c r="J518" t="str">
        <f>IF(OR(H518="",I518=""),"",IF(H518=0,"",I518/H518-1))</f>
        <v/>
      </c>
      <c r="K518" t="str">
        <f>IF($B518="","",IFERROR(IF(G518=0,-2E+300,CHOOSE(sortIdx,ROUND(D518,0),IF(J518="",-1E+300,ROUND(-J518,6)),IF(J518="",-1E+300,ROUND(J518,6)))),-1.5E+300))</f>
        <v/>
      </c>
      <c r="L518" t="str">
        <f>IF(K518="","",RANK(K518,$K$2:$K$3001,0)+COUNTIF($K$2:K518,K518)-1)</f>
        <v/>
      </c>
    </row>
    <row r="519">
      <c r="B519" t="str">
        <f>IFERROR(IF(A519="","","="&amp;SUBSTITUTE(SUBSTITUTE(SUBSTITUTE(A519,"~","~~"),"*","~*"),"?","~?")),"")</f>
        <v/>
      </c>
      <c r="C519" t="str">
        <f>IF($B519="","",SUMIFS(dAmt,dCust,$B519,dPer,"&gt;="&amp;pyFrom,dPer,"&lt;="&amp;pyTo,dAmt,"&gt;-1E+300",dFlt1,critFlt1,dFlt2,critFlt2,dFlt3,critFlt3))</f>
        <v/>
      </c>
      <c r="D519" t="str">
        <f>IF($B519="","",SUMIFS(dAmt,dCust,$B519,dPer,"&gt;="&amp;cyFrom,dPer,"&lt;="&amp;cyTo,dAmt,"&gt;-1E+300",dFlt1,critFlt1,dFlt2,critFlt2,dFlt3,critFlt3))</f>
        <v/>
      </c>
      <c r="E519" t="str">
        <f>IF($B519="","",SUMIFS(dQty,dCust,$B519,dPer,"&gt;="&amp;pyFrom,dPer,"&lt;="&amp;pyTo,dQty,"&gt;-1E+300",dFlt1,critFlt1,dFlt2,critFlt2,dFlt3,critFlt3))</f>
        <v/>
      </c>
      <c r="F519" t="str">
        <f>IF($B519="","",SUMIFS(dQty,dCust,$B519,dPer,"&gt;="&amp;cyFrom,dPer,"&lt;="&amp;cyTo,dQty,"&gt;-1E+300",dFlt1,critFlt1,dFlt2,critFlt2,dFlt3,critFlt3))</f>
        <v/>
      </c>
      <c r="G519">
        <f>IF($B519="",0,IFERROR(IF(OR(C519&lt;&gt;0,D519&lt;&gt;0,E519&lt;&gt;0,F519&lt;&gt;0),1,0),1))</f>
        <v>0</v>
      </c>
      <c r="H519" t="str">
        <f>IF(OR(G519=0,E519=0),"",C519/E519)</f>
        <v/>
      </c>
      <c r="I519" t="str">
        <f>IF(OR(G519=0,F519=0),"",D519/F519)</f>
        <v/>
      </c>
      <c r="J519" t="str">
        <f>IF(OR(H519="",I519=""),"",IF(H519=0,"",I519/H519-1))</f>
        <v/>
      </c>
      <c r="K519" t="str">
        <f>IF($B519="","",IFERROR(IF(G519=0,-2E+300,CHOOSE(sortIdx,ROUND(D519,0),IF(J519="",-1E+300,ROUND(-J519,6)),IF(J519="",-1E+300,ROUND(J519,6)))),-1.5E+300))</f>
        <v/>
      </c>
      <c r="L519" t="str">
        <f>IF(K519="","",RANK(K519,$K$2:$K$3001,0)+COUNTIF($K$2:K519,K519)-1)</f>
        <v/>
      </c>
    </row>
    <row r="520">
      <c r="B520" t="str">
        <f>IFERROR(IF(A520="","","="&amp;SUBSTITUTE(SUBSTITUTE(SUBSTITUTE(A520,"~","~~"),"*","~*"),"?","~?")),"")</f>
        <v/>
      </c>
      <c r="C520" t="str">
        <f>IF($B520="","",SUMIFS(dAmt,dCust,$B520,dPer,"&gt;="&amp;pyFrom,dPer,"&lt;="&amp;pyTo,dAmt,"&gt;-1E+300",dFlt1,critFlt1,dFlt2,critFlt2,dFlt3,critFlt3))</f>
        <v/>
      </c>
      <c r="D520" t="str">
        <f>IF($B520="","",SUMIFS(dAmt,dCust,$B520,dPer,"&gt;="&amp;cyFrom,dPer,"&lt;="&amp;cyTo,dAmt,"&gt;-1E+300",dFlt1,critFlt1,dFlt2,critFlt2,dFlt3,critFlt3))</f>
        <v/>
      </c>
      <c r="E520" t="str">
        <f>IF($B520="","",SUMIFS(dQty,dCust,$B520,dPer,"&gt;="&amp;pyFrom,dPer,"&lt;="&amp;pyTo,dQty,"&gt;-1E+300",dFlt1,critFlt1,dFlt2,critFlt2,dFlt3,critFlt3))</f>
        <v/>
      </c>
      <c r="F520" t="str">
        <f>IF($B520="","",SUMIFS(dQty,dCust,$B520,dPer,"&gt;="&amp;cyFrom,dPer,"&lt;="&amp;cyTo,dQty,"&gt;-1E+300",dFlt1,critFlt1,dFlt2,critFlt2,dFlt3,critFlt3))</f>
        <v/>
      </c>
      <c r="G520">
        <f>IF($B520="",0,IFERROR(IF(OR(C520&lt;&gt;0,D520&lt;&gt;0,E520&lt;&gt;0,F520&lt;&gt;0),1,0),1))</f>
        <v>0</v>
      </c>
      <c r="H520" t="str">
        <f>IF(OR(G520=0,E520=0),"",C520/E520)</f>
        <v/>
      </c>
      <c r="I520" t="str">
        <f>IF(OR(G520=0,F520=0),"",D520/F520)</f>
        <v/>
      </c>
      <c r="J520" t="str">
        <f>IF(OR(H520="",I520=""),"",IF(H520=0,"",I520/H520-1))</f>
        <v/>
      </c>
      <c r="K520" t="str">
        <f>IF($B520="","",IFERROR(IF(G520=0,-2E+300,CHOOSE(sortIdx,ROUND(D520,0),IF(J520="",-1E+300,ROUND(-J520,6)),IF(J520="",-1E+300,ROUND(J520,6)))),-1.5E+300))</f>
        <v/>
      </c>
      <c r="L520" t="str">
        <f>IF(K520="","",RANK(K520,$K$2:$K$3001,0)+COUNTIF($K$2:K520,K520)-1)</f>
        <v/>
      </c>
    </row>
    <row r="521">
      <c r="B521" t="str">
        <f>IFERROR(IF(A521="","","="&amp;SUBSTITUTE(SUBSTITUTE(SUBSTITUTE(A521,"~","~~"),"*","~*"),"?","~?")),"")</f>
        <v/>
      </c>
      <c r="C521" t="str">
        <f>IF($B521="","",SUMIFS(dAmt,dCust,$B521,dPer,"&gt;="&amp;pyFrom,dPer,"&lt;="&amp;pyTo,dAmt,"&gt;-1E+300",dFlt1,critFlt1,dFlt2,critFlt2,dFlt3,critFlt3))</f>
        <v/>
      </c>
      <c r="D521" t="str">
        <f>IF($B521="","",SUMIFS(dAmt,dCust,$B521,dPer,"&gt;="&amp;cyFrom,dPer,"&lt;="&amp;cyTo,dAmt,"&gt;-1E+300",dFlt1,critFlt1,dFlt2,critFlt2,dFlt3,critFlt3))</f>
        <v/>
      </c>
      <c r="E521" t="str">
        <f>IF($B521="","",SUMIFS(dQty,dCust,$B521,dPer,"&gt;="&amp;pyFrom,dPer,"&lt;="&amp;pyTo,dQty,"&gt;-1E+300",dFlt1,critFlt1,dFlt2,critFlt2,dFlt3,critFlt3))</f>
        <v/>
      </c>
      <c r="F521" t="str">
        <f>IF($B521="","",SUMIFS(dQty,dCust,$B521,dPer,"&gt;="&amp;cyFrom,dPer,"&lt;="&amp;cyTo,dQty,"&gt;-1E+300",dFlt1,critFlt1,dFlt2,critFlt2,dFlt3,critFlt3))</f>
        <v/>
      </c>
      <c r="G521">
        <f>IF($B521="",0,IFERROR(IF(OR(C521&lt;&gt;0,D521&lt;&gt;0,E521&lt;&gt;0,F521&lt;&gt;0),1,0),1))</f>
        <v>0</v>
      </c>
      <c r="H521" t="str">
        <f>IF(OR(G521=0,E521=0),"",C521/E521)</f>
        <v/>
      </c>
      <c r="I521" t="str">
        <f>IF(OR(G521=0,F521=0),"",D521/F521)</f>
        <v/>
      </c>
      <c r="J521" t="str">
        <f>IF(OR(H521="",I521=""),"",IF(H521=0,"",I521/H521-1))</f>
        <v/>
      </c>
      <c r="K521" t="str">
        <f>IF($B521="","",IFERROR(IF(G521=0,-2E+300,CHOOSE(sortIdx,ROUND(D521,0),IF(J521="",-1E+300,ROUND(-J521,6)),IF(J521="",-1E+300,ROUND(J521,6)))),-1.5E+300))</f>
        <v/>
      </c>
      <c r="L521" t="str">
        <f>IF(K521="","",RANK(K521,$K$2:$K$3001,0)+COUNTIF($K$2:K521,K521)-1)</f>
        <v/>
      </c>
    </row>
    <row r="522">
      <c r="B522" t="str">
        <f>IFERROR(IF(A522="","","="&amp;SUBSTITUTE(SUBSTITUTE(SUBSTITUTE(A522,"~","~~"),"*","~*"),"?","~?")),"")</f>
        <v/>
      </c>
      <c r="C522" t="str">
        <f>IF($B522="","",SUMIFS(dAmt,dCust,$B522,dPer,"&gt;="&amp;pyFrom,dPer,"&lt;="&amp;pyTo,dAmt,"&gt;-1E+300",dFlt1,critFlt1,dFlt2,critFlt2,dFlt3,critFlt3))</f>
        <v/>
      </c>
      <c r="D522" t="str">
        <f>IF($B522="","",SUMIFS(dAmt,dCust,$B522,dPer,"&gt;="&amp;cyFrom,dPer,"&lt;="&amp;cyTo,dAmt,"&gt;-1E+300",dFlt1,critFlt1,dFlt2,critFlt2,dFlt3,critFlt3))</f>
        <v/>
      </c>
      <c r="E522" t="str">
        <f>IF($B522="","",SUMIFS(dQty,dCust,$B522,dPer,"&gt;="&amp;pyFrom,dPer,"&lt;="&amp;pyTo,dQty,"&gt;-1E+300",dFlt1,critFlt1,dFlt2,critFlt2,dFlt3,critFlt3))</f>
        <v/>
      </c>
      <c r="F522" t="str">
        <f>IF($B522="","",SUMIFS(dQty,dCust,$B522,dPer,"&gt;="&amp;cyFrom,dPer,"&lt;="&amp;cyTo,dQty,"&gt;-1E+300",dFlt1,critFlt1,dFlt2,critFlt2,dFlt3,critFlt3))</f>
        <v/>
      </c>
      <c r="G522">
        <f>IF($B522="",0,IFERROR(IF(OR(C522&lt;&gt;0,D522&lt;&gt;0,E522&lt;&gt;0,F522&lt;&gt;0),1,0),1))</f>
        <v>0</v>
      </c>
      <c r="H522" t="str">
        <f>IF(OR(G522=0,E522=0),"",C522/E522)</f>
        <v/>
      </c>
      <c r="I522" t="str">
        <f>IF(OR(G522=0,F522=0),"",D522/F522)</f>
        <v/>
      </c>
      <c r="J522" t="str">
        <f>IF(OR(H522="",I522=""),"",IF(H522=0,"",I522/H522-1))</f>
        <v/>
      </c>
      <c r="K522" t="str">
        <f>IF($B522="","",IFERROR(IF(G522=0,-2E+300,CHOOSE(sortIdx,ROUND(D522,0),IF(J522="",-1E+300,ROUND(-J522,6)),IF(J522="",-1E+300,ROUND(J522,6)))),-1.5E+300))</f>
        <v/>
      </c>
      <c r="L522" t="str">
        <f>IF(K522="","",RANK(K522,$K$2:$K$3001,0)+COUNTIF($K$2:K522,K522)-1)</f>
        <v/>
      </c>
    </row>
    <row r="523">
      <c r="B523" t="str">
        <f>IFERROR(IF(A523="","","="&amp;SUBSTITUTE(SUBSTITUTE(SUBSTITUTE(A523,"~","~~"),"*","~*"),"?","~?")),"")</f>
        <v/>
      </c>
      <c r="C523" t="str">
        <f>IF($B523="","",SUMIFS(dAmt,dCust,$B523,dPer,"&gt;="&amp;pyFrom,dPer,"&lt;="&amp;pyTo,dAmt,"&gt;-1E+300",dFlt1,critFlt1,dFlt2,critFlt2,dFlt3,critFlt3))</f>
        <v/>
      </c>
      <c r="D523" t="str">
        <f>IF($B523="","",SUMIFS(dAmt,dCust,$B523,dPer,"&gt;="&amp;cyFrom,dPer,"&lt;="&amp;cyTo,dAmt,"&gt;-1E+300",dFlt1,critFlt1,dFlt2,critFlt2,dFlt3,critFlt3))</f>
        <v/>
      </c>
      <c r="E523" t="str">
        <f>IF($B523="","",SUMIFS(dQty,dCust,$B523,dPer,"&gt;="&amp;pyFrom,dPer,"&lt;="&amp;pyTo,dQty,"&gt;-1E+300",dFlt1,critFlt1,dFlt2,critFlt2,dFlt3,critFlt3))</f>
        <v/>
      </c>
      <c r="F523" t="str">
        <f>IF($B523="","",SUMIFS(dQty,dCust,$B523,dPer,"&gt;="&amp;cyFrom,dPer,"&lt;="&amp;cyTo,dQty,"&gt;-1E+300",dFlt1,critFlt1,dFlt2,critFlt2,dFlt3,critFlt3))</f>
        <v/>
      </c>
      <c r="G523">
        <f>IF($B523="",0,IFERROR(IF(OR(C523&lt;&gt;0,D523&lt;&gt;0,E523&lt;&gt;0,F523&lt;&gt;0),1,0),1))</f>
        <v>0</v>
      </c>
      <c r="H523" t="str">
        <f>IF(OR(G523=0,E523=0),"",C523/E523)</f>
        <v/>
      </c>
      <c r="I523" t="str">
        <f>IF(OR(G523=0,F523=0),"",D523/F523)</f>
        <v/>
      </c>
      <c r="J523" t="str">
        <f>IF(OR(H523="",I523=""),"",IF(H523=0,"",I523/H523-1))</f>
        <v/>
      </c>
      <c r="K523" t="str">
        <f>IF($B523="","",IFERROR(IF(G523=0,-2E+300,CHOOSE(sortIdx,ROUND(D523,0),IF(J523="",-1E+300,ROUND(-J523,6)),IF(J523="",-1E+300,ROUND(J523,6)))),-1.5E+300))</f>
        <v/>
      </c>
      <c r="L523" t="str">
        <f>IF(K523="","",RANK(K523,$K$2:$K$3001,0)+COUNTIF($K$2:K523,K523)-1)</f>
        <v/>
      </c>
    </row>
    <row r="524">
      <c r="B524" t="str">
        <f>IFERROR(IF(A524="","","="&amp;SUBSTITUTE(SUBSTITUTE(SUBSTITUTE(A524,"~","~~"),"*","~*"),"?","~?")),"")</f>
        <v/>
      </c>
      <c r="C524" t="str">
        <f>IF($B524="","",SUMIFS(dAmt,dCust,$B524,dPer,"&gt;="&amp;pyFrom,dPer,"&lt;="&amp;pyTo,dAmt,"&gt;-1E+300",dFlt1,critFlt1,dFlt2,critFlt2,dFlt3,critFlt3))</f>
        <v/>
      </c>
      <c r="D524" t="str">
        <f>IF($B524="","",SUMIFS(dAmt,dCust,$B524,dPer,"&gt;="&amp;cyFrom,dPer,"&lt;="&amp;cyTo,dAmt,"&gt;-1E+300",dFlt1,critFlt1,dFlt2,critFlt2,dFlt3,critFlt3))</f>
        <v/>
      </c>
      <c r="E524" t="str">
        <f>IF($B524="","",SUMIFS(dQty,dCust,$B524,dPer,"&gt;="&amp;pyFrom,dPer,"&lt;="&amp;pyTo,dQty,"&gt;-1E+300",dFlt1,critFlt1,dFlt2,critFlt2,dFlt3,critFlt3))</f>
        <v/>
      </c>
      <c r="F524" t="str">
        <f>IF($B524="","",SUMIFS(dQty,dCust,$B524,dPer,"&gt;="&amp;cyFrom,dPer,"&lt;="&amp;cyTo,dQty,"&gt;-1E+300",dFlt1,critFlt1,dFlt2,critFlt2,dFlt3,critFlt3))</f>
        <v/>
      </c>
      <c r="G524">
        <f>IF($B524="",0,IFERROR(IF(OR(C524&lt;&gt;0,D524&lt;&gt;0,E524&lt;&gt;0,F524&lt;&gt;0),1,0),1))</f>
        <v>0</v>
      </c>
      <c r="H524" t="str">
        <f>IF(OR(G524=0,E524=0),"",C524/E524)</f>
        <v/>
      </c>
      <c r="I524" t="str">
        <f>IF(OR(G524=0,F524=0),"",D524/F524)</f>
        <v/>
      </c>
      <c r="J524" t="str">
        <f>IF(OR(H524="",I524=""),"",IF(H524=0,"",I524/H524-1))</f>
        <v/>
      </c>
      <c r="K524" t="str">
        <f>IF($B524="","",IFERROR(IF(G524=0,-2E+300,CHOOSE(sortIdx,ROUND(D524,0),IF(J524="",-1E+300,ROUND(-J524,6)),IF(J524="",-1E+300,ROUND(J524,6)))),-1.5E+300))</f>
        <v/>
      </c>
      <c r="L524" t="str">
        <f>IF(K524="","",RANK(K524,$K$2:$K$3001,0)+COUNTIF($K$2:K524,K524)-1)</f>
        <v/>
      </c>
    </row>
    <row r="525">
      <c r="B525" t="str">
        <f>IFERROR(IF(A525="","","="&amp;SUBSTITUTE(SUBSTITUTE(SUBSTITUTE(A525,"~","~~"),"*","~*"),"?","~?")),"")</f>
        <v/>
      </c>
      <c r="C525" t="str">
        <f>IF($B525="","",SUMIFS(dAmt,dCust,$B525,dPer,"&gt;="&amp;pyFrom,dPer,"&lt;="&amp;pyTo,dAmt,"&gt;-1E+300",dFlt1,critFlt1,dFlt2,critFlt2,dFlt3,critFlt3))</f>
        <v/>
      </c>
      <c r="D525" t="str">
        <f>IF($B525="","",SUMIFS(dAmt,dCust,$B525,dPer,"&gt;="&amp;cyFrom,dPer,"&lt;="&amp;cyTo,dAmt,"&gt;-1E+300",dFlt1,critFlt1,dFlt2,critFlt2,dFlt3,critFlt3))</f>
        <v/>
      </c>
      <c r="E525" t="str">
        <f>IF($B525="","",SUMIFS(dQty,dCust,$B525,dPer,"&gt;="&amp;pyFrom,dPer,"&lt;="&amp;pyTo,dQty,"&gt;-1E+300",dFlt1,critFlt1,dFlt2,critFlt2,dFlt3,critFlt3))</f>
        <v/>
      </c>
      <c r="F525" t="str">
        <f>IF($B525="","",SUMIFS(dQty,dCust,$B525,dPer,"&gt;="&amp;cyFrom,dPer,"&lt;="&amp;cyTo,dQty,"&gt;-1E+300",dFlt1,critFlt1,dFlt2,critFlt2,dFlt3,critFlt3))</f>
        <v/>
      </c>
      <c r="G525">
        <f>IF($B525="",0,IFERROR(IF(OR(C525&lt;&gt;0,D525&lt;&gt;0,E525&lt;&gt;0,F525&lt;&gt;0),1,0),1))</f>
        <v>0</v>
      </c>
      <c r="H525" t="str">
        <f>IF(OR(G525=0,E525=0),"",C525/E525)</f>
        <v/>
      </c>
      <c r="I525" t="str">
        <f>IF(OR(G525=0,F525=0),"",D525/F525)</f>
        <v/>
      </c>
      <c r="J525" t="str">
        <f>IF(OR(H525="",I525=""),"",IF(H525=0,"",I525/H525-1))</f>
        <v/>
      </c>
      <c r="K525" t="str">
        <f>IF($B525="","",IFERROR(IF(G525=0,-2E+300,CHOOSE(sortIdx,ROUND(D525,0),IF(J525="",-1E+300,ROUND(-J525,6)),IF(J525="",-1E+300,ROUND(J525,6)))),-1.5E+300))</f>
        <v/>
      </c>
      <c r="L525" t="str">
        <f>IF(K525="","",RANK(K525,$K$2:$K$3001,0)+COUNTIF($K$2:K525,K525)-1)</f>
        <v/>
      </c>
    </row>
    <row r="526">
      <c r="B526" t="str">
        <f>IFERROR(IF(A526="","","="&amp;SUBSTITUTE(SUBSTITUTE(SUBSTITUTE(A526,"~","~~"),"*","~*"),"?","~?")),"")</f>
        <v/>
      </c>
      <c r="C526" t="str">
        <f>IF($B526="","",SUMIFS(dAmt,dCust,$B526,dPer,"&gt;="&amp;pyFrom,dPer,"&lt;="&amp;pyTo,dAmt,"&gt;-1E+300",dFlt1,critFlt1,dFlt2,critFlt2,dFlt3,critFlt3))</f>
        <v/>
      </c>
      <c r="D526" t="str">
        <f>IF($B526="","",SUMIFS(dAmt,dCust,$B526,dPer,"&gt;="&amp;cyFrom,dPer,"&lt;="&amp;cyTo,dAmt,"&gt;-1E+300",dFlt1,critFlt1,dFlt2,critFlt2,dFlt3,critFlt3))</f>
        <v/>
      </c>
      <c r="E526" t="str">
        <f>IF($B526="","",SUMIFS(dQty,dCust,$B526,dPer,"&gt;="&amp;pyFrom,dPer,"&lt;="&amp;pyTo,dQty,"&gt;-1E+300",dFlt1,critFlt1,dFlt2,critFlt2,dFlt3,critFlt3))</f>
        <v/>
      </c>
      <c r="F526" t="str">
        <f>IF($B526="","",SUMIFS(dQty,dCust,$B526,dPer,"&gt;="&amp;cyFrom,dPer,"&lt;="&amp;cyTo,dQty,"&gt;-1E+300",dFlt1,critFlt1,dFlt2,critFlt2,dFlt3,critFlt3))</f>
        <v/>
      </c>
      <c r="G526">
        <f>IF($B526="",0,IFERROR(IF(OR(C526&lt;&gt;0,D526&lt;&gt;0,E526&lt;&gt;0,F526&lt;&gt;0),1,0),1))</f>
        <v>0</v>
      </c>
      <c r="H526" t="str">
        <f>IF(OR(G526=0,E526=0),"",C526/E526)</f>
        <v/>
      </c>
      <c r="I526" t="str">
        <f>IF(OR(G526=0,F526=0),"",D526/F526)</f>
        <v/>
      </c>
      <c r="J526" t="str">
        <f>IF(OR(H526="",I526=""),"",IF(H526=0,"",I526/H526-1))</f>
        <v/>
      </c>
      <c r="K526" t="str">
        <f>IF($B526="","",IFERROR(IF(G526=0,-2E+300,CHOOSE(sortIdx,ROUND(D526,0),IF(J526="",-1E+300,ROUND(-J526,6)),IF(J526="",-1E+300,ROUND(J526,6)))),-1.5E+300))</f>
        <v/>
      </c>
      <c r="L526" t="str">
        <f>IF(K526="","",RANK(K526,$K$2:$K$3001,0)+COUNTIF($K$2:K526,K526)-1)</f>
        <v/>
      </c>
    </row>
    <row r="527">
      <c r="B527" t="str">
        <f>IFERROR(IF(A527="","","="&amp;SUBSTITUTE(SUBSTITUTE(SUBSTITUTE(A527,"~","~~"),"*","~*"),"?","~?")),"")</f>
        <v/>
      </c>
      <c r="C527" t="str">
        <f>IF($B527="","",SUMIFS(dAmt,dCust,$B527,dPer,"&gt;="&amp;pyFrom,dPer,"&lt;="&amp;pyTo,dAmt,"&gt;-1E+300",dFlt1,critFlt1,dFlt2,critFlt2,dFlt3,critFlt3))</f>
        <v/>
      </c>
      <c r="D527" t="str">
        <f>IF($B527="","",SUMIFS(dAmt,dCust,$B527,dPer,"&gt;="&amp;cyFrom,dPer,"&lt;="&amp;cyTo,dAmt,"&gt;-1E+300",dFlt1,critFlt1,dFlt2,critFlt2,dFlt3,critFlt3))</f>
        <v/>
      </c>
      <c r="E527" t="str">
        <f>IF($B527="","",SUMIFS(dQty,dCust,$B527,dPer,"&gt;="&amp;pyFrom,dPer,"&lt;="&amp;pyTo,dQty,"&gt;-1E+300",dFlt1,critFlt1,dFlt2,critFlt2,dFlt3,critFlt3))</f>
        <v/>
      </c>
      <c r="F527" t="str">
        <f>IF($B527="","",SUMIFS(dQty,dCust,$B527,dPer,"&gt;="&amp;cyFrom,dPer,"&lt;="&amp;cyTo,dQty,"&gt;-1E+300",dFlt1,critFlt1,dFlt2,critFlt2,dFlt3,critFlt3))</f>
        <v/>
      </c>
      <c r="G527">
        <f>IF($B527="",0,IFERROR(IF(OR(C527&lt;&gt;0,D527&lt;&gt;0,E527&lt;&gt;0,F527&lt;&gt;0),1,0),1))</f>
        <v>0</v>
      </c>
      <c r="H527" t="str">
        <f>IF(OR(G527=0,E527=0),"",C527/E527)</f>
        <v/>
      </c>
      <c r="I527" t="str">
        <f>IF(OR(G527=0,F527=0),"",D527/F527)</f>
        <v/>
      </c>
      <c r="J527" t="str">
        <f>IF(OR(H527="",I527=""),"",IF(H527=0,"",I527/H527-1))</f>
        <v/>
      </c>
      <c r="K527" t="str">
        <f>IF($B527="","",IFERROR(IF(G527=0,-2E+300,CHOOSE(sortIdx,ROUND(D527,0),IF(J527="",-1E+300,ROUND(-J527,6)),IF(J527="",-1E+300,ROUND(J527,6)))),-1.5E+300))</f>
        <v/>
      </c>
      <c r="L527" t="str">
        <f>IF(K527="","",RANK(K527,$K$2:$K$3001,0)+COUNTIF($K$2:K527,K527)-1)</f>
        <v/>
      </c>
    </row>
    <row r="528">
      <c r="B528" t="str">
        <f>IFERROR(IF(A528="","","="&amp;SUBSTITUTE(SUBSTITUTE(SUBSTITUTE(A528,"~","~~"),"*","~*"),"?","~?")),"")</f>
        <v/>
      </c>
      <c r="C528" t="str">
        <f>IF($B528="","",SUMIFS(dAmt,dCust,$B528,dPer,"&gt;="&amp;pyFrom,dPer,"&lt;="&amp;pyTo,dAmt,"&gt;-1E+300",dFlt1,critFlt1,dFlt2,critFlt2,dFlt3,critFlt3))</f>
        <v/>
      </c>
      <c r="D528" t="str">
        <f>IF($B528="","",SUMIFS(dAmt,dCust,$B528,dPer,"&gt;="&amp;cyFrom,dPer,"&lt;="&amp;cyTo,dAmt,"&gt;-1E+300",dFlt1,critFlt1,dFlt2,critFlt2,dFlt3,critFlt3))</f>
        <v/>
      </c>
      <c r="E528" t="str">
        <f>IF($B528="","",SUMIFS(dQty,dCust,$B528,dPer,"&gt;="&amp;pyFrom,dPer,"&lt;="&amp;pyTo,dQty,"&gt;-1E+300",dFlt1,critFlt1,dFlt2,critFlt2,dFlt3,critFlt3))</f>
        <v/>
      </c>
      <c r="F528" t="str">
        <f>IF($B528="","",SUMIFS(dQty,dCust,$B528,dPer,"&gt;="&amp;cyFrom,dPer,"&lt;="&amp;cyTo,dQty,"&gt;-1E+300",dFlt1,critFlt1,dFlt2,critFlt2,dFlt3,critFlt3))</f>
        <v/>
      </c>
      <c r="G528">
        <f>IF($B528="",0,IFERROR(IF(OR(C528&lt;&gt;0,D528&lt;&gt;0,E528&lt;&gt;0,F528&lt;&gt;0),1,0),1))</f>
        <v>0</v>
      </c>
      <c r="H528" t="str">
        <f>IF(OR(G528=0,E528=0),"",C528/E528)</f>
        <v/>
      </c>
      <c r="I528" t="str">
        <f>IF(OR(G528=0,F528=0),"",D528/F528)</f>
        <v/>
      </c>
      <c r="J528" t="str">
        <f>IF(OR(H528="",I528=""),"",IF(H528=0,"",I528/H528-1))</f>
        <v/>
      </c>
      <c r="K528" t="str">
        <f>IF($B528="","",IFERROR(IF(G528=0,-2E+300,CHOOSE(sortIdx,ROUND(D528,0),IF(J528="",-1E+300,ROUND(-J528,6)),IF(J528="",-1E+300,ROUND(J528,6)))),-1.5E+300))</f>
        <v/>
      </c>
      <c r="L528" t="str">
        <f>IF(K528="","",RANK(K528,$K$2:$K$3001,0)+COUNTIF($K$2:K528,K528)-1)</f>
        <v/>
      </c>
    </row>
    <row r="529">
      <c r="B529" t="str">
        <f>IFERROR(IF(A529="","","="&amp;SUBSTITUTE(SUBSTITUTE(SUBSTITUTE(A529,"~","~~"),"*","~*"),"?","~?")),"")</f>
        <v/>
      </c>
      <c r="C529" t="str">
        <f>IF($B529="","",SUMIFS(dAmt,dCust,$B529,dPer,"&gt;="&amp;pyFrom,dPer,"&lt;="&amp;pyTo,dAmt,"&gt;-1E+300",dFlt1,critFlt1,dFlt2,critFlt2,dFlt3,critFlt3))</f>
        <v/>
      </c>
      <c r="D529" t="str">
        <f>IF($B529="","",SUMIFS(dAmt,dCust,$B529,dPer,"&gt;="&amp;cyFrom,dPer,"&lt;="&amp;cyTo,dAmt,"&gt;-1E+300",dFlt1,critFlt1,dFlt2,critFlt2,dFlt3,critFlt3))</f>
        <v/>
      </c>
      <c r="E529" t="str">
        <f>IF($B529="","",SUMIFS(dQty,dCust,$B529,dPer,"&gt;="&amp;pyFrom,dPer,"&lt;="&amp;pyTo,dQty,"&gt;-1E+300",dFlt1,critFlt1,dFlt2,critFlt2,dFlt3,critFlt3))</f>
        <v/>
      </c>
      <c r="F529" t="str">
        <f>IF($B529="","",SUMIFS(dQty,dCust,$B529,dPer,"&gt;="&amp;cyFrom,dPer,"&lt;="&amp;cyTo,dQty,"&gt;-1E+300",dFlt1,critFlt1,dFlt2,critFlt2,dFlt3,critFlt3))</f>
        <v/>
      </c>
      <c r="G529">
        <f>IF($B529="",0,IFERROR(IF(OR(C529&lt;&gt;0,D529&lt;&gt;0,E529&lt;&gt;0,F529&lt;&gt;0),1,0),1))</f>
        <v>0</v>
      </c>
      <c r="H529" t="str">
        <f>IF(OR(G529=0,E529=0),"",C529/E529)</f>
        <v/>
      </c>
      <c r="I529" t="str">
        <f>IF(OR(G529=0,F529=0),"",D529/F529)</f>
        <v/>
      </c>
      <c r="J529" t="str">
        <f>IF(OR(H529="",I529=""),"",IF(H529=0,"",I529/H529-1))</f>
        <v/>
      </c>
      <c r="K529" t="str">
        <f>IF($B529="","",IFERROR(IF(G529=0,-2E+300,CHOOSE(sortIdx,ROUND(D529,0),IF(J529="",-1E+300,ROUND(-J529,6)),IF(J529="",-1E+300,ROUND(J529,6)))),-1.5E+300))</f>
        <v/>
      </c>
      <c r="L529" t="str">
        <f>IF(K529="","",RANK(K529,$K$2:$K$3001,0)+COUNTIF($K$2:K529,K529)-1)</f>
        <v/>
      </c>
    </row>
    <row r="530">
      <c r="B530" t="str">
        <f>IFERROR(IF(A530="","","="&amp;SUBSTITUTE(SUBSTITUTE(SUBSTITUTE(A530,"~","~~"),"*","~*"),"?","~?")),"")</f>
        <v/>
      </c>
      <c r="C530" t="str">
        <f>IF($B530="","",SUMIFS(dAmt,dCust,$B530,dPer,"&gt;="&amp;pyFrom,dPer,"&lt;="&amp;pyTo,dAmt,"&gt;-1E+300",dFlt1,critFlt1,dFlt2,critFlt2,dFlt3,critFlt3))</f>
        <v/>
      </c>
      <c r="D530" t="str">
        <f>IF($B530="","",SUMIFS(dAmt,dCust,$B530,dPer,"&gt;="&amp;cyFrom,dPer,"&lt;="&amp;cyTo,dAmt,"&gt;-1E+300",dFlt1,critFlt1,dFlt2,critFlt2,dFlt3,critFlt3))</f>
        <v/>
      </c>
      <c r="E530" t="str">
        <f>IF($B530="","",SUMIFS(dQty,dCust,$B530,dPer,"&gt;="&amp;pyFrom,dPer,"&lt;="&amp;pyTo,dQty,"&gt;-1E+300",dFlt1,critFlt1,dFlt2,critFlt2,dFlt3,critFlt3))</f>
        <v/>
      </c>
      <c r="F530" t="str">
        <f>IF($B530="","",SUMIFS(dQty,dCust,$B530,dPer,"&gt;="&amp;cyFrom,dPer,"&lt;="&amp;cyTo,dQty,"&gt;-1E+300",dFlt1,critFlt1,dFlt2,critFlt2,dFlt3,critFlt3))</f>
        <v/>
      </c>
      <c r="G530">
        <f>IF($B530="",0,IFERROR(IF(OR(C530&lt;&gt;0,D530&lt;&gt;0,E530&lt;&gt;0,F530&lt;&gt;0),1,0),1))</f>
        <v>0</v>
      </c>
      <c r="H530" t="str">
        <f>IF(OR(G530=0,E530=0),"",C530/E530)</f>
        <v/>
      </c>
      <c r="I530" t="str">
        <f>IF(OR(G530=0,F530=0),"",D530/F530)</f>
        <v/>
      </c>
      <c r="J530" t="str">
        <f>IF(OR(H530="",I530=""),"",IF(H530=0,"",I530/H530-1))</f>
        <v/>
      </c>
      <c r="K530" t="str">
        <f>IF($B530="","",IFERROR(IF(G530=0,-2E+300,CHOOSE(sortIdx,ROUND(D530,0),IF(J530="",-1E+300,ROUND(-J530,6)),IF(J530="",-1E+300,ROUND(J530,6)))),-1.5E+300))</f>
        <v/>
      </c>
      <c r="L530" t="str">
        <f>IF(K530="","",RANK(K530,$K$2:$K$3001,0)+COUNTIF($K$2:K530,K530)-1)</f>
        <v/>
      </c>
    </row>
    <row r="531">
      <c r="B531" t="str">
        <f>IFERROR(IF(A531="","","="&amp;SUBSTITUTE(SUBSTITUTE(SUBSTITUTE(A531,"~","~~"),"*","~*"),"?","~?")),"")</f>
        <v/>
      </c>
      <c r="C531" t="str">
        <f>IF($B531="","",SUMIFS(dAmt,dCust,$B531,dPer,"&gt;="&amp;pyFrom,dPer,"&lt;="&amp;pyTo,dAmt,"&gt;-1E+300",dFlt1,critFlt1,dFlt2,critFlt2,dFlt3,critFlt3))</f>
        <v/>
      </c>
      <c r="D531" t="str">
        <f>IF($B531="","",SUMIFS(dAmt,dCust,$B531,dPer,"&gt;="&amp;cyFrom,dPer,"&lt;="&amp;cyTo,dAmt,"&gt;-1E+300",dFlt1,critFlt1,dFlt2,critFlt2,dFlt3,critFlt3))</f>
        <v/>
      </c>
      <c r="E531" t="str">
        <f>IF($B531="","",SUMIFS(dQty,dCust,$B531,dPer,"&gt;="&amp;pyFrom,dPer,"&lt;="&amp;pyTo,dQty,"&gt;-1E+300",dFlt1,critFlt1,dFlt2,critFlt2,dFlt3,critFlt3))</f>
        <v/>
      </c>
      <c r="F531" t="str">
        <f>IF($B531="","",SUMIFS(dQty,dCust,$B531,dPer,"&gt;="&amp;cyFrom,dPer,"&lt;="&amp;cyTo,dQty,"&gt;-1E+300",dFlt1,critFlt1,dFlt2,critFlt2,dFlt3,critFlt3))</f>
        <v/>
      </c>
      <c r="G531">
        <f>IF($B531="",0,IFERROR(IF(OR(C531&lt;&gt;0,D531&lt;&gt;0,E531&lt;&gt;0,F531&lt;&gt;0),1,0),1))</f>
        <v>0</v>
      </c>
      <c r="H531" t="str">
        <f>IF(OR(G531=0,E531=0),"",C531/E531)</f>
        <v/>
      </c>
      <c r="I531" t="str">
        <f>IF(OR(G531=0,F531=0),"",D531/F531)</f>
        <v/>
      </c>
      <c r="J531" t="str">
        <f>IF(OR(H531="",I531=""),"",IF(H531=0,"",I531/H531-1))</f>
        <v/>
      </c>
      <c r="K531" t="str">
        <f>IF($B531="","",IFERROR(IF(G531=0,-2E+300,CHOOSE(sortIdx,ROUND(D531,0),IF(J531="",-1E+300,ROUND(-J531,6)),IF(J531="",-1E+300,ROUND(J531,6)))),-1.5E+300))</f>
        <v/>
      </c>
      <c r="L531" t="str">
        <f>IF(K531="","",RANK(K531,$K$2:$K$3001,0)+COUNTIF($K$2:K531,K531)-1)</f>
        <v/>
      </c>
    </row>
    <row r="532">
      <c r="B532" t="str">
        <f>IFERROR(IF(A532="","","="&amp;SUBSTITUTE(SUBSTITUTE(SUBSTITUTE(A532,"~","~~"),"*","~*"),"?","~?")),"")</f>
        <v/>
      </c>
      <c r="C532" t="str">
        <f>IF($B532="","",SUMIFS(dAmt,dCust,$B532,dPer,"&gt;="&amp;pyFrom,dPer,"&lt;="&amp;pyTo,dAmt,"&gt;-1E+300",dFlt1,critFlt1,dFlt2,critFlt2,dFlt3,critFlt3))</f>
        <v/>
      </c>
      <c r="D532" t="str">
        <f>IF($B532="","",SUMIFS(dAmt,dCust,$B532,dPer,"&gt;="&amp;cyFrom,dPer,"&lt;="&amp;cyTo,dAmt,"&gt;-1E+300",dFlt1,critFlt1,dFlt2,critFlt2,dFlt3,critFlt3))</f>
        <v/>
      </c>
      <c r="E532" t="str">
        <f>IF($B532="","",SUMIFS(dQty,dCust,$B532,dPer,"&gt;="&amp;pyFrom,dPer,"&lt;="&amp;pyTo,dQty,"&gt;-1E+300",dFlt1,critFlt1,dFlt2,critFlt2,dFlt3,critFlt3))</f>
        <v/>
      </c>
      <c r="F532" t="str">
        <f>IF($B532="","",SUMIFS(dQty,dCust,$B532,dPer,"&gt;="&amp;cyFrom,dPer,"&lt;="&amp;cyTo,dQty,"&gt;-1E+300",dFlt1,critFlt1,dFlt2,critFlt2,dFlt3,critFlt3))</f>
        <v/>
      </c>
      <c r="G532">
        <f>IF($B532="",0,IFERROR(IF(OR(C532&lt;&gt;0,D532&lt;&gt;0,E532&lt;&gt;0,F532&lt;&gt;0),1,0),1))</f>
        <v>0</v>
      </c>
      <c r="H532" t="str">
        <f>IF(OR(G532=0,E532=0),"",C532/E532)</f>
        <v/>
      </c>
      <c r="I532" t="str">
        <f>IF(OR(G532=0,F532=0),"",D532/F532)</f>
        <v/>
      </c>
      <c r="J532" t="str">
        <f>IF(OR(H532="",I532=""),"",IF(H532=0,"",I532/H532-1))</f>
        <v/>
      </c>
      <c r="K532" t="str">
        <f>IF($B532="","",IFERROR(IF(G532=0,-2E+300,CHOOSE(sortIdx,ROUND(D532,0),IF(J532="",-1E+300,ROUND(-J532,6)),IF(J532="",-1E+300,ROUND(J532,6)))),-1.5E+300))</f>
        <v/>
      </c>
      <c r="L532" t="str">
        <f>IF(K532="","",RANK(K532,$K$2:$K$3001,0)+COUNTIF($K$2:K532,K532)-1)</f>
        <v/>
      </c>
    </row>
    <row r="533">
      <c r="B533" t="str">
        <f>IFERROR(IF(A533="","","="&amp;SUBSTITUTE(SUBSTITUTE(SUBSTITUTE(A533,"~","~~"),"*","~*"),"?","~?")),"")</f>
        <v/>
      </c>
      <c r="C533" t="str">
        <f>IF($B533="","",SUMIFS(dAmt,dCust,$B533,dPer,"&gt;="&amp;pyFrom,dPer,"&lt;="&amp;pyTo,dAmt,"&gt;-1E+300",dFlt1,critFlt1,dFlt2,critFlt2,dFlt3,critFlt3))</f>
        <v/>
      </c>
      <c r="D533" t="str">
        <f>IF($B533="","",SUMIFS(dAmt,dCust,$B533,dPer,"&gt;="&amp;cyFrom,dPer,"&lt;="&amp;cyTo,dAmt,"&gt;-1E+300",dFlt1,critFlt1,dFlt2,critFlt2,dFlt3,critFlt3))</f>
        <v/>
      </c>
      <c r="E533" t="str">
        <f>IF($B533="","",SUMIFS(dQty,dCust,$B533,dPer,"&gt;="&amp;pyFrom,dPer,"&lt;="&amp;pyTo,dQty,"&gt;-1E+300",dFlt1,critFlt1,dFlt2,critFlt2,dFlt3,critFlt3))</f>
        <v/>
      </c>
      <c r="F533" t="str">
        <f>IF($B533="","",SUMIFS(dQty,dCust,$B533,dPer,"&gt;="&amp;cyFrom,dPer,"&lt;="&amp;cyTo,dQty,"&gt;-1E+300",dFlt1,critFlt1,dFlt2,critFlt2,dFlt3,critFlt3))</f>
        <v/>
      </c>
      <c r="G533">
        <f>IF($B533="",0,IFERROR(IF(OR(C533&lt;&gt;0,D533&lt;&gt;0,E533&lt;&gt;0,F533&lt;&gt;0),1,0),1))</f>
        <v>0</v>
      </c>
      <c r="H533" t="str">
        <f>IF(OR(G533=0,E533=0),"",C533/E533)</f>
        <v/>
      </c>
      <c r="I533" t="str">
        <f>IF(OR(G533=0,F533=0),"",D533/F533)</f>
        <v/>
      </c>
      <c r="J533" t="str">
        <f>IF(OR(H533="",I533=""),"",IF(H533=0,"",I533/H533-1))</f>
        <v/>
      </c>
      <c r="K533" t="str">
        <f>IF($B533="","",IFERROR(IF(G533=0,-2E+300,CHOOSE(sortIdx,ROUND(D533,0),IF(J533="",-1E+300,ROUND(-J533,6)),IF(J533="",-1E+300,ROUND(J533,6)))),-1.5E+300))</f>
        <v/>
      </c>
      <c r="L533" t="str">
        <f>IF(K533="","",RANK(K533,$K$2:$K$3001,0)+COUNTIF($K$2:K533,K533)-1)</f>
        <v/>
      </c>
    </row>
    <row r="534">
      <c r="B534" t="str">
        <f>IFERROR(IF(A534="","","="&amp;SUBSTITUTE(SUBSTITUTE(SUBSTITUTE(A534,"~","~~"),"*","~*"),"?","~?")),"")</f>
        <v/>
      </c>
      <c r="C534" t="str">
        <f>IF($B534="","",SUMIFS(dAmt,dCust,$B534,dPer,"&gt;="&amp;pyFrom,dPer,"&lt;="&amp;pyTo,dAmt,"&gt;-1E+300",dFlt1,critFlt1,dFlt2,critFlt2,dFlt3,critFlt3))</f>
        <v/>
      </c>
      <c r="D534" t="str">
        <f>IF($B534="","",SUMIFS(dAmt,dCust,$B534,dPer,"&gt;="&amp;cyFrom,dPer,"&lt;="&amp;cyTo,dAmt,"&gt;-1E+300",dFlt1,critFlt1,dFlt2,critFlt2,dFlt3,critFlt3))</f>
        <v/>
      </c>
      <c r="E534" t="str">
        <f>IF($B534="","",SUMIFS(dQty,dCust,$B534,dPer,"&gt;="&amp;pyFrom,dPer,"&lt;="&amp;pyTo,dQty,"&gt;-1E+300",dFlt1,critFlt1,dFlt2,critFlt2,dFlt3,critFlt3))</f>
        <v/>
      </c>
      <c r="F534" t="str">
        <f>IF($B534="","",SUMIFS(dQty,dCust,$B534,dPer,"&gt;="&amp;cyFrom,dPer,"&lt;="&amp;cyTo,dQty,"&gt;-1E+300",dFlt1,critFlt1,dFlt2,critFlt2,dFlt3,critFlt3))</f>
        <v/>
      </c>
      <c r="G534">
        <f>IF($B534="",0,IFERROR(IF(OR(C534&lt;&gt;0,D534&lt;&gt;0,E534&lt;&gt;0,F534&lt;&gt;0),1,0),1))</f>
        <v>0</v>
      </c>
      <c r="H534" t="str">
        <f>IF(OR(G534=0,E534=0),"",C534/E534)</f>
        <v/>
      </c>
      <c r="I534" t="str">
        <f>IF(OR(G534=0,F534=0),"",D534/F534)</f>
        <v/>
      </c>
      <c r="J534" t="str">
        <f>IF(OR(H534="",I534=""),"",IF(H534=0,"",I534/H534-1))</f>
        <v/>
      </c>
      <c r="K534" t="str">
        <f>IF($B534="","",IFERROR(IF(G534=0,-2E+300,CHOOSE(sortIdx,ROUND(D534,0),IF(J534="",-1E+300,ROUND(-J534,6)),IF(J534="",-1E+300,ROUND(J534,6)))),-1.5E+300))</f>
        <v/>
      </c>
      <c r="L534" t="str">
        <f>IF(K534="","",RANK(K534,$K$2:$K$3001,0)+COUNTIF($K$2:K534,K534)-1)</f>
        <v/>
      </c>
    </row>
    <row r="535">
      <c r="B535" t="str">
        <f>IFERROR(IF(A535="","","="&amp;SUBSTITUTE(SUBSTITUTE(SUBSTITUTE(A535,"~","~~"),"*","~*"),"?","~?")),"")</f>
        <v/>
      </c>
      <c r="C535" t="str">
        <f>IF($B535="","",SUMIFS(dAmt,dCust,$B535,dPer,"&gt;="&amp;pyFrom,dPer,"&lt;="&amp;pyTo,dAmt,"&gt;-1E+300",dFlt1,critFlt1,dFlt2,critFlt2,dFlt3,critFlt3))</f>
        <v/>
      </c>
      <c r="D535" t="str">
        <f>IF($B535="","",SUMIFS(dAmt,dCust,$B535,dPer,"&gt;="&amp;cyFrom,dPer,"&lt;="&amp;cyTo,dAmt,"&gt;-1E+300",dFlt1,critFlt1,dFlt2,critFlt2,dFlt3,critFlt3))</f>
        <v/>
      </c>
      <c r="E535" t="str">
        <f>IF($B535="","",SUMIFS(dQty,dCust,$B535,dPer,"&gt;="&amp;pyFrom,dPer,"&lt;="&amp;pyTo,dQty,"&gt;-1E+300",dFlt1,critFlt1,dFlt2,critFlt2,dFlt3,critFlt3))</f>
        <v/>
      </c>
      <c r="F535" t="str">
        <f>IF($B535="","",SUMIFS(dQty,dCust,$B535,dPer,"&gt;="&amp;cyFrom,dPer,"&lt;="&amp;cyTo,dQty,"&gt;-1E+300",dFlt1,critFlt1,dFlt2,critFlt2,dFlt3,critFlt3))</f>
        <v/>
      </c>
      <c r="G535">
        <f>IF($B535="",0,IFERROR(IF(OR(C535&lt;&gt;0,D535&lt;&gt;0,E535&lt;&gt;0,F535&lt;&gt;0),1,0),1))</f>
        <v>0</v>
      </c>
      <c r="H535" t="str">
        <f>IF(OR(G535=0,E535=0),"",C535/E535)</f>
        <v/>
      </c>
      <c r="I535" t="str">
        <f>IF(OR(G535=0,F535=0),"",D535/F535)</f>
        <v/>
      </c>
      <c r="J535" t="str">
        <f>IF(OR(H535="",I535=""),"",IF(H535=0,"",I535/H535-1))</f>
        <v/>
      </c>
      <c r="K535" t="str">
        <f>IF($B535="","",IFERROR(IF(G535=0,-2E+300,CHOOSE(sortIdx,ROUND(D535,0),IF(J535="",-1E+300,ROUND(-J535,6)),IF(J535="",-1E+300,ROUND(J535,6)))),-1.5E+300))</f>
        <v/>
      </c>
      <c r="L535" t="str">
        <f>IF(K535="","",RANK(K535,$K$2:$K$3001,0)+COUNTIF($K$2:K535,K535)-1)</f>
        <v/>
      </c>
    </row>
    <row r="536">
      <c r="B536" t="str">
        <f>IFERROR(IF(A536="","","="&amp;SUBSTITUTE(SUBSTITUTE(SUBSTITUTE(A536,"~","~~"),"*","~*"),"?","~?")),"")</f>
        <v/>
      </c>
      <c r="C536" t="str">
        <f>IF($B536="","",SUMIFS(dAmt,dCust,$B536,dPer,"&gt;="&amp;pyFrom,dPer,"&lt;="&amp;pyTo,dAmt,"&gt;-1E+300",dFlt1,critFlt1,dFlt2,critFlt2,dFlt3,critFlt3))</f>
        <v/>
      </c>
      <c r="D536" t="str">
        <f>IF($B536="","",SUMIFS(dAmt,dCust,$B536,dPer,"&gt;="&amp;cyFrom,dPer,"&lt;="&amp;cyTo,dAmt,"&gt;-1E+300",dFlt1,critFlt1,dFlt2,critFlt2,dFlt3,critFlt3))</f>
        <v/>
      </c>
      <c r="E536" t="str">
        <f>IF($B536="","",SUMIFS(dQty,dCust,$B536,dPer,"&gt;="&amp;pyFrom,dPer,"&lt;="&amp;pyTo,dQty,"&gt;-1E+300",dFlt1,critFlt1,dFlt2,critFlt2,dFlt3,critFlt3))</f>
        <v/>
      </c>
      <c r="F536" t="str">
        <f>IF($B536="","",SUMIFS(dQty,dCust,$B536,dPer,"&gt;="&amp;cyFrom,dPer,"&lt;="&amp;cyTo,dQty,"&gt;-1E+300",dFlt1,critFlt1,dFlt2,critFlt2,dFlt3,critFlt3))</f>
        <v/>
      </c>
      <c r="G536">
        <f>IF($B536="",0,IFERROR(IF(OR(C536&lt;&gt;0,D536&lt;&gt;0,E536&lt;&gt;0,F536&lt;&gt;0),1,0),1))</f>
        <v>0</v>
      </c>
      <c r="H536" t="str">
        <f>IF(OR(G536=0,E536=0),"",C536/E536)</f>
        <v/>
      </c>
      <c r="I536" t="str">
        <f>IF(OR(G536=0,F536=0),"",D536/F536)</f>
        <v/>
      </c>
      <c r="J536" t="str">
        <f>IF(OR(H536="",I536=""),"",IF(H536=0,"",I536/H536-1))</f>
        <v/>
      </c>
      <c r="K536" t="str">
        <f>IF($B536="","",IFERROR(IF(G536=0,-2E+300,CHOOSE(sortIdx,ROUND(D536,0),IF(J536="",-1E+300,ROUND(-J536,6)),IF(J536="",-1E+300,ROUND(J536,6)))),-1.5E+300))</f>
        <v/>
      </c>
      <c r="L536" t="str">
        <f>IF(K536="","",RANK(K536,$K$2:$K$3001,0)+COUNTIF($K$2:K536,K536)-1)</f>
        <v/>
      </c>
    </row>
    <row r="537">
      <c r="B537" t="str">
        <f>IFERROR(IF(A537="","","="&amp;SUBSTITUTE(SUBSTITUTE(SUBSTITUTE(A537,"~","~~"),"*","~*"),"?","~?")),"")</f>
        <v/>
      </c>
      <c r="C537" t="str">
        <f>IF($B537="","",SUMIFS(dAmt,dCust,$B537,dPer,"&gt;="&amp;pyFrom,dPer,"&lt;="&amp;pyTo,dAmt,"&gt;-1E+300",dFlt1,critFlt1,dFlt2,critFlt2,dFlt3,critFlt3))</f>
        <v/>
      </c>
      <c r="D537" t="str">
        <f>IF($B537="","",SUMIFS(dAmt,dCust,$B537,dPer,"&gt;="&amp;cyFrom,dPer,"&lt;="&amp;cyTo,dAmt,"&gt;-1E+300",dFlt1,critFlt1,dFlt2,critFlt2,dFlt3,critFlt3))</f>
        <v/>
      </c>
      <c r="E537" t="str">
        <f>IF($B537="","",SUMIFS(dQty,dCust,$B537,dPer,"&gt;="&amp;pyFrom,dPer,"&lt;="&amp;pyTo,dQty,"&gt;-1E+300",dFlt1,critFlt1,dFlt2,critFlt2,dFlt3,critFlt3))</f>
        <v/>
      </c>
      <c r="F537" t="str">
        <f>IF($B537="","",SUMIFS(dQty,dCust,$B537,dPer,"&gt;="&amp;cyFrom,dPer,"&lt;="&amp;cyTo,dQty,"&gt;-1E+300",dFlt1,critFlt1,dFlt2,critFlt2,dFlt3,critFlt3))</f>
        <v/>
      </c>
      <c r="G537">
        <f>IF($B537="",0,IFERROR(IF(OR(C537&lt;&gt;0,D537&lt;&gt;0,E537&lt;&gt;0,F537&lt;&gt;0),1,0),1))</f>
        <v>0</v>
      </c>
      <c r="H537" t="str">
        <f>IF(OR(G537=0,E537=0),"",C537/E537)</f>
        <v/>
      </c>
      <c r="I537" t="str">
        <f>IF(OR(G537=0,F537=0),"",D537/F537)</f>
        <v/>
      </c>
      <c r="J537" t="str">
        <f>IF(OR(H537="",I537=""),"",IF(H537=0,"",I537/H537-1))</f>
        <v/>
      </c>
      <c r="K537" t="str">
        <f>IF($B537="","",IFERROR(IF(G537=0,-2E+300,CHOOSE(sortIdx,ROUND(D537,0),IF(J537="",-1E+300,ROUND(-J537,6)),IF(J537="",-1E+300,ROUND(J537,6)))),-1.5E+300))</f>
        <v/>
      </c>
      <c r="L537" t="str">
        <f>IF(K537="","",RANK(K537,$K$2:$K$3001,0)+COUNTIF($K$2:K537,K537)-1)</f>
        <v/>
      </c>
    </row>
    <row r="538">
      <c r="B538" t="str">
        <f>IFERROR(IF(A538="","","="&amp;SUBSTITUTE(SUBSTITUTE(SUBSTITUTE(A538,"~","~~"),"*","~*"),"?","~?")),"")</f>
        <v/>
      </c>
      <c r="C538" t="str">
        <f>IF($B538="","",SUMIFS(dAmt,dCust,$B538,dPer,"&gt;="&amp;pyFrom,dPer,"&lt;="&amp;pyTo,dAmt,"&gt;-1E+300",dFlt1,critFlt1,dFlt2,critFlt2,dFlt3,critFlt3))</f>
        <v/>
      </c>
      <c r="D538" t="str">
        <f>IF($B538="","",SUMIFS(dAmt,dCust,$B538,dPer,"&gt;="&amp;cyFrom,dPer,"&lt;="&amp;cyTo,dAmt,"&gt;-1E+300",dFlt1,critFlt1,dFlt2,critFlt2,dFlt3,critFlt3))</f>
        <v/>
      </c>
      <c r="E538" t="str">
        <f>IF($B538="","",SUMIFS(dQty,dCust,$B538,dPer,"&gt;="&amp;pyFrom,dPer,"&lt;="&amp;pyTo,dQty,"&gt;-1E+300",dFlt1,critFlt1,dFlt2,critFlt2,dFlt3,critFlt3))</f>
        <v/>
      </c>
      <c r="F538" t="str">
        <f>IF($B538="","",SUMIFS(dQty,dCust,$B538,dPer,"&gt;="&amp;cyFrom,dPer,"&lt;="&amp;cyTo,dQty,"&gt;-1E+300",dFlt1,critFlt1,dFlt2,critFlt2,dFlt3,critFlt3))</f>
        <v/>
      </c>
      <c r="G538">
        <f>IF($B538="",0,IFERROR(IF(OR(C538&lt;&gt;0,D538&lt;&gt;0,E538&lt;&gt;0,F538&lt;&gt;0),1,0),1))</f>
        <v>0</v>
      </c>
      <c r="H538" t="str">
        <f>IF(OR(G538=0,E538=0),"",C538/E538)</f>
        <v/>
      </c>
      <c r="I538" t="str">
        <f>IF(OR(G538=0,F538=0),"",D538/F538)</f>
        <v/>
      </c>
      <c r="J538" t="str">
        <f>IF(OR(H538="",I538=""),"",IF(H538=0,"",I538/H538-1))</f>
        <v/>
      </c>
      <c r="K538" t="str">
        <f>IF($B538="","",IFERROR(IF(G538=0,-2E+300,CHOOSE(sortIdx,ROUND(D538,0),IF(J538="",-1E+300,ROUND(-J538,6)),IF(J538="",-1E+300,ROUND(J538,6)))),-1.5E+300))</f>
        <v/>
      </c>
      <c r="L538" t="str">
        <f>IF(K538="","",RANK(K538,$K$2:$K$3001,0)+COUNTIF($K$2:K538,K538)-1)</f>
        <v/>
      </c>
    </row>
    <row r="539">
      <c r="B539" t="str">
        <f>IFERROR(IF(A539="","","="&amp;SUBSTITUTE(SUBSTITUTE(SUBSTITUTE(A539,"~","~~"),"*","~*"),"?","~?")),"")</f>
        <v/>
      </c>
      <c r="C539" t="str">
        <f>IF($B539="","",SUMIFS(dAmt,dCust,$B539,dPer,"&gt;="&amp;pyFrom,dPer,"&lt;="&amp;pyTo,dAmt,"&gt;-1E+300",dFlt1,critFlt1,dFlt2,critFlt2,dFlt3,critFlt3))</f>
        <v/>
      </c>
      <c r="D539" t="str">
        <f>IF($B539="","",SUMIFS(dAmt,dCust,$B539,dPer,"&gt;="&amp;cyFrom,dPer,"&lt;="&amp;cyTo,dAmt,"&gt;-1E+300",dFlt1,critFlt1,dFlt2,critFlt2,dFlt3,critFlt3))</f>
        <v/>
      </c>
      <c r="E539" t="str">
        <f>IF($B539="","",SUMIFS(dQty,dCust,$B539,dPer,"&gt;="&amp;pyFrom,dPer,"&lt;="&amp;pyTo,dQty,"&gt;-1E+300",dFlt1,critFlt1,dFlt2,critFlt2,dFlt3,critFlt3))</f>
        <v/>
      </c>
      <c r="F539" t="str">
        <f>IF($B539="","",SUMIFS(dQty,dCust,$B539,dPer,"&gt;="&amp;cyFrom,dPer,"&lt;="&amp;cyTo,dQty,"&gt;-1E+300",dFlt1,critFlt1,dFlt2,critFlt2,dFlt3,critFlt3))</f>
        <v/>
      </c>
      <c r="G539">
        <f>IF($B539="",0,IFERROR(IF(OR(C539&lt;&gt;0,D539&lt;&gt;0,E539&lt;&gt;0,F539&lt;&gt;0),1,0),1))</f>
        <v>0</v>
      </c>
      <c r="H539" t="str">
        <f>IF(OR(G539=0,E539=0),"",C539/E539)</f>
        <v/>
      </c>
      <c r="I539" t="str">
        <f>IF(OR(G539=0,F539=0),"",D539/F539)</f>
        <v/>
      </c>
      <c r="J539" t="str">
        <f>IF(OR(H539="",I539=""),"",IF(H539=0,"",I539/H539-1))</f>
        <v/>
      </c>
      <c r="K539" t="str">
        <f>IF($B539="","",IFERROR(IF(G539=0,-2E+300,CHOOSE(sortIdx,ROUND(D539,0),IF(J539="",-1E+300,ROUND(-J539,6)),IF(J539="",-1E+300,ROUND(J539,6)))),-1.5E+300))</f>
        <v/>
      </c>
      <c r="L539" t="str">
        <f>IF(K539="","",RANK(K539,$K$2:$K$3001,0)+COUNTIF($K$2:K539,K539)-1)</f>
        <v/>
      </c>
    </row>
    <row r="540">
      <c r="B540" t="str">
        <f>IFERROR(IF(A540="","","="&amp;SUBSTITUTE(SUBSTITUTE(SUBSTITUTE(A540,"~","~~"),"*","~*"),"?","~?")),"")</f>
        <v/>
      </c>
      <c r="C540" t="str">
        <f>IF($B540="","",SUMIFS(dAmt,dCust,$B540,dPer,"&gt;="&amp;pyFrom,dPer,"&lt;="&amp;pyTo,dAmt,"&gt;-1E+300",dFlt1,critFlt1,dFlt2,critFlt2,dFlt3,critFlt3))</f>
        <v/>
      </c>
      <c r="D540" t="str">
        <f>IF($B540="","",SUMIFS(dAmt,dCust,$B540,dPer,"&gt;="&amp;cyFrom,dPer,"&lt;="&amp;cyTo,dAmt,"&gt;-1E+300",dFlt1,critFlt1,dFlt2,critFlt2,dFlt3,critFlt3))</f>
        <v/>
      </c>
      <c r="E540" t="str">
        <f>IF($B540="","",SUMIFS(dQty,dCust,$B540,dPer,"&gt;="&amp;pyFrom,dPer,"&lt;="&amp;pyTo,dQty,"&gt;-1E+300",dFlt1,critFlt1,dFlt2,critFlt2,dFlt3,critFlt3))</f>
        <v/>
      </c>
      <c r="F540" t="str">
        <f>IF($B540="","",SUMIFS(dQty,dCust,$B540,dPer,"&gt;="&amp;cyFrom,dPer,"&lt;="&amp;cyTo,dQty,"&gt;-1E+300",dFlt1,critFlt1,dFlt2,critFlt2,dFlt3,critFlt3))</f>
        <v/>
      </c>
      <c r="G540">
        <f>IF($B540="",0,IFERROR(IF(OR(C540&lt;&gt;0,D540&lt;&gt;0,E540&lt;&gt;0,F540&lt;&gt;0),1,0),1))</f>
        <v>0</v>
      </c>
      <c r="H540" t="str">
        <f>IF(OR(G540=0,E540=0),"",C540/E540)</f>
        <v/>
      </c>
      <c r="I540" t="str">
        <f>IF(OR(G540=0,F540=0),"",D540/F540)</f>
        <v/>
      </c>
      <c r="J540" t="str">
        <f>IF(OR(H540="",I540=""),"",IF(H540=0,"",I540/H540-1))</f>
        <v/>
      </c>
      <c r="K540" t="str">
        <f>IF($B540="","",IFERROR(IF(G540=0,-2E+300,CHOOSE(sortIdx,ROUND(D540,0),IF(J540="",-1E+300,ROUND(-J540,6)),IF(J540="",-1E+300,ROUND(J540,6)))),-1.5E+300))</f>
        <v/>
      </c>
      <c r="L540" t="str">
        <f>IF(K540="","",RANK(K540,$K$2:$K$3001,0)+COUNTIF($K$2:K540,K540)-1)</f>
        <v/>
      </c>
    </row>
    <row r="541">
      <c r="B541" t="str">
        <f>IFERROR(IF(A541="","","="&amp;SUBSTITUTE(SUBSTITUTE(SUBSTITUTE(A541,"~","~~"),"*","~*"),"?","~?")),"")</f>
        <v/>
      </c>
      <c r="C541" t="str">
        <f>IF($B541="","",SUMIFS(dAmt,dCust,$B541,dPer,"&gt;="&amp;pyFrom,dPer,"&lt;="&amp;pyTo,dAmt,"&gt;-1E+300",dFlt1,critFlt1,dFlt2,critFlt2,dFlt3,critFlt3))</f>
        <v/>
      </c>
      <c r="D541" t="str">
        <f>IF($B541="","",SUMIFS(dAmt,dCust,$B541,dPer,"&gt;="&amp;cyFrom,dPer,"&lt;="&amp;cyTo,dAmt,"&gt;-1E+300",dFlt1,critFlt1,dFlt2,critFlt2,dFlt3,critFlt3))</f>
        <v/>
      </c>
      <c r="E541" t="str">
        <f>IF($B541="","",SUMIFS(dQty,dCust,$B541,dPer,"&gt;="&amp;pyFrom,dPer,"&lt;="&amp;pyTo,dQty,"&gt;-1E+300",dFlt1,critFlt1,dFlt2,critFlt2,dFlt3,critFlt3))</f>
        <v/>
      </c>
      <c r="F541" t="str">
        <f>IF($B541="","",SUMIFS(dQty,dCust,$B541,dPer,"&gt;="&amp;cyFrom,dPer,"&lt;="&amp;cyTo,dQty,"&gt;-1E+300",dFlt1,critFlt1,dFlt2,critFlt2,dFlt3,critFlt3))</f>
        <v/>
      </c>
      <c r="G541">
        <f>IF($B541="",0,IFERROR(IF(OR(C541&lt;&gt;0,D541&lt;&gt;0,E541&lt;&gt;0,F541&lt;&gt;0),1,0),1))</f>
        <v>0</v>
      </c>
      <c r="H541" t="str">
        <f>IF(OR(G541=0,E541=0),"",C541/E541)</f>
        <v/>
      </c>
      <c r="I541" t="str">
        <f>IF(OR(G541=0,F541=0),"",D541/F541)</f>
        <v/>
      </c>
      <c r="J541" t="str">
        <f>IF(OR(H541="",I541=""),"",IF(H541=0,"",I541/H541-1))</f>
        <v/>
      </c>
      <c r="K541" t="str">
        <f>IF($B541="","",IFERROR(IF(G541=0,-2E+300,CHOOSE(sortIdx,ROUND(D541,0),IF(J541="",-1E+300,ROUND(-J541,6)),IF(J541="",-1E+300,ROUND(J541,6)))),-1.5E+300))</f>
        <v/>
      </c>
      <c r="L541" t="str">
        <f>IF(K541="","",RANK(K541,$K$2:$K$3001,0)+COUNTIF($K$2:K541,K541)-1)</f>
        <v/>
      </c>
    </row>
    <row r="542">
      <c r="B542" t="str">
        <f>IFERROR(IF(A542="","","="&amp;SUBSTITUTE(SUBSTITUTE(SUBSTITUTE(A542,"~","~~"),"*","~*"),"?","~?")),"")</f>
        <v/>
      </c>
      <c r="C542" t="str">
        <f>IF($B542="","",SUMIFS(dAmt,dCust,$B542,dPer,"&gt;="&amp;pyFrom,dPer,"&lt;="&amp;pyTo,dAmt,"&gt;-1E+300",dFlt1,critFlt1,dFlt2,critFlt2,dFlt3,critFlt3))</f>
        <v/>
      </c>
      <c r="D542" t="str">
        <f>IF($B542="","",SUMIFS(dAmt,dCust,$B542,dPer,"&gt;="&amp;cyFrom,dPer,"&lt;="&amp;cyTo,dAmt,"&gt;-1E+300",dFlt1,critFlt1,dFlt2,critFlt2,dFlt3,critFlt3))</f>
        <v/>
      </c>
      <c r="E542" t="str">
        <f>IF($B542="","",SUMIFS(dQty,dCust,$B542,dPer,"&gt;="&amp;pyFrom,dPer,"&lt;="&amp;pyTo,dQty,"&gt;-1E+300",dFlt1,critFlt1,dFlt2,critFlt2,dFlt3,critFlt3))</f>
        <v/>
      </c>
      <c r="F542" t="str">
        <f>IF($B542="","",SUMIFS(dQty,dCust,$B542,dPer,"&gt;="&amp;cyFrom,dPer,"&lt;="&amp;cyTo,dQty,"&gt;-1E+300",dFlt1,critFlt1,dFlt2,critFlt2,dFlt3,critFlt3))</f>
        <v/>
      </c>
      <c r="G542">
        <f>IF($B542="",0,IFERROR(IF(OR(C542&lt;&gt;0,D542&lt;&gt;0,E542&lt;&gt;0,F542&lt;&gt;0),1,0),1))</f>
        <v>0</v>
      </c>
      <c r="H542" t="str">
        <f>IF(OR(G542=0,E542=0),"",C542/E542)</f>
        <v/>
      </c>
      <c r="I542" t="str">
        <f>IF(OR(G542=0,F542=0),"",D542/F542)</f>
        <v/>
      </c>
      <c r="J542" t="str">
        <f>IF(OR(H542="",I542=""),"",IF(H542=0,"",I542/H542-1))</f>
        <v/>
      </c>
      <c r="K542" t="str">
        <f>IF($B542="","",IFERROR(IF(G542=0,-2E+300,CHOOSE(sortIdx,ROUND(D542,0),IF(J542="",-1E+300,ROUND(-J542,6)),IF(J542="",-1E+300,ROUND(J542,6)))),-1.5E+300))</f>
        <v/>
      </c>
      <c r="L542" t="str">
        <f>IF(K542="","",RANK(K542,$K$2:$K$3001,0)+COUNTIF($K$2:K542,K542)-1)</f>
        <v/>
      </c>
    </row>
    <row r="543">
      <c r="B543" t="str">
        <f>IFERROR(IF(A543="","","="&amp;SUBSTITUTE(SUBSTITUTE(SUBSTITUTE(A543,"~","~~"),"*","~*"),"?","~?")),"")</f>
        <v/>
      </c>
      <c r="C543" t="str">
        <f>IF($B543="","",SUMIFS(dAmt,dCust,$B543,dPer,"&gt;="&amp;pyFrom,dPer,"&lt;="&amp;pyTo,dAmt,"&gt;-1E+300",dFlt1,critFlt1,dFlt2,critFlt2,dFlt3,critFlt3))</f>
        <v/>
      </c>
      <c r="D543" t="str">
        <f>IF($B543="","",SUMIFS(dAmt,dCust,$B543,dPer,"&gt;="&amp;cyFrom,dPer,"&lt;="&amp;cyTo,dAmt,"&gt;-1E+300",dFlt1,critFlt1,dFlt2,critFlt2,dFlt3,critFlt3))</f>
        <v/>
      </c>
      <c r="E543" t="str">
        <f>IF($B543="","",SUMIFS(dQty,dCust,$B543,dPer,"&gt;="&amp;pyFrom,dPer,"&lt;="&amp;pyTo,dQty,"&gt;-1E+300",dFlt1,critFlt1,dFlt2,critFlt2,dFlt3,critFlt3))</f>
        <v/>
      </c>
      <c r="F543" t="str">
        <f>IF($B543="","",SUMIFS(dQty,dCust,$B543,dPer,"&gt;="&amp;cyFrom,dPer,"&lt;="&amp;cyTo,dQty,"&gt;-1E+300",dFlt1,critFlt1,dFlt2,critFlt2,dFlt3,critFlt3))</f>
        <v/>
      </c>
      <c r="G543">
        <f>IF($B543="",0,IFERROR(IF(OR(C543&lt;&gt;0,D543&lt;&gt;0,E543&lt;&gt;0,F543&lt;&gt;0),1,0),1))</f>
        <v>0</v>
      </c>
      <c r="H543" t="str">
        <f>IF(OR(G543=0,E543=0),"",C543/E543)</f>
        <v/>
      </c>
      <c r="I543" t="str">
        <f>IF(OR(G543=0,F543=0),"",D543/F543)</f>
        <v/>
      </c>
      <c r="J543" t="str">
        <f>IF(OR(H543="",I543=""),"",IF(H543=0,"",I543/H543-1))</f>
        <v/>
      </c>
      <c r="K543" t="str">
        <f>IF($B543="","",IFERROR(IF(G543=0,-2E+300,CHOOSE(sortIdx,ROUND(D543,0),IF(J543="",-1E+300,ROUND(-J543,6)),IF(J543="",-1E+300,ROUND(J543,6)))),-1.5E+300))</f>
        <v/>
      </c>
      <c r="L543" t="str">
        <f>IF(K543="","",RANK(K543,$K$2:$K$3001,0)+COUNTIF($K$2:K543,K543)-1)</f>
        <v/>
      </c>
    </row>
    <row r="544">
      <c r="B544" t="str">
        <f>IFERROR(IF(A544="","","="&amp;SUBSTITUTE(SUBSTITUTE(SUBSTITUTE(A544,"~","~~"),"*","~*"),"?","~?")),"")</f>
        <v/>
      </c>
      <c r="C544" t="str">
        <f>IF($B544="","",SUMIFS(dAmt,dCust,$B544,dPer,"&gt;="&amp;pyFrom,dPer,"&lt;="&amp;pyTo,dAmt,"&gt;-1E+300",dFlt1,critFlt1,dFlt2,critFlt2,dFlt3,critFlt3))</f>
        <v/>
      </c>
      <c r="D544" t="str">
        <f>IF($B544="","",SUMIFS(dAmt,dCust,$B544,dPer,"&gt;="&amp;cyFrom,dPer,"&lt;="&amp;cyTo,dAmt,"&gt;-1E+300",dFlt1,critFlt1,dFlt2,critFlt2,dFlt3,critFlt3))</f>
        <v/>
      </c>
      <c r="E544" t="str">
        <f>IF($B544="","",SUMIFS(dQty,dCust,$B544,dPer,"&gt;="&amp;pyFrom,dPer,"&lt;="&amp;pyTo,dQty,"&gt;-1E+300",dFlt1,critFlt1,dFlt2,critFlt2,dFlt3,critFlt3))</f>
        <v/>
      </c>
      <c r="F544" t="str">
        <f>IF($B544="","",SUMIFS(dQty,dCust,$B544,dPer,"&gt;="&amp;cyFrom,dPer,"&lt;="&amp;cyTo,dQty,"&gt;-1E+300",dFlt1,critFlt1,dFlt2,critFlt2,dFlt3,critFlt3))</f>
        <v/>
      </c>
      <c r="G544">
        <f>IF($B544="",0,IFERROR(IF(OR(C544&lt;&gt;0,D544&lt;&gt;0,E544&lt;&gt;0,F544&lt;&gt;0),1,0),1))</f>
        <v>0</v>
      </c>
      <c r="H544" t="str">
        <f>IF(OR(G544=0,E544=0),"",C544/E544)</f>
        <v/>
      </c>
      <c r="I544" t="str">
        <f>IF(OR(G544=0,F544=0),"",D544/F544)</f>
        <v/>
      </c>
      <c r="J544" t="str">
        <f>IF(OR(H544="",I544=""),"",IF(H544=0,"",I544/H544-1))</f>
        <v/>
      </c>
      <c r="K544" t="str">
        <f>IF($B544="","",IFERROR(IF(G544=0,-2E+300,CHOOSE(sortIdx,ROUND(D544,0),IF(J544="",-1E+300,ROUND(-J544,6)),IF(J544="",-1E+300,ROUND(J544,6)))),-1.5E+300))</f>
        <v/>
      </c>
      <c r="L544" t="str">
        <f>IF(K544="","",RANK(K544,$K$2:$K$3001,0)+COUNTIF($K$2:K544,K544)-1)</f>
        <v/>
      </c>
    </row>
    <row r="545">
      <c r="B545" t="str">
        <f>IFERROR(IF(A545="","","="&amp;SUBSTITUTE(SUBSTITUTE(SUBSTITUTE(A545,"~","~~"),"*","~*"),"?","~?")),"")</f>
        <v/>
      </c>
      <c r="C545" t="str">
        <f>IF($B545="","",SUMIFS(dAmt,dCust,$B545,dPer,"&gt;="&amp;pyFrom,dPer,"&lt;="&amp;pyTo,dAmt,"&gt;-1E+300",dFlt1,critFlt1,dFlt2,critFlt2,dFlt3,critFlt3))</f>
        <v/>
      </c>
      <c r="D545" t="str">
        <f>IF($B545="","",SUMIFS(dAmt,dCust,$B545,dPer,"&gt;="&amp;cyFrom,dPer,"&lt;="&amp;cyTo,dAmt,"&gt;-1E+300",dFlt1,critFlt1,dFlt2,critFlt2,dFlt3,critFlt3))</f>
        <v/>
      </c>
      <c r="E545" t="str">
        <f>IF($B545="","",SUMIFS(dQty,dCust,$B545,dPer,"&gt;="&amp;pyFrom,dPer,"&lt;="&amp;pyTo,dQty,"&gt;-1E+300",dFlt1,critFlt1,dFlt2,critFlt2,dFlt3,critFlt3))</f>
        <v/>
      </c>
      <c r="F545" t="str">
        <f>IF($B545="","",SUMIFS(dQty,dCust,$B545,dPer,"&gt;="&amp;cyFrom,dPer,"&lt;="&amp;cyTo,dQty,"&gt;-1E+300",dFlt1,critFlt1,dFlt2,critFlt2,dFlt3,critFlt3))</f>
        <v/>
      </c>
      <c r="G545">
        <f>IF($B545="",0,IFERROR(IF(OR(C545&lt;&gt;0,D545&lt;&gt;0,E545&lt;&gt;0,F545&lt;&gt;0),1,0),1))</f>
        <v>0</v>
      </c>
      <c r="H545" t="str">
        <f>IF(OR(G545=0,E545=0),"",C545/E545)</f>
        <v/>
      </c>
      <c r="I545" t="str">
        <f>IF(OR(G545=0,F545=0),"",D545/F545)</f>
        <v/>
      </c>
      <c r="J545" t="str">
        <f>IF(OR(H545="",I545=""),"",IF(H545=0,"",I545/H545-1))</f>
        <v/>
      </c>
      <c r="K545" t="str">
        <f>IF($B545="","",IFERROR(IF(G545=0,-2E+300,CHOOSE(sortIdx,ROUND(D545,0),IF(J545="",-1E+300,ROUND(-J545,6)),IF(J545="",-1E+300,ROUND(J545,6)))),-1.5E+300))</f>
        <v/>
      </c>
      <c r="L545" t="str">
        <f>IF(K545="","",RANK(K545,$K$2:$K$3001,0)+COUNTIF($K$2:K545,K545)-1)</f>
        <v/>
      </c>
    </row>
    <row r="546">
      <c r="B546" t="str">
        <f>IFERROR(IF(A546="","","="&amp;SUBSTITUTE(SUBSTITUTE(SUBSTITUTE(A546,"~","~~"),"*","~*"),"?","~?")),"")</f>
        <v/>
      </c>
      <c r="C546" t="str">
        <f>IF($B546="","",SUMIFS(dAmt,dCust,$B546,dPer,"&gt;="&amp;pyFrom,dPer,"&lt;="&amp;pyTo,dAmt,"&gt;-1E+300",dFlt1,critFlt1,dFlt2,critFlt2,dFlt3,critFlt3))</f>
        <v/>
      </c>
      <c r="D546" t="str">
        <f>IF($B546="","",SUMIFS(dAmt,dCust,$B546,dPer,"&gt;="&amp;cyFrom,dPer,"&lt;="&amp;cyTo,dAmt,"&gt;-1E+300",dFlt1,critFlt1,dFlt2,critFlt2,dFlt3,critFlt3))</f>
        <v/>
      </c>
      <c r="E546" t="str">
        <f>IF($B546="","",SUMIFS(dQty,dCust,$B546,dPer,"&gt;="&amp;pyFrom,dPer,"&lt;="&amp;pyTo,dQty,"&gt;-1E+300",dFlt1,critFlt1,dFlt2,critFlt2,dFlt3,critFlt3))</f>
        <v/>
      </c>
      <c r="F546" t="str">
        <f>IF($B546="","",SUMIFS(dQty,dCust,$B546,dPer,"&gt;="&amp;cyFrom,dPer,"&lt;="&amp;cyTo,dQty,"&gt;-1E+300",dFlt1,critFlt1,dFlt2,critFlt2,dFlt3,critFlt3))</f>
        <v/>
      </c>
      <c r="G546">
        <f>IF($B546="",0,IFERROR(IF(OR(C546&lt;&gt;0,D546&lt;&gt;0,E546&lt;&gt;0,F546&lt;&gt;0),1,0),1))</f>
        <v>0</v>
      </c>
      <c r="H546" t="str">
        <f>IF(OR(G546=0,E546=0),"",C546/E546)</f>
        <v/>
      </c>
      <c r="I546" t="str">
        <f>IF(OR(G546=0,F546=0),"",D546/F546)</f>
        <v/>
      </c>
      <c r="J546" t="str">
        <f>IF(OR(H546="",I546=""),"",IF(H546=0,"",I546/H546-1))</f>
        <v/>
      </c>
      <c r="K546" t="str">
        <f>IF($B546="","",IFERROR(IF(G546=0,-2E+300,CHOOSE(sortIdx,ROUND(D546,0),IF(J546="",-1E+300,ROUND(-J546,6)),IF(J546="",-1E+300,ROUND(J546,6)))),-1.5E+300))</f>
        <v/>
      </c>
      <c r="L546" t="str">
        <f>IF(K546="","",RANK(K546,$K$2:$K$3001,0)+COUNTIF($K$2:K546,K546)-1)</f>
        <v/>
      </c>
    </row>
    <row r="547">
      <c r="B547" t="str">
        <f>IFERROR(IF(A547="","","="&amp;SUBSTITUTE(SUBSTITUTE(SUBSTITUTE(A547,"~","~~"),"*","~*"),"?","~?")),"")</f>
        <v/>
      </c>
      <c r="C547" t="str">
        <f>IF($B547="","",SUMIFS(dAmt,dCust,$B547,dPer,"&gt;="&amp;pyFrom,dPer,"&lt;="&amp;pyTo,dAmt,"&gt;-1E+300",dFlt1,critFlt1,dFlt2,critFlt2,dFlt3,critFlt3))</f>
        <v/>
      </c>
      <c r="D547" t="str">
        <f>IF($B547="","",SUMIFS(dAmt,dCust,$B547,dPer,"&gt;="&amp;cyFrom,dPer,"&lt;="&amp;cyTo,dAmt,"&gt;-1E+300",dFlt1,critFlt1,dFlt2,critFlt2,dFlt3,critFlt3))</f>
        <v/>
      </c>
      <c r="E547" t="str">
        <f>IF($B547="","",SUMIFS(dQty,dCust,$B547,dPer,"&gt;="&amp;pyFrom,dPer,"&lt;="&amp;pyTo,dQty,"&gt;-1E+300",dFlt1,critFlt1,dFlt2,critFlt2,dFlt3,critFlt3))</f>
        <v/>
      </c>
      <c r="F547" t="str">
        <f>IF($B547="","",SUMIFS(dQty,dCust,$B547,dPer,"&gt;="&amp;cyFrom,dPer,"&lt;="&amp;cyTo,dQty,"&gt;-1E+300",dFlt1,critFlt1,dFlt2,critFlt2,dFlt3,critFlt3))</f>
        <v/>
      </c>
      <c r="G547">
        <f>IF($B547="",0,IFERROR(IF(OR(C547&lt;&gt;0,D547&lt;&gt;0,E547&lt;&gt;0,F547&lt;&gt;0),1,0),1))</f>
        <v>0</v>
      </c>
      <c r="H547" t="str">
        <f>IF(OR(G547=0,E547=0),"",C547/E547)</f>
        <v/>
      </c>
      <c r="I547" t="str">
        <f>IF(OR(G547=0,F547=0),"",D547/F547)</f>
        <v/>
      </c>
      <c r="J547" t="str">
        <f>IF(OR(H547="",I547=""),"",IF(H547=0,"",I547/H547-1))</f>
        <v/>
      </c>
      <c r="K547" t="str">
        <f>IF($B547="","",IFERROR(IF(G547=0,-2E+300,CHOOSE(sortIdx,ROUND(D547,0),IF(J547="",-1E+300,ROUND(-J547,6)),IF(J547="",-1E+300,ROUND(J547,6)))),-1.5E+300))</f>
        <v/>
      </c>
      <c r="L547" t="str">
        <f>IF(K547="","",RANK(K547,$K$2:$K$3001,0)+COUNTIF($K$2:K547,K547)-1)</f>
        <v/>
      </c>
    </row>
    <row r="548">
      <c r="B548" t="str">
        <f>IFERROR(IF(A548="","","="&amp;SUBSTITUTE(SUBSTITUTE(SUBSTITUTE(A548,"~","~~"),"*","~*"),"?","~?")),"")</f>
        <v/>
      </c>
      <c r="C548" t="str">
        <f>IF($B548="","",SUMIFS(dAmt,dCust,$B548,dPer,"&gt;="&amp;pyFrom,dPer,"&lt;="&amp;pyTo,dAmt,"&gt;-1E+300",dFlt1,critFlt1,dFlt2,critFlt2,dFlt3,critFlt3))</f>
        <v/>
      </c>
      <c r="D548" t="str">
        <f>IF($B548="","",SUMIFS(dAmt,dCust,$B548,dPer,"&gt;="&amp;cyFrom,dPer,"&lt;="&amp;cyTo,dAmt,"&gt;-1E+300",dFlt1,critFlt1,dFlt2,critFlt2,dFlt3,critFlt3))</f>
        <v/>
      </c>
      <c r="E548" t="str">
        <f>IF($B548="","",SUMIFS(dQty,dCust,$B548,dPer,"&gt;="&amp;pyFrom,dPer,"&lt;="&amp;pyTo,dQty,"&gt;-1E+300",dFlt1,critFlt1,dFlt2,critFlt2,dFlt3,critFlt3))</f>
        <v/>
      </c>
      <c r="F548" t="str">
        <f>IF($B548="","",SUMIFS(dQty,dCust,$B548,dPer,"&gt;="&amp;cyFrom,dPer,"&lt;="&amp;cyTo,dQty,"&gt;-1E+300",dFlt1,critFlt1,dFlt2,critFlt2,dFlt3,critFlt3))</f>
        <v/>
      </c>
      <c r="G548">
        <f>IF($B548="",0,IFERROR(IF(OR(C548&lt;&gt;0,D548&lt;&gt;0,E548&lt;&gt;0,F548&lt;&gt;0),1,0),1))</f>
        <v>0</v>
      </c>
      <c r="H548" t="str">
        <f>IF(OR(G548=0,E548=0),"",C548/E548)</f>
        <v/>
      </c>
      <c r="I548" t="str">
        <f>IF(OR(G548=0,F548=0),"",D548/F548)</f>
        <v/>
      </c>
      <c r="J548" t="str">
        <f>IF(OR(H548="",I548=""),"",IF(H548=0,"",I548/H548-1))</f>
        <v/>
      </c>
      <c r="K548" t="str">
        <f>IF($B548="","",IFERROR(IF(G548=0,-2E+300,CHOOSE(sortIdx,ROUND(D548,0),IF(J548="",-1E+300,ROUND(-J548,6)),IF(J548="",-1E+300,ROUND(J548,6)))),-1.5E+300))</f>
        <v/>
      </c>
      <c r="L548" t="str">
        <f>IF(K548="","",RANK(K548,$K$2:$K$3001,0)+COUNTIF($K$2:K548,K548)-1)</f>
        <v/>
      </c>
    </row>
    <row r="549">
      <c r="B549" t="str">
        <f>IFERROR(IF(A549="","","="&amp;SUBSTITUTE(SUBSTITUTE(SUBSTITUTE(A549,"~","~~"),"*","~*"),"?","~?")),"")</f>
        <v/>
      </c>
      <c r="C549" t="str">
        <f>IF($B549="","",SUMIFS(dAmt,dCust,$B549,dPer,"&gt;="&amp;pyFrom,dPer,"&lt;="&amp;pyTo,dAmt,"&gt;-1E+300",dFlt1,critFlt1,dFlt2,critFlt2,dFlt3,critFlt3))</f>
        <v/>
      </c>
      <c r="D549" t="str">
        <f>IF($B549="","",SUMIFS(dAmt,dCust,$B549,dPer,"&gt;="&amp;cyFrom,dPer,"&lt;="&amp;cyTo,dAmt,"&gt;-1E+300",dFlt1,critFlt1,dFlt2,critFlt2,dFlt3,critFlt3))</f>
        <v/>
      </c>
      <c r="E549" t="str">
        <f>IF($B549="","",SUMIFS(dQty,dCust,$B549,dPer,"&gt;="&amp;pyFrom,dPer,"&lt;="&amp;pyTo,dQty,"&gt;-1E+300",dFlt1,critFlt1,dFlt2,critFlt2,dFlt3,critFlt3))</f>
        <v/>
      </c>
      <c r="F549" t="str">
        <f>IF($B549="","",SUMIFS(dQty,dCust,$B549,dPer,"&gt;="&amp;cyFrom,dPer,"&lt;="&amp;cyTo,dQty,"&gt;-1E+300",dFlt1,critFlt1,dFlt2,critFlt2,dFlt3,critFlt3))</f>
        <v/>
      </c>
      <c r="G549">
        <f>IF($B549="",0,IFERROR(IF(OR(C549&lt;&gt;0,D549&lt;&gt;0,E549&lt;&gt;0,F549&lt;&gt;0),1,0),1))</f>
        <v>0</v>
      </c>
      <c r="H549" t="str">
        <f>IF(OR(G549=0,E549=0),"",C549/E549)</f>
        <v/>
      </c>
      <c r="I549" t="str">
        <f>IF(OR(G549=0,F549=0),"",D549/F549)</f>
        <v/>
      </c>
      <c r="J549" t="str">
        <f>IF(OR(H549="",I549=""),"",IF(H549=0,"",I549/H549-1))</f>
        <v/>
      </c>
      <c r="K549" t="str">
        <f>IF($B549="","",IFERROR(IF(G549=0,-2E+300,CHOOSE(sortIdx,ROUND(D549,0),IF(J549="",-1E+300,ROUND(-J549,6)),IF(J549="",-1E+300,ROUND(J549,6)))),-1.5E+300))</f>
        <v/>
      </c>
      <c r="L549" t="str">
        <f>IF(K549="","",RANK(K549,$K$2:$K$3001,0)+COUNTIF($K$2:K549,K549)-1)</f>
        <v/>
      </c>
    </row>
    <row r="550">
      <c r="B550" t="str">
        <f>IFERROR(IF(A550="","","="&amp;SUBSTITUTE(SUBSTITUTE(SUBSTITUTE(A550,"~","~~"),"*","~*"),"?","~?")),"")</f>
        <v/>
      </c>
      <c r="C550" t="str">
        <f>IF($B550="","",SUMIFS(dAmt,dCust,$B550,dPer,"&gt;="&amp;pyFrom,dPer,"&lt;="&amp;pyTo,dAmt,"&gt;-1E+300",dFlt1,critFlt1,dFlt2,critFlt2,dFlt3,critFlt3))</f>
        <v/>
      </c>
      <c r="D550" t="str">
        <f>IF($B550="","",SUMIFS(dAmt,dCust,$B550,dPer,"&gt;="&amp;cyFrom,dPer,"&lt;="&amp;cyTo,dAmt,"&gt;-1E+300",dFlt1,critFlt1,dFlt2,critFlt2,dFlt3,critFlt3))</f>
        <v/>
      </c>
      <c r="E550" t="str">
        <f>IF($B550="","",SUMIFS(dQty,dCust,$B550,dPer,"&gt;="&amp;pyFrom,dPer,"&lt;="&amp;pyTo,dQty,"&gt;-1E+300",dFlt1,critFlt1,dFlt2,critFlt2,dFlt3,critFlt3))</f>
        <v/>
      </c>
      <c r="F550" t="str">
        <f>IF($B550="","",SUMIFS(dQty,dCust,$B550,dPer,"&gt;="&amp;cyFrom,dPer,"&lt;="&amp;cyTo,dQty,"&gt;-1E+300",dFlt1,critFlt1,dFlt2,critFlt2,dFlt3,critFlt3))</f>
        <v/>
      </c>
      <c r="G550">
        <f>IF($B550="",0,IFERROR(IF(OR(C550&lt;&gt;0,D550&lt;&gt;0,E550&lt;&gt;0,F550&lt;&gt;0),1,0),1))</f>
        <v>0</v>
      </c>
      <c r="H550" t="str">
        <f>IF(OR(G550=0,E550=0),"",C550/E550)</f>
        <v/>
      </c>
      <c r="I550" t="str">
        <f>IF(OR(G550=0,F550=0),"",D550/F550)</f>
        <v/>
      </c>
      <c r="J550" t="str">
        <f>IF(OR(H550="",I550=""),"",IF(H550=0,"",I550/H550-1))</f>
        <v/>
      </c>
      <c r="K550" t="str">
        <f>IF($B550="","",IFERROR(IF(G550=0,-2E+300,CHOOSE(sortIdx,ROUND(D550,0),IF(J550="",-1E+300,ROUND(-J550,6)),IF(J550="",-1E+300,ROUND(J550,6)))),-1.5E+300))</f>
        <v/>
      </c>
      <c r="L550" t="str">
        <f>IF(K550="","",RANK(K550,$K$2:$K$3001,0)+COUNTIF($K$2:K550,K550)-1)</f>
        <v/>
      </c>
    </row>
    <row r="551">
      <c r="B551" t="str">
        <f>IFERROR(IF(A551="","","="&amp;SUBSTITUTE(SUBSTITUTE(SUBSTITUTE(A551,"~","~~"),"*","~*"),"?","~?")),"")</f>
        <v/>
      </c>
      <c r="C551" t="str">
        <f>IF($B551="","",SUMIFS(dAmt,dCust,$B551,dPer,"&gt;="&amp;pyFrom,dPer,"&lt;="&amp;pyTo,dAmt,"&gt;-1E+300",dFlt1,critFlt1,dFlt2,critFlt2,dFlt3,critFlt3))</f>
        <v/>
      </c>
      <c r="D551" t="str">
        <f>IF($B551="","",SUMIFS(dAmt,dCust,$B551,dPer,"&gt;="&amp;cyFrom,dPer,"&lt;="&amp;cyTo,dAmt,"&gt;-1E+300",dFlt1,critFlt1,dFlt2,critFlt2,dFlt3,critFlt3))</f>
        <v/>
      </c>
      <c r="E551" t="str">
        <f>IF($B551="","",SUMIFS(dQty,dCust,$B551,dPer,"&gt;="&amp;pyFrom,dPer,"&lt;="&amp;pyTo,dQty,"&gt;-1E+300",dFlt1,critFlt1,dFlt2,critFlt2,dFlt3,critFlt3))</f>
        <v/>
      </c>
      <c r="F551" t="str">
        <f>IF($B551="","",SUMIFS(dQty,dCust,$B551,dPer,"&gt;="&amp;cyFrom,dPer,"&lt;="&amp;cyTo,dQty,"&gt;-1E+300",dFlt1,critFlt1,dFlt2,critFlt2,dFlt3,critFlt3))</f>
        <v/>
      </c>
      <c r="G551">
        <f>IF($B551="",0,IFERROR(IF(OR(C551&lt;&gt;0,D551&lt;&gt;0,E551&lt;&gt;0,F551&lt;&gt;0),1,0),1))</f>
        <v>0</v>
      </c>
      <c r="H551" t="str">
        <f>IF(OR(G551=0,E551=0),"",C551/E551)</f>
        <v/>
      </c>
      <c r="I551" t="str">
        <f>IF(OR(G551=0,F551=0),"",D551/F551)</f>
        <v/>
      </c>
      <c r="J551" t="str">
        <f>IF(OR(H551="",I551=""),"",IF(H551=0,"",I551/H551-1))</f>
        <v/>
      </c>
      <c r="K551" t="str">
        <f>IF($B551="","",IFERROR(IF(G551=0,-2E+300,CHOOSE(sortIdx,ROUND(D551,0),IF(J551="",-1E+300,ROUND(-J551,6)),IF(J551="",-1E+300,ROUND(J551,6)))),-1.5E+300))</f>
        <v/>
      </c>
      <c r="L551" t="str">
        <f>IF(K551="","",RANK(K551,$K$2:$K$3001,0)+COUNTIF($K$2:K551,K551)-1)</f>
        <v/>
      </c>
    </row>
    <row r="552">
      <c r="B552" t="str">
        <f>IFERROR(IF(A552="","","="&amp;SUBSTITUTE(SUBSTITUTE(SUBSTITUTE(A552,"~","~~"),"*","~*"),"?","~?")),"")</f>
        <v/>
      </c>
      <c r="C552" t="str">
        <f>IF($B552="","",SUMIFS(dAmt,dCust,$B552,dPer,"&gt;="&amp;pyFrom,dPer,"&lt;="&amp;pyTo,dAmt,"&gt;-1E+300",dFlt1,critFlt1,dFlt2,critFlt2,dFlt3,critFlt3))</f>
        <v/>
      </c>
      <c r="D552" t="str">
        <f>IF($B552="","",SUMIFS(dAmt,dCust,$B552,dPer,"&gt;="&amp;cyFrom,dPer,"&lt;="&amp;cyTo,dAmt,"&gt;-1E+300",dFlt1,critFlt1,dFlt2,critFlt2,dFlt3,critFlt3))</f>
        <v/>
      </c>
      <c r="E552" t="str">
        <f>IF($B552="","",SUMIFS(dQty,dCust,$B552,dPer,"&gt;="&amp;pyFrom,dPer,"&lt;="&amp;pyTo,dQty,"&gt;-1E+300",dFlt1,critFlt1,dFlt2,critFlt2,dFlt3,critFlt3))</f>
        <v/>
      </c>
      <c r="F552" t="str">
        <f>IF($B552="","",SUMIFS(dQty,dCust,$B552,dPer,"&gt;="&amp;cyFrom,dPer,"&lt;="&amp;cyTo,dQty,"&gt;-1E+300",dFlt1,critFlt1,dFlt2,critFlt2,dFlt3,critFlt3))</f>
        <v/>
      </c>
      <c r="G552">
        <f>IF($B552="",0,IFERROR(IF(OR(C552&lt;&gt;0,D552&lt;&gt;0,E552&lt;&gt;0,F552&lt;&gt;0),1,0),1))</f>
        <v>0</v>
      </c>
      <c r="H552" t="str">
        <f>IF(OR(G552=0,E552=0),"",C552/E552)</f>
        <v/>
      </c>
      <c r="I552" t="str">
        <f>IF(OR(G552=0,F552=0),"",D552/F552)</f>
        <v/>
      </c>
      <c r="J552" t="str">
        <f>IF(OR(H552="",I552=""),"",IF(H552=0,"",I552/H552-1))</f>
        <v/>
      </c>
      <c r="K552" t="str">
        <f>IF($B552="","",IFERROR(IF(G552=0,-2E+300,CHOOSE(sortIdx,ROUND(D552,0),IF(J552="",-1E+300,ROUND(-J552,6)),IF(J552="",-1E+300,ROUND(J552,6)))),-1.5E+300))</f>
        <v/>
      </c>
      <c r="L552" t="str">
        <f>IF(K552="","",RANK(K552,$K$2:$K$3001,0)+COUNTIF($K$2:K552,K552)-1)</f>
        <v/>
      </c>
    </row>
    <row r="553">
      <c r="B553" t="str">
        <f>IFERROR(IF(A553="","","="&amp;SUBSTITUTE(SUBSTITUTE(SUBSTITUTE(A553,"~","~~"),"*","~*"),"?","~?")),"")</f>
        <v/>
      </c>
      <c r="C553" t="str">
        <f>IF($B553="","",SUMIFS(dAmt,dCust,$B553,dPer,"&gt;="&amp;pyFrom,dPer,"&lt;="&amp;pyTo,dAmt,"&gt;-1E+300",dFlt1,critFlt1,dFlt2,critFlt2,dFlt3,critFlt3))</f>
        <v/>
      </c>
      <c r="D553" t="str">
        <f>IF($B553="","",SUMIFS(dAmt,dCust,$B553,dPer,"&gt;="&amp;cyFrom,dPer,"&lt;="&amp;cyTo,dAmt,"&gt;-1E+300",dFlt1,critFlt1,dFlt2,critFlt2,dFlt3,critFlt3))</f>
        <v/>
      </c>
      <c r="E553" t="str">
        <f>IF($B553="","",SUMIFS(dQty,dCust,$B553,dPer,"&gt;="&amp;pyFrom,dPer,"&lt;="&amp;pyTo,dQty,"&gt;-1E+300",dFlt1,critFlt1,dFlt2,critFlt2,dFlt3,critFlt3))</f>
        <v/>
      </c>
      <c r="F553" t="str">
        <f>IF($B553="","",SUMIFS(dQty,dCust,$B553,dPer,"&gt;="&amp;cyFrom,dPer,"&lt;="&amp;cyTo,dQty,"&gt;-1E+300",dFlt1,critFlt1,dFlt2,critFlt2,dFlt3,critFlt3))</f>
        <v/>
      </c>
      <c r="G553">
        <f>IF($B553="",0,IFERROR(IF(OR(C553&lt;&gt;0,D553&lt;&gt;0,E553&lt;&gt;0,F553&lt;&gt;0),1,0),1))</f>
        <v>0</v>
      </c>
      <c r="H553" t="str">
        <f>IF(OR(G553=0,E553=0),"",C553/E553)</f>
        <v/>
      </c>
      <c r="I553" t="str">
        <f>IF(OR(G553=0,F553=0),"",D553/F553)</f>
        <v/>
      </c>
      <c r="J553" t="str">
        <f>IF(OR(H553="",I553=""),"",IF(H553=0,"",I553/H553-1))</f>
        <v/>
      </c>
      <c r="K553" t="str">
        <f>IF($B553="","",IFERROR(IF(G553=0,-2E+300,CHOOSE(sortIdx,ROUND(D553,0),IF(J553="",-1E+300,ROUND(-J553,6)),IF(J553="",-1E+300,ROUND(J553,6)))),-1.5E+300))</f>
        <v/>
      </c>
      <c r="L553" t="str">
        <f>IF(K553="","",RANK(K553,$K$2:$K$3001,0)+COUNTIF($K$2:K553,K553)-1)</f>
        <v/>
      </c>
    </row>
    <row r="554">
      <c r="B554" t="str">
        <f>IFERROR(IF(A554="","","="&amp;SUBSTITUTE(SUBSTITUTE(SUBSTITUTE(A554,"~","~~"),"*","~*"),"?","~?")),"")</f>
        <v/>
      </c>
      <c r="C554" t="str">
        <f>IF($B554="","",SUMIFS(dAmt,dCust,$B554,dPer,"&gt;="&amp;pyFrom,dPer,"&lt;="&amp;pyTo,dAmt,"&gt;-1E+300",dFlt1,critFlt1,dFlt2,critFlt2,dFlt3,critFlt3))</f>
        <v/>
      </c>
      <c r="D554" t="str">
        <f>IF($B554="","",SUMIFS(dAmt,dCust,$B554,dPer,"&gt;="&amp;cyFrom,dPer,"&lt;="&amp;cyTo,dAmt,"&gt;-1E+300",dFlt1,critFlt1,dFlt2,critFlt2,dFlt3,critFlt3))</f>
        <v/>
      </c>
      <c r="E554" t="str">
        <f>IF($B554="","",SUMIFS(dQty,dCust,$B554,dPer,"&gt;="&amp;pyFrom,dPer,"&lt;="&amp;pyTo,dQty,"&gt;-1E+300",dFlt1,critFlt1,dFlt2,critFlt2,dFlt3,critFlt3))</f>
        <v/>
      </c>
      <c r="F554" t="str">
        <f>IF($B554="","",SUMIFS(dQty,dCust,$B554,dPer,"&gt;="&amp;cyFrom,dPer,"&lt;="&amp;cyTo,dQty,"&gt;-1E+300",dFlt1,critFlt1,dFlt2,critFlt2,dFlt3,critFlt3))</f>
        <v/>
      </c>
      <c r="G554">
        <f>IF($B554="",0,IFERROR(IF(OR(C554&lt;&gt;0,D554&lt;&gt;0,E554&lt;&gt;0,F554&lt;&gt;0),1,0),1))</f>
        <v>0</v>
      </c>
      <c r="H554" t="str">
        <f>IF(OR(G554=0,E554=0),"",C554/E554)</f>
        <v/>
      </c>
      <c r="I554" t="str">
        <f>IF(OR(G554=0,F554=0),"",D554/F554)</f>
        <v/>
      </c>
      <c r="J554" t="str">
        <f>IF(OR(H554="",I554=""),"",IF(H554=0,"",I554/H554-1))</f>
        <v/>
      </c>
      <c r="K554" t="str">
        <f>IF($B554="","",IFERROR(IF(G554=0,-2E+300,CHOOSE(sortIdx,ROUND(D554,0),IF(J554="",-1E+300,ROUND(-J554,6)),IF(J554="",-1E+300,ROUND(J554,6)))),-1.5E+300))</f>
        <v/>
      </c>
      <c r="L554" t="str">
        <f>IF(K554="","",RANK(K554,$K$2:$K$3001,0)+COUNTIF($K$2:K554,K554)-1)</f>
        <v/>
      </c>
    </row>
    <row r="555">
      <c r="B555" t="str">
        <f>IFERROR(IF(A555="","","="&amp;SUBSTITUTE(SUBSTITUTE(SUBSTITUTE(A555,"~","~~"),"*","~*"),"?","~?")),"")</f>
        <v/>
      </c>
      <c r="C555" t="str">
        <f>IF($B555="","",SUMIFS(dAmt,dCust,$B555,dPer,"&gt;="&amp;pyFrom,dPer,"&lt;="&amp;pyTo,dAmt,"&gt;-1E+300",dFlt1,critFlt1,dFlt2,critFlt2,dFlt3,critFlt3))</f>
        <v/>
      </c>
      <c r="D555" t="str">
        <f>IF($B555="","",SUMIFS(dAmt,dCust,$B555,dPer,"&gt;="&amp;cyFrom,dPer,"&lt;="&amp;cyTo,dAmt,"&gt;-1E+300",dFlt1,critFlt1,dFlt2,critFlt2,dFlt3,critFlt3))</f>
        <v/>
      </c>
      <c r="E555" t="str">
        <f>IF($B555="","",SUMIFS(dQty,dCust,$B555,dPer,"&gt;="&amp;pyFrom,dPer,"&lt;="&amp;pyTo,dQty,"&gt;-1E+300",dFlt1,critFlt1,dFlt2,critFlt2,dFlt3,critFlt3))</f>
        <v/>
      </c>
      <c r="F555" t="str">
        <f>IF($B555="","",SUMIFS(dQty,dCust,$B555,dPer,"&gt;="&amp;cyFrom,dPer,"&lt;="&amp;cyTo,dQty,"&gt;-1E+300",dFlt1,critFlt1,dFlt2,critFlt2,dFlt3,critFlt3))</f>
        <v/>
      </c>
      <c r="G555">
        <f>IF($B555="",0,IFERROR(IF(OR(C555&lt;&gt;0,D555&lt;&gt;0,E555&lt;&gt;0,F555&lt;&gt;0),1,0),1))</f>
        <v>0</v>
      </c>
      <c r="H555" t="str">
        <f>IF(OR(G555=0,E555=0),"",C555/E555)</f>
        <v/>
      </c>
      <c r="I555" t="str">
        <f>IF(OR(G555=0,F555=0),"",D555/F555)</f>
        <v/>
      </c>
      <c r="J555" t="str">
        <f>IF(OR(H555="",I555=""),"",IF(H555=0,"",I555/H555-1))</f>
        <v/>
      </c>
      <c r="K555" t="str">
        <f>IF($B555="","",IFERROR(IF(G555=0,-2E+300,CHOOSE(sortIdx,ROUND(D555,0),IF(J555="",-1E+300,ROUND(-J555,6)),IF(J555="",-1E+300,ROUND(J555,6)))),-1.5E+300))</f>
        <v/>
      </c>
      <c r="L555" t="str">
        <f>IF(K555="","",RANK(K555,$K$2:$K$3001,0)+COUNTIF($K$2:K555,K555)-1)</f>
        <v/>
      </c>
    </row>
    <row r="556">
      <c r="B556" t="str">
        <f>IFERROR(IF(A556="","","="&amp;SUBSTITUTE(SUBSTITUTE(SUBSTITUTE(A556,"~","~~"),"*","~*"),"?","~?")),"")</f>
        <v/>
      </c>
      <c r="C556" t="str">
        <f>IF($B556="","",SUMIFS(dAmt,dCust,$B556,dPer,"&gt;="&amp;pyFrom,dPer,"&lt;="&amp;pyTo,dAmt,"&gt;-1E+300",dFlt1,critFlt1,dFlt2,critFlt2,dFlt3,critFlt3))</f>
        <v/>
      </c>
      <c r="D556" t="str">
        <f>IF($B556="","",SUMIFS(dAmt,dCust,$B556,dPer,"&gt;="&amp;cyFrom,dPer,"&lt;="&amp;cyTo,dAmt,"&gt;-1E+300",dFlt1,critFlt1,dFlt2,critFlt2,dFlt3,critFlt3))</f>
        <v/>
      </c>
      <c r="E556" t="str">
        <f>IF($B556="","",SUMIFS(dQty,dCust,$B556,dPer,"&gt;="&amp;pyFrom,dPer,"&lt;="&amp;pyTo,dQty,"&gt;-1E+300",dFlt1,critFlt1,dFlt2,critFlt2,dFlt3,critFlt3))</f>
        <v/>
      </c>
      <c r="F556" t="str">
        <f>IF($B556="","",SUMIFS(dQty,dCust,$B556,dPer,"&gt;="&amp;cyFrom,dPer,"&lt;="&amp;cyTo,dQty,"&gt;-1E+300",dFlt1,critFlt1,dFlt2,critFlt2,dFlt3,critFlt3))</f>
        <v/>
      </c>
      <c r="G556">
        <f>IF($B556="",0,IFERROR(IF(OR(C556&lt;&gt;0,D556&lt;&gt;0,E556&lt;&gt;0,F556&lt;&gt;0),1,0),1))</f>
        <v>0</v>
      </c>
      <c r="H556" t="str">
        <f>IF(OR(G556=0,E556=0),"",C556/E556)</f>
        <v/>
      </c>
      <c r="I556" t="str">
        <f>IF(OR(G556=0,F556=0),"",D556/F556)</f>
        <v/>
      </c>
      <c r="J556" t="str">
        <f>IF(OR(H556="",I556=""),"",IF(H556=0,"",I556/H556-1))</f>
        <v/>
      </c>
      <c r="K556" t="str">
        <f>IF($B556="","",IFERROR(IF(G556=0,-2E+300,CHOOSE(sortIdx,ROUND(D556,0),IF(J556="",-1E+300,ROUND(-J556,6)),IF(J556="",-1E+300,ROUND(J556,6)))),-1.5E+300))</f>
        <v/>
      </c>
      <c r="L556" t="str">
        <f>IF(K556="","",RANK(K556,$K$2:$K$3001,0)+COUNTIF($K$2:K556,K556)-1)</f>
        <v/>
      </c>
    </row>
    <row r="557">
      <c r="B557" t="str">
        <f>IFERROR(IF(A557="","","="&amp;SUBSTITUTE(SUBSTITUTE(SUBSTITUTE(A557,"~","~~"),"*","~*"),"?","~?")),"")</f>
        <v/>
      </c>
      <c r="C557" t="str">
        <f>IF($B557="","",SUMIFS(dAmt,dCust,$B557,dPer,"&gt;="&amp;pyFrom,dPer,"&lt;="&amp;pyTo,dAmt,"&gt;-1E+300",dFlt1,critFlt1,dFlt2,critFlt2,dFlt3,critFlt3))</f>
        <v/>
      </c>
      <c r="D557" t="str">
        <f>IF($B557="","",SUMIFS(dAmt,dCust,$B557,dPer,"&gt;="&amp;cyFrom,dPer,"&lt;="&amp;cyTo,dAmt,"&gt;-1E+300",dFlt1,critFlt1,dFlt2,critFlt2,dFlt3,critFlt3))</f>
        <v/>
      </c>
      <c r="E557" t="str">
        <f>IF($B557="","",SUMIFS(dQty,dCust,$B557,dPer,"&gt;="&amp;pyFrom,dPer,"&lt;="&amp;pyTo,dQty,"&gt;-1E+300",dFlt1,critFlt1,dFlt2,critFlt2,dFlt3,critFlt3))</f>
        <v/>
      </c>
      <c r="F557" t="str">
        <f>IF($B557="","",SUMIFS(dQty,dCust,$B557,dPer,"&gt;="&amp;cyFrom,dPer,"&lt;="&amp;cyTo,dQty,"&gt;-1E+300",dFlt1,critFlt1,dFlt2,critFlt2,dFlt3,critFlt3))</f>
        <v/>
      </c>
      <c r="G557">
        <f>IF($B557="",0,IFERROR(IF(OR(C557&lt;&gt;0,D557&lt;&gt;0,E557&lt;&gt;0,F557&lt;&gt;0),1,0),1))</f>
        <v>0</v>
      </c>
      <c r="H557" t="str">
        <f>IF(OR(G557=0,E557=0),"",C557/E557)</f>
        <v/>
      </c>
      <c r="I557" t="str">
        <f>IF(OR(G557=0,F557=0),"",D557/F557)</f>
        <v/>
      </c>
      <c r="J557" t="str">
        <f>IF(OR(H557="",I557=""),"",IF(H557=0,"",I557/H557-1))</f>
        <v/>
      </c>
      <c r="K557" t="str">
        <f>IF($B557="","",IFERROR(IF(G557=0,-2E+300,CHOOSE(sortIdx,ROUND(D557,0),IF(J557="",-1E+300,ROUND(-J557,6)),IF(J557="",-1E+300,ROUND(J557,6)))),-1.5E+300))</f>
        <v/>
      </c>
      <c r="L557" t="str">
        <f>IF(K557="","",RANK(K557,$K$2:$K$3001,0)+COUNTIF($K$2:K557,K557)-1)</f>
        <v/>
      </c>
    </row>
    <row r="558">
      <c r="B558" t="str">
        <f>IFERROR(IF(A558="","","="&amp;SUBSTITUTE(SUBSTITUTE(SUBSTITUTE(A558,"~","~~"),"*","~*"),"?","~?")),"")</f>
        <v/>
      </c>
      <c r="C558" t="str">
        <f>IF($B558="","",SUMIFS(dAmt,dCust,$B558,dPer,"&gt;="&amp;pyFrom,dPer,"&lt;="&amp;pyTo,dAmt,"&gt;-1E+300",dFlt1,critFlt1,dFlt2,critFlt2,dFlt3,critFlt3))</f>
        <v/>
      </c>
      <c r="D558" t="str">
        <f>IF($B558="","",SUMIFS(dAmt,dCust,$B558,dPer,"&gt;="&amp;cyFrom,dPer,"&lt;="&amp;cyTo,dAmt,"&gt;-1E+300",dFlt1,critFlt1,dFlt2,critFlt2,dFlt3,critFlt3))</f>
        <v/>
      </c>
      <c r="E558" t="str">
        <f>IF($B558="","",SUMIFS(dQty,dCust,$B558,dPer,"&gt;="&amp;pyFrom,dPer,"&lt;="&amp;pyTo,dQty,"&gt;-1E+300",dFlt1,critFlt1,dFlt2,critFlt2,dFlt3,critFlt3))</f>
        <v/>
      </c>
      <c r="F558" t="str">
        <f>IF($B558="","",SUMIFS(dQty,dCust,$B558,dPer,"&gt;="&amp;cyFrom,dPer,"&lt;="&amp;cyTo,dQty,"&gt;-1E+300",dFlt1,critFlt1,dFlt2,critFlt2,dFlt3,critFlt3))</f>
        <v/>
      </c>
      <c r="G558">
        <f>IF($B558="",0,IFERROR(IF(OR(C558&lt;&gt;0,D558&lt;&gt;0,E558&lt;&gt;0,F558&lt;&gt;0),1,0),1))</f>
        <v>0</v>
      </c>
      <c r="H558" t="str">
        <f>IF(OR(G558=0,E558=0),"",C558/E558)</f>
        <v/>
      </c>
      <c r="I558" t="str">
        <f>IF(OR(G558=0,F558=0),"",D558/F558)</f>
        <v/>
      </c>
      <c r="J558" t="str">
        <f>IF(OR(H558="",I558=""),"",IF(H558=0,"",I558/H558-1))</f>
        <v/>
      </c>
      <c r="K558" t="str">
        <f>IF($B558="","",IFERROR(IF(G558=0,-2E+300,CHOOSE(sortIdx,ROUND(D558,0),IF(J558="",-1E+300,ROUND(-J558,6)),IF(J558="",-1E+300,ROUND(J558,6)))),-1.5E+300))</f>
        <v/>
      </c>
      <c r="L558" t="str">
        <f>IF(K558="","",RANK(K558,$K$2:$K$3001,0)+COUNTIF($K$2:K558,K558)-1)</f>
        <v/>
      </c>
    </row>
    <row r="559">
      <c r="B559" t="str">
        <f>IFERROR(IF(A559="","","="&amp;SUBSTITUTE(SUBSTITUTE(SUBSTITUTE(A559,"~","~~"),"*","~*"),"?","~?")),"")</f>
        <v/>
      </c>
      <c r="C559" t="str">
        <f>IF($B559="","",SUMIFS(dAmt,dCust,$B559,dPer,"&gt;="&amp;pyFrom,dPer,"&lt;="&amp;pyTo,dAmt,"&gt;-1E+300",dFlt1,critFlt1,dFlt2,critFlt2,dFlt3,critFlt3))</f>
        <v/>
      </c>
      <c r="D559" t="str">
        <f>IF($B559="","",SUMIFS(dAmt,dCust,$B559,dPer,"&gt;="&amp;cyFrom,dPer,"&lt;="&amp;cyTo,dAmt,"&gt;-1E+300",dFlt1,critFlt1,dFlt2,critFlt2,dFlt3,critFlt3))</f>
        <v/>
      </c>
      <c r="E559" t="str">
        <f>IF($B559="","",SUMIFS(dQty,dCust,$B559,dPer,"&gt;="&amp;pyFrom,dPer,"&lt;="&amp;pyTo,dQty,"&gt;-1E+300",dFlt1,critFlt1,dFlt2,critFlt2,dFlt3,critFlt3))</f>
        <v/>
      </c>
      <c r="F559" t="str">
        <f>IF($B559="","",SUMIFS(dQty,dCust,$B559,dPer,"&gt;="&amp;cyFrom,dPer,"&lt;="&amp;cyTo,dQty,"&gt;-1E+300",dFlt1,critFlt1,dFlt2,critFlt2,dFlt3,critFlt3))</f>
        <v/>
      </c>
      <c r="G559">
        <f>IF($B559="",0,IFERROR(IF(OR(C559&lt;&gt;0,D559&lt;&gt;0,E559&lt;&gt;0,F559&lt;&gt;0),1,0),1))</f>
        <v>0</v>
      </c>
      <c r="H559" t="str">
        <f>IF(OR(G559=0,E559=0),"",C559/E559)</f>
        <v/>
      </c>
      <c r="I559" t="str">
        <f>IF(OR(G559=0,F559=0),"",D559/F559)</f>
        <v/>
      </c>
      <c r="J559" t="str">
        <f>IF(OR(H559="",I559=""),"",IF(H559=0,"",I559/H559-1))</f>
        <v/>
      </c>
      <c r="K559" t="str">
        <f>IF($B559="","",IFERROR(IF(G559=0,-2E+300,CHOOSE(sortIdx,ROUND(D559,0),IF(J559="",-1E+300,ROUND(-J559,6)),IF(J559="",-1E+300,ROUND(J559,6)))),-1.5E+300))</f>
        <v/>
      </c>
      <c r="L559" t="str">
        <f>IF(K559="","",RANK(K559,$K$2:$K$3001,0)+COUNTIF($K$2:K559,K559)-1)</f>
        <v/>
      </c>
    </row>
    <row r="560">
      <c r="B560" t="str">
        <f>IFERROR(IF(A560="","","="&amp;SUBSTITUTE(SUBSTITUTE(SUBSTITUTE(A560,"~","~~"),"*","~*"),"?","~?")),"")</f>
        <v/>
      </c>
      <c r="C560" t="str">
        <f>IF($B560="","",SUMIFS(dAmt,dCust,$B560,dPer,"&gt;="&amp;pyFrom,dPer,"&lt;="&amp;pyTo,dAmt,"&gt;-1E+300",dFlt1,critFlt1,dFlt2,critFlt2,dFlt3,critFlt3))</f>
        <v/>
      </c>
      <c r="D560" t="str">
        <f>IF($B560="","",SUMIFS(dAmt,dCust,$B560,dPer,"&gt;="&amp;cyFrom,dPer,"&lt;="&amp;cyTo,dAmt,"&gt;-1E+300",dFlt1,critFlt1,dFlt2,critFlt2,dFlt3,critFlt3))</f>
        <v/>
      </c>
      <c r="E560" t="str">
        <f>IF($B560="","",SUMIFS(dQty,dCust,$B560,dPer,"&gt;="&amp;pyFrom,dPer,"&lt;="&amp;pyTo,dQty,"&gt;-1E+300",dFlt1,critFlt1,dFlt2,critFlt2,dFlt3,critFlt3))</f>
        <v/>
      </c>
      <c r="F560" t="str">
        <f>IF($B560="","",SUMIFS(dQty,dCust,$B560,dPer,"&gt;="&amp;cyFrom,dPer,"&lt;="&amp;cyTo,dQty,"&gt;-1E+300",dFlt1,critFlt1,dFlt2,critFlt2,dFlt3,critFlt3))</f>
        <v/>
      </c>
      <c r="G560">
        <f>IF($B560="",0,IFERROR(IF(OR(C560&lt;&gt;0,D560&lt;&gt;0,E560&lt;&gt;0,F560&lt;&gt;0),1,0),1))</f>
        <v>0</v>
      </c>
      <c r="H560" t="str">
        <f>IF(OR(G560=0,E560=0),"",C560/E560)</f>
        <v/>
      </c>
      <c r="I560" t="str">
        <f>IF(OR(G560=0,F560=0),"",D560/F560)</f>
        <v/>
      </c>
      <c r="J560" t="str">
        <f>IF(OR(H560="",I560=""),"",IF(H560=0,"",I560/H560-1))</f>
        <v/>
      </c>
      <c r="K560" t="str">
        <f>IF($B560="","",IFERROR(IF(G560=0,-2E+300,CHOOSE(sortIdx,ROUND(D560,0),IF(J560="",-1E+300,ROUND(-J560,6)),IF(J560="",-1E+300,ROUND(J560,6)))),-1.5E+300))</f>
        <v/>
      </c>
      <c r="L560" t="str">
        <f>IF(K560="","",RANK(K560,$K$2:$K$3001,0)+COUNTIF($K$2:K560,K560)-1)</f>
        <v/>
      </c>
    </row>
    <row r="561">
      <c r="B561" t="str">
        <f>IFERROR(IF(A561="","","="&amp;SUBSTITUTE(SUBSTITUTE(SUBSTITUTE(A561,"~","~~"),"*","~*"),"?","~?")),"")</f>
        <v/>
      </c>
      <c r="C561" t="str">
        <f>IF($B561="","",SUMIFS(dAmt,dCust,$B561,dPer,"&gt;="&amp;pyFrom,dPer,"&lt;="&amp;pyTo,dAmt,"&gt;-1E+300",dFlt1,critFlt1,dFlt2,critFlt2,dFlt3,critFlt3))</f>
        <v/>
      </c>
      <c r="D561" t="str">
        <f>IF($B561="","",SUMIFS(dAmt,dCust,$B561,dPer,"&gt;="&amp;cyFrom,dPer,"&lt;="&amp;cyTo,dAmt,"&gt;-1E+300",dFlt1,critFlt1,dFlt2,critFlt2,dFlt3,critFlt3))</f>
        <v/>
      </c>
      <c r="E561" t="str">
        <f>IF($B561="","",SUMIFS(dQty,dCust,$B561,dPer,"&gt;="&amp;pyFrom,dPer,"&lt;="&amp;pyTo,dQty,"&gt;-1E+300",dFlt1,critFlt1,dFlt2,critFlt2,dFlt3,critFlt3))</f>
        <v/>
      </c>
      <c r="F561" t="str">
        <f>IF($B561="","",SUMIFS(dQty,dCust,$B561,dPer,"&gt;="&amp;cyFrom,dPer,"&lt;="&amp;cyTo,dQty,"&gt;-1E+300",dFlt1,critFlt1,dFlt2,critFlt2,dFlt3,critFlt3))</f>
        <v/>
      </c>
      <c r="G561">
        <f>IF($B561="",0,IFERROR(IF(OR(C561&lt;&gt;0,D561&lt;&gt;0,E561&lt;&gt;0,F561&lt;&gt;0),1,0),1))</f>
        <v>0</v>
      </c>
      <c r="H561" t="str">
        <f>IF(OR(G561=0,E561=0),"",C561/E561)</f>
        <v/>
      </c>
      <c r="I561" t="str">
        <f>IF(OR(G561=0,F561=0),"",D561/F561)</f>
        <v/>
      </c>
      <c r="J561" t="str">
        <f>IF(OR(H561="",I561=""),"",IF(H561=0,"",I561/H561-1))</f>
        <v/>
      </c>
      <c r="K561" t="str">
        <f>IF($B561="","",IFERROR(IF(G561=0,-2E+300,CHOOSE(sortIdx,ROUND(D561,0),IF(J561="",-1E+300,ROUND(-J561,6)),IF(J561="",-1E+300,ROUND(J561,6)))),-1.5E+300))</f>
        <v/>
      </c>
      <c r="L561" t="str">
        <f>IF(K561="","",RANK(K561,$K$2:$K$3001,0)+COUNTIF($K$2:K561,K561)-1)</f>
        <v/>
      </c>
    </row>
    <row r="562">
      <c r="B562" t="str">
        <f>IFERROR(IF(A562="","","="&amp;SUBSTITUTE(SUBSTITUTE(SUBSTITUTE(A562,"~","~~"),"*","~*"),"?","~?")),"")</f>
        <v/>
      </c>
      <c r="C562" t="str">
        <f>IF($B562="","",SUMIFS(dAmt,dCust,$B562,dPer,"&gt;="&amp;pyFrom,dPer,"&lt;="&amp;pyTo,dAmt,"&gt;-1E+300",dFlt1,critFlt1,dFlt2,critFlt2,dFlt3,critFlt3))</f>
        <v/>
      </c>
      <c r="D562" t="str">
        <f>IF($B562="","",SUMIFS(dAmt,dCust,$B562,dPer,"&gt;="&amp;cyFrom,dPer,"&lt;="&amp;cyTo,dAmt,"&gt;-1E+300",dFlt1,critFlt1,dFlt2,critFlt2,dFlt3,critFlt3))</f>
        <v/>
      </c>
      <c r="E562" t="str">
        <f>IF($B562="","",SUMIFS(dQty,dCust,$B562,dPer,"&gt;="&amp;pyFrom,dPer,"&lt;="&amp;pyTo,dQty,"&gt;-1E+300",dFlt1,critFlt1,dFlt2,critFlt2,dFlt3,critFlt3))</f>
        <v/>
      </c>
      <c r="F562" t="str">
        <f>IF($B562="","",SUMIFS(dQty,dCust,$B562,dPer,"&gt;="&amp;cyFrom,dPer,"&lt;="&amp;cyTo,dQty,"&gt;-1E+300",dFlt1,critFlt1,dFlt2,critFlt2,dFlt3,critFlt3))</f>
        <v/>
      </c>
      <c r="G562">
        <f>IF($B562="",0,IFERROR(IF(OR(C562&lt;&gt;0,D562&lt;&gt;0,E562&lt;&gt;0,F562&lt;&gt;0),1,0),1))</f>
        <v>0</v>
      </c>
      <c r="H562" t="str">
        <f>IF(OR(G562=0,E562=0),"",C562/E562)</f>
        <v/>
      </c>
      <c r="I562" t="str">
        <f>IF(OR(G562=0,F562=0),"",D562/F562)</f>
        <v/>
      </c>
      <c r="J562" t="str">
        <f>IF(OR(H562="",I562=""),"",IF(H562=0,"",I562/H562-1))</f>
        <v/>
      </c>
      <c r="K562" t="str">
        <f>IF($B562="","",IFERROR(IF(G562=0,-2E+300,CHOOSE(sortIdx,ROUND(D562,0),IF(J562="",-1E+300,ROUND(-J562,6)),IF(J562="",-1E+300,ROUND(J562,6)))),-1.5E+300))</f>
        <v/>
      </c>
      <c r="L562" t="str">
        <f>IF(K562="","",RANK(K562,$K$2:$K$3001,0)+COUNTIF($K$2:K562,K562)-1)</f>
        <v/>
      </c>
    </row>
    <row r="563">
      <c r="B563" t="str">
        <f>IFERROR(IF(A563="","","="&amp;SUBSTITUTE(SUBSTITUTE(SUBSTITUTE(A563,"~","~~"),"*","~*"),"?","~?")),"")</f>
        <v/>
      </c>
      <c r="C563" t="str">
        <f>IF($B563="","",SUMIFS(dAmt,dCust,$B563,dPer,"&gt;="&amp;pyFrom,dPer,"&lt;="&amp;pyTo,dAmt,"&gt;-1E+300",dFlt1,critFlt1,dFlt2,critFlt2,dFlt3,critFlt3))</f>
        <v/>
      </c>
      <c r="D563" t="str">
        <f>IF($B563="","",SUMIFS(dAmt,dCust,$B563,dPer,"&gt;="&amp;cyFrom,dPer,"&lt;="&amp;cyTo,dAmt,"&gt;-1E+300",dFlt1,critFlt1,dFlt2,critFlt2,dFlt3,critFlt3))</f>
        <v/>
      </c>
      <c r="E563" t="str">
        <f>IF($B563="","",SUMIFS(dQty,dCust,$B563,dPer,"&gt;="&amp;pyFrom,dPer,"&lt;="&amp;pyTo,dQty,"&gt;-1E+300",dFlt1,critFlt1,dFlt2,critFlt2,dFlt3,critFlt3))</f>
        <v/>
      </c>
      <c r="F563" t="str">
        <f>IF($B563="","",SUMIFS(dQty,dCust,$B563,dPer,"&gt;="&amp;cyFrom,dPer,"&lt;="&amp;cyTo,dQty,"&gt;-1E+300",dFlt1,critFlt1,dFlt2,critFlt2,dFlt3,critFlt3))</f>
        <v/>
      </c>
      <c r="G563">
        <f>IF($B563="",0,IFERROR(IF(OR(C563&lt;&gt;0,D563&lt;&gt;0,E563&lt;&gt;0,F563&lt;&gt;0),1,0),1))</f>
        <v>0</v>
      </c>
      <c r="H563" t="str">
        <f>IF(OR(G563=0,E563=0),"",C563/E563)</f>
        <v/>
      </c>
      <c r="I563" t="str">
        <f>IF(OR(G563=0,F563=0),"",D563/F563)</f>
        <v/>
      </c>
      <c r="J563" t="str">
        <f>IF(OR(H563="",I563=""),"",IF(H563=0,"",I563/H563-1))</f>
        <v/>
      </c>
      <c r="K563" t="str">
        <f>IF($B563="","",IFERROR(IF(G563=0,-2E+300,CHOOSE(sortIdx,ROUND(D563,0),IF(J563="",-1E+300,ROUND(-J563,6)),IF(J563="",-1E+300,ROUND(J563,6)))),-1.5E+300))</f>
        <v/>
      </c>
      <c r="L563" t="str">
        <f>IF(K563="","",RANK(K563,$K$2:$K$3001,0)+COUNTIF($K$2:K563,K563)-1)</f>
        <v/>
      </c>
    </row>
    <row r="564">
      <c r="B564" t="str">
        <f>IFERROR(IF(A564="","","="&amp;SUBSTITUTE(SUBSTITUTE(SUBSTITUTE(A564,"~","~~"),"*","~*"),"?","~?")),"")</f>
        <v/>
      </c>
      <c r="C564" t="str">
        <f>IF($B564="","",SUMIFS(dAmt,dCust,$B564,dPer,"&gt;="&amp;pyFrom,dPer,"&lt;="&amp;pyTo,dAmt,"&gt;-1E+300",dFlt1,critFlt1,dFlt2,critFlt2,dFlt3,critFlt3))</f>
        <v/>
      </c>
      <c r="D564" t="str">
        <f>IF($B564="","",SUMIFS(dAmt,dCust,$B564,dPer,"&gt;="&amp;cyFrom,dPer,"&lt;="&amp;cyTo,dAmt,"&gt;-1E+300",dFlt1,critFlt1,dFlt2,critFlt2,dFlt3,critFlt3))</f>
        <v/>
      </c>
      <c r="E564" t="str">
        <f>IF($B564="","",SUMIFS(dQty,dCust,$B564,dPer,"&gt;="&amp;pyFrom,dPer,"&lt;="&amp;pyTo,dQty,"&gt;-1E+300",dFlt1,critFlt1,dFlt2,critFlt2,dFlt3,critFlt3))</f>
        <v/>
      </c>
      <c r="F564" t="str">
        <f>IF($B564="","",SUMIFS(dQty,dCust,$B564,dPer,"&gt;="&amp;cyFrom,dPer,"&lt;="&amp;cyTo,dQty,"&gt;-1E+300",dFlt1,critFlt1,dFlt2,critFlt2,dFlt3,critFlt3))</f>
        <v/>
      </c>
      <c r="G564">
        <f>IF($B564="",0,IFERROR(IF(OR(C564&lt;&gt;0,D564&lt;&gt;0,E564&lt;&gt;0,F564&lt;&gt;0),1,0),1))</f>
        <v>0</v>
      </c>
      <c r="H564" t="str">
        <f>IF(OR(G564=0,E564=0),"",C564/E564)</f>
        <v/>
      </c>
      <c r="I564" t="str">
        <f>IF(OR(G564=0,F564=0),"",D564/F564)</f>
        <v/>
      </c>
      <c r="J564" t="str">
        <f>IF(OR(H564="",I564=""),"",IF(H564=0,"",I564/H564-1))</f>
        <v/>
      </c>
      <c r="K564" t="str">
        <f>IF($B564="","",IFERROR(IF(G564=0,-2E+300,CHOOSE(sortIdx,ROUND(D564,0),IF(J564="",-1E+300,ROUND(-J564,6)),IF(J564="",-1E+300,ROUND(J564,6)))),-1.5E+300))</f>
        <v/>
      </c>
      <c r="L564" t="str">
        <f>IF(K564="","",RANK(K564,$K$2:$K$3001,0)+COUNTIF($K$2:K564,K564)-1)</f>
        <v/>
      </c>
    </row>
    <row r="565">
      <c r="B565" t="str">
        <f>IFERROR(IF(A565="","","="&amp;SUBSTITUTE(SUBSTITUTE(SUBSTITUTE(A565,"~","~~"),"*","~*"),"?","~?")),"")</f>
        <v/>
      </c>
      <c r="C565" t="str">
        <f>IF($B565="","",SUMIFS(dAmt,dCust,$B565,dPer,"&gt;="&amp;pyFrom,dPer,"&lt;="&amp;pyTo,dAmt,"&gt;-1E+300",dFlt1,critFlt1,dFlt2,critFlt2,dFlt3,critFlt3))</f>
        <v/>
      </c>
      <c r="D565" t="str">
        <f>IF($B565="","",SUMIFS(dAmt,dCust,$B565,dPer,"&gt;="&amp;cyFrom,dPer,"&lt;="&amp;cyTo,dAmt,"&gt;-1E+300",dFlt1,critFlt1,dFlt2,critFlt2,dFlt3,critFlt3))</f>
        <v/>
      </c>
      <c r="E565" t="str">
        <f>IF($B565="","",SUMIFS(dQty,dCust,$B565,dPer,"&gt;="&amp;pyFrom,dPer,"&lt;="&amp;pyTo,dQty,"&gt;-1E+300",dFlt1,critFlt1,dFlt2,critFlt2,dFlt3,critFlt3))</f>
        <v/>
      </c>
      <c r="F565" t="str">
        <f>IF($B565="","",SUMIFS(dQty,dCust,$B565,dPer,"&gt;="&amp;cyFrom,dPer,"&lt;="&amp;cyTo,dQty,"&gt;-1E+300",dFlt1,critFlt1,dFlt2,critFlt2,dFlt3,critFlt3))</f>
        <v/>
      </c>
      <c r="G565">
        <f>IF($B565="",0,IFERROR(IF(OR(C565&lt;&gt;0,D565&lt;&gt;0,E565&lt;&gt;0,F565&lt;&gt;0),1,0),1))</f>
        <v>0</v>
      </c>
      <c r="H565" t="str">
        <f>IF(OR(G565=0,E565=0),"",C565/E565)</f>
        <v/>
      </c>
      <c r="I565" t="str">
        <f>IF(OR(G565=0,F565=0),"",D565/F565)</f>
        <v/>
      </c>
      <c r="J565" t="str">
        <f>IF(OR(H565="",I565=""),"",IF(H565=0,"",I565/H565-1))</f>
        <v/>
      </c>
      <c r="K565" t="str">
        <f>IF($B565="","",IFERROR(IF(G565=0,-2E+300,CHOOSE(sortIdx,ROUND(D565,0),IF(J565="",-1E+300,ROUND(-J565,6)),IF(J565="",-1E+300,ROUND(J565,6)))),-1.5E+300))</f>
        <v/>
      </c>
      <c r="L565" t="str">
        <f>IF(K565="","",RANK(K565,$K$2:$K$3001,0)+COUNTIF($K$2:K565,K565)-1)</f>
        <v/>
      </c>
    </row>
    <row r="566">
      <c r="B566" t="str">
        <f>IFERROR(IF(A566="","","="&amp;SUBSTITUTE(SUBSTITUTE(SUBSTITUTE(A566,"~","~~"),"*","~*"),"?","~?")),"")</f>
        <v/>
      </c>
      <c r="C566" t="str">
        <f>IF($B566="","",SUMIFS(dAmt,dCust,$B566,dPer,"&gt;="&amp;pyFrom,dPer,"&lt;="&amp;pyTo,dAmt,"&gt;-1E+300",dFlt1,critFlt1,dFlt2,critFlt2,dFlt3,critFlt3))</f>
        <v/>
      </c>
      <c r="D566" t="str">
        <f>IF($B566="","",SUMIFS(dAmt,dCust,$B566,dPer,"&gt;="&amp;cyFrom,dPer,"&lt;="&amp;cyTo,dAmt,"&gt;-1E+300",dFlt1,critFlt1,dFlt2,critFlt2,dFlt3,critFlt3))</f>
        <v/>
      </c>
      <c r="E566" t="str">
        <f>IF($B566="","",SUMIFS(dQty,dCust,$B566,dPer,"&gt;="&amp;pyFrom,dPer,"&lt;="&amp;pyTo,dQty,"&gt;-1E+300",dFlt1,critFlt1,dFlt2,critFlt2,dFlt3,critFlt3))</f>
        <v/>
      </c>
      <c r="F566" t="str">
        <f>IF($B566="","",SUMIFS(dQty,dCust,$B566,dPer,"&gt;="&amp;cyFrom,dPer,"&lt;="&amp;cyTo,dQty,"&gt;-1E+300",dFlt1,critFlt1,dFlt2,critFlt2,dFlt3,critFlt3))</f>
        <v/>
      </c>
      <c r="G566">
        <f>IF($B566="",0,IFERROR(IF(OR(C566&lt;&gt;0,D566&lt;&gt;0,E566&lt;&gt;0,F566&lt;&gt;0),1,0),1))</f>
        <v>0</v>
      </c>
      <c r="H566" t="str">
        <f>IF(OR(G566=0,E566=0),"",C566/E566)</f>
        <v/>
      </c>
      <c r="I566" t="str">
        <f>IF(OR(G566=0,F566=0),"",D566/F566)</f>
        <v/>
      </c>
      <c r="J566" t="str">
        <f>IF(OR(H566="",I566=""),"",IF(H566=0,"",I566/H566-1))</f>
        <v/>
      </c>
      <c r="K566" t="str">
        <f>IF($B566="","",IFERROR(IF(G566=0,-2E+300,CHOOSE(sortIdx,ROUND(D566,0),IF(J566="",-1E+300,ROUND(-J566,6)),IF(J566="",-1E+300,ROUND(J566,6)))),-1.5E+300))</f>
        <v/>
      </c>
      <c r="L566" t="str">
        <f>IF(K566="","",RANK(K566,$K$2:$K$3001,0)+COUNTIF($K$2:K566,K566)-1)</f>
        <v/>
      </c>
    </row>
    <row r="567">
      <c r="B567" t="str">
        <f>IFERROR(IF(A567="","","="&amp;SUBSTITUTE(SUBSTITUTE(SUBSTITUTE(A567,"~","~~"),"*","~*"),"?","~?")),"")</f>
        <v/>
      </c>
      <c r="C567" t="str">
        <f>IF($B567="","",SUMIFS(dAmt,dCust,$B567,dPer,"&gt;="&amp;pyFrom,dPer,"&lt;="&amp;pyTo,dAmt,"&gt;-1E+300",dFlt1,critFlt1,dFlt2,critFlt2,dFlt3,critFlt3))</f>
        <v/>
      </c>
      <c r="D567" t="str">
        <f>IF($B567="","",SUMIFS(dAmt,dCust,$B567,dPer,"&gt;="&amp;cyFrom,dPer,"&lt;="&amp;cyTo,dAmt,"&gt;-1E+300",dFlt1,critFlt1,dFlt2,critFlt2,dFlt3,critFlt3))</f>
        <v/>
      </c>
      <c r="E567" t="str">
        <f>IF($B567="","",SUMIFS(dQty,dCust,$B567,dPer,"&gt;="&amp;pyFrom,dPer,"&lt;="&amp;pyTo,dQty,"&gt;-1E+300",dFlt1,critFlt1,dFlt2,critFlt2,dFlt3,critFlt3))</f>
        <v/>
      </c>
      <c r="F567" t="str">
        <f>IF($B567="","",SUMIFS(dQty,dCust,$B567,dPer,"&gt;="&amp;cyFrom,dPer,"&lt;="&amp;cyTo,dQty,"&gt;-1E+300",dFlt1,critFlt1,dFlt2,critFlt2,dFlt3,critFlt3))</f>
        <v/>
      </c>
      <c r="G567">
        <f>IF($B567="",0,IFERROR(IF(OR(C567&lt;&gt;0,D567&lt;&gt;0,E567&lt;&gt;0,F567&lt;&gt;0),1,0),1))</f>
        <v>0</v>
      </c>
      <c r="H567" t="str">
        <f>IF(OR(G567=0,E567=0),"",C567/E567)</f>
        <v/>
      </c>
      <c r="I567" t="str">
        <f>IF(OR(G567=0,F567=0),"",D567/F567)</f>
        <v/>
      </c>
      <c r="J567" t="str">
        <f>IF(OR(H567="",I567=""),"",IF(H567=0,"",I567/H567-1))</f>
        <v/>
      </c>
      <c r="K567" t="str">
        <f>IF($B567="","",IFERROR(IF(G567=0,-2E+300,CHOOSE(sortIdx,ROUND(D567,0),IF(J567="",-1E+300,ROUND(-J567,6)),IF(J567="",-1E+300,ROUND(J567,6)))),-1.5E+300))</f>
        <v/>
      </c>
      <c r="L567" t="str">
        <f>IF(K567="","",RANK(K567,$K$2:$K$3001,0)+COUNTIF($K$2:K567,K567)-1)</f>
        <v/>
      </c>
    </row>
    <row r="568">
      <c r="B568" t="str">
        <f>IFERROR(IF(A568="","","="&amp;SUBSTITUTE(SUBSTITUTE(SUBSTITUTE(A568,"~","~~"),"*","~*"),"?","~?")),"")</f>
        <v/>
      </c>
      <c r="C568" t="str">
        <f>IF($B568="","",SUMIFS(dAmt,dCust,$B568,dPer,"&gt;="&amp;pyFrom,dPer,"&lt;="&amp;pyTo,dAmt,"&gt;-1E+300",dFlt1,critFlt1,dFlt2,critFlt2,dFlt3,critFlt3))</f>
        <v/>
      </c>
      <c r="D568" t="str">
        <f>IF($B568="","",SUMIFS(dAmt,dCust,$B568,dPer,"&gt;="&amp;cyFrom,dPer,"&lt;="&amp;cyTo,dAmt,"&gt;-1E+300",dFlt1,critFlt1,dFlt2,critFlt2,dFlt3,critFlt3))</f>
        <v/>
      </c>
      <c r="E568" t="str">
        <f>IF($B568="","",SUMIFS(dQty,dCust,$B568,dPer,"&gt;="&amp;pyFrom,dPer,"&lt;="&amp;pyTo,dQty,"&gt;-1E+300",dFlt1,critFlt1,dFlt2,critFlt2,dFlt3,critFlt3))</f>
        <v/>
      </c>
      <c r="F568" t="str">
        <f>IF($B568="","",SUMIFS(dQty,dCust,$B568,dPer,"&gt;="&amp;cyFrom,dPer,"&lt;="&amp;cyTo,dQty,"&gt;-1E+300",dFlt1,critFlt1,dFlt2,critFlt2,dFlt3,critFlt3))</f>
        <v/>
      </c>
      <c r="G568">
        <f>IF($B568="",0,IFERROR(IF(OR(C568&lt;&gt;0,D568&lt;&gt;0,E568&lt;&gt;0,F568&lt;&gt;0),1,0),1))</f>
        <v>0</v>
      </c>
      <c r="H568" t="str">
        <f>IF(OR(G568=0,E568=0),"",C568/E568)</f>
        <v/>
      </c>
      <c r="I568" t="str">
        <f>IF(OR(G568=0,F568=0),"",D568/F568)</f>
        <v/>
      </c>
      <c r="J568" t="str">
        <f>IF(OR(H568="",I568=""),"",IF(H568=0,"",I568/H568-1))</f>
        <v/>
      </c>
      <c r="K568" t="str">
        <f>IF($B568="","",IFERROR(IF(G568=0,-2E+300,CHOOSE(sortIdx,ROUND(D568,0),IF(J568="",-1E+300,ROUND(-J568,6)),IF(J568="",-1E+300,ROUND(J568,6)))),-1.5E+300))</f>
        <v/>
      </c>
      <c r="L568" t="str">
        <f>IF(K568="","",RANK(K568,$K$2:$K$3001,0)+COUNTIF($K$2:K568,K568)-1)</f>
        <v/>
      </c>
    </row>
    <row r="569">
      <c r="B569" t="str">
        <f>IFERROR(IF(A569="","","="&amp;SUBSTITUTE(SUBSTITUTE(SUBSTITUTE(A569,"~","~~"),"*","~*"),"?","~?")),"")</f>
        <v/>
      </c>
      <c r="C569" t="str">
        <f>IF($B569="","",SUMIFS(dAmt,dCust,$B569,dPer,"&gt;="&amp;pyFrom,dPer,"&lt;="&amp;pyTo,dAmt,"&gt;-1E+300",dFlt1,critFlt1,dFlt2,critFlt2,dFlt3,critFlt3))</f>
        <v/>
      </c>
      <c r="D569" t="str">
        <f>IF($B569="","",SUMIFS(dAmt,dCust,$B569,dPer,"&gt;="&amp;cyFrom,dPer,"&lt;="&amp;cyTo,dAmt,"&gt;-1E+300",dFlt1,critFlt1,dFlt2,critFlt2,dFlt3,critFlt3))</f>
        <v/>
      </c>
      <c r="E569" t="str">
        <f>IF($B569="","",SUMIFS(dQty,dCust,$B569,dPer,"&gt;="&amp;pyFrom,dPer,"&lt;="&amp;pyTo,dQty,"&gt;-1E+300",dFlt1,critFlt1,dFlt2,critFlt2,dFlt3,critFlt3))</f>
        <v/>
      </c>
      <c r="F569" t="str">
        <f>IF($B569="","",SUMIFS(dQty,dCust,$B569,dPer,"&gt;="&amp;cyFrom,dPer,"&lt;="&amp;cyTo,dQty,"&gt;-1E+300",dFlt1,critFlt1,dFlt2,critFlt2,dFlt3,critFlt3))</f>
        <v/>
      </c>
      <c r="G569">
        <f>IF($B569="",0,IFERROR(IF(OR(C569&lt;&gt;0,D569&lt;&gt;0,E569&lt;&gt;0,F569&lt;&gt;0),1,0),1))</f>
        <v>0</v>
      </c>
      <c r="H569" t="str">
        <f>IF(OR(G569=0,E569=0),"",C569/E569)</f>
        <v/>
      </c>
      <c r="I569" t="str">
        <f>IF(OR(G569=0,F569=0),"",D569/F569)</f>
        <v/>
      </c>
      <c r="J569" t="str">
        <f>IF(OR(H569="",I569=""),"",IF(H569=0,"",I569/H569-1))</f>
        <v/>
      </c>
      <c r="K569" t="str">
        <f>IF($B569="","",IFERROR(IF(G569=0,-2E+300,CHOOSE(sortIdx,ROUND(D569,0),IF(J569="",-1E+300,ROUND(-J569,6)),IF(J569="",-1E+300,ROUND(J569,6)))),-1.5E+300))</f>
        <v/>
      </c>
      <c r="L569" t="str">
        <f>IF(K569="","",RANK(K569,$K$2:$K$3001,0)+COUNTIF($K$2:K569,K569)-1)</f>
        <v/>
      </c>
    </row>
    <row r="570">
      <c r="B570" t="str">
        <f>IFERROR(IF(A570="","","="&amp;SUBSTITUTE(SUBSTITUTE(SUBSTITUTE(A570,"~","~~"),"*","~*"),"?","~?")),"")</f>
        <v/>
      </c>
      <c r="C570" t="str">
        <f>IF($B570="","",SUMIFS(dAmt,dCust,$B570,dPer,"&gt;="&amp;pyFrom,dPer,"&lt;="&amp;pyTo,dAmt,"&gt;-1E+300",dFlt1,critFlt1,dFlt2,critFlt2,dFlt3,critFlt3))</f>
        <v/>
      </c>
      <c r="D570" t="str">
        <f>IF($B570="","",SUMIFS(dAmt,dCust,$B570,dPer,"&gt;="&amp;cyFrom,dPer,"&lt;="&amp;cyTo,dAmt,"&gt;-1E+300",dFlt1,critFlt1,dFlt2,critFlt2,dFlt3,critFlt3))</f>
        <v/>
      </c>
      <c r="E570" t="str">
        <f>IF($B570="","",SUMIFS(dQty,dCust,$B570,dPer,"&gt;="&amp;pyFrom,dPer,"&lt;="&amp;pyTo,dQty,"&gt;-1E+300",dFlt1,critFlt1,dFlt2,critFlt2,dFlt3,critFlt3))</f>
        <v/>
      </c>
      <c r="F570" t="str">
        <f>IF($B570="","",SUMIFS(dQty,dCust,$B570,dPer,"&gt;="&amp;cyFrom,dPer,"&lt;="&amp;cyTo,dQty,"&gt;-1E+300",dFlt1,critFlt1,dFlt2,critFlt2,dFlt3,critFlt3))</f>
        <v/>
      </c>
      <c r="G570">
        <f>IF($B570="",0,IFERROR(IF(OR(C570&lt;&gt;0,D570&lt;&gt;0,E570&lt;&gt;0,F570&lt;&gt;0),1,0),1))</f>
        <v>0</v>
      </c>
      <c r="H570" t="str">
        <f>IF(OR(G570=0,E570=0),"",C570/E570)</f>
        <v/>
      </c>
      <c r="I570" t="str">
        <f>IF(OR(G570=0,F570=0),"",D570/F570)</f>
        <v/>
      </c>
      <c r="J570" t="str">
        <f>IF(OR(H570="",I570=""),"",IF(H570=0,"",I570/H570-1))</f>
        <v/>
      </c>
      <c r="K570" t="str">
        <f>IF($B570="","",IFERROR(IF(G570=0,-2E+300,CHOOSE(sortIdx,ROUND(D570,0),IF(J570="",-1E+300,ROUND(-J570,6)),IF(J570="",-1E+300,ROUND(J570,6)))),-1.5E+300))</f>
        <v/>
      </c>
      <c r="L570" t="str">
        <f>IF(K570="","",RANK(K570,$K$2:$K$3001,0)+COUNTIF($K$2:K570,K570)-1)</f>
        <v/>
      </c>
    </row>
    <row r="571">
      <c r="B571" t="str">
        <f>IFERROR(IF(A571="","","="&amp;SUBSTITUTE(SUBSTITUTE(SUBSTITUTE(A571,"~","~~"),"*","~*"),"?","~?")),"")</f>
        <v/>
      </c>
      <c r="C571" t="str">
        <f>IF($B571="","",SUMIFS(dAmt,dCust,$B571,dPer,"&gt;="&amp;pyFrom,dPer,"&lt;="&amp;pyTo,dAmt,"&gt;-1E+300",dFlt1,critFlt1,dFlt2,critFlt2,dFlt3,critFlt3))</f>
        <v/>
      </c>
      <c r="D571" t="str">
        <f>IF($B571="","",SUMIFS(dAmt,dCust,$B571,dPer,"&gt;="&amp;cyFrom,dPer,"&lt;="&amp;cyTo,dAmt,"&gt;-1E+300",dFlt1,critFlt1,dFlt2,critFlt2,dFlt3,critFlt3))</f>
        <v/>
      </c>
      <c r="E571" t="str">
        <f>IF($B571="","",SUMIFS(dQty,dCust,$B571,dPer,"&gt;="&amp;pyFrom,dPer,"&lt;="&amp;pyTo,dQty,"&gt;-1E+300",dFlt1,critFlt1,dFlt2,critFlt2,dFlt3,critFlt3))</f>
        <v/>
      </c>
      <c r="F571" t="str">
        <f>IF($B571="","",SUMIFS(dQty,dCust,$B571,dPer,"&gt;="&amp;cyFrom,dPer,"&lt;="&amp;cyTo,dQty,"&gt;-1E+300",dFlt1,critFlt1,dFlt2,critFlt2,dFlt3,critFlt3))</f>
        <v/>
      </c>
      <c r="G571">
        <f>IF($B571="",0,IFERROR(IF(OR(C571&lt;&gt;0,D571&lt;&gt;0,E571&lt;&gt;0,F571&lt;&gt;0),1,0),1))</f>
        <v>0</v>
      </c>
      <c r="H571" t="str">
        <f>IF(OR(G571=0,E571=0),"",C571/E571)</f>
        <v/>
      </c>
      <c r="I571" t="str">
        <f>IF(OR(G571=0,F571=0),"",D571/F571)</f>
        <v/>
      </c>
      <c r="J571" t="str">
        <f>IF(OR(H571="",I571=""),"",IF(H571=0,"",I571/H571-1))</f>
        <v/>
      </c>
      <c r="K571" t="str">
        <f>IF($B571="","",IFERROR(IF(G571=0,-2E+300,CHOOSE(sortIdx,ROUND(D571,0),IF(J571="",-1E+300,ROUND(-J571,6)),IF(J571="",-1E+300,ROUND(J571,6)))),-1.5E+300))</f>
        <v/>
      </c>
      <c r="L571" t="str">
        <f>IF(K571="","",RANK(K571,$K$2:$K$3001,0)+COUNTIF($K$2:K571,K571)-1)</f>
        <v/>
      </c>
    </row>
    <row r="572">
      <c r="B572" t="str">
        <f>IFERROR(IF(A572="","","="&amp;SUBSTITUTE(SUBSTITUTE(SUBSTITUTE(A572,"~","~~"),"*","~*"),"?","~?")),"")</f>
        <v/>
      </c>
      <c r="C572" t="str">
        <f>IF($B572="","",SUMIFS(dAmt,dCust,$B572,dPer,"&gt;="&amp;pyFrom,dPer,"&lt;="&amp;pyTo,dAmt,"&gt;-1E+300",dFlt1,critFlt1,dFlt2,critFlt2,dFlt3,critFlt3))</f>
        <v/>
      </c>
      <c r="D572" t="str">
        <f>IF($B572="","",SUMIFS(dAmt,dCust,$B572,dPer,"&gt;="&amp;cyFrom,dPer,"&lt;="&amp;cyTo,dAmt,"&gt;-1E+300",dFlt1,critFlt1,dFlt2,critFlt2,dFlt3,critFlt3))</f>
        <v/>
      </c>
      <c r="E572" t="str">
        <f>IF($B572="","",SUMIFS(dQty,dCust,$B572,dPer,"&gt;="&amp;pyFrom,dPer,"&lt;="&amp;pyTo,dQty,"&gt;-1E+300",dFlt1,critFlt1,dFlt2,critFlt2,dFlt3,critFlt3))</f>
        <v/>
      </c>
      <c r="F572" t="str">
        <f>IF($B572="","",SUMIFS(dQty,dCust,$B572,dPer,"&gt;="&amp;cyFrom,dPer,"&lt;="&amp;cyTo,dQty,"&gt;-1E+300",dFlt1,critFlt1,dFlt2,critFlt2,dFlt3,critFlt3))</f>
        <v/>
      </c>
      <c r="G572">
        <f>IF($B572="",0,IFERROR(IF(OR(C572&lt;&gt;0,D572&lt;&gt;0,E572&lt;&gt;0,F572&lt;&gt;0),1,0),1))</f>
        <v>0</v>
      </c>
      <c r="H572" t="str">
        <f>IF(OR(G572=0,E572=0),"",C572/E572)</f>
        <v/>
      </c>
      <c r="I572" t="str">
        <f>IF(OR(G572=0,F572=0),"",D572/F572)</f>
        <v/>
      </c>
      <c r="J572" t="str">
        <f>IF(OR(H572="",I572=""),"",IF(H572=0,"",I572/H572-1))</f>
        <v/>
      </c>
      <c r="K572" t="str">
        <f>IF($B572="","",IFERROR(IF(G572=0,-2E+300,CHOOSE(sortIdx,ROUND(D572,0),IF(J572="",-1E+300,ROUND(-J572,6)),IF(J572="",-1E+300,ROUND(J572,6)))),-1.5E+300))</f>
        <v/>
      </c>
      <c r="L572" t="str">
        <f>IF(K572="","",RANK(K572,$K$2:$K$3001,0)+COUNTIF($K$2:K572,K572)-1)</f>
        <v/>
      </c>
    </row>
    <row r="573">
      <c r="B573" t="str">
        <f>IFERROR(IF(A573="","","="&amp;SUBSTITUTE(SUBSTITUTE(SUBSTITUTE(A573,"~","~~"),"*","~*"),"?","~?")),"")</f>
        <v/>
      </c>
      <c r="C573" t="str">
        <f>IF($B573="","",SUMIFS(dAmt,dCust,$B573,dPer,"&gt;="&amp;pyFrom,dPer,"&lt;="&amp;pyTo,dAmt,"&gt;-1E+300",dFlt1,critFlt1,dFlt2,critFlt2,dFlt3,critFlt3))</f>
        <v/>
      </c>
      <c r="D573" t="str">
        <f>IF($B573="","",SUMIFS(dAmt,dCust,$B573,dPer,"&gt;="&amp;cyFrom,dPer,"&lt;="&amp;cyTo,dAmt,"&gt;-1E+300",dFlt1,critFlt1,dFlt2,critFlt2,dFlt3,critFlt3))</f>
        <v/>
      </c>
      <c r="E573" t="str">
        <f>IF($B573="","",SUMIFS(dQty,dCust,$B573,dPer,"&gt;="&amp;pyFrom,dPer,"&lt;="&amp;pyTo,dQty,"&gt;-1E+300",dFlt1,critFlt1,dFlt2,critFlt2,dFlt3,critFlt3))</f>
        <v/>
      </c>
      <c r="F573" t="str">
        <f>IF($B573="","",SUMIFS(dQty,dCust,$B573,dPer,"&gt;="&amp;cyFrom,dPer,"&lt;="&amp;cyTo,dQty,"&gt;-1E+300",dFlt1,critFlt1,dFlt2,critFlt2,dFlt3,critFlt3))</f>
        <v/>
      </c>
      <c r="G573">
        <f>IF($B573="",0,IFERROR(IF(OR(C573&lt;&gt;0,D573&lt;&gt;0,E573&lt;&gt;0,F573&lt;&gt;0),1,0),1))</f>
        <v>0</v>
      </c>
      <c r="H573" t="str">
        <f>IF(OR(G573=0,E573=0),"",C573/E573)</f>
        <v/>
      </c>
      <c r="I573" t="str">
        <f>IF(OR(G573=0,F573=0),"",D573/F573)</f>
        <v/>
      </c>
      <c r="J573" t="str">
        <f>IF(OR(H573="",I573=""),"",IF(H573=0,"",I573/H573-1))</f>
        <v/>
      </c>
      <c r="K573" t="str">
        <f>IF($B573="","",IFERROR(IF(G573=0,-2E+300,CHOOSE(sortIdx,ROUND(D573,0),IF(J573="",-1E+300,ROUND(-J573,6)),IF(J573="",-1E+300,ROUND(J573,6)))),-1.5E+300))</f>
        <v/>
      </c>
      <c r="L573" t="str">
        <f>IF(K573="","",RANK(K573,$K$2:$K$3001,0)+COUNTIF($K$2:K573,K573)-1)</f>
        <v/>
      </c>
    </row>
    <row r="574">
      <c r="B574" t="str">
        <f>IFERROR(IF(A574="","","="&amp;SUBSTITUTE(SUBSTITUTE(SUBSTITUTE(A574,"~","~~"),"*","~*"),"?","~?")),"")</f>
        <v/>
      </c>
      <c r="C574" t="str">
        <f>IF($B574="","",SUMIFS(dAmt,dCust,$B574,dPer,"&gt;="&amp;pyFrom,dPer,"&lt;="&amp;pyTo,dAmt,"&gt;-1E+300",dFlt1,critFlt1,dFlt2,critFlt2,dFlt3,critFlt3))</f>
        <v/>
      </c>
      <c r="D574" t="str">
        <f>IF($B574="","",SUMIFS(dAmt,dCust,$B574,dPer,"&gt;="&amp;cyFrom,dPer,"&lt;="&amp;cyTo,dAmt,"&gt;-1E+300",dFlt1,critFlt1,dFlt2,critFlt2,dFlt3,critFlt3))</f>
        <v/>
      </c>
      <c r="E574" t="str">
        <f>IF($B574="","",SUMIFS(dQty,dCust,$B574,dPer,"&gt;="&amp;pyFrom,dPer,"&lt;="&amp;pyTo,dQty,"&gt;-1E+300",dFlt1,critFlt1,dFlt2,critFlt2,dFlt3,critFlt3))</f>
        <v/>
      </c>
      <c r="F574" t="str">
        <f>IF($B574="","",SUMIFS(dQty,dCust,$B574,dPer,"&gt;="&amp;cyFrom,dPer,"&lt;="&amp;cyTo,dQty,"&gt;-1E+300",dFlt1,critFlt1,dFlt2,critFlt2,dFlt3,critFlt3))</f>
        <v/>
      </c>
      <c r="G574">
        <f>IF($B574="",0,IFERROR(IF(OR(C574&lt;&gt;0,D574&lt;&gt;0,E574&lt;&gt;0,F574&lt;&gt;0),1,0),1))</f>
        <v>0</v>
      </c>
      <c r="H574" t="str">
        <f>IF(OR(G574=0,E574=0),"",C574/E574)</f>
        <v/>
      </c>
      <c r="I574" t="str">
        <f>IF(OR(G574=0,F574=0),"",D574/F574)</f>
        <v/>
      </c>
      <c r="J574" t="str">
        <f>IF(OR(H574="",I574=""),"",IF(H574=0,"",I574/H574-1))</f>
        <v/>
      </c>
      <c r="K574" t="str">
        <f>IF($B574="","",IFERROR(IF(G574=0,-2E+300,CHOOSE(sortIdx,ROUND(D574,0),IF(J574="",-1E+300,ROUND(-J574,6)),IF(J574="",-1E+300,ROUND(J574,6)))),-1.5E+300))</f>
        <v/>
      </c>
      <c r="L574" t="str">
        <f>IF(K574="","",RANK(K574,$K$2:$K$3001,0)+COUNTIF($K$2:K574,K574)-1)</f>
        <v/>
      </c>
    </row>
    <row r="575">
      <c r="B575" t="str">
        <f>IFERROR(IF(A575="","","="&amp;SUBSTITUTE(SUBSTITUTE(SUBSTITUTE(A575,"~","~~"),"*","~*"),"?","~?")),"")</f>
        <v/>
      </c>
      <c r="C575" t="str">
        <f>IF($B575="","",SUMIFS(dAmt,dCust,$B575,dPer,"&gt;="&amp;pyFrom,dPer,"&lt;="&amp;pyTo,dAmt,"&gt;-1E+300",dFlt1,critFlt1,dFlt2,critFlt2,dFlt3,critFlt3))</f>
        <v/>
      </c>
      <c r="D575" t="str">
        <f>IF($B575="","",SUMIFS(dAmt,dCust,$B575,dPer,"&gt;="&amp;cyFrom,dPer,"&lt;="&amp;cyTo,dAmt,"&gt;-1E+300",dFlt1,critFlt1,dFlt2,critFlt2,dFlt3,critFlt3))</f>
        <v/>
      </c>
      <c r="E575" t="str">
        <f>IF($B575="","",SUMIFS(dQty,dCust,$B575,dPer,"&gt;="&amp;pyFrom,dPer,"&lt;="&amp;pyTo,dQty,"&gt;-1E+300",dFlt1,critFlt1,dFlt2,critFlt2,dFlt3,critFlt3))</f>
        <v/>
      </c>
      <c r="F575" t="str">
        <f>IF($B575="","",SUMIFS(dQty,dCust,$B575,dPer,"&gt;="&amp;cyFrom,dPer,"&lt;="&amp;cyTo,dQty,"&gt;-1E+300",dFlt1,critFlt1,dFlt2,critFlt2,dFlt3,critFlt3))</f>
        <v/>
      </c>
      <c r="G575">
        <f>IF($B575="",0,IFERROR(IF(OR(C575&lt;&gt;0,D575&lt;&gt;0,E575&lt;&gt;0,F575&lt;&gt;0),1,0),1))</f>
        <v>0</v>
      </c>
      <c r="H575" t="str">
        <f>IF(OR(G575=0,E575=0),"",C575/E575)</f>
        <v/>
      </c>
      <c r="I575" t="str">
        <f>IF(OR(G575=0,F575=0),"",D575/F575)</f>
        <v/>
      </c>
      <c r="J575" t="str">
        <f>IF(OR(H575="",I575=""),"",IF(H575=0,"",I575/H575-1))</f>
        <v/>
      </c>
      <c r="K575" t="str">
        <f>IF($B575="","",IFERROR(IF(G575=0,-2E+300,CHOOSE(sortIdx,ROUND(D575,0),IF(J575="",-1E+300,ROUND(-J575,6)),IF(J575="",-1E+300,ROUND(J575,6)))),-1.5E+300))</f>
        <v/>
      </c>
      <c r="L575" t="str">
        <f>IF(K575="","",RANK(K575,$K$2:$K$3001,0)+COUNTIF($K$2:K575,K575)-1)</f>
        <v/>
      </c>
    </row>
    <row r="576">
      <c r="B576" t="str">
        <f>IFERROR(IF(A576="","","="&amp;SUBSTITUTE(SUBSTITUTE(SUBSTITUTE(A576,"~","~~"),"*","~*"),"?","~?")),"")</f>
        <v/>
      </c>
      <c r="C576" t="str">
        <f>IF($B576="","",SUMIFS(dAmt,dCust,$B576,dPer,"&gt;="&amp;pyFrom,dPer,"&lt;="&amp;pyTo,dAmt,"&gt;-1E+300",dFlt1,critFlt1,dFlt2,critFlt2,dFlt3,critFlt3))</f>
        <v/>
      </c>
      <c r="D576" t="str">
        <f>IF($B576="","",SUMIFS(dAmt,dCust,$B576,dPer,"&gt;="&amp;cyFrom,dPer,"&lt;="&amp;cyTo,dAmt,"&gt;-1E+300",dFlt1,critFlt1,dFlt2,critFlt2,dFlt3,critFlt3))</f>
        <v/>
      </c>
      <c r="E576" t="str">
        <f>IF($B576="","",SUMIFS(dQty,dCust,$B576,dPer,"&gt;="&amp;pyFrom,dPer,"&lt;="&amp;pyTo,dQty,"&gt;-1E+300",dFlt1,critFlt1,dFlt2,critFlt2,dFlt3,critFlt3))</f>
        <v/>
      </c>
      <c r="F576" t="str">
        <f>IF($B576="","",SUMIFS(dQty,dCust,$B576,dPer,"&gt;="&amp;cyFrom,dPer,"&lt;="&amp;cyTo,dQty,"&gt;-1E+300",dFlt1,critFlt1,dFlt2,critFlt2,dFlt3,critFlt3))</f>
        <v/>
      </c>
      <c r="G576">
        <f>IF($B576="",0,IFERROR(IF(OR(C576&lt;&gt;0,D576&lt;&gt;0,E576&lt;&gt;0,F576&lt;&gt;0),1,0),1))</f>
        <v>0</v>
      </c>
      <c r="H576" t="str">
        <f>IF(OR(G576=0,E576=0),"",C576/E576)</f>
        <v/>
      </c>
      <c r="I576" t="str">
        <f>IF(OR(G576=0,F576=0),"",D576/F576)</f>
        <v/>
      </c>
      <c r="J576" t="str">
        <f>IF(OR(H576="",I576=""),"",IF(H576=0,"",I576/H576-1))</f>
        <v/>
      </c>
      <c r="K576" t="str">
        <f>IF($B576="","",IFERROR(IF(G576=0,-2E+300,CHOOSE(sortIdx,ROUND(D576,0),IF(J576="",-1E+300,ROUND(-J576,6)),IF(J576="",-1E+300,ROUND(J576,6)))),-1.5E+300))</f>
        <v/>
      </c>
      <c r="L576" t="str">
        <f>IF(K576="","",RANK(K576,$K$2:$K$3001,0)+COUNTIF($K$2:K576,K576)-1)</f>
        <v/>
      </c>
    </row>
    <row r="577">
      <c r="B577" t="str">
        <f>IFERROR(IF(A577="","","="&amp;SUBSTITUTE(SUBSTITUTE(SUBSTITUTE(A577,"~","~~"),"*","~*"),"?","~?")),"")</f>
        <v/>
      </c>
      <c r="C577" t="str">
        <f>IF($B577="","",SUMIFS(dAmt,dCust,$B577,dPer,"&gt;="&amp;pyFrom,dPer,"&lt;="&amp;pyTo,dAmt,"&gt;-1E+300",dFlt1,critFlt1,dFlt2,critFlt2,dFlt3,critFlt3))</f>
        <v/>
      </c>
      <c r="D577" t="str">
        <f>IF($B577="","",SUMIFS(dAmt,dCust,$B577,dPer,"&gt;="&amp;cyFrom,dPer,"&lt;="&amp;cyTo,dAmt,"&gt;-1E+300",dFlt1,critFlt1,dFlt2,critFlt2,dFlt3,critFlt3))</f>
        <v/>
      </c>
      <c r="E577" t="str">
        <f>IF($B577="","",SUMIFS(dQty,dCust,$B577,dPer,"&gt;="&amp;pyFrom,dPer,"&lt;="&amp;pyTo,dQty,"&gt;-1E+300",dFlt1,critFlt1,dFlt2,critFlt2,dFlt3,critFlt3))</f>
        <v/>
      </c>
      <c r="F577" t="str">
        <f>IF($B577="","",SUMIFS(dQty,dCust,$B577,dPer,"&gt;="&amp;cyFrom,dPer,"&lt;="&amp;cyTo,dQty,"&gt;-1E+300",dFlt1,critFlt1,dFlt2,critFlt2,dFlt3,critFlt3))</f>
        <v/>
      </c>
      <c r="G577">
        <f>IF($B577="",0,IFERROR(IF(OR(C577&lt;&gt;0,D577&lt;&gt;0,E577&lt;&gt;0,F577&lt;&gt;0),1,0),1))</f>
        <v>0</v>
      </c>
      <c r="H577" t="str">
        <f>IF(OR(G577=0,E577=0),"",C577/E577)</f>
        <v/>
      </c>
      <c r="I577" t="str">
        <f>IF(OR(G577=0,F577=0),"",D577/F577)</f>
        <v/>
      </c>
      <c r="J577" t="str">
        <f>IF(OR(H577="",I577=""),"",IF(H577=0,"",I577/H577-1))</f>
        <v/>
      </c>
      <c r="K577" t="str">
        <f>IF($B577="","",IFERROR(IF(G577=0,-2E+300,CHOOSE(sortIdx,ROUND(D577,0),IF(J577="",-1E+300,ROUND(-J577,6)),IF(J577="",-1E+300,ROUND(J577,6)))),-1.5E+300))</f>
        <v/>
      </c>
      <c r="L577" t="str">
        <f>IF(K577="","",RANK(K577,$K$2:$K$3001,0)+COUNTIF($K$2:K577,K577)-1)</f>
        <v/>
      </c>
    </row>
    <row r="578">
      <c r="B578" t="str">
        <f>IFERROR(IF(A578="","","="&amp;SUBSTITUTE(SUBSTITUTE(SUBSTITUTE(A578,"~","~~"),"*","~*"),"?","~?")),"")</f>
        <v/>
      </c>
      <c r="C578" t="str">
        <f>IF($B578="","",SUMIFS(dAmt,dCust,$B578,dPer,"&gt;="&amp;pyFrom,dPer,"&lt;="&amp;pyTo,dAmt,"&gt;-1E+300",dFlt1,critFlt1,dFlt2,critFlt2,dFlt3,critFlt3))</f>
        <v/>
      </c>
      <c r="D578" t="str">
        <f>IF($B578="","",SUMIFS(dAmt,dCust,$B578,dPer,"&gt;="&amp;cyFrom,dPer,"&lt;="&amp;cyTo,dAmt,"&gt;-1E+300",dFlt1,critFlt1,dFlt2,critFlt2,dFlt3,critFlt3))</f>
        <v/>
      </c>
      <c r="E578" t="str">
        <f>IF($B578="","",SUMIFS(dQty,dCust,$B578,dPer,"&gt;="&amp;pyFrom,dPer,"&lt;="&amp;pyTo,dQty,"&gt;-1E+300",dFlt1,critFlt1,dFlt2,critFlt2,dFlt3,critFlt3))</f>
        <v/>
      </c>
      <c r="F578" t="str">
        <f>IF($B578="","",SUMIFS(dQty,dCust,$B578,dPer,"&gt;="&amp;cyFrom,dPer,"&lt;="&amp;cyTo,dQty,"&gt;-1E+300",dFlt1,critFlt1,dFlt2,critFlt2,dFlt3,critFlt3))</f>
        <v/>
      </c>
      <c r="G578">
        <f>IF($B578="",0,IFERROR(IF(OR(C578&lt;&gt;0,D578&lt;&gt;0,E578&lt;&gt;0,F578&lt;&gt;0),1,0),1))</f>
        <v>0</v>
      </c>
      <c r="H578" t="str">
        <f>IF(OR(G578=0,E578=0),"",C578/E578)</f>
        <v/>
      </c>
      <c r="I578" t="str">
        <f>IF(OR(G578=0,F578=0),"",D578/F578)</f>
        <v/>
      </c>
      <c r="J578" t="str">
        <f>IF(OR(H578="",I578=""),"",IF(H578=0,"",I578/H578-1))</f>
        <v/>
      </c>
      <c r="K578" t="str">
        <f>IF($B578="","",IFERROR(IF(G578=0,-2E+300,CHOOSE(sortIdx,ROUND(D578,0),IF(J578="",-1E+300,ROUND(-J578,6)),IF(J578="",-1E+300,ROUND(J578,6)))),-1.5E+300))</f>
        <v/>
      </c>
      <c r="L578" t="str">
        <f>IF(K578="","",RANK(K578,$K$2:$K$3001,0)+COUNTIF($K$2:K578,K578)-1)</f>
        <v/>
      </c>
    </row>
    <row r="579">
      <c r="B579" t="str">
        <f>IFERROR(IF(A579="","","="&amp;SUBSTITUTE(SUBSTITUTE(SUBSTITUTE(A579,"~","~~"),"*","~*"),"?","~?")),"")</f>
        <v/>
      </c>
      <c r="C579" t="str">
        <f>IF($B579="","",SUMIFS(dAmt,dCust,$B579,dPer,"&gt;="&amp;pyFrom,dPer,"&lt;="&amp;pyTo,dAmt,"&gt;-1E+300",dFlt1,critFlt1,dFlt2,critFlt2,dFlt3,critFlt3))</f>
        <v/>
      </c>
      <c r="D579" t="str">
        <f>IF($B579="","",SUMIFS(dAmt,dCust,$B579,dPer,"&gt;="&amp;cyFrom,dPer,"&lt;="&amp;cyTo,dAmt,"&gt;-1E+300",dFlt1,critFlt1,dFlt2,critFlt2,dFlt3,critFlt3))</f>
        <v/>
      </c>
      <c r="E579" t="str">
        <f>IF($B579="","",SUMIFS(dQty,dCust,$B579,dPer,"&gt;="&amp;pyFrom,dPer,"&lt;="&amp;pyTo,dQty,"&gt;-1E+300",dFlt1,critFlt1,dFlt2,critFlt2,dFlt3,critFlt3))</f>
        <v/>
      </c>
      <c r="F579" t="str">
        <f>IF($B579="","",SUMIFS(dQty,dCust,$B579,dPer,"&gt;="&amp;cyFrom,dPer,"&lt;="&amp;cyTo,dQty,"&gt;-1E+300",dFlt1,critFlt1,dFlt2,critFlt2,dFlt3,critFlt3))</f>
        <v/>
      </c>
      <c r="G579">
        <f>IF($B579="",0,IFERROR(IF(OR(C579&lt;&gt;0,D579&lt;&gt;0,E579&lt;&gt;0,F579&lt;&gt;0),1,0),1))</f>
        <v>0</v>
      </c>
      <c r="H579" t="str">
        <f>IF(OR(G579=0,E579=0),"",C579/E579)</f>
        <v/>
      </c>
      <c r="I579" t="str">
        <f>IF(OR(G579=0,F579=0),"",D579/F579)</f>
        <v/>
      </c>
      <c r="J579" t="str">
        <f>IF(OR(H579="",I579=""),"",IF(H579=0,"",I579/H579-1))</f>
        <v/>
      </c>
      <c r="K579" t="str">
        <f>IF($B579="","",IFERROR(IF(G579=0,-2E+300,CHOOSE(sortIdx,ROUND(D579,0),IF(J579="",-1E+300,ROUND(-J579,6)),IF(J579="",-1E+300,ROUND(J579,6)))),-1.5E+300))</f>
        <v/>
      </c>
      <c r="L579" t="str">
        <f>IF(K579="","",RANK(K579,$K$2:$K$3001,0)+COUNTIF($K$2:K579,K579)-1)</f>
        <v/>
      </c>
    </row>
    <row r="580">
      <c r="B580" t="str">
        <f>IFERROR(IF(A580="","","="&amp;SUBSTITUTE(SUBSTITUTE(SUBSTITUTE(A580,"~","~~"),"*","~*"),"?","~?")),"")</f>
        <v/>
      </c>
      <c r="C580" t="str">
        <f>IF($B580="","",SUMIFS(dAmt,dCust,$B580,dPer,"&gt;="&amp;pyFrom,dPer,"&lt;="&amp;pyTo,dAmt,"&gt;-1E+300",dFlt1,critFlt1,dFlt2,critFlt2,dFlt3,critFlt3))</f>
        <v/>
      </c>
      <c r="D580" t="str">
        <f>IF($B580="","",SUMIFS(dAmt,dCust,$B580,dPer,"&gt;="&amp;cyFrom,dPer,"&lt;="&amp;cyTo,dAmt,"&gt;-1E+300",dFlt1,critFlt1,dFlt2,critFlt2,dFlt3,critFlt3))</f>
        <v/>
      </c>
      <c r="E580" t="str">
        <f>IF($B580="","",SUMIFS(dQty,dCust,$B580,dPer,"&gt;="&amp;pyFrom,dPer,"&lt;="&amp;pyTo,dQty,"&gt;-1E+300",dFlt1,critFlt1,dFlt2,critFlt2,dFlt3,critFlt3))</f>
        <v/>
      </c>
      <c r="F580" t="str">
        <f>IF($B580="","",SUMIFS(dQty,dCust,$B580,dPer,"&gt;="&amp;cyFrom,dPer,"&lt;="&amp;cyTo,dQty,"&gt;-1E+300",dFlt1,critFlt1,dFlt2,critFlt2,dFlt3,critFlt3))</f>
        <v/>
      </c>
      <c r="G580">
        <f>IF($B580="",0,IFERROR(IF(OR(C580&lt;&gt;0,D580&lt;&gt;0,E580&lt;&gt;0,F580&lt;&gt;0),1,0),1))</f>
        <v>0</v>
      </c>
      <c r="H580" t="str">
        <f>IF(OR(G580=0,E580=0),"",C580/E580)</f>
        <v/>
      </c>
      <c r="I580" t="str">
        <f>IF(OR(G580=0,F580=0),"",D580/F580)</f>
        <v/>
      </c>
      <c r="J580" t="str">
        <f>IF(OR(H580="",I580=""),"",IF(H580=0,"",I580/H580-1))</f>
        <v/>
      </c>
      <c r="K580" t="str">
        <f>IF($B580="","",IFERROR(IF(G580=0,-2E+300,CHOOSE(sortIdx,ROUND(D580,0),IF(J580="",-1E+300,ROUND(-J580,6)),IF(J580="",-1E+300,ROUND(J580,6)))),-1.5E+300))</f>
        <v/>
      </c>
      <c r="L580" t="str">
        <f>IF(K580="","",RANK(K580,$K$2:$K$3001,0)+COUNTIF($K$2:K580,K580)-1)</f>
        <v/>
      </c>
    </row>
    <row r="581">
      <c r="B581" t="str">
        <f>IFERROR(IF(A581="","","="&amp;SUBSTITUTE(SUBSTITUTE(SUBSTITUTE(A581,"~","~~"),"*","~*"),"?","~?")),"")</f>
        <v/>
      </c>
      <c r="C581" t="str">
        <f>IF($B581="","",SUMIFS(dAmt,dCust,$B581,dPer,"&gt;="&amp;pyFrom,dPer,"&lt;="&amp;pyTo,dAmt,"&gt;-1E+300",dFlt1,critFlt1,dFlt2,critFlt2,dFlt3,critFlt3))</f>
        <v/>
      </c>
      <c r="D581" t="str">
        <f>IF($B581="","",SUMIFS(dAmt,dCust,$B581,dPer,"&gt;="&amp;cyFrom,dPer,"&lt;="&amp;cyTo,dAmt,"&gt;-1E+300",dFlt1,critFlt1,dFlt2,critFlt2,dFlt3,critFlt3))</f>
        <v/>
      </c>
      <c r="E581" t="str">
        <f>IF($B581="","",SUMIFS(dQty,dCust,$B581,dPer,"&gt;="&amp;pyFrom,dPer,"&lt;="&amp;pyTo,dQty,"&gt;-1E+300",dFlt1,critFlt1,dFlt2,critFlt2,dFlt3,critFlt3))</f>
        <v/>
      </c>
      <c r="F581" t="str">
        <f>IF($B581="","",SUMIFS(dQty,dCust,$B581,dPer,"&gt;="&amp;cyFrom,dPer,"&lt;="&amp;cyTo,dQty,"&gt;-1E+300",dFlt1,critFlt1,dFlt2,critFlt2,dFlt3,critFlt3))</f>
        <v/>
      </c>
      <c r="G581">
        <f>IF($B581="",0,IFERROR(IF(OR(C581&lt;&gt;0,D581&lt;&gt;0,E581&lt;&gt;0,F581&lt;&gt;0),1,0),1))</f>
        <v>0</v>
      </c>
      <c r="H581" t="str">
        <f>IF(OR(G581=0,E581=0),"",C581/E581)</f>
        <v/>
      </c>
      <c r="I581" t="str">
        <f>IF(OR(G581=0,F581=0),"",D581/F581)</f>
        <v/>
      </c>
      <c r="J581" t="str">
        <f>IF(OR(H581="",I581=""),"",IF(H581=0,"",I581/H581-1))</f>
        <v/>
      </c>
      <c r="K581" t="str">
        <f>IF($B581="","",IFERROR(IF(G581=0,-2E+300,CHOOSE(sortIdx,ROUND(D581,0),IF(J581="",-1E+300,ROUND(-J581,6)),IF(J581="",-1E+300,ROUND(J581,6)))),-1.5E+300))</f>
        <v/>
      </c>
      <c r="L581" t="str">
        <f>IF(K581="","",RANK(K581,$K$2:$K$3001,0)+COUNTIF($K$2:K581,K581)-1)</f>
        <v/>
      </c>
    </row>
    <row r="582">
      <c r="B582" t="str">
        <f>IFERROR(IF(A582="","","="&amp;SUBSTITUTE(SUBSTITUTE(SUBSTITUTE(A582,"~","~~"),"*","~*"),"?","~?")),"")</f>
        <v/>
      </c>
      <c r="C582" t="str">
        <f>IF($B582="","",SUMIFS(dAmt,dCust,$B582,dPer,"&gt;="&amp;pyFrom,dPer,"&lt;="&amp;pyTo,dAmt,"&gt;-1E+300",dFlt1,critFlt1,dFlt2,critFlt2,dFlt3,critFlt3))</f>
        <v/>
      </c>
      <c r="D582" t="str">
        <f>IF($B582="","",SUMIFS(dAmt,dCust,$B582,dPer,"&gt;="&amp;cyFrom,dPer,"&lt;="&amp;cyTo,dAmt,"&gt;-1E+300",dFlt1,critFlt1,dFlt2,critFlt2,dFlt3,critFlt3))</f>
        <v/>
      </c>
      <c r="E582" t="str">
        <f>IF($B582="","",SUMIFS(dQty,dCust,$B582,dPer,"&gt;="&amp;pyFrom,dPer,"&lt;="&amp;pyTo,dQty,"&gt;-1E+300",dFlt1,critFlt1,dFlt2,critFlt2,dFlt3,critFlt3))</f>
        <v/>
      </c>
      <c r="F582" t="str">
        <f>IF($B582="","",SUMIFS(dQty,dCust,$B582,dPer,"&gt;="&amp;cyFrom,dPer,"&lt;="&amp;cyTo,dQty,"&gt;-1E+300",dFlt1,critFlt1,dFlt2,critFlt2,dFlt3,critFlt3))</f>
        <v/>
      </c>
      <c r="G582">
        <f>IF($B582="",0,IFERROR(IF(OR(C582&lt;&gt;0,D582&lt;&gt;0,E582&lt;&gt;0,F582&lt;&gt;0),1,0),1))</f>
        <v>0</v>
      </c>
      <c r="H582" t="str">
        <f>IF(OR(G582=0,E582=0),"",C582/E582)</f>
        <v/>
      </c>
      <c r="I582" t="str">
        <f>IF(OR(G582=0,F582=0),"",D582/F582)</f>
        <v/>
      </c>
      <c r="J582" t="str">
        <f>IF(OR(H582="",I582=""),"",IF(H582=0,"",I582/H582-1))</f>
        <v/>
      </c>
      <c r="K582" t="str">
        <f>IF($B582="","",IFERROR(IF(G582=0,-2E+300,CHOOSE(sortIdx,ROUND(D582,0),IF(J582="",-1E+300,ROUND(-J582,6)),IF(J582="",-1E+300,ROUND(J582,6)))),-1.5E+300))</f>
        <v/>
      </c>
      <c r="L582" t="str">
        <f>IF(K582="","",RANK(K582,$K$2:$K$3001,0)+COUNTIF($K$2:K582,K582)-1)</f>
        <v/>
      </c>
    </row>
    <row r="583">
      <c r="B583" t="str">
        <f>IFERROR(IF(A583="","","="&amp;SUBSTITUTE(SUBSTITUTE(SUBSTITUTE(A583,"~","~~"),"*","~*"),"?","~?")),"")</f>
        <v/>
      </c>
      <c r="C583" t="str">
        <f>IF($B583="","",SUMIFS(dAmt,dCust,$B583,dPer,"&gt;="&amp;pyFrom,dPer,"&lt;="&amp;pyTo,dAmt,"&gt;-1E+300",dFlt1,critFlt1,dFlt2,critFlt2,dFlt3,critFlt3))</f>
        <v/>
      </c>
      <c r="D583" t="str">
        <f>IF($B583="","",SUMIFS(dAmt,dCust,$B583,dPer,"&gt;="&amp;cyFrom,dPer,"&lt;="&amp;cyTo,dAmt,"&gt;-1E+300",dFlt1,critFlt1,dFlt2,critFlt2,dFlt3,critFlt3))</f>
        <v/>
      </c>
      <c r="E583" t="str">
        <f>IF($B583="","",SUMIFS(dQty,dCust,$B583,dPer,"&gt;="&amp;pyFrom,dPer,"&lt;="&amp;pyTo,dQty,"&gt;-1E+300",dFlt1,critFlt1,dFlt2,critFlt2,dFlt3,critFlt3))</f>
        <v/>
      </c>
      <c r="F583" t="str">
        <f>IF($B583="","",SUMIFS(dQty,dCust,$B583,dPer,"&gt;="&amp;cyFrom,dPer,"&lt;="&amp;cyTo,dQty,"&gt;-1E+300",dFlt1,critFlt1,dFlt2,critFlt2,dFlt3,critFlt3))</f>
        <v/>
      </c>
      <c r="G583">
        <f>IF($B583="",0,IFERROR(IF(OR(C583&lt;&gt;0,D583&lt;&gt;0,E583&lt;&gt;0,F583&lt;&gt;0),1,0),1))</f>
        <v>0</v>
      </c>
      <c r="H583" t="str">
        <f>IF(OR(G583=0,E583=0),"",C583/E583)</f>
        <v/>
      </c>
      <c r="I583" t="str">
        <f>IF(OR(G583=0,F583=0),"",D583/F583)</f>
        <v/>
      </c>
      <c r="J583" t="str">
        <f>IF(OR(H583="",I583=""),"",IF(H583=0,"",I583/H583-1))</f>
        <v/>
      </c>
      <c r="K583" t="str">
        <f>IF($B583="","",IFERROR(IF(G583=0,-2E+300,CHOOSE(sortIdx,ROUND(D583,0),IF(J583="",-1E+300,ROUND(-J583,6)),IF(J583="",-1E+300,ROUND(J583,6)))),-1.5E+300))</f>
        <v/>
      </c>
      <c r="L583" t="str">
        <f>IF(K583="","",RANK(K583,$K$2:$K$3001,0)+COUNTIF($K$2:K583,K583)-1)</f>
        <v/>
      </c>
    </row>
    <row r="584">
      <c r="B584" t="str">
        <f>IFERROR(IF(A584="","","="&amp;SUBSTITUTE(SUBSTITUTE(SUBSTITUTE(A584,"~","~~"),"*","~*"),"?","~?")),"")</f>
        <v/>
      </c>
      <c r="C584" t="str">
        <f>IF($B584="","",SUMIFS(dAmt,dCust,$B584,dPer,"&gt;="&amp;pyFrom,dPer,"&lt;="&amp;pyTo,dAmt,"&gt;-1E+300",dFlt1,critFlt1,dFlt2,critFlt2,dFlt3,critFlt3))</f>
        <v/>
      </c>
      <c r="D584" t="str">
        <f>IF($B584="","",SUMIFS(dAmt,dCust,$B584,dPer,"&gt;="&amp;cyFrom,dPer,"&lt;="&amp;cyTo,dAmt,"&gt;-1E+300",dFlt1,critFlt1,dFlt2,critFlt2,dFlt3,critFlt3))</f>
        <v/>
      </c>
      <c r="E584" t="str">
        <f>IF($B584="","",SUMIFS(dQty,dCust,$B584,dPer,"&gt;="&amp;pyFrom,dPer,"&lt;="&amp;pyTo,dQty,"&gt;-1E+300",dFlt1,critFlt1,dFlt2,critFlt2,dFlt3,critFlt3))</f>
        <v/>
      </c>
      <c r="F584" t="str">
        <f>IF($B584="","",SUMIFS(dQty,dCust,$B584,dPer,"&gt;="&amp;cyFrom,dPer,"&lt;="&amp;cyTo,dQty,"&gt;-1E+300",dFlt1,critFlt1,dFlt2,critFlt2,dFlt3,critFlt3))</f>
        <v/>
      </c>
      <c r="G584">
        <f>IF($B584="",0,IFERROR(IF(OR(C584&lt;&gt;0,D584&lt;&gt;0,E584&lt;&gt;0,F584&lt;&gt;0),1,0),1))</f>
        <v>0</v>
      </c>
      <c r="H584" t="str">
        <f>IF(OR(G584=0,E584=0),"",C584/E584)</f>
        <v/>
      </c>
      <c r="I584" t="str">
        <f>IF(OR(G584=0,F584=0),"",D584/F584)</f>
        <v/>
      </c>
      <c r="J584" t="str">
        <f>IF(OR(H584="",I584=""),"",IF(H584=0,"",I584/H584-1))</f>
        <v/>
      </c>
      <c r="K584" t="str">
        <f>IF($B584="","",IFERROR(IF(G584=0,-2E+300,CHOOSE(sortIdx,ROUND(D584,0),IF(J584="",-1E+300,ROUND(-J584,6)),IF(J584="",-1E+300,ROUND(J584,6)))),-1.5E+300))</f>
        <v/>
      </c>
      <c r="L584" t="str">
        <f>IF(K584="","",RANK(K584,$K$2:$K$3001,0)+COUNTIF($K$2:K584,K584)-1)</f>
        <v/>
      </c>
    </row>
    <row r="585">
      <c r="B585" t="str">
        <f>IFERROR(IF(A585="","","="&amp;SUBSTITUTE(SUBSTITUTE(SUBSTITUTE(A585,"~","~~"),"*","~*"),"?","~?")),"")</f>
        <v/>
      </c>
      <c r="C585" t="str">
        <f>IF($B585="","",SUMIFS(dAmt,dCust,$B585,dPer,"&gt;="&amp;pyFrom,dPer,"&lt;="&amp;pyTo,dAmt,"&gt;-1E+300",dFlt1,critFlt1,dFlt2,critFlt2,dFlt3,critFlt3))</f>
        <v/>
      </c>
      <c r="D585" t="str">
        <f>IF($B585="","",SUMIFS(dAmt,dCust,$B585,dPer,"&gt;="&amp;cyFrom,dPer,"&lt;="&amp;cyTo,dAmt,"&gt;-1E+300",dFlt1,critFlt1,dFlt2,critFlt2,dFlt3,critFlt3))</f>
        <v/>
      </c>
      <c r="E585" t="str">
        <f>IF($B585="","",SUMIFS(dQty,dCust,$B585,dPer,"&gt;="&amp;pyFrom,dPer,"&lt;="&amp;pyTo,dQty,"&gt;-1E+300",dFlt1,critFlt1,dFlt2,critFlt2,dFlt3,critFlt3))</f>
        <v/>
      </c>
      <c r="F585" t="str">
        <f>IF($B585="","",SUMIFS(dQty,dCust,$B585,dPer,"&gt;="&amp;cyFrom,dPer,"&lt;="&amp;cyTo,dQty,"&gt;-1E+300",dFlt1,critFlt1,dFlt2,critFlt2,dFlt3,critFlt3))</f>
        <v/>
      </c>
      <c r="G585">
        <f>IF($B585="",0,IFERROR(IF(OR(C585&lt;&gt;0,D585&lt;&gt;0,E585&lt;&gt;0,F585&lt;&gt;0),1,0),1))</f>
        <v>0</v>
      </c>
      <c r="H585" t="str">
        <f>IF(OR(G585=0,E585=0),"",C585/E585)</f>
        <v/>
      </c>
      <c r="I585" t="str">
        <f>IF(OR(G585=0,F585=0),"",D585/F585)</f>
        <v/>
      </c>
      <c r="J585" t="str">
        <f>IF(OR(H585="",I585=""),"",IF(H585=0,"",I585/H585-1))</f>
        <v/>
      </c>
      <c r="K585" t="str">
        <f>IF($B585="","",IFERROR(IF(G585=0,-2E+300,CHOOSE(sortIdx,ROUND(D585,0),IF(J585="",-1E+300,ROUND(-J585,6)),IF(J585="",-1E+300,ROUND(J585,6)))),-1.5E+300))</f>
        <v/>
      </c>
      <c r="L585" t="str">
        <f>IF(K585="","",RANK(K585,$K$2:$K$3001,0)+COUNTIF($K$2:K585,K585)-1)</f>
        <v/>
      </c>
    </row>
    <row r="586">
      <c r="B586" t="str">
        <f>IFERROR(IF(A586="","","="&amp;SUBSTITUTE(SUBSTITUTE(SUBSTITUTE(A586,"~","~~"),"*","~*"),"?","~?")),"")</f>
        <v/>
      </c>
      <c r="C586" t="str">
        <f>IF($B586="","",SUMIFS(dAmt,dCust,$B586,dPer,"&gt;="&amp;pyFrom,dPer,"&lt;="&amp;pyTo,dAmt,"&gt;-1E+300",dFlt1,critFlt1,dFlt2,critFlt2,dFlt3,critFlt3))</f>
        <v/>
      </c>
      <c r="D586" t="str">
        <f>IF($B586="","",SUMIFS(dAmt,dCust,$B586,dPer,"&gt;="&amp;cyFrom,dPer,"&lt;="&amp;cyTo,dAmt,"&gt;-1E+300",dFlt1,critFlt1,dFlt2,critFlt2,dFlt3,critFlt3))</f>
        <v/>
      </c>
      <c r="E586" t="str">
        <f>IF($B586="","",SUMIFS(dQty,dCust,$B586,dPer,"&gt;="&amp;pyFrom,dPer,"&lt;="&amp;pyTo,dQty,"&gt;-1E+300",dFlt1,critFlt1,dFlt2,critFlt2,dFlt3,critFlt3))</f>
        <v/>
      </c>
      <c r="F586" t="str">
        <f>IF($B586="","",SUMIFS(dQty,dCust,$B586,dPer,"&gt;="&amp;cyFrom,dPer,"&lt;="&amp;cyTo,dQty,"&gt;-1E+300",dFlt1,critFlt1,dFlt2,critFlt2,dFlt3,critFlt3))</f>
        <v/>
      </c>
      <c r="G586">
        <f>IF($B586="",0,IFERROR(IF(OR(C586&lt;&gt;0,D586&lt;&gt;0,E586&lt;&gt;0,F586&lt;&gt;0),1,0),1))</f>
        <v>0</v>
      </c>
      <c r="H586" t="str">
        <f>IF(OR(G586=0,E586=0),"",C586/E586)</f>
        <v/>
      </c>
      <c r="I586" t="str">
        <f>IF(OR(G586=0,F586=0),"",D586/F586)</f>
        <v/>
      </c>
      <c r="J586" t="str">
        <f>IF(OR(H586="",I586=""),"",IF(H586=0,"",I586/H586-1))</f>
        <v/>
      </c>
      <c r="K586" t="str">
        <f>IF($B586="","",IFERROR(IF(G586=0,-2E+300,CHOOSE(sortIdx,ROUND(D586,0),IF(J586="",-1E+300,ROUND(-J586,6)),IF(J586="",-1E+300,ROUND(J586,6)))),-1.5E+300))</f>
        <v/>
      </c>
      <c r="L586" t="str">
        <f>IF(K586="","",RANK(K586,$K$2:$K$3001,0)+COUNTIF($K$2:K586,K586)-1)</f>
        <v/>
      </c>
    </row>
    <row r="587">
      <c r="B587" t="str">
        <f>IFERROR(IF(A587="","","="&amp;SUBSTITUTE(SUBSTITUTE(SUBSTITUTE(A587,"~","~~"),"*","~*"),"?","~?")),"")</f>
        <v/>
      </c>
      <c r="C587" t="str">
        <f>IF($B587="","",SUMIFS(dAmt,dCust,$B587,dPer,"&gt;="&amp;pyFrom,dPer,"&lt;="&amp;pyTo,dAmt,"&gt;-1E+300",dFlt1,critFlt1,dFlt2,critFlt2,dFlt3,critFlt3))</f>
        <v/>
      </c>
      <c r="D587" t="str">
        <f>IF($B587="","",SUMIFS(dAmt,dCust,$B587,dPer,"&gt;="&amp;cyFrom,dPer,"&lt;="&amp;cyTo,dAmt,"&gt;-1E+300",dFlt1,critFlt1,dFlt2,critFlt2,dFlt3,critFlt3))</f>
        <v/>
      </c>
      <c r="E587" t="str">
        <f>IF($B587="","",SUMIFS(dQty,dCust,$B587,dPer,"&gt;="&amp;pyFrom,dPer,"&lt;="&amp;pyTo,dQty,"&gt;-1E+300",dFlt1,critFlt1,dFlt2,critFlt2,dFlt3,critFlt3))</f>
        <v/>
      </c>
      <c r="F587" t="str">
        <f>IF($B587="","",SUMIFS(dQty,dCust,$B587,dPer,"&gt;="&amp;cyFrom,dPer,"&lt;="&amp;cyTo,dQty,"&gt;-1E+300",dFlt1,critFlt1,dFlt2,critFlt2,dFlt3,critFlt3))</f>
        <v/>
      </c>
      <c r="G587">
        <f>IF($B587="",0,IFERROR(IF(OR(C587&lt;&gt;0,D587&lt;&gt;0,E587&lt;&gt;0,F587&lt;&gt;0),1,0),1))</f>
        <v>0</v>
      </c>
      <c r="H587" t="str">
        <f>IF(OR(G587=0,E587=0),"",C587/E587)</f>
        <v/>
      </c>
      <c r="I587" t="str">
        <f>IF(OR(G587=0,F587=0),"",D587/F587)</f>
        <v/>
      </c>
      <c r="J587" t="str">
        <f>IF(OR(H587="",I587=""),"",IF(H587=0,"",I587/H587-1))</f>
        <v/>
      </c>
      <c r="K587" t="str">
        <f>IF($B587="","",IFERROR(IF(G587=0,-2E+300,CHOOSE(sortIdx,ROUND(D587,0),IF(J587="",-1E+300,ROUND(-J587,6)),IF(J587="",-1E+300,ROUND(J587,6)))),-1.5E+300))</f>
        <v/>
      </c>
      <c r="L587" t="str">
        <f>IF(K587="","",RANK(K587,$K$2:$K$3001,0)+COUNTIF($K$2:K587,K587)-1)</f>
        <v/>
      </c>
    </row>
    <row r="588">
      <c r="B588" t="str">
        <f>IFERROR(IF(A588="","","="&amp;SUBSTITUTE(SUBSTITUTE(SUBSTITUTE(A588,"~","~~"),"*","~*"),"?","~?")),"")</f>
        <v/>
      </c>
      <c r="C588" t="str">
        <f>IF($B588="","",SUMIFS(dAmt,dCust,$B588,dPer,"&gt;="&amp;pyFrom,dPer,"&lt;="&amp;pyTo,dAmt,"&gt;-1E+300",dFlt1,critFlt1,dFlt2,critFlt2,dFlt3,critFlt3))</f>
        <v/>
      </c>
      <c r="D588" t="str">
        <f>IF($B588="","",SUMIFS(dAmt,dCust,$B588,dPer,"&gt;="&amp;cyFrom,dPer,"&lt;="&amp;cyTo,dAmt,"&gt;-1E+300",dFlt1,critFlt1,dFlt2,critFlt2,dFlt3,critFlt3))</f>
        <v/>
      </c>
      <c r="E588" t="str">
        <f>IF($B588="","",SUMIFS(dQty,dCust,$B588,dPer,"&gt;="&amp;pyFrom,dPer,"&lt;="&amp;pyTo,dQty,"&gt;-1E+300",dFlt1,critFlt1,dFlt2,critFlt2,dFlt3,critFlt3))</f>
        <v/>
      </c>
      <c r="F588" t="str">
        <f>IF($B588="","",SUMIFS(dQty,dCust,$B588,dPer,"&gt;="&amp;cyFrom,dPer,"&lt;="&amp;cyTo,dQty,"&gt;-1E+300",dFlt1,critFlt1,dFlt2,critFlt2,dFlt3,critFlt3))</f>
        <v/>
      </c>
      <c r="G588">
        <f>IF($B588="",0,IFERROR(IF(OR(C588&lt;&gt;0,D588&lt;&gt;0,E588&lt;&gt;0,F588&lt;&gt;0),1,0),1))</f>
        <v>0</v>
      </c>
      <c r="H588" t="str">
        <f>IF(OR(G588=0,E588=0),"",C588/E588)</f>
        <v/>
      </c>
      <c r="I588" t="str">
        <f>IF(OR(G588=0,F588=0),"",D588/F588)</f>
        <v/>
      </c>
      <c r="J588" t="str">
        <f>IF(OR(H588="",I588=""),"",IF(H588=0,"",I588/H588-1))</f>
        <v/>
      </c>
      <c r="K588" t="str">
        <f>IF($B588="","",IFERROR(IF(G588=0,-2E+300,CHOOSE(sortIdx,ROUND(D588,0),IF(J588="",-1E+300,ROUND(-J588,6)),IF(J588="",-1E+300,ROUND(J588,6)))),-1.5E+300))</f>
        <v/>
      </c>
      <c r="L588" t="str">
        <f>IF(K588="","",RANK(K588,$K$2:$K$3001,0)+COUNTIF($K$2:K588,K588)-1)</f>
        <v/>
      </c>
    </row>
    <row r="589">
      <c r="B589" t="str">
        <f>IFERROR(IF(A589="","","="&amp;SUBSTITUTE(SUBSTITUTE(SUBSTITUTE(A589,"~","~~"),"*","~*"),"?","~?")),"")</f>
        <v/>
      </c>
      <c r="C589" t="str">
        <f>IF($B589="","",SUMIFS(dAmt,dCust,$B589,dPer,"&gt;="&amp;pyFrom,dPer,"&lt;="&amp;pyTo,dAmt,"&gt;-1E+300",dFlt1,critFlt1,dFlt2,critFlt2,dFlt3,critFlt3))</f>
        <v/>
      </c>
      <c r="D589" t="str">
        <f>IF($B589="","",SUMIFS(dAmt,dCust,$B589,dPer,"&gt;="&amp;cyFrom,dPer,"&lt;="&amp;cyTo,dAmt,"&gt;-1E+300",dFlt1,critFlt1,dFlt2,critFlt2,dFlt3,critFlt3))</f>
        <v/>
      </c>
      <c r="E589" t="str">
        <f>IF($B589="","",SUMIFS(dQty,dCust,$B589,dPer,"&gt;="&amp;pyFrom,dPer,"&lt;="&amp;pyTo,dQty,"&gt;-1E+300",dFlt1,critFlt1,dFlt2,critFlt2,dFlt3,critFlt3))</f>
        <v/>
      </c>
      <c r="F589" t="str">
        <f>IF($B589="","",SUMIFS(dQty,dCust,$B589,dPer,"&gt;="&amp;cyFrom,dPer,"&lt;="&amp;cyTo,dQty,"&gt;-1E+300",dFlt1,critFlt1,dFlt2,critFlt2,dFlt3,critFlt3))</f>
        <v/>
      </c>
      <c r="G589">
        <f>IF($B589="",0,IFERROR(IF(OR(C589&lt;&gt;0,D589&lt;&gt;0,E589&lt;&gt;0,F589&lt;&gt;0),1,0),1))</f>
        <v>0</v>
      </c>
      <c r="H589" t="str">
        <f>IF(OR(G589=0,E589=0),"",C589/E589)</f>
        <v/>
      </c>
      <c r="I589" t="str">
        <f>IF(OR(G589=0,F589=0),"",D589/F589)</f>
        <v/>
      </c>
      <c r="J589" t="str">
        <f>IF(OR(H589="",I589=""),"",IF(H589=0,"",I589/H589-1))</f>
        <v/>
      </c>
      <c r="K589" t="str">
        <f>IF($B589="","",IFERROR(IF(G589=0,-2E+300,CHOOSE(sortIdx,ROUND(D589,0),IF(J589="",-1E+300,ROUND(-J589,6)),IF(J589="",-1E+300,ROUND(J589,6)))),-1.5E+300))</f>
        <v/>
      </c>
      <c r="L589" t="str">
        <f>IF(K589="","",RANK(K589,$K$2:$K$3001,0)+COUNTIF($K$2:K589,K589)-1)</f>
        <v/>
      </c>
    </row>
    <row r="590">
      <c r="B590" t="str">
        <f>IFERROR(IF(A590="","","="&amp;SUBSTITUTE(SUBSTITUTE(SUBSTITUTE(A590,"~","~~"),"*","~*"),"?","~?")),"")</f>
        <v/>
      </c>
      <c r="C590" t="str">
        <f>IF($B590="","",SUMIFS(dAmt,dCust,$B590,dPer,"&gt;="&amp;pyFrom,dPer,"&lt;="&amp;pyTo,dAmt,"&gt;-1E+300",dFlt1,critFlt1,dFlt2,critFlt2,dFlt3,critFlt3))</f>
        <v/>
      </c>
      <c r="D590" t="str">
        <f>IF($B590="","",SUMIFS(dAmt,dCust,$B590,dPer,"&gt;="&amp;cyFrom,dPer,"&lt;="&amp;cyTo,dAmt,"&gt;-1E+300",dFlt1,critFlt1,dFlt2,critFlt2,dFlt3,critFlt3))</f>
        <v/>
      </c>
      <c r="E590" t="str">
        <f>IF($B590="","",SUMIFS(dQty,dCust,$B590,dPer,"&gt;="&amp;pyFrom,dPer,"&lt;="&amp;pyTo,dQty,"&gt;-1E+300",dFlt1,critFlt1,dFlt2,critFlt2,dFlt3,critFlt3))</f>
        <v/>
      </c>
      <c r="F590" t="str">
        <f>IF($B590="","",SUMIFS(dQty,dCust,$B590,dPer,"&gt;="&amp;cyFrom,dPer,"&lt;="&amp;cyTo,dQty,"&gt;-1E+300",dFlt1,critFlt1,dFlt2,critFlt2,dFlt3,critFlt3))</f>
        <v/>
      </c>
      <c r="G590">
        <f>IF($B590="",0,IFERROR(IF(OR(C590&lt;&gt;0,D590&lt;&gt;0,E590&lt;&gt;0,F590&lt;&gt;0),1,0),1))</f>
        <v>0</v>
      </c>
      <c r="H590" t="str">
        <f>IF(OR(G590=0,E590=0),"",C590/E590)</f>
        <v/>
      </c>
      <c r="I590" t="str">
        <f>IF(OR(G590=0,F590=0),"",D590/F590)</f>
        <v/>
      </c>
      <c r="J590" t="str">
        <f>IF(OR(H590="",I590=""),"",IF(H590=0,"",I590/H590-1))</f>
        <v/>
      </c>
      <c r="K590" t="str">
        <f>IF($B590="","",IFERROR(IF(G590=0,-2E+300,CHOOSE(sortIdx,ROUND(D590,0),IF(J590="",-1E+300,ROUND(-J590,6)),IF(J590="",-1E+300,ROUND(J590,6)))),-1.5E+300))</f>
        <v/>
      </c>
      <c r="L590" t="str">
        <f>IF(K590="","",RANK(K590,$K$2:$K$3001,0)+COUNTIF($K$2:K590,K590)-1)</f>
        <v/>
      </c>
    </row>
    <row r="591">
      <c r="B591" t="str">
        <f>IFERROR(IF(A591="","","="&amp;SUBSTITUTE(SUBSTITUTE(SUBSTITUTE(A591,"~","~~"),"*","~*"),"?","~?")),"")</f>
        <v/>
      </c>
      <c r="C591" t="str">
        <f>IF($B591="","",SUMIFS(dAmt,dCust,$B591,dPer,"&gt;="&amp;pyFrom,dPer,"&lt;="&amp;pyTo,dAmt,"&gt;-1E+300",dFlt1,critFlt1,dFlt2,critFlt2,dFlt3,critFlt3))</f>
        <v/>
      </c>
      <c r="D591" t="str">
        <f>IF($B591="","",SUMIFS(dAmt,dCust,$B591,dPer,"&gt;="&amp;cyFrom,dPer,"&lt;="&amp;cyTo,dAmt,"&gt;-1E+300",dFlt1,critFlt1,dFlt2,critFlt2,dFlt3,critFlt3))</f>
        <v/>
      </c>
      <c r="E591" t="str">
        <f>IF($B591="","",SUMIFS(dQty,dCust,$B591,dPer,"&gt;="&amp;pyFrom,dPer,"&lt;="&amp;pyTo,dQty,"&gt;-1E+300",dFlt1,critFlt1,dFlt2,critFlt2,dFlt3,critFlt3))</f>
        <v/>
      </c>
      <c r="F591" t="str">
        <f>IF($B591="","",SUMIFS(dQty,dCust,$B591,dPer,"&gt;="&amp;cyFrom,dPer,"&lt;="&amp;cyTo,dQty,"&gt;-1E+300",dFlt1,critFlt1,dFlt2,critFlt2,dFlt3,critFlt3))</f>
        <v/>
      </c>
      <c r="G591">
        <f>IF($B591="",0,IFERROR(IF(OR(C591&lt;&gt;0,D591&lt;&gt;0,E591&lt;&gt;0,F591&lt;&gt;0),1,0),1))</f>
        <v>0</v>
      </c>
      <c r="H591" t="str">
        <f>IF(OR(G591=0,E591=0),"",C591/E591)</f>
        <v/>
      </c>
      <c r="I591" t="str">
        <f>IF(OR(G591=0,F591=0),"",D591/F591)</f>
        <v/>
      </c>
      <c r="J591" t="str">
        <f>IF(OR(H591="",I591=""),"",IF(H591=0,"",I591/H591-1))</f>
        <v/>
      </c>
      <c r="K591" t="str">
        <f>IF($B591="","",IFERROR(IF(G591=0,-2E+300,CHOOSE(sortIdx,ROUND(D591,0),IF(J591="",-1E+300,ROUND(-J591,6)),IF(J591="",-1E+300,ROUND(J591,6)))),-1.5E+300))</f>
        <v/>
      </c>
      <c r="L591" t="str">
        <f>IF(K591="","",RANK(K591,$K$2:$K$3001,0)+COUNTIF($K$2:K591,K591)-1)</f>
        <v/>
      </c>
    </row>
    <row r="592">
      <c r="B592" t="str">
        <f>IFERROR(IF(A592="","","="&amp;SUBSTITUTE(SUBSTITUTE(SUBSTITUTE(A592,"~","~~"),"*","~*"),"?","~?")),"")</f>
        <v/>
      </c>
      <c r="C592" t="str">
        <f>IF($B592="","",SUMIFS(dAmt,dCust,$B592,dPer,"&gt;="&amp;pyFrom,dPer,"&lt;="&amp;pyTo,dAmt,"&gt;-1E+300",dFlt1,critFlt1,dFlt2,critFlt2,dFlt3,critFlt3))</f>
        <v/>
      </c>
      <c r="D592" t="str">
        <f>IF($B592="","",SUMIFS(dAmt,dCust,$B592,dPer,"&gt;="&amp;cyFrom,dPer,"&lt;="&amp;cyTo,dAmt,"&gt;-1E+300",dFlt1,critFlt1,dFlt2,critFlt2,dFlt3,critFlt3))</f>
        <v/>
      </c>
      <c r="E592" t="str">
        <f>IF($B592="","",SUMIFS(dQty,dCust,$B592,dPer,"&gt;="&amp;pyFrom,dPer,"&lt;="&amp;pyTo,dQty,"&gt;-1E+300",dFlt1,critFlt1,dFlt2,critFlt2,dFlt3,critFlt3))</f>
        <v/>
      </c>
      <c r="F592" t="str">
        <f>IF($B592="","",SUMIFS(dQty,dCust,$B592,dPer,"&gt;="&amp;cyFrom,dPer,"&lt;="&amp;cyTo,dQty,"&gt;-1E+300",dFlt1,critFlt1,dFlt2,critFlt2,dFlt3,critFlt3))</f>
        <v/>
      </c>
      <c r="G592">
        <f>IF($B592="",0,IFERROR(IF(OR(C592&lt;&gt;0,D592&lt;&gt;0,E592&lt;&gt;0,F592&lt;&gt;0),1,0),1))</f>
        <v>0</v>
      </c>
      <c r="H592" t="str">
        <f>IF(OR(G592=0,E592=0),"",C592/E592)</f>
        <v/>
      </c>
      <c r="I592" t="str">
        <f>IF(OR(G592=0,F592=0),"",D592/F592)</f>
        <v/>
      </c>
      <c r="J592" t="str">
        <f>IF(OR(H592="",I592=""),"",IF(H592=0,"",I592/H592-1))</f>
        <v/>
      </c>
      <c r="K592" t="str">
        <f>IF($B592="","",IFERROR(IF(G592=0,-2E+300,CHOOSE(sortIdx,ROUND(D592,0),IF(J592="",-1E+300,ROUND(-J592,6)),IF(J592="",-1E+300,ROUND(J592,6)))),-1.5E+300))</f>
        <v/>
      </c>
      <c r="L592" t="str">
        <f>IF(K592="","",RANK(K592,$K$2:$K$3001,0)+COUNTIF($K$2:K592,K592)-1)</f>
        <v/>
      </c>
    </row>
    <row r="593">
      <c r="B593" t="str">
        <f>IFERROR(IF(A593="","","="&amp;SUBSTITUTE(SUBSTITUTE(SUBSTITUTE(A593,"~","~~"),"*","~*"),"?","~?")),"")</f>
        <v/>
      </c>
      <c r="C593" t="str">
        <f>IF($B593="","",SUMIFS(dAmt,dCust,$B593,dPer,"&gt;="&amp;pyFrom,dPer,"&lt;="&amp;pyTo,dAmt,"&gt;-1E+300",dFlt1,critFlt1,dFlt2,critFlt2,dFlt3,critFlt3))</f>
        <v/>
      </c>
      <c r="D593" t="str">
        <f>IF($B593="","",SUMIFS(dAmt,dCust,$B593,dPer,"&gt;="&amp;cyFrom,dPer,"&lt;="&amp;cyTo,dAmt,"&gt;-1E+300",dFlt1,critFlt1,dFlt2,critFlt2,dFlt3,critFlt3))</f>
        <v/>
      </c>
      <c r="E593" t="str">
        <f>IF($B593="","",SUMIFS(dQty,dCust,$B593,dPer,"&gt;="&amp;pyFrom,dPer,"&lt;="&amp;pyTo,dQty,"&gt;-1E+300",dFlt1,critFlt1,dFlt2,critFlt2,dFlt3,critFlt3))</f>
        <v/>
      </c>
      <c r="F593" t="str">
        <f>IF($B593="","",SUMIFS(dQty,dCust,$B593,dPer,"&gt;="&amp;cyFrom,dPer,"&lt;="&amp;cyTo,dQty,"&gt;-1E+300",dFlt1,critFlt1,dFlt2,critFlt2,dFlt3,critFlt3))</f>
        <v/>
      </c>
      <c r="G593">
        <f>IF($B593="",0,IFERROR(IF(OR(C593&lt;&gt;0,D593&lt;&gt;0,E593&lt;&gt;0,F593&lt;&gt;0),1,0),1))</f>
        <v>0</v>
      </c>
      <c r="H593" t="str">
        <f>IF(OR(G593=0,E593=0),"",C593/E593)</f>
        <v/>
      </c>
      <c r="I593" t="str">
        <f>IF(OR(G593=0,F593=0),"",D593/F593)</f>
        <v/>
      </c>
      <c r="J593" t="str">
        <f>IF(OR(H593="",I593=""),"",IF(H593=0,"",I593/H593-1))</f>
        <v/>
      </c>
      <c r="K593" t="str">
        <f>IF($B593="","",IFERROR(IF(G593=0,-2E+300,CHOOSE(sortIdx,ROUND(D593,0),IF(J593="",-1E+300,ROUND(-J593,6)),IF(J593="",-1E+300,ROUND(J593,6)))),-1.5E+300))</f>
        <v/>
      </c>
      <c r="L593" t="str">
        <f>IF(K593="","",RANK(K593,$K$2:$K$3001,0)+COUNTIF($K$2:K593,K593)-1)</f>
        <v/>
      </c>
    </row>
    <row r="594">
      <c r="B594" t="str">
        <f>IFERROR(IF(A594="","","="&amp;SUBSTITUTE(SUBSTITUTE(SUBSTITUTE(A594,"~","~~"),"*","~*"),"?","~?")),"")</f>
        <v/>
      </c>
      <c r="C594" t="str">
        <f>IF($B594="","",SUMIFS(dAmt,dCust,$B594,dPer,"&gt;="&amp;pyFrom,dPer,"&lt;="&amp;pyTo,dAmt,"&gt;-1E+300",dFlt1,critFlt1,dFlt2,critFlt2,dFlt3,critFlt3))</f>
        <v/>
      </c>
      <c r="D594" t="str">
        <f>IF($B594="","",SUMIFS(dAmt,dCust,$B594,dPer,"&gt;="&amp;cyFrom,dPer,"&lt;="&amp;cyTo,dAmt,"&gt;-1E+300",dFlt1,critFlt1,dFlt2,critFlt2,dFlt3,critFlt3))</f>
        <v/>
      </c>
      <c r="E594" t="str">
        <f>IF($B594="","",SUMIFS(dQty,dCust,$B594,dPer,"&gt;="&amp;pyFrom,dPer,"&lt;="&amp;pyTo,dQty,"&gt;-1E+300",dFlt1,critFlt1,dFlt2,critFlt2,dFlt3,critFlt3))</f>
        <v/>
      </c>
      <c r="F594" t="str">
        <f>IF($B594="","",SUMIFS(dQty,dCust,$B594,dPer,"&gt;="&amp;cyFrom,dPer,"&lt;="&amp;cyTo,dQty,"&gt;-1E+300",dFlt1,critFlt1,dFlt2,critFlt2,dFlt3,critFlt3))</f>
        <v/>
      </c>
      <c r="G594">
        <f>IF($B594="",0,IFERROR(IF(OR(C594&lt;&gt;0,D594&lt;&gt;0,E594&lt;&gt;0,F594&lt;&gt;0),1,0),1))</f>
        <v>0</v>
      </c>
      <c r="H594" t="str">
        <f>IF(OR(G594=0,E594=0),"",C594/E594)</f>
        <v/>
      </c>
      <c r="I594" t="str">
        <f>IF(OR(G594=0,F594=0),"",D594/F594)</f>
        <v/>
      </c>
      <c r="J594" t="str">
        <f>IF(OR(H594="",I594=""),"",IF(H594=0,"",I594/H594-1))</f>
        <v/>
      </c>
      <c r="K594" t="str">
        <f>IF($B594="","",IFERROR(IF(G594=0,-2E+300,CHOOSE(sortIdx,ROUND(D594,0),IF(J594="",-1E+300,ROUND(-J594,6)),IF(J594="",-1E+300,ROUND(J594,6)))),-1.5E+300))</f>
        <v/>
      </c>
      <c r="L594" t="str">
        <f>IF(K594="","",RANK(K594,$K$2:$K$3001,0)+COUNTIF($K$2:K594,K594)-1)</f>
        <v/>
      </c>
    </row>
    <row r="595">
      <c r="B595" t="str">
        <f>IFERROR(IF(A595="","","="&amp;SUBSTITUTE(SUBSTITUTE(SUBSTITUTE(A595,"~","~~"),"*","~*"),"?","~?")),"")</f>
        <v/>
      </c>
      <c r="C595" t="str">
        <f>IF($B595="","",SUMIFS(dAmt,dCust,$B595,dPer,"&gt;="&amp;pyFrom,dPer,"&lt;="&amp;pyTo,dAmt,"&gt;-1E+300",dFlt1,critFlt1,dFlt2,critFlt2,dFlt3,critFlt3))</f>
        <v/>
      </c>
      <c r="D595" t="str">
        <f>IF($B595="","",SUMIFS(dAmt,dCust,$B595,dPer,"&gt;="&amp;cyFrom,dPer,"&lt;="&amp;cyTo,dAmt,"&gt;-1E+300",dFlt1,critFlt1,dFlt2,critFlt2,dFlt3,critFlt3))</f>
        <v/>
      </c>
      <c r="E595" t="str">
        <f>IF($B595="","",SUMIFS(dQty,dCust,$B595,dPer,"&gt;="&amp;pyFrom,dPer,"&lt;="&amp;pyTo,dQty,"&gt;-1E+300",dFlt1,critFlt1,dFlt2,critFlt2,dFlt3,critFlt3))</f>
        <v/>
      </c>
      <c r="F595" t="str">
        <f>IF($B595="","",SUMIFS(dQty,dCust,$B595,dPer,"&gt;="&amp;cyFrom,dPer,"&lt;="&amp;cyTo,dQty,"&gt;-1E+300",dFlt1,critFlt1,dFlt2,critFlt2,dFlt3,critFlt3))</f>
        <v/>
      </c>
      <c r="G595">
        <f>IF($B595="",0,IFERROR(IF(OR(C595&lt;&gt;0,D595&lt;&gt;0,E595&lt;&gt;0,F595&lt;&gt;0),1,0),1))</f>
        <v>0</v>
      </c>
      <c r="H595" t="str">
        <f>IF(OR(G595=0,E595=0),"",C595/E595)</f>
        <v/>
      </c>
      <c r="I595" t="str">
        <f>IF(OR(G595=0,F595=0),"",D595/F595)</f>
        <v/>
      </c>
      <c r="J595" t="str">
        <f>IF(OR(H595="",I595=""),"",IF(H595=0,"",I595/H595-1))</f>
        <v/>
      </c>
      <c r="K595" t="str">
        <f>IF($B595="","",IFERROR(IF(G595=0,-2E+300,CHOOSE(sortIdx,ROUND(D595,0),IF(J595="",-1E+300,ROUND(-J595,6)),IF(J595="",-1E+300,ROUND(J595,6)))),-1.5E+300))</f>
        <v/>
      </c>
      <c r="L595" t="str">
        <f>IF(K595="","",RANK(K595,$K$2:$K$3001,0)+COUNTIF($K$2:K595,K595)-1)</f>
        <v/>
      </c>
    </row>
    <row r="596">
      <c r="B596" t="str">
        <f>IFERROR(IF(A596="","","="&amp;SUBSTITUTE(SUBSTITUTE(SUBSTITUTE(A596,"~","~~"),"*","~*"),"?","~?")),"")</f>
        <v/>
      </c>
      <c r="C596" t="str">
        <f>IF($B596="","",SUMIFS(dAmt,dCust,$B596,dPer,"&gt;="&amp;pyFrom,dPer,"&lt;="&amp;pyTo,dAmt,"&gt;-1E+300",dFlt1,critFlt1,dFlt2,critFlt2,dFlt3,critFlt3))</f>
        <v/>
      </c>
      <c r="D596" t="str">
        <f>IF($B596="","",SUMIFS(dAmt,dCust,$B596,dPer,"&gt;="&amp;cyFrom,dPer,"&lt;="&amp;cyTo,dAmt,"&gt;-1E+300",dFlt1,critFlt1,dFlt2,critFlt2,dFlt3,critFlt3))</f>
        <v/>
      </c>
      <c r="E596" t="str">
        <f>IF($B596="","",SUMIFS(dQty,dCust,$B596,dPer,"&gt;="&amp;pyFrom,dPer,"&lt;="&amp;pyTo,dQty,"&gt;-1E+300",dFlt1,critFlt1,dFlt2,critFlt2,dFlt3,critFlt3))</f>
        <v/>
      </c>
      <c r="F596" t="str">
        <f>IF($B596="","",SUMIFS(dQty,dCust,$B596,dPer,"&gt;="&amp;cyFrom,dPer,"&lt;="&amp;cyTo,dQty,"&gt;-1E+300",dFlt1,critFlt1,dFlt2,critFlt2,dFlt3,critFlt3))</f>
        <v/>
      </c>
      <c r="G596">
        <f>IF($B596="",0,IFERROR(IF(OR(C596&lt;&gt;0,D596&lt;&gt;0,E596&lt;&gt;0,F596&lt;&gt;0),1,0),1))</f>
        <v>0</v>
      </c>
      <c r="H596" t="str">
        <f>IF(OR(G596=0,E596=0),"",C596/E596)</f>
        <v/>
      </c>
      <c r="I596" t="str">
        <f>IF(OR(G596=0,F596=0),"",D596/F596)</f>
        <v/>
      </c>
      <c r="J596" t="str">
        <f>IF(OR(H596="",I596=""),"",IF(H596=0,"",I596/H596-1))</f>
        <v/>
      </c>
      <c r="K596" t="str">
        <f>IF($B596="","",IFERROR(IF(G596=0,-2E+300,CHOOSE(sortIdx,ROUND(D596,0),IF(J596="",-1E+300,ROUND(-J596,6)),IF(J596="",-1E+300,ROUND(J596,6)))),-1.5E+300))</f>
        <v/>
      </c>
      <c r="L596" t="str">
        <f>IF(K596="","",RANK(K596,$K$2:$K$3001,0)+COUNTIF($K$2:K596,K596)-1)</f>
        <v/>
      </c>
    </row>
    <row r="597">
      <c r="B597" t="str">
        <f>IFERROR(IF(A597="","","="&amp;SUBSTITUTE(SUBSTITUTE(SUBSTITUTE(A597,"~","~~"),"*","~*"),"?","~?")),"")</f>
        <v/>
      </c>
      <c r="C597" t="str">
        <f>IF($B597="","",SUMIFS(dAmt,dCust,$B597,dPer,"&gt;="&amp;pyFrom,dPer,"&lt;="&amp;pyTo,dAmt,"&gt;-1E+300",dFlt1,critFlt1,dFlt2,critFlt2,dFlt3,critFlt3))</f>
        <v/>
      </c>
      <c r="D597" t="str">
        <f>IF($B597="","",SUMIFS(dAmt,dCust,$B597,dPer,"&gt;="&amp;cyFrom,dPer,"&lt;="&amp;cyTo,dAmt,"&gt;-1E+300",dFlt1,critFlt1,dFlt2,critFlt2,dFlt3,critFlt3))</f>
        <v/>
      </c>
      <c r="E597" t="str">
        <f>IF($B597="","",SUMIFS(dQty,dCust,$B597,dPer,"&gt;="&amp;pyFrom,dPer,"&lt;="&amp;pyTo,dQty,"&gt;-1E+300",dFlt1,critFlt1,dFlt2,critFlt2,dFlt3,critFlt3))</f>
        <v/>
      </c>
      <c r="F597" t="str">
        <f>IF($B597="","",SUMIFS(dQty,dCust,$B597,dPer,"&gt;="&amp;cyFrom,dPer,"&lt;="&amp;cyTo,dQty,"&gt;-1E+300",dFlt1,critFlt1,dFlt2,critFlt2,dFlt3,critFlt3))</f>
        <v/>
      </c>
      <c r="G597">
        <f>IF($B597="",0,IFERROR(IF(OR(C597&lt;&gt;0,D597&lt;&gt;0,E597&lt;&gt;0,F597&lt;&gt;0),1,0),1))</f>
        <v>0</v>
      </c>
      <c r="H597" t="str">
        <f>IF(OR(G597=0,E597=0),"",C597/E597)</f>
        <v/>
      </c>
      <c r="I597" t="str">
        <f>IF(OR(G597=0,F597=0),"",D597/F597)</f>
        <v/>
      </c>
      <c r="J597" t="str">
        <f>IF(OR(H597="",I597=""),"",IF(H597=0,"",I597/H597-1))</f>
        <v/>
      </c>
      <c r="K597" t="str">
        <f>IF($B597="","",IFERROR(IF(G597=0,-2E+300,CHOOSE(sortIdx,ROUND(D597,0),IF(J597="",-1E+300,ROUND(-J597,6)),IF(J597="",-1E+300,ROUND(J597,6)))),-1.5E+300))</f>
        <v/>
      </c>
      <c r="L597" t="str">
        <f>IF(K597="","",RANK(K597,$K$2:$K$3001,0)+COUNTIF($K$2:K597,K597)-1)</f>
        <v/>
      </c>
    </row>
    <row r="598">
      <c r="B598" t="str">
        <f>IFERROR(IF(A598="","","="&amp;SUBSTITUTE(SUBSTITUTE(SUBSTITUTE(A598,"~","~~"),"*","~*"),"?","~?")),"")</f>
        <v/>
      </c>
      <c r="C598" t="str">
        <f>IF($B598="","",SUMIFS(dAmt,dCust,$B598,dPer,"&gt;="&amp;pyFrom,dPer,"&lt;="&amp;pyTo,dAmt,"&gt;-1E+300",dFlt1,critFlt1,dFlt2,critFlt2,dFlt3,critFlt3))</f>
        <v/>
      </c>
      <c r="D598" t="str">
        <f>IF($B598="","",SUMIFS(dAmt,dCust,$B598,dPer,"&gt;="&amp;cyFrom,dPer,"&lt;="&amp;cyTo,dAmt,"&gt;-1E+300",dFlt1,critFlt1,dFlt2,critFlt2,dFlt3,critFlt3))</f>
        <v/>
      </c>
      <c r="E598" t="str">
        <f>IF($B598="","",SUMIFS(dQty,dCust,$B598,dPer,"&gt;="&amp;pyFrom,dPer,"&lt;="&amp;pyTo,dQty,"&gt;-1E+300",dFlt1,critFlt1,dFlt2,critFlt2,dFlt3,critFlt3))</f>
        <v/>
      </c>
      <c r="F598" t="str">
        <f>IF($B598="","",SUMIFS(dQty,dCust,$B598,dPer,"&gt;="&amp;cyFrom,dPer,"&lt;="&amp;cyTo,dQty,"&gt;-1E+300",dFlt1,critFlt1,dFlt2,critFlt2,dFlt3,critFlt3))</f>
        <v/>
      </c>
      <c r="G598">
        <f>IF($B598="",0,IFERROR(IF(OR(C598&lt;&gt;0,D598&lt;&gt;0,E598&lt;&gt;0,F598&lt;&gt;0),1,0),1))</f>
        <v>0</v>
      </c>
      <c r="H598" t="str">
        <f>IF(OR(G598=0,E598=0),"",C598/E598)</f>
        <v/>
      </c>
      <c r="I598" t="str">
        <f>IF(OR(G598=0,F598=0),"",D598/F598)</f>
        <v/>
      </c>
      <c r="J598" t="str">
        <f>IF(OR(H598="",I598=""),"",IF(H598=0,"",I598/H598-1))</f>
        <v/>
      </c>
      <c r="K598" t="str">
        <f>IF($B598="","",IFERROR(IF(G598=0,-2E+300,CHOOSE(sortIdx,ROUND(D598,0),IF(J598="",-1E+300,ROUND(-J598,6)),IF(J598="",-1E+300,ROUND(J598,6)))),-1.5E+300))</f>
        <v/>
      </c>
      <c r="L598" t="str">
        <f>IF(K598="","",RANK(K598,$K$2:$K$3001,0)+COUNTIF($K$2:K598,K598)-1)</f>
        <v/>
      </c>
    </row>
    <row r="599">
      <c r="B599" t="str">
        <f>IFERROR(IF(A599="","","="&amp;SUBSTITUTE(SUBSTITUTE(SUBSTITUTE(A599,"~","~~"),"*","~*"),"?","~?")),"")</f>
        <v/>
      </c>
      <c r="C599" t="str">
        <f>IF($B599="","",SUMIFS(dAmt,dCust,$B599,dPer,"&gt;="&amp;pyFrom,dPer,"&lt;="&amp;pyTo,dAmt,"&gt;-1E+300",dFlt1,critFlt1,dFlt2,critFlt2,dFlt3,critFlt3))</f>
        <v/>
      </c>
      <c r="D599" t="str">
        <f>IF($B599="","",SUMIFS(dAmt,dCust,$B599,dPer,"&gt;="&amp;cyFrom,dPer,"&lt;="&amp;cyTo,dAmt,"&gt;-1E+300",dFlt1,critFlt1,dFlt2,critFlt2,dFlt3,critFlt3))</f>
        <v/>
      </c>
      <c r="E599" t="str">
        <f>IF($B599="","",SUMIFS(dQty,dCust,$B599,dPer,"&gt;="&amp;pyFrom,dPer,"&lt;="&amp;pyTo,dQty,"&gt;-1E+300",dFlt1,critFlt1,dFlt2,critFlt2,dFlt3,critFlt3))</f>
        <v/>
      </c>
      <c r="F599" t="str">
        <f>IF($B599="","",SUMIFS(dQty,dCust,$B599,dPer,"&gt;="&amp;cyFrom,dPer,"&lt;="&amp;cyTo,dQty,"&gt;-1E+300",dFlt1,critFlt1,dFlt2,critFlt2,dFlt3,critFlt3))</f>
        <v/>
      </c>
      <c r="G599">
        <f>IF($B599="",0,IFERROR(IF(OR(C599&lt;&gt;0,D599&lt;&gt;0,E599&lt;&gt;0,F599&lt;&gt;0),1,0),1))</f>
        <v>0</v>
      </c>
      <c r="H599" t="str">
        <f>IF(OR(G599=0,E599=0),"",C599/E599)</f>
        <v/>
      </c>
      <c r="I599" t="str">
        <f>IF(OR(G599=0,F599=0),"",D599/F599)</f>
        <v/>
      </c>
      <c r="J599" t="str">
        <f>IF(OR(H599="",I599=""),"",IF(H599=0,"",I599/H599-1))</f>
        <v/>
      </c>
      <c r="K599" t="str">
        <f>IF($B599="","",IFERROR(IF(G599=0,-2E+300,CHOOSE(sortIdx,ROUND(D599,0),IF(J599="",-1E+300,ROUND(-J599,6)),IF(J599="",-1E+300,ROUND(J599,6)))),-1.5E+300))</f>
        <v/>
      </c>
      <c r="L599" t="str">
        <f>IF(K599="","",RANK(K599,$K$2:$K$3001,0)+COUNTIF($K$2:K599,K599)-1)</f>
        <v/>
      </c>
    </row>
    <row r="600">
      <c r="B600" t="str">
        <f>IFERROR(IF(A600="","","="&amp;SUBSTITUTE(SUBSTITUTE(SUBSTITUTE(A600,"~","~~"),"*","~*"),"?","~?")),"")</f>
        <v/>
      </c>
      <c r="C600" t="str">
        <f>IF($B600="","",SUMIFS(dAmt,dCust,$B600,dPer,"&gt;="&amp;pyFrom,dPer,"&lt;="&amp;pyTo,dAmt,"&gt;-1E+300",dFlt1,critFlt1,dFlt2,critFlt2,dFlt3,critFlt3))</f>
        <v/>
      </c>
      <c r="D600" t="str">
        <f>IF($B600="","",SUMIFS(dAmt,dCust,$B600,dPer,"&gt;="&amp;cyFrom,dPer,"&lt;="&amp;cyTo,dAmt,"&gt;-1E+300",dFlt1,critFlt1,dFlt2,critFlt2,dFlt3,critFlt3))</f>
        <v/>
      </c>
      <c r="E600" t="str">
        <f>IF($B600="","",SUMIFS(dQty,dCust,$B600,dPer,"&gt;="&amp;pyFrom,dPer,"&lt;="&amp;pyTo,dQty,"&gt;-1E+300",dFlt1,critFlt1,dFlt2,critFlt2,dFlt3,critFlt3))</f>
        <v/>
      </c>
      <c r="F600" t="str">
        <f>IF($B600="","",SUMIFS(dQty,dCust,$B600,dPer,"&gt;="&amp;cyFrom,dPer,"&lt;="&amp;cyTo,dQty,"&gt;-1E+300",dFlt1,critFlt1,dFlt2,critFlt2,dFlt3,critFlt3))</f>
        <v/>
      </c>
      <c r="G600">
        <f>IF($B600="",0,IFERROR(IF(OR(C600&lt;&gt;0,D600&lt;&gt;0,E600&lt;&gt;0,F600&lt;&gt;0),1,0),1))</f>
        <v>0</v>
      </c>
      <c r="H600" t="str">
        <f>IF(OR(G600=0,E600=0),"",C600/E600)</f>
        <v/>
      </c>
      <c r="I600" t="str">
        <f>IF(OR(G600=0,F600=0),"",D600/F600)</f>
        <v/>
      </c>
      <c r="J600" t="str">
        <f>IF(OR(H600="",I600=""),"",IF(H600=0,"",I600/H600-1))</f>
        <v/>
      </c>
      <c r="K600" t="str">
        <f>IF($B600="","",IFERROR(IF(G600=0,-2E+300,CHOOSE(sortIdx,ROUND(D600,0),IF(J600="",-1E+300,ROUND(-J600,6)),IF(J600="",-1E+300,ROUND(J600,6)))),-1.5E+300))</f>
        <v/>
      </c>
      <c r="L600" t="str">
        <f>IF(K600="","",RANK(K600,$K$2:$K$3001,0)+COUNTIF($K$2:K600,K600)-1)</f>
        <v/>
      </c>
    </row>
    <row r="601">
      <c r="B601" t="str">
        <f>IFERROR(IF(A601="","","="&amp;SUBSTITUTE(SUBSTITUTE(SUBSTITUTE(A601,"~","~~"),"*","~*"),"?","~?")),"")</f>
        <v/>
      </c>
      <c r="C601" t="str">
        <f>IF($B601="","",SUMIFS(dAmt,dCust,$B601,dPer,"&gt;="&amp;pyFrom,dPer,"&lt;="&amp;pyTo,dAmt,"&gt;-1E+300",dFlt1,critFlt1,dFlt2,critFlt2,dFlt3,critFlt3))</f>
        <v/>
      </c>
      <c r="D601" t="str">
        <f>IF($B601="","",SUMIFS(dAmt,dCust,$B601,dPer,"&gt;="&amp;cyFrom,dPer,"&lt;="&amp;cyTo,dAmt,"&gt;-1E+300",dFlt1,critFlt1,dFlt2,critFlt2,dFlt3,critFlt3))</f>
        <v/>
      </c>
      <c r="E601" t="str">
        <f>IF($B601="","",SUMIFS(dQty,dCust,$B601,dPer,"&gt;="&amp;pyFrom,dPer,"&lt;="&amp;pyTo,dQty,"&gt;-1E+300",dFlt1,critFlt1,dFlt2,critFlt2,dFlt3,critFlt3))</f>
        <v/>
      </c>
      <c r="F601" t="str">
        <f>IF($B601="","",SUMIFS(dQty,dCust,$B601,dPer,"&gt;="&amp;cyFrom,dPer,"&lt;="&amp;cyTo,dQty,"&gt;-1E+300",dFlt1,critFlt1,dFlt2,critFlt2,dFlt3,critFlt3))</f>
        <v/>
      </c>
      <c r="G601">
        <f>IF($B601="",0,IFERROR(IF(OR(C601&lt;&gt;0,D601&lt;&gt;0,E601&lt;&gt;0,F601&lt;&gt;0),1,0),1))</f>
        <v>0</v>
      </c>
      <c r="H601" t="str">
        <f>IF(OR(G601=0,E601=0),"",C601/E601)</f>
        <v/>
      </c>
      <c r="I601" t="str">
        <f>IF(OR(G601=0,F601=0),"",D601/F601)</f>
        <v/>
      </c>
      <c r="J601" t="str">
        <f>IF(OR(H601="",I601=""),"",IF(H601=0,"",I601/H601-1))</f>
        <v/>
      </c>
      <c r="K601" t="str">
        <f>IF($B601="","",IFERROR(IF(G601=0,-2E+300,CHOOSE(sortIdx,ROUND(D601,0),IF(J601="",-1E+300,ROUND(-J601,6)),IF(J601="",-1E+300,ROUND(J601,6)))),-1.5E+300))</f>
        <v/>
      </c>
      <c r="L601" t="str">
        <f>IF(K601="","",RANK(K601,$K$2:$K$3001,0)+COUNTIF($K$2:K601,K601)-1)</f>
        <v/>
      </c>
    </row>
    <row r="602">
      <c r="B602" t="str">
        <f>IFERROR(IF(A602="","","="&amp;SUBSTITUTE(SUBSTITUTE(SUBSTITUTE(A602,"~","~~"),"*","~*"),"?","~?")),"")</f>
        <v/>
      </c>
      <c r="C602" t="str">
        <f>IF($B602="","",SUMIFS(dAmt,dCust,$B602,dPer,"&gt;="&amp;pyFrom,dPer,"&lt;="&amp;pyTo,dAmt,"&gt;-1E+300",dFlt1,critFlt1,dFlt2,critFlt2,dFlt3,critFlt3))</f>
        <v/>
      </c>
      <c r="D602" t="str">
        <f>IF($B602="","",SUMIFS(dAmt,dCust,$B602,dPer,"&gt;="&amp;cyFrom,dPer,"&lt;="&amp;cyTo,dAmt,"&gt;-1E+300",dFlt1,critFlt1,dFlt2,critFlt2,dFlt3,critFlt3))</f>
        <v/>
      </c>
      <c r="E602" t="str">
        <f>IF($B602="","",SUMIFS(dQty,dCust,$B602,dPer,"&gt;="&amp;pyFrom,dPer,"&lt;="&amp;pyTo,dQty,"&gt;-1E+300",dFlt1,critFlt1,dFlt2,critFlt2,dFlt3,critFlt3))</f>
        <v/>
      </c>
      <c r="F602" t="str">
        <f>IF($B602="","",SUMIFS(dQty,dCust,$B602,dPer,"&gt;="&amp;cyFrom,dPer,"&lt;="&amp;cyTo,dQty,"&gt;-1E+300",dFlt1,critFlt1,dFlt2,critFlt2,dFlt3,critFlt3))</f>
        <v/>
      </c>
      <c r="G602">
        <f>IF($B602="",0,IFERROR(IF(OR(C602&lt;&gt;0,D602&lt;&gt;0,E602&lt;&gt;0,F602&lt;&gt;0),1,0),1))</f>
        <v>0</v>
      </c>
      <c r="H602" t="str">
        <f>IF(OR(G602=0,E602=0),"",C602/E602)</f>
        <v/>
      </c>
      <c r="I602" t="str">
        <f>IF(OR(G602=0,F602=0),"",D602/F602)</f>
        <v/>
      </c>
      <c r="J602" t="str">
        <f>IF(OR(H602="",I602=""),"",IF(H602=0,"",I602/H602-1))</f>
        <v/>
      </c>
      <c r="K602" t="str">
        <f>IF($B602="","",IFERROR(IF(G602=0,-2E+300,CHOOSE(sortIdx,ROUND(D602,0),IF(J602="",-1E+300,ROUND(-J602,6)),IF(J602="",-1E+300,ROUND(J602,6)))),-1.5E+300))</f>
        <v/>
      </c>
      <c r="L602" t="str">
        <f>IF(K602="","",RANK(K602,$K$2:$K$3001,0)+COUNTIF($K$2:K602,K602)-1)</f>
        <v/>
      </c>
    </row>
    <row r="603">
      <c r="B603" t="str">
        <f>IFERROR(IF(A603="","","="&amp;SUBSTITUTE(SUBSTITUTE(SUBSTITUTE(A603,"~","~~"),"*","~*"),"?","~?")),"")</f>
        <v/>
      </c>
      <c r="C603" t="str">
        <f>IF($B603="","",SUMIFS(dAmt,dCust,$B603,dPer,"&gt;="&amp;pyFrom,dPer,"&lt;="&amp;pyTo,dAmt,"&gt;-1E+300",dFlt1,critFlt1,dFlt2,critFlt2,dFlt3,critFlt3))</f>
        <v/>
      </c>
      <c r="D603" t="str">
        <f>IF($B603="","",SUMIFS(dAmt,dCust,$B603,dPer,"&gt;="&amp;cyFrom,dPer,"&lt;="&amp;cyTo,dAmt,"&gt;-1E+300",dFlt1,critFlt1,dFlt2,critFlt2,dFlt3,critFlt3))</f>
        <v/>
      </c>
      <c r="E603" t="str">
        <f>IF($B603="","",SUMIFS(dQty,dCust,$B603,dPer,"&gt;="&amp;pyFrom,dPer,"&lt;="&amp;pyTo,dQty,"&gt;-1E+300",dFlt1,critFlt1,dFlt2,critFlt2,dFlt3,critFlt3))</f>
        <v/>
      </c>
      <c r="F603" t="str">
        <f>IF($B603="","",SUMIFS(dQty,dCust,$B603,dPer,"&gt;="&amp;cyFrom,dPer,"&lt;="&amp;cyTo,dQty,"&gt;-1E+300",dFlt1,critFlt1,dFlt2,critFlt2,dFlt3,critFlt3))</f>
        <v/>
      </c>
      <c r="G603">
        <f>IF($B603="",0,IFERROR(IF(OR(C603&lt;&gt;0,D603&lt;&gt;0,E603&lt;&gt;0,F603&lt;&gt;0),1,0),1))</f>
        <v>0</v>
      </c>
      <c r="H603" t="str">
        <f>IF(OR(G603=0,E603=0),"",C603/E603)</f>
        <v/>
      </c>
      <c r="I603" t="str">
        <f>IF(OR(G603=0,F603=0),"",D603/F603)</f>
        <v/>
      </c>
      <c r="J603" t="str">
        <f>IF(OR(H603="",I603=""),"",IF(H603=0,"",I603/H603-1))</f>
        <v/>
      </c>
      <c r="K603" t="str">
        <f>IF($B603="","",IFERROR(IF(G603=0,-2E+300,CHOOSE(sortIdx,ROUND(D603,0),IF(J603="",-1E+300,ROUND(-J603,6)),IF(J603="",-1E+300,ROUND(J603,6)))),-1.5E+300))</f>
        <v/>
      </c>
      <c r="L603" t="str">
        <f>IF(K603="","",RANK(K603,$K$2:$K$3001,0)+COUNTIF($K$2:K603,K603)-1)</f>
        <v/>
      </c>
    </row>
    <row r="604">
      <c r="B604" t="str">
        <f>IFERROR(IF(A604="","","="&amp;SUBSTITUTE(SUBSTITUTE(SUBSTITUTE(A604,"~","~~"),"*","~*"),"?","~?")),"")</f>
        <v/>
      </c>
      <c r="C604" t="str">
        <f>IF($B604="","",SUMIFS(dAmt,dCust,$B604,dPer,"&gt;="&amp;pyFrom,dPer,"&lt;="&amp;pyTo,dAmt,"&gt;-1E+300",dFlt1,critFlt1,dFlt2,critFlt2,dFlt3,critFlt3))</f>
        <v/>
      </c>
      <c r="D604" t="str">
        <f>IF($B604="","",SUMIFS(dAmt,dCust,$B604,dPer,"&gt;="&amp;cyFrom,dPer,"&lt;="&amp;cyTo,dAmt,"&gt;-1E+300",dFlt1,critFlt1,dFlt2,critFlt2,dFlt3,critFlt3))</f>
        <v/>
      </c>
      <c r="E604" t="str">
        <f>IF($B604="","",SUMIFS(dQty,dCust,$B604,dPer,"&gt;="&amp;pyFrom,dPer,"&lt;="&amp;pyTo,dQty,"&gt;-1E+300",dFlt1,critFlt1,dFlt2,critFlt2,dFlt3,critFlt3))</f>
        <v/>
      </c>
      <c r="F604" t="str">
        <f>IF($B604="","",SUMIFS(dQty,dCust,$B604,dPer,"&gt;="&amp;cyFrom,dPer,"&lt;="&amp;cyTo,dQty,"&gt;-1E+300",dFlt1,critFlt1,dFlt2,critFlt2,dFlt3,critFlt3))</f>
        <v/>
      </c>
      <c r="G604">
        <f>IF($B604="",0,IFERROR(IF(OR(C604&lt;&gt;0,D604&lt;&gt;0,E604&lt;&gt;0,F604&lt;&gt;0),1,0),1))</f>
        <v>0</v>
      </c>
      <c r="H604" t="str">
        <f>IF(OR(G604=0,E604=0),"",C604/E604)</f>
        <v/>
      </c>
      <c r="I604" t="str">
        <f>IF(OR(G604=0,F604=0),"",D604/F604)</f>
        <v/>
      </c>
      <c r="J604" t="str">
        <f>IF(OR(H604="",I604=""),"",IF(H604=0,"",I604/H604-1))</f>
        <v/>
      </c>
      <c r="K604" t="str">
        <f>IF($B604="","",IFERROR(IF(G604=0,-2E+300,CHOOSE(sortIdx,ROUND(D604,0),IF(J604="",-1E+300,ROUND(-J604,6)),IF(J604="",-1E+300,ROUND(J604,6)))),-1.5E+300))</f>
        <v/>
      </c>
      <c r="L604" t="str">
        <f>IF(K604="","",RANK(K604,$K$2:$K$3001,0)+COUNTIF($K$2:K604,K604)-1)</f>
        <v/>
      </c>
    </row>
    <row r="605">
      <c r="B605" t="str">
        <f>IFERROR(IF(A605="","","="&amp;SUBSTITUTE(SUBSTITUTE(SUBSTITUTE(A605,"~","~~"),"*","~*"),"?","~?")),"")</f>
        <v/>
      </c>
      <c r="C605" t="str">
        <f>IF($B605="","",SUMIFS(dAmt,dCust,$B605,dPer,"&gt;="&amp;pyFrom,dPer,"&lt;="&amp;pyTo,dAmt,"&gt;-1E+300",dFlt1,critFlt1,dFlt2,critFlt2,dFlt3,critFlt3))</f>
        <v/>
      </c>
      <c r="D605" t="str">
        <f>IF($B605="","",SUMIFS(dAmt,dCust,$B605,dPer,"&gt;="&amp;cyFrom,dPer,"&lt;="&amp;cyTo,dAmt,"&gt;-1E+300",dFlt1,critFlt1,dFlt2,critFlt2,dFlt3,critFlt3))</f>
        <v/>
      </c>
      <c r="E605" t="str">
        <f>IF($B605="","",SUMIFS(dQty,dCust,$B605,dPer,"&gt;="&amp;pyFrom,dPer,"&lt;="&amp;pyTo,dQty,"&gt;-1E+300",dFlt1,critFlt1,dFlt2,critFlt2,dFlt3,critFlt3))</f>
        <v/>
      </c>
      <c r="F605" t="str">
        <f>IF($B605="","",SUMIFS(dQty,dCust,$B605,dPer,"&gt;="&amp;cyFrom,dPer,"&lt;="&amp;cyTo,dQty,"&gt;-1E+300",dFlt1,critFlt1,dFlt2,critFlt2,dFlt3,critFlt3))</f>
        <v/>
      </c>
      <c r="G605">
        <f>IF($B605="",0,IFERROR(IF(OR(C605&lt;&gt;0,D605&lt;&gt;0,E605&lt;&gt;0,F605&lt;&gt;0),1,0),1))</f>
        <v>0</v>
      </c>
      <c r="H605" t="str">
        <f>IF(OR(G605=0,E605=0),"",C605/E605)</f>
        <v/>
      </c>
      <c r="I605" t="str">
        <f>IF(OR(G605=0,F605=0),"",D605/F605)</f>
        <v/>
      </c>
      <c r="J605" t="str">
        <f>IF(OR(H605="",I605=""),"",IF(H605=0,"",I605/H605-1))</f>
        <v/>
      </c>
      <c r="K605" t="str">
        <f>IF($B605="","",IFERROR(IF(G605=0,-2E+300,CHOOSE(sortIdx,ROUND(D605,0),IF(J605="",-1E+300,ROUND(-J605,6)),IF(J605="",-1E+300,ROUND(J605,6)))),-1.5E+300))</f>
        <v/>
      </c>
      <c r="L605" t="str">
        <f>IF(K605="","",RANK(K605,$K$2:$K$3001,0)+COUNTIF($K$2:K605,K605)-1)</f>
        <v/>
      </c>
    </row>
    <row r="606">
      <c r="B606" t="str">
        <f>IFERROR(IF(A606="","","="&amp;SUBSTITUTE(SUBSTITUTE(SUBSTITUTE(A606,"~","~~"),"*","~*"),"?","~?")),"")</f>
        <v/>
      </c>
      <c r="C606" t="str">
        <f>IF($B606="","",SUMIFS(dAmt,dCust,$B606,dPer,"&gt;="&amp;pyFrom,dPer,"&lt;="&amp;pyTo,dAmt,"&gt;-1E+300",dFlt1,critFlt1,dFlt2,critFlt2,dFlt3,critFlt3))</f>
        <v/>
      </c>
      <c r="D606" t="str">
        <f>IF($B606="","",SUMIFS(dAmt,dCust,$B606,dPer,"&gt;="&amp;cyFrom,dPer,"&lt;="&amp;cyTo,dAmt,"&gt;-1E+300",dFlt1,critFlt1,dFlt2,critFlt2,dFlt3,critFlt3))</f>
        <v/>
      </c>
      <c r="E606" t="str">
        <f>IF($B606="","",SUMIFS(dQty,dCust,$B606,dPer,"&gt;="&amp;pyFrom,dPer,"&lt;="&amp;pyTo,dQty,"&gt;-1E+300",dFlt1,critFlt1,dFlt2,critFlt2,dFlt3,critFlt3))</f>
        <v/>
      </c>
      <c r="F606" t="str">
        <f>IF($B606="","",SUMIFS(dQty,dCust,$B606,dPer,"&gt;="&amp;cyFrom,dPer,"&lt;="&amp;cyTo,dQty,"&gt;-1E+300",dFlt1,critFlt1,dFlt2,critFlt2,dFlt3,critFlt3))</f>
        <v/>
      </c>
      <c r="G606">
        <f>IF($B606="",0,IFERROR(IF(OR(C606&lt;&gt;0,D606&lt;&gt;0,E606&lt;&gt;0,F606&lt;&gt;0),1,0),1))</f>
        <v>0</v>
      </c>
      <c r="H606" t="str">
        <f>IF(OR(G606=0,E606=0),"",C606/E606)</f>
        <v/>
      </c>
      <c r="I606" t="str">
        <f>IF(OR(G606=0,F606=0),"",D606/F606)</f>
        <v/>
      </c>
      <c r="J606" t="str">
        <f>IF(OR(H606="",I606=""),"",IF(H606=0,"",I606/H606-1))</f>
        <v/>
      </c>
      <c r="K606" t="str">
        <f>IF($B606="","",IFERROR(IF(G606=0,-2E+300,CHOOSE(sortIdx,ROUND(D606,0),IF(J606="",-1E+300,ROUND(-J606,6)),IF(J606="",-1E+300,ROUND(J606,6)))),-1.5E+300))</f>
        <v/>
      </c>
      <c r="L606" t="str">
        <f>IF(K606="","",RANK(K606,$K$2:$K$3001,0)+COUNTIF($K$2:K606,K606)-1)</f>
        <v/>
      </c>
    </row>
    <row r="607">
      <c r="B607" t="str">
        <f>IFERROR(IF(A607="","","="&amp;SUBSTITUTE(SUBSTITUTE(SUBSTITUTE(A607,"~","~~"),"*","~*"),"?","~?")),"")</f>
        <v/>
      </c>
      <c r="C607" t="str">
        <f>IF($B607="","",SUMIFS(dAmt,dCust,$B607,dPer,"&gt;="&amp;pyFrom,dPer,"&lt;="&amp;pyTo,dAmt,"&gt;-1E+300",dFlt1,critFlt1,dFlt2,critFlt2,dFlt3,critFlt3))</f>
        <v/>
      </c>
      <c r="D607" t="str">
        <f>IF($B607="","",SUMIFS(dAmt,dCust,$B607,dPer,"&gt;="&amp;cyFrom,dPer,"&lt;="&amp;cyTo,dAmt,"&gt;-1E+300",dFlt1,critFlt1,dFlt2,critFlt2,dFlt3,critFlt3))</f>
        <v/>
      </c>
      <c r="E607" t="str">
        <f>IF($B607="","",SUMIFS(dQty,dCust,$B607,dPer,"&gt;="&amp;pyFrom,dPer,"&lt;="&amp;pyTo,dQty,"&gt;-1E+300",dFlt1,critFlt1,dFlt2,critFlt2,dFlt3,critFlt3))</f>
        <v/>
      </c>
      <c r="F607" t="str">
        <f>IF($B607="","",SUMIFS(dQty,dCust,$B607,dPer,"&gt;="&amp;cyFrom,dPer,"&lt;="&amp;cyTo,dQty,"&gt;-1E+300",dFlt1,critFlt1,dFlt2,critFlt2,dFlt3,critFlt3))</f>
        <v/>
      </c>
      <c r="G607">
        <f>IF($B607="",0,IFERROR(IF(OR(C607&lt;&gt;0,D607&lt;&gt;0,E607&lt;&gt;0,F607&lt;&gt;0),1,0),1))</f>
        <v>0</v>
      </c>
      <c r="H607" t="str">
        <f>IF(OR(G607=0,E607=0),"",C607/E607)</f>
        <v/>
      </c>
      <c r="I607" t="str">
        <f>IF(OR(G607=0,F607=0),"",D607/F607)</f>
        <v/>
      </c>
      <c r="J607" t="str">
        <f>IF(OR(H607="",I607=""),"",IF(H607=0,"",I607/H607-1))</f>
        <v/>
      </c>
      <c r="K607" t="str">
        <f>IF($B607="","",IFERROR(IF(G607=0,-2E+300,CHOOSE(sortIdx,ROUND(D607,0),IF(J607="",-1E+300,ROUND(-J607,6)),IF(J607="",-1E+300,ROUND(J607,6)))),-1.5E+300))</f>
        <v/>
      </c>
      <c r="L607" t="str">
        <f>IF(K607="","",RANK(K607,$K$2:$K$3001,0)+COUNTIF($K$2:K607,K607)-1)</f>
        <v/>
      </c>
    </row>
    <row r="608">
      <c r="B608" t="str">
        <f>IFERROR(IF(A608="","","="&amp;SUBSTITUTE(SUBSTITUTE(SUBSTITUTE(A608,"~","~~"),"*","~*"),"?","~?")),"")</f>
        <v/>
      </c>
      <c r="C608" t="str">
        <f>IF($B608="","",SUMIFS(dAmt,dCust,$B608,dPer,"&gt;="&amp;pyFrom,dPer,"&lt;="&amp;pyTo,dAmt,"&gt;-1E+300",dFlt1,critFlt1,dFlt2,critFlt2,dFlt3,critFlt3))</f>
        <v/>
      </c>
      <c r="D608" t="str">
        <f>IF($B608="","",SUMIFS(dAmt,dCust,$B608,dPer,"&gt;="&amp;cyFrom,dPer,"&lt;="&amp;cyTo,dAmt,"&gt;-1E+300",dFlt1,critFlt1,dFlt2,critFlt2,dFlt3,critFlt3))</f>
        <v/>
      </c>
      <c r="E608" t="str">
        <f>IF($B608="","",SUMIFS(dQty,dCust,$B608,dPer,"&gt;="&amp;pyFrom,dPer,"&lt;="&amp;pyTo,dQty,"&gt;-1E+300",dFlt1,critFlt1,dFlt2,critFlt2,dFlt3,critFlt3))</f>
        <v/>
      </c>
      <c r="F608" t="str">
        <f>IF($B608="","",SUMIFS(dQty,dCust,$B608,dPer,"&gt;="&amp;cyFrom,dPer,"&lt;="&amp;cyTo,dQty,"&gt;-1E+300",dFlt1,critFlt1,dFlt2,critFlt2,dFlt3,critFlt3))</f>
        <v/>
      </c>
      <c r="G608">
        <f>IF($B608="",0,IFERROR(IF(OR(C608&lt;&gt;0,D608&lt;&gt;0,E608&lt;&gt;0,F608&lt;&gt;0),1,0),1))</f>
        <v>0</v>
      </c>
      <c r="H608" t="str">
        <f>IF(OR(G608=0,E608=0),"",C608/E608)</f>
        <v/>
      </c>
      <c r="I608" t="str">
        <f>IF(OR(G608=0,F608=0),"",D608/F608)</f>
        <v/>
      </c>
      <c r="J608" t="str">
        <f>IF(OR(H608="",I608=""),"",IF(H608=0,"",I608/H608-1))</f>
        <v/>
      </c>
      <c r="K608" t="str">
        <f>IF($B608="","",IFERROR(IF(G608=0,-2E+300,CHOOSE(sortIdx,ROUND(D608,0),IF(J608="",-1E+300,ROUND(-J608,6)),IF(J608="",-1E+300,ROUND(J608,6)))),-1.5E+300))</f>
        <v/>
      </c>
      <c r="L608" t="str">
        <f>IF(K608="","",RANK(K608,$K$2:$K$3001,0)+COUNTIF($K$2:K608,K608)-1)</f>
        <v/>
      </c>
    </row>
    <row r="609">
      <c r="B609" t="str">
        <f>IFERROR(IF(A609="","","="&amp;SUBSTITUTE(SUBSTITUTE(SUBSTITUTE(A609,"~","~~"),"*","~*"),"?","~?")),"")</f>
        <v/>
      </c>
      <c r="C609" t="str">
        <f>IF($B609="","",SUMIFS(dAmt,dCust,$B609,dPer,"&gt;="&amp;pyFrom,dPer,"&lt;="&amp;pyTo,dAmt,"&gt;-1E+300",dFlt1,critFlt1,dFlt2,critFlt2,dFlt3,critFlt3))</f>
        <v/>
      </c>
      <c r="D609" t="str">
        <f>IF($B609="","",SUMIFS(dAmt,dCust,$B609,dPer,"&gt;="&amp;cyFrom,dPer,"&lt;="&amp;cyTo,dAmt,"&gt;-1E+300",dFlt1,critFlt1,dFlt2,critFlt2,dFlt3,critFlt3))</f>
        <v/>
      </c>
      <c r="E609" t="str">
        <f>IF($B609="","",SUMIFS(dQty,dCust,$B609,dPer,"&gt;="&amp;pyFrom,dPer,"&lt;="&amp;pyTo,dQty,"&gt;-1E+300",dFlt1,critFlt1,dFlt2,critFlt2,dFlt3,critFlt3))</f>
        <v/>
      </c>
      <c r="F609" t="str">
        <f>IF($B609="","",SUMIFS(dQty,dCust,$B609,dPer,"&gt;="&amp;cyFrom,dPer,"&lt;="&amp;cyTo,dQty,"&gt;-1E+300",dFlt1,critFlt1,dFlt2,critFlt2,dFlt3,critFlt3))</f>
        <v/>
      </c>
      <c r="G609">
        <f>IF($B609="",0,IFERROR(IF(OR(C609&lt;&gt;0,D609&lt;&gt;0,E609&lt;&gt;0,F609&lt;&gt;0),1,0),1))</f>
        <v>0</v>
      </c>
      <c r="H609" t="str">
        <f>IF(OR(G609=0,E609=0),"",C609/E609)</f>
        <v/>
      </c>
      <c r="I609" t="str">
        <f>IF(OR(G609=0,F609=0),"",D609/F609)</f>
        <v/>
      </c>
      <c r="J609" t="str">
        <f>IF(OR(H609="",I609=""),"",IF(H609=0,"",I609/H609-1))</f>
        <v/>
      </c>
      <c r="K609" t="str">
        <f>IF($B609="","",IFERROR(IF(G609=0,-2E+300,CHOOSE(sortIdx,ROUND(D609,0),IF(J609="",-1E+300,ROUND(-J609,6)),IF(J609="",-1E+300,ROUND(J609,6)))),-1.5E+300))</f>
        <v/>
      </c>
      <c r="L609" t="str">
        <f>IF(K609="","",RANK(K609,$K$2:$K$3001,0)+COUNTIF($K$2:K609,K609)-1)</f>
        <v/>
      </c>
    </row>
    <row r="610">
      <c r="B610" t="str">
        <f>IFERROR(IF(A610="","","="&amp;SUBSTITUTE(SUBSTITUTE(SUBSTITUTE(A610,"~","~~"),"*","~*"),"?","~?")),"")</f>
        <v/>
      </c>
      <c r="C610" t="str">
        <f>IF($B610="","",SUMIFS(dAmt,dCust,$B610,dPer,"&gt;="&amp;pyFrom,dPer,"&lt;="&amp;pyTo,dAmt,"&gt;-1E+300",dFlt1,critFlt1,dFlt2,critFlt2,dFlt3,critFlt3))</f>
        <v/>
      </c>
      <c r="D610" t="str">
        <f>IF($B610="","",SUMIFS(dAmt,dCust,$B610,dPer,"&gt;="&amp;cyFrom,dPer,"&lt;="&amp;cyTo,dAmt,"&gt;-1E+300",dFlt1,critFlt1,dFlt2,critFlt2,dFlt3,critFlt3))</f>
        <v/>
      </c>
      <c r="E610" t="str">
        <f>IF($B610="","",SUMIFS(dQty,dCust,$B610,dPer,"&gt;="&amp;pyFrom,dPer,"&lt;="&amp;pyTo,dQty,"&gt;-1E+300",dFlt1,critFlt1,dFlt2,critFlt2,dFlt3,critFlt3))</f>
        <v/>
      </c>
      <c r="F610" t="str">
        <f>IF($B610="","",SUMIFS(dQty,dCust,$B610,dPer,"&gt;="&amp;cyFrom,dPer,"&lt;="&amp;cyTo,dQty,"&gt;-1E+300",dFlt1,critFlt1,dFlt2,critFlt2,dFlt3,critFlt3))</f>
        <v/>
      </c>
      <c r="G610">
        <f>IF($B610="",0,IFERROR(IF(OR(C610&lt;&gt;0,D610&lt;&gt;0,E610&lt;&gt;0,F610&lt;&gt;0),1,0),1))</f>
        <v>0</v>
      </c>
      <c r="H610" t="str">
        <f>IF(OR(G610=0,E610=0),"",C610/E610)</f>
        <v/>
      </c>
      <c r="I610" t="str">
        <f>IF(OR(G610=0,F610=0),"",D610/F610)</f>
        <v/>
      </c>
      <c r="J610" t="str">
        <f>IF(OR(H610="",I610=""),"",IF(H610=0,"",I610/H610-1))</f>
        <v/>
      </c>
      <c r="K610" t="str">
        <f>IF($B610="","",IFERROR(IF(G610=0,-2E+300,CHOOSE(sortIdx,ROUND(D610,0),IF(J610="",-1E+300,ROUND(-J610,6)),IF(J610="",-1E+300,ROUND(J610,6)))),-1.5E+300))</f>
        <v/>
      </c>
      <c r="L610" t="str">
        <f>IF(K610="","",RANK(K610,$K$2:$K$3001,0)+COUNTIF($K$2:K610,K610)-1)</f>
        <v/>
      </c>
    </row>
    <row r="611">
      <c r="B611" t="str">
        <f>IFERROR(IF(A611="","","="&amp;SUBSTITUTE(SUBSTITUTE(SUBSTITUTE(A611,"~","~~"),"*","~*"),"?","~?")),"")</f>
        <v/>
      </c>
      <c r="C611" t="str">
        <f>IF($B611="","",SUMIFS(dAmt,dCust,$B611,dPer,"&gt;="&amp;pyFrom,dPer,"&lt;="&amp;pyTo,dAmt,"&gt;-1E+300",dFlt1,critFlt1,dFlt2,critFlt2,dFlt3,critFlt3))</f>
        <v/>
      </c>
      <c r="D611" t="str">
        <f>IF($B611="","",SUMIFS(dAmt,dCust,$B611,dPer,"&gt;="&amp;cyFrom,dPer,"&lt;="&amp;cyTo,dAmt,"&gt;-1E+300",dFlt1,critFlt1,dFlt2,critFlt2,dFlt3,critFlt3))</f>
        <v/>
      </c>
      <c r="E611" t="str">
        <f>IF($B611="","",SUMIFS(dQty,dCust,$B611,dPer,"&gt;="&amp;pyFrom,dPer,"&lt;="&amp;pyTo,dQty,"&gt;-1E+300",dFlt1,critFlt1,dFlt2,critFlt2,dFlt3,critFlt3))</f>
        <v/>
      </c>
      <c r="F611" t="str">
        <f>IF($B611="","",SUMIFS(dQty,dCust,$B611,dPer,"&gt;="&amp;cyFrom,dPer,"&lt;="&amp;cyTo,dQty,"&gt;-1E+300",dFlt1,critFlt1,dFlt2,critFlt2,dFlt3,critFlt3))</f>
        <v/>
      </c>
      <c r="G611">
        <f>IF($B611="",0,IFERROR(IF(OR(C611&lt;&gt;0,D611&lt;&gt;0,E611&lt;&gt;0,F611&lt;&gt;0),1,0),1))</f>
        <v>0</v>
      </c>
      <c r="H611" t="str">
        <f>IF(OR(G611=0,E611=0),"",C611/E611)</f>
        <v/>
      </c>
      <c r="I611" t="str">
        <f>IF(OR(G611=0,F611=0),"",D611/F611)</f>
        <v/>
      </c>
      <c r="J611" t="str">
        <f>IF(OR(H611="",I611=""),"",IF(H611=0,"",I611/H611-1))</f>
        <v/>
      </c>
      <c r="K611" t="str">
        <f>IF($B611="","",IFERROR(IF(G611=0,-2E+300,CHOOSE(sortIdx,ROUND(D611,0),IF(J611="",-1E+300,ROUND(-J611,6)),IF(J611="",-1E+300,ROUND(J611,6)))),-1.5E+300))</f>
        <v/>
      </c>
      <c r="L611" t="str">
        <f>IF(K611="","",RANK(K611,$K$2:$K$3001,0)+COUNTIF($K$2:K611,K611)-1)</f>
        <v/>
      </c>
    </row>
    <row r="612">
      <c r="B612" t="str">
        <f>IFERROR(IF(A612="","","="&amp;SUBSTITUTE(SUBSTITUTE(SUBSTITUTE(A612,"~","~~"),"*","~*"),"?","~?")),"")</f>
        <v/>
      </c>
      <c r="C612" t="str">
        <f>IF($B612="","",SUMIFS(dAmt,dCust,$B612,dPer,"&gt;="&amp;pyFrom,dPer,"&lt;="&amp;pyTo,dAmt,"&gt;-1E+300",dFlt1,critFlt1,dFlt2,critFlt2,dFlt3,critFlt3))</f>
        <v/>
      </c>
      <c r="D612" t="str">
        <f>IF($B612="","",SUMIFS(dAmt,dCust,$B612,dPer,"&gt;="&amp;cyFrom,dPer,"&lt;="&amp;cyTo,dAmt,"&gt;-1E+300",dFlt1,critFlt1,dFlt2,critFlt2,dFlt3,critFlt3))</f>
        <v/>
      </c>
      <c r="E612" t="str">
        <f>IF($B612="","",SUMIFS(dQty,dCust,$B612,dPer,"&gt;="&amp;pyFrom,dPer,"&lt;="&amp;pyTo,dQty,"&gt;-1E+300",dFlt1,critFlt1,dFlt2,critFlt2,dFlt3,critFlt3))</f>
        <v/>
      </c>
      <c r="F612" t="str">
        <f>IF($B612="","",SUMIFS(dQty,dCust,$B612,dPer,"&gt;="&amp;cyFrom,dPer,"&lt;="&amp;cyTo,dQty,"&gt;-1E+300",dFlt1,critFlt1,dFlt2,critFlt2,dFlt3,critFlt3))</f>
        <v/>
      </c>
      <c r="G612">
        <f>IF($B612="",0,IFERROR(IF(OR(C612&lt;&gt;0,D612&lt;&gt;0,E612&lt;&gt;0,F612&lt;&gt;0),1,0),1))</f>
        <v>0</v>
      </c>
      <c r="H612" t="str">
        <f>IF(OR(G612=0,E612=0),"",C612/E612)</f>
        <v/>
      </c>
      <c r="I612" t="str">
        <f>IF(OR(G612=0,F612=0),"",D612/F612)</f>
        <v/>
      </c>
      <c r="J612" t="str">
        <f>IF(OR(H612="",I612=""),"",IF(H612=0,"",I612/H612-1))</f>
        <v/>
      </c>
      <c r="K612" t="str">
        <f>IF($B612="","",IFERROR(IF(G612=0,-2E+300,CHOOSE(sortIdx,ROUND(D612,0),IF(J612="",-1E+300,ROUND(-J612,6)),IF(J612="",-1E+300,ROUND(J612,6)))),-1.5E+300))</f>
        <v/>
      </c>
      <c r="L612" t="str">
        <f>IF(K612="","",RANK(K612,$K$2:$K$3001,0)+COUNTIF($K$2:K612,K612)-1)</f>
        <v/>
      </c>
    </row>
    <row r="613">
      <c r="B613" t="str">
        <f>IFERROR(IF(A613="","","="&amp;SUBSTITUTE(SUBSTITUTE(SUBSTITUTE(A613,"~","~~"),"*","~*"),"?","~?")),"")</f>
        <v/>
      </c>
      <c r="C613" t="str">
        <f>IF($B613="","",SUMIFS(dAmt,dCust,$B613,dPer,"&gt;="&amp;pyFrom,dPer,"&lt;="&amp;pyTo,dAmt,"&gt;-1E+300",dFlt1,critFlt1,dFlt2,critFlt2,dFlt3,critFlt3))</f>
        <v/>
      </c>
      <c r="D613" t="str">
        <f>IF($B613="","",SUMIFS(dAmt,dCust,$B613,dPer,"&gt;="&amp;cyFrom,dPer,"&lt;="&amp;cyTo,dAmt,"&gt;-1E+300",dFlt1,critFlt1,dFlt2,critFlt2,dFlt3,critFlt3))</f>
        <v/>
      </c>
      <c r="E613" t="str">
        <f>IF($B613="","",SUMIFS(dQty,dCust,$B613,dPer,"&gt;="&amp;pyFrom,dPer,"&lt;="&amp;pyTo,dQty,"&gt;-1E+300",dFlt1,critFlt1,dFlt2,critFlt2,dFlt3,critFlt3))</f>
        <v/>
      </c>
      <c r="F613" t="str">
        <f>IF($B613="","",SUMIFS(dQty,dCust,$B613,dPer,"&gt;="&amp;cyFrom,dPer,"&lt;="&amp;cyTo,dQty,"&gt;-1E+300",dFlt1,critFlt1,dFlt2,critFlt2,dFlt3,critFlt3))</f>
        <v/>
      </c>
      <c r="G613">
        <f>IF($B613="",0,IFERROR(IF(OR(C613&lt;&gt;0,D613&lt;&gt;0,E613&lt;&gt;0,F613&lt;&gt;0),1,0),1))</f>
        <v>0</v>
      </c>
      <c r="H613" t="str">
        <f>IF(OR(G613=0,E613=0),"",C613/E613)</f>
        <v/>
      </c>
      <c r="I613" t="str">
        <f>IF(OR(G613=0,F613=0),"",D613/F613)</f>
        <v/>
      </c>
      <c r="J613" t="str">
        <f>IF(OR(H613="",I613=""),"",IF(H613=0,"",I613/H613-1))</f>
        <v/>
      </c>
      <c r="K613" t="str">
        <f>IF($B613="","",IFERROR(IF(G613=0,-2E+300,CHOOSE(sortIdx,ROUND(D613,0),IF(J613="",-1E+300,ROUND(-J613,6)),IF(J613="",-1E+300,ROUND(J613,6)))),-1.5E+300))</f>
        <v/>
      </c>
      <c r="L613" t="str">
        <f>IF(K613="","",RANK(K613,$K$2:$K$3001,0)+COUNTIF($K$2:K613,K613)-1)</f>
        <v/>
      </c>
    </row>
    <row r="614">
      <c r="B614" t="str">
        <f>IFERROR(IF(A614="","","="&amp;SUBSTITUTE(SUBSTITUTE(SUBSTITUTE(A614,"~","~~"),"*","~*"),"?","~?")),"")</f>
        <v/>
      </c>
      <c r="C614" t="str">
        <f>IF($B614="","",SUMIFS(dAmt,dCust,$B614,dPer,"&gt;="&amp;pyFrom,dPer,"&lt;="&amp;pyTo,dAmt,"&gt;-1E+300",dFlt1,critFlt1,dFlt2,critFlt2,dFlt3,critFlt3))</f>
        <v/>
      </c>
      <c r="D614" t="str">
        <f>IF($B614="","",SUMIFS(dAmt,dCust,$B614,dPer,"&gt;="&amp;cyFrom,dPer,"&lt;="&amp;cyTo,dAmt,"&gt;-1E+300",dFlt1,critFlt1,dFlt2,critFlt2,dFlt3,critFlt3))</f>
        <v/>
      </c>
      <c r="E614" t="str">
        <f>IF($B614="","",SUMIFS(dQty,dCust,$B614,dPer,"&gt;="&amp;pyFrom,dPer,"&lt;="&amp;pyTo,dQty,"&gt;-1E+300",dFlt1,critFlt1,dFlt2,critFlt2,dFlt3,critFlt3))</f>
        <v/>
      </c>
      <c r="F614" t="str">
        <f>IF($B614="","",SUMIFS(dQty,dCust,$B614,dPer,"&gt;="&amp;cyFrom,dPer,"&lt;="&amp;cyTo,dQty,"&gt;-1E+300",dFlt1,critFlt1,dFlt2,critFlt2,dFlt3,critFlt3))</f>
        <v/>
      </c>
      <c r="G614">
        <f>IF($B614="",0,IFERROR(IF(OR(C614&lt;&gt;0,D614&lt;&gt;0,E614&lt;&gt;0,F614&lt;&gt;0),1,0),1))</f>
        <v>0</v>
      </c>
      <c r="H614" t="str">
        <f>IF(OR(G614=0,E614=0),"",C614/E614)</f>
        <v/>
      </c>
      <c r="I614" t="str">
        <f>IF(OR(G614=0,F614=0),"",D614/F614)</f>
        <v/>
      </c>
      <c r="J614" t="str">
        <f>IF(OR(H614="",I614=""),"",IF(H614=0,"",I614/H614-1))</f>
        <v/>
      </c>
      <c r="K614" t="str">
        <f>IF($B614="","",IFERROR(IF(G614=0,-2E+300,CHOOSE(sortIdx,ROUND(D614,0),IF(J614="",-1E+300,ROUND(-J614,6)),IF(J614="",-1E+300,ROUND(J614,6)))),-1.5E+300))</f>
        <v/>
      </c>
      <c r="L614" t="str">
        <f>IF(K614="","",RANK(K614,$K$2:$K$3001,0)+COUNTIF($K$2:K614,K614)-1)</f>
        <v/>
      </c>
    </row>
    <row r="615">
      <c r="B615" t="str">
        <f>IFERROR(IF(A615="","","="&amp;SUBSTITUTE(SUBSTITUTE(SUBSTITUTE(A615,"~","~~"),"*","~*"),"?","~?")),"")</f>
        <v/>
      </c>
      <c r="C615" t="str">
        <f>IF($B615="","",SUMIFS(dAmt,dCust,$B615,dPer,"&gt;="&amp;pyFrom,dPer,"&lt;="&amp;pyTo,dAmt,"&gt;-1E+300",dFlt1,critFlt1,dFlt2,critFlt2,dFlt3,critFlt3))</f>
        <v/>
      </c>
      <c r="D615" t="str">
        <f>IF($B615="","",SUMIFS(dAmt,dCust,$B615,dPer,"&gt;="&amp;cyFrom,dPer,"&lt;="&amp;cyTo,dAmt,"&gt;-1E+300",dFlt1,critFlt1,dFlt2,critFlt2,dFlt3,critFlt3))</f>
        <v/>
      </c>
      <c r="E615" t="str">
        <f>IF($B615="","",SUMIFS(dQty,dCust,$B615,dPer,"&gt;="&amp;pyFrom,dPer,"&lt;="&amp;pyTo,dQty,"&gt;-1E+300",dFlt1,critFlt1,dFlt2,critFlt2,dFlt3,critFlt3))</f>
        <v/>
      </c>
      <c r="F615" t="str">
        <f>IF($B615="","",SUMIFS(dQty,dCust,$B615,dPer,"&gt;="&amp;cyFrom,dPer,"&lt;="&amp;cyTo,dQty,"&gt;-1E+300",dFlt1,critFlt1,dFlt2,critFlt2,dFlt3,critFlt3))</f>
        <v/>
      </c>
      <c r="G615">
        <f>IF($B615="",0,IFERROR(IF(OR(C615&lt;&gt;0,D615&lt;&gt;0,E615&lt;&gt;0,F615&lt;&gt;0),1,0),1))</f>
        <v>0</v>
      </c>
      <c r="H615" t="str">
        <f>IF(OR(G615=0,E615=0),"",C615/E615)</f>
        <v/>
      </c>
      <c r="I615" t="str">
        <f>IF(OR(G615=0,F615=0),"",D615/F615)</f>
        <v/>
      </c>
      <c r="J615" t="str">
        <f>IF(OR(H615="",I615=""),"",IF(H615=0,"",I615/H615-1))</f>
        <v/>
      </c>
      <c r="K615" t="str">
        <f>IF($B615="","",IFERROR(IF(G615=0,-2E+300,CHOOSE(sortIdx,ROUND(D615,0),IF(J615="",-1E+300,ROUND(-J615,6)),IF(J615="",-1E+300,ROUND(J615,6)))),-1.5E+300))</f>
        <v/>
      </c>
      <c r="L615" t="str">
        <f>IF(K615="","",RANK(K615,$K$2:$K$3001,0)+COUNTIF($K$2:K615,K615)-1)</f>
        <v/>
      </c>
    </row>
    <row r="616">
      <c r="B616" t="str">
        <f>IFERROR(IF(A616="","","="&amp;SUBSTITUTE(SUBSTITUTE(SUBSTITUTE(A616,"~","~~"),"*","~*"),"?","~?")),"")</f>
        <v/>
      </c>
      <c r="C616" t="str">
        <f>IF($B616="","",SUMIFS(dAmt,dCust,$B616,dPer,"&gt;="&amp;pyFrom,dPer,"&lt;="&amp;pyTo,dAmt,"&gt;-1E+300",dFlt1,critFlt1,dFlt2,critFlt2,dFlt3,critFlt3))</f>
        <v/>
      </c>
      <c r="D616" t="str">
        <f>IF($B616="","",SUMIFS(dAmt,dCust,$B616,dPer,"&gt;="&amp;cyFrom,dPer,"&lt;="&amp;cyTo,dAmt,"&gt;-1E+300",dFlt1,critFlt1,dFlt2,critFlt2,dFlt3,critFlt3))</f>
        <v/>
      </c>
      <c r="E616" t="str">
        <f>IF($B616="","",SUMIFS(dQty,dCust,$B616,dPer,"&gt;="&amp;pyFrom,dPer,"&lt;="&amp;pyTo,dQty,"&gt;-1E+300",dFlt1,critFlt1,dFlt2,critFlt2,dFlt3,critFlt3))</f>
        <v/>
      </c>
      <c r="F616" t="str">
        <f>IF($B616="","",SUMIFS(dQty,dCust,$B616,dPer,"&gt;="&amp;cyFrom,dPer,"&lt;="&amp;cyTo,dQty,"&gt;-1E+300",dFlt1,critFlt1,dFlt2,critFlt2,dFlt3,critFlt3))</f>
        <v/>
      </c>
      <c r="G616">
        <f>IF($B616="",0,IFERROR(IF(OR(C616&lt;&gt;0,D616&lt;&gt;0,E616&lt;&gt;0,F616&lt;&gt;0),1,0),1))</f>
        <v>0</v>
      </c>
      <c r="H616" t="str">
        <f>IF(OR(G616=0,E616=0),"",C616/E616)</f>
        <v/>
      </c>
      <c r="I616" t="str">
        <f>IF(OR(G616=0,F616=0),"",D616/F616)</f>
        <v/>
      </c>
      <c r="J616" t="str">
        <f>IF(OR(H616="",I616=""),"",IF(H616=0,"",I616/H616-1))</f>
        <v/>
      </c>
      <c r="K616" t="str">
        <f>IF($B616="","",IFERROR(IF(G616=0,-2E+300,CHOOSE(sortIdx,ROUND(D616,0),IF(J616="",-1E+300,ROUND(-J616,6)),IF(J616="",-1E+300,ROUND(J616,6)))),-1.5E+300))</f>
        <v/>
      </c>
      <c r="L616" t="str">
        <f>IF(K616="","",RANK(K616,$K$2:$K$3001,0)+COUNTIF($K$2:K616,K616)-1)</f>
        <v/>
      </c>
    </row>
    <row r="617">
      <c r="B617" t="str">
        <f>IFERROR(IF(A617="","","="&amp;SUBSTITUTE(SUBSTITUTE(SUBSTITUTE(A617,"~","~~"),"*","~*"),"?","~?")),"")</f>
        <v/>
      </c>
      <c r="C617" t="str">
        <f>IF($B617="","",SUMIFS(dAmt,dCust,$B617,dPer,"&gt;="&amp;pyFrom,dPer,"&lt;="&amp;pyTo,dAmt,"&gt;-1E+300",dFlt1,critFlt1,dFlt2,critFlt2,dFlt3,critFlt3))</f>
        <v/>
      </c>
      <c r="D617" t="str">
        <f>IF($B617="","",SUMIFS(dAmt,dCust,$B617,dPer,"&gt;="&amp;cyFrom,dPer,"&lt;="&amp;cyTo,dAmt,"&gt;-1E+300",dFlt1,critFlt1,dFlt2,critFlt2,dFlt3,critFlt3))</f>
        <v/>
      </c>
      <c r="E617" t="str">
        <f>IF($B617="","",SUMIFS(dQty,dCust,$B617,dPer,"&gt;="&amp;pyFrom,dPer,"&lt;="&amp;pyTo,dQty,"&gt;-1E+300",dFlt1,critFlt1,dFlt2,critFlt2,dFlt3,critFlt3))</f>
        <v/>
      </c>
      <c r="F617" t="str">
        <f>IF($B617="","",SUMIFS(dQty,dCust,$B617,dPer,"&gt;="&amp;cyFrom,dPer,"&lt;="&amp;cyTo,dQty,"&gt;-1E+300",dFlt1,critFlt1,dFlt2,critFlt2,dFlt3,critFlt3))</f>
        <v/>
      </c>
      <c r="G617">
        <f>IF($B617="",0,IFERROR(IF(OR(C617&lt;&gt;0,D617&lt;&gt;0,E617&lt;&gt;0,F617&lt;&gt;0),1,0),1))</f>
        <v>0</v>
      </c>
      <c r="H617" t="str">
        <f>IF(OR(G617=0,E617=0),"",C617/E617)</f>
        <v/>
      </c>
      <c r="I617" t="str">
        <f>IF(OR(G617=0,F617=0),"",D617/F617)</f>
        <v/>
      </c>
      <c r="J617" t="str">
        <f>IF(OR(H617="",I617=""),"",IF(H617=0,"",I617/H617-1))</f>
        <v/>
      </c>
      <c r="K617" t="str">
        <f>IF($B617="","",IFERROR(IF(G617=0,-2E+300,CHOOSE(sortIdx,ROUND(D617,0),IF(J617="",-1E+300,ROUND(-J617,6)),IF(J617="",-1E+300,ROUND(J617,6)))),-1.5E+300))</f>
        <v/>
      </c>
      <c r="L617" t="str">
        <f>IF(K617="","",RANK(K617,$K$2:$K$3001,0)+COUNTIF($K$2:K617,K617)-1)</f>
        <v/>
      </c>
    </row>
    <row r="618">
      <c r="B618" t="str">
        <f>IFERROR(IF(A618="","","="&amp;SUBSTITUTE(SUBSTITUTE(SUBSTITUTE(A618,"~","~~"),"*","~*"),"?","~?")),"")</f>
        <v/>
      </c>
      <c r="C618" t="str">
        <f>IF($B618="","",SUMIFS(dAmt,dCust,$B618,dPer,"&gt;="&amp;pyFrom,dPer,"&lt;="&amp;pyTo,dAmt,"&gt;-1E+300",dFlt1,critFlt1,dFlt2,critFlt2,dFlt3,critFlt3))</f>
        <v/>
      </c>
      <c r="D618" t="str">
        <f>IF($B618="","",SUMIFS(dAmt,dCust,$B618,dPer,"&gt;="&amp;cyFrom,dPer,"&lt;="&amp;cyTo,dAmt,"&gt;-1E+300",dFlt1,critFlt1,dFlt2,critFlt2,dFlt3,critFlt3))</f>
        <v/>
      </c>
      <c r="E618" t="str">
        <f>IF($B618="","",SUMIFS(dQty,dCust,$B618,dPer,"&gt;="&amp;pyFrom,dPer,"&lt;="&amp;pyTo,dQty,"&gt;-1E+300",dFlt1,critFlt1,dFlt2,critFlt2,dFlt3,critFlt3))</f>
        <v/>
      </c>
      <c r="F618" t="str">
        <f>IF($B618="","",SUMIFS(dQty,dCust,$B618,dPer,"&gt;="&amp;cyFrom,dPer,"&lt;="&amp;cyTo,dQty,"&gt;-1E+300",dFlt1,critFlt1,dFlt2,critFlt2,dFlt3,critFlt3))</f>
        <v/>
      </c>
      <c r="G618">
        <f>IF($B618="",0,IFERROR(IF(OR(C618&lt;&gt;0,D618&lt;&gt;0,E618&lt;&gt;0,F618&lt;&gt;0),1,0),1))</f>
        <v>0</v>
      </c>
      <c r="H618" t="str">
        <f>IF(OR(G618=0,E618=0),"",C618/E618)</f>
        <v/>
      </c>
      <c r="I618" t="str">
        <f>IF(OR(G618=0,F618=0),"",D618/F618)</f>
        <v/>
      </c>
      <c r="J618" t="str">
        <f>IF(OR(H618="",I618=""),"",IF(H618=0,"",I618/H618-1))</f>
        <v/>
      </c>
      <c r="K618" t="str">
        <f>IF($B618="","",IFERROR(IF(G618=0,-2E+300,CHOOSE(sortIdx,ROUND(D618,0),IF(J618="",-1E+300,ROUND(-J618,6)),IF(J618="",-1E+300,ROUND(J618,6)))),-1.5E+300))</f>
        <v/>
      </c>
      <c r="L618" t="str">
        <f>IF(K618="","",RANK(K618,$K$2:$K$3001,0)+COUNTIF($K$2:K618,K618)-1)</f>
        <v/>
      </c>
    </row>
    <row r="619">
      <c r="B619" t="str">
        <f>IFERROR(IF(A619="","","="&amp;SUBSTITUTE(SUBSTITUTE(SUBSTITUTE(A619,"~","~~"),"*","~*"),"?","~?")),"")</f>
        <v/>
      </c>
      <c r="C619" t="str">
        <f>IF($B619="","",SUMIFS(dAmt,dCust,$B619,dPer,"&gt;="&amp;pyFrom,dPer,"&lt;="&amp;pyTo,dAmt,"&gt;-1E+300",dFlt1,critFlt1,dFlt2,critFlt2,dFlt3,critFlt3))</f>
        <v/>
      </c>
      <c r="D619" t="str">
        <f>IF($B619="","",SUMIFS(dAmt,dCust,$B619,dPer,"&gt;="&amp;cyFrom,dPer,"&lt;="&amp;cyTo,dAmt,"&gt;-1E+300",dFlt1,critFlt1,dFlt2,critFlt2,dFlt3,critFlt3))</f>
        <v/>
      </c>
      <c r="E619" t="str">
        <f>IF($B619="","",SUMIFS(dQty,dCust,$B619,dPer,"&gt;="&amp;pyFrom,dPer,"&lt;="&amp;pyTo,dQty,"&gt;-1E+300",dFlt1,critFlt1,dFlt2,critFlt2,dFlt3,critFlt3))</f>
        <v/>
      </c>
      <c r="F619" t="str">
        <f>IF($B619="","",SUMIFS(dQty,dCust,$B619,dPer,"&gt;="&amp;cyFrom,dPer,"&lt;="&amp;cyTo,dQty,"&gt;-1E+300",dFlt1,critFlt1,dFlt2,critFlt2,dFlt3,critFlt3))</f>
        <v/>
      </c>
      <c r="G619">
        <f>IF($B619="",0,IFERROR(IF(OR(C619&lt;&gt;0,D619&lt;&gt;0,E619&lt;&gt;0,F619&lt;&gt;0),1,0),1))</f>
        <v>0</v>
      </c>
      <c r="H619" t="str">
        <f>IF(OR(G619=0,E619=0),"",C619/E619)</f>
        <v/>
      </c>
      <c r="I619" t="str">
        <f>IF(OR(G619=0,F619=0),"",D619/F619)</f>
        <v/>
      </c>
      <c r="J619" t="str">
        <f>IF(OR(H619="",I619=""),"",IF(H619=0,"",I619/H619-1))</f>
        <v/>
      </c>
      <c r="K619" t="str">
        <f>IF($B619="","",IFERROR(IF(G619=0,-2E+300,CHOOSE(sortIdx,ROUND(D619,0),IF(J619="",-1E+300,ROUND(-J619,6)),IF(J619="",-1E+300,ROUND(J619,6)))),-1.5E+300))</f>
        <v/>
      </c>
      <c r="L619" t="str">
        <f>IF(K619="","",RANK(K619,$K$2:$K$3001,0)+COUNTIF($K$2:K619,K619)-1)</f>
        <v/>
      </c>
    </row>
    <row r="620">
      <c r="B620" t="str">
        <f>IFERROR(IF(A620="","","="&amp;SUBSTITUTE(SUBSTITUTE(SUBSTITUTE(A620,"~","~~"),"*","~*"),"?","~?")),"")</f>
        <v/>
      </c>
      <c r="C620" t="str">
        <f>IF($B620="","",SUMIFS(dAmt,dCust,$B620,dPer,"&gt;="&amp;pyFrom,dPer,"&lt;="&amp;pyTo,dAmt,"&gt;-1E+300",dFlt1,critFlt1,dFlt2,critFlt2,dFlt3,critFlt3))</f>
        <v/>
      </c>
      <c r="D620" t="str">
        <f>IF($B620="","",SUMIFS(dAmt,dCust,$B620,dPer,"&gt;="&amp;cyFrom,dPer,"&lt;="&amp;cyTo,dAmt,"&gt;-1E+300",dFlt1,critFlt1,dFlt2,critFlt2,dFlt3,critFlt3))</f>
        <v/>
      </c>
      <c r="E620" t="str">
        <f>IF($B620="","",SUMIFS(dQty,dCust,$B620,dPer,"&gt;="&amp;pyFrom,dPer,"&lt;="&amp;pyTo,dQty,"&gt;-1E+300",dFlt1,critFlt1,dFlt2,critFlt2,dFlt3,critFlt3))</f>
        <v/>
      </c>
      <c r="F620" t="str">
        <f>IF($B620="","",SUMIFS(dQty,dCust,$B620,dPer,"&gt;="&amp;cyFrom,dPer,"&lt;="&amp;cyTo,dQty,"&gt;-1E+300",dFlt1,critFlt1,dFlt2,critFlt2,dFlt3,critFlt3))</f>
        <v/>
      </c>
      <c r="G620">
        <f>IF($B620="",0,IFERROR(IF(OR(C620&lt;&gt;0,D620&lt;&gt;0,E620&lt;&gt;0,F620&lt;&gt;0),1,0),1))</f>
        <v>0</v>
      </c>
      <c r="H620" t="str">
        <f>IF(OR(G620=0,E620=0),"",C620/E620)</f>
        <v/>
      </c>
      <c r="I620" t="str">
        <f>IF(OR(G620=0,F620=0),"",D620/F620)</f>
        <v/>
      </c>
      <c r="J620" t="str">
        <f>IF(OR(H620="",I620=""),"",IF(H620=0,"",I620/H620-1))</f>
        <v/>
      </c>
      <c r="K620" t="str">
        <f>IF($B620="","",IFERROR(IF(G620=0,-2E+300,CHOOSE(sortIdx,ROUND(D620,0),IF(J620="",-1E+300,ROUND(-J620,6)),IF(J620="",-1E+300,ROUND(J620,6)))),-1.5E+300))</f>
        <v/>
      </c>
      <c r="L620" t="str">
        <f>IF(K620="","",RANK(K620,$K$2:$K$3001,0)+COUNTIF($K$2:K620,K620)-1)</f>
        <v/>
      </c>
    </row>
    <row r="621">
      <c r="B621" t="str">
        <f>IFERROR(IF(A621="","","="&amp;SUBSTITUTE(SUBSTITUTE(SUBSTITUTE(A621,"~","~~"),"*","~*"),"?","~?")),"")</f>
        <v/>
      </c>
      <c r="C621" t="str">
        <f>IF($B621="","",SUMIFS(dAmt,dCust,$B621,dPer,"&gt;="&amp;pyFrom,dPer,"&lt;="&amp;pyTo,dAmt,"&gt;-1E+300",dFlt1,critFlt1,dFlt2,critFlt2,dFlt3,critFlt3))</f>
        <v/>
      </c>
      <c r="D621" t="str">
        <f>IF($B621="","",SUMIFS(dAmt,dCust,$B621,dPer,"&gt;="&amp;cyFrom,dPer,"&lt;="&amp;cyTo,dAmt,"&gt;-1E+300",dFlt1,critFlt1,dFlt2,critFlt2,dFlt3,critFlt3))</f>
        <v/>
      </c>
      <c r="E621" t="str">
        <f>IF($B621="","",SUMIFS(dQty,dCust,$B621,dPer,"&gt;="&amp;pyFrom,dPer,"&lt;="&amp;pyTo,dQty,"&gt;-1E+300",dFlt1,critFlt1,dFlt2,critFlt2,dFlt3,critFlt3))</f>
        <v/>
      </c>
      <c r="F621" t="str">
        <f>IF($B621="","",SUMIFS(dQty,dCust,$B621,dPer,"&gt;="&amp;cyFrom,dPer,"&lt;="&amp;cyTo,dQty,"&gt;-1E+300",dFlt1,critFlt1,dFlt2,critFlt2,dFlt3,critFlt3))</f>
        <v/>
      </c>
      <c r="G621">
        <f>IF($B621="",0,IFERROR(IF(OR(C621&lt;&gt;0,D621&lt;&gt;0,E621&lt;&gt;0,F621&lt;&gt;0),1,0),1))</f>
        <v>0</v>
      </c>
      <c r="H621" t="str">
        <f>IF(OR(G621=0,E621=0),"",C621/E621)</f>
        <v/>
      </c>
      <c r="I621" t="str">
        <f>IF(OR(G621=0,F621=0),"",D621/F621)</f>
        <v/>
      </c>
      <c r="J621" t="str">
        <f>IF(OR(H621="",I621=""),"",IF(H621=0,"",I621/H621-1))</f>
        <v/>
      </c>
      <c r="K621" t="str">
        <f>IF($B621="","",IFERROR(IF(G621=0,-2E+300,CHOOSE(sortIdx,ROUND(D621,0),IF(J621="",-1E+300,ROUND(-J621,6)),IF(J621="",-1E+300,ROUND(J621,6)))),-1.5E+300))</f>
        <v/>
      </c>
      <c r="L621" t="str">
        <f>IF(K621="","",RANK(K621,$K$2:$K$3001,0)+COUNTIF($K$2:K621,K621)-1)</f>
        <v/>
      </c>
    </row>
    <row r="622">
      <c r="B622" t="str">
        <f>IFERROR(IF(A622="","","="&amp;SUBSTITUTE(SUBSTITUTE(SUBSTITUTE(A622,"~","~~"),"*","~*"),"?","~?")),"")</f>
        <v/>
      </c>
      <c r="C622" t="str">
        <f>IF($B622="","",SUMIFS(dAmt,dCust,$B622,dPer,"&gt;="&amp;pyFrom,dPer,"&lt;="&amp;pyTo,dAmt,"&gt;-1E+300",dFlt1,critFlt1,dFlt2,critFlt2,dFlt3,critFlt3))</f>
        <v/>
      </c>
      <c r="D622" t="str">
        <f>IF($B622="","",SUMIFS(dAmt,dCust,$B622,dPer,"&gt;="&amp;cyFrom,dPer,"&lt;="&amp;cyTo,dAmt,"&gt;-1E+300",dFlt1,critFlt1,dFlt2,critFlt2,dFlt3,critFlt3))</f>
        <v/>
      </c>
      <c r="E622" t="str">
        <f>IF($B622="","",SUMIFS(dQty,dCust,$B622,dPer,"&gt;="&amp;pyFrom,dPer,"&lt;="&amp;pyTo,dQty,"&gt;-1E+300",dFlt1,critFlt1,dFlt2,critFlt2,dFlt3,critFlt3))</f>
        <v/>
      </c>
      <c r="F622" t="str">
        <f>IF($B622="","",SUMIFS(dQty,dCust,$B622,dPer,"&gt;="&amp;cyFrom,dPer,"&lt;="&amp;cyTo,dQty,"&gt;-1E+300",dFlt1,critFlt1,dFlt2,critFlt2,dFlt3,critFlt3))</f>
        <v/>
      </c>
      <c r="G622">
        <f>IF($B622="",0,IFERROR(IF(OR(C622&lt;&gt;0,D622&lt;&gt;0,E622&lt;&gt;0,F622&lt;&gt;0),1,0),1))</f>
        <v>0</v>
      </c>
      <c r="H622" t="str">
        <f>IF(OR(G622=0,E622=0),"",C622/E622)</f>
        <v/>
      </c>
      <c r="I622" t="str">
        <f>IF(OR(G622=0,F622=0),"",D622/F622)</f>
        <v/>
      </c>
      <c r="J622" t="str">
        <f>IF(OR(H622="",I622=""),"",IF(H622=0,"",I622/H622-1))</f>
        <v/>
      </c>
      <c r="K622" t="str">
        <f>IF($B622="","",IFERROR(IF(G622=0,-2E+300,CHOOSE(sortIdx,ROUND(D622,0),IF(J622="",-1E+300,ROUND(-J622,6)),IF(J622="",-1E+300,ROUND(J622,6)))),-1.5E+300))</f>
        <v/>
      </c>
      <c r="L622" t="str">
        <f>IF(K622="","",RANK(K622,$K$2:$K$3001,0)+COUNTIF($K$2:K622,K622)-1)</f>
        <v/>
      </c>
    </row>
    <row r="623">
      <c r="B623" t="str">
        <f>IFERROR(IF(A623="","","="&amp;SUBSTITUTE(SUBSTITUTE(SUBSTITUTE(A623,"~","~~"),"*","~*"),"?","~?")),"")</f>
        <v/>
      </c>
      <c r="C623" t="str">
        <f>IF($B623="","",SUMIFS(dAmt,dCust,$B623,dPer,"&gt;="&amp;pyFrom,dPer,"&lt;="&amp;pyTo,dAmt,"&gt;-1E+300",dFlt1,critFlt1,dFlt2,critFlt2,dFlt3,critFlt3))</f>
        <v/>
      </c>
      <c r="D623" t="str">
        <f>IF($B623="","",SUMIFS(dAmt,dCust,$B623,dPer,"&gt;="&amp;cyFrom,dPer,"&lt;="&amp;cyTo,dAmt,"&gt;-1E+300",dFlt1,critFlt1,dFlt2,critFlt2,dFlt3,critFlt3))</f>
        <v/>
      </c>
      <c r="E623" t="str">
        <f>IF($B623="","",SUMIFS(dQty,dCust,$B623,dPer,"&gt;="&amp;pyFrom,dPer,"&lt;="&amp;pyTo,dQty,"&gt;-1E+300",dFlt1,critFlt1,dFlt2,critFlt2,dFlt3,critFlt3))</f>
        <v/>
      </c>
      <c r="F623" t="str">
        <f>IF($B623="","",SUMIFS(dQty,dCust,$B623,dPer,"&gt;="&amp;cyFrom,dPer,"&lt;="&amp;cyTo,dQty,"&gt;-1E+300",dFlt1,critFlt1,dFlt2,critFlt2,dFlt3,critFlt3))</f>
        <v/>
      </c>
      <c r="G623">
        <f>IF($B623="",0,IFERROR(IF(OR(C623&lt;&gt;0,D623&lt;&gt;0,E623&lt;&gt;0,F623&lt;&gt;0),1,0),1))</f>
        <v>0</v>
      </c>
      <c r="H623" t="str">
        <f>IF(OR(G623=0,E623=0),"",C623/E623)</f>
        <v/>
      </c>
      <c r="I623" t="str">
        <f>IF(OR(G623=0,F623=0),"",D623/F623)</f>
        <v/>
      </c>
      <c r="J623" t="str">
        <f>IF(OR(H623="",I623=""),"",IF(H623=0,"",I623/H623-1))</f>
        <v/>
      </c>
      <c r="K623" t="str">
        <f>IF($B623="","",IFERROR(IF(G623=0,-2E+300,CHOOSE(sortIdx,ROUND(D623,0),IF(J623="",-1E+300,ROUND(-J623,6)),IF(J623="",-1E+300,ROUND(J623,6)))),-1.5E+300))</f>
        <v/>
      </c>
      <c r="L623" t="str">
        <f>IF(K623="","",RANK(K623,$K$2:$K$3001,0)+COUNTIF($K$2:K623,K623)-1)</f>
        <v/>
      </c>
    </row>
    <row r="624">
      <c r="B624" t="str">
        <f>IFERROR(IF(A624="","","="&amp;SUBSTITUTE(SUBSTITUTE(SUBSTITUTE(A624,"~","~~"),"*","~*"),"?","~?")),"")</f>
        <v/>
      </c>
      <c r="C624" t="str">
        <f>IF($B624="","",SUMIFS(dAmt,dCust,$B624,dPer,"&gt;="&amp;pyFrom,dPer,"&lt;="&amp;pyTo,dAmt,"&gt;-1E+300",dFlt1,critFlt1,dFlt2,critFlt2,dFlt3,critFlt3))</f>
        <v/>
      </c>
      <c r="D624" t="str">
        <f>IF($B624="","",SUMIFS(dAmt,dCust,$B624,dPer,"&gt;="&amp;cyFrom,dPer,"&lt;="&amp;cyTo,dAmt,"&gt;-1E+300",dFlt1,critFlt1,dFlt2,critFlt2,dFlt3,critFlt3))</f>
        <v/>
      </c>
      <c r="E624" t="str">
        <f>IF($B624="","",SUMIFS(dQty,dCust,$B624,dPer,"&gt;="&amp;pyFrom,dPer,"&lt;="&amp;pyTo,dQty,"&gt;-1E+300",dFlt1,critFlt1,dFlt2,critFlt2,dFlt3,critFlt3))</f>
        <v/>
      </c>
      <c r="F624" t="str">
        <f>IF($B624="","",SUMIFS(dQty,dCust,$B624,dPer,"&gt;="&amp;cyFrom,dPer,"&lt;="&amp;cyTo,dQty,"&gt;-1E+300",dFlt1,critFlt1,dFlt2,critFlt2,dFlt3,critFlt3))</f>
        <v/>
      </c>
      <c r="G624">
        <f>IF($B624="",0,IFERROR(IF(OR(C624&lt;&gt;0,D624&lt;&gt;0,E624&lt;&gt;0,F624&lt;&gt;0),1,0),1))</f>
        <v>0</v>
      </c>
      <c r="H624" t="str">
        <f>IF(OR(G624=0,E624=0),"",C624/E624)</f>
        <v/>
      </c>
      <c r="I624" t="str">
        <f>IF(OR(G624=0,F624=0),"",D624/F624)</f>
        <v/>
      </c>
      <c r="J624" t="str">
        <f>IF(OR(H624="",I624=""),"",IF(H624=0,"",I624/H624-1))</f>
        <v/>
      </c>
      <c r="K624" t="str">
        <f>IF($B624="","",IFERROR(IF(G624=0,-2E+300,CHOOSE(sortIdx,ROUND(D624,0),IF(J624="",-1E+300,ROUND(-J624,6)),IF(J624="",-1E+300,ROUND(J624,6)))),-1.5E+300))</f>
        <v/>
      </c>
      <c r="L624" t="str">
        <f>IF(K624="","",RANK(K624,$K$2:$K$3001,0)+COUNTIF($K$2:K624,K624)-1)</f>
        <v/>
      </c>
    </row>
    <row r="625">
      <c r="B625" t="str">
        <f>IFERROR(IF(A625="","","="&amp;SUBSTITUTE(SUBSTITUTE(SUBSTITUTE(A625,"~","~~"),"*","~*"),"?","~?")),"")</f>
        <v/>
      </c>
      <c r="C625" t="str">
        <f>IF($B625="","",SUMIFS(dAmt,dCust,$B625,dPer,"&gt;="&amp;pyFrom,dPer,"&lt;="&amp;pyTo,dAmt,"&gt;-1E+300",dFlt1,critFlt1,dFlt2,critFlt2,dFlt3,critFlt3))</f>
        <v/>
      </c>
      <c r="D625" t="str">
        <f>IF($B625="","",SUMIFS(dAmt,dCust,$B625,dPer,"&gt;="&amp;cyFrom,dPer,"&lt;="&amp;cyTo,dAmt,"&gt;-1E+300",dFlt1,critFlt1,dFlt2,critFlt2,dFlt3,critFlt3))</f>
        <v/>
      </c>
      <c r="E625" t="str">
        <f>IF($B625="","",SUMIFS(dQty,dCust,$B625,dPer,"&gt;="&amp;pyFrom,dPer,"&lt;="&amp;pyTo,dQty,"&gt;-1E+300",dFlt1,critFlt1,dFlt2,critFlt2,dFlt3,critFlt3))</f>
        <v/>
      </c>
      <c r="F625" t="str">
        <f>IF($B625="","",SUMIFS(dQty,dCust,$B625,dPer,"&gt;="&amp;cyFrom,dPer,"&lt;="&amp;cyTo,dQty,"&gt;-1E+300",dFlt1,critFlt1,dFlt2,critFlt2,dFlt3,critFlt3))</f>
        <v/>
      </c>
      <c r="G625">
        <f>IF($B625="",0,IFERROR(IF(OR(C625&lt;&gt;0,D625&lt;&gt;0,E625&lt;&gt;0,F625&lt;&gt;0),1,0),1))</f>
        <v>0</v>
      </c>
      <c r="H625" t="str">
        <f>IF(OR(G625=0,E625=0),"",C625/E625)</f>
        <v/>
      </c>
      <c r="I625" t="str">
        <f>IF(OR(G625=0,F625=0),"",D625/F625)</f>
        <v/>
      </c>
      <c r="J625" t="str">
        <f>IF(OR(H625="",I625=""),"",IF(H625=0,"",I625/H625-1))</f>
        <v/>
      </c>
      <c r="K625" t="str">
        <f>IF($B625="","",IFERROR(IF(G625=0,-2E+300,CHOOSE(sortIdx,ROUND(D625,0),IF(J625="",-1E+300,ROUND(-J625,6)),IF(J625="",-1E+300,ROUND(J625,6)))),-1.5E+300))</f>
        <v/>
      </c>
      <c r="L625" t="str">
        <f>IF(K625="","",RANK(K625,$K$2:$K$3001,0)+COUNTIF($K$2:K625,K625)-1)</f>
        <v/>
      </c>
    </row>
    <row r="626">
      <c r="B626" t="str">
        <f>IFERROR(IF(A626="","","="&amp;SUBSTITUTE(SUBSTITUTE(SUBSTITUTE(A626,"~","~~"),"*","~*"),"?","~?")),"")</f>
        <v/>
      </c>
      <c r="C626" t="str">
        <f>IF($B626="","",SUMIFS(dAmt,dCust,$B626,dPer,"&gt;="&amp;pyFrom,dPer,"&lt;="&amp;pyTo,dAmt,"&gt;-1E+300",dFlt1,critFlt1,dFlt2,critFlt2,dFlt3,critFlt3))</f>
        <v/>
      </c>
      <c r="D626" t="str">
        <f>IF($B626="","",SUMIFS(dAmt,dCust,$B626,dPer,"&gt;="&amp;cyFrom,dPer,"&lt;="&amp;cyTo,dAmt,"&gt;-1E+300",dFlt1,critFlt1,dFlt2,critFlt2,dFlt3,critFlt3))</f>
        <v/>
      </c>
      <c r="E626" t="str">
        <f>IF($B626="","",SUMIFS(dQty,dCust,$B626,dPer,"&gt;="&amp;pyFrom,dPer,"&lt;="&amp;pyTo,dQty,"&gt;-1E+300",dFlt1,critFlt1,dFlt2,critFlt2,dFlt3,critFlt3))</f>
        <v/>
      </c>
      <c r="F626" t="str">
        <f>IF($B626="","",SUMIFS(dQty,dCust,$B626,dPer,"&gt;="&amp;cyFrom,dPer,"&lt;="&amp;cyTo,dQty,"&gt;-1E+300",dFlt1,critFlt1,dFlt2,critFlt2,dFlt3,critFlt3))</f>
        <v/>
      </c>
      <c r="G626">
        <f>IF($B626="",0,IFERROR(IF(OR(C626&lt;&gt;0,D626&lt;&gt;0,E626&lt;&gt;0,F626&lt;&gt;0),1,0),1))</f>
        <v>0</v>
      </c>
      <c r="H626" t="str">
        <f>IF(OR(G626=0,E626=0),"",C626/E626)</f>
        <v/>
      </c>
      <c r="I626" t="str">
        <f>IF(OR(G626=0,F626=0),"",D626/F626)</f>
        <v/>
      </c>
      <c r="J626" t="str">
        <f>IF(OR(H626="",I626=""),"",IF(H626=0,"",I626/H626-1))</f>
        <v/>
      </c>
      <c r="K626" t="str">
        <f>IF($B626="","",IFERROR(IF(G626=0,-2E+300,CHOOSE(sortIdx,ROUND(D626,0),IF(J626="",-1E+300,ROUND(-J626,6)),IF(J626="",-1E+300,ROUND(J626,6)))),-1.5E+300))</f>
        <v/>
      </c>
      <c r="L626" t="str">
        <f>IF(K626="","",RANK(K626,$K$2:$K$3001,0)+COUNTIF($K$2:K626,K626)-1)</f>
        <v/>
      </c>
    </row>
    <row r="627">
      <c r="B627" t="str">
        <f>IFERROR(IF(A627="","","="&amp;SUBSTITUTE(SUBSTITUTE(SUBSTITUTE(A627,"~","~~"),"*","~*"),"?","~?")),"")</f>
        <v/>
      </c>
      <c r="C627" t="str">
        <f>IF($B627="","",SUMIFS(dAmt,dCust,$B627,dPer,"&gt;="&amp;pyFrom,dPer,"&lt;="&amp;pyTo,dAmt,"&gt;-1E+300",dFlt1,critFlt1,dFlt2,critFlt2,dFlt3,critFlt3))</f>
        <v/>
      </c>
      <c r="D627" t="str">
        <f>IF($B627="","",SUMIFS(dAmt,dCust,$B627,dPer,"&gt;="&amp;cyFrom,dPer,"&lt;="&amp;cyTo,dAmt,"&gt;-1E+300",dFlt1,critFlt1,dFlt2,critFlt2,dFlt3,critFlt3))</f>
        <v/>
      </c>
      <c r="E627" t="str">
        <f>IF($B627="","",SUMIFS(dQty,dCust,$B627,dPer,"&gt;="&amp;pyFrom,dPer,"&lt;="&amp;pyTo,dQty,"&gt;-1E+300",dFlt1,critFlt1,dFlt2,critFlt2,dFlt3,critFlt3))</f>
        <v/>
      </c>
      <c r="F627" t="str">
        <f>IF($B627="","",SUMIFS(dQty,dCust,$B627,dPer,"&gt;="&amp;cyFrom,dPer,"&lt;="&amp;cyTo,dQty,"&gt;-1E+300",dFlt1,critFlt1,dFlt2,critFlt2,dFlt3,critFlt3))</f>
        <v/>
      </c>
      <c r="G627">
        <f>IF($B627="",0,IFERROR(IF(OR(C627&lt;&gt;0,D627&lt;&gt;0,E627&lt;&gt;0,F627&lt;&gt;0),1,0),1))</f>
        <v>0</v>
      </c>
      <c r="H627" t="str">
        <f>IF(OR(G627=0,E627=0),"",C627/E627)</f>
        <v/>
      </c>
      <c r="I627" t="str">
        <f>IF(OR(G627=0,F627=0),"",D627/F627)</f>
        <v/>
      </c>
      <c r="J627" t="str">
        <f>IF(OR(H627="",I627=""),"",IF(H627=0,"",I627/H627-1))</f>
        <v/>
      </c>
      <c r="K627" t="str">
        <f>IF($B627="","",IFERROR(IF(G627=0,-2E+300,CHOOSE(sortIdx,ROUND(D627,0),IF(J627="",-1E+300,ROUND(-J627,6)),IF(J627="",-1E+300,ROUND(J627,6)))),-1.5E+300))</f>
        <v/>
      </c>
      <c r="L627" t="str">
        <f>IF(K627="","",RANK(K627,$K$2:$K$3001,0)+COUNTIF($K$2:K627,K627)-1)</f>
        <v/>
      </c>
    </row>
    <row r="628">
      <c r="B628" t="str">
        <f>IFERROR(IF(A628="","","="&amp;SUBSTITUTE(SUBSTITUTE(SUBSTITUTE(A628,"~","~~"),"*","~*"),"?","~?")),"")</f>
        <v/>
      </c>
      <c r="C628" t="str">
        <f>IF($B628="","",SUMIFS(dAmt,dCust,$B628,dPer,"&gt;="&amp;pyFrom,dPer,"&lt;="&amp;pyTo,dAmt,"&gt;-1E+300",dFlt1,critFlt1,dFlt2,critFlt2,dFlt3,critFlt3))</f>
        <v/>
      </c>
      <c r="D628" t="str">
        <f>IF($B628="","",SUMIFS(dAmt,dCust,$B628,dPer,"&gt;="&amp;cyFrom,dPer,"&lt;="&amp;cyTo,dAmt,"&gt;-1E+300",dFlt1,critFlt1,dFlt2,critFlt2,dFlt3,critFlt3))</f>
        <v/>
      </c>
      <c r="E628" t="str">
        <f>IF($B628="","",SUMIFS(dQty,dCust,$B628,dPer,"&gt;="&amp;pyFrom,dPer,"&lt;="&amp;pyTo,dQty,"&gt;-1E+300",dFlt1,critFlt1,dFlt2,critFlt2,dFlt3,critFlt3))</f>
        <v/>
      </c>
      <c r="F628" t="str">
        <f>IF($B628="","",SUMIFS(dQty,dCust,$B628,dPer,"&gt;="&amp;cyFrom,dPer,"&lt;="&amp;cyTo,dQty,"&gt;-1E+300",dFlt1,critFlt1,dFlt2,critFlt2,dFlt3,critFlt3))</f>
        <v/>
      </c>
      <c r="G628">
        <f>IF($B628="",0,IFERROR(IF(OR(C628&lt;&gt;0,D628&lt;&gt;0,E628&lt;&gt;0,F628&lt;&gt;0),1,0),1))</f>
        <v>0</v>
      </c>
      <c r="H628" t="str">
        <f>IF(OR(G628=0,E628=0),"",C628/E628)</f>
        <v/>
      </c>
      <c r="I628" t="str">
        <f>IF(OR(G628=0,F628=0),"",D628/F628)</f>
        <v/>
      </c>
      <c r="J628" t="str">
        <f>IF(OR(H628="",I628=""),"",IF(H628=0,"",I628/H628-1))</f>
        <v/>
      </c>
      <c r="K628" t="str">
        <f>IF($B628="","",IFERROR(IF(G628=0,-2E+300,CHOOSE(sortIdx,ROUND(D628,0),IF(J628="",-1E+300,ROUND(-J628,6)),IF(J628="",-1E+300,ROUND(J628,6)))),-1.5E+300))</f>
        <v/>
      </c>
      <c r="L628" t="str">
        <f>IF(K628="","",RANK(K628,$K$2:$K$3001,0)+COUNTIF($K$2:K628,K628)-1)</f>
        <v/>
      </c>
    </row>
    <row r="629">
      <c r="B629" t="str">
        <f>IFERROR(IF(A629="","","="&amp;SUBSTITUTE(SUBSTITUTE(SUBSTITUTE(A629,"~","~~"),"*","~*"),"?","~?")),"")</f>
        <v/>
      </c>
      <c r="C629" t="str">
        <f>IF($B629="","",SUMIFS(dAmt,dCust,$B629,dPer,"&gt;="&amp;pyFrom,dPer,"&lt;="&amp;pyTo,dAmt,"&gt;-1E+300",dFlt1,critFlt1,dFlt2,critFlt2,dFlt3,critFlt3))</f>
        <v/>
      </c>
      <c r="D629" t="str">
        <f>IF($B629="","",SUMIFS(dAmt,dCust,$B629,dPer,"&gt;="&amp;cyFrom,dPer,"&lt;="&amp;cyTo,dAmt,"&gt;-1E+300",dFlt1,critFlt1,dFlt2,critFlt2,dFlt3,critFlt3))</f>
        <v/>
      </c>
      <c r="E629" t="str">
        <f>IF($B629="","",SUMIFS(dQty,dCust,$B629,dPer,"&gt;="&amp;pyFrom,dPer,"&lt;="&amp;pyTo,dQty,"&gt;-1E+300",dFlt1,critFlt1,dFlt2,critFlt2,dFlt3,critFlt3))</f>
        <v/>
      </c>
      <c r="F629" t="str">
        <f>IF($B629="","",SUMIFS(dQty,dCust,$B629,dPer,"&gt;="&amp;cyFrom,dPer,"&lt;="&amp;cyTo,dQty,"&gt;-1E+300",dFlt1,critFlt1,dFlt2,critFlt2,dFlt3,critFlt3))</f>
        <v/>
      </c>
      <c r="G629">
        <f>IF($B629="",0,IFERROR(IF(OR(C629&lt;&gt;0,D629&lt;&gt;0,E629&lt;&gt;0,F629&lt;&gt;0),1,0),1))</f>
        <v>0</v>
      </c>
      <c r="H629" t="str">
        <f>IF(OR(G629=0,E629=0),"",C629/E629)</f>
        <v/>
      </c>
      <c r="I629" t="str">
        <f>IF(OR(G629=0,F629=0),"",D629/F629)</f>
        <v/>
      </c>
      <c r="J629" t="str">
        <f>IF(OR(H629="",I629=""),"",IF(H629=0,"",I629/H629-1))</f>
        <v/>
      </c>
      <c r="K629" t="str">
        <f>IF($B629="","",IFERROR(IF(G629=0,-2E+300,CHOOSE(sortIdx,ROUND(D629,0),IF(J629="",-1E+300,ROUND(-J629,6)),IF(J629="",-1E+300,ROUND(J629,6)))),-1.5E+300))</f>
        <v/>
      </c>
      <c r="L629" t="str">
        <f>IF(K629="","",RANK(K629,$K$2:$K$3001,0)+COUNTIF($K$2:K629,K629)-1)</f>
        <v/>
      </c>
    </row>
    <row r="630">
      <c r="B630" t="str">
        <f>IFERROR(IF(A630="","","="&amp;SUBSTITUTE(SUBSTITUTE(SUBSTITUTE(A630,"~","~~"),"*","~*"),"?","~?")),"")</f>
        <v/>
      </c>
      <c r="C630" t="str">
        <f>IF($B630="","",SUMIFS(dAmt,dCust,$B630,dPer,"&gt;="&amp;pyFrom,dPer,"&lt;="&amp;pyTo,dAmt,"&gt;-1E+300",dFlt1,critFlt1,dFlt2,critFlt2,dFlt3,critFlt3))</f>
        <v/>
      </c>
      <c r="D630" t="str">
        <f>IF($B630="","",SUMIFS(dAmt,dCust,$B630,dPer,"&gt;="&amp;cyFrom,dPer,"&lt;="&amp;cyTo,dAmt,"&gt;-1E+300",dFlt1,critFlt1,dFlt2,critFlt2,dFlt3,critFlt3))</f>
        <v/>
      </c>
      <c r="E630" t="str">
        <f>IF($B630="","",SUMIFS(dQty,dCust,$B630,dPer,"&gt;="&amp;pyFrom,dPer,"&lt;="&amp;pyTo,dQty,"&gt;-1E+300",dFlt1,critFlt1,dFlt2,critFlt2,dFlt3,critFlt3))</f>
        <v/>
      </c>
      <c r="F630" t="str">
        <f>IF($B630="","",SUMIFS(dQty,dCust,$B630,dPer,"&gt;="&amp;cyFrom,dPer,"&lt;="&amp;cyTo,dQty,"&gt;-1E+300",dFlt1,critFlt1,dFlt2,critFlt2,dFlt3,critFlt3))</f>
        <v/>
      </c>
      <c r="G630">
        <f>IF($B630="",0,IFERROR(IF(OR(C630&lt;&gt;0,D630&lt;&gt;0,E630&lt;&gt;0,F630&lt;&gt;0),1,0),1))</f>
        <v>0</v>
      </c>
      <c r="H630" t="str">
        <f>IF(OR(G630=0,E630=0),"",C630/E630)</f>
        <v/>
      </c>
      <c r="I630" t="str">
        <f>IF(OR(G630=0,F630=0),"",D630/F630)</f>
        <v/>
      </c>
      <c r="J630" t="str">
        <f>IF(OR(H630="",I630=""),"",IF(H630=0,"",I630/H630-1))</f>
        <v/>
      </c>
      <c r="K630" t="str">
        <f>IF($B630="","",IFERROR(IF(G630=0,-2E+300,CHOOSE(sortIdx,ROUND(D630,0),IF(J630="",-1E+300,ROUND(-J630,6)),IF(J630="",-1E+300,ROUND(J630,6)))),-1.5E+300))</f>
        <v/>
      </c>
      <c r="L630" t="str">
        <f>IF(K630="","",RANK(K630,$K$2:$K$3001,0)+COUNTIF($K$2:K630,K630)-1)</f>
        <v/>
      </c>
    </row>
    <row r="631">
      <c r="B631" t="str">
        <f>IFERROR(IF(A631="","","="&amp;SUBSTITUTE(SUBSTITUTE(SUBSTITUTE(A631,"~","~~"),"*","~*"),"?","~?")),"")</f>
        <v/>
      </c>
      <c r="C631" t="str">
        <f>IF($B631="","",SUMIFS(dAmt,dCust,$B631,dPer,"&gt;="&amp;pyFrom,dPer,"&lt;="&amp;pyTo,dAmt,"&gt;-1E+300",dFlt1,critFlt1,dFlt2,critFlt2,dFlt3,critFlt3))</f>
        <v/>
      </c>
      <c r="D631" t="str">
        <f>IF($B631="","",SUMIFS(dAmt,dCust,$B631,dPer,"&gt;="&amp;cyFrom,dPer,"&lt;="&amp;cyTo,dAmt,"&gt;-1E+300",dFlt1,critFlt1,dFlt2,critFlt2,dFlt3,critFlt3))</f>
        <v/>
      </c>
      <c r="E631" t="str">
        <f>IF($B631="","",SUMIFS(dQty,dCust,$B631,dPer,"&gt;="&amp;pyFrom,dPer,"&lt;="&amp;pyTo,dQty,"&gt;-1E+300",dFlt1,critFlt1,dFlt2,critFlt2,dFlt3,critFlt3))</f>
        <v/>
      </c>
      <c r="F631" t="str">
        <f>IF($B631="","",SUMIFS(dQty,dCust,$B631,dPer,"&gt;="&amp;cyFrom,dPer,"&lt;="&amp;cyTo,dQty,"&gt;-1E+300",dFlt1,critFlt1,dFlt2,critFlt2,dFlt3,critFlt3))</f>
        <v/>
      </c>
      <c r="G631">
        <f>IF($B631="",0,IFERROR(IF(OR(C631&lt;&gt;0,D631&lt;&gt;0,E631&lt;&gt;0,F631&lt;&gt;0),1,0),1))</f>
        <v>0</v>
      </c>
      <c r="H631" t="str">
        <f>IF(OR(G631=0,E631=0),"",C631/E631)</f>
        <v/>
      </c>
      <c r="I631" t="str">
        <f>IF(OR(G631=0,F631=0),"",D631/F631)</f>
        <v/>
      </c>
      <c r="J631" t="str">
        <f>IF(OR(H631="",I631=""),"",IF(H631=0,"",I631/H631-1))</f>
        <v/>
      </c>
      <c r="K631" t="str">
        <f>IF($B631="","",IFERROR(IF(G631=0,-2E+300,CHOOSE(sortIdx,ROUND(D631,0),IF(J631="",-1E+300,ROUND(-J631,6)),IF(J631="",-1E+300,ROUND(J631,6)))),-1.5E+300))</f>
        <v/>
      </c>
      <c r="L631" t="str">
        <f>IF(K631="","",RANK(K631,$K$2:$K$3001,0)+COUNTIF($K$2:K631,K631)-1)</f>
        <v/>
      </c>
    </row>
    <row r="632">
      <c r="B632" t="str">
        <f>IFERROR(IF(A632="","","="&amp;SUBSTITUTE(SUBSTITUTE(SUBSTITUTE(A632,"~","~~"),"*","~*"),"?","~?")),"")</f>
        <v/>
      </c>
      <c r="C632" t="str">
        <f>IF($B632="","",SUMIFS(dAmt,dCust,$B632,dPer,"&gt;="&amp;pyFrom,dPer,"&lt;="&amp;pyTo,dAmt,"&gt;-1E+300",dFlt1,critFlt1,dFlt2,critFlt2,dFlt3,critFlt3))</f>
        <v/>
      </c>
      <c r="D632" t="str">
        <f>IF($B632="","",SUMIFS(dAmt,dCust,$B632,dPer,"&gt;="&amp;cyFrom,dPer,"&lt;="&amp;cyTo,dAmt,"&gt;-1E+300",dFlt1,critFlt1,dFlt2,critFlt2,dFlt3,critFlt3))</f>
        <v/>
      </c>
      <c r="E632" t="str">
        <f>IF($B632="","",SUMIFS(dQty,dCust,$B632,dPer,"&gt;="&amp;pyFrom,dPer,"&lt;="&amp;pyTo,dQty,"&gt;-1E+300",dFlt1,critFlt1,dFlt2,critFlt2,dFlt3,critFlt3))</f>
        <v/>
      </c>
      <c r="F632" t="str">
        <f>IF($B632="","",SUMIFS(dQty,dCust,$B632,dPer,"&gt;="&amp;cyFrom,dPer,"&lt;="&amp;cyTo,dQty,"&gt;-1E+300",dFlt1,critFlt1,dFlt2,critFlt2,dFlt3,critFlt3))</f>
        <v/>
      </c>
      <c r="G632">
        <f>IF($B632="",0,IFERROR(IF(OR(C632&lt;&gt;0,D632&lt;&gt;0,E632&lt;&gt;0,F632&lt;&gt;0),1,0),1))</f>
        <v>0</v>
      </c>
      <c r="H632" t="str">
        <f>IF(OR(G632=0,E632=0),"",C632/E632)</f>
        <v/>
      </c>
      <c r="I632" t="str">
        <f>IF(OR(G632=0,F632=0),"",D632/F632)</f>
        <v/>
      </c>
      <c r="J632" t="str">
        <f>IF(OR(H632="",I632=""),"",IF(H632=0,"",I632/H632-1))</f>
        <v/>
      </c>
      <c r="K632" t="str">
        <f>IF($B632="","",IFERROR(IF(G632=0,-2E+300,CHOOSE(sortIdx,ROUND(D632,0),IF(J632="",-1E+300,ROUND(-J632,6)),IF(J632="",-1E+300,ROUND(J632,6)))),-1.5E+300))</f>
        <v/>
      </c>
      <c r="L632" t="str">
        <f>IF(K632="","",RANK(K632,$K$2:$K$3001,0)+COUNTIF($K$2:K632,K632)-1)</f>
        <v/>
      </c>
    </row>
    <row r="633">
      <c r="B633" t="str">
        <f>IFERROR(IF(A633="","","="&amp;SUBSTITUTE(SUBSTITUTE(SUBSTITUTE(A633,"~","~~"),"*","~*"),"?","~?")),"")</f>
        <v/>
      </c>
      <c r="C633" t="str">
        <f>IF($B633="","",SUMIFS(dAmt,dCust,$B633,dPer,"&gt;="&amp;pyFrom,dPer,"&lt;="&amp;pyTo,dAmt,"&gt;-1E+300",dFlt1,critFlt1,dFlt2,critFlt2,dFlt3,critFlt3))</f>
        <v/>
      </c>
      <c r="D633" t="str">
        <f>IF($B633="","",SUMIFS(dAmt,dCust,$B633,dPer,"&gt;="&amp;cyFrom,dPer,"&lt;="&amp;cyTo,dAmt,"&gt;-1E+300",dFlt1,critFlt1,dFlt2,critFlt2,dFlt3,critFlt3))</f>
        <v/>
      </c>
      <c r="E633" t="str">
        <f>IF($B633="","",SUMIFS(dQty,dCust,$B633,dPer,"&gt;="&amp;pyFrom,dPer,"&lt;="&amp;pyTo,dQty,"&gt;-1E+300",dFlt1,critFlt1,dFlt2,critFlt2,dFlt3,critFlt3))</f>
        <v/>
      </c>
      <c r="F633" t="str">
        <f>IF($B633="","",SUMIFS(dQty,dCust,$B633,dPer,"&gt;="&amp;cyFrom,dPer,"&lt;="&amp;cyTo,dQty,"&gt;-1E+300",dFlt1,critFlt1,dFlt2,critFlt2,dFlt3,critFlt3))</f>
        <v/>
      </c>
      <c r="G633">
        <f>IF($B633="",0,IFERROR(IF(OR(C633&lt;&gt;0,D633&lt;&gt;0,E633&lt;&gt;0,F633&lt;&gt;0),1,0),1))</f>
        <v>0</v>
      </c>
      <c r="H633" t="str">
        <f>IF(OR(G633=0,E633=0),"",C633/E633)</f>
        <v/>
      </c>
      <c r="I633" t="str">
        <f>IF(OR(G633=0,F633=0),"",D633/F633)</f>
        <v/>
      </c>
      <c r="J633" t="str">
        <f>IF(OR(H633="",I633=""),"",IF(H633=0,"",I633/H633-1))</f>
        <v/>
      </c>
      <c r="K633" t="str">
        <f>IF($B633="","",IFERROR(IF(G633=0,-2E+300,CHOOSE(sortIdx,ROUND(D633,0),IF(J633="",-1E+300,ROUND(-J633,6)),IF(J633="",-1E+300,ROUND(J633,6)))),-1.5E+300))</f>
        <v/>
      </c>
      <c r="L633" t="str">
        <f>IF(K633="","",RANK(K633,$K$2:$K$3001,0)+COUNTIF($K$2:K633,K633)-1)</f>
        <v/>
      </c>
    </row>
    <row r="634">
      <c r="B634" t="str">
        <f>IFERROR(IF(A634="","","="&amp;SUBSTITUTE(SUBSTITUTE(SUBSTITUTE(A634,"~","~~"),"*","~*"),"?","~?")),"")</f>
        <v/>
      </c>
      <c r="C634" t="str">
        <f>IF($B634="","",SUMIFS(dAmt,dCust,$B634,dPer,"&gt;="&amp;pyFrom,dPer,"&lt;="&amp;pyTo,dAmt,"&gt;-1E+300",dFlt1,critFlt1,dFlt2,critFlt2,dFlt3,critFlt3))</f>
        <v/>
      </c>
      <c r="D634" t="str">
        <f>IF($B634="","",SUMIFS(dAmt,dCust,$B634,dPer,"&gt;="&amp;cyFrom,dPer,"&lt;="&amp;cyTo,dAmt,"&gt;-1E+300",dFlt1,critFlt1,dFlt2,critFlt2,dFlt3,critFlt3))</f>
        <v/>
      </c>
      <c r="E634" t="str">
        <f>IF($B634="","",SUMIFS(dQty,dCust,$B634,dPer,"&gt;="&amp;pyFrom,dPer,"&lt;="&amp;pyTo,dQty,"&gt;-1E+300",dFlt1,critFlt1,dFlt2,critFlt2,dFlt3,critFlt3))</f>
        <v/>
      </c>
      <c r="F634" t="str">
        <f>IF($B634="","",SUMIFS(dQty,dCust,$B634,dPer,"&gt;="&amp;cyFrom,dPer,"&lt;="&amp;cyTo,dQty,"&gt;-1E+300",dFlt1,critFlt1,dFlt2,critFlt2,dFlt3,critFlt3))</f>
        <v/>
      </c>
      <c r="G634">
        <f>IF($B634="",0,IFERROR(IF(OR(C634&lt;&gt;0,D634&lt;&gt;0,E634&lt;&gt;0,F634&lt;&gt;0),1,0),1))</f>
        <v>0</v>
      </c>
      <c r="H634" t="str">
        <f>IF(OR(G634=0,E634=0),"",C634/E634)</f>
        <v/>
      </c>
      <c r="I634" t="str">
        <f>IF(OR(G634=0,F634=0),"",D634/F634)</f>
        <v/>
      </c>
      <c r="J634" t="str">
        <f>IF(OR(H634="",I634=""),"",IF(H634=0,"",I634/H634-1))</f>
        <v/>
      </c>
      <c r="K634" t="str">
        <f>IF($B634="","",IFERROR(IF(G634=0,-2E+300,CHOOSE(sortIdx,ROUND(D634,0),IF(J634="",-1E+300,ROUND(-J634,6)),IF(J634="",-1E+300,ROUND(J634,6)))),-1.5E+300))</f>
        <v/>
      </c>
      <c r="L634" t="str">
        <f>IF(K634="","",RANK(K634,$K$2:$K$3001,0)+COUNTIF($K$2:K634,K634)-1)</f>
        <v/>
      </c>
    </row>
    <row r="635">
      <c r="B635" t="str">
        <f>IFERROR(IF(A635="","","="&amp;SUBSTITUTE(SUBSTITUTE(SUBSTITUTE(A635,"~","~~"),"*","~*"),"?","~?")),"")</f>
        <v/>
      </c>
      <c r="C635" t="str">
        <f>IF($B635="","",SUMIFS(dAmt,dCust,$B635,dPer,"&gt;="&amp;pyFrom,dPer,"&lt;="&amp;pyTo,dAmt,"&gt;-1E+300",dFlt1,critFlt1,dFlt2,critFlt2,dFlt3,critFlt3))</f>
        <v/>
      </c>
      <c r="D635" t="str">
        <f>IF($B635="","",SUMIFS(dAmt,dCust,$B635,dPer,"&gt;="&amp;cyFrom,dPer,"&lt;="&amp;cyTo,dAmt,"&gt;-1E+300",dFlt1,critFlt1,dFlt2,critFlt2,dFlt3,critFlt3))</f>
        <v/>
      </c>
      <c r="E635" t="str">
        <f>IF($B635="","",SUMIFS(dQty,dCust,$B635,dPer,"&gt;="&amp;pyFrom,dPer,"&lt;="&amp;pyTo,dQty,"&gt;-1E+300",dFlt1,critFlt1,dFlt2,critFlt2,dFlt3,critFlt3))</f>
        <v/>
      </c>
      <c r="F635" t="str">
        <f>IF($B635="","",SUMIFS(dQty,dCust,$B635,dPer,"&gt;="&amp;cyFrom,dPer,"&lt;="&amp;cyTo,dQty,"&gt;-1E+300",dFlt1,critFlt1,dFlt2,critFlt2,dFlt3,critFlt3))</f>
        <v/>
      </c>
      <c r="G635">
        <f>IF($B635="",0,IFERROR(IF(OR(C635&lt;&gt;0,D635&lt;&gt;0,E635&lt;&gt;0,F635&lt;&gt;0),1,0),1))</f>
        <v>0</v>
      </c>
      <c r="H635" t="str">
        <f>IF(OR(G635=0,E635=0),"",C635/E635)</f>
        <v/>
      </c>
      <c r="I635" t="str">
        <f>IF(OR(G635=0,F635=0),"",D635/F635)</f>
        <v/>
      </c>
      <c r="J635" t="str">
        <f>IF(OR(H635="",I635=""),"",IF(H635=0,"",I635/H635-1))</f>
        <v/>
      </c>
      <c r="K635" t="str">
        <f>IF($B635="","",IFERROR(IF(G635=0,-2E+300,CHOOSE(sortIdx,ROUND(D635,0),IF(J635="",-1E+300,ROUND(-J635,6)),IF(J635="",-1E+300,ROUND(J635,6)))),-1.5E+300))</f>
        <v/>
      </c>
      <c r="L635" t="str">
        <f>IF(K635="","",RANK(K635,$K$2:$K$3001,0)+COUNTIF($K$2:K635,K635)-1)</f>
        <v/>
      </c>
    </row>
    <row r="636">
      <c r="B636" t="str">
        <f>IFERROR(IF(A636="","","="&amp;SUBSTITUTE(SUBSTITUTE(SUBSTITUTE(A636,"~","~~"),"*","~*"),"?","~?")),"")</f>
        <v/>
      </c>
      <c r="C636" t="str">
        <f>IF($B636="","",SUMIFS(dAmt,dCust,$B636,dPer,"&gt;="&amp;pyFrom,dPer,"&lt;="&amp;pyTo,dAmt,"&gt;-1E+300",dFlt1,critFlt1,dFlt2,critFlt2,dFlt3,critFlt3))</f>
        <v/>
      </c>
      <c r="D636" t="str">
        <f>IF($B636="","",SUMIFS(dAmt,dCust,$B636,dPer,"&gt;="&amp;cyFrom,dPer,"&lt;="&amp;cyTo,dAmt,"&gt;-1E+300",dFlt1,critFlt1,dFlt2,critFlt2,dFlt3,critFlt3))</f>
        <v/>
      </c>
      <c r="E636" t="str">
        <f>IF($B636="","",SUMIFS(dQty,dCust,$B636,dPer,"&gt;="&amp;pyFrom,dPer,"&lt;="&amp;pyTo,dQty,"&gt;-1E+300",dFlt1,critFlt1,dFlt2,critFlt2,dFlt3,critFlt3))</f>
        <v/>
      </c>
      <c r="F636" t="str">
        <f>IF($B636="","",SUMIFS(dQty,dCust,$B636,dPer,"&gt;="&amp;cyFrom,dPer,"&lt;="&amp;cyTo,dQty,"&gt;-1E+300",dFlt1,critFlt1,dFlt2,critFlt2,dFlt3,critFlt3))</f>
        <v/>
      </c>
      <c r="G636">
        <f>IF($B636="",0,IFERROR(IF(OR(C636&lt;&gt;0,D636&lt;&gt;0,E636&lt;&gt;0,F636&lt;&gt;0),1,0),1))</f>
        <v>0</v>
      </c>
      <c r="H636" t="str">
        <f>IF(OR(G636=0,E636=0),"",C636/E636)</f>
        <v/>
      </c>
      <c r="I636" t="str">
        <f>IF(OR(G636=0,F636=0),"",D636/F636)</f>
        <v/>
      </c>
      <c r="J636" t="str">
        <f>IF(OR(H636="",I636=""),"",IF(H636=0,"",I636/H636-1))</f>
        <v/>
      </c>
      <c r="K636" t="str">
        <f>IF($B636="","",IFERROR(IF(G636=0,-2E+300,CHOOSE(sortIdx,ROUND(D636,0),IF(J636="",-1E+300,ROUND(-J636,6)),IF(J636="",-1E+300,ROUND(J636,6)))),-1.5E+300))</f>
        <v/>
      </c>
      <c r="L636" t="str">
        <f>IF(K636="","",RANK(K636,$K$2:$K$3001,0)+COUNTIF($K$2:K636,K636)-1)</f>
        <v/>
      </c>
    </row>
    <row r="637">
      <c r="B637" t="str">
        <f>IFERROR(IF(A637="","","="&amp;SUBSTITUTE(SUBSTITUTE(SUBSTITUTE(A637,"~","~~"),"*","~*"),"?","~?")),"")</f>
        <v/>
      </c>
      <c r="C637" t="str">
        <f>IF($B637="","",SUMIFS(dAmt,dCust,$B637,dPer,"&gt;="&amp;pyFrom,dPer,"&lt;="&amp;pyTo,dAmt,"&gt;-1E+300",dFlt1,critFlt1,dFlt2,critFlt2,dFlt3,critFlt3))</f>
        <v/>
      </c>
      <c r="D637" t="str">
        <f>IF($B637="","",SUMIFS(dAmt,dCust,$B637,dPer,"&gt;="&amp;cyFrom,dPer,"&lt;="&amp;cyTo,dAmt,"&gt;-1E+300",dFlt1,critFlt1,dFlt2,critFlt2,dFlt3,critFlt3))</f>
        <v/>
      </c>
      <c r="E637" t="str">
        <f>IF($B637="","",SUMIFS(dQty,dCust,$B637,dPer,"&gt;="&amp;pyFrom,dPer,"&lt;="&amp;pyTo,dQty,"&gt;-1E+300",dFlt1,critFlt1,dFlt2,critFlt2,dFlt3,critFlt3))</f>
        <v/>
      </c>
      <c r="F637" t="str">
        <f>IF($B637="","",SUMIFS(dQty,dCust,$B637,dPer,"&gt;="&amp;cyFrom,dPer,"&lt;="&amp;cyTo,dQty,"&gt;-1E+300",dFlt1,critFlt1,dFlt2,critFlt2,dFlt3,critFlt3))</f>
        <v/>
      </c>
      <c r="G637">
        <f>IF($B637="",0,IFERROR(IF(OR(C637&lt;&gt;0,D637&lt;&gt;0,E637&lt;&gt;0,F637&lt;&gt;0),1,0),1))</f>
        <v>0</v>
      </c>
      <c r="H637" t="str">
        <f>IF(OR(G637=0,E637=0),"",C637/E637)</f>
        <v/>
      </c>
      <c r="I637" t="str">
        <f>IF(OR(G637=0,F637=0),"",D637/F637)</f>
        <v/>
      </c>
      <c r="J637" t="str">
        <f>IF(OR(H637="",I637=""),"",IF(H637=0,"",I637/H637-1))</f>
        <v/>
      </c>
      <c r="K637" t="str">
        <f>IF($B637="","",IFERROR(IF(G637=0,-2E+300,CHOOSE(sortIdx,ROUND(D637,0),IF(J637="",-1E+300,ROUND(-J637,6)),IF(J637="",-1E+300,ROUND(J637,6)))),-1.5E+300))</f>
        <v/>
      </c>
      <c r="L637" t="str">
        <f>IF(K637="","",RANK(K637,$K$2:$K$3001,0)+COUNTIF($K$2:K637,K637)-1)</f>
        <v/>
      </c>
    </row>
    <row r="638">
      <c r="B638" t="str">
        <f>IFERROR(IF(A638="","","="&amp;SUBSTITUTE(SUBSTITUTE(SUBSTITUTE(A638,"~","~~"),"*","~*"),"?","~?")),"")</f>
        <v/>
      </c>
      <c r="C638" t="str">
        <f>IF($B638="","",SUMIFS(dAmt,dCust,$B638,dPer,"&gt;="&amp;pyFrom,dPer,"&lt;="&amp;pyTo,dAmt,"&gt;-1E+300",dFlt1,critFlt1,dFlt2,critFlt2,dFlt3,critFlt3))</f>
        <v/>
      </c>
      <c r="D638" t="str">
        <f>IF($B638="","",SUMIFS(dAmt,dCust,$B638,dPer,"&gt;="&amp;cyFrom,dPer,"&lt;="&amp;cyTo,dAmt,"&gt;-1E+300",dFlt1,critFlt1,dFlt2,critFlt2,dFlt3,critFlt3))</f>
        <v/>
      </c>
      <c r="E638" t="str">
        <f>IF($B638="","",SUMIFS(dQty,dCust,$B638,dPer,"&gt;="&amp;pyFrom,dPer,"&lt;="&amp;pyTo,dQty,"&gt;-1E+300",dFlt1,critFlt1,dFlt2,critFlt2,dFlt3,critFlt3))</f>
        <v/>
      </c>
      <c r="F638" t="str">
        <f>IF($B638="","",SUMIFS(dQty,dCust,$B638,dPer,"&gt;="&amp;cyFrom,dPer,"&lt;="&amp;cyTo,dQty,"&gt;-1E+300",dFlt1,critFlt1,dFlt2,critFlt2,dFlt3,critFlt3))</f>
        <v/>
      </c>
      <c r="G638">
        <f>IF($B638="",0,IFERROR(IF(OR(C638&lt;&gt;0,D638&lt;&gt;0,E638&lt;&gt;0,F638&lt;&gt;0),1,0),1))</f>
        <v>0</v>
      </c>
      <c r="H638" t="str">
        <f>IF(OR(G638=0,E638=0),"",C638/E638)</f>
        <v/>
      </c>
      <c r="I638" t="str">
        <f>IF(OR(G638=0,F638=0),"",D638/F638)</f>
        <v/>
      </c>
      <c r="J638" t="str">
        <f>IF(OR(H638="",I638=""),"",IF(H638=0,"",I638/H638-1))</f>
        <v/>
      </c>
      <c r="K638" t="str">
        <f>IF($B638="","",IFERROR(IF(G638=0,-2E+300,CHOOSE(sortIdx,ROUND(D638,0),IF(J638="",-1E+300,ROUND(-J638,6)),IF(J638="",-1E+300,ROUND(J638,6)))),-1.5E+300))</f>
        <v/>
      </c>
      <c r="L638" t="str">
        <f>IF(K638="","",RANK(K638,$K$2:$K$3001,0)+COUNTIF($K$2:K638,K638)-1)</f>
        <v/>
      </c>
    </row>
    <row r="639">
      <c r="B639" t="str">
        <f>IFERROR(IF(A639="","","="&amp;SUBSTITUTE(SUBSTITUTE(SUBSTITUTE(A639,"~","~~"),"*","~*"),"?","~?")),"")</f>
        <v/>
      </c>
      <c r="C639" t="str">
        <f>IF($B639="","",SUMIFS(dAmt,dCust,$B639,dPer,"&gt;="&amp;pyFrom,dPer,"&lt;="&amp;pyTo,dAmt,"&gt;-1E+300",dFlt1,critFlt1,dFlt2,critFlt2,dFlt3,critFlt3))</f>
        <v/>
      </c>
      <c r="D639" t="str">
        <f>IF($B639="","",SUMIFS(dAmt,dCust,$B639,dPer,"&gt;="&amp;cyFrom,dPer,"&lt;="&amp;cyTo,dAmt,"&gt;-1E+300",dFlt1,critFlt1,dFlt2,critFlt2,dFlt3,critFlt3))</f>
        <v/>
      </c>
      <c r="E639" t="str">
        <f>IF($B639="","",SUMIFS(dQty,dCust,$B639,dPer,"&gt;="&amp;pyFrom,dPer,"&lt;="&amp;pyTo,dQty,"&gt;-1E+300",dFlt1,critFlt1,dFlt2,critFlt2,dFlt3,critFlt3))</f>
        <v/>
      </c>
      <c r="F639" t="str">
        <f>IF($B639="","",SUMIFS(dQty,dCust,$B639,dPer,"&gt;="&amp;cyFrom,dPer,"&lt;="&amp;cyTo,dQty,"&gt;-1E+300",dFlt1,critFlt1,dFlt2,critFlt2,dFlt3,critFlt3))</f>
        <v/>
      </c>
      <c r="G639">
        <f>IF($B639="",0,IFERROR(IF(OR(C639&lt;&gt;0,D639&lt;&gt;0,E639&lt;&gt;0,F639&lt;&gt;0),1,0),1))</f>
        <v>0</v>
      </c>
      <c r="H639" t="str">
        <f>IF(OR(G639=0,E639=0),"",C639/E639)</f>
        <v/>
      </c>
      <c r="I639" t="str">
        <f>IF(OR(G639=0,F639=0),"",D639/F639)</f>
        <v/>
      </c>
      <c r="J639" t="str">
        <f>IF(OR(H639="",I639=""),"",IF(H639=0,"",I639/H639-1))</f>
        <v/>
      </c>
      <c r="K639" t="str">
        <f>IF($B639="","",IFERROR(IF(G639=0,-2E+300,CHOOSE(sortIdx,ROUND(D639,0),IF(J639="",-1E+300,ROUND(-J639,6)),IF(J639="",-1E+300,ROUND(J639,6)))),-1.5E+300))</f>
        <v/>
      </c>
      <c r="L639" t="str">
        <f>IF(K639="","",RANK(K639,$K$2:$K$3001,0)+COUNTIF($K$2:K639,K639)-1)</f>
        <v/>
      </c>
    </row>
    <row r="640">
      <c r="B640" t="str">
        <f>IFERROR(IF(A640="","","="&amp;SUBSTITUTE(SUBSTITUTE(SUBSTITUTE(A640,"~","~~"),"*","~*"),"?","~?")),"")</f>
        <v/>
      </c>
      <c r="C640" t="str">
        <f>IF($B640="","",SUMIFS(dAmt,dCust,$B640,dPer,"&gt;="&amp;pyFrom,dPer,"&lt;="&amp;pyTo,dAmt,"&gt;-1E+300",dFlt1,critFlt1,dFlt2,critFlt2,dFlt3,critFlt3))</f>
        <v/>
      </c>
      <c r="D640" t="str">
        <f>IF($B640="","",SUMIFS(dAmt,dCust,$B640,dPer,"&gt;="&amp;cyFrom,dPer,"&lt;="&amp;cyTo,dAmt,"&gt;-1E+300",dFlt1,critFlt1,dFlt2,critFlt2,dFlt3,critFlt3))</f>
        <v/>
      </c>
      <c r="E640" t="str">
        <f>IF($B640="","",SUMIFS(dQty,dCust,$B640,dPer,"&gt;="&amp;pyFrom,dPer,"&lt;="&amp;pyTo,dQty,"&gt;-1E+300",dFlt1,critFlt1,dFlt2,critFlt2,dFlt3,critFlt3))</f>
        <v/>
      </c>
      <c r="F640" t="str">
        <f>IF($B640="","",SUMIFS(dQty,dCust,$B640,dPer,"&gt;="&amp;cyFrom,dPer,"&lt;="&amp;cyTo,dQty,"&gt;-1E+300",dFlt1,critFlt1,dFlt2,critFlt2,dFlt3,critFlt3))</f>
        <v/>
      </c>
      <c r="G640">
        <f>IF($B640="",0,IFERROR(IF(OR(C640&lt;&gt;0,D640&lt;&gt;0,E640&lt;&gt;0,F640&lt;&gt;0),1,0),1))</f>
        <v>0</v>
      </c>
      <c r="H640" t="str">
        <f>IF(OR(G640=0,E640=0),"",C640/E640)</f>
        <v/>
      </c>
      <c r="I640" t="str">
        <f>IF(OR(G640=0,F640=0),"",D640/F640)</f>
        <v/>
      </c>
      <c r="J640" t="str">
        <f>IF(OR(H640="",I640=""),"",IF(H640=0,"",I640/H640-1))</f>
        <v/>
      </c>
      <c r="K640" t="str">
        <f>IF($B640="","",IFERROR(IF(G640=0,-2E+300,CHOOSE(sortIdx,ROUND(D640,0),IF(J640="",-1E+300,ROUND(-J640,6)),IF(J640="",-1E+300,ROUND(J640,6)))),-1.5E+300))</f>
        <v/>
      </c>
      <c r="L640" t="str">
        <f>IF(K640="","",RANK(K640,$K$2:$K$3001,0)+COUNTIF($K$2:K640,K640)-1)</f>
        <v/>
      </c>
    </row>
    <row r="641">
      <c r="B641" t="str">
        <f>IFERROR(IF(A641="","","="&amp;SUBSTITUTE(SUBSTITUTE(SUBSTITUTE(A641,"~","~~"),"*","~*"),"?","~?")),"")</f>
        <v/>
      </c>
      <c r="C641" t="str">
        <f>IF($B641="","",SUMIFS(dAmt,dCust,$B641,dPer,"&gt;="&amp;pyFrom,dPer,"&lt;="&amp;pyTo,dAmt,"&gt;-1E+300",dFlt1,critFlt1,dFlt2,critFlt2,dFlt3,critFlt3))</f>
        <v/>
      </c>
      <c r="D641" t="str">
        <f>IF($B641="","",SUMIFS(dAmt,dCust,$B641,dPer,"&gt;="&amp;cyFrom,dPer,"&lt;="&amp;cyTo,dAmt,"&gt;-1E+300",dFlt1,critFlt1,dFlt2,critFlt2,dFlt3,critFlt3))</f>
        <v/>
      </c>
      <c r="E641" t="str">
        <f>IF($B641="","",SUMIFS(dQty,dCust,$B641,dPer,"&gt;="&amp;pyFrom,dPer,"&lt;="&amp;pyTo,dQty,"&gt;-1E+300",dFlt1,critFlt1,dFlt2,critFlt2,dFlt3,critFlt3))</f>
        <v/>
      </c>
      <c r="F641" t="str">
        <f>IF($B641="","",SUMIFS(dQty,dCust,$B641,dPer,"&gt;="&amp;cyFrom,dPer,"&lt;="&amp;cyTo,dQty,"&gt;-1E+300",dFlt1,critFlt1,dFlt2,critFlt2,dFlt3,critFlt3))</f>
        <v/>
      </c>
      <c r="G641">
        <f>IF($B641="",0,IFERROR(IF(OR(C641&lt;&gt;0,D641&lt;&gt;0,E641&lt;&gt;0,F641&lt;&gt;0),1,0),1))</f>
        <v>0</v>
      </c>
      <c r="H641" t="str">
        <f>IF(OR(G641=0,E641=0),"",C641/E641)</f>
        <v/>
      </c>
      <c r="I641" t="str">
        <f>IF(OR(G641=0,F641=0),"",D641/F641)</f>
        <v/>
      </c>
      <c r="J641" t="str">
        <f>IF(OR(H641="",I641=""),"",IF(H641=0,"",I641/H641-1))</f>
        <v/>
      </c>
      <c r="K641" t="str">
        <f>IF($B641="","",IFERROR(IF(G641=0,-2E+300,CHOOSE(sortIdx,ROUND(D641,0),IF(J641="",-1E+300,ROUND(-J641,6)),IF(J641="",-1E+300,ROUND(J641,6)))),-1.5E+300))</f>
        <v/>
      </c>
      <c r="L641" t="str">
        <f>IF(K641="","",RANK(K641,$K$2:$K$3001,0)+COUNTIF($K$2:K641,K641)-1)</f>
        <v/>
      </c>
    </row>
    <row r="642">
      <c r="B642" t="str">
        <f>IFERROR(IF(A642="","","="&amp;SUBSTITUTE(SUBSTITUTE(SUBSTITUTE(A642,"~","~~"),"*","~*"),"?","~?")),"")</f>
        <v/>
      </c>
      <c r="C642" t="str">
        <f>IF($B642="","",SUMIFS(dAmt,dCust,$B642,dPer,"&gt;="&amp;pyFrom,dPer,"&lt;="&amp;pyTo,dAmt,"&gt;-1E+300",dFlt1,critFlt1,dFlt2,critFlt2,dFlt3,critFlt3))</f>
        <v/>
      </c>
      <c r="D642" t="str">
        <f>IF($B642="","",SUMIFS(dAmt,dCust,$B642,dPer,"&gt;="&amp;cyFrom,dPer,"&lt;="&amp;cyTo,dAmt,"&gt;-1E+300",dFlt1,critFlt1,dFlt2,critFlt2,dFlt3,critFlt3))</f>
        <v/>
      </c>
      <c r="E642" t="str">
        <f>IF($B642="","",SUMIFS(dQty,dCust,$B642,dPer,"&gt;="&amp;pyFrom,dPer,"&lt;="&amp;pyTo,dQty,"&gt;-1E+300",dFlt1,critFlt1,dFlt2,critFlt2,dFlt3,critFlt3))</f>
        <v/>
      </c>
      <c r="F642" t="str">
        <f>IF($B642="","",SUMIFS(dQty,dCust,$B642,dPer,"&gt;="&amp;cyFrom,dPer,"&lt;="&amp;cyTo,dQty,"&gt;-1E+300",dFlt1,critFlt1,dFlt2,critFlt2,dFlt3,critFlt3))</f>
        <v/>
      </c>
      <c r="G642">
        <f>IF($B642="",0,IFERROR(IF(OR(C642&lt;&gt;0,D642&lt;&gt;0,E642&lt;&gt;0,F642&lt;&gt;0),1,0),1))</f>
        <v>0</v>
      </c>
      <c r="H642" t="str">
        <f>IF(OR(G642=0,E642=0),"",C642/E642)</f>
        <v/>
      </c>
      <c r="I642" t="str">
        <f>IF(OR(G642=0,F642=0),"",D642/F642)</f>
        <v/>
      </c>
      <c r="J642" t="str">
        <f>IF(OR(H642="",I642=""),"",IF(H642=0,"",I642/H642-1))</f>
        <v/>
      </c>
      <c r="K642" t="str">
        <f>IF($B642="","",IFERROR(IF(G642=0,-2E+300,CHOOSE(sortIdx,ROUND(D642,0),IF(J642="",-1E+300,ROUND(-J642,6)),IF(J642="",-1E+300,ROUND(J642,6)))),-1.5E+300))</f>
        <v/>
      </c>
      <c r="L642" t="str">
        <f>IF(K642="","",RANK(K642,$K$2:$K$3001,0)+COUNTIF($K$2:K642,K642)-1)</f>
        <v/>
      </c>
    </row>
    <row r="643">
      <c r="B643" t="str">
        <f>IFERROR(IF(A643="","","="&amp;SUBSTITUTE(SUBSTITUTE(SUBSTITUTE(A643,"~","~~"),"*","~*"),"?","~?")),"")</f>
        <v/>
      </c>
      <c r="C643" t="str">
        <f>IF($B643="","",SUMIFS(dAmt,dCust,$B643,dPer,"&gt;="&amp;pyFrom,dPer,"&lt;="&amp;pyTo,dAmt,"&gt;-1E+300",dFlt1,critFlt1,dFlt2,critFlt2,dFlt3,critFlt3))</f>
        <v/>
      </c>
      <c r="D643" t="str">
        <f>IF($B643="","",SUMIFS(dAmt,dCust,$B643,dPer,"&gt;="&amp;cyFrom,dPer,"&lt;="&amp;cyTo,dAmt,"&gt;-1E+300",dFlt1,critFlt1,dFlt2,critFlt2,dFlt3,critFlt3))</f>
        <v/>
      </c>
      <c r="E643" t="str">
        <f>IF($B643="","",SUMIFS(dQty,dCust,$B643,dPer,"&gt;="&amp;pyFrom,dPer,"&lt;="&amp;pyTo,dQty,"&gt;-1E+300",dFlt1,critFlt1,dFlt2,critFlt2,dFlt3,critFlt3))</f>
        <v/>
      </c>
      <c r="F643" t="str">
        <f>IF($B643="","",SUMIFS(dQty,dCust,$B643,dPer,"&gt;="&amp;cyFrom,dPer,"&lt;="&amp;cyTo,dQty,"&gt;-1E+300",dFlt1,critFlt1,dFlt2,critFlt2,dFlt3,critFlt3))</f>
        <v/>
      </c>
      <c r="G643">
        <f>IF($B643="",0,IFERROR(IF(OR(C643&lt;&gt;0,D643&lt;&gt;0,E643&lt;&gt;0,F643&lt;&gt;0),1,0),1))</f>
        <v>0</v>
      </c>
      <c r="H643" t="str">
        <f>IF(OR(G643=0,E643=0),"",C643/E643)</f>
        <v/>
      </c>
      <c r="I643" t="str">
        <f>IF(OR(G643=0,F643=0),"",D643/F643)</f>
        <v/>
      </c>
      <c r="J643" t="str">
        <f>IF(OR(H643="",I643=""),"",IF(H643=0,"",I643/H643-1))</f>
        <v/>
      </c>
      <c r="K643" t="str">
        <f>IF($B643="","",IFERROR(IF(G643=0,-2E+300,CHOOSE(sortIdx,ROUND(D643,0),IF(J643="",-1E+300,ROUND(-J643,6)),IF(J643="",-1E+300,ROUND(J643,6)))),-1.5E+300))</f>
        <v/>
      </c>
      <c r="L643" t="str">
        <f>IF(K643="","",RANK(K643,$K$2:$K$3001,0)+COUNTIF($K$2:K643,K643)-1)</f>
        <v/>
      </c>
    </row>
    <row r="644">
      <c r="B644" t="str">
        <f>IFERROR(IF(A644="","","="&amp;SUBSTITUTE(SUBSTITUTE(SUBSTITUTE(A644,"~","~~"),"*","~*"),"?","~?")),"")</f>
        <v/>
      </c>
      <c r="C644" t="str">
        <f>IF($B644="","",SUMIFS(dAmt,dCust,$B644,dPer,"&gt;="&amp;pyFrom,dPer,"&lt;="&amp;pyTo,dAmt,"&gt;-1E+300",dFlt1,critFlt1,dFlt2,critFlt2,dFlt3,critFlt3))</f>
        <v/>
      </c>
      <c r="D644" t="str">
        <f>IF($B644="","",SUMIFS(dAmt,dCust,$B644,dPer,"&gt;="&amp;cyFrom,dPer,"&lt;="&amp;cyTo,dAmt,"&gt;-1E+300",dFlt1,critFlt1,dFlt2,critFlt2,dFlt3,critFlt3))</f>
        <v/>
      </c>
      <c r="E644" t="str">
        <f>IF($B644="","",SUMIFS(dQty,dCust,$B644,dPer,"&gt;="&amp;pyFrom,dPer,"&lt;="&amp;pyTo,dQty,"&gt;-1E+300",dFlt1,critFlt1,dFlt2,critFlt2,dFlt3,critFlt3))</f>
        <v/>
      </c>
      <c r="F644" t="str">
        <f>IF($B644="","",SUMIFS(dQty,dCust,$B644,dPer,"&gt;="&amp;cyFrom,dPer,"&lt;="&amp;cyTo,dQty,"&gt;-1E+300",dFlt1,critFlt1,dFlt2,critFlt2,dFlt3,critFlt3))</f>
        <v/>
      </c>
      <c r="G644">
        <f>IF($B644="",0,IFERROR(IF(OR(C644&lt;&gt;0,D644&lt;&gt;0,E644&lt;&gt;0,F644&lt;&gt;0),1,0),1))</f>
        <v>0</v>
      </c>
      <c r="H644" t="str">
        <f>IF(OR(G644=0,E644=0),"",C644/E644)</f>
        <v/>
      </c>
      <c r="I644" t="str">
        <f>IF(OR(G644=0,F644=0),"",D644/F644)</f>
        <v/>
      </c>
      <c r="J644" t="str">
        <f>IF(OR(H644="",I644=""),"",IF(H644=0,"",I644/H644-1))</f>
        <v/>
      </c>
      <c r="K644" t="str">
        <f>IF($B644="","",IFERROR(IF(G644=0,-2E+300,CHOOSE(sortIdx,ROUND(D644,0),IF(J644="",-1E+300,ROUND(-J644,6)),IF(J644="",-1E+300,ROUND(J644,6)))),-1.5E+300))</f>
        <v/>
      </c>
      <c r="L644" t="str">
        <f>IF(K644="","",RANK(K644,$K$2:$K$3001,0)+COUNTIF($K$2:K644,K644)-1)</f>
        <v/>
      </c>
    </row>
    <row r="645">
      <c r="B645" t="str">
        <f>IFERROR(IF(A645="","","="&amp;SUBSTITUTE(SUBSTITUTE(SUBSTITUTE(A645,"~","~~"),"*","~*"),"?","~?")),"")</f>
        <v/>
      </c>
      <c r="C645" t="str">
        <f>IF($B645="","",SUMIFS(dAmt,dCust,$B645,dPer,"&gt;="&amp;pyFrom,dPer,"&lt;="&amp;pyTo,dAmt,"&gt;-1E+300",dFlt1,critFlt1,dFlt2,critFlt2,dFlt3,critFlt3))</f>
        <v/>
      </c>
      <c r="D645" t="str">
        <f>IF($B645="","",SUMIFS(dAmt,dCust,$B645,dPer,"&gt;="&amp;cyFrom,dPer,"&lt;="&amp;cyTo,dAmt,"&gt;-1E+300",dFlt1,critFlt1,dFlt2,critFlt2,dFlt3,critFlt3))</f>
        <v/>
      </c>
      <c r="E645" t="str">
        <f>IF($B645="","",SUMIFS(dQty,dCust,$B645,dPer,"&gt;="&amp;pyFrom,dPer,"&lt;="&amp;pyTo,dQty,"&gt;-1E+300",dFlt1,critFlt1,dFlt2,critFlt2,dFlt3,critFlt3))</f>
        <v/>
      </c>
      <c r="F645" t="str">
        <f>IF($B645="","",SUMIFS(dQty,dCust,$B645,dPer,"&gt;="&amp;cyFrom,dPer,"&lt;="&amp;cyTo,dQty,"&gt;-1E+300",dFlt1,critFlt1,dFlt2,critFlt2,dFlt3,critFlt3))</f>
        <v/>
      </c>
      <c r="G645">
        <f>IF($B645="",0,IFERROR(IF(OR(C645&lt;&gt;0,D645&lt;&gt;0,E645&lt;&gt;0,F645&lt;&gt;0),1,0),1))</f>
        <v>0</v>
      </c>
      <c r="H645" t="str">
        <f>IF(OR(G645=0,E645=0),"",C645/E645)</f>
        <v/>
      </c>
      <c r="I645" t="str">
        <f>IF(OR(G645=0,F645=0),"",D645/F645)</f>
        <v/>
      </c>
      <c r="J645" t="str">
        <f>IF(OR(H645="",I645=""),"",IF(H645=0,"",I645/H645-1))</f>
        <v/>
      </c>
      <c r="K645" t="str">
        <f>IF($B645="","",IFERROR(IF(G645=0,-2E+300,CHOOSE(sortIdx,ROUND(D645,0),IF(J645="",-1E+300,ROUND(-J645,6)),IF(J645="",-1E+300,ROUND(J645,6)))),-1.5E+300))</f>
        <v/>
      </c>
      <c r="L645" t="str">
        <f>IF(K645="","",RANK(K645,$K$2:$K$3001,0)+COUNTIF($K$2:K645,K645)-1)</f>
        <v/>
      </c>
    </row>
    <row r="646">
      <c r="B646" t="str">
        <f>IFERROR(IF(A646="","","="&amp;SUBSTITUTE(SUBSTITUTE(SUBSTITUTE(A646,"~","~~"),"*","~*"),"?","~?")),"")</f>
        <v/>
      </c>
      <c r="C646" t="str">
        <f>IF($B646="","",SUMIFS(dAmt,dCust,$B646,dPer,"&gt;="&amp;pyFrom,dPer,"&lt;="&amp;pyTo,dAmt,"&gt;-1E+300",dFlt1,critFlt1,dFlt2,critFlt2,dFlt3,critFlt3))</f>
        <v/>
      </c>
      <c r="D646" t="str">
        <f>IF($B646="","",SUMIFS(dAmt,dCust,$B646,dPer,"&gt;="&amp;cyFrom,dPer,"&lt;="&amp;cyTo,dAmt,"&gt;-1E+300",dFlt1,critFlt1,dFlt2,critFlt2,dFlt3,critFlt3))</f>
        <v/>
      </c>
      <c r="E646" t="str">
        <f>IF($B646="","",SUMIFS(dQty,dCust,$B646,dPer,"&gt;="&amp;pyFrom,dPer,"&lt;="&amp;pyTo,dQty,"&gt;-1E+300",dFlt1,critFlt1,dFlt2,critFlt2,dFlt3,critFlt3))</f>
        <v/>
      </c>
      <c r="F646" t="str">
        <f>IF($B646="","",SUMIFS(dQty,dCust,$B646,dPer,"&gt;="&amp;cyFrom,dPer,"&lt;="&amp;cyTo,dQty,"&gt;-1E+300",dFlt1,critFlt1,dFlt2,critFlt2,dFlt3,critFlt3))</f>
        <v/>
      </c>
      <c r="G646">
        <f>IF($B646="",0,IFERROR(IF(OR(C646&lt;&gt;0,D646&lt;&gt;0,E646&lt;&gt;0,F646&lt;&gt;0),1,0),1))</f>
        <v>0</v>
      </c>
      <c r="H646" t="str">
        <f>IF(OR(G646=0,E646=0),"",C646/E646)</f>
        <v/>
      </c>
      <c r="I646" t="str">
        <f>IF(OR(G646=0,F646=0),"",D646/F646)</f>
        <v/>
      </c>
      <c r="J646" t="str">
        <f>IF(OR(H646="",I646=""),"",IF(H646=0,"",I646/H646-1))</f>
        <v/>
      </c>
      <c r="K646" t="str">
        <f>IF($B646="","",IFERROR(IF(G646=0,-2E+300,CHOOSE(sortIdx,ROUND(D646,0),IF(J646="",-1E+300,ROUND(-J646,6)),IF(J646="",-1E+300,ROUND(J646,6)))),-1.5E+300))</f>
        <v/>
      </c>
      <c r="L646" t="str">
        <f>IF(K646="","",RANK(K646,$K$2:$K$3001,0)+COUNTIF($K$2:K646,K646)-1)</f>
        <v/>
      </c>
    </row>
    <row r="647">
      <c r="B647" t="str">
        <f>IFERROR(IF(A647="","","="&amp;SUBSTITUTE(SUBSTITUTE(SUBSTITUTE(A647,"~","~~"),"*","~*"),"?","~?")),"")</f>
        <v/>
      </c>
      <c r="C647" t="str">
        <f>IF($B647="","",SUMIFS(dAmt,dCust,$B647,dPer,"&gt;="&amp;pyFrom,dPer,"&lt;="&amp;pyTo,dAmt,"&gt;-1E+300",dFlt1,critFlt1,dFlt2,critFlt2,dFlt3,critFlt3))</f>
        <v/>
      </c>
      <c r="D647" t="str">
        <f>IF($B647="","",SUMIFS(dAmt,dCust,$B647,dPer,"&gt;="&amp;cyFrom,dPer,"&lt;="&amp;cyTo,dAmt,"&gt;-1E+300",dFlt1,critFlt1,dFlt2,critFlt2,dFlt3,critFlt3))</f>
        <v/>
      </c>
      <c r="E647" t="str">
        <f>IF($B647="","",SUMIFS(dQty,dCust,$B647,dPer,"&gt;="&amp;pyFrom,dPer,"&lt;="&amp;pyTo,dQty,"&gt;-1E+300",dFlt1,critFlt1,dFlt2,critFlt2,dFlt3,critFlt3))</f>
        <v/>
      </c>
      <c r="F647" t="str">
        <f>IF($B647="","",SUMIFS(dQty,dCust,$B647,dPer,"&gt;="&amp;cyFrom,dPer,"&lt;="&amp;cyTo,dQty,"&gt;-1E+300",dFlt1,critFlt1,dFlt2,critFlt2,dFlt3,critFlt3))</f>
        <v/>
      </c>
      <c r="G647">
        <f>IF($B647="",0,IFERROR(IF(OR(C647&lt;&gt;0,D647&lt;&gt;0,E647&lt;&gt;0,F647&lt;&gt;0),1,0),1))</f>
        <v>0</v>
      </c>
      <c r="H647" t="str">
        <f>IF(OR(G647=0,E647=0),"",C647/E647)</f>
        <v/>
      </c>
      <c r="I647" t="str">
        <f>IF(OR(G647=0,F647=0),"",D647/F647)</f>
        <v/>
      </c>
      <c r="J647" t="str">
        <f>IF(OR(H647="",I647=""),"",IF(H647=0,"",I647/H647-1))</f>
        <v/>
      </c>
      <c r="K647" t="str">
        <f>IF($B647="","",IFERROR(IF(G647=0,-2E+300,CHOOSE(sortIdx,ROUND(D647,0),IF(J647="",-1E+300,ROUND(-J647,6)),IF(J647="",-1E+300,ROUND(J647,6)))),-1.5E+300))</f>
        <v/>
      </c>
      <c r="L647" t="str">
        <f>IF(K647="","",RANK(K647,$K$2:$K$3001,0)+COUNTIF($K$2:K647,K647)-1)</f>
        <v/>
      </c>
    </row>
    <row r="648">
      <c r="B648" t="str">
        <f>IFERROR(IF(A648="","","="&amp;SUBSTITUTE(SUBSTITUTE(SUBSTITUTE(A648,"~","~~"),"*","~*"),"?","~?")),"")</f>
        <v/>
      </c>
      <c r="C648" t="str">
        <f>IF($B648="","",SUMIFS(dAmt,dCust,$B648,dPer,"&gt;="&amp;pyFrom,dPer,"&lt;="&amp;pyTo,dAmt,"&gt;-1E+300",dFlt1,critFlt1,dFlt2,critFlt2,dFlt3,critFlt3))</f>
        <v/>
      </c>
      <c r="D648" t="str">
        <f>IF($B648="","",SUMIFS(dAmt,dCust,$B648,dPer,"&gt;="&amp;cyFrom,dPer,"&lt;="&amp;cyTo,dAmt,"&gt;-1E+300",dFlt1,critFlt1,dFlt2,critFlt2,dFlt3,critFlt3))</f>
        <v/>
      </c>
      <c r="E648" t="str">
        <f>IF($B648="","",SUMIFS(dQty,dCust,$B648,dPer,"&gt;="&amp;pyFrom,dPer,"&lt;="&amp;pyTo,dQty,"&gt;-1E+300",dFlt1,critFlt1,dFlt2,critFlt2,dFlt3,critFlt3))</f>
        <v/>
      </c>
      <c r="F648" t="str">
        <f>IF($B648="","",SUMIFS(dQty,dCust,$B648,dPer,"&gt;="&amp;cyFrom,dPer,"&lt;="&amp;cyTo,dQty,"&gt;-1E+300",dFlt1,critFlt1,dFlt2,critFlt2,dFlt3,critFlt3))</f>
        <v/>
      </c>
      <c r="G648">
        <f>IF($B648="",0,IFERROR(IF(OR(C648&lt;&gt;0,D648&lt;&gt;0,E648&lt;&gt;0,F648&lt;&gt;0),1,0),1))</f>
        <v>0</v>
      </c>
      <c r="H648" t="str">
        <f>IF(OR(G648=0,E648=0),"",C648/E648)</f>
        <v/>
      </c>
      <c r="I648" t="str">
        <f>IF(OR(G648=0,F648=0),"",D648/F648)</f>
        <v/>
      </c>
      <c r="J648" t="str">
        <f>IF(OR(H648="",I648=""),"",IF(H648=0,"",I648/H648-1))</f>
        <v/>
      </c>
      <c r="K648" t="str">
        <f>IF($B648="","",IFERROR(IF(G648=0,-2E+300,CHOOSE(sortIdx,ROUND(D648,0),IF(J648="",-1E+300,ROUND(-J648,6)),IF(J648="",-1E+300,ROUND(J648,6)))),-1.5E+300))</f>
        <v/>
      </c>
      <c r="L648" t="str">
        <f>IF(K648="","",RANK(K648,$K$2:$K$3001,0)+COUNTIF($K$2:K648,K648)-1)</f>
        <v/>
      </c>
    </row>
    <row r="649">
      <c r="B649" t="str">
        <f>IFERROR(IF(A649="","","="&amp;SUBSTITUTE(SUBSTITUTE(SUBSTITUTE(A649,"~","~~"),"*","~*"),"?","~?")),"")</f>
        <v/>
      </c>
      <c r="C649" t="str">
        <f>IF($B649="","",SUMIFS(dAmt,dCust,$B649,dPer,"&gt;="&amp;pyFrom,dPer,"&lt;="&amp;pyTo,dAmt,"&gt;-1E+300",dFlt1,critFlt1,dFlt2,critFlt2,dFlt3,critFlt3))</f>
        <v/>
      </c>
      <c r="D649" t="str">
        <f>IF($B649="","",SUMIFS(dAmt,dCust,$B649,dPer,"&gt;="&amp;cyFrom,dPer,"&lt;="&amp;cyTo,dAmt,"&gt;-1E+300",dFlt1,critFlt1,dFlt2,critFlt2,dFlt3,critFlt3))</f>
        <v/>
      </c>
      <c r="E649" t="str">
        <f>IF($B649="","",SUMIFS(dQty,dCust,$B649,dPer,"&gt;="&amp;pyFrom,dPer,"&lt;="&amp;pyTo,dQty,"&gt;-1E+300",dFlt1,critFlt1,dFlt2,critFlt2,dFlt3,critFlt3))</f>
        <v/>
      </c>
      <c r="F649" t="str">
        <f>IF($B649="","",SUMIFS(dQty,dCust,$B649,dPer,"&gt;="&amp;cyFrom,dPer,"&lt;="&amp;cyTo,dQty,"&gt;-1E+300",dFlt1,critFlt1,dFlt2,critFlt2,dFlt3,critFlt3))</f>
        <v/>
      </c>
      <c r="G649">
        <f>IF($B649="",0,IFERROR(IF(OR(C649&lt;&gt;0,D649&lt;&gt;0,E649&lt;&gt;0,F649&lt;&gt;0),1,0),1))</f>
        <v>0</v>
      </c>
      <c r="H649" t="str">
        <f>IF(OR(G649=0,E649=0),"",C649/E649)</f>
        <v/>
      </c>
      <c r="I649" t="str">
        <f>IF(OR(G649=0,F649=0),"",D649/F649)</f>
        <v/>
      </c>
      <c r="J649" t="str">
        <f>IF(OR(H649="",I649=""),"",IF(H649=0,"",I649/H649-1))</f>
        <v/>
      </c>
      <c r="K649" t="str">
        <f>IF($B649="","",IFERROR(IF(G649=0,-2E+300,CHOOSE(sortIdx,ROUND(D649,0),IF(J649="",-1E+300,ROUND(-J649,6)),IF(J649="",-1E+300,ROUND(J649,6)))),-1.5E+300))</f>
        <v/>
      </c>
      <c r="L649" t="str">
        <f>IF(K649="","",RANK(K649,$K$2:$K$3001,0)+COUNTIF($K$2:K649,K649)-1)</f>
        <v/>
      </c>
    </row>
    <row r="650">
      <c r="B650" t="str">
        <f>IFERROR(IF(A650="","","="&amp;SUBSTITUTE(SUBSTITUTE(SUBSTITUTE(A650,"~","~~"),"*","~*"),"?","~?")),"")</f>
        <v/>
      </c>
      <c r="C650" t="str">
        <f>IF($B650="","",SUMIFS(dAmt,dCust,$B650,dPer,"&gt;="&amp;pyFrom,dPer,"&lt;="&amp;pyTo,dAmt,"&gt;-1E+300",dFlt1,critFlt1,dFlt2,critFlt2,dFlt3,critFlt3))</f>
        <v/>
      </c>
      <c r="D650" t="str">
        <f>IF($B650="","",SUMIFS(dAmt,dCust,$B650,dPer,"&gt;="&amp;cyFrom,dPer,"&lt;="&amp;cyTo,dAmt,"&gt;-1E+300",dFlt1,critFlt1,dFlt2,critFlt2,dFlt3,critFlt3))</f>
        <v/>
      </c>
      <c r="E650" t="str">
        <f>IF($B650="","",SUMIFS(dQty,dCust,$B650,dPer,"&gt;="&amp;pyFrom,dPer,"&lt;="&amp;pyTo,dQty,"&gt;-1E+300",dFlt1,critFlt1,dFlt2,critFlt2,dFlt3,critFlt3))</f>
        <v/>
      </c>
      <c r="F650" t="str">
        <f>IF($B650="","",SUMIFS(dQty,dCust,$B650,dPer,"&gt;="&amp;cyFrom,dPer,"&lt;="&amp;cyTo,dQty,"&gt;-1E+300",dFlt1,critFlt1,dFlt2,critFlt2,dFlt3,critFlt3))</f>
        <v/>
      </c>
      <c r="G650">
        <f>IF($B650="",0,IFERROR(IF(OR(C650&lt;&gt;0,D650&lt;&gt;0,E650&lt;&gt;0,F650&lt;&gt;0),1,0),1))</f>
        <v>0</v>
      </c>
      <c r="H650" t="str">
        <f>IF(OR(G650=0,E650=0),"",C650/E650)</f>
        <v/>
      </c>
      <c r="I650" t="str">
        <f>IF(OR(G650=0,F650=0),"",D650/F650)</f>
        <v/>
      </c>
      <c r="J650" t="str">
        <f>IF(OR(H650="",I650=""),"",IF(H650=0,"",I650/H650-1))</f>
        <v/>
      </c>
      <c r="K650" t="str">
        <f>IF($B650="","",IFERROR(IF(G650=0,-2E+300,CHOOSE(sortIdx,ROUND(D650,0),IF(J650="",-1E+300,ROUND(-J650,6)),IF(J650="",-1E+300,ROUND(J650,6)))),-1.5E+300))</f>
        <v/>
      </c>
      <c r="L650" t="str">
        <f>IF(K650="","",RANK(K650,$K$2:$K$3001,0)+COUNTIF($K$2:K650,K650)-1)</f>
        <v/>
      </c>
    </row>
    <row r="651">
      <c r="B651" t="str">
        <f>IFERROR(IF(A651="","","="&amp;SUBSTITUTE(SUBSTITUTE(SUBSTITUTE(A651,"~","~~"),"*","~*"),"?","~?")),"")</f>
        <v/>
      </c>
      <c r="C651" t="str">
        <f>IF($B651="","",SUMIFS(dAmt,dCust,$B651,dPer,"&gt;="&amp;pyFrom,dPer,"&lt;="&amp;pyTo,dAmt,"&gt;-1E+300",dFlt1,critFlt1,dFlt2,critFlt2,dFlt3,critFlt3))</f>
        <v/>
      </c>
      <c r="D651" t="str">
        <f>IF($B651="","",SUMIFS(dAmt,dCust,$B651,dPer,"&gt;="&amp;cyFrom,dPer,"&lt;="&amp;cyTo,dAmt,"&gt;-1E+300",dFlt1,critFlt1,dFlt2,critFlt2,dFlt3,critFlt3))</f>
        <v/>
      </c>
      <c r="E651" t="str">
        <f>IF($B651="","",SUMIFS(dQty,dCust,$B651,dPer,"&gt;="&amp;pyFrom,dPer,"&lt;="&amp;pyTo,dQty,"&gt;-1E+300",dFlt1,critFlt1,dFlt2,critFlt2,dFlt3,critFlt3))</f>
        <v/>
      </c>
      <c r="F651" t="str">
        <f>IF($B651="","",SUMIFS(dQty,dCust,$B651,dPer,"&gt;="&amp;cyFrom,dPer,"&lt;="&amp;cyTo,dQty,"&gt;-1E+300",dFlt1,critFlt1,dFlt2,critFlt2,dFlt3,critFlt3))</f>
        <v/>
      </c>
      <c r="G651">
        <f>IF($B651="",0,IFERROR(IF(OR(C651&lt;&gt;0,D651&lt;&gt;0,E651&lt;&gt;0,F651&lt;&gt;0),1,0),1))</f>
        <v>0</v>
      </c>
      <c r="H651" t="str">
        <f>IF(OR(G651=0,E651=0),"",C651/E651)</f>
        <v/>
      </c>
      <c r="I651" t="str">
        <f>IF(OR(G651=0,F651=0),"",D651/F651)</f>
        <v/>
      </c>
      <c r="J651" t="str">
        <f>IF(OR(H651="",I651=""),"",IF(H651=0,"",I651/H651-1))</f>
        <v/>
      </c>
      <c r="K651" t="str">
        <f>IF($B651="","",IFERROR(IF(G651=0,-2E+300,CHOOSE(sortIdx,ROUND(D651,0),IF(J651="",-1E+300,ROUND(-J651,6)),IF(J651="",-1E+300,ROUND(J651,6)))),-1.5E+300))</f>
        <v/>
      </c>
      <c r="L651" t="str">
        <f>IF(K651="","",RANK(K651,$K$2:$K$3001,0)+COUNTIF($K$2:K651,K651)-1)</f>
        <v/>
      </c>
    </row>
    <row r="652">
      <c r="B652" t="str">
        <f>IFERROR(IF(A652="","","="&amp;SUBSTITUTE(SUBSTITUTE(SUBSTITUTE(A652,"~","~~"),"*","~*"),"?","~?")),"")</f>
        <v/>
      </c>
      <c r="C652" t="str">
        <f>IF($B652="","",SUMIFS(dAmt,dCust,$B652,dPer,"&gt;="&amp;pyFrom,dPer,"&lt;="&amp;pyTo,dAmt,"&gt;-1E+300",dFlt1,critFlt1,dFlt2,critFlt2,dFlt3,critFlt3))</f>
        <v/>
      </c>
      <c r="D652" t="str">
        <f>IF($B652="","",SUMIFS(dAmt,dCust,$B652,dPer,"&gt;="&amp;cyFrom,dPer,"&lt;="&amp;cyTo,dAmt,"&gt;-1E+300",dFlt1,critFlt1,dFlt2,critFlt2,dFlt3,critFlt3))</f>
        <v/>
      </c>
      <c r="E652" t="str">
        <f>IF($B652="","",SUMIFS(dQty,dCust,$B652,dPer,"&gt;="&amp;pyFrom,dPer,"&lt;="&amp;pyTo,dQty,"&gt;-1E+300",dFlt1,critFlt1,dFlt2,critFlt2,dFlt3,critFlt3))</f>
        <v/>
      </c>
      <c r="F652" t="str">
        <f>IF($B652="","",SUMIFS(dQty,dCust,$B652,dPer,"&gt;="&amp;cyFrom,dPer,"&lt;="&amp;cyTo,dQty,"&gt;-1E+300",dFlt1,critFlt1,dFlt2,critFlt2,dFlt3,critFlt3))</f>
        <v/>
      </c>
      <c r="G652">
        <f>IF($B652="",0,IFERROR(IF(OR(C652&lt;&gt;0,D652&lt;&gt;0,E652&lt;&gt;0,F652&lt;&gt;0),1,0),1))</f>
        <v>0</v>
      </c>
      <c r="H652" t="str">
        <f>IF(OR(G652=0,E652=0),"",C652/E652)</f>
        <v/>
      </c>
      <c r="I652" t="str">
        <f>IF(OR(G652=0,F652=0),"",D652/F652)</f>
        <v/>
      </c>
      <c r="J652" t="str">
        <f>IF(OR(H652="",I652=""),"",IF(H652=0,"",I652/H652-1))</f>
        <v/>
      </c>
      <c r="K652" t="str">
        <f>IF($B652="","",IFERROR(IF(G652=0,-2E+300,CHOOSE(sortIdx,ROUND(D652,0),IF(J652="",-1E+300,ROUND(-J652,6)),IF(J652="",-1E+300,ROUND(J652,6)))),-1.5E+300))</f>
        <v/>
      </c>
      <c r="L652" t="str">
        <f>IF(K652="","",RANK(K652,$K$2:$K$3001,0)+COUNTIF($K$2:K652,K652)-1)</f>
        <v/>
      </c>
    </row>
    <row r="653">
      <c r="B653" t="str">
        <f>IFERROR(IF(A653="","","="&amp;SUBSTITUTE(SUBSTITUTE(SUBSTITUTE(A653,"~","~~"),"*","~*"),"?","~?")),"")</f>
        <v/>
      </c>
      <c r="C653" t="str">
        <f>IF($B653="","",SUMIFS(dAmt,dCust,$B653,dPer,"&gt;="&amp;pyFrom,dPer,"&lt;="&amp;pyTo,dAmt,"&gt;-1E+300",dFlt1,critFlt1,dFlt2,critFlt2,dFlt3,critFlt3))</f>
        <v/>
      </c>
      <c r="D653" t="str">
        <f>IF($B653="","",SUMIFS(dAmt,dCust,$B653,dPer,"&gt;="&amp;cyFrom,dPer,"&lt;="&amp;cyTo,dAmt,"&gt;-1E+300",dFlt1,critFlt1,dFlt2,critFlt2,dFlt3,critFlt3))</f>
        <v/>
      </c>
      <c r="E653" t="str">
        <f>IF($B653="","",SUMIFS(dQty,dCust,$B653,dPer,"&gt;="&amp;pyFrom,dPer,"&lt;="&amp;pyTo,dQty,"&gt;-1E+300",dFlt1,critFlt1,dFlt2,critFlt2,dFlt3,critFlt3))</f>
        <v/>
      </c>
      <c r="F653" t="str">
        <f>IF($B653="","",SUMIFS(dQty,dCust,$B653,dPer,"&gt;="&amp;cyFrom,dPer,"&lt;="&amp;cyTo,dQty,"&gt;-1E+300",dFlt1,critFlt1,dFlt2,critFlt2,dFlt3,critFlt3))</f>
        <v/>
      </c>
      <c r="G653">
        <f>IF($B653="",0,IFERROR(IF(OR(C653&lt;&gt;0,D653&lt;&gt;0,E653&lt;&gt;0,F653&lt;&gt;0),1,0),1))</f>
        <v>0</v>
      </c>
      <c r="H653" t="str">
        <f>IF(OR(G653=0,E653=0),"",C653/E653)</f>
        <v/>
      </c>
      <c r="I653" t="str">
        <f>IF(OR(G653=0,F653=0),"",D653/F653)</f>
        <v/>
      </c>
      <c r="J653" t="str">
        <f>IF(OR(H653="",I653=""),"",IF(H653=0,"",I653/H653-1))</f>
        <v/>
      </c>
      <c r="K653" t="str">
        <f>IF($B653="","",IFERROR(IF(G653=0,-2E+300,CHOOSE(sortIdx,ROUND(D653,0),IF(J653="",-1E+300,ROUND(-J653,6)),IF(J653="",-1E+300,ROUND(J653,6)))),-1.5E+300))</f>
        <v/>
      </c>
      <c r="L653" t="str">
        <f>IF(K653="","",RANK(K653,$K$2:$K$3001,0)+COUNTIF($K$2:K653,K653)-1)</f>
        <v/>
      </c>
    </row>
    <row r="654">
      <c r="B654" t="str">
        <f>IFERROR(IF(A654="","","="&amp;SUBSTITUTE(SUBSTITUTE(SUBSTITUTE(A654,"~","~~"),"*","~*"),"?","~?")),"")</f>
        <v/>
      </c>
      <c r="C654" t="str">
        <f>IF($B654="","",SUMIFS(dAmt,dCust,$B654,dPer,"&gt;="&amp;pyFrom,dPer,"&lt;="&amp;pyTo,dAmt,"&gt;-1E+300",dFlt1,critFlt1,dFlt2,critFlt2,dFlt3,critFlt3))</f>
        <v/>
      </c>
      <c r="D654" t="str">
        <f>IF($B654="","",SUMIFS(dAmt,dCust,$B654,dPer,"&gt;="&amp;cyFrom,dPer,"&lt;="&amp;cyTo,dAmt,"&gt;-1E+300",dFlt1,critFlt1,dFlt2,critFlt2,dFlt3,critFlt3))</f>
        <v/>
      </c>
      <c r="E654" t="str">
        <f>IF($B654="","",SUMIFS(dQty,dCust,$B654,dPer,"&gt;="&amp;pyFrom,dPer,"&lt;="&amp;pyTo,dQty,"&gt;-1E+300",dFlt1,critFlt1,dFlt2,critFlt2,dFlt3,critFlt3))</f>
        <v/>
      </c>
      <c r="F654" t="str">
        <f>IF($B654="","",SUMIFS(dQty,dCust,$B654,dPer,"&gt;="&amp;cyFrom,dPer,"&lt;="&amp;cyTo,dQty,"&gt;-1E+300",dFlt1,critFlt1,dFlt2,critFlt2,dFlt3,critFlt3))</f>
        <v/>
      </c>
      <c r="G654">
        <f>IF($B654="",0,IFERROR(IF(OR(C654&lt;&gt;0,D654&lt;&gt;0,E654&lt;&gt;0,F654&lt;&gt;0),1,0),1))</f>
        <v>0</v>
      </c>
      <c r="H654" t="str">
        <f>IF(OR(G654=0,E654=0),"",C654/E654)</f>
        <v/>
      </c>
      <c r="I654" t="str">
        <f>IF(OR(G654=0,F654=0),"",D654/F654)</f>
        <v/>
      </c>
      <c r="J654" t="str">
        <f>IF(OR(H654="",I654=""),"",IF(H654=0,"",I654/H654-1))</f>
        <v/>
      </c>
      <c r="K654" t="str">
        <f>IF($B654="","",IFERROR(IF(G654=0,-2E+300,CHOOSE(sortIdx,ROUND(D654,0),IF(J654="",-1E+300,ROUND(-J654,6)),IF(J654="",-1E+300,ROUND(J654,6)))),-1.5E+300))</f>
        <v/>
      </c>
      <c r="L654" t="str">
        <f>IF(K654="","",RANK(K654,$K$2:$K$3001,0)+COUNTIF($K$2:K654,K654)-1)</f>
        <v/>
      </c>
    </row>
    <row r="655">
      <c r="B655" t="str">
        <f>IFERROR(IF(A655="","","="&amp;SUBSTITUTE(SUBSTITUTE(SUBSTITUTE(A655,"~","~~"),"*","~*"),"?","~?")),"")</f>
        <v/>
      </c>
      <c r="C655" t="str">
        <f>IF($B655="","",SUMIFS(dAmt,dCust,$B655,dPer,"&gt;="&amp;pyFrom,dPer,"&lt;="&amp;pyTo,dAmt,"&gt;-1E+300",dFlt1,critFlt1,dFlt2,critFlt2,dFlt3,critFlt3))</f>
        <v/>
      </c>
      <c r="D655" t="str">
        <f>IF($B655="","",SUMIFS(dAmt,dCust,$B655,dPer,"&gt;="&amp;cyFrom,dPer,"&lt;="&amp;cyTo,dAmt,"&gt;-1E+300",dFlt1,critFlt1,dFlt2,critFlt2,dFlt3,critFlt3))</f>
        <v/>
      </c>
      <c r="E655" t="str">
        <f>IF($B655="","",SUMIFS(dQty,dCust,$B655,dPer,"&gt;="&amp;pyFrom,dPer,"&lt;="&amp;pyTo,dQty,"&gt;-1E+300",dFlt1,critFlt1,dFlt2,critFlt2,dFlt3,critFlt3))</f>
        <v/>
      </c>
      <c r="F655" t="str">
        <f>IF($B655="","",SUMIFS(dQty,dCust,$B655,dPer,"&gt;="&amp;cyFrom,dPer,"&lt;="&amp;cyTo,dQty,"&gt;-1E+300",dFlt1,critFlt1,dFlt2,critFlt2,dFlt3,critFlt3))</f>
        <v/>
      </c>
      <c r="G655">
        <f>IF($B655="",0,IFERROR(IF(OR(C655&lt;&gt;0,D655&lt;&gt;0,E655&lt;&gt;0,F655&lt;&gt;0),1,0),1))</f>
        <v>0</v>
      </c>
      <c r="H655" t="str">
        <f>IF(OR(G655=0,E655=0),"",C655/E655)</f>
        <v/>
      </c>
      <c r="I655" t="str">
        <f>IF(OR(G655=0,F655=0),"",D655/F655)</f>
        <v/>
      </c>
      <c r="J655" t="str">
        <f>IF(OR(H655="",I655=""),"",IF(H655=0,"",I655/H655-1))</f>
        <v/>
      </c>
      <c r="K655" t="str">
        <f>IF($B655="","",IFERROR(IF(G655=0,-2E+300,CHOOSE(sortIdx,ROUND(D655,0),IF(J655="",-1E+300,ROUND(-J655,6)),IF(J655="",-1E+300,ROUND(J655,6)))),-1.5E+300))</f>
        <v/>
      </c>
      <c r="L655" t="str">
        <f>IF(K655="","",RANK(K655,$K$2:$K$3001,0)+COUNTIF($K$2:K655,K655)-1)</f>
        <v/>
      </c>
    </row>
    <row r="656">
      <c r="B656" t="str">
        <f>IFERROR(IF(A656="","","="&amp;SUBSTITUTE(SUBSTITUTE(SUBSTITUTE(A656,"~","~~"),"*","~*"),"?","~?")),"")</f>
        <v/>
      </c>
      <c r="C656" t="str">
        <f>IF($B656="","",SUMIFS(dAmt,dCust,$B656,dPer,"&gt;="&amp;pyFrom,dPer,"&lt;="&amp;pyTo,dAmt,"&gt;-1E+300",dFlt1,critFlt1,dFlt2,critFlt2,dFlt3,critFlt3))</f>
        <v/>
      </c>
      <c r="D656" t="str">
        <f>IF($B656="","",SUMIFS(dAmt,dCust,$B656,dPer,"&gt;="&amp;cyFrom,dPer,"&lt;="&amp;cyTo,dAmt,"&gt;-1E+300",dFlt1,critFlt1,dFlt2,critFlt2,dFlt3,critFlt3))</f>
        <v/>
      </c>
      <c r="E656" t="str">
        <f>IF($B656="","",SUMIFS(dQty,dCust,$B656,dPer,"&gt;="&amp;pyFrom,dPer,"&lt;="&amp;pyTo,dQty,"&gt;-1E+300",dFlt1,critFlt1,dFlt2,critFlt2,dFlt3,critFlt3))</f>
        <v/>
      </c>
      <c r="F656" t="str">
        <f>IF($B656="","",SUMIFS(dQty,dCust,$B656,dPer,"&gt;="&amp;cyFrom,dPer,"&lt;="&amp;cyTo,dQty,"&gt;-1E+300",dFlt1,critFlt1,dFlt2,critFlt2,dFlt3,critFlt3))</f>
        <v/>
      </c>
      <c r="G656">
        <f>IF($B656="",0,IFERROR(IF(OR(C656&lt;&gt;0,D656&lt;&gt;0,E656&lt;&gt;0,F656&lt;&gt;0),1,0),1))</f>
        <v>0</v>
      </c>
      <c r="H656" t="str">
        <f>IF(OR(G656=0,E656=0),"",C656/E656)</f>
        <v/>
      </c>
      <c r="I656" t="str">
        <f>IF(OR(G656=0,F656=0),"",D656/F656)</f>
        <v/>
      </c>
      <c r="J656" t="str">
        <f>IF(OR(H656="",I656=""),"",IF(H656=0,"",I656/H656-1))</f>
        <v/>
      </c>
      <c r="K656" t="str">
        <f>IF($B656="","",IFERROR(IF(G656=0,-2E+300,CHOOSE(sortIdx,ROUND(D656,0),IF(J656="",-1E+300,ROUND(-J656,6)),IF(J656="",-1E+300,ROUND(J656,6)))),-1.5E+300))</f>
        <v/>
      </c>
      <c r="L656" t="str">
        <f>IF(K656="","",RANK(K656,$K$2:$K$3001,0)+COUNTIF($K$2:K656,K656)-1)</f>
        <v/>
      </c>
    </row>
    <row r="657">
      <c r="B657" t="str">
        <f>IFERROR(IF(A657="","","="&amp;SUBSTITUTE(SUBSTITUTE(SUBSTITUTE(A657,"~","~~"),"*","~*"),"?","~?")),"")</f>
        <v/>
      </c>
      <c r="C657" t="str">
        <f>IF($B657="","",SUMIFS(dAmt,dCust,$B657,dPer,"&gt;="&amp;pyFrom,dPer,"&lt;="&amp;pyTo,dAmt,"&gt;-1E+300",dFlt1,critFlt1,dFlt2,critFlt2,dFlt3,critFlt3))</f>
        <v/>
      </c>
      <c r="D657" t="str">
        <f>IF($B657="","",SUMIFS(dAmt,dCust,$B657,dPer,"&gt;="&amp;cyFrom,dPer,"&lt;="&amp;cyTo,dAmt,"&gt;-1E+300",dFlt1,critFlt1,dFlt2,critFlt2,dFlt3,critFlt3))</f>
        <v/>
      </c>
      <c r="E657" t="str">
        <f>IF($B657="","",SUMIFS(dQty,dCust,$B657,dPer,"&gt;="&amp;pyFrom,dPer,"&lt;="&amp;pyTo,dQty,"&gt;-1E+300",dFlt1,critFlt1,dFlt2,critFlt2,dFlt3,critFlt3))</f>
        <v/>
      </c>
      <c r="F657" t="str">
        <f>IF($B657="","",SUMIFS(dQty,dCust,$B657,dPer,"&gt;="&amp;cyFrom,dPer,"&lt;="&amp;cyTo,dQty,"&gt;-1E+300",dFlt1,critFlt1,dFlt2,critFlt2,dFlt3,critFlt3))</f>
        <v/>
      </c>
      <c r="G657">
        <f>IF($B657="",0,IFERROR(IF(OR(C657&lt;&gt;0,D657&lt;&gt;0,E657&lt;&gt;0,F657&lt;&gt;0),1,0),1))</f>
        <v>0</v>
      </c>
      <c r="H657" t="str">
        <f>IF(OR(G657=0,E657=0),"",C657/E657)</f>
        <v/>
      </c>
      <c r="I657" t="str">
        <f>IF(OR(G657=0,F657=0),"",D657/F657)</f>
        <v/>
      </c>
      <c r="J657" t="str">
        <f>IF(OR(H657="",I657=""),"",IF(H657=0,"",I657/H657-1))</f>
        <v/>
      </c>
      <c r="K657" t="str">
        <f>IF($B657="","",IFERROR(IF(G657=0,-2E+300,CHOOSE(sortIdx,ROUND(D657,0),IF(J657="",-1E+300,ROUND(-J657,6)),IF(J657="",-1E+300,ROUND(J657,6)))),-1.5E+300))</f>
        <v/>
      </c>
      <c r="L657" t="str">
        <f>IF(K657="","",RANK(K657,$K$2:$K$3001,0)+COUNTIF($K$2:K657,K657)-1)</f>
        <v/>
      </c>
    </row>
    <row r="658">
      <c r="B658" t="str">
        <f>IFERROR(IF(A658="","","="&amp;SUBSTITUTE(SUBSTITUTE(SUBSTITUTE(A658,"~","~~"),"*","~*"),"?","~?")),"")</f>
        <v/>
      </c>
      <c r="C658" t="str">
        <f>IF($B658="","",SUMIFS(dAmt,dCust,$B658,dPer,"&gt;="&amp;pyFrom,dPer,"&lt;="&amp;pyTo,dAmt,"&gt;-1E+300",dFlt1,critFlt1,dFlt2,critFlt2,dFlt3,critFlt3))</f>
        <v/>
      </c>
      <c r="D658" t="str">
        <f>IF($B658="","",SUMIFS(dAmt,dCust,$B658,dPer,"&gt;="&amp;cyFrom,dPer,"&lt;="&amp;cyTo,dAmt,"&gt;-1E+300",dFlt1,critFlt1,dFlt2,critFlt2,dFlt3,critFlt3))</f>
        <v/>
      </c>
      <c r="E658" t="str">
        <f>IF($B658="","",SUMIFS(dQty,dCust,$B658,dPer,"&gt;="&amp;pyFrom,dPer,"&lt;="&amp;pyTo,dQty,"&gt;-1E+300",dFlt1,critFlt1,dFlt2,critFlt2,dFlt3,critFlt3))</f>
        <v/>
      </c>
      <c r="F658" t="str">
        <f>IF($B658="","",SUMIFS(dQty,dCust,$B658,dPer,"&gt;="&amp;cyFrom,dPer,"&lt;="&amp;cyTo,dQty,"&gt;-1E+300",dFlt1,critFlt1,dFlt2,critFlt2,dFlt3,critFlt3))</f>
        <v/>
      </c>
      <c r="G658">
        <f>IF($B658="",0,IFERROR(IF(OR(C658&lt;&gt;0,D658&lt;&gt;0,E658&lt;&gt;0,F658&lt;&gt;0),1,0),1))</f>
        <v>0</v>
      </c>
      <c r="H658" t="str">
        <f>IF(OR(G658=0,E658=0),"",C658/E658)</f>
        <v/>
      </c>
      <c r="I658" t="str">
        <f>IF(OR(G658=0,F658=0),"",D658/F658)</f>
        <v/>
      </c>
      <c r="J658" t="str">
        <f>IF(OR(H658="",I658=""),"",IF(H658=0,"",I658/H658-1))</f>
        <v/>
      </c>
      <c r="K658" t="str">
        <f>IF($B658="","",IFERROR(IF(G658=0,-2E+300,CHOOSE(sortIdx,ROUND(D658,0),IF(J658="",-1E+300,ROUND(-J658,6)),IF(J658="",-1E+300,ROUND(J658,6)))),-1.5E+300))</f>
        <v/>
      </c>
      <c r="L658" t="str">
        <f>IF(K658="","",RANK(K658,$K$2:$K$3001,0)+COUNTIF($K$2:K658,K658)-1)</f>
        <v/>
      </c>
    </row>
    <row r="659">
      <c r="B659" t="str">
        <f>IFERROR(IF(A659="","","="&amp;SUBSTITUTE(SUBSTITUTE(SUBSTITUTE(A659,"~","~~"),"*","~*"),"?","~?")),"")</f>
        <v/>
      </c>
      <c r="C659" t="str">
        <f>IF($B659="","",SUMIFS(dAmt,dCust,$B659,dPer,"&gt;="&amp;pyFrom,dPer,"&lt;="&amp;pyTo,dAmt,"&gt;-1E+300",dFlt1,critFlt1,dFlt2,critFlt2,dFlt3,critFlt3))</f>
        <v/>
      </c>
      <c r="D659" t="str">
        <f>IF($B659="","",SUMIFS(dAmt,dCust,$B659,dPer,"&gt;="&amp;cyFrom,dPer,"&lt;="&amp;cyTo,dAmt,"&gt;-1E+300",dFlt1,critFlt1,dFlt2,critFlt2,dFlt3,critFlt3))</f>
        <v/>
      </c>
      <c r="E659" t="str">
        <f>IF($B659="","",SUMIFS(dQty,dCust,$B659,dPer,"&gt;="&amp;pyFrom,dPer,"&lt;="&amp;pyTo,dQty,"&gt;-1E+300",dFlt1,critFlt1,dFlt2,critFlt2,dFlt3,critFlt3))</f>
        <v/>
      </c>
      <c r="F659" t="str">
        <f>IF($B659="","",SUMIFS(dQty,dCust,$B659,dPer,"&gt;="&amp;cyFrom,dPer,"&lt;="&amp;cyTo,dQty,"&gt;-1E+300",dFlt1,critFlt1,dFlt2,critFlt2,dFlt3,critFlt3))</f>
        <v/>
      </c>
      <c r="G659">
        <f>IF($B659="",0,IFERROR(IF(OR(C659&lt;&gt;0,D659&lt;&gt;0,E659&lt;&gt;0,F659&lt;&gt;0),1,0),1))</f>
        <v>0</v>
      </c>
      <c r="H659" t="str">
        <f>IF(OR(G659=0,E659=0),"",C659/E659)</f>
        <v/>
      </c>
      <c r="I659" t="str">
        <f>IF(OR(G659=0,F659=0),"",D659/F659)</f>
        <v/>
      </c>
      <c r="J659" t="str">
        <f>IF(OR(H659="",I659=""),"",IF(H659=0,"",I659/H659-1))</f>
        <v/>
      </c>
      <c r="K659" t="str">
        <f>IF($B659="","",IFERROR(IF(G659=0,-2E+300,CHOOSE(sortIdx,ROUND(D659,0),IF(J659="",-1E+300,ROUND(-J659,6)),IF(J659="",-1E+300,ROUND(J659,6)))),-1.5E+300))</f>
        <v/>
      </c>
      <c r="L659" t="str">
        <f>IF(K659="","",RANK(K659,$K$2:$K$3001,0)+COUNTIF($K$2:K659,K659)-1)</f>
        <v/>
      </c>
    </row>
    <row r="660">
      <c r="B660" t="str">
        <f>IFERROR(IF(A660="","","="&amp;SUBSTITUTE(SUBSTITUTE(SUBSTITUTE(A660,"~","~~"),"*","~*"),"?","~?")),"")</f>
        <v/>
      </c>
      <c r="C660" t="str">
        <f>IF($B660="","",SUMIFS(dAmt,dCust,$B660,dPer,"&gt;="&amp;pyFrom,dPer,"&lt;="&amp;pyTo,dAmt,"&gt;-1E+300",dFlt1,critFlt1,dFlt2,critFlt2,dFlt3,critFlt3))</f>
        <v/>
      </c>
      <c r="D660" t="str">
        <f>IF($B660="","",SUMIFS(dAmt,dCust,$B660,dPer,"&gt;="&amp;cyFrom,dPer,"&lt;="&amp;cyTo,dAmt,"&gt;-1E+300",dFlt1,critFlt1,dFlt2,critFlt2,dFlt3,critFlt3))</f>
        <v/>
      </c>
      <c r="E660" t="str">
        <f>IF($B660="","",SUMIFS(dQty,dCust,$B660,dPer,"&gt;="&amp;pyFrom,dPer,"&lt;="&amp;pyTo,dQty,"&gt;-1E+300",dFlt1,critFlt1,dFlt2,critFlt2,dFlt3,critFlt3))</f>
        <v/>
      </c>
      <c r="F660" t="str">
        <f>IF($B660="","",SUMIFS(dQty,dCust,$B660,dPer,"&gt;="&amp;cyFrom,dPer,"&lt;="&amp;cyTo,dQty,"&gt;-1E+300",dFlt1,critFlt1,dFlt2,critFlt2,dFlt3,critFlt3))</f>
        <v/>
      </c>
      <c r="G660">
        <f>IF($B660="",0,IFERROR(IF(OR(C660&lt;&gt;0,D660&lt;&gt;0,E660&lt;&gt;0,F660&lt;&gt;0),1,0),1))</f>
        <v>0</v>
      </c>
      <c r="H660" t="str">
        <f>IF(OR(G660=0,E660=0),"",C660/E660)</f>
        <v/>
      </c>
      <c r="I660" t="str">
        <f>IF(OR(G660=0,F660=0),"",D660/F660)</f>
        <v/>
      </c>
      <c r="J660" t="str">
        <f>IF(OR(H660="",I660=""),"",IF(H660=0,"",I660/H660-1))</f>
        <v/>
      </c>
      <c r="K660" t="str">
        <f>IF($B660="","",IFERROR(IF(G660=0,-2E+300,CHOOSE(sortIdx,ROUND(D660,0),IF(J660="",-1E+300,ROUND(-J660,6)),IF(J660="",-1E+300,ROUND(J660,6)))),-1.5E+300))</f>
        <v/>
      </c>
      <c r="L660" t="str">
        <f>IF(K660="","",RANK(K660,$K$2:$K$3001,0)+COUNTIF($K$2:K660,K660)-1)</f>
        <v/>
      </c>
    </row>
    <row r="661">
      <c r="B661" t="str">
        <f>IFERROR(IF(A661="","","="&amp;SUBSTITUTE(SUBSTITUTE(SUBSTITUTE(A661,"~","~~"),"*","~*"),"?","~?")),"")</f>
        <v/>
      </c>
      <c r="C661" t="str">
        <f>IF($B661="","",SUMIFS(dAmt,dCust,$B661,dPer,"&gt;="&amp;pyFrom,dPer,"&lt;="&amp;pyTo,dAmt,"&gt;-1E+300",dFlt1,critFlt1,dFlt2,critFlt2,dFlt3,critFlt3))</f>
        <v/>
      </c>
      <c r="D661" t="str">
        <f>IF($B661="","",SUMIFS(dAmt,dCust,$B661,dPer,"&gt;="&amp;cyFrom,dPer,"&lt;="&amp;cyTo,dAmt,"&gt;-1E+300",dFlt1,critFlt1,dFlt2,critFlt2,dFlt3,critFlt3))</f>
        <v/>
      </c>
      <c r="E661" t="str">
        <f>IF($B661="","",SUMIFS(dQty,dCust,$B661,dPer,"&gt;="&amp;pyFrom,dPer,"&lt;="&amp;pyTo,dQty,"&gt;-1E+300",dFlt1,critFlt1,dFlt2,critFlt2,dFlt3,critFlt3))</f>
        <v/>
      </c>
      <c r="F661" t="str">
        <f>IF($B661="","",SUMIFS(dQty,dCust,$B661,dPer,"&gt;="&amp;cyFrom,dPer,"&lt;="&amp;cyTo,dQty,"&gt;-1E+300",dFlt1,critFlt1,dFlt2,critFlt2,dFlt3,critFlt3))</f>
        <v/>
      </c>
      <c r="G661">
        <f>IF($B661="",0,IFERROR(IF(OR(C661&lt;&gt;0,D661&lt;&gt;0,E661&lt;&gt;0,F661&lt;&gt;0),1,0),1))</f>
        <v>0</v>
      </c>
      <c r="H661" t="str">
        <f>IF(OR(G661=0,E661=0),"",C661/E661)</f>
        <v/>
      </c>
      <c r="I661" t="str">
        <f>IF(OR(G661=0,F661=0),"",D661/F661)</f>
        <v/>
      </c>
      <c r="J661" t="str">
        <f>IF(OR(H661="",I661=""),"",IF(H661=0,"",I661/H661-1))</f>
        <v/>
      </c>
      <c r="K661" t="str">
        <f>IF($B661="","",IFERROR(IF(G661=0,-2E+300,CHOOSE(sortIdx,ROUND(D661,0),IF(J661="",-1E+300,ROUND(-J661,6)),IF(J661="",-1E+300,ROUND(J661,6)))),-1.5E+300))</f>
        <v/>
      </c>
      <c r="L661" t="str">
        <f>IF(K661="","",RANK(K661,$K$2:$K$3001,0)+COUNTIF($K$2:K661,K661)-1)</f>
        <v/>
      </c>
    </row>
    <row r="662">
      <c r="B662" t="str">
        <f>IFERROR(IF(A662="","","="&amp;SUBSTITUTE(SUBSTITUTE(SUBSTITUTE(A662,"~","~~"),"*","~*"),"?","~?")),"")</f>
        <v/>
      </c>
      <c r="C662" t="str">
        <f>IF($B662="","",SUMIFS(dAmt,dCust,$B662,dPer,"&gt;="&amp;pyFrom,dPer,"&lt;="&amp;pyTo,dAmt,"&gt;-1E+300",dFlt1,critFlt1,dFlt2,critFlt2,dFlt3,critFlt3))</f>
        <v/>
      </c>
      <c r="D662" t="str">
        <f>IF($B662="","",SUMIFS(dAmt,dCust,$B662,dPer,"&gt;="&amp;cyFrom,dPer,"&lt;="&amp;cyTo,dAmt,"&gt;-1E+300",dFlt1,critFlt1,dFlt2,critFlt2,dFlt3,critFlt3))</f>
        <v/>
      </c>
      <c r="E662" t="str">
        <f>IF($B662="","",SUMIFS(dQty,dCust,$B662,dPer,"&gt;="&amp;pyFrom,dPer,"&lt;="&amp;pyTo,dQty,"&gt;-1E+300",dFlt1,critFlt1,dFlt2,critFlt2,dFlt3,critFlt3))</f>
        <v/>
      </c>
      <c r="F662" t="str">
        <f>IF($B662="","",SUMIFS(dQty,dCust,$B662,dPer,"&gt;="&amp;cyFrom,dPer,"&lt;="&amp;cyTo,dQty,"&gt;-1E+300",dFlt1,critFlt1,dFlt2,critFlt2,dFlt3,critFlt3))</f>
        <v/>
      </c>
      <c r="G662">
        <f>IF($B662="",0,IFERROR(IF(OR(C662&lt;&gt;0,D662&lt;&gt;0,E662&lt;&gt;0,F662&lt;&gt;0),1,0),1))</f>
        <v>0</v>
      </c>
      <c r="H662" t="str">
        <f>IF(OR(G662=0,E662=0),"",C662/E662)</f>
        <v/>
      </c>
      <c r="I662" t="str">
        <f>IF(OR(G662=0,F662=0),"",D662/F662)</f>
        <v/>
      </c>
      <c r="J662" t="str">
        <f>IF(OR(H662="",I662=""),"",IF(H662=0,"",I662/H662-1))</f>
        <v/>
      </c>
      <c r="K662" t="str">
        <f>IF($B662="","",IFERROR(IF(G662=0,-2E+300,CHOOSE(sortIdx,ROUND(D662,0),IF(J662="",-1E+300,ROUND(-J662,6)),IF(J662="",-1E+300,ROUND(J662,6)))),-1.5E+300))</f>
        <v/>
      </c>
      <c r="L662" t="str">
        <f>IF(K662="","",RANK(K662,$K$2:$K$3001,0)+COUNTIF($K$2:K662,K662)-1)</f>
        <v/>
      </c>
    </row>
    <row r="663">
      <c r="B663" t="str">
        <f>IFERROR(IF(A663="","","="&amp;SUBSTITUTE(SUBSTITUTE(SUBSTITUTE(A663,"~","~~"),"*","~*"),"?","~?")),"")</f>
        <v/>
      </c>
      <c r="C663" t="str">
        <f>IF($B663="","",SUMIFS(dAmt,dCust,$B663,dPer,"&gt;="&amp;pyFrom,dPer,"&lt;="&amp;pyTo,dAmt,"&gt;-1E+300",dFlt1,critFlt1,dFlt2,critFlt2,dFlt3,critFlt3))</f>
        <v/>
      </c>
      <c r="D663" t="str">
        <f>IF($B663="","",SUMIFS(dAmt,dCust,$B663,dPer,"&gt;="&amp;cyFrom,dPer,"&lt;="&amp;cyTo,dAmt,"&gt;-1E+300",dFlt1,critFlt1,dFlt2,critFlt2,dFlt3,critFlt3))</f>
        <v/>
      </c>
      <c r="E663" t="str">
        <f>IF($B663="","",SUMIFS(dQty,dCust,$B663,dPer,"&gt;="&amp;pyFrom,dPer,"&lt;="&amp;pyTo,dQty,"&gt;-1E+300",dFlt1,critFlt1,dFlt2,critFlt2,dFlt3,critFlt3))</f>
        <v/>
      </c>
      <c r="F663" t="str">
        <f>IF($B663="","",SUMIFS(dQty,dCust,$B663,dPer,"&gt;="&amp;cyFrom,dPer,"&lt;="&amp;cyTo,dQty,"&gt;-1E+300",dFlt1,critFlt1,dFlt2,critFlt2,dFlt3,critFlt3))</f>
        <v/>
      </c>
      <c r="G663">
        <f>IF($B663="",0,IFERROR(IF(OR(C663&lt;&gt;0,D663&lt;&gt;0,E663&lt;&gt;0,F663&lt;&gt;0),1,0),1))</f>
        <v>0</v>
      </c>
      <c r="H663" t="str">
        <f>IF(OR(G663=0,E663=0),"",C663/E663)</f>
        <v/>
      </c>
      <c r="I663" t="str">
        <f>IF(OR(G663=0,F663=0),"",D663/F663)</f>
        <v/>
      </c>
      <c r="J663" t="str">
        <f>IF(OR(H663="",I663=""),"",IF(H663=0,"",I663/H663-1))</f>
        <v/>
      </c>
      <c r="K663" t="str">
        <f>IF($B663="","",IFERROR(IF(G663=0,-2E+300,CHOOSE(sortIdx,ROUND(D663,0),IF(J663="",-1E+300,ROUND(-J663,6)),IF(J663="",-1E+300,ROUND(J663,6)))),-1.5E+300))</f>
        <v/>
      </c>
      <c r="L663" t="str">
        <f>IF(K663="","",RANK(K663,$K$2:$K$3001,0)+COUNTIF($K$2:K663,K663)-1)</f>
        <v/>
      </c>
    </row>
    <row r="664">
      <c r="B664" t="str">
        <f>IFERROR(IF(A664="","","="&amp;SUBSTITUTE(SUBSTITUTE(SUBSTITUTE(A664,"~","~~"),"*","~*"),"?","~?")),"")</f>
        <v/>
      </c>
      <c r="C664" t="str">
        <f>IF($B664="","",SUMIFS(dAmt,dCust,$B664,dPer,"&gt;="&amp;pyFrom,dPer,"&lt;="&amp;pyTo,dAmt,"&gt;-1E+300",dFlt1,critFlt1,dFlt2,critFlt2,dFlt3,critFlt3))</f>
        <v/>
      </c>
      <c r="D664" t="str">
        <f>IF($B664="","",SUMIFS(dAmt,dCust,$B664,dPer,"&gt;="&amp;cyFrom,dPer,"&lt;="&amp;cyTo,dAmt,"&gt;-1E+300",dFlt1,critFlt1,dFlt2,critFlt2,dFlt3,critFlt3))</f>
        <v/>
      </c>
      <c r="E664" t="str">
        <f>IF($B664="","",SUMIFS(dQty,dCust,$B664,dPer,"&gt;="&amp;pyFrom,dPer,"&lt;="&amp;pyTo,dQty,"&gt;-1E+300",dFlt1,critFlt1,dFlt2,critFlt2,dFlt3,critFlt3))</f>
        <v/>
      </c>
      <c r="F664" t="str">
        <f>IF($B664="","",SUMIFS(dQty,dCust,$B664,dPer,"&gt;="&amp;cyFrom,dPer,"&lt;="&amp;cyTo,dQty,"&gt;-1E+300",dFlt1,critFlt1,dFlt2,critFlt2,dFlt3,critFlt3))</f>
        <v/>
      </c>
      <c r="G664">
        <f>IF($B664="",0,IFERROR(IF(OR(C664&lt;&gt;0,D664&lt;&gt;0,E664&lt;&gt;0,F664&lt;&gt;0),1,0),1))</f>
        <v>0</v>
      </c>
      <c r="H664" t="str">
        <f>IF(OR(G664=0,E664=0),"",C664/E664)</f>
        <v/>
      </c>
      <c r="I664" t="str">
        <f>IF(OR(G664=0,F664=0),"",D664/F664)</f>
        <v/>
      </c>
      <c r="J664" t="str">
        <f>IF(OR(H664="",I664=""),"",IF(H664=0,"",I664/H664-1))</f>
        <v/>
      </c>
      <c r="K664" t="str">
        <f>IF($B664="","",IFERROR(IF(G664=0,-2E+300,CHOOSE(sortIdx,ROUND(D664,0),IF(J664="",-1E+300,ROUND(-J664,6)),IF(J664="",-1E+300,ROUND(J664,6)))),-1.5E+300))</f>
        <v/>
      </c>
      <c r="L664" t="str">
        <f>IF(K664="","",RANK(K664,$K$2:$K$3001,0)+COUNTIF($K$2:K664,K664)-1)</f>
        <v/>
      </c>
    </row>
    <row r="665">
      <c r="B665" t="str">
        <f>IFERROR(IF(A665="","","="&amp;SUBSTITUTE(SUBSTITUTE(SUBSTITUTE(A665,"~","~~"),"*","~*"),"?","~?")),"")</f>
        <v/>
      </c>
      <c r="C665" t="str">
        <f>IF($B665="","",SUMIFS(dAmt,dCust,$B665,dPer,"&gt;="&amp;pyFrom,dPer,"&lt;="&amp;pyTo,dAmt,"&gt;-1E+300",dFlt1,critFlt1,dFlt2,critFlt2,dFlt3,critFlt3))</f>
        <v/>
      </c>
      <c r="D665" t="str">
        <f>IF($B665="","",SUMIFS(dAmt,dCust,$B665,dPer,"&gt;="&amp;cyFrom,dPer,"&lt;="&amp;cyTo,dAmt,"&gt;-1E+300",dFlt1,critFlt1,dFlt2,critFlt2,dFlt3,critFlt3))</f>
        <v/>
      </c>
      <c r="E665" t="str">
        <f>IF($B665="","",SUMIFS(dQty,dCust,$B665,dPer,"&gt;="&amp;pyFrom,dPer,"&lt;="&amp;pyTo,dQty,"&gt;-1E+300",dFlt1,critFlt1,dFlt2,critFlt2,dFlt3,critFlt3))</f>
        <v/>
      </c>
      <c r="F665" t="str">
        <f>IF($B665="","",SUMIFS(dQty,dCust,$B665,dPer,"&gt;="&amp;cyFrom,dPer,"&lt;="&amp;cyTo,dQty,"&gt;-1E+300",dFlt1,critFlt1,dFlt2,critFlt2,dFlt3,critFlt3))</f>
        <v/>
      </c>
      <c r="G665">
        <f>IF($B665="",0,IFERROR(IF(OR(C665&lt;&gt;0,D665&lt;&gt;0,E665&lt;&gt;0,F665&lt;&gt;0),1,0),1))</f>
        <v>0</v>
      </c>
      <c r="H665" t="str">
        <f>IF(OR(G665=0,E665=0),"",C665/E665)</f>
        <v/>
      </c>
      <c r="I665" t="str">
        <f>IF(OR(G665=0,F665=0),"",D665/F665)</f>
        <v/>
      </c>
      <c r="J665" t="str">
        <f>IF(OR(H665="",I665=""),"",IF(H665=0,"",I665/H665-1))</f>
        <v/>
      </c>
      <c r="K665" t="str">
        <f>IF($B665="","",IFERROR(IF(G665=0,-2E+300,CHOOSE(sortIdx,ROUND(D665,0),IF(J665="",-1E+300,ROUND(-J665,6)),IF(J665="",-1E+300,ROUND(J665,6)))),-1.5E+300))</f>
        <v/>
      </c>
      <c r="L665" t="str">
        <f>IF(K665="","",RANK(K665,$K$2:$K$3001,0)+COUNTIF($K$2:K665,K665)-1)</f>
        <v/>
      </c>
    </row>
    <row r="666">
      <c r="B666" t="str">
        <f>IFERROR(IF(A666="","","="&amp;SUBSTITUTE(SUBSTITUTE(SUBSTITUTE(A666,"~","~~"),"*","~*"),"?","~?")),"")</f>
        <v/>
      </c>
      <c r="C666" t="str">
        <f>IF($B666="","",SUMIFS(dAmt,dCust,$B666,dPer,"&gt;="&amp;pyFrom,dPer,"&lt;="&amp;pyTo,dAmt,"&gt;-1E+300",dFlt1,critFlt1,dFlt2,critFlt2,dFlt3,critFlt3))</f>
        <v/>
      </c>
      <c r="D666" t="str">
        <f>IF($B666="","",SUMIFS(dAmt,dCust,$B666,dPer,"&gt;="&amp;cyFrom,dPer,"&lt;="&amp;cyTo,dAmt,"&gt;-1E+300",dFlt1,critFlt1,dFlt2,critFlt2,dFlt3,critFlt3))</f>
        <v/>
      </c>
      <c r="E666" t="str">
        <f>IF($B666="","",SUMIFS(dQty,dCust,$B666,dPer,"&gt;="&amp;pyFrom,dPer,"&lt;="&amp;pyTo,dQty,"&gt;-1E+300",dFlt1,critFlt1,dFlt2,critFlt2,dFlt3,critFlt3))</f>
        <v/>
      </c>
      <c r="F666" t="str">
        <f>IF($B666="","",SUMIFS(dQty,dCust,$B666,dPer,"&gt;="&amp;cyFrom,dPer,"&lt;="&amp;cyTo,dQty,"&gt;-1E+300",dFlt1,critFlt1,dFlt2,critFlt2,dFlt3,critFlt3))</f>
        <v/>
      </c>
      <c r="G666">
        <f>IF($B666="",0,IFERROR(IF(OR(C666&lt;&gt;0,D666&lt;&gt;0,E666&lt;&gt;0,F666&lt;&gt;0),1,0),1))</f>
        <v>0</v>
      </c>
      <c r="H666" t="str">
        <f>IF(OR(G666=0,E666=0),"",C666/E666)</f>
        <v/>
      </c>
      <c r="I666" t="str">
        <f>IF(OR(G666=0,F666=0),"",D666/F666)</f>
        <v/>
      </c>
      <c r="J666" t="str">
        <f>IF(OR(H666="",I666=""),"",IF(H666=0,"",I666/H666-1))</f>
        <v/>
      </c>
      <c r="K666" t="str">
        <f>IF($B666="","",IFERROR(IF(G666=0,-2E+300,CHOOSE(sortIdx,ROUND(D666,0),IF(J666="",-1E+300,ROUND(-J666,6)),IF(J666="",-1E+300,ROUND(J666,6)))),-1.5E+300))</f>
        <v/>
      </c>
      <c r="L666" t="str">
        <f>IF(K666="","",RANK(K666,$K$2:$K$3001,0)+COUNTIF($K$2:K666,K666)-1)</f>
        <v/>
      </c>
    </row>
    <row r="667">
      <c r="B667" t="str">
        <f>IFERROR(IF(A667="","","="&amp;SUBSTITUTE(SUBSTITUTE(SUBSTITUTE(A667,"~","~~"),"*","~*"),"?","~?")),"")</f>
        <v/>
      </c>
      <c r="C667" t="str">
        <f>IF($B667="","",SUMIFS(dAmt,dCust,$B667,dPer,"&gt;="&amp;pyFrom,dPer,"&lt;="&amp;pyTo,dAmt,"&gt;-1E+300",dFlt1,critFlt1,dFlt2,critFlt2,dFlt3,critFlt3))</f>
        <v/>
      </c>
      <c r="D667" t="str">
        <f>IF($B667="","",SUMIFS(dAmt,dCust,$B667,dPer,"&gt;="&amp;cyFrom,dPer,"&lt;="&amp;cyTo,dAmt,"&gt;-1E+300",dFlt1,critFlt1,dFlt2,critFlt2,dFlt3,critFlt3))</f>
        <v/>
      </c>
      <c r="E667" t="str">
        <f>IF($B667="","",SUMIFS(dQty,dCust,$B667,dPer,"&gt;="&amp;pyFrom,dPer,"&lt;="&amp;pyTo,dQty,"&gt;-1E+300",dFlt1,critFlt1,dFlt2,critFlt2,dFlt3,critFlt3))</f>
        <v/>
      </c>
      <c r="F667" t="str">
        <f>IF($B667="","",SUMIFS(dQty,dCust,$B667,dPer,"&gt;="&amp;cyFrom,dPer,"&lt;="&amp;cyTo,dQty,"&gt;-1E+300",dFlt1,critFlt1,dFlt2,critFlt2,dFlt3,critFlt3))</f>
        <v/>
      </c>
      <c r="G667">
        <f>IF($B667="",0,IFERROR(IF(OR(C667&lt;&gt;0,D667&lt;&gt;0,E667&lt;&gt;0,F667&lt;&gt;0),1,0),1))</f>
        <v>0</v>
      </c>
      <c r="H667" t="str">
        <f>IF(OR(G667=0,E667=0),"",C667/E667)</f>
        <v/>
      </c>
      <c r="I667" t="str">
        <f>IF(OR(G667=0,F667=0),"",D667/F667)</f>
        <v/>
      </c>
      <c r="J667" t="str">
        <f>IF(OR(H667="",I667=""),"",IF(H667=0,"",I667/H667-1))</f>
        <v/>
      </c>
      <c r="K667" t="str">
        <f>IF($B667="","",IFERROR(IF(G667=0,-2E+300,CHOOSE(sortIdx,ROUND(D667,0),IF(J667="",-1E+300,ROUND(-J667,6)),IF(J667="",-1E+300,ROUND(J667,6)))),-1.5E+300))</f>
        <v/>
      </c>
      <c r="L667" t="str">
        <f>IF(K667="","",RANK(K667,$K$2:$K$3001,0)+COUNTIF($K$2:K667,K667)-1)</f>
        <v/>
      </c>
    </row>
    <row r="668">
      <c r="B668" t="str">
        <f>IFERROR(IF(A668="","","="&amp;SUBSTITUTE(SUBSTITUTE(SUBSTITUTE(A668,"~","~~"),"*","~*"),"?","~?")),"")</f>
        <v/>
      </c>
      <c r="C668" t="str">
        <f>IF($B668="","",SUMIFS(dAmt,dCust,$B668,dPer,"&gt;="&amp;pyFrom,dPer,"&lt;="&amp;pyTo,dAmt,"&gt;-1E+300",dFlt1,critFlt1,dFlt2,critFlt2,dFlt3,critFlt3))</f>
        <v/>
      </c>
      <c r="D668" t="str">
        <f>IF($B668="","",SUMIFS(dAmt,dCust,$B668,dPer,"&gt;="&amp;cyFrom,dPer,"&lt;="&amp;cyTo,dAmt,"&gt;-1E+300",dFlt1,critFlt1,dFlt2,critFlt2,dFlt3,critFlt3))</f>
        <v/>
      </c>
      <c r="E668" t="str">
        <f>IF($B668="","",SUMIFS(dQty,dCust,$B668,dPer,"&gt;="&amp;pyFrom,dPer,"&lt;="&amp;pyTo,dQty,"&gt;-1E+300",dFlt1,critFlt1,dFlt2,critFlt2,dFlt3,critFlt3))</f>
        <v/>
      </c>
      <c r="F668" t="str">
        <f>IF($B668="","",SUMIFS(dQty,dCust,$B668,dPer,"&gt;="&amp;cyFrom,dPer,"&lt;="&amp;cyTo,dQty,"&gt;-1E+300",dFlt1,critFlt1,dFlt2,critFlt2,dFlt3,critFlt3))</f>
        <v/>
      </c>
      <c r="G668">
        <f>IF($B668="",0,IFERROR(IF(OR(C668&lt;&gt;0,D668&lt;&gt;0,E668&lt;&gt;0,F668&lt;&gt;0),1,0),1))</f>
        <v>0</v>
      </c>
      <c r="H668" t="str">
        <f>IF(OR(G668=0,E668=0),"",C668/E668)</f>
        <v/>
      </c>
      <c r="I668" t="str">
        <f>IF(OR(G668=0,F668=0),"",D668/F668)</f>
        <v/>
      </c>
      <c r="J668" t="str">
        <f>IF(OR(H668="",I668=""),"",IF(H668=0,"",I668/H668-1))</f>
        <v/>
      </c>
      <c r="K668" t="str">
        <f>IF($B668="","",IFERROR(IF(G668=0,-2E+300,CHOOSE(sortIdx,ROUND(D668,0),IF(J668="",-1E+300,ROUND(-J668,6)),IF(J668="",-1E+300,ROUND(J668,6)))),-1.5E+300))</f>
        <v/>
      </c>
      <c r="L668" t="str">
        <f>IF(K668="","",RANK(K668,$K$2:$K$3001,0)+COUNTIF($K$2:K668,K668)-1)</f>
        <v/>
      </c>
    </row>
    <row r="669">
      <c r="B669" t="str">
        <f>IFERROR(IF(A669="","","="&amp;SUBSTITUTE(SUBSTITUTE(SUBSTITUTE(A669,"~","~~"),"*","~*"),"?","~?")),"")</f>
        <v/>
      </c>
      <c r="C669" t="str">
        <f>IF($B669="","",SUMIFS(dAmt,dCust,$B669,dPer,"&gt;="&amp;pyFrom,dPer,"&lt;="&amp;pyTo,dAmt,"&gt;-1E+300",dFlt1,critFlt1,dFlt2,critFlt2,dFlt3,critFlt3))</f>
        <v/>
      </c>
      <c r="D669" t="str">
        <f>IF($B669="","",SUMIFS(dAmt,dCust,$B669,dPer,"&gt;="&amp;cyFrom,dPer,"&lt;="&amp;cyTo,dAmt,"&gt;-1E+300",dFlt1,critFlt1,dFlt2,critFlt2,dFlt3,critFlt3))</f>
        <v/>
      </c>
      <c r="E669" t="str">
        <f>IF($B669="","",SUMIFS(dQty,dCust,$B669,dPer,"&gt;="&amp;pyFrom,dPer,"&lt;="&amp;pyTo,dQty,"&gt;-1E+300",dFlt1,critFlt1,dFlt2,critFlt2,dFlt3,critFlt3))</f>
        <v/>
      </c>
      <c r="F669" t="str">
        <f>IF($B669="","",SUMIFS(dQty,dCust,$B669,dPer,"&gt;="&amp;cyFrom,dPer,"&lt;="&amp;cyTo,dQty,"&gt;-1E+300",dFlt1,critFlt1,dFlt2,critFlt2,dFlt3,critFlt3))</f>
        <v/>
      </c>
      <c r="G669">
        <f>IF($B669="",0,IFERROR(IF(OR(C669&lt;&gt;0,D669&lt;&gt;0,E669&lt;&gt;0,F669&lt;&gt;0),1,0),1))</f>
        <v>0</v>
      </c>
      <c r="H669" t="str">
        <f>IF(OR(G669=0,E669=0),"",C669/E669)</f>
        <v/>
      </c>
      <c r="I669" t="str">
        <f>IF(OR(G669=0,F669=0),"",D669/F669)</f>
        <v/>
      </c>
      <c r="J669" t="str">
        <f>IF(OR(H669="",I669=""),"",IF(H669=0,"",I669/H669-1))</f>
        <v/>
      </c>
      <c r="K669" t="str">
        <f>IF($B669="","",IFERROR(IF(G669=0,-2E+300,CHOOSE(sortIdx,ROUND(D669,0),IF(J669="",-1E+300,ROUND(-J669,6)),IF(J669="",-1E+300,ROUND(J669,6)))),-1.5E+300))</f>
        <v/>
      </c>
      <c r="L669" t="str">
        <f>IF(K669="","",RANK(K669,$K$2:$K$3001,0)+COUNTIF($K$2:K669,K669)-1)</f>
        <v/>
      </c>
    </row>
    <row r="670">
      <c r="B670" t="str">
        <f>IFERROR(IF(A670="","","="&amp;SUBSTITUTE(SUBSTITUTE(SUBSTITUTE(A670,"~","~~"),"*","~*"),"?","~?")),"")</f>
        <v/>
      </c>
      <c r="C670" t="str">
        <f>IF($B670="","",SUMIFS(dAmt,dCust,$B670,dPer,"&gt;="&amp;pyFrom,dPer,"&lt;="&amp;pyTo,dAmt,"&gt;-1E+300",dFlt1,critFlt1,dFlt2,critFlt2,dFlt3,critFlt3))</f>
        <v/>
      </c>
      <c r="D670" t="str">
        <f>IF($B670="","",SUMIFS(dAmt,dCust,$B670,dPer,"&gt;="&amp;cyFrom,dPer,"&lt;="&amp;cyTo,dAmt,"&gt;-1E+300",dFlt1,critFlt1,dFlt2,critFlt2,dFlt3,critFlt3))</f>
        <v/>
      </c>
      <c r="E670" t="str">
        <f>IF($B670="","",SUMIFS(dQty,dCust,$B670,dPer,"&gt;="&amp;pyFrom,dPer,"&lt;="&amp;pyTo,dQty,"&gt;-1E+300",dFlt1,critFlt1,dFlt2,critFlt2,dFlt3,critFlt3))</f>
        <v/>
      </c>
      <c r="F670" t="str">
        <f>IF($B670="","",SUMIFS(dQty,dCust,$B670,dPer,"&gt;="&amp;cyFrom,dPer,"&lt;="&amp;cyTo,dQty,"&gt;-1E+300",dFlt1,critFlt1,dFlt2,critFlt2,dFlt3,critFlt3))</f>
        <v/>
      </c>
      <c r="G670">
        <f>IF($B670="",0,IFERROR(IF(OR(C670&lt;&gt;0,D670&lt;&gt;0,E670&lt;&gt;0,F670&lt;&gt;0),1,0),1))</f>
        <v>0</v>
      </c>
      <c r="H670" t="str">
        <f>IF(OR(G670=0,E670=0),"",C670/E670)</f>
        <v/>
      </c>
      <c r="I670" t="str">
        <f>IF(OR(G670=0,F670=0),"",D670/F670)</f>
        <v/>
      </c>
      <c r="J670" t="str">
        <f>IF(OR(H670="",I670=""),"",IF(H670=0,"",I670/H670-1))</f>
        <v/>
      </c>
      <c r="K670" t="str">
        <f>IF($B670="","",IFERROR(IF(G670=0,-2E+300,CHOOSE(sortIdx,ROUND(D670,0),IF(J670="",-1E+300,ROUND(-J670,6)),IF(J670="",-1E+300,ROUND(J670,6)))),-1.5E+300))</f>
        <v/>
      </c>
      <c r="L670" t="str">
        <f>IF(K670="","",RANK(K670,$K$2:$K$3001,0)+COUNTIF($K$2:K670,K670)-1)</f>
        <v/>
      </c>
    </row>
    <row r="671">
      <c r="B671" t="str">
        <f>IFERROR(IF(A671="","","="&amp;SUBSTITUTE(SUBSTITUTE(SUBSTITUTE(A671,"~","~~"),"*","~*"),"?","~?")),"")</f>
        <v/>
      </c>
      <c r="C671" t="str">
        <f>IF($B671="","",SUMIFS(dAmt,dCust,$B671,dPer,"&gt;="&amp;pyFrom,dPer,"&lt;="&amp;pyTo,dAmt,"&gt;-1E+300",dFlt1,critFlt1,dFlt2,critFlt2,dFlt3,critFlt3))</f>
        <v/>
      </c>
      <c r="D671" t="str">
        <f>IF($B671="","",SUMIFS(dAmt,dCust,$B671,dPer,"&gt;="&amp;cyFrom,dPer,"&lt;="&amp;cyTo,dAmt,"&gt;-1E+300",dFlt1,critFlt1,dFlt2,critFlt2,dFlt3,critFlt3))</f>
        <v/>
      </c>
      <c r="E671" t="str">
        <f>IF($B671="","",SUMIFS(dQty,dCust,$B671,dPer,"&gt;="&amp;pyFrom,dPer,"&lt;="&amp;pyTo,dQty,"&gt;-1E+300",dFlt1,critFlt1,dFlt2,critFlt2,dFlt3,critFlt3))</f>
        <v/>
      </c>
      <c r="F671" t="str">
        <f>IF($B671="","",SUMIFS(dQty,dCust,$B671,dPer,"&gt;="&amp;cyFrom,dPer,"&lt;="&amp;cyTo,dQty,"&gt;-1E+300",dFlt1,critFlt1,dFlt2,critFlt2,dFlt3,critFlt3))</f>
        <v/>
      </c>
      <c r="G671">
        <f>IF($B671="",0,IFERROR(IF(OR(C671&lt;&gt;0,D671&lt;&gt;0,E671&lt;&gt;0,F671&lt;&gt;0),1,0),1))</f>
        <v>0</v>
      </c>
      <c r="H671" t="str">
        <f>IF(OR(G671=0,E671=0),"",C671/E671)</f>
        <v/>
      </c>
      <c r="I671" t="str">
        <f>IF(OR(G671=0,F671=0),"",D671/F671)</f>
        <v/>
      </c>
      <c r="J671" t="str">
        <f>IF(OR(H671="",I671=""),"",IF(H671=0,"",I671/H671-1))</f>
        <v/>
      </c>
      <c r="K671" t="str">
        <f>IF($B671="","",IFERROR(IF(G671=0,-2E+300,CHOOSE(sortIdx,ROUND(D671,0),IF(J671="",-1E+300,ROUND(-J671,6)),IF(J671="",-1E+300,ROUND(J671,6)))),-1.5E+300))</f>
        <v/>
      </c>
      <c r="L671" t="str">
        <f>IF(K671="","",RANK(K671,$K$2:$K$3001,0)+COUNTIF($K$2:K671,K671)-1)</f>
        <v/>
      </c>
    </row>
    <row r="672">
      <c r="B672" t="str">
        <f>IFERROR(IF(A672="","","="&amp;SUBSTITUTE(SUBSTITUTE(SUBSTITUTE(A672,"~","~~"),"*","~*"),"?","~?")),"")</f>
        <v/>
      </c>
      <c r="C672" t="str">
        <f>IF($B672="","",SUMIFS(dAmt,dCust,$B672,dPer,"&gt;="&amp;pyFrom,dPer,"&lt;="&amp;pyTo,dAmt,"&gt;-1E+300",dFlt1,critFlt1,dFlt2,critFlt2,dFlt3,critFlt3))</f>
        <v/>
      </c>
      <c r="D672" t="str">
        <f>IF($B672="","",SUMIFS(dAmt,dCust,$B672,dPer,"&gt;="&amp;cyFrom,dPer,"&lt;="&amp;cyTo,dAmt,"&gt;-1E+300",dFlt1,critFlt1,dFlt2,critFlt2,dFlt3,critFlt3))</f>
        <v/>
      </c>
      <c r="E672" t="str">
        <f>IF($B672="","",SUMIFS(dQty,dCust,$B672,dPer,"&gt;="&amp;pyFrom,dPer,"&lt;="&amp;pyTo,dQty,"&gt;-1E+300",dFlt1,critFlt1,dFlt2,critFlt2,dFlt3,critFlt3))</f>
        <v/>
      </c>
      <c r="F672" t="str">
        <f>IF($B672="","",SUMIFS(dQty,dCust,$B672,dPer,"&gt;="&amp;cyFrom,dPer,"&lt;="&amp;cyTo,dQty,"&gt;-1E+300",dFlt1,critFlt1,dFlt2,critFlt2,dFlt3,critFlt3))</f>
        <v/>
      </c>
      <c r="G672">
        <f>IF($B672="",0,IFERROR(IF(OR(C672&lt;&gt;0,D672&lt;&gt;0,E672&lt;&gt;0,F672&lt;&gt;0),1,0),1))</f>
        <v>0</v>
      </c>
      <c r="H672" t="str">
        <f>IF(OR(G672=0,E672=0),"",C672/E672)</f>
        <v/>
      </c>
      <c r="I672" t="str">
        <f>IF(OR(G672=0,F672=0),"",D672/F672)</f>
        <v/>
      </c>
      <c r="J672" t="str">
        <f>IF(OR(H672="",I672=""),"",IF(H672=0,"",I672/H672-1))</f>
        <v/>
      </c>
      <c r="K672" t="str">
        <f>IF($B672="","",IFERROR(IF(G672=0,-2E+300,CHOOSE(sortIdx,ROUND(D672,0),IF(J672="",-1E+300,ROUND(-J672,6)),IF(J672="",-1E+300,ROUND(J672,6)))),-1.5E+300))</f>
        <v/>
      </c>
      <c r="L672" t="str">
        <f>IF(K672="","",RANK(K672,$K$2:$K$3001,0)+COUNTIF($K$2:K672,K672)-1)</f>
        <v/>
      </c>
    </row>
    <row r="673">
      <c r="B673" t="str">
        <f>IFERROR(IF(A673="","","="&amp;SUBSTITUTE(SUBSTITUTE(SUBSTITUTE(A673,"~","~~"),"*","~*"),"?","~?")),"")</f>
        <v/>
      </c>
      <c r="C673" t="str">
        <f>IF($B673="","",SUMIFS(dAmt,dCust,$B673,dPer,"&gt;="&amp;pyFrom,dPer,"&lt;="&amp;pyTo,dAmt,"&gt;-1E+300",dFlt1,critFlt1,dFlt2,critFlt2,dFlt3,critFlt3))</f>
        <v/>
      </c>
      <c r="D673" t="str">
        <f>IF($B673="","",SUMIFS(dAmt,dCust,$B673,dPer,"&gt;="&amp;cyFrom,dPer,"&lt;="&amp;cyTo,dAmt,"&gt;-1E+300",dFlt1,critFlt1,dFlt2,critFlt2,dFlt3,critFlt3))</f>
        <v/>
      </c>
      <c r="E673" t="str">
        <f>IF($B673="","",SUMIFS(dQty,dCust,$B673,dPer,"&gt;="&amp;pyFrom,dPer,"&lt;="&amp;pyTo,dQty,"&gt;-1E+300",dFlt1,critFlt1,dFlt2,critFlt2,dFlt3,critFlt3))</f>
        <v/>
      </c>
      <c r="F673" t="str">
        <f>IF($B673="","",SUMIFS(dQty,dCust,$B673,dPer,"&gt;="&amp;cyFrom,dPer,"&lt;="&amp;cyTo,dQty,"&gt;-1E+300",dFlt1,critFlt1,dFlt2,critFlt2,dFlt3,critFlt3))</f>
        <v/>
      </c>
      <c r="G673">
        <f>IF($B673="",0,IFERROR(IF(OR(C673&lt;&gt;0,D673&lt;&gt;0,E673&lt;&gt;0,F673&lt;&gt;0),1,0),1))</f>
        <v>0</v>
      </c>
      <c r="H673" t="str">
        <f>IF(OR(G673=0,E673=0),"",C673/E673)</f>
        <v/>
      </c>
      <c r="I673" t="str">
        <f>IF(OR(G673=0,F673=0),"",D673/F673)</f>
        <v/>
      </c>
      <c r="J673" t="str">
        <f>IF(OR(H673="",I673=""),"",IF(H673=0,"",I673/H673-1))</f>
        <v/>
      </c>
      <c r="K673" t="str">
        <f>IF($B673="","",IFERROR(IF(G673=0,-2E+300,CHOOSE(sortIdx,ROUND(D673,0),IF(J673="",-1E+300,ROUND(-J673,6)),IF(J673="",-1E+300,ROUND(J673,6)))),-1.5E+300))</f>
        <v/>
      </c>
      <c r="L673" t="str">
        <f>IF(K673="","",RANK(K673,$K$2:$K$3001,0)+COUNTIF($K$2:K673,K673)-1)</f>
        <v/>
      </c>
    </row>
    <row r="674">
      <c r="B674" t="str">
        <f>IFERROR(IF(A674="","","="&amp;SUBSTITUTE(SUBSTITUTE(SUBSTITUTE(A674,"~","~~"),"*","~*"),"?","~?")),"")</f>
        <v/>
      </c>
      <c r="C674" t="str">
        <f>IF($B674="","",SUMIFS(dAmt,dCust,$B674,dPer,"&gt;="&amp;pyFrom,dPer,"&lt;="&amp;pyTo,dAmt,"&gt;-1E+300",dFlt1,critFlt1,dFlt2,critFlt2,dFlt3,critFlt3))</f>
        <v/>
      </c>
      <c r="D674" t="str">
        <f>IF($B674="","",SUMIFS(dAmt,dCust,$B674,dPer,"&gt;="&amp;cyFrom,dPer,"&lt;="&amp;cyTo,dAmt,"&gt;-1E+300",dFlt1,critFlt1,dFlt2,critFlt2,dFlt3,critFlt3))</f>
        <v/>
      </c>
      <c r="E674" t="str">
        <f>IF($B674="","",SUMIFS(dQty,dCust,$B674,dPer,"&gt;="&amp;pyFrom,dPer,"&lt;="&amp;pyTo,dQty,"&gt;-1E+300",dFlt1,critFlt1,dFlt2,critFlt2,dFlt3,critFlt3))</f>
        <v/>
      </c>
      <c r="F674" t="str">
        <f>IF($B674="","",SUMIFS(dQty,dCust,$B674,dPer,"&gt;="&amp;cyFrom,dPer,"&lt;="&amp;cyTo,dQty,"&gt;-1E+300",dFlt1,critFlt1,dFlt2,critFlt2,dFlt3,critFlt3))</f>
        <v/>
      </c>
      <c r="G674">
        <f>IF($B674="",0,IFERROR(IF(OR(C674&lt;&gt;0,D674&lt;&gt;0,E674&lt;&gt;0,F674&lt;&gt;0),1,0),1))</f>
        <v>0</v>
      </c>
      <c r="H674" t="str">
        <f>IF(OR(G674=0,E674=0),"",C674/E674)</f>
        <v/>
      </c>
      <c r="I674" t="str">
        <f>IF(OR(G674=0,F674=0),"",D674/F674)</f>
        <v/>
      </c>
      <c r="J674" t="str">
        <f>IF(OR(H674="",I674=""),"",IF(H674=0,"",I674/H674-1))</f>
        <v/>
      </c>
      <c r="K674" t="str">
        <f>IF($B674="","",IFERROR(IF(G674=0,-2E+300,CHOOSE(sortIdx,ROUND(D674,0),IF(J674="",-1E+300,ROUND(-J674,6)),IF(J674="",-1E+300,ROUND(J674,6)))),-1.5E+300))</f>
        <v/>
      </c>
      <c r="L674" t="str">
        <f>IF(K674="","",RANK(K674,$K$2:$K$3001,0)+COUNTIF($K$2:K674,K674)-1)</f>
        <v/>
      </c>
    </row>
    <row r="675">
      <c r="B675" t="str">
        <f>IFERROR(IF(A675="","","="&amp;SUBSTITUTE(SUBSTITUTE(SUBSTITUTE(A675,"~","~~"),"*","~*"),"?","~?")),"")</f>
        <v/>
      </c>
      <c r="C675" t="str">
        <f>IF($B675="","",SUMIFS(dAmt,dCust,$B675,dPer,"&gt;="&amp;pyFrom,dPer,"&lt;="&amp;pyTo,dAmt,"&gt;-1E+300",dFlt1,critFlt1,dFlt2,critFlt2,dFlt3,critFlt3))</f>
        <v/>
      </c>
      <c r="D675" t="str">
        <f>IF($B675="","",SUMIFS(dAmt,dCust,$B675,dPer,"&gt;="&amp;cyFrom,dPer,"&lt;="&amp;cyTo,dAmt,"&gt;-1E+300",dFlt1,critFlt1,dFlt2,critFlt2,dFlt3,critFlt3))</f>
        <v/>
      </c>
      <c r="E675" t="str">
        <f>IF($B675="","",SUMIFS(dQty,dCust,$B675,dPer,"&gt;="&amp;pyFrom,dPer,"&lt;="&amp;pyTo,dQty,"&gt;-1E+300",dFlt1,critFlt1,dFlt2,critFlt2,dFlt3,critFlt3))</f>
        <v/>
      </c>
      <c r="F675" t="str">
        <f>IF($B675="","",SUMIFS(dQty,dCust,$B675,dPer,"&gt;="&amp;cyFrom,dPer,"&lt;="&amp;cyTo,dQty,"&gt;-1E+300",dFlt1,critFlt1,dFlt2,critFlt2,dFlt3,critFlt3))</f>
        <v/>
      </c>
      <c r="G675">
        <f>IF($B675="",0,IFERROR(IF(OR(C675&lt;&gt;0,D675&lt;&gt;0,E675&lt;&gt;0,F675&lt;&gt;0),1,0),1))</f>
        <v>0</v>
      </c>
      <c r="H675" t="str">
        <f>IF(OR(G675=0,E675=0),"",C675/E675)</f>
        <v/>
      </c>
      <c r="I675" t="str">
        <f>IF(OR(G675=0,F675=0),"",D675/F675)</f>
        <v/>
      </c>
      <c r="J675" t="str">
        <f>IF(OR(H675="",I675=""),"",IF(H675=0,"",I675/H675-1))</f>
        <v/>
      </c>
      <c r="K675" t="str">
        <f>IF($B675="","",IFERROR(IF(G675=0,-2E+300,CHOOSE(sortIdx,ROUND(D675,0),IF(J675="",-1E+300,ROUND(-J675,6)),IF(J675="",-1E+300,ROUND(J675,6)))),-1.5E+300))</f>
        <v/>
      </c>
      <c r="L675" t="str">
        <f>IF(K675="","",RANK(K675,$K$2:$K$3001,0)+COUNTIF($K$2:K675,K675)-1)</f>
        <v/>
      </c>
    </row>
    <row r="676">
      <c r="B676" t="str">
        <f>IFERROR(IF(A676="","","="&amp;SUBSTITUTE(SUBSTITUTE(SUBSTITUTE(A676,"~","~~"),"*","~*"),"?","~?")),"")</f>
        <v/>
      </c>
      <c r="C676" t="str">
        <f>IF($B676="","",SUMIFS(dAmt,dCust,$B676,dPer,"&gt;="&amp;pyFrom,dPer,"&lt;="&amp;pyTo,dAmt,"&gt;-1E+300",dFlt1,critFlt1,dFlt2,critFlt2,dFlt3,critFlt3))</f>
        <v/>
      </c>
      <c r="D676" t="str">
        <f>IF($B676="","",SUMIFS(dAmt,dCust,$B676,dPer,"&gt;="&amp;cyFrom,dPer,"&lt;="&amp;cyTo,dAmt,"&gt;-1E+300",dFlt1,critFlt1,dFlt2,critFlt2,dFlt3,critFlt3))</f>
        <v/>
      </c>
      <c r="E676" t="str">
        <f>IF($B676="","",SUMIFS(dQty,dCust,$B676,dPer,"&gt;="&amp;pyFrom,dPer,"&lt;="&amp;pyTo,dQty,"&gt;-1E+300",dFlt1,critFlt1,dFlt2,critFlt2,dFlt3,critFlt3))</f>
        <v/>
      </c>
      <c r="F676" t="str">
        <f>IF($B676="","",SUMIFS(dQty,dCust,$B676,dPer,"&gt;="&amp;cyFrom,dPer,"&lt;="&amp;cyTo,dQty,"&gt;-1E+300",dFlt1,critFlt1,dFlt2,critFlt2,dFlt3,critFlt3))</f>
        <v/>
      </c>
      <c r="G676">
        <f>IF($B676="",0,IFERROR(IF(OR(C676&lt;&gt;0,D676&lt;&gt;0,E676&lt;&gt;0,F676&lt;&gt;0),1,0),1))</f>
        <v>0</v>
      </c>
      <c r="H676" t="str">
        <f>IF(OR(G676=0,E676=0),"",C676/E676)</f>
        <v/>
      </c>
      <c r="I676" t="str">
        <f>IF(OR(G676=0,F676=0),"",D676/F676)</f>
        <v/>
      </c>
      <c r="J676" t="str">
        <f>IF(OR(H676="",I676=""),"",IF(H676=0,"",I676/H676-1))</f>
        <v/>
      </c>
      <c r="K676" t="str">
        <f>IF($B676="","",IFERROR(IF(G676=0,-2E+300,CHOOSE(sortIdx,ROUND(D676,0),IF(J676="",-1E+300,ROUND(-J676,6)),IF(J676="",-1E+300,ROUND(J676,6)))),-1.5E+300))</f>
        <v/>
      </c>
      <c r="L676" t="str">
        <f>IF(K676="","",RANK(K676,$K$2:$K$3001,0)+COUNTIF($K$2:K676,K676)-1)</f>
        <v/>
      </c>
    </row>
    <row r="677">
      <c r="B677" t="str">
        <f>IFERROR(IF(A677="","","="&amp;SUBSTITUTE(SUBSTITUTE(SUBSTITUTE(A677,"~","~~"),"*","~*"),"?","~?")),"")</f>
        <v/>
      </c>
      <c r="C677" t="str">
        <f>IF($B677="","",SUMIFS(dAmt,dCust,$B677,dPer,"&gt;="&amp;pyFrom,dPer,"&lt;="&amp;pyTo,dAmt,"&gt;-1E+300",dFlt1,critFlt1,dFlt2,critFlt2,dFlt3,critFlt3))</f>
        <v/>
      </c>
      <c r="D677" t="str">
        <f>IF($B677="","",SUMIFS(dAmt,dCust,$B677,dPer,"&gt;="&amp;cyFrom,dPer,"&lt;="&amp;cyTo,dAmt,"&gt;-1E+300",dFlt1,critFlt1,dFlt2,critFlt2,dFlt3,critFlt3))</f>
        <v/>
      </c>
      <c r="E677" t="str">
        <f>IF($B677="","",SUMIFS(dQty,dCust,$B677,dPer,"&gt;="&amp;pyFrom,dPer,"&lt;="&amp;pyTo,dQty,"&gt;-1E+300",dFlt1,critFlt1,dFlt2,critFlt2,dFlt3,critFlt3))</f>
        <v/>
      </c>
      <c r="F677" t="str">
        <f>IF($B677="","",SUMIFS(dQty,dCust,$B677,dPer,"&gt;="&amp;cyFrom,dPer,"&lt;="&amp;cyTo,dQty,"&gt;-1E+300",dFlt1,critFlt1,dFlt2,critFlt2,dFlt3,critFlt3))</f>
        <v/>
      </c>
      <c r="G677">
        <f>IF($B677="",0,IFERROR(IF(OR(C677&lt;&gt;0,D677&lt;&gt;0,E677&lt;&gt;0,F677&lt;&gt;0),1,0),1))</f>
        <v>0</v>
      </c>
      <c r="H677" t="str">
        <f>IF(OR(G677=0,E677=0),"",C677/E677)</f>
        <v/>
      </c>
      <c r="I677" t="str">
        <f>IF(OR(G677=0,F677=0),"",D677/F677)</f>
        <v/>
      </c>
      <c r="J677" t="str">
        <f>IF(OR(H677="",I677=""),"",IF(H677=0,"",I677/H677-1))</f>
        <v/>
      </c>
      <c r="K677" t="str">
        <f>IF($B677="","",IFERROR(IF(G677=0,-2E+300,CHOOSE(sortIdx,ROUND(D677,0),IF(J677="",-1E+300,ROUND(-J677,6)),IF(J677="",-1E+300,ROUND(J677,6)))),-1.5E+300))</f>
        <v/>
      </c>
      <c r="L677" t="str">
        <f>IF(K677="","",RANK(K677,$K$2:$K$3001,0)+COUNTIF($K$2:K677,K677)-1)</f>
        <v/>
      </c>
    </row>
    <row r="678">
      <c r="B678" t="str">
        <f>IFERROR(IF(A678="","","="&amp;SUBSTITUTE(SUBSTITUTE(SUBSTITUTE(A678,"~","~~"),"*","~*"),"?","~?")),"")</f>
        <v/>
      </c>
      <c r="C678" t="str">
        <f>IF($B678="","",SUMIFS(dAmt,dCust,$B678,dPer,"&gt;="&amp;pyFrom,dPer,"&lt;="&amp;pyTo,dAmt,"&gt;-1E+300",dFlt1,critFlt1,dFlt2,critFlt2,dFlt3,critFlt3))</f>
        <v/>
      </c>
      <c r="D678" t="str">
        <f>IF($B678="","",SUMIFS(dAmt,dCust,$B678,dPer,"&gt;="&amp;cyFrom,dPer,"&lt;="&amp;cyTo,dAmt,"&gt;-1E+300",dFlt1,critFlt1,dFlt2,critFlt2,dFlt3,critFlt3))</f>
        <v/>
      </c>
      <c r="E678" t="str">
        <f>IF($B678="","",SUMIFS(dQty,dCust,$B678,dPer,"&gt;="&amp;pyFrom,dPer,"&lt;="&amp;pyTo,dQty,"&gt;-1E+300",dFlt1,critFlt1,dFlt2,critFlt2,dFlt3,critFlt3))</f>
        <v/>
      </c>
      <c r="F678" t="str">
        <f>IF($B678="","",SUMIFS(dQty,dCust,$B678,dPer,"&gt;="&amp;cyFrom,dPer,"&lt;="&amp;cyTo,dQty,"&gt;-1E+300",dFlt1,critFlt1,dFlt2,critFlt2,dFlt3,critFlt3))</f>
        <v/>
      </c>
      <c r="G678">
        <f>IF($B678="",0,IFERROR(IF(OR(C678&lt;&gt;0,D678&lt;&gt;0,E678&lt;&gt;0,F678&lt;&gt;0),1,0),1))</f>
        <v>0</v>
      </c>
      <c r="H678" t="str">
        <f>IF(OR(G678=0,E678=0),"",C678/E678)</f>
        <v/>
      </c>
      <c r="I678" t="str">
        <f>IF(OR(G678=0,F678=0),"",D678/F678)</f>
        <v/>
      </c>
      <c r="J678" t="str">
        <f>IF(OR(H678="",I678=""),"",IF(H678=0,"",I678/H678-1))</f>
        <v/>
      </c>
      <c r="K678" t="str">
        <f>IF($B678="","",IFERROR(IF(G678=0,-2E+300,CHOOSE(sortIdx,ROUND(D678,0),IF(J678="",-1E+300,ROUND(-J678,6)),IF(J678="",-1E+300,ROUND(J678,6)))),-1.5E+300))</f>
        <v/>
      </c>
      <c r="L678" t="str">
        <f>IF(K678="","",RANK(K678,$K$2:$K$3001,0)+COUNTIF($K$2:K678,K678)-1)</f>
        <v/>
      </c>
    </row>
    <row r="679">
      <c r="B679" t="str">
        <f>IFERROR(IF(A679="","","="&amp;SUBSTITUTE(SUBSTITUTE(SUBSTITUTE(A679,"~","~~"),"*","~*"),"?","~?")),"")</f>
        <v/>
      </c>
      <c r="C679" t="str">
        <f>IF($B679="","",SUMIFS(dAmt,dCust,$B679,dPer,"&gt;="&amp;pyFrom,dPer,"&lt;="&amp;pyTo,dAmt,"&gt;-1E+300",dFlt1,critFlt1,dFlt2,critFlt2,dFlt3,critFlt3))</f>
        <v/>
      </c>
      <c r="D679" t="str">
        <f>IF($B679="","",SUMIFS(dAmt,dCust,$B679,dPer,"&gt;="&amp;cyFrom,dPer,"&lt;="&amp;cyTo,dAmt,"&gt;-1E+300",dFlt1,critFlt1,dFlt2,critFlt2,dFlt3,critFlt3))</f>
        <v/>
      </c>
      <c r="E679" t="str">
        <f>IF($B679="","",SUMIFS(dQty,dCust,$B679,dPer,"&gt;="&amp;pyFrom,dPer,"&lt;="&amp;pyTo,dQty,"&gt;-1E+300",dFlt1,critFlt1,dFlt2,critFlt2,dFlt3,critFlt3))</f>
        <v/>
      </c>
      <c r="F679" t="str">
        <f>IF($B679="","",SUMIFS(dQty,dCust,$B679,dPer,"&gt;="&amp;cyFrom,dPer,"&lt;="&amp;cyTo,dQty,"&gt;-1E+300",dFlt1,critFlt1,dFlt2,critFlt2,dFlt3,critFlt3))</f>
        <v/>
      </c>
      <c r="G679">
        <f>IF($B679="",0,IFERROR(IF(OR(C679&lt;&gt;0,D679&lt;&gt;0,E679&lt;&gt;0,F679&lt;&gt;0),1,0),1))</f>
        <v>0</v>
      </c>
      <c r="H679" t="str">
        <f>IF(OR(G679=0,E679=0),"",C679/E679)</f>
        <v/>
      </c>
      <c r="I679" t="str">
        <f>IF(OR(G679=0,F679=0),"",D679/F679)</f>
        <v/>
      </c>
      <c r="J679" t="str">
        <f>IF(OR(H679="",I679=""),"",IF(H679=0,"",I679/H679-1))</f>
        <v/>
      </c>
      <c r="K679" t="str">
        <f>IF($B679="","",IFERROR(IF(G679=0,-2E+300,CHOOSE(sortIdx,ROUND(D679,0),IF(J679="",-1E+300,ROUND(-J679,6)),IF(J679="",-1E+300,ROUND(J679,6)))),-1.5E+300))</f>
        <v/>
      </c>
      <c r="L679" t="str">
        <f>IF(K679="","",RANK(K679,$K$2:$K$3001,0)+COUNTIF($K$2:K679,K679)-1)</f>
        <v/>
      </c>
    </row>
    <row r="680">
      <c r="B680" t="str">
        <f>IFERROR(IF(A680="","","="&amp;SUBSTITUTE(SUBSTITUTE(SUBSTITUTE(A680,"~","~~"),"*","~*"),"?","~?")),"")</f>
        <v/>
      </c>
      <c r="C680" t="str">
        <f>IF($B680="","",SUMIFS(dAmt,dCust,$B680,dPer,"&gt;="&amp;pyFrom,dPer,"&lt;="&amp;pyTo,dAmt,"&gt;-1E+300",dFlt1,critFlt1,dFlt2,critFlt2,dFlt3,critFlt3))</f>
        <v/>
      </c>
      <c r="D680" t="str">
        <f>IF($B680="","",SUMIFS(dAmt,dCust,$B680,dPer,"&gt;="&amp;cyFrom,dPer,"&lt;="&amp;cyTo,dAmt,"&gt;-1E+300",dFlt1,critFlt1,dFlt2,critFlt2,dFlt3,critFlt3))</f>
        <v/>
      </c>
      <c r="E680" t="str">
        <f>IF($B680="","",SUMIFS(dQty,dCust,$B680,dPer,"&gt;="&amp;pyFrom,dPer,"&lt;="&amp;pyTo,dQty,"&gt;-1E+300",dFlt1,critFlt1,dFlt2,critFlt2,dFlt3,critFlt3))</f>
        <v/>
      </c>
      <c r="F680" t="str">
        <f>IF($B680="","",SUMIFS(dQty,dCust,$B680,dPer,"&gt;="&amp;cyFrom,dPer,"&lt;="&amp;cyTo,dQty,"&gt;-1E+300",dFlt1,critFlt1,dFlt2,critFlt2,dFlt3,critFlt3))</f>
        <v/>
      </c>
      <c r="G680">
        <f>IF($B680="",0,IFERROR(IF(OR(C680&lt;&gt;0,D680&lt;&gt;0,E680&lt;&gt;0,F680&lt;&gt;0),1,0),1))</f>
        <v>0</v>
      </c>
      <c r="H680" t="str">
        <f>IF(OR(G680=0,E680=0),"",C680/E680)</f>
        <v/>
      </c>
      <c r="I680" t="str">
        <f>IF(OR(G680=0,F680=0),"",D680/F680)</f>
        <v/>
      </c>
      <c r="J680" t="str">
        <f>IF(OR(H680="",I680=""),"",IF(H680=0,"",I680/H680-1))</f>
        <v/>
      </c>
      <c r="K680" t="str">
        <f>IF($B680="","",IFERROR(IF(G680=0,-2E+300,CHOOSE(sortIdx,ROUND(D680,0),IF(J680="",-1E+300,ROUND(-J680,6)),IF(J680="",-1E+300,ROUND(J680,6)))),-1.5E+300))</f>
        <v/>
      </c>
      <c r="L680" t="str">
        <f>IF(K680="","",RANK(K680,$K$2:$K$3001,0)+COUNTIF($K$2:K680,K680)-1)</f>
        <v/>
      </c>
    </row>
    <row r="681">
      <c r="B681" t="str">
        <f>IFERROR(IF(A681="","","="&amp;SUBSTITUTE(SUBSTITUTE(SUBSTITUTE(A681,"~","~~"),"*","~*"),"?","~?")),"")</f>
        <v/>
      </c>
      <c r="C681" t="str">
        <f>IF($B681="","",SUMIFS(dAmt,dCust,$B681,dPer,"&gt;="&amp;pyFrom,dPer,"&lt;="&amp;pyTo,dAmt,"&gt;-1E+300",dFlt1,critFlt1,dFlt2,critFlt2,dFlt3,critFlt3))</f>
        <v/>
      </c>
      <c r="D681" t="str">
        <f>IF($B681="","",SUMIFS(dAmt,dCust,$B681,dPer,"&gt;="&amp;cyFrom,dPer,"&lt;="&amp;cyTo,dAmt,"&gt;-1E+300",dFlt1,critFlt1,dFlt2,critFlt2,dFlt3,critFlt3))</f>
        <v/>
      </c>
      <c r="E681" t="str">
        <f>IF($B681="","",SUMIFS(dQty,dCust,$B681,dPer,"&gt;="&amp;pyFrom,dPer,"&lt;="&amp;pyTo,dQty,"&gt;-1E+300",dFlt1,critFlt1,dFlt2,critFlt2,dFlt3,critFlt3))</f>
        <v/>
      </c>
      <c r="F681" t="str">
        <f>IF($B681="","",SUMIFS(dQty,dCust,$B681,dPer,"&gt;="&amp;cyFrom,dPer,"&lt;="&amp;cyTo,dQty,"&gt;-1E+300",dFlt1,critFlt1,dFlt2,critFlt2,dFlt3,critFlt3))</f>
        <v/>
      </c>
      <c r="G681">
        <f>IF($B681="",0,IFERROR(IF(OR(C681&lt;&gt;0,D681&lt;&gt;0,E681&lt;&gt;0,F681&lt;&gt;0),1,0),1))</f>
        <v>0</v>
      </c>
      <c r="H681" t="str">
        <f>IF(OR(G681=0,E681=0),"",C681/E681)</f>
        <v/>
      </c>
      <c r="I681" t="str">
        <f>IF(OR(G681=0,F681=0),"",D681/F681)</f>
        <v/>
      </c>
      <c r="J681" t="str">
        <f>IF(OR(H681="",I681=""),"",IF(H681=0,"",I681/H681-1))</f>
        <v/>
      </c>
      <c r="K681" t="str">
        <f>IF($B681="","",IFERROR(IF(G681=0,-2E+300,CHOOSE(sortIdx,ROUND(D681,0),IF(J681="",-1E+300,ROUND(-J681,6)),IF(J681="",-1E+300,ROUND(J681,6)))),-1.5E+300))</f>
        <v/>
      </c>
      <c r="L681" t="str">
        <f>IF(K681="","",RANK(K681,$K$2:$K$3001,0)+COUNTIF($K$2:K681,K681)-1)</f>
        <v/>
      </c>
    </row>
    <row r="682">
      <c r="B682" t="str">
        <f>IFERROR(IF(A682="","","="&amp;SUBSTITUTE(SUBSTITUTE(SUBSTITUTE(A682,"~","~~"),"*","~*"),"?","~?")),"")</f>
        <v/>
      </c>
      <c r="C682" t="str">
        <f>IF($B682="","",SUMIFS(dAmt,dCust,$B682,dPer,"&gt;="&amp;pyFrom,dPer,"&lt;="&amp;pyTo,dAmt,"&gt;-1E+300",dFlt1,critFlt1,dFlt2,critFlt2,dFlt3,critFlt3))</f>
        <v/>
      </c>
      <c r="D682" t="str">
        <f>IF($B682="","",SUMIFS(dAmt,dCust,$B682,dPer,"&gt;="&amp;cyFrom,dPer,"&lt;="&amp;cyTo,dAmt,"&gt;-1E+300",dFlt1,critFlt1,dFlt2,critFlt2,dFlt3,critFlt3))</f>
        <v/>
      </c>
      <c r="E682" t="str">
        <f>IF($B682="","",SUMIFS(dQty,dCust,$B682,dPer,"&gt;="&amp;pyFrom,dPer,"&lt;="&amp;pyTo,dQty,"&gt;-1E+300",dFlt1,critFlt1,dFlt2,critFlt2,dFlt3,critFlt3))</f>
        <v/>
      </c>
      <c r="F682" t="str">
        <f>IF($B682="","",SUMIFS(dQty,dCust,$B682,dPer,"&gt;="&amp;cyFrom,dPer,"&lt;="&amp;cyTo,dQty,"&gt;-1E+300",dFlt1,critFlt1,dFlt2,critFlt2,dFlt3,critFlt3))</f>
        <v/>
      </c>
      <c r="G682">
        <f>IF($B682="",0,IFERROR(IF(OR(C682&lt;&gt;0,D682&lt;&gt;0,E682&lt;&gt;0,F682&lt;&gt;0),1,0),1))</f>
        <v>0</v>
      </c>
      <c r="H682" t="str">
        <f>IF(OR(G682=0,E682=0),"",C682/E682)</f>
        <v/>
      </c>
      <c r="I682" t="str">
        <f>IF(OR(G682=0,F682=0),"",D682/F682)</f>
        <v/>
      </c>
      <c r="J682" t="str">
        <f>IF(OR(H682="",I682=""),"",IF(H682=0,"",I682/H682-1))</f>
        <v/>
      </c>
      <c r="K682" t="str">
        <f>IF($B682="","",IFERROR(IF(G682=0,-2E+300,CHOOSE(sortIdx,ROUND(D682,0),IF(J682="",-1E+300,ROUND(-J682,6)),IF(J682="",-1E+300,ROUND(J682,6)))),-1.5E+300))</f>
        <v/>
      </c>
      <c r="L682" t="str">
        <f>IF(K682="","",RANK(K682,$K$2:$K$3001,0)+COUNTIF($K$2:K682,K682)-1)</f>
        <v/>
      </c>
    </row>
    <row r="683">
      <c r="B683" t="str">
        <f>IFERROR(IF(A683="","","="&amp;SUBSTITUTE(SUBSTITUTE(SUBSTITUTE(A683,"~","~~"),"*","~*"),"?","~?")),"")</f>
        <v/>
      </c>
      <c r="C683" t="str">
        <f>IF($B683="","",SUMIFS(dAmt,dCust,$B683,dPer,"&gt;="&amp;pyFrom,dPer,"&lt;="&amp;pyTo,dAmt,"&gt;-1E+300",dFlt1,critFlt1,dFlt2,critFlt2,dFlt3,critFlt3))</f>
        <v/>
      </c>
      <c r="D683" t="str">
        <f>IF($B683="","",SUMIFS(dAmt,dCust,$B683,dPer,"&gt;="&amp;cyFrom,dPer,"&lt;="&amp;cyTo,dAmt,"&gt;-1E+300",dFlt1,critFlt1,dFlt2,critFlt2,dFlt3,critFlt3))</f>
        <v/>
      </c>
      <c r="E683" t="str">
        <f>IF($B683="","",SUMIFS(dQty,dCust,$B683,dPer,"&gt;="&amp;pyFrom,dPer,"&lt;="&amp;pyTo,dQty,"&gt;-1E+300",dFlt1,critFlt1,dFlt2,critFlt2,dFlt3,critFlt3))</f>
        <v/>
      </c>
      <c r="F683" t="str">
        <f>IF($B683="","",SUMIFS(dQty,dCust,$B683,dPer,"&gt;="&amp;cyFrom,dPer,"&lt;="&amp;cyTo,dQty,"&gt;-1E+300",dFlt1,critFlt1,dFlt2,critFlt2,dFlt3,critFlt3))</f>
        <v/>
      </c>
      <c r="G683">
        <f>IF($B683="",0,IFERROR(IF(OR(C683&lt;&gt;0,D683&lt;&gt;0,E683&lt;&gt;0,F683&lt;&gt;0),1,0),1))</f>
        <v>0</v>
      </c>
      <c r="H683" t="str">
        <f>IF(OR(G683=0,E683=0),"",C683/E683)</f>
        <v/>
      </c>
      <c r="I683" t="str">
        <f>IF(OR(G683=0,F683=0),"",D683/F683)</f>
        <v/>
      </c>
      <c r="J683" t="str">
        <f>IF(OR(H683="",I683=""),"",IF(H683=0,"",I683/H683-1))</f>
        <v/>
      </c>
      <c r="K683" t="str">
        <f>IF($B683="","",IFERROR(IF(G683=0,-2E+300,CHOOSE(sortIdx,ROUND(D683,0),IF(J683="",-1E+300,ROUND(-J683,6)),IF(J683="",-1E+300,ROUND(J683,6)))),-1.5E+300))</f>
        <v/>
      </c>
      <c r="L683" t="str">
        <f>IF(K683="","",RANK(K683,$K$2:$K$3001,0)+COUNTIF($K$2:K683,K683)-1)</f>
        <v/>
      </c>
    </row>
    <row r="684">
      <c r="B684" t="str">
        <f>IFERROR(IF(A684="","","="&amp;SUBSTITUTE(SUBSTITUTE(SUBSTITUTE(A684,"~","~~"),"*","~*"),"?","~?")),"")</f>
        <v/>
      </c>
      <c r="C684" t="str">
        <f>IF($B684="","",SUMIFS(dAmt,dCust,$B684,dPer,"&gt;="&amp;pyFrom,dPer,"&lt;="&amp;pyTo,dAmt,"&gt;-1E+300",dFlt1,critFlt1,dFlt2,critFlt2,dFlt3,critFlt3))</f>
        <v/>
      </c>
      <c r="D684" t="str">
        <f>IF($B684="","",SUMIFS(dAmt,dCust,$B684,dPer,"&gt;="&amp;cyFrom,dPer,"&lt;="&amp;cyTo,dAmt,"&gt;-1E+300",dFlt1,critFlt1,dFlt2,critFlt2,dFlt3,critFlt3))</f>
        <v/>
      </c>
      <c r="E684" t="str">
        <f>IF($B684="","",SUMIFS(dQty,dCust,$B684,dPer,"&gt;="&amp;pyFrom,dPer,"&lt;="&amp;pyTo,dQty,"&gt;-1E+300",dFlt1,critFlt1,dFlt2,critFlt2,dFlt3,critFlt3))</f>
        <v/>
      </c>
      <c r="F684" t="str">
        <f>IF($B684="","",SUMIFS(dQty,dCust,$B684,dPer,"&gt;="&amp;cyFrom,dPer,"&lt;="&amp;cyTo,dQty,"&gt;-1E+300",dFlt1,critFlt1,dFlt2,critFlt2,dFlt3,critFlt3))</f>
        <v/>
      </c>
      <c r="G684">
        <f>IF($B684="",0,IFERROR(IF(OR(C684&lt;&gt;0,D684&lt;&gt;0,E684&lt;&gt;0,F684&lt;&gt;0),1,0),1))</f>
        <v>0</v>
      </c>
      <c r="H684" t="str">
        <f>IF(OR(G684=0,E684=0),"",C684/E684)</f>
        <v/>
      </c>
      <c r="I684" t="str">
        <f>IF(OR(G684=0,F684=0),"",D684/F684)</f>
        <v/>
      </c>
      <c r="J684" t="str">
        <f>IF(OR(H684="",I684=""),"",IF(H684=0,"",I684/H684-1))</f>
        <v/>
      </c>
      <c r="K684" t="str">
        <f>IF($B684="","",IFERROR(IF(G684=0,-2E+300,CHOOSE(sortIdx,ROUND(D684,0),IF(J684="",-1E+300,ROUND(-J684,6)),IF(J684="",-1E+300,ROUND(J684,6)))),-1.5E+300))</f>
        <v/>
      </c>
      <c r="L684" t="str">
        <f>IF(K684="","",RANK(K684,$K$2:$K$3001,0)+COUNTIF($K$2:K684,K684)-1)</f>
        <v/>
      </c>
    </row>
    <row r="685">
      <c r="B685" t="str">
        <f>IFERROR(IF(A685="","","="&amp;SUBSTITUTE(SUBSTITUTE(SUBSTITUTE(A685,"~","~~"),"*","~*"),"?","~?")),"")</f>
        <v/>
      </c>
      <c r="C685" t="str">
        <f>IF($B685="","",SUMIFS(dAmt,dCust,$B685,dPer,"&gt;="&amp;pyFrom,dPer,"&lt;="&amp;pyTo,dAmt,"&gt;-1E+300",dFlt1,critFlt1,dFlt2,critFlt2,dFlt3,critFlt3))</f>
        <v/>
      </c>
      <c r="D685" t="str">
        <f>IF($B685="","",SUMIFS(dAmt,dCust,$B685,dPer,"&gt;="&amp;cyFrom,dPer,"&lt;="&amp;cyTo,dAmt,"&gt;-1E+300",dFlt1,critFlt1,dFlt2,critFlt2,dFlt3,critFlt3))</f>
        <v/>
      </c>
      <c r="E685" t="str">
        <f>IF($B685="","",SUMIFS(dQty,dCust,$B685,dPer,"&gt;="&amp;pyFrom,dPer,"&lt;="&amp;pyTo,dQty,"&gt;-1E+300",dFlt1,critFlt1,dFlt2,critFlt2,dFlt3,critFlt3))</f>
        <v/>
      </c>
      <c r="F685" t="str">
        <f>IF($B685="","",SUMIFS(dQty,dCust,$B685,dPer,"&gt;="&amp;cyFrom,dPer,"&lt;="&amp;cyTo,dQty,"&gt;-1E+300",dFlt1,critFlt1,dFlt2,critFlt2,dFlt3,critFlt3))</f>
        <v/>
      </c>
      <c r="G685">
        <f>IF($B685="",0,IFERROR(IF(OR(C685&lt;&gt;0,D685&lt;&gt;0,E685&lt;&gt;0,F685&lt;&gt;0),1,0),1))</f>
        <v>0</v>
      </c>
      <c r="H685" t="str">
        <f>IF(OR(G685=0,E685=0),"",C685/E685)</f>
        <v/>
      </c>
      <c r="I685" t="str">
        <f>IF(OR(G685=0,F685=0),"",D685/F685)</f>
        <v/>
      </c>
      <c r="J685" t="str">
        <f>IF(OR(H685="",I685=""),"",IF(H685=0,"",I685/H685-1))</f>
        <v/>
      </c>
      <c r="K685" t="str">
        <f>IF($B685="","",IFERROR(IF(G685=0,-2E+300,CHOOSE(sortIdx,ROUND(D685,0),IF(J685="",-1E+300,ROUND(-J685,6)),IF(J685="",-1E+300,ROUND(J685,6)))),-1.5E+300))</f>
        <v/>
      </c>
      <c r="L685" t="str">
        <f>IF(K685="","",RANK(K685,$K$2:$K$3001,0)+COUNTIF($K$2:K685,K685)-1)</f>
        <v/>
      </c>
    </row>
    <row r="686">
      <c r="B686" t="str">
        <f>IFERROR(IF(A686="","","="&amp;SUBSTITUTE(SUBSTITUTE(SUBSTITUTE(A686,"~","~~"),"*","~*"),"?","~?")),"")</f>
        <v/>
      </c>
      <c r="C686" t="str">
        <f>IF($B686="","",SUMIFS(dAmt,dCust,$B686,dPer,"&gt;="&amp;pyFrom,dPer,"&lt;="&amp;pyTo,dAmt,"&gt;-1E+300",dFlt1,critFlt1,dFlt2,critFlt2,dFlt3,critFlt3))</f>
        <v/>
      </c>
      <c r="D686" t="str">
        <f>IF($B686="","",SUMIFS(dAmt,dCust,$B686,dPer,"&gt;="&amp;cyFrom,dPer,"&lt;="&amp;cyTo,dAmt,"&gt;-1E+300",dFlt1,critFlt1,dFlt2,critFlt2,dFlt3,critFlt3))</f>
        <v/>
      </c>
      <c r="E686" t="str">
        <f>IF($B686="","",SUMIFS(dQty,dCust,$B686,dPer,"&gt;="&amp;pyFrom,dPer,"&lt;="&amp;pyTo,dQty,"&gt;-1E+300",dFlt1,critFlt1,dFlt2,critFlt2,dFlt3,critFlt3))</f>
        <v/>
      </c>
      <c r="F686" t="str">
        <f>IF($B686="","",SUMIFS(dQty,dCust,$B686,dPer,"&gt;="&amp;cyFrom,dPer,"&lt;="&amp;cyTo,dQty,"&gt;-1E+300",dFlt1,critFlt1,dFlt2,critFlt2,dFlt3,critFlt3))</f>
        <v/>
      </c>
      <c r="G686">
        <f>IF($B686="",0,IFERROR(IF(OR(C686&lt;&gt;0,D686&lt;&gt;0,E686&lt;&gt;0,F686&lt;&gt;0),1,0),1))</f>
        <v>0</v>
      </c>
      <c r="H686" t="str">
        <f>IF(OR(G686=0,E686=0),"",C686/E686)</f>
        <v/>
      </c>
      <c r="I686" t="str">
        <f>IF(OR(G686=0,F686=0),"",D686/F686)</f>
        <v/>
      </c>
      <c r="J686" t="str">
        <f>IF(OR(H686="",I686=""),"",IF(H686=0,"",I686/H686-1))</f>
        <v/>
      </c>
      <c r="K686" t="str">
        <f>IF($B686="","",IFERROR(IF(G686=0,-2E+300,CHOOSE(sortIdx,ROUND(D686,0),IF(J686="",-1E+300,ROUND(-J686,6)),IF(J686="",-1E+300,ROUND(J686,6)))),-1.5E+300))</f>
        <v/>
      </c>
      <c r="L686" t="str">
        <f>IF(K686="","",RANK(K686,$K$2:$K$3001,0)+COUNTIF($K$2:K686,K686)-1)</f>
        <v/>
      </c>
    </row>
    <row r="687">
      <c r="B687" t="str">
        <f>IFERROR(IF(A687="","","="&amp;SUBSTITUTE(SUBSTITUTE(SUBSTITUTE(A687,"~","~~"),"*","~*"),"?","~?")),"")</f>
        <v/>
      </c>
      <c r="C687" t="str">
        <f>IF($B687="","",SUMIFS(dAmt,dCust,$B687,dPer,"&gt;="&amp;pyFrom,dPer,"&lt;="&amp;pyTo,dAmt,"&gt;-1E+300",dFlt1,critFlt1,dFlt2,critFlt2,dFlt3,critFlt3))</f>
        <v/>
      </c>
      <c r="D687" t="str">
        <f>IF($B687="","",SUMIFS(dAmt,dCust,$B687,dPer,"&gt;="&amp;cyFrom,dPer,"&lt;="&amp;cyTo,dAmt,"&gt;-1E+300",dFlt1,critFlt1,dFlt2,critFlt2,dFlt3,critFlt3))</f>
        <v/>
      </c>
      <c r="E687" t="str">
        <f>IF($B687="","",SUMIFS(dQty,dCust,$B687,dPer,"&gt;="&amp;pyFrom,dPer,"&lt;="&amp;pyTo,dQty,"&gt;-1E+300",dFlt1,critFlt1,dFlt2,critFlt2,dFlt3,critFlt3))</f>
        <v/>
      </c>
      <c r="F687" t="str">
        <f>IF($B687="","",SUMIFS(dQty,dCust,$B687,dPer,"&gt;="&amp;cyFrom,dPer,"&lt;="&amp;cyTo,dQty,"&gt;-1E+300",dFlt1,critFlt1,dFlt2,critFlt2,dFlt3,critFlt3))</f>
        <v/>
      </c>
      <c r="G687">
        <f>IF($B687="",0,IFERROR(IF(OR(C687&lt;&gt;0,D687&lt;&gt;0,E687&lt;&gt;0,F687&lt;&gt;0),1,0),1))</f>
        <v>0</v>
      </c>
      <c r="H687" t="str">
        <f>IF(OR(G687=0,E687=0),"",C687/E687)</f>
        <v/>
      </c>
      <c r="I687" t="str">
        <f>IF(OR(G687=0,F687=0),"",D687/F687)</f>
        <v/>
      </c>
      <c r="J687" t="str">
        <f>IF(OR(H687="",I687=""),"",IF(H687=0,"",I687/H687-1))</f>
        <v/>
      </c>
      <c r="K687" t="str">
        <f>IF($B687="","",IFERROR(IF(G687=0,-2E+300,CHOOSE(sortIdx,ROUND(D687,0),IF(J687="",-1E+300,ROUND(-J687,6)),IF(J687="",-1E+300,ROUND(J687,6)))),-1.5E+300))</f>
        <v/>
      </c>
      <c r="L687" t="str">
        <f>IF(K687="","",RANK(K687,$K$2:$K$3001,0)+COUNTIF($K$2:K687,K687)-1)</f>
        <v/>
      </c>
    </row>
    <row r="688">
      <c r="B688" t="str">
        <f>IFERROR(IF(A688="","","="&amp;SUBSTITUTE(SUBSTITUTE(SUBSTITUTE(A688,"~","~~"),"*","~*"),"?","~?")),"")</f>
        <v/>
      </c>
      <c r="C688" t="str">
        <f>IF($B688="","",SUMIFS(dAmt,dCust,$B688,dPer,"&gt;="&amp;pyFrom,dPer,"&lt;="&amp;pyTo,dAmt,"&gt;-1E+300",dFlt1,critFlt1,dFlt2,critFlt2,dFlt3,critFlt3))</f>
        <v/>
      </c>
      <c r="D688" t="str">
        <f>IF($B688="","",SUMIFS(dAmt,dCust,$B688,dPer,"&gt;="&amp;cyFrom,dPer,"&lt;="&amp;cyTo,dAmt,"&gt;-1E+300",dFlt1,critFlt1,dFlt2,critFlt2,dFlt3,critFlt3))</f>
        <v/>
      </c>
      <c r="E688" t="str">
        <f>IF($B688="","",SUMIFS(dQty,dCust,$B688,dPer,"&gt;="&amp;pyFrom,dPer,"&lt;="&amp;pyTo,dQty,"&gt;-1E+300",dFlt1,critFlt1,dFlt2,critFlt2,dFlt3,critFlt3))</f>
        <v/>
      </c>
      <c r="F688" t="str">
        <f>IF($B688="","",SUMIFS(dQty,dCust,$B688,dPer,"&gt;="&amp;cyFrom,dPer,"&lt;="&amp;cyTo,dQty,"&gt;-1E+300",dFlt1,critFlt1,dFlt2,critFlt2,dFlt3,critFlt3))</f>
        <v/>
      </c>
      <c r="G688">
        <f>IF($B688="",0,IFERROR(IF(OR(C688&lt;&gt;0,D688&lt;&gt;0,E688&lt;&gt;0,F688&lt;&gt;0),1,0),1))</f>
        <v>0</v>
      </c>
      <c r="H688" t="str">
        <f>IF(OR(G688=0,E688=0),"",C688/E688)</f>
        <v/>
      </c>
      <c r="I688" t="str">
        <f>IF(OR(G688=0,F688=0),"",D688/F688)</f>
        <v/>
      </c>
      <c r="J688" t="str">
        <f>IF(OR(H688="",I688=""),"",IF(H688=0,"",I688/H688-1))</f>
        <v/>
      </c>
      <c r="K688" t="str">
        <f>IF($B688="","",IFERROR(IF(G688=0,-2E+300,CHOOSE(sortIdx,ROUND(D688,0),IF(J688="",-1E+300,ROUND(-J688,6)),IF(J688="",-1E+300,ROUND(J688,6)))),-1.5E+300))</f>
        <v/>
      </c>
      <c r="L688" t="str">
        <f>IF(K688="","",RANK(K688,$K$2:$K$3001,0)+COUNTIF($K$2:K688,K688)-1)</f>
        <v/>
      </c>
    </row>
    <row r="689">
      <c r="B689" t="str">
        <f>IFERROR(IF(A689="","","="&amp;SUBSTITUTE(SUBSTITUTE(SUBSTITUTE(A689,"~","~~"),"*","~*"),"?","~?")),"")</f>
        <v/>
      </c>
      <c r="C689" t="str">
        <f>IF($B689="","",SUMIFS(dAmt,dCust,$B689,dPer,"&gt;="&amp;pyFrom,dPer,"&lt;="&amp;pyTo,dAmt,"&gt;-1E+300",dFlt1,critFlt1,dFlt2,critFlt2,dFlt3,critFlt3))</f>
        <v/>
      </c>
      <c r="D689" t="str">
        <f>IF($B689="","",SUMIFS(dAmt,dCust,$B689,dPer,"&gt;="&amp;cyFrom,dPer,"&lt;="&amp;cyTo,dAmt,"&gt;-1E+300",dFlt1,critFlt1,dFlt2,critFlt2,dFlt3,critFlt3))</f>
        <v/>
      </c>
      <c r="E689" t="str">
        <f>IF($B689="","",SUMIFS(dQty,dCust,$B689,dPer,"&gt;="&amp;pyFrom,dPer,"&lt;="&amp;pyTo,dQty,"&gt;-1E+300",dFlt1,critFlt1,dFlt2,critFlt2,dFlt3,critFlt3))</f>
        <v/>
      </c>
      <c r="F689" t="str">
        <f>IF($B689="","",SUMIFS(dQty,dCust,$B689,dPer,"&gt;="&amp;cyFrom,dPer,"&lt;="&amp;cyTo,dQty,"&gt;-1E+300",dFlt1,critFlt1,dFlt2,critFlt2,dFlt3,critFlt3))</f>
        <v/>
      </c>
      <c r="G689">
        <f>IF($B689="",0,IFERROR(IF(OR(C689&lt;&gt;0,D689&lt;&gt;0,E689&lt;&gt;0,F689&lt;&gt;0),1,0),1))</f>
        <v>0</v>
      </c>
      <c r="H689" t="str">
        <f>IF(OR(G689=0,E689=0),"",C689/E689)</f>
        <v/>
      </c>
      <c r="I689" t="str">
        <f>IF(OR(G689=0,F689=0),"",D689/F689)</f>
        <v/>
      </c>
      <c r="J689" t="str">
        <f>IF(OR(H689="",I689=""),"",IF(H689=0,"",I689/H689-1))</f>
        <v/>
      </c>
      <c r="K689" t="str">
        <f>IF($B689="","",IFERROR(IF(G689=0,-2E+300,CHOOSE(sortIdx,ROUND(D689,0),IF(J689="",-1E+300,ROUND(-J689,6)),IF(J689="",-1E+300,ROUND(J689,6)))),-1.5E+300))</f>
        <v/>
      </c>
      <c r="L689" t="str">
        <f>IF(K689="","",RANK(K689,$K$2:$K$3001,0)+COUNTIF($K$2:K689,K689)-1)</f>
        <v/>
      </c>
    </row>
    <row r="690">
      <c r="B690" t="str">
        <f>IFERROR(IF(A690="","","="&amp;SUBSTITUTE(SUBSTITUTE(SUBSTITUTE(A690,"~","~~"),"*","~*"),"?","~?")),"")</f>
        <v/>
      </c>
      <c r="C690" t="str">
        <f>IF($B690="","",SUMIFS(dAmt,dCust,$B690,dPer,"&gt;="&amp;pyFrom,dPer,"&lt;="&amp;pyTo,dAmt,"&gt;-1E+300",dFlt1,critFlt1,dFlt2,critFlt2,dFlt3,critFlt3))</f>
        <v/>
      </c>
      <c r="D690" t="str">
        <f>IF($B690="","",SUMIFS(dAmt,dCust,$B690,dPer,"&gt;="&amp;cyFrom,dPer,"&lt;="&amp;cyTo,dAmt,"&gt;-1E+300",dFlt1,critFlt1,dFlt2,critFlt2,dFlt3,critFlt3))</f>
        <v/>
      </c>
      <c r="E690" t="str">
        <f>IF($B690="","",SUMIFS(dQty,dCust,$B690,dPer,"&gt;="&amp;pyFrom,dPer,"&lt;="&amp;pyTo,dQty,"&gt;-1E+300",dFlt1,critFlt1,dFlt2,critFlt2,dFlt3,critFlt3))</f>
        <v/>
      </c>
      <c r="F690" t="str">
        <f>IF($B690="","",SUMIFS(dQty,dCust,$B690,dPer,"&gt;="&amp;cyFrom,dPer,"&lt;="&amp;cyTo,dQty,"&gt;-1E+300",dFlt1,critFlt1,dFlt2,critFlt2,dFlt3,critFlt3))</f>
        <v/>
      </c>
      <c r="G690">
        <f>IF($B690="",0,IFERROR(IF(OR(C690&lt;&gt;0,D690&lt;&gt;0,E690&lt;&gt;0,F690&lt;&gt;0),1,0),1))</f>
        <v>0</v>
      </c>
      <c r="H690" t="str">
        <f>IF(OR(G690=0,E690=0),"",C690/E690)</f>
        <v/>
      </c>
      <c r="I690" t="str">
        <f>IF(OR(G690=0,F690=0),"",D690/F690)</f>
        <v/>
      </c>
      <c r="J690" t="str">
        <f>IF(OR(H690="",I690=""),"",IF(H690=0,"",I690/H690-1))</f>
        <v/>
      </c>
      <c r="K690" t="str">
        <f>IF($B690="","",IFERROR(IF(G690=0,-2E+300,CHOOSE(sortIdx,ROUND(D690,0),IF(J690="",-1E+300,ROUND(-J690,6)),IF(J690="",-1E+300,ROUND(J690,6)))),-1.5E+300))</f>
        <v/>
      </c>
      <c r="L690" t="str">
        <f>IF(K690="","",RANK(K690,$K$2:$K$3001,0)+COUNTIF($K$2:K690,K690)-1)</f>
        <v/>
      </c>
    </row>
    <row r="691">
      <c r="B691" t="str">
        <f>IFERROR(IF(A691="","","="&amp;SUBSTITUTE(SUBSTITUTE(SUBSTITUTE(A691,"~","~~"),"*","~*"),"?","~?")),"")</f>
        <v/>
      </c>
      <c r="C691" t="str">
        <f>IF($B691="","",SUMIFS(dAmt,dCust,$B691,dPer,"&gt;="&amp;pyFrom,dPer,"&lt;="&amp;pyTo,dAmt,"&gt;-1E+300",dFlt1,critFlt1,dFlt2,critFlt2,dFlt3,critFlt3))</f>
        <v/>
      </c>
      <c r="D691" t="str">
        <f>IF($B691="","",SUMIFS(dAmt,dCust,$B691,dPer,"&gt;="&amp;cyFrom,dPer,"&lt;="&amp;cyTo,dAmt,"&gt;-1E+300",dFlt1,critFlt1,dFlt2,critFlt2,dFlt3,critFlt3))</f>
        <v/>
      </c>
      <c r="E691" t="str">
        <f>IF($B691="","",SUMIFS(dQty,dCust,$B691,dPer,"&gt;="&amp;pyFrom,dPer,"&lt;="&amp;pyTo,dQty,"&gt;-1E+300",dFlt1,critFlt1,dFlt2,critFlt2,dFlt3,critFlt3))</f>
        <v/>
      </c>
      <c r="F691" t="str">
        <f>IF($B691="","",SUMIFS(dQty,dCust,$B691,dPer,"&gt;="&amp;cyFrom,dPer,"&lt;="&amp;cyTo,dQty,"&gt;-1E+300",dFlt1,critFlt1,dFlt2,critFlt2,dFlt3,critFlt3))</f>
        <v/>
      </c>
      <c r="G691">
        <f>IF($B691="",0,IFERROR(IF(OR(C691&lt;&gt;0,D691&lt;&gt;0,E691&lt;&gt;0,F691&lt;&gt;0),1,0),1))</f>
        <v>0</v>
      </c>
      <c r="H691" t="str">
        <f>IF(OR(G691=0,E691=0),"",C691/E691)</f>
        <v/>
      </c>
      <c r="I691" t="str">
        <f>IF(OR(G691=0,F691=0),"",D691/F691)</f>
        <v/>
      </c>
      <c r="J691" t="str">
        <f>IF(OR(H691="",I691=""),"",IF(H691=0,"",I691/H691-1))</f>
        <v/>
      </c>
      <c r="K691" t="str">
        <f>IF($B691="","",IFERROR(IF(G691=0,-2E+300,CHOOSE(sortIdx,ROUND(D691,0),IF(J691="",-1E+300,ROUND(-J691,6)),IF(J691="",-1E+300,ROUND(J691,6)))),-1.5E+300))</f>
        <v/>
      </c>
      <c r="L691" t="str">
        <f>IF(K691="","",RANK(K691,$K$2:$K$3001,0)+COUNTIF($K$2:K691,K691)-1)</f>
        <v/>
      </c>
    </row>
    <row r="692">
      <c r="B692" t="str">
        <f>IFERROR(IF(A692="","","="&amp;SUBSTITUTE(SUBSTITUTE(SUBSTITUTE(A692,"~","~~"),"*","~*"),"?","~?")),"")</f>
        <v/>
      </c>
      <c r="C692" t="str">
        <f>IF($B692="","",SUMIFS(dAmt,dCust,$B692,dPer,"&gt;="&amp;pyFrom,dPer,"&lt;="&amp;pyTo,dAmt,"&gt;-1E+300",dFlt1,critFlt1,dFlt2,critFlt2,dFlt3,critFlt3))</f>
        <v/>
      </c>
      <c r="D692" t="str">
        <f>IF($B692="","",SUMIFS(dAmt,dCust,$B692,dPer,"&gt;="&amp;cyFrom,dPer,"&lt;="&amp;cyTo,dAmt,"&gt;-1E+300",dFlt1,critFlt1,dFlt2,critFlt2,dFlt3,critFlt3))</f>
        <v/>
      </c>
      <c r="E692" t="str">
        <f>IF($B692="","",SUMIFS(dQty,dCust,$B692,dPer,"&gt;="&amp;pyFrom,dPer,"&lt;="&amp;pyTo,dQty,"&gt;-1E+300",dFlt1,critFlt1,dFlt2,critFlt2,dFlt3,critFlt3))</f>
        <v/>
      </c>
      <c r="F692" t="str">
        <f>IF($B692="","",SUMIFS(dQty,dCust,$B692,dPer,"&gt;="&amp;cyFrom,dPer,"&lt;="&amp;cyTo,dQty,"&gt;-1E+300",dFlt1,critFlt1,dFlt2,critFlt2,dFlt3,critFlt3))</f>
        <v/>
      </c>
      <c r="G692">
        <f>IF($B692="",0,IFERROR(IF(OR(C692&lt;&gt;0,D692&lt;&gt;0,E692&lt;&gt;0,F692&lt;&gt;0),1,0),1))</f>
        <v>0</v>
      </c>
      <c r="H692" t="str">
        <f>IF(OR(G692=0,E692=0),"",C692/E692)</f>
        <v/>
      </c>
      <c r="I692" t="str">
        <f>IF(OR(G692=0,F692=0),"",D692/F692)</f>
        <v/>
      </c>
      <c r="J692" t="str">
        <f>IF(OR(H692="",I692=""),"",IF(H692=0,"",I692/H692-1))</f>
        <v/>
      </c>
      <c r="K692" t="str">
        <f>IF($B692="","",IFERROR(IF(G692=0,-2E+300,CHOOSE(sortIdx,ROUND(D692,0),IF(J692="",-1E+300,ROUND(-J692,6)),IF(J692="",-1E+300,ROUND(J692,6)))),-1.5E+300))</f>
        <v/>
      </c>
      <c r="L692" t="str">
        <f>IF(K692="","",RANK(K692,$K$2:$K$3001,0)+COUNTIF($K$2:K692,K692)-1)</f>
        <v/>
      </c>
    </row>
    <row r="693">
      <c r="B693" t="str">
        <f>IFERROR(IF(A693="","","="&amp;SUBSTITUTE(SUBSTITUTE(SUBSTITUTE(A693,"~","~~"),"*","~*"),"?","~?")),"")</f>
        <v/>
      </c>
      <c r="C693" t="str">
        <f>IF($B693="","",SUMIFS(dAmt,dCust,$B693,dPer,"&gt;="&amp;pyFrom,dPer,"&lt;="&amp;pyTo,dAmt,"&gt;-1E+300",dFlt1,critFlt1,dFlt2,critFlt2,dFlt3,critFlt3))</f>
        <v/>
      </c>
      <c r="D693" t="str">
        <f>IF($B693="","",SUMIFS(dAmt,dCust,$B693,dPer,"&gt;="&amp;cyFrom,dPer,"&lt;="&amp;cyTo,dAmt,"&gt;-1E+300",dFlt1,critFlt1,dFlt2,critFlt2,dFlt3,critFlt3))</f>
        <v/>
      </c>
      <c r="E693" t="str">
        <f>IF($B693="","",SUMIFS(dQty,dCust,$B693,dPer,"&gt;="&amp;pyFrom,dPer,"&lt;="&amp;pyTo,dQty,"&gt;-1E+300",dFlt1,critFlt1,dFlt2,critFlt2,dFlt3,critFlt3))</f>
        <v/>
      </c>
      <c r="F693" t="str">
        <f>IF($B693="","",SUMIFS(dQty,dCust,$B693,dPer,"&gt;="&amp;cyFrom,dPer,"&lt;="&amp;cyTo,dQty,"&gt;-1E+300",dFlt1,critFlt1,dFlt2,critFlt2,dFlt3,critFlt3))</f>
        <v/>
      </c>
      <c r="G693">
        <f>IF($B693="",0,IFERROR(IF(OR(C693&lt;&gt;0,D693&lt;&gt;0,E693&lt;&gt;0,F693&lt;&gt;0),1,0),1))</f>
        <v>0</v>
      </c>
      <c r="H693" t="str">
        <f>IF(OR(G693=0,E693=0),"",C693/E693)</f>
        <v/>
      </c>
      <c r="I693" t="str">
        <f>IF(OR(G693=0,F693=0),"",D693/F693)</f>
        <v/>
      </c>
      <c r="J693" t="str">
        <f>IF(OR(H693="",I693=""),"",IF(H693=0,"",I693/H693-1))</f>
        <v/>
      </c>
      <c r="K693" t="str">
        <f>IF($B693="","",IFERROR(IF(G693=0,-2E+300,CHOOSE(sortIdx,ROUND(D693,0),IF(J693="",-1E+300,ROUND(-J693,6)),IF(J693="",-1E+300,ROUND(J693,6)))),-1.5E+300))</f>
        <v/>
      </c>
      <c r="L693" t="str">
        <f>IF(K693="","",RANK(K693,$K$2:$K$3001,0)+COUNTIF($K$2:K693,K693)-1)</f>
        <v/>
      </c>
    </row>
    <row r="694">
      <c r="B694" t="str">
        <f>IFERROR(IF(A694="","","="&amp;SUBSTITUTE(SUBSTITUTE(SUBSTITUTE(A694,"~","~~"),"*","~*"),"?","~?")),"")</f>
        <v/>
      </c>
      <c r="C694" t="str">
        <f>IF($B694="","",SUMIFS(dAmt,dCust,$B694,dPer,"&gt;="&amp;pyFrom,dPer,"&lt;="&amp;pyTo,dAmt,"&gt;-1E+300",dFlt1,critFlt1,dFlt2,critFlt2,dFlt3,critFlt3))</f>
        <v/>
      </c>
      <c r="D694" t="str">
        <f>IF($B694="","",SUMIFS(dAmt,dCust,$B694,dPer,"&gt;="&amp;cyFrom,dPer,"&lt;="&amp;cyTo,dAmt,"&gt;-1E+300",dFlt1,critFlt1,dFlt2,critFlt2,dFlt3,critFlt3))</f>
        <v/>
      </c>
      <c r="E694" t="str">
        <f>IF($B694="","",SUMIFS(dQty,dCust,$B694,dPer,"&gt;="&amp;pyFrom,dPer,"&lt;="&amp;pyTo,dQty,"&gt;-1E+300",dFlt1,critFlt1,dFlt2,critFlt2,dFlt3,critFlt3))</f>
        <v/>
      </c>
      <c r="F694" t="str">
        <f>IF($B694="","",SUMIFS(dQty,dCust,$B694,dPer,"&gt;="&amp;cyFrom,dPer,"&lt;="&amp;cyTo,dQty,"&gt;-1E+300",dFlt1,critFlt1,dFlt2,critFlt2,dFlt3,critFlt3))</f>
        <v/>
      </c>
      <c r="G694">
        <f>IF($B694="",0,IFERROR(IF(OR(C694&lt;&gt;0,D694&lt;&gt;0,E694&lt;&gt;0,F694&lt;&gt;0),1,0),1))</f>
        <v>0</v>
      </c>
      <c r="H694" t="str">
        <f>IF(OR(G694=0,E694=0),"",C694/E694)</f>
        <v/>
      </c>
      <c r="I694" t="str">
        <f>IF(OR(G694=0,F694=0),"",D694/F694)</f>
        <v/>
      </c>
      <c r="J694" t="str">
        <f>IF(OR(H694="",I694=""),"",IF(H694=0,"",I694/H694-1))</f>
        <v/>
      </c>
      <c r="K694" t="str">
        <f>IF($B694="","",IFERROR(IF(G694=0,-2E+300,CHOOSE(sortIdx,ROUND(D694,0),IF(J694="",-1E+300,ROUND(-J694,6)),IF(J694="",-1E+300,ROUND(J694,6)))),-1.5E+300))</f>
        <v/>
      </c>
      <c r="L694" t="str">
        <f>IF(K694="","",RANK(K694,$K$2:$K$3001,0)+COUNTIF($K$2:K694,K694)-1)</f>
        <v/>
      </c>
    </row>
    <row r="695">
      <c r="B695" t="str">
        <f>IFERROR(IF(A695="","","="&amp;SUBSTITUTE(SUBSTITUTE(SUBSTITUTE(A695,"~","~~"),"*","~*"),"?","~?")),"")</f>
        <v/>
      </c>
      <c r="C695" t="str">
        <f>IF($B695="","",SUMIFS(dAmt,dCust,$B695,dPer,"&gt;="&amp;pyFrom,dPer,"&lt;="&amp;pyTo,dAmt,"&gt;-1E+300",dFlt1,critFlt1,dFlt2,critFlt2,dFlt3,critFlt3))</f>
        <v/>
      </c>
      <c r="D695" t="str">
        <f>IF($B695="","",SUMIFS(dAmt,dCust,$B695,dPer,"&gt;="&amp;cyFrom,dPer,"&lt;="&amp;cyTo,dAmt,"&gt;-1E+300",dFlt1,critFlt1,dFlt2,critFlt2,dFlt3,critFlt3))</f>
        <v/>
      </c>
      <c r="E695" t="str">
        <f>IF($B695="","",SUMIFS(dQty,dCust,$B695,dPer,"&gt;="&amp;pyFrom,dPer,"&lt;="&amp;pyTo,dQty,"&gt;-1E+300",dFlt1,critFlt1,dFlt2,critFlt2,dFlt3,critFlt3))</f>
        <v/>
      </c>
      <c r="F695" t="str">
        <f>IF($B695="","",SUMIFS(dQty,dCust,$B695,dPer,"&gt;="&amp;cyFrom,dPer,"&lt;="&amp;cyTo,dQty,"&gt;-1E+300",dFlt1,critFlt1,dFlt2,critFlt2,dFlt3,critFlt3))</f>
        <v/>
      </c>
      <c r="G695">
        <f>IF($B695="",0,IFERROR(IF(OR(C695&lt;&gt;0,D695&lt;&gt;0,E695&lt;&gt;0,F695&lt;&gt;0),1,0),1))</f>
        <v>0</v>
      </c>
      <c r="H695" t="str">
        <f>IF(OR(G695=0,E695=0),"",C695/E695)</f>
        <v/>
      </c>
      <c r="I695" t="str">
        <f>IF(OR(G695=0,F695=0),"",D695/F695)</f>
        <v/>
      </c>
      <c r="J695" t="str">
        <f>IF(OR(H695="",I695=""),"",IF(H695=0,"",I695/H695-1))</f>
        <v/>
      </c>
      <c r="K695" t="str">
        <f>IF($B695="","",IFERROR(IF(G695=0,-2E+300,CHOOSE(sortIdx,ROUND(D695,0),IF(J695="",-1E+300,ROUND(-J695,6)),IF(J695="",-1E+300,ROUND(J695,6)))),-1.5E+300))</f>
        <v/>
      </c>
      <c r="L695" t="str">
        <f>IF(K695="","",RANK(K695,$K$2:$K$3001,0)+COUNTIF($K$2:K695,K695)-1)</f>
        <v/>
      </c>
    </row>
    <row r="696">
      <c r="B696" t="str">
        <f>IFERROR(IF(A696="","","="&amp;SUBSTITUTE(SUBSTITUTE(SUBSTITUTE(A696,"~","~~"),"*","~*"),"?","~?")),"")</f>
        <v/>
      </c>
      <c r="C696" t="str">
        <f>IF($B696="","",SUMIFS(dAmt,dCust,$B696,dPer,"&gt;="&amp;pyFrom,dPer,"&lt;="&amp;pyTo,dAmt,"&gt;-1E+300",dFlt1,critFlt1,dFlt2,critFlt2,dFlt3,critFlt3))</f>
        <v/>
      </c>
      <c r="D696" t="str">
        <f>IF($B696="","",SUMIFS(dAmt,dCust,$B696,dPer,"&gt;="&amp;cyFrom,dPer,"&lt;="&amp;cyTo,dAmt,"&gt;-1E+300",dFlt1,critFlt1,dFlt2,critFlt2,dFlt3,critFlt3))</f>
        <v/>
      </c>
      <c r="E696" t="str">
        <f>IF($B696="","",SUMIFS(dQty,dCust,$B696,dPer,"&gt;="&amp;pyFrom,dPer,"&lt;="&amp;pyTo,dQty,"&gt;-1E+300",dFlt1,critFlt1,dFlt2,critFlt2,dFlt3,critFlt3))</f>
        <v/>
      </c>
      <c r="F696" t="str">
        <f>IF($B696="","",SUMIFS(dQty,dCust,$B696,dPer,"&gt;="&amp;cyFrom,dPer,"&lt;="&amp;cyTo,dQty,"&gt;-1E+300",dFlt1,critFlt1,dFlt2,critFlt2,dFlt3,critFlt3))</f>
        <v/>
      </c>
      <c r="G696">
        <f>IF($B696="",0,IFERROR(IF(OR(C696&lt;&gt;0,D696&lt;&gt;0,E696&lt;&gt;0,F696&lt;&gt;0),1,0),1))</f>
        <v>0</v>
      </c>
      <c r="H696" t="str">
        <f>IF(OR(G696=0,E696=0),"",C696/E696)</f>
        <v/>
      </c>
      <c r="I696" t="str">
        <f>IF(OR(G696=0,F696=0),"",D696/F696)</f>
        <v/>
      </c>
      <c r="J696" t="str">
        <f>IF(OR(H696="",I696=""),"",IF(H696=0,"",I696/H696-1))</f>
        <v/>
      </c>
      <c r="K696" t="str">
        <f>IF($B696="","",IFERROR(IF(G696=0,-2E+300,CHOOSE(sortIdx,ROUND(D696,0),IF(J696="",-1E+300,ROUND(-J696,6)),IF(J696="",-1E+300,ROUND(J696,6)))),-1.5E+300))</f>
        <v/>
      </c>
      <c r="L696" t="str">
        <f>IF(K696="","",RANK(K696,$K$2:$K$3001,0)+COUNTIF($K$2:K696,K696)-1)</f>
        <v/>
      </c>
    </row>
    <row r="697">
      <c r="B697" t="str">
        <f>IFERROR(IF(A697="","","="&amp;SUBSTITUTE(SUBSTITUTE(SUBSTITUTE(A697,"~","~~"),"*","~*"),"?","~?")),"")</f>
        <v/>
      </c>
      <c r="C697" t="str">
        <f>IF($B697="","",SUMIFS(dAmt,dCust,$B697,dPer,"&gt;="&amp;pyFrom,dPer,"&lt;="&amp;pyTo,dAmt,"&gt;-1E+300",dFlt1,critFlt1,dFlt2,critFlt2,dFlt3,critFlt3))</f>
        <v/>
      </c>
      <c r="D697" t="str">
        <f>IF($B697="","",SUMIFS(dAmt,dCust,$B697,dPer,"&gt;="&amp;cyFrom,dPer,"&lt;="&amp;cyTo,dAmt,"&gt;-1E+300",dFlt1,critFlt1,dFlt2,critFlt2,dFlt3,critFlt3))</f>
        <v/>
      </c>
      <c r="E697" t="str">
        <f>IF($B697="","",SUMIFS(dQty,dCust,$B697,dPer,"&gt;="&amp;pyFrom,dPer,"&lt;="&amp;pyTo,dQty,"&gt;-1E+300",dFlt1,critFlt1,dFlt2,critFlt2,dFlt3,critFlt3))</f>
        <v/>
      </c>
      <c r="F697" t="str">
        <f>IF($B697="","",SUMIFS(dQty,dCust,$B697,dPer,"&gt;="&amp;cyFrom,dPer,"&lt;="&amp;cyTo,dQty,"&gt;-1E+300",dFlt1,critFlt1,dFlt2,critFlt2,dFlt3,critFlt3))</f>
        <v/>
      </c>
      <c r="G697">
        <f>IF($B697="",0,IFERROR(IF(OR(C697&lt;&gt;0,D697&lt;&gt;0,E697&lt;&gt;0,F697&lt;&gt;0),1,0),1))</f>
        <v>0</v>
      </c>
      <c r="H697" t="str">
        <f>IF(OR(G697=0,E697=0),"",C697/E697)</f>
        <v/>
      </c>
      <c r="I697" t="str">
        <f>IF(OR(G697=0,F697=0),"",D697/F697)</f>
        <v/>
      </c>
      <c r="J697" t="str">
        <f>IF(OR(H697="",I697=""),"",IF(H697=0,"",I697/H697-1))</f>
        <v/>
      </c>
      <c r="K697" t="str">
        <f>IF($B697="","",IFERROR(IF(G697=0,-2E+300,CHOOSE(sortIdx,ROUND(D697,0),IF(J697="",-1E+300,ROUND(-J697,6)),IF(J697="",-1E+300,ROUND(J697,6)))),-1.5E+300))</f>
        <v/>
      </c>
      <c r="L697" t="str">
        <f>IF(K697="","",RANK(K697,$K$2:$K$3001,0)+COUNTIF($K$2:K697,K697)-1)</f>
        <v/>
      </c>
    </row>
    <row r="698">
      <c r="B698" t="str">
        <f>IFERROR(IF(A698="","","="&amp;SUBSTITUTE(SUBSTITUTE(SUBSTITUTE(A698,"~","~~"),"*","~*"),"?","~?")),"")</f>
        <v/>
      </c>
      <c r="C698" t="str">
        <f>IF($B698="","",SUMIFS(dAmt,dCust,$B698,dPer,"&gt;="&amp;pyFrom,dPer,"&lt;="&amp;pyTo,dAmt,"&gt;-1E+300",dFlt1,critFlt1,dFlt2,critFlt2,dFlt3,critFlt3))</f>
        <v/>
      </c>
      <c r="D698" t="str">
        <f>IF($B698="","",SUMIFS(dAmt,dCust,$B698,dPer,"&gt;="&amp;cyFrom,dPer,"&lt;="&amp;cyTo,dAmt,"&gt;-1E+300",dFlt1,critFlt1,dFlt2,critFlt2,dFlt3,critFlt3))</f>
        <v/>
      </c>
      <c r="E698" t="str">
        <f>IF($B698="","",SUMIFS(dQty,dCust,$B698,dPer,"&gt;="&amp;pyFrom,dPer,"&lt;="&amp;pyTo,dQty,"&gt;-1E+300",dFlt1,critFlt1,dFlt2,critFlt2,dFlt3,critFlt3))</f>
        <v/>
      </c>
      <c r="F698" t="str">
        <f>IF($B698="","",SUMIFS(dQty,dCust,$B698,dPer,"&gt;="&amp;cyFrom,dPer,"&lt;="&amp;cyTo,dQty,"&gt;-1E+300",dFlt1,critFlt1,dFlt2,critFlt2,dFlt3,critFlt3))</f>
        <v/>
      </c>
      <c r="G698">
        <f>IF($B698="",0,IFERROR(IF(OR(C698&lt;&gt;0,D698&lt;&gt;0,E698&lt;&gt;0,F698&lt;&gt;0),1,0),1))</f>
        <v>0</v>
      </c>
      <c r="H698" t="str">
        <f>IF(OR(G698=0,E698=0),"",C698/E698)</f>
        <v/>
      </c>
      <c r="I698" t="str">
        <f>IF(OR(G698=0,F698=0),"",D698/F698)</f>
        <v/>
      </c>
      <c r="J698" t="str">
        <f>IF(OR(H698="",I698=""),"",IF(H698=0,"",I698/H698-1))</f>
        <v/>
      </c>
      <c r="K698" t="str">
        <f>IF($B698="","",IFERROR(IF(G698=0,-2E+300,CHOOSE(sortIdx,ROUND(D698,0),IF(J698="",-1E+300,ROUND(-J698,6)),IF(J698="",-1E+300,ROUND(J698,6)))),-1.5E+300))</f>
        <v/>
      </c>
      <c r="L698" t="str">
        <f>IF(K698="","",RANK(K698,$K$2:$K$3001,0)+COUNTIF($K$2:K698,K698)-1)</f>
        <v/>
      </c>
    </row>
    <row r="699">
      <c r="B699" t="str">
        <f>IFERROR(IF(A699="","","="&amp;SUBSTITUTE(SUBSTITUTE(SUBSTITUTE(A699,"~","~~"),"*","~*"),"?","~?")),"")</f>
        <v/>
      </c>
      <c r="C699" t="str">
        <f>IF($B699="","",SUMIFS(dAmt,dCust,$B699,dPer,"&gt;="&amp;pyFrom,dPer,"&lt;="&amp;pyTo,dAmt,"&gt;-1E+300",dFlt1,critFlt1,dFlt2,critFlt2,dFlt3,critFlt3))</f>
        <v/>
      </c>
      <c r="D699" t="str">
        <f>IF($B699="","",SUMIFS(dAmt,dCust,$B699,dPer,"&gt;="&amp;cyFrom,dPer,"&lt;="&amp;cyTo,dAmt,"&gt;-1E+300",dFlt1,critFlt1,dFlt2,critFlt2,dFlt3,critFlt3))</f>
        <v/>
      </c>
      <c r="E699" t="str">
        <f>IF($B699="","",SUMIFS(dQty,dCust,$B699,dPer,"&gt;="&amp;pyFrom,dPer,"&lt;="&amp;pyTo,dQty,"&gt;-1E+300",dFlt1,critFlt1,dFlt2,critFlt2,dFlt3,critFlt3))</f>
        <v/>
      </c>
      <c r="F699" t="str">
        <f>IF($B699="","",SUMIFS(dQty,dCust,$B699,dPer,"&gt;="&amp;cyFrom,dPer,"&lt;="&amp;cyTo,dQty,"&gt;-1E+300",dFlt1,critFlt1,dFlt2,critFlt2,dFlt3,critFlt3))</f>
        <v/>
      </c>
      <c r="G699">
        <f>IF($B699="",0,IFERROR(IF(OR(C699&lt;&gt;0,D699&lt;&gt;0,E699&lt;&gt;0,F699&lt;&gt;0),1,0),1))</f>
        <v>0</v>
      </c>
      <c r="H699" t="str">
        <f>IF(OR(G699=0,E699=0),"",C699/E699)</f>
        <v/>
      </c>
      <c r="I699" t="str">
        <f>IF(OR(G699=0,F699=0),"",D699/F699)</f>
        <v/>
      </c>
      <c r="J699" t="str">
        <f>IF(OR(H699="",I699=""),"",IF(H699=0,"",I699/H699-1))</f>
        <v/>
      </c>
      <c r="K699" t="str">
        <f>IF($B699="","",IFERROR(IF(G699=0,-2E+300,CHOOSE(sortIdx,ROUND(D699,0),IF(J699="",-1E+300,ROUND(-J699,6)),IF(J699="",-1E+300,ROUND(J699,6)))),-1.5E+300))</f>
        <v/>
      </c>
      <c r="L699" t="str">
        <f>IF(K699="","",RANK(K699,$K$2:$K$3001,0)+COUNTIF($K$2:K699,K699)-1)</f>
        <v/>
      </c>
    </row>
    <row r="700">
      <c r="B700" t="str">
        <f>IFERROR(IF(A700="","","="&amp;SUBSTITUTE(SUBSTITUTE(SUBSTITUTE(A700,"~","~~"),"*","~*"),"?","~?")),"")</f>
        <v/>
      </c>
      <c r="C700" t="str">
        <f>IF($B700="","",SUMIFS(dAmt,dCust,$B700,dPer,"&gt;="&amp;pyFrom,dPer,"&lt;="&amp;pyTo,dAmt,"&gt;-1E+300",dFlt1,critFlt1,dFlt2,critFlt2,dFlt3,critFlt3))</f>
        <v/>
      </c>
      <c r="D700" t="str">
        <f>IF($B700="","",SUMIFS(dAmt,dCust,$B700,dPer,"&gt;="&amp;cyFrom,dPer,"&lt;="&amp;cyTo,dAmt,"&gt;-1E+300",dFlt1,critFlt1,dFlt2,critFlt2,dFlt3,critFlt3))</f>
        <v/>
      </c>
      <c r="E700" t="str">
        <f>IF($B700="","",SUMIFS(dQty,dCust,$B700,dPer,"&gt;="&amp;pyFrom,dPer,"&lt;="&amp;pyTo,dQty,"&gt;-1E+300",dFlt1,critFlt1,dFlt2,critFlt2,dFlt3,critFlt3))</f>
        <v/>
      </c>
      <c r="F700" t="str">
        <f>IF($B700="","",SUMIFS(dQty,dCust,$B700,dPer,"&gt;="&amp;cyFrom,dPer,"&lt;="&amp;cyTo,dQty,"&gt;-1E+300",dFlt1,critFlt1,dFlt2,critFlt2,dFlt3,critFlt3))</f>
        <v/>
      </c>
      <c r="G700">
        <f>IF($B700="",0,IFERROR(IF(OR(C700&lt;&gt;0,D700&lt;&gt;0,E700&lt;&gt;0,F700&lt;&gt;0),1,0),1))</f>
        <v>0</v>
      </c>
      <c r="H700" t="str">
        <f>IF(OR(G700=0,E700=0),"",C700/E700)</f>
        <v/>
      </c>
      <c r="I700" t="str">
        <f>IF(OR(G700=0,F700=0),"",D700/F700)</f>
        <v/>
      </c>
      <c r="J700" t="str">
        <f>IF(OR(H700="",I700=""),"",IF(H700=0,"",I700/H700-1))</f>
        <v/>
      </c>
      <c r="K700" t="str">
        <f>IF($B700="","",IFERROR(IF(G700=0,-2E+300,CHOOSE(sortIdx,ROUND(D700,0),IF(J700="",-1E+300,ROUND(-J700,6)),IF(J700="",-1E+300,ROUND(J700,6)))),-1.5E+300))</f>
        <v/>
      </c>
      <c r="L700" t="str">
        <f>IF(K700="","",RANK(K700,$K$2:$K$3001,0)+COUNTIF($K$2:K700,K700)-1)</f>
        <v/>
      </c>
    </row>
    <row r="701">
      <c r="B701" t="str">
        <f>IFERROR(IF(A701="","","="&amp;SUBSTITUTE(SUBSTITUTE(SUBSTITUTE(A701,"~","~~"),"*","~*"),"?","~?")),"")</f>
        <v/>
      </c>
      <c r="C701" t="str">
        <f>IF($B701="","",SUMIFS(dAmt,dCust,$B701,dPer,"&gt;="&amp;pyFrom,dPer,"&lt;="&amp;pyTo,dAmt,"&gt;-1E+300",dFlt1,critFlt1,dFlt2,critFlt2,dFlt3,critFlt3))</f>
        <v/>
      </c>
      <c r="D701" t="str">
        <f>IF($B701="","",SUMIFS(dAmt,dCust,$B701,dPer,"&gt;="&amp;cyFrom,dPer,"&lt;="&amp;cyTo,dAmt,"&gt;-1E+300",dFlt1,critFlt1,dFlt2,critFlt2,dFlt3,critFlt3))</f>
        <v/>
      </c>
      <c r="E701" t="str">
        <f>IF($B701="","",SUMIFS(dQty,dCust,$B701,dPer,"&gt;="&amp;pyFrom,dPer,"&lt;="&amp;pyTo,dQty,"&gt;-1E+300",dFlt1,critFlt1,dFlt2,critFlt2,dFlt3,critFlt3))</f>
        <v/>
      </c>
      <c r="F701" t="str">
        <f>IF($B701="","",SUMIFS(dQty,dCust,$B701,dPer,"&gt;="&amp;cyFrom,dPer,"&lt;="&amp;cyTo,dQty,"&gt;-1E+300",dFlt1,critFlt1,dFlt2,critFlt2,dFlt3,critFlt3))</f>
        <v/>
      </c>
      <c r="G701">
        <f>IF($B701="",0,IFERROR(IF(OR(C701&lt;&gt;0,D701&lt;&gt;0,E701&lt;&gt;0,F701&lt;&gt;0),1,0),1))</f>
        <v>0</v>
      </c>
      <c r="H701" t="str">
        <f>IF(OR(G701=0,E701=0),"",C701/E701)</f>
        <v/>
      </c>
      <c r="I701" t="str">
        <f>IF(OR(G701=0,F701=0),"",D701/F701)</f>
        <v/>
      </c>
      <c r="J701" t="str">
        <f>IF(OR(H701="",I701=""),"",IF(H701=0,"",I701/H701-1))</f>
        <v/>
      </c>
      <c r="K701" t="str">
        <f>IF($B701="","",IFERROR(IF(G701=0,-2E+300,CHOOSE(sortIdx,ROUND(D701,0),IF(J701="",-1E+300,ROUND(-J701,6)),IF(J701="",-1E+300,ROUND(J701,6)))),-1.5E+300))</f>
        <v/>
      </c>
      <c r="L701" t="str">
        <f>IF(K701="","",RANK(K701,$K$2:$K$3001,0)+COUNTIF($K$2:K701,K701)-1)</f>
        <v/>
      </c>
    </row>
    <row r="702">
      <c r="B702" t="str">
        <f>IFERROR(IF(A702="","","="&amp;SUBSTITUTE(SUBSTITUTE(SUBSTITUTE(A702,"~","~~"),"*","~*"),"?","~?")),"")</f>
        <v/>
      </c>
      <c r="C702" t="str">
        <f>IF($B702="","",SUMIFS(dAmt,dCust,$B702,dPer,"&gt;="&amp;pyFrom,dPer,"&lt;="&amp;pyTo,dAmt,"&gt;-1E+300",dFlt1,critFlt1,dFlt2,critFlt2,dFlt3,critFlt3))</f>
        <v/>
      </c>
      <c r="D702" t="str">
        <f>IF($B702="","",SUMIFS(dAmt,dCust,$B702,dPer,"&gt;="&amp;cyFrom,dPer,"&lt;="&amp;cyTo,dAmt,"&gt;-1E+300",dFlt1,critFlt1,dFlt2,critFlt2,dFlt3,critFlt3))</f>
        <v/>
      </c>
      <c r="E702" t="str">
        <f>IF($B702="","",SUMIFS(dQty,dCust,$B702,dPer,"&gt;="&amp;pyFrom,dPer,"&lt;="&amp;pyTo,dQty,"&gt;-1E+300",dFlt1,critFlt1,dFlt2,critFlt2,dFlt3,critFlt3))</f>
        <v/>
      </c>
      <c r="F702" t="str">
        <f>IF($B702="","",SUMIFS(dQty,dCust,$B702,dPer,"&gt;="&amp;cyFrom,dPer,"&lt;="&amp;cyTo,dQty,"&gt;-1E+300",dFlt1,critFlt1,dFlt2,critFlt2,dFlt3,critFlt3))</f>
        <v/>
      </c>
      <c r="G702">
        <f>IF($B702="",0,IFERROR(IF(OR(C702&lt;&gt;0,D702&lt;&gt;0,E702&lt;&gt;0,F702&lt;&gt;0),1,0),1))</f>
        <v>0</v>
      </c>
      <c r="H702" t="str">
        <f>IF(OR(G702=0,E702=0),"",C702/E702)</f>
        <v/>
      </c>
      <c r="I702" t="str">
        <f>IF(OR(G702=0,F702=0),"",D702/F702)</f>
        <v/>
      </c>
      <c r="J702" t="str">
        <f>IF(OR(H702="",I702=""),"",IF(H702=0,"",I702/H702-1))</f>
        <v/>
      </c>
      <c r="K702" t="str">
        <f>IF($B702="","",IFERROR(IF(G702=0,-2E+300,CHOOSE(sortIdx,ROUND(D702,0),IF(J702="",-1E+300,ROUND(-J702,6)),IF(J702="",-1E+300,ROUND(J702,6)))),-1.5E+300))</f>
        <v/>
      </c>
      <c r="L702" t="str">
        <f>IF(K702="","",RANK(K702,$K$2:$K$3001,0)+COUNTIF($K$2:K702,K702)-1)</f>
        <v/>
      </c>
    </row>
    <row r="703">
      <c r="B703" t="str">
        <f>IFERROR(IF(A703="","","="&amp;SUBSTITUTE(SUBSTITUTE(SUBSTITUTE(A703,"~","~~"),"*","~*"),"?","~?")),"")</f>
        <v/>
      </c>
      <c r="C703" t="str">
        <f>IF($B703="","",SUMIFS(dAmt,dCust,$B703,dPer,"&gt;="&amp;pyFrom,dPer,"&lt;="&amp;pyTo,dAmt,"&gt;-1E+300",dFlt1,critFlt1,dFlt2,critFlt2,dFlt3,critFlt3))</f>
        <v/>
      </c>
      <c r="D703" t="str">
        <f>IF($B703="","",SUMIFS(dAmt,dCust,$B703,dPer,"&gt;="&amp;cyFrom,dPer,"&lt;="&amp;cyTo,dAmt,"&gt;-1E+300",dFlt1,critFlt1,dFlt2,critFlt2,dFlt3,critFlt3))</f>
        <v/>
      </c>
      <c r="E703" t="str">
        <f>IF($B703="","",SUMIFS(dQty,dCust,$B703,dPer,"&gt;="&amp;pyFrom,dPer,"&lt;="&amp;pyTo,dQty,"&gt;-1E+300",dFlt1,critFlt1,dFlt2,critFlt2,dFlt3,critFlt3))</f>
        <v/>
      </c>
      <c r="F703" t="str">
        <f>IF($B703="","",SUMIFS(dQty,dCust,$B703,dPer,"&gt;="&amp;cyFrom,dPer,"&lt;="&amp;cyTo,dQty,"&gt;-1E+300",dFlt1,critFlt1,dFlt2,critFlt2,dFlt3,critFlt3))</f>
        <v/>
      </c>
      <c r="G703">
        <f>IF($B703="",0,IFERROR(IF(OR(C703&lt;&gt;0,D703&lt;&gt;0,E703&lt;&gt;0,F703&lt;&gt;0),1,0),1))</f>
        <v>0</v>
      </c>
      <c r="H703" t="str">
        <f>IF(OR(G703=0,E703=0),"",C703/E703)</f>
        <v/>
      </c>
      <c r="I703" t="str">
        <f>IF(OR(G703=0,F703=0),"",D703/F703)</f>
        <v/>
      </c>
      <c r="J703" t="str">
        <f>IF(OR(H703="",I703=""),"",IF(H703=0,"",I703/H703-1))</f>
        <v/>
      </c>
      <c r="K703" t="str">
        <f>IF($B703="","",IFERROR(IF(G703=0,-2E+300,CHOOSE(sortIdx,ROUND(D703,0),IF(J703="",-1E+300,ROUND(-J703,6)),IF(J703="",-1E+300,ROUND(J703,6)))),-1.5E+300))</f>
        <v/>
      </c>
      <c r="L703" t="str">
        <f>IF(K703="","",RANK(K703,$K$2:$K$3001,0)+COUNTIF($K$2:K703,K703)-1)</f>
        <v/>
      </c>
    </row>
    <row r="704">
      <c r="B704" t="str">
        <f>IFERROR(IF(A704="","","="&amp;SUBSTITUTE(SUBSTITUTE(SUBSTITUTE(A704,"~","~~"),"*","~*"),"?","~?")),"")</f>
        <v/>
      </c>
      <c r="C704" t="str">
        <f>IF($B704="","",SUMIFS(dAmt,dCust,$B704,dPer,"&gt;="&amp;pyFrom,dPer,"&lt;="&amp;pyTo,dAmt,"&gt;-1E+300",dFlt1,critFlt1,dFlt2,critFlt2,dFlt3,critFlt3))</f>
        <v/>
      </c>
      <c r="D704" t="str">
        <f>IF($B704="","",SUMIFS(dAmt,dCust,$B704,dPer,"&gt;="&amp;cyFrom,dPer,"&lt;="&amp;cyTo,dAmt,"&gt;-1E+300",dFlt1,critFlt1,dFlt2,critFlt2,dFlt3,critFlt3))</f>
        <v/>
      </c>
      <c r="E704" t="str">
        <f>IF($B704="","",SUMIFS(dQty,dCust,$B704,dPer,"&gt;="&amp;pyFrom,dPer,"&lt;="&amp;pyTo,dQty,"&gt;-1E+300",dFlt1,critFlt1,dFlt2,critFlt2,dFlt3,critFlt3))</f>
        <v/>
      </c>
      <c r="F704" t="str">
        <f>IF($B704="","",SUMIFS(dQty,dCust,$B704,dPer,"&gt;="&amp;cyFrom,dPer,"&lt;="&amp;cyTo,dQty,"&gt;-1E+300",dFlt1,critFlt1,dFlt2,critFlt2,dFlt3,critFlt3))</f>
        <v/>
      </c>
      <c r="G704">
        <f>IF($B704="",0,IFERROR(IF(OR(C704&lt;&gt;0,D704&lt;&gt;0,E704&lt;&gt;0,F704&lt;&gt;0),1,0),1))</f>
        <v>0</v>
      </c>
      <c r="H704" t="str">
        <f>IF(OR(G704=0,E704=0),"",C704/E704)</f>
        <v/>
      </c>
      <c r="I704" t="str">
        <f>IF(OR(G704=0,F704=0),"",D704/F704)</f>
        <v/>
      </c>
      <c r="J704" t="str">
        <f>IF(OR(H704="",I704=""),"",IF(H704=0,"",I704/H704-1))</f>
        <v/>
      </c>
      <c r="K704" t="str">
        <f>IF($B704="","",IFERROR(IF(G704=0,-2E+300,CHOOSE(sortIdx,ROUND(D704,0),IF(J704="",-1E+300,ROUND(-J704,6)),IF(J704="",-1E+300,ROUND(J704,6)))),-1.5E+300))</f>
        <v/>
      </c>
      <c r="L704" t="str">
        <f>IF(K704="","",RANK(K704,$K$2:$K$3001,0)+COUNTIF($K$2:K704,K704)-1)</f>
        <v/>
      </c>
    </row>
    <row r="705">
      <c r="B705" t="str">
        <f>IFERROR(IF(A705="","","="&amp;SUBSTITUTE(SUBSTITUTE(SUBSTITUTE(A705,"~","~~"),"*","~*"),"?","~?")),"")</f>
        <v/>
      </c>
      <c r="C705" t="str">
        <f>IF($B705="","",SUMIFS(dAmt,dCust,$B705,dPer,"&gt;="&amp;pyFrom,dPer,"&lt;="&amp;pyTo,dAmt,"&gt;-1E+300",dFlt1,critFlt1,dFlt2,critFlt2,dFlt3,critFlt3))</f>
        <v/>
      </c>
      <c r="D705" t="str">
        <f>IF($B705="","",SUMIFS(dAmt,dCust,$B705,dPer,"&gt;="&amp;cyFrom,dPer,"&lt;="&amp;cyTo,dAmt,"&gt;-1E+300",dFlt1,critFlt1,dFlt2,critFlt2,dFlt3,critFlt3))</f>
        <v/>
      </c>
      <c r="E705" t="str">
        <f>IF($B705="","",SUMIFS(dQty,dCust,$B705,dPer,"&gt;="&amp;pyFrom,dPer,"&lt;="&amp;pyTo,dQty,"&gt;-1E+300",dFlt1,critFlt1,dFlt2,critFlt2,dFlt3,critFlt3))</f>
        <v/>
      </c>
      <c r="F705" t="str">
        <f>IF($B705="","",SUMIFS(dQty,dCust,$B705,dPer,"&gt;="&amp;cyFrom,dPer,"&lt;="&amp;cyTo,dQty,"&gt;-1E+300",dFlt1,critFlt1,dFlt2,critFlt2,dFlt3,critFlt3))</f>
        <v/>
      </c>
      <c r="G705">
        <f>IF($B705="",0,IFERROR(IF(OR(C705&lt;&gt;0,D705&lt;&gt;0,E705&lt;&gt;0,F705&lt;&gt;0),1,0),1))</f>
        <v>0</v>
      </c>
      <c r="H705" t="str">
        <f>IF(OR(G705=0,E705=0),"",C705/E705)</f>
        <v/>
      </c>
      <c r="I705" t="str">
        <f>IF(OR(G705=0,F705=0),"",D705/F705)</f>
        <v/>
      </c>
      <c r="J705" t="str">
        <f>IF(OR(H705="",I705=""),"",IF(H705=0,"",I705/H705-1))</f>
        <v/>
      </c>
      <c r="K705" t="str">
        <f>IF($B705="","",IFERROR(IF(G705=0,-2E+300,CHOOSE(sortIdx,ROUND(D705,0),IF(J705="",-1E+300,ROUND(-J705,6)),IF(J705="",-1E+300,ROUND(J705,6)))),-1.5E+300))</f>
        <v/>
      </c>
      <c r="L705" t="str">
        <f>IF(K705="","",RANK(K705,$K$2:$K$3001,0)+COUNTIF($K$2:K705,K705)-1)</f>
        <v/>
      </c>
    </row>
    <row r="706">
      <c r="B706" t="str">
        <f>IFERROR(IF(A706="","","="&amp;SUBSTITUTE(SUBSTITUTE(SUBSTITUTE(A706,"~","~~"),"*","~*"),"?","~?")),"")</f>
        <v/>
      </c>
      <c r="C706" t="str">
        <f>IF($B706="","",SUMIFS(dAmt,dCust,$B706,dPer,"&gt;="&amp;pyFrom,dPer,"&lt;="&amp;pyTo,dAmt,"&gt;-1E+300",dFlt1,critFlt1,dFlt2,critFlt2,dFlt3,critFlt3))</f>
        <v/>
      </c>
      <c r="D706" t="str">
        <f>IF($B706="","",SUMIFS(dAmt,dCust,$B706,dPer,"&gt;="&amp;cyFrom,dPer,"&lt;="&amp;cyTo,dAmt,"&gt;-1E+300",dFlt1,critFlt1,dFlt2,critFlt2,dFlt3,critFlt3))</f>
        <v/>
      </c>
      <c r="E706" t="str">
        <f>IF($B706="","",SUMIFS(dQty,dCust,$B706,dPer,"&gt;="&amp;pyFrom,dPer,"&lt;="&amp;pyTo,dQty,"&gt;-1E+300",dFlt1,critFlt1,dFlt2,critFlt2,dFlt3,critFlt3))</f>
        <v/>
      </c>
      <c r="F706" t="str">
        <f>IF($B706="","",SUMIFS(dQty,dCust,$B706,dPer,"&gt;="&amp;cyFrom,dPer,"&lt;="&amp;cyTo,dQty,"&gt;-1E+300",dFlt1,critFlt1,dFlt2,critFlt2,dFlt3,critFlt3))</f>
        <v/>
      </c>
      <c r="G706">
        <f>IF($B706="",0,IFERROR(IF(OR(C706&lt;&gt;0,D706&lt;&gt;0,E706&lt;&gt;0,F706&lt;&gt;0),1,0),1))</f>
        <v>0</v>
      </c>
      <c r="H706" t="str">
        <f>IF(OR(G706=0,E706=0),"",C706/E706)</f>
        <v/>
      </c>
      <c r="I706" t="str">
        <f>IF(OR(G706=0,F706=0),"",D706/F706)</f>
        <v/>
      </c>
      <c r="J706" t="str">
        <f>IF(OR(H706="",I706=""),"",IF(H706=0,"",I706/H706-1))</f>
        <v/>
      </c>
      <c r="K706" t="str">
        <f>IF($B706="","",IFERROR(IF(G706=0,-2E+300,CHOOSE(sortIdx,ROUND(D706,0),IF(J706="",-1E+300,ROUND(-J706,6)),IF(J706="",-1E+300,ROUND(J706,6)))),-1.5E+300))</f>
        <v/>
      </c>
      <c r="L706" t="str">
        <f>IF(K706="","",RANK(K706,$K$2:$K$3001,0)+COUNTIF($K$2:K706,K706)-1)</f>
        <v/>
      </c>
    </row>
    <row r="707">
      <c r="B707" t="str">
        <f>IFERROR(IF(A707="","","="&amp;SUBSTITUTE(SUBSTITUTE(SUBSTITUTE(A707,"~","~~"),"*","~*"),"?","~?")),"")</f>
        <v/>
      </c>
      <c r="C707" t="str">
        <f>IF($B707="","",SUMIFS(dAmt,dCust,$B707,dPer,"&gt;="&amp;pyFrom,dPer,"&lt;="&amp;pyTo,dAmt,"&gt;-1E+300",dFlt1,critFlt1,dFlt2,critFlt2,dFlt3,critFlt3))</f>
        <v/>
      </c>
      <c r="D707" t="str">
        <f>IF($B707="","",SUMIFS(dAmt,dCust,$B707,dPer,"&gt;="&amp;cyFrom,dPer,"&lt;="&amp;cyTo,dAmt,"&gt;-1E+300",dFlt1,critFlt1,dFlt2,critFlt2,dFlt3,critFlt3))</f>
        <v/>
      </c>
      <c r="E707" t="str">
        <f>IF($B707="","",SUMIFS(dQty,dCust,$B707,dPer,"&gt;="&amp;pyFrom,dPer,"&lt;="&amp;pyTo,dQty,"&gt;-1E+300",dFlt1,critFlt1,dFlt2,critFlt2,dFlt3,critFlt3))</f>
        <v/>
      </c>
      <c r="F707" t="str">
        <f>IF($B707="","",SUMIFS(dQty,dCust,$B707,dPer,"&gt;="&amp;cyFrom,dPer,"&lt;="&amp;cyTo,dQty,"&gt;-1E+300",dFlt1,critFlt1,dFlt2,critFlt2,dFlt3,critFlt3))</f>
        <v/>
      </c>
      <c r="G707">
        <f>IF($B707="",0,IFERROR(IF(OR(C707&lt;&gt;0,D707&lt;&gt;0,E707&lt;&gt;0,F707&lt;&gt;0),1,0),1))</f>
        <v>0</v>
      </c>
      <c r="H707" t="str">
        <f>IF(OR(G707=0,E707=0),"",C707/E707)</f>
        <v/>
      </c>
      <c r="I707" t="str">
        <f>IF(OR(G707=0,F707=0),"",D707/F707)</f>
        <v/>
      </c>
      <c r="J707" t="str">
        <f>IF(OR(H707="",I707=""),"",IF(H707=0,"",I707/H707-1))</f>
        <v/>
      </c>
      <c r="K707" t="str">
        <f>IF($B707="","",IFERROR(IF(G707=0,-2E+300,CHOOSE(sortIdx,ROUND(D707,0),IF(J707="",-1E+300,ROUND(-J707,6)),IF(J707="",-1E+300,ROUND(J707,6)))),-1.5E+300))</f>
        <v/>
      </c>
      <c r="L707" t="str">
        <f>IF(K707="","",RANK(K707,$K$2:$K$3001,0)+COUNTIF($K$2:K707,K707)-1)</f>
        <v/>
      </c>
    </row>
    <row r="708">
      <c r="B708" t="str">
        <f>IFERROR(IF(A708="","","="&amp;SUBSTITUTE(SUBSTITUTE(SUBSTITUTE(A708,"~","~~"),"*","~*"),"?","~?")),"")</f>
        <v/>
      </c>
      <c r="C708" t="str">
        <f>IF($B708="","",SUMIFS(dAmt,dCust,$B708,dPer,"&gt;="&amp;pyFrom,dPer,"&lt;="&amp;pyTo,dAmt,"&gt;-1E+300",dFlt1,critFlt1,dFlt2,critFlt2,dFlt3,critFlt3))</f>
        <v/>
      </c>
      <c r="D708" t="str">
        <f>IF($B708="","",SUMIFS(dAmt,dCust,$B708,dPer,"&gt;="&amp;cyFrom,dPer,"&lt;="&amp;cyTo,dAmt,"&gt;-1E+300",dFlt1,critFlt1,dFlt2,critFlt2,dFlt3,critFlt3))</f>
        <v/>
      </c>
      <c r="E708" t="str">
        <f>IF($B708="","",SUMIFS(dQty,dCust,$B708,dPer,"&gt;="&amp;pyFrom,dPer,"&lt;="&amp;pyTo,dQty,"&gt;-1E+300",dFlt1,critFlt1,dFlt2,critFlt2,dFlt3,critFlt3))</f>
        <v/>
      </c>
      <c r="F708" t="str">
        <f>IF($B708="","",SUMIFS(dQty,dCust,$B708,dPer,"&gt;="&amp;cyFrom,dPer,"&lt;="&amp;cyTo,dQty,"&gt;-1E+300",dFlt1,critFlt1,dFlt2,critFlt2,dFlt3,critFlt3))</f>
        <v/>
      </c>
      <c r="G708">
        <f>IF($B708="",0,IFERROR(IF(OR(C708&lt;&gt;0,D708&lt;&gt;0,E708&lt;&gt;0,F708&lt;&gt;0),1,0),1))</f>
        <v>0</v>
      </c>
      <c r="H708" t="str">
        <f>IF(OR(G708=0,E708=0),"",C708/E708)</f>
        <v/>
      </c>
      <c r="I708" t="str">
        <f>IF(OR(G708=0,F708=0),"",D708/F708)</f>
        <v/>
      </c>
      <c r="J708" t="str">
        <f>IF(OR(H708="",I708=""),"",IF(H708=0,"",I708/H708-1))</f>
        <v/>
      </c>
      <c r="K708" t="str">
        <f>IF($B708="","",IFERROR(IF(G708=0,-2E+300,CHOOSE(sortIdx,ROUND(D708,0),IF(J708="",-1E+300,ROUND(-J708,6)),IF(J708="",-1E+300,ROUND(J708,6)))),-1.5E+300))</f>
        <v/>
      </c>
      <c r="L708" t="str">
        <f>IF(K708="","",RANK(K708,$K$2:$K$3001,0)+COUNTIF($K$2:K708,K708)-1)</f>
        <v/>
      </c>
    </row>
    <row r="709">
      <c r="B709" t="str">
        <f>IFERROR(IF(A709="","","="&amp;SUBSTITUTE(SUBSTITUTE(SUBSTITUTE(A709,"~","~~"),"*","~*"),"?","~?")),"")</f>
        <v/>
      </c>
      <c r="C709" t="str">
        <f>IF($B709="","",SUMIFS(dAmt,dCust,$B709,dPer,"&gt;="&amp;pyFrom,dPer,"&lt;="&amp;pyTo,dAmt,"&gt;-1E+300",dFlt1,critFlt1,dFlt2,critFlt2,dFlt3,critFlt3))</f>
        <v/>
      </c>
      <c r="D709" t="str">
        <f>IF($B709="","",SUMIFS(dAmt,dCust,$B709,dPer,"&gt;="&amp;cyFrom,dPer,"&lt;="&amp;cyTo,dAmt,"&gt;-1E+300",dFlt1,critFlt1,dFlt2,critFlt2,dFlt3,critFlt3))</f>
        <v/>
      </c>
      <c r="E709" t="str">
        <f>IF($B709="","",SUMIFS(dQty,dCust,$B709,dPer,"&gt;="&amp;pyFrom,dPer,"&lt;="&amp;pyTo,dQty,"&gt;-1E+300",dFlt1,critFlt1,dFlt2,critFlt2,dFlt3,critFlt3))</f>
        <v/>
      </c>
      <c r="F709" t="str">
        <f>IF($B709="","",SUMIFS(dQty,dCust,$B709,dPer,"&gt;="&amp;cyFrom,dPer,"&lt;="&amp;cyTo,dQty,"&gt;-1E+300",dFlt1,critFlt1,dFlt2,critFlt2,dFlt3,critFlt3))</f>
        <v/>
      </c>
      <c r="G709">
        <f>IF($B709="",0,IFERROR(IF(OR(C709&lt;&gt;0,D709&lt;&gt;0,E709&lt;&gt;0,F709&lt;&gt;0),1,0),1))</f>
        <v>0</v>
      </c>
      <c r="H709" t="str">
        <f>IF(OR(G709=0,E709=0),"",C709/E709)</f>
        <v/>
      </c>
      <c r="I709" t="str">
        <f>IF(OR(G709=0,F709=0),"",D709/F709)</f>
        <v/>
      </c>
      <c r="J709" t="str">
        <f>IF(OR(H709="",I709=""),"",IF(H709=0,"",I709/H709-1))</f>
        <v/>
      </c>
      <c r="K709" t="str">
        <f>IF($B709="","",IFERROR(IF(G709=0,-2E+300,CHOOSE(sortIdx,ROUND(D709,0),IF(J709="",-1E+300,ROUND(-J709,6)),IF(J709="",-1E+300,ROUND(J709,6)))),-1.5E+300))</f>
        <v/>
      </c>
      <c r="L709" t="str">
        <f>IF(K709="","",RANK(K709,$K$2:$K$3001,0)+COUNTIF($K$2:K709,K709)-1)</f>
        <v/>
      </c>
    </row>
    <row r="710">
      <c r="B710" t="str">
        <f>IFERROR(IF(A710="","","="&amp;SUBSTITUTE(SUBSTITUTE(SUBSTITUTE(A710,"~","~~"),"*","~*"),"?","~?")),"")</f>
        <v/>
      </c>
      <c r="C710" t="str">
        <f>IF($B710="","",SUMIFS(dAmt,dCust,$B710,dPer,"&gt;="&amp;pyFrom,dPer,"&lt;="&amp;pyTo,dAmt,"&gt;-1E+300",dFlt1,critFlt1,dFlt2,critFlt2,dFlt3,critFlt3))</f>
        <v/>
      </c>
      <c r="D710" t="str">
        <f>IF($B710="","",SUMIFS(dAmt,dCust,$B710,dPer,"&gt;="&amp;cyFrom,dPer,"&lt;="&amp;cyTo,dAmt,"&gt;-1E+300",dFlt1,critFlt1,dFlt2,critFlt2,dFlt3,critFlt3))</f>
        <v/>
      </c>
      <c r="E710" t="str">
        <f>IF($B710="","",SUMIFS(dQty,dCust,$B710,dPer,"&gt;="&amp;pyFrom,dPer,"&lt;="&amp;pyTo,dQty,"&gt;-1E+300",dFlt1,critFlt1,dFlt2,critFlt2,dFlt3,critFlt3))</f>
        <v/>
      </c>
      <c r="F710" t="str">
        <f>IF($B710="","",SUMIFS(dQty,dCust,$B710,dPer,"&gt;="&amp;cyFrom,dPer,"&lt;="&amp;cyTo,dQty,"&gt;-1E+300",dFlt1,critFlt1,dFlt2,critFlt2,dFlt3,critFlt3))</f>
        <v/>
      </c>
      <c r="G710">
        <f>IF($B710="",0,IFERROR(IF(OR(C710&lt;&gt;0,D710&lt;&gt;0,E710&lt;&gt;0,F710&lt;&gt;0),1,0),1))</f>
        <v>0</v>
      </c>
      <c r="H710" t="str">
        <f>IF(OR(G710=0,E710=0),"",C710/E710)</f>
        <v/>
      </c>
      <c r="I710" t="str">
        <f>IF(OR(G710=0,F710=0),"",D710/F710)</f>
        <v/>
      </c>
      <c r="J710" t="str">
        <f>IF(OR(H710="",I710=""),"",IF(H710=0,"",I710/H710-1))</f>
        <v/>
      </c>
      <c r="K710" t="str">
        <f>IF($B710="","",IFERROR(IF(G710=0,-2E+300,CHOOSE(sortIdx,ROUND(D710,0),IF(J710="",-1E+300,ROUND(-J710,6)),IF(J710="",-1E+300,ROUND(J710,6)))),-1.5E+300))</f>
        <v/>
      </c>
      <c r="L710" t="str">
        <f>IF(K710="","",RANK(K710,$K$2:$K$3001,0)+COUNTIF($K$2:K710,K710)-1)</f>
        <v/>
      </c>
    </row>
    <row r="711">
      <c r="B711" t="str">
        <f>IFERROR(IF(A711="","","="&amp;SUBSTITUTE(SUBSTITUTE(SUBSTITUTE(A711,"~","~~"),"*","~*"),"?","~?")),"")</f>
        <v/>
      </c>
      <c r="C711" t="str">
        <f>IF($B711="","",SUMIFS(dAmt,dCust,$B711,dPer,"&gt;="&amp;pyFrom,dPer,"&lt;="&amp;pyTo,dAmt,"&gt;-1E+300",dFlt1,critFlt1,dFlt2,critFlt2,dFlt3,critFlt3))</f>
        <v/>
      </c>
      <c r="D711" t="str">
        <f>IF($B711="","",SUMIFS(dAmt,dCust,$B711,dPer,"&gt;="&amp;cyFrom,dPer,"&lt;="&amp;cyTo,dAmt,"&gt;-1E+300",dFlt1,critFlt1,dFlt2,critFlt2,dFlt3,critFlt3))</f>
        <v/>
      </c>
      <c r="E711" t="str">
        <f>IF($B711="","",SUMIFS(dQty,dCust,$B711,dPer,"&gt;="&amp;pyFrom,dPer,"&lt;="&amp;pyTo,dQty,"&gt;-1E+300",dFlt1,critFlt1,dFlt2,critFlt2,dFlt3,critFlt3))</f>
        <v/>
      </c>
      <c r="F711" t="str">
        <f>IF($B711="","",SUMIFS(dQty,dCust,$B711,dPer,"&gt;="&amp;cyFrom,dPer,"&lt;="&amp;cyTo,dQty,"&gt;-1E+300",dFlt1,critFlt1,dFlt2,critFlt2,dFlt3,critFlt3))</f>
        <v/>
      </c>
      <c r="G711">
        <f>IF($B711="",0,IFERROR(IF(OR(C711&lt;&gt;0,D711&lt;&gt;0,E711&lt;&gt;0,F711&lt;&gt;0),1,0),1))</f>
        <v>0</v>
      </c>
      <c r="H711" t="str">
        <f>IF(OR(G711=0,E711=0),"",C711/E711)</f>
        <v/>
      </c>
      <c r="I711" t="str">
        <f>IF(OR(G711=0,F711=0),"",D711/F711)</f>
        <v/>
      </c>
      <c r="J711" t="str">
        <f>IF(OR(H711="",I711=""),"",IF(H711=0,"",I711/H711-1))</f>
        <v/>
      </c>
      <c r="K711" t="str">
        <f>IF($B711="","",IFERROR(IF(G711=0,-2E+300,CHOOSE(sortIdx,ROUND(D711,0),IF(J711="",-1E+300,ROUND(-J711,6)),IF(J711="",-1E+300,ROUND(J711,6)))),-1.5E+300))</f>
        <v/>
      </c>
      <c r="L711" t="str">
        <f>IF(K711="","",RANK(K711,$K$2:$K$3001,0)+COUNTIF($K$2:K711,K711)-1)</f>
        <v/>
      </c>
    </row>
    <row r="712">
      <c r="B712" t="str">
        <f>IFERROR(IF(A712="","","="&amp;SUBSTITUTE(SUBSTITUTE(SUBSTITUTE(A712,"~","~~"),"*","~*"),"?","~?")),"")</f>
        <v/>
      </c>
      <c r="C712" t="str">
        <f>IF($B712="","",SUMIFS(dAmt,dCust,$B712,dPer,"&gt;="&amp;pyFrom,dPer,"&lt;="&amp;pyTo,dAmt,"&gt;-1E+300",dFlt1,critFlt1,dFlt2,critFlt2,dFlt3,critFlt3))</f>
        <v/>
      </c>
      <c r="D712" t="str">
        <f>IF($B712="","",SUMIFS(dAmt,dCust,$B712,dPer,"&gt;="&amp;cyFrom,dPer,"&lt;="&amp;cyTo,dAmt,"&gt;-1E+300",dFlt1,critFlt1,dFlt2,critFlt2,dFlt3,critFlt3))</f>
        <v/>
      </c>
      <c r="E712" t="str">
        <f>IF($B712="","",SUMIFS(dQty,dCust,$B712,dPer,"&gt;="&amp;pyFrom,dPer,"&lt;="&amp;pyTo,dQty,"&gt;-1E+300",dFlt1,critFlt1,dFlt2,critFlt2,dFlt3,critFlt3))</f>
        <v/>
      </c>
      <c r="F712" t="str">
        <f>IF($B712="","",SUMIFS(dQty,dCust,$B712,dPer,"&gt;="&amp;cyFrom,dPer,"&lt;="&amp;cyTo,dQty,"&gt;-1E+300",dFlt1,critFlt1,dFlt2,critFlt2,dFlt3,critFlt3))</f>
        <v/>
      </c>
      <c r="G712">
        <f>IF($B712="",0,IFERROR(IF(OR(C712&lt;&gt;0,D712&lt;&gt;0,E712&lt;&gt;0,F712&lt;&gt;0),1,0),1))</f>
        <v>0</v>
      </c>
      <c r="H712" t="str">
        <f>IF(OR(G712=0,E712=0),"",C712/E712)</f>
        <v/>
      </c>
      <c r="I712" t="str">
        <f>IF(OR(G712=0,F712=0),"",D712/F712)</f>
        <v/>
      </c>
      <c r="J712" t="str">
        <f>IF(OR(H712="",I712=""),"",IF(H712=0,"",I712/H712-1))</f>
        <v/>
      </c>
      <c r="K712" t="str">
        <f>IF($B712="","",IFERROR(IF(G712=0,-2E+300,CHOOSE(sortIdx,ROUND(D712,0),IF(J712="",-1E+300,ROUND(-J712,6)),IF(J712="",-1E+300,ROUND(J712,6)))),-1.5E+300))</f>
        <v/>
      </c>
      <c r="L712" t="str">
        <f>IF(K712="","",RANK(K712,$K$2:$K$3001,0)+COUNTIF($K$2:K712,K712)-1)</f>
        <v/>
      </c>
    </row>
    <row r="713">
      <c r="B713" t="str">
        <f>IFERROR(IF(A713="","","="&amp;SUBSTITUTE(SUBSTITUTE(SUBSTITUTE(A713,"~","~~"),"*","~*"),"?","~?")),"")</f>
        <v/>
      </c>
      <c r="C713" t="str">
        <f>IF($B713="","",SUMIFS(dAmt,dCust,$B713,dPer,"&gt;="&amp;pyFrom,dPer,"&lt;="&amp;pyTo,dAmt,"&gt;-1E+300",dFlt1,critFlt1,dFlt2,critFlt2,dFlt3,critFlt3))</f>
        <v/>
      </c>
      <c r="D713" t="str">
        <f>IF($B713="","",SUMIFS(dAmt,dCust,$B713,dPer,"&gt;="&amp;cyFrom,dPer,"&lt;="&amp;cyTo,dAmt,"&gt;-1E+300",dFlt1,critFlt1,dFlt2,critFlt2,dFlt3,critFlt3))</f>
        <v/>
      </c>
      <c r="E713" t="str">
        <f>IF($B713="","",SUMIFS(dQty,dCust,$B713,dPer,"&gt;="&amp;pyFrom,dPer,"&lt;="&amp;pyTo,dQty,"&gt;-1E+300",dFlt1,critFlt1,dFlt2,critFlt2,dFlt3,critFlt3))</f>
        <v/>
      </c>
      <c r="F713" t="str">
        <f>IF($B713="","",SUMIFS(dQty,dCust,$B713,dPer,"&gt;="&amp;cyFrom,dPer,"&lt;="&amp;cyTo,dQty,"&gt;-1E+300",dFlt1,critFlt1,dFlt2,critFlt2,dFlt3,critFlt3))</f>
        <v/>
      </c>
      <c r="G713">
        <f>IF($B713="",0,IFERROR(IF(OR(C713&lt;&gt;0,D713&lt;&gt;0,E713&lt;&gt;0,F713&lt;&gt;0),1,0),1))</f>
        <v>0</v>
      </c>
      <c r="H713" t="str">
        <f>IF(OR(G713=0,E713=0),"",C713/E713)</f>
        <v/>
      </c>
      <c r="I713" t="str">
        <f>IF(OR(G713=0,F713=0),"",D713/F713)</f>
        <v/>
      </c>
      <c r="J713" t="str">
        <f>IF(OR(H713="",I713=""),"",IF(H713=0,"",I713/H713-1))</f>
        <v/>
      </c>
      <c r="K713" t="str">
        <f>IF($B713="","",IFERROR(IF(G713=0,-2E+300,CHOOSE(sortIdx,ROUND(D713,0),IF(J713="",-1E+300,ROUND(-J713,6)),IF(J713="",-1E+300,ROUND(J713,6)))),-1.5E+300))</f>
        <v/>
      </c>
      <c r="L713" t="str">
        <f>IF(K713="","",RANK(K713,$K$2:$K$3001,0)+COUNTIF($K$2:K713,K713)-1)</f>
        <v/>
      </c>
    </row>
    <row r="714">
      <c r="B714" t="str">
        <f>IFERROR(IF(A714="","","="&amp;SUBSTITUTE(SUBSTITUTE(SUBSTITUTE(A714,"~","~~"),"*","~*"),"?","~?")),"")</f>
        <v/>
      </c>
      <c r="C714" t="str">
        <f>IF($B714="","",SUMIFS(dAmt,dCust,$B714,dPer,"&gt;="&amp;pyFrom,dPer,"&lt;="&amp;pyTo,dAmt,"&gt;-1E+300",dFlt1,critFlt1,dFlt2,critFlt2,dFlt3,critFlt3))</f>
        <v/>
      </c>
      <c r="D714" t="str">
        <f>IF($B714="","",SUMIFS(dAmt,dCust,$B714,dPer,"&gt;="&amp;cyFrom,dPer,"&lt;="&amp;cyTo,dAmt,"&gt;-1E+300",dFlt1,critFlt1,dFlt2,critFlt2,dFlt3,critFlt3))</f>
        <v/>
      </c>
      <c r="E714" t="str">
        <f>IF($B714="","",SUMIFS(dQty,dCust,$B714,dPer,"&gt;="&amp;pyFrom,dPer,"&lt;="&amp;pyTo,dQty,"&gt;-1E+300",dFlt1,critFlt1,dFlt2,critFlt2,dFlt3,critFlt3))</f>
        <v/>
      </c>
      <c r="F714" t="str">
        <f>IF($B714="","",SUMIFS(dQty,dCust,$B714,dPer,"&gt;="&amp;cyFrom,dPer,"&lt;="&amp;cyTo,dQty,"&gt;-1E+300",dFlt1,critFlt1,dFlt2,critFlt2,dFlt3,critFlt3))</f>
        <v/>
      </c>
      <c r="G714">
        <f>IF($B714="",0,IFERROR(IF(OR(C714&lt;&gt;0,D714&lt;&gt;0,E714&lt;&gt;0,F714&lt;&gt;0),1,0),1))</f>
        <v>0</v>
      </c>
      <c r="H714" t="str">
        <f>IF(OR(G714=0,E714=0),"",C714/E714)</f>
        <v/>
      </c>
      <c r="I714" t="str">
        <f>IF(OR(G714=0,F714=0),"",D714/F714)</f>
        <v/>
      </c>
      <c r="J714" t="str">
        <f>IF(OR(H714="",I714=""),"",IF(H714=0,"",I714/H714-1))</f>
        <v/>
      </c>
      <c r="K714" t="str">
        <f>IF($B714="","",IFERROR(IF(G714=0,-2E+300,CHOOSE(sortIdx,ROUND(D714,0),IF(J714="",-1E+300,ROUND(-J714,6)),IF(J714="",-1E+300,ROUND(J714,6)))),-1.5E+300))</f>
        <v/>
      </c>
      <c r="L714" t="str">
        <f>IF(K714="","",RANK(K714,$K$2:$K$3001,0)+COUNTIF($K$2:K714,K714)-1)</f>
        <v/>
      </c>
    </row>
    <row r="715">
      <c r="B715" t="str">
        <f>IFERROR(IF(A715="","","="&amp;SUBSTITUTE(SUBSTITUTE(SUBSTITUTE(A715,"~","~~"),"*","~*"),"?","~?")),"")</f>
        <v/>
      </c>
      <c r="C715" t="str">
        <f>IF($B715="","",SUMIFS(dAmt,dCust,$B715,dPer,"&gt;="&amp;pyFrom,dPer,"&lt;="&amp;pyTo,dAmt,"&gt;-1E+300",dFlt1,critFlt1,dFlt2,critFlt2,dFlt3,critFlt3))</f>
        <v/>
      </c>
      <c r="D715" t="str">
        <f>IF($B715="","",SUMIFS(dAmt,dCust,$B715,dPer,"&gt;="&amp;cyFrom,dPer,"&lt;="&amp;cyTo,dAmt,"&gt;-1E+300",dFlt1,critFlt1,dFlt2,critFlt2,dFlt3,critFlt3))</f>
        <v/>
      </c>
      <c r="E715" t="str">
        <f>IF($B715="","",SUMIFS(dQty,dCust,$B715,dPer,"&gt;="&amp;pyFrom,dPer,"&lt;="&amp;pyTo,dQty,"&gt;-1E+300",dFlt1,critFlt1,dFlt2,critFlt2,dFlt3,critFlt3))</f>
        <v/>
      </c>
      <c r="F715" t="str">
        <f>IF($B715="","",SUMIFS(dQty,dCust,$B715,dPer,"&gt;="&amp;cyFrom,dPer,"&lt;="&amp;cyTo,dQty,"&gt;-1E+300",dFlt1,critFlt1,dFlt2,critFlt2,dFlt3,critFlt3))</f>
        <v/>
      </c>
      <c r="G715">
        <f>IF($B715="",0,IFERROR(IF(OR(C715&lt;&gt;0,D715&lt;&gt;0,E715&lt;&gt;0,F715&lt;&gt;0),1,0),1))</f>
        <v>0</v>
      </c>
      <c r="H715" t="str">
        <f>IF(OR(G715=0,E715=0),"",C715/E715)</f>
        <v/>
      </c>
      <c r="I715" t="str">
        <f>IF(OR(G715=0,F715=0),"",D715/F715)</f>
        <v/>
      </c>
      <c r="J715" t="str">
        <f>IF(OR(H715="",I715=""),"",IF(H715=0,"",I715/H715-1))</f>
        <v/>
      </c>
      <c r="K715" t="str">
        <f>IF($B715="","",IFERROR(IF(G715=0,-2E+300,CHOOSE(sortIdx,ROUND(D715,0),IF(J715="",-1E+300,ROUND(-J715,6)),IF(J715="",-1E+300,ROUND(J715,6)))),-1.5E+300))</f>
        <v/>
      </c>
      <c r="L715" t="str">
        <f>IF(K715="","",RANK(K715,$K$2:$K$3001,0)+COUNTIF($K$2:K715,K715)-1)</f>
        <v/>
      </c>
    </row>
    <row r="716">
      <c r="B716" t="str">
        <f>IFERROR(IF(A716="","","="&amp;SUBSTITUTE(SUBSTITUTE(SUBSTITUTE(A716,"~","~~"),"*","~*"),"?","~?")),"")</f>
        <v/>
      </c>
      <c r="C716" t="str">
        <f>IF($B716="","",SUMIFS(dAmt,dCust,$B716,dPer,"&gt;="&amp;pyFrom,dPer,"&lt;="&amp;pyTo,dAmt,"&gt;-1E+300",dFlt1,critFlt1,dFlt2,critFlt2,dFlt3,critFlt3))</f>
        <v/>
      </c>
      <c r="D716" t="str">
        <f>IF($B716="","",SUMIFS(dAmt,dCust,$B716,dPer,"&gt;="&amp;cyFrom,dPer,"&lt;="&amp;cyTo,dAmt,"&gt;-1E+300",dFlt1,critFlt1,dFlt2,critFlt2,dFlt3,critFlt3))</f>
        <v/>
      </c>
      <c r="E716" t="str">
        <f>IF($B716="","",SUMIFS(dQty,dCust,$B716,dPer,"&gt;="&amp;pyFrom,dPer,"&lt;="&amp;pyTo,dQty,"&gt;-1E+300",dFlt1,critFlt1,dFlt2,critFlt2,dFlt3,critFlt3))</f>
        <v/>
      </c>
      <c r="F716" t="str">
        <f>IF($B716="","",SUMIFS(dQty,dCust,$B716,dPer,"&gt;="&amp;cyFrom,dPer,"&lt;="&amp;cyTo,dQty,"&gt;-1E+300",dFlt1,critFlt1,dFlt2,critFlt2,dFlt3,critFlt3))</f>
        <v/>
      </c>
      <c r="G716">
        <f>IF($B716="",0,IFERROR(IF(OR(C716&lt;&gt;0,D716&lt;&gt;0,E716&lt;&gt;0,F716&lt;&gt;0),1,0),1))</f>
        <v>0</v>
      </c>
      <c r="H716" t="str">
        <f>IF(OR(G716=0,E716=0),"",C716/E716)</f>
        <v/>
      </c>
      <c r="I716" t="str">
        <f>IF(OR(G716=0,F716=0),"",D716/F716)</f>
        <v/>
      </c>
      <c r="J716" t="str">
        <f>IF(OR(H716="",I716=""),"",IF(H716=0,"",I716/H716-1))</f>
        <v/>
      </c>
      <c r="K716" t="str">
        <f>IF($B716="","",IFERROR(IF(G716=0,-2E+300,CHOOSE(sortIdx,ROUND(D716,0),IF(J716="",-1E+300,ROUND(-J716,6)),IF(J716="",-1E+300,ROUND(J716,6)))),-1.5E+300))</f>
        <v/>
      </c>
      <c r="L716" t="str">
        <f>IF(K716="","",RANK(K716,$K$2:$K$3001,0)+COUNTIF($K$2:K716,K716)-1)</f>
        <v/>
      </c>
    </row>
    <row r="717">
      <c r="B717" t="str">
        <f>IFERROR(IF(A717="","","="&amp;SUBSTITUTE(SUBSTITUTE(SUBSTITUTE(A717,"~","~~"),"*","~*"),"?","~?")),"")</f>
        <v/>
      </c>
      <c r="C717" t="str">
        <f>IF($B717="","",SUMIFS(dAmt,dCust,$B717,dPer,"&gt;="&amp;pyFrom,dPer,"&lt;="&amp;pyTo,dAmt,"&gt;-1E+300",dFlt1,critFlt1,dFlt2,critFlt2,dFlt3,critFlt3))</f>
        <v/>
      </c>
      <c r="D717" t="str">
        <f>IF($B717="","",SUMIFS(dAmt,dCust,$B717,dPer,"&gt;="&amp;cyFrom,dPer,"&lt;="&amp;cyTo,dAmt,"&gt;-1E+300",dFlt1,critFlt1,dFlt2,critFlt2,dFlt3,critFlt3))</f>
        <v/>
      </c>
      <c r="E717" t="str">
        <f>IF($B717="","",SUMIFS(dQty,dCust,$B717,dPer,"&gt;="&amp;pyFrom,dPer,"&lt;="&amp;pyTo,dQty,"&gt;-1E+300",dFlt1,critFlt1,dFlt2,critFlt2,dFlt3,critFlt3))</f>
        <v/>
      </c>
      <c r="F717" t="str">
        <f>IF($B717="","",SUMIFS(dQty,dCust,$B717,dPer,"&gt;="&amp;cyFrom,dPer,"&lt;="&amp;cyTo,dQty,"&gt;-1E+300",dFlt1,critFlt1,dFlt2,critFlt2,dFlt3,critFlt3))</f>
        <v/>
      </c>
      <c r="G717">
        <f>IF($B717="",0,IFERROR(IF(OR(C717&lt;&gt;0,D717&lt;&gt;0,E717&lt;&gt;0,F717&lt;&gt;0),1,0),1))</f>
        <v>0</v>
      </c>
      <c r="H717" t="str">
        <f>IF(OR(G717=0,E717=0),"",C717/E717)</f>
        <v/>
      </c>
      <c r="I717" t="str">
        <f>IF(OR(G717=0,F717=0),"",D717/F717)</f>
        <v/>
      </c>
      <c r="J717" t="str">
        <f>IF(OR(H717="",I717=""),"",IF(H717=0,"",I717/H717-1))</f>
        <v/>
      </c>
      <c r="K717" t="str">
        <f>IF($B717="","",IFERROR(IF(G717=0,-2E+300,CHOOSE(sortIdx,ROUND(D717,0),IF(J717="",-1E+300,ROUND(-J717,6)),IF(J717="",-1E+300,ROUND(J717,6)))),-1.5E+300))</f>
        <v/>
      </c>
      <c r="L717" t="str">
        <f>IF(K717="","",RANK(K717,$K$2:$K$3001,0)+COUNTIF($K$2:K717,K717)-1)</f>
        <v/>
      </c>
    </row>
    <row r="718">
      <c r="B718" t="str">
        <f>IFERROR(IF(A718="","","="&amp;SUBSTITUTE(SUBSTITUTE(SUBSTITUTE(A718,"~","~~"),"*","~*"),"?","~?")),"")</f>
        <v/>
      </c>
      <c r="C718" t="str">
        <f>IF($B718="","",SUMIFS(dAmt,dCust,$B718,dPer,"&gt;="&amp;pyFrom,dPer,"&lt;="&amp;pyTo,dAmt,"&gt;-1E+300",dFlt1,critFlt1,dFlt2,critFlt2,dFlt3,critFlt3))</f>
        <v/>
      </c>
      <c r="D718" t="str">
        <f>IF($B718="","",SUMIFS(dAmt,dCust,$B718,dPer,"&gt;="&amp;cyFrom,dPer,"&lt;="&amp;cyTo,dAmt,"&gt;-1E+300",dFlt1,critFlt1,dFlt2,critFlt2,dFlt3,critFlt3))</f>
        <v/>
      </c>
      <c r="E718" t="str">
        <f>IF($B718="","",SUMIFS(dQty,dCust,$B718,dPer,"&gt;="&amp;pyFrom,dPer,"&lt;="&amp;pyTo,dQty,"&gt;-1E+300",dFlt1,critFlt1,dFlt2,critFlt2,dFlt3,critFlt3))</f>
        <v/>
      </c>
      <c r="F718" t="str">
        <f>IF($B718="","",SUMIFS(dQty,dCust,$B718,dPer,"&gt;="&amp;cyFrom,dPer,"&lt;="&amp;cyTo,dQty,"&gt;-1E+300",dFlt1,critFlt1,dFlt2,critFlt2,dFlt3,critFlt3))</f>
        <v/>
      </c>
      <c r="G718">
        <f>IF($B718="",0,IFERROR(IF(OR(C718&lt;&gt;0,D718&lt;&gt;0,E718&lt;&gt;0,F718&lt;&gt;0),1,0),1))</f>
        <v>0</v>
      </c>
      <c r="H718" t="str">
        <f>IF(OR(G718=0,E718=0),"",C718/E718)</f>
        <v/>
      </c>
      <c r="I718" t="str">
        <f>IF(OR(G718=0,F718=0),"",D718/F718)</f>
        <v/>
      </c>
      <c r="J718" t="str">
        <f>IF(OR(H718="",I718=""),"",IF(H718=0,"",I718/H718-1))</f>
        <v/>
      </c>
      <c r="K718" t="str">
        <f>IF($B718="","",IFERROR(IF(G718=0,-2E+300,CHOOSE(sortIdx,ROUND(D718,0),IF(J718="",-1E+300,ROUND(-J718,6)),IF(J718="",-1E+300,ROUND(J718,6)))),-1.5E+300))</f>
        <v/>
      </c>
      <c r="L718" t="str">
        <f>IF(K718="","",RANK(K718,$K$2:$K$3001,0)+COUNTIF($K$2:K718,K718)-1)</f>
        <v/>
      </c>
    </row>
    <row r="719">
      <c r="B719" t="str">
        <f>IFERROR(IF(A719="","","="&amp;SUBSTITUTE(SUBSTITUTE(SUBSTITUTE(A719,"~","~~"),"*","~*"),"?","~?")),"")</f>
        <v/>
      </c>
      <c r="C719" t="str">
        <f>IF($B719="","",SUMIFS(dAmt,dCust,$B719,dPer,"&gt;="&amp;pyFrom,dPer,"&lt;="&amp;pyTo,dAmt,"&gt;-1E+300",dFlt1,critFlt1,dFlt2,critFlt2,dFlt3,critFlt3))</f>
        <v/>
      </c>
      <c r="D719" t="str">
        <f>IF($B719="","",SUMIFS(dAmt,dCust,$B719,dPer,"&gt;="&amp;cyFrom,dPer,"&lt;="&amp;cyTo,dAmt,"&gt;-1E+300",dFlt1,critFlt1,dFlt2,critFlt2,dFlt3,critFlt3))</f>
        <v/>
      </c>
      <c r="E719" t="str">
        <f>IF($B719="","",SUMIFS(dQty,dCust,$B719,dPer,"&gt;="&amp;pyFrom,dPer,"&lt;="&amp;pyTo,dQty,"&gt;-1E+300",dFlt1,critFlt1,dFlt2,critFlt2,dFlt3,critFlt3))</f>
        <v/>
      </c>
      <c r="F719" t="str">
        <f>IF($B719="","",SUMIFS(dQty,dCust,$B719,dPer,"&gt;="&amp;cyFrom,dPer,"&lt;="&amp;cyTo,dQty,"&gt;-1E+300",dFlt1,critFlt1,dFlt2,critFlt2,dFlt3,critFlt3))</f>
        <v/>
      </c>
      <c r="G719">
        <f>IF($B719="",0,IFERROR(IF(OR(C719&lt;&gt;0,D719&lt;&gt;0,E719&lt;&gt;0,F719&lt;&gt;0),1,0),1))</f>
        <v>0</v>
      </c>
      <c r="H719" t="str">
        <f>IF(OR(G719=0,E719=0),"",C719/E719)</f>
        <v/>
      </c>
      <c r="I719" t="str">
        <f>IF(OR(G719=0,F719=0),"",D719/F719)</f>
        <v/>
      </c>
      <c r="J719" t="str">
        <f>IF(OR(H719="",I719=""),"",IF(H719=0,"",I719/H719-1))</f>
        <v/>
      </c>
      <c r="K719" t="str">
        <f>IF($B719="","",IFERROR(IF(G719=0,-2E+300,CHOOSE(sortIdx,ROUND(D719,0),IF(J719="",-1E+300,ROUND(-J719,6)),IF(J719="",-1E+300,ROUND(J719,6)))),-1.5E+300))</f>
        <v/>
      </c>
      <c r="L719" t="str">
        <f>IF(K719="","",RANK(K719,$K$2:$K$3001,0)+COUNTIF($K$2:K719,K719)-1)</f>
        <v/>
      </c>
    </row>
    <row r="720">
      <c r="B720" t="str">
        <f>IFERROR(IF(A720="","","="&amp;SUBSTITUTE(SUBSTITUTE(SUBSTITUTE(A720,"~","~~"),"*","~*"),"?","~?")),"")</f>
        <v/>
      </c>
      <c r="C720" t="str">
        <f>IF($B720="","",SUMIFS(dAmt,dCust,$B720,dPer,"&gt;="&amp;pyFrom,dPer,"&lt;="&amp;pyTo,dAmt,"&gt;-1E+300",dFlt1,critFlt1,dFlt2,critFlt2,dFlt3,critFlt3))</f>
        <v/>
      </c>
      <c r="D720" t="str">
        <f>IF($B720="","",SUMIFS(dAmt,dCust,$B720,dPer,"&gt;="&amp;cyFrom,dPer,"&lt;="&amp;cyTo,dAmt,"&gt;-1E+300",dFlt1,critFlt1,dFlt2,critFlt2,dFlt3,critFlt3))</f>
        <v/>
      </c>
      <c r="E720" t="str">
        <f>IF($B720="","",SUMIFS(dQty,dCust,$B720,dPer,"&gt;="&amp;pyFrom,dPer,"&lt;="&amp;pyTo,dQty,"&gt;-1E+300",dFlt1,critFlt1,dFlt2,critFlt2,dFlt3,critFlt3))</f>
        <v/>
      </c>
      <c r="F720" t="str">
        <f>IF($B720="","",SUMIFS(dQty,dCust,$B720,dPer,"&gt;="&amp;cyFrom,dPer,"&lt;="&amp;cyTo,dQty,"&gt;-1E+300",dFlt1,critFlt1,dFlt2,critFlt2,dFlt3,critFlt3))</f>
        <v/>
      </c>
      <c r="G720">
        <f>IF($B720="",0,IFERROR(IF(OR(C720&lt;&gt;0,D720&lt;&gt;0,E720&lt;&gt;0,F720&lt;&gt;0),1,0),1))</f>
        <v>0</v>
      </c>
      <c r="H720" t="str">
        <f>IF(OR(G720=0,E720=0),"",C720/E720)</f>
        <v/>
      </c>
      <c r="I720" t="str">
        <f>IF(OR(G720=0,F720=0),"",D720/F720)</f>
        <v/>
      </c>
      <c r="J720" t="str">
        <f>IF(OR(H720="",I720=""),"",IF(H720=0,"",I720/H720-1))</f>
        <v/>
      </c>
      <c r="K720" t="str">
        <f>IF($B720="","",IFERROR(IF(G720=0,-2E+300,CHOOSE(sortIdx,ROUND(D720,0),IF(J720="",-1E+300,ROUND(-J720,6)),IF(J720="",-1E+300,ROUND(J720,6)))),-1.5E+300))</f>
        <v/>
      </c>
      <c r="L720" t="str">
        <f>IF(K720="","",RANK(K720,$K$2:$K$3001,0)+COUNTIF($K$2:K720,K720)-1)</f>
        <v/>
      </c>
    </row>
    <row r="721">
      <c r="B721" t="str">
        <f>IFERROR(IF(A721="","","="&amp;SUBSTITUTE(SUBSTITUTE(SUBSTITUTE(A721,"~","~~"),"*","~*"),"?","~?")),"")</f>
        <v/>
      </c>
      <c r="C721" t="str">
        <f>IF($B721="","",SUMIFS(dAmt,dCust,$B721,dPer,"&gt;="&amp;pyFrom,dPer,"&lt;="&amp;pyTo,dAmt,"&gt;-1E+300",dFlt1,critFlt1,dFlt2,critFlt2,dFlt3,critFlt3))</f>
        <v/>
      </c>
      <c r="D721" t="str">
        <f>IF($B721="","",SUMIFS(dAmt,dCust,$B721,dPer,"&gt;="&amp;cyFrom,dPer,"&lt;="&amp;cyTo,dAmt,"&gt;-1E+300",dFlt1,critFlt1,dFlt2,critFlt2,dFlt3,critFlt3))</f>
        <v/>
      </c>
      <c r="E721" t="str">
        <f>IF($B721="","",SUMIFS(dQty,dCust,$B721,dPer,"&gt;="&amp;pyFrom,dPer,"&lt;="&amp;pyTo,dQty,"&gt;-1E+300",dFlt1,critFlt1,dFlt2,critFlt2,dFlt3,critFlt3))</f>
        <v/>
      </c>
      <c r="F721" t="str">
        <f>IF($B721="","",SUMIFS(dQty,dCust,$B721,dPer,"&gt;="&amp;cyFrom,dPer,"&lt;="&amp;cyTo,dQty,"&gt;-1E+300",dFlt1,critFlt1,dFlt2,critFlt2,dFlt3,critFlt3))</f>
        <v/>
      </c>
      <c r="G721">
        <f>IF($B721="",0,IFERROR(IF(OR(C721&lt;&gt;0,D721&lt;&gt;0,E721&lt;&gt;0,F721&lt;&gt;0),1,0),1))</f>
        <v>0</v>
      </c>
      <c r="H721" t="str">
        <f>IF(OR(G721=0,E721=0),"",C721/E721)</f>
        <v/>
      </c>
      <c r="I721" t="str">
        <f>IF(OR(G721=0,F721=0),"",D721/F721)</f>
        <v/>
      </c>
      <c r="J721" t="str">
        <f>IF(OR(H721="",I721=""),"",IF(H721=0,"",I721/H721-1))</f>
        <v/>
      </c>
      <c r="K721" t="str">
        <f>IF($B721="","",IFERROR(IF(G721=0,-2E+300,CHOOSE(sortIdx,ROUND(D721,0),IF(J721="",-1E+300,ROUND(-J721,6)),IF(J721="",-1E+300,ROUND(J721,6)))),-1.5E+300))</f>
        <v/>
      </c>
      <c r="L721" t="str">
        <f>IF(K721="","",RANK(K721,$K$2:$K$3001,0)+COUNTIF($K$2:K721,K721)-1)</f>
        <v/>
      </c>
    </row>
    <row r="722">
      <c r="B722" t="str">
        <f>IFERROR(IF(A722="","","="&amp;SUBSTITUTE(SUBSTITUTE(SUBSTITUTE(A722,"~","~~"),"*","~*"),"?","~?")),"")</f>
        <v/>
      </c>
      <c r="C722" t="str">
        <f>IF($B722="","",SUMIFS(dAmt,dCust,$B722,dPer,"&gt;="&amp;pyFrom,dPer,"&lt;="&amp;pyTo,dAmt,"&gt;-1E+300",dFlt1,critFlt1,dFlt2,critFlt2,dFlt3,critFlt3))</f>
        <v/>
      </c>
      <c r="D722" t="str">
        <f>IF($B722="","",SUMIFS(dAmt,dCust,$B722,dPer,"&gt;="&amp;cyFrom,dPer,"&lt;="&amp;cyTo,dAmt,"&gt;-1E+300",dFlt1,critFlt1,dFlt2,critFlt2,dFlt3,critFlt3))</f>
        <v/>
      </c>
      <c r="E722" t="str">
        <f>IF($B722="","",SUMIFS(dQty,dCust,$B722,dPer,"&gt;="&amp;pyFrom,dPer,"&lt;="&amp;pyTo,dQty,"&gt;-1E+300",dFlt1,critFlt1,dFlt2,critFlt2,dFlt3,critFlt3))</f>
        <v/>
      </c>
      <c r="F722" t="str">
        <f>IF($B722="","",SUMIFS(dQty,dCust,$B722,dPer,"&gt;="&amp;cyFrom,dPer,"&lt;="&amp;cyTo,dQty,"&gt;-1E+300",dFlt1,critFlt1,dFlt2,critFlt2,dFlt3,critFlt3))</f>
        <v/>
      </c>
      <c r="G722">
        <f>IF($B722="",0,IFERROR(IF(OR(C722&lt;&gt;0,D722&lt;&gt;0,E722&lt;&gt;0,F722&lt;&gt;0),1,0),1))</f>
        <v>0</v>
      </c>
      <c r="H722" t="str">
        <f>IF(OR(G722=0,E722=0),"",C722/E722)</f>
        <v/>
      </c>
      <c r="I722" t="str">
        <f>IF(OR(G722=0,F722=0),"",D722/F722)</f>
        <v/>
      </c>
      <c r="J722" t="str">
        <f>IF(OR(H722="",I722=""),"",IF(H722=0,"",I722/H722-1))</f>
        <v/>
      </c>
      <c r="K722" t="str">
        <f>IF($B722="","",IFERROR(IF(G722=0,-2E+300,CHOOSE(sortIdx,ROUND(D722,0),IF(J722="",-1E+300,ROUND(-J722,6)),IF(J722="",-1E+300,ROUND(J722,6)))),-1.5E+300))</f>
        <v/>
      </c>
      <c r="L722" t="str">
        <f>IF(K722="","",RANK(K722,$K$2:$K$3001,0)+COUNTIF($K$2:K722,K722)-1)</f>
        <v/>
      </c>
    </row>
    <row r="723">
      <c r="B723" t="str">
        <f>IFERROR(IF(A723="","","="&amp;SUBSTITUTE(SUBSTITUTE(SUBSTITUTE(A723,"~","~~"),"*","~*"),"?","~?")),"")</f>
        <v/>
      </c>
      <c r="C723" t="str">
        <f>IF($B723="","",SUMIFS(dAmt,dCust,$B723,dPer,"&gt;="&amp;pyFrom,dPer,"&lt;="&amp;pyTo,dAmt,"&gt;-1E+300",dFlt1,critFlt1,dFlt2,critFlt2,dFlt3,critFlt3))</f>
        <v/>
      </c>
      <c r="D723" t="str">
        <f>IF($B723="","",SUMIFS(dAmt,dCust,$B723,dPer,"&gt;="&amp;cyFrom,dPer,"&lt;="&amp;cyTo,dAmt,"&gt;-1E+300",dFlt1,critFlt1,dFlt2,critFlt2,dFlt3,critFlt3))</f>
        <v/>
      </c>
      <c r="E723" t="str">
        <f>IF($B723="","",SUMIFS(dQty,dCust,$B723,dPer,"&gt;="&amp;pyFrom,dPer,"&lt;="&amp;pyTo,dQty,"&gt;-1E+300",dFlt1,critFlt1,dFlt2,critFlt2,dFlt3,critFlt3))</f>
        <v/>
      </c>
      <c r="F723" t="str">
        <f>IF($B723="","",SUMIFS(dQty,dCust,$B723,dPer,"&gt;="&amp;cyFrom,dPer,"&lt;="&amp;cyTo,dQty,"&gt;-1E+300",dFlt1,critFlt1,dFlt2,critFlt2,dFlt3,critFlt3))</f>
        <v/>
      </c>
      <c r="G723">
        <f>IF($B723="",0,IFERROR(IF(OR(C723&lt;&gt;0,D723&lt;&gt;0,E723&lt;&gt;0,F723&lt;&gt;0),1,0),1))</f>
        <v>0</v>
      </c>
      <c r="H723" t="str">
        <f>IF(OR(G723=0,E723=0),"",C723/E723)</f>
        <v/>
      </c>
      <c r="I723" t="str">
        <f>IF(OR(G723=0,F723=0),"",D723/F723)</f>
        <v/>
      </c>
      <c r="J723" t="str">
        <f>IF(OR(H723="",I723=""),"",IF(H723=0,"",I723/H723-1))</f>
        <v/>
      </c>
      <c r="K723" t="str">
        <f>IF($B723="","",IFERROR(IF(G723=0,-2E+300,CHOOSE(sortIdx,ROUND(D723,0),IF(J723="",-1E+300,ROUND(-J723,6)),IF(J723="",-1E+300,ROUND(J723,6)))),-1.5E+300))</f>
        <v/>
      </c>
      <c r="L723" t="str">
        <f>IF(K723="","",RANK(K723,$K$2:$K$3001,0)+COUNTIF($K$2:K723,K723)-1)</f>
        <v/>
      </c>
    </row>
    <row r="724">
      <c r="B724" t="str">
        <f>IFERROR(IF(A724="","","="&amp;SUBSTITUTE(SUBSTITUTE(SUBSTITUTE(A724,"~","~~"),"*","~*"),"?","~?")),"")</f>
        <v/>
      </c>
      <c r="C724" t="str">
        <f>IF($B724="","",SUMIFS(dAmt,dCust,$B724,dPer,"&gt;="&amp;pyFrom,dPer,"&lt;="&amp;pyTo,dAmt,"&gt;-1E+300",dFlt1,critFlt1,dFlt2,critFlt2,dFlt3,critFlt3))</f>
        <v/>
      </c>
      <c r="D724" t="str">
        <f>IF($B724="","",SUMIFS(dAmt,dCust,$B724,dPer,"&gt;="&amp;cyFrom,dPer,"&lt;="&amp;cyTo,dAmt,"&gt;-1E+300",dFlt1,critFlt1,dFlt2,critFlt2,dFlt3,critFlt3))</f>
        <v/>
      </c>
      <c r="E724" t="str">
        <f>IF($B724="","",SUMIFS(dQty,dCust,$B724,dPer,"&gt;="&amp;pyFrom,dPer,"&lt;="&amp;pyTo,dQty,"&gt;-1E+300",dFlt1,critFlt1,dFlt2,critFlt2,dFlt3,critFlt3))</f>
        <v/>
      </c>
      <c r="F724" t="str">
        <f>IF($B724="","",SUMIFS(dQty,dCust,$B724,dPer,"&gt;="&amp;cyFrom,dPer,"&lt;="&amp;cyTo,dQty,"&gt;-1E+300",dFlt1,critFlt1,dFlt2,critFlt2,dFlt3,critFlt3))</f>
        <v/>
      </c>
      <c r="G724">
        <f>IF($B724="",0,IFERROR(IF(OR(C724&lt;&gt;0,D724&lt;&gt;0,E724&lt;&gt;0,F724&lt;&gt;0),1,0),1))</f>
        <v>0</v>
      </c>
      <c r="H724" t="str">
        <f>IF(OR(G724=0,E724=0),"",C724/E724)</f>
        <v/>
      </c>
      <c r="I724" t="str">
        <f>IF(OR(G724=0,F724=0),"",D724/F724)</f>
        <v/>
      </c>
      <c r="J724" t="str">
        <f>IF(OR(H724="",I724=""),"",IF(H724=0,"",I724/H724-1))</f>
        <v/>
      </c>
      <c r="K724" t="str">
        <f>IF($B724="","",IFERROR(IF(G724=0,-2E+300,CHOOSE(sortIdx,ROUND(D724,0),IF(J724="",-1E+300,ROUND(-J724,6)),IF(J724="",-1E+300,ROUND(J724,6)))),-1.5E+300))</f>
        <v/>
      </c>
      <c r="L724" t="str">
        <f>IF(K724="","",RANK(K724,$K$2:$K$3001,0)+COUNTIF($K$2:K724,K724)-1)</f>
        <v/>
      </c>
    </row>
    <row r="725">
      <c r="B725" t="str">
        <f>IFERROR(IF(A725="","","="&amp;SUBSTITUTE(SUBSTITUTE(SUBSTITUTE(A725,"~","~~"),"*","~*"),"?","~?")),"")</f>
        <v/>
      </c>
      <c r="C725" t="str">
        <f>IF($B725="","",SUMIFS(dAmt,dCust,$B725,dPer,"&gt;="&amp;pyFrom,dPer,"&lt;="&amp;pyTo,dAmt,"&gt;-1E+300",dFlt1,critFlt1,dFlt2,critFlt2,dFlt3,critFlt3))</f>
        <v/>
      </c>
      <c r="D725" t="str">
        <f>IF($B725="","",SUMIFS(dAmt,dCust,$B725,dPer,"&gt;="&amp;cyFrom,dPer,"&lt;="&amp;cyTo,dAmt,"&gt;-1E+300",dFlt1,critFlt1,dFlt2,critFlt2,dFlt3,critFlt3))</f>
        <v/>
      </c>
      <c r="E725" t="str">
        <f>IF($B725="","",SUMIFS(dQty,dCust,$B725,dPer,"&gt;="&amp;pyFrom,dPer,"&lt;="&amp;pyTo,dQty,"&gt;-1E+300",dFlt1,critFlt1,dFlt2,critFlt2,dFlt3,critFlt3))</f>
        <v/>
      </c>
      <c r="F725" t="str">
        <f>IF($B725="","",SUMIFS(dQty,dCust,$B725,dPer,"&gt;="&amp;cyFrom,dPer,"&lt;="&amp;cyTo,dQty,"&gt;-1E+300",dFlt1,critFlt1,dFlt2,critFlt2,dFlt3,critFlt3))</f>
        <v/>
      </c>
      <c r="G725">
        <f>IF($B725="",0,IFERROR(IF(OR(C725&lt;&gt;0,D725&lt;&gt;0,E725&lt;&gt;0,F725&lt;&gt;0),1,0),1))</f>
        <v>0</v>
      </c>
      <c r="H725" t="str">
        <f>IF(OR(G725=0,E725=0),"",C725/E725)</f>
        <v/>
      </c>
      <c r="I725" t="str">
        <f>IF(OR(G725=0,F725=0),"",D725/F725)</f>
        <v/>
      </c>
      <c r="J725" t="str">
        <f>IF(OR(H725="",I725=""),"",IF(H725=0,"",I725/H725-1))</f>
        <v/>
      </c>
      <c r="K725" t="str">
        <f>IF($B725="","",IFERROR(IF(G725=0,-2E+300,CHOOSE(sortIdx,ROUND(D725,0),IF(J725="",-1E+300,ROUND(-J725,6)),IF(J725="",-1E+300,ROUND(J725,6)))),-1.5E+300))</f>
        <v/>
      </c>
      <c r="L725" t="str">
        <f>IF(K725="","",RANK(K725,$K$2:$K$3001,0)+COUNTIF($K$2:K725,K725)-1)</f>
        <v/>
      </c>
    </row>
    <row r="726">
      <c r="B726" t="str">
        <f>IFERROR(IF(A726="","","="&amp;SUBSTITUTE(SUBSTITUTE(SUBSTITUTE(A726,"~","~~"),"*","~*"),"?","~?")),"")</f>
        <v/>
      </c>
      <c r="C726" t="str">
        <f>IF($B726="","",SUMIFS(dAmt,dCust,$B726,dPer,"&gt;="&amp;pyFrom,dPer,"&lt;="&amp;pyTo,dAmt,"&gt;-1E+300",dFlt1,critFlt1,dFlt2,critFlt2,dFlt3,critFlt3))</f>
        <v/>
      </c>
      <c r="D726" t="str">
        <f>IF($B726="","",SUMIFS(dAmt,dCust,$B726,dPer,"&gt;="&amp;cyFrom,dPer,"&lt;="&amp;cyTo,dAmt,"&gt;-1E+300",dFlt1,critFlt1,dFlt2,critFlt2,dFlt3,critFlt3))</f>
        <v/>
      </c>
      <c r="E726" t="str">
        <f>IF($B726="","",SUMIFS(dQty,dCust,$B726,dPer,"&gt;="&amp;pyFrom,dPer,"&lt;="&amp;pyTo,dQty,"&gt;-1E+300",dFlt1,critFlt1,dFlt2,critFlt2,dFlt3,critFlt3))</f>
        <v/>
      </c>
      <c r="F726" t="str">
        <f>IF($B726="","",SUMIFS(dQty,dCust,$B726,dPer,"&gt;="&amp;cyFrom,dPer,"&lt;="&amp;cyTo,dQty,"&gt;-1E+300",dFlt1,critFlt1,dFlt2,critFlt2,dFlt3,critFlt3))</f>
        <v/>
      </c>
      <c r="G726">
        <f>IF($B726="",0,IFERROR(IF(OR(C726&lt;&gt;0,D726&lt;&gt;0,E726&lt;&gt;0,F726&lt;&gt;0),1,0),1))</f>
        <v>0</v>
      </c>
      <c r="H726" t="str">
        <f>IF(OR(G726=0,E726=0),"",C726/E726)</f>
        <v/>
      </c>
      <c r="I726" t="str">
        <f>IF(OR(G726=0,F726=0),"",D726/F726)</f>
        <v/>
      </c>
      <c r="J726" t="str">
        <f>IF(OR(H726="",I726=""),"",IF(H726=0,"",I726/H726-1))</f>
        <v/>
      </c>
      <c r="K726" t="str">
        <f>IF($B726="","",IFERROR(IF(G726=0,-2E+300,CHOOSE(sortIdx,ROUND(D726,0),IF(J726="",-1E+300,ROUND(-J726,6)),IF(J726="",-1E+300,ROUND(J726,6)))),-1.5E+300))</f>
        <v/>
      </c>
      <c r="L726" t="str">
        <f>IF(K726="","",RANK(K726,$K$2:$K$3001,0)+COUNTIF($K$2:K726,K726)-1)</f>
        <v/>
      </c>
    </row>
    <row r="727">
      <c r="B727" t="str">
        <f>IFERROR(IF(A727="","","="&amp;SUBSTITUTE(SUBSTITUTE(SUBSTITUTE(A727,"~","~~"),"*","~*"),"?","~?")),"")</f>
        <v/>
      </c>
      <c r="C727" t="str">
        <f>IF($B727="","",SUMIFS(dAmt,dCust,$B727,dPer,"&gt;="&amp;pyFrom,dPer,"&lt;="&amp;pyTo,dAmt,"&gt;-1E+300",dFlt1,critFlt1,dFlt2,critFlt2,dFlt3,critFlt3))</f>
        <v/>
      </c>
      <c r="D727" t="str">
        <f>IF($B727="","",SUMIFS(dAmt,dCust,$B727,dPer,"&gt;="&amp;cyFrom,dPer,"&lt;="&amp;cyTo,dAmt,"&gt;-1E+300",dFlt1,critFlt1,dFlt2,critFlt2,dFlt3,critFlt3))</f>
        <v/>
      </c>
      <c r="E727" t="str">
        <f>IF($B727="","",SUMIFS(dQty,dCust,$B727,dPer,"&gt;="&amp;pyFrom,dPer,"&lt;="&amp;pyTo,dQty,"&gt;-1E+300",dFlt1,critFlt1,dFlt2,critFlt2,dFlt3,critFlt3))</f>
        <v/>
      </c>
      <c r="F727" t="str">
        <f>IF($B727="","",SUMIFS(dQty,dCust,$B727,dPer,"&gt;="&amp;cyFrom,dPer,"&lt;="&amp;cyTo,dQty,"&gt;-1E+300",dFlt1,critFlt1,dFlt2,critFlt2,dFlt3,critFlt3))</f>
        <v/>
      </c>
      <c r="G727">
        <f>IF($B727="",0,IFERROR(IF(OR(C727&lt;&gt;0,D727&lt;&gt;0,E727&lt;&gt;0,F727&lt;&gt;0),1,0),1))</f>
        <v>0</v>
      </c>
      <c r="H727" t="str">
        <f>IF(OR(G727=0,E727=0),"",C727/E727)</f>
        <v/>
      </c>
      <c r="I727" t="str">
        <f>IF(OR(G727=0,F727=0),"",D727/F727)</f>
        <v/>
      </c>
      <c r="J727" t="str">
        <f>IF(OR(H727="",I727=""),"",IF(H727=0,"",I727/H727-1))</f>
        <v/>
      </c>
      <c r="K727" t="str">
        <f>IF($B727="","",IFERROR(IF(G727=0,-2E+300,CHOOSE(sortIdx,ROUND(D727,0),IF(J727="",-1E+300,ROUND(-J727,6)),IF(J727="",-1E+300,ROUND(J727,6)))),-1.5E+300))</f>
        <v/>
      </c>
      <c r="L727" t="str">
        <f>IF(K727="","",RANK(K727,$K$2:$K$3001,0)+COUNTIF($K$2:K727,K727)-1)</f>
        <v/>
      </c>
    </row>
    <row r="728">
      <c r="B728" t="str">
        <f>IFERROR(IF(A728="","","="&amp;SUBSTITUTE(SUBSTITUTE(SUBSTITUTE(A728,"~","~~"),"*","~*"),"?","~?")),"")</f>
        <v/>
      </c>
      <c r="C728" t="str">
        <f>IF($B728="","",SUMIFS(dAmt,dCust,$B728,dPer,"&gt;="&amp;pyFrom,dPer,"&lt;="&amp;pyTo,dAmt,"&gt;-1E+300",dFlt1,critFlt1,dFlt2,critFlt2,dFlt3,critFlt3))</f>
        <v/>
      </c>
      <c r="D728" t="str">
        <f>IF($B728="","",SUMIFS(dAmt,dCust,$B728,dPer,"&gt;="&amp;cyFrom,dPer,"&lt;="&amp;cyTo,dAmt,"&gt;-1E+300",dFlt1,critFlt1,dFlt2,critFlt2,dFlt3,critFlt3))</f>
        <v/>
      </c>
      <c r="E728" t="str">
        <f>IF($B728="","",SUMIFS(dQty,dCust,$B728,dPer,"&gt;="&amp;pyFrom,dPer,"&lt;="&amp;pyTo,dQty,"&gt;-1E+300",dFlt1,critFlt1,dFlt2,critFlt2,dFlt3,critFlt3))</f>
        <v/>
      </c>
      <c r="F728" t="str">
        <f>IF($B728="","",SUMIFS(dQty,dCust,$B728,dPer,"&gt;="&amp;cyFrom,dPer,"&lt;="&amp;cyTo,dQty,"&gt;-1E+300",dFlt1,critFlt1,dFlt2,critFlt2,dFlt3,critFlt3))</f>
        <v/>
      </c>
      <c r="G728">
        <f>IF($B728="",0,IFERROR(IF(OR(C728&lt;&gt;0,D728&lt;&gt;0,E728&lt;&gt;0,F728&lt;&gt;0),1,0),1))</f>
        <v>0</v>
      </c>
      <c r="H728" t="str">
        <f>IF(OR(G728=0,E728=0),"",C728/E728)</f>
        <v/>
      </c>
      <c r="I728" t="str">
        <f>IF(OR(G728=0,F728=0),"",D728/F728)</f>
        <v/>
      </c>
      <c r="J728" t="str">
        <f>IF(OR(H728="",I728=""),"",IF(H728=0,"",I728/H728-1))</f>
        <v/>
      </c>
      <c r="K728" t="str">
        <f>IF($B728="","",IFERROR(IF(G728=0,-2E+300,CHOOSE(sortIdx,ROUND(D728,0),IF(J728="",-1E+300,ROUND(-J728,6)),IF(J728="",-1E+300,ROUND(J728,6)))),-1.5E+300))</f>
        <v/>
      </c>
      <c r="L728" t="str">
        <f>IF(K728="","",RANK(K728,$K$2:$K$3001,0)+COUNTIF($K$2:K728,K728)-1)</f>
        <v/>
      </c>
    </row>
    <row r="729">
      <c r="B729" t="str">
        <f>IFERROR(IF(A729="","","="&amp;SUBSTITUTE(SUBSTITUTE(SUBSTITUTE(A729,"~","~~"),"*","~*"),"?","~?")),"")</f>
        <v/>
      </c>
      <c r="C729" t="str">
        <f>IF($B729="","",SUMIFS(dAmt,dCust,$B729,dPer,"&gt;="&amp;pyFrom,dPer,"&lt;="&amp;pyTo,dAmt,"&gt;-1E+300",dFlt1,critFlt1,dFlt2,critFlt2,dFlt3,critFlt3))</f>
        <v/>
      </c>
      <c r="D729" t="str">
        <f>IF($B729="","",SUMIFS(dAmt,dCust,$B729,dPer,"&gt;="&amp;cyFrom,dPer,"&lt;="&amp;cyTo,dAmt,"&gt;-1E+300",dFlt1,critFlt1,dFlt2,critFlt2,dFlt3,critFlt3))</f>
        <v/>
      </c>
      <c r="E729" t="str">
        <f>IF($B729="","",SUMIFS(dQty,dCust,$B729,dPer,"&gt;="&amp;pyFrom,dPer,"&lt;="&amp;pyTo,dQty,"&gt;-1E+300",dFlt1,critFlt1,dFlt2,critFlt2,dFlt3,critFlt3))</f>
        <v/>
      </c>
      <c r="F729" t="str">
        <f>IF($B729="","",SUMIFS(dQty,dCust,$B729,dPer,"&gt;="&amp;cyFrom,dPer,"&lt;="&amp;cyTo,dQty,"&gt;-1E+300",dFlt1,critFlt1,dFlt2,critFlt2,dFlt3,critFlt3))</f>
        <v/>
      </c>
      <c r="G729">
        <f>IF($B729="",0,IFERROR(IF(OR(C729&lt;&gt;0,D729&lt;&gt;0,E729&lt;&gt;0,F729&lt;&gt;0),1,0),1))</f>
        <v>0</v>
      </c>
      <c r="H729" t="str">
        <f>IF(OR(G729=0,E729=0),"",C729/E729)</f>
        <v/>
      </c>
      <c r="I729" t="str">
        <f>IF(OR(G729=0,F729=0),"",D729/F729)</f>
        <v/>
      </c>
      <c r="J729" t="str">
        <f>IF(OR(H729="",I729=""),"",IF(H729=0,"",I729/H729-1))</f>
        <v/>
      </c>
      <c r="K729" t="str">
        <f>IF($B729="","",IFERROR(IF(G729=0,-2E+300,CHOOSE(sortIdx,ROUND(D729,0),IF(J729="",-1E+300,ROUND(-J729,6)),IF(J729="",-1E+300,ROUND(J729,6)))),-1.5E+300))</f>
        <v/>
      </c>
      <c r="L729" t="str">
        <f>IF(K729="","",RANK(K729,$K$2:$K$3001,0)+COUNTIF($K$2:K729,K729)-1)</f>
        <v/>
      </c>
    </row>
    <row r="730">
      <c r="B730" t="str">
        <f>IFERROR(IF(A730="","","="&amp;SUBSTITUTE(SUBSTITUTE(SUBSTITUTE(A730,"~","~~"),"*","~*"),"?","~?")),"")</f>
        <v/>
      </c>
      <c r="C730" t="str">
        <f>IF($B730="","",SUMIFS(dAmt,dCust,$B730,dPer,"&gt;="&amp;pyFrom,dPer,"&lt;="&amp;pyTo,dAmt,"&gt;-1E+300",dFlt1,critFlt1,dFlt2,critFlt2,dFlt3,critFlt3))</f>
        <v/>
      </c>
      <c r="D730" t="str">
        <f>IF($B730="","",SUMIFS(dAmt,dCust,$B730,dPer,"&gt;="&amp;cyFrom,dPer,"&lt;="&amp;cyTo,dAmt,"&gt;-1E+300",dFlt1,critFlt1,dFlt2,critFlt2,dFlt3,critFlt3))</f>
        <v/>
      </c>
      <c r="E730" t="str">
        <f>IF($B730="","",SUMIFS(dQty,dCust,$B730,dPer,"&gt;="&amp;pyFrom,dPer,"&lt;="&amp;pyTo,dQty,"&gt;-1E+300",dFlt1,critFlt1,dFlt2,critFlt2,dFlt3,critFlt3))</f>
        <v/>
      </c>
      <c r="F730" t="str">
        <f>IF($B730="","",SUMIFS(dQty,dCust,$B730,dPer,"&gt;="&amp;cyFrom,dPer,"&lt;="&amp;cyTo,dQty,"&gt;-1E+300",dFlt1,critFlt1,dFlt2,critFlt2,dFlt3,critFlt3))</f>
        <v/>
      </c>
      <c r="G730">
        <f>IF($B730="",0,IFERROR(IF(OR(C730&lt;&gt;0,D730&lt;&gt;0,E730&lt;&gt;0,F730&lt;&gt;0),1,0),1))</f>
        <v>0</v>
      </c>
      <c r="H730" t="str">
        <f>IF(OR(G730=0,E730=0),"",C730/E730)</f>
        <v/>
      </c>
      <c r="I730" t="str">
        <f>IF(OR(G730=0,F730=0),"",D730/F730)</f>
        <v/>
      </c>
      <c r="J730" t="str">
        <f>IF(OR(H730="",I730=""),"",IF(H730=0,"",I730/H730-1))</f>
        <v/>
      </c>
      <c r="K730" t="str">
        <f>IF($B730="","",IFERROR(IF(G730=0,-2E+300,CHOOSE(sortIdx,ROUND(D730,0),IF(J730="",-1E+300,ROUND(-J730,6)),IF(J730="",-1E+300,ROUND(J730,6)))),-1.5E+300))</f>
        <v/>
      </c>
      <c r="L730" t="str">
        <f>IF(K730="","",RANK(K730,$K$2:$K$3001,0)+COUNTIF($K$2:K730,K730)-1)</f>
        <v/>
      </c>
    </row>
    <row r="731">
      <c r="B731" t="str">
        <f>IFERROR(IF(A731="","","="&amp;SUBSTITUTE(SUBSTITUTE(SUBSTITUTE(A731,"~","~~"),"*","~*"),"?","~?")),"")</f>
        <v/>
      </c>
      <c r="C731" t="str">
        <f>IF($B731="","",SUMIFS(dAmt,dCust,$B731,dPer,"&gt;="&amp;pyFrom,dPer,"&lt;="&amp;pyTo,dAmt,"&gt;-1E+300",dFlt1,critFlt1,dFlt2,critFlt2,dFlt3,critFlt3))</f>
        <v/>
      </c>
      <c r="D731" t="str">
        <f>IF($B731="","",SUMIFS(dAmt,dCust,$B731,dPer,"&gt;="&amp;cyFrom,dPer,"&lt;="&amp;cyTo,dAmt,"&gt;-1E+300",dFlt1,critFlt1,dFlt2,critFlt2,dFlt3,critFlt3))</f>
        <v/>
      </c>
      <c r="E731" t="str">
        <f>IF($B731="","",SUMIFS(dQty,dCust,$B731,dPer,"&gt;="&amp;pyFrom,dPer,"&lt;="&amp;pyTo,dQty,"&gt;-1E+300",dFlt1,critFlt1,dFlt2,critFlt2,dFlt3,critFlt3))</f>
        <v/>
      </c>
      <c r="F731" t="str">
        <f>IF($B731="","",SUMIFS(dQty,dCust,$B731,dPer,"&gt;="&amp;cyFrom,dPer,"&lt;="&amp;cyTo,dQty,"&gt;-1E+300",dFlt1,critFlt1,dFlt2,critFlt2,dFlt3,critFlt3))</f>
        <v/>
      </c>
      <c r="G731">
        <f>IF($B731="",0,IFERROR(IF(OR(C731&lt;&gt;0,D731&lt;&gt;0,E731&lt;&gt;0,F731&lt;&gt;0),1,0),1))</f>
        <v>0</v>
      </c>
      <c r="H731" t="str">
        <f>IF(OR(G731=0,E731=0),"",C731/E731)</f>
        <v/>
      </c>
      <c r="I731" t="str">
        <f>IF(OR(G731=0,F731=0),"",D731/F731)</f>
        <v/>
      </c>
      <c r="J731" t="str">
        <f>IF(OR(H731="",I731=""),"",IF(H731=0,"",I731/H731-1))</f>
        <v/>
      </c>
      <c r="K731" t="str">
        <f>IF($B731="","",IFERROR(IF(G731=0,-2E+300,CHOOSE(sortIdx,ROUND(D731,0),IF(J731="",-1E+300,ROUND(-J731,6)),IF(J731="",-1E+300,ROUND(J731,6)))),-1.5E+300))</f>
        <v/>
      </c>
      <c r="L731" t="str">
        <f>IF(K731="","",RANK(K731,$K$2:$K$3001,0)+COUNTIF($K$2:K731,K731)-1)</f>
        <v/>
      </c>
    </row>
    <row r="732">
      <c r="B732" t="str">
        <f>IFERROR(IF(A732="","","="&amp;SUBSTITUTE(SUBSTITUTE(SUBSTITUTE(A732,"~","~~"),"*","~*"),"?","~?")),"")</f>
        <v/>
      </c>
      <c r="C732" t="str">
        <f>IF($B732="","",SUMIFS(dAmt,dCust,$B732,dPer,"&gt;="&amp;pyFrom,dPer,"&lt;="&amp;pyTo,dAmt,"&gt;-1E+300",dFlt1,critFlt1,dFlt2,critFlt2,dFlt3,critFlt3))</f>
        <v/>
      </c>
      <c r="D732" t="str">
        <f>IF($B732="","",SUMIFS(dAmt,dCust,$B732,dPer,"&gt;="&amp;cyFrom,dPer,"&lt;="&amp;cyTo,dAmt,"&gt;-1E+300",dFlt1,critFlt1,dFlt2,critFlt2,dFlt3,critFlt3))</f>
        <v/>
      </c>
      <c r="E732" t="str">
        <f>IF($B732="","",SUMIFS(dQty,dCust,$B732,dPer,"&gt;="&amp;pyFrom,dPer,"&lt;="&amp;pyTo,dQty,"&gt;-1E+300",dFlt1,critFlt1,dFlt2,critFlt2,dFlt3,critFlt3))</f>
        <v/>
      </c>
      <c r="F732" t="str">
        <f>IF($B732="","",SUMIFS(dQty,dCust,$B732,dPer,"&gt;="&amp;cyFrom,dPer,"&lt;="&amp;cyTo,dQty,"&gt;-1E+300",dFlt1,critFlt1,dFlt2,critFlt2,dFlt3,critFlt3))</f>
        <v/>
      </c>
      <c r="G732">
        <f>IF($B732="",0,IFERROR(IF(OR(C732&lt;&gt;0,D732&lt;&gt;0,E732&lt;&gt;0,F732&lt;&gt;0),1,0),1))</f>
        <v>0</v>
      </c>
      <c r="H732" t="str">
        <f>IF(OR(G732=0,E732=0),"",C732/E732)</f>
        <v/>
      </c>
      <c r="I732" t="str">
        <f>IF(OR(G732=0,F732=0),"",D732/F732)</f>
        <v/>
      </c>
      <c r="J732" t="str">
        <f>IF(OR(H732="",I732=""),"",IF(H732=0,"",I732/H732-1))</f>
        <v/>
      </c>
      <c r="K732" t="str">
        <f>IF($B732="","",IFERROR(IF(G732=0,-2E+300,CHOOSE(sortIdx,ROUND(D732,0),IF(J732="",-1E+300,ROUND(-J732,6)),IF(J732="",-1E+300,ROUND(J732,6)))),-1.5E+300))</f>
        <v/>
      </c>
      <c r="L732" t="str">
        <f>IF(K732="","",RANK(K732,$K$2:$K$3001,0)+COUNTIF($K$2:K732,K732)-1)</f>
        <v/>
      </c>
    </row>
    <row r="733">
      <c r="B733" t="str">
        <f>IFERROR(IF(A733="","","="&amp;SUBSTITUTE(SUBSTITUTE(SUBSTITUTE(A733,"~","~~"),"*","~*"),"?","~?")),"")</f>
        <v/>
      </c>
      <c r="C733" t="str">
        <f>IF($B733="","",SUMIFS(dAmt,dCust,$B733,dPer,"&gt;="&amp;pyFrom,dPer,"&lt;="&amp;pyTo,dAmt,"&gt;-1E+300",dFlt1,critFlt1,dFlt2,critFlt2,dFlt3,critFlt3))</f>
        <v/>
      </c>
      <c r="D733" t="str">
        <f>IF($B733="","",SUMIFS(dAmt,dCust,$B733,dPer,"&gt;="&amp;cyFrom,dPer,"&lt;="&amp;cyTo,dAmt,"&gt;-1E+300",dFlt1,critFlt1,dFlt2,critFlt2,dFlt3,critFlt3))</f>
        <v/>
      </c>
      <c r="E733" t="str">
        <f>IF($B733="","",SUMIFS(dQty,dCust,$B733,dPer,"&gt;="&amp;pyFrom,dPer,"&lt;="&amp;pyTo,dQty,"&gt;-1E+300",dFlt1,critFlt1,dFlt2,critFlt2,dFlt3,critFlt3))</f>
        <v/>
      </c>
      <c r="F733" t="str">
        <f>IF($B733="","",SUMIFS(dQty,dCust,$B733,dPer,"&gt;="&amp;cyFrom,dPer,"&lt;="&amp;cyTo,dQty,"&gt;-1E+300",dFlt1,critFlt1,dFlt2,critFlt2,dFlt3,critFlt3))</f>
        <v/>
      </c>
      <c r="G733">
        <f>IF($B733="",0,IFERROR(IF(OR(C733&lt;&gt;0,D733&lt;&gt;0,E733&lt;&gt;0,F733&lt;&gt;0),1,0),1))</f>
        <v>0</v>
      </c>
      <c r="H733" t="str">
        <f>IF(OR(G733=0,E733=0),"",C733/E733)</f>
        <v/>
      </c>
      <c r="I733" t="str">
        <f>IF(OR(G733=0,F733=0),"",D733/F733)</f>
        <v/>
      </c>
      <c r="J733" t="str">
        <f>IF(OR(H733="",I733=""),"",IF(H733=0,"",I733/H733-1))</f>
        <v/>
      </c>
      <c r="K733" t="str">
        <f>IF($B733="","",IFERROR(IF(G733=0,-2E+300,CHOOSE(sortIdx,ROUND(D733,0),IF(J733="",-1E+300,ROUND(-J733,6)),IF(J733="",-1E+300,ROUND(J733,6)))),-1.5E+300))</f>
        <v/>
      </c>
      <c r="L733" t="str">
        <f>IF(K733="","",RANK(K733,$K$2:$K$3001,0)+COUNTIF($K$2:K733,K733)-1)</f>
        <v/>
      </c>
    </row>
    <row r="734">
      <c r="B734" t="str">
        <f>IFERROR(IF(A734="","","="&amp;SUBSTITUTE(SUBSTITUTE(SUBSTITUTE(A734,"~","~~"),"*","~*"),"?","~?")),"")</f>
        <v/>
      </c>
      <c r="C734" t="str">
        <f>IF($B734="","",SUMIFS(dAmt,dCust,$B734,dPer,"&gt;="&amp;pyFrom,dPer,"&lt;="&amp;pyTo,dAmt,"&gt;-1E+300",dFlt1,critFlt1,dFlt2,critFlt2,dFlt3,critFlt3))</f>
        <v/>
      </c>
      <c r="D734" t="str">
        <f>IF($B734="","",SUMIFS(dAmt,dCust,$B734,dPer,"&gt;="&amp;cyFrom,dPer,"&lt;="&amp;cyTo,dAmt,"&gt;-1E+300",dFlt1,critFlt1,dFlt2,critFlt2,dFlt3,critFlt3))</f>
        <v/>
      </c>
      <c r="E734" t="str">
        <f>IF($B734="","",SUMIFS(dQty,dCust,$B734,dPer,"&gt;="&amp;pyFrom,dPer,"&lt;="&amp;pyTo,dQty,"&gt;-1E+300",dFlt1,critFlt1,dFlt2,critFlt2,dFlt3,critFlt3))</f>
        <v/>
      </c>
      <c r="F734" t="str">
        <f>IF($B734="","",SUMIFS(dQty,dCust,$B734,dPer,"&gt;="&amp;cyFrom,dPer,"&lt;="&amp;cyTo,dQty,"&gt;-1E+300",dFlt1,critFlt1,dFlt2,critFlt2,dFlt3,critFlt3))</f>
        <v/>
      </c>
      <c r="G734">
        <f>IF($B734="",0,IFERROR(IF(OR(C734&lt;&gt;0,D734&lt;&gt;0,E734&lt;&gt;0,F734&lt;&gt;0),1,0),1))</f>
        <v>0</v>
      </c>
      <c r="H734" t="str">
        <f>IF(OR(G734=0,E734=0),"",C734/E734)</f>
        <v/>
      </c>
      <c r="I734" t="str">
        <f>IF(OR(G734=0,F734=0),"",D734/F734)</f>
        <v/>
      </c>
      <c r="J734" t="str">
        <f>IF(OR(H734="",I734=""),"",IF(H734=0,"",I734/H734-1))</f>
        <v/>
      </c>
      <c r="K734" t="str">
        <f>IF($B734="","",IFERROR(IF(G734=0,-2E+300,CHOOSE(sortIdx,ROUND(D734,0),IF(J734="",-1E+300,ROUND(-J734,6)),IF(J734="",-1E+300,ROUND(J734,6)))),-1.5E+300))</f>
        <v/>
      </c>
      <c r="L734" t="str">
        <f>IF(K734="","",RANK(K734,$K$2:$K$3001,0)+COUNTIF($K$2:K734,K734)-1)</f>
        <v/>
      </c>
    </row>
    <row r="735">
      <c r="B735" t="str">
        <f>IFERROR(IF(A735="","","="&amp;SUBSTITUTE(SUBSTITUTE(SUBSTITUTE(A735,"~","~~"),"*","~*"),"?","~?")),"")</f>
        <v/>
      </c>
      <c r="C735" t="str">
        <f>IF($B735="","",SUMIFS(dAmt,dCust,$B735,dPer,"&gt;="&amp;pyFrom,dPer,"&lt;="&amp;pyTo,dAmt,"&gt;-1E+300",dFlt1,critFlt1,dFlt2,critFlt2,dFlt3,critFlt3))</f>
        <v/>
      </c>
      <c r="D735" t="str">
        <f>IF($B735="","",SUMIFS(dAmt,dCust,$B735,dPer,"&gt;="&amp;cyFrom,dPer,"&lt;="&amp;cyTo,dAmt,"&gt;-1E+300",dFlt1,critFlt1,dFlt2,critFlt2,dFlt3,critFlt3))</f>
        <v/>
      </c>
      <c r="E735" t="str">
        <f>IF($B735="","",SUMIFS(dQty,dCust,$B735,dPer,"&gt;="&amp;pyFrom,dPer,"&lt;="&amp;pyTo,dQty,"&gt;-1E+300",dFlt1,critFlt1,dFlt2,critFlt2,dFlt3,critFlt3))</f>
        <v/>
      </c>
      <c r="F735" t="str">
        <f>IF($B735="","",SUMIFS(dQty,dCust,$B735,dPer,"&gt;="&amp;cyFrom,dPer,"&lt;="&amp;cyTo,dQty,"&gt;-1E+300",dFlt1,critFlt1,dFlt2,critFlt2,dFlt3,critFlt3))</f>
        <v/>
      </c>
      <c r="G735">
        <f>IF($B735="",0,IFERROR(IF(OR(C735&lt;&gt;0,D735&lt;&gt;0,E735&lt;&gt;0,F735&lt;&gt;0),1,0),1))</f>
        <v>0</v>
      </c>
      <c r="H735" t="str">
        <f>IF(OR(G735=0,E735=0),"",C735/E735)</f>
        <v/>
      </c>
      <c r="I735" t="str">
        <f>IF(OR(G735=0,F735=0),"",D735/F735)</f>
        <v/>
      </c>
      <c r="J735" t="str">
        <f>IF(OR(H735="",I735=""),"",IF(H735=0,"",I735/H735-1))</f>
        <v/>
      </c>
      <c r="K735" t="str">
        <f>IF($B735="","",IFERROR(IF(G735=0,-2E+300,CHOOSE(sortIdx,ROUND(D735,0),IF(J735="",-1E+300,ROUND(-J735,6)),IF(J735="",-1E+300,ROUND(J735,6)))),-1.5E+300))</f>
        <v/>
      </c>
      <c r="L735" t="str">
        <f>IF(K735="","",RANK(K735,$K$2:$K$3001,0)+COUNTIF($K$2:K735,K735)-1)</f>
        <v/>
      </c>
    </row>
    <row r="736">
      <c r="B736" t="str">
        <f>IFERROR(IF(A736="","","="&amp;SUBSTITUTE(SUBSTITUTE(SUBSTITUTE(A736,"~","~~"),"*","~*"),"?","~?")),"")</f>
        <v/>
      </c>
      <c r="C736" t="str">
        <f>IF($B736="","",SUMIFS(dAmt,dCust,$B736,dPer,"&gt;="&amp;pyFrom,dPer,"&lt;="&amp;pyTo,dAmt,"&gt;-1E+300",dFlt1,critFlt1,dFlt2,critFlt2,dFlt3,critFlt3))</f>
        <v/>
      </c>
      <c r="D736" t="str">
        <f>IF($B736="","",SUMIFS(dAmt,dCust,$B736,dPer,"&gt;="&amp;cyFrom,dPer,"&lt;="&amp;cyTo,dAmt,"&gt;-1E+300",dFlt1,critFlt1,dFlt2,critFlt2,dFlt3,critFlt3))</f>
        <v/>
      </c>
      <c r="E736" t="str">
        <f>IF($B736="","",SUMIFS(dQty,dCust,$B736,dPer,"&gt;="&amp;pyFrom,dPer,"&lt;="&amp;pyTo,dQty,"&gt;-1E+300",dFlt1,critFlt1,dFlt2,critFlt2,dFlt3,critFlt3))</f>
        <v/>
      </c>
      <c r="F736" t="str">
        <f>IF($B736="","",SUMIFS(dQty,dCust,$B736,dPer,"&gt;="&amp;cyFrom,dPer,"&lt;="&amp;cyTo,dQty,"&gt;-1E+300",dFlt1,critFlt1,dFlt2,critFlt2,dFlt3,critFlt3))</f>
        <v/>
      </c>
      <c r="G736">
        <f>IF($B736="",0,IFERROR(IF(OR(C736&lt;&gt;0,D736&lt;&gt;0,E736&lt;&gt;0,F736&lt;&gt;0),1,0),1))</f>
        <v>0</v>
      </c>
      <c r="H736" t="str">
        <f>IF(OR(G736=0,E736=0),"",C736/E736)</f>
        <v/>
      </c>
      <c r="I736" t="str">
        <f>IF(OR(G736=0,F736=0),"",D736/F736)</f>
        <v/>
      </c>
      <c r="J736" t="str">
        <f>IF(OR(H736="",I736=""),"",IF(H736=0,"",I736/H736-1))</f>
        <v/>
      </c>
      <c r="K736" t="str">
        <f>IF($B736="","",IFERROR(IF(G736=0,-2E+300,CHOOSE(sortIdx,ROUND(D736,0),IF(J736="",-1E+300,ROUND(-J736,6)),IF(J736="",-1E+300,ROUND(J736,6)))),-1.5E+300))</f>
        <v/>
      </c>
      <c r="L736" t="str">
        <f>IF(K736="","",RANK(K736,$K$2:$K$3001,0)+COUNTIF($K$2:K736,K736)-1)</f>
        <v/>
      </c>
    </row>
    <row r="737">
      <c r="B737" t="str">
        <f>IFERROR(IF(A737="","","="&amp;SUBSTITUTE(SUBSTITUTE(SUBSTITUTE(A737,"~","~~"),"*","~*"),"?","~?")),"")</f>
        <v/>
      </c>
      <c r="C737" t="str">
        <f>IF($B737="","",SUMIFS(dAmt,dCust,$B737,dPer,"&gt;="&amp;pyFrom,dPer,"&lt;="&amp;pyTo,dAmt,"&gt;-1E+300",dFlt1,critFlt1,dFlt2,critFlt2,dFlt3,critFlt3))</f>
        <v/>
      </c>
      <c r="D737" t="str">
        <f>IF($B737="","",SUMIFS(dAmt,dCust,$B737,dPer,"&gt;="&amp;cyFrom,dPer,"&lt;="&amp;cyTo,dAmt,"&gt;-1E+300",dFlt1,critFlt1,dFlt2,critFlt2,dFlt3,critFlt3))</f>
        <v/>
      </c>
      <c r="E737" t="str">
        <f>IF($B737="","",SUMIFS(dQty,dCust,$B737,dPer,"&gt;="&amp;pyFrom,dPer,"&lt;="&amp;pyTo,dQty,"&gt;-1E+300",dFlt1,critFlt1,dFlt2,critFlt2,dFlt3,critFlt3))</f>
        <v/>
      </c>
      <c r="F737" t="str">
        <f>IF($B737="","",SUMIFS(dQty,dCust,$B737,dPer,"&gt;="&amp;cyFrom,dPer,"&lt;="&amp;cyTo,dQty,"&gt;-1E+300",dFlt1,critFlt1,dFlt2,critFlt2,dFlt3,critFlt3))</f>
        <v/>
      </c>
      <c r="G737">
        <f>IF($B737="",0,IFERROR(IF(OR(C737&lt;&gt;0,D737&lt;&gt;0,E737&lt;&gt;0,F737&lt;&gt;0),1,0),1))</f>
        <v>0</v>
      </c>
      <c r="H737" t="str">
        <f>IF(OR(G737=0,E737=0),"",C737/E737)</f>
        <v/>
      </c>
      <c r="I737" t="str">
        <f>IF(OR(G737=0,F737=0),"",D737/F737)</f>
        <v/>
      </c>
      <c r="J737" t="str">
        <f>IF(OR(H737="",I737=""),"",IF(H737=0,"",I737/H737-1))</f>
        <v/>
      </c>
      <c r="K737" t="str">
        <f>IF($B737="","",IFERROR(IF(G737=0,-2E+300,CHOOSE(sortIdx,ROUND(D737,0),IF(J737="",-1E+300,ROUND(-J737,6)),IF(J737="",-1E+300,ROUND(J737,6)))),-1.5E+300))</f>
        <v/>
      </c>
      <c r="L737" t="str">
        <f>IF(K737="","",RANK(K737,$K$2:$K$3001,0)+COUNTIF($K$2:K737,K737)-1)</f>
        <v/>
      </c>
    </row>
    <row r="738">
      <c r="B738" t="str">
        <f>IFERROR(IF(A738="","","="&amp;SUBSTITUTE(SUBSTITUTE(SUBSTITUTE(A738,"~","~~"),"*","~*"),"?","~?")),"")</f>
        <v/>
      </c>
      <c r="C738" t="str">
        <f>IF($B738="","",SUMIFS(dAmt,dCust,$B738,dPer,"&gt;="&amp;pyFrom,dPer,"&lt;="&amp;pyTo,dAmt,"&gt;-1E+300",dFlt1,critFlt1,dFlt2,critFlt2,dFlt3,critFlt3))</f>
        <v/>
      </c>
      <c r="D738" t="str">
        <f>IF($B738="","",SUMIFS(dAmt,dCust,$B738,dPer,"&gt;="&amp;cyFrom,dPer,"&lt;="&amp;cyTo,dAmt,"&gt;-1E+300",dFlt1,critFlt1,dFlt2,critFlt2,dFlt3,critFlt3))</f>
        <v/>
      </c>
      <c r="E738" t="str">
        <f>IF($B738="","",SUMIFS(dQty,dCust,$B738,dPer,"&gt;="&amp;pyFrom,dPer,"&lt;="&amp;pyTo,dQty,"&gt;-1E+300",dFlt1,critFlt1,dFlt2,critFlt2,dFlt3,critFlt3))</f>
        <v/>
      </c>
      <c r="F738" t="str">
        <f>IF($B738="","",SUMIFS(dQty,dCust,$B738,dPer,"&gt;="&amp;cyFrom,dPer,"&lt;="&amp;cyTo,dQty,"&gt;-1E+300",dFlt1,critFlt1,dFlt2,critFlt2,dFlt3,critFlt3))</f>
        <v/>
      </c>
      <c r="G738">
        <f>IF($B738="",0,IFERROR(IF(OR(C738&lt;&gt;0,D738&lt;&gt;0,E738&lt;&gt;0,F738&lt;&gt;0),1,0),1))</f>
        <v>0</v>
      </c>
      <c r="H738" t="str">
        <f>IF(OR(G738=0,E738=0),"",C738/E738)</f>
        <v/>
      </c>
      <c r="I738" t="str">
        <f>IF(OR(G738=0,F738=0),"",D738/F738)</f>
        <v/>
      </c>
      <c r="J738" t="str">
        <f>IF(OR(H738="",I738=""),"",IF(H738=0,"",I738/H738-1))</f>
        <v/>
      </c>
      <c r="K738" t="str">
        <f>IF($B738="","",IFERROR(IF(G738=0,-2E+300,CHOOSE(sortIdx,ROUND(D738,0),IF(J738="",-1E+300,ROUND(-J738,6)),IF(J738="",-1E+300,ROUND(J738,6)))),-1.5E+300))</f>
        <v/>
      </c>
      <c r="L738" t="str">
        <f>IF(K738="","",RANK(K738,$K$2:$K$3001,0)+COUNTIF($K$2:K738,K738)-1)</f>
        <v/>
      </c>
    </row>
    <row r="739">
      <c r="B739" t="str">
        <f>IFERROR(IF(A739="","","="&amp;SUBSTITUTE(SUBSTITUTE(SUBSTITUTE(A739,"~","~~"),"*","~*"),"?","~?")),"")</f>
        <v/>
      </c>
      <c r="C739" t="str">
        <f>IF($B739="","",SUMIFS(dAmt,dCust,$B739,dPer,"&gt;="&amp;pyFrom,dPer,"&lt;="&amp;pyTo,dAmt,"&gt;-1E+300",dFlt1,critFlt1,dFlt2,critFlt2,dFlt3,critFlt3))</f>
        <v/>
      </c>
      <c r="D739" t="str">
        <f>IF($B739="","",SUMIFS(dAmt,dCust,$B739,dPer,"&gt;="&amp;cyFrom,dPer,"&lt;="&amp;cyTo,dAmt,"&gt;-1E+300",dFlt1,critFlt1,dFlt2,critFlt2,dFlt3,critFlt3))</f>
        <v/>
      </c>
      <c r="E739" t="str">
        <f>IF($B739="","",SUMIFS(dQty,dCust,$B739,dPer,"&gt;="&amp;pyFrom,dPer,"&lt;="&amp;pyTo,dQty,"&gt;-1E+300",dFlt1,critFlt1,dFlt2,critFlt2,dFlt3,critFlt3))</f>
        <v/>
      </c>
      <c r="F739" t="str">
        <f>IF($B739="","",SUMIFS(dQty,dCust,$B739,dPer,"&gt;="&amp;cyFrom,dPer,"&lt;="&amp;cyTo,dQty,"&gt;-1E+300",dFlt1,critFlt1,dFlt2,critFlt2,dFlt3,critFlt3))</f>
        <v/>
      </c>
      <c r="G739">
        <f>IF($B739="",0,IFERROR(IF(OR(C739&lt;&gt;0,D739&lt;&gt;0,E739&lt;&gt;0,F739&lt;&gt;0),1,0),1))</f>
        <v>0</v>
      </c>
      <c r="H739" t="str">
        <f>IF(OR(G739=0,E739=0),"",C739/E739)</f>
        <v/>
      </c>
      <c r="I739" t="str">
        <f>IF(OR(G739=0,F739=0),"",D739/F739)</f>
        <v/>
      </c>
      <c r="J739" t="str">
        <f>IF(OR(H739="",I739=""),"",IF(H739=0,"",I739/H739-1))</f>
        <v/>
      </c>
      <c r="K739" t="str">
        <f>IF($B739="","",IFERROR(IF(G739=0,-2E+300,CHOOSE(sortIdx,ROUND(D739,0),IF(J739="",-1E+300,ROUND(-J739,6)),IF(J739="",-1E+300,ROUND(J739,6)))),-1.5E+300))</f>
        <v/>
      </c>
      <c r="L739" t="str">
        <f>IF(K739="","",RANK(K739,$K$2:$K$3001,0)+COUNTIF($K$2:K739,K739)-1)</f>
        <v/>
      </c>
    </row>
    <row r="740">
      <c r="B740" t="str">
        <f>IFERROR(IF(A740="","","="&amp;SUBSTITUTE(SUBSTITUTE(SUBSTITUTE(A740,"~","~~"),"*","~*"),"?","~?")),"")</f>
        <v/>
      </c>
      <c r="C740" t="str">
        <f>IF($B740="","",SUMIFS(dAmt,dCust,$B740,dPer,"&gt;="&amp;pyFrom,dPer,"&lt;="&amp;pyTo,dAmt,"&gt;-1E+300",dFlt1,critFlt1,dFlt2,critFlt2,dFlt3,critFlt3))</f>
        <v/>
      </c>
      <c r="D740" t="str">
        <f>IF($B740="","",SUMIFS(dAmt,dCust,$B740,dPer,"&gt;="&amp;cyFrom,dPer,"&lt;="&amp;cyTo,dAmt,"&gt;-1E+300",dFlt1,critFlt1,dFlt2,critFlt2,dFlt3,critFlt3))</f>
        <v/>
      </c>
      <c r="E740" t="str">
        <f>IF($B740="","",SUMIFS(dQty,dCust,$B740,dPer,"&gt;="&amp;pyFrom,dPer,"&lt;="&amp;pyTo,dQty,"&gt;-1E+300",dFlt1,critFlt1,dFlt2,critFlt2,dFlt3,critFlt3))</f>
        <v/>
      </c>
      <c r="F740" t="str">
        <f>IF($B740="","",SUMIFS(dQty,dCust,$B740,dPer,"&gt;="&amp;cyFrom,dPer,"&lt;="&amp;cyTo,dQty,"&gt;-1E+300",dFlt1,critFlt1,dFlt2,critFlt2,dFlt3,critFlt3))</f>
        <v/>
      </c>
      <c r="G740">
        <f>IF($B740="",0,IFERROR(IF(OR(C740&lt;&gt;0,D740&lt;&gt;0,E740&lt;&gt;0,F740&lt;&gt;0),1,0),1))</f>
        <v>0</v>
      </c>
      <c r="H740" t="str">
        <f>IF(OR(G740=0,E740=0),"",C740/E740)</f>
        <v/>
      </c>
      <c r="I740" t="str">
        <f>IF(OR(G740=0,F740=0),"",D740/F740)</f>
        <v/>
      </c>
      <c r="J740" t="str">
        <f>IF(OR(H740="",I740=""),"",IF(H740=0,"",I740/H740-1))</f>
        <v/>
      </c>
      <c r="K740" t="str">
        <f>IF($B740="","",IFERROR(IF(G740=0,-2E+300,CHOOSE(sortIdx,ROUND(D740,0),IF(J740="",-1E+300,ROUND(-J740,6)),IF(J740="",-1E+300,ROUND(J740,6)))),-1.5E+300))</f>
        <v/>
      </c>
      <c r="L740" t="str">
        <f>IF(K740="","",RANK(K740,$K$2:$K$3001,0)+COUNTIF($K$2:K740,K740)-1)</f>
        <v/>
      </c>
    </row>
    <row r="741">
      <c r="B741" t="str">
        <f>IFERROR(IF(A741="","","="&amp;SUBSTITUTE(SUBSTITUTE(SUBSTITUTE(A741,"~","~~"),"*","~*"),"?","~?")),"")</f>
        <v/>
      </c>
      <c r="C741" t="str">
        <f>IF($B741="","",SUMIFS(dAmt,dCust,$B741,dPer,"&gt;="&amp;pyFrom,dPer,"&lt;="&amp;pyTo,dAmt,"&gt;-1E+300",dFlt1,critFlt1,dFlt2,critFlt2,dFlt3,critFlt3))</f>
        <v/>
      </c>
      <c r="D741" t="str">
        <f>IF($B741="","",SUMIFS(dAmt,dCust,$B741,dPer,"&gt;="&amp;cyFrom,dPer,"&lt;="&amp;cyTo,dAmt,"&gt;-1E+300",dFlt1,critFlt1,dFlt2,critFlt2,dFlt3,critFlt3))</f>
        <v/>
      </c>
      <c r="E741" t="str">
        <f>IF($B741="","",SUMIFS(dQty,dCust,$B741,dPer,"&gt;="&amp;pyFrom,dPer,"&lt;="&amp;pyTo,dQty,"&gt;-1E+300",dFlt1,critFlt1,dFlt2,critFlt2,dFlt3,critFlt3))</f>
        <v/>
      </c>
      <c r="F741" t="str">
        <f>IF($B741="","",SUMIFS(dQty,dCust,$B741,dPer,"&gt;="&amp;cyFrom,dPer,"&lt;="&amp;cyTo,dQty,"&gt;-1E+300",dFlt1,critFlt1,dFlt2,critFlt2,dFlt3,critFlt3))</f>
        <v/>
      </c>
      <c r="G741">
        <f>IF($B741="",0,IFERROR(IF(OR(C741&lt;&gt;0,D741&lt;&gt;0,E741&lt;&gt;0,F741&lt;&gt;0),1,0),1))</f>
        <v>0</v>
      </c>
      <c r="H741" t="str">
        <f>IF(OR(G741=0,E741=0),"",C741/E741)</f>
        <v/>
      </c>
      <c r="I741" t="str">
        <f>IF(OR(G741=0,F741=0),"",D741/F741)</f>
        <v/>
      </c>
      <c r="J741" t="str">
        <f>IF(OR(H741="",I741=""),"",IF(H741=0,"",I741/H741-1))</f>
        <v/>
      </c>
      <c r="K741" t="str">
        <f>IF($B741="","",IFERROR(IF(G741=0,-2E+300,CHOOSE(sortIdx,ROUND(D741,0),IF(J741="",-1E+300,ROUND(-J741,6)),IF(J741="",-1E+300,ROUND(J741,6)))),-1.5E+300))</f>
        <v/>
      </c>
      <c r="L741" t="str">
        <f>IF(K741="","",RANK(K741,$K$2:$K$3001,0)+COUNTIF($K$2:K741,K741)-1)</f>
        <v/>
      </c>
    </row>
    <row r="742">
      <c r="B742" t="str">
        <f>IFERROR(IF(A742="","","="&amp;SUBSTITUTE(SUBSTITUTE(SUBSTITUTE(A742,"~","~~"),"*","~*"),"?","~?")),"")</f>
        <v/>
      </c>
      <c r="C742" t="str">
        <f>IF($B742="","",SUMIFS(dAmt,dCust,$B742,dPer,"&gt;="&amp;pyFrom,dPer,"&lt;="&amp;pyTo,dAmt,"&gt;-1E+300",dFlt1,critFlt1,dFlt2,critFlt2,dFlt3,critFlt3))</f>
        <v/>
      </c>
      <c r="D742" t="str">
        <f>IF($B742="","",SUMIFS(dAmt,dCust,$B742,dPer,"&gt;="&amp;cyFrom,dPer,"&lt;="&amp;cyTo,dAmt,"&gt;-1E+300",dFlt1,critFlt1,dFlt2,critFlt2,dFlt3,critFlt3))</f>
        <v/>
      </c>
      <c r="E742" t="str">
        <f>IF($B742="","",SUMIFS(dQty,dCust,$B742,dPer,"&gt;="&amp;pyFrom,dPer,"&lt;="&amp;pyTo,dQty,"&gt;-1E+300",dFlt1,critFlt1,dFlt2,critFlt2,dFlt3,critFlt3))</f>
        <v/>
      </c>
      <c r="F742" t="str">
        <f>IF($B742="","",SUMIFS(dQty,dCust,$B742,dPer,"&gt;="&amp;cyFrom,dPer,"&lt;="&amp;cyTo,dQty,"&gt;-1E+300",dFlt1,critFlt1,dFlt2,critFlt2,dFlt3,critFlt3))</f>
        <v/>
      </c>
      <c r="G742">
        <f>IF($B742="",0,IFERROR(IF(OR(C742&lt;&gt;0,D742&lt;&gt;0,E742&lt;&gt;0,F742&lt;&gt;0),1,0),1))</f>
        <v>0</v>
      </c>
      <c r="H742" t="str">
        <f>IF(OR(G742=0,E742=0),"",C742/E742)</f>
        <v/>
      </c>
      <c r="I742" t="str">
        <f>IF(OR(G742=0,F742=0),"",D742/F742)</f>
        <v/>
      </c>
      <c r="J742" t="str">
        <f>IF(OR(H742="",I742=""),"",IF(H742=0,"",I742/H742-1))</f>
        <v/>
      </c>
      <c r="K742" t="str">
        <f>IF($B742="","",IFERROR(IF(G742=0,-2E+300,CHOOSE(sortIdx,ROUND(D742,0),IF(J742="",-1E+300,ROUND(-J742,6)),IF(J742="",-1E+300,ROUND(J742,6)))),-1.5E+300))</f>
        <v/>
      </c>
      <c r="L742" t="str">
        <f>IF(K742="","",RANK(K742,$K$2:$K$3001,0)+COUNTIF($K$2:K742,K742)-1)</f>
        <v/>
      </c>
    </row>
    <row r="743">
      <c r="B743" t="str">
        <f>IFERROR(IF(A743="","","="&amp;SUBSTITUTE(SUBSTITUTE(SUBSTITUTE(A743,"~","~~"),"*","~*"),"?","~?")),"")</f>
        <v/>
      </c>
      <c r="C743" t="str">
        <f>IF($B743="","",SUMIFS(dAmt,dCust,$B743,dPer,"&gt;="&amp;pyFrom,dPer,"&lt;="&amp;pyTo,dAmt,"&gt;-1E+300",dFlt1,critFlt1,dFlt2,critFlt2,dFlt3,critFlt3))</f>
        <v/>
      </c>
      <c r="D743" t="str">
        <f>IF($B743="","",SUMIFS(dAmt,dCust,$B743,dPer,"&gt;="&amp;cyFrom,dPer,"&lt;="&amp;cyTo,dAmt,"&gt;-1E+300",dFlt1,critFlt1,dFlt2,critFlt2,dFlt3,critFlt3))</f>
        <v/>
      </c>
      <c r="E743" t="str">
        <f>IF($B743="","",SUMIFS(dQty,dCust,$B743,dPer,"&gt;="&amp;pyFrom,dPer,"&lt;="&amp;pyTo,dQty,"&gt;-1E+300",dFlt1,critFlt1,dFlt2,critFlt2,dFlt3,critFlt3))</f>
        <v/>
      </c>
      <c r="F743" t="str">
        <f>IF($B743="","",SUMIFS(dQty,dCust,$B743,dPer,"&gt;="&amp;cyFrom,dPer,"&lt;="&amp;cyTo,dQty,"&gt;-1E+300",dFlt1,critFlt1,dFlt2,critFlt2,dFlt3,critFlt3))</f>
        <v/>
      </c>
      <c r="G743">
        <f>IF($B743="",0,IFERROR(IF(OR(C743&lt;&gt;0,D743&lt;&gt;0,E743&lt;&gt;0,F743&lt;&gt;0),1,0),1))</f>
        <v>0</v>
      </c>
      <c r="H743" t="str">
        <f>IF(OR(G743=0,E743=0),"",C743/E743)</f>
        <v/>
      </c>
      <c r="I743" t="str">
        <f>IF(OR(G743=0,F743=0),"",D743/F743)</f>
        <v/>
      </c>
      <c r="J743" t="str">
        <f>IF(OR(H743="",I743=""),"",IF(H743=0,"",I743/H743-1))</f>
        <v/>
      </c>
      <c r="K743" t="str">
        <f>IF($B743="","",IFERROR(IF(G743=0,-2E+300,CHOOSE(sortIdx,ROUND(D743,0),IF(J743="",-1E+300,ROUND(-J743,6)),IF(J743="",-1E+300,ROUND(J743,6)))),-1.5E+300))</f>
        <v/>
      </c>
      <c r="L743" t="str">
        <f>IF(K743="","",RANK(K743,$K$2:$K$3001,0)+COUNTIF($K$2:K743,K743)-1)</f>
        <v/>
      </c>
    </row>
    <row r="744">
      <c r="B744" t="str">
        <f>IFERROR(IF(A744="","","="&amp;SUBSTITUTE(SUBSTITUTE(SUBSTITUTE(A744,"~","~~"),"*","~*"),"?","~?")),"")</f>
        <v/>
      </c>
      <c r="C744" t="str">
        <f>IF($B744="","",SUMIFS(dAmt,dCust,$B744,dPer,"&gt;="&amp;pyFrom,dPer,"&lt;="&amp;pyTo,dAmt,"&gt;-1E+300",dFlt1,critFlt1,dFlt2,critFlt2,dFlt3,critFlt3))</f>
        <v/>
      </c>
      <c r="D744" t="str">
        <f>IF($B744="","",SUMIFS(dAmt,dCust,$B744,dPer,"&gt;="&amp;cyFrom,dPer,"&lt;="&amp;cyTo,dAmt,"&gt;-1E+300",dFlt1,critFlt1,dFlt2,critFlt2,dFlt3,critFlt3))</f>
        <v/>
      </c>
      <c r="E744" t="str">
        <f>IF($B744="","",SUMIFS(dQty,dCust,$B744,dPer,"&gt;="&amp;pyFrom,dPer,"&lt;="&amp;pyTo,dQty,"&gt;-1E+300",dFlt1,critFlt1,dFlt2,critFlt2,dFlt3,critFlt3))</f>
        <v/>
      </c>
      <c r="F744" t="str">
        <f>IF($B744="","",SUMIFS(dQty,dCust,$B744,dPer,"&gt;="&amp;cyFrom,dPer,"&lt;="&amp;cyTo,dQty,"&gt;-1E+300",dFlt1,critFlt1,dFlt2,critFlt2,dFlt3,critFlt3))</f>
        <v/>
      </c>
      <c r="G744">
        <f>IF($B744="",0,IFERROR(IF(OR(C744&lt;&gt;0,D744&lt;&gt;0,E744&lt;&gt;0,F744&lt;&gt;0),1,0),1))</f>
        <v>0</v>
      </c>
      <c r="H744" t="str">
        <f>IF(OR(G744=0,E744=0),"",C744/E744)</f>
        <v/>
      </c>
      <c r="I744" t="str">
        <f>IF(OR(G744=0,F744=0),"",D744/F744)</f>
        <v/>
      </c>
      <c r="J744" t="str">
        <f>IF(OR(H744="",I744=""),"",IF(H744=0,"",I744/H744-1))</f>
        <v/>
      </c>
      <c r="K744" t="str">
        <f>IF($B744="","",IFERROR(IF(G744=0,-2E+300,CHOOSE(sortIdx,ROUND(D744,0),IF(J744="",-1E+300,ROUND(-J744,6)),IF(J744="",-1E+300,ROUND(J744,6)))),-1.5E+300))</f>
        <v/>
      </c>
      <c r="L744" t="str">
        <f>IF(K744="","",RANK(K744,$K$2:$K$3001,0)+COUNTIF($K$2:K744,K744)-1)</f>
        <v/>
      </c>
    </row>
    <row r="745">
      <c r="B745" t="str">
        <f>IFERROR(IF(A745="","","="&amp;SUBSTITUTE(SUBSTITUTE(SUBSTITUTE(A745,"~","~~"),"*","~*"),"?","~?")),"")</f>
        <v/>
      </c>
      <c r="C745" t="str">
        <f>IF($B745="","",SUMIFS(dAmt,dCust,$B745,dPer,"&gt;="&amp;pyFrom,dPer,"&lt;="&amp;pyTo,dAmt,"&gt;-1E+300",dFlt1,critFlt1,dFlt2,critFlt2,dFlt3,critFlt3))</f>
        <v/>
      </c>
      <c r="D745" t="str">
        <f>IF($B745="","",SUMIFS(dAmt,dCust,$B745,dPer,"&gt;="&amp;cyFrom,dPer,"&lt;="&amp;cyTo,dAmt,"&gt;-1E+300",dFlt1,critFlt1,dFlt2,critFlt2,dFlt3,critFlt3))</f>
        <v/>
      </c>
      <c r="E745" t="str">
        <f>IF($B745="","",SUMIFS(dQty,dCust,$B745,dPer,"&gt;="&amp;pyFrom,dPer,"&lt;="&amp;pyTo,dQty,"&gt;-1E+300",dFlt1,critFlt1,dFlt2,critFlt2,dFlt3,critFlt3))</f>
        <v/>
      </c>
      <c r="F745" t="str">
        <f>IF($B745="","",SUMIFS(dQty,dCust,$B745,dPer,"&gt;="&amp;cyFrom,dPer,"&lt;="&amp;cyTo,dQty,"&gt;-1E+300",dFlt1,critFlt1,dFlt2,critFlt2,dFlt3,critFlt3))</f>
        <v/>
      </c>
      <c r="G745">
        <f>IF($B745="",0,IFERROR(IF(OR(C745&lt;&gt;0,D745&lt;&gt;0,E745&lt;&gt;0,F745&lt;&gt;0),1,0),1))</f>
        <v>0</v>
      </c>
      <c r="H745" t="str">
        <f>IF(OR(G745=0,E745=0),"",C745/E745)</f>
        <v/>
      </c>
      <c r="I745" t="str">
        <f>IF(OR(G745=0,F745=0),"",D745/F745)</f>
        <v/>
      </c>
      <c r="J745" t="str">
        <f>IF(OR(H745="",I745=""),"",IF(H745=0,"",I745/H745-1))</f>
        <v/>
      </c>
      <c r="K745" t="str">
        <f>IF($B745="","",IFERROR(IF(G745=0,-2E+300,CHOOSE(sortIdx,ROUND(D745,0),IF(J745="",-1E+300,ROUND(-J745,6)),IF(J745="",-1E+300,ROUND(J745,6)))),-1.5E+300))</f>
        <v/>
      </c>
      <c r="L745" t="str">
        <f>IF(K745="","",RANK(K745,$K$2:$K$3001,0)+COUNTIF($K$2:K745,K745)-1)</f>
        <v/>
      </c>
    </row>
    <row r="746">
      <c r="B746" t="str">
        <f>IFERROR(IF(A746="","","="&amp;SUBSTITUTE(SUBSTITUTE(SUBSTITUTE(A746,"~","~~"),"*","~*"),"?","~?")),"")</f>
        <v/>
      </c>
      <c r="C746" t="str">
        <f>IF($B746="","",SUMIFS(dAmt,dCust,$B746,dPer,"&gt;="&amp;pyFrom,dPer,"&lt;="&amp;pyTo,dAmt,"&gt;-1E+300",dFlt1,critFlt1,dFlt2,critFlt2,dFlt3,critFlt3))</f>
        <v/>
      </c>
      <c r="D746" t="str">
        <f>IF($B746="","",SUMIFS(dAmt,dCust,$B746,dPer,"&gt;="&amp;cyFrom,dPer,"&lt;="&amp;cyTo,dAmt,"&gt;-1E+300",dFlt1,critFlt1,dFlt2,critFlt2,dFlt3,critFlt3))</f>
        <v/>
      </c>
      <c r="E746" t="str">
        <f>IF($B746="","",SUMIFS(dQty,dCust,$B746,dPer,"&gt;="&amp;pyFrom,dPer,"&lt;="&amp;pyTo,dQty,"&gt;-1E+300",dFlt1,critFlt1,dFlt2,critFlt2,dFlt3,critFlt3))</f>
        <v/>
      </c>
      <c r="F746" t="str">
        <f>IF($B746="","",SUMIFS(dQty,dCust,$B746,dPer,"&gt;="&amp;cyFrom,dPer,"&lt;="&amp;cyTo,dQty,"&gt;-1E+300",dFlt1,critFlt1,dFlt2,critFlt2,dFlt3,critFlt3))</f>
        <v/>
      </c>
      <c r="G746">
        <f>IF($B746="",0,IFERROR(IF(OR(C746&lt;&gt;0,D746&lt;&gt;0,E746&lt;&gt;0,F746&lt;&gt;0),1,0),1))</f>
        <v>0</v>
      </c>
      <c r="H746" t="str">
        <f>IF(OR(G746=0,E746=0),"",C746/E746)</f>
        <v/>
      </c>
      <c r="I746" t="str">
        <f>IF(OR(G746=0,F746=0),"",D746/F746)</f>
        <v/>
      </c>
      <c r="J746" t="str">
        <f>IF(OR(H746="",I746=""),"",IF(H746=0,"",I746/H746-1))</f>
        <v/>
      </c>
      <c r="K746" t="str">
        <f>IF($B746="","",IFERROR(IF(G746=0,-2E+300,CHOOSE(sortIdx,ROUND(D746,0),IF(J746="",-1E+300,ROUND(-J746,6)),IF(J746="",-1E+300,ROUND(J746,6)))),-1.5E+300))</f>
        <v/>
      </c>
      <c r="L746" t="str">
        <f>IF(K746="","",RANK(K746,$K$2:$K$3001,0)+COUNTIF($K$2:K746,K746)-1)</f>
        <v/>
      </c>
    </row>
    <row r="747">
      <c r="B747" t="str">
        <f>IFERROR(IF(A747="","","="&amp;SUBSTITUTE(SUBSTITUTE(SUBSTITUTE(A747,"~","~~"),"*","~*"),"?","~?")),"")</f>
        <v/>
      </c>
      <c r="C747" t="str">
        <f>IF($B747="","",SUMIFS(dAmt,dCust,$B747,dPer,"&gt;="&amp;pyFrom,dPer,"&lt;="&amp;pyTo,dAmt,"&gt;-1E+300",dFlt1,critFlt1,dFlt2,critFlt2,dFlt3,critFlt3))</f>
        <v/>
      </c>
      <c r="D747" t="str">
        <f>IF($B747="","",SUMIFS(dAmt,dCust,$B747,dPer,"&gt;="&amp;cyFrom,dPer,"&lt;="&amp;cyTo,dAmt,"&gt;-1E+300",dFlt1,critFlt1,dFlt2,critFlt2,dFlt3,critFlt3))</f>
        <v/>
      </c>
      <c r="E747" t="str">
        <f>IF($B747="","",SUMIFS(dQty,dCust,$B747,dPer,"&gt;="&amp;pyFrom,dPer,"&lt;="&amp;pyTo,dQty,"&gt;-1E+300",dFlt1,critFlt1,dFlt2,critFlt2,dFlt3,critFlt3))</f>
        <v/>
      </c>
      <c r="F747" t="str">
        <f>IF($B747="","",SUMIFS(dQty,dCust,$B747,dPer,"&gt;="&amp;cyFrom,dPer,"&lt;="&amp;cyTo,dQty,"&gt;-1E+300",dFlt1,critFlt1,dFlt2,critFlt2,dFlt3,critFlt3))</f>
        <v/>
      </c>
      <c r="G747">
        <f>IF($B747="",0,IFERROR(IF(OR(C747&lt;&gt;0,D747&lt;&gt;0,E747&lt;&gt;0,F747&lt;&gt;0),1,0),1))</f>
        <v>0</v>
      </c>
      <c r="H747" t="str">
        <f>IF(OR(G747=0,E747=0),"",C747/E747)</f>
        <v/>
      </c>
      <c r="I747" t="str">
        <f>IF(OR(G747=0,F747=0),"",D747/F747)</f>
        <v/>
      </c>
      <c r="J747" t="str">
        <f>IF(OR(H747="",I747=""),"",IF(H747=0,"",I747/H747-1))</f>
        <v/>
      </c>
      <c r="K747" t="str">
        <f>IF($B747="","",IFERROR(IF(G747=0,-2E+300,CHOOSE(sortIdx,ROUND(D747,0),IF(J747="",-1E+300,ROUND(-J747,6)),IF(J747="",-1E+300,ROUND(J747,6)))),-1.5E+300))</f>
        <v/>
      </c>
      <c r="L747" t="str">
        <f>IF(K747="","",RANK(K747,$K$2:$K$3001,0)+COUNTIF($K$2:K747,K747)-1)</f>
        <v/>
      </c>
    </row>
    <row r="748">
      <c r="B748" t="str">
        <f>IFERROR(IF(A748="","","="&amp;SUBSTITUTE(SUBSTITUTE(SUBSTITUTE(A748,"~","~~"),"*","~*"),"?","~?")),"")</f>
        <v/>
      </c>
      <c r="C748" t="str">
        <f>IF($B748="","",SUMIFS(dAmt,dCust,$B748,dPer,"&gt;="&amp;pyFrom,dPer,"&lt;="&amp;pyTo,dAmt,"&gt;-1E+300",dFlt1,critFlt1,dFlt2,critFlt2,dFlt3,critFlt3))</f>
        <v/>
      </c>
      <c r="D748" t="str">
        <f>IF($B748="","",SUMIFS(dAmt,dCust,$B748,dPer,"&gt;="&amp;cyFrom,dPer,"&lt;="&amp;cyTo,dAmt,"&gt;-1E+300",dFlt1,critFlt1,dFlt2,critFlt2,dFlt3,critFlt3))</f>
        <v/>
      </c>
      <c r="E748" t="str">
        <f>IF($B748="","",SUMIFS(dQty,dCust,$B748,dPer,"&gt;="&amp;pyFrom,dPer,"&lt;="&amp;pyTo,dQty,"&gt;-1E+300",dFlt1,critFlt1,dFlt2,critFlt2,dFlt3,critFlt3))</f>
        <v/>
      </c>
      <c r="F748" t="str">
        <f>IF($B748="","",SUMIFS(dQty,dCust,$B748,dPer,"&gt;="&amp;cyFrom,dPer,"&lt;="&amp;cyTo,dQty,"&gt;-1E+300",dFlt1,critFlt1,dFlt2,critFlt2,dFlt3,critFlt3))</f>
        <v/>
      </c>
      <c r="G748">
        <f>IF($B748="",0,IFERROR(IF(OR(C748&lt;&gt;0,D748&lt;&gt;0,E748&lt;&gt;0,F748&lt;&gt;0),1,0),1))</f>
        <v>0</v>
      </c>
      <c r="H748" t="str">
        <f>IF(OR(G748=0,E748=0),"",C748/E748)</f>
        <v/>
      </c>
      <c r="I748" t="str">
        <f>IF(OR(G748=0,F748=0),"",D748/F748)</f>
        <v/>
      </c>
      <c r="J748" t="str">
        <f>IF(OR(H748="",I748=""),"",IF(H748=0,"",I748/H748-1))</f>
        <v/>
      </c>
      <c r="K748" t="str">
        <f>IF($B748="","",IFERROR(IF(G748=0,-2E+300,CHOOSE(sortIdx,ROUND(D748,0),IF(J748="",-1E+300,ROUND(-J748,6)),IF(J748="",-1E+300,ROUND(J748,6)))),-1.5E+300))</f>
        <v/>
      </c>
      <c r="L748" t="str">
        <f>IF(K748="","",RANK(K748,$K$2:$K$3001,0)+COUNTIF($K$2:K748,K748)-1)</f>
        <v/>
      </c>
    </row>
    <row r="749">
      <c r="B749" t="str">
        <f>IFERROR(IF(A749="","","="&amp;SUBSTITUTE(SUBSTITUTE(SUBSTITUTE(A749,"~","~~"),"*","~*"),"?","~?")),"")</f>
        <v/>
      </c>
      <c r="C749" t="str">
        <f>IF($B749="","",SUMIFS(dAmt,dCust,$B749,dPer,"&gt;="&amp;pyFrom,dPer,"&lt;="&amp;pyTo,dAmt,"&gt;-1E+300",dFlt1,critFlt1,dFlt2,critFlt2,dFlt3,critFlt3))</f>
        <v/>
      </c>
      <c r="D749" t="str">
        <f>IF($B749="","",SUMIFS(dAmt,dCust,$B749,dPer,"&gt;="&amp;cyFrom,dPer,"&lt;="&amp;cyTo,dAmt,"&gt;-1E+300",dFlt1,critFlt1,dFlt2,critFlt2,dFlt3,critFlt3))</f>
        <v/>
      </c>
      <c r="E749" t="str">
        <f>IF($B749="","",SUMIFS(dQty,dCust,$B749,dPer,"&gt;="&amp;pyFrom,dPer,"&lt;="&amp;pyTo,dQty,"&gt;-1E+300",dFlt1,critFlt1,dFlt2,critFlt2,dFlt3,critFlt3))</f>
        <v/>
      </c>
      <c r="F749" t="str">
        <f>IF($B749="","",SUMIFS(dQty,dCust,$B749,dPer,"&gt;="&amp;cyFrom,dPer,"&lt;="&amp;cyTo,dQty,"&gt;-1E+300",dFlt1,critFlt1,dFlt2,critFlt2,dFlt3,critFlt3))</f>
        <v/>
      </c>
      <c r="G749">
        <f>IF($B749="",0,IFERROR(IF(OR(C749&lt;&gt;0,D749&lt;&gt;0,E749&lt;&gt;0,F749&lt;&gt;0),1,0),1))</f>
        <v>0</v>
      </c>
      <c r="H749" t="str">
        <f>IF(OR(G749=0,E749=0),"",C749/E749)</f>
        <v/>
      </c>
      <c r="I749" t="str">
        <f>IF(OR(G749=0,F749=0),"",D749/F749)</f>
        <v/>
      </c>
      <c r="J749" t="str">
        <f>IF(OR(H749="",I749=""),"",IF(H749=0,"",I749/H749-1))</f>
        <v/>
      </c>
      <c r="K749" t="str">
        <f>IF($B749="","",IFERROR(IF(G749=0,-2E+300,CHOOSE(sortIdx,ROUND(D749,0),IF(J749="",-1E+300,ROUND(-J749,6)),IF(J749="",-1E+300,ROUND(J749,6)))),-1.5E+300))</f>
        <v/>
      </c>
      <c r="L749" t="str">
        <f>IF(K749="","",RANK(K749,$K$2:$K$3001,0)+COUNTIF($K$2:K749,K749)-1)</f>
        <v/>
      </c>
    </row>
    <row r="750">
      <c r="B750" t="str">
        <f>IFERROR(IF(A750="","","="&amp;SUBSTITUTE(SUBSTITUTE(SUBSTITUTE(A750,"~","~~"),"*","~*"),"?","~?")),"")</f>
        <v/>
      </c>
      <c r="C750" t="str">
        <f>IF($B750="","",SUMIFS(dAmt,dCust,$B750,dPer,"&gt;="&amp;pyFrom,dPer,"&lt;="&amp;pyTo,dAmt,"&gt;-1E+300",dFlt1,critFlt1,dFlt2,critFlt2,dFlt3,critFlt3))</f>
        <v/>
      </c>
      <c r="D750" t="str">
        <f>IF($B750="","",SUMIFS(dAmt,dCust,$B750,dPer,"&gt;="&amp;cyFrom,dPer,"&lt;="&amp;cyTo,dAmt,"&gt;-1E+300",dFlt1,critFlt1,dFlt2,critFlt2,dFlt3,critFlt3))</f>
        <v/>
      </c>
      <c r="E750" t="str">
        <f>IF($B750="","",SUMIFS(dQty,dCust,$B750,dPer,"&gt;="&amp;pyFrom,dPer,"&lt;="&amp;pyTo,dQty,"&gt;-1E+300",dFlt1,critFlt1,dFlt2,critFlt2,dFlt3,critFlt3))</f>
        <v/>
      </c>
      <c r="F750" t="str">
        <f>IF($B750="","",SUMIFS(dQty,dCust,$B750,dPer,"&gt;="&amp;cyFrom,dPer,"&lt;="&amp;cyTo,dQty,"&gt;-1E+300",dFlt1,critFlt1,dFlt2,critFlt2,dFlt3,critFlt3))</f>
        <v/>
      </c>
      <c r="G750">
        <f>IF($B750="",0,IFERROR(IF(OR(C750&lt;&gt;0,D750&lt;&gt;0,E750&lt;&gt;0,F750&lt;&gt;0),1,0),1))</f>
        <v>0</v>
      </c>
      <c r="H750" t="str">
        <f>IF(OR(G750=0,E750=0),"",C750/E750)</f>
        <v/>
      </c>
      <c r="I750" t="str">
        <f>IF(OR(G750=0,F750=0),"",D750/F750)</f>
        <v/>
      </c>
      <c r="J750" t="str">
        <f>IF(OR(H750="",I750=""),"",IF(H750=0,"",I750/H750-1))</f>
        <v/>
      </c>
      <c r="K750" t="str">
        <f>IF($B750="","",IFERROR(IF(G750=0,-2E+300,CHOOSE(sortIdx,ROUND(D750,0),IF(J750="",-1E+300,ROUND(-J750,6)),IF(J750="",-1E+300,ROUND(J750,6)))),-1.5E+300))</f>
        <v/>
      </c>
      <c r="L750" t="str">
        <f>IF(K750="","",RANK(K750,$K$2:$K$3001,0)+COUNTIF($K$2:K750,K750)-1)</f>
        <v/>
      </c>
    </row>
    <row r="751">
      <c r="B751" t="str">
        <f>IFERROR(IF(A751="","","="&amp;SUBSTITUTE(SUBSTITUTE(SUBSTITUTE(A751,"~","~~"),"*","~*"),"?","~?")),"")</f>
        <v/>
      </c>
      <c r="C751" t="str">
        <f>IF($B751="","",SUMIFS(dAmt,dCust,$B751,dPer,"&gt;="&amp;pyFrom,dPer,"&lt;="&amp;pyTo,dAmt,"&gt;-1E+300",dFlt1,critFlt1,dFlt2,critFlt2,dFlt3,critFlt3))</f>
        <v/>
      </c>
      <c r="D751" t="str">
        <f>IF($B751="","",SUMIFS(dAmt,dCust,$B751,dPer,"&gt;="&amp;cyFrom,dPer,"&lt;="&amp;cyTo,dAmt,"&gt;-1E+300",dFlt1,critFlt1,dFlt2,critFlt2,dFlt3,critFlt3))</f>
        <v/>
      </c>
      <c r="E751" t="str">
        <f>IF($B751="","",SUMIFS(dQty,dCust,$B751,dPer,"&gt;="&amp;pyFrom,dPer,"&lt;="&amp;pyTo,dQty,"&gt;-1E+300",dFlt1,critFlt1,dFlt2,critFlt2,dFlt3,critFlt3))</f>
        <v/>
      </c>
      <c r="F751" t="str">
        <f>IF($B751="","",SUMIFS(dQty,dCust,$B751,dPer,"&gt;="&amp;cyFrom,dPer,"&lt;="&amp;cyTo,dQty,"&gt;-1E+300",dFlt1,critFlt1,dFlt2,critFlt2,dFlt3,critFlt3))</f>
        <v/>
      </c>
      <c r="G751">
        <f>IF($B751="",0,IFERROR(IF(OR(C751&lt;&gt;0,D751&lt;&gt;0,E751&lt;&gt;0,F751&lt;&gt;0),1,0),1))</f>
        <v>0</v>
      </c>
      <c r="H751" t="str">
        <f>IF(OR(G751=0,E751=0),"",C751/E751)</f>
        <v/>
      </c>
      <c r="I751" t="str">
        <f>IF(OR(G751=0,F751=0),"",D751/F751)</f>
        <v/>
      </c>
      <c r="J751" t="str">
        <f>IF(OR(H751="",I751=""),"",IF(H751=0,"",I751/H751-1))</f>
        <v/>
      </c>
      <c r="K751" t="str">
        <f>IF($B751="","",IFERROR(IF(G751=0,-2E+300,CHOOSE(sortIdx,ROUND(D751,0),IF(J751="",-1E+300,ROUND(-J751,6)),IF(J751="",-1E+300,ROUND(J751,6)))),-1.5E+300))</f>
        <v/>
      </c>
      <c r="L751" t="str">
        <f>IF(K751="","",RANK(K751,$K$2:$K$3001,0)+COUNTIF($K$2:K751,K751)-1)</f>
        <v/>
      </c>
    </row>
    <row r="752">
      <c r="B752" t="str">
        <f>IFERROR(IF(A752="","","="&amp;SUBSTITUTE(SUBSTITUTE(SUBSTITUTE(A752,"~","~~"),"*","~*"),"?","~?")),"")</f>
        <v/>
      </c>
      <c r="C752" t="str">
        <f>IF($B752="","",SUMIFS(dAmt,dCust,$B752,dPer,"&gt;="&amp;pyFrom,dPer,"&lt;="&amp;pyTo,dAmt,"&gt;-1E+300",dFlt1,critFlt1,dFlt2,critFlt2,dFlt3,critFlt3))</f>
        <v/>
      </c>
      <c r="D752" t="str">
        <f>IF($B752="","",SUMIFS(dAmt,dCust,$B752,dPer,"&gt;="&amp;cyFrom,dPer,"&lt;="&amp;cyTo,dAmt,"&gt;-1E+300",dFlt1,critFlt1,dFlt2,critFlt2,dFlt3,critFlt3))</f>
        <v/>
      </c>
      <c r="E752" t="str">
        <f>IF($B752="","",SUMIFS(dQty,dCust,$B752,dPer,"&gt;="&amp;pyFrom,dPer,"&lt;="&amp;pyTo,dQty,"&gt;-1E+300",dFlt1,critFlt1,dFlt2,critFlt2,dFlt3,critFlt3))</f>
        <v/>
      </c>
      <c r="F752" t="str">
        <f>IF($B752="","",SUMIFS(dQty,dCust,$B752,dPer,"&gt;="&amp;cyFrom,dPer,"&lt;="&amp;cyTo,dQty,"&gt;-1E+300",dFlt1,critFlt1,dFlt2,critFlt2,dFlt3,critFlt3))</f>
        <v/>
      </c>
      <c r="G752">
        <f>IF($B752="",0,IFERROR(IF(OR(C752&lt;&gt;0,D752&lt;&gt;0,E752&lt;&gt;0,F752&lt;&gt;0),1,0),1))</f>
        <v>0</v>
      </c>
      <c r="H752" t="str">
        <f>IF(OR(G752=0,E752=0),"",C752/E752)</f>
        <v/>
      </c>
      <c r="I752" t="str">
        <f>IF(OR(G752=0,F752=0),"",D752/F752)</f>
        <v/>
      </c>
      <c r="J752" t="str">
        <f>IF(OR(H752="",I752=""),"",IF(H752=0,"",I752/H752-1))</f>
        <v/>
      </c>
      <c r="K752" t="str">
        <f>IF($B752="","",IFERROR(IF(G752=0,-2E+300,CHOOSE(sortIdx,ROUND(D752,0),IF(J752="",-1E+300,ROUND(-J752,6)),IF(J752="",-1E+300,ROUND(J752,6)))),-1.5E+300))</f>
        <v/>
      </c>
      <c r="L752" t="str">
        <f>IF(K752="","",RANK(K752,$K$2:$K$3001,0)+COUNTIF($K$2:K752,K752)-1)</f>
        <v/>
      </c>
    </row>
    <row r="753">
      <c r="B753" t="str">
        <f>IFERROR(IF(A753="","","="&amp;SUBSTITUTE(SUBSTITUTE(SUBSTITUTE(A753,"~","~~"),"*","~*"),"?","~?")),"")</f>
        <v/>
      </c>
      <c r="C753" t="str">
        <f>IF($B753="","",SUMIFS(dAmt,dCust,$B753,dPer,"&gt;="&amp;pyFrom,dPer,"&lt;="&amp;pyTo,dAmt,"&gt;-1E+300",dFlt1,critFlt1,dFlt2,critFlt2,dFlt3,critFlt3))</f>
        <v/>
      </c>
      <c r="D753" t="str">
        <f>IF($B753="","",SUMIFS(dAmt,dCust,$B753,dPer,"&gt;="&amp;cyFrom,dPer,"&lt;="&amp;cyTo,dAmt,"&gt;-1E+300",dFlt1,critFlt1,dFlt2,critFlt2,dFlt3,critFlt3))</f>
        <v/>
      </c>
      <c r="E753" t="str">
        <f>IF($B753="","",SUMIFS(dQty,dCust,$B753,dPer,"&gt;="&amp;pyFrom,dPer,"&lt;="&amp;pyTo,dQty,"&gt;-1E+300",dFlt1,critFlt1,dFlt2,critFlt2,dFlt3,critFlt3))</f>
        <v/>
      </c>
      <c r="F753" t="str">
        <f>IF($B753="","",SUMIFS(dQty,dCust,$B753,dPer,"&gt;="&amp;cyFrom,dPer,"&lt;="&amp;cyTo,dQty,"&gt;-1E+300",dFlt1,critFlt1,dFlt2,critFlt2,dFlt3,critFlt3))</f>
        <v/>
      </c>
      <c r="G753">
        <f>IF($B753="",0,IFERROR(IF(OR(C753&lt;&gt;0,D753&lt;&gt;0,E753&lt;&gt;0,F753&lt;&gt;0),1,0),1))</f>
        <v>0</v>
      </c>
      <c r="H753" t="str">
        <f>IF(OR(G753=0,E753=0),"",C753/E753)</f>
        <v/>
      </c>
      <c r="I753" t="str">
        <f>IF(OR(G753=0,F753=0),"",D753/F753)</f>
        <v/>
      </c>
      <c r="J753" t="str">
        <f>IF(OR(H753="",I753=""),"",IF(H753=0,"",I753/H753-1))</f>
        <v/>
      </c>
      <c r="K753" t="str">
        <f>IF($B753="","",IFERROR(IF(G753=0,-2E+300,CHOOSE(sortIdx,ROUND(D753,0),IF(J753="",-1E+300,ROUND(-J753,6)),IF(J753="",-1E+300,ROUND(J753,6)))),-1.5E+300))</f>
        <v/>
      </c>
      <c r="L753" t="str">
        <f>IF(K753="","",RANK(K753,$K$2:$K$3001,0)+COUNTIF($K$2:K753,K753)-1)</f>
        <v/>
      </c>
    </row>
    <row r="754">
      <c r="B754" t="str">
        <f>IFERROR(IF(A754="","","="&amp;SUBSTITUTE(SUBSTITUTE(SUBSTITUTE(A754,"~","~~"),"*","~*"),"?","~?")),"")</f>
        <v/>
      </c>
      <c r="C754" t="str">
        <f>IF($B754="","",SUMIFS(dAmt,dCust,$B754,dPer,"&gt;="&amp;pyFrom,dPer,"&lt;="&amp;pyTo,dAmt,"&gt;-1E+300",dFlt1,critFlt1,dFlt2,critFlt2,dFlt3,critFlt3))</f>
        <v/>
      </c>
      <c r="D754" t="str">
        <f>IF($B754="","",SUMIFS(dAmt,dCust,$B754,dPer,"&gt;="&amp;cyFrom,dPer,"&lt;="&amp;cyTo,dAmt,"&gt;-1E+300",dFlt1,critFlt1,dFlt2,critFlt2,dFlt3,critFlt3))</f>
        <v/>
      </c>
      <c r="E754" t="str">
        <f>IF($B754="","",SUMIFS(dQty,dCust,$B754,dPer,"&gt;="&amp;pyFrom,dPer,"&lt;="&amp;pyTo,dQty,"&gt;-1E+300",dFlt1,critFlt1,dFlt2,critFlt2,dFlt3,critFlt3))</f>
        <v/>
      </c>
      <c r="F754" t="str">
        <f>IF($B754="","",SUMIFS(dQty,dCust,$B754,dPer,"&gt;="&amp;cyFrom,dPer,"&lt;="&amp;cyTo,dQty,"&gt;-1E+300",dFlt1,critFlt1,dFlt2,critFlt2,dFlt3,critFlt3))</f>
        <v/>
      </c>
      <c r="G754">
        <f>IF($B754="",0,IFERROR(IF(OR(C754&lt;&gt;0,D754&lt;&gt;0,E754&lt;&gt;0,F754&lt;&gt;0),1,0),1))</f>
        <v>0</v>
      </c>
      <c r="H754" t="str">
        <f>IF(OR(G754=0,E754=0),"",C754/E754)</f>
        <v/>
      </c>
      <c r="I754" t="str">
        <f>IF(OR(G754=0,F754=0),"",D754/F754)</f>
        <v/>
      </c>
      <c r="J754" t="str">
        <f>IF(OR(H754="",I754=""),"",IF(H754=0,"",I754/H754-1))</f>
        <v/>
      </c>
      <c r="K754" t="str">
        <f>IF($B754="","",IFERROR(IF(G754=0,-2E+300,CHOOSE(sortIdx,ROUND(D754,0),IF(J754="",-1E+300,ROUND(-J754,6)),IF(J754="",-1E+300,ROUND(J754,6)))),-1.5E+300))</f>
        <v/>
      </c>
      <c r="L754" t="str">
        <f>IF(K754="","",RANK(K754,$K$2:$K$3001,0)+COUNTIF($K$2:K754,K754)-1)</f>
        <v/>
      </c>
    </row>
    <row r="755">
      <c r="B755" t="str">
        <f>IFERROR(IF(A755="","","="&amp;SUBSTITUTE(SUBSTITUTE(SUBSTITUTE(A755,"~","~~"),"*","~*"),"?","~?")),"")</f>
        <v/>
      </c>
      <c r="C755" t="str">
        <f>IF($B755="","",SUMIFS(dAmt,dCust,$B755,dPer,"&gt;="&amp;pyFrom,dPer,"&lt;="&amp;pyTo,dAmt,"&gt;-1E+300",dFlt1,critFlt1,dFlt2,critFlt2,dFlt3,critFlt3))</f>
        <v/>
      </c>
      <c r="D755" t="str">
        <f>IF($B755="","",SUMIFS(dAmt,dCust,$B755,dPer,"&gt;="&amp;cyFrom,dPer,"&lt;="&amp;cyTo,dAmt,"&gt;-1E+300",dFlt1,critFlt1,dFlt2,critFlt2,dFlt3,critFlt3))</f>
        <v/>
      </c>
      <c r="E755" t="str">
        <f>IF($B755="","",SUMIFS(dQty,dCust,$B755,dPer,"&gt;="&amp;pyFrom,dPer,"&lt;="&amp;pyTo,dQty,"&gt;-1E+300",dFlt1,critFlt1,dFlt2,critFlt2,dFlt3,critFlt3))</f>
        <v/>
      </c>
      <c r="F755" t="str">
        <f>IF($B755="","",SUMIFS(dQty,dCust,$B755,dPer,"&gt;="&amp;cyFrom,dPer,"&lt;="&amp;cyTo,dQty,"&gt;-1E+300",dFlt1,critFlt1,dFlt2,critFlt2,dFlt3,critFlt3))</f>
        <v/>
      </c>
      <c r="G755">
        <f>IF($B755="",0,IFERROR(IF(OR(C755&lt;&gt;0,D755&lt;&gt;0,E755&lt;&gt;0,F755&lt;&gt;0),1,0),1))</f>
        <v>0</v>
      </c>
      <c r="H755" t="str">
        <f>IF(OR(G755=0,E755=0),"",C755/E755)</f>
        <v/>
      </c>
      <c r="I755" t="str">
        <f>IF(OR(G755=0,F755=0),"",D755/F755)</f>
        <v/>
      </c>
      <c r="J755" t="str">
        <f>IF(OR(H755="",I755=""),"",IF(H755=0,"",I755/H755-1))</f>
        <v/>
      </c>
      <c r="K755" t="str">
        <f>IF($B755="","",IFERROR(IF(G755=0,-2E+300,CHOOSE(sortIdx,ROUND(D755,0),IF(J755="",-1E+300,ROUND(-J755,6)),IF(J755="",-1E+300,ROUND(J755,6)))),-1.5E+300))</f>
        <v/>
      </c>
      <c r="L755" t="str">
        <f>IF(K755="","",RANK(K755,$K$2:$K$3001,0)+COUNTIF($K$2:K755,K755)-1)</f>
        <v/>
      </c>
    </row>
    <row r="756">
      <c r="B756" t="str">
        <f>IFERROR(IF(A756="","","="&amp;SUBSTITUTE(SUBSTITUTE(SUBSTITUTE(A756,"~","~~"),"*","~*"),"?","~?")),"")</f>
        <v/>
      </c>
      <c r="C756" t="str">
        <f>IF($B756="","",SUMIFS(dAmt,dCust,$B756,dPer,"&gt;="&amp;pyFrom,dPer,"&lt;="&amp;pyTo,dAmt,"&gt;-1E+300",dFlt1,critFlt1,dFlt2,critFlt2,dFlt3,critFlt3))</f>
        <v/>
      </c>
      <c r="D756" t="str">
        <f>IF($B756="","",SUMIFS(dAmt,dCust,$B756,dPer,"&gt;="&amp;cyFrom,dPer,"&lt;="&amp;cyTo,dAmt,"&gt;-1E+300",dFlt1,critFlt1,dFlt2,critFlt2,dFlt3,critFlt3))</f>
        <v/>
      </c>
      <c r="E756" t="str">
        <f>IF($B756="","",SUMIFS(dQty,dCust,$B756,dPer,"&gt;="&amp;pyFrom,dPer,"&lt;="&amp;pyTo,dQty,"&gt;-1E+300",dFlt1,critFlt1,dFlt2,critFlt2,dFlt3,critFlt3))</f>
        <v/>
      </c>
      <c r="F756" t="str">
        <f>IF($B756="","",SUMIFS(dQty,dCust,$B756,dPer,"&gt;="&amp;cyFrom,dPer,"&lt;="&amp;cyTo,dQty,"&gt;-1E+300",dFlt1,critFlt1,dFlt2,critFlt2,dFlt3,critFlt3))</f>
        <v/>
      </c>
      <c r="G756">
        <f>IF($B756="",0,IFERROR(IF(OR(C756&lt;&gt;0,D756&lt;&gt;0,E756&lt;&gt;0,F756&lt;&gt;0),1,0),1))</f>
        <v>0</v>
      </c>
      <c r="H756" t="str">
        <f>IF(OR(G756=0,E756=0),"",C756/E756)</f>
        <v/>
      </c>
      <c r="I756" t="str">
        <f>IF(OR(G756=0,F756=0),"",D756/F756)</f>
        <v/>
      </c>
      <c r="J756" t="str">
        <f>IF(OR(H756="",I756=""),"",IF(H756=0,"",I756/H756-1))</f>
        <v/>
      </c>
      <c r="K756" t="str">
        <f>IF($B756="","",IFERROR(IF(G756=0,-2E+300,CHOOSE(sortIdx,ROUND(D756,0),IF(J756="",-1E+300,ROUND(-J756,6)),IF(J756="",-1E+300,ROUND(J756,6)))),-1.5E+300))</f>
        <v/>
      </c>
      <c r="L756" t="str">
        <f>IF(K756="","",RANK(K756,$K$2:$K$3001,0)+COUNTIF($K$2:K756,K756)-1)</f>
        <v/>
      </c>
    </row>
    <row r="757">
      <c r="B757" t="str">
        <f>IFERROR(IF(A757="","","="&amp;SUBSTITUTE(SUBSTITUTE(SUBSTITUTE(A757,"~","~~"),"*","~*"),"?","~?")),"")</f>
        <v/>
      </c>
      <c r="C757" t="str">
        <f>IF($B757="","",SUMIFS(dAmt,dCust,$B757,dPer,"&gt;="&amp;pyFrom,dPer,"&lt;="&amp;pyTo,dAmt,"&gt;-1E+300",dFlt1,critFlt1,dFlt2,critFlt2,dFlt3,critFlt3))</f>
        <v/>
      </c>
      <c r="D757" t="str">
        <f>IF($B757="","",SUMIFS(dAmt,dCust,$B757,dPer,"&gt;="&amp;cyFrom,dPer,"&lt;="&amp;cyTo,dAmt,"&gt;-1E+300",dFlt1,critFlt1,dFlt2,critFlt2,dFlt3,critFlt3))</f>
        <v/>
      </c>
      <c r="E757" t="str">
        <f>IF($B757="","",SUMIFS(dQty,dCust,$B757,dPer,"&gt;="&amp;pyFrom,dPer,"&lt;="&amp;pyTo,dQty,"&gt;-1E+300",dFlt1,critFlt1,dFlt2,critFlt2,dFlt3,critFlt3))</f>
        <v/>
      </c>
      <c r="F757" t="str">
        <f>IF($B757="","",SUMIFS(dQty,dCust,$B757,dPer,"&gt;="&amp;cyFrom,dPer,"&lt;="&amp;cyTo,dQty,"&gt;-1E+300",dFlt1,critFlt1,dFlt2,critFlt2,dFlt3,critFlt3))</f>
        <v/>
      </c>
      <c r="G757">
        <f>IF($B757="",0,IFERROR(IF(OR(C757&lt;&gt;0,D757&lt;&gt;0,E757&lt;&gt;0,F757&lt;&gt;0),1,0),1))</f>
        <v>0</v>
      </c>
      <c r="H757" t="str">
        <f>IF(OR(G757=0,E757=0),"",C757/E757)</f>
        <v/>
      </c>
      <c r="I757" t="str">
        <f>IF(OR(G757=0,F757=0),"",D757/F757)</f>
        <v/>
      </c>
      <c r="J757" t="str">
        <f>IF(OR(H757="",I757=""),"",IF(H757=0,"",I757/H757-1))</f>
        <v/>
      </c>
      <c r="K757" t="str">
        <f>IF($B757="","",IFERROR(IF(G757=0,-2E+300,CHOOSE(sortIdx,ROUND(D757,0),IF(J757="",-1E+300,ROUND(-J757,6)),IF(J757="",-1E+300,ROUND(J757,6)))),-1.5E+300))</f>
        <v/>
      </c>
      <c r="L757" t="str">
        <f>IF(K757="","",RANK(K757,$K$2:$K$3001,0)+COUNTIF($K$2:K757,K757)-1)</f>
        <v/>
      </c>
    </row>
    <row r="758">
      <c r="B758" t="str">
        <f>IFERROR(IF(A758="","","="&amp;SUBSTITUTE(SUBSTITUTE(SUBSTITUTE(A758,"~","~~"),"*","~*"),"?","~?")),"")</f>
        <v/>
      </c>
      <c r="C758" t="str">
        <f>IF($B758="","",SUMIFS(dAmt,dCust,$B758,dPer,"&gt;="&amp;pyFrom,dPer,"&lt;="&amp;pyTo,dAmt,"&gt;-1E+300",dFlt1,critFlt1,dFlt2,critFlt2,dFlt3,critFlt3))</f>
        <v/>
      </c>
      <c r="D758" t="str">
        <f>IF($B758="","",SUMIFS(dAmt,dCust,$B758,dPer,"&gt;="&amp;cyFrom,dPer,"&lt;="&amp;cyTo,dAmt,"&gt;-1E+300",dFlt1,critFlt1,dFlt2,critFlt2,dFlt3,critFlt3))</f>
        <v/>
      </c>
      <c r="E758" t="str">
        <f>IF($B758="","",SUMIFS(dQty,dCust,$B758,dPer,"&gt;="&amp;pyFrom,dPer,"&lt;="&amp;pyTo,dQty,"&gt;-1E+300",dFlt1,critFlt1,dFlt2,critFlt2,dFlt3,critFlt3))</f>
        <v/>
      </c>
      <c r="F758" t="str">
        <f>IF($B758="","",SUMIFS(dQty,dCust,$B758,dPer,"&gt;="&amp;cyFrom,dPer,"&lt;="&amp;cyTo,dQty,"&gt;-1E+300",dFlt1,critFlt1,dFlt2,critFlt2,dFlt3,critFlt3))</f>
        <v/>
      </c>
      <c r="G758">
        <f>IF($B758="",0,IFERROR(IF(OR(C758&lt;&gt;0,D758&lt;&gt;0,E758&lt;&gt;0,F758&lt;&gt;0),1,0),1))</f>
        <v>0</v>
      </c>
      <c r="H758" t="str">
        <f>IF(OR(G758=0,E758=0),"",C758/E758)</f>
        <v/>
      </c>
      <c r="I758" t="str">
        <f>IF(OR(G758=0,F758=0),"",D758/F758)</f>
        <v/>
      </c>
      <c r="J758" t="str">
        <f>IF(OR(H758="",I758=""),"",IF(H758=0,"",I758/H758-1))</f>
        <v/>
      </c>
      <c r="K758" t="str">
        <f>IF($B758="","",IFERROR(IF(G758=0,-2E+300,CHOOSE(sortIdx,ROUND(D758,0),IF(J758="",-1E+300,ROUND(-J758,6)),IF(J758="",-1E+300,ROUND(J758,6)))),-1.5E+300))</f>
        <v/>
      </c>
      <c r="L758" t="str">
        <f>IF(K758="","",RANK(K758,$K$2:$K$3001,0)+COUNTIF($K$2:K758,K758)-1)</f>
        <v/>
      </c>
    </row>
    <row r="759">
      <c r="B759" t="str">
        <f>IFERROR(IF(A759="","","="&amp;SUBSTITUTE(SUBSTITUTE(SUBSTITUTE(A759,"~","~~"),"*","~*"),"?","~?")),"")</f>
        <v/>
      </c>
      <c r="C759" t="str">
        <f>IF($B759="","",SUMIFS(dAmt,dCust,$B759,dPer,"&gt;="&amp;pyFrom,dPer,"&lt;="&amp;pyTo,dAmt,"&gt;-1E+300",dFlt1,critFlt1,dFlt2,critFlt2,dFlt3,critFlt3))</f>
        <v/>
      </c>
      <c r="D759" t="str">
        <f>IF($B759="","",SUMIFS(dAmt,dCust,$B759,dPer,"&gt;="&amp;cyFrom,dPer,"&lt;="&amp;cyTo,dAmt,"&gt;-1E+300",dFlt1,critFlt1,dFlt2,critFlt2,dFlt3,critFlt3))</f>
        <v/>
      </c>
      <c r="E759" t="str">
        <f>IF($B759="","",SUMIFS(dQty,dCust,$B759,dPer,"&gt;="&amp;pyFrom,dPer,"&lt;="&amp;pyTo,dQty,"&gt;-1E+300",dFlt1,critFlt1,dFlt2,critFlt2,dFlt3,critFlt3))</f>
        <v/>
      </c>
      <c r="F759" t="str">
        <f>IF($B759="","",SUMIFS(dQty,dCust,$B759,dPer,"&gt;="&amp;cyFrom,dPer,"&lt;="&amp;cyTo,dQty,"&gt;-1E+300",dFlt1,critFlt1,dFlt2,critFlt2,dFlt3,critFlt3))</f>
        <v/>
      </c>
      <c r="G759">
        <f>IF($B759="",0,IFERROR(IF(OR(C759&lt;&gt;0,D759&lt;&gt;0,E759&lt;&gt;0,F759&lt;&gt;0),1,0),1))</f>
        <v>0</v>
      </c>
      <c r="H759" t="str">
        <f>IF(OR(G759=0,E759=0),"",C759/E759)</f>
        <v/>
      </c>
      <c r="I759" t="str">
        <f>IF(OR(G759=0,F759=0),"",D759/F759)</f>
        <v/>
      </c>
      <c r="J759" t="str">
        <f>IF(OR(H759="",I759=""),"",IF(H759=0,"",I759/H759-1))</f>
        <v/>
      </c>
      <c r="K759" t="str">
        <f>IF($B759="","",IFERROR(IF(G759=0,-2E+300,CHOOSE(sortIdx,ROUND(D759,0),IF(J759="",-1E+300,ROUND(-J759,6)),IF(J759="",-1E+300,ROUND(J759,6)))),-1.5E+300))</f>
        <v/>
      </c>
      <c r="L759" t="str">
        <f>IF(K759="","",RANK(K759,$K$2:$K$3001,0)+COUNTIF($K$2:K759,K759)-1)</f>
        <v/>
      </c>
    </row>
    <row r="760">
      <c r="B760" t="str">
        <f>IFERROR(IF(A760="","","="&amp;SUBSTITUTE(SUBSTITUTE(SUBSTITUTE(A760,"~","~~"),"*","~*"),"?","~?")),"")</f>
        <v/>
      </c>
      <c r="C760" t="str">
        <f>IF($B760="","",SUMIFS(dAmt,dCust,$B760,dPer,"&gt;="&amp;pyFrom,dPer,"&lt;="&amp;pyTo,dAmt,"&gt;-1E+300",dFlt1,critFlt1,dFlt2,critFlt2,dFlt3,critFlt3))</f>
        <v/>
      </c>
      <c r="D760" t="str">
        <f>IF($B760="","",SUMIFS(dAmt,dCust,$B760,dPer,"&gt;="&amp;cyFrom,dPer,"&lt;="&amp;cyTo,dAmt,"&gt;-1E+300",dFlt1,critFlt1,dFlt2,critFlt2,dFlt3,critFlt3))</f>
        <v/>
      </c>
      <c r="E760" t="str">
        <f>IF($B760="","",SUMIFS(dQty,dCust,$B760,dPer,"&gt;="&amp;pyFrom,dPer,"&lt;="&amp;pyTo,dQty,"&gt;-1E+300",dFlt1,critFlt1,dFlt2,critFlt2,dFlt3,critFlt3))</f>
        <v/>
      </c>
      <c r="F760" t="str">
        <f>IF($B760="","",SUMIFS(dQty,dCust,$B760,dPer,"&gt;="&amp;cyFrom,dPer,"&lt;="&amp;cyTo,dQty,"&gt;-1E+300",dFlt1,critFlt1,dFlt2,critFlt2,dFlt3,critFlt3))</f>
        <v/>
      </c>
      <c r="G760">
        <f>IF($B760="",0,IFERROR(IF(OR(C760&lt;&gt;0,D760&lt;&gt;0,E760&lt;&gt;0,F760&lt;&gt;0),1,0),1))</f>
        <v>0</v>
      </c>
      <c r="H760" t="str">
        <f>IF(OR(G760=0,E760=0),"",C760/E760)</f>
        <v/>
      </c>
      <c r="I760" t="str">
        <f>IF(OR(G760=0,F760=0),"",D760/F760)</f>
        <v/>
      </c>
      <c r="J760" t="str">
        <f>IF(OR(H760="",I760=""),"",IF(H760=0,"",I760/H760-1))</f>
        <v/>
      </c>
      <c r="K760" t="str">
        <f>IF($B760="","",IFERROR(IF(G760=0,-2E+300,CHOOSE(sortIdx,ROUND(D760,0),IF(J760="",-1E+300,ROUND(-J760,6)),IF(J760="",-1E+300,ROUND(J760,6)))),-1.5E+300))</f>
        <v/>
      </c>
      <c r="L760" t="str">
        <f>IF(K760="","",RANK(K760,$K$2:$K$3001,0)+COUNTIF($K$2:K760,K760)-1)</f>
        <v/>
      </c>
    </row>
    <row r="761">
      <c r="B761" t="str">
        <f>IFERROR(IF(A761="","","="&amp;SUBSTITUTE(SUBSTITUTE(SUBSTITUTE(A761,"~","~~"),"*","~*"),"?","~?")),"")</f>
        <v/>
      </c>
      <c r="C761" t="str">
        <f>IF($B761="","",SUMIFS(dAmt,dCust,$B761,dPer,"&gt;="&amp;pyFrom,dPer,"&lt;="&amp;pyTo,dAmt,"&gt;-1E+300",dFlt1,critFlt1,dFlt2,critFlt2,dFlt3,critFlt3))</f>
        <v/>
      </c>
      <c r="D761" t="str">
        <f>IF($B761="","",SUMIFS(dAmt,dCust,$B761,dPer,"&gt;="&amp;cyFrom,dPer,"&lt;="&amp;cyTo,dAmt,"&gt;-1E+300",dFlt1,critFlt1,dFlt2,critFlt2,dFlt3,critFlt3))</f>
        <v/>
      </c>
      <c r="E761" t="str">
        <f>IF($B761="","",SUMIFS(dQty,dCust,$B761,dPer,"&gt;="&amp;pyFrom,dPer,"&lt;="&amp;pyTo,dQty,"&gt;-1E+300",dFlt1,critFlt1,dFlt2,critFlt2,dFlt3,critFlt3))</f>
        <v/>
      </c>
      <c r="F761" t="str">
        <f>IF($B761="","",SUMIFS(dQty,dCust,$B761,dPer,"&gt;="&amp;cyFrom,dPer,"&lt;="&amp;cyTo,dQty,"&gt;-1E+300",dFlt1,critFlt1,dFlt2,critFlt2,dFlt3,critFlt3))</f>
        <v/>
      </c>
      <c r="G761">
        <f>IF($B761="",0,IFERROR(IF(OR(C761&lt;&gt;0,D761&lt;&gt;0,E761&lt;&gt;0,F761&lt;&gt;0),1,0),1))</f>
        <v>0</v>
      </c>
      <c r="H761" t="str">
        <f>IF(OR(G761=0,E761=0),"",C761/E761)</f>
        <v/>
      </c>
      <c r="I761" t="str">
        <f>IF(OR(G761=0,F761=0),"",D761/F761)</f>
        <v/>
      </c>
      <c r="J761" t="str">
        <f>IF(OR(H761="",I761=""),"",IF(H761=0,"",I761/H761-1))</f>
        <v/>
      </c>
      <c r="K761" t="str">
        <f>IF($B761="","",IFERROR(IF(G761=0,-2E+300,CHOOSE(sortIdx,ROUND(D761,0),IF(J761="",-1E+300,ROUND(-J761,6)),IF(J761="",-1E+300,ROUND(J761,6)))),-1.5E+300))</f>
        <v/>
      </c>
      <c r="L761" t="str">
        <f>IF(K761="","",RANK(K761,$K$2:$K$3001,0)+COUNTIF($K$2:K761,K761)-1)</f>
        <v/>
      </c>
    </row>
    <row r="762">
      <c r="B762" t="str">
        <f>IFERROR(IF(A762="","","="&amp;SUBSTITUTE(SUBSTITUTE(SUBSTITUTE(A762,"~","~~"),"*","~*"),"?","~?")),"")</f>
        <v/>
      </c>
      <c r="C762" t="str">
        <f>IF($B762="","",SUMIFS(dAmt,dCust,$B762,dPer,"&gt;="&amp;pyFrom,dPer,"&lt;="&amp;pyTo,dAmt,"&gt;-1E+300",dFlt1,critFlt1,dFlt2,critFlt2,dFlt3,critFlt3))</f>
        <v/>
      </c>
      <c r="D762" t="str">
        <f>IF($B762="","",SUMIFS(dAmt,dCust,$B762,dPer,"&gt;="&amp;cyFrom,dPer,"&lt;="&amp;cyTo,dAmt,"&gt;-1E+300",dFlt1,critFlt1,dFlt2,critFlt2,dFlt3,critFlt3))</f>
        <v/>
      </c>
      <c r="E762" t="str">
        <f>IF($B762="","",SUMIFS(dQty,dCust,$B762,dPer,"&gt;="&amp;pyFrom,dPer,"&lt;="&amp;pyTo,dQty,"&gt;-1E+300",dFlt1,critFlt1,dFlt2,critFlt2,dFlt3,critFlt3))</f>
        <v/>
      </c>
      <c r="F762" t="str">
        <f>IF($B762="","",SUMIFS(dQty,dCust,$B762,dPer,"&gt;="&amp;cyFrom,dPer,"&lt;="&amp;cyTo,dQty,"&gt;-1E+300",dFlt1,critFlt1,dFlt2,critFlt2,dFlt3,critFlt3))</f>
        <v/>
      </c>
      <c r="G762">
        <f>IF($B762="",0,IFERROR(IF(OR(C762&lt;&gt;0,D762&lt;&gt;0,E762&lt;&gt;0,F762&lt;&gt;0),1,0),1))</f>
        <v>0</v>
      </c>
      <c r="H762" t="str">
        <f>IF(OR(G762=0,E762=0),"",C762/E762)</f>
        <v/>
      </c>
      <c r="I762" t="str">
        <f>IF(OR(G762=0,F762=0),"",D762/F762)</f>
        <v/>
      </c>
      <c r="J762" t="str">
        <f>IF(OR(H762="",I762=""),"",IF(H762=0,"",I762/H762-1))</f>
        <v/>
      </c>
      <c r="K762" t="str">
        <f>IF($B762="","",IFERROR(IF(G762=0,-2E+300,CHOOSE(sortIdx,ROUND(D762,0),IF(J762="",-1E+300,ROUND(-J762,6)),IF(J762="",-1E+300,ROUND(J762,6)))),-1.5E+300))</f>
        <v/>
      </c>
      <c r="L762" t="str">
        <f>IF(K762="","",RANK(K762,$K$2:$K$3001,0)+COUNTIF($K$2:K762,K762)-1)</f>
        <v/>
      </c>
    </row>
    <row r="763">
      <c r="B763" t="str">
        <f>IFERROR(IF(A763="","","="&amp;SUBSTITUTE(SUBSTITUTE(SUBSTITUTE(A763,"~","~~"),"*","~*"),"?","~?")),"")</f>
        <v/>
      </c>
      <c r="C763" t="str">
        <f>IF($B763="","",SUMIFS(dAmt,dCust,$B763,dPer,"&gt;="&amp;pyFrom,dPer,"&lt;="&amp;pyTo,dAmt,"&gt;-1E+300",dFlt1,critFlt1,dFlt2,critFlt2,dFlt3,critFlt3))</f>
        <v/>
      </c>
      <c r="D763" t="str">
        <f>IF($B763="","",SUMIFS(dAmt,dCust,$B763,dPer,"&gt;="&amp;cyFrom,dPer,"&lt;="&amp;cyTo,dAmt,"&gt;-1E+300",dFlt1,critFlt1,dFlt2,critFlt2,dFlt3,critFlt3))</f>
        <v/>
      </c>
      <c r="E763" t="str">
        <f>IF($B763="","",SUMIFS(dQty,dCust,$B763,dPer,"&gt;="&amp;pyFrom,dPer,"&lt;="&amp;pyTo,dQty,"&gt;-1E+300",dFlt1,critFlt1,dFlt2,critFlt2,dFlt3,critFlt3))</f>
        <v/>
      </c>
      <c r="F763" t="str">
        <f>IF($B763="","",SUMIFS(dQty,dCust,$B763,dPer,"&gt;="&amp;cyFrom,dPer,"&lt;="&amp;cyTo,dQty,"&gt;-1E+300",dFlt1,critFlt1,dFlt2,critFlt2,dFlt3,critFlt3))</f>
        <v/>
      </c>
      <c r="G763">
        <f>IF($B763="",0,IFERROR(IF(OR(C763&lt;&gt;0,D763&lt;&gt;0,E763&lt;&gt;0,F763&lt;&gt;0),1,0),1))</f>
        <v>0</v>
      </c>
      <c r="H763" t="str">
        <f>IF(OR(G763=0,E763=0),"",C763/E763)</f>
        <v/>
      </c>
      <c r="I763" t="str">
        <f>IF(OR(G763=0,F763=0),"",D763/F763)</f>
        <v/>
      </c>
      <c r="J763" t="str">
        <f>IF(OR(H763="",I763=""),"",IF(H763=0,"",I763/H763-1))</f>
        <v/>
      </c>
      <c r="K763" t="str">
        <f>IF($B763="","",IFERROR(IF(G763=0,-2E+300,CHOOSE(sortIdx,ROUND(D763,0),IF(J763="",-1E+300,ROUND(-J763,6)),IF(J763="",-1E+300,ROUND(J763,6)))),-1.5E+300))</f>
        <v/>
      </c>
      <c r="L763" t="str">
        <f>IF(K763="","",RANK(K763,$K$2:$K$3001,0)+COUNTIF($K$2:K763,K763)-1)</f>
        <v/>
      </c>
    </row>
    <row r="764">
      <c r="B764" t="str">
        <f>IFERROR(IF(A764="","","="&amp;SUBSTITUTE(SUBSTITUTE(SUBSTITUTE(A764,"~","~~"),"*","~*"),"?","~?")),"")</f>
        <v/>
      </c>
      <c r="C764" t="str">
        <f>IF($B764="","",SUMIFS(dAmt,dCust,$B764,dPer,"&gt;="&amp;pyFrom,dPer,"&lt;="&amp;pyTo,dAmt,"&gt;-1E+300",dFlt1,critFlt1,dFlt2,critFlt2,dFlt3,critFlt3))</f>
        <v/>
      </c>
      <c r="D764" t="str">
        <f>IF($B764="","",SUMIFS(dAmt,dCust,$B764,dPer,"&gt;="&amp;cyFrom,dPer,"&lt;="&amp;cyTo,dAmt,"&gt;-1E+300",dFlt1,critFlt1,dFlt2,critFlt2,dFlt3,critFlt3))</f>
        <v/>
      </c>
      <c r="E764" t="str">
        <f>IF($B764="","",SUMIFS(dQty,dCust,$B764,dPer,"&gt;="&amp;pyFrom,dPer,"&lt;="&amp;pyTo,dQty,"&gt;-1E+300",dFlt1,critFlt1,dFlt2,critFlt2,dFlt3,critFlt3))</f>
        <v/>
      </c>
      <c r="F764" t="str">
        <f>IF($B764="","",SUMIFS(dQty,dCust,$B764,dPer,"&gt;="&amp;cyFrom,dPer,"&lt;="&amp;cyTo,dQty,"&gt;-1E+300",dFlt1,critFlt1,dFlt2,critFlt2,dFlt3,critFlt3))</f>
        <v/>
      </c>
      <c r="G764">
        <f>IF($B764="",0,IFERROR(IF(OR(C764&lt;&gt;0,D764&lt;&gt;0,E764&lt;&gt;0,F764&lt;&gt;0),1,0),1))</f>
        <v>0</v>
      </c>
      <c r="H764" t="str">
        <f>IF(OR(G764=0,E764=0),"",C764/E764)</f>
        <v/>
      </c>
      <c r="I764" t="str">
        <f>IF(OR(G764=0,F764=0),"",D764/F764)</f>
        <v/>
      </c>
      <c r="J764" t="str">
        <f>IF(OR(H764="",I764=""),"",IF(H764=0,"",I764/H764-1))</f>
        <v/>
      </c>
      <c r="K764" t="str">
        <f>IF($B764="","",IFERROR(IF(G764=0,-2E+300,CHOOSE(sortIdx,ROUND(D764,0),IF(J764="",-1E+300,ROUND(-J764,6)),IF(J764="",-1E+300,ROUND(J764,6)))),-1.5E+300))</f>
        <v/>
      </c>
      <c r="L764" t="str">
        <f>IF(K764="","",RANK(K764,$K$2:$K$3001,0)+COUNTIF($K$2:K764,K764)-1)</f>
        <v/>
      </c>
    </row>
    <row r="765">
      <c r="B765" t="str">
        <f>IFERROR(IF(A765="","","="&amp;SUBSTITUTE(SUBSTITUTE(SUBSTITUTE(A765,"~","~~"),"*","~*"),"?","~?")),"")</f>
        <v/>
      </c>
      <c r="C765" t="str">
        <f>IF($B765="","",SUMIFS(dAmt,dCust,$B765,dPer,"&gt;="&amp;pyFrom,dPer,"&lt;="&amp;pyTo,dAmt,"&gt;-1E+300",dFlt1,critFlt1,dFlt2,critFlt2,dFlt3,critFlt3))</f>
        <v/>
      </c>
      <c r="D765" t="str">
        <f>IF($B765="","",SUMIFS(dAmt,dCust,$B765,dPer,"&gt;="&amp;cyFrom,dPer,"&lt;="&amp;cyTo,dAmt,"&gt;-1E+300",dFlt1,critFlt1,dFlt2,critFlt2,dFlt3,critFlt3))</f>
        <v/>
      </c>
      <c r="E765" t="str">
        <f>IF($B765="","",SUMIFS(dQty,dCust,$B765,dPer,"&gt;="&amp;pyFrom,dPer,"&lt;="&amp;pyTo,dQty,"&gt;-1E+300",dFlt1,critFlt1,dFlt2,critFlt2,dFlt3,critFlt3))</f>
        <v/>
      </c>
      <c r="F765" t="str">
        <f>IF($B765="","",SUMIFS(dQty,dCust,$B765,dPer,"&gt;="&amp;cyFrom,dPer,"&lt;="&amp;cyTo,dQty,"&gt;-1E+300",dFlt1,critFlt1,dFlt2,critFlt2,dFlt3,critFlt3))</f>
        <v/>
      </c>
      <c r="G765">
        <f>IF($B765="",0,IFERROR(IF(OR(C765&lt;&gt;0,D765&lt;&gt;0,E765&lt;&gt;0,F765&lt;&gt;0),1,0),1))</f>
        <v>0</v>
      </c>
      <c r="H765" t="str">
        <f>IF(OR(G765=0,E765=0),"",C765/E765)</f>
        <v/>
      </c>
      <c r="I765" t="str">
        <f>IF(OR(G765=0,F765=0),"",D765/F765)</f>
        <v/>
      </c>
      <c r="J765" t="str">
        <f>IF(OR(H765="",I765=""),"",IF(H765=0,"",I765/H765-1))</f>
        <v/>
      </c>
      <c r="K765" t="str">
        <f>IF($B765="","",IFERROR(IF(G765=0,-2E+300,CHOOSE(sortIdx,ROUND(D765,0),IF(J765="",-1E+300,ROUND(-J765,6)),IF(J765="",-1E+300,ROUND(J765,6)))),-1.5E+300))</f>
        <v/>
      </c>
      <c r="L765" t="str">
        <f>IF(K765="","",RANK(K765,$K$2:$K$3001,0)+COUNTIF($K$2:K765,K765)-1)</f>
        <v/>
      </c>
    </row>
    <row r="766">
      <c r="B766" t="str">
        <f>IFERROR(IF(A766="","","="&amp;SUBSTITUTE(SUBSTITUTE(SUBSTITUTE(A766,"~","~~"),"*","~*"),"?","~?")),"")</f>
        <v/>
      </c>
      <c r="C766" t="str">
        <f>IF($B766="","",SUMIFS(dAmt,dCust,$B766,dPer,"&gt;="&amp;pyFrom,dPer,"&lt;="&amp;pyTo,dAmt,"&gt;-1E+300",dFlt1,critFlt1,dFlt2,critFlt2,dFlt3,critFlt3))</f>
        <v/>
      </c>
      <c r="D766" t="str">
        <f>IF($B766="","",SUMIFS(dAmt,dCust,$B766,dPer,"&gt;="&amp;cyFrom,dPer,"&lt;="&amp;cyTo,dAmt,"&gt;-1E+300",dFlt1,critFlt1,dFlt2,critFlt2,dFlt3,critFlt3))</f>
        <v/>
      </c>
      <c r="E766" t="str">
        <f>IF($B766="","",SUMIFS(dQty,dCust,$B766,dPer,"&gt;="&amp;pyFrom,dPer,"&lt;="&amp;pyTo,dQty,"&gt;-1E+300",dFlt1,critFlt1,dFlt2,critFlt2,dFlt3,critFlt3))</f>
        <v/>
      </c>
      <c r="F766" t="str">
        <f>IF($B766="","",SUMIFS(dQty,dCust,$B766,dPer,"&gt;="&amp;cyFrom,dPer,"&lt;="&amp;cyTo,dQty,"&gt;-1E+300",dFlt1,critFlt1,dFlt2,critFlt2,dFlt3,critFlt3))</f>
        <v/>
      </c>
      <c r="G766">
        <f>IF($B766="",0,IFERROR(IF(OR(C766&lt;&gt;0,D766&lt;&gt;0,E766&lt;&gt;0,F766&lt;&gt;0),1,0),1))</f>
        <v>0</v>
      </c>
      <c r="H766" t="str">
        <f>IF(OR(G766=0,E766=0),"",C766/E766)</f>
        <v/>
      </c>
      <c r="I766" t="str">
        <f>IF(OR(G766=0,F766=0),"",D766/F766)</f>
        <v/>
      </c>
      <c r="J766" t="str">
        <f>IF(OR(H766="",I766=""),"",IF(H766=0,"",I766/H766-1))</f>
        <v/>
      </c>
      <c r="K766" t="str">
        <f>IF($B766="","",IFERROR(IF(G766=0,-2E+300,CHOOSE(sortIdx,ROUND(D766,0),IF(J766="",-1E+300,ROUND(-J766,6)),IF(J766="",-1E+300,ROUND(J766,6)))),-1.5E+300))</f>
        <v/>
      </c>
      <c r="L766" t="str">
        <f>IF(K766="","",RANK(K766,$K$2:$K$3001,0)+COUNTIF($K$2:K766,K766)-1)</f>
        <v/>
      </c>
    </row>
    <row r="767">
      <c r="B767" t="str">
        <f>IFERROR(IF(A767="","","="&amp;SUBSTITUTE(SUBSTITUTE(SUBSTITUTE(A767,"~","~~"),"*","~*"),"?","~?")),"")</f>
        <v/>
      </c>
      <c r="C767" t="str">
        <f>IF($B767="","",SUMIFS(dAmt,dCust,$B767,dPer,"&gt;="&amp;pyFrom,dPer,"&lt;="&amp;pyTo,dAmt,"&gt;-1E+300",dFlt1,critFlt1,dFlt2,critFlt2,dFlt3,critFlt3))</f>
        <v/>
      </c>
      <c r="D767" t="str">
        <f>IF($B767="","",SUMIFS(dAmt,dCust,$B767,dPer,"&gt;="&amp;cyFrom,dPer,"&lt;="&amp;cyTo,dAmt,"&gt;-1E+300",dFlt1,critFlt1,dFlt2,critFlt2,dFlt3,critFlt3))</f>
        <v/>
      </c>
      <c r="E767" t="str">
        <f>IF($B767="","",SUMIFS(dQty,dCust,$B767,dPer,"&gt;="&amp;pyFrom,dPer,"&lt;="&amp;pyTo,dQty,"&gt;-1E+300",dFlt1,critFlt1,dFlt2,critFlt2,dFlt3,critFlt3))</f>
        <v/>
      </c>
      <c r="F767" t="str">
        <f>IF($B767="","",SUMIFS(dQty,dCust,$B767,dPer,"&gt;="&amp;cyFrom,dPer,"&lt;="&amp;cyTo,dQty,"&gt;-1E+300",dFlt1,critFlt1,dFlt2,critFlt2,dFlt3,critFlt3))</f>
        <v/>
      </c>
      <c r="G767">
        <f>IF($B767="",0,IFERROR(IF(OR(C767&lt;&gt;0,D767&lt;&gt;0,E767&lt;&gt;0,F767&lt;&gt;0),1,0),1))</f>
        <v>0</v>
      </c>
      <c r="H767" t="str">
        <f>IF(OR(G767=0,E767=0),"",C767/E767)</f>
        <v/>
      </c>
      <c r="I767" t="str">
        <f>IF(OR(G767=0,F767=0),"",D767/F767)</f>
        <v/>
      </c>
      <c r="J767" t="str">
        <f>IF(OR(H767="",I767=""),"",IF(H767=0,"",I767/H767-1))</f>
        <v/>
      </c>
      <c r="K767" t="str">
        <f>IF($B767="","",IFERROR(IF(G767=0,-2E+300,CHOOSE(sortIdx,ROUND(D767,0),IF(J767="",-1E+300,ROUND(-J767,6)),IF(J767="",-1E+300,ROUND(J767,6)))),-1.5E+300))</f>
        <v/>
      </c>
      <c r="L767" t="str">
        <f>IF(K767="","",RANK(K767,$K$2:$K$3001,0)+COUNTIF($K$2:K767,K767)-1)</f>
        <v/>
      </c>
    </row>
    <row r="768">
      <c r="B768" t="str">
        <f>IFERROR(IF(A768="","","="&amp;SUBSTITUTE(SUBSTITUTE(SUBSTITUTE(A768,"~","~~"),"*","~*"),"?","~?")),"")</f>
        <v/>
      </c>
      <c r="C768" t="str">
        <f>IF($B768="","",SUMIFS(dAmt,dCust,$B768,dPer,"&gt;="&amp;pyFrom,dPer,"&lt;="&amp;pyTo,dAmt,"&gt;-1E+300",dFlt1,critFlt1,dFlt2,critFlt2,dFlt3,critFlt3))</f>
        <v/>
      </c>
      <c r="D768" t="str">
        <f>IF($B768="","",SUMIFS(dAmt,dCust,$B768,dPer,"&gt;="&amp;cyFrom,dPer,"&lt;="&amp;cyTo,dAmt,"&gt;-1E+300",dFlt1,critFlt1,dFlt2,critFlt2,dFlt3,critFlt3))</f>
        <v/>
      </c>
      <c r="E768" t="str">
        <f>IF($B768="","",SUMIFS(dQty,dCust,$B768,dPer,"&gt;="&amp;pyFrom,dPer,"&lt;="&amp;pyTo,dQty,"&gt;-1E+300",dFlt1,critFlt1,dFlt2,critFlt2,dFlt3,critFlt3))</f>
        <v/>
      </c>
      <c r="F768" t="str">
        <f>IF($B768="","",SUMIFS(dQty,dCust,$B768,dPer,"&gt;="&amp;cyFrom,dPer,"&lt;="&amp;cyTo,dQty,"&gt;-1E+300",dFlt1,critFlt1,dFlt2,critFlt2,dFlt3,critFlt3))</f>
        <v/>
      </c>
      <c r="G768">
        <f>IF($B768="",0,IFERROR(IF(OR(C768&lt;&gt;0,D768&lt;&gt;0,E768&lt;&gt;0,F768&lt;&gt;0),1,0),1))</f>
        <v>0</v>
      </c>
      <c r="H768" t="str">
        <f>IF(OR(G768=0,E768=0),"",C768/E768)</f>
        <v/>
      </c>
      <c r="I768" t="str">
        <f>IF(OR(G768=0,F768=0),"",D768/F768)</f>
        <v/>
      </c>
      <c r="J768" t="str">
        <f>IF(OR(H768="",I768=""),"",IF(H768=0,"",I768/H768-1))</f>
        <v/>
      </c>
      <c r="K768" t="str">
        <f>IF($B768="","",IFERROR(IF(G768=0,-2E+300,CHOOSE(sortIdx,ROUND(D768,0),IF(J768="",-1E+300,ROUND(-J768,6)),IF(J768="",-1E+300,ROUND(J768,6)))),-1.5E+300))</f>
        <v/>
      </c>
      <c r="L768" t="str">
        <f>IF(K768="","",RANK(K768,$K$2:$K$3001,0)+COUNTIF($K$2:K768,K768)-1)</f>
        <v/>
      </c>
    </row>
    <row r="769">
      <c r="B769" t="str">
        <f>IFERROR(IF(A769="","","="&amp;SUBSTITUTE(SUBSTITUTE(SUBSTITUTE(A769,"~","~~"),"*","~*"),"?","~?")),"")</f>
        <v/>
      </c>
      <c r="C769" t="str">
        <f>IF($B769="","",SUMIFS(dAmt,dCust,$B769,dPer,"&gt;="&amp;pyFrom,dPer,"&lt;="&amp;pyTo,dAmt,"&gt;-1E+300",dFlt1,critFlt1,dFlt2,critFlt2,dFlt3,critFlt3))</f>
        <v/>
      </c>
      <c r="D769" t="str">
        <f>IF($B769="","",SUMIFS(dAmt,dCust,$B769,dPer,"&gt;="&amp;cyFrom,dPer,"&lt;="&amp;cyTo,dAmt,"&gt;-1E+300",dFlt1,critFlt1,dFlt2,critFlt2,dFlt3,critFlt3))</f>
        <v/>
      </c>
      <c r="E769" t="str">
        <f>IF($B769="","",SUMIFS(dQty,dCust,$B769,dPer,"&gt;="&amp;pyFrom,dPer,"&lt;="&amp;pyTo,dQty,"&gt;-1E+300",dFlt1,critFlt1,dFlt2,critFlt2,dFlt3,critFlt3))</f>
        <v/>
      </c>
      <c r="F769" t="str">
        <f>IF($B769="","",SUMIFS(dQty,dCust,$B769,dPer,"&gt;="&amp;cyFrom,dPer,"&lt;="&amp;cyTo,dQty,"&gt;-1E+300",dFlt1,critFlt1,dFlt2,critFlt2,dFlt3,critFlt3))</f>
        <v/>
      </c>
      <c r="G769">
        <f>IF($B769="",0,IFERROR(IF(OR(C769&lt;&gt;0,D769&lt;&gt;0,E769&lt;&gt;0,F769&lt;&gt;0),1,0),1))</f>
        <v>0</v>
      </c>
      <c r="H769" t="str">
        <f>IF(OR(G769=0,E769=0),"",C769/E769)</f>
        <v/>
      </c>
      <c r="I769" t="str">
        <f>IF(OR(G769=0,F769=0),"",D769/F769)</f>
        <v/>
      </c>
      <c r="J769" t="str">
        <f>IF(OR(H769="",I769=""),"",IF(H769=0,"",I769/H769-1))</f>
        <v/>
      </c>
      <c r="K769" t="str">
        <f>IF($B769="","",IFERROR(IF(G769=0,-2E+300,CHOOSE(sortIdx,ROUND(D769,0),IF(J769="",-1E+300,ROUND(-J769,6)),IF(J769="",-1E+300,ROUND(J769,6)))),-1.5E+300))</f>
        <v/>
      </c>
      <c r="L769" t="str">
        <f>IF(K769="","",RANK(K769,$K$2:$K$3001,0)+COUNTIF($K$2:K769,K769)-1)</f>
        <v/>
      </c>
    </row>
    <row r="770">
      <c r="B770" t="str">
        <f>IFERROR(IF(A770="","","="&amp;SUBSTITUTE(SUBSTITUTE(SUBSTITUTE(A770,"~","~~"),"*","~*"),"?","~?")),"")</f>
        <v/>
      </c>
      <c r="C770" t="str">
        <f>IF($B770="","",SUMIFS(dAmt,dCust,$B770,dPer,"&gt;="&amp;pyFrom,dPer,"&lt;="&amp;pyTo,dAmt,"&gt;-1E+300",dFlt1,critFlt1,dFlt2,critFlt2,dFlt3,critFlt3))</f>
        <v/>
      </c>
      <c r="D770" t="str">
        <f>IF($B770="","",SUMIFS(dAmt,dCust,$B770,dPer,"&gt;="&amp;cyFrom,dPer,"&lt;="&amp;cyTo,dAmt,"&gt;-1E+300",dFlt1,critFlt1,dFlt2,critFlt2,dFlt3,critFlt3))</f>
        <v/>
      </c>
      <c r="E770" t="str">
        <f>IF($B770="","",SUMIFS(dQty,dCust,$B770,dPer,"&gt;="&amp;pyFrom,dPer,"&lt;="&amp;pyTo,dQty,"&gt;-1E+300",dFlt1,critFlt1,dFlt2,critFlt2,dFlt3,critFlt3))</f>
        <v/>
      </c>
      <c r="F770" t="str">
        <f>IF($B770="","",SUMIFS(dQty,dCust,$B770,dPer,"&gt;="&amp;cyFrom,dPer,"&lt;="&amp;cyTo,dQty,"&gt;-1E+300",dFlt1,critFlt1,dFlt2,critFlt2,dFlt3,critFlt3))</f>
        <v/>
      </c>
      <c r="G770">
        <f>IF($B770="",0,IFERROR(IF(OR(C770&lt;&gt;0,D770&lt;&gt;0,E770&lt;&gt;0,F770&lt;&gt;0),1,0),1))</f>
        <v>0</v>
      </c>
      <c r="H770" t="str">
        <f>IF(OR(G770=0,E770=0),"",C770/E770)</f>
        <v/>
      </c>
      <c r="I770" t="str">
        <f>IF(OR(G770=0,F770=0),"",D770/F770)</f>
        <v/>
      </c>
      <c r="J770" t="str">
        <f>IF(OR(H770="",I770=""),"",IF(H770=0,"",I770/H770-1))</f>
        <v/>
      </c>
      <c r="K770" t="str">
        <f>IF($B770="","",IFERROR(IF(G770=0,-2E+300,CHOOSE(sortIdx,ROUND(D770,0),IF(J770="",-1E+300,ROUND(-J770,6)),IF(J770="",-1E+300,ROUND(J770,6)))),-1.5E+300))</f>
        <v/>
      </c>
      <c r="L770" t="str">
        <f>IF(K770="","",RANK(K770,$K$2:$K$3001,0)+COUNTIF($K$2:K770,K770)-1)</f>
        <v/>
      </c>
    </row>
    <row r="771">
      <c r="B771" t="str">
        <f>IFERROR(IF(A771="","","="&amp;SUBSTITUTE(SUBSTITUTE(SUBSTITUTE(A771,"~","~~"),"*","~*"),"?","~?")),"")</f>
        <v/>
      </c>
      <c r="C771" t="str">
        <f>IF($B771="","",SUMIFS(dAmt,dCust,$B771,dPer,"&gt;="&amp;pyFrom,dPer,"&lt;="&amp;pyTo,dAmt,"&gt;-1E+300",dFlt1,critFlt1,dFlt2,critFlt2,dFlt3,critFlt3))</f>
        <v/>
      </c>
      <c r="D771" t="str">
        <f>IF($B771="","",SUMIFS(dAmt,dCust,$B771,dPer,"&gt;="&amp;cyFrom,dPer,"&lt;="&amp;cyTo,dAmt,"&gt;-1E+300",dFlt1,critFlt1,dFlt2,critFlt2,dFlt3,critFlt3))</f>
        <v/>
      </c>
      <c r="E771" t="str">
        <f>IF($B771="","",SUMIFS(dQty,dCust,$B771,dPer,"&gt;="&amp;pyFrom,dPer,"&lt;="&amp;pyTo,dQty,"&gt;-1E+300",dFlt1,critFlt1,dFlt2,critFlt2,dFlt3,critFlt3))</f>
        <v/>
      </c>
      <c r="F771" t="str">
        <f>IF($B771="","",SUMIFS(dQty,dCust,$B771,dPer,"&gt;="&amp;cyFrom,dPer,"&lt;="&amp;cyTo,dQty,"&gt;-1E+300",dFlt1,critFlt1,dFlt2,critFlt2,dFlt3,critFlt3))</f>
        <v/>
      </c>
      <c r="G771">
        <f>IF($B771="",0,IFERROR(IF(OR(C771&lt;&gt;0,D771&lt;&gt;0,E771&lt;&gt;0,F771&lt;&gt;0),1,0),1))</f>
        <v>0</v>
      </c>
      <c r="H771" t="str">
        <f>IF(OR(G771=0,E771=0),"",C771/E771)</f>
        <v/>
      </c>
      <c r="I771" t="str">
        <f>IF(OR(G771=0,F771=0),"",D771/F771)</f>
        <v/>
      </c>
      <c r="J771" t="str">
        <f>IF(OR(H771="",I771=""),"",IF(H771=0,"",I771/H771-1))</f>
        <v/>
      </c>
      <c r="K771" t="str">
        <f>IF($B771="","",IFERROR(IF(G771=0,-2E+300,CHOOSE(sortIdx,ROUND(D771,0),IF(J771="",-1E+300,ROUND(-J771,6)),IF(J771="",-1E+300,ROUND(J771,6)))),-1.5E+300))</f>
        <v/>
      </c>
      <c r="L771" t="str">
        <f>IF(K771="","",RANK(K771,$K$2:$K$3001,0)+COUNTIF($K$2:K771,K771)-1)</f>
        <v/>
      </c>
    </row>
    <row r="772">
      <c r="B772" t="str">
        <f>IFERROR(IF(A772="","","="&amp;SUBSTITUTE(SUBSTITUTE(SUBSTITUTE(A772,"~","~~"),"*","~*"),"?","~?")),"")</f>
        <v/>
      </c>
      <c r="C772" t="str">
        <f>IF($B772="","",SUMIFS(dAmt,dCust,$B772,dPer,"&gt;="&amp;pyFrom,dPer,"&lt;="&amp;pyTo,dAmt,"&gt;-1E+300",dFlt1,critFlt1,dFlt2,critFlt2,dFlt3,critFlt3))</f>
        <v/>
      </c>
      <c r="D772" t="str">
        <f>IF($B772="","",SUMIFS(dAmt,dCust,$B772,dPer,"&gt;="&amp;cyFrom,dPer,"&lt;="&amp;cyTo,dAmt,"&gt;-1E+300",dFlt1,critFlt1,dFlt2,critFlt2,dFlt3,critFlt3))</f>
        <v/>
      </c>
      <c r="E772" t="str">
        <f>IF($B772="","",SUMIFS(dQty,dCust,$B772,dPer,"&gt;="&amp;pyFrom,dPer,"&lt;="&amp;pyTo,dQty,"&gt;-1E+300",dFlt1,critFlt1,dFlt2,critFlt2,dFlt3,critFlt3))</f>
        <v/>
      </c>
      <c r="F772" t="str">
        <f>IF($B772="","",SUMIFS(dQty,dCust,$B772,dPer,"&gt;="&amp;cyFrom,dPer,"&lt;="&amp;cyTo,dQty,"&gt;-1E+300",dFlt1,critFlt1,dFlt2,critFlt2,dFlt3,critFlt3))</f>
        <v/>
      </c>
      <c r="G772">
        <f>IF($B772="",0,IFERROR(IF(OR(C772&lt;&gt;0,D772&lt;&gt;0,E772&lt;&gt;0,F772&lt;&gt;0),1,0),1))</f>
        <v>0</v>
      </c>
      <c r="H772" t="str">
        <f>IF(OR(G772=0,E772=0),"",C772/E772)</f>
        <v/>
      </c>
      <c r="I772" t="str">
        <f>IF(OR(G772=0,F772=0),"",D772/F772)</f>
        <v/>
      </c>
      <c r="J772" t="str">
        <f>IF(OR(H772="",I772=""),"",IF(H772=0,"",I772/H772-1))</f>
        <v/>
      </c>
      <c r="K772" t="str">
        <f>IF($B772="","",IFERROR(IF(G772=0,-2E+300,CHOOSE(sortIdx,ROUND(D772,0),IF(J772="",-1E+300,ROUND(-J772,6)),IF(J772="",-1E+300,ROUND(J772,6)))),-1.5E+300))</f>
        <v/>
      </c>
      <c r="L772" t="str">
        <f>IF(K772="","",RANK(K772,$K$2:$K$3001,0)+COUNTIF($K$2:K772,K772)-1)</f>
        <v/>
      </c>
    </row>
    <row r="773">
      <c r="B773" t="str">
        <f>IFERROR(IF(A773="","","="&amp;SUBSTITUTE(SUBSTITUTE(SUBSTITUTE(A773,"~","~~"),"*","~*"),"?","~?")),"")</f>
        <v/>
      </c>
      <c r="C773" t="str">
        <f>IF($B773="","",SUMIFS(dAmt,dCust,$B773,dPer,"&gt;="&amp;pyFrom,dPer,"&lt;="&amp;pyTo,dAmt,"&gt;-1E+300",dFlt1,critFlt1,dFlt2,critFlt2,dFlt3,critFlt3))</f>
        <v/>
      </c>
      <c r="D773" t="str">
        <f>IF($B773="","",SUMIFS(dAmt,dCust,$B773,dPer,"&gt;="&amp;cyFrom,dPer,"&lt;="&amp;cyTo,dAmt,"&gt;-1E+300",dFlt1,critFlt1,dFlt2,critFlt2,dFlt3,critFlt3))</f>
        <v/>
      </c>
      <c r="E773" t="str">
        <f>IF($B773="","",SUMIFS(dQty,dCust,$B773,dPer,"&gt;="&amp;pyFrom,dPer,"&lt;="&amp;pyTo,dQty,"&gt;-1E+300",dFlt1,critFlt1,dFlt2,critFlt2,dFlt3,critFlt3))</f>
        <v/>
      </c>
      <c r="F773" t="str">
        <f>IF($B773="","",SUMIFS(dQty,dCust,$B773,dPer,"&gt;="&amp;cyFrom,dPer,"&lt;="&amp;cyTo,dQty,"&gt;-1E+300",dFlt1,critFlt1,dFlt2,critFlt2,dFlt3,critFlt3))</f>
        <v/>
      </c>
      <c r="G773">
        <f>IF($B773="",0,IFERROR(IF(OR(C773&lt;&gt;0,D773&lt;&gt;0,E773&lt;&gt;0,F773&lt;&gt;0),1,0),1))</f>
        <v>0</v>
      </c>
      <c r="H773" t="str">
        <f>IF(OR(G773=0,E773=0),"",C773/E773)</f>
        <v/>
      </c>
      <c r="I773" t="str">
        <f>IF(OR(G773=0,F773=0),"",D773/F773)</f>
        <v/>
      </c>
      <c r="J773" t="str">
        <f>IF(OR(H773="",I773=""),"",IF(H773=0,"",I773/H773-1))</f>
        <v/>
      </c>
      <c r="K773" t="str">
        <f>IF($B773="","",IFERROR(IF(G773=0,-2E+300,CHOOSE(sortIdx,ROUND(D773,0),IF(J773="",-1E+300,ROUND(-J773,6)),IF(J773="",-1E+300,ROUND(J773,6)))),-1.5E+300))</f>
        <v/>
      </c>
      <c r="L773" t="str">
        <f>IF(K773="","",RANK(K773,$K$2:$K$3001,0)+COUNTIF($K$2:K773,K773)-1)</f>
        <v/>
      </c>
    </row>
    <row r="774">
      <c r="B774" t="str">
        <f>IFERROR(IF(A774="","","="&amp;SUBSTITUTE(SUBSTITUTE(SUBSTITUTE(A774,"~","~~"),"*","~*"),"?","~?")),"")</f>
        <v/>
      </c>
      <c r="C774" t="str">
        <f>IF($B774="","",SUMIFS(dAmt,dCust,$B774,dPer,"&gt;="&amp;pyFrom,dPer,"&lt;="&amp;pyTo,dAmt,"&gt;-1E+300",dFlt1,critFlt1,dFlt2,critFlt2,dFlt3,critFlt3))</f>
        <v/>
      </c>
      <c r="D774" t="str">
        <f>IF($B774="","",SUMIFS(dAmt,dCust,$B774,dPer,"&gt;="&amp;cyFrom,dPer,"&lt;="&amp;cyTo,dAmt,"&gt;-1E+300",dFlt1,critFlt1,dFlt2,critFlt2,dFlt3,critFlt3))</f>
        <v/>
      </c>
      <c r="E774" t="str">
        <f>IF($B774="","",SUMIFS(dQty,dCust,$B774,dPer,"&gt;="&amp;pyFrom,dPer,"&lt;="&amp;pyTo,dQty,"&gt;-1E+300",dFlt1,critFlt1,dFlt2,critFlt2,dFlt3,critFlt3))</f>
        <v/>
      </c>
      <c r="F774" t="str">
        <f>IF($B774="","",SUMIFS(dQty,dCust,$B774,dPer,"&gt;="&amp;cyFrom,dPer,"&lt;="&amp;cyTo,dQty,"&gt;-1E+300",dFlt1,critFlt1,dFlt2,critFlt2,dFlt3,critFlt3))</f>
        <v/>
      </c>
      <c r="G774">
        <f>IF($B774="",0,IFERROR(IF(OR(C774&lt;&gt;0,D774&lt;&gt;0,E774&lt;&gt;0,F774&lt;&gt;0),1,0),1))</f>
        <v>0</v>
      </c>
      <c r="H774" t="str">
        <f>IF(OR(G774=0,E774=0),"",C774/E774)</f>
        <v/>
      </c>
      <c r="I774" t="str">
        <f>IF(OR(G774=0,F774=0),"",D774/F774)</f>
        <v/>
      </c>
      <c r="J774" t="str">
        <f>IF(OR(H774="",I774=""),"",IF(H774=0,"",I774/H774-1))</f>
        <v/>
      </c>
      <c r="K774" t="str">
        <f>IF($B774="","",IFERROR(IF(G774=0,-2E+300,CHOOSE(sortIdx,ROUND(D774,0),IF(J774="",-1E+300,ROUND(-J774,6)),IF(J774="",-1E+300,ROUND(J774,6)))),-1.5E+300))</f>
        <v/>
      </c>
      <c r="L774" t="str">
        <f>IF(K774="","",RANK(K774,$K$2:$K$3001,0)+COUNTIF($K$2:K774,K774)-1)</f>
        <v/>
      </c>
    </row>
    <row r="775">
      <c r="B775" t="str">
        <f>IFERROR(IF(A775="","","="&amp;SUBSTITUTE(SUBSTITUTE(SUBSTITUTE(A775,"~","~~"),"*","~*"),"?","~?")),"")</f>
        <v/>
      </c>
      <c r="C775" t="str">
        <f>IF($B775="","",SUMIFS(dAmt,dCust,$B775,dPer,"&gt;="&amp;pyFrom,dPer,"&lt;="&amp;pyTo,dAmt,"&gt;-1E+300",dFlt1,critFlt1,dFlt2,critFlt2,dFlt3,critFlt3))</f>
        <v/>
      </c>
      <c r="D775" t="str">
        <f>IF($B775="","",SUMIFS(dAmt,dCust,$B775,dPer,"&gt;="&amp;cyFrom,dPer,"&lt;="&amp;cyTo,dAmt,"&gt;-1E+300",dFlt1,critFlt1,dFlt2,critFlt2,dFlt3,critFlt3))</f>
        <v/>
      </c>
      <c r="E775" t="str">
        <f>IF($B775="","",SUMIFS(dQty,dCust,$B775,dPer,"&gt;="&amp;pyFrom,dPer,"&lt;="&amp;pyTo,dQty,"&gt;-1E+300",dFlt1,critFlt1,dFlt2,critFlt2,dFlt3,critFlt3))</f>
        <v/>
      </c>
      <c r="F775" t="str">
        <f>IF($B775="","",SUMIFS(dQty,dCust,$B775,dPer,"&gt;="&amp;cyFrom,dPer,"&lt;="&amp;cyTo,dQty,"&gt;-1E+300",dFlt1,critFlt1,dFlt2,critFlt2,dFlt3,critFlt3))</f>
        <v/>
      </c>
      <c r="G775">
        <f>IF($B775="",0,IFERROR(IF(OR(C775&lt;&gt;0,D775&lt;&gt;0,E775&lt;&gt;0,F775&lt;&gt;0),1,0),1))</f>
        <v>0</v>
      </c>
      <c r="H775" t="str">
        <f>IF(OR(G775=0,E775=0),"",C775/E775)</f>
        <v/>
      </c>
      <c r="I775" t="str">
        <f>IF(OR(G775=0,F775=0),"",D775/F775)</f>
        <v/>
      </c>
      <c r="J775" t="str">
        <f>IF(OR(H775="",I775=""),"",IF(H775=0,"",I775/H775-1))</f>
        <v/>
      </c>
      <c r="K775" t="str">
        <f>IF($B775="","",IFERROR(IF(G775=0,-2E+300,CHOOSE(sortIdx,ROUND(D775,0),IF(J775="",-1E+300,ROUND(-J775,6)),IF(J775="",-1E+300,ROUND(J775,6)))),-1.5E+300))</f>
        <v/>
      </c>
      <c r="L775" t="str">
        <f>IF(K775="","",RANK(K775,$K$2:$K$3001,0)+COUNTIF($K$2:K775,K775)-1)</f>
        <v/>
      </c>
    </row>
    <row r="776">
      <c r="B776" t="str">
        <f>IFERROR(IF(A776="","","="&amp;SUBSTITUTE(SUBSTITUTE(SUBSTITUTE(A776,"~","~~"),"*","~*"),"?","~?")),"")</f>
        <v/>
      </c>
      <c r="C776" t="str">
        <f>IF($B776="","",SUMIFS(dAmt,dCust,$B776,dPer,"&gt;="&amp;pyFrom,dPer,"&lt;="&amp;pyTo,dAmt,"&gt;-1E+300",dFlt1,critFlt1,dFlt2,critFlt2,dFlt3,critFlt3))</f>
        <v/>
      </c>
      <c r="D776" t="str">
        <f>IF($B776="","",SUMIFS(dAmt,dCust,$B776,dPer,"&gt;="&amp;cyFrom,dPer,"&lt;="&amp;cyTo,dAmt,"&gt;-1E+300",dFlt1,critFlt1,dFlt2,critFlt2,dFlt3,critFlt3))</f>
        <v/>
      </c>
      <c r="E776" t="str">
        <f>IF($B776="","",SUMIFS(dQty,dCust,$B776,dPer,"&gt;="&amp;pyFrom,dPer,"&lt;="&amp;pyTo,dQty,"&gt;-1E+300",dFlt1,critFlt1,dFlt2,critFlt2,dFlt3,critFlt3))</f>
        <v/>
      </c>
      <c r="F776" t="str">
        <f>IF($B776="","",SUMIFS(dQty,dCust,$B776,dPer,"&gt;="&amp;cyFrom,dPer,"&lt;="&amp;cyTo,dQty,"&gt;-1E+300",dFlt1,critFlt1,dFlt2,critFlt2,dFlt3,critFlt3))</f>
        <v/>
      </c>
      <c r="G776">
        <f>IF($B776="",0,IFERROR(IF(OR(C776&lt;&gt;0,D776&lt;&gt;0,E776&lt;&gt;0,F776&lt;&gt;0),1,0),1))</f>
        <v>0</v>
      </c>
      <c r="H776" t="str">
        <f>IF(OR(G776=0,E776=0),"",C776/E776)</f>
        <v/>
      </c>
      <c r="I776" t="str">
        <f>IF(OR(G776=0,F776=0),"",D776/F776)</f>
        <v/>
      </c>
      <c r="J776" t="str">
        <f>IF(OR(H776="",I776=""),"",IF(H776=0,"",I776/H776-1))</f>
        <v/>
      </c>
      <c r="K776" t="str">
        <f>IF($B776="","",IFERROR(IF(G776=0,-2E+300,CHOOSE(sortIdx,ROUND(D776,0),IF(J776="",-1E+300,ROUND(-J776,6)),IF(J776="",-1E+300,ROUND(J776,6)))),-1.5E+300))</f>
        <v/>
      </c>
      <c r="L776" t="str">
        <f>IF(K776="","",RANK(K776,$K$2:$K$3001,0)+COUNTIF($K$2:K776,K776)-1)</f>
        <v/>
      </c>
    </row>
    <row r="777">
      <c r="B777" t="str">
        <f>IFERROR(IF(A777="","","="&amp;SUBSTITUTE(SUBSTITUTE(SUBSTITUTE(A777,"~","~~"),"*","~*"),"?","~?")),"")</f>
        <v/>
      </c>
      <c r="C777" t="str">
        <f>IF($B777="","",SUMIFS(dAmt,dCust,$B777,dPer,"&gt;="&amp;pyFrom,dPer,"&lt;="&amp;pyTo,dAmt,"&gt;-1E+300",dFlt1,critFlt1,dFlt2,critFlt2,dFlt3,critFlt3))</f>
        <v/>
      </c>
      <c r="D777" t="str">
        <f>IF($B777="","",SUMIFS(dAmt,dCust,$B777,dPer,"&gt;="&amp;cyFrom,dPer,"&lt;="&amp;cyTo,dAmt,"&gt;-1E+300",dFlt1,critFlt1,dFlt2,critFlt2,dFlt3,critFlt3))</f>
        <v/>
      </c>
      <c r="E777" t="str">
        <f>IF($B777="","",SUMIFS(dQty,dCust,$B777,dPer,"&gt;="&amp;pyFrom,dPer,"&lt;="&amp;pyTo,dQty,"&gt;-1E+300",dFlt1,critFlt1,dFlt2,critFlt2,dFlt3,critFlt3))</f>
        <v/>
      </c>
      <c r="F777" t="str">
        <f>IF($B777="","",SUMIFS(dQty,dCust,$B777,dPer,"&gt;="&amp;cyFrom,dPer,"&lt;="&amp;cyTo,dQty,"&gt;-1E+300",dFlt1,critFlt1,dFlt2,critFlt2,dFlt3,critFlt3))</f>
        <v/>
      </c>
      <c r="G777">
        <f>IF($B777="",0,IFERROR(IF(OR(C777&lt;&gt;0,D777&lt;&gt;0,E777&lt;&gt;0,F777&lt;&gt;0),1,0),1))</f>
        <v>0</v>
      </c>
      <c r="H777" t="str">
        <f>IF(OR(G777=0,E777=0),"",C777/E777)</f>
        <v/>
      </c>
      <c r="I777" t="str">
        <f>IF(OR(G777=0,F777=0),"",D777/F777)</f>
        <v/>
      </c>
      <c r="J777" t="str">
        <f>IF(OR(H777="",I777=""),"",IF(H777=0,"",I777/H777-1))</f>
        <v/>
      </c>
      <c r="K777" t="str">
        <f>IF($B777="","",IFERROR(IF(G777=0,-2E+300,CHOOSE(sortIdx,ROUND(D777,0),IF(J777="",-1E+300,ROUND(-J777,6)),IF(J777="",-1E+300,ROUND(J777,6)))),-1.5E+300))</f>
        <v/>
      </c>
      <c r="L777" t="str">
        <f>IF(K777="","",RANK(K777,$K$2:$K$3001,0)+COUNTIF($K$2:K777,K777)-1)</f>
        <v/>
      </c>
    </row>
    <row r="778">
      <c r="B778" t="str">
        <f>IFERROR(IF(A778="","","="&amp;SUBSTITUTE(SUBSTITUTE(SUBSTITUTE(A778,"~","~~"),"*","~*"),"?","~?")),"")</f>
        <v/>
      </c>
      <c r="C778" t="str">
        <f>IF($B778="","",SUMIFS(dAmt,dCust,$B778,dPer,"&gt;="&amp;pyFrom,dPer,"&lt;="&amp;pyTo,dAmt,"&gt;-1E+300",dFlt1,critFlt1,dFlt2,critFlt2,dFlt3,critFlt3))</f>
        <v/>
      </c>
      <c r="D778" t="str">
        <f>IF($B778="","",SUMIFS(dAmt,dCust,$B778,dPer,"&gt;="&amp;cyFrom,dPer,"&lt;="&amp;cyTo,dAmt,"&gt;-1E+300",dFlt1,critFlt1,dFlt2,critFlt2,dFlt3,critFlt3))</f>
        <v/>
      </c>
      <c r="E778" t="str">
        <f>IF($B778="","",SUMIFS(dQty,dCust,$B778,dPer,"&gt;="&amp;pyFrom,dPer,"&lt;="&amp;pyTo,dQty,"&gt;-1E+300",dFlt1,critFlt1,dFlt2,critFlt2,dFlt3,critFlt3))</f>
        <v/>
      </c>
      <c r="F778" t="str">
        <f>IF($B778="","",SUMIFS(dQty,dCust,$B778,dPer,"&gt;="&amp;cyFrom,dPer,"&lt;="&amp;cyTo,dQty,"&gt;-1E+300",dFlt1,critFlt1,dFlt2,critFlt2,dFlt3,critFlt3))</f>
        <v/>
      </c>
      <c r="G778">
        <f>IF($B778="",0,IFERROR(IF(OR(C778&lt;&gt;0,D778&lt;&gt;0,E778&lt;&gt;0,F778&lt;&gt;0),1,0),1))</f>
        <v>0</v>
      </c>
      <c r="H778" t="str">
        <f>IF(OR(G778=0,E778=0),"",C778/E778)</f>
        <v/>
      </c>
      <c r="I778" t="str">
        <f>IF(OR(G778=0,F778=0),"",D778/F778)</f>
        <v/>
      </c>
      <c r="J778" t="str">
        <f>IF(OR(H778="",I778=""),"",IF(H778=0,"",I778/H778-1))</f>
        <v/>
      </c>
      <c r="K778" t="str">
        <f>IF($B778="","",IFERROR(IF(G778=0,-2E+300,CHOOSE(sortIdx,ROUND(D778,0),IF(J778="",-1E+300,ROUND(-J778,6)),IF(J778="",-1E+300,ROUND(J778,6)))),-1.5E+300))</f>
        <v/>
      </c>
      <c r="L778" t="str">
        <f>IF(K778="","",RANK(K778,$K$2:$K$3001,0)+COUNTIF($K$2:K778,K778)-1)</f>
        <v/>
      </c>
    </row>
    <row r="779">
      <c r="B779" t="str">
        <f>IFERROR(IF(A779="","","="&amp;SUBSTITUTE(SUBSTITUTE(SUBSTITUTE(A779,"~","~~"),"*","~*"),"?","~?")),"")</f>
        <v/>
      </c>
      <c r="C779" t="str">
        <f>IF($B779="","",SUMIFS(dAmt,dCust,$B779,dPer,"&gt;="&amp;pyFrom,dPer,"&lt;="&amp;pyTo,dAmt,"&gt;-1E+300",dFlt1,critFlt1,dFlt2,critFlt2,dFlt3,critFlt3))</f>
        <v/>
      </c>
      <c r="D779" t="str">
        <f>IF($B779="","",SUMIFS(dAmt,dCust,$B779,dPer,"&gt;="&amp;cyFrom,dPer,"&lt;="&amp;cyTo,dAmt,"&gt;-1E+300",dFlt1,critFlt1,dFlt2,critFlt2,dFlt3,critFlt3))</f>
        <v/>
      </c>
      <c r="E779" t="str">
        <f>IF($B779="","",SUMIFS(dQty,dCust,$B779,dPer,"&gt;="&amp;pyFrom,dPer,"&lt;="&amp;pyTo,dQty,"&gt;-1E+300",dFlt1,critFlt1,dFlt2,critFlt2,dFlt3,critFlt3))</f>
        <v/>
      </c>
      <c r="F779" t="str">
        <f>IF($B779="","",SUMIFS(dQty,dCust,$B779,dPer,"&gt;="&amp;cyFrom,dPer,"&lt;="&amp;cyTo,dQty,"&gt;-1E+300",dFlt1,critFlt1,dFlt2,critFlt2,dFlt3,critFlt3))</f>
        <v/>
      </c>
      <c r="G779">
        <f>IF($B779="",0,IFERROR(IF(OR(C779&lt;&gt;0,D779&lt;&gt;0,E779&lt;&gt;0,F779&lt;&gt;0),1,0),1))</f>
        <v>0</v>
      </c>
      <c r="H779" t="str">
        <f>IF(OR(G779=0,E779=0),"",C779/E779)</f>
        <v/>
      </c>
      <c r="I779" t="str">
        <f>IF(OR(G779=0,F779=0),"",D779/F779)</f>
        <v/>
      </c>
      <c r="J779" t="str">
        <f>IF(OR(H779="",I779=""),"",IF(H779=0,"",I779/H779-1))</f>
        <v/>
      </c>
      <c r="K779" t="str">
        <f>IF($B779="","",IFERROR(IF(G779=0,-2E+300,CHOOSE(sortIdx,ROUND(D779,0),IF(J779="",-1E+300,ROUND(-J779,6)),IF(J779="",-1E+300,ROUND(J779,6)))),-1.5E+300))</f>
        <v/>
      </c>
      <c r="L779" t="str">
        <f>IF(K779="","",RANK(K779,$K$2:$K$3001,0)+COUNTIF($K$2:K779,K779)-1)</f>
        <v/>
      </c>
    </row>
    <row r="780">
      <c r="B780" t="str">
        <f>IFERROR(IF(A780="","","="&amp;SUBSTITUTE(SUBSTITUTE(SUBSTITUTE(A780,"~","~~"),"*","~*"),"?","~?")),"")</f>
        <v/>
      </c>
      <c r="C780" t="str">
        <f>IF($B780="","",SUMIFS(dAmt,dCust,$B780,dPer,"&gt;="&amp;pyFrom,dPer,"&lt;="&amp;pyTo,dAmt,"&gt;-1E+300",dFlt1,critFlt1,dFlt2,critFlt2,dFlt3,critFlt3))</f>
        <v/>
      </c>
      <c r="D780" t="str">
        <f>IF($B780="","",SUMIFS(dAmt,dCust,$B780,dPer,"&gt;="&amp;cyFrom,dPer,"&lt;="&amp;cyTo,dAmt,"&gt;-1E+300",dFlt1,critFlt1,dFlt2,critFlt2,dFlt3,critFlt3))</f>
        <v/>
      </c>
      <c r="E780" t="str">
        <f>IF($B780="","",SUMIFS(dQty,dCust,$B780,dPer,"&gt;="&amp;pyFrom,dPer,"&lt;="&amp;pyTo,dQty,"&gt;-1E+300",dFlt1,critFlt1,dFlt2,critFlt2,dFlt3,critFlt3))</f>
        <v/>
      </c>
      <c r="F780" t="str">
        <f>IF($B780="","",SUMIFS(dQty,dCust,$B780,dPer,"&gt;="&amp;cyFrom,dPer,"&lt;="&amp;cyTo,dQty,"&gt;-1E+300",dFlt1,critFlt1,dFlt2,critFlt2,dFlt3,critFlt3))</f>
        <v/>
      </c>
      <c r="G780">
        <f>IF($B780="",0,IFERROR(IF(OR(C780&lt;&gt;0,D780&lt;&gt;0,E780&lt;&gt;0,F780&lt;&gt;0),1,0),1))</f>
        <v>0</v>
      </c>
      <c r="H780" t="str">
        <f>IF(OR(G780=0,E780=0),"",C780/E780)</f>
        <v/>
      </c>
      <c r="I780" t="str">
        <f>IF(OR(G780=0,F780=0),"",D780/F780)</f>
        <v/>
      </c>
      <c r="J780" t="str">
        <f>IF(OR(H780="",I780=""),"",IF(H780=0,"",I780/H780-1))</f>
        <v/>
      </c>
      <c r="K780" t="str">
        <f>IF($B780="","",IFERROR(IF(G780=0,-2E+300,CHOOSE(sortIdx,ROUND(D780,0),IF(J780="",-1E+300,ROUND(-J780,6)),IF(J780="",-1E+300,ROUND(J780,6)))),-1.5E+300))</f>
        <v/>
      </c>
      <c r="L780" t="str">
        <f>IF(K780="","",RANK(K780,$K$2:$K$3001,0)+COUNTIF($K$2:K780,K780)-1)</f>
        <v/>
      </c>
    </row>
    <row r="781">
      <c r="B781" t="str">
        <f>IFERROR(IF(A781="","","="&amp;SUBSTITUTE(SUBSTITUTE(SUBSTITUTE(A781,"~","~~"),"*","~*"),"?","~?")),"")</f>
        <v/>
      </c>
      <c r="C781" t="str">
        <f>IF($B781="","",SUMIFS(dAmt,dCust,$B781,dPer,"&gt;="&amp;pyFrom,dPer,"&lt;="&amp;pyTo,dAmt,"&gt;-1E+300",dFlt1,critFlt1,dFlt2,critFlt2,dFlt3,critFlt3))</f>
        <v/>
      </c>
      <c r="D781" t="str">
        <f>IF($B781="","",SUMIFS(dAmt,dCust,$B781,dPer,"&gt;="&amp;cyFrom,dPer,"&lt;="&amp;cyTo,dAmt,"&gt;-1E+300",dFlt1,critFlt1,dFlt2,critFlt2,dFlt3,critFlt3))</f>
        <v/>
      </c>
      <c r="E781" t="str">
        <f>IF($B781="","",SUMIFS(dQty,dCust,$B781,dPer,"&gt;="&amp;pyFrom,dPer,"&lt;="&amp;pyTo,dQty,"&gt;-1E+300",dFlt1,critFlt1,dFlt2,critFlt2,dFlt3,critFlt3))</f>
        <v/>
      </c>
      <c r="F781" t="str">
        <f>IF($B781="","",SUMIFS(dQty,dCust,$B781,dPer,"&gt;="&amp;cyFrom,dPer,"&lt;="&amp;cyTo,dQty,"&gt;-1E+300",dFlt1,critFlt1,dFlt2,critFlt2,dFlt3,critFlt3))</f>
        <v/>
      </c>
      <c r="G781">
        <f>IF($B781="",0,IFERROR(IF(OR(C781&lt;&gt;0,D781&lt;&gt;0,E781&lt;&gt;0,F781&lt;&gt;0),1,0),1))</f>
        <v>0</v>
      </c>
      <c r="H781" t="str">
        <f>IF(OR(G781=0,E781=0),"",C781/E781)</f>
        <v/>
      </c>
      <c r="I781" t="str">
        <f>IF(OR(G781=0,F781=0),"",D781/F781)</f>
        <v/>
      </c>
      <c r="J781" t="str">
        <f>IF(OR(H781="",I781=""),"",IF(H781=0,"",I781/H781-1))</f>
        <v/>
      </c>
      <c r="K781" t="str">
        <f>IF($B781="","",IFERROR(IF(G781=0,-2E+300,CHOOSE(sortIdx,ROUND(D781,0),IF(J781="",-1E+300,ROUND(-J781,6)),IF(J781="",-1E+300,ROUND(J781,6)))),-1.5E+300))</f>
        <v/>
      </c>
      <c r="L781" t="str">
        <f>IF(K781="","",RANK(K781,$K$2:$K$3001,0)+COUNTIF($K$2:K781,K781)-1)</f>
        <v/>
      </c>
    </row>
    <row r="782">
      <c r="B782" t="str">
        <f>IFERROR(IF(A782="","","="&amp;SUBSTITUTE(SUBSTITUTE(SUBSTITUTE(A782,"~","~~"),"*","~*"),"?","~?")),"")</f>
        <v/>
      </c>
      <c r="C782" t="str">
        <f>IF($B782="","",SUMIFS(dAmt,dCust,$B782,dPer,"&gt;="&amp;pyFrom,dPer,"&lt;="&amp;pyTo,dAmt,"&gt;-1E+300",dFlt1,critFlt1,dFlt2,critFlt2,dFlt3,critFlt3))</f>
        <v/>
      </c>
      <c r="D782" t="str">
        <f>IF($B782="","",SUMIFS(dAmt,dCust,$B782,dPer,"&gt;="&amp;cyFrom,dPer,"&lt;="&amp;cyTo,dAmt,"&gt;-1E+300",dFlt1,critFlt1,dFlt2,critFlt2,dFlt3,critFlt3))</f>
        <v/>
      </c>
      <c r="E782" t="str">
        <f>IF($B782="","",SUMIFS(dQty,dCust,$B782,dPer,"&gt;="&amp;pyFrom,dPer,"&lt;="&amp;pyTo,dQty,"&gt;-1E+300",dFlt1,critFlt1,dFlt2,critFlt2,dFlt3,critFlt3))</f>
        <v/>
      </c>
      <c r="F782" t="str">
        <f>IF($B782="","",SUMIFS(dQty,dCust,$B782,dPer,"&gt;="&amp;cyFrom,dPer,"&lt;="&amp;cyTo,dQty,"&gt;-1E+300",dFlt1,critFlt1,dFlt2,critFlt2,dFlt3,critFlt3))</f>
        <v/>
      </c>
      <c r="G782">
        <f>IF($B782="",0,IFERROR(IF(OR(C782&lt;&gt;0,D782&lt;&gt;0,E782&lt;&gt;0,F782&lt;&gt;0),1,0),1))</f>
        <v>0</v>
      </c>
      <c r="H782" t="str">
        <f>IF(OR(G782=0,E782=0),"",C782/E782)</f>
        <v/>
      </c>
      <c r="I782" t="str">
        <f>IF(OR(G782=0,F782=0),"",D782/F782)</f>
        <v/>
      </c>
      <c r="J782" t="str">
        <f>IF(OR(H782="",I782=""),"",IF(H782=0,"",I782/H782-1))</f>
        <v/>
      </c>
      <c r="K782" t="str">
        <f>IF($B782="","",IFERROR(IF(G782=0,-2E+300,CHOOSE(sortIdx,ROUND(D782,0),IF(J782="",-1E+300,ROUND(-J782,6)),IF(J782="",-1E+300,ROUND(J782,6)))),-1.5E+300))</f>
        <v/>
      </c>
      <c r="L782" t="str">
        <f>IF(K782="","",RANK(K782,$K$2:$K$3001,0)+COUNTIF($K$2:K782,K782)-1)</f>
        <v/>
      </c>
    </row>
    <row r="783">
      <c r="B783" t="str">
        <f>IFERROR(IF(A783="","","="&amp;SUBSTITUTE(SUBSTITUTE(SUBSTITUTE(A783,"~","~~"),"*","~*"),"?","~?")),"")</f>
        <v/>
      </c>
      <c r="C783" t="str">
        <f>IF($B783="","",SUMIFS(dAmt,dCust,$B783,dPer,"&gt;="&amp;pyFrom,dPer,"&lt;="&amp;pyTo,dAmt,"&gt;-1E+300",dFlt1,critFlt1,dFlt2,critFlt2,dFlt3,critFlt3))</f>
        <v/>
      </c>
      <c r="D783" t="str">
        <f>IF($B783="","",SUMIFS(dAmt,dCust,$B783,dPer,"&gt;="&amp;cyFrom,dPer,"&lt;="&amp;cyTo,dAmt,"&gt;-1E+300",dFlt1,critFlt1,dFlt2,critFlt2,dFlt3,critFlt3))</f>
        <v/>
      </c>
      <c r="E783" t="str">
        <f>IF($B783="","",SUMIFS(dQty,dCust,$B783,dPer,"&gt;="&amp;pyFrom,dPer,"&lt;="&amp;pyTo,dQty,"&gt;-1E+300",dFlt1,critFlt1,dFlt2,critFlt2,dFlt3,critFlt3))</f>
        <v/>
      </c>
      <c r="F783" t="str">
        <f>IF($B783="","",SUMIFS(dQty,dCust,$B783,dPer,"&gt;="&amp;cyFrom,dPer,"&lt;="&amp;cyTo,dQty,"&gt;-1E+300",dFlt1,critFlt1,dFlt2,critFlt2,dFlt3,critFlt3))</f>
        <v/>
      </c>
      <c r="G783">
        <f>IF($B783="",0,IFERROR(IF(OR(C783&lt;&gt;0,D783&lt;&gt;0,E783&lt;&gt;0,F783&lt;&gt;0),1,0),1))</f>
        <v>0</v>
      </c>
      <c r="H783" t="str">
        <f>IF(OR(G783=0,E783=0),"",C783/E783)</f>
        <v/>
      </c>
      <c r="I783" t="str">
        <f>IF(OR(G783=0,F783=0),"",D783/F783)</f>
        <v/>
      </c>
      <c r="J783" t="str">
        <f>IF(OR(H783="",I783=""),"",IF(H783=0,"",I783/H783-1))</f>
        <v/>
      </c>
      <c r="K783" t="str">
        <f>IF($B783="","",IFERROR(IF(G783=0,-2E+300,CHOOSE(sortIdx,ROUND(D783,0),IF(J783="",-1E+300,ROUND(-J783,6)),IF(J783="",-1E+300,ROUND(J783,6)))),-1.5E+300))</f>
        <v/>
      </c>
      <c r="L783" t="str">
        <f>IF(K783="","",RANK(K783,$K$2:$K$3001,0)+COUNTIF($K$2:K783,K783)-1)</f>
        <v/>
      </c>
    </row>
    <row r="784">
      <c r="B784" t="str">
        <f>IFERROR(IF(A784="","","="&amp;SUBSTITUTE(SUBSTITUTE(SUBSTITUTE(A784,"~","~~"),"*","~*"),"?","~?")),"")</f>
        <v/>
      </c>
      <c r="C784" t="str">
        <f>IF($B784="","",SUMIFS(dAmt,dCust,$B784,dPer,"&gt;="&amp;pyFrom,dPer,"&lt;="&amp;pyTo,dAmt,"&gt;-1E+300",dFlt1,critFlt1,dFlt2,critFlt2,dFlt3,critFlt3))</f>
        <v/>
      </c>
      <c r="D784" t="str">
        <f>IF($B784="","",SUMIFS(dAmt,dCust,$B784,dPer,"&gt;="&amp;cyFrom,dPer,"&lt;="&amp;cyTo,dAmt,"&gt;-1E+300",dFlt1,critFlt1,dFlt2,critFlt2,dFlt3,critFlt3))</f>
        <v/>
      </c>
      <c r="E784" t="str">
        <f>IF($B784="","",SUMIFS(dQty,dCust,$B784,dPer,"&gt;="&amp;pyFrom,dPer,"&lt;="&amp;pyTo,dQty,"&gt;-1E+300",dFlt1,critFlt1,dFlt2,critFlt2,dFlt3,critFlt3))</f>
        <v/>
      </c>
      <c r="F784" t="str">
        <f>IF($B784="","",SUMIFS(dQty,dCust,$B784,dPer,"&gt;="&amp;cyFrom,dPer,"&lt;="&amp;cyTo,dQty,"&gt;-1E+300",dFlt1,critFlt1,dFlt2,critFlt2,dFlt3,critFlt3))</f>
        <v/>
      </c>
      <c r="G784">
        <f>IF($B784="",0,IFERROR(IF(OR(C784&lt;&gt;0,D784&lt;&gt;0,E784&lt;&gt;0,F784&lt;&gt;0),1,0),1))</f>
        <v>0</v>
      </c>
      <c r="H784" t="str">
        <f>IF(OR(G784=0,E784=0),"",C784/E784)</f>
        <v/>
      </c>
      <c r="I784" t="str">
        <f>IF(OR(G784=0,F784=0),"",D784/F784)</f>
        <v/>
      </c>
      <c r="J784" t="str">
        <f>IF(OR(H784="",I784=""),"",IF(H784=0,"",I784/H784-1))</f>
        <v/>
      </c>
      <c r="K784" t="str">
        <f>IF($B784="","",IFERROR(IF(G784=0,-2E+300,CHOOSE(sortIdx,ROUND(D784,0),IF(J784="",-1E+300,ROUND(-J784,6)),IF(J784="",-1E+300,ROUND(J784,6)))),-1.5E+300))</f>
        <v/>
      </c>
      <c r="L784" t="str">
        <f>IF(K784="","",RANK(K784,$K$2:$K$3001,0)+COUNTIF($K$2:K784,K784)-1)</f>
        <v/>
      </c>
    </row>
    <row r="785">
      <c r="B785" t="str">
        <f>IFERROR(IF(A785="","","="&amp;SUBSTITUTE(SUBSTITUTE(SUBSTITUTE(A785,"~","~~"),"*","~*"),"?","~?")),"")</f>
        <v/>
      </c>
      <c r="C785" t="str">
        <f>IF($B785="","",SUMIFS(dAmt,dCust,$B785,dPer,"&gt;="&amp;pyFrom,dPer,"&lt;="&amp;pyTo,dAmt,"&gt;-1E+300",dFlt1,critFlt1,dFlt2,critFlt2,dFlt3,critFlt3))</f>
        <v/>
      </c>
      <c r="D785" t="str">
        <f>IF($B785="","",SUMIFS(dAmt,dCust,$B785,dPer,"&gt;="&amp;cyFrom,dPer,"&lt;="&amp;cyTo,dAmt,"&gt;-1E+300",dFlt1,critFlt1,dFlt2,critFlt2,dFlt3,critFlt3))</f>
        <v/>
      </c>
      <c r="E785" t="str">
        <f>IF($B785="","",SUMIFS(dQty,dCust,$B785,dPer,"&gt;="&amp;pyFrom,dPer,"&lt;="&amp;pyTo,dQty,"&gt;-1E+300",dFlt1,critFlt1,dFlt2,critFlt2,dFlt3,critFlt3))</f>
        <v/>
      </c>
      <c r="F785" t="str">
        <f>IF($B785="","",SUMIFS(dQty,dCust,$B785,dPer,"&gt;="&amp;cyFrom,dPer,"&lt;="&amp;cyTo,dQty,"&gt;-1E+300",dFlt1,critFlt1,dFlt2,critFlt2,dFlt3,critFlt3))</f>
        <v/>
      </c>
      <c r="G785">
        <f>IF($B785="",0,IFERROR(IF(OR(C785&lt;&gt;0,D785&lt;&gt;0,E785&lt;&gt;0,F785&lt;&gt;0),1,0),1))</f>
        <v>0</v>
      </c>
      <c r="H785" t="str">
        <f>IF(OR(G785=0,E785=0),"",C785/E785)</f>
        <v/>
      </c>
      <c r="I785" t="str">
        <f>IF(OR(G785=0,F785=0),"",D785/F785)</f>
        <v/>
      </c>
      <c r="J785" t="str">
        <f>IF(OR(H785="",I785=""),"",IF(H785=0,"",I785/H785-1))</f>
        <v/>
      </c>
      <c r="K785" t="str">
        <f>IF($B785="","",IFERROR(IF(G785=0,-2E+300,CHOOSE(sortIdx,ROUND(D785,0),IF(J785="",-1E+300,ROUND(-J785,6)),IF(J785="",-1E+300,ROUND(J785,6)))),-1.5E+300))</f>
        <v/>
      </c>
      <c r="L785" t="str">
        <f>IF(K785="","",RANK(K785,$K$2:$K$3001,0)+COUNTIF($K$2:K785,K785)-1)</f>
        <v/>
      </c>
    </row>
    <row r="786">
      <c r="B786" t="str">
        <f>IFERROR(IF(A786="","","="&amp;SUBSTITUTE(SUBSTITUTE(SUBSTITUTE(A786,"~","~~"),"*","~*"),"?","~?")),"")</f>
        <v/>
      </c>
      <c r="C786" t="str">
        <f>IF($B786="","",SUMIFS(dAmt,dCust,$B786,dPer,"&gt;="&amp;pyFrom,dPer,"&lt;="&amp;pyTo,dAmt,"&gt;-1E+300",dFlt1,critFlt1,dFlt2,critFlt2,dFlt3,critFlt3))</f>
        <v/>
      </c>
      <c r="D786" t="str">
        <f>IF($B786="","",SUMIFS(dAmt,dCust,$B786,dPer,"&gt;="&amp;cyFrom,dPer,"&lt;="&amp;cyTo,dAmt,"&gt;-1E+300",dFlt1,critFlt1,dFlt2,critFlt2,dFlt3,critFlt3))</f>
        <v/>
      </c>
      <c r="E786" t="str">
        <f>IF($B786="","",SUMIFS(dQty,dCust,$B786,dPer,"&gt;="&amp;pyFrom,dPer,"&lt;="&amp;pyTo,dQty,"&gt;-1E+300",dFlt1,critFlt1,dFlt2,critFlt2,dFlt3,critFlt3))</f>
        <v/>
      </c>
      <c r="F786" t="str">
        <f>IF($B786="","",SUMIFS(dQty,dCust,$B786,dPer,"&gt;="&amp;cyFrom,dPer,"&lt;="&amp;cyTo,dQty,"&gt;-1E+300",dFlt1,critFlt1,dFlt2,critFlt2,dFlt3,critFlt3))</f>
        <v/>
      </c>
      <c r="G786">
        <f>IF($B786="",0,IFERROR(IF(OR(C786&lt;&gt;0,D786&lt;&gt;0,E786&lt;&gt;0,F786&lt;&gt;0),1,0),1))</f>
        <v>0</v>
      </c>
      <c r="H786" t="str">
        <f>IF(OR(G786=0,E786=0),"",C786/E786)</f>
        <v/>
      </c>
      <c r="I786" t="str">
        <f>IF(OR(G786=0,F786=0),"",D786/F786)</f>
        <v/>
      </c>
      <c r="J786" t="str">
        <f>IF(OR(H786="",I786=""),"",IF(H786=0,"",I786/H786-1))</f>
        <v/>
      </c>
      <c r="K786" t="str">
        <f>IF($B786="","",IFERROR(IF(G786=0,-2E+300,CHOOSE(sortIdx,ROUND(D786,0),IF(J786="",-1E+300,ROUND(-J786,6)),IF(J786="",-1E+300,ROUND(J786,6)))),-1.5E+300))</f>
        <v/>
      </c>
      <c r="L786" t="str">
        <f>IF(K786="","",RANK(K786,$K$2:$K$3001,0)+COUNTIF($K$2:K786,K786)-1)</f>
        <v/>
      </c>
    </row>
    <row r="787">
      <c r="B787" t="str">
        <f>IFERROR(IF(A787="","","="&amp;SUBSTITUTE(SUBSTITUTE(SUBSTITUTE(A787,"~","~~"),"*","~*"),"?","~?")),"")</f>
        <v/>
      </c>
      <c r="C787" t="str">
        <f>IF($B787="","",SUMIFS(dAmt,dCust,$B787,dPer,"&gt;="&amp;pyFrom,dPer,"&lt;="&amp;pyTo,dAmt,"&gt;-1E+300",dFlt1,critFlt1,dFlt2,critFlt2,dFlt3,critFlt3))</f>
        <v/>
      </c>
      <c r="D787" t="str">
        <f>IF($B787="","",SUMIFS(dAmt,dCust,$B787,dPer,"&gt;="&amp;cyFrom,dPer,"&lt;="&amp;cyTo,dAmt,"&gt;-1E+300",dFlt1,critFlt1,dFlt2,critFlt2,dFlt3,critFlt3))</f>
        <v/>
      </c>
      <c r="E787" t="str">
        <f>IF($B787="","",SUMIFS(dQty,dCust,$B787,dPer,"&gt;="&amp;pyFrom,dPer,"&lt;="&amp;pyTo,dQty,"&gt;-1E+300",dFlt1,critFlt1,dFlt2,critFlt2,dFlt3,critFlt3))</f>
        <v/>
      </c>
      <c r="F787" t="str">
        <f>IF($B787="","",SUMIFS(dQty,dCust,$B787,dPer,"&gt;="&amp;cyFrom,dPer,"&lt;="&amp;cyTo,dQty,"&gt;-1E+300",dFlt1,critFlt1,dFlt2,critFlt2,dFlt3,critFlt3))</f>
        <v/>
      </c>
      <c r="G787">
        <f>IF($B787="",0,IFERROR(IF(OR(C787&lt;&gt;0,D787&lt;&gt;0,E787&lt;&gt;0,F787&lt;&gt;0),1,0),1))</f>
        <v>0</v>
      </c>
      <c r="H787" t="str">
        <f>IF(OR(G787=0,E787=0),"",C787/E787)</f>
        <v/>
      </c>
      <c r="I787" t="str">
        <f>IF(OR(G787=0,F787=0),"",D787/F787)</f>
        <v/>
      </c>
      <c r="J787" t="str">
        <f>IF(OR(H787="",I787=""),"",IF(H787=0,"",I787/H787-1))</f>
        <v/>
      </c>
      <c r="K787" t="str">
        <f>IF($B787="","",IFERROR(IF(G787=0,-2E+300,CHOOSE(sortIdx,ROUND(D787,0),IF(J787="",-1E+300,ROUND(-J787,6)),IF(J787="",-1E+300,ROUND(J787,6)))),-1.5E+300))</f>
        <v/>
      </c>
      <c r="L787" t="str">
        <f>IF(K787="","",RANK(K787,$K$2:$K$3001,0)+COUNTIF($K$2:K787,K787)-1)</f>
        <v/>
      </c>
    </row>
    <row r="788">
      <c r="B788" t="str">
        <f>IFERROR(IF(A788="","","="&amp;SUBSTITUTE(SUBSTITUTE(SUBSTITUTE(A788,"~","~~"),"*","~*"),"?","~?")),"")</f>
        <v/>
      </c>
      <c r="C788" t="str">
        <f>IF($B788="","",SUMIFS(dAmt,dCust,$B788,dPer,"&gt;="&amp;pyFrom,dPer,"&lt;="&amp;pyTo,dAmt,"&gt;-1E+300",dFlt1,critFlt1,dFlt2,critFlt2,dFlt3,critFlt3))</f>
        <v/>
      </c>
      <c r="D788" t="str">
        <f>IF($B788="","",SUMIFS(dAmt,dCust,$B788,dPer,"&gt;="&amp;cyFrom,dPer,"&lt;="&amp;cyTo,dAmt,"&gt;-1E+300",dFlt1,critFlt1,dFlt2,critFlt2,dFlt3,critFlt3))</f>
        <v/>
      </c>
      <c r="E788" t="str">
        <f>IF($B788="","",SUMIFS(dQty,dCust,$B788,dPer,"&gt;="&amp;pyFrom,dPer,"&lt;="&amp;pyTo,dQty,"&gt;-1E+300",dFlt1,critFlt1,dFlt2,critFlt2,dFlt3,critFlt3))</f>
        <v/>
      </c>
      <c r="F788" t="str">
        <f>IF($B788="","",SUMIFS(dQty,dCust,$B788,dPer,"&gt;="&amp;cyFrom,dPer,"&lt;="&amp;cyTo,dQty,"&gt;-1E+300",dFlt1,critFlt1,dFlt2,critFlt2,dFlt3,critFlt3))</f>
        <v/>
      </c>
      <c r="G788">
        <f>IF($B788="",0,IFERROR(IF(OR(C788&lt;&gt;0,D788&lt;&gt;0,E788&lt;&gt;0,F788&lt;&gt;0),1,0),1))</f>
        <v>0</v>
      </c>
      <c r="H788" t="str">
        <f>IF(OR(G788=0,E788=0),"",C788/E788)</f>
        <v/>
      </c>
      <c r="I788" t="str">
        <f>IF(OR(G788=0,F788=0),"",D788/F788)</f>
        <v/>
      </c>
      <c r="J788" t="str">
        <f>IF(OR(H788="",I788=""),"",IF(H788=0,"",I788/H788-1))</f>
        <v/>
      </c>
      <c r="K788" t="str">
        <f>IF($B788="","",IFERROR(IF(G788=0,-2E+300,CHOOSE(sortIdx,ROUND(D788,0),IF(J788="",-1E+300,ROUND(-J788,6)),IF(J788="",-1E+300,ROUND(J788,6)))),-1.5E+300))</f>
        <v/>
      </c>
      <c r="L788" t="str">
        <f>IF(K788="","",RANK(K788,$K$2:$K$3001,0)+COUNTIF($K$2:K788,K788)-1)</f>
        <v/>
      </c>
    </row>
    <row r="789">
      <c r="B789" t="str">
        <f>IFERROR(IF(A789="","","="&amp;SUBSTITUTE(SUBSTITUTE(SUBSTITUTE(A789,"~","~~"),"*","~*"),"?","~?")),"")</f>
        <v/>
      </c>
      <c r="C789" t="str">
        <f>IF($B789="","",SUMIFS(dAmt,dCust,$B789,dPer,"&gt;="&amp;pyFrom,dPer,"&lt;="&amp;pyTo,dAmt,"&gt;-1E+300",dFlt1,critFlt1,dFlt2,critFlt2,dFlt3,critFlt3))</f>
        <v/>
      </c>
      <c r="D789" t="str">
        <f>IF($B789="","",SUMIFS(dAmt,dCust,$B789,dPer,"&gt;="&amp;cyFrom,dPer,"&lt;="&amp;cyTo,dAmt,"&gt;-1E+300",dFlt1,critFlt1,dFlt2,critFlt2,dFlt3,critFlt3))</f>
        <v/>
      </c>
      <c r="E789" t="str">
        <f>IF($B789="","",SUMIFS(dQty,dCust,$B789,dPer,"&gt;="&amp;pyFrom,dPer,"&lt;="&amp;pyTo,dQty,"&gt;-1E+300",dFlt1,critFlt1,dFlt2,critFlt2,dFlt3,critFlt3))</f>
        <v/>
      </c>
      <c r="F789" t="str">
        <f>IF($B789="","",SUMIFS(dQty,dCust,$B789,dPer,"&gt;="&amp;cyFrom,dPer,"&lt;="&amp;cyTo,dQty,"&gt;-1E+300",dFlt1,critFlt1,dFlt2,critFlt2,dFlt3,critFlt3))</f>
        <v/>
      </c>
      <c r="G789">
        <f>IF($B789="",0,IFERROR(IF(OR(C789&lt;&gt;0,D789&lt;&gt;0,E789&lt;&gt;0,F789&lt;&gt;0),1,0),1))</f>
        <v>0</v>
      </c>
      <c r="H789" t="str">
        <f>IF(OR(G789=0,E789=0),"",C789/E789)</f>
        <v/>
      </c>
      <c r="I789" t="str">
        <f>IF(OR(G789=0,F789=0),"",D789/F789)</f>
        <v/>
      </c>
      <c r="J789" t="str">
        <f>IF(OR(H789="",I789=""),"",IF(H789=0,"",I789/H789-1))</f>
        <v/>
      </c>
      <c r="K789" t="str">
        <f>IF($B789="","",IFERROR(IF(G789=0,-2E+300,CHOOSE(sortIdx,ROUND(D789,0),IF(J789="",-1E+300,ROUND(-J789,6)),IF(J789="",-1E+300,ROUND(J789,6)))),-1.5E+300))</f>
        <v/>
      </c>
      <c r="L789" t="str">
        <f>IF(K789="","",RANK(K789,$K$2:$K$3001,0)+COUNTIF($K$2:K789,K789)-1)</f>
        <v/>
      </c>
    </row>
    <row r="790">
      <c r="B790" t="str">
        <f>IFERROR(IF(A790="","","="&amp;SUBSTITUTE(SUBSTITUTE(SUBSTITUTE(A790,"~","~~"),"*","~*"),"?","~?")),"")</f>
        <v/>
      </c>
      <c r="C790" t="str">
        <f>IF($B790="","",SUMIFS(dAmt,dCust,$B790,dPer,"&gt;="&amp;pyFrom,dPer,"&lt;="&amp;pyTo,dAmt,"&gt;-1E+300",dFlt1,critFlt1,dFlt2,critFlt2,dFlt3,critFlt3))</f>
        <v/>
      </c>
      <c r="D790" t="str">
        <f>IF($B790="","",SUMIFS(dAmt,dCust,$B790,dPer,"&gt;="&amp;cyFrom,dPer,"&lt;="&amp;cyTo,dAmt,"&gt;-1E+300",dFlt1,critFlt1,dFlt2,critFlt2,dFlt3,critFlt3))</f>
        <v/>
      </c>
      <c r="E790" t="str">
        <f>IF($B790="","",SUMIFS(dQty,dCust,$B790,dPer,"&gt;="&amp;pyFrom,dPer,"&lt;="&amp;pyTo,dQty,"&gt;-1E+300",dFlt1,critFlt1,dFlt2,critFlt2,dFlt3,critFlt3))</f>
        <v/>
      </c>
      <c r="F790" t="str">
        <f>IF($B790="","",SUMIFS(dQty,dCust,$B790,dPer,"&gt;="&amp;cyFrom,dPer,"&lt;="&amp;cyTo,dQty,"&gt;-1E+300",dFlt1,critFlt1,dFlt2,critFlt2,dFlt3,critFlt3))</f>
        <v/>
      </c>
      <c r="G790">
        <f>IF($B790="",0,IFERROR(IF(OR(C790&lt;&gt;0,D790&lt;&gt;0,E790&lt;&gt;0,F790&lt;&gt;0),1,0),1))</f>
        <v>0</v>
      </c>
      <c r="H790" t="str">
        <f>IF(OR(G790=0,E790=0),"",C790/E790)</f>
        <v/>
      </c>
      <c r="I790" t="str">
        <f>IF(OR(G790=0,F790=0),"",D790/F790)</f>
        <v/>
      </c>
      <c r="J790" t="str">
        <f>IF(OR(H790="",I790=""),"",IF(H790=0,"",I790/H790-1))</f>
        <v/>
      </c>
      <c r="K790" t="str">
        <f>IF($B790="","",IFERROR(IF(G790=0,-2E+300,CHOOSE(sortIdx,ROUND(D790,0),IF(J790="",-1E+300,ROUND(-J790,6)),IF(J790="",-1E+300,ROUND(J790,6)))),-1.5E+300))</f>
        <v/>
      </c>
      <c r="L790" t="str">
        <f>IF(K790="","",RANK(K790,$K$2:$K$3001,0)+COUNTIF($K$2:K790,K790)-1)</f>
        <v/>
      </c>
    </row>
    <row r="791">
      <c r="B791" t="str">
        <f>IFERROR(IF(A791="","","="&amp;SUBSTITUTE(SUBSTITUTE(SUBSTITUTE(A791,"~","~~"),"*","~*"),"?","~?")),"")</f>
        <v/>
      </c>
      <c r="C791" t="str">
        <f>IF($B791="","",SUMIFS(dAmt,dCust,$B791,dPer,"&gt;="&amp;pyFrom,dPer,"&lt;="&amp;pyTo,dAmt,"&gt;-1E+300",dFlt1,critFlt1,dFlt2,critFlt2,dFlt3,critFlt3))</f>
        <v/>
      </c>
      <c r="D791" t="str">
        <f>IF($B791="","",SUMIFS(dAmt,dCust,$B791,dPer,"&gt;="&amp;cyFrom,dPer,"&lt;="&amp;cyTo,dAmt,"&gt;-1E+300",dFlt1,critFlt1,dFlt2,critFlt2,dFlt3,critFlt3))</f>
        <v/>
      </c>
      <c r="E791" t="str">
        <f>IF($B791="","",SUMIFS(dQty,dCust,$B791,dPer,"&gt;="&amp;pyFrom,dPer,"&lt;="&amp;pyTo,dQty,"&gt;-1E+300",dFlt1,critFlt1,dFlt2,critFlt2,dFlt3,critFlt3))</f>
        <v/>
      </c>
      <c r="F791" t="str">
        <f>IF($B791="","",SUMIFS(dQty,dCust,$B791,dPer,"&gt;="&amp;cyFrom,dPer,"&lt;="&amp;cyTo,dQty,"&gt;-1E+300",dFlt1,critFlt1,dFlt2,critFlt2,dFlt3,critFlt3))</f>
        <v/>
      </c>
      <c r="G791">
        <f>IF($B791="",0,IFERROR(IF(OR(C791&lt;&gt;0,D791&lt;&gt;0,E791&lt;&gt;0,F791&lt;&gt;0),1,0),1))</f>
        <v>0</v>
      </c>
      <c r="H791" t="str">
        <f>IF(OR(G791=0,E791=0),"",C791/E791)</f>
        <v/>
      </c>
      <c r="I791" t="str">
        <f>IF(OR(G791=0,F791=0),"",D791/F791)</f>
        <v/>
      </c>
      <c r="J791" t="str">
        <f>IF(OR(H791="",I791=""),"",IF(H791=0,"",I791/H791-1))</f>
        <v/>
      </c>
      <c r="K791" t="str">
        <f>IF($B791="","",IFERROR(IF(G791=0,-2E+300,CHOOSE(sortIdx,ROUND(D791,0),IF(J791="",-1E+300,ROUND(-J791,6)),IF(J791="",-1E+300,ROUND(J791,6)))),-1.5E+300))</f>
        <v/>
      </c>
      <c r="L791" t="str">
        <f>IF(K791="","",RANK(K791,$K$2:$K$3001,0)+COUNTIF($K$2:K791,K791)-1)</f>
        <v/>
      </c>
    </row>
    <row r="792">
      <c r="B792" t="str">
        <f>IFERROR(IF(A792="","","="&amp;SUBSTITUTE(SUBSTITUTE(SUBSTITUTE(A792,"~","~~"),"*","~*"),"?","~?")),"")</f>
        <v/>
      </c>
      <c r="C792" t="str">
        <f>IF($B792="","",SUMIFS(dAmt,dCust,$B792,dPer,"&gt;="&amp;pyFrom,dPer,"&lt;="&amp;pyTo,dAmt,"&gt;-1E+300",dFlt1,critFlt1,dFlt2,critFlt2,dFlt3,critFlt3))</f>
        <v/>
      </c>
      <c r="D792" t="str">
        <f>IF($B792="","",SUMIFS(dAmt,dCust,$B792,dPer,"&gt;="&amp;cyFrom,dPer,"&lt;="&amp;cyTo,dAmt,"&gt;-1E+300",dFlt1,critFlt1,dFlt2,critFlt2,dFlt3,critFlt3))</f>
        <v/>
      </c>
      <c r="E792" t="str">
        <f>IF($B792="","",SUMIFS(dQty,dCust,$B792,dPer,"&gt;="&amp;pyFrom,dPer,"&lt;="&amp;pyTo,dQty,"&gt;-1E+300",dFlt1,critFlt1,dFlt2,critFlt2,dFlt3,critFlt3))</f>
        <v/>
      </c>
      <c r="F792" t="str">
        <f>IF($B792="","",SUMIFS(dQty,dCust,$B792,dPer,"&gt;="&amp;cyFrom,dPer,"&lt;="&amp;cyTo,dQty,"&gt;-1E+300",dFlt1,critFlt1,dFlt2,critFlt2,dFlt3,critFlt3))</f>
        <v/>
      </c>
      <c r="G792">
        <f>IF($B792="",0,IFERROR(IF(OR(C792&lt;&gt;0,D792&lt;&gt;0,E792&lt;&gt;0,F792&lt;&gt;0),1,0),1))</f>
        <v>0</v>
      </c>
      <c r="H792" t="str">
        <f>IF(OR(G792=0,E792=0),"",C792/E792)</f>
        <v/>
      </c>
      <c r="I792" t="str">
        <f>IF(OR(G792=0,F792=0),"",D792/F792)</f>
        <v/>
      </c>
      <c r="J792" t="str">
        <f>IF(OR(H792="",I792=""),"",IF(H792=0,"",I792/H792-1))</f>
        <v/>
      </c>
      <c r="K792" t="str">
        <f>IF($B792="","",IFERROR(IF(G792=0,-2E+300,CHOOSE(sortIdx,ROUND(D792,0),IF(J792="",-1E+300,ROUND(-J792,6)),IF(J792="",-1E+300,ROUND(J792,6)))),-1.5E+300))</f>
        <v/>
      </c>
      <c r="L792" t="str">
        <f>IF(K792="","",RANK(K792,$K$2:$K$3001,0)+COUNTIF($K$2:K792,K792)-1)</f>
        <v/>
      </c>
    </row>
    <row r="793">
      <c r="B793" t="str">
        <f>IFERROR(IF(A793="","","="&amp;SUBSTITUTE(SUBSTITUTE(SUBSTITUTE(A793,"~","~~"),"*","~*"),"?","~?")),"")</f>
        <v/>
      </c>
      <c r="C793" t="str">
        <f>IF($B793="","",SUMIFS(dAmt,dCust,$B793,dPer,"&gt;="&amp;pyFrom,dPer,"&lt;="&amp;pyTo,dAmt,"&gt;-1E+300",dFlt1,critFlt1,dFlt2,critFlt2,dFlt3,critFlt3))</f>
        <v/>
      </c>
      <c r="D793" t="str">
        <f>IF($B793="","",SUMIFS(dAmt,dCust,$B793,dPer,"&gt;="&amp;cyFrom,dPer,"&lt;="&amp;cyTo,dAmt,"&gt;-1E+300",dFlt1,critFlt1,dFlt2,critFlt2,dFlt3,critFlt3))</f>
        <v/>
      </c>
      <c r="E793" t="str">
        <f>IF($B793="","",SUMIFS(dQty,dCust,$B793,dPer,"&gt;="&amp;pyFrom,dPer,"&lt;="&amp;pyTo,dQty,"&gt;-1E+300",dFlt1,critFlt1,dFlt2,critFlt2,dFlt3,critFlt3))</f>
        <v/>
      </c>
      <c r="F793" t="str">
        <f>IF($B793="","",SUMIFS(dQty,dCust,$B793,dPer,"&gt;="&amp;cyFrom,dPer,"&lt;="&amp;cyTo,dQty,"&gt;-1E+300",dFlt1,critFlt1,dFlt2,critFlt2,dFlt3,critFlt3))</f>
        <v/>
      </c>
      <c r="G793">
        <f>IF($B793="",0,IFERROR(IF(OR(C793&lt;&gt;0,D793&lt;&gt;0,E793&lt;&gt;0,F793&lt;&gt;0),1,0),1))</f>
        <v>0</v>
      </c>
      <c r="H793" t="str">
        <f>IF(OR(G793=0,E793=0),"",C793/E793)</f>
        <v/>
      </c>
      <c r="I793" t="str">
        <f>IF(OR(G793=0,F793=0),"",D793/F793)</f>
        <v/>
      </c>
      <c r="J793" t="str">
        <f>IF(OR(H793="",I793=""),"",IF(H793=0,"",I793/H793-1))</f>
        <v/>
      </c>
      <c r="K793" t="str">
        <f>IF($B793="","",IFERROR(IF(G793=0,-2E+300,CHOOSE(sortIdx,ROUND(D793,0),IF(J793="",-1E+300,ROUND(-J793,6)),IF(J793="",-1E+300,ROUND(J793,6)))),-1.5E+300))</f>
        <v/>
      </c>
      <c r="L793" t="str">
        <f>IF(K793="","",RANK(K793,$K$2:$K$3001,0)+COUNTIF($K$2:K793,K793)-1)</f>
        <v/>
      </c>
    </row>
    <row r="794">
      <c r="B794" t="str">
        <f>IFERROR(IF(A794="","","="&amp;SUBSTITUTE(SUBSTITUTE(SUBSTITUTE(A794,"~","~~"),"*","~*"),"?","~?")),"")</f>
        <v/>
      </c>
      <c r="C794" t="str">
        <f>IF($B794="","",SUMIFS(dAmt,dCust,$B794,dPer,"&gt;="&amp;pyFrom,dPer,"&lt;="&amp;pyTo,dAmt,"&gt;-1E+300",dFlt1,critFlt1,dFlt2,critFlt2,dFlt3,critFlt3))</f>
        <v/>
      </c>
      <c r="D794" t="str">
        <f>IF($B794="","",SUMIFS(dAmt,dCust,$B794,dPer,"&gt;="&amp;cyFrom,dPer,"&lt;="&amp;cyTo,dAmt,"&gt;-1E+300",dFlt1,critFlt1,dFlt2,critFlt2,dFlt3,critFlt3))</f>
        <v/>
      </c>
      <c r="E794" t="str">
        <f>IF($B794="","",SUMIFS(dQty,dCust,$B794,dPer,"&gt;="&amp;pyFrom,dPer,"&lt;="&amp;pyTo,dQty,"&gt;-1E+300",dFlt1,critFlt1,dFlt2,critFlt2,dFlt3,critFlt3))</f>
        <v/>
      </c>
      <c r="F794" t="str">
        <f>IF($B794="","",SUMIFS(dQty,dCust,$B794,dPer,"&gt;="&amp;cyFrom,dPer,"&lt;="&amp;cyTo,dQty,"&gt;-1E+300",dFlt1,critFlt1,dFlt2,critFlt2,dFlt3,critFlt3))</f>
        <v/>
      </c>
      <c r="G794">
        <f>IF($B794="",0,IFERROR(IF(OR(C794&lt;&gt;0,D794&lt;&gt;0,E794&lt;&gt;0,F794&lt;&gt;0),1,0),1))</f>
        <v>0</v>
      </c>
      <c r="H794" t="str">
        <f>IF(OR(G794=0,E794=0),"",C794/E794)</f>
        <v/>
      </c>
      <c r="I794" t="str">
        <f>IF(OR(G794=0,F794=0),"",D794/F794)</f>
        <v/>
      </c>
      <c r="J794" t="str">
        <f>IF(OR(H794="",I794=""),"",IF(H794=0,"",I794/H794-1))</f>
        <v/>
      </c>
      <c r="K794" t="str">
        <f>IF($B794="","",IFERROR(IF(G794=0,-2E+300,CHOOSE(sortIdx,ROUND(D794,0),IF(J794="",-1E+300,ROUND(-J794,6)),IF(J794="",-1E+300,ROUND(J794,6)))),-1.5E+300))</f>
        <v/>
      </c>
      <c r="L794" t="str">
        <f>IF(K794="","",RANK(K794,$K$2:$K$3001,0)+COUNTIF($K$2:K794,K794)-1)</f>
        <v/>
      </c>
    </row>
    <row r="795">
      <c r="B795" t="str">
        <f>IFERROR(IF(A795="","","="&amp;SUBSTITUTE(SUBSTITUTE(SUBSTITUTE(A795,"~","~~"),"*","~*"),"?","~?")),"")</f>
        <v/>
      </c>
      <c r="C795" t="str">
        <f>IF($B795="","",SUMIFS(dAmt,dCust,$B795,dPer,"&gt;="&amp;pyFrom,dPer,"&lt;="&amp;pyTo,dAmt,"&gt;-1E+300",dFlt1,critFlt1,dFlt2,critFlt2,dFlt3,critFlt3))</f>
        <v/>
      </c>
      <c r="D795" t="str">
        <f>IF($B795="","",SUMIFS(dAmt,dCust,$B795,dPer,"&gt;="&amp;cyFrom,dPer,"&lt;="&amp;cyTo,dAmt,"&gt;-1E+300",dFlt1,critFlt1,dFlt2,critFlt2,dFlt3,critFlt3))</f>
        <v/>
      </c>
      <c r="E795" t="str">
        <f>IF($B795="","",SUMIFS(dQty,dCust,$B795,dPer,"&gt;="&amp;pyFrom,dPer,"&lt;="&amp;pyTo,dQty,"&gt;-1E+300",dFlt1,critFlt1,dFlt2,critFlt2,dFlt3,critFlt3))</f>
        <v/>
      </c>
      <c r="F795" t="str">
        <f>IF($B795="","",SUMIFS(dQty,dCust,$B795,dPer,"&gt;="&amp;cyFrom,dPer,"&lt;="&amp;cyTo,dQty,"&gt;-1E+300",dFlt1,critFlt1,dFlt2,critFlt2,dFlt3,critFlt3))</f>
        <v/>
      </c>
      <c r="G795">
        <f>IF($B795="",0,IFERROR(IF(OR(C795&lt;&gt;0,D795&lt;&gt;0,E795&lt;&gt;0,F795&lt;&gt;0),1,0),1))</f>
        <v>0</v>
      </c>
      <c r="H795" t="str">
        <f>IF(OR(G795=0,E795=0),"",C795/E795)</f>
        <v/>
      </c>
      <c r="I795" t="str">
        <f>IF(OR(G795=0,F795=0),"",D795/F795)</f>
        <v/>
      </c>
      <c r="J795" t="str">
        <f>IF(OR(H795="",I795=""),"",IF(H795=0,"",I795/H795-1))</f>
        <v/>
      </c>
      <c r="K795" t="str">
        <f>IF($B795="","",IFERROR(IF(G795=0,-2E+300,CHOOSE(sortIdx,ROUND(D795,0),IF(J795="",-1E+300,ROUND(-J795,6)),IF(J795="",-1E+300,ROUND(J795,6)))),-1.5E+300))</f>
        <v/>
      </c>
      <c r="L795" t="str">
        <f>IF(K795="","",RANK(K795,$K$2:$K$3001,0)+COUNTIF($K$2:K795,K795)-1)</f>
        <v/>
      </c>
    </row>
    <row r="796">
      <c r="B796" t="str">
        <f>IFERROR(IF(A796="","","="&amp;SUBSTITUTE(SUBSTITUTE(SUBSTITUTE(A796,"~","~~"),"*","~*"),"?","~?")),"")</f>
        <v/>
      </c>
      <c r="C796" t="str">
        <f>IF($B796="","",SUMIFS(dAmt,dCust,$B796,dPer,"&gt;="&amp;pyFrom,dPer,"&lt;="&amp;pyTo,dAmt,"&gt;-1E+300",dFlt1,critFlt1,dFlt2,critFlt2,dFlt3,critFlt3))</f>
        <v/>
      </c>
      <c r="D796" t="str">
        <f>IF($B796="","",SUMIFS(dAmt,dCust,$B796,dPer,"&gt;="&amp;cyFrom,dPer,"&lt;="&amp;cyTo,dAmt,"&gt;-1E+300",dFlt1,critFlt1,dFlt2,critFlt2,dFlt3,critFlt3))</f>
        <v/>
      </c>
      <c r="E796" t="str">
        <f>IF($B796="","",SUMIFS(dQty,dCust,$B796,dPer,"&gt;="&amp;pyFrom,dPer,"&lt;="&amp;pyTo,dQty,"&gt;-1E+300",dFlt1,critFlt1,dFlt2,critFlt2,dFlt3,critFlt3))</f>
        <v/>
      </c>
      <c r="F796" t="str">
        <f>IF($B796="","",SUMIFS(dQty,dCust,$B796,dPer,"&gt;="&amp;cyFrom,dPer,"&lt;="&amp;cyTo,dQty,"&gt;-1E+300",dFlt1,critFlt1,dFlt2,critFlt2,dFlt3,critFlt3))</f>
        <v/>
      </c>
      <c r="G796">
        <f>IF($B796="",0,IFERROR(IF(OR(C796&lt;&gt;0,D796&lt;&gt;0,E796&lt;&gt;0,F796&lt;&gt;0),1,0),1))</f>
        <v>0</v>
      </c>
      <c r="H796" t="str">
        <f>IF(OR(G796=0,E796=0),"",C796/E796)</f>
        <v/>
      </c>
      <c r="I796" t="str">
        <f>IF(OR(G796=0,F796=0),"",D796/F796)</f>
        <v/>
      </c>
      <c r="J796" t="str">
        <f>IF(OR(H796="",I796=""),"",IF(H796=0,"",I796/H796-1))</f>
        <v/>
      </c>
      <c r="K796" t="str">
        <f>IF($B796="","",IFERROR(IF(G796=0,-2E+300,CHOOSE(sortIdx,ROUND(D796,0),IF(J796="",-1E+300,ROUND(-J796,6)),IF(J796="",-1E+300,ROUND(J796,6)))),-1.5E+300))</f>
        <v/>
      </c>
      <c r="L796" t="str">
        <f>IF(K796="","",RANK(K796,$K$2:$K$3001,0)+COUNTIF($K$2:K796,K796)-1)</f>
        <v/>
      </c>
    </row>
    <row r="797">
      <c r="B797" t="str">
        <f>IFERROR(IF(A797="","","="&amp;SUBSTITUTE(SUBSTITUTE(SUBSTITUTE(A797,"~","~~"),"*","~*"),"?","~?")),"")</f>
        <v/>
      </c>
      <c r="C797" t="str">
        <f>IF($B797="","",SUMIFS(dAmt,dCust,$B797,dPer,"&gt;="&amp;pyFrom,dPer,"&lt;="&amp;pyTo,dAmt,"&gt;-1E+300",dFlt1,critFlt1,dFlt2,critFlt2,dFlt3,critFlt3))</f>
        <v/>
      </c>
      <c r="D797" t="str">
        <f>IF($B797="","",SUMIFS(dAmt,dCust,$B797,dPer,"&gt;="&amp;cyFrom,dPer,"&lt;="&amp;cyTo,dAmt,"&gt;-1E+300",dFlt1,critFlt1,dFlt2,critFlt2,dFlt3,critFlt3))</f>
        <v/>
      </c>
      <c r="E797" t="str">
        <f>IF($B797="","",SUMIFS(dQty,dCust,$B797,dPer,"&gt;="&amp;pyFrom,dPer,"&lt;="&amp;pyTo,dQty,"&gt;-1E+300",dFlt1,critFlt1,dFlt2,critFlt2,dFlt3,critFlt3))</f>
        <v/>
      </c>
      <c r="F797" t="str">
        <f>IF($B797="","",SUMIFS(dQty,dCust,$B797,dPer,"&gt;="&amp;cyFrom,dPer,"&lt;="&amp;cyTo,dQty,"&gt;-1E+300",dFlt1,critFlt1,dFlt2,critFlt2,dFlt3,critFlt3))</f>
        <v/>
      </c>
      <c r="G797">
        <f>IF($B797="",0,IFERROR(IF(OR(C797&lt;&gt;0,D797&lt;&gt;0,E797&lt;&gt;0,F797&lt;&gt;0),1,0),1))</f>
        <v>0</v>
      </c>
      <c r="H797" t="str">
        <f>IF(OR(G797=0,E797=0),"",C797/E797)</f>
        <v/>
      </c>
      <c r="I797" t="str">
        <f>IF(OR(G797=0,F797=0),"",D797/F797)</f>
        <v/>
      </c>
      <c r="J797" t="str">
        <f>IF(OR(H797="",I797=""),"",IF(H797=0,"",I797/H797-1))</f>
        <v/>
      </c>
      <c r="K797" t="str">
        <f>IF($B797="","",IFERROR(IF(G797=0,-2E+300,CHOOSE(sortIdx,ROUND(D797,0),IF(J797="",-1E+300,ROUND(-J797,6)),IF(J797="",-1E+300,ROUND(J797,6)))),-1.5E+300))</f>
        <v/>
      </c>
      <c r="L797" t="str">
        <f>IF(K797="","",RANK(K797,$K$2:$K$3001,0)+COUNTIF($K$2:K797,K797)-1)</f>
        <v/>
      </c>
    </row>
    <row r="798">
      <c r="B798" t="str">
        <f>IFERROR(IF(A798="","","="&amp;SUBSTITUTE(SUBSTITUTE(SUBSTITUTE(A798,"~","~~"),"*","~*"),"?","~?")),"")</f>
        <v/>
      </c>
      <c r="C798" t="str">
        <f>IF($B798="","",SUMIFS(dAmt,dCust,$B798,dPer,"&gt;="&amp;pyFrom,dPer,"&lt;="&amp;pyTo,dAmt,"&gt;-1E+300",dFlt1,critFlt1,dFlt2,critFlt2,dFlt3,critFlt3))</f>
        <v/>
      </c>
      <c r="D798" t="str">
        <f>IF($B798="","",SUMIFS(dAmt,dCust,$B798,dPer,"&gt;="&amp;cyFrom,dPer,"&lt;="&amp;cyTo,dAmt,"&gt;-1E+300",dFlt1,critFlt1,dFlt2,critFlt2,dFlt3,critFlt3))</f>
        <v/>
      </c>
      <c r="E798" t="str">
        <f>IF($B798="","",SUMIFS(dQty,dCust,$B798,dPer,"&gt;="&amp;pyFrom,dPer,"&lt;="&amp;pyTo,dQty,"&gt;-1E+300",dFlt1,critFlt1,dFlt2,critFlt2,dFlt3,critFlt3))</f>
        <v/>
      </c>
      <c r="F798" t="str">
        <f>IF($B798="","",SUMIFS(dQty,dCust,$B798,dPer,"&gt;="&amp;cyFrom,dPer,"&lt;="&amp;cyTo,dQty,"&gt;-1E+300",dFlt1,critFlt1,dFlt2,critFlt2,dFlt3,critFlt3))</f>
        <v/>
      </c>
      <c r="G798">
        <f>IF($B798="",0,IFERROR(IF(OR(C798&lt;&gt;0,D798&lt;&gt;0,E798&lt;&gt;0,F798&lt;&gt;0),1,0),1))</f>
        <v>0</v>
      </c>
      <c r="H798" t="str">
        <f>IF(OR(G798=0,E798=0),"",C798/E798)</f>
        <v/>
      </c>
      <c r="I798" t="str">
        <f>IF(OR(G798=0,F798=0),"",D798/F798)</f>
        <v/>
      </c>
      <c r="J798" t="str">
        <f>IF(OR(H798="",I798=""),"",IF(H798=0,"",I798/H798-1))</f>
        <v/>
      </c>
      <c r="K798" t="str">
        <f>IF($B798="","",IFERROR(IF(G798=0,-2E+300,CHOOSE(sortIdx,ROUND(D798,0),IF(J798="",-1E+300,ROUND(-J798,6)),IF(J798="",-1E+300,ROUND(J798,6)))),-1.5E+300))</f>
        <v/>
      </c>
      <c r="L798" t="str">
        <f>IF(K798="","",RANK(K798,$K$2:$K$3001,0)+COUNTIF($K$2:K798,K798)-1)</f>
        <v/>
      </c>
    </row>
    <row r="799">
      <c r="B799" t="str">
        <f>IFERROR(IF(A799="","","="&amp;SUBSTITUTE(SUBSTITUTE(SUBSTITUTE(A799,"~","~~"),"*","~*"),"?","~?")),"")</f>
        <v/>
      </c>
      <c r="C799" t="str">
        <f>IF($B799="","",SUMIFS(dAmt,dCust,$B799,dPer,"&gt;="&amp;pyFrom,dPer,"&lt;="&amp;pyTo,dAmt,"&gt;-1E+300",dFlt1,critFlt1,dFlt2,critFlt2,dFlt3,critFlt3))</f>
        <v/>
      </c>
      <c r="D799" t="str">
        <f>IF($B799="","",SUMIFS(dAmt,dCust,$B799,dPer,"&gt;="&amp;cyFrom,dPer,"&lt;="&amp;cyTo,dAmt,"&gt;-1E+300",dFlt1,critFlt1,dFlt2,critFlt2,dFlt3,critFlt3))</f>
        <v/>
      </c>
      <c r="E799" t="str">
        <f>IF($B799="","",SUMIFS(dQty,dCust,$B799,dPer,"&gt;="&amp;pyFrom,dPer,"&lt;="&amp;pyTo,dQty,"&gt;-1E+300",dFlt1,critFlt1,dFlt2,critFlt2,dFlt3,critFlt3))</f>
        <v/>
      </c>
      <c r="F799" t="str">
        <f>IF($B799="","",SUMIFS(dQty,dCust,$B799,dPer,"&gt;="&amp;cyFrom,dPer,"&lt;="&amp;cyTo,dQty,"&gt;-1E+300",dFlt1,critFlt1,dFlt2,critFlt2,dFlt3,critFlt3))</f>
        <v/>
      </c>
      <c r="G799">
        <f>IF($B799="",0,IFERROR(IF(OR(C799&lt;&gt;0,D799&lt;&gt;0,E799&lt;&gt;0,F799&lt;&gt;0),1,0),1))</f>
        <v>0</v>
      </c>
      <c r="H799" t="str">
        <f>IF(OR(G799=0,E799=0),"",C799/E799)</f>
        <v/>
      </c>
      <c r="I799" t="str">
        <f>IF(OR(G799=0,F799=0),"",D799/F799)</f>
        <v/>
      </c>
      <c r="J799" t="str">
        <f>IF(OR(H799="",I799=""),"",IF(H799=0,"",I799/H799-1))</f>
        <v/>
      </c>
      <c r="K799" t="str">
        <f>IF($B799="","",IFERROR(IF(G799=0,-2E+300,CHOOSE(sortIdx,ROUND(D799,0),IF(J799="",-1E+300,ROUND(-J799,6)),IF(J799="",-1E+300,ROUND(J799,6)))),-1.5E+300))</f>
        <v/>
      </c>
      <c r="L799" t="str">
        <f>IF(K799="","",RANK(K799,$K$2:$K$3001,0)+COUNTIF($K$2:K799,K799)-1)</f>
        <v/>
      </c>
    </row>
    <row r="800">
      <c r="B800" t="str">
        <f>IFERROR(IF(A800="","","="&amp;SUBSTITUTE(SUBSTITUTE(SUBSTITUTE(A800,"~","~~"),"*","~*"),"?","~?")),"")</f>
        <v/>
      </c>
      <c r="C800" t="str">
        <f>IF($B800="","",SUMIFS(dAmt,dCust,$B800,dPer,"&gt;="&amp;pyFrom,dPer,"&lt;="&amp;pyTo,dAmt,"&gt;-1E+300",dFlt1,critFlt1,dFlt2,critFlt2,dFlt3,critFlt3))</f>
        <v/>
      </c>
      <c r="D800" t="str">
        <f>IF($B800="","",SUMIFS(dAmt,dCust,$B800,dPer,"&gt;="&amp;cyFrom,dPer,"&lt;="&amp;cyTo,dAmt,"&gt;-1E+300",dFlt1,critFlt1,dFlt2,critFlt2,dFlt3,critFlt3))</f>
        <v/>
      </c>
      <c r="E800" t="str">
        <f>IF($B800="","",SUMIFS(dQty,dCust,$B800,dPer,"&gt;="&amp;pyFrom,dPer,"&lt;="&amp;pyTo,dQty,"&gt;-1E+300",dFlt1,critFlt1,dFlt2,critFlt2,dFlt3,critFlt3))</f>
        <v/>
      </c>
      <c r="F800" t="str">
        <f>IF($B800="","",SUMIFS(dQty,dCust,$B800,dPer,"&gt;="&amp;cyFrom,dPer,"&lt;="&amp;cyTo,dQty,"&gt;-1E+300",dFlt1,critFlt1,dFlt2,critFlt2,dFlt3,critFlt3))</f>
        <v/>
      </c>
      <c r="G800">
        <f>IF($B800="",0,IFERROR(IF(OR(C800&lt;&gt;0,D800&lt;&gt;0,E800&lt;&gt;0,F800&lt;&gt;0),1,0),1))</f>
        <v>0</v>
      </c>
      <c r="H800" t="str">
        <f>IF(OR(G800=0,E800=0),"",C800/E800)</f>
        <v/>
      </c>
      <c r="I800" t="str">
        <f>IF(OR(G800=0,F800=0),"",D800/F800)</f>
        <v/>
      </c>
      <c r="J800" t="str">
        <f>IF(OR(H800="",I800=""),"",IF(H800=0,"",I800/H800-1))</f>
        <v/>
      </c>
      <c r="K800" t="str">
        <f>IF($B800="","",IFERROR(IF(G800=0,-2E+300,CHOOSE(sortIdx,ROUND(D800,0),IF(J800="",-1E+300,ROUND(-J800,6)),IF(J800="",-1E+300,ROUND(J800,6)))),-1.5E+300))</f>
        <v/>
      </c>
      <c r="L800" t="str">
        <f>IF(K800="","",RANK(K800,$K$2:$K$3001,0)+COUNTIF($K$2:K800,K800)-1)</f>
        <v/>
      </c>
    </row>
    <row r="801">
      <c r="B801" t="str">
        <f>IFERROR(IF(A801="","","="&amp;SUBSTITUTE(SUBSTITUTE(SUBSTITUTE(A801,"~","~~"),"*","~*"),"?","~?")),"")</f>
        <v/>
      </c>
      <c r="C801" t="str">
        <f>IF($B801="","",SUMIFS(dAmt,dCust,$B801,dPer,"&gt;="&amp;pyFrom,dPer,"&lt;="&amp;pyTo,dAmt,"&gt;-1E+300",dFlt1,critFlt1,dFlt2,critFlt2,dFlt3,critFlt3))</f>
        <v/>
      </c>
      <c r="D801" t="str">
        <f>IF($B801="","",SUMIFS(dAmt,dCust,$B801,dPer,"&gt;="&amp;cyFrom,dPer,"&lt;="&amp;cyTo,dAmt,"&gt;-1E+300",dFlt1,critFlt1,dFlt2,critFlt2,dFlt3,critFlt3))</f>
        <v/>
      </c>
      <c r="E801" t="str">
        <f>IF($B801="","",SUMIFS(dQty,dCust,$B801,dPer,"&gt;="&amp;pyFrom,dPer,"&lt;="&amp;pyTo,dQty,"&gt;-1E+300",dFlt1,critFlt1,dFlt2,critFlt2,dFlt3,critFlt3))</f>
        <v/>
      </c>
      <c r="F801" t="str">
        <f>IF($B801="","",SUMIFS(dQty,dCust,$B801,dPer,"&gt;="&amp;cyFrom,dPer,"&lt;="&amp;cyTo,dQty,"&gt;-1E+300",dFlt1,critFlt1,dFlt2,critFlt2,dFlt3,critFlt3))</f>
        <v/>
      </c>
      <c r="G801">
        <f>IF($B801="",0,IFERROR(IF(OR(C801&lt;&gt;0,D801&lt;&gt;0,E801&lt;&gt;0,F801&lt;&gt;0),1,0),1))</f>
        <v>0</v>
      </c>
      <c r="H801" t="str">
        <f>IF(OR(G801=0,E801=0),"",C801/E801)</f>
        <v/>
      </c>
      <c r="I801" t="str">
        <f>IF(OR(G801=0,F801=0),"",D801/F801)</f>
        <v/>
      </c>
      <c r="J801" t="str">
        <f>IF(OR(H801="",I801=""),"",IF(H801=0,"",I801/H801-1))</f>
        <v/>
      </c>
      <c r="K801" t="str">
        <f>IF($B801="","",IFERROR(IF(G801=0,-2E+300,CHOOSE(sortIdx,ROUND(D801,0),IF(J801="",-1E+300,ROUND(-J801,6)),IF(J801="",-1E+300,ROUND(J801,6)))),-1.5E+300))</f>
        <v/>
      </c>
      <c r="L801" t="str">
        <f>IF(K801="","",RANK(K801,$K$2:$K$3001,0)+COUNTIF($K$2:K801,K801)-1)</f>
        <v/>
      </c>
    </row>
    <row r="802">
      <c r="B802" t="str">
        <f>IFERROR(IF(A802="","","="&amp;SUBSTITUTE(SUBSTITUTE(SUBSTITUTE(A802,"~","~~"),"*","~*"),"?","~?")),"")</f>
        <v/>
      </c>
      <c r="C802" t="str">
        <f>IF($B802="","",SUMIFS(dAmt,dCust,$B802,dPer,"&gt;="&amp;pyFrom,dPer,"&lt;="&amp;pyTo,dAmt,"&gt;-1E+300",dFlt1,critFlt1,dFlt2,critFlt2,dFlt3,critFlt3))</f>
        <v/>
      </c>
      <c r="D802" t="str">
        <f>IF($B802="","",SUMIFS(dAmt,dCust,$B802,dPer,"&gt;="&amp;cyFrom,dPer,"&lt;="&amp;cyTo,dAmt,"&gt;-1E+300",dFlt1,critFlt1,dFlt2,critFlt2,dFlt3,critFlt3))</f>
        <v/>
      </c>
      <c r="E802" t="str">
        <f>IF($B802="","",SUMIFS(dQty,dCust,$B802,dPer,"&gt;="&amp;pyFrom,dPer,"&lt;="&amp;pyTo,dQty,"&gt;-1E+300",dFlt1,critFlt1,dFlt2,critFlt2,dFlt3,critFlt3))</f>
        <v/>
      </c>
      <c r="F802" t="str">
        <f>IF($B802="","",SUMIFS(dQty,dCust,$B802,dPer,"&gt;="&amp;cyFrom,dPer,"&lt;="&amp;cyTo,dQty,"&gt;-1E+300",dFlt1,critFlt1,dFlt2,critFlt2,dFlt3,critFlt3))</f>
        <v/>
      </c>
      <c r="G802">
        <f>IF($B802="",0,IFERROR(IF(OR(C802&lt;&gt;0,D802&lt;&gt;0,E802&lt;&gt;0,F802&lt;&gt;0),1,0),1))</f>
        <v>0</v>
      </c>
      <c r="H802" t="str">
        <f>IF(OR(G802=0,E802=0),"",C802/E802)</f>
        <v/>
      </c>
      <c r="I802" t="str">
        <f>IF(OR(G802=0,F802=0),"",D802/F802)</f>
        <v/>
      </c>
      <c r="J802" t="str">
        <f>IF(OR(H802="",I802=""),"",IF(H802=0,"",I802/H802-1))</f>
        <v/>
      </c>
      <c r="K802" t="str">
        <f>IF($B802="","",IFERROR(IF(G802=0,-2E+300,CHOOSE(sortIdx,ROUND(D802,0),IF(J802="",-1E+300,ROUND(-J802,6)),IF(J802="",-1E+300,ROUND(J802,6)))),-1.5E+300))</f>
        <v/>
      </c>
      <c r="L802" t="str">
        <f>IF(K802="","",RANK(K802,$K$2:$K$3001,0)+COUNTIF($K$2:K802,K802)-1)</f>
        <v/>
      </c>
    </row>
    <row r="803">
      <c r="B803" t="str">
        <f>IFERROR(IF(A803="","","="&amp;SUBSTITUTE(SUBSTITUTE(SUBSTITUTE(A803,"~","~~"),"*","~*"),"?","~?")),"")</f>
        <v/>
      </c>
      <c r="C803" t="str">
        <f>IF($B803="","",SUMIFS(dAmt,dCust,$B803,dPer,"&gt;="&amp;pyFrom,dPer,"&lt;="&amp;pyTo,dAmt,"&gt;-1E+300",dFlt1,critFlt1,dFlt2,critFlt2,dFlt3,critFlt3))</f>
        <v/>
      </c>
      <c r="D803" t="str">
        <f>IF($B803="","",SUMIFS(dAmt,dCust,$B803,dPer,"&gt;="&amp;cyFrom,dPer,"&lt;="&amp;cyTo,dAmt,"&gt;-1E+300",dFlt1,critFlt1,dFlt2,critFlt2,dFlt3,critFlt3))</f>
        <v/>
      </c>
      <c r="E803" t="str">
        <f>IF($B803="","",SUMIFS(dQty,dCust,$B803,dPer,"&gt;="&amp;pyFrom,dPer,"&lt;="&amp;pyTo,dQty,"&gt;-1E+300",dFlt1,critFlt1,dFlt2,critFlt2,dFlt3,critFlt3))</f>
        <v/>
      </c>
      <c r="F803" t="str">
        <f>IF($B803="","",SUMIFS(dQty,dCust,$B803,dPer,"&gt;="&amp;cyFrom,dPer,"&lt;="&amp;cyTo,dQty,"&gt;-1E+300",dFlt1,critFlt1,dFlt2,critFlt2,dFlt3,critFlt3))</f>
        <v/>
      </c>
      <c r="G803">
        <f>IF($B803="",0,IFERROR(IF(OR(C803&lt;&gt;0,D803&lt;&gt;0,E803&lt;&gt;0,F803&lt;&gt;0),1,0),1))</f>
        <v>0</v>
      </c>
      <c r="H803" t="str">
        <f>IF(OR(G803=0,E803=0),"",C803/E803)</f>
        <v/>
      </c>
      <c r="I803" t="str">
        <f>IF(OR(G803=0,F803=0),"",D803/F803)</f>
        <v/>
      </c>
      <c r="J803" t="str">
        <f>IF(OR(H803="",I803=""),"",IF(H803=0,"",I803/H803-1))</f>
        <v/>
      </c>
      <c r="K803" t="str">
        <f>IF($B803="","",IFERROR(IF(G803=0,-2E+300,CHOOSE(sortIdx,ROUND(D803,0),IF(J803="",-1E+300,ROUND(-J803,6)),IF(J803="",-1E+300,ROUND(J803,6)))),-1.5E+300))</f>
        <v/>
      </c>
      <c r="L803" t="str">
        <f>IF(K803="","",RANK(K803,$K$2:$K$3001,0)+COUNTIF($K$2:K803,K803)-1)</f>
        <v/>
      </c>
    </row>
    <row r="804">
      <c r="B804" t="str">
        <f>IFERROR(IF(A804="","","="&amp;SUBSTITUTE(SUBSTITUTE(SUBSTITUTE(A804,"~","~~"),"*","~*"),"?","~?")),"")</f>
        <v/>
      </c>
      <c r="C804" t="str">
        <f>IF($B804="","",SUMIFS(dAmt,dCust,$B804,dPer,"&gt;="&amp;pyFrom,dPer,"&lt;="&amp;pyTo,dAmt,"&gt;-1E+300",dFlt1,critFlt1,dFlt2,critFlt2,dFlt3,critFlt3))</f>
        <v/>
      </c>
      <c r="D804" t="str">
        <f>IF($B804="","",SUMIFS(dAmt,dCust,$B804,dPer,"&gt;="&amp;cyFrom,dPer,"&lt;="&amp;cyTo,dAmt,"&gt;-1E+300",dFlt1,critFlt1,dFlt2,critFlt2,dFlt3,critFlt3))</f>
        <v/>
      </c>
      <c r="E804" t="str">
        <f>IF($B804="","",SUMIFS(dQty,dCust,$B804,dPer,"&gt;="&amp;pyFrom,dPer,"&lt;="&amp;pyTo,dQty,"&gt;-1E+300",dFlt1,critFlt1,dFlt2,critFlt2,dFlt3,critFlt3))</f>
        <v/>
      </c>
      <c r="F804" t="str">
        <f>IF($B804="","",SUMIFS(dQty,dCust,$B804,dPer,"&gt;="&amp;cyFrom,dPer,"&lt;="&amp;cyTo,dQty,"&gt;-1E+300",dFlt1,critFlt1,dFlt2,critFlt2,dFlt3,critFlt3))</f>
        <v/>
      </c>
      <c r="G804">
        <f>IF($B804="",0,IFERROR(IF(OR(C804&lt;&gt;0,D804&lt;&gt;0,E804&lt;&gt;0,F804&lt;&gt;0),1,0),1))</f>
        <v>0</v>
      </c>
      <c r="H804" t="str">
        <f>IF(OR(G804=0,E804=0),"",C804/E804)</f>
        <v/>
      </c>
      <c r="I804" t="str">
        <f>IF(OR(G804=0,F804=0),"",D804/F804)</f>
        <v/>
      </c>
      <c r="J804" t="str">
        <f>IF(OR(H804="",I804=""),"",IF(H804=0,"",I804/H804-1))</f>
        <v/>
      </c>
      <c r="K804" t="str">
        <f>IF($B804="","",IFERROR(IF(G804=0,-2E+300,CHOOSE(sortIdx,ROUND(D804,0),IF(J804="",-1E+300,ROUND(-J804,6)),IF(J804="",-1E+300,ROUND(J804,6)))),-1.5E+300))</f>
        <v/>
      </c>
      <c r="L804" t="str">
        <f>IF(K804="","",RANK(K804,$K$2:$K$3001,0)+COUNTIF($K$2:K804,K804)-1)</f>
        <v/>
      </c>
    </row>
    <row r="805">
      <c r="B805" t="str">
        <f>IFERROR(IF(A805="","","="&amp;SUBSTITUTE(SUBSTITUTE(SUBSTITUTE(A805,"~","~~"),"*","~*"),"?","~?")),"")</f>
        <v/>
      </c>
      <c r="C805" t="str">
        <f>IF($B805="","",SUMIFS(dAmt,dCust,$B805,dPer,"&gt;="&amp;pyFrom,dPer,"&lt;="&amp;pyTo,dAmt,"&gt;-1E+300",dFlt1,critFlt1,dFlt2,critFlt2,dFlt3,critFlt3))</f>
        <v/>
      </c>
      <c r="D805" t="str">
        <f>IF($B805="","",SUMIFS(dAmt,dCust,$B805,dPer,"&gt;="&amp;cyFrom,dPer,"&lt;="&amp;cyTo,dAmt,"&gt;-1E+300",dFlt1,critFlt1,dFlt2,critFlt2,dFlt3,critFlt3))</f>
        <v/>
      </c>
      <c r="E805" t="str">
        <f>IF($B805="","",SUMIFS(dQty,dCust,$B805,dPer,"&gt;="&amp;pyFrom,dPer,"&lt;="&amp;pyTo,dQty,"&gt;-1E+300",dFlt1,critFlt1,dFlt2,critFlt2,dFlt3,critFlt3))</f>
        <v/>
      </c>
      <c r="F805" t="str">
        <f>IF($B805="","",SUMIFS(dQty,dCust,$B805,dPer,"&gt;="&amp;cyFrom,dPer,"&lt;="&amp;cyTo,dQty,"&gt;-1E+300",dFlt1,critFlt1,dFlt2,critFlt2,dFlt3,critFlt3))</f>
        <v/>
      </c>
      <c r="G805">
        <f>IF($B805="",0,IFERROR(IF(OR(C805&lt;&gt;0,D805&lt;&gt;0,E805&lt;&gt;0,F805&lt;&gt;0),1,0),1))</f>
        <v>0</v>
      </c>
      <c r="H805" t="str">
        <f>IF(OR(G805=0,E805=0),"",C805/E805)</f>
        <v/>
      </c>
      <c r="I805" t="str">
        <f>IF(OR(G805=0,F805=0),"",D805/F805)</f>
        <v/>
      </c>
      <c r="J805" t="str">
        <f>IF(OR(H805="",I805=""),"",IF(H805=0,"",I805/H805-1))</f>
        <v/>
      </c>
      <c r="K805" t="str">
        <f>IF($B805="","",IFERROR(IF(G805=0,-2E+300,CHOOSE(sortIdx,ROUND(D805,0),IF(J805="",-1E+300,ROUND(-J805,6)),IF(J805="",-1E+300,ROUND(J805,6)))),-1.5E+300))</f>
        <v/>
      </c>
      <c r="L805" t="str">
        <f>IF(K805="","",RANK(K805,$K$2:$K$3001,0)+COUNTIF($K$2:K805,K805)-1)</f>
        <v/>
      </c>
    </row>
    <row r="806">
      <c r="B806" t="str">
        <f>IFERROR(IF(A806="","","="&amp;SUBSTITUTE(SUBSTITUTE(SUBSTITUTE(A806,"~","~~"),"*","~*"),"?","~?")),"")</f>
        <v/>
      </c>
      <c r="C806" t="str">
        <f>IF($B806="","",SUMIFS(dAmt,dCust,$B806,dPer,"&gt;="&amp;pyFrom,dPer,"&lt;="&amp;pyTo,dAmt,"&gt;-1E+300",dFlt1,critFlt1,dFlt2,critFlt2,dFlt3,critFlt3))</f>
        <v/>
      </c>
      <c r="D806" t="str">
        <f>IF($B806="","",SUMIFS(dAmt,dCust,$B806,dPer,"&gt;="&amp;cyFrom,dPer,"&lt;="&amp;cyTo,dAmt,"&gt;-1E+300",dFlt1,critFlt1,dFlt2,critFlt2,dFlt3,critFlt3))</f>
        <v/>
      </c>
      <c r="E806" t="str">
        <f>IF($B806="","",SUMIFS(dQty,dCust,$B806,dPer,"&gt;="&amp;pyFrom,dPer,"&lt;="&amp;pyTo,dQty,"&gt;-1E+300",dFlt1,critFlt1,dFlt2,critFlt2,dFlt3,critFlt3))</f>
        <v/>
      </c>
      <c r="F806" t="str">
        <f>IF($B806="","",SUMIFS(dQty,dCust,$B806,dPer,"&gt;="&amp;cyFrom,dPer,"&lt;="&amp;cyTo,dQty,"&gt;-1E+300",dFlt1,critFlt1,dFlt2,critFlt2,dFlt3,critFlt3))</f>
        <v/>
      </c>
      <c r="G806">
        <f>IF($B806="",0,IFERROR(IF(OR(C806&lt;&gt;0,D806&lt;&gt;0,E806&lt;&gt;0,F806&lt;&gt;0),1,0),1))</f>
        <v>0</v>
      </c>
      <c r="H806" t="str">
        <f>IF(OR(G806=0,E806=0),"",C806/E806)</f>
        <v/>
      </c>
      <c r="I806" t="str">
        <f>IF(OR(G806=0,F806=0),"",D806/F806)</f>
        <v/>
      </c>
      <c r="J806" t="str">
        <f>IF(OR(H806="",I806=""),"",IF(H806=0,"",I806/H806-1))</f>
        <v/>
      </c>
      <c r="K806" t="str">
        <f>IF($B806="","",IFERROR(IF(G806=0,-2E+300,CHOOSE(sortIdx,ROUND(D806,0),IF(J806="",-1E+300,ROUND(-J806,6)),IF(J806="",-1E+300,ROUND(J806,6)))),-1.5E+300))</f>
        <v/>
      </c>
      <c r="L806" t="str">
        <f>IF(K806="","",RANK(K806,$K$2:$K$3001,0)+COUNTIF($K$2:K806,K806)-1)</f>
        <v/>
      </c>
    </row>
    <row r="807">
      <c r="B807" t="str">
        <f>IFERROR(IF(A807="","","="&amp;SUBSTITUTE(SUBSTITUTE(SUBSTITUTE(A807,"~","~~"),"*","~*"),"?","~?")),"")</f>
        <v/>
      </c>
      <c r="C807" t="str">
        <f>IF($B807="","",SUMIFS(dAmt,dCust,$B807,dPer,"&gt;="&amp;pyFrom,dPer,"&lt;="&amp;pyTo,dAmt,"&gt;-1E+300",dFlt1,critFlt1,dFlt2,critFlt2,dFlt3,critFlt3))</f>
        <v/>
      </c>
      <c r="D807" t="str">
        <f>IF($B807="","",SUMIFS(dAmt,dCust,$B807,dPer,"&gt;="&amp;cyFrom,dPer,"&lt;="&amp;cyTo,dAmt,"&gt;-1E+300",dFlt1,critFlt1,dFlt2,critFlt2,dFlt3,critFlt3))</f>
        <v/>
      </c>
      <c r="E807" t="str">
        <f>IF($B807="","",SUMIFS(dQty,dCust,$B807,dPer,"&gt;="&amp;pyFrom,dPer,"&lt;="&amp;pyTo,dQty,"&gt;-1E+300",dFlt1,critFlt1,dFlt2,critFlt2,dFlt3,critFlt3))</f>
        <v/>
      </c>
      <c r="F807" t="str">
        <f>IF($B807="","",SUMIFS(dQty,dCust,$B807,dPer,"&gt;="&amp;cyFrom,dPer,"&lt;="&amp;cyTo,dQty,"&gt;-1E+300",dFlt1,critFlt1,dFlt2,critFlt2,dFlt3,critFlt3))</f>
        <v/>
      </c>
      <c r="G807">
        <f>IF($B807="",0,IFERROR(IF(OR(C807&lt;&gt;0,D807&lt;&gt;0,E807&lt;&gt;0,F807&lt;&gt;0),1,0),1))</f>
        <v>0</v>
      </c>
      <c r="H807" t="str">
        <f>IF(OR(G807=0,E807=0),"",C807/E807)</f>
        <v/>
      </c>
      <c r="I807" t="str">
        <f>IF(OR(G807=0,F807=0),"",D807/F807)</f>
        <v/>
      </c>
      <c r="J807" t="str">
        <f>IF(OR(H807="",I807=""),"",IF(H807=0,"",I807/H807-1))</f>
        <v/>
      </c>
      <c r="K807" t="str">
        <f>IF($B807="","",IFERROR(IF(G807=0,-2E+300,CHOOSE(sortIdx,ROUND(D807,0),IF(J807="",-1E+300,ROUND(-J807,6)),IF(J807="",-1E+300,ROUND(J807,6)))),-1.5E+300))</f>
        <v/>
      </c>
      <c r="L807" t="str">
        <f>IF(K807="","",RANK(K807,$K$2:$K$3001,0)+COUNTIF($K$2:K807,K807)-1)</f>
        <v/>
      </c>
    </row>
    <row r="808">
      <c r="B808" t="str">
        <f>IFERROR(IF(A808="","","="&amp;SUBSTITUTE(SUBSTITUTE(SUBSTITUTE(A808,"~","~~"),"*","~*"),"?","~?")),"")</f>
        <v/>
      </c>
      <c r="C808" t="str">
        <f>IF($B808="","",SUMIFS(dAmt,dCust,$B808,dPer,"&gt;="&amp;pyFrom,dPer,"&lt;="&amp;pyTo,dAmt,"&gt;-1E+300",dFlt1,critFlt1,dFlt2,critFlt2,dFlt3,critFlt3))</f>
        <v/>
      </c>
      <c r="D808" t="str">
        <f>IF($B808="","",SUMIFS(dAmt,dCust,$B808,dPer,"&gt;="&amp;cyFrom,dPer,"&lt;="&amp;cyTo,dAmt,"&gt;-1E+300",dFlt1,critFlt1,dFlt2,critFlt2,dFlt3,critFlt3))</f>
        <v/>
      </c>
      <c r="E808" t="str">
        <f>IF($B808="","",SUMIFS(dQty,dCust,$B808,dPer,"&gt;="&amp;pyFrom,dPer,"&lt;="&amp;pyTo,dQty,"&gt;-1E+300",dFlt1,critFlt1,dFlt2,critFlt2,dFlt3,critFlt3))</f>
        <v/>
      </c>
      <c r="F808" t="str">
        <f>IF($B808="","",SUMIFS(dQty,dCust,$B808,dPer,"&gt;="&amp;cyFrom,dPer,"&lt;="&amp;cyTo,dQty,"&gt;-1E+300",dFlt1,critFlt1,dFlt2,critFlt2,dFlt3,critFlt3))</f>
        <v/>
      </c>
      <c r="G808">
        <f>IF($B808="",0,IFERROR(IF(OR(C808&lt;&gt;0,D808&lt;&gt;0,E808&lt;&gt;0,F808&lt;&gt;0),1,0),1))</f>
        <v>0</v>
      </c>
      <c r="H808" t="str">
        <f>IF(OR(G808=0,E808=0),"",C808/E808)</f>
        <v/>
      </c>
      <c r="I808" t="str">
        <f>IF(OR(G808=0,F808=0),"",D808/F808)</f>
        <v/>
      </c>
      <c r="J808" t="str">
        <f>IF(OR(H808="",I808=""),"",IF(H808=0,"",I808/H808-1))</f>
        <v/>
      </c>
      <c r="K808" t="str">
        <f>IF($B808="","",IFERROR(IF(G808=0,-2E+300,CHOOSE(sortIdx,ROUND(D808,0),IF(J808="",-1E+300,ROUND(-J808,6)),IF(J808="",-1E+300,ROUND(J808,6)))),-1.5E+300))</f>
        <v/>
      </c>
      <c r="L808" t="str">
        <f>IF(K808="","",RANK(K808,$K$2:$K$3001,0)+COUNTIF($K$2:K808,K808)-1)</f>
        <v/>
      </c>
    </row>
    <row r="809">
      <c r="B809" t="str">
        <f>IFERROR(IF(A809="","","="&amp;SUBSTITUTE(SUBSTITUTE(SUBSTITUTE(A809,"~","~~"),"*","~*"),"?","~?")),"")</f>
        <v/>
      </c>
      <c r="C809" t="str">
        <f>IF($B809="","",SUMIFS(dAmt,dCust,$B809,dPer,"&gt;="&amp;pyFrom,dPer,"&lt;="&amp;pyTo,dAmt,"&gt;-1E+300",dFlt1,critFlt1,dFlt2,critFlt2,dFlt3,critFlt3))</f>
        <v/>
      </c>
      <c r="D809" t="str">
        <f>IF($B809="","",SUMIFS(dAmt,dCust,$B809,dPer,"&gt;="&amp;cyFrom,dPer,"&lt;="&amp;cyTo,dAmt,"&gt;-1E+300",dFlt1,critFlt1,dFlt2,critFlt2,dFlt3,critFlt3))</f>
        <v/>
      </c>
      <c r="E809" t="str">
        <f>IF($B809="","",SUMIFS(dQty,dCust,$B809,dPer,"&gt;="&amp;pyFrom,dPer,"&lt;="&amp;pyTo,dQty,"&gt;-1E+300",dFlt1,critFlt1,dFlt2,critFlt2,dFlt3,critFlt3))</f>
        <v/>
      </c>
      <c r="F809" t="str">
        <f>IF($B809="","",SUMIFS(dQty,dCust,$B809,dPer,"&gt;="&amp;cyFrom,dPer,"&lt;="&amp;cyTo,dQty,"&gt;-1E+300",dFlt1,critFlt1,dFlt2,critFlt2,dFlt3,critFlt3))</f>
        <v/>
      </c>
      <c r="G809">
        <f>IF($B809="",0,IFERROR(IF(OR(C809&lt;&gt;0,D809&lt;&gt;0,E809&lt;&gt;0,F809&lt;&gt;0),1,0),1))</f>
        <v>0</v>
      </c>
      <c r="H809" t="str">
        <f>IF(OR(G809=0,E809=0),"",C809/E809)</f>
        <v/>
      </c>
      <c r="I809" t="str">
        <f>IF(OR(G809=0,F809=0),"",D809/F809)</f>
        <v/>
      </c>
      <c r="J809" t="str">
        <f>IF(OR(H809="",I809=""),"",IF(H809=0,"",I809/H809-1))</f>
        <v/>
      </c>
      <c r="K809" t="str">
        <f>IF($B809="","",IFERROR(IF(G809=0,-2E+300,CHOOSE(sortIdx,ROUND(D809,0),IF(J809="",-1E+300,ROUND(-J809,6)),IF(J809="",-1E+300,ROUND(J809,6)))),-1.5E+300))</f>
        <v/>
      </c>
      <c r="L809" t="str">
        <f>IF(K809="","",RANK(K809,$K$2:$K$3001,0)+COUNTIF($K$2:K809,K809)-1)</f>
        <v/>
      </c>
    </row>
    <row r="810">
      <c r="B810" t="str">
        <f>IFERROR(IF(A810="","","="&amp;SUBSTITUTE(SUBSTITUTE(SUBSTITUTE(A810,"~","~~"),"*","~*"),"?","~?")),"")</f>
        <v/>
      </c>
      <c r="C810" t="str">
        <f>IF($B810="","",SUMIFS(dAmt,dCust,$B810,dPer,"&gt;="&amp;pyFrom,dPer,"&lt;="&amp;pyTo,dAmt,"&gt;-1E+300",dFlt1,critFlt1,dFlt2,critFlt2,dFlt3,critFlt3))</f>
        <v/>
      </c>
      <c r="D810" t="str">
        <f>IF($B810="","",SUMIFS(dAmt,dCust,$B810,dPer,"&gt;="&amp;cyFrom,dPer,"&lt;="&amp;cyTo,dAmt,"&gt;-1E+300",dFlt1,critFlt1,dFlt2,critFlt2,dFlt3,critFlt3))</f>
        <v/>
      </c>
      <c r="E810" t="str">
        <f>IF($B810="","",SUMIFS(dQty,dCust,$B810,dPer,"&gt;="&amp;pyFrom,dPer,"&lt;="&amp;pyTo,dQty,"&gt;-1E+300",dFlt1,critFlt1,dFlt2,critFlt2,dFlt3,critFlt3))</f>
        <v/>
      </c>
      <c r="F810" t="str">
        <f>IF($B810="","",SUMIFS(dQty,dCust,$B810,dPer,"&gt;="&amp;cyFrom,dPer,"&lt;="&amp;cyTo,dQty,"&gt;-1E+300",dFlt1,critFlt1,dFlt2,critFlt2,dFlt3,critFlt3))</f>
        <v/>
      </c>
      <c r="G810">
        <f>IF($B810="",0,IFERROR(IF(OR(C810&lt;&gt;0,D810&lt;&gt;0,E810&lt;&gt;0,F810&lt;&gt;0),1,0),1))</f>
        <v>0</v>
      </c>
      <c r="H810" t="str">
        <f>IF(OR(G810=0,E810=0),"",C810/E810)</f>
        <v/>
      </c>
      <c r="I810" t="str">
        <f>IF(OR(G810=0,F810=0),"",D810/F810)</f>
        <v/>
      </c>
      <c r="J810" t="str">
        <f>IF(OR(H810="",I810=""),"",IF(H810=0,"",I810/H810-1))</f>
        <v/>
      </c>
      <c r="K810" t="str">
        <f>IF($B810="","",IFERROR(IF(G810=0,-2E+300,CHOOSE(sortIdx,ROUND(D810,0),IF(J810="",-1E+300,ROUND(-J810,6)),IF(J810="",-1E+300,ROUND(J810,6)))),-1.5E+300))</f>
        <v/>
      </c>
      <c r="L810" t="str">
        <f>IF(K810="","",RANK(K810,$K$2:$K$3001,0)+COUNTIF($K$2:K810,K810)-1)</f>
        <v/>
      </c>
    </row>
    <row r="811">
      <c r="B811" t="str">
        <f>IFERROR(IF(A811="","","="&amp;SUBSTITUTE(SUBSTITUTE(SUBSTITUTE(A811,"~","~~"),"*","~*"),"?","~?")),"")</f>
        <v/>
      </c>
      <c r="C811" t="str">
        <f>IF($B811="","",SUMIFS(dAmt,dCust,$B811,dPer,"&gt;="&amp;pyFrom,dPer,"&lt;="&amp;pyTo,dAmt,"&gt;-1E+300",dFlt1,critFlt1,dFlt2,critFlt2,dFlt3,critFlt3))</f>
        <v/>
      </c>
      <c r="D811" t="str">
        <f>IF($B811="","",SUMIFS(dAmt,dCust,$B811,dPer,"&gt;="&amp;cyFrom,dPer,"&lt;="&amp;cyTo,dAmt,"&gt;-1E+300",dFlt1,critFlt1,dFlt2,critFlt2,dFlt3,critFlt3))</f>
        <v/>
      </c>
      <c r="E811" t="str">
        <f>IF($B811="","",SUMIFS(dQty,dCust,$B811,dPer,"&gt;="&amp;pyFrom,dPer,"&lt;="&amp;pyTo,dQty,"&gt;-1E+300",dFlt1,critFlt1,dFlt2,critFlt2,dFlt3,critFlt3))</f>
        <v/>
      </c>
      <c r="F811" t="str">
        <f>IF($B811="","",SUMIFS(dQty,dCust,$B811,dPer,"&gt;="&amp;cyFrom,dPer,"&lt;="&amp;cyTo,dQty,"&gt;-1E+300",dFlt1,critFlt1,dFlt2,critFlt2,dFlt3,critFlt3))</f>
        <v/>
      </c>
      <c r="G811">
        <f>IF($B811="",0,IFERROR(IF(OR(C811&lt;&gt;0,D811&lt;&gt;0,E811&lt;&gt;0,F811&lt;&gt;0),1,0),1))</f>
        <v>0</v>
      </c>
      <c r="H811" t="str">
        <f>IF(OR(G811=0,E811=0),"",C811/E811)</f>
        <v/>
      </c>
      <c r="I811" t="str">
        <f>IF(OR(G811=0,F811=0),"",D811/F811)</f>
        <v/>
      </c>
      <c r="J811" t="str">
        <f>IF(OR(H811="",I811=""),"",IF(H811=0,"",I811/H811-1))</f>
        <v/>
      </c>
      <c r="K811" t="str">
        <f>IF($B811="","",IFERROR(IF(G811=0,-2E+300,CHOOSE(sortIdx,ROUND(D811,0),IF(J811="",-1E+300,ROUND(-J811,6)),IF(J811="",-1E+300,ROUND(J811,6)))),-1.5E+300))</f>
        <v/>
      </c>
      <c r="L811" t="str">
        <f>IF(K811="","",RANK(K811,$K$2:$K$3001,0)+COUNTIF($K$2:K811,K811)-1)</f>
        <v/>
      </c>
    </row>
    <row r="812">
      <c r="B812" t="str">
        <f>IFERROR(IF(A812="","","="&amp;SUBSTITUTE(SUBSTITUTE(SUBSTITUTE(A812,"~","~~"),"*","~*"),"?","~?")),"")</f>
        <v/>
      </c>
      <c r="C812" t="str">
        <f>IF($B812="","",SUMIFS(dAmt,dCust,$B812,dPer,"&gt;="&amp;pyFrom,dPer,"&lt;="&amp;pyTo,dAmt,"&gt;-1E+300",dFlt1,critFlt1,dFlt2,critFlt2,dFlt3,critFlt3))</f>
        <v/>
      </c>
      <c r="D812" t="str">
        <f>IF($B812="","",SUMIFS(dAmt,dCust,$B812,dPer,"&gt;="&amp;cyFrom,dPer,"&lt;="&amp;cyTo,dAmt,"&gt;-1E+300",dFlt1,critFlt1,dFlt2,critFlt2,dFlt3,critFlt3))</f>
        <v/>
      </c>
      <c r="E812" t="str">
        <f>IF($B812="","",SUMIFS(dQty,dCust,$B812,dPer,"&gt;="&amp;pyFrom,dPer,"&lt;="&amp;pyTo,dQty,"&gt;-1E+300",dFlt1,critFlt1,dFlt2,critFlt2,dFlt3,critFlt3))</f>
        <v/>
      </c>
      <c r="F812" t="str">
        <f>IF($B812="","",SUMIFS(dQty,dCust,$B812,dPer,"&gt;="&amp;cyFrom,dPer,"&lt;="&amp;cyTo,dQty,"&gt;-1E+300",dFlt1,critFlt1,dFlt2,critFlt2,dFlt3,critFlt3))</f>
        <v/>
      </c>
      <c r="G812">
        <f>IF($B812="",0,IFERROR(IF(OR(C812&lt;&gt;0,D812&lt;&gt;0,E812&lt;&gt;0,F812&lt;&gt;0),1,0),1))</f>
        <v>0</v>
      </c>
      <c r="H812" t="str">
        <f>IF(OR(G812=0,E812=0),"",C812/E812)</f>
        <v/>
      </c>
      <c r="I812" t="str">
        <f>IF(OR(G812=0,F812=0),"",D812/F812)</f>
        <v/>
      </c>
      <c r="J812" t="str">
        <f>IF(OR(H812="",I812=""),"",IF(H812=0,"",I812/H812-1))</f>
        <v/>
      </c>
      <c r="K812" t="str">
        <f>IF($B812="","",IFERROR(IF(G812=0,-2E+300,CHOOSE(sortIdx,ROUND(D812,0),IF(J812="",-1E+300,ROUND(-J812,6)),IF(J812="",-1E+300,ROUND(J812,6)))),-1.5E+300))</f>
        <v/>
      </c>
      <c r="L812" t="str">
        <f>IF(K812="","",RANK(K812,$K$2:$K$3001,0)+COUNTIF($K$2:K812,K812)-1)</f>
        <v/>
      </c>
    </row>
    <row r="813">
      <c r="B813" t="str">
        <f>IFERROR(IF(A813="","","="&amp;SUBSTITUTE(SUBSTITUTE(SUBSTITUTE(A813,"~","~~"),"*","~*"),"?","~?")),"")</f>
        <v/>
      </c>
      <c r="C813" t="str">
        <f>IF($B813="","",SUMIFS(dAmt,dCust,$B813,dPer,"&gt;="&amp;pyFrom,dPer,"&lt;="&amp;pyTo,dAmt,"&gt;-1E+300",dFlt1,critFlt1,dFlt2,critFlt2,dFlt3,critFlt3))</f>
        <v/>
      </c>
      <c r="D813" t="str">
        <f>IF($B813="","",SUMIFS(dAmt,dCust,$B813,dPer,"&gt;="&amp;cyFrom,dPer,"&lt;="&amp;cyTo,dAmt,"&gt;-1E+300",dFlt1,critFlt1,dFlt2,critFlt2,dFlt3,critFlt3))</f>
        <v/>
      </c>
      <c r="E813" t="str">
        <f>IF($B813="","",SUMIFS(dQty,dCust,$B813,dPer,"&gt;="&amp;pyFrom,dPer,"&lt;="&amp;pyTo,dQty,"&gt;-1E+300",dFlt1,critFlt1,dFlt2,critFlt2,dFlt3,critFlt3))</f>
        <v/>
      </c>
      <c r="F813" t="str">
        <f>IF($B813="","",SUMIFS(dQty,dCust,$B813,dPer,"&gt;="&amp;cyFrom,dPer,"&lt;="&amp;cyTo,dQty,"&gt;-1E+300",dFlt1,critFlt1,dFlt2,critFlt2,dFlt3,critFlt3))</f>
        <v/>
      </c>
      <c r="G813">
        <f>IF($B813="",0,IFERROR(IF(OR(C813&lt;&gt;0,D813&lt;&gt;0,E813&lt;&gt;0,F813&lt;&gt;0),1,0),1))</f>
        <v>0</v>
      </c>
      <c r="H813" t="str">
        <f>IF(OR(G813=0,E813=0),"",C813/E813)</f>
        <v/>
      </c>
      <c r="I813" t="str">
        <f>IF(OR(G813=0,F813=0),"",D813/F813)</f>
        <v/>
      </c>
      <c r="J813" t="str">
        <f>IF(OR(H813="",I813=""),"",IF(H813=0,"",I813/H813-1))</f>
        <v/>
      </c>
      <c r="K813" t="str">
        <f>IF($B813="","",IFERROR(IF(G813=0,-2E+300,CHOOSE(sortIdx,ROUND(D813,0),IF(J813="",-1E+300,ROUND(-J813,6)),IF(J813="",-1E+300,ROUND(J813,6)))),-1.5E+300))</f>
        <v/>
      </c>
      <c r="L813" t="str">
        <f>IF(K813="","",RANK(K813,$K$2:$K$3001,0)+COUNTIF($K$2:K813,K813)-1)</f>
        <v/>
      </c>
    </row>
    <row r="814">
      <c r="B814" t="str">
        <f>IFERROR(IF(A814="","","="&amp;SUBSTITUTE(SUBSTITUTE(SUBSTITUTE(A814,"~","~~"),"*","~*"),"?","~?")),"")</f>
        <v/>
      </c>
      <c r="C814" t="str">
        <f>IF($B814="","",SUMIFS(dAmt,dCust,$B814,dPer,"&gt;="&amp;pyFrom,dPer,"&lt;="&amp;pyTo,dAmt,"&gt;-1E+300",dFlt1,critFlt1,dFlt2,critFlt2,dFlt3,critFlt3))</f>
        <v/>
      </c>
      <c r="D814" t="str">
        <f>IF($B814="","",SUMIFS(dAmt,dCust,$B814,dPer,"&gt;="&amp;cyFrom,dPer,"&lt;="&amp;cyTo,dAmt,"&gt;-1E+300",dFlt1,critFlt1,dFlt2,critFlt2,dFlt3,critFlt3))</f>
        <v/>
      </c>
      <c r="E814" t="str">
        <f>IF($B814="","",SUMIFS(dQty,dCust,$B814,dPer,"&gt;="&amp;pyFrom,dPer,"&lt;="&amp;pyTo,dQty,"&gt;-1E+300",dFlt1,critFlt1,dFlt2,critFlt2,dFlt3,critFlt3))</f>
        <v/>
      </c>
      <c r="F814" t="str">
        <f>IF($B814="","",SUMIFS(dQty,dCust,$B814,dPer,"&gt;="&amp;cyFrom,dPer,"&lt;="&amp;cyTo,dQty,"&gt;-1E+300",dFlt1,critFlt1,dFlt2,critFlt2,dFlt3,critFlt3))</f>
        <v/>
      </c>
      <c r="G814">
        <f>IF($B814="",0,IFERROR(IF(OR(C814&lt;&gt;0,D814&lt;&gt;0,E814&lt;&gt;0,F814&lt;&gt;0),1,0),1))</f>
        <v>0</v>
      </c>
      <c r="H814" t="str">
        <f>IF(OR(G814=0,E814=0),"",C814/E814)</f>
        <v/>
      </c>
      <c r="I814" t="str">
        <f>IF(OR(G814=0,F814=0),"",D814/F814)</f>
        <v/>
      </c>
      <c r="J814" t="str">
        <f>IF(OR(H814="",I814=""),"",IF(H814=0,"",I814/H814-1))</f>
        <v/>
      </c>
      <c r="K814" t="str">
        <f>IF($B814="","",IFERROR(IF(G814=0,-2E+300,CHOOSE(sortIdx,ROUND(D814,0),IF(J814="",-1E+300,ROUND(-J814,6)),IF(J814="",-1E+300,ROUND(J814,6)))),-1.5E+300))</f>
        <v/>
      </c>
      <c r="L814" t="str">
        <f>IF(K814="","",RANK(K814,$K$2:$K$3001,0)+COUNTIF($K$2:K814,K814)-1)</f>
        <v/>
      </c>
    </row>
    <row r="815">
      <c r="B815" t="str">
        <f>IFERROR(IF(A815="","","="&amp;SUBSTITUTE(SUBSTITUTE(SUBSTITUTE(A815,"~","~~"),"*","~*"),"?","~?")),"")</f>
        <v/>
      </c>
      <c r="C815" t="str">
        <f>IF($B815="","",SUMIFS(dAmt,dCust,$B815,dPer,"&gt;="&amp;pyFrom,dPer,"&lt;="&amp;pyTo,dAmt,"&gt;-1E+300",dFlt1,critFlt1,dFlt2,critFlt2,dFlt3,critFlt3))</f>
        <v/>
      </c>
      <c r="D815" t="str">
        <f>IF($B815="","",SUMIFS(dAmt,dCust,$B815,dPer,"&gt;="&amp;cyFrom,dPer,"&lt;="&amp;cyTo,dAmt,"&gt;-1E+300",dFlt1,critFlt1,dFlt2,critFlt2,dFlt3,critFlt3))</f>
        <v/>
      </c>
      <c r="E815" t="str">
        <f>IF($B815="","",SUMIFS(dQty,dCust,$B815,dPer,"&gt;="&amp;pyFrom,dPer,"&lt;="&amp;pyTo,dQty,"&gt;-1E+300",dFlt1,critFlt1,dFlt2,critFlt2,dFlt3,critFlt3))</f>
        <v/>
      </c>
      <c r="F815" t="str">
        <f>IF($B815="","",SUMIFS(dQty,dCust,$B815,dPer,"&gt;="&amp;cyFrom,dPer,"&lt;="&amp;cyTo,dQty,"&gt;-1E+300",dFlt1,critFlt1,dFlt2,critFlt2,dFlt3,critFlt3))</f>
        <v/>
      </c>
      <c r="G815">
        <f>IF($B815="",0,IFERROR(IF(OR(C815&lt;&gt;0,D815&lt;&gt;0,E815&lt;&gt;0,F815&lt;&gt;0),1,0),1))</f>
        <v>0</v>
      </c>
      <c r="H815" t="str">
        <f>IF(OR(G815=0,E815=0),"",C815/E815)</f>
        <v/>
      </c>
      <c r="I815" t="str">
        <f>IF(OR(G815=0,F815=0),"",D815/F815)</f>
        <v/>
      </c>
      <c r="J815" t="str">
        <f>IF(OR(H815="",I815=""),"",IF(H815=0,"",I815/H815-1))</f>
        <v/>
      </c>
      <c r="K815" t="str">
        <f>IF($B815="","",IFERROR(IF(G815=0,-2E+300,CHOOSE(sortIdx,ROUND(D815,0),IF(J815="",-1E+300,ROUND(-J815,6)),IF(J815="",-1E+300,ROUND(J815,6)))),-1.5E+300))</f>
        <v/>
      </c>
      <c r="L815" t="str">
        <f>IF(K815="","",RANK(K815,$K$2:$K$3001,0)+COUNTIF($K$2:K815,K815)-1)</f>
        <v/>
      </c>
    </row>
    <row r="816">
      <c r="B816" t="str">
        <f>IFERROR(IF(A816="","","="&amp;SUBSTITUTE(SUBSTITUTE(SUBSTITUTE(A816,"~","~~"),"*","~*"),"?","~?")),"")</f>
        <v/>
      </c>
      <c r="C816" t="str">
        <f>IF($B816="","",SUMIFS(dAmt,dCust,$B816,dPer,"&gt;="&amp;pyFrom,dPer,"&lt;="&amp;pyTo,dAmt,"&gt;-1E+300",dFlt1,critFlt1,dFlt2,critFlt2,dFlt3,critFlt3))</f>
        <v/>
      </c>
      <c r="D816" t="str">
        <f>IF($B816="","",SUMIFS(dAmt,dCust,$B816,dPer,"&gt;="&amp;cyFrom,dPer,"&lt;="&amp;cyTo,dAmt,"&gt;-1E+300",dFlt1,critFlt1,dFlt2,critFlt2,dFlt3,critFlt3))</f>
        <v/>
      </c>
      <c r="E816" t="str">
        <f>IF($B816="","",SUMIFS(dQty,dCust,$B816,dPer,"&gt;="&amp;pyFrom,dPer,"&lt;="&amp;pyTo,dQty,"&gt;-1E+300",dFlt1,critFlt1,dFlt2,critFlt2,dFlt3,critFlt3))</f>
        <v/>
      </c>
      <c r="F816" t="str">
        <f>IF($B816="","",SUMIFS(dQty,dCust,$B816,dPer,"&gt;="&amp;cyFrom,dPer,"&lt;="&amp;cyTo,dQty,"&gt;-1E+300",dFlt1,critFlt1,dFlt2,critFlt2,dFlt3,critFlt3))</f>
        <v/>
      </c>
      <c r="G816">
        <f>IF($B816="",0,IFERROR(IF(OR(C816&lt;&gt;0,D816&lt;&gt;0,E816&lt;&gt;0,F816&lt;&gt;0),1,0),1))</f>
        <v>0</v>
      </c>
      <c r="H816" t="str">
        <f>IF(OR(G816=0,E816=0),"",C816/E816)</f>
        <v/>
      </c>
      <c r="I816" t="str">
        <f>IF(OR(G816=0,F816=0),"",D816/F816)</f>
        <v/>
      </c>
      <c r="J816" t="str">
        <f>IF(OR(H816="",I816=""),"",IF(H816=0,"",I816/H816-1))</f>
        <v/>
      </c>
      <c r="K816" t="str">
        <f>IF($B816="","",IFERROR(IF(G816=0,-2E+300,CHOOSE(sortIdx,ROUND(D816,0),IF(J816="",-1E+300,ROUND(-J816,6)),IF(J816="",-1E+300,ROUND(J816,6)))),-1.5E+300))</f>
        <v/>
      </c>
      <c r="L816" t="str">
        <f>IF(K816="","",RANK(K816,$K$2:$K$3001,0)+COUNTIF($K$2:K816,K816)-1)</f>
        <v/>
      </c>
    </row>
    <row r="817">
      <c r="B817" t="str">
        <f>IFERROR(IF(A817="","","="&amp;SUBSTITUTE(SUBSTITUTE(SUBSTITUTE(A817,"~","~~"),"*","~*"),"?","~?")),"")</f>
        <v/>
      </c>
      <c r="C817" t="str">
        <f>IF($B817="","",SUMIFS(dAmt,dCust,$B817,dPer,"&gt;="&amp;pyFrom,dPer,"&lt;="&amp;pyTo,dAmt,"&gt;-1E+300",dFlt1,critFlt1,dFlt2,critFlt2,dFlt3,critFlt3))</f>
        <v/>
      </c>
      <c r="D817" t="str">
        <f>IF($B817="","",SUMIFS(dAmt,dCust,$B817,dPer,"&gt;="&amp;cyFrom,dPer,"&lt;="&amp;cyTo,dAmt,"&gt;-1E+300",dFlt1,critFlt1,dFlt2,critFlt2,dFlt3,critFlt3))</f>
        <v/>
      </c>
      <c r="E817" t="str">
        <f>IF($B817="","",SUMIFS(dQty,dCust,$B817,dPer,"&gt;="&amp;pyFrom,dPer,"&lt;="&amp;pyTo,dQty,"&gt;-1E+300",dFlt1,critFlt1,dFlt2,critFlt2,dFlt3,critFlt3))</f>
        <v/>
      </c>
      <c r="F817" t="str">
        <f>IF($B817="","",SUMIFS(dQty,dCust,$B817,dPer,"&gt;="&amp;cyFrom,dPer,"&lt;="&amp;cyTo,dQty,"&gt;-1E+300",dFlt1,critFlt1,dFlt2,critFlt2,dFlt3,critFlt3))</f>
        <v/>
      </c>
      <c r="G817">
        <f>IF($B817="",0,IFERROR(IF(OR(C817&lt;&gt;0,D817&lt;&gt;0,E817&lt;&gt;0,F817&lt;&gt;0),1,0),1))</f>
        <v>0</v>
      </c>
      <c r="H817" t="str">
        <f>IF(OR(G817=0,E817=0),"",C817/E817)</f>
        <v/>
      </c>
      <c r="I817" t="str">
        <f>IF(OR(G817=0,F817=0),"",D817/F817)</f>
        <v/>
      </c>
      <c r="J817" t="str">
        <f>IF(OR(H817="",I817=""),"",IF(H817=0,"",I817/H817-1))</f>
        <v/>
      </c>
      <c r="K817" t="str">
        <f>IF($B817="","",IFERROR(IF(G817=0,-2E+300,CHOOSE(sortIdx,ROUND(D817,0),IF(J817="",-1E+300,ROUND(-J817,6)),IF(J817="",-1E+300,ROUND(J817,6)))),-1.5E+300))</f>
        <v/>
      </c>
      <c r="L817" t="str">
        <f>IF(K817="","",RANK(K817,$K$2:$K$3001,0)+COUNTIF($K$2:K817,K817)-1)</f>
        <v/>
      </c>
    </row>
    <row r="818">
      <c r="B818" t="str">
        <f>IFERROR(IF(A818="","","="&amp;SUBSTITUTE(SUBSTITUTE(SUBSTITUTE(A818,"~","~~"),"*","~*"),"?","~?")),"")</f>
        <v/>
      </c>
      <c r="C818" t="str">
        <f>IF($B818="","",SUMIFS(dAmt,dCust,$B818,dPer,"&gt;="&amp;pyFrom,dPer,"&lt;="&amp;pyTo,dAmt,"&gt;-1E+300",dFlt1,critFlt1,dFlt2,critFlt2,dFlt3,critFlt3))</f>
        <v/>
      </c>
      <c r="D818" t="str">
        <f>IF($B818="","",SUMIFS(dAmt,dCust,$B818,dPer,"&gt;="&amp;cyFrom,dPer,"&lt;="&amp;cyTo,dAmt,"&gt;-1E+300",dFlt1,critFlt1,dFlt2,critFlt2,dFlt3,critFlt3))</f>
        <v/>
      </c>
      <c r="E818" t="str">
        <f>IF($B818="","",SUMIFS(dQty,dCust,$B818,dPer,"&gt;="&amp;pyFrom,dPer,"&lt;="&amp;pyTo,dQty,"&gt;-1E+300",dFlt1,critFlt1,dFlt2,critFlt2,dFlt3,critFlt3))</f>
        <v/>
      </c>
      <c r="F818" t="str">
        <f>IF($B818="","",SUMIFS(dQty,dCust,$B818,dPer,"&gt;="&amp;cyFrom,dPer,"&lt;="&amp;cyTo,dQty,"&gt;-1E+300",dFlt1,critFlt1,dFlt2,critFlt2,dFlt3,critFlt3))</f>
        <v/>
      </c>
      <c r="G818">
        <f>IF($B818="",0,IFERROR(IF(OR(C818&lt;&gt;0,D818&lt;&gt;0,E818&lt;&gt;0,F818&lt;&gt;0),1,0),1))</f>
        <v>0</v>
      </c>
      <c r="H818" t="str">
        <f>IF(OR(G818=0,E818=0),"",C818/E818)</f>
        <v/>
      </c>
      <c r="I818" t="str">
        <f>IF(OR(G818=0,F818=0),"",D818/F818)</f>
        <v/>
      </c>
      <c r="J818" t="str">
        <f>IF(OR(H818="",I818=""),"",IF(H818=0,"",I818/H818-1))</f>
        <v/>
      </c>
      <c r="K818" t="str">
        <f>IF($B818="","",IFERROR(IF(G818=0,-2E+300,CHOOSE(sortIdx,ROUND(D818,0),IF(J818="",-1E+300,ROUND(-J818,6)),IF(J818="",-1E+300,ROUND(J818,6)))),-1.5E+300))</f>
        <v/>
      </c>
      <c r="L818" t="str">
        <f>IF(K818="","",RANK(K818,$K$2:$K$3001,0)+COUNTIF($K$2:K818,K818)-1)</f>
        <v/>
      </c>
    </row>
    <row r="819">
      <c r="B819" t="str">
        <f>IFERROR(IF(A819="","","="&amp;SUBSTITUTE(SUBSTITUTE(SUBSTITUTE(A819,"~","~~"),"*","~*"),"?","~?")),"")</f>
        <v/>
      </c>
      <c r="C819" t="str">
        <f>IF($B819="","",SUMIFS(dAmt,dCust,$B819,dPer,"&gt;="&amp;pyFrom,dPer,"&lt;="&amp;pyTo,dAmt,"&gt;-1E+300",dFlt1,critFlt1,dFlt2,critFlt2,dFlt3,critFlt3))</f>
        <v/>
      </c>
      <c r="D819" t="str">
        <f>IF($B819="","",SUMIFS(dAmt,dCust,$B819,dPer,"&gt;="&amp;cyFrom,dPer,"&lt;="&amp;cyTo,dAmt,"&gt;-1E+300",dFlt1,critFlt1,dFlt2,critFlt2,dFlt3,critFlt3))</f>
        <v/>
      </c>
      <c r="E819" t="str">
        <f>IF($B819="","",SUMIFS(dQty,dCust,$B819,dPer,"&gt;="&amp;pyFrom,dPer,"&lt;="&amp;pyTo,dQty,"&gt;-1E+300",dFlt1,critFlt1,dFlt2,critFlt2,dFlt3,critFlt3))</f>
        <v/>
      </c>
      <c r="F819" t="str">
        <f>IF($B819="","",SUMIFS(dQty,dCust,$B819,dPer,"&gt;="&amp;cyFrom,dPer,"&lt;="&amp;cyTo,dQty,"&gt;-1E+300",dFlt1,critFlt1,dFlt2,critFlt2,dFlt3,critFlt3))</f>
        <v/>
      </c>
      <c r="G819">
        <f>IF($B819="",0,IFERROR(IF(OR(C819&lt;&gt;0,D819&lt;&gt;0,E819&lt;&gt;0,F819&lt;&gt;0),1,0),1))</f>
        <v>0</v>
      </c>
      <c r="H819" t="str">
        <f>IF(OR(G819=0,E819=0),"",C819/E819)</f>
        <v/>
      </c>
      <c r="I819" t="str">
        <f>IF(OR(G819=0,F819=0),"",D819/F819)</f>
        <v/>
      </c>
      <c r="J819" t="str">
        <f>IF(OR(H819="",I819=""),"",IF(H819=0,"",I819/H819-1))</f>
        <v/>
      </c>
      <c r="K819" t="str">
        <f>IF($B819="","",IFERROR(IF(G819=0,-2E+300,CHOOSE(sortIdx,ROUND(D819,0),IF(J819="",-1E+300,ROUND(-J819,6)),IF(J819="",-1E+300,ROUND(J819,6)))),-1.5E+300))</f>
        <v/>
      </c>
      <c r="L819" t="str">
        <f>IF(K819="","",RANK(K819,$K$2:$K$3001,0)+COUNTIF($K$2:K819,K819)-1)</f>
        <v/>
      </c>
    </row>
    <row r="820">
      <c r="B820" t="str">
        <f>IFERROR(IF(A820="","","="&amp;SUBSTITUTE(SUBSTITUTE(SUBSTITUTE(A820,"~","~~"),"*","~*"),"?","~?")),"")</f>
        <v/>
      </c>
      <c r="C820" t="str">
        <f>IF($B820="","",SUMIFS(dAmt,dCust,$B820,dPer,"&gt;="&amp;pyFrom,dPer,"&lt;="&amp;pyTo,dAmt,"&gt;-1E+300",dFlt1,critFlt1,dFlt2,critFlt2,dFlt3,critFlt3))</f>
        <v/>
      </c>
      <c r="D820" t="str">
        <f>IF($B820="","",SUMIFS(dAmt,dCust,$B820,dPer,"&gt;="&amp;cyFrom,dPer,"&lt;="&amp;cyTo,dAmt,"&gt;-1E+300",dFlt1,critFlt1,dFlt2,critFlt2,dFlt3,critFlt3))</f>
        <v/>
      </c>
      <c r="E820" t="str">
        <f>IF($B820="","",SUMIFS(dQty,dCust,$B820,dPer,"&gt;="&amp;pyFrom,dPer,"&lt;="&amp;pyTo,dQty,"&gt;-1E+300",dFlt1,critFlt1,dFlt2,critFlt2,dFlt3,critFlt3))</f>
        <v/>
      </c>
      <c r="F820" t="str">
        <f>IF($B820="","",SUMIFS(dQty,dCust,$B820,dPer,"&gt;="&amp;cyFrom,dPer,"&lt;="&amp;cyTo,dQty,"&gt;-1E+300",dFlt1,critFlt1,dFlt2,critFlt2,dFlt3,critFlt3))</f>
        <v/>
      </c>
      <c r="G820">
        <f>IF($B820="",0,IFERROR(IF(OR(C820&lt;&gt;0,D820&lt;&gt;0,E820&lt;&gt;0,F820&lt;&gt;0),1,0),1))</f>
        <v>0</v>
      </c>
      <c r="H820" t="str">
        <f>IF(OR(G820=0,E820=0),"",C820/E820)</f>
        <v/>
      </c>
      <c r="I820" t="str">
        <f>IF(OR(G820=0,F820=0),"",D820/F820)</f>
        <v/>
      </c>
      <c r="J820" t="str">
        <f>IF(OR(H820="",I820=""),"",IF(H820=0,"",I820/H820-1))</f>
        <v/>
      </c>
      <c r="K820" t="str">
        <f>IF($B820="","",IFERROR(IF(G820=0,-2E+300,CHOOSE(sortIdx,ROUND(D820,0),IF(J820="",-1E+300,ROUND(-J820,6)),IF(J820="",-1E+300,ROUND(J820,6)))),-1.5E+300))</f>
        <v/>
      </c>
      <c r="L820" t="str">
        <f>IF(K820="","",RANK(K820,$K$2:$K$3001,0)+COUNTIF($K$2:K820,K820)-1)</f>
        <v/>
      </c>
    </row>
    <row r="821">
      <c r="B821" t="str">
        <f>IFERROR(IF(A821="","","="&amp;SUBSTITUTE(SUBSTITUTE(SUBSTITUTE(A821,"~","~~"),"*","~*"),"?","~?")),"")</f>
        <v/>
      </c>
      <c r="C821" t="str">
        <f>IF($B821="","",SUMIFS(dAmt,dCust,$B821,dPer,"&gt;="&amp;pyFrom,dPer,"&lt;="&amp;pyTo,dAmt,"&gt;-1E+300",dFlt1,critFlt1,dFlt2,critFlt2,dFlt3,critFlt3))</f>
        <v/>
      </c>
      <c r="D821" t="str">
        <f>IF($B821="","",SUMIFS(dAmt,dCust,$B821,dPer,"&gt;="&amp;cyFrom,dPer,"&lt;="&amp;cyTo,dAmt,"&gt;-1E+300",dFlt1,critFlt1,dFlt2,critFlt2,dFlt3,critFlt3))</f>
        <v/>
      </c>
      <c r="E821" t="str">
        <f>IF($B821="","",SUMIFS(dQty,dCust,$B821,dPer,"&gt;="&amp;pyFrom,dPer,"&lt;="&amp;pyTo,dQty,"&gt;-1E+300",dFlt1,critFlt1,dFlt2,critFlt2,dFlt3,critFlt3))</f>
        <v/>
      </c>
      <c r="F821" t="str">
        <f>IF($B821="","",SUMIFS(dQty,dCust,$B821,dPer,"&gt;="&amp;cyFrom,dPer,"&lt;="&amp;cyTo,dQty,"&gt;-1E+300",dFlt1,critFlt1,dFlt2,critFlt2,dFlt3,critFlt3))</f>
        <v/>
      </c>
      <c r="G821">
        <f>IF($B821="",0,IFERROR(IF(OR(C821&lt;&gt;0,D821&lt;&gt;0,E821&lt;&gt;0,F821&lt;&gt;0),1,0),1))</f>
        <v>0</v>
      </c>
      <c r="H821" t="str">
        <f>IF(OR(G821=0,E821=0),"",C821/E821)</f>
        <v/>
      </c>
      <c r="I821" t="str">
        <f>IF(OR(G821=0,F821=0),"",D821/F821)</f>
        <v/>
      </c>
      <c r="J821" t="str">
        <f>IF(OR(H821="",I821=""),"",IF(H821=0,"",I821/H821-1))</f>
        <v/>
      </c>
      <c r="K821" t="str">
        <f>IF($B821="","",IFERROR(IF(G821=0,-2E+300,CHOOSE(sortIdx,ROUND(D821,0),IF(J821="",-1E+300,ROUND(-J821,6)),IF(J821="",-1E+300,ROUND(J821,6)))),-1.5E+300))</f>
        <v/>
      </c>
      <c r="L821" t="str">
        <f>IF(K821="","",RANK(K821,$K$2:$K$3001,0)+COUNTIF($K$2:K821,K821)-1)</f>
        <v/>
      </c>
    </row>
    <row r="822">
      <c r="B822" t="str">
        <f>IFERROR(IF(A822="","","="&amp;SUBSTITUTE(SUBSTITUTE(SUBSTITUTE(A822,"~","~~"),"*","~*"),"?","~?")),"")</f>
        <v/>
      </c>
      <c r="C822" t="str">
        <f>IF($B822="","",SUMIFS(dAmt,dCust,$B822,dPer,"&gt;="&amp;pyFrom,dPer,"&lt;="&amp;pyTo,dAmt,"&gt;-1E+300",dFlt1,critFlt1,dFlt2,critFlt2,dFlt3,critFlt3))</f>
        <v/>
      </c>
      <c r="D822" t="str">
        <f>IF($B822="","",SUMIFS(dAmt,dCust,$B822,dPer,"&gt;="&amp;cyFrom,dPer,"&lt;="&amp;cyTo,dAmt,"&gt;-1E+300",dFlt1,critFlt1,dFlt2,critFlt2,dFlt3,critFlt3))</f>
        <v/>
      </c>
      <c r="E822" t="str">
        <f>IF($B822="","",SUMIFS(dQty,dCust,$B822,dPer,"&gt;="&amp;pyFrom,dPer,"&lt;="&amp;pyTo,dQty,"&gt;-1E+300",dFlt1,critFlt1,dFlt2,critFlt2,dFlt3,critFlt3))</f>
        <v/>
      </c>
      <c r="F822" t="str">
        <f>IF($B822="","",SUMIFS(dQty,dCust,$B822,dPer,"&gt;="&amp;cyFrom,dPer,"&lt;="&amp;cyTo,dQty,"&gt;-1E+300",dFlt1,critFlt1,dFlt2,critFlt2,dFlt3,critFlt3))</f>
        <v/>
      </c>
      <c r="G822">
        <f>IF($B822="",0,IFERROR(IF(OR(C822&lt;&gt;0,D822&lt;&gt;0,E822&lt;&gt;0,F822&lt;&gt;0),1,0),1))</f>
        <v>0</v>
      </c>
      <c r="H822" t="str">
        <f>IF(OR(G822=0,E822=0),"",C822/E822)</f>
        <v/>
      </c>
      <c r="I822" t="str">
        <f>IF(OR(G822=0,F822=0),"",D822/F822)</f>
        <v/>
      </c>
      <c r="J822" t="str">
        <f>IF(OR(H822="",I822=""),"",IF(H822=0,"",I822/H822-1))</f>
        <v/>
      </c>
      <c r="K822" t="str">
        <f>IF($B822="","",IFERROR(IF(G822=0,-2E+300,CHOOSE(sortIdx,ROUND(D822,0),IF(J822="",-1E+300,ROUND(-J822,6)),IF(J822="",-1E+300,ROUND(J822,6)))),-1.5E+300))</f>
        <v/>
      </c>
      <c r="L822" t="str">
        <f>IF(K822="","",RANK(K822,$K$2:$K$3001,0)+COUNTIF($K$2:K822,K822)-1)</f>
        <v/>
      </c>
    </row>
    <row r="823">
      <c r="B823" t="str">
        <f>IFERROR(IF(A823="","","="&amp;SUBSTITUTE(SUBSTITUTE(SUBSTITUTE(A823,"~","~~"),"*","~*"),"?","~?")),"")</f>
        <v/>
      </c>
      <c r="C823" t="str">
        <f>IF($B823="","",SUMIFS(dAmt,dCust,$B823,dPer,"&gt;="&amp;pyFrom,dPer,"&lt;="&amp;pyTo,dAmt,"&gt;-1E+300",dFlt1,critFlt1,dFlt2,critFlt2,dFlt3,critFlt3))</f>
        <v/>
      </c>
      <c r="D823" t="str">
        <f>IF($B823="","",SUMIFS(dAmt,dCust,$B823,dPer,"&gt;="&amp;cyFrom,dPer,"&lt;="&amp;cyTo,dAmt,"&gt;-1E+300",dFlt1,critFlt1,dFlt2,critFlt2,dFlt3,critFlt3))</f>
        <v/>
      </c>
      <c r="E823" t="str">
        <f>IF($B823="","",SUMIFS(dQty,dCust,$B823,dPer,"&gt;="&amp;pyFrom,dPer,"&lt;="&amp;pyTo,dQty,"&gt;-1E+300",dFlt1,critFlt1,dFlt2,critFlt2,dFlt3,critFlt3))</f>
        <v/>
      </c>
      <c r="F823" t="str">
        <f>IF($B823="","",SUMIFS(dQty,dCust,$B823,dPer,"&gt;="&amp;cyFrom,dPer,"&lt;="&amp;cyTo,dQty,"&gt;-1E+300",dFlt1,critFlt1,dFlt2,critFlt2,dFlt3,critFlt3))</f>
        <v/>
      </c>
      <c r="G823">
        <f>IF($B823="",0,IFERROR(IF(OR(C823&lt;&gt;0,D823&lt;&gt;0,E823&lt;&gt;0,F823&lt;&gt;0),1,0),1))</f>
        <v>0</v>
      </c>
      <c r="H823" t="str">
        <f>IF(OR(G823=0,E823=0),"",C823/E823)</f>
        <v/>
      </c>
      <c r="I823" t="str">
        <f>IF(OR(G823=0,F823=0),"",D823/F823)</f>
        <v/>
      </c>
      <c r="J823" t="str">
        <f>IF(OR(H823="",I823=""),"",IF(H823=0,"",I823/H823-1))</f>
        <v/>
      </c>
      <c r="K823" t="str">
        <f>IF($B823="","",IFERROR(IF(G823=0,-2E+300,CHOOSE(sortIdx,ROUND(D823,0),IF(J823="",-1E+300,ROUND(-J823,6)),IF(J823="",-1E+300,ROUND(J823,6)))),-1.5E+300))</f>
        <v/>
      </c>
      <c r="L823" t="str">
        <f>IF(K823="","",RANK(K823,$K$2:$K$3001,0)+COUNTIF($K$2:K823,K823)-1)</f>
        <v/>
      </c>
    </row>
    <row r="824">
      <c r="B824" t="str">
        <f>IFERROR(IF(A824="","","="&amp;SUBSTITUTE(SUBSTITUTE(SUBSTITUTE(A824,"~","~~"),"*","~*"),"?","~?")),"")</f>
        <v/>
      </c>
      <c r="C824" t="str">
        <f>IF($B824="","",SUMIFS(dAmt,dCust,$B824,dPer,"&gt;="&amp;pyFrom,dPer,"&lt;="&amp;pyTo,dAmt,"&gt;-1E+300",dFlt1,critFlt1,dFlt2,critFlt2,dFlt3,critFlt3))</f>
        <v/>
      </c>
      <c r="D824" t="str">
        <f>IF($B824="","",SUMIFS(dAmt,dCust,$B824,dPer,"&gt;="&amp;cyFrom,dPer,"&lt;="&amp;cyTo,dAmt,"&gt;-1E+300",dFlt1,critFlt1,dFlt2,critFlt2,dFlt3,critFlt3))</f>
        <v/>
      </c>
      <c r="E824" t="str">
        <f>IF($B824="","",SUMIFS(dQty,dCust,$B824,dPer,"&gt;="&amp;pyFrom,dPer,"&lt;="&amp;pyTo,dQty,"&gt;-1E+300",dFlt1,critFlt1,dFlt2,critFlt2,dFlt3,critFlt3))</f>
        <v/>
      </c>
      <c r="F824" t="str">
        <f>IF($B824="","",SUMIFS(dQty,dCust,$B824,dPer,"&gt;="&amp;cyFrom,dPer,"&lt;="&amp;cyTo,dQty,"&gt;-1E+300",dFlt1,critFlt1,dFlt2,critFlt2,dFlt3,critFlt3))</f>
        <v/>
      </c>
      <c r="G824">
        <f>IF($B824="",0,IFERROR(IF(OR(C824&lt;&gt;0,D824&lt;&gt;0,E824&lt;&gt;0,F824&lt;&gt;0),1,0),1))</f>
        <v>0</v>
      </c>
      <c r="H824" t="str">
        <f>IF(OR(G824=0,E824=0),"",C824/E824)</f>
        <v/>
      </c>
      <c r="I824" t="str">
        <f>IF(OR(G824=0,F824=0),"",D824/F824)</f>
        <v/>
      </c>
      <c r="J824" t="str">
        <f>IF(OR(H824="",I824=""),"",IF(H824=0,"",I824/H824-1))</f>
        <v/>
      </c>
      <c r="K824" t="str">
        <f>IF($B824="","",IFERROR(IF(G824=0,-2E+300,CHOOSE(sortIdx,ROUND(D824,0),IF(J824="",-1E+300,ROUND(-J824,6)),IF(J824="",-1E+300,ROUND(J824,6)))),-1.5E+300))</f>
        <v/>
      </c>
      <c r="L824" t="str">
        <f>IF(K824="","",RANK(K824,$K$2:$K$3001,0)+COUNTIF($K$2:K824,K824)-1)</f>
        <v/>
      </c>
    </row>
    <row r="825">
      <c r="B825" t="str">
        <f>IFERROR(IF(A825="","","="&amp;SUBSTITUTE(SUBSTITUTE(SUBSTITUTE(A825,"~","~~"),"*","~*"),"?","~?")),"")</f>
        <v/>
      </c>
      <c r="C825" t="str">
        <f>IF($B825="","",SUMIFS(dAmt,dCust,$B825,dPer,"&gt;="&amp;pyFrom,dPer,"&lt;="&amp;pyTo,dAmt,"&gt;-1E+300",dFlt1,critFlt1,dFlt2,critFlt2,dFlt3,critFlt3))</f>
        <v/>
      </c>
      <c r="D825" t="str">
        <f>IF($B825="","",SUMIFS(dAmt,dCust,$B825,dPer,"&gt;="&amp;cyFrom,dPer,"&lt;="&amp;cyTo,dAmt,"&gt;-1E+300",dFlt1,critFlt1,dFlt2,critFlt2,dFlt3,critFlt3))</f>
        <v/>
      </c>
      <c r="E825" t="str">
        <f>IF($B825="","",SUMIFS(dQty,dCust,$B825,dPer,"&gt;="&amp;pyFrom,dPer,"&lt;="&amp;pyTo,dQty,"&gt;-1E+300",dFlt1,critFlt1,dFlt2,critFlt2,dFlt3,critFlt3))</f>
        <v/>
      </c>
      <c r="F825" t="str">
        <f>IF($B825="","",SUMIFS(dQty,dCust,$B825,dPer,"&gt;="&amp;cyFrom,dPer,"&lt;="&amp;cyTo,dQty,"&gt;-1E+300",dFlt1,critFlt1,dFlt2,critFlt2,dFlt3,critFlt3))</f>
        <v/>
      </c>
      <c r="G825">
        <f>IF($B825="",0,IFERROR(IF(OR(C825&lt;&gt;0,D825&lt;&gt;0,E825&lt;&gt;0,F825&lt;&gt;0),1,0),1))</f>
        <v>0</v>
      </c>
      <c r="H825" t="str">
        <f>IF(OR(G825=0,E825=0),"",C825/E825)</f>
        <v/>
      </c>
      <c r="I825" t="str">
        <f>IF(OR(G825=0,F825=0),"",D825/F825)</f>
        <v/>
      </c>
      <c r="J825" t="str">
        <f>IF(OR(H825="",I825=""),"",IF(H825=0,"",I825/H825-1))</f>
        <v/>
      </c>
      <c r="K825" t="str">
        <f>IF($B825="","",IFERROR(IF(G825=0,-2E+300,CHOOSE(sortIdx,ROUND(D825,0),IF(J825="",-1E+300,ROUND(-J825,6)),IF(J825="",-1E+300,ROUND(J825,6)))),-1.5E+300))</f>
        <v/>
      </c>
      <c r="L825" t="str">
        <f>IF(K825="","",RANK(K825,$K$2:$K$3001,0)+COUNTIF($K$2:K825,K825)-1)</f>
        <v/>
      </c>
    </row>
    <row r="826">
      <c r="B826" t="str">
        <f>IFERROR(IF(A826="","","="&amp;SUBSTITUTE(SUBSTITUTE(SUBSTITUTE(A826,"~","~~"),"*","~*"),"?","~?")),"")</f>
        <v/>
      </c>
      <c r="C826" t="str">
        <f>IF($B826="","",SUMIFS(dAmt,dCust,$B826,dPer,"&gt;="&amp;pyFrom,dPer,"&lt;="&amp;pyTo,dAmt,"&gt;-1E+300",dFlt1,critFlt1,dFlt2,critFlt2,dFlt3,critFlt3))</f>
        <v/>
      </c>
      <c r="D826" t="str">
        <f>IF($B826="","",SUMIFS(dAmt,dCust,$B826,dPer,"&gt;="&amp;cyFrom,dPer,"&lt;="&amp;cyTo,dAmt,"&gt;-1E+300",dFlt1,critFlt1,dFlt2,critFlt2,dFlt3,critFlt3))</f>
        <v/>
      </c>
      <c r="E826" t="str">
        <f>IF($B826="","",SUMIFS(dQty,dCust,$B826,dPer,"&gt;="&amp;pyFrom,dPer,"&lt;="&amp;pyTo,dQty,"&gt;-1E+300",dFlt1,critFlt1,dFlt2,critFlt2,dFlt3,critFlt3))</f>
        <v/>
      </c>
      <c r="F826" t="str">
        <f>IF($B826="","",SUMIFS(dQty,dCust,$B826,dPer,"&gt;="&amp;cyFrom,dPer,"&lt;="&amp;cyTo,dQty,"&gt;-1E+300",dFlt1,critFlt1,dFlt2,critFlt2,dFlt3,critFlt3))</f>
        <v/>
      </c>
      <c r="G826">
        <f>IF($B826="",0,IFERROR(IF(OR(C826&lt;&gt;0,D826&lt;&gt;0,E826&lt;&gt;0,F826&lt;&gt;0),1,0),1))</f>
        <v>0</v>
      </c>
      <c r="H826" t="str">
        <f>IF(OR(G826=0,E826=0),"",C826/E826)</f>
        <v/>
      </c>
      <c r="I826" t="str">
        <f>IF(OR(G826=0,F826=0),"",D826/F826)</f>
        <v/>
      </c>
      <c r="J826" t="str">
        <f>IF(OR(H826="",I826=""),"",IF(H826=0,"",I826/H826-1))</f>
        <v/>
      </c>
      <c r="K826" t="str">
        <f>IF($B826="","",IFERROR(IF(G826=0,-2E+300,CHOOSE(sortIdx,ROUND(D826,0),IF(J826="",-1E+300,ROUND(-J826,6)),IF(J826="",-1E+300,ROUND(J826,6)))),-1.5E+300))</f>
        <v/>
      </c>
      <c r="L826" t="str">
        <f>IF(K826="","",RANK(K826,$K$2:$K$3001,0)+COUNTIF($K$2:K826,K826)-1)</f>
        <v/>
      </c>
    </row>
    <row r="827">
      <c r="B827" t="str">
        <f>IFERROR(IF(A827="","","="&amp;SUBSTITUTE(SUBSTITUTE(SUBSTITUTE(A827,"~","~~"),"*","~*"),"?","~?")),"")</f>
        <v/>
      </c>
      <c r="C827" t="str">
        <f>IF($B827="","",SUMIFS(dAmt,dCust,$B827,dPer,"&gt;="&amp;pyFrom,dPer,"&lt;="&amp;pyTo,dAmt,"&gt;-1E+300",dFlt1,critFlt1,dFlt2,critFlt2,dFlt3,critFlt3))</f>
        <v/>
      </c>
      <c r="D827" t="str">
        <f>IF($B827="","",SUMIFS(dAmt,dCust,$B827,dPer,"&gt;="&amp;cyFrom,dPer,"&lt;="&amp;cyTo,dAmt,"&gt;-1E+300",dFlt1,critFlt1,dFlt2,critFlt2,dFlt3,critFlt3))</f>
        <v/>
      </c>
      <c r="E827" t="str">
        <f>IF($B827="","",SUMIFS(dQty,dCust,$B827,dPer,"&gt;="&amp;pyFrom,dPer,"&lt;="&amp;pyTo,dQty,"&gt;-1E+300",dFlt1,critFlt1,dFlt2,critFlt2,dFlt3,critFlt3))</f>
        <v/>
      </c>
      <c r="F827" t="str">
        <f>IF($B827="","",SUMIFS(dQty,dCust,$B827,dPer,"&gt;="&amp;cyFrom,dPer,"&lt;="&amp;cyTo,dQty,"&gt;-1E+300",dFlt1,critFlt1,dFlt2,critFlt2,dFlt3,critFlt3))</f>
        <v/>
      </c>
      <c r="G827">
        <f>IF($B827="",0,IFERROR(IF(OR(C827&lt;&gt;0,D827&lt;&gt;0,E827&lt;&gt;0,F827&lt;&gt;0),1,0),1))</f>
        <v>0</v>
      </c>
      <c r="H827" t="str">
        <f>IF(OR(G827=0,E827=0),"",C827/E827)</f>
        <v/>
      </c>
      <c r="I827" t="str">
        <f>IF(OR(G827=0,F827=0),"",D827/F827)</f>
        <v/>
      </c>
      <c r="J827" t="str">
        <f>IF(OR(H827="",I827=""),"",IF(H827=0,"",I827/H827-1))</f>
        <v/>
      </c>
      <c r="K827" t="str">
        <f>IF($B827="","",IFERROR(IF(G827=0,-2E+300,CHOOSE(sortIdx,ROUND(D827,0),IF(J827="",-1E+300,ROUND(-J827,6)),IF(J827="",-1E+300,ROUND(J827,6)))),-1.5E+300))</f>
        <v/>
      </c>
      <c r="L827" t="str">
        <f>IF(K827="","",RANK(K827,$K$2:$K$3001,0)+COUNTIF($K$2:K827,K827)-1)</f>
        <v/>
      </c>
    </row>
    <row r="828">
      <c r="B828" t="str">
        <f>IFERROR(IF(A828="","","="&amp;SUBSTITUTE(SUBSTITUTE(SUBSTITUTE(A828,"~","~~"),"*","~*"),"?","~?")),"")</f>
        <v/>
      </c>
      <c r="C828" t="str">
        <f>IF($B828="","",SUMIFS(dAmt,dCust,$B828,dPer,"&gt;="&amp;pyFrom,dPer,"&lt;="&amp;pyTo,dAmt,"&gt;-1E+300",dFlt1,critFlt1,dFlt2,critFlt2,dFlt3,critFlt3))</f>
        <v/>
      </c>
      <c r="D828" t="str">
        <f>IF($B828="","",SUMIFS(dAmt,dCust,$B828,dPer,"&gt;="&amp;cyFrom,dPer,"&lt;="&amp;cyTo,dAmt,"&gt;-1E+300",dFlt1,critFlt1,dFlt2,critFlt2,dFlt3,critFlt3))</f>
        <v/>
      </c>
      <c r="E828" t="str">
        <f>IF($B828="","",SUMIFS(dQty,dCust,$B828,dPer,"&gt;="&amp;pyFrom,dPer,"&lt;="&amp;pyTo,dQty,"&gt;-1E+300",dFlt1,critFlt1,dFlt2,critFlt2,dFlt3,critFlt3))</f>
        <v/>
      </c>
      <c r="F828" t="str">
        <f>IF($B828="","",SUMIFS(dQty,dCust,$B828,dPer,"&gt;="&amp;cyFrom,dPer,"&lt;="&amp;cyTo,dQty,"&gt;-1E+300",dFlt1,critFlt1,dFlt2,critFlt2,dFlt3,critFlt3))</f>
        <v/>
      </c>
      <c r="G828">
        <f>IF($B828="",0,IFERROR(IF(OR(C828&lt;&gt;0,D828&lt;&gt;0,E828&lt;&gt;0,F828&lt;&gt;0),1,0),1))</f>
        <v>0</v>
      </c>
      <c r="H828" t="str">
        <f>IF(OR(G828=0,E828=0),"",C828/E828)</f>
        <v/>
      </c>
      <c r="I828" t="str">
        <f>IF(OR(G828=0,F828=0),"",D828/F828)</f>
        <v/>
      </c>
      <c r="J828" t="str">
        <f>IF(OR(H828="",I828=""),"",IF(H828=0,"",I828/H828-1))</f>
        <v/>
      </c>
      <c r="K828" t="str">
        <f>IF($B828="","",IFERROR(IF(G828=0,-2E+300,CHOOSE(sortIdx,ROUND(D828,0),IF(J828="",-1E+300,ROUND(-J828,6)),IF(J828="",-1E+300,ROUND(J828,6)))),-1.5E+300))</f>
        <v/>
      </c>
      <c r="L828" t="str">
        <f>IF(K828="","",RANK(K828,$K$2:$K$3001,0)+COUNTIF($K$2:K828,K828)-1)</f>
        <v/>
      </c>
    </row>
    <row r="829">
      <c r="B829" t="str">
        <f>IFERROR(IF(A829="","","="&amp;SUBSTITUTE(SUBSTITUTE(SUBSTITUTE(A829,"~","~~"),"*","~*"),"?","~?")),"")</f>
        <v/>
      </c>
      <c r="C829" t="str">
        <f>IF($B829="","",SUMIFS(dAmt,dCust,$B829,dPer,"&gt;="&amp;pyFrom,dPer,"&lt;="&amp;pyTo,dAmt,"&gt;-1E+300",dFlt1,critFlt1,dFlt2,critFlt2,dFlt3,critFlt3))</f>
        <v/>
      </c>
      <c r="D829" t="str">
        <f>IF($B829="","",SUMIFS(dAmt,dCust,$B829,dPer,"&gt;="&amp;cyFrom,dPer,"&lt;="&amp;cyTo,dAmt,"&gt;-1E+300",dFlt1,critFlt1,dFlt2,critFlt2,dFlt3,critFlt3))</f>
        <v/>
      </c>
      <c r="E829" t="str">
        <f>IF($B829="","",SUMIFS(dQty,dCust,$B829,dPer,"&gt;="&amp;pyFrom,dPer,"&lt;="&amp;pyTo,dQty,"&gt;-1E+300",dFlt1,critFlt1,dFlt2,critFlt2,dFlt3,critFlt3))</f>
        <v/>
      </c>
      <c r="F829" t="str">
        <f>IF($B829="","",SUMIFS(dQty,dCust,$B829,dPer,"&gt;="&amp;cyFrom,dPer,"&lt;="&amp;cyTo,dQty,"&gt;-1E+300",dFlt1,critFlt1,dFlt2,critFlt2,dFlt3,critFlt3))</f>
        <v/>
      </c>
      <c r="G829">
        <f>IF($B829="",0,IFERROR(IF(OR(C829&lt;&gt;0,D829&lt;&gt;0,E829&lt;&gt;0,F829&lt;&gt;0),1,0),1))</f>
        <v>0</v>
      </c>
      <c r="H829" t="str">
        <f>IF(OR(G829=0,E829=0),"",C829/E829)</f>
        <v/>
      </c>
      <c r="I829" t="str">
        <f>IF(OR(G829=0,F829=0),"",D829/F829)</f>
        <v/>
      </c>
      <c r="J829" t="str">
        <f>IF(OR(H829="",I829=""),"",IF(H829=0,"",I829/H829-1))</f>
        <v/>
      </c>
      <c r="K829" t="str">
        <f>IF($B829="","",IFERROR(IF(G829=0,-2E+300,CHOOSE(sortIdx,ROUND(D829,0),IF(J829="",-1E+300,ROUND(-J829,6)),IF(J829="",-1E+300,ROUND(J829,6)))),-1.5E+300))</f>
        <v/>
      </c>
      <c r="L829" t="str">
        <f>IF(K829="","",RANK(K829,$K$2:$K$3001,0)+COUNTIF($K$2:K829,K829)-1)</f>
        <v/>
      </c>
    </row>
    <row r="830">
      <c r="B830" t="str">
        <f>IFERROR(IF(A830="","","="&amp;SUBSTITUTE(SUBSTITUTE(SUBSTITUTE(A830,"~","~~"),"*","~*"),"?","~?")),"")</f>
        <v/>
      </c>
      <c r="C830" t="str">
        <f>IF($B830="","",SUMIFS(dAmt,dCust,$B830,dPer,"&gt;="&amp;pyFrom,dPer,"&lt;="&amp;pyTo,dAmt,"&gt;-1E+300",dFlt1,critFlt1,dFlt2,critFlt2,dFlt3,critFlt3))</f>
        <v/>
      </c>
      <c r="D830" t="str">
        <f>IF($B830="","",SUMIFS(dAmt,dCust,$B830,dPer,"&gt;="&amp;cyFrom,dPer,"&lt;="&amp;cyTo,dAmt,"&gt;-1E+300",dFlt1,critFlt1,dFlt2,critFlt2,dFlt3,critFlt3))</f>
        <v/>
      </c>
      <c r="E830" t="str">
        <f>IF($B830="","",SUMIFS(dQty,dCust,$B830,dPer,"&gt;="&amp;pyFrom,dPer,"&lt;="&amp;pyTo,dQty,"&gt;-1E+300",dFlt1,critFlt1,dFlt2,critFlt2,dFlt3,critFlt3))</f>
        <v/>
      </c>
      <c r="F830" t="str">
        <f>IF($B830="","",SUMIFS(dQty,dCust,$B830,dPer,"&gt;="&amp;cyFrom,dPer,"&lt;="&amp;cyTo,dQty,"&gt;-1E+300",dFlt1,critFlt1,dFlt2,critFlt2,dFlt3,critFlt3))</f>
        <v/>
      </c>
      <c r="G830">
        <f>IF($B830="",0,IFERROR(IF(OR(C830&lt;&gt;0,D830&lt;&gt;0,E830&lt;&gt;0,F830&lt;&gt;0),1,0),1))</f>
        <v>0</v>
      </c>
      <c r="H830" t="str">
        <f>IF(OR(G830=0,E830=0),"",C830/E830)</f>
        <v/>
      </c>
      <c r="I830" t="str">
        <f>IF(OR(G830=0,F830=0),"",D830/F830)</f>
        <v/>
      </c>
      <c r="J830" t="str">
        <f>IF(OR(H830="",I830=""),"",IF(H830=0,"",I830/H830-1))</f>
        <v/>
      </c>
      <c r="K830" t="str">
        <f>IF($B830="","",IFERROR(IF(G830=0,-2E+300,CHOOSE(sortIdx,ROUND(D830,0),IF(J830="",-1E+300,ROUND(-J830,6)),IF(J830="",-1E+300,ROUND(J830,6)))),-1.5E+300))</f>
        <v/>
      </c>
      <c r="L830" t="str">
        <f>IF(K830="","",RANK(K830,$K$2:$K$3001,0)+COUNTIF($K$2:K830,K830)-1)</f>
        <v/>
      </c>
    </row>
    <row r="831">
      <c r="B831" t="str">
        <f>IFERROR(IF(A831="","","="&amp;SUBSTITUTE(SUBSTITUTE(SUBSTITUTE(A831,"~","~~"),"*","~*"),"?","~?")),"")</f>
        <v/>
      </c>
      <c r="C831" t="str">
        <f>IF($B831="","",SUMIFS(dAmt,dCust,$B831,dPer,"&gt;="&amp;pyFrom,dPer,"&lt;="&amp;pyTo,dAmt,"&gt;-1E+300",dFlt1,critFlt1,dFlt2,critFlt2,dFlt3,critFlt3))</f>
        <v/>
      </c>
      <c r="D831" t="str">
        <f>IF($B831="","",SUMIFS(dAmt,dCust,$B831,dPer,"&gt;="&amp;cyFrom,dPer,"&lt;="&amp;cyTo,dAmt,"&gt;-1E+300",dFlt1,critFlt1,dFlt2,critFlt2,dFlt3,critFlt3))</f>
        <v/>
      </c>
      <c r="E831" t="str">
        <f>IF($B831="","",SUMIFS(dQty,dCust,$B831,dPer,"&gt;="&amp;pyFrom,dPer,"&lt;="&amp;pyTo,dQty,"&gt;-1E+300",dFlt1,critFlt1,dFlt2,critFlt2,dFlt3,critFlt3))</f>
        <v/>
      </c>
      <c r="F831" t="str">
        <f>IF($B831="","",SUMIFS(dQty,dCust,$B831,dPer,"&gt;="&amp;cyFrom,dPer,"&lt;="&amp;cyTo,dQty,"&gt;-1E+300",dFlt1,critFlt1,dFlt2,critFlt2,dFlt3,critFlt3))</f>
        <v/>
      </c>
      <c r="G831">
        <f>IF($B831="",0,IFERROR(IF(OR(C831&lt;&gt;0,D831&lt;&gt;0,E831&lt;&gt;0,F831&lt;&gt;0),1,0),1))</f>
        <v>0</v>
      </c>
      <c r="H831" t="str">
        <f>IF(OR(G831=0,E831=0),"",C831/E831)</f>
        <v/>
      </c>
      <c r="I831" t="str">
        <f>IF(OR(G831=0,F831=0),"",D831/F831)</f>
        <v/>
      </c>
      <c r="J831" t="str">
        <f>IF(OR(H831="",I831=""),"",IF(H831=0,"",I831/H831-1))</f>
        <v/>
      </c>
      <c r="K831" t="str">
        <f>IF($B831="","",IFERROR(IF(G831=0,-2E+300,CHOOSE(sortIdx,ROUND(D831,0),IF(J831="",-1E+300,ROUND(-J831,6)),IF(J831="",-1E+300,ROUND(J831,6)))),-1.5E+300))</f>
        <v/>
      </c>
      <c r="L831" t="str">
        <f>IF(K831="","",RANK(K831,$K$2:$K$3001,0)+COUNTIF($K$2:K831,K831)-1)</f>
        <v/>
      </c>
    </row>
    <row r="832">
      <c r="B832" t="str">
        <f>IFERROR(IF(A832="","","="&amp;SUBSTITUTE(SUBSTITUTE(SUBSTITUTE(A832,"~","~~"),"*","~*"),"?","~?")),"")</f>
        <v/>
      </c>
      <c r="C832" t="str">
        <f>IF($B832="","",SUMIFS(dAmt,dCust,$B832,dPer,"&gt;="&amp;pyFrom,dPer,"&lt;="&amp;pyTo,dAmt,"&gt;-1E+300",dFlt1,critFlt1,dFlt2,critFlt2,dFlt3,critFlt3))</f>
        <v/>
      </c>
      <c r="D832" t="str">
        <f>IF($B832="","",SUMIFS(dAmt,dCust,$B832,dPer,"&gt;="&amp;cyFrom,dPer,"&lt;="&amp;cyTo,dAmt,"&gt;-1E+300",dFlt1,critFlt1,dFlt2,critFlt2,dFlt3,critFlt3))</f>
        <v/>
      </c>
      <c r="E832" t="str">
        <f>IF($B832="","",SUMIFS(dQty,dCust,$B832,dPer,"&gt;="&amp;pyFrom,dPer,"&lt;="&amp;pyTo,dQty,"&gt;-1E+300",dFlt1,critFlt1,dFlt2,critFlt2,dFlt3,critFlt3))</f>
        <v/>
      </c>
      <c r="F832" t="str">
        <f>IF($B832="","",SUMIFS(dQty,dCust,$B832,dPer,"&gt;="&amp;cyFrom,dPer,"&lt;="&amp;cyTo,dQty,"&gt;-1E+300",dFlt1,critFlt1,dFlt2,critFlt2,dFlt3,critFlt3))</f>
        <v/>
      </c>
      <c r="G832">
        <f>IF($B832="",0,IFERROR(IF(OR(C832&lt;&gt;0,D832&lt;&gt;0,E832&lt;&gt;0,F832&lt;&gt;0),1,0),1))</f>
        <v>0</v>
      </c>
      <c r="H832" t="str">
        <f>IF(OR(G832=0,E832=0),"",C832/E832)</f>
        <v/>
      </c>
      <c r="I832" t="str">
        <f>IF(OR(G832=0,F832=0),"",D832/F832)</f>
        <v/>
      </c>
      <c r="J832" t="str">
        <f>IF(OR(H832="",I832=""),"",IF(H832=0,"",I832/H832-1))</f>
        <v/>
      </c>
      <c r="K832" t="str">
        <f>IF($B832="","",IFERROR(IF(G832=0,-2E+300,CHOOSE(sortIdx,ROUND(D832,0),IF(J832="",-1E+300,ROUND(-J832,6)),IF(J832="",-1E+300,ROUND(J832,6)))),-1.5E+300))</f>
        <v/>
      </c>
      <c r="L832" t="str">
        <f>IF(K832="","",RANK(K832,$K$2:$K$3001,0)+COUNTIF($K$2:K832,K832)-1)</f>
        <v/>
      </c>
    </row>
    <row r="833">
      <c r="B833" t="str">
        <f>IFERROR(IF(A833="","","="&amp;SUBSTITUTE(SUBSTITUTE(SUBSTITUTE(A833,"~","~~"),"*","~*"),"?","~?")),"")</f>
        <v/>
      </c>
      <c r="C833" t="str">
        <f>IF($B833="","",SUMIFS(dAmt,dCust,$B833,dPer,"&gt;="&amp;pyFrom,dPer,"&lt;="&amp;pyTo,dAmt,"&gt;-1E+300",dFlt1,critFlt1,dFlt2,critFlt2,dFlt3,critFlt3))</f>
        <v/>
      </c>
      <c r="D833" t="str">
        <f>IF($B833="","",SUMIFS(dAmt,dCust,$B833,dPer,"&gt;="&amp;cyFrom,dPer,"&lt;="&amp;cyTo,dAmt,"&gt;-1E+300",dFlt1,critFlt1,dFlt2,critFlt2,dFlt3,critFlt3))</f>
        <v/>
      </c>
      <c r="E833" t="str">
        <f>IF($B833="","",SUMIFS(dQty,dCust,$B833,dPer,"&gt;="&amp;pyFrom,dPer,"&lt;="&amp;pyTo,dQty,"&gt;-1E+300",dFlt1,critFlt1,dFlt2,critFlt2,dFlt3,critFlt3))</f>
        <v/>
      </c>
      <c r="F833" t="str">
        <f>IF($B833="","",SUMIFS(dQty,dCust,$B833,dPer,"&gt;="&amp;cyFrom,dPer,"&lt;="&amp;cyTo,dQty,"&gt;-1E+300",dFlt1,critFlt1,dFlt2,critFlt2,dFlt3,critFlt3))</f>
        <v/>
      </c>
      <c r="G833">
        <f>IF($B833="",0,IFERROR(IF(OR(C833&lt;&gt;0,D833&lt;&gt;0,E833&lt;&gt;0,F833&lt;&gt;0),1,0),1))</f>
        <v>0</v>
      </c>
      <c r="H833" t="str">
        <f>IF(OR(G833=0,E833=0),"",C833/E833)</f>
        <v/>
      </c>
      <c r="I833" t="str">
        <f>IF(OR(G833=0,F833=0),"",D833/F833)</f>
        <v/>
      </c>
      <c r="J833" t="str">
        <f>IF(OR(H833="",I833=""),"",IF(H833=0,"",I833/H833-1))</f>
        <v/>
      </c>
      <c r="K833" t="str">
        <f>IF($B833="","",IFERROR(IF(G833=0,-2E+300,CHOOSE(sortIdx,ROUND(D833,0),IF(J833="",-1E+300,ROUND(-J833,6)),IF(J833="",-1E+300,ROUND(J833,6)))),-1.5E+300))</f>
        <v/>
      </c>
      <c r="L833" t="str">
        <f>IF(K833="","",RANK(K833,$K$2:$K$3001,0)+COUNTIF($K$2:K833,K833)-1)</f>
        <v/>
      </c>
    </row>
    <row r="834">
      <c r="B834" t="str">
        <f>IFERROR(IF(A834="","","="&amp;SUBSTITUTE(SUBSTITUTE(SUBSTITUTE(A834,"~","~~"),"*","~*"),"?","~?")),"")</f>
        <v/>
      </c>
      <c r="C834" t="str">
        <f>IF($B834="","",SUMIFS(dAmt,dCust,$B834,dPer,"&gt;="&amp;pyFrom,dPer,"&lt;="&amp;pyTo,dAmt,"&gt;-1E+300",dFlt1,critFlt1,dFlt2,critFlt2,dFlt3,critFlt3))</f>
        <v/>
      </c>
      <c r="D834" t="str">
        <f>IF($B834="","",SUMIFS(dAmt,dCust,$B834,dPer,"&gt;="&amp;cyFrom,dPer,"&lt;="&amp;cyTo,dAmt,"&gt;-1E+300",dFlt1,critFlt1,dFlt2,critFlt2,dFlt3,critFlt3))</f>
        <v/>
      </c>
      <c r="E834" t="str">
        <f>IF($B834="","",SUMIFS(dQty,dCust,$B834,dPer,"&gt;="&amp;pyFrom,dPer,"&lt;="&amp;pyTo,dQty,"&gt;-1E+300",dFlt1,critFlt1,dFlt2,critFlt2,dFlt3,critFlt3))</f>
        <v/>
      </c>
      <c r="F834" t="str">
        <f>IF($B834="","",SUMIFS(dQty,dCust,$B834,dPer,"&gt;="&amp;cyFrom,dPer,"&lt;="&amp;cyTo,dQty,"&gt;-1E+300",dFlt1,critFlt1,dFlt2,critFlt2,dFlt3,critFlt3))</f>
        <v/>
      </c>
      <c r="G834">
        <f>IF($B834="",0,IFERROR(IF(OR(C834&lt;&gt;0,D834&lt;&gt;0,E834&lt;&gt;0,F834&lt;&gt;0),1,0),1))</f>
        <v>0</v>
      </c>
      <c r="H834" t="str">
        <f>IF(OR(G834=0,E834=0),"",C834/E834)</f>
        <v/>
      </c>
      <c r="I834" t="str">
        <f>IF(OR(G834=0,F834=0),"",D834/F834)</f>
        <v/>
      </c>
      <c r="J834" t="str">
        <f>IF(OR(H834="",I834=""),"",IF(H834=0,"",I834/H834-1))</f>
        <v/>
      </c>
      <c r="K834" t="str">
        <f>IF($B834="","",IFERROR(IF(G834=0,-2E+300,CHOOSE(sortIdx,ROUND(D834,0),IF(J834="",-1E+300,ROUND(-J834,6)),IF(J834="",-1E+300,ROUND(J834,6)))),-1.5E+300))</f>
        <v/>
      </c>
      <c r="L834" t="str">
        <f>IF(K834="","",RANK(K834,$K$2:$K$3001,0)+COUNTIF($K$2:K834,K834)-1)</f>
        <v/>
      </c>
    </row>
    <row r="835">
      <c r="B835" t="str">
        <f>IFERROR(IF(A835="","","="&amp;SUBSTITUTE(SUBSTITUTE(SUBSTITUTE(A835,"~","~~"),"*","~*"),"?","~?")),"")</f>
        <v/>
      </c>
      <c r="C835" t="str">
        <f>IF($B835="","",SUMIFS(dAmt,dCust,$B835,dPer,"&gt;="&amp;pyFrom,dPer,"&lt;="&amp;pyTo,dAmt,"&gt;-1E+300",dFlt1,critFlt1,dFlt2,critFlt2,dFlt3,critFlt3))</f>
        <v/>
      </c>
      <c r="D835" t="str">
        <f>IF($B835="","",SUMIFS(dAmt,dCust,$B835,dPer,"&gt;="&amp;cyFrom,dPer,"&lt;="&amp;cyTo,dAmt,"&gt;-1E+300",dFlt1,critFlt1,dFlt2,critFlt2,dFlt3,critFlt3))</f>
        <v/>
      </c>
      <c r="E835" t="str">
        <f>IF($B835="","",SUMIFS(dQty,dCust,$B835,dPer,"&gt;="&amp;pyFrom,dPer,"&lt;="&amp;pyTo,dQty,"&gt;-1E+300",dFlt1,critFlt1,dFlt2,critFlt2,dFlt3,critFlt3))</f>
        <v/>
      </c>
      <c r="F835" t="str">
        <f>IF($B835="","",SUMIFS(dQty,dCust,$B835,dPer,"&gt;="&amp;cyFrom,dPer,"&lt;="&amp;cyTo,dQty,"&gt;-1E+300",dFlt1,critFlt1,dFlt2,critFlt2,dFlt3,critFlt3))</f>
        <v/>
      </c>
      <c r="G835">
        <f>IF($B835="",0,IFERROR(IF(OR(C835&lt;&gt;0,D835&lt;&gt;0,E835&lt;&gt;0,F835&lt;&gt;0),1,0),1))</f>
        <v>0</v>
      </c>
      <c r="H835" t="str">
        <f>IF(OR(G835=0,E835=0),"",C835/E835)</f>
        <v/>
      </c>
      <c r="I835" t="str">
        <f>IF(OR(G835=0,F835=0),"",D835/F835)</f>
        <v/>
      </c>
      <c r="J835" t="str">
        <f>IF(OR(H835="",I835=""),"",IF(H835=0,"",I835/H835-1))</f>
        <v/>
      </c>
      <c r="K835" t="str">
        <f>IF($B835="","",IFERROR(IF(G835=0,-2E+300,CHOOSE(sortIdx,ROUND(D835,0),IF(J835="",-1E+300,ROUND(-J835,6)),IF(J835="",-1E+300,ROUND(J835,6)))),-1.5E+300))</f>
        <v/>
      </c>
      <c r="L835" t="str">
        <f>IF(K835="","",RANK(K835,$K$2:$K$3001,0)+COUNTIF($K$2:K835,K835)-1)</f>
        <v/>
      </c>
    </row>
    <row r="836">
      <c r="B836" t="str">
        <f>IFERROR(IF(A836="","","="&amp;SUBSTITUTE(SUBSTITUTE(SUBSTITUTE(A836,"~","~~"),"*","~*"),"?","~?")),"")</f>
        <v/>
      </c>
      <c r="C836" t="str">
        <f>IF($B836="","",SUMIFS(dAmt,dCust,$B836,dPer,"&gt;="&amp;pyFrom,dPer,"&lt;="&amp;pyTo,dAmt,"&gt;-1E+300",dFlt1,critFlt1,dFlt2,critFlt2,dFlt3,critFlt3))</f>
        <v/>
      </c>
      <c r="D836" t="str">
        <f>IF($B836="","",SUMIFS(dAmt,dCust,$B836,dPer,"&gt;="&amp;cyFrom,dPer,"&lt;="&amp;cyTo,dAmt,"&gt;-1E+300",dFlt1,critFlt1,dFlt2,critFlt2,dFlt3,critFlt3))</f>
        <v/>
      </c>
      <c r="E836" t="str">
        <f>IF($B836="","",SUMIFS(dQty,dCust,$B836,dPer,"&gt;="&amp;pyFrom,dPer,"&lt;="&amp;pyTo,dQty,"&gt;-1E+300",dFlt1,critFlt1,dFlt2,critFlt2,dFlt3,critFlt3))</f>
        <v/>
      </c>
      <c r="F836" t="str">
        <f>IF($B836="","",SUMIFS(dQty,dCust,$B836,dPer,"&gt;="&amp;cyFrom,dPer,"&lt;="&amp;cyTo,dQty,"&gt;-1E+300",dFlt1,critFlt1,dFlt2,critFlt2,dFlt3,critFlt3))</f>
        <v/>
      </c>
      <c r="G836">
        <f>IF($B836="",0,IFERROR(IF(OR(C836&lt;&gt;0,D836&lt;&gt;0,E836&lt;&gt;0,F836&lt;&gt;0),1,0),1))</f>
        <v>0</v>
      </c>
      <c r="H836" t="str">
        <f>IF(OR(G836=0,E836=0),"",C836/E836)</f>
        <v/>
      </c>
      <c r="I836" t="str">
        <f>IF(OR(G836=0,F836=0),"",D836/F836)</f>
        <v/>
      </c>
      <c r="J836" t="str">
        <f>IF(OR(H836="",I836=""),"",IF(H836=0,"",I836/H836-1))</f>
        <v/>
      </c>
      <c r="K836" t="str">
        <f>IF($B836="","",IFERROR(IF(G836=0,-2E+300,CHOOSE(sortIdx,ROUND(D836,0),IF(J836="",-1E+300,ROUND(-J836,6)),IF(J836="",-1E+300,ROUND(J836,6)))),-1.5E+300))</f>
        <v/>
      </c>
      <c r="L836" t="str">
        <f>IF(K836="","",RANK(K836,$K$2:$K$3001,0)+COUNTIF($K$2:K836,K836)-1)</f>
        <v/>
      </c>
    </row>
    <row r="837">
      <c r="B837" t="str">
        <f>IFERROR(IF(A837="","","="&amp;SUBSTITUTE(SUBSTITUTE(SUBSTITUTE(A837,"~","~~"),"*","~*"),"?","~?")),"")</f>
        <v/>
      </c>
      <c r="C837" t="str">
        <f>IF($B837="","",SUMIFS(dAmt,dCust,$B837,dPer,"&gt;="&amp;pyFrom,dPer,"&lt;="&amp;pyTo,dAmt,"&gt;-1E+300",dFlt1,critFlt1,dFlt2,critFlt2,dFlt3,critFlt3))</f>
        <v/>
      </c>
      <c r="D837" t="str">
        <f>IF($B837="","",SUMIFS(dAmt,dCust,$B837,dPer,"&gt;="&amp;cyFrom,dPer,"&lt;="&amp;cyTo,dAmt,"&gt;-1E+300",dFlt1,critFlt1,dFlt2,critFlt2,dFlt3,critFlt3))</f>
        <v/>
      </c>
      <c r="E837" t="str">
        <f>IF($B837="","",SUMIFS(dQty,dCust,$B837,dPer,"&gt;="&amp;pyFrom,dPer,"&lt;="&amp;pyTo,dQty,"&gt;-1E+300",dFlt1,critFlt1,dFlt2,critFlt2,dFlt3,critFlt3))</f>
        <v/>
      </c>
      <c r="F837" t="str">
        <f>IF($B837="","",SUMIFS(dQty,dCust,$B837,dPer,"&gt;="&amp;cyFrom,dPer,"&lt;="&amp;cyTo,dQty,"&gt;-1E+300",dFlt1,critFlt1,dFlt2,critFlt2,dFlt3,critFlt3))</f>
        <v/>
      </c>
      <c r="G837">
        <f>IF($B837="",0,IFERROR(IF(OR(C837&lt;&gt;0,D837&lt;&gt;0,E837&lt;&gt;0,F837&lt;&gt;0),1,0),1))</f>
        <v>0</v>
      </c>
      <c r="H837" t="str">
        <f>IF(OR(G837=0,E837=0),"",C837/E837)</f>
        <v/>
      </c>
      <c r="I837" t="str">
        <f>IF(OR(G837=0,F837=0),"",D837/F837)</f>
        <v/>
      </c>
      <c r="J837" t="str">
        <f>IF(OR(H837="",I837=""),"",IF(H837=0,"",I837/H837-1))</f>
        <v/>
      </c>
      <c r="K837" t="str">
        <f>IF($B837="","",IFERROR(IF(G837=0,-2E+300,CHOOSE(sortIdx,ROUND(D837,0),IF(J837="",-1E+300,ROUND(-J837,6)),IF(J837="",-1E+300,ROUND(J837,6)))),-1.5E+300))</f>
        <v/>
      </c>
      <c r="L837" t="str">
        <f>IF(K837="","",RANK(K837,$K$2:$K$3001,0)+COUNTIF($K$2:K837,K837)-1)</f>
        <v/>
      </c>
    </row>
    <row r="838">
      <c r="B838" t="str">
        <f>IFERROR(IF(A838="","","="&amp;SUBSTITUTE(SUBSTITUTE(SUBSTITUTE(A838,"~","~~"),"*","~*"),"?","~?")),"")</f>
        <v/>
      </c>
      <c r="C838" t="str">
        <f>IF($B838="","",SUMIFS(dAmt,dCust,$B838,dPer,"&gt;="&amp;pyFrom,dPer,"&lt;="&amp;pyTo,dAmt,"&gt;-1E+300",dFlt1,critFlt1,dFlt2,critFlt2,dFlt3,critFlt3))</f>
        <v/>
      </c>
      <c r="D838" t="str">
        <f>IF($B838="","",SUMIFS(dAmt,dCust,$B838,dPer,"&gt;="&amp;cyFrom,dPer,"&lt;="&amp;cyTo,dAmt,"&gt;-1E+300",dFlt1,critFlt1,dFlt2,critFlt2,dFlt3,critFlt3))</f>
        <v/>
      </c>
      <c r="E838" t="str">
        <f>IF($B838="","",SUMIFS(dQty,dCust,$B838,dPer,"&gt;="&amp;pyFrom,dPer,"&lt;="&amp;pyTo,dQty,"&gt;-1E+300",dFlt1,critFlt1,dFlt2,critFlt2,dFlt3,critFlt3))</f>
        <v/>
      </c>
      <c r="F838" t="str">
        <f>IF($B838="","",SUMIFS(dQty,dCust,$B838,dPer,"&gt;="&amp;cyFrom,dPer,"&lt;="&amp;cyTo,dQty,"&gt;-1E+300",dFlt1,critFlt1,dFlt2,critFlt2,dFlt3,critFlt3))</f>
        <v/>
      </c>
      <c r="G838">
        <f>IF($B838="",0,IFERROR(IF(OR(C838&lt;&gt;0,D838&lt;&gt;0,E838&lt;&gt;0,F838&lt;&gt;0),1,0),1))</f>
        <v>0</v>
      </c>
      <c r="H838" t="str">
        <f>IF(OR(G838=0,E838=0),"",C838/E838)</f>
        <v/>
      </c>
      <c r="I838" t="str">
        <f>IF(OR(G838=0,F838=0),"",D838/F838)</f>
        <v/>
      </c>
      <c r="J838" t="str">
        <f>IF(OR(H838="",I838=""),"",IF(H838=0,"",I838/H838-1))</f>
        <v/>
      </c>
      <c r="K838" t="str">
        <f>IF($B838="","",IFERROR(IF(G838=0,-2E+300,CHOOSE(sortIdx,ROUND(D838,0),IF(J838="",-1E+300,ROUND(-J838,6)),IF(J838="",-1E+300,ROUND(J838,6)))),-1.5E+300))</f>
        <v/>
      </c>
      <c r="L838" t="str">
        <f>IF(K838="","",RANK(K838,$K$2:$K$3001,0)+COUNTIF($K$2:K838,K838)-1)</f>
        <v/>
      </c>
    </row>
    <row r="839">
      <c r="B839" t="str">
        <f>IFERROR(IF(A839="","","="&amp;SUBSTITUTE(SUBSTITUTE(SUBSTITUTE(A839,"~","~~"),"*","~*"),"?","~?")),"")</f>
        <v/>
      </c>
      <c r="C839" t="str">
        <f>IF($B839="","",SUMIFS(dAmt,dCust,$B839,dPer,"&gt;="&amp;pyFrom,dPer,"&lt;="&amp;pyTo,dAmt,"&gt;-1E+300",dFlt1,critFlt1,dFlt2,critFlt2,dFlt3,critFlt3))</f>
        <v/>
      </c>
      <c r="D839" t="str">
        <f>IF($B839="","",SUMIFS(dAmt,dCust,$B839,dPer,"&gt;="&amp;cyFrom,dPer,"&lt;="&amp;cyTo,dAmt,"&gt;-1E+300",dFlt1,critFlt1,dFlt2,critFlt2,dFlt3,critFlt3))</f>
        <v/>
      </c>
      <c r="E839" t="str">
        <f>IF($B839="","",SUMIFS(dQty,dCust,$B839,dPer,"&gt;="&amp;pyFrom,dPer,"&lt;="&amp;pyTo,dQty,"&gt;-1E+300",dFlt1,critFlt1,dFlt2,critFlt2,dFlt3,critFlt3))</f>
        <v/>
      </c>
      <c r="F839" t="str">
        <f>IF($B839="","",SUMIFS(dQty,dCust,$B839,dPer,"&gt;="&amp;cyFrom,dPer,"&lt;="&amp;cyTo,dQty,"&gt;-1E+300",dFlt1,critFlt1,dFlt2,critFlt2,dFlt3,critFlt3))</f>
        <v/>
      </c>
      <c r="G839">
        <f>IF($B839="",0,IFERROR(IF(OR(C839&lt;&gt;0,D839&lt;&gt;0,E839&lt;&gt;0,F839&lt;&gt;0),1,0),1))</f>
        <v>0</v>
      </c>
      <c r="H839" t="str">
        <f>IF(OR(G839=0,E839=0),"",C839/E839)</f>
        <v/>
      </c>
      <c r="I839" t="str">
        <f>IF(OR(G839=0,F839=0),"",D839/F839)</f>
        <v/>
      </c>
      <c r="J839" t="str">
        <f>IF(OR(H839="",I839=""),"",IF(H839=0,"",I839/H839-1))</f>
        <v/>
      </c>
      <c r="K839" t="str">
        <f>IF($B839="","",IFERROR(IF(G839=0,-2E+300,CHOOSE(sortIdx,ROUND(D839,0),IF(J839="",-1E+300,ROUND(-J839,6)),IF(J839="",-1E+300,ROUND(J839,6)))),-1.5E+300))</f>
        <v/>
      </c>
      <c r="L839" t="str">
        <f>IF(K839="","",RANK(K839,$K$2:$K$3001,0)+COUNTIF($K$2:K839,K839)-1)</f>
        <v/>
      </c>
    </row>
    <row r="840">
      <c r="B840" t="str">
        <f>IFERROR(IF(A840="","","="&amp;SUBSTITUTE(SUBSTITUTE(SUBSTITUTE(A840,"~","~~"),"*","~*"),"?","~?")),"")</f>
        <v/>
      </c>
      <c r="C840" t="str">
        <f>IF($B840="","",SUMIFS(dAmt,dCust,$B840,dPer,"&gt;="&amp;pyFrom,dPer,"&lt;="&amp;pyTo,dAmt,"&gt;-1E+300",dFlt1,critFlt1,dFlt2,critFlt2,dFlt3,critFlt3))</f>
        <v/>
      </c>
      <c r="D840" t="str">
        <f>IF($B840="","",SUMIFS(dAmt,dCust,$B840,dPer,"&gt;="&amp;cyFrom,dPer,"&lt;="&amp;cyTo,dAmt,"&gt;-1E+300",dFlt1,critFlt1,dFlt2,critFlt2,dFlt3,critFlt3))</f>
        <v/>
      </c>
      <c r="E840" t="str">
        <f>IF($B840="","",SUMIFS(dQty,dCust,$B840,dPer,"&gt;="&amp;pyFrom,dPer,"&lt;="&amp;pyTo,dQty,"&gt;-1E+300",dFlt1,critFlt1,dFlt2,critFlt2,dFlt3,critFlt3))</f>
        <v/>
      </c>
      <c r="F840" t="str">
        <f>IF($B840="","",SUMIFS(dQty,dCust,$B840,dPer,"&gt;="&amp;cyFrom,dPer,"&lt;="&amp;cyTo,dQty,"&gt;-1E+300",dFlt1,critFlt1,dFlt2,critFlt2,dFlt3,critFlt3))</f>
        <v/>
      </c>
      <c r="G840">
        <f>IF($B840="",0,IFERROR(IF(OR(C840&lt;&gt;0,D840&lt;&gt;0,E840&lt;&gt;0,F840&lt;&gt;0),1,0),1))</f>
        <v>0</v>
      </c>
      <c r="H840" t="str">
        <f>IF(OR(G840=0,E840=0),"",C840/E840)</f>
        <v/>
      </c>
      <c r="I840" t="str">
        <f>IF(OR(G840=0,F840=0),"",D840/F840)</f>
        <v/>
      </c>
      <c r="J840" t="str">
        <f>IF(OR(H840="",I840=""),"",IF(H840=0,"",I840/H840-1))</f>
        <v/>
      </c>
      <c r="K840" t="str">
        <f>IF($B840="","",IFERROR(IF(G840=0,-2E+300,CHOOSE(sortIdx,ROUND(D840,0),IF(J840="",-1E+300,ROUND(-J840,6)),IF(J840="",-1E+300,ROUND(J840,6)))),-1.5E+300))</f>
        <v/>
      </c>
      <c r="L840" t="str">
        <f>IF(K840="","",RANK(K840,$K$2:$K$3001,0)+COUNTIF($K$2:K840,K840)-1)</f>
        <v/>
      </c>
    </row>
    <row r="841">
      <c r="B841" t="str">
        <f>IFERROR(IF(A841="","","="&amp;SUBSTITUTE(SUBSTITUTE(SUBSTITUTE(A841,"~","~~"),"*","~*"),"?","~?")),"")</f>
        <v/>
      </c>
      <c r="C841" t="str">
        <f>IF($B841="","",SUMIFS(dAmt,dCust,$B841,dPer,"&gt;="&amp;pyFrom,dPer,"&lt;="&amp;pyTo,dAmt,"&gt;-1E+300",dFlt1,critFlt1,dFlt2,critFlt2,dFlt3,critFlt3))</f>
        <v/>
      </c>
      <c r="D841" t="str">
        <f>IF($B841="","",SUMIFS(dAmt,dCust,$B841,dPer,"&gt;="&amp;cyFrom,dPer,"&lt;="&amp;cyTo,dAmt,"&gt;-1E+300",dFlt1,critFlt1,dFlt2,critFlt2,dFlt3,critFlt3))</f>
        <v/>
      </c>
      <c r="E841" t="str">
        <f>IF($B841="","",SUMIFS(dQty,dCust,$B841,dPer,"&gt;="&amp;pyFrom,dPer,"&lt;="&amp;pyTo,dQty,"&gt;-1E+300",dFlt1,critFlt1,dFlt2,critFlt2,dFlt3,critFlt3))</f>
        <v/>
      </c>
      <c r="F841" t="str">
        <f>IF($B841="","",SUMIFS(dQty,dCust,$B841,dPer,"&gt;="&amp;cyFrom,dPer,"&lt;="&amp;cyTo,dQty,"&gt;-1E+300",dFlt1,critFlt1,dFlt2,critFlt2,dFlt3,critFlt3))</f>
        <v/>
      </c>
      <c r="G841">
        <f>IF($B841="",0,IFERROR(IF(OR(C841&lt;&gt;0,D841&lt;&gt;0,E841&lt;&gt;0,F841&lt;&gt;0),1,0),1))</f>
        <v>0</v>
      </c>
      <c r="H841" t="str">
        <f>IF(OR(G841=0,E841=0),"",C841/E841)</f>
        <v/>
      </c>
      <c r="I841" t="str">
        <f>IF(OR(G841=0,F841=0),"",D841/F841)</f>
        <v/>
      </c>
      <c r="J841" t="str">
        <f>IF(OR(H841="",I841=""),"",IF(H841=0,"",I841/H841-1))</f>
        <v/>
      </c>
      <c r="K841" t="str">
        <f>IF($B841="","",IFERROR(IF(G841=0,-2E+300,CHOOSE(sortIdx,ROUND(D841,0),IF(J841="",-1E+300,ROUND(-J841,6)),IF(J841="",-1E+300,ROUND(J841,6)))),-1.5E+300))</f>
        <v/>
      </c>
      <c r="L841" t="str">
        <f>IF(K841="","",RANK(K841,$K$2:$K$3001,0)+COUNTIF($K$2:K841,K841)-1)</f>
        <v/>
      </c>
    </row>
    <row r="842">
      <c r="B842" t="str">
        <f>IFERROR(IF(A842="","","="&amp;SUBSTITUTE(SUBSTITUTE(SUBSTITUTE(A842,"~","~~"),"*","~*"),"?","~?")),"")</f>
        <v/>
      </c>
      <c r="C842" t="str">
        <f>IF($B842="","",SUMIFS(dAmt,dCust,$B842,dPer,"&gt;="&amp;pyFrom,dPer,"&lt;="&amp;pyTo,dAmt,"&gt;-1E+300",dFlt1,critFlt1,dFlt2,critFlt2,dFlt3,critFlt3))</f>
        <v/>
      </c>
      <c r="D842" t="str">
        <f>IF($B842="","",SUMIFS(dAmt,dCust,$B842,dPer,"&gt;="&amp;cyFrom,dPer,"&lt;="&amp;cyTo,dAmt,"&gt;-1E+300",dFlt1,critFlt1,dFlt2,critFlt2,dFlt3,critFlt3))</f>
        <v/>
      </c>
      <c r="E842" t="str">
        <f>IF($B842="","",SUMIFS(dQty,dCust,$B842,dPer,"&gt;="&amp;pyFrom,dPer,"&lt;="&amp;pyTo,dQty,"&gt;-1E+300",dFlt1,critFlt1,dFlt2,critFlt2,dFlt3,critFlt3))</f>
        <v/>
      </c>
      <c r="F842" t="str">
        <f>IF($B842="","",SUMIFS(dQty,dCust,$B842,dPer,"&gt;="&amp;cyFrom,dPer,"&lt;="&amp;cyTo,dQty,"&gt;-1E+300",dFlt1,critFlt1,dFlt2,critFlt2,dFlt3,critFlt3))</f>
        <v/>
      </c>
      <c r="G842">
        <f>IF($B842="",0,IFERROR(IF(OR(C842&lt;&gt;0,D842&lt;&gt;0,E842&lt;&gt;0,F842&lt;&gt;0),1,0),1))</f>
        <v>0</v>
      </c>
      <c r="H842" t="str">
        <f>IF(OR(G842=0,E842=0),"",C842/E842)</f>
        <v/>
      </c>
      <c r="I842" t="str">
        <f>IF(OR(G842=0,F842=0),"",D842/F842)</f>
        <v/>
      </c>
      <c r="J842" t="str">
        <f>IF(OR(H842="",I842=""),"",IF(H842=0,"",I842/H842-1))</f>
        <v/>
      </c>
      <c r="K842" t="str">
        <f>IF($B842="","",IFERROR(IF(G842=0,-2E+300,CHOOSE(sortIdx,ROUND(D842,0),IF(J842="",-1E+300,ROUND(-J842,6)),IF(J842="",-1E+300,ROUND(J842,6)))),-1.5E+300))</f>
        <v/>
      </c>
      <c r="L842" t="str">
        <f>IF(K842="","",RANK(K842,$K$2:$K$3001,0)+COUNTIF($K$2:K842,K842)-1)</f>
        <v/>
      </c>
    </row>
    <row r="843">
      <c r="B843" t="str">
        <f>IFERROR(IF(A843="","","="&amp;SUBSTITUTE(SUBSTITUTE(SUBSTITUTE(A843,"~","~~"),"*","~*"),"?","~?")),"")</f>
        <v/>
      </c>
      <c r="C843" t="str">
        <f>IF($B843="","",SUMIFS(dAmt,dCust,$B843,dPer,"&gt;="&amp;pyFrom,dPer,"&lt;="&amp;pyTo,dAmt,"&gt;-1E+300",dFlt1,critFlt1,dFlt2,critFlt2,dFlt3,critFlt3))</f>
        <v/>
      </c>
      <c r="D843" t="str">
        <f>IF($B843="","",SUMIFS(dAmt,dCust,$B843,dPer,"&gt;="&amp;cyFrom,dPer,"&lt;="&amp;cyTo,dAmt,"&gt;-1E+300",dFlt1,critFlt1,dFlt2,critFlt2,dFlt3,critFlt3))</f>
        <v/>
      </c>
      <c r="E843" t="str">
        <f>IF($B843="","",SUMIFS(dQty,dCust,$B843,dPer,"&gt;="&amp;pyFrom,dPer,"&lt;="&amp;pyTo,dQty,"&gt;-1E+300",dFlt1,critFlt1,dFlt2,critFlt2,dFlt3,critFlt3))</f>
        <v/>
      </c>
      <c r="F843" t="str">
        <f>IF($B843="","",SUMIFS(dQty,dCust,$B843,dPer,"&gt;="&amp;cyFrom,dPer,"&lt;="&amp;cyTo,dQty,"&gt;-1E+300",dFlt1,critFlt1,dFlt2,critFlt2,dFlt3,critFlt3))</f>
        <v/>
      </c>
      <c r="G843">
        <f>IF($B843="",0,IFERROR(IF(OR(C843&lt;&gt;0,D843&lt;&gt;0,E843&lt;&gt;0,F843&lt;&gt;0),1,0),1))</f>
        <v>0</v>
      </c>
      <c r="H843" t="str">
        <f>IF(OR(G843=0,E843=0),"",C843/E843)</f>
        <v/>
      </c>
      <c r="I843" t="str">
        <f>IF(OR(G843=0,F843=0),"",D843/F843)</f>
        <v/>
      </c>
      <c r="J843" t="str">
        <f>IF(OR(H843="",I843=""),"",IF(H843=0,"",I843/H843-1))</f>
        <v/>
      </c>
      <c r="K843" t="str">
        <f>IF($B843="","",IFERROR(IF(G843=0,-2E+300,CHOOSE(sortIdx,ROUND(D843,0),IF(J843="",-1E+300,ROUND(-J843,6)),IF(J843="",-1E+300,ROUND(J843,6)))),-1.5E+300))</f>
        <v/>
      </c>
      <c r="L843" t="str">
        <f>IF(K843="","",RANK(K843,$K$2:$K$3001,0)+COUNTIF($K$2:K843,K843)-1)</f>
        <v/>
      </c>
    </row>
    <row r="844">
      <c r="B844" t="str">
        <f>IFERROR(IF(A844="","","="&amp;SUBSTITUTE(SUBSTITUTE(SUBSTITUTE(A844,"~","~~"),"*","~*"),"?","~?")),"")</f>
        <v/>
      </c>
      <c r="C844" t="str">
        <f>IF($B844="","",SUMIFS(dAmt,dCust,$B844,dPer,"&gt;="&amp;pyFrom,dPer,"&lt;="&amp;pyTo,dAmt,"&gt;-1E+300",dFlt1,critFlt1,dFlt2,critFlt2,dFlt3,critFlt3))</f>
        <v/>
      </c>
      <c r="D844" t="str">
        <f>IF($B844="","",SUMIFS(dAmt,dCust,$B844,dPer,"&gt;="&amp;cyFrom,dPer,"&lt;="&amp;cyTo,dAmt,"&gt;-1E+300",dFlt1,critFlt1,dFlt2,critFlt2,dFlt3,critFlt3))</f>
        <v/>
      </c>
      <c r="E844" t="str">
        <f>IF($B844="","",SUMIFS(dQty,dCust,$B844,dPer,"&gt;="&amp;pyFrom,dPer,"&lt;="&amp;pyTo,dQty,"&gt;-1E+300",dFlt1,critFlt1,dFlt2,critFlt2,dFlt3,critFlt3))</f>
        <v/>
      </c>
      <c r="F844" t="str">
        <f>IF($B844="","",SUMIFS(dQty,dCust,$B844,dPer,"&gt;="&amp;cyFrom,dPer,"&lt;="&amp;cyTo,dQty,"&gt;-1E+300",dFlt1,critFlt1,dFlt2,critFlt2,dFlt3,critFlt3))</f>
        <v/>
      </c>
      <c r="G844">
        <f>IF($B844="",0,IFERROR(IF(OR(C844&lt;&gt;0,D844&lt;&gt;0,E844&lt;&gt;0,F844&lt;&gt;0),1,0),1))</f>
        <v>0</v>
      </c>
      <c r="H844" t="str">
        <f>IF(OR(G844=0,E844=0),"",C844/E844)</f>
        <v/>
      </c>
      <c r="I844" t="str">
        <f>IF(OR(G844=0,F844=0),"",D844/F844)</f>
        <v/>
      </c>
      <c r="J844" t="str">
        <f>IF(OR(H844="",I844=""),"",IF(H844=0,"",I844/H844-1))</f>
        <v/>
      </c>
      <c r="K844" t="str">
        <f>IF($B844="","",IFERROR(IF(G844=0,-2E+300,CHOOSE(sortIdx,ROUND(D844,0),IF(J844="",-1E+300,ROUND(-J844,6)),IF(J844="",-1E+300,ROUND(J844,6)))),-1.5E+300))</f>
        <v/>
      </c>
      <c r="L844" t="str">
        <f>IF(K844="","",RANK(K844,$K$2:$K$3001,0)+COUNTIF($K$2:K844,K844)-1)</f>
        <v/>
      </c>
    </row>
    <row r="845">
      <c r="B845" t="str">
        <f>IFERROR(IF(A845="","","="&amp;SUBSTITUTE(SUBSTITUTE(SUBSTITUTE(A845,"~","~~"),"*","~*"),"?","~?")),"")</f>
        <v/>
      </c>
      <c r="C845" t="str">
        <f>IF($B845="","",SUMIFS(dAmt,dCust,$B845,dPer,"&gt;="&amp;pyFrom,dPer,"&lt;="&amp;pyTo,dAmt,"&gt;-1E+300",dFlt1,critFlt1,dFlt2,critFlt2,dFlt3,critFlt3))</f>
        <v/>
      </c>
      <c r="D845" t="str">
        <f>IF($B845="","",SUMIFS(dAmt,dCust,$B845,dPer,"&gt;="&amp;cyFrom,dPer,"&lt;="&amp;cyTo,dAmt,"&gt;-1E+300",dFlt1,critFlt1,dFlt2,critFlt2,dFlt3,critFlt3))</f>
        <v/>
      </c>
      <c r="E845" t="str">
        <f>IF($B845="","",SUMIFS(dQty,dCust,$B845,dPer,"&gt;="&amp;pyFrom,dPer,"&lt;="&amp;pyTo,dQty,"&gt;-1E+300",dFlt1,critFlt1,dFlt2,critFlt2,dFlt3,critFlt3))</f>
        <v/>
      </c>
      <c r="F845" t="str">
        <f>IF($B845="","",SUMIFS(dQty,dCust,$B845,dPer,"&gt;="&amp;cyFrom,dPer,"&lt;="&amp;cyTo,dQty,"&gt;-1E+300",dFlt1,critFlt1,dFlt2,critFlt2,dFlt3,critFlt3))</f>
        <v/>
      </c>
      <c r="G845">
        <f>IF($B845="",0,IFERROR(IF(OR(C845&lt;&gt;0,D845&lt;&gt;0,E845&lt;&gt;0,F845&lt;&gt;0),1,0),1))</f>
        <v>0</v>
      </c>
      <c r="H845" t="str">
        <f>IF(OR(G845=0,E845=0),"",C845/E845)</f>
        <v/>
      </c>
      <c r="I845" t="str">
        <f>IF(OR(G845=0,F845=0),"",D845/F845)</f>
        <v/>
      </c>
      <c r="J845" t="str">
        <f>IF(OR(H845="",I845=""),"",IF(H845=0,"",I845/H845-1))</f>
        <v/>
      </c>
      <c r="K845" t="str">
        <f>IF($B845="","",IFERROR(IF(G845=0,-2E+300,CHOOSE(sortIdx,ROUND(D845,0),IF(J845="",-1E+300,ROUND(-J845,6)),IF(J845="",-1E+300,ROUND(J845,6)))),-1.5E+300))</f>
        <v/>
      </c>
      <c r="L845" t="str">
        <f>IF(K845="","",RANK(K845,$K$2:$K$3001,0)+COUNTIF($K$2:K845,K845)-1)</f>
        <v/>
      </c>
    </row>
    <row r="846">
      <c r="B846" t="str">
        <f>IFERROR(IF(A846="","","="&amp;SUBSTITUTE(SUBSTITUTE(SUBSTITUTE(A846,"~","~~"),"*","~*"),"?","~?")),"")</f>
        <v/>
      </c>
      <c r="C846" t="str">
        <f>IF($B846="","",SUMIFS(dAmt,dCust,$B846,dPer,"&gt;="&amp;pyFrom,dPer,"&lt;="&amp;pyTo,dAmt,"&gt;-1E+300",dFlt1,critFlt1,dFlt2,critFlt2,dFlt3,critFlt3))</f>
        <v/>
      </c>
      <c r="D846" t="str">
        <f>IF($B846="","",SUMIFS(dAmt,dCust,$B846,dPer,"&gt;="&amp;cyFrom,dPer,"&lt;="&amp;cyTo,dAmt,"&gt;-1E+300",dFlt1,critFlt1,dFlt2,critFlt2,dFlt3,critFlt3))</f>
        <v/>
      </c>
      <c r="E846" t="str">
        <f>IF($B846="","",SUMIFS(dQty,dCust,$B846,dPer,"&gt;="&amp;pyFrom,dPer,"&lt;="&amp;pyTo,dQty,"&gt;-1E+300",dFlt1,critFlt1,dFlt2,critFlt2,dFlt3,critFlt3))</f>
        <v/>
      </c>
      <c r="F846" t="str">
        <f>IF($B846="","",SUMIFS(dQty,dCust,$B846,dPer,"&gt;="&amp;cyFrom,dPer,"&lt;="&amp;cyTo,dQty,"&gt;-1E+300",dFlt1,critFlt1,dFlt2,critFlt2,dFlt3,critFlt3))</f>
        <v/>
      </c>
      <c r="G846">
        <f>IF($B846="",0,IFERROR(IF(OR(C846&lt;&gt;0,D846&lt;&gt;0,E846&lt;&gt;0,F846&lt;&gt;0),1,0),1))</f>
        <v>0</v>
      </c>
      <c r="H846" t="str">
        <f>IF(OR(G846=0,E846=0),"",C846/E846)</f>
        <v/>
      </c>
      <c r="I846" t="str">
        <f>IF(OR(G846=0,F846=0),"",D846/F846)</f>
        <v/>
      </c>
      <c r="J846" t="str">
        <f>IF(OR(H846="",I846=""),"",IF(H846=0,"",I846/H846-1))</f>
        <v/>
      </c>
      <c r="K846" t="str">
        <f>IF($B846="","",IFERROR(IF(G846=0,-2E+300,CHOOSE(sortIdx,ROUND(D846,0),IF(J846="",-1E+300,ROUND(-J846,6)),IF(J846="",-1E+300,ROUND(J846,6)))),-1.5E+300))</f>
        <v/>
      </c>
      <c r="L846" t="str">
        <f>IF(K846="","",RANK(K846,$K$2:$K$3001,0)+COUNTIF($K$2:K846,K846)-1)</f>
        <v/>
      </c>
    </row>
    <row r="847">
      <c r="B847" t="str">
        <f>IFERROR(IF(A847="","","="&amp;SUBSTITUTE(SUBSTITUTE(SUBSTITUTE(A847,"~","~~"),"*","~*"),"?","~?")),"")</f>
        <v/>
      </c>
      <c r="C847" t="str">
        <f>IF($B847="","",SUMIFS(dAmt,dCust,$B847,dPer,"&gt;="&amp;pyFrom,dPer,"&lt;="&amp;pyTo,dAmt,"&gt;-1E+300",dFlt1,critFlt1,dFlt2,critFlt2,dFlt3,critFlt3))</f>
        <v/>
      </c>
      <c r="D847" t="str">
        <f>IF($B847="","",SUMIFS(dAmt,dCust,$B847,dPer,"&gt;="&amp;cyFrom,dPer,"&lt;="&amp;cyTo,dAmt,"&gt;-1E+300",dFlt1,critFlt1,dFlt2,critFlt2,dFlt3,critFlt3))</f>
        <v/>
      </c>
      <c r="E847" t="str">
        <f>IF($B847="","",SUMIFS(dQty,dCust,$B847,dPer,"&gt;="&amp;pyFrom,dPer,"&lt;="&amp;pyTo,dQty,"&gt;-1E+300",dFlt1,critFlt1,dFlt2,critFlt2,dFlt3,critFlt3))</f>
        <v/>
      </c>
      <c r="F847" t="str">
        <f>IF($B847="","",SUMIFS(dQty,dCust,$B847,dPer,"&gt;="&amp;cyFrom,dPer,"&lt;="&amp;cyTo,dQty,"&gt;-1E+300",dFlt1,critFlt1,dFlt2,critFlt2,dFlt3,critFlt3))</f>
        <v/>
      </c>
      <c r="G847">
        <f>IF($B847="",0,IFERROR(IF(OR(C847&lt;&gt;0,D847&lt;&gt;0,E847&lt;&gt;0,F847&lt;&gt;0),1,0),1))</f>
        <v>0</v>
      </c>
      <c r="H847" t="str">
        <f>IF(OR(G847=0,E847=0),"",C847/E847)</f>
        <v/>
      </c>
      <c r="I847" t="str">
        <f>IF(OR(G847=0,F847=0),"",D847/F847)</f>
        <v/>
      </c>
      <c r="J847" t="str">
        <f>IF(OR(H847="",I847=""),"",IF(H847=0,"",I847/H847-1))</f>
        <v/>
      </c>
      <c r="K847" t="str">
        <f>IF($B847="","",IFERROR(IF(G847=0,-2E+300,CHOOSE(sortIdx,ROUND(D847,0),IF(J847="",-1E+300,ROUND(-J847,6)),IF(J847="",-1E+300,ROUND(J847,6)))),-1.5E+300))</f>
        <v/>
      </c>
      <c r="L847" t="str">
        <f>IF(K847="","",RANK(K847,$K$2:$K$3001,0)+COUNTIF($K$2:K847,K847)-1)</f>
        <v/>
      </c>
    </row>
    <row r="848">
      <c r="B848" t="str">
        <f>IFERROR(IF(A848="","","="&amp;SUBSTITUTE(SUBSTITUTE(SUBSTITUTE(A848,"~","~~"),"*","~*"),"?","~?")),"")</f>
        <v/>
      </c>
      <c r="C848" t="str">
        <f>IF($B848="","",SUMIFS(dAmt,dCust,$B848,dPer,"&gt;="&amp;pyFrom,dPer,"&lt;="&amp;pyTo,dAmt,"&gt;-1E+300",dFlt1,critFlt1,dFlt2,critFlt2,dFlt3,critFlt3))</f>
        <v/>
      </c>
      <c r="D848" t="str">
        <f>IF($B848="","",SUMIFS(dAmt,dCust,$B848,dPer,"&gt;="&amp;cyFrom,dPer,"&lt;="&amp;cyTo,dAmt,"&gt;-1E+300",dFlt1,critFlt1,dFlt2,critFlt2,dFlt3,critFlt3))</f>
        <v/>
      </c>
      <c r="E848" t="str">
        <f>IF($B848="","",SUMIFS(dQty,dCust,$B848,dPer,"&gt;="&amp;pyFrom,dPer,"&lt;="&amp;pyTo,dQty,"&gt;-1E+300",dFlt1,critFlt1,dFlt2,critFlt2,dFlt3,critFlt3))</f>
        <v/>
      </c>
      <c r="F848" t="str">
        <f>IF($B848="","",SUMIFS(dQty,dCust,$B848,dPer,"&gt;="&amp;cyFrom,dPer,"&lt;="&amp;cyTo,dQty,"&gt;-1E+300",dFlt1,critFlt1,dFlt2,critFlt2,dFlt3,critFlt3))</f>
        <v/>
      </c>
      <c r="G848">
        <f>IF($B848="",0,IFERROR(IF(OR(C848&lt;&gt;0,D848&lt;&gt;0,E848&lt;&gt;0,F848&lt;&gt;0),1,0),1))</f>
        <v>0</v>
      </c>
      <c r="H848" t="str">
        <f>IF(OR(G848=0,E848=0),"",C848/E848)</f>
        <v/>
      </c>
      <c r="I848" t="str">
        <f>IF(OR(G848=0,F848=0),"",D848/F848)</f>
        <v/>
      </c>
      <c r="J848" t="str">
        <f>IF(OR(H848="",I848=""),"",IF(H848=0,"",I848/H848-1))</f>
        <v/>
      </c>
      <c r="K848" t="str">
        <f>IF($B848="","",IFERROR(IF(G848=0,-2E+300,CHOOSE(sortIdx,ROUND(D848,0),IF(J848="",-1E+300,ROUND(-J848,6)),IF(J848="",-1E+300,ROUND(J848,6)))),-1.5E+300))</f>
        <v/>
      </c>
      <c r="L848" t="str">
        <f>IF(K848="","",RANK(K848,$K$2:$K$3001,0)+COUNTIF($K$2:K848,K848)-1)</f>
        <v/>
      </c>
    </row>
    <row r="849">
      <c r="B849" t="str">
        <f>IFERROR(IF(A849="","","="&amp;SUBSTITUTE(SUBSTITUTE(SUBSTITUTE(A849,"~","~~"),"*","~*"),"?","~?")),"")</f>
        <v/>
      </c>
      <c r="C849" t="str">
        <f>IF($B849="","",SUMIFS(dAmt,dCust,$B849,dPer,"&gt;="&amp;pyFrom,dPer,"&lt;="&amp;pyTo,dAmt,"&gt;-1E+300",dFlt1,critFlt1,dFlt2,critFlt2,dFlt3,critFlt3))</f>
        <v/>
      </c>
      <c r="D849" t="str">
        <f>IF($B849="","",SUMIFS(dAmt,dCust,$B849,dPer,"&gt;="&amp;cyFrom,dPer,"&lt;="&amp;cyTo,dAmt,"&gt;-1E+300",dFlt1,critFlt1,dFlt2,critFlt2,dFlt3,critFlt3))</f>
        <v/>
      </c>
      <c r="E849" t="str">
        <f>IF($B849="","",SUMIFS(dQty,dCust,$B849,dPer,"&gt;="&amp;pyFrom,dPer,"&lt;="&amp;pyTo,dQty,"&gt;-1E+300",dFlt1,critFlt1,dFlt2,critFlt2,dFlt3,critFlt3))</f>
        <v/>
      </c>
      <c r="F849" t="str">
        <f>IF($B849="","",SUMIFS(dQty,dCust,$B849,dPer,"&gt;="&amp;cyFrom,dPer,"&lt;="&amp;cyTo,dQty,"&gt;-1E+300",dFlt1,critFlt1,dFlt2,critFlt2,dFlt3,critFlt3))</f>
        <v/>
      </c>
      <c r="G849">
        <f>IF($B849="",0,IFERROR(IF(OR(C849&lt;&gt;0,D849&lt;&gt;0,E849&lt;&gt;0,F849&lt;&gt;0),1,0),1))</f>
        <v>0</v>
      </c>
      <c r="H849" t="str">
        <f>IF(OR(G849=0,E849=0),"",C849/E849)</f>
        <v/>
      </c>
      <c r="I849" t="str">
        <f>IF(OR(G849=0,F849=0),"",D849/F849)</f>
        <v/>
      </c>
      <c r="J849" t="str">
        <f>IF(OR(H849="",I849=""),"",IF(H849=0,"",I849/H849-1))</f>
        <v/>
      </c>
      <c r="K849" t="str">
        <f>IF($B849="","",IFERROR(IF(G849=0,-2E+300,CHOOSE(sortIdx,ROUND(D849,0),IF(J849="",-1E+300,ROUND(-J849,6)),IF(J849="",-1E+300,ROUND(J849,6)))),-1.5E+300))</f>
        <v/>
      </c>
      <c r="L849" t="str">
        <f>IF(K849="","",RANK(K849,$K$2:$K$3001,0)+COUNTIF($K$2:K849,K849)-1)</f>
        <v/>
      </c>
    </row>
    <row r="850">
      <c r="B850" t="str">
        <f>IFERROR(IF(A850="","","="&amp;SUBSTITUTE(SUBSTITUTE(SUBSTITUTE(A850,"~","~~"),"*","~*"),"?","~?")),"")</f>
        <v/>
      </c>
      <c r="C850" t="str">
        <f>IF($B850="","",SUMIFS(dAmt,dCust,$B850,dPer,"&gt;="&amp;pyFrom,dPer,"&lt;="&amp;pyTo,dAmt,"&gt;-1E+300",dFlt1,critFlt1,dFlt2,critFlt2,dFlt3,critFlt3))</f>
        <v/>
      </c>
      <c r="D850" t="str">
        <f>IF($B850="","",SUMIFS(dAmt,dCust,$B850,dPer,"&gt;="&amp;cyFrom,dPer,"&lt;="&amp;cyTo,dAmt,"&gt;-1E+300",dFlt1,critFlt1,dFlt2,critFlt2,dFlt3,critFlt3))</f>
        <v/>
      </c>
      <c r="E850" t="str">
        <f>IF($B850="","",SUMIFS(dQty,dCust,$B850,dPer,"&gt;="&amp;pyFrom,dPer,"&lt;="&amp;pyTo,dQty,"&gt;-1E+300",dFlt1,critFlt1,dFlt2,critFlt2,dFlt3,critFlt3))</f>
        <v/>
      </c>
      <c r="F850" t="str">
        <f>IF($B850="","",SUMIFS(dQty,dCust,$B850,dPer,"&gt;="&amp;cyFrom,dPer,"&lt;="&amp;cyTo,dQty,"&gt;-1E+300",dFlt1,critFlt1,dFlt2,critFlt2,dFlt3,critFlt3))</f>
        <v/>
      </c>
      <c r="G850">
        <f>IF($B850="",0,IFERROR(IF(OR(C850&lt;&gt;0,D850&lt;&gt;0,E850&lt;&gt;0,F850&lt;&gt;0),1,0),1))</f>
        <v>0</v>
      </c>
      <c r="H850" t="str">
        <f>IF(OR(G850=0,E850=0),"",C850/E850)</f>
        <v/>
      </c>
      <c r="I850" t="str">
        <f>IF(OR(G850=0,F850=0),"",D850/F850)</f>
        <v/>
      </c>
      <c r="J850" t="str">
        <f>IF(OR(H850="",I850=""),"",IF(H850=0,"",I850/H850-1))</f>
        <v/>
      </c>
      <c r="K850" t="str">
        <f>IF($B850="","",IFERROR(IF(G850=0,-2E+300,CHOOSE(sortIdx,ROUND(D850,0),IF(J850="",-1E+300,ROUND(-J850,6)),IF(J850="",-1E+300,ROUND(J850,6)))),-1.5E+300))</f>
        <v/>
      </c>
      <c r="L850" t="str">
        <f>IF(K850="","",RANK(K850,$K$2:$K$3001,0)+COUNTIF($K$2:K850,K850)-1)</f>
        <v/>
      </c>
    </row>
    <row r="851">
      <c r="B851" t="str">
        <f>IFERROR(IF(A851="","","="&amp;SUBSTITUTE(SUBSTITUTE(SUBSTITUTE(A851,"~","~~"),"*","~*"),"?","~?")),"")</f>
        <v/>
      </c>
      <c r="C851" t="str">
        <f>IF($B851="","",SUMIFS(dAmt,dCust,$B851,dPer,"&gt;="&amp;pyFrom,dPer,"&lt;="&amp;pyTo,dAmt,"&gt;-1E+300",dFlt1,critFlt1,dFlt2,critFlt2,dFlt3,critFlt3))</f>
        <v/>
      </c>
      <c r="D851" t="str">
        <f>IF($B851="","",SUMIFS(dAmt,dCust,$B851,dPer,"&gt;="&amp;cyFrom,dPer,"&lt;="&amp;cyTo,dAmt,"&gt;-1E+300",dFlt1,critFlt1,dFlt2,critFlt2,dFlt3,critFlt3))</f>
        <v/>
      </c>
      <c r="E851" t="str">
        <f>IF($B851="","",SUMIFS(dQty,dCust,$B851,dPer,"&gt;="&amp;pyFrom,dPer,"&lt;="&amp;pyTo,dQty,"&gt;-1E+300",dFlt1,critFlt1,dFlt2,critFlt2,dFlt3,critFlt3))</f>
        <v/>
      </c>
      <c r="F851" t="str">
        <f>IF($B851="","",SUMIFS(dQty,dCust,$B851,dPer,"&gt;="&amp;cyFrom,dPer,"&lt;="&amp;cyTo,dQty,"&gt;-1E+300",dFlt1,critFlt1,dFlt2,critFlt2,dFlt3,critFlt3))</f>
        <v/>
      </c>
      <c r="G851">
        <f>IF($B851="",0,IFERROR(IF(OR(C851&lt;&gt;0,D851&lt;&gt;0,E851&lt;&gt;0,F851&lt;&gt;0),1,0),1))</f>
        <v>0</v>
      </c>
      <c r="H851" t="str">
        <f>IF(OR(G851=0,E851=0),"",C851/E851)</f>
        <v/>
      </c>
      <c r="I851" t="str">
        <f>IF(OR(G851=0,F851=0),"",D851/F851)</f>
        <v/>
      </c>
      <c r="J851" t="str">
        <f>IF(OR(H851="",I851=""),"",IF(H851=0,"",I851/H851-1))</f>
        <v/>
      </c>
      <c r="K851" t="str">
        <f>IF($B851="","",IFERROR(IF(G851=0,-2E+300,CHOOSE(sortIdx,ROUND(D851,0),IF(J851="",-1E+300,ROUND(-J851,6)),IF(J851="",-1E+300,ROUND(J851,6)))),-1.5E+300))</f>
        <v/>
      </c>
      <c r="L851" t="str">
        <f>IF(K851="","",RANK(K851,$K$2:$K$3001,0)+COUNTIF($K$2:K851,K851)-1)</f>
        <v/>
      </c>
    </row>
    <row r="852">
      <c r="B852" t="str">
        <f>IFERROR(IF(A852="","","="&amp;SUBSTITUTE(SUBSTITUTE(SUBSTITUTE(A852,"~","~~"),"*","~*"),"?","~?")),"")</f>
        <v/>
      </c>
      <c r="C852" t="str">
        <f>IF($B852="","",SUMIFS(dAmt,dCust,$B852,dPer,"&gt;="&amp;pyFrom,dPer,"&lt;="&amp;pyTo,dAmt,"&gt;-1E+300",dFlt1,critFlt1,dFlt2,critFlt2,dFlt3,critFlt3))</f>
        <v/>
      </c>
      <c r="D852" t="str">
        <f>IF($B852="","",SUMIFS(dAmt,dCust,$B852,dPer,"&gt;="&amp;cyFrom,dPer,"&lt;="&amp;cyTo,dAmt,"&gt;-1E+300",dFlt1,critFlt1,dFlt2,critFlt2,dFlt3,critFlt3))</f>
        <v/>
      </c>
      <c r="E852" t="str">
        <f>IF($B852="","",SUMIFS(dQty,dCust,$B852,dPer,"&gt;="&amp;pyFrom,dPer,"&lt;="&amp;pyTo,dQty,"&gt;-1E+300",dFlt1,critFlt1,dFlt2,critFlt2,dFlt3,critFlt3))</f>
        <v/>
      </c>
      <c r="F852" t="str">
        <f>IF($B852="","",SUMIFS(dQty,dCust,$B852,dPer,"&gt;="&amp;cyFrom,dPer,"&lt;="&amp;cyTo,dQty,"&gt;-1E+300",dFlt1,critFlt1,dFlt2,critFlt2,dFlt3,critFlt3))</f>
        <v/>
      </c>
      <c r="G852">
        <f>IF($B852="",0,IFERROR(IF(OR(C852&lt;&gt;0,D852&lt;&gt;0,E852&lt;&gt;0,F852&lt;&gt;0),1,0),1))</f>
        <v>0</v>
      </c>
      <c r="H852" t="str">
        <f>IF(OR(G852=0,E852=0),"",C852/E852)</f>
        <v/>
      </c>
      <c r="I852" t="str">
        <f>IF(OR(G852=0,F852=0),"",D852/F852)</f>
        <v/>
      </c>
      <c r="J852" t="str">
        <f>IF(OR(H852="",I852=""),"",IF(H852=0,"",I852/H852-1))</f>
        <v/>
      </c>
      <c r="K852" t="str">
        <f>IF($B852="","",IFERROR(IF(G852=0,-2E+300,CHOOSE(sortIdx,ROUND(D852,0),IF(J852="",-1E+300,ROUND(-J852,6)),IF(J852="",-1E+300,ROUND(J852,6)))),-1.5E+300))</f>
        <v/>
      </c>
      <c r="L852" t="str">
        <f>IF(K852="","",RANK(K852,$K$2:$K$3001,0)+COUNTIF($K$2:K852,K852)-1)</f>
        <v/>
      </c>
    </row>
    <row r="853">
      <c r="B853" t="str">
        <f>IFERROR(IF(A853="","","="&amp;SUBSTITUTE(SUBSTITUTE(SUBSTITUTE(A853,"~","~~"),"*","~*"),"?","~?")),"")</f>
        <v/>
      </c>
      <c r="C853" t="str">
        <f>IF($B853="","",SUMIFS(dAmt,dCust,$B853,dPer,"&gt;="&amp;pyFrom,dPer,"&lt;="&amp;pyTo,dAmt,"&gt;-1E+300",dFlt1,critFlt1,dFlt2,critFlt2,dFlt3,critFlt3))</f>
        <v/>
      </c>
      <c r="D853" t="str">
        <f>IF($B853="","",SUMIFS(dAmt,dCust,$B853,dPer,"&gt;="&amp;cyFrom,dPer,"&lt;="&amp;cyTo,dAmt,"&gt;-1E+300",dFlt1,critFlt1,dFlt2,critFlt2,dFlt3,critFlt3))</f>
        <v/>
      </c>
      <c r="E853" t="str">
        <f>IF($B853="","",SUMIFS(dQty,dCust,$B853,dPer,"&gt;="&amp;pyFrom,dPer,"&lt;="&amp;pyTo,dQty,"&gt;-1E+300",dFlt1,critFlt1,dFlt2,critFlt2,dFlt3,critFlt3))</f>
        <v/>
      </c>
      <c r="F853" t="str">
        <f>IF($B853="","",SUMIFS(dQty,dCust,$B853,dPer,"&gt;="&amp;cyFrom,dPer,"&lt;="&amp;cyTo,dQty,"&gt;-1E+300",dFlt1,critFlt1,dFlt2,critFlt2,dFlt3,critFlt3))</f>
        <v/>
      </c>
      <c r="G853">
        <f>IF($B853="",0,IFERROR(IF(OR(C853&lt;&gt;0,D853&lt;&gt;0,E853&lt;&gt;0,F853&lt;&gt;0),1,0),1))</f>
        <v>0</v>
      </c>
      <c r="H853" t="str">
        <f>IF(OR(G853=0,E853=0),"",C853/E853)</f>
        <v/>
      </c>
      <c r="I853" t="str">
        <f>IF(OR(G853=0,F853=0),"",D853/F853)</f>
        <v/>
      </c>
      <c r="J853" t="str">
        <f>IF(OR(H853="",I853=""),"",IF(H853=0,"",I853/H853-1))</f>
        <v/>
      </c>
      <c r="K853" t="str">
        <f>IF($B853="","",IFERROR(IF(G853=0,-2E+300,CHOOSE(sortIdx,ROUND(D853,0),IF(J853="",-1E+300,ROUND(-J853,6)),IF(J853="",-1E+300,ROUND(J853,6)))),-1.5E+300))</f>
        <v/>
      </c>
      <c r="L853" t="str">
        <f>IF(K853="","",RANK(K853,$K$2:$K$3001,0)+COUNTIF($K$2:K853,K853)-1)</f>
        <v/>
      </c>
    </row>
    <row r="854">
      <c r="B854" t="str">
        <f>IFERROR(IF(A854="","","="&amp;SUBSTITUTE(SUBSTITUTE(SUBSTITUTE(A854,"~","~~"),"*","~*"),"?","~?")),"")</f>
        <v/>
      </c>
      <c r="C854" t="str">
        <f>IF($B854="","",SUMIFS(dAmt,dCust,$B854,dPer,"&gt;="&amp;pyFrom,dPer,"&lt;="&amp;pyTo,dAmt,"&gt;-1E+300",dFlt1,critFlt1,dFlt2,critFlt2,dFlt3,critFlt3))</f>
        <v/>
      </c>
      <c r="D854" t="str">
        <f>IF($B854="","",SUMIFS(dAmt,dCust,$B854,dPer,"&gt;="&amp;cyFrom,dPer,"&lt;="&amp;cyTo,dAmt,"&gt;-1E+300",dFlt1,critFlt1,dFlt2,critFlt2,dFlt3,critFlt3))</f>
        <v/>
      </c>
      <c r="E854" t="str">
        <f>IF($B854="","",SUMIFS(dQty,dCust,$B854,dPer,"&gt;="&amp;pyFrom,dPer,"&lt;="&amp;pyTo,dQty,"&gt;-1E+300",dFlt1,critFlt1,dFlt2,critFlt2,dFlt3,critFlt3))</f>
        <v/>
      </c>
      <c r="F854" t="str">
        <f>IF($B854="","",SUMIFS(dQty,dCust,$B854,dPer,"&gt;="&amp;cyFrom,dPer,"&lt;="&amp;cyTo,dQty,"&gt;-1E+300",dFlt1,critFlt1,dFlt2,critFlt2,dFlt3,critFlt3))</f>
        <v/>
      </c>
      <c r="G854">
        <f>IF($B854="",0,IFERROR(IF(OR(C854&lt;&gt;0,D854&lt;&gt;0,E854&lt;&gt;0,F854&lt;&gt;0),1,0),1))</f>
        <v>0</v>
      </c>
      <c r="H854" t="str">
        <f>IF(OR(G854=0,E854=0),"",C854/E854)</f>
        <v/>
      </c>
      <c r="I854" t="str">
        <f>IF(OR(G854=0,F854=0),"",D854/F854)</f>
        <v/>
      </c>
      <c r="J854" t="str">
        <f>IF(OR(H854="",I854=""),"",IF(H854=0,"",I854/H854-1))</f>
        <v/>
      </c>
      <c r="K854" t="str">
        <f>IF($B854="","",IFERROR(IF(G854=0,-2E+300,CHOOSE(sortIdx,ROUND(D854,0),IF(J854="",-1E+300,ROUND(-J854,6)),IF(J854="",-1E+300,ROUND(J854,6)))),-1.5E+300))</f>
        <v/>
      </c>
      <c r="L854" t="str">
        <f>IF(K854="","",RANK(K854,$K$2:$K$3001,0)+COUNTIF($K$2:K854,K854)-1)</f>
        <v/>
      </c>
    </row>
    <row r="855">
      <c r="B855" t="str">
        <f>IFERROR(IF(A855="","","="&amp;SUBSTITUTE(SUBSTITUTE(SUBSTITUTE(A855,"~","~~"),"*","~*"),"?","~?")),"")</f>
        <v/>
      </c>
      <c r="C855" t="str">
        <f>IF($B855="","",SUMIFS(dAmt,dCust,$B855,dPer,"&gt;="&amp;pyFrom,dPer,"&lt;="&amp;pyTo,dAmt,"&gt;-1E+300",dFlt1,critFlt1,dFlt2,critFlt2,dFlt3,critFlt3))</f>
        <v/>
      </c>
      <c r="D855" t="str">
        <f>IF($B855="","",SUMIFS(dAmt,dCust,$B855,dPer,"&gt;="&amp;cyFrom,dPer,"&lt;="&amp;cyTo,dAmt,"&gt;-1E+300",dFlt1,critFlt1,dFlt2,critFlt2,dFlt3,critFlt3))</f>
        <v/>
      </c>
      <c r="E855" t="str">
        <f>IF($B855="","",SUMIFS(dQty,dCust,$B855,dPer,"&gt;="&amp;pyFrom,dPer,"&lt;="&amp;pyTo,dQty,"&gt;-1E+300",dFlt1,critFlt1,dFlt2,critFlt2,dFlt3,critFlt3))</f>
        <v/>
      </c>
      <c r="F855" t="str">
        <f>IF($B855="","",SUMIFS(dQty,dCust,$B855,dPer,"&gt;="&amp;cyFrom,dPer,"&lt;="&amp;cyTo,dQty,"&gt;-1E+300",dFlt1,critFlt1,dFlt2,critFlt2,dFlt3,critFlt3))</f>
        <v/>
      </c>
      <c r="G855">
        <f>IF($B855="",0,IFERROR(IF(OR(C855&lt;&gt;0,D855&lt;&gt;0,E855&lt;&gt;0,F855&lt;&gt;0),1,0),1))</f>
        <v>0</v>
      </c>
      <c r="H855" t="str">
        <f>IF(OR(G855=0,E855=0),"",C855/E855)</f>
        <v/>
      </c>
      <c r="I855" t="str">
        <f>IF(OR(G855=0,F855=0),"",D855/F855)</f>
        <v/>
      </c>
      <c r="J855" t="str">
        <f>IF(OR(H855="",I855=""),"",IF(H855=0,"",I855/H855-1))</f>
        <v/>
      </c>
      <c r="K855" t="str">
        <f>IF($B855="","",IFERROR(IF(G855=0,-2E+300,CHOOSE(sortIdx,ROUND(D855,0),IF(J855="",-1E+300,ROUND(-J855,6)),IF(J855="",-1E+300,ROUND(J855,6)))),-1.5E+300))</f>
        <v/>
      </c>
      <c r="L855" t="str">
        <f>IF(K855="","",RANK(K855,$K$2:$K$3001,0)+COUNTIF($K$2:K855,K855)-1)</f>
        <v/>
      </c>
    </row>
    <row r="856">
      <c r="B856" t="str">
        <f>IFERROR(IF(A856="","","="&amp;SUBSTITUTE(SUBSTITUTE(SUBSTITUTE(A856,"~","~~"),"*","~*"),"?","~?")),"")</f>
        <v/>
      </c>
      <c r="C856" t="str">
        <f>IF($B856="","",SUMIFS(dAmt,dCust,$B856,dPer,"&gt;="&amp;pyFrom,dPer,"&lt;="&amp;pyTo,dAmt,"&gt;-1E+300",dFlt1,critFlt1,dFlt2,critFlt2,dFlt3,critFlt3))</f>
        <v/>
      </c>
      <c r="D856" t="str">
        <f>IF($B856="","",SUMIFS(dAmt,dCust,$B856,dPer,"&gt;="&amp;cyFrom,dPer,"&lt;="&amp;cyTo,dAmt,"&gt;-1E+300",dFlt1,critFlt1,dFlt2,critFlt2,dFlt3,critFlt3))</f>
        <v/>
      </c>
      <c r="E856" t="str">
        <f>IF($B856="","",SUMIFS(dQty,dCust,$B856,dPer,"&gt;="&amp;pyFrom,dPer,"&lt;="&amp;pyTo,dQty,"&gt;-1E+300",dFlt1,critFlt1,dFlt2,critFlt2,dFlt3,critFlt3))</f>
        <v/>
      </c>
      <c r="F856" t="str">
        <f>IF($B856="","",SUMIFS(dQty,dCust,$B856,dPer,"&gt;="&amp;cyFrom,dPer,"&lt;="&amp;cyTo,dQty,"&gt;-1E+300",dFlt1,critFlt1,dFlt2,critFlt2,dFlt3,critFlt3))</f>
        <v/>
      </c>
      <c r="G856">
        <f>IF($B856="",0,IFERROR(IF(OR(C856&lt;&gt;0,D856&lt;&gt;0,E856&lt;&gt;0,F856&lt;&gt;0),1,0),1))</f>
        <v>0</v>
      </c>
      <c r="H856" t="str">
        <f>IF(OR(G856=0,E856=0),"",C856/E856)</f>
        <v/>
      </c>
      <c r="I856" t="str">
        <f>IF(OR(G856=0,F856=0),"",D856/F856)</f>
        <v/>
      </c>
      <c r="J856" t="str">
        <f>IF(OR(H856="",I856=""),"",IF(H856=0,"",I856/H856-1))</f>
        <v/>
      </c>
      <c r="K856" t="str">
        <f>IF($B856="","",IFERROR(IF(G856=0,-2E+300,CHOOSE(sortIdx,ROUND(D856,0),IF(J856="",-1E+300,ROUND(-J856,6)),IF(J856="",-1E+300,ROUND(J856,6)))),-1.5E+300))</f>
        <v/>
      </c>
      <c r="L856" t="str">
        <f>IF(K856="","",RANK(K856,$K$2:$K$3001,0)+COUNTIF($K$2:K856,K856)-1)</f>
        <v/>
      </c>
    </row>
    <row r="857">
      <c r="B857" t="str">
        <f>IFERROR(IF(A857="","","="&amp;SUBSTITUTE(SUBSTITUTE(SUBSTITUTE(A857,"~","~~"),"*","~*"),"?","~?")),"")</f>
        <v/>
      </c>
      <c r="C857" t="str">
        <f>IF($B857="","",SUMIFS(dAmt,dCust,$B857,dPer,"&gt;="&amp;pyFrom,dPer,"&lt;="&amp;pyTo,dAmt,"&gt;-1E+300",dFlt1,critFlt1,dFlt2,critFlt2,dFlt3,critFlt3))</f>
        <v/>
      </c>
      <c r="D857" t="str">
        <f>IF($B857="","",SUMIFS(dAmt,dCust,$B857,dPer,"&gt;="&amp;cyFrom,dPer,"&lt;="&amp;cyTo,dAmt,"&gt;-1E+300",dFlt1,critFlt1,dFlt2,critFlt2,dFlt3,critFlt3))</f>
        <v/>
      </c>
      <c r="E857" t="str">
        <f>IF($B857="","",SUMIFS(dQty,dCust,$B857,dPer,"&gt;="&amp;pyFrom,dPer,"&lt;="&amp;pyTo,dQty,"&gt;-1E+300",dFlt1,critFlt1,dFlt2,critFlt2,dFlt3,critFlt3))</f>
        <v/>
      </c>
      <c r="F857" t="str">
        <f>IF($B857="","",SUMIFS(dQty,dCust,$B857,dPer,"&gt;="&amp;cyFrom,dPer,"&lt;="&amp;cyTo,dQty,"&gt;-1E+300",dFlt1,critFlt1,dFlt2,critFlt2,dFlt3,critFlt3))</f>
        <v/>
      </c>
      <c r="G857">
        <f>IF($B857="",0,IFERROR(IF(OR(C857&lt;&gt;0,D857&lt;&gt;0,E857&lt;&gt;0,F857&lt;&gt;0),1,0),1))</f>
        <v>0</v>
      </c>
      <c r="H857" t="str">
        <f>IF(OR(G857=0,E857=0),"",C857/E857)</f>
        <v/>
      </c>
      <c r="I857" t="str">
        <f>IF(OR(G857=0,F857=0),"",D857/F857)</f>
        <v/>
      </c>
      <c r="J857" t="str">
        <f>IF(OR(H857="",I857=""),"",IF(H857=0,"",I857/H857-1))</f>
        <v/>
      </c>
      <c r="K857" t="str">
        <f>IF($B857="","",IFERROR(IF(G857=0,-2E+300,CHOOSE(sortIdx,ROUND(D857,0),IF(J857="",-1E+300,ROUND(-J857,6)),IF(J857="",-1E+300,ROUND(J857,6)))),-1.5E+300))</f>
        <v/>
      </c>
      <c r="L857" t="str">
        <f>IF(K857="","",RANK(K857,$K$2:$K$3001,0)+COUNTIF($K$2:K857,K857)-1)</f>
        <v/>
      </c>
    </row>
    <row r="858">
      <c r="B858" t="str">
        <f>IFERROR(IF(A858="","","="&amp;SUBSTITUTE(SUBSTITUTE(SUBSTITUTE(A858,"~","~~"),"*","~*"),"?","~?")),"")</f>
        <v/>
      </c>
      <c r="C858" t="str">
        <f>IF($B858="","",SUMIFS(dAmt,dCust,$B858,dPer,"&gt;="&amp;pyFrom,dPer,"&lt;="&amp;pyTo,dAmt,"&gt;-1E+300",dFlt1,critFlt1,dFlt2,critFlt2,dFlt3,critFlt3))</f>
        <v/>
      </c>
      <c r="D858" t="str">
        <f>IF($B858="","",SUMIFS(dAmt,dCust,$B858,dPer,"&gt;="&amp;cyFrom,dPer,"&lt;="&amp;cyTo,dAmt,"&gt;-1E+300",dFlt1,critFlt1,dFlt2,critFlt2,dFlt3,critFlt3))</f>
        <v/>
      </c>
      <c r="E858" t="str">
        <f>IF($B858="","",SUMIFS(dQty,dCust,$B858,dPer,"&gt;="&amp;pyFrom,dPer,"&lt;="&amp;pyTo,dQty,"&gt;-1E+300",dFlt1,critFlt1,dFlt2,critFlt2,dFlt3,critFlt3))</f>
        <v/>
      </c>
      <c r="F858" t="str">
        <f>IF($B858="","",SUMIFS(dQty,dCust,$B858,dPer,"&gt;="&amp;cyFrom,dPer,"&lt;="&amp;cyTo,dQty,"&gt;-1E+300",dFlt1,critFlt1,dFlt2,critFlt2,dFlt3,critFlt3))</f>
        <v/>
      </c>
      <c r="G858">
        <f>IF($B858="",0,IFERROR(IF(OR(C858&lt;&gt;0,D858&lt;&gt;0,E858&lt;&gt;0,F858&lt;&gt;0),1,0),1))</f>
        <v>0</v>
      </c>
      <c r="H858" t="str">
        <f>IF(OR(G858=0,E858=0),"",C858/E858)</f>
        <v/>
      </c>
      <c r="I858" t="str">
        <f>IF(OR(G858=0,F858=0),"",D858/F858)</f>
        <v/>
      </c>
      <c r="J858" t="str">
        <f>IF(OR(H858="",I858=""),"",IF(H858=0,"",I858/H858-1))</f>
        <v/>
      </c>
      <c r="K858" t="str">
        <f>IF($B858="","",IFERROR(IF(G858=0,-2E+300,CHOOSE(sortIdx,ROUND(D858,0),IF(J858="",-1E+300,ROUND(-J858,6)),IF(J858="",-1E+300,ROUND(J858,6)))),-1.5E+300))</f>
        <v/>
      </c>
      <c r="L858" t="str">
        <f>IF(K858="","",RANK(K858,$K$2:$K$3001,0)+COUNTIF($K$2:K858,K858)-1)</f>
        <v/>
      </c>
    </row>
    <row r="859">
      <c r="B859" t="str">
        <f>IFERROR(IF(A859="","","="&amp;SUBSTITUTE(SUBSTITUTE(SUBSTITUTE(A859,"~","~~"),"*","~*"),"?","~?")),"")</f>
        <v/>
      </c>
      <c r="C859" t="str">
        <f>IF($B859="","",SUMIFS(dAmt,dCust,$B859,dPer,"&gt;="&amp;pyFrom,dPer,"&lt;="&amp;pyTo,dAmt,"&gt;-1E+300",dFlt1,critFlt1,dFlt2,critFlt2,dFlt3,critFlt3))</f>
        <v/>
      </c>
      <c r="D859" t="str">
        <f>IF($B859="","",SUMIFS(dAmt,dCust,$B859,dPer,"&gt;="&amp;cyFrom,dPer,"&lt;="&amp;cyTo,dAmt,"&gt;-1E+300",dFlt1,critFlt1,dFlt2,critFlt2,dFlt3,critFlt3))</f>
        <v/>
      </c>
      <c r="E859" t="str">
        <f>IF($B859="","",SUMIFS(dQty,dCust,$B859,dPer,"&gt;="&amp;pyFrom,dPer,"&lt;="&amp;pyTo,dQty,"&gt;-1E+300",dFlt1,critFlt1,dFlt2,critFlt2,dFlt3,critFlt3))</f>
        <v/>
      </c>
      <c r="F859" t="str">
        <f>IF($B859="","",SUMIFS(dQty,dCust,$B859,dPer,"&gt;="&amp;cyFrom,dPer,"&lt;="&amp;cyTo,dQty,"&gt;-1E+300",dFlt1,critFlt1,dFlt2,critFlt2,dFlt3,critFlt3))</f>
        <v/>
      </c>
      <c r="G859">
        <f>IF($B859="",0,IFERROR(IF(OR(C859&lt;&gt;0,D859&lt;&gt;0,E859&lt;&gt;0,F859&lt;&gt;0),1,0),1))</f>
        <v>0</v>
      </c>
      <c r="H859" t="str">
        <f>IF(OR(G859=0,E859=0),"",C859/E859)</f>
        <v/>
      </c>
      <c r="I859" t="str">
        <f>IF(OR(G859=0,F859=0),"",D859/F859)</f>
        <v/>
      </c>
      <c r="J859" t="str">
        <f>IF(OR(H859="",I859=""),"",IF(H859=0,"",I859/H859-1))</f>
        <v/>
      </c>
      <c r="K859" t="str">
        <f>IF($B859="","",IFERROR(IF(G859=0,-2E+300,CHOOSE(sortIdx,ROUND(D859,0),IF(J859="",-1E+300,ROUND(-J859,6)),IF(J859="",-1E+300,ROUND(J859,6)))),-1.5E+300))</f>
        <v/>
      </c>
      <c r="L859" t="str">
        <f>IF(K859="","",RANK(K859,$K$2:$K$3001,0)+COUNTIF($K$2:K859,K859)-1)</f>
        <v/>
      </c>
    </row>
    <row r="860">
      <c r="B860" t="str">
        <f>IFERROR(IF(A860="","","="&amp;SUBSTITUTE(SUBSTITUTE(SUBSTITUTE(A860,"~","~~"),"*","~*"),"?","~?")),"")</f>
        <v/>
      </c>
      <c r="C860" t="str">
        <f>IF($B860="","",SUMIFS(dAmt,dCust,$B860,dPer,"&gt;="&amp;pyFrom,dPer,"&lt;="&amp;pyTo,dAmt,"&gt;-1E+300",dFlt1,critFlt1,dFlt2,critFlt2,dFlt3,critFlt3))</f>
        <v/>
      </c>
      <c r="D860" t="str">
        <f>IF($B860="","",SUMIFS(dAmt,dCust,$B860,dPer,"&gt;="&amp;cyFrom,dPer,"&lt;="&amp;cyTo,dAmt,"&gt;-1E+300",dFlt1,critFlt1,dFlt2,critFlt2,dFlt3,critFlt3))</f>
        <v/>
      </c>
      <c r="E860" t="str">
        <f>IF($B860="","",SUMIFS(dQty,dCust,$B860,dPer,"&gt;="&amp;pyFrom,dPer,"&lt;="&amp;pyTo,dQty,"&gt;-1E+300",dFlt1,critFlt1,dFlt2,critFlt2,dFlt3,critFlt3))</f>
        <v/>
      </c>
      <c r="F860" t="str">
        <f>IF($B860="","",SUMIFS(dQty,dCust,$B860,dPer,"&gt;="&amp;cyFrom,dPer,"&lt;="&amp;cyTo,dQty,"&gt;-1E+300",dFlt1,critFlt1,dFlt2,critFlt2,dFlt3,critFlt3))</f>
        <v/>
      </c>
      <c r="G860">
        <f>IF($B860="",0,IFERROR(IF(OR(C860&lt;&gt;0,D860&lt;&gt;0,E860&lt;&gt;0,F860&lt;&gt;0),1,0),1))</f>
        <v>0</v>
      </c>
      <c r="H860" t="str">
        <f>IF(OR(G860=0,E860=0),"",C860/E860)</f>
        <v/>
      </c>
      <c r="I860" t="str">
        <f>IF(OR(G860=0,F860=0),"",D860/F860)</f>
        <v/>
      </c>
      <c r="J860" t="str">
        <f>IF(OR(H860="",I860=""),"",IF(H860=0,"",I860/H860-1))</f>
        <v/>
      </c>
      <c r="K860" t="str">
        <f>IF($B860="","",IFERROR(IF(G860=0,-2E+300,CHOOSE(sortIdx,ROUND(D860,0),IF(J860="",-1E+300,ROUND(-J860,6)),IF(J860="",-1E+300,ROUND(J860,6)))),-1.5E+300))</f>
        <v/>
      </c>
      <c r="L860" t="str">
        <f>IF(K860="","",RANK(K860,$K$2:$K$3001,0)+COUNTIF($K$2:K860,K860)-1)</f>
        <v/>
      </c>
    </row>
    <row r="861">
      <c r="B861" t="str">
        <f>IFERROR(IF(A861="","","="&amp;SUBSTITUTE(SUBSTITUTE(SUBSTITUTE(A861,"~","~~"),"*","~*"),"?","~?")),"")</f>
        <v/>
      </c>
      <c r="C861" t="str">
        <f>IF($B861="","",SUMIFS(dAmt,dCust,$B861,dPer,"&gt;="&amp;pyFrom,dPer,"&lt;="&amp;pyTo,dAmt,"&gt;-1E+300",dFlt1,critFlt1,dFlt2,critFlt2,dFlt3,critFlt3))</f>
        <v/>
      </c>
      <c r="D861" t="str">
        <f>IF($B861="","",SUMIFS(dAmt,dCust,$B861,dPer,"&gt;="&amp;cyFrom,dPer,"&lt;="&amp;cyTo,dAmt,"&gt;-1E+300",dFlt1,critFlt1,dFlt2,critFlt2,dFlt3,critFlt3))</f>
        <v/>
      </c>
      <c r="E861" t="str">
        <f>IF($B861="","",SUMIFS(dQty,dCust,$B861,dPer,"&gt;="&amp;pyFrom,dPer,"&lt;="&amp;pyTo,dQty,"&gt;-1E+300",dFlt1,critFlt1,dFlt2,critFlt2,dFlt3,critFlt3))</f>
        <v/>
      </c>
      <c r="F861" t="str">
        <f>IF($B861="","",SUMIFS(dQty,dCust,$B861,dPer,"&gt;="&amp;cyFrom,dPer,"&lt;="&amp;cyTo,dQty,"&gt;-1E+300",dFlt1,critFlt1,dFlt2,critFlt2,dFlt3,critFlt3))</f>
        <v/>
      </c>
      <c r="G861">
        <f>IF($B861="",0,IFERROR(IF(OR(C861&lt;&gt;0,D861&lt;&gt;0,E861&lt;&gt;0,F861&lt;&gt;0),1,0),1))</f>
        <v>0</v>
      </c>
      <c r="H861" t="str">
        <f>IF(OR(G861=0,E861=0),"",C861/E861)</f>
        <v/>
      </c>
      <c r="I861" t="str">
        <f>IF(OR(G861=0,F861=0),"",D861/F861)</f>
        <v/>
      </c>
      <c r="J861" t="str">
        <f>IF(OR(H861="",I861=""),"",IF(H861=0,"",I861/H861-1))</f>
        <v/>
      </c>
      <c r="K861" t="str">
        <f>IF($B861="","",IFERROR(IF(G861=0,-2E+300,CHOOSE(sortIdx,ROUND(D861,0),IF(J861="",-1E+300,ROUND(-J861,6)),IF(J861="",-1E+300,ROUND(J861,6)))),-1.5E+300))</f>
        <v/>
      </c>
      <c r="L861" t="str">
        <f>IF(K861="","",RANK(K861,$K$2:$K$3001,0)+COUNTIF($K$2:K861,K861)-1)</f>
        <v/>
      </c>
    </row>
    <row r="862">
      <c r="B862" t="str">
        <f>IFERROR(IF(A862="","","="&amp;SUBSTITUTE(SUBSTITUTE(SUBSTITUTE(A862,"~","~~"),"*","~*"),"?","~?")),"")</f>
        <v/>
      </c>
      <c r="C862" t="str">
        <f>IF($B862="","",SUMIFS(dAmt,dCust,$B862,dPer,"&gt;="&amp;pyFrom,dPer,"&lt;="&amp;pyTo,dAmt,"&gt;-1E+300",dFlt1,critFlt1,dFlt2,critFlt2,dFlt3,critFlt3))</f>
        <v/>
      </c>
      <c r="D862" t="str">
        <f>IF($B862="","",SUMIFS(dAmt,dCust,$B862,dPer,"&gt;="&amp;cyFrom,dPer,"&lt;="&amp;cyTo,dAmt,"&gt;-1E+300",dFlt1,critFlt1,dFlt2,critFlt2,dFlt3,critFlt3))</f>
        <v/>
      </c>
      <c r="E862" t="str">
        <f>IF($B862="","",SUMIFS(dQty,dCust,$B862,dPer,"&gt;="&amp;pyFrom,dPer,"&lt;="&amp;pyTo,dQty,"&gt;-1E+300",dFlt1,critFlt1,dFlt2,critFlt2,dFlt3,critFlt3))</f>
        <v/>
      </c>
      <c r="F862" t="str">
        <f>IF($B862="","",SUMIFS(dQty,dCust,$B862,dPer,"&gt;="&amp;cyFrom,dPer,"&lt;="&amp;cyTo,dQty,"&gt;-1E+300",dFlt1,critFlt1,dFlt2,critFlt2,dFlt3,critFlt3))</f>
        <v/>
      </c>
      <c r="G862">
        <f>IF($B862="",0,IFERROR(IF(OR(C862&lt;&gt;0,D862&lt;&gt;0,E862&lt;&gt;0,F862&lt;&gt;0),1,0),1))</f>
        <v>0</v>
      </c>
      <c r="H862" t="str">
        <f>IF(OR(G862=0,E862=0),"",C862/E862)</f>
        <v/>
      </c>
      <c r="I862" t="str">
        <f>IF(OR(G862=0,F862=0),"",D862/F862)</f>
        <v/>
      </c>
      <c r="J862" t="str">
        <f>IF(OR(H862="",I862=""),"",IF(H862=0,"",I862/H862-1))</f>
        <v/>
      </c>
      <c r="K862" t="str">
        <f>IF($B862="","",IFERROR(IF(G862=0,-2E+300,CHOOSE(sortIdx,ROUND(D862,0),IF(J862="",-1E+300,ROUND(-J862,6)),IF(J862="",-1E+300,ROUND(J862,6)))),-1.5E+300))</f>
        <v/>
      </c>
      <c r="L862" t="str">
        <f>IF(K862="","",RANK(K862,$K$2:$K$3001,0)+COUNTIF($K$2:K862,K862)-1)</f>
        <v/>
      </c>
    </row>
    <row r="863">
      <c r="B863" t="str">
        <f>IFERROR(IF(A863="","","="&amp;SUBSTITUTE(SUBSTITUTE(SUBSTITUTE(A863,"~","~~"),"*","~*"),"?","~?")),"")</f>
        <v/>
      </c>
      <c r="C863" t="str">
        <f>IF($B863="","",SUMIFS(dAmt,dCust,$B863,dPer,"&gt;="&amp;pyFrom,dPer,"&lt;="&amp;pyTo,dAmt,"&gt;-1E+300",dFlt1,critFlt1,dFlt2,critFlt2,dFlt3,critFlt3))</f>
        <v/>
      </c>
      <c r="D863" t="str">
        <f>IF($B863="","",SUMIFS(dAmt,dCust,$B863,dPer,"&gt;="&amp;cyFrom,dPer,"&lt;="&amp;cyTo,dAmt,"&gt;-1E+300",dFlt1,critFlt1,dFlt2,critFlt2,dFlt3,critFlt3))</f>
        <v/>
      </c>
      <c r="E863" t="str">
        <f>IF($B863="","",SUMIFS(dQty,dCust,$B863,dPer,"&gt;="&amp;pyFrom,dPer,"&lt;="&amp;pyTo,dQty,"&gt;-1E+300",dFlt1,critFlt1,dFlt2,critFlt2,dFlt3,critFlt3))</f>
        <v/>
      </c>
      <c r="F863" t="str">
        <f>IF($B863="","",SUMIFS(dQty,dCust,$B863,dPer,"&gt;="&amp;cyFrom,dPer,"&lt;="&amp;cyTo,dQty,"&gt;-1E+300",dFlt1,critFlt1,dFlt2,critFlt2,dFlt3,critFlt3))</f>
        <v/>
      </c>
      <c r="G863">
        <f>IF($B863="",0,IFERROR(IF(OR(C863&lt;&gt;0,D863&lt;&gt;0,E863&lt;&gt;0,F863&lt;&gt;0),1,0),1))</f>
        <v>0</v>
      </c>
      <c r="H863" t="str">
        <f>IF(OR(G863=0,E863=0),"",C863/E863)</f>
        <v/>
      </c>
      <c r="I863" t="str">
        <f>IF(OR(G863=0,F863=0),"",D863/F863)</f>
        <v/>
      </c>
      <c r="J863" t="str">
        <f>IF(OR(H863="",I863=""),"",IF(H863=0,"",I863/H863-1))</f>
        <v/>
      </c>
      <c r="K863" t="str">
        <f>IF($B863="","",IFERROR(IF(G863=0,-2E+300,CHOOSE(sortIdx,ROUND(D863,0),IF(J863="",-1E+300,ROUND(-J863,6)),IF(J863="",-1E+300,ROUND(J863,6)))),-1.5E+300))</f>
        <v/>
      </c>
      <c r="L863" t="str">
        <f>IF(K863="","",RANK(K863,$K$2:$K$3001,0)+COUNTIF($K$2:K863,K863)-1)</f>
        <v/>
      </c>
    </row>
    <row r="864">
      <c r="B864" t="str">
        <f>IFERROR(IF(A864="","","="&amp;SUBSTITUTE(SUBSTITUTE(SUBSTITUTE(A864,"~","~~"),"*","~*"),"?","~?")),"")</f>
        <v/>
      </c>
      <c r="C864" t="str">
        <f>IF($B864="","",SUMIFS(dAmt,dCust,$B864,dPer,"&gt;="&amp;pyFrom,dPer,"&lt;="&amp;pyTo,dAmt,"&gt;-1E+300",dFlt1,critFlt1,dFlt2,critFlt2,dFlt3,critFlt3))</f>
        <v/>
      </c>
      <c r="D864" t="str">
        <f>IF($B864="","",SUMIFS(dAmt,dCust,$B864,dPer,"&gt;="&amp;cyFrom,dPer,"&lt;="&amp;cyTo,dAmt,"&gt;-1E+300",dFlt1,critFlt1,dFlt2,critFlt2,dFlt3,critFlt3))</f>
        <v/>
      </c>
      <c r="E864" t="str">
        <f>IF($B864="","",SUMIFS(dQty,dCust,$B864,dPer,"&gt;="&amp;pyFrom,dPer,"&lt;="&amp;pyTo,dQty,"&gt;-1E+300",dFlt1,critFlt1,dFlt2,critFlt2,dFlt3,critFlt3))</f>
        <v/>
      </c>
      <c r="F864" t="str">
        <f>IF($B864="","",SUMIFS(dQty,dCust,$B864,dPer,"&gt;="&amp;cyFrom,dPer,"&lt;="&amp;cyTo,dQty,"&gt;-1E+300",dFlt1,critFlt1,dFlt2,critFlt2,dFlt3,critFlt3))</f>
        <v/>
      </c>
      <c r="G864">
        <f>IF($B864="",0,IFERROR(IF(OR(C864&lt;&gt;0,D864&lt;&gt;0,E864&lt;&gt;0,F864&lt;&gt;0),1,0),1))</f>
        <v>0</v>
      </c>
      <c r="H864" t="str">
        <f>IF(OR(G864=0,E864=0),"",C864/E864)</f>
        <v/>
      </c>
      <c r="I864" t="str">
        <f>IF(OR(G864=0,F864=0),"",D864/F864)</f>
        <v/>
      </c>
      <c r="J864" t="str">
        <f>IF(OR(H864="",I864=""),"",IF(H864=0,"",I864/H864-1))</f>
        <v/>
      </c>
      <c r="K864" t="str">
        <f>IF($B864="","",IFERROR(IF(G864=0,-2E+300,CHOOSE(sortIdx,ROUND(D864,0),IF(J864="",-1E+300,ROUND(-J864,6)),IF(J864="",-1E+300,ROUND(J864,6)))),-1.5E+300))</f>
        <v/>
      </c>
      <c r="L864" t="str">
        <f>IF(K864="","",RANK(K864,$K$2:$K$3001,0)+COUNTIF($K$2:K864,K864)-1)</f>
        <v/>
      </c>
    </row>
    <row r="865">
      <c r="B865" t="str">
        <f>IFERROR(IF(A865="","","="&amp;SUBSTITUTE(SUBSTITUTE(SUBSTITUTE(A865,"~","~~"),"*","~*"),"?","~?")),"")</f>
        <v/>
      </c>
      <c r="C865" t="str">
        <f>IF($B865="","",SUMIFS(dAmt,dCust,$B865,dPer,"&gt;="&amp;pyFrom,dPer,"&lt;="&amp;pyTo,dAmt,"&gt;-1E+300",dFlt1,critFlt1,dFlt2,critFlt2,dFlt3,critFlt3))</f>
        <v/>
      </c>
      <c r="D865" t="str">
        <f>IF($B865="","",SUMIFS(dAmt,dCust,$B865,dPer,"&gt;="&amp;cyFrom,dPer,"&lt;="&amp;cyTo,dAmt,"&gt;-1E+300",dFlt1,critFlt1,dFlt2,critFlt2,dFlt3,critFlt3))</f>
        <v/>
      </c>
      <c r="E865" t="str">
        <f>IF($B865="","",SUMIFS(dQty,dCust,$B865,dPer,"&gt;="&amp;pyFrom,dPer,"&lt;="&amp;pyTo,dQty,"&gt;-1E+300",dFlt1,critFlt1,dFlt2,critFlt2,dFlt3,critFlt3))</f>
        <v/>
      </c>
      <c r="F865" t="str">
        <f>IF($B865="","",SUMIFS(dQty,dCust,$B865,dPer,"&gt;="&amp;cyFrom,dPer,"&lt;="&amp;cyTo,dQty,"&gt;-1E+300",dFlt1,critFlt1,dFlt2,critFlt2,dFlt3,critFlt3))</f>
        <v/>
      </c>
      <c r="G865">
        <f>IF($B865="",0,IFERROR(IF(OR(C865&lt;&gt;0,D865&lt;&gt;0,E865&lt;&gt;0,F865&lt;&gt;0),1,0),1))</f>
        <v>0</v>
      </c>
      <c r="H865" t="str">
        <f>IF(OR(G865=0,E865=0),"",C865/E865)</f>
        <v/>
      </c>
      <c r="I865" t="str">
        <f>IF(OR(G865=0,F865=0),"",D865/F865)</f>
        <v/>
      </c>
      <c r="J865" t="str">
        <f>IF(OR(H865="",I865=""),"",IF(H865=0,"",I865/H865-1))</f>
        <v/>
      </c>
      <c r="K865" t="str">
        <f>IF($B865="","",IFERROR(IF(G865=0,-2E+300,CHOOSE(sortIdx,ROUND(D865,0),IF(J865="",-1E+300,ROUND(-J865,6)),IF(J865="",-1E+300,ROUND(J865,6)))),-1.5E+300))</f>
        <v/>
      </c>
      <c r="L865" t="str">
        <f>IF(K865="","",RANK(K865,$K$2:$K$3001,0)+COUNTIF($K$2:K865,K865)-1)</f>
        <v/>
      </c>
    </row>
    <row r="866">
      <c r="B866" t="str">
        <f>IFERROR(IF(A866="","","="&amp;SUBSTITUTE(SUBSTITUTE(SUBSTITUTE(A866,"~","~~"),"*","~*"),"?","~?")),"")</f>
        <v/>
      </c>
      <c r="C866" t="str">
        <f>IF($B866="","",SUMIFS(dAmt,dCust,$B866,dPer,"&gt;="&amp;pyFrom,dPer,"&lt;="&amp;pyTo,dAmt,"&gt;-1E+300",dFlt1,critFlt1,dFlt2,critFlt2,dFlt3,critFlt3))</f>
        <v/>
      </c>
      <c r="D866" t="str">
        <f>IF($B866="","",SUMIFS(dAmt,dCust,$B866,dPer,"&gt;="&amp;cyFrom,dPer,"&lt;="&amp;cyTo,dAmt,"&gt;-1E+300",dFlt1,critFlt1,dFlt2,critFlt2,dFlt3,critFlt3))</f>
        <v/>
      </c>
      <c r="E866" t="str">
        <f>IF($B866="","",SUMIFS(dQty,dCust,$B866,dPer,"&gt;="&amp;pyFrom,dPer,"&lt;="&amp;pyTo,dQty,"&gt;-1E+300",dFlt1,critFlt1,dFlt2,critFlt2,dFlt3,critFlt3))</f>
        <v/>
      </c>
      <c r="F866" t="str">
        <f>IF($B866="","",SUMIFS(dQty,dCust,$B866,dPer,"&gt;="&amp;cyFrom,dPer,"&lt;="&amp;cyTo,dQty,"&gt;-1E+300",dFlt1,critFlt1,dFlt2,critFlt2,dFlt3,critFlt3))</f>
        <v/>
      </c>
      <c r="G866">
        <f>IF($B866="",0,IFERROR(IF(OR(C866&lt;&gt;0,D866&lt;&gt;0,E866&lt;&gt;0,F866&lt;&gt;0),1,0),1))</f>
        <v>0</v>
      </c>
      <c r="H866" t="str">
        <f>IF(OR(G866=0,E866=0),"",C866/E866)</f>
        <v/>
      </c>
      <c r="I866" t="str">
        <f>IF(OR(G866=0,F866=0),"",D866/F866)</f>
        <v/>
      </c>
      <c r="J866" t="str">
        <f>IF(OR(H866="",I866=""),"",IF(H866=0,"",I866/H866-1))</f>
        <v/>
      </c>
      <c r="K866" t="str">
        <f>IF($B866="","",IFERROR(IF(G866=0,-2E+300,CHOOSE(sortIdx,ROUND(D866,0),IF(J866="",-1E+300,ROUND(-J866,6)),IF(J866="",-1E+300,ROUND(J866,6)))),-1.5E+300))</f>
        <v/>
      </c>
      <c r="L866" t="str">
        <f>IF(K866="","",RANK(K866,$K$2:$K$3001,0)+COUNTIF($K$2:K866,K866)-1)</f>
        <v/>
      </c>
    </row>
    <row r="867">
      <c r="B867" t="str">
        <f>IFERROR(IF(A867="","","="&amp;SUBSTITUTE(SUBSTITUTE(SUBSTITUTE(A867,"~","~~"),"*","~*"),"?","~?")),"")</f>
        <v/>
      </c>
      <c r="C867" t="str">
        <f>IF($B867="","",SUMIFS(dAmt,dCust,$B867,dPer,"&gt;="&amp;pyFrom,dPer,"&lt;="&amp;pyTo,dAmt,"&gt;-1E+300",dFlt1,critFlt1,dFlt2,critFlt2,dFlt3,critFlt3))</f>
        <v/>
      </c>
      <c r="D867" t="str">
        <f>IF($B867="","",SUMIFS(dAmt,dCust,$B867,dPer,"&gt;="&amp;cyFrom,dPer,"&lt;="&amp;cyTo,dAmt,"&gt;-1E+300",dFlt1,critFlt1,dFlt2,critFlt2,dFlt3,critFlt3))</f>
        <v/>
      </c>
      <c r="E867" t="str">
        <f>IF($B867="","",SUMIFS(dQty,dCust,$B867,dPer,"&gt;="&amp;pyFrom,dPer,"&lt;="&amp;pyTo,dQty,"&gt;-1E+300",dFlt1,critFlt1,dFlt2,critFlt2,dFlt3,critFlt3))</f>
        <v/>
      </c>
      <c r="F867" t="str">
        <f>IF($B867="","",SUMIFS(dQty,dCust,$B867,dPer,"&gt;="&amp;cyFrom,dPer,"&lt;="&amp;cyTo,dQty,"&gt;-1E+300",dFlt1,critFlt1,dFlt2,critFlt2,dFlt3,critFlt3))</f>
        <v/>
      </c>
      <c r="G867">
        <f>IF($B867="",0,IFERROR(IF(OR(C867&lt;&gt;0,D867&lt;&gt;0,E867&lt;&gt;0,F867&lt;&gt;0),1,0),1))</f>
        <v>0</v>
      </c>
      <c r="H867" t="str">
        <f>IF(OR(G867=0,E867=0),"",C867/E867)</f>
        <v/>
      </c>
      <c r="I867" t="str">
        <f>IF(OR(G867=0,F867=0),"",D867/F867)</f>
        <v/>
      </c>
      <c r="J867" t="str">
        <f>IF(OR(H867="",I867=""),"",IF(H867=0,"",I867/H867-1))</f>
        <v/>
      </c>
      <c r="K867" t="str">
        <f>IF($B867="","",IFERROR(IF(G867=0,-2E+300,CHOOSE(sortIdx,ROUND(D867,0),IF(J867="",-1E+300,ROUND(-J867,6)),IF(J867="",-1E+300,ROUND(J867,6)))),-1.5E+300))</f>
        <v/>
      </c>
      <c r="L867" t="str">
        <f>IF(K867="","",RANK(K867,$K$2:$K$3001,0)+COUNTIF($K$2:K867,K867)-1)</f>
        <v/>
      </c>
    </row>
    <row r="868">
      <c r="B868" t="str">
        <f>IFERROR(IF(A868="","","="&amp;SUBSTITUTE(SUBSTITUTE(SUBSTITUTE(A868,"~","~~"),"*","~*"),"?","~?")),"")</f>
        <v/>
      </c>
      <c r="C868" t="str">
        <f>IF($B868="","",SUMIFS(dAmt,dCust,$B868,dPer,"&gt;="&amp;pyFrom,dPer,"&lt;="&amp;pyTo,dAmt,"&gt;-1E+300",dFlt1,critFlt1,dFlt2,critFlt2,dFlt3,critFlt3))</f>
        <v/>
      </c>
      <c r="D868" t="str">
        <f>IF($B868="","",SUMIFS(dAmt,dCust,$B868,dPer,"&gt;="&amp;cyFrom,dPer,"&lt;="&amp;cyTo,dAmt,"&gt;-1E+300",dFlt1,critFlt1,dFlt2,critFlt2,dFlt3,critFlt3))</f>
        <v/>
      </c>
      <c r="E868" t="str">
        <f>IF($B868="","",SUMIFS(dQty,dCust,$B868,dPer,"&gt;="&amp;pyFrom,dPer,"&lt;="&amp;pyTo,dQty,"&gt;-1E+300",dFlt1,critFlt1,dFlt2,critFlt2,dFlt3,critFlt3))</f>
        <v/>
      </c>
      <c r="F868" t="str">
        <f>IF($B868="","",SUMIFS(dQty,dCust,$B868,dPer,"&gt;="&amp;cyFrom,dPer,"&lt;="&amp;cyTo,dQty,"&gt;-1E+300",dFlt1,critFlt1,dFlt2,critFlt2,dFlt3,critFlt3))</f>
        <v/>
      </c>
      <c r="G868">
        <f>IF($B868="",0,IFERROR(IF(OR(C868&lt;&gt;0,D868&lt;&gt;0,E868&lt;&gt;0,F868&lt;&gt;0),1,0),1))</f>
        <v>0</v>
      </c>
      <c r="H868" t="str">
        <f>IF(OR(G868=0,E868=0),"",C868/E868)</f>
        <v/>
      </c>
      <c r="I868" t="str">
        <f>IF(OR(G868=0,F868=0),"",D868/F868)</f>
        <v/>
      </c>
      <c r="J868" t="str">
        <f>IF(OR(H868="",I868=""),"",IF(H868=0,"",I868/H868-1))</f>
        <v/>
      </c>
      <c r="K868" t="str">
        <f>IF($B868="","",IFERROR(IF(G868=0,-2E+300,CHOOSE(sortIdx,ROUND(D868,0),IF(J868="",-1E+300,ROUND(-J868,6)),IF(J868="",-1E+300,ROUND(J868,6)))),-1.5E+300))</f>
        <v/>
      </c>
      <c r="L868" t="str">
        <f>IF(K868="","",RANK(K868,$K$2:$K$3001,0)+COUNTIF($K$2:K868,K868)-1)</f>
        <v/>
      </c>
    </row>
    <row r="869">
      <c r="B869" t="str">
        <f>IFERROR(IF(A869="","","="&amp;SUBSTITUTE(SUBSTITUTE(SUBSTITUTE(A869,"~","~~"),"*","~*"),"?","~?")),"")</f>
        <v/>
      </c>
      <c r="C869" t="str">
        <f>IF($B869="","",SUMIFS(dAmt,dCust,$B869,dPer,"&gt;="&amp;pyFrom,dPer,"&lt;="&amp;pyTo,dAmt,"&gt;-1E+300",dFlt1,critFlt1,dFlt2,critFlt2,dFlt3,critFlt3))</f>
        <v/>
      </c>
      <c r="D869" t="str">
        <f>IF($B869="","",SUMIFS(dAmt,dCust,$B869,dPer,"&gt;="&amp;cyFrom,dPer,"&lt;="&amp;cyTo,dAmt,"&gt;-1E+300",dFlt1,critFlt1,dFlt2,critFlt2,dFlt3,critFlt3))</f>
        <v/>
      </c>
      <c r="E869" t="str">
        <f>IF($B869="","",SUMIFS(dQty,dCust,$B869,dPer,"&gt;="&amp;pyFrom,dPer,"&lt;="&amp;pyTo,dQty,"&gt;-1E+300",dFlt1,critFlt1,dFlt2,critFlt2,dFlt3,critFlt3))</f>
        <v/>
      </c>
      <c r="F869" t="str">
        <f>IF($B869="","",SUMIFS(dQty,dCust,$B869,dPer,"&gt;="&amp;cyFrom,dPer,"&lt;="&amp;cyTo,dQty,"&gt;-1E+300",dFlt1,critFlt1,dFlt2,critFlt2,dFlt3,critFlt3))</f>
        <v/>
      </c>
      <c r="G869">
        <f>IF($B869="",0,IFERROR(IF(OR(C869&lt;&gt;0,D869&lt;&gt;0,E869&lt;&gt;0,F869&lt;&gt;0),1,0),1))</f>
        <v>0</v>
      </c>
      <c r="H869" t="str">
        <f>IF(OR(G869=0,E869=0),"",C869/E869)</f>
        <v/>
      </c>
      <c r="I869" t="str">
        <f>IF(OR(G869=0,F869=0),"",D869/F869)</f>
        <v/>
      </c>
      <c r="J869" t="str">
        <f>IF(OR(H869="",I869=""),"",IF(H869=0,"",I869/H869-1))</f>
        <v/>
      </c>
      <c r="K869" t="str">
        <f>IF($B869="","",IFERROR(IF(G869=0,-2E+300,CHOOSE(sortIdx,ROUND(D869,0),IF(J869="",-1E+300,ROUND(-J869,6)),IF(J869="",-1E+300,ROUND(J869,6)))),-1.5E+300))</f>
        <v/>
      </c>
      <c r="L869" t="str">
        <f>IF(K869="","",RANK(K869,$K$2:$K$3001,0)+COUNTIF($K$2:K869,K869)-1)</f>
        <v/>
      </c>
    </row>
    <row r="870">
      <c r="B870" t="str">
        <f>IFERROR(IF(A870="","","="&amp;SUBSTITUTE(SUBSTITUTE(SUBSTITUTE(A870,"~","~~"),"*","~*"),"?","~?")),"")</f>
        <v/>
      </c>
      <c r="C870" t="str">
        <f>IF($B870="","",SUMIFS(dAmt,dCust,$B870,dPer,"&gt;="&amp;pyFrom,dPer,"&lt;="&amp;pyTo,dAmt,"&gt;-1E+300",dFlt1,critFlt1,dFlt2,critFlt2,dFlt3,critFlt3))</f>
        <v/>
      </c>
      <c r="D870" t="str">
        <f>IF($B870="","",SUMIFS(dAmt,dCust,$B870,dPer,"&gt;="&amp;cyFrom,dPer,"&lt;="&amp;cyTo,dAmt,"&gt;-1E+300",dFlt1,critFlt1,dFlt2,critFlt2,dFlt3,critFlt3))</f>
        <v/>
      </c>
      <c r="E870" t="str">
        <f>IF($B870="","",SUMIFS(dQty,dCust,$B870,dPer,"&gt;="&amp;pyFrom,dPer,"&lt;="&amp;pyTo,dQty,"&gt;-1E+300",dFlt1,critFlt1,dFlt2,critFlt2,dFlt3,critFlt3))</f>
        <v/>
      </c>
      <c r="F870" t="str">
        <f>IF($B870="","",SUMIFS(dQty,dCust,$B870,dPer,"&gt;="&amp;cyFrom,dPer,"&lt;="&amp;cyTo,dQty,"&gt;-1E+300",dFlt1,critFlt1,dFlt2,critFlt2,dFlt3,critFlt3))</f>
        <v/>
      </c>
      <c r="G870">
        <f>IF($B870="",0,IFERROR(IF(OR(C870&lt;&gt;0,D870&lt;&gt;0,E870&lt;&gt;0,F870&lt;&gt;0),1,0),1))</f>
        <v>0</v>
      </c>
      <c r="H870" t="str">
        <f>IF(OR(G870=0,E870=0),"",C870/E870)</f>
        <v/>
      </c>
      <c r="I870" t="str">
        <f>IF(OR(G870=0,F870=0),"",D870/F870)</f>
        <v/>
      </c>
      <c r="J870" t="str">
        <f>IF(OR(H870="",I870=""),"",IF(H870=0,"",I870/H870-1))</f>
        <v/>
      </c>
      <c r="K870" t="str">
        <f>IF($B870="","",IFERROR(IF(G870=0,-2E+300,CHOOSE(sortIdx,ROUND(D870,0),IF(J870="",-1E+300,ROUND(-J870,6)),IF(J870="",-1E+300,ROUND(J870,6)))),-1.5E+300))</f>
        <v/>
      </c>
      <c r="L870" t="str">
        <f>IF(K870="","",RANK(K870,$K$2:$K$3001,0)+COUNTIF($K$2:K870,K870)-1)</f>
        <v/>
      </c>
    </row>
    <row r="871">
      <c r="B871" t="str">
        <f>IFERROR(IF(A871="","","="&amp;SUBSTITUTE(SUBSTITUTE(SUBSTITUTE(A871,"~","~~"),"*","~*"),"?","~?")),"")</f>
        <v/>
      </c>
      <c r="C871" t="str">
        <f>IF($B871="","",SUMIFS(dAmt,dCust,$B871,dPer,"&gt;="&amp;pyFrom,dPer,"&lt;="&amp;pyTo,dAmt,"&gt;-1E+300",dFlt1,critFlt1,dFlt2,critFlt2,dFlt3,critFlt3))</f>
        <v/>
      </c>
      <c r="D871" t="str">
        <f>IF($B871="","",SUMIFS(dAmt,dCust,$B871,dPer,"&gt;="&amp;cyFrom,dPer,"&lt;="&amp;cyTo,dAmt,"&gt;-1E+300",dFlt1,critFlt1,dFlt2,critFlt2,dFlt3,critFlt3))</f>
        <v/>
      </c>
      <c r="E871" t="str">
        <f>IF($B871="","",SUMIFS(dQty,dCust,$B871,dPer,"&gt;="&amp;pyFrom,dPer,"&lt;="&amp;pyTo,dQty,"&gt;-1E+300",dFlt1,critFlt1,dFlt2,critFlt2,dFlt3,critFlt3))</f>
        <v/>
      </c>
      <c r="F871" t="str">
        <f>IF($B871="","",SUMIFS(dQty,dCust,$B871,dPer,"&gt;="&amp;cyFrom,dPer,"&lt;="&amp;cyTo,dQty,"&gt;-1E+300",dFlt1,critFlt1,dFlt2,critFlt2,dFlt3,critFlt3))</f>
        <v/>
      </c>
      <c r="G871">
        <f>IF($B871="",0,IFERROR(IF(OR(C871&lt;&gt;0,D871&lt;&gt;0,E871&lt;&gt;0,F871&lt;&gt;0),1,0),1))</f>
        <v>0</v>
      </c>
      <c r="H871" t="str">
        <f>IF(OR(G871=0,E871=0),"",C871/E871)</f>
        <v/>
      </c>
      <c r="I871" t="str">
        <f>IF(OR(G871=0,F871=0),"",D871/F871)</f>
        <v/>
      </c>
      <c r="J871" t="str">
        <f>IF(OR(H871="",I871=""),"",IF(H871=0,"",I871/H871-1))</f>
        <v/>
      </c>
      <c r="K871" t="str">
        <f>IF($B871="","",IFERROR(IF(G871=0,-2E+300,CHOOSE(sortIdx,ROUND(D871,0),IF(J871="",-1E+300,ROUND(-J871,6)),IF(J871="",-1E+300,ROUND(J871,6)))),-1.5E+300))</f>
        <v/>
      </c>
      <c r="L871" t="str">
        <f>IF(K871="","",RANK(K871,$K$2:$K$3001,0)+COUNTIF($K$2:K871,K871)-1)</f>
        <v/>
      </c>
    </row>
    <row r="872">
      <c r="B872" t="str">
        <f>IFERROR(IF(A872="","","="&amp;SUBSTITUTE(SUBSTITUTE(SUBSTITUTE(A872,"~","~~"),"*","~*"),"?","~?")),"")</f>
        <v/>
      </c>
      <c r="C872" t="str">
        <f>IF($B872="","",SUMIFS(dAmt,dCust,$B872,dPer,"&gt;="&amp;pyFrom,dPer,"&lt;="&amp;pyTo,dAmt,"&gt;-1E+300",dFlt1,critFlt1,dFlt2,critFlt2,dFlt3,critFlt3))</f>
        <v/>
      </c>
      <c r="D872" t="str">
        <f>IF($B872="","",SUMIFS(dAmt,dCust,$B872,dPer,"&gt;="&amp;cyFrom,dPer,"&lt;="&amp;cyTo,dAmt,"&gt;-1E+300",dFlt1,critFlt1,dFlt2,critFlt2,dFlt3,critFlt3))</f>
        <v/>
      </c>
      <c r="E872" t="str">
        <f>IF($B872="","",SUMIFS(dQty,dCust,$B872,dPer,"&gt;="&amp;pyFrom,dPer,"&lt;="&amp;pyTo,dQty,"&gt;-1E+300",dFlt1,critFlt1,dFlt2,critFlt2,dFlt3,critFlt3))</f>
        <v/>
      </c>
      <c r="F872" t="str">
        <f>IF($B872="","",SUMIFS(dQty,dCust,$B872,dPer,"&gt;="&amp;cyFrom,dPer,"&lt;="&amp;cyTo,dQty,"&gt;-1E+300",dFlt1,critFlt1,dFlt2,critFlt2,dFlt3,critFlt3))</f>
        <v/>
      </c>
      <c r="G872">
        <f>IF($B872="",0,IFERROR(IF(OR(C872&lt;&gt;0,D872&lt;&gt;0,E872&lt;&gt;0,F872&lt;&gt;0),1,0),1))</f>
        <v>0</v>
      </c>
      <c r="H872" t="str">
        <f>IF(OR(G872=0,E872=0),"",C872/E872)</f>
        <v/>
      </c>
      <c r="I872" t="str">
        <f>IF(OR(G872=0,F872=0),"",D872/F872)</f>
        <v/>
      </c>
      <c r="J872" t="str">
        <f>IF(OR(H872="",I872=""),"",IF(H872=0,"",I872/H872-1))</f>
        <v/>
      </c>
      <c r="K872" t="str">
        <f>IF($B872="","",IFERROR(IF(G872=0,-2E+300,CHOOSE(sortIdx,ROUND(D872,0),IF(J872="",-1E+300,ROUND(-J872,6)),IF(J872="",-1E+300,ROUND(J872,6)))),-1.5E+300))</f>
        <v/>
      </c>
      <c r="L872" t="str">
        <f>IF(K872="","",RANK(K872,$K$2:$K$3001,0)+COUNTIF($K$2:K872,K872)-1)</f>
        <v/>
      </c>
    </row>
    <row r="873">
      <c r="B873" t="str">
        <f>IFERROR(IF(A873="","","="&amp;SUBSTITUTE(SUBSTITUTE(SUBSTITUTE(A873,"~","~~"),"*","~*"),"?","~?")),"")</f>
        <v/>
      </c>
      <c r="C873" t="str">
        <f>IF($B873="","",SUMIFS(dAmt,dCust,$B873,dPer,"&gt;="&amp;pyFrom,dPer,"&lt;="&amp;pyTo,dAmt,"&gt;-1E+300",dFlt1,critFlt1,dFlt2,critFlt2,dFlt3,critFlt3))</f>
        <v/>
      </c>
      <c r="D873" t="str">
        <f>IF($B873="","",SUMIFS(dAmt,dCust,$B873,dPer,"&gt;="&amp;cyFrom,dPer,"&lt;="&amp;cyTo,dAmt,"&gt;-1E+300",dFlt1,critFlt1,dFlt2,critFlt2,dFlt3,critFlt3))</f>
        <v/>
      </c>
      <c r="E873" t="str">
        <f>IF($B873="","",SUMIFS(dQty,dCust,$B873,dPer,"&gt;="&amp;pyFrom,dPer,"&lt;="&amp;pyTo,dQty,"&gt;-1E+300",dFlt1,critFlt1,dFlt2,critFlt2,dFlt3,critFlt3))</f>
        <v/>
      </c>
      <c r="F873" t="str">
        <f>IF($B873="","",SUMIFS(dQty,dCust,$B873,dPer,"&gt;="&amp;cyFrom,dPer,"&lt;="&amp;cyTo,dQty,"&gt;-1E+300",dFlt1,critFlt1,dFlt2,critFlt2,dFlt3,critFlt3))</f>
        <v/>
      </c>
      <c r="G873">
        <f>IF($B873="",0,IFERROR(IF(OR(C873&lt;&gt;0,D873&lt;&gt;0,E873&lt;&gt;0,F873&lt;&gt;0),1,0),1))</f>
        <v>0</v>
      </c>
      <c r="H873" t="str">
        <f>IF(OR(G873=0,E873=0),"",C873/E873)</f>
        <v/>
      </c>
      <c r="I873" t="str">
        <f>IF(OR(G873=0,F873=0),"",D873/F873)</f>
        <v/>
      </c>
      <c r="J873" t="str">
        <f>IF(OR(H873="",I873=""),"",IF(H873=0,"",I873/H873-1))</f>
        <v/>
      </c>
      <c r="K873" t="str">
        <f>IF($B873="","",IFERROR(IF(G873=0,-2E+300,CHOOSE(sortIdx,ROUND(D873,0),IF(J873="",-1E+300,ROUND(-J873,6)),IF(J873="",-1E+300,ROUND(J873,6)))),-1.5E+300))</f>
        <v/>
      </c>
      <c r="L873" t="str">
        <f>IF(K873="","",RANK(K873,$K$2:$K$3001,0)+COUNTIF($K$2:K873,K873)-1)</f>
        <v/>
      </c>
    </row>
    <row r="874">
      <c r="B874" t="str">
        <f>IFERROR(IF(A874="","","="&amp;SUBSTITUTE(SUBSTITUTE(SUBSTITUTE(A874,"~","~~"),"*","~*"),"?","~?")),"")</f>
        <v/>
      </c>
      <c r="C874" t="str">
        <f>IF($B874="","",SUMIFS(dAmt,dCust,$B874,dPer,"&gt;="&amp;pyFrom,dPer,"&lt;="&amp;pyTo,dAmt,"&gt;-1E+300",dFlt1,critFlt1,dFlt2,critFlt2,dFlt3,critFlt3))</f>
        <v/>
      </c>
      <c r="D874" t="str">
        <f>IF($B874="","",SUMIFS(dAmt,dCust,$B874,dPer,"&gt;="&amp;cyFrom,dPer,"&lt;="&amp;cyTo,dAmt,"&gt;-1E+300",dFlt1,critFlt1,dFlt2,critFlt2,dFlt3,critFlt3))</f>
        <v/>
      </c>
      <c r="E874" t="str">
        <f>IF($B874="","",SUMIFS(dQty,dCust,$B874,dPer,"&gt;="&amp;pyFrom,dPer,"&lt;="&amp;pyTo,dQty,"&gt;-1E+300",dFlt1,critFlt1,dFlt2,critFlt2,dFlt3,critFlt3))</f>
        <v/>
      </c>
      <c r="F874" t="str">
        <f>IF($B874="","",SUMIFS(dQty,dCust,$B874,dPer,"&gt;="&amp;cyFrom,dPer,"&lt;="&amp;cyTo,dQty,"&gt;-1E+300",dFlt1,critFlt1,dFlt2,critFlt2,dFlt3,critFlt3))</f>
        <v/>
      </c>
      <c r="G874">
        <f>IF($B874="",0,IFERROR(IF(OR(C874&lt;&gt;0,D874&lt;&gt;0,E874&lt;&gt;0,F874&lt;&gt;0),1,0),1))</f>
        <v>0</v>
      </c>
      <c r="H874" t="str">
        <f>IF(OR(G874=0,E874=0),"",C874/E874)</f>
        <v/>
      </c>
      <c r="I874" t="str">
        <f>IF(OR(G874=0,F874=0),"",D874/F874)</f>
        <v/>
      </c>
      <c r="J874" t="str">
        <f>IF(OR(H874="",I874=""),"",IF(H874=0,"",I874/H874-1))</f>
        <v/>
      </c>
      <c r="K874" t="str">
        <f>IF($B874="","",IFERROR(IF(G874=0,-2E+300,CHOOSE(sortIdx,ROUND(D874,0),IF(J874="",-1E+300,ROUND(-J874,6)),IF(J874="",-1E+300,ROUND(J874,6)))),-1.5E+300))</f>
        <v/>
      </c>
      <c r="L874" t="str">
        <f>IF(K874="","",RANK(K874,$K$2:$K$3001,0)+COUNTIF($K$2:K874,K874)-1)</f>
        <v/>
      </c>
    </row>
    <row r="875">
      <c r="B875" t="str">
        <f>IFERROR(IF(A875="","","="&amp;SUBSTITUTE(SUBSTITUTE(SUBSTITUTE(A875,"~","~~"),"*","~*"),"?","~?")),"")</f>
        <v/>
      </c>
      <c r="C875" t="str">
        <f>IF($B875="","",SUMIFS(dAmt,dCust,$B875,dPer,"&gt;="&amp;pyFrom,dPer,"&lt;="&amp;pyTo,dAmt,"&gt;-1E+300",dFlt1,critFlt1,dFlt2,critFlt2,dFlt3,critFlt3))</f>
        <v/>
      </c>
      <c r="D875" t="str">
        <f>IF($B875="","",SUMIFS(dAmt,dCust,$B875,dPer,"&gt;="&amp;cyFrom,dPer,"&lt;="&amp;cyTo,dAmt,"&gt;-1E+300",dFlt1,critFlt1,dFlt2,critFlt2,dFlt3,critFlt3))</f>
        <v/>
      </c>
      <c r="E875" t="str">
        <f>IF($B875="","",SUMIFS(dQty,dCust,$B875,dPer,"&gt;="&amp;pyFrom,dPer,"&lt;="&amp;pyTo,dQty,"&gt;-1E+300",dFlt1,critFlt1,dFlt2,critFlt2,dFlt3,critFlt3))</f>
        <v/>
      </c>
      <c r="F875" t="str">
        <f>IF($B875="","",SUMIFS(dQty,dCust,$B875,dPer,"&gt;="&amp;cyFrom,dPer,"&lt;="&amp;cyTo,dQty,"&gt;-1E+300",dFlt1,critFlt1,dFlt2,critFlt2,dFlt3,critFlt3))</f>
        <v/>
      </c>
      <c r="G875">
        <f>IF($B875="",0,IFERROR(IF(OR(C875&lt;&gt;0,D875&lt;&gt;0,E875&lt;&gt;0,F875&lt;&gt;0),1,0),1))</f>
        <v>0</v>
      </c>
      <c r="H875" t="str">
        <f>IF(OR(G875=0,E875=0),"",C875/E875)</f>
        <v/>
      </c>
      <c r="I875" t="str">
        <f>IF(OR(G875=0,F875=0),"",D875/F875)</f>
        <v/>
      </c>
      <c r="J875" t="str">
        <f>IF(OR(H875="",I875=""),"",IF(H875=0,"",I875/H875-1))</f>
        <v/>
      </c>
      <c r="K875" t="str">
        <f>IF($B875="","",IFERROR(IF(G875=0,-2E+300,CHOOSE(sortIdx,ROUND(D875,0),IF(J875="",-1E+300,ROUND(-J875,6)),IF(J875="",-1E+300,ROUND(J875,6)))),-1.5E+300))</f>
        <v/>
      </c>
      <c r="L875" t="str">
        <f>IF(K875="","",RANK(K875,$K$2:$K$3001,0)+COUNTIF($K$2:K875,K875)-1)</f>
        <v/>
      </c>
    </row>
    <row r="876">
      <c r="B876" t="str">
        <f>IFERROR(IF(A876="","","="&amp;SUBSTITUTE(SUBSTITUTE(SUBSTITUTE(A876,"~","~~"),"*","~*"),"?","~?")),"")</f>
        <v/>
      </c>
      <c r="C876" t="str">
        <f>IF($B876="","",SUMIFS(dAmt,dCust,$B876,dPer,"&gt;="&amp;pyFrom,dPer,"&lt;="&amp;pyTo,dAmt,"&gt;-1E+300",dFlt1,critFlt1,dFlt2,critFlt2,dFlt3,critFlt3))</f>
        <v/>
      </c>
      <c r="D876" t="str">
        <f>IF($B876="","",SUMIFS(dAmt,dCust,$B876,dPer,"&gt;="&amp;cyFrom,dPer,"&lt;="&amp;cyTo,dAmt,"&gt;-1E+300",dFlt1,critFlt1,dFlt2,critFlt2,dFlt3,critFlt3))</f>
        <v/>
      </c>
      <c r="E876" t="str">
        <f>IF($B876="","",SUMIFS(dQty,dCust,$B876,dPer,"&gt;="&amp;pyFrom,dPer,"&lt;="&amp;pyTo,dQty,"&gt;-1E+300",dFlt1,critFlt1,dFlt2,critFlt2,dFlt3,critFlt3))</f>
        <v/>
      </c>
      <c r="F876" t="str">
        <f>IF($B876="","",SUMIFS(dQty,dCust,$B876,dPer,"&gt;="&amp;cyFrom,dPer,"&lt;="&amp;cyTo,dQty,"&gt;-1E+300",dFlt1,critFlt1,dFlt2,critFlt2,dFlt3,critFlt3))</f>
        <v/>
      </c>
      <c r="G876">
        <f>IF($B876="",0,IFERROR(IF(OR(C876&lt;&gt;0,D876&lt;&gt;0,E876&lt;&gt;0,F876&lt;&gt;0),1,0),1))</f>
        <v>0</v>
      </c>
      <c r="H876" t="str">
        <f>IF(OR(G876=0,E876=0),"",C876/E876)</f>
        <v/>
      </c>
      <c r="I876" t="str">
        <f>IF(OR(G876=0,F876=0),"",D876/F876)</f>
        <v/>
      </c>
      <c r="J876" t="str">
        <f>IF(OR(H876="",I876=""),"",IF(H876=0,"",I876/H876-1))</f>
        <v/>
      </c>
      <c r="K876" t="str">
        <f>IF($B876="","",IFERROR(IF(G876=0,-2E+300,CHOOSE(sortIdx,ROUND(D876,0),IF(J876="",-1E+300,ROUND(-J876,6)),IF(J876="",-1E+300,ROUND(J876,6)))),-1.5E+300))</f>
        <v/>
      </c>
      <c r="L876" t="str">
        <f>IF(K876="","",RANK(K876,$K$2:$K$3001,0)+COUNTIF($K$2:K876,K876)-1)</f>
        <v/>
      </c>
    </row>
    <row r="877">
      <c r="B877" t="str">
        <f>IFERROR(IF(A877="","","="&amp;SUBSTITUTE(SUBSTITUTE(SUBSTITUTE(A877,"~","~~"),"*","~*"),"?","~?")),"")</f>
        <v/>
      </c>
      <c r="C877" t="str">
        <f>IF($B877="","",SUMIFS(dAmt,dCust,$B877,dPer,"&gt;="&amp;pyFrom,dPer,"&lt;="&amp;pyTo,dAmt,"&gt;-1E+300",dFlt1,critFlt1,dFlt2,critFlt2,dFlt3,critFlt3))</f>
        <v/>
      </c>
      <c r="D877" t="str">
        <f>IF($B877="","",SUMIFS(dAmt,dCust,$B877,dPer,"&gt;="&amp;cyFrom,dPer,"&lt;="&amp;cyTo,dAmt,"&gt;-1E+300",dFlt1,critFlt1,dFlt2,critFlt2,dFlt3,critFlt3))</f>
        <v/>
      </c>
      <c r="E877" t="str">
        <f>IF($B877="","",SUMIFS(dQty,dCust,$B877,dPer,"&gt;="&amp;pyFrom,dPer,"&lt;="&amp;pyTo,dQty,"&gt;-1E+300",dFlt1,critFlt1,dFlt2,critFlt2,dFlt3,critFlt3))</f>
        <v/>
      </c>
      <c r="F877" t="str">
        <f>IF($B877="","",SUMIFS(dQty,dCust,$B877,dPer,"&gt;="&amp;cyFrom,dPer,"&lt;="&amp;cyTo,dQty,"&gt;-1E+300",dFlt1,critFlt1,dFlt2,critFlt2,dFlt3,critFlt3))</f>
        <v/>
      </c>
      <c r="G877">
        <f>IF($B877="",0,IFERROR(IF(OR(C877&lt;&gt;0,D877&lt;&gt;0,E877&lt;&gt;0,F877&lt;&gt;0),1,0),1))</f>
        <v>0</v>
      </c>
      <c r="H877" t="str">
        <f>IF(OR(G877=0,E877=0),"",C877/E877)</f>
        <v/>
      </c>
      <c r="I877" t="str">
        <f>IF(OR(G877=0,F877=0),"",D877/F877)</f>
        <v/>
      </c>
      <c r="J877" t="str">
        <f>IF(OR(H877="",I877=""),"",IF(H877=0,"",I877/H877-1))</f>
        <v/>
      </c>
      <c r="K877" t="str">
        <f>IF($B877="","",IFERROR(IF(G877=0,-2E+300,CHOOSE(sortIdx,ROUND(D877,0),IF(J877="",-1E+300,ROUND(-J877,6)),IF(J877="",-1E+300,ROUND(J877,6)))),-1.5E+300))</f>
        <v/>
      </c>
      <c r="L877" t="str">
        <f>IF(K877="","",RANK(K877,$K$2:$K$3001,0)+COUNTIF($K$2:K877,K877)-1)</f>
        <v/>
      </c>
    </row>
    <row r="878">
      <c r="B878" t="str">
        <f>IFERROR(IF(A878="","","="&amp;SUBSTITUTE(SUBSTITUTE(SUBSTITUTE(A878,"~","~~"),"*","~*"),"?","~?")),"")</f>
        <v/>
      </c>
      <c r="C878" t="str">
        <f>IF($B878="","",SUMIFS(dAmt,dCust,$B878,dPer,"&gt;="&amp;pyFrom,dPer,"&lt;="&amp;pyTo,dAmt,"&gt;-1E+300",dFlt1,critFlt1,dFlt2,critFlt2,dFlt3,critFlt3))</f>
        <v/>
      </c>
      <c r="D878" t="str">
        <f>IF($B878="","",SUMIFS(dAmt,dCust,$B878,dPer,"&gt;="&amp;cyFrom,dPer,"&lt;="&amp;cyTo,dAmt,"&gt;-1E+300",dFlt1,critFlt1,dFlt2,critFlt2,dFlt3,critFlt3))</f>
        <v/>
      </c>
      <c r="E878" t="str">
        <f>IF($B878="","",SUMIFS(dQty,dCust,$B878,dPer,"&gt;="&amp;pyFrom,dPer,"&lt;="&amp;pyTo,dQty,"&gt;-1E+300",dFlt1,critFlt1,dFlt2,critFlt2,dFlt3,critFlt3))</f>
        <v/>
      </c>
      <c r="F878" t="str">
        <f>IF($B878="","",SUMIFS(dQty,dCust,$B878,dPer,"&gt;="&amp;cyFrom,dPer,"&lt;="&amp;cyTo,dQty,"&gt;-1E+300",dFlt1,critFlt1,dFlt2,critFlt2,dFlt3,critFlt3))</f>
        <v/>
      </c>
      <c r="G878">
        <f>IF($B878="",0,IFERROR(IF(OR(C878&lt;&gt;0,D878&lt;&gt;0,E878&lt;&gt;0,F878&lt;&gt;0),1,0),1))</f>
        <v>0</v>
      </c>
      <c r="H878" t="str">
        <f>IF(OR(G878=0,E878=0),"",C878/E878)</f>
        <v/>
      </c>
      <c r="I878" t="str">
        <f>IF(OR(G878=0,F878=0),"",D878/F878)</f>
        <v/>
      </c>
      <c r="J878" t="str">
        <f>IF(OR(H878="",I878=""),"",IF(H878=0,"",I878/H878-1))</f>
        <v/>
      </c>
      <c r="K878" t="str">
        <f>IF($B878="","",IFERROR(IF(G878=0,-2E+300,CHOOSE(sortIdx,ROUND(D878,0),IF(J878="",-1E+300,ROUND(-J878,6)),IF(J878="",-1E+300,ROUND(J878,6)))),-1.5E+300))</f>
        <v/>
      </c>
      <c r="L878" t="str">
        <f>IF(K878="","",RANK(K878,$K$2:$K$3001,0)+COUNTIF($K$2:K878,K878)-1)</f>
        <v/>
      </c>
    </row>
    <row r="879">
      <c r="B879" t="str">
        <f>IFERROR(IF(A879="","","="&amp;SUBSTITUTE(SUBSTITUTE(SUBSTITUTE(A879,"~","~~"),"*","~*"),"?","~?")),"")</f>
        <v/>
      </c>
      <c r="C879" t="str">
        <f>IF($B879="","",SUMIFS(dAmt,dCust,$B879,dPer,"&gt;="&amp;pyFrom,dPer,"&lt;="&amp;pyTo,dAmt,"&gt;-1E+300",dFlt1,critFlt1,dFlt2,critFlt2,dFlt3,critFlt3))</f>
        <v/>
      </c>
      <c r="D879" t="str">
        <f>IF($B879="","",SUMIFS(dAmt,dCust,$B879,dPer,"&gt;="&amp;cyFrom,dPer,"&lt;="&amp;cyTo,dAmt,"&gt;-1E+300",dFlt1,critFlt1,dFlt2,critFlt2,dFlt3,critFlt3))</f>
        <v/>
      </c>
      <c r="E879" t="str">
        <f>IF($B879="","",SUMIFS(dQty,dCust,$B879,dPer,"&gt;="&amp;pyFrom,dPer,"&lt;="&amp;pyTo,dQty,"&gt;-1E+300",dFlt1,critFlt1,dFlt2,critFlt2,dFlt3,critFlt3))</f>
        <v/>
      </c>
      <c r="F879" t="str">
        <f>IF($B879="","",SUMIFS(dQty,dCust,$B879,dPer,"&gt;="&amp;cyFrom,dPer,"&lt;="&amp;cyTo,dQty,"&gt;-1E+300",dFlt1,critFlt1,dFlt2,critFlt2,dFlt3,critFlt3))</f>
        <v/>
      </c>
      <c r="G879">
        <f>IF($B879="",0,IFERROR(IF(OR(C879&lt;&gt;0,D879&lt;&gt;0,E879&lt;&gt;0,F879&lt;&gt;0),1,0),1))</f>
        <v>0</v>
      </c>
      <c r="H879" t="str">
        <f>IF(OR(G879=0,E879=0),"",C879/E879)</f>
        <v/>
      </c>
      <c r="I879" t="str">
        <f>IF(OR(G879=0,F879=0),"",D879/F879)</f>
        <v/>
      </c>
      <c r="J879" t="str">
        <f>IF(OR(H879="",I879=""),"",IF(H879=0,"",I879/H879-1))</f>
        <v/>
      </c>
      <c r="K879" t="str">
        <f>IF($B879="","",IFERROR(IF(G879=0,-2E+300,CHOOSE(sortIdx,ROUND(D879,0),IF(J879="",-1E+300,ROUND(-J879,6)),IF(J879="",-1E+300,ROUND(J879,6)))),-1.5E+300))</f>
        <v/>
      </c>
      <c r="L879" t="str">
        <f>IF(K879="","",RANK(K879,$K$2:$K$3001,0)+COUNTIF($K$2:K879,K879)-1)</f>
        <v/>
      </c>
    </row>
    <row r="880">
      <c r="B880" t="str">
        <f>IFERROR(IF(A880="","","="&amp;SUBSTITUTE(SUBSTITUTE(SUBSTITUTE(A880,"~","~~"),"*","~*"),"?","~?")),"")</f>
        <v/>
      </c>
      <c r="C880" t="str">
        <f>IF($B880="","",SUMIFS(dAmt,dCust,$B880,dPer,"&gt;="&amp;pyFrom,dPer,"&lt;="&amp;pyTo,dAmt,"&gt;-1E+300",dFlt1,critFlt1,dFlt2,critFlt2,dFlt3,critFlt3))</f>
        <v/>
      </c>
      <c r="D880" t="str">
        <f>IF($B880="","",SUMIFS(dAmt,dCust,$B880,dPer,"&gt;="&amp;cyFrom,dPer,"&lt;="&amp;cyTo,dAmt,"&gt;-1E+300",dFlt1,critFlt1,dFlt2,critFlt2,dFlt3,critFlt3))</f>
        <v/>
      </c>
      <c r="E880" t="str">
        <f>IF($B880="","",SUMIFS(dQty,dCust,$B880,dPer,"&gt;="&amp;pyFrom,dPer,"&lt;="&amp;pyTo,dQty,"&gt;-1E+300",dFlt1,critFlt1,dFlt2,critFlt2,dFlt3,critFlt3))</f>
        <v/>
      </c>
      <c r="F880" t="str">
        <f>IF($B880="","",SUMIFS(dQty,dCust,$B880,dPer,"&gt;="&amp;cyFrom,dPer,"&lt;="&amp;cyTo,dQty,"&gt;-1E+300",dFlt1,critFlt1,dFlt2,critFlt2,dFlt3,critFlt3))</f>
        <v/>
      </c>
      <c r="G880">
        <f>IF($B880="",0,IFERROR(IF(OR(C880&lt;&gt;0,D880&lt;&gt;0,E880&lt;&gt;0,F880&lt;&gt;0),1,0),1))</f>
        <v>0</v>
      </c>
      <c r="H880" t="str">
        <f>IF(OR(G880=0,E880=0),"",C880/E880)</f>
        <v/>
      </c>
      <c r="I880" t="str">
        <f>IF(OR(G880=0,F880=0),"",D880/F880)</f>
        <v/>
      </c>
      <c r="J880" t="str">
        <f>IF(OR(H880="",I880=""),"",IF(H880=0,"",I880/H880-1))</f>
        <v/>
      </c>
      <c r="K880" t="str">
        <f>IF($B880="","",IFERROR(IF(G880=0,-2E+300,CHOOSE(sortIdx,ROUND(D880,0),IF(J880="",-1E+300,ROUND(-J880,6)),IF(J880="",-1E+300,ROUND(J880,6)))),-1.5E+300))</f>
        <v/>
      </c>
      <c r="L880" t="str">
        <f>IF(K880="","",RANK(K880,$K$2:$K$3001,0)+COUNTIF($K$2:K880,K880)-1)</f>
        <v/>
      </c>
    </row>
    <row r="881">
      <c r="B881" t="str">
        <f>IFERROR(IF(A881="","","="&amp;SUBSTITUTE(SUBSTITUTE(SUBSTITUTE(A881,"~","~~"),"*","~*"),"?","~?")),"")</f>
        <v/>
      </c>
      <c r="C881" t="str">
        <f>IF($B881="","",SUMIFS(dAmt,dCust,$B881,dPer,"&gt;="&amp;pyFrom,dPer,"&lt;="&amp;pyTo,dAmt,"&gt;-1E+300",dFlt1,critFlt1,dFlt2,critFlt2,dFlt3,critFlt3))</f>
        <v/>
      </c>
      <c r="D881" t="str">
        <f>IF($B881="","",SUMIFS(dAmt,dCust,$B881,dPer,"&gt;="&amp;cyFrom,dPer,"&lt;="&amp;cyTo,dAmt,"&gt;-1E+300",dFlt1,critFlt1,dFlt2,critFlt2,dFlt3,critFlt3))</f>
        <v/>
      </c>
      <c r="E881" t="str">
        <f>IF($B881="","",SUMIFS(dQty,dCust,$B881,dPer,"&gt;="&amp;pyFrom,dPer,"&lt;="&amp;pyTo,dQty,"&gt;-1E+300",dFlt1,critFlt1,dFlt2,critFlt2,dFlt3,critFlt3))</f>
        <v/>
      </c>
      <c r="F881" t="str">
        <f>IF($B881="","",SUMIFS(dQty,dCust,$B881,dPer,"&gt;="&amp;cyFrom,dPer,"&lt;="&amp;cyTo,dQty,"&gt;-1E+300",dFlt1,critFlt1,dFlt2,critFlt2,dFlt3,critFlt3))</f>
        <v/>
      </c>
      <c r="G881">
        <f>IF($B881="",0,IFERROR(IF(OR(C881&lt;&gt;0,D881&lt;&gt;0,E881&lt;&gt;0,F881&lt;&gt;0),1,0),1))</f>
        <v>0</v>
      </c>
      <c r="H881" t="str">
        <f>IF(OR(G881=0,E881=0),"",C881/E881)</f>
        <v/>
      </c>
      <c r="I881" t="str">
        <f>IF(OR(G881=0,F881=0),"",D881/F881)</f>
        <v/>
      </c>
      <c r="J881" t="str">
        <f>IF(OR(H881="",I881=""),"",IF(H881=0,"",I881/H881-1))</f>
        <v/>
      </c>
      <c r="K881" t="str">
        <f>IF($B881="","",IFERROR(IF(G881=0,-2E+300,CHOOSE(sortIdx,ROUND(D881,0),IF(J881="",-1E+300,ROUND(-J881,6)),IF(J881="",-1E+300,ROUND(J881,6)))),-1.5E+300))</f>
        <v/>
      </c>
      <c r="L881" t="str">
        <f>IF(K881="","",RANK(K881,$K$2:$K$3001,0)+COUNTIF($K$2:K881,K881)-1)</f>
        <v/>
      </c>
    </row>
    <row r="882">
      <c r="B882" t="str">
        <f>IFERROR(IF(A882="","","="&amp;SUBSTITUTE(SUBSTITUTE(SUBSTITUTE(A882,"~","~~"),"*","~*"),"?","~?")),"")</f>
        <v/>
      </c>
      <c r="C882" t="str">
        <f>IF($B882="","",SUMIFS(dAmt,dCust,$B882,dPer,"&gt;="&amp;pyFrom,dPer,"&lt;="&amp;pyTo,dAmt,"&gt;-1E+300",dFlt1,critFlt1,dFlt2,critFlt2,dFlt3,critFlt3))</f>
        <v/>
      </c>
      <c r="D882" t="str">
        <f>IF($B882="","",SUMIFS(dAmt,dCust,$B882,dPer,"&gt;="&amp;cyFrom,dPer,"&lt;="&amp;cyTo,dAmt,"&gt;-1E+300",dFlt1,critFlt1,dFlt2,critFlt2,dFlt3,critFlt3))</f>
        <v/>
      </c>
      <c r="E882" t="str">
        <f>IF($B882="","",SUMIFS(dQty,dCust,$B882,dPer,"&gt;="&amp;pyFrom,dPer,"&lt;="&amp;pyTo,dQty,"&gt;-1E+300",dFlt1,critFlt1,dFlt2,critFlt2,dFlt3,critFlt3))</f>
        <v/>
      </c>
      <c r="F882" t="str">
        <f>IF($B882="","",SUMIFS(dQty,dCust,$B882,dPer,"&gt;="&amp;cyFrom,dPer,"&lt;="&amp;cyTo,dQty,"&gt;-1E+300",dFlt1,critFlt1,dFlt2,critFlt2,dFlt3,critFlt3))</f>
        <v/>
      </c>
      <c r="G882">
        <f>IF($B882="",0,IFERROR(IF(OR(C882&lt;&gt;0,D882&lt;&gt;0,E882&lt;&gt;0,F882&lt;&gt;0),1,0),1))</f>
        <v>0</v>
      </c>
      <c r="H882" t="str">
        <f>IF(OR(G882=0,E882=0),"",C882/E882)</f>
        <v/>
      </c>
      <c r="I882" t="str">
        <f>IF(OR(G882=0,F882=0),"",D882/F882)</f>
        <v/>
      </c>
      <c r="J882" t="str">
        <f>IF(OR(H882="",I882=""),"",IF(H882=0,"",I882/H882-1))</f>
        <v/>
      </c>
      <c r="K882" t="str">
        <f>IF($B882="","",IFERROR(IF(G882=0,-2E+300,CHOOSE(sortIdx,ROUND(D882,0),IF(J882="",-1E+300,ROUND(-J882,6)),IF(J882="",-1E+300,ROUND(J882,6)))),-1.5E+300))</f>
        <v/>
      </c>
      <c r="L882" t="str">
        <f>IF(K882="","",RANK(K882,$K$2:$K$3001,0)+COUNTIF($K$2:K882,K882)-1)</f>
        <v/>
      </c>
    </row>
    <row r="883">
      <c r="B883" t="str">
        <f>IFERROR(IF(A883="","","="&amp;SUBSTITUTE(SUBSTITUTE(SUBSTITUTE(A883,"~","~~"),"*","~*"),"?","~?")),"")</f>
        <v/>
      </c>
      <c r="C883" t="str">
        <f>IF($B883="","",SUMIFS(dAmt,dCust,$B883,dPer,"&gt;="&amp;pyFrom,dPer,"&lt;="&amp;pyTo,dAmt,"&gt;-1E+300",dFlt1,critFlt1,dFlt2,critFlt2,dFlt3,critFlt3))</f>
        <v/>
      </c>
      <c r="D883" t="str">
        <f>IF($B883="","",SUMIFS(dAmt,dCust,$B883,dPer,"&gt;="&amp;cyFrom,dPer,"&lt;="&amp;cyTo,dAmt,"&gt;-1E+300",dFlt1,critFlt1,dFlt2,critFlt2,dFlt3,critFlt3))</f>
        <v/>
      </c>
      <c r="E883" t="str">
        <f>IF($B883="","",SUMIFS(dQty,dCust,$B883,dPer,"&gt;="&amp;pyFrom,dPer,"&lt;="&amp;pyTo,dQty,"&gt;-1E+300",dFlt1,critFlt1,dFlt2,critFlt2,dFlt3,critFlt3))</f>
        <v/>
      </c>
      <c r="F883" t="str">
        <f>IF($B883="","",SUMIFS(dQty,dCust,$B883,dPer,"&gt;="&amp;cyFrom,dPer,"&lt;="&amp;cyTo,dQty,"&gt;-1E+300",dFlt1,critFlt1,dFlt2,critFlt2,dFlt3,critFlt3))</f>
        <v/>
      </c>
      <c r="G883">
        <f>IF($B883="",0,IFERROR(IF(OR(C883&lt;&gt;0,D883&lt;&gt;0,E883&lt;&gt;0,F883&lt;&gt;0),1,0),1))</f>
        <v>0</v>
      </c>
      <c r="H883" t="str">
        <f>IF(OR(G883=0,E883=0),"",C883/E883)</f>
        <v/>
      </c>
      <c r="I883" t="str">
        <f>IF(OR(G883=0,F883=0),"",D883/F883)</f>
        <v/>
      </c>
      <c r="J883" t="str">
        <f>IF(OR(H883="",I883=""),"",IF(H883=0,"",I883/H883-1))</f>
        <v/>
      </c>
      <c r="K883" t="str">
        <f>IF($B883="","",IFERROR(IF(G883=0,-2E+300,CHOOSE(sortIdx,ROUND(D883,0),IF(J883="",-1E+300,ROUND(-J883,6)),IF(J883="",-1E+300,ROUND(J883,6)))),-1.5E+300))</f>
        <v/>
      </c>
      <c r="L883" t="str">
        <f>IF(K883="","",RANK(K883,$K$2:$K$3001,0)+COUNTIF($K$2:K883,K883)-1)</f>
        <v/>
      </c>
    </row>
    <row r="884">
      <c r="B884" t="str">
        <f>IFERROR(IF(A884="","","="&amp;SUBSTITUTE(SUBSTITUTE(SUBSTITUTE(A884,"~","~~"),"*","~*"),"?","~?")),"")</f>
        <v/>
      </c>
      <c r="C884" t="str">
        <f>IF($B884="","",SUMIFS(dAmt,dCust,$B884,dPer,"&gt;="&amp;pyFrom,dPer,"&lt;="&amp;pyTo,dAmt,"&gt;-1E+300",dFlt1,critFlt1,dFlt2,critFlt2,dFlt3,critFlt3))</f>
        <v/>
      </c>
      <c r="D884" t="str">
        <f>IF($B884="","",SUMIFS(dAmt,dCust,$B884,dPer,"&gt;="&amp;cyFrom,dPer,"&lt;="&amp;cyTo,dAmt,"&gt;-1E+300",dFlt1,critFlt1,dFlt2,critFlt2,dFlt3,critFlt3))</f>
        <v/>
      </c>
      <c r="E884" t="str">
        <f>IF($B884="","",SUMIFS(dQty,dCust,$B884,dPer,"&gt;="&amp;pyFrom,dPer,"&lt;="&amp;pyTo,dQty,"&gt;-1E+300",dFlt1,critFlt1,dFlt2,critFlt2,dFlt3,critFlt3))</f>
        <v/>
      </c>
      <c r="F884" t="str">
        <f>IF($B884="","",SUMIFS(dQty,dCust,$B884,dPer,"&gt;="&amp;cyFrom,dPer,"&lt;="&amp;cyTo,dQty,"&gt;-1E+300",dFlt1,critFlt1,dFlt2,critFlt2,dFlt3,critFlt3))</f>
        <v/>
      </c>
      <c r="G884">
        <f>IF($B884="",0,IFERROR(IF(OR(C884&lt;&gt;0,D884&lt;&gt;0,E884&lt;&gt;0,F884&lt;&gt;0),1,0),1))</f>
        <v>0</v>
      </c>
      <c r="H884" t="str">
        <f>IF(OR(G884=0,E884=0),"",C884/E884)</f>
        <v/>
      </c>
      <c r="I884" t="str">
        <f>IF(OR(G884=0,F884=0),"",D884/F884)</f>
        <v/>
      </c>
      <c r="J884" t="str">
        <f>IF(OR(H884="",I884=""),"",IF(H884=0,"",I884/H884-1))</f>
        <v/>
      </c>
      <c r="K884" t="str">
        <f>IF($B884="","",IFERROR(IF(G884=0,-2E+300,CHOOSE(sortIdx,ROUND(D884,0),IF(J884="",-1E+300,ROUND(-J884,6)),IF(J884="",-1E+300,ROUND(J884,6)))),-1.5E+300))</f>
        <v/>
      </c>
      <c r="L884" t="str">
        <f>IF(K884="","",RANK(K884,$K$2:$K$3001,0)+COUNTIF($K$2:K884,K884)-1)</f>
        <v/>
      </c>
    </row>
    <row r="885">
      <c r="B885" t="str">
        <f>IFERROR(IF(A885="","","="&amp;SUBSTITUTE(SUBSTITUTE(SUBSTITUTE(A885,"~","~~"),"*","~*"),"?","~?")),"")</f>
        <v/>
      </c>
      <c r="C885" t="str">
        <f>IF($B885="","",SUMIFS(dAmt,dCust,$B885,dPer,"&gt;="&amp;pyFrom,dPer,"&lt;="&amp;pyTo,dAmt,"&gt;-1E+300",dFlt1,critFlt1,dFlt2,critFlt2,dFlt3,critFlt3))</f>
        <v/>
      </c>
      <c r="D885" t="str">
        <f>IF($B885="","",SUMIFS(dAmt,dCust,$B885,dPer,"&gt;="&amp;cyFrom,dPer,"&lt;="&amp;cyTo,dAmt,"&gt;-1E+300",dFlt1,critFlt1,dFlt2,critFlt2,dFlt3,critFlt3))</f>
        <v/>
      </c>
      <c r="E885" t="str">
        <f>IF($B885="","",SUMIFS(dQty,dCust,$B885,dPer,"&gt;="&amp;pyFrom,dPer,"&lt;="&amp;pyTo,dQty,"&gt;-1E+300",dFlt1,critFlt1,dFlt2,critFlt2,dFlt3,critFlt3))</f>
        <v/>
      </c>
      <c r="F885" t="str">
        <f>IF($B885="","",SUMIFS(dQty,dCust,$B885,dPer,"&gt;="&amp;cyFrom,dPer,"&lt;="&amp;cyTo,dQty,"&gt;-1E+300",dFlt1,critFlt1,dFlt2,critFlt2,dFlt3,critFlt3))</f>
        <v/>
      </c>
      <c r="G885">
        <f>IF($B885="",0,IFERROR(IF(OR(C885&lt;&gt;0,D885&lt;&gt;0,E885&lt;&gt;0,F885&lt;&gt;0),1,0),1))</f>
        <v>0</v>
      </c>
      <c r="H885" t="str">
        <f>IF(OR(G885=0,E885=0),"",C885/E885)</f>
        <v/>
      </c>
      <c r="I885" t="str">
        <f>IF(OR(G885=0,F885=0),"",D885/F885)</f>
        <v/>
      </c>
      <c r="J885" t="str">
        <f>IF(OR(H885="",I885=""),"",IF(H885=0,"",I885/H885-1))</f>
        <v/>
      </c>
      <c r="K885" t="str">
        <f>IF($B885="","",IFERROR(IF(G885=0,-2E+300,CHOOSE(sortIdx,ROUND(D885,0),IF(J885="",-1E+300,ROUND(-J885,6)),IF(J885="",-1E+300,ROUND(J885,6)))),-1.5E+300))</f>
        <v/>
      </c>
      <c r="L885" t="str">
        <f>IF(K885="","",RANK(K885,$K$2:$K$3001,0)+COUNTIF($K$2:K885,K885)-1)</f>
        <v/>
      </c>
    </row>
    <row r="886">
      <c r="B886" t="str">
        <f>IFERROR(IF(A886="","","="&amp;SUBSTITUTE(SUBSTITUTE(SUBSTITUTE(A886,"~","~~"),"*","~*"),"?","~?")),"")</f>
        <v/>
      </c>
      <c r="C886" t="str">
        <f>IF($B886="","",SUMIFS(dAmt,dCust,$B886,dPer,"&gt;="&amp;pyFrom,dPer,"&lt;="&amp;pyTo,dAmt,"&gt;-1E+300",dFlt1,critFlt1,dFlt2,critFlt2,dFlt3,critFlt3))</f>
        <v/>
      </c>
      <c r="D886" t="str">
        <f>IF($B886="","",SUMIFS(dAmt,dCust,$B886,dPer,"&gt;="&amp;cyFrom,dPer,"&lt;="&amp;cyTo,dAmt,"&gt;-1E+300",dFlt1,critFlt1,dFlt2,critFlt2,dFlt3,critFlt3))</f>
        <v/>
      </c>
      <c r="E886" t="str">
        <f>IF($B886="","",SUMIFS(dQty,dCust,$B886,dPer,"&gt;="&amp;pyFrom,dPer,"&lt;="&amp;pyTo,dQty,"&gt;-1E+300",dFlt1,critFlt1,dFlt2,critFlt2,dFlt3,critFlt3))</f>
        <v/>
      </c>
      <c r="F886" t="str">
        <f>IF($B886="","",SUMIFS(dQty,dCust,$B886,dPer,"&gt;="&amp;cyFrom,dPer,"&lt;="&amp;cyTo,dQty,"&gt;-1E+300",dFlt1,critFlt1,dFlt2,critFlt2,dFlt3,critFlt3))</f>
        <v/>
      </c>
      <c r="G886">
        <f>IF($B886="",0,IFERROR(IF(OR(C886&lt;&gt;0,D886&lt;&gt;0,E886&lt;&gt;0,F886&lt;&gt;0),1,0),1))</f>
        <v>0</v>
      </c>
      <c r="H886" t="str">
        <f>IF(OR(G886=0,E886=0),"",C886/E886)</f>
        <v/>
      </c>
      <c r="I886" t="str">
        <f>IF(OR(G886=0,F886=0),"",D886/F886)</f>
        <v/>
      </c>
      <c r="J886" t="str">
        <f>IF(OR(H886="",I886=""),"",IF(H886=0,"",I886/H886-1))</f>
        <v/>
      </c>
      <c r="K886" t="str">
        <f>IF($B886="","",IFERROR(IF(G886=0,-2E+300,CHOOSE(sortIdx,ROUND(D886,0),IF(J886="",-1E+300,ROUND(-J886,6)),IF(J886="",-1E+300,ROUND(J886,6)))),-1.5E+300))</f>
        <v/>
      </c>
      <c r="L886" t="str">
        <f>IF(K886="","",RANK(K886,$K$2:$K$3001,0)+COUNTIF($K$2:K886,K886)-1)</f>
        <v/>
      </c>
    </row>
    <row r="887">
      <c r="B887" t="str">
        <f>IFERROR(IF(A887="","","="&amp;SUBSTITUTE(SUBSTITUTE(SUBSTITUTE(A887,"~","~~"),"*","~*"),"?","~?")),"")</f>
        <v/>
      </c>
      <c r="C887" t="str">
        <f>IF($B887="","",SUMIFS(dAmt,dCust,$B887,dPer,"&gt;="&amp;pyFrom,dPer,"&lt;="&amp;pyTo,dAmt,"&gt;-1E+300",dFlt1,critFlt1,dFlt2,critFlt2,dFlt3,critFlt3))</f>
        <v/>
      </c>
      <c r="D887" t="str">
        <f>IF($B887="","",SUMIFS(dAmt,dCust,$B887,dPer,"&gt;="&amp;cyFrom,dPer,"&lt;="&amp;cyTo,dAmt,"&gt;-1E+300",dFlt1,critFlt1,dFlt2,critFlt2,dFlt3,critFlt3))</f>
        <v/>
      </c>
      <c r="E887" t="str">
        <f>IF($B887="","",SUMIFS(dQty,dCust,$B887,dPer,"&gt;="&amp;pyFrom,dPer,"&lt;="&amp;pyTo,dQty,"&gt;-1E+300",dFlt1,critFlt1,dFlt2,critFlt2,dFlt3,critFlt3))</f>
        <v/>
      </c>
      <c r="F887" t="str">
        <f>IF($B887="","",SUMIFS(dQty,dCust,$B887,dPer,"&gt;="&amp;cyFrom,dPer,"&lt;="&amp;cyTo,dQty,"&gt;-1E+300",dFlt1,critFlt1,dFlt2,critFlt2,dFlt3,critFlt3))</f>
        <v/>
      </c>
      <c r="G887">
        <f>IF($B887="",0,IFERROR(IF(OR(C887&lt;&gt;0,D887&lt;&gt;0,E887&lt;&gt;0,F887&lt;&gt;0),1,0),1))</f>
        <v>0</v>
      </c>
      <c r="H887" t="str">
        <f>IF(OR(G887=0,E887=0),"",C887/E887)</f>
        <v/>
      </c>
      <c r="I887" t="str">
        <f>IF(OR(G887=0,F887=0),"",D887/F887)</f>
        <v/>
      </c>
      <c r="J887" t="str">
        <f>IF(OR(H887="",I887=""),"",IF(H887=0,"",I887/H887-1))</f>
        <v/>
      </c>
      <c r="K887" t="str">
        <f>IF($B887="","",IFERROR(IF(G887=0,-2E+300,CHOOSE(sortIdx,ROUND(D887,0),IF(J887="",-1E+300,ROUND(-J887,6)),IF(J887="",-1E+300,ROUND(J887,6)))),-1.5E+300))</f>
        <v/>
      </c>
      <c r="L887" t="str">
        <f>IF(K887="","",RANK(K887,$K$2:$K$3001,0)+COUNTIF($K$2:K887,K887)-1)</f>
        <v/>
      </c>
    </row>
    <row r="888">
      <c r="B888" t="str">
        <f>IFERROR(IF(A888="","","="&amp;SUBSTITUTE(SUBSTITUTE(SUBSTITUTE(A888,"~","~~"),"*","~*"),"?","~?")),"")</f>
        <v/>
      </c>
      <c r="C888" t="str">
        <f>IF($B888="","",SUMIFS(dAmt,dCust,$B888,dPer,"&gt;="&amp;pyFrom,dPer,"&lt;="&amp;pyTo,dAmt,"&gt;-1E+300",dFlt1,critFlt1,dFlt2,critFlt2,dFlt3,critFlt3))</f>
        <v/>
      </c>
      <c r="D888" t="str">
        <f>IF($B888="","",SUMIFS(dAmt,dCust,$B888,dPer,"&gt;="&amp;cyFrom,dPer,"&lt;="&amp;cyTo,dAmt,"&gt;-1E+300",dFlt1,critFlt1,dFlt2,critFlt2,dFlt3,critFlt3))</f>
        <v/>
      </c>
      <c r="E888" t="str">
        <f>IF($B888="","",SUMIFS(dQty,dCust,$B888,dPer,"&gt;="&amp;pyFrom,dPer,"&lt;="&amp;pyTo,dQty,"&gt;-1E+300",dFlt1,critFlt1,dFlt2,critFlt2,dFlt3,critFlt3))</f>
        <v/>
      </c>
      <c r="F888" t="str">
        <f>IF($B888="","",SUMIFS(dQty,dCust,$B888,dPer,"&gt;="&amp;cyFrom,dPer,"&lt;="&amp;cyTo,dQty,"&gt;-1E+300",dFlt1,critFlt1,dFlt2,critFlt2,dFlt3,critFlt3))</f>
        <v/>
      </c>
      <c r="G888">
        <f>IF($B888="",0,IFERROR(IF(OR(C888&lt;&gt;0,D888&lt;&gt;0,E888&lt;&gt;0,F888&lt;&gt;0),1,0),1))</f>
        <v>0</v>
      </c>
      <c r="H888" t="str">
        <f>IF(OR(G888=0,E888=0),"",C888/E888)</f>
        <v/>
      </c>
      <c r="I888" t="str">
        <f>IF(OR(G888=0,F888=0),"",D888/F888)</f>
        <v/>
      </c>
      <c r="J888" t="str">
        <f>IF(OR(H888="",I888=""),"",IF(H888=0,"",I888/H888-1))</f>
        <v/>
      </c>
      <c r="K888" t="str">
        <f>IF($B888="","",IFERROR(IF(G888=0,-2E+300,CHOOSE(sortIdx,ROUND(D888,0),IF(J888="",-1E+300,ROUND(-J888,6)),IF(J888="",-1E+300,ROUND(J888,6)))),-1.5E+300))</f>
        <v/>
      </c>
      <c r="L888" t="str">
        <f>IF(K888="","",RANK(K888,$K$2:$K$3001,0)+COUNTIF($K$2:K888,K888)-1)</f>
        <v/>
      </c>
    </row>
    <row r="889">
      <c r="B889" t="str">
        <f>IFERROR(IF(A889="","","="&amp;SUBSTITUTE(SUBSTITUTE(SUBSTITUTE(A889,"~","~~"),"*","~*"),"?","~?")),"")</f>
        <v/>
      </c>
      <c r="C889" t="str">
        <f>IF($B889="","",SUMIFS(dAmt,dCust,$B889,dPer,"&gt;="&amp;pyFrom,dPer,"&lt;="&amp;pyTo,dAmt,"&gt;-1E+300",dFlt1,critFlt1,dFlt2,critFlt2,dFlt3,critFlt3))</f>
        <v/>
      </c>
      <c r="D889" t="str">
        <f>IF($B889="","",SUMIFS(dAmt,dCust,$B889,dPer,"&gt;="&amp;cyFrom,dPer,"&lt;="&amp;cyTo,dAmt,"&gt;-1E+300",dFlt1,critFlt1,dFlt2,critFlt2,dFlt3,critFlt3))</f>
        <v/>
      </c>
      <c r="E889" t="str">
        <f>IF($B889="","",SUMIFS(dQty,dCust,$B889,dPer,"&gt;="&amp;pyFrom,dPer,"&lt;="&amp;pyTo,dQty,"&gt;-1E+300",dFlt1,critFlt1,dFlt2,critFlt2,dFlt3,critFlt3))</f>
        <v/>
      </c>
      <c r="F889" t="str">
        <f>IF($B889="","",SUMIFS(dQty,dCust,$B889,dPer,"&gt;="&amp;cyFrom,dPer,"&lt;="&amp;cyTo,dQty,"&gt;-1E+300",dFlt1,critFlt1,dFlt2,critFlt2,dFlt3,critFlt3))</f>
        <v/>
      </c>
      <c r="G889">
        <f>IF($B889="",0,IFERROR(IF(OR(C889&lt;&gt;0,D889&lt;&gt;0,E889&lt;&gt;0,F889&lt;&gt;0),1,0),1))</f>
        <v>0</v>
      </c>
      <c r="H889" t="str">
        <f>IF(OR(G889=0,E889=0),"",C889/E889)</f>
        <v/>
      </c>
      <c r="I889" t="str">
        <f>IF(OR(G889=0,F889=0),"",D889/F889)</f>
        <v/>
      </c>
      <c r="J889" t="str">
        <f>IF(OR(H889="",I889=""),"",IF(H889=0,"",I889/H889-1))</f>
        <v/>
      </c>
      <c r="K889" t="str">
        <f>IF($B889="","",IFERROR(IF(G889=0,-2E+300,CHOOSE(sortIdx,ROUND(D889,0),IF(J889="",-1E+300,ROUND(-J889,6)),IF(J889="",-1E+300,ROUND(J889,6)))),-1.5E+300))</f>
        <v/>
      </c>
      <c r="L889" t="str">
        <f>IF(K889="","",RANK(K889,$K$2:$K$3001,0)+COUNTIF($K$2:K889,K889)-1)</f>
        <v/>
      </c>
    </row>
    <row r="890">
      <c r="B890" t="str">
        <f>IFERROR(IF(A890="","","="&amp;SUBSTITUTE(SUBSTITUTE(SUBSTITUTE(A890,"~","~~"),"*","~*"),"?","~?")),"")</f>
        <v/>
      </c>
      <c r="C890" t="str">
        <f>IF($B890="","",SUMIFS(dAmt,dCust,$B890,dPer,"&gt;="&amp;pyFrom,dPer,"&lt;="&amp;pyTo,dAmt,"&gt;-1E+300",dFlt1,critFlt1,dFlt2,critFlt2,dFlt3,critFlt3))</f>
        <v/>
      </c>
      <c r="D890" t="str">
        <f>IF($B890="","",SUMIFS(dAmt,dCust,$B890,dPer,"&gt;="&amp;cyFrom,dPer,"&lt;="&amp;cyTo,dAmt,"&gt;-1E+300",dFlt1,critFlt1,dFlt2,critFlt2,dFlt3,critFlt3))</f>
        <v/>
      </c>
      <c r="E890" t="str">
        <f>IF($B890="","",SUMIFS(dQty,dCust,$B890,dPer,"&gt;="&amp;pyFrom,dPer,"&lt;="&amp;pyTo,dQty,"&gt;-1E+300",dFlt1,critFlt1,dFlt2,critFlt2,dFlt3,critFlt3))</f>
        <v/>
      </c>
      <c r="F890" t="str">
        <f>IF($B890="","",SUMIFS(dQty,dCust,$B890,dPer,"&gt;="&amp;cyFrom,dPer,"&lt;="&amp;cyTo,dQty,"&gt;-1E+300",dFlt1,critFlt1,dFlt2,critFlt2,dFlt3,critFlt3))</f>
        <v/>
      </c>
      <c r="G890">
        <f>IF($B890="",0,IFERROR(IF(OR(C890&lt;&gt;0,D890&lt;&gt;0,E890&lt;&gt;0,F890&lt;&gt;0),1,0),1))</f>
        <v>0</v>
      </c>
      <c r="H890" t="str">
        <f>IF(OR(G890=0,E890=0),"",C890/E890)</f>
        <v/>
      </c>
      <c r="I890" t="str">
        <f>IF(OR(G890=0,F890=0),"",D890/F890)</f>
        <v/>
      </c>
      <c r="J890" t="str">
        <f>IF(OR(H890="",I890=""),"",IF(H890=0,"",I890/H890-1))</f>
        <v/>
      </c>
      <c r="K890" t="str">
        <f>IF($B890="","",IFERROR(IF(G890=0,-2E+300,CHOOSE(sortIdx,ROUND(D890,0),IF(J890="",-1E+300,ROUND(-J890,6)),IF(J890="",-1E+300,ROUND(J890,6)))),-1.5E+300))</f>
        <v/>
      </c>
      <c r="L890" t="str">
        <f>IF(K890="","",RANK(K890,$K$2:$K$3001,0)+COUNTIF($K$2:K890,K890)-1)</f>
        <v/>
      </c>
    </row>
    <row r="891">
      <c r="B891" t="str">
        <f>IFERROR(IF(A891="","","="&amp;SUBSTITUTE(SUBSTITUTE(SUBSTITUTE(A891,"~","~~"),"*","~*"),"?","~?")),"")</f>
        <v/>
      </c>
      <c r="C891" t="str">
        <f>IF($B891="","",SUMIFS(dAmt,dCust,$B891,dPer,"&gt;="&amp;pyFrom,dPer,"&lt;="&amp;pyTo,dAmt,"&gt;-1E+300",dFlt1,critFlt1,dFlt2,critFlt2,dFlt3,critFlt3))</f>
        <v/>
      </c>
      <c r="D891" t="str">
        <f>IF($B891="","",SUMIFS(dAmt,dCust,$B891,dPer,"&gt;="&amp;cyFrom,dPer,"&lt;="&amp;cyTo,dAmt,"&gt;-1E+300",dFlt1,critFlt1,dFlt2,critFlt2,dFlt3,critFlt3))</f>
        <v/>
      </c>
      <c r="E891" t="str">
        <f>IF($B891="","",SUMIFS(dQty,dCust,$B891,dPer,"&gt;="&amp;pyFrom,dPer,"&lt;="&amp;pyTo,dQty,"&gt;-1E+300",dFlt1,critFlt1,dFlt2,critFlt2,dFlt3,critFlt3))</f>
        <v/>
      </c>
      <c r="F891" t="str">
        <f>IF($B891="","",SUMIFS(dQty,dCust,$B891,dPer,"&gt;="&amp;cyFrom,dPer,"&lt;="&amp;cyTo,dQty,"&gt;-1E+300",dFlt1,critFlt1,dFlt2,critFlt2,dFlt3,critFlt3))</f>
        <v/>
      </c>
      <c r="G891">
        <f>IF($B891="",0,IFERROR(IF(OR(C891&lt;&gt;0,D891&lt;&gt;0,E891&lt;&gt;0,F891&lt;&gt;0),1,0),1))</f>
        <v>0</v>
      </c>
      <c r="H891" t="str">
        <f>IF(OR(G891=0,E891=0),"",C891/E891)</f>
        <v/>
      </c>
      <c r="I891" t="str">
        <f>IF(OR(G891=0,F891=0),"",D891/F891)</f>
        <v/>
      </c>
      <c r="J891" t="str">
        <f>IF(OR(H891="",I891=""),"",IF(H891=0,"",I891/H891-1))</f>
        <v/>
      </c>
      <c r="K891" t="str">
        <f>IF($B891="","",IFERROR(IF(G891=0,-2E+300,CHOOSE(sortIdx,ROUND(D891,0),IF(J891="",-1E+300,ROUND(-J891,6)),IF(J891="",-1E+300,ROUND(J891,6)))),-1.5E+300))</f>
        <v/>
      </c>
      <c r="L891" t="str">
        <f>IF(K891="","",RANK(K891,$K$2:$K$3001,0)+COUNTIF($K$2:K891,K891)-1)</f>
        <v/>
      </c>
    </row>
    <row r="892">
      <c r="B892" t="str">
        <f>IFERROR(IF(A892="","","="&amp;SUBSTITUTE(SUBSTITUTE(SUBSTITUTE(A892,"~","~~"),"*","~*"),"?","~?")),"")</f>
        <v/>
      </c>
      <c r="C892" t="str">
        <f>IF($B892="","",SUMIFS(dAmt,dCust,$B892,dPer,"&gt;="&amp;pyFrom,dPer,"&lt;="&amp;pyTo,dAmt,"&gt;-1E+300",dFlt1,critFlt1,dFlt2,critFlt2,dFlt3,critFlt3))</f>
        <v/>
      </c>
      <c r="D892" t="str">
        <f>IF($B892="","",SUMIFS(dAmt,dCust,$B892,dPer,"&gt;="&amp;cyFrom,dPer,"&lt;="&amp;cyTo,dAmt,"&gt;-1E+300",dFlt1,critFlt1,dFlt2,critFlt2,dFlt3,critFlt3))</f>
        <v/>
      </c>
      <c r="E892" t="str">
        <f>IF($B892="","",SUMIFS(dQty,dCust,$B892,dPer,"&gt;="&amp;pyFrom,dPer,"&lt;="&amp;pyTo,dQty,"&gt;-1E+300",dFlt1,critFlt1,dFlt2,critFlt2,dFlt3,critFlt3))</f>
        <v/>
      </c>
      <c r="F892" t="str">
        <f>IF($B892="","",SUMIFS(dQty,dCust,$B892,dPer,"&gt;="&amp;cyFrom,dPer,"&lt;="&amp;cyTo,dQty,"&gt;-1E+300",dFlt1,critFlt1,dFlt2,critFlt2,dFlt3,critFlt3))</f>
        <v/>
      </c>
      <c r="G892">
        <f>IF($B892="",0,IFERROR(IF(OR(C892&lt;&gt;0,D892&lt;&gt;0,E892&lt;&gt;0,F892&lt;&gt;0),1,0),1))</f>
        <v>0</v>
      </c>
      <c r="H892" t="str">
        <f>IF(OR(G892=0,E892=0),"",C892/E892)</f>
        <v/>
      </c>
      <c r="I892" t="str">
        <f>IF(OR(G892=0,F892=0),"",D892/F892)</f>
        <v/>
      </c>
      <c r="J892" t="str">
        <f>IF(OR(H892="",I892=""),"",IF(H892=0,"",I892/H892-1))</f>
        <v/>
      </c>
      <c r="K892" t="str">
        <f>IF($B892="","",IFERROR(IF(G892=0,-2E+300,CHOOSE(sortIdx,ROUND(D892,0),IF(J892="",-1E+300,ROUND(-J892,6)),IF(J892="",-1E+300,ROUND(J892,6)))),-1.5E+300))</f>
        <v/>
      </c>
      <c r="L892" t="str">
        <f>IF(K892="","",RANK(K892,$K$2:$K$3001,0)+COUNTIF($K$2:K892,K892)-1)</f>
        <v/>
      </c>
    </row>
    <row r="893">
      <c r="B893" t="str">
        <f>IFERROR(IF(A893="","","="&amp;SUBSTITUTE(SUBSTITUTE(SUBSTITUTE(A893,"~","~~"),"*","~*"),"?","~?")),"")</f>
        <v/>
      </c>
      <c r="C893" t="str">
        <f>IF($B893="","",SUMIFS(dAmt,dCust,$B893,dPer,"&gt;="&amp;pyFrom,dPer,"&lt;="&amp;pyTo,dAmt,"&gt;-1E+300",dFlt1,critFlt1,dFlt2,critFlt2,dFlt3,critFlt3))</f>
        <v/>
      </c>
      <c r="D893" t="str">
        <f>IF($B893="","",SUMIFS(dAmt,dCust,$B893,dPer,"&gt;="&amp;cyFrom,dPer,"&lt;="&amp;cyTo,dAmt,"&gt;-1E+300",dFlt1,critFlt1,dFlt2,critFlt2,dFlt3,critFlt3))</f>
        <v/>
      </c>
      <c r="E893" t="str">
        <f>IF($B893="","",SUMIFS(dQty,dCust,$B893,dPer,"&gt;="&amp;pyFrom,dPer,"&lt;="&amp;pyTo,dQty,"&gt;-1E+300",dFlt1,critFlt1,dFlt2,critFlt2,dFlt3,critFlt3))</f>
        <v/>
      </c>
      <c r="F893" t="str">
        <f>IF($B893="","",SUMIFS(dQty,dCust,$B893,dPer,"&gt;="&amp;cyFrom,dPer,"&lt;="&amp;cyTo,dQty,"&gt;-1E+300",dFlt1,critFlt1,dFlt2,critFlt2,dFlt3,critFlt3))</f>
        <v/>
      </c>
      <c r="G893">
        <f>IF($B893="",0,IFERROR(IF(OR(C893&lt;&gt;0,D893&lt;&gt;0,E893&lt;&gt;0,F893&lt;&gt;0),1,0),1))</f>
        <v>0</v>
      </c>
      <c r="H893" t="str">
        <f>IF(OR(G893=0,E893=0),"",C893/E893)</f>
        <v/>
      </c>
      <c r="I893" t="str">
        <f>IF(OR(G893=0,F893=0),"",D893/F893)</f>
        <v/>
      </c>
      <c r="J893" t="str">
        <f>IF(OR(H893="",I893=""),"",IF(H893=0,"",I893/H893-1))</f>
        <v/>
      </c>
      <c r="K893" t="str">
        <f>IF($B893="","",IFERROR(IF(G893=0,-2E+300,CHOOSE(sortIdx,ROUND(D893,0),IF(J893="",-1E+300,ROUND(-J893,6)),IF(J893="",-1E+300,ROUND(J893,6)))),-1.5E+300))</f>
        <v/>
      </c>
      <c r="L893" t="str">
        <f>IF(K893="","",RANK(K893,$K$2:$K$3001,0)+COUNTIF($K$2:K893,K893)-1)</f>
        <v/>
      </c>
    </row>
    <row r="894">
      <c r="B894" t="str">
        <f>IFERROR(IF(A894="","","="&amp;SUBSTITUTE(SUBSTITUTE(SUBSTITUTE(A894,"~","~~"),"*","~*"),"?","~?")),"")</f>
        <v/>
      </c>
      <c r="C894" t="str">
        <f>IF($B894="","",SUMIFS(dAmt,dCust,$B894,dPer,"&gt;="&amp;pyFrom,dPer,"&lt;="&amp;pyTo,dAmt,"&gt;-1E+300",dFlt1,critFlt1,dFlt2,critFlt2,dFlt3,critFlt3))</f>
        <v/>
      </c>
      <c r="D894" t="str">
        <f>IF($B894="","",SUMIFS(dAmt,dCust,$B894,dPer,"&gt;="&amp;cyFrom,dPer,"&lt;="&amp;cyTo,dAmt,"&gt;-1E+300",dFlt1,critFlt1,dFlt2,critFlt2,dFlt3,critFlt3))</f>
        <v/>
      </c>
      <c r="E894" t="str">
        <f>IF($B894="","",SUMIFS(dQty,dCust,$B894,dPer,"&gt;="&amp;pyFrom,dPer,"&lt;="&amp;pyTo,dQty,"&gt;-1E+300",dFlt1,critFlt1,dFlt2,critFlt2,dFlt3,critFlt3))</f>
        <v/>
      </c>
      <c r="F894" t="str">
        <f>IF($B894="","",SUMIFS(dQty,dCust,$B894,dPer,"&gt;="&amp;cyFrom,dPer,"&lt;="&amp;cyTo,dQty,"&gt;-1E+300",dFlt1,critFlt1,dFlt2,critFlt2,dFlt3,critFlt3))</f>
        <v/>
      </c>
      <c r="G894">
        <f>IF($B894="",0,IFERROR(IF(OR(C894&lt;&gt;0,D894&lt;&gt;0,E894&lt;&gt;0,F894&lt;&gt;0),1,0),1))</f>
        <v>0</v>
      </c>
      <c r="H894" t="str">
        <f>IF(OR(G894=0,E894=0),"",C894/E894)</f>
        <v/>
      </c>
      <c r="I894" t="str">
        <f>IF(OR(G894=0,F894=0),"",D894/F894)</f>
        <v/>
      </c>
      <c r="J894" t="str">
        <f>IF(OR(H894="",I894=""),"",IF(H894=0,"",I894/H894-1))</f>
        <v/>
      </c>
      <c r="K894" t="str">
        <f>IF($B894="","",IFERROR(IF(G894=0,-2E+300,CHOOSE(sortIdx,ROUND(D894,0),IF(J894="",-1E+300,ROUND(-J894,6)),IF(J894="",-1E+300,ROUND(J894,6)))),-1.5E+300))</f>
        <v/>
      </c>
      <c r="L894" t="str">
        <f>IF(K894="","",RANK(K894,$K$2:$K$3001,0)+COUNTIF($K$2:K894,K894)-1)</f>
        <v/>
      </c>
    </row>
    <row r="895">
      <c r="B895" t="str">
        <f>IFERROR(IF(A895="","","="&amp;SUBSTITUTE(SUBSTITUTE(SUBSTITUTE(A895,"~","~~"),"*","~*"),"?","~?")),"")</f>
        <v/>
      </c>
      <c r="C895" t="str">
        <f>IF($B895="","",SUMIFS(dAmt,dCust,$B895,dPer,"&gt;="&amp;pyFrom,dPer,"&lt;="&amp;pyTo,dAmt,"&gt;-1E+300",dFlt1,critFlt1,dFlt2,critFlt2,dFlt3,critFlt3))</f>
        <v/>
      </c>
      <c r="D895" t="str">
        <f>IF($B895="","",SUMIFS(dAmt,dCust,$B895,dPer,"&gt;="&amp;cyFrom,dPer,"&lt;="&amp;cyTo,dAmt,"&gt;-1E+300",dFlt1,critFlt1,dFlt2,critFlt2,dFlt3,critFlt3))</f>
        <v/>
      </c>
      <c r="E895" t="str">
        <f>IF($B895="","",SUMIFS(dQty,dCust,$B895,dPer,"&gt;="&amp;pyFrom,dPer,"&lt;="&amp;pyTo,dQty,"&gt;-1E+300",dFlt1,critFlt1,dFlt2,critFlt2,dFlt3,critFlt3))</f>
        <v/>
      </c>
      <c r="F895" t="str">
        <f>IF($B895="","",SUMIFS(dQty,dCust,$B895,dPer,"&gt;="&amp;cyFrom,dPer,"&lt;="&amp;cyTo,dQty,"&gt;-1E+300",dFlt1,critFlt1,dFlt2,critFlt2,dFlt3,critFlt3))</f>
        <v/>
      </c>
      <c r="G895">
        <f>IF($B895="",0,IFERROR(IF(OR(C895&lt;&gt;0,D895&lt;&gt;0,E895&lt;&gt;0,F895&lt;&gt;0),1,0),1))</f>
        <v>0</v>
      </c>
      <c r="H895" t="str">
        <f>IF(OR(G895=0,E895=0),"",C895/E895)</f>
        <v/>
      </c>
      <c r="I895" t="str">
        <f>IF(OR(G895=0,F895=0),"",D895/F895)</f>
        <v/>
      </c>
      <c r="J895" t="str">
        <f>IF(OR(H895="",I895=""),"",IF(H895=0,"",I895/H895-1))</f>
        <v/>
      </c>
      <c r="K895" t="str">
        <f>IF($B895="","",IFERROR(IF(G895=0,-2E+300,CHOOSE(sortIdx,ROUND(D895,0),IF(J895="",-1E+300,ROUND(-J895,6)),IF(J895="",-1E+300,ROUND(J895,6)))),-1.5E+300))</f>
        <v/>
      </c>
      <c r="L895" t="str">
        <f>IF(K895="","",RANK(K895,$K$2:$K$3001,0)+COUNTIF($K$2:K895,K895)-1)</f>
        <v/>
      </c>
    </row>
    <row r="896">
      <c r="B896" t="str">
        <f>IFERROR(IF(A896="","","="&amp;SUBSTITUTE(SUBSTITUTE(SUBSTITUTE(A896,"~","~~"),"*","~*"),"?","~?")),"")</f>
        <v/>
      </c>
      <c r="C896" t="str">
        <f>IF($B896="","",SUMIFS(dAmt,dCust,$B896,dPer,"&gt;="&amp;pyFrom,dPer,"&lt;="&amp;pyTo,dAmt,"&gt;-1E+300",dFlt1,critFlt1,dFlt2,critFlt2,dFlt3,critFlt3))</f>
        <v/>
      </c>
      <c r="D896" t="str">
        <f>IF($B896="","",SUMIFS(dAmt,dCust,$B896,dPer,"&gt;="&amp;cyFrom,dPer,"&lt;="&amp;cyTo,dAmt,"&gt;-1E+300",dFlt1,critFlt1,dFlt2,critFlt2,dFlt3,critFlt3))</f>
        <v/>
      </c>
      <c r="E896" t="str">
        <f>IF($B896="","",SUMIFS(dQty,dCust,$B896,dPer,"&gt;="&amp;pyFrom,dPer,"&lt;="&amp;pyTo,dQty,"&gt;-1E+300",dFlt1,critFlt1,dFlt2,critFlt2,dFlt3,critFlt3))</f>
        <v/>
      </c>
      <c r="F896" t="str">
        <f>IF($B896="","",SUMIFS(dQty,dCust,$B896,dPer,"&gt;="&amp;cyFrom,dPer,"&lt;="&amp;cyTo,dQty,"&gt;-1E+300",dFlt1,critFlt1,dFlt2,critFlt2,dFlt3,critFlt3))</f>
        <v/>
      </c>
      <c r="G896">
        <f>IF($B896="",0,IFERROR(IF(OR(C896&lt;&gt;0,D896&lt;&gt;0,E896&lt;&gt;0,F896&lt;&gt;0),1,0),1))</f>
        <v>0</v>
      </c>
      <c r="H896" t="str">
        <f>IF(OR(G896=0,E896=0),"",C896/E896)</f>
        <v/>
      </c>
      <c r="I896" t="str">
        <f>IF(OR(G896=0,F896=0),"",D896/F896)</f>
        <v/>
      </c>
      <c r="J896" t="str">
        <f>IF(OR(H896="",I896=""),"",IF(H896=0,"",I896/H896-1))</f>
        <v/>
      </c>
      <c r="K896" t="str">
        <f>IF($B896="","",IFERROR(IF(G896=0,-2E+300,CHOOSE(sortIdx,ROUND(D896,0),IF(J896="",-1E+300,ROUND(-J896,6)),IF(J896="",-1E+300,ROUND(J896,6)))),-1.5E+300))</f>
        <v/>
      </c>
      <c r="L896" t="str">
        <f>IF(K896="","",RANK(K896,$K$2:$K$3001,0)+COUNTIF($K$2:K896,K896)-1)</f>
        <v/>
      </c>
    </row>
    <row r="897">
      <c r="B897" t="str">
        <f>IFERROR(IF(A897="","","="&amp;SUBSTITUTE(SUBSTITUTE(SUBSTITUTE(A897,"~","~~"),"*","~*"),"?","~?")),"")</f>
        <v/>
      </c>
      <c r="C897" t="str">
        <f>IF($B897="","",SUMIFS(dAmt,dCust,$B897,dPer,"&gt;="&amp;pyFrom,dPer,"&lt;="&amp;pyTo,dAmt,"&gt;-1E+300",dFlt1,critFlt1,dFlt2,critFlt2,dFlt3,critFlt3))</f>
        <v/>
      </c>
      <c r="D897" t="str">
        <f>IF($B897="","",SUMIFS(dAmt,dCust,$B897,dPer,"&gt;="&amp;cyFrom,dPer,"&lt;="&amp;cyTo,dAmt,"&gt;-1E+300",dFlt1,critFlt1,dFlt2,critFlt2,dFlt3,critFlt3))</f>
        <v/>
      </c>
      <c r="E897" t="str">
        <f>IF($B897="","",SUMIFS(dQty,dCust,$B897,dPer,"&gt;="&amp;pyFrom,dPer,"&lt;="&amp;pyTo,dQty,"&gt;-1E+300",dFlt1,critFlt1,dFlt2,critFlt2,dFlt3,critFlt3))</f>
        <v/>
      </c>
      <c r="F897" t="str">
        <f>IF($B897="","",SUMIFS(dQty,dCust,$B897,dPer,"&gt;="&amp;cyFrom,dPer,"&lt;="&amp;cyTo,dQty,"&gt;-1E+300",dFlt1,critFlt1,dFlt2,critFlt2,dFlt3,critFlt3))</f>
        <v/>
      </c>
      <c r="G897">
        <f>IF($B897="",0,IFERROR(IF(OR(C897&lt;&gt;0,D897&lt;&gt;0,E897&lt;&gt;0,F897&lt;&gt;0),1,0),1))</f>
        <v>0</v>
      </c>
      <c r="H897" t="str">
        <f>IF(OR(G897=0,E897=0),"",C897/E897)</f>
        <v/>
      </c>
      <c r="I897" t="str">
        <f>IF(OR(G897=0,F897=0),"",D897/F897)</f>
        <v/>
      </c>
      <c r="J897" t="str">
        <f>IF(OR(H897="",I897=""),"",IF(H897=0,"",I897/H897-1))</f>
        <v/>
      </c>
      <c r="K897" t="str">
        <f>IF($B897="","",IFERROR(IF(G897=0,-2E+300,CHOOSE(sortIdx,ROUND(D897,0),IF(J897="",-1E+300,ROUND(-J897,6)),IF(J897="",-1E+300,ROUND(J897,6)))),-1.5E+300))</f>
        <v/>
      </c>
      <c r="L897" t="str">
        <f>IF(K897="","",RANK(K897,$K$2:$K$3001,0)+COUNTIF($K$2:K897,K897)-1)</f>
        <v/>
      </c>
    </row>
    <row r="898">
      <c r="B898" t="str">
        <f>IFERROR(IF(A898="","","="&amp;SUBSTITUTE(SUBSTITUTE(SUBSTITUTE(A898,"~","~~"),"*","~*"),"?","~?")),"")</f>
        <v/>
      </c>
      <c r="C898" t="str">
        <f>IF($B898="","",SUMIFS(dAmt,dCust,$B898,dPer,"&gt;="&amp;pyFrom,dPer,"&lt;="&amp;pyTo,dAmt,"&gt;-1E+300",dFlt1,critFlt1,dFlt2,critFlt2,dFlt3,critFlt3))</f>
        <v/>
      </c>
      <c r="D898" t="str">
        <f>IF($B898="","",SUMIFS(dAmt,dCust,$B898,dPer,"&gt;="&amp;cyFrom,dPer,"&lt;="&amp;cyTo,dAmt,"&gt;-1E+300",dFlt1,critFlt1,dFlt2,critFlt2,dFlt3,critFlt3))</f>
        <v/>
      </c>
      <c r="E898" t="str">
        <f>IF($B898="","",SUMIFS(dQty,dCust,$B898,dPer,"&gt;="&amp;pyFrom,dPer,"&lt;="&amp;pyTo,dQty,"&gt;-1E+300",dFlt1,critFlt1,dFlt2,critFlt2,dFlt3,critFlt3))</f>
        <v/>
      </c>
      <c r="F898" t="str">
        <f>IF($B898="","",SUMIFS(dQty,dCust,$B898,dPer,"&gt;="&amp;cyFrom,dPer,"&lt;="&amp;cyTo,dQty,"&gt;-1E+300",dFlt1,critFlt1,dFlt2,critFlt2,dFlt3,critFlt3))</f>
        <v/>
      </c>
      <c r="G898">
        <f>IF($B898="",0,IFERROR(IF(OR(C898&lt;&gt;0,D898&lt;&gt;0,E898&lt;&gt;0,F898&lt;&gt;0),1,0),1))</f>
        <v>0</v>
      </c>
      <c r="H898" t="str">
        <f>IF(OR(G898=0,E898=0),"",C898/E898)</f>
        <v/>
      </c>
      <c r="I898" t="str">
        <f>IF(OR(G898=0,F898=0),"",D898/F898)</f>
        <v/>
      </c>
      <c r="J898" t="str">
        <f>IF(OR(H898="",I898=""),"",IF(H898=0,"",I898/H898-1))</f>
        <v/>
      </c>
      <c r="K898" t="str">
        <f>IF($B898="","",IFERROR(IF(G898=0,-2E+300,CHOOSE(sortIdx,ROUND(D898,0),IF(J898="",-1E+300,ROUND(-J898,6)),IF(J898="",-1E+300,ROUND(J898,6)))),-1.5E+300))</f>
        <v/>
      </c>
      <c r="L898" t="str">
        <f>IF(K898="","",RANK(K898,$K$2:$K$3001,0)+COUNTIF($K$2:K898,K898)-1)</f>
        <v/>
      </c>
    </row>
    <row r="899">
      <c r="B899" t="str">
        <f>IFERROR(IF(A899="","","="&amp;SUBSTITUTE(SUBSTITUTE(SUBSTITUTE(A899,"~","~~"),"*","~*"),"?","~?")),"")</f>
        <v/>
      </c>
      <c r="C899" t="str">
        <f>IF($B899="","",SUMIFS(dAmt,dCust,$B899,dPer,"&gt;="&amp;pyFrom,dPer,"&lt;="&amp;pyTo,dAmt,"&gt;-1E+300",dFlt1,critFlt1,dFlt2,critFlt2,dFlt3,critFlt3))</f>
        <v/>
      </c>
      <c r="D899" t="str">
        <f>IF($B899="","",SUMIFS(dAmt,dCust,$B899,dPer,"&gt;="&amp;cyFrom,dPer,"&lt;="&amp;cyTo,dAmt,"&gt;-1E+300",dFlt1,critFlt1,dFlt2,critFlt2,dFlt3,critFlt3))</f>
        <v/>
      </c>
      <c r="E899" t="str">
        <f>IF($B899="","",SUMIFS(dQty,dCust,$B899,dPer,"&gt;="&amp;pyFrom,dPer,"&lt;="&amp;pyTo,dQty,"&gt;-1E+300",dFlt1,critFlt1,dFlt2,critFlt2,dFlt3,critFlt3))</f>
        <v/>
      </c>
      <c r="F899" t="str">
        <f>IF($B899="","",SUMIFS(dQty,dCust,$B899,dPer,"&gt;="&amp;cyFrom,dPer,"&lt;="&amp;cyTo,dQty,"&gt;-1E+300",dFlt1,critFlt1,dFlt2,critFlt2,dFlt3,critFlt3))</f>
        <v/>
      </c>
      <c r="G899">
        <f>IF($B899="",0,IFERROR(IF(OR(C899&lt;&gt;0,D899&lt;&gt;0,E899&lt;&gt;0,F899&lt;&gt;0),1,0),1))</f>
        <v>0</v>
      </c>
      <c r="H899" t="str">
        <f>IF(OR(G899=0,E899=0),"",C899/E899)</f>
        <v/>
      </c>
      <c r="I899" t="str">
        <f>IF(OR(G899=0,F899=0),"",D899/F899)</f>
        <v/>
      </c>
      <c r="J899" t="str">
        <f>IF(OR(H899="",I899=""),"",IF(H899=0,"",I899/H899-1))</f>
        <v/>
      </c>
      <c r="K899" t="str">
        <f>IF($B899="","",IFERROR(IF(G899=0,-2E+300,CHOOSE(sortIdx,ROUND(D899,0),IF(J899="",-1E+300,ROUND(-J899,6)),IF(J899="",-1E+300,ROUND(J899,6)))),-1.5E+300))</f>
        <v/>
      </c>
      <c r="L899" t="str">
        <f>IF(K899="","",RANK(K899,$K$2:$K$3001,0)+COUNTIF($K$2:K899,K899)-1)</f>
        <v/>
      </c>
    </row>
    <row r="900">
      <c r="B900" t="str">
        <f>IFERROR(IF(A900="","","="&amp;SUBSTITUTE(SUBSTITUTE(SUBSTITUTE(A900,"~","~~"),"*","~*"),"?","~?")),"")</f>
        <v/>
      </c>
      <c r="C900" t="str">
        <f>IF($B900="","",SUMIFS(dAmt,dCust,$B900,dPer,"&gt;="&amp;pyFrom,dPer,"&lt;="&amp;pyTo,dAmt,"&gt;-1E+300",dFlt1,critFlt1,dFlt2,critFlt2,dFlt3,critFlt3))</f>
        <v/>
      </c>
      <c r="D900" t="str">
        <f>IF($B900="","",SUMIFS(dAmt,dCust,$B900,dPer,"&gt;="&amp;cyFrom,dPer,"&lt;="&amp;cyTo,dAmt,"&gt;-1E+300",dFlt1,critFlt1,dFlt2,critFlt2,dFlt3,critFlt3))</f>
        <v/>
      </c>
      <c r="E900" t="str">
        <f>IF($B900="","",SUMIFS(dQty,dCust,$B900,dPer,"&gt;="&amp;pyFrom,dPer,"&lt;="&amp;pyTo,dQty,"&gt;-1E+300",dFlt1,critFlt1,dFlt2,critFlt2,dFlt3,critFlt3))</f>
        <v/>
      </c>
      <c r="F900" t="str">
        <f>IF($B900="","",SUMIFS(dQty,dCust,$B900,dPer,"&gt;="&amp;cyFrom,dPer,"&lt;="&amp;cyTo,dQty,"&gt;-1E+300",dFlt1,critFlt1,dFlt2,critFlt2,dFlt3,critFlt3))</f>
        <v/>
      </c>
      <c r="G900">
        <f>IF($B900="",0,IFERROR(IF(OR(C900&lt;&gt;0,D900&lt;&gt;0,E900&lt;&gt;0,F900&lt;&gt;0),1,0),1))</f>
        <v>0</v>
      </c>
      <c r="H900" t="str">
        <f>IF(OR(G900=0,E900=0),"",C900/E900)</f>
        <v/>
      </c>
      <c r="I900" t="str">
        <f>IF(OR(G900=0,F900=0),"",D900/F900)</f>
        <v/>
      </c>
      <c r="J900" t="str">
        <f>IF(OR(H900="",I900=""),"",IF(H900=0,"",I900/H900-1))</f>
        <v/>
      </c>
      <c r="K900" t="str">
        <f>IF($B900="","",IFERROR(IF(G900=0,-2E+300,CHOOSE(sortIdx,ROUND(D900,0),IF(J900="",-1E+300,ROUND(-J900,6)),IF(J900="",-1E+300,ROUND(J900,6)))),-1.5E+300))</f>
        <v/>
      </c>
      <c r="L900" t="str">
        <f>IF(K900="","",RANK(K900,$K$2:$K$3001,0)+COUNTIF($K$2:K900,K900)-1)</f>
        <v/>
      </c>
    </row>
    <row r="901">
      <c r="B901" t="str">
        <f>IFERROR(IF(A901="","","="&amp;SUBSTITUTE(SUBSTITUTE(SUBSTITUTE(A901,"~","~~"),"*","~*"),"?","~?")),"")</f>
        <v/>
      </c>
      <c r="C901" t="str">
        <f>IF($B901="","",SUMIFS(dAmt,dCust,$B901,dPer,"&gt;="&amp;pyFrom,dPer,"&lt;="&amp;pyTo,dAmt,"&gt;-1E+300",dFlt1,critFlt1,dFlt2,critFlt2,dFlt3,critFlt3))</f>
        <v/>
      </c>
      <c r="D901" t="str">
        <f>IF($B901="","",SUMIFS(dAmt,dCust,$B901,dPer,"&gt;="&amp;cyFrom,dPer,"&lt;="&amp;cyTo,dAmt,"&gt;-1E+300",dFlt1,critFlt1,dFlt2,critFlt2,dFlt3,critFlt3))</f>
        <v/>
      </c>
      <c r="E901" t="str">
        <f>IF($B901="","",SUMIFS(dQty,dCust,$B901,dPer,"&gt;="&amp;pyFrom,dPer,"&lt;="&amp;pyTo,dQty,"&gt;-1E+300",dFlt1,critFlt1,dFlt2,critFlt2,dFlt3,critFlt3))</f>
        <v/>
      </c>
      <c r="F901" t="str">
        <f>IF($B901="","",SUMIFS(dQty,dCust,$B901,dPer,"&gt;="&amp;cyFrom,dPer,"&lt;="&amp;cyTo,dQty,"&gt;-1E+300",dFlt1,critFlt1,dFlt2,critFlt2,dFlt3,critFlt3))</f>
        <v/>
      </c>
      <c r="G901">
        <f>IF($B901="",0,IFERROR(IF(OR(C901&lt;&gt;0,D901&lt;&gt;0,E901&lt;&gt;0,F901&lt;&gt;0),1,0),1))</f>
        <v>0</v>
      </c>
      <c r="H901" t="str">
        <f>IF(OR(G901=0,E901=0),"",C901/E901)</f>
        <v/>
      </c>
      <c r="I901" t="str">
        <f>IF(OR(G901=0,F901=0),"",D901/F901)</f>
        <v/>
      </c>
      <c r="J901" t="str">
        <f>IF(OR(H901="",I901=""),"",IF(H901=0,"",I901/H901-1))</f>
        <v/>
      </c>
      <c r="K901" t="str">
        <f>IF($B901="","",IFERROR(IF(G901=0,-2E+300,CHOOSE(sortIdx,ROUND(D901,0),IF(J901="",-1E+300,ROUND(-J901,6)),IF(J901="",-1E+300,ROUND(J901,6)))),-1.5E+300))</f>
        <v/>
      </c>
      <c r="L901" t="str">
        <f>IF(K901="","",RANK(K901,$K$2:$K$3001,0)+COUNTIF($K$2:K901,K901)-1)</f>
        <v/>
      </c>
    </row>
    <row r="902">
      <c r="B902" t="str">
        <f>IFERROR(IF(A902="","","="&amp;SUBSTITUTE(SUBSTITUTE(SUBSTITUTE(A902,"~","~~"),"*","~*"),"?","~?")),"")</f>
        <v/>
      </c>
      <c r="C902" t="str">
        <f>IF($B902="","",SUMIFS(dAmt,dCust,$B902,dPer,"&gt;="&amp;pyFrom,dPer,"&lt;="&amp;pyTo,dAmt,"&gt;-1E+300",dFlt1,critFlt1,dFlt2,critFlt2,dFlt3,critFlt3))</f>
        <v/>
      </c>
      <c r="D902" t="str">
        <f>IF($B902="","",SUMIFS(dAmt,dCust,$B902,dPer,"&gt;="&amp;cyFrom,dPer,"&lt;="&amp;cyTo,dAmt,"&gt;-1E+300",dFlt1,critFlt1,dFlt2,critFlt2,dFlt3,critFlt3))</f>
        <v/>
      </c>
      <c r="E902" t="str">
        <f>IF($B902="","",SUMIFS(dQty,dCust,$B902,dPer,"&gt;="&amp;pyFrom,dPer,"&lt;="&amp;pyTo,dQty,"&gt;-1E+300",dFlt1,critFlt1,dFlt2,critFlt2,dFlt3,critFlt3))</f>
        <v/>
      </c>
      <c r="F902" t="str">
        <f>IF($B902="","",SUMIFS(dQty,dCust,$B902,dPer,"&gt;="&amp;cyFrom,dPer,"&lt;="&amp;cyTo,dQty,"&gt;-1E+300",dFlt1,critFlt1,dFlt2,critFlt2,dFlt3,critFlt3))</f>
        <v/>
      </c>
      <c r="G902">
        <f>IF($B902="",0,IFERROR(IF(OR(C902&lt;&gt;0,D902&lt;&gt;0,E902&lt;&gt;0,F902&lt;&gt;0),1,0),1))</f>
        <v>0</v>
      </c>
      <c r="H902" t="str">
        <f>IF(OR(G902=0,E902=0),"",C902/E902)</f>
        <v/>
      </c>
      <c r="I902" t="str">
        <f>IF(OR(G902=0,F902=0),"",D902/F902)</f>
        <v/>
      </c>
      <c r="J902" t="str">
        <f>IF(OR(H902="",I902=""),"",IF(H902=0,"",I902/H902-1))</f>
        <v/>
      </c>
      <c r="K902" t="str">
        <f>IF($B902="","",IFERROR(IF(G902=0,-2E+300,CHOOSE(sortIdx,ROUND(D902,0),IF(J902="",-1E+300,ROUND(-J902,6)),IF(J902="",-1E+300,ROUND(J902,6)))),-1.5E+300))</f>
        <v/>
      </c>
      <c r="L902" t="str">
        <f>IF(K902="","",RANK(K902,$K$2:$K$3001,0)+COUNTIF($K$2:K902,K902)-1)</f>
        <v/>
      </c>
    </row>
    <row r="903">
      <c r="B903" t="str">
        <f>IFERROR(IF(A903="","","="&amp;SUBSTITUTE(SUBSTITUTE(SUBSTITUTE(A903,"~","~~"),"*","~*"),"?","~?")),"")</f>
        <v/>
      </c>
      <c r="C903" t="str">
        <f>IF($B903="","",SUMIFS(dAmt,dCust,$B903,dPer,"&gt;="&amp;pyFrom,dPer,"&lt;="&amp;pyTo,dAmt,"&gt;-1E+300",dFlt1,critFlt1,dFlt2,critFlt2,dFlt3,critFlt3))</f>
        <v/>
      </c>
      <c r="D903" t="str">
        <f>IF($B903="","",SUMIFS(dAmt,dCust,$B903,dPer,"&gt;="&amp;cyFrom,dPer,"&lt;="&amp;cyTo,dAmt,"&gt;-1E+300",dFlt1,critFlt1,dFlt2,critFlt2,dFlt3,critFlt3))</f>
        <v/>
      </c>
      <c r="E903" t="str">
        <f>IF($B903="","",SUMIFS(dQty,dCust,$B903,dPer,"&gt;="&amp;pyFrom,dPer,"&lt;="&amp;pyTo,dQty,"&gt;-1E+300",dFlt1,critFlt1,dFlt2,critFlt2,dFlt3,critFlt3))</f>
        <v/>
      </c>
      <c r="F903" t="str">
        <f>IF($B903="","",SUMIFS(dQty,dCust,$B903,dPer,"&gt;="&amp;cyFrom,dPer,"&lt;="&amp;cyTo,dQty,"&gt;-1E+300",dFlt1,critFlt1,dFlt2,critFlt2,dFlt3,critFlt3))</f>
        <v/>
      </c>
      <c r="G903">
        <f>IF($B903="",0,IFERROR(IF(OR(C903&lt;&gt;0,D903&lt;&gt;0,E903&lt;&gt;0,F903&lt;&gt;0),1,0),1))</f>
        <v>0</v>
      </c>
      <c r="H903" t="str">
        <f>IF(OR(G903=0,E903=0),"",C903/E903)</f>
        <v/>
      </c>
      <c r="I903" t="str">
        <f>IF(OR(G903=0,F903=0),"",D903/F903)</f>
        <v/>
      </c>
      <c r="J903" t="str">
        <f>IF(OR(H903="",I903=""),"",IF(H903=0,"",I903/H903-1))</f>
        <v/>
      </c>
      <c r="K903" t="str">
        <f>IF($B903="","",IFERROR(IF(G903=0,-2E+300,CHOOSE(sortIdx,ROUND(D903,0),IF(J903="",-1E+300,ROUND(-J903,6)),IF(J903="",-1E+300,ROUND(J903,6)))),-1.5E+300))</f>
        <v/>
      </c>
      <c r="L903" t="str">
        <f>IF(K903="","",RANK(K903,$K$2:$K$3001,0)+COUNTIF($K$2:K903,K903)-1)</f>
        <v/>
      </c>
    </row>
    <row r="904">
      <c r="B904" t="str">
        <f>IFERROR(IF(A904="","","="&amp;SUBSTITUTE(SUBSTITUTE(SUBSTITUTE(A904,"~","~~"),"*","~*"),"?","~?")),"")</f>
        <v/>
      </c>
      <c r="C904" t="str">
        <f>IF($B904="","",SUMIFS(dAmt,dCust,$B904,dPer,"&gt;="&amp;pyFrom,dPer,"&lt;="&amp;pyTo,dAmt,"&gt;-1E+300",dFlt1,critFlt1,dFlt2,critFlt2,dFlt3,critFlt3))</f>
        <v/>
      </c>
      <c r="D904" t="str">
        <f>IF($B904="","",SUMIFS(dAmt,dCust,$B904,dPer,"&gt;="&amp;cyFrom,dPer,"&lt;="&amp;cyTo,dAmt,"&gt;-1E+300",dFlt1,critFlt1,dFlt2,critFlt2,dFlt3,critFlt3))</f>
        <v/>
      </c>
      <c r="E904" t="str">
        <f>IF($B904="","",SUMIFS(dQty,dCust,$B904,dPer,"&gt;="&amp;pyFrom,dPer,"&lt;="&amp;pyTo,dQty,"&gt;-1E+300",dFlt1,critFlt1,dFlt2,critFlt2,dFlt3,critFlt3))</f>
        <v/>
      </c>
      <c r="F904" t="str">
        <f>IF($B904="","",SUMIFS(dQty,dCust,$B904,dPer,"&gt;="&amp;cyFrom,dPer,"&lt;="&amp;cyTo,dQty,"&gt;-1E+300",dFlt1,critFlt1,dFlt2,critFlt2,dFlt3,critFlt3))</f>
        <v/>
      </c>
      <c r="G904">
        <f>IF($B904="",0,IFERROR(IF(OR(C904&lt;&gt;0,D904&lt;&gt;0,E904&lt;&gt;0,F904&lt;&gt;0),1,0),1))</f>
        <v>0</v>
      </c>
      <c r="H904" t="str">
        <f>IF(OR(G904=0,E904=0),"",C904/E904)</f>
        <v/>
      </c>
      <c r="I904" t="str">
        <f>IF(OR(G904=0,F904=0),"",D904/F904)</f>
        <v/>
      </c>
      <c r="J904" t="str">
        <f>IF(OR(H904="",I904=""),"",IF(H904=0,"",I904/H904-1))</f>
        <v/>
      </c>
      <c r="K904" t="str">
        <f>IF($B904="","",IFERROR(IF(G904=0,-2E+300,CHOOSE(sortIdx,ROUND(D904,0),IF(J904="",-1E+300,ROUND(-J904,6)),IF(J904="",-1E+300,ROUND(J904,6)))),-1.5E+300))</f>
        <v/>
      </c>
      <c r="L904" t="str">
        <f>IF(K904="","",RANK(K904,$K$2:$K$3001,0)+COUNTIF($K$2:K904,K904)-1)</f>
        <v/>
      </c>
    </row>
    <row r="905">
      <c r="B905" t="str">
        <f>IFERROR(IF(A905="","","="&amp;SUBSTITUTE(SUBSTITUTE(SUBSTITUTE(A905,"~","~~"),"*","~*"),"?","~?")),"")</f>
        <v/>
      </c>
      <c r="C905" t="str">
        <f>IF($B905="","",SUMIFS(dAmt,dCust,$B905,dPer,"&gt;="&amp;pyFrom,dPer,"&lt;="&amp;pyTo,dAmt,"&gt;-1E+300",dFlt1,critFlt1,dFlt2,critFlt2,dFlt3,critFlt3))</f>
        <v/>
      </c>
      <c r="D905" t="str">
        <f>IF($B905="","",SUMIFS(dAmt,dCust,$B905,dPer,"&gt;="&amp;cyFrom,dPer,"&lt;="&amp;cyTo,dAmt,"&gt;-1E+300",dFlt1,critFlt1,dFlt2,critFlt2,dFlt3,critFlt3))</f>
        <v/>
      </c>
      <c r="E905" t="str">
        <f>IF($B905="","",SUMIFS(dQty,dCust,$B905,dPer,"&gt;="&amp;pyFrom,dPer,"&lt;="&amp;pyTo,dQty,"&gt;-1E+300",dFlt1,critFlt1,dFlt2,critFlt2,dFlt3,critFlt3))</f>
        <v/>
      </c>
      <c r="F905" t="str">
        <f>IF($B905="","",SUMIFS(dQty,dCust,$B905,dPer,"&gt;="&amp;cyFrom,dPer,"&lt;="&amp;cyTo,dQty,"&gt;-1E+300",dFlt1,critFlt1,dFlt2,critFlt2,dFlt3,critFlt3))</f>
        <v/>
      </c>
      <c r="G905">
        <f>IF($B905="",0,IFERROR(IF(OR(C905&lt;&gt;0,D905&lt;&gt;0,E905&lt;&gt;0,F905&lt;&gt;0),1,0),1))</f>
        <v>0</v>
      </c>
      <c r="H905" t="str">
        <f>IF(OR(G905=0,E905=0),"",C905/E905)</f>
        <v/>
      </c>
      <c r="I905" t="str">
        <f>IF(OR(G905=0,F905=0),"",D905/F905)</f>
        <v/>
      </c>
      <c r="J905" t="str">
        <f>IF(OR(H905="",I905=""),"",IF(H905=0,"",I905/H905-1))</f>
        <v/>
      </c>
      <c r="K905" t="str">
        <f>IF($B905="","",IFERROR(IF(G905=0,-2E+300,CHOOSE(sortIdx,ROUND(D905,0),IF(J905="",-1E+300,ROUND(-J905,6)),IF(J905="",-1E+300,ROUND(J905,6)))),-1.5E+300))</f>
        <v/>
      </c>
      <c r="L905" t="str">
        <f>IF(K905="","",RANK(K905,$K$2:$K$3001,0)+COUNTIF($K$2:K905,K905)-1)</f>
        <v/>
      </c>
    </row>
    <row r="906">
      <c r="B906" t="str">
        <f>IFERROR(IF(A906="","","="&amp;SUBSTITUTE(SUBSTITUTE(SUBSTITUTE(A906,"~","~~"),"*","~*"),"?","~?")),"")</f>
        <v/>
      </c>
      <c r="C906" t="str">
        <f>IF($B906="","",SUMIFS(dAmt,dCust,$B906,dPer,"&gt;="&amp;pyFrom,dPer,"&lt;="&amp;pyTo,dAmt,"&gt;-1E+300",dFlt1,critFlt1,dFlt2,critFlt2,dFlt3,critFlt3))</f>
        <v/>
      </c>
      <c r="D906" t="str">
        <f>IF($B906="","",SUMIFS(dAmt,dCust,$B906,dPer,"&gt;="&amp;cyFrom,dPer,"&lt;="&amp;cyTo,dAmt,"&gt;-1E+300",dFlt1,critFlt1,dFlt2,critFlt2,dFlt3,critFlt3))</f>
        <v/>
      </c>
      <c r="E906" t="str">
        <f>IF($B906="","",SUMIFS(dQty,dCust,$B906,dPer,"&gt;="&amp;pyFrom,dPer,"&lt;="&amp;pyTo,dQty,"&gt;-1E+300",dFlt1,critFlt1,dFlt2,critFlt2,dFlt3,critFlt3))</f>
        <v/>
      </c>
      <c r="F906" t="str">
        <f>IF($B906="","",SUMIFS(dQty,dCust,$B906,dPer,"&gt;="&amp;cyFrom,dPer,"&lt;="&amp;cyTo,dQty,"&gt;-1E+300",dFlt1,critFlt1,dFlt2,critFlt2,dFlt3,critFlt3))</f>
        <v/>
      </c>
      <c r="G906">
        <f>IF($B906="",0,IFERROR(IF(OR(C906&lt;&gt;0,D906&lt;&gt;0,E906&lt;&gt;0,F906&lt;&gt;0),1,0),1))</f>
        <v>0</v>
      </c>
      <c r="H906" t="str">
        <f>IF(OR(G906=0,E906=0),"",C906/E906)</f>
        <v/>
      </c>
      <c r="I906" t="str">
        <f>IF(OR(G906=0,F906=0),"",D906/F906)</f>
        <v/>
      </c>
      <c r="J906" t="str">
        <f>IF(OR(H906="",I906=""),"",IF(H906=0,"",I906/H906-1))</f>
        <v/>
      </c>
      <c r="K906" t="str">
        <f>IF($B906="","",IFERROR(IF(G906=0,-2E+300,CHOOSE(sortIdx,ROUND(D906,0),IF(J906="",-1E+300,ROUND(-J906,6)),IF(J906="",-1E+300,ROUND(J906,6)))),-1.5E+300))</f>
        <v/>
      </c>
      <c r="L906" t="str">
        <f>IF(K906="","",RANK(K906,$K$2:$K$3001,0)+COUNTIF($K$2:K906,K906)-1)</f>
        <v/>
      </c>
    </row>
    <row r="907">
      <c r="B907" t="str">
        <f>IFERROR(IF(A907="","","="&amp;SUBSTITUTE(SUBSTITUTE(SUBSTITUTE(A907,"~","~~"),"*","~*"),"?","~?")),"")</f>
        <v/>
      </c>
      <c r="C907" t="str">
        <f>IF($B907="","",SUMIFS(dAmt,dCust,$B907,dPer,"&gt;="&amp;pyFrom,dPer,"&lt;="&amp;pyTo,dAmt,"&gt;-1E+300",dFlt1,critFlt1,dFlt2,critFlt2,dFlt3,critFlt3))</f>
        <v/>
      </c>
      <c r="D907" t="str">
        <f>IF($B907="","",SUMIFS(dAmt,dCust,$B907,dPer,"&gt;="&amp;cyFrom,dPer,"&lt;="&amp;cyTo,dAmt,"&gt;-1E+300",dFlt1,critFlt1,dFlt2,critFlt2,dFlt3,critFlt3))</f>
        <v/>
      </c>
      <c r="E907" t="str">
        <f>IF($B907="","",SUMIFS(dQty,dCust,$B907,dPer,"&gt;="&amp;pyFrom,dPer,"&lt;="&amp;pyTo,dQty,"&gt;-1E+300",dFlt1,critFlt1,dFlt2,critFlt2,dFlt3,critFlt3))</f>
        <v/>
      </c>
      <c r="F907" t="str">
        <f>IF($B907="","",SUMIFS(dQty,dCust,$B907,dPer,"&gt;="&amp;cyFrom,dPer,"&lt;="&amp;cyTo,dQty,"&gt;-1E+300",dFlt1,critFlt1,dFlt2,critFlt2,dFlt3,critFlt3))</f>
        <v/>
      </c>
      <c r="G907">
        <f>IF($B907="",0,IFERROR(IF(OR(C907&lt;&gt;0,D907&lt;&gt;0,E907&lt;&gt;0,F907&lt;&gt;0),1,0),1))</f>
        <v>0</v>
      </c>
      <c r="H907" t="str">
        <f>IF(OR(G907=0,E907=0),"",C907/E907)</f>
        <v/>
      </c>
      <c r="I907" t="str">
        <f>IF(OR(G907=0,F907=0),"",D907/F907)</f>
        <v/>
      </c>
      <c r="J907" t="str">
        <f>IF(OR(H907="",I907=""),"",IF(H907=0,"",I907/H907-1))</f>
        <v/>
      </c>
      <c r="K907" t="str">
        <f>IF($B907="","",IFERROR(IF(G907=0,-2E+300,CHOOSE(sortIdx,ROUND(D907,0),IF(J907="",-1E+300,ROUND(-J907,6)),IF(J907="",-1E+300,ROUND(J907,6)))),-1.5E+300))</f>
        <v/>
      </c>
      <c r="L907" t="str">
        <f>IF(K907="","",RANK(K907,$K$2:$K$3001,0)+COUNTIF($K$2:K907,K907)-1)</f>
        <v/>
      </c>
    </row>
    <row r="908">
      <c r="B908" t="str">
        <f>IFERROR(IF(A908="","","="&amp;SUBSTITUTE(SUBSTITUTE(SUBSTITUTE(A908,"~","~~"),"*","~*"),"?","~?")),"")</f>
        <v/>
      </c>
      <c r="C908" t="str">
        <f>IF($B908="","",SUMIFS(dAmt,dCust,$B908,dPer,"&gt;="&amp;pyFrom,dPer,"&lt;="&amp;pyTo,dAmt,"&gt;-1E+300",dFlt1,critFlt1,dFlt2,critFlt2,dFlt3,critFlt3))</f>
        <v/>
      </c>
      <c r="D908" t="str">
        <f>IF($B908="","",SUMIFS(dAmt,dCust,$B908,dPer,"&gt;="&amp;cyFrom,dPer,"&lt;="&amp;cyTo,dAmt,"&gt;-1E+300",dFlt1,critFlt1,dFlt2,critFlt2,dFlt3,critFlt3))</f>
        <v/>
      </c>
      <c r="E908" t="str">
        <f>IF($B908="","",SUMIFS(dQty,dCust,$B908,dPer,"&gt;="&amp;pyFrom,dPer,"&lt;="&amp;pyTo,dQty,"&gt;-1E+300",dFlt1,critFlt1,dFlt2,critFlt2,dFlt3,critFlt3))</f>
        <v/>
      </c>
      <c r="F908" t="str">
        <f>IF($B908="","",SUMIFS(dQty,dCust,$B908,dPer,"&gt;="&amp;cyFrom,dPer,"&lt;="&amp;cyTo,dQty,"&gt;-1E+300",dFlt1,critFlt1,dFlt2,critFlt2,dFlt3,critFlt3))</f>
        <v/>
      </c>
      <c r="G908">
        <f>IF($B908="",0,IFERROR(IF(OR(C908&lt;&gt;0,D908&lt;&gt;0,E908&lt;&gt;0,F908&lt;&gt;0),1,0),1))</f>
        <v>0</v>
      </c>
      <c r="H908" t="str">
        <f>IF(OR(G908=0,E908=0),"",C908/E908)</f>
        <v/>
      </c>
      <c r="I908" t="str">
        <f>IF(OR(G908=0,F908=0),"",D908/F908)</f>
        <v/>
      </c>
      <c r="J908" t="str">
        <f>IF(OR(H908="",I908=""),"",IF(H908=0,"",I908/H908-1))</f>
        <v/>
      </c>
      <c r="K908" t="str">
        <f>IF($B908="","",IFERROR(IF(G908=0,-2E+300,CHOOSE(sortIdx,ROUND(D908,0),IF(J908="",-1E+300,ROUND(-J908,6)),IF(J908="",-1E+300,ROUND(J908,6)))),-1.5E+300))</f>
        <v/>
      </c>
      <c r="L908" t="str">
        <f>IF(K908="","",RANK(K908,$K$2:$K$3001,0)+COUNTIF($K$2:K908,K908)-1)</f>
        <v/>
      </c>
    </row>
    <row r="909">
      <c r="B909" t="str">
        <f>IFERROR(IF(A909="","","="&amp;SUBSTITUTE(SUBSTITUTE(SUBSTITUTE(A909,"~","~~"),"*","~*"),"?","~?")),"")</f>
        <v/>
      </c>
      <c r="C909" t="str">
        <f>IF($B909="","",SUMIFS(dAmt,dCust,$B909,dPer,"&gt;="&amp;pyFrom,dPer,"&lt;="&amp;pyTo,dAmt,"&gt;-1E+300",dFlt1,critFlt1,dFlt2,critFlt2,dFlt3,critFlt3))</f>
        <v/>
      </c>
      <c r="D909" t="str">
        <f>IF($B909="","",SUMIFS(dAmt,dCust,$B909,dPer,"&gt;="&amp;cyFrom,dPer,"&lt;="&amp;cyTo,dAmt,"&gt;-1E+300",dFlt1,critFlt1,dFlt2,critFlt2,dFlt3,critFlt3))</f>
        <v/>
      </c>
      <c r="E909" t="str">
        <f>IF($B909="","",SUMIFS(dQty,dCust,$B909,dPer,"&gt;="&amp;pyFrom,dPer,"&lt;="&amp;pyTo,dQty,"&gt;-1E+300",dFlt1,critFlt1,dFlt2,critFlt2,dFlt3,critFlt3))</f>
        <v/>
      </c>
      <c r="F909" t="str">
        <f>IF($B909="","",SUMIFS(dQty,dCust,$B909,dPer,"&gt;="&amp;cyFrom,dPer,"&lt;="&amp;cyTo,dQty,"&gt;-1E+300",dFlt1,critFlt1,dFlt2,critFlt2,dFlt3,critFlt3))</f>
        <v/>
      </c>
      <c r="G909">
        <f>IF($B909="",0,IFERROR(IF(OR(C909&lt;&gt;0,D909&lt;&gt;0,E909&lt;&gt;0,F909&lt;&gt;0),1,0),1))</f>
        <v>0</v>
      </c>
      <c r="H909" t="str">
        <f>IF(OR(G909=0,E909=0),"",C909/E909)</f>
        <v/>
      </c>
      <c r="I909" t="str">
        <f>IF(OR(G909=0,F909=0),"",D909/F909)</f>
        <v/>
      </c>
      <c r="J909" t="str">
        <f>IF(OR(H909="",I909=""),"",IF(H909=0,"",I909/H909-1))</f>
        <v/>
      </c>
      <c r="K909" t="str">
        <f>IF($B909="","",IFERROR(IF(G909=0,-2E+300,CHOOSE(sortIdx,ROUND(D909,0),IF(J909="",-1E+300,ROUND(-J909,6)),IF(J909="",-1E+300,ROUND(J909,6)))),-1.5E+300))</f>
        <v/>
      </c>
      <c r="L909" t="str">
        <f>IF(K909="","",RANK(K909,$K$2:$K$3001,0)+COUNTIF($K$2:K909,K909)-1)</f>
        <v/>
      </c>
    </row>
    <row r="910">
      <c r="B910" t="str">
        <f>IFERROR(IF(A910="","","="&amp;SUBSTITUTE(SUBSTITUTE(SUBSTITUTE(A910,"~","~~"),"*","~*"),"?","~?")),"")</f>
        <v/>
      </c>
      <c r="C910" t="str">
        <f>IF($B910="","",SUMIFS(dAmt,dCust,$B910,dPer,"&gt;="&amp;pyFrom,dPer,"&lt;="&amp;pyTo,dAmt,"&gt;-1E+300",dFlt1,critFlt1,dFlt2,critFlt2,dFlt3,critFlt3))</f>
        <v/>
      </c>
      <c r="D910" t="str">
        <f>IF($B910="","",SUMIFS(dAmt,dCust,$B910,dPer,"&gt;="&amp;cyFrom,dPer,"&lt;="&amp;cyTo,dAmt,"&gt;-1E+300",dFlt1,critFlt1,dFlt2,critFlt2,dFlt3,critFlt3))</f>
        <v/>
      </c>
      <c r="E910" t="str">
        <f>IF($B910="","",SUMIFS(dQty,dCust,$B910,dPer,"&gt;="&amp;pyFrom,dPer,"&lt;="&amp;pyTo,dQty,"&gt;-1E+300",dFlt1,critFlt1,dFlt2,critFlt2,dFlt3,critFlt3))</f>
        <v/>
      </c>
      <c r="F910" t="str">
        <f>IF($B910="","",SUMIFS(dQty,dCust,$B910,dPer,"&gt;="&amp;cyFrom,dPer,"&lt;="&amp;cyTo,dQty,"&gt;-1E+300",dFlt1,critFlt1,dFlt2,critFlt2,dFlt3,critFlt3))</f>
        <v/>
      </c>
      <c r="G910">
        <f>IF($B910="",0,IFERROR(IF(OR(C910&lt;&gt;0,D910&lt;&gt;0,E910&lt;&gt;0,F910&lt;&gt;0),1,0),1))</f>
        <v>0</v>
      </c>
      <c r="H910" t="str">
        <f>IF(OR(G910=0,E910=0),"",C910/E910)</f>
        <v/>
      </c>
      <c r="I910" t="str">
        <f>IF(OR(G910=0,F910=0),"",D910/F910)</f>
        <v/>
      </c>
      <c r="J910" t="str">
        <f>IF(OR(H910="",I910=""),"",IF(H910=0,"",I910/H910-1))</f>
        <v/>
      </c>
      <c r="K910" t="str">
        <f>IF($B910="","",IFERROR(IF(G910=0,-2E+300,CHOOSE(sortIdx,ROUND(D910,0),IF(J910="",-1E+300,ROUND(-J910,6)),IF(J910="",-1E+300,ROUND(J910,6)))),-1.5E+300))</f>
        <v/>
      </c>
      <c r="L910" t="str">
        <f>IF(K910="","",RANK(K910,$K$2:$K$3001,0)+COUNTIF($K$2:K910,K910)-1)</f>
        <v/>
      </c>
    </row>
    <row r="911">
      <c r="B911" t="str">
        <f>IFERROR(IF(A911="","","="&amp;SUBSTITUTE(SUBSTITUTE(SUBSTITUTE(A911,"~","~~"),"*","~*"),"?","~?")),"")</f>
        <v/>
      </c>
      <c r="C911" t="str">
        <f>IF($B911="","",SUMIFS(dAmt,dCust,$B911,dPer,"&gt;="&amp;pyFrom,dPer,"&lt;="&amp;pyTo,dAmt,"&gt;-1E+300",dFlt1,critFlt1,dFlt2,critFlt2,dFlt3,critFlt3))</f>
        <v/>
      </c>
      <c r="D911" t="str">
        <f>IF($B911="","",SUMIFS(dAmt,dCust,$B911,dPer,"&gt;="&amp;cyFrom,dPer,"&lt;="&amp;cyTo,dAmt,"&gt;-1E+300",dFlt1,critFlt1,dFlt2,critFlt2,dFlt3,critFlt3))</f>
        <v/>
      </c>
      <c r="E911" t="str">
        <f>IF($B911="","",SUMIFS(dQty,dCust,$B911,dPer,"&gt;="&amp;pyFrom,dPer,"&lt;="&amp;pyTo,dQty,"&gt;-1E+300",dFlt1,critFlt1,dFlt2,critFlt2,dFlt3,critFlt3))</f>
        <v/>
      </c>
      <c r="F911" t="str">
        <f>IF($B911="","",SUMIFS(dQty,dCust,$B911,dPer,"&gt;="&amp;cyFrom,dPer,"&lt;="&amp;cyTo,dQty,"&gt;-1E+300",dFlt1,critFlt1,dFlt2,critFlt2,dFlt3,critFlt3))</f>
        <v/>
      </c>
      <c r="G911">
        <f>IF($B911="",0,IFERROR(IF(OR(C911&lt;&gt;0,D911&lt;&gt;0,E911&lt;&gt;0,F911&lt;&gt;0),1,0),1))</f>
        <v>0</v>
      </c>
      <c r="H911" t="str">
        <f>IF(OR(G911=0,E911=0),"",C911/E911)</f>
        <v/>
      </c>
      <c r="I911" t="str">
        <f>IF(OR(G911=0,F911=0),"",D911/F911)</f>
        <v/>
      </c>
      <c r="J911" t="str">
        <f>IF(OR(H911="",I911=""),"",IF(H911=0,"",I911/H911-1))</f>
        <v/>
      </c>
      <c r="K911" t="str">
        <f>IF($B911="","",IFERROR(IF(G911=0,-2E+300,CHOOSE(sortIdx,ROUND(D911,0),IF(J911="",-1E+300,ROUND(-J911,6)),IF(J911="",-1E+300,ROUND(J911,6)))),-1.5E+300))</f>
        <v/>
      </c>
      <c r="L911" t="str">
        <f>IF(K911="","",RANK(K911,$K$2:$K$3001,0)+COUNTIF($K$2:K911,K911)-1)</f>
        <v/>
      </c>
    </row>
    <row r="912">
      <c r="B912" t="str">
        <f>IFERROR(IF(A912="","","="&amp;SUBSTITUTE(SUBSTITUTE(SUBSTITUTE(A912,"~","~~"),"*","~*"),"?","~?")),"")</f>
        <v/>
      </c>
      <c r="C912" t="str">
        <f>IF($B912="","",SUMIFS(dAmt,dCust,$B912,dPer,"&gt;="&amp;pyFrom,dPer,"&lt;="&amp;pyTo,dAmt,"&gt;-1E+300",dFlt1,critFlt1,dFlt2,critFlt2,dFlt3,critFlt3))</f>
        <v/>
      </c>
      <c r="D912" t="str">
        <f>IF($B912="","",SUMIFS(dAmt,dCust,$B912,dPer,"&gt;="&amp;cyFrom,dPer,"&lt;="&amp;cyTo,dAmt,"&gt;-1E+300",dFlt1,critFlt1,dFlt2,critFlt2,dFlt3,critFlt3))</f>
        <v/>
      </c>
      <c r="E912" t="str">
        <f>IF($B912="","",SUMIFS(dQty,dCust,$B912,dPer,"&gt;="&amp;pyFrom,dPer,"&lt;="&amp;pyTo,dQty,"&gt;-1E+300",dFlt1,critFlt1,dFlt2,critFlt2,dFlt3,critFlt3))</f>
        <v/>
      </c>
      <c r="F912" t="str">
        <f>IF($B912="","",SUMIFS(dQty,dCust,$B912,dPer,"&gt;="&amp;cyFrom,dPer,"&lt;="&amp;cyTo,dQty,"&gt;-1E+300",dFlt1,critFlt1,dFlt2,critFlt2,dFlt3,critFlt3))</f>
        <v/>
      </c>
      <c r="G912">
        <f>IF($B912="",0,IFERROR(IF(OR(C912&lt;&gt;0,D912&lt;&gt;0,E912&lt;&gt;0,F912&lt;&gt;0),1,0),1))</f>
        <v>0</v>
      </c>
      <c r="H912" t="str">
        <f>IF(OR(G912=0,E912=0),"",C912/E912)</f>
        <v/>
      </c>
      <c r="I912" t="str">
        <f>IF(OR(G912=0,F912=0),"",D912/F912)</f>
        <v/>
      </c>
      <c r="J912" t="str">
        <f>IF(OR(H912="",I912=""),"",IF(H912=0,"",I912/H912-1))</f>
        <v/>
      </c>
      <c r="K912" t="str">
        <f>IF($B912="","",IFERROR(IF(G912=0,-2E+300,CHOOSE(sortIdx,ROUND(D912,0),IF(J912="",-1E+300,ROUND(-J912,6)),IF(J912="",-1E+300,ROUND(J912,6)))),-1.5E+300))</f>
        <v/>
      </c>
      <c r="L912" t="str">
        <f>IF(K912="","",RANK(K912,$K$2:$K$3001,0)+COUNTIF($K$2:K912,K912)-1)</f>
        <v/>
      </c>
    </row>
    <row r="913">
      <c r="B913" t="str">
        <f>IFERROR(IF(A913="","","="&amp;SUBSTITUTE(SUBSTITUTE(SUBSTITUTE(A913,"~","~~"),"*","~*"),"?","~?")),"")</f>
        <v/>
      </c>
      <c r="C913" t="str">
        <f>IF($B913="","",SUMIFS(dAmt,dCust,$B913,dPer,"&gt;="&amp;pyFrom,dPer,"&lt;="&amp;pyTo,dAmt,"&gt;-1E+300",dFlt1,critFlt1,dFlt2,critFlt2,dFlt3,critFlt3))</f>
        <v/>
      </c>
      <c r="D913" t="str">
        <f>IF($B913="","",SUMIFS(dAmt,dCust,$B913,dPer,"&gt;="&amp;cyFrom,dPer,"&lt;="&amp;cyTo,dAmt,"&gt;-1E+300",dFlt1,critFlt1,dFlt2,critFlt2,dFlt3,critFlt3))</f>
        <v/>
      </c>
      <c r="E913" t="str">
        <f>IF($B913="","",SUMIFS(dQty,dCust,$B913,dPer,"&gt;="&amp;pyFrom,dPer,"&lt;="&amp;pyTo,dQty,"&gt;-1E+300",dFlt1,critFlt1,dFlt2,critFlt2,dFlt3,critFlt3))</f>
        <v/>
      </c>
      <c r="F913" t="str">
        <f>IF($B913="","",SUMIFS(dQty,dCust,$B913,dPer,"&gt;="&amp;cyFrom,dPer,"&lt;="&amp;cyTo,dQty,"&gt;-1E+300",dFlt1,critFlt1,dFlt2,critFlt2,dFlt3,critFlt3))</f>
        <v/>
      </c>
      <c r="G913">
        <f>IF($B913="",0,IFERROR(IF(OR(C913&lt;&gt;0,D913&lt;&gt;0,E913&lt;&gt;0,F913&lt;&gt;0),1,0),1))</f>
        <v>0</v>
      </c>
      <c r="H913" t="str">
        <f>IF(OR(G913=0,E913=0),"",C913/E913)</f>
        <v/>
      </c>
      <c r="I913" t="str">
        <f>IF(OR(G913=0,F913=0),"",D913/F913)</f>
        <v/>
      </c>
      <c r="J913" t="str">
        <f>IF(OR(H913="",I913=""),"",IF(H913=0,"",I913/H913-1))</f>
        <v/>
      </c>
      <c r="K913" t="str">
        <f>IF($B913="","",IFERROR(IF(G913=0,-2E+300,CHOOSE(sortIdx,ROUND(D913,0),IF(J913="",-1E+300,ROUND(-J913,6)),IF(J913="",-1E+300,ROUND(J913,6)))),-1.5E+300))</f>
        <v/>
      </c>
      <c r="L913" t="str">
        <f>IF(K913="","",RANK(K913,$K$2:$K$3001,0)+COUNTIF($K$2:K913,K913)-1)</f>
        <v/>
      </c>
    </row>
    <row r="914">
      <c r="B914" t="str">
        <f>IFERROR(IF(A914="","","="&amp;SUBSTITUTE(SUBSTITUTE(SUBSTITUTE(A914,"~","~~"),"*","~*"),"?","~?")),"")</f>
        <v/>
      </c>
      <c r="C914" t="str">
        <f>IF($B914="","",SUMIFS(dAmt,dCust,$B914,dPer,"&gt;="&amp;pyFrom,dPer,"&lt;="&amp;pyTo,dAmt,"&gt;-1E+300",dFlt1,critFlt1,dFlt2,critFlt2,dFlt3,critFlt3))</f>
        <v/>
      </c>
      <c r="D914" t="str">
        <f>IF($B914="","",SUMIFS(dAmt,dCust,$B914,dPer,"&gt;="&amp;cyFrom,dPer,"&lt;="&amp;cyTo,dAmt,"&gt;-1E+300",dFlt1,critFlt1,dFlt2,critFlt2,dFlt3,critFlt3))</f>
        <v/>
      </c>
      <c r="E914" t="str">
        <f>IF($B914="","",SUMIFS(dQty,dCust,$B914,dPer,"&gt;="&amp;pyFrom,dPer,"&lt;="&amp;pyTo,dQty,"&gt;-1E+300",dFlt1,critFlt1,dFlt2,critFlt2,dFlt3,critFlt3))</f>
        <v/>
      </c>
      <c r="F914" t="str">
        <f>IF($B914="","",SUMIFS(dQty,dCust,$B914,dPer,"&gt;="&amp;cyFrom,dPer,"&lt;="&amp;cyTo,dQty,"&gt;-1E+300",dFlt1,critFlt1,dFlt2,critFlt2,dFlt3,critFlt3))</f>
        <v/>
      </c>
      <c r="G914">
        <f>IF($B914="",0,IFERROR(IF(OR(C914&lt;&gt;0,D914&lt;&gt;0,E914&lt;&gt;0,F914&lt;&gt;0),1,0),1))</f>
        <v>0</v>
      </c>
      <c r="H914" t="str">
        <f>IF(OR(G914=0,E914=0),"",C914/E914)</f>
        <v/>
      </c>
      <c r="I914" t="str">
        <f>IF(OR(G914=0,F914=0),"",D914/F914)</f>
        <v/>
      </c>
      <c r="J914" t="str">
        <f>IF(OR(H914="",I914=""),"",IF(H914=0,"",I914/H914-1))</f>
        <v/>
      </c>
      <c r="K914" t="str">
        <f>IF($B914="","",IFERROR(IF(G914=0,-2E+300,CHOOSE(sortIdx,ROUND(D914,0),IF(J914="",-1E+300,ROUND(-J914,6)),IF(J914="",-1E+300,ROUND(J914,6)))),-1.5E+300))</f>
        <v/>
      </c>
      <c r="L914" t="str">
        <f>IF(K914="","",RANK(K914,$K$2:$K$3001,0)+COUNTIF($K$2:K914,K914)-1)</f>
        <v/>
      </c>
    </row>
    <row r="915">
      <c r="B915" t="str">
        <f>IFERROR(IF(A915="","","="&amp;SUBSTITUTE(SUBSTITUTE(SUBSTITUTE(A915,"~","~~"),"*","~*"),"?","~?")),"")</f>
        <v/>
      </c>
      <c r="C915" t="str">
        <f>IF($B915="","",SUMIFS(dAmt,dCust,$B915,dPer,"&gt;="&amp;pyFrom,dPer,"&lt;="&amp;pyTo,dAmt,"&gt;-1E+300",dFlt1,critFlt1,dFlt2,critFlt2,dFlt3,critFlt3))</f>
        <v/>
      </c>
      <c r="D915" t="str">
        <f>IF($B915="","",SUMIFS(dAmt,dCust,$B915,dPer,"&gt;="&amp;cyFrom,dPer,"&lt;="&amp;cyTo,dAmt,"&gt;-1E+300",dFlt1,critFlt1,dFlt2,critFlt2,dFlt3,critFlt3))</f>
        <v/>
      </c>
      <c r="E915" t="str">
        <f>IF($B915="","",SUMIFS(dQty,dCust,$B915,dPer,"&gt;="&amp;pyFrom,dPer,"&lt;="&amp;pyTo,dQty,"&gt;-1E+300",dFlt1,critFlt1,dFlt2,critFlt2,dFlt3,critFlt3))</f>
        <v/>
      </c>
      <c r="F915" t="str">
        <f>IF($B915="","",SUMIFS(dQty,dCust,$B915,dPer,"&gt;="&amp;cyFrom,dPer,"&lt;="&amp;cyTo,dQty,"&gt;-1E+300",dFlt1,critFlt1,dFlt2,critFlt2,dFlt3,critFlt3))</f>
        <v/>
      </c>
      <c r="G915">
        <f>IF($B915="",0,IFERROR(IF(OR(C915&lt;&gt;0,D915&lt;&gt;0,E915&lt;&gt;0,F915&lt;&gt;0),1,0),1))</f>
        <v>0</v>
      </c>
      <c r="H915" t="str">
        <f>IF(OR(G915=0,E915=0),"",C915/E915)</f>
        <v/>
      </c>
      <c r="I915" t="str">
        <f>IF(OR(G915=0,F915=0),"",D915/F915)</f>
        <v/>
      </c>
      <c r="J915" t="str">
        <f>IF(OR(H915="",I915=""),"",IF(H915=0,"",I915/H915-1))</f>
        <v/>
      </c>
      <c r="K915" t="str">
        <f>IF($B915="","",IFERROR(IF(G915=0,-2E+300,CHOOSE(sortIdx,ROUND(D915,0),IF(J915="",-1E+300,ROUND(-J915,6)),IF(J915="",-1E+300,ROUND(J915,6)))),-1.5E+300))</f>
        <v/>
      </c>
      <c r="L915" t="str">
        <f>IF(K915="","",RANK(K915,$K$2:$K$3001,0)+COUNTIF($K$2:K915,K915)-1)</f>
        <v/>
      </c>
    </row>
    <row r="916">
      <c r="B916" t="str">
        <f>IFERROR(IF(A916="","","="&amp;SUBSTITUTE(SUBSTITUTE(SUBSTITUTE(A916,"~","~~"),"*","~*"),"?","~?")),"")</f>
        <v/>
      </c>
      <c r="C916" t="str">
        <f>IF($B916="","",SUMIFS(dAmt,dCust,$B916,dPer,"&gt;="&amp;pyFrom,dPer,"&lt;="&amp;pyTo,dAmt,"&gt;-1E+300",dFlt1,critFlt1,dFlt2,critFlt2,dFlt3,critFlt3))</f>
        <v/>
      </c>
      <c r="D916" t="str">
        <f>IF($B916="","",SUMIFS(dAmt,dCust,$B916,dPer,"&gt;="&amp;cyFrom,dPer,"&lt;="&amp;cyTo,dAmt,"&gt;-1E+300",dFlt1,critFlt1,dFlt2,critFlt2,dFlt3,critFlt3))</f>
        <v/>
      </c>
      <c r="E916" t="str">
        <f>IF($B916="","",SUMIFS(dQty,dCust,$B916,dPer,"&gt;="&amp;pyFrom,dPer,"&lt;="&amp;pyTo,dQty,"&gt;-1E+300",dFlt1,critFlt1,dFlt2,critFlt2,dFlt3,critFlt3))</f>
        <v/>
      </c>
      <c r="F916" t="str">
        <f>IF($B916="","",SUMIFS(dQty,dCust,$B916,dPer,"&gt;="&amp;cyFrom,dPer,"&lt;="&amp;cyTo,dQty,"&gt;-1E+300",dFlt1,critFlt1,dFlt2,critFlt2,dFlt3,critFlt3))</f>
        <v/>
      </c>
      <c r="G916">
        <f>IF($B916="",0,IFERROR(IF(OR(C916&lt;&gt;0,D916&lt;&gt;0,E916&lt;&gt;0,F916&lt;&gt;0),1,0),1))</f>
        <v>0</v>
      </c>
      <c r="H916" t="str">
        <f>IF(OR(G916=0,E916=0),"",C916/E916)</f>
        <v/>
      </c>
      <c r="I916" t="str">
        <f>IF(OR(G916=0,F916=0),"",D916/F916)</f>
        <v/>
      </c>
      <c r="J916" t="str">
        <f>IF(OR(H916="",I916=""),"",IF(H916=0,"",I916/H916-1))</f>
        <v/>
      </c>
      <c r="K916" t="str">
        <f>IF($B916="","",IFERROR(IF(G916=0,-2E+300,CHOOSE(sortIdx,ROUND(D916,0),IF(J916="",-1E+300,ROUND(-J916,6)),IF(J916="",-1E+300,ROUND(J916,6)))),-1.5E+300))</f>
        <v/>
      </c>
      <c r="L916" t="str">
        <f>IF(K916="","",RANK(K916,$K$2:$K$3001,0)+COUNTIF($K$2:K916,K916)-1)</f>
        <v/>
      </c>
    </row>
    <row r="917">
      <c r="B917" t="str">
        <f>IFERROR(IF(A917="","","="&amp;SUBSTITUTE(SUBSTITUTE(SUBSTITUTE(A917,"~","~~"),"*","~*"),"?","~?")),"")</f>
        <v/>
      </c>
      <c r="C917" t="str">
        <f>IF($B917="","",SUMIFS(dAmt,dCust,$B917,dPer,"&gt;="&amp;pyFrom,dPer,"&lt;="&amp;pyTo,dAmt,"&gt;-1E+300",dFlt1,critFlt1,dFlt2,critFlt2,dFlt3,critFlt3))</f>
        <v/>
      </c>
      <c r="D917" t="str">
        <f>IF($B917="","",SUMIFS(dAmt,dCust,$B917,dPer,"&gt;="&amp;cyFrom,dPer,"&lt;="&amp;cyTo,dAmt,"&gt;-1E+300",dFlt1,critFlt1,dFlt2,critFlt2,dFlt3,critFlt3))</f>
        <v/>
      </c>
      <c r="E917" t="str">
        <f>IF($B917="","",SUMIFS(dQty,dCust,$B917,dPer,"&gt;="&amp;pyFrom,dPer,"&lt;="&amp;pyTo,dQty,"&gt;-1E+300",dFlt1,critFlt1,dFlt2,critFlt2,dFlt3,critFlt3))</f>
        <v/>
      </c>
      <c r="F917" t="str">
        <f>IF($B917="","",SUMIFS(dQty,dCust,$B917,dPer,"&gt;="&amp;cyFrom,dPer,"&lt;="&amp;cyTo,dQty,"&gt;-1E+300",dFlt1,critFlt1,dFlt2,critFlt2,dFlt3,critFlt3))</f>
        <v/>
      </c>
      <c r="G917">
        <f>IF($B917="",0,IFERROR(IF(OR(C917&lt;&gt;0,D917&lt;&gt;0,E917&lt;&gt;0,F917&lt;&gt;0),1,0),1))</f>
        <v>0</v>
      </c>
      <c r="H917" t="str">
        <f>IF(OR(G917=0,E917=0),"",C917/E917)</f>
        <v/>
      </c>
      <c r="I917" t="str">
        <f>IF(OR(G917=0,F917=0),"",D917/F917)</f>
        <v/>
      </c>
      <c r="J917" t="str">
        <f>IF(OR(H917="",I917=""),"",IF(H917=0,"",I917/H917-1))</f>
        <v/>
      </c>
      <c r="K917" t="str">
        <f>IF($B917="","",IFERROR(IF(G917=0,-2E+300,CHOOSE(sortIdx,ROUND(D917,0),IF(J917="",-1E+300,ROUND(-J917,6)),IF(J917="",-1E+300,ROUND(J917,6)))),-1.5E+300))</f>
        <v/>
      </c>
      <c r="L917" t="str">
        <f>IF(K917="","",RANK(K917,$K$2:$K$3001,0)+COUNTIF($K$2:K917,K917)-1)</f>
        <v/>
      </c>
    </row>
    <row r="918">
      <c r="B918" t="str">
        <f>IFERROR(IF(A918="","","="&amp;SUBSTITUTE(SUBSTITUTE(SUBSTITUTE(A918,"~","~~"),"*","~*"),"?","~?")),"")</f>
        <v/>
      </c>
      <c r="C918" t="str">
        <f>IF($B918="","",SUMIFS(dAmt,dCust,$B918,dPer,"&gt;="&amp;pyFrom,dPer,"&lt;="&amp;pyTo,dAmt,"&gt;-1E+300",dFlt1,critFlt1,dFlt2,critFlt2,dFlt3,critFlt3))</f>
        <v/>
      </c>
      <c r="D918" t="str">
        <f>IF($B918="","",SUMIFS(dAmt,dCust,$B918,dPer,"&gt;="&amp;cyFrom,dPer,"&lt;="&amp;cyTo,dAmt,"&gt;-1E+300",dFlt1,critFlt1,dFlt2,critFlt2,dFlt3,critFlt3))</f>
        <v/>
      </c>
      <c r="E918" t="str">
        <f>IF($B918="","",SUMIFS(dQty,dCust,$B918,dPer,"&gt;="&amp;pyFrom,dPer,"&lt;="&amp;pyTo,dQty,"&gt;-1E+300",dFlt1,critFlt1,dFlt2,critFlt2,dFlt3,critFlt3))</f>
        <v/>
      </c>
      <c r="F918" t="str">
        <f>IF($B918="","",SUMIFS(dQty,dCust,$B918,dPer,"&gt;="&amp;cyFrom,dPer,"&lt;="&amp;cyTo,dQty,"&gt;-1E+300",dFlt1,critFlt1,dFlt2,critFlt2,dFlt3,critFlt3))</f>
        <v/>
      </c>
      <c r="G918">
        <f>IF($B918="",0,IFERROR(IF(OR(C918&lt;&gt;0,D918&lt;&gt;0,E918&lt;&gt;0,F918&lt;&gt;0),1,0),1))</f>
        <v>0</v>
      </c>
      <c r="H918" t="str">
        <f>IF(OR(G918=0,E918=0),"",C918/E918)</f>
        <v/>
      </c>
      <c r="I918" t="str">
        <f>IF(OR(G918=0,F918=0),"",D918/F918)</f>
        <v/>
      </c>
      <c r="J918" t="str">
        <f>IF(OR(H918="",I918=""),"",IF(H918=0,"",I918/H918-1))</f>
        <v/>
      </c>
      <c r="K918" t="str">
        <f>IF($B918="","",IFERROR(IF(G918=0,-2E+300,CHOOSE(sortIdx,ROUND(D918,0),IF(J918="",-1E+300,ROUND(-J918,6)),IF(J918="",-1E+300,ROUND(J918,6)))),-1.5E+300))</f>
        <v/>
      </c>
      <c r="L918" t="str">
        <f>IF(K918="","",RANK(K918,$K$2:$K$3001,0)+COUNTIF($K$2:K918,K918)-1)</f>
        <v/>
      </c>
    </row>
    <row r="919">
      <c r="B919" t="str">
        <f>IFERROR(IF(A919="","","="&amp;SUBSTITUTE(SUBSTITUTE(SUBSTITUTE(A919,"~","~~"),"*","~*"),"?","~?")),"")</f>
        <v/>
      </c>
      <c r="C919" t="str">
        <f>IF($B919="","",SUMIFS(dAmt,dCust,$B919,dPer,"&gt;="&amp;pyFrom,dPer,"&lt;="&amp;pyTo,dAmt,"&gt;-1E+300",dFlt1,critFlt1,dFlt2,critFlt2,dFlt3,critFlt3))</f>
        <v/>
      </c>
      <c r="D919" t="str">
        <f>IF($B919="","",SUMIFS(dAmt,dCust,$B919,dPer,"&gt;="&amp;cyFrom,dPer,"&lt;="&amp;cyTo,dAmt,"&gt;-1E+300",dFlt1,critFlt1,dFlt2,critFlt2,dFlt3,critFlt3))</f>
        <v/>
      </c>
      <c r="E919" t="str">
        <f>IF($B919="","",SUMIFS(dQty,dCust,$B919,dPer,"&gt;="&amp;pyFrom,dPer,"&lt;="&amp;pyTo,dQty,"&gt;-1E+300",dFlt1,critFlt1,dFlt2,critFlt2,dFlt3,critFlt3))</f>
        <v/>
      </c>
      <c r="F919" t="str">
        <f>IF($B919="","",SUMIFS(dQty,dCust,$B919,dPer,"&gt;="&amp;cyFrom,dPer,"&lt;="&amp;cyTo,dQty,"&gt;-1E+300",dFlt1,critFlt1,dFlt2,critFlt2,dFlt3,critFlt3))</f>
        <v/>
      </c>
      <c r="G919">
        <f>IF($B919="",0,IFERROR(IF(OR(C919&lt;&gt;0,D919&lt;&gt;0,E919&lt;&gt;0,F919&lt;&gt;0),1,0),1))</f>
        <v>0</v>
      </c>
      <c r="H919" t="str">
        <f>IF(OR(G919=0,E919=0),"",C919/E919)</f>
        <v/>
      </c>
      <c r="I919" t="str">
        <f>IF(OR(G919=0,F919=0),"",D919/F919)</f>
        <v/>
      </c>
      <c r="J919" t="str">
        <f>IF(OR(H919="",I919=""),"",IF(H919=0,"",I919/H919-1))</f>
        <v/>
      </c>
      <c r="K919" t="str">
        <f>IF($B919="","",IFERROR(IF(G919=0,-2E+300,CHOOSE(sortIdx,ROUND(D919,0),IF(J919="",-1E+300,ROUND(-J919,6)),IF(J919="",-1E+300,ROUND(J919,6)))),-1.5E+300))</f>
        <v/>
      </c>
      <c r="L919" t="str">
        <f>IF(K919="","",RANK(K919,$K$2:$K$3001,0)+COUNTIF($K$2:K919,K919)-1)</f>
        <v/>
      </c>
    </row>
    <row r="920">
      <c r="B920" t="str">
        <f>IFERROR(IF(A920="","","="&amp;SUBSTITUTE(SUBSTITUTE(SUBSTITUTE(A920,"~","~~"),"*","~*"),"?","~?")),"")</f>
        <v/>
      </c>
      <c r="C920" t="str">
        <f>IF($B920="","",SUMIFS(dAmt,dCust,$B920,dPer,"&gt;="&amp;pyFrom,dPer,"&lt;="&amp;pyTo,dAmt,"&gt;-1E+300",dFlt1,critFlt1,dFlt2,critFlt2,dFlt3,critFlt3))</f>
        <v/>
      </c>
      <c r="D920" t="str">
        <f>IF($B920="","",SUMIFS(dAmt,dCust,$B920,dPer,"&gt;="&amp;cyFrom,dPer,"&lt;="&amp;cyTo,dAmt,"&gt;-1E+300",dFlt1,critFlt1,dFlt2,critFlt2,dFlt3,critFlt3))</f>
        <v/>
      </c>
      <c r="E920" t="str">
        <f>IF($B920="","",SUMIFS(dQty,dCust,$B920,dPer,"&gt;="&amp;pyFrom,dPer,"&lt;="&amp;pyTo,dQty,"&gt;-1E+300",dFlt1,critFlt1,dFlt2,critFlt2,dFlt3,critFlt3))</f>
        <v/>
      </c>
      <c r="F920" t="str">
        <f>IF($B920="","",SUMIFS(dQty,dCust,$B920,dPer,"&gt;="&amp;cyFrom,dPer,"&lt;="&amp;cyTo,dQty,"&gt;-1E+300",dFlt1,critFlt1,dFlt2,critFlt2,dFlt3,critFlt3))</f>
        <v/>
      </c>
      <c r="G920">
        <f>IF($B920="",0,IFERROR(IF(OR(C920&lt;&gt;0,D920&lt;&gt;0,E920&lt;&gt;0,F920&lt;&gt;0),1,0),1))</f>
        <v>0</v>
      </c>
      <c r="H920" t="str">
        <f>IF(OR(G920=0,E920=0),"",C920/E920)</f>
        <v/>
      </c>
      <c r="I920" t="str">
        <f>IF(OR(G920=0,F920=0),"",D920/F920)</f>
        <v/>
      </c>
      <c r="J920" t="str">
        <f>IF(OR(H920="",I920=""),"",IF(H920=0,"",I920/H920-1))</f>
        <v/>
      </c>
      <c r="K920" t="str">
        <f>IF($B920="","",IFERROR(IF(G920=0,-2E+300,CHOOSE(sortIdx,ROUND(D920,0),IF(J920="",-1E+300,ROUND(-J920,6)),IF(J920="",-1E+300,ROUND(J920,6)))),-1.5E+300))</f>
        <v/>
      </c>
      <c r="L920" t="str">
        <f>IF(K920="","",RANK(K920,$K$2:$K$3001,0)+COUNTIF($K$2:K920,K920)-1)</f>
        <v/>
      </c>
    </row>
    <row r="921">
      <c r="B921" t="str">
        <f>IFERROR(IF(A921="","","="&amp;SUBSTITUTE(SUBSTITUTE(SUBSTITUTE(A921,"~","~~"),"*","~*"),"?","~?")),"")</f>
        <v/>
      </c>
      <c r="C921" t="str">
        <f>IF($B921="","",SUMIFS(dAmt,dCust,$B921,dPer,"&gt;="&amp;pyFrom,dPer,"&lt;="&amp;pyTo,dAmt,"&gt;-1E+300",dFlt1,critFlt1,dFlt2,critFlt2,dFlt3,critFlt3))</f>
        <v/>
      </c>
      <c r="D921" t="str">
        <f>IF($B921="","",SUMIFS(dAmt,dCust,$B921,dPer,"&gt;="&amp;cyFrom,dPer,"&lt;="&amp;cyTo,dAmt,"&gt;-1E+300",dFlt1,critFlt1,dFlt2,critFlt2,dFlt3,critFlt3))</f>
        <v/>
      </c>
      <c r="E921" t="str">
        <f>IF($B921="","",SUMIFS(dQty,dCust,$B921,dPer,"&gt;="&amp;pyFrom,dPer,"&lt;="&amp;pyTo,dQty,"&gt;-1E+300",dFlt1,critFlt1,dFlt2,critFlt2,dFlt3,critFlt3))</f>
        <v/>
      </c>
      <c r="F921" t="str">
        <f>IF($B921="","",SUMIFS(dQty,dCust,$B921,dPer,"&gt;="&amp;cyFrom,dPer,"&lt;="&amp;cyTo,dQty,"&gt;-1E+300",dFlt1,critFlt1,dFlt2,critFlt2,dFlt3,critFlt3))</f>
        <v/>
      </c>
      <c r="G921">
        <f>IF($B921="",0,IFERROR(IF(OR(C921&lt;&gt;0,D921&lt;&gt;0,E921&lt;&gt;0,F921&lt;&gt;0),1,0),1))</f>
        <v>0</v>
      </c>
      <c r="H921" t="str">
        <f>IF(OR(G921=0,E921=0),"",C921/E921)</f>
        <v/>
      </c>
      <c r="I921" t="str">
        <f>IF(OR(G921=0,F921=0),"",D921/F921)</f>
        <v/>
      </c>
      <c r="J921" t="str">
        <f>IF(OR(H921="",I921=""),"",IF(H921=0,"",I921/H921-1))</f>
        <v/>
      </c>
      <c r="K921" t="str">
        <f>IF($B921="","",IFERROR(IF(G921=0,-2E+300,CHOOSE(sortIdx,ROUND(D921,0),IF(J921="",-1E+300,ROUND(-J921,6)),IF(J921="",-1E+300,ROUND(J921,6)))),-1.5E+300))</f>
        <v/>
      </c>
      <c r="L921" t="str">
        <f>IF(K921="","",RANK(K921,$K$2:$K$3001,0)+COUNTIF($K$2:K921,K921)-1)</f>
        <v/>
      </c>
    </row>
    <row r="922">
      <c r="B922" t="str">
        <f>IFERROR(IF(A922="","","="&amp;SUBSTITUTE(SUBSTITUTE(SUBSTITUTE(A922,"~","~~"),"*","~*"),"?","~?")),"")</f>
        <v/>
      </c>
      <c r="C922" t="str">
        <f>IF($B922="","",SUMIFS(dAmt,dCust,$B922,dPer,"&gt;="&amp;pyFrom,dPer,"&lt;="&amp;pyTo,dAmt,"&gt;-1E+300",dFlt1,critFlt1,dFlt2,critFlt2,dFlt3,critFlt3))</f>
        <v/>
      </c>
      <c r="D922" t="str">
        <f>IF($B922="","",SUMIFS(dAmt,dCust,$B922,dPer,"&gt;="&amp;cyFrom,dPer,"&lt;="&amp;cyTo,dAmt,"&gt;-1E+300",dFlt1,critFlt1,dFlt2,critFlt2,dFlt3,critFlt3))</f>
        <v/>
      </c>
      <c r="E922" t="str">
        <f>IF($B922="","",SUMIFS(dQty,dCust,$B922,dPer,"&gt;="&amp;pyFrom,dPer,"&lt;="&amp;pyTo,dQty,"&gt;-1E+300",dFlt1,critFlt1,dFlt2,critFlt2,dFlt3,critFlt3))</f>
        <v/>
      </c>
      <c r="F922" t="str">
        <f>IF($B922="","",SUMIFS(dQty,dCust,$B922,dPer,"&gt;="&amp;cyFrom,dPer,"&lt;="&amp;cyTo,dQty,"&gt;-1E+300",dFlt1,critFlt1,dFlt2,critFlt2,dFlt3,critFlt3))</f>
        <v/>
      </c>
      <c r="G922">
        <f>IF($B922="",0,IFERROR(IF(OR(C922&lt;&gt;0,D922&lt;&gt;0,E922&lt;&gt;0,F922&lt;&gt;0),1,0),1))</f>
        <v>0</v>
      </c>
      <c r="H922" t="str">
        <f>IF(OR(G922=0,E922=0),"",C922/E922)</f>
        <v/>
      </c>
      <c r="I922" t="str">
        <f>IF(OR(G922=0,F922=0),"",D922/F922)</f>
        <v/>
      </c>
      <c r="J922" t="str">
        <f>IF(OR(H922="",I922=""),"",IF(H922=0,"",I922/H922-1))</f>
        <v/>
      </c>
      <c r="K922" t="str">
        <f>IF($B922="","",IFERROR(IF(G922=0,-2E+300,CHOOSE(sortIdx,ROUND(D922,0),IF(J922="",-1E+300,ROUND(-J922,6)),IF(J922="",-1E+300,ROUND(J922,6)))),-1.5E+300))</f>
        <v/>
      </c>
      <c r="L922" t="str">
        <f>IF(K922="","",RANK(K922,$K$2:$K$3001,0)+COUNTIF($K$2:K922,K922)-1)</f>
        <v/>
      </c>
    </row>
    <row r="923">
      <c r="B923" t="str">
        <f>IFERROR(IF(A923="","","="&amp;SUBSTITUTE(SUBSTITUTE(SUBSTITUTE(A923,"~","~~"),"*","~*"),"?","~?")),"")</f>
        <v/>
      </c>
      <c r="C923" t="str">
        <f>IF($B923="","",SUMIFS(dAmt,dCust,$B923,dPer,"&gt;="&amp;pyFrom,dPer,"&lt;="&amp;pyTo,dAmt,"&gt;-1E+300",dFlt1,critFlt1,dFlt2,critFlt2,dFlt3,critFlt3))</f>
        <v/>
      </c>
      <c r="D923" t="str">
        <f>IF($B923="","",SUMIFS(dAmt,dCust,$B923,dPer,"&gt;="&amp;cyFrom,dPer,"&lt;="&amp;cyTo,dAmt,"&gt;-1E+300",dFlt1,critFlt1,dFlt2,critFlt2,dFlt3,critFlt3))</f>
        <v/>
      </c>
      <c r="E923" t="str">
        <f>IF($B923="","",SUMIFS(dQty,dCust,$B923,dPer,"&gt;="&amp;pyFrom,dPer,"&lt;="&amp;pyTo,dQty,"&gt;-1E+300",dFlt1,critFlt1,dFlt2,critFlt2,dFlt3,critFlt3))</f>
        <v/>
      </c>
      <c r="F923" t="str">
        <f>IF($B923="","",SUMIFS(dQty,dCust,$B923,dPer,"&gt;="&amp;cyFrom,dPer,"&lt;="&amp;cyTo,dQty,"&gt;-1E+300",dFlt1,critFlt1,dFlt2,critFlt2,dFlt3,critFlt3))</f>
        <v/>
      </c>
      <c r="G923">
        <f>IF($B923="",0,IFERROR(IF(OR(C923&lt;&gt;0,D923&lt;&gt;0,E923&lt;&gt;0,F923&lt;&gt;0),1,0),1))</f>
        <v>0</v>
      </c>
      <c r="H923" t="str">
        <f>IF(OR(G923=0,E923=0),"",C923/E923)</f>
        <v/>
      </c>
      <c r="I923" t="str">
        <f>IF(OR(G923=0,F923=0),"",D923/F923)</f>
        <v/>
      </c>
      <c r="J923" t="str">
        <f>IF(OR(H923="",I923=""),"",IF(H923=0,"",I923/H923-1))</f>
        <v/>
      </c>
      <c r="K923" t="str">
        <f>IF($B923="","",IFERROR(IF(G923=0,-2E+300,CHOOSE(sortIdx,ROUND(D923,0),IF(J923="",-1E+300,ROUND(-J923,6)),IF(J923="",-1E+300,ROUND(J923,6)))),-1.5E+300))</f>
        <v/>
      </c>
      <c r="L923" t="str">
        <f>IF(K923="","",RANK(K923,$K$2:$K$3001,0)+COUNTIF($K$2:K923,K923)-1)</f>
        <v/>
      </c>
    </row>
    <row r="924">
      <c r="B924" t="str">
        <f>IFERROR(IF(A924="","","="&amp;SUBSTITUTE(SUBSTITUTE(SUBSTITUTE(A924,"~","~~"),"*","~*"),"?","~?")),"")</f>
        <v/>
      </c>
      <c r="C924" t="str">
        <f>IF($B924="","",SUMIFS(dAmt,dCust,$B924,dPer,"&gt;="&amp;pyFrom,dPer,"&lt;="&amp;pyTo,dAmt,"&gt;-1E+300",dFlt1,critFlt1,dFlt2,critFlt2,dFlt3,critFlt3))</f>
        <v/>
      </c>
      <c r="D924" t="str">
        <f>IF($B924="","",SUMIFS(dAmt,dCust,$B924,dPer,"&gt;="&amp;cyFrom,dPer,"&lt;="&amp;cyTo,dAmt,"&gt;-1E+300",dFlt1,critFlt1,dFlt2,critFlt2,dFlt3,critFlt3))</f>
        <v/>
      </c>
      <c r="E924" t="str">
        <f>IF($B924="","",SUMIFS(dQty,dCust,$B924,dPer,"&gt;="&amp;pyFrom,dPer,"&lt;="&amp;pyTo,dQty,"&gt;-1E+300",dFlt1,critFlt1,dFlt2,critFlt2,dFlt3,critFlt3))</f>
        <v/>
      </c>
      <c r="F924" t="str">
        <f>IF($B924="","",SUMIFS(dQty,dCust,$B924,dPer,"&gt;="&amp;cyFrom,dPer,"&lt;="&amp;cyTo,dQty,"&gt;-1E+300",dFlt1,critFlt1,dFlt2,critFlt2,dFlt3,critFlt3))</f>
        <v/>
      </c>
      <c r="G924">
        <f>IF($B924="",0,IFERROR(IF(OR(C924&lt;&gt;0,D924&lt;&gt;0,E924&lt;&gt;0,F924&lt;&gt;0),1,0),1))</f>
        <v>0</v>
      </c>
      <c r="H924" t="str">
        <f>IF(OR(G924=0,E924=0),"",C924/E924)</f>
        <v/>
      </c>
      <c r="I924" t="str">
        <f>IF(OR(G924=0,F924=0),"",D924/F924)</f>
        <v/>
      </c>
      <c r="J924" t="str">
        <f>IF(OR(H924="",I924=""),"",IF(H924=0,"",I924/H924-1))</f>
        <v/>
      </c>
      <c r="K924" t="str">
        <f>IF($B924="","",IFERROR(IF(G924=0,-2E+300,CHOOSE(sortIdx,ROUND(D924,0),IF(J924="",-1E+300,ROUND(-J924,6)),IF(J924="",-1E+300,ROUND(J924,6)))),-1.5E+300))</f>
        <v/>
      </c>
      <c r="L924" t="str">
        <f>IF(K924="","",RANK(K924,$K$2:$K$3001,0)+COUNTIF($K$2:K924,K924)-1)</f>
        <v/>
      </c>
    </row>
    <row r="925">
      <c r="B925" t="str">
        <f>IFERROR(IF(A925="","","="&amp;SUBSTITUTE(SUBSTITUTE(SUBSTITUTE(A925,"~","~~"),"*","~*"),"?","~?")),"")</f>
        <v/>
      </c>
      <c r="C925" t="str">
        <f>IF($B925="","",SUMIFS(dAmt,dCust,$B925,dPer,"&gt;="&amp;pyFrom,dPer,"&lt;="&amp;pyTo,dAmt,"&gt;-1E+300",dFlt1,critFlt1,dFlt2,critFlt2,dFlt3,critFlt3))</f>
        <v/>
      </c>
      <c r="D925" t="str">
        <f>IF($B925="","",SUMIFS(dAmt,dCust,$B925,dPer,"&gt;="&amp;cyFrom,dPer,"&lt;="&amp;cyTo,dAmt,"&gt;-1E+300",dFlt1,critFlt1,dFlt2,critFlt2,dFlt3,critFlt3))</f>
        <v/>
      </c>
      <c r="E925" t="str">
        <f>IF($B925="","",SUMIFS(dQty,dCust,$B925,dPer,"&gt;="&amp;pyFrom,dPer,"&lt;="&amp;pyTo,dQty,"&gt;-1E+300",dFlt1,critFlt1,dFlt2,critFlt2,dFlt3,critFlt3))</f>
        <v/>
      </c>
      <c r="F925" t="str">
        <f>IF($B925="","",SUMIFS(dQty,dCust,$B925,dPer,"&gt;="&amp;cyFrom,dPer,"&lt;="&amp;cyTo,dQty,"&gt;-1E+300",dFlt1,critFlt1,dFlt2,critFlt2,dFlt3,critFlt3))</f>
        <v/>
      </c>
      <c r="G925">
        <f>IF($B925="",0,IFERROR(IF(OR(C925&lt;&gt;0,D925&lt;&gt;0,E925&lt;&gt;0,F925&lt;&gt;0),1,0),1))</f>
        <v>0</v>
      </c>
      <c r="H925" t="str">
        <f>IF(OR(G925=0,E925=0),"",C925/E925)</f>
        <v/>
      </c>
      <c r="I925" t="str">
        <f>IF(OR(G925=0,F925=0),"",D925/F925)</f>
        <v/>
      </c>
      <c r="J925" t="str">
        <f>IF(OR(H925="",I925=""),"",IF(H925=0,"",I925/H925-1))</f>
        <v/>
      </c>
      <c r="K925" t="str">
        <f>IF($B925="","",IFERROR(IF(G925=0,-2E+300,CHOOSE(sortIdx,ROUND(D925,0),IF(J925="",-1E+300,ROUND(-J925,6)),IF(J925="",-1E+300,ROUND(J925,6)))),-1.5E+300))</f>
        <v/>
      </c>
      <c r="L925" t="str">
        <f>IF(K925="","",RANK(K925,$K$2:$K$3001,0)+COUNTIF($K$2:K925,K925)-1)</f>
        <v/>
      </c>
    </row>
    <row r="926">
      <c r="B926" t="str">
        <f>IFERROR(IF(A926="","","="&amp;SUBSTITUTE(SUBSTITUTE(SUBSTITUTE(A926,"~","~~"),"*","~*"),"?","~?")),"")</f>
        <v/>
      </c>
      <c r="C926" t="str">
        <f>IF($B926="","",SUMIFS(dAmt,dCust,$B926,dPer,"&gt;="&amp;pyFrom,dPer,"&lt;="&amp;pyTo,dAmt,"&gt;-1E+300",dFlt1,critFlt1,dFlt2,critFlt2,dFlt3,critFlt3))</f>
        <v/>
      </c>
      <c r="D926" t="str">
        <f>IF($B926="","",SUMIFS(dAmt,dCust,$B926,dPer,"&gt;="&amp;cyFrom,dPer,"&lt;="&amp;cyTo,dAmt,"&gt;-1E+300",dFlt1,critFlt1,dFlt2,critFlt2,dFlt3,critFlt3))</f>
        <v/>
      </c>
      <c r="E926" t="str">
        <f>IF($B926="","",SUMIFS(dQty,dCust,$B926,dPer,"&gt;="&amp;pyFrom,dPer,"&lt;="&amp;pyTo,dQty,"&gt;-1E+300",dFlt1,critFlt1,dFlt2,critFlt2,dFlt3,critFlt3))</f>
        <v/>
      </c>
      <c r="F926" t="str">
        <f>IF($B926="","",SUMIFS(dQty,dCust,$B926,dPer,"&gt;="&amp;cyFrom,dPer,"&lt;="&amp;cyTo,dQty,"&gt;-1E+300",dFlt1,critFlt1,dFlt2,critFlt2,dFlt3,critFlt3))</f>
        <v/>
      </c>
      <c r="G926">
        <f>IF($B926="",0,IFERROR(IF(OR(C926&lt;&gt;0,D926&lt;&gt;0,E926&lt;&gt;0,F926&lt;&gt;0),1,0),1))</f>
        <v>0</v>
      </c>
      <c r="H926" t="str">
        <f>IF(OR(G926=0,E926=0),"",C926/E926)</f>
        <v/>
      </c>
      <c r="I926" t="str">
        <f>IF(OR(G926=0,F926=0),"",D926/F926)</f>
        <v/>
      </c>
      <c r="J926" t="str">
        <f>IF(OR(H926="",I926=""),"",IF(H926=0,"",I926/H926-1))</f>
        <v/>
      </c>
      <c r="K926" t="str">
        <f>IF($B926="","",IFERROR(IF(G926=0,-2E+300,CHOOSE(sortIdx,ROUND(D926,0),IF(J926="",-1E+300,ROUND(-J926,6)),IF(J926="",-1E+300,ROUND(J926,6)))),-1.5E+300))</f>
        <v/>
      </c>
      <c r="L926" t="str">
        <f>IF(K926="","",RANK(K926,$K$2:$K$3001,0)+COUNTIF($K$2:K926,K926)-1)</f>
        <v/>
      </c>
    </row>
    <row r="927">
      <c r="B927" t="str">
        <f>IFERROR(IF(A927="","","="&amp;SUBSTITUTE(SUBSTITUTE(SUBSTITUTE(A927,"~","~~"),"*","~*"),"?","~?")),"")</f>
        <v/>
      </c>
      <c r="C927" t="str">
        <f>IF($B927="","",SUMIFS(dAmt,dCust,$B927,dPer,"&gt;="&amp;pyFrom,dPer,"&lt;="&amp;pyTo,dAmt,"&gt;-1E+300",dFlt1,critFlt1,dFlt2,critFlt2,dFlt3,critFlt3))</f>
        <v/>
      </c>
      <c r="D927" t="str">
        <f>IF($B927="","",SUMIFS(dAmt,dCust,$B927,dPer,"&gt;="&amp;cyFrom,dPer,"&lt;="&amp;cyTo,dAmt,"&gt;-1E+300",dFlt1,critFlt1,dFlt2,critFlt2,dFlt3,critFlt3))</f>
        <v/>
      </c>
      <c r="E927" t="str">
        <f>IF($B927="","",SUMIFS(dQty,dCust,$B927,dPer,"&gt;="&amp;pyFrom,dPer,"&lt;="&amp;pyTo,dQty,"&gt;-1E+300",dFlt1,critFlt1,dFlt2,critFlt2,dFlt3,critFlt3))</f>
        <v/>
      </c>
      <c r="F927" t="str">
        <f>IF($B927="","",SUMIFS(dQty,dCust,$B927,dPer,"&gt;="&amp;cyFrom,dPer,"&lt;="&amp;cyTo,dQty,"&gt;-1E+300",dFlt1,critFlt1,dFlt2,critFlt2,dFlt3,critFlt3))</f>
        <v/>
      </c>
      <c r="G927">
        <f>IF($B927="",0,IFERROR(IF(OR(C927&lt;&gt;0,D927&lt;&gt;0,E927&lt;&gt;0,F927&lt;&gt;0),1,0),1))</f>
        <v>0</v>
      </c>
      <c r="H927" t="str">
        <f>IF(OR(G927=0,E927=0),"",C927/E927)</f>
        <v/>
      </c>
      <c r="I927" t="str">
        <f>IF(OR(G927=0,F927=0),"",D927/F927)</f>
        <v/>
      </c>
      <c r="J927" t="str">
        <f>IF(OR(H927="",I927=""),"",IF(H927=0,"",I927/H927-1))</f>
        <v/>
      </c>
      <c r="K927" t="str">
        <f>IF($B927="","",IFERROR(IF(G927=0,-2E+300,CHOOSE(sortIdx,ROUND(D927,0),IF(J927="",-1E+300,ROUND(-J927,6)),IF(J927="",-1E+300,ROUND(J927,6)))),-1.5E+300))</f>
        <v/>
      </c>
      <c r="L927" t="str">
        <f>IF(K927="","",RANK(K927,$K$2:$K$3001,0)+COUNTIF($K$2:K927,K927)-1)</f>
        <v/>
      </c>
    </row>
    <row r="928">
      <c r="B928" t="str">
        <f>IFERROR(IF(A928="","","="&amp;SUBSTITUTE(SUBSTITUTE(SUBSTITUTE(A928,"~","~~"),"*","~*"),"?","~?")),"")</f>
        <v/>
      </c>
      <c r="C928" t="str">
        <f>IF($B928="","",SUMIFS(dAmt,dCust,$B928,dPer,"&gt;="&amp;pyFrom,dPer,"&lt;="&amp;pyTo,dAmt,"&gt;-1E+300",dFlt1,critFlt1,dFlt2,critFlt2,dFlt3,critFlt3))</f>
        <v/>
      </c>
      <c r="D928" t="str">
        <f>IF($B928="","",SUMIFS(dAmt,dCust,$B928,dPer,"&gt;="&amp;cyFrom,dPer,"&lt;="&amp;cyTo,dAmt,"&gt;-1E+300",dFlt1,critFlt1,dFlt2,critFlt2,dFlt3,critFlt3))</f>
        <v/>
      </c>
      <c r="E928" t="str">
        <f>IF($B928="","",SUMIFS(dQty,dCust,$B928,dPer,"&gt;="&amp;pyFrom,dPer,"&lt;="&amp;pyTo,dQty,"&gt;-1E+300",dFlt1,critFlt1,dFlt2,critFlt2,dFlt3,critFlt3))</f>
        <v/>
      </c>
      <c r="F928" t="str">
        <f>IF($B928="","",SUMIFS(dQty,dCust,$B928,dPer,"&gt;="&amp;cyFrom,dPer,"&lt;="&amp;cyTo,dQty,"&gt;-1E+300",dFlt1,critFlt1,dFlt2,critFlt2,dFlt3,critFlt3))</f>
        <v/>
      </c>
      <c r="G928">
        <f>IF($B928="",0,IFERROR(IF(OR(C928&lt;&gt;0,D928&lt;&gt;0,E928&lt;&gt;0,F928&lt;&gt;0),1,0),1))</f>
        <v>0</v>
      </c>
      <c r="H928" t="str">
        <f>IF(OR(G928=0,E928=0),"",C928/E928)</f>
        <v/>
      </c>
      <c r="I928" t="str">
        <f>IF(OR(G928=0,F928=0),"",D928/F928)</f>
        <v/>
      </c>
      <c r="J928" t="str">
        <f>IF(OR(H928="",I928=""),"",IF(H928=0,"",I928/H928-1))</f>
        <v/>
      </c>
      <c r="K928" t="str">
        <f>IF($B928="","",IFERROR(IF(G928=0,-2E+300,CHOOSE(sortIdx,ROUND(D928,0),IF(J928="",-1E+300,ROUND(-J928,6)),IF(J928="",-1E+300,ROUND(J928,6)))),-1.5E+300))</f>
        <v/>
      </c>
      <c r="L928" t="str">
        <f>IF(K928="","",RANK(K928,$K$2:$K$3001,0)+COUNTIF($K$2:K928,K928)-1)</f>
        <v/>
      </c>
    </row>
    <row r="929">
      <c r="B929" t="str">
        <f>IFERROR(IF(A929="","","="&amp;SUBSTITUTE(SUBSTITUTE(SUBSTITUTE(A929,"~","~~"),"*","~*"),"?","~?")),"")</f>
        <v/>
      </c>
      <c r="C929" t="str">
        <f>IF($B929="","",SUMIFS(dAmt,dCust,$B929,dPer,"&gt;="&amp;pyFrom,dPer,"&lt;="&amp;pyTo,dAmt,"&gt;-1E+300",dFlt1,critFlt1,dFlt2,critFlt2,dFlt3,critFlt3))</f>
        <v/>
      </c>
      <c r="D929" t="str">
        <f>IF($B929="","",SUMIFS(dAmt,dCust,$B929,dPer,"&gt;="&amp;cyFrom,dPer,"&lt;="&amp;cyTo,dAmt,"&gt;-1E+300",dFlt1,critFlt1,dFlt2,critFlt2,dFlt3,critFlt3))</f>
        <v/>
      </c>
      <c r="E929" t="str">
        <f>IF($B929="","",SUMIFS(dQty,dCust,$B929,dPer,"&gt;="&amp;pyFrom,dPer,"&lt;="&amp;pyTo,dQty,"&gt;-1E+300",dFlt1,critFlt1,dFlt2,critFlt2,dFlt3,critFlt3))</f>
        <v/>
      </c>
      <c r="F929" t="str">
        <f>IF($B929="","",SUMIFS(dQty,dCust,$B929,dPer,"&gt;="&amp;cyFrom,dPer,"&lt;="&amp;cyTo,dQty,"&gt;-1E+300",dFlt1,critFlt1,dFlt2,critFlt2,dFlt3,critFlt3))</f>
        <v/>
      </c>
      <c r="G929">
        <f>IF($B929="",0,IFERROR(IF(OR(C929&lt;&gt;0,D929&lt;&gt;0,E929&lt;&gt;0,F929&lt;&gt;0),1,0),1))</f>
        <v>0</v>
      </c>
      <c r="H929" t="str">
        <f>IF(OR(G929=0,E929=0),"",C929/E929)</f>
        <v/>
      </c>
      <c r="I929" t="str">
        <f>IF(OR(G929=0,F929=0),"",D929/F929)</f>
        <v/>
      </c>
      <c r="J929" t="str">
        <f>IF(OR(H929="",I929=""),"",IF(H929=0,"",I929/H929-1))</f>
        <v/>
      </c>
      <c r="K929" t="str">
        <f>IF($B929="","",IFERROR(IF(G929=0,-2E+300,CHOOSE(sortIdx,ROUND(D929,0),IF(J929="",-1E+300,ROUND(-J929,6)),IF(J929="",-1E+300,ROUND(J929,6)))),-1.5E+300))</f>
        <v/>
      </c>
      <c r="L929" t="str">
        <f>IF(K929="","",RANK(K929,$K$2:$K$3001,0)+COUNTIF($K$2:K929,K929)-1)</f>
        <v/>
      </c>
    </row>
    <row r="930">
      <c r="B930" t="str">
        <f>IFERROR(IF(A930="","","="&amp;SUBSTITUTE(SUBSTITUTE(SUBSTITUTE(A930,"~","~~"),"*","~*"),"?","~?")),"")</f>
        <v/>
      </c>
      <c r="C930" t="str">
        <f>IF($B930="","",SUMIFS(dAmt,dCust,$B930,dPer,"&gt;="&amp;pyFrom,dPer,"&lt;="&amp;pyTo,dAmt,"&gt;-1E+300",dFlt1,critFlt1,dFlt2,critFlt2,dFlt3,critFlt3))</f>
        <v/>
      </c>
      <c r="D930" t="str">
        <f>IF($B930="","",SUMIFS(dAmt,dCust,$B930,dPer,"&gt;="&amp;cyFrom,dPer,"&lt;="&amp;cyTo,dAmt,"&gt;-1E+300",dFlt1,critFlt1,dFlt2,critFlt2,dFlt3,critFlt3))</f>
        <v/>
      </c>
      <c r="E930" t="str">
        <f>IF($B930="","",SUMIFS(dQty,dCust,$B930,dPer,"&gt;="&amp;pyFrom,dPer,"&lt;="&amp;pyTo,dQty,"&gt;-1E+300",dFlt1,critFlt1,dFlt2,critFlt2,dFlt3,critFlt3))</f>
        <v/>
      </c>
      <c r="F930" t="str">
        <f>IF($B930="","",SUMIFS(dQty,dCust,$B930,dPer,"&gt;="&amp;cyFrom,dPer,"&lt;="&amp;cyTo,dQty,"&gt;-1E+300",dFlt1,critFlt1,dFlt2,critFlt2,dFlt3,critFlt3))</f>
        <v/>
      </c>
      <c r="G930">
        <f>IF($B930="",0,IFERROR(IF(OR(C930&lt;&gt;0,D930&lt;&gt;0,E930&lt;&gt;0,F930&lt;&gt;0),1,0),1))</f>
        <v>0</v>
      </c>
      <c r="H930" t="str">
        <f>IF(OR(G930=0,E930=0),"",C930/E930)</f>
        <v/>
      </c>
      <c r="I930" t="str">
        <f>IF(OR(G930=0,F930=0),"",D930/F930)</f>
        <v/>
      </c>
      <c r="J930" t="str">
        <f>IF(OR(H930="",I930=""),"",IF(H930=0,"",I930/H930-1))</f>
        <v/>
      </c>
      <c r="K930" t="str">
        <f>IF($B930="","",IFERROR(IF(G930=0,-2E+300,CHOOSE(sortIdx,ROUND(D930,0),IF(J930="",-1E+300,ROUND(-J930,6)),IF(J930="",-1E+300,ROUND(J930,6)))),-1.5E+300))</f>
        <v/>
      </c>
      <c r="L930" t="str">
        <f>IF(K930="","",RANK(K930,$K$2:$K$3001,0)+COUNTIF($K$2:K930,K930)-1)</f>
        <v/>
      </c>
    </row>
    <row r="931">
      <c r="B931" t="str">
        <f>IFERROR(IF(A931="","","="&amp;SUBSTITUTE(SUBSTITUTE(SUBSTITUTE(A931,"~","~~"),"*","~*"),"?","~?")),"")</f>
        <v/>
      </c>
      <c r="C931" t="str">
        <f>IF($B931="","",SUMIFS(dAmt,dCust,$B931,dPer,"&gt;="&amp;pyFrom,dPer,"&lt;="&amp;pyTo,dAmt,"&gt;-1E+300",dFlt1,critFlt1,dFlt2,critFlt2,dFlt3,critFlt3))</f>
        <v/>
      </c>
      <c r="D931" t="str">
        <f>IF($B931="","",SUMIFS(dAmt,dCust,$B931,dPer,"&gt;="&amp;cyFrom,dPer,"&lt;="&amp;cyTo,dAmt,"&gt;-1E+300",dFlt1,critFlt1,dFlt2,critFlt2,dFlt3,critFlt3))</f>
        <v/>
      </c>
      <c r="E931" t="str">
        <f>IF($B931="","",SUMIFS(dQty,dCust,$B931,dPer,"&gt;="&amp;pyFrom,dPer,"&lt;="&amp;pyTo,dQty,"&gt;-1E+300",dFlt1,critFlt1,dFlt2,critFlt2,dFlt3,critFlt3))</f>
        <v/>
      </c>
      <c r="F931" t="str">
        <f>IF($B931="","",SUMIFS(dQty,dCust,$B931,dPer,"&gt;="&amp;cyFrom,dPer,"&lt;="&amp;cyTo,dQty,"&gt;-1E+300",dFlt1,critFlt1,dFlt2,critFlt2,dFlt3,critFlt3))</f>
        <v/>
      </c>
      <c r="G931">
        <f>IF($B931="",0,IFERROR(IF(OR(C931&lt;&gt;0,D931&lt;&gt;0,E931&lt;&gt;0,F931&lt;&gt;0),1,0),1))</f>
        <v>0</v>
      </c>
      <c r="H931" t="str">
        <f>IF(OR(G931=0,E931=0),"",C931/E931)</f>
        <v/>
      </c>
      <c r="I931" t="str">
        <f>IF(OR(G931=0,F931=0),"",D931/F931)</f>
        <v/>
      </c>
      <c r="J931" t="str">
        <f>IF(OR(H931="",I931=""),"",IF(H931=0,"",I931/H931-1))</f>
        <v/>
      </c>
      <c r="K931" t="str">
        <f>IF($B931="","",IFERROR(IF(G931=0,-2E+300,CHOOSE(sortIdx,ROUND(D931,0),IF(J931="",-1E+300,ROUND(-J931,6)),IF(J931="",-1E+300,ROUND(J931,6)))),-1.5E+300))</f>
        <v/>
      </c>
      <c r="L931" t="str">
        <f>IF(K931="","",RANK(K931,$K$2:$K$3001,0)+COUNTIF($K$2:K931,K931)-1)</f>
        <v/>
      </c>
    </row>
    <row r="932">
      <c r="B932" t="str">
        <f>IFERROR(IF(A932="","","="&amp;SUBSTITUTE(SUBSTITUTE(SUBSTITUTE(A932,"~","~~"),"*","~*"),"?","~?")),"")</f>
        <v/>
      </c>
      <c r="C932" t="str">
        <f>IF($B932="","",SUMIFS(dAmt,dCust,$B932,dPer,"&gt;="&amp;pyFrom,dPer,"&lt;="&amp;pyTo,dAmt,"&gt;-1E+300",dFlt1,critFlt1,dFlt2,critFlt2,dFlt3,critFlt3))</f>
        <v/>
      </c>
      <c r="D932" t="str">
        <f>IF($B932="","",SUMIFS(dAmt,dCust,$B932,dPer,"&gt;="&amp;cyFrom,dPer,"&lt;="&amp;cyTo,dAmt,"&gt;-1E+300",dFlt1,critFlt1,dFlt2,critFlt2,dFlt3,critFlt3))</f>
        <v/>
      </c>
      <c r="E932" t="str">
        <f>IF($B932="","",SUMIFS(dQty,dCust,$B932,dPer,"&gt;="&amp;pyFrom,dPer,"&lt;="&amp;pyTo,dQty,"&gt;-1E+300",dFlt1,critFlt1,dFlt2,critFlt2,dFlt3,critFlt3))</f>
        <v/>
      </c>
      <c r="F932" t="str">
        <f>IF($B932="","",SUMIFS(dQty,dCust,$B932,dPer,"&gt;="&amp;cyFrom,dPer,"&lt;="&amp;cyTo,dQty,"&gt;-1E+300",dFlt1,critFlt1,dFlt2,critFlt2,dFlt3,critFlt3))</f>
        <v/>
      </c>
      <c r="G932">
        <f>IF($B932="",0,IFERROR(IF(OR(C932&lt;&gt;0,D932&lt;&gt;0,E932&lt;&gt;0,F932&lt;&gt;0),1,0),1))</f>
        <v>0</v>
      </c>
      <c r="H932" t="str">
        <f>IF(OR(G932=0,E932=0),"",C932/E932)</f>
        <v/>
      </c>
      <c r="I932" t="str">
        <f>IF(OR(G932=0,F932=0),"",D932/F932)</f>
        <v/>
      </c>
      <c r="J932" t="str">
        <f>IF(OR(H932="",I932=""),"",IF(H932=0,"",I932/H932-1))</f>
        <v/>
      </c>
      <c r="K932" t="str">
        <f>IF($B932="","",IFERROR(IF(G932=0,-2E+300,CHOOSE(sortIdx,ROUND(D932,0),IF(J932="",-1E+300,ROUND(-J932,6)),IF(J932="",-1E+300,ROUND(J932,6)))),-1.5E+300))</f>
        <v/>
      </c>
      <c r="L932" t="str">
        <f>IF(K932="","",RANK(K932,$K$2:$K$3001,0)+COUNTIF($K$2:K932,K932)-1)</f>
        <v/>
      </c>
    </row>
    <row r="933">
      <c r="B933" t="str">
        <f>IFERROR(IF(A933="","","="&amp;SUBSTITUTE(SUBSTITUTE(SUBSTITUTE(A933,"~","~~"),"*","~*"),"?","~?")),"")</f>
        <v/>
      </c>
      <c r="C933" t="str">
        <f>IF($B933="","",SUMIFS(dAmt,dCust,$B933,dPer,"&gt;="&amp;pyFrom,dPer,"&lt;="&amp;pyTo,dAmt,"&gt;-1E+300",dFlt1,critFlt1,dFlt2,critFlt2,dFlt3,critFlt3))</f>
        <v/>
      </c>
      <c r="D933" t="str">
        <f>IF($B933="","",SUMIFS(dAmt,dCust,$B933,dPer,"&gt;="&amp;cyFrom,dPer,"&lt;="&amp;cyTo,dAmt,"&gt;-1E+300",dFlt1,critFlt1,dFlt2,critFlt2,dFlt3,critFlt3))</f>
        <v/>
      </c>
      <c r="E933" t="str">
        <f>IF($B933="","",SUMIFS(dQty,dCust,$B933,dPer,"&gt;="&amp;pyFrom,dPer,"&lt;="&amp;pyTo,dQty,"&gt;-1E+300",dFlt1,critFlt1,dFlt2,critFlt2,dFlt3,critFlt3))</f>
        <v/>
      </c>
      <c r="F933" t="str">
        <f>IF($B933="","",SUMIFS(dQty,dCust,$B933,dPer,"&gt;="&amp;cyFrom,dPer,"&lt;="&amp;cyTo,dQty,"&gt;-1E+300",dFlt1,critFlt1,dFlt2,critFlt2,dFlt3,critFlt3))</f>
        <v/>
      </c>
      <c r="G933">
        <f>IF($B933="",0,IFERROR(IF(OR(C933&lt;&gt;0,D933&lt;&gt;0,E933&lt;&gt;0,F933&lt;&gt;0),1,0),1))</f>
        <v>0</v>
      </c>
      <c r="H933" t="str">
        <f>IF(OR(G933=0,E933=0),"",C933/E933)</f>
        <v/>
      </c>
      <c r="I933" t="str">
        <f>IF(OR(G933=0,F933=0),"",D933/F933)</f>
        <v/>
      </c>
      <c r="J933" t="str">
        <f>IF(OR(H933="",I933=""),"",IF(H933=0,"",I933/H933-1))</f>
        <v/>
      </c>
      <c r="K933" t="str">
        <f>IF($B933="","",IFERROR(IF(G933=0,-2E+300,CHOOSE(sortIdx,ROUND(D933,0),IF(J933="",-1E+300,ROUND(-J933,6)),IF(J933="",-1E+300,ROUND(J933,6)))),-1.5E+300))</f>
        <v/>
      </c>
      <c r="L933" t="str">
        <f>IF(K933="","",RANK(K933,$K$2:$K$3001,0)+COUNTIF($K$2:K933,K933)-1)</f>
        <v/>
      </c>
    </row>
    <row r="934">
      <c r="B934" t="str">
        <f>IFERROR(IF(A934="","","="&amp;SUBSTITUTE(SUBSTITUTE(SUBSTITUTE(A934,"~","~~"),"*","~*"),"?","~?")),"")</f>
        <v/>
      </c>
      <c r="C934" t="str">
        <f>IF($B934="","",SUMIFS(dAmt,dCust,$B934,dPer,"&gt;="&amp;pyFrom,dPer,"&lt;="&amp;pyTo,dAmt,"&gt;-1E+300",dFlt1,critFlt1,dFlt2,critFlt2,dFlt3,critFlt3))</f>
        <v/>
      </c>
      <c r="D934" t="str">
        <f>IF($B934="","",SUMIFS(dAmt,dCust,$B934,dPer,"&gt;="&amp;cyFrom,dPer,"&lt;="&amp;cyTo,dAmt,"&gt;-1E+300",dFlt1,critFlt1,dFlt2,critFlt2,dFlt3,critFlt3))</f>
        <v/>
      </c>
      <c r="E934" t="str">
        <f>IF($B934="","",SUMIFS(dQty,dCust,$B934,dPer,"&gt;="&amp;pyFrom,dPer,"&lt;="&amp;pyTo,dQty,"&gt;-1E+300",dFlt1,critFlt1,dFlt2,critFlt2,dFlt3,critFlt3))</f>
        <v/>
      </c>
      <c r="F934" t="str">
        <f>IF($B934="","",SUMIFS(dQty,dCust,$B934,dPer,"&gt;="&amp;cyFrom,dPer,"&lt;="&amp;cyTo,dQty,"&gt;-1E+300",dFlt1,critFlt1,dFlt2,critFlt2,dFlt3,critFlt3))</f>
        <v/>
      </c>
      <c r="G934">
        <f>IF($B934="",0,IFERROR(IF(OR(C934&lt;&gt;0,D934&lt;&gt;0,E934&lt;&gt;0,F934&lt;&gt;0),1,0),1))</f>
        <v>0</v>
      </c>
      <c r="H934" t="str">
        <f>IF(OR(G934=0,E934=0),"",C934/E934)</f>
        <v/>
      </c>
      <c r="I934" t="str">
        <f>IF(OR(G934=0,F934=0),"",D934/F934)</f>
        <v/>
      </c>
      <c r="J934" t="str">
        <f>IF(OR(H934="",I934=""),"",IF(H934=0,"",I934/H934-1))</f>
        <v/>
      </c>
      <c r="K934" t="str">
        <f>IF($B934="","",IFERROR(IF(G934=0,-2E+300,CHOOSE(sortIdx,ROUND(D934,0),IF(J934="",-1E+300,ROUND(-J934,6)),IF(J934="",-1E+300,ROUND(J934,6)))),-1.5E+300))</f>
        <v/>
      </c>
      <c r="L934" t="str">
        <f>IF(K934="","",RANK(K934,$K$2:$K$3001,0)+COUNTIF($K$2:K934,K934)-1)</f>
        <v/>
      </c>
    </row>
    <row r="935">
      <c r="B935" t="str">
        <f>IFERROR(IF(A935="","","="&amp;SUBSTITUTE(SUBSTITUTE(SUBSTITUTE(A935,"~","~~"),"*","~*"),"?","~?")),"")</f>
        <v/>
      </c>
      <c r="C935" t="str">
        <f>IF($B935="","",SUMIFS(dAmt,dCust,$B935,dPer,"&gt;="&amp;pyFrom,dPer,"&lt;="&amp;pyTo,dAmt,"&gt;-1E+300",dFlt1,critFlt1,dFlt2,critFlt2,dFlt3,critFlt3))</f>
        <v/>
      </c>
      <c r="D935" t="str">
        <f>IF($B935="","",SUMIFS(dAmt,dCust,$B935,dPer,"&gt;="&amp;cyFrom,dPer,"&lt;="&amp;cyTo,dAmt,"&gt;-1E+300",dFlt1,critFlt1,dFlt2,critFlt2,dFlt3,critFlt3))</f>
        <v/>
      </c>
      <c r="E935" t="str">
        <f>IF($B935="","",SUMIFS(dQty,dCust,$B935,dPer,"&gt;="&amp;pyFrom,dPer,"&lt;="&amp;pyTo,dQty,"&gt;-1E+300",dFlt1,critFlt1,dFlt2,critFlt2,dFlt3,critFlt3))</f>
        <v/>
      </c>
      <c r="F935" t="str">
        <f>IF($B935="","",SUMIFS(dQty,dCust,$B935,dPer,"&gt;="&amp;cyFrom,dPer,"&lt;="&amp;cyTo,dQty,"&gt;-1E+300",dFlt1,critFlt1,dFlt2,critFlt2,dFlt3,critFlt3))</f>
        <v/>
      </c>
      <c r="G935">
        <f>IF($B935="",0,IFERROR(IF(OR(C935&lt;&gt;0,D935&lt;&gt;0,E935&lt;&gt;0,F935&lt;&gt;0),1,0),1))</f>
        <v>0</v>
      </c>
      <c r="H935" t="str">
        <f>IF(OR(G935=0,E935=0),"",C935/E935)</f>
        <v/>
      </c>
      <c r="I935" t="str">
        <f>IF(OR(G935=0,F935=0),"",D935/F935)</f>
        <v/>
      </c>
      <c r="J935" t="str">
        <f>IF(OR(H935="",I935=""),"",IF(H935=0,"",I935/H935-1))</f>
        <v/>
      </c>
      <c r="K935" t="str">
        <f>IF($B935="","",IFERROR(IF(G935=0,-2E+300,CHOOSE(sortIdx,ROUND(D935,0),IF(J935="",-1E+300,ROUND(-J935,6)),IF(J935="",-1E+300,ROUND(J935,6)))),-1.5E+300))</f>
        <v/>
      </c>
      <c r="L935" t="str">
        <f>IF(K935="","",RANK(K935,$K$2:$K$3001,0)+COUNTIF($K$2:K935,K935)-1)</f>
        <v/>
      </c>
    </row>
    <row r="936">
      <c r="B936" t="str">
        <f>IFERROR(IF(A936="","","="&amp;SUBSTITUTE(SUBSTITUTE(SUBSTITUTE(A936,"~","~~"),"*","~*"),"?","~?")),"")</f>
        <v/>
      </c>
      <c r="C936" t="str">
        <f>IF($B936="","",SUMIFS(dAmt,dCust,$B936,dPer,"&gt;="&amp;pyFrom,dPer,"&lt;="&amp;pyTo,dAmt,"&gt;-1E+300",dFlt1,critFlt1,dFlt2,critFlt2,dFlt3,critFlt3))</f>
        <v/>
      </c>
      <c r="D936" t="str">
        <f>IF($B936="","",SUMIFS(dAmt,dCust,$B936,dPer,"&gt;="&amp;cyFrom,dPer,"&lt;="&amp;cyTo,dAmt,"&gt;-1E+300",dFlt1,critFlt1,dFlt2,critFlt2,dFlt3,critFlt3))</f>
        <v/>
      </c>
      <c r="E936" t="str">
        <f>IF($B936="","",SUMIFS(dQty,dCust,$B936,dPer,"&gt;="&amp;pyFrom,dPer,"&lt;="&amp;pyTo,dQty,"&gt;-1E+300",dFlt1,critFlt1,dFlt2,critFlt2,dFlt3,critFlt3))</f>
        <v/>
      </c>
      <c r="F936" t="str">
        <f>IF($B936="","",SUMIFS(dQty,dCust,$B936,dPer,"&gt;="&amp;cyFrom,dPer,"&lt;="&amp;cyTo,dQty,"&gt;-1E+300",dFlt1,critFlt1,dFlt2,critFlt2,dFlt3,critFlt3))</f>
        <v/>
      </c>
      <c r="G936">
        <f>IF($B936="",0,IFERROR(IF(OR(C936&lt;&gt;0,D936&lt;&gt;0,E936&lt;&gt;0,F936&lt;&gt;0),1,0),1))</f>
        <v>0</v>
      </c>
      <c r="H936" t="str">
        <f>IF(OR(G936=0,E936=0),"",C936/E936)</f>
        <v/>
      </c>
      <c r="I936" t="str">
        <f>IF(OR(G936=0,F936=0),"",D936/F936)</f>
        <v/>
      </c>
      <c r="J936" t="str">
        <f>IF(OR(H936="",I936=""),"",IF(H936=0,"",I936/H936-1))</f>
        <v/>
      </c>
      <c r="K936" t="str">
        <f>IF($B936="","",IFERROR(IF(G936=0,-2E+300,CHOOSE(sortIdx,ROUND(D936,0),IF(J936="",-1E+300,ROUND(-J936,6)),IF(J936="",-1E+300,ROUND(J936,6)))),-1.5E+300))</f>
        <v/>
      </c>
      <c r="L936" t="str">
        <f>IF(K936="","",RANK(K936,$K$2:$K$3001,0)+COUNTIF($K$2:K936,K936)-1)</f>
        <v/>
      </c>
    </row>
    <row r="937">
      <c r="B937" t="str">
        <f>IFERROR(IF(A937="","","="&amp;SUBSTITUTE(SUBSTITUTE(SUBSTITUTE(A937,"~","~~"),"*","~*"),"?","~?")),"")</f>
        <v/>
      </c>
      <c r="C937" t="str">
        <f>IF($B937="","",SUMIFS(dAmt,dCust,$B937,dPer,"&gt;="&amp;pyFrom,dPer,"&lt;="&amp;pyTo,dAmt,"&gt;-1E+300",dFlt1,critFlt1,dFlt2,critFlt2,dFlt3,critFlt3))</f>
        <v/>
      </c>
      <c r="D937" t="str">
        <f>IF($B937="","",SUMIFS(dAmt,dCust,$B937,dPer,"&gt;="&amp;cyFrom,dPer,"&lt;="&amp;cyTo,dAmt,"&gt;-1E+300",dFlt1,critFlt1,dFlt2,critFlt2,dFlt3,critFlt3))</f>
        <v/>
      </c>
      <c r="E937" t="str">
        <f>IF($B937="","",SUMIFS(dQty,dCust,$B937,dPer,"&gt;="&amp;pyFrom,dPer,"&lt;="&amp;pyTo,dQty,"&gt;-1E+300",dFlt1,critFlt1,dFlt2,critFlt2,dFlt3,critFlt3))</f>
        <v/>
      </c>
      <c r="F937" t="str">
        <f>IF($B937="","",SUMIFS(dQty,dCust,$B937,dPer,"&gt;="&amp;cyFrom,dPer,"&lt;="&amp;cyTo,dQty,"&gt;-1E+300",dFlt1,critFlt1,dFlt2,critFlt2,dFlt3,critFlt3))</f>
        <v/>
      </c>
      <c r="G937">
        <f>IF($B937="",0,IFERROR(IF(OR(C937&lt;&gt;0,D937&lt;&gt;0,E937&lt;&gt;0,F937&lt;&gt;0),1,0),1))</f>
        <v>0</v>
      </c>
      <c r="H937" t="str">
        <f>IF(OR(G937=0,E937=0),"",C937/E937)</f>
        <v/>
      </c>
      <c r="I937" t="str">
        <f>IF(OR(G937=0,F937=0),"",D937/F937)</f>
        <v/>
      </c>
      <c r="J937" t="str">
        <f>IF(OR(H937="",I937=""),"",IF(H937=0,"",I937/H937-1))</f>
        <v/>
      </c>
      <c r="K937" t="str">
        <f>IF($B937="","",IFERROR(IF(G937=0,-2E+300,CHOOSE(sortIdx,ROUND(D937,0),IF(J937="",-1E+300,ROUND(-J937,6)),IF(J937="",-1E+300,ROUND(J937,6)))),-1.5E+300))</f>
        <v/>
      </c>
      <c r="L937" t="str">
        <f>IF(K937="","",RANK(K937,$K$2:$K$3001,0)+COUNTIF($K$2:K937,K937)-1)</f>
        <v/>
      </c>
    </row>
    <row r="938">
      <c r="B938" t="str">
        <f>IFERROR(IF(A938="","","="&amp;SUBSTITUTE(SUBSTITUTE(SUBSTITUTE(A938,"~","~~"),"*","~*"),"?","~?")),"")</f>
        <v/>
      </c>
      <c r="C938" t="str">
        <f>IF($B938="","",SUMIFS(dAmt,dCust,$B938,dPer,"&gt;="&amp;pyFrom,dPer,"&lt;="&amp;pyTo,dAmt,"&gt;-1E+300",dFlt1,critFlt1,dFlt2,critFlt2,dFlt3,critFlt3))</f>
        <v/>
      </c>
      <c r="D938" t="str">
        <f>IF($B938="","",SUMIFS(dAmt,dCust,$B938,dPer,"&gt;="&amp;cyFrom,dPer,"&lt;="&amp;cyTo,dAmt,"&gt;-1E+300",dFlt1,critFlt1,dFlt2,critFlt2,dFlt3,critFlt3))</f>
        <v/>
      </c>
      <c r="E938" t="str">
        <f>IF($B938="","",SUMIFS(dQty,dCust,$B938,dPer,"&gt;="&amp;pyFrom,dPer,"&lt;="&amp;pyTo,dQty,"&gt;-1E+300",dFlt1,critFlt1,dFlt2,critFlt2,dFlt3,critFlt3))</f>
        <v/>
      </c>
      <c r="F938" t="str">
        <f>IF($B938="","",SUMIFS(dQty,dCust,$B938,dPer,"&gt;="&amp;cyFrom,dPer,"&lt;="&amp;cyTo,dQty,"&gt;-1E+300",dFlt1,critFlt1,dFlt2,critFlt2,dFlt3,critFlt3))</f>
        <v/>
      </c>
      <c r="G938">
        <f>IF($B938="",0,IFERROR(IF(OR(C938&lt;&gt;0,D938&lt;&gt;0,E938&lt;&gt;0,F938&lt;&gt;0),1,0),1))</f>
        <v>0</v>
      </c>
      <c r="H938" t="str">
        <f>IF(OR(G938=0,E938=0),"",C938/E938)</f>
        <v/>
      </c>
      <c r="I938" t="str">
        <f>IF(OR(G938=0,F938=0),"",D938/F938)</f>
        <v/>
      </c>
      <c r="J938" t="str">
        <f>IF(OR(H938="",I938=""),"",IF(H938=0,"",I938/H938-1))</f>
        <v/>
      </c>
      <c r="K938" t="str">
        <f>IF($B938="","",IFERROR(IF(G938=0,-2E+300,CHOOSE(sortIdx,ROUND(D938,0),IF(J938="",-1E+300,ROUND(-J938,6)),IF(J938="",-1E+300,ROUND(J938,6)))),-1.5E+300))</f>
        <v/>
      </c>
      <c r="L938" t="str">
        <f>IF(K938="","",RANK(K938,$K$2:$K$3001,0)+COUNTIF($K$2:K938,K938)-1)</f>
        <v/>
      </c>
    </row>
    <row r="939">
      <c r="B939" t="str">
        <f>IFERROR(IF(A939="","","="&amp;SUBSTITUTE(SUBSTITUTE(SUBSTITUTE(A939,"~","~~"),"*","~*"),"?","~?")),"")</f>
        <v/>
      </c>
      <c r="C939" t="str">
        <f>IF($B939="","",SUMIFS(dAmt,dCust,$B939,dPer,"&gt;="&amp;pyFrom,dPer,"&lt;="&amp;pyTo,dAmt,"&gt;-1E+300",dFlt1,critFlt1,dFlt2,critFlt2,dFlt3,critFlt3))</f>
        <v/>
      </c>
      <c r="D939" t="str">
        <f>IF($B939="","",SUMIFS(dAmt,dCust,$B939,dPer,"&gt;="&amp;cyFrom,dPer,"&lt;="&amp;cyTo,dAmt,"&gt;-1E+300",dFlt1,critFlt1,dFlt2,critFlt2,dFlt3,critFlt3))</f>
        <v/>
      </c>
      <c r="E939" t="str">
        <f>IF($B939="","",SUMIFS(dQty,dCust,$B939,dPer,"&gt;="&amp;pyFrom,dPer,"&lt;="&amp;pyTo,dQty,"&gt;-1E+300",dFlt1,critFlt1,dFlt2,critFlt2,dFlt3,critFlt3))</f>
        <v/>
      </c>
      <c r="F939" t="str">
        <f>IF($B939="","",SUMIFS(dQty,dCust,$B939,dPer,"&gt;="&amp;cyFrom,dPer,"&lt;="&amp;cyTo,dQty,"&gt;-1E+300",dFlt1,critFlt1,dFlt2,critFlt2,dFlt3,critFlt3))</f>
        <v/>
      </c>
      <c r="G939">
        <f>IF($B939="",0,IFERROR(IF(OR(C939&lt;&gt;0,D939&lt;&gt;0,E939&lt;&gt;0,F939&lt;&gt;0),1,0),1))</f>
        <v>0</v>
      </c>
      <c r="H939" t="str">
        <f>IF(OR(G939=0,E939=0),"",C939/E939)</f>
        <v/>
      </c>
      <c r="I939" t="str">
        <f>IF(OR(G939=0,F939=0),"",D939/F939)</f>
        <v/>
      </c>
      <c r="J939" t="str">
        <f>IF(OR(H939="",I939=""),"",IF(H939=0,"",I939/H939-1))</f>
        <v/>
      </c>
      <c r="K939" t="str">
        <f>IF($B939="","",IFERROR(IF(G939=0,-2E+300,CHOOSE(sortIdx,ROUND(D939,0),IF(J939="",-1E+300,ROUND(-J939,6)),IF(J939="",-1E+300,ROUND(J939,6)))),-1.5E+300))</f>
        <v/>
      </c>
      <c r="L939" t="str">
        <f>IF(K939="","",RANK(K939,$K$2:$K$3001,0)+COUNTIF($K$2:K939,K939)-1)</f>
        <v/>
      </c>
    </row>
    <row r="940">
      <c r="B940" t="str">
        <f>IFERROR(IF(A940="","","="&amp;SUBSTITUTE(SUBSTITUTE(SUBSTITUTE(A940,"~","~~"),"*","~*"),"?","~?")),"")</f>
        <v/>
      </c>
      <c r="C940" t="str">
        <f>IF($B940="","",SUMIFS(dAmt,dCust,$B940,dPer,"&gt;="&amp;pyFrom,dPer,"&lt;="&amp;pyTo,dAmt,"&gt;-1E+300",dFlt1,critFlt1,dFlt2,critFlt2,dFlt3,critFlt3))</f>
        <v/>
      </c>
      <c r="D940" t="str">
        <f>IF($B940="","",SUMIFS(dAmt,dCust,$B940,dPer,"&gt;="&amp;cyFrom,dPer,"&lt;="&amp;cyTo,dAmt,"&gt;-1E+300",dFlt1,critFlt1,dFlt2,critFlt2,dFlt3,critFlt3))</f>
        <v/>
      </c>
      <c r="E940" t="str">
        <f>IF($B940="","",SUMIFS(dQty,dCust,$B940,dPer,"&gt;="&amp;pyFrom,dPer,"&lt;="&amp;pyTo,dQty,"&gt;-1E+300",dFlt1,critFlt1,dFlt2,critFlt2,dFlt3,critFlt3))</f>
        <v/>
      </c>
      <c r="F940" t="str">
        <f>IF($B940="","",SUMIFS(dQty,dCust,$B940,dPer,"&gt;="&amp;cyFrom,dPer,"&lt;="&amp;cyTo,dQty,"&gt;-1E+300",dFlt1,critFlt1,dFlt2,critFlt2,dFlt3,critFlt3))</f>
        <v/>
      </c>
      <c r="G940">
        <f>IF($B940="",0,IFERROR(IF(OR(C940&lt;&gt;0,D940&lt;&gt;0,E940&lt;&gt;0,F940&lt;&gt;0),1,0),1))</f>
        <v>0</v>
      </c>
      <c r="H940" t="str">
        <f>IF(OR(G940=0,E940=0),"",C940/E940)</f>
        <v/>
      </c>
      <c r="I940" t="str">
        <f>IF(OR(G940=0,F940=0),"",D940/F940)</f>
        <v/>
      </c>
      <c r="J940" t="str">
        <f>IF(OR(H940="",I940=""),"",IF(H940=0,"",I940/H940-1))</f>
        <v/>
      </c>
      <c r="K940" t="str">
        <f>IF($B940="","",IFERROR(IF(G940=0,-2E+300,CHOOSE(sortIdx,ROUND(D940,0),IF(J940="",-1E+300,ROUND(-J940,6)),IF(J940="",-1E+300,ROUND(J940,6)))),-1.5E+300))</f>
        <v/>
      </c>
      <c r="L940" t="str">
        <f>IF(K940="","",RANK(K940,$K$2:$K$3001,0)+COUNTIF($K$2:K940,K940)-1)</f>
        <v/>
      </c>
    </row>
    <row r="941">
      <c r="B941" t="str">
        <f>IFERROR(IF(A941="","","="&amp;SUBSTITUTE(SUBSTITUTE(SUBSTITUTE(A941,"~","~~"),"*","~*"),"?","~?")),"")</f>
        <v/>
      </c>
      <c r="C941" t="str">
        <f>IF($B941="","",SUMIFS(dAmt,dCust,$B941,dPer,"&gt;="&amp;pyFrom,dPer,"&lt;="&amp;pyTo,dAmt,"&gt;-1E+300",dFlt1,critFlt1,dFlt2,critFlt2,dFlt3,critFlt3))</f>
        <v/>
      </c>
      <c r="D941" t="str">
        <f>IF($B941="","",SUMIFS(dAmt,dCust,$B941,dPer,"&gt;="&amp;cyFrom,dPer,"&lt;="&amp;cyTo,dAmt,"&gt;-1E+300",dFlt1,critFlt1,dFlt2,critFlt2,dFlt3,critFlt3))</f>
        <v/>
      </c>
      <c r="E941" t="str">
        <f>IF($B941="","",SUMIFS(dQty,dCust,$B941,dPer,"&gt;="&amp;pyFrom,dPer,"&lt;="&amp;pyTo,dQty,"&gt;-1E+300",dFlt1,critFlt1,dFlt2,critFlt2,dFlt3,critFlt3))</f>
        <v/>
      </c>
      <c r="F941" t="str">
        <f>IF($B941="","",SUMIFS(dQty,dCust,$B941,dPer,"&gt;="&amp;cyFrom,dPer,"&lt;="&amp;cyTo,dQty,"&gt;-1E+300",dFlt1,critFlt1,dFlt2,critFlt2,dFlt3,critFlt3))</f>
        <v/>
      </c>
      <c r="G941">
        <f>IF($B941="",0,IFERROR(IF(OR(C941&lt;&gt;0,D941&lt;&gt;0,E941&lt;&gt;0,F941&lt;&gt;0),1,0),1))</f>
        <v>0</v>
      </c>
      <c r="H941" t="str">
        <f>IF(OR(G941=0,E941=0),"",C941/E941)</f>
        <v/>
      </c>
      <c r="I941" t="str">
        <f>IF(OR(G941=0,F941=0),"",D941/F941)</f>
        <v/>
      </c>
      <c r="J941" t="str">
        <f>IF(OR(H941="",I941=""),"",IF(H941=0,"",I941/H941-1))</f>
        <v/>
      </c>
      <c r="K941" t="str">
        <f>IF($B941="","",IFERROR(IF(G941=0,-2E+300,CHOOSE(sortIdx,ROUND(D941,0),IF(J941="",-1E+300,ROUND(-J941,6)),IF(J941="",-1E+300,ROUND(J941,6)))),-1.5E+300))</f>
        <v/>
      </c>
      <c r="L941" t="str">
        <f>IF(K941="","",RANK(K941,$K$2:$K$3001,0)+COUNTIF($K$2:K941,K941)-1)</f>
        <v/>
      </c>
    </row>
    <row r="942">
      <c r="B942" t="str">
        <f>IFERROR(IF(A942="","","="&amp;SUBSTITUTE(SUBSTITUTE(SUBSTITUTE(A942,"~","~~"),"*","~*"),"?","~?")),"")</f>
        <v/>
      </c>
      <c r="C942" t="str">
        <f>IF($B942="","",SUMIFS(dAmt,dCust,$B942,dPer,"&gt;="&amp;pyFrom,dPer,"&lt;="&amp;pyTo,dAmt,"&gt;-1E+300",dFlt1,critFlt1,dFlt2,critFlt2,dFlt3,critFlt3))</f>
        <v/>
      </c>
      <c r="D942" t="str">
        <f>IF($B942="","",SUMIFS(dAmt,dCust,$B942,dPer,"&gt;="&amp;cyFrom,dPer,"&lt;="&amp;cyTo,dAmt,"&gt;-1E+300",dFlt1,critFlt1,dFlt2,critFlt2,dFlt3,critFlt3))</f>
        <v/>
      </c>
      <c r="E942" t="str">
        <f>IF($B942="","",SUMIFS(dQty,dCust,$B942,dPer,"&gt;="&amp;pyFrom,dPer,"&lt;="&amp;pyTo,dQty,"&gt;-1E+300",dFlt1,critFlt1,dFlt2,critFlt2,dFlt3,critFlt3))</f>
        <v/>
      </c>
      <c r="F942" t="str">
        <f>IF($B942="","",SUMIFS(dQty,dCust,$B942,dPer,"&gt;="&amp;cyFrom,dPer,"&lt;="&amp;cyTo,dQty,"&gt;-1E+300",dFlt1,critFlt1,dFlt2,critFlt2,dFlt3,critFlt3))</f>
        <v/>
      </c>
      <c r="G942">
        <f>IF($B942="",0,IFERROR(IF(OR(C942&lt;&gt;0,D942&lt;&gt;0,E942&lt;&gt;0,F942&lt;&gt;0),1,0),1))</f>
        <v>0</v>
      </c>
      <c r="H942" t="str">
        <f>IF(OR(G942=0,E942=0),"",C942/E942)</f>
        <v/>
      </c>
      <c r="I942" t="str">
        <f>IF(OR(G942=0,F942=0),"",D942/F942)</f>
        <v/>
      </c>
      <c r="J942" t="str">
        <f>IF(OR(H942="",I942=""),"",IF(H942=0,"",I942/H942-1))</f>
        <v/>
      </c>
      <c r="K942" t="str">
        <f>IF($B942="","",IFERROR(IF(G942=0,-2E+300,CHOOSE(sortIdx,ROUND(D942,0),IF(J942="",-1E+300,ROUND(-J942,6)),IF(J942="",-1E+300,ROUND(J942,6)))),-1.5E+300))</f>
        <v/>
      </c>
      <c r="L942" t="str">
        <f>IF(K942="","",RANK(K942,$K$2:$K$3001,0)+COUNTIF($K$2:K942,K942)-1)</f>
        <v/>
      </c>
    </row>
    <row r="943">
      <c r="B943" t="str">
        <f>IFERROR(IF(A943="","","="&amp;SUBSTITUTE(SUBSTITUTE(SUBSTITUTE(A943,"~","~~"),"*","~*"),"?","~?")),"")</f>
        <v/>
      </c>
      <c r="C943" t="str">
        <f>IF($B943="","",SUMIFS(dAmt,dCust,$B943,dPer,"&gt;="&amp;pyFrom,dPer,"&lt;="&amp;pyTo,dAmt,"&gt;-1E+300",dFlt1,critFlt1,dFlt2,critFlt2,dFlt3,critFlt3))</f>
        <v/>
      </c>
      <c r="D943" t="str">
        <f>IF($B943="","",SUMIFS(dAmt,dCust,$B943,dPer,"&gt;="&amp;cyFrom,dPer,"&lt;="&amp;cyTo,dAmt,"&gt;-1E+300",dFlt1,critFlt1,dFlt2,critFlt2,dFlt3,critFlt3))</f>
        <v/>
      </c>
      <c r="E943" t="str">
        <f>IF($B943="","",SUMIFS(dQty,dCust,$B943,dPer,"&gt;="&amp;pyFrom,dPer,"&lt;="&amp;pyTo,dQty,"&gt;-1E+300",dFlt1,critFlt1,dFlt2,critFlt2,dFlt3,critFlt3))</f>
        <v/>
      </c>
      <c r="F943" t="str">
        <f>IF($B943="","",SUMIFS(dQty,dCust,$B943,dPer,"&gt;="&amp;cyFrom,dPer,"&lt;="&amp;cyTo,dQty,"&gt;-1E+300",dFlt1,critFlt1,dFlt2,critFlt2,dFlt3,critFlt3))</f>
        <v/>
      </c>
      <c r="G943">
        <f>IF($B943="",0,IFERROR(IF(OR(C943&lt;&gt;0,D943&lt;&gt;0,E943&lt;&gt;0,F943&lt;&gt;0),1,0),1))</f>
        <v>0</v>
      </c>
      <c r="H943" t="str">
        <f>IF(OR(G943=0,E943=0),"",C943/E943)</f>
        <v/>
      </c>
      <c r="I943" t="str">
        <f>IF(OR(G943=0,F943=0),"",D943/F943)</f>
        <v/>
      </c>
      <c r="J943" t="str">
        <f>IF(OR(H943="",I943=""),"",IF(H943=0,"",I943/H943-1))</f>
        <v/>
      </c>
      <c r="K943" t="str">
        <f>IF($B943="","",IFERROR(IF(G943=0,-2E+300,CHOOSE(sortIdx,ROUND(D943,0),IF(J943="",-1E+300,ROUND(-J943,6)),IF(J943="",-1E+300,ROUND(J943,6)))),-1.5E+300))</f>
        <v/>
      </c>
      <c r="L943" t="str">
        <f>IF(K943="","",RANK(K943,$K$2:$K$3001,0)+COUNTIF($K$2:K943,K943)-1)</f>
        <v/>
      </c>
    </row>
    <row r="944">
      <c r="B944" t="str">
        <f>IFERROR(IF(A944="","","="&amp;SUBSTITUTE(SUBSTITUTE(SUBSTITUTE(A944,"~","~~"),"*","~*"),"?","~?")),"")</f>
        <v/>
      </c>
      <c r="C944" t="str">
        <f>IF($B944="","",SUMIFS(dAmt,dCust,$B944,dPer,"&gt;="&amp;pyFrom,dPer,"&lt;="&amp;pyTo,dAmt,"&gt;-1E+300",dFlt1,critFlt1,dFlt2,critFlt2,dFlt3,critFlt3))</f>
        <v/>
      </c>
      <c r="D944" t="str">
        <f>IF($B944="","",SUMIFS(dAmt,dCust,$B944,dPer,"&gt;="&amp;cyFrom,dPer,"&lt;="&amp;cyTo,dAmt,"&gt;-1E+300",dFlt1,critFlt1,dFlt2,critFlt2,dFlt3,critFlt3))</f>
        <v/>
      </c>
      <c r="E944" t="str">
        <f>IF($B944="","",SUMIFS(dQty,dCust,$B944,dPer,"&gt;="&amp;pyFrom,dPer,"&lt;="&amp;pyTo,dQty,"&gt;-1E+300",dFlt1,critFlt1,dFlt2,critFlt2,dFlt3,critFlt3))</f>
        <v/>
      </c>
      <c r="F944" t="str">
        <f>IF($B944="","",SUMIFS(dQty,dCust,$B944,dPer,"&gt;="&amp;cyFrom,dPer,"&lt;="&amp;cyTo,dQty,"&gt;-1E+300",dFlt1,critFlt1,dFlt2,critFlt2,dFlt3,critFlt3))</f>
        <v/>
      </c>
      <c r="G944">
        <f>IF($B944="",0,IFERROR(IF(OR(C944&lt;&gt;0,D944&lt;&gt;0,E944&lt;&gt;0,F944&lt;&gt;0),1,0),1))</f>
        <v>0</v>
      </c>
      <c r="H944" t="str">
        <f>IF(OR(G944=0,E944=0),"",C944/E944)</f>
        <v/>
      </c>
      <c r="I944" t="str">
        <f>IF(OR(G944=0,F944=0),"",D944/F944)</f>
        <v/>
      </c>
      <c r="J944" t="str">
        <f>IF(OR(H944="",I944=""),"",IF(H944=0,"",I944/H944-1))</f>
        <v/>
      </c>
      <c r="K944" t="str">
        <f>IF($B944="","",IFERROR(IF(G944=0,-2E+300,CHOOSE(sortIdx,ROUND(D944,0),IF(J944="",-1E+300,ROUND(-J944,6)),IF(J944="",-1E+300,ROUND(J944,6)))),-1.5E+300))</f>
        <v/>
      </c>
      <c r="L944" t="str">
        <f>IF(K944="","",RANK(K944,$K$2:$K$3001,0)+COUNTIF($K$2:K944,K944)-1)</f>
        <v/>
      </c>
    </row>
    <row r="945">
      <c r="B945" t="str">
        <f>IFERROR(IF(A945="","","="&amp;SUBSTITUTE(SUBSTITUTE(SUBSTITUTE(A945,"~","~~"),"*","~*"),"?","~?")),"")</f>
        <v/>
      </c>
      <c r="C945" t="str">
        <f>IF($B945="","",SUMIFS(dAmt,dCust,$B945,dPer,"&gt;="&amp;pyFrom,dPer,"&lt;="&amp;pyTo,dAmt,"&gt;-1E+300",dFlt1,critFlt1,dFlt2,critFlt2,dFlt3,critFlt3))</f>
        <v/>
      </c>
      <c r="D945" t="str">
        <f>IF($B945="","",SUMIFS(dAmt,dCust,$B945,dPer,"&gt;="&amp;cyFrom,dPer,"&lt;="&amp;cyTo,dAmt,"&gt;-1E+300",dFlt1,critFlt1,dFlt2,critFlt2,dFlt3,critFlt3))</f>
        <v/>
      </c>
      <c r="E945" t="str">
        <f>IF($B945="","",SUMIFS(dQty,dCust,$B945,dPer,"&gt;="&amp;pyFrom,dPer,"&lt;="&amp;pyTo,dQty,"&gt;-1E+300",dFlt1,critFlt1,dFlt2,critFlt2,dFlt3,critFlt3))</f>
        <v/>
      </c>
      <c r="F945" t="str">
        <f>IF($B945="","",SUMIFS(dQty,dCust,$B945,dPer,"&gt;="&amp;cyFrom,dPer,"&lt;="&amp;cyTo,dQty,"&gt;-1E+300",dFlt1,critFlt1,dFlt2,critFlt2,dFlt3,critFlt3))</f>
        <v/>
      </c>
      <c r="G945">
        <f>IF($B945="",0,IFERROR(IF(OR(C945&lt;&gt;0,D945&lt;&gt;0,E945&lt;&gt;0,F945&lt;&gt;0),1,0),1))</f>
        <v>0</v>
      </c>
      <c r="H945" t="str">
        <f>IF(OR(G945=0,E945=0),"",C945/E945)</f>
        <v/>
      </c>
      <c r="I945" t="str">
        <f>IF(OR(G945=0,F945=0),"",D945/F945)</f>
        <v/>
      </c>
      <c r="J945" t="str">
        <f>IF(OR(H945="",I945=""),"",IF(H945=0,"",I945/H945-1))</f>
        <v/>
      </c>
      <c r="K945" t="str">
        <f>IF($B945="","",IFERROR(IF(G945=0,-2E+300,CHOOSE(sortIdx,ROUND(D945,0),IF(J945="",-1E+300,ROUND(-J945,6)),IF(J945="",-1E+300,ROUND(J945,6)))),-1.5E+300))</f>
        <v/>
      </c>
      <c r="L945" t="str">
        <f>IF(K945="","",RANK(K945,$K$2:$K$3001,0)+COUNTIF($K$2:K945,K945)-1)</f>
        <v/>
      </c>
    </row>
    <row r="946">
      <c r="B946" t="str">
        <f>IFERROR(IF(A946="","","="&amp;SUBSTITUTE(SUBSTITUTE(SUBSTITUTE(A946,"~","~~"),"*","~*"),"?","~?")),"")</f>
        <v/>
      </c>
      <c r="C946" t="str">
        <f>IF($B946="","",SUMIFS(dAmt,dCust,$B946,dPer,"&gt;="&amp;pyFrom,dPer,"&lt;="&amp;pyTo,dAmt,"&gt;-1E+300",dFlt1,critFlt1,dFlt2,critFlt2,dFlt3,critFlt3))</f>
        <v/>
      </c>
      <c r="D946" t="str">
        <f>IF($B946="","",SUMIFS(dAmt,dCust,$B946,dPer,"&gt;="&amp;cyFrom,dPer,"&lt;="&amp;cyTo,dAmt,"&gt;-1E+300",dFlt1,critFlt1,dFlt2,critFlt2,dFlt3,critFlt3))</f>
        <v/>
      </c>
      <c r="E946" t="str">
        <f>IF($B946="","",SUMIFS(dQty,dCust,$B946,dPer,"&gt;="&amp;pyFrom,dPer,"&lt;="&amp;pyTo,dQty,"&gt;-1E+300",dFlt1,critFlt1,dFlt2,critFlt2,dFlt3,critFlt3))</f>
        <v/>
      </c>
      <c r="F946" t="str">
        <f>IF($B946="","",SUMIFS(dQty,dCust,$B946,dPer,"&gt;="&amp;cyFrom,dPer,"&lt;="&amp;cyTo,dQty,"&gt;-1E+300",dFlt1,critFlt1,dFlt2,critFlt2,dFlt3,critFlt3))</f>
        <v/>
      </c>
      <c r="G946">
        <f>IF($B946="",0,IFERROR(IF(OR(C946&lt;&gt;0,D946&lt;&gt;0,E946&lt;&gt;0,F946&lt;&gt;0),1,0),1))</f>
        <v>0</v>
      </c>
      <c r="H946" t="str">
        <f>IF(OR(G946=0,E946=0),"",C946/E946)</f>
        <v/>
      </c>
      <c r="I946" t="str">
        <f>IF(OR(G946=0,F946=0),"",D946/F946)</f>
        <v/>
      </c>
      <c r="J946" t="str">
        <f>IF(OR(H946="",I946=""),"",IF(H946=0,"",I946/H946-1))</f>
        <v/>
      </c>
      <c r="K946" t="str">
        <f>IF($B946="","",IFERROR(IF(G946=0,-2E+300,CHOOSE(sortIdx,ROUND(D946,0),IF(J946="",-1E+300,ROUND(-J946,6)),IF(J946="",-1E+300,ROUND(J946,6)))),-1.5E+300))</f>
        <v/>
      </c>
      <c r="L946" t="str">
        <f>IF(K946="","",RANK(K946,$K$2:$K$3001,0)+COUNTIF($K$2:K946,K946)-1)</f>
        <v/>
      </c>
    </row>
    <row r="947">
      <c r="B947" t="str">
        <f>IFERROR(IF(A947="","","="&amp;SUBSTITUTE(SUBSTITUTE(SUBSTITUTE(A947,"~","~~"),"*","~*"),"?","~?")),"")</f>
        <v/>
      </c>
      <c r="C947" t="str">
        <f>IF($B947="","",SUMIFS(dAmt,dCust,$B947,dPer,"&gt;="&amp;pyFrom,dPer,"&lt;="&amp;pyTo,dAmt,"&gt;-1E+300",dFlt1,critFlt1,dFlt2,critFlt2,dFlt3,critFlt3))</f>
        <v/>
      </c>
      <c r="D947" t="str">
        <f>IF($B947="","",SUMIFS(dAmt,dCust,$B947,dPer,"&gt;="&amp;cyFrom,dPer,"&lt;="&amp;cyTo,dAmt,"&gt;-1E+300",dFlt1,critFlt1,dFlt2,critFlt2,dFlt3,critFlt3))</f>
        <v/>
      </c>
      <c r="E947" t="str">
        <f>IF($B947="","",SUMIFS(dQty,dCust,$B947,dPer,"&gt;="&amp;pyFrom,dPer,"&lt;="&amp;pyTo,dQty,"&gt;-1E+300",dFlt1,critFlt1,dFlt2,critFlt2,dFlt3,critFlt3))</f>
        <v/>
      </c>
      <c r="F947" t="str">
        <f>IF($B947="","",SUMIFS(dQty,dCust,$B947,dPer,"&gt;="&amp;cyFrom,dPer,"&lt;="&amp;cyTo,dQty,"&gt;-1E+300",dFlt1,critFlt1,dFlt2,critFlt2,dFlt3,critFlt3))</f>
        <v/>
      </c>
      <c r="G947">
        <f>IF($B947="",0,IFERROR(IF(OR(C947&lt;&gt;0,D947&lt;&gt;0,E947&lt;&gt;0,F947&lt;&gt;0),1,0),1))</f>
        <v>0</v>
      </c>
      <c r="H947" t="str">
        <f>IF(OR(G947=0,E947=0),"",C947/E947)</f>
        <v/>
      </c>
      <c r="I947" t="str">
        <f>IF(OR(G947=0,F947=0),"",D947/F947)</f>
        <v/>
      </c>
      <c r="J947" t="str">
        <f>IF(OR(H947="",I947=""),"",IF(H947=0,"",I947/H947-1))</f>
        <v/>
      </c>
      <c r="K947" t="str">
        <f>IF($B947="","",IFERROR(IF(G947=0,-2E+300,CHOOSE(sortIdx,ROUND(D947,0),IF(J947="",-1E+300,ROUND(-J947,6)),IF(J947="",-1E+300,ROUND(J947,6)))),-1.5E+300))</f>
        <v/>
      </c>
      <c r="L947" t="str">
        <f>IF(K947="","",RANK(K947,$K$2:$K$3001,0)+COUNTIF($K$2:K947,K947)-1)</f>
        <v/>
      </c>
    </row>
    <row r="948">
      <c r="B948" t="str">
        <f>IFERROR(IF(A948="","","="&amp;SUBSTITUTE(SUBSTITUTE(SUBSTITUTE(A948,"~","~~"),"*","~*"),"?","~?")),"")</f>
        <v/>
      </c>
      <c r="C948" t="str">
        <f>IF($B948="","",SUMIFS(dAmt,dCust,$B948,dPer,"&gt;="&amp;pyFrom,dPer,"&lt;="&amp;pyTo,dAmt,"&gt;-1E+300",dFlt1,critFlt1,dFlt2,critFlt2,dFlt3,critFlt3))</f>
        <v/>
      </c>
      <c r="D948" t="str">
        <f>IF($B948="","",SUMIFS(dAmt,dCust,$B948,dPer,"&gt;="&amp;cyFrom,dPer,"&lt;="&amp;cyTo,dAmt,"&gt;-1E+300",dFlt1,critFlt1,dFlt2,critFlt2,dFlt3,critFlt3))</f>
        <v/>
      </c>
      <c r="E948" t="str">
        <f>IF($B948="","",SUMIFS(dQty,dCust,$B948,dPer,"&gt;="&amp;pyFrom,dPer,"&lt;="&amp;pyTo,dQty,"&gt;-1E+300",dFlt1,critFlt1,dFlt2,critFlt2,dFlt3,critFlt3))</f>
        <v/>
      </c>
      <c r="F948" t="str">
        <f>IF($B948="","",SUMIFS(dQty,dCust,$B948,dPer,"&gt;="&amp;cyFrom,dPer,"&lt;="&amp;cyTo,dQty,"&gt;-1E+300",dFlt1,critFlt1,dFlt2,critFlt2,dFlt3,critFlt3))</f>
        <v/>
      </c>
      <c r="G948">
        <f>IF($B948="",0,IFERROR(IF(OR(C948&lt;&gt;0,D948&lt;&gt;0,E948&lt;&gt;0,F948&lt;&gt;0),1,0),1))</f>
        <v>0</v>
      </c>
      <c r="H948" t="str">
        <f>IF(OR(G948=0,E948=0),"",C948/E948)</f>
        <v/>
      </c>
      <c r="I948" t="str">
        <f>IF(OR(G948=0,F948=0),"",D948/F948)</f>
        <v/>
      </c>
      <c r="J948" t="str">
        <f>IF(OR(H948="",I948=""),"",IF(H948=0,"",I948/H948-1))</f>
        <v/>
      </c>
      <c r="K948" t="str">
        <f>IF($B948="","",IFERROR(IF(G948=0,-2E+300,CHOOSE(sortIdx,ROUND(D948,0),IF(J948="",-1E+300,ROUND(-J948,6)),IF(J948="",-1E+300,ROUND(J948,6)))),-1.5E+300))</f>
        <v/>
      </c>
      <c r="L948" t="str">
        <f>IF(K948="","",RANK(K948,$K$2:$K$3001,0)+COUNTIF($K$2:K948,K948)-1)</f>
        <v/>
      </c>
    </row>
    <row r="949">
      <c r="B949" t="str">
        <f>IFERROR(IF(A949="","","="&amp;SUBSTITUTE(SUBSTITUTE(SUBSTITUTE(A949,"~","~~"),"*","~*"),"?","~?")),"")</f>
        <v/>
      </c>
      <c r="C949" t="str">
        <f>IF($B949="","",SUMIFS(dAmt,dCust,$B949,dPer,"&gt;="&amp;pyFrom,dPer,"&lt;="&amp;pyTo,dAmt,"&gt;-1E+300",dFlt1,critFlt1,dFlt2,critFlt2,dFlt3,critFlt3))</f>
        <v/>
      </c>
      <c r="D949" t="str">
        <f>IF($B949="","",SUMIFS(dAmt,dCust,$B949,dPer,"&gt;="&amp;cyFrom,dPer,"&lt;="&amp;cyTo,dAmt,"&gt;-1E+300",dFlt1,critFlt1,dFlt2,critFlt2,dFlt3,critFlt3))</f>
        <v/>
      </c>
      <c r="E949" t="str">
        <f>IF($B949="","",SUMIFS(dQty,dCust,$B949,dPer,"&gt;="&amp;pyFrom,dPer,"&lt;="&amp;pyTo,dQty,"&gt;-1E+300",dFlt1,critFlt1,dFlt2,critFlt2,dFlt3,critFlt3))</f>
        <v/>
      </c>
      <c r="F949" t="str">
        <f>IF($B949="","",SUMIFS(dQty,dCust,$B949,dPer,"&gt;="&amp;cyFrom,dPer,"&lt;="&amp;cyTo,dQty,"&gt;-1E+300",dFlt1,critFlt1,dFlt2,critFlt2,dFlt3,critFlt3))</f>
        <v/>
      </c>
      <c r="G949">
        <f>IF($B949="",0,IFERROR(IF(OR(C949&lt;&gt;0,D949&lt;&gt;0,E949&lt;&gt;0,F949&lt;&gt;0),1,0),1))</f>
        <v>0</v>
      </c>
      <c r="H949" t="str">
        <f>IF(OR(G949=0,E949=0),"",C949/E949)</f>
        <v/>
      </c>
      <c r="I949" t="str">
        <f>IF(OR(G949=0,F949=0),"",D949/F949)</f>
        <v/>
      </c>
      <c r="J949" t="str">
        <f>IF(OR(H949="",I949=""),"",IF(H949=0,"",I949/H949-1))</f>
        <v/>
      </c>
      <c r="K949" t="str">
        <f>IF($B949="","",IFERROR(IF(G949=0,-2E+300,CHOOSE(sortIdx,ROUND(D949,0),IF(J949="",-1E+300,ROUND(-J949,6)),IF(J949="",-1E+300,ROUND(J949,6)))),-1.5E+300))</f>
        <v/>
      </c>
      <c r="L949" t="str">
        <f>IF(K949="","",RANK(K949,$K$2:$K$3001,0)+COUNTIF($K$2:K949,K949)-1)</f>
        <v/>
      </c>
    </row>
    <row r="950">
      <c r="B950" t="str">
        <f>IFERROR(IF(A950="","","="&amp;SUBSTITUTE(SUBSTITUTE(SUBSTITUTE(A950,"~","~~"),"*","~*"),"?","~?")),"")</f>
        <v/>
      </c>
      <c r="C950" t="str">
        <f>IF($B950="","",SUMIFS(dAmt,dCust,$B950,dPer,"&gt;="&amp;pyFrom,dPer,"&lt;="&amp;pyTo,dAmt,"&gt;-1E+300",dFlt1,critFlt1,dFlt2,critFlt2,dFlt3,critFlt3))</f>
        <v/>
      </c>
      <c r="D950" t="str">
        <f>IF($B950="","",SUMIFS(dAmt,dCust,$B950,dPer,"&gt;="&amp;cyFrom,dPer,"&lt;="&amp;cyTo,dAmt,"&gt;-1E+300",dFlt1,critFlt1,dFlt2,critFlt2,dFlt3,critFlt3))</f>
        <v/>
      </c>
      <c r="E950" t="str">
        <f>IF($B950="","",SUMIFS(dQty,dCust,$B950,dPer,"&gt;="&amp;pyFrom,dPer,"&lt;="&amp;pyTo,dQty,"&gt;-1E+300",dFlt1,critFlt1,dFlt2,critFlt2,dFlt3,critFlt3))</f>
        <v/>
      </c>
      <c r="F950" t="str">
        <f>IF($B950="","",SUMIFS(dQty,dCust,$B950,dPer,"&gt;="&amp;cyFrom,dPer,"&lt;="&amp;cyTo,dQty,"&gt;-1E+300",dFlt1,critFlt1,dFlt2,critFlt2,dFlt3,critFlt3))</f>
        <v/>
      </c>
      <c r="G950">
        <f>IF($B950="",0,IFERROR(IF(OR(C950&lt;&gt;0,D950&lt;&gt;0,E950&lt;&gt;0,F950&lt;&gt;0),1,0),1))</f>
        <v>0</v>
      </c>
      <c r="H950" t="str">
        <f>IF(OR(G950=0,E950=0),"",C950/E950)</f>
        <v/>
      </c>
      <c r="I950" t="str">
        <f>IF(OR(G950=0,F950=0),"",D950/F950)</f>
        <v/>
      </c>
      <c r="J950" t="str">
        <f>IF(OR(H950="",I950=""),"",IF(H950=0,"",I950/H950-1))</f>
        <v/>
      </c>
      <c r="K950" t="str">
        <f>IF($B950="","",IFERROR(IF(G950=0,-2E+300,CHOOSE(sortIdx,ROUND(D950,0),IF(J950="",-1E+300,ROUND(-J950,6)),IF(J950="",-1E+300,ROUND(J950,6)))),-1.5E+300))</f>
        <v/>
      </c>
      <c r="L950" t="str">
        <f>IF(K950="","",RANK(K950,$K$2:$K$3001,0)+COUNTIF($K$2:K950,K950)-1)</f>
        <v/>
      </c>
    </row>
    <row r="951">
      <c r="B951" t="str">
        <f>IFERROR(IF(A951="","","="&amp;SUBSTITUTE(SUBSTITUTE(SUBSTITUTE(A951,"~","~~"),"*","~*"),"?","~?")),"")</f>
        <v/>
      </c>
      <c r="C951" t="str">
        <f>IF($B951="","",SUMIFS(dAmt,dCust,$B951,dPer,"&gt;="&amp;pyFrom,dPer,"&lt;="&amp;pyTo,dAmt,"&gt;-1E+300",dFlt1,critFlt1,dFlt2,critFlt2,dFlt3,critFlt3))</f>
        <v/>
      </c>
      <c r="D951" t="str">
        <f>IF($B951="","",SUMIFS(dAmt,dCust,$B951,dPer,"&gt;="&amp;cyFrom,dPer,"&lt;="&amp;cyTo,dAmt,"&gt;-1E+300",dFlt1,critFlt1,dFlt2,critFlt2,dFlt3,critFlt3))</f>
        <v/>
      </c>
      <c r="E951" t="str">
        <f>IF($B951="","",SUMIFS(dQty,dCust,$B951,dPer,"&gt;="&amp;pyFrom,dPer,"&lt;="&amp;pyTo,dQty,"&gt;-1E+300",dFlt1,critFlt1,dFlt2,critFlt2,dFlt3,critFlt3))</f>
        <v/>
      </c>
      <c r="F951" t="str">
        <f>IF($B951="","",SUMIFS(dQty,dCust,$B951,dPer,"&gt;="&amp;cyFrom,dPer,"&lt;="&amp;cyTo,dQty,"&gt;-1E+300",dFlt1,critFlt1,dFlt2,critFlt2,dFlt3,critFlt3))</f>
        <v/>
      </c>
      <c r="G951">
        <f>IF($B951="",0,IFERROR(IF(OR(C951&lt;&gt;0,D951&lt;&gt;0,E951&lt;&gt;0,F951&lt;&gt;0),1,0),1))</f>
        <v>0</v>
      </c>
      <c r="H951" t="str">
        <f>IF(OR(G951=0,E951=0),"",C951/E951)</f>
        <v/>
      </c>
      <c r="I951" t="str">
        <f>IF(OR(G951=0,F951=0),"",D951/F951)</f>
        <v/>
      </c>
      <c r="J951" t="str">
        <f>IF(OR(H951="",I951=""),"",IF(H951=0,"",I951/H951-1))</f>
        <v/>
      </c>
      <c r="K951" t="str">
        <f>IF($B951="","",IFERROR(IF(G951=0,-2E+300,CHOOSE(sortIdx,ROUND(D951,0),IF(J951="",-1E+300,ROUND(-J951,6)),IF(J951="",-1E+300,ROUND(J951,6)))),-1.5E+300))</f>
        <v/>
      </c>
      <c r="L951" t="str">
        <f>IF(K951="","",RANK(K951,$K$2:$K$3001,0)+COUNTIF($K$2:K951,K951)-1)</f>
        <v/>
      </c>
    </row>
    <row r="952">
      <c r="B952" t="str">
        <f>IFERROR(IF(A952="","","="&amp;SUBSTITUTE(SUBSTITUTE(SUBSTITUTE(A952,"~","~~"),"*","~*"),"?","~?")),"")</f>
        <v/>
      </c>
      <c r="C952" t="str">
        <f>IF($B952="","",SUMIFS(dAmt,dCust,$B952,dPer,"&gt;="&amp;pyFrom,dPer,"&lt;="&amp;pyTo,dAmt,"&gt;-1E+300",dFlt1,critFlt1,dFlt2,critFlt2,dFlt3,critFlt3))</f>
        <v/>
      </c>
      <c r="D952" t="str">
        <f>IF($B952="","",SUMIFS(dAmt,dCust,$B952,dPer,"&gt;="&amp;cyFrom,dPer,"&lt;="&amp;cyTo,dAmt,"&gt;-1E+300",dFlt1,critFlt1,dFlt2,critFlt2,dFlt3,critFlt3))</f>
        <v/>
      </c>
      <c r="E952" t="str">
        <f>IF($B952="","",SUMIFS(dQty,dCust,$B952,dPer,"&gt;="&amp;pyFrom,dPer,"&lt;="&amp;pyTo,dQty,"&gt;-1E+300",dFlt1,critFlt1,dFlt2,critFlt2,dFlt3,critFlt3))</f>
        <v/>
      </c>
      <c r="F952" t="str">
        <f>IF($B952="","",SUMIFS(dQty,dCust,$B952,dPer,"&gt;="&amp;cyFrom,dPer,"&lt;="&amp;cyTo,dQty,"&gt;-1E+300",dFlt1,critFlt1,dFlt2,critFlt2,dFlt3,critFlt3))</f>
        <v/>
      </c>
      <c r="G952">
        <f>IF($B952="",0,IFERROR(IF(OR(C952&lt;&gt;0,D952&lt;&gt;0,E952&lt;&gt;0,F952&lt;&gt;0),1,0),1))</f>
        <v>0</v>
      </c>
      <c r="H952" t="str">
        <f>IF(OR(G952=0,E952=0),"",C952/E952)</f>
        <v/>
      </c>
      <c r="I952" t="str">
        <f>IF(OR(G952=0,F952=0),"",D952/F952)</f>
        <v/>
      </c>
      <c r="J952" t="str">
        <f>IF(OR(H952="",I952=""),"",IF(H952=0,"",I952/H952-1))</f>
        <v/>
      </c>
      <c r="K952" t="str">
        <f>IF($B952="","",IFERROR(IF(G952=0,-2E+300,CHOOSE(sortIdx,ROUND(D952,0),IF(J952="",-1E+300,ROUND(-J952,6)),IF(J952="",-1E+300,ROUND(J952,6)))),-1.5E+300))</f>
        <v/>
      </c>
      <c r="L952" t="str">
        <f>IF(K952="","",RANK(K952,$K$2:$K$3001,0)+COUNTIF($K$2:K952,K952)-1)</f>
        <v/>
      </c>
    </row>
    <row r="953">
      <c r="B953" t="str">
        <f>IFERROR(IF(A953="","","="&amp;SUBSTITUTE(SUBSTITUTE(SUBSTITUTE(A953,"~","~~"),"*","~*"),"?","~?")),"")</f>
        <v/>
      </c>
      <c r="C953" t="str">
        <f>IF($B953="","",SUMIFS(dAmt,dCust,$B953,dPer,"&gt;="&amp;pyFrom,dPer,"&lt;="&amp;pyTo,dAmt,"&gt;-1E+300",dFlt1,critFlt1,dFlt2,critFlt2,dFlt3,critFlt3))</f>
        <v/>
      </c>
      <c r="D953" t="str">
        <f>IF($B953="","",SUMIFS(dAmt,dCust,$B953,dPer,"&gt;="&amp;cyFrom,dPer,"&lt;="&amp;cyTo,dAmt,"&gt;-1E+300",dFlt1,critFlt1,dFlt2,critFlt2,dFlt3,critFlt3))</f>
        <v/>
      </c>
      <c r="E953" t="str">
        <f>IF($B953="","",SUMIFS(dQty,dCust,$B953,dPer,"&gt;="&amp;pyFrom,dPer,"&lt;="&amp;pyTo,dQty,"&gt;-1E+300",dFlt1,critFlt1,dFlt2,critFlt2,dFlt3,critFlt3))</f>
        <v/>
      </c>
      <c r="F953" t="str">
        <f>IF($B953="","",SUMIFS(dQty,dCust,$B953,dPer,"&gt;="&amp;cyFrom,dPer,"&lt;="&amp;cyTo,dQty,"&gt;-1E+300",dFlt1,critFlt1,dFlt2,critFlt2,dFlt3,critFlt3))</f>
        <v/>
      </c>
      <c r="G953">
        <f>IF($B953="",0,IFERROR(IF(OR(C953&lt;&gt;0,D953&lt;&gt;0,E953&lt;&gt;0,F953&lt;&gt;0),1,0),1))</f>
        <v>0</v>
      </c>
      <c r="H953" t="str">
        <f>IF(OR(G953=0,E953=0),"",C953/E953)</f>
        <v/>
      </c>
      <c r="I953" t="str">
        <f>IF(OR(G953=0,F953=0),"",D953/F953)</f>
        <v/>
      </c>
      <c r="J953" t="str">
        <f>IF(OR(H953="",I953=""),"",IF(H953=0,"",I953/H953-1))</f>
        <v/>
      </c>
      <c r="K953" t="str">
        <f>IF($B953="","",IFERROR(IF(G953=0,-2E+300,CHOOSE(sortIdx,ROUND(D953,0),IF(J953="",-1E+300,ROUND(-J953,6)),IF(J953="",-1E+300,ROUND(J953,6)))),-1.5E+300))</f>
        <v/>
      </c>
      <c r="L953" t="str">
        <f>IF(K953="","",RANK(K953,$K$2:$K$3001,0)+COUNTIF($K$2:K953,K953)-1)</f>
        <v/>
      </c>
    </row>
    <row r="954">
      <c r="B954" t="str">
        <f>IFERROR(IF(A954="","","="&amp;SUBSTITUTE(SUBSTITUTE(SUBSTITUTE(A954,"~","~~"),"*","~*"),"?","~?")),"")</f>
        <v/>
      </c>
      <c r="C954" t="str">
        <f>IF($B954="","",SUMIFS(dAmt,dCust,$B954,dPer,"&gt;="&amp;pyFrom,dPer,"&lt;="&amp;pyTo,dAmt,"&gt;-1E+300",dFlt1,critFlt1,dFlt2,critFlt2,dFlt3,critFlt3))</f>
        <v/>
      </c>
      <c r="D954" t="str">
        <f>IF($B954="","",SUMIFS(dAmt,dCust,$B954,dPer,"&gt;="&amp;cyFrom,dPer,"&lt;="&amp;cyTo,dAmt,"&gt;-1E+300",dFlt1,critFlt1,dFlt2,critFlt2,dFlt3,critFlt3))</f>
        <v/>
      </c>
      <c r="E954" t="str">
        <f>IF($B954="","",SUMIFS(dQty,dCust,$B954,dPer,"&gt;="&amp;pyFrom,dPer,"&lt;="&amp;pyTo,dQty,"&gt;-1E+300",dFlt1,critFlt1,dFlt2,critFlt2,dFlt3,critFlt3))</f>
        <v/>
      </c>
      <c r="F954" t="str">
        <f>IF($B954="","",SUMIFS(dQty,dCust,$B954,dPer,"&gt;="&amp;cyFrom,dPer,"&lt;="&amp;cyTo,dQty,"&gt;-1E+300",dFlt1,critFlt1,dFlt2,critFlt2,dFlt3,critFlt3))</f>
        <v/>
      </c>
      <c r="G954">
        <f>IF($B954="",0,IFERROR(IF(OR(C954&lt;&gt;0,D954&lt;&gt;0,E954&lt;&gt;0,F954&lt;&gt;0),1,0),1))</f>
        <v>0</v>
      </c>
      <c r="H954" t="str">
        <f>IF(OR(G954=0,E954=0),"",C954/E954)</f>
        <v/>
      </c>
      <c r="I954" t="str">
        <f>IF(OR(G954=0,F954=0),"",D954/F954)</f>
        <v/>
      </c>
      <c r="J954" t="str">
        <f>IF(OR(H954="",I954=""),"",IF(H954=0,"",I954/H954-1))</f>
        <v/>
      </c>
      <c r="K954" t="str">
        <f>IF($B954="","",IFERROR(IF(G954=0,-2E+300,CHOOSE(sortIdx,ROUND(D954,0),IF(J954="",-1E+300,ROUND(-J954,6)),IF(J954="",-1E+300,ROUND(J954,6)))),-1.5E+300))</f>
        <v/>
      </c>
      <c r="L954" t="str">
        <f>IF(K954="","",RANK(K954,$K$2:$K$3001,0)+COUNTIF($K$2:K954,K954)-1)</f>
        <v/>
      </c>
    </row>
    <row r="955">
      <c r="B955" t="str">
        <f>IFERROR(IF(A955="","","="&amp;SUBSTITUTE(SUBSTITUTE(SUBSTITUTE(A955,"~","~~"),"*","~*"),"?","~?")),"")</f>
        <v/>
      </c>
      <c r="C955" t="str">
        <f>IF($B955="","",SUMIFS(dAmt,dCust,$B955,dPer,"&gt;="&amp;pyFrom,dPer,"&lt;="&amp;pyTo,dAmt,"&gt;-1E+300",dFlt1,critFlt1,dFlt2,critFlt2,dFlt3,critFlt3))</f>
        <v/>
      </c>
      <c r="D955" t="str">
        <f>IF($B955="","",SUMIFS(dAmt,dCust,$B955,dPer,"&gt;="&amp;cyFrom,dPer,"&lt;="&amp;cyTo,dAmt,"&gt;-1E+300",dFlt1,critFlt1,dFlt2,critFlt2,dFlt3,critFlt3))</f>
        <v/>
      </c>
      <c r="E955" t="str">
        <f>IF($B955="","",SUMIFS(dQty,dCust,$B955,dPer,"&gt;="&amp;pyFrom,dPer,"&lt;="&amp;pyTo,dQty,"&gt;-1E+300",dFlt1,critFlt1,dFlt2,critFlt2,dFlt3,critFlt3))</f>
        <v/>
      </c>
      <c r="F955" t="str">
        <f>IF($B955="","",SUMIFS(dQty,dCust,$B955,dPer,"&gt;="&amp;cyFrom,dPer,"&lt;="&amp;cyTo,dQty,"&gt;-1E+300",dFlt1,critFlt1,dFlt2,critFlt2,dFlt3,critFlt3))</f>
        <v/>
      </c>
      <c r="G955">
        <f>IF($B955="",0,IFERROR(IF(OR(C955&lt;&gt;0,D955&lt;&gt;0,E955&lt;&gt;0,F955&lt;&gt;0),1,0),1))</f>
        <v>0</v>
      </c>
      <c r="H955" t="str">
        <f>IF(OR(G955=0,E955=0),"",C955/E955)</f>
        <v/>
      </c>
      <c r="I955" t="str">
        <f>IF(OR(G955=0,F955=0),"",D955/F955)</f>
        <v/>
      </c>
      <c r="J955" t="str">
        <f>IF(OR(H955="",I955=""),"",IF(H955=0,"",I955/H955-1))</f>
        <v/>
      </c>
      <c r="K955" t="str">
        <f>IF($B955="","",IFERROR(IF(G955=0,-2E+300,CHOOSE(sortIdx,ROUND(D955,0),IF(J955="",-1E+300,ROUND(-J955,6)),IF(J955="",-1E+300,ROUND(J955,6)))),-1.5E+300))</f>
        <v/>
      </c>
      <c r="L955" t="str">
        <f>IF(K955="","",RANK(K955,$K$2:$K$3001,0)+COUNTIF($K$2:K955,K955)-1)</f>
        <v/>
      </c>
    </row>
    <row r="956">
      <c r="B956" t="str">
        <f>IFERROR(IF(A956="","","="&amp;SUBSTITUTE(SUBSTITUTE(SUBSTITUTE(A956,"~","~~"),"*","~*"),"?","~?")),"")</f>
        <v/>
      </c>
      <c r="C956" t="str">
        <f>IF($B956="","",SUMIFS(dAmt,dCust,$B956,dPer,"&gt;="&amp;pyFrom,dPer,"&lt;="&amp;pyTo,dAmt,"&gt;-1E+300",dFlt1,critFlt1,dFlt2,critFlt2,dFlt3,critFlt3))</f>
        <v/>
      </c>
      <c r="D956" t="str">
        <f>IF($B956="","",SUMIFS(dAmt,dCust,$B956,dPer,"&gt;="&amp;cyFrom,dPer,"&lt;="&amp;cyTo,dAmt,"&gt;-1E+300",dFlt1,critFlt1,dFlt2,critFlt2,dFlt3,critFlt3))</f>
        <v/>
      </c>
      <c r="E956" t="str">
        <f>IF($B956="","",SUMIFS(dQty,dCust,$B956,dPer,"&gt;="&amp;pyFrom,dPer,"&lt;="&amp;pyTo,dQty,"&gt;-1E+300",dFlt1,critFlt1,dFlt2,critFlt2,dFlt3,critFlt3))</f>
        <v/>
      </c>
      <c r="F956" t="str">
        <f>IF($B956="","",SUMIFS(dQty,dCust,$B956,dPer,"&gt;="&amp;cyFrom,dPer,"&lt;="&amp;cyTo,dQty,"&gt;-1E+300",dFlt1,critFlt1,dFlt2,critFlt2,dFlt3,critFlt3))</f>
        <v/>
      </c>
      <c r="G956">
        <f>IF($B956="",0,IFERROR(IF(OR(C956&lt;&gt;0,D956&lt;&gt;0,E956&lt;&gt;0,F956&lt;&gt;0),1,0),1))</f>
        <v>0</v>
      </c>
      <c r="H956" t="str">
        <f>IF(OR(G956=0,E956=0),"",C956/E956)</f>
        <v/>
      </c>
      <c r="I956" t="str">
        <f>IF(OR(G956=0,F956=0),"",D956/F956)</f>
        <v/>
      </c>
      <c r="J956" t="str">
        <f>IF(OR(H956="",I956=""),"",IF(H956=0,"",I956/H956-1))</f>
        <v/>
      </c>
      <c r="K956" t="str">
        <f>IF($B956="","",IFERROR(IF(G956=0,-2E+300,CHOOSE(sortIdx,ROUND(D956,0),IF(J956="",-1E+300,ROUND(-J956,6)),IF(J956="",-1E+300,ROUND(J956,6)))),-1.5E+300))</f>
        <v/>
      </c>
      <c r="L956" t="str">
        <f>IF(K956="","",RANK(K956,$K$2:$K$3001,0)+COUNTIF($K$2:K956,K956)-1)</f>
        <v/>
      </c>
    </row>
    <row r="957">
      <c r="B957" t="str">
        <f>IFERROR(IF(A957="","","="&amp;SUBSTITUTE(SUBSTITUTE(SUBSTITUTE(A957,"~","~~"),"*","~*"),"?","~?")),"")</f>
        <v/>
      </c>
      <c r="C957" t="str">
        <f>IF($B957="","",SUMIFS(dAmt,dCust,$B957,dPer,"&gt;="&amp;pyFrom,dPer,"&lt;="&amp;pyTo,dAmt,"&gt;-1E+300",dFlt1,critFlt1,dFlt2,critFlt2,dFlt3,critFlt3))</f>
        <v/>
      </c>
      <c r="D957" t="str">
        <f>IF($B957="","",SUMIFS(dAmt,dCust,$B957,dPer,"&gt;="&amp;cyFrom,dPer,"&lt;="&amp;cyTo,dAmt,"&gt;-1E+300",dFlt1,critFlt1,dFlt2,critFlt2,dFlt3,critFlt3))</f>
        <v/>
      </c>
      <c r="E957" t="str">
        <f>IF($B957="","",SUMIFS(dQty,dCust,$B957,dPer,"&gt;="&amp;pyFrom,dPer,"&lt;="&amp;pyTo,dQty,"&gt;-1E+300",dFlt1,critFlt1,dFlt2,critFlt2,dFlt3,critFlt3))</f>
        <v/>
      </c>
      <c r="F957" t="str">
        <f>IF($B957="","",SUMIFS(dQty,dCust,$B957,dPer,"&gt;="&amp;cyFrom,dPer,"&lt;="&amp;cyTo,dQty,"&gt;-1E+300",dFlt1,critFlt1,dFlt2,critFlt2,dFlt3,critFlt3))</f>
        <v/>
      </c>
      <c r="G957">
        <f>IF($B957="",0,IFERROR(IF(OR(C957&lt;&gt;0,D957&lt;&gt;0,E957&lt;&gt;0,F957&lt;&gt;0),1,0),1))</f>
        <v>0</v>
      </c>
      <c r="H957" t="str">
        <f>IF(OR(G957=0,E957=0),"",C957/E957)</f>
        <v/>
      </c>
      <c r="I957" t="str">
        <f>IF(OR(G957=0,F957=0),"",D957/F957)</f>
        <v/>
      </c>
      <c r="J957" t="str">
        <f>IF(OR(H957="",I957=""),"",IF(H957=0,"",I957/H957-1))</f>
        <v/>
      </c>
      <c r="K957" t="str">
        <f>IF($B957="","",IFERROR(IF(G957=0,-2E+300,CHOOSE(sortIdx,ROUND(D957,0),IF(J957="",-1E+300,ROUND(-J957,6)),IF(J957="",-1E+300,ROUND(J957,6)))),-1.5E+300))</f>
        <v/>
      </c>
      <c r="L957" t="str">
        <f>IF(K957="","",RANK(K957,$K$2:$K$3001,0)+COUNTIF($K$2:K957,K957)-1)</f>
        <v/>
      </c>
    </row>
    <row r="958">
      <c r="B958" t="str">
        <f>IFERROR(IF(A958="","","="&amp;SUBSTITUTE(SUBSTITUTE(SUBSTITUTE(A958,"~","~~"),"*","~*"),"?","~?")),"")</f>
        <v/>
      </c>
      <c r="C958" t="str">
        <f>IF($B958="","",SUMIFS(dAmt,dCust,$B958,dPer,"&gt;="&amp;pyFrom,dPer,"&lt;="&amp;pyTo,dAmt,"&gt;-1E+300",dFlt1,critFlt1,dFlt2,critFlt2,dFlt3,critFlt3))</f>
        <v/>
      </c>
      <c r="D958" t="str">
        <f>IF($B958="","",SUMIFS(dAmt,dCust,$B958,dPer,"&gt;="&amp;cyFrom,dPer,"&lt;="&amp;cyTo,dAmt,"&gt;-1E+300",dFlt1,critFlt1,dFlt2,critFlt2,dFlt3,critFlt3))</f>
        <v/>
      </c>
      <c r="E958" t="str">
        <f>IF($B958="","",SUMIFS(dQty,dCust,$B958,dPer,"&gt;="&amp;pyFrom,dPer,"&lt;="&amp;pyTo,dQty,"&gt;-1E+300",dFlt1,critFlt1,dFlt2,critFlt2,dFlt3,critFlt3))</f>
        <v/>
      </c>
      <c r="F958" t="str">
        <f>IF($B958="","",SUMIFS(dQty,dCust,$B958,dPer,"&gt;="&amp;cyFrom,dPer,"&lt;="&amp;cyTo,dQty,"&gt;-1E+300",dFlt1,critFlt1,dFlt2,critFlt2,dFlt3,critFlt3))</f>
        <v/>
      </c>
      <c r="G958">
        <f>IF($B958="",0,IFERROR(IF(OR(C958&lt;&gt;0,D958&lt;&gt;0,E958&lt;&gt;0,F958&lt;&gt;0),1,0),1))</f>
        <v>0</v>
      </c>
      <c r="H958" t="str">
        <f>IF(OR(G958=0,E958=0),"",C958/E958)</f>
        <v/>
      </c>
      <c r="I958" t="str">
        <f>IF(OR(G958=0,F958=0),"",D958/F958)</f>
        <v/>
      </c>
      <c r="J958" t="str">
        <f>IF(OR(H958="",I958=""),"",IF(H958=0,"",I958/H958-1))</f>
        <v/>
      </c>
      <c r="K958" t="str">
        <f>IF($B958="","",IFERROR(IF(G958=0,-2E+300,CHOOSE(sortIdx,ROUND(D958,0),IF(J958="",-1E+300,ROUND(-J958,6)),IF(J958="",-1E+300,ROUND(J958,6)))),-1.5E+300))</f>
        <v/>
      </c>
      <c r="L958" t="str">
        <f>IF(K958="","",RANK(K958,$K$2:$K$3001,0)+COUNTIF($K$2:K958,K958)-1)</f>
        <v/>
      </c>
    </row>
    <row r="959">
      <c r="B959" t="str">
        <f>IFERROR(IF(A959="","","="&amp;SUBSTITUTE(SUBSTITUTE(SUBSTITUTE(A959,"~","~~"),"*","~*"),"?","~?")),"")</f>
        <v/>
      </c>
      <c r="C959" t="str">
        <f>IF($B959="","",SUMIFS(dAmt,dCust,$B959,dPer,"&gt;="&amp;pyFrom,dPer,"&lt;="&amp;pyTo,dAmt,"&gt;-1E+300",dFlt1,critFlt1,dFlt2,critFlt2,dFlt3,critFlt3))</f>
        <v/>
      </c>
      <c r="D959" t="str">
        <f>IF($B959="","",SUMIFS(dAmt,dCust,$B959,dPer,"&gt;="&amp;cyFrom,dPer,"&lt;="&amp;cyTo,dAmt,"&gt;-1E+300",dFlt1,critFlt1,dFlt2,critFlt2,dFlt3,critFlt3))</f>
        <v/>
      </c>
      <c r="E959" t="str">
        <f>IF($B959="","",SUMIFS(dQty,dCust,$B959,dPer,"&gt;="&amp;pyFrom,dPer,"&lt;="&amp;pyTo,dQty,"&gt;-1E+300",dFlt1,critFlt1,dFlt2,critFlt2,dFlt3,critFlt3))</f>
        <v/>
      </c>
      <c r="F959" t="str">
        <f>IF($B959="","",SUMIFS(dQty,dCust,$B959,dPer,"&gt;="&amp;cyFrom,dPer,"&lt;="&amp;cyTo,dQty,"&gt;-1E+300",dFlt1,critFlt1,dFlt2,critFlt2,dFlt3,critFlt3))</f>
        <v/>
      </c>
      <c r="G959">
        <f>IF($B959="",0,IFERROR(IF(OR(C959&lt;&gt;0,D959&lt;&gt;0,E959&lt;&gt;0,F959&lt;&gt;0),1,0),1))</f>
        <v>0</v>
      </c>
      <c r="H959" t="str">
        <f>IF(OR(G959=0,E959=0),"",C959/E959)</f>
        <v/>
      </c>
      <c r="I959" t="str">
        <f>IF(OR(G959=0,F959=0),"",D959/F959)</f>
        <v/>
      </c>
      <c r="J959" t="str">
        <f>IF(OR(H959="",I959=""),"",IF(H959=0,"",I959/H959-1))</f>
        <v/>
      </c>
      <c r="K959" t="str">
        <f>IF($B959="","",IFERROR(IF(G959=0,-2E+300,CHOOSE(sortIdx,ROUND(D959,0),IF(J959="",-1E+300,ROUND(-J959,6)),IF(J959="",-1E+300,ROUND(J959,6)))),-1.5E+300))</f>
        <v/>
      </c>
      <c r="L959" t="str">
        <f>IF(K959="","",RANK(K959,$K$2:$K$3001,0)+COUNTIF($K$2:K959,K959)-1)</f>
        <v/>
      </c>
    </row>
    <row r="960">
      <c r="B960" t="str">
        <f>IFERROR(IF(A960="","","="&amp;SUBSTITUTE(SUBSTITUTE(SUBSTITUTE(A960,"~","~~"),"*","~*"),"?","~?")),"")</f>
        <v/>
      </c>
      <c r="C960" t="str">
        <f>IF($B960="","",SUMIFS(dAmt,dCust,$B960,dPer,"&gt;="&amp;pyFrom,dPer,"&lt;="&amp;pyTo,dAmt,"&gt;-1E+300",dFlt1,critFlt1,dFlt2,critFlt2,dFlt3,critFlt3))</f>
        <v/>
      </c>
      <c r="D960" t="str">
        <f>IF($B960="","",SUMIFS(dAmt,dCust,$B960,dPer,"&gt;="&amp;cyFrom,dPer,"&lt;="&amp;cyTo,dAmt,"&gt;-1E+300",dFlt1,critFlt1,dFlt2,critFlt2,dFlt3,critFlt3))</f>
        <v/>
      </c>
      <c r="E960" t="str">
        <f>IF($B960="","",SUMIFS(dQty,dCust,$B960,dPer,"&gt;="&amp;pyFrom,dPer,"&lt;="&amp;pyTo,dQty,"&gt;-1E+300",dFlt1,critFlt1,dFlt2,critFlt2,dFlt3,critFlt3))</f>
        <v/>
      </c>
      <c r="F960" t="str">
        <f>IF($B960="","",SUMIFS(dQty,dCust,$B960,dPer,"&gt;="&amp;cyFrom,dPer,"&lt;="&amp;cyTo,dQty,"&gt;-1E+300",dFlt1,critFlt1,dFlt2,critFlt2,dFlt3,critFlt3))</f>
        <v/>
      </c>
      <c r="G960">
        <f>IF($B960="",0,IFERROR(IF(OR(C960&lt;&gt;0,D960&lt;&gt;0,E960&lt;&gt;0,F960&lt;&gt;0),1,0),1))</f>
        <v>0</v>
      </c>
      <c r="H960" t="str">
        <f>IF(OR(G960=0,E960=0),"",C960/E960)</f>
        <v/>
      </c>
      <c r="I960" t="str">
        <f>IF(OR(G960=0,F960=0),"",D960/F960)</f>
        <v/>
      </c>
      <c r="J960" t="str">
        <f>IF(OR(H960="",I960=""),"",IF(H960=0,"",I960/H960-1))</f>
        <v/>
      </c>
      <c r="K960" t="str">
        <f>IF($B960="","",IFERROR(IF(G960=0,-2E+300,CHOOSE(sortIdx,ROUND(D960,0),IF(J960="",-1E+300,ROUND(-J960,6)),IF(J960="",-1E+300,ROUND(J960,6)))),-1.5E+300))</f>
        <v/>
      </c>
      <c r="L960" t="str">
        <f>IF(K960="","",RANK(K960,$K$2:$K$3001,0)+COUNTIF($K$2:K960,K960)-1)</f>
        <v/>
      </c>
    </row>
    <row r="961">
      <c r="B961" t="str">
        <f>IFERROR(IF(A961="","","="&amp;SUBSTITUTE(SUBSTITUTE(SUBSTITUTE(A961,"~","~~"),"*","~*"),"?","~?")),"")</f>
        <v/>
      </c>
      <c r="C961" t="str">
        <f>IF($B961="","",SUMIFS(dAmt,dCust,$B961,dPer,"&gt;="&amp;pyFrom,dPer,"&lt;="&amp;pyTo,dAmt,"&gt;-1E+300",dFlt1,critFlt1,dFlt2,critFlt2,dFlt3,critFlt3))</f>
        <v/>
      </c>
      <c r="D961" t="str">
        <f>IF($B961="","",SUMIFS(dAmt,dCust,$B961,dPer,"&gt;="&amp;cyFrom,dPer,"&lt;="&amp;cyTo,dAmt,"&gt;-1E+300",dFlt1,critFlt1,dFlt2,critFlt2,dFlt3,critFlt3))</f>
        <v/>
      </c>
      <c r="E961" t="str">
        <f>IF($B961="","",SUMIFS(dQty,dCust,$B961,dPer,"&gt;="&amp;pyFrom,dPer,"&lt;="&amp;pyTo,dQty,"&gt;-1E+300",dFlt1,critFlt1,dFlt2,critFlt2,dFlt3,critFlt3))</f>
        <v/>
      </c>
      <c r="F961" t="str">
        <f>IF($B961="","",SUMIFS(dQty,dCust,$B961,dPer,"&gt;="&amp;cyFrom,dPer,"&lt;="&amp;cyTo,dQty,"&gt;-1E+300",dFlt1,critFlt1,dFlt2,critFlt2,dFlt3,critFlt3))</f>
        <v/>
      </c>
      <c r="G961">
        <f>IF($B961="",0,IFERROR(IF(OR(C961&lt;&gt;0,D961&lt;&gt;0,E961&lt;&gt;0,F961&lt;&gt;0),1,0),1))</f>
        <v>0</v>
      </c>
      <c r="H961" t="str">
        <f>IF(OR(G961=0,E961=0),"",C961/E961)</f>
        <v/>
      </c>
      <c r="I961" t="str">
        <f>IF(OR(G961=0,F961=0),"",D961/F961)</f>
        <v/>
      </c>
      <c r="J961" t="str">
        <f>IF(OR(H961="",I961=""),"",IF(H961=0,"",I961/H961-1))</f>
        <v/>
      </c>
      <c r="K961" t="str">
        <f>IF($B961="","",IFERROR(IF(G961=0,-2E+300,CHOOSE(sortIdx,ROUND(D961,0),IF(J961="",-1E+300,ROUND(-J961,6)),IF(J961="",-1E+300,ROUND(J961,6)))),-1.5E+300))</f>
        <v/>
      </c>
      <c r="L961" t="str">
        <f>IF(K961="","",RANK(K961,$K$2:$K$3001,0)+COUNTIF($K$2:K961,K961)-1)</f>
        <v/>
      </c>
    </row>
    <row r="962">
      <c r="B962" t="str">
        <f>IFERROR(IF(A962="","","="&amp;SUBSTITUTE(SUBSTITUTE(SUBSTITUTE(A962,"~","~~"),"*","~*"),"?","~?")),"")</f>
        <v/>
      </c>
      <c r="C962" t="str">
        <f>IF($B962="","",SUMIFS(dAmt,dCust,$B962,dPer,"&gt;="&amp;pyFrom,dPer,"&lt;="&amp;pyTo,dAmt,"&gt;-1E+300",dFlt1,critFlt1,dFlt2,critFlt2,dFlt3,critFlt3))</f>
        <v/>
      </c>
      <c r="D962" t="str">
        <f>IF($B962="","",SUMIFS(dAmt,dCust,$B962,dPer,"&gt;="&amp;cyFrom,dPer,"&lt;="&amp;cyTo,dAmt,"&gt;-1E+300",dFlt1,critFlt1,dFlt2,critFlt2,dFlt3,critFlt3))</f>
        <v/>
      </c>
      <c r="E962" t="str">
        <f>IF($B962="","",SUMIFS(dQty,dCust,$B962,dPer,"&gt;="&amp;pyFrom,dPer,"&lt;="&amp;pyTo,dQty,"&gt;-1E+300",dFlt1,critFlt1,dFlt2,critFlt2,dFlt3,critFlt3))</f>
        <v/>
      </c>
      <c r="F962" t="str">
        <f>IF($B962="","",SUMIFS(dQty,dCust,$B962,dPer,"&gt;="&amp;cyFrom,dPer,"&lt;="&amp;cyTo,dQty,"&gt;-1E+300",dFlt1,critFlt1,dFlt2,critFlt2,dFlt3,critFlt3))</f>
        <v/>
      </c>
      <c r="G962">
        <f>IF($B962="",0,IFERROR(IF(OR(C962&lt;&gt;0,D962&lt;&gt;0,E962&lt;&gt;0,F962&lt;&gt;0),1,0),1))</f>
        <v>0</v>
      </c>
      <c r="H962" t="str">
        <f>IF(OR(G962=0,E962=0),"",C962/E962)</f>
        <v/>
      </c>
      <c r="I962" t="str">
        <f>IF(OR(G962=0,F962=0),"",D962/F962)</f>
        <v/>
      </c>
      <c r="J962" t="str">
        <f>IF(OR(H962="",I962=""),"",IF(H962=0,"",I962/H962-1))</f>
        <v/>
      </c>
      <c r="K962" t="str">
        <f>IF($B962="","",IFERROR(IF(G962=0,-2E+300,CHOOSE(sortIdx,ROUND(D962,0),IF(J962="",-1E+300,ROUND(-J962,6)),IF(J962="",-1E+300,ROUND(J962,6)))),-1.5E+300))</f>
        <v/>
      </c>
      <c r="L962" t="str">
        <f>IF(K962="","",RANK(K962,$K$2:$K$3001,0)+COUNTIF($K$2:K962,K962)-1)</f>
        <v/>
      </c>
    </row>
    <row r="963">
      <c r="B963" t="str">
        <f>IFERROR(IF(A963="","","="&amp;SUBSTITUTE(SUBSTITUTE(SUBSTITUTE(A963,"~","~~"),"*","~*"),"?","~?")),"")</f>
        <v/>
      </c>
      <c r="C963" t="str">
        <f>IF($B963="","",SUMIFS(dAmt,dCust,$B963,dPer,"&gt;="&amp;pyFrom,dPer,"&lt;="&amp;pyTo,dAmt,"&gt;-1E+300",dFlt1,critFlt1,dFlt2,critFlt2,dFlt3,critFlt3))</f>
        <v/>
      </c>
      <c r="D963" t="str">
        <f>IF($B963="","",SUMIFS(dAmt,dCust,$B963,dPer,"&gt;="&amp;cyFrom,dPer,"&lt;="&amp;cyTo,dAmt,"&gt;-1E+300",dFlt1,critFlt1,dFlt2,critFlt2,dFlt3,critFlt3))</f>
        <v/>
      </c>
      <c r="E963" t="str">
        <f>IF($B963="","",SUMIFS(dQty,dCust,$B963,dPer,"&gt;="&amp;pyFrom,dPer,"&lt;="&amp;pyTo,dQty,"&gt;-1E+300",dFlt1,critFlt1,dFlt2,critFlt2,dFlt3,critFlt3))</f>
        <v/>
      </c>
      <c r="F963" t="str">
        <f>IF($B963="","",SUMIFS(dQty,dCust,$B963,dPer,"&gt;="&amp;cyFrom,dPer,"&lt;="&amp;cyTo,dQty,"&gt;-1E+300",dFlt1,critFlt1,dFlt2,critFlt2,dFlt3,critFlt3))</f>
        <v/>
      </c>
      <c r="G963">
        <f>IF($B963="",0,IFERROR(IF(OR(C963&lt;&gt;0,D963&lt;&gt;0,E963&lt;&gt;0,F963&lt;&gt;0),1,0),1))</f>
        <v>0</v>
      </c>
      <c r="H963" t="str">
        <f>IF(OR(G963=0,E963=0),"",C963/E963)</f>
        <v/>
      </c>
      <c r="I963" t="str">
        <f>IF(OR(G963=0,F963=0),"",D963/F963)</f>
        <v/>
      </c>
      <c r="J963" t="str">
        <f>IF(OR(H963="",I963=""),"",IF(H963=0,"",I963/H963-1))</f>
        <v/>
      </c>
      <c r="K963" t="str">
        <f>IF($B963="","",IFERROR(IF(G963=0,-2E+300,CHOOSE(sortIdx,ROUND(D963,0),IF(J963="",-1E+300,ROUND(-J963,6)),IF(J963="",-1E+300,ROUND(J963,6)))),-1.5E+300))</f>
        <v/>
      </c>
      <c r="L963" t="str">
        <f>IF(K963="","",RANK(K963,$K$2:$K$3001,0)+COUNTIF($K$2:K963,K963)-1)</f>
        <v/>
      </c>
    </row>
    <row r="964">
      <c r="B964" t="str">
        <f>IFERROR(IF(A964="","","="&amp;SUBSTITUTE(SUBSTITUTE(SUBSTITUTE(A964,"~","~~"),"*","~*"),"?","~?")),"")</f>
        <v/>
      </c>
      <c r="C964" t="str">
        <f>IF($B964="","",SUMIFS(dAmt,dCust,$B964,dPer,"&gt;="&amp;pyFrom,dPer,"&lt;="&amp;pyTo,dAmt,"&gt;-1E+300",dFlt1,critFlt1,dFlt2,critFlt2,dFlt3,critFlt3))</f>
        <v/>
      </c>
      <c r="D964" t="str">
        <f>IF($B964="","",SUMIFS(dAmt,dCust,$B964,dPer,"&gt;="&amp;cyFrom,dPer,"&lt;="&amp;cyTo,dAmt,"&gt;-1E+300",dFlt1,critFlt1,dFlt2,critFlt2,dFlt3,critFlt3))</f>
        <v/>
      </c>
      <c r="E964" t="str">
        <f>IF($B964="","",SUMIFS(dQty,dCust,$B964,dPer,"&gt;="&amp;pyFrom,dPer,"&lt;="&amp;pyTo,dQty,"&gt;-1E+300",dFlt1,critFlt1,dFlt2,critFlt2,dFlt3,critFlt3))</f>
        <v/>
      </c>
      <c r="F964" t="str">
        <f>IF($B964="","",SUMIFS(dQty,dCust,$B964,dPer,"&gt;="&amp;cyFrom,dPer,"&lt;="&amp;cyTo,dQty,"&gt;-1E+300",dFlt1,critFlt1,dFlt2,critFlt2,dFlt3,critFlt3))</f>
        <v/>
      </c>
      <c r="G964">
        <f>IF($B964="",0,IFERROR(IF(OR(C964&lt;&gt;0,D964&lt;&gt;0,E964&lt;&gt;0,F964&lt;&gt;0),1,0),1))</f>
        <v>0</v>
      </c>
      <c r="H964" t="str">
        <f>IF(OR(G964=0,E964=0),"",C964/E964)</f>
        <v/>
      </c>
      <c r="I964" t="str">
        <f>IF(OR(G964=0,F964=0),"",D964/F964)</f>
        <v/>
      </c>
      <c r="J964" t="str">
        <f>IF(OR(H964="",I964=""),"",IF(H964=0,"",I964/H964-1))</f>
        <v/>
      </c>
      <c r="K964" t="str">
        <f>IF($B964="","",IFERROR(IF(G964=0,-2E+300,CHOOSE(sortIdx,ROUND(D964,0),IF(J964="",-1E+300,ROUND(-J964,6)),IF(J964="",-1E+300,ROUND(J964,6)))),-1.5E+300))</f>
        <v/>
      </c>
      <c r="L964" t="str">
        <f>IF(K964="","",RANK(K964,$K$2:$K$3001,0)+COUNTIF($K$2:K964,K964)-1)</f>
        <v/>
      </c>
    </row>
    <row r="965">
      <c r="B965" t="str">
        <f>IFERROR(IF(A965="","","="&amp;SUBSTITUTE(SUBSTITUTE(SUBSTITUTE(A965,"~","~~"),"*","~*"),"?","~?")),"")</f>
        <v/>
      </c>
      <c r="C965" t="str">
        <f>IF($B965="","",SUMIFS(dAmt,dCust,$B965,dPer,"&gt;="&amp;pyFrom,dPer,"&lt;="&amp;pyTo,dAmt,"&gt;-1E+300",dFlt1,critFlt1,dFlt2,critFlt2,dFlt3,critFlt3))</f>
        <v/>
      </c>
      <c r="D965" t="str">
        <f>IF($B965="","",SUMIFS(dAmt,dCust,$B965,dPer,"&gt;="&amp;cyFrom,dPer,"&lt;="&amp;cyTo,dAmt,"&gt;-1E+300",dFlt1,critFlt1,dFlt2,critFlt2,dFlt3,critFlt3))</f>
        <v/>
      </c>
      <c r="E965" t="str">
        <f>IF($B965="","",SUMIFS(dQty,dCust,$B965,dPer,"&gt;="&amp;pyFrom,dPer,"&lt;="&amp;pyTo,dQty,"&gt;-1E+300",dFlt1,critFlt1,dFlt2,critFlt2,dFlt3,critFlt3))</f>
        <v/>
      </c>
      <c r="F965" t="str">
        <f>IF($B965="","",SUMIFS(dQty,dCust,$B965,dPer,"&gt;="&amp;cyFrom,dPer,"&lt;="&amp;cyTo,dQty,"&gt;-1E+300",dFlt1,critFlt1,dFlt2,critFlt2,dFlt3,critFlt3))</f>
        <v/>
      </c>
      <c r="G965">
        <f>IF($B965="",0,IFERROR(IF(OR(C965&lt;&gt;0,D965&lt;&gt;0,E965&lt;&gt;0,F965&lt;&gt;0),1,0),1))</f>
        <v>0</v>
      </c>
      <c r="H965" t="str">
        <f>IF(OR(G965=0,E965=0),"",C965/E965)</f>
        <v/>
      </c>
      <c r="I965" t="str">
        <f>IF(OR(G965=0,F965=0),"",D965/F965)</f>
        <v/>
      </c>
      <c r="J965" t="str">
        <f>IF(OR(H965="",I965=""),"",IF(H965=0,"",I965/H965-1))</f>
        <v/>
      </c>
      <c r="K965" t="str">
        <f>IF($B965="","",IFERROR(IF(G965=0,-2E+300,CHOOSE(sortIdx,ROUND(D965,0),IF(J965="",-1E+300,ROUND(-J965,6)),IF(J965="",-1E+300,ROUND(J965,6)))),-1.5E+300))</f>
        <v/>
      </c>
      <c r="L965" t="str">
        <f>IF(K965="","",RANK(K965,$K$2:$K$3001,0)+COUNTIF($K$2:K965,K965)-1)</f>
        <v/>
      </c>
    </row>
    <row r="966">
      <c r="B966" t="str">
        <f>IFERROR(IF(A966="","","="&amp;SUBSTITUTE(SUBSTITUTE(SUBSTITUTE(A966,"~","~~"),"*","~*"),"?","~?")),"")</f>
        <v/>
      </c>
      <c r="C966" t="str">
        <f>IF($B966="","",SUMIFS(dAmt,dCust,$B966,dPer,"&gt;="&amp;pyFrom,dPer,"&lt;="&amp;pyTo,dAmt,"&gt;-1E+300",dFlt1,critFlt1,dFlt2,critFlt2,dFlt3,critFlt3))</f>
        <v/>
      </c>
      <c r="D966" t="str">
        <f>IF($B966="","",SUMIFS(dAmt,dCust,$B966,dPer,"&gt;="&amp;cyFrom,dPer,"&lt;="&amp;cyTo,dAmt,"&gt;-1E+300",dFlt1,critFlt1,dFlt2,critFlt2,dFlt3,critFlt3))</f>
        <v/>
      </c>
      <c r="E966" t="str">
        <f>IF($B966="","",SUMIFS(dQty,dCust,$B966,dPer,"&gt;="&amp;pyFrom,dPer,"&lt;="&amp;pyTo,dQty,"&gt;-1E+300",dFlt1,critFlt1,dFlt2,critFlt2,dFlt3,critFlt3))</f>
        <v/>
      </c>
      <c r="F966" t="str">
        <f>IF($B966="","",SUMIFS(dQty,dCust,$B966,dPer,"&gt;="&amp;cyFrom,dPer,"&lt;="&amp;cyTo,dQty,"&gt;-1E+300",dFlt1,critFlt1,dFlt2,critFlt2,dFlt3,critFlt3))</f>
        <v/>
      </c>
      <c r="G966">
        <f>IF($B966="",0,IFERROR(IF(OR(C966&lt;&gt;0,D966&lt;&gt;0,E966&lt;&gt;0,F966&lt;&gt;0),1,0),1))</f>
        <v>0</v>
      </c>
      <c r="H966" t="str">
        <f>IF(OR(G966=0,E966=0),"",C966/E966)</f>
        <v/>
      </c>
      <c r="I966" t="str">
        <f>IF(OR(G966=0,F966=0),"",D966/F966)</f>
        <v/>
      </c>
      <c r="J966" t="str">
        <f>IF(OR(H966="",I966=""),"",IF(H966=0,"",I966/H966-1))</f>
        <v/>
      </c>
      <c r="K966" t="str">
        <f>IF($B966="","",IFERROR(IF(G966=0,-2E+300,CHOOSE(sortIdx,ROUND(D966,0),IF(J966="",-1E+300,ROUND(-J966,6)),IF(J966="",-1E+300,ROUND(J966,6)))),-1.5E+300))</f>
        <v/>
      </c>
      <c r="L966" t="str">
        <f>IF(K966="","",RANK(K966,$K$2:$K$3001,0)+COUNTIF($K$2:K966,K966)-1)</f>
        <v/>
      </c>
    </row>
    <row r="967">
      <c r="B967" t="str">
        <f>IFERROR(IF(A967="","","="&amp;SUBSTITUTE(SUBSTITUTE(SUBSTITUTE(A967,"~","~~"),"*","~*"),"?","~?")),"")</f>
        <v/>
      </c>
      <c r="C967" t="str">
        <f>IF($B967="","",SUMIFS(dAmt,dCust,$B967,dPer,"&gt;="&amp;pyFrom,dPer,"&lt;="&amp;pyTo,dAmt,"&gt;-1E+300",dFlt1,critFlt1,dFlt2,critFlt2,dFlt3,critFlt3))</f>
        <v/>
      </c>
      <c r="D967" t="str">
        <f>IF($B967="","",SUMIFS(dAmt,dCust,$B967,dPer,"&gt;="&amp;cyFrom,dPer,"&lt;="&amp;cyTo,dAmt,"&gt;-1E+300",dFlt1,critFlt1,dFlt2,critFlt2,dFlt3,critFlt3))</f>
        <v/>
      </c>
      <c r="E967" t="str">
        <f>IF($B967="","",SUMIFS(dQty,dCust,$B967,dPer,"&gt;="&amp;pyFrom,dPer,"&lt;="&amp;pyTo,dQty,"&gt;-1E+300",dFlt1,critFlt1,dFlt2,critFlt2,dFlt3,critFlt3))</f>
        <v/>
      </c>
      <c r="F967" t="str">
        <f>IF($B967="","",SUMIFS(dQty,dCust,$B967,dPer,"&gt;="&amp;cyFrom,dPer,"&lt;="&amp;cyTo,dQty,"&gt;-1E+300",dFlt1,critFlt1,dFlt2,critFlt2,dFlt3,critFlt3))</f>
        <v/>
      </c>
      <c r="G967">
        <f>IF($B967="",0,IFERROR(IF(OR(C967&lt;&gt;0,D967&lt;&gt;0,E967&lt;&gt;0,F967&lt;&gt;0),1,0),1))</f>
        <v>0</v>
      </c>
      <c r="H967" t="str">
        <f>IF(OR(G967=0,E967=0),"",C967/E967)</f>
        <v/>
      </c>
      <c r="I967" t="str">
        <f>IF(OR(G967=0,F967=0),"",D967/F967)</f>
        <v/>
      </c>
      <c r="J967" t="str">
        <f>IF(OR(H967="",I967=""),"",IF(H967=0,"",I967/H967-1))</f>
        <v/>
      </c>
      <c r="K967" t="str">
        <f>IF($B967="","",IFERROR(IF(G967=0,-2E+300,CHOOSE(sortIdx,ROUND(D967,0),IF(J967="",-1E+300,ROUND(-J967,6)),IF(J967="",-1E+300,ROUND(J967,6)))),-1.5E+300))</f>
        <v/>
      </c>
      <c r="L967" t="str">
        <f>IF(K967="","",RANK(K967,$K$2:$K$3001,0)+COUNTIF($K$2:K967,K967)-1)</f>
        <v/>
      </c>
    </row>
    <row r="968">
      <c r="B968" t="str">
        <f>IFERROR(IF(A968="","","="&amp;SUBSTITUTE(SUBSTITUTE(SUBSTITUTE(A968,"~","~~"),"*","~*"),"?","~?")),"")</f>
        <v/>
      </c>
      <c r="C968" t="str">
        <f>IF($B968="","",SUMIFS(dAmt,dCust,$B968,dPer,"&gt;="&amp;pyFrom,dPer,"&lt;="&amp;pyTo,dAmt,"&gt;-1E+300",dFlt1,critFlt1,dFlt2,critFlt2,dFlt3,critFlt3))</f>
        <v/>
      </c>
      <c r="D968" t="str">
        <f>IF($B968="","",SUMIFS(dAmt,dCust,$B968,dPer,"&gt;="&amp;cyFrom,dPer,"&lt;="&amp;cyTo,dAmt,"&gt;-1E+300",dFlt1,critFlt1,dFlt2,critFlt2,dFlt3,critFlt3))</f>
        <v/>
      </c>
      <c r="E968" t="str">
        <f>IF($B968="","",SUMIFS(dQty,dCust,$B968,dPer,"&gt;="&amp;pyFrom,dPer,"&lt;="&amp;pyTo,dQty,"&gt;-1E+300",dFlt1,critFlt1,dFlt2,critFlt2,dFlt3,critFlt3))</f>
        <v/>
      </c>
      <c r="F968" t="str">
        <f>IF($B968="","",SUMIFS(dQty,dCust,$B968,dPer,"&gt;="&amp;cyFrom,dPer,"&lt;="&amp;cyTo,dQty,"&gt;-1E+300",dFlt1,critFlt1,dFlt2,critFlt2,dFlt3,critFlt3))</f>
        <v/>
      </c>
      <c r="G968">
        <f>IF($B968="",0,IFERROR(IF(OR(C968&lt;&gt;0,D968&lt;&gt;0,E968&lt;&gt;0,F968&lt;&gt;0),1,0),1))</f>
        <v>0</v>
      </c>
      <c r="H968" t="str">
        <f>IF(OR(G968=0,E968=0),"",C968/E968)</f>
        <v/>
      </c>
      <c r="I968" t="str">
        <f>IF(OR(G968=0,F968=0),"",D968/F968)</f>
        <v/>
      </c>
      <c r="J968" t="str">
        <f>IF(OR(H968="",I968=""),"",IF(H968=0,"",I968/H968-1))</f>
        <v/>
      </c>
      <c r="K968" t="str">
        <f>IF($B968="","",IFERROR(IF(G968=0,-2E+300,CHOOSE(sortIdx,ROUND(D968,0),IF(J968="",-1E+300,ROUND(-J968,6)),IF(J968="",-1E+300,ROUND(J968,6)))),-1.5E+300))</f>
        <v/>
      </c>
      <c r="L968" t="str">
        <f>IF(K968="","",RANK(K968,$K$2:$K$3001,0)+COUNTIF($K$2:K968,K968)-1)</f>
        <v/>
      </c>
    </row>
    <row r="969">
      <c r="B969" t="str">
        <f>IFERROR(IF(A969="","","="&amp;SUBSTITUTE(SUBSTITUTE(SUBSTITUTE(A969,"~","~~"),"*","~*"),"?","~?")),"")</f>
        <v/>
      </c>
      <c r="C969" t="str">
        <f>IF($B969="","",SUMIFS(dAmt,dCust,$B969,dPer,"&gt;="&amp;pyFrom,dPer,"&lt;="&amp;pyTo,dAmt,"&gt;-1E+300",dFlt1,critFlt1,dFlt2,critFlt2,dFlt3,critFlt3))</f>
        <v/>
      </c>
      <c r="D969" t="str">
        <f>IF($B969="","",SUMIFS(dAmt,dCust,$B969,dPer,"&gt;="&amp;cyFrom,dPer,"&lt;="&amp;cyTo,dAmt,"&gt;-1E+300",dFlt1,critFlt1,dFlt2,critFlt2,dFlt3,critFlt3))</f>
        <v/>
      </c>
      <c r="E969" t="str">
        <f>IF($B969="","",SUMIFS(dQty,dCust,$B969,dPer,"&gt;="&amp;pyFrom,dPer,"&lt;="&amp;pyTo,dQty,"&gt;-1E+300",dFlt1,critFlt1,dFlt2,critFlt2,dFlt3,critFlt3))</f>
        <v/>
      </c>
      <c r="F969" t="str">
        <f>IF($B969="","",SUMIFS(dQty,dCust,$B969,dPer,"&gt;="&amp;cyFrom,dPer,"&lt;="&amp;cyTo,dQty,"&gt;-1E+300",dFlt1,critFlt1,dFlt2,critFlt2,dFlt3,critFlt3))</f>
        <v/>
      </c>
      <c r="G969">
        <f>IF($B969="",0,IFERROR(IF(OR(C969&lt;&gt;0,D969&lt;&gt;0,E969&lt;&gt;0,F969&lt;&gt;0),1,0),1))</f>
        <v>0</v>
      </c>
      <c r="H969" t="str">
        <f>IF(OR(G969=0,E969=0),"",C969/E969)</f>
        <v/>
      </c>
      <c r="I969" t="str">
        <f>IF(OR(G969=0,F969=0),"",D969/F969)</f>
        <v/>
      </c>
      <c r="J969" t="str">
        <f>IF(OR(H969="",I969=""),"",IF(H969=0,"",I969/H969-1))</f>
        <v/>
      </c>
      <c r="K969" t="str">
        <f>IF($B969="","",IFERROR(IF(G969=0,-2E+300,CHOOSE(sortIdx,ROUND(D969,0),IF(J969="",-1E+300,ROUND(-J969,6)),IF(J969="",-1E+300,ROUND(J969,6)))),-1.5E+300))</f>
        <v/>
      </c>
      <c r="L969" t="str">
        <f>IF(K969="","",RANK(K969,$K$2:$K$3001,0)+COUNTIF($K$2:K969,K969)-1)</f>
        <v/>
      </c>
    </row>
    <row r="970">
      <c r="B970" t="str">
        <f>IFERROR(IF(A970="","","="&amp;SUBSTITUTE(SUBSTITUTE(SUBSTITUTE(A970,"~","~~"),"*","~*"),"?","~?")),"")</f>
        <v/>
      </c>
      <c r="C970" t="str">
        <f>IF($B970="","",SUMIFS(dAmt,dCust,$B970,dPer,"&gt;="&amp;pyFrom,dPer,"&lt;="&amp;pyTo,dAmt,"&gt;-1E+300",dFlt1,critFlt1,dFlt2,critFlt2,dFlt3,critFlt3))</f>
        <v/>
      </c>
      <c r="D970" t="str">
        <f>IF($B970="","",SUMIFS(dAmt,dCust,$B970,dPer,"&gt;="&amp;cyFrom,dPer,"&lt;="&amp;cyTo,dAmt,"&gt;-1E+300",dFlt1,critFlt1,dFlt2,critFlt2,dFlt3,critFlt3))</f>
        <v/>
      </c>
      <c r="E970" t="str">
        <f>IF($B970="","",SUMIFS(dQty,dCust,$B970,dPer,"&gt;="&amp;pyFrom,dPer,"&lt;="&amp;pyTo,dQty,"&gt;-1E+300",dFlt1,critFlt1,dFlt2,critFlt2,dFlt3,critFlt3))</f>
        <v/>
      </c>
      <c r="F970" t="str">
        <f>IF($B970="","",SUMIFS(dQty,dCust,$B970,dPer,"&gt;="&amp;cyFrom,dPer,"&lt;="&amp;cyTo,dQty,"&gt;-1E+300",dFlt1,critFlt1,dFlt2,critFlt2,dFlt3,critFlt3))</f>
        <v/>
      </c>
      <c r="G970">
        <f>IF($B970="",0,IFERROR(IF(OR(C970&lt;&gt;0,D970&lt;&gt;0,E970&lt;&gt;0,F970&lt;&gt;0),1,0),1))</f>
        <v>0</v>
      </c>
      <c r="H970" t="str">
        <f>IF(OR(G970=0,E970=0),"",C970/E970)</f>
        <v/>
      </c>
      <c r="I970" t="str">
        <f>IF(OR(G970=0,F970=0),"",D970/F970)</f>
        <v/>
      </c>
      <c r="J970" t="str">
        <f>IF(OR(H970="",I970=""),"",IF(H970=0,"",I970/H970-1))</f>
        <v/>
      </c>
      <c r="K970" t="str">
        <f>IF($B970="","",IFERROR(IF(G970=0,-2E+300,CHOOSE(sortIdx,ROUND(D970,0),IF(J970="",-1E+300,ROUND(-J970,6)),IF(J970="",-1E+300,ROUND(J970,6)))),-1.5E+300))</f>
        <v/>
      </c>
      <c r="L970" t="str">
        <f>IF(K970="","",RANK(K970,$K$2:$K$3001,0)+COUNTIF($K$2:K970,K970)-1)</f>
        <v/>
      </c>
    </row>
    <row r="971">
      <c r="B971" t="str">
        <f>IFERROR(IF(A971="","","="&amp;SUBSTITUTE(SUBSTITUTE(SUBSTITUTE(A971,"~","~~"),"*","~*"),"?","~?")),"")</f>
        <v/>
      </c>
      <c r="C971" t="str">
        <f>IF($B971="","",SUMIFS(dAmt,dCust,$B971,dPer,"&gt;="&amp;pyFrom,dPer,"&lt;="&amp;pyTo,dAmt,"&gt;-1E+300",dFlt1,critFlt1,dFlt2,critFlt2,dFlt3,critFlt3))</f>
        <v/>
      </c>
      <c r="D971" t="str">
        <f>IF($B971="","",SUMIFS(dAmt,dCust,$B971,dPer,"&gt;="&amp;cyFrom,dPer,"&lt;="&amp;cyTo,dAmt,"&gt;-1E+300",dFlt1,critFlt1,dFlt2,critFlt2,dFlt3,critFlt3))</f>
        <v/>
      </c>
      <c r="E971" t="str">
        <f>IF($B971="","",SUMIFS(dQty,dCust,$B971,dPer,"&gt;="&amp;pyFrom,dPer,"&lt;="&amp;pyTo,dQty,"&gt;-1E+300",dFlt1,critFlt1,dFlt2,critFlt2,dFlt3,critFlt3))</f>
        <v/>
      </c>
      <c r="F971" t="str">
        <f>IF($B971="","",SUMIFS(dQty,dCust,$B971,dPer,"&gt;="&amp;cyFrom,dPer,"&lt;="&amp;cyTo,dQty,"&gt;-1E+300",dFlt1,critFlt1,dFlt2,critFlt2,dFlt3,critFlt3))</f>
        <v/>
      </c>
      <c r="G971">
        <f>IF($B971="",0,IFERROR(IF(OR(C971&lt;&gt;0,D971&lt;&gt;0,E971&lt;&gt;0,F971&lt;&gt;0),1,0),1))</f>
        <v>0</v>
      </c>
      <c r="H971" t="str">
        <f>IF(OR(G971=0,E971=0),"",C971/E971)</f>
        <v/>
      </c>
      <c r="I971" t="str">
        <f>IF(OR(G971=0,F971=0),"",D971/F971)</f>
        <v/>
      </c>
      <c r="J971" t="str">
        <f>IF(OR(H971="",I971=""),"",IF(H971=0,"",I971/H971-1))</f>
        <v/>
      </c>
      <c r="K971" t="str">
        <f>IF($B971="","",IFERROR(IF(G971=0,-2E+300,CHOOSE(sortIdx,ROUND(D971,0),IF(J971="",-1E+300,ROUND(-J971,6)),IF(J971="",-1E+300,ROUND(J971,6)))),-1.5E+300))</f>
        <v/>
      </c>
      <c r="L971" t="str">
        <f>IF(K971="","",RANK(K971,$K$2:$K$3001,0)+COUNTIF($K$2:K971,K971)-1)</f>
        <v/>
      </c>
    </row>
    <row r="972">
      <c r="B972" t="str">
        <f>IFERROR(IF(A972="","","="&amp;SUBSTITUTE(SUBSTITUTE(SUBSTITUTE(A972,"~","~~"),"*","~*"),"?","~?")),"")</f>
        <v/>
      </c>
      <c r="C972" t="str">
        <f>IF($B972="","",SUMIFS(dAmt,dCust,$B972,dPer,"&gt;="&amp;pyFrom,dPer,"&lt;="&amp;pyTo,dAmt,"&gt;-1E+300",dFlt1,critFlt1,dFlt2,critFlt2,dFlt3,critFlt3))</f>
        <v/>
      </c>
      <c r="D972" t="str">
        <f>IF($B972="","",SUMIFS(dAmt,dCust,$B972,dPer,"&gt;="&amp;cyFrom,dPer,"&lt;="&amp;cyTo,dAmt,"&gt;-1E+300",dFlt1,critFlt1,dFlt2,critFlt2,dFlt3,critFlt3))</f>
        <v/>
      </c>
      <c r="E972" t="str">
        <f>IF($B972="","",SUMIFS(dQty,dCust,$B972,dPer,"&gt;="&amp;pyFrom,dPer,"&lt;="&amp;pyTo,dQty,"&gt;-1E+300",dFlt1,critFlt1,dFlt2,critFlt2,dFlt3,critFlt3))</f>
        <v/>
      </c>
      <c r="F972" t="str">
        <f>IF($B972="","",SUMIFS(dQty,dCust,$B972,dPer,"&gt;="&amp;cyFrom,dPer,"&lt;="&amp;cyTo,dQty,"&gt;-1E+300",dFlt1,critFlt1,dFlt2,critFlt2,dFlt3,critFlt3))</f>
        <v/>
      </c>
      <c r="G972">
        <f>IF($B972="",0,IFERROR(IF(OR(C972&lt;&gt;0,D972&lt;&gt;0,E972&lt;&gt;0,F972&lt;&gt;0),1,0),1))</f>
        <v>0</v>
      </c>
      <c r="H972" t="str">
        <f>IF(OR(G972=0,E972=0),"",C972/E972)</f>
        <v/>
      </c>
      <c r="I972" t="str">
        <f>IF(OR(G972=0,F972=0),"",D972/F972)</f>
        <v/>
      </c>
      <c r="J972" t="str">
        <f>IF(OR(H972="",I972=""),"",IF(H972=0,"",I972/H972-1))</f>
        <v/>
      </c>
      <c r="K972" t="str">
        <f>IF($B972="","",IFERROR(IF(G972=0,-2E+300,CHOOSE(sortIdx,ROUND(D972,0),IF(J972="",-1E+300,ROUND(-J972,6)),IF(J972="",-1E+300,ROUND(J972,6)))),-1.5E+300))</f>
        <v/>
      </c>
      <c r="L972" t="str">
        <f>IF(K972="","",RANK(K972,$K$2:$K$3001,0)+COUNTIF($K$2:K972,K972)-1)</f>
        <v/>
      </c>
    </row>
    <row r="973">
      <c r="B973" t="str">
        <f>IFERROR(IF(A973="","","="&amp;SUBSTITUTE(SUBSTITUTE(SUBSTITUTE(A973,"~","~~"),"*","~*"),"?","~?")),"")</f>
        <v/>
      </c>
      <c r="C973" t="str">
        <f>IF($B973="","",SUMIFS(dAmt,dCust,$B973,dPer,"&gt;="&amp;pyFrom,dPer,"&lt;="&amp;pyTo,dAmt,"&gt;-1E+300",dFlt1,critFlt1,dFlt2,critFlt2,dFlt3,critFlt3))</f>
        <v/>
      </c>
      <c r="D973" t="str">
        <f>IF($B973="","",SUMIFS(dAmt,dCust,$B973,dPer,"&gt;="&amp;cyFrom,dPer,"&lt;="&amp;cyTo,dAmt,"&gt;-1E+300",dFlt1,critFlt1,dFlt2,critFlt2,dFlt3,critFlt3))</f>
        <v/>
      </c>
      <c r="E973" t="str">
        <f>IF($B973="","",SUMIFS(dQty,dCust,$B973,dPer,"&gt;="&amp;pyFrom,dPer,"&lt;="&amp;pyTo,dQty,"&gt;-1E+300",dFlt1,critFlt1,dFlt2,critFlt2,dFlt3,critFlt3))</f>
        <v/>
      </c>
      <c r="F973" t="str">
        <f>IF($B973="","",SUMIFS(dQty,dCust,$B973,dPer,"&gt;="&amp;cyFrom,dPer,"&lt;="&amp;cyTo,dQty,"&gt;-1E+300",dFlt1,critFlt1,dFlt2,critFlt2,dFlt3,critFlt3))</f>
        <v/>
      </c>
      <c r="G973">
        <f>IF($B973="",0,IFERROR(IF(OR(C973&lt;&gt;0,D973&lt;&gt;0,E973&lt;&gt;0,F973&lt;&gt;0),1,0),1))</f>
        <v>0</v>
      </c>
      <c r="H973" t="str">
        <f>IF(OR(G973=0,E973=0),"",C973/E973)</f>
        <v/>
      </c>
      <c r="I973" t="str">
        <f>IF(OR(G973=0,F973=0),"",D973/F973)</f>
        <v/>
      </c>
      <c r="J973" t="str">
        <f>IF(OR(H973="",I973=""),"",IF(H973=0,"",I973/H973-1))</f>
        <v/>
      </c>
      <c r="K973" t="str">
        <f>IF($B973="","",IFERROR(IF(G973=0,-2E+300,CHOOSE(sortIdx,ROUND(D973,0),IF(J973="",-1E+300,ROUND(-J973,6)),IF(J973="",-1E+300,ROUND(J973,6)))),-1.5E+300))</f>
        <v/>
      </c>
      <c r="L973" t="str">
        <f>IF(K973="","",RANK(K973,$K$2:$K$3001,0)+COUNTIF($K$2:K973,K973)-1)</f>
        <v/>
      </c>
    </row>
    <row r="974">
      <c r="B974" t="str">
        <f>IFERROR(IF(A974="","","="&amp;SUBSTITUTE(SUBSTITUTE(SUBSTITUTE(A974,"~","~~"),"*","~*"),"?","~?")),"")</f>
        <v/>
      </c>
      <c r="C974" t="str">
        <f>IF($B974="","",SUMIFS(dAmt,dCust,$B974,dPer,"&gt;="&amp;pyFrom,dPer,"&lt;="&amp;pyTo,dAmt,"&gt;-1E+300",dFlt1,critFlt1,dFlt2,critFlt2,dFlt3,critFlt3))</f>
        <v/>
      </c>
      <c r="D974" t="str">
        <f>IF($B974="","",SUMIFS(dAmt,dCust,$B974,dPer,"&gt;="&amp;cyFrom,dPer,"&lt;="&amp;cyTo,dAmt,"&gt;-1E+300",dFlt1,critFlt1,dFlt2,critFlt2,dFlt3,critFlt3))</f>
        <v/>
      </c>
      <c r="E974" t="str">
        <f>IF($B974="","",SUMIFS(dQty,dCust,$B974,dPer,"&gt;="&amp;pyFrom,dPer,"&lt;="&amp;pyTo,dQty,"&gt;-1E+300",dFlt1,critFlt1,dFlt2,critFlt2,dFlt3,critFlt3))</f>
        <v/>
      </c>
      <c r="F974" t="str">
        <f>IF($B974="","",SUMIFS(dQty,dCust,$B974,dPer,"&gt;="&amp;cyFrom,dPer,"&lt;="&amp;cyTo,dQty,"&gt;-1E+300",dFlt1,critFlt1,dFlt2,critFlt2,dFlt3,critFlt3))</f>
        <v/>
      </c>
      <c r="G974">
        <f>IF($B974="",0,IFERROR(IF(OR(C974&lt;&gt;0,D974&lt;&gt;0,E974&lt;&gt;0,F974&lt;&gt;0),1,0),1))</f>
        <v>0</v>
      </c>
      <c r="H974" t="str">
        <f>IF(OR(G974=0,E974=0),"",C974/E974)</f>
        <v/>
      </c>
      <c r="I974" t="str">
        <f>IF(OR(G974=0,F974=0),"",D974/F974)</f>
        <v/>
      </c>
      <c r="J974" t="str">
        <f>IF(OR(H974="",I974=""),"",IF(H974=0,"",I974/H974-1))</f>
        <v/>
      </c>
      <c r="K974" t="str">
        <f>IF($B974="","",IFERROR(IF(G974=0,-2E+300,CHOOSE(sortIdx,ROUND(D974,0),IF(J974="",-1E+300,ROUND(-J974,6)),IF(J974="",-1E+300,ROUND(J974,6)))),-1.5E+300))</f>
        <v/>
      </c>
      <c r="L974" t="str">
        <f>IF(K974="","",RANK(K974,$K$2:$K$3001,0)+COUNTIF($K$2:K974,K974)-1)</f>
        <v/>
      </c>
    </row>
    <row r="975">
      <c r="B975" t="str">
        <f>IFERROR(IF(A975="","","="&amp;SUBSTITUTE(SUBSTITUTE(SUBSTITUTE(A975,"~","~~"),"*","~*"),"?","~?")),"")</f>
        <v/>
      </c>
      <c r="C975" t="str">
        <f>IF($B975="","",SUMIFS(dAmt,dCust,$B975,dPer,"&gt;="&amp;pyFrom,dPer,"&lt;="&amp;pyTo,dAmt,"&gt;-1E+300",dFlt1,critFlt1,dFlt2,critFlt2,dFlt3,critFlt3))</f>
        <v/>
      </c>
      <c r="D975" t="str">
        <f>IF($B975="","",SUMIFS(dAmt,dCust,$B975,dPer,"&gt;="&amp;cyFrom,dPer,"&lt;="&amp;cyTo,dAmt,"&gt;-1E+300",dFlt1,critFlt1,dFlt2,critFlt2,dFlt3,critFlt3))</f>
        <v/>
      </c>
      <c r="E975" t="str">
        <f>IF($B975="","",SUMIFS(dQty,dCust,$B975,dPer,"&gt;="&amp;pyFrom,dPer,"&lt;="&amp;pyTo,dQty,"&gt;-1E+300",dFlt1,critFlt1,dFlt2,critFlt2,dFlt3,critFlt3))</f>
        <v/>
      </c>
      <c r="F975" t="str">
        <f>IF($B975="","",SUMIFS(dQty,dCust,$B975,dPer,"&gt;="&amp;cyFrom,dPer,"&lt;="&amp;cyTo,dQty,"&gt;-1E+300",dFlt1,critFlt1,dFlt2,critFlt2,dFlt3,critFlt3))</f>
        <v/>
      </c>
      <c r="G975">
        <f>IF($B975="",0,IFERROR(IF(OR(C975&lt;&gt;0,D975&lt;&gt;0,E975&lt;&gt;0,F975&lt;&gt;0),1,0),1))</f>
        <v>0</v>
      </c>
      <c r="H975" t="str">
        <f>IF(OR(G975=0,E975=0),"",C975/E975)</f>
        <v/>
      </c>
      <c r="I975" t="str">
        <f>IF(OR(G975=0,F975=0),"",D975/F975)</f>
        <v/>
      </c>
      <c r="J975" t="str">
        <f>IF(OR(H975="",I975=""),"",IF(H975=0,"",I975/H975-1))</f>
        <v/>
      </c>
      <c r="K975" t="str">
        <f>IF($B975="","",IFERROR(IF(G975=0,-2E+300,CHOOSE(sortIdx,ROUND(D975,0),IF(J975="",-1E+300,ROUND(-J975,6)),IF(J975="",-1E+300,ROUND(J975,6)))),-1.5E+300))</f>
        <v/>
      </c>
      <c r="L975" t="str">
        <f>IF(K975="","",RANK(K975,$K$2:$K$3001,0)+COUNTIF($K$2:K975,K975)-1)</f>
        <v/>
      </c>
    </row>
    <row r="976">
      <c r="B976" t="str">
        <f>IFERROR(IF(A976="","","="&amp;SUBSTITUTE(SUBSTITUTE(SUBSTITUTE(A976,"~","~~"),"*","~*"),"?","~?")),"")</f>
        <v/>
      </c>
      <c r="C976" t="str">
        <f>IF($B976="","",SUMIFS(dAmt,dCust,$B976,dPer,"&gt;="&amp;pyFrom,dPer,"&lt;="&amp;pyTo,dAmt,"&gt;-1E+300",dFlt1,critFlt1,dFlt2,critFlt2,dFlt3,critFlt3))</f>
        <v/>
      </c>
      <c r="D976" t="str">
        <f>IF($B976="","",SUMIFS(dAmt,dCust,$B976,dPer,"&gt;="&amp;cyFrom,dPer,"&lt;="&amp;cyTo,dAmt,"&gt;-1E+300",dFlt1,critFlt1,dFlt2,critFlt2,dFlt3,critFlt3))</f>
        <v/>
      </c>
      <c r="E976" t="str">
        <f>IF($B976="","",SUMIFS(dQty,dCust,$B976,dPer,"&gt;="&amp;pyFrom,dPer,"&lt;="&amp;pyTo,dQty,"&gt;-1E+300",dFlt1,critFlt1,dFlt2,critFlt2,dFlt3,critFlt3))</f>
        <v/>
      </c>
      <c r="F976" t="str">
        <f>IF($B976="","",SUMIFS(dQty,dCust,$B976,dPer,"&gt;="&amp;cyFrom,dPer,"&lt;="&amp;cyTo,dQty,"&gt;-1E+300",dFlt1,critFlt1,dFlt2,critFlt2,dFlt3,critFlt3))</f>
        <v/>
      </c>
      <c r="G976">
        <f>IF($B976="",0,IFERROR(IF(OR(C976&lt;&gt;0,D976&lt;&gt;0,E976&lt;&gt;0,F976&lt;&gt;0),1,0),1))</f>
        <v>0</v>
      </c>
      <c r="H976" t="str">
        <f>IF(OR(G976=0,E976=0),"",C976/E976)</f>
        <v/>
      </c>
      <c r="I976" t="str">
        <f>IF(OR(G976=0,F976=0),"",D976/F976)</f>
        <v/>
      </c>
      <c r="J976" t="str">
        <f>IF(OR(H976="",I976=""),"",IF(H976=0,"",I976/H976-1))</f>
        <v/>
      </c>
      <c r="K976" t="str">
        <f>IF($B976="","",IFERROR(IF(G976=0,-2E+300,CHOOSE(sortIdx,ROUND(D976,0),IF(J976="",-1E+300,ROUND(-J976,6)),IF(J976="",-1E+300,ROUND(J976,6)))),-1.5E+300))</f>
        <v/>
      </c>
      <c r="L976" t="str">
        <f>IF(K976="","",RANK(K976,$K$2:$K$3001,0)+COUNTIF($K$2:K976,K976)-1)</f>
        <v/>
      </c>
    </row>
    <row r="977">
      <c r="B977" t="str">
        <f>IFERROR(IF(A977="","","="&amp;SUBSTITUTE(SUBSTITUTE(SUBSTITUTE(A977,"~","~~"),"*","~*"),"?","~?")),"")</f>
        <v/>
      </c>
      <c r="C977" t="str">
        <f>IF($B977="","",SUMIFS(dAmt,dCust,$B977,dPer,"&gt;="&amp;pyFrom,dPer,"&lt;="&amp;pyTo,dAmt,"&gt;-1E+300",dFlt1,critFlt1,dFlt2,critFlt2,dFlt3,critFlt3))</f>
        <v/>
      </c>
      <c r="D977" t="str">
        <f>IF($B977="","",SUMIFS(dAmt,dCust,$B977,dPer,"&gt;="&amp;cyFrom,dPer,"&lt;="&amp;cyTo,dAmt,"&gt;-1E+300",dFlt1,critFlt1,dFlt2,critFlt2,dFlt3,critFlt3))</f>
        <v/>
      </c>
      <c r="E977" t="str">
        <f>IF($B977="","",SUMIFS(dQty,dCust,$B977,dPer,"&gt;="&amp;pyFrom,dPer,"&lt;="&amp;pyTo,dQty,"&gt;-1E+300",dFlt1,critFlt1,dFlt2,critFlt2,dFlt3,critFlt3))</f>
        <v/>
      </c>
      <c r="F977" t="str">
        <f>IF($B977="","",SUMIFS(dQty,dCust,$B977,dPer,"&gt;="&amp;cyFrom,dPer,"&lt;="&amp;cyTo,dQty,"&gt;-1E+300",dFlt1,critFlt1,dFlt2,critFlt2,dFlt3,critFlt3))</f>
        <v/>
      </c>
      <c r="G977">
        <f>IF($B977="",0,IFERROR(IF(OR(C977&lt;&gt;0,D977&lt;&gt;0,E977&lt;&gt;0,F977&lt;&gt;0),1,0),1))</f>
        <v>0</v>
      </c>
      <c r="H977" t="str">
        <f>IF(OR(G977=0,E977=0),"",C977/E977)</f>
        <v/>
      </c>
      <c r="I977" t="str">
        <f>IF(OR(G977=0,F977=0),"",D977/F977)</f>
        <v/>
      </c>
      <c r="J977" t="str">
        <f>IF(OR(H977="",I977=""),"",IF(H977=0,"",I977/H977-1))</f>
        <v/>
      </c>
      <c r="K977" t="str">
        <f>IF($B977="","",IFERROR(IF(G977=0,-2E+300,CHOOSE(sortIdx,ROUND(D977,0),IF(J977="",-1E+300,ROUND(-J977,6)),IF(J977="",-1E+300,ROUND(J977,6)))),-1.5E+300))</f>
        <v/>
      </c>
      <c r="L977" t="str">
        <f>IF(K977="","",RANK(K977,$K$2:$K$3001,0)+COUNTIF($K$2:K977,K977)-1)</f>
        <v/>
      </c>
    </row>
    <row r="978">
      <c r="B978" t="str">
        <f>IFERROR(IF(A978="","","="&amp;SUBSTITUTE(SUBSTITUTE(SUBSTITUTE(A978,"~","~~"),"*","~*"),"?","~?")),"")</f>
        <v/>
      </c>
      <c r="C978" t="str">
        <f>IF($B978="","",SUMIFS(dAmt,dCust,$B978,dPer,"&gt;="&amp;pyFrom,dPer,"&lt;="&amp;pyTo,dAmt,"&gt;-1E+300",dFlt1,critFlt1,dFlt2,critFlt2,dFlt3,critFlt3))</f>
        <v/>
      </c>
      <c r="D978" t="str">
        <f>IF($B978="","",SUMIFS(dAmt,dCust,$B978,dPer,"&gt;="&amp;cyFrom,dPer,"&lt;="&amp;cyTo,dAmt,"&gt;-1E+300",dFlt1,critFlt1,dFlt2,critFlt2,dFlt3,critFlt3))</f>
        <v/>
      </c>
      <c r="E978" t="str">
        <f>IF($B978="","",SUMIFS(dQty,dCust,$B978,dPer,"&gt;="&amp;pyFrom,dPer,"&lt;="&amp;pyTo,dQty,"&gt;-1E+300",dFlt1,critFlt1,dFlt2,critFlt2,dFlt3,critFlt3))</f>
        <v/>
      </c>
      <c r="F978" t="str">
        <f>IF($B978="","",SUMIFS(dQty,dCust,$B978,dPer,"&gt;="&amp;cyFrom,dPer,"&lt;="&amp;cyTo,dQty,"&gt;-1E+300",dFlt1,critFlt1,dFlt2,critFlt2,dFlt3,critFlt3))</f>
        <v/>
      </c>
      <c r="G978">
        <f>IF($B978="",0,IFERROR(IF(OR(C978&lt;&gt;0,D978&lt;&gt;0,E978&lt;&gt;0,F978&lt;&gt;0),1,0),1))</f>
        <v>0</v>
      </c>
      <c r="H978" t="str">
        <f>IF(OR(G978=0,E978=0),"",C978/E978)</f>
        <v/>
      </c>
      <c r="I978" t="str">
        <f>IF(OR(G978=0,F978=0),"",D978/F978)</f>
        <v/>
      </c>
      <c r="J978" t="str">
        <f>IF(OR(H978="",I978=""),"",IF(H978=0,"",I978/H978-1))</f>
        <v/>
      </c>
      <c r="K978" t="str">
        <f>IF($B978="","",IFERROR(IF(G978=0,-2E+300,CHOOSE(sortIdx,ROUND(D978,0),IF(J978="",-1E+300,ROUND(-J978,6)),IF(J978="",-1E+300,ROUND(J978,6)))),-1.5E+300))</f>
        <v/>
      </c>
      <c r="L978" t="str">
        <f>IF(K978="","",RANK(K978,$K$2:$K$3001,0)+COUNTIF($K$2:K978,K978)-1)</f>
        <v/>
      </c>
    </row>
    <row r="979">
      <c r="B979" t="str">
        <f>IFERROR(IF(A979="","","="&amp;SUBSTITUTE(SUBSTITUTE(SUBSTITUTE(A979,"~","~~"),"*","~*"),"?","~?")),"")</f>
        <v/>
      </c>
      <c r="C979" t="str">
        <f>IF($B979="","",SUMIFS(dAmt,dCust,$B979,dPer,"&gt;="&amp;pyFrom,dPer,"&lt;="&amp;pyTo,dAmt,"&gt;-1E+300",dFlt1,critFlt1,dFlt2,critFlt2,dFlt3,critFlt3))</f>
        <v/>
      </c>
      <c r="D979" t="str">
        <f>IF($B979="","",SUMIFS(dAmt,dCust,$B979,dPer,"&gt;="&amp;cyFrom,dPer,"&lt;="&amp;cyTo,dAmt,"&gt;-1E+300",dFlt1,critFlt1,dFlt2,critFlt2,dFlt3,critFlt3))</f>
        <v/>
      </c>
      <c r="E979" t="str">
        <f>IF($B979="","",SUMIFS(dQty,dCust,$B979,dPer,"&gt;="&amp;pyFrom,dPer,"&lt;="&amp;pyTo,dQty,"&gt;-1E+300",dFlt1,critFlt1,dFlt2,critFlt2,dFlt3,critFlt3))</f>
        <v/>
      </c>
      <c r="F979" t="str">
        <f>IF($B979="","",SUMIFS(dQty,dCust,$B979,dPer,"&gt;="&amp;cyFrom,dPer,"&lt;="&amp;cyTo,dQty,"&gt;-1E+300",dFlt1,critFlt1,dFlt2,critFlt2,dFlt3,critFlt3))</f>
        <v/>
      </c>
      <c r="G979">
        <f>IF($B979="",0,IFERROR(IF(OR(C979&lt;&gt;0,D979&lt;&gt;0,E979&lt;&gt;0,F979&lt;&gt;0),1,0),1))</f>
        <v>0</v>
      </c>
      <c r="H979" t="str">
        <f>IF(OR(G979=0,E979=0),"",C979/E979)</f>
        <v/>
      </c>
      <c r="I979" t="str">
        <f>IF(OR(G979=0,F979=0),"",D979/F979)</f>
        <v/>
      </c>
      <c r="J979" t="str">
        <f>IF(OR(H979="",I979=""),"",IF(H979=0,"",I979/H979-1))</f>
        <v/>
      </c>
      <c r="K979" t="str">
        <f>IF($B979="","",IFERROR(IF(G979=0,-2E+300,CHOOSE(sortIdx,ROUND(D979,0),IF(J979="",-1E+300,ROUND(-J979,6)),IF(J979="",-1E+300,ROUND(J979,6)))),-1.5E+300))</f>
        <v/>
      </c>
      <c r="L979" t="str">
        <f>IF(K979="","",RANK(K979,$K$2:$K$3001,0)+COUNTIF($K$2:K979,K979)-1)</f>
        <v/>
      </c>
    </row>
    <row r="980">
      <c r="B980" t="str">
        <f>IFERROR(IF(A980="","","="&amp;SUBSTITUTE(SUBSTITUTE(SUBSTITUTE(A980,"~","~~"),"*","~*"),"?","~?")),"")</f>
        <v/>
      </c>
      <c r="C980" t="str">
        <f>IF($B980="","",SUMIFS(dAmt,dCust,$B980,dPer,"&gt;="&amp;pyFrom,dPer,"&lt;="&amp;pyTo,dAmt,"&gt;-1E+300",dFlt1,critFlt1,dFlt2,critFlt2,dFlt3,critFlt3))</f>
        <v/>
      </c>
      <c r="D980" t="str">
        <f>IF($B980="","",SUMIFS(dAmt,dCust,$B980,dPer,"&gt;="&amp;cyFrom,dPer,"&lt;="&amp;cyTo,dAmt,"&gt;-1E+300",dFlt1,critFlt1,dFlt2,critFlt2,dFlt3,critFlt3))</f>
        <v/>
      </c>
      <c r="E980" t="str">
        <f>IF($B980="","",SUMIFS(dQty,dCust,$B980,dPer,"&gt;="&amp;pyFrom,dPer,"&lt;="&amp;pyTo,dQty,"&gt;-1E+300",dFlt1,critFlt1,dFlt2,critFlt2,dFlt3,critFlt3))</f>
        <v/>
      </c>
      <c r="F980" t="str">
        <f>IF($B980="","",SUMIFS(dQty,dCust,$B980,dPer,"&gt;="&amp;cyFrom,dPer,"&lt;="&amp;cyTo,dQty,"&gt;-1E+300",dFlt1,critFlt1,dFlt2,critFlt2,dFlt3,critFlt3))</f>
        <v/>
      </c>
      <c r="G980">
        <f>IF($B980="",0,IFERROR(IF(OR(C980&lt;&gt;0,D980&lt;&gt;0,E980&lt;&gt;0,F980&lt;&gt;0),1,0),1))</f>
        <v>0</v>
      </c>
      <c r="H980" t="str">
        <f>IF(OR(G980=0,E980=0),"",C980/E980)</f>
        <v/>
      </c>
      <c r="I980" t="str">
        <f>IF(OR(G980=0,F980=0),"",D980/F980)</f>
        <v/>
      </c>
      <c r="J980" t="str">
        <f>IF(OR(H980="",I980=""),"",IF(H980=0,"",I980/H980-1))</f>
        <v/>
      </c>
      <c r="K980" t="str">
        <f>IF($B980="","",IFERROR(IF(G980=0,-2E+300,CHOOSE(sortIdx,ROUND(D980,0),IF(J980="",-1E+300,ROUND(-J980,6)),IF(J980="",-1E+300,ROUND(J980,6)))),-1.5E+300))</f>
        <v/>
      </c>
      <c r="L980" t="str">
        <f>IF(K980="","",RANK(K980,$K$2:$K$3001,0)+COUNTIF($K$2:K980,K980)-1)</f>
        <v/>
      </c>
    </row>
    <row r="981">
      <c r="B981" t="str">
        <f>IFERROR(IF(A981="","","="&amp;SUBSTITUTE(SUBSTITUTE(SUBSTITUTE(A981,"~","~~"),"*","~*"),"?","~?")),"")</f>
        <v/>
      </c>
      <c r="C981" t="str">
        <f>IF($B981="","",SUMIFS(dAmt,dCust,$B981,dPer,"&gt;="&amp;pyFrom,dPer,"&lt;="&amp;pyTo,dAmt,"&gt;-1E+300",dFlt1,critFlt1,dFlt2,critFlt2,dFlt3,critFlt3))</f>
        <v/>
      </c>
      <c r="D981" t="str">
        <f>IF($B981="","",SUMIFS(dAmt,dCust,$B981,dPer,"&gt;="&amp;cyFrom,dPer,"&lt;="&amp;cyTo,dAmt,"&gt;-1E+300",dFlt1,critFlt1,dFlt2,critFlt2,dFlt3,critFlt3))</f>
        <v/>
      </c>
      <c r="E981" t="str">
        <f>IF($B981="","",SUMIFS(dQty,dCust,$B981,dPer,"&gt;="&amp;pyFrom,dPer,"&lt;="&amp;pyTo,dQty,"&gt;-1E+300",dFlt1,critFlt1,dFlt2,critFlt2,dFlt3,critFlt3))</f>
        <v/>
      </c>
      <c r="F981" t="str">
        <f>IF($B981="","",SUMIFS(dQty,dCust,$B981,dPer,"&gt;="&amp;cyFrom,dPer,"&lt;="&amp;cyTo,dQty,"&gt;-1E+300",dFlt1,critFlt1,dFlt2,critFlt2,dFlt3,critFlt3))</f>
        <v/>
      </c>
      <c r="G981">
        <f>IF($B981="",0,IFERROR(IF(OR(C981&lt;&gt;0,D981&lt;&gt;0,E981&lt;&gt;0,F981&lt;&gt;0),1,0),1))</f>
        <v>0</v>
      </c>
      <c r="H981" t="str">
        <f>IF(OR(G981=0,E981=0),"",C981/E981)</f>
        <v/>
      </c>
      <c r="I981" t="str">
        <f>IF(OR(G981=0,F981=0),"",D981/F981)</f>
        <v/>
      </c>
      <c r="J981" t="str">
        <f>IF(OR(H981="",I981=""),"",IF(H981=0,"",I981/H981-1))</f>
        <v/>
      </c>
      <c r="K981" t="str">
        <f>IF($B981="","",IFERROR(IF(G981=0,-2E+300,CHOOSE(sortIdx,ROUND(D981,0),IF(J981="",-1E+300,ROUND(-J981,6)),IF(J981="",-1E+300,ROUND(J981,6)))),-1.5E+300))</f>
        <v/>
      </c>
      <c r="L981" t="str">
        <f>IF(K981="","",RANK(K981,$K$2:$K$3001,0)+COUNTIF($K$2:K981,K981)-1)</f>
        <v/>
      </c>
    </row>
    <row r="982">
      <c r="B982" t="str">
        <f>IFERROR(IF(A982="","","="&amp;SUBSTITUTE(SUBSTITUTE(SUBSTITUTE(A982,"~","~~"),"*","~*"),"?","~?")),"")</f>
        <v/>
      </c>
      <c r="C982" t="str">
        <f>IF($B982="","",SUMIFS(dAmt,dCust,$B982,dPer,"&gt;="&amp;pyFrom,dPer,"&lt;="&amp;pyTo,dAmt,"&gt;-1E+300",dFlt1,critFlt1,dFlt2,critFlt2,dFlt3,critFlt3))</f>
        <v/>
      </c>
      <c r="D982" t="str">
        <f>IF($B982="","",SUMIFS(dAmt,dCust,$B982,dPer,"&gt;="&amp;cyFrom,dPer,"&lt;="&amp;cyTo,dAmt,"&gt;-1E+300",dFlt1,critFlt1,dFlt2,critFlt2,dFlt3,critFlt3))</f>
        <v/>
      </c>
      <c r="E982" t="str">
        <f>IF($B982="","",SUMIFS(dQty,dCust,$B982,dPer,"&gt;="&amp;pyFrom,dPer,"&lt;="&amp;pyTo,dQty,"&gt;-1E+300",dFlt1,critFlt1,dFlt2,critFlt2,dFlt3,critFlt3))</f>
        <v/>
      </c>
      <c r="F982" t="str">
        <f>IF($B982="","",SUMIFS(dQty,dCust,$B982,dPer,"&gt;="&amp;cyFrom,dPer,"&lt;="&amp;cyTo,dQty,"&gt;-1E+300",dFlt1,critFlt1,dFlt2,critFlt2,dFlt3,critFlt3))</f>
        <v/>
      </c>
      <c r="G982">
        <f>IF($B982="",0,IFERROR(IF(OR(C982&lt;&gt;0,D982&lt;&gt;0,E982&lt;&gt;0,F982&lt;&gt;0),1,0),1))</f>
        <v>0</v>
      </c>
      <c r="H982" t="str">
        <f>IF(OR(G982=0,E982=0),"",C982/E982)</f>
        <v/>
      </c>
      <c r="I982" t="str">
        <f>IF(OR(G982=0,F982=0),"",D982/F982)</f>
        <v/>
      </c>
      <c r="J982" t="str">
        <f>IF(OR(H982="",I982=""),"",IF(H982=0,"",I982/H982-1))</f>
        <v/>
      </c>
      <c r="K982" t="str">
        <f>IF($B982="","",IFERROR(IF(G982=0,-2E+300,CHOOSE(sortIdx,ROUND(D982,0),IF(J982="",-1E+300,ROUND(-J982,6)),IF(J982="",-1E+300,ROUND(J982,6)))),-1.5E+300))</f>
        <v/>
      </c>
      <c r="L982" t="str">
        <f>IF(K982="","",RANK(K982,$K$2:$K$3001,0)+COUNTIF($K$2:K982,K982)-1)</f>
        <v/>
      </c>
    </row>
    <row r="983">
      <c r="B983" t="str">
        <f>IFERROR(IF(A983="","","="&amp;SUBSTITUTE(SUBSTITUTE(SUBSTITUTE(A983,"~","~~"),"*","~*"),"?","~?")),"")</f>
        <v/>
      </c>
      <c r="C983" t="str">
        <f>IF($B983="","",SUMIFS(dAmt,dCust,$B983,dPer,"&gt;="&amp;pyFrom,dPer,"&lt;="&amp;pyTo,dAmt,"&gt;-1E+300",dFlt1,critFlt1,dFlt2,critFlt2,dFlt3,critFlt3))</f>
        <v/>
      </c>
      <c r="D983" t="str">
        <f>IF($B983="","",SUMIFS(dAmt,dCust,$B983,dPer,"&gt;="&amp;cyFrom,dPer,"&lt;="&amp;cyTo,dAmt,"&gt;-1E+300",dFlt1,critFlt1,dFlt2,critFlt2,dFlt3,critFlt3))</f>
        <v/>
      </c>
      <c r="E983" t="str">
        <f>IF($B983="","",SUMIFS(dQty,dCust,$B983,dPer,"&gt;="&amp;pyFrom,dPer,"&lt;="&amp;pyTo,dQty,"&gt;-1E+300",dFlt1,critFlt1,dFlt2,critFlt2,dFlt3,critFlt3))</f>
        <v/>
      </c>
      <c r="F983" t="str">
        <f>IF($B983="","",SUMIFS(dQty,dCust,$B983,dPer,"&gt;="&amp;cyFrom,dPer,"&lt;="&amp;cyTo,dQty,"&gt;-1E+300",dFlt1,critFlt1,dFlt2,critFlt2,dFlt3,critFlt3))</f>
        <v/>
      </c>
      <c r="G983">
        <f>IF($B983="",0,IFERROR(IF(OR(C983&lt;&gt;0,D983&lt;&gt;0,E983&lt;&gt;0,F983&lt;&gt;0),1,0),1))</f>
        <v>0</v>
      </c>
      <c r="H983" t="str">
        <f>IF(OR(G983=0,E983=0),"",C983/E983)</f>
        <v/>
      </c>
      <c r="I983" t="str">
        <f>IF(OR(G983=0,F983=0),"",D983/F983)</f>
        <v/>
      </c>
      <c r="J983" t="str">
        <f>IF(OR(H983="",I983=""),"",IF(H983=0,"",I983/H983-1))</f>
        <v/>
      </c>
      <c r="K983" t="str">
        <f>IF($B983="","",IFERROR(IF(G983=0,-2E+300,CHOOSE(sortIdx,ROUND(D983,0),IF(J983="",-1E+300,ROUND(-J983,6)),IF(J983="",-1E+300,ROUND(J983,6)))),-1.5E+300))</f>
        <v/>
      </c>
      <c r="L983" t="str">
        <f>IF(K983="","",RANK(K983,$K$2:$K$3001,0)+COUNTIF($K$2:K983,K983)-1)</f>
        <v/>
      </c>
    </row>
    <row r="984">
      <c r="B984" t="str">
        <f>IFERROR(IF(A984="","","="&amp;SUBSTITUTE(SUBSTITUTE(SUBSTITUTE(A984,"~","~~"),"*","~*"),"?","~?")),"")</f>
        <v/>
      </c>
      <c r="C984" t="str">
        <f>IF($B984="","",SUMIFS(dAmt,dCust,$B984,dPer,"&gt;="&amp;pyFrom,dPer,"&lt;="&amp;pyTo,dAmt,"&gt;-1E+300",dFlt1,critFlt1,dFlt2,critFlt2,dFlt3,critFlt3))</f>
        <v/>
      </c>
      <c r="D984" t="str">
        <f>IF($B984="","",SUMIFS(dAmt,dCust,$B984,dPer,"&gt;="&amp;cyFrom,dPer,"&lt;="&amp;cyTo,dAmt,"&gt;-1E+300",dFlt1,critFlt1,dFlt2,critFlt2,dFlt3,critFlt3))</f>
        <v/>
      </c>
      <c r="E984" t="str">
        <f>IF($B984="","",SUMIFS(dQty,dCust,$B984,dPer,"&gt;="&amp;pyFrom,dPer,"&lt;="&amp;pyTo,dQty,"&gt;-1E+300",dFlt1,critFlt1,dFlt2,critFlt2,dFlt3,critFlt3))</f>
        <v/>
      </c>
      <c r="F984" t="str">
        <f>IF($B984="","",SUMIFS(dQty,dCust,$B984,dPer,"&gt;="&amp;cyFrom,dPer,"&lt;="&amp;cyTo,dQty,"&gt;-1E+300",dFlt1,critFlt1,dFlt2,critFlt2,dFlt3,critFlt3))</f>
        <v/>
      </c>
      <c r="G984">
        <f>IF($B984="",0,IFERROR(IF(OR(C984&lt;&gt;0,D984&lt;&gt;0,E984&lt;&gt;0,F984&lt;&gt;0),1,0),1))</f>
        <v>0</v>
      </c>
      <c r="H984" t="str">
        <f>IF(OR(G984=0,E984=0),"",C984/E984)</f>
        <v/>
      </c>
      <c r="I984" t="str">
        <f>IF(OR(G984=0,F984=0),"",D984/F984)</f>
        <v/>
      </c>
      <c r="J984" t="str">
        <f>IF(OR(H984="",I984=""),"",IF(H984=0,"",I984/H984-1))</f>
        <v/>
      </c>
      <c r="K984" t="str">
        <f>IF($B984="","",IFERROR(IF(G984=0,-2E+300,CHOOSE(sortIdx,ROUND(D984,0),IF(J984="",-1E+300,ROUND(-J984,6)),IF(J984="",-1E+300,ROUND(J984,6)))),-1.5E+300))</f>
        <v/>
      </c>
      <c r="L984" t="str">
        <f>IF(K984="","",RANK(K984,$K$2:$K$3001,0)+COUNTIF($K$2:K984,K984)-1)</f>
        <v/>
      </c>
    </row>
    <row r="985">
      <c r="B985" t="str">
        <f>IFERROR(IF(A985="","","="&amp;SUBSTITUTE(SUBSTITUTE(SUBSTITUTE(A985,"~","~~"),"*","~*"),"?","~?")),"")</f>
        <v/>
      </c>
      <c r="C985" t="str">
        <f>IF($B985="","",SUMIFS(dAmt,dCust,$B985,dPer,"&gt;="&amp;pyFrom,dPer,"&lt;="&amp;pyTo,dAmt,"&gt;-1E+300",dFlt1,critFlt1,dFlt2,critFlt2,dFlt3,critFlt3))</f>
        <v/>
      </c>
      <c r="D985" t="str">
        <f>IF($B985="","",SUMIFS(dAmt,dCust,$B985,dPer,"&gt;="&amp;cyFrom,dPer,"&lt;="&amp;cyTo,dAmt,"&gt;-1E+300",dFlt1,critFlt1,dFlt2,critFlt2,dFlt3,critFlt3))</f>
        <v/>
      </c>
      <c r="E985" t="str">
        <f>IF($B985="","",SUMIFS(dQty,dCust,$B985,dPer,"&gt;="&amp;pyFrom,dPer,"&lt;="&amp;pyTo,dQty,"&gt;-1E+300",dFlt1,critFlt1,dFlt2,critFlt2,dFlt3,critFlt3))</f>
        <v/>
      </c>
      <c r="F985" t="str">
        <f>IF($B985="","",SUMIFS(dQty,dCust,$B985,dPer,"&gt;="&amp;cyFrom,dPer,"&lt;="&amp;cyTo,dQty,"&gt;-1E+300",dFlt1,critFlt1,dFlt2,critFlt2,dFlt3,critFlt3))</f>
        <v/>
      </c>
      <c r="G985">
        <f>IF($B985="",0,IFERROR(IF(OR(C985&lt;&gt;0,D985&lt;&gt;0,E985&lt;&gt;0,F985&lt;&gt;0),1,0),1))</f>
        <v>0</v>
      </c>
      <c r="H985" t="str">
        <f>IF(OR(G985=0,E985=0),"",C985/E985)</f>
        <v/>
      </c>
      <c r="I985" t="str">
        <f>IF(OR(G985=0,F985=0),"",D985/F985)</f>
        <v/>
      </c>
      <c r="J985" t="str">
        <f>IF(OR(H985="",I985=""),"",IF(H985=0,"",I985/H985-1))</f>
        <v/>
      </c>
      <c r="K985" t="str">
        <f>IF($B985="","",IFERROR(IF(G985=0,-2E+300,CHOOSE(sortIdx,ROUND(D985,0),IF(J985="",-1E+300,ROUND(-J985,6)),IF(J985="",-1E+300,ROUND(J985,6)))),-1.5E+300))</f>
        <v/>
      </c>
      <c r="L985" t="str">
        <f>IF(K985="","",RANK(K985,$K$2:$K$3001,0)+COUNTIF($K$2:K985,K985)-1)</f>
        <v/>
      </c>
    </row>
    <row r="986">
      <c r="B986" t="str">
        <f>IFERROR(IF(A986="","","="&amp;SUBSTITUTE(SUBSTITUTE(SUBSTITUTE(A986,"~","~~"),"*","~*"),"?","~?")),"")</f>
        <v/>
      </c>
      <c r="C986" t="str">
        <f>IF($B986="","",SUMIFS(dAmt,dCust,$B986,dPer,"&gt;="&amp;pyFrom,dPer,"&lt;="&amp;pyTo,dAmt,"&gt;-1E+300",dFlt1,critFlt1,dFlt2,critFlt2,dFlt3,critFlt3))</f>
        <v/>
      </c>
      <c r="D986" t="str">
        <f>IF($B986="","",SUMIFS(dAmt,dCust,$B986,dPer,"&gt;="&amp;cyFrom,dPer,"&lt;="&amp;cyTo,dAmt,"&gt;-1E+300",dFlt1,critFlt1,dFlt2,critFlt2,dFlt3,critFlt3))</f>
        <v/>
      </c>
      <c r="E986" t="str">
        <f>IF($B986="","",SUMIFS(dQty,dCust,$B986,dPer,"&gt;="&amp;pyFrom,dPer,"&lt;="&amp;pyTo,dQty,"&gt;-1E+300",dFlt1,critFlt1,dFlt2,critFlt2,dFlt3,critFlt3))</f>
        <v/>
      </c>
      <c r="F986" t="str">
        <f>IF($B986="","",SUMIFS(dQty,dCust,$B986,dPer,"&gt;="&amp;cyFrom,dPer,"&lt;="&amp;cyTo,dQty,"&gt;-1E+300",dFlt1,critFlt1,dFlt2,critFlt2,dFlt3,critFlt3))</f>
        <v/>
      </c>
      <c r="G986">
        <f>IF($B986="",0,IFERROR(IF(OR(C986&lt;&gt;0,D986&lt;&gt;0,E986&lt;&gt;0,F986&lt;&gt;0),1,0),1))</f>
        <v>0</v>
      </c>
      <c r="H986" t="str">
        <f>IF(OR(G986=0,E986=0),"",C986/E986)</f>
        <v/>
      </c>
      <c r="I986" t="str">
        <f>IF(OR(G986=0,F986=0),"",D986/F986)</f>
        <v/>
      </c>
      <c r="J986" t="str">
        <f>IF(OR(H986="",I986=""),"",IF(H986=0,"",I986/H986-1))</f>
        <v/>
      </c>
      <c r="K986" t="str">
        <f>IF($B986="","",IFERROR(IF(G986=0,-2E+300,CHOOSE(sortIdx,ROUND(D986,0),IF(J986="",-1E+300,ROUND(-J986,6)),IF(J986="",-1E+300,ROUND(J986,6)))),-1.5E+300))</f>
        <v/>
      </c>
      <c r="L986" t="str">
        <f>IF(K986="","",RANK(K986,$K$2:$K$3001,0)+COUNTIF($K$2:K986,K986)-1)</f>
        <v/>
      </c>
    </row>
    <row r="987">
      <c r="B987" t="str">
        <f>IFERROR(IF(A987="","","="&amp;SUBSTITUTE(SUBSTITUTE(SUBSTITUTE(A987,"~","~~"),"*","~*"),"?","~?")),"")</f>
        <v/>
      </c>
      <c r="C987" t="str">
        <f>IF($B987="","",SUMIFS(dAmt,dCust,$B987,dPer,"&gt;="&amp;pyFrom,dPer,"&lt;="&amp;pyTo,dAmt,"&gt;-1E+300",dFlt1,critFlt1,dFlt2,critFlt2,dFlt3,critFlt3))</f>
        <v/>
      </c>
      <c r="D987" t="str">
        <f>IF($B987="","",SUMIFS(dAmt,dCust,$B987,dPer,"&gt;="&amp;cyFrom,dPer,"&lt;="&amp;cyTo,dAmt,"&gt;-1E+300",dFlt1,critFlt1,dFlt2,critFlt2,dFlt3,critFlt3))</f>
        <v/>
      </c>
      <c r="E987" t="str">
        <f>IF($B987="","",SUMIFS(dQty,dCust,$B987,dPer,"&gt;="&amp;pyFrom,dPer,"&lt;="&amp;pyTo,dQty,"&gt;-1E+300",dFlt1,critFlt1,dFlt2,critFlt2,dFlt3,critFlt3))</f>
        <v/>
      </c>
      <c r="F987" t="str">
        <f>IF($B987="","",SUMIFS(dQty,dCust,$B987,dPer,"&gt;="&amp;cyFrom,dPer,"&lt;="&amp;cyTo,dQty,"&gt;-1E+300",dFlt1,critFlt1,dFlt2,critFlt2,dFlt3,critFlt3))</f>
        <v/>
      </c>
      <c r="G987">
        <f>IF($B987="",0,IFERROR(IF(OR(C987&lt;&gt;0,D987&lt;&gt;0,E987&lt;&gt;0,F987&lt;&gt;0),1,0),1))</f>
        <v>0</v>
      </c>
      <c r="H987" t="str">
        <f>IF(OR(G987=0,E987=0),"",C987/E987)</f>
        <v/>
      </c>
      <c r="I987" t="str">
        <f>IF(OR(G987=0,F987=0),"",D987/F987)</f>
        <v/>
      </c>
      <c r="J987" t="str">
        <f>IF(OR(H987="",I987=""),"",IF(H987=0,"",I987/H987-1))</f>
        <v/>
      </c>
      <c r="K987" t="str">
        <f>IF($B987="","",IFERROR(IF(G987=0,-2E+300,CHOOSE(sortIdx,ROUND(D987,0),IF(J987="",-1E+300,ROUND(-J987,6)),IF(J987="",-1E+300,ROUND(J987,6)))),-1.5E+300))</f>
        <v/>
      </c>
      <c r="L987" t="str">
        <f>IF(K987="","",RANK(K987,$K$2:$K$3001,0)+COUNTIF($K$2:K987,K987)-1)</f>
        <v/>
      </c>
    </row>
    <row r="988">
      <c r="B988" t="str">
        <f>IFERROR(IF(A988="","","="&amp;SUBSTITUTE(SUBSTITUTE(SUBSTITUTE(A988,"~","~~"),"*","~*"),"?","~?")),"")</f>
        <v/>
      </c>
      <c r="C988" t="str">
        <f>IF($B988="","",SUMIFS(dAmt,dCust,$B988,dPer,"&gt;="&amp;pyFrom,dPer,"&lt;="&amp;pyTo,dAmt,"&gt;-1E+300",dFlt1,critFlt1,dFlt2,critFlt2,dFlt3,critFlt3))</f>
        <v/>
      </c>
      <c r="D988" t="str">
        <f>IF($B988="","",SUMIFS(dAmt,dCust,$B988,dPer,"&gt;="&amp;cyFrom,dPer,"&lt;="&amp;cyTo,dAmt,"&gt;-1E+300",dFlt1,critFlt1,dFlt2,critFlt2,dFlt3,critFlt3))</f>
        <v/>
      </c>
      <c r="E988" t="str">
        <f>IF($B988="","",SUMIFS(dQty,dCust,$B988,dPer,"&gt;="&amp;pyFrom,dPer,"&lt;="&amp;pyTo,dQty,"&gt;-1E+300",dFlt1,critFlt1,dFlt2,critFlt2,dFlt3,critFlt3))</f>
        <v/>
      </c>
      <c r="F988" t="str">
        <f>IF($B988="","",SUMIFS(dQty,dCust,$B988,dPer,"&gt;="&amp;cyFrom,dPer,"&lt;="&amp;cyTo,dQty,"&gt;-1E+300",dFlt1,critFlt1,dFlt2,critFlt2,dFlt3,critFlt3))</f>
        <v/>
      </c>
      <c r="G988">
        <f>IF($B988="",0,IFERROR(IF(OR(C988&lt;&gt;0,D988&lt;&gt;0,E988&lt;&gt;0,F988&lt;&gt;0),1,0),1))</f>
        <v>0</v>
      </c>
      <c r="H988" t="str">
        <f>IF(OR(G988=0,E988=0),"",C988/E988)</f>
        <v/>
      </c>
      <c r="I988" t="str">
        <f>IF(OR(G988=0,F988=0),"",D988/F988)</f>
        <v/>
      </c>
      <c r="J988" t="str">
        <f>IF(OR(H988="",I988=""),"",IF(H988=0,"",I988/H988-1))</f>
        <v/>
      </c>
      <c r="K988" t="str">
        <f>IF($B988="","",IFERROR(IF(G988=0,-2E+300,CHOOSE(sortIdx,ROUND(D988,0),IF(J988="",-1E+300,ROUND(-J988,6)),IF(J988="",-1E+300,ROUND(J988,6)))),-1.5E+300))</f>
        <v/>
      </c>
      <c r="L988" t="str">
        <f>IF(K988="","",RANK(K988,$K$2:$K$3001,0)+COUNTIF($K$2:K988,K988)-1)</f>
        <v/>
      </c>
    </row>
    <row r="989">
      <c r="B989" t="str">
        <f>IFERROR(IF(A989="","","="&amp;SUBSTITUTE(SUBSTITUTE(SUBSTITUTE(A989,"~","~~"),"*","~*"),"?","~?")),"")</f>
        <v/>
      </c>
      <c r="C989" t="str">
        <f>IF($B989="","",SUMIFS(dAmt,dCust,$B989,dPer,"&gt;="&amp;pyFrom,dPer,"&lt;="&amp;pyTo,dAmt,"&gt;-1E+300",dFlt1,critFlt1,dFlt2,critFlt2,dFlt3,critFlt3))</f>
        <v/>
      </c>
      <c r="D989" t="str">
        <f>IF($B989="","",SUMIFS(dAmt,dCust,$B989,dPer,"&gt;="&amp;cyFrom,dPer,"&lt;="&amp;cyTo,dAmt,"&gt;-1E+300",dFlt1,critFlt1,dFlt2,critFlt2,dFlt3,critFlt3))</f>
        <v/>
      </c>
      <c r="E989" t="str">
        <f>IF($B989="","",SUMIFS(dQty,dCust,$B989,dPer,"&gt;="&amp;pyFrom,dPer,"&lt;="&amp;pyTo,dQty,"&gt;-1E+300",dFlt1,critFlt1,dFlt2,critFlt2,dFlt3,critFlt3))</f>
        <v/>
      </c>
      <c r="F989" t="str">
        <f>IF($B989="","",SUMIFS(dQty,dCust,$B989,dPer,"&gt;="&amp;cyFrom,dPer,"&lt;="&amp;cyTo,dQty,"&gt;-1E+300",dFlt1,critFlt1,dFlt2,critFlt2,dFlt3,critFlt3))</f>
        <v/>
      </c>
      <c r="G989">
        <f>IF($B989="",0,IFERROR(IF(OR(C989&lt;&gt;0,D989&lt;&gt;0,E989&lt;&gt;0,F989&lt;&gt;0),1,0),1))</f>
        <v>0</v>
      </c>
      <c r="H989" t="str">
        <f>IF(OR(G989=0,E989=0),"",C989/E989)</f>
        <v/>
      </c>
      <c r="I989" t="str">
        <f>IF(OR(G989=0,F989=0),"",D989/F989)</f>
        <v/>
      </c>
      <c r="J989" t="str">
        <f>IF(OR(H989="",I989=""),"",IF(H989=0,"",I989/H989-1))</f>
        <v/>
      </c>
      <c r="K989" t="str">
        <f>IF($B989="","",IFERROR(IF(G989=0,-2E+300,CHOOSE(sortIdx,ROUND(D989,0),IF(J989="",-1E+300,ROUND(-J989,6)),IF(J989="",-1E+300,ROUND(J989,6)))),-1.5E+300))</f>
        <v/>
      </c>
      <c r="L989" t="str">
        <f>IF(K989="","",RANK(K989,$K$2:$K$3001,0)+COUNTIF($K$2:K989,K989)-1)</f>
        <v/>
      </c>
    </row>
    <row r="990">
      <c r="B990" t="str">
        <f>IFERROR(IF(A990="","","="&amp;SUBSTITUTE(SUBSTITUTE(SUBSTITUTE(A990,"~","~~"),"*","~*"),"?","~?")),"")</f>
        <v/>
      </c>
      <c r="C990" t="str">
        <f>IF($B990="","",SUMIFS(dAmt,dCust,$B990,dPer,"&gt;="&amp;pyFrom,dPer,"&lt;="&amp;pyTo,dAmt,"&gt;-1E+300",dFlt1,critFlt1,dFlt2,critFlt2,dFlt3,critFlt3))</f>
        <v/>
      </c>
      <c r="D990" t="str">
        <f>IF($B990="","",SUMIFS(dAmt,dCust,$B990,dPer,"&gt;="&amp;cyFrom,dPer,"&lt;="&amp;cyTo,dAmt,"&gt;-1E+300",dFlt1,critFlt1,dFlt2,critFlt2,dFlt3,critFlt3))</f>
        <v/>
      </c>
      <c r="E990" t="str">
        <f>IF($B990="","",SUMIFS(dQty,dCust,$B990,dPer,"&gt;="&amp;pyFrom,dPer,"&lt;="&amp;pyTo,dQty,"&gt;-1E+300",dFlt1,critFlt1,dFlt2,critFlt2,dFlt3,critFlt3))</f>
        <v/>
      </c>
      <c r="F990" t="str">
        <f>IF($B990="","",SUMIFS(dQty,dCust,$B990,dPer,"&gt;="&amp;cyFrom,dPer,"&lt;="&amp;cyTo,dQty,"&gt;-1E+300",dFlt1,critFlt1,dFlt2,critFlt2,dFlt3,critFlt3))</f>
        <v/>
      </c>
      <c r="G990">
        <f>IF($B990="",0,IFERROR(IF(OR(C990&lt;&gt;0,D990&lt;&gt;0,E990&lt;&gt;0,F990&lt;&gt;0),1,0),1))</f>
        <v>0</v>
      </c>
      <c r="H990" t="str">
        <f>IF(OR(G990=0,E990=0),"",C990/E990)</f>
        <v/>
      </c>
      <c r="I990" t="str">
        <f>IF(OR(G990=0,F990=0),"",D990/F990)</f>
        <v/>
      </c>
      <c r="J990" t="str">
        <f>IF(OR(H990="",I990=""),"",IF(H990=0,"",I990/H990-1))</f>
        <v/>
      </c>
      <c r="K990" t="str">
        <f>IF($B990="","",IFERROR(IF(G990=0,-2E+300,CHOOSE(sortIdx,ROUND(D990,0),IF(J990="",-1E+300,ROUND(-J990,6)),IF(J990="",-1E+300,ROUND(J990,6)))),-1.5E+300))</f>
        <v/>
      </c>
      <c r="L990" t="str">
        <f>IF(K990="","",RANK(K990,$K$2:$K$3001,0)+COUNTIF($K$2:K990,K990)-1)</f>
        <v/>
      </c>
    </row>
    <row r="991">
      <c r="B991" t="str">
        <f>IFERROR(IF(A991="","","="&amp;SUBSTITUTE(SUBSTITUTE(SUBSTITUTE(A991,"~","~~"),"*","~*"),"?","~?")),"")</f>
        <v/>
      </c>
      <c r="C991" t="str">
        <f>IF($B991="","",SUMIFS(dAmt,dCust,$B991,dPer,"&gt;="&amp;pyFrom,dPer,"&lt;="&amp;pyTo,dAmt,"&gt;-1E+300",dFlt1,critFlt1,dFlt2,critFlt2,dFlt3,critFlt3))</f>
        <v/>
      </c>
      <c r="D991" t="str">
        <f>IF($B991="","",SUMIFS(dAmt,dCust,$B991,dPer,"&gt;="&amp;cyFrom,dPer,"&lt;="&amp;cyTo,dAmt,"&gt;-1E+300",dFlt1,critFlt1,dFlt2,critFlt2,dFlt3,critFlt3))</f>
        <v/>
      </c>
      <c r="E991" t="str">
        <f>IF($B991="","",SUMIFS(dQty,dCust,$B991,dPer,"&gt;="&amp;pyFrom,dPer,"&lt;="&amp;pyTo,dQty,"&gt;-1E+300",dFlt1,critFlt1,dFlt2,critFlt2,dFlt3,critFlt3))</f>
        <v/>
      </c>
      <c r="F991" t="str">
        <f>IF($B991="","",SUMIFS(dQty,dCust,$B991,dPer,"&gt;="&amp;cyFrom,dPer,"&lt;="&amp;cyTo,dQty,"&gt;-1E+300",dFlt1,critFlt1,dFlt2,critFlt2,dFlt3,critFlt3))</f>
        <v/>
      </c>
      <c r="G991">
        <f>IF($B991="",0,IFERROR(IF(OR(C991&lt;&gt;0,D991&lt;&gt;0,E991&lt;&gt;0,F991&lt;&gt;0),1,0),1))</f>
        <v>0</v>
      </c>
      <c r="H991" t="str">
        <f>IF(OR(G991=0,E991=0),"",C991/E991)</f>
        <v/>
      </c>
      <c r="I991" t="str">
        <f>IF(OR(G991=0,F991=0),"",D991/F991)</f>
        <v/>
      </c>
      <c r="J991" t="str">
        <f>IF(OR(H991="",I991=""),"",IF(H991=0,"",I991/H991-1))</f>
        <v/>
      </c>
      <c r="K991" t="str">
        <f>IF($B991="","",IFERROR(IF(G991=0,-2E+300,CHOOSE(sortIdx,ROUND(D991,0),IF(J991="",-1E+300,ROUND(-J991,6)),IF(J991="",-1E+300,ROUND(J991,6)))),-1.5E+300))</f>
        <v/>
      </c>
      <c r="L991" t="str">
        <f>IF(K991="","",RANK(K991,$K$2:$K$3001,0)+COUNTIF($K$2:K991,K991)-1)</f>
        <v/>
      </c>
    </row>
    <row r="992">
      <c r="B992" t="str">
        <f>IFERROR(IF(A992="","","="&amp;SUBSTITUTE(SUBSTITUTE(SUBSTITUTE(A992,"~","~~"),"*","~*"),"?","~?")),"")</f>
        <v/>
      </c>
      <c r="C992" t="str">
        <f>IF($B992="","",SUMIFS(dAmt,dCust,$B992,dPer,"&gt;="&amp;pyFrom,dPer,"&lt;="&amp;pyTo,dAmt,"&gt;-1E+300",dFlt1,critFlt1,dFlt2,critFlt2,dFlt3,critFlt3))</f>
        <v/>
      </c>
      <c r="D992" t="str">
        <f>IF($B992="","",SUMIFS(dAmt,dCust,$B992,dPer,"&gt;="&amp;cyFrom,dPer,"&lt;="&amp;cyTo,dAmt,"&gt;-1E+300",dFlt1,critFlt1,dFlt2,critFlt2,dFlt3,critFlt3))</f>
        <v/>
      </c>
      <c r="E992" t="str">
        <f>IF($B992="","",SUMIFS(dQty,dCust,$B992,dPer,"&gt;="&amp;pyFrom,dPer,"&lt;="&amp;pyTo,dQty,"&gt;-1E+300",dFlt1,critFlt1,dFlt2,critFlt2,dFlt3,critFlt3))</f>
        <v/>
      </c>
      <c r="F992" t="str">
        <f>IF($B992="","",SUMIFS(dQty,dCust,$B992,dPer,"&gt;="&amp;cyFrom,dPer,"&lt;="&amp;cyTo,dQty,"&gt;-1E+300",dFlt1,critFlt1,dFlt2,critFlt2,dFlt3,critFlt3))</f>
        <v/>
      </c>
      <c r="G992">
        <f>IF($B992="",0,IFERROR(IF(OR(C992&lt;&gt;0,D992&lt;&gt;0,E992&lt;&gt;0,F992&lt;&gt;0),1,0),1))</f>
        <v>0</v>
      </c>
      <c r="H992" t="str">
        <f>IF(OR(G992=0,E992=0),"",C992/E992)</f>
        <v/>
      </c>
      <c r="I992" t="str">
        <f>IF(OR(G992=0,F992=0),"",D992/F992)</f>
        <v/>
      </c>
      <c r="J992" t="str">
        <f>IF(OR(H992="",I992=""),"",IF(H992=0,"",I992/H992-1))</f>
        <v/>
      </c>
      <c r="K992" t="str">
        <f>IF($B992="","",IFERROR(IF(G992=0,-2E+300,CHOOSE(sortIdx,ROUND(D992,0),IF(J992="",-1E+300,ROUND(-J992,6)),IF(J992="",-1E+300,ROUND(J992,6)))),-1.5E+300))</f>
        <v/>
      </c>
      <c r="L992" t="str">
        <f>IF(K992="","",RANK(K992,$K$2:$K$3001,0)+COUNTIF($K$2:K992,K992)-1)</f>
        <v/>
      </c>
    </row>
    <row r="993">
      <c r="B993" t="str">
        <f>IFERROR(IF(A993="","","="&amp;SUBSTITUTE(SUBSTITUTE(SUBSTITUTE(A993,"~","~~"),"*","~*"),"?","~?")),"")</f>
        <v/>
      </c>
      <c r="C993" t="str">
        <f>IF($B993="","",SUMIFS(dAmt,dCust,$B993,dPer,"&gt;="&amp;pyFrom,dPer,"&lt;="&amp;pyTo,dAmt,"&gt;-1E+300",dFlt1,critFlt1,dFlt2,critFlt2,dFlt3,critFlt3))</f>
        <v/>
      </c>
      <c r="D993" t="str">
        <f>IF($B993="","",SUMIFS(dAmt,dCust,$B993,dPer,"&gt;="&amp;cyFrom,dPer,"&lt;="&amp;cyTo,dAmt,"&gt;-1E+300",dFlt1,critFlt1,dFlt2,critFlt2,dFlt3,critFlt3))</f>
        <v/>
      </c>
      <c r="E993" t="str">
        <f>IF($B993="","",SUMIFS(dQty,dCust,$B993,dPer,"&gt;="&amp;pyFrom,dPer,"&lt;="&amp;pyTo,dQty,"&gt;-1E+300",dFlt1,critFlt1,dFlt2,critFlt2,dFlt3,critFlt3))</f>
        <v/>
      </c>
      <c r="F993" t="str">
        <f>IF($B993="","",SUMIFS(dQty,dCust,$B993,dPer,"&gt;="&amp;cyFrom,dPer,"&lt;="&amp;cyTo,dQty,"&gt;-1E+300",dFlt1,critFlt1,dFlt2,critFlt2,dFlt3,critFlt3))</f>
        <v/>
      </c>
      <c r="G993">
        <f>IF($B993="",0,IFERROR(IF(OR(C993&lt;&gt;0,D993&lt;&gt;0,E993&lt;&gt;0,F993&lt;&gt;0),1,0),1))</f>
        <v>0</v>
      </c>
      <c r="H993" t="str">
        <f>IF(OR(G993=0,E993=0),"",C993/E993)</f>
        <v/>
      </c>
      <c r="I993" t="str">
        <f>IF(OR(G993=0,F993=0),"",D993/F993)</f>
        <v/>
      </c>
      <c r="J993" t="str">
        <f>IF(OR(H993="",I993=""),"",IF(H993=0,"",I993/H993-1))</f>
        <v/>
      </c>
      <c r="K993" t="str">
        <f>IF($B993="","",IFERROR(IF(G993=0,-2E+300,CHOOSE(sortIdx,ROUND(D993,0),IF(J993="",-1E+300,ROUND(-J993,6)),IF(J993="",-1E+300,ROUND(J993,6)))),-1.5E+300))</f>
        <v/>
      </c>
      <c r="L993" t="str">
        <f>IF(K993="","",RANK(K993,$K$2:$K$3001,0)+COUNTIF($K$2:K993,K993)-1)</f>
        <v/>
      </c>
    </row>
    <row r="994">
      <c r="B994" t="str">
        <f>IFERROR(IF(A994="","","="&amp;SUBSTITUTE(SUBSTITUTE(SUBSTITUTE(A994,"~","~~"),"*","~*"),"?","~?")),"")</f>
        <v/>
      </c>
      <c r="C994" t="str">
        <f>IF($B994="","",SUMIFS(dAmt,dCust,$B994,dPer,"&gt;="&amp;pyFrom,dPer,"&lt;="&amp;pyTo,dAmt,"&gt;-1E+300",dFlt1,critFlt1,dFlt2,critFlt2,dFlt3,critFlt3))</f>
        <v/>
      </c>
      <c r="D994" t="str">
        <f>IF($B994="","",SUMIFS(dAmt,dCust,$B994,dPer,"&gt;="&amp;cyFrom,dPer,"&lt;="&amp;cyTo,dAmt,"&gt;-1E+300",dFlt1,critFlt1,dFlt2,critFlt2,dFlt3,critFlt3))</f>
        <v/>
      </c>
      <c r="E994" t="str">
        <f>IF($B994="","",SUMIFS(dQty,dCust,$B994,dPer,"&gt;="&amp;pyFrom,dPer,"&lt;="&amp;pyTo,dQty,"&gt;-1E+300",dFlt1,critFlt1,dFlt2,critFlt2,dFlt3,critFlt3))</f>
        <v/>
      </c>
      <c r="F994" t="str">
        <f>IF($B994="","",SUMIFS(dQty,dCust,$B994,dPer,"&gt;="&amp;cyFrom,dPer,"&lt;="&amp;cyTo,dQty,"&gt;-1E+300",dFlt1,critFlt1,dFlt2,critFlt2,dFlt3,critFlt3))</f>
        <v/>
      </c>
      <c r="G994">
        <f>IF($B994="",0,IFERROR(IF(OR(C994&lt;&gt;0,D994&lt;&gt;0,E994&lt;&gt;0,F994&lt;&gt;0),1,0),1))</f>
        <v>0</v>
      </c>
      <c r="H994" t="str">
        <f>IF(OR(G994=0,E994=0),"",C994/E994)</f>
        <v/>
      </c>
      <c r="I994" t="str">
        <f>IF(OR(G994=0,F994=0),"",D994/F994)</f>
        <v/>
      </c>
      <c r="J994" t="str">
        <f>IF(OR(H994="",I994=""),"",IF(H994=0,"",I994/H994-1))</f>
        <v/>
      </c>
      <c r="K994" t="str">
        <f>IF($B994="","",IFERROR(IF(G994=0,-2E+300,CHOOSE(sortIdx,ROUND(D994,0),IF(J994="",-1E+300,ROUND(-J994,6)),IF(J994="",-1E+300,ROUND(J994,6)))),-1.5E+300))</f>
        <v/>
      </c>
      <c r="L994" t="str">
        <f>IF(K994="","",RANK(K994,$K$2:$K$3001,0)+COUNTIF($K$2:K994,K994)-1)</f>
        <v/>
      </c>
    </row>
    <row r="995">
      <c r="B995" t="str">
        <f>IFERROR(IF(A995="","","="&amp;SUBSTITUTE(SUBSTITUTE(SUBSTITUTE(A995,"~","~~"),"*","~*"),"?","~?")),"")</f>
        <v/>
      </c>
      <c r="C995" t="str">
        <f>IF($B995="","",SUMIFS(dAmt,dCust,$B995,dPer,"&gt;="&amp;pyFrom,dPer,"&lt;="&amp;pyTo,dAmt,"&gt;-1E+300",dFlt1,critFlt1,dFlt2,critFlt2,dFlt3,critFlt3))</f>
        <v/>
      </c>
      <c r="D995" t="str">
        <f>IF($B995="","",SUMIFS(dAmt,dCust,$B995,dPer,"&gt;="&amp;cyFrom,dPer,"&lt;="&amp;cyTo,dAmt,"&gt;-1E+300",dFlt1,critFlt1,dFlt2,critFlt2,dFlt3,critFlt3))</f>
        <v/>
      </c>
      <c r="E995" t="str">
        <f>IF($B995="","",SUMIFS(dQty,dCust,$B995,dPer,"&gt;="&amp;pyFrom,dPer,"&lt;="&amp;pyTo,dQty,"&gt;-1E+300",dFlt1,critFlt1,dFlt2,critFlt2,dFlt3,critFlt3))</f>
        <v/>
      </c>
      <c r="F995" t="str">
        <f>IF($B995="","",SUMIFS(dQty,dCust,$B995,dPer,"&gt;="&amp;cyFrom,dPer,"&lt;="&amp;cyTo,dQty,"&gt;-1E+300",dFlt1,critFlt1,dFlt2,critFlt2,dFlt3,critFlt3))</f>
        <v/>
      </c>
      <c r="G995">
        <f>IF($B995="",0,IFERROR(IF(OR(C995&lt;&gt;0,D995&lt;&gt;0,E995&lt;&gt;0,F995&lt;&gt;0),1,0),1))</f>
        <v>0</v>
      </c>
      <c r="H995" t="str">
        <f>IF(OR(G995=0,E995=0),"",C995/E995)</f>
        <v/>
      </c>
      <c r="I995" t="str">
        <f>IF(OR(G995=0,F995=0),"",D995/F995)</f>
        <v/>
      </c>
      <c r="J995" t="str">
        <f>IF(OR(H995="",I995=""),"",IF(H995=0,"",I995/H995-1))</f>
        <v/>
      </c>
      <c r="K995" t="str">
        <f>IF($B995="","",IFERROR(IF(G995=0,-2E+300,CHOOSE(sortIdx,ROUND(D995,0),IF(J995="",-1E+300,ROUND(-J995,6)),IF(J995="",-1E+300,ROUND(J995,6)))),-1.5E+300))</f>
        <v/>
      </c>
      <c r="L995" t="str">
        <f>IF(K995="","",RANK(K995,$K$2:$K$3001,0)+COUNTIF($K$2:K995,K995)-1)</f>
        <v/>
      </c>
    </row>
    <row r="996">
      <c r="B996" t="str">
        <f>IFERROR(IF(A996="","","="&amp;SUBSTITUTE(SUBSTITUTE(SUBSTITUTE(A996,"~","~~"),"*","~*"),"?","~?")),"")</f>
        <v/>
      </c>
      <c r="C996" t="str">
        <f>IF($B996="","",SUMIFS(dAmt,dCust,$B996,dPer,"&gt;="&amp;pyFrom,dPer,"&lt;="&amp;pyTo,dAmt,"&gt;-1E+300",dFlt1,critFlt1,dFlt2,critFlt2,dFlt3,critFlt3))</f>
        <v/>
      </c>
      <c r="D996" t="str">
        <f>IF($B996="","",SUMIFS(dAmt,dCust,$B996,dPer,"&gt;="&amp;cyFrom,dPer,"&lt;="&amp;cyTo,dAmt,"&gt;-1E+300",dFlt1,critFlt1,dFlt2,critFlt2,dFlt3,critFlt3))</f>
        <v/>
      </c>
      <c r="E996" t="str">
        <f>IF($B996="","",SUMIFS(dQty,dCust,$B996,dPer,"&gt;="&amp;pyFrom,dPer,"&lt;="&amp;pyTo,dQty,"&gt;-1E+300",dFlt1,critFlt1,dFlt2,critFlt2,dFlt3,critFlt3))</f>
        <v/>
      </c>
      <c r="F996" t="str">
        <f>IF($B996="","",SUMIFS(dQty,dCust,$B996,dPer,"&gt;="&amp;cyFrom,dPer,"&lt;="&amp;cyTo,dQty,"&gt;-1E+300",dFlt1,critFlt1,dFlt2,critFlt2,dFlt3,critFlt3))</f>
        <v/>
      </c>
      <c r="G996">
        <f>IF($B996="",0,IFERROR(IF(OR(C996&lt;&gt;0,D996&lt;&gt;0,E996&lt;&gt;0,F996&lt;&gt;0),1,0),1))</f>
        <v>0</v>
      </c>
      <c r="H996" t="str">
        <f>IF(OR(G996=0,E996=0),"",C996/E996)</f>
        <v/>
      </c>
      <c r="I996" t="str">
        <f>IF(OR(G996=0,F996=0),"",D996/F996)</f>
        <v/>
      </c>
      <c r="J996" t="str">
        <f>IF(OR(H996="",I996=""),"",IF(H996=0,"",I996/H996-1))</f>
        <v/>
      </c>
      <c r="K996" t="str">
        <f>IF($B996="","",IFERROR(IF(G996=0,-2E+300,CHOOSE(sortIdx,ROUND(D996,0),IF(J996="",-1E+300,ROUND(-J996,6)),IF(J996="",-1E+300,ROUND(J996,6)))),-1.5E+300))</f>
        <v/>
      </c>
      <c r="L996" t="str">
        <f>IF(K996="","",RANK(K996,$K$2:$K$3001,0)+COUNTIF($K$2:K996,K996)-1)</f>
        <v/>
      </c>
    </row>
    <row r="997">
      <c r="B997" t="str">
        <f>IFERROR(IF(A997="","","="&amp;SUBSTITUTE(SUBSTITUTE(SUBSTITUTE(A997,"~","~~"),"*","~*"),"?","~?")),"")</f>
        <v/>
      </c>
      <c r="C997" t="str">
        <f>IF($B997="","",SUMIFS(dAmt,dCust,$B997,dPer,"&gt;="&amp;pyFrom,dPer,"&lt;="&amp;pyTo,dAmt,"&gt;-1E+300",dFlt1,critFlt1,dFlt2,critFlt2,dFlt3,critFlt3))</f>
        <v/>
      </c>
      <c r="D997" t="str">
        <f>IF($B997="","",SUMIFS(dAmt,dCust,$B997,dPer,"&gt;="&amp;cyFrom,dPer,"&lt;="&amp;cyTo,dAmt,"&gt;-1E+300",dFlt1,critFlt1,dFlt2,critFlt2,dFlt3,critFlt3))</f>
        <v/>
      </c>
      <c r="E997" t="str">
        <f>IF($B997="","",SUMIFS(dQty,dCust,$B997,dPer,"&gt;="&amp;pyFrom,dPer,"&lt;="&amp;pyTo,dQty,"&gt;-1E+300",dFlt1,critFlt1,dFlt2,critFlt2,dFlt3,critFlt3))</f>
        <v/>
      </c>
      <c r="F997" t="str">
        <f>IF($B997="","",SUMIFS(dQty,dCust,$B997,dPer,"&gt;="&amp;cyFrom,dPer,"&lt;="&amp;cyTo,dQty,"&gt;-1E+300",dFlt1,critFlt1,dFlt2,critFlt2,dFlt3,critFlt3))</f>
        <v/>
      </c>
      <c r="G997">
        <f>IF($B997="",0,IFERROR(IF(OR(C997&lt;&gt;0,D997&lt;&gt;0,E997&lt;&gt;0,F997&lt;&gt;0),1,0),1))</f>
        <v>0</v>
      </c>
      <c r="H997" t="str">
        <f>IF(OR(G997=0,E997=0),"",C997/E997)</f>
        <v/>
      </c>
      <c r="I997" t="str">
        <f>IF(OR(G997=0,F997=0),"",D997/F997)</f>
        <v/>
      </c>
      <c r="J997" t="str">
        <f>IF(OR(H997="",I997=""),"",IF(H997=0,"",I997/H997-1))</f>
        <v/>
      </c>
      <c r="K997" t="str">
        <f>IF($B997="","",IFERROR(IF(G997=0,-2E+300,CHOOSE(sortIdx,ROUND(D997,0),IF(J997="",-1E+300,ROUND(-J997,6)),IF(J997="",-1E+300,ROUND(J997,6)))),-1.5E+300))</f>
        <v/>
      </c>
      <c r="L997" t="str">
        <f>IF(K997="","",RANK(K997,$K$2:$K$3001,0)+COUNTIF($K$2:K997,K997)-1)</f>
        <v/>
      </c>
    </row>
    <row r="998">
      <c r="B998" t="str">
        <f>IFERROR(IF(A998="","","="&amp;SUBSTITUTE(SUBSTITUTE(SUBSTITUTE(A998,"~","~~"),"*","~*"),"?","~?")),"")</f>
        <v/>
      </c>
      <c r="C998" t="str">
        <f>IF($B998="","",SUMIFS(dAmt,dCust,$B998,dPer,"&gt;="&amp;pyFrom,dPer,"&lt;="&amp;pyTo,dAmt,"&gt;-1E+300",dFlt1,critFlt1,dFlt2,critFlt2,dFlt3,critFlt3))</f>
        <v/>
      </c>
      <c r="D998" t="str">
        <f>IF($B998="","",SUMIFS(dAmt,dCust,$B998,dPer,"&gt;="&amp;cyFrom,dPer,"&lt;="&amp;cyTo,dAmt,"&gt;-1E+300",dFlt1,critFlt1,dFlt2,critFlt2,dFlt3,critFlt3))</f>
        <v/>
      </c>
      <c r="E998" t="str">
        <f>IF($B998="","",SUMIFS(dQty,dCust,$B998,dPer,"&gt;="&amp;pyFrom,dPer,"&lt;="&amp;pyTo,dQty,"&gt;-1E+300",dFlt1,critFlt1,dFlt2,critFlt2,dFlt3,critFlt3))</f>
        <v/>
      </c>
      <c r="F998" t="str">
        <f>IF($B998="","",SUMIFS(dQty,dCust,$B998,dPer,"&gt;="&amp;cyFrom,dPer,"&lt;="&amp;cyTo,dQty,"&gt;-1E+300",dFlt1,critFlt1,dFlt2,critFlt2,dFlt3,critFlt3))</f>
        <v/>
      </c>
      <c r="G998">
        <f>IF($B998="",0,IFERROR(IF(OR(C998&lt;&gt;0,D998&lt;&gt;0,E998&lt;&gt;0,F998&lt;&gt;0),1,0),1))</f>
        <v>0</v>
      </c>
      <c r="H998" t="str">
        <f>IF(OR(G998=0,E998=0),"",C998/E998)</f>
        <v/>
      </c>
      <c r="I998" t="str">
        <f>IF(OR(G998=0,F998=0),"",D998/F998)</f>
        <v/>
      </c>
      <c r="J998" t="str">
        <f>IF(OR(H998="",I998=""),"",IF(H998=0,"",I998/H998-1))</f>
        <v/>
      </c>
      <c r="K998" t="str">
        <f>IF($B998="","",IFERROR(IF(G998=0,-2E+300,CHOOSE(sortIdx,ROUND(D998,0),IF(J998="",-1E+300,ROUND(-J998,6)),IF(J998="",-1E+300,ROUND(J998,6)))),-1.5E+300))</f>
        <v/>
      </c>
      <c r="L998" t="str">
        <f>IF(K998="","",RANK(K998,$K$2:$K$3001,0)+COUNTIF($K$2:K998,K998)-1)</f>
        <v/>
      </c>
    </row>
    <row r="999">
      <c r="B999" t="str">
        <f>IFERROR(IF(A999="","","="&amp;SUBSTITUTE(SUBSTITUTE(SUBSTITUTE(A999,"~","~~"),"*","~*"),"?","~?")),"")</f>
        <v/>
      </c>
      <c r="C999" t="str">
        <f>IF($B999="","",SUMIFS(dAmt,dCust,$B999,dPer,"&gt;="&amp;pyFrom,dPer,"&lt;="&amp;pyTo,dAmt,"&gt;-1E+300",dFlt1,critFlt1,dFlt2,critFlt2,dFlt3,critFlt3))</f>
        <v/>
      </c>
      <c r="D999" t="str">
        <f>IF($B999="","",SUMIFS(dAmt,dCust,$B999,dPer,"&gt;="&amp;cyFrom,dPer,"&lt;="&amp;cyTo,dAmt,"&gt;-1E+300",dFlt1,critFlt1,dFlt2,critFlt2,dFlt3,critFlt3))</f>
        <v/>
      </c>
      <c r="E999" t="str">
        <f>IF($B999="","",SUMIFS(dQty,dCust,$B999,dPer,"&gt;="&amp;pyFrom,dPer,"&lt;="&amp;pyTo,dQty,"&gt;-1E+300",dFlt1,critFlt1,dFlt2,critFlt2,dFlt3,critFlt3))</f>
        <v/>
      </c>
      <c r="F999" t="str">
        <f>IF($B999="","",SUMIFS(dQty,dCust,$B999,dPer,"&gt;="&amp;cyFrom,dPer,"&lt;="&amp;cyTo,dQty,"&gt;-1E+300",dFlt1,critFlt1,dFlt2,critFlt2,dFlt3,critFlt3))</f>
        <v/>
      </c>
      <c r="G999">
        <f>IF($B999="",0,IFERROR(IF(OR(C999&lt;&gt;0,D999&lt;&gt;0,E999&lt;&gt;0,F999&lt;&gt;0),1,0),1))</f>
        <v>0</v>
      </c>
      <c r="H999" t="str">
        <f>IF(OR(G999=0,E999=0),"",C999/E999)</f>
        <v/>
      </c>
      <c r="I999" t="str">
        <f>IF(OR(G999=0,F999=0),"",D999/F999)</f>
        <v/>
      </c>
      <c r="J999" t="str">
        <f>IF(OR(H999="",I999=""),"",IF(H999=0,"",I999/H999-1))</f>
        <v/>
      </c>
      <c r="K999" t="str">
        <f>IF($B999="","",IFERROR(IF(G999=0,-2E+300,CHOOSE(sortIdx,ROUND(D999,0),IF(J999="",-1E+300,ROUND(-J999,6)),IF(J999="",-1E+300,ROUND(J999,6)))),-1.5E+300))</f>
        <v/>
      </c>
      <c r="L999" t="str">
        <f>IF(K999="","",RANK(K999,$K$2:$K$3001,0)+COUNTIF($K$2:K999,K999)-1)</f>
        <v/>
      </c>
    </row>
    <row r="1000">
      <c r="B1000" t="str">
        <f>IFERROR(IF(A1000="","","="&amp;SUBSTITUTE(SUBSTITUTE(SUBSTITUTE(A1000,"~","~~"),"*","~*"),"?","~?")),"")</f>
        <v/>
      </c>
      <c r="C1000" t="str">
        <f>IF($B1000="","",SUMIFS(dAmt,dCust,$B1000,dPer,"&gt;="&amp;pyFrom,dPer,"&lt;="&amp;pyTo,dAmt,"&gt;-1E+300",dFlt1,critFlt1,dFlt2,critFlt2,dFlt3,critFlt3))</f>
        <v/>
      </c>
      <c r="D1000" t="str">
        <f>IF($B1000="","",SUMIFS(dAmt,dCust,$B1000,dPer,"&gt;="&amp;cyFrom,dPer,"&lt;="&amp;cyTo,dAmt,"&gt;-1E+300",dFlt1,critFlt1,dFlt2,critFlt2,dFlt3,critFlt3))</f>
        <v/>
      </c>
      <c r="E1000" t="str">
        <f>IF($B1000="","",SUMIFS(dQty,dCust,$B1000,dPer,"&gt;="&amp;pyFrom,dPer,"&lt;="&amp;pyTo,dQty,"&gt;-1E+300",dFlt1,critFlt1,dFlt2,critFlt2,dFlt3,critFlt3))</f>
        <v/>
      </c>
      <c r="F1000" t="str">
        <f>IF($B1000="","",SUMIFS(dQty,dCust,$B1000,dPer,"&gt;="&amp;cyFrom,dPer,"&lt;="&amp;cyTo,dQty,"&gt;-1E+300",dFlt1,critFlt1,dFlt2,critFlt2,dFlt3,critFlt3))</f>
        <v/>
      </c>
      <c r="G1000">
        <f>IF($B1000="",0,IFERROR(IF(OR(C1000&lt;&gt;0,D1000&lt;&gt;0,E1000&lt;&gt;0,F1000&lt;&gt;0),1,0),1))</f>
        <v>0</v>
      </c>
      <c r="H1000" t="str">
        <f>IF(OR(G1000=0,E1000=0),"",C1000/E1000)</f>
        <v/>
      </c>
      <c r="I1000" t="str">
        <f>IF(OR(G1000=0,F1000=0),"",D1000/F1000)</f>
        <v/>
      </c>
      <c r="J1000" t="str">
        <f>IF(OR(H1000="",I1000=""),"",IF(H1000=0,"",I1000/H1000-1))</f>
        <v/>
      </c>
      <c r="K1000" t="str">
        <f>IF($B1000="","",IFERROR(IF(G1000=0,-2E+300,CHOOSE(sortIdx,ROUND(D1000,0),IF(J1000="",-1E+300,ROUND(-J1000,6)),IF(J1000="",-1E+300,ROUND(J1000,6)))),-1.5E+300))</f>
        <v/>
      </c>
      <c r="L1000" t="str">
        <f>IF(K1000="","",RANK(K1000,$K$2:$K$3001,0)+COUNTIF($K$2:K1000,K1000)-1)</f>
        <v/>
      </c>
    </row>
    <row r="1001">
      <c r="B1001" t="str">
        <f>IFERROR(IF(A1001="","","="&amp;SUBSTITUTE(SUBSTITUTE(SUBSTITUTE(A1001,"~","~~"),"*","~*"),"?","~?")),"")</f>
        <v/>
      </c>
      <c r="C1001" t="str">
        <f>IF($B1001="","",SUMIFS(dAmt,dCust,$B1001,dPer,"&gt;="&amp;pyFrom,dPer,"&lt;="&amp;pyTo,dAmt,"&gt;-1E+300",dFlt1,critFlt1,dFlt2,critFlt2,dFlt3,critFlt3))</f>
        <v/>
      </c>
      <c r="D1001" t="str">
        <f>IF($B1001="","",SUMIFS(dAmt,dCust,$B1001,dPer,"&gt;="&amp;cyFrom,dPer,"&lt;="&amp;cyTo,dAmt,"&gt;-1E+300",dFlt1,critFlt1,dFlt2,critFlt2,dFlt3,critFlt3))</f>
        <v/>
      </c>
      <c r="E1001" t="str">
        <f>IF($B1001="","",SUMIFS(dQty,dCust,$B1001,dPer,"&gt;="&amp;pyFrom,dPer,"&lt;="&amp;pyTo,dQty,"&gt;-1E+300",dFlt1,critFlt1,dFlt2,critFlt2,dFlt3,critFlt3))</f>
        <v/>
      </c>
      <c r="F1001" t="str">
        <f>IF($B1001="","",SUMIFS(dQty,dCust,$B1001,dPer,"&gt;="&amp;cyFrom,dPer,"&lt;="&amp;cyTo,dQty,"&gt;-1E+300",dFlt1,critFlt1,dFlt2,critFlt2,dFlt3,critFlt3))</f>
        <v/>
      </c>
      <c r="G1001">
        <f>IF($B1001="",0,IFERROR(IF(OR(C1001&lt;&gt;0,D1001&lt;&gt;0,E1001&lt;&gt;0,F1001&lt;&gt;0),1,0),1))</f>
        <v>0</v>
      </c>
      <c r="H1001" t="str">
        <f>IF(OR(G1001=0,E1001=0),"",C1001/E1001)</f>
        <v/>
      </c>
      <c r="I1001" t="str">
        <f>IF(OR(G1001=0,F1001=0),"",D1001/F1001)</f>
        <v/>
      </c>
      <c r="J1001" t="str">
        <f>IF(OR(H1001="",I1001=""),"",IF(H1001=0,"",I1001/H1001-1))</f>
        <v/>
      </c>
      <c r="K1001" t="str">
        <f>IF($B1001="","",IFERROR(IF(G1001=0,-2E+300,CHOOSE(sortIdx,ROUND(D1001,0),IF(J1001="",-1E+300,ROUND(-J1001,6)),IF(J1001="",-1E+300,ROUND(J1001,6)))),-1.5E+300))</f>
        <v/>
      </c>
      <c r="L1001" t="str">
        <f>IF(K1001="","",RANK(K1001,$K$2:$K$3001,0)+COUNTIF($K$2:K1001,K1001)-1)</f>
        <v/>
      </c>
    </row>
    <row r="1002">
      <c r="B1002" t="str">
        <f>IFERROR(IF(A1002="","","="&amp;SUBSTITUTE(SUBSTITUTE(SUBSTITUTE(A1002,"~","~~"),"*","~*"),"?","~?")),"")</f>
        <v/>
      </c>
      <c r="C1002" t="str">
        <f>IF($B1002="","",SUMIFS(dAmt,dCust,$B1002,dPer,"&gt;="&amp;pyFrom,dPer,"&lt;="&amp;pyTo,dAmt,"&gt;-1E+300",dFlt1,critFlt1,dFlt2,critFlt2,dFlt3,critFlt3))</f>
        <v/>
      </c>
      <c r="D1002" t="str">
        <f>IF($B1002="","",SUMIFS(dAmt,dCust,$B1002,dPer,"&gt;="&amp;cyFrom,dPer,"&lt;="&amp;cyTo,dAmt,"&gt;-1E+300",dFlt1,critFlt1,dFlt2,critFlt2,dFlt3,critFlt3))</f>
        <v/>
      </c>
      <c r="E1002" t="str">
        <f>IF($B1002="","",SUMIFS(dQty,dCust,$B1002,dPer,"&gt;="&amp;pyFrom,dPer,"&lt;="&amp;pyTo,dQty,"&gt;-1E+300",dFlt1,critFlt1,dFlt2,critFlt2,dFlt3,critFlt3))</f>
        <v/>
      </c>
      <c r="F1002" t="str">
        <f>IF($B1002="","",SUMIFS(dQty,dCust,$B1002,dPer,"&gt;="&amp;cyFrom,dPer,"&lt;="&amp;cyTo,dQty,"&gt;-1E+300",dFlt1,critFlt1,dFlt2,critFlt2,dFlt3,critFlt3))</f>
        <v/>
      </c>
      <c r="G1002">
        <f>IF($B1002="",0,IFERROR(IF(OR(C1002&lt;&gt;0,D1002&lt;&gt;0,E1002&lt;&gt;0,F1002&lt;&gt;0),1,0),1))</f>
        <v>0</v>
      </c>
      <c r="H1002" t="str">
        <f>IF(OR(G1002=0,E1002=0),"",C1002/E1002)</f>
        <v/>
      </c>
      <c r="I1002" t="str">
        <f>IF(OR(G1002=0,F1002=0),"",D1002/F1002)</f>
        <v/>
      </c>
      <c r="J1002" t="str">
        <f>IF(OR(H1002="",I1002=""),"",IF(H1002=0,"",I1002/H1002-1))</f>
        <v/>
      </c>
      <c r="K1002" t="str">
        <f>IF($B1002="","",IFERROR(IF(G1002=0,-2E+300,CHOOSE(sortIdx,ROUND(D1002,0),IF(J1002="",-1E+300,ROUND(-J1002,6)),IF(J1002="",-1E+300,ROUND(J1002,6)))),-1.5E+300))</f>
        <v/>
      </c>
      <c r="L1002" t="str">
        <f>IF(K1002="","",RANK(K1002,$K$2:$K$3001,0)+COUNTIF($K$2:K1002,K1002)-1)</f>
        <v/>
      </c>
    </row>
    <row r="1003">
      <c r="B1003" t="str">
        <f>IFERROR(IF(A1003="","","="&amp;SUBSTITUTE(SUBSTITUTE(SUBSTITUTE(A1003,"~","~~"),"*","~*"),"?","~?")),"")</f>
        <v/>
      </c>
      <c r="C1003" t="str">
        <f>IF($B1003="","",SUMIFS(dAmt,dCust,$B1003,dPer,"&gt;="&amp;pyFrom,dPer,"&lt;="&amp;pyTo,dAmt,"&gt;-1E+300",dFlt1,critFlt1,dFlt2,critFlt2,dFlt3,critFlt3))</f>
        <v/>
      </c>
      <c r="D1003" t="str">
        <f>IF($B1003="","",SUMIFS(dAmt,dCust,$B1003,dPer,"&gt;="&amp;cyFrom,dPer,"&lt;="&amp;cyTo,dAmt,"&gt;-1E+300",dFlt1,critFlt1,dFlt2,critFlt2,dFlt3,critFlt3))</f>
        <v/>
      </c>
      <c r="E1003" t="str">
        <f>IF($B1003="","",SUMIFS(dQty,dCust,$B1003,dPer,"&gt;="&amp;pyFrom,dPer,"&lt;="&amp;pyTo,dQty,"&gt;-1E+300",dFlt1,critFlt1,dFlt2,critFlt2,dFlt3,critFlt3))</f>
        <v/>
      </c>
      <c r="F1003" t="str">
        <f>IF($B1003="","",SUMIFS(dQty,dCust,$B1003,dPer,"&gt;="&amp;cyFrom,dPer,"&lt;="&amp;cyTo,dQty,"&gt;-1E+300",dFlt1,critFlt1,dFlt2,critFlt2,dFlt3,critFlt3))</f>
        <v/>
      </c>
      <c r="G1003">
        <f>IF($B1003="",0,IFERROR(IF(OR(C1003&lt;&gt;0,D1003&lt;&gt;0,E1003&lt;&gt;0,F1003&lt;&gt;0),1,0),1))</f>
        <v>0</v>
      </c>
      <c r="H1003" t="str">
        <f>IF(OR(G1003=0,E1003=0),"",C1003/E1003)</f>
        <v/>
      </c>
      <c r="I1003" t="str">
        <f>IF(OR(G1003=0,F1003=0),"",D1003/F1003)</f>
        <v/>
      </c>
      <c r="J1003" t="str">
        <f>IF(OR(H1003="",I1003=""),"",IF(H1003=0,"",I1003/H1003-1))</f>
        <v/>
      </c>
      <c r="K1003" t="str">
        <f>IF($B1003="","",IFERROR(IF(G1003=0,-2E+300,CHOOSE(sortIdx,ROUND(D1003,0),IF(J1003="",-1E+300,ROUND(-J1003,6)),IF(J1003="",-1E+300,ROUND(J1003,6)))),-1.5E+300))</f>
        <v/>
      </c>
      <c r="L1003" t="str">
        <f>IF(K1003="","",RANK(K1003,$K$2:$K$3001,0)+COUNTIF($K$2:K1003,K1003)-1)</f>
        <v/>
      </c>
    </row>
    <row r="1004">
      <c r="B1004" t="str">
        <f>IFERROR(IF(A1004="","","="&amp;SUBSTITUTE(SUBSTITUTE(SUBSTITUTE(A1004,"~","~~"),"*","~*"),"?","~?")),"")</f>
        <v/>
      </c>
      <c r="C1004" t="str">
        <f>IF($B1004="","",SUMIFS(dAmt,dCust,$B1004,dPer,"&gt;="&amp;pyFrom,dPer,"&lt;="&amp;pyTo,dAmt,"&gt;-1E+300",dFlt1,critFlt1,dFlt2,critFlt2,dFlt3,critFlt3))</f>
        <v/>
      </c>
      <c r="D1004" t="str">
        <f>IF($B1004="","",SUMIFS(dAmt,dCust,$B1004,dPer,"&gt;="&amp;cyFrom,dPer,"&lt;="&amp;cyTo,dAmt,"&gt;-1E+300",dFlt1,critFlt1,dFlt2,critFlt2,dFlt3,critFlt3))</f>
        <v/>
      </c>
      <c r="E1004" t="str">
        <f>IF($B1004="","",SUMIFS(dQty,dCust,$B1004,dPer,"&gt;="&amp;pyFrom,dPer,"&lt;="&amp;pyTo,dQty,"&gt;-1E+300",dFlt1,critFlt1,dFlt2,critFlt2,dFlt3,critFlt3))</f>
        <v/>
      </c>
      <c r="F1004" t="str">
        <f>IF($B1004="","",SUMIFS(dQty,dCust,$B1004,dPer,"&gt;="&amp;cyFrom,dPer,"&lt;="&amp;cyTo,dQty,"&gt;-1E+300",dFlt1,critFlt1,dFlt2,critFlt2,dFlt3,critFlt3))</f>
        <v/>
      </c>
      <c r="G1004">
        <f>IF($B1004="",0,IFERROR(IF(OR(C1004&lt;&gt;0,D1004&lt;&gt;0,E1004&lt;&gt;0,F1004&lt;&gt;0),1,0),1))</f>
        <v>0</v>
      </c>
      <c r="H1004" t="str">
        <f>IF(OR(G1004=0,E1004=0),"",C1004/E1004)</f>
        <v/>
      </c>
      <c r="I1004" t="str">
        <f>IF(OR(G1004=0,F1004=0),"",D1004/F1004)</f>
        <v/>
      </c>
      <c r="J1004" t="str">
        <f>IF(OR(H1004="",I1004=""),"",IF(H1004=0,"",I1004/H1004-1))</f>
        <v/>
      </c>
      <c r="K1004" t="str">
        <f>IF($B1004="","",IFERROR(IF(G1004=0,-2E+300,CHOOSE(sortIdx,ROUND(D1004,0),IF(J1004="",-1E+300,ROUND(-J1004,6)),IF(J1004="",-1E+300,ROUND(J1004,6)))),-1.5E+300))</f>
        <v/>
      </c>
      <c r="L1004" t="str">
        <f>IF(K1004="","",RANK(K1004,$K$2:$K$3001,0)+COUNTIF($K$2:K1004,K1004)-1)</f>
        <v/>
      </c>
    </row>
    <row r="1005">
      <c r="B1005" t="str">
        <f>IFERROR(IF(A1005="","","="&amp;SUBSTITUTE(SUBSTITUTE(SUBSTITUTE(A1005,"~","~~"),"*","~*"),"?","~?")),"")</f>
        <v/>
      </c>
      <c r="C1005" t="str">
        <f>IF($B1005="","",SUMIFS(dAmt,dCust,$B1005,dPer,"&gt;="&amp;pyFrom,dPer,"&lt;="&amp;pyTo,dAmt,"&gt;-1E+300",dFlt1,critFlt1,dFlt2,critFlt2,dFlt3,critFlt3))</f>
        <v/>
      </c>
      <c r="D1005" t="str">
        <f>IF($B1005="","",SUMIFS(dAmt,dCust,$B1005,dPer,"&gt;="&amp;cyFrom,dPer,"&lt;="&amp;cyTo,dAmt,"&gt;-1E+300",dFlt1,critFlt1,dFlt2,critFlt2,dFlt3,critFlt3))</f>
        <v/>
      </c>
      <c r="E1005" t="str">
        <f>IF($B1005="","",SUMIFS(dQty,dCust,$B1005,dPer,"&gt;="&amp;pyFrom,dPer,"&lt;="&amp;pyTo,dQty,"&gt;-1E+300",dFlt1,critFlt1,dFlt2,critFlt2,dFlt3,critFlt3))</f>
        <v/>
      </c>
      <c r="F1005" t="str">
        <f>IF($B1005="","",SUMIFS(dQty,dCust,$B1005,dPer,"&gt;="&amp;cyFrom,dPer,"&lt;="&amp;cyTo,dQty,"&gt;-1E+300",dFlt1,critFlt1,dFlt2,critFlt2,dFlt3,critFlt3))</f>
        <v/>
      </c>
      <c r="G1005">
        <f>IF($B1005="",0,IFERROR(IF(OR(C1005&lt;&gt;0,D1005&lt;&gt;0,E1005&lt;&gt;0,F1005&lt;&gt;0),1,0),1))</f>
        <v>0</v>
      </c>
      <c r="H1005" t="str">
        <f>IF(OR(G1005=0,E1005=0),"",C1005/E1005)</f>
        <v/>
      </c>
      <c r="I1005" t="str">
        <f>IF(OR(G1005=0,F1005=0),"",D1005/F1005)</f>
        <v/>
      </c>
      <c r="J1005" t="str">
        <f>IF(OR(H1005="",I1005=""),"",IF(H1005=0,"",I1005/H1005-1))</f>
        <v/>
      </c>
      <c r="K1005" t="str">
        <f>IF($B1005="","",IFERROR(IF(G1005=0,-2E+300,CHOOSE(sortIdx,ROUND(D1005,0),IF(J1005="",-1E+300,ROUND(-J1005,6)),IF(J1005="",-1E+300,ROUND(J1005,6)))),-1.5E+300))</f>
        <v/>
      </c>
      <c r="L1005" t="str">
        <f>IF(K1005="","",RANK(K1005,$K$2:$K$3001,0)+COUNTIF($K$2:K1005,K1005)-1)</f>
        <v/>
      </c>
    </row>
    <row r="1006">
      <c r="B1006" t="str">
        <f>IFERROR(IF(A1006="","","="&amp;SUBSTITUTE(SUBSTITUTE(SUBSTITUTE(A1006,"~","~~"),"*","~*"),"?","~?")),"")</f>
        <v/>
      </c>
      <c r="C1006" t="str">
        <f>IF($B1006="","",SUMIFS(dAmt,dCust,$B1006,dPer,"&gt;="&amp;pyFrom,dPer,"&lt;="&amp;pyTo,dAmt,"&gt;-1E+300",dFlt1,critFlt1,dFlt2,critFlt2,dFlt3,critFlt3))</f>
        <v/>
      </c>
      <c r="D1006" t="str">
        <f>IF($B1006="","",SUMIFS(dAmt,dCust,$B1006,dPer,"&gt;="&amp;cyFrom,dPer,"&lt;="&amp;cyTo,dAmt,"&gt;-1E+300",dFlt1,critFlt1,dFlt2,critFlt2,dFlt3,critFlt3))</f>
        <v/>
      </c>
      <c r="E1006" t="str">
        <f>IF($B1006="","",SUMIFS(dQty,dCust,$B1006,dPer,"&gt;="&amp;pyFrom,dPer,"&lt;="&amp;pyTo,dQty,"&gt;-1E+300",dFlt1,critFlt1,dFlt2,critFlt2,dFlt3,critFlt3))</f>
        <v/>
      </c>
      <c r="F1006" t="str">
        <f>IF($B1006="","",SUMIFS(dQty,dCust,$B1006,dPer,"&gt;="&amp;cyFrom,dPer,"&lt;="&amp;cyTo,dQty,"&gt;-1E+300",dFlt1,critFlt1,dFlt2,critFlt2,dFlt3,critFlt3))</f>
        <v/>
      </c>
      <c r="G1006">
        <f>IF($B1006="",0,IFERROR(IF(OR(C1006&lt;&gt;0,D1006&lt;&gt;0,E1006&lt;&gt;0,F1006&lt;&gt;0),1,0),1))</f>
        <v>0</v>
      </c>
      <c r="H1006" t="str">
        <f>IF(OR(G1006=0,E1006=0),"",C1006/E1006)</f>
        <v/>
      </c>
      <c r="I1006" t="str">
        <f>IF(OR(G1006=0,F1006=0),"",D1006/F1006)</f>
        <v/>
      </c>
      <c r="J1006" t="str">
        <f>IF(OR(H1006="",I1006=""),"",IF(H1006=0,"",I1006/H1006-1))</f>
        <v/>
      </c>
      <c r="K1006" t="str">
        <f>IF($B1006="","",IFERROR(IF(G1006=0,-2E+300,CHOOSE(sortIdx,ROUND(D1006,0),IF(J1006="",-1E+300,ROUND(-J1006,6)),IF(J1006="",-1E+300,ROUND(J1006,6)))),-1.5E+300))</f>
        <v/>
      </c>
      <c r="L1006" t="str">
        <f>IF(K1006="","",RANK(K1006,$K$2:$K$3001,0)+COUNTIF($K$2:K1006,K1006)-1)</f>
        <v/>
      </c>
    </row>
    <row r="1007">
      <c r="B1007" t="str">
        <f>IFERROR(IF(A1007="","","="&amp;SUBSTITUTE(SUBSTITUTE(SUBSTITUTE(A1007,"~","~~"),"*","~*"),"?","~?")),"")</f>
        <v/>
      </c>
      <c r="C1007" t="str">
        <f>IF($B1007="","",SUMIFS(dAmt,dCust,$B1007,dPer,"&gt;="&amp;pyFrom,dPer,"&lt;="&amp;pyTo,dAmt,"&gt;-1E+300",dFlt1,critFlt1,dFlt2,critFlt2,dFlt3,critFlt3))</f>
        <v/>
      </c>
      <c r="D1007" t="str">
        <f>IF($B1007="","",SUMIFS(dAmt,dCust,$B1007,dPer,"&gt;="&amp;cyFrom,dPer,"&lt;="&amp;cyTo,dAmt,"&gt;-1E+300",dFlt1,critFlt1,dFlt2,critFlt2,dFlt3,critFlt3))</f>
        <v/>
      </c>
      <c r="E1007" t="str">
        <f>IF($B1007="","",SUMIFS(dQty,dCust,$B1007,dPer,"&gt;="&amp;pyFrom,dPer,"&lt;="&amp;pyTo,dQty,"&gt;-1E+300",dFlt1,critFlt1,dFlt2,critFlt2,dFlt3,critFlt3))</f>
        <v/>
      </c>
      <c r="F1007" t="str">
        <f>IF($B1007="","",SUMIFS(dQty,dCust,$B1007,dPer,"&gt;="&amp;cyFrom,dPer,"&lt;="&amp;cyTo,dQty,"&gt;-1E+300",dFlt1,critFlt1,dFlt2,critFlt2,dFlt3,critFlt3))</f>
        <v/>
      </c>
      <c r="G1007">
        <f>IF($B1007="",0,IFERROR(IF(OR(C1007&lt;&gt;0,D1007&lt;&gt;0,E1007&lt;&gt;0,F1007&lt;&gt;0),1,0),1))</f>
        <v>0</v>
      </c>
      <c r="H1007" t="str">
        <f>IF(OR(G1007=0,E1007=0),"",C1007/E1007)</f>
        <v/>
      </c>
      <c r="I1007" t="str">
        <f>IF(OR(G1007=0,F1007=0),"",D1007/F1007)</f>
        <v/>
      </c>
      <c r="J1007" t="str">
        <f>IF(OR(H1007="",I1007=""),"",IF(H1007=0,"",I1007/H1007-1))</f>
        <v/>
      </c>
      <c r="K1007" t="str">
        <f>IF($B1007="","",IFERROR(IF(G1007=0,-2E+300,CHOOSE(sortIdx,ROUND(D1007,0),IF(J1007="",-1E+300,ROUND(-J1007,6)),IF(J1007="",-1E+300,ROUND(J1007,6)))),-1.5E+300))</f>
        <v/>
      </c>
      <c r="L1007" t="str">
        <f>IF(K1007="","",RANK(K1007,$K$2:$K$3001,0)+COUNTIF($K$2:K1007,K1007)-1)</f>
        <v/>
      </c>
    </row>
    <row r="1008">
      <c r="B1008" t="str">
        <f>IFERROR(IF(A1008="","","="&amp;SUBSTITUTE(SUBSTITUTE(SUBSTITUTE(A1008,"~","~~"),"*","~*"),"?","~?")),"")</f>
        <v/>
      </c>
      <c r="C1008" t="str">
        <f>IF($B1008="","",SUMIFS(dAmt,dCust,$B1008,dPer,"&gt;="&amp;pyFrom,dPer,"&lt;="&amp;pyTo,dAmt,"&gt;-1E+300",dFlt1,critFlt1,dFlt2,critFlt2,dFlt3,critFlt3))</f>
        <v/>
      </c>
      <c r="D1008" t="str">
        <f>IF($B1008="","",SUMIFS(dAmt,dCust,$B1008,dPer,"&gt;="&amp;cyFrom,dPer,"&lt;="&amp;cyTo,dAmt,"&gt;-1E+300",dFlt1,critFlt1,dFlt2,critFlt2,dFlt3,critFlt3))</f>
        <v/>
      </c>
      <c r="E1008" t="str">
        <f>IF($B1008="","",SUMIFS(dQty,dCust,$B1008,dPer,"&gt;="&amp;pyFrom,dPer,"&lt;="&amp;pyTo,dQty,"&gt;-1E+300",dFlt1,critFlt1,dFlt2,critFlt2,dFlt3,critFlt3))</f>
        <v/>
      </c>
      <c r="F1008" t="str">
        <f>IF($B1008="","",SUMIFS(dQty,dCust,$B1008,dPer,"&gt;="&amp;cyFrom,dPer,"&lt;="&amp;cyTo,dQty,"&gt;-1E+300",dFlt1,critFlt1,dFlt2,critFlt2,dFlt3,critFlt3))</f>
        <v/>
      </c>
      <c r="G1008">
        <f>IF($B1008="",0,IFERROR(IF(OR(C1008&lt;&gt;0,D1008&lt;&gt;0,E1008&lt;&gt;0,F1008&lt;&gt;0),1,0),1))</f>
        <v>0</v>
      </c>
      <c r="H1008" t="str">
        <f>IF(OR(G1008=0,E1008=0),"",C1008/E1008)</f>
        <v/>
      </c>
      <c r="I1008" t="str">
        <f>IF(OR(G1008=0,F1008=0),"",D1008/F1008)</f>
        <v/>
      </c>
      <c r="J1008" t="str">
        <f>IF(OR(H1008="",I1008=""),"",IF(H1008=0,"",I1008/H1008-1))</f>
        <v/>
      </c>
      <c r="K1008" t="str">
        <f>IF($B1008="","",IFERROR(IF(G1008=0,-2E+300,CHOOSE(sortIdx,ROUND(D1008,0),IF(J1008="",-1E+300,ROUND(-J1008,6)),IF(J1008="",-1E+300,ROUND(J1008,6)))),-1.5E+300))</f>
        <v/>
      </c>
      <c r="L1008" t="str">
        <f>IF(K1008="","",RANK(K1008,$K$2:$K$3001,0)+COUNTIF($K$2:K1008,K1008)-1)</f>
        <v/>
      </c>
    </row>
    <row r="1009">
      <c r="B1009" t="str">
        <f>IFERROR(IF(A1009="","","="&amp;SUBSTITUTE(SUBSTITUTE(SUBSTITUTE(A1009,"~","~~"),"*","~*"),"?","~?")),"")</f>
        <v/>
      </c>
      <c r="C1009" t="str">
        <f>IF($B1009="","",SUMIFS(dAmt,dCust,$B1009,dPer,"&gt;="&amp;pyFrom,dPer,"&lt;="&amp;pyTo,dAmt,"&gt;-1E+300",dFlt1,critFlt1,dFlt2,critFlt2,dFlt3,critFlt3))</f>
        <v/>
      </c>
      <c r="D1009" t="str">
        <f>IF($B1009="","",SUMIFS(dAmt,dCust,$B1009,dPer,"&gt;="&amp;cyFrom,dPer,"&lt;="&amp;cyTo,dAmt,"&gt;-1E+300",dFlt1,critFlt1,dFlt2,critFlt2,dFlt3,critFlt3))</f>
        <v/>
      </c>
      <c r="E1009" t="str">
        <f>IF($B1009="","",SUMIFS(dQty,dCust,$B1009,dPer,"&gt;="&amp;pyFrom,dPer,"&lt;="&amp;pyTo,dQty,"&gt;-1E+300",dFlt1,critFlt1,dFlt2,critFlt2,dFlt3,critFlt3))</f>
        <v/>
      </c>
      <c r="F1009" t="str">
        <f>IF($B1009="","",SUMIFS(dQty,dCust,$B1009,dPer,"&gt;="&amp;cyFrom,dPer,"&lt;="&amp;cyTo,dQty,"&gt;-1E+300",dFlt1,critFlt1,dFlt2,critFlt2,dFlt3,critFlt3))</f>
        <v/>
      </c>
      <c r="G1009">
        <f>IF($B1009="",0,IFERROR(IF(OR(C1009&lt;&gt;0,D1009&lt;&gt;0,E1009&lt;&gt;0,F1009&lt;&gt;0),1,0),1))</f>
        <v>0</v>
      </c>
      <c r="H1009" t="str">
        <f>IF(OR(G1009=0,E1009=0),"",C1009/E1009)</f>
        <v/>
      </c>
      <c r="I1009" t="str">
        <f>IF(OR(G1009=0,F1009=0),"",D1009/F1009)</f>
        <v/>
      </c>
      <c r="J1009" t="str">
        <f>IF(OR(H1009="",I1009=""),"",IF(H1009=0,"",I1009/H1009-1))</f>
        <v/>
      </c>
      <c r="K1009" t="str">
        <f>IF($B1009="","",IFERROR(IF(G1009=0,-2E+300,CHOOSE(sortIdx,ROUND(D1009,0),IF(J1009="",-1E+300,ROUND(-J1009,6)),IF(J1009="",-1E+300,ROUND(J1009,6)))),-1.5E+300))</f>
        <v/>
      </c>
      <c r="L1009" t="str">
        <f>IF(K1009="","",RANK(K1009,$K$2:$K$3001,0)+COUNTIF($K$2:K1009,K1009)-1)</f>
        <v/>
      </c>
    </row>
    <row r="1010">
      <c r="B1010" t="str">
        <f>IFERROR(IF(A1010="","","="&amp;SUBSTITUTE(SUBSTITUTE(SUBSTITUTE(A1010,"~","~~"),"*","~*"),"?","~?")),"")</f>
        <v/>
      </c>
      <c r="C1010" t="str">
        <f>IF($B1010="","",SUMIFS(dAmt,dCust,$B1010,dPer,"&gt;="&amp;pyFrom,dPer,"&lt;="&amp;pyTo,dAmt,"&gt;-1E+300",dFlt1,critFlt1,dFlt2,critFlt2,dFlt3,critFlt3))</f>
        <v/>
      </c>
      <c r="D1010" t="str">
        <f>IF($B1010="","",SUMIFS(dAmt,dCust,$B1010,dPer,"&gt;="&amp;cyFrom,dPer,"&lt;="&amp;cyTo,dAmt,"&gt;-1E+300",dFlt1,critFlt1,dFlt2,critFlt2,dFlt3,critFlt3))</f>
        <v/>
      </c>
      <c r="E1010" t="str">
        <f>IF($B1010="","",SUMIFS(dQty,dCust,$B1010,dPer,"&gt;="&amp;pyFrom,dPer,"&lt;="&amp;pyTo,dQty,"&gt;-1E+300",dFlt1,critFlt1,dFlt2,critFlt2,dFlt3,critFlt3))</f>
        <v/>
      </c>
      <c r="F1010" t="str">
        <f>IF($B1010="","",SUMIFS(dQty,dCust,$B1010,dPer,"&gt;="&amp;cyFrom,dPer,"&lt;="&amp;cyTo,dQty,"&gt;-1E+300",dFlt1,critFlt1,dFlt2,critFlt2,dFlt3,critFlt3))</f>
        <v/>
      </c>
      <c r="G1010">
        <f>IF($B1010="",0,IFERROR(IF(OR(C1010&lt;&gt;0,D1010&lt;&gt;0,E1010&lt;&gt;0,F1010&lt;&gt;0),1,0),1))</f>
        <v>0</v>
      </c>
      <c r="H1010" t="str">
        <f>IF(OR(G1010=0,E1010=0),"",C1010/E1010)</f>
        <v/>
      </c>
      <c r="I1010" t="str">
        <f>IF(OR(G1010=0,F1010=0),"",D1010/F1010)</f>
        <v/>
      </c>
      <c r="J1010" t="str">
        <f>IF(OR(H1010="",I1010=""),"",IF(H1010=0,"",I1010/H1010-1))</f>
        <v/>
      </c>
      <c r="K1010" t="str">
        <f>IF($B1010="","",IFERROR(IF(G1010=0,-2E+300,CHOOSE(sortIdx,ROUND(D1010,0),IF(J1010="",-1E+300,ROUND(-J1010,6)),IF(J1010="",-1E+300,ROUND(J1010,6)))),-1.5E+300))</f>
        <v/>
      </c>
      <c r="L1010" t="str">
        <f>IF(K1010="","",RANK(K1010,$K$2:$K$3001,0)+COUNTIF($K$2:K1010,K1010)-1)</f>
        <v/>
      </c>
    </row>
    <row r="1011">
      <c r="B1011" t="str">
        <f>IFERROR(IF(A1011="","","="&amp;SUBSTITUTE(SUBSTITUTE(SUBSTITUTE(A1011,"~","~~"),"*","~*"),"?","~?")),"")</f>
        <v/>
      </c>
      <c r="C1011" t="str">
        <f>IF($B1011="","",SUMIFS(dAmt,dCust,$B1011,dPer,"&gt;="&amp;pyFrom,dPer,"&lt;="&amp;pyTo,dAmt,"&gt;-1E+300",dFlt1,critFlt1,dFlt2,critFlt2,dFlt3,critFlt3))</f>
        <v/>
      </c>
      <c r="D1011" t="str">
        <f>IF($B1011="","",SUMIFS(dAmt,dCust,$B1011,dPer,"&gt;="&amp;cyFrom,dPer,"&lt;="&amp;cyTo,dAmt,"&gt;-1E+300",dFlt1,critFlt1,dFlt2,critFlt2,dFlt3,critFlt3))</f>
        <v/>
      </c>
      <c r="E1011" t="str">
        <f>IF($B1011="","",SUMIFS(dQty,dCust,$B1011,dPer,"&gt;="&amp;pyFrom,dPer,"&lt;="&amp;pyTo,dQty,"&gt;-1E+300",dFlt1,critFlt1,dFlt2,critFlt2,dFlt3,critFlt3))</f>
        <v/>
      </c>
      <c r="F1011" t="str">
        <f>IF($B1011="","",SUMIFS(dQty,dCust,$B1011,dPer,"&gt;="&amp;cyFrom,dPer,"&lt;="&amp;cyTo,dQty,"&gt;-1E+300",dFlt1,critFlt1,dFlt2,critFlt2,dFlt3,critFlt3))</f>
        <v/>
      </c>
      <c r="G1011">
        <f>IF($B1011="",0,IFERROR(IF(OR(C1011&lt;&gt;0,D1011&lt;&gt;0,E1011&lt;&gt;0,F1011&lt;&gt;0),1,0),1))</f>
        <v>0</v>
      </c>
      <c r="H1011" t="str">
        <f>IF(OR(G1011=0,E1011=0),"",C1011/E1011)</f>
        <v/>
      </c>
      <c r="I1011" t="str">
        <f>IF(OR(G1011=0,F1011=0),"",D1011/F1011)</f>
        <v/>
      </c>
      <c r="J1011" t="str">
        <f>IF(OR(H1011="",I1011=""),"",IF(H1011=0,"",I1011/H1011-1))</f>
        <v/>
      </c>
      <c r="K1011" t="str">
        <f>IF($B1011="","",IFERROR(IF(G1011=0,-2E+300,CHOOSE(sortIdx,ROUND(D1011,0),IF(J1011="",-1E+300,ROUND(-J1011,6)),IF(J1011="",-1E+300,ROUND(J1011,6)))),-1.5E+300))</f>
        <v/>
      </c>
      <c r="L1011" t="str">
        <f>IF(K1011="","",RANK(K1011,$K$2:$K$3001,0)+COUNTIF($K$2:K1011,K1011)-1)</f>
        <v/>
      </c>
    </row>
    <row r="1012">
      <c r="B1012" t="str">
        <f>IFERROR(IF(A1012="","","="&amp;SUBSTITUTE(SUBSTITUTE(SUBSTITUTE(A1012,"~","~~"),"*","~*"),"?","~?")),"")</f>
        <v/>
      </c>
      <c r="C1012" t="str">
        <f>IF($B1012="","",SUMIFS(dAmt,dCust,$B1012,dPer,"&gt;="&amp;pyFrom,dPer,"&lt;="&amp;pyTo,dAmt,"&gt;-1E+300",dFlt1,critFlt1,dFlt2,critFlt2,dFlt3,critFlt3))</f>
        <v/>
      </c>
      <c r="D1012" t="str">
        <f>IF($B1012="","",SUMIFS(dAmt,dCust,$B1012,dPer,"&gt;="&amp;cyFrom,dPer,"&lt;="&amp;cyTo,dAmt,"&gt;-1E+300",dFlt1,critFlt1,dFlt2,critFlt2,dFlt3,critFlt3))</f>
        <v/>
      </c>
      <c r="E1012" t="str">
        <f>IF($B1012="","",SUMIFS(dQty,dCust,$B1012,dPer,"&gt;="&amp;pyFrom,dPer,"&lt;="&amp;pyTo,dQty,"&gt;-1E+300",dFlt1,critFlt1,dFlt2,critFlt2,dFlt3,critFlt3))</f>
        <v/>
      </c>
      <c r="F1012" t="str">
        <f>IF($B1012="","",SUMIFS(dQty,dCust,$B1012,dPer,"&gt;="&amp;cyFrom,dPer,"&lt;="&amp;cyTo,dQty,"&gt;-1E+300",dFlt1,critFlt1,dFlt2,critFlt2,dFlt3,critFlt3))</f>
        <v/>
      </c>
      <c r="G1012">
        <f>IF($B1012="",0,IFERROR(IF(OR(C1012&lt;&gt;0,D1012&lt;&gt;0,E1012&lt;&gt;0,F1012&lt;&gt;0),1,0),1))</f>
        <v>0</v>
      </c>
      <c r="H1012" t="str">
        <f>IF(OR(G1012=0,E1012=0),"",C1012/E1012)</f>
        <v/>
      </c>
      <c r="I1012" t="str">
        <f>IF(OR(G1012=0,F1012=0),"",D1012/F1012)</f>
        <v/>
      </c>
      <c r="J1012" t="str">
        <f>IF(OR(H1012="",I1012=""),"",IF(H1012=0,"",I1012/H1012-1))</f>
        <v/>
      </c>
      <c r="K1012" t="str">
        <f>IF($B1012="","",IFERROR(IF(G1012=0,-2E+300,CHOOSE(sortIdx,ROUND(D1012,0),IF(J1012="",-1E+300,ROUND(-J1012,6)),IF(J1012="",-1E+300,ROUND(J1012,6)))),-1.5E+300))</f>
        <v/>
      </c>
      <c r="L1012" t="str">
        <f>IF(K1012="","",RANK(K1012,$K$2:$K$3001,0)+COUNTIF($K$2:K1012,K1012)-1)</f>
        <v/>
      </c>
    </row>
    <row r="1013">
      <c r="B1013" t="str">
        <f>IFERROR(IF(A1013="","","="&amp;SUBSTITUTE(SUBSTITUTE(SUBSTITUTE(A1013,"~","~~"),"*","~*"),"?","~?")),"")</f>
        <v/>
      </c>
      <c r="C1013" t="str">
        <f>IF($B1013="","",SUMIFS(dAmt,dCust,$B1013,dPer,"&gt;="&amp;pyFrom,dPer,"&lt;="&amp;pyTo,dAmt,"&gt;-1E+300",dFlt1,critFlt1,dFlt2,critFlt2,dFlt3,critFlt3))</f>
        <v/>
      </c>
      <c r="D1013" t="str">
        <f>IF($B1013="","",SUMIFS(dAmt,dCust,$B1013,dPer,"&gt;="&amp;cyFrom,dPer,"&lt;="&amp;cyTo,dAmt,"&gt;-1E+300",dFlt1,critFlt1,dFlt2,critFlt2,dFlt3,critFlt3))</f>
        <v/>
      </c>
      <c r="E1013" t="str">
        <f>IF($B1013="","",SUMIFS(dQty,dCust,$B1013,dPer,"&gt;="&amp;pyFrom,dPer,"&lt;="&amp;pyTo,dQty,"&gt;-1E+300",dFlt1,critFlt1,dFlt2,critFlt2,dFlt3,critFlt3))</f>
        <v/>
      </c>
      <c r="F1013" t="str">
        <f>IF($B1013="","",SUMIFS(dQty,dCust,$B1013,dPer,"&gt;="&amp;cyFrom,dPer,"&lt;="&amp;cyTo,dQty,"&gt;-1E+300",dFlt1,critFlt1,dFlt2,critFlt2,dFlt3,critFlt3))</f>
        <v/>
      </c>
      <c r="G1013">
        <f>IF($B1013="",0,IFERROR(IF(OR(C1013&lt;&gt;0,D1013&lt;&gt;0,E1013&lt;&gt;0,F1013&lt;&gt;0),1,0),1))</f>
        <v>0</v>
      </c>
      <c r="H1013" t="str">
        <f>IF(OR(G1013=0,E1013=0),"",C1013/E1013)</f>
        <v/>
      </c>
      <c r="I1013" t="str">
        <f>IF(OR(G1013=0,F1013=0),"",D1013/F1013)</f>
        <v/>
      </c>
      <c r="J1013" t="str">
        <f>IF(OR(H1013="",I1013=""),"",IF(H1013=0,"",I1013/H1013-1))</f>
        <v/>
      </c>
      <c r="K1013" t="str">
        <f>IF($B1013="","",IFERROR(IF(G1013=0,-2E+300,CHOOSE(sortIdx,ROUND(D1013,0),IF(J1013="",-1E+300,ROUND(-J1013,6)),IF(J1013="",-1E+300,ROUND(J1013,6)))),-1.5E+300))</f>
        <v/>
      </c>
      <c r="L1013" t="str">
        <f>IF(K1013="","",RANK(K1013,$K$2:$K$3001,0)+COUNTIF($K$2:K1013,K1013)-1)</f>
        <v/>
      </c>
    </row>
    <row r="1014">
      <c r="B1014" t="str">
        <f>IFERROR(IF(A1014="","","="&amp;SUBSTITUTE(SUBSTITUTE(SUBSTITUTE(A1014,"~","~~"),"*","~*"),"?","~?")),"")</f>
        <v/>
      </c>
      <c r="C1014" t="str">
        <f>IF($B1014="","",SUMIFS(dAmt,dCust,$B1014,dPer,"&gt;="&amp;pyFrom,dPer,"&lt;="&amp;pyTo,dAmt,"&gt;-1E+300",dFlt1,critFlt1,dFlt2,critFlt2,dFlt3,critFlt3))</f>
        <v/>
      </c>
      <c r="D1014" t="str">
        <f>IF($B1014="","",SUMIFS(dAmt,dCust,$B1014,dPer,"&gt;="&amp;cyFrom,dPer,"&lt;="&amp;cyTo,dAmt,"&gt;-1E+300",dFlt1,critFlt1,dFlt2,critFlt2,dFlt3,critFlt3))</f>
        <v/>
      </c>
      <c r="E1014" t="str">
        <f>IF($B1014="","",SUMIFS(dQty,dCust,$B1014,dPer,"&gt;="&amp;pyFrom,dPer,"&lt;="&amp;pyTo,dQty,"&gt;-1E+300",dFlt1,critFlt1,dFlt2,critFlt2,dFlt3,critFlt3))</f>
        <v/>
      </c>
      <c r="F1014" t="str">
        <f>IF($B1014="","",SUMIFS(dQty,dCust,$B1014,dPer,"&gt;="&amp;cyFrom,dPer,"&lt;="&amp;cyTo,dQty,"&gt;-1E+300",dFlt1,critFlt1,dFlt2,critFlt2,dFlt3,critFlt3))</f>
        <v/>
      </c>
      <c r="G1014">
        <f>IF($B1014="",0,IFERROR(IF(OR(C1014&lt;&gt;0,D1014&lt;&gt;0,E1014&lt;&gt;0,F1014&lt;&gt;0),1,0),1))</f>
        <v>0</v>
      </c>
      <c r="H1014" t="str">
        <f>IF(OR(G1014=0,E1014=0),"",C1014/E1014)</f>
        <v/>
      </c>
      <c r="I1014" t="str">
        <f>IF(OR(G1014=0,F1014=0),"",D1014/F1014)</f>
        <v/>
      </c>
      <c r="J1014" t="str">
        <f>IF(OR(H1014="",I1014=""),"",IF(H1014=0,"",I1014/H1014-1))</f>
        <v/>
      </c>
      <c r="K1014" t="str">
        <f>IF($B1014="","",IFERROR(IF(G1014=0,-2E+300,CHOOSE(sortIdx,ROUND(D1014,0),IF(J1014="",-1E+300,ROUND(-J1014,6)),IF(J1014="",-1E+300,ROUND(J1014,6)))),-1.5E+300))</f>
        <v/>
      </c>
      <c r="L1014" t="str">
        <f>IF(K1014="","",RANK(K1014,$K$2:$K$3001,0)+COUNTIF($K$2:K1014,K1014)-1)</f>
        <v/>
      </c>
    </row>
    <row r="1015">
      <c r="B1015" t="str">
        <f>IFERROR(IF(A1015="","","="&amp;SUBSTITUTE(SUBSTITUTE(SUBSTITUTE(A1015,"~","~~"),"*","~*"),"?","~?")),"")</f>
        <v/>
      </c>
      <c r="C1015" t="str">
        <f>IF($B1015="","",SUMIFS(dAmt,dCust,$B1015,dPer,"&gt;="&amp;pyFrom,dPer,"&lt;="&amp;pyTo,dAmt,"&gt;-1E+300",dFlt1,critFlt1,dFlt2,critFlt2,dFlt3,critFlt3))</f>
        <v/>
      </c>
      <c r="D1015" t="str">
        <f>IF($B1015="","",SUMIFS(dAmt,dCust,$B1015,dPer,"&gt;="&amp;cyFrom,dPer,"&lt;="&amp;cyTo,dAmt,"&gt;-1E+300",dFlt1,critFlt1,dFlt2,critFlt2,dFlt3,critFlt3))</f>
        <v/>
      </c>
      <c r="E1015" t="str">
        <f>IF($B1015="","",SUMIFS(dQty,dCust,$B1015,dPer,"&gt;="&amp;pyFrom,dPer,"&lt;="&amp;pyTo,dQty,"&gt;-1E+300",dFlt1,critFlt1,dFlt2,critFlt2,dFlt3,critFlt3))</f>
        <v/>
      </c>
      <c r="F1015" t="str">
        <f>IF($B1015="","",SUMIFS(dQty,dCust,$B1015,dPer,"&gt;="&amp;cyFrom,dPer,"&lt;="&amp;cyTo,dQty,"&gt;-1E+300",dFlt1,critFlt1,dFlt2,critFlt2,dFlt3,critFlt3))</f>
        <v/>
      </c>
      <c r="G1015">
        <f>IF($B1015="",0,IFERROR(IF(OR(C1015&lt;&gt;0,D1015&lt;&gt;0,E1015&lt;&gt;0,F1015&lt;&gt;0),1,0),1))</f>
        <v>0</v>
      </c>
      <c r="H1015" t="str">
        <f>IF(OR(G1015=0,E1015=0),"",C1015/E1015)</f>
        <v/>
      </c>
      <c r="I1015" t="str">
        <f>IF(OR(G1015=0,F1015=0),"",D1015/F1015)</f>
        <v/>
      </c>
      <c r="J1015" t="str">
        <f>IF(OR(H1015="",I1015=""),"",IF(H1015=0,"",I1015/H1015-1))</f>
        <v/>
      </c>
      <c r="K1015" t="str">
        <f>IF($B1015="","",IFERROR(IF(G1015=0,-2E+300,CHOOSE(sortIdx,ROUND(D1015,0),IF(J1015="",-1E+300,ROUND(-J1015,6)),IF(J1015="",-1E+300,ROUND(J1015,6)))),-1.5E+300))</f>
        <v/>
      </c>
      <c r="L1015" t="str">
        <f>IF(K1015="","",RANK(K1015,$K$2:$K$3001,0)+COUNTIF($K$2:K1015,K1015)-1)</f>
        <v/>
      </c>
    </row>
    <row r="1016">
      <c r="B1016" t="str">
        <f>IFERROR(IF(A1016="","","="&amp;SUBSTITUTE(SUBSTITUTE(SUBSTITUTE(A1016,"~","~~"),"*","~*"),"?","~?")),"")</f>
        <v/>
      </c>
      <c r="C1016" t="str">
        <f>IF($B1016="","",SUMIFS(dAmt,dCust,$B1016,dPer,"&gt;="&amp;pyFrom,dPer,"&lt;="&amp;pyTo,dAmt,"&gt;-1E+300",dFlt1,critFlt1,dFlt2,critFlt2,dFlt3,critFlt3))</f>
        <v/>
      </c>
      <c r="D1016" t="str">
        <f>IF($B1016="","",SUMIFS(dAmt,dCust,$B1016,dPer,"&gt;="&amp;cyFrom,dPer,"&lt;="&amp;cyTo,dAmt,"&gt;-1E+300",dFlt1,critFlt1,dFlt2,critFlt2,dFlt3,critFlt3))</f>
        <v/>
      </c>
      <c r="E1016" t="str">
        <f>IF($B1016="","",SUMIFS(dQty,dCust,$B1016,dPer,"&gt;="&amp;pyFrom,dPer,"&lt;="&amp;pyTo,dQty,"&gt;-1E+300",dFlt1,critFlt1,dFlt2,critFlt2,dFlt3,critFlt3))</f>
        <v/>
      </c>
      <c r="F1016" t="str">
        <f>IF($B1016="","",SUMIFS(dQty,dCust,$B1016,dPer,"&gt;="&amp;cyFrom,dPer,"&lt;="&amp;cyTo,dQty,"&gt;-1E+300",dFlt1,critFlt1,dFlt2,critFlt2,dFlt3,critFlt3))</f>
        <v/>
      </c>
      <c r="G1016">
        <f>IF($B1016="",0,IFERROR(IF(OR(C1016&lt;&gt;0,D1016&lt;&gt;0,E1016&lt;&gt;0,F1016&lt;&gt;0),1,0),1))</f>
        <v>0</v>
      </c>
      <c r="H1016" t="str">
        <f>IF(OR(G1016=0,E1016=0),"",C1016/E1016)</f>
        <v/>
      </c>
      <c r="I1016" t="str">
        <f>IF(OR(G1016=0,F1016=0),"",D1016/F1016)</f>
        <v/>
      </c>
      <c r="J1016" t="str">
        <f>IF(OR(H1016="",I1016=""),"",IF(H1016=0,"",I1016/H1016-1))</f>
        <v/>
      </c>
      <c r="K1016" t="str">
        <f>IF($B1016="","",IFERROR(IF(G1016=0,-2E+300,CHOOSE(sortIdx,ROUND(D1016,0),IF(J1016="",-1E+300,ROUND(-J1016,6)),IF(J1016="",-1E+300,ROUND(J1016,6)))),-1.5E+300))</f>
        <v/>
      </c>
      <c r="L1016" t="str">
        <f>IF(K1016="","",RANK(K1016,$K$2:$K$3001,0)+COUNTIF($K$2:K1016,K1016)-1)</f>
        <v/>
      </c>
    </row>
    <row r="1017">
      <c r="B1017" t="str">
        <f>IFERROR(IF(A1017="","","="&amp;SUBSTITUTE(SUBSTITUTE(SUBSTITUTE(A1017,"~","~~"),"*","~*"),"?","~?")),"")</f>
        <v/>
      </c>
      <c r="C1017" t="str">
        <f>IF($B1017="","",SUMIFS(dAmt,dCust,$B1017,dPer,"&gt;="&amp;pyFrom,dPer,"&lt;="&amp;pyTo,dAmt,"&gt;-1E+300",dFlt1,critFlt1,dFlt2,critFlt2,dFlt3,critFlt3))</f>
        <v/>
      </c>
      <c r="D1017" t="str">
        <f>IF($B1017="","",SUMIFS(dAmt,dCust,$B1017,dPer,"&gt;="&amp;cyFrom,dPer,"&lt;="&amp;cyTo,dAmt,"&gt;-1E+300",dFlt1,critFlt1,dFlt2,critFlt2,dFlt3,critFlt3))</f>
        <v/>
      </c>
      <c r="E1017" t="str">
        <f>IF($B1017="","",SUMIFS(dQty,dCust,$B1017,dPer,"&gt;="&amp;pyFrom,dPer,"&lt;="&amp;pyTo,dQty,"&gt;-1E+300",dFlt1,critFlt1,dFlt2,critFlt2,dFlt3,critFlt3))</f>
        <v/>
      </c>
      <c r="F1017" t="str">
        <f>IF($B1017="","",SUMIFS(dQty,dCust,$B1017,dPer,"&gt;="&amp;cyFrom,dPer,"&lt;="&amp;cyTo,dQty,"&gt;-1E+300",dFlt1,critFlt1,dFlt2,critFlt2,dFlt3,critFlt3))</f>
        <v/>
      </c>
      <c r="G1017">
        <f>IF($B1017="",0,IFERROR(IF(OR(C1017&lt;&gt;0,D1017&lt;&gt;0,E1017&lt;&gt;0,F1017&lt;&gt;0),1,0),1))</f>
        <v>0</v>
      </c>
      <c r="H1017" t="str">
        <f>IF(OR(G1017=0,E1017=0),"",C1017/E1017)</f>
        <v/>
      </c>
      <c r="I1017" t="str">
        <f>IF(OR(G1017=0,F1017=0),"",D1017/F1017)</f>
        <v/>
      </c>
      <c r="J1017" t="str">
        <f>IF(OR(H1017="",I1017=""),"",IF(H1017=0,"",I1017/H1017-1))</f>
        <v/>
      </c>
      <c r="K1017" t="str">
        <f>IF($B1017="","",IFERROR(IF(G1017=0,-2E+300,CHOOSE(sortIdx,ROUND(D1017,0),IF(J1017="",-1E+300,ROUND(-J1017,6)),IF(J1017="",-1E+300,ROUND(J1017,6)))),-1.5E+300))</f>
        <v/>
      </c>
      <c r="L1017" t="str">
        <f>IF(K1017="","",RANK(K1017,$K$2:$K$3001,0)+COUNTIF($K$2:K1017,K1017)-1)</f>
        <v/>
      </c>
    </row>
    <row r="1018">
      <c r="B1018" t="str">
        <f>IFERROR(IF(A1018="","","="&amp;SUBSTITUTE(SUBSTITUTE(SUBSTITUTE(A1018,"~","~~"),"*","~*"),"?","~?")),"")</f>
        <v/>
      </c>
      <c r="C1018" t="str">
        <f>IF($B1018="","",SUMIFS(dAmt,dCust,$B1018,dPer,"&gt;="&amp;pyFrom,dPer,"&lt;="&amp;pyTo,dAmt,"&gt;-1E+300",dFlt1,critFlt1,dFlt2,critFlt2,dFlt3,critFlt3))</f>
        <v/>
      </c>
      <c r="D1018" t="str">
        <f>IF($B1018="","",SUMIFS(dAmt,dCust,$B1018,dPer,"&gt;="&amp;cyFrom,dPer,"&lt;="&amp;cyTo,dAmt,"&gt;-1E+300",dFlt1,critFlt1,dFlt2,critFlt2,dFlt3,critFlt3))</f>
        <v/>
      </c>
      <c r="E1018" t="str">
        <f>IF($B1018="","",SUMIFS(dQty,dCust,$B1018,dPer,"&gt;="&amp;pyFrom,dPer,"&lt;="&amp;pyTo,dQty,"&gt;-1E+300",dFlt1,critFlt1,dFlt2,critFlt2,dFlt3,critFlt3))</f>
        <v/>
      </c>
      <c r="F1018" t="str">
        <f>IF($B1018="","",SUMIFS(dQty,dCust,$B1018,dPer,"&gt;="&amp;cyFrom,dPer,"&lt;="&amp;cyTo,dQty,"&gt;-1E+300",dFlt1,critFlt1,dFlt2,critFlt2,dFlt3,critFlt3))</f>
        <v/>
      </c>
      <c r="G1018">
        <f>IF($B1018="",0,IFERROR(IF(OR(C1018&lt;&gt;0,D1018&lt;&gt;0,E1018&lt;&gt;0,F1018&lt;&gt;0),1,0),1))</f>
        <v>0</v>
      </c>
      <c r="H1018" t="str">
        <f>IF(OR(G1018=0,E1018=0),"",C1018/E1018)</f>
        <v/>
      </c>
      <c r="I1018" t="str">
        <f>IF(OR(G1018=0,F1018=0),"",D1018/F1018)</f>
        <v/>
      </c>
      <c r="J1018" t="str">
        <f>IF(OR(H1018="",I1018=""),"",IF(H1018=0,"",I1018/H1018-1))</f>
        <v/>
      </c>
      <c r="K1018" t="str">
        <f>IF($B1018="","",IFERROR(IF(G1018=0,-2E+300,CHOOSE(sortIdx,ROUND(D1018,0),IF(J1018="",-1E+300,ROUND(-J1018,6)),IF(J1018="",-1E+300,ROUND(J1018,6)))),-1.5E+300))</f>
        <v/>
      </c>
      <c r="L1018" t="str">
        <f>IF(K1018="","",RANK(K1018,$K$2:$K$3001,0)+COUNTIF($K$2:K1018,K1018)-1)</f>
        <v/>
      </c>
    </row>
    <row r="1019">
      <c r="B1019" t="str">
        <f>IFERROR(IF(A1019="","","="&amp;SUBSTITUTE(SUBSTITUTE(SUBSTITUTE(A1019,"~","~~"),"*","~*"),"?","~?")),"")</f>
        <v/>
      </c>
      <c r="C1019" t="str">
        <f>IF($B1019="","",SUMIFS(dAmt,dCust,$B1019,dPer,"&gt;="&amp;pyFrom,dPer,"&lt;="&amp;pyTo,dAmt,"&gt;-1E+300",dFlt1,critFlt1,dFlt2,critFlt2,dFlt3,critFlt3))</f>
        <v/>
      </c>
      <c r="D1019" t="str">
        <f>IF($B1019="","",SUMIFS(dAmt,dCust,$B1019,dPer,"&gt;="&amp;cyFrom,dPer,"&lt;="&amp;cyTo,dAmt,"&gt;-1E+300",dFlt1,critFlt1,dFlt2,critFlt2,dFlt3,critFlt3))</f>
        <v/>
      </c>
      <c r="E1019" t="str">
        <f>IF($B1019="","",SUMIFS(dQty,dCust,$B1019,dPer,"&gt;="&amp;pyFrom,dPer,"&lt;="&amp;pyTo,dQty,"&gt;-1E+300",dFlt1,critFlt1,dFlt2,critFlt2,dFlt3,critFlt3))</f>
        <v/>
      </c>
      <c r="F1019" t="str">
        <f>IF($B1019="","",SUMIFS(dQty,dCust,$B1019,dPer,"&gt;="&amp;cyFrom,dPer,"&lt;="&amp;cyTo,dQty,"&gt;-1E+300",dFlt1,critFlt1,dFlt2,critFlt2,dFlt3,critFlt3))</f>
        <v/>
      </c>
      <c r="G1019">
        <f>IF($B1019="",0,IFERROR(IF(OR(C1019&lt;&gt;0,D1019&lt;&gt;0,E1019&lt;&gt;0,F1019&lt;&gt;0),1,0),1))</f>
        <v>0</v>
      </c>
      <c r="H1019" t="str">
        <f>IF(OR(G1019=0,E1019=0),"",C1019/E1019)</f>
        <v/>
      </c>
      <c r="I1019" t="str">
        <f>IF(OR(G1019=0,F1019=0),"",D1019/F1019)</f>
        <v/>
      </c>
      <c r="J1019" t="str">
        <f>IF(OR(H1019="",I1019=""),"",IF(H1019=0,"",I1019/H1019-1))</f>
        <v/>
      </c>
      <c r="K1019" t="str">
        <f>IF($B1019="","",IFERROR(IF(G1019=0,-2E+300,CHOOSE(sortIdx,ROUND(D1019,0),IF(J1019="",-1E+300,ROUND(-J1019,6)),IF(J1019="",-1E+300,ROUND(J1019,6)))),-1.5E+300))</f>
        <v/>
      </c>
      <c r="L1019" t="str">
        <f>IF(K1019="","",RANK(K1019,$K$2:$K$3001,0)+COUNTIF($K$2:K1019,K1019)-1)</f>
        <v/>
      </c>
    </row>
    <row r="1020">
      <c r="B1020" t="str">
        <f>IFERROR(IF(A1020="","","="&amp;SUBSTITUTE(SUBSTITUTE(SUBSTITUTE(A1020,"~","~~"),"*","~*"),"?","~?")),"")</f>
        <v/>
      </c>
      <c r="C1020" t="str">
        <f>IF($B1020="","",SUMIFS(dAmt,dCust,$B1020,dPer,"&gt;="&amp;pyFrom,dPer,"&lt;="&amp;pyTo,dAmt,"&gt;-1E+300",dFlt1,critFlt1,dFlt2,critFlt2,dFlt3,critFlt3))</f>
        <v/>
      </c>
      <c r="D1020" t="str">
        <f>IF($B1020="","",SUMIFS(dAmt,dCust,$B1020,dPer,"&gt;="&amp;cyFrom,dPer,"&lt;="&amp;cyTo,dAmt,"&gt;-1E+300",dFlt1,critFlt1,dFlt2,critFlt2,dFlt3,critFlt3))</f>
        <v/>
      </c>
      <c r="E1020" t="str">
        <f>IF($B1020="","",SUMIFS(dQty,dCust,$B1020,dPer,"&gt;="&amp;pyFrom,dPer,"&lt;="&amp;pyTo,dQty,"&gt;-1E+300",dFlt1,critFlt1,dFlt2,critFlt2,dFlt3,critFlt3))</f>
        <v/>
      </c>
      <c r="F1020" t="str">
        <f>IF($B1020="","",SUMIFS(dQty,dCust,$B1020,dPer,"&gt;="&amp;cyFrom,dPer,"&lt;="&amp;cyTo,dQty,"&gt;-1E+300",dFlt1,critFlt1,dFlt2,critFlt2,dFlt3,critFlt3))</f>
        <v/>
      </c>
      <c r="G1020">
        <f>IF($B1020="",0,IFERROR(IF(OR(C1020&lt;&gt;0,D1020&lt;&gt;0,E1020&lt;&gt;0,F1020&lt;&gt;0),1,0),1))</f>
        <v>0</v>
      </c>
      <c r="H1020" t="str">
        <f>IF(OR(G1020=0,E1020=0),"",C1020/E1020)</f>
        <v/>
      </c>
      <c r="I1020" t="str">
        <f>IF(OR(G1020=0,F1020=0),"",D1020/F1020)</f>
        <v/>
      </c>
      <c r="J1020" t="str">
        <f>IF(OR(H1020="",I1020=""),"",IF(H1020=0,"",I1020/H1020-1))</f>
        <v/>
      </c>
      <c r="K1020" t="str">
        <f>IF($B1020="","",IFERROR(IF(G1020=0,-2E+300,CHOOSE(sortIdx,ROUND(D1020,0),IF(J1020="",-1E+300,ROUND(-J1020,6)),IF(J1020="",-1E+300,ROUND(J1020,6)))),-1.5E+300))</f>
        <v/>
      </c>
      <c r="L1020" t="str">
        <f>IF(K1020="","",RANK(K1020,$K$2:$K$3001,0)+COUNTIF($K$2:K1020,K1020)-1)</f>
        <v/>
      </c>
    </row>
    <row r="1021">
      <c r="B1021" t="str">
        <f>IFERROR(IF(A1021="","","="&amp;SUBSTITUTE(SUBSTITUTE(SUBSTITUTE(A1021,"~","~~"),"*","~*"),"?","~?")),"")</f>
        <v/>
      </c>
      <c r="C1021" t="str">
        <f>IF($B1021="","",SUMIFS(dAmt,dCust,$B1021,dPer,"&gt;="&amp;pyFrom,dPer,"&lt;="&amp;pyTo,dAmt,"&gt;-1E+300",dFlt1,critFlt1,dFlt2,critFlt2,dFlt3,critFlt3))</f>
        <v/>
      </c>
      <c r="D1021" t="str">
        <f>IF($B1021="","",SUMIFS(dAmt,dCust,$B1021,dPer,"&gt;="&amp;cyFrom,dPer,"&lt;="&amp;cyTo,dAmt,"&gt;-1E+300",dFlt1,critFlt1,dFlt2,critFlt2,dFlt3,critFlt3))</f>
        <v/>
      </c>
      <c r="E1021" t="str">
        <f>IF($B1021="","",SUMIFS(dQty,dCust,$B1021,dPer,"&gt;="&amp;pyFrom,dPer,"&lt;="&amp;pyTo,dQty,"&gt;-1E+300",dFlt1,critFlt1,dFlt2,critFlt2,dFlt3,critFlt3))</f>
        <v/>
      </c>
      <c r="F1021" t="str">
        <f>IF($B1021="","",SUMIFS(dQty,dCust,$B1021,dPer,"&gt;="&amp;cyFrom,dPer,"&lt;="&amp;cyTo,dQty,"&gt;-1E+300",dFlt1,critFlt1,dFlt2,critFlt2,dFlt3,critFlt3))</f>
        <v/>
      </c>
      <c r="G1021">
        <f>IF($B1021="",0,IFERROR(IF(OR(C1021&lt;&gt;0,D1021&lt;&gt;0,E1021&lt;&gt;0,F1021&lt;&gt;0),1,0),1))</f>
        <v>0</v>
      </c>
      <c r="H1021" t="str">
        <f>IF(OR(G1021=0,E1021=0),"",C1021/E1021)</f>
        <v/>
      </c>
      <c r="I1021" t="str">
        <f>IF(OR(G1021=0,F1021=0),"",D1021/F1021)</f>
        <v/>
      </c>
      <c r="J1021" t="str">
        <f>IF(OR(H1021="",I1021=""),"",IF(H1021=0,"",I1021/H1021-1))</f>
        <v/>
      </c>
      <c r="K1021" t="str">
        <f>IF($B1021="","",IFERROR(IF(G1021=0,-2E+300,CHOOSE(sortIdx,ROUND(D1021,0),IF(J1021="",-1E+300,ROUND(-J1021,6)),IF(J1021="",-1E+300,ROUND(J1021,6)))),-1.5E+300))</f>
        <v/>
      </c>
      <c r="L1021" t="str">
        <f>IF(K1021="","",RANK(K1021,$K$2:$K$3001,0)+COUNTIF($K$2:K1021,K1021)-1)</f>
        <v/>
      </c>
    </row>
    <row r="1022">
      <c r="B1022" t="str">
        <f>IFERROR(IF(A1022="","","="&amp;SUBSTITUTE(SUBSTITUTE(SUBSTITUTE(A1022,"~","~~"),"*","~*"),"?","~?")),"")</f>
        <v/>
      </c>
      <c r="C1022" t="str">
        <f>IF($B1022="","",SUMIFS(dAmt,dCust,$B1022,dPer,"&gt;="&amp;pyFrom,dPer,"&lt;="&amp;pyTo,dAmt,"&gt;-1E+300",dFlt1,critFlt1,dFlt2,critFlt2,dFlt3,critFlt3))</f>
        <v/>
      </c>
      <c r="D1022" t="str">
        <f>IF($B1022="","",SUMIFS(dAmt,dCust,$B1022,dPer,"&gt;="&amp;cyFrom,dPer,"&lt;="&amp;cyTo,dAmt,"&gt;-1E+300",dFlt1,critFlt1,dFlt2,critFlt2,dFlt3,critFlt3))</f>
        <v/>
      </c>
      <c r="E1022" t="str">
        <f>IF($B1022="","",SUMIFS(dQty,dCust,$B1022,dPer,"&gt;="&amp;pyFrom,dPer,"&lt;="&amp;pyTo,dQty,"&gt;-1E+300",dFlt1,critFlt1,dFlt2,critFlt2,dFlt3,critFlt3))</f>
        <v/>
      </c>
      <c r="F1022" t="str">
        <f>IF($B1022="","",SUMIFS(dQty,dCust,$B1022,dPer,"&gt;="&amp;cyFrom,dPer,"&lt;="&amp;cyTo,dQty,"&gt;-1E+300",dFlt1,critFlt1,dFlt2,critFlt2,dFlt3,critFlt3))</f>
        <v/>
      </c>
      <c r="G1022">
        <f>IF($B1022="",0,IFERROR(IF(OR(C1022&lt;&gt;0,D1022&lt;&gt;0,E1022&lt;&gt;0,F1022&lt;&gt;0),1,0),1))</f>
        <v>0</v>
      </c>
      <c r="H1022" t="str">
        <f>IF(OR(G1022=0,E1022=0),"",C1022/E1022)</f>
        <v/>
      </c>
      <c r="I1022" t="str">
        <f>IF(OR(G1022=0,F1022=0),"",D1022/F1022)</f>
        <v/>
      </c>
      <c r="J1022" t="str">
        <f>IF(OR(H1022="",I1022=""),"",IF(H1022=0,"",I1022/H1022-1))</f>
        <v/>
      </c>
      <c r="K1022" t="str">
        <f>IF($B1022="","",IFERROR(IF(G1022=0,-2E+300,CHOOSE(sortIdx,ROUND(D1022,0),IF(J1022="",-1E+300,ROUND(-J1022,6)),IF(J1022="",-1E+300,ROUND(J1022,6)))),-1.5E+300))</f>
        <v/>
      </c>
      <c r="L1022" t="str">
        <f>IF(K1022="","",RANK(K1022,$K$2:$K$3001,0)+COUNTIF($K$2:K1022,K1022)-1)</f>
        <v/>
      </c>
    </row>
    <row r="1023">
      <c r="B1023" t="str">
        <f>IFERROR(IF(A1023="","","="&amp;SUBSTITUTE(SUBSTITUTE(SUBSTITUTE(A1023,"~","~~"),"*","~*"),"?","~?")),"")</f>
        <v/>
      </c>
      <c r="C1023" t="str">
        <f>IF($B1023="","",SUMIFS(dAmt,dCust,$B1023,dPer,"&gt;="&amp;pyFrom,dPer,"&lt;="&amp;pyTo,dAmt,"&gt;-1E+300",dFlt1,critFlt1,dFlt2,critFlt2,dFlt3,critFlt3))</f>
        <v/>
      </c>
      <c r="D1023" t="str">
        <f>IF($B1023="","",SUMIFS(dAmt,dCust,$B1023,dPer,"&gt;="&amp;cyFrom,dPer,"&lt;="&amp;cyTo,dAmt,"&gt;-1E+300",dFlt1,critFlt1,dFlt2,critFlt2,dFlt3,critFlt3))</f>
        <v/>
      </c>
      <c r="E1023" t="str">
        <f>IF($B1023="","",SUMIFS(dQty,dCust,$B1023,dPer,"&gt;="&amp;pyFrom,dPer,"&lt;="&amp;pyTo,dQty,"&gt;-1E+300",dFlt1,critFlt1,dFlt2,critFlt2,dFlt3,critFlt3))</f>
        <v/>
      </c>
      <c r="F1023" t="str">
        <f>IF($B1023="","",SUMIFS(dQty,dCust,$B1023,dPer,"&gt;="&amp;cyFrom,dPer,"&lt;="&amp;cyTo,dQty,"&gt;-1E+300",dFlt1,critFlt1,dFlt2,critFlt2,dFlt3,critFlt3))</f>
        <v/>
      </c>
      <c r="G1023">
        <f>IF($B1023="",0,IFERROR(IF(OR(C1023&lt;&gt;0,D1023&lt;&gt;0,E1023&lt;&gt;0,F1023&lt;&gt;0),1,0),1))</f>
        <v>0</v>
      </c>
      <c r="H1023" t="str">
        <f>IF(OR(G1023=0,E1023=0),"",C1023/E1023)</f>
        <v/>
      </c>
      <c r="I1023" t="str">
        <f>IF(OR(G1023=0,F1023=0),"",D1023/F1023)</f>
        <v/>
      </c>
      <c r="J1023" t="str">
        <f>IF(OR(H1023="",I1023=""),"",IF(H1023=0,"",I1023/H1023-1))</f>
        <v/>
      </c>
      <c r="K1023" t="str">
        <f>IF($B1023="","",IFERROR(IF(G1023=0,-2E+300,CHOOSE(sortIdx,ROUND(D1023,0),IF(J1023="",-1E+300,ROUND(-J1023,6)),IF(J1023="",-1E+300,ROUND(J1023,6)))),-1.5E+300))</f>
        <v/>
      </c>
      <c r="L1023" t="str">
        <f>IF(K1023="","",RANK(K1023,$K$2:$K$3001,0)+COUNTIF($K$2:K1023,K1023)-1)</f>
        <v/>
      </c>
    </row>
    <row r="1024">
      <c r="B1024" t="str">
        <f>IFERROR(IF(A1024="","","="&amp;SUBSTITUTE(SUBSTITUTE(SUBSTITUTE(A1024,"~","~~"),"*","~*"),"?","~?")),"")</f>
        <v/>
      </c>
      <c r="C1024" t="str">
        <f>IF($B1024="","",SUMIFS(dAmt,dCust,$B1024,dPer,"&gt;="&amp;pyFrom,dPer,"&lt;="&amp;pyTo,dAmt,"&gt;-1E+300",dFlt1,critFlt1,dFlt2,critFlt2,dFlt3,critFlt3))</f>
        <v/>
      </c>
      <c r="D1024" t="str">
        <f>IF($B1024="","",SUMIFS(dAmt,dCust,$B1024,dPer,"&gt;="&amp;cyFrom,dPer,"&lt;="&amp;cyTo,dAmt,"&gt;-1E+300",dFlt1,critFlt1,dFlt2,critFlt2,dFlt3,critFlt3))</f>
        <v/>
      </c>
      <c r="E1024" t="str">
        <f>IF($B1024="","",SUMIFS(dQty,dCust,$B1024,dPer,"&gt;="&amp;pyFrom,dPer,"&lt;="&amp;pyTo,dQty,"&gt;-1E+300",dFlt1,critFlt1,dFlt2,critFlt2,dFlt3,critFlt3))</f>
        <v/>
      </c>
      <c r="F1024" t="str">
        <f>IF($B1024="","",SUMIFS(dQty,dCust,$B1024,dPer,"&gt;="&amp;cyFrom,dPer,"&lt;="&amp;cyTo,dQty,"&gt;-1E+300",dFlt1,critFlt1,dFlt2,critFlt2,dFlt3,critFlt3))</f>
        <v/>
      </c>
      <c r="G1024">
        <f>IF($B1024="",0,IFERROR(IF(OR(C1024&lt;&gt;0,D1024&lt;&gt;0,E1024&lt;&gt;0,F1024&lt;&gt;0),1,0),1))</f>
        <v>0</v>
      </c>
      <c r="H1024" t="str">
        <f>IF(OR(G1024=0,E1024=0),"",C1024/E1024)</f>
        <v/>
      </c>
      <c r="I1024" t="str">
        <f>IF(OR(G1024=0,F1024=0),"",D1024/F1024)</f>
        <v/>
      </c>
      <c r="J1024" t="str">
        <f>IF(OR(H1024="",I1024=""),"",IF(H1024=0,"",I1024/H1024-1))</f>
        <v/>
      </c>
      <c r="K1024" t="str">
        <f>IF($B1024="","",IFERROR(IF(G1024=0,-2E+300,CHOOSE(sortIdx,ROUND(D1024,0),IF(J1024="",-1E+300,ROUND(-J1024,6)),IF(J1024="",-1E+300,ROUND(J1024,6)))),-1.5E+300))</f>
        <v/>
      </c>
      <c r="L1024" t="str">
        <f>IF(K1024="","",RANK(K1024,$K$2:$K$3001,0)+COUNTIF($K$2:K1024,K1024)-1)</f>
        <v/>
      </c>
    </row>
    <row r="1025">
      <c r="B1025" t="str">
        <f>IFERROR(IF(A1025="","","="&amp;SUBSTITUTE(SUBSTITUTE(SUBSTITUTE(A1025,"~","~~"),"*","~*"),"?","~?")),"")</f>
        <v/>
      </c>
      <c r="C1025" t="str">
        <f>IF($B1025="","",SUMIFS(dAmt,dCust,$B1025,dPer,"&gt;="&amp;pyFrom,dPer,"&lt;="&amp;pyTo,dAmt,"&gt;-1E+300",dFlt1,critFlt1,dFlt2,critFlt2,dFlt3,critFlt3))</f>
        <v/>
      </c>
      <c r="D1025" t="str">
        <f>IF($B1025="","",SUMIFS(dAmt,dCust,$B1025,dPer,"&gt;="&amp;cyFrom,dPer,"&lt;="&amp;cyTo,dAmt,"&gt;-1E+300",dFlt1,critFlt1,dFlt2,critFlt2,dFlt3,critFlt3))</f>
        <v/>
      </c>
      <c r="E1025" t="str">
        <f>IF($B1025="","",SUMIFS(dQty,dCust,$B1025,dPer,"&gt;="&amp;pyFrom,dPer,"&lt;="&amp;pyTo,dQty,"&gt;-1E+300",dFlt1,critFlt1,dFlt2,critFlt2,dFlt3,critFlt3))</f>
        <v/>
      </c>
      <c r="F1025" t="str">
        <f>IF($B1025="","",SUMIFS(dQty,dCust,$B1025,dPer,"&gt;="&amp;cyFrom,dPer,"&lt;="&amp;cyTo,dQty,"&gt;-1E+300",dFlt1,critFlt1,dFlt2,critFlt2,dFlt3,critFlt3))</f>
        <v/>
      </c>
      <c r="G1025">
        <f>IF($B1025="",0,IFERROR(IF(OR(C1025&lt;&gt;0,D1025&lt;&gt;0,E1025&lt;&gt;0,F1025&lt;&gt;0),1,0),1))</f>
        <v>0</v>
      </c>
      <c r="H1025" t="str">
        <f>IF(OR(G1025=0,E1025=0),"",C1025/E1025)</f>
        <v/>
      </c>
      <c r="I1025" t="str">
        <f>IF(OR(G1025=0,F1025=0),"",D1025/F1025)</f>
        <v/>
      </c>
      <c r="J1025" t="str">
        <f>IF(OR(H1025="",I1025=""),"",IF(H1025=0,"",I1025/H1025-1))</f>
        <v/>
      </c>
      <c r="K1025" t="str">
        <f>IF($B1025="","",IFERROR(IF(G1025=0,-2E+300,CHOOSE(sortIdx,ROUND(D1025,0),IF(J1025="",-1E+300,ROUND(-J1025,6)),IF(J1025="",-1E+300,ROUND(J1025,6)))),-1.5E+300))</f>
        <v/>
      </c>
      <c r="L1025" t="str">
        <f>IF(K1025="","",RANK(K1025,$K$2:$K$3001,0)+COUNTIF($K$2:K1025,K1025)-1)</f>
        <v/>
      </c>
    </row>
    <row r="1026">
      <c r="B1026" t="str">
        <f>IFERROR(IF(A1026="","","="&amp;SUBSTITUTE(SUBSTITUTE(SUBSTITUTE(A1026,"~","~~"),"*","~*"),"?","~?")),"")</f>
        <v/>
      </c>
      <c r="C1026" t="str">
        <f>IF($B1026="","",SUMIFS(dAmt,dCust,$B1026,dPer,"&gt;="&amp;pyFrom,dPer,"&lt;="&amp;pyTo,dAmt,"&gt;-1E+300",dFlt1,critFlt1,dFlt2,critFlt2,dFlt3,critFlt3))</f>
        <v/>
      </c>
      <c r="D1026" t="str">
        <f>IF($B1026="","",SUMIFS(dAmt,dCust,$B1026,dPer,"&gt;="&amp;cyFrom,dPer,"&lt;="&amp;cyTo,dAmt,"&gt;-1E+300",dFlt1,critFlt1,dFlt2,critFlt2,dFlt3,critFlt3))</f>
        <v/>
      </c>
      <c r="E1026" t="str">
        <f>IF($B1026="","",SUMIFS(dQty,dCust,$B1026,dPer,"&gt;="&amp;pyFrom,dPer,"&lt;="&amp;pyTo,dQty,"&gt;-1E+300",dFlt1,critFlt1,dFlt2,critFlt2,dFlt3,critFlt3))</f>
        <v/>
      </c>
      <c r="F1026" t="str">
        <f>IF($B1026="","",SUMIFS(dQty,dCust,$B1026,dPer,"&gt;="&amp;cyFrom,dPer,"&lt;="&amp;cyTo,dQty,"&gt;-1E+300",dFlt1,critFlt1,dFlt2,critFlt2,dFlt3,critFlt3))</f>
        <v/>
      </c>
      <c r="G1026">
        <f>IF($B1026="",0,IFERROR(IF(OR(C1026&lt;&gt;0,D1026&lt;&gt;0,E1026&lt;&gt;0,F1026&lt;&gt;0),1,0),1))</f>
        <v>0</v>
      </c>
      <c r="H1026" t="str">
        <f>IF(OR(G1026=0,E1026=0),"",C1026/E1026)</f>
        <v/>
      </c>
      <c r="I1026" t="str">
        <f>IF(OR(G1026=0,F1026=0),"",D1026/F1026)</f>
        <v/>
      </c>
      <c r="J1026" t="str">
        <f>IF(OR(H1026="",I1026=""),"",IF(H1026=0,"",I1026/H1026-1))</f>
        <v/>
      </c>
      <c r="K1026" t="str">
        <f>IF($B1026="","",IFERROR(IF(G1026=0,-2E+300,CHOOSE(sortIdx,ROUND(D1026,0),IF(J1026="",-1E+300,ROUND(-J1026,6)),IF(J1026="",-1E+300,ROUND(J1026,6)))),-1.5E+300))</f>
        <v/>
      </c>
      <c r="L1026" t="str">
        <f>IF(K1026="","",RANK(K1026,$K$2:$K$3001,0)+COUNTIF($K$2:K1026,K1026)-1)</f>
        <v/>
      </c>
    </row>
    <row r="1027">
      <c r="B1027" t="str">
        <f>IFERROR(IF(A1027="","","="&amp;SUBSTITUTE(SUBSTITUTE(SUBSTITUTE(A1027,"~","~~"),"*","~*"),"?","~?")),"")</f>
        <v/>
      </c>
      <c r="C1027" t="str">
        <f>IF($B1027="","",SUMIFS(dAmt,dCust,$B1027,dPer,"&gt;="&amp;pyFrom,dPer,"&lt;="&amp;pyTo,dAmt,"&gt;-1E+300",dFlt1,critFlt1,dFlt2,critFlt2,dFlt3,critFlt3))</f>
        <v/>
      </c>
      <c r="D1027" t="str">
        <f>IF($B1027="","",SUMIFS(dAmt,dCust,$B1027,dPer,"&gt;="&amp;cyFrom,dPer,"&lt;="&amp;cyTo,dAmt,"&gt;-1E+300",dFlt1,critFlt1,dFlt2,critFlt2,dFlt3,critFlt3))</f>
        <v/>
      </c>
      <c r="E1027" t="str">
        <f>IF($B1027="","",SUMIFS(dQty,dCust,$B1027,dPer,"&gt;="&amp;pyFrom,dPer,"&lt;="&amp;pyTo,dQty,"&gt;-1E+300",dFlt1,critFlt1,dFlt2,critFlt2,dFlt3,critFlt3))</f>
        <v/>
      </c>
      <c r="F1027" t="str">
        <f>IF($B1027="","",SUMIFS(dQty,dCust,$B1027,dPer,"&gt;="&amp;cyFrom,dPer,"&lt;="&amp;cyTo,dQty,"&gt;-1E+300",dFlt1,critFlt1,dFlt2,critFlt2,dFlt3,critFlt3))</f>
        <v/>
      </c>
      <c r="G1027">
        <f>IF($B1027="",0,IFERROR(IF(OR(C1027&lt;&gt;0,D1027&lt;&gt;0,E1027&lt;&gt;0,F1027&lt;&gt;0),1,0),1))</f>
        <v>0</v>
      </c>
      <c r="H1027" t="str">
        <f>IF(OR(G1027=0,E1027=0),"",C1027/E1027)</f>
        <v/>
      </c>
      <c r="I1027" t="str">
        <f>IF(OR(G1027=0,F1027=0),"",D1027/F1027)</f>
        <v/>
      </c>
      <c r="J1027" t="str">
        <f>IF(OR(H1027="",I1027=""),"",IF(H1027=0,"",I1027/H1027-1))</f>
        <v/>
      </c>
      <c r="K1027" t="str">
        <f>IF($B1027="","",IFERROR(IF(G1027=0,-2E+300,CHOOSE(sortIdx,ROUND(D1027,0),IF(J1027="",-1E+300,ROUND(-J1027,6)),IF(J1027="",-1E+300,ROUND(J1027,6)))),-1.5E+300))</f>
        <v/>
      </c>
      <c r="L1027" t="str">
        <f>IF(K1027="","",RANK(K1027,$K$2:$K$3001,0)+COUNTIF($K$2:K1027,K1027)-1)</f>
        <v/>
      </c>
    </row>
    <row r="1028">
      <c r="B1028" t="str">
        <f>IFERROR(IF(A1028="","","="&amp;SUBSTITUTE(SUBSTITUTE(SUBSTITUTE(A1028,"~","~~"),"*","~*"),"?","~?")),"")</f>
        <v/>
      </c>
      <c r="C1028" t="str">
        <f>IF($B1028="","",SUMIFS(dAmt,dCust,$B1028,dPer,"&gt;="&amp;pyFrom,dPer,"&lt;="&amp;pyTo,dAmt,"&gt;-1E+300",dFlt1,critFlt1,dFlt2,critFlt2,dFlt3,critFlt3))</f>
        <v/>
      </c>
      <c r="D1028" t="str">
        <f>IF($B1028="","",SUMIFS(dAmt,dCust,$B1028,dPer,"&gt;="&amp;cyFrom,dPer,"&lt;="&amp;cyTo,dAmt,"&gt;-1E+300",dFlt1,critFlt1,dFlt2,critFlt2,dFlt3,critFlt3))</f>
        <v/>
      </c>
      <c r="E1028" t="str">
        <f>IF($B1028="","",SUMIFS(dQty,dCust,$B1028,dPer,"&gt;="&amp;pyFrom,dPer,"&lt;="&amp;pyTo,dQty,"&gt;-1E+300",dFlt1,critFlt1,dFlt2,critFlt2,dFlt3,critFlt3))</f>
        <v/>
      </c>
      <c r="F1028" t="str">
        <f>IF($B1028="","",SUMIFS(dQty,dCust,$B1028,dPer,"&gt;="&amp;cyFrom,dPer,"&lt;="&amp;cyTo,dQty,"&gt;-1E+300",dFlt1,critFlt1,dFlt2,critFlt2,dFlt3,critFlt3))</f>
        <v/>
      </c>
      <c r="G1028">
        <f>IF($B1028="",0,IFERROR(IF(OR(C1028&lt;&gt;0,D1028&lt;&gt;0,E1028&lt;&gt;0,F1028&lt;&gt;0),1,0),1))</f>
        <v>0</v>
      </c>
      <c r="H1028" t="str">
        <f>IF(OR(G1028=0,E1028=0),"",C1028/E1028)</f>
        <v/>
      </c>
      <c r="I1028" t="str">
        <f>IF(OR(G1028=0,F1028=0),"",D1028/F1028)</f>
        <v/>
      </c>
      <c r="J1028" t="str">
        <f>IF(OR(H1028="",I1028=""),"",IF(H1028=0,"",I1028/H1028-1))</f>
        <v/>
      </c>
      <c r="K1028" t="str">
        <f>IF($B1028="","",IFERROR(IF(G1028=0,-2E+300,CHOOSE(sortIdx,ROUND(D1028,0),IF(J1028="",-1E+300,ROUND(-J1028,6)),IF(J1028="",-1E+300,ROUND(J1028,6)))),-1.5E+300))</f>
        <v/>
      </c>
      <c r="L1028" t="str">
        <f>IF(K1028="","",RANK(K1028,$K$2:$K$3001,0)+COUNTIF($K$2:K1028,K1028)-1)</f>
        <v/>
      </c>
    </row>
    <row r="1029">
      <c r="B1029" t="str">
        <f>IFERROR(IF(A1029="","","="&amp;SUBSTITUTE(SUBSTITUTE(SUBSTITUTE(A1029,"~","~~"),"*","~*"),"?","~?")),"")</f>
        <v/>
      </c>
      <c r="C1029" t="str">
        <f>IF($B1029="","",SUMIFS(dAmt,dCust,$B1029,dPer,"&gt;="&amp;pyFrom,dPer,"&lt;="&amp;pyTo,dAmt,"&gt;-1E+300",dFlt1,critFlt1,dFlt2,critFlt2,dFlt3,critFlt3))</f>
        <v/>
      </c>
      <c r="D1029" t="str">
        <f>IF($B1029="","",SUMIFS(dAmt,dCust,$B1029,dPer,"&gt;="&amp;cyFrom,dPer,"&lt;="&amp;cyTo,dAmt,"&gt;-1E+300",dFlt1,critFlt1,dFlt2,critFlt2,dFlt3,critFlt3))</f>
        <v/>
      </c>
      <c r="E1029" t="str">
        <f>IF($B1029="","",SUMIFS(dQty,dCust,$B1029,dPer,"&gt;="&amp;pyFrom,dPer,"&lt;="&amp;pyTo,dQty,"&gt;-1E+300",dFlt1,critFlt1,dFlt2,critFlt2,dFlt3,critFlt3))</f>
        <v/>
      </c>
      <c r="F1029" t="str">
        <f>IF($B1029="","",SUMIFS(dQty,dCust,$B1029,dPer,"&gt;="&amp;cyFrom,dPer,"&lt;="&amp;cyTo,dQty,"&gt;-1E+300",dFlt1,critFlt1,dFlt2,critFlt2,dFlt3,critFlt3))</f>
        <v/>
      </c>
      <c r="G1029">
        <f>IF($B1029="",0,IFERROR(IF(OR(C1029&lt;&gt;0,D1029&lt;&gt;0,E1029&lt;&gt;0,F1029&lt;&gt;0),1,0),1))</f>
        <v>0</v>
      </c>
      <c r="H1029" t="str">
        <f>IF(OR(G1029=0,E1029=0),"",C1029/E1029)</f>
        <v/>
      </c>
      <c r="I1029" t="str">
        <f>IF(OR(G1029=0,F1029=0),"",D1029/F1029)</f>
        <v/>
      </c>
      <c r="J1029" t="str">
        <f>IF(OR(H1029="",I1029=""),"",IF(H1029=0,"",I1029/H1029-1))</f>
        <v/>
      </c>
      <c r="K1029" t="str">
        <f>IF($B1029="","",IFERROR(IF(G1029=0,-2E+300,CHOOSE(sortIdx,ROUND(D1029,0),IF(J1029="",-1E+300,ROUND(-J1029,6)),IF(J1029="",-1E+300,ROUND(J1029,6)))),-1.5E+300))</f>
        <v/>
      </c>
      <c r="L1029" t="str">
        <f>IF(K1029="","",RANK(K1029,$K$2:$K$3001,0)+COUNTIF($K$2:K1029,K1029)-1)</f>
        <v/>
      </c>
    </row>
    <row r="1030">
      <c r="B1030" t="str">
        <f>IFERROR(IF(A1030="","","="&amp;SUBSTITUTE(SUBSTITUTE(SUBSTITUTE(A1030,"~","~~"),"*","~*"),"?","~?")),"")</f>
        <v/>
      </c>
      <c r="C1030" t="str">
        <f>IF($B1030="","",SUMIFS(dAmt,dCust,$B1030,dPer,"&gt;="&amp;pyFrom,dPer,"&lt;="&amp;pyTo,dAmt,"&gt;-1E+300",dFlt1,critFlt1,dFlt2,critFlt2,dFlt3,critFlt3))</f>
        <v/>
      </c>
      <c r="D1030" t="str">
        <f>IF($B1030="","",SUMIFS(dAmt,dCust,$B1030,dPer,"&gt;="&amp;cyFrom,dPer,"&lt;="&amp;cyTo,dAmt,"&gt;-1E+300",dFlt1,critFlt1,dFlt2,critFlt2,dFlt3,critFlt3))</f>
        <v/>
      </c>
      <c r="E1030" t="str">
        <f>IF($B1030="","",SUMIFS(dQty,dCust,$B1030,dPer,"&gt;="&amp;pyFrom,dPer,"&lt;="&amp;pyTo,dQty,"&gt;-1E+300",dFlt1,critFlt1,dFlt2,critFlt2,dFlt3,critFlt3))</f>
        <v/>
      </c>
      <c r="F1030" t="str">
        <f>IF($B1030="","",SUMIFS(dQty,dCust,$B1030,dPer,"&gt;="&amp;cyFrom,dPer,"&lt;="&amp;cyTo,dQty,"&gt;-1E+300",dFlt1,critFlt1,dFlt2,critFlt2,dFlt3,critFlt3))</f>
        <v/>
      </c>
      <c r="G1030">
        <f>IF($B1030="",0,IFERROR(IF(OR(C1030&lt;&gt;0,D1030&lt;&gt;0,E1030&lt;&gt;0,F1030&lt;&gt;0),1,0),1))</f>
        <v>0</v>
      </c>
      <c r="H1030" t="str">
        <f>IF(OR(G1030=0,E1030=0),"",C1030/E1030)</f>
        <v/>
      </c>
      <c r="I1030" t="str">
        <f>IF(OR(G1030=0,F1030=0),"",D1030/F1030)</f>
        <v/>
      </c>
      <c r="J1030" t="str">
        <f>IF(OR(H1030="",I1030=""),"",IF(H1030=0,"",I1030/H1030-1))</f>
        <v/>
      </c>
      <c r="K1030" t="str">
        <f>IF($B1030="","",IFERROR(IF(G1030=0,-2E+300,CHOOSE(sortIdx,ROUND(D1030,0),IF(J1030="",-1E+300,ROUND(-J1030,6)),IF(J1030="",-1E+300,ROUND(J1030,6)))),-1.5E+300))</f>
        <v/>
      </c>
      <c r="L1030" t="str">
        <f>IF(K1030="","",RANK(K1030,$K$2:$K$3001,0)+COUNTIF($K$2:K1030,K1030)-1)</f>
        <v/>
      </c>
    </row>
    <row r="1031">
      <c r="B1031" t="str">
        <f>IFERROR(IF(A1031="","","="&amp;SUBSTITUTE(SUBSTITUTE(SUBSTITUTE(A1031,"~","~~"),"*","~*"),"?","~?")),"")</f>
        <v/>
      </c>
      <c r="C1031" t="str">
        <f>IF($B1031="","",SUMIFS(dAmt,dCust,$B1031,dPer,"&gt;="&amp;pyFrom,dPer,"&lt;="&amp;pyTo,dAmt,"&gt;-1E+300",dFlt1,critFlt1,dFlt2,critFlt2,dFlt3,critFlt3))</f>
        <v/>
      </c>
      <c r="D1031" t="str">
        <f>IF($B1031="","",SUMIFS(dAmt,dCust,$B1031,dPer,"&gt;="&amp;cyFrom,dPer,"&lt;="&amp;cyTo,dAmt,"&gt;-1E+300",dFlt1,critFlt1,dFlt2,critFlt2,dFlt3,critFlt3))</f>
        <v/>
      </c>
      <c r="E1031" t="str">
        <f>IF($B1031="","",SUMIFS(dQty,dCust,$B1031,dPer,"&gt;="&amp;pyFrom,dPer,"&lt;="&amp;pyTo,dQty,"&gt;-1E+300",dFlt1,critFlt1,dFlt2,critFlt2,dFlt3,critFlt3))</f>
        <v/>
      </c>
      <c r="F1031" t="str">
        <f>IF($B1031="","",SUMIFS(dQty,dCust,$B1031,dPer,"&gt;="&amp;cyFrom,dPer,"&lt;="&amp;cyTo,dQty,"&gt;-1E+300",dFlt1,critFlt1,dFlt2,critFlt2,dFlt3,critFlt3))</f>
        <v/>
      </c>
      <c r="G1031">
        <f>IF($B1031="",0,IFERROR(IF(OR(C1031&lt;&gt;0,D1031&lt;&gt;0,E1031&lt;&gt;0,F1031&lt;&gt;0),1,0),1))</f>
        <v>0</v>
      </c>
      <c r="H1031" t="str">
        <f>IF(OR(G1031=0,E1031=0),"",C1031/E1031)</f>
        <v/>
      </c>
      <c r="I1031" t="str">
        <f>IF(OR(G1031=0,F1031=0),"",D1031/F1031)</f>
        <v/>
      </c>
      <c r="J1031" t="str">
        <f>IF(OR(H1031="",I1031=""),"",IF(H1031=0,"",I1031/H1031-1))</f>
        <v/>
      </c>
      <c r="K1031" t="str">
        <f>IF($B1031="","",IFERROR(IF(G1031=0,-2E+300,CHOOSE(sortIdx,ROUND(D1031,0),IF(J1031="",-1E+300,ROUND(-J1031,6)),IF(J1031="",-1E+300,ROUND(J1031,6)))),-1.5E+300))</f>
        <v/>
      </c>
      <c r="L1031" t="str">
        <f>IF(K1031="","",RANK(K1031,$K$2:$K$3001,0)+COUNTIF($K$2:K1031,K1031)-1)</f>
        <v/>
      </c>
    </row>
    <row r="1032">
      <c r="B1032" t="str">
        <f>IFERROR(IF(A1032="","","="&amp;SUBSTITUTE(SUBSTITUTE(SUBSTITUTE(A1032,"~","~~"),"*","~*"),"?","~?")),"")</f>
        <v/>
      </c>
      <c r="C1032" t="str">
        <f>IF($B1032="","",SUMIFS(dAmt,dCust,$B1032,dPer,"&gt;="&amp;pyFrom,dPer,"&lt;="&amp;pyTo,dAmt,"&gt;-1E+300",dFlt1,critFlt1,dFlt2,critFlt2,dFlt3,critFlt3))</f>
        <v/>
      </c>
      <c r="D1032" t="str">
        <f>IF($B1032="","",SUMIFS(dAmt,dCust,$B1032,dPer,"&gt;="&amp;cyFrom,dPer,"&lt;="&amp;cyTo,dAmt,"&gt;-1E+300",dFlt1,critFlt1,dFlt2,critFlt2,dFlt3,critFlt3))</f>
        <v/>
      </c>
      <c r="E1032" t="str">
        <f>IF($B1032="","",SUMIFS(dQty,dCust,$B1032,dPer,"&gt;="&amp;pyFrom,dPer,"&lt;="&amp;pyTo,dQty,"&gt;-1E+300",dFlt1,critFlt1,dFlt2,critFlt2,dFlt3,critFlt3))</f>
        <v/>
      </c>
      <c r="F1032" t="str">
        <f>IF($B1032="","",SUMIFS(dQty,dCust,$B1032,dPer,"&gt;="&amp;cyFrom,dPer,"&lt;="&amp;cyTo,dQty,"&gt;-1E+300",dFlt1,critFlt1,dFlt2,critFlt2,dFlt3,critFlt3))</f>
        <v/>
      </c>
      <c r="G1032">
        <f>IF($B1032="",0,IFERROR(IF(OR(C1032&lt;&gt;0,D1032&lt;&gt;0,E1032&lt;&gt;0,F1032&lt;&gt;0),1,0),1))</f>
        <v>0</v>
      </c>
      <c r="H1032" t="str">
        <f>IF(OR(G1032=0,E1032=0),"",C1032/E1032)</f>
        <v/>
      </c>
      <c r="I1032" t="str">
        <f>IF(OR(G1032=0,F1032=0),"",D1032/F1032)</f>
        <v/>
      </c>
      <c r="J1032" t="str">
        <f>IF(OR(H1032="",I1032=""),"",IF(H1032=0,"",I1032/H1032-1))</f>
        <v/>
      </c>
      <c r="K1032" t="str">
        <f>IF($B1032="","",IFERROR(IF(G1032=0,-2E+300,CHOOSE(sortIdx,ROUND(D1032,0),IF(J1032="",-1E+300,ROUND(-J1032,6)),IF(J1032="",-1E+300,ROUND(J1032,6)))),-1.5E+300))</f>
        <v/>
      </c>
      <c r="L1032" t="str">
        <f>IF(K1032="","",RANK(K1032,$K$2:$K$3001,0)+COUNTIF($K$2:K1032,K1032)-1)</f>
        <v/>
      </c>
    </row>
    <row r="1033">
      <c r="B1033" t="str">
        <f>IFERROR(IF(A1033="","","="&amp;SUBSTITUTE(SUBSTITUTE(SUBSTITUTE(A1033,"~","~~"),"*","~*"),"?","~?")),"")</f>
        <v/>
      </c>
      <c r="C1033" t="str">
        <f>IF($B1033="","",SUMIFS(dAmt,dCust,$B1033,dPer,"&gt;="&amp;pyFrom,dPer,"&lt;="&amp;pyTo,dAmt,"&gt;-1E+300",dFlt1,critFlt1,dFlt2,critFlt2,dFlt3,critFlt3))</f>
        <v/>
      </c>
      <c r="D1033" t="str">
        <f>IF($B1033="","",SUMIFS(dAmt,dCust,$B1033,dPer,"&gt;="&amp;cyFrom,dPer,"&lt;="&amp;cyTo,dAmt,"&gt;-1E+300",dFlt1,critFlt1,dFlt2,critFlt2,dFlt3,critFlt3))</f>
        <v/>
      </c>
      <c r="E1033" t="str">
        <f>IF($B1033="","",SUMIFS(dQty,dCust,$B1033,dPer,"&gt;="&amp;pyFrom,dPer,"&lt;="&amp;pyTo,dQty,"&gt;-1E+300",dFlt1,critFlt1,dFlt2,critFlt2,dFlt3,critFlt3))</f>
        <v/>
      </c>
      <c r="F1033" t="str">
        <f>IF($B1033="","",SUMIFS(dQty,dCust,$B1033,dPer,"&gt;="&amp;cyFrom,dPer,"&lt;="&amp;cyTo,dQty,"&gt;-1E+300",dFlt1,critFlt1,dFlt2,critFlt2,dFlt3,critFlt3))</f>
        <v/>
      </c>
      <c r="G1033">
        <f>IF($B1033="",0,IFERROR(IF(OR(C1033&lt;&gt;0,D1033&lt;&gt;0,E1033&lt;&gt;0,F1033&lt;&gt;0),1,0),1))</f>
        <v>0</v>
      </c>
      <c r="H1033" t="str">
        <f>IF(OR(G1033=0,E1033=0),"",C1033/E1033)</f>
        <v/>
      </c>
      <c r="I1033" t="str">
        <f>IF(OR(G1033=0,F1033=0),"",D1033/F1033)</f>
        <v/>
      </c>
      <c r="J1033" t="str">
        <f>IF(OR(H1033="",I1033=""),"",IF(H1033=0,"",I1033/H1033-1))</f>
        <v/>
      </c>
      <c r="K1033" t="str">
        <f>IF($B1033="","",IFERROR(IF(G1033=0,-2E+300,CHOOSE(sortIdx,ROUND(D1033,0),IF(J1033="",-1E+300,ROUND(-J1033,6)),IF(J1033="",-1E+300,ROUND(J1033,6)))),-1.5E+300))</f>
        <v/>
      </c>
      <c r="L1033" t="str">
        <f>IF(K1033="","",RANK(K1033,$K$2:$K$3001,0)+COUNTIF($K$2:K1033,K1033)-1)</f>
        <v/>
      </c>
    </row>
    <row r="1034">
      <c r="B1034" t="str">
        <f>IFERROR(IF(A1034="","","="&amp;SUBSTITUTE(SUBSTITUTE(SUBSTITUTE(A1034,"~","~~"),"*","~*"),"?","~?")),"")</f>
        <v/>
      </c>
      <c r="C1034" t="str">
        <f>IF($B1034="","",SUMIFS(dAmt,dCust,$B1034,dPer,"&gt;="&amp;pyFrom,dPer,"&lt;="&amp;pyTo,dAmt,"&gt;-1E+300",dFlt1,critFlt1,dFlt2,critFlt2,dFlt3,critFlt3))</f>
        <v/>
      </c>
      <c r="D1034" t="str">
        <f>IF($B1034="","",SUMIFS(dAmt,dCust,$B1034,dPer,"&gt;="&amp;cyFrom,dPer,"&lt;="&amp;cyTo,dAmt,"&gt;-1E+300",dFlt1,critFlt1,dFlt2,critFlt2,dFlt3,critFlt3))</f>
        <v/>
      </c>
      <c r="E1034" t="str">
        <f>IF($B1034="","",SUMIFS(dQty,dCust,$B1034,dPer,"&gt;="&amp;pyFrom,dPer,"&lt;="&amp;pyTo,dQty,"&gt;-1E+300",dFlt1,critFlt1,dFlt2,critFlt2,dFlt3,critFlt3))</f>
        <v/>
      </c>
      <c r="F1034" t="str">
        <f>IF($B1034="","",SUMIFS(dQty,dCust,$B1034,dPer,"&gt;="&amp;cyFrom,dPer,"&lt;="&amp;cyTo,dQty,"&gt;-1E+300",dFlt1,critFlt1,dFlt2,critFlt2,dFlt3,critFlt3))</f>
        <v/>
      </c>
      <c r="G1034">
        <f>IF($B1034="",0,IFERROR(IF(OR(C1034&lt;&gt;0,D1034&lt;&gt;0,E1034&lt;&gt;0,F1034&lt;&gt;0),1,0),1))</f>
        <v>0</v>
      </c>
      <c r="H1034" t="str">
        <f>IF(OR(G1034=0,E1034=0),"",C1034/E1034)</f>
        <v/>
      </c>
      <c r="I1034" t="str">
        <f>IF(OR(G1034=0,F1034=0),"",D1034/F1034)</f>
        <v/>
      </c>
      <c r="J1034" t="str">
        <f>IF(OR(H1034="",I1034=""),"",IF(H1034=0,"",I1034/H1034-1))</f>
        <v/>
      </c>
      <c r="K1034" t="str">
        <f>IF($B1034="","",IFERROR(IF(G1034=0,-2E+300,CHOOSE(sortIdx,ROUND(D1034,0),IF(J1034="",-1E+300,ROUND(-J1034,6)),IF(J1034="",-1E+300,ROUND(J1034,6)))),-1.5E+300))</f>
        <v/>
      </c>
      <c r="L1034" t="str">
        <f>IF(K1034="","",RANK(K1034,$K$2:$K$3001,0)+COUNTIF($K$2:K1034,K1034)-1)</f>
        <v/>
      </c>
    </row>
    <row r="1035">
      <c r="B1035" t="str">
        <f>IFERROR(IF(A1035="","","="&amp;SUBSTITUTE(SUBSTITUTE(SUBSTITUTE(A1035,"~","~~"),"*","~*"),"?","~?")),"")</f>
        <v/>
      </c>
      <c r="C1035" t="str">
        <f>IF($B1035="","",SUMIFS(dAmt,dCust,$B1035,dPer,"&gt;="&amp;pyFrom,dPer,"&lt;="&amp;pyTo,dAmt,"&gt;-1E+300",dFlt1,critFlt1,dFlt2,critFlt2,dFlt3,critFlt3))</f>
        <v/>
      </c>
      <c r="D1035" t="str">
        <f>IF($B1035="","",SUMIFS(dAmt,dCust,$B1035,dPer,"&gt;="&amp;cyFrom,dPer,"&lt;="&amp;cyTo,dAmt,"&gt;-1E+300",dFlt1,critFlt1,dFlt2,critFlt2,dFlt3,critFlt3))</f>
        <v/>
      </c>
      <c r="E1035" t="str">
        <f>IF($B1035="","",SUMIFS(dQty,dCust,$B1035,dPer,"&gt;="&amp;pyFrom,dPer,"&lt;="&amp;pyTo,dQty,"&gt;-1E+300",dFlt1,critFlt1,dFlt2,critFlt2,dFlt3,critFlt3))</f>
        <v/>
      </c>
      <c r="F1035" t="str">
        <f>IF($B1035="","",SUMIFS(dQty,dCust,$B1035,dPer,"&gt;="&amp;cyFrom,dPer,"&lt;="&amp;cyTo,dQty,"&gt;-1E+300",dFlt1,critFlt1,dFlt2,critFlt2,dFlt3,critFlt3))</f>
        <v/>
      </c>
      <c r="G1035">
        <f>IF($B1035="",0,IFERROR(IF(OR(C1035&lt;&gt;0,D1035&lt;&gt;0,E1035&lt;&gt;0,F1035&lt;&gt;0),1,0),1))</f>
        <v>0</v>
      </c>
      <c r="H1035" t="str">
        <f>IF(OR(G1035=0,E1035=0),"",C1035/E1035)</f>
        <v/>
      </c>
      <c r="I1035" t="str">
        <f>IF(OR(G1035=0,F1035=0),"",D1035/F1035)</f>
        <v/>
      </c>
      <c r="J1035" t="str">
        <f>IF(OR(H1035="",I1035=""),"",IF(H1035=0,"",I1035/H1035-1))</f>
        <v/>
      </c>
      <c r="K1035" t="str">
        <f>IF($B1035="","",IFERROR(IF(G1035=0,-2E+300,CHOOSE(sortIdx,ROUND(D1035,0),IF(J1035="",-1E+300,ROUND(-J1035,6)),IF(J1035="",-1E+300,ROUND(J1035,6)))),-1.5E+300))</f>
        <v/>
      </c>
      <c r="L1035" t="str">
        <f>IF(K1035="","",RANK(K1035,$K$2:$K$3001,0)+COUNTIF($K$2:K1035,K1035)-1)</f>
        <v/>
      </c>
    </row>
    <row r="1036">
      <c r="B1036" t="str">
        <f>IFERROR(IF(A1036="","","="&amp;SUBSTITUTE(SUBSTITUTE(SUBSTITUTE(A1036,"~","~~"),"*","~*"),"?","~?")),"")</f>
        <v/>
      </c>
      <c r="C1036" t="str">
        <f>IF($B1036="","",SUMIFS(dAmt,dCust,$B1036,dPer,"&gt;="&amp;pyFrom,dPer,"&lt;="&amp;pyTo,dAmt,"&gt;-1E+300",dFlt1,critFlt1,dFlt2,critFlt2,dFlt3,critFlt3))</f>
        <v/>
      </c>
      <c r="D1036" t="str">
        <f>IF($B1036="","",SUMIFS(dAmt,dCust,$B1036,dPer,"&gt;="&amp;cyFrom,dPer,"&lt;="&amp;cyTo,dAmt,"&gt;-1E+300",dFlt1,critFlt1,dFlt2,critFlt2,dFlt3,critFlt3))</f>
        <v/>
      </c>
      <c r="E1036" t="str">
        <f>IF($B1036="","",SUMIFS(dQty,dCust,$B1036,dPer,"&gt;="&amp;pyFrom,dPer,"&lt;="&amp;pyTo,dQty,"&gt;-1E+300",dFlt1,critFlt1,dFlt2,critFlt2,dFlt3,critFlt3))</f>
        <v/>
      </c>
      <c r="F1036" t="str">
        <f>IF($B1036="","",SUMIFS(dQty,dCust,$B1036,dPer,"&gt;="&amp;cyFrom,dPer,"&lt;="&amp;cyTo,dQty,"&gt;-1E+300",dFlt1,critFlt1,dFlt2,critFlt2,dFlt3,critFlt3))</f>
        <v/>
      </c>
      <c r="G1036">
        <f>IF($B1036="",0,IFERROR(IF(OR(C1036&lt;&gt;0,D1036&lt;&gt;0,E1036&lt;&gt;0,F1036&lt;&gt;0),1,0),1))</f>
        <v>0</v>
      </c>
      <c r="H1036" t="str">
        <f>IF(OR(G1036=0,E1036=0),"",C1036/E1036)</f>
        <v/>
      </c>
      <c r="I1036" t="str">
        <f>IF(OR(G1036=0,F1036=0),"",D1036/F1036)</f>
        <v/>
      </c>
      <c r="J1036" t="str">
        <f>IF(OR(H1036="",I1036=""),"",IF(H1036=0,"",I1036/H1036-1))</f>
        <v/>
      </c>
      <c r="K1036" t="str">
        <f>IF($B1036="","",IFERROR(IF(G1036=0,-2E+300,CHOOSE(sortIdx,ROUND(D1036,0),IF(J1036="",-1E+300,ROUND(-J1036,6)),IF(J1036="",-1E+300,ROUND(J1036,6)))),-1.5E+300))</f>
        <v/>
      </c>
      <c r="L1036" t="str">
        <f>IF(K1036="","",RANK(K1036,$K$2:$K$3001,0)+COUNTIF($K$2:K1036,K1036)-1)</f>
        <v/>
      </c>
    </row>
    <row r="1037">
      <c r="B1037" t="str">
        <f>IFERROR(IF(A1037="","","="&amp;SUBSTITUTE(SUBSTITUTE(SUBSTITUTE(A1037,"~","~~"),"*","~*"),"?","~?")),"")</f>
        <v/>
      </c>
      <c r="C1037" t="str">
        <f>IF($B1037="","",SUMIFS(dAmt,dCust,$B1037,dPer,"&gt;="&amp;pyFrom,dPer,"&lt;="&amp;pyTo,dAmt,"&gt;-1E+300",dFlt1,critFlt1,dFlt2,critFlt2,dFlt3,critFlt3))</f>
        <v/>
      </c>
      <c r="D1037" t="str">
        <f>IF($B1037="","",SUMIFS(dAmt,dCust,$B1037,dPer,"&gt;="&amp;cyFrom,dPer,"&lt;="&amp;cyTo,dAmt,"&gt;-1E+300",dFlt1,critFlt1,dFlt2,critFlt2,dFlt3,critFlt3))</f>
        <v/>
      </c>
      <c r="E1037" t="str">
        <f>IF($B1037="","",SUMIFS(dQty,dCust,$B1037,dPer,"&gt;="&amp;pyFrom,dPer,"&lt;="&amp;pyTo,dQty,"&gt;-1E+300",dFlt1,critFlt1,dFlt2,critFlt2,dFlt3,critFlt3))</f>
        <v/>
      </c>
      <c r="F1037" t="str">
        <f>IF($B1037="","",SUMIFS(dQty,dCust,$B1037,dPer,"&gt;="&amp;cyFrom,dPer,"&lt;="&amp;cyTo,dQty,"&gt;-1E+300",dFlt1,critFlt1,dFlt2,critFlt2,dFlt3,critFlt3))</f>
        <v/>
      </c>
      <c r="G1037">
        <f>IF($B1037="",0,IFERROR(IF(OR(C1037&lt;&gt;0,D1037&lt;&gt;0,E1037&lt;&gt;0,F1037&lt;&gt;0),1,0),1))</f>
        <v>0</v>
      </c>
      <c r="H1037" t="str">
        <f>IF(OR(G1037=0,E1037=0),"",C1037/E1037)</f>
        <v/>
      </c>
      <c r="I1037" t="str">
        <f>IF(OR(G1037=0,F1037=0),"",D1037/F1037)</f>
        <v/>
      </c>
      <c r="J1037" t="str">
        <f>IF(OR(H1037="",I1037=""),"",IF(H1037=0,"",I1037/H1037-1))</f>
        <v/>
      </c>
      <c r="K1037" t="str">
        <f>IF($B1037="","",IFERROR(IF(G1037=0,-2E+300,CHOOSE(sortIdx,ROUND(D1037,0),IF(J1037="",-1E+300,ROUND(-J1037,6)),IF(J1037="",-1E+300,ROUND(J1037,6)))),-1.5E+300))</f>
        <v/>
      </c>
      <c r="L1037" t="str">
        <f>IF(K1037="","",RANK(K1037,$K$2:$K$3001,0)+COUNTIF($K$2:K1037,K1037)-1)</f>
        <v/>
      </c>
    </row>
    <row r="1038">
      <c r="B1038" t="str">
        <f>IFERROR(IF(A1038="","","="&amp;SUBSTITUTE(SUBSTITUTE(SUBSTITUTE(A1038,"~","~~"),"*","~*"),"?","~?")),"")</f>
        <v/>
      </c>
      <c r="C1038" t="str">
        <f>IF($B1038="","",SUMIFS(dAmt,dCust,$B1038,dPer,"&gt;="&amp;pyFrom,dPer,"&lt;="&amp;pyTo,dAmt,"&gt;-1E+300",dFlt1,critFlt1,dFlt2,critFlt2,dFlt3,critFlt3))</f>
        <v/>
      </c>
      <c r="D1038" t="str">
        <f>IF($B1038="","",SUMIFS(dAmt,dCust,$B1038,dPer,"&gt;="&amp;cyFrom,dPer,"&lt;="&amp;cyTo,dAmt,"&gt;-1E+300",dFlt1,critFlt1,dFlt2,critFlt2,dFlt3,critFlt3))</f>
        <v/>
      </c>
      <c r="E1038" t="str">
        <f>IF($B1038="","",SUMIFS(dQty,dCust,$B1038,dPer,"&gt;="&amp;pyFrom,dPer,"&lt;="&amp;pyTo,dQty,"&gt;-1E+300",dFlt1,critFlt1,dFlt2,critFlt2,dFlt3,critFlt3))</f>
        <v/>
      </c>
      <c r="F1038" t="str">
        <f>IF($B1038="","",SUMIFS(dQty,dCust,$B1038,dPer,"&gt;="&amp;cyFrom,dPer,"&lt;="&amp;cyTo,dQty,"&gt;-1E+300",dFlt1,critFlt1,dFlt2,critFlt2,dFlt3,critFlt3))</f>
        <v/>
      </c>
      <c r="G1038">
        <f>IF($B1038="",0,IFERROR(IF(OR(C1038&lt;&gt;0,D1038&lt;&gt;0,E1038&lt;&gt;0,F1038&lt;&gt;0),1,0),1))</f>
        <v>0</v>
      </c>
      <c r="H1038" t="str">
        <f>IF(OR(G1038=0,E1038=0),"",C1038/E1038)</f>
        <v/>
      </c>
      <c r="I1038" t="str">
        <f>IF(OR(G1038=0,F1038=0),"",D1038/F1038)</f>
        <v/>
      </c>
      <c r="J1038" t="str">
        <f>IF(OR(H1038="",I1038=""),"",IF(H1038=0,"",I1038/H1038-1))</f>
        <v/>
      </c>
      <c r="K1038" t="str">
        <f>IF($B1038="","",IFERROR(IF(G1038=0,-2E+300,CHOOSE(sortIdx,ROUND(D1038,0),IF(J1038="",-1E+300,ROUND(-J1038,6)),IF(J1038="",-1E+300,ROUND(J1038,6)))),-1.5E+300))</f>
        <v/>
      </c>
      <c r="L1038" t="str">
        <f>IF(K1038="","",RANK(K1038,$K$2:$K$3001,0)+COUNTIF($K$2:K1038,K1038)-1)</f>
        <v/>
      </c>
    </row>
    <row r="1039">
      <c r="B1039" t="str">
        <f>IFERROR(IF(A1039="","","="&amp;SUBSTITUTE(SUBSTITUTE(SUBSTITUTE(A1039,"~","~~"),"*","~*"),"?","~?")),"")</f>
        <v/>
      </c>
      <c r="C1039" t="str">
        <f>IF($B1039="","",SUMIFS(dAmt,dCust,$B1039,dPer,"&gt;="&amp;pyFrom,dPer,"&lt;="&amp;pyTo,dAmt,"&gt;-1E+300",dFlt1,critFlt1,dFlt2,critFlt2,dFlt3,critFlt3))</f>
        <v/>
      </c>
      <c r="D1039" t="str">
        <f>IF($B1039="","",SUMIFS(dAmt,dCust,$B1039,dPer,"&gt;="&amp;cyFrom,dPer,"&lt;="&amp;cyTo,dAmt,"&gt;-1E+300",dFlt1,critFlt1,dFlt2,critFlt2,dFlt3,critFlt3))</f>
        <v/>
      </c>
      <c r="E1039" t="str">
        <f>IF($B1039="","",SUMIFS(dQty,dCust,$B1039,dPer,"&gt;="&amp;pyFrom,dPer,"&lt;="&amp;pyTo,dQty,"&gt;-1E+300",dFlt1,critFlt1,dFlt2,critFlt2,dFlt3,critFlt3))</f>
        <v/>
      </c>
      <c r="F1039" t="str">
        <f>IF($B1039="","",SUMIFS(dQty,dCust,$B1039,dPer,"&gt;="&amp;cyFrom,dPer,"&lt;="&amp;cyTo,dQty,"&gt;-1E+300",dFlt1,critFlt1,dFlt2,critFlt2,dFlt3,critFlt3))</f>
        <v/>
      </c>
      <c r="G1039">
        <f>IF($B1039="",0,IFERROR(IF(OR(C1039&lt;&gt;0,D1039&lt;&gt;0,E1039&lt;&gt;0,F1039&lt;&gt;0),1,0),1))</f>
        <v>0</v>
      </c>
      <c r="H1039" t="str">
        <f>IF(OR(G1039=0,E1039=0),"",C1039/E1039)</f>
        <v/>
      </c>
      <c r="I1039" t="str">
        <f>IF(OR(G1039=0,F1039=0),"",D1039/F1039)</f>
        <v/>
      </c>
      <c r="J1039" t="str">
        <f>IF(OR(H1039="",I1039=""),"",IF(H1039=0,"",I1039/H1039-1))</f>
        <v/>
      </c>
      <c r="K1039" t="str">
        <f>IF($B1039="","",IFERROR(IF(G1039=0,-2E+300,CHOOSE(sortIdx,ROUND(D1039,0),IF(J1039="",-1E+300,ROUND(-J1039,6)),IF(J1039="",-1E+300,ROUND(J1039,6)))),-1.5E+300))</f>
        <v/>
      </c>
      <c r="L1039" t="str">
        <f>IF(K1039="","",RANK(K1039,$K$2:$K$3001,0)+COUNTIF($K$2:K1039,K1039)-1)</f>
        <v/>
      </c>
    </row>
    <row r="1040">
      <c r="B1040" t="str">
        <f>IFERROR(IF(A1040="","","="&amp;SUBSTITUTE(SUBSTITUTE(SUBSTITUTE(A1040,"~","~~"),"*","~*"),"?","~?")),"")</f>
        <v/>
      </c>
      <c r="C1040" t="str">
        <f>IF($B1040="","",SUMIFS(dAmt,dCust,$B1040,dPer,"&gt;="&amp;pyFrom,dPer,"&lt;="&amp;pyTo,dAmt,"&gt;-1E+300",dFlt1,critFlt1,dFlt2,critFlt2,dFlt3,critFlt3))</f>
        <v/>
      </c>
      <c r="D1040" t="str">
        <f>IF($B1040="","",SUMIFS(dAmt,dCust,$B1040,dPer,"&gt;="&amp;cyFrom,dPer,"&lt;="&amp;cyTo,dAmt,"&gt;-1E+300",dFlt1,critFlt1,dFlt2,critFlt2,dFlt3,critFlt3))</f>
        <v/>
      </c>
      <c r="E1040" t="str">
        <f>IF($B1040="","",SUMIFS(dQty,dCust,$B1040,dPer,"&gt;="&amp;pyFrom,dPer,"&lt;="&amp;pyTo,dQty,"&gt;-1E+300",dFlt1,critFlt1,dFlt2,critFlt2,dFlt3,critFlt3))</f>
        <v/>
      </c>
      <c r="F1040" t="str">
        <f>IF($B1040="","",SUMIFS(dQty,dCust,$B1040,dPer,"&gt;="&amp;cyFrom,dPer,"&lt;="&amp;cyTo,dQty,"&gt;-1E+300",dFlt1,critFlt1,dFlt2,critFlt2,dFlt3,critFlt3))</f>
        <v/>
      </c>
      <c r="G1040">
        <f>IF($B1040="",0,IFERROR(IF(OR(C1040&lt;&gt;0,D1040&lt;&gt;0,E1040&lt;&gt;0,F1040&lt;&gt;0),1,0),1))</f>
        <v>0</v>
      </c>
      <c r="H1040" t="str">
        <f>IF(OR(G1040=0,E1040=0),"",C1040/E1040)</f>
        <v/>
      </c>
      <c r="I1040" t="str">
        <f>IF(OR(G1040=0,F1040=0),"",D1040/F1040)</f>
        <v/>
      </c>
      <c r="J1040" t="str">
        <f>IF(OR(H1040="",I1040=""),"",IF(H1040=0,"",I1040/H1040-1))</f>
        <v/>
      </c>
      <c r="K1040" t="str">
        <f>IF($B1040="","",IFERROR(IF(G1040=0,-2E+300,CHOOSE(sortIdx,ROUND(D1040,0),IF(J1040="",-1E+300,ROUND(-J1040,6)),IF(J1040="",-1E+300,ROUND(J1040,6)))),-1.5E+300))</f>
        <v/>
      </c>
      <c r="L1040" t="str">
        <f>IF(K1040="","",RANK(K1040,$K$2:$K$3001,0)+COUNTIF($K$2:K1040,K1040)-1)</f>
        <v/>
      </c>
    </row>
    <row r="1041">
      <c r="B1041" t="str">
        <f>IFERROR(IF(A1041="","","="&amp;SUBSTITUTE(SUBSTITUTE(SUBSTITUTE(A1041,"~","~~"),"*","~*"),"?","~?")),"")</f>
        <v/>
      </c>
      <c r="C1041" t="str">
        <f>IF($B1041="","",SUMIFS(dAmt,dCust,$B1041,dPer,"&gt;="&amp;pyFrom,dPer,"&lt;="&amp;pyTo,dAmt,"&gt;-1E+300",dFlt1,critFlt1,dFlt2,critFlt2,dFlt3,critFlt3))</f>
        <v/>
      </c>
      <c r="D1041" t="str">
        <f>IF($B1041="","",SUMIFS(dAmt,dCust,$B1041,dPer,"&gt;="&amp;cyFrom,dPer,"&lt;="&amp;cyTo,dAmt,"&gt;-1E+300",dFlt1,critFlt1,dFlt2,critFlt2,dFlt3,critFlt3))</f>
        <v/>
      </c>
      <c r="E1041" t="str">
        <f>IF($B1041="","",SUMIFS(dQty,dCust,$B1041,dPer,"&gt;="&amp;pyFrom,dPer,"&lt;="&amp;pyTo,dQty,"&gt;-1E+300",dFlt1,critFlt1,dFlt2,critFlt2,dFlt3,critFlt3))</f>
        <v/>
      </c>
      <c r="F1041" t="str">
        <f>IF($B1041="","",SUMIFS(dQty,dCust,$B1041,dPer,"&gt;="&amp;cyFrom,dPer,"&lt;="&amp;cyTo,dQty,"&gt;-1E+300",dFlt1,critFlt1,dFlt2,critFlt2,dFlt3,critFlt3))</f>
        <v/>
      </c>
      <c r="G1041">
        <f>IF($B1041="",0,IFERROR(IF(OR(C1041&lt;&gt;0,D1041&lt;&gt;0,E1041&lt;&gt;0,F1041&lt;&gt;0),1,0),1))</f>
        <v>0</v>
      </c>
      <c r="H1041" t="str">
        <f>IF(OR(G1041=0,E1041=0),"",C1041/E1041)</f>
        <v/>
      </c>
      <c r="I1041" t="str">
        <f>IF(OR(G1041=0,F1041=0),"",D1041/F1041)</f>
        <v/>
      </c>
      <c r="J1041" t="str">
        <f>IF(OR(H1041="",I1041=""),"",IF(H1041=0,"",I1041/H1041-1))</f>
        <v/>
      </c>
      <c r="K1041" t="str">
        <f>IF($B1041="","",IFERROR(IF(G1041=0,-2E+300,CHOOSE(sortIdx,ROUND(D1041,0),IF(J1041="",-1E+300,ROUND(-J1041,6)),IF(J1041="",-1E+300,ROUND(J1041,6)))),-1.5E+300))</f>
        <v/>
      </c>
      <c r="L1041" t="str">
        <f>IF(K1041="","",RANK(K1041,$K$2:$K$3001,0)+COUNTIF($K$2:K1041,K1041)-1)</f>
        <v/>
      </c>
    </row>
    <row r="1042">
      <c r="B1042" t="str">
        <f>IFERROR(IF(A1042="","","="&amp;SUBSTITUTE(SUBSTITUTE(SUBSTITUTE(A1042,"~","~~"),"*","~*"),"?","~?")),"")</f>
        <v/>
      </c>
      <c r="C1042" t="str">
        <f>IF($B1042="","",SUMIFS(dAmt,dCust,$B1042,dPer,"&gt;="&amp;pyFrom,dPer,"&lt;="&amp;pyTo,dAmt,"&gt;-1E+300",dFlt1,critFlt1,dFlt2,critFlt2,dFlt3,critFlt3))</f>
        <v/>
      </c>
      <c r="D1042" t="str">
        <f>IF($B1042="","",SUMIFS(dAmt,dCust,$B1042,dPer,"&gt;="&amp;cyFrom,dPer,"&lt;="&amp;cyTo,dAmt,"&gt;-1E+300",dFlt1,critFlt1,dFlt2,critFlt2,dFlt3,critFlt3))</f>
        <v/>
      </c>
      <c r="E1042" t="str">
        <f>IF($B1042="","",SUMIFS(dQty,dCust,$B1042,dPer,"&gt;="&amp;pyFrom,dPer,"&lt;="&amp;pyTo,dQty,"&gt;-1E+300",dFlt1,critFlt1,dFlt2,critFlt2,dFlt3,critFlt3))</f>
        <v/>
      </c>
      <c r="F1042" t="str">
        <f>IF($B1042="","",SUMIFS(dQty,dCust,$B1042,dPer,"&gt;="&amp;cyFrom,dPer,"&lt;="&amp;cyTo,dQty,"&gt;-1E+300",dFlt1,critFlt1,dFlt2,critFlt2,dFlt3,critFlt3))</f>
        <v/>
      </c>
      <c r="G1042">
        <f>IF($B1042="",0,IFERROR(IF(OR(C1042&lt;&gt;0,D1042&lt;&gt;0,E1042&lt;&gt;0,F1042&lt;&gt;0),1,0),1))</f>
        <v>0</v>
      </c>
      <c r="H1042" t="str">
        <f>IF(OR(G1042=0,E1042=0),"",C1042/E1042)</f>
        <v/>
      </c>
      <c r="I1042" t="str">
        <f>IF(OR(G1042=0,F1042=0),"",D1042/F1042)</f>
        <v/>
      </c>
      <c r="J1042" t="str">
        <f>IF(OR(H1042="",I1042=""),"",IF(H1042=0,"",I1042/H1042-1))</f>
        <v/>
      </c>
      <c r="K1042" t="str">
        <f>IF($B1042="","",IFERROR(IF(G1042=0,-2E+300,CHOOSE(sortIdx,ROUND(D1042,0),IF(J1042="",-1E+300,ROUND(-J1042,6)),IF(J1042="",-1E+300,ROUND(J1042,6)))),-1.5E+300))</f>
        <v/>
      </c>
      <c r="L1042" t="str">
        <f>IF(K1042="","",RANK(K1042,$K$2:$K$3001,0)+COUNTIF($K$2:K1042,K1042)-1)</f>
        <v/>
      </c>
    </row>
    <row r="1043">
      <c r="B1043" t="str">
        <f>IFERROR(IF(A1043="","","="&amp;SUBSTITUTE(SUBSTITUTE(SUBSTITUTE(A1043,"~","~~"),"*","~*"),"?","~?")),"")</f>
        <v/>
      </c>
      <c r="C1043" t="str">
        <f>IF($B1043="","",SUMIFS(dAmt,dCust,$B1043,dPer,"&gt;="&amp;pyFrom,dPer,"&lt;="&amp;pyTo,dAmt,"&gt;-1E+300",dFlt1,critFlt1,dFlt2,critFlt2,dFlt3,critFlt3))</f>
        <v/>
      </c>
      <c r="D1043" t="str">
        <f>IF($B1043="","",SUMIFS(dAmt,dCust,$B1043,dPer,"&gt;="&amp;cyFrom,dPer,"&lt;="&amp;cyTo,dAmt,"&gt;-1E+300",dFlt1,critFlt1,dFlt2,critFlt2,dFlt3,critFlt3))</f>
        <v/>
      </c>
      <c r="E1043" t="str">
        <f>IF($B1043="","",SUMIFS(dQty,dCust,$B1043,dPer,"&gt;="&amp;pyFrom,dPer,"&lt;="&amp;pyTo,dQty,"&gt;-1E+300",dFlt1,critFlt1,dFlt2,critFlt2,dFlt3,critFlt3))</f>
        <v/>
      </c>
      <c r="F1043" t="str">
        <f>IF($B1043="","",SUMIFS(dQty,dCust,$B1043,dPer,"&gt;="&amp;cyFrom,dPer,"&lt;="&amp;cyTo,dQty,"&gt;-1E+300",dFlt1,critFlt1,dFlt2,critFlt2,dFlt3,critFlt3))</f>
        <v/>
      </c>
      <c r="G1043">
        <f>IF($B1043="",0,IFERROR(IF(OR(C1043&lt;&gt;0,D1043&lt;&gt;0,E1043&lt;&gt;0,F1043&lt;&gt;0),1,0),1))</f>
        <v>0</v>
      </c>
      <c r="H1043" t="str">
        <f>IF(OR(G1043=0,E1043=0),"",C1043/E1043)</f>
        <v/>
      </c>
      <c r="I1043" t="str">
        <f>IF(OR(G1043=0,F1043=0),"",D1043/F1043)</f>
        <v/>
      </c>
      <c r="J1043" t="str">
        <f>IF(OR(H1043="",I1043=""),"",IF(H1043=0,"",I1043/H1043-1))</f>
        <v/>
      </c>
      <c r="K1043" t="str">
        <f>IF($B1043="","",IFERROR(IF(G1043=0,-2E+300,CHOOSE(sortIdx,ROUND(D1043,0),IF(J1043="",-1E+300,ROUND(-J1043,6)),IF(J1043="",-1E+300,ROUND(J1043,6)))),-1.5E+300))</f>
        <v/>
      </c>
      <c r="L1043" t="str">
        <f>IF(K1043="","",RANK(K1043,$K$2:$K$3001,0)+COUNTIF($K$2:K1043,K1043)-1)</f>
        <v/>
      </c>
    </row>
    <row r="1044">
      <c r="B1044" t="str">
        <f>IFERROR(IF(A1044="","","="&amp;SUBSTITUTE(SUBSTITUTE(SUBSTITUTE(A1044,"~","~~"),"*","~*"),"?","~?")),"")</f>
        <v/>
      </c>
      <c r="C1044" t="str">
        <f>IF($B1044="","",SUMIFS(dAmt,dCust,$B1044,dPer,"&gt;="&amp;pyFrom,dPer,"&lt;="&amp;pyTo,dAmt,"&gt;-1E+300",dFlt1,critFlt1,dFlt2,critFlt2,dFlt3,critFlt3))</f>
        <v/>
      </c>
      <c r="D1044" t="str">
        <f>IF($B1044="","",SUMIFS(dAmt,dCust,$B1044,dPer,"&gt;="&amp;cyFrom,dPer,"&lt;="&amp;cyTo,dAmt,"&gt;-1E+300",dFlt1,critFlt1,dFlt2,critFlt2,dFlt3,critFlt3))</f>
        <v/>
      </c>
      <c r="E1044" t="str">
        <f>IF($B1044="","",SUMIFS(dQty,dCust,$B1044,dPer,"&gt;="&amp;pyFrom,dPer,"&lt;="&amp;pyTo,dQty,"&gt;-1E+300",dFlt1,critFlt1,dFlt2,critFlt2,dFlt3,critFlt3))</f>
        <v/>
      </c>
      <c r="F1044" t="str">
        <f>IF($B1044="","",SUMIFS(dQty,dCust,$B1044,dPer,"&gt;="&amp;cyFrom,dPer,"&lt;="&amp;cyTo,dQty,"&gt;-1E+300",dFlt1,critFlt1,dFlt2,critFlt2,dFlt3,critFlt3))</f>
        <v/>
      </c>
      <c r="G1044">
        <f>IF($B1044="",0,IFERROR(IF(OR(C1044&lt;&gt;0,D1044&lt;&gt;0,E1044&lt;&gt;0,F1044&lt;&gt;0),1,0),1))</f>
        <v>0</v>
      </c>
      <c r="H1044" t="str">
        <f>IF(OR(G1044=0,E1044=0),"",C1044/E1044)</f>
        <v/>
      </c>
      <c r="I1044" t="str">
        <f>IF(OR(G1044=0,F1044=0),"",D1044/F1044)</f>
        <v/>
      </c>
      <c r="J1044" t="str">
        <f>IF(OR(H1044="",I1044=""),"",IF(H1044=0,"",I1044/H1044-1))</f>
        <v/>
      </c>
      <c r="K1044" t="str">
        <f>IF($B1044="","",IFERROR(IF(G1044=0,-2E+300,CHOOSE(sortIdx,ROUND(D1044,0),IF(J1044="",-1E+300,ROUND(-J1044,6)),IF(J1044="",-1E+300,ROUND(J1044,6)))),-1.5E+300))</f>
        <v/>
      </c>
      <c r="L1044" t="str">
        <f>IF(K1044="","",RANK(K1044,$K$2:$K$3001,0)+COUNTIF($K$2:K1044,K1044)-1)</f>
        <v/>
      </c>
    </row>
    <row r="1045">
      <c r="B1045" t="str">
        <f>IFERROR(IF(A1045="","","="&amp;SUBSTITUTE(SUBSTITUTE(SUBSTITUTE(A1045,"~","~~"),"*","~*"),"?","~?")),"")</f>
        <v/>
      </c>
      <c r="C1045" t="str">
        <f>IF($B1045="","",SUMIFS(dAmt,dCust,$B1045,dPer,"&gt;="&amp;pyFrom,dPer,"&lt;="&amp;pyTo,dAmt,"&gt;-1E+300",dFlt1,critFlt1,dFlt2,critFlt2,dFlt3,critFlt3))</f>
        <v/>
      </c>
      <c r="D1045" t="str">
        <f>IF($B1045="","",SUMIFS(dAmt,dCust,$B1045,dPer,"&gt;="&amp;cyFrom,dPer,"&lt;="&amp;cyTo,dAmt,"&gt;-1E+300",dFlt1,critFlt1,dFlt2,critFlt2,dFlt3,critFlt3))</f>
        <v/>
      </c>
      <c r="E1045" t="str">
        <f>IF($B1045="","",SUMIFS(dQty,dCust,$B1045,dPer,"&gt;="&amp;pyFrom,dPer,"&lt;="&amp;pyTo,dQty,"&gt;-1E+300",dFlt1,critFlt1,dFlt2,critFlt2,dFlt3,critFlt3))</f>
        <v/>
      </c>
      <c r="F1045" t="str">
        <f>IF($B1045="","",SUMIFS(dQty,dCust,$B1045,dPer,"&gt;="&amp;cyFrom,dPer,"&lt;="&amp;cyTo,dQty,"&gt;-1E+300",dFlt1,critFlt1,dFlt2,critFlt2,dFlt3,critFlt3))</f>
        <v/>
      </c>
      <c r="G1045">
        <f>IF($B1045="",0,IFERROR(IF(OR(C1045&lt;&gt;0,D1045&lt;&gt;0,E1045&lt;&gt;0,F1045&lt;&gt;0),1,0),1))</f>
        <v>0</v>
      </c>
      <c r="H1045" t="str">
        <f>IF(OR(G1045=0,E1045=0),"",C1045/E1045)</f>
        <v/>
      </c>
      <c r="I1045" t="str">
        <f>IF(OR(G1045=0,F1045=0),"",D1045/F1045)</f>
        <v/>
      </c>
      <c r="J1045" t="str">
        <f>IF(OR(H1045="",I1045=""),"",IF(H1045=0,"",I1045/H1045-1))</f>
        <v/>
      </c>
      <c r="K1045" t="str">
        <f>IF($B1045="","",IFERROR(IF(G1045=0,-2E+300,CHOOSE(sortIdx,ROUND(D1045,0),IF(J1045="",-1E+300,ROUND(-J1045,6)),IF(J1045="",-1E+300,ROUND(J1045,6)))),-1.5E+300))</f>
        <v/>
      </c>
      <c r="L1045" t="str">
        <f>IF(K1045="","",RANK(K1045,$K$2:$K$3001,0)+COUNTIF($K$2:K1045,K1045)-1)</f>
        <v/>
      </c>
    </row>
    <row r="1046">
      <c r="B1046" t="str">
        <f>IFERROR(IF(A1046="","","="&amp;SUBSTITUTE(SUBSTITUTE(SUBSTITUTE(A1046,"~","~~"),"*","~*"),"?","~?")),"")</f>
        <v/>
      </c>
      <c r="C1046" t="str">
        <f>IF($B1046="","",SUMIFS(dAmt,dCust,$B1046,dPer,"&gt;="&amp;pyFrom,dPer,"&lt;="&amp;pyTo,dAmt,"&gt;-1E+300",dFlt1,critFlt1,dFlt2,critFlt2,dFlt3,critFlt3))</f>
        <v/>
      </c>
      <c r="D1046" t="str">
        <f>IF($B1046="","",SUMIFS(dAmt,dCust,$B1046,dPer,"&gt;="&amp;cyFrom,dPer,"&lt;="&amp;cyTo,dAmt,"&gt;-1E+300",dFlt1,critFlt1,dFlt2,critFlt2,dFlt3,critFlt3))</f>
        <v/>
      </c>
      <c r="E1046" t="str">
        <f>IF($B1046="","",SUMIFS(dQty,dCust,$B1046,dPer,"&gt;="&amp;pyFrom,dPer,"&lt;="&amp;pyTo,dQty,"&gt;-1E+300",dFlt1,critFlt1,dFlt2,critFlt2,dFlt3,critFlt3))</f>
        <v/>
      </c>
      <c r="F1046" t="str">
        <f>IF($B1046="","",SUMIFS(dQty,dCust,$B1046,dPer,"&gt;="&amp;cyFrom,dPer,"&lt;="&amp;cyTo,dQty,"&gt;-1E+300",dFlt1,critFlt1,dFlt2,critFlt2,dFlt3,critFlt3))</f>
        <v/>
      </c>
      <c r="G1046">
        <f>IF($B1046="",0,IFERROR(IF(OR(C1046&lt;&gt;0,D1046&lt;&gt;0,E1046&lt;&gt;0,F1046&lt;&gt;0),1,0),1))</f>
        <v>0</v>
      </c>
      <c r="H1046" t="str">
        <f>IF(OR(G1046=0,E1046=0),"",C1046/E1046)</f>
        <v/>
      </c>
      <c r="I1046" t="str">
        <f>IF(OR(G1046=0,F1046=0),"",D1046/F1046)</f>
        <v/>
      </c>
      <c r="J1046" t="str">
        <f>IF(OR(H1046="",I1046=""),"",IF(H1046=0,"",I1046/H1046-1))</f>
        <v/>
      </c>
      <c r="K1046" t="str">
        <f>IF($B1046="","",IFERROR(IF(G1046=0,-2E+300,CHOOSE(sortIdx,ROUND(D1046,0),IF(J1046="",-1E+300,ROUND(-J1046,6)),IF(J1046="",-1E+300,ROUND(J1046,6)))),-1.5E+300))</f>
        <v/>
      </c>
      <c r="L1046" t="str">
        <f>IF(K1046="","",RANK(K1046,$K$2:$K$3001,0)+COUNTIF($K$2:K1046,K1046)-1)</f>
        <v/>
      </c>
    </row>
    <row r="1047">
      <c r="B1047" t="str">
        <f>IFERROR(IF(A1047="","","="&amp;SUBSTITUTE(SUBSTITUTE(SUBSTITUTE(A1047,"~","~~"),"*","~*"),"?","~?")),"")</f>
        <v/>
      </c>
      <c r="C1047" t="str">
        <f>IF($B1047="","",SUMIFS(dAmt,dCust,$B1047,dPer,"&gt;="&amp;pyFrom,dPer,"&lt;="&amp;pyTo,dAmt,"&gt;-1E+300",dFlt1,critFlt1,dFlt2,critFlt2,dFlt3,critFlt3))</f>
        <v/>
      </c>
      <c r="D1047" t="str">
        <f>IF($B1047="","",SUMIFS(dAmt,dCust,$B1047,dPer,"&gt;="&amp;cyFrom,dPer,"&lt;="&amp;cyTo,dAmt,"&gt;-1E+300",dFlt1,critFlt1,dFlt2,critFlt2,dFlt3,critFlt3))</f>
        <v/>
      </c>
      <c r="E1047" t="str">
        <f>IF($B1047="","",SUMIFS(dQty,dCust,$B1047,dPer,"&gt;="&amp;pyFrom,dPer,"&lt;="&amp;pyTo,dQty,"&gt;-1E+300",dFlt1,critFlt1,dFlt2,critFlt2,dFlt3,critFlt3))</f>
        <v/>
      </c>
      <c r="F1047" t="str">
        <f>IF($B1047="","",SUMIFS(dQty,dCust,$B1047,dPer,"&gt;="&amp;cyFrom,dPer,"&lt;="&amp;cyTo,dQty,"&gt;-1E+300",dFlt1,critFlt1,dFlt2,critFlt2,dFlt3,critFlt3))</f>
        <v/>
      </c>
      <c r="G1047">
        <f>IF($B1047="",0,IFERROR(IF(OR(C1047&lt;&gt;0,D1047&lt;&gt;0,E1047&lt;&gt;0,F1047&lt;&gt;0),1,0),1))</f>
        <v>0</v>
      </c>
      <c r="H1047" t="str">
        <f>IF(OR(G1047=0,E1047=0),"",C1047/E1047)</f>
        <v/>
      </c>
      <c r="I1047" t="str">
        <f>IF(OR(G1047=0,F1047=0),"",D1047/F1047)</f>
        <v/>
      </c>
      <c r="J1047" t="str">
        <f>IF(OR(H1047="",I1047=""),"",IF(H1047=0,"",I1047/H1047-1))</f>
        <v/>
      </c>
      <c r="K1047" t="str">
        <f>IF($B1047="","",IFERROR(IF(G1047=0,-2E+300,CHOOSE(sortIdx,ROUND(D1047,0),IF(J1047="",-1E+300,ROUND(-J1047,6)),IF(J1047="",-1E+300,ROUND(J1047,6)))),-1.5E+300))</f>
        <v/>
      </c>
      <c r="L1047" t="str">
        <f>IF(K1047="","",RANK(K1047,$K$2:$K$3001,0)+COUNTIF($K$2:K1047,K1047)-1)</f>
        <v/>
      </c>
    </row>
    <row r="1048">
      <c r="B1048" t="str">
        <f>IFERROR(IF(A1048="","","="&amp;SUBSTITUTE(SUBSTITUTE(SUBSTITUTE(A1048,"~","~~"),"*","~*"),"?","~?")),"")</f>
        <v/>
      </c>
      <c r="C1048" t="str">
        <f>IF($B1048="","",SUMIFS(dAmt,dCust,$B1048,dPer,"&gt;="&amp;pyFrom,dPer,"&lt;="&amp;pyTo,dAmt,"&gt;-1E+300",dFlt1,critFlt1,dFlt2,critFlt2,dFlt3,critFlt3))</f>
        <v/>
      </c>
      <c r="D1048" t="str">
        <f>IF($B1048="","",SUMIFS(dAmt,dCust,$B1048,dPer,"&gt;="&amp;cyFrom,dPer,"&lt;="&amp;cyTo,dAmt,"&gt;-1E+300",dFlt1,critFlt1,dFlt2,critFlt2,dFlt3,critFlt3))</f>
        <v/>
      </c>
      <c r="E1048" t="str">
        <f>IF($B1048="","",SUMIFS(dQty,dCust,$B1048,dPer,"&gt;="&amp;pyFrom,dPer,"&lt;="&amp;pyTo,dQty,"&gt;-1E+300",dFlt1,critFlt1,dFlt2,critFlt2,dFlt3,critFlt3))</f>
        <v/>
      </c>
      <c r="F1048" t="str">
        <f>IF($B1048="","",SUMIFS(dQty,dCust,$B1048,dPer,"&gt;="&amp;cyFrom,dPer,"&lt;="&amp;cyTo,dQty,"&gt;-1E+300",dFlt1,critFlt1,dFlt2,critFlt2,dFlt3,critFlt3))</f>
        <v/>
      </c>
      <c r="G1048">
        <f>IF($B1048="",0,IFERROR(IF(OR(C1048&lt;&gt;0,D1048&lt;&gt;0,E1048&lt;&gt;0,F1048&lt;&gt;0),1,0),1))</f>
        <v>0</v>
      </c>
      <c r="H1048" t="str">
        <f>IF(OR(G1048=0,E1048=0),"",C1048/E1048)</f>
        <v/>
      </c>
      <c r="I1048" t="str">
        <f>IF(OR(G1048=0,F1048=0),"",D1048/F1048)</f>
        <v/>
      </c>
      <c r="J1048" t="str">
        <f>IF(OR(H1048="",I1048=""),"",IF(H1048=0,"",I1048/H1048-1))</f>
        <v/>
      </c>
      <c r="K1048" t="str">
        <f>IF($B1048="","",IFERROR(IF(G1048=0,-2E+300,CHOOSE(sortIdx,ROUND(D1048,0),IF(J1048="",-1E+300,ROUND(-J1048,6)),IF(J1048="",-1E+300,ROUND(J1048,6)))),-1.5E+300))</f>
        <v/>
      </c>
      <c r="L1048" t="str">
        <f>IF(K1048="","",RANK(K1048,$K$2:$K$3001,0)+COUNTIF($K$2:K1048,K1048)-1)</f>
        <v/>
      </c>
    </row>
    <row r="1049">
      <c r="B1049" t="str">
        <f>IFERROR(IF(A1049="","","="&amp;SUBSTITUTE(SUBSTITUTE(SUBSTITUTE(A1049,"~","~~"),"*","~*"),"?","~?")),"")</f>
        <v/>
      </c>
      <c r="C1049" t="str">
        <f>IF($B1049="","",SUMIFS(dAmt,dCust,$B1049,dPer,"&gt;="&amp;pyFrom,dPer,"&lt;="&amp;pyTo,dAmt,"&gt;-1E+300",dFlt1,critFlt1,dFlt2,critFlt2,dFlt3,critFlt3))</f>
        <v/>
      </c>
      <c r="D1049" t="str">
        <f>IF($B1049="","",SUMIFS(dAmt,dCust,$B1049,dPer,"&gt;="&amp;cyFrom,dPer,"&lt;="&amp;cyTo,dAmt,"&gt;-1E+300",dFlt1,critFlt1,dFlt2,critFlt2,dFlt3,critFlt3))</f>
        <v/>
      </c>
      <c r="E1049" t="str">
        <f>IF($B1049="","",SUMIFS(dQty,dCust,$B1049,dPer,"&gt;="&amp;pyFrom,dPer,"&lt;="&amp;pyTo,dQty,"&gt;-1E+300",dFlt1,critFlt1,dFlt2,critFlt2,dFlt3,critFlt3))</f>
        <v/>
      </c>
      <c r="F1049" t="str">
        <f>IF($B1049="","",SUMIFS(dQty,dCust,$B1049,dPer,"&gt;="&amp;cyFrom,dPer,"&lt;="&amp;cyTo,dQty,"&gt;-1E+300",dFlt1,critFlt1,dFlt2,critFlt2,dFlt3,critFlt3))</f>
        <v/>
      </c>
      <c r="G1049">
        <f>IF($B1049="",0,IFERROR(IF(OR(C1049&lt;&gt;0,D1049&lt;&gt;0,E1049&lt;&gt;0,F1049&lt;&gt;0),1,0),1))</f>
        <v>0</v>
      </c>
      <c r="H1049" t="str">
        <f>IF(OR(G1049=0,E1049=0),"",C1049/E1049)</f>
        <v/>
      </c>
      <c r="I1049" t="str">
        <f>IF(OR(G1049=0,F1049=0),"",D1049/F1049)</f>
        <v/>
      </c>
      <c r="J1049" t="str">
        <f>IF(OR(H1049="",I1049=""),"",IF(H1049=0,"",I1049/H1049-1))</f>
        <v/>
      </c>
      <c r="K1049" t="str">
        <f>IF($B1049="","",IFERROR(IF(G1049=0,-2E+300,CHOOSE(sortIdx,ROUND(D1049,0),IF(J1049="",-1E+300,ROUND(-J1049,6)),IF(J1049="",-1E+300,ROUND(J1049,6)))),-1.5E+300))</f>
        <v/>
      </c>
      <c r="L1049" t="str">
        <f>IF(K1049="","",RANK(K1049,$K$2:$K$3001,0)+COUNTIF($K$2:K1049,K1049)-1)</f>
        <v/>
      </c>
    </row>
    <row r="1050">
      <c r="B1050" t="str">
        <f>IFERROR(IF(A1050="","","="&amp;SUBSTITUTE(SUBSTITUTE(SUBSTITUTE(A1050,"~","~~"),"*","~*"),"?","~?")),"")</f>
        <v/>
      </c>
      <c r="C1050" t="str">
        <f>IF($B1050="","",SUMIFS(dAmt,dCust,$B1050,dPer,"&gt;="&amp;pyFrom,dPer,"&lt;="&amp;pyTo,dAmt,"&gt;-1E+300",dFlt1,critFlt1,dFlt2,critFlt2,dFlt3,critFlt3))</f>
        <v/>
      </c>
      <c r="D1050" t="str">
        <f>IF($B1050="","",SUMIFS(dAmt,dCust,$B1050,dPer,"&gt;="&amp;cyFrom,dPer,"&lt;="&amp;cyTo,dAmt,"&gt;-1E+300",dFlt1,critFlt1,dFlt2,critFlt2,dFlt3,critFlt3))</f>
        <v/>
      </c>
      <c r="E1050" t="str">
        <f>IF($B1050="","",SUMIFS(dQty,dCust,$B1050,dPer,"&gt;="&amp;pyFrom,dPer,"&lt;="&amp;pyTo,dQty,"&gt;-1E+300",dFlt1,critFlt1,dFlt2,critFlt2,dFlt3,critFlt3))</f>
        <v/>
      </c>
      <c r="F1050" t="str">
        <f>IF($B1050="","",SUMIFS(dQty,dCust,$B1050,dPer,"&gt;="&amp;cyFrom,dPer,"&lt;="&amp;cyTo,dQty,"&gt;-1E+300",dFlt1,critFlt1,dFlt2,critFlt2,dFlt3,critFlt3))</f>
        <v/>
      </c>
      <c r="G1050">
        <f>IF($B1050="",0,IFERROR(IF(OR(C1050&lt;&gt;0,D1050&lt;&gt;0,E1050&lt;&gt;0,F1050&lt;&gt;0),1,0),1))</f>
        <v>0</v>
      </c>
      <c r="H1050" t="str">
        <f>IF(OR(G1050=0,E1050=0),"",C1050/E1050)</f>
        <v/>
      </c>
      <c r="I1050" t="str">
        <f>IF(OR(G1050=0,F1050=0),"",D1050/F1050)</f>
        <v/>
      </c>
      <c r="J1050" t="str">
        <f>IF(OR(H1050="",I1050=""),"",IF(H1050=0,"",I1050/H1050-1))</f>
        <v/>
      </c>
      <c r="K1050" t="str">
        <f>IF($B1050="","",IFERROR(IF(G1050=0,-2E+300,CHOOSE(sortIdx,ROUND(D1050,0),IF(J1050="",-1E+300,ROUND(-J1050,6)),IF(J1050="",-1E+300,ROUND(J1050,6)))),-1.5E+300))</f>
        <v/>
      </c>
      <c r="L1050" t="str">
        <f>IF(K1050="","",RANK(K1050,$K$2:$K$3001,0)+COUNTIF($K$2:K1050,K1050)-1)</f>
        <v/>
      </c>
    </row>
    <row r="1051">
      <c r="B1051" t="str">
        <f>IFERROR(IF(A1051="","","="&amp;SUBSTITUTE(SUBSTITUTE(SUBSTITUTE(A1051,"~","~~"),"*","~*"),"?","~?")),"")</f>
        <v/>
      </c>
      <c r="C1051" t="str">
        <f>IF($B1051="","",SUMIFS(dAmt,dCust,$B1051,dPer,"&gt;="&amp;pyFrom,dPer,"&lt;="&amp;pyTo,dAmt,"&gt;-1E+300",dFlt1,critFlt1,dFlt2,critFlt2,dFlt3,critFlt3))</f>
        <v/>
      </c>
      <c r="D1051" t="str">
        <f>IF($B1051="","",SUMIFS(dAmt,dCust,$B1051,dPer,"&gt;="&amp;cyFrom,dPer,"&lt;="&amp;cyTo,dAmt,"&gt;-1E+300",dFlt1,critFlt1,dFlt2,critFlt2,dFlt3,critFlt3))</f>
        <v/>
      </c>
      <c r="E1051" t="str">
        <f>IF($B1051="","",SUMIFS(dQty,dCust,$B1051,dPer,"&gt;="&amp;pyFrom,dPer,"&lt;="&amp;pyTo,dQty,"&gt;-1E+300",dFlt1,critFlt1,dFlt2,critFlt2,dFlt3,critFlt3))</f>
        <v/>
      </c>
      <c r="F1051" t="str">
        <f>IF($B1051="","",SUMIFS(dQty,dCust,$B1051,dPer,"&gt;="&amp;cyFrom,dPer,"&lt;="&amp;cyTo,dQty,"&gt;-1E+300",dFlt1,critFlt1,dFlt2,critFlt2,dFlt3,critFlt3))</f>
        <v/>
      </c>
      <c r="G1051">
        <f>IF($B1051="",0,IFERROR(IF(OR(C1051&lt;&gt;0,D1051&lt;&gt;0,E1051&lt;&gt;0,F1051&lt;&gt;0),1,0),1))</f>
        <v>0</v>
      </c>
      <c r="H1051" t="str">
        <f>IF(OR(G1051=0,E1051=0),"",C1051/E1051)</f>
        <v/>
      </c>
      <c r="I1051" t="str">
        <f>IF(OR(G1051=0,F1051=0),"",D1051/F1051)</f>
        <v/>
      </c>
      <c r="J1051" t="str">
        <f>IF(OR(H1051="",I1051=""),"",IF(H1051=0,"",I1051/H1051-1))</f>
        <v/>
      </c>
      <c r="K1051" t="str">
        <f>IF($B1051="","",IFERROR(IF(G1051=0,-2E+300,CHOOSE(sortIdx,ROUND(D1051,0),IF(J1051="",-1E+300,ROUND(-J1051,6)),IF(J1051="",-1E+300,ROUND(J1051,6)))),-1.5E+300))</f>
        <v/>
      </c>
      <c r="L1051" t="str">
        <f>IF(K1051="","",RANK(K1051,$K$2:$K$3001,0)+COUNTIF($K$2:K1051,K1051)-1)</f>
        <v/>
      </c>
    </row>
    <row r="1052">
      <c r="B1052" t="str">
        <f>IFERROR(IF(A1052="","","="&amp;SUBSTITUTE(SUBSTITUTE(SUBSTITUTE(A1052,"~","~~"),"*","~*"),"?","~?")),"")</f>
        <v/>
      </c>
      <c r="C1052" t="str">
        <f>IF($B1052="","",SUMIFS(dAmt,dCust,$B1052,dPer,"&gt;="&amp;pyFrom,dPer,"&lt;="&amp;pyTo,dAmt,"&gt;-1E+300",dFlt1,critFlt1,dFlt2,critFlt2,dFlt3,critFlt3))</f>
        <v/>
      </c>
      <c r="D1052" t="str">
        <f>IF($B1052="","",SUMIFS(dAmt,dCust,$B1052,dPer,"&gt;="&amp;cyFrom,dPer,"&lt;="&amp;cyTo,dAmt,"&gt;-1E+300",dFlt1,critFlt1,dFlt2,critFlt2,dFlt3,critFlt3))</f>
        <v/>
      </c>
      <c r="E1052" t="str">
        <f>IF($B1052="","",SUMIFS(dQty,dCust,$B1052,dPer,"&gt;="&amp;pyFrom,dPer,"&lt;="&amp;pyTo,dQty,"&gt;-1E+300",dFlt1,critFlt1,dFlt2,critFlt2,dFlt3,critFlt3))</f>
        <v/>
      </c>
      <c r="F1052" t="str">
        <f>IF($B1052="","",SUMIFS(dQty,dCust,$B1052,dPer,"&gt;="&amp;cyFrom,dPer,"&lt;="&amp;cyTo,dQty,"&gt;-1E+300",dFlt1,critFlt1,dFlt2,critFlt2,dFlt3,critFlt3))</f>
        <v/>
      </c>
      <c r="G1052">
        <f>IF($B1052="",0,IFERROR(IF(OR(C1052&lt;&gt;0,D1052&lt;&gt;0,E1052&lt;&gt;0,F1052&lt;&gt;0),1,0),1))</f>
        <v>0</v>
      </c>
      <c r="H1052" t="str">
        <f>IF(OR(G1052=0,E1052=0),"",C1052/E1052)</f>
        <v/>
      </c>
      <c r="I1052" t="str">
        <f>IF(OR(G1052=0,F1052=0),"",D1052/F1052)</f>
        <v/>
      </c>
      <c r="J1052" t="str">
        <f>IF(OR(H1052="",I1052=""),"",IF(H1052=0,"",I1052/H1052-1))</f>
        <v/>
      </c>
      <c r="K1052" t="str">
        <f>IF($B1052="","",IFERROR(IF(G1052=0,-2E+300,CHOOSE(sortIdx,ROUND(D1052,0),IF(J1052="",-1E+300,ROUND(-J1052,6)),IF(J1052="",-1E+300,ROUND(J1052,6)))),-1.5E+300))</f>
        <v/>
      </c>
      <c r="L1052" t="str">
        <f>IF(K1052="","",RANK(K1052,$K$2:$K$3001,0)+COUNTIF($K$2:K1052,K1052)-1)</f>
        <v/>
      </c>
    </row>
    <row r="1053">
      <c r="B1053" t="str">
        <f>IFERROR(IF(A1053="","","="&amp;SUBSTITUTE(SUBSTITUTE(SUBSTITUTE(A1053,"~","~~"),"*","~*"),"?","~?")),"")</f>
        <v/>
      </c>
      <c r="C1053" t="str">
        <f>IF($B1053="","",SUMIFS(dAmt,dCust,$B1053,dPer,"&gt;="&amp;pyFrom,dPer,"&lt;="&amp;pyTo,dAmt,"&gt;-1E+300",dFlt1,critFlt1,dFlt2,critFlt2,dFlt3,critFlt3))</f>
        <v/>
      </c>
      <c r="D1053" t="str">
        <f>IF($B1053="","",SUMIFS(dAmt,dCust,$B1053,dPer,"&gt;="&amp;cyFrom,dPer,"&lt;="&amp;cyTo,dAmt,"&gt;-1E+300",dFlt1,critFlt1,dFlt2,critFlt2,dFlt3,critFlt3))</f>
        <v/>
      </c>
      <c r="E1053" t="str">
        <f>IF($B1053="","",SUMIFS(dQty,dCust,$B1053,dPer,"&gt;="&amp;pyFrom,dPer,"&lt;="&amp;pyTo,dQty,"&gt;-1E+300",dFlt1,critFlt1,dFlt2,critFlt2,dFlt3,critFlt3))</f>
        <v/>
      </c>
      <c r="F1053" t="str">
        <f>IF($B1053="","",SUMIFS(dQty,dCust,$B1053,dPer,"&gt;="&amp;cyFrom,dPer,"&lt;="&amp;cyTo,dQty,"&gt;-1E+300",dFlt1,critFlt1,dFlt2,critFlt2,dFlt3,critFlt3))</f>
        <v/>
      </c>
      <c r="G1053">
        <f>IF($B1053="",0,IFERROR(IF(OR(C1053&lt;&gt;0,D1053&lt;&gt;0,E1053&lt;&gt;0,F1053&lt;&gt;0),1,0),1))</f>
        <v>0</v>
      </c>
      <c r="H1053" t="str">
        <f>IF(OR(G1053=0,E1053=0),"",C1053/E1053)</f>
        <v/>
      </c>
      <c r="I1053" t="str">
        <f>IF(OR(G1053=0,F1053=0),"",D1053/F1053)</f>
        <v/>
      </c>
      <c r="J1053" t="str">
        <f>IF(OR(H1053="",I1053=""),"",IF(H1053=0,"",I1053/H1053-1))</f>
        <v/>
      </c>
      <c r="K1053" t="str">
        <f>IF($B1053="","",IFERROR(IF(G1053=0,-2E+300,CHOOSE(sortIdx,ROUND(D1053,0),IF(J1053="",-1E+300,ROUND(-J1053,6)),IF(J1053="",-1E+300,ROUND(J1053,6)))),-1.5E+300))</f>
        <v/>
      </c>
      <c r="L1053" t="str">
        <f>IF(K1053="","",RANK(K1053,$K$2:$K$3001,0)+COUNTIF($K$2:K1053,K1053)-1)</f>
        <v/>
      </c>
    </row>
    <row r="1054">
      <c r="B1054" t="str">
        <f>IFERROR(IF(A1054="","","="&amp;SUBSTITUTE(SUBSTITUTE(SUBSTITUTE(A1054,"~","~~"),"*","~*"),"?","~?")),"")</f>
        <v/>
      </c>
      <c r="C1054" t="str">
        <f>IF($B1054="","",SUMIFS(dAmt,dCust,$B1054,dPer,"&gt;="&amp;pyFrom,dPer,"&lt;="&amp;pyTo,dAmt,"&gt;-1E+300",dFlt1,critFlt1,dFlt2,critFlt2,dFlt3,critFlt3))</f>
        <v/>
      </c>
      <c r="D1054" t="str">
        <f>IF($B1054="","",SUMIFS(dAmt,dCust,$B1054,dPer,"&gt;="&amp;cyFrom,dPer,"&lt;="&amp;cyTo,dAmt,"&gt;-1E+300",dFlt1,critFlt1,dFlt2,critFlt2,dFlt3,critFlt3))</f>
        <v/>
      </c>
      <c r="E1054" t="str">
        <f>IF($B1054="","",SUMIFS(dQty,dCust,$B1054,dPer,"&gt;="&amp;pyFrom,dPer,"&lt;="&amp;pyTo,dQty,"&gt;-1E+300",dFlt1,critFlt1,dFlt2,critFlt2,dFlt3,critFlt3))</f>
        <v/>
      </c>
      <c r="F1054" t="str">
        <f>IF($B1054="","",SUMIFS(dQty,dCust,$B1054,dPer,"&gt;="&amp;cyFrom,dPer,"&lt;="&amp;cyTo,dQty,"&gt;-1E+300",dFlt1,critFlt1,dFlt2,critFlt2,dFlt3,critFlt3))</f>
        <v/>
      </c>
      <c r="G1054">
        <f>IF($B1054="",0,IFERROR(IF(OR(C1054&lt;&gt;0,D1054&lt;&gt;0,E1054&lt;&gt;0,F1054&lt;&gt;0),1,0),1))</f>
        <v>0</v>
      </c>
      <c r="H1054" t="str">
        <f>IF(OR(G1054=0,E1054=0),"",C1054/E1054)</f>
        <v/>
      </c>
      <c r="I1054" t="str">
        <f>IF(OR(G1054=0,F1054=0),"",D1054/F1054)</f>
        <v/>
      </c>
      <c r="J1054" t="str">
        <f>IF(OR(H1054="",I1054=""),"",IF(H1054=0,"",I1054/H1054-1))</f>
        <v/>
      </c>
      <c r="K1054" t="str">
        <f>IF($B1054="","",IFERROR(IF(G1054=0,-2E+300,CHOOSE(sortIdx,ROUND(D1054,0),IF(J1054="",-1E+300,ROUND(-J1054,6)),IF(J1054="",-1E+300,ROUND(J1054,6)))),-1.5E+300))</f>
        <v/>
      </c>
      <c r="L1054" t="str">
        <f>IF(K1054="","",RANK(K1054,$K$2:$K$3001,0)+COUNTIF($K$2:K1054,K1054)-1)</f>
        <v/>
      </c>
    </row>
    <row r="1055">
      <c r="B1055" t="str">
        <f>IFERROR(IF(A1055="","","="&amp;SUBSTITUTE(SUBSTITUTE(SUBSTITUTE(A1055,"~","~~"),"*","~*"),"?","~?")),"")</f>
        <v/>
      </c>
      <c r="C1055" t="str">
        <f>IF($B1055="","",SUMIFS(dAmt,dCust,$B1055,dPer,"&gt;="&amp;pyFrom,dPer,"&lt;="&amp;pyTo,dAmt,"&gt;-1E+300",dFlt1,critFlt1,dFlt2,critFlt2,dFlt3,critFlt3))</f>
        <v/>
      </c>
      <c r="D1055" t="str">
        <f>IF($B1055="","",SUMIFS(dAmt,dCust,$B1055,dPer,"&gt;="&amp;cyFrom,dPer,"&lt;="&amp;cyTo,dAmt,"&gt;-1E+300",dFlt1,critFlt1,dFlt2,critFlt2,dFlt3,critFlt3))</f>
        <v/>
      </c>
      <c r="E1055" t="str">
        <f>IF($B1055="","",SUMIFS(dQty,dCust,$B1055,dPer,"&gt;="&amp;pyFrom,dPer,"&lt;="&amp;pyTo,dQty,"&gt;-1E+300",dFlt1,critFlt1,dFlt2,critFlt2,dFlt3,critFlt3))</f>
        <v/>
      </c>
      <c r="F1055" t="str">
        <f>IF($B1055="","",SUMIFS(dQty,dCust,$B1055,dPer,"&gt;="&amp;cyFrom,dPer,"&lt;="&amp;cyTo,dQty,"&gt;-1E+300",dFlt1,critFlt1,dFlt2,critFlt2,dFlt3,critFlt3))</f>
        <v/>
      </c>
      <c r="G1055">
        <f>IF($B1055="",0,IFERROR(IF(OR(C1055&lt;&gt;0,D1055&lt;&gt;0,E1055&lt;&gt;0,F1055&lt;&gt;0),1,0),1))</f>
        <v>0</v>
      </c>
      <c r="H1055" t="str">
        <f>IF(OR(G1055=0,E1055=0),"",C1055/E1055)</f>
        <v/>
      </c>
      <c r="I1055" t="str">
        <f>IF(OR(G1055=0,F1055=0),"",D1055/F1055)</f>
        <v/>
      </c>
      <c r="J1055" t="str">
        <f>IF(OR(H1055="",I1055=""),"",IF(H1055=0,"",I1055/H1055-1))</f>
        <v/>
      </c>
      <c r="K1055" t="str">
        <f>IF($B1055="","",IFERROR(IF(G1055=0,-2E+300,CHOOSE(sortIdx,ROUND(D1055,0),IF(J1055="",-1E+300,ROUND(-J1055,6)),IF(J1055="",-1E+300,ROUND(J1055,6)))),-1.5E+300))</f>
        <v/>
      </c>
      <c r="L1055" t="str">
        <f>IF(K1055="","",RANK(K1055,$K$2:$K$3001,0)+COUNTIF($K$2:K1055,K1055)-1)</f>
        <v/>
      </c>
    </row>
    <row r="1056">
      <c r="B1056" t="str">
        <f>IFERROR(IF(A1056="","","="&amp;SUBSTITUTE(SUBSTITUTE(SUBSTITUTE(A1056,"~","~~"),"*","~*"),"?","~?")),"")</f>
        <v/>
      </c>
      <c r="C1056" t="str">
        <f>IF($B1056="","",SUMIFS(dAmt,dCust,$B1056,dPer,"&gt;="&amp;pyFrom,dPer,"&lt;="&amp;pyTo,dAmt,"&gt;-1E+300",dFlt1,critFlt1,dFlt2,critFlt2,dFlt3,critFlt3))</f>
        <v/>
      </c>
      <c r="D1056" t="str">
        <f>IF($B1056="","",SUMIFS(dAmt,dCust,$B1056,dPer,"&gt;="&amp;cyFrom,dPer,"&lt;="&amp;cyTo,dAmt,"&gt;-1E+300",dFlt1,critFlt1,dFlt2,critFlt2,dFlt3,critFlt3))</f>
        <v/>
      </c>
      <c r="E1056" t="str">
        <f>IF($B1056="","",SUMIFS(dQty,dCust,$B1056,dPer,"&gt;="&amp;pyFrom,dPer,"&lt;="&amp;pyTo,dQty,"&gt;-1E+300",dFlt1,critFlt1,dFlt2,critFlt2,dFlt3,critFlt3))</f>
        <v/>
      </c>
      <c r="F1056" t="str">
        <f>IF($B1056="","",SUMIFS(dQty,dCust,$B1056,dPer,"&gt;="&amp;cyFrom,dPer,"&lt;="&amp;cyTo,dQty,"&gt;-1E+300",dFlt1,critFlt1,dFlt2,critFlt2,dFlt3,critFlt3))</f>
        <v/>
      </c>
      <c r="G1056">
        <f>IF($B1056="",0,IFERROR(IF(OR(C1056&lt;&gt;0,D1056&lt;&gt;0,E1056&lt;&gt;0,F1056&lt;&gt;0),1,0),1))</f>
        <v>0</v>
      </c>
      <c r="H1056" t="str">
        <f>IF(OR(G1056=0,E1056=0),"",C1056/E1056)</f>
        <v/>
      </c>
      <c r="I1056" t="str">
        <f>IF(OR(G1056=0,F1056=0),"",D1056/F1056)</f>
        <v/>
      </c>
      <c r="J1056" t="str">
        <f>IF(OR(H1056="",I1056=""),"",IF(H1056=0,"",I1056/H1056-1))</f>
        <v/>
      </c>
      <c r="K1056" t="str">
        <f>IF($B1056="","",IFERROR(IF(G1056=0,-2E+300,CHOOSE(sortIdx,ROUND(D1056,0),IF(J1056="",-1E+300,ROUND(-J1056,6)),IF(J1056="",-1E+300,ROUND(J1056,6)))),-1.5E+300))</f>
        <v/>
      </c>
      <c r="L1056" t="str">
        <f>IF(K1056="","",RANK(K1056,$K$2:$K$3001,0)+COUNTIF($K$2:K1056,K1056)-1)</f>
        <v/>
      </c>
    </row>
    <row r="1057">
      <c r="B1057" t="str">
        <f>IFERROR(IF(A1057="","","="&amp;SUBSTITUTE(SUBSTITUTE(SUBSTITUTE(A1057,"~","~~"),"*","~*"),"?","~?")),"")</f>
        <v/>
      </c>
      <c r="C1057" t="str">
        <f>IF($B1057="","",SUMIFS(dAmt,dCust,$B1057,dPer,"&gt;="&amp;pyFrom,dPer,"&lt;="&amp;pyTo,dAmt,"&gt;-1E+300",dFlt1,critFlt1,dFlt2,critFlt2,dFlt3,critFlt3))</f>
        <v/>
      </c>
      <c r="D1057" t="str">
        <f>IF($B1057="","",SUMIFS(dAmt,dCust,$B1057,dPer,"&gt;="&amp;cyFrom,dPer,"&lt;="&amp;cyTo,dAmt,"&gt;-1E+300",dFlt1,critFlt1,dFlt2,critFlt2,dFlt3,critFlt3))</f>
        <v/>
      </c>
      <c r="E1057" t="str">
        <f>IF($B1057="","",SUMIFS(dQty,dCust,$B1057,dPer,"&gt;="&amp;pyFrom,dPer,"&lt;="&amp;pyTo,dQty,"&gt;-1E+300",dFlt1,critFlt1,dFlt2,critFlt2,dFlt3,critFlt3))</f>
        <v/>
      </c>
      <c r="F1057" t="str">
        <f>IF($B1057="","",SUMIFS(dQty,dCust,$B1057,dPer,"&gt;="&amp;cyFrom,dPer,"&lt;="&amp;cyTo,dQty,"&gt;-1E+300",dFlt1,critFlt1,dFlt2,critFlt2,dFlt3,critFlt3))</f>
        <v/>
      </c>
      <c r="G1057">
        <f>IF($B1057="",0,IFERROR(IF(OR(C1057&lt;&gt;0,D1057&lt;&gt;0,E1057&lt;&gt;0,F1057&lt;&gt;0),1,0),1))</f>
        <v>0</v>
      </c>
      <c r="H1057" t="str">
        <f>IF(OR(G1057=0,E1057=0),"",C1057/E1057)</f>
        <v/>
      </c>
      <c r="I1057" t="str">
        <f>IF(OR(G1057=0,F1057=0),"",D1057/F1057)</f>
        <v/>
      </c>
      <c r="J1057" t="str">
        <f>IF(OR(H1057="",I1057=""),"",IF(H1057=0,"",I1057/H1057-1))</f>
        <v/>
      </c>
      <c r="K1057" t="str">
        <f>IF($B1057="","",IFERROR(IF(G1057=0,-2E+300,CHOOSE(sortIdx,ROUND(D1057,0),IF(J1057="",-1E+300,ROUND(-J1057,6)),IF(J1057="",-1E+300,ROUND(J1057,6)))),-1.5E+300))</f>
        <v/>
      </c>
      <c r="L1057" t="str">
        <f>IF(K1057="","",RANK(K1057,$K$2:$K$3001,0)+COUNTIF($K$2:K1057,K1057)-1)</f>
        <v/>
      </c>
    </row>
    <row r="1058">
      <c r="B1058" t="str">
        <f>IFERROR(IF(A1058="","","="&amp;SUBSTITUTE(SUBSTITUTE(SUBSTITUTE(A1058,"~","~~"),"*","~*"),"?","~?")),"")</f>
        <v/>
      </c>
      <c r="C1058" t="str">
        <f>IF($B1058="","",SUMIFS(dAmt,dCust,$B1058,dPer,"&gt;="&amp;pyFrom,dPer,"&lt;="&amp;pyTo,dAmt,"&gt;-1E+300",dFlt1,critFlt1,dFlt2,critFlt2,dFlt3,critFlt3))</f>
        <v/>
      </c>
      <c r="D1058" t="str">
        <f>IF($B1058="","",SUMIFS(dAmt,dCust,$B1058,dPer,"&gt;="&amp;cyFrom,dPer,"&lt;="&amp;cyTo,dAmt,"&gt;-1E+300",dFlt1,critFlt1,dFlt2,critFlt2,dFlt3,critFlt3))</f>
        <v/>
      </c>
      <c r="E1058" t="str">
        <f>IF($B1058="","",SUMIFS(dQty,dCust,$B1058,dPer,"&gt;="&amp;pyFrom,dPer,"&lt;="&amp;pyTo,dQty,"&gt;-1E+300",dFlt1,critFlt1,dFlt2,critFlt2,dFlt3,critFlt3))</f>
        <v/>
      </c>
      <c r="F1058" t="str">
        <f>IF($B1058="","",SUMIFS(dQty,dCust,$B1058,dPer,"&gt;="&amp;cyFrom,dPer,"&lt;="&amp;cyTo,dQty,"&gt;-1E+300",dFlt1,critFlt1,dFlt2,critFlt2,dFlt3,critFlt3))</f>
        <v/>
      </c>
      <c r="G1058">
        <f>IF($B1058="",0,IFERROR(IF(OR(C1058&lt;&gt;0,D1058&lt;&gt;0,E1058&lt;&gt;0,F1058&lt;&gt;0),1,0),1))</f>
        <v>0</v>
      </c>
      <c r="H1058" t="str">
        <f>IF(OR(G1058=0,E1058=0),"",C1058/E1058)</f>
        <v/>
      </c>
      <c r="I1058" t="str">
        <f>IF(OR(G1058=0,F1058=0),"",D1058/F1058)</f>
        <v/>
      </c>
      <c r="J1058" t="str">
        <f>IF(OR(H1058="",I1058=""),"",IF(H1058=0,"",I1058/H1058-1))</f>
        <v/>
      </c>
      <c r="K1058" t="str">
        <f>IF($B1058="","",IFERROR(IF(G1058=0,-2E+300,CHOOSE(sortIdx,ROUND(D1058,0),IF(J1058="",-1E+300,ROUND(-J1058,6)),IF(J1058="",-1E+300,ROUND(J1058,6)))),-1.5E+300))</f>
        <v/>
      </c>
      <c r="L1058" t="str">
        <f>IF(K1058="","",RANK(K1058,$K$2:$K$3001,0)+COUNTIF($K$2:K1058,K1058)-1)</f>
        <v/>
      </c>
    </row>
    <row r="1059">
      <c r="B1059" t="str">
        <f>IFERROR(IF(A1059="","","="&amp;SUBSTITUTE(SUBSTITUTE(SUBSTITUTE(A1059,"~","~~"),"*","~*"),"?","~?")),"")</f>
        <v/>
      </c>
      <c r="C1059" t="str">
        <f>IF($B1059="","",SUMIFS(dAmt,dCust,$B1059,dPer,"&gt;="&amp;pyFrom,dPer,"&lt;="&amp;pyTo,dAmt,"&gt;-1E+300",dFlt1,critFlt1,dFlt2,critFlt2,dFlt3,critFlt3))</f>
        <v/>
      </c>
      <c r="D1059" t="str">
        <f>IF($B1059="","",SUMIFS(dAmt,dCust,$B1059,dPer,"&gt;="&amp;cyFrom,dPer,"&lt;="&amp;cyTo,dAmt,"&gt;-1E+300",dFlt1,critFlt1,dFlt2,critFlt2,dFlt3,critFlt3))</f>
        <v/>
      </c>
      <c r="E1059" t="str">
        <f>IF($B1059="","",SUMIFS(dQty,dCust,$B1059,dPer,"&gt;="&amp;pyFrom,dPer,"&lt;="&amp;pyTo,dQty,"&gt;-1E+300",dFlt1,critFlt1,dFlt2,critFlt2,dFlt3,critFlt3))</f>
        <v/>
      </c>
      <c r="F1059" t="str">
        <f>IF($B1059="","",SUMIFS(dQty,dCust,$B1059,dPer,"&gt;="&amp;cyFrom,dPer,"&lt;="&amp;cyTo,dQty,"&gt;-1E+300",dFlt1,critFlt1,dFlt2,critFlt2,dFlt3,critFlt3))</f>
        <v/>
      </c>
      <c r="G1059">
        <f>IF($B1059="",0,IFERROR(IF(OR(C1059&lt;&gt;0,D1059&lt;&gt;0,E1059&lt;&gt;0,F1059&lt;&gt;0),1,0),1))</f>
        <v>0</v>
      </c>
      <c r="H1059" t="str">
        <f>IF(OR(G1059=0,E1059=0),"",C1059/E1059)</f>
        <v/>
      </c>
      <c r="I1059" t="str">
        <f>IF(OR(G1059=0,F1059=0),"",D1059/F1059)</f>
        <v/>
      </c>
      <c r="J1059" t="str">
        <f>IF(OR(H1059="",I1059=""),"",IF(H1059=0,"",I1059/H1059-1))</f>
        <v/>
      </c>
      <c r="K1059" t="str">
        <f>IF($B1059="","",IFERROR(IF(G1059=0,-2E+300,CHOOSE(sortIdx,ROUND(D1059,0),IF(J1059="",-1E+300,ROUND(-J1059,6)),IF(J1059="",-1E+300,ROUND(J1059,6)))),-1.5E+300))</f>
        <v/>
      </c>
      <c r="L1059" t="str">
        <f>IF(K1059="","",RANK(K1059,$K$2:$K$3001,0)+COUNTIF($K$2:K1059,K1059)-1)</f>
        <v/>
      </c>
    </row>
    <row r="1060">
      <c r="B1060" t="str">
        <f>IFERROR(IF(A1060="","","="&amp;SUBSTITUTE(SUBSTITUTE(SUBSTITUTE(A1060,"~","~~"),"*","~*"),"?","~?")),"")</f>
        <v/>
      </c>
      <c r="C1060" t="str">
        <f>IF($B1060="","",SUMIFS(dAmt,dCust,$B1060,dPer,"&gt;="&amp;pyFrom,dPer,"&lt;="&amp;pyTo,dAmt,"&gt;-1E+300",dFlt1,critFlt1,dFlt2,critFlt2,dFlt3,critFlt3))</f>
        <v/>
      </c>
      <c r="D1060" t="str">
        <f>IF($B1060="","",SUMIFS(dAmt,dCust,$B1060,dPer,"&gt;="&amp;cyFrom,dPer,"&lt;="&amp;cyTo,dAmt,"&gt;-1E+300",dFlt1,critFlt1,dFlt2,critFlt2,dFlt3,critFlt3))</f>
        <v/>
      </c>
      <c r="E1060" t="str">
        <f>IF($B1060="","",SUMIFS(dQty,dCust,$B1060,dPer,"&gt;="&amp;pyFrom,dPer,"&lt;="&amp;pyTo,dQty,"&gt;-1E+300",dFlt1,critFlt1,dFlt2,critFlt2,dFlt3,critFlt3))</f>
        <v/>
      </c>
      <c r="F1060" t="str">
        <f>IF($B1060="","",SUMIFS(dQty,dCust,$B1060,dPer,"&gt;="&amp;cyFrom,dPer,"&lt;="&amp;cyTo,dQty,"&gt;-1E+300",dFlt1,critFlt1,dFlt2,critFlt2,dFlt3,critFlt3))</f>
        <v/>
      </c>
      <c r="G1060">
        <f>IF($B1060="",0,IFERROR(IF(OR(C1060&lt;&gt;0,D1060&lt;&gt;0,E1060&lt;&gt;0,F1060&lt;&gt;0),1,0),1))</f>
        <v>0</v>
      </c>
      <c r="H1060" t="str">
        <f>IF(OR(G1060=0,E1060=0),"",C1060/E1060)</f>
        <v/>
      </c>
      <c r="I1060" t="str">
        <f>IF(OR(G1060=0,F1060=0),"",D1060/F1060)</f>
        <v/>
      </c>
      <c r="J1060" t="str">
        <f>IF(OR(H1060="",I1060=""),"",IF(H1060=0,"",I1060/H1060-1))</f>
        <v/>
      </c>
      <c r="K1060" t="str">
        <f>IF($B1060="","",IFERROR(IF(G1060=0,-2E+300,CHOOSE(sortIdx,ROUND(D1060,0),IF(J1060="",-1E+300,ROUND(-J1060,6)),IF(J1060="",-1E+300,ROUND(J1060,6)))),-1.5E+300))</f>
        <v/>
      </c>
      <c r="L1060" t="str">
        <f>IF(K1060="","",RANK(K1060,$K$2:$K$3001,0)+COUNTIF($K$2:K1060,K1060)-1)</f>
        <v/>
      </c>
    </row>
    <row r="1061">
      <c r="B1061" t="str">
        <f>IFERROR(IF(A1061="","","="&amp;SUBSTITUTE(SUBSTITUTE(SUBSTITUTE(A1061,"~","~~"),"*","~*"),"?","~?")),"")</f>
        <v/>
      </c>
      <c r="C1061" t="str">
        <f>IF($B1061="","",SUMIFS(dAmt,dCust,$B1061,dPer,"&gt;="&amp;pyFrom,dPer,"&lt;="&amp;pyTo,dAmt,"&gt;-1E+300",dFlt1,critFlt1,dFlt2,critFlt2,dFlt3,critFlt3))</f>
        <v/>
      </c>
      <c r="D1061" t="str">
        <f>IF($B1061="","",SUMIFS(dAmt,dCust,$B1061,dPer,"&gt;="&amp;cyFrom,dPer,"&lt;="&amp;cyTo,dAmt,"&gt;-1E+300",dFlt1,critFlt1,dFlt2,critFlt2,dFlt3,critFlt3))</f>
        <v/>
      </c>
      <c r="E1061" t="str">
        <f>IF($B1061="","",SUMIFS(dQty,dCust,$B1061,dPer,"&gt;="&amp;pyFrom,dPer,"&lt;="&amp;pyTo,dQty,"&gt;-1E+300",dFlt1,critFlt1,dFlt2,critFlt2,dFlt3,critFlt3))</f>
        <v/>
      </c>
      <c r="F1061" t="str">
        <f>IF($B1061="","",SUMIFS(dQty,dCust,$B1061,dPer,"&gt;="&amp;cyFrom,dPer,"&lt;="&amp;cyTo,dQty,"&gt;-1E+300",dFlt1,critFlt1,dFlt2,critFlt2,dFlt3,critFlt3))</f>
        <v/>
      </c>
      <c r="G1061">
        <f>IF($B1061="",0,IFERROR(IF(OR(C1061&lt;&gt;0,D1061&lt;&gt;0,E1061&lt;&gt;0,F1061&lt;&gt;0),1,0),1))</f>
        <v>0</v>
      </c>
      <c r="H1061" t="str">
        <f>IF(OR(G1061=0,E1061=0),"",C1061/E1061)</f>
        <v/>
      </c>
      <c r="I1061" t="str">
        <f>IF(OR(G1061=0,F1061=0),"",D1061/F1061)</f>
        <v/>
      </c>
      <c r="J1061" t="str">
        <f>IF(OR(H1061="",I1061=""),"",IF(H1061=0,"",I1061/H1061-1))</f>
        <v/>
      </c>
      <c r="K1061" t="str">
        <f>IF($B1061="","",IFERROR(IF(G1061=0,-2E+300,CHOOSE(sortIdx,ROUND(D1061,0),IF(J1061="",-1E+300,ROUND(-J1061,6)),IF(J1061="",-1E+300,ROUND(J1061,6)))),-1.5E+300))</f>
        <v/>
      </c>
      <c r="L1061" t="str">
        <f>IF(K1061="","",RANK(K1061,$K$2:$K$3001,0)+COUNTIF($K$2:K1061,K1061)-1)</f>
        <v/>
      </c>
    </row>
    <row r="1062">
      <c r="B1062" t="str">
        <f>IFERROR(IF(A1062="","","="&amp;SUBSTITUTE(SUBSTITUTE(SUBSTITUTE(A1062,"~","~~"),"*","~*"),"?","~?")),"")</f>
        <v/>
      </c>
      <c r="C1062" t="str">
        <f>IF($B1062="","",SUMIFS(dAmt,dCust,$B1062,dPer,"&gt;="&amp;pyFrom,dPer,"&lt;="&amp;pyTo,dAmt,"&gt;-1E+300",dFlt1,critFlt1,dFlt2,critFlt2,dFlt3,critFlt3))</f>
        <v/>
      </c>
      <c r="D1062" t="str">
        <f>IF($B1062="","",SUMIFS(dAmt,dCust,$B1062,dPer,"&gt;="&amp;cyFrom,dPer,"&lt;="&amp;cyTo,dAmt,"&gt;-1E+300",dFlt1,critFlt1,dFlt2,critFlt2,dFlt3,critFlt3))</f>
        <v/>
      </c>
      <c r="E1062" t="str">
        <f>IF($B1062="","",SUMIFS(dQty,dCust,$B1062,dPer,"&gt;="&amp;pyFrom,dPer,"&lt;="&amp;pyTo,dQty,"&gt;-1E+300",dFlt1,critFlt1,dFlt2,critFlt2,dFlt3,critFlt3))</f>
        <v/>
      </c>
      <c r="F1062" t="str">
        <f>IF($B1062="","",SUMIFS(dQty,dCust,$B1062,dPer,"&gt;="&amp;cyFrom,dPer,"&lt;="&amp;cyTo,dQty,"&gt;-1E+300",dFlt1,critFlt1,dFlt2,critFlt2,dFlt3,critFlt3))</f>
        <v/>
      </c>
      <c r="G1062">
        <f>IF($B1062="",0,IFERROR(IF(OR(C1062&lt;&gt;0,D1062&lt;&gt;0,E1062&lt;&gt;0,F1062&lt;&gt;0),1,0),1))</f>
        <v>0</v>
      </c>
      <c r="H1062" t="str">
        <f>IF(OR(G1062=0,E1062=0),"",C1062/E1062)</f>
        <v/>
      </c>
      <c r="I1062" t="str">
        <f>IF(OR(G1062=0,F1062=0),"",D1062/F1062)</f>
        <v/>
      </c>
      <c r="J1062" t="str">
        <f>IF(OR(H1062="",I1062=""),"",IF(H1062=0,"",I1062/H1062-1))</f>
        <v/>
      </c>
      <c r="K1062" t="str">
        <f>IF($B1062="","",IFERROR(IF(G1062=0,-2E+300,CHOOSE(sortIdx,ROUND(D1062,0),IF(J1062="",-1E+300,ROUND(-J1062,6)),IF(J1062="",-1E+300,ROUND(J1062,6)))),-1.5E+300))</f>
        <v/>
      </c>
      <c r="L1062" t="str">
        <f>IF(K1062="","",RANK(K1062,$K$2:$K$3001,0)+COUNTIF($K$2:K1062,K1062)-1)</f>
        <v/>
      </c>
    </row>
    <row r="1063">
      <c r="B1063" t="str">
        <f>IFERROR(IF(A1063="","","="&amp;SUBSTITUTE(SUBSTITUTE(SUBSTITUTE(A1063,"~","~~"),"*","~*"),"?","~?")),"")</f>
        <v/>
      </c>
      <c r="C1063" t="str">
        <f>IF($B1063="","",SUMIFS(dAmt,dCust,$B1063,dPer,"&gt;="&amp;pyFrom,dPer,"&lt;="&amp;pyTo,dAmt,"&gt;-1E+300",dFlt1,critFlt1,dFlt2,critFlt2,dFlt3,critFlt3))</f>
        <v/>
      </c>
      <c r="D1063" t="str">
        <f>IF($B1063="","",SUMIFS(dAmt,dCust,$B1063,dPer,"&gt;="&amp;cyFrom,dPer,"&lt;="&amp;cyTo,dAmt,"&gt;-1E+300",dFlt1,critFlt1,dFlt2,critFlt2,dFlt3,critFlt3))</f>
        <v/>
      </c>
      <c r="E1063" t="str">
        <f>IF($B1063="","",SUMIFS(dQty,dCust,$B1063,dPer,"&gt;="&amp;pyFrom,dPer,"&lt;="&amp;pyTo,dQty,"&gt;-1E+300",dFlt1,critFlt1,dFlt2,critFlt2,dFlt3,critFlt3))</f>
        <v/>
      </c>
      <c r="F1063" t="str">
        <f>IF($B1063="","",SUMIFS(dQty,dCust,$B1063,dPer,"&gt;="&amp;cyFrom,dPer,"&lt;="&amp;cyTo,dQty,"&gt;-1E+300",dFlt1,critFlt1,dFlt2,critFlt2,dFlt3,critFlt3))</f>
        <v/>
      </c>
      <c r="G1063">
        <f>IF($B1063="",0,IFERROR(IF(OR(C1063&lt;&gt;0,D1063&lt;&gt;0,E1063&lt;&gt;0,F1063&lt;&gt;0),1,0),1))</f>
        <v>0</v>
      </c>
      <c r="H1063" t="str">
        <f>IF(OR(G1063=0,E1063=0),"",C1063/E1063)</f>
        <v/>
      </c>
      <c r="I1063" t="str">
        <f>IF(OR(G1063=0,F1063=0),"",D1063/F1063)</f>
        <v/>
      </c>
      <c r="J1063" t="str">
        <f>IF(OR(H1063="",I1063=""),"",IF(H1063=0,"",I1063/H1063-1))</f>
        <v/>
      </c>
      <c r="K1063" t="str">
        <f>IF($B1063="","",IFERROR(IF(G1063=0,-2E+300,CHOOSE(sortIdx,ROUND(D1063,0),IF(J1063="",-1E+300,ROUND(-J1063,6)),IF(J1063="",-1E+300,ROUND(J1063,6)))),-1.5E+300))</f>
        <v/>
      </c>
      <c r="L1063" t="str">
        <f>IF(K1063="","",RANK(K1063,$K$2:$K$3001,0)+COUNTIF($K$2:K1063,K1063)-1)</f>
        <v/>
      </c>
    </row>
    <row r="1064">
      <c r="B1064" t="str">
        <f>IFERROR(IF(A1064="","","="&amp;SUBSTITUTE(SUBSTITUTE(SUBSTITUTE(A1064,"~","~~"),"*","~*"),"?","~?")),"")</f>
        <v/>
      </c>
      <c r="C1064" t="str">
        <f>IF($B1064="","",SUMIFS(dAmt,dCust,$B1064,dPer,"&gt;="&amp;pyFrom,dPer,"&lt;="&amp;pyTo,dAmt,"&gt;-1E+300",dFlt1,critFlt1,dFlt2,critFlt2,dFlt3,critFlt3))</f>
        <v/>
      </c>
      <c r="D1064" t="str">
        <f>IF($B1064="","",SUMIFS(dAmt,dCust,$B1064,dPer,"&gt;="&amp;cyFrom,dPer,"&lt;="&amp;cyTo,dAmt,"&gt;-1E+300",dFlt1,critFlt1,dFlt2,critFlt2,dFlt3,critFlt3))</f>
        <v/>
      </c>
      <c r="E1064" t="str">
        <f>IF($B1064="","",SUMIFS(dQty,dCust,$B1064,dPer,"&gt;="&amp;pyFrom,dPer,"&lt;="&amp;pyTo,dQty,"&gt;-1E+300",dFlt1,critFlt1,dFlt2,critFlt2,dFlt3,critFlt3))</f>
        <v/>
      </c>
      <c r="F1064" t="str">
        <f>IF($B1064="","",SUMIFS(dQty,dCust,$B1064,dPer,"&gt;="&amp;cyFrom,dPer,"&lt;="&amp;cyTo,dQty,"&gt;-1E+300",dFlt1,critFlt1,dFlt2,critFlt2,dFlt3,critFlt3))</f>
        <v/>
      </c>
      <c r="G1064">
        <f>IF($B1064="",0,IFERROR(IF(OR(C1064&lt;&gt;0,D1064&lt;&gt;0,E1064&lt;&gt;0,F1064&lt;&gt;0),1,0),1))</f>
        <v>0</v>
      </c>
      <c r="H1064" t="str">
        <f>IF(OR(G1064=0,E1064=0),"",C1064/E1064)</f>
        <v/>
      </c>
      <c r="I1064" t="str">
        <f>IF(OR(G1064=0,F1064=0),"",D1064/F1064)</f>
        <v/>
      </c>
      <c r="J1064" t="str">
        <f>IF(OR(H1064="",I1064=""),"",IF(H1064=0,"",I1064/H1064-1))</f>
        <v/>
      </c>
      <c r="K1064" t="str">
        <f>IF($B1064="","",IFERROR(IF(G1064=0,-2E+300,CHOOSE(sortIdx,ROUND(D1064,0),IF(J1064="",-1E+300,ROUND(-J1064,6)),IF(J1064="",-1E+300,ROUND(J1064,6)))),-1.5E+300))</f>
        <v/>
      </c>
      <c r="L1064" t="str">
        <f>IF(K1064="","",RANK(K1064,$K$2:$K$3001,0)+COUNTIF($K$2:K1064,K1064)-1)</f>
        <v/>
      </c>
    </row>
    <row r="1065">
      <c r="B1065" t="str">
        <f>IFERROR(IF(A1065="","","="&amp;SUBSTITUTE(SUBSTITUTE(SUBSTITUTE(A1065,"~","~~"),"*","~*"),"?","~?")),"")</f>
        <v/>
      </c>
      <c r="C1065" t="str">
        <f>IF($B1065="","",SUMIFS(dAmt,dCust,$B1065,dPer,"&gt;="&amp;pyFrom,dPer,"&lt;="&amp;pyTo,dAmt,"&gt;-1E+300",dFlt1,critFlt1,dFlt2,critFlt2,dFlt3,critFlt3))</f>
        <v/>
      </c>
      <c r="D1065" t="str">
        <f>IF($B1065="","",SUMIFS(dAmt,dCust,$B1065,dPer,"&gt;="&amp;cyFrom,dPer,"&lt;="&amp;cyTo,dAmt,"&gt;-1E+300",dFlt1,critFlt1,dFlt2,critFlt2,dFlt3,critFlt3))</f>
        <v/>
      </c>
      <c r="E1065" t="str">
        <f>IF($B1065="","",SUMIFS(dQty,dCust,$B1065,dPer,"&gt;="&amp;pyFrom,dPer,"&lt;="&amp;pyTo,dQty,"&gt;-1E+300",dFlt1,critFlt1,dFlt2,critFlt2,dFlt3,critFlt3))</f>
        <v/>
      </c>
      <c r="F1065" t="str">
        <f>IF($B1065="","",SUMIFS(dQty,dCust,$B1065,dPer,"&gt;="&amp;cyFrom,dPer,"&lt;="&amp;cyTo,dQty,"&gt;-1E+300",dFlt1,critFlt1,dFlt2,critFlt2,dFlt3,critFlt3))</f>
        <v/>
      </c>
      <c r="G1065">
        <f>IF($B1065="",0,IFERROR(IF(OR(C1065&lt;&gt;0,D1065&lt;&gt;0,E1065&lt;&gt;0,F1065&lt;&gt;0),1,0),1))</f>
        <v>0</v>
      </c>
      <c r="H1065" t="str">
        <f>IF(OR(G1065=0,E1065=0),"",C1065/E1065)</f>
        <v/>
      </c>
      <c r="I1065" t="str">
        <f>IF(OR(G1065=0,F1065=0),"",D1065/F1065)</f>
        <v/>
      </c>
      <c r="J1065" t="str">
        <f>IF(OR(H1065="",I1065=""),"",IF(H1065=0,"",I1065/H1065-1))</f>
        <v/>
      </c>
      <c r="K1065" t="str">
        <f>IF($B1065="","",IFERROR(IF(G1065=0,-2E+300,CHOOSE(sortIdx,ROUND(D1065,0),IF(J1065="",-1E+300,ROUND(-J1065,6)),IF(J1065="",-1E+300,ROUND(J1065,6)))),-1.5E+300))</f>
        <v/>
      </c>
      <c r="L1065" t="str">
        <f>IF(K1065="","",RANK(K1065,$K$2:$K$3001,0)+COUNTIF($K$2:K1065,K1065)-1)</f>
        <v/>
      </c>
    </row>
    <row r="1066">
      <c r="B1066" t="str">
        <f>IFERROR(IF(A1066="","","="&amp;SUBSTITUTE(SUBSTITUTE(SUBSTITUTE(A1066,"~","~~"),"*","~*"),"?","~?")),"")</f>
        <v/>
      </c>
      <c r="C1066" t="str">
        <f>IF($B1066="","",SUMIFS(dAmt,dCust,$B1066,dPer,"&gt;="&amp;pyFrom,dPer,"&lt;="&amp;pyTo,dAmt,"&gt;-1E+300",dFlt1,critFlt1,dFlt2,critFlt2,dFlt3,critFlt3))</f>
        <v/>
      </c>
      <c r="D1066" t="str">
        <f>IF($B1066="","",SUMIFS(dAmt,dCust,$B1066,dPer,"&gt;="&amp;cyFrom,dPer,"&lt;="&amp;cyTo,dAmt,"&gt;-1E+300",dFlt1,critFlt1,dFlt2,critFlt2,dFlt3,critFlt3))</f>
        <v/>
      </c>
      <c r="E1066" t="str">
        <f>IF($B1066="","",SUMIFS(dQty,dCust,$B1066,dPer,"&gt;="&amp;pyFrom,dPer,"&lt;="&amp;pyTo,dQty,"&gt;-1E+300",dFlt1,critFlt1,dFlt2,critFlt2,dFlt3,critFlt3))</f>
        <v/>
      </c>
      <c r="F1066" t="str">
        <f>IF($B1066="","",SUMIFS(dQty,dCust,$B1066,dPer,"&gt;="&amp;cyFrom,dPer,"&lt;="&amp;cyTo,dQty,"&gt;-1E+300",dFlt1,critFlt1,dFlt2,critFlt2,dFlt3,critFlt3))</f>
        <v/>
      </c>
      <c r="G1066">
        <f>IF($B1066="",0,IFERROR(IF(OR(C1066&lt;&gt;0,D1066&lt;&gt;0,E1066&lt;&gt;0,F1066&lt;&gt;0),1,0),1))</f>
        <v>0</v>
      </c>
      <c r="H1066" t="str">
        <f>IF(OR(G1066=0,E1066=0),"",C1066/E1066)</f>
        <v/>
      </c>
      <c r="I1066" t="str">
        <f>IF(OR(G1066=0,F1066=0),"",D1066/F1066)</f>
        <v/>
      </c>
      <c r="J1066" t="str">
        <f>IF(OR(H1066="",I1066=""),"",IF(H1066=0,"",I1066/H1066-1))</f>
        <v/>
      </c>
      <c r="K1066" t="str">
        <f>IF($B1066="","",IFERROR(IF(G1066=0,-2E+300,CHOOSE(sortIdx,ROUND(D1066,0),IF(J1066="",-1E+300,ROUND(-J1066,6)),IF(J1066="",-1E+300,ROUND(J1066,6)))),-1.5E+300))</f>
        <v/>
      </c>
      <c r="L1066" t="str">
        <f>IF(K1066="","",RANK(K1066,$K$2:$K$3001,0)+COUNTIF($K$2:K1066,K1066)-1)</f>
        <v/>
      </c>
    </row>
    <row r="1067">
      <c r="B1067" t="str">
        <f>IFERROR(IF(A1067="","","="&amp;SUBSTITUTE(SUBSTITUTE(SUBSTITUTE(A1067,"~","~~"),"*","~*"),"?","~?")),"")</f>
        <v/>
      </c>
      <c r="C1067" t="str">
        <f>IF($B1067="","",SUMIFS(dAmt,dCust,$B1067,dPer,"&gt;="&amp;pyFrom,dPer,"&lt;="&amp;pyTo,dAmt,"&gt;-1E+300",dFlt1,critFlt1,dFlt2,critFlt2,dFlt3,critFlt3))</f>
        <v/>
      </c>
      <c r="D1067" t="str">
        <f>IF($B1067="","",SUMIFS(dAmt,dCust,$B1067,dPer,"&gt;="&amp;cyFrom,dPer,"&lt;="&amp;cyTo,dAmt,"&gt;-1E+300",dFlt1,critFlt1,dFlt2,critFlt2,dFlt3,critFlt3))</f>
        <v/>
      </c>
      <c r="E1067" t="str">
        <f>IF($B1067="","",SUMIFS(dQty,dCust,$B1067,dPer,"&gt;="&amp;pyFrom,dPer,"&lt;="&amp;pyTo,dQty,"&gt;-1E+300",dFlt1,critFlt1,dFlt2,critFlt2,dFlt3,critFlt3))</f>
        <v/>
      </c>
      <c r="F1067" t="str">
        <f>IF($B1067="","",SUMIFS(dQty,dCust,$B1067,dPer,"&gt;="&amp;cyFrom,dPer,"&lt;="&amp;cyTo,dQty,"&gt;-1E+300",dFlt1,critFlt1,dFlt2,critFlt2,dFlt3,critFlt3))</f>
        <v/>
      </c>
      <c r="G1067">
        <f>IF($B1067="",0,IFERROR(IF(OR(C1067&lt;&gt;0,D1067&lt;&gt;0,E1067&lt;&gt;0,F1067&lt;&gt;0),1,0),1))</f>
        <v>0</v>
      </c>
      <c r="H1067" t="str">
        <f>IF(OR(G1067=0,E1067=0),"",C1067/E1067)</f>
        <v/>
      </c>
      <c r="I1067" t="str">
        <f>IF(OR(G1067=0,F1067=0),"",D1067/F1067)</f>
        <v/>
      </c>
      <c r="J1067" t="str">
        <f>IF(OR(H1067="",I1067=""),"",IF(H1067=0,"",I1067/H1067-1))</f>
        <v/>
      </c>
      <c r="K1067" t="str">
        <f>IF($B1067="","",IFERROR(IF(G1067=0,-2E+300,CHOOSE(sortIdx,ROUND(D1067,0),IF(J1067="",-1E+300,ROUND(-J1067,6)),IF(J1067="",-1E+300,ROUND(J1067,6)))),-1.5E+300))</f>
        <v/>
      </c>
      <c r="L1067" t="str">
        <f>IF(K1067="","",RANK(K1067,$K$2:$K$3001,0)+COUNTIF($K$2:K1067,K1067)-1)</f>
        <v/>
      </c>
    </row>
    <row r="1068">
      <c r="B1068" t="str">
        <f>IFERROR(IF(A1068="","","="&amp;SUBSTITUTE(SUBSTITUTE(SUBSTITUTE(A1068,"~","~~"),"*","~*"),"?","~?")),"")</f>
        <v/>
      </c>
      <c r="C1068" t="str">
        <f>IF($B1068="","",SUMIFS(dAmt,dCust,$B1068,dPer,"&gt;="&amp;pyFrom,dPer,"&lt;="&amp;pyTo,dAmt,"&gt;-1E+300",dFlt1,critFlt1,dFlt2,critFlt2,dFlt3,critFlt3))</f>
        <v/>
      </c>
      <c r="D1068" t="str">
        <f>IF($B1068="","",SUMIFS(dAmt,dCust,$B1068,dPer,"&gt;="&amp;cyFrom,dPer,"&lt;="&amp;cyTo,dAmt,"&gt;-1E+300",dFlt1,critFlt1,dFlt2,critFlt2,dFlt3,critFlt3))</f>
        <v/>
      </c>
      <c r="E1068" t="str">
        <f>IF($B1068="","",SUMIFS(dQty,dCust,$B1068,dPer,"&gt;="&amp;pyFrom,dPer,"&lt;="&amp;pyTo,dQty,"&gt;-1E+300",dFlt1,critFlt1,dFlt2,critFlt2,dFlt3,critFlt3))</f>
        <v/>
      </c>
      <c r="F1068" t="str">
        <f>IF($B1068="","",SUMIFS(dQty,dCust,$B1068,dPer,"&gt;="&amp;cyFrom,dPer,"&lt;="&amp;cyTo,dQty,"&gt;-1E+300",dFlt1,critFlt1,dFlt2,critFlt2,dFlt3,critFlt3))</f>
        <v/>
      </c>
      <c r="G1068">
        <f>IF($B1068="",0,IFERROR(IF(OR(C1068&lt;&gt;0,D1068&lt;&gt;0,E1068&lt;&gt;0,F1068&lt;&gt;0),1,0),1))</f>
        <v>0</v>
      </c>
      <c r="H1068" t="str">
        <f>IF(OR(G1068=0,E1068=0),"",C1068/E1068)</f>
        <v/>
      </c>
      <c r="I1068" t="str">
        <f>IF(OR(G1068=0,F1068=0),"",D1068/F1068)</f>
        <v/>
      </c>
      <c r="J1068" t="str">
        <f>IF(OR(H1068="",I1068=""),"",IF(H1068=0,"",I1068/H1068-1))</f>
        <v/>
      </c>
      <c r="K1068" t="str">
        <f>IF($B1068="","",IFERROR(IF(G1068=0,-2E+300,CHOOSE(sortIdx,ROUND(D1068,0),IF(J1068="",-1E+300,ROUND(-J1068,6)),IF(J1068="",-1E+300,ROUND(J1068,6)))),-1.5E+300))</f>
        <v/>
      </c>
      <c r="L1068" t="str">
        <f>IF(K1068="","",RANK(K1068,$K$2:$K$3001,0)+COUNTIF($K$2:K1068,K1068)-1)</f>
        <v/>
      </c>
    </row>
    <row r="1069">
      <c r="B1069" t="str">
        <f>IFERROR(IF(A1069="","","="&amp;SUBSTITUTE(SUBSTITUTE(SUBSTITUTE(A1069,"~","~~"),"*","~*"),"?","~?")),"")</f>
        <v/>
      </c>
      <c r="C1069" t="str">
        <f>IF($B1069="","",SUMIFS(dAmt,dCust,$B1069,dPer,"&gt;="&amp;pyFrom,dPer,"&lt;="&amp;pyTo,dAmt,"&gt;-1E+300",dFlt1,critFlt1,dFlt2,critFlt2,dFlt3,critFlt3))</f>
        <v/>
      </c>
      <c r="D1069" t="str">
        <f>IF($B1069="","",SUMIFS(dAmt,dCust,$B1069,dPer,"&gt;="&amp;cyFrom,dPer,"&lt;="&amp;cyTo,dAmt,"&gt;-1E+300",dFlt1,critFlt1,dFlt2,critFlt2,dFlt3,critFlt3))</f>
        <v/>
      </c>
      <c r="E1069" t="str">
        <f>IF($B1069="","",SUMIFS(dQty,dCust,$B1069,dPer,"&gt;="&amp;pyFrom,dPer,"&lt;="&amp;pyTo,dQty,"&gt;-1E+300",dFlt1,critFlt1,dFlt2,critFlt2,dFlt3,critFlt3))</f>
        <v/>
      </c>
      <c r="F1069" t="str">
        <f>IF($B1069="","",SUMIFS(dQty,dCust,$B1069,dPer,"&gt;="&amp;cyFrom,dPer,"&lt;="&amp;cyTo,dQty,"&gt;-1E+300",dFlt1,critFlt1,dFlt2,critFlt2,dFlt3,critFlt3))</f>
        <v/>
      </c>
      <c r="G1069">
        <f>IF($B1069="",0,IFERROR(IF(OR(C1069&lt;&gt;0,D1069&lt;&gt;0,E1069&lt;&gt;0,F1069&lt;&gt;0),1,0),1))</f>
        <v>0</v>
      </c>
      <c r="H1069" t="str">
        <f>IF(OR(G1069=0,E1069=0),"",C1069/E1069)</f>
        <v/>
      </c>
      <c r="I1069" t="str">
        <f>IF(OR(G1069=0,F1069=0),"",D1069/F1069)</f>
        <v/>
      </c>
      <c r="J1069" t="str">
        <f>IF(OR(H1069="",I1069=""),"",IF(H1069=0,"",I1069/H1069-1))</f>
        <v/>
      </c>
      <c r="K1069" t="str">
        <f>IF($B1069="","",IFERROR(IF(G1069=0,-2E+300,CHOOSE(sortIdx,ROUND(D1069,0),IF(J1069="",-1E+300,ROUND(-J1069,6)),IF(J1069="",-1E+300,ROUND(J1069,6)))),-1.5E+300))</f>
        <v/>
      </c>
      <c r="L1069" t="str">
        <f>IF(K1069="","",RANK(K1069,$K$2:$K$3001,0)+COUNTIF($K$2:K1069,K1069)-1)</f>
        <v/>
      </c>
    </row>
    <row r="1070">
      <c r="B1070" t="str">
        <f>IFERROR(IF(A1070="","","="&amp;SUBSTITUTE(SUBSTITUTE(SUBSTITUTE(A1070,"~","~~"),"*","~*"),"?","~?")),"")</f>
        <v/>
      </c>
      <c r="C1070" t="str">
        <f>IF($B1070="","",SUMIFS(dAmt,dCust,$B1070,dPer,"&gt;="&amp;pyFrom,dPer,"&lt;="&amp;pyTo,dAmt,"&gt;-1E+300",dFlt1,critFlt1,dFlt2,critFlt2,dFlt3,critFlt3))</f>
        <v/>
      </c>
      <c r="D1070" t="str">
        <f>IF($B1070="","",SUMIFS(dAmt,dCust,$B1070,dPer,"&gt;="&amp;cyFrom,dPer,"&lt;="&amp;cyTo,dAmt,"&gt;-1E+300",dFlt1,critFlt1,dFlt2,critFlt2,dFlt3,critFlt3))</f>
        <v/>
      </c>
      <c r="E1070" t="str">
        <f>IF($B1070="","",SUMIFS(dQty,dCust,$B1070,dPer,"&gt;="&amp;pyFrom,dPer,"&lt;="&amp;pyTo,dQty,"&gt;-1E+300",dFlt1,critFlt1,dFlt2,critFlt2,dFlt3,critFlt3))</f>
        <v/>
      </c>
      <c r="F1070" t="str">
        <f>IF($B1070="","",SUMIFS(dQty,dCust,$B1070,dPer,"&gt;="&amp;cyFrom,dPer,"&lt;="&amp;cyTo,dQty,"&gt;-1E+300",dFlt1,critFlt1,dFlt2,critFlt2,dFlt3,critFlt3))</f>
        <v/>
      </c>
      <c r="G1070">
        <f>IF($B1070="",0,IFERROR(IF(OR(C1070&lt;&gt;0,D1070&lt;&gt;0,E1070&lt;&gt;0,F1070&lt;&gt;0),1,0),1))</f>
        <v>0</v>
      </c>
      <c r="H1070" t="str">
        <f>IF(OR(G1070=0,E1070=0),"",C1070/E1070)</f>
        <v/>
      </c>
      <c r="I1070" t="str">
        <f>IF(OR(G1070=0,F1070=0),"",D1070/F1070)</f>
        <v/>
      </c>
      <c r="J1070" t="str">
        <f>IF(OR(H1070="",I1070=""),"",IF(H1070=0,"",I1070/H1070-1))</f>
        <v/>
      </c>
      <c r="K1070" t="str">
        <f>IF($B1070="","",IFERROR(IF(G1070=0,-2E+300,CHOOSE(sortIdx,ROUND(D1070,0),IF(J1070="",-1E+300,ROUND(-J1070,6)),IF(J1070="",-1E+300,ROUND(J1070,6)))),-1.5E+300))</f>
        <v/>
      </c>
      <c r="L1070" t="str">
        <f>IF(K1070="","",RANK(K1070,$K$2:$K$3001,0)+COUNTIF($K$2:K1070,K1070)-1)</f>
        <v/>
      </c>
    </row>
    <row r="1071">
      <c r="B1071" t="str">
        <f>IFERROR(IF(A1071="","","="&amp;SUBSTITUTE(SUBSTITUTE(SUBSTITUTE(A1071,"~","~~"),"*","~*"),"?","~?")),"")</f>
        <v/>
      </c>
      <c r="C1071" t="str">
        <f>IF($B1071="","",SUMIFS(dAmt,dCust,$B1071,dPer,"&gt;="&amp;pyFrom,dPer,"&lt;="&amp;pyTo,dAmt,"&gt;-1E+300",dFlt1,critFlt1,dFlt2,critFlt2,dFlt3,critFlt3))</f>
        <v/>
      </c>
      <c r="D1071" t="str">
        <f>IF($B1071="","",SUMIFS(dAmt,dCust,$B1071,dPer,"&gt;="&amp;cyFrom,dPer,"&lt;="&amp;cyTo,dAmt,"&gt;-1E+300",dFlt1,critFlt1,dFlt2,critFlt2,dFlt3,critFlt3))</f>
        <v/>
      </c>
      <c r="E1071" t="str">
        <f>IF($B1071="","",SUMIFS(dQty,dCust,$B1071,dPer,"&gt;="&amp;pyFrom,dPer,"&lt;="&amp;pyTo,dQty,"&gt;-1E+300",dFlt1,critFlt1,dFlt2,critFlt2,dFlt3,critFlt3))</f>
        <v/>
      </c>
      <c r="F1071" t="str">
        <f>IF($B1071="","",SUMIFS(dQty,dCust,$B1071,dPer,"&gt;="&amp;cyFrom,dPer,"&lt;="&amp;cyTo,dQty,"&gt;-1E+300",dFlt1,critFlt1,dFlt2,critFlt2,dFlt3,critFlt3))</f>
        <v/>
      </c>
      <c r="G1071">
        <f>IF($B1071="",0,IFERROR(IF(OR(C1071&lt;&gt;0,D1071&lt;&gt;0,E1071&lt;&gt;0,F1071&lt;&gt;0),1,0),1))</f>
        <v>0</v>
      </c>
      <c r="H1071" t="str">
        <f>IF(OR(G1071=0,E1071=0),"",C1071/E1071)</f>
        <v/>
      </c>
      <c r="I1071" t="str">
        <f>IF(OR(G1071=0,F1071=0),"",D1071/F1071)</f>
        <v/>
      </c>
      <c r="J1071" t="str">
        <f>IF(OR(H1071="",I1071=""),"",IF(H1071=0,"",I1071/H1071-1))</f>
        <v/>
      </c>
      <c r="K1071" t="str">
        <f>IF($B1071="","",IFERROR(IF(G1071=0,-2E+300,CHOOSE(sortIdx,ROUND(D1071,0),IF(J1071="",-1E+300,ROUND(-J1071,6)),IF(J1071="",-1E+300,ROUND(J1071,6)))),-1.5E+300))</f>
        <v/>
      </c>
      <c r="L1071" t="str">
        <f>IF(K1071="","",RANK(K1071,$K$2:$K$3001,0)+COUNTIF($K$2:K1071,K1071)-1)</f>
        <v/>
      </c>
    </row>
    <row r="1072">
      <c r="B1072" t="str">
        <f>IFERROR(IF(A1072="","","="&amp;SUBSTITUTE(SUBSTITUTE(SUBSTITUTE(A1072,"~","~~"),"*","~*"),"?","~?")),"")</f>
        <v/>
      </c>
      <c r="C1072" t="str">
        <f>IF($B1072="","",SUMIFS(dAmt,dCust,$B1072,dPer,"&gt;="&amp;pyFrom,dPer,"&lt;="&amp;pyTo,dAmt,"&gt;-1E+300",dFlt1,critFlt1,dFlt2,critFlt2,dFlt3,critFlt3))</f>
        <v/>
      </c>
      <c r="D1072" t="str">
        <f>IF($B1072="","",SUMIFS(dAmt,dCust,$B1072,dPer,"&gt;="&amp;cyFrom,dPer,"&lt;="&amp;cyTo,dAmt,"&gt;-1E+300",dFlt1,critFlt1,dFlt2,critFlt2,dFlt3,critFlt3))</f>
        <v/>
      </c>
      <c r="E1072" t="str">
        <f>IF($B1072="","",SUMIFS(dQty,dCust,$B1072,dPer,"&gt;="&amp;pyFrom,dPer,"&lt;="&amp;pyTo,dQty,"&gt;-1E+300",dFlt1,critFlt1,dFlt2,critFlt2,dFlt3,critFlt3))</f>
        <v/>
      </c>
      <c r="F1072" t="str">
        <f>IF($B1072="","",SUMIFS(dQty,dCust,$B1072,dPer,"&gt;="&amp;cyFrom,dPer,"&lt;="&amp;cyTo,dQty,"&gt;-1E+300",dFlt1,critFlt1,dFlt2,critFlt2,dFlt3,critFlt3))</f>
        <v/>
      </c>
      <c r="G1072">
        <f>IF($B1072="",0,IFERROR(IF(OR(C1072&lt;&gt;0,D1072&lt;&gt;0,E1072&lt;&gt;0,F1072&lt;&gt;0),1,0),1))</f>
        <v>0</v>
      </c>
      <c r="H1072" t="str">
        <f>IF(OR(G1072=0,E1072=0),"",C1072/E1072)</f>
        <v/>
      </c>
      <c r="I1072" t="str">
        <f>IF(OR(G1072=0,F1072=0),"",D1072/F1072)</f>
        <v/>
      </c>
      <c r="J1072" t="str">
        <f>IF(OR(H1072="",I1072=""),"",IF(H1072=0,"",I1072/H1072-1))</f>
        <v/>
      </c>
      <c r="K1072" t="str">
        <f>IF($B1072="","",IFERROR(IF(G1072=0,-2E+300,CHOOSE(sortIdx,ROUND(D1072,0),IF(J1072="",-1E+300,ROUND(-J1072,6)),IF(J1072="",-1E+300,ROUND(J1072,6)))),-1.5E+300))</f>
        <v/>
      </c>
      <c r="L1072" t="str">
        <f>IF(K1072="","",RANK(K1072,$K$2:$K$3001,0)+COUNTIF($K$2:K1072,K1072)-1)</f>
        <v/>
      </c>
    </row>
    <row r="1073">
      <c r="B1073" t="str">
        <f>IFERROR(IF(A1073="","","="&amp;SUBSTITUTE(SUBSTITUTE(SUBSTITUTE(A1073,"~","~~"),"*","~*"),"?","~?")),"")</f>
        <v/>
      </c>
      <c r="C1073" t="str">
        <f>IF($B1073="","",SUMIFS(dAmt,dCust,$B1073,dPer,"&gt;="&amp;pyFrom,dPer,"&lt;="&amp;pyTo,dAmt,"&gt;-1E+300",dFlt1,critFlt1,dFlt2,critFlt2,dFlt3,critFlt3))</f>
        <v/>
      </c>
      <c r="D1073" t="str">
        <f>IF($B1073="","",SUMIFS(dAmt,dCust,$B1073,dPer,"&gt;="&amp;cyFrom,dPer,"&lt;="&amp;cyTo,dAmt,"&gt;-1E+300",dFlt1,critFlt1,dFlt2,critFlt2,dFlt3,critFlt3))</f>
        <v/>
      </c>
      <c r="E1073" t="str">
        <f>IF($B1073="","",SUMIFS(dQty,dCust,$B1073,dPer,"&gt;="&amp;pyFrom,dPer,"&lt;="&amp;pyTo,dQty,"&gt;-1E+300",dFlt1,critFlt1,dFlt2,critFlt2,dFlt3,critFlt3))</f>
        <v/>
      </c>
      <c r="F1073" t="str">
        <f>IF($B1073="","",SUMIFS(dQty,dCust,$B1073,dPer,"&gt;="&amp;cyFrom,dPer,"&lt;="&amp;cyTo,dQty,"&gt;-1E+300",dFlt1,critFlt1,dFlt2,critFlt2,dFlt3,critFlt3))</f>
        <v/>
      </c>
      <c r="G1073">
        <f>IF($B1073="",0,IFERROR(IF(OR(C1073&lt;&gt;0,D1073&lt;&gt;0,E1073&lt;&gt;0,F1073&lt;&gt;0),1,0),1))</f>
        <v>0</v>
      </c>
      <c r="H1073" t="str">
        <f>IF(OR(G1073=0,E1073=0),"",C1073/E1073)</f>
        <v/>
      </c>
      <c r="I1073" t="str">
        <f>IF(OR(G1073=0,F1073=0),"",D1073/F1073)</f>
        <v/>
      </c>
      <c r="J1073" t="str">
        <f>IF(OR(H1073="",I1073=""),"",IF(H1073=0,"",I1073/H1073-1))</f>
        <v/>
      </c>
      <c r="K1073" t="str">
        <f>IF($B1073="","",IFERROR(IF(G1073=0,-2E+300,CHOOSE(sortIdx,ROUND(D1073,0),IF(J1073="",-1E+300,ROUND(-J1073,6)),IF(J1073="",-1E+300,ROUND(J1073,6)))),-1.5E+300))</f>
        <v/>
      </c>
      <c r="L1073" t="str">
        <f>IF(K1073="","",RANK(K1073,$K$2:$K$3001,0)+COUNTIF($K$2:K1073,K1073)-1)</f>
        <v/>
      </c>
    </row>
    <row r="1074">
      <c r="B1074" t="str">
        <f>IFERROR(IF(A1074="","","="&amp;SUBSTITUTE(SUBSTITUTE(SUBSTITUTE(A1074,"~","~~"),"*","~*"),"?","~?")),"")</f>
        <v/>
      </c>
      <c r="C1074" t="str">
        <f>IF($B1074="","",SUMIFS(dAmt,dCust,$B1074,dPer,"&gt;="&amp;pyFrom,dPer,"&lt;="&amp;pyTo,dAmt,"&gt;-1E+300",dFlt1,critFlt1,dFlt2,critFlt2,dFlt3,critFlt3))</f>
        <v/>
      </c>
      <c r="D1074" t="str">
        <f>IF($B1074="","",SUMIFS(dAmt,dCust,$B1074,dPer,"&gt;="&amp;cyFrom,dPer,"&lt;="&amp;cyTo,dAmt,"&gt;-1E+300",dFlt1,critFlt1,dFlt2,critFlt2,dFlt3,critFlt3))</f>
        <v/>
      </c>
      <c r="E1074" t="str">
        <f>IF($B1074="","",SUMIFS(dQty,dCust,$B1074,dPer,"&gt;="&amp;pyFrom,dPer,"&lt;="&amp;pyTo,dQty,"&gt;-1E+300",dFlt1,critFlt1,dFlt2,critFlt2,dFlt3,critFlt3))</f>
        <v/>
      </c>
      <c r="F1074" t="str">
        <f>IF($B1074="","",SUMIFS(dQty,dCust,$B1074,dPer,"&gt;="&amp;cyFrom,dPer,"&lt;="&amp;cyTo,dQty,"&gt;-1E+300",dFlt1,critFlt1,dFlt2,critFlt2,dFlt3,critFlt3))</f>
        <v/>
      </c>
      <c r="G1074">
        <f>IF($B1074="",0,IFERROR(IF(OR(C1074&lt;&gt;0,D1074&lt;&gt;0,E1074&lt;&gt;0,F1074&lt;&gt;0),1,0),1))</f>
        <v>0</v>
      </c>
      <c r="H1074" t="str">
        <f>IF(OR(G1074=0,E1074=0),"",C1074/E1074)</f>
        <v/>
      </c>
      <c r="I1074" t="str">
        <f>IF(OR(G1074=0,F1074=0),"",D1074/F1074)</f>
        <v/>
      </c>
      <c r="J1074" t="str">
        <f>IF(OR(H1074="",I1074=""),"",IF(H1074=0,"",I1074/H1074-1))</f>
        <v/>
      </c>
      <c r="K1074" t="str">
        <f>IF($B1074="","",IFERROR(IF(G1074=0,-2E+300,CHOOSE(sortIdx,ROUND(D1074,0),IF(J1074="",-1E+300,ROUND(-J1074,6)),IF(J1074="",-1E+300,ROUND(J1074,6)))),-1.5E+300))</f>
        <v/>
      </c>
      <c r="L1074" t="str">
        <f>IF(K1074="","",RANK(K1074,$K$2:$K$3001,0)+COUNTIF($K$2:K1074,K1074)-1)</f>
        <v/>
      </c>
    </row>
    <row r="1075">
      <c r="B1075" t="str">
        <f>IFERROR(IF(A1075="","","="&amp;SUBSTITUTE(SUBSTITUTE(SUBSTITUTE(A1075,"~","~~"),"*","~*"),"?","~?")),"")</f>
        <v/>
      </c>
      <c r="C1075" t="str">
        <f>IF($B1075="","",SUMIFS(dAmt,dCust,$B1075,dPer,"&gt;="&amp;pyFrom,dPer,"&lt;="&amp;pyTo,dAmt,"&gt;-1E+300",dFlt1,critFlt1,dFlt2,critFlt2,dFlt3,critFlt3))</f>
        <v/>
      </c>
      <c r="D1075" t="str">
        <f>IF($B1075="","",SUMIFS(dAmt,dCust,$B1075,dPer,"&gt;="&amp;cyFrom,dPer,"&lt;="&amp;cyTo,dAmt,"&gt;-1E+300",dFlt1,critFlt1,dFlt2,critFlt2,dFlt3,critFlt3))</f>
        <v/>
      </c>
      <c r="E1075" t="str">
        <f>IF($B1075="","",SUMIFS(dQty,dCust,$B1075,dPer,"&gt;="&amp;pyFrom,dPer,"&lt;="&amp;pyTo,dQty,"&gt;-1E+300",dFlt1,critFlt1,dFlt2,critFlt2,dFlt3,critFlt3))</f>
        <v/>
      </c>
      <c r="F1075" t="str">
        <f>IF($B1075="","",SUMIFS(dQty,dCust,$B1075,dPer,"&gt;="&amp;cyFrom,dPer,"&lt;="&amp;cyTo,dQty,"&gt;-1E+300",dFlt1,critFlt1,dFlt2,critFlt2,dFlt3,critFlt3))</f>
        <v/>
      </c>
      <c r="G1075">
        <f>IF($B1075="",0,IFERROR(IF(OR(C1075&lt;&gt;0,D1075&lt;&gt;0,E1075&lt;&gt;0,F1075&lt;&gt;0),1,0),1))</f>
        <v>0</v>
      </c>
      <c r="H1075" t="str">
        <f>IF(OR(G1075=0,E1075=0),"",C1075/E1075)</f>
        <v/>
      </c>
      <c r="I1075" t="str">
        <f>IF(OR(G1075=0,F1075=0),"",D1075/F1075)</f>
        <v/>
      </c>
      <c r="J1075" t="str">
        <f>IF(OR(H1075="",I1075=""),"",IF(H1075=0,"",I1075/H1075-1))</f>
        <v/>
      </c>
      <c r="K1075" t="str">
        <f>IF($B1075="","",IFERROR(IF(G1075=0,-2E+300,CHOOSE(sortIdx,ROUND(D1075,0),IF(J1075="",-1E+300,ROUND(-J1075,6)),IF(J1075="",-1E+300,ROUND(J1075,6)))),-1.5E+300))</f>
        <v/>
      </c>
      <c r="L1075" t="str">
        <f>IF(K1075="","",RANK(K1075,$K$2:$K$3001,0)+COUNTIF($K$2:K1075,K1075)-1)</f>
        <v/>
      </c>
    </row>
    <row r="1076">
      <c r="B1076" t="str">
        <f>IFERROR(IF(A1076="","","="&amp;SUBSTITUTE(SUBSTITUTE(SUBSTITUTE(A1076,"~","~~"),"*","~*"),"?","~?")),"")</f>
        <v/>
      </c>
      <c r="C1076" t="str">
        <f>IF($B1076="","",SUMIFS(dAmt,dCust,$B1076,dPer,"&gt;="&amp;pyFrom,dPer,"&lt;="&amp;pyTo,dAmt,"&gt;-1E+300",dFlt1,critFlt1,dFlt2,critFlt2,dFlt3,critFlt3))</f>
        <v/>
      </c>
      <c r="D1076" t="str">
        <f>IF($B1076="","",SUMIFS(dAmt,dCust,$B1076,dPer,"&gt;="&amp;cyFrom,dPer,"&lt;="&amp;cyTo,dAmt,"&gt;-1E+300",dFlt1,critFlt1,dFlt2,critFlt2,dFlt3,critFlt3))</f>
        <v/>
      </c>
      <c r="E1076" t="str">
        <f>IF($B1076="","",SUMIFS(dQty,dCust,$B1076,dPer,"&gt;="&amp;pyFrom,dPer,"&lt;="&amp;pyTo,dQty,"&gt;-1E+300",dFlt1,critFlt1,dFlt2,critFlt2,dFlt3,critFlt3))</f>
        <v/>
      </c>
      <c r="F1076" t="str">
        <f>IF($B1076="","",SUMIFS(dQty,dCust,$B1076,dPer,"&gt;="&amp;cyFrom,dPer,"&lt;="&amp;cyTo,dQty,"&gt;-1E+300",dFlt1,critFlt1,dFlt2,critFlt2,dFlt3,critFlt3))</f>
        <v/>
      </c>
      <c r="G1076">
        <f>IF($B1076="",0,IFERROR(IF(OR(C1076&lt;&gt;0,D1076&lt;&gt;0,E1076&lt;&gt;0,F1076&lt;&gt;0),1,0),1))</f>
        <v>0</v>
      </c>
      <c r="H1076" t="str">
        <f>IF(OR(G1076=0,E1076=0),"",C1076/E1076)</f>
        <v/>
      </c>
      <c r="I1076" t="str">
        <f>IF(OR(G1076=0,F1076=0),"",D1076/F1076)</f>
        <v/>
      </c>
      <c r="J1076" t="str">
        <f>IF(OR(H1076="",I1076=""),"",IF(H1076=0,"",I1076/H1076-1))</f>
        <v/>
      </c>
      <c r="K1076" t="str">
        <f>IF($B1076="","",IFERROR(IF(G1076=0,-2E+300,CHOOSE(sortIdx,ROUND(D1076,0),IF(J1076="",-1E+300,ROUND(-J1076,6)),IF(J1076="",-1E+300,ROUND(J1076,6)))),-1.5E+300))</f>
        <v/>
      </c>
      <c r="L1076" t="str">
        <f>IF(K1076="","",RANK(K1076,$K$2:$K$3001,0)+COUNTIF($K$2:K1076,K1076)-1)</f>
        <v/>
      </c>
    </row>
    <row r="1077">
      <c r="B1077" t="str">
        <f>IFERROR(IF(A1077="","","="&amp;SUBSTITUTE(SUBSTITUTE(SUBSTITUTE(A1077,"~","~~"),"*","~*"),"?","~?")),"")</f>
        <v/>
      </c>
      <c r="C1077" t="str">
        <f>IF($B1077="","",SUMIFS(dAmt,dCust,$B1077,dPer,"&gt;="&amp;pyFrom,dPer,"&lt;="&amp;pyTo,dAmt,"&gt;-1E+300",dFlt1,critFlt1,dFlt2,critFlt2,dFlt3,critFlt3))</f>
        <v/>
      </c>
      <c r="D1077" t="str">
        <f>IF($B1077="","",SUMIFS(dAmt,dCust,$B1077,dPer,"&gt;="&amp;cyFrom,dPer,"&lt;="&amp;cyTo,dAmt,"&gt;-1E+300",dFlt1,critFlt1,dFlt2,critFlt2,dFlt3,critFlt3))</f>
        <v/>
      </c>
      <c r="E1077" t="str">
        <f>IF($B1077="","",SUMIFS(dQty,dCust,$B1077,dPer,"&gt;="&amp;pyFrom,dPer,"&lt;="&amp;pyTo,dQty,"&gt;-1E+300",dFlt1,critFlt1,dFlt2,critFlt2,dFlt3,critFlt3))</f>
        <v/>
      </c>
      <c r="F1077" t="str">
        <f>IF($B1077="","",SUMIFS(dQty,dCust,$B1077,dPer,"&gt;="&amp;cyFrom,dPer,"&lt;="&amp;cyTo,dQty,"&gt;-1E+300",dFlt1,critFlt1,dFlt2,critFlt2,dFlt3,critFlt3))</f>
        <v/>
      </c>
      <c r="G1077">
        <f>IF($B1077="",0,IFERROR(IF(OR(C1077&lt;&gt;0,D1077&lt;&gt;0,E1077&lt;&gt;0,F1077&lt;&gt;0),1,0),1))</f>
        <v>0</v>
      </c>
      <c r="H1077" t="str">
        <f>IF(OR(G1077=0,E1077=0),"",C1077/E1077)</f>
        <v/>
      </c>
      <c r="I1077" t="str">
        <f>IF(OR(G1077=0,F1077=0),"",D1077/F1077)</f>
        <v/>
      </c>
      <c r="J1077" t="str">
        <f>IF(OR(H1077="",I1077=""),"",IF(H1077=0,"",I1077/H1077-1))</f>
        <v/>
      </c>
      <c r="K1077" t="str">
        <f>IF($B1077="","",IFERROR(IF(G1077=0,-2E+300,CHOOSE(sortIdx,ROUND(D1077,0),IF(J1077="",-1E+300,ROUND(-J1077,6)),IF(J1077="",-1E+300,ROUND(J1077,6)))),-1.5E+300))</f>
        <v/>
      </c>
      <c r="L1077" t="str">
        <f>IF(K1077="","",RANK(K1077,$K$2:$K$3001,0)+COUNTIF($K$2:K1077,K1077)-1)</f>
        <v/>
      </c>
    </row>
    <row r="1078">
      <c r="B1078" t="str">
        <f>IFERROR(IF(A1078="","","="&amp;SUBSTITUTE(SUBSTITUTE(SUBSTITUTE(A1078,"~","~~"),"*","~*"),"?","~?")),"")</f>
        <v/>
      </c>
      <c r="C1078" t="str">
        <f>IF($B1078="","",SUMIFS(dAmt,dCust,$B1078,dPer,"&gt;="&amp;pyFrom,dPer,"&lt;="&amp;pyTo,dAmt,"&gt;-1E+300",dFlt1,critFlt1,dFlt2,critFlt2,dFlt3,critFlt3))</f>
        <v/>
      </c>
      <c r="D1078" t="str">
        <f>IF($B1078="","",SUMIFS(dAmt,dCust,$B1078,dPer,"&gt;="&amp;cyFrom,dPer,"&lt;="&amp;cyTo,dAmt,"&gt;-1E+300",dFlt1,critFlt1,dFlt2,critFlt2,dFlt3,critFlt3))</f>
        <v/>
      </c>
      <c r="E1078" t="str">
        <f>IF($B1078="","",SUMIFS(dQty,dCust,$B1078,dPer,"&gt;="&amp;pyFrom,dPer,"&lt;="&amp;pyTo,dQty,"&gt;-1E+300",dFlt1,critFlt1,dFlt2,critFlt2,dFlt3,critFlt3))</f>
        <v/>
      </c>
      <c r="F1078" t="str">
        <f>IF($B1078="","",SUMIFS(dQty,dCust,$B1078,dPer,"&gt;="&amp;cyFrom,dPer,"&lt;="&amp;cyTo,dQty,"&gt;-1E+300",dFlt1,critFlt1,dFlt2,critFlt2,dFlt3,critFlt3))</f>
        <v/>
      </c>
      <c r="G1078">
        <f>IF($B1078="",0,IFERROR(IF(OR(C1078&lt;&gt;0,D1078&lt;&gt;0,E1078&lt;&gt;0,F1078&lt;&gt;0),1,0),1))</f>
        <v>0</v>
      </c>
      <c r="H1078" t="str">
        <f>IF(OR(G1078=0,E1078=0),"",C1078/E1078)</f>
        <v/>
      </c>
      <c r="I1078" t="str">
        <f>IF(OR(G1078=0,F1078=0),"",D1078/F1078)</f>
        <v/>
      </c>
      <c r="J1078" t="str">
        <f>IF(OR(H1078="",I1078=""),"",IF(H1078=0,"",I1078/H1078-1))</f>
        <v/>
      </c>
      <c r="K1078" t="str">
        <f>IF($B1078="","",IFERROR(IF(G1078=0,-2E+300,CHOOSE(sortIdx,ROUND(D1078,0),IF(J1078="",-1E+300,ROUND(-J1078,6)),IF(J1078="",-1E+300,ROUND(J1078,6)))),-1.5E+300))</f>
        <v/>
      </c>
      <c r="L1078" t="str">
        <f>IF(K1078="","",RANK(K1078,$K$2:$K$3001,0)+COUNTIF($K$2:K1078,K1078)-1)</f>
        <v/>
      </c>
    </row>
    <row r="1079">
      <c r="B1079" t="str">
        <f>IFERROR(IF(A1079="","","="&amp;SUBSTITUTE(SUBSTITUTE(SUBSTITUTE(A1079,"~","~~"),"*","~*"),"?","~?")),"")</f>
        <v/>
      </c>
      <c r="C1079" t="str">
        <f>IF($B1079="","",SUMIFS(dAmt,dCust,$B1079,dPer,"&gt;="&amp;pyFrom,dPer,"&lt;="&amp;pyTo,dAmt,"&gt;-1E+300",dFlt1,critFlt1,dFlt2,critFlt2,dFlt3,critFlt3))</f>
        <v/>
      </c>
      <c r="D1079" t="str">
        <f>IF($B1079="","",SUMIFS(dAmt,dCust,$B1079,dPer,"&gt;="&amp;cyFrom,dPer,"&lt;="&amp;cyTo,dAmt,"&gt;-1E+300",dFlt1,critFlt1,dFlt2,critFlt2,dFlt3,critFlt3))</f>
        <v/>
      </c>
      <c r="E1079" t="str">
        <f>IF($B1079="","",SUMIFS(dQty,dCust,$B1079,dPer,"&gt;="&amp;pyFrom,dPer,"&lt;="&amp;pyTo,dQty,"&gt;-1E+300",dFlt1,critFlt1,dFlt2,critFlt2,dFlt3,critFlt3))</f>
        <v/>
      </c>
      <c r="F1079" t="str">
        <f>IF($B1079="","",SUMIFS(dQty,dCust,$B1079,dPer,"&gt;="&amp;cyFrom,dPer,"&lt;="&amp;cyTo,dQty,"&gt;-1E+300",dFlt1,critFlt1,dFlt2,critFlt2,dFlt3,critFlt3))</f>
        <v/>
      </c>
      <c r="G1079">
        <f>IF($B1079="",0,IFERROR(IF(OR(C1079&lt;&gt;0,D1079&lt;&gt;0,E1079&lt;&gt;0,F1079&lt;&gt;0),1,0),1))</f>
        <v>0</v>
      </c>
      <c r="H1079" t="str">
        <f>IF(OR(G1079=0,E1079=0),"",C1079/E1079)</f>
        <v/>
      </c>
      <c r="I1079" t="str">
        <f>IF(OR(G1079=0,F1079=0),"",D1079/F1079)</f>
        <v/>
      </c>
      <c r="J1079" t="str">
        <f>IF(OR(H1079="",I1079=""),"",IF(H1079=0,"",I1079/H1079-1))</f>
        <v/>
      </c>
      <c r="K1079" t="str">
        <f>IF($B1079="","",IFERROR(IF(G1079=0,-2E+300,CHOOSE(sortIdx,ROUND(D1079,0),IF(J1079="",-1E+300,ROUND(-J1079,6)),IF(J1079="",-1E+300,ROUND(J1079,6)))),-1.5E+300))</f>
        <v/>
      </c>
      <c r="L1079" t="str">
        <f>IF(K1079="","",RANK(K1079,$K$2:$K$3001,0)+COUNTIF($K$2:K1079,K1079)-1)</f>
        <v/>
      </c>
    </row>
    <row r="1080">
      <c r="B1080" t="str">
        <f>IFERROR(IF(A1080="","","="&amp;SUBSTITUTE(SUBSTITUTE(SUBSTITUTE(A1080,"~","~~"),"*","~*"),"?","~?")),"")</f>
        <v/>
      </c>
      <c r="C1080" t="str">
        <f>IF($B1080="","",SUMIFS(dAmt,dCust,$B1080,dPer,"&gt;="&amp;pyFrom,dPer,"&lt;="&amp;pyTo,dAmt,"&gt;-1E+300",dFlt1,critFlt1,dFlt2,critFlt2,dFlt3,critFlt3))</f>
        <v/>
      </c>
      <c r="D1080" t="str">
        <f>IF($B1080="","",SUMIFS(dAmt,dCust,$B1080,dPer,"&gt;="&amp;cyFrom,dPer,"&lt;="&amp;cyTo,dAmt,"&gt;-1E+300",dFlt1,critFlt1,dFlt2,critFlt2,dFlt3,critFlt3))</f>
        <v/>
      </c>
      <c r="E1080" t="str">
        <f>IF($B1080="","",SUMIFS(dQty,dCust,$B1080,dPer,"&gt;="&amp;pyFrom,dPer,"&lt;="&amp;pyTo,dQty,"&gt;-1E+300",dFlt1,critFlt1,dFlt2,critFlt2,dFlt3,critFlt3))</f>
        <v/>
      </c>
      <c r="F1080" t="str">
        <f>IF($B1080="","",SUMIFS(dQty,dCust,$B1080,dPer,"&gt;="&amp;cyFrom,dPer,"&lt;="&amp;cyTo,dQty,"&gt;-1E+300",dFlt1,critFlt1,dFlt2,critFlt2,dFlt3,critFlt3))</f>
        <v/>
      </c>
      <c r="G1080">
        <f>IF($B1080="",0,IFERROR(IF(OR(C1080&lt;&gt;0,D1080&lt;&gt;0,E1080&lt;&gt;0,F1080&lt;&gt;0),1,0),1))</f>
        <v>0</v>
      </c>
      <c r="H1080" t="str">
        <f>IF(OR(G1080=0,E1080=0),"",C1080/E1080)</f>
        <v/>
      </c>
      <c r="I1080" t="str">
        <f>IF(OR(G1080=0,F1080=0),"",D1080/F1080)</f>
        <v/>
      </c>
      <c r="J1080" t="str">
        <f>IF(OR(H1080="",I1080=""),"",IF(H1080=0,"",I1080/H1080-1))</f>
        <v/>
      </c>
      <c r="K1080" t="str">
        <f>IF($B1080="","",IFERROR(IF(G1080=0,-2E+300,CHOOSE(sortIdx,ROUND(D1080,0),IF(J1080="",-1E+300,ROUND(-J1080,6)),IF(J1080="",-1E+300,ROUND(J1080,6)))),-1.5E+300))</f>
        <v/>
      </c>
      <c r="L1080" t="str">
        <f>IF(K1080="","",RANK(K1080,$K$2:$K$3001,0)+COUNTIF($K$2:K1080,K1080)-1)</f>
        <v/>
      </c>
    </row>
    <row r="1081">
      <c r="B1081" t="str">
        <f>IFERROR(IF(A1081="","","="&amp;SUBSTITUTE(SUBSTITUTE(SUBSTITUTE(A1081,"~","~~"),"*","~*"),"?","~?")),"")</f>
        <v/>
      </c>
      <c r="C1081" t="str">
        <f>IF($B1081="","",SUMIFS(dAmt,dCust,$B1081,dPer,"&gt;="&amp;pyFrom,dPer,"&lt;="&amp;pyTo,dAmt,"&gt;-1E+300",dFlt1,critFlt1,dFlt2,critFlt2,dFlt3,critFlt3))</f>
        <v/>
      </c>
      <c r="D1081" t="str">
        <f>IF($B1081="","",SUMIFS(dAmt,dCust,$B1081,dPer,"&gt;="&amp;cyFrom,dPer,"&lt;="&amp;cyTo,dAmt,"&gt;-1E+300",dFlt1,critFlt1,dFlt2,critFlt2,dFlt3,critFlt3))</f>
        <v/>
      </c>
      <c r="E1081" t="str">
        <f>IF($B1081="","",SUMIFS(dQty,dCust,$B1081,dPer,"&gt;="&amp;pyFrom,dPer,"&lt;="&amp;pyTo,dQty,"&gt;-1E+300",dFlt1,critFlt1,dFlt2,critFlt2,dFlt3,critFlt3))</f>
        <v/>
      </c>
      <c r="F1081" t="str">
        <f>IF($B1081="","",SUMIFS(dQty,dCust,$B1081,dPer,"&gt;="&amp;cyFrom,dPer,"&lt;="&amp;cyTo,dQty,"&gt;-1E+300",dFlt1,critFlt1,dFlt2,critFlt2,dFlt3,critFlt3))</f>
        <v/>
      </c>
      <c r="G1081">
        <f>IF($B1081="",0,IFERROR(IF(OR(C1081&lt;&gt;0,D1081&lt;&gt;0,E1081&lt;&gt;0,F1081&lt;&gt;0),1,0),1))</f>
        <v>0</v>
      </c>
      <c r="H1081" t="str">
        <f>IF(OR(G1081=0,E1081=0),"",C1081/E1081)</f>
        <v/>
      </c>
      <c r="I1081" t="str">
        <f>IF(OR(G1081=0,F1081=0),"",D1081/F1081)</f>
        <v/>
      </c>
      <c r="J1081" t="str">
        <f>IF(OR(H1081="",I1081=""),"",IF(H1081=0,"",I1081/H1081-1))</f>
        <v/>
      </c>
      <c r="K1081" t="str">
        <f>IF($B1081="","",IFERROR(IF(G1081=0,-2E+300,CHOOSE(sortIdx,ROUND(D1081,0),IF(J1081="",-1E+300,ROUND(-J1081,6)),IF(J1081="",-1E+300,ROUND(J1081,6)))),-1.5E+300))</f>
        <v/>
      </c>
      <c r="L1081" t="str">
        <f>IF(K1081="","",RANK(K1081,$K$2:$K$3001,0)+COUNTIF($K$2:K1081,K1081)-1)</f>
        <v/>
      </c>
    </row>
    <row r="1082">
      <c r="B1082" t="str">
        <f>IFERROR(IF(A1082="","","="&amp;SUBSTITUTE(SUBSTITUTE(SUBSTITUTE(A1082,"~","~~"),"*","~*"),"?","~?")),"")</f>
        <v/>
      </c>
      <c r="C1082" t="str">
        <f>IF($B1082="","",SUMIFS(dAmt,dCust,$B1082,dPer,"&gt;="&amp;pyFrom,dPer,"&lt;="&amp;pyTo,dAmt,"&gt;-1E+300",dFlt1,critFlt1,dFlt2,critFlt2,dFlt3,critFlt3))</f>
        <v/>
      </c>
      <c r="D1082" t="str">
        <f>IF($B1082="","",SUMIFS(dAmt,dCust,$B1082,dPer,"&gt;="&amp;cyFrom,dPer,"&lt;="&amp;cyTo,dAmt,"&gt;-1E+300",dFlt1,critFlt1,dFlt2,critFlt2,dFlt3,critFlt3))</f>
        <v/>
      </c>
      <c r="E1082" t="str">
        <f>IF($B1082="","",SUMIFS(dQty,dCust,$B1082,dPer,"&gt;="&amp;pyFrom,dPer,"&lt;="&amp;pyTo,dQty,"&gt;-1E+300",dFlt1,critFlt1,dFlt2,critFlt2,dFlt3,critFlt3))</f>
        <v/>
      </c>
      <c r="F1082" t="str">
        <f>IF($B1082="","",SUMIFS(dQty,dCust,$B1082,dPer,"&gt;="&amp;cyFrom,dPer,"&lt;="&amp;cyTo,dQty,"&gt;-1E+300",dFlt1,critFlt1,dFlt2,critFlt2,dFlt3,critFlt3))</f>
        <v/>
      </c>
      <c r="G1082">
        <f>IF($B1082="",0,IFERROR(IF(OR(C1082&lt;&gt;0,D1082&lt;&gt;0,E1082&lt;&gt;0,F1082&lt;&gt;0),1,0),1))</f>
        <v>0</v>
      </c>
      <c r="H1082" t="str">
        <f>IF(OR(G1082=0,E1082=0),"",C1082/E1082)</f>
        <v/>
      </c>
      <c r="I1082" t="str">
        <f>IF(OR(G1082=0,F1082=0),"",D1082/F1082)</f>
        <v/>
      </c>
      <c r="J1082" t="str">
        <f>IF(OR(H1082="",I1082=""),"",IF(H1082=0,"",I1082/H1082-1))</f>
        <v/>
      </c>
      <c r="K1082" t="str">
        <f>IF($B1082="","",IFERROR(IF(G1082=0,-2E+300,CHOOSE(sortIdx,ROUND(D1082,0),IF(J1082="",-1E+300,ROUND(-J1082,6)),IF(J1082="",-1E+300,ROUND(J1082,6)))),-1.5E+300))</f>
        <v/>
      </c>
      <c r="L1082" t="str">
        <f>IF(K1082="","",RANK(K1082,$K$2:$K$3001,0)+COUNTIF($K$2:K1082,K1082)-1)</f>
        <v/>
      </c>
    </row>
    <row r="1083">
      <c r="B1083" t="str">
        <f>IFERROR(IF(A1083="","","="&amp;SUBSTITUTE(SUBSTITUTE(SUBSTITUTE(A1083,"~","~~"),"*","~*"),"?","~?")),"")</f>
        <v/>
      </c>
      <c r="C1083" t="str">
        <f>IF($B1083="","",SUMIFS(dAmt,dCust,$B1083,dPer,"&gt;="&amp;pyFrom,dPer,"&lt;="&amp;pyTo,dAmt,"&gt;-1E+300",dFlt1,critFlt1,dFlt2,critFlt2,dFlt3,critFlt3))</f>
        <v/>
      </c>
      <c r="D1083" t="str">
        <f>IF($B1083="","",SUMIFS(dAmt,dCust,$B1083,dPer,"&gt;="&amp;cyFrom,dPer,"&lt;="&amp;cyTo,dAmt,"&gt;-1E+300",dFlt1,critFlt1,dFlt2,critFlt2,dFlt3,critFlt3))</f>
        <v/>
      </c>
      <c r="E1083" t="str">
        <f>IF($B1083="","",SUMIFS(dQty,dCust,$B1083,dPer,"&gt;="&amp;pyFrom,dPer,"&lt;="&amp;pyTo,dQty,"&gt;-1E+300",dFlt1,critFlt1,dFlt2,critFlt2,dFlt3,critFlt3))</f>
        <v/>
      </c>
      <c r="F1083" t="str">
        <f>IF($B1083="","",SUMIFS(dQty,dCust,$B1083,dPer,"&gt;="&amp;cyFrom,dPer,"&lt;="&amp;cyTo,dQty,"&gt;-1E+300",dFlt1,critFlt1,dFlt2,critFlt2,dFlt3,critFlt3))</f>
        <v/>
      </c>
      <c r="G1083">
        <f>IF($B1083="",0,IFERROR(IF(OR(C1083&lt;&gt;0,D1083&lt;&gt;0,E1083&lt;&gt;0,F1083&lt;&gt;0),1,0),1))</f>
        <v>0</v>
      </c>
      <c r="H1083" t="str">
        <f>IF(OR(G1083=0,E1083=0),"",C1083/E1083)</f>
        <v/>
      </c>
      <c r="I1083" t="str">
        <f>IF(OR(G1083=0,F1083=0),"",D1083/F1083)</f>
        <v/>
      </c>
      <c r="J1083" t="str">
        <f>IF(OR(H1083="",I1083=""),"",IF(H1083=0,"",I1083/H1083-1))</f>
        <v/>
      </c>
      <c r="K1083" t="str">
        <f>IF($B1083="","",IFERROR(IF(G1083=0,-2E+300,CHOOSE(sortIdx,ROUND(D1083,0),IF(J1083="",-1E+300,ROUND(-J1083,6)),IF(J1083="",-1E+300,ROUND(J1083,6)))),-1.5E+300))</f>
        <v/>
      </c>
      <c r="L1083" t="str">
        <f>IF(K1083="","",RANK(K1083,$K$2:$K$3001,0)+COUNTIF($K$2:K1083,K1083)-1)</f>
        <v/>
      </c>
    </row>
    <row r="1084">
      <c r="B1084" t="str">
        <f>IFERROR(IF(A1084="","","="&amp;SUBSTITUTE(SUBSTITUTE(SUBSTITUTE(A1084,"~","~~"),"*","~*"),"?","~?")),"")</f>
        <v/>
      </c>
      <c r="C1084" t="str">
        <f>IF($B1084="","",SUMIFS(dAmt,dCust,$B1084,dPer,"&gt;="&amp;pyFrom,dPer,"&lt;="&amp;pyTo,dAmt,"&gt;-1E+300",dFlt1,critFlt1,dFlt2,critFlt2,dFlt3,critFlt3))</f>
        <v/>
      </c>
      <c r="D1084" t="str">
        <f>IF($B1084="","",SUMIFS(dAmt,dCust,$B1084,dPer,"&gt;="&amp;cyFrom,dPer,"&lt;="&amp;cyTo,dAmt,"&gt;-1E+300",dFlt1,critFlt1,dFlt2,critFlt2,dFlt3,critFlt3))</f>
        <v/>
      </c>
      <c r="E1084" t="str">
        <f>IF($B1084="","",SUMIFS(dQty,dCust,$B1084,dPer,"&gt;="&amp;pyFrom,dPer,"&lt;="&amp;pyTo,dQty,"&gt;-1E+300",dFlt1,critFlt1,dFlt2,critFlt2,dFlt3,critFlt3))</f>
        <v/>
      </c>
      <c r="F1084" t="str">
        <f>IF($B1084="","",SUMIFS(dQty,dCust,$B1084,dPer,"&gt;="&amp;cyFrom,dPer,"&lt;="&amp;cyTo,dQty,"&gt;-1E+300",dFlt1,critFlt1,dFlt2,critFlt2,dFlt3,critFlt3))</f>
        <v/>
      </c>
      <c r="G1084">
        <f>IF($B1084="",0,IFERROR(IF(OR(C1084&lt;&gt;0,D1084&lt;&gt;0,E1084&lt;&gt;0,F1084&lt;&gt;0),1,0),1))</f>
        <v>0</v>
      </c>
      <c r="H1084" t="str">
        <f>IF(OR(G1084=0,E1084=0),"",C1084/E1084)</f>
        <v/>
      </c>
      <c r="I1084" t="str">
        <f>IF(OR(G1084=0,F1084=0),"",D1084/F1084)</f>
        <v/>
      </c>
      <c r="J1084" t="str">
        <f>IF(OR(H1084="",I1084=""),"",IF(H1084=0,"",I1084/H1084-1))</f>
        <v/>
      </c>
      <c r="K1084" t="str">
        <f>IF($B1084="","",IFERROR(IF(G1084=0,-2E+300,CHOOSE(sortIdx,ROUND(D1084,0),IF(J1084="",-1E+300,ROUND(-J1084,6)),IF(J1084="",-1E+300,ROUND(J1084,6)))),-1.5E+300))</f>
        <v/>
      </c>
      <c r="L1084" t="str">
        <f>IF(K1084="","",RANK(K1084,$K$2:$K$3001,0)+COUNTIF($K$2:K1084,K1084)-1)</f>
        <v/>
      </c>
    </row>
    <row r="1085">
      <c r="B1085" t="str">
        <f>IFERROR(IF(A1085="","","="&amp;SUBSTITUTE(SUBSTITUTE(SUBSTITUTE(A1085,"~","~~"),"*","~*"),"?","~?")),"")</f>
        <v/>
      </c>
      <c r="C1085" t="str">
        <f>IF($B1085="","",SUMIFS(dAmt,dCust,$B1085,dPer,"&gt;="&amp;pyFrom,dPer,"&lt;="&amp;pyTo,dAmt,"&gt;-1E+300",dFlt1,critFlt1,dFlt2,critFlt2,dFlt3,critFlt3))</f>
        <v/>
      </c>
      <c r="D1085" t="str">
        <f>IF($B1085="","",SUMIFS(dAmt,dCust,$B1085,dPer,"&gt;="&amp;cyFrom,dPer,"&lt;="&amp;cyTo,dAmt,"&gt;-1E+300",dFlt1,critFlt1,dFlt2,critFlt2,dFlt3,critFlt3))</f>
        <v/>
      </c>
      <c r="E1085" t="str">
        <f>IF($B1085="","",SUMIFS(dQty,dCust,$B1085,dPer,"&gt;="&amp;pyFrom,dPer,"&lt;="&amp;pyTo,dQty,"&gt;-1E+300",dFlt1,critFlt1,dFlt2,critFlt2,dFlt3,critFlt3))</f>
        <v/>
      </c>
      <c r="F1085" t="str">
        <f>IF($B1085="","",SUMIFS(dQty,dCust,$B1085,dPer,"&gt;="&amp;cyFrom,dPer,"&lt;="&amp;cyTo,dQty,"&gt;-1E+300",dFlt1,critFlt1,dFlt2,critFlt2,dFlt3,critFlt3))</f>
        <v/>
      </c>
      <c r="G1085">
        <f>IF($B1085="",0,IFERROR(IF(OR(C1085&lt;&gt;0,D1085&lt;&gt;0,E1085&lt;&gt;0,F1085&lt;&gt;0),1,0),1))</f>
        <v>0</v>
      </c>
      <c r="H1085" t="str">
        <f>IF(OR(G1085=0,E1085=0),"",C1085/E1085)</f>
        <v/>
      </c>
      <c r="I1085" t="str">
        <f>IF(OR(G1085=0,F1085=0),"",D1085/F1085)</f>
        <v/>
      </c>
      <c r="J1085" t="str">
        <f>IF(OR(H1085="",I1085=""),"",IF(H1085=0,"",I1085/H1085-1))</f>
        <v/>
      </c>
      <c r="K1085" t="str">
        <f>IF($B1085="","",IFERROR(IF(G1085=0,-2E+300,CHOOSE(sortIdx,ROUND(D1085,0),IF(J1085="",-1E+300,ROUND(-J1085,6)),IF(J1085="",-1E+300,ROUND(J1085,6)))),-1.5E+300))</f>
        <v/>
      </c>
      <c r="L1085" t="str">
        <f>IF(K1085="","",RANK(K1085,$K$2:$K$3001,0)+COUNTIF($K$2:K1085,K1085)-1)</f>
        <v/>
      </c>
    </row>
    <row r="1086">
      <c r="B1086" t="str">
        <f>IFERROR(IF(A1086="","","="&amp;SUBSTITUTE(SUBSTITUTE(SUBSTITUTE(A1086,"~","~~"),"*","~*"),"?","~?")),"")</f>
        <v/>
      </c>
      <c r="C1086" t="str">
        <f>IF($B1086="","",SUMIFS(dAmt,dCust,$B1086,dPer,"&gt;="&amp;pyFrom,dPer,"&lt;="&amp;pyTo,dAmt,"&gt;-1E+300",dFlt1,critFlt1,dFlt2,critFlt2,dFlt3,critFlt3))</f>
        <v/>
      </c>
      <c r="D1086" t="str">
        <f>IF($B1086="","",SUMIFS(dAmt,dCust,$B1086,dPer,"&gt;="&amp;cyFrom,dPer,"&lt;="&amp;cyTo,dAmt,"&gt;-1E+300",dFlt1,critFlt1,dFlt2,critFlt2,dFlt3,critFlt3))</f>
        <v/>
      </c>
      <c r="E1086" t="str">
        <f>IF($B1086="","",SUMIFS(dQty,dCust,$B1086,dPer,"&gt;="&amp;pyFrom,dPer,"&lt;="&amp;pyTo,dQty,"&gt;-1E+300",dFlt1,critFlt1,dFlt2,critFlt2,dFlt3,critFlt3))</f>
        <v/>
      </c>
      <c r="F1086" t="str">
        <f>IF($B1086="","",SUMIFS(dQty,dCust,$B1086,dPer,"&gt;="&amp;cyFrom,dPer,"&lt;="&amp;cyTo,dQty,"&gt;-1E+300",dFlt1,critFlt1,dFlt2,critFlt2,dFlt3,critFlt3))</f>
        <v/>
      </c>
      <c r="G1086">
        <f>IF($B1086="",0,IFERROR(IF(OR(C1086&lt;&gt;0,D1086&lt;&gt;0,E1086&lt;&gt;0,F1086&lt;&gt;0),1,0),1))</f>
        <v>0</v>
      </c>
      <c r="H1086" t="str">
        <f>IF(OR(G1086=0,E1086=0),"",C1086/E1086)</f>
        <v/>
      </c>
      <c r="I1086" t="str">
        <f>IF(OR(G1086=0,F1086=0),"",D1086/F1086)</f>
        <v/>
      </c>
      <c r="J1086" t="str">
        <f>IF(OR(H1086="",I1086=""),"",IF(H1086=0,"",I1086/H1086-1))</f>
        <v/>
      </c>
      <c r="K1086" t="str">
        <f>IF($B1086="","",IFERROR(IF(G1086=0,-2E+300,CHOOSE(sortIdx,ROUND(D1086,0),IF(J1086="",-1E+300,ROUND(-J1086,6)),IF(J1086="",-1E+300,ROUND(J1086,6)))),-1.5E+300))</f>
        <v/>
      </c>
      <c r="L1086" t="str">
        <f>IF(K1086="","",RANK(K1086,$K$2:$K$3001,0)+COUNTIF($K$2:K1086,K1086)-1)</f>
        <v/>
      </c>
    </row>
    <row r="1087">
      <c r="B1087" t="str">
        <f>IFERROR(IF(A1087="","","="&amp;SUBSTITUTE(SUBSTITUTE(SUBSTITUTE(A1087,"~","~~"),"*","~*"),"?","~?")),"")</f>
        <v/>
      </c>
      <c r="C1087" t="str">
        <f>IF($B1087="","",SUMIFS(dAmt,dCust,$B1087,dPer,"&gt;="&amp;pyFrom,dPer,"&lt;="&amp;pyTo,dAmt,"&gt;-1E+300",dFlt1,critFlt1,dFlt2,critFlt2,dFlt3,critFlt3))</f>
        <v/>
      </c>
      <c r="D1087" t="str">
        <f>IF($B1087="","",SUMIFS(dAmt,dCust,$B1087,dPer,"&gt;="&amp;cyFrom,dPer,"&lt;="&amp;cyTo,dAmt,"&gt;-1E+300",dFlt1,critFlt1,dFlt2,critFlt2,dFlt3,critFlt3))</f>
        <v/>
      </c>
      <c r="E1087" t="str">
        <f>IF($B1087="","",SUMIFS(dQty,dCust,$B1087,dPer,"&gt;="&amp;pyFrom,dPer,"&lt;="&amp;pyTo,dQty,"&gt;-1E+300",dFlt1,critFlt1,dFlt2,critFlt2,dFlt3,critFlt3))</f>
        <v/>
      </c>
      <c r="F1087" t="str">
        <f>IF($B1087="","",SUMIFS(dQty,dCust,$B1087,dPer,"&gt;="&amp;cyFrom,dPer,"&lt;="&amp;cyTo,dQty,"&gt;-1E+300",dFlt1,critFlt1,dFlt2,critFlt2,dFlt3,critFlt3))</f>
        <v/>
      </c>
      <c r="G1087">
        <f>IF($B1087="",0,IFERROR(IF(OR(C1087&lt;&gt;0,D1087&lt;&gt;0,E1087&lt;&gt;0,F1087&lt;&gt;0),1,0),1))</f>
        <v>0</v>
      </c>
      <c r="H1087" t="str">
        <f>IF(OR(G1087=0,E1087=0),"",C1087/E1087)</f>
        <v/>
      </c>
      <c r="I1087" t="str">
        <f>IF(OR(G1087=0,F1087=0),"",D1087/F1087)</f>
        <v/>
      </c>
      <c r="J1087" t="str">
        <f>IF(OR(H1087="",I1087=""),"",IF(H1087=0,"",I1087/H1087-1))</f>
        <v/>
      </c>
      <c r="K1087" t="str">
        <f>IF($B1087="","",IFERROR(IF(G1087=0,-2E+300,CHOOSE(sortIdx,ROUND(D1087,0),IF(J1087="",-1E+300,ROUND(-J1087,6)),IF(J1087="",-1E+300,ROUND(J1087,6)))),-1.5E+300))</f>
        <v/>
      </c>
      <c r="L1087" t="str">
        <f>IF(K1087="","",RANK(K1087,$K$2:$K$3001,0)+COUNTIF($K$2:K1087,K1087)-1)</f>
        <v/>
      </c>
    </row>
    <row r="1088">
      <c r="B1088" t="str">
        <f>IFERROR(IF(A1088="","","="&amp;SUBSTITUTE(SUBSTITUTE(SUBSTITUTE(A1088,"~","~~"),"*","~*"),"?","~?")),"")</f>
        <v/>
      </c>
      <c r="C1088" t="str">
        <f>IF($B1088="","",SUMIFS(dAmt,dCust,$B1088,dPer,"&gt;="&amp;pyFrom,dPer,"&lt;="&amp;pyTo,dAmt,"&gt;-1E+300",dFlt1,critFlt1,dFlt2,critFlt2,dFlt3,critFlt3))</f>
        <v/>
      </c>
      <c r="D1088" t="str">
        <f>IF($B1088="","",SUMIFS(dAmt,dCust,$B1088,dPer,"&gt;="&amp;cyFrom,dPer,"&lt;="&amp;cyTo,dAmt,"&gt;-1E+300",dFlt1,critFlt1,dFlt2,critFlt2,dFlt3,critFlt3))</f>
        <v/>
      </c>
      <c r="E1088" t="str">
        <f>IF($B1088="","",SUMIFS(dQty,dCust,$B1088,dPer,"&gt;="&amp;pyFrom,dPer,"&lt;="&amp;pyTo,dQty,"&gt;-1E+300",dFlt1,critFlt1,dFlt2,critFlt2,dFlt3,critFlt3))</f>
        <v/>
      </c>
      <c r="F1088" t="str">
        <f>IF($B1088="","",SUMIFS(dQty,dCust,$B1088,dPer,"&gt;="&amp;cyFrom,dPer,"&lt;="&amp;cyTo,dQty,"&gt;-1E+300",dFlt1,critFlt1,dFlt2,critFlt2,dFlt3,critFlt3))</f>
        <v/>
      </c>
      <c r="G1088">
        <f>IF($B1088="",0,IFERROR(IF(OR(C1088&lt;&gt;0,D1088&lt;&gt;0,E1088&lt;&gt;0,F1088&lt;&gt;0),1,0),1))</f>
        <v>0</v>
      </c>
      <c r="H1088" t="str">
        <f>IF(OR(G1088=0,E1088=0),"",C1088/E1088)</f>
        <v/>
      </c>
      <c r="I1088" t="str">
        <f>IF(OR(G1088=0,F1088=0),"",D1088/F1088)</f>
        <v/>
      </c>
      <c r="J1088" t="str">
        <f>IF(OR(H1088="",I1088=""),"",IF(H1088=0,"",I1088/H1088-1))</f>
        <v/>
      </c>
      <c r="K1088" t="str">
        <f>IF($B1088="","",IFERROR(IF(G1088=0,-2E+300,CHOOSE(sortIdx,ROUND(D1088,0),IF(J1088="",-1E+300,ROUND(-J1088,6)),IF(J1088="",-1E+300,ROUND(J1088,6)))),-1.5E+300))</f>
        <v/>
      </c>
      <c r="L1088" t="str">
        <f>IF(K1088="","",RANK(K1088,$K$2:$K$3001,0)+COUNTIF($K$2:K1088,K1088)-1)</f>
        <v/>
      </c>
    </row>
    <row r="1089">
      <c r="B1089" t="str">
        <f>IFERROR(IF(A1089="","","="&amp;SUBSTITUTE(SUBSTITUTE(SUBSTITUTE(A1089,"~","~~"),"*","~*"),"?","~?")),"")</f>
        <v/>
      </c>
      <c r="C1089" t="str">
        <f>IF($B1089="","",SUMIFS(dAmt,dCust,$B1089,dPer,"&gt;="&amp;pyFrom,dPer,"&lt;="&amp;pyTo,dAmt,"&gt;-1E+300",dFlt1,critFlt1,dFlt2,critFlt2,dFlt3,critFlt3))</f>
        <v/>
      </c>
      <c r="D1089" t="str">
        <f>IF($B1089="","",SUMIFS(dAmt,dCust,$B1089,dPer,"&gt;="&amp;cyFrom,dPer,"&lt;="&amp;cyTo,dAmt,"&gt;-1E+300",dFlt1,critFlt1,dFlt2,critFlt2,dFlt3,critFlt3))</f>
        <v/>
      </c>
      <c r="E1089" t="str">
        <f>IF($B1089="","",SUMIFS(dQty,dCust,$B1089,dPer,"&gt;="&amp;pyFrom,dPer,"&lt;="&amp;pyTo,dQty,"&gt;-1E+300",dFlt1,critFlt1,dFlt2,critFlt2,dFlt3,critFlt3))</f>
        <v/>
      </c>
      <c r="F1089" t="str">
        <f>IF($B1089="","",SUMIFS(dQty,dCust,$B1089,dPer,"&gt;="&amp;cyFrom,dPer,"&lt;="&amp;cyTo,dQty,"&gt;-1E+300",dFlt1,critFlt1,dFlt2,critFlt2,dFlt3,critFlt3))</f>
        <v/>
      </c>
      <c r="G1089">
        <f>IF($B1089="",0,IFERROR(IF(OR(C1089&lt;&gt;0,D1089&lt;&gt;0,E1089&lt;&gt;0,F1089&lt;&gt;0),1,0),1))</f>
        <v>0</v>
      </c>
      <c r="H1089" t="str">
        <f>IF(OR(G1089=0,E1089=0),"",C1089/E1089)</f>
        <v/>
      </c>
      <c r="I1089" t="str">
        <f>IF(OR(G1089=0,F1089=0),"",D1089/F1089)</f>
        <v/>
      </c>
      <c r="J1089" t="str">
        <f>IF(OR(H1089="",I1089=""),"",IF(H1089=0,"",I1089/H1089-1))</f>
        <v/>
      </c>
      <c r="K1089" t="str">
        <f>IF($B1089="","",IFERROR(IF(G1089=0,-2E+300,CHOOSE(sortIdx,ROUND(D1089,0),IF(J1089="",-1E+300,ROUND(-J1089,6)),IF(J1089="",-1E+300,ROUND(J1089,6)))),-1.5E+300))</f>
        <v/>
      </c>
      <c r="L1089" t="str">
        <f>IF(K1089="","",RANK(K1089,$K$2:$K$3001,0)+COUNTIF($K$2:K1089,K1089)-1)</f>
        <v/>
      </c>
    </row>
    <row r="1090">
      <c r="B1090" t="str">
        <f>IFERROR(IF(A1090="","","="&amp;SUBSTITUTE(SUBSTITUTE(SUBSTITUTE(A1090,"~","~~"),"*","~*"),"?","~?")),"")</f>
        <v/>
      </c>
      <c r="C1090" t="str">
        <f>IF($B1090="","",SUMIFS(dAmt,dCust,$B1090,dPer,"&gt;="&amp;pyFrom,dPer,"&lt;="&amp;pyTo,dAmt,"&gt;-1E+300",dFlt1,critFlt1,dFlt2,critFlt2,dFlt3,critFlt3))</f>
        <v/>
      </c>
      <c r="D1090" t="str">
        <f>IF($B1090="","",SUMIFS(dAmt,dCust,$B1090,dPer,"&gt;="&amp;cyFrom,dPer,"&lt;="&amp;cyTo,dAmt,"&gt;-1E+300",dFlt1,critFlt1,dFlt2,critFlt2,dFlt3,critFlt3))</f>
        <v/>
      </c>
      <c r="E1090" t="str">
        <f>IF($B1090="","",SUMIFS(dQty,dCust,$B1090,dPer,"&gt;="&amp;pyFrom,dPer,"&lt;="&amp;pyTo,dQty,"&gt;-1E+300",dFlt1,critFlt1,dFlt2,critFlt2,dFlt3,critFlt3))</f>
        <v/>
      </c>
      <c r="F1090" t="str">
        <f>IF($B1090="","",SUMIFS(dQty,dCust,$B1090,dPer,"&gt;="&amp;cyFrom,dPer,"&lt;="&amp;cyTo,dQty,"&gt;-1E+300",dFlt1,critFlt1,dFlt2,critFlt2,dFlt3,critFlt3))</f>
        <v/>
      </c>
      <c r="G1090">
        <f>IF($B1090="",0,IFERROR(IF(OR(C1090&lt;&gt;0,D1090&lt;&gt;0,E1090&lt;&gt;0,F1090&lt;&gt;0),1,0),1))</f>
        <v>0</v>
      </c>
      <c r="H1090" t="str">
        <f>IF(OR(G1090=0,E1090=0),"",C1090/E1090)</f>
        <v/>
      </c>
      <c r="I1090" t="str">
        <f>IF(OR(G1090=0,F1090=0),"",D1090/F1090)</f>
        <v/>
      </c>
      <c r="J1090" t="str">
        <f>IF(OR(H1090="",I1090=""),"",IF(H1090=0,"",I1090/H1090-1))</f>
        <v/>
      </c>
      <c r="K1090" t="str">
        <f>IF($B1090="","",IFERROR(IF(G1090=0,-2E+300,CHOOSE(sortIdx,ROUND(D1090,0),IF(J1090="",-1E+300,ROUND(-J1090,6)),IF(J1090="",-1E+300,ROUND(J1090,6)))),-1.5E+300))</f>
        <v/>
      </c>
      <c r="L1090" t="str">
        <f>IF(K1090="","",RANK(K1090,$K$2:$K$3001,0)+COUNTIF($K$2:K1090,K1090)-1)</f>
        <v/>
      </c>
    </row>
    <row r="1091">
      <c r="B1091" t="str">
        <f>IFERROR(IF(A1091="","","="&amp;SUBSTITUTE(SUBSTITUTE(SUBSTITUTE(A1091,"~","~~"),"*","~*"),"?","~?")),"")</f>
        <v/>
      </c>
      <c r="C1091" t="str">
        <f>IF($B1091="","",SUMIFS(dAmt,dCust,$B1091,dPer,"&gt;="&amp;pyFrom,dPer,"&lt;="&amp;pyTo,dAmt,"&gt;-1E+300",dFlt1,critFlt1,dFlt2,critFlt2,dFlt3,critFlt3))</f>
        <v/>
      </c>
      <c r="D1091" t="str">
        <f>IF($B1091="","",SUMIFS(dAmt,dCust,$B1091,dPer,"&gt;="&amp;cyFrom,dPer,"&lt;="&amp;cyTo,dAmt,"&gt;-1E+300",dFlt1,critFlt1,dFlt2,critFlt2,dFlt3,critFlt3))</f>
        <v/>
      </c>
      <c r="E1091" t="str">
        <f>IF($B1091="","",SUMIFS(dQty,dCust,$B1091,dPer,"&gt;="&amp;pyFrom,dPer,"&lt;="&amp;pyTo,dQty,"&gt;-1E+300",dFlt1,critFlt1,dFlt2,critFlt2,dFlt3,critFlt3))</f>
        <v/>
      </c>
      <c r="F1091" t="str">
        <f>IF($B1091="","",SUMIFS(dQty,dCust,$B1091,dPer,"&gt;="&amp;cyFrom,dPer,"&lt;="&amp;cyTo,dQty,"&gt;-1E+300",dFlt1,critFlt1,dFlt2,critFlt2,dFlt3,critFlt3))</f>
        <v/>
      </c>
      <c r="G1091">
        <f>IF($B1091="",0,IFERROR(IF(OR(C1091&lt;&gt;0,D1091&lt;&gt;0,E1091&lt;&gt;0,F1091&lt;&gt;0),1,0),1))</f>
        <v>0</v>
      </c>
      <c r="H1091" t="str">
        <f>IF(OR(G1091=0,E1091=0),"",C1091/E1091)</f>
        <v/>
      </c>
      <c r="I1091" t="str">
        <f>IF(OR(G1091=0,F1091=0),"",D1091/F1091)</f>
        <v/>
      </c>
      <c r="J1091" t="str">
        <f>IF(OR(H1091="",I1091=""),"",IF(H1091=0,"",I1091/H1091-1))</f>
        <v/>
      </c>
      <c r="K1091" t="str">
        <f>IF($B1091="","",IFERROR(IF(G1091=0,-2E+300,CHOOSE(sortIdx,ROUND(D1091,0),IF(J1091="",-1E+300,ROUND(-J1091,6)),IF(J1091="",-1E+300,ROUND(J1091,6)))),-1.5E+300))</f>
        <v/>
      </c>
      <c r="L1091" t="str">
        <f>IF(K1091="","",RANK(K1091,$K$2:$K$3001,0)+COUNTIF($K$2:K1091,K1091)-1)</f>
        <v/>
      </c>
    </row>
    <row r="1092">
      <c r="B1092" t="str">
        <f>IFERROR(IF(A1092="","","="&amp;SUBSTITUTE(SUBSTITUTE(SUBSTITUTE(A1092,"~","~~"),"*","~*"),"?","~?")),"")</f>
        <v/>
      </c>
      <c r="C1092" t="str">
        <f>IF($B1092="","",SUMIFS(dAmt,dCust,$B1092,dPer,"&gt;="&amp;pyFrom,dPer,"&lt;="&amp;pyTo,dAmt,"&gt;-1E+300",dFlt1,critFlt1,dFlt2,critFlt2,dFlt3,critFlt3))</f>
        <v/>
      </c>
      <c r="D1092" t="str">
        <f>IF($B1092="","",SUMIFS(dAmt,dCust,$B1092,dPer,"&gt;="&amp;cyFrom,dPer,"&lt;="&amp;cyTo,dAmt,"&gt;-1E+300",dFlt1,critFlt1,dFlt2,critFlt2,dFlt3,critFlt3))</f>
        <v/>
      </c>
      <c r="E1092" t="str">
        <f>IF($B1092="","",SUMIFS(dQty,dCust,$B1092,dPer,"&gt;="&amp;pyFrom,dPer,"&lt;="&amp;pyTo,dQty,"&gt;-1E+300",dFlt1,critFlt1,dFlt2,critFlt2,dFlt3,critFlt3))</f>
        <v/>
      </c>
      <c r="F1092" t="str">
        <f>IF($B1092="","",SUMIFS(dQty,dCust,$B1092,dPer,"&gt;="&amp;cyFrom,dPer,"&lt;="&amp;cyTo,dQty,"&gt;-1E+300",dFlt1,critFlt1,dFlt2,critFlt2,dFlt3,critFlt3))</f>
        <v/>
      </c>
      <c r="G1092">
        <f>IF($B1092="",0,IFERROR(IF(OR(C1092&lt;&gt;0,D1092&lt;&gt;0,E1092&lt;&gt;0,F1092&lt;&gt;0),1,0),1))</f>
        <v>0</v>
      </c>
      <c r="H1092" t="str">
        <f>IF(OR(G1092=0,E1092=0),"",C1092/E1092)</f>
        <v/>
      </c>
      <c r="I1092" t="str">
        <f>IF(OR(G1092=0,F1092=0),"",D1092/F1092)</f>
        <v/>
      </c>
      <c r="J1092" t="str">
        <f>IF(OR(H1092="",I1092=""),"",IF(H1092=0,"",I1092/H1092-1))</f>
        <v/>
      </c>
      <c r="K1092" t="str">
        <f>IF($B1092="","",IFERROR(IF(G1092=0,-2E+300,CHOOSE(sortIdx,ROUND(D1092,0),IF(J1092="",-1E+300,ROUND(-J1092,6)),IF(J1092="",-1E+300,ROUND(J1092,6)))),-1.5E+300))</f>
        <v/>
      </c>
      <c r="L1092" t="str">
        <f>IF(K1092="","",RANK(K1092,$K$2:$K$3001,0)+COUNTIF($K$2:K1092,K1092)-1)</f>
        <v/>
      </c>
    </row>
    <row r="1093">
      <c r="B1093" t="str">
        <f>IFERROR(IF(A1093="","","="&amp;SUBSTITUTE(SUBSTITUTE(SUBSTITUTE(A1093,"~","~~"),"*","~*"),"?","~?")),"")</f>
        <v/>
      </c>
      <c r="C1093" t="str">
        <f>IF($B1093="","",SUMIFS(dAmt,dCust,$B1093,dPer,"&gt;="&amp;pyFrom,dPer,"&lt;="&amp;pyTo,dAmt,"&gt;-1E+300",dFlt1,critFlt1,dFlt2,critFlt2,dFlt3,critFlt3))</f>
        <v/>
      </c>
      <c r="D1093" t="str">
        <f>IF($B1093="","",SUMIFS(dAmt,dCust,$B1093,dPer,"&gt;="&amp;cyFrom,dPer,"&lt;="&amp;cyTo,dAmt,"&gt;-1E+300",dFlt1,critFlt1,dFlt2,critFlt2,dFlt3,critFlt3))</f>
        <v/>
      </c>
      <c r="E1093" t="str">
        <f>IF($B1093="","",SUMIFS(dQty,dCust,$B1093,dPer,"&gt;="&amp;pyFrom,dPer,"&lt;="&amp;pyTo,dQty,"&gt;-1E+300",dFlt1,critFlt1,dFlt2,critFlt2,dFlt3,critFlt3))</f>
        <v/>
      </c>
      <c r="F1093" t="str">
        <f>IF($B1093="","",SUMIFS(dQty,dCust,$B1093,dPer,"&gt;="&amp;cyFrom,dPer,"&lt;="&amp;cyTo,dQty,"&gt;-1E+300",dFlt1,critFlt1,dFlt2,critFlt2,dFlt3,critFlt3))</f>
        <v/>
      </c>
      <c r="G1093">
        <f>IF($B1093="",0,IFERROR(IF(OR(C1093&lt;&gt;0,D1093&lt;&gt;0,E1093&lt;&gt;0,F1093&lt;&gt;0),1,0),1))</f>
        <v>0</v>
      </c>
      <c r="H1093" t="str">
        <f>IF(OR(G1093=0,E1093=0),"",C1093/E1093)</f>
        <v/>
      </c>
      <c r="I1093" t="str">
        <f>IF(OR(G1093=0,F1093=0),"",D1093/F1093)</f>
        <v/>
      </c>
      <c r="J1093" t="str">
        <f>IF(OR(H1093="",I1093=""),"",IF(H1093=0,"",I1093/H1093-1))</f>
        <v/>
      </c>
      <c r="K1093" t="str">
        <f>IF($B1093="","",IFERROR(IF(G1093=0,-2E+300,CHOOSE(sortIdx,ROUND(D1093,0),IF(J1093="",-1E+300,ROUND(-J1093,6)),IF(J1093="",-1E+300,ROUND(J1093,6)))),-1.5E+300))</f>
        <v/>
      </c>
      <c r="L1093" t="str">
        <f>IF(K1093="","",RANK(K1093,$K$2:$K$3001,0)+COUNTIF($K$2:K1093,K1093)-1)</f>
        <v/>
      </c>
    </row>
    <row r="1094">
      <c r="B1094" t="str">
        <f>IFERROR(IF(A1094="","","="&amp;SUBSTITUTE(SUBSTITUTE(SUBSTITUTE(A1094,"~","~~"),"*","~*"),"?","~?")),"")</f>
        <v/>
      </c>
      <c r="C1094" t="str">
        <f>IF($B1094="","",SUMIFS(dAmt,dCust,$B1094,dPer,"&gt;="&amp;pyFrom,dPer,"&lt;="&amp;pyTo,dAmt,"&gt;-1E+300",dFlt1,critFlt1,dFlt2,critFlt2,dFlt3,critFlt3))</f>
        <v/>
      </c>
      <c r="D1094" t="str">
        <f>IF($B1094="","",SUMIFS(dAmt,dCust,$B1094,dPer,"&gt;="&amp;cyFrom,dPer,"&lt;="&amp;cyTo,dAmt,"&gt;-1E+300",dFlt1,critFlt1,dFlt2,critFlt2,dFlt3,critFlt3))</f>
        <v/>
      </c>
      <c r="E1094" t="str">
        <f>IF($B1094="","",SUMIFS(dQty,dCust,$B1094,dPer,"&gt;="&amp;pyFrom,dPer,"&lt;="&amp;pyTo,dQty,"&gt;-1E+300",dFlt1,critFlt1,dFlt2,critFlt2,dFlt3,critFlt3))</f>
        <v/>
      </c>
      <c r="F1094" t="str">
        <f>IF($B1094="","",SUMIFS(dQty,dCust,$B1094,dPer,"&gt;="&amp;cyFrom,dPer,"&lt;="&amp;cyTo,dQty,"&gt;-1E+300",dFlt1,critFlt1,dFlt2,critFlt2,dFlt3,critFlt3))</f>
        <v/>
      </c>
      <c r="G1094">
        <f>IF($B1094="",0,IFERROR(IF(OR(C1094&lt;&gt;0,D1094&lt;&gt;0,E1094&lt;&gt;0,F1094&lt;&gt;0),1,0),1))</f>
        <v>0</v>
      </c>
      <c r="H1094" t="str">
        <f>IF(OR(G1094=0,E1094=0),"",C1094/E1094)</f>
        <v/>
      </c>
      <c r="I1094" t="str">
        <f>IF(OR(G1094=0,F1094=0),"",D1094/F1094)</f>
        <v/>
      </c>
      <c r="J1094" t="str">
        <f>IF(OR(H1094="",I1094=""),"",IF(H1094=0,"",I1094/H1094-1))</f>
        <v/>
      </c>
      <c r="K1094" t="str">
        <f>IF($B1094="","",IFERROR(IF(G1094=0,-2E+300,CHOOSE(sortIdx,ROUND(D1094,0),IF(J1094="",-1E+300,ROUND(-J1094,6)),IF(J1094="",-1E+300,ROUND(J1094,6)))),-1.5E+300))</f>
        <v/>
      </c>
      <c r="L1094" t="str">
        <f>IF(K1094="","",RANK(K1094,$K$2:$K$3001,0)+COUNTIF($K$2:K1094,K1094)-1)</f>
        <v/>
      </c>
    </row>
    <row r="1095">
      <c r="B1095" t="str">
        <f>IFERROR(IF(A1095="","","="&amp;SUBSTITUTE(SUBSTITUTE(SUBSTITUTE(A1095,"~","~~"),"*","~*"),"?","~?")),"")</f>
        <v/>
      </c>
      <c r="C1095" t="str">
        <f>IF($B1095="","",SUMIFS(dAmt,dCust,$B1095,dPer,"&gt;="&amp;pyFrom,dPer,"&lt;="&amp;pyTo,dAmt,"&gt;-1E+300",dFlt1,critFlt1,dFlt2,critFlt2,dFlt3,critFlt3))</f>
        <v/>
      </c>
      <c r="D1095" t="str">
        <f>IF($B1095="","",SUMIFS(dAmt,dCust,$B1095,dPer,"&gt;="&amp;cyFrom,dPer,"&lt;="&amp;cyTo,dAmt,"&gt;-1E+300",dFlt1,critFlt1,dFlt2,critFlt2,dFlt3,critFlt3))</f>
        <v/>
      </c>
      <c r="E1095" t="str">
        <f>IF($B1095="","",SUMIFS(dQty,dCust,$B1095,dPer,"&gt;="&amp;pyFrom,dPer,"&lt;="&amp;pyTo,dQty,"&gt;-1E+300",dFlt1,critFlt1,dFlt2,critFlt2,dFlt3,critFlt3))</f>
        <v/>
      </c>
      <c r="F1095" t="str">
        <f>IF($B1095="","",SUMIFS(dQty,dCust,$B1095,dPer,"&gt;="&amp;cyFrom,dPer,"&lt;="&amp;cyTo,dQty,"&gt;-1E+300",dFlt1,critFlt1,dFlt2,critFlt2,dFlt3,critFlt3))</f>
        <v/>
      </c>
      <c r="G1095">
        <f>IF($B1095="",0,IFERROR(IF(OR(C1095&lt;&gt;0,D1095&lt;&gt;0,E1095&lt;&gt;0,F1095&lt;&gt;0),1,0),1))</f>
        <v>0</v>
      </c>
      <c r="H1095" t="str">
        <f>IF(OR(G1095=0,E1095=0),"",C1095/E1095)</f>
        <v/>
      </c>
      <c r="I1095" t="str">
        <f>IF(OR(G1095=0,F1095=0),"",D1095/F1095)</f>
        <v/>
      </c>
      <c r="J1095" t="str">
        <f>IF(OR(H1095="",I1095=""),"",IF(H1095=0,"",I1095/H1095-1))</f>
        <v/>
      </c>
      <c r="K1095" t="str">
        <f>IF($B1095="","",IFERROR(IF(G1095=0,-2E+300,CHOOSE(sortIdx,ROUND(D1095,0),IF(J1095="",-1E+300,ROUND(-J1095,6)),IF(J1095="",-1E+300,ROUND(J1095,6)))),-1.5E+300))</f>
        <v/>
      </c>
      <c r="L1095" t="str">
        <f>IF(K1095="","",RANK(K1095,$K$2:$K$3001,0)+COUNTIF($K$2:K1095,K1095)-1)</f>
        <v/>
      </c>
    </row>
    <row r="1096">
      <c r="B1096" t="str">
        <f>IFERROR(IF(A1096="","","="&amp;SUBSTITUTE(SUBSTITUTE(SUBSTITUTE(A1096,"~","~~"),"*","~*"),"?","~?")),"")</f>
        <v/>
      </c>
      <c r="C1096" t="str">
        <f>IF($B1096="","",SUMIFS(dAmt,dCust,$B1096,dPer,"&gt;="&amp;pyFrom,dPer,"&lt;="&amp;pyTo,dAmt,"&gt;-1E+300",dFlt1,critFlt1,dFlt2,critFlt2,dFlt3,critFlt3))</f>
        <v/>
      </c>
      <c r="D1096" t="str">
        <f>IF($B1096="","",SUMIFS(dAmt,dCust,$B1096,dPer,"&gt;="&amp;cyFrom,dPer,"&lt;="&amp;cyTo,dAmt,"&gt;-1E+300",dFlt1,critFlt1,dFlt2,critFlt2,dFlt3,critFlt3))</f>
        <v/>
      </c>
      <c r="E1096" t="str">
        <f>IF($B1096="","",SUMIFS(dQty,dCust,$B1096,dPer,"&gt;="&amp;pyFrom,dPer,"&lt;="&amp;pyTo,dQty,"&gt;-1E+300",dFlt1,critFlt1,dFlt2,critFlt2,dFlt3,critFlt3))</f>
        <v/>
      </c>
      <c r="F1096" t="str">
        <f>IF($B1096="","",SUMIFS(dQty,dCust,$B1096,dPer,"&gt;="&amp;cyFrom,dPer,"&lt;="&amp;cyTo,dQty,"&gt;-1E+300",dFlt1,critFlt1,dFlt2,critFlt2,dFlt3,critFlt3))</f>
        <v/>
      </c>
      <c r="G1096">
        <f>IF($B1096="",0,IFERROR(IF(OR(C1096&lt;&gt;0,D1096&lt;&gt;0,E1096&lt;&gt;0,F1096&lt;&gt;0),1,0),1))</f>
        <v>0</v>
      </c>
      <c r="H1096" t="str">
        <f>IF(OR(G1096=0,E1096=0),"",C1096/E1096)</f>
        <v/>
      </c>
      <c r="I1096" t="str">
        <f>IF(OR(G1096=0,F1096=0),"",D1096/F1096)</f>
        <v/>
      </c>
      <c r="J1096" t="str">
        <f>IF(OR(H1096="",I1096=""),"",IF(H1096=0,"",I1096/H1096-1))</f>
        <v/>
      </c>
      <c r="K1096" t="str">
        <f>IF($B1096="","",IFERROR(IF(G1096=0,-2E+300,CHOOSE(sortIdx,ROUND(D1096,0),IF(J1096="",-1E+300,ROUND(-J1096,6)),IF(J1096="",-1E+300,ROUND(J1096,6)))),-1.5E+300))</f>
        <v/>
      </c>
      <c r="L1096" t="str">
        <f>IF(K1096="","",RANK(K1096,$K$2:$K$3001,0)+COUNTIF($K$2:K1096,K1096)-1)</f>
        <v/>
      </c>
    </row>
    <row r="1097">
      <c r="B1097" t="str">
        <f>IFERROR(IF(A1097="","","="&amp;SUBSTITUTE(SUBSTITUTE(SUBSTITUTE(A1097,"~","~~"),"*","~*"),"?","~?")),"")</f>
        <v/>
      </c>
      <c r="C1097" t="str">
        <f>IF($B1097="","",SUMIFS(dAmt,dCust,$B1097,dPer,"&gt;="&amp;pyFrom,dPer,"&lt;="&amp;pyTo,dAmt,"&gt;-1E+300",dFlt1,critFlt1,dFlt2,critFlt2,dFlt3,critFlt3))</f>
        <v/>
      </c>
      <c r="D1097" t="str">
        <f>IF($B1097="","",SUMIFS(dAmt,dCust,$B1097,dPer,"&gt;="&amp;cyFrom,dPer,"&lt;="&amp;cyTo,dAmt,"&gt;-1E+300",dFlt1,critFlt1,dFlt2,critFlt2,dFlt3,critFlt3))</f>
        <v/>
      </c>
      <c r="E1097" t="str">
        <f>IF($B1097="","",SUMIFS(dQty,dCust,$B1097,dPer,"&gt;="&amp;pyFrom,dPer,"&lt;="&amp;pyTo,dQty,"&gt;-1E+300",dFlt1,critFlt1,dFlt2,critFlt2,dFlt3,critFlt3))</f>
        <v/>
      </c>
      <c r="F1097" t="str">
        <f>IF($B1097="","",SUMIFS(dQty,dCust,$B1097,dPer,"&gt;="&amp;cyFrom,dPer,"&lt;="&amp;cyTo,dQty,"&gt;-1E+300",dFlt1,critFlt1,dFlt2,critFlt2,dFlt3,critFlt3))</f>
        <v/>
      </c>
      <c r="G1097">
        <f>IF($B1097="",0,IFERROR(IF(OR(C1097&lt;&gt;0,D1097&lt;&gt;0,E1097&lt;&gt;0,F1097&lt;&gt;0),1,0),1))</f>
        <v>0</v>
      </c>
      <c r="H1097" t="str">
        <f>IF(OR(G1097=0,E1097=0),"",C1097/E1097)</f>
        <v/>
      </c>
      <c r="I1097" t="str">
        <f>IF(OR(G1097=0,F1097=0),"",D1097/F1097)</f>
        <v/>
      </c>
      <c r="J1097" t="str">
        <f>IF(OR(H1097="",I1097=""),"",IF(H1097=0,"",I1097/H1097-1))</f>
        <v/>
      </c>
      <c r="K1097" t="str">
        <f>IF($B1097="","",IFERROR(IF(G1097=0,-2E+300,CHOOSE(sortIdx,ROUND(D1097,0),IF(J1097="",-1E+300,ROUND(-J1097,6)),IF(J1097="",-1E+300,ROUND(J1097,6)))),-1.5E+300))</f>
        <v/>
      </c>
      <c r="L1097" t="str">
        <f>IF(K1097="","",RANK(K1097,$K$2:$K$3001,0)+COUNTIF($K$2:K1097,K1097)-1)</f>
        <v/>
      </c>
    </row>
    <row r="1098">
      <c r="B1098" t="str">
        <f>IFERROR(IF(A1098="","","="&amp;SUBSTITUTE(SUBSTITUTE(SUBSTITUTE(A1098,"~","~~"),"*","~*"),"?","~?")),"")</f>
        <v/>
      </c>
      <c r="C1098" t="str">
        <f>IF($B1098="","",SUMIFS(dAmt,dCust,$B1098,dPer,"&gt;="&amp;pyFrom,dPer,"&lt;="&amp;pyTo,dAmt,"&gt;-1E+300",dFlt1,critFlt1,dFlt2,critFlt2,dFlt3,critFlt3))</f>
        <v/>
      </c>
      <c r="D1098" t="str">
        <f>IF($B1098="","",SUMIFS(dAmt,dCust,$B1098,dPer,"&gt;="&amp;cyFrom,dPer,"&lt;="&amp;cyTo,dAmt,"&gt;-1E+300",dFlt1,critFlt1,dFlt2,critFlt2,dFlt3,critFlt3))</f>
        <v/>
      </c>
      <c r="E1098" t="str">
        <f>IF($B1098="","",SUMIFS(dQty,dCust,$B1098,dPer,"&gt;="&amp;pyFrom,dPer,"&lt;="&amp;pyTo,dQty,"&gt;-1E+300",dFlt1,critFlt1,dFlt2,critFlt2,dFlt3,critFlt3))</f>
        <v/>
      </c>
      <c r="F1098" t="str">
        <f>IF($B1098="","",SUMIFS(dQty,dCust,$B1098,dPer,"&gt;="&amp;cyFrom,dPer,"&lt;="&amp;cyTo,dQty,"&gt;-1E+300",dFlt1,critFlt1,dFlt2,critFlt2,dFlt3,critFlt3))</f>
        <v/>
      </c>
      <c r="G1098">
        <f>IF($B1098="",0,IFERROR(IF(OR(C1098&lt;&gt;0,D1098&lt;&gt;0,E1098&lt;&gt;0,F1098&lt;&gt;0),1,0),1))</f>
        <v>0</v>
      </c>
      <c r="H1098" t="str">
        <f>IF(OR(G1098=0,E1098=0),"",C1098/E1098)</f>
        <v/>
      </c>
      <c r="I1098" t="str">
        <f>IF(OR(G1098=0,F1098=0),"",D1098/F1098)</f>
        <v/>
      </c>
      <c r="J1098" t="str">
        <f>IF(OR(H1098="",I1098=""),"",IF(H1098=0,"",I1098/H1098-1))</f>
        <v/>
      </c>
      <c r="K1098" t="str">
        <f>IF($B1098="","",IFERROR(IF(G1098=0,-2E+300,CHOOSE(sortIdx,ROUND(D1098,0),IF(J1098="",-1E+300,ROUND(-J1098,6)),IF(J1098="",-1E+300,ROUND(J1098,6)))),-1.5E+300))</f>
        <v/>
      </c>
      <c r="L1098" t="str">
        <f>IF(K1098="","",RANK(K1098,$K$2:$K$3001,0)+COUNTIF($K$2:K1098,K1098)-1)</f>
        <v/>
      </c>
    </row>
    <row r="1099">
      <c r="B1099" t="str">
        <f>IFERROR(IF(A1099="","","="&amp;SUBSTITUTE(SUBSTITUTE(SUBSTITUTE(A1099,"~","~~"),"*","~*"),"?","~?")),"")</f>
        <v/>
      </c>
      <c r="C1099" t="str">
        <f>IF($B1099="","",SUMIFS(dAmt,dCust,$B1099,dPer,"&gt;="&amp;pyFrom,dPer,"&lt;="&amp;pyTo,dAmt,"&gt;-1E+300",dFlt1,critFlt1,dFlt2,critFlt2,dFlt3,critFlt3))</f>
        <v/>
      </c>
      <c r="D1099" t="str">
        <f>IF($B1099="","",SUMIFS(dAmt,dCust,$B1099,dPer,"&gt;="&amp;cyFrom,dPer,"&lt;="&amp;cyTo,dAmt,"&gt;-1E+300",dFlt1,critFlt1,dFlt2,critFlt2,dFlt3,critFlt3))</f>
        <v/>
      </c>
      <c r="E1099" t="str">
        <f>IF($B1099="","",SUMIFS(dQty,dCust,$B1099,dPer,"&gt;="&amp;pyFrom,dPer,"&lt;="&amp;pyTo,dQty,"&gt;-1E+300",dFlt1,critFlt1,dFlt2,critFlt2,dFlt3,critFlt3))</f>
        <v/>
      </c>
      <c r="F1099" t="str">
        <f>IF($B1099="","",SUMIFS(dQty,dCust,$B1099,dPer,"&gt;="&amp;cyFrom,dPer,"&lt;="&amp;cyTo,dQty,"&gt;-1E+300",dFlt1,critFlt1,dFlt2,critFlt2,dFlt3,critFlt3))</f>
        <v/>
      </c>
      <c r="G1099">
        <f>IF($B1099="",0,IFERROR(IF(OR(C1099&lt;&gt;0,D1099&lt;&gt;0,E1099&lt;&gt;0,F1099&lt;&gt;0),1,0),1))</f>
        <v>0</v>
      </c>
      <c r="H1099" t="str">
        <f>IF(OR(G1099=0,E1099=0),"",C1099/E1099)</f>
        <v/>
      </c>
      <c r="I1099" t="str">
        <f>IF(OR(G1099=0,F1099=0),"",D1099/F1099)</f>
        <v/>
      </c>
      <c r="J1099" t="str">
        <f>IF(OR(H1099="",I1099=""),"",IF(H1099=0,"",I1099/H1099-1))</f>
        <v/>
      </c>
      <c r="K1099" t="str">
        <f>IF($B1099="","",IFERROR(IF(G1099=0,-2E+300,CHOOSE(sortIdx,ROUND(D1099,0),IF(J1099="",-1E+300,ROUND(-J1099,6)),IF(J1099="",-1E+300,ROUND(J1099,6)))),-1.5E+300))</f>
        <v/>
      </c>
      <c r="L1099" t="str">
        <f>IF(K1099="","",RANK(K1099,$K$2:$K$3001,0)+COUNTIF($K$2:K1099,K1099)-1)</f>
        <v/>
      </c>
    </row>
    <row r="1100">
      <c r="B1100" t="str">
        <f>IFERROR(IF(A1100="","","="&amp;SUBSTITUTE(SUBSTITUTE(SUBSTITUTE(A1100,"~","~~"),"*","~*"),"?","~?")),"")</f>
        <v/>
      </c>
      <c r="C1100" t="str">
        <f>IF($B1100="","",SUMIFS(dAmt,dCust,$B1100,dPer,"&gt;="&amp;pyFrom,dPer,"&lt;="&amp;pyTo,dAmt,"&gt;-1E+300",dFlt1,critFlt1,dFlt2,critFlt2,dFlt3,critFlt3))</f>
        <v/>
      </c>
      <c r="D1100" t="str">
        <f>IF($B1100="","",SUMIFS(dAmt,dCust,$B1100,dPer,"&gt;="&amp;cyFrom,dPer,"&lt;="&amp;cyTo,dAmt,"&gt;-1E+300",dFlt1,critFlt1,dFlt2,critFlt2,dFlt3,critFlt3))</f>
        <v/>
      </c>
      <c r="E1100" t="str">
        <f>IF($B1100="","",SUMIFS(dQty,dCust,$B1100,dPer,"&gt;="&amp;pyFrom,dPer,"&lt;="&amp;pyTo,dQty,"&gt;-1E+300",dFlt1,critFlt1,dFlt2,critFlt2,dFlt3,critFlt3))</f>
        <v/>
      </c>
      <c r="F1100" t="str">
        <f>IF($B1100="","",SUMIFS(dQty,dCust,$B1100,dPer,"&gt;="&amp;cyFrom,dPer,"&lt;="&amp;cyTo,dQty,"&gt;-1E+300",dFlt1,critFlt1,dFlt2,critFlt2,dFlt3,critFlt3))</f>
        <v/>
      </c>
      <c r="G1100">
        <f>IF($B1100="",0,IFERROR(IF(OR(C1100&lt;&gt;0,D1100&lt;&gt;0,E1100&lt;&gt;0,F1100&lt;&gt;0),1,0),1))</f>
        <v>0</v>
      </c>
      <c r="H1100" t="str">
        <f>IF(OR(G1100=0,E1100=0),"",C1100/E1100)</f>
        <v/>
      </c>
      <c r="I1100" t="str">
        <f>IF(OR(G1100=0,F1100=0),"",D1100/F1100)</f>
        <v/>
      </c>
      <c r="J1100" t="str">
        <f>IF(OR(H1100="",I1100=""),"",IF(H1100=0,"",I1100/H1100-1))</f>
        <v/>
      </c>
      <c r="K1100" t="str">
        <f>IF($B1100="","",IFERROR(IF(G1100=0,-2E+300,CHOOSE(sortIdx,ROUND(D1100,0),IF(J1100="",-1E+300,ROUND(-J1100,6)),IF(J1100="",-1E+300,ROUND(J1100,6)))),-1.5E+300))</f>
        <v/>
      </c>
      <c r="L1100" t="str">
        <f>IF(K1100="","",RANK(K1100,$K$2:$K$3001,0)+COUNTIF($K$2:K1100,K1100)-1)</f>
        <v/>
      </c>
    </row>
    <row r="1101">
      <c r="B1101" t="str">
        <f>IFERROR(IF(A1101="","","="&amp;SUBSTITUTE(SUBSTITUTE(SUBSTITUTE(A1101,"~","~~"),"*","~*"),"?","~?")),"")</f>
        <v/>
      </c>
      <c r="C1101" t="str">
        <f>IF($B1101="","",SUMIFS(dAmt,dCust,$B1101,dPer,"&gt;="&amp;pyFrom,dPer,"&lt;="&amp;pyTo,dAmt,"&gt;-1E+300",dFlt1,critFlt1,dFlt2,critFlt2,dFlt3,critFlt3))</f>
        <v/>
      </c>
      <c r="D1101" t="str">
        <f>IF($B1101="","",SUMIFS(dAmt,dCust,$B1101,dPer,"&gt;="&amp;cyFrom,dPer,"&lt;="&amp;cyTo,dAmt,"&gt;-1E+300",dFlt1,critFlt1,dFlt2,critFlt2,dFlt3,critFlt3))</f>
        <v/>
      </c>
      <c r="E1101" t="str">
        <f>IF($B1101="","",SUMIFS(dQty,dCust,$B1101,dPer,"&gt;="&amp;pyFrom,dPer,"&lt;="&amp;pyTo,dQty,"&gt;-1E+300",dFlt1,critFlt1,dFlt2,critFlt2,dFlt3,critFlt3))</f>
        <v/>
      </c>
      <c r="F1101" t="str">
        <f>IF($B1101="","",SUMIFS(dQty,dCust,$B1101,dPer,"&gt;="&amp;cyFrom,dPer,"&lt;="&amp;cyTo,dQty,"&gt;-1E+300",dFlt1,critFlt1,dFlt2,critFlt2,dFlt3,critFlt3))</f>
        <v/>
      </c>
      <c r="G1101">
        <f>IF($B1101="",0,IFERROR(IF(OR(C1101&lt;&gt;0,D1101&lt;&gt;0,E1101&lt;&gt;0,F1101&lt;&gt;0),1,0),1))</f>
        <v>0</v>
      </c>
      <c r="H1101" t="str">
        <f>IF(OR(G1101=0,E1101=0),"",C1101/E1101)</f>
        <v/>
      </c>
      <c r="I1101" t="str">
        <f>IF(OR(G1101=0,F1101=0),"",D1101/F1101)</f>
        <v/>
      </c>
      <c r="J1101" t="str">
        <f>IF(OR(H1101="",I1101=""),"",IF(H1101=0,"",I1101/H1101-1))</f>
        <v/>
      </c>
      <c r="K1101" t="str">
        <f>IF($B1101="","",IFERROR(IF(G1101=0,-2E+300,CHOOSE(sortIdx,ROUND(D1101,0),IF(J1101="",-1E+300,ROUND(-J1101,6)),IF(J1101="",-1E+300,ROUND(J1101,6)))),-1.5E+300))</f>
        <v/>
      </c>
      <c r="L1101" t="str">
        <f>IF(K1101="","",RANK(K1101,$K$2:$K$3001,0)+COUNTIF($K$2:K1101,K1101)-1)</f>
        <v/>
      </c>
    </row>
    <row r="1102">
      <c r="B1102" t="str">
        <f>IFERROR(IF(A1102="","","="&amp;SUBSTITUTE(SUBSTITUTE(SUBSTITUTE(A1102,"~","~~"),"*","~*"),"?","~?")),"")</f>
        <v/>
      </c>
      <c r="C1102" t="str">
        <f>IF($B1102="","",SUMIFS(dAmt,dCust,$B1102,dPer,"&gt;="&amp;pyFrom,dPer,"&lt;="&amp;pyTo,dAmt,"&gt;-1E+300",dFlt1,critFlt1,dFlt2,critFlt2,dFlt3,critFlt3))</f>
        <v/>
      </c>
      <c r="D1102" t="str">
        <f>IF($B1102="","",SUMIFS(dAmt,dCust,$B1102,dPer,"&gt;="&amp;cyFrom,dPer,"&lt;="&amp;cyTo,dAmt,"&gt;-1E+300",dFlt1,critFlt1,dFlt2,critFlt2,dFlt3,critFlt3))</f>
        <v/>
      </c>
      <c r="E1102" t="str">
        <f>IF($B1102="","",SUMIFS(dQty,dCust,$B1102,dPer,"&gt;="&amp;pyFrom,dPer,"&lt;="&amp;pyTo,dQty,"&gt;-1E+300",dFlt1,critFlt1,dFlt2,critFlt2,dFlt3,critFlt3))</f>
        <v/>
      </c>
      <c r="F1102" t="str">
        <f>IF($B1102="","",SUMIFS(dQty,dCust,$B1102,dPer,"&gt;="&amp;cyFrom,dPer,"&lt;="&amp;cyTo,dQty,"&gt;-1E+300",dFlt1,critFlt1,dFlt2,critFlt2,dFlt3,critFlt3))</f>
        <v/>
      </c>
      <c r="G1102">
        <f>IF($B1102="",0,IFERROR(IF(OR(C1102&lt;&gt;0,D1102&lt;&gt;0,E1102&lt;&gt;0,F1102&lt;&gt;0),1,0),1))</f>
        <v>0</v>
      </c>
      <c r="H1102" t="str">
        <f>IF(OR(G1102=0,E1102=0),"",C1102/E1102)</f>
        <v/>
      </c>
      <c r="I1102" t="str">
        <f>IF(OR(G1102=0,F1102=0),"",D1102/F1102)</f>
        <v/>
      </c>
      <c r="J1102" t="str">
        <f>IF(OR(H1102="",I1102=""),"",IF(H1102=0,"",I1102/H1102-1))</f>
        <v/>
      </c>
      <c r="K1102" t="str">
        <f>IF($B1102="","",IFERROR(IF(G1102=0,-2E+300,CHOOSE(sortIdx,ROUND(D1102,0),IF(J1102="",-1E+300,ROUND(-J1102,6)),IF(J1102="",-1E+300,ROUND(J1102,6)))),-1.5E+300))</f>
        <v/>
      </c>
      <c r="L1102" t="str">
        <f>IF(K1102="","",RANK(K1102,$K$2:$K$3001,0)+COUNTIF($K$2:K1102,K1102)-1)</f>
        <v/>
      </c>
    </row>
    <row r="1103">
      <c r="B1103" t="str">
        <f>IFERROR(IF(A1103="","","="&amp;SUBSTITUTE(SUBSTITUTE(SUBSTITUTE(A1103,"~","~~"),"*","~*"),"?","~?")),"")</f>
        <v/>
      </c>
      <c r="C1103" t="str">
        <f>IF($B1103="","",SUMIFS(dAmt,dCust,$B1103,dPer,"&gt;="&amp;pyFrom,dPer,"&lt;="&amp;pyTo,dAmt,"&gt;-1E+300",dFlt1,critFlt1,dFlt2,critFlt2,dFlt3,critFlt3))</f>
        <v/>
      </c>
      <c r="D1103" t="str">
        <f>IF($B1103="","",SUMIFS(dAmt,dCust,$B1103,dPer,"&gt;="&amp;cyFrom,dPer,"&lt;="&amp;cyTo,dAmt,"&gt;-1E+300",dFlt1,critFlt1,dFlt2,critFlt2,dFlt3,critFlt3))</f>
        <v/>
      </c>
      <c r="E1103" t="str">
        <f>IF($B1103="","",SUMIFS(dQty,dCust,$B1103,dPer,"&gt;="&amp;pyFrom,dPer,"&lt;="&amp;pyTo,dQty,"&gt;-1E+300",dFlt1,critFlt1,dFlt2,critFlt2,dFlt3,critFlt3))</f>
        <v/>
      </c>
      <c r="F1103" t="str">
        <f>IF($B1103="","",SUMIFS(dQty,dCust,$B1103,dPer,"&gt;="&amp;cyFrom,dPer,"&lt;="&amp;cyTo,dQty,"&gt;-1E+300",dFlt1,critFlt1,dFlt2,critFlt2,dFlt3,critFlt3))</f>
        <v/>
      </c>
      <c r="G1103">
        <f>IF($B1103="",0,IFERROR(IF(OR(C1103&lt;&gt;0,D1103&lt;&gt;0,E1103&lt;&gt;0,F1103&lt;&gt;0),1,0),1))</f>
        <v>0</v>
      </c>
      <c r="H1103" t="str">
        <f>IF(OR(G1103=0,E1103=0),"",C1103/E1103)</f>
        <v/>
      </c>
      <c r="I1103" t="str">
        <f>IF(OR(G1103=0,F1103=0),"",D1103/F1103)</f>
        <v/>
      </c>
      <c r="J1103" t="str">
        <f>IF(OR(H1103="",I1103=""),"",IF(H1103=0,"",I1103/H1103-1))</f>
        <v/>
      </c>
      <c r="K1103" t="str">
        <f>IF($B1103="","",IFERROR(IF(G1103=0,-2E+300,CHOOSE(sortIdx,ROUND(D1103,0),IF(J1103="",-1E+300,ROUND(-J1103,6)),IF(J1103="",-1E+300,ROUND(J1103,6)))),-1.5E+300))</f>
        <v/>
      </c>
      <c r="L1103" t="str">
        <f>IF(K1103="","",RANK(K1103,$K$2:$K$3001,0)+COUNTIF($K$2:K1103,K1103)-1)</f>
        <v/>
      </c>
    </row>
    <row r="1104">
      <c r="B1104" t="str">
        <f>IFERROR(IF(A1104="","","="&amp;SUBSTITUTE(SUBSTITUTE(SUBSTITUTE(A1104,"~","~~"),"*","~*"),"?","~?")),"")</f>
        <v/>
      </c>
      <c r="C1104" t="str">
        <f>IF($B1104="","",SUMIFS(dAmt,dCust,$B1104,dPer,"&gt;="&amp;pyFrom,dPer,"&lt;="&amp;pyTo,dAmt,"&gt;-1E+300",dFlt1,critFlt1,dFlt2,critFlt2,dFlt3,critFlt3))</f>
        <v/>
      </c>
      <c r="D1104" t="str">
        <f>IF($B1104="","",SUMIFS(dAmt,dCust,$B1104,dPer,"&gt;="&amp;cyFrom,dPer,"&lt;="&amp;cyTo,dAmt,"&gt;-1E+300",dFlt1,critFlt1,dFlt2,critFlt2,dFlt3,critFlt3))</f>
        <v/>
      </c>
      <c r="E1104" t="str">
        <f>IF($B1104="","",SUMIFS(dQty,dCust,$B1104,dPer,"&gt;="&amp;pyFrom,dPer,"&lt;="&amp;pyTo,dQty,"&gt;-1E+300",dFlt1,critFlt1,dFlt2,critFlt2,dFlt3,critFlt3))</f>
        <v/>
      </c>
      <c r="F1104" t="str">
        <f>IF($B1104="","",SUMIFS(dQty,dCust,$B1104,dPer,"&gt;="&amp;cyFrom,dPer,"&lt;="&amp;cyTo,dQty,"&gt;-1E+300",dFlt1,critFlt1,dFlt2,critFlt2,dFlt3,critFlt3))</f>
        <v/>
      </c>
      <c r="G1104">
        <f>IF($B1104="",0,IFERROR(IF(OR(C1104&lt;&gt;0,D1104&lt;&gt;0,E1104&lt;&gt;0,F1104&lt;&gt;0),1,0),1))</f>
        <v>0</v>
      </c>
      <c r="H1104" t="str">
        <f>IF(OR(G1104=0,E1104=0),"",C1104/E1104)</f>
        <v/>
      </c>
      <c r="I1104" t="str">
        <f>IF(OR(G1104=0,F1104=0),"",D1104/F1104)</f>
        <v/>
      </c>
      <c r="J1104" t="str">
        <f>IF(OR(H1104="",I1104=""),"",IF(H1104=0,"",I1104/H1104-1))</f>
        <v/>
      </c>
      <c r="K1104" t="str">
        <f>IF($B1104="","",IFERROR(IF(G1104=0,-2E+300,CHOOSE(sortIdx,ROUND(D1104,0),IF(J1104="",-1E+300,ROUND(-J1104,6)),IF(J1104="",-1E+300,ROUND(J1104,6)))),-1.5E+300))</f>
        <v/>
      </c>
      <c r="L1104" t="str">
        <f>IF(K1104="","",RANK(K1104,$K$2:$K$3001,0)+COUNTIF($K$2:K1104,K1104)-1)</f>
        <v/>
      </c>
    </row>
    <row r="1105">
      <c r="B1105" t="str">
        <f>IFERROR(IF(A1105="","","="&amp;SUBSTITUTE(SUBSTITUTE(SUBSTITUTE(A1105,"~","~~"),"*","~*"),"?","~?")),"")</f>
        <v/>
      </c>
      <c r="C1105" t="str">
        <f>IF($B1105="","",SUMIFS(dAmt,dCust,$B1105,dPer,"&gt;="&amp;pyFrom,dPer,"&lt;="&amp;pyTo,dAmt,"&gt;-1E+300",dFlt1,critFlt1,dFlt2,critFlt2,dFlt3,critFlt3))</f>
        <v/>
      </c>
      <c r="D1105" t="str">
        <f>IF($B1105="","",SUMIFS(dAmt,dCust,$B1105,dPer,"&gt;="&amp;cyFrom,dPer,"&lt;="&amp;cyTo,dAmt,"&gt;-1E+300",dFlt1,critFlt1,dFlt2,critFlt2,dFlt3,critFlt3))</f>
        <v/>
      </c>
      <c r="E1105" t="str">
        <f>IF($B1105="","",SUMIFS(dQty,dCust,$B1105,dPer,"&gt;="&amp;pyFrom,dPer,"&lt;="&amp;pyTo,dQty,"&gt;-1E+300",dFlt1,critFlt1,dFlt2,critFlt2,dFlt3,critFlt3))</f>
        <v/>
      </c>
      <c r="F1105" t="str">
        <f>IF($B1105="","",SUMIFS(dQty,dCust,$B1105,dPer,"&gt;="&amp;cyFrom,dPer,"&lt;="&amp;cyTo,dQty,"&gt;-1E+300",dFlt1,critFlt1,dFlt2,critFlt2,dFlt3,critFlt3))</f>
        <v/>
      </c>
      <c r="G1105">
        <f>IF($B1105="",0,IFERROR(IF(OR(C1105&lt;&gt;0,D1105&lt;&gt;0,E1105&lt;&gt;0,F1105&lt;&gt;0),1,0),1))</f>
        <v>0</v>
      </c>
      <c r="H1105" t="str">
        <f>IF(OR(G1105=0,E1105=0),"",C1105/E1105)</f>
        <v/>
      </c>
      <c r="I1105" t="str">
        <f>IF(OR(G1105=0,F1105=0),"",D1105/F1105)</f>
        <v/>
      </c>
      <c r="J1105" t="str">
        <f>IF(OR(H1105="",I1105=""),"",IF(H1105=0,"",I1105/H1105-1))</f>
        <v/>
      </c>
      <c r="K1105" t="str">
        <f>IF($B1105="","",IFERROR(IF(G1105=0,-2E+300,CHOOSE(sortIdx,ROUND(D1105,0),IF(J1105="",-1E+300,ROUND(-J1105,6)),IF(J1105="",-1E+300,ROUND(J1105,6)))),-1.5E+300))</f>
        <v/>
      </c>
      <c r="L1105" t="str">
        <f>IF(K1105="","",RANK(K1105,$K$2:$K$3001,0)+COUNTIF($K$2:K1105,K1105)-1)</f>
        <v/>
      </c>
    </row>
    <row r="1106">
      <c r="B1106" t="str">
        <f>IFERROR(IF(A1106="","","="&amp;SUBSTITUTE(SUBSTITUTE(SUBSTITUTE(A1106,"~","~~"),"*","~*"),"?","~?")),"")</f>
        <v/>
      </c>
      <c r="C1106" t="str">
        <f>IF($B1106="","",SUMIFS(dAmt,dCust,$B1106,dPer,"&gt;="&amp;pyFrom,dPer,"&lt;="&amp;pyTo,dAmt,"&gt;-1E+300",dFlt1,critFlt1,dFlt2,critFlt2,dFlt3,critFlt3))</f>
        <v/>
      </c>
      <c r="D1106" t="str">
        <f>IF($B1106="","",SUMIFS(dAmt,dCust,$B1106,dPer,"&gt;="&amp;cyFrom,dPer,"&lt;="&amp;cyTo,dAmt,"&gt;-1E+300",dFlt1,critFlt1,dFlt2,critFlt2,dFlt3,critFlt3))</f>
        <v/>
      </c>
      <c r="E1106" t="str">
        <f>IF($B1106="","",SUMIFS(dQty,dCust,$B1106,dPer,"&gt;="&amp;pyFrom,dPer,"&lt;="&amp;pyTo,dQty,"&gt;-1E+300",dFlt1,critFlt1,dFlt2,critFlt2,dFlt3,critFlt3))</f>
        <v/>
      </c>
      <c r="F1106" t="str">
        <f>IF($B1106="","",SUMIFS(dQty,dCust,$B1106,dPer,"&gt;="&amp;cyFrom,dPer,"&lt;="&amp;cyTo,dQty,"&gt;-1E+300",dFlt1,critFlt1,dFlt2,critFlt2,dFlt3,critFlt3))</f>
        <v/>
      </c>
      <c r="G1106">
        <f>IF($B1106="",0,IFERROR(IF(OR(C1106&lt;&gt;0,D1106&lt;&gt;0,E1106&lt;&gt;0,F1106&lt;&gt;0),1,0),1))</f>
        <v>0</v>
      </c>
      <c r="H1106" t="str">
        <f>IF(OR(G1106=0,E1106=0),"",C1106/E1106)</f>
        <v/>
      </c>
      <c r="I1106" t="str">
        <f>IF(OR(G1106=0,F1106=0),"",D1106/F1106)</f>
        <v/>
      </c>
      <c r="J1106" t="str">
        <f>IF(OR(H1106="",I1106=""),"",IF(H1106=0,"",I1106/H1106-1))</f>
        <v/>
      </c>
      <c r="K1106" t="str">
        <f>IF($B1106="","",IFERROR(IF(G1106=0,-2E+300,CHOOSE(sortIdx,ROUND(D1106,0),IF(J1106="",-1E+300,ROUND(-J1106,6)),IF(J1106="",-1E+300,ROUND(J1106,6)))),-1.5E+300))</f>
        <v/>
      </c>
      <c r="L1106" t="str">
        <f>IF(K1106="","",RANK(K1106,$K$2:$K$3001,0)+COUNTIF($K$2:K1106,K1106)-1)</f>
        <v/>
      </c>
    </row>
    <row r="1107">
      <c r="B1107" t="str">
        <f>IFERROR(IF(A1107="","","="&amp;SUBSTITUTE(SUBSTITUTE(SUBSTITUTE(A1107,"~","~~"),"*","~*"),"?","~?")),"")</f>
        <v/>
      </c>
      <c r="C1107" t="str">
        <f>IF($B1107="","",SUMIFS(dAmt,dCust,$B1107,dPer,"&gt;="&amp;pyFrom,dPer,"&lt;="&amp;pyTo,dAmt,"&gt;-1E+300",dFlt1,critFlt1,dFlt2,critFlt2,dFlt3,critFlt3))</f>
        <v/>
      </c>
      <c r="D1107" t="str">
        <f>IF($B1107="","",SUMIFS(dAmt,dCust,$B1107,dPer,"&gt;="&amp;cyFrom,dPer,"&lt;="&amp;cyTo,dAmt,"&gt;-1E+300",dFlt1,critFlt1,dFlt2,critFlt2,dFlt3,critFlt3))</f>
        <v/>
      </c>
      <c r="E1107" t="str">
        <f>IF($B1107="","",SUMIFS(dQty,dCust,$B1107,dPer,"&gt;="&amp;pyFrom,dPer,"&lt;="&amp;pyTo,dQty,"&gt;-1E+300",dFlt1,critFlt1,dFlt2,critFlt2,dFlt3,critFlt3))</f>
        <v/>
      </c>
      <c r="F1107" t="str">
        <f>IF($B1107="","",SUMIFS(dQty,dCust,$B1107,dPer,"&gt;="&amp;cyFrom,dPer,"&lt;="&amp;cyTo,dQty,"&gt;-1E+300",dFlt1,critFlt1,dFlt2,critFlt2,dFlt3,critFlt3))</f>
        <v/>
      </c>
      <c r="G1107">
        <f>IF($B1107="",0,IFERROR(IF(OR(C1107&lt;&gt;0,D1107&lt;&gt;0,E1107&lt;&gt;0,F1107&lt;&gt;0),1,0),1))</f>
        <v>0</v>
      </c>
      <c r="H1107" t="str">
        <f>IF(OR(G1107=0,E1107=0),"",C1107/E1107)</f>
        <v/>
      </c>
      <c r="I1107" t="str">
        <f>IF(OR(G1107=0,F1107=0),"",D1107/F1107)</f>
        <v/>
      </c>
      <c r="J1107" t="str">
        <f>IF(OR(H1107="",I1107=""),"",IF(H1107=0,"",I1107/H1107-1))</f>
        <v/>
      </c>
      <c r="K1107" t="str">
        <f>IF($B1107="","",IFERROR(IF(G1107=0,-2E+300,CHOOSE(sortIdx,ROUND(D1107,0),IF(J1107="",-1E+300,ROUND(-J1107,6)),IF(J1107="",-1E+300,ROUND(J1107,6)))),-1.5E+300))</f>
        <v/>
      </c>
      <c r="L1107" t="str">
        <f>IF(K1107="","",RANK(K1107,$K$2:$K$3001,0)+COUNTIF($K$2:K1107,K1107)-1)</f>
        <v/>
      </c>
    </row>
    <row r="1108">
      <c r="B1108" t="str">
        <f>IFERROR(IF(A1108="","","="&amp;SUBSTITUTE(SUBSTITUTE(SUBSTITUTE(A1108,"~","~~"),"*","~*"),"?","~?")),"")</f>
        <v/>
      </c>
      <c r="C1108" t="str">
        <f>IF($B1108="","",SUMIFS(dAmt,dCust,$B1108,dPer,"&gt;="&amp;pyFrom,dPer,"&lt;="&amp;pyTo,dAmt,"&gt;-1E+300",dFlt1,critFlt1,dFlt2,critFlt2,dFlt3,critFlt3))</f>
        <v/>
      </c>
      <c r="D1108" t="str">
        <f>IF($B1108="","",SUMIFS(dAmt,dCust,$B1108,dPer,"&gt;="&amp;cyFrom,dPer,"&lt;="&amp;cyTo,dAmt,"&gt;-1E+300",dFlt1,critFlt1,dFlt2,critFlt2,dFlt3,critFlt3))</f>
        <v/>
      </c>
      <c r="E1108" t="str">
        <f>IF($B1108="","",SUMIFS(dQty,dCust,$B1108,dPer,"&gt;="&amp;pyFrom,dPer,"&lt;="&amp;pyTo,dQty,"&gt;-1E+300",dFlt1,critFlt1,dFlt2,critFlt2,dFlt3,critFlt3))</f>
        <v/>
      </c>
      <c r="F1108" t="str">
        <f>IF($B1108="","",SUMIFS(dQty,dCust,$B1108,dPer,"&gt;="&amp;cyFrom,dPer,"&lt;="&amp;cyTo,dQty,"&gt;-1E+300",dFlt1,critFlt1,dFlt2,critFlt2,dFlt3,critFlt3))</f>
        <v/>
      </c>
      <c r="G1108">
        <f>IF($B1108="",0,IFERROR(IF(OR(C1108&lt;&gt;0,D1108&lt;&gt;0,E1108&lt;&gt;0,F1108&lt;&gt;0),1,0),1))</f>
        <v>0</v>
      </c>
      <c r="H1108" t="str">
        <f>IF(OR(G1108=0,E1108=0),"",C1108/E1108)</f>
        <v/>
      </c>
      <c r="I1108" t="str">
        <f>IF(OR(G1108=0,F1108=0),"",D1108/F1108)</f>
        <v/>
      </c>
      <c r="J1108" t="str">
        <f>IF(OR(H1108="",I1108=""),"",IF(H1108=0,"",I1108/H1108-1))</f>
        <v/>
      </c>
      <c r="K1108" t="str">
        <f>IF($B1108="","",IFERROR(IF(G1108=0,-2E+300,CHOOSE(sortIdx,ROUND(D1108,0),IF(J1108="",-1E+300,ROUND(-J1108,6)),IF(J1108="",-1E+300,ROUND(J1108,6)))),-1.5E+300))</f>
        <v/>
      </c>
      <c r="L1108" t="str">
        <f>IF(K1108="","",RANK(K1108,$K$2:$K$3001,0)+COUNTIF($K$2:K1108,K1108)-1)</f>
        <v/>
      </c>
    </row>
    <row r="1109">
      <c r="B1109" t="str">
        <f>IFERROR(IF(A1109="","","="&amp;SUBSTITUTE(SUBSTITUTE(SUBSTITUTE(A1109,"~","~~"),"*","~*"),"?","~?")),"")</f>
        <v/>
      </c>
      <c r="C1109" t="str">
        <f>IF($B1109="","",SUMIFS(dAmt,dCust,$B1109,dPer,"&gt;="&amp;pyFrom,dPer,"&lt;="&amp;pyTo,dAmt,"&gt;-1E+300",dFlt1,critFlt1,dFlt2,critFlt2,dFlt3,critFlt3))</f>
        <v/>
      </c>
      <c r="D1109" t="str">
        <f>IF($B1109="","",SUMIFS(dAmt,dCust,$B1109,dPer,"&gt;="&amp;cyFrom,dPer,"&lt;="&amp;cyTo,dAmt,"&gt;-1E+300",dFlt1,critFlt1,dFlt2,critFlt2,dFlt3,critFlt3))</f>
        <v/>
      </c>
      <c r="E1109" t="str">
        <f>IF($B1109="","",SUMIFS(dQty,dCust,$B1109,dPer,"&gt;="&amp;pyFrom,dPer,"&lt;="&amp;pyTo,dQty,"&gt;-1E+300",dFlt1,critFlt1,dFlt2,critFlt2,dFlt3,critFlt3))</f>
        <v/>
      </c>
      <c r="F1109" t="str">
        <f>IF($B1109="","",SUMIFS(dQty,dCust,$B1109,dPer,"&gt;="&amp;cyFrom,dPer,"&lt;="&amp;cyTo,dQty,"&gt;-1E+300",dFlt1,critFlt1,dFlt2,critFlt2,dFlt3,critFlt3))</f>
        <v/>
      </c>
      <c r="G1109">
        <f>IF($B1109="",0,IFERROR(IF(OR(C1109&lt;&gt;0,D1109&lt;&gt;0,E1109&lt;&gt;0,F1109&lt;&gt;0),1,0),1))</f>
        <v>0</v>
      </c>
      <c r="H1109" t="str">
        <f>IF(OR(G1109=0,E1109=0),"",C1109/E1109)</f>
        <v/>
      </c>
      <c r="I1109" t="str">
        <f>IF(OR(G1109=0,F1109=0),"",D1109/F1109)</f>
        <v/>
      </c>
      <c r="J1109" t="str">
        <f>IF(OR(H1109="",I1109=""),"",IF(H1109=0,"",I1109/H1109-1))</f>
        <v/>
      </c>
      <c r="K1109" t="str">
        <f>IF($B1109="","",IFERROR(IF(G1109=0,-2E+300,CHOOSE(sortIdx,ROUND(D1109,0),IF(J1109="",-1E+300,ROUND(-J1109,6)),IF(J1109="",-1E+300,ROUND(J1109,6)))),-1.5E+300))</f>
        <v/>
      </c>
      <c r="L1109" t="str">
        <f>IF(K1109="","",RANK(K1109,$K$2:$K$3001,0)+COUNTIF($K$2:K1109,K1109)-1)</f>
        <v/>
      </c>
    </row>
    <row r="1110">
      <c r="B1110" t="str">
        <f>IFERROR(IF(A1110="","","="&amp;SUBSTITUTE(SUBSTITUTE(SUBSTITUTE(A1110,"~","~~"),"*","~*"),"?","~?")),"")</f>
        <v/>
      </c>
      <c r="C1110" t="str">
        <f>IF($B1110="","",SUMIFS(dAmt,dCust,$B1110,dPer,"&gt;="&amp;pyFrom,dPer,"&lt;="&amp;pyTo,dAmt,"&gt;-1E+300",dFlt1,critFlt1,dFlt2,critFlt2,dFlt3,critFlt3))</f>
        <v/>
      </c>
      <c r="D1110" t="str">
        <f>IF($B1110="","",SUMIFS(dAmt,dCust,$B1110,dPer,"&gt;="&amp;cyFrom,dPer,"&lt;="&amp;cyTo,dAmt,"&gt;-1E+300",dFlt1,critFlt1,dFlt2,critFlt2,dFlt3,critFlt3))</f>
        <v/>
      </c>
      <c r="E1110" t="str">
        <f>IF($B1110="","",SUMIFS(dQty,dCust,$B1110,dPer,"&gt;="&amp;pyFrom,dPer,"&lt;="&amp;pyTo,dQty,"&gt;-1E+300",dFlt1,critFlt1,dFlt2,critFlt2,dFlt3,critFlt3))</f>
        <v/>
      </c>
      <c r="F1110" t="str">
        <f>IF($B1110="","",SUMIFS(dQty,dCust,$B1110,dPer,"&gt;="&amp;cyFrom,dPer,"&lt;="&amp;cyTo,dQty,"&gt;-1E+300",dFlt1,critFlt1,dFlt2,critFlt2,dFlt3,critFlt3))</f>
        <v/>
      </c>
      <c r="G1110">
        <f>IF($B1110="",0,IFERROR(IF(OR(C1110&lt;&gt;0,D1110&lt;&gt;0,E1110&lt;&gt;0,F1110&lt;&gt;0),1,0),1))</f>
        <v>0</v>
      </c>
      <c r="H1110" t="str">
        <f>IF(OR(G1110=0,E1110=0),"",C1110/E1110)</f>
        <v/>
      </c>
      <c r="I1110" t="str">
        <f>IF(OR(G1110=0,F1110=0),"",D1110/F1110)</f>
        <v/>
      </c>
      <c r="J1110" t="str">
        <f>IF(OR(H1110="",I1110=""),"",IF(H1110=0,"",I1110/H1110-1))</f>
        <v/>
      </c>
      <c r="K1110" t="str">
        <f>IF($B1110="","",IFERROR(IF(G1110=0,-2E+300,CHOOSE(sortIdx,ROUND(D1110,0),IF(J1110="",-1E+300,ROUND(-J1110,6)),IF(J1110="",-1E+300,ROUND(J1110,6)))),-1.5E+300))</f>
        <v/>
      </c>
      <c r="L1110" t="str">
        <f>IF(K1110="","",RANK(K1110,$K$2:$K$3001,0)+COUNTIF($K$2:K1110,K1110)-1)</f>
        <v/>
      </c>
    </row>
    <row r="1111">
      <c r="B1111" t="str">
        <f>IFERROR(IF(A1111="","","="&amp;SUBSTITUTE(SUBSTITUTE(SUBSTITUTE(A1111,"~","~~"),"*","~*"),"?","~?")),"")</f>
        <v/>
      </c>
      <c r="C1111" t="str">
        <f>IF($B1111="","",SUMIFS(dAmt,dCust,$B1111,dPer,"&gt;="&amp;pyFrom,dPer,"&lt;="&amp;pyTo,dAmt,"&gt;-1E+300",dFlt1,critFlt1,dFlt2,critFlt2,dFlt3,critFlt3))</f>
        <v/>
      </c>
      <c r="D1111" t="str">
        <f>IF($B1111="","",SUMIFS(dAmt,dCust,$B1111,dPer,"&gt;="&amp;cyFrom,dPer,"&lt;="&amp;cyTo,dAmt,"&gt;-1E+300",dFlt1,critFlt1,dFlt2,critFlt2,dFlt3,critFlt3))</f>
        <v/>
      </c>
      <c r="E1111" t="str">
        <f>IF($B1111="","",SUMIFS(dQty,dCust,$B1111,dPer,"&gt;="&amp;pyFrom,dPer,"&lt;="&amp;pyTo,dQty,"&gt;-1E+300",dFlt1,critFlt1,dFlt2,critFlt2,dFlt3,critFlt3))</f>
        <v/>
      </c>
      <c r="F1111" t="str">
        <f>IF($B1111="","",SUMIFS(dQty,dCust,$B1111,dPer,"&gt;="&amp;cyFrom,dPer,"&lt;="&amp;cyTo,dQty,"&gt;-1E+300",dFlt1,critFlt1,dFlt2,critFlt2,dFlt3,critFlt3))</f>
        <v/>
      </c>
      <c r="G1111">
        <f>IF($B1111="",0,IFERROR(IF(OR(C1111&lt;&gt;0,D1111&lt;&gt;0,E1111&lt;&gt;0,F1111&lt;&gt;0),1,0),1))</f>
        <v>0</v>
      </c>
      <c r="H1111" t="str">
        <f>IF(OR(G1111=0,E1111=0),"",C1111/E1111)</f>
        <v/>
      </c>
      <c r="I1111" t="str">
        <f>IF(OR(G1111=0,F1111=0),"",D1111/F1111)</f>
        <v/>
      </c>
      <c r="J1111" t="str">
        <f>IF(OR(H1111="",I1111=""),"",IF(H1111=0,"",I1111/H1111-1))</f>
        <v/>
      </c>
      <c r="K1111" t="str">
        <f>IF($B1111="","",IFERROR(IF(G1111=0,-2E+300,CHOOSE(sortIdx,ROUND(D1111,0),IF(J1111="",-1E+300,ROUND(-J1111,6)),IF(J1111="",-1E+300,ROUND(J1111,6)))),-1.5E+300))</f>
        <v/>
      </c>
      <c r="L1111" t="str">
        <f>IF(K1111="","",RANK(K1111,$K$2:$K$3001,0)+COUNTIF($K$2:K1111,K1111)-1)</f>
        <v/>
      </c>
    </row>
    <row r="1112">
      <c r="B1112" t="str">
        <f>IFERROR(IF(A1112="","","="&amp;SUBSTITUTE(SUBSTITUTE(SUBSTITUTE(A1112,"~","~~"),"*","~*"),"?","~?")),"")</f>
        <v/>
      </c>
      <c r="C1112" t="str">
        <f>IF($B1112="","",SUMIFS(dAmt,dCust,$B1112,dPer,"&gt;="&amp;pyFrom,dPer,"&lt;="&amp;pyTo,dAmt,"&gt;-1E+300",dFlt1,critFlt1,dFlt2,critFlt2,dFlt3,critFlt3))</f>
        <v/>
      </c>
      <c r="D1112" t="str">
        <f>IF($B1112="","",SUMIFS(dAmt,dCust,$B1112,dPer,"&gt;="&amp;cyFrom,dPer,"&lt;="&amp;cyTo,dAmt,"&gt;-1E+300",dFlt1,critFlt1,dFlt2,critFlt2,dFlt3,critFlt3))</f>
        <v/>
      </c>
      <c r="E1112" t="str">
        <f>IF($B1112="","",SUMIFS(dQty,dCust,$B1112,dPer,"&gt;="&amp;pyFrom,dPer,"&lt;="&amp;pyTo,dQty,"&gt;-1E+300",dFlt1,critFlt1,dFlt2,critFlt2,dFlt3,critFlt3))</f>
        <v/>
      </c>
      <c r="F1112" t="str">
        <f>IF($B1112="","",SUMIFS(dQty,dCust,$B1112,dPer,"&gt;="&amp;cyFrom,dPer,"&lt;="&amp;cyTo,dQty,"&gt;-1E+300",dFlt1,critFlt1,dFlt2,critFlt2,dFlt3,critFlt3))</f>
        <v/>
      </c>
      <c r="G1112">
        <f>IF($B1112="",0,IFERROR(IF(OR(C1112&lt;&gt;0,D1112&lt;&gt;0,E1112&lt;&gt;0,F1112&lt;&gt;0),1,0),1))</f>
        <v>0</v>
      </c>
      <c r="H1112" t="str">
        <f>IF(OR(G1112=0,E1112=0),"",C1112/E1112)</f>
        <v/>
      </c>
      <c r="I1112" t="str">
        <f>IF(OR(G1112=0,F1112=0),"",D1112/F1112)</f>
        <v/>
      </c>
      <c r="J1112" t="str">
        <f>IF(OR(H1112="",I1112=""),"",IF(H1112=0,"",I1112/H1112-1))</f>
        <v/>
      </c>
      <c r="K1112" t="str">
        <f>IF($B1112="","",IFERROR(IF(G1112=0,-2E+300,CHOOSE(sortIdx,ROUND(D1112,0),IF(J1112="",-1E+300,ROUND(-J1112,6)),IF(J1112="",-1E+300,ROUND(J1112,6)))),-1.5E+300))</f>
        <v/>
      </c>
      <c r="L1112" t="str">
        <f>IF(K1112="","",RANK(K1112,$K$2:$K$3001,0)+COUNTIF($K$2:K1112,K1112)-1)</f>
        <v/>
      </c>
    </row>
    <row r="1113">
      <c r="B1113" t="str">
        <f>IFERROR(IF(A1113="","","="&amp;SUBSTITUTE(SUBSTITUTE(SUBSTITUTE(A1113,"~","~~"),"*","~*"),"?","~?")),"")</f>
        <v/>
      </c>
      <c r="C1113" t="str">
        <f>IF($B1113="","",SUMIFS(dAmt,dCust,$B1113,dPer,"&gt;="&amp;pyFrom,dPer,"&lt;="&amp;pyTo,dAmt,"&gt;-1E+300",dFlt1,critFlt1,dFlt2,critFlt2,dFlt3,critFlt3))</f>
        <v/>
      </c>
      <c r="D1113" t="str">
        <f>IF($B1113="","",SUMIFS(dAmt,dCust,$B1113,dPer,"&gt;="&amp;cyFrom,dPer,"&lt;="&amp;cyTo,dAmt,"&gt;-1E+300",dFlt1,critFlt1,dFlt2,critFlt2,dFlt3,critFlt3))</f>
        <v/>
      </c>
      <c r="E1113" t="str">
        <f>IF($B1113="","",SUMIFS(dQty,dCust,$B1113,dPer,"&gt;="&amp;pyFrom,dPer,"&lt;="&amp;pyTo,dQty,"&gt;-1E+300",dFlt1,critFlt1,dFlt2,critFlt2,dFlt3,critFlt3))</f>
        <v/>
      </c>
      <c r="F1113" t="str">
        <f>IF($B1113="","",SUMIFS(dQty,dCust,$B1113,dPer,"&gt;="&amp;cyFrom,dPer,"&lt;="&amp;cyTo,dQty,"&gt;-1E+300",dFlt1,critFlt1,dFlt2,critFlt2,dFlt3,critFlt3))</f>
        <v/>
      </c>
      <c r="G1113">
        <f>IF($B1113="",0,IFERROR(IF(OR(C1113&lt;&gt;0,D1113&lt;&gt;0,E1113&lt;&gt;0,F1113&lt;&gt;0),1,0),1))</f>
        <v>0</v>
      </c>
      <c r="H1113" t="str">
        <f>IF(OR(G1113=0,E1113=0),"",C1113/E1113)</f>
        <v/>
      </c>
      <c r="I1113" t="str">
        <f>IF(OR(G1113=0,F1113=0),"",D1113/F1113)</f>
        <v/>
      </c>
      <c r="J1113" t="str">
        <f>IF(OR(H1113="",I1113=""),"",IF(H1113=0,"",I1113/H1113-1))</f>
        <v/>
      </c>
      <c r="K1113" t="str">
        <f>IF($B1113="","",IFERROR(IF(G1113=0,-2E+300,CHOOSE(sortIdx,ROUND(D1113,0),IF(J1113="",-1E+300,ROUND(-J1113,6)),IF(J1113="",-1E+300,ROUND(J1113,6)))),-1.5E+300))</f>
        <v/>
      </c>
      <c r="L1113" t="str">
        <f>IF(K1113="","",RANK(K1113,$K$2:$K$3001,0)+COUNTIF($K$2:K1113,K1113)-1)</f>
        <v/>
      </c>
    </row>
    <row r="1114">
      <c r="B1114" t="str">
        <f>IFERROR(IF(A1114="","","="&amp;SUBSTITUTE(SUBSTITUTE(SUBSTITUTE(A1114,"~","~~"),"*","~*"),"?","~?")),"")</f>
        <v/>
      </c>
      <c r="C1114" t="str">
        <f>IF($B1114="","",SUMIFS(dAmt,dCust,$B1114,dPer,"&gt;="&amp;pyFrom,dPer,"&lt;="&amp;pyTo,dAmt,"&gt;-1E+300",dFlt1,critFlt1,dFlt2,critFlt2,dFlt3,critFlt3))</f>
        <v/>
      </c>
      <c r="D1114" t="str">
        <f>IF($B1114="","",SUMIFS(dAmt,dCust,$B1114,dPer,"&gt;="&amp;cyFrom,dPer,"&lt;="&amp;cyTo,dAmt,"&gt;-1E+300",dFlt1,critFlt1,dFlt2,critFlt2,dFlt3,critFlt3))</f>
        <v/>
      </c>
      <c r="E1114" t="str">
        <f>IF($B1114="","",SUMIFS(dQty,dCust,$B1114,dPer,"&gt;="&amp;pyFrom,dPer,"&lt;="&amp;pyTo,dQty,"&gt;-1E+300",dFlt1,critFlt1,dFlt2,critFlt2,dFlt3,critFlt3))</f>
        <v/>
      </c>
      <c r="F1114" t="str">
        <f>IF($B1114="","",SUMIFS(dQty,dCust,$B1114,dPer,"&gt;="&amp;cyFrom,dPer,"&lt;="&amp;cyTo,dQty,"&gt;-1E+300",dFlt1,critFlt1,dFlt2,critFlt2,dFlt3,critFlt3))</f>
        <v/>
      </c>
      <c r="G1114">
        <f>IF($B1114="",0,IFERROR(IF(OR(C1114&lt;&gt;0,D1114&lt;&gt;0,E1114&lt;&gt;0,F1114&lt;&gt;0),1,0),1))</f>
        <v>0</v>
      </c>
      <c r="H1114" t="str">
        <f>IF(OR(G1114=0,E1114=0),"",C1114/E1114)</f>
        <v/>
      </c>
      <c r="I1114" t="str">
        <f>IF(OR(G1114=0,F1114=0),"",D1114/F1114)</f>
        <v/>
      </c>
      <c r="J1114" t="str">
        <f>IF(OR(H1114="",I1114=""),"",IF(H1114=0,"",I1114/H1114-1))</f>
        <v/>
      </c>
      <c r="K1114" t="str">
        <f>IF($B1114="","",IFERROR(IF(G1114=0,-2E+300,CHOOSE(sortIdx,ROUND(D1114,0),IF(J1114="",-1E+300,ROUND(-J1114,6)),IF(J1114="",-1E+300,ROUND(J1114,6)))),-1.5E+300))</f>
        <v/>
      </c>
      <c r="L1114" t="str">
        <f>IF(K1114="","",RANK(K1114,$K$2:$K$3001,0)+COUNTIF($K$2:K1114,K1114)-1)</f>
        <v/>
      </c>
    </row>
    <row r="1115">
      <c r="B1115" t="str">
        <f>IFERROR(IF(A1115="","","="&amp;SUBSTITUTE(SUBSTITUTE(SUBSTITUTE(A1115,"~","~~"),"*","~*"),"?","~?")),"")</f>
        <v/>
      </c>
      <c r="C1115" t="str">
        <f>IF($B1115="","",SUMIFS(dAmt,dCust,$B1115,dPer,"&gt;="&amp;pyFrom,dPer,"&lt;="&amp;pyTo,dAmt,"&gt;-1E+300",dFlt1,critFlt1,dFlt2,critFlt2,dFlt3,critFlt3))</f>
        <v/>
      </c>
      <c r="D1115" t="str">
        <f>IF($B1115="","",SUMIFS(dAmt,dCust,$B1115,dPer,"&gt;="&amp;cyFrom,dPer,"&lt;="&amp;cyTo,dAmt,"&gt;-1E+300",dFlt1,critFlt1,dFlt2,critFlt2,dFlt3,critFlt3))</f>
        <v/>
      </c>
      <c r="E1115" t="str">
        <f>IF($B1115="","",SUMIFS(dQty,dCust,$B1115,dPer,"&gt;="&amp;pyFrom,dPer,"&lt;="&amp;pyTo,dQty,"&gt;-1E+300",dFlt1,critFlt1,dFlt2,critFlt2,dFlt3,critFlt3))</f>
        <v/>
      </c>
      <c r="F1115" t="str">
        <f>IF($B1115="","",SUMIFS(dQty,dCust,$B1115,dPer,"&gt;="&amp;cyFrom,dPer,"&lt;="&amp;cyTo,dQty,"&gt;-1E+300",dFlt1,critFlt1,dFlt2,critFlt2,dFlt3,critFlt3))</f>
        <v/>
      </c>
      <c r="G1115">
        <f>IF($B1115="",0,IFERROR(IF(OR(C1115&lt;&gt;0,D1115&lt;&gt;0,E1115&lt;&gt;0,F1115&lt;&gt;0),1,0),1))</f>
        <v>0</v>
      </c>
      <c r="H1115" t="str">
        <f>IF(OR(G1115=0,E1115=0),"",C1115/E1115)</f>
        <v/>
      </c>
      <c r="I1115" t="str">
        <f>IF(OR(G1115=0,F1115=0),"",D1115/F1115)</f>
        <v/>
      </c>
      <c r="J1115" t="str">
        <f>IF(OR(H1115="",I1115=""),"",IF(H1115=0,"",I1115/H1115-1))</f>
        <v/>
      </c>
      <c r="K1115" t="str">
        <f>IF($B1115="","",IFERROR(IF(G1115=0,-2E+300,CHOOSE(sortIdx,ROUND(D1115,0),IF(J1115="",-1E+300,ROUND(-J1115,6)),IF(J1115="",-1E+300,ROUND(J1115,6)))),-1.5E+300))</f>
        <v/>
      </c>
      <c r="L1115" t="str">
        <f>IF(K1115="","",RANK(K1115,$K$2:$K$3001,0)+COUNTIF($K$2:K1115,K1115)-1)</f>
        <v/>
      </c>
    </row>
    <row r="1116">
      <c r="B1116" t="str">
        <f>IFERROR(IF(A1116="","","="&amp;SUBSTITUTE(SUBSTITUTE(SUBSTITUTE(A1116,"~","~~"),"*","~*"),"?","~?")),"")</f>
        <v/>
      </c>
      <c r="C1116" t="str">
        <f>IF($B1116="","",SUMIFS(dAmt,dCust,$B1116,dPer,"&gt;="&amp;pyFrom,dPer,"&lt;="&amp;pyTo,dAmt,"&gt;-1E+300",dFlt1,critFlt1,dFlt2,critFlt2,dFlt3,critFlt3))</f>
        <v/>
      </c>
      <c r="D1116" t="str">
        <f>IF($B1116="","",SUMIFS(dAmt,dCust,$B1116,dPer,"&gt;="&amp;cyFrom,dPer,"&lt;="&amp;cyTo,dAmt,"&gt;-1E+300",dFlt1,critFlt1,dFlt2,critFlt2,dFlt3,critFlt3))</f>
        <v/>
      </c>
      <c r="E1116" t="str">
        <f>IF($B1116="","",SUMIFS(dQty,dCust,$B1116,dPer,"&gt;="&amp;pyFrom,dPer,"&lt;="&amp;pyTo,dQty,"&gt;-1E+300",dFlt1,critFlt1,dFlt2,critFlt2,dFlt3,critFlt3))</f>
        <v/>
      </c>
      <c r="F1116" t="str">
        <f>IF($B1116="","",SUMIFS(dQty,dCust,$B1116,dPer,"&gt;="&amp;cyFrom,dPer,"&lt;="&amp;cyTo,dQty,"&gt;-1E+300",dFlt1,critFlt1,dFlt2,critFlt2,dFlt3,critFlt3))</f>
        <v/>
      </c>
      <c r="G1116">
        <f>IF($B1116="",0,IFERROR(IF(OR(C1116&lt;&gt;0,D1116&lt;&gt;0,E1116&lt;&gt;0,F1116&lt;&gt;0),1,0),1))</f>
        <v>0</v>
      </c>
      <c r="H1116" t="str">
        <f>IF(OR(G1116=0,E1116=0),"",C1116/E1116)</f>
        <v/>
      </c>
      <c r="I1116" t="str">
        <f>IF(OR(G1116=0,F1116=0),"",D1116/F1116)</f>
        <v/>
      </c>
      <c r="J1116" t="str">
        <f>IF(OR(H1116="",I1116=""),"",IF(H1116=0,"",I1116/H1116-1))</f>
        <v/>
      </c>
      <c r="K1116" t="str">
        <f>IF($B1116="","",IFERROR(IF(G1116=0,-2E+300,CHOOSE(sortIdx,ROUND(D1116,0),IF(J1116="",-1E+300,ROUND(-J1116,6)),IF(J1116="",-1E+300,ROUND(J1116,6)))),-1.5E+300))</f>
        <v/>
      </c>
      <c r="L1116" t="str">
        <f>IF(K1116="","",RANK(K1116,$K$2:$K$3001,0)+COUNTIF($K$2:K1116,K1116)-1)</f>
        <v/>
      </c>
    </row>
    <row r="1117">
      <c r="B1117" t="str">
        <f>IFERROR(IF(A1117="","","="&amp;SUBSTITUTE(SUBSTITUTE(SUBSTITUTE(A1117,"~","~~"),"*","~*"),"?","~?")),"")</f>
        <v/>
      </c>
      <c r="C1117" t="str">
        <f>IF($B1117="","",SUMIFS(dAmt,dCust,$B1117,dPer,"&gt;="&amp;pyFrom,dPer,"&lt;="&amp;pyTo,dAmt,"&gt;-1E+300",dFlt1,critFlt1,dFlt2,critFlt2,dFlt3,critFlt3))</f>
        <v/>
      </c>
      <c r="D1117" t="str">
        <f>IF($B1117="","",SUMIFS(dAmt,dCust,$B1117,dPer,"&gt;="&amp;cyFrom,dPer,"&lt;="&amp;cyTo,dAmt,"&gt;-1E+300",dFlt1,critFlt1,dFlt2,critFlt2,dFlt3,critFlt3))</f>
        <v/>
      </c>
      <c r="E1117" t="str">
        <f>IF($B1117="","",SUMIFS(dQty,dCust,$B1117,dPer,"&gt;="&amp;pyFrom,dPer,"&lt;="&amp;pyTo,dQty,"&gt;-1E+300",dFlt1,critFlt1,dFlt2,critFlt2,dFlt3,critFlt3))</f>
        <v/>
      </c>
      <c r="F1117" t="str">
        <f>IF($B1117="","",SUMIFS(dQty,dCust,$B1117,dPer,"&gt;="&amp;cyFrom,dPer,"&lt;="&amp;cyTo,dQty,"&gt;-1E+300",dFlt1,critFlt1,dFlt2,critFlt2,dFlt3,critFlt3))</f>
        <v/>
      </c>
      <c r="G1117">
        <f>IF($B1117="",0,IFERROR(IF(OR(C1117&lt;&gt;0,D1117&lt;&gt;0,E1117&lt;&gt;0,F1117&lt;&gt;0),1,0),1))</f>
        <v>0</v>
      </c>
      <c r="H1117" t="str">
        <f>IF(OR(G1117=0,E1117=0),"",C1117/E1117)</f>
        <v/>
      </c>
      <c r="I1117" t="str">
        <f>IF(OR(G1117=0,F1117=0),"",D1117/F1117)</f>
        <v/>
      </c>
      <c r="J1117" t="str">
        <f>IF(OR(H1117="",I1117=""),"",IF(H1117=0,"",I1117/H1117-1))</f>
        <v/>
      </c>
      <c r="K1117" t="str">
        <f>IF($B1117="","",IFERROR(IF(G1117=0,-2E+300,CHOOSE(sortIdx,ROUND(D1117,0),IF(J1117="",-1E+300,ROUND(-J1117,6)),IF(J1117="",-1E+300,ROUND(J1117,6)))),-1.5E+300))</f>
        <v/>
      </c>
      <c r="L1117" t="str">
        <f>IF(K1117="","",RANK(K1117,$K$2:$K$3001,0)+COUNTIF($K$2:K1117,K1117)-1)</f>
        <v/>
      </c>
    </row>
    <row r="1118">
      <c r="B1118" t="str">
        <f>IFERROR(IF(A1118="","","="&amp;SUBSTITUTE(SUBSTITUTE(SUBSTITUTE(A1118,"~","~~"),"*","~*"),"?","~?")),"")</f>
        <v/>
      </c>
      <c r="C1118" t="str">
        <f>IF($B1118="","",SUMIFS(dAmt,dCust,$B1118,dPer,"&gt;="&amp;pyFrom,dPer,"&lt;="&amp;pyTo,dAmt,"&gt;-1E+300",dFlt1,critFlt1,dFlt2,critFlt2,dFlt3,critFlt3))</f>
        <v/>
      </c>
      <c r="D1118" t="str">
        <f>IF($B1118="","",SUMIFS(dAmt,dCust,$B1118,dPer,"&gt;="&amp;cyFrom,dPer,"&lt;="&amp;cyTo,dAmt,"&gt;-1E+300",dFlt1,critFlt1,dFlt2,critFlt2,dFlt3,critFlt3))</f>
        <v/>
      </c>
      <c r="E1118" t="str">
        <f>IF($B1118="","",SUMIFS(dQty,dCust,$B1118,dPer,"&gt;="&amp;pyFrom,dPer,"&lt;="&amp;pyTo,dQty,"&gt;-1E+300",dFlt1,critFlt1,dFlt2,critFlt2,dFlt3,critFlt3))</f>
        <v/>
      </c>
      <c r="F1118" t="str">
        <f>IF($B1118="","",SUMIFS(dQty,dCust,$B1118,dPer,"&gt;="&amp;cyFrom,dPer,"&lt;="&amp;cyTo,dQty,"&gt;-1E+300",dFlt1,critFlt1,dFlt2,critFlt2,dFlt3,critFlt3))</f>
        <v/>
      </c>
      <c r="G1118">
        <f>IF($B1118="",0,IFERROR(IF(OR(C1118&lt;&gt;0,D1118&lt;&gt;0,E1118&lt;&gt;0,F1118&lt;&gt;0),1,0),1))</f>
        <v>0</v>
      </c>
      <c r="H1118" t="str">
        <f>IF(OR(G1118=0,E1118=0),"",C1118/E1118)</f>
        <v/>
      </c>
      <c r="I1118" t="str">
        <f>IF(OR(G1118=0,F1118=0),"",D1118/F1118)</f>
        <v/>
      </c>
      <c r="J1118" t="str">
        <f>IF(OR(H1118="",I1118=""),"",IF(H1118=0,"",I1118/H1118-1))</f>
        <v/>
      </c>
      <c r="K1118" t="str">
        <f>IF($B1118="","",IFERROR(IF(G1118=0,-2E+300,CHOOSE(sortIdx,ROUND(D1118,0),IF(J1118="",-1E+300,ROUND(-J1118,6)),IF(J1118="",-1E+300,ROUND(J1118,6)))),-1.5E+300))</f>
        <v/>
      </c>
      <c r="L1118" t="str">
        <f>IF(K1118="","",RANK(K1118,$K$2:$K$3001,0)+COUNTIF($K$2:K1118,K1118)-1)</f>
        <v/>
      </c>
    </row>
    <row r="1119">
      <c r="B1119" t="str">
        <f>IFERROR(IF(A1119="","","="&amp;SUBSTITUTE(SUBSTITUTE(SUBSTITUTE(A1119,"~","~~"),"*","~*"),"?","~?")),"")</f>
        <v/>
      </c>
      <c r="C1119" t="str">
        <f>IF($B1119="","",SUMIFS(dAmt,dCust,$B1119,dPer,"&gt;="&amp;pyFrom,dPer,"&lt;="&amp;pyTo,dAmt,"&gt;-1E+300",dFlt1,critFlt1,dFlt2,critFlt2,dFlt3,critFlt3))</f>
        <v/>
      </c>
      <c r="D1119" t="str">
        <f>IF($B1119="","",SUMIFS(dAmt,dCust,$B1119,dPer,"&gt;="&amp;cyFrom,dPer,"&lt;="&amp;cyTo,dAmt,"&gt;-1E+300",dFlt1,critFlt1,dFlt2,critFlt2,dFlt3,critFlt3))</f>
        <v/>
      </c>
      <c r="E1119" t="str">
        <f>IF($B1119="","",SUMIFS(dQty,dCust,$B1119,dPer,"&gt;="&amp;pyFrom,dPer,"&lt;="&amp;pyTo,dQty,"&gt;-1E+300",dFlt1,critFlt1,dFlt2,critFlt2,dFlt3,critFlt3))</f>
        <v/>
      </c>
      <c r="F1119" t="str">
        <f>IF($B1119="","",SUMIFS(dQty,dCust,$B1119,dPer,"&gt;="&amp;cyFrom,dPer,"&lt;="&amp;cyTo,dQty,"&gt;-1E+300",dFlt1,critFlt1,dFlt2,critFlt2,dFlt3,critFlt3))</f>
        <v/>
      </c>
      <c r="G1119">
        <f>IF($B1119="",0,IFERROR(IF(OR(C1119&lt;&gt;0,D1119&lt;&gt;0,E1119&lt;&gt;0,F1119&lt;&gt;0),1,0),1))</f>
        <v>0</v>
      </c>
      <c r="H1119" t="str">
        <f>IF(OR(G1119=0,E1119=0),"",C1119/E1119)</f>
        <v/>
      </c>
      <c r="I1119" t="str">
        <f>IF(OR(G1119=0,F1119=0),"",D1119/F1119)</f>
        <v/>
      </c>
      <c r="J1119" t="str">
        <f>IF(OR(H1119="",I1119=""),"",IF(H1119=0,"",I1119/H1119-1))</f>
        <v/>
      </c>
      <c r="K1119" t="str">
        <f>IF($B1119="","",IFERROR(IF(G1119=0,-2E+300,CHOOSE(sortIdx,ROUND(D1119,0),IF(J1119="",-1E+300,ROUND(-J1119,6)),IF(J1119="",-1E+300,ROUND(J1119,6)))),-1.5E+300))</f>
        <v/>
      </c>
      <c r="L1119" t="str">
        <f>IF(K1119="","",RANK(K1119,$K$2:$K$3001,0)+COUNTIF($K$2:K1119,K1119)-1)</f>
        <v/>
      </c>
    </row>
    <row r="1120">
      <c r="B1120" t="str">
        <f>IFERROR(IF(A1120="","","="&amp;SUBSTITUTE(SUBSTITUTE(SUBSTITUTE(A1120,"~","~~"),"*","~*"),"?","~?")),"")</f>
        <v/>
      </c>
      <c r="C1120" t="str">
        <f>IF($B1120="","",SUMIFS(dAmt,dCust,$B1120,dPer,"&gt;="&amp;pyFrom,dPer,"&lt;="&amp;pyTo,dAmt,"&gt;-1E+300",dFlt1,critFlt1,dFlt2,critFlt2,dFlt3,critFlt3))</f>
        <v/>
      </c>
      <c r="D1120" t="str">
        <f>IF($B1120="","",SUMIFS(dAmt,dCust,$B1120,dPer,"&gt;="&amp;cyFrom,dPer,"&lt;="&amp;cyTo,dAmt,"&gt;-1E+300",dFlt1,critFlt1,dFlt2,critFlt2,dFlt3,critFlt3))</f>
        <v/>
      </c>
      <c r="E1120" t="str">
        <f>IF($B1120="","",SUMIFS(dQty,dCust,$B1120,dPer,"&gt;="&amp;pyFrom,dPer,"&lt;="&amp;pyTo,dQty,"&gt;-1E+300",dFlt1,critFlt1,dFlt2,critFlt2,dFlt3,critFlt3))</f>
        <v/>
      </c>
      <c r="F1120" t="str">
        <f>IF($B1120="","",SUMIFS(dQty,dCust,$B1120,dPer,"&gt;="&amp;cyFrom,dPer,"&lt;="&amp;cyTo,dQty,"&gt;-1E+300",dFlt1,critFlt1,dFlt2,critFlt2,dFlt3,critFlt3))</f>
        <v/>
      </c>
      <c r="G1120">
        <f>IF($B1120="",0,IFERROR(IF(OR(C1120&lt;&gt;0,D1120&lt;&gt;0,E1120&lt;&gt;0,F1120&lt;&gt;0),1,0),1))</f>
        <v>0</v>
      </c>
      <c r="H1120" t="str">
        <f>IF(OR(G1120=0,E1120=0),"",C1120/E1120)</f>
        <v/>
      </c>
      <c r="I1120" t="str">
        <f>IF(OR(G1120=0,F1120=0),"",D1120/F1120)</f>
        <v/>
      </c>
      <c r="J1120" t="str">
        <f>IF(OR(H1120="",I1120=""),"",IF(H1120=0,"",I1120/H1120-1))</f>
        <v/>
      </c>
      <c r="K1120" t="str">
        <f>IF($B1120="","",IFERROR(IF(G1120=0,-2E+300,CHOOSE(sortIdx,ROUND(D1120,0),IF(J1120="",-1E+300,ROUND(-J1120,6)),IF(J1120="",-1E+300,ROUND(J1120,6)))),-1.5E+300))</f>
        <v/>
      </c>
      <c r="L1120" t="str">
        <f>IF(K1120="","",RANK(K1120,$K$2:$K$3001,0)+COUNTIF($K$2:K1120,K1120)-1)</f>
        <v/>
      </c>
    </row>
    <row r="1121">
      <c r="B1121" t="str">
        <f>IFERROR(IF(A1121="","","="&amp;SUBSTITUTE(SUBSTITUTE(SUBSTITUTE(A1121,"~","~~"),"*","~*"),"?","~?")),"")</f>
        <v/>
      </c>
      <c r="C1121" t="str">
        <f>IF($B1121="","",SUMIFS(dAmt,dCust,$B1121,dPer,"&gt;="&amp;pyFrom,dPer,"&lt;="&amp;pyTo,dAmt,"&gt;-1E+300",dFlt1,critFlt1,dFlt2,critFlt2,dFlt3,critFlt3))</f>
        <v/>
      </c>
      <c r="D1121" t="str">
        <f>IF($B1121="","",SUMIFS(dAmt,dCust,$B1121,dPer,"&gt;="&amp;cyFrom,dPer,"&lt;="&amp;cyTo,dAmt,"&gt;-1E+300",dFlt1,critFlt1,dFlt2,critFlt2,dFlt3,critFlt3))</f>
        <v/>
      </c>
      <c r="E1121" t="str">
        <f>IF($B1121="","",SUMIFS(dQty,dCust,$B1121,dPer,"&gt;="&amp;pyFrom,dPer,"&lt;="&amp;pyTo,dQty,"&gt;-1E+300",dFlt1,critFlt1,dFlt2,critFlt2,dFlt3,critFlt3))</f>
        <v/>
      </c>
      <c r="F1121" t="str">
        <f>IF($B1121="","",SUMIFS(dQty,dCust,$B1121,dPer,"&gt;="&amp;cyFrom,dPer,"&lt;="&amp;cyTo,dQty,"&gt;-1E+300",dFlt1,critFlt1,dFlt2,critFlt2,dFlt3,critFlt3))</f>
        <v/>
      </c>
      <c r="G1121">
        <f>IF($B1121="",0,IFERROR(IF(OR(C1121&lt;&gt;0,D1121&lt;&gt;0,E1121&lt;&gt;0,F1121&lt;&gt;0),1,0),1))</f>
        <v>0</v>
      </c>
      <c r="H1121" t="str">
        <f>IF(OR(G1121=0,E1121=0),"",C1121/E1121)</f>
        <v/>
      </c>
      <c r="I1121" t="str">
        <f>IF(OR(G1121=0,F1121=0),"",D1121/F1121)</f>
        <v/>
      </c>
      <c r="J1121" t="str">
        <f>IF(OR(H1121="",I1121=""),"",IF(H1121=0,"",I1121/H1121-1))</f>
        <v/>
      </c>
      <c r="K1121" t="str">
        <f>IF($B1121="","",IFERROR(IF(G1121=0,-2E+300,CHOOSE(sortIdx,ROUND(D1121,0),IF(J1121="",-1E+300,ROUND(-J1121,6)),IF(J1121="",-1E+300,ROUND(J1121,6)))),-1.5E+300))</f>
        <v/>
      </c>
      <c r="L1121" t="str">
        <f>IF(K1121="","",RANK(K1121,$K$2:$K$3001,0)+COUNTIF($K$2:K1121,K1121)-1)</f>
        <v/>
      </c>
    </row>
    <row r="1122">
      <c r="B1122" t="str">
        <f>IFERROR(IF(A1122="","","="&amp;SUBSTITUTE(SUBSTITUTE(SUBSTITUTE(A1122,"~","~~"),"*","~*"),"?","~?")),"")</f>
        <v/>
      </c>
      <c r="C1122" t="str">
        <f>IF($B1122="","",SUMIFS(dAmt,dCust,$B1122,dPer,"&gt;="&amp;pyFrom,dPer,"&lt;="&amp;pyTo,dAmt,"&gt;-1E+300",dFlt1,critFlt1,dFlt2,critFlt2,dFlt3,critFlt3))</f>
        <v/>
      </c>
      <c r="D1122" t="str">
        <f>IF($B1122="","",SUMIFS(dAmt,dCust,$B1122,dPer,"&gt;="&amp;cyFrom,dPer,"&lt;="&amp;cyTo,dAmt,"&gt;-1E+300",dFlt1,critFlt1,dFlt2,critFlt2,dFlt3,critFlt3))</f>
        <v/>
      </c>
      <c r="E1122" t="str">
        <f>IF($B1122="","",SUMIFS(dQty,dCust,$B1122,dPer,"&gt;="&amp;pyFrom,dPer,"&lt;="&amp;pyTo,dQty,"&gt;-1E+300",dFlt1,critFlt1,dFlt2,critFlt2,dFlt3,critFlt3))</f>
        <v/>
      </c>
      <c r="F1122" t="str">
        <f>IF($B1122="","",SUMIFS(dQty,dCust,$B1122,dPer,"&gt;="&amp;cyFrom,dPer,"&lt;="&amp;cyTo,dQty,"&gt;-1E+300",dFlt1,critFlt1,dFlt2,critFlt2,dFlt3,critFlt3))</f>
        <v/>
      </c>
      <c r="G1122">
        <f>IF($B1122="",0,IFERROR(IF(OR(C1122&lt;&gt;0,D1122&lt;&gt;0,E1122&lt;&gt;0,F1122&lt;&gt;0),1,0),1))</f>
        <v>0</v>
      </c>
      <c r="H1122" t="str">
        <f>IF(OR(G1122=0,E1122=0),"",C1122/E1122)</f>
        <v/>
      </c>
      <c r="I1122" t="str">
        <f>IF(OR(G1122=0,F1122=0),"",D1122/F1122)</f>
        <v/>
      </c>
      <c r="J1122" t="str">
        <f>IF(OR(H1122="",I1122=""),"",IF(H1122=0,"",I1122/H1122-1))</f>
        <v/>
      </c>
      <c r="K1122" t="str">
        <f>IF($B1122="","",IFERROR(IF(G1122=0,-2E+300,CHOOSE(sortIdx,ROUND(D1122,0),IF(J1122="",-1E+300,ROUND(-J1122,6)),IF(J1122="",-1E+300,ROUND(J1122,6)))),-1.5E+300))</f>
        <v/>
      </c>
      <c r="L1122" t="str">
        <f>IF(K1122="","",RANK(K1122,$K$2:$K$3001,0)+COUNTIF($K$2:K1122,K1122)-1)</f>
        <v/>
      </c>
    </row>
    <row r="1123">
      <c r="B1123" t="str">
        <f>IFERROR(IF(A1123="","","="&amp;SUBSTITUTE(SUBSTITUTE(SUBSTITUTE(A1123,"~","~~"),"*","~*"),"?","~?")),"")</f>
        <v/>
      </c>
      <c r="C1123" t="str">
        <f>IF($B1123="","",SUMIFS(dAmt,dCust,$B1123,dPer,"&gt;="&amp;pyFrom,dPer,"&lt;="&amp;pyTo,dAmt,"&gt;-1E+300",dFlt1,critFlt1,dFlt2,critFlt2,dFlt3,critFlt3))</f>
        <v/>
      </c>
      <c r="D1123" t="str">
        <f>IF($B1123="","",SUMIFS(dAmt,dCust,$B1123,dPer,"&gt;="&amp;cyFrom,dPer,"&lt;="&amp;cyTo,dAmt,"&gt;-1E+300",dFlt1,critFlt1,dFlt2,critFlt2,dFlt3,critFlt3))</f>
        <v/>
      </c>
      <c r="E1123" t="str">
        <f>IF($B1123="","",SUMIFS(dQty,dCust,$B1123,dPer,"&gt;="&amp;pyFrom,dPer,"&lt;="&amp;pyTo,dQty,"&gt;-1E+300",dFlt1,critFlt1,dFlt2,critFlt2,dFlt3,critFlt3))</f>
        <v/>
      </c>
      <c r="F1123" t="str">
        <f>IF($B1123="","",SUMIFS(dQty,dCust,$B1123,dPer,"&gt;="&amp;cyFrom,dPer,"&lt;="&amp;cyTo,dQty,"&gt;-1E+300",dFlt1,critFlt1,dFlt2,critFlt2,dFlt3,critFlt3))</f>
        <v/>
      </c>
      <c r="G1123">
        <f>IF($B1123="",0,IFERROR(IF(OR(C1123&lt;&gt;0,D1123&lt;&gt;0,E1123&lt;&gt;0,F1123&lt;&gt;0),1,0),1))</f>
        <v>0</v>
      </c>
      <c r="H1123" t="str">
        <f>IF(OR(G1123=0,E1123=0),"",C1123/E1123)</f>
        <v/>
      </c>
      <c r="I1123" t="str">
        <f>IF(OR(G1123=0,F1123=0),"",D1123/F1123)</f>
        <v/>
      </c>
      <c r="J1123" t="str">
        <f>IF(OR(H1123="",I1123=""),"",IF(H1123=0,"",I1123/H1123-1))</f>
        <v/>
      </c>
      <c r="K1123" t="str">
        <f>IF($B1123="","",IFERROR(IF(G1123=0,-2E+300,CHOOSE(sortIdx,ROUND(D1123,0),IF(J1123="",-1E+300,ROUND(-J1123,6)),IF(J1123="",-1E+300,ROUND(J1123,6)))),-1.5E+300))</f>
        <v/>
      </c>
      <c r="L1123" t="str">
        <f>IF(K1123="","",RANK(K1123,$K$2:$K$3001,0)+COUNTIF($K$2:K1123,K1123)-1)</f>
        <v/>
      </c>
    </row>
    <row r="1124">
      <c r="B1124" t="str">
        <f>IFERROR(IF(A1124="","","="&amp;SUBSTITUTE(SUBSTITUTE(SUBSTITUTE(A1124,"~","~~"),"*","~*"),"?","~?")),"")</f>
        <v/>
      </c>
      <c r="C1124" t="str">
        <f>IF($B1124="","",SUMIFS(dAmt,dCust,$B1124,dPer,"&gt;="&amp;pyFrom,dPer,"&lt;="&amp;pyTo,dAmt,"&gt;-1E+300",dFlt1,critFlt1,dFlt2,critFlt2,dFlt3,critFlt3))</f>
        <v/>
      </c>
      <c r="D1124" t="str">
        <f>IF($B1124="","",SUMIFS(dAmt,dCust,$B1124,dPer,"&gt;="&amp;cyFrom,dPer,"&lt;="&amp;cyTo,dAmt,"&gt;-1E+300",dFlt1,critFlt1,dFlt2,critFlt2,dFlt3,critFlt3))</f>
        <v/>
      </c>
      <c r="E1124" t="str">
        <f>IF($B1124="","",SUMIFS(dQty,dCust,$B1124,dPer,"&gt;="&amp;pyFrom,dPer,"&lt;="&amp;pyTo,dQty,"&gt;-1E+300",dFlt1,critFlt1,dFlt2,critFlt2,dFlt3,critFlt3))</f>
        <v/>
      </c>
      <c r="F1124" t="str">
        <f>IF($B1124="","",SUMIFS(dQty,dCust,$B1124,dPer,"&gt;="&amp;cyFrom,dPer,"&lt;="&amp;cyTo,dQty,"&gt;-1E+300",dFlt1,critFlt1,dFlt2,critFlt2,dFlt3,critFlt3))</f>
        <v/>
      </c>
      <c r="G1124">
        <f>IF($B1124="",0,IFERROR(IF(OR(C1124&lt;&gt;0,D1124&lt;&gt;0,E1124&lt;&gt;0,F1124&lt;&gt;0),1,0),1))</f>
        <v>0</v>
      </c>
      <c r="H1124" t="str">
        <f>IF(OR(G1124=0,E1124=0),"",C1124/E1124)</f>
        <v/>
      </c>
      <c r="I1124" t="str">
        <f>IF(OR(G1124=0,F1124=0),"",D1124/F1124)</f>
        <v/>
      </c>
      <c r="J1124" t="str">
        <f>IF(OR(H1124="",I1124=""),"",IF(H1124=0,"",I1124/H1124-1))</f>
        <v/>
      </c>
      <c r="K1124" t="str">
        <f>IF($B1124="","",IFERROR(IF(G1124=0,-2E+300,CHOOSE(sortIdx,ROUND(D1124,0),IF(J1124="",-1E+300,ROUND(-J1124,6)),IF(J1124="",-1E+300,ROUND(J1124,6)))),-1.5E+300))</f>
        <v/>
      </c>
      <c r="L1124" t="str">
        <f>IF(K1124="","",RANK(K1124,$K$2:$K$3001,0)+COUNTIF($K$2:K1124,K1124)-1)</f>
        <v/>
      </c>
    </row>
    <row r="1125">
      <c r="B1125" t="str">
        <f>IFERROR(IF(A1125="","","="&amp;SUBSTITUTE(SUBSTITUTE(SUBSTITUTE(A1125,"~","~~"),"*","~*"),"?","~?")),"")</f>
        <v/>
      </c>
      <c r="C1125" t="str">
        <f>IF($B1125="","",SUMIFS(dAmt,dCust,$B1125,dPer,"&gt;="&amp;pyFrom,dPer,"&lt;="&amp;pyTo,dAmt,"&gt;-1E+300",dFlt1,critFlt1,dFlt2,critFlt2,dFlt3,critFlt3))</f>
        <v/>
      </c>
      <c r="D1125" t="str">
        <f>IF($B1125="","",SUMIFS(dAmt,dCust,$B1125,dPer,"&gt;="&amp;cyFrom,dPer,"&lt;="&amp;cyTo,dAmt,"&gt;-1E+300",dFlt1,critFlt1,dFlt2,critFlt2,dFlt3,critFlt3))</f>
        <v/>
      </c>
      <c r="E1125" t="str">
        <f>IF($B1125="","",SUMIFS(dQty,dCust,$B1125,dPer,"&gt;="&amp;pyFrom,dPer,"&lt;="&amp;pyTo,dQty,"&gt;-1E+300",dFlt1,critFlt1,dFlt2,critFlt2,dFlt3,critFlt3))</f>
        <v/>
      </c>
      <c r="F1125" t="str">
        <f>IF($B1125="","",SUMIFS(dQty,dCust,$B1125,dPer,"&gt;="&amp;cyFrom,dPer,"&lt;="&amp;cyTo,dQty,"&gt;-1E+300",dFlt1,critFlt1,dFlt2,critFlt2,dFlt3,critFlt3))</f>
        <v/>
      </c>
      <c r="G1125">
        <f>IF($B1125="",0,IFERROR(IF(OR(C1125&lt;&gt;0,D1125&lt;&gt;0,E1125&lt;&gt;0,F1125&lt;&gt;0),1,0),1))</f>
        <v>0</v>
      </c>
      <c r="H1125" t="str">
        <f>IF(OR(G1125=0,E1125=0),"",C1125/E1125)</f>
        <v/>
      </c>
      <c r="I1125" t="str">
        <f>IF(OR(G1125=0,F1125=0),"",D1125/F1125)</f>
        <v/>
      </c>
      <c r="J1125" t="str">
        <f>IF(OR(H1125="",I1125=""),"",IF(H1125=0,"",I1125/H1125-1))</f>
        <v/>
      </c>
      <c r="K1125" t="str">
        <f>IF($B1125="","",IFERROR(IF(G1125=0,-2E+300,CHOOSE(sortIdx,ROUND(D1125,0),IF(J1125="",-1E+300,ROUND(-J1125,6)),IF(J1125="",-1E+300,ROUND(J1125,6)))),-1.5E+300))</f>
        <v/>
      </c>
      <c r="L1125" t="str">
        <f>IF(K1125="","",RANK(K1125,$K$2:$K$3001,0)+COUNTIF($K$2:K1125,K1125)-1)</f>
        <v/>
      </c>
    </row>
    <row r="1126">
      <c r="B1126" t="str">
        <f>IFERROR(IF(A1126="","","="&amp;SUBSTITUTE(SUBSTITUTE(SUBSTITUTE(A1126,"~","~~"),"*","~*"),"?","~?")),"")</f>
        <v/>
      </c>
      <c r="C1126" t="str">
        <f>IF($B1126="","",SUMIFS(dAmt,dCust,$B1126,dPer,"&gt;="&amp;pyFrom,dPer,"&lt;="&amp;pyTo,dAmt,"&gt;-1E+300",dFlt1,critFlt1,dFlt2,critFlt2,dFlt3,critFlt3))</f>
        <v/>
      </c>
      <c r="D1126" t="str">
        <f>IF($B1126="","",SUMIFS(dAmt,dCust,$B1126,dPer,"&gt;="&amp;cyFrom,dPer,"&lt;="&amp;cyTo,dAmt,"&gt;-1E+300",dFlt1,critFlt1,dFlt2,critFlt2,dFlt3,critFlt3))</f>
        <v/>
      </c>
      <c r="E1126" t="str">
        <f>IF($B1126="","",SUMIFS(dQty,dCust,$B1126,dPer,"&gt;="&amp;pyFrom,dPer,"&lt;="&amp;pyTo,dQty,"&gt;-1E+300",dFlt1,critFlt1,dFlt2,critFlt2,dFlt3,critFlt3))</f>
        <v/>
      </c>
      <c r="F1126" t="str">
        <f>IF($B1126="","",SUMIFS(dQty,dCust,$B1126,dPer,"&gt;="&amp;cyFrom,dPer,"&lt;="&amp;cyTo,dQty,"&gt;-1E+300",dFlt1,critFlt1,dFlt2,critFlt2,dFlt3,critFlt3))</f>
        <v/>
      </c>
      <c r="G1126">
        <f>IF($B1126="",0,IFERROR(IF(OR(C1126&lt;&gt;0,D1126&lt;&gt;0,E1126&lt;&gt;0,F1126&lt;&gt;0),1,0),1))</f>
        <v>0</v>
      </c>
      <c r="H1126" t="str">
        <f>IF(OR(G1126=0,E1126=0),"",C1126/E1126)</f>
        <v/>
      </c>
      <c r="I1126" t="str">
        <f>IF(OR(G1126=0,F1126=0),"",D1126/F1126)</f>
        <v/>
      </c>
      <c r="J1126" t="str">
        <f>IF(OR(H1126="",I1126=""),"",IF(H1126=0,"",I1126/H1126-1))</f>
        <v/>
      </c>
      <c r="K1126" t="str">
        <f>IF($B1126="","",IFERROR(IF(G1126=0,-2E+300,CHOOSE(sortIdx,ROUND(D1126,0),IF(J1126="",-1E+300,ROUND(-J1126,6)),IF(J1126="",-1E+300,ROUND(J1126,6)))),-1.5E+300))</f>
        <v/>
      </c>
      <c r="L1126" t="str">
        <f>IF(K1126="","",RANK(K1126,$K$2:$K$3001,0)+COUNTIF($K$2:K1126,K1126)-1)</f>
        <v/>
      </c>
    </row>
    <row r="1127">
      <c r="B1127" t="str">
        <f>IFERROR(IF(A1127="","","="&amp;SUBSTITUTE(SUBSTITUTE(SUBSTITUTE(A1127,"~","~~"),"*","~*"),"?","~?")),"")</f>
        <v/>
      </c>
      <c r="C1127" t="str">
        <f>IF($B1127="","",SUMIFS(dAmt,dCust,$B1127,dPer,"&gt;="&amp;pyFrom,dPer,"&lt;="&amp;pyTo,dAmt,"&gt;-1E+300",dFlt1,critFlt1,dFlt2,critFlt2,dFlt3,critFlt3))</f>
        <v/>
      </c>
      <c r="D1127" t="str">
        <f>IF($B1127="","",SUMIFS(dAmt,dCust,$B1127,dPer,"&gt;="&amp;cyFrom,dPer,"&lt;="&amp;cyTo,dAmt,"&gt;-1E+300",dFlt1,critFlt1,dFlt2,critFlt2,dFlt3,critFlt3))</f>
        <v/>
      </c>
      <c r="E1127" t="str">
        <f>IF($B1127="","",SUMIFS(dQty,dCust,$B1127,dPer,"&gt;="&amp;pyFrom,dPer,"&lt;="&amp;pyTo,dQty,"&gt;-1E+300",dFlt1,critFlt1,dFlt2,critFlt2,dFlt3,critFlt3))</f>
        <v/>
      </c>
      <c r="F1127" t="str">
        <f>IF($B1127="","",SUMIFS(dQty,dCust,$B1127,dPer,"&gt;="&amp;cyFrom,dPer,"&lt;="&amp;cyTo,dQty,"&gt;-1E+300",dFlt1,critFlt1,dFlt2,critFlt2,dFlt3,critFlt3))</f>
        <v/>
      </c>
      <c r="G1127">
        <f>IF($B1127="",0,IFERROR(IF(OR(C1127&lt;&gt;0,D1127&lt;&gt;0,E1127&lt;&gt;0,F1127&lt;&gt;0),1,0),1))</f>
        <v>0</v>
      </c>
      <c r="H1127" t="str">
        <f>IF(OR(G1127=0,E1127=0),"",C1127/E1127)</f>
        <v/>
      </c>
      <c r="I1127" t="str">
        <f>IF(OR(G1127=0,F1127=0),"",D1127/F1127)</f>
        <v/>
      </c>
      <c r="J1127" t="str">
        <f>IF(OR(H1127="",I1127=""),"",IF(H1127=0,"",I1127/H1127-1))</f>
        <v/>
      </c>
      <c r="K1127" t="str">
        <f>IF($B1127="","",IFERROR(IF(G1127=0,-2E+300,CHOOSE(sortIdx,ROUND(D1127,0),IF(J1127="",-1E+300,ROUND(-J1127,6)),IF(J1127="",-1E+300,ROUND(J1127,6)))),-1.5E+300))</f>
        <v/>
      </c>
      <c r="L1127" t="str">
        <f>IF(K1127="","",RANK(K1127,$K$2:$K$3001,0)+COUNTIF($K$2:K1127,K1127)-1)</f>
        <v/>
      </c>
    </row>
    <row r="1128">
      <c r="B1128" t="str">
        <f>IFERROR(IF(A1128="","","="&amp;SUBSTITUTE(SUBSTITUTE(SUBSTITUTE(A1128,"~","~~"),"*","~*"),"?","~?")),"")</f>
        <v/>
      </c>
      <c r="C1128" t="str">
        <f>IF($B1128="","",SUMIFS(dAmt,dCust,$B1128,dPer,"&gt;="&amp;pyFrom,dPer,"&lt;="&amp;pyTo,dAmt,"&gt;-1E+300",dFlt1,critFlt1,dFlt2,critFlt2,dFlt3,critFlt3))</f>
        <v/>
      </c>
      <c r="D1128" t="str">
        <f>IF($B1128="","",SUMIFS(dAmt,dCust,$B1128,dPer,"&gt;="&amp;cyFrom,dPer,"&lt;="&amp;cyTo,dAmt,"&gt;-1E+300",dFlt1,critFlt1,dFlt2,critFlt2,dFlt3,critFlt3))</f>
        <v/>
      </c>
      <c r="E1128" t="str">
        <f>IF($B1128="","",SUMIFS(dQty,dCust,$B1128,dPer,"&gt;="&amp;pyFrom,dPer,"&lt;="&amp;pyTo,dQty,"&gt;-1E+300",dFlt1,critFlt1,dFlt2,critFlt2,dFlt3,critFlt3))</f>
        <v/>
      </c>
      <c r="F1128" t="str">
        <f>IF($B1128="","",SUMIFS(dQty,dCust,$B1128,dPer,"&gt;="&amp;cyFrom,dPer,"&lt;="&amp;cyTo,dQty,"&gt;-1E+300",dFlt1,critFlt1,dFlt2,critFlt2,dFlt3,critFlt3))</f>
        <v/>
      </c>
      <c r="G1128">
        <f>IF($B1128="",0,IFERROR(IF(OR(C1128&lt;&gt;0,D1128&lt;&gt;0,E1128&lt;&gt;0,F1128&lt;&gt;0),1,0),1))</f>
        <v>0</v>
      </c>
      <c r="H1128" t="str">
        <f>IF(OR(G1128=0,E1128=0),"",C1128/E1128)</f>
        <v/>
      </c>
      <c r="I1128" t="str">
        <f>IF(OR(G1128=0,F1128=0),"",D1128/F1128)</f>
        <v/>
      </c>
      <c r="J1128" t="str">
        <f>IF(OR(H1128="",I1128=""),"",IF(H1128=0,"",I1128/H1128-1))</f>
        <v/>
      </c>
      <c r="K1128" t="str">
        <f>IF($B1128="","",IFERROR(IF(G1128=0,-2E+300,CHOOSE(sortIdx,ROUND(D1128,0),IF(J1128="",-1E+300,ROUND(-J1128,6)),IF(J1128="",-1E+300,ROUND(J1128,6)))),-1.5E+300))</f>
        <v/>
      </c>
      <c r="L1128" t="str">
        <f>IF(K1128="","",RANK(K1128,$K$2:$K$3001,0)+COUNTIF($K$2:K1128,K1128)-1)</f>
        <v/>
      </c>
    </row>
    <row r="1129">
      <c r="B1129" t="str">
        <f>IFERROR(IF(A1129="","","="&amp;SUBSTITUTE(SUBSTITUTE(SUBSTITUTE(A1129,"~","~~"),"*","~*"),"?","~?")),"")</f>
        <v/>
      </c>
      <c r="C1129" t="str">
        <f>IF($B1129="","",SUMIFS(dAmt,dCust,$B1129,dPer,"&gt;="&amp;pyFrom,dPer,"&lt;="&amp;pyTo,dAmt,"&gt;-1E+300",dFlt1,critFlt1,dFlt2,critFlt2,dFlt3,critFlt3))</f>
        <v/>
      </c>
      <c r="D1129" t="str">
        <f>IF($B1129="","",SUMIFS(dAmt,dCust,$B1129,dPer,"&gt;="&amp;cyFrom,dPer,"&lt;="&amp;cyTo,dAmt,"&gt;-1E+300",dFlt1,critFlt1,dFlt2,critFlt2,dFlt3,critFlt3))</f>
        <v/>
      </c>
      <c r="E1129" t="str">
        <f>IF($B1129="","",SUMIFS(dQty,dCust,$B1129,dPer,"&gt;="&amp;pyFrom,dPer,"&lt;="&amp;pyTo,dQty,"&gt;-1E+300",dFlt1,critFlt1,dFlt2,critFlt2,dFlt3,critFlt3))</f>
        <v/>
      </c>
      <c r="F1129" t="str">
        <f>IF($B1129="","",SUMIFS(dQty,dCust,$B1129,dPer,"&gt;="&amp;cyFrom,dPer,"&lt;="&amp;cyTo,dQty,"&gt;-1E+300",dFlt1,critFlt1,dFlt2,critFlt2,dFlt3,critFlt3))</f>
        <v/>
      </c>
      <c r="G1129">
        <f>IF($B1129="",0,IFERROR(IF(OR(C1129&lt;&gt;0,D1129&lt;&gt;0,E1129&lt;&gt;0,F1129&lt;&gt;0),1,0),1))</f>
        <v>0</v>
      </c>
      <c r="H1129" t="str">
        <f>IF(OR(G1129=0,E1129=0),"",C1129/E1129)</f>
        <v/>
      </c>
      <c r="I1129" t="str">
        <f>IF(OR(G1129=0,F1129=0),"",D1129/F1129)</f>
        <v/>
      </c>
      <c r="J1129" t="str">
        <f>IF(OR(H1129="",I1129=""),"",IF(H1129=0,"",I1129/H1129-1))</f>
        <v/>
      </c>
      <c r="K1129" t="str">
        <f>IF($B1129="","",IFERROR(IF(G1129=0,-2E+300,CHOOSE(sortIdx,ROUND(D1129,0),IF(J1129="",-1E+300,ROUND(-J1129,6)),IF(J1129="",-1E+300,ROUND(J1129,6)))),-1.5E+300))</f>
        <v/>
      </c>
      <c r="L1129" t="str">
        <f>IF(K1129="","",RANK(K1129,$K$2:$K$3001,0)+COUNTIF($K$2:K1129,K1129)-1)</f>
        <v/>
      </c>
    </row>
    <row r="1130">
      <c r="B1130" t="str">
        <f>IFERROR(IF(A1130="","","="&amp;SUBSTITUTE(SUBSTITUTE(SUBSTITUTE(A1130,"~","~~"),"*","~*"),"?","~?")),"")</f>
        <v/>
      </c>
      <c r="C1130" t="str">
        <f>IF($B1130="","",SUMIFS(dAmt,dCust,$B1130,dPer,"&gt;="&amp;pyFrom,dPer,"&lt;="&amp;pyTo,dAmt,"&gt;-1E+300",dFlt1,critFlt1,dFlt2,critFlt2,dFlt3,critFlt3))</f>
        <v/>
      </c>
      <c r="D1130" t="str">
        <f>IF($B1130="","",SUMIFS(dAmt,dCust,$B1130,dPer,"&gt;="&amp;cyFrom,dPer,"&lt;="&amp;cyTo,dAmt,"&gt;-1E+300",dFlt1,critFlt1,dFlt2,critFlt2,dFlt3,critFlt3))</f>
        <v/>
      </c>
      <c r="E1130" t="str">
        <f>IF($B1130="","",SUMIFS(dQty,dCust,$B1130,dPer,"&gt;="&amp;pyFrom,dPer,"&lt;="&amp;pyTo,dQty,"&gt;-1E+300",dFlt1,critFlt1,dFlt2,critFlt2,dFlt3,critFlt3))</f>
        <v/>
      </c>
      <c r="F1130" t="str">
        <f>IF($B1130="","",SUMIFS(dQty,dCust,$B1130,dPer,"&gt;="&amp;cyFrom,dPer,"&lt;="&amp;cyTo,dQty,"&gt;-1E+300",dFlt1,critFlt1,dFlt2,critFlt2,dFlt3,critFlt3))</f>
        <v/>
      </c>
      <c r="G1130">
        <f>IF($B1130="",0,IFERROR(IF(OR(C1130&lt;&gt;0,D1130&lt;&gt;0,E1130&lt;&gt;0,F1130&lt;&gt;0),1,0),1))</f>
        <v>0</v>
      </c>
      <c r="H1130" t="str">
        <f>IF(OR(G1130=0,E1130=0),"",C1130/E1130)</f>
        <v/>
      </c>
      <c r="I1130" t="str">
        <f>IF(OR(G1130=0,F1130=0),"",D1130/F1130)</f>
        <v/>
      </c>
      <c r="J1130" t="str">
        <f>IF(OR(H1130="",I1130=""),"",IF(H1130=0,"",I1130/H1130-1))</f>
        <v/>
      </c>
      <c r="K1130" t="str">
        <f>IF($B1130="","",IFERROR(IF(G1130=0,-2E+300,CHOOSE(sortIdx,ROUND(D1130,0),IF(J1130="",-1E+300,ROUND(-J1130,6)),IF(J1130="",-1E+300,ROUND(J1130,6)))),-1.5E+300))</f>
        <v/>
      </c>
      <c r="L1130" t="str">
        <f>IF(K1130="","",RANK(K1130,$K$2:$K$3001,0)+COUNTIF($K$2:K1130,K1130)-1)</f>
        <v/>
      </c>
    </row>
    <row r="1131">
      <c r="B1131" t="str">
        <f>IFERROR(IF(A1131="","","="&amp;SUBSTITUTE(SUBSTITUTE(SUBSTITUTE(A1131,"~","~~"),"*","~*"),"?","~?")),"")</f>
        <v/>
      </c>
      <c r="C1131" t="str">
        <f>IF($B1131="","",SUMIFS(dAmt,dCust,$B1131,dPer,"&gt;="&amp;pyFrom,dPer,"&lt;="&amp;pyTo,dAmt,"&gt;-1E+300",dFlt1,critFlt1,dFlt2,critFlt2,dFlt3,critFlt3))</f>
        <v/>
      </c>
      <c r="D1131" t="str">
        <f>IF($B1131="","",SUMIFS(dAmt,dCust,$B1131,dPer,"&gt;="&amp;cyFrom,dPer,"&lt;="&amp;cyTo,dAmt,"&gt;-1E+300",dFlt1,critFlt1,dFlt2,critFlt2,dFlt3,critFlt3))</f>
        <v/>
      </c>
      <c r="E1131" t="str">
        <f>IF($B1131="","",SUMIFS(dQty,dCust,$B1131,dPer,"&gt;="&amp;pyFrom,dPer,"&lt;="&amp;pyTo,dQty,"&gt;-1E+300",dFlt1,critFlt1,dFlt2,critFlt2,dFlt3,critFlt3))</f>
        <v/>
      </c>
      <c r="F1131" t="str">
        <f>IF($B1131="","",SUMIFS(dQty,dCust,$B1131,dPer,"&gt;="&amp;cyFrom,dPer,"&lt;="&amp;cyTo,dQty,"&gt;-1E+300",dFlt1,critFlt1,dFlt2,critFlt2,dFlt3,critFlt3))</f>
        <v/>
      </c>
      <c r="G1131">
        <f>IF($B1131="",0,IFERROR(IF(OR(C1131&lt;&gt;0,D1131&lt;&gt;0,E1131&lt;&gt;0,F1131&lt;&gt;0),1,0),1))</f>
        <v>0</v>
      </c>
      <c r="H1131" t="str">
        <f>IF(OR(G1131=0,E1131=0),"",C1131/E1131)</f>
        <v/>
      </c>
      <c r="I1131" t="str">
        <f>IF(OR(G1131=0,F1131=0),"",D1131/F1131)</f>
        <v/>
      </c>
      <c r="J1131" t="str">
        <f>IF(OR(H1131="",I1131=""),"",IF(H1131=0,"",I1131/H1131-1))</f>
        <v/>
      </c>
      <c r="K1131" t="str">
        <f>IF($B1131="","",IFERROR(IF(G1131=0,-2E+300,CHOOSE(sortIdx,ROUND(D1131,0),IF(J1131="",-1E+300,ROUND(-J1131,6)),IF(J1131="",-1E+300,ROUND(J1131,6)))),-1.5E+300))</f>
        <v/>
      </c>
      <c r="L1131" t="str">
        <f>IF(K1131="","",RANK(K1131,$K$2:$K$3001,0)+COUNTIF($K$2:K1131,K1131)-1)</f>
        <v/>
      </c>
    </row>
    <row r="1132">
      <c r="B1132" t="str">
        <f>IFERROR(IF(A1132="","","="&amp;SUBSTITUTE(SUBSTITUTE(SUBSTITUTE(A1132,"~","~~"),"*","~*"),"?","~?")),"")</f>
        <v/>
      </c>
      <c r="C1132" t="str">
        <f>IF($B1132="","",SUMIFS(dAmt,dCust,$B1132,dPer,"&gt;="&amp;pyFrom,dPer,"&lt;="&amp;pyTo,dAmt,"&gt;-1E+300",dFlt1,critFlt1,dFlt2,critFlt2,dFlt3,critFlt3))</f>
        <v/>
      </c>
      <c r="D1132" t="str">
        <f>IF($B1132="","",SUMIFS(dAmt,dCust,$B1132,dPer,"&gt;="&amp;cyFrom,dPer,"&lt;="&amp;cyTo,dAmt,"&gt;-1E+300",dFlt1,critFlt1,dFlt2,critFlt2,dFlt3,critFlt3))</f>
        <v/>
      </c>
      <c r="E1132" t="str">
        <f>IF($B1132="","",SUMIFS(dQty,dCust,$B1132,dPer,"&gt;="&amp;pyFrom,dPer,"&lt;="&amp;pyTo,dQty,"&gt;-1E+300",dFlt1,critFlt1,dFlt2,critFlt2,dFlt3,critFlt3))</f>
        <v/>
      </c>
      <c r="F1132" t="str">
        <f>IF($B1132="","",SUMIFS(dQty,dCust,$B1132,dPer,"&gt;="&amp;cyFrom,dPer,"&lt;="&amp;cyTo,dQty,"&gt;-1E+300",dFlt1,critFlt1,dFlt2,critFlt2,dFlt3,critFlt3))</f>
        <v/>
      </c>
      <c r="G1132">
        <f>IF($B1132="",0,IFERROR(IF(OR(C1132&lt;&gt;0,D1132&lt;&gt;0,E1132&lt;&gt;0,F1132&lt;&gt;0),1,0),1))</f>
        <v>0</v>
      </c>
      <c r="H1132" t="str">
        <f>IF(OR(G1132=0,E1132=0),"",C1132/E1132)</f>
        <v/>
      </c>
      <c r="I1132" t="str">
        <f>IF(OR(G1132=0,F1132=0),"",D1132/F1132)</f>
        <v/>
      </c>
      <c r="J1132" t="str">
        <f>IF(OR(H1132="",I1132=""),"",IF(H1132=0,"",I1132/H1132-1))</f>
        <v/>
      </c>
      <c r="K1132" t="str">
        <f>IF($B1132="","",IFERROR(IF(G1132=0,-2E+300,CHOOSE(sortIdx,ROUND(D1132,0),IF(J1132="",-1E+300,ROUND(-J1132,6)),IF(J1132="",-1E+300,ROUND(J1132,6)))),-1.5E+300))</f>
        <v/>
      </c>
      <c r="L1132" t="str">
        <f>IF(K1132="","",RANK(K1132,$K$2:$K$3001,0)+COUNTIF($K$2:K1132,K1132)-1)</f>
        <v/>
      </c>
    </row>
    <row r="1133">
      <c r="B1133" t="str">
        <f>IFERROR(IF(A1133="","","="&amp;SUBSTITUTE(SUBSTITUTE(SUBSTITUTE(A1133,"~","~~"),"*","~*"),"?","~?")),"")</f>
        <v/>
      </c>
      <c r="C1133" t="str">
        <f>IF($B1133="","",SUMIFS(dAmt,dCust,$B1133,dPer,"&gt;="&amp;pyFrom,dPer,"&lt;="&amp;pyTo,dAmt,"&gt;-1E+300",dFlt1,critFlt1,dFlt2,critFlt2,dFlt3,critFlt3))</f>
        <v/>
      </c>
      <c r="D1133" t="str">
        <f>IF($B1133="","",SUMIFS(dAmt,dCust,$B1133,dPer,"&gt;="&amp;cyFrom,dPer,"&lt;="&amp;cyTo,dAmt,"&gt;-1E+300",dFlt1,critFlt1,dFlt2,critFlt2,dFlt3,critFlt3))</f>
        <v/>
      </c>
      <c r="E1133" t="str">
        <f>IF($B1133="","",SUMIFS(dQty,dCust,$B1133,dPer,"&gt;="&amp;pyFrom,dPer,"&lt;="&amp;pyTo,dQty,"&gt;-1E+300",dFlt1,critFlt1,dFlt2,critFlt2,dFlt3,critFlt3))</f>
        <v/>
      </c>
      <c r="F1133" t="str">
        <f>IF($B1133="","",SUMIFS(dQty,dCust,$B1133,dPer,"&gt;="&amp;cyFrom,dPer,"&lt;="&amp;cyTo,dQty,"&gt;-1E+300",dFlt1,critFlt1,dFlt2,critFlt2,dFlt3,critFlt3))</f>
        <v/>
      </c>
      <c r="G1133">
        <f>IF($B1133="",0,IFERROR(IF(OR(C1133&lt;&gt;0,D1133&lt;&gt;0,E1133&lt;&gt;0,F1133&lt;&gt;0),1,0),1))</f>
        <v>0</v>
      </c>
      <c r="H1133" t="str">
        <f>IF(OR(G1133=0,E1133=0),"",C1133/E1133)</f>
        <v/>
      </c>
      <c r="I1133" t="str">
        <f>IF(OR(G1133=0,F1133=0),"",D1133/F1133)</f>
        <v/>
      </c>
      <c r="J1133" t="str">
        <f>IF(OR(H1133="",I1133=""),"",IF(H1133=0,"",I1133/H1133-1))</f>
        <v/>
      </c>
      <c r="K1133" t="str">
        <f>IF($B1133="","",IFERROR(IF(G1133=0,-2E+300,CHOOSE(sortIdx,ROUND(D1133,0),IF(J1133="",-1E+300,ROUND(-J1133,6)),IF(J1133="",-1E+300,ROUND(J1133,6)))),-1.5E+300))</f>
        <v/>
      </c>
      <c r="L1133" t="str">
        <f>IF(K1133="","",RANK(K1133,$K$2:$K$3001,0)+COUNTIF($K$2:K1133,K1133)-1)</f>
        <v/>
      </c>
    </row>
    <row r="1134">
      <c r="B1134" t="str">
        <f>IFERROR(IF(A1134="","","="&amp;SUBSTITUTE(SUBSTITUTE(SUBSTITUTE(A1134,"~","~~"),"*","~*"),"?","~?")),"")</f>
        <v/>
      </c>
      <c r="C1134" t="str">
        <f>IF($B1134="","",SUMIFS(dAmt,dCust,$B1134,dPer,"&gt;="&amp;pyFrom,dPer,"&lt;="&amp;pyTo,dAmt,"&gt;-1E+300",dFlt1,critFlt1,dFlt2,critFlt2,dFlt3,critFlt3))</f>
        <v/>
      </c>
      <c r="D1134" t="str">
        <f>IF($B1134="","",SUMIFS(dAmt,dCust,$B1134,dPer,"&gt;="&amp;cyFrom,dPer,"&lt;="&amp;cyTo,dAmt,"&gt;-1E+300",dFlt1,critFlt1,dFlt2,critFlt2,dFlt3,critFlt3))</f>
        <v/>
      </c>
      <c r="E1134" t="str">
        <f>IF($B1134="","",SUMIFS(dQty,dCust,$B1134,dPer,"&gt;="&amp;pyFrom,dPer,"&lt;="&amp;pyTo,dQty,"&gt;-1E+300",dFlt1,critFlt1,dFlt2,critFlt2,dFlt3,critFlt3))</f>
        <v/>
      </c>
      <c r="F1134" t="str">
        <f>IF($B1134="","",SUMIFS(dQty,dCust,$B1134,dPer,"&gt;="&amp;cyFrom,dPer,"&lt;="&amp;cyTo,dQty,"&gt;-1E+300",dFlt1,critFlt1,dFlt2,critFlt2,dFlt3,critFlt3))</f>
        <v/>
      </c>
      <c r="G1134">
        <f>IF($B1134="",0,IFERROR(IF(OR(C1134&lt;&gt;0,D1134&lt;&gt;0,E1134&lt;&gt;0,F1134&lt;&gt;0),1,0),1))</f>
        <v>0</v>
      </c>
      <c r="H1134" t="str">
        <f>IF(OR(G1134=0,E1134=0),"",C1134/E1134)</f>
        <v/>
      </c>
      <c r="I1134" t="str">
        <f>IF(OR(G1134=0,F1134=0),"",D1134/F1134)</f>
        <v/>
      </c>
      <c r="J1134" t="str">
        <f>IF(OR(H1134="",I1134=""),"",IF(H1134=0,"",I1134/H1134-1))</f>
        <v/>
      </c>
      <c r="K1134" t="str">
        <f>IF($B1134="","",IFERROR(IF(G1134=0,-2E+300,CHOOSE(sortIdx,ROUND(D1134,0),IF(J1134="",-1E+300,ROUND(-J1134,6)),IF(J1134="",-1E+300,ROUND(J1134,6)))),-1.5E+300))</f>
        <v/>
      </c>
      <c r="L1134" t="str">
        <f>IF(K1134="","",RANK(K1134,$K$2:$K$3001,0)+COUNTIF($K$2:K1134,K1134)-1)</f>
        <v/>
      </c>
    </row>
    <row r="1135">
      <c r="B1135" t="str">
        <f>IFERROR(IF(A1135="","","="&amp;SUBSTITUTE(SUBSTITUTE(SUBSTITUTE(A1135,"~","~~"),"*","~*"),"?","~?")),"")</f>
        <v/>
      </c>
      <c r="C1135" t="str">
        <f>IF($B1135="","",SUMIFS(dAmt,dCust,$B1135,dPer,"&gt;="&amp;pyFrom,dPer,"&lt;="&amp;pyTo,dAmt,"&gt;-1E+300",dFlt1,critFlt1,dFlt2,critFlt2,dFlt3,critFlt3))</f>
        <v/>
      </c>
      <c r="D1135" t="str">
        <f>IF($B1135="","",SUMIFS(dAmt,dCust,$B1135,dPer,"&gt;="&amp;cyFrom,dPer,"&lt;="&amp;cyTo,dAmt,"&gt;-1E+300",dFlt1,critFlt1,dFlt2,critFlt2,dFlt3,critFlt3))</f>
        <v/>
      </c>
      <c r="E1135" t="str">
        <f>IF($B1135="","",SUMIFS(dQty,dCust,$B1135,dPer,"&gt;="&amp;pyFrom,dPer,"&lt;="&amp;pyTo,dQty,"&gt;-1E+300",dFlt1,critFlt1,dFlt2,critFlt2,dFlt3,critFlt3))</f>
        <v/>
      </c>
      <c r="F1135" t="str">
        <f>IF($B1135="","",SUMIFS(dQty,dCust,$B1135,dPer,"&gt;="&amp;cyFrom,dPer,"&lt;="&amp;cyTo,dQty,"&gt;-1E+300",dFlt1,critFlt1,dFlt2,critFlt2,dFlt3,critFlt3))</f>
        <v/>
      </c>
      <c r="G1135">
        <f>IF($B1135="",0,IFERROR(IF(OR(C1135&lt;&gt;0,D1135&lt;&gt;0,E1135&lt;&gt;0,F1135&lt;&gt;0),1,0),1))</f>
        <v>0</v>
      </c>
      <c r="H1135" t="str">
        <f>IF(OR(G1135=0,E1135=0),"",C1135/E1135)</f>
        <v/>
      </c>
      <c r="I1135" t="str">
        <f>IF(OR(G1135=0,F1135=0),"",D1135/F1135)</f>
        <v/>
      </c>
      <c r="J1135" t="str">
        <f>IF(OR(H1135="",I1135=""),"",IF(H1135=0,"",I1135/H1135-1))</f>
        <v/>
      </c>
      <c r="K1135" t="str">
        <f>IF($B1135="","",IFERROR(IF(G1135=0,-2E+300,CHOOSE(sortIdx,ROUND(D1135,0),IF(J1135="",-1E+300,ROUND(-J1135,6)),IF(J1135="",-1E+300,ROUND(J1135,6)))),-1.5E+300))</f>
        <v/>
      </c>
      <c r="L1135" t="str">
        <f>IF(K1135="","",RANK(K1135,$K$2:$K$3001,0)+COUNTIF($K$2:K1135,K1135)-1)</f>
        <v/>
      </c>
    </row>
    <row r="1136">
      <c r="B1136" t="str">
        <f>IFERROR(IF(A1136="","","="&amp;SUBSTITUTE(SUBSTITUTE(SUBSTITUTE(A1136,"~","~~"),"*","~*"),"?","~?")),"")</f>
        <v/>
      </c>
      <c r="C1136" t="str">
        <f>IF($B1136="","",SUMIFS(dAmt,dCust,$B1136,dPer,"&gt;="&amp;pyFrom,dPer,"&lt;="&amp;pyTo,dAmt,"&gt;-1E+300",dFlt1,critFlt1,dFlt2,critFlt2,dFlt3,critFlt3))</f>
        <v/>
      </c>
      <c r="D1136" t="str">
        <f>IF($B1136="","",SUMIFS(dAmt,dCust,$B1136,dPer,"&gt;="&amp;cyFrom,dPer,"&lt;="&amp;cyTo,dAmt,"&gt;-1E+300",dFlt1,critFlt1,dFlt2,critFlt2,dFlt3,critFlt3))</f>
        <v/>
      </c>
      <c r="E1136" t="str">
        <f>IF($B1136="","",SUMIFS(dQty,dCust,$B1136,dPer,"&gt;="&amp;pyFrom,dPer,"&lt;="&amp;pyTo,dQty,"&gt;-1E+300",dFlt1,critFlt1,dFlt2,critFlt2,dFlt3,critFlt3))</f>
        <v/>
      </c>
      <c r="F1136" t="str">
        <f>IF($B1136="","",SUMIFS(dQty,dCust,$B1136,dPer,"&gt;="&amp;cyFrom,dPer,"&lt;="&amp;cyTo,dQty,"&gt;-1E+300",dFlt1,critFlt1,dFlt2,critFlt2,dFlt3,critFlt3))</f>
        <v/>
      </c>
      <c r="G1136">
        <f>IF($B1136="",0,IFERROR(IF(OR(C1136&lt;&gt;0,D1136&lt;&gt;0,E1136&lt;&gt;0,F1136&lt;&gt;0),1,0),1))</f>
        <v>0</v>
      </c>
      <c r="H1136" t="str">
        <f>IF(OR(G1136=0,E1136=0),"",C1136/E1136)</f>
        <v/>
      </c>
      <c r="I1136" t="str">
        <f>IF(OR(G1136=0,F1136=0),"",D1136/F1136)</f>
        <v/>
      </c>
      <c r="J1136" t="str">
        <f>IF(OR(H1136="",I1136=""),"",IF(H1136=0,"",I1136/H1136-1))</f>
        <v/>
      </c>
      <c r="K1136" t="str">
        <f>IF($B1136="","",IFERROR(IF(G1136=0,-2E+300,CHOOSE(sortIdx,ROUND(D1136,0),IF(J1136="",-1E+300,ROUND(-J1136,6)),IF(J1136="",-1E+300,ROUND(J1136,6)))),-1.5E+300))</f>
        <v/>
      </c>
      <c r="L1136" t="str">
        <f>IF(K1136="","",RANK(K1136,$K$2:$K$3001,0)+COUNTIF($K$2:K1136,K1136)-1)</f>
        <v/>
      </c>
    </row>
    <row r="1137">
      <c r="B1137" t="str">
        <f>IFERROR(IF(A1137="","","="&amp;SUBSTITUTE(SUBSTITUTE(SUBSTITUTE(A1137,"~","~~"),"*","~*"),"?","~?")),"")</f>
        <v/>
      </c>
      <c r="C1137" t="str">
        <f>IF($B1137="","",SUMIFS(dAmt,dCust,$B1137,dPer,"&gt;="&amp;pyFrom,dPer,"&lt;="&amp;pyTo,dAmt,"&gt;-1E+300",dFlt1,critFlt1,dFlt2,critFlt2,dFlt3,critFlt3))</f>
        <v/>
      </c>
      <c r="D1137" t="str">
        <f>IF($B1137="","",SUMIFS(dAmt,dCust,$B1137,dPer,"&gt;="&amp;cyFrom,dPer,"&lt;="&amp;cyTo,dAmt,"&gt;-1E+300",dFlt1,critFlt1,dFlt2,critFlt2,dFlt3,critFlt3))</f>
        <v/>
      </c>
      <c r="E1137" t="str">
        <f>IF($B1137="","",SUMIFS(dQty,dCust,$B1137,dPer,"&gt;="&amp;pyFrom,dPer,"&lt;="&amp;pyTo,dQty,"&gt;-1E+300",dFlt1,critFlt1,dFlt2,critFlt2,dFlt3,critFlt3))</f>
        <v/>
      </c>
      <c r="F1137" t="str">
        <f>IF($B1137="","",SUMIFS(dQty,dCust,$B1137,dPer,"&gt;="&amp;cyFrom,dPer,"&lt;="&amp;cyTo,dQty,"&gt;-1E+300",dFlt1,critFlt1,dFlt2,critFlt2,dFlt3,critFlt3))</f>
        <v/>
      </c>
      <c r="G1137">
        <f>IF($B1137="",0,IFERROR(IF(OR(C1137&lt;&gt;0,D1137&lt;&gt;0,E1137&lt;&gt;0,F1137&lt;&gt;0),1,0),1))</f>
        <v>0</v>
      </c>
      <c r="H1137" t="str">
        <f>IF(OR(G1137=0,E1137=0),"",C1137/E1137)</f>
        <v/>
      </c>
      <c r="I1137" t="str">
        <f>IF(OR(G1137=0,F1137=0),"",D1137/F1137)</f>
        <v/>
      </c>
      <c r="J1137" t="str">
        <f>IF(OR(H1137="",I1137=""),"",IF(H1137=0,"",I1137/H1137-1))</f>
        <v/>
      </c>
      <c r="K1137" t="str">
        <f>IF($B1137="","",IFERROR(IF(G1137=0,-2E+300,CHOOSE(sortIdx,ROUND(D1137,0),IF(J1137="",-1E+300,ROUND(-J1137,6)),IF(J1137="",-1E+300,ROUND(J1137,6)))),-1.5E+300))</f>
        <v/>
      </c>
      <c r="L1137" t="str">
        <f>IF(K1137="","",RANK(K1137,$K$2:$K$3001,0)+COUNTIF($K$2:K1137,K1137)-1)</f>
        <v/>
      </c>
    </row>
    <row r="1138">
      <c r="B1138" t="str">
        <f>IFERROR(IF(A1138="","","="&amp;SUBSTITUTE(SUBSTITUTE(SUBSTITUTE(A1138,"~","~~"),"*","~*"),"?","~?")),"")</f>
        <v/>
      </c>
      <c r="C1138" t="str">
        <f>IF($B1138="","",SUMIFS(dAmt,dCust,$B1138,dPer,"&gt;="&amp;pyFrom,dPer,"&lt;="&amp;pyTo,dAmt,"&gt;-1E+300",dFlt1,critFlt1,dFlt2,critFlt2,dFlt3,critFlt3))</f>
        <v/>
      </c>
      <c r="D1138" t="str">
        <f>IF($B1138="","",SUMIFS(dAmt,dCust,$B1138,dPer,"&gt;="&amp;cyFrom,dPer,"&lt;="&amp;cyTo,dAmt,"&gt;-1E+300",dFlt1,critFlt1,dFlt2,critFlt2,dFlt3,critFlt3))</f>
        <v/>
      </c>
      <c r="E1138" t="str">
        <f>IF($B1138="","",SUMIFS(dQty,dCust,$B1138,dPer,"&gt;="&amp;pyFrom,dPer,"&lt;="&amp;pyTo,dQty,"&gt;-1E+300",dFlt1,critFlt1,dFlt2,critFlt2,dFlt3,critFlt3))</f>
        <v/>
      </c>
      <c r="F1138" t="str">
        <f>IF($B1138="","",SUMIFS(dQty,dCust,$B1138,dPer,"&gt;="&amp;cyFrom,dPer,"&lt;="&amp;cyTo,dQty,"&gt;-1E+300",dFlt1,critFlt1,dFlt2,critFlt2,dFlt3,critFlt3))</f>
        <v/>
      </c>
      <c r="G1138">
        <f>IF($B1138="",0,IFERROR(IF(OR(C1138&lt;&gt;0,D1138&lt;&gt;0,E1138&lt;&gt;0,F1138&lt;&gt;0),1,0),1))</f>
        <v>0</v>
      </c>
      <c r="H1138" t="str">
        <f>IF(OR(G1138=0,E1138=0),"",C1138/E1138)</f>
        <v/>
      </c>
      <c r="I1138" t="str">
        <f>IF(OR(G1138=0,F1138=0),"",D1138/F1138)</f>
        <v/>
      </c>
      <c r="J1138" t="str">
        <f>IF(OR(H1138="",I1138=""),"",IF(H1138=0,"",I1138/H1138-1))</f>
        <v/>
      </c>
      <c r="K1138" t="str">
        <f>IF($B1138="","",IFERROR(IF(G1138=0,-2E+300,CHOOSE(sortIdx,ROUND(D1138,0),IF(J1138="",-1E+300,ROUND(-J1138,6)),IF(J1138="",-1E+300,ROUND(J1138,6)))),-1.5E+300))</f>
        <v/>
      </c>
      <c r="L1138" t="str">
        <f>IF(K1138="","",RANK(K1138,$K$2:$K$3001,0)+COUNTIF($K$2:K1138,K1138)-1)</f>
        <v/>
      </c>
    </row>
    <row r="1139">
      <c r="B1139" t="str">
        <f>IFERROR(IF(A1139="","","="&amp;SUBSTITUTE(SUBSTITUTE(SUBSTITUTE(A1139,"~","~~"),"*","~*"),"?","~?")),"")</f>
        <v/>
      </c>
      <c r="C1139" t="str">
        <f>IF($B1139="","",SUMIFS(dAmt,dCust,$B1139,dPer,"&gt;="&amp;pyFrom,dPer,"&lt;="&amp;pyTo,dAmt,"&gt;-1E+300",dFlt1,critFlt1,dFlt2,critFlt2,dFlt3,critFlt3))</f>
        <v/>
      </c>
      <c r="D1139" t="str">
        <f>IF($B1139="","",SUMIFS(dAmt,dCust,$B1139,dPer,"&gt;="&amp;cyFrom,dPer,"&lt;="&amp;cyTo,dAmt,"&gt;-1E+300",dFlt1,critFlt1,dFlt2,critFlt2,dFlt3,critFlt3))</f>
        <v/>
      </c>
      <c r="E1139" t="str">
        <f>IF($B1139="","",SUMIFS(dQty,dCust,$B1139,dPer,"&gt;="&amp;pyFrom,dPer,"&lt;="&amp;pyTo,dQty,"&gt;-1E+300",dFlt1,critFlt1,dFlt2,critFlt2,dFlt3,critFlt3))</f>
        <v/>
      </c>
      <c r="F1139" t="str">
        <f>IF($B1139="","",SUMIFS(dQty,dCust,$B1139,dPer,"&gt;="&amp;cyFrom,dPer,"&lt;="&amp;cyTo,dQty,"&gt;-1E+300",dFlt1,critFlt1,dFlt2,critFlt2,dFlt3,critFlt3))</f>
        <v/>
      </c>
      <c r="G1139">
        <f>IF($B1139="",0,IFERROR(IF(OR(C1139&lt;&gt;0,D1139&lt;&gt;0,E1139&lt;&gt;0,F1139&lt;&gt;0),1,0),1))</f>
        <v>0</v>
      </c>
      <c r="H1139" t="str">
        <f>IF(OR(G1139=0,E1139=0),"",C1139/E1139)</f>
        <v/>
      </c>
      <c r="I1139" t="str">
        <f>IF(OR(G1139=0,F1139=0),"",D1139/F1139)</f>
        <v/>
      </c>
      <c r="J1139" t="str">
        <f>IF(OR(H1139="",I1139=""),"",IF(H1139=0,"",I1139/H1139-1))</f>
        <v/>
      </c>
      <c r="K1139" t="str">
        <f>IF($B1139="","",IFERROR(IF(G1139=0,-2E+300,CHOOSE(sortIdx,ROUND(D1139,0),IF(J1139="",-1E+300,ROUND(-J1139,6)),IF(J1139="",-1E+300,ROUND(J1139,6)))),-1.5E+300))</f>
        <v/>
      </c>
      <c r="L1139" t="str">
        <f>IF(K1139="","",RANK(K1139,$K$2:$K$3001,0)+COUNTIF($K$2:K1139,K1139)-1)</f>
        <v/>
      </c>
    </row>
    <row r="1140">
      <c r="B1140" t="str">
        <f>IFERROR(IF(A1140="","","="&amp;SUBSTITUTE(SUBSTITUTE(SUBSTITUTE(A1140,"~","~~"),"*","~*"),"?","~?")),"")</f>
        <v/>
      </c>
      <c r="C1140" t="str">
        <f>IF($B1140="","",SUMIFS(dAmt,dCust,$B1140,dPer,"&gt;="&amp;pyFrom,dPer,"&lt;="&amp;pyTo,dAmt,"&gt;-1E+300",dFlt1,critFlt1,dFlt2,critFlt2,dFlt3,critFlt3))</f>
        <v/>
      </c>
      <c r="D1140" t="str">
        <f>IF($B1140="","",SUMIFS(dAmt,dCust,$B1140,dPer,"&gt;="&amp;cyFrom,dPer,"&lt;="&amp;cyTo,dAmt,"&gt;-1E+300",dFlt1,critFlt1,dFlt2,critFlt2,dFlt3,critFlt3))</f>
        <v/>
      </c>
      <c r="E1140" t="str">
        <f>IF($B1140="","",SUMIFS(dQty,dCust,$B1140,dPer,"&gt;="&amp;pyFrom,dPer,"&lt;="&amp;pyTo,dQty,"&gt;-1E+300",dFlt1,critFlt1,dFlt2,critFlt2,dFlt3,critFlt3))</f>
        <v/>
      </c>
      <c r="F1140" t="str">
        <f>IF($B1140="","",SUMIFS(dQty,dCust,$B1140,dPer,"&gt;="&amp;cyFrom,dPer,"&lt;="&amp;cyTo,dQty,"&gt;-1E+300",dFlt1,critFlt1,dFlt2,critFlt2,dFlt3,critFlt3))</f>
        <v/>
      </c>
      <c r="G1140">
        <f>IF($B1140="",0,IFERROR(IF(OR(C1140&lt;&gt;0,D1140&lt;&gt;0,E1140&lt;&gt;0,F1140&lt;&gt;0),1,0),1))</f>
        <v>0</v>
      </c>
      <c r="H1140" t="str">
        <f>IF(OR(G1140=0,E1140=0),"",C1140/E1140)</f>
        <v/>
      </c>
      <c r="I1140" t="str">
        <f>IF(OR(G1140=0,F1140=0),"",D1140/F1140)</f>
        <v/>
      </c>
      <c r="J1140" t="str">
        <f>IF(OR(H1140="",I1140=""),"",IF(H1140=0,"",I1140/H1140-1))</f>
        <v/>
      </c>
      <c r="K1140" t="str">
        <f>IF($B1140="","",IFERROR(IF(G1140=0,-2E+300,CHOOSE(sortIdx,ROUND(D1140,0),IF(J1140="",-1E+300,ROUND(-J1140,6)),IF(J1140="",-1E+300,ROUND(J1140,6)))),-1.5E+300))</f>
        <v/>
      </c>
      <c r="L1140" t="str">
        <f>IF(K1140="","",RANK(K1140,$K$2:$K$3001,0)+COUNTIF($K$2:K1140,K1140)-1)</f>
        <v/>
      </c>
    </row>
    <row r="1141">
      <c r="B1141" t="str">
        <f>IFERROR(IF(A1141="","","="&amp;SUBSTITUTE(SUBSTITUTE(SUBSTITUTE(A1141,"~","~~"),"*","~*"),"?","~?")),"")</f>
        <v/>
      </c>
      <c r="C1141" t="str">
        <f>IF($B1141="","",SUMIFS(dAmt,dCust,$B1141,dPer,"&gt;="&amp;pyFrom,dPer,"&lt;="&amp;pyTo,dAmt,"&gt;-1E+300",dFlt1,critFlt1,dFlt2,critFlt2,dFlt3,critFlt3))</f>
        <v/>
      </c>
      <c r="D1141" t="str">
        <f>IF($B1141="","",SUMIFS(dAmt,dCust,$B1141,dPer,"&gt;="&amp;cyFrom,dPer,"&lt;="&amp;cyTo,dAmt,"&gt;-1E+300",dFlt1,critFlt1,dFlt2,critFlt2,dFlt3,critFlt3))</f>
        <v/>
      </c>
      <c r="E1141" t="str">
        <f>IF($B1141="","",SUMIFS(dQty,dCust,$B1141,dPer,"&gt;="&amp;pyFrom,dPer,"&lt;="&amp;pyTo,dQty,"&gt;-1E+300",dFlt1,critFlt1,dFlt2,critFlt2,dFlt3,critFlt3))</f>
        <v/>
      </c>
      <c r="F1141" t="str">
        <f>IF($B1141="","",SUMIFS(dQty,dCust,$B1141,dPer,"&gt;="&amp;cyFrom,dPer,"&lt;="&amp;cyTo,dQty,"&gt;-1E+300",dFlt1,critFlt1,dFlt2,critFlt2,dFlt3,critFlt3))</f>
        <v/>
      </c>
      <c r="G1141">
        <f>IF($B1141="",0,IFERROR(IF(OR(C1141&lt;&gt;0,D1141&lt;&gt;0,E1141&lt;&gt;0,F1141&lt;&gt;0),1,0),1))</f>
        <v>0</v>
      </c>
      <c r="H1141" t="str">
        <f>IF(OR(G1141=0,E1141=0),"",C1141/E1141)</f>
        <v/>
      </c>
      <c r="I1141" t="str">
        <f>IF(OR(G1141=0,F1141=0),"",D1141/F1141)</f>
        <v/>
      </c>
      <c r="J1141" t="str">
        <f>IF(OR(H1141="",I1141=""),"",IF(H1141=0,"",I1141/H1141-1))</f>
        <v/>
      </c>
      <c r="K1141" t="str">
        <f>IF($B1141="","",IFERROR(IF(G1141=0,-2E+300,CHOOSE(sortIdx,ROUND(D1141,0),IF(J1141="",-1E+300,ROUND(-J1141,6)),IF(J1141="",-1E+300,ROUND(J1141,6)))),-1.5E+300))</f>
        <v/>
      </c>
      <c r="L1141" t="str">
        <f>IF(K1141="","",RANK(K1141,$K$2:$K$3001,0)+COUNTIF($K$2:K1141,K1141)-1)</f>
        <v/>
      </c>
    </row>
    <row r="1142">
      <c r="B1142" t="str">
        <f>IFERROR(IF(A1142="","","="&amp;SUBSTITUTE(SUBSTITUTE(SUBSTITUTE(A1142,"~","~~"),"*","~*"),"?","~?")),"")</f>
        <v/>
      </c>
      <c r="C1142" t="str">
        <f>IF($B1142="","",SUMIFS(dAmt,dCust,$B1142,dPer,"&gt;="&amp;pyFrom,dPer,"&lt;="&amp;pyTo,dAmt,"&gt;-1E+300",dFlt1,critFlt1,dFlt2,critFlt2,dFlt3,critFlt3))</f>
        <v/>
      </c>
      <c r="D1142" t="str">
        <f>IF($B1142="","",SUMIFS(dAmt,dCust,$B1142,dPer,"&gt;="&amp;cyFrom,dPer,"&lt;="&amp;cyTo,dAmt,"&gt;-1E+300",dFlt1,critFlt1,dFlt2,critFlt2,dFlt3,critFlt3))</f>
        <v/>
      </c>
      <c r="E1142" t="str">
        <f>IF($B1142="","",SUMIFS(dQty,dCust,$B1142,dPer,"&gt;="&amp;pyFrom,dPer,"&lt;="&amp;pyTo,dQty,"&gt;-1E+300",dFlt1,critFlt1,dFlt2,critFlt2,dFlt3,critFlt3))</f>
        <v/>
      </c>
      <c r="F1142" t="str">
        <f>IF($B1142="","",SUMIFS(dQty,dCust,$B1142,dPer,"&gt;="&amp;cyFrom,dPer,"&lt;="&amp;cyTo,dQty,"&gt;-1E+300",dFlt1,critFlt1,dFlt2,critFlt2,dFlt3,critFlt3))</f>
        <v/>
      </c>
      <c r="G1142">
        <f>IF($B1142="",0,IFERROR(IF(OR(C1142&lt;&gt;0,D1142&lt;&gt;0,E1142&lt;&gt;0,F1142&lt;&gt;0),1,0),1))</f>
        <v>0</v>
      </c>
      <c r="H1142" t="str">
        <f>IF(OR(G1142=0,E1142=0),"",C1142/E1142)</f>
        <v/>
      </c>
      <c r="I1142" t="str">
        <f>IF(OR(G1142=0,F1142=0),"",D1142/F1142)</f>
        <v/>
      </c>
      <c r="J1142" t="str">
        <f>IF(OR(H1142="",I1142=""),"",IF(H1142=0,"",I1142/H1142-1))</f>
        <v/>
      </c>
      <c r="K1142" t="str">
        <f>IF($B1142="","",IFERROR(IF(G1142=0,-2E+300,CHOOSE(sortIdx,ROUND(D1142,0),IF(J1142="",-1E+300,ROUND(-J1142,6)),IF(J1142="",-1E+300,ROUND(J1142,6)))),-1.5E+300))</f>
        <v/>
      </c>
      <c r="L1142" t="str">
        <f>IF(K1142="","",RANK(K1142,$K$2:$K$3001,0)+COUNTIF($K$2:K1142,K1142)-1)</f>
        <v/>
      </c>
    </row>
    <row r="1143">
      <c r="B1143" t="str">
        <f>IFERROR(IF(A1143="","","="&amp;SUBSTITUTE(SUBSTITUTE(SUBSTITUTE(A1143,"~","~~"),"*","~*"),"?","~?")),"")</f>
        <v/>
      </c>
      <c r="C1143" t="str">
        <f>IF($B1143="","",SUMIFS(dAmt,dCust,$B1143,dPer,"&gt;="&amp;pyFrom,dPer,"&lt;="&amp;pyTo,dAmt,"&gt;-1E+300",dFlt1,critFlt1,dFlt2,critFlt2,dFlt3,critFlt3))</f>
        <v/>
      </c>
      <c r="D1143" t="str">
        <f>IF($B1143="","",SUMIFS(dAmt,dCust,$B1143,dPer,"&gt;="&amp;cyFrom,dPer,"&lt;="&amp;cyTo,dAmt,"&gt;-1E+300",dFlt1,critFlt1,dFlt2,critFlt2,dFlt3,critFlt3))</f>
        <v/>
      </c>
      <c r="E1143" t="str">
        <f>IF($B1143="","",SUMIFS(dQty,dCust,$B1143,dPer,"&gt;="&amp;pyFrom,dPer,"&lt;="&amp;pyTo,dQty,"&gt;-1E+300",dFlt1,critFlt1,dFlt2,critFlt2,dFlt3,critFlt3))</f>
        <v/>
      </c>
      <c r="F1143" t="str">
        <f>IF($B1143="","",SUMIFS(dQty,dCust,$B1143,dPer,"&gt;="&amp;cyFrom,dPer,"&lt;="&amp;cyTo,dQty,"&gt;-1E+300",dFlt1,critFlt1,dFlt2,critFlt2,dFlt3,critFlt3))</f>
        <v/>
      </c>
      <c r="G1143">
        <f>IF($B1143="",0,IFERROR(IF(OR(C1143&lt;&gt;0,D1143&lt;&gt;0,E1143&lt;&gt;0,F1143&lt;&gt;0),1,0),1))</f>
        <v>0</v>
      </c>
      <c r="H1143" t="str">
        <f>IF(OR(G1143=0,E1143=0),"",C1143/E1143)</f>
        <v/>
      </c>
      <c r="I1143" t="str">
        <f>IF(OR(G1143=0,F1143=0),"",D1143/F1143)</f>
        <v/>
      </c>
      <c r="J1143" t="str">
        <f>IF(OR(H1143="",I1143=""),"",IF(H1143=0,"",I1143/H1143-1))</f>
        <v/>
      </c>
      <c r="K1143" t="str">
        <f>IF($B1143="","",IFERROR(IF(G1143=0,-2E+300,CHOOSE(sortIdx,ROUND(D1143,0),IF(J1143="",-1E+300,ROUND(-J1143,6)),IF(J1143="",-1E+300,ROUND(J1143,6)))),-1.5E+300))</f>
        <v/>
      </c>
      <c r="L1143" t="str">
        <f>IF(K1143="","",RANK(K1143,$K$2:$K$3001,0)+COUNTIF($K$2:K1143,K1143)-1)</f>
        <v/>
      </c>
    </row>
    <row r="1144">
      <c r="B1144" t="str">
        <f>IFERROR(IF(A1144="","","="&amp;SUBSTITUTE(SUBSTITUTE(SUBSTITUTE(A1144,"~","~~"),"*","~*"),"?","~?")),"")</f>
        <v/>
      </c>
      <c r="C1144" t="str">
        <f>IF($B1144="","",SUMIFS(dAmt,dCust,$B1144,dPer,"&gt;="&amp;pyFrom,dPer,"&lt;="&amp;pyTo,dAmt,"&gt;-1E+300",dFlt1,critFlt1,dFlt2,critFlt2,dFlt3,critFlt3))</f>
        <v/>
      </c>
      <c r="D1144" t="str">
        <f>IF($B1144="","",SUMIFS(dAmt,dCust,$B1144,dPer,"&gt;="&amp;cyFrom,dPer,"&lt;="&amp;cyTo,dAmt,"&gt;-1E+300",dFlt1,critFlt1,dFlt2,critFlt2,dFlt3,critFlt3))</f>
        <v/>
      </c>
      <c r="E1144" t="str">
        <f>IF($B1144="","",SUMIFS(dQty,dCust,$B1144,dPer,"&gt;="&amp;pyFrom,dPer,"&lt;="&amp;pyTo,dQty,"&gt;-1E+300",dFlt1,critFlt1,dFlt2,critFlt2,dFlt3,critFlt3))</f>
        <v/>
      </c>
      <c r="F1144" t="str">
        <f>IF($B1144="","",SUMIFS(dQty,dCust,$B1144,dPer,"&gt;="&amp;cyFrom,dPer,"&lt;="&amp;cyTo,dQty,"&gt;-1E+300",dFlt1,critFlt1,dFlt2,critFlt2,dFlt3,critFlt3))</f>
        <v/>
      </c>
      <c r="G1144">
        <f>IF($B1144="",0,IFERROR(IF(OR(C1144&lt;&gt;0,D1144&lt;&gt;0,E1144&lt;&gt;0,F1144&lt;&gt;0),1,0),1))</f>
        <v>0</v>
      </c>
      <c r="H1144" t="str">
        <f>IF(OR(G1144=0,E1144=0),"",C1144/E1144)</f>
        <v/>
      </c>
      <c r="I1144" t="str">
        <f>IF(OR(G1144=0,F1144=0),"",D1144/F1144)</f>
        <v/>
      </c>
      <c r="J1144" t="str">
        <f>IF(OR(H1144="",I1144=""),"",IF(H1144=0,"",I1144/H1144-1))</f>
        <v/>
      </c>
      <c r="K1144" t="str">
        <f>IF($B1144="","",IFERROR(IF(G1144=0,-2E+300,CHOOSE(sortIdx,ROUND(D1144,0),IF(J1144="",-1E+300,ROUND(-J1144,6)),IF(J1144="",-1E+300,ROUND(J1144,6)))),-1.5E+300))</f>
        <v/>
      </c>
      <c r="L1144" t="str">
        <f>IF(K1144="","",RANK(K1144,$K$2:$K$3001,0)+COUNTIF($K$2:K1144,K1144)-1)</f>
        <v/>
      </c>
    </row>
    <row r="1145">
      <c r="B1145" t="str">
        <f>IFERROR(IF(A1145="","","="&amp;SUBSTITUTE(SUBSTITUTE(SUBSTITUTE(A1145,"~","~~"),"*","~*"),"?","~?")),"")</f>
        <v/>
      </c>
      <c r="C1145" t="str">
        <f>IF($B1145="","",SUMIFS(dAmt,dCust,$B1145,dPer,"&gt;="&amp;pyFrom,dPer,"&lt;="&amp;pyTo,dAmt,"&gt;-1E+300",dFlt1,critFlt1,dFlt2,critFlt2,dFlt3,critFlt3))</f>
        <v/>
      </c>
      <c r="D1145" t="str">
        <f>IF($B1145="","",SUMIFS(dAmt,dCust,$B1145,dPer,"&gt;="&amp;cyFrom,dPer,"&lt;="&amp;cyTo,dAmt,"&gt;-1E+300",dFlt1,critFlt1,dFlt2,critFlt2,dFlt3,critFlt3))</f>
        <v/>
      </c>
      <c r="E1145" t="str">
        <f>IF($B1145="","",SUMIFS(dQty,dCust,$B1145,dPer,"&gt;="&amp;pyFrom,dPer,"&lt;="&amp;pyTo,dQty,"&gt;-1E+300",dFlt1,critFlt1,dFlt2,critFlt2,dFlt3,critFlt3))</f>
        <v/>
      </c>
      <c r="F1145" t="str">
        <f>IF($B1145="","",SUMIFS(dQty,dCust,$B1145,dPer,"&gt;="&amp;cyFrom,dPer,"&lt;="&amp;cyTo,dQty,"&gt;-1E+300",dFlt1,critFlt1,dFlt2,critFlt2,dFlt3,critFlt3))</f>
        <v/>
      </c>
      <c r="G1145">
        <f>IF($B1145="",0,IFERROR(IF(OR(C1145&lt;&gt;0,D1145&lt;&gt;0,E1145&lt;&gt;0,F1145&lt;&gt;0),1,0),1))</f>
        <v>0</v>
      </c>
      <c r="H1145" t="str">
        <f>IF(OR(G1145=0,E1145=0),"",C1145/E1145)</f>
        <v/>
      </c>
      <c r="I1145" t="str">
        <f>IF(OR(G1145=0,F1145=0),"",D1145/F1145)</f>
        <v/>
      </c>
      <c r="J1145" t="str">
        <f>IF(OR(H1145="",I1145=""),"",IF(H1145=0,"",I1145/H1145-1))</f>
        <v/>
      </c>
      <c r="K1145" t="str">
        <f>IF($B1145="","",IFERROR(IF(G1145=0,-2E+300,CHOOSE(sortIdx,ROUND(D1145,0),IF(J1145="",-1E+300,ROUND(-J1145,6)),IF(J1145="",-1E+300,ROUND(J1145,6)))),-1.5E+300))</f>
        <v/>
      </c>
      <c r="L1145" t="str">
        <f>IF(K1145="","",RANK(K1145,$K$2:$K$3001,0)+COUNTIF($K$2:K1145,K1145)-1)</f>
        <v/>
      </c>
    </row>
    <row r="1146">
      <c r="B1146" t="str">
        <f>IFERROR(IF(A1146="","","="&amp;SUBSTITUTE(SUBSTITUTE(SUBSTITUTE(A1146,"~","~~"),"*","~*"),"?","~?")),"")</f>
        <v/>
      </c>
      <c r="C1146" t="str">
        <f>IF($B1146="","",SUMIFS(dAmt,dCust,$B1146,dPer,"&gt;="&amp;pyFrom,dPer,"&lt;="&amp;pyTo,dAmt,"&gt;-1E+300",dFlt1,critFlt1,dFlt2,critFlt2,dFlt3,critFlt3))</f>
        <v/>
      </c>
      <c r="D1146" t="str">
        <f>IF($B1146="","",SUMIFS(dAmt,dCust,$B1146,dPer,"&gt;="&amp;cyFrom,dPer,"&lt;="&amp;cyTo,dAmt,"&gt;-1E+300",dFlt1,critFlt1,dFlt2,critFlt2,dFlt3,critFlt3))</f>
        <v/>
      </c>
      <c r="E1146" t="str">
        <f>IF($B1146="","",SUMIFS(dQty,dCust,$B1146,dPer,"&gt;="&amp;pyFrom,dPer,"&lt;="&amp;pyTo,dQty,"&gt;-1E+300",dFlt1,critFlt1,dFlt2,critFlt2,dFlt3,critFlt3))</f>
        <v/>
      </c>
      <c r="F1146" t="str">
        <f>IF($B1146="","",SUMIFS(dQty,dCust,$B1146,dPer,"&gt;="&amp;cyFrom,dPer,"&lt;="&amp;cyTo,dQty,"&gt;-1E+300",dFlt1,critFlt1,dFlt2,critFlt2,dFlt3,critFlt3))</f>
        <v/>
      </c>
      <c r="G1146">
        <f>IF($B1146="",0,IFERROR(IF(OR(C1146&lt;&gt;0,D1146&lt;&gt;0,E1146&lt;&gt;0,F1146&lt;&gt;0),1,0),1))</f>
        <v>0</v>
      </c>
      <c r="H1146" t="str">
        <f>IF(OR(G1146=0,E1146=0),"",C1146/E1146)</f>
        <v/>
      </c>
      <c r="I1146" t="str">
        <f>IF(OR(G1146=0,F1146=0),"",D1146/F1146)</f>
        <v/>
      </c>
      <c r="J1146" t="str">
        <f>IF(OR(H1146="",I1146=""),"",IF(H1146=0,"",I1146/H1146-1))</f>
        <v/>
      </c>
      <c r="K1146" t="str">
        <f>IF($B1146="","",IFERROR(IF(G1146=0,-2E+300,CHOOSE(sortIdx,ROUND(D1146,0),IF(J1146="",-1E+300,ROUND(-J1146,6)),IF(J1146="",-1E+300,ROUND(J1146,6)))),-1.5E+300))</f>
        <v/>
      </c>
      <c r="L1146" t="str">
        <f>IF(K1146="","",RANK(K1146,$K$2:$K$3001,0)+COUNTIF($K$2:K1146,K1146)-1)</f>
        <v/>
      </c>
    </row>
    <row r="1147">
      <c r="B1147" t="str">
        <f>IFERROR(IF(A1147="","","="&amp;SUBSTITUTE(SUBSTITUTE(SUBSTITUTE(A1147,"~","~~"),"*","~*"),"?","~?")),"")</f>
        <v/>
      </c>
      <c r="C1147" t="str">
        <f>IF($B1147="","",SUMIFS(dAmt,dCust,$B1147,dPer,"&gt;="&amp;pyFrom,dPer,"&lt;="&amp;pyTo,dAmt,"&gt;-1E+300",dFlt1,critFlt1,dFlt2,critFlt2,dFlt3,critFlt3))</f>
        <v/>
      </c>
      <c r="D1147" t="str">
        <f>IF($B1147="","",SUMIFS(dAmt,dCust,$B1147,dPer,"&gt;="&amp;cyFrom,dPer,"&lt;="&amp;cyTo,dAmt,"&gt;-1E+300",dFlt1,critFlt1,dFlt2,critFlt2,dFlt3,critFlt3))</f>
        <v/>
      </c>
      <c r="E1147" t="str">
        <f>IF($B1147="","",SUMIFS(dQty,dCust,$B1147,dPer,"&gt;="&amp;pyFrom,dPer,"&lt;="&amp;pyTo,dQty,"&gt;-1E+300",dFlt1,critFlt1,dFlt2,critFlt2,dFlt3,critFlt3))</f>
        <v/>
      </c>
      <c r="F1147" t="str">
        <f>IF($B1147="","",SUMIFS(dQty,dCust,$B1147,dPer,"&gt;="&amp;cyFrom,dPer,"&lt;="&amp;cyTo,dQty,"&gt;-1E+300",dFlt1,critFlt1,dFlt2,critFlt2,dFlt3,critFlt3))</f>
        <v/>
      </c>
      <c r="G1147">
        <f>IF($B1147="",0,IFERROR(IF(OR(C1147&lt;&gt;0,D1147&lt;&gt;0,E1147&lt;&gt;0,F1147&lt;&gt;0),1,0),1))</f>
        <v>0</v>
      </c>
      <c r="H1147" t="str">
        <f>IF(OR(G1147=0,E1147=0),"",C1147/E1147)</f>
        <v/>
      </c>
      <c r="I1147" t="str">
        <f>IF(OR(G1147=0,F1147=0),"",D1147/F1147)</f>
        <v/>
      </c>
      <c r="J1147" t="str">
        <f>IF(OR(H1147="",I1147=""),"",IF(H1147=0,"",I1147/H1147-1))</f>
        <v/>
      </c>
      <c r="K1147" t="str">
        <f>IF($B1147="","",IFERROR(IF(G1147=0,-2E+300,CHOOSE(sortIdx,ROUND(D1147,0),IF(J1147="",-1E+300,ROUND(-J1147,6)),IF(J1147="",-1E+300,ROUND(J1147,6)))),-1.5E+300))</f>
        <v/>
      </c>
      <c r="L1147" t="str">
        <f>IF(K1147="","",RANK(K1147,$K$2:$K$3001,0)+COUNTIF($K$2:K1147,K1147)-1)</f>
        <v/>
      </c>
    </row>
    <row r="1148">
      <c r="B1148" t="str">
        <f>IFERROR(IF(A1148="","","="&amp;SUBSTITUTE(SUBSTITUTE(SUBSTITUTE(A1148,"~","~~"),"*","~*"),"?","~?")),"")</f>
        <v/>
      </c>
      <c r="C1148" t="str">
        <f>IF($B1148="","",SUMIFS(dAmt,dCust,$B1148,dPer,"&gt;="&amp;pyFrom,dPer,"&lt;="&amp;pyTo,dAmt,"&gt;-1E+300",dFlt1,critFlt1,dFlt2,critFlt2,dFlt3,critFlt3))</f>
        <v/>
      </c>
      <c r="D1148" t="str">
        <f>IF($B1148="","",SUMIFS(dAmt,dCust,$B1148,dPer,"&gt;="&amp;cyFrom,dPer,"&lt;="&amp;cyTo,dAmt,"&gt;-1E+300",dFlt1,critFlt1,dFlt2,critFlt2,dFlt3,critFlt3))</f>
        <v/>
      </c>
      <c r="E1148" t="str">
        <f>IF($B1148="","",SUMIFS(dQty,dCust,$B1148,dPer,"&gt;="&amp;pyFrom,dPer,"&lt;="&amp;pyTo,dQty,"&gt;-1E+300",dFlt1,critFlt1,dFlt2,critFlt2,dFlt3,critFlt3))</f>
        <v/>
      </c>
      <c r="F1148" t="str">
        <f>IF($B1148="","",SUMIFS(dQty,dCust,$B1148,dPer,"&gt;="&amp;cyFrom,dPer,"&lt;="&amp;cyTo,dQty,"&gt;-1E+300",dFlt1,critFlt1,dFlt2,critFlt2,dFlt3,critFlt3))</f>
        <v/>
      </c>
      <c r="G1148">
        <f>IF($B1148="",0,IFERROR(IF(OR(C1148&lt;&gt;0,D1148&lt;&gt;0,E1148&lt;&gt;0,F1148&lt;&gt;0),1,0),1))</f>
        <v>0</v>
      </c>
      <c r="H1148" t="str">
        <f>IF(OR(G1148=0,E1148=0),"",C1148/E1148)</f>
        <v/>
      </c>
      <c r="I1148" t="str">
        <f>IF(OR(G1148=0,F1148=0),"",D1148/F1148)</f>
        <v/>
      </c>
      <c r="J1148" t="str">
        <f>IF(OR(H1148="",I1148=""),"",IF(H1148=0,"",I1148/H1148-1))</f>
        <v/>
      </c>
      <c r="K1148" t="str">
        <f>IF($B1148="","",IFERROR(IF(G1148=0,-2E+300,CHOOSE(sortIdx,ROUND(D1148,0),IF(J1148="",-1E+300,ROUND(-J1148,6)),IF(J1148="",-1E+300,ROUND(J1148,6)))),-1.5E+300))</f>
        <v/>
      </c>
      <c r="L1148" t="str">
        <f>IF(K1148="","",RANK(K1148,$K$2:$K$3001,0)+COUNTIF($K$2:K1148,K1148)-1)</f>
        <v/>
      </c>
    </row>
    <row r="1149">
      <c r="B1149" t="str">
        <f>IFERROR(IF(A1149="","","="&amp;SUBSTITUTE(SUBSTITUTE(SUBSTITUTE(A1149,"~","~~"),"*","~*"),"?","~?")),"")</f>
        <v/>
      </c>
      <c r="C1149" t="str">
        <f>IF($B1149="","",SUMIFS(dAmt,dCust,$B1149,dPer,"&gt;="&amp;pyFrom,dPer,"&lt;="&amp;pyTo,dAmt,"&gt;-1E+300",dFlt1,critFlt1,dFlt2,critFlt2,dFlt3,critFlt3))</f>
        <v/>
      </c>
      <c r="D1149" t="str">
        <f>IF($B1149="","",SUMIFS(dAmt,dCust,$B1149,dPer,"&gt;="&amp;cyFrom,dPer,"&lt;="&amp;cyTo,dAmt,"&gt;-1E+300",dFlt1,critFlt1,dFlt2,critFlt2,dFlt3,critFlt3))</f>
        <v/>
      </c>
      <c r="E1149" t="str">
        <f>IF($B1149="","",SUMIFS(dQty,dCust,$B1149,dPer,"&gt;="&amp;pyFrom,dPer,"&lt;="&amp;pyTo,dQty,"&gt;-1E+300",dFlt1,critFlt1,dFlt2,critFlt2,dFlt3,critFlt3))</f>
        <v/>
      </c>
      <c r="F1149" t="str">
        <f>IF($B1149="","",SUMIFS(dQty,dCust,$B1149,dPer,"&gt;="&amp;cyFrom,dPer,"&lt;="&amp;cyTo,dQty,"&gt;-1E+300",dFlt1,critFlt1,dFlt2,critFlt2,dFlt3,critFlt3))</f>
        <v/>
      </c>
      <c r="G1149">
        <f>IF($B1149="",0,IFERROR(IF(OR(C1149&lt;&gt;0,D1149&lt;&gt;0,E1149&lt;&gt;0,F1149&lt;&gt;0),1,0),1))</f>
        <v>0</v>
      </c>
      <c r="H1149" t="str">
        <f>IF(OR(G1149=0,E1149=0),"",C1149/E1149)</f>
        <v/>
      </c>
      <c r="I1149" t="str">
        <f>IF(OR(G1149=0,F1149=0),"",D1149/F1149)</f>
        <v/>
      </c>
      <c r="J1149" t="str">
        <f>IF(OR(H1149="",I1149=""),"",IF(H1149=0,"",I1149/H1149-1))</f>
        <v/>
      </c>
      <c r="K1149" t="str">
        <f>IF($B1149="","",IFERROR(IF(G1149=0,-2E+300,CHOOSE(sortIdx,ROUND(D1149,0),IF(J1149="",-1E+300,ROUND(-J1149,6)),IF(J1149="",-1E+300,ROUND(J1149,6)))),-1.5E+300))</f>
        <v/>
      </c>
      <c r="L1149" t="str">
        <f>IF(K1149="","",RANK(K1149,$K$2:$K$3001,0)+COUNTIF($K$2:K1149,K1149)-1)</f>
        <v/>
      </c>
    </row>
    <row r="1150">
      <c r="B1150" t="str">
        <f>IFERROR(IF(A1150="","","="&amp;SUBSTITUTE(SUBSTITUTE(SUBSTITUTE(A1150,"~","~~"),"*","~*"),"?","~?")),"")</f>
        <v/>
      </c>
      <c r="C1150" t="str">
        <f>IF($B1150="","",SUMIFS(dAmt,dCust,$B1150,dPer,"&gt;="&amp;pyFrom,dPer,"&lt;="&amp;pyTo,dAmt,"&gt;-1E+300",dFlt1,critFlt1,dFlt2,critFlt2,dFlt3,critFlt3))</f>
        <v/>
      </c>
      <c r="D1150" t="str">
        <f>IF($B1150="","",SUMIFS(dAmt,dCust,$B1150,dPer,"&gt;="&amp;cyFrom,dPer,"&lt;="&amp;cyTo,dAmt,"&gt;-1E+300",dFlt1,critFlt1,dFlt2,critFlt2,dFlt3,critFlt3))</f>
        <v/>
      </c>
      <c r="E1150" t="str">
        <f>IF($B1150="","",SUMIFS(dQty,dCust,$B1150,dPer,"&gt;="&amp;pyFrom,dPer,"&lt;="&amp;pyTo,dQty,"&gt;-1E+300",dFlt1,critFlt1,dFlt2,critFlt2,dFlt3,critFlt3))</f>
        <v/>
      </c>
      <c r="F1150" t="str">
        <f>IF($B1150="","",SUMIFS(dQty,dCust,$B1150,dPer,"&gt;="&amp;cyFrom,dPer,"&lt;="&amp;cyTo,dQty,"&gt;-1E+300",dFlt1,critFlt1,dFlt2,critFlt2,dFlt3,critFlt3))</f>
        <v/>
      </c>
      <c r="G1150">
        <f>IF($B1150="",0,IFERROR(IF(OR(C1150&lt;&gt;0,D1150&lt;&gt;0,E1150&lt;&gt;0,F1150&lt;&gt;0),1,0),1))</f>
        <v>0</v>
      </c>
      <c r="H1150" t="str">
        <f>IF(OR(G1150=0,E1150=0),"",C1150/E1150)</f>
        <v/>
      </c>
      <c r="I1150" t="str">
        <f>IF(OR(G1150=0,F1150=0),"",D1150/F1150)</f>
        <v/>
      </c>
      <c r="J1150" t="str">
        <f>IF(OR(H1150="",I1150=""),"",IF(H1150=0,"",I1150/H1150-1))</f>
        <v/>
      </c>
      <c r="K1150" t="str">
        <f>IF($B1150="","",IFERROR(IF(G1150=0,-2E+300,CHOOSE(sortIdx,ROUND(D1150,0),IF(J1150="",-1E+300,ROUND(-J1150,6)),IF(J1150="",-1E+300,ROUND(J1150,6)))),-1.5E+300))</f>
        <v/>
      </c>
      <c r="L1150" t="str">
        <f>IF(K1150="","",RANK(K1150,$K$2:$K$3001,0)+COUNTIF($K$2:K1150,K1150)-1)</f>
        <v/>
      </c>
    </row>
    <row r="1151">
      <c r="B1151" t="str">
        <f>IFERROR(IF(A1151="","","="&amp;SUBSTITUTE(SUBSTITUTE(SUBSTITUTE(A1151,"~","~~"),"*","~*"),"?","~?")),"")</f>
        <v/>
      </c>
      <c r="C1151" t="str">
        <f>IF($B1151="","",SUMIFS(dAmt,dCust,$B1151,dPer,"&gt;="&amp;pyFrom,dPer,"&lt;="&amp;pyTo,dAmt,"&gt;-1E+300",dFlt1,critFlt1,dFlt2,critFlt2,dFlt3,critFlt3))</f>
        <v/>
      </c>
      <c r="D1151" t="str">
        <f>IF($B1151="","",SUMIFS(dAmt,dCust,$B1151,dPer,"&gt;="&amp;cyFrom,dPer,"&lt;="&amp;cyTo,dAmt,"&gt;-1E+300",dFlt1,critFlt1,dFlt2,critFlt2,dFlt3,critFlt3))</f>
        <v/>
      </c>
      <c r="E1151" t="str">
        <f>IF($B1151="","",SUMIFS(dQty,dCust,$B1151,dPer,"&gt;="&amp;pyFrom,dPer,"&lt;="&amp;pyTo,dQty,"&gt;-1E+300",dFlt1,critFlt1,dFlt2,critFlt2,dFlt3,critFlt3))</f>
        <v/>
      </c>
      <c r="F1151" t="str">
        <f>IF($B1151="","",SUMIFS(dQty,dCust,$B1151,dPer,"&gt;="&amp;cyFrom,dPer,"&lt;="&amp;cyTo,dQty,"&gt;-1E+300",dFlt1,critFlt1,dFlt2,critFlt2,dFlt3,critFlt3))</f>
        <v/>
      </c>
      <c r="G1151">
        <f>IF($B1151="",0,IFERROR(IF(OR(C1151&lt;&gt;0,D1151&lt;&gt;0,E1151&lt;&gt;0,F1151&lt;&gt;0),1,0),1))</f>
        <v>0</v>
      </c>
      <c r="H1151" t="str">
        <f>IF(OR(G1151=0,E1151=0),"",C1151/E1151)</f>
        <v/>
      </c>
      <c r="I1151" t="str">
        <f>IF(OR(G1151=0,F1151=0),"",D1151/F1151)</f>
        <v/>
      </c>
      <c r="J1151" t="str">
        <f>IF(OR(H1151="",I1151=""),"",IF(H1151=0,"",I1151/H1151-1))</f>
        <v/>
      </c>
      <c r="K1151" t="str">
        <f>IF($B1151="","",IFERROR(IF(G1151=0,-2E+300,CHOOSE(sortIdx,ROUND(D1151,0),IF(J1151="",-1E+300,ROUND(-J1151,6)),IF(J1151="",-1E+300,ROUND(J1151,6)))),-1.5E+300))</f>
        <v/>
      </c>
      <c r="L1151" t="str">
        <f>IF(K1151="","",RANK(K1151,$K$2:$K$3001,0)+COUNTIF($K$2:K1151,K1151)-1)</f>
        <v/>
      </c>
    </row>
    <row r="1152">
      <c r="B1152" t="str">
        <f>IFERROR(IF(A1152="","","="&amp;SUBSTITUTE(SUBSTITUTE(SUBSTITUTE(A1152,"~","~~"),"*","~*"),"?","~?")),"")</f>
        <v/>
      </c>
      <c r="C1152" t="str">
        <f>IF($B1152="","",SUMIFS(dAmt,dCust,$B1152,dPer,"&gt;="&amp;pyFrom,dPer,"&lt;="&amp;pyTo,dAmt,"&gt;-1E+300",dFlt1,critFlt1,dFlt2,critFlt2,dFlt3,critFlt3))</f>
        <v/>
      </c>
      <c r="D1152" t="str">
        <f>IF($B1152="","",SUMIFS(dAmt,dCust,$B1152,dPer,"&gt;="&amp;cyFrom,dPer,"&lt;="&amp;cyTo,dAmt,"&gt;-1E+300",dFlt1,critFlt1,dFlt2,critFlt2,dFlt3,critFlt3))</f>
        <v/>
      </c>
      <c r="E1152" t="str">
        <f>IF($B1152="","",SUMIFS(dQty,dCust,$B1152,dPer,"&gt;="&amp;pyFrom,dPer,"&lt;="&amp;pyTo,dQty,"&gt;-1E+300",dFlt1,critFlt1,dFlt2,critFlt2,dFlt3,critFlt3))</f>
        <v/>
      </c>
      <c r="F1152" t="str">
        <f>IF($B1152="","",SUMIFS(dQty,dCust,$B1152,dPer,"&gt;="&amp;cyFrom,dPer,"&lt;="&amp;cyTo,dQty,"&gt;-1E+300",dFlt1,critFlt1,dFlt2,critFlt2,dFlt3,critFlt3))</f>
        <v/>
      </c>
      <c r="G1152">
        <f>IF($B1152="",0,IFERROR(IF(OR(C1152&lt;&gt;0,D1152&lt;&gt;0,E1152&lt;&gt;0,F1152&lt;&gt;0),1,0),1))</f>
        <v>0</v>
      </c>
      <c r="H1152" t="str">
        <f>IF(OR(G1152=0,E1152=0),"",C1152/E1152)</f>
        <v/>
      </c>
      <c r="I1152" t="str">
        <f>IF(OR(G1152=0,F1152=0),"",D1152/F1152)</f>
        <v/>
      </c>
      <c r="J1152" t="str">
        <f>IF(OR(H1152="",I1152=""),"",IF(H1152=0,"",I1152/H1152-1))</f>
        <v/>
      </c>
      <c r="K1152" t="str">
        <f>IF($B1152="","",IFERROR(IF(G1152=0,-2E+300,CHOOSE(sortIdx,ROUND(D1152,0),IF(J1152="",-1E+300,ROUND(-J1152,6)),IF(J1152="",-1E+300,ROUND(J1152,6)))),-1.5E+300))</f>
        <v/>
      </c>
      <c r="L1152" t="str">
        <f>IF(K1152="","",RANK(K1152,$K$2:$K$3001,0)+COUNTIF($K$2:K1152,K1152)-1)</f>
        <v/>
      </c>
    </row>
    <row r="1153">
      <c r="B1153" t="str">
        <f>IFERROR(IF(A1153="","","="&amp;SUBSTITUTE(SUBSTITUTE(SUBSTITUTE(A1153,"~","~~"),"*","~*"),"?","~?")),"")</f>
        <v/>
      </c>
      <c r="C1153" t="str">
        <f>IF($B1153="","",SUMIFS(dAmt,dCust,$B1153,dPer,"&gt;="&amp;pyFrom,dPer,"&lt;="&amp;pyTo,dAmt,"&gt;-1E+300",dFlt1,critFlt1,dFlt2,critFlt2,dFlt3,critFlt3))</f>
        <v/>
      </c>
      <c r="D1153" t="str">
        <f>IF($B1153="","",SUMIFS(dAmt,dCust,$B1153,dPer,"&gt;="&amp;cyFrom,dPer,"&lt;="&amp;cyTo,dAmt,"&gt;-1E+300",dFlt1,critFlt1,dFlt2,critFlt2,dFlt3,critFlt3))</f>
        <v/>
      </c>
      <c r="E1153" t="str">
        <f>IF($B1153="","",SUMIFS(dQty,dCust,$B1153,dPer,"&gt;="&amp;pyFrom,dPer,"&lt;="&amp;pyTo,dQty,"&gt;-1E+300",dFlt1,critFlt1,dFlt2,critFlt2,dFlt3,critFlt3))</f>
        <v/>
      </c>
      <c r="F1153" t="str">
        <f>IF($B1153="","",SUMIFS(dQty,dCust,$B1153,dPer,"&gt;="&amp;cyFrom,dPer,"&lt;="&amp;cyTo,dQty,"&gt;-1E+300",dFlt1,critFlt1,dFlt2,critFlt2,dFlt3,critFlt3))</f>
        <v/>
      </c>
      <c r="G1153">
        <f>IF($B1153="",0,IFERROR(IF(OR(C1153&lt;&gt;0,D1153&lt;&gt;0,E1153&lt;&gt;0,F1153&lt;&gt;0),1,0),1))</f>
        <v>0</v>
      </c>
      <c r="H1153" t="str">
        <f>IF(OR(G1153=0,E1153=0),"",C1153/E1153)</f>
        <v/>
      </c>
      <c r="I1153" t="str">
        <f>IF(OR(G1153=0,F1153=0),"",D1153/F1153)</f>
        <v/>
      </c>
      <c r="J1153" t="str">
        <f>IF(OR(H1153="",I1153=""),"",IF(H1153=0,"",I1153/H1153-1))</f>
        <v/>
      </c>
      <c r="K1153" t="str">
        <f>IF($B1153="","",IFERROR(IF(G1153=0,-2E+300,CHOOSE(sortIdx,ROUND(D1153,0),IF(J1153="",-1E+300,ROUND(-J1153,6)),IF(J1153="",-1E+300,ROUND(J1153,6)))),-1.5E+300))</f>
        <v/>
      </c>
      <c r="L1153" t="str">
        <f>IF(K1153="","",RANK(K1153,$K$2:$K$3001,0)+COUNTIF($K$2:K1153,K1153)-1)</f>
        <v/>
      </c>
    </row>
    <row r="1154">
      <c r="B1154" t="str">
        <f>IFERROR(IF(A1154="","","="&amp;SUBSTITUTE(SUBSTITUTE(SUBSTITUTE(A1154,"~","~~"),"*","~*"),"?","~?")),"")</f>
        <v/>
      </c>
      <c r="C1154" t="str">
        <f>IF($B1154="","",SUMIFS(dAmt,dCust,$B1154,dPer,"&gt;="&amp;pyFrom,dPer,"&lt;="&amp;pyTo,dAmt,"&gt;-1E+300",dFlt1,critFlt1,dFlt2,critFlt2,dFlt3,critFlt3))</f>
        <v/>
      </c>
      <c r="D1154" t="str">
        <f>IF($B1154="","",SUMIFS(dAmt,dCust,$B1154,dPer,"&gt;="&amp;cyFrom,dPer,"&lt;="&amp;cyTo,dAmt,"&gt;-1E+300",dFlt1,critFlt1,dFlt2,critFlt2,dFlt3,critFlt3))</f>
        <v/>
      </c>
      <c r="E1154" t="str">
        <f>IF($B1154="","",SUMIFS(dQty,dCust,$B1154,dPer,"&gt;="&amp;pyFrom,dPer,"&lt;="&amp;pyTo,dQty,"&gt;-1E+300",dFlt1,critFlt1,dFlt2,critFlt2,dFlt3,critFlt3))</f>
        <v/>
      </c>
      <c r="F1154" t="str">
        <f>IF($B1154="","",SUMIFS(dQty,dCust,$B1154,dPer,"&gt;="&amp;cyFrom,dPer,"&lt;="&amp;cyTo,dQty,"&gt;-1E+300",dFlt1,critFlt1,dFlt2,critFlt2,dFlt3,critFlt3))</f>
        <v/>
      </c>
      <c r="G1154">
        <f>IF($B1154="",0,IFERROR(IF(OR(C1154&lt;&gt;0,D1154&lt;&gt;0,E1154&lt;&gt;0,F1154&lt;&gt;0),1,0),1))</f>
        <v>0</v>
      </c>
      <c r="H1154" t="str">
        <f>IF(OR(G1154=0,E1154=0),"",C1154/E1154)</f>
        <v/>
      </c>
      <c r="I1154" t="str">
        <f>IF(OR(G1154=0,F1154=0),"",D1154/F1154)</f>
        <v/>
      </c>
      <c r="J1154" t="str">
        <f>IF(OR(H1154="",I1154=""),"",IF(H1154=0,"",I1154/H1154-1))</f>
        <v/>
      </c>
      <c r="K1154" t="str">
        <f>IF($B1154="","",IFERROR(IF(G1154=0,-2E+300,CHOOSE(sortIdx,ROUND(D1154,0),IF(J1154="",-1E+300,ROUND(-J1154,6)),IF(J1154="",-1E+300,ROUND(J1154,6)))),-1.5E+300))</f>
        <v/>
      </c>
      <c r="L1154" t="str">
        <f>IF(K1154="","",RANK(K1154,$K$2:$K$3001,0)+COUNTIF($K$2:K1154,K1154)-1)</f>
        <v/>
      </c>
    </row>
    <row r="1155">
      <c r="B1155" t="str">
        <f>IFERROR(IF(A1155="","","="&amp;SUBSTITUTE(SUBSTITUTE(SUBSTITUTE(A1155,"~","~~"),"*","~*"),"?","~?")),"")</f>
        <v/>
      </c>
      <c r="C1155" t="str">
        <f>IF($B1155="","",SUMIFS(dAmt,dCust,$B1155,dPer,"&gt;="&amp;pyFrom,dPer,"&lt;="&amp;pyTo,dAmt,"&gt;-1E+300",dFlt1,critFlt1,dFlt2,critFlt2,dFlt3,critFlt3))</f>
        <v/>
      </c>
      <c r="D1155" t="str">
        <f>IF($B1155="","",SUMIFS(dAmt,dCust,$B1155,dPer,"&gt;="&amp;cyFrom,dPer,"&lt;="&amp;cyTo,dAmt,"&gt;-1E+300",dFlt1,critFlt1,dFlt2,critFlt2,dFlt3,critFlt3))</f>
        <v/>
      </c>
      <c r="E1155" t="str">
        <f>IF($B1155="","",SUMIFS(dQty,dCust,$B1155,dPer,"&gt;="&amp;pyFrom,dPer,"&lt;="&amp;pyTo,dQty,"&gt;-1E+300",dFlt1,critFlt1,dFlt2,critFlt2,dFlt3,critFlt3))</f>
        <v/>
      </c>
      <c r="F1155" t="str">
        <f>IF($B1155="","",SUMIFS(dQty,dCust,$B1155,dPer,"&gt;="&amp;cyFrom,dPer,"&lt;="&amp;cyTo,dQty,"&gt;-1E+300",dFlt1,critFlt1,dFlt2,critFlt2,dFlt3,critFlt3))</f>
        <v/>
      </c>
      <c r="G1155">
        <f>IF($B1155="",0,IFERROR(IF(OR(C1155&lt;&gt;0,D1155&lt;&gt;0,E1155&lt;&gt;0,F1155&lt;&gt;0),1,0),1))</f>
        <v>0</v>
      </c>
      <c r="H1155" t="str">
        <f>IF(OR(G1155=0,E1155=0),"",C1155/E1155)</f>
        <v/>
      </c>
      <c r="I1155" t="str">
        <f>IF(OR(G1155=0,F1155=0),"",D1155/F1155)</f>
        <v/>
      </c>
      <c r="J1155" t="str">
        <f>IF(OR(H1155="",I1155=""),"",IF(H1155=0,"",I1155/H1155-1))</f>
        <v/>
      </c>
      <c r="K1155" t="str">
        <f>IF($B1155="","",IFERROR(IF(G1155=0,-2E+300,CHOOSE(sortIdx,ROUND(D1155,0),IF(J1155="",-1E+300,ROUND(-J1155,6)),IF(J1155="",-1E+300,ROUND(J1155,6)))),-1.5E+300))</f>
        <v/>
      </c>
      <c r="L1155" t="str">
        <f>IF(K1155="","",RANK(K1155,$K$2:$K$3001,0)+COUNTIF($K$2:K1155,K1155)-1)</f>
        <v/>
      </c>
    </row>
    <row r="1156">
      <c r="B1156" t="str">
        <f>IFERROR(IF(A1156="","","="&amp;SUBSTITUTE(SUBSTITUTE(SUBSTITUTE(A1156,"~","~~"),"*","~*"),"?","~?")),"")</f>
        <v/>
      </c>
      <c r="C1156" t="str">
        <f>IF($B1156="","",SUMIFS(dAmt,dCust,$B1156,dPer,"&gt;="&amp;pyFrom,dPer,"&lt;="&amp;pyTo,dAmt,"&gt;-1E+300",dFlt1,critFlt1,dFlt2,critFlt2,dFlt3,critFlt3))</f>
        <v/>
      </c>
      <c r="D1156" t="str">
        <f>IF($B1156="","",SUMIFS(dAmt,dCust,$B1156,dPer,"&gt;="&amp;cyFrom,dPer,"&lt;="&amp;cyTo,dAmt,"&gt;-1E+300",dFlt1,critFlt1,dFlt2,critFlt2,dFlt3,critFlt3))</f>
        <v/>
      </c>
      <c r="E1156" t="str">
        <f>IF($B1156="","",SUMIFS(dQty,dCust,$B1156,dPer,"&gt;="&amp;pyFrom,dPer,"&lt;="&amp;pyTo,dQty,"&gt;-1E+300",dFlt1,critFlt1,dFlt2,critFlt2,dFlt3,critFlt3))</f>
        <v/>
      </c>
      <c r="F1156" t="str">
        <f>IF($B1156="","",SUMIFS(dQty,dCust,$B1156,dPer,"&gt;="&amp;cyFrom,dPer,"&lt;="&amp;cyTo,dQty,"&gt;-1E+300",dFlt1,critFlt1,dFlt2,critFlt2,dFlt3,critFlt3))</f>
        <v/>
      </c>
      <c r="G1156">
        <f>IF($B1156="",0,IFERROR(IF(OR(C1156&lt;&gt;0,D1156&lt;&gt;0,E1156&lt;&gt;0,F1156&lt;&gt;0),1,0),1))</f>
        <v>0</v>
      </c>
      <c r="H1156" t="str">
        <f>IF(OR(G1156=0,E1156=0),"",C1156/E1156)</f>
        <v/>
      </c>
      <c r="I1156" t="str">
        <f>IF(OR(G1156=0,F1156=0),"",D1156/F1156)</f>
        <v/>
      </c>
      <c r="J1156" t="str">
        <f>IF(OR(H1156="",I1156=""),"",IF(H1156=0,"",I1156/H1156-1))</f>
        <v/>
      </c>
      <c r="K1156" t="str">
        <f>IF($B1156="","",IFERROR(IF(G1156=0,-2E+300,CHOOSE(sortIdx,ROUND(D1156,0),IF(J1156="",-1E+300,ROUND(-J1156,6)),IF(J1156="",-1E+300,ROUND(J1156,6)))),-1.5E+300))</f>
        <v/>
      </c>
      <c r="L1156" t="str">
        <f>IF(K1156="","",RANK(K1156,$K$2:$K$3001,0)+COUNTIF($K$2:K1156,K1156)-1)</f>
        <v/>
      </c>
    </row>
    <row r="1157">
      <c r="B1157" t="str">
        <f>IFERROR(IF(A1157="","","="&amp;SUBSTITUTE(SUBSTITUTE(SUBSTITUTE(A1157,"~","~~"),"*","~*"),"?","~?")),"")</f>
        <v/>
      </c>
      <c r="C1157" t="str">
        <f>IF($B1157="","",SUMIFS(dAmt,dCust,$B1157,dPer,"&gt;="&amp;pyFrom,dPer,"&lt;="&amp;pyTo,dAmt,"&gt;-1E+300",dFlt1,critFlt1,dFlt2,critFlt2,dFlt3,critFlt3))</f>
        <v/>
      </c>
      <c r="D1157" t="str">
        <f>IF($B1157="","",SUMIFS(dAmt,dCust,$B1157,dPer,"&gt;="&amp;cyFrom,dPer,"&lt;="&amp;cyTo,dAmt,"&gt;-1E+300",dFlt1,critFlt1,dFlt2,critFlt2,dFlt3,critFlt3))</f>
        <v/>
      </c>
      <c r="E1157" t="str">
        <f>IF($B1157="","",SUMIFS(dQty,dCust,$B1157,dPer,"&gt;="&amp;pyFrom,dPer,"&lt;="&amp;pyTo,dQty,"&gt;-1E+300",dFlt1,critFlt1,dFlt2,critFlt2,dFlt3,critFlt3))</f>
        <v/>
      </c>
      <c r="F1157" t="str">
        <f>IF($B1157="","",SUMIFS(dQty,dCust,$B1157,dPer,"&gt;="&amp;cyFrom,dPer,"&lt;="&amp;cyTo,dQty,"&gt;-1E+300",dFlt1,critFlt1,dFlt2,critFlt2,dFlt3,critFlt3))</f>
        <v/>
      </c>
      <c r="G1157">
        <f>IF($B1157="",0,IFERROR(IF(OR(C1157&lt;&gt;0,D1157&lt;&gt;0,E1157&lt;&gt;0,F1157&lt;&gt;0),1,0),1))</f>
        <v>0</v>
      </c>
      <c r="H1157" t="str">
        <f>IF(OR(G1157=0,E1157=0),"",C1157/E1157)</f>
        <v/>
      </c>
      <c r="I1157" t="str">
        <f>IF(OR(G1157=0,F1157=0),"",D1157/F1157)</f>
        <v/>
      </c>
      <c r="J1157" t="str">
        <f>IF(OR(H1157="",I1157=""),"",IF(H1157=0,"",I1157/H1157-1))</f>
        <v/>
      </c>
      <c r="K1157" t="str">
        <f>IF($B1157="","",IFERROR(IF(G1157=0,-2E+300,CHOOSE(sortIdx,ROUND(D1157,0),IF(J1157="",-1E+300,ROUND(-J1157,6)),IF(J1157="",-1E+300,ROUND(J1157,6)))),-1.5E+300))</f>
        <v/>
      </c>
      <c r="L1157" t="str">
        <f>IF(K1157="","",RANK(K1157,$K$2:$K$3001,0)+COUNTIF($K$2:K1157,K1157)-1)</f>
        <v/>
      </c>
    </row>
    <row r="1158">
      <c r="B1158" t="str">
        <f>IFERROR(IF(A1158="","","="&amp;SUBSTITUTE(SUBSTITUTE(SUBSTITUTE(A1158,"~","~~"),"*","~*"),"?","~?")),"")</f>
        <v/>
      </c>
      <c r="C1158" t="str">
        <f>IF($B1158="","",SUMIFS(dAmt,dCust,$B1158,dPer,"&gt;="&amp;pyFrom,dPer,"&lt;="&amp;pyTo,dAmt,"&gt;-1E+300",dFlt1,critFlt1,dFlt2,critFlt2,dFlt3,critFlt3))</f>
        <v/>
      </c>
      <c r="D1158" t="str">
        <f>IF($B1158="","",SUMIFS(dAmt,dCust,$B1158,dPer,"&gt;="&amp;cyFrom,dPer,"&lt;="&amp;cyTo,dAmt,"&gt;-1E+300",dFlt1,critFlt1,dFlt2,critFlt2,dFlt3,critFlt3))</f>
        <v/>
      </c>
      <c r="E1158" t="str">
        <f>IF($B1158="","",SUMIFS(dQty,dCust,$B1158,dPer,"&gt;="&amp;pyFrom,dPer,"&lt;="&amp;pyTo,dQty,"&gt;-1E+300",dFlt1,critFlt1,dFlt2,critFlt2,dFlt3,critFlt3))</f>
        <v/>
      </c>
      <c r="F1158" t="str">
        <f>IF($B1158="","",SUMIFS(dQty,dCust,$B1158,dPer,"&gt;="&amp;cyFrom,dPer,"&lt;="&amp;cyTo,dQty,"&gt;-1E+300",dFlt1,critFlt1,dFlt2,critFlt2,dFlt3,critFlt3))</f>
        <v/>
      </c>
      <c r="G1158">
        <f>IF($B1158="",0,IFERROR(IF(OR(C1158&lt;&gt;0,D1158&lt;&gt;0,E1158&lt;&gt;0,F1158&lt;&gt;0),1,0),1))</f>
        <v>0</v>
      </c>
      <c r="H1158" t="str">
        <f>IF(OR(G1158=0,E1158=0),"",C1158/E1158)</f>
        <v/>
      </c>
      <c r="I1158" t="str">
        <f>IF(OR(G1158=0,F1158=0),"",D1158/F1158)</f>
        <v/>
      </c>
      <c r="J1158" t="str">
        <f>IF(OR(H1158="",I1158=""),"",IF(H1158=0,"",I1158/H1158-1))</f>
        <v/>
      </c>
      <c r="K1158" t="str">
        <f>IF($B1158="","",IFERROR(IF(G1158=0,-2E+300,CHOOSE(sortIdx,ROUND(D1158,0),IF(J1158="",-1E+300,ROUND(-J1158,6)),IF(J1158="",-1E+300,ROUND(J1158,6)))),-1.5E+300))</f>
        <v/>
      </c>
      <c r="L1158" t="str">
        <f>IF(K1158="","",RANK(K1158,$K$2:$K$3001,0)+COUNTIF($K$2:K1158,K1158)-1)</f>
        <v/>
      </c>
    </row>
    <row r="1159">
      <c r="B1159" t="str">
        <f>IFERROR(IF(A1159="","","="&amp;SUBSTITUTE(SUBSTITUTE(SUBSTITUTE(A1159,"~","~~"),"*","~*"),"?","~?")),"")</f>
        <v/>
      </c>
      <c r="C1159" t="str">
        <f>IF($B1159="","",SUMIFS(dAmt,dCust,$B1159,dPer,"&gt;="&amp;pyFrom,dPer,"&lt;="&amp;pyTo,dAmt,"&gt;-1E+300",dFlt1,critFlt1,dFlt2,critFlt2,dFlt3,critFlt3))</f>
        <v/>
      </c>
      <c r="D1159" t="str">
        <f>IF($B1159="","",SUMIFS(dAmt,dCust,$B1159,dPer,"&gt;="&amp;cyFrom,dPer,"&lt;="&amp;cyTo,dAmt,"&gt;-1E+300",dFlt1,critFlt1,dFlt2,critFlt2,dFlt3,critFlt3))</f>
        <v/>
      </c>
      <c r="E1159" t="str">
        <f>IF($B1159="","",SUMIFS(dQty,dCust,$B1159,dPer,"&gt;="&amp;pyFrom,dPer,"&lt;="&amp;pyTo,dQty,"&gt;-1E+300",dFlt1,critFlt1,dFlt2,critFlt2,dFlt3,critFlt3))</f>
        <v/>
      </c>
      <c r="F1159" t="str">
        <f>IF($B1159="","",SUMIFS(dQty,dCust,$B1159,dPer,"&gt;="&amp;cyFrom,dPer,"&lt;="&amp;cyTo,dQty,"&gt;-1E+300",dFlt1,critFlt1,dFlt2,critFlt2,dFlt3,critFlt3))</f>
        <v/>
      </c>
      <c r="G1159">
        <f>IF($B1159="",0,IFERROR(IF(OR(C1159&lt;&gt;0,D1159&lt;&gt;0,E1159&lt;&gt;0,F1159&lt;&gt;0),1,0),1))</f>
        <v>0</v>
      </c>
      <c r="H1159" t="str">
        <f>IF(OR(G1159=0,E1159=0),"",C1159/E1159)</f>
        <v/>
      </c>
      <c r="I1159" t="str">
        <f>IF(OR(G1159=0,F1159=0),"",D1159/F1159)</f>
        <v/>
      </c>
      <c r="J1159" t="str">
        <f>IF(OR(H1159="",I1159=""),"",IF(H1159=0,"",I1159/H1159-1))</f>
        <v/>
      </c>
      <c r="K1159" t="str">
        <f>IF($B1159="","",IFERROR(IF(G1159=0,-2E+300,CHOOSE(sortIdx,ROUND(D1159,0),IF(J1159="",-1E+300,ROUND(-J1159,6)),IF(J1159="",-1E+300,ROUND(J1159,6)))),-1.5E+300))</f>
        <v/>
      </c>
      <c r="L1159" t="str">
        <f>IF(K1159="","",RANK(K1159,$K$2:$K$3001,0)+COUNTIF($K$2:K1159,K1159)-1)</f>
        <v/>
      </c>
    </row>
    <row r="1160">
      <c r="B1160" t="str">
        <f>IFERROR(IF(A1160="","","="&amp;SUBSTITUTE(SUBSTITUTE(SUBSTITUTE(A1160,"~","~~"),"*","~*"),"?","~?")),"")</f>
        <v/>
      </c>
      <c r="C1160" t="str">
        <f>IF($B1160="","",SUMIFS(dAmt,dCust,$B1160,dPer,"&gt;="&amp;pyFrom,dPer,"&lt;="&amp;pyTo,dAmt,"&gt;-1E+300",dFlt1,critFlt1,dFlt2,critFlt2,dFlt3,critFlt3))</f>
        <v/>
      </c>
      <c r="D1160" t="str">
        <f>IF($B1160="","",SUMIFS(dAmt,dCust,$B1160,dPer,"&gt;="&amp;cyFrom,dPer,"&lt;="&amp;cyTo,dAmt,"&gt;-1E+300",dFlt1,critFlt1,dFlt2,critFlt2,dFlt3,critFlt3))</f>
        <v/>
      </c>
      <c r="E1160" t="str">
        <f>IF($B1160="","",SUMIFS(dQty,dCust,$B1160,dPer,"&gt;="&amp;pyFrom,dPer,"&lt;="&amp;pyTo,dQty,"&gt;-1E+300",dFlt1,critFlt1,dFlt2,critFlt2,dFlt3,critFlt3))</f>
        <v/>
      </c>
      <c r="F1160" t="str">
        <f>IF($B1160="","",SUMIFS(dQty,dCust,$B1160,dPer,"&gt;="&amp;cyFrom,dPer,"&lt;="&amp;cyTo,dQty,"&gt;-1E+300",dFlt1,critFlt1,dFlt2,critFlt2,dFlt3,critFlt3))</f>
        <v/>
      </c>
      <c r="G1160">
        <f>IF($B1160="",0,IFERROR(IF(OR(C1160&lt;&gt;0,D1160&lt;&gt;0,E1160&lt;&gt;0,F1160&lt;&gt;0),1,0),1))</f>
        <v>0</v>
      </c>
      <c r="H1160" t="str">
        <f>IF(OR(G1160=0,E1160=0),"",C1160/E1160)</f>
        <v/>
      </c>
      <c r="I1160" t="str">
        <f>IF(OR(G1160=0,F1160=0),"",D1160/F1160)</f>
        <v/>
      </c>
      <c r="J1160" t="str">
        <f>IF(OR(H1160="",I1160=""),"",IF(H1160=0,"",I1160/H1160-1))</f>
        <v/>
      </c>
      <c r="K1160" t="str">
        <f>IF($B1160="","",IFERROR(IF(G1160=0,-2E+300,CHOOSE(sortIdx,ROUND(D1160,0),IF(J1160="",-1E+300,ROUND(-J1160,6)),IF(J1160="",-1E+300,ROUND(J1160,6)))),-1.5E+300))</f>
        <v/>
      </c>
      <c r="L1160" t="str">
        <f>IF(K1160="","",RANK(K1160,$K$2:$K$3001,0)+COUNTIF($K$2:K1160,K1160)-1)</f>
        <v/>
      </c>
    </row>
    <row r="1161">
      <c r="B1161" t="str">
        <f>IFERROR(IF(A1161="","","="&amp;SUBSTITUTE(SUBSTITUTE(SUBSTITUTE(A1161,"~","~~"),"*","~*"),"?","~?")),"")</f>
        <v/>
      </c>
      <c r="C1161" t="str">
        <f>IF($B1161="","",SUMIFS(dAmt,dCust,$B1161,dPer,"&gt;="&amp;pyFrom,dPer,"&lt;="&amp;pyTo,dAmt,"&gt;-1E+300",dFlt1,critFlt1,dFlt2,critFlt2,dFlt3,critFlt3))</f>
        <v/>
      </c>
      <c r="D1161" t="str">
        <f>IF($B1161="","",SUMIFS(dAmt,dCust,$B1161,dPer,"&gt;="&amp;cyFrom,dPer,"&lt;="&amp;cyTo,dAmt,"&gt;-1E+300",dFlt1,critFlt1,dFlt2,critFlt2,dFlt3,critFlt3))</f>
        <v/>
      </c>
      <c r="E1161" t="str">
        <f>IF($B1161="","",SUMIFS(dQty,dCust,$B1161,dPer,"&gt;="&amp;pyFrom,dPer,"&lt;="&amp;pyTo,dQty,"&gt;-1E+300",dFlt1,critFlt1,dFlt2,critFlt2,dFlt3,critFlt3))</f>
        <v/>
      </c>
      <c r="F1161" t="str">
        <f>IF($B1161="","",SUMIFS(dQty,dCust,$B1161,dPer,"&gt;="&amp;cyFrom,dPer,"&lt;="&amp;cyTo,dQty,"&gt;-1E+300",dFlt1,critFlt1,dFlt2,critFlt2,dFlt3,critFlt3))</f>
        <v/>
      </c>
      <c r="G1161">
        <f>IF($B1161="",0,IFERROR(IF(OR(C1161&lt;&gt;0,D1161&lt;&gt;0,E1161&lt;&gt;0,F1161&lt;&gt;0),1,0),1))</f>
        <v>0</v>
      </c>
      <c r="H1161" t="str">
        <f>IF(OR(G1161=0,E1161=0),"",C1161/E1161)</f>
        <v/>
      </c>
      <c r="I1161" t="str">
        <f>IF(OR(G1161=0,F1161=0),"",D1161/F1161)</f>
        <v/>
      </c>
      <c r="J1161" t="str">
        <f>IF(OR(H1161="",I1161=""),"",IF(H1161=0,"",I1161/H1161-1))</f>
        <v/>
      </c>
      <c r="K1161" t="str">
        <f>IF($B1161="","",IFERROR(IF(G1161=0,-2E+300,CHOOSE(sortIdx,ROUND(D1161,0),IF(J1161="",-1E+300,ROUND(-J1161,6)),IF(J1161="",-1E+300,ROUND(J1161,6)))),-1.5E+300))</f>
        <v/>
      </c>
      <c r="L1161" t="str">
        <f>IF(K1161="","",RANK(K1161,$K$2:$K$3001,0)+COUNTIF($K$2:K1161,K1161)-1)</f>
        <v/>
      </c>
    </row>
    <row r="1162">
      <c r="B1162" t="str">
        <f>IFERROR(IF(A1162="","","="&amp;SUBSTITUTE(SUBSTITUTE(SUBSTITUTE(A1162,"~","~~"),"*","~*"),"?","~?")),"")</f>
        <v/>
      </c>
      <c r="C1162" t="str">
        <f>IF($B1162="","",SUMIFS(dAmt,dCust,$B1162,dPer,"&gt;="&amp;pyFrom,dPer,"&lt;="&amp;pyTo,dAmt,"&gt;-1E+300",dFlt1,critFlt1,dFlt2,critFlt2,dFlt3,critFlt3))</f>
        <v/>
      </c>
      <c r="D1162" t="str">
        <f>IF($B1162="","",SUMIFS(dAmt,dCust,$B1162,dPer,"&gt;="&amp;cyFrom,dPer,"&lt;="&amp;cyTo,dAmt,"&gt;-1E+300",dFlt1,critFlt1,dFlt2,critFlt2,dFlt3,critFlt3))</f>
        <v/>
      </c>
      <c r="E1162" t="str">
        <f>IF($B1162="","",SUMIFS(dQty,dCust,$B1162,dPer,"&gt;="&amp;pyFrom,dPer,"&lt;="&amp;pyTo,dQty,"&gt;-1E+300",dFlt1,critFlt1,dFlt2,critFlt2,dFlt3,critFlt3))</f>
        <v/>
      </c>
      <c r="F1162" t="str">
        <f>IF($B1162="","",SUMIFS(dQty,dCust,$B1162,dPer,"&gt;="&amp;cyFrom,dPer,"&lt;="&amp;cyTo,dQty,"&gt;-1E+300",dFlt1,critFlt1,dFlt2,critFlt2,dFlt3,critFlt3))</f>
        <v/>
      </c>
      <c r="G1162">
        <f>IF($B1162="",0,IFERROR(IF(OR(C1162&lt;&gt;0,D1162&lt;&gt;0,E1162&lt;&gt;0,F1162&lt;&gt;0),1,0),1))</f>
        <v>0</v>
      </c>
      <c r="H1162" t="str">
        <f>IF(OR(G1162=0,E1162=0),"",C1162/E1162)</f>
        <v/>
      </c>
      <c r="I1162" t="str">
        <f>IF(OR(G1162=0,F1162=0),"",D1162/F1162)</f>
        <v/>
      </c>
      <c r="J1162" t="str">
        <f>IF(OR(H1162="",I1162=""),"",IF(H1162=0,"",I1162/H1162-1))</f>
        <v/>
      </c>
      <c r="K1162" t="str">
        <f>IF($B1162="","",IFERROR(IF(G1162=0,-2E+300,CHOOSE(sortIdx,ROUND(D1162,0),IF(J1162="",-1E+300,ROUND(-J1162,6)),IF(J1162="",-1E+300,ROUND(J1162,6)))),-1.5E+300))</f>
        <v/>
      </c>
      <c r="L1162" t="str">
        <f>IF(K1162="","",RANK(K1162,$K$2:$K$3001,0)+COUNTIF($K$2:K1162,K1162)-1)</f>
        <v/>
      </c>
    </row>
    <row r="1163">
      <c r="B1163" t="str">
        <f>IFERROR(IF(A1163="","","="&amp;SUBSTITUTE(SUBSTITUTE(SUBSTITUTE(A1163,"~","~~"),"*","~*"),"?","~?")),"")</f>
        <v/>
      </c>
      <c r="C1163" t="str">
        <f>IF($B1163="","",SUMIFS(dAmt,dCust,$B1163,dPer,"&gt;="&amp;pyFrom,dPer,"&lt;="&amp;pyTo,dAmt,"&gt;-1E+300",dFlt1,critFlt1,dFlt2,critFlt2,dFlt3,critFlt3))</f>
        <v/>
      </c>
      <c r="D1163" t="str">
        <f>IF($B1163="","",SUMIFS(dAmt,dCust,$B1163,dPer,"&gt;="&amp;cyFrom,dPer,"&lt;="&amp;cyTo,dAmt,"&gt;-1E+300",dFlt1,critFlt1,dFlt2,critFlt2,dFlt3,critFlt3))</f>
        <v/>
      </c>
      <c r="E1163" t="str">
        <f>IF($B1163="","",SUMIFS(dQty,dCust,$B1163,dPer,"&gt;="&amp;pyFrom,dPer,"&lt;="&amp;pyTo,dQty,"&gt;-1E+300",dFlt1,critFlt1,dFlt2,critFlt2,dFlt3,critFlt3))</f>
        <v/>
      </c>
      <c r="F1163" t="str">
        <f>IF($B1163="","",SUMIFS(dQty,dCust,$B1163,dPer,"&gt;="&amp;cyFrom,dPer,"&lt;="&amp;cyTo,dQty,"&gt;-1E+300",dFlt1,critFlt1,dFlt2,critFlt2,dFlt3,critFlt3))</f>
        <v/>
      </c>
      <c r="G1163">
        <f>IF($B1163="",0,IFERROR(IF(OR(C1163&lt;&gt;0,D1163&lt;&gt;0,E1163&lt;&gt;0,F1163&lt;&gt;0),1,0),1))</f>
        <v>0</v>
      </c>
      <c r="H1163" t="str">
        <f>IF(OR(G1163=0,E1163=0),"",C1163/E1163)</f>
        <v/>
      </c>
      <c r="I1163" t="str">
        <f>IF(OR(G1163=0,F1163=0),"",D1163/F1163)</f>
        <v/>
      </c>
      <c r="J1163" t="str">
        <f>IF(OR(H1163="",I1163=""),"",IF(H1163=0,"",I1163/H1163-1))</f>
        <v/>
      </c>
      <c r="K1163" t="str">
        <f>IF($B1163="","",IFERROR(IF(G1163=0,-2E+300,CHOOSE(sortIdx,ROUND(D1163,0),IF(J1163="",-1E+300,ROUND(-J1163,6)),IF(J1163="",-1E+300,ROUND(J1163,6)))),-1.5E+300))</f>
        <v/>
      </c>
      <c r="L1163" t="str">
        <f>IF(K1163="","",RANK(K1163,$K$2:$K$3001,0)+COUNTIF($K$2:K1163,K1163)-1)</f>
        <v/>
      </c>
    </row>
    <row r="1164">
      <c r="B1164" t="str">
        <f>IFERROR(IF(A1164="","","="&amp;SUBSTITUTE(SUBSTITUTE(SUBSTITUTE(A1164,"~","~~"),"*","~*"),"?","~?")),"")</f>
        <v/>
      </c>
      <c r="C1164" t="str">
        <f>IF($B1164="","",SUMIFS(dAmt,dCust,$B1164,dPer,"&gt;="&amp;pyFrom,dPer,"&lt;="&amp;pyTo,dAmt,"&gt;-1E+300",dFlt1,critFlt1,dFlt2,critFlt2,dFlt3,critFlt3))</f>
        <v/>
      </c>
      <c r="D1164" t="str">
        <f>IF($B1164="","",SUMIFS(dAmt,dCust,$B1164,dPer,"&gt;="&amp;cyFrom,dPer,"&lt;="&amp;cyTo,dAmt,"&gt;-1E+300",dFlt1,critFlt1,dFlt2,critFlt2,dFlt3,critFlt3))</f>
        <v/>
      </c>
      <c r="E1164" t="str">
        <f>IF($B1164="","",SUMIFS(dQty,dCust,$B1164,dPer,"&gt;="&amp;pyFrom,dPer,"&lt;="&amp;pyTo,dQty,"&gt;-1E+300",dFlt1,critFlt1,dFlt2,critFlt2,dFlt3,critFlt3))</f>
        <v/>
      </c>
      <c r="F1164" t="str">
        <f>IF($B1164="","",SUMIFS(dQty,dCust,$B1164,dPer,"&gt;="&amp;cyFrom,dPer,"&lt;="&amp;cyTo,dQty,"&gt;-1E+300",dFlt1,critFlt1,dFlt2,critFlt2,dFlt3,critFlt3))</f>
        <v/>
      </c>
      <c r="G1164">
        <f>IF($B1164="",0,IFERROR(IF(OR(C1164&lt;&gt;0,D1164&lt;&gt;0,E1164&lt;&gt;0,F1164&lt;&gt;0),1,0),1))</f>
        <v>0</v>
      </c>
      <c r="H1164" t="str">
        <f>IF(OR(G1164=0,E1164=0),"",C1164/E1164)</f>
        <v/>
      </c>
      <c r="I1164" t="str">
        <f>IF(OR(G1164=0,F1164=0),"",D1164/F1164)</f>
        <v/>
      </c>
      <c r="J1164" t="str">
        <f>IF(OR(H1164="",I1164=""),"",IF(H1164=0,"",I1164/H1164-1))</f>
        <v/>
      </c>
      <c r="K1164" t="str">
        <f>IF($B1164="","",IFERROR(IF(G1164=0,-2E+300,CHOOSE(sortIdx,ROUND(D1164,0),IF(J1164="",-1E+300,ROUND(-J1164,6)),IF(J1164="",-1E+300,ROUND(J1164,6)))),-1.5E+300))</f>
        <v/>
      </c>
      <c r="L1164" t="str">
        <f>IF(K1164="","",RANK(K1164,$K$2:$K$3001,0)+COUNTIF($K$2:K1164,K1164)-1)</f>
        <v/>
      </c>
    </row>
    <row r="1165">
      <c r="B1165" t="str">
        <f>IFERROR(IF(A1165="","","="&amp;SUBSTITUTE(SUBSTITUTE(SUBSTITUTE(A1165,"~","~~"),"*","~*"),"?","~?")),"")</f>
        <v/>
      </c>
      <c r="C1165" t="str">
        <f>IF($B1165="","",SUMIFS(dAmt,dCust,$B1165,dPer,"&gt;="&amp;pyFrom,dPer,"&lt;="&amp;pyTo,dAmt,"&gt;-1E+300",dFlt1,critFlt1,dFlt2,critFlt2,dFlt3,critFlt3))</f>
        <v/>
      </c>
      <c r="D1165" t="str">
        <f>IF($B1165="","",SUMIFS(dAmt,dCust,$B1165,dPer,"&gt;="&amp;cyFrom,dPer,"&lt;="&amp;cyTo,dAmt,"&gt;-1E+300",dFlt1,critFlt1,dFlt2,critFlt2,dFlt3,critFlt3))</f>
        <v/>
      </c>
      <c r="E1165" t="str">
        <f>IF($B1165="","",SUMIFS(dQty,dCust,$B1165,dPer,"&gt;="&amp;pyFrom,dPer,"&lt;="&amp;pyTo,dQty,"&gt;-1E+300",dFlt1,critFlt1,dFlt2,critFlt2,dFlt3,critFlt3))</f>
        <v/>
      </c>
      <c r="F1165" t="str">
        <f>IF($B1165="","",SUMIFS(dQty,dCust,$B1165,dPer,"&gt;="&amp;cyFrom,dPer,"&lt;="&amp;cyTo,dQty,"&gt;-1E+300",dFlt1,critFlt1,dFlt2,critFlt2,dFlt3,critFlt3))</f>
        <v/>
      </c>
      <c r="G1165">
        <f>IF($B1165="",0,IFERROR(IF(OR(C1165&lt;&gt;0,D1165&lt;&gt;0,E1165&lt;&gt;0,F1165&lt;&gt;0),1,0),1))</f>
        <v>0</v>
      </c>
      <c r="H1165" t="str">
        <f>IF(OR(G1165=0,E1165=0),"",C1165/E1165)</f>
        <v/>
      </c>
      <c r="I1165" t="str">
        <f>IF(OR(G1165=0,F1165=0),"",D1165/F1165)</f>
        <v/>
      </c>
      <c r="J1165" t="str">
        <f>IF(OR(H1165="",I1165=""),"",IF(H1165=0,"",I1165/H1165-1))</f>
        <v/>
      </c>
      <c r="K1165" t="str">
        <f>IF($B1165="","",IFERROR(IF(G1165=0,-2E+300,CHOOSE(sortIdx,ROUND(D1165,0),IF(J1165="",-1E+300,ROUND(-J1165,6)),IF(J1165="",-1E+300,ROUND(J1165,6)))),-1.5E+300))</f>
        <v/>
      </c>
      <c r="L1165" t="str">
        <f>IF(K1165="","",RANK(K1165,$K$2:$K$3001,0)+COUNTIF($K$2:K1165,K1165)-1)</f>
        <v/>
      </c>
    </row>
    <row r="1166">
      <c r="B1166" t="str">
        <f>IFERROR(IF(A1166="","","="&amp;SUBSTITUTE(SUBSTITUTE(SUBSTITUTE(A1166,"~","~~"),"*","~*"),"?","~?")),"")</f>
        <v/>
      </c>
      <c r="C1166" t="str">
        <f>IF($B1166="","",SUMIFS(dAmt,dCust,$B1166,dPer,"&gt;="&amp;pyFrom,dPer,"&lt;="&amp;pyTo,dAmt,"&gt;-1E+300",dFlt1,critFlt1,dFlt2,critFlt2,dFlt3,critFlt3))</f>
        <v/>
      </c>
      <c r="D1166" t="str">
        <f>IF($B1166="","",SUMIFS(dAmt,dCust,$B1166,dPer,"&gt;="&amp;cyFrom,dPer,"&lt;="&amp;cyTo,dAmt,"&gt;-1E+300",dFlt1,critFlt1,dFlt2,critFlt2,dFlt3,critFlt3))</f>
        <v/>
      </c>
      <c r="E1166" t="str">
        <f>IF($B1166="","",SUMIFS(dQty,dCust,$B1166,dPer,"&gt;="&amp;pyFrom,dPer,"&lt;="&amp;pyTo,dQty,"&gt;-1E+300",dFlt1,critFlt1,dFlt2,critFlt2,dFlt3,critFlt3))</f>
        <v/>
      </c>
      <c r="F1166" t="str">
        <f>IF($B1166="","",SUMIFS(dQty,dCust,$B1166,dPer,"&gt;="&amp;cyFrom,dPer,"&lt;="&amp;cyTo,dQty,"&gt;-1E+300",dFlt1,critFlt1,dFlt2,critFlt2,dFlt3,critFlt3))</f>
        <v/>
      </c>
      <c r="G1166">
        <f>IF($B1166="",0,IFERROR(IF(OR(C1166&lt;&gt;0,D1166&lt;&gt;0,E1166&lt;&gt;0,F1166&lt;&gt;0),1,0),1))</f>
        <v>0</v>
      </c>
      <c r="H1166" t="str">
        <f>IF(OR(G1166=0,E1166=0),"",C1166/E1166)</f>
        <v/>
      </c>
      <c r="I1166" t="str">
        <f>IF(OR(G1166=0,F1166=0),"",D1166/F1166)</f>
        <v/>
      </c>
      <c r="J1166" t="str">
        <f>IF(OR(H1166="",I1166=""),"",IF(H1166=0,"",I1166/H1166-1))</f>
        <v/>
      </c>
      <c r="K1166" t="str">
        <f>IF($B1166="","",IFERROR(IF(G1166=0,-2E+300,CHOOSE(sortIdx,ROUND(D1166,0),IF(J1166="",-1E+300,ROUND(-J1166,6)),IF(J1166="",-1E+300,ROUND(J1166,6)))),-1.5E+300))</f>
        <v/>
      </c>
      <c r="L1166" t="str">
        <f>IF(K1166="","",RANK(K1166,$K$2:$K$3001,0)+COUNTIF($K$2:K1166,K1166)-1)</f>
        <v/>
      </c>
    </row>
    <row r="1167">
      <c r="B1167" t="str">
        <f>IFERROR(IF(A1167="","","="&amp;SUBSTITUTE(SUBSTITUTE(SUBSTITUTE(A1167,"~","~~"),"*","~*"),"?","~?")),"")</f>
        <v/>
      </c>
      <c r="C1167" t="str">
        <f>IF($B1167="","",SUMIFS(dAmt,dCust,$B1167,dPer,"&gt;="&amp;pyFrom,dPer,"&lt;="&amp;pyTo,dAmt,"&gt;-1E+300",dFlt1,critFlt1,dFlt2,critFlt2,dFlt3,critFlt3))</f>
        <v/>
      </c>
      <c r="D1167" t="str">
        <f>IF($B1167="","",SUMIFS(dAmt,dCust,$B1167,dPer,"&gt;="&amp;cyFrom,dPer,"&lt;="&amp;cyTo,dAmt,"&gt;-1E+300",dFlt1,critFlt1,dFlt2,critFlt2,dFlt3,critFlt3))</f>
        <v/>
      </c>
      <c r="E1167" t="str">
        <f>IF($B1167="","",SUMIFS(dQty,dCust,$B1167,dPer,"&gt;="&amp;pyFrom,dPer,"&lt;="&amp;pyTo,dQty,"&gt;-1E+300",dFlt1,critFlt1,dFlt2,critFlt2,dFlt3,critFlt3))</f>
        <v/>
      </c>
      <c r="F1167" t="str">
        <f>IF($B1167="","",SUMIFS(dQty,dCust,$B1167,dPer,"&gt;="&amp;cyFrom,dPer,"&lt;="&amp;cyTo,dQty,"&gt;-1E+300",dFlt1,critFlt1,dFlt2,critFlt2,dFlt3,critFlt3))</f>
        <v/>
      </c>
      <c r="G1167">
        <f>IF($B1167="",0,IFERROR(IF(OR(C1167&lt;&gt;0,D1167&lt;&gt;0,E1167&lt;&gt;0,F1167&lt;&gt;0),1,0),1))</f>
        <v>0</v>
      </c>
      <c r="H1167" t="str">
        <f>IF(OR(G1167=0,E1167=0),"",C1167/E1167)</f>
        <v/>
      </c>
      <c r="I1167" t="str">
        <f>IF(OR(G1167=0,F1167=0),"",D1167/F1167)</f>
        <v/>
      </c>
      <c r="J1167" t="str">
        <f>IF(OR(H1167="",I1167=""),"",IF(H1167=0,"",I1167/H1167-1))</f>
        <v/>
      </c>
      <c r="K1167" t="str">
        <f>IF($B1167="","",IFERROR(IF(G1167=0,-2E+300,CHOOSE(sortIdx,ROUND(D1167,0),IF(J1167="",-1E+300,ROUND(-J1167,6)),IF(J1167="",-1E+300,ROUND(J1167,6)))),-1.5E+300))</f>
        <v/>
      </c>
      <c r="L1167" t="str">
        <f>IF(K1167="","",RANK(K1167,$K$2:$K$3001,0)+COUNTIF($K$2:K1167,K1167)-1)</f>
        <v/>
      </c>
    </row>
    <row r="1168">
      <c r="B1168" t="str">
        <f>IFERROR(IF(A1168="","","="&amp;SUBSTITUTE(SUBSTITUTE(SUBSTITUTE(A1168,"~","~~"),"*","~*"),"?","~?")),"")</f>
        <v/>
      </c>
      <c r="C1168" t="str">
        <f>IF($B1168="","",SUMIFS(dAmt,dCust,$B1168,dPer,"&gt;="&amp;pyFrom,dPer,"&lt;="&amp;pyTo,dAmt,"&gt;-1E+300",dFlt1,critFlt1,dFlt2,critFlt2,dFlt3,critFlt3))</f>
        <v/>
      </c>
      <c r="D1168" t="str">
        <f>IF($B1168="","",SUMIFS(dAmt,dCust,$B1168,dPer,"&gt;="&amp;cyFrom,dPer,"&lt;="&amp;cyTo,dAmt,"&gt;-1E+300",dFlt1,critFlt1,dFlt2,critFlt2,dFlt3,critFlt3))</f>
        <v/>
      </c>
      <c r="E1168" t="str">
        <f>IF($B1168="","",SUMIFS(dQty,dCust,$B1168,dPer,"&gt;="&amp;pyFrom,dPer,"&lt;="&amp;pyTo,dQty,"&gt;-1E+300",dFlt1,critFlt1,dFlt2,critFlt2,dFlt3,critFlt3))</f>
        <v/>
      </c>
      <c r="F1168" t="str">
        <f>IF($B1168="","",SUMIFS(dQty,dCust,$B1168,dPer,"&gt;="&amp;cyFrom,dPer,"&lt;="&amp;cyTo,dQty,"&gt;-1E+300",dFlt1,critFlt1,dFlt2,critFlt2,dFlt3,critFlt3))</f>
        <v/>
      </c>
      <c r="G1168">
        <f>IF($B1168="",0,IFERROR(IF(OR(C1168&lt;&gt;0,D1168&lt;&gt;0,E1168&lt;&gt;0,F1168&lt;&gt;0),1,0),1))</f>
        <v>0</v>
      </c>
      <c r="H1168" t="str">
        <f>IF(OR(G1168=0,E1168=0),"",C1168/E1168)</f>
        <v/>
      </c>
      <c r="I1168" t="str">
        <f>IF(OR(G1168=0,F1168=0),"",D1168/F1168)</f>
        <v/>
      </c>
      <c r="J1168" t="str">
        <f>IF(OR(H1168="",I1168=""),"",IF(H1168=0,"",I1168/H1168-1))</f>
        <v/>
      </c>
      <c r="K1168" t="str">
        <f>IF($B1168="","",IFERROR(IF(G1168=0,-2E+300,CHOOSE(sortIdx,ROUND(D1168,0),IF(J1168="",-1E+300,ROUND(-J1168,6)),IF(J1168="",-1E+300,ROUND(J1168,6)))),-1.5E+300))</f>
        <v/>
      </c>
      <c r="L1168" t="str">
        <f>IF(K1168="","",RANK(K1168,$K$2:$K$3001,0)+COUNTIF($K$2:K1168,K1168)-1)</f>
        <v/>
      </c>
    </row>
    <row r="1169">
      <c r="B1169" t="str">
        <f>IFERROR(IF(A1169="","","="&amp;SUBSTITUTE(SUBSTITUTE(SUBSTITUTE(A1169,"~","~~"),"*","~*"),"?","~?")),"")</f>
        <v/>
      </c>
      <c r="C1169" t="str">
        <f>IF($B1169="","",SUMIFS(dAmt,dCust,$B1169,dPer,"&gt;="&amp;pyFrom,dPer,"&lt;="&amp;pyTo,dAmt,"&gt;-1E+300",dFlt1,critFlt1,dFlt2,critFlt2,dFlt3,critFlt3))</f>
        <v/>
      </c>
      <c r="D1169" t="str">
        <f>IF($B1169="","",SUMIFS(dAmt,dCust,$B1169,dPer,"&gt;="&amp;cyFrom,dPer,"&lt;="&amp;cyTo,dAmt,"&gt;-1E+300",dFlt1,critFlt1,dFlt2,critFlt2,dFlt3,critFlt3))</f>
        <v/>
      </c>
      <c r="E1169" t="str">
        <f>IF($B1169="","",SUMIFS(dQty,dCust,$B1169,dPer,"&gt;="&amp;pyFrom,dPer,"&lt;="&amp;pyTo,dQty,"&gt;-1E+300",dFlt1,critFlt1,dFlt2,critFlt2,dFlt3,critFlt3))</f>
        <v/>
      </c>
      <c r="F1169" t="str">
        <f>IF($B1169="","",SUMIFS(dQty,dCust,$B1169,dPer,"&gt;="&amp;cyFrom,dPer,"&lt;="&amp;cyTo,dQty,"&gt;-1E+300",dFlt1,critFlt1,dFlt2,critFlt2,dFlt3,critFlt3))</f>
        <v/>
      </c>
      <c r="G1169">
        <f>IF($B1169="",0,IFERROR(IF(OR(C1169&lt;&gt;0,D1169&lt;&gt;0,E1169&lt;&gt;0,F1169&lt;&gt;0),1,0),1))</f>
        <v>0</v>
      </c>
      <c r="H1169" t="str">
        <f>IF(OR(G1169=0,E1169=0),"",C1169/E1169)</f>
        <v/>
      </c>
      <c r="I1169" t="str">
        <f>IF(OR(G1169=0,F1169=0),"",D1169/F1169)</f>
        <v/>
      </c>
      <c r="J1169" t="str">
        <f>IF(OR(H1169="",I1169=""),"",IF(H1169=0,"",I1169/H1169-1))</f>
        <v/>
      </c>
      <c r="K1169" t="str">
        <f>IF($B1169="","",IFERROR(IF(G1169=0,-2E+300,CHOOSE(sortIdx,ROUND(D1169,0),IF(J1169="",-1E+300,ROUND(-J1169,6)),IF(J1169="",-1E+300,ROUND(J1169,6)))),-1.5E+300))</f>
        <v/>
      </c>
      <c r="L1169" t="str">
        <f>IF(K1169="","",RANK(K1169,$K$2:$K$3001,0)+COUNTIF($K$2:K1169,K1169)-1)</f>
        <v/>
      </c>
    </row>
    <row r="1170">
      <c r="B1170" t="str">
        <f>IFERROR(IF(A1170="","","="&amp;SUBSTITUTE(SUBSTITUTE(SUBSTITUTE(A1170,"~","~~"),"*","~*"),"?","~?")),"")</f>
        <v/>
      </c>
      <c r="C1170" t="str">
        <f>IF($B1170="","",SUMIFS(dAmt,dCust,$B1170,dPer,"&gt;="&amp;pyFrom,dPer,"&lt;="&amp;pyTo,dAmt,"&gt;-1E+300",dFlt1,critFlt1,dFlt2,critFlt2,dFlt3,critFlt3))</f>
        <v/>
      </c>
      <c r="D1170" t="str">
        <f>IF($B1170="","",SUMIFS(dAmt,dCust,$B1170,dPer,"&gt;="&amp;cyFrom,dPer,"&lt;="&amp;cyTo,dAmt,"&gt;-1E+300",dFlt1,critFlt1,dFlt2,critFlt2,dFlt3,critFlt3))</f>
        <v/>
      </c>
      <c r="E1170" t="str">
        <f>IF($B1170="","",SUMIFS(dQty,dCust,$B1170,dPer,"&gt;="&amp;pyFrom,dPer,"&lt;="&amp;pyTo,dQty,"&gt;-1E+300",dFlt1,critFlt1,dFlt2,critFlt2,dFlt3,critFlt3))</f>
        <v/>
      </c>
      <c r="F1170" t="str">
        <f>IF($B1170="","",SUMIFS(dQty,dCust,$B1170,dPer,"&gt;="&amp;cyFrom,dPer,"&lt;="&amp;cyTo,dQty,"&gt;-1E+300",dFlt1,critFlt1,dFlt2,critFlt2,dFlt3,critFlt3))</f>
        <v/>
      </c>
      <c r="G1170">
        <f>IF($B1170="",0,IFERROR(IF(OR(C1170&lt;&gt;0,D1170&lt;&gt;0,E1170&lt;&gt;0,F1170&lt;&gt;0),1,0),1))</f>
        <v>0</v>
      </c>
      <c r="H1170" t="str">
        <f>IF(OR(G1170=0,E1170=0),"",C1170/E1170)</f>
        <v/>
      </c>
      <c r="I1170" t="str">
        <f>IF(OR(G1170=0,F1170=0),"",D1170/F1170)</f>
        <v/>
      </c>
      <c r="J1170" t="str">
        <f>IF(OR(H1170="",I1170=""),"",IF(H1170=0,"",I1170/H1170-1))</f>
        <v/>
      </c>
      <c r="K1170" t="str">
        <f>IF($B1170="","",IFERROR(IF(G1170=0,-2E+300,CHOOSE(sortIdx,ROUND(D1170,0),IF(J1170="",-1E+300,ROUND(-J1170,6)),IF(J1170="",-1E+300,ROUND(J1170,6)))),-1.5E+300))</f>
        <v/>
      </c>
      <c r="L1170" t="str">
        <f>IF(K1170="","",RANK(K1170,$K$2:$K$3001,0)+COUNTIF($K$2:K1170,K1170)-1)</f>
        <v/>
      </c>
    </row>
    <row r="1171">
      <c r="B1171" t="str">
        <f>IFERROR(IF(A1171="","","="&amp;SUBSTITUTE(SUBSTITUTE(SUBSTITUTE(A1171,"~","~~"),"*","~*"),"?","~?")),"")</f>
        <v/>
      </c>
      <c r="C1171" t="str">
        <f>IF($B1171="","",SUMIFS(dAmt,dCust,$B1171,dPer,"&gt;="&amp;pyFrom,dPer,"&lt;="&amp;pyTo,dAmt,"&gt;-1E+300",dFlt1,critFlt1,dFlt2,critFlt2,dFlt3,critFlt3))</f>
        <v/>
      </c>
      <c r="D1171" t="str">
        <f>IF($B1171="","",SUMIFS(dAmt,dCust,$B1171,dPer,"&gt;="&amp;cyFrom,dPer,"&lt;="&amp;cyTo,dAmt,"&gt;-1E+300",dFlt1,critFlt1,dFlt2,critFlt2,dFlt3,critFlt3))</f>
        <v/>
      </c>
      <c r="E1171" t="str">
        <f>IF($B1171="","",SUMIFS(dQty,dCust,$B1171,dPer,"&gt;="&amp;pyFrom,dPer,"&lt;="&amp;pyTo,dQty,"&gt;-1E+300",dFlt1,critFlt1,dFlt2,critFlt2,dFlt3,critFlt3))</f>
        <v/>
      </c>
      <c r="F1171" t="str">
        <f>IF($B1171="","",SUMIFS(dQty,dCust,$B1171,dPer,"&gt;="&amp;cyFrom,dPer,"&lt;="&amp;cyTo,dQty,"&gt;-1E+300",dFlt1,critFlt1,dFlt2,critFlt2,dFlt3,critFlt3))</f>
        <v/>
      </c>
      <c r="G1171">
        <f>IF($B1171="",0,IFERROR(IF(OR(C1171&lt;&gt;0,D1171&lt;&gt;0,E1171&lt;&gt;0,F1171&lt;&gt;0),1,0),1))</f>
        <v>0</v>
      </c>
      <c r="H1171" t="str">
        <f>IF(OR(G1171=0,E1171=0),"",C1171/E1171)</f>
        <v/>
      </c>
      <c r="I1171" t="str">
        <f>IF(OR(G1171=0,F1171=0),"",D1171/F1171)</f>
        <v/>
      </c>
      <c r="J1171" t="str">
        <f>IF(OR(H1171="",I1171=""),"",IF(H1171=0,"",I1171/H1171-1))</f>
        <v/>
      </c>
      <c r="K1171" t="str">
        <f>IF($B1171="","",IFERROR(IF(G1171=0,-2E+300,CHOOSE(sortIdx,ROUND(D1171,0),IF(J1171="",-1E+300,ROUND(-J1171,6)),IF(J1171="",-1E+300,ROUND(J1171,6)))),-1.5E+300))</f>
        <v/>
      </c>
      <c r="L1171" t="str">
        <f>IF(K1171="","",RANK(K1171,$K$2:$K$3001,0)+COUNTIF($K$2:K1171,K1171)-1)</f>
        <v/>
      </c>
    </row>
    <row r="1172">
      <c r="B1172" t="str">
        <f>IFERROR(IF(A1172="","","="&amp;SUBSTITUTE(SUBSTITUTE(SUBSTITUTE(A1172,"~","~~"),"*","~*"),"?","~?")),"")</f>
        <v/>
      </c>
      <c r="C1172" t="str">
        <f>IF($B1172="","",SUMIFS(dAmt,dCust,$B1172,dPer,"&gt;="&amp;pyFrom,dPer,"&lt;="&amp;pyTo,dAmt,"&gt;-1E+300",dFlt1,critFlt1,dFlt2,critFlt2,dFlt3,critFlt3))</f>
        <v/>
      </c>
      <c r="D1172" t="str">
        <f>IF($B1172="","",SUMIFS(dAmt,dCust,$B1172,dPer,"&gt;="&amp;cyFrom,dPer,"&lt;="&amp;cyTo,dAmt,"&gt;-1E+300",dFlt1,critFlt1,dFlt2,critFlt2,dFlt3,critFlt3))</f>
        <v/>
      </c>
      <c r="E1172" t="str">
        <f>IF($B1172="","",SUMIFS(dQty,dCust,$B1172,dPer,"&gt;="&amp;pyFrom,dPer,"&lt;="&amp;pyTo,dQty,"&gt;-1E+300",dFlt1,critFlt1,dFlt2,critFlt2,dFlt3,critFlt3))</f>
        <v/>
      </c>
      <c r="F1172" t="str">
        <f>IF($B1172="","",SUMIFS(dQty,dCust,$B1172,dPer,"&gt;="&amp;cyFrom,dPer,"&lt;="&amp;cyTo,dQty,"&gt;-1E+300",dFlt1,critFlt1,dFlt2,critFlt2,dFlt3,critFlt3))</f>
        <v/>
      </c>
      <c r="G1172">
        <f>IF($B1172="",0,IFERROR(IF(OR(C1172&lt;&gt;0,D1172&lt;&gt;0,E1172&lt;&gt;0,F1172&lt;&gt;0),1,0),1))</f>
        <v>0</v>
      </c>
      <c r="H1172" t="str">
        <f>IF(OR(G1172=0,E1172=0),"",C1172/E1172)</f>
        <v/>
      </c>
      <c r="I1172" t="str">
        <f>IF(OR(G1172=0,F1172=0),"",D1172/F1172)</f>
        <v/>
      </c>
      <c r="J1172" t="str">
        <f>IF(OR(H1172="",I1172=""),"",IF(H1172=0,"",I1172/H1172-1))</f>
        <v/>
      </c>
      <c r="K1172" t="str">
        <f>IF($B1172="","",IFERROR(IF(G1172=0,-2E+300,CHOOSE(sortIdx,ROUND(D1172,0),IF(J1172="",-1E+300,ROUND(-J1172,6)),IF(J1172="",-1E+300,ROUND(J1172,6)))),-1.5E+300))</f>
        <v/>
      </c>
      <c r="L1172" t="str">
        <f>IF(K1172="","",RANK(K1172,$K$2:$K$3001,0)+COUNTIF($K$2:K1172,K1172)-1)</f>
        <v/>
      </c>
    </row>
    <row r="1173">
      <c r="B1173" t="str">
        <f>IFERROR(IF(A1173="","","="&amp;SUBSTITUTE(SUBSTITUTE(SUBSTITUTE(A1173,"~","~~"),"*","~*"),"?","~?")),"")</f>
        <v/>
      </c>
      <c r="C1173" t="str">
        <f>IF($B1173="","",SUMIFS(dAmt,dCust,$B1173,dPer,"&gt;="&amp;pyFrom,dPer,"&lt;="&amp;pyTo,dAmt,"&gt;-1E+300",dFlt1,critFlt1,dFlt2,critFlt2,dFlt3,critFlt3))</f>
        <v/>
      </c>
      <c r="D1173" t="str">
        <f>IF($B1173="","",SUMIFS(dAmt,dCust,$B1173,dPer,"&gt;="&amp;cyFrom,dPer,"&lt;="&amp;cyTo,dAmt,"&gt;-1E+300",dFlt1,critFlt1,dFlt2,critFlt2,dFlt3,critFlt3))</f>
        <v/>
      </c>
      <c r="E1173" t="str">
        <f>IF($B1173="","",SUMIFS(dQty,dCust,$B1173,dPer,"&gt;="&amp;pyFrom,dPer,"&lt;="&amp;pyTo,dQty,"&gt;-1E+300",dFlt1,critFlt1,dFlt2,critFlt2,dFlt3,critFlt3))</f>
        <v/>
      </c>
      <c r="F1173" t="str">
        <f>IF($B1173="","",SUMIFS(dQty,dCust,$B1173,dPer,"&gt;="&amp;cyFrom,dPer,"&lt;="&amp;cyTo,dQty,"&gt;-1E+300",dFlt1,critFlt1,dFlt2,critFlt2,dFlt3,critFlt3))</f>
        <v/>
      </c>
      <c r="G1173">
        <f>IF($B1173="",0,IFERROR(IF(OR(C1173&lt;&gt;0,D1173&lt;&gt;0,E1173&lt;&gt;0,F1173&lt;&gt;0),1,0),1))</f>
        <v>0</v>
      </c>
      <c r="H1173" t="str">
        <f>IF(OR(G1173=0,E1173=0),"",C1173/E1173)</f>
        <v/>
      </c>
      <c r="I1173" t="str">
        <f>IF(OR(G1173=0,F1173=0),"",D1173/F1173)</f>
        <v/>
      </c>
      <c r="J1173" t="str">
        <f>IF(OR(H1173="",I1173=""),"",IF(H1173=0,"",I1173/H1173-1))</f>
        <v/>
      </c>
      <c r="K1173" t="str">
        <f>IF($B1173="","",IFERROR(IF(G1173=0,-2E+300,CHOOSE(sortIdx,ROUND(D1173,0),IF(J1173="",-1E+300,ROUND(-J1173,6)),IF(J1173="",-1E+300,ROUND(J1173,6)))),-1.5E+300))</f>
        <v/>
      </c>
      <c r="L1173" t="str">
        <f>IF(K1173="","",RANK(K1173,$K$2:$K$3001,0)+COUNTIF($K$2:K1173,K1173)-1)</f>
        <v/>
      </c>
    </row>
    <row r="1174">
      <c r="B1174" t="str">
        <f>IFERROR(IF(A1174="","","="&amp;SUBSTITUTE(SUBSTITUTE(SUBSTITUTE(A1174,"~","~~"),"*","~*"),"?","~?")),"")</f>
        <v/>
      </c>
      <c r="C1174" t="str">
        <f>IF($B1174="","",SUMIFS(dAmt,dCust,$B1174,dPer,"&gt;="&amp;pyFrom,dPer,"&lt;="&amp;pyTo,dAmt,"&gt;-1E+300",dFlt1,critFlt1,dFlt2,critFlt2,dFlt3,critFlt3))</f>
        <v/>
      </c>
      <c r="D1174" t="str">
        <f>IF($B1174="","",SUMIFS(dAmt,dCust,$B1174,dPer,"&gt;="&amp;cyFrom,dPer,"&lt;="&amp;cyTo,dAmt,"&gt;-1E+300",dFlt1,critFlt1,dFlt2,critFlt2,dFlt3,critFlt3))</f>
        <v/>
      </c>
      <c r="E1174" t="str">
        <f>IF($B1174="","",SUMIFS(dQty,dCust,$B1174,dPer,"&gt;="&amp;pyFrom,dPer,"&lt;="&amp;pyTo,dQty,"&gt;-1E+300",dFlt1,critFlt1,dFlt2,critFlt2,dFlt3,critFlt3))</f>
        <v/>
      </c>
      <c r="F1174" t="str">
        <f>IF($B1174="","",SUMIFS(dQty,dCust,$B1174,dPer,"&gt;="&amp;cyFrom,dPer,"&lt;="&amp;cyTo,dQty,"&gt;-1E+300",dFlt1,critFlt1,dFlt2,critFlt2,dFlt3,critFlt3))</f>
        <v/>
      </c>
      <c r="G1174">
        <f>IF($B1174="",0,IFERROR(IF(OR(C1174&lt;&gt;0,D1174&lt;&gt;0,E1174&lt;&gt;0,F1174&lt;&gt;0),1,0),1))</f>
        <v>0</v>
      </c>
      <c r="H1174" t="str">
        <f>IF(OR(G1174=0,E1174=0),"",C1174/E1174)</f>
        <v/>
      </c>
      <c r="I1174" t="str">
        <f>IF(OR(G1174=0,F1174=0),"",D1174/F1174)</f>
        <v/>
      </c>
      <c r="J1174" t="str">
        <f>IF(OR(H1174="",I1174=""),"",IF(H1174=0,"",I1174/H1174-1))</f>
        <v/>
      </c>
      <c r="K1174" t="str">
        <f>IF($B1174="","",IFERROR(IF(G1174=0,-2E+300,CHOOSE(sortIdx,ROUND(D1174,0),IF(J1174="",-1E+300,ROUND(-J1174,6)),IF(J1174="",-1E+300,ROUND(J1174,6)))),-1.5E+300))</f>
        <v/>
      </c>
      <c r="L1174" t="str">
        <f>IF(K1174="","",RANK(K1174,$K$2:$K$3001,0)+COUNTIF($K$2:K1174,K1174)-1)</f>
        <v/>
      </c>
    </row>
    <row r="1175">
      <c r="B1175" t="str">
        <f>IFERROR(IF(A1175="","","="&amp;SUBSTITUTE(SUBSTITUTE(SUBSTITUTE(A1175,"~","~~"),"*","~*"),"?","~?")),"")</f>
        <v/>
      </c>
      <c r="C1175" t="str">
        <f>IF($B1175="","",SUMIFS(dAmt,dCust,$B1175,dPer,"&gt;="&amp;pyFrom,dPer,"&lt;="&amp;pyTo,dAmt,"&gt;-1E+300",dFlt1,critFlt1,dFlt2,critFlt2,dFlt3,critFlt3))</f>
        <v/>
      </c>
      <c r="D1175" t="str">
        <f>IF($B1175="","",SUMIFS(dAmt,dCust,$B1175,dPer,"&gt;="&amp;cyFrom,dPer,"&lt;="&amp;cyTo,dAmt,"&gt;-1E+300",dFlt1,critFlt1,dFlt2,critFlt2,dFlt3,critFlt3))</f>
        <v/>
      </c>
      <c r="E1175" t="str">
        <f>IF($B1175="","",SUMIFS(dQty,dCust,$B1175,dPer,"&gt;="&amp;pyFrom,dPer,"&lt;="&amp;pyTo,dQty,"&gt;-1E+300",dFlt1,critFlt1,dFlt2,critFlt2,dFlt3,critFlt3))</f>
        <v/>
      </c>
      <c r="F1175" t="str">
        <f>IF($B1175="","",SUMIFS(dQty,dCust,$B1175,dPer,"&gt;="&amp;cyFrom,dPer,"&lt;="&amp;cyTo,dQty,"&gt;-1E+300",dFlt1,critFlt1,dFlt2,critFlt2,dFlt3,critFlt3))</f>
        <v/>
      </c>
      <c r="G1175">
        <f>IF($B1175="",0,IFERROR(IF(OR(C1175&lt;&gt;0,D1175&lt;&gt;0,E1175&lt;&gt;0,F1175&lt;&gt;0),1,0),1))</f>
        <v>0</v>
      </c>
      <c r="H1175" t="str">
        <f>IF(OR(G1175=0,E1175=0),"",C1175/E1175)</f>
        <v/>
      </c>
      <c r="I1175" t="str">
        <f>IF(OR(G1175=0,F1175=0),"",D1175/F1175)</f>
        <v/>
      </c>
      <c r="J1175" t="str">
        <f>IF(OR(H1175="",I1175=""),"",IF(H1175=0,"",I1175/H1175-1))</f>
        <v/>
      </c>
      <c r="K1175" t="str">
        <f>IF($B1175="","",IFERROR(IF(G1175=0,-2E+300,CHOOSE(sortIdx,ROUND(D1175,0),IF(J1175="",-1E+300,ROUND(-J1175,6)),IF(J1175="",-1E+300,ROUND(J1175,6)))),-1.5E+300))</f>
        <v/>
      </c>
      <c r="L1175" t="str">
        <f>IF(K1175="","",RANK(K1175,$K$2:$K$3001,0)+COUNTIF($K$2:K1175,K1175)-1)</f>
        <v/>
      </c>
    </row>
    <row r="1176">
      <c r="B1176" t="str">
        <f>IFERROR(IF(A1176="","","="&amp;SUBSTITUTE(SUBSTITUTE(SUBSTITUTE(A1176,"~","~~"),"*","~*"),"?","~?")),"")</f>
        <v/>
      </c>
      <c r="C1176" t="str">
        <f>IF($B1176="","",SUMIFS(dAmt,dCust,$B1176,dPer,"&gt;="&amp;pyFrom,dPer,"&lt;="&amp;pyTo,dAmt,"&gt;-1E+300",dFlt1,critFlt1,dFlt2,critFlt2,dFlt3,critFlt3))</f>
        <v/>
      </c>
      <c r="D1176" t="str">
        <f>IF($B1176="","",SUMIFS(dAmt,dCust,$B1176,dPer,"&gt;="&amp;cyFrom,dPer,"&lt;="&amp;cyTo,dAmt,"&gt;-1E+300",dFlt1,critFlt1,dFlt2,critFlt2,dFlt3,critFlt3))</f>
        <v/>
      </c>
      <c r="E1176" t="str">
        <f>IF($B1176="","",SUMIFS(dQty,dCust,$B1176,dPer,"&gt;="&amp;pyFrom,dPer,"&lt;="&amp;pyTo,dQty,"&gt;-1E+300",dFlt1,critFlt1,dFlt2,critFlt2,dFlt3,critFlt3))</f>
        <v/>
      </c>
      <c r="F1176" t="str">
        <f>IF($B1176="","",SUMIFS(dQty,dCust,$B1176,dPer,"&gt;="&amp;cyFrom,dPer,"&lt;="&amp;cyTo,dQty,"&gt;-1E+300",dFlt1,critFlt1,dFlt2,critFlt2,dFlt3,critFlt3))</f>
        <v/>
      </c>
      <c r="G1176">
        <f>IF($B1176="",0,IFERROR(IF(OR(C1176&lt;&gt;0,D1176&lt;&gt;0,E1176&lt;&gt;0,F1176&lt;&gt;0),1,0),1))</f>
        <v>0</v>
      </c>
      <c r="H1176" t="str">
        <f>IF(OR(G1176=0,E1176=0),"",C1176/E1176)</f>
        <v/>
      </c>
      <c r="I1176" t="str">
        <f>IF(OR(G1176=0,F1176=0),"",D1176/F1176)</f>
        <v/>
      </c>
      <c r="J1176" t="str">
        <f>IF(OR(H1176="",I1176=""),"",IF(H1176=0,"",I1176/H1176-1))</f>
        <v/>
      </c>
      <c r="K1176" t="str">
        <f>IF($B1176="","",IFERROR(IF(G1176=0,-2E+300,CHOOSE(sortIdx,ROUND(D1176,0),IF(J1176="",-1E+300,ROUND(-J1176,6)),IF(J1176="",-1E+300,ROUND(J1176,6)))),-1.5E+300))</f>
        <v/>
      </c>
      <c r="L1176" t="str">
        <f>IF(K1176="","",RANK(K1176,$K$2:$K$3001,0)+COUNTIF($K$2:K1176,K1176)-1)</f>
        <v/>
      </c>
    </row>
    <row r="1177">
      <c r="B1177" t="str">
        <f>IFERROR(IF(A1177="","","="&amp;SUBSTITUTE(SUBSTITUTE(SUBSTITUTE(A1177,"~","~~"),"*","~*"),"?","~?")),"")</f>
        <v/>
      </c>
      <c r="C1177" t="str">
        <f>IF($B1177="","",SUMIFS(dAmt,dCust,$B1177,dPer,"&gt;="&amp;pyFrom,dPer,"&lt;="&amp;pyTo,dAmt,"&gt;-1E+300",dFlt1,critFlt1,dFlt2,critFlt2,dFlt3,critFlt3))</f>
        <v/>
      </c>
      <c r="D1177" t="str">
        <f>IF($B1177="","",SUMIFS(dAmt,dCust,$B1177,dPer,"&gt;="&amp;cyFrom,dPer,"&lt;="&amp;cyTo,dAmt,"&gt;-1E+300",dFlt1,critFlt1,dFlt2,critFlt2,dFlt3,critFlt3))</f>
        <v/>
      </c>
      <c r="E1177" t="str">
        <f>IF($B1177="","",SUMIFS(dQty,dCust,$B1177,dPer,"&gt;="&amp;pyFrom,dPer,"&lt;="&amp;pyTo,dQty,"&gt;-1E+300",dFlt1,critFlt1,dFlt2,critFlt2,dFlt3,critFlt3))</f>
        <v/>
      </c>
      <c r="F1177" t="str">
        <f>IF($B1177="","",SUMIFS(dQty,dCust,$B1177,dPer,"&gt;="&amp;cyFrom,dPer,"&lt;="&amp;cyTo,dQty,"&gt;-1E+300",dFlt1,critFlt1,dFlt2,critFlt2,dFlt3,critFlt3))</f>
        <v/>
      </c>
      <c r="G1177">
        <f>IF($B1177="",0,IFERROR(IF(OR(C1177&lt;&gt;0,D1177&lt;&gt;0,E1177&lt;&gt;0,F1177&lt;&gt;0),1,0),1))</f>
        <v>0</v>
      </c>
      <c r="H1177" t="str">
        <f>IF(OR(G1177=0,E1177=0),"",C1177/E1177)</f>
        <v/>
      </c>
      <c r="I1177" t="str">
        <f>IF(OR(G1177=0,F1177=0),"",D1177/F1177)</f>
        <v/>
      </c>
      <c r="J1177" t="str">
        <f>IF(OR(H1177="",I1177=""),"",IF(H1177=0,"",I1177/H1177-1))</f>
        <v/>
      </c>
      <c r="K1177" t="str">
        <f>IF($B1177="","",IFERROR(IF(G1177=0,-2E+300,CHOOSE(sortIdx,ROUND(D1177,0),IF(J1177="",-1E+300,ROUND(-J1177,6)),IF(J1177="",-1E+300,ROUND(J1177,6)))),-1.5E+300))</f>
        <v/>
      </c>
      <c r="L1177" t="str">
        <f>IF(K1177="","",RANK(K1177,$K$2:$K$3001,0)+COUNTIF($K$2:K1177,K1177)-1)</f>
        <v/>
      </c>
    </row>
    <row r="1178">
      <c r="B1178" t="str">
        <f>IFERROR(IF(A1178="","","="&amp;SUBSTITUTE(SUBSTITUTE(SUBSTITUTE(A1178,"~","~~"),"*","~*"),"?","~?")),"")</f>
        <v/>
      </c>
      <c r="C1178" t="str">
        <f>IF($B1178="","",SUMIFS(dAmt,dCust,$B1178,dPer,"&gt;="&amp;pyFrom,dPer,"&lt;="&amp;pyTo,dAmt,"&gt;-1E+300",dFlt1,critFlt1,dFlt2,critFlt2,dFlt3,critFlt3))</f>
        <v/>
      </c>
      <c r="D1178" t="str">
        <f>IF($B1178="","",SUMIFS(dAmt,dCust,$B1178,dPer,"&gt;="&amp;cyFrom,dPer,"&lt;="&amp;cyTo,dAmt,"&gt;-1E+300",dFlt1,critFlt1,dFlt2,critFlt2,dFlt3,critFlt3))</f>
        <v/>
      </c>
      <c r="E1178" t="str">
        <f>IF($B1178="","",SUMIFS(dQty,dCust,$B1178,dPer,"&gt;="&amp;pyFrom,dPer,"&lt;="&amp;pyTo,dQty,"&gt;-1E+300",dFlt1,critFlt1,dFlt2,critFlt2,dFlt3,critFlt3))</f>
        <v/>
      </c>
      <c r="F1178" t="str">
        <f>IF($B1178="","",SUMIFS(dQty,dCust,$B1178,dPer,"&gt;="&amp;cyFrom,dPer,"&lt;="&amp;cyTo,dQty,"&gt;-1E+300",dFlt1,critFlt1,dFlt2,critFlt2,dFlt3,critFlt3))</f>
        <v/>
      </c>
      <c r="G1178">
        <f>IF($B1178="",0,IFERROR(IF(OR(C1178&lt;&gt;0,D1178&lt;&gt;0,E1178&lt;&gt;0,F1178&lt;&gt;0),1,0),1))</f>
        <v>0</v>
      </c>
      <c r="H1178" t="str">
        <f>IF(OR(G1178=0,E1178=0),"",C1178/E1178)</f>
        <v/>
      </c>
      <c r="I1178" t="str">
        <f>IF(OR(G1178=0,F1178=0),"",D1178/F1178)</f>
        <v/>
      </c>
      <c r="J1178" t="str">
        <f>IF(OR(H1178="",I1178=""),"",IF(H1178=0,"",I1178/H1178-1))</f>
        <v/>
      </c>
      <c r="K1178" t="str">
        <f>IF($B1178="","",IFERROR(IF(G1178=0,-2E+300,CHOOSE(sortIdx,ROUND(D1178,0),IF(J1178="",-1E+300,ROUND(-J1178,6)),IF(J1178="",-1E+300,ROUND(J1178,6)))),-1.5E+300))</f>
        <v/>
      </c>
      <c r="L1178" t="str">
        <f>IF(K1178="","",RANK(K1178,$K$2:$K$3001,0)+COUNTIF($K$2:K1178,K1178)-1)</f>
        <v/>
      </c>
    </row>
    <row r="1179">
      <c r="B1179" t="str">
        <f>IFERROR(IF(A1179="","","="&amp;SUBSTITUTE(SUBSTITUTE(SUBSTITUTE(A1179,"~","~~"),"*","~*"),"?","~?")),"")</f>
        <v/>
      </c>
      <c r="C1179" t="str">
        <f>IF($B1179="","",SUMIFS(dAmt,dCust,$B1179,dPer,"&gt;="&amp;pyFrom,dPer,"&lt;="&amp;pyTo,dAmt,"&gt;-1E+300",dFlt1,critFlt1,dFlt2,critFlt2,dFlt3,critFlt3))</f>
        <v/>
      </c>
      <c r="D1179" t="str">
        <f>IF($B1179="","",SUMIFS(dAmt,dCust,$B1179,dPer,"&gt;="&amp;cyFrom,dPer,"&lt;="&amp;cyTo,dAmt,"&gt;-1E+300",dFlt1,critFlt1,dFlt2,critFlt2,dFlt3,critFlt3))</f>
        <v/>
      </c>
      <c r="E1179" t="str">
        <f>IF($B1179="","",SUMIFS(dQty,dCust,$B1179,dPer,"&gt;="&amp;pyFrom,dPer,"&lt;="&amp;pyTo,dQty,"&gt;-1E+300",dFlt1,critFlt1,dFlt2,critFlt2,dFlt3,critFlt3))</f>
        <v/>
      </c>
      <c r="F1179" t="str">
        <f>IF($B1179="","",SUMIFS(dQty,dCust,$B1179,dPer,"&gt;="&amp;cyFrom,dPer,"&lt;="&amp;cyTo,dQty,"&gt;-1E+300",dFlt1,critFlt1,dFlt2,critFlt2,dFlt3,critFlt3))</f>
        <v/>
      </c>
      <c r="G1179">
        <f>IF($B1179="",0,IFERROR(IF(OR(C1179&lt;&gt;0,D1179&lt;&gt;0,E1179&lt;&gt;0,F1179&lt;&gt;0),1,0),1))</f>
        <v>0</v>
      </c>
      <c r="H1179" t="str">
        <f>IF(OR(G1179=0,E1179=0),"",C1179/E1179)</f>
        <v/>
      </c>
      <c r="I1179" t="str">
        <f>IF(OR(G1179=0,F1179=0),"",D1179/F1179)</f>
        <v/>
      </c>
      <c r="J1179" t="str">
        <f>IF(OR(H1179="",I1179=""),"",IF(H1179=0,"",I1179/H1179-1))</f>
        <v/>
      </c>
      <c r="K1179" t="str">
        <f>IF($B1179="","",IFERROR(IF(G1179=0,-2E+300,CHOOSE(sortIdx,ROUND(D1179,0),IF(J1179="",-1E+300,ROUND(-J1179,6)),IF(J1179="",-1E+300,ROUND(J1179,6)))),-1.5E+300))</f>
        <v/>
      </c>
      <c r="L1179" t="str">
        <f>IF(K1179="","",RANK(K1179,$K$2:$K$3001,0)+COUNTIF($K$2:K1179,K1179)-1)</f>
        <v/>
      </c>
    </row>
    <row r="1180">
      <c r="B1180" t="str">
        <f>IFERROR(IF(A1180="","","="&amp;SUBSTITUTE(SUBSTITUTE(SUBSTITUTE(A1180,"~","~~"),"*","~*"),"?","~?")),"")</f>
        <v/>
      </c>
      <c r="C1180" t="str">
        <f>IF($B1180="","",SUMIFS(dAmt,dCust,$B1180,dPer,"&gt;="&amp;pyFrom,dPer,"&lt;="&amp;pyTo,dAmt,"&gt;-1E+300",dFlt1,critFlt1,dFlt2,critFlt2,dFlt3,critFlt3))</f>
        <v/>
      </c>
      <c r="D1180" t="str">
        <f>IF($B1180="","",SUMIFS(dAmt,dCust,$B1180,dPer,"&gt;="&amp;cyFrom,dPer,"&lt;="&amp;cyTo,dAmt,"&gt;-1E+300",dFlt1,critFlt1,dFlt2,critFlt2,dFlt3,critFlt3))</f>
        <v/>
      </c>
      <c r="E1180" t="str">
        <f>IF($B1180="","",SUMIFS(dQty,dCust,$B1180,dPer,"&gt;="&amp;pyFrom,dPer,"&lt;="&amp;pyTo,dQty,"&gt;-1E+300",dFlt1,critFlt1,dFlt2,critFlt2,dFlt3,critFlt3))</f>
        <v/>
      </c>
      <c r="F1180" t="str">
        <f>IF($B1180="","",SUMIFS(dQty,dCust,$B1180,dPer,"&gt;="&amp;cyFrom,dPer,"&lt;="&amp;cyTo,dQty,"&gt;-1E+300",dFlt1,critFlt1,dFlt2,critFlt2,dFlt3,critFlt3))</f>
        <v/>
      </c>
      <c r="G1180">
        <f>IF($B1180="",0,IFERROR(IF(OR(C1180&lt;&gt;0,D1180&lt;&gt;0,E1180&lt;&gt;0,F1180&lt;&gt;0),1,0),1))</f>
        <v>0</v>
      </c>
      <c r="H1180" t="str">
        <f>IF(OR(G1180=0,E1180=0),"",C1180/E1180)</f>
        <v/>
      </c>
      <c r="I1180" t="str">
        <f>IF(OR(G1180=0,F1180=0),"",D1180/F1180)</f>
        <v/>
      </c>
      <c r="J1180" t="str">
        <f>IF(OR(H1180="",I1180=""),"",IF(H1180=0,"",I1180/H1180-1))</f>
        <v/>
      </c>
      <c r="K1180" t="str">
        <f>IF($B1180="","",IFERROR(IF(G1180=0,-2E+300,CHOOSE(sortIdx,ROUND(D1180,0),IF(J1180="",-1E+300,ROUND(-J1180,6)),IF(J1180="",-1E+300,ROUND(J1180,6)))),-1.5E+300))</f>
        <v/>
      </c>
      <c r="L1180" t="str">
        <f>IF(K1180="","",RANK(K1180,$K$2:$K$3001,0)+COUNTIF($K$2:K1180,K1180)-1)</f>
        <v/>
      </c>
    </row>
    <row r="1181">
      <c r="B1181" t="str">
        <f>IFERROR(IF(A1181="","","="&amp;SUBSTITUTE(SUBSTITUTE(SUBSTITUTE(A1181,"~","~~"),"*","~*"),"?","~?")),"")</f>
        <v/>
      </c>
      <c r="C1181" t="str">
        <f>IF($B1181="","",SUMIFS(dAmt,dCust,$B1181,dPer,"&gt;="&amp;pyFrom,dPer,"&lt;="&amp;pyTo,dAmt,"&gt;-1E+300",dFlt1,critFlt1,dFlt2,critFlt2,dFlt3,critFlt3))</f>
        <v/>
      </c>
      <c r="D1181" t="str">
        <f>IF($B1181="","",SUMIFS(dAmt,dCust,$B1181,dPer,"&gt;="&amp;cyFrom,dPer,"&lt;="&amp;cyTo,dAmt,"&gt;-1E+300",dFlt1,critFlt1,dFlt2,critFlt2,dFlt3,critFlt3))</f>
        <v/>
      </c>
      <c r="E1181" t="str">
        <f>IF($B1181="","",SUMIFS(dQty,dCust,$B1181,dPer,"&gt;="&amp;pyFrom,dPer,"&lt;="&amp;pyTo,dQty,"&gt;-1E+300",dFlt1,critFlt1,dFlt2,critFlt2,dFlt3,critFlt3))</f>
        <v/>
      </c>
      <c r="F1181" t="str">
        <f>IF($B1181="","",SUMIFS(dQty,dCust,$B1181,dPer,"&gt;="&amp;cyFrom,dPer,"&lt;="&amp;cyTo,dQty,"&gt;-1E+300",dFlt1,critFlt1,dFlt2,critFlt2,dFlt3,critFlt3))</f>
        <v/>
      </c>
      <c r="G1181">
        <f>IF($B1181="",0,IFERROR(IF(OR(C1181&lt;&gt;0,D1181&lt;&gt;0,E1181&lt;&gt;0,F1181&lt;&gt;0),1,0),1))</f>
        <v>0</v>
      </c>
      <c r="H1181" t="str">
        <f>IF(OR(G1181=0,E1181=0),"",C1181/E1181)</f>
        <v/>
      </c>
      <c r="I1181" t="str">
        <f>IF(OR(G1181=0,F1181=0),"",D1181/F1181)</f>
        <v/>
      </c>
      <c r="J1181" t="str">
        <f>IF(OR(H1181="",I1181=""),"",IF(H1181=0,"",I1181/H1181-1))</f>
        <v/>
      </c>
      <c r="K1181" t="str">
        <f>IF($B1181="","",IFERROR(IF(G1181=0,-2E+300,CHOOSE(sortIdx,ROUND(D1181,0),IF(J1181="",-1E+300,ROUND(-J1181,6)),IF(J1181="",-1E+300,ROUND(J1181,6)))),-1.5E+300))</f>
        <v/>
      </c>
      <c r="L1181" t="str">
        <f>IF(K1181="","",RANK(K1181,$K$2:$K$3001,0)+COUNTIF($K$2:K1181,K1181)-1)</f>
        <v/>
      </c>
    </row>
    <row r="1182">
      <c r="B1182" t="str">
        <f>IFERROR(IF(A1182="","","="&amp;SUBSTITUTE(SUBSTITUTE(SUBSTITUTE(A1182,"~","~~"),"*","~*"),"?","~?")),"")</f>
        <v/>
      </c>
      <c r="C1182" t="str">
        <f>IF($B1182="","",SUMIFS(dAmt,dCust,$B1182,dPer,"&gt;="&amp;pyFrom,dPer,"&lt;="&amp;pyTo,dAmt,"&gt;-1E+300",dFlt1,critFlt1,dFlt2,critFlt2,dFlt3,critFlt3))</f>
        <v/>
      </c>
      <c r="D1182" t="str">
        <f>IF($B1182="","",SUMIFS(dAmt,dCust,$B1182,dPer,"&gt;="&amp;cyFrom,dPer,"&lt;="&amp;cyTo,dAmt,"&gt;-1E+300",dFlt1,critFlt1,dFlt2,critFlt2,dFlt3,critFlt3))</f>
        <v/>
      </c>
      <c r="E1182" t="str">
        <f>IF($B1182="","",SUMIFS(dQty,dCust,$B1182,dPer,"&gt;="&amp;pyFrom,dPer,"&lt;="&amp;pyTo,dQty,"&gt;-1E+300",dFlt1,critFlt1,dFlt2,critFlt2,dFlt3,critFlt3))</f>
        <v/>
      </c>
      <c r="F1182" t="str">
        <f>IF($B1182="","",SUMIFS(dQty,dCust,$B1182,dPer,"&gt;="&amp;cyFrom,dPer,"&lt;="&amp;cyTo,dQty,"&gt;-1E+300",dFlt1,critFlt1,dFlt2,critFlt2,dFlt3,critFlt3))</f>
        <v/>
      </c>
      <c r="G1182">
        <f>IF($B1182="",0,IFERROR(IF(OR(C1182&lt;&gt;0,D1182&lt;&gt;0,E1182&lt;&gt;0,F1182&lt;&gt;0),1,0),1))</f>
        <v>0</v>
      </c>
      <c r="H1182" t="str">
        <f>IF(OR(G1182=0,E1182=0),"",C1182/E1182)</f>
        <v/>
      </c>
      <c r="I1182" t="str">
        <f>IF(OR(G1182=0,F1182=0),"",D1182/F1182)</f>
        <v/>
      </c>
      <c r="J1182" t="str">
        <f>IF(OR(H1182="",I1182=""),"",IF(H1182=0,"",I1182/H1182-1))</f>
        <v/>
      </c>
      <c r="K1182" t="str">
        <f>IF($B1182="","",IFERROR(IF(G1182=0,-2E+300,CHOOSE(sortIdx,ROUND(D1182,0),IF(J1182="",-1E+300,ROUND(-J1182,6)),IF(J1182="",-1E+300,ROUND(J1182,6)))),-1.5E+300))</f>
        <v/>
      </c>
      <c r="L1182" t="str">
        <f>IF(K1182="","",RANK(K1182,$K$2:$K$3001,0)+COUNTIF($K$2:K1182,K1182)-1)</f>
        <v/>
      </c>
    </row>
    <row r="1183">
      <c r="B1183" t="str">
        <f>IFERROR(IF(A1183="","","="&amp;SUBSTITUTE(SUBSTITUTE(SUBSTITUTE(A1183,"~","~~"),"*","~*"),"?","~?")),"")</f>
        <v/>
      </c>
      <c r="C1183" t="str">
        <f>IF($B1183="","",SUMIFS(dAmt,dCust,$B1183,dPer,"&gt;="&amp;pyFrom,dPer,"&lt;="&amp;pyTo,dAmt,"&gt;-1E+300",dFlt1,critFlt1,dFlt2,critFlt2,dFlt3,critFlt3))</f>
        <v/>
      </c>
      <c r="D1183" t="str">
        <f>IF($B1183="","",SUMIFS(dAmt,dCust,$B1183,dPer,"&gt;="&amp;cyFrom,dPer,"&lt;="&amp;cyTo,dAmt,"&gt;-1E+300",dFlt1,critFlt1,dFlt2,critFlt2,dFlt3,critFlt3))</f>
        <v/>
      </c>
      <c r="E1183" t="str">
        <f>IF($B1183="","",SUMIFS(dQty,dCust,$B1183,dPer,"&gt;="&amp;pyFrom,dPer,"&lt;="&amp;pyTo,dQty,"&gt;-1E+300",dFlt1,critFlt1,dFlt2,critFlt2,dFlt3,critFlt3))</f>
        <v/>
      </c>
      <c r="F1183" t="str">
        <f>IF($B1183="","",SUMIFS(dQty,dCust,$B1183,dPer,"&gt;="&amp;cyFrom,dPer,"&lt;="&amp;cyTo,dQty,"&gt;-1E+300",dFlt1,critFlt1,dFlt2,critFlt2,dFlt3,critFlt3))</f>
        <v/>
      </c>
      <c r="G1183">
        <f>IF($B1183="",0,IFERROR(IF(OR(C1183&lt;&gt;0,D1183&lt;&gt;0,E1183&lt;&gt;0,F1183&lt;&gt;0),1,0),1))</f>
        <v>0</v>
      </c>
      <c r="H1183" t="str">
        <f>IF(OR(G1183=0,E1183=0),"",C1183/E1183)</f>
        <v/>
      </c>
      <c r="I1183" t="str">
        <f>IF(OR(G1183=0,F1183=0),"",D1183/F1183)</f>
        <v/>
      </c>
      <c r="J1183" t="str">
        <f>IF(OR(H1183="",I1183=""),"",IF(H1183=0,"",I1183/H1183-1))</f>
        <v/>
      </c>
      <c r="K1183" t="str">
        <f>IF($B1183="","",IFERROR(IF(G1183=0,-2E+300,CHOOSE(sortIdx,ROUND(D1183,0),IF(J1183="",-1E+300,ROUND(-J1183,6)),IF(J1183="",-1E+300,ROUND(J1183,6)))),-1.5E+300))</f>
        <v/>
      </c>
      <c r="L1183" t="str">
        <f>IF(K1183="","",RANK(K1183,$K$2:$K$3001,0)+COUNTIF($K$2:K1183,K1183)-1)</f>
        <v/>
      </c>
    </row>
    <row r="1184">
      <c r="B1184" t="str">
        <f>IFERROR(IF(A1184="","","="&amp;SUBSTITUTE(SUBSTITUTE(SUBSTITUTE(A1184,"~","~~"),"*","~*"),"?","~?")),"")</f>
        <v/>
      </c>
      <c r="C1184" t="str">
        <f>IF($B1184="","",SUMIFS(dAmt,dCust,$B1184,dPer,"&gt;="&amp;pyFrom,dPer,"&lt;="&amp;pyTo,dAmt,"&gt;-1E+300",dFlt1,critFlt1,dFlt2,critFlt2,dFlt3,critFlt3))</f>
        <v/>
      </c>
      <c r="D1184" t="str">
        <f>IF($B1184="","",SUMIFS(dAmt,dCust,$B1184,dPer,"&gt;="&amp;cyFrom,dPer,"&lt;="&amp;cyTo,dAmt,"&gt;-1E+300",dFlt1,critFlt1,dFlt2,critFlt2,dFlt3,critFlt3))</f>
        <v/>
      </c>
      <c r="E1184" t="str">
        <f>IF($B1184="","",SUMIFS(dQty,dCust,$B1184,dPer,"&gt;="&amp;pyFrom,dPer,"&lt;="&amp;pyTo,dQty,"&gt;-1E+300",dFlt1,critFlt1,dFlt2,critFlt2,dFlt3,critFlt3))</f>
        <v/>
      </c>
      <c r="F1184" t="str">
        <f>IF($B1184="","",SUMIFS(dQty,dCust,$B1184,dPer,"&gt;="&amp;cyFrom,dPer,"&lt;="&amp;cyTo,dQty,"&gt;-1E+300",dFlt1,critFlt1,dFlt2,critFlt2,dFlt3,critFlt3))</f>
        <v/>
      </c>
      <c r="G1184">
        <f>IF($B1184="",0,IFERROR(IF(OR(C1184&lt;&gt;0,D1184&lt;&gt;0,E1184&lt;&gt;0,F1184&lt;&gt;0),1,0),1))</f>
        <v>0</v>
      </c>
      <c r="H1184" t="str">
        <f>IF(OR(G1184=0,E1184=0),"",C1184/E1184)</f>
        <v/>
      </c>
      <c r="I1184" t="str">
        <f>IF(OR(G1184=0,F1184=0),"",D1184/F1184)</f>
        <v/>
      </c>
      <c r="J1184" t="str">
        <f>IF(OR(H1184="",I1184=""),"",IF(H1184=0,"",I1184/H1184-1))</f>
        <v/>
      </c>
      <c r="K1184" t="str">
        <f>IF($B1184="","",IFERROR(IF(G1184=0,-2E+300,CHOOSE(sortIdx,ROUND(D1184,0),IF(J1184="",-1E+300,ROUND(-J1184,6)),IF(J1184="",-1E+300,ROUND(J1184,6)))),-1.5E+300))</f>
        <v/>
      </c>
      <c r="L1184" t="str">
        <f>IF(K1184="","",RANK(K1184,$K$2:$K$3001,0)+COUNTIF($K$2:K1184,K1184)-1)</f>
        <v/>
      </c>
    </row>
    <row r="1185">
      <c r="B1185" t="str">
        <f>IFERROR(IF(A1185="","","="&amp;SUBSTITUTE(SUBSTITUTE(SUBSTITUTE(A1185,"~","~~"),"*","~*"),"?","~?")),"")</f>
        <v/>
      </c>
      <c r="C1185" t="str">
        <f>IF($B1185="","",SUMIFS(dAmt,dCust,$B1185,dPer,"&gt;="&amp;pyFrom,dPer,"&lt;="&amp;pyTo,dAmt,"&gt;-1E+300",dFlt1,critFlt1,dFlt2,critFlt2,dFlt3,critFlt3))</f>
        <v/>
      </c>
      <c r="D1185" t="str">
        <f>IF($B1185="","",SUMIFS(dAmt,dCust,$B1185,dPer,"&gt;="&amp;cyFrom,dPer,"&lt;="&amp;cyTo,dAmt,"&gt;-1E+300",dFlt1,critFlt1,dFlt2,critFlt2,dFlt3,critFlt3))</f>
        <v/>
      </c>
      <c r="E1185" t="str">
        <f>IF($B1185="","",SUMIFS(dQty,dCust,$B1185,dPer,"&gt;="&amp;pyFrom,dPer,"&lt;="&amp;pyTo,dQty,"&gt;-1E+300",dFlt1,critFlt1,dFlt2,critFlt2,dFlt3,critFlt3))</f>
        <v/>
      </c>
      <c r="F1185" t="str">
        <f>IF($B1185="","",SUMIFS(dQty,dCust,$B1185,dPer,"&gt;="&amp;cyFrom,dPer,"&lt;="&amp;cyTo,dQty,"&gt;-1E+300",dFlt1,critFlt1,dFlt2,critFlt2,dFlt3,critFlt3))</f>
        <v/>
      </c>
      <c r="G1185">
        <f>IF($B1185="",0,IFERROR(IF(OR(C1185&lt;&gt;0,D1185&lt;&gt;0,E1185&lt;&gt;0,F1185&lt;&gt;0),1,0),1))</f>
        <v>0</v>
      </c>
      <c r="H1185" t="str">
        <f>IF(OR(G1185=0,E1185=0),"",C1185/E1185)</f>
        <v/>
      </c>
      <c r="I1185" t="str">
        <f>IF(OR(G1185=0,F1185=0),"",D1185/F1185)</f>
        <v/>
      </c>
      <c r="J1185" t="str">
        <f>IF(OR(H1185="",I1185=""),"",IF(H1185=0,"",I1185/H1185-1))</f>
        <v/>
      </c>
      <c r="K1185" t="str">
        <f>IF($B1185="","",IFERROR(IF(G1185=0,-2E+300,CHOOSE(sortIdx,ROUND(D1185,0),IF(J1185="",-1E+300,ROUND(-J1185,6)),IF(J1185="",-1E+300,ROUND(J1185,6)))),-1.5E+300))</f>
        <v/>
      </c>
      <c r="L1185" t="str">
        <f>IF(K1185="","",RANK(K1185,$K$2:$K$3001,0)+COUNTIF($K$2:K1185,K1185)-1)</f>
        <v/>
      </c>
    </row>
    <row r="1186">
      <c r="B1186" t="str">
        <f>IFERROR(IF(A1186="","","="&amp;SUBSTITUTE(SUBSTITUTE(SUBSTITUTE(A1186,"~","~~"),"*","~*"),"?","~?")),"")</f>
        <v/>
      </c>
      <c r="C1186" t="str">
        <f>IF($B1186="","",SUMIFS(dAmt,dCust,$B1186,dPer,"&gt;="&amp;pyFrom,dPer,"&lt;="&amp;pyTo,dAmt,"&gt;-1E+300",dFlt1,critFlt1,dFlt2,critFlt2,dFlt3,critFlt3))</f>
        <v/>
      </c>
      <c r="D1186" t="str">
        <f>IF($B1186="","",SUMIFS(dAmt,dCust,$B1186,dPer,"&gt;="&amp;cyFrom,dPer,"&lt;="&amp;cyTo,dAmt,"&gt;-1E+300",dFlt1,critFlt1,dFlt2,critFlt2,dFlt3,critFlt3))</f>
        <v/>
      </c>
      <c r="E1186" t="str">
        <f>IF($B1186="","",SUMIFS(dQty,dCust,$B1186,dPer,"&gt;="&amp;pyFrom,dPer,"&lt;="&amp;pyTo,dQty,"&gt;-1E+300",dFlt1,critFlt1,dFlt2,critFlt2,dFlt3,critFlt3))</f>
        <v/>
      </c>
      <c r="F1186" t="str">
        <f>IF($B1186="","",SUMIFS(dQty,dCust,$B1186,dPer,"&gt;="&amp;cyFrom,dPer,"&lt;="&amp;cyTo,dQty,"&gt;-1E+300",dFlt1,critFlt1,dFlt2,critFlt2,dFlt3,critFlt3))</f>
        <v/>
      </c>
      <c r="G1186">
        <f>IF($B1186="",0,IFERROR(IF(OR(C1186&lt;&gt;0,D1186&lt;&gt;0,E1186&lt;&gt;0,F1186&lt;&gt;0),1,0),1))</f>
        <v>0</v>
      </c>
      <c r="H1186" t="str">
        <f>IF(OR(G1186=0,E1186=0),"",C1186/E1186)</f>
        <v/>
      </c>
      <c r="I1186" t="str">
        <f>IF(OR(G1186=0,F1186=0),"",D1186/F1186)</f>
        <v/>
      </c>
      <c r="J1186" t="str">
        <f>IF(OR(H1186="",I1186=""),"",IF(H1186=0,"",I1186/H1186-1))</f>
        <v/>
      </c>
      <c r="K1186" t="str">
        <f>IF($B1186="","",IFERROR(IF(G1186=0,-2E+300,CHOOSE(sortIdx,ROUND(D1186,0),IF(J1186="",-1E+300,ROUND(-J1186,6)),IF(J1186="",-1E+300,ROUND(J1186,6)))),-1.5E+300))</f>
        <v/>
      </c>
      <c r="L1186" t="str">
        <f>IF(K1186="","",RANK(K1186,$K$2:$K$3001,0)+COUNTIF($K$2:K1186,K1186)-1)</f>
        <v/>
      </c>
    </row>
    <row r="1187">
      <c r="B1187" t="str">
        <f>IFERROR(IF(A1187="","","="&amp;SUBSTITUTE(SUBSTITUTE(SUBSTITUTE(A1187,"~","~~"),"*","~*"),"?","~?")),"")</f>
        <v/>
      </c>
      <c r="C1187" t="str">
        <f>IF($B1187="","",SUMIFS(dAmt,dCust,$B1187,dPer,"&gt;="&amp;pyFrom,dPer,"&lt;="&amp;pyTo,dAmt,"&gt;-1E+300",dFlt1,critFlt1,dFlt2,critFlt2,dFlt3,critFlt3))</f>
        <v/>
      </c>
      <c r="D1187" t="str">
        <f>IF($B1187="","",SUMIFS(dAmt,dCust,$B1187,dPer,"&gt;="&amp;cyFrom,dPer,"&lt;="&amp;cyTo,dAmt,"&gt;-1E+300",dFlt1,critFlt1,dFlt2,critFlt2,dFlt3,critFlt3))</f>
        <v/>
      </c>
      <c r="E1187" t="str">
        <f>IF($B1187="","",SUMIFS(dQty,dCust,$B1187,dPer,"&gt;="&amp;pyFrom,dPer,"&lt;="&amp;pyTo,dQty,"&gt;-1E+300",dFlt1,critFlt1,dFlt2,critFlt2,dFlt3,critFlt3))</f>
        <v/>
      </c>
      <c r="F1187" t="str">
        <f>IF($B1187="","",SUMIFS(dQty,dCust,$B1187,dPer,"&gt;="&amp;cyFrom,dPer,"&lt;="&amp;cyTo,dQty,"&gt;-1E+300",dFlt1,critFlt1,dFlt2,critFlt2,dFlt3,critFlt3))</f>
        <v/>
      </c>
      <c r="G1187">
        <f>IF($B1187="",0,IFERROR(IF(OR(C1187&lt;&gt;0,D1187&lt;&gt;0,E1187&lt;&gt;0,F1187&lt;&gt;0),1,0),1))</f>
        <v>0</v>
      </c>
      <c r="H1187" t="str">
        <f>IF(OR(G1187=0,E1187=0),"",C1187/E1187)</f>
        <v/>
      </c>
      <c r="I1187" t="str">
        <f>IF(OR(G1187=0,F1187=0),"",D1187/F1187)</f>
        <v/>
      </c>
      <c r="J1187" t="str">
        <f>IF(OR(H1187="",I1187=""),"",IF(H1187=0,"",I1187/H1187-1))</f>
        <v/>
      </c>
      <c r="K1187" t="str">
        <f>IF($B1187="","",IFERROR(IF(G1187=0,-2E+300,CHOOSE(sortIdx,ROUND(D1187,0),IF(J1187="",-1E+300,ROUND(-J1187,6)),IF(J1187="",-1E+300,ROUND(J1187,6)))),-1.5E+300))</f>
        <v/>
      </c>
      <c r="L1187" t="str">
        <f>IF(K1187="","",RANK(K1187,$K$2:$K$3001,0)+COUNTIF($K$2:K1187,K1187)-1)</f>
        <v/>
      </c>
    </row>
    <row r="1188">
      <c r="B1188" t="str">
        <f>IFERROR(IF(A1188="","","="&amp;SUBSTITUTE(SUBSTITUTE(SUBSTITUTE(A1188,"~","~~"),"*","~*"),"?","~?")),"")</f>
        <v/>
      </c>
      <c r="C1188" t="str">
        <f>IF($B1188="","",SUMIFS(dAmt,dCust,$B1188,dPer,"&gt;="&amp;pyFrom,dPer,"&lt;="&amp;pyTo,dAmt,"&gt;-1E+300",dFlt1,critFlt1,dFlt2,critFlt2,dFlt3,critFlt3))</f>
        <v/>
      </c>
      <c r="D1188" t="str">
        <f>IF($B1188="","",SUMIFS(dAmt,dCust,$B1188,dPer,"&gt;="&amp;cyFrom,dPer,"&lt;="&amp;cyTo,dAmt,"&gt;-1E+300",dFlt1,critFlt1,dFlt2,critFlt2,dFlt3,critFlt3))</f>
        <v/>
      </c>
      <c r="E1188" t="str">
        <f>IF($B1188="","",SUMIFS(dQty,dCust,$B1188,dPer,"&gt;="&amp;pyFrom,dPer,"&lt;="&amp;pyTo,dQty,"&gt;-1E+300",dFlt1,critFlt1,dFlt2,critFlt2,dFlt3,critFlt3))</f>
        <v/>
      </c>
      <c r="F1188" t="str">
        <f>IF($B1188="","",SUMIFS(dQty,dCust,$B1188,dPer,"&gt;="&amp;cyFrom,dPer,"&lt;="&amp;cyTo,dQty,"&gt;-1E+300",dFlt1,critFlt1,dFlt2,critFlt2,dFlt3,critFlt3))</f>
        <v/>
      </c>
      <c r="G1188">
        <f>IF($B1188="",0,IFERROR(IF(OR(C1188&lt;&gt;0,D1188&lt;&gt;0,E1188&lt;&gt;0,F1188&lt;&gt;0),1,0),1))</f>
        <v>0</v>
      </c>
      <c r="H1188" t="str">
        <f>IF(OR(G1188=0,E1188=0),"",C1188/E1188)</f>
        <v/>
      </c>
      <c r="I1188" t="str">
        <f>IF(OR(G1188=0,F1188=0),"",D1188/F1188)</f>
        <v/>
      </c>
      <c r="J1188" t="str">
        <f>IF(OR(H1188="",I1188=""),"",IF(H1188=0,"",I1188/H1188-1))</f>
        <v/>
      </c>
      <c r="K1188" t="str">
        <f>IF($B1188="","",IFERROR(IF(G1188=0,-2E+300,CHOOSE(sortIdx,ROUND(D1188,0),IF(J1188="",-1E+300,ROUND(-J1188,6)),IF(J1188="",-1E+300,ROUND(J1188,6)))),-1.5E+300))</f>
        <v/>
      </c>
      <c r="L1188" t="str">
        <f>IF(K1188="","",RANK(K1188,$K$2:$K$3001,0)+COUNTIF($K$2:K1188,K1188)-1)</f>
        <v/>
      </c>
    </row>
    <row r="1189">
      <c r="B1189" t="str">
        <f>IFERROR(IF(A1189="","","="&amp;SUBSTITUTE(SUBSTITUTE(SUBSTITUTE(A1189,"~","~~"),"*","~*"),"?","~?")),"")</f>
        <v/>
      </c>
      <c r="C1189" t="str">
        <f>IF($B1189="","",SUMIFS(dAmt,dCust,$B1189,dPer,"&gt;="&amp;pyFrom,dPer,"&lt;="&amp;pyTo,dAmt,"&gt;-1E+300",dFlt1,critFlt1,dFlt2,critFlt2,dFlt3,critFlt3))</f>
        <v/>
      </c>
      <c r="D1189" t="str">
        <f>IF($B1189="","",SUMIFS(dAmt,dCust,$B1189,dPer,"&gt;="&amp;cyFrom,dPer,"&lt;="&amp;cyTo,dAmt,"&gt;-1E+300",dFlt1,critFlt1,dFlt2,critFlt2,dFlt3,critFlt3))</f>
        <v/>
      </c>
      <c r="E1189" t="str">
        <f>IF($B1189="","",SUMIFS(dQty,dCust,$B1189,dPer,"&gt;="&amp;pyFrom,dPer,"&lt;="&amp;pyTo,dQty,"&gt;-1E+300",dFlt1,critFlt1,dFlt2,critFlt2,dFlt3,critFlt3))</f>
        <v/>
      </c>
      <c r="F1189" t="str">
        <f>IF($B1189="","",SUMIFS(dQty,dCust,$B1189,dPer,"&gt;="&amp;cyFrom,dPer,"&lt;="&amp;cyTo,dQty,"&gt;-1E+300",dFlt1,critFlt1,dFlt2,critFlt2,dFlt3,critFlt3))</f>
        <v/>
      </c>
      <c r="G1189">
        <f>IF($B1189="",0,IFERROR(IF(OR(C1189&lt;&gt;0,D1189&lt;&gt;0,E1189&lt;&gt;0,F1189&lt;&gt;0),1,0),1))</f>
        <v>0</v>
      </c>
      <c r="H1189" t="str">
        <f>IF(OR(G1189=0,E1189=0),"",C1189/E1189)</f>
        <v/>
      </c>
      <c r="I1189" t="str">
        <f>IF(OR(G1189=0,F1189=0),"",D1189/F1189)</f>
        <v/>
      </c>
      <c r="J1189" t="str">
        <f>IF(OR(H1189="",I1189=""),"",IF(H1189=0,"",I1189/H1189-1))</f>
        <v/>
      </c>
      <c r="K1189" t="str">
        <f>IF($B1189="","",IFERROR(IF(G1189=0,-2E+300,CHOOSE(sortIdx,ROUND(D1189,0),IF(J1189="",-1E+300,ROUND(-J1189,6)),IF(J1189="",-1E+300,ROUND(J1189,6)))),-1.5E+300))</f>
        <v/>
      </c>
      <c r="L1189" t="str">
        <f>IF(K1189="","",RANK(K1189,$K$2:$K$3001,0)+COUNTIF($K$2:K1189,K1189)-1)</f>
        <v/>
      </c>
    </row>
    <row r="1190">
      <c r="B1190" t="str">
        <f>IFERROR(IF(A1190="","","="&amp;SUBSTITUTE(SUBSTITUTE(SUBSTITUTE(A1190,"~","~~"),"*","~*"),"?","~?")),"")</f>
        <v/>
      </c>
      <c r="C1190" t="str">
        <f>IF($B1190="","",SUMIFS(dAmt,dCust,$B1190,dPer,"&gt;="&amp;pyFrom,dPer,"&lt;="&amp;pyTo,dAmt,"&gt;-1E+300",dFlt1,critFlt1,dFlt2,critFlt2,dFlt3,critFlt3))</f>
        <v/>
      </c>
      <c r="D1190" t="str">
        <f>IF($B1190="","",SUMIFS(dAmt,dCust,$B1190,dPer,"&gt;="&amp;cyFrom,dPer,"&lt;="&amp;cyTo,dAmt,"&gt;-1E+300",dFlt1,critFlt1,dFlt2,critFlt2,dFlt3,critFlt3))</f>
        <v/>
      </c>
      <c r="E1190" t="str">
        <f>IF($B1190="","",SUMIFS(dQty,dCust,$B1190,dPer,"&gt;="&amp;pyFrom,dPer,"&lt;="&amp;pyTo,dQty,"&gt;-1E+300",dFlt1,critFlt1,dFlt2,critFlt2,dFlt3,critFlt3))</f>
        <v/>
      </c>
      <c r="F1190" t="str">
        <f>IF($B1190="","",SUMIFS(dQty,dCust,$B1190,dPer,"&gt;="&amp;cyFrom,dPer,"&lt;="&amp;cyTo,dQty,"&gt;-1E+300",dFlt1,critFlt1,dFlt2,critFlt2,dFlt3,critFlt3))</f>
        <v/>
      </c>
      <c r="G1190">
        <f>IF($B1190="",0,IFERROR(IF(OR(C1190&lt;&gt;0,D1190&lt;&gt;0,E1190&lt;&gt;0,F1190&lt;&gt;0),1,0),1))</f>
        <v>0</v>
      </c>
      <c r="H1190" t="str">
        <f>IF(OR(G1190=0,E1190=0),"",C1190/E1190)</f>
        <v/>
      </c>
      <c r="I1190" t="str">
        <f>IF(OR(G1190=0,F1190=0),"",D1190/F1190)</f>
        <v/>
      </c>
      <c r="J1190" t="str">
        <f>IF(OR(H1190="",I1190=""),"",IF(H1190=0,"",I1190/H1190-1))</f>
        <v/>
      </c>
      <c r="K1190" t="str">
        <f>IF($B1190="","",IFERROR(IF(G1190=0,-2E+300,CHOOSE(sortIdx,ROUND(D1190,0),IF(J1190="",-1E+300,ROUND(-J1190,6)),IF(J1190="",-1E+300,ROUND(J1190,6)))),-1.5E+300))</f>
        <v/>
      </c>
      <c r="L1190" t="str">
        <f>IF(K1190="","",RANK(K1190,$K$2:$K$3001,0)+COUNTIF($K$2:K1190,K1190)-1)</f>
        <v/>
      </c>
    </row>
    <row r="1191">
      <c r="B1191" t="str">
        <f>IFERROR(IF(A1191="","","="&amp;SUBSTITUTE(SUBSTITUTE(SUBSTITUTE(A1191,"~","~~"),"*","~*"),"?","~?")),"")</f>
        <v/>
      </c>
      <c r="C1191" t="str">
        <f>IF($B1191="","",SUMIFS(dAmt,dCust,$B1191,dPer,"&gt;="&amp;pyFrom,dPer,"&lt;="&amp;pyTo,dAmt,"&gt;-1E+300",dFlt1,critFlt1,dFlt2,critFlt2,dFlt3,critFlt3))</f>
        <v/>
      </c>
      <c r="D1191" t="str">
        <f>IF($B1191="","",SUMIFS(dAmt,dCust,$B1191,dPer,"&gt;="&amp;cyFrom,dPer,"&lt;="&amp;cyTo,dAmt,"&gt;-1E+300",dFlt1,critFlt1,dFlt2,critFlt2,dFlt3,critFlt3))</f>
        <v/>
      </c>
      <c r="E1191" t="str">
        <f>IF($B1191="","",SUMIFS(dQty,dCust,$B1191,dPer,"&gt;="&amp;pyFrom,dPer,"&lt;="&amp;pyTo,dQty,"&gt;-1E+300",dFlt1,critFlt1,dFlt2,critFlt2,dFlt3,critFlt3))</f>
        <v/>
      </c>
      <c r="F1191" t="str">
        <f>IF($B1191="","",SUMIFS(dQty,dCust,$B1191,dPer,"&gt;="&amp;cyFrom,dPer,"&lt;="&amp;cyTo,dQty,"&gt;-1E+300",dFlt1,critFlt1,dFlt2,critFlt2,dFlt3,critFlt3))</f>
        <v/>
      </c>
      <c r="G1191">
        <f>IF($B1191="",0,IFERROR(IF(OR(C1191&lt;&gt;0,D1191&lt;&gt;0,E1191&lt;&gt;0,F1191&lt;&gt;0),1,0),1))</f>
        <v>0</v>
      </c>
      <c r="H1191" t="str">
        <f>IF(OR(G1191=0,E1191=0),"",C1191/E1191)</f>
        <v/>
      </c>
      <c r="I1191" t="str">
        <f>IF(OR(G1191=0,F1191=0),"",D1191/F1191)</f>
        <v/>
      </c>
      <c r="J1191" t="str">
        <f>IF(OR(H1191="",I1191=""),"",IF(H1191=0,"",I1191/H1191-1))</f>
        <v/>
      </c>
      <c r="K1191" t="str">
        <f>IF($B1191="","",IFERROR(IF(G1191=0,-2E+300,CHOOSE(sortIdx,ROUND(D1191,0),IF(J1191="",-1E+300,ROUND(-J1191,6)),IF(J1191="",-1E+300,ROUND(J1191,6)))),-1.5E+300))</f>
        <v/>
      </c>
      <c r="L1191" t="str">
        <f>IF(K1191="","",RANK(K1191,$K$2:$K$3001,0)+COUNTIF($K$2:K1191,K1191)-1)</f>
        <v/>
      </c>
    </row>
    <row r="1192">
      <c r="B1192" t="str">
        <f>IFERROR(IF(A1192="","","="&amp;SUBSTITUTE(SUBSTITUTE(SUBSTITUTE(A1192,"~","~~"),"*","~*"),"?","~?")),"")</f>
        <v/>
      </c>
      <c r="C1192" t="str">
        <f>IF($B1192="","",SUMIFS(dAmt,dCust,$B1192,dPer,"&gt;="&amp;pyFrom,dPer,"&lt;="&amp;pyTo,dAmt,"&gt;-1E+300",dFlt1,critFlt1,dFlt2,critFlt2,dFlt3,critFlt3))</f>
        <v/>
      </c>
      <c r="D1192" t="str">
        <f>IF($B1192="","",SUMIFS(dAmt,dCust,$B1192,dPer,"&gt;="&amp;cyFrom,dPer,"&lt;="&amp;cyTo,dAmt,"&gt;-1E+300",dFlt1,critFlt1,dFlt2,critFlt2,dFlt3,critFlt3))</f>
        <v/>
      </c>
      <c r="E1192" t="str">
        <f>IF($B1192="","",SUMIFS(dQty,dCust,$B1192,dPer,"&gt;="&amp;pyFrom,dPer,"&lt;="&amp;pyTo,dQty,"&gt;-1E+300",dFlt1,critFlt1,dFlt2,critFlt2,dFlt3,critFlt3))</f>
        <v/>
      </c>
      <c r="F1192" t="str">
        <f>IF($B1192="","",SUMIFS(dQty,dCust,$B1192,dPer,"&gt;="&amp;cyFrom,dPer,"&lt;="&amp;cyTo,dQty,"&gt;-1E+300",dFlt1,critFlt1,dFlt2,critFlt2,dFlt3,critFlt3))</f>
        <v/>
      </c>
      <c r="G1192">
        <f>IF($B1192="",0,IFERROR(IF(OR(C1192&lt;&gt;0,D1192&lt;&gt;0,E1192&lt;&gt;0,F1192&lt;&gt;0),1,0),1))</f>
        <v>0</v>
      </c>
      <c r="H1192" t="str">
        <f>IF(OR(G1192=0,E1192=0),"",C1192/E1192)</f>
        <v/>
      </c>
      <c r="I1192" t="str">
        <f>IF(OR(G1192=0,F1192=0),"",D1192/F1192)</f>
        <v/>
      </c>
      <c r="J1192" t="str">
        <f>IF(OR(H1192="",I1192=""),"",IF(H1192=0,"",I1192/H1192-1))</f>
        <v/>
      </c>
      <c r="K1192" t="str">
        <f>IF($B1192="","",IFERROR(IF(G1192=0,-2E+300,CHOOSE(sortIdx,ROUND(D1192,0),IF(J1192="",-1E+300,ROUND(-J1192,6)),IF(J1192="",-1E+300,ROUND(J1192,6)))),-1.5E+300))</f>
        <v/>
      </c>
      <c r="L1192" t="str">
        <f>IF(K1192="","",RANK(K1192,$K$2:$K$3001,0)+COUNTIF($K$2:K1192,K1192)-1)</f>
        <v/>
      </c>
    </row>
    <row r="1193">
      <c r="B1193" t="str">
        <f>IFERROR(IF(A1193="","","="&amp;SUBSTITUTE(SUBSTITUTE(SUBSTITUTE(A1193,"~","~~"),"*","~*"),"?","~?")),"")</f>
        <v/>
      </c>
      <c r="C1193" t="str">
        <f>IF($B1193="","",SUMIFS(dAmt,dCust,$B1193,dPer,"&gt;="&amp;pyFrom,dPer,"&lt;="&amp;pyTo,dAmt,"&gt;-1E+300",dFlt1,critFlt1,dFlt2,critFlt2,dFlt3,critFlt3))</f>
        <v/>
      </c>
      <c r="D1193" t="str">
        <f>IF($B1193="","",SUMIFS(dAmt,dCust,$B1193,dPer,"&gt;="&amp;cyFrom,dPer,"&lt;="&amp;cyTo,dAmt,"&gt;-1E+300",dFlt1,critFlt1,dFlt2,critFlt2,dFlt3,critFlt3))</f>
        <v/>
      </c>
      <c r="E1193" t="str">
        <f>IF($B1193="","",SUMIFS(dQty,dCust,$B1193,dPer,"&gt;="&amp;pyFrom,dPer,"&lt;="&amp;pyTo,dQty,"&gt;-1E+300",dFlt1,critFlt1,dFlt2,critFlt2,dFlt3,critFlt3))</f>
        <v/>
      </c>
      <c r="F1193" t="str">
        <f>IF($B1193="","",SUMIFS(dQty,dCust,$B1193,dPer,"&gt;="&amp;cyFrom,dPer,"&lt;="&amp;cyTo,dQty,"&gt;-1E+300",dFlt1,critFlt1,dFlt2,critFlt2,dFlt3,critFlt3))</f>
        <v/>
      </c>
      <c r="G1193">
        <f>IF($B1193="",0,IFERROR(IF(OR(C1193&lt;&gt;0,D1193&lt;&gt;0,E1193&lt;&gt;0,F1193&lt;&gt;0),1,0),1))</f>
        <v>0</v>
      </c>
      <c r="H1193" t="str">
        <f>IF(OR(G1193=0,E1193=0),"",C1193/E1193)</f>
        <v/>
      </c>
      <c r="I1193" t="str">
        <f>IF(OR(G1193=0,F1193=0),"",D1193/F1193)</f>
        <v/>
      </c>
      <c r="J1193" t="str">
        <f>IF(OR(H1193="",I1193=""),"",IF(H1193=0,"",I1193/H1193-1))</f>
        <v/>
      </c>
      <c r="K1193" t="str">
        <f>IF($B1193="","",IFERROR(IF(G1193=0,-2E+300,CHOOSE(sortIdx,ROUND(D1193,0),IF(J1193="",-1E+300,ROUND(-J1193,6)),IF(J1193="",-1E+300,ROUND(J1193,6)))),-1.5E+300))</f>
        <v/>
      </c>
      <c r="L1193" t="str">
        <f>IF(K1193="","",RANK(K1193,$K$2:$K$3001,0)+COUNTIF($K$2:K1193,K1193)-1)</f>
        <v/>
      </c>
    </row>
    <row r="1194">
      <c r="B1194" t="str">
        <f>IFERROR(IF(A1194="","","="&amp;SUBSTITUTE(SUBSTITUTE(SUBSTITUTE(A1194,"~","~~"),"*","~*"),"?","~?")),"")</f>
        <v/>
      </c>
      <c r="C1194" t="str">
        <f>IF($B1194="","",SUMIFS(dAmt,dCust,$B1194,dPer,"&gt;="&amp;pyFrom,dPer,"&lt;="&amp;pyTo,dAmt,"&gt;-1E+300",dFlt1,critFlt1,dFlt2,critFlt2,dFlt3,critFlt3))</f>
        <v/>
      </c>
      <c r="D1194" t="str">
        <f>IF($B1194="","",SUMIFS(dAmt,dCust,$B1194,dPer,"&gt;="&amp;cyFrom,dPer,"&lt;="&amp;cyTo,dAmt,"&gt;-1E+300",dFlt1,critFlt1,dFlt2,critFlt2,dFlt3,critFlt3))</f>
        <v/>
      </c>
      <c r="E1194" t="str">
        <f>IF($B1194="","",SUMIFS(dQty,dCust,$B1194,dPer,"&gt;="&amp;pyFrom,dPer,"&lt;="&amp;pyTo,dQty,"&gt;-1E+300",dFlt1,critFlt1,dFlt2,critFlt2,dFlt3,critFlt3))</f>
        <v/>
      </c>
      <c r="F1194" t="str">
        <f>IF($B1194="","",SUMIFS(dQty,dCust,$B1194,dPer,"&gt;="&amp;cyFrom,dPer,"&lt;="&amp;cyTo,dQty,"&gt;-1E+300",dFlt1,critFlt1,dFlt2,critFlt2,dFlt3,critFlt3))</f>
        <v/>
      </c>
      <c r="G1194">
        <f>IF($B1194="",0,IFERROR(IF(OR(C1194&lt;&gt;0,D1194&lt;&gt;0,E1194&lt;&gt;0,F1194&lt;&gt;0),1,0),1))</f>
        <v>0</v>
      </c>
      <c r="H1194" t="str">
        <f>IF(OR(G1194=0,E1194=0),"",C1194/E1194)</f>
        <v/>
      </c>
      <c r="I1194" t="str">
        <f>IF(OR(G1194=0,F1194=0),"",D1194/F1194)</f>
        <v/>
      </c>
      <c r="J1194" t="str">
        <f>IF(OR(H1194="",I1194=""),"",IF(H1194=0,"",I1194/H1194-1))</f>
        <v/>
      </c>
      <c r="K1194" t="str">
        <f>IF($B1194="","",IFERROR(IF(G1194=0,-2E+300,CHOOSE(sortIdx,ROUND(D1194,0),IF(J1194="",-1E+300,ROUND(-J1194,6)),IF(J1194="",-1E+300,ROUND(J1194,6)))),-1.5E+300))</f>
        <v/>
      </c>
      <c r="L1194" t="str">
        <f>IF(K1194="","",RANK(K1194,$K$2:$K$3001,0)+COUNTIF($K$2:K1194,K1194)-1)</f>
        <v/>
      </c>
    </row>
    <row r="1195">
      <c r="B1195" t="str">
        <f>IFERROR(IF(A1195="","","="&amp;SUBSTITUTE(SUBSTITUTE(SUBSTITUTE(A1195,"~","~~"),"*","~*"),"?","~?")),"")</f>
        <v/>
      </c>
      <c r="C1195" t="str">
        <f>IF($B1195="","",SUMIFS(dAmt,dCust,$B1195,dPer,"&gt;="&amp;pyFrom,dPer,"&lt;="&amp;pyTo,dAmt,"&gt;-1E+300",dFlt1,critFlt1,dFlt2,critFlt2,dFlt3,critFlt3))</f>
        <v/>
      </c>
      <c r="D1195" t="str">
        <f>IF($B1195="","",SUMIFS(dAmt,dCust,$B1195,dPer,"&gt;="&amp;cyFrom,dPer,"&lt;="&amp;cyTo,dAmt,"&gt;-1E+300",dFlt1,critFlt1,dFlt2,critFlt2,dFlt3,critFlt3))</f>
        <v/>
      </c>
      <c r="E1195" t="str">
        <f>IF($B1195="","",SUMIFS(dQty,dCust,$B1195,dPer,"&gt;="&amp;pyFrom,dPer,"&lt;="&amp;pyTo,dQty,"&gt;-1E+300",dFlt1,critFlt1,dFlt2,critFlt2,dFlt3,critFlt3))</f>
        <v/>
      </c>
      <c r="F1195" t="str">
        <f>IF($B1195="","",SUMIFS(dQty,dCust,$B1195,dPer,"&gt;="&amp;cyFrom,dPer,"&lt;="&amp;cyTo,dQty,"&gt;-1E+300",dFlt1,critFlt1,dFlt2,critFlt2,dFlt3,critFlt3))</f>
        <v/>
      </c>
      <c r="G1195">
        <f>IF($B1195="",0,IFERROR(IF(OR(C1195&lt;&gt;0,D1195&lt;&gt;0,E1195&lt;&gt;0,F1195&lt;&gt;0),1,0),1))</f>
        <v>0</v>
      </c>
      <c r="H1195" t="str">
        <f>IF(OR(G1195=0,E1195=0),"",C1195/E1195)</f>
        <v/>
      </c>
      <c r="I1195" t="str">
        <f>IF(OR(G1195=0,F1195=0),"",D1195/F1195)</f>
        <v/>
      </c>
      <c r="J1195" t="str">
        <f>IF(OR(H1195="",I1195=""),"",IF(H1195=0,"",I1195/H1195-1))</f>
        <v/>
      </c>
      <c r="K1195" t="str">
        <f>IF($B1195="","",IFERROR(IF(G1195=0,-2E+300,CHOOSE(sortIdx,ROUND(D1195,0),IF(J1195="",-1E+300,ROUND(-J1195,6)),IF(J1195="",-1E+300,ROUND(J1195,6)))),-1.5E+300))</f>
        <v/>
      </c>
      <c r="L1195" t="str">
        <f>IF(K1195="","",RANK(K1195,$K$2:$K$3001,0)+COUNTIF($K$2:K1195,K1195)-1)</f>
        <v/>
      </c>
    </row>
    <row r="1196">
      <c r="B1196" t="str">
        <f>IFERROR(IF(A1196="","","="&amp;SUBSTITUTE(SUBSTITUTE(SUBSTITUTE(A1196,"~","~~"),"*","~*"),"?","~?")),"")</f>
        <v/>
      </c>
      <c r="C1196" t="str">
        <f>IF($B1196="","",SUMIFS(dAmt,dCust,$B1196,dPer,"&gt;="&amp;pyFrom,dPer,"&lt;="&amp;pyTo,dAmt,"&gt;-1E+300",dFlt1,critFlt1,dFlt2,critFlt2,dFlt3,critFlt3))</f>
        <v/>
      </c>
      <c r="D1196" t="str">
        <f>IF($B1196="","",SUMIFS(dAmt,dCust,$B1196,dPer,"&gt;="&amp;cyFrom,dPer,"&lt;="&amp;cyTo,dAmt,"&gt;-1E+300",dFlt1,critFlt1,dFlt2,critFlt2,dFlt3,critFlt3))</f>
        <v/>
      </c>
      <c r="E1196" t="str">
        <f>IF($B1196="","",SUMIFS(dQty,dCust,$B1196,dPer,"&gt;="&amp;pyFrom,dPer,"&lt;="&amp;pyTo,dQty,"&gt;-1E+300",dFlt1,critFlt1,dFlt2,critFlt2,dFlt3,critFlt3))</f>
        <v/>
      </c>
      <c r="F1196" t="str">
        <f>IF($B1196="","",SUMIFS(dQty,dCust,$B1196,dPer,"&gt;="&amp;cyFrom,dPer,"&lt;="&amp;cyTo,dQty,"&gt;-1E+300",dFlt1,critFlt1,dFlt2,critFlt2,dFlt3,critFlt3))</f>
        <v/>
      </c>
      <c r="G1196">
        <f>IF($B1196="",0,IFERROR(IF(OR(C1196&lt;&gt;0,D1196&lt;&gt;0,E1196&lt;&gt;0,F1196&lt;&gt;0),1,0),1))</f>
        <v>0</v>
      </c>
      <c r="H1196" t="str">
        <f>IF(OR(G1196=0,E1196=0),"",C1196/E1196)</f>
        <v/>
      </c>
      <c r="I1196" t="str">
        <f>IF(OR(G1196=0,F1196=0),"",D1196/F1196)</f>
        <v/>
      </c>
      <c r="J1196" t="str">
        <f>IF(OR(H1196="",I1196=""),"",IF(H1196=0,"",I1196/H1196-1))</f>
        <v/>
      </c>
      <c r="K1196" t="str">
        <f>IF($B1196="","",IFERROR(IF(G1196=0,-2E+300,CHOOSE(sortIdx,ROUND(D1196,0),IF(J1196="",-1E+300,ROUND(-J1196,6)),IF(J1196="",-1E+300,ROUND(J1196,6)))),-1.5E+300))</f>
        <v/>
      </c>
      <c r="L1196" t="str">
        <f>IF(K1196="","",RANK(K1196,$K$2:$K$3001,0)+COUNTIF($K$2:K1196,K1196)-1)</f>
        <v/>
      </c>
    </row>
    <row r="1197">
      <c r="B1197" t="str">
        <f>IFERROR(IF(A1197="","","="&amp;SUBSTITUTE(SUBSTITUTE(SUBSTITUTE(A1197,"~","~~"),"*","~*"),"?","~?")),"")</f>
        <v/>
      </c>
      <c r="C1197" t="str">
        <f>IF($B1197="","",SUMIFS(dAmt,dCust,$B1197,dPer,"&gt;="&amp;pyFrom,dPer,"&lt;="&amp;pyTo,dAmt,"&gt;-1E+300",dFlt1,critFlt1,dFlt2,critFlt2,dFlt3,critFlt3))</f>
        <v/>
      </c>
      <c r="D1197" t="str">
        <f>IF($B1197="","",SUMIFS(dAmt,dCust,$B1197,dPer,"&gt;="&amp;cyFrom,dPer,"&lt;="&amp;cyTo,dAmt,"&gt;-1E+300",dFlt1,critFlt1,dFlt2,critFlt2,dFlt3,critFlt3))</f>
        <v/>
      </c>
      <c r="E1197" t="str">
        <f>IF($B1197="","",SUMIFS(dQty,dCust,$B1197,dPer,"&gt;="&amp;pyFrom,dPer,"&lt;="&amp;pyTo,dQty,"&gt;-1E+300",dFlt1,critFlt1,dFlt2,critFlt2,dFlt3,critFlt3))</f>
        <v/>
      </c>
      <c r="F1197" t="str">
        <f>IF($B1197="","",SUMIFS(dQty,dCust,$B1197,dPer,"&gt;="&amp;cyFrom,dPer,"&lt;="&amp;cyTo,dQty,"&gt;-1E+300",dFlt1,critFlt1,dFlt2,critFlt2,dFlt3,critFlt3))</f>
        <v/>
      </c>
      <c r="G1197">
        <f>IF($B1197="",0,IFERROR(IF(OR(C1197&lt;&gt;0,D1197&lt;&gt;0,E1197&lt;&gt;0,F1197&lt;&gt;0),1,0),1))</f>
        <v>0</v>
      </c>
      <c r="H1197" t="str">
        <f>IF(OR(G1197=0,E1197=0),"",C1197/E1197)</f>
        <v/>
      </c>
      <c r="I1197" t="str">
        <f>IF(OR(G1197=0,F1197=0),"",D1197/F1197)</f>
        <v/>
      </c>
      <c r="J1197" t="str">
        <f>IF(OR(H1197="",I1197=""),"",IF(H1197=0,"",I1197/H1197-1))</f>
        <v/>
      </c>
      <c r="K1197" t="str">
        <f>IF($B1197="","",IFERROR(IF(G1197=0,-2E+300,CHOOSE(sortIdx,ROUND(D1197,0),IF(J1197="",-1E+300,ROUND(-J1197,6)),IF(J1197="",-1E+300,ROUND(J1197,6)))),-1.5E+300))</f>
        <v/>
      </c>
      <c r="L1197" t="str">
        <f>IF(K1197="","",RANK(K1197,$K$2:$K$3001,0)+COUNTIF($K$2:K1197,K1197)-1)</f>
        <v/>
      </c>
    </row>
    <row r="1198">
      <c r="B1198" t="str">
        <f>IFERROR(IF(A1198="","","="&amp;SUBSTITUTE(SUBSTITUTE(SUBSTITUTE(A1198,"~","~~"),"*","~*"),"?","~?")),"")</f>
        <v/>
      </c>
      <c r="C1198" t="str">
        <f>IF($B1198="","",SUMIFS(dAmt,dCust,$B1198,dPer,"&gt;="&amp;pyFrom,dPer,"&lt;="&amp;pyTo,dAmt,"&gt;-1E+300",dFlt1,critFlt1,dFlt2,critFlt2,dFlt3,critFlt3))</f>
        <v/>
      </c>
      <c r="D1198" t="str">
        <f>IF($B1198="","",SUMIFS(dAmt,dCust,$B1198,dPer,"&gt;="&amp;cyFrom,dPer,"&lt;="&amp;cyTo,dAmt,"&gt;-1E+300",dFlt1,critFlt1,dFlt2,critFlt2,dFlt3,critFlt3))</f>
        <v/>
      </c>
      <c r="E1198" t="str">
        <f>IF($B1198="","",SUMIFS(dQty,dCust,$B1198,dPer,"&gt;="&amp;pyFrom,dPer,"&lt;="&amp;pyTo,dQty,"&gt;-1E+300",dFlt1,critFlt1,dFlt2,critFlt2,dFlt3,critFlt3))</f>
        <v/>
      </c>
      <c r="F1198" t="str">
        <f>IF($B1198="","",SUMIFS(dQty,dCust,$B1198,dPer,"&gt;="&amp;cyFrom,dPer,"&lt;="&amp;cyTo,dQty,"&gt;-1E+300",dFlt1,critFlt1,dFlt2,critFlt2,dFlt3,critFlt3))</f>
        <v/>
      </c>
      <c r="G1198">
        <f>IF($B1198="",0,IFERROR(IF(OR(C1198&lt;&gt;0,D1198&lt;&gt;0,E1198&lt;&gt;0,F1198&lt;&gt;0),1,0),1))</f>
        <v>0</v>
      </c>
      <c r="H1198" t="str">
        <f>IF(OR(G1198=0,E1198=0),"",C1198/E1198)</f>
        <v/>
      </c>
      <c r="I1198" t="str">
        <f>IF(OR(G1198=0,F1198=0),"",D1198/F1198)</f>
        <v/>
      </c>
      <c r="J1198" t="str">
        <f>IF(OR(H1198="",I1198=""),"",IF(H1198=0,"",I1198/H1198-1))</f>
        <v/>
      </c>
      <c r="K1198" t="str">
        <f>IF($B1198="","",IFERROR(IF(G1198=0,-2E+300,CHOOSE(sortIdx,ROUND(D1198,0),IF(J1198="",-1E+300,ROUND(-J1198,6)),IF(J1198="",-1E+300,ROUND(J1198,6)))),-1.5E+300))</f>
        <v/>
      </c>
      <c r="L1198" t="str">
        <f>IF(K1198="","",RANK(K1198,$K$2:$K$3001,0)+COUNTIF($K$2:K1198,K1198)-1)</f>
        <v/>
      </c>
    </row>
    <row r="1199">
      <c r="B1199" t="str">
        <f>IFERROR(IF(A1199="","","="&amp;SUBSTITUTE(SUBSTITUTE(SUBSTITUTE(A1199,"~","~~"),"*","~*"),"?","~?")),"")</f>
        <v/>
      </c>
      <c r="C1199" t="str">
        <f>IF($B1199="","",SUMIFS(dAmt,dCust,$B1199,dPer,"&gt;="&amp;pyFrom,dPer,"&lt;="&amp;pyTo,dAmt,"&gt;-1E+300",dFlt1,critFlt1,dFlt2,critFlt2,dFlt3,critFlt3))</f>
        <v/>
      </c>
      <c r="D1199" t="str">
        <f>IF($B1199="","",SUMIFS(dAmt,dCust,$B1199,dPer,"&gt;="&amp;cyFrom,dPer,"&lt;="&amp;cyTo,dAmt,"&gt;-1E+300",dFlt1,critFlt1,dFlt2,critFlt2,dFlt3,critFlt3))</f>
        <v/>
      </c>
      <c r="E1199" t="str">
        <f>IF($B1199="","",SUMIFS(dQty,dCust,$B1199,dPer,"&gt;="&amp;pyFrom,dPer,"&lt;="&amp;pyTo,dQty,"&gt;-1E+300",dFlt1,critFlt1,dFlt2,critFlt2,dFlt3,critFlt3))</f>
        <v/>
      </c>
      <c r="F1199" t="str">
        <f>IF($B1199="","",SUMIFS(dQty,dCust,$B1199,dPer,"&gt;="&amp;cyFrom,dPer,"&lt;="&amp;cyTo,dQty,"&gt;-1E+300",dFlt1,critFlt1,dFlt2,critFlt2,dFlt3,critFlt3))</f>
        <v/>
      </c>
      <c r="G1199">
        <f>IF($B1199="",0,IFERROR(IF(OR(C1199&lt;&gt;0,D1199&lt;&gt;0,E1199&lt;&gt;0,F1199&lt;&gt;0),1,0),1))</f>
        <v>0</v>
      </c>
      <c r="H1199" t="str">
        <f>IF(OR(G1199=0,E1199=0),"",C1199/E1199)</f>
        <v/>
      </c>
      <c r="I1199" t="str">
        <f>IF(OR(G1199=0,F1199=0),"",D1199/F1199)</f>
        <v/>
      </c>
      <c r="J1199" t="str">
        <f>IF(OR(H1199="",I1199=""),"",IF(H1199=0,"",I1199/H1199-1))</f>
        <v/>
      </c>
      <c r="K1199" t="str">
        <f>IF($B1199="","",IFERROR(IF(G1199=0,-2E+300,CHOOSE(sortIdx,ROUND(D1199,0),IF(J1199="",-1E+300,ROUND(-J1199,6)),IF(J1199="",-1E+300,ROUND(J1199,6)))),-1.5E+300))</f>
        <v/>
      </c>
      <c r="L1199" t="str">
        <f>IF(K1199="","",RANK(K1199,$K$2:$K$3001,0)+COUNTIF($K$2:K1199,K1199)-1)</f>
        <v/>
      </c>
    </row>
    <row r="1200">
      <c r="B1200" t="str">
        <f>IFERROR(IF(A1200="","","="&amp;SUBSTITUTE(SUBSTITUTE(SUBSTITUTE(A1200,"~","~~"),"*","~*"),"?","~?")),"")</f>
        <v/>
      </c>
      <c r="C1200" t="str">
        <f>IF($B1200="","",SUMIFS(dAmt,dCust,$B1200,dPer,"&gt;="&amp;pyFrom,dPer,"&lt;="&amp;pyTo,dAmt,"&gt;-1E+300",dFlt1,critFlt1,dFlt2,critFlt2,dFlt3,critFlt3))</f>
        <v/>
      </c>
      <c r="D1200" t="str">
        <f>IF($B1200="","",SUMIFS(dAmt,dCust,$B1200,dPer,"&gt;="&amp;cyFrom,dPer,"&lt;="&amp;cyTo,dAmt,"&gt;-1E+300",dFlt1,critFlt1,dFlt2,critFlt2,dFlt3,critFlt3))</f>
        <v/>
      </c>
      <c r="E1200" t="str">
        <f>IF($B1200="","",SUMIFS(dQty,dCust,$B1200,dPer,"&gt;="&amp;pyFrom,dPer,"&lt;="&amp;pyTo,dQty,"&gt;-1E+300",dFlt1,critFlt1,dFlt2,critFlt2,dFlt3,critFlt3))</f>
        <v/>
      </c>
      <c r="F1200" t="str">
        <f>IF($B1200="","",SUMIFS(dQty,dCust,$B1200,dPer,"&gt;="&amp;cyFrom,dPer,"&lt;="&amp;cyTo,dQty,"&gt;-1E+300",dFlt1,critFlt1,dFlt2,critFlt2,dFlt3,critFlt3))</f>
        <v/>
      </c>
      <c r="G1200">
        <f>IF($B1200="",0,IFERROR(IF(OR(C1200&lt;&gt;0,D1200&lt;&gt;0,E1200&lt;&gt;0,F1200&lt;&gt;0),1,0),1))</f>
        <v>0</v>
      </c>
      <c r="H1200" t="str">
        <f>IF(OR(G1200=0,E1200=0),"",C1200/E1200)</f>
        <v/>
      </c>
      <c r="I1200" t="str">
        <f>IF(OR(G1200=0,F1200=0),"",D1200/F1200)</f>
        <v/>
      </c>
      <c r="J1200" t="str">
        <f>IF(OR(H1200="",I1200=""),"",IF(H1200=0,"",I1200/H1200-1))</f>
        <v/>
      </c>
      <c r="K1200" t="str">
        <f>IF($B1200="","",IFERROR(IF(G1200=0,-2E+300,CHOOSE(sortIdx,ROUND(D1200,0),IF(J1200="",-1E+300,ROUND(-J1200,6)),IF(J1200="",-1E+300,ROUND(J1200,6)))),-1.5E+300))</f>
        <v/>
      </c>
      <c r="L1200" t="str">
        <f>IF(K1200="","",RANK(K1200,$K$2:$K$3001,0)+COUNTIF($K$2:K1200,K1200)-1)</f>
        <v/>
      </c>
    </row>
    <row r="1201">
      <c r="B1201" t="str">
        <f>IFERROR(IF(A1201="","","="&amp;SUBSTITUTE(SUBSTITUTE(SUBSTITUTE(A1201,"~","~~"),"*","~*"),"?","~?")),"")</f>
        <v/>
      </c>
      <c r="C1201" t="str">
        <f>IF($B1201="","",SUMIFS(dAmt,dCust,$B1201,dPer,"&gt;="&amp;pyFrom,dPer,"&lt;="&amp;pyTo,dAmt,"&gt;-1E+300",dFlt1,critFlt1,dFlt2,critFlt2,dFlt3,critFlt3))</f>
        <v/>
      </c>
      <c r="D1201" t="str">
        <f>IF($B1201="","",SUMIFS(dAmt,dCust,$B1201,dPer,"&gt;="&amp;cyFrom,dPer,"&lt;="&amp;cyTo,dAmt,"&gt;-1E+300",dFlt1,critFlt1,dFlt2,critFlt2,dFlt3,critFlt3))</f>
        <v/>
      </c>
      <c r="E1201" t="str">
        <f>IF($B1201="","",SUMIFS(dQty,dCust,$B1201,dPer,"&gt;="&amp;pyFrom,dPer,"&lt;="&amp;pyTo,dQty,"&gt;-1E+300",dFlt1,critFlt1,dFlt2,critFlt2,dFlt3,critFlt3))</f>
        <v/>
      </c>
      <c r="F1201" t="str">
        <f>IF($B1201="","",SUMIFS(dQty,dCust,$B1201,dPer,"&gt;="&amp;cyFrom,dPer,"&lt;="&amp;cyTo,dQty,"&gt;-1E+300",dFlt1,critFlt1,dFlt2,critFlt2,dFlt3,critFlt3))</f>
        <v/>
      </c>
      <c r="G1201">
        <f>IF($B1201="",0,IFERROR(IF(OR(C1201&lt;&gt;0,D1201&lt;&gt;0,E1201&lt;&gt;0,F1201&lt;&gt;0),1,0),1))</f>
        <v>0</v>
      </c>
      <c r="H1201" t="str">
        <f>IF(OR(G1201=0,E1201=0),"",C1201/E1201)</f>
        <v/>
      </c>
      <c r="I1201" t="str">
        <f>IF(OR(G1201=0,F1201=0),"",D1201/F1201)</f>
        <v/>
      </c>
      <c r="J1201" t="str">
        <f>IF(OR(H1201="",I1201=""),"",IF(H1201=0,"",I1201/H1201-1))</f>
        <v/>
      </c>
      <c r="K1201" t="str">
        <f>IF($B1201="","",IFERROR(IF(G1201=0,-2E+300,CHOOSE(sortIdx,ROUND(D1201,0),IF(J1201="",-1E+300,ROUND(-J1201,6)),IF(J1201="",-1E+300,ROUND(J1201,6)))),-1.5E+300))</f>
        <v/>
      </c>
      <c r="L1201" t="str">
        <f>IF(K1201="","",RANK(K1201,$K$2:$K$3001,0)+COUNTIF($K$2:K1201,K1201)-1)</f>
        <v/>
      </c>
    </row>
    <row r="1202">
      <c r="B1202" t="str">
        <f>IFERROR(IF(A1202="","","="&amp;SUBSTITUTE(SUBSTITUTE(SUBSTITUTE(A1202,"~","~~"),"*","~*"),"?","~?")),"")</f>
        <v/>
      </c>
      <c r="C1202" t="str">
        <f>IF($B1202="","",SUMIFS(dAmt,dCust,$B1202,dPer,"&gt;="&amp;pyFrom,dPer,"&lt;="&amp;pyTo,dAmt,"&gt;-1E+300",dFlt1,critFlt1,dFlt2,critFlt2,dFlt3,critFlt3))</f>
        <v/>
      </c>
      <c r="D1202" t="str">
        <f>IF($B1202="","",SUMIFS(dAmt,dCust,$B1202,dPer,"&gt;="&amp;cyFrom,dPer,"&lt;="&amp;cyTo,dAmt,"&gt;-1E+300",dFlt1,critFlt1,dFlt2,critFlt2,dFlt3,critFlt3))</f>
        <v/>
      </c>
      <c r="E1202" t="str">
        <f>IF($B1202="","",SUMIFS(dQty,dCust,$B1202,dPer,"&gt;="&amp;pyFrom,dPer,"&lt;="&amp;pyTo,dQty,"&gt;-1E+300",dFlt1,critFlt1,dFlt2,critFlt2,dFlt3,critFlt3))</f>
        <v/>
      </c>
      <c r="F1202" t="str">
        <f>IF($B1202="","",SUMIFS(dQty,dCust,$B1202,dPer,"&gt;="&amp;cyFrom,dPer,"&lt;="&amp;cyTo,dQty,"&gt;-1E+300",dFlt1,critFlt1,dFlt2,critFlt2,dFlt3,critFlt3))</f>
        <v/>
      </c>
      <c r="G1202">
        <f>IF($B1202="",0,IFERROR(IF(OR(C1202&lt;&gt;0,D1202&lt;&gt;0,E1202&lt;&gt;0,F1202&lt;&gt;0),1,0),1))</f>
        <v>0</v>
      </c>
      <c r="H1202" t="str">
        <f>IF(OR(G1202=0,E1202=0),"",C1202/E1202)</f>
        <v/>
      </c>
      <c r="I1202" t="str">
        <f>IF(OR(G1202=0,F1202=0),"",D1202/F1202)</f>
        <v/>
      </c>
      <c r="J1202" t="str">
        <f>IF(OR(H1202="",I1202=""),"",IF(H1202=0,"",I1202/H1202-1))</f>
        <v/>
      </c>
      <c r="K1202" t="str">
        <f>IF($B1202="","",IFERROR(IF(G1202=0,-2E+300,CHOOSE(sortIdx,ROUND(D1202,0),IF(J1202="",-1E+300,ROUND(-J1202,6)),IF(J1202="",-1E+300,ROUND(J1202,6)))),-1.5E+300))</f>
        <v/>
      </c>
      <c r="L1202" t="str">
        <f>IF(K1202="","",RANK(K1202,$K$2:$K$3001,0)+COUNTIF($K$2:K1202,K1202)-1)</f>
        <v/>
      </c>
    </row>
    <row r="1203">
      <c r="B1203" t="str">
        <f>IFERROR(IF(A1203="","","="&amp;SUBSTITUTE(SUBSTITUTE(SUBSTITUTE(A1203,"~","~~"),"*","~*"),"?","~?")),"")</f>
        <v/>
      </c>
      <c r="C1203" t="str">
        <f>IF($B1203="","",SUMIFS(dAmt,dCust,$B1203,dPer,"&gt;="&amp;pyFrom,dPer,"&lt;="&amp;pyTo,dAmt,"&gt;-1E+300",dFlt1,critFlt1,dFlt2,critFlt2,dFlt3,critFlt3))</f>
        <v/>
      </c>
      <c r="D1203" t="str">
        <f>IF($B1203="","",SUMIFS(dAmt,dCust,$B1203,dPer,"&gt;="&amp;cyFrom,dPer,"&lt;="&amp;cyTo,dAmt,"&gt;-1E+300",dFlt1,critFlt1,dFlt2,critFlt2,dFlt3,critFlt3))</f>
        <v/>
      </c>
      <c r="E1203" t="str">
        <f>IF($B1203="","",SUMIFS(dQty,dCust,$B1203,dPer,"&gt;="&amp;pyFrom,dPer,"&lt;="&amp;pyTo,dQty,"&gt;-1E+300",dFlt1,critFlt1,dFlt2,critFlt2,dFlt3,critFlt3))</f>
        <v/>
      </c>
      <c r="F1203" t="str">
        <f>IF($B1203="","",SUMIFS(dQty,dCust,$B1203,dPer,"&gt;="&amp;cyFrom,dPer,"&lt;="&amp;cyTo,dQty,"&gt;-1E+300",dFlt1,critFlt1,dFlt2,critFlt2,dFlt3,critFlt3))</f>
        <v/>
      </c>
      <c r="G1203">
        <f>IF($B1203="",0,IFERROR(IF(OR(C1203&lt;&gt;0,D1203&lt;&gt;0,E1203&lt;&gt;0,F1203&lt;&gt;0),1,0),1))</f>
        <v>0</v>
      </c>
      <c r="H1203" t="str">
        <f>IF(OR(G1203=0,E1203=0),"",C1203/E1203)</f>
        <v/>
      </c>
      <c r="I1203" t="str">
        <f>IF(OR(G1203=0,F1203=0),"",D1203/F1203)</f>
        <v/>
      </c>
      <c r="J1203" t="str">
        <f>IF(OR(H1203="",I1203=""),"",IF(H1203=0,"",I1203/H1203-1))</f>
        <v/>
      </c>
      <c r="K1203" t="str">
        <f>IF($B1203="","",IFERROR(IF(G1203=0,-2E+300,CHOOSE(sortIdx,ROUND(D1203,0),IF(J1203="",-1E+300,ROUND(-J1203,6)),IF(J1203="",-1E+300,ROUND(J1203,6)))),-1.5E+300))</f>
        <v/>
      </c>
      <c r="L1203" t="str">
        <f>IF(K1203="","",RANK(K1203,$K$2:$K$3001,0)+COUNTIF($K$2:K1203,K1203)-1)</f>
        <v/>
      </c>
    </row>
    <row r="1204">
      <c r="B1204" t="str">
        <f>IFERROR(IF(A1204="","","="&amp;SUBSTITUTE(SUBSTITUTE(SUBSTITUTE(A1204,"~","~~"),"*","~*"),"?","~?")),"")</f>
        <v/>
      </c>
      <c r="C1204" t="str">
        <f>IF($B1204="","",SUMIFS(dAmt,dCust,$B1204,dPer,"&gt;="&amp;pyFrom,dPer,"&lt;="&amp;pyTo,dAmt,"&gt;-1E+300",dFlt1,critFlt1,dFlt2,critFlt2,dFlt3,critFlt3))</f>
        <v/>
      </c>
      <c r="D1204" t="str">
        <f>IF($B1204="","",SUMIFS(dAmt,dCust,$B1204,dPer,"&gt;="&amp;cyFrom,dPer,"&lt;="&amp;cyTo,dAmt,"&gt;-1E+300",dFlt1,critFlt1,dFlt2,critFlt2,dFlt3,critFlt3))</f>
        <v/>
      </c>
      <c r="E1204" t="str">
        <f>IF($B1204="","",SUMIFS(dQty,dCust,$B1204,dPer,"&gt;="&amp;pyFrom,dPer,"&lt;="&amp;pyTo,dQty,"&gt;-1E+300",dFlt1,critFlt1,dFlt2,critFlt2,dFlt3,critFlt3))</f>
        <v/>
      </c>
      <c r="F1204" t="str">
        <f>IF($B1204="","",SUMIFS(dQty,dCust,$B1204,dPer,"&gt;="&amp;cyFrom,dPer,"&lt;="&amp;cyTo,dQty,"&gt;-1E+300",dFlt1,critFlt1,dFlt2,critFlt2,dFlt3,critFlt3))</f>
        <v/>
      </c>
      <c r="G1204">
        <f>IF($B1204="",0,IFERROR(IF(OR(C1204&lt;&gt;0,D1204&lt;&gt;0,E1204&lt;&gt;0,F1204&lt;&gt;0),1,0),1))</f>
        <v>0</v>
      </c>
      <c r="H1204" t="str">
        <f>IF(OR(G1204=0,E1204=0),"",C1204/E1204)</f>
        <v/>
      </c>
      <c r="I1204" t="str">
        <f>IF(OR(G1204=0,F1204=0),"",D1204/F1204)</f>
        <v/>
      </c>
      <c r="J1204" t="str">
        <f>IF(OR(H1204="",I1204=""),"",IF(H1204=0,"",I1204/H1204-1))</f>
        <v/>
      </c>
      <c r="K1204" t="str">
        <f>IF($B1204="","",IFERROR(IF(G1204=0,-2E+300,CHOOSE(sortIdx,ROUND(D1204,0),IF(J1204="",-1E+300,ROUND(-J1204,6)),IF(J1204="",-1E+300,ROUND(J1204,6)))),-1.5E+300))</f>
        <v/>
      </c>
      <c r="L1204" t="str">
        <f>IF(K1204="","",RANK(K1204,$K$2:$K$3001,0)+COUNTIF($K$2:K1204,K1204)-1)</f>
        <v/>
      </c>
    </row>
    <row r="1205">
      <c r="B1205" t="str">
        <f>IFERROR(IF(A1205="","","="&amp;SUBSTITUTE(SUBSTITUTE(SUBSTITUTE(A1205,"~","~~"),"*","~*"),"?","~?")),"")</f>
        <v/>
      </c>
      <c r="C1205" t="str">
        <f>IF($B1205="","",SUMIFS(dAmt,dCust,$B1205,dPer,"&gt;="&amp;pyFrom,dPer,"&lt;="&amp;pyTo,dAmt,"&gt;-1E+300",dFlt1,critFlt1,dFlt2,critFlt2,dFlt3,critFlt3))</f>
        <v/>
      </c>
      <c r="D1205" t="str">
        <f>IF($B1205="","",SUMIFS(dAmt,dCust,$B1205,dPer,"&gt;="&amp;cyFrom,dPer,"&lt;="&amp;cyTo,dAmt,"&gt;-1E+300",dFlt1,critFlt1,dFlt2,critFlt2,dFlt3,critFlt3))</f>
        <v/>
      </c>
      <c r="E1205" t="str">
        <f>IF($B1205="","",SUMIFS(dQty,dCust,$B1205,dPer,"&gt;="&amp;pyFrom,dPer,"&lt;="&amp;pyTo,dQty,"&gt;-1E+300",dFlt1,critFlt1,dFlt2,critFlt2,dFlt3,critFlt3))</f>
        <v/>
      </c>
      <c r="F1205" t="str">
        <f>IF($B1205="","",SUMIFS(dQty,dCust,$B1205,dPer,"&gt;="&amp;cyFrom,dPer,"&lt;="&amp;cyTo,dQty,"&gt;-1E+300",dFlt1,critFlt1,dFlt2,critFlt2,dFlt3,critFlt3))</f>
        <v/>
      </c>
      <c r="G1205">
        <f>IF($B1205="",0,IFERROR(IF(OR(C1205&lt;&gt;0,D1205&lt;&gt;0,E1205&lt;&gt;0,F1205&lt;&gt;0),1,0),1))</f>
        <v>0</v>
      </c>
      <c r="H1205" t="str">
        <f>IF(OR(G1205=0,E1205=0),"",C1205/E1205)</f>
        <v/>
      </c>
      <c r="I1205" t="str">
        <f>IF(OR(G1205=0,F1205=0),"",D1205/F1205)</f>
        <v/>
      </c>
      <c r="J1205" t="str">
        <f>IF(OR(H1205="",I1205=""),"",IF(H1205=0,"",I1205/H1205-1))</f>
        <v/>
      </c>
      <c r="K1205" t="str">
        <f>IF($B1205="","",IFERROR(IF(G1205=0,-2E+300,CHOOSE(sortIdx,ROUND(D1205,0),IF(J1205="",-1E+300,ROUND(-J1205,6)),IF(J1205="",-1E+300,ROUND(J1205,6)))),-1.5E+300))</f>
        <v/>
      </c>
      <c r="L1205" t="str">
        <f>IF(K1205="","",RANK(K1205,$K$2:$K$3001,0)+COUNTIF($K$2:K1205,K1205)-1)</f>
        <v/>
      </c>
    </row>
    <row r="1206">
      <c r="B1206" t="str">
        <f>IFERROR(IF(A1206="","","="&amp;SUBSTITUTE(SUBSTITUTE(SUBSTITUTE(A1206,"~","~~"),"*","~*"),"?","~?")),"")</f>
        <v/>
      </c>
      <c r="C1206" t="str">
        <f>IF($B1206="","",SUMIFS(dAmt,dCust,$B1206,dPer,"&gt;="&amp;pyFrom,dPer,"&lt;="&amp;pyTo,dAmt,"&gt;-1E+300",dFlt1,critFlt1,dFlt2,critFlt2,dFlt3,critFlt3))</f>
        <v/>
      </c>
      <c r="D1206" t="str">
        <f>IF($B1206="","",SUMIFS(dAmt,dCust,$B1206,dPer,"&gt;="&amp;cyFrom,dPer,"&lt;="&amp;cyTo,dAmt,"&gt;-1E+300",dFlt1,critFlt1,dFlt2,critFlt2,dFlt3,critFlt3))</f>
        <v/>
      </c>
      <c r="E1206" t="str">
        <f>IF($B1206="","",SUMIFS(dQty,dCust,$B1206,dPer,"&gt;="&amp;pyFrom,dPer,"&lt;="&amp;pyTo,dQty,"&gt;-1E+300",dFlt1,critFlt1,dFlt2,critFlt2,dFlt3,critFlt3))</f>
        <v/>
      </c>
      <c r="F1206" t="str">
        <f>IF($B1206="","",SUMIFS(dQty,dCust,$B1206,dPer,"&gt;="&amp;cyFrom,dPer,"&lt;="&amp;cyTo,dQty,"&gt;-1E+300",dFlt1,critFlt1,dFlt2,critFlt2,dFlt3,critFlt3))</f>
        <v/>
      </c>
      <c r="G1206">
        <f>IF($B1206="",0,IFERROR(IF(OR(C1206&lt;&gt;0,D1206&lt;&gt;0,E1206&lt;&gt;0,F1206&lt;&gt;0),1,0),1))</f>
        <v>0</v>
      </c>
      <c r="H1206" t="str">
        <f>IF(OR(G1206=0,E1206=0),"",C1206/E1206)</f>
        <v/>
      </c>
      <c r="I1206" t="str">
        <f>IF(OR(G1206=0,F1206=0),"",D1206/F1206)</f>
        <v/>
      </c>
      <c r="J1206" t="str">
        <f>IF(OR(H1206="",I1206=""),"",IF(H1206=0,"",I1206/H1206-1))</f>
        <v/>
      </c>
      <c r="K1206" t="str">
        <f>IF($B1206="","",IFERROR(IF(G1206=0,-2E+300,CHOOSE(sortIdx,ROUND(D1206,0),IF(J1206="",-1E+300,ROUND(-J1206,6)),IF(J1206="",-1E+300,ROUND(J1206,6)))),-1.5E+300))</f>
        <v/>
      </c>
      <c r="L1206" t="str">
        <f>IF(K1206="","",RANK(K1206,$K$2:$K$3001,0)+COUNTIF($K$2:K1206,K1206)-1)</f>
        <v/>
      </c>
    </row>
    <row r="1207">
      <c r="B1207" t="str">
        <f>IFERROR(IF(A1207="","","="&amp;SUBSTITUTE(SUBSTITUTE(SUBSTITUTE(A1207,"~","~~"),"*","~*"),"?","~?")),"")</f>
        <v/>
      </c>
      <c r="C1207" t="str">
        <f>IF($B1207="","",SUMIFS(dAmt,dCust,$B1207,dPer,"&gt;="&amp;pyFrom,dPer,"&lt;="&amp;pyTo,dAmt,"&gt;-1E+300",dFlt1,critFlt1,dFlt2,critFlt2,dFlt3,critFlt3))</f>
        <v/>
      </c>
      <c r="D1207" t="str">
        <f>IF($B1207="","",SUMIFS(dAmt,dCust,$B1207,dPer,"&gt;="&amp;cyFrom,dPer,"&lt;="&amp;cyTo,dAmt,"&gt;-1E+300",dFlt1,critFlt1,dFlt2,critFlt2,dFlt3,critFlt3))</f>
        <v/>
      </c>
      <c r="E1207" t="str">
        <f>IF($B1207="","",SUMIFS(dQty,dCust,$B1207,dPer,"&gt;="&amp;pyFrom,dPer,"&lt;="&amp;pyTo,dQty,"&gt;-1E+300",dFlt1,critFlt1,dFlt2,critFlt2,dFlt3,critFlt3))</f>
        <v/>
      </c>
      <c r="F1207" t="str">
        <f>IF($B1207="","",SUMIFS(dQty,dCust,$B1207,dPer,"&gt;="&amp;cyFrom,dPer,"&lt;="&amp;cyTo,dQty,"&gt;-1E+300",dFlt1,critFlt1,dFlt2,critFlt2,dFlt3,critFlt3))</f>
        <v/>
      </c>
      <c r="G1207">
        <f>IF($B1207="",0,IFERROR(IF(OR(C1207&lt;&gt;0,D1207&lt;&gt;0,E1207&lt;&gt;0,F1207&lt;&gt;0),1,0),1))</f>
        <v>0</v>
      </c>
      <c r="H1207" t="str">
        <f>IF(OR(G1207=0,E1207=0),"",C1207/E1207)</f>
        <v/>
      </c>
      <c r="I1207" t="str">
        <f>IF(OR(G1207=0,F1207=0),"",D1207/F1207)</f>
        <v/>
      </c>
      <c r="J1207" t="str">
        <f>IF(OR(H1207="",I1207=""),"",IF(H1207=0,"",I1207/H1207-1))</f>
        <v/>
      </c>
      <c r="K1207" t="str">
        <f>IF($B1207="","",IFERROR(IF(G1207=0,-2E+300,CHOOSE(sortIdx,ROUND(D1207,0),IF(J1207="",-1E+300,ROUND(-J1207,6)),IF(J1207="",-1E+300,ROUND(J1207,6)))),-1.5E+300))</f>
        <v/>
      </c>
      <c r="L1207" t="str">
        <f>IF(K1207="","",RANK(K1207,$K$2:$K$3001,0)+COUNTIF($K$2:K1207,K1207)-1)</f>
        <v/>
      </c>
    </row>
    <row r="1208">
      <c r="B1208" t="str">
        <f>IFERROR(IF(A1208="","","="&amp;SUBSTITUTE(SUBSTITUTE(SUBSTITUTE(A1208,"~","~~"),"*","~*"),"?","~?")),"")</f>
        <v/>
      </c>
      <c r="C1208" t="str">
        <f>IF($B1208="","",SUMIFS(dAmt,dCust,$B1208,dPer,"&gt;="&amp;pyFrom,dPer,"&lt;="&amp;pyTo,dAmt,"&gt;-1E+300",dFlt1,critFlt1,dFlt2,critFlt2,dFlt3,critFlt3))</f>
        <v/>
      </c>
      <c r="D1208" t="str">
        <f>IF($B1208="","",SUMIFS(dAmt,dCust,$B1208,dPer,"&gt;="&amp;cyFrom,dPer,"&lt;="&amp;cyTo,dAmt,"&gt;-1E+300",dFlt1,critFlt1,dFlt2,critFlt2,dFlt3,critFlt3))</f>
        <v/>
      </c>
      <c r="E1208" t="str">
        <f>IF($B1208="","",SUMIFS(dQty,dCust,$B1208,dPer,"&gt;="&amp;pyFrom,dPer,"&lt;="&amp;pyTo,dQty,"&gt;-1E+300",dFlt1,critFlt1,dFlt2,critFlt2,dFlt3,critFlt3))</f>
        <v/>
      </c>
      <c r="F1208" t="str">
        <f>IF($B1208="","",SUMIFS(dQty,dCust,$B1208,dPer,"&gt;="&amp;cyFrom,dPer,"&lt;="&amp;cyTo,dQty,"&gt;-1E+300",dFlt1,critFlt1,dFlt2,critFlt2,dFlt3,critFlt3))</f>
        <v/>
      </c>
      <c r="G1208">
        <f>IF($B1208="",0,IFERROR(IF(OR(C1208&lt;&gt;0,D1208&lt;&gt;0,E1208&lt;&gt;0,F1208&lt;&gt;0),1,0),1))</f>
        <v>0</v>
      </c>
      <c r="H1208" t="str">
        <f>IF(OR(G1208=0,E1208=0),"",C1208/E1208)</f>
        <v/>
      </c>
      <c r="I1208" t="str">
        <f>IF(OR(G1208=0,F1208=0),"",D1208/F1208)</f>
        <v/>
      </c>
      <c r="J1208" t="str">
        <f>IF(OR(H1208="",I1208=""),"",IF(H1208=0,"",I1208/H1208-1))</f>
        <v/>
      </c>
      <c r="K1208" t="str">
        <f>IF($B1208="","",IFERROR(IF(G1208=0,-2E+300,CHOOSE(sortIdx,ROUND(D1208,0),IF(J1208="",-1E+300,ROUND(-J1208,6)),IF(J1208="",-1E+300,ROUND(J1208,6)))),-1.5E+300))</f>
        <v/>
      </c>
      <c r="L1208" t="str">
        <f>IF(K1208="","",RANK(K1208,$K$2:$K$3001,0)+COUNTIF($K$2:K1208,K1208)-1)</f>
        <v/>
      </c>
    </row>
    <row r="1209">
      <c r="B1209" t="str">
        <f>IFERROR(IF(A1209="","","="&amp;SUBSTITUTE(SUBSTITUTE(SUBSTITUTE(A1209,"~","~~"),"*","~*"),"?","~?")),"")</f>
        <v/>
      </c>
      <c r="C1209" t="str">
        <f>IF($B1209="","",SUMIFS(dAmt,dCust,$B1209,dPer,"&gt;="&amp;pyFrom,dPer,"&lt;="&amp;pyTo,dAmt,"&gt;-1E+300",dFlt1,critFlt1,dFlt2,critFlt2,dFlt3,critFlt3))</f>
        <v/>
      </c>
      <c r="D1209" t="str">
        <f>IF($B1209="","",SUMIFS(dAmt,dCust,$B1209,dPer,"&gt;="&amp;cyFrom,dPer,"&lt;="&amp;cyTo,dAmt,"&gt;-1E+300",dFlt1,critFlt1,dFlt2,critFlt2,dFlt3,critFlt3))</f>
        <v/>
      </c>
      <c r="E1209" t="str">
        <f>IF($B1209="","",SUMIFS(dQty,dCust,$B1209,dPer,"&gt;="&amp;pyFrom,dPer,"&lt;="&amp;pyTo,dQty,"&gt;-1E+300",dFlt1,critFlt1,dFlt2,critFlt2,dFlt3,critFlt3))</f>
        <v/>
      </c>
      <c r="F1209" t="str">
        <f>IF($B1209="","",SUMIFS(dQty,dCust,$B1209,dPer,"&gt;="&amp;cyFrom,dPer,"&lt;="&amp;cyTo,dQty,"&gt;-1E+300",dFlt1,critFlt1,dFlt2,critFlt2,dFlt3,critFlt3))</f>
        <v/>
      </c>
      <c r="G1209">
        <f>IF($B1209="",0,IFERROR(IF(OR(C1209&lt;&gt;0,D1209&lt;&gt;0,E1209&lt;&gt;0,F1209&lt;&gt;0),1,0),1))</f>
        <v>0</v>
      </c>
      <c r="H1209" t="str">
        <f>IF(OR(G1209=0,E1209=0),"",C1209/E1209)</f>
        <v/>
      </c>
      <c r="I1209" t="str">
        <f>IF(OR(G1209=0,F1209=0),"",D1209/F1209)</f>
        <v/>
      </c>
      <c r="J1209" t="str">
        <f>IF(OR(H1209="",I1209=""),"",IF(H1209=0,"",I1209/H1209-1))</f>
        <v/>
      </c>
      <c r="K1209" t="str">
        <f>IF($B1209="","",IFERROR(IF(G1209=0,-2E+300,CHOOSE(sortIdx,ROUND(D1209,0),IF(J1209="",-1E+300,ROUND(-J1209,6)),IF(J1209="",-1E+300,ROUND(J1209,6)))),-1.5E+300))</f>
        <v/>
      </c>
      <c r="L1209" t="str">
        <f>IF(K1209="","",RANK(K1209,$K$2:$K$3001,0)+COUNTIF($K$2:K1209,K1209)-1)</f>
        <v/>
      </c>
    </row>
    <row r="1210">
      <c r="B1210" t="str">
        <f>IFERROR(IF(A1210="","","="&amp;SUBSTITUTE(SUBSTITUTE(SUBSTITUTE(A1210,"~","~~"),"*","~*"),"?","~?")),"")</f>
        <v/>
      </c>
      <c r="C1210" t="str">
        <f>IF($B1210="","",SUMIFS(dAmt,dCust,$B1210,dPer,"&gt;="&amp;pyFrom,dPer,"&lt;="&amp;pyTo,dAmt,"&gt;-1E+300",dFlt1,critFlt1,dFlt2,critFlt2,dFlt3,critFlt3))</f>
        <v/>
      </c>
      <c r="D1210" t="str">
        <f>IF($B1210="","",SUMIFS(dAmt,dCust,$B1210,dPer,"&gt;="&amp;cyFrom,dPer,"&lt;="&amp;cyTo,dAmt,"&gt;-1E+300",dFlt1,critFlt1,dFlt2,critFlt2,dFlt3,critFlt3))</f>
        <v/>
      </c>
      <c r="E1210" t="str">
        <f>IF($B1210="","",SUMIFS(dQty,dCust,$B1210,dPer,"&gt;="&amp;pyFrom,dPer,"&lt;="&amp;pyTo,dQty,"&gt;-1E+300",dFlt1,critFlt1,dFlt2,critFlt2,dFlt3,critFlt3))</f>
        <v/>
      </c>
      <c r="F1210" t="str">
        <f>IF($B1210="","",SUMIFS(dQty,dCust,$B1210,dPer,"&gt;="&amp;cyFrom,dPer,"&lt;="&amp;cyTo,dQty,"&gt;-1E+300",dFlt1,critFlt1,dFlt2,critFlt2,dFlt3,critFlt3))</f>
        <v/>
      </c>
      <c r="G1210">
        <f>IF($B1210="",0,IFERROR(IF(OR(C1210&lt;&gt;0,D1210&lt;&gt;0,E1210&lt;&gt;0,F1210&lt;&gt;0),1,0),1))</f>
        <v>0</v>
      </c>
      <c r="H1210" t="str">
        <f>IF(OR(G1210=0,E1210=0),"",C1210/E1210)</f>
        <v/>
      </c>
      <c r="I1210" t="str">
        <f>IF(OR(G1210=0,F1210=0),"",D1210/F1210)</f>
        <v/>
      </c>
      <c r="J1210" t="str">
        <f>IF(OR(H1210="",I1210=""),"",IF(H1210=0,"",I1210/H1210-1))</f>
        <v/>
      </c>
      <c r="K1210" t="str">
        <f>IF($B1210="","",IFERROR(IF(G1210=0,-2E+300,CHOOSE(sortIdx,ROUND(D1210,0),IF(J1210="",-1E+300,ROUND(-J1210,6)),IF(J1210="",-1E+300,ROUND(J1210,6)))),-1.5E+300))</f>
        <v/>
      </c>
      <c r="L1210" t="str">
        <f>IF(K1210="","",RANK(K1210,$K$2:$K$3001,0)+COUNTIF($K$2:K1210,K1210)-1)</f>
        <v/>
      </c>
    </row>
    <row r="1211">
      <c r="B1211" t="str">
        <f>IFERROR(IF(A1211="","","="&amp;SUBSTITUTE(SUBSTITUTE(SUBSTITUTE(A1211,"~","~~"),"*","~*"),"?","~?")),"")</f>
        <v/>
      </c>
      <c r="C1211" t="str">
        <f>IF($B1211="","",SUMIFS(dAmt,dCust,$B1211,dPer,"&gt;="&amp;pyFrom,dPer,"&lt;="&amp;pyTo,dAmt,"&gt;-1E+300",dFlt1,critFlt1,dFlt2,critFlt2,dFlt3,critFlt3))</f>
        <v/>
      </c>
      <c r="D1211" t="str">
        <f>IF($B1211="","",SUMIFS(dAmt,dCust,$B1211,dPer,"&gt;="&amp;cyFrom,dPer,"&lt;="&amp;cyTo,dAmt,"&gt;-1E+300",dFlt1,critFlt1,dFlt2,critFlt2,dFlt3,critFlt3))</f>
        <v/>
      </c>
      <c r="E1211" t="str">
        <f>IF($B1211="","",SUMIFS(dQty,dCust,$B1211,dPer,"&gt;="&amp;pyFrom,dPer,"&lt;="&amp;pyTo,dQty,"&gt;-1E+300",dFlt1,critFlt1,dFlt2,critFlt2,dFlt3,critFlt3))</f>
        <v/>
      </c>
      <c r="F1211" t="str">
        <f>IF($B1211="","",SUMIFS(dQty,dCust,$B1211,dPer,"&gt;="&amp;cyFrom,dPer,"&lt;="&amp;cyTo,dQty,"&gt;-1E+300",dFlt1,critFlt1,dFlt2,critFlt2,dFlt3,critFlt3))</f>
        <v/>
      </c>
      <c r="G1211">
        <f>IF($B1211="",0,IFERROR(IF(OR(C1211&lt;&gt;0,D1211&lt;&gt;0,E1211&lt;&gt;0,F1211&lt;&gt;0),1,0),1))</f>
        <v>0</v>
      </c>
      <c r="H1211" t="str">
        <f>IF(OR(G1211=0,E1211=0),"",C1211/E1211)</f>
        <v/>
      </c>
      <c r="I1211" t="str">
        <f>IF(OR(G1211=0,F1211=0),"",D1211/F1211)</f>
        <v/>
      </c>
      <c r="J1211" t="str">
        <f>IF(OR(H1211="",I1211=""),"",IF(H1211=0,"",I1211/H1211-1))</f>
        <v/>
      </c>
      <c r="K1211" t="str">
        <f>IF($B1211="","",IFERROR(IF(G1211=0,-2E+300,CHOOSE(sortIdx,ROUND(D1211,0),IF(J1211="",-1E+300,ROUND(-J1211,6)),IF(J1211="",-1E+300,ROUND(J1211,6)))),-1.5E+300))</f>
        <v/>
      </c>
      <c r="L1211" t="str">
        <f>IF(K1211="","",RANK(K1211,$K$2:$K$3001,0)+COUNTIF($K$2:K1211,K1211)-1)</f>
        <v/>
      </c>
    </row>
    <row r="1212">
      <c r="B1212" t="str">
        <f>IFERROR(IF(A1212="","","="&amp;SUBSTITUTE(SUBSTITUTE(SUBSTITUTE(A1212,"~","~~"),"*","~*"),"?","~?")),"")</f>
        <v/>
      </c>
      <c r="C1212" t="str">
        <f>IF($B1212="","",SUMIFS(dAmt,dCust,$B1212,dPer,"&gt;="&amp;pyFrom,dPer,"&lt;="&amp;pyTo,dAmt,"&gt;-1E+300",dFlt1,critFlt1,dFlt2,critFlt2,dFlt3,critFlt3))</f>
        <v/>
      </c>
      <c r="D1212" t="str">
        <f>IF($B1212="","",SUMIFS(dAmt,dCust,$B1212,dPer,"&gt;="&amp;cyFrom,dPer,"&lt;="&amp;cyTo,dAmt,"&gt;-1E+300",dFlt1,critFlt1,dFlt2,critFlt2,dFlt3,critFlt3))</f>
        <v/>
      </c>
      <c r="E1212" t="str">
        <f>IF($B1212="","",SUMIFS(dQty,dCust,$B1212,dPer,"&gt;="&amp;pyFrom,dPer,"&lt;="&amp;pyTo,dQty,"&gt;-1E+300",dFlt1,critFlt1,dFlt2,critFlt2,dFlt3,critFlt3))</f>
        <v/>
      </c>
      <c r="F1212" t="str">
        <f>IF($B1212="","",SUMIFS(dQty,dCust,$B1212,dPer,"&gt;="&amp;cyFrom,dPer,"&lt;="&amp;cyTo,dQty,"&gt;-1E+300",dFlt1,critFlt1,dFlt2,critFlt2,dFlt3,critFlt3))</f>
        <v/>
      </c>
      <c r="G1212">
        <f>IF($B1212="",0,IFERROR(IF(OR(C1212&lt;&gt;0,D1212&lt;&gt;0,E1212&lt;&gt;0,F1212&lt;&gt;0),1,0),1))</f>
        <v>0</v>
      </c>
      <c r="H1212" t="str">
        <f>IF(OR(G1212=0,E1212=0),"",C1212/E1212)</f>
        <v/>
      </c>
      <c r="I1212" t="str">
        <f>IF(OR(G1212=0,F1212=0),"",D1212/F1212)</f>
        <v/>
      </c>
      <c r="J1212" t="str">
        <f>IF(OR(H1212="",I1212=""),"",IF(H1212=0,"",I1212/H1212-1))</f>
        <v/>
      </c>
      <c r="K1212" t="str">
        <f>IF($B1212="","",IFERROR(IF(G1212=0,-2E+300,CHOOSE(sortIdx,ROUND(D1212,0),IF(J1212="",-1E+300,ROUND(-J1212,6)),IF(J1212="",-1E+300,ROUND(J1212,6)))),-1.5E+300))</f>
        <v/>
      </c>
      <c r="L1212" t="str">
        <f>IF(K1212="","",RANK(K1212,$K$2:$K$3001,0)+COUNTIF($K$2:K1212,K1212)-1)</f>
        <v/>
      </c>
    </row>
    <row r="1213">
      <c r="B1213" t="str">
        <f>IFERROR(IF(A1213="","","="&amp;SUBSTITUTE(SUBSTITUTE(SUBSTITUTE(A1213,"~","~~"),"*","~*"),"?","~?")),"")</f>
        <v/>
      </c>
      <c r="C1213" t="str">
        <f>IF($B1213="","",SUMIFS(dAmt,dCust,$B1213,dPer,"&gt;="&amp;pyFrom,dPer,"&lt;="&amp;pyTo,dAmt,"&gt;-1E+300",dFlt1,critFlt1,dFlt2,critFlt2,dFlt3,critFlt3))</f>
        <v/>
      </c>
      <c r="D1213" t="str">
        <f>IF($B1213="","",SUMIFS(dAmt,dCust,$B1213,dPer,"&gt;="&amp;cyFrom,dPer,"&lt;="&amp;cyTo,dAmt,"&gt;-1E+300",dFlt1,critFlt1,dFlt2,critFlt2,dFlt3,critFlt3))</f>
        <v/>
      </c>
      <c r="E1213" t="str">
        <f>IF($B1213="","",SUMIFS(dQty,dCust,$B1213,dPer,"&gt;="&amp;pyFrom,dPer,"&lt;="&amp;pyTo,dQty,"&gt;-1E+300",dFlt1,critFlt1,dFlt2,critFlt2,dFlt3,critFlt3))</f>
        <v/>
      </c>
      <c r="F1213" t="str">
        <f>IF($B1213="","",SUMIFS(dQty,dCust,$B1213,dPer,"&gt;="&amp;cyFrom,dPer,"&lt;="&amp;cyTo,dQty,"&gt;-1E+300",dFlt1,critFlt1,dFlt2,critFlt2,dFlt3,critFlt3))</f>
        <v/>
      </c>
      <c r="G1213">
        <f>IF($B1213="",0,IFERROR(IF(OR(C1213&lt;&gt;0,D1213&lt;&gt;0,E1213&lt;&gt;0,F1213&lt;&gt;0),1,0),1))</f>
        <v>0</v>
      </c>
      <c r="H1213" t="str">
        <f>IF(OR(G1213=0,E1213=0),"",C1213/E1213)</f>
        <v/>
      </c>
      <c r="I1213" t="str">
        <f>IF(OR(G1213=0,F1213=0),"",D1213/F1213)</f>
        <v/>
      </c>
      <c r="J1213" t="str">
        <f>IF(OR(H1213="",I1213=""),"",IF(H1213=0,"",I1213/H1213-1))</f>
        <v/>
      </c>
      <c r="K1213" t="str">
        <f>IF($B1213="","",IFERROR(IF(G1213=0,-2E+300,CHOOSE(sortIdx,ROUND(D1213,0),IF(J1213="",-1E+300,ROUND(-J1213,6)),IF(J1213="",-1E+300,ROUND(J1213,6)))),-1.5E+300))</f>
        <v/>
      </c>
      <c r="L1213" t="str">
        <f>IF(K1213="","",RANK(K1213,$K$2:$K$3001,0)+COUNTIF($K$2:K1213,K1213)-1)</f>
        <v/>
      </c>
    </row>
    <row r="1214">
      <c r="B1214" t="str">
        <f>IFERROR(IF(A1214="","","="&amp;SUBSTITUTE(SUBSTITUTE(SUBSTITUTE(A1214,"~","~~"),"*","~*"),"?","~?")),"")</f>
        <v/>
      </c>
      <c r="C1214" t="str">
        <f>IF($B1214="","",SUMIFS(dAmt,dCust,$B1214,dPer,"&gt;="&amp;pyFrom,dPer,"&lt;="&amp;pyTo,dAmt,"&gt;-1E+300",dFlt1,critFlt1,dFlt2,critFlt2,dFlt3,critFlt3))</f>
        <v/>
      </c>
      <c r="D1214" t="str">
        <f>IF($B1214="","",SUMIFS(dAmt,dCust,$B1214,dPer,"&gt;="&amp;cyFrom,dPer,"&lt;="&amp;cyTo,dAmt,"&gt;-1E+300",dFlt1,critFlt1,dFlt2,critFlt2,dFlt3,critFlt3))</f>
        <v/>
      </c>
      <c r="E1214" t="str">
        <f>IF($B1214="","",SUMIFS(dQty,dCust,$B1214,dPer,"&gt;="&amp;pyFrom,dPer,"&lt;="&amp;pyTo,dQty,"&gt;-1E+300",dFlt1,critFlt1,dFlt2,critFlt2,dFlt3,critFlt3))</f>
        <v/>
      </c>
      <c r="F1214" t="str">
        <f>IF($B1214="","",SUMIFS(dQty,dCust,$B1214,dPer,"&gt;="&amp;cyFrom,dPer,"&lt;="&amp;cyTo,dQty,"&gt;-1E+300",dFlt1,critFlt1,dFlt2,critFlt2,dFlt3,critFlt3))</f>
        <v/>
      </c>
      <c r="G1214">
        <f>IF($B1214="",0,IFERROR(IF(OR(C1214&lt;&gt;0,D1214&lt;&gt;0,E1214&lt;&gt;0,F1214&lt;&gt;0),1,0),1))</f>
        <v>0</v>
      </c>
      <c r="H1214" t="str">
        <f>IF(OR(G1214=0,E1214=0),"",C1214/E1214)</f>
        <v/>
      </c>
      <c r="I1214" t="str">
        <f>IF(OR(G1214=0,F1214=0),"",D1214/F1214)</f>
        <v/>
      </c>
      <c r="J1214" t="str">
        <f>IF(OR(H1214="",I1214=""),"",IF(H1214=0,"",I1214/H1214-1))</f>
        <v/>
      </c>
      <c r="K1214" t="str">
        <f>IF($B1214="","",IFERROR(IF(G1214=0,-2E+300,CHOOSE(sortIdx,ROUND(D1214,0),IF(J1214="",-1E+300,ROUND(-J1214,6)),IF(J1214="",-1E+300,ROUND(J1214,6)))),-1.5E+300))</f>
        <v/>
      </c>
      <c r="L1214" t="str">
        <f>IF(K1214="","",RANK(K1214,$K$2:$K$3001,0)+COUNTIF($K$2:K1214,K1214)-1)</f>
        <v/>
      </c>
    </row>
    <row r="1215">
      <c r="B1215" t="str">
        <f>IFERROR(IF(A1215="","","="&amp;SUBSTITUTE(SUBSTITUTE(SUBSTITUTE(A1215,"~","~~"),"*","~*"),"?","~?")),"")</f>
        <v/>
      </c>
      <c r="C1215" t="str">
        <f>IF($B1215="","",SUMIFS(dAmt,dCust,$B1215,dPer,"&gt;="&amp;pyFrom,dPer,"&lt;="&amp;pyTo,dAmt,"&gt;-1E+300",dFlt1,critFlt1,dFlt2,critFlt2,dFlt3,critFlt3))</f>
        <v/>
      </c>
      <c r="D1215" t="str">
        <f>IF($B1215="","",SUMIFS(dAmt,dCust,$B1215,dPer,"&gt;="&amp;cyFrom,dPer,"&lt;="&amp;cyTo,dAmt,"&gt;-1E+300",dFlt1,critFlt1,dFlt2,critFlt2,dFlt3,critFlt3))</f>
        <v/>
      </c>
      <c r="E1215" t="str">
        <f>IF($B1215="","",SUMIFS(dQty,dCust,$B1215,dPer,"&gt;="&amp;pyFrom,dPer,"&lt;="&amp;pyTo,dQty,"&gt;-1E+300",dFlt1,critFlt1,dFlt2,critFlt2,dFlt3,critFlt3))</f>
        <v/>
      </c>
      <c r="F1215" t="str">
        <f>IF($B1215="","",SUMIFS(dQty,dCust,$B1215,dPer,"&gt;="&amp;cyFrom,dPer,"&lt;="&amp;cyTo,dQty,"&gt;-1E+300",dFlt1,critFlt1,dFlt2,critFlt2,dFlt3,critFlt3))</f>
        <v/>
      </c>
      <c r="G1215">
        <f>IF($B1215="",0,IFERROR(IF(OR(C1215&lt;&gt;0,D1215&lt;&gt;0,E1215&lt;&gt;0,F1215&lt;&gt;0),1,0),1))</f>
        <v>0</v>
      </c>
      <c r="H1215" t="str">
        <f>IF(OR(G1215=0,E1215=0),"",C1215/E1215)</f>
        <v/>
      </c>
      <c r="I1215" t="str">
        <f>IF(OR(G1215=0,F1215=0),"",D1215/F1215)</f>
        <v/>
      </c>
      <c r="J1215" t="str">
        <f>IF(OR(H1215="",I1215=""),"",IF(H1215=0,"",I1215/H1215-1))</f>
        <v/>
      </c>
      <c r="K1215" t="str">
        <f>IF($B1215="","",IFERROR(IF(G1215=0,-2E+300,CHOOSE(sortIdx,ROUND(D1215,0),IF(J1215="",-1E+300,ROUND(-J1215,6)),IF(J1215="",-1E+300,ROUND(J1215,6)))),-1.5E+300))</f>
        <v/>
      </c>
      <c r="L1215" t="str">
        <f>IF(K1215="","",RANK(K1215,$K$2:$K$3001,0)+COUNTIF($K$2:K1215,K1215)-1)</f>
        <v/>
      </c>
    </row>
    <row r="1216">
      <c r="B1216" t="str">
        <f>IFERROR(IF(A1216="","","="&amp;SUBSTITUTE(SUBSTITUTE(SUBSTITUTE(A1216,"~","~~"),"*","~*"),"?","~?")),"")</f>
        <v/>
      </c>
      <c r="C1216" t="str">
        <f>IF($B1216="","",SUMIFS(dAmt,dCust,$B1216,dPer,"&gt;="&amp;pyFrom,dPer,"&lt;="&amp;pyTo,dAmt,"&gt;-1E+300",dFlt1,critFlt1,dFlt2,critFlt2,dFlt3,critFlt3))</f>
        <v/>
      </c>
      <c r="D1216" t="str">
        <f>IF($B1216="","",SUMIFS(dAmt,dCust,$B1216,dPer,"&gt;="&amp;cyFrom,dPer,"&lt;="&amp;cyTo,dAmt,"&gt;-1E+300",dFlt1,critFlt1,dFlt2,critFlt2,dFlt3,critFlt3))</f>
        <v/>
      </c>
      <c r="E1216" t="str">
        <f>IF($B1216="","",SUMIFS(dQty,dCust,$B1216,dPer,"&gt;="&amp;pyFrom,dPer,"&lt;="&amp;pyTo,dQty,"&gt;-1E+300",dFlt1,critFlt1,dFlt2,critFlt2,dFlt3,critFlt3))</f>
        <v/>
      </c>
      <c r="F1216" t="str">
        <f>IF($B1216="","",SUMIFS(dQty,dCust,$B1216,dPer,"&gt;="&amp;cyFrom,dPer,"&lt;="&amp;cyTo,dQty,"&gt;-1E+300",dFlt1,critFlt1,dFlt2,critFlt2,dFlt3,critFlt3))</f>
        <v/>
      </c>
      <c r="G1216">
        <f>IF($B1216="",0,IFERROR(IF(OR(C1216&lt;&gt;0,D1216&lt;&gt;0,E1216&lt;&gt;0,F1216&lt;&gt;0),1,0),1))</f>
        <v>0</v>
      </c>
      <c r="H1216" t="str">
        <f>IF(OR(G1216=0,E1216=0),"",C1216/E1216)</f>
        <v/>
      </c>
      <c r="I1216" t="str">
        <f>IF(OR(G1216=0,F1216=0),"",D1216/F1216)</f>
        <v/>
      </c>
      <c r="J1216" t="str">
        <f>IF(OR(H1216="",I1216=""),"",IF(H1216=0,"",I1216/H1216-1))</f>
        <v/>
      </c>
      <c r="K1216" t="str">
        <f>IF($B1216="","",IFERROR(IF(G1216=0,-2E+300,CHOOSE(sortIdx,ROUND(D1216,0),IF(J1216="",-1E+300,ROUND(-J1216,6)),IF(J1216="",-1E+300,ROUND(J1216,6)))),-1.5E+300))</f>
        <v/>
      </c>
      <c r="L1216" t="str">
        <f>IF(K1216="","",RANK(K1216,$K$2:$K$3001,0)+COUNTIF($K$2:K1216,K1216)-1)</f>
        <v/>
      </c>
    </row>
    <row r="1217">
      <c r="B1217" t="str">
        <f>IFERROR(IF(A1217="","","="&amp;SUBSTITUTE(SUBSTITUTE(SUBSTITUTE(A1217,"~","~~"),"*","~*"),"?","~?")),"")</f>
        <v/>
      </c>
      <c r="C1217" t="str">
        <f>IF($B1217="","",SUMIFS(dAmt,dCust,$B1217,dPer,"&gt;="&amp;pyFrom,dPer,"&lt;="&amp;pyTo,dAmt,"&gt;-1E+300",dFlt1,critFlt1,dFlt2,critFlt2,dFlt3,critFlt3))</f>
        <v/>
      </c>
      <c r="D1217" t="str">
        <f>IF($B1217="","",SUMIFS(dAmt,dCust,$B1217,dPer,"&gt;="&amp;cyFrom,dPer,"&lt;="&amp;cyTo,dAmt,"&gt;-1E+300",dFlt1,critFlt1,dFlt2,critFlt2,dFlt3,critFlt3))</f>
        <v/>
      </c>
      <c r="E1217" t="str">
        <f>IF($B1217="","",SUMIFS(dQty,dCust,$B1217,dPer,"&gt;="&amp;pyFrom,dPer,"&lt;="&amp;pyTo,dQty,"&gt;-1E+300",dFlt1,critFlt1,dFlt2,critFlt2,dFlt3,critFlt3))</f>
        <v/>
      </c>
      <c r="F1217" t="str">
        <f>IF($B1217="","",SUMIFS(dQty,dCust,$B1217,dPer,"&gt;="&amp;cyFrom,dPer,"&lt;="&amp;cyTo,dQty,"&gt;-1E+300",dFlt1,critFlt1,dFlt2,critFlt2,dFlt3,critFlt3))</f>
        <v/>
      </c>
      <c r="G1217">
        <f>IF($B1217="",0,IFERROR(IF(OR(C1217&lt;&gt;0,D1217&lt;&gt;0,E1217&lt;&gt;0,F1217&lt;&gt;0),1,0),1))</f>
        <v>0</v>
      </c>
      <c r="H1217" t="str">
        <f>IF(OR(G1217=0,E1217=0),"",C1217/E1217)</f>
        <v/>
      </c>
      <c r="I1217" t="str">
        <f>IF(OR(G1217=0,F1217=0),"",D1217/F1217)</f>
        <v/>
      </c>
      <c r="J1217" t="str">
        <f>IF(OR(H1217="",I1217=""),"",IF(H1217=0,"",I1217/H1217-1))</f>
        <v/>
      </c>
      <c r="K1217" t="str">
        <f>IF($B1217="","",IFERROR(IF(G1217=0,-2E+300,CHOOSE(sortIdx,ROUND(D1217,0),IF(J1217="",-1E+300,ROUND(-J1217,6)),IF(J1217="",-1E+300,ROUND(J1217,6)))),-1.5E+300))</f>
        <v/>
      </c>
      <c r="L1217" t="str">
        <f>IF(K1217="","",RANK(K1217,$K$2:$K$3001,0)+COUNTIF($K$2:K1217,K1217)-1)</f>
        <v/>
      </c>
    </row>
    <row r="1218">
      <c r="B1218" t="str">
        <f>IFERROR(IF(A1218="","","="&amp;SUBSTITUTE(SUBSTITUTE(SUBSTITUTE(A1218,"~","~~"),"*","~*"),"?","~?")),"")</f>
        <v/>
      </c>
      <c r="C1218" t="str">
        <f>IF($B1218="","",SUMIFS(dAmt,dCust,$B1218,dPer,"&gt;="&amp;pyFrom,dPer,"&lt;="&amp;pyTo,dAmt,"&gt;-1E+300",dFlt1,critFlt1,dFlt2,critFlt2,dFlt3,critFlt3))</f>
        <v/>
      </c>
      <c r="D1218" t="str">
        <f>IF($B1218="","",SUMIFS(dAmt,dCust,$B1218,dPer,"&gt;="&amp;cyFrom,dPer,"&lt;="&amp;cyTo,dAmt,"&gt;-1E+300",dFlt1,critFlt1,dFlt2,critFlt2,dFlt3,critFlt3))</f>
        <v/>
      </c>
      <c r="E1218" t="str">
        <f>IF($B1218="","",SUMIFS(dQty,dCust,$B1218,dPer,"&gt;="&amp;pyFrom,dPer,"&lt;="&amp;pyTo,dQty,"&gt;-1E+300",dFlt1,critFlt1,dFlt2,critFlt2,dFlt3,critFlt3))</f>
        <v/>
      </c>
      <c r="F1218" t="str">
        <f>IF($B1218="","",SUMIFS(dQty,dCust,$B1218,dPer,"&gt;="&amp;cyFrom,dPer,"&lt;="&amp;cyTo,dQty,"&gt;-1E+300",dFlt1,critFlt1,dFlt2,critFlt2,dFlt3,critFlt3))</f>
        <v/>
      </c>
      <c r="G1218">
        <f>IF($B1218="",0,IFERROR(IF(OR(C1218&lt;&gt;0,D1218&lt;&gt;0,E1218&lt;&gt;0,F1218&lt;&gt;0),1,0),1))</f>
        <v>0</v>
      </c>
      <c r="H1218" t="str">
        <f>IF(OR(G1218=0,E1218=0),"",C1218/E1218)</f>
        <v/>
      </c>
      <c r="I1218" t="str">
        <f>IF(OR(G1218=0,F1218=0),"",D1218/F1218)</f>
        <v/>
      </c>
      <c r="J1218" t="str">
        <f>IF(OR(H1218="",I1218=""),"",IF(H1218=0,"",I1218/H1218-1))</f>
        <v/>
      </c>
      <c r="K1218" t="str">
        <f>IF($B1218="","",IFERROR(IF(G1218=0,-2E+300,CHOOSE(sortIdx,ROUND(D1218,0),IF(J1218="",-1E+300,ROUND(-J1218,6)),IF(J1218="",-1E+300,ROUND(J1218,6)))),-1.5E+300))</f>
        <v/>
      </c>
      <c r="L1218" t="str">
        <f>IF(K1218="","",RANK(K1218,$K$2:$K$3001,0)+COUNTIF($K$2:K1218,K1218)-1)</f>
        <v/>
      </c>
    </row>
    <row r="1219">
      <c r="B1219" t="str">
        <f>IFERROR(IF(A1219="","","="&amp;SUBSTITUTE(SUBSTITUTE(SUBSTITUTE(A1219,"~","~~"),"*","~*"),"?","~?")),"")</f>
        <v/>
      </c>
      <c r="C1219" t="str">
        <f>IF($B1219="","",SUMIFS(dAmt,dCust,$B1219,dPer,"&gt;="&amp;pyFrom,dPer,"&lt;="&amp;pyTo,dAmt,"&gt;-1E+300",dFlt1,critFlt1,dFlt2,critFlt2,dFlt3,critFlt3))</f>
        <v/>
      </c>
      <c r="D1219" t="str">
        <f>IF($B1219="","",SUMIFS(dAmt,dCust,$B1219,dPer,"&gt;="&amp;cyFrom,dPer,"&lt;="&amp;cyTo,dAmt,"&gt;-1E+300",dFlt1,critFlt1,dFlt2,critFlt2,dFlt3,critFlt3))</f>
        <v/>
      </c>
      <c r="E1219" t="str">
        <f>IF($B1219="","",SUMIFS(dQty,dCust,$B1219,dPer,"&gt;="&amp;pyFrom,dPer,"&lt;="&amp;pyTo,dQty,"&gt;-1E+300",dFlt1,critFlt1,dFlt2,critFlt2,dFlt3,critFlt3))</f>
        <v/>
      </c>
      <c r="F1219" t="str">
        <f>IF($B1219="","",SUMIFS(dQty,dCust,$B1219,dPer,"&gt;="&amp;cyFrom,dPer,"&lt;="&amp;cyTo,dQty,"&gt;-1E+300",dFlt1,critFlt1,dFlt2,critFlt2,dFlt3,critFlt3))</f>
        <v/>
      </c>
      <c r="G1219">
        <f>IF($B1219="",0,IFERROR(IF(OR(C1219&lt;&gt;0,D1219&lt;&gt;0,E1219&lt;&gt;0,F1219&lt;&gt;0),1,0),1))</f>
        <v>0</v>
      </c>
      <c r="H1219" t="str">
        <f>IF(OR(G1219=0,E1219=0),"",C1219/E1219)</f>
        <v/>
      </c>
      <c r="I1219" t="str">
        <f>IF(OR(G1219=0,F1219=0),"",D1219/F1219)</f>
        <v/>
      </c>
      <c r="J1219" t="str">
        <f>IF(OR(H1219="",I1219=""),"",IF(H1219=0,"",I1219/H1219-1))</f>
        <v/>
      </c>
      <c r="K1219" t="str">
        <f>IF($B1219="","",IFERROR(IF(G1219=0,-2E+300,CHOOSE(sortIdx,ROUND(D1219,0),IF(J1219="",-1E+300,ROUND(-J1219,6)),IF(J1219="",-1E+300,ROUND(J1219,6)))),-1.5E+300))</f>
        <v/>
      </c>
      <c r="L1219" t="str">
        <f>IF(K1219="","",RANK(K1219,$K$2:$K$3001,0)+COUNTIF($K$2:K1219,K1219)-1)</f>
        <v/>
      </c>
    </row>
    <row r="1220">
      <c r="B1220" t="str">
        <f>IFERROR(IF(A1220="","","="&amp;SUBSTITUTE(SUBSTITUTE(SUBSTITUTE(A1220,"~","~~"),"*","~*"),"?","~?")),"")</f>
        <v/>
      </c>
      <c r="C1220" t="str">
        <f>IF($B1220="","",SUMIFS(dAmt,dCust,$B1220,dPer,"&gt;="&amp;pyFrom,dPer,"&lt;="&amp;pyTo,dAmt,"&gt;-1E+300",dFlt1,critFlt1,dFlt2,critFlt2,dFlt3,critFlt3))</f>
        <v/>
      </c>
      <c r="D1220" t="str">
        <f>IF($B1220="","",SUMIFS(dAmt,dCust,$B1220,dPer,"&gt;="&amp;cyFrom,dPer,"&lt;="&amp;cyTo,dAmt,"&gt;-1E+300",dFlt1,critFlt1,dFlt2,critFlt2,dFlt3,critFlt3))</f>
        <v/>
      </c>
      <c r="E1220" t="str">
        <f>IF($B1220="","",SUMIFS(dQty,dCust,$B1220,dPer,"&gt;="&amp;pyFrom,dPer,"&lt;="&amp;pyTo,dQty,"&gt;-1E+300",dFlt1,critFlt1,dFlt2,critFlt2,dFlt3,critFlt3))</f>
        <v/>
      </c>
      <c r="F1220" t="str">
        <f>IF($B1220="","",SUMIFS(dQty,dCust,$B1220,dPer,"&gt;="&amp;cyFrom,dPer,"&lt;="&amp;cyTo,dQty,"&gt;-1E+300",dFlt1,critFlt1,dFlt2,critFlt2,dFlt3,critFlt3))</f>
        <v/>
      </c>
      <c r="G1220">
        <f>IF($B1220="",0,IFERROR(IF(OR(C1220&lt;&gt;0,D1220&lt;&gt;0,E1220&lt;&gt;0,F1220&lt;&gt;0),1,0),1))</f>
        <v>0</v>
      </c>
      <c r="H1220" t="str">
        <f>IF(OR(G1220=0,E1220=0),"",C1220/E1220)</f>
        <v/>
      </c>
      <c r="I1220" t="str">
        <f>IF(OR(G1220=0,F1220=0),"",D1220/F1220)</f>
        <v/>
      </c>
      <c r="J1220" t="str">
        <f>IF(OR(H1220="",I1220=""),"",IF(H1220=0,"",I1220/H1220-1))</f>
        <v/>
      </c>
      <c r="K1220" t="str">
        <f>IF($B1220="","",IFERROR(IF(G1220=0,-2E+300,CHOOSE(sortIdx,ROUND(D1220,0),IF(J1220="",-1E+300,ROUND(-J1220,6)),IF(J1220="",-1E+300,ROUND(J1220,6)))),-1.5E+300))</f>
        <v/>
      </c>
      <c r="L1220" t="str">
        <f>IF(K1220="","",RANK(K1220,$K$2:$K$3001,0)+COUNTIF($K$2:K1220,K1220)-1)</f>
        <v/>
      </c>
    </row>
    <row r="1221">
      <c r="B1221" t="str">
        <f>IFERROR(IF(A1221="","","="&amp;SUBSTITUTE(SUBSTITUTE(SUBSTITUTE(A1221,"~","~~"),"*","~*"),"?","~?")),"")</f>
        <v/>
      </c>
      <c r="C1221" t="str">
        <f>IF($B1221="","",SUMIFS(dAmt,dCust,$B1221,dPer,"&gt;="&amp;pyFrom,dPer,"&lt;="&amp;pyTo,dAmt,"&gt;-1E+300",dFlt1,critFlt1,dFlt2,critFlt2,dFlt3,critFlt3))</f>
        <v/>
      </c>
      <c r="D1221" t="str">
        <f>IF($B1221="","",SUMIFS(dAmt,dCust,$B1221,dPer,"&gt;="&amp;cyFrom,dPer,"&lt;="&amp;cyTo,dAmt,"&gt;-1E+300",dFlt1,critFlt1,dFlt2,critFlt2,dFlt3,critFlt3))</f>
        <v/>
      </c>
      <c r="E1221" t="str">
        <f>IF($B1221="","",SUMIFS(dQty,dCust,$B1221,dPer,"&gt;="&amp;pyFrom,dPer,"&lt;="&amp;pyTo,dQty,"&gt;-1E+300",dFlt1,critFlt1,dFlt2,critFlt2,dFlt3,critFlt3))</f>
        <v/>
      </c>
      <c r="F1221" t="str">
        <f>IF($B1221="","",SUMIFS(dQty,dCust,$B1221,dPer,"&gt;="&amp;cyFrom,dPer,"&lt;="&amp;cyTo,dQty,"&gt;-1E+300",dFlt1,critFlt1,dFlt2,critFlt2,dFlt3,critFlt3))</f>
        <v/>
      </c>
      <c r="G1221">
        <f>IF($B1221="",0,IFERROR(IF(OR(C1221&lt;&gt;0,D1221&lt;&gt;0,E1221&lt;&gt;0,F1221&lt;&gt;0),1,0),1))</f>
        <v>0</v>
      </c>
      <c r="H1221" t="str">
        <f>IF(OR(G1221=0,E1221=0),"",C1221/E1221)</f>
        <v/>
      </c>
      <c r="I1221" t="str">
        <f>IF(OR(G1221=0,F1221=0),"",D1221/F1221)</f>
        <v/>
      </c>
      <c r="J1221" t="str">
        <f>IF(OR(H1221="",I1221=""),"",IF(H1221=0,"",I1221/H1221-1))</f>
        <v/>
      </c>
      <c r="K1221" t="str">
        <f>IF($B1221="","",IFERROR(IF(G1221=0,-2E+300,CHOOSE(sortIdx,ROUND(D1221,0),IF(J1221="",-1E+300,ROUND(-J1221,6)),IF(J1221="",-1E+300,ROUND(J1221,6)))),-1.5E+300))</f>
        <v/>
      </c>
      <c r="L1221" t="str">
        <f>IF(K1221="","",RANK(K1221,$K$2:$K$3001,0)+COUNTIF($K$2:K1221,K1221)-1)</f>
        <v/>
      </c>
    </row>
    <row r="1222">
      <c r="B1222" t="str">
        <f>IFERROR(IF(A1222="","","="&amp;SUBSTITUTE(SUBSTITUTE(SUBSTITUTE(A1222,"~","~~"),"*","~*"),"?","~?")),"")</f>
        <v/>
      </c>
      <c r="C1222" t="str">
        <f>IF($B1222="","",SUMIFS(dAmt,dCust,$B1222,dPer,"&gt;="&amp;pyFrom,dPer,"&lt;="&amp;pyTo,dAmt,"&gt;-1E+300",dFlt1,critFlt1,dFlt2,critFlt2,dFlt3,critFlt3))</f>
        <v/>
      </c>
      <c r="D1222" t="str">
        <f>IF($B1222="","",SUMIFS(dAmt,dCust,$B1222,dPer,"&gt;="&amp;cyFrom,dPer,"&lt;="&amp;cyTo,dAmt,"&gt;-1E+300",dFlt1,critFlt1,dFlt2,critFlt2,dFlt3,critFlt3))</f>
        <v/>
      </c>
      <c r="E1222" t="str">
        <f>IF($B1222="","",SUMIFS(dQty,dCust,$B1222,dPer,"&gt;="&amp;pyFrom,dPer,"&lt;="&amp;pyTo,dQty,"&gt;-1E+300",dFlt1,critFlt1,dFlt2,critFlt2,dFlt3,critFlt3))</f>
        <v/>
      </c>
      <c r="F1222" t="str">
        <f>IF($B1222="","",SUMIFS(dQty,dCust,$B1222,dPer,"&gt;="&amp;cyFrom,dPer,"&lt;="&amp;cyTo,dQty,"&gt;-1E+300",dFlt1,critFlt1,dFlt2,critFlt2,dFlt3,critFlt3))</f>
        <v/>
      </c>
      <c r="G1222">
        <f>IF($B1222="",0,IFERROR(IF(OR(C1222&lt;&gt;0,D1222&lt;&gt;0,E1222&lt;&gt;0,F1222&lt;&gt;0),1,0),1))</f>
        <v>0</v>
      </c>
      <c r="H1222" t="str">
        <f>IF(OR(G1222=0,E1222=0),"",C1222/E1222)</f>
        <v/>
      </c>
      <c r="I1222" t="str">
        <f>IF(OR(G1222=0,F1222=0),"",D1222/F1222)</f>
        <v/>
      </c>
      <c r="J1222" t="str">
        <f>IF(OR(H1222="",I1222=""),"",IF(H1222=0,"",I1222/H1222-1))</f>
        <v/>
      </c>
      <c r="K1222" t="str">
        <f>IF($B1222="","",IFERROR(IF(G1222=0,-2E+300,CHOOSE(sortIdx,ROUND(D1222,0),IF(J1222="",-1E+300,ROUND(-J1222,6)),IF(J1222="",-1E+300,ROUND(J1222,6)))),-1.5E+300))</f>
        <v/>
      </c>
      <c r="L1222" t="str">
        <f>IF(K1222="","",RANK(K1222,$K$2:$K$3001,0)+COUNTIF($K$2:K1222,K1222)-1)</f>
        <v/>
      </c>
    </row>
    <row r="1223">
      <c r="B1223" t="str">
        <f>IFERROR(IF(A1223="","","="&amp;SUBSTITUTE(SUBSTITUTE(SUBSTITUTE(A1223,"~","~~"),"*","~*"),"?","~?")),"")</f>
        <v/>
      </c>
      <c r="C1223" t="str">
        <f>IF($B1223="","",SUMIFS(dAmt,dCust,$B1223,dPer,"&gt;="&amp;pyFrom,dPer,"&lt;="&amp;pyTo,dAmt,"&gt;-1E+300",dFlt1,critFlt1,dFlt2,critFlt2,dFlt3,critFlt3))</f>
        <v/>
      </c>
      <c r="D1223" t="str">
        <f>IF($B1223="","",SUMIFS(dAmt,dCust,$B1223,dPer,"&gt;="&amp;cyFrom,dPer,"&lt;="&amp;cyTo,dAmt,"&gt;-1E+300",dFlt1,critFlt1,dFlt2,critFlt2,dFlt3,critFlt3))</f>
        <v/>
      </c>
      <c r="E1223" t="str">
        <f>IF($B1223="","",SUMIFS(dQty,dCust,$B1223,dPer,"&gt;="&amp;pyFrom,dPer,"&lt;="&amp;pyTo,dQty,"&gt;-1E+300",dFlt1,critFlt1,dFlt2,critFlt2,dFlt3,critFlt3))</f>
        <v/>
      </c>
      <c r="F1223" t="str">
        <f>IF($B1223="","",SUMIFS(dQty,dCust,$B1223,dPer,"&gt;="&amp;cyFrom,dPer,"&lt;="&amp;cyTo,dQty,"&gt;-1E+300",dFlt1,critFlt1,dFlt2,critFlt2,dFlt3,critFlt3))</f>
        <v/>
      </c>
      <c r="G1223">
        <f>IF($B1223="",0,IFERROR(IF(OR(C1223&lt;&gt;0,D1223&lt;&gt;0,E1223&lt;&gt;0,F1223&lt;&gt;0),1,0),1))</f>
        <v>0</v>
      </c>
      <c r="H1223" t="str">
        <f>IF(OR(G1223=0,E1223=0),"",C1223/E1223)</f>
        <v/>
      </c>
      <c r="I1223" t="str">
        <f>IF(OR(G1223=0,F1223=0),"",D1223/F1223)</f>
        <v/>
      </c>
      <c r="J1223" t="str">
        <f>IF(OR(H1223="",I1223=""),"",IF(H1223=0,"",I1223/H1223-1))</f>
        <v/>
      </c>
      <c r="K1223" t="str">
        <f>IF($B1223="","",IFERROR(IF(G1223=0,-2E+300,CHOOSE(sortIdx,ROUND(D1223,0),IF(J1223="",-1E+300,ROUND(-J1223,6)),IF(J1223="",-1E+300,ROUND(J1223,6)))),-1.5E+300))</f>
        <v/>
      </c>
      <c r="L1223" t="str">
        <f>IF(K1223="","",RANK(K1223,$K$2:$K$3001,0)+COUNTIF($K$2:K1223,K1223)-1)</f>
        <v/>
      </c>
    </row>
    <row r="1224">
      <c r="B1224" t="str">
        <f>IFERROR(IF(A1224="","","="&amp;SUBSTITUTE(SUBSTITUTE(SUBSTITUTE(A1224,"~","~~"),"*","~*"),"?","~?")),"")</f>
        <v/>
      </c>
      <c r="C1224" t="str">
        <f>IF($B1224="","",SUMIFS(dAmt,dCust,$B1224,dPer,"&gt;="&amp;pyFrom,dPer,"&lt;="&amp;pyTo,dAmt,"&gt;-1E+300",dFlt1,critFlt1,dFlt2,critFlt2,dFlt3,critFlt3))</f>
        <v/>
      </c>
      <c r="D1224" t="str">
        <f>IF($B1224="","",SUMIFS(dAmt,dCust,$B1224,dPer,"&gt;="&amp;cyFrom,dPer,"&lt;="&amp;cyTo,dAmt,"&gt;-1E+300",dFlt1,critFlt1,dFlt2,critFlt2,dFlt3,critFlt3))</f>
        <v/>
      </c>
      <c r="E1224" t="str">
        <f>IF($B1224="","",SUMIFS(dQty,dCust,$B1224,dPer,"&gt;="&amp;pyFrom,dPer,"&lt;="&amp;pyTo,dQty,"&gt;-1E+300",dFlt1,critFlt1,dFlt2,critFlt2,dFlt3,critFlt3))</f>
        <v/>
      </c>
      <c r="F1224" t="str">
        <f>IF($B1224="","",SUMIFS(dQty,dCust,$B1224,dPer,"&gt;="&amp;cyFrom,dPer,"&lt;="&amp;cyTo,dQty,"&gt;-1E+300",dFlt1,critFlt1,dFlt2,critFlt2,dFlt3,critFlt3))</f>
        <v/>
      </c>
      <c r="G1224">
        <f>IF($B1224="",0,IFERROR(IF(OR(C1224&lt;&gt;0,D1224&lt;&gt;0,E1224&lt;&gt;0,F1224&lt;&gt;0),1,0),1))</f>
        <v>0</v>
      </c>
      <c r="H1224" t="str">
        <f>IF(OR(G1224=0,E1224=0),"",C1224/E1224)</f>
        <v/>
      </c>
      <c r="I1224" t="str">
        <f>IF(OR(G1224=0,F1224=0),"",D1224/F1224)</f>
        <v/>
      </c>
      <c r="J1224" t="str">
        <f>IF(OR(H1224="",I1224=""),"",IF(H1224=0,"",I1224/H1224-1))</f>
        <v/>
      </c>
      <c r="K1224" t="str">
        <f>IF($B1224="","",IFERROR(IF(G1224=0,-2E+300,CHOOSE(sortIdx,ROUND(D1224,0),IF(J1224="",-1E+300,ROUND(-J1224,6)),IF(J1224="",-1E+300,ROUND(J1224,6)))),-1.5E+300))</f>
        <v/>
      </c>
      <c r="L1224" t="str">
        <f>IF(K1224="","",RANK(K1224,$K$2:$K$3001,0)+COUNTIF($K$2:K1224,K1224)-1)</f>
        <v/>
      </c>
    </row>
    <row r="1225">
      <c r="B1225" t="str">
        <f>IFERROR(IF(A1225="","","="&amp;SUBSTITUTE(SUBSTITUTE(SUBSTITUTE(A1225,"~","~~"),"*","~*"),"?","~?")),"")</f>
        <v/>
      </c>
      <c r="C1225" t="str">
        <f>IF($B1225="","",SUMIFS(dAmt,dCust,$B1225,dPer,"&gt;="&amp;pyFrom,dPer,"&lt;="&amp;pyTo,dAmt,"&gt;-1E+300",dFlt1,critFlt1,dFlt2,critFlt2,dFlt3,critFlt3))</f>
        <v/>
      </c>
      <c r="D1225" t="str">
        <f>IF($B1225="","",SUMIFS(dAmt,dCust,$B1225,dPer,"&gt;="&amp;cyFrom,dPer,"&lt;="&amp;cyTo,dAmt,"&gt;-1E+300",dFlt1,critFlt1,dFlt2,critFlt2,dFlt3,critFlt3))</f>
        <v/>
      </c>
      <c r="E1225" t="str">
        <f>IF($B1225="","",SUMIFS(dQty,dCust,$B1225,dPer,"&gt;="&amp;pyFrom,dPer,"&lt;="&amp;pyTo,dQty,"&gt;-1E+300",dFlt1,critFlt1,dFlt2,critFlt2,dFlt3,critFlt3))</f>
        <v/>
      </c>
      <c r="F1225" t="str">
        <f>IF($B1225="","",SUMIFS(dQty,dCust,$B1225,dPer,"&gt;="&amp;cyFrom,dPer,"&lt;="&amp;cyTo,dQty,"&gt;-1E+300",dFlt1,critFlt1,dFlt2,critFlt2,dFlt3,critFlt3))</f>
        <v/>
      </c>
      <c r="G1225">
        <f>IF($B1225="",0,IFERROR(IF(OR(C1225&lt;&gt;0,D1225&lt;&gt;0,E1225&lt;&gt;0,F1225&lt;&gt;0),1,0),1))</f>
        <v>0</v>
      </c>
      <c r="H1225" t="str">
        <f>IF(OR(G1225=0,E1225=0),"",C1225/E1225)</f>
        <v/>
      </c>
      <c r="I1225" t="str">
        <f>IF(OR(G1225=0,F1225=0),"",D1225/F1225)</f>
        <v/>
      </c>
      <c r="J1225" t="str">
        <f>IF(OR(H1225="",I1225=""),"",IF(H1225=0,"",I1225/H1225-1))</f>
        <v/>
      </c>
      <c r="K1225" t="str">
        <f>IF($B1225="","",IFERROR(IF(G1225=0,-2E+300,CHOOSE(sortIdx,ROUND(D1225,0),IF(J1225="",-1E+300,ROUND(-J1225,6)),IF(J1225="",-1E+300,ROUND(J1225,6)))),-1.5E+300))</f>
        <v/>
      </c>
      <c r="L1225" t="str">
        <f>IF(K1225="","",RANK(K1225,$K$2:$K$3001,0)+COUNTIF($K$2:K1225,K1225)-1)</f>
        <v/>
      </c>
    </row>
    <row r="1226">
      <c r="B1226" t="str">
        <f>IFERROR(IF(A1226="","","="&amp;SUBSTITUTE(SUBSTITUTE(SUBSTITUTE(A1226,"~","~~"),"*","~*"),"?","~?")),"")</f>
        <v/>
      </c>
      <c r="C1226" t="str">
        <f>IF($B1226="","",SUMIFS(dAmt,dCust,$B1226,dPer,"&gt;="&amp;pyFrom,dPer,"&lt;="&amp;pyTo,dAmt,"&gt;-1E+300",dFlt1,critFlt1,dFlt2,critFlt2,dFlt3,critFlt3))</f>
        <v/>
      </c>
      <c r="D1226" t="str">
        <f>IF($B1226="","",SUMIFS(dAmt,dCust,$B1226,dPer,"&gt;="&amp;cyFrom,dPer,"&lt;="&amp;cyTo,dAmt,"&gt;-1E+300",dFlt1,critFlt1,dFlt2,critFlt2,dFlt3,critFlt3))</f>
        <v/>
      </c>
      <c r="E1226" t="str">
        <f>IF($B1226="","",SUMIFS(dQty,dCust,$B1226,dPer,"&gt;="&amp;pyFrom,dPer,"&lt;="&amp;pyTo,dQty,"&gt;-1E+300",dFlt1,critFlt1,dFlt2,critFlt2,dFlt3,critFlt3))</f>
        <v/>
      </c>
      <c r="F1226" t="str">
        <f>IF($B1226="","",SUMIFS(dQty,dCust,$B1226,dPer,"&gt;="&amp;cyFrom,dPer,"&lt;="&amp;cyTo,dQty,"&gt;-1E+300",dFlt1,critFlt1,dFlt2,critFlt2,dFlt3,critFlt3))</f>
        <v/>
      </c>
      <c r="G1226">
        <f>IF($B1226="",0,IFERROR(IF(OR(C1226&lt;&gt;0,D1226&lt;&gt;0,E1226&lt;&gt;0,F1226&lt;&gt;0),1,0),1))</f>
        <v>0</v>
      </c>
      <c r="H1226" t="str">
        <f>IF(OR(G1226=0,E1226=0),"",C1226/E1226)</f>
        <v/>
      </c>
      <c r="I1226" t="str">
        <f>IF(OR(G1226=0,F1226=0),"",D1226/F1226)</f>
        <v/>
      </c>
      <c r="J1226" t="str">
        <f>IF(OR(H1226="",I1226=""),"",IF(H1226=0,"",I1226/H1226-1))</f>
        <v/>
      </c>
      <c r="K1226" t="str">
        <f>IF($B1226="","",IFERROR(IF(G1226=0,-2E+300,CHOOSE(sortIdx,ROUND(D1226,0),IF(J1226="",-1E+300,ROUND(-J1226,6)),IF(J1226="",-1E+300,ROUND(J1226,6)))),-1.5E+300))</f>
        <v/>
      </c>
      <c r="L1226" t="str">
        <f>IF(K1226="","",RANK(K1226,$K$2:$K$3001,0)+COUNTIF($K$2:K1226,K1226)-1)</f>
        <v/>
      </c>
    </row>
    <row r="1227">
      <c r="B1227" t="str">
        <f>IFERROR(IF(A1227="","","="&amp;SUBSTITUTE(SUBSTITUTE(SUBSTITUTE(A1227,"~","~~"),"*","~*"),"?","~?")),"")</f>
        <v/>
      </c>
      <c r="C1227" t="str">
        <f>IF($B1227="","",SUMIFS(dAmt,dCust,$B1227,dPer,"&gt;="&amp;pyFrom,dPer,"&lt;="&amp;pyTo,dAmt,"&gt;-1E+300",dFlt1,critFlt1,dFlt2,critFlt2,dFlt3,critFlt3))</f>
        <v/>
      </c>
      <c r="D1227" t="str">
        <f>IF($B1227="","",SUMIFS(dAmt,dCust,$B1227,dPer,"&gt;="&amp;cyFrom,dPer,"&lt;="&amp;cyTo,dAmt,"&gt;-1E+300",dFlt1,critFlt1,dFlt2,critFlt2,dFlt3,critFlt3))</f>
        <v/>
      </c>
      <c r="E1227" t="str">
        <f>IF($B1227="","",SUMIFS(dQty,dCust,$B1227,dPer,"&gt;="&amp;pyFrom,dPer,"&lt;="&amp;pyTo,dQty,"&gt;-1E+300",dFlt1,critFlt1,dFlt2,critFlt2,dFlt3,critFlt3))</f>
        <v/>
      </c>
      <c r="F1227" t="str">
        <f>IF($B1227="","",SUMIFS(dQty,dCust,$B1227,dPer,"&gt;="&amp;cyFrom,dPer,"&lt;="&amp;cyTo,dQty,"&gt;-1E+300",dFlt1,critFlt1,dFlt2,critFlt2,dFlt3,critFlt3))</f>
        <v/>
      </c>
      <c r="G1227">
        <f>IF($B1227="",0,IFERROR(IF(OR(C1227&lt;&gt;0,D1227&lt;&gt;0,E1227&lt;&gt;0,F1227&lt;&gt;0),1,0),1))</f>
        <v>0</v>
      </c>
      <c r="H1227" t="str">
        <f>IF(OR(G1227=0,E1227=0),"",C1227/E1227)</f>
        <v/>
      </c>
      <c r="I1227" t="str">
        <f>IF(OR(G1227=0,F1227=0),"",D1227/F1227)</f>
        <v/>
      </c>
      <c r="J1227" t="str">
        <f>IF(OR(H1227="",I1227=""),"",IF(H1227=0,"",I1227/H1227-1))</f>
        <v/>
      </c>
      <c r="K1227" t="str">
        <f>IF($B1227="","",IFERROR(IF(G1227=0,-2E+300,CHOOSE(sortIdx,ROUND(D1227,0),IF(J1227="",-1E+300,ROUND(-J1227,6)),IF(J1227="",-1E+300,ROUND(J1227,6)))),-1.5E+300))</f>
        <v/>
      </c>
      <c r="L1227" t="str">
        <f>IF(K1227="","",RANK(K1227,$K$2:$K$3001,0)+COUNTIF($K$2:K1227,K1227)-1)</f>
        <v/>
      </c>
    </row>
    <row r="1228">
      <c r="B1228" t="str">
        <f>IFERROR(IF(A1228="","","="&amp;SUBSTITUTE(SUBSTITUTE(SUBSTITUTE(A1228,"~","~~"),"*","~*"),"?","~?")),"")</f>
        <v/>
      </c>
      <c r="C1228" t="str">
        <f>IF($B1228="","",SUMIFS(dAmt,dCust,$B1228,dPer,"&gt;="&amp;pyFrom,dPer,"&lt;="&amp;pyTo,dAmt,"&gt;-1E+300",dFlt1,critFlt1,dFlt2,critFlt2,dFlt3,critFlt3))</f>
        <v/>
      </c>
      <c r="D1228" t="str">
        <f>IF($B1228="","",SUMIFS(dAmt,dCust,$B1228,dPer,"&gt;="&amp;cyFrom,dPer,"&lt;="&amp;cyTo,dAmt,"&gt;-1E+300",dFlt1,critFlt1,dFlt2,critFlt2,dFlt3,critFlt3))</f>
        <v/>
      </c>
      <c r="E1228" t="str">
        <f>IF($B1228="","",SUMIFS(dQty,dCust,$B1228,dPer,"&gt;="&amp;pyFrom,dPer,"&lt;="&amp;pyTo,dQty,"&gt;-1E+300",dFlt1,critFlt1,dFlt2,critFlt2,dFlt3,critFlt3))</f>
        <v/>
      </c>
      <c r="F1228" t="str">
        <f>IF($B1228="","",SUMIFS(dQty,dCust,$B1228,dPer,"&gt;="&amp;cyFrom,dPer,"&lt;="&amp;cyTo,dQty,"&gt;-1E+300",dFlt1,critFlt1,dFlt2,critFlt2,dFlt3,critFlt3))</f>
        <v/>
      </c>
      <c r="G1228">
        <f>IF($B1228="",0,IFERROR(IF(OR(C1228&lt;&gt;0,D1228&lt;&gt;0,E1228&lt;&gt;0,F1228&lt;&gt;0),1,0),1))</f>
        <v>0</v>
      </c>
      <c r="H1228" t="str">
        <f>IF(OR(G1228=0,E1228=0),"",C1228/E1228)</f>
        <v/>
      </c>
      <c r="I1228" t="str">
        <f>IF(OR(G1228=0,F1228=0),"",D1228/F1228)</f>
        <v/>
      </c>
      <c r="J1228" t="str">
        <f>IF(OR(H1228="",I1228=""),"",IF(H1228=0,"",I1228/H1228-1))</f>
        <v/>
      </c>
      <c r="K1228" t="str">
        <f>IF($B1228="","",IFERROR(IF(G1228=0,-2E+300,CHOOSE(sortIdx,ROUND(D1228,0),IF(J1228="",-1E+300,ROUND(-J1228,6)),IF(J1228="",-1E+300,ROUND(J1228,6)))),-1.5E+300))</f>
        <v/>
      </c>
      <c r="L1228" t="str">
        <f>IF(K1228="","",RANK(K1228,$K$2:$K$3001,0)+COUNTIF($K$2:K1228,K1228)-1)</f>
        <v/>
      </c>
    </row>
    <row r="1229">
      <c r="B1229" t="str">
        <f>IFERROR(IF(A1229="","","="&amp;SUBSTITUTE(SUBSTITUTE(SUBSTITUTE(A1229,"~","~~"),"*","~*"),"?","~?")),"")</f>
        <v/>
      </c>
      <c r="C1229" t="str">
        <f>IF($B1229="","",SUMIFS(dAmt,dCust,$B1229,dPer,"&gt;="&amp;pyFrom,dPer,"&lt;="&amp;pyTo,dAmt,"&gt;-1E+300",dFlt1,critFlt1,dFlt2,critFlt2,dFlt3,critFlt3))</f>
        <v/>
      </c>
      <c r="D1229" t="str">
        <f>IF($B1229="","",SUMIFS(dAmt,dCust,$B1229,dPer,"&gt;="&amp;cyFrom,dPer,"&lt;="&amp;cyTo,dAmt,"&gt;-1E+300",dFlt1,critFlt1,dFlt2,critFlt2,dFlt3,critFlt3))</f>
        <v/>
      </c>
      <c r="E1229" t="str">
        <f>IF($B1229="","",SUMIFS(dQty,dCust,$B1229,dPer,"&gt;="&amp;pyFrom,dPer,"&lt;="&amp;pyTo,dQty,"&gt;-1E+300",dFlt1,critFlt1,dFlt2,critFlt2,dFlt3,critFlt3))</f>
        <v/>
      </c>
      <c r="F1229" t="str">
        <f>IF($B1229="","",SUMIFS(dQty,dCust,$B1229,dPer,"&gt;="&amp;cyFrom,dPer,"&lt;="&amp;cyTo,dQty,"&gt;-1E+300",dFlt1,critFlt1,dFlt2,critFlt2,dFlt3,critFlt3))</f>
        <v/>
      </c>
      <c r="G1229">
        <f>IF($B1229="",0,IFERROR(IF(OR(C1229&lt;&gt;0,D1229&lt;&gt;0,E1229&lt;&gt;0,F1229&lt;&gt;0),1,0),1))</f>
        <v>0</v>
      </c>
      <c r="H1229" t="str">
        <f>IF(OR(G1229=0,E1229=0),"",C1229/E1229)</f>
        <v/>
      </c>
      <c r="I1229" t="str">
        <f>IF(OR(G1229=0,F1229=0),"",D1229/F1229)</f>
        <v/>
      </c>
      <c r="J1229" t="str">
        <f>IF(OR(H1229="",I1229=""),"",IF(H1229=0,"",I1229/H1229-1))</f>
        <v/>
      </c>
      <c r="K1229" t="str">
        <f>IF($B1229="","",IFERROR(IF(G1229=0,-2E+300,CHOOSE(sortIdx,ROUND(D1229,0),IF(J1229="",-1E+300,ROUND(-J1229,6)),IF(J1229="",-1E+300,ROUND(J1229,6)))),-1.5E+300))</f>
        <v/>
      </c>
      <c r="L1229" t="str">
        <f>IF(K1229="","",RANK(K1229,$K$2:$K$3001,0)+COUNTIF($K$2:K1229,K1229)-1)</f>
        <v/>
      </c>
    </row>
    <row r="1230">
      <c r="B1230" t="str">
        <f>IFERROR(IF(A1230="","","="&amp;SUBSTITUTE(SUBSTITUTE(SUBSTITUTE(A1230,"~","~~"),"*","~*"),"?","~?")),"")</f>
        <v/>
      </c>
      <c r="C1230" t="str">
        <f>IF($B1230="","",SUMIFS(dAmt,dCust,$B1230,dPer,"&gt;="&amp;pyFrom,dPer,"&lt;="&amp;pyTo,dAmt,"&gt;-1E+300",dFlt1,critFlt1,dFlt2,critFlt2,dFlt3,critFlt3))</f>
        <v/>
      </c>
      <c r="D1230" t="str">
        <f>IF($B1230="","",SUMIFS(dAmt,dCust,$B1230,dPer,"&gt;="&amp;cyFrom,dPer,"&lt;="&amp;cyTo,dAmt,"&gt;-1E+300",dFlt1,critFlt1,dFlt2,critFlt2,dFlt3,critFlt3))</f>
        <v/>
      </c>
      <c r="E1230" t="str">
        <f>IF($B1230="","",SUMIFS(dQty,dCust,$B1230,dPer,"&gt;="&amp;pyFrom,dPer,"&lt;="&amp;pyTo,dQty,"&gt;-1E+300",dFlt1,critFlt1,dFlt2,critFlt2,dFlt3,critFlt3))</f>
        <v/>
      </c>
      <c r="F1230" t="str">
        <f>IF($B1230="","",SUMIFS(dQty,dCust,$B1230,dPer,"&gt;="&amp;cyFrom,dPer,"&lt;="&amp;cyTo,dQty,"&gt;-1E+300",dFlt1,critFlt1,dFlt2,critFlt2,dFlt3,critFlt3))</f>
        <v/>
      </c>
      <c r="G1230">
        <f>IF($B1230="",0,IFERROR(IF(OR(C1230&lt;&gt;0,D1230&lt;&gt;0,E1230&lt;&gt;0,F1230&lt;&gt;0),1,0),1))</f>
        <v>0</v>
      </c>
      <c r="H1230" t="str">
        <f>IF(OR(G1230=0,E1230=0),"",C1230/E1230)</f>
        <v/>
      </c>
      <c r="I1230" t="str">
        <f>IF(OR(G1230=0,F1230=0),"",D1230/F1230)</f>
        <v/>
      </c>
      <c r="J1230" t="str">
        <f>IF(OR(H1230="",I1230=""),"",IF(H1230=0,"",I1230/H1230-1))</f>
        <v/>
      </c>
      <c r="K1230" t="str">
        <f>IF($B1230="","",IFERROR(IF(G1230=0,-2E+300,CHOOSE(sortIdx,ROUND(D1230,0),IF(J1230="",-1E+300,ROUND(-J1230,6)),IF(J1230="",-1E+300,ROUND(J1230,6)))),-1.5E+300))</f>
        <v/>
      </c>
      <c r="L1230" t="str">
        <f>IF(K1230="","",RANK(K1230,$K$2:$K$3001,0)+COUNTIF($K$2:K1230,K1230)-1)</f>
        <v/>
      </c>
    </row>
    <row r="1231">
      <c r="B1231" t="str">
        <f>IFERROR(IF(A1231="","","="&amp;SUBSTITUTE(SUBSTITUTE(SUBSTITUTE(A1231,"~","~~"),"*","~*"),"?","~?")),"")</f>
        <v/>
      </c>
      <c r="C1231" t="str">
        <f>IF($B1231="","",SUMIFS(dAmt,dCust,$B1231,dPer,"&gt;="&amp;pyFrom,dPer,"&lt;="&amp;pyTo,dAmt,"&gt;-1E+300",dFlt1,critFlt1,dFlt2,critFlt2,dFlt3,critFlt3))</f>
        <v/>
      </c>
      <c r="D1231" t="str">
        <f>IF($B1231="","",SUMIFS(dAmt,dCust,$B1231,dPer,"&gt;="&amp;cyFrom,dPer,"&lt;="&amp;cyTo,dAmt,"&gt;-1E+300",dFlt1,critFlt1,dFlt2,critFlt2,dFlt3,critFlt3))</f>
        <v/>
      </c>
      <c r="E1231" t="str">
        <f>IF($B1231="","",SUMIFS(dQty,dCust,$B1231,dPer,"&gt;="&amp;pyFrom,dPer,"&lt;="&amp;pyTo,dQty,"&gt;-1E+300",dFlt1,critFlt1,dFlt2,critFlt2,dFlt3,critFlt3))</f>
        <v/>
      </c>
      <c r="F1231" t="str">
        <f>IF($B1231="","",SUMIFS(dQty,dCust,$B1231,dPer,"&gt;="&amp;cyFrom,dPer,"&lt;="&amp;cyTo,dQty,"&gt;-1E+300",dFlt1,critFlt1,dFlt2,critFlt2,dFlt3,critFlt3))</f>
        <v/>
      </c>
      <c r="G1231">
        <f>IF($B1231="",0,IFERROR(IF(OR(C1231&lt;&gt;0,D1231&lt;&gt;0,E1231&lt;&gt;0,F1231&lt;&gt;0),1,0),1))</f>
        <v>0</v>
      </c>
      <c r="H1231" t="str">
        <f>IF(OR(G1231=0,E1231=0),"",C1231/E1231)</f>
        <v/>
      </c>
      <c r="I1231" t="str">
        <f>IF(OR(G1231=0,F1231=0),"",D1231/F1231)</f>
        <v/>
      </c>
      <c r="J1231" t="str">
        <f>IF(OR(H1231="",I1231=""),"",IF(H1231=0,"",I1231/H1231-1))</f>
        <v/>
      </c>
      <c r="K1231" t="str">
        <f>IF($B1231="","",IFERROR(IF(G1231=0,-2E+300,CHOOSE(sortIdx,ROUND(D1231,0),IF(J1231="",-1E+300,ROUND(-J1231,6)),IF(J1231="",-1E+300,ROUND(J1231,6)))),-1.5E+300))</f>
        <v/>
      </c>
      <c r="L1231" t="str">
        <f>IF(K1231="","",RANK(K1231,$K$2:$K$3001,0)+COUNTIF($K$2:K1231,K1231)-1)</f>
        <v/>
      </c>
    </row>
    <row r="1232">
      <c r="B1232" t="str">
        <f>IFERROR(IF(A1232="","","="&amp;SUBSTITUTE(SUBSTITUTE(SUBSTITUTE(A1232,"~","~~"),"*","~*"),"?","~?")),"")</f>
        <v/>
      </c>
      <c r="C1232" t="str">
        <f>IF($B1232="","",SUMIFS(dAmt,dCust,$B1232,dPer,"&gt;="&amp;pyFrom,dPer,"&lt;="&amp;pyTo,dAmt,"&gt;-1E+300",dFlt1,critFlt1,dFlt2,critFlt2,dFlt3,critFlt3))</f>
        <v/>
      </c>
      <c r="D1232" t="str">
        <f>IF($B1232="","",SUMIFS(dAmt,dCust,$B1232,dPer,"&gt;="&amp;cyFrom,dPer,"&lt;="&amp;cyTo,dAmt,"&gt;-1E+300",dFlt1,critFlt1,dFlt2,critFlt2,dFlt3,critFlt3))</f>
        <v/>
      </c>
      <c r="E1232" t="str">
        <f>IF($B1232="","",SUMIFS(dQty,dCust,$B1232,dPer,"&gt;="&amp;pyFrom,dPer,"&lt;="&amp;pyTo,dQty,"&gt;-1E+300",dFlt1,critFlt1,dFlt2,critFlt2,dFlt3,critFlt3))</f>
        <v/>
      </c>
      <c r="F1232" t="str">
        <f>IF($B1232="","",SUMIFS(dQty,dCust,$B1232,dPer,"&gt;="&amp;cyFrom,dPer,"&lt;="&amp;cyTo,dQty,"&gt;-1E+300",dFlt1,critFlt1,dFlt2,critFlt2,dFlt3,critFlt3))</f>
        <v/>
      </c>
      <c r="G1232">
        <f>IF($B1232="",0,IFERROR(IF(OR(C1232&lt;&gt;0,D1232&lt;&gt;0,E1232&lt;&gt;0,F1232&lt;&gt;0),1,0),1))</f>
        <v>0</v>
      </c>
      <c r="H1232" t="str">
        <f>IF(OR(G1232=0,E1232=0),"",C1232/E1232)</f>
        <v/>
      </c>
      <c r="I1232" t="str">
        <f>IF(OR(G1232=0,F1232=0),"",D1232/F1232)</f>
        <v/>
      </c>
      <c r="J1232" t="str">
        <f>IF(OR(H1232="",I1232=""),"",IF(H1232=0,"",I1232/H1232-1))</f>
        <v/>
      </c>
      <c r="K1232" t="str">
        <f>IF($B1232="","",IFERROR(IF(G1232=0,-2E+300,CHOOSE(sortIdx,ROUND(D1232,0),IF(J1232="",-1E+300,ROUND(-J1232,6)),IF(J1232="",-1E+300,ROUND(J1232,6)))),-1.5E+300))</f>
        <v/>
      </c>
      <c r="L1232" t="str">
        <f>IF(K1232="","",RANK(K1232,$K$2:$K$3001,0)+COUNTIF($K$2:K1232,K1232)-1)</f>
        <v/>
      </c>
    </row>
    <row r="1233">
      <c r="B1233" t="str">
        <f>IFERROR(IF(A1233="","","="&amp;SUBSTITUTE(SUBSTITUTE(SUBSTITUTE(A1233,"~","~~"),"*","~*"),"?","~?")),"")</f>
        <v/>
      </c>
      <c r="C1233" t="str">
        <f>IF($B1233="","",SUMIFS(dAmt,dCust,$B1233,dPer,"&gt;="&amp;pyFrom,dPer,"&lt;="&amp;pyTo,dAmt,"&gt;-1E+300",dFlt1,critFlt1,dFlt2,critFlt2,dFlt3,critFlt3))</f>
        <v/>
      </c>
      <c r="D1233" t="str">
        <f>IF($B1233="","",SUMIFS(dAmt,dCust,$B1233,dPer,"&gt;="&amp;cyFrom,dPer,"&lt;="&amp;cyTo,dAmt,"&gt;-1E+300",dFlt1,critFlt1,dFlt2,critFlt2,dFlt3,critFlt3))</f>
        <v/>
      </c>
      <c r="E1233" t="str">
        <f>IF($B1233="","",SUMIFS(dQty,dCust,$B1233,dPer,"&gt;="&amp;pyFrom,dPer,"&lt;="&amp;pyTo,dQty,"&gt;-1E+300",dFlt1,critFlt1,dFlt2,critFlt2,dFlt3,critFlt3))</f>
        <v/>
      </c>
      <c r="F1233" t="str">
        <f>IF($B1233="","",SUMIFS(dQty,dCust,$B1233,dPer,"&gt;="&amp;cyFrom,dPer,"&lt;="&amp;cyTo,dQty,"&gt;-1E+300",dFlt1,critFlt1,dFlt2,critFlt2,dFlt3,critFlt3))</f>
        <v/>
      </c>
      <c r="G1233">
        <f>IF($B1233="",0,IFERROR(IF(OR(C1233&lt;&gt;0,D1233&lt;&gt;0,E1233&lt;&gt;0,F1233&lt;&gt;0),1,0),1))</f>
        <v>0</v>
      </c>
      <c r="H1233" t="str">
        <f>IF(OR(G1233=0,E1233=0),"",C1233/E1233)</f>
        <v/>
      </c>
      <c r="I1233" t="str">
        <f>IF(OR(G1233=0,F1233=0),"",D1233/F1233)</f>
        <v/>
      </c>
      <c r="J1233" t="str">
        <f>IF(OR(H1233="",I1233=""),"",IF(H1233=0,"",I1233/H1233-1))</f>
        <v/>
      </c>
      <c r="K1233" t="str">
        <f>IF($B1233="","",IFERROR(IF(G1233=0,-2E+300,CHOOSE(sortIdx,ROUND(D1233,0),IF(J1233="",-1E+300,ROUND(-J1233,6)),IF(J1233="",-1E+300,ROUND(J1233,6)))),-1.5E+300))</f>
        <v/>
      </c>
      <c r="L1233" t="str">
        <f>IF(K1233="","",RANK(K1233,$K$2:$K$3001,0)+COUNTIF($K$2:K1233,K1233)-1)</f>
        <v/>
      </c>
    </row>
    <row r="1234">
      <c r="B1234" t="str">
        <f>IFERROR(IF(A1234="","","="&amp;SUBSTITUTE(SUBSTITUTE(SUBSTITUTE(A1234,"~","~~"),"*","~*"),"?","~?")),"")</f>
        <v/>
      </c>
      <c r="C1234" t="str">
        <f>IF($B1234="","",SUMIFS(dAmt,dCust,$B1234,dPer,"&gt;="&amp;pyFrom,dPer,"&lt;="&amp;pyTo,dAmt,"&gt;-1E+300",dFlt1,critFlt1,dFlt2,critFlt2,dFlt3,critFlt3))</f>
        <v/>
      </c>
      <c r="D1234" t="str">
        <f>IF($B1234="","",SUMIFS(dAmt,dCust,$B1234,dPer,"&gt;="&amp;cyFrom,dPer,"&lt;="&amp;cyTo,dAmt,"&gt;-1E+300",dFlt1,critFlt1,dFlt2,critFlt2,dFlt3,critFlt3))</f>
        <v/>
      </c>
      <c r="E1234" t="str">
        <f>IF($B1234="","",SUMIFS(dQty,dCust,$B1234,dPer,"&gt;="&amp;pyFrom,dPer,"&lt;="&amp;pyTo,dQty,"&gt;-1E+300",dFlt1,critFlt1,dFlt2,critFlt2,dFlt3,critFlt3))</f>
        <v/>
      </c>
      <c r="F1234" t="str">
        <f>IF($B1234="","",SUMIFS(dQty,dCust,$B1234,dPer,"&gt;="&amp;cyFrom,dPer,"&lt;="&amp;cyTo,dQty,"&gt;-1E+300",dFlt1,critFlt1,dFlt2,critFlt2,dFlt3,critFlt3))</f>
        <v/>
      </c>
      <c r="G1234">
        <f>IF($B1234="",0,IFERROR(IF(OR(C1234&lt;&gt;0,D1234&lt;&gt;0,E1234&lt;&gt;0,F1234&lt;&gt;0),1,0),1))</f>
        <v>0</v>
      </c>
      <c r="H1234" t="str">
        <f>IF(OR(G1234=0,E1234=0),"",C1234/E1234)</f>
        <v/>
      </c>
      <c r="I1234" t="str">
        <f>IF(OR(G1234=0,F1234=0),"",D1234/F1234)</f>
        <v/>
      </c>
      <c r="J1234" t="str">
        <f>IF(OR(H1234="",I1234=""),"",IF(H1234=0,"",I1234/H1234-1))</f>
        <v/>
      </c>
      <c r="K1234" t="str">
        <f>IF($B1234="","",IFERROR(IF(G1234=0,-2E+300,CHOOSE(sortIdx,ROUND(D1234,0),IF(J1234="",-1E+300,ROUND(-J1234,6)),IF(J1234="",-1E+300,ROUND(J1234,6)))),-1.5E+300))</f>
        <v/>
      </c>
      <c r="L1234" t="str">
        <f>IF(K1234="","",RANK(K1234,$K$2:$K$3001,0)+COUNTIF($K$2:K1234,K1234)-1)</f>
        <v/>
      </c>
    </row>
    <row r="1235">
      <c r="B1235" t="str">
        <f>IFERROR(IF(A1235="","","="&amp;SUBSTITUTE(SUBSTITUTE(SUBSTITUTE(A1235,"~","~~"),"*","~*"),"?","~?")),"")</f>
        <v/>
      </c>
      <c r="C1235" t="str">
        <f>IF($B1235="","",SUMIFS(dAmt,dCust,$B1235,dPer,"&gt;="&amp;pyFrom,dPer,"&lt;="&amp;pyTo,dAmt,"&gt;-1E+300",dFlt1,critFlt1,dFlt2,critFlt2,dFlt3,critFlt3))</f>
        <v/>
      </c>
      <c r="D1235" t="str">
        <f>IF($B1235="","",SUMIFS(dAmt,dCust,$B1235,dPer,"&gt;="&amp;cyFrom,dPer,"&lt;="&amp;cyTo,dAmt,"&gt;-1E+300",dFlt1,critFlt1,dFlt2,critFlt2,dFlt3,critFlt3))</f>
        <v/>
      </c>
      <c r="E1235" t="str">
        <f>IF($B1235="","",SUMIFS(dQty,dCust,$B1235,dPer,"&gt;="&amp;pyFrom,dPer,"&lt;="&amp;pyTo,dQty,"&gt;-1E+300",dFlt1,critFlt1,dFlt2,critFlt2,dFlt3,critFlt3))</f>
        <v/>
      </c>
      <c r="F1235" t="str">
        <f>IF($B1235="","",SUMIFS(dQty,dCust,$B1235,dPer,"&gt;="&amp;cyFrom,dPer,"&lt;="&amp;cyTo,dQty,"&gt;-1E+300",dFlt1,critFlt1,dFlt2,critFlt2,dFlt3,critFlt3))</f>
        <v/>
      </c>
      <c r="G1235">
        <f>IF($B1235="",0,IFERROR(IF(OR(C1235&lt;&gt;0,D1235&lt;&gt;0,E1235&lt;&gt;0,F1235&lt;&gt;0),1,0),1))</f>
        <v>0</v>
      </c>
      <c r="H1235" t="str">
        <f>IF(OR(G1235=0,E1235=0),"",C1235/E1235)</f>
        <v/>
      </c>
      <c r="I1235" t="str">
        <f>IF(OR(G1235=0,F1235=0),"",D1235/F1235)</f>
        <v/>
      </c>
      <c r="J1235" t="str">
        <f>IF(OR(H1235="",I1235=""),"",IF(H1235=0,"",I1235/H1235-1))</f>
        <v/>
      </c>
      <c r="K1235" t="str">
        <f>IF($B1235="","",IFERROR(IF(G1235=0,-2E+300,CHOOSE(sortIdx,ROUND(D1235,0),IF(J1235="",-1E+300,ROUND(-J1235,6)),IF(J1235="",-1E+300,ROUND(J1235,6)))),-1.5E+300))</f>
        <v/>
      </c>
      <c r="L1235" t="str">
        <f>IF(K1235="","",RANK(K1235,$K$2:$K$3001,0)+COUNTIF($K$2:K1235,K1235)-1)</f>
        <v/>
      </c>
    </row>
    <row r="1236">
      <c r="B1236" t="str">
        <f>IFERROR(IF(A1236="","","="&amp;SUBSTITUTE(SUBSTITUTE(SUBSTITUTE(A1236,"~","~~"),"*","~*"),"?","~?")),"")</f>
        <v/>
      </c>
      <c r="C1236" t="str">
        <f>IF($B1236="","",SUMIFS(dAmt,dCust,$B1236,dPer,"&gt;="&amp;pyFrom,dPer,"&lt;="&amp;pyTo,dAmt,"&gt;-1E+300",dFlt1,critFlt1,dFlt2,critFlt2,dFlt3,critFlt3))</f>
        <v/>
      </c>
      <c r="D1236" t="str">
        <f>IF($B1236="","",SUMIFS(dAmt,dCust,$B1236,dPer,"&gt;="&amp;cyFrom,dPer,"&lt;="&amp;cyTo,dAmt,"&gt;-1E+300",dFlt1,critFlt1,dFlt2,critFlt2,dFlt3,critFlt3))</f>
        <v/>
      </c>
      <c r="E1236" t="str">
        <f>IF($B1236="","",SUMIFS(dQty,dCust,$B1236,dPer,"&gt;="&amp;pyFrom,dPer,"&lt;="&amp;pyTo,dQty,"&gt;-1E+300",dFlt1,critFlt1,dFlt2,critFlt2,dFlt3,critFlt3))</f>
        <v/>
      </c>
      <c r="F1236" t="str">
        <f>IF($B1236="","",SUMIFS(dQty,dCust,$B1236,dPer,"&gt;="&amp;cyFrom,dPer,"&lt;="&amp;cyTo,dQty,"&gt;-1E+300",dFlt1,critFlt1,dFlt2,critFlt2,dFlt3,critFlt3))</f>
        <v/>
      </c>
      <c r="G1236">
        <f>IF($B1236="",0,IFERROR(IF(OR(C1236&lt;&gt;0,D1236&lt;&gt;0,E1236&lt;&gt;0,F1236&lt;&gt;0),1,0),1))</f>
        <v>0</v>
      </c>
      <c r="H1236" t="str">
        <f>IF(OR(G1236=0,E1236=0),"",C1236/E1236)</f>
        <v/>
      </c>
      <c r="I1236" t="str">
        <f>IF(OR(G1236=0,F1236=0),"",D1236/F1236)</f>
        <v/>
      </c>
      <c r="J1236" t="str">
        <f>IF(OR(H1236="",I1236=""),"",IF(H1236=0,"",I1236/H1236-1))</f>
        <v/>
      </c>
      <c r="K1236" t="str">
        <f>IF($B1236="","",IFERROR(IF(G1236=0,-2E+300,CHOOSE(sortIdx,ROUND(D1236,0),IF(J1236="",-1E+300,ROUND(-J1236,6)),IF(J1236="",-1E+300,ROUND(J1236,6)))),-1.5E+300))</f>
        <v/>
      </c>
      <c r="L1236" t="str">
        <f>IF(K1236="","",RANK(K1236,$K$2:$K$3001,0)+COUNTIF($K$2:K1236,K1236)-1)</f>
        <v/>
      </c>
    </row>
    <row r="1237">
      <c r="B1237" t="str">
        <f>IFERROR(IF(A1237="","","="&amp;SUBSTITUTE(SUBSTITUTE(SUBSTITUTE(A1237,"~","~~"),"*","~*"),"?","~?")),"")</f>
        <v/>
      </c>
      <c r="C1237" t="str">
        <f>IF($B1237="","",SUMIFS(dAmt,dCust,$B1237,dPer,"&gt;="&amp;pyFrom,dPer,"&lt;="&amp;pyTo,dAmt,"&gt;-1E+300",dFlt1,critFlt1,dFlt2,critFlt2,dFlt3,critFlt3))</f>
        <v/>
      </c>
      <c r="D1237" t="str">
        <f>IF($B1237="","",SUMIFS(dAmt,dCust,$B1237,dPer,"&gt;="&amp;cyFrom,dPer,"&lt;="&amp;cyTo,dAmt,"&gt;-1E+300",dFlt1,critFlt1,dFlt2,critFlt2,dFlt3,critFlt3))</f>
        <v/>
      </c>
      <c r="E1237" t="str">
        <f>IF($B1237="","",SUMIFS(dQty,dCust,$B1237,dPer,"&gt;="&amp;pyFrom,dPer,"&lt;="&amp;pyTo,dQty,"&gt;-1E+300",dFlt1,critFlt1,dFlt2,critFlt2,dFlt3,critFlt3))</f>
        <v/>
      </c>
      <c r="F1237" t="str">
        <f>IF($B1237="","",SUMIFS(dQty,dCust,$B1237,dPer,"&gt;="&amp;cyFrom,dPer,"&lt;="&amp;cyTo,dQty,"&gt;-1E+300",dFlt1,critFlt1,dFlt2,critFlt2,dFlt3,critFlt3))</f>
        <v/>
      </c>
      <c r="G1237">
        <f>IF($B1237="",0,IFERROR(IF(OR(C1237&lt;&gt;0,D1237&lt;&gt;0,E1237&lt;&gt;0,F1237&lt;&gt;0),1,0),1))</f>
        <v>0</v>
      </c>
      <c r="H1237" t="str">
        <f>IF(OR(G1237=0,E1237=0),"",C1237/E1237)</f>
        <v/>
      </c>
      <c r="I1237" t="str">
        <f>IF(OR(G1237=0,F1237=0),"",D1237/F1237)</f>
        <v/>
      </c>
      <c r="J1237" t="str">
        <f>IF(OR(H1237="",I1237=""),"",IF(H1237=0,"",I1237/H1237-1))</f>
        <v/>
      </c>
      <c r="K1237" t="str">
        <f>IF($B1237="","",IFERROR(IF(G1237=0,-2E+300,CHOOSE(sortIdx,ROUND(D1237,0),IF(J1237="",-1E+300,ROUND(-J1237,6)),IF(J1237="",-1E+300,ROUND(J1237,6)))),-1.5E+300))</f>
        <v/>
      </c>
      <c r="L1237" t="str">
        <f>IF(K1237="","",RANK(K1237,$K$2:$K$3001,0)+COUNTIF($K$2:K1237,K1237)-1)</f>
        <v/>
      </c>
    </row>
    <row r="1238">
      <c r="B1238" t="str">
        <f>IFERROR(IF(A1238="","","="&amp;SUBSTITUTE(SUBSTITUTE(SUBSTITUTE(A1238,"~","~~"),"*","~*"),"?","~?")),"")</f>
        <v/>
      </c>
      <c r="C1238" t="str">
        <f>IF($B1238="","",SUMIFS(dAmt,dCust,$B1238,dPer,"&gt;="&amp;pyFrom,dPer,"&lt;="&amp;pyTo,dAmt,"&gt;-1E+300",dFlt1,critFlt1,dFlt2,critFlt2,dFlt3,critFlt3))</f>
        <v/>
      </c>
      <c r="D1238" t="str">
        <f>IF($B1238="","",SUMIFS(dAmt,dCust,$B1238,dPer,"&gt;="&amp;cyFrom,dPer,"&lt;="&amp;cyTo,dAmt,"&gt;-1E+300",dFlt1,critFlt1,dFlt2,critFlt2,dFlt3,critFlt3))</f>
        <v/>
      </c>
      <c r="E1238" t="str">
        <f>IF($B1238="","",SUMIFS(dQty,dCust,$B1238,dPer,"&gt;="&amp;pyFrom,dPer,"&lt;="&amp;pyTo,dQty,"&gt;-1E+300",dFlt1,critFlt1,dFlt2,critFlt2,dFlt3,critFlt3))</f>
        <v/>
      </c>
      <c r="F1238" t="str">
        <f>IF($B1238="","",SUMIFS(dQty,dCust,$B1238,dPer,"&gt;="&amp;cyFrom,dPer,"&lt;="&amp;cyTo,dQty,"&gt;-1E+300",dFlt1,critFlt1,dFlt2,critFlt2,dFlt3,critFlt3))</f>
        <v/>
      </c>
      <c r="G1238">
        <f>IF($B1238="",0,IFERROR(IF(OR(C1238&lt;&gt;0,D1238&lt;&gt;0,E1238&lt;&gt;0,F1238&lt;&gt;0),1,0),1))</f>
        <v>0</v>
      </c>
      <c r="H1238" t="str">
        <f>IF(OR(G1238=0,E1238=0),"",C1238/E1238)</f>
        <v/>
      </c>
      <c r="I1238" t="str">
        <f>IF(OR(G1238=0,F1238=0),"",D1238/F1238)</f>
        <v/>
      </c>
      <c r="J1238" t="str">
        <f>IF(OR(H1238="",I1238=""),"",IF(H1238=0,"",I1238/H1238-1))</f>
        <v/>
      </c>
      <c r="K1238" t="str">
        <f>IF($B1238="","",IFERROR(IF(G1238=0,-2E+300,CHOOSE(sortIdx,ROUND(D1238,0),IF(J1238="",-1E+300,ROUND(-J1238,6)),IF(J1238="",-1E+300,ROUND(J1238,6)))),-1.5E+300))</f>
        <v/>
      </c>
      <c r="L1238" t="str">
        <f>IF(K1238="","",RANK(K1238,$K$2:$K$3001,0)+COUNTIF($K$2:K1238,K1238)-1)</f>
        <v/>
      </c>
    </row>
    <row r="1239">
      <c r="B1239" t="str">
        <f>IFERROR(IF(A1239="","","="&amp;SUBSTITUTE(SUBSTITUTE(SUBSTITUTE(A1239,"~","~~"),"*","~*"),"?","~?")),"")</f>
        <v/>
      </c>
      <c r="C1239" t="str">
        <f>IF($B1239="","",SUMIFS(dAmt,dCust,$B1239,dPer,"&gt;="&amp;pyFrom,dPer,"&lt;="&amp;pyTo,dAmt,"&gt;-1E+300",dFlt1,critFlt1,dFlt2,critFlt2,dFlt3,critFlt3))</f>
        <v/>
      </c>
      <c r="D1239" t="str">
        <f>IF($B1239="","",SUMIFS(dAmt,dCust,$B1239,dPer,"&gt;="&amp;cyFrom,dPer,"&lt;="&amp;cyTo,dAmt,"&gt;-1E+300",dFlt1,critFlt1,dFlt2,critFlt2,dFlt3,critFlt3))</f>
        <v/>
      </c>
      <c r="E1239" t="str">
        <f>IF($B1239="","",SUMIFS(dQty,dCust,$B1239,dPer,"&gt;="&amp;pyFrom,dPer,"&lt;="&amp;pyTo,dQty,"&gt;-1E+300",dFlt1,critFlt1,dFlt2,critFlt2,dFlt3,critFlt3))</f>
        <v/>
      </c>
      <c r="F1239" t="str">
        <f>IF($B1239="","",SUMIFS(dQty,dCust,$B1239,dPer,"&gt;="&amp;cyFrom,dPer,"&lt;="&amp;cyTo,dQty,"&gt;-1E+300",dFlt1,critFlt1,dFlt2,critFlt2,dFlt3,critFlt3))</f>
        <v/>
      </c>
      <c r="G1239">
        <f>IF($B1239="",0,IFERROR(IF(OR(C1239&lt;&gt;0,D1239&lt;&gt;0,E1239&lt;&gt;0,F1239&lt;&gt;0),1,0),1))</f>
        <v>0</v>
      </c>
      <c r="H1239" t="str">
        <f>IF(OR(G1239=0,E1239=0),"",C1239/E1239)</f>
        <v/>
      </c>
      <c r="I1239" t="str">
        <f>IF(OR(G1239=0,F1239=0),"",D1239/F1239)</f>
        <v/>
      </c>
      <c r="J1239" t="str">
        <f>IF(OR(H1239="",I1239=""),"",IF(H1239=0,"",I1239/H1239-1))</f>
        <v/>
      </c>
      <c r="K1239" t="str">
        <f>IF($B1239="","",IFERROR(IF(G1239=0,-2E+300,CHOOSE(sortIdx,ROUND(D1239,0),IF(J1239="",-1E+300,ROUND(-J1239,6)),IF(J1239="",-1E+300,ROUND(J1239,6)))),-1.5E+300))</f>
        <v/>
      </c>
      <c r="L1239" t="str">
        <f>IF(K1239="","",RANK(K1239,$K$2:$K$3001,0)+COUNTIF($K$2:K1239,K1239)-1)</f>
        <v/>
      </c>
    </row>
    <row r="1240">
      <c r="B1240" t="str">
        <f>IFERROR(IF(A1240="","","="&amp;SUBSTITUTE(SUBSTITUTE(SUBSTITUTE(A1240,"~","~~"),"*","~*"),"?","~?")),"")</f>
        <v/>
      </c>
      <c r="C1240" t="str">
        <f>IF($B1240="","",SUMIFS(dAmt,dCust,$B1240,dPer,"&gt;="&amp;pyFrom,dPer,"&lt;="&amp;pyTo,dAmt,"&gt;-1E+300",dFlt1,critFlt1,dFlt2,critFlt2,dFlt3,critFlt3))</f>
        <v/>
      </c>
      <c r="D1240" t="str">
        <f>IF($B1240="","",SUMIFS(dAmt,dCust,$B1240,dPer,"&gt;="&amp;cyFrom,dPer,"&lt;="&amp;cyTo,dAmt,"&gt;-1E+300",dFlt1,critFlt1,dFlt2,critFlt2,dFlt3,critFlt3))</f>
        <v/>
      </c>
      <c r="E1240" t="str">
        <f>IF($B1240="","",SUMIFS(dQty,dCust,$B1240,dPer,"&gt;="&amp;pyFrom,dPer,"&lt;="&amp;pyTo,dQty,"&gt;-1E+300",dFlt1,critFlt1,dFlt2,critFlt2,dFlt3,critFlt3))</f>
        <v/>
      </c>
      <c r="F1240" t="str">
        <f>IF($B1240="","",SUMIFS(dQty,dCust,$B1240,dPer,"&gt;="&amp;cyFrom,dPer,"&lt;="&amp;cyTo,dQty,"&gt;-1E+300",dFlt1,critFlt1,dFlt2,critFlt2,dFlt3,critFlt3))</f>
        <v/>
      </c>
      <c r="G1240">
        <f>IF($B1240="",0,IFERROR(IF(OR(C1240&lt;&gt;0,D1240&lt;&gt;0,E1240&lt;&gt;0,F1240&lt;&gt;0),1,0),1))</f>
        <v>0</v>
      </c>
      <c r="H1240" t="str">
        <f>IF(OR(G1240=0,E1240=0),"",C1240/E1240)</f>
        <v/>
      </c>
      <c r="I1240" t="str">
        <f>IF(OR(G1240=0,F1240=0),"",D1240/F1240)</f>
        <v/>
      </c>
      <c r="J1240" t="str">
        <f>IF(OR(H1240="",I1240=""),"",IF(H1240=0,"",I1240/H1240-1))</f>
        <v/>
      </c>
      <c r="K1240" t="str">
        <f>IF($B1240="","",IFERROR(IF(G1240=0,-2E+300,CHOOSE(sortIdx,ROUND(D1240,0),IF(J1240="",-1E+300,ROUND(-J1240,6)),IF(J1240="",-1E+300,ROUND(J1240,6)))),-1.5E+300))</f>
        <v/>
      </c>
      <c r="L1240" t="str">
        <f>IF(K1240="","",RANK(K1240,$K$2:$K$3001,0)+COUNTIF($K$2:K1240,K1240)-1)</f>
        <v/>
      </c>
    </row>
    <row r="1241">
      <c r="B1241" t="str">
        <f>IFERROR(IF(A1241="","","="&amp;SUBSTITUTE(SUBSTITUTE(SUBSTITUTE(A1241,"~","~~"),"*","~*"),"?","~?")),"")</f>
        <v/>
      </c>
      <c r="C1241" t="str">
        <f>IF($B1241="","",SUMIFS(dAmt,dCust,$B1241,dPer,"&gt;="&amp;pyFrom,dPer,"&lt;="&amp;pyTo,dAmt,"&gt;-1E+300",dFlt1,critFlt1,dFlt2,critFlt2,dFlt3,critFlt3))</f>
        <v/>
      </c>
      <c r="D1241" t="str">
        <f>IF($B1241="","",SUMIFS(dAmt,dCust,$B1241,dPer,"&gt;="&amp;cyFrom,dPer,"&lt;="&amp;cyTo,dAmt,"&gt;-1E+300",dFlt1,critFlt1,dFlt2,critFlt2,dFlt3,critFlt3))</f>
        <v/>
      </c>
      <c r="E1241" t="str">
        <f>IF($B1241="","",SUMIFS(dQty,dCust,$B1241,dPer,"&gt;="&amp;pyFrom,dPer,"&lt;="&amp;pyTo,dQty,"&gt;-1E+300",dFlt1,critFlt1,dFlt2,critFlt2,dFlt3,critFlt3))</f>
        <v/>
      </c>
      <c r="F1241" t="str">
        <f>IF($B1241="","",SUMIFS(dQty,dCust,$B1241,dPer,"&gt;="&amp;cyFrom,dPer,"&lt;="&amp;cyTo,dQty,"&gt;-1E+300",dFlt1,critFlt1,dFlt2,critFlt2,dFlt3,critFlt3))</f>
        <v/>
      </c>
      <c r="G1241">
        <f>IF($B1241="",0,IFERROR(IF(OR(C1241&lt;&gt;0,D1241&lt;&gt;0,E1241&lt;&gt;0,F1241&lt;&gt;0),1,0),1))</f>
        <v>0</v>
      </c>
      <c r="H1241" t="str">
        <f>IF(OR(G1241=0,E1241=0),"",C1241/E1241)</f>
        <v/>
      </c>
      <c r="I1241" t="str">
        <f>IF(OR(G1241=0,F1241=0),"",D1241/F1241)</f>
        <v/>
      </c>
      <c r="J1241" t="str">
        <f>IF(OR(H1241="",I1241=""),"",IF(H1241=0,"",I1241/H1241-1))</f>
        <v/>
      </c>
      <c r="K1241" t="str">
        <f>IF($B1241="","",IFERROR(IF(G1241=0,-2E+300,CHOOSE(sortIdx,ROUND(D1241,0),IF(J1241="",-1E+300,ROUND(-J1241,6)),IF(J1241="",-1E+300,ROUND(J1241,6)))),-1.5E+300))</f>
        <v/>
      </c>
      <c r="L1241" t="str">
        <f>IF(K1241="","",RANK(K1241,$K$2:$K$3001,0)+COUNTIF($K$2:K1241,K1241)-1)</f>
        <v/>
      </c>
    </row>
    <row r="1242">
      <c r="B1242" t="str">
        <f>IFERROR(IF(A1242="","","="&amp;SUBSTITUTE(SUBSTITUTE(SUBSTITUTE(A1242,"~","~~"),"*","~*"),"?","~?")),"")</f>
        <v/>
      </c>
      <c r="C1242" t="str">
        <f>IF($B1242="","",SUMIFS(dAmt,dCust,$B1242,dPer,"&gt;="&amp;pyFrom,dPer,"&lt;="&amp;pyTo,dAmt,"&gt;-1E+300",dFlt1,critFlt1,dFlt2,critFlt2,dFlt3,critFlt3))</f>
        <v/>
      </c>
      <c r="D1242" t="str">
        <f>IF($B1242="","",SUMIFS(dAmt,dCust,$B1242,dPer,"&gt;="&amp;cyFrom,dPer,"&lt;="&amp;cyTo,dAmt,"&gt;-1E+300",dFlt1,critFlt1,dFlt2,critFlt2,dFlt3,critFlt3))</f>
        <v/>
      </c>
      <c r="E1242" t="str">
        <f>IF($B1242="","",SUMIFS(dQty,dCust,$B1242,dPer,"&gt;="&amp;pyFrom,dPer,"&lt;="&amp;pyTo,dQty,"&gt;-1E+300",dFlt1,critFlt1,dFlt2,critFlt2,dFlt3,critFlt3))</f>
        <v/>
      </c>
      <c r="F1242" t="str">
        <f>IF($B1242="","",SUMIFS(dQty,dCust,$B1242,dPer,"&gt;="&amp;cyFrom,dPer,"&lt;="&amp;cyTo,dQty,"&gt;-1E+300",dFlt1,critFlt1,dFlt2,critFlt2,dFlt3,critFlt3))</f>
        <v/>
      </c>
      <c r="G1242">
        <f>IF($B1242="",0,IFERROR(IF(OR(C1242&lt;&gt;0,D1242&lt;&gt;0,E1242&lt;&gt;0,F1242&lt;&gt;0),1,0),1))</f>
        <v>0</v>
      </c>
      <c r="H1242" t="str">
        <f>IF(OR(G1242=0,E1242=0),"",C1242/E1242)</f>
        <v/>
      </c>
      <c r="I1242" t="str">
        <f>IF(OR(G1242=0,F1242=0),"",D1242/F1242)</f>
        <v/>
      </c>
      <c r="J1242" t="str">
        <f>IF(OR(H1242="",I1242=""),"",IF(H1242=0,"",I1242/H1242-1))</f>
        <v/>
      </c>
      <c r="K1242" t="str">
        <f>IF($B1242="","",IFERROR(IF(G1242=0,-2E+300,CHOOSE(sortIdx,ROUND(D1242,0),IF(J1242="",-1E+300,ROUND(-J1242,6)),IF(J1242="",-1E+300,ROUND(J1242,6)))),-1.5E+300))</f>
        <v/>
      </c>
      <c r="L1242" t="str">
        <f>IF(K1242="","",RANK(K1242,$K$2:$K$3001,0)+COUNTIF($K$2:K1242,K1242)-1)</f>
        <v/>
      </c>
    </row>
    <row r="1243">
      <c r="B1243" t="str">
        <f>IFERROR(IF(A1243="","","="&amp;SUBSTITUTE(SUBSTITUTE(SUBSTITUTE(A1243,"~","~~"),"*","~*"),"?","~?")),"")</f>
        <v/>
      </c>
      <c r="C1243" t="str">
        <f>IF($B1243="","",SUMIFS(dAmt,dCust,$B1243,dPer,"&gt;="&amp;pyFrom,dPer,"&lt;="&amp;pyTo,dAmt,"&gt;-1E+300",dFlt1,critFlt1,dFlt2,critFlt2,dFlt3,critFlt3))</f>
        <v/>
      </c>
      <c r="D1243" t="str">
        <f>IF($B1243="","",SUMIFS(dAmt,dCust,$B1243,dPer,"&gt;="&amp;cyFrom,dPer,"&lt;="&amp;cyTo,dAmt,"&gt;-1E+300",dFlt1,critFlt1,dFlt2,critFlt2,dFlt3,critFlt3))</f>
        <v/>
      </c>
      <c r="E1243" t="str">
        <f>IF($B1243="","",SUMIFS(dQty,dCust,$B1243,dPer,"&gt;="&amp;pyFrom,dPer,"&lt;="&amp;pyTo,dQty,"&gt;-1E+300",dFlt1,critFlt1,dFlt2,critFlt2,dFlt3,critFlt3))</f>
        <v/>
      </c>
      <c r="F1243" t="str">
        <f>IF($B1243="","",SUMIFS(dQty,dCust,$B1243,dPer,"&gt;="&amp;cyFrom,dPer,"&lt;="&amp;cyTo,dQty,"&gt;-1E+300",dFlt1,critFlt1,dFlt2,critFlt2,dFlt3,critFlt3))</f>
        <v/>
      </c>
      <c r="G1243">
        <f>IF($B1243="",0,IFERROR(IF(OR(C1243&lt;&gt;0,D1243&lt;&gt;0,E1243&lt;&gt;0,F1243&lt;&gt;0),1,0),1))</f>
        <v>0</v>
      </c>
      <c r="H1243" t="str">
        <f>IF(OR(G1243=0,E1243=0),"",C1243/E1243)</f>
        <v/>
      </c>
      <c r="I1243" t="str">
        <f>IF(OR(G1243=0,F1243=0),"",D1243/F1243)</f>
        <v/>
      </c>
      <c r="J1243" t="str">
        <f>IF(OR(H1243="",I1243=""),"",IF(H1243=0,"",I1243/H1243-1))</f>
        <v/>
      </c>
      <c r="K1243" t="str">
        <f>IF($B1243="","",IFERROR(IF(G1243=0,-2E+300,CHOOSE(sortIdx,ROUND(D1243,0),IF(J1243="",-1E+300,ROUND(-J1243,6)),IF(J1243="",-1E+300,ROUND(J1243,6)))),-1.5E+300))</f>
        <v/>
      </c>
      <c r="L1243" t="str">
        <f>IF(K1243="","",RANK(K1243,$K$2:$K$3001,0)+COUNTIF($K$2:K1243,K1243)-1)</f>
        <v/>
      </c>
    </row>
    <row r="1244">
      <c r="B1244" t="str">
        <f>IFERROR(IF(A1244="","","="&amp;SUBSTITUTE(SUBSTITUTE(SUBSTITUTE(A1244,"~","~~"),"*","~*"),"?","~?")),"")</f>
        <v/>
      </c>
      <c r="C1244" t="str">
        <f>IF($B1244="","",SUMIFS(dAmt,dCust,$B1244,dPer,"&gt;="&amp;pyFrom,dPer,"&lt;="&amp;pyTo,dAmt,"&gt;-1E+300",dFlt1,critFlt1,dFlt2,critFlt2,dFlt3,critFlt3))</f>
        <v/>
      </c>
      <c r="D1244" t="str">
        <f>IF($B1244="","",SUMIFS(dAmt,dCust,$B1244,dPer,"&gt;="&amp;cyFrom,dPer,"&lt;="&amp;cyTo,dAmt,"&gt;-1E+300",dFlt1,critFlt1,dFlt2,critFlt2,dFlt3,critFlt3))</f>
        <v/>
      </c>
      <c r="E1244" t="str">
        <f>IF($B1244="","",SUMIFS(dQty,dCust,$B1244,dPer,"&gt;="&amp;pyFrom,dPer,"&lt;="&amp;pyTo,dQty,"&gt;-1E+300",dFlt1,critFlt1,dFlt2,critFlt2,dFlt3,critFlt3))</f>
        <v/>
      </c>
      <c r="F1244" t="str">
        <f>IF($B1244="","",SUMIFS(dQty,dCust,$B1244,dPer,"&gt;="&amp;cyFrom,dPer,"&lt;="&amp;cyTo,dQty,"&gt;-1E+300",dFlt1,critFlt1,dFlt2,critFlt2,dFlt3,critFlt3))</f>
        <v/>
      </c>
      <c r="G1244">
        <f>IF($B1244="",0,IFERROR(IF(OR(C1244&lt;&gt;0,D1244&lt;&gt;0,E1244&lt;&gt;0,F1244&lt;&gt;0),1,0),1))</f>
        <v>0</v>
      </c>
      <c r="H1244" t="str">
        <f>IF(OR(G1244=0,E1244=0),"",C1244/E1244)</f>
        <v/>
      </c>
      <c r="I1244" t="str">
        <f>IF(OR(G1244=0,F1244=0),"",D1244/F1244)</f>
        <v/>
      </c>
      <c r="J1244" t="str">
        <f>IF(OR(H1244="",I1244=""),"",IF(H1244=0,"",I1244/H1244-1))</f>
        <v/>
      </c>
      <c r="K1244" t="str">
        <f>IF($B1244="","",IFERROR(IF(G1244=0,-2E+300,CHOOSE(sortIdx,ROUND(D1244,0),IF(J1244="",-1E+300,ROUND(-J1244,6)),IF(J1244="",-1E+300,ROUND(J1244,6)))),-1.5E+300))</f>
        <v/>
      </c>
      <c r="L1244" t="str">
        <f>IF(K1244="","",RANK(K1244,$K$2:$K$3001,0)+COUNTIF($K$2:K1244,K1244)-1)</f>
        <v/>
      </c>
    </row>
    <row r="1245">
      <c r="B1245" t="str">
        <f>IFERROR(IF(A1245="","","="&amp;SUBSTITUTE(SUBSTITUTE(SUBSTITUTE(A1245,"~","~~"),"*","~*"),"?","~?")),"")</f>
        <v/>
      </c>
      <c r="C1245" t="str">
        <f>IF($B1245="","",SUMIFS(dAmt,dCust,$B1245,dPer,"&gt;="&amp;pyFrom,dPer,"&lt;="&amp;pyTo,dAmt,"&gt;-1E+300",dFlt1,critFlt1,dFlt2,critFlt2,dFlt3,critFlt3))</f>
        <v/>
      </c>
      <c r="D1245" t="str">
        <f>IF($B1245="","",SUMIFS(dAmt,dCust,$B1245,dPer,"&gt;="&amp;cyFrom,dPer,"&lt;="&amp;cyTo,dAmt,"&gt;-1E+300",dFlt1,critFlt1,dFlt2,critFlt2,dFlt3,critFlt3))</f>
        <v/>
      </c>
      <c r="E1245" t="str">
        <f>IF($B1245="","",SUMIFS(dQty,dCust,$B1245,dPer,"&gt;="&amp;pyFrom,dPer,"&lt;="&amp;pyTo,dQty,"&gt;-1E+300",dFlt1,critFlt1,dFlt2,critFlt2,dFlt3,critFlt3))</f>
        <v/>
      </c>
      <c r="F1245" t="str">
        <f>IF($B1245="","",SUMIFS(dQty,dCust,$B1245,dPer,"&gt;="&amp;cyFrom,dPer,"&lt;="&amp;cyTo,dQty,"&gt;-1E+300",dFlt1,critFlt1,dFlt2,critFlt2,dFlt3,critFlt3))</f>
        <v/>
      </c>
      <c r="G1245">
        <f>IF($B1245="",0,IFERROR(IF(OR(C1245&lt;&gt;0,D1245&lt;&gt;0,E1245&lt;&gt;0,F1245&lt;&gt;0),1,0),1))</f>
        <v>0</v>
      </c>
      <c r="H1245" t="str">
        <f>IF(OR(G1245=0,E1245=0),"",C1245/E1245)</f>
        <v/>
      </c>
      <c r="I1245" t="str">
        <f>IF(OR(G1245=0,F1245=0),"",D1245/F1245)</f>
        <v/>
      </c>
      <c r="J1245" t="str">
        <f>IF(OR(H1245="",I1245=""),"",IF(H1245=0,"",I1245/H1245-1))</f>
        <v/>
      </c>
      <c r="K1245" t="str">
        <f>IF($B1245="","",IFERROR(IF(G1245=0,-2E+300,CHOOSE(sortIdx,ROUND(D1245,0),IF(J1245="",-1E+300,ROUND(-J1245,6)),IF(J1245="",-1E+300,ROUND(J1245,6)))),-1.5E+300))</f>
        <v/>
      </c>
      <c r="L1245" t="str">
        <f>IF(K1245="","",RANK(K1245,$K$2:$K$3001,0)+COUNTIF($K$2:K1245,K1245)-1)</f>
        <v/>
      </c>
    </row>
    <row r="1246">
      <c r="B1246" t="str">
        <f>IFERROR(IF(A1246="","","="&amp;SUBSTITUTE(SUBSTITUTE(SUBSTITUTE(A1246,"~","~~"),"*","~*"),"?","~?")),"")</f>
        <v/>
      </c>
      <c r="C1246" t="str">
        <f>IF($B1246="","",SUMIFS(dAmt,dCust,$B1246,dPer,"&gt;="&amp;pyFrom,dPer,"&lt;="&amp;pyTo,dAmt,"&gt;-1E+300",dFlt1,critFlt1,dFlt2,critFlt2,dFlt3,critFlt3))</f>
        <v/>
      </c>
      <c r="D1246" t="str">
        <f>IF($B1246="","",SUMIFS(dAmt,dCust,$B1246,dPer,"&gt;="&amp;cyFrom,dPer,"&lt;="&amp;cyTo,dAmt,"&gt;-1E+300",dFlt1,critFlt1,dFlt2,critFlt2,dFlt3,critFlt3))</f>
        <v/>
      </c>
      <c r="E1246" t="str">
        <f>IF($B1246="","",SUMIFS(dQty,dCust,$B1246,dPer,"&gt;="&amp;pyFrom,dPer,"&lt;="&amp;pyTo,dQty,"&gt;-1E+300",dFlt1,critFlt1,dFlt2,critFlt2,dFlt3,critFlt3))</f>
        <v/>
      </c>
      <c r="F1246" t="str">
        <f>IF($B1246="","",SUMIFS(dQty,dCust,$B1246,dPer,"&gt;="&amp;cyFrom,dPer,"&lt;="&amp;cyTo,dQty,"&gt;-1E+300",dFlt1,critFlt1,dFlt2,critFlt2,dFlt3,critFlt3))</f>
        <v/>
      </c>
      <c r="G1246">
        <f>IF($B1246="",0,IFERROR(IF(OR(C1246&lt;&gt;0,D1246&lt;&gt;0,E1246&lt;&gt;0,F1246&lt;&gt;0),1,0),1))</f>
        <v>0</v>
      </c>
      <c r="H1246" t="str">
        <f>IF(OR(G1246=0,E1246=0),"",C1246/E1246)</f>
        <v/>
      </c>
      <c r="I1246" t="str">
        <f>IF(OR(G1246=0,F1246=0),"",D1246/F1246)</f>
        <v/>
      </c>
      <c r="J1246" t="str">
        <f>IF(OR(H1246="",I1246=""),"",IF(H1246=0,"",I1246/H1246-1))</f>
        <v/>
      </c>
      <c r="K1246" t="str">
        <f>IF($B1246="","",IFERROR(IF(G1246=0,-2E+300,CHOOSE(sortIdx,ROUND(D1246,0),IF(J1246="",-1E+300,ROUND(-J1246,6)),IF(J1246="",-1E+300,ROUND(J1246,6)))),-1.5E+300))</f>
        <v/>
      </c>
      <c r="L1246" t="str">
        <f>IF(K1246="","",RANK(K1246,$K$2:$K$3001,0)+COUNTIF($K$2:K1246,K1246)-1)</f>
        <v/>
      </c>
    </row>
    <row r="1247">
      <c r="B1247" t="str">
        <f>IFERROR(IF(A1247="","","="&amp;SUBSTITUTE(SUBSTITUTE(SUBSTITUTE(A1247,"~","~~"),"*","~*"),"?","~?")),"")</f>
        <v/>
      </c>
      <c r="C1247" t="str">
        <f>IF($B1247="","",SUMIFS(dAmt,dCust,$B1247,dPer,"&gt;="&amp;pyFrom,dPer,"&lt;="&amp;pyTo,dAmt,"&gt;-1E+300",dFlt1,critFlt1,dFlt2,critFlt2,dFlt3,critFlt3))</f>
        <v/>
      </c>
      <c r="D1247" t="str">
        <f>IF($B1247="","",SUMIFS(dAmt,dCust,$B1247,dPer,"&gt;="&amp;cyFrom,dPer,"&lt;="&amp;cyTo,dAmt,"&gt;-1E+300",dFlt1,critFlt1,dFlt2,critFlt2,dFlt3,critFlt3))</f>
        <v/>
      </c>
      <c r="E1247" t="str">
        <f>IF($B1247="","",SUMIFS(dQty,dCust,$B1247,dPer,"&gt;="&amp;pyFrom,dPer,"&lt;="&amp;pyTo,dQty,"&gt;-1E+300",dFlt1,critFlt1,dFlt2,critFlt2,dFlt3,critFlt3))</f>
        <v/>
      </c>
      <c r="F1247" t="str">
        <f>IF($B1247="","",SUMIFS(dQty,dCust,$B1247,dPer,"&gt;="&amp;cyFrom,dPer,"&lt;="&amp;cyTo,dQty,"&gt;-1E+300",dFlt1,critFlt1,dFlt2,critFlt2,dFlt3,critFlt3))</f>
        <v/>
      </c>
      <c r="G1247">
        <f>IF($B1247="",0,IFERROR(IF(OR(C1247&lt;&gt;0,D1247&lt;&gt;0,E1247&lt;&gt;0,F1247&lt;&gt;0),1,0),1))</f>
        <v>0</v>
      </c>
      <c r="H1247" t="str">
        <f>IF(OR(G1247=0,E1247=0),"",C1247/E1247)</f>
        <v/>
      </c>
      <c r="I1247" t="str">
        <f>IF(OR(G1247=0,F1247=0),"",D1247/F1247)</f>
        <v/>
      </c>
      <c r="J1247" t="str">
        <f>IF(OR(H1247="",I1247=""),"",IF(H1247=0,"",I1247/H1247-1))</f>
        <v/>
      </c>
      <c r="K1247" t="str">
        <f>IF($B1247="","",IFERROR(IF(G1247=0,-2E+300,CHOOSE(sortIdx,ROUND(D1247,0),IF(J1247="",-1E+300,ROUND(-J1247,6)),IF(J1247="",-1E+300,ROUND(J1247,6)))),-1.5E+300))</f>
        <v/>
      </c>
      <c r="L1247" t="str">
        <f>IF(K1247="","",RANK(K1247,$K$2:$K$3001,0)+COUNTIF($K$2:K1247,K1247)-1)</f>
        <v/>
      </c>
    </row>
    <row r="1248">
      <c r="B1248" t="str">
        <f>IFERROR(IF(A1248="","","="&amp;SUBSTITUTE(SUBSTITUTE(SUBSTITUTE(A1248,"~","~~"),"*","~*"),"?","~?")),"")</f>
        <v/>
      </c>
      <c r="C1248" t="str">
        <f>IF($B1248="","",SUMIFS(dAmt,dCust,$B1248,dPer,"&gt;="&amp;pyFrom,dPer,"&lt;="&amp;pyTo,dAmt,"&gt;-1E+300",dFlt1,critFlt1,dFlt2,critFlt2,dFlt3,critFlt3))</f>
        <v/>
      </c>
      <c r="D1248" t="str">
        <f>IF($B1248="","",SUMIFS(dAmt,dCust,$B1248,dPer,"&gt;="&amp;cyFrom,dPer,"&lt;="&amp;cyTo,dAmt,"&gt;-1E+300",dFlt1,critFlt1,dFlt2,critFlt2,dFlt3,critFlt3))</f>
        <v/>
      </c>
      <c r="E1248" t="str">
        <f>IF($B1248="","",SUMIFS(dQty,dCust,$B1248,dPer,"&gt;="&amp;pyFrom,dPer,"&lt;="&amp;pyTo,dQty,"&gt;-1E+300",dFlt1,critFlt1,dFlt2,critFlt2,dFlt3,critFlt3))</f>
        <v/>
      </c>
      <c r="F1248" t="str">
        <f>IF($B1248="","",SUMIFS(dQty,dCust,$B1248,dPer,"&gt;="&amp;cyFrom,dPer,"&lt;="&amp;cyTo,dQty,"&gt;-1E+300",dFlt1,critFlt1,dFlt2,critFlt2,dFlt3,critFlt3))</f>
        <v/>
      </c>
      <c r="G1248">
        <f>IF($B1248="",0,IFERROR(IF(OR(C1248&lt;&gt;0,D1248&lt;&gt;0,E1248&lt;&gt;0,F1248&lt;&gt;0),1,0),1))</f>
        <v>0</v>
      </c>
      <c r="H1248" t="str">
        <f>IF(OR(G1248=0,E1248=0),"",C1248/E1248)</f>
        <v/>
      </c>
      <c r="I1248" t="str">
        <f>IF(OR(G1248=0,F1248=0),"",D1248/F1248)</f>
        <v/>
      </c>
      <c r="J1248" t="str">
        <f>IF(OR(H1248="",I1248=""),"",IF(H1248=0,"",I1248/H1248-1))</f>
        <v/>
      </c>
      <c r="K1248" t="str">
        <f>IF($B1248="","",IFERROR(IF(G1248=0,-2E+300,CHOOSE(sortIdx,ROUND(D1248,0),IF(J1248="",-1E+300,ROUND(-J1248,6)),IF(J1248="",-1E+300,ROUND(J1248,6)))),-1.5E+300))</f>
        <v/>
      </c>
      <c r="L1248" t="str">
        <f>IF(K1248="","",RANK(K1248,$K$2:$K$3001,0)+COUNTIF($K$2:K1248,K1248)-1)</f>
        <v/>
      </c>
    </row>
    <row r="1249">
      <c r="B1249" t="str">
        <f>IFERROR(IF(A1249="","","="&amp;SUBSTITUTE(SUBSTITUTE(SUBSTITUTE(A1249,"~","~~"),"*","~*"),"?","~?")),"")</f>
        <v/>
      </c>
      <c r="C1249" t="str">
        <f>IF($B1249="","",SUMIFS(dAmt,dCust,$B1249,dPer,"&gt;="&amp;pyFrom,dPer,"&lt;="&amp;pyTo,dAmt,"&gt;-1E+300",dFlt1,critFlt1,dFlt2,critFlt2,dFlt3,critFlt3))</f>
        <v/>
      </c>
      <c r="D1249" t="str">
        <f>IF($B1249="","",SUMIFS(dAmt,dCust,$B1249,dPer,"&gt;="&amp;cyFrom,dPer,"&lt;="&amp;cyTo,dAmt,"&gt;-1E+300",dFlt1,critFlt1,dFlt2,critFlt2,dFlt3,critFlt3))</f>
        <v/>
      </c>
      <c r="E1249" t="str">
        <f>IF($B1249="","",SUMIFS(dQty,dCust,$B1249,dPer,"&gt;="&amp;pyFrom,dPer,"&lt;="&amp;pyTo,dQty,"&gt;-1E+300",dFlt1,critFlt1,dFlt2,critFlt2,dFlt3,critFlt3))</f>
        <v/>
      </c>
      <c r="F1249" t="str">
        <f>IF($B1249="","",SUMIFS(dQty,dCust,$B1249,dPer,"&gt;="&amp;cyFrom,dPer,"&lt;="&amp;cyTo,dQty,"&gt;-1E+300",dFlt1,critFlt1,dFlt2,critFlt2,dFlt3,critFlt3))</f>
        <v/>
      </c>
      <c r="G1249">
        <f>IF($B1249="",0,IFERROR(IF(OR(C1249&lt;&gt;0,D1249&lt;&gt;0,E1249&lt;&gt;0,F1249&lt;&gt;0),1,0),1))</f>
        <v>0</v>
      </c>
      <c r="H1249" t="str">
        <f>IF(OR(G1249=0,E1249=0),"",C1249/E1249)</f>
        <v/>
      </c>
      <c r="I1249" t="str">
        <f>IF(OR(G1249=0,F1249=0),"",D1249/F1249)</f>
        <v/>
      </c>
      <c r="J1249" t="str">
        <f>IF(OR(H1249="",I1249=""),"",IF(H1249=0,"",I1249/H1249-1))</f>
        <v/>
      </c>
      <c r="K1249" t="str">
        <f>IF($B1249="","",IFERROR(IF(G1249=0,-2E+300,CHOOSE(sortIdx,ROUND(D1249,0),IF(J1249="",-1E+300,ROUND(-J1249,6)),IF(J1249="",-1E+300,ROUND(J1249,6)))),-1.5E+300))</f>
        <v/>
      </c>
      <c r="L1249" t="str">
        <f>IF(K1249="","",RANK(K1249,$K$2:$K$3001,0)+COUNTIF($K$2:K1249,K1249)-1)</f>
        <v/>
      </c>
    </row>
    <row r="1250">
      <c r="B1250" t="str">
        <f>IFERROR(IF(A1250="","","="&amp;SUBSTITUTE(SUBSTITUTE(SUBSTITUTE(A1250,"~","~~"),"*","~*"),"?","~?")),"")</f>
        <v/>
      </c>
      <c r="C1250" t="str">
        <f>IF($B1250="","",SUMIFS(dAmt,dCust,$B1250,dPer,"&gt;="&amp;pyFrom,dPer,"&lt;="&amp;pyTo,dAmt,"&gt;-1E+300",dFlt1,critFlt1,dFlt2,critFlt2,dFlt3,critFlt3))</f>
        <v/>
      </c>
      <c r="D1250" t="str">
        <f>IF($B1250="","",SUMIFS(dAmt,dCust,$B1250,dPer,"&gt;="&amp;cyFrom,dPer,"&lt;="&amp;cyTo,dAmt,"&gt;-1E+300",dFlt1,critFlt1,dFlt2,critFlt2,dFlt3,critFlt3))</f>
        <v/>
      </c>
      <c r="E1250" t="str">
        <f>IF($B1250="","",SUMIFS(dQty,dCust,$B1250,dPer,"&gt;="&amp;pyFrom,dPer,"&lt;="&amp;pyTo,dQty,"&gt;-1E+300",dFlt1,critFlt1,dFlt2,critFlt2,dFlt3,critFlt3))</f>
        <v/>
      </c>
      <c r="F1250" t="str">
        <f>IF($B1250="","",SUMIFS(dQty,dCust,$B1250,dPer,"&gt;="&amp;cyFrom,dPer,"&lt;="&amp;cyTo,dQty,"&gt;-1E+300",dFlt1,critFlt1,dFlt2,critFlt2,dFlt3,critFlt3))</f>
        <v/>
      </c>
      <c r="G1250">
        <f>IF($B1250="",0,IFERROR(IF(OR(C1250&lt;&gt;0,D1250&lt;&gt;0,E1250&lt;&gt;0,F1250&lt;&gt;0),1,0),1))</f>
        <v>0</v>
      </c>
      <c r="H1250" t="str">
        <f>IF(OR(G1250=0,E1250=0),"",C1250/E1250)</f>
        <v/>
      </c>
      <c r="I1250" t="str">
        <f>IF(OR(G1250=0,F1250=0),"",D1250/F1250)</f>
        <v/>
      </c>
      <c r="J1250" t="str">
        <f>IF(OR(H1250="",I1250=""),"",IF(H1250=0,"",I1250/H1250-1))</f>
        <v/>
      </c>
      <c r="K1250" t="str">
        <f>IF($B1250="","",IFERROR(IF(G1250=0,-2E+300,CHOOSE(sortIdx,ROUND(D1250,0),IF(J1250="",-1E+300,ROUND(-J1250,6)),IF(J1250="",-1E+300,ROUND(J1250,6)))),-1.5E+300))</f>
        <v/>
      </c>
      <c r="L1250" t="str">
        <f>IF(K1250="","",RANK(K1250,$K$2:$K$3001,0)+COUNTIF($K$2:K1250,K1250)-1)</f>
        <v/>
      </c>
    </row>
    <row r="1251">
      <c r="B1251" t="str">
        <f>IFERROR(IF(A1251="","","="&amp;SUBSTITUTE(SUBSTITUTE(SUBSTITUTE(A1251,"~","~~"),"*","~*"),"?","~?")),"")</f>
        <v/>
      </c>
      <c r="C1251" t="str">
        <f>IF($B1251="","",SUMIFS(dAmt,dCust,$B1251,dPer,"&gt;="&amp;pyFrom,dPer,"&lt;="&amp;pyTo,dAmt,"&gt;-1E+300",dFlt1,critFlt1,dFlt2,critFlt2,dFlt3,critFlt3))</f>
        <v/>
      </c>
      <c r="D1251" t="str">
        <f>IF($B1251="","",SUMIFS(dAmt,dCust,$B1251,dPer,"&gt;="&amp;cyFrom,dPer,"&lt;="&amp;cyTo,dAmt,"&gt;-1E+300",dFlt1,critFlt1,dFlt2,critFlt2,dFlt3,critFlt3))</f>
        <v/>
      </c>
      <c r="E1251" t="str">
        <f>IF($B1251="","",SUMIFS(dQty,dCust,$B1251,dPer,"&gt;="&amp;pyFrom,dPer,"&lt;="&amp;pyTo,dQty,"&gt;-1E+300",dFlt1,critFlt1,dFlt2,critFlt2,dFlt3,critFlt3))</f>
        <v/>
      </c>
      <c r="F1251" t="str">
        <f>IF($B1251="","",SUMIFS(dQty,dCust,$B1251,dPer,"&gt;="&amp;cyFrom,dPer,"&lt;="&amp;cyTo,dQty,"&gt;-1E+300",dFlt1,critFlt1,dFlt2,critFlt2,dFlt3,critFlt3))</f>
        <v/>
      </c>
      <c r="G1251">
        <f>IF($B1251="",0,IFERROR(IF(OR(C1251&lt;&gt;0,D1251&lt;&gt;0,E1251&lt;&gt;0,F1251&lt;&gt;0),1,0),1))</f>
        <v>0</v>
      </c>
      <c r="H1251" t="str">
        <f>IF(OR(G1251=0,E1251=0),"",C1251/E1251)</f>
        <v/>
      </c>
      <c r="I1251" t="str">
        <f>IF(OR(G1251=0,F1251=0),"",D1251/F1251)</f>
        <v/>
      </c>
      <c r="J1251" t="str">
        <f>IF(OR(H1251="",I1251=""),"",IF(H1251=0,"",I1251/H1251-1))</f>
        <v/>
      </c>
      <c r="K1251" t="str">
        <f>IF($B1251="","",IFERROR(IF(G1251=0,-2E+300,CHOOSE(sortIdx,ROUND(D1251,0),IF(J1251="",-1E+300,ROUND(-J1251,6)),IF(J1251="",-1E+300,ROUND(J1251,6)))),-1.5E+300))</f>
        <v/>
      </c>
      <c r="L1251" t="str">
        <f>IF(K1251="","",RANK(K1251,$K$2:$K$3001,0)+COUNTIF($K$2:K1251,K1251)-1)</f>
        <v/>
      </c>
    </row>
    <row r="1252">
      <c r="B1252" t="str">
        <f>IFERROR(IF(A1252="","","="&amp;SUBSTITUTE(SUBSTITUTE(SUBSTITUTE(A1252,"~","~~"),"*","~*"),"?","~?")),"")</f>
        <v/>
      </c>
      <c r="C1252" t="str">
        <f>IF($B1252="","",SUMIFS(dAmt,dCust,$B1252,dPer,"&gt;="&amp;pyFrom,dPer,"&lt;="&amp;pyTo,dAmt,"&gt;-1E+300",dFlt1,critFlt1,dFlt2,critFlt2,dFlt3,critFlt3))</f>
        <v/>
      </c>
      <c r="D1252" t="str">
        <f>IF($B1252="","",SUMIFS(dAmt,dCust,$B1252,dPer,"&gt;="&amp;cyFrom,dPer,"&lt;="&amp;cyTo,dAmt,"&gt;-1E+300",dFlt1,critFlt1,dFlt2,critFlt2,dFlt3,critFlt3))</f>
        <v/>
      </c>
      <c r="E1252" t="str">
        <f>IF($B1252="","",SUMIFS(dQty,dCust,$B1252,dPer,"&gt;="&amp;pyFrom,dPer,"&lt;="&amp;pyTo,dQty,"&gt;-1E+300",dFlt1,critFlt1,dFlt2,critFlt2,dFlt3,critFlt3))</f>
        <v/>
      </c>
      <c r="F1252" t="str">
        <f>IF($B1252="","",SUMIFS(dQty,dCust,$B1252,dPer,"&gt;="&amp;cyFrom,dPer,"&lt;="&amp;cyTo,dQty,"&gt;-1E+300",dFlt1,critFlt1,dFlt2,critFlt2,dFlt3,critFlt3))</f>
        <v/>
      </c>
      <c r="G1252">
        <f>IF($B1252="",0,IFERROR(IF(OR(C1252&lt;&gt;0,D1252&lt;&gt;0,E1252&lt;&gt;0,F1252&lt;&gt;0),1,0),1))</f>
        <v>0</v>
      </c>
      <c r="H1252" t="str">
        <f>IF(OR(G1252=0,E1252=0),"",C1252/E1252)</f>
        <v/>
      </c>
      <c r="I1252" t="str">
        <f>IF(OR(G1252=0,F1252=0),"",D1252/F1252)</f>
        <v/>
      </c>
      <c r="J1252" t="str">
        <f>IF(OR(H1252="",I1252=""),"",IF(H1252=0,"",I1252/H1252-1))</f>
        <v/>
      </c>
      <c r="K1252" t="str">
        <f>IF($B1252="","",IFERROR(IF(G1252=0,-2E+300,CHOOSE(sortIdx,ROUND(D1252,0),IF(J1252="",-1E+300,ROUND(-J1252,6)),IF(J1252="",-1E+300,ROUND(J1252,6)))),-1.5E+300))</f>
        <v/>
      </c>
      <c r="L1252" t="str">
        <f>IF(K1252="","",RANK(K1252,$K$2:$K$3001,0)+COUNTIF($K$2:K1252,K1252)-1)</f>
        <v/>
      </c>
    </row>
    <row r="1253">
      <c r="B1253" t="str">
        <f>IFERROR(IF(A1253="","","="&amp;SUBSTITUTE(SUBSTITUTE(SUBSTITUTE(A1253,"~","~~"),"*","~*"),"?","~?")),"")</f>
        <v/>
      </c>
      <c r="C1253" t="str">
        <f>IF($B1253="","",SUMIFS(dAmt,dCust,$B1253,dPer,"&gt;="&amp;pyFrom,dPer,"&lt;="&amp;pyTo,dAmt,"&gt;-1E+300",dFlt1,critFlt1,dFlt2,critFlt2,dFlt3,critFlt3))</f>
        <v/>
      </c>
      <c r="D1253" t="str">
        <f>IF($B1253="","",SUMIFS(dAmt,dCust,$B1253,dPer,"&gt;="&amp;cyFrom,dPer,"&lt;="&amp;cyTo,dAmt,"&gt;-1E+300",dFlt1,critFlt1,dFlt2,critFlt2,dFlt3,critFlt3))</f>
        <v/>
      </c>
      <c r="E1253" t="str">
        <f>IF($B1253="","",SUMIFS(dQty,dCust,$B1253,dPer,"&gt;="&amp;pyFrom,dPer,"&lt;="&amp;pyTo,dQty,"&gt;-1E+300",dFlt1,critFlt1,dFlt2,critFlt2,dFlt3,critFlt3))</f>
        <v/>
      </c>
      <c r="F1253" t="str">
        <f>IF($B1253="","",SUMIFS(dQty,dCust,$B1253,dPer,"&gt;="&amp;cyFrom,dPer,"&lt;="&amp;cyTo,dQty,"&gt;-1E+300",dFlt1,critFlt1,dFlt2,critFlt2,dFlt3,critFlt3))</f>
        <v/>
      </c>
      <c r="G1253">
        <f>IF($B1253="",0,IFERROR(IF(OR(C1253&lt;&gt;0,D1253&lt;&gt;0,E1253&lt;&gt;0,F1253&lt;&gt;0),1,0),1))</f>
        <v>0</v>
      </c>
      <c r="H1253" t="str">
        <f>IF(OR(G1253=0,E1253=0),"",C1253/E1253)</f>
        <v/>
      </c>
      <c r="I1253" t="str">
        <f>IF(OR(G1253=0,F1253=0),"",D1253/F1253)</f>
        <v/>
      </c>
      <c r="J1253" t="str">
        <f>IF(OR(H1253="",I1253=""),"",IF(H1253=0,"",I1253/H1253-1))</f>
        <v/>
      </c>
      <c r="K1253" t="str">
        <f>IF($B1253="","",IFERROR(IF(G1253=0,-2E+300,CHOOSE(sortIdx,ROUND(D1253,0),IF(J1253="",-1E+300,ROUND(-J1253,6)),IF(J1253="",-1E+300,ROUND(J1253,6)))),-1.5E+300))</f>
        <v/>
      </c>
      <c r="L1253" t="str">
        <f>IF(K1253="","",RANK(K1253,$K$2:$K$3001,0)+COUNTIF($K$2:K1253,K1253)-1)</f>
        <v/>
      </c>
    </row>
    <row r="1254">
      <c r="B1254" t="str">
        <f>IFERROR(IF(A1254="","","="&amp;SUBSTITUTE(SUBSTITUTE(SUBSTITUTE(A1254,"~","~~"),"*","~*"),"?","~?")),"")</f>
        <v/>
      </c>
      <c r="C1254" t="str">
        <f>IF($B1254="","",SUMIFS(dAmt,dCust,$B1254,dPer,"&gt;="&amp;pyFrom,dPer,"&lt;="&amp;pyTo,dAmt,"&gt;-1E+300",dFlt1,critFlt1,dFlt2,critFlt2,dFlt3,critFlt3))</f>
        <v/>
      </c>
      <c r="D1254" t="str">
        <f>IF($B1254="","",SUMIFS(dAmt,dCust,$B1254,dPer,"&gt;="&amp;cyFrom,dPer,"&lt;="&amp;cyTo,dAmt,"&gt;-1E+300",dFlt1,critFlt1,dFlt2,critFlt2,dFlt3,critFlt3))</f>
        <v/>
      </c>
      <c r="E1254" t="str">
        <f>IF($B1254="","",SUMIFS(dQty,dCust,$B1254,dPer,"&gt;="&amp;pyFrom,dPer,"&lt;="&amp;pyTo,dQty,"&gt;-1E+300",dFlt1,critFlt1,dFlt2,critFlt2,dFlt3,critFlt3))</f>
        <v/>
      </c>
      <c r="F1254" t="str">
        <f>IF($B1254="","",SUMIFS(dQty,dCust,$B1254,dPer,"&gt;="&amp;cyFrom,dPer,"&lt;="&amp;cyTo,dQty,"&gt;-1E+300",dFlt1,critFlt1,dFlt2,critFlt2,dFlt3,critFlt3))</f>
        <v/>
      </c>
      <c r="G1254">
        <f>IF($B1254="",0,IFERROR(IF(OR(C1254&lt;&gt;0,D1254&lt;&gt;0,E1254&lt;&gt;0,F1254&lt;&gt;0),1,0),1))</f>
        <v>0</v>
      </c>
      <c r="H1254" t="str">
        <f>IF(OR(G1254=0,E1254=0),"",C1254/E1254)</f>
        <v/>
      </c>
      <c r="I1254" t="str">
        <f>IF(OR(G1254=0,F1254=0),"",D1254/F1254)</f>
        <v/>
      </c>
      <c r="J1254" t="str">
        <f>IF(OR(H1254="",I1254=""),"",IF(H1254=0,"",I1254/H1254-1))</f>
        <v/>
      </c>
      <c r="K1254" t="str">
        <f>IF($B1254="","",IFERROR(IF(G1254=0,-2E+300,CHOOSE(sortIdx,ROUND(D1254,0),IF(J1254="",-1E+300,ROUND(-J1254,6)),IF(J1254="",-1E+300,ROUND(J1254,6)))),-1.5E+300))</f>
        <v/>
      </c>
      <c r="L1254" t="str">
        <f>IF(K1254="","",RANK(K1254,$K$2:$K$3001,0)+COUNTIF($K$2:K1254,K1254)-1)</f>
        <v/>
      </c>
    </row>
    <row r="1255">
      <c r="B1255" t="str">
        <f>IFERROR(IF(A1255="","","="&amp;SUBSTITUTE(SUBSTITUTE(SUBSTITUTE(A1255,"~","~~"),"*","~*"),"?","~?")),"")</f>
        <v/>
      </c>
      <c r="C1255" t="str">
        <f>IF($B1255="","",SUMIFS(dAmt,dCust,$B1255,dPer,"&gt;="&amp;pyFrom,dPer,"&lt;="&amp;pyTo,dAmt,"&gt;-1E+300",dFlt1,critFlt1,dFlt2,critFlt2,dFlt3,critFlt3))</f>
        <v/>
      </c>
      <c r="D1255" t="str">
        <f>IF($B1255="","",SUMIFS(dAmt,dCust,$B1255,dPer,"&gt;="&amp;cyFrom,dPer,"&lt;="&amp;cyTo,dAmt,"&gt;-1E+300",dFlt1,critFlt1,dFlt2,critFlt2,dFlt3,critFlt3))</f>
        <v/>
      </c>
      <c r="E1255" t="str">
        <f>IF($B1255="","",SUMIFS(dQty,dCust,$B1255,dPer,"&gt;="&amp;pyFrom,dPer,"&lt;="&amp;pyTo,dQty,"&gt;-1E+300",dFlt1,critFlt1,dFlt2,critFlt2,dFlt3,critFlt3))</f>
        <v/>
      </c>
      <c r="F1255" t="str">
        <f>IF($B1255="","",SUMIFS(dQty,dCust,$B1255,dPer,"&gt;="&amp;cyFrom,dPer,"&lt;="&amp;cyTo,dQty,"&gt;-1E+300",dFlt1,critFlt1,dFlt2,critFlt2,dFlt3,critFlt3))</f>
        <v/>
      </c>
      <c r="G1255">
        <f>IF($B1255="",0,IFERROR(IF(OR(C1255&lt;&gt;0,D1255&lt;&gt;0,E1255&lt;&gt;0,F1255&lt;&gt;0),1,0),1))</f>
        <v>0</v>
      </c>
      <c r="H1255" t="str">
        <f>IF(OR(G1255=0,E1255=0),"",C1255/E1255)</f>
        <v/>
      </c>
      <c r="I1255" t="str">
        <f>IF(OR(G1255=0,F1255=0),"",D1255/F1255)</f>
        <v/>
      </c>
      <c r="J1255" t="str">
        <f>IF(OR(H1255="",I1255=""),"",IF(H1255=0,"",I1255/H1255-1))</f>
        <v/>
      </c>
      <c r="K1255" t="str">
        <f>IF($B1255="","",IFERROR(IF(G1255=0,-2E+300,CHOOSE(sortIdx,ROUND(D1255,0),IF(J1255="",-1E+300,ROUND(-J1255,6)),IF(J1255="",-1E+300,ROUND(J1255,6)))),-1.5E+300))</f>
        <v/>
      </c>
      <c r="L1255" t="str">
        <f>IF(K1255="","",RANK(K1255,$K$2:$K$3001,0)+COUNTIF($K$2:K1255,K1255)-1)</f>
        <v/>
      </c>
    </row>
    <row r="1256">
      <c r="B1256" t="str">
        <f>IFERROR(IF(A1256="","","="&amp;SUBSTITUTE(SUBSTITUTE(SUBSTITUTE(A1256,"~","~~"),"*","~*"),"?","~?")),"")</f>
        <v/>
      </c>
      <c r="C1256" t="str">
        <f>IF($B1256="","",SUMIFS(dAmt,dCust,$B1256,dPer,"&gt;="&amp;pyFrom,dPer,"&lt;="&amp;pyTo,dAmt,"&gt;-1E+300",dFlt1,critFlt1,dFlt2,critFlt2,dFlt3,critFlt3))</f>
        <v/>
      </c>
      <c r="D1256" t="str">
        <f>IF($B1256="","",SUMIFS(dAmt,dCust,$B1256,dPer,"&gt;="&amp;cyFrom,dPer,"&lt;="&amp;cyTo,dAmt,"&gt;-1E+300",dFlt1,critFlt1,dFlt2,critFlt2,dFlt3,critFlt3))</f>
        <v/>
      </c>
      <c r="E1256" t="str">
        <f>IF($B1256="","",SUMIFS(dQty,dCust,$B1256,dPer,"&gt;="&amp;pyFrom,dPer,"&lt;="&amp;pyTo,dQty,"&gt;-1E+300",dFlt1,critFlt1,dFlt2,critFlt2,dFlt3,critFlt3))</f>
        <v/>
      </c>
      <c r="F1256" t="str">
        <f>IF($B1256="","",SUMIFS(dQty,dCust,$B1256,dPer,"&gt;="&amp;cyFrom,dPer,"&lt;="&amp;cyTo,dQty,"&gt;-1E+300",dFlt1,critFlt1,dFlt2,critFlt2,dFlt3,critFlt3))</f>
        <v/>
      </c>
      <c r="G1256">
        <f>IF($B1256="",0,IFERROR(IF(OR(C1256&lt;&gt;0,D1256&lt;&gt;0,E1256&lt;&gt;0,F1256&lt;&gt;0),1,0),1))</f>
        <v>0</v>
      </c>
      <c r="H1256" t="str">
        <f>IF(OR(G1256=0,E1256=0),"",C1256/E1256)</f>
        <v/>
      </c>
      <c r="I1256" t="str">
        <f>IF(OR(G1256=0,F1256=0),"",D1256/F1256)</f>
        <v/>
      </c>
      <c r="J1256" t="str">
        <f>IF(OR(H1256="",I1256=""),"",IF(H1256=0,"",I1256/H1256-1))</f>
        <v/>
      </c>
      <c r="K1256" t="str">
        <f>IF($B1256="","",IFERROR(IF(G1256=0,-2E+300,CHOOSE(sortIdx,ROUND(D1256,0),IF(J1256="",-1E+300,ROUND(-J1256,6)),IF(J1256="",-1E+300,ROUND(J1256,6)))),-1.5E+300))</f>
        <v/>
      </c>
      <c r="L1256" t="str">
        <f>IF(K1256="","",RANK(K1256,$K$2:$K$3001,0)+COUNTIF($K$2:K1256,K1256)-1)</f>
        <v/>
      </c>
    </row>
    <row r="1257">
      <c r="B1257" t="str">
        <f>IFERROR(IF(A1257="","","="&amp;SUBSTITUTE(SUBSTITUTE(SUBSTITUTE(A1257,"~","~~"),"*","~*"),"?","~?")),"")</f>
        <v/>
      </c>
      <c r="C1257" t="str">
        <f>IF($B1257="","",SUMIFS(dAmt,dCust,$B1257,dPer,"&gt;="&amp;pyFrom,dPer,"&lt;="&amp;pyTo,dAmt,"&gt;-1E+300",dFlt1,critFlt1,dFlt2,critFlt2,dFlt3,critFlt3))</f>
        <v/>
      </c>
      <c r="D1257" t="str">
        <f>IF($B1257="","",SUMIFS(dAmt,dCust,$B1257,dPer,"&gt;="&amp;cyFrom,dPer,"&lt;="&amp;cyTo,dAmt,"&gt;-1E+300",dFlt1,critFlt1,dFlt2,critFlt2,dFlt3,critFlt3))</f>
        <v/>
      </c>
      <c r="E1257" t="str">
        <f>IF($B1257="","",SUMIFS(dQty,dCust,$B1257,dPer,"&gt;="&amp;pyFrom,dPer,"&lt;="&amp;pyTo,dQty,"&gt;-1E+300",dFlt1,critFlt1,dFlt2,critFlt2,dFlt3,critFlt3))</f>
        <v/>
      </c>
      <c r="F1257" t="str">
        <f>IF($B1257="","",SUMIFS(dQty,dCust,$B1257,dPer,"&gt;="&amp;cyFrom,dPer,"&lt;="&amp;cyTo,dQty,"&gt;-1E+300",dFlt1,critFlt1,dFlt2,critFlt2,dFlt3,critFlt3))</f>
        <v/>
      </c>
      <c r="G1257">
        <f>IF($B1257="",0,IFERROR(IF(OR(C1257&lt;&gt;0,D1257&lt;&gt;0,E1257&lt;&gt;0,F1257&lt;&gt;0),1,0),1))</f>
        <v>0</v>
      </c>
      <c r="H1257" t="str">
        <f>IF(OR(G1257=0,E1257=0),"",C1257/E1257)</f>
        <v/>
      </c>
      <c r="I1257" t="str">
        <f>IF(OR(G1257=0,F1257=0),"",D1257/F1257)</f>
        <v/>
      </c>
      <c r="J1257" t="str">
        <f>IF(OR(H1257="",I1257=""),"",IF(H1257=0,"",I1257/H1257-1))</f>
        <v/>
      </c>
      <c r="K1257" t="str">
        <f>IF($B1257="","",IFERROR(IF(G1257=0,-2E+300,CHOOSE(sortIdx,ROUND(D1257,0),IF(J1257="",-1E+300,ROUND(-J1257,6)),IF(J1257="",-1E+300,ROUND(J1257,6)))),-1.5E+300))</f>
        <v/>
      </c>
      <c r="L1257" t="str">
        <f>IF(K1257="","",RANK(K1257,$K$2:$K$3001,0)+COUNTIF($K$2:K1257,K1257)-1)</f>
        <v/>
      </c>
    </row>
    <row r="1258">
      <c r="B1258" t="str">
        <f>IFERROR(IF(A1258="","","="&amp;SUBSTITUTE(SUBSTITUTE(SUBSTITUTE(A1258,"~","~~"),"*","~*"),"?","~?")),"")</f>
        <v/>
      </c>
      <c r="C1258" t="str">
        <f>IF($B1258="","",SUMIFS(dAmt,dCust,$B1258,dPer,"&gt;="&amp;pyFrom,dPer,"&lt;="&amp;pyTo,dAmt,"&gt;-1E+300",dFlt1,critFlt1,dFlt2,critFlt2,dFlt3,critFlt3))</f>
        <v/>
      </c>
      <c r="D1258" t="str">
        <f>IF($B1258="","",SUMIFS(dAmt,dCust,$B1258,dPer,"&gt;="&amp;cyFrom,dPer,"&lt;="&amp;cyTo,dAmt,"&gt;-1E+300",dFlt1,critFlt1,dFlt2,critFlt2,dFlt3,critFlt3))</f>
        <v/>
      </c>
      <c r="E1258" t="str">
        <f>IF($B1258="","",SUMIFS(dQty,dCust,$B1258,dPer,"&gt;="&amp;pyFrom,dPer,"&lt;="&amp;pyTo,dQty,"&gt;-1E+300",dFlt1,critFlt1,dFlt2,critFlt2,dFlt3,critFlt3))</f>
        <v/>
      </c>
      <c r="F1258" t="str">
        <f>IF($B1258="","",SUMIFS(dQty,dCust,$B1258,dPer,"&gt;="&amp;cyFrom,dPer,"&lt;="&amp;cyTo,dQty,"&gt;-1E+300",dFlt1,critFlt1,dFlt2,critFlt2,dFlt3,critFlt3))</f>
        <v/>
      </c>
      <c r="G1258">
        <f>IF($B1258="",0,IFERROR(IF(OR(C1258&lt;&gt;0,D1258&lt;&gt;0,E1258&lt;&gt;0,F1258&lt;&gt;0),1,0),1))</f>
        <v>0</v>
      </c>
      <c r="H1258" t="str">
        <f>IF(OR(G1258=0,E1258=0),"",C1258/E1258)</f>
        <v/>
      </c>
      <c r="I1258" t="str">
        <f>IF(OR(G1258=0,F1258=0),"",D1258/F1258)</f>
        <v/>
      </c>
      <c r="J1258" t="str">
        <f>IF(OR(H1258="",I1258=""),"",IF(H1258=0,"",I1258/H1258-1))</f>
        <v/>
      </c>
      <c r="K1258" t="str">
        <f>IF($B1258="","",IFERROR(IF(G1258=0,-2E+300,CHOOSE(sortIdx,ROUND(D1258,0),IF(J1258="",-1E+300,ROUND(-J1258,6)),IF(J1258="",-1E+300,ROUND(J1258,6)))),-1.5E+300))</f>
        <v/>
      </c>
      <c r="L1258" t="str">
        <f>IF(K1258="","",RANK(K1258,$K$2:$K$3001,0)+COUNTIF($K$2:K1258,K1258)-1)</f>
        <v/>
      </c>
    </row>
    <row r="1259">
      <c r="B1259" t="str">
        <f>IFERROR(IF(A1259="","","="&amp;SUBSTITUTE(SUBSTITUTE(SUBSTITUTE(A1259,"~","~~"),"*","~*"),"?","~?")),"")</f>
        <v/>
      </c>
      <c r="C1259" t="str">
        <f>IF($B1259="","",SUMIFS(dAmt,dCust,$B1259,dPer,"&gt;="&amp;pyFrom,dPer,"&lt;="&amp;pyTo,dAmt,"&gt;-1E+300",dFlt1,critFlt1,dFlt2,critFlt2,dFlt3,critFlt3))</f>
        <v/>
      </c>
      <c r="D1259" t="str">
        <f>IF($B1259="","",SUMIFS(dAmt,dCust,$B1259,dPer,"&gt;="&amp;cyFrom,dPer,"&lt;="&amp;cyTo,dAmt,"&gt;-1E+300",dFlt1,critFlt1,dFlt2,critFlt2,dFlt3,critFlt3))</f>
        <v/>
      </c>
      <c r="E1259" t="str">
        <f>IF($B1259="","",SUMIFS(dQty,dCust,$B1259,dPer,"&gt;="&amp;pyFrom,dPer,"&lt;="&amp;pyTo,dQty,"&gt;-1E+300",dFlt1,critFlt1,dFlt2,critFlt2,dFlt3,critFlt3))</f>
        <v/>
      </c>
      <c r="F1259" t="str">
        <f>IF($B1259="","",SUMIFS(dQty,dCust,$B1259,dPer,"&gt;="&amp;cyFrom,dPer,"&lt;="&amp;cyTo,dQty,"&gt;-1E+300",dFlt1,critFlt1,dFlt2,critFlt2,dFlt3,critFlt3))</f>
        <v/>
      </c>
      <c r="G1259">
        <f>IF($B1259="",0,IFERROR(IF(OR(C1259&lt;&gt;0,D1259&lt;&gt;0,E1259&lt;&gt;0,F1259&lt;&gt;0),1,0),1))</f>
        <v>0</v>
      </c>
      <c r="H1259" t="str">
        <f>IF(OR(G1259=0,E1259=0),"",C1259/E1259)</f>
        <v/>
      </c>
      <c r="I1259" t="str">
        <f>IF(OR(G1259=0,F1259=0),"",D1259/F1259)</f>
        <v/>
      </c>
      <c r="J1259" t="str">
        <f>IF(OR(H1259="",I1259=""),"",IF(H1259=0,"",I1259/H1259-1))</f>
        <v/>
      </c>
      <c r="K1259" t="str">
        <f>IF($B1259="","",IFERROR(IF(G1259=0,-2E+300,CHOOSE(sortIdx,ROUND(D1259,0),IF(J1259="",-1E+300,ROUND(-J1259,6)),IF(J1259="",-1E+300,ROUND(J1259,6)))),-1.5E+300))</f>
        <v/>
      </c>
      <c r="L1259" t="str">
        <f>IF(K1259="","",RANK(K1259,$K$2:$K$3001,0)+COUNTIF($K$2:K1259,K1259)-1)</f>
        <v/>
      </c>
    </row>
    <row r="1260">
      <c r="B1260" t="str">
        <f>IFERROR(IF(A1260="","","="&amp;SUBSTITUTE(SUBSTITUTE(SUBSTITUTE(A1260,"~","~~"),"*","~*"),"?","~?")),"")</f>
        <v/>
      </c>
      <c r="C1260" t="str">
        <f>IF($B1260="","",SUMIFS(dAmt,dCust,$B1260,dPer,"&gt;="&amp;pyFrom,dPer,"&lt;="&amp;pyTo,dAmt,"&gt;-1E+300",dFlt1,critFlt1,dFlt2,critFlt2,dFlt3,critFlt3))</f>
        <v/>
      </c>
      <c r="D1260" t="str">
        <f>IF($B1260="","",SUMIFS(dAmt,dCust,$B1260,dPer,"&gt;="&amp;cyFrom,dPer,"&lt;="&amp;cyTo,dAmt,"&gt;-1E+300",dFlt1,critFlt1,dFlt2,critFlt2,dFlt3,critFlt3))</f>
        <v/>
      </c>
      <c r="E1260" t="str">
        <f>IF($B1260="","",SUMIFS(dQty,dCust,$B1260,dPer,"&gt;="&amp;pyFrom,dPer,"&lt;="&amp;pyTo,dQty,"&gt;-1E+300",dFlt1,critFlt1,dFlt2,critFlt2,dFlt3,critFlt3))</f>
        <v/>
      </c>
      <c r="F1260" t="str">
        <f>IF($B1260="","",SUMIFS(dQty,dCust,$B1260,dPer,"&gt;="&amp;cyFrom,dPer,"&lt;="&amp;cyTo,dQty,"&gt;-1E+300",dFlt1,critFlt1,dFlt2,critFlt2,dFlt3,critFlt3))</f>
        <v/>
      </c>
      <c r="G1260">
        <f>IF($B1260="",0,IFERROR(IF(OR(C1260&lt;&gt;0,D1260&lt;&gt;0,E1260&lt;&gt;0,F1260&lt;&gt;0),1,0),1))</f>
        <v>0</v>
      </c>
      <c r="H1260" t="str">
        <f>IF(OR(G1260=0,E1260=0),"",C1260/E1260)</f>
        <v/>
      </c>
      <c r="I1260" t="str">
        <f>IF(OR(G1260=0,F1260=0),"",D1260/F1260)</f>
        <v/>
      </c>
      <c r="J1260" t="str">
        <f>IF(OR(H1260="",I1260=""),"",IF(H1260=0,"",I1260/H1260-1))</f>
        <v/>
      </c>
      <c r="K1260" t="str">
        <f>IF($B1260="","",IFERROR(IF(G1260=0,-2E+300,CHOOSE(sortIdx,ROUND(D1260,0),IF(J1260="",-1E+300,ROUND(-J1260,6)),IF(J1260="",-1E+300,ROUND(J1260,6)))),-1.5E+300))</f>
        <v/>
      </c>
      <c r="L1260" t="str">
        <f>IF(K1260="","",RANK(K1260,$K$2:$K$3001,0)+COUNTIF($K$2:K1260,K1260)-1)</f>
        <v/>
      </c>
    </row>
    <row r="1261">
      <c r="B1261" t="str">
        <f>IFERROR(IF(A1261="","","="&amp;SUBSTITUTE(SUBSTITUTE(SUBSTITUTE(A1261,"~","~~"),"*","~*"),"?","~?")),"")</f>
        <v/>
      </c>
      <c r="C1261" t="str">
        <f>IF($B1261="","",SUMIFS(dAmt,dCust,$B1261,dPer,"&gt;="&amp;pyFrom,dPer,"&lt;="&amp;pyTo,dAmt,"&gt;-1E+300",dFlt1,critFlt1,dFlt2,critFlt2,dFlt3,critFlt3))</f>
        <v/>
      </c>
      <c r="D1261" t="str">
        <f>IF($B1261="","",SUMIFS(dAmt,dCust,$B1261,dPer,"&gt;="&amp;cyFrom,dPer,"&lt;="&amp;cyTo,dAmt,"&gt;-1E+300",dFlt1,critFlt1,dFlt2,critFlt2,dFlt3,critFlt3))</f>
        <v/>
      </c>
      <c r="E1261" t="str">
        <f>IF($B1261="","",SUMIFS(dQty,dCust,$B1261,dPer,"&gt;="&amp;pyFrom,dPer,"&lt;="&amp;pyTo,dQty,"&gt;-1E+300",dFlt1,critFlt1,dFlt2,critFlt2,dFlt3,critFlt3))</f>
        <v/>
      </c>
      <c r="F1261" t="str">
        <f>IF($B1261="","",SUMIFS(dQty,dCust,$B1261,dPer,"&gt;="&amp;cyFrom,dPer,"&lt;="&amp;cyTo,dQty,"&gt;-1E+300",dFlt1,critFlt1,dFlt2,critFlt2,dFlt3,critFlt3))</f>
        <v/>
      </c>
      <c r="G1261">
        <f>IF($B1261="",0,IFERROR(IF(OR(C1261&lt;&gt;0,D1261&lt;&gt;0,E1261&lt;&gt;0,F1261&lt;&gt;0),1,0),1))</f>
        <v>0</v>
      </c>
      <c r="H1261" t="str">
        <f>IF(OR(G1261=0,E1261=0),"",C1261/E1261)</f>
        <v/>
      </c>
      <c r="I1261" t="str">
        <f>IF(OR(G1261=0,F1261=0),"",D1261/F1261)</f>
        <v/>
      </c>
      <c r="J1261" t="str">
        <f>IF(OR(H1261="",I1261=""),"",IF(H1261=0,"",I1261/H1261-1))</f>
        <v/>
      </c>
      <c r="K1261" t="str">
        <f>IF($B1261="","",IFERROR(IF(G1261=0,-2E+300,CHOOSE(sortIdx,ROUND(D1261,0),IF(J1261="",-1E+300,ROUND(-J1261,6)),IF(J1261="",-1E+300,ROUND(J1261,6)))),-1.5E+300))</f>
        <v/>
      </c>
      <c r="L1261" t="str">
        <f>IF(K1261="","",RANK(K1261,$K$2:$K$3001,0)+COUNTIF($K$2:K1261,K1261)-1)</f>
        <v/>
      </c>
    </row>
    <row r="1262">
      <c r="B1262" t="str">
        <f>IFERROR(IF(A1262="","","="&amp;SUBSTITUTE(SUBSTITUTE(SUBSTITUTE(A1262,"~","~~"),"*","~*"),"?","~?")),"")</f>
        <v/>
      </c>
      <c r="C1262" t="str">
        <f>IF($B1262="","",SUMIFS(dAmt,dCust,$B1262,dPer,"&gt;="&amp;pyFrom,dPer,"&lt;="&amp;pyTo,dAmt,"&gt;-1E+300",dFlt1,critFlt1,dFlt2,critFlt2,dFlt3,critFlt3))</f>
        <v/>
      </c>
      <c r="D1262" t="str">
        <f>IF($B1262="","",SUMIFS(dAmt,dCust,$B1262,dPer,"&gt;="&amp;cyFrom,dPer,"&lt;="&amp;cyTo,dAmt,"&gt;-1E+300",dFlt1,critFlt1,dFlt2,critFlt2,dFlt3,critFlt3))</f>
        <v/>
      </c>
      <c r="E1262" t="str">
        <f>IF($B1262="","",SUMIFS(dQty,dCust,$B1262,dPer,"&gt;="&amp;pyFrom,dPer,"&lt;="&amp;pyTo,dQty,"&gt;-1E+300",dFlt1,critFlt1,dFlt2,critFlt2,dFlt3,critFlt3))</f>
        <v/>
      </c>
      <c r="F1262" t="str">
        <f>IF($B1262="","",SUMIFS(dQty,dCust,$B1262,dPer,"&gt;="&amp;cyFrom,dPer,"&lt;="&amp;cyTo,dQty,"&gt;-1E+300",dFlt1,critFlt1,dFlt2,critFlt2,dFlt3,critFlt3))</f>
        <v/>
      </c>
      <c r="G1262">
        <f>IF($B1262="",0,IFERROR(IF(OR(C1262&lt;&gt;0,D1262&lt;&gt;0,E1262&lt;&gt;0,F1262&lt;&gt;0),1,0),1))</f>
        <v>0</v>
      </c>
      <c r="H1262" t="str">
        <f>IF(OR(G1262=0,E1262=0),"",C1262/E1262)</f>
        <v/>
      </c>
      <c r="I1262" t="str">
        <f>IF(OR(G1262=0,F1262=0),"",D1262/F1262)</f>
        <v/>
      </c>
      <c r="J1262" t="str">
        <f>IF(OR(H1262="",I1262=""),"",IF(H1262=0,"",I1262/H1262-1))</f>
        <v/>
      </c>
      <c r="K1262" t="str">
        <f>IF($B1262="","",IFERROR(IF(G1262=0,-2E+300,CHOOSE(sortIdx,ROUND(D1262,0),IF(J1262="",-1E+300,ROUND(-J1262,6)),IF(J1262="",-1E+300,ROUND(J1262,6)))),-1.5E+300))</f>
        <v/>
      </c>
      <c r="L1262" t="str">
        <f>IF(K1262="","",RANK(K1262,$K$2:$K$3001,0)+COUNTIF($K$2:K1262,K1262)-1)</f>
        <v/>
      </c>
    </row>
    <row r="1263">
      <c r="B1263" t="str">
        <f>IFERROR(IF(A1263="","","="&amp;SUBSTITUTE(SUBSTITUTE(SUBSTITUTE(A1263,"~","~~"),"*","~*"),"?","~?")),"")</f>
        <v/>
      </c>
      <c r="C1263" t="str">
        <f>IF($B1263="","",SUMIFS(dAmt,dCust,$B1263,dPer,"&gt;="&amp;pyFrom,dPer,"&lt;="&amp;pyTo,dAmt,"&gt;-1E+300",dFlt1,critFlt1,dFlt2,critFlt2,dFlt3,critFlt3))</f>
        <v/>
      </c>
      <c r="D1263" t="str">
        <f>IF($B1263="","",SUMIFS(dAmt,dCust,$B1263,dPer,"&gt;="&amp;cyFrom,dPer,"&lt;="&amp;cyTo,dAmt,"&gt;-1E+300",dFlt1,critFlt1,dFlt2,critFlt2,dFlt3,critFlt3))</f>
        <v/>
      </c>
      <c r="E1263" t="str">
        <f>IF($B1263="","",SUMIFS(dQty,dCust,$B1263,dPer,"&gt;="&amp;pyFrom,dPer,"&lt;="&amp;pyTo,dQty,"&gt;-1E+300",dFlt1,critFlt1,dFlt2,critFlt2,dFlt3,critFlt3))</f>
        <v/>
      </c>
      <c r="F1263" t="str">
        <f>IF($B1263="","",SUMIFS(dQty,dCust,$B1263,dPer,"&gt;="&amp;cyFrom,dPer,"&lt;="&amp;cyTo,dQty,"&gt;-1E+300",dFlt1,critFlt1,dFlt2,critFlt2,dFlt3,critFlt3))</f>
        <v/>
      </c>
      <c r="G1263">
        <f>IF($B1263="",0,IFERROR(IF(OR(C1263&lt;&gt;0,D1263&lt;&gt;0,E1263&lt;&gt;0,F1263&lt;&gt;0),1,0),1))</f>
        <v>0</v>
      </c>
      <c r="H1263" t="str">
        <f>IF(OR(G1263=0,E1263=0),"",C1263/E1263)</f>
        <v/>
      </c>
      <c r="I1263" t="str">
        <f>IF(OR(G1263=0,F1263=0),"",D1263/F1263)</f>
        <v/>
      </c>
      <c r="J1263" t="str">
        <f>IF(OR(H1263="",I1263=""),"",IF(H1263=0,"",I1263/H1263-1))</f>
        <v/>
      </c>
      <c r="K1263" t="str">
        <f>IF($B1263="","",IFERROR(IF(G1263=0,-2E+300,CHOOSE(sortIdx,ROUND(D1263,0),IF(J1263="",-1E+300,ROUND(-J1263,6)),IF(J1263="",-1E+300,ROUND(J1263,6)))),-1.5E+300))</f>
        <v/>
      </c>
      <c r="L1263" t="str">
        <f>IF(K1263="","",RANK(K1263,$K$2:$K$3001,0)+COUNTIF($K$2:K1263,K1263)-1)</f>
        <v/>
      </c>
    </row>
    <row r="1264">
      <c r="B1264" t="str">
        <f>IFERROR(IF(A1264="","","="&amp;SUBSTITUTE(SUBSTITUTE(SUBSTITUTE(A1264,"~","~~"),"*","~*"),"?","~?")),"")</f>
        <v/>
      </c>
      <c r="C1264" t="str">
        <f>IF($B1264="","",SUMIFS(dAmt,dCust,$B1264,dPer,"&gt;="&amp;pyFrom,dPer,"&lt;="&amp;pyTo,dAmt,"&gt;-1E+300",dFlt1,critFlt1,dFlt2,critFlt2,dFlt3,critFlt3))</f>
        <v/>
      </c>
      <c r="D1264" t="str">
        <f>IF($B1264="","",SUMIFS(dAmt,dCust,$B1264,dPer,"&gt;="&amp;cyFrom,dPer,"&lt;="&amp;cyTo,dAmt,"&gt;-1E+300",dFlt1,critFlt1,dFlt2,critFlt2,dFlt3,critFlt3))</f>
        <v/>
      </c>
      <c r="E1264" t="str">
        <f>IF($B1264="","",SUMIFS(dQty,dCust,$B1264,dPer,"&gt;="&amp;pyFrom,dPer,"&lt;="&amp;pyTo,dQty,"&gt;-1E+300",dFlt1,critFlt1,dFlt2,critFlt2,dFlt3,critFlt3))</f>
        <v/>
      </c>
      <c r="F1264" t="str">
        <f>IF($B1264="","",SUMIFS(dQty,dCust,$B1264,dPer,"&gt;="&amp;cyFrom,dPer,"&lt;="&amp;cyTo,dQty,"&gt;-1E+300",dFlt1,critFlt1,dFlt2,critFlt2,dFlt3,critFlt3))</f>
        <v/>
      </c>
      <c r="G1264">
        <f>IF($B1264="",0,IFERROR(IF(OR(C1264&lt;&gt;0,D1264&lt;&gt;0,E1264&lt;&gt;0,F1264&lt;&gt;0),1,0),1))</f>
        <v>0</v>
      </c>
      <c r="H1264" t="str">
        <f>IF(OR(G1264=0,E1264=0),"",C1264/E1264)</f>
        <v/>
      </c>
      <c r="I1264" t="str">
        <f>IF(OR(G1264=0,F1264=0),"",D1264/F1264)</f>
        <v/>
      </c>
      <c r="J1264" t="str">
        <f>IF(OR(H1264="",I1264=""),"",IF(H1264=0,"",I1264/H1264-1))</f>
        <v/>
      </c>
      <c r="K1264" t="str">
        <f>IF($B1264="","",IFERROR(IF(G1264=0,-2E+300,CHOOSE(sortIdx,ROUND(D1264,0),IF(J1264="",-1E+300,ROUND(-J1264,6)),IF(J1264="",-1E+300,ROUND(J1264,6)))),-1.5E+300))</f>
        <v/>
      </c>
      <c r="L1264" t="str">
        <f>IF(K1264="","",RANK(K1264,$K$2:$K$3001,0)+COUNTIF($K$2:K1264,K1264)-1)</f>
        <v/>
      </c>
    </row>
    <row r="1265">
      <c r="B1265" t="str">
        <f>IFERROR(IF(A1265="","","="&amp;SUBSTITUTE(SUBSTITUTE(SUBSTITUTE(A1265,"~","~~"),"*","~*"),"?","~?")),"")</f>
        <v/>
      </c>
      <c r="C1265" t="str">
        <f>IF($B1265="","",SUMIFS(dAmt,dCust,$B1265,dPer,"&gt;="&amp;pyFrom,dPer,"&lt;="&amp;pyTo,dAmt,"&gt;-1E+300",dFlt1,critFlt1,dFlt2,critFlt2,dFlt3,critFlt3))</f>
        <v/>
      </c>
      <c r="D1265" t="str">
        <f>IF($B1265="","",SUMIFS(dAmt,dCust,$B1265,dPer,"&gt;="&amp;cyFrom,dPer,"&lt;="&amp;cyTo,dAmt,"&gt;-1E+300",dFlt1,critFlt1,dFlt2,critFlt2,dFlt3,critFlt3))</f>
        <v/>
      </c>
      <c r="E1265" t="str">
        <f>IF($B1265="","",SUMIFS(dQty,dCust,$B1265,dPer,"&gt;="&amp;pyFrom,dPer,"&lt;="&amp;pyTo,dQty,"&gt;-1E+300",dFlt1,critFlt1,dFlt2,critFlt2,dFlt3,critFlt3))</f>
        <v/>
      </c>
      <c r="F1265" t="str">
        <f>IF($B1265="","",SUMIFS(dQty,dCust,$B1265,dPer,"&gt;="&amp;cyFrom,dPer,"&lt;="&amp;cyTo,dQty,"&gt;-1E+300",dFlt1,critFlt1,dFlt2,critFlt2,dFlt3,critFlt3))</f>
        <v/>
      </c>
      <c r="G1265">
        <f>IF($B1265="",0,IFERROR(IF(OR(C1265&lt;&gt;0,D1265&lt;&gt;0,E1265&lt;&gt;0,F1265&lt;&gt;0),1,0),1))</f>
        <v>0</v>
      </c>
      <c r="H1265" t="str">
        <f>IF(OR(G1265=0,E1265=0),"",C1265/E1265)</f>
        <v/>
      </c>
      <c r="I1265" t="str">
        <f>IF(OR(G1265=0,F1265=0),"",D1265/F1265)</f>
        <v/>
      </c>
      <c r="J1265" t="str">
        <f>IF(OR(H1265="",I1265=""),"",IF(H1265=0,"",I1265/H1265-1))</f>
        <v/>
      </c>
      <c r="K1265" t="str">
        <f>IF($B1265="","",IFERROR(IF(G1265=0,-2E+300,CHOOSE(sortIdx,ROUND(D1265,0),IF(J1265="",-1E+300,ROUND(-J1265,6)),IF(J1265="",-1E+300,ROUND(J1265,6)))),-1.5E+300))</f>
        <v/>
      </c>
      <c r="L1265" t="str">
        <f>IF(K1265="","",RANK(K1265,$K$2:$K$3001,0)+COUNTIF($K$2:K1265,K1265)-1)</f>
        <v/>
      </c>
    </row>
    <row r="1266">
      <c r="B1266" t="str">
        <f>IFERROR(IF(A1266="","","="&amp;SUBSTITUTE(SUBSTITUTE(SUBSTITUTE(A1266,"~","~~"),"*","~*"),"?","~?")),"")</f>
        <v/>
      </c>
      <c r="C1266" t="str">
        <f>IF($B1266="","",SUMIFS(dAmt,dCust,$B1266,dPer,"&gt;="&amp;pyFrom,dPer,"&lt;="&amp;pyTo,dAmt,"&gt;-1E+300",dFlt1,critFlt1,dFlt2,critFlt2,dFlt3,critFlt3))</f>
        <v/>
      </c>
      <c r="D1266" t="str">
        <f>IF($B1266="","",SUMIFS(dAmt,dCust,$B1266,dPer,"&gt;="&amp;cyFrom,dPer,"&lt;="&amp;cyTo,dAmt,"&gt;-1E+300",dFlt1,critFlt1,dFlt2,critFlt2,dFlt3,critFlt3))</f>
        <v/>
      </c>
      <c r="E1266" t="str">
        <f>IF($B1266="","",SUMIFS(dQty,dCust,$B1266,dPer,"&gt;="&amp;pyFrom,dPer,"&lt;="&amp;pyTo,dQty,"&gt;-1E+300",dFlt1,critFlt1,dFlt2,critFlt2,dFlt3,critFlt3))</f>
        <v/>
      </c>
      <c r="F1266" t="str">
        <f>IF($B1266="","",SUMIFS(dQty,dCust,$B1266,dPer,"&gt;="&amp;cyFrom,dPer,"&lt;="&amp;cyTo,dQty,"&gt;-1E+300",dFlt1,critFlt1,dFlt2,critFlt2,dFlt3,critFlt3))</f>
        <v/>
      </c>
      <c r="G1266">
        <f>IF($B1266="",0,IFERROR(IF(OR(C1266&lt;&gt;0,D1266&lt;&gt;0,E1266&lt;&gt;0,F1266&lt;&gt;0),1,0),1))</f>
        <v>0</v>
      </c>
      <c r="H1266" t="str">
        <f>IF(OR(G1266=0,E1266=0),"",C1266/E1266)</f>
        <v/>
      </c>
      <c r="I1266" t="str">
        <f>IF(OR(G1266=0,F1266=0),"",D1266/F1266)</f>
        <v/>
      </c>
      <c r="J1266" t="str">
        <f>IF(OR(H1266="",I1266=""),"",IF(H1266=0,"",I1266/H1266-1))</f>
        <v/>
      </c>
      <c r="K1266" t="str">
        <f>IF($B1266="","",IFERROR(IF(G1266=0,-2E+300,CHOOSE(sortIdx,ROUND(D1266,0),IF(J1266="",-1E+300,ROUND(-J1266,6)),IF(J1266="",-1E+300,ROUND(J1266,6)))),-1.5E+300))</f>
        <v/>
      </c>
      <c r="L1266" t="str">
        <f>IF(K1266="","",RANK(K1266,$K$2:$K$3001,0)+COUNTIF($K$2:K1266,K1266)-1)</f>
        <v/>
      </c>
    </row>
    <row r="1267">
      <c r="B1267" t="str">
        <f>IFERROR(IF(A1267="","","="&amp;SUBSTITUTE(SUBSTITUTE(SUBSTITUTE(A1267,"~","~~"),"*","~*"),"?","~?")),"")</f>
        <v/>
      </c>
      <c r="C1267" t="str">
        <f>IF($B1267="","",SUMIFS(dAmt,dCust,$B1267,dPer,"&gt;="&amp;pyFrom,dPer,"&lt;="&amp;pyTo,dAmt,"&gt;-1E+300",dFlt1,critFlt1,dFlt2,critFlt2,dFlt3,critFlt3))</f>
        <v/>
      </c>
      <c r="D1267" t="str">
        <f>IF($B1267="","",SUMIFS(dAmt,dCust,$B1267,dPer,"&gt;="&amp;cyFrom,dPer,"&lt;="&amp;cyTo,dAmt,"&gt;-1E+300",dFlt1,critFlt1,dFlt2,critFlt2,dFlt3,critFlt3))</f>
        <v/>
      </c>
      <c r="E1267" t="str">
        <f>IF($B1267="","",SUMIFS(dQty,dCust,$B1267,dPer,"&gt;="&amp;pyFrom,dPer,"&lt;="&amp;pyTo,dQty,"&gt;-1E+300",dFlt1,critFlt1,dFlt2,critFlt2,dFlt3,critFlt3))</f>
        <v/>
      </c>
      <c r="F1267" t="str">
        <f>IF($B1267="","",SUMIFS(dQty,dCust,$B1267,dPer,"&gt;="&amp;cyFrom,dPer,"&lt;="&amp;cyTo,dQty,"&gt;-1E+300",dFlt1,critFlt1,dFlt2,critFlt2,dFlt3,critFlt3))</f>
        <v/>
      </c>
      <c r="G1267">
        <f>IF($B1267="",0,IFERROR(IF(OR(C1267&lt;&gt;0,D1267&lt;&gt;0,E1267&lt;&gt;0,F1267&lt;&gt;0),1,0),1))</f>
        <v>0</v>
      </c>
      <c r="H1267" t="str">
        <f>IF(OR(G1267=0,E1267=0),"",C1267/E1267)</f>
        <v/>
      </c>
      <c r="I1267" t="str">
        <f>IF(OR(G1267=0,F1267=0),"",D1267/F1267)</f>
        <v/>
      </c>
      <c r="J1267" t="str">
        <f>IF(OR(H1267="",I1267=""),"",IF(H1267=0,"",I1267/H1267-1))</f>
        <v/>
      </c>
      <c r="K1267" t="str">
        <f>IF($B1267="","",IFERROR(IF(G1267=0,-2E+300,CHOOSE(sortIdx,ROUND(D1267,0),IF(J1267="",-1E+300,ROUND(-J1267,6)),IF(J1267="",-1E+300,ROUND(J1267,6)))),-1.5E+300))</f>
        <v/>
      </c>
      <c r="L1267" t="str">
        <f>IF(K1267="","",RANK(K1267,$K$2:$K$3001,0)+COUNTIF($K$2:K1267,K1267)-1)</f>
        <v/>
      </c>
    </row>
    <row r="1268">
      <c r="B1268" t="str">
        <f>IFERROR(IF(A1268="","","="&amp;SUBSTITUTE(SUBSTITUTE(SUBSTITUTE(A1268,"~","~~"),"*","~*"),"?","~?")),"")</f>
        <v/>
      </c>
      <c r="C1268" t="str">
        <f>IF($B1268="","",SUMIFS(dAmt,dCust,$B1268,dPer,"&gt;="&amp;pyFrom,dPer,"&lt;="&amp;pyTo,dAmt,"&gt;-1E+300",dFlt1,critFlt1,dFlt2,critFlt2,dFlt3,critFlt3))</f>
        <v/>
      </c>
      <c r="D1268" t="str">
        <f>IF($B1268="","",SUMIFS(dAmt,dCust,$B1268,dPer,"&gt;="&amp;cyFrom,dPer,"&lt;="&amp;cyTo,dAmt,"&gt;-1E+300",dFlt1,critFlt1,dFlt2,critFlt2,dFlt3,critFlt3))</f>
        <v/>
      </c>
      <c r="E1268" t="str">
        <f>IF($B1268="","",SUMIFS(dQty,dCust,$B1268,dPer,"&gt;="&amp;pyFrom,dPer,"&lt;="&amp;pyTo,dQty,"&gt;-1E+300",dFlt1,critFlt1,dFlt2,critFlt2,dFlt3,critFlt3))</f>
        <v/>
      </c>
      <c r="F1268" t="str">
        <f>IF($B1268="","",SUMIFS(dQty,dCust,$B1268,dPer,"&gt;="&amp;cyFrom,dPer,"&lt;="&amp;cyTo,dQty,"&gt;-1E+300",dFlt1,critFlt1,dFlt2,critFlt2,dFlt3,critFlt3))</f>
        <v/>
      </c>
      <c r="G1268">
        <f>IF($B1268="",0,IFERROR(IF(OR(C1268&lt;&gt;0,D1268&lt;&gt;0,E1268&lt;&gt;0,F1268&lt;&gt;0),1,0),1))</f>
        <v>0</v>
      </c>
      <c r="H1268" t="str">
        <f>IF(OR(G1268=0,E1268=0),"",C1268/E1268)</f>
        <v/>
      </c>
      <c r="I1268" t="str">
        <f>IF(OR(G1268=0,F1268=0),"",D1268/F1268)</f>
        <v/>
      </c>
      <c r="J1268" t="str">
        <f>IF(OR(H1268="",I1268=""),"",IF(H1268=0,"",I1268/H1268-1))</f>
        <v/>
      </c>
      <c r="K1268" t="str">
        <f>IF($B1268="","",IFERROR(IF(G1268=0,-2E+300,CHOOSE(sortIdx,ROUND(D1268,0),IF(J1268="",-1E+300,ROUND(-J1268,6)),IF(J1268="",-1E+300,ROUND(J1268,6)))),-1.5E+300))</f>
        <v/>
      </c>
      <c r="L1268" t="str">
        <f>IF(K1268="","",RANK(K1268,$K$2:$K$3001,0)+COUNTIF($K$2:K1268,K1268)-1)</f>
        <v/>
      </c>
    </row>
    <row r="1269">
      <c r="B1269" t="str">
        <f>IFERROR(IF(A1269="","","="&amp;SUBSTITUTE(SUBSTITUTE(SUBSTITUTE(A1269,"~","~~"),"*","~*"),"?","~?")),"")</f>
        <v/>
      </c>
      <c r="C1269" t="str">
        <f>IF($B1269="","",SUMIFS(dAmt,dCust,$B1269,dPer,"&gt;="&amp;pyFrom,dPer,"&lt;="&amp;pyTo,dAmt,"&gt;-1E+300",dFlt1,critFlt1,dFlt2,critFlt2,dFlt3,critFlt3))</f>
        <v/>
      </c>
      <c r="D1269" t="str">
        <f>IF($B1269="","",SUMIFS(dAmt,dCust,$B1269,dPer,"&gt;="&amp;cyFrom,dPer,"&lt;="&amp;cyTo,dAmt,"&gt;-1E+300",dFlt1,critFlt1,dFlt2,critFlt2,dFlt3,critFlt3))</f>
        <v/>
      </c>
      <c r="E1269" t="str">
        <f>IF($B1269="","",SUMIFS(dQty,dCust,$B1269,dPer,"&gt;="&amp;pyFrom,dPer,"&lt;="&amp;pyTo,dQty,"&gt;-1E+300",dFlt1,critFlt1,dFlt2,critFlt2,dFlt3,critFlt3))</f>
        <v/>
      </c>
      <c r="F1269" t="str">
        <f>IF($B1269="","",SUMIFS(dQty,dCust,$B1269,dPer,"&gt;="&amp;cyFrom,dPer,"&lt;="&amp;cyTo,dQty,"&gt;-1E+300",dFlt1,critFlt1,dFlt2,critFlt2,dFlt3,critFlt3))</f>
        <v/>
      </c>
      <c r="G1269">
        <f>IF($B1269="",0,IFERROR(IF(OR(C1269&lt;&gt;0,D1269&lt;&gt;0,E1269&lt;&gt;0,F1269&lt;&gt;0),1,0),1))</f>
        <v>0</v>
      </c>
      <c r="H1269" t="str">
        <f>IF(OR(G1269=0,E1269=0),"",C1269/E1269)</f>
        <v/>
      </c>
      <c r="I1269" t="str">
        <f>IF(OR(G1269=0,F1269=0),"",D1269/F1269)</f>
        <v/>
      </c>
      <c r="J1269" t="str">
        <f>IF(OR(H1269="",I1269=""),"",IF(H1269=0,"",I1269/H1269-1))</f>
        <v/>
      </c>
      <c r="K1269" t="str">
        <f>IF($B1269="","",IFERROR(IF(G1269=0,-2E+300,CHOOSE(sortIdx,ROUND(D1269,0),IF(J1269="",-1E+300,ROUND(-J1269,6)),IF(J1269="",-1E+300,ROUND(J1269,6)))),-1.5E+300))</f>
        <v/>
      </c>
      <c r="L1269" t="str">
        <f>IF(K1269="","",RANK(K1269,$K$2:$K$3001,0)+COUNTIF($K$2:K1269,K1269)-1)</f>
        <v/>
      </c>
    </row>
    <row r="1270">
      <c r="B1270" t="str">
        <f>IFERROR(IF(A1270="","","="&amp;SUBSTITUTE(SUBSTITUTE(SUBSTITUTE(A1270,"~","~~"),"*","~*"),"?","~?")),"")</f>
        <v/>
      </c>
      <c r="C1270" t="str">
        <f>IF($B1270="","",SUMIFS(dAmt,dCust,$B1270,dPer,"&gt;="&amp;pyFrom,dPer,"&lt;="&amp;pyTo,dAmt,"&gt;-1E+300",dFlt1,critFlt1,dFlt2,critFlt2,dFlt3,critFlt3))</f>
        <v/>
      </c>
      <c r="D1270" t="str">
        <f>IF($B1270="","",SUMIFS(dAmt,dCust,$B1270,dPer,"&gt;="&amp;cyFrom,dPer,"&lt;="&amp;cyTo,dAmt,"&gt;-1E+300",dFlt1,critFlt1,dFlt2,critFlt2,dFlt3,critFlt3))</f>
        <v/>
      </c>
      <c r="E1270" t="str">
        <f>IF($B1270="","",SUMIFS(dQty,dCust,$B1270,dPer,"&gt;="&amp;pyFrom,dPer,"&lt;="&amp;pyTo,dQty,"&gt;-1E+300",dFlt1,critFlt1,dFlt2,critFlt2,dFlt3,critFlt3))</f>
        <v/>
      </c>
      <c r="F1270" t="str">
        <f>IF($B1270="","",SUMIFS(dQty,dCust,$B1270,dPer,"&gt;="&amp;cyFrom,dPer,"&lt;="&amp;cyTo,dQty,"&gt;-1E+300",dFlt1,critFlt1,dFlt2,critFlt2,dFlt3,critFlt3))</f>
        <v/>
      </c>
      <c r="G1270">
        <f>IF($B1270="",0,IFERROR(IF(OR(C1270&lt;&gt;0,D1270&lt;&gt;0,E1270&lt;&gt;0,F1270&lt;&gt;0),1,0),1))</f>
        <v>0</v>
      </c>
      <c r="H1270" t="str">
        <f>IF(OR(G1270=0,E1270=0),"",C1270/E1270)</f>
        <v/>
      </c>
      <c r="I1270" t="str">
        <f>IF(OR(G1270=0,F1270=0),"",D1270/F1270)</f>
        <v/>
      </c>
      <c r="J1270" t="str">
        <f>IF(OR(H1270="",I1270=""),"",IF(H1270=0,"",I1270/H1270-1))</f>
        <v/>
      </c>
      <c r="K1270" t="str">
        <f>IF($B1270="","",IFERROR(IF(G1270=0,-2E+300,CHOOSE(sortIdx,ROUND(D1270,0),IF(J1270="",-1E+300,ROUND(-J1270,6)),IF(J1270="",-1E+300,ROUND(J1270,6)))),-1.5E+300))</f>
        <v/>
      </c>
      <c r="L1270" t="str">
        <f>IF(K1270="","",RANK(K1270,$K$2:$K$3001,0)+COUNTIF($K$2:K1270,K1270)-1)</f>
        <v/>
      </c>
    </row>
    <row r="1271">
      <c r="B1271" t="str">
        <f>IFERROR(IF(A1271="","","="&amp;SUBSTITUTE(SUBSTITUTE(SUBSTITUTE(A1271,"~","~~"),"*","~*"),"?","~?")),"")</f>
        <v/>
      </c>
      <c r="C1271" t="str">
        <f>IF($B1271="","",SUMIFS(dAmt,dCust,$B1271,dPer,"&gt;="&amp;pyFrom,dPer,"&lt;="&amp;pyTo,dAmt,"&gt;-1E+300",dFlt1,critFlt1,dFlt2,critFlt2,dFlt3,critFlt3))</f>
        <v/>
      </c>
      <c r="D1271" t="str">
        <f>IF($B1271="","",SUMIFS(dAmt,dCust,$B1271,dPer,"&gt;="&amp;cyFrom,dPer,"&lt;="&amp;cyTo,dAmt,"&gt;-1E+300",dFlt1,critFlt1,dFlt2,critFlt2,dFlt3,critFlt3))</f>
        <v/>
      </c>
      <c r="E1271" t="str">
        <f>IF($B1271="","",SUMIFS(dQty,dCust,$B1271,dPer,"&gt;="&amp;pyFrom,dPer,"&lt;="&amp;pyTo,dQty,"&gt;-1E+300",dFlt1,critFlt1,dFlt2,critFlt2,dFlt3,critFlt3))</f>
        <v/>
      </c>
      <c r="F1271" t="str">
        <f>IF($B1271="","",SUMIFS(dQty,dCust,$B1271,dPer,"&gt;="&amp;cyFrom,dPer,"&lt;="&amp;cyTo,dQty,"&gt;-1E+300",dFlt1,critFlt1,dFlt2,critFlt2,dFlt3,critFlt3))</f>
        <v/>
      </c>
      <c r="G1271">
        <f>IF($B1271="",0,IFERROR(IF(OR(C1271&lt;&gt;0,D1271&lt;&gt;0,E1271&lt;&gt;0,F1271&lt;&gt;0),1,0),1))</f>
        <v>0</v>
      </c>
      <c r="H1271" t="str">
        <f>IF(OR(G1271=0,E1271=0),"",C1271/E1271)</f>
        <v/>
      </c>
      <c r="I1271" t="str">
        <f>IF(OR(G1271=0,F1271=0),"",D1271/F1271)</f>
        <v/>
      </c>
      <c r="J1271" t="str">
        <f>IF(OR(H1271="",I1271=""),"",IF(H1271=0,"",I1271/H1271-1))</f>
        <v/>
      </c>
      <c r="K1271" t="str">
        <f>IF($B1271="","",IFERROR(IF(G1271=0,-2E+300,CHOOSE(sortIdx,ROUND(D1271,0),IF(J1271="",-1E+300,ROUND(-J1271,6)),IF(J1271="",-1E+300,ROUND(J1271,6)))),-1.5E+300))</f>
        <v/>
      </c>
      <c r="L1271" t="str">
        <f>IF(K1271="","",RANK(K1271,$K$2:$K$3001,0)+COUNTIF($K$2:K1271,K1271)-1)</f>
        <v/>
      </c>
    </row>
    <row r="1272">
      <c r="B1272" t="str">
        <f>IFERROR(IF(A1272="","","="&amp;SUBSTITUTE(SUBSTITUTE(SUBSTITUTE(A1272,"~","~~"),"*","~*"),"?","~?")),"")</f>
        <v/>
      </c>
      <c r="C1272" t="str">
        <f>IF($B1272="","",SUMIFS(dAmt,dCust,$B1272,dPer,"&gt;="&amp;pyFrom,dPer,"&lt;="&amp;pyTo,dAmt,"&gt;-1E+300",dFlt1,critFlt1,dFlt2,critFlt2,dFlt3,critFlt3))</f>
        <v/>
      </c>
      <c r="D1272" t="str">
        <f>IF($B1272="","",SUMIFS(dAmt,dCust,$B1272,dPer,"&gt;="&amp;cyFrom,dPer,"&lt;="&amp;cyTo,dAmt,"&gt;-1E+300",dFlt1,critFlt1,dFlt2,critFlt2,dFlt3,critFlt3))</f>
        <v/>
      </c>
      <c r="E1272" t="str">
        <f>IF($B1272="","",SUMIFS(dQty,dCust,$B1272,dPer,"&gt;="&amp;pyFrom,dPer,"&lt;="&amp;pyTo,dQty,"&gt;-1E+300",dFlt1,critFlt1,dFlt2,critFlt2,dFlt3,critFlt3))</f>
        <v/>
      </c>
      <c r="F1272" t="str">
        <f>IF($B1272="","",SUMIFS(dQty,dCust,$B1272,dPer,"&gt;="&amp;cyFrom,dPer,"&lt;="&amp;cyTo,dQty,"&gt;-1E+300",dFlt1,critFlt1,dFlt2,critFlt2,dFlt3,critFlt3))</f>
        <v/>
      </c>
      <c r="G1272">
        <f>IF($B1272="",0,IFERROR(IF(OR(C1272&lt;&gt;0,D1272&lt;&gt;0,E1272&lt;&gt;0,F1272&lt;&gt;0),1,0),1))</f>
        <v>0</v>
      </c>
      <c r="H1272" t="str">
        <f>IF(OR(G1272=0,E1272=0),"",C1272/E1272)</f>
        <v/>
      </c>
      <c r="I1272" t="str">
        <f>IF(OR(G1272=0,F1272=0),"",D1272/F1272)</f>
        <v/>
      </c>
      <c r="J1272" t="str">
        <f>IF(OR(H1272="",I1272=""),"",IF(H1272=0,"",I1272/H1272-1))</f>
        <v/>
      </c>
      <c r="K1272" t="str">
        <f>IF($B1272="","",IFERROR(IF(G1272=0,-2E+300,CHOOSE(sortIdx,ROUND(D1272,0),IF(J1272="",-1E+300,ROUND(-J1272,6)),IF(J1272="",-1E+300,ROUND(J1272,6)))),-1.5E+300))</f>
        <v/>
      </c>
      <c r="L1272" t="str">
        <f>IF(K1272="","",RANK(K1272,$K$2:$K$3001,0)+COUNTIF($K$2:K1272,K1272)-1)</f>
        <v/>
      </c>
    </row>
    <row r="1273">
      <c r="B1273" t="str">
        <f>IFERROR(IF(A1273="","","="&amp;SUBSTITUTE(SUBSTITUTE(SUBSTITUTE(A1273,"~","~~"),"*","~*"),"?","~?")),"")</f>
        <v/>
      </c>
      <c r="C1273" t="str">
        <f>IF($B1273="","",SUMIFS(dAmt,dCust,$B1273,dPer,"&gt;="&amp;pyFrom,dPer,"&lt;="&amp;pyTo,dAmt,"&gt;-1E+300",dFlt1,critFlt1,dFlt2,critFlt2,dFlt3,critFlt3))</f>
        <v/>
      </c>
      <c r="D1273" t="str">
        <f>IF($B1273="","",SUMIFS(dAmt,dCust,$B1273,dPer,"&gt;="&amp;cyFrom,dPer,"&lt;="&amp;cyTo,dAmt,"&gt;-1E+300",dFlt1,critFlt1,dFlt2,critFlt2,dFlt3,critFlt3))</f>
        <v/>
      </c>
      <c r="E1273" t="str">
        <f>IF($B1273="","",SUMIFS(dQty,dCust,$B1273,dPer,"&gt;="&amp;pyFrom,dPer,"&lt;="&amp;pyTo,dQty,"&gt;-1E+300",dFlt1,critFlt1,dFlt2,critFlt2,dFlt3,critFlt3))</f>
        <v/>
      </c>
      <c r="F1273" t="str">
        <f>IF($B1273="","",SUMIFS(dQty,dCust,$B1273,dPer,"&gt;="&amp;cyFrom,dPer,"&lt;="&amp;cyTo,dQty,"&gt;-1E+300",dFlt1,critFlt1,dFlt2,critFlt2,dFlt3,critFlt3))</f>
        <v/>
      </c>
      <c r="G1273">
        <f>IF($B1273="",0,IFERROR(IF(OR(C1273&lt;&gt;0,D1273&lt;&gt;0,E1273&lt;&gt;0,F1273&lt;&gt;0),1,0),1))</f>
        <v>0</v>
      </c>
      <c r="H1273" t="str">
        <f>IF(OR(G1273=0,E1273=0),"",C1273/E1273)</f>
        <v/>
      </c>
      <c r="I1273" t="str">
        <f>IF(OR(G1273=0,F1273=0),"",D1273/F1273)</f>
        <v/>
      </c>
      <c r="J1273" t="str">
        <f>IF(OR(H1273="",I1273=""),"",IF(H1273=0,"",I1273/H1273-1))</f>
        <v/>
      </c>
      <c r="K1273" t="str">
        <f>IF($B1273="","",IFERROR(IF(G1273=0,-2E+300,CHOOSE(sortIdx,ROUND(D1273,0),IF(J1273="",-1E+300,ROUND(-J1273,6)),IF(J1273="",-1E+300,ROUND(J1273,6)))),-1.5E+300))</f>
        <v/>
      </c>
      <c r="L1273" t="str">
        <f>IF(K1273="","",RANK(K1273,$K$2:$K$3001,0)+COUNTIF($K$2:K1273,K1273)-1)</f>
        <v/>
      </c>
    </row>
    <row r="1274">
      <c r="B1274" t="str">
        <f>IFERROR(IF(A1274="","","="&amp;SUBSTITUTE(SUBSTITUTE(SUBSTITUTE(A1274,"~","~~"),"*","~*"),"?","~?")),"")</f>
        <v/>
      </c>
      <c r="C1274" t="str">
        <f>IF($B1274="","",SUMIFS(dAmt,dCust,$B1274,dPer,"&gt;="&amp;pyFrom,dPer,"&lt;="&amp;pyTo,dAmt,"&gt;-1E+300",dFlt1,critFlt1,dFlt2,critFlt2,dFlt3,critFlt3))</f>
        <v/>
      </c>
      <c r="D1274" t="str">
        <f>IF($B1274="","",SUMIFS(dAmt,dCust,$B1274,dPer,"&gt;="&amp;cyFrom,dPer,"&lt;="&amp;cyTo,dAmt,"&gt;-1E+300",dFlt1,critFlt1,dFlt2,critFlt2,dFlt3,critFlt3))</f>
        <v/>
      </c>
      <c r="E1274" t="str">
        <f>IF($B1274="","",SUMIFS(dQty,dCust,$B1274,dPer,"&gt;="&amp;pyFrom,dPer,"&lt;="&amp;pyTo,dQty,"&gt;-1E+300",dFlt1,critFlt1,dFlt2,critFlt2,dFlt3,critFlt3))</f>
        <v/>
      </c>
      <c r="F1274" t="str">
        <f>IF($B1274="","",SUMIFS(dQty,dCust,$B1274,dPer,"&gt;="&amp;cyFrom,dPer,"&lt;="&amp;cyTo,dQty,"&gt;-1E+300",dFlt1,critFlt1,dFlt2,critFlt2,dFlt3,critFlt3))</f>
        <v/>
      </c>
      <c r="G1274">
        <f>IF($B1274="",0,IFERROR(IF(OR(C1274&lt;&gt;0,D1274&lt;&gt;0,E1274&lt;&gt;0,F1274&lt;&gt;0),1,0),1))</f>
        <v>0</v>
      </c>
      <c r="H1274" t="str">
        <f>IF(OR(G1274=0,E1274=0),"",C1274/E1274)</f>
        <v/>
      </c>
      <c r="I1274" t="str">
        <f>IF(OR(G1274=0,F1274=0),"",D1274/F1274)</f>
        <v/>
      </c>
      <c r="J1274" t="str">
        <f>IF(OR(H1274="",I1274=""),"",IF(H1274=0,"",I1274/H1274-1))</f>
        <v/>
      </c>
      <c r="K1274" t="str">
        <f>IF($B1274="","",IFERROR(IF(G1274=0,-2E+300,CHOOSE(sortIdx,ROUND(D1274,0),IF(J1274="",-1E+300,ROUND(-J1274,6)),IF(J1274="",-1E+300,ROUND(J1274,6)))),-1.5E+300))</f>
        <v/>
      </c>
      <c r="L1274" t="str">
        <f>IF(K1274="","",RANK(K1274,$K$2:$K$3001,0)+COUNTIF($K$2:K1274,K1274)-1)</f>
        <v/>
      </c>
    </row>
    <row r="1275">
      <c r="B1275" t="str">
        <f>IFERROR(IF(A1275="","","="&amp;SUBSTITUTE(SUBSTITUTE(SUBSTITUTE(A1275,"~","~~"),"*","~*"),"?","~?")),"")</f>
        <v/>
      </c>
      <c r="C1275" t="str">
        <f>IF($B1275="","",SUMIFS(dAmt,dCust,$B1275,dPer,"&gt;="&amp;pyFrom,dPer,"&lt;="&amp;pyTo,dAmt,"&gt;-1E+300",dFlt1,critFlt1,dFlt2,critFlt2,dFlt3,critFlt3))</f>
        <v/>
      </c>
      <c r="D1275" t="str">
        <f>IF($B1275="","",SUMIFS(dAmt,dCust,$B1275,dPer,"&gt;="&amp;cyFrom,dPer,"&lt;="&amp;cyTo,dAmt,"&gt;-1E+300",dFlt1,critFlt1,dFlt2,critFlt2,dFlt3,critFlt3))</f>
        <v/>
      </c>
      <c r="E1275" t="str">
        <f>IF($B1275="","",SUMIFS(dQty,dCust,$B1275,dPer,"&gt;="&amp;pyFrom,dPer,"&lt;="&amp;pyTo,dQty,"&gt;-1E+300",dFlt1,critFlt1,dFlt2,critFlt2,dFlt3,critFlt3))</f>
        <v/>
      </c>
      <c r="F1275" t="str">
        <f>IF($B1275="","",SUMIFS(dQty,dCust,$B1275,dPer,"&gt;="&amp;cyFrom,dPer,"&lt;="&amp;cyTo,dQty,"&gt;-1E+300",dFlt1,critFlt1,dFlt2,critFlt2,dFlt3,critFlt3))</f>
        <v/>
      </c>
      <c r="G1275">
        <f>IF($B1275="",0,IFERROR(IF(OR(C1275&lt;&gt;0,D1275&lt;&gt;0,E1275&lt;&gt;0,F1275&lt;&gt;0),1,0),1))</f>
        <v>0</v>
      </c>
      <c r="H1275" t="str">
        <f>IF(OR(G1275=0,E1275=0),"",C1275/E1275)</f>
        <v/>
      </c>
      <c r="I1275" t="str">
        <f>IF(OR(G1275=0,F1275=0),"",D1275/F1275)</f>
        <v/>
      </c>
      <c r="J1275" t="str">
        <f>IF(OR(H1275="",I1275=""),"",IF(H1275=0,"",I1275/H1275-1))</f>
        <v/>
      </c>
      <c r="K1275" t="str">
        <f>IF($B1275="","",IFERROR(IF(G1275=0,-2E+300,CHOOSE(sortIdx,ROUND(D1275,0),IF(J1275="",-1E+300,ROUND(-J1275,6)),IF(J1275="",-1E+300,ROUND(J1275,6)))),-1.5E+300))</f>
        <v/>
      </c>
      <c r="L1275" t="str">
        <f>IF(K1275="","",RANK(K1275,$K$2:$K$3001,0)+COUNTIF($K$2:K1275,K1275)-1)</f>
        <v/>
      </c>
    </row>
    <row r="1276">
      <c r="B1276" t="str">
        <f>IFERROR(IF(A1276="","","="&amp;SUBSTITUTE(SUBSTITUTE(SUBSTITUTE(A1276,"~","~~"),"*","~*"),"?","~?")),"")</f>
        <v/>
      </c>
      <c r="C1276" t="str">
        <f>IF($B1276="","",SUMIFS(dAmt,dCust,$B1276,dPer,"&gt;="&amp;pyFrom,dPer,"&lt;="&amp;pyTo,dAmt,"&gt;-1E+300",dFlt1,critFlt1,dFlt2,critFlt2,dFlt3,critFlt3))</f>
        <v/>
      </c>
      <c r="D1276" t="str">
        <f>IF($B1276="","",SUMIFS(dAmt,dCust,$B1276,dPer,"&gt;="&amp;cyFrom,dPer,"&lt;="&amp;cyTo,dAmt,"&gt;-1E+300",dFlt1,critFlt1,dFlt2,critFlt2,dFlt3,critFlt3))</f>
        <v/>
      </c>
      <c r="E1276" t="str">
        <f>IF($B1276="","",SUMIFS(dQty,dCust,$B1276,dPer,"&gt;="&amp;pyFrom,dPer,"&lt;="&amp;pyTo,dQty,"&gt;-1E+300",dFlt1,critFlt1,dFlt2,critFlt2,dFlt3,critFlt3))</f>
        <v/>
      </c>
      <c r="F1276" t="str">
        <f>IF($B1276="","",SUMIFS(dQty,dCust,$B1276,dPer,"&gt;="&amp;cyFrom,dPer,"&lt;="&amp;cyTo,dQty,"&gt;-1E+300",dFlt1,critFlt1,dFlt2,critFlt2,dFlt3,critFlt3))</f>
        <v/>
      </c>
      <c r="G1276">
        <f>IF($B1276="",0,IFERROR(IF(OR(C1276&lt;&gt;0,D1276&lt;&gt;0,E1276&lt;&gt;0,F1276&lt;&gt;0),1,0),1))</f>
        <v>0</v>
      </c>
      <c r="H1276" t="str">
        <f>IF(OR(G1276=0,E1276=0),"",C1276/E1276)</f>
        <v/>
      </c>
      <c r="I1276" t="str">
        <f>IF(OR(G1276=0,F1276=0),"",D1276/F1276)</f>
        <v/>
      </c>
      <c r="J1276" t="str">
        <f>IF(OR(H1276="",I1276=""),"",IF(H1276=0,"",I1276/H1276-1))</f>
        <v/>
      </c>
      <c r="K1276" t="str">
        <f>IF($B1276="","",IFERROR(IF(G1276=0,-2E+300,CHOOSE(sortIdx,ROUND(D1276,0),IF(J1276="",-1E+300,ROUND(-J1276,6)),IF(J1276="",-1E+300,ROUND(J1276,6)))),-1.5E+300))</f>
        <v/>
      </c>
      <c r="L1276" t="str">
        <f>IF(K1276="","",RANK(K1276,$K$2:$K$3001,0)+COUNTIF($K$2:K1276,K1276)-1)</f>
        <v/>
      </c>
    </row>
    <row r="1277">
      <c r="B1277" t="str">
        <f>IFERROR(IF(A1277="","","="&amp;SUBSTITUTE(SUBSTITUTE(SUBSTITUTE(A1277,"~","~~"),"*","~*"),"?","~?")),"")</f>
        <v/>
      </c>
      <c r="C1277" t="str">
        <f>IF($B1277="","",SUMIFS(dAmt,dCust,$B1277,dPer,"&gt;="&amp;pyFrom,dPer,"&lt;="&amp;pyTo,dAmt,"&gt;-1E+300",dFlt1,critFlt1,dFlt2,critFlt2,dFlt3,critFlt3))</f>
        <v/>
      </c>
      <c r="D1277" t="str">
        <f>IF($B1277="","",SUMIFS(dAmt,dCust,$B1277,dPer,"&gt;="&amp;cyFrom,dPer,"&lt;="&amp;cyTo,dAmt,"&gt;-1E+300",dFlt1,critFlt1,dFlt2,critFlt2,dFlt3,critFlt3))</f>
        <v/>
      </c>
      <c r="E1277" t="str">
        <f>IF($B1277="","",SUMIFS(dQty,dCust,$B1277,dPer,"&gt;="&amp;pyFrom,dPer,"&lt;="&amp;pyTo,dQty,"&gt;-1E+300",dFlt1,critFlt1,dFlt2,critFlt2,dFlt3,critFlt3))</f>
        <v/>
      </c>
      <c r="F1277" t="str">
        <f>IF($B1277="","",SUMIFS(dQty,dCust,$B1277,dPer,"&gt;="&amp;cyFrom,dPer,"&lt;="&amp;cyTo,dQty,"&gt;-1E+300",dFlt1,critFlt1,dFlt2,critFlt2,dFlt3,critFlt3))</f>
        <v/>
      </c>
      <c r="G1277">
        <f>IF($B1277="",0,IFERROR(IF(OR(C1277&lt;&gt;0,D1277&lt;&gt;0,E1277&lt;&gt;0,F1277&lt;&gt;0),1,0),1))</f>
        <v>0</v>
      </c>
      <c r="H1277" t="str">
        <f>IF(OR(G1277=0,E1277=0),"",C1277/E1277)</f>
        <v/>
      </c>
      <c r="I1277" t="str">
        <f>IF(OR(G1277=0,F1277=0),"",D1277/F1277)</f>
        <v/>
      </c>
      <c r="J1277" t="str">
        <f>IF(OR(H1277="",I1277=""),"",IF(H1277=0,"",I1277/H1277-1))</f>
        <v/>
      </c>
      <c r="K1277" t="str">
        <f>IF($B1277="","",IFERROR(IF(G1277=0,-2E+300,CHOOSE(sortIdx,ROUND(D1277,0),IF(J1277="",-1E+300,ROUND(-J1277,6)),IF(J1277="",-1E+300,ROUND(J1277,6)))),-1.5E+300))</f>
        <v/>
      </c>
      <c r="L1277" t="str">
        <f>IF(K1277="","",RANK(K1277,$K$2:$K$3001,0)+COUNTIF($K$2:K1277,K1277)-1)</f>
        <v/>
      </c>
    </row>
    <row r="1278">
      <c r="B1278" t="str">
        <f>IFERROR(IF(A1278="","","="&amp;SUBSTITUTE(SUBSTITUTE(SUBSTITUTE(A1278,"~","~~"),"*","~*"),"?","~?")),"")</f>
        <v/>
      </c>
      <c r="C1278" t="str">
        <f>IF($B1278="","",SUMIFS(dAmt,dCust,$B1278,dPer,"&gt;="&amp;pyFrom,dPer,"&lt;="&amp;pyTo,dAmt,"&gt;-1E+300",dFlt1,critFlt1,dFlt2,critFlt2,dFlt3,critFlt3))</f>
        <v/>
      </c>
      <c r="D1278" t="str">
        <f>IF($B1278="","",SUMIFS(dAmt,dCust,$B1278,dPer,"&gt;="&amp;cyFrom,dPer,"&lt;="&amp;cyTo,dAmt,"&gt;-1E+300",dFlt1,critFlt1,dFlt2,critFlt2,dFlt3,critFlt3))</f>
        <v/>
      </c>
      <c r="E1278" t="str">
        <f>IF($B1278="","",SUMIFS(dQty,dCust,$B1278,dPer,"&gt;="&amp;pyFrom,dPer,"&lt;="&amp;pyTo,dQty,"&gt;-1E+300",dFlt1,critFlt1,dFlt2,critFlt2,dFlt3,critFlt3))</f>
        <v/>
      </c>
      <c r="F1278" t="str">
        <f>IF($B1278="","",SUMIFS(dQty,dCust,$B1278,dPer,"&gt;="&amp;cyFrom,dPer,"&lt;="&amp;cyTo,dQty,"&gt;-1E+300",dFlt1,critFlt1,dFlt2,critFlt2,dFlt3,critFlt3))</f>
        <v/>
      </c>
      <c r="G1278">
        <f>IF($B1278="",0,IFERROR(IF(OR(C1278&lt;&gt;0,D1278&lt;&gt;0,E1278&lt;&gt;0,F1278&lt;&gt;0),1,0),1))</f>
        <v>0</v>
      </c>
      <c r="H1278" t="str">
        <f>IF(OR(G1278=0,E1278=0),"",C1278/E1278)</f>
        <v/>
      </c>
      <c r="I1278" t="str">
        <f>IF(OR(G1278=0,F1278=0),"",D1278/F1278)</f>
        <v/>
      </c>
      <c r="J1278" t="str">
        <f>IF(OR(H1278="",I1278=""),"",IF(H1278=0,"",I1278/H1278-1))</f>
        <v/>
      </c>
      <c r="K1278" t="str">
        <f>IF($B1278="","",IFERROR(IF(G1278=0,-2E+300,CHOOSE(sortIdx,ROUND(D1278,0),IF(J1278="",-1E+300,ROUND(-J1278,6)),IF(J1278="",-1E+300,ROUND(J1278,6)))),-1.5E+300))</f>
        <v/>
      </c>
      <c r="L1278" t="str">
        <f>IF(K1278="","",RANK(K1278,$K$2:$K$3001,0)+COUNTIF($K$2:K1278,K1278)-1)</f>
        <v/>
      </c>
    </row>
    <row r="1279">
      <c r="B1279" t="str">
        <f>IFERROR(IF(A1279="","","="&amp;SUBSTITUTE(SUBSTITUTE(SUBSTITUTE(A1279,"~","~~"),"*","~*"),"?","~?")),"")</f>
        <v/>
      </c>
      <c r="C1279" t="str">
        <f>IF($B1279="","",SUMIFS(dAmt,dCust,$B1279,dPer,"&gt;="&amp;pyFrom,dPer,"&lt;="&amp;pyTo,dAmt,"&gt;-1E+300",dFlt1,critFlt1,dFlt2,critFlt2,dFlt3,critFlt3))</f>
        <v/>
      </c>
      <c r="D1279" t="str">
        <f>IF($B1279="","",SUMIFS(dAmt,dCust,$B1279,dPer,"&gt;="&amp;cyFrom,dPer,"&lt;="&amp;cyTo,dAmt,"&gt;-1E+300",dFlt1,critFlt1,dFlt2,critFlt2,dFlt3,critFlt3))</f>
        <v/>
      </c>
      <c r="E1279" t="str">
        <f>IF($B1279="","",SUMIFS(dQty,dCust,$B1279,dPer,"&gt;="&amp;pyFrom,dPer,"&lt;="&amp;pyTo,dQty,"&gt;-1E+300",dFlt1,critFlt1,dFlt2,critFlt2,dFlt3,critFlt3))</f>
        <v/>
      </c>
      <c r="F1279" t="str">
        <f>IF($B1279="","",SUMIFS(dQty,dCust,$B1279,dPer,"&gt;="&amp;cyFrom,dPer,"&lt;="&amp;cyTo,dQty,"&gt;-1E+300",dFlt1,critFlt1,dFlt2,critFlt2,dFlt3,critFlt3))</f>
        <v/>
      </c>
      <c r="G1279">
        <f>IF($B1279="",0,IFERROR(IF(OR(C1279&lt;&gt;0,D1279&lt;&gt;0,E1279&lt;&gt;0,F1279&lt;&gt;0),1,0),1))</f>
        <v>0</v>
      </c>
      <c r="H1279" t="str">
        <f>IF(OR(G1279=0,E1279=0),"",C1279/E1279)</f>
        <v/>
      </c>
      <c r="I1279" t="str">
        <f>IF(OR(G1279=0,F1279=0),"",D1279/F1279)</f>
        <v/>
      </c>
      <c r="J1279" t="str">
        <f>IF(OR(H1279="",I1279=""),"",IF(H1279=0,"",I1279/H1279-1))</f>
        <v/>
      </c>
      <c r="K1279" t="str">
        <f>IF($B1279="","",IFERROR(IF(G1279=0,-2E+300,CHOOSE(sortIdx,ROUND(D1279,0),IF(J1279="",-1E+300,ROUND(-J1279,6)),IF(J1279="",-1E+300,ROUND(J1279,6)))),-1.5E+300))</f>
        <v/>
      </c>
      <c r="L1279" t="str">
        <f>IF(K1279="","",RANK(K1279,$K$2:$K$3001,0)+COUNTIF($K$2:K1279,K1279)-1)</f>
        <v/>
      </c>
    </row>
    <row r="1280">
      <c r="B1280" t="str">
        <f>IFERROR(IF(A1280="","","="&amp;SUBSTITUTE(SUBSTITUTE(SUBSTITUTE(A1280,"~","~~"),"*","~*"),"?","~?")),"")</f>
        <v/>
      </c>
      <c r="C1280" t="str">
        <f>IF($B1280="","",SUMIFS(dAmt,dCust,$B1280,dPer,"&gt;="&amp;pyFrom,dPer,"&lt;="&amp;pyTo,dAmt,"&gt;-1E+300",dFlt1,critFlt1,dFlt2,critFlt2,dFlt3,critFlt3))</f>
        <v/>
      </c>
      <c r="D1280" t="str">
        <f>IF($B1280="","",SUMIFS(dAmt,dCust,$B1280,dPer,"&gt;="&amp;cyFrom,dPer,"&lt;="&amp;cyTo,dAmt,"&gt;-1E+300",dFlt1,critFlt1,dFlt2,critFlt2,dFlt3,critFlt3))</f>
        <v/>
      </c>
      <c r="E1280" t="str">
        <f>IF($B1280="","",SUMIFS(dQty,dCust,$B1280,dPer,"&gt;="&amp;pyFrom,dPer,"&lt;="&amp;pyTo,dQty,"&gt;-1E+300",dFlt1,critFlt1,dFlt2,critFlt2,dFlt3,critFlt3))</f>
        <v/>
      </c>
      <c r="F1280" t="str">
        <f>IF($B1280="","",SUMIFS(dQty,dCust,$B1280,dPer,"&gt;="&amp;cyFrom,dPer,"&lt;="&amp;cyTo,dQty,"&gt;-1E+300",dFlt1,critFlt1,dFlt2,critFlt2,dFlt3,critFlt3))</f>
        <v/>
      </c>
      <c r="G1280">
        <f>IF($B1280="",0,IFERROR(IF(OR(C1280&lt;&gt;0,D1280&lt;&gt;0,E1280&lt;&gt;0,F1280&lt;&gt;0),1,0),1))</f>
        <v>0</v>
      </c>
      <c r="H1280" t="str">
        <f>IF(OR(G1280=0,E1280=0),"",C1280/E1280)</f>
        <v/>
      </c>
      <c r="I1280" t="str">
        <f>IF(OR(G1280=0,F1280=0),"",D1280/F1280)</f>
        <v/>
      </c>
      <c r="J1280" t="str">
        <f>IF(OR(H1280="",I1280=""),"",IF(H1280=0,"",I1280/H1280-1))</f>
        <v/>
      </c>
      <c r="K1280" t="str">
        <f>IF($B1280="","",IFERROR(IF(G1280=0,-2E+300,CHOOSE(sortIdx,ROUND(D1280,0),IF(J1280="",-1E+300,ROUND(-J1280,6)),IF(J1280="",-1E+300,ROUND(J1280,6)))),-1.5E+300))</f>
        <v/>
      </c>
      <c r="L1280" t="str">
        <f>IF(K1280="","",RANK(K1280,$K$2:$K$3001,0)+COUNTIF($K$2:K1280,K1280)-1)</f>
        <v/>
      </c>
    </row>
    <row r="1281">
      <c r="B1281" t="str">
        <f>IFERROR(IF(A1281="","","="&amp;SUBSTITUTE(SUBSTITUTE(SUBSTITUTE(A1281,"~","~~"),"*","~*"),"?","~?")),"")</f>
        <v/>
      </c>
      <c r="C1281" t="str">
        <f>IF($B1281="","",SUMIFS(dAmt,dCust,$B1281,dPer,"&gt;="&amp;pyFrom,dPer,"&lt;="&amp;pyTo,dAmt,"&gt;-1E+300",dFlt1,critFlt1,dFlt2,critFlt2,dFlt3,critFlt3))</f>
        <v/>
      </c>
      <c r="D1281" t="str">
        <f>IF($B1281="","",SUMIFS(dAmt,dCust,$B1281,dPer,"&gt;="&amp;cyFrom,dPer,"&lt;="&amp;cyTo,dAmt,"&gt;-1E+300",dFlt1,critFlt1,dFlt2,critFlt2,dFlt3,critFlt3))</f>
        <v/>
      </c>
      <c r="E1281" t="str">
        <f>IF($B1281="","",SUMIFS(dQty,dCust,$B1281,dPer,"&gt;="&amp;pyFrom,dPer,"&lt;="&amp;pyTo,dQty,"&gt;-1E+300",dFlt1,critFlt1,dFlt2,critFlt2,dFlt3,critFlt3))</f>
        <v/>
      </c>
      <c r="F1281" t="str">
        <f>IF($B1281="","",SUMIFS(dQty,dCust,$B1281,dPer,"&gt;="&amp;cyFrom,dPer,"&lt;="&amp;cyTo,dQty,"&gt;-1E+300",dFlt1,critFlt1,dFlt2,critFlt2,dFlt3,critFlt3))</f>
        <v/>
      </c>
      <c r="G1281">
        <f>IF($B1281="",0,IFERROR(IF(OR(C1281&lt;&gt;0,D1281&lt;&gt;0,E1281&lt;&gt;0,F1281&lt;&gt;0),1,0),1))</f>
        <v>0</v>
      </c>
      <c r="H1281" t="str">
        <f>IF(OR(G1281=0,E1281=0),"",C1281/E1281)</f>
        <v/>
      </c>
      <c r="I1281" t="str">
        <f>IF(OR(G1281=0,F1281=0),"",D1281/F1281)</f>
        <v/>
      </c>
      <c r="J1281" t="str">
        <f>IF(OR(H1281="",I1281=""),"",IF(H1281=0,"",I1281/H1281-1))</f>
        <v/>
      </c>
      <c r="K1281" t="str">
        <f>IF($B1281="","",IFERROR(IF(G1281=0,-2E+300,CHOOSE(sortIdx,ROUND(D1281,0),IF(J1281="",-1E+300,ROUND(-J1281,6)),IF(J1281="",-1E+300,ROUND(J1281,6)))),-1.5E+300))</f>
        <v/>
      </c>
      <c r="L1281" t="str">
        <f>IF(K1281="","",RANK(K1281,$K$2:$K$3001,0)+COUNTIF($K$2:K1281,K1281)-1)</f>
        <v/>
      </c>
    </row>
    <row r="1282">
      <c r="B1282" t="str">
        <f>IFERROR(IF(A1282="","","="&amp;SUBSTITUTE(SUBSTITUTE(SUBSTITUTE(A1282,"~","~~"),"*","~*"),"?","~?")),"")</f>
        <v/>
      </c>
      <c r="C1282" t="str">
        <f>IF($B1282="","",SUMIFS(dAmt,dCust,$B1282,dPer,"&gt;="&amp;pyFrom,dPer,"&lt;="&amp;pyTo,dAmt,"&gt;-1E+300",dFlt1,critFlt1,dFlt2,critFlt2,dFlt3,critFlt3))</f>
        <v/>
      </c>
      <c r="D1282" t="str">
        <f>IF($B1282="","",SUMIFS(dAmt,dCust,$B1282,dPer,"&gt;="&amp;cyFrom,dPer,"&lt;="&amp;cyTo,dAmt,"&gt;-1E+300",dFlt1,critFlt1,dFlt2,critFlt2,dFlt3,critFlt3))</f>
        <v/>
      </c>
      <c r="E1282" t="str">
        <f>IF($B1282="","",SUMIFS(dQty,dCust,$B1282,dPer,"&gt;="&amp;pyFrom,dPer,"&lt;="&amp;pyTo,dQty,"&gt;-1E+300",dFlt1,critFlt1,dFlt2,critFlt2,dFlt3,critFlt3))</f>
        <v/>
      </c>
      <c r="F1282" t="str">
        <f>IF($B1282="","",SUMIFS(dQty,dCust,$B1282,dPer,"&gt;="&amp;cyFrom,dPer,"&lt;="&amp;cyTo,dQty,"&gt;-1E+300",dFlt1,critFlt1,dFlt2,critFlt2,dFlt3,critFlt3))</f>
        <v/>
      </c>
      <c r="G1282">
        <f>IF($B1282="",0,IFERROR(IF(OR(C1282&lt;&gt;0,D1282&lt;&gt;0,E1282&lt;&gt;0,F1282&lt;&gt;0),1,0),1))</f>
        <v>0</v>
      </c>
      <c r="H1282" t="str">
        <f>IF(OR(G1282=0,E1282=0),"",C1282/E1282)</f>
        <v/>
      </c>
      <c r="I1282" t="str">
        <f>IF(OR(G1282=0,F1282=0),"",D1282/F1282)</f>
        <v/>
      </c>
      <c r="J1282" t="str">
        <f>IF(OR(H1282="",I1282=""),"",IF(H1282=0,"",I1282/H1282-1))</f>
        <v/>
      </c>
      <c r="K1282" t="str">
        <f>IF($B1282="","",IFERROR(IF(G1282=0,-2E+300,CHOOSE(sortIdx,ROUND(D1282,0),IF(J1282="",-1E+300,ROUND(-J1282,6)),IF(J1282="",-1E+300,ROUND(J1282,6)))),-1.5E+300))</f>
        <v/>
      </c>
      <c r="L1282" t="str">
        <f>IF(K1282="","",RANK(K1282,$K$2:$K$3001,0)+COUNTIF($K$2:K1282,K1282)-1)</f>
        <v/>
      </c>
    </row>
    <row r="1283">
      <c r="B1283" t="str">
        <f>IFERROR(IF(A1283="","","="&amp;SUBSTITUTE(SUBSTITUTE(SUBSTITUTE(A1283,"~","~~"),"*","~*"),"?","~?")),"")</f>
        <v/>
      </c>
      <c r="C1283" t="str">
        <f>IF($B1283="","",SUMIFS(dAmt,dCust,$B1283,dPer,"&gt;="&amp;pyFrom,dPer,"&lt;="&amp;pyTo,dAmt,"&gt;-1E+300",dFlt1,critFlt1,dFlt2,critFlt2,dFlt3,critFlt3))</f>
        <v/>
      </c>
      <c r="D1283" t="str">
        <f>IF($B1283="","",SUMIFS(dAmt,dCust,$B1283,dPer,"&gt;="&amp;cyFrom,dPer,"&lt;="&amp;cyTo,dAmt,"&gt;-1E+300",dFlt1,critFlt1,dFlt2,critFlt2,dFlt3,critFlt3))</f>
        <v/>
      </c>
      <c r="E1283" t="str">
        <f>IF($B1283="","",SUMIFS(dQty,dCust,$B1283,dPer,"&gt;="&amp;pyFrom,dPer,"&lt;="&amp;pyTo,dQty,"&gt;-1E+300",dFlt1,critFlt1,dFlt2,critFlt2,dFlt3,critFlt3))</f>
        <v/>
      </c>
      <c r="F1283" t="str">
        <f>IF($B1283="","",SUMIFS(dQty,dCust,$B1283,dPer,"&gt;="&amp;cyFrom,dPer,"&lt;="&amp;cyTo,dQty,"&gt;-1E+300",dFlt1,critFlt1,dFlt2,critFlt2,dFlt3,critFlt3))</f>
        <v/>
      </c>
      <c r="G1283">
        <f>IF($B1283="",0,IFERROR(IF(OR(C1283&lt;&gt;0,D1283&lt;&gt;0,E1283&lt;&gt;0,F1283&lt;&gt;0),1,0),1))</f>
        <v>0</v>
      </c>
      <c r="H1283" t="str">
        <f>IF(OR(G1283=0,E1283=0),"",C1283/E1283)</f>
        <v/>
      </c>
      <c r="I1283" t="str">
        <f>IF(OR(G1283=0,F1283=0),"",D1283/F1283)</f>
        <v/>
      </c>
      <c r="J1283" t="str">
        <f>IF(OR(H1283="",I1283=""),"",IF(H1283=0,"",I1283/H1283-1))</f>
        <v/>
      </c>
      <c r="K1283" t="str">
        <f>IF($B1283="","",IFERROR(IF(G1283=0,-2E+300,CHOOSE(sortIdx,ROUND(D1283,0),IF(J1283="",-1E+300,ROUND(-J1283,6)),IF(J1283="",-1E+300,ROUND(J1283,6)))),-1.5E+300))</f>
        <v/>
      </c>
      <c r="L1283" t="str">
        <f>IF(K1283="","",RANK(K1283,$K$2:$K$3001,0)+COUNTIF($K$2:K1283,K1283)-1)</f>
        <v/>
      </c>
    </row>
    <row r="1284">
      <c r="B1284" t="str">
        <f>IFERROR(IF(A1284="","","="&amp;SUBSTITUTE(SUBSTITUTE(SUBSTITUTE(A1284,"~","~~"),"*","~*"),"?","~?")),"")</f>
        <v/>
      </c>
      <c r="C1284" t="str">
        <f>IF($B1284="","",SUMIFS(dAmt,dCust,$B1284,dPer,"&gt;="&amp;pyFrom,dPer,"&lt;="&amp;pyTo,dAmt,"&gt;-1E+300",dFlt1,critFlt1,dFlt2,critFlt2,dFlt3,critFlt3))</f>
        <v/>
      </c>
      <c r="D1284" t="str">
        <f>IF($B1284="","",SUMIFS(dAmt,dCust,$B1284,dPer,"&gt;="&amp;cyFrom,dPer,"&lt;="&amp;cyTo,dAmt,"&gt;-1E+300",dFlt1,critFlt1,dFlt2,critFlt2,dFlt3,critFlt3))</f>
        <v/>
      </c>
      <c r="E1284" t="str">
        <f>IF($B1284="","",SUMIFS(dQty,dCust,$B1284,dPer,"&gt;="&amp;pyFrom,dPer,"&lt;="&amp;pyTo,dQty,"&gt;-1E+300",dFlt1,critFlt1,dFlt2,critFlt2,dFlt3,critFlt3))</f>
        <v/>
      </c>
      <c r="F1284" t="str">
        <f>IF($B1284="","",SUMIFS(dQty,dCust,$B1284,dPer,"&gt;="&amp;cyFrom,dPer,"&lt;="&amp;cyTo,dQty,"&gt;-1E+300",dFlt1,critFlt1,dFlt2,critFlt2,dFlt3,critFlt3))</f>
        <v/>
      </c>
      <c r="G1284">
        <f>IF($B1284="",0,IFERROR(IF(OR(C1284&lt;&gt;0,D1284&lt;&gt;0,E1284&lt;&gt;0,F1284&lt;&gt;0),1,0),1))</f>
        <v>0</v>
      </c>
      <c r="H1284" t="str">
        <f>IF(OR(G1284=0,E1284=0),"",C1284/E1284)</f>
        <v/>
      </c>
      <c r="I1284" t="str">
        <f>IF(OR(G1284=0,F1284=0),"",D1284/F1284)</f>
        <v/>
      </c>
      <c r="J1284" t="str">
        <f>IF(OR(H1284="",I1284=""),"",IF(H1284=0,"",I1284/H1284-1))</f>
        <v/>
      </c>
      <c r="K1284" t="str">
        <f>IF($B1284="","",IFERROR(IF(G1284=0,-2E+300,CHOOSE(sortIdx,ROUND(D1284,0),IF(J1284="",-1E+300,ROUND(-J1284,6)),IF(J1284="",-1E+300,ROUND(J1284,6)))),-1.5E+300))</f>
        <v/>
      </c>
      <c r="L1284" t="str">
        <f>IF(K1284="","",RANK(K1284,$K$2:$K$3001,0)+COUNTIF($K$2:K1284,K1284)-1)</f>
        <v/>
      </c>
    </row>
    <row r="1285">
      <c r="B1285" t="str">
        <f>IFERROR(IF(A1285="","","="&amp;SUBSTITUTE(SUBSTITUTE(SUBSTITUTE(A1285,"~","~~"),"*","~*"),"?","~?")),"")</f>
        <v/>
      </c>
      <c r="C1285" t="str">
        <f>IF($B1285="","",SUMIFS(dAmt,dCust,$B1285,dPer,"&gt;="&amp;pyFrom,dPer,"&lt;="&amp;pyTo,dAmt,"&gt;-1E+300",dFlt1,critFlt1,dFlt2,critFlt2,dFlt3,critFlt3))</f>
        <v/>
      </c>
      <c r="D1285" t="str">
        <f>IF($B1285="","",SUMIFS(dAmt,dCust,$B1285,dPer,"&gt;="&amp;cyFrom,dPer,"&lt;="&amp;cyTo,dAmt,"&gt;-1E+300",dFlt1,critFlt1,dFlt2,critFlt2,dFlt3,critFlt3))</f>
        <v/>
      </c>
      <c r="E1285" t="str">
        <f>IF($B1285="","",SUMIFS(dQty,dCust,$B1285,dPer,"&gt;="&amp;pyFrom,dPer,"&lt;="&amp;pyTo,dQty,"&gt;-1E+300",dFlt1,critFlt1,dFlt2,critFlt2,dFlt3,critFlt3))</f>
        <v/>
      </c>
      <c r="F1285" t="str">
        <f>IF($B1285="","",SUMIFS(dQty,dCust,$B1285,dPer,"&gt;="&amp;cyFrom,dPer,"&lt;="&amp;cyTo,dQty,"&gt;-1E+300",dFlt1,critFlt1,dFlt2,critFlt2,dFlt3,critFlt3))</f>
        <v/>
      </c>
      <c r="G1285">
        <f>IF($B1285="",0,IFERROR(IF(OR(C1285&lt;&gt;0,D1285&lt;&gt;0,E1285&lt;&gt;0,F1285&lt;&gt;0),1,0),1))</f>
        <v>0</v>
      </c>
      <c r="H1285" t="str">
        <f>IF(OR(G1285=0,E1285=0),"",C1285/E1285)</f>
        <v/>
      </c>
      <c r="I1285" t="str">
        <f>IF(OR(G1285=0,F1285=0),"",D1285/F1285)</f>
        <v/>
      </c>
      <c r="J1285" t="str">
        <f>IF(OR(H1285="",I1285=""),"",IF(H1285=0,"",I1285/H1285-1))</f>
        <v/>
      </c>
      <c r="K1285" t="str">
        <f>IF($B1285="","",IFERROR(IF(G1285=0,-2E+300,CHOOSE(sortIdx,ROUND(D1285,0),IF(J1285="",-1E+300,ROUND(-J1285,6)),IF(J1285="",-1E+300,ROUND(J1285,6)))),-1.5E+300))</f>
        <v/>
      </c>
      <c r="L1285" t="str">
        <f>IF(K1285="","",RANK(K1285,$K$2:$K$3001,0)+COUNTIF($K$2:K1285,K1285)-1)</f>
        <v/>
      </c>
    </row>
    <row r="1286">
      <c r="B1286" t="str">
        <f>IFERROR(IF(A1286="","","="&amp;SUBSTITUTE(SUBSTITUTE(SUBSTITUTE(A1286,"~","~~"),"*","~*"),"?","~?")),"")</f>
        <v/>
      </c>
      <c r="C1286" t="str">
        <f>IF($B1286="","",SUMIFS(dAmt,dCust,$B1286,dPer,"&gt;="&amp;pyFrom,dPer,"&lt;="&amp;pyTo,dAmt,"&gt;-1E+300",dFlt1,critFlt1,dFlt2,critFlt2,dFlt3,critFlt3))</f>
        <v/>
      </c>
      <c r="D1286" t="str">
        <f>IF($B1286="","",SUMIFS(dAmt,dCust,$B1286,dPer,"&gt;="&amp;cyFrom,dPer,"&lt;="&amp;cyTo,dAmt,"&gt;-1E+300",dFlt1,critFlt1,dFlt2,critFlt2,dFlt3,critFlt3))</f>
        <v/>
      </c>
      <c r="E1286" t="str">
        <f>IF($B1286="","",SUMIFS(dQty,dCust,$B1286,dPer,"&gt;="&amp;pyFrom,dPer,"&lt;="&amp;pyTo,dQty,"&gt;-1E+300",dFlt1,critFlt1,dFlt2,critFlt2,dFlt3,critFlt3))</f>
        <v/>
      </c>
      <c r="F1286" t="str">
        <f>IF($B1286="","",SUMIFS(dQty,dCust,$B1286,dPer,"&gt;="&amp;cyFrom,dPer,"&lt;="&amp;cyTo,dQty,"&gt;-1E+300",dFlt1,critFlt1,dFlt2,critFlt2,dFlt3,critFlt3))</f>
        <v/>
      </c>
      <c r="G1286">
        <f>IF($B1286="",0,IFERROR(IF(OR(C1286&lt;&gt;0,D1286&lt;&gt;0,E1286&lt;&gt;0,F1286&lt;&gt;0),1,0),1))</f>
        <v>0</v>
      </c>
      <c r="H1286" t="str">
        <f>IF(OR(G1286=0,E1286=0),"",C1286/E1286)</f>
        <v/>
      </c>
      <c r="I1286" t="str">
        <f>IF(OR(G1286=0,F1286=0),"",D1286/F1286)</f>
        <v/>
      </c>
      <c r="J1286" t="str">
        <f>IF(OR(H1286="",I1286=""),"",IF(H1286=0,"",I1286/H1286-1))</f>
        <v/>
      </c>
      <c r="K1286" t="str">
        <f>IF($B1286="","",IFERROR(IF(G1286=0,-2E+300,CHOOSE(sortIdx,ROUND(D1286,0),IF(J1286="",-1E+300,ROUND(-J1286,6)),IF(J1286="",-1E+300,ROUND(J1286,6)))),-1.5E+300))</f>
        <v/>
      </c>
      <c r="L1286" t="str">
        <f>IF(K1286="","",RANK(K1286,$K$2:$K$3001,0)+COUNTIF($K$2:K1286,K1286)-1)</f>
        <v/>
      </c>
    </row>
    <row r="1287">
      <c r="B1287" t="str">
        <f>IFERROR(IF(A1287="","","="&amp;SUBSTITUTE(SUBSTITUTE(SUBSTITUTE(A1287,"~","~~"),"*","~*"),"?","~?")),"")</f>
        <v/>
      </c>
      <c r="C1287" t="str">
        <f>IF($B1287="","",SUMIFS(dAmt,dCust,$B1287,dPer,"&gt;="&amp;pyFrom,dPer,"&lt;="&amp;pyTo,dAmt,"&gt;-1E+300",dFlt1,critFlt1,dFlt2,critFlt2,dFlt3,critFlt3))</f>
        <v/>
      </c>
      <c r="D1287" t="str">
        <f>IF($B1287="","",SUMIFS(dAmt,dCust,$B1287,dPer,"&gt;="&amp;cyFrom,dPer,"&lt;="&amp;cyTo,dAmt,"&gt;-1E+300",dFlt1,critFlt1,dFlt2,critFlt2,dFlt3,critFlt3))</f>
        <v/>
      </c>
      <c r="E1287" t="str">
        <f>IF($B1287="","",SUMIFS(dQty,dCust,$B1287,dPer,"&gt;="&amp;pyFrom,dPer,"&lt;="&amp;pyTo,dQty,"&gt;-1E+300",dFlt1,critFlt1,dFlt2,critFlt2,dFlt3,critFlt3))</f>
        <v/>
      </c>
      <c r="F1287" t="str">
        <f>IF($B1287="","",SUMIFS(dQty,dCust,$B1287,dPer,"&gt;="&amp;cyFrom,dPer,"&lt;="&amp;cyTo,dQty,"&gt;-1E+300",dFlt1,critFlt1,dFlt2,critFlt2,dFlt3,critFlt3))</f>
        <v/>
      </c>
      <c r="G1287">
        <f>IF($B1287="",0,IFERROR(IF(OR(C1287&lt;&gt;0,D1287&lt;&gt;0,E1287&lt;&gt;0,F1287&lt;&gt;0),1,0),1))</f>
        <v>0</v>
      </c>
      <c r="H1287" t="str">
        <f>IF(OR(G1287=0,E1287=0),"",C1287/E1287)</f>
        <v/>
      </c>
      <c r="I1287" t="str">
        <f>IF(OR(G1287=0,F1287=0),"",D1287/F1287)</f>
        <v/>
      </c>
      <c r="J1287" t="str">
        <f>IF(OR(H1287="",I1287=""),"",IF(H1287=0,"",I1287/H1287-1))</f>
        <v/>
      </c>
      <c r="K1287" t="str">
        <f>IF($B1287="","",IFERROR(IF(G1287=0,-2E+300,CHOOSE(sortIdx,ROUND(D1287,0),IF(J1287="",-1E+300,ROUND(-J1287,6)),IF(J1287="",-1E+300,ROUND(J1287,6)))),-1.5E+300))</f>
        <v/>
      </c>
      <c r="L1287" t="str">
        <f>IF(K1287="","",RANK(K1287,$K$2:$K$3001,0)+COUNTIF($K$2:K1287,K1287)-1)</f>
        <v/>
      </c>
    </row>
    <row r="1288">
      <c r="B1288" t="str">
        <f>IFERROR(IF(A1288="","","="&amp;SUBSTITUTE(SUBSTITUTE(SUBSTITUTE(A1288,"~","~~"),"*","~*"),"?","~?")),"")</f>
        <v/>
      </c>
      <c r="C1288" t="str">
        <f>IF($B1288="","",SUMIFS(dAmt,dCust,$B1288,dPer,"&gt;="&amp;pyFrom,dPer,"&lt;="&amp;pyTo,dAmt,"&gt;-1E+300",dFlt1,critFlt1,dFlt2,critFlt2,dFlt3,critFlt3))</f>
        <v/>
      </c>
      <c r="D1288" t="str">
        <f>IF($B1288="","",SUMIFS(dAmt,dCust,$B1288,dPer,"&gt;="&amp;cyFrom,dPer,"&lt;="&amp;cyTo,dAmt,"&gt;-1E+300",dFlt1,critFlt1,dFlt2,critFlt2,dFlt3,critFlt3))</f>
        <v/>
      </c>
      <c r="E1288" t="str">
        <f>IF($B1288="","",SUMIFS(dQty,dCust,$B1288,dPer,"&gt;="&amp;pyFrom,dPer,"&lt;="&amp;pyTo,dQty,"&gt;-1E+300",dFlt1,critFlt1,dFlt2,critFlt2,dFlt3,critFlt3))</f>
        <v/>
      </c>
      <c r="F1288" t="str">
        <f>IF($B1288="","",SUMIFS(dQty,dCust,$B1288,dPer,"&gt;="&amp;cyFrom,dPer,"&lt;="&amp;cyTo,dQty,"&gt;-1E+300",dFlt1,critFlt1,dFlt2,critFlt2,dFlt3,critFlt3))</f>
        <v/>
      </c>
      <c r="G1288">
        <f>IF($B1288="",0,IFERROR(IF(OR(C1288&lt;&gt;0,D1288&lt;&gt;0,E1288&lt;&gt;0,F1288&lt;&gt;0),1,0),1))</f>
        <v>0</v>
      </c>
      <c r="H1288" t="str">
        <f>IF(OR(G1288=0,E1288=0),"",C1288/E1288)</f>
        <v/>
      </c>
      <c r="I1288" t="str">
        <f>IF(OR(G1288=0,F1288=0),"",D1288/F1288)</f>
        <v/>
      </c>
      <c r="J1288" t="str">
        <f>IF(OR(H1288="",I1288=""),"",IF(H1288=0,"",I1288/H1288-1))</f>
        <v/>
      </c>
      <c r="K1288" t="str">
        <f>IF($B1288="","",IFERROR(IF(G1288=0,-2E+300,CHOOSE(sortIdx,ROUND(D1288,0),IF(J1288="",-1E+300,ROUND(-J1288,6)),IF(J1288="",-1E+300,ROUND(J1288,6)))),-1.5E+300))</f>
        <v/>
      </c>
      <c r="L1288" t="str">
        <f>IF(K1288="","",RANK(K1288,$K$2:$K$3001,0)+COUNTIF($K$2:K1288,K1288)-1)</f>
        <v/>
      </c>
    </row>
    <row r="1289">
      <c r="B1289" t="str">
        <f>IFERROR(IF(A1289="","","="&amp;SUBSTITUTE(SUBSTITUTE(SUBSTITUTE(A1289,"~","~~"),"*","~*"),"?","~?")),"")</f>
        <v/>
      </c>
      <c r="C1289" t="str">
        <f>IF($B1289="","",SUMIFS(dAmt,dCust,$B1289,dPer,"&gt;="&amp;pyFrom,dPer,"&lt;="&amp;pyTo,dAmt,"&gt;-1E+300",dFlt1,critFlt1,dFlt2,critFlt2,dFlt3,critFlt3))</f>
        <v/>
      </c>
      <c r="D1289" t="str">
        <f>IF($B1289="","",SUMIFS(dAmt,dCust,$B1289,dPer,"&gt;="&amp;cyFrom,dPer,"&lt;="&amp;cyTo,dAmt,"&gt;-1E+300",dFlt1,critFlt1,dFlt2,critFlt2,dFlt3,critFlt3))</f>
        <v/>
      </c>
      <c r="E1289" t="str">
        <f>IF($B1289="","",SUMIFS(dQty,dCust,$B1289,dPer,"&gt;="&amp;pyFrom,dPer,"&lt;="&amp;pyTo,dQty,"&gt;-1E+300",dFlt1,critFlt1,dFlt2,critFlt2,dFlt3,critFlt3))</f>
        <v/>
      </c>
      <c r="F1289" t="str">
        <f>IF($B1289="","",SUMIFS(dQty,dCust,$B1289,dPer,"&gt;="&amp;cyFrom,dPer,"&lt;="&amp;cyTo,dQty,"&gt;-1E+300",dFlt1,critFlt1,dFlt2,critFlt2,dFlt3,critFlt3))</f>
        <v/>
      </c>
      <c r="G1289">
        <f>IF($B1289="",0,IFERROR(IF(OR(C1289&lt;&gt;0,D1289&lt;&gt;0,E1289&lt;&gt;0,F1289&lt;&gt;0),1,0),1))</f>
        <v>0</v>
      </c>
      <c r="H1289" t="str">
        <f>IF(OR(G1289=0,E1289=0),"",C1289/E1289)</f>
        <v/>
      </c>
      <c r="I1289" t="str">
        <f>IF(OR(G1289=0,F1289=0),"",D1289/F1289)</f>
        <v/>
      </c>
      <c r="J1289" t="str">
        <f>IF(OR(H1289="",I1289=""),"",IF(H1289=0,"",I1289/H1289-1))</f>
        <v/>
      </c>
      <c r="K1289" t="str">
        <f>IF($B1289="","",IFERROR(IF(G1289=0,-2E+300,CHOOSE(sortIdx,ROUND(D1289,0),IF(J1289="",-1E+300,ROUND(-J1289,6)),IF(J1289="",-1E+300,ROUND(J1289,6)))),-1.5E+300))</f>
        <v/>
      </c>
      <c r="L1289" t="str">
        <f>IF(K1289="","",RANK(K1289,$K$2:$K$3001,0)+COUNTIF($K$2:K1289,K1289)-1)</f>
        <v/>
      </c>
    </row>
    <row r="1290">
      <c r="B1290" t="str">
        <f>IFERROR(IF(A1290="","","="&amp;SUBSTITUTE(SUBSTITUTE(SUBSTITUTE(A1290,"~","~~"),"*","~*"),"?","~?")),"")</f>
        <v/>
      </c>
      <c r="C1290" t="str">
        <f>IF($B1290="","",SUMIFS(dAmt,dCust,$B1290,dPer,"&gt;="&amp;pyFrom,dPer,"&lt;="&amp;pyTo,dAmt,"&gt;-1E+300",dFlt1,critFlt1,dFlt2,critFlt2,dFlt3,critFlt3))</f>
        <v/>
      </c>
      <c r="D1290" t="str">
        <f>IF($B1290="","",SUMIFS(dAmt,dCust,$B1290,dPer,"&gt;="&amp;cyFrom,dPer,"&lt;="&amp;cyTo,dAmt,"&gt;-1E+300",dFlt1,critFlt1,dFlt2,critFlt2,dFlt3,critFlt3))</f>
        <v/>
      </c>
      <c r="E1290" t="str">
        <f>IF($B1290="","",SUMIFS(dQty,dCust,$B1290,dPer,"&gt;="&amp;pyFrom,dPer,"&lt;="&amp;pyTo,dQty,"&gt;-1E+300",dFlt1,critFlt1,dFlt2,critFlt2,dFlt3,critFlt3))</f>
        <v/>
      </c>
      <c r="F1290" t="str">
        <f>IF($B1290="","",SUMIFS(dQty,dCust,$B1290,dPer,"&gt;="&amp;cyFrom,dPer,"&lt;="&amp;cyTo,dQty,"&gt;-1E+300",dFlt1,critFlt1,dFlt2,critFlt2,dFlt3,critFlt3))</f>
        <v/>
      </c>
      <c r="G1290">
        <f>IF($B1290="",0,IFERROR(IF(OR(C1290&lt;&gt;0,D1290&lt;&gt;0,E1290&lt;&gt;0,F1290&lt;&gt;0),1,0),1))</f>
        <v>0</v>
      </c>
      <c r="H1290" t="str">
        <f>IF(OR(G1290=0,E1290=0),"",C1290/E1290)</f>
        <v/>
      </c>
      <c r="I1290" t="str">
        <f>IF(OR(G1290=0,F1290=0),"",D1290/F1290)</f>
        <v/>
      </c>
      <c r="J1290" t="str">
        <f>IF(OR(H1290="",I1290=""),"",IF(H1290=0,"",I1290/H1290-1))</f>
        <v/>
      </c>
      <c r="K1290" t="str">
        <f>IF($B1290="","",IFERROR(IF(G1290=0,-2E+300,CHOOSE(sortIdx,ROUND(D1290,0),IF(J1290="",-1E+300,ROUND(-J1290,6)),IF(J1290="",-1E+300,ROUND(J1290,6)))),-1.5E+300))</f>
        <v/>
      </c>
      <c r="L1290" t="str">
        <f>IF(K1290="","",RANK(K1290,$K$2:$K$3001,0)+COUNTIF($K$2:K1290,K1290)-1)</f>
        <v/>
      </c>
    </row>
    <row r="1291">
      <c r="B1291" t="str">
        <f>IFERROR(IF(A1291="","","="&amp;SUBSTITUTE(SUBSTITUTE(SUBSTITUTE(A1291,"~","~~"),"*","~*"),"?","~?")),"")</f>
        <v/>
      </c>
      <c r="C1291" t="str">
        <f>IF($B1291="","",SUMIFS(dAmt,dCust,$B1291,dPer,"&gt;="&amp;pyFrom,dPer,"&lt;="&amp;pyTo,dAmt,"&gt;-1E+300",dFlt1,critFlt1,dFlt2,critFlt2,dFlt3,critFlt3))</f>
        <v/>
      </c>
      <c r="D1291" t="str">
        <f>IF($B1291="","",SUMIFS(dAmt,dCust,$B1291,dPer,"&gt;="&amp;cyFrom,dPer,"&lt;="&amp;cyTo,dAmt,"&gt;-1E+300",dFlt1,critFlt1,dFlt2,critFlt2,dFlt3,critFlt3))</f>
        <v/>
      </c>
      <c r="E1291" t="str">
        <f>IF($B1291="","",SUMIFS(dQty,dCust,$B1291,dPer,"&gt;="&amp;pyFrom,dPer,"&lt;="&amp;pyTo,dQty,"&gt;-1E+300",dFlt1,critFlt1,dFlt2,critFlt2,dFlt3,critFlt3))</f>
        <v/>
      </c>
      <c r="F1291" t="str">
        <f>IF($B1291="","",SUMIFS(dQty,dCust,$B1291,dPer,"&gt;="&amp;cyFrom,dPer,"&lt;="&amp;cyTo,dQty,"&gt;-1E+300",dFlt1,critFlt1,dFlt2,critFlt2,dFlt3,critFlt3))</f>
        <v/>
      </c>
      <c r="G1291">
        <f>IF($B1291="",0,IFERROR(IF(OR(C1291&lt;&gt;0,D1291&lt;&gt;0,E1291&lt;&gt;0,F1291&lt;&gt;0),1,0),1))</f>
        <v>0</v>
      </c>
      <c r="H1291" t="str">
        <f>IF(OR(G1291=0,E1291=0),"",C1291/E1291)</f>
        <v/>
      </c>
      <c r="I1291" t="str">
        <f>IF(OR(G1291=0,F1291=0),"",D1291/F1291)</f>
        <v/>
      </c>
      <c r="J1291" t="str">
        <f>IF(OR(H1291="",I1291=""),"",IF(H1291=0,"",I1291/H1291-1))</f>
        <v/>
      </c>
      <c r="K1291" t="str">
        <f>IF($B1291="","",IFERROR(IF(G1291=0,-2E+300,CHOOSE(sortIdx,ROUND(D1291,0),IF(J1291="",-1E+300,ROUND(-J1291,6)),IF(J1291="",-1E+300,ROUND(J1291,6)))),-1.5E+300))</f>
        <v/>
      </c>
      <c r="L1291" t="str">
        <f>IF(K1291="","",RANK(K1291,$K$2:$K$3001,0)+COUNTIF($K$2:K1291,K1291)-1)</f>
        <v/>
      </c>
    </row>
    <row r="1292">
      <c r="B1292" t="str">
        <f>IFERROR(IF(A1292="","","="&amp;SUBSTITUTE(SUBSTITUTE(SUBSTITUTE(A1292,"~","~~"),"*","~*"),"?","~?")),"")</f>
        <v/>
      </c>
      <c r="C1292" t="str">
        <f>IF($B1292="","",SUMIFS(dAmt,dCust,$B1292,dPer,"&gt;="&amp;pyFrom,dPer,"&lt;="&amp;pyTo,dAmt,"&gt;-1E+300",dFlt1,critFlt1,dFlt2,critFlt2,dFlt3,critFlt3))</f>
        <v/>
      </c>
      <c r="D1292" t="str">
        <f>IF($B1292="","",SUMIFS(dAmt,dCust,$B1292,dPer,"&gt;="&amp;cyFrom,dPer,"&lt;="&amp;cyTo,dAmt,"&gt;-1E+300",dFlt1,critFlt1,dFlt2,critFlt2,dFlt3,critFlt3))</f>
        <v/>
      </c>
      <c r="E1292" t="str">
        <f>IF($B1292="","",SUMIFS(dQty,dCust,$B1292,dPer,"&gt;="&amp;pyFrom,dPer,"&lt;="&amp;pyTo,dQty,"&gt;-1E+300",dFlt1,critFlt1,dFlt2,critFlt2,dFlt3,critFlt3))</f>
        <v/>
      </c>
      <c r="F1292" t="str">
        <f>IF($B1292="","",SUMIFS(dQty,dCust,$B1292,dPer,"&gt;="&amp;cyFrom,dPer,"&lt;="&amp;cyTo,dQty,"&gt;-1E+300",dFlt1,critFlt1,dFlt2,critFlt2,dFlt3,critFlt3))</f>
        <v/>
      </c>
      <c r="G1292">
        <f>IF($B1292="",0,IFERROR(IF(OR(C1292&lt;&gt;0,D1292&lt;&gt;0,E1292&lt;&gt;0,F1292&lt;&gt;0),1,0),1))</f>
        <v>0</v>
      </c>
      <c r="H1292" t="str">
        <f>IF(OR(G1292=0,E1292=0),"",C1292/E1292)</f>
        <v/>
      </c>
      <c r="I1292" t="str">
        <f>IF(OR(G1292=0,F1292=0),"",D1292/F1292)</f>
        <v/>
      </c>
      <c r="J1292" t="str">
        <f>IF(OR(H1292="",I1292=""),"",IF(H1292=0,"",I1292/H1292-1))</f>
        <v/>
      </c>
      <c r="K1292" t="str">
        <f>IF($B1292="","",IFERROR(IF(G1292=0,-2E+300,CHOOSE(sortIdx,ROUND(D1292,0),IF(J1292="",-1E+300,ROUND(-J1292,6)),IF(J1292="",-1E+300,ROUND(J1292,6)))),-1.5E+300))</f>
        <v/>
      </c>
      <c r="L1292" t="str">
        <f>IF(K1292="","",RANK(K1292,$K$2:$K$3001,0)+COUNTIF($K$2:K1292,K1292)-1)</f>
        <v/>
      </c>
    </row>
    <row r="1293">
      <c r="B1293" t="str">
        <f>IFERROR(IF(A1293="","","="&amp;SUBSTITUTE(SUBSTITUTE(SUBSTITUTE(A1293,"~","~~"),"*","~*"),"?","~?")),"")</f>
        <v/>
      </c>
      <c r="C1293" t="str">
        <f>IF($B1293="","",SUMIFS(dAmt,dCust,$B1293,dPer,"&gt;="&amp;pyFrom,dPer,"&lt;="&amp;pyTo,dAmt,"&gt;-1E+300",dFlt1,critFlt1,dFlt2,critFlt2,dFlt3,critFlt3))</f>
        <v/>
      </c>
      <c r="D1293" t="str">
        <f>IF($B1293="","",SUMIFS(dAmt,dCust,$B1293,dPer,"&gt;="&amp;cyFrom,dPer,"&lt;="&amp;cyTo,dAmt,"&gt;-1E+300",dFlt1,critFlt1,dFlt2,critFlt2,dFlt3,critFlt3))</f>
        <v/>
      </c>
      <c r="E1293" t="str">
        <f>IF($B1293="","",SUMIFS(dQty,dCust,$B1293,dPer,"&gt;="&amp;pyFrom,dPer,"&lt;="&amp;pyTo,dQty,"&gt;-1E+300",dFlt1,critFlt1,dFlt2,critFlt2,dFlt3,critFlt3))</f>
        <v/>
      </c>
      <c r="F1293" t="str">
        <f>IF($B1293="","",SUMIFS(dQty,dCust,$B1293,dPer,"&gt;="&amp;cyFrom,dPer,"&lt;="&amp;cyTo,dQty,"&gt;-1E+300",dFlt1,critFlt1,dFlt2,critFlt2,dFlt3,critFlt3))</f>
        <v/>
      </c>
      <c r="G1293">
        <f>IF($B1293="",0,IFERROR(IF(OR(C1293&lt;&gt;0,D1293&lt;&gt;0,E1293&lt;&gt;0,F1293&lt;&gt;0),1,0),1))</f>
        <v>0</v>
      </c>
      <c r="H1293" t="str">
        <f>IF(OR(G1293=0,E1293=0),"",C1293/E1293)</f>
        <v/>
      </c>
      <c r="I1293" t="str">
        <f>IF(OR(G1293=0,F1293=0),"",D1293/F1293)</f>
        <v/>
      </c>
      <c r="J1293" t="str">
        <f>IF(OR(H1293="",I1293=""),"",IF(H1293=0,"",I1293/H1293-1))</f>
        <v/>
      </c>
      <c r="K1293" t="str">
        <f>IF($B1293="","",IFERROR(IF(G1293=0,-2E+300,CHOOSE(sortIdx,ROUND(D1293,0),IF(J1293="",-1E+300,ROUND(-J1293,6)),IF(J1293="",-1E+300,ROUND(J1293,6)))),-1.5E+300))</f>
        <v/>
      </c>
      <c r="L1293" t="str">
        <f>IF(K1293="","",RANK(K1293,$K$2:$K$3001,0)+COUNTIF($K$2:K1293,K1293)-1)</f>
        <v/>
      </c>
    </row>
    <row r="1294">
      <c r="B1294" t="str">
        <f>IFERROR(IF(A1294="","","="&amp;SUBSTITUTE(SUBSTITUTE(SUBSTITUTE(A1294,"~","~~"),"*","~*"),"?","~?")),"")</f>
        <v/>
      </c>
      <c r="C1294" t="str">
        <f>IF($B1294="","",SUMIFS(dAmt,dCust,$B1294,dPer,"&gt;="&amp;pyFrom,dPer,"&lt;="&amp;pyTo,dAmt,"&gt;-1E+300",dFlt1,critFlt1,dFlt2,critFlt2,dFlt3,critFlt3))</f>
        <v/>
      </c>
      <c r="D1294" t="str">
        <f>IF($B1294="","",SUMIFS(dAmt,dCust,$B1294,dPer,"&gt;="&amp;cyFrom,dPer,"&lt;="&amp;cyTo,dAmt,"&gt;-1E+300",dFlt1,critFlt1,dFlt2,critFlt2,dFlt3,critFlt3))</f>
        <v/>
      </c>
      <c r="E1294" t="str">
        <f>IF($B1294="","",SUMIFS(dQty,dCust,$B1294,dPer,"&gt;="&amp;pyFrom,dPer,"&lt;="&amp;pyTo,dQty,"&gt;-1E+300",dFlt1,critFlt1,dFlt2,critFlt2,dFlt3,critFlt3))</f>
        <v/>
      </c>
      <c r="F1294" t="str">
        <f>IF($B1294="","",SUMIFS(dQty,dCust,$B1294,dPer,"&gt;="&amp;cyFrom,dPer,"&lt;="&amp;cyTo,dQty,"&gt;-1E+300",dFlt1,critFlt1,dFlt2,critFlt2,dFlt3,critFlt3))</f>
        <v/>
      </c>
      <c r="G1294">
        <f>IF($B1294="",0,IFERROR(IF(OR(C1294&lt;&gt;0,D1294&lt;&gt;0,E1294&lt;&gt;0,F1294&lt;&gt;0),1,0),1))</f>
        <v>0</v>
      </c>
      <c r="H1294" t="str">
        <f>IF(OR(G1294=0,E1294=0),"",C1294/E1294)</f>
        <v/>
      </c>
      <c r="I1294" t="str">
        <f>IF(OR(G1294=0,F1294=0),"",D1294/F1294)</f>
        <v/>
      </c>
      <c r="J1294" t="str">
        <f>IF(OR(H1294="",I1294=""),"",IF(H1294=0,"",I1294/H1294-1))</f>
        <v/>
      </c>
      <c r="K1294" t="str">
        <f>IF($B1294="","",IFERROR(IF(G1294=0,-2E+300,CHOOSE(sortIdx,ROUND(D1294,0),IF(J1294="",-1E+300,ROUND(-J1294,6)),IF(J1294="",-1E+300,ROUND(J1294,6)))),-1.5E+300))</f>
        <v/>
      </c>
      <c r="L1294" t="str">
        <f>IF(K1294="","",RANK(K1294,$K$2:$K$3001,0)+COUNTIF($K$2:K1294,K1294)-1)</f>
        <v/>
      </c>
    </row>
    <row r="1295">
      <c r="B1295" t="str">
        <f>IFERROR(IF(A1295="","","="&amp;SUBSTITUTE(SUBSTITUTE(SUBSTITUTE(A1295,"~","~~"),"*","~*"),"?","~?")),"")</f>
        <v/>
      </c>
      <c r="C1295" t="str">
        <f>IF($B1295="","",SUMIFS(dAmt,dCust,$B1295,dPer,"&gt;="&amp;pyFrom,dPer,"&lt;="&amp;pyTo,dAmt,"&gt;-1E+300",dFlt1,critFlt1,dFlt2,critFlt2,dFlt3,critFlt3))</f>
        <v/>
      </c>
      <c r="D1295" t="str">
        <f>IF($B1295="","",SUMIFS(dAmt,dCust,$B1295,dPer,"&gt;="&amp;cyFrom,dPer,"&lt;="&amp;cyTo,dAmt,"&gt;-1E+300",dFlt1,critFlt1,dFlt2,critFlt2,dFlt3,critFlt3))</f>
        <v/>
      </c>
      <c r="E1295" t="str">
        <f>IF($B1295="","",SUMIFS(dQty,dCust,$B1295,dPer,"&gt;="&amp;pyFrom,dPer,"&lt;="&amp;pyTo,dQty,"&gt;-1E+300",dFlt1,critFlt1,dFlt2,critFlt2,dFlt3,critFlt3))</f>
        <v/>
      </c>
      <c r="F1295" t="str">
        <f>IF($B1295="","",SUMIFS(dQty,dCust,$B1295,dPer,"&gt;="&amp;cyFrom,dPer,"&lt;="&amp;cyTo,dQty,"&gt;-1E+300",dFlt1,critFlt1,dFlt2,critFlt2,dFlt3,critFlt3))</f>
        <v/>
      </c>
      <c r="G1295">
        <f>IF($B1295="",0,IFERROR(IF(OR(C1295&lt;&gt;0,D1295&lt;&gt;0,E1295&lt;&gt;0,F1295&lt;&gt;0),1,0),1))</f>
        <v>0</v>
      </c>
      <c r="H1295" t="str">
        <f>IF(OR(G1295=0,E1295=0),"",C1295/E1295)</f>
        <v/>
      </c>
      <c r="I1295" t="str">
        <f>IF(OR(G1295=0,F1295=0),"",D1295/F1295)</f>
        <v/>
      </c>
      <c r="J1295" t="str">
        <f>IF(OR(H1295="",I1295=""),"",IF(H1295=0,"",I1295/H1295-1))</f>
        <v/>
      </c>
      <c r="K1295" t="str">
        <f>IF($B1295="","",IFERROR(IF(G1295=0,-2E+300,CHOOSE(sortIdx,ROUND(D1295,0),IF(J1295="",-1E+300,ROUND(-J1295,6)),IF(J1295="",-1E+300,ROUND(J1295,6)))),-1.5E+300))</f>
        <v/>
      </c>
      <c r="L1295" t="str">
        <f>IF(K1295="","",RANK(K1295,$K$2:$K$3001,0)+COUNTIF($K$2:K1295,K1295)-1)</f>
        <v/>
      </c>
    </row>
    <row r="1296">
      <c r="B1296" t="str">
        <f>IFERROR(IF(A1296="","","="&amp;SUBSTITUTE(SUBSTITUTE(SUBSTITUTE(A1296,"~","~~"),"*","~*"),"?","~?")),"")</f>
        <v/>
      </c>
      <c r="C1296" t="str">
        <f>IF($B1296="","",SUMIFS(dAmt,dCust,$B1296,dPer,"&gt;="&amp;pyFrom,dPer,"&lt;="&amp;pyTo,dAmt,"&gt;-1E+300",dFlt1,critFlt1,dFlt2,critFlt2,dFlt3,critFlt3))</f>
        <v/>
      </c>
      <c r="D1296" t="str">
        <f>IF($B1296="","",SUMIFS(dAmt,dCust,$B1296,dPer,"&gt;="&amp;cyFrom,dPer,"&lt;="&amp;cyTo,dAmt,"&gt;-1E+300",dFlt1,critFlt1,dFlt2,critFlt2,dFlt3,critFlt3))</f>
        <v/>
      </c>
      <c r="E1296" t="str">
        <f>IF($B1296="","",SUMIFS(dQty,dCust,$B1296,dPer,"&gt;="&amp;pyFrom,dPer,"&lt;="&amp;pyTo,dQty,"&gt;-1E+300",dFlt1,critFlt1,dFlt2,critFlt2,dFlt3,critFlt3))</f>
        <v/>
      </c>
      <c r="F1296" t="str">
        <f>IF($B1296="","",SUMIFS(dQty,dCust,$B1296,dPer,"&gt;="&amp;cyFrom,dPer,"&lt;="&amp;cyTo,dQty,"&gt;-1E+300",dFlt1,critFlt1,dFlt2,critFlt2,dFlt3,critFlt3))</f>
        <v/>
      </c>
      <c r="G1296">
        <f>IF($B1296="",0,IFERROR(IF(OR(C1296&lt;&gt;0,D1296&lt;&gt;0,E1296&lt;&gt;0,F1296&lt;&gt;0),1,0),1))</f>
        <v>0</v>
      </c>
      <c r="H1296" t="str">
        <f>IF(OR(G1296=0,E1296=0),"",C1296/E1296)</f>
        <v/>
      </c>
      <c r="I1296" t="str">
        <f>IF(OR(G1296=0,F1296=0),"",D1296/F1296)</f>
        <v/>
      </c>
      <c r="J1296" t="str">
        <f>IF(OR(H1296="",I1296=""),"",IF(H1296=0,"",I1296/H1296-1))</f>
        <v/>
      </c>
      <c r="K1296" t="str">
        <f>IF($B1296="","",IFERROR(IF(G1296=0,-2E+300,CHOOSE(sortIdx,ROUND(D1296,0),IF(J1296="",-1E+300,ROUND(-J1296,6)),IF(J1296="",-1E+300,ROUND(J1296,6)))),-1.5E+300))</f>
        <v/>
      </c>
      <c r="L1296" t="str">
        <f>IF(K1296="","",RANK(K1296,$K$2:$K$3001,0)+COUNTIF($K$2:K1296,K1296)-1)</f>
        <v/>
      </c>
    </row>
    <row r="1297">
      <c r="B1297" t="str">
        <f>IFERROR(IF(A1297="","","="&amp;SUBSTITUTE(SUBSTITUTE(SUBSTITUTE(A1297,"~","~~"),"*","~*"),"?","~?")),"")</f>
        <v/>
      </c>
      <c r="C1297" t="str">
        <f>IF($B1297="","",SUMIFS(dAmt,dCust,$B1297,dPer,"&gt;="&amp;pyFrom,dPer,"&lt;="&amp;pyTo,dAmt,"&gt;-1E+300",dFlt1,critFlt1,dFlt2,critFlt2,dFlt3,critFlt3))</f>
        <v/>
      </c>
      <c r="D1297" t="str">
        <f>IF($B1297="","",SUMIFS(dAmt,dCust,$B1297,dPer,"&gt;="&amp;cyFrom,dPer,"&lt;="&amp;cyTo,dAmt,"&gt;-1E+300",dFlt1,critFlt1,dFlt2,critFlt2,dFlt3,critFlt3))</f>
        <v/>
      </c>
      <c r="E1297" t="str">
        <f>IF($B1297="","",SUMIFS(dQty,dCust,$B1297,dPer,"&gt;="&amp;pyFrom,dPer,"&lt;="&amp;pyTo,dQty,"&gt;-1E+300",dFlt1,critFlt1,dFlt2,critFlt2,dFlt3,critFlt3))</f>
        <v/>
      </c>
      <c r="F1297" t="str">
        <f>IF($B1297="","",SUMIFS(dQty,dCust,$B1297,dPer,"&gt;="&amp;cyFrom,dPer,"&lt;="&amp;cyTo,dQty,"&gt;-1E+300",dFlt1,critFlt1,dFlt2,critFlt2,dFlt3,critFlt3))</f>
        <v/>
      </c>
      <c r="G1297">
        <f>IF($B1297="",0,IFERROR(IF(OR(C1297&lt;&gt;0,D1297&lt;&gt;0,E1297&lt;&gt;0,F1297&lt;&gt;0),1,0),1))</f>
        <v>0</v>
      </c>
      <c r="H1297" t="str">
        <f>IF(OR(G1297=0,E1297=0),"",C1297/E1297)</f>
        <v/>
      </c>
      <c r="I1297" t="str">
        <f>IF(OR(G1297=0,F1297=0),"",D1297/F1297)</f>
        <v/>
      </c>
      <c r="J1297" t="str">
        <f>IF(OR(H1297="",I1297=""),"",IF(H1297=0,"",I1297/H1297-1))</f>
        <v/>
      </c>
      <c r="K1297" t="str">
        <f>IF($B1297="","",IFERROR(IF(G1297=0,-2E+300,CHOOSE(sortIdx,ROUND(D1297,0),IF(J1297="",-1E+300,ROUND(-J1297,6)),IF(J1297="",-1E+300,ROUND(J1297,6)))),-1.5E+300))</f>
        <v/>
      </c>
      <c r="L1297" t="str">
        <f>IF(K1297="","",RANK(K1297,$K$2:$K$3001,0)+COUNTIF($K$2:K1297,K1297)-1)</f>
        <v/>
      </c>
    </row>
    <row r="1298">
      <c r="B1298" t="str">
        <f>IFERROR(IF(A1298="","","="&amp;SUBSTITUTE(SUBSTITUTE(SUBSTITUTE(A1298,"~","~~"),"*","~*"),"?","~?")),"")</f>
        <v/>
      </c>
      <c r="C1298" t="str">
        <f>IF($B1298="","",SUMIFS(dAmt,dCust,$B1298,dPer,"&gt;="&amp;pyFrom,dPer,"&lt;="&amp;pyTo,dAmt,"&gt;-1E+300",dFlt1,critFlt1,dFlt2,critFlt2,dFlt3,critFlt3))</f>
        <v/>
      </c>
      <c r="D1298" t="str">
        <f>IF($B1298="","",SUMIFS(dAmt,dCust,$B1298,dPer,"&gt;="&amp;cyFrom,dPer,"&lt;="&amp;cyTo,dAmt,"&gt;-1E+300",dFlt1,critFlt1,dFlt2,critFlt2,dFlt3,critFlt3))</f>
        <v/>
      </c>
      <c r="E1298" t="str">
        <f>IF($B1298="","",SUMIFS(dQty,dCust,$B1298,dPer,"&gt;="&amp;pyFrom,dPer,"&lt;="&amp;pyTo,dQty,"&gt;-1E+300",dFlt1,critFlt1,dFlt2,critFlt2,dFlt3,critFlt3))</f>
        <v/>
      </c>
      <c r="F1298" t="str">
        <f>IF($B1298="","",SUMIFS(dQty,dCust,$B1298,dPer,"&gt;="&amp;cyFrom,dPer,"&lt;="&amp;cyTo,dQty,"&gt;-1E+300",dFlt1,critFlt1,dFlt2,critFlt2,dFlt3,critFlt3))</f>
        <v/>
      </c>
      <c r="G1298">
        <f>IF($B1298="",0,IFERROR(IF(OR(C1298&lt;&gt;0,D1298&lt;&gt;0,E1298&lt;&gt;0,F1298&lt;&gt;0),1,0),1))</f>
        <v>0</v>
      </c>
      <c r="H1298" t="str">
        <f>IF(OR(G1298=0,E1298=0),"",C1298/E1298)</f>
        <v/>
      </c>
      <c r="I1298" t="str">
        <f>IF(OR(G1298=0,F1298=0),"",D1298/F1298)</f>
        <v/>
      </c>
      <c r="J1298" t="str">
        <f>IF(OR(H1298="",I1298=""),"",IF(H1298=0,"",I1298/H1298-1))</f>
        <v/>
      </c>
      <c r="K1298" t="str">
        <f>IF($B1298="","",IFERROR(IF(G1298=0,-2E+300,CHOOSE(sortIdx,ROUND(D1298,0),IF(J1298="",-1E+300,ROUND(-J1298,6)),IF(J1298="",-1E+300,ROUND(J1298,6)))),-1.5E+300))</f>
        <v/>
      </c>
      <c r="L1298" t="str">
        <f>IF(K1298="","",RANK(K1298,$K$2:$K$3001,0)+COUNTIF($K$2:K1298,K1298)-1)</f>
        <v/>
      </c>
    </row>
    <row r="1299">
      <c r="B1299" t="str">
        <f>IFERROR(IF(A1299="","","="&amp;SUBSTITUTE(SUBSTITUTE(SUBSTITUTE(A1299,"~","~~"),"*","~*"),"?","~?")),"")</f>
        <v/>
      </c>
      <c r="C1299" t="str">
        <f>IF($B1299="","",SUMIFS(dAmt,dCust,$B1299,dPer,"&gt;="&amp;pyFrom,dPer,"&lt;="&amp;pyTo,dAmt,"&gt;-1E+300",dFlt1,critFlt1,dFlt2,critFlt2,dFlt3,critFlt3))</f>
        <v/>
      </c>
      <c r="D1299" t="str">
        <f>IF($B1299="","",SUMIFS(dAmt,dCust,$B1299,dPer,"&gt;="&amp;cyFrom,dPer,"&lt;="&amp;cyTo,dAmt,"&gt;-1E+300",dFlt1,critFlt1,dFlt2,critFlt2,dFlt3,critFlt3))</f>
        <v/>
      </c>
      <c r="E1299" t="str">
        <f>IF($B1299="","",SUMIFS(dQty,dCust,$B1299,dPer,"&gt;="&amp;pyFrom,dPer,"&lt;="&amp;pyTo,dQty,"&gt;-1E+300",dFlt1,critFlt1,dFlt2,critFlt2,dFlt3,critFlt3))</f>
        <v/>
      </c>
      <c r="F1299" t="str">
        <f>IF($B1299="","",SUMIFS(dQty,dCust,$B1299,dPer,"&gt;="&amp;cyFrom,dPer,"&lt;="&amp;cyTo,dQty,"&gt;-1E+300",dFlt1,critFlt1,dFlt2,critFlt2,dFlt3,critFlt3))</f>
        <v/>
      </c>
      <c r="G1299">
        <f>IF($B1299="",0,IFERROR(IF(OR(C1299&lt;&gt;0,D1299&lt;&gt;0,E1299&lt;&gt;0,F1299&lt;&gt;0),1,0),1))</f>
        <v>0</v>
      </c>
      <c r="H1299" t="str">
        <f>IF(OR(G1299=0,E1299=0),"",C1299/E1299)</f>
        <v/>
      </c>
      <c r="I1299" t="str">
        <f>IF(OR(G1299=0,F1299=0),"",D1299/F1299)</f>
        <v/>
      </c>
      <c r="J1299" t="str">
        <f>IF(OR(H1299="",I1299=""),"",IF(H1299=0,"",I1299/H1299-1))</f>
        <v/>
      </c>
      <c r="K1299" t="str">
        <f>IF($B1299="","",IFERROR(IF(G1299=0,-2E+300,CHOOSE(sortIdx,ROUND(D1299,0),IF(J1299="",-1E+300,ROUND(-J1299,6)),IF(J1299="",-1E+300,ROUND(J1299,6)))),-1.5E+300))</f>
        <v/>
      </c>
      <c r="L1299" t="str">
        <f>IF(K1299="","",RANK(K1299,$K$2:$K$3001,0)+COUNTIF($K$2:K1299,K1299)-1)</f>
        <v/>
      </c>
    </row>
    <row r="1300">
      <c r="B1300" t="str">
        <f>IFERROR(IF(A1300="","","="&amp;SUBSTITUTE(SUBSTITUTE(SUBSTITUTE(A1300,"~","~~"),"*","~*"),"?","~?")),"")</f>
        <v/>
      </c>
      <c r="C1300" t="str">
        <f>IF($B1300="","",SUMIFS(dAmt,dCust,$B1300,dPer,"&gt;="&amp;pyFrom,dPer,"&lt;="&amp;pyTo,dAmt,"&gt;-1E+300",dFlt1,critFlt1,dFlt2,critFlt2,dFlt3,critFlt3))</f>
        <v/>
      </c>
      <c r="D1300" t="str">
        <f>IF($B1300="","",SUMIFS(dAmt,dCust,$B1300,dPer,"&gt;="&amp;cyFrom,dPer,"&lt;="&amp;cyTo,dAmt,"&gt;-1E+300",dFlt1,critFlt1,dFlt2,critFlt2,dFlt3,critFlt3))</f>
        <v/>
      </c>
      <c r="E1300" t="str">
        <f>IF($B1300="","",SUMIFS(dQty,dCust,$B1300,dPer,"&gt;="&amp;pyFrom,dPer,"&lt;="&amp;pyTo,dQty,"&gt;-1E+300",dFlt1,critFlt1,dFlt2,critFlt2,dFlt3,critFlt3))</f>
        <v/>
      </c>
      <c r="F1300" t="str">
        <f>IF($B1300="","",SUMIFS(dQty,dCust,$B1300,dPer,"&gt;="&amp;cyFrom,dPer,"&lt;="&amp;cyTo,dQty,"&gt;-1E+300",dFlt1,critFlt1,dFlt2,critFlt2,dFlt3,critFlt3))</f>
        <v/>
      </c>
      <c r="G1300">
        <f>IF($B1300="",0,IFERROR(IF(OR(C1300&lt;&gt;0,D1300&lt;&gt;0,E1300&lt;&gt;0,F1300&lt;&gt;0),1,0),1))</f>
        <v>0</v>
      </c>
      <c r="H1300" t="str">
        <f>IF(OR(G1300=0,E1300=0),"",C1300/E1300)</f>
        <v/>
      </c>
      <c r="I1300" t="str">
        <f>IF(OR(G1300=0,F1300=0),"",D1300/F1300)</f>
        <v/>
      </c>
      <c r="J1300" t="str">
        <f>IF(OR(H1300="",I1300=""),"",IF(H1300=0,"",I1300/H1300-1))</f>
        <v/>
      </c>
      <c r="K1300" t="str">
        <f>IF($B1300="","",IFERROR(IF(G1300=0,-2E+300,CHOOSE(sortIdx,ROUND(D1300,0),IF(J1300="",-1E+300,ROUND(-J1300,6)),IF(J1300="",-1E+300,ROUND(J1300,6)))),-1.5E+300))</f>
        <v/>
      </c>
      <c r="L1300" t="str">
        <f>IF(K1300="","",RANK(K1300,$K$2:$K$3001,0)+COUNTIF($K$2:K1300,K1300)-1)</f>
        <v/>
      </c>
    </row>
    <row r="1301">
      <c r="B1301" t="str">
        <f>IFERROR(IF(A1301="","","="&amp;SUBSTITUTE(SUBSTITUTE(SUBSTITUTE(A1301,"~","~~"),"*","~*"),"?","~?")),"")</f>
        <v/>
      </c>
      <c r="C1301" t="str">
        <f>IF($B1301="","",SUMIFS(dAmt,dCust,$B1301,dPer,"&gt;="&amp;pyFrom,dPer,"&lt;="&amp;pyTo,dAmt,"&gt;-1E+300",dFlt1,critFlt1,dFlt2,critFlt2,dFlt3,critFlt3))</f>
        <v/>
      </c>
      <c r="D1301" t="str">
        <f>IF($B1301="","",SUMIFS(dAmt,dCust,$B1301,dPer,"&gt;="&amp;cyFrom,dPer,"&lt;="&amp;cyTo,dAmt,"&gt;-1E+300",dFlt1,critFlt1,dFlt2,critFlt2,dFlt3,critFlt3))</f>
        <v/>
      </c>
      <c r="E1301" t="str">
        <f>IF($B1301="","",SUMIFS(dQty,dCust,$B1301,dPer,"&gt;="&amp;pyFrom,dPer,"&lt;="&amp;pyTo,dQty,"&gt;-1E+300",dFlt1,critFlt1,dFlt2,critFlt2,dFlt3,critFlt3))</f>
        <v/>
      </c>
      <c r="F1301" t="str">
        <f>IF($B1301="","",SUMIFS(dQty,dCust,$B1301,dPer,"&gt;="&amp;cyFrom,dPer,"&lt;="&amp;cyTo,dQty,"&gt;-1E+300",dFlt1,critFlt1,dFlt2,critFlt2,dFlt3,critFlt3))</f>
        <v/>
      </c>
      <c r="G1301">
        <f>IF($B1301="",0,IFERROR(IF(OR(C1301&lt;&gt;0,D1301&lt;&gt;0,E1301&lt;&gt;0,F1301&lt;&gt;0),1,0),1))</f>
        <v>0</v>
      </c>
      <c r="H1301" t="str">
        <f>IF(OR(G1301=0,E1301=0),"",C1301/E1301)</f>
        <v/>
      </c>
      <c r="I1301" t="str">
        <f>IF(OR(G1301=0,F1301=0),"",D1301/F1301)</f>
        <v/>
      </c>
      <c r="J1301" t="str">
        <f>IF(OR(H1301="",I1301=""),"",IF(H1301=0,"",I1301/H1301-1))</f>
        <v/>
      </c>
      <c r="K1301" t="str">
        <f>IF($B1301="","",IFERROR(IF(G1301=0,-2E+300,CHOOSE(sortIdx,ROUND(D1301,0),IF(J1301="",-1E+300,ROUND(-J1301,6)),IF(J1301="",-1E+300,ROUND(J1301,6)))),-1.5E+300))</f>
        <v/>
      </c>
      <c r="L1301" t="str">
        <f>IF(K1301="","",RANK(K1301,$K$2:$K$3001,0)+COUNTIF($K$2:K1301,K1301)-1)</f>
        <v/>
      </c>
    </row>
    <row r="1302">
      <c r="B1302" t="str">
        <f>IFERROR(IF(A1302="","","="&amp;SUBSTITUTE(SUBSTITUTE(SUBSTITUTE(A1302,"~","~~"),"*","~*"),"?","~?")),"")</f>
        <v/>
      </c>
      <c r="C1302" t="str">
        <f>IF($B1302="","",SUMIFS(dAmt,dCust,$B1302,dPer,"&gt;="&amp;pyFrom,dPer,"&lt;="&amp;pyTo,dAmt,"&gt;-1E+300",dFlt1,critFlt1,dFlt2,critFlt2,dFlt3,critFlt3))</f>
        <v/>
      </c>
      <c r="D1302" t="str">
        <f>IF($B1302="","",SUMIFS(dAmt,dCust,$B1302,dPer,"&gt;="&amp;cyFrom,dPer,"&lt;="&amp;cyTo,dAmt,"&gt;-1E+300",dFlt1,critFlt1,dFlt2,critFlt2,dFlt3,critFlt3))</f>
        <v/>
      </c>
      <c r="E1302" t="str">
        <f>IF($B1302="","",SUMIFS(dQty,dCust,$B1302,dPer,"&gt;="&amp;pyFrom,dPer,"&lt;="&amp;pyTo,dQty,"&gt;-1E+300",dFlt1,critFlt1,dFlt2,critFlt2,dFlt3,critFlt3))</f>
        <v/>
      </c>
      <c r="F1302" t="str">
        <f>IF($B1302="","",SUMIFS(dQty,dCust,$B1302,dPer,"&gt;="&amp;cyFrom,dPer,"&lt;="&amp;cyTo,dQty,"&gt;-1E+300",dFlt1,critFlt1,dFlt2,critFlt2,dFlt3,critFlt3))</f>
        <v/>
      </c>
      <c r="G1302">
        <f>IF($B1302="",0,IFERROR(IF(OR(C1302&lt;&gt;0,D1302&lt;&gt;0,E1302&lt;&gt;0,F1302&lt;&gt;0),1,0),1))</f>
        <v>0</v>
      </c>
      <c r="H1302" t="str">
        <f>IF(OR(G1302=0,E1302=0),"",C1302/E1302)</f>
        <v/>
      </c>
      <c r="I1302" t="str">
        <f>IF(OR(G1302=0,F1302=0),"",D1302/F1302)</f>
        <v/>
      </c>
      <c r="J1302" t="str">
        <f>IF(OR(H1302="",I1302=""),"",IF(H1302=0,"",I1302/H1302-1))</f>
        <v/>
      </c>
      <c r="K1302" t="str">
        <f>IF($B1302="","",IFERROR(IF(G1302=0,-2E+300,CHOOSE(sortIdx,ROUND(D1302,0),IF(J1302="",-1E+300,ROUND(-J1302,6)),IF(J1302="",-1E+300,ROUND(J1302,6)))),-1.5E+300))</f>
        <v/>
      </c>
      <c r="L1302" t="str">
        <f>IF(K1302="","",RANK(K1302,$K$2:$K$3001,0)+COUNTIF($K$2:K1302,K1302)-1)</f>
        <v/>
      </c>
    </row>
    <row r="1303">
      <c r="B1303" t="str">
        <f>IFERROR(IF(A1303="","","="&amp;SUBSTITUTE(SUBSTITUTE(SUBSTITUTE(A1303,"~","~~"),"*","~*"),"?","~?")),"")</f>
        <v/>
      </c>
      <c r="C1303" t="str">
        <f>IF($B1303="","",SUMIFS(dAmt,dCust,$B1303,dPer,"&gt;="&amp;pyFrom,dPer,"&lt;="&amp;pyTo,dAmt,"&gt;-1E+300",dFlt1,critFlt1,dFlt2,critFlt2,dFlt3,critFlt3))</f>
        <v/>
      </c>
      <c r="D1303" t="str">
        <f>IF($B1303="","",SUMIFS(dAmt,dCust,$B1303,dPer,"&gt;="&amp;cyFrom,dPer,"&lt;="&amp;cyTo,dAmt,"&gt;-1E+300",dFlt1,critFlt1,dFlt2,critFlt2,dFlt3,critFlt3))</f>
        <v/>
      </c>
      <c r="E1303" t="str">
        <f>IF($B1303="","",SUMIFS(dQty,dCust,$B1303,dPer,"&gt;="&amp;pyFrom,dPer,"&lt;="&amp;pyTo,dQty,"&gt;-1E+300",dFlt1,critFlt1,dFlt2,critFlt2,dFlt3,critFlt3))</f>
        <v/>
      </c>
      <c r="F1303" t="str">
        <f>IF($B1303="","",SUMIFS(dQty,dCust,$B1303,dPer,"&gt;="&amp;cyFrom,dPer,"&lt;="&amp;cyTo,dQty,"&gt;-1E+300",dFlt1,critFlt1,dFlt2,critFlt2,dFlt3,critFlt3))</f>
        <v/>
      </c>
      <c r="G1303">
        <f>IF($B1303="",0,IFERROR(IF(OR(C1303&lt;&gt;0,D1303&lt;&gt;0,E1303&lt;&gt;0,F1303&lt;&gt;0),1,0),1))</f>
        <v>0</v>
      </c>
      <c r="H1303" t="str">
        <f>IF(OR(G1303=0,E1303=0),"",C1303/E1303)</f>
        <v/>
      </c>
      <c r="I1303" t="str">
        <f>IF(OR(G1303=0,F1303=0),"",D1303/F1303)</f>
        <v/>
      </c>
      <c r="J1303" t="str">
        <f>IF(OR(H1303="",I1303=""),"",IF(H1303=0,"",I1303/H1303-1))</f>
        <v/>
      </c>
      <c r="K1303" t="str">
        <f>IF($B1303="","",IFERROR(IF(G1303=0,-2E+300,CHOOSE(sortIdx,ROUND(D1303,0),IF(J1303="",-1E+300,ROUND(-J1303,6)),IF(J1303="",-1E+300,ROUND(J1303,6)))),-1.5E+300))</f>
        <v/>
      </c>
      <c r="L1303" t="str">
        <f>IF(K1303="","",RANK(K1303,$K$2:$K$3001,0)+COUNTIF($K$2:K1303,K1303)-1)</f>
        <v/>
      </c>
    </row>
    <row r="1304">
      <c r="B1304" t="str">
        <f>IFERROR(IF(A1304="","","="&amp;SUBSTITUTE(SUBSTITUTE(SUBSTITUTE(A1304,"~","~~"),"*","~*"),"?","~?")),"")</f>
        <v/>
      </c>
      <c r="C1304" t="str">
        <f>IF($B1304="","",SUMIFS(dAmt,dCust,$B1304,dPer,"&gt;="&amp;pyFrom,dPer,"&lt;="&amp;pyTo,dAmt,"&gt;-1E+300",dFlt1,critFlt1,dFlt2,critFlt2,dFlt3,critFlt3))</f>
        <v/>
      </c>
      <c r="D1304" t="str">
        <f>IF($B1304="","",SUMIFS(dAmt,dCust,$B1304,dPer,"&gt;="&amp;cyFrom,dPer,"&lt;="&amp;cyTo,dAmt,"&gt;-1E+300",dFlt1,critFlt1,dFlt2,critFlt2,dFlt3,critFlt3))</f>
        <v/>
      </c>
      <c r="E1304" t="str">
        <f>IF($B1304="","",SUMIFS(dQty,dCust,$B1304,dPer,"&gt;="&amp;pyFrom,dPer,"&lt;="&amp;pyTo,dQty,"&gt;-1E+300",dFlt1,critFlt1,dFlt2,critFlt2,dFlt3,critFlt3))</f>
        <v/>
      </c>
      <c r="F1304" t="str">
        <f>IF($B1304="","",SUMIFS(dQty,dCust,$B1304,dPer,"&gt;="&amp;cyFrom,dPer,"&lt;="&amp;cyTo,dQty,"&gt;-1E+300",dFlt1,critFlt1,dFlt2,critFlt2,dFlt3,critFlt3))</f>
        <v/>
      </c>
      <c r="G1304">
        <f>IF($B1304="",0,IFERROR(IF(OR(C1304&lt;&gt;0,D1304&lt;&gt;0,E1304&lt;&gt;0,F1304&lt;&gt;0),1,0),1))</f>
        <v>0</v>
      </c>
      <c r="H1304" t="str">
        <f>IF(OR(G1304=0,E1304=0),"",C1304/E1304)</f>
        <v/>
      </c>
      <c r="I1304" t="str">
        <f>IF(OR(G1304=0,F1304=0),"",D1304/F1304)</f>
        <v/>
      </c>
      <c r="J1304" t="str">
        <f>IF(OR(H1304="",I1304=""),"",IF(H1304=0,"",I1304/H1304-1))</f>
        <v/>
      </c>
      <c r="K1304" t="str">
        <f>IF($B1304="","",IFERROR(IF(G1304=0,-2E+300,CHOOSE(sortIdx,ROUND(D1304,0),IF(J1304="",-1E+300,ROUND(-J1304,6)),IF(J1304="",-1E+300,ROUND(J1304,6)))),-1.5E+300))</f>
        <v/>
      </c>
      <c r="L1304" t="str">
        <f>IF(K1304="","",RANK(K1304,$K$2:$K$3001,0)+COUNTIF($K$2:K1304,K1304)-1)</f>
        <v/>
      </c>
    </row>
    <row r="1305">
      <c r="B1305" t="str">
        <f>IFERROR(IF(A1305="","","="&amp;SUBSTITUTE(SUBSTITUTE(SUBSTITUTE(A1305,"~","~~"),"*","~*"),"?","~?")),"")</f>
        <v/>
      </c>
      <c r="C1305" t="str">
        <f>IF($B1305="","",SUMIFS(dAmt,dCust,$B1305,dPer,"&gt;="&amp;pyFrom,dPer,"&lt;="&amp;pyTo,dAmt,"&gt;-1E+300",dFlt1,critFlt1,dFlt2,critFlt2,dFlt3,critFlt3))</f>
        <v/>
      </c>
      <c r="D1305" t="str">
        <f>IF($B1305="","",SUMIFS(dAmt,dCust,$B1305,dPer,"&gt;="&amp;cyFrom,dPer,"&lt;="&amp;cyTo,dAmt,"&gt;-1E+300",dFlt1,critFlt1,dFlt2,critFlt2,dFlt3,critFlt3))</f>
        <v/>
      </c>
      <c r="E1305" t="str">
        <f>IF($B1305="","",SUMIFS(dQty,dCust,$B1305,dPer,"&gt;="&amp;pyFrom,dPer,"&lt;="&amp;pyTo,dQty,"&gt;-1E+300",dFlt1,critFlt1,dFlt2,critFlt2,dFlt3,critFlt3))</f>
        <v/>
      </c>
      <c r="F1305" t="str">
        <f>IF($B1305="","",SUMIFS(dQty,dCust,$B1305,dPer,"&gt;="&amp;cyFrom,dPer,"&lt;="&amp;cyTo,dQty,"&gt;-1E+300",dFlt1,critFlt1,dFlt2,critFlt2,dFlt3,critFlt3))</f>
        <v/>
      </c>
      <c r="G1305">
        <f>IF($B1305="",0,IFERROR(IF(OR(C1305&lt;&gt;0,D1305&lt;&gt;0,E1305&lt;&gt;0,F1305&lt;&gt;0),1,0),1))</f>
        <v>0</v>
      </c>
      <c r="H1305" t="str">
        <f>IF(OR(G1305=0,E1305=0),"",C1305/E1305)</f>
        <v/>
      </c>
      <c r="I1305" t="str">
        <f>IF(OR(G1305=0,F1305=0),"",D1305/F1305)</f>
        <v/>
      </c>
      <c r="J1305" t="str">
        <f>IF(OR(H1305="",I1305=""),"",IF(H1305=0,"",I1305/H1305-1))</f>
        <v/>
      </c>
      <c r="K1305" t="str">
        <f>IF($B1305="","",IFERROR(IF(G1305=0,-2E+300,CHOOSE(sortIdx,ROUND(D1305,0),IF(J1305="",-1E+300,ROUND(-J1305,6)),IF(J1305="",-1E+300,ROUND(J1305,6)))),-1.5E+300))</f>
        <v/>
      </c>
      <c r="L1305" t="str">
        <f>IF(K1305="","",RANK(K1305,$K$2:$K$3001,0)+COUNTIF($K$2:K1305,K1305)-1)</f>
        <v/>
      </c>
    </row>
    <row r="1306">
      <c r="B1306" t="str">
        <f>IFERROR(IF(A1306="","","="&amp;SUBSTITUTE(SUBSTITUTE(SUBSTITUTE(A1306,"~","~~"),"*","~*"),"?","~?")),"")</f>
        <v/>
      </c>
      <c r="C1306" t="str">
        <f>IF($B1306="","",SUMIFS(dAmt,dCust,$B1306,dPer,"&gt;="&amp;pyFrom,dPer,"&lt;="&amp;pyTo,dAmt,"&gt;-1E+300",dFlt1,critFlt1,dFlt2,critFlt2,dFlt3,critFlt3))</f>
        <v/>
      </c>
      <c r="D1306" t="str">
        <f>IF($B1306="","",SUMIFS(dAmt,dCust,$B1306,dPer,"&gt;="&amp;cyFrom,dPer,"&lt;="&amp;cyTo,dAmt,"&gt;-1E+300",dFlt1,critFlt1,dFlt2,critFlt2,dFlt3,critFlt3))</f>
        <v/>
      </c>
      <c r="E1306" t="str">
        <f>IF($B1306="","",SUMIFS(dQty,dCust,$B1306,dPer,"&gt;="&amp;pyFrom,dPer,"&lt;="&amp;pyTo,dQty,"&gt;-1E+300",dFlt1,critFlt1,dFlt2,critFlt2,dFlt3,critFlt3))</f>
        <v/>
      </c>
      <c r="F1306" t="str">
        <f>IF($B1306="","",SUMIFS(dQty,dCust,$B1306,dPer,"&gt;="&amp;cyFrom,dPer,"&lt;="&amp;cyTo,dQty,"&gt;-1E+300",dFlt1,critFlt1,dFlt2,critFlt2,dFlt3,critFlt3))</f>
        <v/>
      </c>
      <c r="G1306">
        <f>IF($B1306="",0,IFERROR(IF(OR(C1306&lt;&gt;0,D1306&lt;&gt;0,E1306&lt;&gt;0,F1306&lt;&gt;0),1,0),1))</f>
        <v>0</v>
      </c>
      <c r="H1306" t="str">
        <f>IF(OR(G1306=0,E1306=0),"",C1306/E1306)</f>
        <v/>
      </c>
      <c r="I1306" t="str">
        <f>IF(OR(G1306=0,F1306=0),"",D1306/F1306)</f>
        <v/>
      </c>
      <c r="J1306" t="str">
        <f>IF(OR(H1306="",I1306=""),"",IF(H1306=0,"",I1306/H1306-1))</f>
        <v/>
      </c>
      <c r="K1306" t="str">
        <f>IF($B1306="","",IFERROR(IF(G1306=0,-2E+300,CHOOSE(sortIdx,ROUND(D1306,0),IF(J1306="",-1E+300,ROUND(-J1306,6)),IF(J1306="",-1E+300,ROUND(J1306,6)))),-1.5E+300))</f>
        <v/>
      </c>
      <c r="L1306" t="str">
        <f>IF(K1306="","",RANK(K1306,$K$2:$K$3001,0)+COUNTIF($K$2:K1306,K1306)-1)</f>
        <v/>
      </c>
    </row>
    <row r="1307">
      <c r="B1307" t="str">
        <f>IFERROR(IF(A1307="","","="&amp;SUBSTITUTE(SUBSTITUTE(SUBSTITUTE(A1307,"~","~~"),"*","~*"),"?","~?")),"")</f>
        <v/>
      </c>
      <c r="C1307" t="str">
        <f>IF($B1307="","",SUMIFS(dAmt,dCust,$B1307,dPer,"&gt;="&amp;pyFrom,dPer,"&lt;="&amp;pyTo,dAmt,"&gt;-1E+300",dFlt1,critFlt1,dFlt2,critFlt2,dFlt3,critFlt3))</f>
        <v/>
      </c>
      <c r="D1307" t="str">
        <f>IF($B1307="","",SUMIFS(dAmt,dCust,$B1307,dPer,"&gt;="&amp;cyFrom,dPer,"&lt;="&amp;cyTo,dAmt,"&gt;-1E+300",dFlt1,critFlt1,dFlt2,critFlt2,dFlt3,critFlt3))</f>
        <v/>
      </c>
      <c r="E1307" t="str">
        <f>IF($B1307="","",SUMIFS(dQty,dCust,$B1307,dPer,"&gt;="&amp;pyFrom,dPer,"&lt;="&amp;pyTo,dQty,"&gt;-1E+300",dFlt1,critFlt1,dFlt2,critFlt2,dFlt3,critFlt3))</f>
        <v/>
      </c>
      <c r="F1307" t="str">
        <f>IF($B1307="","",SUMIFS(dQty,dCust,$B1307,dPer,"&gt;="&amp;cyFrom,dPer,"&lt;="&amp;cyTo,dQty,"&gt;-1E+300",dFlt1,critFlt1,dFlt2,critFlt2,dFlt3,critFlt3))</f>
        <v/>
      </c>
      <c r="G1307">
        <f>IF($B1307="",0,IFERROR(IF(OR(C1307&lt;&gt;0,D1307&lt;&gt;0,E1307&lt;&gt;0,F1307&lt;&gt;0),1,0),1))</f>
        <v>0</v>
      </c>
      <c r="H1307" t="str">
        <f>IF(OR(G1307=0,E1307=0),"",C1307/E1307)</f>
        <v/>
      </c>
      <c r="I1307" t="str">
        <f>IF(OR(G1307=0,F1307=0),"",D1307/F1307)</f>
        <v/>
      </c>
      <c r="J1307" t="str">
        <f>IF(OR(H1307="",I1307=""),"",IF(H1307=0,"",I1307/H1307-1))</f>
        <v/>
      </c>
      <c r="K1307" t="str">
        <f>IF($B1307="","",IFERROR(IF(G1307=0,-2E+300,CHOOSE(sortIdx,ROUND(D1307,0),IF(J1307="",-1E+300,ROUND(-J1307,6)),IF(J1307="",-1E+300,ROUND(J1307,6)))),-1.5E+300))</f>
        <v/>
      </c>
      <c r="L1307" t="str">
        <f>IF(K1307="","",RANK(K1307,$K$2:$K$3001,0)+COUNTIF($K$2:K1307,K1307)-1)</f>
        <v/>
      </c>
    </row>
    <row r="1308">
      <c r="B1308" t="str">
        <f>IFERROR(IF(A1308="","","="&amp;SUBSTITUTE(SUBSTITUTE(SUBSTITUTE(A1308,"~","~~"),"*","~*"),"?","~?")),"")</f>
        <v/>
      </c>
      <c r="C1308" t="str">
        <f>IF($B1308="","",SUMIFS(dAmt,dCust,$B1308,dPer,"&gt;="&amp;pyFrom,dPer,"&lt;="&amp;pyTo,dAmt,"&gt;-1E+300",dFlt1,critFlt1,dFlt2,critFlt2,dFlt3,critFlt3))</f>
        <v/>
      </c>
      <c r="D1308" t="str">
        <f>IF($B1308="","",SUMIFS(dAmt,dCust,$B1308,dPer,"&gt;="&amp;cyFrom,dPer,"&lt;="&amp;cyTo,dAmt,"&gt;-1E+300",dFlt1,critFlt1,dFlt2,critFlt2,dFlt3,critFlt3))</f>
        <v/>
      </c>
      <c r="E1308" t="str">
        <f>IF($B1308="","",SUMIFS(dQty,dCust,$B1308,dPer,"&gt;="&amp;pyFrom,dPer,"&lt;="&amp;pyTo,dQty,"&gt;-1E+300",dFlt1,critFlt1,dFlt2,critFlt2,dFlt3,critFlt3))</f>
        <v/>
      </c>
      <c r="F1308" t="str">
        <f>IF($B1308="","",SUMIFS(dQty,dCust,$B1308,dPer,"&gt;="&amp;cyFrom,dPer,"&lt;="&amp;cyTo,dQty,"&gt;-1E+300",dFlt1,critFlt1,dFlt2,critFlt2,dFlt3,critFlt3))</f>
        <v/>
      </c>
      <c r="G1308">
        <f>IF($B1308="",0,IFERROR(IF(OR(C1308&lt;&gt;0,D1308&lt;&gt;0,E1308&lt;&gt;0,F1308&lt;&gt;0),1,0),1))</f>
        <v>0</v>
      </c>
      <c r="H1308" t="str">
        <f>IF(OR(G1308=0,E1308=0),"",C1308/E1308)</f>
        <v/>
      </c>
      <c r="I1308" t="str">
        <f>IF(OR(G1308=0,F1308=0),"",D1308/F1308)</f>
        <v/>
      </c>
      <c r="J1308" t="str">
        <f>IF(OR(H1308="",I1308=""),"",IF(H1308=0,"",I1308/H1308-1))</f>
        <v/>
      </c>
      <c r="K1308" t="str">
        <f>IF($B1308="","",IFERROR(IF(G1308=0,-2E+300,CHOOSE(sortIdx,ROUND(D1308,0),IF(J1308="",-1E+300,ROUND(-J1308,6)),IF(J1308="",-1E+300,ROUND(J1308,6)))),-1.5E+300))</f>
        <v/>
      </c>
      <c r="L1308" t="str">
        <f>IF(K1308="","",RANK(K1308,$K$2:$K$3001,0)+COUNTIF($K$2:K1308,K1308)-1)</f>
        <v/>
      </c>
    </row>
    <row r="1309">
      <c r="B1309" t="str">
        <f>IFERROR(IF(A1309="","","="&amp;SUBSTITUTE(SUBSTITUTE(SUBSTITUTE(A1309,"~","~~"),"*","~*"),"?","~?")),"")</f>
        <v/>
      </c>
      <c r="C1309" t="str">
        <f>IF($B1309="","",SUMIFS(dAmt,dCust,$B1309,dPer,"&gt;="&amp;pyFrom,dPer,"&lt;="&amp;pyTo,dAmt,"&gt;-1E+300",dFlt1,critFlt1,dFlt2,critFlt2,dFlt3,critFlt3))</f>
        <v/>
      </c>
      <c r="D1309" t="str">
        <f>IF($B1309="","",SUMIFS(dAmt,dCust,$B1309,dPer,"&gt;="&amp;cyFrom,dPer,"&lt;="&amp;cyTo,dAmt,"&gt;-1E+300",dFlt1,critFlt1,dFlt2,critFlt2,dFlt3,critFlt3))</f>
        <v/>
      </c>
      <c r="E1309" t="str">
        <f>IF($B1309="","",SUMIFS(dQty,dCust,$B1309,dPer,"&gt;="&amp;pyFrom,dPer,"&lt;="&amp;pyTo,dQty,"&gt;-1E+300",dFlt1,critFlt1,dFlt2,critFlt2,dFlt3,critFlt3))</f>
        <v/>
      </c>
      <c r="F1309" t="str">
        <f>IF($B1309="","",SUMIFS(dQty,dCust,$B1309,dPer,"&gt;="&amp;cyFrom,dPer,"&lt;="&amp;cyTo,dQty,"&gt;-1E+300",dFlt1,critFlt1,dFlt2,critFlt2,dFlt3,critFlt3))</f>
        <v/>
      </c>
      <c r="G1309">
        <f>IF($B1309="",0,IFERROR(IF(OR(C1309&lt;&gt;0,D1309&lt;&gt;0,E1309&lt;&gt;0,F1309&lt;&gt;0),1,0),1))</f>
        <v>0</v>
      </c>
      <c r="H1309" t="str">
        <f>IF(OR(G1309=0,E1309=0),"",C1309/E1309)</f>
        <v/>
      </c>
      <c r="I1309" t="str">
        <f>IF(OR(G1309=0,F1309=0),"",D1309/F1309)</f>
        <v/>
      </c>
      <c r="J1309" t="str">
        <f>IF(OR(H1309="",I1309=""),"",IF(H1309=0,"",I1309/H1309-1))</f>
        <v/>
      </c>
      <c r="K1309" t="str">
        <f>IF($B1309="","",IFERROR(IF(G1309=0,-2E+300,CHOOSE(sortIdx,ROUND(D1309,0),IF(J1309="",-1E+300,ROUND(-J1309,6)),IF(J1309="",-1E+300,ROUND(J1309,6)))),-1.5E+300))</f>
        <v/>
      </c>
      <c r="L1309" t="str">
        <f>IF(K1309="","",RANK(K1309,$K$2:$K$3001,0)+COUNTIF($K$2:K1309,K1309)-1)</f>
        <v/>
      </c>
    </row>
    <row r="1310">
      <c r="B1310" t="str">
        <f>IFERROR(IF(A1310="","","="&amp;SUBSTITUTE(SUBSTITUTE(SUBSTITUTE(A1310,"~","~~"),"*","~*"),"?","~?")),"")</f>
        <v/>
      </c>
      <c r="C1310" t="str">
        <f>IF($B1310="","",SUMIFS(dAmt,dCust,$B1310,dPer,"&gt;="&amp;pyFrom,dPer,"&lt;="&amp;pyTo,dAmt,"&gt;-1E+300",dFlt1,critFlt1,dFlt2,critFlt2,dFlt3,critFlt3))</f>
        <v/>
      </c>
      <c r="D1310" t="str">
        <f>IF($B1310="","",SUMIFS(dAmt,dCust,$B1310,dPer,"&gt;="&amp;cyFrom,dPer,"&lt;="&amp;cyTo,dAmt,"&gt;-1E+300",dFlt1,critFlt1,dFlt2,critFlt2,dFlt3,critFlt3))</f>
        <v/>
      </c>
      <c r="E1310" t="str">
        <f>IF($B1310="","",SUMIFS(dQty,dCust,$B1310,dPer,"&gt;="&amp;pyFrom,dPer,"&lt;="&amp;pyTo,dQty,"&gt;-1E+300",dFlt1,critFlt1,dFlt2,critFlt2,dFlt3,critFlt3))</f>
        <v/>
      </c>
      <c r="F1310" t="str">
        <f>IF($B1310="","",SUMIFS(dQty,dCust,$B1310,dPer,"&gt;="&amp;cyFrom,dPer,"&lt;="&amp;cyTo,dQty,"&gt;-1E+300",dFlt1,critFlt1,dFlt2,critFlt2,dFlt3,critFlt3))</f>
        <v/>
      </c>
      <c r="G1310">
        <f>IF($B1310="",0,IFERROR(IF(OR(C1310&lt;&gt;0,D1310&lt;&gt;0,E1310&lt;&gt;0,F1310&lt;&gt;0),1,0),1))</f>
        <v>0</v>
      </c>
      <c r="H1310" t="str">
        <f>IF(OR(G1310=0,E1310=0),"",C1310/E1310)</f>
        <v/>
      </c>
      <c r="I1310" t="str">
        <f>IF(OR(G1310=0,F1310=0),"",D1310/F1310)</f>
        <v/>
      </c>
      <c r="J1310" t="str">
        <f>IF(OR(H1310="",I1310=""),"",IF(H1310=0,"",I1310/H1310-1))</f>
        <v/>
      </c>
      <c r="K1310" t="str">
        <f>IF($B1310="","",IFERROR(IF(G1310=0,-2E+300,CHOOSE(sortIdx,ROUND(D1310,0),IF(J1310="",-1E+300,ROUND(-J1310,6)),IF(J1310="",-1E+300,ROUND(J1310,6)))),-1.5E+300))</f>
        <v/>
      </c>
      <c r="L1310" t="str">
        <f>IF(K1310="","",RANK(K1310,$K$2:$K$3001,0)+COUNTIF($K$2:K1310,K1310)-1)</f>
        <v/>
      </c>
    </row>
    <row r="1311">
      <c r="B1311" t="str">
        <f>IFERROR(IF(A1311="","","="&amp;SUBSTITUTE(SUBSTITUTE(SUBSTITUTE(A1311,"~","~~"),"*","~*"),"?","~?")),"")</f>
        <v/>
      </c>
      <c r="C1311" t="str">
        <f>IF($B1311="","",SUMIFS(dAmt,dCust,$B1311,dPer,"&gt;="&amp;pyFrom,dPer,"&lt;="&amp;pyTo,dAmt,"&gt;-1E+300",dFlt1,critFlt1,dFlt2,critFlt2,dFlt3,critFlt3))</f>
        <v/>
      </c>
      <c r="D1311" t="str">
        <f>IF($B1311="","",SUMIFS(dAmt,dCust,$B1311,dPer,"&gt;="&amp;cyFrom,dPer,"&lt;="&amp;cyTo,dAmt,"&gt;-1E+300",dFlt1,critFlt1,dFlt2,critFlt2,dFlt3,critFlt3))</f>
        <v/>
      </c>
      <c r="E1311" t="str">
        <f>IF($B1311="","",SUMIFS(dQty,dCust,$B1311,dPer,"&gt;="&amp;pyFrom,dPer,"&lt;="&amp;pyTo,dQty,"&gt;-1E+300",dFlt1,critFlt1,dFlt2,critFlt2,dFlt3,critFlt3))</f>
        <v/>
      </c>
      <c r="F1311" t="str">
        <f>IF($B1311="","",SUMIFS(dQty,dCust,$B1311,dPer,"&gt;="&amp;cyFrom,dPer,"&lt;="&amp;cyTo,dQty,"&gt;-1E+300",dFlt1,critFlt1,dFlt2,critFlt2,dFlt3,critFlt3))</f>
        <v/>
      </c>
      <c r="G1311">
        <f>IF($B1311="",0,IFERROR(IF(OR(C1311&lt;&gt;0,D1311&lt;&gt;0,E1311&lt;&gt;0,F1311&lt;&gt;0),1,0),1))</f>
        <v>0</v>
      </c>
      <c r="H1311" t="str">
        <f>IF(OR(G1311=0,E1311=0),"",C1311/E1311)</f>
        <v/>
      </c>
      <c r="I1311" t="str">
        <f>IF(OR(G1311=0,F1311=0),"",D1311/F1311)</f>
        <v/>
      </c>
      <c r="J1311" t="str">
        <f>IF(OR(H1311="",I1311=""),"",IF(H1311=0,"",I1311/H1311-1))</f>
        <v/>
      </c>
      <c r="K1311" t="str">
        <f>IF($B1311="","",IFERROR(IF(G1311=0,-2E+300,CHOOSE(sortIdx,ROUND(D1311,0),IF(J1311="",-1E+300,ROUND(-J1311,6)),IF(J1311="",-1E+300,ROUND(J1311,6)))),-1.5E+300))</f>
        <v/>
      </c>
      <c r="L1311" t="str">
        <f>IF(K1311="","",RANK(K1311,$K$2:$K$3001,0)+COUNTIF($K$2:K1311,K1311)-1)</f>
        <v/>
      </c>
    </row>
    <row r="1312">
      <c r="B1312" t="str">
        <f>IFERROR(IF(A1312="","","="&amp;SUBSTITUTE(SUBSTITUTE(SUBSTITUTE(A1312,"~","~~"),"*","~*"),"?","~?")),"")</f>
        <v/>
      </c>
      <c r="C1312" t="str">
        <f>IF($B1312="","",SUMIFS(dAmt,dCust,$B1312,dPer,"&gt;="&amp;pyFrom,dPer,"&lt;="&amp;pyTo,dAmt,"&gt;-1E+300",dFlt1,critFlt1,dFlt2,critFlt2,dFlt3,critFlt3))</f>
        <v/>
      </c>
      <c r="D1312" t="str">
        <f>IF($B1312="","",SUMIFS(dAmt,dCust,$B1312,dPer,"&gt;="&amp;cyFrom,dPer,"&lt;="&amp;cyTo,dAmt,"&gt;-1E+300",dFlt1,critFlt1,dFlt2,critFlt2,dFlt3,critFlt3))</f>
        <v/>
      </c>
      <c r="E1312" t="str">
        <f>IF($B1312="","",SUMIFS(dQty,dCust,$B1312,dPer,"&gt;="&amp;pyFrom,dPer,"&lt;="&amp;pyTo,dQty,"&gt;-1E+300",dFlt1,critFlt1,dFlt2,critFlt2,dFlt3,critFlt3))</f>
        <v/>
      </c>
      <c r="F1312" t="str">
        <f>IF($B1312="","",SUMIFS(dQty,dCust,$B1312,dPer,"&gt;="&amp;cyFrom,dPer,"&lt;="&amp;cyTo,dQty,"&gt;-1E+300",dFlt1,critFlt1,dFlt2,critFlt2,dFlt3,critFlt3))</f>
        <v/>
      </c>
      <c r="G1312">
        <f>IF($B1312="",0,IFERROR(IF(OR(C1312&lt;&gt;0,D1312&lt;&gt;0,E1312&lt;&gt;0,F1312&lt;&gt;0),1,0),1))</f>
        <v>0</v>
      </c>
      <c r="H1312" t="str">
        <f>IF(OR(G1312=0,E1312=0),"",C1312/E1312)</f>
        <v/>
      </c>
      <c r="I1312" t="str">
        <f>IF(OR(G1312=0,F1312=0),"",D1312/F1312)</f>
        <v/>
      </c>
      <c r="J1312" t="str">
        <f>IF(OR(H1312="",I1312=""),"",IF(H1312=0,"",I1312/H1312-1))</f>
        <v/>
      </c>
      <c r="K1312" t="str">
        <f>IF($B1312="","",IFERROR(IF(G1312=0,-2E+300,CHOOSE(sortIdx,ROUND(D1312,0),IF(J1312="",-1E+300,ROUND(-J1312,6)),IF(J1312="",-1E+300,ROUND(J1312,6)))),-1.5E+300))</f>
        <v/>
      </c>
      <c r="L1312" t="str">
        <f>IF(K1312="","",RANK(K1312,$K$2:$K$3001,0)+COUNTIF($K$2:K1312,K1312)-1)</f>
        <v/>
      </c>
    </row>
    <row r="1313">
      <c r="B1313" t="str">
        <f>IFERROR(IF(A1313="","","="&amp;SUBSTITUTE(SUBSTITUTE(SUBSTITUTE(A1313,"~","~~"),"*","~*"),"?","~?")),"")</f>
        <v/>
      </c>
      <c r="C1313" t="str">
        <f>IF($B1313="","",SUMIFS(dAmt,dCust,$B1313,dPer,"&gt;="&amp;pyFrom,dPer,"&lt;="&amp;pyTo,dAmt,"&gt;-1E+300",dFlt1,critFlt1,dFlt2,critFlt2,dFlt3,critFlt3))</f>
        <v/>
      </c>
      <c r="D1313" t="str">
        <f>IF($B1313="","",SUMIFS(dAmt,dCust,$B1313,dPer,"&gt;="&amp;cyFrom,dPer,"&lt;="&amp;cyTo,dAmt,"&gt;-1E+300",dFlt1,critFlt1,dFlt2,critFlt2,dFlt3,critFlt3))</f>
        <v/>
      </c>
      <c r="E1313" t="str">
        <f>IF($B1313="","",SUMIFS(dQty,dCust,$B1313,dPer,"&gt;="&amp;pyFrom,dPer,"&lt;="&amp;pyTo,dQty,"&gt;-1E+300",dFlt1,critFlt1,dFlt2,critFlt2,dFlt3,critFlt3))</f>
        <v/>
      </c>
      <c r="F1313" t="str">
        <f>IF($B1313="","",SUMIFS(dQty,dCust,$B1313,dPer,"&gt;="&amp;cyFrom,dPer,"&lt;="&amp;cyTo,dQty,"&gt;-1E+300",dFlt1,critFlt1,dFlt2,critFlt2,dFlt3,critFlt3))</f>
        <v/>
      </c>
      <c r="G1313">
        <f>IF($B1313="",0,IFERROR(IF(OR(C1313&lt;&gt;0,D1313&lt;&gt;0,E1313&lt;&gt;0,F1313&lt;&gt;0),1,0),1))</f>
        <v>0</v>
      </c>
      <c r="H1313" t="str">
        <f>IF(OR(G1313=0,E1313=0),"",C1313/E1313)</f>
        <v/>
      </c>
      <c r="I1313" t="str">
        <f>IF(OR(G1313=0,F1313=0),"",D1313/F1313)</f>
        <v/>
      </c>
      <c r="J1313" t="str">
        <f>IF(OR(H1313="",I1313=""),"",IF(H1313=0,"",I1313/H1313-1))</f>
        <v/>
      </c>
      <c r="K1313" t="str">
        <f>IF($B1313="","",IFERROR(IF(G1313=0,-2E+300,CHOOSE(sortIdx,ROUND(D1313,0),IF(J1313="",-1E+300,ROUND(-J1313,6)),IF(J1313="",-1E+300,ROUND(J1313,6)))),-1.5E+300))</f>
        <v/>
      </c>
      <c r="L1313" t="str">
        <f>IF(K1313="","",RANK(K1313,$K$2:$K$3001,0)+COUNTIF($K$2:K1313,K1313)-1)</f>
        <v/>
      </c>
    </row>
    <row r="1314">
      <c r="B1314" t="str">
        <f>IFERROR(IF(A1314="","","="&amp;SUBSTITUTE(SUBSTITUTE(SUBSTITUTE(A1314,"~","~~"),"*","~*"),"?","~?")),"")</f>
        <v/>
      </c>
      <c r="C1314" t="str">
        <f>IF($B1314="","",SUMIFS(dAmt,dCust,$B1314,dPer,"&gt;="&amp;pyFrom,dPer,"&lt;="&amp;pyTo,dAmt,"&gt;-1E+300",dFlt1,critFlt1,dFlt2,critFlt2,dFlt3,critFlt3))</f>
        <v/>
      </c>
      <c r="D1314" t="str">
        <f>IF($B1314="","",SUMIFS(dAmt,dCust,$B1314,dPer,"&gt;="&amp;cyFrom,dPer,"&lt;="&amp;cyTo,dAmt,"&gt;-1E+300",dFlt1,critFlt1,dFlt2,critFlt2,dFlt3,critFlt3))</f>
        <v/>
      </c>
      <c r="E1314" t="str">
        <f>IF($B1314="","",SUMIFS(dQty,dCust,$B1314,dPer,"&gt;="&amp;pyFrom,dPer,"&lt;="&amp;pyTo,dQty,"&gt;-1E+300",dFlt1,critFlt1,dFlt2,critFlt2,dFlt3,critFlt3))</f>
        <v/>
      </c>
      <c r="F1314" t="str">
        <f>IF($B1314="","",SUMIFS(dQty,dCust,$B1314,dPer,"&gt;="&amp;cyFrom,dPer,"&lt;="&amp;cyTo,dQty,"&gt;-1E+300",dFlt1,critFlt1,dFlt2,critFlt2,dFlt3,critFlt3))</f>
        <v/>
      </c>
      <c r="G1314">
        <f>IF($B1314="",0,IFERROR(IF(OR(C1314&lt;&gt;0,D1314&lt;&gt;0,E1314&lt;&gt;0,F1314&lt;&gt;0),1,0),1))</f>
        <v>0</v>
      </c>
      <c r="H1314" t="str">
        <f>IF(OR(G1314=0,E1314=0),"",C1314/E1314)</f>
        <v/>
      </c>
      <c r="I1314" t="str">
        <f>IF(OR(G1314=0,F1314=0),"",D1314/F1314)</f>
        <v/>
      </c>
      <c r="J1314" t="str">
        <f>IF(OR(H1314="",I1314=""),"",IF(H1314=0,"",I1314/H1314-1))</f>
        <v/>
      </c>
      <c r="K1314" t="str">
        <f>IF($B1314="","",IFERROR(IF(G1314=0,-2E+300,CHOOSE(sortIdx,ROUND(D1314,0),IF(J1314="",-1E+300,ROUND(-J1314,6)),IF(J1314="",-1E+300,ROUND(J1314,6)))),-1.5E+300))</f>
        <v/>
      </c>
      <c r="L1314" t="str">
        <f>IF(K1314="","",RANK(K1314,$K$2:$K$3001,0)+COUNTIF($K$2:K1314,K1314)-1)</f>
        <v/>
      </c>
    </row>
    <row r="1315">
      <c r="B1315" t="str">
        <f>IFERROR(IF(A1315="","","="&amp;SUBSTITUTE(SUBSTITUTE(SUBSTITUTE(A1315,"~","~~"),"*","~*"),"?","~?")),"")</f>
        <v/>
      </c>
      <c r="C1315" t="str">
        <f>IF($B1315="","",SUMIFS(dAmt,dCust,$B1315,dPer,"&gt;="&amp;pyFrom,dPer,"&lt;="&amp;pyTo,dAmt,"&gt;-1E+300",dFlt1,critFlt1,dFlt2,critFlt2,dFlt3,critFlt3))</f>
        <v/>
      </c>
      <c r="D1315" t="str">
        <f>IF($B1315="","",SUMIFS(dAmt,dCust,$B1315,dPer,"&gt;="&amp;cyFrom,dPer,"&lt;="&amp;cyTo,dAmt,"&gt;-1E+300",dFlt1,critFlt1,dFlt2,critFlt2,dFlt3,critFlt3))</f>
        <v/>
      </c>
      <c r="E1315" t="str">
        <f>IF($B1315="","",SUMIFS(dQty,dCust,$B1315,dPer,"&gt;="&amp;pyFrom,dPer,"&lt;="&amp;pyTo,dQty,"&gt;-1E+300",dFlt1,critFlt1,dFlt2,critFlt2,dFlt3,critFlt3))</f>
        <v/>
      </c>
      <c r="F1315" t="str">
        <f>IF($B1315="","",SUMIFS(dQty,dCust,$B1315,dPer,"&gt;="&amp;cyFrom,dPer,"&lt;="&amp;cyTo,dQty,"&gt;-1E+300",dFlt1,critFlt1,dFlt2,critFlt2,dFlt3,critFlt3))</f>
        <v/>
      </c>
      <c r="G1315">
        <f>IF($B1315="",0,IFERROR(IF(OR(C1315&lt;&gt;0,D1315&lt;&gt;0,E1315&lt;&gt;0,F1315&lt;&gt;0),1,0),1))</f>
        <v>0</v>
      </c>
      <c r="H1315" t="str">
        <f>IF(OR(G1315=0,E1315=0),"",C1315/E1315)</f>
        <v/>
      </c>
      <c r="I1315" t="str">
        <f>IF(OR(G1315=0,F1315=0),"",D1315/F1315)</f>
        <v/>
      </c>
      <c r="J1315" t="str">
        <f>IF(OR(H1315="",I1315=""),"",IF(H1315=0,"",I1315/H1315-1))</f>
        <v/>
      </c>
      <c r="K1315" t="str">
        <f>IF($B1315="","",IFERROR(IF(G1315=0,-2E+300,CHOOSE(sortIdx,ROUND(D1315,0),IF(J1315="",-1E+300,ROUND(-J1315,6)),IF(J1315="",-1E+300,ROUND(J1315,6)))),-1.5E+300))</f>
        <v/>
      </c>
      <c r="L1315" t="str">
        <f>IF(K1315="","",RANK(K1315,$K$2:$K$3001,0)+COUNTIF($K$2:K1315,K1315)-1)</f>
        <v/>
      </c>
    </row>
    <row r="1316">
      <c r="B1316" t="str">
        <f>IFERROR(IF(A1316="","","="&amp;SUBSTITUTE(SUBSTITUTE(SUBSTITUTE(A1316,"~","~~"),"*","~*"),"?","~?")),"")</f>
        <v/>
      </c>
      <c r="C1316" t="str">
        <f>IF($B1316="","",SUMIFS(dAmt,dCust,$B1316,dPer,"&gt;="&amp;pyFrom,dPer,"&lt;="&amp;pyTo,dAmt,"&gt;-1E+300",dFlt1,critFlt1,dFlt2,critFlt2,dFlt3,critFlt3))</f>
        <v/>
      </c>
      <c r="D1316" t="str">
        <f>IF($B1316="","",SUMIFS(dAmt,dCust,$B1316,dPer,"&gt;="&amp;cyFrom,dPer,"&lt;="&amp;cyTo,dAmt,"&gt;-1E+300",dFlt1,critFlt1,dFlt2,critFlt2,dFlt3,critFlt3))</f>
        <v/>
      </c>
      <c r="E1316" t="str">
        <f>IF($B1316="","",SUMIFS(dQty,dCust,$B1316,dPer,"&gt;="&amp;pyFrom,dPer,"&lt;="&amp;pyTo,dQty,"&gt;-1E+300",dFlt1,critFlt1,dFlt2,critFlt2,dFlt3,critFlt3))</f>
        <v/>
      </c>
      <c r="F1316" t="str">
        <f>IF($B1316="","",SUMIFS(dQty,dCust,$B1316,dPer,"&gt;="&amp;cyFrom,dPer,"&lt;="&amp;cyTo,dQty,"&gt;-1E+300",dFlt1,critFlt1,dFlt2,critFlt2,dFlt3,critFlt3))</f>
        <v/>
      </c>
      <c r="G1316">
        <f>IF($B1316="",0,IFERROR(IF(OR(C1316&lt;&gt;0,D1316&lt;&gt;0,E1316&lt;&gt;0,F1316&lt;&gt;0),1,0),1))</f>
        <v>0</v>
      </c>
      <c r="H1316" t="str">
        <f>IF(OR(G1316=0,E1316=0),"",C1316/E1316)</f>
        <v/>
      </c>
      <c r="I1316" t="str">
        <f>IF(OR(G1316=0,F1316=0),"",D1316/F1316)</f>
        <v/>
      </c>
      <c r="J1316" t="str">
        <f>IF(OR(H1316="",I1316=""),"",IF(H1316=0,"",I1316/H1316-1))</f>
        <v/>
      </c>
      <c r="K1316" t="str">
        <f>IF($B1316="","",IFERROR(IF(G1316=0,-2E+300,CHOOSE(sortIdx,ROUND(D1316,0),IF(J1316="",-1E+300,ROUND(-J1316,6)),IF(J1316="",-1E+300,ROUND(J1316,6)))),-1.5E+300))</f>
        <v/>
      </c>
      <c r="L1316" t="str">
        <f>IF(K1316="","",RANK(K1316,$K$2:$K$3001,0)+COUNTIF($K$2:K1316,K1316)-1)</f>
        <v/>
      </c>
    </row>
    <row r="1317">
      <c r="B1317" t="str">
        <f>IFERROR(IF(A1317="","","="&amp;SUBSTITUTE(SUBSTITUTE(SUBSTITUTE(A1317,"~","~~"),"*","~*"),"?","~?")),"")</f>
        <v/>
      </c>
      <c r="C1317" t="str">
        <f>IF($B1317="","",SUMIFS(dAmt,dCust,$B1317,dPer,"&gt;="&amp;pyFrom,dPer,"&lt;="&amp;pyTo,dAmt,"&gt;-1E+300",dFlt1,critFlt1,dFlt2,critFlt2,dFlt3,critFlt3))</f>
        <v/>
      </c>
      <c r="D1317" t="str">
        <f>IF($B1317="","",SUMIFS(dAmt,dCust,$B1317,dPer,"&gt;="&amp;cyFrom,dPer,"&lt;="&amp;cyTo,dAmt,"&gt;-1E+300",dFlt1,critFlt1,dFlt2,critFlt2,dFlt3,critFlt3))</f>
        <v/>
      </c>
      <c r="E1317" t="str">
        <f>IF($B1317="","",SUMIFS(dQty,dCust,$B1317,dPer,"&gt;="&amp;pyFrom,dPer,"&lt;="&amp;pyTo,dQty,"&gt;-1E+300",dFlt1,critFlt1,dFlt2,critFlt2,dFlt3,critFlt3))</f>
        <v/>
      </c>
      <c r="F1317" t="str">
        <f>IF($B1317="","",SUMIFS(dQty,dCust,$B1317,dPer,"&gt;="&amp;cyFrom,dPer,"&lt;="&amp;cyTo,dQty,"&gt;-1E+300",dFlt1,critFlt1,dFlt2,critFlt2,dFlt3,critFlt3))</f>
        <v/>
      </c>
      <c r="G1317">
        <f>IF($B1317="",0,IFERROR(IF(OR(C1317&lt;&gt;0,D1317&lt;&gt;0,E1317&lt;&gt;0,F1317&lt;&gt;0),1,0),1))</f>
        <v>0</v>
      </c>
      <c r="H1317" t="str">
        <f>IF(OR(G1317=0,E1317=0),"",C1317/E1317)</f>
        <v/>
      </c>
      <c r="I1317" t="str">
        <f>IF(OR(G1317=0,F1317=0),"",D1317/F1317)</f>
        <v/>
      </c>
      <c r="J1317" t="str">
        <f>IF(OR(H1317="",I1317=""),"",IF(H1317=0,"",I1317/H1317-1))</f>
        <v/>
      </c>
      <c r="K1317" t="str">
        <f>IF($B1317="","",IFERROR(IF(G1317=0,-2E+300,CHOOSE(sortIdx,ROUND(D1317,0),IF(J1317="",-1E+300,ROUND(-J1317,6)),IF(J1317="",-1E+300,ROUND(J1317,6)))),-1.5E+300))</f>
        <v/>
      </c>
      <c r="L1317" t="str">
        <f>IF(K1317="","",RANK(K1317,$K$2:$K$3001,0)+COUNTIF($K$2:K1317,K1317)-1)</f>
        <v/>
      </c>
    </row>
    <row r="1318">
      <c r="B1318" t="str">
        <f>IFERROR(IF(A1318="","","="&amp;SUBSTITUTE(SUBSTITUTE(SUBSTITUTE(A1318,"~","~~"),"*","~*"),"?","~?")),"")</f>
        <v/>
      </c>
      <c r="C1318" t="str">
        <f>IF($B1318="","",SUMIFS(dAmt,dCust,$B1318,dPer,"&gt;="&amp;pyFrom,dPer,"&lt;="&amp;pyTo,dAmt,"&gt;-1E+300",dFlt1,critFlt1,dFlt2,critFlt2,dFlt3,critFlt3))</f>
        <v/>
      </c>
      <c r="D1318" t="str">
        <f>IF($B1318="","",SUMIFS(dAmt,dCust,$B1318,dPer,"&gt;="&amp;cyFrom,dPer,"&lt;="&amp;cyTo,dAmt,"&gt;-1E+300",dFlt1,critFlt1,dFlt2,critFlt2,dFlt3,critFlt3))</f>
        <v/>
      </c>
      <c r="E1318" t="str">
        <f>IF($B1318="","",SUMIFS(dQty,dCust,$B1318,dPer,"&gt;="&amp;pyFrom,dPer,"&lt;="&amp;pyTo,dQty,"&gt;-1E+300",dFlt1,critFlt1,dFlt2,critFlt2,dFlt3,critFlt3))</f>
        <v/>
      </c>
      <c r="F1318" t="str">
        <f>IF($B1318="","",SUMIFS(dQty,dCust,$B1318,dPer,"&gt;="&amp;cyFrom,dPer,"&lt;="&amp;cyTo,dQty,"&gt;-1E+300",dFlt1,critFlt1,dFlt2,critFlt2,dFlt3,critFlt3))</f>
        <v/>
      </c>
      <c r="G1318">
        <f>IF($B1318="",0,IFERROR(IF(OR(C1318&lt;&gt;0,D1318&lt;&gt;0,E1318&lt;&gt;0,F1318&lt;&gt;0),1,0),1))</f>
        <v>0</v>
      </c>
      <c r="H1318" t="str">
        <f>IF(OR(G1318=0,E1318=0),"",C1318/E1318)</f>
        <v/>
      </c>
      <c r="I1318" t="str">
        <f>IF(OR(G1318=0,F1318=0),"",D1318/F1318)</f>
        <v/>
      </c>
      <c r="J1318" t="str">
        <f>IF(OR(H1318="",I1318=""),"",IF(H1318=0,"",I1318/H1318-1))</f>
        <v/>
      </c>
      <c r="K1318" t="str">
        <f>IF($B1318="","",IFERROR(IF(G1318=0,-2E+300,CHOOSE(sortIdx,ROUND(D1318,0),IF(J1318="",-1E+300,ROUND(-J1318,6)),IF(J1318="",-1E+300,ROUND(J1318,6)))),-1.5E+300))</f>
        <v/>
      </c>
      <c r="L1318" t="str">
        <f>IF(K1318="","",RANK(K1318,$K$2:$K$3001,0)+COUNTIF($K$2:K1318,K1318)-1)</f>
        <v/>
      </c>
    </row>
    <row r="1319">
      <c r="B1319" t="str">
        <f>IFERROR(IF(A1319="","","="&amp;SUBSTITUTE(SUBSTITUTE(SUBSTITUTE(A1319,"~","~~"),"*","~*"),"?","~?")),"")</f>
        <v/>
      </c>
      <c r="C1319" t="str">
        <f>IF($B1319="","",SUMIFS(dAmt,dCust,$B1319,dPer,"&gt;="&amp;pyFrom,dPer,"&lt;="&amp;pyTo,dAmt,"&gt;-1E+300",dFlt1,critFlt1,dFlt2,critFlt2,dFlt3,critFlt3))</f>
        <v/>
      </c>
      <c r="D1319" t="str">
        <f>IF($B1319="","",SUMIFS(dAmt,dCust,$B1319,dPer,"&gt;="&amp;cyFrom,dPer,"&lt;="&amp;cyTo,dAmt,"&gt;-1E+300",dFlt1,critFlt1,dFlt2,critFlt2,dFlt3,critFlt3))</f>
        <v/>
      </c>
      <c r="E1319" t="str">
        <f>IF($B1319="","",SUMIFS(dQty,dCust,$B1319,dPer,"&gt;="&amp;pyFrom,dPer,"&lt;="&amp;pyTo,dQty,"&gt;-1E+300",dFlt1,critFlt1,dFlt2,critFlt2,dFlt3,critFlt3))</f>
        <v/>
      </c>
      <c r="F1319" t="str">
        <f>IF($B1319="","",SUMIFS(dQty,dCust,$B1319,dPer,"&gt;="&amp;cyFrom,dPer,"&lt;="&amp;cyTo,dQty,"&gt;-1E+300",dFlt1,critFlt1,dFlt2,critFlt2,dFlt3,critFlt3))</f>
        <v/>
      </c>
      <c r="G1319">
        <f>IF($B1319="",0,IFERROR(IF(OR(C1319&lt;&gt;0,D1319&lt;&gt;0,E1319&lt;&gt;0,F1319&lt;&gt;0),1,0),1))</f>
        <v>0</v>
      </c>
      <c r="H1319" t="str">
        <f>IF(OR(G1319=0,E1319=0),"",C1319/E1319)</f>
        <v/>
      </c>
      <c r="I1319" t="str">
        <f>IF(OR(G1319=0,F1319=0),"",D1319/F1319)</f>
        <v/>
      </c>
      <c r="J1319" t="str">
        <f>IF(OR(H1319="",I1319=""),"",IF(H1319=0,"",I1319/H1319-1))</f>
        <v/>
      </c>
      <c r="K1319" t="str">
        <f>IF($B1319="","",IFERROR(IF(G1319=0,-2E+300,CHOOSE(sortIdx,ROUND(D1319,0),IF(J1319="",-1E+300,ROUND(-J1319,6)),IF(J1319="",-1E+300,ROUND(J1319,6)))),-1.5E+300))</f>
        <v/>
      </c>
      <c r="L1319" t="str">
        <f>IF(K1319="","",RANK(K1319,$K$2:$K$3001,0)+COUNTIF($K$2:K1319,K1319)-1)</f>
        <v/>
      </c>
    </row>
    <row r="1320">
      <c r="B1320" t="str">
        <f>IFERROR(IF(A1320="","","="&amp;SUBSTITUTE(SUBSTITUTE(SUBSTITUTE(A1320,"~","~~"),"*","~*"),"?","~?")),"")</f>
        <v/>
      </c>
      <c r="C1320" t="str">
        <f>IF($B1320="","",SUMIFS(dAmt,dCust,$B1320,dPer,"&gt;="&amp;pyFrom,dPer,"&lt;="&amp;pyTo,dAmt,"&gt;-1E+300",dFlt1,critFlt1,dFlt2,critFlt2,dFlt3,critFlt3))</f>
        <v/>
      </c>
      <c r="D1320" t="str">
        <f>IF($B1320="","",SUMIFS(dAmt,dCust,$B1320,dPer,"&gt;="&amp;cyFrom,dPer,"&lt;="&amp;cyTo,dAmt,"&gt;-1E+300",dFlt1,critFlt1,dFlt2,critFlt2,dFlt3,critFlt3))</f>
        <v/>
      </c>
      <c r="E1320" t="str">
        <f>IF($B1320="","",SUMIFS(dQty,dCust,$B1320,dPer,"&gt;="&amp;pyFrom,dPer,"&lt;="&amp;pyTo,dQty,"&gt;-1E+300",dFlt1,critFlt1,dFlt2,critFlt2,dFlt3,critFlt3))</f>
        <v/>
      </c>
      <c r="F1320" t="str">
        <f>IF($B1320="","",SUMIFS(dQty,dCust,$B1320,dPer,"&gt;="&amp;cyFrom,dPer,"&lt;="&amp;cyTo,dQty,"&gt;-1E+300",dFlt1,critFlt1,dFlt2,critFlt2,dFlt3,critFlt3))</f>
        <v/>
      </c>
      <c r="G1320">
        <f>IF($B1320="",0,IFERROR(IF(OR(C1320&lt;&gt;0,D1320&lt;&gt;0,E1320&lt;&gt;0,F1320&lt;&gt;0),1,0),1))</f>
        <v>0</v>
      </c>
      <c r="H1320" t="str">
        <f>IF(OR(G1320=0,E1320=0),"",C1320/E1320)</f>
        <v/>
      </c>
      <c r="I1320" t="str">
        <f>IF(OR(G1320=0,F1320=0),"",D1320/F1320)</f>
        <v/>
      </c>
      <c r="J1320" t="str">
        <f>IF(OR(H1320="",I1320=""),"",IF(H1320=0,"",I1320/H1320-1))</f>
        <v/>
      </c>
      <c r="K1320" t="str">
        <f>IF($B1320="","",IFERROR(IF(G1320=0,-2E+300,CHOOSE(sortIdx,ROUND(D1320,0),IF(J1320="",-1E+300,ROUND(-J1320,6)),IF(J1320="",-1E+300,ROUND(J1320,6)))),-1.5E+300))</f>
        <v/>
      </c>
      <c r="L1320" t="str">
        <f>IF(K1320="","",RANK(K1320,$K$2:$K$3001,0)+COUNTIF($K$2:K1320,K1320)-1)</f>
        <v/>
      </c>
    </row>
    <row r="1321">
      <c r="B1321" t="str">
        <f>IFERROR(IF(A1321="","","="&amp;SUBSTITUTE(SUBSTITUTE(SUBSTITUTE(A1321,"~","~~"),"*","~*"),"?","~?")),"")</f>
        <v/>
      </c>
      <c r="C1321" t="str">
        <f>IF($B1321="","",SUMIFS(dAmt,dCust,$B1321,dPer,"&gt;="&amp;pyFrom,dPer,"&lt;="&amp;pyTo,dAmt,"&gt;-1E+300",dFlt1,critFlt1,dFlt2,critFlt2,dFlt3,critFlt3))</f>
        <v/>
      </c>
      <c r="D1321" t="str">
        <f>IF($B1321="","",SUMIFS(dAmt,dCust,$B1321,dPer,"&gt;="&amp;cyFrom,dPer,"&lt;="&amp;cyTo,dAmt,"&gt;-1E+300",dFlt1,critFlt1,dFlt2,critFlt2,dFlt3,critFlt3))</f>
        <v/>
      </c>
      <c r="E1321" t="str">
        <f>IF($B1321="","",SUMIFS(dQty,dCust,$B1321,dPer,"&gt;="&amp;pyFrom,dPer,"&lt;="&amp;pyTo,dQty,"&gt;-1E+300",dFlt1,critFlt1,dFlt2,critFlt2,dFlt3,critFlt3))</f>
        <v/>
      </c>
      <c r="F1321" t="str">
        <f>IF($B1321="","",SUMIFS(dQty,dCust,$B1321,dPer,"&gt;="&amp;cyFrom,dPer,"&lt;="&amp;cyTo,dQty,"&gt;-1E+300",dFlt1,critFlt1,dFlt2,critFlt2,dFlt3,critFlt3))</f>
        <v/>
      </c>
      <c r="G1321">
        <f>IF($B1321="",0,IFERROR(IF(OR(C1321&lt;&gt;0,D1321&lt;&gt;0,E1321&lt;&gt;0,F1321&lt;&gt;0),1,0),1))</f>
        <v>0</v>
      </c>
      <c r="H1321" t="str">
        <f>IF(OR(G1321=0,E1321=0),"",C1321/E1321)</f>
        <v/>
      </c>
      <c r="I1321" t="str">
        <f>IF(OR(G1321=0,F1321=0),"",D1321/F1321)</f>
        <v/>
      </c>
      <c r="J1321" t="str">
        <f>IF(OR(H1321="",I1321=""),"",IF(H1321=0,"",I1321/H1321-1))</f>
        <v/>
      </c>
      <c r="K1321" t="str">
        <f>IF($B1321="","",IFERROR(IF(G1321=0,-2E+300,CHOOSE(sortIdx,ROUND(D1321,0),IF(J1321="",-1E+300,ROUND(-J1321,6)),IF(J1321="",-1E+300,ROUND(J1321,6)))),-1.5E+300))</f>
        <v/>
      </c>
      <c r="L1321" t="str">
        <f>IF(K1321="","",RANK(K1321,$K$2:$K$3001,0)+COUNTIF($K$2:K1321,K1321)-1)</f>
        <v/>
      </c>
    </row>
    <row r="1322">
      <c r="B1322" t="str">
        <f>IFERROR(IF(A1322="","","="&amp;SUBSTITUTE(SUBSTITUTE(SUBSTITUTE(A1322,"~","~~"),"*","~*"),"?","~?")),"")</f>
        <v/>
      </c>
      <c r="C1322" t="str">
        <f>IF($B1322="","",SUMIFS(dAmt,dCust,$B1322,dPer,"&gt;="&amp;pyFrom,dPer,"&lt;="&amp;pyTo,dAmt,"&gt;-1E+300",dFlt1,critFlt1,dFlt2,critFlt2,dFlt3,critFlt3))</f>
        <v/>
      </c>
      <c r="D1322" t="str">
        <f>IF($B1322="","",SUMIFS(dAmt,dCust,$B1322,dPer,"&gt;="&amp;cyFrom,dPer,"&lt;="&amp;cyTo,dAmt,"&gt;-1E+300",dFlt1,critFlt1,dFlt2,critFlt2,dFlt3,critFlt3))</f>
        <v/>
      </c>
      <c r="E1322" t="str">
        <f>IF($B1322="","",SUMIFS(dQty,dCust,$B1322,dPer,"&gt;="&amp;pyFrom,dPer,"&lt;="&amp;pyTo,dQty,"&gt;-1E+300",dFlt1,critFlt1,dFlt2,critFlt2,dFlt3,critFlt3))</f>
        <v/>
      </c>
      <c r="F1322" t="str">
        <f>IF($B1322="","",SUMIFS(dQty,dCust,$B1322,dPer,"&gt;="&amp;cyFrom,dPer,"&lt;="&amp;cyTo,dQty,"&gt;-1E+300",dFlt1,critFlt1,dFlt2,critFlt2,dFlt3,critFlt3))</f>
        <v/>
      </c>
      <c r="G1322">
        <f>IF($B1322="",0,IFERROR(IF(OR(C1322&lt;&gt;0,D1322&lt;&gt;0,E1322&lt;&gt;0,F1322&lt;&gt;0),1,0),1))</f>
        <v>0</v>
      </c>
      <c r="H1322" t="str">
        <f>IF(OR(G1322=0,E1322=0),"",C1322/E1322)</f>
        <v/>
      </c>
      <c r="I1322" t="str">
        <f>IF(OR(G1322=0,F1322=0),"",D1322/F1322)</f>
        <v/>
      </c>
      <c r="J1322" t="str">
        <f>IF(OR(H1322="",I1322=""),"",IF(H1322=0,"",I1322/H1322-1))</f>
        <v/>
      </c>
      <c r="K1322" t="str">
        <f>IF($B1322="","",IFERROR(IF(G1322=0,-2E+300,CHOOSE(sortIdx,ROUND(D1322,0),IF(J1322="",-1E+300,ROUND(-J1322,6)),IF(J1322="",-1E+300,ROUND(J1322,6)))),-1.5E+300))</f>
        <v/>
      </c>
      <c r="L1322" t="str">
        <f>IF(K1322="","",RANK(K1322,$K$2:$K$3001,0)+COUNTIF($K$2:K1322,K1322)-1)</f>
        <v/>
      </c>
    </row>
    <row r="1323">
      <c r="B1323" t="str">
        <f>IFERROR(IF(A1323="","","="&amp;SUBSTITUTE(SUBSTITUTE(SUBSTITUTE(A1323,"~","~~"),"*","~*"),"?","~?")),"")</f>
        <v/>
      </c>
      <c r="C1323" t="str">
        <f>IF($B1323="","",SUMIFS(dAmt,dCust,$B1323,dPer,"&gt;="&amp;pyFrom,dPer,"&lt;="&amp;pyTo,dAmt,"&gt;-1E+300",dFlt1,critFlt1,dFlt2,critFlt2,dFlt3,critFlt3))</f>
        <v/>
      </c>
      <c r="D1323" t="str">
        <f>IF($B1323="","",SUMIFS(dAmt,dCust,$B1323,dPer,"&gt;="&amp;cyFrom,dPer,"&lt;="&amp;cyTo,dAmt,"&gt;-1E+300",dFlt1,critFlt1,dFlt2,critFlt2,dFlt3,critFlt3))</f>
        <v/>
      </c>
      <c r="E1323" t="str">
        <f>IF($B1323="","",SUMIFS(dQty,dCust,$B1323,dPer,"&gt;="&amp;pyFrom,dPer,"&lt;="&amp;pyTo,dQty,"&gt;-1E+300",dFlt1,critFlt1,dFlt2,critFlt2,dFlt3,critFlt3))</f>
        <v/>
      </c>
      <c r="F1323" t="str">
        <f>IF($B1323="","",SUMIFS(dQty,dCust,$B1323,dPer,"&gt;="&amp;cyFrom,dPer,"&lt;="&amp;cyTo,dQty,"&gt;-1E+300",dFlt1,critFlt1,dFlt2,critFlt2,dFlt3,critFlt3))</f>
        <v/>
      </c>
      <c r="G1323">
        <f>IF($B1323="",0,IFERROR(IF(OR(C1323&lt;&gt;0,D1323&lt;&gt;0,E1323&lt;&gt;0,F1323&lt;&gt;0),1,0),1))</f>
        <v>0</v>
      </c>
      <c r="H1323" t="str">
        <f>IF(OR(G1323=0,E1323=0),"",C1323/E1323)</f>
        <v/>
      </c>
      <c r="I1323" t="str">
        <f>IF(OR(G1323=0,F1323=0),"",D1323/F1323)</f>
        <v/>
      </c>
      <c r="J1323" t="str">
        <f>IF(OR(H1323="",I1323=""),"",IF(H1323=0,"",I1323/H1323-1))</f>
        <v/>
      </c>
      <c r="K1323" t="str">
        <f>IF($B1323="","",IFERROR(IF(G1323=0,-2E+300,CHOOSE(sortIdx,ROUND(D1323,0),IF(J1323="",-1E+300,ROUND(-J1323,6)),IF(J1323="",-1E+300,ROUND(J1323,6)))),-1.5E+300))</f>
        <v/>
      </c>
      <c r="L1323" t="str">
        <f>IF(K1323="","",RANK(K1323,$K$2:$K$3001,0)+COUNTIF($K$2:K1323,K1323)-1)</f>
        <v/>
      </c>
    </row>
    <row r="1324">
      <c r="B1324" t="str">
        <f>IFERROR(IF(A1324="","","="&amp;SUBSTITUTE(SUBSTITUTE(SUBSTITUTE(A1324,"~","~~"),"*","~*"),"?","~?")),"")</f>
        <v/>
      </c>
      <c r="C1324" t="str">
        <f>IF($B1324="","",SUMIFS(dAmt,dCust,$B1324,dPer,"&gt;="&amp;pyFrom,dPer,"&lt;="&amp;pyTo,dAmt,"&gt;-1E+300",dFlt1,critFlt1,dFlt2,critFlt2,dFlt3,critFlt3))</f>
        <v/>
      </c>
      <c r="D1324" t="str">
        <f>IF($B1324="","",SUMIFS(dAmt,dCust,$B1324,dPer,"&gt;="&amp;cyFrom,dPer,"&lt;="&amp;cyTo,dAmt,"&gt;-1E+300",dFlt1,critFlt1,dFlt2,critFlt2,dFlt3,critFlt3))</f>
        <v/>
      </c>
      <c r="E1324" t="str">
        <f>IF($B1324="","",SUMIFS(dQty,dCust,$B1324,dPer,"&gt;="&amp;pyFrom,dPer,"&lt;="&amp;pyTo,dQty,"&gt;-1E+300",dFlt1,critFlt1,dFlt2,critFlt2,dFlt3,critFlt3))</f>
        <v/>
      </c>
      <c r="F1324" t="str">
        <f>IF($B1324="","",SUMIFS(dQty,dCust,$B1324,dPer,"&gt;="&amp;cyFrom,dPer,"&lt;="&amp;cyTo,dQty,"&gt;-1E+300",dFlt1,critFlt1,dFlt2,critFlt2,dFlt3,critFlt3))</f>
        <v/>
      </c>
      <c r="G1324">
        <f>IF($B1324="",0,IFERROR(IF(OR(C1324&lt;&gt;0,D1324&lt;&gt;0,E1324&lt;&gt;0,F1324&lt;&gt;0),1,0),1))</f>
        <v>0</v>
      </c>
      <c r="H1324" t="str">
        <f>IF(OR(G1324=0,E1324=0),"",C1324/E1324)</f>
        <v/>
      </c>
      <c r="I1324" t="str">
        <f>IF(OR(G1324=0,F1324=0),"",D1324/F1324)</f>
        <v/>
      </c>
      <c r="J1324" t="str">
        <f>IF(OR(H1324="",I1324=""),"",IF(H1324=0,"",I1324/H1324-1))</f>
        <v/>
      </c>
      <c r="K1324" t="str">
        <f>IF($B1324="","",IFERROR(IF(G1324=0,-2E+300,CHOOSE(sortIdx,ROUND(D1324,0),IF(J1324="",-1E+300,ROUND(-J1324,6)),IF(J1324="",-1E+300,ROUND(J1324,6)))),-1.5E+300))</f>
        <v/>
      </c>
      <c r="L1324" t="str">
        <f>IF(K1324="","",RANK(K1324,$K$2:$K$3001,0)+COUNTIF($K$2:K1324,K1324)-1)</f>
        <v/>
      </c>
    </row>
    <row r="1325">
      <c r="B1325" t="str">
        <f>IFERROR(IF(A1325="","","="&amp;SUBSTITUTE(SUBSTITUTE(SUBSTITUTE(A1325,"~","~~"),"*","~*"),"?","~?")),"")</f>
        <v/>
      </c>
      <c r="C1325" t="str">
        <f>IF($B1325="","",SUMIFS(dAmt,dCust,$B1325,dPer,"&gt;="&amp;pyFrom,dPer,"&lt;="&amp;pyTo,dAmt,"&gt;-1E+300",dFlt1,critFlt1,dFlt2,critFlt2,dFlt3,critFlt3))</f>
        <v/>
      </c>
      <c r="D1325" t="str">
        <f>IF($B1325="","",SUMIFS(dAmt,dCust,$B1325,dPer,"&gt;="&amp;cyFrom,dPer,"&lt;="&amp;cyTo,dAmt,"&gt;-1E+300",dFlt1,critFlt1,dFlt2,critFlt2,dFlt3,critFlt3))</f>
        <v/>
      </c>
      <c r="E1325" t="str">
        <f>IF($B1325="","",SUMIFS(dQty,dCust,$B1325,dPer,"&gt;="&amp;pyFrom,dPer,"&lt;="&amp;pyTo,dQty,"&gt;-1E+300",dFlt1,critFlt1,dFlt2,critFlt2,dFlt3,critFlt3))</f>
        <v/>
      </c>
      <c r="F1325" t="str">
        <f>IF($B1325="","",SUMIFS(dQty,dCust,$B1325,dPer,"&gt;="&amp;cyFrom,dPer,"&lt;="&amp;cyTo,dQty,"&gt;-1E+300",dFlt1,critFlt1,dFlt2,critFlt2,dFlt3,critFlt3))</f>
        <v/>
      </c>
      <c r="G1325">
        <f>IF($B1325="",0,IFERROR(IF(OR(C1325&lt;&gt;0,D1325&lt;&gt;0,E1325&lt;&gt;0,F1325&lt;&gt;0),1,0),1))</f>
        <v>0</v>
      </c>
      <c r="H1325" t="str">
        <f>IF(OR(G1325=0,E1325=0),"",C1325/E1325)</f>
        <v/>
      </c>
      <c r="I1325" t="str">
        <f>IF(OR(G1325=0,F1325=0),"",D1325/F1325)</f>
        <v/>
      </c>
      <c r="J1325" t="str">
        <f>IF(OR(H1325="",I1325=""),"",IF(H1325=0,"",I1325/H1325-1))</f>
        <v/>
      </c>
      <c r="K1325" t="str">
        <f>IF($B1325="","",IFERROR(IF(G1325=0,-2E+300,CHOOSE(sortIdx,ROUND(D1325,0),IF(J1325="",-1E+300,ROUND(-J1325,6)),IF(J1325="",-1E+300,ROUND(J1325,6)))),-1.5E+300))</f>
        <v/>
      </c>
      <c r="L1325" t="str">
        <f>IF(K1325="","",RANK(K1325,$K$2:$K$3001,0)+COUNTIF($K$2:K1325,K1325)-1)</f>
        <v/>
      </c>
    </row>
    <row r="1326">
      <c r="B1326" t="str">
        <f>IFERROR(IF(A1326="","","="&amp;SUBSTITUTE(SUBSTITUTE(SUBSTITUTE(A1326,"~","~~"),"*","~*"),"?","~?")),"")</f>
        <v/>
      </c>
      <c r="C1326" t="str">
        <f>IF($B1326="","",SUMIFS(dAmt,dCust,$B1326,dPer,"&gt;="&amp;pyFrom,dPer,"&lt;="&amp;pyTo,dAmt,"&gt;-1E+300",dFlt1,critFlt1,dFlt2,critFlt2,dFlt3,critFlt3))</f>
        <v/>
      </c>
      <c r="D1326" t="str">
        <f>IF($B1326="","",SUMIFS(dAmt,dCust,$B1326,dPer,"&gt;="&amp;cyFrom,dPer,"&lt;="&amp;cyTo,dAmt,"&gt;-1E+300",dFlt1,critFlt1,dFlt2,critFlt2,dFlt3,critFlt3))</f>
        <v/>
      </c>
      <c r="E1326" t="str">
        <f>IF($B1326="","",SUMIFS(dQty,dCust,$B1326,dPer,"&gt;="&amp;pyFrom,dPer,"&lt;="&amp;pyTo,dQty,"&gt;-1E+300",dFlt1,critFlt1,dFlt2,critFlt2,dFlt3,critFlt3))</f>
        <v/>
      </c>
      <c r="F1326" t="str">
        <f>IF($B1326="","",SUMIFS(dQty,dCust,$B1326,dPer,"&gt;="&amp;cyFrom,dPer,"&lt;="&amp;cyTo,dQty,"&gt;-1E+300",dFlt1,critFlt1,dFlt2,critFlt2,dFlt3,critFlt3))</f>
        <v/>
      </c>
      <c r="G1326">
        <f>IF($B1326="",0,IFERROR(IF(OR(C1326&lt;&gt;0,D1326&lt;&gt;0,E1326&lt;&gt;0,F1326&lt;&gt;0),1,0),1))</f>
        <v>0</v>
      </c>
      <c r="H1326" t="str">
        <f>IF(OR(G1326=0,E1326=0),"",C1326/E1326)</f>
        <v/>
      </c>
      <c r="I1326" t="str">
        <f>IF(OR(G1326=0,F1326=0),"",D1326/F1326)</f>
        <v/>
      </c>
      <c r="J1326" t="str">
        <f>IF(OR(H1326="",I1326=""),"",IF(H1326=0,"",I1326/H1326-1))</f>
        <v/>
      </c>
      <c r="K1326" t="str">
        <f>IF($B1326="","",IFERROR(IF(G1326=0,-2E+300,CHOOSE(sortIdx,ROUND(D1326,0),IF(J1326="",-1E+300,ROUND(-J1326,6)),IF(J1326="",-1E+300,ROUND(J1326,6)))),-1.5E+300))</f>
        <v/>
      </c>
      <c r="L1326" t="str">
        <f>IF(K1326="","",RANK(K1326,$K$2:$K$3001,0)+COUNTIF($K$2:K1326,K1326)-1)</f>
        <v/>
      </c>
    </row>
    <row r="1327">
      <c r="B1327" t="str">
        <f>IFERROR(IF(A1327="","","="&amp;SUBSTITUTE(SUBSTITUTE(SUBSTITUTE(A1327,"~","~~"),"*","~*"),"?","~?")),"")</f>
        <v/>
      </c>
      <c r="C1327" t="str">
        <f>IF($B1327="","",SUMIFS(dAmt,dCust,$B1327,dPer,"&gt;="&amp;pyFrom,dPer,"&lt;="&amp;pyTo,dAmt,"&gt;-1E+300",dFlt1,critFlt1,dFlt2,critFlt2,dFlt3,critFlt3))</f>
        <v/>
      </c>
      <c r="D1327" t="str">
        <f>IF($B1327="","",SUMIFS(dAmt,dCust,$B1327,dPer,"&gt;="&amp;cyFrom,dPer,"&lt;="&amp;cyTo,dAmt,"&gt;-1E+300",dFlt1,critFlt1,dFlt2,critFlt2,dFlt3,critFlt3))</f>
        <v/>
      </c>
      <c r="E1327" t="str">
        <f>IF($B1327="","",SUMIFS(dQty,dCust,$B1327,dPer,"&gt;="&amp;pyFrom,dPer,"&lt;="&amp;pyTo,dQty,"&gt;-1E+300",dFlt1,critFlt1,dFlt2,critFlt2,dFlt3,critFlt3))</f>
        <v/>
      </c>
      <c r="F1327" t="str">
        <f>IF($B1327="","",SUMIFS(dQty,dCust,$B1327,dPer,"&gt;="&amp;cyFrom,dPer,"&lt;="&amp;cyTo,dQty,"&gt;-1E+300",dFlt1,critFlt1,dFlt2,critFlt2,dFlt3,critFlt3))</f>
        <v/>
      </c>
      <c r="G1327">
        <f>IF($B1327="",0,IFERROR(IF(OR(C1327&lt;&gt;0,D1327&lt;&gt;0,E1327&lt;&gt;0,F1327&lt;&gt;0),1,0),1))</f>
        <v>0</v>
      </c>
      <c r="H1327" t="str">
        <f>IF(OR(G1327=0,E1327=0),"",C1327/E1327)</f>
        <v/>
      </c>
      <c r="I1327" t="str">
        <f>IF(OR(G1327=0,F1327=0),"",D1327/F1327)</f>
        <v/>
      </c>
      <c r="J1327" t="str">
        <f>IF(OR(H1327="",I1327=""),"",IF(H1327=0,"",I1327/H1327-1))</f>
        <v/>
      </c>
      <c r="K1327" t="str">
        <f>IF($B1327="","",IFERROR(IF(G1327=0,-2E+300,CHOOSE(sortIdx,ROUND(D1327,0),IF(J1327="",-1E+300,ROUND(-J1327,6)),IF(J1327="",-1E+300,ROUND(J1327,6)))),-1.5E+300))</f>
        <v/>
      </c>
      <c r="L1327" t="str">
        <f>IF(K1327="","",RANK(K1327,$K$2:$K$3001,0)+COUNTIF($K$2:K1327,K1327)-1)</f>
        <v/>
      </c>
    </row>
    <row r="1328">
      <c r="B1328" t="str">
        <f>IFERROR(IF(A1328="","","="&amp;SUBSTITUTE(SUBSTITUTE(SUBSTITUTE(A1328,"~","~~"),"*","~*"),"?","~?")),"")</f>
        <v/>
      </c>
      <c r="C1328" t="str">
        <f>IF($B1328="","",SUMIFS(dAmt,dCust,$B1328,dPer,"&gt;="&amp;pyFrom,dPer,"&lt;="&amp;pyTo,dAmt,"&gt;-1E+300",dFlt1,critFlt1,dFlt2,critFlt2,dFlt3,critFlt3))</f>
        <v/>
      </c>
      <c r="D1328" t="str">
        <f>IF($B1328="","",SUMIFS(dAmt,dCust,$B1328,dPer,"&gt;="&amp;cyFrom,dPer,"&lt;="&amp;cyTo,dAmt,"&gt;-1E+300",dFlt1,critFlt1,dFlt2,critFlt2,dFlt3,critFlt3))</f>
        <v/>
      </c>
      <c r="E1328" t="str">
        <f>IF($B1328="","",SUMIFS(dQty,dCust,$B1328,dPer,"&gt;="&amp;pyFrom,dPer,"&lt;="&amp;pyTo,dQty,"&gt;-1E+300",dFlt1,critFlt1,dFlt2,critFlt2,dFlt3,critFlt3))</f>
        <v/>
      </c>
      <c r="F1328" t="str">
        <f>IF($B1328="","",SUMIFS(dQty,dCust,$B1328,dPer,"&gt;="&amp;cyFrom,dPer,"&lt;="&amp;cyTo,dQty,"&gt;-1E+300",dFlt1,critFlt1,dFlt2,critFlt2,dFlt3,critFlt3))</f>
        <v/>
      </c>
      <c r="G1328">
        <f>IF($B1328="",0,IFERROR(IF(OR(C1328&lt;&gt;0,D1328&lt;&gt;0,E1328&lt;&gt;0,F1328&lt;&gt;0),1,0),1))</f>
        <v>0</v>
      </c>
      <c r="H1328" t="str">
        <f>IF(OR(G1328=0,E1328=0),"",C1328/E1328)</f>
        <v/>
      </c>
      <c r="I1328" t="str">
        <f>IF(OR(G1328=0,F1328=0),"",D1328/F1328)</f>
        <v/>
      </c>
      <c r="J1328" t="str">
        <f>IF(OR(H1328="",I1328=""),"",IF(H1328=0,"",I1328/H1328-1))</f>
        <v/>
      </c>
      <c r="K1328" t="str">
        <f>IF($B1328="","",IFERROR(IF(G1328=0,-2E+300,CHOOSE(sortIdx,ROUND(D1328,0),IF(J1328="",-1E+300,ROUND(-J1328,6)),IF(J1328="",-1E+300,ROUND(J1328,6)))),-1.5E+300))</f>
        <v/>
      </c>
      <c r="L1328" t="str">
        <f>IF(K1328="","",RANK(K1328,$K$2:$K$3001,0)+COUNTIF($K$2:K1328,K1328)-1)</f>
        <v/>
      </c>
    </row>
    <row r="1329">
      <c r="B1329" t="str">
        <f>IFERROR(IF(A1329="","","="&amp;SUBSTITUTE(SUBSTITUTE(SUBSTITUTE(A1329,"~","~~"),"*","~*"),"?","~?")),"")</f>
        <v/>
      </c>
      <c r="C1329" t="str">
        <f>IF($B1329="","",SUMIFS(dAmt,dCust,$B1329,dPer,"&gt;="&amp;pyFrom,dPer,"&lt;="&amp;pyTo,dAmt,"&gt;-1E+300",dFlt1,critFlt1,dFlt2,critFlt2,dFlt3,critFlt3))</f>
        <v/>
      </c>
      <c r="D1329" t="str">
        <f>IF($B1329="","",SUMIFS(dAmt,dCust,$B1329,dPer,"&gt;="&amp;cyFrom,dPer,"&lt;="&amp;cyTo,dAmt,"&gt;-1E+300",dFlt1,critFlt1,dFlt2,critFlt2,dFlt3,critFlt3))</f>
        <v/>
      </c>
      <c r="E1329" t="str">
        <f>IF($B1329="","",SUMIFS(dQty,dCust,$B1329,dPer,"&gt;="&amp;pyFrom,dPer,"&lt;="&amp;pyTo,dQty,"&gt;-1E+300",dFlt1,critFlt1,dFlt2,critFlt2,dFlt3,critFlt3))</f>
        <v/>
      </c>
      <c r="F1329" t="str">
        <f>IF($B1329="","",SUMIFS(dQty,dCust,$B1329,dPer,"&gt;="&amp;cyFrom,dPer,"&lt;="&amp;cyTo,dQty,"&gt;-1E+300",dFlt1,critFlt1,dFlt2,critFlt2,dFlt3,critFlt3))</f>
        <v/>
      </c>
      <c r="G1329">
        <f>IF($B1329="",0,IFERROR(IF(OR(C1329&lt;&gt;0,D1329&lt;&gt;0,E1329&lt;&gt;0,F1329&lt;&gt;0),1,0),1))</f>
        <v>0</v>
      </c>
      <c r="H1329" t="str">
        <f>IF(OR(G1329=0,E1329=0),"",C1329/E1329)</f>
        <v/>
      </c>
      <c r="I1329" t="str">
        <f>IF(OR(G1329=0,F1329=0),"",D1329/F1329)</f>
        <v/>
      </c>
      <c r="J1329" t="str">
        <f>IF(OR(H1329="",I1329=""),"",IF(H1329=0,"",I1329/H1329-1))</f>
        <v/>
      </c>
      <c r="K1329" t="str">
        <f>IF($B1329="","",IFERROR(IF(G1329=0,-2E+300,CHOOSE(sortIdx,ROUND(D1329,0),IF(J1329="",-1E+300,ROUND(-J1329,6)),IF(J1329="",-1E+300,ROUND(J1329,6)))),-1.5E+300))</f>
        <v/>
      </c>
      <c r="L1329" t="str">
        <f>IF(K1329="","",RANK(K1329,$K$2:$K$3001,0)+COUNTIF($K$2:K1329,K1329)-1)</f>
        <v/>
      </c>
    </row>
    <row r="1330">
      <c r="B1330" t="str">
        <f>IFERROR(IF(A1330="","","="&amp;SUBSTITUTE(SUBSTITUTE(SUBSTITUTE(A1330,"~","~~"),"*","~*"),"?","~?")),"")</f>
        <v/>
      </c>
      <c r="C1330" t="str">
        <f>IF($B1330="","",SUMIFS(dAmt,dCust,$B1330,dPer,"&gt;="&amp;pyFrom,dPer,"&lt;="&amp;pyTo,dAmt,"&gt;-1E+300",dFlt1,critFlt1,dFlt2,critFlt2,dFlt3,critFlt3))</f>
        <v/>
      </c>
      <c r="D1330" t="str">
        <f>IF($B1330="","",SUMIFS(dAmt,dCust,$B1330,dPer,"&gt;="&amp;cyFrom,dPer,"&lt;="&amp;cyTo,dAmt,"&gt;-1E+300",dFlt1,critFlt1,dFlt2,critFlt2,dFlt3,critFlt3))</f>
        <v/>
      </c>
      <c r="E1330" t="str">
        <f>IF($B1330="","",SUMIFS(dQty,dCust,$B1330,dPer,"&gt;="&amp;pyFrom,dPer,"&lt;="&amp;pyTo,dQty,"&gt;-1E+300",dFlt1,critFlt1,dFlt2,critFlt2,dFlt3,critFlt3))</f>
        <v/>
      </c>
      <c r="F1330" t="str">
        <f>IF($B1330="","",SUMIFS(dQty,dCust,$B1330,dPer,"&gt;="&amp;cyFrom,dPer,"&lt;="&amp;cyTo,dQty,"&gt;-1E+300",dFlt1,critFlt1,dFlt2,critFlt2,dFlt3,critFlt3))</f>
        <v/>
      </c>
      <c r="G1330">
        <f>IF($B1330="",0,IFERROR(IF(OR(C1330&lt;&gt;0,D1330&lt;&gt;0,E1330&lt;&gt;0,F1330&lt;&gt;0),1,0),1))</f>
        <v>0</v>
      </c>
      <c r="H1330" t="str">
        <f>IF(OR(G1330=0,E1330=0),"",C1330/E1330)</f>
        <v/>
      </c>
      <c r="I1330" t="str">
        <f>IF(OR(G1330=0,F1330=0),"",D1330/F1330)</f>
        <v/>
      </c>
      <c r="J1330" t="str">
        <f>IF(OR(H1330="",I1330=""),"",IF(H1330=0,"",I1330/H1330-1))</f>
        <v/>
      </c>
      <c r="K1330" t="str">
        <f>IF($B1330="","",IFERROR(IF(G1330=0,-2E+300,CHOOSE(sortIdx,ROUND(D1330,0),IF(J1330="",-1E+300,ROUND(-J1330,6)),IF(J1330="",-1E+300,ROUND(J1330,6)))),-1.5E+300))</f>
        <v/>
      </c>
      <c r="L1330" t="str">
        <f>IF(K1330="","",RANK(K1330,$K$2:$K$3001,0)+COUNTIF($K$2:K1330,K1330)-1)</f>
        <v/>
      </c>
    </row>
    <row r="1331">
      <c r="B1331" t="str">
        <f>IFERROR(IF(A1331="","","="&amp;SUBSTITUTE(SUBSTITUTE(SUBSTITUTE(A1331,"~","~~"),"*","~*"),"?","~?")),"")</f>
        <v/>
      </c>
      <c r="C1331" t="str">
        <f>IF($B1331="","",SUMIFS(dAmt,dCust,$B1331,dPer,"&gt;="&amp;pyFrom,dPer,"&lt;="&amp;pyTo,dAmt,"&gt;-1E+300",dFlt1,critFlt1,dFlt2,critFlt2,dFlt3,critFlt3))</f>
        <v/>
      </c>
      <c r="D1331" t="str">
        <f>IF($B1331="","",SUMIFS(dAmt,dCust,$B1331,dPer,"&gt;="&amp;cyFrom,dPer,"&lt;="&amp;cyTo,dAmt,"&gt;-1E+300",dFlt1,critFlt1,dFlt2,critFlt2,dFlt3,critFlt3))</f>
        <v/>
      </c>
      <c r="E1331" t="str">
        <f>IF($B1331="","",SUMIFS(dQty,dCust,$B1331,dPer,"&gt;="&amp;pyFrom,dPer,"&lt;="&amp;pyTo,dQty,"&gt;-1E+300",dFlt1,critFlt1,dFlt2,critFlt2,dFlt3,critFlt3))</f>
        <v/>
      </c>
      <c r="F1331" t="str">
        <f>IF($B1331="","",SUMIFS(dQty,dCust,$B1331,dPer,"&gt;="&amp;cyFrom,dPer,"&lt;="&amp;cyTo,dQty,"&gt;-1E+300",dFlt1,critFlt1,dFlt2,critFlt2,dFlt3,critFlt3))</f>
        <v/>
      </c>
      <c r="G1331">
        <f>IF($B1331="",0,IFERROR(IF(OR(C1331&lt;&gt;0,D1331&lt;&gt;0,E1331&lt;&gt;0,F1331&lt;&gt;0),1,0),1))</f>
        <v>0</v>
      </c>
      <c r="H1331" t="str">
        <f>IF(OR(G1331=0,E1331=0),"",C1331/E1331)</f>
        <v/>
      </c>
      <c r="I1331" t="str">
        <f>IF(OR(G1331=0,F1331=0),"",D1331/F1331)</f>
        <v/>
      </c>
      <c r="J1331" t="str">
        <f>IF(OR(H1331="",I1331=""),"",IF(H1331=0,"",I1331/H1331-1))</f>
        <v/>
      </c>
      <c r="K1331" t="str">
        <f>IF($B1331="","",IFERROR(IF(G1331=0,-2E+300,CHOOSE(sortIdx,ROUND(D1331,0),IF(J1331="",-1E+300,ROUND(-J1331,6)),IF(J1331="",-1E+300,ROUND(J1331,6)))),-1.5E+300))</f>
        <v/>
      </c>
      <c r="L1331" t="str">
        <f>IF(K1331="","",RANK(K1331,$K$2:$K$3001,0)+COUNTIF($K$2:K1331,K1331)-1)</f>
        <v/>
      </c>
    </row>
    <row r="1332">
      <c r="B1332" t="str">
        <f>IFERROR(IF(A1332="","","="&amp;SUBSTITUTE(SUBSTITUTE(SUBSTITUTE(A1332,"~","~~"),"*","~*"),"?","~?")),"")</f>
        <v/>
      </c>
      <c r="C1332" t="str">
        <f>IF($B1332="","",SUMIFS(dAmt,dCust,$B1332,dPer,"&gt;="&amp;pyFrom,dPer,"&lt;="&amp;pyTo,dAmt,"&gt;-1E+300",dFlt1,critFlt1,dFlt2,critFlt2,dFlt3,critFlt3))</f>
        <v/>
      </c>
      <c r="D1332" t="str">
        <f>IF($B1332="","",SUMIFS(dAmt,dCust,$B1332,dPer,"&gt;="&amp;cyFrom,dPer,"&lt;="&amp;cyTo,dAmt,"&gt;-1E+300",dFlt1,critFlt1,dFlt2,critFlt2,dFlt3,critFlt3))</f>
        <v/>
      </c>
      <c r="E1332" t="str">
        <f>IF($B1332="","",SUMIFS(dQty,dCust,$B1332,dPer,"&gt;="&amp;pyFrom,dPer,"&lt;="&amp;pyTo,dQty,"&gt;-1E+300",dFlt1,critFlt1,dFlt2,critFlt2,dFlt3,critFlt3))</f>
        <v/>
      </c>
      <c r="F1332" t="str">
        <f>IF($B1332="","",SUMIFS(dQty,dCust,$B1332,dPer,"&gt;="&amp;cyFrom,dPer,"&lt;="&amp;cyTo,dQty,"&gt;-1E+300",dFlt1,critFlt1,dFlt2,critFlt2,dFlt3,critFlt3))</f>
        <v/>
      </c>
      <c r="G1332">
        <f>IF($B1332="",0,IFERROR(IF(OR(C1332&lt;&gt;0,D1332&lt;&gt;0,E1332&lt;&gt;0,F1332&lt;&gt;0),1,0),1))</f>
        <v>0</v>
      </c>
      <c r="H1332" t="str">
        <f>IF(OR(G1332=0,E1332=0),"",C1332/E1332)</f>
        <v/>
      </c>
      <c r="I1332" t="str">
        <f>IF(OR(G1332=0,F1332=0),"",D1332/F1332)</f>
        <v/>
      </c>
      <c r="J1332" t="str">
        <f>IF(OR(H1332="",I1332=""),"",IF(H1332=0,"",I1332/H1332-1))</f>
        <v/>
      </c>
      <c r="K1332" t="str">
        <f>IF($B1332="","",IFERROR(IF(G1332=0,-2E+300,CHOOSE(sortIdx,ROUND(D1332,0),IF(J1332="",-1E+300,ROUND(-J1332,6)),IF(J1332="",-1E+300,ROUND(J1332,6)))),-1.5E+300))</f>
        <v/>
      </c>
      <c r="L1332" t="str">
        <f>IF(K1332="","",RANK(K1332,$K$2:$K$3001,0)+COUNTIF($K$2:K1332,K1332)-1)</f>
        <v/>
      </c>
    </row>
    <row r="1333">
      <c r="B1333" t="str">
        <f>IFERROR(IF(A1333="","","="&amp;SUBSTITUTE(SUBSTITUTE(SUBSTITUTE(A1333,"~","~~"),"*","~*"),"?","~?")),"")</f>
        <v/>
      </c>
      <c r="C1333" t="str">
        <f>IF($B1333="","",SUMIFS(dAmt,dCust,$B1333,dPer,"&gt;="&amp;pyFrom,dPer,"&lt;="&amp;pyTo,dAmt,"&gt;-1E+300",dFlt1,critFlt1,dFlt2,critFlt2,dFlt3,critFlt3))</f>
        <v/>
      </c>
      <c r="D1333" t="str">
        <f>IF($B1333="","",SUMIFS(dAmt,dCust,$B1333,dPer,"&gt;="&amp;cyFrom,dPer,"&lt;="&amp;cyTo,dAmt,"&gt;-1E+300",dFlt1,critFlt1,dFlt2,critFlt2,dFlt3,critFlt3))</f>
        <v/>
      </c>
      <c r="E1333" t="str">
        <f>IF($B1333="","",SUMIFS(dQty,dCust,$B1333,dPer,"&gt;="&amp;pyFrom,dPer,"&lt;="&amp;pyTo,dQty,"&gt;-1E+300",dFlt1,critFlt1,dFlt2,critFlt2,dFlt3,critFlt3))</f>
        <v/>
      </c>
      <c r="F1333" t="str">
        <f>IF($B1333="","",SUMIFS(dQty,dCust,$B1333,dPer,"&gt;="&amp;cyFrom,dPer,"&lt;="&amp;cyTo,dQty,"&gt;-1E+300",dFlt1,critFlt1,dFlt2,critFlt2,dFlt3,critFlt3))</f>
        <v/>
      </c>
      <c r="G1333">
        <f>IF($B1333="",0,IFERROR(IF(OR(C1333&lt;&gt;0,D1333&lt;&gt;0,E1333&lt;&gt;0,F1333&lt;&gt;0),1,0),1))</f>
        <v>0</v>
      </c>
      <c r="H1333" t="str">
        <f>IF(OR(G1333=0,E1333=0),"",C1333/E1333)</f>
        <v/>
      </c>
      <c r="I1333" t="str">
        <f>IF(OR(G1333=0,F1333=0),"",D1333/F1333)</f>
        <v/>
      </c>
      <c r="J1333" t="str">
        <f>IF(OR(H1333="",I1333=""),"",IF(H1333=0,"",I1333/H1333-1))</f>
        <v/>
      </c>
      <c r="K1333" t="str">
        <f>IF($B1333="","",IFERROR(IF(G1333=0,-2E+300,CHOOSE(sortIdx,ROUND(D1333,0),IF(J1333="",-1E+300,ROUND(-J1333,6)),IF(J1333="",-1E+300,ROUND(J1333,6)))),-1.5E+300))</f>
        <v/>
      </c>
      <c r="L1333" t="str">
        <f>IF(K1333="","",RANK(K1333,$K$2:$K$3001,0)+COUNTIF($K$2:K1333,K1333)-1)</f>
        <v/>
      </c>
    </row>
    <row r="1334">
      <c r="B1334" t="str">
        <f>IFERROR(IF(A1334="","","="&amp;SUBSTITUTE(SUBSTITUTE(SUBSTITUTE(A1334,"~","~~"),"*","~*"),"?","~?")),"")</f>
        <v/>
      </c>
      <c r="C1334" t="str">
        <f>IF($B1334="","",SUMIFS(dAmt,dCust,$B1334,dPer,"&gt;="&amp;pyFrom,dPer,"&lt;="&amp;pyTo,dAmt,"&gt;-1E+300",dFlt1,critFlt1,dFlt2,critFlt2,dFlt3,critFlt3))</f>
        <v/>
      </c>
      <c r="D1334" t="str">
        <f>IF($B1334="","",SUMIFS(dAmt,dCust,$B1334,dPer,"&gt;="&amp;cyFrom,dPer,"&lt;="&amp;cyTo,dAmt,"&gt;-1E+300",dFlt1,critFlt1,dFlt2,critFlt2,dFlt3,critFlt3))</f>
        <v/>
      </c>
      <c r="E1334" t="str">
        <f>IF($B1334="","",SUMIFS(dQty,dCust,$B1334,dPer,"&gt;="&amp;pyFrom,dPer,"&lt;="&amp;pyTo,dQty,"&gt;-1E+300",dFlt1,critFlt1,dFlt2,critFlt2,dFlt3,critFlt3))</f>
        <v/>
      </c>
      <c r="F1334" t="str">
        <f>IF($B1334="","",SUMIFS(dQty,dCust,$B1334,dPer,"&gt;="&amp;cyFrom,dPer,"&lt;="&amp;cyTo,dQty,"&gt;-1E+300",dFlt1,critFlt1,dFlt2,critFlt2,dFlt3,critFlt3))</f>
        <v/>
      </c>
      <c r="G1334">
        <f>IF($B1334="",0,IFERROR(IF(OR(C1334&lt;&gt;0,D1334&lt;&gt;0,E1334&lt;&gt;0,F1334&lt;&gt;0),1,0),1))</f>
        <v>0</v>
      </c>
      <c r="H1334" t="str">
        <f>IF(OR(G1334=0,E1334=0),"",C1334/E1334)</f>
        <v/>
      </c>
      <c r="I1334" t="str">
        <f>IF(OR(G1334=0,F1334=0),"",D1334/F1334)</f>
        <v/>
      </c>
      <c r="J1334" t="str">
        <f>IF(OR(H1334="",I1334=""),"",IF(H1334=0,"",I1334/H1334-1))</f>
        <v/>
      </c>
      <c r="K1334" t="str">
        <f>IF($B1334="","",IFERROR(IF(G1334=0,-2E+300,CHOOSE(sortIdx,ROUND(D1334,0),IF(J1334="",-1E+300,ROUND(-J1334,6)),IF(J1334="",-1E+300,ROUND(J1334,6)))),-1.5E+300))</f>
        <v/>
      </c>
      <c r="L1334" t="str">
        <f>IF(K1334="","",RANK(K1334,$K$2:$K$3001,0)+COUNTIF($K$2:K1334,K1334)-1)</f>
        <v/>
      </c>
    </row>
    <row r="1335">
      <c r="B1335" t="str">
        <f>IFERROR(IF(A1335="","","="&amp;SUBSTITUTE(SUBSTITUTE(SUBSTITUTE(A1335,"~","~~"),"*","~*"),"?","~?")),"")</f>
        <v/>
      </c>
      <c r="C1335" t="str">
        <f>IF($B1335="","",SUMIFS(dAmt,dCust,$B1335,dPer,"&gt;="&amp;pyFrom,dPer,"&lt;="&amp;pyTo,dAmt,"&gt;-1E+300",dFlt1,critFlt1,dFlt2,critFlt2,dFlt3,critFlt3))</f>
        <v/>
      </c>
      <c r="D1335" t="str">
        <f>IF($B1335="","",SUMIFS(dAmt,dCust,$B1335,dPer,"&gt;="&amp;cyFrom,dPer,"&lt;="&amp;cyTo,dAmt,"&gt;-1E+300",dFlt1,critFlt1,dFlt2,critFlt2,dFlt3,critFlt3))</f>
        <v/>
      </c>
      <c r="E1335" t="str">
        <f>IF($B1335="","",SUMIFS(dQty,dCust,$B1335,dPer,"&gt;="&amp;pyFrom,dPer,"&lt;="&amp;pyTo,dQty,"&gt;-1E+300",dFlt1,critFlt1,dFlt2,critFlt2,dFlt3,critFlt3))</f>
        <v/>
      </c>
      <c r="F1335" t="str">
        <f>IF($B1335="","",SUMIFS(dQty,dCust,$B1335,dPer,"&gt;="&amp;cyFrom,dPer,"&lt;="&amp;cyTo,dQty,"&gt;-1E+300",dFlt1,critFlt1,dFlt2,critFlt2,dFlt3,critFlt3))</f>
        <v/>
      </c>
      <c r="G1335">
        <f>IF($B1335="",0,IFERROR(IF(OR(C1335&lt;&gt;0,D1335&lt;&gt;0,E1335&lt;&gt;0,F1335&lt;&gt;0),1,0),1))</f>
        <v>0</v>
      </c>
      <c r="H1335" t="str">
        <f>IF(OR(G1335=0,E1335=0),"",C1335/E1335)</f>
        <v/>
      </c>
      <c r="I1335" t="str">
        <f>IF(OR(G1335=0,F1335=0),"",D1335/F1335)</f>
        <v/>
      </c>
      <c r="J1335" t="str">
        <f>IF(OR(H1335="",I1335=""),"",IF(H1335=0,"",I1335/H1335-1))</f>
        <v/>
      </c>
      <c r="K1335" t="str">
        <f>IF($B1335="","",IFERROR(IF(G1335=0,-2E+300,CHOOSE(sortIdx,ROUND(D1335,0),IF(J1335="",-1E+300,ROUND(-J1335,6)),IF(J1335="",-1E+300,ROUND(J1335,6)))),-1.5E+300))</f>
        <v/>
      </c>
      <c r="L1335" t="str">
        <f>IF(K1335="","",RANK(K1335,$K$2:$K$3001,0)+COUNTIF($K$2:K1335,K1335)-1)</f>
        <v/>
      </c>
    </row>
    <row r="1336">
      <c r="B1336" t="str">
        <f>IFERROR(IF(A1336="","","="&amp;SUBSTITUTE(SUBSTITUTE(SUBSTITUTE(A1336,"~","~~"),"*","~*"),"?","~?")),"")</f>
        <v/>
      </c>
      <c r="C1336" t="str">
        <f>IF($B1336="","",SUMIFS(dAmt,dCust,$B1336,dPer,"&gt;="&amp;pyFrom,dPer,"&lt;="&amp;pyTo,dAmt,"&gt;-1E+300",dFlt1,critFlt1,dFlt2,critFlt2,dFlt3,critFlt3))</f>
        <v/>
      </c>
      <c r="D1336" t="str">
        <f>IF($B1336="","",SUMIFS(dAmt,dCust,$B1336,dPer,"&gt;="&amp;cyFrom,dPer,"&lt;="&amp;cyTo,dAmt,"&gt;-1E+300",dFlt1,critFlt1,dFlt2,critFlt2,dFlt3,critFlt3))</f>
        <v/>
      </c>
      <c r="E1336" t="str">
        <f>IF($B1336="","",SUMIFS(dQty,dCust,$B1336,dPer,"&gt;="&amp;pyFrom,dPer,"&lt;="&amp;pyTo,dQty,"&gt;-1E+300",dFlt1,critFlt1,dFlt2,critFlt2,dFlt3,critFlt3))</f>
        <v/>
      </c>
      <c r="F1336" t="str">
        <f>IF($B1336="","",SUMIFS(dQty,dCust,$B1336,dPer,"&gt;="&amp;cyFrom,dPer,"&lt;="&amp;cyTo,dQty,"&gt;-1E+300",dFlt1,critFlt1,dFlt2,critFlt2,dFlt3,critFlt3))</f>
        <v/>
      </c>
      <c r="G1336">
        <f>IF($B1336="",0,IFERROR(IF(OR(C1336&lt;&gt;0,D1336&lt;&gt;0,E1336&lt;&gt;0,F1336&lt;&gt;0),1,0),1))</f>
        <v>0</v>
      </c>
      <c r="H1336" t="str">
        <f>IF(OR(G1336=0,E1336=0),"",C1336/E1336)</f>
        <v/>
      </c>
      <c r="I1336" t="str">
        <f>IF(OR(G1336=0,F1336=0),"",D1336/F1336)</f>
        <v/>
      </c>
      <c r="J1336" t="str">
        <f>IF(OR(H1336="",I1336=""),"",IF(H1336=0,"",I1336/H1336-1))</f>
        <v/>
      </c>
      <c r="K1336" t="str">
        <f>IF($B1336="","",IFERROR(IF(G1336=0,-2E+300,CHOOSE(sortIdx,ROUND(D1336,0),IF(J1336="",-1E+300,ROUND(-J1336,6)),IF(J1336="",-1E+300,ROUND(J1336,6)))),-1.5E+300))</f>
        <v/>
      </c>
      <c r="L1336" t="str">
        <f>IF(K1336="","",RANK(K1336,$K$2:$K$3001,0)+COUNTIF($K$2:K1336,K1336)-1)</f>
        <v/>
      </c>
    </row>
    <row r="1337">
      <c r="B1337" t="str">
        <f>IFERROR(IF(A1337="","","="&amp;SUBSTITUTE(SUBSTITUTE(SUBSTITUTE(A1337,"~","~~"),"*","~*"),"?","~?")),"")</f>
        <v/>
      </c>
      <c r="C1337" t="str">
        <f>IF($B1337="","",SUMIFS(dAmt,dCust,$B1337,dPer,"&gt;="&amp;pyFrom,dPer,"&lt;="&amp;pyTo,dAmt,"&gt;-1E+300",dFlt1,critFlt1,dFlt2,critFlt2,dFlt3,critFlt3))</f>
        <v/>
      </c>
      <c r="D1337" t="str">
        <f>IF($B1337="","",SUMIFS(dAmt,dCust,$B1337,dPer,"&gt;="&amp;cyFrom,dPer,"&lt;="&amp;cyTo,dAmt,"&gt;-1E+300",dFlt1,critFlt1,dFlt2,critFlt2,dFlt3,critFlt3))</f>
        <v/>
      </c>
      <c r="E1337" t="str">
        <f>IF($B1337="","",SUMIFS(dQty,dCust,$B1337,dPer,"&gt;="&amp;pyFrom,dPer,"&lt;="&amp;pyTo,dQty,"&gt;-1E+300",dFlt1,critFlt1,dFlt2,critFlt2,dFlt3,critFlt3))</f>
        <v/>
      </c>
      <c r="F1337" t="str">
        <f>IF($B1337="","",SUMIFS(dQty,dCust,$B1337,dPer,"&gt;="&amp;cyFrom,dPer,"&lt;="&amp;cyTo,dQty,"&gt;-1E+300",dFlt1,critFlt1,dFlt2,critFlt2,dFlt3,critFlt3))</f>
        <v/>
      </c>
      <c r="G1337">
        <f>IF($B1337="",0,IFERROR(IF(OR(C1337&lt;&gt;0,D1337&lt;&gt;0,E1337&lt;&gt;0,F1337&lt;&gt;0),1,0),1))</f>
        <v>0</v>
      </c>
      <c r="H1337" t="str">
        <f>IF(OR(G1337=0,E1337=0),"",C1337/E1337)</f>
        <v/>
      </c>
      <c r="I1337" t="str">
        <f>IF(OR(G1337=0,F1337=0),"",D1337/F1337)</f>
        <v/>
      </c>
      <c r="J1337" t="str">
        <f>IF(OR(H1337="",I1337=""),"",IF(H1337=0,"",I1337/H1337-1))</f>
        <v/>
      </c>
      <c r="K1337" t="str">
        <f>IF($B1337="","",IFERROR(IF(G1337=0,-2E+300,CHOOSE(sortIdx,ROUND(D1337,0),IF(J1337="",-1E+300,ROUND(-J1337,6)),IF(J1337="",-1E+300,ROUND(J1337,6)))),-1.5E+300))</f>
        <v/>
      </c>
      <c r="L1337" t="str">
        <f>IF(K1337="","",RANK(K1337,$K$2:$K$3001,0)+COUNTIF($K$2:K1337,K1337)-1)</f>
        <v/>
      </c>
    </row>
    <row r="1338">
      <c r="B1338" t="str">
        <f>IFERROR(IF(A1338="","","="&amp;SUBSTITUTE(SUBSTITUTE(SUBSTITUTE(A1338,"~","~~"),"*","~*"),"?","~?")),"")</f>
        <v/>
      </c>
      <c r="C1338" t="str">
        <f>IF($B1338="","",SUMIFS(dAmt,dCust,$B1338,dPer,"&gt;="&amp;pyFrom,dPer,"&lt;="&amp;pyTo,dAmt,"&gt;-1E+300",dFlt1,critFlt1,dFlt2,critFlt2,dFlt3,critFlt3))</f>
        <v/>
      </c>
      <c r="D1338" t="str">
        <f>IF($B1338="","",SUMIFS(dAmt,dCust,$B1338,dPer,"&gt;="&amp;cyFrom,dPer,"&lt;="&amp;cyTo,dAmt,"&gt;-1E+300",dFlt1,critFlt1,dFlt2,critFlt2,dFlt3,critFlt3))</f>
        <v/>
      </c>
      <c r="E1338" t="str">
        <f>IF($B1338="","",SUMIFS(dQty,dCust,$B1338,dPer,"&gt;="&amp;pyFrom,dPer,"&lt;="&amp;pyTo,dQty,"&gt;-1E+300",dFlt1,critFlt1,dFlt2,critFlt2,dFlt3,critFlt3))</f>
        <v/>
      </c>
      <c r="F1338" t="str">
        <f>IF($B1338="","",SUMIFS(dQty,dCust,$B1338,dPer,"&gt;="&amp;cyFrom,dPer,"&lt;="&amp;cyTo,dQty,"&gt;-1E+300",dFlt1,critFlt1,dFlt2,critFlt2,dFlt3,critFlt3))</f>
        <v/>
      </c>
      <c r="G1338">
        <f>IF($B1338="",0,IFERROR(IF(OR(C1338&lt;&gt;0,D1338&lt;&gt;0,E1338&lt;&gt;0,F1338&lt;&gt;0),1,0),1))</f>
        <v>0</v>
      </c>
      <c r="H1338" t="str">
        <f>IF(OR(G1338=0,E1338=0),"",C1338/E1338)</f>
        <v/>
      </c>
      <c r="I1338" t="str">
        <f>IF(OR(G1338=0,F1338=0),"",D1338/F1338)</f>
        <v/>
      </c>
      <c r="J1338" t="str">
        <f>IF(OR(H1338="",I1338=""),"",IF(H1338=0,"",I1338/H1338-1))</f>
        <v/>
      </c>
      <c r="K1338" t="str">
        <f>IF($B1338="","",IFERROR(IF(G1338=0,-2E+300,CHOOSE(sortIdx,ROUND(D1338,0),IF(J1338="",-1E+300,ROUND(-J1338,6)),IF(J1338="",-1E+300,ROUND(J1338,6)))),-1.5E+300))</f>
        <v/>
      </c>
      <c r="L1338" t="str">
        <f>IF(K1338="","",RANK(K1338,$K$2:$K$3001,0)+COUNTIF($K$2:K1338,K1338)-1)</f>
        <v/>
      </c>
    </row>
    <row r="1339">
      <c r="B1339" t="str">
        <f>IFERROR(IF(A1339="","","="&amp;SUBSTITUTE(SUBSTITUTE(SUBSTITUTE(A1339,"~","~~"),"*","~*"),"?","~?")),"")</f>
        <v/>
      </c>
      <c r="C1339" t="str">
        <f>IF($B1339="","",SUMIFS(dAmt,dCust,$B1339,dPer,"&gt;="&amp;pyFrom,dPer,"&lt;="&amp;pyTo,dAmt,"&gt;-1E+300",dFlt1,critFlt1,dFlt2,critFlt2,dFlt3,critFlt3))</f>
        <v/>
      </c>
      <c r="D1339" t="str">
        <f>IF($B1339="","",SUMIFS(dAmt,dCust,$B1339,dPer,"&gt;="&amp;cyFrom,dPer,"&lt;="&amp;cyTo,dAmt,"&gt;-1E+300",dFlt1,critFlt1,dFlt2,critFlt2,dFlt3,critFlt3))</f>
        <v/>
      </c>
      <c r="E1339" t="str">
        <f>IF($B1339="","",SUMIFS(dQty,dCust,$B1339,dPer,"&gt;="&amp;pyFrom,dPer,"&lt;="&amp;pyTo,dQty,"&gt;-1E+300",dFlt1,critFlt1,dFlt2,critFlt2,dFlt3,critFlt3))</f>
        <v/>
      </c>
      <c r="F1339" t="str">
        <f>IF($B1339="","",SUMIFS(dQty,dCust,$B1339,dPer,"&gt;="&amp;cyFrom,dPer,"&lt;="&amp;cyTo,dQty,"&gt;-1E+300",dFlt1,critFlt1,dFlt2,critFlt2,dFlt3,critFlt3))</f>
        <v/>
      </c>
      <c r="G1339">
        <f>IF($B1339="",0,IFERROR(IF(OR(C1339&lt;&gt;0,D1339&lt;&gt;0,E1339&lt;&gt;0,F1339&lt;&gt;0),1,0),1))</f>
        <v>0</v>
      </c>
      <c r="H1339" t="str">
        <f>IF(OR(G1339=0,E1339=0),"",C1339/E1339)</f>
        <v/>
      </c>
      <c r="I1339" t="str">
        <f>IF(OR(G1339=0,F1339=0),"",D1339/F1339)</f>
        <v/>
      </c>
      <c r="J1339" t="str">
        <f>IF(OR(H1339="",I1339=""),"",IF(H1339=0,"",I1339/H1339-1))</f>
        <v/>
      </c>
      <c r="K1339" t="str">
        <f>IF($B1339="","",IFERROR(IF(G1339=0,-2E+300,CHOOSE(sortIdx,ROUND(D1339,0),IF(J1339="",-1E+300,ROUND(-J1339,6)),IF(J1339="",-1E+300,ROUND(J1339,6)))),-1.5E+300))</f>
        <v/>
      </c>
      <c r="L1339" t="str">
        <f>IF(K1339="","",RANK(K1339,$K$2:$K$3001,0)+COUNTIF($K$2:K1339,K1339)-1)</f>
        <v/>
      </c>
    </row>
    <row r="1340">
      <c r="B1340" t="str">
        <f>IFERROR(IF(A1340="","","="&amp;SUBSTITUTE(SUBSTITUTE(SUBSTITUTE(A1340,"~","~~"),"*","~*"),"?","~?")),"")</f>
        <v/>
      </c>
      <c r="C1340" t="str">
        <f>IF($B1340="","",SUMIFS(dAmt,dCust,$B1340,dPer,"&gt;="&amp;pyFrom,dPer,"&lt;="&amp;pyTo,dAmt,"&gt;-1E+300",dFlt1,critFlt1,dFlt2,critFlt2,dFlt3,critFlt3))</f>
        <v/>
      </c>
      <c r="D1340" t="str">
        <f>IF($B1340="","",SUMIFS(dAmt,dCust,$B1340,dPer,"&gt;="&amp;cyFrom,dPer,"&lt;="&amp;cyTo,dAmt,"&gt;-1E+300",dFlt1,critFlt1,dFlt2,critFlt2,dFlt3,critFlt3))</f>
        <v/>
      </c>
      <c r="E1340" t="str">
        <f>IF($B1340="","",SUMIFS(dQty,dCust,$B1340,dPer,"&gt;="&amp;pyFrom,dPer,"&lt;="&amp;pyTo,dQty,"&gt;-1E+300",dFlt1,critFlt1,dFlt2,critFlt2,dFlt3,critFlt3))</f>
        <v/>
      </c>
      <c r="F1340" t="str">
        <f>IF($B1340="","",SUMIFS(dQty,dCust,$B1340,dPer,"&gt;="&amp;cyFrom,dPer,"&lt;="&amp;cyTo,dQty,"&gt;-1E+300",dFlt1,critFlt1,dFlt2,critFlt2,dFlt3,critFlt3))</f>
        <v/>
      </c>
      <c r="G1340">
        <f>IF($B1340="",0,IFERROR(IF(OR(C1340&lt;&gt;0,D1340&lt;&gt;0,E1340&lt;&gt;0,F1340&lt;&gt;0),1,0),1))</f>
        <v>0</v>
      </c>
      <c r="H1340" t="str">
        <f>IF(OR(G1340=0,E1340=0),"",C1340/E1340)</f>
        <v/>
      </c>
      <c r="I1340" t="str">
        <f>IF(OR(G1340=0,F1340=0),"",D1340/F1340)</f>
        <v/>
      </c>
      <c r="J1340" t="str">
        <f>IF(OR(H1340="",I1340=""),"",IF(H1340=0,"",I1340/H1340-1))</f>
        <v/>
      </c>
      <c r="K1340" t="str">
        <f>IF($B1340="","",IFERROR(IF(G1340=0,-2E+300,CHOOSE(sortIdx,ROUND(D1340,0),IF(J1340="",-1E+300,ROUND(-J1340,6)),IF(J1340="",-1E+300,ROUND(J1340,6)))),-1.5E+300))</f>
        <v/>
      </c>
      <c r="L1340" t="str">
        <f>IF(K1340="","",RANK(K1340,$K$2:$K$3001,0)+COUNTIF($K$2:K1340,K1340)-1)</f>
        <v/>
      </c>
    </row>
    <row r="1341">
      <c r="B1341" t="str">
        <f>IFERROR(IF(A1341="","","="&amp;SUBSTITUTE(SUBSTITUTE(SUBSTITUTE(A1341,"~","~~"),"*","~*"),"?","~?")),"")</f>
        <v/>
      </c>
      <c r="C1341" t="str">
        <f>IF($B1341="","",SUMIFS(dAmt,dCust,$B1341,dPer,"&gt;="&amp;pyFrom,dPer,"&lt;="&amp;pyTo,dAmt,"&gt;-1E+300",dFlt1,critFlt1,dFlt2,critFlt2,dFlt3,critFlt3))</f>
        <v/>
      </c>
      <c r="D1341" t="str">
        <f>IF($B1341="","",SUMIFS(dAmt,dCust,$B1341,dPer,"&gt;="&amp;cyFrom,dPer,"&lt;="&amp;cyTo,dAmt,"&gt;-1E+300",dFlt1,critFlt1,dFlt2,critFlt2,dFlt3,critFlt3))</f>
        <v/>
      </c>
      <c r="E1341" t="str">
        <f>IF($B1341="","",SUMIFS(dQty,dCust,$B1341,dPer,"&gt;="&amp;pyFrom,dPer,"&lt;="&amp;pyTo,dQty,"&gt;-1E+300",dFlt1,critFlt1,dFlt2,critFlt2,dFlt3,critFlt3))</f>
        <v/>
      </c>
      <c r="F1341" t="str">
        <f>IF($B1341="","",SUMIFS(dQty,dCust,$B1341,dPer,"&gt;="&amp;cyFrom,dPer,"&lt;="&amp;cyTo,dQty,"&gt;-1E+300",dFlt1,critFlt1,dFlt2,critFlt2,dFlt3,critFlt3))</f>
        <v/>
      </c>
      <c r="G1341">
        <f>IF($B1341="",0,IFERROR(IF(OR(C1341&lt;&gt;0,D1341&lt;&gt;0,E1341&lt;&gt;0,F1341&lt;&gt;0),1,0),1))</f>
        <v>0</v>
      </c>
      <c r="H1341" t="str">
        <f>IF(OR(G1341=0,E1341=0),"",C1341/E1341)</f>
        <v/>
      </c>
      <c r="I1341" t="str">
        <f>IF(OR(G1341=0,F1341=0),"",D1341/F1341)</f>
        <v/>
      </c>
      <c r="J1341" t="str">
        <f>IF(OR(H1341="",I1341=""),"",IF(H1341=0,"",I1341/H1341-1))</f>
        <v/>
      </c>
      <c r="K1341" t="str">
        <f>IF($B1341="","",IFERROR(IF(G1341=0,-2E+300,CHOOSE(sortIdx,ROUND(D1341,0),IF(J1341="",-1E+300,ROUND(-J1341,6)),IF(J1341="",-1E+300,ROUND(J1341,6)))),-1.5E+300))</f>
        <v/>
      </c>
      <c r="L1341" t="str">
        <f>IF(K1341="","",RANK(K1341,$K$2:$K$3001,0)+COUNTIF($K$2:K1341,K1341)-1)</f>
        <v/>
      </c>
    </row>
    <row r="1342">
      <c r="B1342" t="str">
        <f>IFERROR(IF(A1342="","","="&amp;SUBSTITUTE(SUBSTITUTE(SUBSTITUTE(A1342,"~","~~"),"*","~*"),"?","~?")),"")</f>
        <v/>
      </c>
      <c r="C1342" t="str">
        <f>IF($B1342="","",SUMIFS(dAmt,dCust,$B1342,dPer,"&gt;="&amp;pyFrom,dPer,"&lt;="&amp;pyTo,dAmt,"&gt;-1E+300",dFlt1,critFlt1,dFlt2,critFlt2,dFlt3,critFlt3))</f>
        <v/>
      </c>
      <c r="D1342" t="str">
        <f>IF($B1342="","",SUMIFS(dAmt,dCust,$B1342,dPer,"&gt;="&amp;cyFrom,dPer,"&lt;="&amp;cyTo,dAmt,"&gt;-1E+300",dFlt1,critFlt1,dFlt2,critFlt2,dFlt3,critFlt3))</f>
        <v/>
      </c>
      <c r="E1342" t="str">
        <f>IF($B1342="","",SUMIFS(dQty,dCust,$B1342,dPer,"&gt;="&amp;pyFrom,dPer,"&lt;="&amp;pyTo,dQty,"&gt;-1E+300",dFlt1,critFlt1,dFlt2,critFlt2,dFlt3,critFlt3))</f>
        <v/>
      </c>
      <c r="F1342" t="str">
        <f>IF($B1342="","",SUMIFS(dQty,dCust,$B1342,dPer,"&gt;="&amp;cyFrom,dPer,"&lt;="&amp;cyTo,dQty,"&gt;-1E+300",dFlt1,critFlt1,dFlt2,critFlt2,dFlt3,critFlt3))</f>
        <v/>
      </c>
      <c r="G1342">
        <f>IF($B1342="",0,IFERROR(IF(OR(C1342&lt;&gt;0,D1342&lt;&gt;0,E1342&lt;&gt;0,F1342&lt;&gt;0),1,0),1))</f>
        <v>0</v>
      </c>
      <c r="H1342" t="str">
        <f>IF(OR(G1342=0,E1342=0),"",C1342/E1342)</f>
        <v/>
      </c>
      <c r="I1342" t="str">
        <f>IF(OR(G1342=0,F1342=0),"",D1342/F1342)</f>
        <v/>
      </c>
      <c r="J1342" t="str">
        <f>IF(OR(H1342="",I1342=""),"",IF(H1342=0,"",I1342/H1342-1))</f>
        <v/>
      </c>
      <c r="K1342" t="str">
        <f>IF($B1342="","",IFERROR(IF(G1342=0,-2E+300,CHOOSE(sortIdx,ROUND(D1342,0),IF(J1342="",-1E+300,ROUND(-J1342,6)),IF(J1342="",-1E+300,ROUND(J1342,6)))),-1.5E+300))</f>
        <v/>
      </c>
      <c r="L1342" t="str">
        <f>IF(K1342="","",RANK(K1342,$K$2:$K$3001,0)+COUNTIF($K$2:K1342,K1342)-1)</f>
        <v/>
      </c>
    </row>
    <row r="1343">
      <c r="B1343" t="str">
        <f>IFERROR(IF(A1343="","","="&amp;SUBSTITUTE(SUBSTITUTE(SUBSTITUTE(A1343,"~","~~"),"*","~*"),"?","~?")),"")</f>
        <v/>
      </c>
      <c r="C1343" t="str">
        <f>IF($B1343="","",SUMIFS(dAmt,dCust,$B1343,dPer,"&gt;="&amp;pyFrom,dPer,"&lt;="&amp;pyTo,dAmt,"&gt;-1E+300",dFlt1,critFlt1,dFlt2,critFlt2,dFlt3,critFlt3))</f>
        <v/>
      </c>
      <c r="D1343" t="str">
        <f>IF($B1343="","",SUMIFS(dAmt,dCust,$B1343,dPer,"&gt;="&amp;cyFrom,dPer,"&lt;="&amp;cyTo,dAmt,"&gt;-1E+300",dFlt1,critFlt1,dFlt2,critFlt2,dFlt3,critFlt3))</f>
        <v/>
      </c>
      <c r="E1343" t="str">
        <f>IF($B1343="","",SUMIFS(dQty,dCust,$B1343,dPer,"&gt;="&amp;pyFrom,dPer,"&lt;="&amp;pyTo,dQty,"&gt;-1E+300",dFlt1,critFlt1,dFlt2,critFlt2,dFlt3,critFlt3))</f>
        <v/>
      </c>
      <c r="F1343" t="str">
        <f>IF($B1343="","",SUMIFS(dQty,dCust,$B1343,dPer,"&gt;="&amp;cyFrom,dPer,"&lt;="&amp;cyTo,dQty,"&gt;-1E+300",dFlt1,critFlt1,dFlt2,critFlt2,dFlt3,critFlt3))</f>
        <v/>
      </c>
      <c r="G1343">
        <f>IF($B1343="",0,IFERROR(IF(OR(C1343&lt;&gt;0,D1343&lt;&gt;0,E1343&lt;&gt;0,F1343&lt;&gt;0),1,0),1))</f>
        <v>0</v>
      </c>
      <c r="H1343" t="str">
        <f>IF(OR(G1343=0,E1343=0),"",C1343/E1343)</f>
        <v/>
      </c>
      <c r="I1343" t="str">
        <f>IF(OR(G1343=0,F1343=0),"",D1343/F1343)</f>
        <v/>
      </c>
      <c r="J1343" t="str">
        <f>IF(OR(H1343="",I1343=""),"",IF(H1343=0,"",I1343/H1343-1))</f>
        <v/>
      </c>
      <c r="K1343" t="str">
        <f>IF($B1343="","",IFERROR(IF(G1343=0,-2E+300,CHOOSE(sortIdx,ROUND(D1343,0),IF(J1343="",-1E+300,ROUND(-J1343,6)),IF(J1343="",-1E+300,ROUND(J1343,6)))),-1.5E+300))</f>
        <v/>
      </c>
      <c r="L1343" t="str">
        <f>IF(K1343="","",RANK(K1343,$K$2:$K$3001,0)+COUNTIF($K$2:K1343,K1343)-1)</f>
        <v/>
      </c>
    </row>
    <row r="1344">
      <c r="B1344" t="str">
        <f>IFERROR(IF(A1344="","","="&amp;SUBSTITUTE(SUBSTITUTE(SUBSTITUTE(A1344,"~","~~"),"*","~*"),"?","~?")),"")</f>
        <v/>
      </c>
      <c r="C1344" t="str">
        <f>IF($B1344="","",SUMIFS(dAmt,dCust,$B1344,dPer,"&gt;="&amp;pyFrom,dPer,"&lt;="&amp;pyTo,dAmt,"&gt;-1E+300",dFlt1,critFlt1,dFlt2,critFlt2,dFlt3,critFlt3))</f>
        <v/>
      </c>
      <c r="D1344" t="str">
        <f>IF($B1344="","",SUMIFS(dAmt,dCust,$B1344,dPer,"&gt;="&amp;cyFrom,dPer,"&lt;="&amp;cyTo,dAmt,"&gt;-1E+300",dFlt1,critFlt1,dFlt2,critFlt2,dFlt3,critFlt3))</f>
        <v/>
      </c>
      <c r="E1344" t="str">
        <f>IF($B1344="","",SUMIFS(dQty,dCust,$B1344,dPer,"&gt;="&amp;pyFrom,dPer,"&lt;="&amp;pyTo,dQty,"&gt;-1E+300",dFlt1,critFlt1,dFlt2,critFlt2,dFlt3,critFlt3))</f>
        <v/>
      </c>
      <c r="F1344" t="str">
        <f>IF($B1344="","",SUMIFS(dQty,dCust,$B1344,dPer,"&gt;="&amp;cyFrom,dPer,"&lt;="&amp;cyTo,dQty,"&gt;-1E+300",dFlt1,critFlt1,dFlt2,critFlt2,dFlt3,critFlt3))</f>
        <v/>
      </c>
      <c r="G1344">
        <f>IF($B1344="",0,IFERROR(IF(OR(C1344&lt;&gt;0,D1344&lt;&gt;0,E1344&lt;&gt;0,F1344&lt;&gt;0),1,0),1))</f>
        <v>0</v>
      </c>
      <c r="H1344" t="str">
        <f>IF(OR(G1344=0,E1344=0),"",C1344/E1344)</f>
        <v/>
      </c>
      <c r="I1344" t="str">
        <f>IF(OR(G1344=0,F1344=0),"",D1344/F1344)</f>
        <v/>
      </c>
      <c r="J1344" t="str">
        <f>IF(OR(H1344="",I1344=""),"",IF(H1344=0,"",I1344/H1344-1))</f>
        <v/>
      </c>
      <c r="K1344" t="str">
        <f>IF($B1344="","",IFERROR(IF(G1344=0,-2E+300,CHOOSE(sortIdx,ROUND(D1344,0),IF(J1344="",-1E+300,ROUND(-J1344,6)),IF(J1344="",-1E+300,ROUND(J1344,6)))),-1.5E+300))</f>
        <v/>
      </c>
      <c r="L1344" t="str">
        <f>IF(K1344="","",RANK(K1344,$K$2:$K$3001,0)+COUNTIF($K$2:K1344,K1344)-1)</f>
        <v/>
      </c>
    </row>
    <row r="1345">
      <c r="B1345" t="str">
        <f>IFERROR(IF(A1345="","","="&amp;SUBSTITUTE(SUBSTITUTE(SUBSTITUTE(A1345,"~","~~"),"*","~*"),"?","~?")),"")</f>
        <v/>
      </c>
      <c r="C1345" t="str">
        <f>IF($B1345="","",SUMIFS(dAmt,dCust,$B1345,dPer,"&gt;="&amp;pyFrom,dPer,"&lt;="&amp;pyTo,dAmt,"&gt;-1E+300",dFlt1,critFlt1,dFlt2,critFlt2,dFlt3,critFlt3))</f>
        <v/>
      </c>
      <c r="D1345" t="str">
        <f>IF($B1345="","",SUMIFS(dAmt,dCust,$B1345,dPer,"&gt;="&amp;cyFrom,dPer,"&lt;="&amp;cyTo,dAmt,"&gt;-1E+300",dFlt1,critFlt1,dFlt2,critFlt2,dFlt3,critFlt3))</f>
        <v/>
      </c>
      <c r="E1345" t="str">
        <f>IF($B1345="","",SUMIFS(dQty,dCust,$B1345,dPer,"&gt;="&amp;pyFrom,dPer,"&lt;="&amp;pyTo,dQty,"&gt;-1E+300",dFlt1,critFlt1,dFlt2,critFlt2,dFlt3,critFlt3))</f>
        <v/>
      </c>
      <c r="F1345" t="str">
        <f>IF($B1345="","",SUMIFS(dQty,dCust,$B1345,dPer,"&gt;="&amp;cyFrom,dPer,"&lt;="&amp;cyTo,dQty,"&gt;-1E+300",dFlt1,critFlt1,dFlt2,critFlt2,dFlt3,critFlt3))</f>
        <v/>
      </c>
      <c r="G1345">
        <f>IF($B1345="",0,IFERROR(IF(OR(C1345&lt;&gt;0,D1345&lt;&gt;0,E1345&lt;&gt;0,F1345&lt;&gt;0),1,0),1))</f>
        <v>0</v>
      </c>
      <c r="H1345" t="str">
        <f>IF(OR(G1345=0,E1345=0),"",C1345/E1345)</f>
        <v/>
      </c>
      <c r="I1345" t="str">
        <f>IF(OR(G1345=0,F1345=0),"",D1345/F1345)</f>
        <v/>
      </c>
      <c r="J1345" t="str">
        <f>IF(OR(H1345="",I1345=""),"",IF(H1345=0,"",I1345/H1345-1))</f>
        <v/>
      </c>
      <c r="K1345" t="str">
        <f>IF($B1345="","",IFERROR(IF(G1345=0,-2E+300,CHOOSE(sortIdx,ROUND(D1345,0),IF(J1345="",-1E+300,ROUND(-J1345,6)),IF(J1345="",-1E+300,ROUND(J1345,6)))),-1.5E+300))</f>
        <v/>
      </c>
      <c r="L1345" t="str">
        <f>IF(K1345="","",RANK(K1345,$K$2:$K$3001,0)+COUNTIF($K$2:K1345,K1345)-1)</f>
        <v/>
      </c>
    </row>
    <row r="1346">
      <c r="B1346" t="str">
        <f>IFERROR(IF(A1346="","","="&amp;SUBSTITUTE(SUBSTITUTE(SUBSTITUTE(A1346,"~","~~"),"*","~*"),"?","~?")),"")</f>
        <v/>
      </c>
      <c r="C1346" t="str">
        <f>IF($B1346="","",SUMIFS(dAmt,dCust,$B1346,dPer,"&gt;="&amp;pyFrom,dPer,"&lt;="&amp;pyTo,dAmt,"&gt;-1E+300",dFlt1,critFlt1,dFlt2,critFlt2,dFlt3,critFlt3))</f>
        <v/>
      </c>
      <c r="D1346" t="str">
        <f>IF($B1346="","",SUMIFS(dAmt,dCust,$B1346,dPer,"&gt;="&amp;cyFrom,dPer,"&lt;="&amp;cyTo,dAmt,"&gt;-1E+300",dFlt1,critFlt1,dFlt2,critFlt2,dFlt3,critFlt3))</f>
        <v/>
      </c>
      <c r="E1346" t="str">
        <f>IF($B1346="","",SUMIFS(dQty,dCust,$B1346,dPer,"&gt;="&amp;pyFrom,dPer,"&lt;="&amp;pyTo,dQty,"&gt;-1E+300",dFlt1,critFlt1,dFlt2,critFlt2,dFlt3,critFlt3))</f>
        <v/>
      </c>
      <c r="F1346" t="str">
        <f>IF($B1346="","",SUMIFS(dQty,dCust,$B1346,dPer,"&gt;="&amp;cyFrom,dPer,"&lt;="&amp;cyTo,dQty,"&gt;-1E+300",dFlt1,critFlt1,dFlt2,critFlt2,dFlt3,critFlt3))</f>
        <v/>
      </c>
      <c r="G1346">
        <f>IF($B1346="",0,IFERROR(IF(OR(C1346&lt;&gt;0,D1346&lt;&gt;0,E1346&lt;&gt;0,F1346&lt;&gt;0),1,0),1))</f>
        <v>0</v>
      </c>
      <c r="H1346" t="str">
        <f>IF(OR(G1346=0,E1346=0),"",C1346/E1346)</f>
        <v/>
      </c>
      <c r="I1346" t="str">
        <f>IF(OR(G1346=0,F1346=0),"",D1346/F1346)</f>
        <v/>
      </c>
      <c r="J1346" t="str">
        <f>IF(OR(H1346="",I1346=""),"",IF(H1346=0,"",I1346/H1346-1))</f>
        <v/>
      </c>
      <c r="K1346" t="str">
        <f>IF($B1346="","",IFERROR(IF(G1346=0,-2E+300,CHOOSE(sortIdx,ROUND(D1346,0),IF(J1346="",-1E+300,ROUND(-J1346,6)),IF(J1346="",-1E+300,ROUND(J1346,6)))),-1.5E+300))</f>
        <v/>
      </c>
      <c r="L1346" t="str">
        <f>IF(K1346="","",RANK(K1346,$K$2:$K$3001,0)+COUNTIF($K$2:K1346,K1346)-1)</f>
        <v/>
      </c>
    </row>
    <row r="1347">
      <c r="B1347" t="str">
        <f>IFERROR(IF(A1347="","","="&amp;SUBSTITUTE(SUBSTITUTE(SUBSTITUTE(A1347,"~","~~"),"*","~*"),"?","~?")),"")</f>
        <v/>
      </c>
      <c r="C1347" t="str">
        <f>IF($B1347="","",SUMIFS(dAmt,dCust,$B1347,dPer,"&gt;="&amp;pyFrom,dPer,"&lt;="&amp;pyTo,dAmt,"&gt;-1E+300",dFlt1,critFlt1,dFlt2,critFlt2,dFlt3,critFlt3))</f>
        <v/>
      </c>
      <c r="D1347" t="str">
        <f>IF($B1347="","",SUMIFS(dAmt,dCust,$B1347,dPer,"&gt;="&amp;cyFrom,dPer,"&lt;="&amp;cyTo,dAmt,"&gt;-1E+300",dFlt1,critFlt1,dFlt2,critFlt2,dFlt3,critFlt3))</f>
        <v/>
      </c>
      <c r="E1347" t="str">
        <f>IF($B1347="","",SUMIFS(dQty,dCust,$B1347,dPer,"&gt;="&amp;pyFrom,dPer,"&lt;="&amp;pyTo,dQty,"&gt;-1E+300",dFlt1,critFlt1,dFlt2,critFlt2,dFlt3,critFlt3))</f>
        <v/>
      </c>
      <c r="F1347" t="str">
        <f>IF($B1347="","",SUMIFS(dQty,dCust,$B1347,dPer,"&gt;="&amp;cyFrom,dPer,"&lt;="&amp;cyTo,dQty,"&gt;-1E+300",dFlt1,critFlt1,dFlt2,critFlt2,dFlt3,critFlt3))</f>
        <v/>
      </c>
      <c r="G1347">
        <f>IF($B1347="",0,IFERROR(IF(OR(C1347&lt;&gt;0,D1347&lt;&gt;0,E1347&lt;&gt;0,F1347&lt;&gt;0),1,0),1))</f>
        <v>0</v>
      </c>
      <c r="H1347" t="str">
        <f>IF(OR(G1347=0,E1347=0),"",C1347/E1347)</f>
        <v/>
      </c>
      <c r="I1347" t="str">
        <f>IF(OR(G1347=0,F1347=0),"",D1347/F1347)</f>
        <v/>
      </c>
      <c r="J1347" t="str">
        <f>IF(OR(H1347="",I1347=""),"",IF(H1347=0,"",I1347/H1347-1))</f>
        <v/>
      </c>
      <c r="K1347" t="str">
        <f>IF($B1347="","",IFERROR(IF(G1347=0,-2E+300,CHOOSE(sortIdx,ROUND(D1347,0),IF(J1347="",-1E+300,ROUND(-J1347,6)),IF(J1347="",-1E+300,ROUND(J1347,6)))),-1.5E+300))</f>
        <v/>
      </c>
      <c r="L1347" t="str">
        <f>IF(K1347="","",RANK(K1347,$K$2:$K$3001,0)+COUNTIF($K$2:K1347,K1347)-1)</f>
        <v/>
      </c>
    </row>
    <row r="1348">
      <c r="B1348" t="str">
        <f>IFERROR(IF(A1348="","","="&amp;SUBSTITUTE(SUBSTITUTE(SUBSTITUTE(A1348,"~","~~"),"*","~*"),"?","~?")),"")</f>
        <v/>
      </c>
      <c r="C1348" t="str">
        <f>IF($B1348="","",SUMIFS(dAmt,dCust,$B1348,dPer,"&gt;="&amp;pyFrom,dPer,"&lt;="&amp;pyTo,dAmt,"&gt;-1E+300",dFlt1,critFlt1,dFlt2,critFlt2,dFlt3,critFlt3))</f>
        <v/>
      </c>
      <c r="D1348" t="str">
        <f>IF($B1348="","",SUMIFS(dAmt,dCust,$B1348,dPer,"&gt;="&amp;cyFrom,dPer,"&lt;="&amp;cyTo,dAmt,"&gt;-1E+300",dFlt1,critFlt1,dFlt2,critFlt2,dFlt3,critFlt3))</f>
        <v/>
      </c>
      <c r="E1348" t="str">
        <f>IF($B1348="","",SUMIFS(dQty,dCust,$B1348,dPer,"&gt;="&amp;pyFrom,dPer,"&lt;="&amp;pyTo,dQty,"&gt;-1E+300",dFlt1,critFlt1,dFlt2,critFlt2,dFlt3,critFlt3))</f>
        <v/>
      </c>
      <c r="F1348" t="str">
        <f>IF($B1348="","",SUMIFS(dQty,dCust,$B1348,dPer,"&gt;="&amp;cyFrom,dPer,"&lt;="&amp;cyTo,dQty,"&gt;-1E+300",dFlt1,critFlt1,dFlt2,critFlt2,dFlt3,critFlt3))</f>
        <v/>
      </c>
      <c r="G1348">
        <f>IF($B1348="",0,IFERROR(IF(OR(C1348&lt;&gt;0,D1348&lt;&gt;0,E1348&lt;&gt;0,F1348&lt;&gt;0),1,0),1))</f>
        <v>0</v>
      </c>
      <c r="H1348" t="str">
        <f>IF(OR(G1348=0,E1348=0),"",C1348/E1348)</f>
        <v/>
      </c>
      <c r="I1348" t="str">
        <f>IF(OR(G1348=0,F1348=0),"",D1348/F1348)</f>
        <v/>
      </c>
      <c r="J1348" t="str">
        <f>IF(OR(H1348="",I1348=""),"",IF(H1348=0,"",I1348/H1348-1))</f>
        <v/>
      </c>
      <c r="K1348" t="str">
        <f>IF($B1348="","",IFERROR(IF(G1348=0,-2E+300,CHOOSE(sortIdx,ROUND(D1348,0),IF(J1348="",-1E+300,ROUND(-J1348,6)),IF(J1348="",-1E+300,ROUND(J1348,6)))),-1.5E+300))</f>
        <v/>
      </c>
      <c r="L1348" t="str">
        <f>IF(K1348="","",RANK(K1348,$K$2:$K$3001,0)+COUNTIF($K$2:K1348,K1348)-1)</f>
        <v/>
      </c>
    </row>
    <row r="1349">
      <c r="B1349" t="str">
        <f>IFERROR(IF(A1349="","","="&amp;SUBSTITUTE(SUBSTITUTE(SUBSTITUTE(A1349,"~","~~"),"*","~*"),"?","~?")),"")</f>
        <v/>
      </c>
      <c r="C1349" t="str">
        <f>IF($B1349="","",SUMIFS(dAmt,dCust,$B1349,dPer,"&gt;="&amp;pyFrom,dPer,"&lt;="&amp;pyTo,dAmt,"&gt;-1E+300",dFlt1,critFlt1,dFlt2,critFlt2,dFlt3,critFlt3))</f>
        <v/>
      </c>
      <c r="D1349" t="str">
        <f>IF($B1349="","",SUMIFS(dAmt,dCust,$B1349,dPer,"&gt;="&amp;cyFrom,dPer,"&lt;="&amp;cyTo,dAmt,"&gt;-1E+300",dFlt1,critFlt1,dFlt2,critFlt2,dFlt3,critFlt3))</f>
        <v/>
      </c>
      <c r="E1349" t="str">
        <f>IF($B1349="","",SUMIFS(dQty,dCust,$B1349,dPer,"&gt;="&amp;pyFrom,dPer,"&lt;="&amp;pyTo,dQty,"&gt;-1E+300",dFlt1,critFlt1,dFlt2,critFlt2,dFlt3,critFlt3))</f>
        <v/>
      </c>
      <c r="F1349" t="str">
        <f>IF($B1349="","",SUMIFS(dQty,dCust,$B1349,dPer,"&gt;="&amp;cyFrom,dPer,"&lt;="&amp;cyTo,dQty,"&gt;-1E+300",dFlt1,critFlt1,dFlt2,critFlt2,dFlt3,critFlt3))</f>
        <v/>
      </c>
      <c r="G1349">
        <f>IF($B1349="",0,IFERROR(IF(OR(C1349&lt;&gt;0,D1349&lt;&gt;0,E1349&lt;&gt;0,F1349&lt;&gt;0),1,0),1))</f>
        <v>0</v>
      </c>
      <c r="H1349" t="str">
        <f>IF(OR(G1349=0,E1349=0),"",C1349/E1349)</f>
        <v/>
      </c>
      <c r="I1349" t="str">
        <f>IF(OR(G1349=0,F1349=0),"",D1349/F1349)</f>
        <v/>
      </c>
      <c r="J1349" t="str">
        <f>IF(OR(H1349="",I1349=""),"",IF(H1349=0,"",I1349/H1349-1))</f>
        <v/>
      </c>
      <c r="K1349" t="str">
        <f>IF($B1349="","",IFERROR(IF(G1349=0,-2E+300,CHOOSE(sortIdx,ROUND(D1349,0),IF(J1349="",-1E+300,ROUND(-J1349,6)),IF(J1349="",-1E+300,ROUND(J1349,6)))),-1.5E+300))</f>
        <v/>
      </c>
      <c r="L1349" t="str">
        <f>IF(K1349="","",RANK(K1349,$K$2:$K$3001,0)+COUNTIF($K$2:K1349,K1349)-1)</f>
        <v/>
      </c>
    </row>
    <row r="1350">
      <c r="B1350" t="str">
        <f>IFERROR(IF(A1350="","","="&amp;SUBSTITUTE(SUBSTITUTE(SUBSTITUTE(A1350,"~","~~"),"*","~*"),"?","~?")),"")</f>
        <v/>
      </c>
      <c r="C1350" t="str">
        <f>IF($B1350="","",SUMIFS(dAmt,dCust,$B1350,dPer,"&gt;="&amp;pyFrom,dPer,"&lt;="&amp;pyTo,dAmt,"&gt;-1E+300",dFlt1,critFlt1,dFlt2,critFlt2,dFlt3,critFlt3))</f>
        <v/>
      </c>
      <c r="D1350" t="str">
        <f>IF($B1350="","",SUMIFS(dAmt,dCust,$B1350,dPer,"&gt;="&amp;cyFrom,dPer,"&lt;="&amp;cyTo,dAmt,"&gt;-1E+300",dFlt1,critFlt1,dFlt2,critFlt2,dFlt3,critFlt3))</f>
        <v/>
      </c>
      <c r="E1350" t="str">
        <f>IF($B1350="","",SUMIFS(dQty,dCust,$B1350,dPer,"&gt;="&amp;pyFrom,dPer,"&lt;="&amp;pyTo,dQty,"&gt;-1E+300",dFlt1,critFlt1,dFlt2,critFlt2,dFlt3,critFlt3))</f>
        <v/>
      </c>
      <c r="F1350" t="str">
        <f>IF($B1350="","",SUMIFS(dQty,dCust,$B1350,dPer,"&gt;="&amp;cyFrom,dPer,"&lt;="&amp;cyTo,dQty,"&gt;-1E+300",dFlt1,critFlt1,dFlt2,critFlt2,dFlt3,critFlt3))</f>
        <v/>
      </c>
      <c r="G1350">
        <f>IF($B1350="",0,IFERROR(IF(OR(C1350&lt;&gt;0,D1350&lt;&gt;0,E1350&lt;&gt;0,F1350&lt;&gt;0),1,0),1))</f>
        <v>0</v>
      </c>
      <c r="H1350" t="str">
        <f>IF(OR(G1350=0,E1350=0),"",C1350/E1350)</f>
        <v/>
      </c>
      <c r="I1350" t="str">
        <f>IF(OR(G1350=0,F1350=0),"",D1350/F1350)</f>
        <v/>
      </c>
      <c r="J1350" t="str">
        <f>IF(OR(H1350="",I1350=""),"",IF(H1350=0,"",I1350/H1350-1))</f>
        <v/>
      </c>
      <c r="K1350" t="str">
        <f>IF($B1350="","",IFERROR(IF(G1350=0,-2E+300,CHOOSE(sortIdx,ROUND(D1350,0),IF(J1350="",-1E+300,ROUND(-J1350,6)),IF(J1350="",-1E+300,ROUND(J1350,6)))),-1.5E+300))</f>
        <v/>
      </c>
      <c r="L1350" t="str">
        <f>IF(K1350="","",RANK(K1350,$K$2:$K$3001,0)+COUNTIF($K$2:K1350,K1350)-1)</f>
        <v/>
      </c>
    </row>
    <row r="1351">
      <c r="B1351" t="str">
        <f>IFERROR(IF(A1351="","","="&amp;SUBSTITUTE(SUBSTITUTE(SUBSTITUTE(A1351,"~","~~"),"*","~*"),"?","~?")),"")</f>
        <v/>
      </c>
      <c r="C1351" t="str">
        <f>IF($B1351="","",SUMIFS(dAmt,dCust,$B1351,dPer,"&gt;="&amp;pyFrom,dPer,"&lt;="&amp;pyTo,dAmt,"&gt;-1E+300",dFlt1,critFlt1,dFlt2,critFlt2,dFlt3,critFlt3))</f>
        <v/>
      </c>
      <c r="D1351" t="str">
        <f>IF($B1351="","",SUMIFS(dAmt,dCust,$B1351,dPer,"&gt;="&amp;cyFrom,dPer,"&lt;="&amp;cyTo,dAmt,"&gt;-1E+300",dFlt1,critFlt1,dFlt2,critFlt2,dFlt3,critFlt3))</f>
        <v/>
      </c>
      <c r="E1351" t="str">
        <f>IF($B1351="","",SUMIFS(dQty,dCust,$B1351,dPer,"&gt;="&amp;pyFrom,dPer,"&lt;="&amp;pyTo,dQty,"&gt;-1E+300",dFlt1,critFlt1,dFlt2,critFlt2,dFlt3,critFlt3))</f>
        <v/>
      </c>
      <c r="F1351" t="str">
        <f>IF($B1351="","",SUMIFS(dQty,dCust,$B1351,dPer,"&gt;="&amp;cyFrom,dPer,"&lt;="&amp;cyTo,dQty,"&gt;-1E+300",dFlt1,critFlt1,dFlt2,critFlt2,dFlt3,critFlt3))</f>
        <v/>
      </c>
      <c r="G1351">
        <f>IF($B1351="",0,IFERROR(IF(OR(C1351&lt;&gt;0,D1351&lt;&gt;0,E1351&lt;&gt;0,F1351&lt;&gt;0),1,0),1))</f>
        <v>0</v>
      </c>
      <c r="H1351" t="str">
        <f>IF(OR(G1351=0,E1351=0),"",C1351/E1351)</f>
        <v/>
      </c>
      <c r="I1351" t="str">
        <f>IF(OR(G1351=0,F1351=0),"",D1351/F1351)</f>
        <v/>
      </c>
      <c r="J1351" t="str">
        <f>IF(OR(H1351="",I1351=""),"",IF(H1351=0,"",I1351/H1351-1))</f>
        <v/>
      </c>
      <c r="K1351" t="str">
        <f>IF($B1351="","",IFERROR(IF(G1351=0,-2E+300,CHOOSE(sortIdx,ROUND(D1351,0),IF(J1351="",-1E+300,ROUND(-J1351,6)),IF(J1351="",-1E+300,ROUND(J1351,6)))),-1.5E+300))</f>
        <v/>
      </c>
      <c r="L1351" t="str">
        <f>IF(K1351="","",RANK(K1351,$K$2:$K$3001,0)+COUNTIF($K$2:K1351,K1351)-1)</f>
        <v/>
      </c>
    </row>
    <row r="1352">
      <c r="B1352" t="str">
        <f>IFERROR(IF(A1352="","","="&amp;SUBSTITUTE(SUBSTITUTE(SUBSTITUTE(A1352,"~","~~"),"*","~*"),"?","~?")),"")</f>
        <v/>
      </c>
      <c r="C1352" t="str">
        <f>IF($B1352="","",SUMIFS(dAmt,dCust,$B1352,dPer,"&gt;="&amp;pyFrom,dPer,"&lt;="&amp;pyTo,dAmt,"&gt;-1E+300",dFlt1,critFlt1,dFlt2,critFlt2,dFlt3,critFlt3))</f>
        <v/>
      </c>
      <c r="D1352" t="str">
        <f>IF($B1352="","",SUMIFS(dAmt,dCust,$B1352,dPer,"&gt;="&amp;cyFrom,dPer,"&lt;="&amp;cyTo,dAmt,"&gt;-1E+300",dFlt1,critFlt1,dFlt2,critFlt2,dFlt3,critFlt3))</f>
        <v/>
      </c>
      <c r="E1352" t="str">
        <f>IF($B1352="","",SUMIFS(dQty,dCust,$B1352,dPer,"&gt;="&amp;pyFrom,dPer,"&lt;="&amp;pyTo,dQty,"&gt;-1E+300",dFlt1,critFlt1,dFlt2,critFlt2,dFlt3,critFlt3))</f>
        <v/>
      </c>
      <c r="F1352" t="str">
        <f>IF($B1352="","",SUMIFS(dQty,dCust,$B1352,dPer,"&gt;="&amp;cyFrom,dPer,"&lt;="&amp;cyTo,dQty,"&gt;-1E+300",dFlt1,critFlt1,dFlt2,critFlt2,dFlt3,critFlt3))</f>
        <v/>
      </c>
      <c r="G1352">
        <f>IF($B1352="",0,IFERROR(IF(OR(C1352&lt;&gt;0,D1352&lt;&gt;0,E1352&lt;&gt;0,F1352&lt;&gt;0),1,0),1))</f>
        <v>0</v>
      </c>
      <c r="H1352" t="str">
        <f>IF(OR(G1352=0,E1352=0),"",C1352/E1352)</f>
        <v/>
      </c>
      <c r="I1352" t="str">
        <f>IF(OR(G1352=0,F1352=0),"",D1352/F1352)</f>
        <v/>
      </c>
      <c r="J1352" t="str">
        <f>IF(OR(H1352="",I1352=""),"",IF(H1352=0,"",I1352/H1352-1))</f>
        <v/>
      </c>
      <c r="K1352" t="str">
        <f>IF($B1352="","",IFERROR(IF(G1352=0,-2E+300,CHOOSE(sortIdx,ROUND(D1352,0),IF(J1352="",-1E+300,ROUND(-J1352,6)),IF(J1352="",-1E+300,ROUND(J1352,6)))),-1.5E+300))</f>
        <v/>
      </c>
      <c r="L1352" t="str">
        <f>IF(K1352="","",RANK(K1352,$K$2:$K$3001,0)+COUNTIF($K$2:K1352,K1352)-1)</f>
        <v/>
      </c>
    </row>
    <row r="1353">
      <c r="B1353" t="str">
        <f>IFERROR(IF(A1353="","","="&amp;SUBSTITUTE(SUBSTITUTE(SUBSTITUTE(A1353,"~","~~"),"*","~*"),"?","~?")),"")</f>
        <v/>
      </c>
      <c r="C1353" t="str">
        <f>IF($B1353="","",SUMIFS(dAmt,dCust,$B1353,dPer,"&gt;="&amp;pyFrom,dPer,"&lt;="&amp;pyTo,dAmt,"&gt;-1E+300",dFlt1,critFlt1,dFlt2,critFlt2,dFlt3,critFlt3))</f>
        <v/>
      </c>
      <c r="D1353" t="str">
        <f>IF($B1353="","",SUMIFS(dAmt,dCust,$B1353,dPer,"&gt;="&amp;cyFrom,dPer,"&lt;="&amp;cyTo,dAmt,"&gt;-1E+300",dFlt1,critFlt1,dFlt2,critFlt2,dFlt3,critFlt3))</f>
        <v/>
      </c>
      <c r="E1353" t="str">
        <f>IF($B1353="","",SUMIFS(dQty,dCust,$B1353,dPer,"&gt;="&amp;pyFrom,dPer,"&lt;="&amp;pyTo,dQty,"&gt;-1E+300",dFlt1,critFlt1,dFlt2,critFlt2,dFlt3,critFlt3))</f>
        <v/>
      </c>
      <c r="F1353" t="str">
        <f>IF($B1353="","",SUMIFS(dQty,dCust,$B1353,dPer,"&gt;="&amp;cyFrom,dPer,"&lt;="&amp;cyTo,dQty,"&gt;-1E+300",dFlt1,critFlt1,dFlt2,critFlt2,dFlt3,critFlt3))</f>
        <v/>
      </c>
      <c r="G1353">
        <f>IF($B1353="",0,IFERROR(IF(OR(C1353&lt;&gt;0,D1353&lt;&gt;0,E1353&lt;&gt;0,F1353&lt;&gt;0),1,0),1))</f>
        <v>0</v>
      </c>
      <c r="H1353" t="str">
        <f>IF(OR(G1353=0,E1353=0),"",C1353/E1353)</f>
        <v/>
      </c>
      <c r="I1353" t="str">
        <f>IF(OR(G1353=0,F1353=0),"",D1353/F1353)</f>
        <v/>
      </c>
      <c r="J1353" t="str">
        <f>IF(OR(H1353="",I1353=""),"",IF(H1353=0,"",I1353/H1353-1))</f>
        <v/>
      </c>
      <c r="K1353" t="str">
        <f>IF($B1353="","",IFERROR(IF(G1353=0,-2E+300,CHOOSE(sortIdx,ROUND(D1353,0),IF(J1353="",-1E+300,ROUND(-J1353,6)),IF(J1353="",-1E+300,ROUND(J1353,6)))),-1.5E+300))</f>
        <v/>
      </c>
      <c r="L1353" t="str">
        <f>IF(K1353="","",RANK(K1353,$K$2:$K$3001,0)+COUNTIF($K$2:K1353,K1353)-1)</f>
        <v/>
      </c>
    </row>
    <row r="1354">
      <c r="B1354" t="str">
        <f>IFERROR(IF(A1354="","","="&amp;SUBSTITUTE(SUBSTITUTE(SUBSTITUTE(A1354,"~","~~"),"*","~*"),"?","~?")),"")</f>
        <v/>
      </c>
      <c r="C1354" t="str">
        <f>IF($B1354="","",SUMIFS(dAmt,dCust,$B1354,dPer,"&gt;="&amp;pyFrom,dPer,"&lt;="&amp;pyTo,dAmt,"&gt;-1E+300",dFlt1,critFlt1,dFlt2,critFlt2,dFlt3,critFlt3))</f>
        <v/>
      </c>
      <c r="D1354" t="str">
        <f>IF($B1354="","",SUMIFS(dAmt,dCust,$B1354,dPer,"&gt;="&amp;cyFrom,dPer,"&lt;="&amp;cyTo,dAmt,"&gt;-1E+300",dFlt1,critFlt1,dFlt2,critFlt2,dFlt3,critFlt3))</f>
        <v/>
      </c>
      <c r="E1354" t="str">
        <f>IF($B1354="","",SUMIFS(dQty,dCust,$B1354,dPer,"&gt;="&amp;pyFrom,dPer,"&lt;="&amp;pyTo,dQty,"&gt;-1E+300",dFlt1,critFlt1,dFlt2,critFlt2,dFlt3,critFlt3))</f>
        <v/>
      </c>
      <c r="F1354" t="str">
        <f>IF($B1354="","",SUMIFS(dQty,dCust,$B1354,dPer,"&gt;="&amp;cyFrom,dPer,"&lt;="&amp;cyTo,dQty,"&gt;-1E+300",dFlt1,critFlt1,dFlt2,critFlt2,dFlt3,critFlt3))</f>
        <v/>
      </c>
      <c r="G1354">
        <f>IF($B1354="",0,IFERROR(IF(OR(C1354&lt;&gt;0,D1354&lt;&gt;0,E1354&lt;&gt;0,F1354&lt;&gt;0),1,0),1))</f>
        <v>0</v>
      </c>
      <c r="H1354" t="str">
        <f>IF(OR(G1354=0,E1354=0),"",C1354/E1354)</f>
        <v/>
      </c>
      <c r="I1354" t="str">
        <f>IF(OR(G1354=0,F1354=0),"",D1354/F1354)</f>
        <v/>
      </c>
      <c r="J1354" t="str">
        <f>IF(OR(H1354="",I1354=""),"",IF(H1354=0,"",I1354/H1354-1))</f>
        <v/>
      </c>
      <c r="K1354" t="str">
        <f>IF($B1354="","",IFERROR(IF(G1354=0,-2E+300,CHOOSE(sortIdx,ROUND(D1354,0),IF(J1354="",-1E+300,ROUND(-J1354,6)),IF(J1354="",-1E+300,ROUND(J1354,6)))),-1.5E+300))</f>
        <v/>
      </c>
      <c r="L1354" t="str">
        <f>IF(K1354="","",RANK(K1354,$K$2:$K$3001,0)+COUNTIF($K$2:K1354,K1354)-1)</f>
        <v/>
      </c>
    </row>
    <row r="1355">
      <c r="B1355" t="str">
        <f>IFERROR(IF(A1355="","","="&amp;SUBSTITUTE(SUBSTITUTE(SUBSTITUTE(A1355,"~","~~"),"*","~*"),"?","~?")),"")</f>
        <v/>
      </c>
      <c r="C1355" t="str">
        <f>IF($B1355="","",SUMIFS(dAmt,dCust,$B1355,dPer,"&gt;="&amp;pyFrom,dPer,"&lt;="&amp;pyTo,dAmt,"&gt;-1E+300",dFlt1,critFlt1,dFlt2,critFlt2,dFlt3,critFlt3))</f>
        <v/>
      </c>
      <c r="D1355" t="str">
        <f>IF($B1355="","",SUMIFS(dAmt,dCust,$B1355,dPer,"&gt;="&amp;cyFrom,dPer,"&lt;="&amp;cyTo,dAmt,"&gt;-1E+300",dFlt1,critFlt1,dFlt2,critFlt2,dFlt3,critFlt3))</f>
        <v/>
      </c>
      <c r="E1355" t="str">
        <f>IF($B1355="","",SUMIFS(dQty,dCust,$B1355,dPer,"&gt;="&amp;pyFrom,dPer,"&lt;="&amp;pyTo,dQty,"&gt;-1E+300",dFlt1,critFlt1,dFlt2,critFlt2,dFlt3,critFlt3))</f>
        <v/>
      </c>
      <c r="F1355" t="str">
        <f>IF($B1355="","",SUMIFS(dQty,dCust,$B1355,dPer,"&gt;="&amp;cyFrom,dPer,"&lt;="&amp;cyTo,dQty,"&gt;-1E+300",dFlt1,critFlt1,dFlt2,critFlt2,dFlt3,critFlt3))</f>
        <v/>
      </c>
      <c r="G1355">
        <f>IF($B1355="",0,IFERROR(IF(OR(C1355&lt;&gt;0,D1355&lt;&gt;0,E1355&lt;&gt;0,F1355&lt;&gt;0),1,0),1))</f>
        <v>0</v>
      </c>
      <c r="H1355" t="str">
        <f>IF(OR(G1355=0,E1355=0),"",C1355/E1355)</f>
        <v/>
      </c>
      <c r="I1355" t="str">
        <f>IF(OR(G1355=0,F1355=0),"",D1355/F1355)</f>
        <v/>
      </c>
      <c r="J1355" t="str">
        <f>IF(OR(H1355="",I1355=""),"",IF(H1355=0,"",I1355/H1355-1))</f>
        <v/>
      </c>
      <c r="K1355" t="str">
        <f>IF($B1355="","",IFERROR(IF(G1355=0,-2E+300,CHOOSE(sortIdx,ROUND(D1355,0),IF(J1355="",-1E+300,ROUND(-J1355,6)),IF(J1355="",-1E+300,ROUND(J1355,6)))),-1.5E+300))</f>
        <v/>
      </c>
      <c r="L1355" t="str">
        <f>IF(K1355="","",RANK(K1355,$K$2:$K$3001,0)+COUNTIF($K$2:K1355,K1355)-1)</f>
        <v/>
      </c>
    </row>
    <row r="1356">
      <c r="B1356" t="str">
        <f>IFERROR(IF(A1356="","","="&amp;SUBSTITUTE(SUBSTITUTE(SUBSTITUTE(A1356,"~","~~"),"*","~*"),"?","~?")),"")</f>
        <v/>
      </c>
      <c r="C1356" t="str">
        <f>IF($B1356="","",SUMIFS(dAmt,dCust,$B1356,dPer,"&gt;="&amp;pyFrom,dPer,"&lt;="&amp;pyTo,dAmt,"&gt;-1E+300",dFlt1,critFlt1,dFlt2,critFlt2,dFlt3,critFlt3))</f>
        <v/>
      </c>
      <c r="D1356" t="str">
        <f>IF($B1356="","",SUMIFS(dAmt,dCust,$B1356,dPer,"&gt;="&amp;cyFrom,dPer,"&lt;="&amp;cyTo,dAmt,"&gt;-1E+300",dFlt1,critFlt1,dFlt2,critFlt2,dFlt3,critFlt3))</f>
        <v/>
      </c>
      <c r="E1356" t="str">
        <f>IF($B1356="","",SUMIFS(dQty,dCust,$B1356,dPer,"&gt;="&amp;pyFrom,dPer,"&lt;="&amp;pyTo,dQty,"&gt;-1E+300",dFlt1,critFlt1,dFlt2,critFlt2,dFlt3,critFlt3))</f>
        <v/>
      </c>
      <c r="F1356" t="str">
        <f>IF($B1356="","",SUMIFS(dQty,dCust,$B1356,dPer,"&gt;="&amp;cyFrom,dPer,"&lt;="&amp;cyTo,dQty,"&gt;-1E+300",dFlt1,critFlt1,dFlt2,critFlt2,dFlt3,critFlt3))</f>
        <v/>
      </c>
      <c r="G1356">
        <f>IF($B1356="",0,IFERROR(IF(OR(C1356&lt;&gt;0,D1356&lt;&gt;0,E1356&lt;&gt;0,F1356&lt;&gt;0),1,0),1))</f>
        <v>0</v>
      </c>
      <c r="H1356" t="str">
        <f>IF(OR(G1356=0,E1356=0),"",C1356/E1356)</f>
        <v/>
      </c>
      <c r="I1356" t="str">
        <f>IF(OR(G1356=0,F1356=0),"",D1356/F1356)</f>
        <v/>
      </c>
      <c r="J1356" t="str">
        <f>IF(OR(H1356="",I1356=""),"",IF(H1356=0,"",I1356/H1356-1))</f>
        <v/>
      </c>
      <c r="K1356" t="str">
        <f>IF($B1356="","",IFERROR(IF(G1356=0,-2E+300,CHOOSE(sortIdx,ROUND(D1356,0),IF(J1356="",-1E+300,ROUND(-J1356,6)),IF(J1356="",-1E+300,ROUND(J1356,6)))),-1.5E+300))</f>
        <v/>
      </c>
      <c r="L1356" t="str">
        <f>IF(K1356="","",RANK(K1356,$K$2:$K$3001,0)+COUNTIF($K$2:K1356,K1356)-1)</f>
        <v/>
      </c>
    </row>
    <row r="1357">
      <c r="B1357" t="str">
        <f>IFERROR(IF(A1357="","","="&amp;SUBSTITUTE(SUBSTITUTE(SUBSTITUTE(A1357,"~","~~"),"*","~*"),"?","~?")),"")</f>
        <v/>
      </c>
      <c r="C1357" t="str">
        <f>IF($B1357="","",SUMIFS(dAmt,dCust,$B1357,dPer,"&gt;="&amp;pyFrom,dPer,"&lt;="&amp;pyTo,dAmt,"&gt;-1E+300",dFlt1,critFlt1,dFlt2,critFlt2,dFlt3,critFlt3))</f>
        <v/>
      </c>
      <c r="D1357" t="str">
        <f>IF($B1357="","",SUMIFS(dAmt,dCust,$B1357,dPer,"&gt;="&amp;cyFrom,dPer,"&lt;="&amp;cyTo,dAmt,"&gt;-1E+300",dFlt1,critFlt1,dFlt2,critFlt2,dFlt3,critFlt3))</f>
        <v/>
      </c>
      <c r="E1357" t="str">
        <f>IF($B1357="","",SUMIFS(dQty,dCust,$B1357,dPer,"&gt;="&amp;pyFrom,dPer,"&lt;="&amp;pyTo,dQty,"&gt;-1E+300",dFlt1,critFlt1,dFlt2,critFlt2,dFlt3,critFlt3))</f>
        <v/>
      </c>
      <c r="F1357" t="str">
        <f>IF($B1357="","",SUMIFS(dQty,dCust,$B1357,dPer,"&gt;="&amp;cyFrom,dPer,"&lt;="&amp;cyTo,dQty,"&gt;-1E+300",dFlt1,critFlt1,dFlt2,critFlt2,dFlt3,critFlt3))</f>
        <v/>
      </c>
      <c r="G1357">
        <f>IF($B1357="",0,IFERROR(IF(OR(C1357&lt;&gt;0,D1357&lt;&gt;0,E1357&lt;&gt;0,F1357&lt;&gt;0),1,0),1))</f>
        <v>0</v>
      </c>
      <c r="H1357" t="str">
        <f>IF(OR(G1357=0,E1357=0),"",C1357/E1357)</f>
        <v/>
      </c>
      <c r="I1357" t="str">
        <f>IF(OR(G1357=0,F1357=0),"",D1357/F1357)</f>
        <v/>
      </c>
      <c r="J1357" t="str">
        <f>IF(OR(H1357="",I1357=""),"",IF(H1357=0,"",I1357/H1357-1))</f>
        <v/>
      </c>
      <c r="K1357" t="str">
        <f>IF($B1357="","",IFERROR(IF(G1357=0,-2E+300,CHOOSE(sortIdx,ROUND(D1357,0),IF(J1357="",-1E+300,ROUND(-J1357,6)),IF(J1357="",-1E+300,ROUND(J1357,6)))),-1.5E+300))</f>
        <v/>
      </c>
      <c r="L1357" t="str">
        <f>IF(K1357="","",RANK(K1357,$K$2:$K$3001,0)+COUNTIF($K$2:K1357,K1357)-1)</f>
        <v/>
      </c>
    </row>
    <row r="1358">
      <c r="B1358" t="str">
        <f>IFERROR(IF(A1358="","","="&amp;SUBSTITUTE(SUBSTITUTE(SUBSTITUTE(A1358,"~","~~"),"*","~*"),"?","~?")),"")</f>
        <v/>
      </c>
      <c r="C1358" t="str">
        <f>IF($B1358="","",SUMIFS(dAmt,dCust,$B1358,dPer,"&gt;="&amp;pyFrom,dPer,"&lt;="&amp;pyTo,dAmt,"&gt;-1E+300",dFlt1,critFlt1,dFlt2,critFlt2,dFlt3,critFlt3))</f>
        <v/>
      </c>
      <c r="D1358" t="str">
        <f>IF($B1358="","",SUMIFS(dAmt,dCust,$B1358,dPer,"&gt;="&amp;cyFrom,dPer,"&lt;="&amp;cyTo,dAmt,"&gt;-1E+300",dFlt1,critFlt1,dFlt2,critFlt2,dFlt3,critFlt3))</f>
        <v/>
      </c>
      <c r="E1358" t="str">
        <f>IF($B1358="","",SUMIFS(dQty,dCust,$B1358,dPer,"&gt;="&amp;pyFrom,dPer,"&lt;="&amp;pyTo,dQty,"&gt;-1E+300",dFlt1,critFlt1,dFlt2,critFlt2,dFlt3,critFlt3))</f>
        <v/>
      </c>
      <c r="F1358" t="str">
        <f>IF($B1358="","",SUMIFS(dQty,dCust,$B1358,dPer,"&gt;="&amp;cyFrom,dPer,"&lt;="&amp;cyTo,dQty,"&gt;-1E+300",dFlt1,critFlt1,dFlt2,critFlt2,dFlt3,critFlt3))</f>
        <v/>
      </c>
      <c r="G1358">
        <f>IF($B1358="",0,IFERROR(IF(OR(C1358&lt;&gt;0,D1358&lt;&gt;0,E1358&lt;&gt;0,F1358&lt;&gt;0),1,0),1))</f>
        <v>0</v>
      </c>
      <c r="H1358" t="str">
        <f>IF(OR(G1358=0,E1358=0),"",C1358/E1358)</f>
        <v/>
      </c>
      <c r="I1358" t="str">
        <f>IF(OR(G1358=0,F1358=0),"",D1358/F1358)</f>
        <v/>
      </c>
      <c r="J1358" t="str">
        <f>IF(OR(H1358="",I1358=""),"",IF(H1358=0,"",I1358/H1358-1))</f>
        <v/>
      </c>
      <c r="K1358" t="str">
        <f>IF($B1358="","",IFERROR(IF(G1358=0,-2E+300,CHOOSE(sortIdx,ROUND(D1358,0),IF(J1358="",-1E+300,ROUND(-J1358,6)),IF(J1358="",-1E+300,ROUND(J1358,6)))),-1.5E+300))</f>
        <v/>
      </c>
      <c r="L1358" t="str">
        <f>IF(K1358="","",RANK(K1358,$K$2:$K$3001,0)+COUNTIF($K$2:K1358,K1358)-1)</f>
        <v/>
      </c>
    </row>
    <row r="1359">
      <c r="B1359" t="str">
        <f>IFERROR(IF(A1359="","","="&amp;SUBSTITUTE(SUBSTITUTE(SUBSTITUTE(A1359,"~","~~"),"*","~*"),"?","~?")),"")</f>
        <v/>
      </c>
      <c r="C1359" t="str">
        <f>IF($B1359="","",SUMIFS(dAmt,dCust,$B1359,dPer,"&gt;="&amp;pyFrom,dPer,"&lt;="&amp;pyTo,dAmt,"&gt;-1E+300",dFlt1,critFlt1,dFlt2,critFlt2,dFlt3,critFlt3))</f>
        <v/>
      </c>
      <c r="D1359" t="str">
        <f>IF($B1359="","",SUMIFS(dAmt,dCust,$B1359,dPer,"&gt;="&amp;cyFrom,dPer,"&lt;="&amp;cyTo,dAmt,"&gt;-1E+300",dFlt1,critFlt1,dFlt2,critFlt2,dFlt3,critFlt3))</f>
        <v/>
      </c>
      <c r="E1359" t="str">
        <f>IF($B1359="","",SUMIFS(dQty,dCust,$B1359,dPer,"&gt;="&amp;pyFrom,dPer,"&lt;="&amp;pyTo,dQty,"&gt;-1E+300",dFlt1,critFlt1,dFlt2,critFlt2,dFlt3,critFlt3))</f>
        <v/>
      </c>
      <c r="F1359" t="str">
        <f>IF($B1359="","",SUMIFS(dQty,dCust,$B1359,dPer,"&gt;="&amp;cyFrom,dPer,"&lt;="&amp;cyTo,dQty,"&gt;-1E+300",dFlt1,critFlt1,dFlt2,critFlt2,dFlt3,critFlt3))</f>
        <v/>
      </c>
      <c r="G1359">
        <f>IF($B1359="",0,IFERROR(IF(OR(C1359&lt;&gt;0,D1359&lt;&gt;0,E1359&lt;&gt;0,F1359&lt;&gt;0),1,0),1))</f>
        <v>0</v>
      </c>
      <c r="H1359" t="str">
        <f>IF(OR(G1359=0,E1359=0),"",C1359/E1359)</f>
        <v/>
      </c>
      <c r="I1359" t="str">
        <f>IF(OR(G1359=0,F1359=0),"",D1359/F1359)</f>
        <v/>
      </c>
      <c r="J1359" t="str">
        <f>IF(OR(H1359="",I1359=""),"",IF(H1359=0,"",I1359/H1359-1))</f>
        <v/>
      </c>
      <c r="K1359" t="str">
        <f>IF($B1359="","",IFERROR(IF(G1359=0,-2E+300,CHOOSE(sortIdx,ROUND(D1359,0),IF(J1359="",-1E+300,ROUND(-J1359,6)),IF(J1359="",-1E+300,ROUND(J1359,6)))),-1.5E+300))</f>
        <v/>
      </c>
      <c r="L1359" t="str">
        <f>IF(K1359="","",RANK(K1359,$K$2:$K$3001,0)+COUNTIF($K$2:K1359,K1359)-1)</f>
        <v/>
      </c>
    </row>
    <row r="1360">
      <c r="B1360" t="str">
        <f>IFERROR(IF(A1360="","","="&amp;SUBSTITUTE(SUBSTITUTE(SUBSTITUTE(A1360,"~","~~"),"*","~*"),"?","~?")),"")</f>
        <v/>
      </c>
      <c r="C1360" t="str">
        <f>IF($B1360="","",SUMIFS(dAmt,dCust,$B1360,dPer,"&gt;="&amp;pyFrom,dPer,"&lt;="&amp;pyTo,dAmt,"&gt;-1E+300",dFlt1,critFlt1,dFlt2,critFlt2,dFlt3,critFlt3))</f>
        <v/>
      </c>
      <c r="D1360" t="str">
        <f>IF($B1360="","",SUMIFS(dAmt,dCust,$B1360,dPer,"&gt;="&amp;cyFrom,dPer,"&lt;="&amp;cyTo,dAmt,"&gt;-1E+300",dFlt1,critFlt1,dFlt2,critFlt2,dFlt3,critFlt3))</f>
        <v/>
      </c>
      <c r="E1360" t="str">
        <f>IF($B1360="","",SUMIFS(dQty,dCust,$B1360,dPer,"&gt;="&amp;pyFrom,dPer,"&lt;="&amp;pyTo,dQty,"&gt;-1E+300",dFlt1,critFlt1,dFlt2,critFlt2,dFlt3,critFlt3))</f>
        <v/>
      </c>
      <c r="F1360" t="str">
        <f>IF($B1360="","",SUMIFS(dQty,dCust,$B1360,dPer,"&gt;="&amp;cyFrom,dPer,"&lt;="&amp;cyTo,dQty,"&gt;-1E+300",dFlt1,critFlt1,dFlt2,critFlt2,dFlt3,critFlt3))</f>
        <v/>
      </c>
      <c r="G1360">
        <f>IF($B1360="",0,IFERROR(IF(OR(C1360&lt;&gt;0,D1360&lt;&gt;0,E1360&lt;&gt;0,F1360&lt;&gt;0),1,0),1))</f>
        <v>0</v>
      </c>
      <c r="H1360" t="str">
        <f>IF(OR(G1360=0,E1360=0),"",C1360/E1360)</f>
        <v/>
      </c>
      <c r="I1360" t="str">
        <f>IF(OR(G1360=0,F1360=0),"",D1360/F1360)</f>
        <v/>
      </c>
      <c r="J1360" t="str">
        <f>IF(OR(H1360="",I1360=""),"",IF(H1360=0,"",I1360/H1360-1))</f>
        <v/>
      </c>
      <c r="K1360" t="str">
        <f>IF($B1360="","",IFERROR(IF(G1360=0,-2E+300,CHOOSE(sortIdx,ROUND(D1360,0),IF(J1360="",-1E+300,ROUND(-J1360,6)),IF(J1360="",-1E+300,ROUND(J1360,6)))),-1.5E+300))</f>
        <v/>
      </c>
      <c r="L1360" t="str">
        <f>IF(K1360="","",RANK(K1360,$K$2:$K$3001,0)+COUNTIF($K$2:K1360,K1360)-1)</f>
        <v/>
      </c>
    </row>
    <row r="1361">
      <c r="B1361" t="str">
        <f>IFERROR(IF(A1361="","","="&amp;SUBSTITUTE(SUBSTITUTE(SUBSTITUTE(A1361,"~","~~"),"*","~*"),"?","~?")),"")</f>
        <v/>
      </c>
      <c r="C1361" t="str">
        <f>IF($B1361="","",SUMIFS(dAmt,dCust,$B1361,dPer,"&gt;="&amp;pyFrom,dPer,"&lt;="&amp;pyTo,dAmt,"&gt;-1E+300",dFlt1,critFlt1,dFlt2,critFlt2,dFlt3,critFlt3))</f>
        <v/>
      </c>
      <c r="D1361" t="str">
        <f>IF($B1361="","",SUMIFS(dAmt,dCust,$B1361,dPer,"&gt;="&amp;cyFrom,dPer,"&lt;="&amp;cyTo,dAmt,"&gt;-1E+300",dFlt1,critFlt1,dFlt2,critFlt2,dFlt3,critFlt3))</f>
        <v/>
      </c>
      <c r="E1361" t="str">
        <f>IF($B1361="","",SUMIFS(dQty,dCust,$B1361,dPer,"&gt;="&amp;pyFrom,dPer,"&lt;="&amp;pyTo,dQty,"&gt;-1E+300",dFlt1,critFlt1,dFlt2,critFlt2,dFlt3,critFlt3))</f>
        <v/>
      </c>
      <c r="F1361" t="str">
        <f>IF($B1361="","",SUMIFS(dQty,dCust,$B1361,dPer,"&gt;="&amp;cyFrom,dPer,"&lt;="&amp;cyTo,dQty,"&gt;-1E+300",dFlt1,critFlt1,dFlt2,critFlt2,dFlt3,critFlt3))</f>
        <v/>
      </c>
      <c r="G1361">
        <f>IF($B1361="",0,IFERROR(IF(OR(C1361&lt;&gt;0,D1361&lt;&gt;0,E1361&lt;&gt;0,F1361&lt;&gt;0),1,0),1))</f>
        <v>0</v>
      </c>
      <c r="H1361" t="str">
        <f>IF(OR(G1361=0,E1361=0),"",C1361/E1361)</f>
        <v/>
      </c>
      <c r="I1361" t="str">
        <f>IF(OR(G1361=0,F1361=0),"",D1361/F1361)</f>
        <v/>
      </c>
      <c r="J1361" t="str">
        <f>IF(OR(H1361="",I1361=""),"",IF(H1361=0,"",I1361/H1361-1))</f>
        <v/>
      </c>
      <c r="K1361" t="str">
        <f>IF($B1361="","",IFERROR(IF(G1361=0,-2E+300,CHOOSE(sortIdx,ROUND(D1361,0),IF(J1361="",-1E+300,ROUND(-J1361,6)),IF(J1361="",-1E+300,ROUND(J1361,6)))),-1.5E+300))</f>
        <v/>
      </c>
      <c r="L1361" t="str">
        <f>IF(K1361="","",RANK(K1361,$K$2:$K$3001,0)+COUNTIF($K$2:K1361,K1361)-1)</f>
        <v/>
      </c>
    </row>
    <row r="1362">
      <c r="B1362" t="str">
        <f>IFERROR(IF(A1362="","","="&amp;SUBSTITUTE(SUBSTITUTE(SUBSTITUTE(A1362,"~","~~"),"*","~*"),"?","~?")),"")</f>
        <v/>
      </c>
      <c r="C1362" t="str">
        <f>IF($B1362="","",SUMIFS(dAmt,dCust,$B1362,dPer,"&gt;="&amp;pyFrom,dPer,"&lt;="&amp;pyTo,dAmt,"&gt;-1E+300",dFlt1,critFlt1,dFlt2,critFlt2,dFlt3,critFlt3))</f>
        <v/>
      </c>
      <c r="D1362" t="str">
        <f>IF($B1362="","",SUMIFS(dAmt,dCust,$B1362,dPer,"&gt;="&amp;cyFrom,dPer,"&lt;="&amp;cyTo,dAmt,"&gt;-1E+300",dFlt1,critFlt1,dFlt2,critFlt2,dFlt3,critFlt3))</f>
        <v/>
      </c>
      <c r="E1362" t="str">
        <f>IF($B1362="","",SUMIFS(dQty,dCust,$B1362,dPer,"&gt;="&amp;pyFrom,dPer,"&lt;="&amp;pyTo,dQty,"&gt;-1E+300",dFlt1,critFlt1,dFlt2,critFlt2,dFlt3,critFlt3))</f>
        <v/>
      </c>
      <c r="F1362" t="str">
        <f>IF($B1362="","",SUMIFS(dQty,dCust,$B1362,dPer,"&gt;="&amp;cyFrom,dPer,"&lt;="&amp;cyTo,dQty,"&gt;-1E+300",dFlt1,critFlt1,dFlt2,critFlt2,dFlt3,critFlt3))</f>
        <v/>
      </c>
      <c r="G1362">
        <f>IF($B1362="",0,IFERROR(IF(OR(C1362&lt;&gt;0,D1362&lt;&gt;0,E1362&lt;&gt;0,F1362&lt;&gt;0),1,0),1))</f>
        <v>0</v>
      </c>
      <c r="H1362" t="str">
        <f>IF(OR(G1362=0,E1362=0),"",C1362/E1362)</f>
        <v/>
      </c>
      <c r="I1362" t="str">
        <f>IF(OR(G1362=0,F1362=0),"",D1362/F1362)</f>
        <v/>
      </c>
      <c r="J1362" t="str">
        <f>IF(OR(H1362="",I1362=""),"",IF(H1362=0,"",I1362/H1362-1))</f>
        <v/>
      </c>
      <c r="K1362" t="str">
        <f>IF($B1362="","",IFERROR(IF(G1362=0,-2E+300,CHOOSE(sortIdx,ROUND(D1362,0),IF(J1362="",-1E+300,ROUND(-J1362,6)),IF(J1362="",-1E+300,ROUND(J1362,6)))),-1.5E+300))</f>
        <v/>
      </c>
      <c r="L1362" t="str">
        <f>IF(K1362="","",RANK(K1362,$K$2:$K$3001,0)+COUNTIF($K$2:K1362,K1362)-1)</f>
        <v/>
      </c>
    </row>
    <row r="1363">
      <c r="B1363" t="str">
        <f>IFERROR(IF(A1363="","","="&amp;SUBSTITUTE(SUBSTITUTE(SUBSTITUTE(A1363,"~","~~"),"*","~*"),"?","~?")),"")</f>
        <v/>
      </c>
      <c r="C1363" t="str">
        <f>IF($B1363="","",SUMIFS(dAmt,dCust,$B1363,dPer,"&gt;="&amp;pyFrom,dPer,"&lt;="&amp;pyTo,dAmt,"&gt;-1E+300",dFlt1,critFlt1,dFlt2,critFlt2,dFlt3,critFlt3))</f>
        <v/>
      </c>
      <c r="D1363" t="str">
        <f>IF($B1363="","",SUMIFS(dAmt,dCust,$B1363,dPer,"&gt;="&amp;cyFrom,dPer,"&lt;="&amp;cyTo,dAmt,"&gt;-1E+300",dFlt1,critFlt1,dFlt2,critFlt2,dFlt3,critFlt3))</f>
        <v/>
      </c>
      <c r="E1363" t="str">
        <f>IF($B1363="","",SUMIFS(dQty,dCust,$B1363,dPer,"&gt;="&amp;pyFrom,dPer,"&lt;="&amp;pyTo,dQty,"&gt;-1E+300",dFlt1,critFlt1,dFlt2,critFlt2,dFlt3,critFlt3))</f>
        <v/>
      </c>
      <c r="F1363" t="str">
        <f>IF($B1363="","",SUMIFS(dQty,dCust,$B1363,dPer,"&gt;="&amp;cyFrom,dPer,"&lt;="&amp;cyTo,dQty,"&gt;-1E+300",dFlt1,critFlt1,dFlt2,critFlt2,dFlt3,critFlt3))</f>
        <v/>
      </c>
      <c r="G1363">
        <f>IF($B1363="",0,IFERROR(IF(OR(C1363&lt;&gt;0,D1363&lt;&gt;0,E1363&lt;&gt;0,F1363&lt;&gt;0),1,0),1))</f>
        <v>0</v>
      </c>
      <c r="H1363" t="str">
        <f>IF(OR(G1363=0,E1363=0),"",C1363/E1363)</f>
        <v/>
      </c>
      <c r="I1363" t="str">
        <f>IF(OR(G1363=0,F1363=0),"",D1363/F1363)</f>
        <v/>
      </c>
      <c r="J1363" t="str">
        <f>IF(OR(H1363="",I1363=""),"",IF(H1363=0,"",I1363/H1363-1))</f>
        <v/>
      </c>
      <c r="K1363" t="str">
        <f>IF($B1363="","",IFERROR(IF(G1363=0,-2E+300,CHOOSE(sortIdx,ROUND(D1363,0),IF(J1363="",-1E+300,ROUND(-J1363,6)),IF(J1363="",-1E+300,ROUND(J1363,6)))),-1.5E+300))</f>
        <v/>
      </c>
      <c r="L1363" t="str">
        <f>IF(K1363="","",RANK(K1363,$K$2:$K$3001,0)+COUNTIF($K$2:K1363,K1363)-1)</f>
        <v/>
      </c>
    </row>
    <row r="1364">
      <c r="B1364" t="str">
        <f>IFERROR(IF(A1364="","","="&amp;SUBSTITUTE(SUBSTITUTE(SUBSTITUTE(A1364,"~","~~"),"*","~*"),"?","~?")),"")</f>
        <v/>
      </c>
      <c r="C1364" t="str">
        <f>IF($B1364="","",SUMIFS(dAmt,dCust,$B1364,dPer,"&gt;="&amp;pyFrom,dPer,"&lt;="&amp;pyTo,dAmt,"&gt;-1E+300",dFlt1,critFlt1,dFlt2,critFlt2,dFlt3,critFlt3))</f>
        <v/>
      </c>
      <c r="D1364" t="str">
        <f>IF($B1364="","",SUMIFS(dAmt,dCust,$B1364,dPer,"&gt;="&amp;cyFrom,dPer,"&lt;="&amp;cyTo,dAmt,"&gt;-1E+300",dFlt1,critFlt1,dFlt2,critFlt2,dFlt3,critFlt3))</f>
        <v/>
      </c>
      <c r="E1364" t="str">
        <f>IF($B1364="","",SUMIFS(dQty,dCust,$B1364,dPer,"&gt;="&amp;pyFrom,dPer,"&lt;="&amp;pyTo,dQty,"&gt;-1E+300",dFlt1,critFlt1,dFlt2,critFlt2,dFlt3,critFlt3))</f>
        <v/>
      </c>
      <c r="F1364" t="str">
        <f>IF($B1364="","",SUMIFS(dQty,dCust,$B1364,dPer,"&gt;="&amp;cyFrom,dPer,"&lt;="&amp;cyTo,dQty,"&gt;-1E+300",dFlt1,critFlt1,dFlt2,critFlt2,dFlt3,critFlt3))</f>
        <v/>
      </c>
      <c r="G1364">
        <f>IF($B1364="",0,IFERROR(IF(OR(C1364&lt;&gt;0,D1364&lt;&gt;0,E1364&lt;&gt;0,F1364&lt;&gt;0),1,0),1))</f>
        <v>0</v>
      </c>
      <c r="H1364" t="str">
        <f>IF(OR(G1364=0,E1364=0),"",C1364/E1364)</f>
        <v/>
      </c>
      <c r="I1364" t="str">
        <f>IF(OR(G1364=0,F1364=0),"",D1364/F1364)</f>
        <v/>
      </c>
      <c r="J1364" t="str">
        <f>IF(OR(H1364="",I1364=""),"",IF(H1364=0,"",I1364/H1364-1))</f>
        <v/>
      </c>
      <c r="K1364" t="str">
        <f>IF($B1364="","",IFERROR(IF(G1364=0,-2E+300,CHOOSE(sortIdx,ROUND(D1364,0),IF(J1364="",-1E+300,ROUND(-J1364,6)),IF(J1364="",-1E+300,ROUND(J1364,6)))),-1.5E+300))</f>
        <v/>
      </c>
      <c r="L1364" t="str">
        <f>IF(K1364="","",RANK(K1364,$K$2:$K$3001,0)+COUNTIF($K$2:K1364,K1364)-1)</f>
        <v/>
      </c>
    </row>
    <row r="1365">
      <c r="B1365" t="str">
        <f>IFERROR(IF(A1365="","","="&amp;SUBSTITUTE(SUBSTITUTE(SUBSTITUTE(A1365,"~","~~"),"*","~*"),"?","~?")),"")</f>
        <v/>
      </c>
      <c r="C1365" t="str">
        <f>IF($B1365="","",SUMIFS(dAmt,dCust,$B1365,dPer,"&gt;="&amp;pyFrom,dPer,"&lt;="&amp;pyTo,dAmt,"&gt;-1E+300",dFlt1,critFlt1,dFlt2,critFlt2,dFlt3,critFlt3))</f>
        <v/>
      </c>
      <c r="D1365" t="str">
        <f>IF($B1365="","",SUMIFS(dAmt,dCust,$B1365,dPer,"&gt;="&amp;cyFrom,dPer,"&lt;="&amp;cyTo,dAmt,"&gt;-1E+300",dFlt1,critFlt1,dFlt2,critFlt2,dFlt3,critFlt3))</f>
        <v/>
      </c>
      <c r="E1365" t="str">
        <f>IF($B1365="","",SUMIFS(dQty,dCust,$B1365,dPer,"&gt;="&amp;pyFrom,dPer,"&lt;="&amp;pyTo,dQty,"&gt;-1E+300",dFlt1,critFlt1,dFlt2,critFlt2,dFlt3,critFlt3))</f>
        <v/>
      </c>
      <c r="F1365" t="str">
        <f>IF($B1365="","",SUMIFS(dQty,dCust,$B1365,dPer,"&gt;="&amp;cyFrom,dPer,"&lt;="&amp;cyTo,dQty,"&gt;-1E+300",dFlt1,critFlt1,dFlt2,critFlt2,dFlt3,critFlt3))</f>
        <v/>
      </c>
      <c r="G1365">
        <f>IF($B1365="",0,IFERROR(IF(OR(C1365&lt;&gt;0,D1365&lt;&gt;0,E1365&lt;&gt;0,F1365&lt;&gt;0),1,0),1))</f>
        <v>0</v>
      </c>
      <c r="H1365" t="str">
        <f>IF(OR(G1365=0,E1365=0),"",C1365/E1365)</f>
        <v/>
      </c>
      <c r="I1365" t="str">
        <f>IF(OR(G1365=0,F1365=0),"",D1365/F1365)</f>
        <v/>
      </c>
      <c r="J1365" t="str">
        <f>IF(OR(H1365="",I1365=""),"",IF(H1365=0,"",I1365/H1365-1))</f>
        <v/>
      </c>
      <c r="K1365" t="str">
        <f>IF($B1365="","",IFERROR(IF(G1365=0,-2E+300,CHOOSE(sortIdx,ROUND(D1365,0),IF(J1365="",-1E+300,ROUND(-J1365,6)),IF(J1365="",-1E+300,ROUND(J1365,6)))),-1.5E+300))</f>
        <v/>
      </c>
      <c r="L1365" t="str">
        <f>IF(K1365="","",RANK(K1365,$K$2:$K$3001,0)+COUNTIF($K$2:K1365,K1365)-1)</f>
        <v/>
      </c>
    </row>
    <row r="1366">
      <c r="B1366" t="str">
        <f>IFERROR(IF(A1366="","","="&amp;SUBSTITUTE(SUBSTITUTE(SUBSTITUTE(A1366,"~","~~"),"*","~*"),"?","~?")),"")</f>
        <v/>
      </c>
      <c r="C1366" t="str">
        <f>IF($B1366="","",SUMIFS(dAmt,dCust,$B1366,dPer,"&gt;="&amp;pyFrom,dPer,"&lt;="&amp;pyTo,dAmt,"&gt;-1E+300",dFlt1,critFlt1,dFlt2,critFlt2,dFlt3,critFlt3))</f>
        <v/>
      </c>
      <c r="D1366" t="str">
        <f>IF($B1366="","",SUMIFS(dAmt,dCust,$B1366,dPer,"&gt;="&amp;cyFrom,dPer,"&lt;="&amp;cyTo,dAmt,"&gt;-1E+300",dFlt1,critFlt1,dFlt2,critFlt2,dFlt3,critFlt3))</f>
        <v/>
      </c>
      <c r="E1366" t="str">
        <f>IF($B1366="","",SUMIFS(dQty,dCust,$B1366,dPer,"&gt;="&amp;pyFrom,dPer,"&lt;="&amp;pyTo,dQty,"&gt;-1E+300",dFlt1,critFlt1,dFlt2,critFlt2,dFlt3,critFlt3))</f>
        <v/>
      </c>
      <c r="F1366" t="str">
        <f>IF($B1366="","",SUMIFS(dQty,dCust,$B1366,dPer,"&gt;="&amp;cyFrom,dPer,"&lt;="&amp;cyTo,dQty,"&gt;-1E+300",dFlt1,critFlt1,dFlt2,critFlt2,dFlt3,critFlt3))</f>
        <v/>
      </c>
      <c r="G1366">
        <f>IF($B1366="",0,IFERROR(IF(OR(C1366&lt;&gt;0,D1366&lt;&gt;0,E1366&lt;&gt;0,F1366&lt;&gt;0),1,0),1))</f>
        <v>0</v>
      </c>
      <c r="H1366" t="str">
        <f>IF(OR(G1366=0,E1366=0),"",C1366/E1366)</f>
        <v/>
      </c>
      <c r="I1366" t="str">
        <f>IF(OR(G1366=0,F1366=0),"",D1366/F1366)</f>
        <v/>
      </c>
      <c r="J1366" t="str">
        <f>IF(OR(H1366="",I1366=""),"",IF(H1366=0,"",I1366/H1366-1))</f>
        <v/>
      </c>
      <c r="K1366" t="str">
        <f>IF($B1366="","",IFERROR(IF(G1366=0,-2E+300,CHOOSE(sortIdx,ROUND(D1366,0),IF(J1366="",-1E+300,ROUND(-J1366,6)),IF(J1366="",-1E+300,ROUND(J1366,6)))),-1.5E+300))</f>
        <v/>
      </c>
      <c r="L1366" t="str">
        <f>IF(K1366="","",RANK(K1366,$K$2:$K$3001,0)+COUNTIF($K$2:K1366,K1366)-1)</f>
        <v/>
      </c>
    </row>
    <row r="1367">
      <c r="B1367" t="str">
        <f>IFERROR(IF(A1367="","","="&amp;SUBSTITUTE(SUBSTITUTE(SUBSTITUTE(A1367,"~","~~"),"*","~*"),"?","~?")),"")</f>
        <v/>
      </c>
      <c r="C1367" t="str">
        <f>IF($B1367="","",SUMIFS(dAmt,dCust,$B1367,dPer,"&gt;="&amp;pyFrom,dPer,"&lt;="&amp;pyTo,dAmt,"&gt;-1E+300",dFlt1,critFlt1,dFlt2,critFlt2,dFlt3,critFlt3))</f>
        <v/>
      </c>
      <c r="D1367" t="str">
        <f>IF($B1367="","",SUMIFS(dAmt,dCust,$B1367,dPer,"&gt;="&amp;cyFrom,dPer,"&lt;="&amp;cyTo,dAmt,"&gt;-1E+300",dFlt1,critFlt1,dFlt2,critFlt2,dFlt3,critFlt3))</f>
        <v/>
      </c>
      <c r="E1367" t="str">
        <f>IF($B1367="","",SUMIFS(dQty,dCust,$B1367,dPer,"&gt;="&amp;pyFrom,dPer,"&lt;="&amp;pyTo,dQty,"&gt;-1E+300",dFlt1,critFlt1,dFlt2,critFlt2,dFlt3,critFlt3))</f>
        <v/>
      </c>
      <c r="F1367" t="str">
        <f>IF($B1367="","",SUMIFS(dQty,dCust,$B1367,dPer,"&gt;="&amp;cyFrom,dPer,"&lt;="&amp;cyTo,dQty,"&gt;-1E+300",dFlt1,critFlt1,dFlt2,critFlt2,dFlt3,critFlt3))</f>
        <v/>
      </c>
      <c r="G1367">
        <f>IF($B1367="",0,IFERROR(IF(OR(C1367&lt;&gt;0,D1367&lt;&gt;0,E1367&lt;&gt;0,F1367&lt;&gt;0),1,0),1))</f>
        <v>0</v>
      </c>
      <c r="H1367" t="str">
        <f>IF(OR(G1367=0,E1367=0),"",C1367/E1367)</f>
        <v/>
      </c>
      <c r="I1367" t="str">
        <f>IF(OR(G1367=0,F1367=0),"",D1367/F1367)</f>
        <v/>
      </c>
      <c r="J1367" t="str">
        <f>IF(OR(H1367="",I1367=""),"",IF(H1367=0,"",I1367/H1367-1))</f>
        <v/>
      </c>
      <c r="K1367" t="str">
        <f>IF($B1367="","",IFERROR(IF(G1367=0,-2E+300,CHOOSE(sortIdx,ROUND(D1367,0),IF(J1367="",-1E+300,ROUND(-J1367,6)),IF(J1367="",-1E+300,ROUND(J1367,6)))),-1.5E+300))</f>
        <v/>
      </c>
      <c r="L1367" t="str">
        <f>IF(K1367="","",RANK(K1367,$K$2:$K$3001,0)+COUNTIF($K$2:K1367,K1367)-1)</f>
        <v/>
      </c>
    </row>
    <row r="1368">
      <c r="B1368" t="str">
        <f>IFERROR(IF(A1368="","","="&amp;SUBSTITUTE(SUBSTITUTE(SUBSTITUTE(A1368,"~","~~"),"*","~*"),"?","~?")),"")</f>
        <v/>
      </c>
      <c r="C1368" t="str">
        <f>IF($B1368="","",SUMIFS(dAmt,dCust,$B1368,dPer,"&gt;="&amp;pyFrom,dPer,"&lt;="&amp;pyTo,dAmt,"&gt;-1E+300",dFlt1,critFlt1,dFlt2,critFlt2,dFlt3,critFlt3))</f>
        <v/>
      </c>
      <c r="D1368" t="str">
        <f>IF($B1368="","",SUMIFS(dAmt,dCust,$B1368,dPer,"&gt;="&amp;cyFrom,dPer,"&lt;="&amp;cyTo,dAmt,"&gt;-1E+300",dFlt1,critFlt1,dFlt2,critFlt2,dFlt3,critFlt3))</f>
        <v/>
      </c>
      <c r="E1368" t="str">
        <f>IF($B1368="","",SUMIFS(dQty,dCust,$B1368,dPer,"&gt;="&amp;pyFrom,dPer,"&lt;="&amp;pyTo,dQty,"&gt;-1E+300",dFlt1,critFlt1,dFlt2,critFlt2,dFlt3,critFlt3))</f>
        <v/>
      </c>
      <c r="F1368" t="str">
        <f>IF($B1368="","",SUMIFS(dQty,dCust,$B1368,dPer,"&gt;="&amp;cyFrom,dPer,"&lt;="&amp;cyTo,dQty,"&gt;-1E+300",dFlt1,critFlt1,dFlt2,critFlt2,dFlt3,critFlt3))</f>
        <v/>
      </c>
      <c r="G1368">
        <f>IF($B1368="",0,IFERROR(IF(OR(C1368&lt;&gt;0,D1368&lt;&gt;0,E1368&lt;&gt;0,F1368&lt;&gt;0),1,0),1))</f>
        <v>0</v>
      </c>
      <c r="H1368" t="str">
        <f>IF(OR(G1368=0,E1368=0),"",C1368/E1368)</f>
        <v/>
      </c>
      <c r="I1368" t="str">
        <f>IF(OR(G1368=0,F1368=0),"",D1368/F1368)</f>
        <v/>
      </c>
      <c r="J1368" t="str">
        <f>IF(OR(H1368="",I1368=""),"",IF(H1368=0,"",I1368/H1368-1))</f>
        <v/>
      </c>
      <c r="K1368" t="str">
        <f>IF($B1368="","",IFERROR(IF(G1368=0,-2E+300,CHOOSE(sortIdx,ROUND(D1368,0),IF(J1368="",-1E+300,ROUND(-J1368,6)),IF(J1368="",-1E+300,ROUND(J1368,6)))),-1.5E+300))</f>
        <v/>
      </c>
      <c r="L1368" t="str">
        <f>IF(K1368="","",RANK(K1368,$K$2:$K$3001,0)+COUNTIF($K$2:K1368,K1368)-1)</f>
        <v/>
      </c>
    </row>
    <row r="1369">
      <c r="B1369" t="str">
        <f>IFERROR(IF(A1369="","","="&amp;SUBSTITUTE(SUBSTITUTE(SUBSTITUTE(A1369,"~","~~"),"*","~*"),"?","~?")),"")</f>
        <v/>
      </c>
      <c r="C1369" t="str">
        <f>IF($B1369="","",SUMIFS(dAmt,dCust,$B1369,dPer,"&gt;="&amp;pyFrom,dPer,"&lt;="&amp;pyTo,dAmt,"&gt;-1E+300",dFlt1,critFlt1,dFlt2,critFlt2,dFlt3,critFlt3))</f>
        <v/>
      </c>
      <c r="D1369" t="str">
        <f>IF($B1369="","",SUMIFS(dAmt,dCust,$B1369,dPer,"&gt;="&amp;cyFrom,dPer,"&lt;="&amp;cyTo,dAmt,"&gt;-1E+300",dFlt1,critFlt1,dFlt2,critFlt2,dFlt3,critFlt3))</f>
        <v/>
      </c>
      <c r="E1369" t="str">
        <f>IF($B1369="","",SUMIFS(dQty,dCust,$B1369,dPer,"&gt;="&amp;pyFrom,dPer,"&lt;="&amp;pyTo,dQty,"&gt;-1E+300",dFlt1,critFlt1,dFlt2,critFlt2,dFlt3,critFlt3))</f>
        <v/>
      </c>
      <c r="F1369" t="str">
        <f>IF($B1369="","",SUMIFS(dQty,dCust,$B1369,dPer,"&gt;="&amp;cyFrom,dPer,"&lt;="&amp;cyTo,dQty,"&gt;-1E+300",dFlt1,critFlt1,dFlt2,critFlt2,dFlt3,critFlt3))</f>
        <v/>
      </c>
      <c r="G1369">
        <f>IF($B1369="",0,IFERROR(IF(OR(C1369&lt;&gt;0,D1369&lt;&gt;0,E1369&lt;&gt;0,F1369&lt;&gt;0),1,0),1))</f>
        <v>0</v>
      </c>
      <c r="H1369" t="str">
        <f>IF(OR(G1369=0,E1369=0),"",C1369/E1369)</f>
        <v/>
      </c>
      <c r="I1369" t="str">
        <f>IF(OR(G1369=0,F1369=0),"",D1369/F1369)</f>
        <v/>
      </c>
      <c r="J1369" t="str">
        <f>IF(OR(H1369="",I1369=""),"",IF(H1369=0,"",I1369/H1369-1))</f>
        <v/>
      </c>
      <c r="K1369" t="str">
        <f>IF($B1369="","",IFERROR(IF(G1369=0,-2E+300,CHOOSE(sortIdx,ROUND(D1369,0),IF(J1369="",-1E+300,ROUND(-J1369,6)),IF(J1369="",-1E+300,ROUND(J1369,6)))),-1.5E+300))</f>
        <v/>
      </c>
      <c r="L1369" t="str">
        <f>IF(K1369="","",RANK(K1369,$K$2:$K$3001,0)+COUNTIF($K$2:K1369,K1369)-1)</f>
        <v/>
      </c>
    </row>
    <row r="1370">
      <c r="B1370" t="str">
        <f>IFERROR(IF(A1370="","","="&amp;SUBSTITUTE(SUBSTITUTE(SUBSTITUTE(A1370,"~","~~"),"*","~*"),"?","~?")),"")</f>
        <v/>
      </c>
      <c r="C1370" t="str">
        <f>IF($B1370="","",SUMIFS(dAmt,dCust,$B1370,dPer,"&gt;="&amp;pyFrom,dPer,"&lt;="&amp;pyTo,dAmt,"&gt;-1E+300",dFlt1,critFlt1,dFlt2,critFlt2,dFlt3,critFlt3))</f>
        <v/>
      </c>
      <c r="D1370" t="str">
        <f>IF($B1370="","",SUMIFS(dAmt,dCust,$B1370,dPer,"&gt;="&amp;cyFrom,dPer,"&lt;="&amp;cyTo,dAmt,"&gt;-1E+300",dFlt1,critFlt1,dFlt2,critFlt2,dFlt3,critFlt3))</f>
        <v/>
      </c>
      <c r="E1370" t="str">
        <f>IF($B1370="","",SUMIFS(dQty,dCust,$B1370,dPer,"&gt;="&amp;pyFrom,dPer,"&lt;="&amp;pyTo,dQty,"&gt;-1E+300",dFlt1,critFlt1,dFlt2,critFlt2,dFlt3,critFlt3))</f>
        <v/>
      </c>
      <c r="F1370" t="str">
        <f>IF($B1370="","",SUMIFS(dQty,dCust,$B1370,dPer,"&gt;="&amp;cyFrom,dPer,"&lt;="&amp;cyTo,dQty,"&gt;-1E+300",dFlt1,critFlt1,dFlt2,critFlt2,dFlt3,critFlt3))</f>
        <v/>
      </c>
      <c r="G1370">
        <f>IF($B1370="",0,IFERROR(IF(OR(C1370&lt;&gt;0,D1370&lt;&gt;0,E1370&lt;&gt;0,F1370&lt;&gt;0),1,0),1))</f>
        <v>0</v>
      </c>
      <c r="H1370" t="str">
        <f>IF(OR(G1370=0,E1370=0),"",C1370/E1370)</f>
        <v/>
      </c>
      <c r="I1370" t="str">
        <f>IF(OR(G1370=0,F1370=0),"",D1370/F1370)</f>
        <v/>
      </c>
      <c r="J1370" t="str">
        <f>IF(OR(H1370="",I1370=""),"",IF(H1370=0,"",I1370/H1370-1))</f>
        <v/>
      </c>
      <c r="K1370" t="str">
        <f>IF($B1370="","",IFERROR(IF(G1370=0,-2E+300,CHOOSE(sortIdx,ROUND(D1370,0),IF(J1370="",-1E+300,ROUND(-J1370,6)),IF(J1370="",-1E+300,ROUND(J1370,6)))),-1.5E+300))</f>
        <v/>
      </c>
      <c r="L1370" t="str">
        <f>IF(K1370="","",RANK(K1370,$K$2:$K$3001,0)+COUNTIF($K$2:K1370,K1370)-1)</f>
        <v/>
      </c>
    </row>
    <row r="1371">
      <c r="B1371" t="str">
        <f>IFERROR(IF(A1371="","","="&amp;SUBSTITUTE(SUBSTITUTE(SUBSTITUTE(A1371,"~","~~"),"*","~*"),"?","~?")),"")</f>
        <v/>
      </c>
      <c r="C1371" t="str">
        <f>IF($B1371="","",SUMIFS(dAmt,dCust,$B1371,dPer,"&gt;="&amp;pyFrom,dPer,"&lt;="&amp;pyTo,dAmt,"&gt;-1E+300",dFlt1,critFlt1,dFlt2,critFlt2,dFlt3,critFlt3))</f>
        <v/>
      </c>
      <c r="D1371" t="str">
        <f>IF($B1371="","",SUMIFS(dAmt,dCust,$B1371,dPer,"&gt;="&amp;cyFrom,dPer,"&lt;="&amp;cyTo,dAmt,"&gt;-1E+300",dFlt1,critFlt1,dFlt2,critFlt2,dFlt3,critFlt3))</f>
        <v/>
      </c>
      <c r="E1371" t="str">
        <f>IF($B1371="","",SUMIFS(dQty,dCust,$B1371,dPer,"&gt;="&amp;pyFrom,dPer,"&lt;="&amp;pyTo,dQty,"&gt;-1E+300",dFlt1,critFlt1,dFlt2,critFlt2,dFlt3,critFlt3))</f>
        <v/>
      </c>
      <c r="F1371" t="str">
        <f>IF($B1371="","",SUMIFS(dQty,dCust,$B1371,dPer,"&gt;="&amp;cyFrom,dPer,"&lt;="&amp;cyTo,dQty,"&gt;-1E+300",dFlt1,critFlt1,dFlt2,critFlt2,dFlt3,critFlt3))</f>
        <v/>
      </c>
      <c r="G1371">
        <f>IF($B1371="",0,IFERROR(IF(OR(C1371&lt;&gt;0,D1371&lt;&gt;0,E1371&lt;&gt;0,F1371&lt;&gt;0),1,0),1))</f>
        <v>0</v>
      </c>
      <c r="H1371" t="str">
        <f>IF(OR(G1371=0,E1371=0),"",C1371/E1371)</f>
        <v/>
      </c>
      <c r="I1371" t="str">
        <f>IF(OR(G1371=0,F1371=0),"",D1371/F1371)</f>
        <v/>
      </c>
      <c r="J1371" t="str">
        <f>IF(OR(H1371="",I1371=""),"",IF(H1371=0,"",I1371/H1371-1))</f>
        <v/>
      </c>
      <c r="K1371" t="str">
        <f>IF($B1371="","",IFERROR(IF(G1371=0,-2E+300,CHOOSE(sortIdx,ROUND(D1371,0),IF(J1371="",-1E+300,ROUND(-J1371,6)),IF(J1371="",-1E+300,ROUND(J1371,6)))),-1.5E+300))</f>
        <v/>
      </c>
      <c r="L1371" t="str">
        <f>IF(K1371="","",RANK(K1371,$K$2:$K$3001,0)+COUNTIF($K$2:K1371,K1371)-1)</f>
        <v/>
      </c>
    </row>
    <row r="1372">
      <c r="B1372" t="str">
        <f>IFERROR(IF(A1372="","","="&amp;SUBSTITUTE(SUBSTITUTE(SUBSTITUTE(A1372,"~","~~"),"*","~*"),"?","~?")),"")</f>
        <v/>
      </c>
      <c r="C1372" t="str">
        <f>IF($B1372="","",SUMIFS(dAmt,dCust,$B1372,dPer,"&gt;="&amp;pyFrom,dPer,"&lt;="&amp;pyTo,dAmt,"&gt;-1E+300",dFlt1,critFlt1,dFlt2,critFlt2,dFlt3,critFlt3))</f>
        <v/>
      </c>
      <c r="D1372" t="str">
        <f>IF($B1372="","",SUMIFS(dAmt,dCust,$B1372,dPer,"&gt;="&amp;cyFrom,dPer,"&lt;="&amp;cyTo,dAmt,"&gt;-1E+300",dFlt1,critFlt1,dFlt2,critFlt2,dFlt3,critFlt3))</f>
        <v/>
      </c>
      <c r="E1372" t="str">
        <f>IF($B1372="","",SUMIFS(dQty,dCust,$B1372,dPer,"&gt;="&amp;pyFrom,dPer,"&lt;="&amp;pyTo,dQty,"&gt;-1E+300",dFlt1,critFlt1,dFlt2,critFlt2,dFlt3,critFlt3))</f>
        <v/>
      </c>
      <c r="F1372" t="str">
        <f>IF($B1372="","",SUMIFS(dQty,dCust,$B1372,dPer,"&gt;="&amp;cyFrom,dPer,"&lt;="&amp;cyTo,dQty,"&gt;-1E+300",dFlt1,critFlt1,dFlt2,critFlt2,dFlt3,critFlt3))</f>
        <v/>
      </c>
      <c r="G1372">
        <f>IF($B1372="",0,IFERROR(IF(OR(C1372&lt;&gt;0,D1372&lt;&gt;0,E1372&lt;&gt;0,F1372&lt;&gt;0),1,0),1))</f>
        <v>0</v>
      </c>
      <c r="H1372" t="str">
        <f>IF(OR(G1372=0,E1372=0),"",C1372/E1372)</f>
        <v/>
      </c>
      <c r="I1372" t="str">
        <f>IF(OR(G1372=0,F1372=0),"",D1372/F1372)</f>
        <v/>
      </c>
      <c r="J1372" t="str">
        <f>IF(OR(H1372="",I1372=""),"",IF(H1372=0,"",I1372/H1372-1))</f>
        <v/>
      </c>
      <c r="K1372" t="str">
        <f>IF($B1372="","",IFERROR(IF(G1372=0,-2E+300,CHOOSE(sortIdx,ROUND(D1372,0),IF(J1372="",-1E+300,ROUND(-J1372,6)),IF(J1372="",-1E+300,ROUND(J1372,6)))),-1.5E+300))</f>
        <v/>
      </c>
      <c r="L1372" t="str">
        <f>IF(K1372="","",RANK(K1372,$K$2:$K$3001,0)+COUNTIF($K$2:K1372,K1372)-1)</f>
        <v/>
      </c>
    </row>
    <row r="1373">
      <c r="B1373" t="str">
        <f>IFERROR(IF(A1373="","","="&amp;SUBSTITUTE(SUBSTITUTE(SUBSTITUTE(A1373,"~","~~"),"*","~*"),"?","~?")),"")</f>
        <v/>
      </c>
      <c r="C1373" t="str">
        <f>IF($B1373="","",SUMIFS(dAmt,dCust,$B1373,dPer,"&gt;="&amp;pyFrom,dPer,"&lt;="&amp;pyTo,dAmt,"&gt;-1E+300",dFlt1,critFlt1,dFlt2,critFlt2,dFlt3,critFlt3))</f>
        <v/>
      </c>
      <c r="D1373" t="str">
        <f>IF($B1373="","",SUMIFS(dAmt,dCust,$B1373,dPer,"&gt;="&amp;cyFrom,dPer,"&lt;="&amp;cyTo,dAmt,"&gt;-1E+300",dFlt1,critFlt1,dFlt2,critFlt2,dFlt3,critFlt3))</f>
        <v/>
      </c>
      <c r="E1373" t="str">
        <f>IF($B1373="","",SUMIFS(dQty,dCust,$B1373,dPer,"&gt;="&amp;pyFrom,dPer,"&lt;="&amp;pyTo,dQty,"&gt;-1E+300",dFlt1,critFlt1,dFlt2,critFlt2,dFlt3,critFlt3))</f>
        <v/>
      </c>
      <c r="F1373" t="str">
        <f>IF($B1373="","",SUMIFS(dQty,dCust,$B1373,dPer,"&gt;="&amp;cyFrom,dPer,"&lt;="&amp;cyTo,dQty,"&gt;-1E+300",dFlt1,critFlt1,dFlt2,critFlt2,dFlt3,critFlt3))</f>
        <v/>
      </c>
      <c r="G1373">
        <f>IF($B1373="",0,IFERROR(IF(OR(C1373&lt;&gt;0,D1373&lt;&gt;0,E1373&lt;&gt;0,F1373&lt;&gt;0),1,0),1))</f>
        <v>0</v>
      </c>
      <c r="H1373" t="str">
        <f>IF(OR(G1373=0,E1373=0),"",C1373/E1373)</f>
        <v/>
      </c>
      <c r="I1373" t="str">
        <f>IF(OR(G1373=0,F1373=0),"",D1373/F1373)</f>
        <v/>
      </c>
      <c r="J1373" t="str">
        <f>IF(OR(H1373="",I1373=""),"",IF(H1373=0,"",I1373/H1373-1))</f>
        <v/>
      </c>
      <c r="K1373" t="str">
        <f>IF($B1373="","",IFERROR(IF(G1373=0,-2E+300,CHOOSE(sortIdx,ROUND(D1373,0),IF(J1373="",-1E+300,ROUND(-J1373,6)),IF(J1373="",-1E+300,ROUND(J1373,6)))),-1.5E+300))</f>
        <v/>
      </c>
      <c r="L1373" t="str">
        <f>IF(K1373="","",RANK(K1373,$K$2:$K$3001,0)+COUNTIF($K$2:K1373,K1373)-1)</f>
        <v/>
      </c>
    </row>
    <row r="1374">
      <c r="B1374" t="str">
        <f>IFERROR(IF(A1374="","","="&amp;SUBSTITUTE(SUBSTITUTE(SUBSTITUTE(A1374,"~","~~"),"*","~*"),"?","~?")),"")</f>
        <v/>
      </c>
      <c r="C1374" t="str">
        <f>IF($B1374="","",SUMIFS(dAmt,dCust,$B1374,dPer,"&gt;="&amp;pyFrom,dPer,"&lt;="&amp;pyTo,dAmt,"&gt;-1E+300",dFlt1,critFlt1,dFlt2,critFlt2,dFlt3,critFlt3))</f>
        <v/>
      </c>
      <c r="D1374" t="str">
        <f>IF($B1374="","",SUMIFS(dAmt,dCust,$B1374,dPer,"&gt;="&amp;cyFrom,dPer,"&lt;="&amp;cyTo,dAmt,"&gt;-1E+300",dFlt1,critFlt1,dFlt2,critFlt2,dFlt3,critFlt3))</f>
        <v/>
      </c>
      <c r="E1374" t="str">
        <f>IF($B1374="","",SUMIFS(dQty,dCust,$B1374,dPer,"&gt;="&amp;pyFrom,dPer,"&lt;="&amp;pyTo,dQty,"&gt;-1E+300",dFlt1,critFlt1,dFlt2,critFlt2,dFlt3,critFlt3))</f>
        <v/>
      </c>
      <c r="F1374" t="str">
        <f>IF($B1374="","",SUMIFS(dQty,dCust,$B1374,dPer,"&gt;="&amp;cyFrom,dPer,"&lt;="&amp;cyTo,dQty,"&gt;-1E+300",dFlt1,critFlt1,dFlt2,critFlt2,dFlt3,critFlt3))</f>
        <v/>
      </c>
      <c r="G1374">
        <f>IF($B1374="",0,IFERROR(IF(OR(C1374&lt;&gt;0,D1374&lt;&gt;0,E1374&lt;&gt;0,F1374&lt;&gt;0),1,0),1))</f>
        <v>0</v>
      </c>
      <c r="H1374" t="str">
        <f>IF(OR(G1374=0,E1374=0),"",C1374/E1374)</f>
        <v/>
      </c>
      <c r="I1374" t="str">
        <f>IF(OR(G1374=0,F1374=0),"",D1374/F1374)</f>
        <v/>
      </c>
      <c r="J1374" t="str">
        <f>IF(OR(H1374="",I1374=""),"",IF(H1374=0,"",I1374/H1374-1))</f>
        <v/>
      </c>
      <c r="K1374" t="str">
        <f>IF($B1374="","",IFERROR(IF(G1374=0,-2E+300,CHOOSE(sortIdx,ROUND(D1374,0),IF(J1374="",-1E+300,ROUND(-J1374,6)),IF(J1374="",-1E+300,ROUND(J1374,6)))),-1.5E+300))</f>
        <v/>
      </c>
      <c r="L1374" t="str">
        <f>IF(K1374="","",RANK(K1374,$K$2:$K$3001,0)+COUNTIF($K$2:K1374,K1374)-1)</f>
        <v/>
      </c>
    </row>
    <row r="1375">
      <c r="B1375" t="str">
        <f>IFERROR(IF(A1375="","","="&amp;SUBSTITUTE(SUBSTITUTE(SUBSTITUTE(A1375,"~","~~"),"*","~*"),"?","~?")),"")</f>
        <v/>
      </c>
      <c r="C1375" t="str">
        <f>IF($B1375="","",SUMIFS(dAmt,dCust,$B1375,dPer,"&gt;="&amp;pyFrom,dPer,"&lt;="&amp;pyTo,dAmt,"&gt;-1E+300",dFlt1,critFlt1,dFlt2,critFlt2,dFlt3,critFlt3))</f>
        <v/>
      </c>
      <c r="D1375" t="str">
        <f>IF($B1375="","",SUMIFS(dAmt,dCust,$B1375,dPer,"&gt;="&amp;cyFrom,dPer,"&lt;="&amp;cyTo,dAmt,"&gt;-1E+300",dFlt1,critFlt1,dFlt2,critFlt2,dFlt3,critFlt3))</f>
        <v/>
      </c>
      <c r="E1375" t="str">
        <f>IF($B1375="","",SUMIFS(dQty,dCust,$B1375,dPer,"&gt;="&amp;pyFrom,dPer,"&lt;="&amp;pyTo,dQty,"&gt;-1E+300",dFlt1,critFlt1,dFlt2,critFlt2,dFlt3,critFlt3))</f>
        <v/>
      </c>
      <c r="F1375" t="str">
        <f>IF($B1375="","",SUMIFS(dQty,dCust,$B1375,dPer,"&gt;="&amp;cyFrom,dPer,"&lt;="&amp;cyTo,dQty,"&gt;-1E+300",dFlt1,critFlt1,dFlt2,critFlt2,dFlt3,critFlt3))</f>
        <v/>
      </c>
      <c r="G1375">
        <f>IF($B1375="",0,IFERROR(IF(OR(C1375&lt;&gt;0,D1375&lt;&gt;0,E1375&lt;&gt;0,F1375&lt;&gt;0),1,0),1))</f>
        <v>0</v>
      </c>
      <c r="H1375" t="str">
        <f>IF(OR(G1375=0,E1375=0),"",C1375/E1375)</f>
        <v/>
      </c>
      <c r="I1375" t="str">
        <f>IF(OR(G1375=0,F1375=0),"",D1375/F1375)</f>
        <v/>
      </c>
      <c r="J1375" t="str">
        <f>IF(OR(H1375="",I1375=""),"",IF(H1375=0,"",I1375/H1375-1))</f>
        <v/>
      </c>
      <c r="K1375" t="str">
        <f>IF($B1375="","",IFERROR(IF(G1375=0,-2E+300,CHOOSE(sortIdx,ROUND(D1375,0),IF(J1375="",-1E+300,ROUND(-J1375,6)),IF(J1375="",-1E+300,ROUND(J1375,6)))),-1.5E+300))</f>
        <v/>
      </c>
      <c r="L1375" t="str">
        <f>IF(K1375="","",RANK(K1375,$K$2:$K$3001,0)+COUNTIF($K$2:K1375,K1375)-1)</f>
        <v/>
      </c>
    </row>
    <row r="1376">
      <c r="B1376" t="str">
        <f>IFERROR(IF(A1376="","","="&amp;SUBSTITUTE(SUBSTITUTE(SUBSTITUTE(A1376,"~","~~"),"*","~*"),"?","~?")),"")</f>
        <v/>
      </c>
      <c r="C1376" t="str">
        <f>IF($B1376="","",SUMIFS(dAmt,dCust,$B1376,dPer,"&gt;="&amp;pyFrom,dPer,"&lt;="&amp;pyTo,dAmt,"&gt;-1E+300",dFlt1,critFlt1,dFlt2,critFlt2,dFlt3,critFlt3))</f>
        <v/>
      </c>
      <c r="D1376" t="str">
        <f>IF($B1376="","",SUMIFS(dAmt,dCust,$B1376,dPer,"&gt;="&amp;cyFrom,dPer,"&lt;="&amp;cyTo,dAmt,"&gt;-1E+300",dFlt1,critFlt1,dFlt2,critFlt2,dFlt3,critFlt3))</f>
        <v/>
      </c>
      <c r="E1376" t="str">
        <f>IF($B1376="","",SUMIFS(dQty,dCust,$B1376,dPer,"&gt;="&amp;pyFrom,dPer,"&lt;="&amp;pyTo,dQty,"&gt;-1E+300",dFlt1,critFlt1,dFlt2,critFlt2,dFlt3,critFlt3))</f>
        <v/>
      </c>
      <c r="F1376" t="str">
        <f>IF($B1376="","",SUMIFS(dQty,dCust,$B1376,dPer,"&gt;="&amp;cyFrom,dPer,"&lt;="&amp;cyTo,dQty,"&gt;-1E+300",dFlt1,critFlt1,dFlt2,critFlt2,dFlt3,critFlt3))</f>
        <v/>
      </c>
      <c r="G1376">
        <f>IF($B1376="",0,IFERROR(IF(OR(C1376&lt;&gt;0,D1376&lt;&gt;0,E1376&lt;&gt;0,F1376&lt;&gt;0),1,0),1))</f>
        <v>0</v>
      </c>
      <c r="H1376" t="str">
        <f>IF(OR(G1376=0,E1376=0),"",C1376/E1376)</f>
        <v/>
      </c>
      <c r="I1376" t="str">
        <f>IF(OR(G1376=0,F1376=0),"",D1376/F1376)</f>
        <v/>
      </c>
      <c r="J1376" t="str">
        <f>IF(OR(H1376="",I1376=""),"",IF(H1376=0,"",I1376/H1376-1))</f>
        <v/>
      </c>
      <c r="K1376" t="str">
        <f>IF($B1376="","",IFERROR(IF(G1376=0,-2E+300,CHOOSE(sortIdx,ROUND(D1376,0),IF(J1376="",-1E+300,ROUND(-J1376,6)),IF(J1376="",-1E+300,ROUND(J1376,6)))),-1.5E+300))</f>
        <v/>
      </c>
      <c r="L1376" t="str">
        <f>IF(K1376="","",RANK(K1376,$K$2:$K$3001,0)+COUNTIF($K$2:K1376,K1376)-1)</f>
        <v/>
      </c>
    </row>
    <row r="1377">
      <c r="B1377" t="str">
        <f>IFERROR(IF(A1377="","","="&amp;SUBSTITUTE(SUBSTITUTE(SUBSTITUTE(A1377,"~","~~"),"*","~*"),"?","~?")),"")</f>
        <v/>
      </c>
      <c r="C1377" t="str">
        <f>IF($B1377="","",SUMIFS(dAmt,dCust,$B1377,dPer,"&gt;="&amp;pyFrom,dPer,"&lt;="&amp;pyTo,dAmt,"&gt;-1E+300",dFlt1,critFlt1,dFlt2,critFlt2,dFlt3,critFlt3))</f>
        <v/>
      </c>
      <c r="D1377" t="str">
        <f>IF($B1377="","",SUMIFS(dAmt,dCust,$B1377,dPer,"&gt;="&amp;cyFrom,dPer,"&lt;="&amp;cyTo,dAmt,"&gt;-1E+300",dFlt1,critFlt1,dFlt2,critFlt2,dFlt3,critFlt3))</f>
        <v/>
      </c>
      <c r="E1377" t="str">
        <f>IF($B1377="","",SUMIFS(dQty,dCust,$B1377,dPer,"&gt;="&amp;pyFrom,dPer,"&lt;="&amp;pyTo,dQty,"&gt;-1E+300",dFlt1,critFlt1,dFlt2,critFlt2,dFlt3,critFlt3))</f>
        <v/>
      </c>
      <c r="F1377" t="str">
        <f>IF($B1377="","",SUMIFS(dQty,dCust,$B1377,dPer,"&gt;="&amp;cyFrom,dPer,"&lt;="&amp;cyTo,dQty,"&gt;-1E+300",dFlt1,critFlt1,dFlt2,critFlt2,dFlt3,critFlt3))</f>
        <v/>
      </c>
      <c r="G1377">
        <f>IF($B1377="",0,IFERROR(IF(OR(C1377&lt;&gt;0,D1377&lt;&gt;0,E1377&lt;&gt;0,F1377&lt;&gt;0),1,0),1))</f>
        <v>0</v>
      </c>
      <c r="H1377" t="str">
        <f>IF(OR(G1377=0,E1377=0),"",C1377/E1377)</f>
        <v/>
      </c>
      <c r="I1377" t="str">
        <f>IF(OR(G1377=0,F1377=0),"",D1377/F1377)</f>
        <v/>
      </c>
      <c r="J1377" t="str">
        <f>IF(OR(H1377="",I1377=""),"",IF(H1377=0,"",I1377/H1377-1))</f>
        <v/>
      </c>
      <c r="K1377" t="str">
        <f>IF($B1377="","",IFERROR(IF(G1377=0,-2E+300,CHOOSE(sortIdx,ROUND(D1377,0),IF(J1377="",-1E+300,ROUND(-J1377,6)),IF(J1377="",-1E+300,ROUND(J1377,6)))),-1.5E+300))</f>
        <v/>
      </c>
      <c r="L1377" t="str">
        <f>IF(K1377="","",RANK(K1377,$K$2:$K$3001,0)+COUNTIF($K$2:K1377,K1377)-1)</f>
        <v/>
      </c>
    </row>
    <row r="1378">
      <c r="B1378" t="str">
        <f>IFERROR(IF(A1378="","","="&amp;SUBSTITUTE(SUBSTITUTE(SUBSTITUTE(A1378,"~","~~"),"*","~*"),"?","~?")),"")</f>
        <v/>
      </c>
      <c r="C1378" t="str">
        <f>IF($B1378="","",SUMIFS(dAmt,dCust,$B1378,dPer,"&gt;="&amp;pyFrom,dPer,"&lt;="&amp;pyTo,dAmt,"&gt;-1E+300",dFlt1,critFlt1,dFlt2,critFlt2,dFlt3,critFlt3))</f>
        <v/>
      </c>
      <c r="D1378" t="str">
        <f>IF($B1378="","",SUMIFS(dAmt,dCust,$B1378,dPer,"&gt;="&amp;cyFrom,dPer,"&lt;="&amp;cyTo,dAmt,"&gt;-1E+300",dFlt1,critFlt1,dFlt2,critFlt2,dFlt3,critFlt3))</f>
        <v/>
      </c>
      <c r="E1378" t="str">
        <f>IF($B1378="","",SUMIFS(dQty,dCust,$B1378,dPer,"&gt;="&amp;pyFrom,dPer,"&lt;="&amp;pyTo,dQty,"&gt;-1E+300",dFlt1,critFlt1,dFlt2,critFlt2,dFlt3,critFlt3))</f>
        <v/>
      </c>
      <c r="F1378" t="str">
        <f>IF($B1378="","",SUMIFS(dQty,dCust,$B1378,dPer,"&gt;="&amp;cyFrom,dPer,"&lt;="&amp;cyTo,dQty,"&gt;-1E+300",dFlt1,critFlt1,dFlt2,critFlt2,dFlt3,critFlt3))</f>
        <v/>
      </c>
      <c r="G1378">
        <f>IF($B1378="",0,IFERROR(IF(OR(C1378&lt;&gt;0,D1378&lt;&gt;0,E1378&lt;&gt;0,F1378&lt;&gt;0),1,0),1))</f>
        <v>0</v>
      </c>
      <c r="H1378" t="str">
        <f>IF(OR(G1378=0,E1378=0),"",C1378/E1378)</f>
        <v/>
      </c>
      <c r="I1378" t="str">
        <f>IF(OR(G1378=0,F1378=0),"",D1378/F1378)</f>
        <v/>
      </c>
      <c r="J1378" t="str">
        <f>IF(OR(H1378="",I1378=""),"",IF(H1378=0,"",I1378/H1378-1))</f>
        <v/>
      </c>
      <c r="K1378" t="str">
        <f>IF($B1378="","",IFERROR(IF(G1378=0,-2E+300,CHOOSE(sortIdx,ROUND(D1378,0),IF(J1378="",-1E+300,ROUND(-J1378,6)),IF(J1378="",-1E+300,ROUND(J1378,6)))),-1.5E+300))</f>
        <v/>
      </c>
      <c r="L1378" t="str">
        <f>IF(K1378="","",RANK(K1378,$K$2:$K$3001,0)+COUNTIF($K$2:K1378,K1378)-1)</f>
        <v/>
      </c>
    </row>
    <row r="1379">
      <c r="B1379" t="str">
        <f>IFERROR(IF(A1379="","","="&amp;SUBSTITUTE(SUBSTITUTE(SUBSTITUTE(A1379,"~","~~"),"*","~*"),"?","~?")),"")</f>
        <v/>
      </c>
      <c r="C1379" t="str">
        <f>IF($B1379="","",SUMIFS(dAmt,dCust,$B1379,dPer,"&gt;="&amp;pyFrom,dPer,"&lt;="&amp;pyTo,dAmt,"&gt;-1E+300",dFlt1,critFlt1,dFlt2,critFlt2,dFlt3,critFlt3))</f>
        <v/>
      </c>
      <c r="D1379" t="str">
        <f>IF($B1379="","",SUMIFS(dAmt,dCust,$B1379,dPer,"&gt;="&amp;cyFrom,dPer,"&lt;="&amp;cyTo,dAmt,"&gt;-1E+300",dFlt1,critFlt1,dFlt2,critFlt2,dFlt3,critFlt3))</f>
        <v/>
      </c>
      <c r="E1379" t="str">
        <f>IF($B1379="","",SUMIFS(dQty,dCust,$B1379,dPer,"&gt;="&amp;pyFrom,dPer,"&lt;="&amp;pyTo,dQty,"&gt;-1E+300",dFlt1,critFlt1,dFlt2,critFlt2,dFlt3,critFlt3))</f>
        <v/>
      </c>
      <c r="F1379" t="str">
        <f>IF($B1379="","",SUMIFS(dQty,dCust,$B1379,dPer,"&gt;="&amp;cyFrom,dPer,"&lt;="&amp;cyTo,dQty,"&gt;-1E+300",dFlt1,critFlt1,dFlt2,critFlt2,dFlt3,critFlt3))</f>
        <v/>
      </c>
      <c r="G1379">
        <f>IF($B1379="",0,IFERROR(IF(OR(C1379&lt;&gt;0,D1379&lt;&gt;0,E1379&lt;&gt;0,F1379&lt;&gt;0),1,0),1))</f>
        <v>0</v>
      </c>
      <c r="H1379" t="str">
        <f>IF(OR(G1379=0,E1379=0),"",C1379/E1379)</f>
        <v/>
      </c>
      <c r="I1379" t="str">
        <f>IF(OR(G1379=0,F1379=0),"",D1379/F1379)</f>
        <v/>
      </c>
      <c r="J1379" t="str">
        <f>IF(OR(H1379="",I1379=""),"",IF(H1379=0,"",I1379/H1379-1))</f>
        <v/>
      </c>
      <c r="K1379" t="str">
        <f>IF($B1379="","",IFERROR(IF(G1379=0,-2E+300,CHOOSE(sortIdx,ROUND(D1379,0),IF(J1379="",-1E+300,ROUND(-J1379,6)),IF(J1379="",-1E+300,ROUND(J1379,6)))),-1.5E+300))</f>
        <v/>
      </c>
      <c r="L1379" t="str">
        <f>IF(K1379="","",RANK(K1379,$K$2:$K$3001,0)+COUNTIF($K$2:K1379,K1379)-1)</f>
        <v/>
      </c>
    </row>
    <row r="1380">
      <c r="B1380" t="str">
        <f>IFERROR(IF(A1380="","","="&amp;SUBSTITUTE(SUBSTITUTE(SUBSTITUTE(A1380,"~","~~"),"*","~*"),"?","~?")),"")</f>
        <v/>
      </c>
      <c r="C1380" t="str">
        <f>IF($B1380="","",SUMIFS(dAmt,dCust,$B1380,dPer,"&gt;="&amp;pyFrom,dPer,"&lt;="&amp;pyTo,dAmt,"&gt;-1E+300",dFlt1,critFlt1,dFlt2,critFlt2,dFlt3,critFlt3))</f>
        <v/>
      </c>
      <c r="D1380" t="str">
        <f>IF($B1380="","",SUMIFS(dAmt,dCust,$B1380,dPer,"&gt;="&amp;cyFrom,dPer,"&lt;="&amp;cyTo,dAmt,"&gt;-1E+300",dFlt1,critFlt1,dFlt2,critFlt2,dFlt3,critFlt3))</f>
        <v/>
      </c>
      <c r="E1380" t="str">
        <f>IF($B1380="","",SUMIFS(dQty,dCust,$B1380,dPer,"&gt;="&amp;pyFrom,dPer,"&lt;="&amp;pyTo,dQty,"&gt;-1E+300",dFlt1,critFlt1,dFlt2,critFlt2,dFlt3,critFlt3))</f>
        <v/>
      </c>
      <c r="F1380" t="str">
        <f>IF($B1380="","",SUMIFS(dQty,dCust,$B1380,dPer,"&gt;="&amp;cyFrom,dPer,"&lt;="&amp;cyTo,dQty,"&gt;-1E+300",dFlt1,critFlt1,dFlt2,critFlt2,dFlt3,critFlt3))</f>
        <v/>
      </c>
      <c r="G1380">
        <f>IF($B1380="",0,IFERROR(IF(OR(C1380&lt;&gt;0,D1380&lt;&gt;0,E1380&lt;&gt;0,F1380&lt;&gt;0),1,0),1))</f>
        <v>0</v>
      </c>
      <c r="H1380" t="str">
        <f>IF(OR(G1380=0,E1380=0),"",C1380/E1380)</f>
        <v/>
      </c>
      <c r="I1380" t="str">
        <f>IF(OR(G1380=0,F1380=0),"",D1380/F1380)</f>
        <v/>
      </c>
      <c r="J1380" t="str">
        <f>IF(OR(H1380="",I1380=""),"",IF(H1380=0,"",I1380/H1380-1))</f>
        <v/>
      </c>
      <c r="K1380" t="str">
        <f>IF($B1380="","",IFERROR(IF(G1380=0,-2E+300,CHOOSE(sortIdx,ROUND(D1380,0),IF(J1380="",-1E+300,ROUND(-J1380,6)),IF(J1380="",-1E+300,ROUND(J1380,6)))),-1.5E+300))</f>
        <v/>
      </c>
      <c r="L1380" t="str">
        <f>IF(K1380="","",RANK(K1380,$K$2:$K$3001,0)+COUNTIF($K$2:K1380,K1380)-1)</f>
        <v/>
      </c>
    </row>
    <row r="1381">
      <c r="B1381" t="str">
        <f>IFERROR(IF(A1381="","","="&amp;SUBSTITUTE(SUBSTITUTE(SUBSTITUTE(A1381,"~","~~"),"*","~*"),"?","~?")),"")</f>
        <v/>
      </c>
      <c r="C1381" t="str">
        <f>IF($B1381="","",SUMIFS(dAmt,dCust,$B1381,dPer,"&gt;="&amp;pyFrom,dPer,"&lt;="&amp;pyTo,dAmt,"&gt;-1E+300",dFlt1,critFlt1,dFlt2,critFlt2,dFlt3,critFlt3))</f>
        <v/>
      </c>
      <c r="D1381" t="str">
        <f>IF($B1381="","",SUMIFS(dAmt,dCust,$B1381,dPer,"&gt;="&amp;cyFrom,dPer,"&lt;="&amp;cyTo,dAmt,"&gt;-1E+300",dFlt1,critFlt1,dFlt2,critFlt2,dFlt3,critFlt3))</f>
        <v/>
      </c>
      <c r="E1381" t="str">
        <f>IF($B1381="","",SUMIFS(dQty,dCust,$B1381,dPer,"&gt;="&amp;pyFrom,dPer,"&lt;="&amp;pyTo,dQty,"&gt;-1E+300",dFlt1,critFlt1,dFlt2,critFlt2,dFlt3,critFlt3))</f>
        <v/>
      </c>
      <c r="F1381" t="str">
        <f>IF($B1381="","",SUMIFS(dQty,dCust,$B1381,dPer,"&gt;="&amp;cyFrom,dPer,"&lt;="&amp;cyTo,dQty,"&gt;-1E+300",dFlt1,critFlt1,dFlt2,critFlt2,dFlt3,critFlt3))</f>
        <v/>
      </c>
      <c r="G1381">
        <f>IF($B1381="",0,IFERROR(IF(OR(C1381&lt;&gt;0,D1381&lt;&gt;0,E1381&lt;&gt;0,F1381&lt;&gt;0),1,0),1))</f>
        <v>0</v>
      </c>
      <c r="H1381" t="str">
        <f>IF(OR(G1381=0,E1381=0),"",C1381/E1381)</f>
        <v/>
      </c>
      <c r="I1381" t="str">
        <f>IF(OR(G1381=0,F1381=0),"",D1381/F1381)</f>
        <v/>
      </c>
      <c r="J1381" t="str">
        <f>IF(OR(H1381="",I1381=""),"",IF(H1381=0,"",I1381/H1381-1))</f>
        <v/>
      </c>
      <c r="K1381" t="str">
        <f>IF($B1381="","",IFERROR(IF(G1381=0,-2E+300,CHOOSE(sortIdx,ROUND(D1381,0),IF(J1381="",-1E+300,ROUND(-J1381,6)),IF(J1381="",-1E+300,ROUND(J1381,6)))),-1.5E+300))</f>
        <v/>
      </c>
      <c r="L1381" t="str">
        <f>IF(K1381="","",RANK(K1381,$K$2:$K$3001,0)+COUNTIF($K$2:K1381,K1381)-1)</f>
        <v/>
      </c>
    </row>
    <row r="1382">
      <c r="B1382" t="str">
        <f>IFERROR(IF(A1382="","","="&amp;SUBSTITUTE(SUBSTITUTE(SUBSTITUTE(A1382,"~","~~"),"*","~*"),"?","~?")),"")</f>
        <v/>
      </c>
      <c r="C1382" t="str">
        <f>IF($B1382="","",SUMIFS(dAmt,dCust,$B1382,dPer,"&gt;="&amp;pyFrom,dPer,"&lt;="&amp;pyTo,dAmt,"&gt;-1E+300",dFlt1,critFlt1,dFlt2,critFlt2,dFlt3,critFlt3))</f>
        <v/>
      </c>
      <c r="D1382" t="str">
        <f>IF($B1382="","",SUMIFS(dAmt,dCust,$B1382,dPer,"&gt;="&amp;cyFrom,dPer,"&lt;="&amp;cyTo,dAmt,"&gt;-1E+300",dFlt1,critFlt1,dFlt2,critFlt2,dFlt3,critFlt3))</f>
        <v/>
      </c>
      <c r="E1382" t="str">
        <f>IF($B1382="","",SUMIFS(dQty,dCust,$B1382,dPer,"&gt;="&amp;pyFrom,dPer,"&lt;="&amp;pyTo,dQty,"&gt;-1E+300",dFlt1,critFlt1,dFlt2,critFlt2,dFlt3,critFlt3))</f>
        <v/>
      </c>
      <c r="F1382" t="str">
        <f>IF($B1382="","",SUMIFS(dQty,dCust,$B1382,dPer,"&gt;="&amp;cyFrom,dPer,"&lt;="&amp;cyTo,dQty,"&gt;-1E+300",dFlt1,critFlt1,dFlt2,critFlt2,dFlt3,critFlt3))</f>
        <v/>
      </c>
      <c r="G1382">
        <f>IF($B1382="",0,IFERROR(IF(OR(C1382&lt;&gt;0,D1382&lt;&gt;0,E1382&lt;&gt;0,F1382&lt;&gt;0),1,0),1))</f>
        <v>0</v>
      </c>
      <c r="H1382" t="str">
        <f>IF(OR(G1382=0,E1382=0),"",C1382/E1382)</f>
        <v/>
      </c>
      <c r="I1382" t="str">
        <f>IF(OR(G1382=0,F1382=0),"",D1382/F1382)</f>
        <v/>
      </c>
      <c r="J1382" t="str">
        <f>IF(OR(H1382="",I1382=""),"",IF(H1382=0,"",I1382/H1382-1))</f>
        <v/>
      </c>
      <c r="K1382" t="str">
        <f>IF($B1382="","",IFERROR(IF(G1382=0,-2E+300,CHOOSE(sortIdx,ROUND(D1382,0),IF(J1382="",-1E+300,ROUND(-J1382,6)),IF(J1382="",-1E+300,ROUND(J1382,6)))),-1.5E+300))</f>
        <v/>
      </c>
      <c r="L1382" t="str">
        <f>IF(K1382="","",RANK(K1382,$K$2:$K$3001,0)+COUNTIF($K$2:K1382,K1382)-1)</f>
        <v/>
      </c>
    </row>
    <row r="1383">
      <c r="B1383" t="str">
        <f>IFERROR(IF(A1383="","","="&amp;SUBSTITUTE(SUBSTITUTE(SUBSTITUTE(A1383,"~","~~"),"*","~*"),"?","~?")),"")</f>
        <v/>
      </c>
      <c r="C1383" t="str">
        <f>IF($B1383="","",SUMIFS(dAmt,dCust,$B1383,dPer,"&gt;="&amp;pyFrom,dPer,"&lt;="&amp;pyTo,dAmt,"&gt;-1E+300",dFlt1,critFlt1,dFlt2,critFlt2,dFlt3,critFlt3))</f>
        <v/>
      </c>
      <c r="D1383" t="str">
        <f>IF($B1383="","",SUMIFS(dAmt,dCust,$B1383,dPer,"&gt;="&amp;cyFrom,dPer,"&lt;="&amp;cyTo,dAmt,"&gt;-1E+300",dFlt1,critFlt1,dFlt2,critFlt2,dFlt3,critFlt3))</f>
        <v/>
      </c>
      <c r="E1383" t="str">
        <f>IF($B1383="","",SUMIFS(dQty,dCust,$B1383,dPer,"&gt;="&amp;pyFrom,dPer,"&lt;="&amp;pyTo,dQty,"&gt;-1E+300",dFlt1,critFlt1,dFlt2,critFlt2,dFlt3,critFlt3))</f>
        <v/>
      </c>
      <c r="F1383" t="str">
        <f>IF($B1383="","",SUMIFS(dQty,dCust,$B1383,dPer,"&gt;="&amp;cyFrom,dPer,"&lt;="&amp;cyTo,dQty,"&gt;-1E+300",dFlt1,critFlt1,dFlt2,critFlt2,dFlt3,critFlt3))</f>
        <v/>
      </c>
      <c r="G1383">
        <f>IF($B1383="",0,IFERROR(IF(OR(C1383&lt;&gt;0,D1383&lt;&gt;0,E1383&lt;&gt;0,F1383&lt;&gt;0),1,0),1))</f>
        <v>0</v>
      </c>
      <c r="H1383" t="str">
        <f>IF(OR(G1383=0,E1383=0),"",C1383/E1383)</f>
        <v/>
      </c>
      <c r="I1383" t="str">
        <f>IF(OR(G1383=0,F1383=0),"",D1383/F1383)</f>
        <v/>
      </c>
      <c r="J1383" t="str">
        <f>IF(OR(H1383="",I1383=""),"",IF(H1383=0,"",I1383/H1383-1))</f>
        <v/>
      </c>
      <c r="K1383" t="str">
        <f>IF($B1383="","",IFERROR(IF(G1383=0,-2E+300,CHOOSE(sortIdx,ROUND(D1383,0),IF(J1383="",-1E+300,ROUND(-J1383,6)),IF(J1383="",-1E+300,ROUND(J1383,6)))),-1.5E+300))</f>
        <v/>
      </c>
      <c r="L1383" t="str">
        <f>IF(K1383="","",RANK(K1383,$K$2:$K$3001,0)+COUNTIF($K$2:K1383,K1383)-1)</f>
        <v/>
      </c>
    </row>
    <row r="1384">
      <c r="B1384" t="str">
        <f>IFERROR(IF(A1384="","","="&amp;SUBSTITUTE(SUBSTITUTE(SUBSTITUTE(A1384,"~","~~"),"*","~*"),"?","~?")),"")</f>
        <v/>
      </c>
      <c r="C1384" t="str">
        <f>IF($B1384="","",SUMIFS(dAmt,dCust,$B1384,dPer,"&gt;="&amp;pyFrom,dPer,"&lt;="&amp;pyTo,dAmt,"&gt;-1E+300",dFlt1,critFlt1,dFlt2,critFlt2,dFlt3,critFlt3))</f>
        <v/>
      </c>
      <c r="D1384" t="str">
        <f>IF($B1384="","",SUMIFS(dAmt,dCust,$B1384,dPer,"&gt;="&amp;cyFrom,dPer,"&lt;="&amp;cyTo,dAmt,"&gt;-1E+300",dFlt1,critFlt1,dFlt2,critFlt2,dFlt3,critFlt3))</f>
        <v/>
      </c>
      <c r="E1384" t="str">
        <f>IF($B1384="","",SUMIFS(dQty,dCust,$B1384,dPer,"&gt;="&amp;pyFrom,dPer,"&lt;="&amp;pyTo,dQty,"&gt;-1E+300",dFlt1,critFlt1,dFlt2,critFlt2,dFlt3,critFlt3))</f>
        <v/>
      </c>
      <c r="F1384" t="str">
        <f>IF($B1384="","",SUMIFS(dQty,dCust,$B1384,dPer,"&gt;="&amp;cyFrom,dPer,"&lt;="&amp;cyTo,dQty,"&gt;-1E+300",dFlt1,critFlt1,dFlt2,critFlt2,dFlt3,critFlt3))</f>
        <v/>
      </c>
      <c r="G1384">
        <f>IF($B1384="",0,IFERROR(IF(OR(C1384&lt;&gt;0,D1384&lt;&gt;0,E1384&lt;&gt;0,F1384&lt;&gt;0),1,0),1))</f>
        <v>0</v>
      </c>
      <c r="H1384" t="str">
        <f>IF(OR(G1384=0,E1384=0),"",C1384/E1384)</f>
        <v/>
      </c>
      <c r="I1384" t="str">
        <f>IF(OR(G1384=0,F1384=0),"",D1384/F1384)</f>
        <v/>
      </c>
      <c r="J1384" t="str">
        <f>IF(OR(H1384="",I1384=""),"",IF(H1384=0,"",I1384/H1384-1))</f>
        <v/>
      </c>
      <c r="K1384" t="str">
        <f>IF($B1384="","",IFERROR(IF(G1384=0,-2E+300,CHOOSE(sortIdx,ROUND(D1384,0),IF(J1384="",-1E+300,ROUND(-J1384,6)),IF(J1384="",-1E+300,ROUND(J1384,6)))),-1.5E+300))</f>
        <v/>
      </c>
      <c r="L1384" t="str">
        <f>IF(K1384="","",RANK(K1384,$K$2:$K$3001,0)+COUNTIF($K$2:K1384,K1384)-1)</f>
        <v/>
      </c>
    </row>
    <row r="1385">
      <c r="B1385" t="str">
        <f>IFERROR(IF(A1385="","","="&amp;SUBSTITUTE(SUBSTITUTE(SUBSTITUTE(A1385,"~","~~"),"*","~*"),"?","~?")),"")</f>
        <v/>
      </c>
      <c r="C1385" t="str">
        <f>IF($B1385="","",SUMIFS(dAmt,dCust,$B1385,dPer,"&gt;="&amp;pyFrom,dPer,"&lt;="&amp;pyTo,dAmt,"&gt;-1E+300",dFlt1,critFlt1,dFlt2,critFlt2,dFlt3,critFlt3))</f>
        <v/>
      </c>
      <c r="D1385" t="str">
        <f>IF($B1385="","",SUMIFS(dAmt,dCust,$B1385,dPer,"&gt;="&amp;cyFrom,dPer,"&lt;="&amp;cyTo,dAmt,"&gt;-1E+300",dFlt1,critFlt1,dFlt2,critFlt2,dFlt3,critFlt3))</f>
        <v/>
      </c>
      <c r="E1385" t="str">
        <f>IF($B1385="","",SUMIFS(dQty,dCust,$B1385,dPer,"&gt;="&amp;pyFrom,dPer,"&lt;="&amp;pyTo,dQty,"&gt;-1E+300",dFlt1,critFlt1,dFlt2,critFlt2,dFlt3,critFlt3))</f>
        <v/>
      </c>
      <c r="F1385" t="str">
        <f>IF($B1385="","",SUMIFS(dQty,dCust,$B1385,dPer,"&gt;="&amp;cyFrom,dPer,"&lt;="&amp;cyTo,dQty,"&gt;-1E+300",dFlt1,critFlt1,dFlt2,critFlt2,dFlt3,critFlt3))</f>
        <v/>
      </c>
      <c r="G1385">
        <f>IF($B1385="",0,IFERROR(IF(OR(C1385&lt;&gt;0,D1385&lt;&gt;0,E1385&lt;&gt;0,F1385&lt;&gt;0),1,0),1))</f>
        <v>0</v>
      </c>
      <c r="H1385" t="str">
        <f>IF(OR(G1385=0,E1385=0),"",C1385/E1385)</f>
        <v/>
      </c>
      <c r="I1385" t="str">
        <f>IF(OR(G1385=0,F1385=0),"",D1385/F1385)</f>
        <v/>
      </c>
      <c r="J1385" t="str">
        <f>IF(OR(H1385="",I1385=""),"",IF(H1385=0,"",I1385/H1385-1))</f>
        <v/>
      </c>
      <c r="K1385" t="str">
        <f>IF($B1385="","",IFERROR(IF(G1385=0,-2E+300,CHOOSE(sortIdx,ROUND(D1385,0),IF(J1385="",-1E+300,ROUND(-J1385,6)),IF(J1385="",-1E+300,ROUND(J1385,6)))),-1.5E+300))</f>
        <v/>
      </c>
      <c r="L1385" t="str">
        <f>IF(K1385="","",RANK(K1385,$K$2:$K$3001,0)+COUNTIF($K$2:K1385,K1385)-1)</f>
        <v/>
      </c>
    </row>
    <row r="1386">
      <c r="B1386" t="str">
        <f>IFERROR(IF(A1386="","","="&amp;SUBSTITUTE(SUBSTITUTE(SUBSTITUTE(A1386,"~","~~"),"*","~*"),"?","~?")),"")</f>
        <v/>
      </c>
      <c r="C1386" t="str">
        <f>IF($B1386="","",SUMIFS(dAmt,dCust,$B1386,dPer,"&gt;="&amp;pyFrom,dPer,"&lt;="&amp;pyTo,dAmt,"&gt;-1E+300",dFlt1,critFlt1,dFlt2,critFlt2,dFlt3,critFlt3))</f>
        <v/>
      </c>
      <c r="D1386" t="str">
        <f>IF($B1386="","",SUMIFS(dAmt,dCust,$B1386,dPer,"&gt;="&amp;cyFrom,dPer,"&lt;="&amp;cyTo,dAmt,"&gt;-1E+300",dFlt1,critFlt1,dFlt2,critFlt2,dFlt3,critFlt3))</f>
        <v/>
      </c>
      <c r="E1386" t="str">
        <f>IF($B1386="","",SUMIFS(dQty,dCust,$B1386,dPer,"&gt;="&amp;pyFrom,dPer,"&lt;="&amp;pyTo,dQty,"&gt;-1E+300",dFlt1,critFlt1,dFlt2,critFlt2,dFlt3,critFlt3))</f>
        <v/>
      </c>
      <c r="F1386" t="str">
        <f>IF($B1386="","",SUMIFS(dQty,dCust,$B1386,dPer,"&gt;="&amp;cyFrom,dPer,"&lt;="&amp;cyTo,dQty,"&gt;-1E+300",dFlt1,critFlt1,dFlt2,critFlt2,dFlt3,critFlt3))</f>
        <v/>
      </c>
      <c r="G1386">
        <f>IF($B1386="",0,IFERROR(IF(OR(C1386&lt;&gt;0,D1386&lt;&gt;0,E1386&lt;&gt;0,F1386&lt;&gt;0),1,0),1))</f>
        <v>0</v>
      </c>
      <c r="H1386" t="str">
        <f>IF(OR(G1386=0,E1386=0),"",C1386/E1386)</f>
        <v/>
      </c>
      <c r="I1386" t="str">
        <f>IF(OR(G1386=0,F1386=0),"",D1386/F1386)</f>
        <v/>
      </c>
      <c r="J1386" t="str">
        <f>IF(OR(H1386="",I1386=""),"",IF(H1386=0,"",I1386/H1386-1))</f>
        <v/>
      </c>
      <c r="K1386" t="str">
        <f>IF($B1386="","",IFERROR(IF(G1386=0,-2E+300,CHOOSE(sortIdx,ROUND(D1386,0),IF(J1386="",-1E+300,ROUND(-J1386,6)),IF(J1386="",-1E+300,ROUND(J1386,6)))),-1.5E+300))</f>
        <v/>
      </c>
      <c r="L1386" t="str">
        <f>IF(K1386="","",RANK(K1386,$K$2:$K$3001,0)+COUNTIF($K$2:K1386,K1386)-1)</f>
        <v/>
      </c>
    </row>
    <row r="1387">
      <c r="B1387" t="str">
        <f>IFERROR(IF(A1387="","","="&amp;SUBSTITUTE(SUBSTITUTE(SUBSTITUTE(A1387,"~","~~"),"*","~*"),"?","~?")),"")</f>
        <v/>
      </c>
      <c r="C1387" t="str">
        <f>IF($B1387="","",SUMIFS(dAmt,dCust,$B1387,dPer,"&gt;="&amp;pyFrom,dPer,"&lt;="&amp;pyTo,dAmt,"&gt;-1E+300",dFlt1,critFlt1,dFlt2,critFlt2,dFlt3,critFlt3))</f>
        <v/>
      </c>
      <c r="D1387" t="str">
        <f>IF($B1387="","",SUMIFS(dAmt,dCust,$B1387,dPer,"&gt;="&amp;cyFrom,dPer,"&lt;="&amp;cyTo,dAmt,"&gt;-1E+300",dFlt1,critFlt1,dFlt2,critFlt2,dFlt3,critFlt3))</f>
        <v/>
      </c>
      <c r="E1387" t="str">
        <f>IF($B1387="","",SUMIFS(dQty,dCust,$B1387,dPer,"&gt;="&amp;pyFrom,dPer,"&lt;="&amp;pyTo,dQty,"&gt;-1E+300",dFlt1,critFlt1,dFlt2,critFlt2,dFlt3,critFlt3))</f>
        <v/>
      </c>
      <c r="F1387" t="str">
        <f>IF($B1387="","",SUMIFS(dQty,dCust,$B1387,dPer,"&gt;="&amp;cyFrom,dPer,"&lt;="&amp;cyTo,dQty,"&gt;-1E+300",dFlt1,critFlt1,dFlt2,critFlt2,dFlt3,critFlt3))</f>
        <v/>
      </c>
      <c r="G1387">
        <f>IF($B1387="",0,IFERROR(IF(OR(C1387&lt;&gt;0,D1387&lt;&gt;0,E1387&lt;&gt;0,F1387&lt;&gt;0),1,0),1))</f>
        <v>0</v>
      </c>
      <c r="H1387" t="str">
        <f>IF(OR(G1387=0,E1387=0),"",C1387/E1387)</f>
        <v/>
      </c>
      <c r="I1387" t="str">
        <f>IF(OR(G1387=0,F1387=0),"",D1387/F1387)</f>
        <v/>
      </c>
      <c r="J1387" t="str">
        <f>IF(OR(H1387="",I1387=""),"",IF(H1387=0,"",I1387/H1387-1))</f>
        <v/>
      </c>
      <c r="K1387" t="str">
        <f>IF($B1387="","",IFERROR(IF(G1387=0,-2E+300,CHOOSE(sortIdx,ROUND(D1387,0),IF(J1387="",-1E+300,ROUND(-J1387,6)),IF(J1387="",-1E+300,ROUND(J1387,6)))),-1.5E+300))</f>
        <v/>
      </c>
      <c r="L1387" t="str">
        <f>IF(K1387="","",RANK(K1387,$K$2:$K$3001,0)+COUNTIF($K$2:K1387,K1387)-1)</f>
        <v/>
      </c>
    </row>
    <row r="1388">
      <c r="B1388" t="str">
        <f>IFERROR(IF(A1388="","","="&amp;SUBSTITUTE(SUBSTITUTE(SUBSTITUTE(A1388,"~","~~"),"*","~*"),"?","~?")),"")</f>
        <v/>
      </c>
      <c r="C1388" t="str">
        <f>IF($B1388="","",SUMIFS(dAmt,dCust,$B1388,dPer,"&gt;="&amp;pyFrom,dPer,"&lt;="&amp;pyTo,dAmt,"&gt;-1E+300",dFlt1,critFlt1,dFlt2,critFlt2,dFlt3,critFlt3))</f>
        <v/>
      </c>
      <c r="D1388" t="str">
        <f>IF($B1388="","",SUMIFS(dAmt,dCust,$B1388,dPer,"&gt;="&amp;cyFrom,dPer,"&lt;="&amp;cyTo,dAmt,"&gt;-1E+300",dFlt1,critFlt1,dFlt2,critFlt2,dFlt3,critFlt3))</f>
        <v/>
      </c>
      <c r="E1388" t="str">
        <f>IF($B1388="","",SUMIFS(dQty,dCust,$B1388,dPer,"&gt;="&amp;pyFrom,dPer,"&lt;="&amp;pyTo,dQty,"&gt;-1E+300",dFlt1,critFlt1,dFlt2,critFlt2,dFlt3,critFlt3))</f>
        <v/>
      </c>
      <c r="F1388" t="str">
        <f>IF($B1388="","",SUMIFS(dQty,dCust,$B1388,dPer,"&gt;="&amp;cyFrom,dPer,"&lt;="&amp;cyTo,dQty,"&gt;-1E+300",dFlt1,critFlt1,dFlt2,critFlt2,dFlt3,critFlt3))</f>
        <v/>
      </c>
      <c r="G1388">
        <f>IF($B1388="",0,IFERROR(IF(OR(C1388&lt;&gt;0,D1388&lt;&gt;0,E1388&lt;&gt;0,F1388&lt;&gt;0),1,0),1))</f>
        <v>0</v>
      </c>
      <c r="H1388" t="str">
        <f>IF(OR(G1388=0,E1388=0),"",C1388/E1388)</f>
        <v/>
      </c>
      <c r="I1388" t="str">
        <f>IF(OR(G1388=0,F1388=0),"",D1388/F1388)</f>
        <v/>
      </c>
      <c r="J1388" t="str">
        <f>IF(OR(H1388="",I1388=""),"",IF(H1388=0,"",I1388/H1388-1))</f>
        <v/>
      </c>
      <c r="K1388" t="str">
        <f>IF($B1388="","",IFERROR(IF(G1388=0,-2E+300,CHOOSE(sortIdx,ROUND(D1388,0),IF(J1388="",-1E+300,ROUND(-J1388,6)),IF(J1388="",-1E+300,ROUND(J1388,6)))),-1.5E+300))</f>
        <v/>
      </c>
      <c r="L1388" t="str">
        <f>IF(K1388="","",RANK(K1388,$K$2:$K$3001,0)+COUNTIF($K$2:K1388,K1388)-1)</f>
        <v/>
      </c>
    </row>
    <row r="1389">
      <c r="B1389" t="str">
        <f>IFERROR(IF(A1389="","","="&amp;SUBSTITUTE(SUBSTITUTE(SUBSTITUTE(A1389,"~","~~"),"*","~*"),"?","~?")),"")</f>
        <v/>
      </c>
      <c r="C1389" t="str">
        <f>IF($B1389="","",SUMIFS(dAmt,dCust,$B1389,dPer,"&gt;="&amp;pyFrom,dPer,"&lt;="&amp;pyTo,dAmt,"&gt;-1E+300",dFlt1,critFlt1,dFlt2,critFlt2,dFlt3,critFlt3))</f>
        <v/>
      </c>
      <c r="D1389" t="str">
        <f>IF($B1389="","",SUMIFS(dAmt,dCust,$B1389,dPer,"&gt;="&amp;cyFrom,dPer,"&lt;="&amp;cyTo,dAmt,"&gt;-1E+300",dFlt1,critFlt1,dFlt2,critFlt2,dFlt3,critFlt3))</f>
        <v/>
      </c>
      <c r="E1389" t="str">
        <f>IF($B1389="","",SUMIFS(dQty,dCust,$B1389,dPer,"&gt;="&amp;pyFrom,dPer,"&lt;="&amp;pyTo,dQty,"&gt;-1E+300",dFlt1,critFlt1,dFlt2,critFlt2,dFlt3,critFlt3))</f>
        <v/>
      </c>
      <c r="F1389" t="str">
        <f>IF($B1389="","",SUMIFS(dQty,dCust,$B1389,dPer,"&gt;="&amp;cyFrom,dPer,"&lt;="&amp;cyTo,dQty,"&gt;-1E+300",dFlt1,critFlt1,dFlt2,critFlt2,dFlt3,critFlt3))</f>
        <v/>
      </c>
      <c r="G1389">
        <f>IF($B1389="",0,IFERROR(IF(OR(C1389&lt;&gt;0,D1389&lt;&gt;0,E1389&lt;&gt;0,F1389&lt;&gt;0),1,0),1))</f>
        <v>0</v>
      </c>
      <c r="H1389" t="str">
        <f>IF(OR(G1389=0,E1389=0),"",C1389/E1389)</f>
        <v/>
      </c>
      <c r="I1389" t="str">
        <f>IF(OR(G1389=0,F1389=0),"",D1389/F1389)</f>
        <v/>
      </c>
      <c r="J1389" t="str">
        <f>IF(OR(H1389="",I1389=""),"",IF(H1389=0,"",I1389/H1389-1))</f>
        <v/>
      </c>
      <c r="K1389" t="str">
        <f>IF($B1389="","",IFERROR(IF(G1389=0,-2E+300,CHOOSE(sortIdx,ROUND(D1389,0),IF(J1389="",-1E+300,ROUND(-J1389,6)),IF(J1389="",-1E+300,ROUND(J1389,6)))),-1.5E+300))</f>
        <v/>
      </c>
      <c r="L1389" t="str">
        <f>IF(K1389="","",RANK(K1389,$K$2:$K$3001,0)+COUNTIF($K$2:K1389,K1389)-1)</f>
        <v/>
      </c>
    </row>
    <row r="1390">
      <c r="B1390" t="str">
        <f>IFERROR(IF(A1390="","","="&amp;SUBSTITUTE(SUBSTITUTE(SUBSTITUTE(A1390,"~","~~"),"*","~*"),"?","~?")),"")</f>
        <v/>
      </c>
      <c r="C1390" t="str">
        <f>IF($B1390="","",SUMIFS(dAmt,dCust,$B1390,dPer,"&gt;="&amp;pyFrom,dPer,"&lt;="&amp;pyTo,dAmt,"&gt;-1E+300",dFlt1,critFlt1,dFlt2,critFlt2,dFlt3,critFlt3))</f>
        <v/>
      </c>
      <c r="D1390" t="str">
        <f>IF($B1390="","",SUMIFS(dAmt,dCust,$B1390,dPer,"&gt;="&amp;cyFrom,dPer,"&lt;="&amp;cyTo,dAmt,"&gt;-1E+300",dFlt1,critFlt1,dFlt2,critFlt2,dFlt3,critFlt3))</f>
        <v/>
      </c>
      <c r="E1390" t="str">
        <f>IF($B1390="","",SUMIFS(dQty,dCust,$B1390,dPer,"&gt;="&amp;pyFrom,dPer,"&lt;="&amp;pyTo,dQty,"&gt;-1E+300",dFlt1,critFlt1,dFlt2,critFlt2,dFlt3,critFlt3))</f>
        <v/>
      </c>
      <c r="F1390" t="str">
        <f>IF($B1390="","",SUMIFS(dQty,dCust,$B1390,dPer,"&gt;="&amp;cyFrom,dPer,"&lt;="&amp;cyTo,dQty,"&gt;-1E+300",dFlt1,critFlt1,dFlt2,critFlt2,dFlt3,critFlt3))</f>
        <v/>
      </c>
      <c r="G1390">
        <f>IF($B1390="",0,IFERROR(IF(OR(C1390&lt;&gt;0,D1390&lt;&gt;0,E1390&lt;&gt;0,F1390&lt;&gt;0),1,0),1))</f>
        <v>0</v>
      </c>
      <c r="H1390" t="str">
        <f>IF(OR(G1390=0,E1390=0),"",C1390/E1390)</f>
        <v/>
      </c>
      <c r="I1390" t="str">
        <f>IF(OR(G1390=0,F1390=0),"",D1390/F1390)</f>
        <v/>
      </c>
      <c r="J1390" t="str">
        <f>IF(OR(H1390="",I1390=""),"",IF(H1390=0,"",I1390/H1390-1))</f>
        <v/>
      </c>
      <c r="K1390" t="str">
        <f>IF($B1390="","",IFERROR(IF(G1390=0,-2E+300,CHOOSE(sortIdx,ROUND(D1390,0),IF(J1390="",-1E+300,ROUND(-J1390,6)),IF(J1390="",-1E+300,ROUND(J1390,6)))),-1.5E+300))</f>
        <v/>
      </c>
      <c r="L1390" t="str">
        <f>IF(K1390="","",RANK(K1390,$K$2:$K$3001,0)+COUNTIF($K$2:K1390,K1390)-1)</f>
        <v/>
      </c>
    </row>
    <row r="1391">
      <c r="B1391" t="str">
        <f>IFERROR(IF(A1391="","","="&amp;SUBSTITUTE(SUBSTITUTE(SUBSTITUTE(A1391,"~","~~"),"*","~*"),"?","~?")),"")</f>
        <v/>
      </c>
      <c r="C1391" t="str">
        <f>IF($B1391="","",SUMIFS(dAmt,dCust,$B1391,dPer,"&gt;="&amp;pyFrom,dPer,"&lt;="&amp;pyTo,dAmt,"&gt;-1E+300",dFlt1,critFlt1,dFlt2,critFlt2,dFlt3,critFlt3))</f>
        <v/>
      </c>
      <c r="D1391" t="str">
        <f>IF($B1391="","",SUMIFS(dAmt,dCust,$B1391,dPer,"&gt;="&amp;cyFrom,dPer,"&lt;="&amp;cyTo,dAmt,"&gt;-1E+300",dFlt1,critFlt1,dFlt2,critFlt2,dFlt3,critFlt3))</f>
        <v/>
      </c>
      <c r="E1391" t="str">
        <f>IF($B1391="","",SUMIFS(dQty,dCust,$B1391,dPer,"&gt;="&amp;pyFrom,dPer,"&lt;="&amp;pyTo,dQty,"&gt;-1E+300",dFlt1,critFlt1,dFlt2,critFlt2,dFlt3,critFlt3))</f>
        <v/>
      </c>
      <c r="F1391" t="str">
        <f>IF($B1391="","",SUMIFS(dQty,dCust,$B1391,dPer,"&gt;="&amp;cyFrom,dPer,"&lt;="&amp;cyTo,dQty,"&gt;-1E+300",dFlt1,critFlt1,dFlt2,critFlt2,dFlt3,critFlt3))</f>
        <v/>
      </c>
      <c r="G1391">
        <f>IF($B1391="",0,IFERROR(IF(OR(C1391&lt;&gt;0,D1391&lt;&gt;0,E1391&lt;&gt;0,F1391&lt;&gt;0),1,0),1))</f>
        <v>0</v>
      </c>
      <c r="H1391" t="str">
        <f>IF(OR(G1391=0,E1391=0),"",C1391/E1391)</f>
        <v/>
      </c>
      <c r="I1391" t="str">
        <f>IF(OR(G1391=0,F1391=0),"",D1391/F1391)</f>
        <v/>
      </c>
      <c r="J1391" t="str">
        <f>IF(OR(H1391="",I1391=""),"",IF(H1391=0,"",I1391/H1391-1))</f>
        <v/>
      </c>
      <c r="K1391" t="str">
        <f>IF($B1391="","",IFERROR(IF(G1391=0,-2E+300,CHOOSE(sortIdx,ROUND(D1391,0),IF(J1391="",-1E+300,ROUND(-J1391,6)),IF(J1391="",-1E+300,ROUND(J1391,6)))),-1.5E+300))</f>
        <v/>
      </c>
      <c r="L1391" t="str">
        <f>IF(K1391="","",RANK(K1391,$K$2:$K$3001,0)+COUNTIF($K$2:K1391,K1391)-1)</f>
        <v/>
      </c>
    </row>
    <row r="1392">
      <c r="B1392" t="str">
        <f>IFERROR(IF(A1392="","","="&amp;SUBSTITUTE(SUBSTITUTE(SUBSTITUTE(A1392,"~","~~"),"*","~*"),"?","~?")),"")</f>
        <v/>
      </c>
      <c r="C1392" t="str">
        <f>IF($B1392="","",SUMIFS(dAmt,dCust,$B1392,dPer,"&gt;="&amp;pyFrom,dPer,"&lt;="&amp;pyTo,dAmt,"&gt;-1E+300",dFlt1,critFlt1,dFlt2,critFlt2,dFlt3,critFlt3))</f>
        <v/>
      </c>
      <c r="D1392" t="str">
        <f>IF($B1392="","",SUMIFS(dAmt,dCust,$B1392,dPer,"&gt;="&amp;cyFrom,dPer,"&lt;="&amp;cyTo,dAmt,"&gt;-1E+300",dFlt1,critFlt1,dFlt2,critFlt2,dFlt3,critFlt3))</f>
        <v/>
      </c>
      <c r="E1392" t="str">
        <f>IF($B1392="","",SUMIFS(dQty,dCust,$B1392,dPer,"&gt;="&amp;pyFrom,dPer,"&lt;="&amp;pyTo,dQty,"&gt;-1E+300",dFlt1,critFlt1,dFlt2,critFlt2,dFlt3,critFlt3))</f>
        <v/>
      </c>
      <c r="F1392" t="str">
        <f>IF($B1392="","",SUMIFS(dQty,dCust,$B1392,dPer,"&gt;="&amp;cyFrom,dPer,"&lt;="&amp;cyTo,dQty,"&gt;-1E+300",dFlt1,critFlt1,dFlt2,critFlt2,dFlt3,critFlt3))</f>
        <v/>
      </c>
      <c r="G1392">
        <f>IF($B1392="",0,IFERROR(IF(OR(C1392&lt;&gt;0,D1392&lt;&gt;0,E1392&lt;&gt;0,F1392&lt;&gt;0),1,0),1))</f>
        <v>0</v>
      </c>
      <c r="H1392" t="str">
        <f>IF(OR(G1392=0,E1392=0),"",C1392/E1392)</f>
        <v/>
      </c>
      <c r="I1392" t="str">
        <f>IF(OR(G1392=0,F1392=0),"",D1392/F1392)</f>
        <v/>
      </c>
      <c r="J1392" t="str">
        <f>IF(OR(H1392="",I1392=""),"",IF(H1392=0,"",I1392/H1392-1))</f>
        <v/>
      </c>
      <c r="K1392" t="str">
        <f>IF($B1392="","",IFERROR(IF(G1392=0,-2E+300,CHOOSE(sortIdx,ROUND(D1392,0),IF(J1392="",-1E+300,ROUND(-J1392,6)),IF(J1392="",-1E+300,ROUND(J1392,6)))),-1.5E+300))</f>
        <v/>
      </c>
      <c r="L1392" t="str">
        <f>IF(K1392="","",RANK(K1392,$K$2:$K$3001,0)+COUNTIF($K$2:K1392,K1392)-1)</f>
        <v/>
      </c>
    </row>
    <row r="1393">
      <c r="B1393" t="str">
        <f>IFERROR(IF(A1393="","","="&amp;SUBSTITUTE(SUBSTITUTE(SUBSTITUTE(A1393,"~","~~"),"*","~*"),"?","~?")),"")</f>
        <v/>
      </c>
      <c r="C1393" t="str">
        <f>IF($B1393="","",SUMIFS(dAmt,dCust,$B1393,dPer,"&gt;="&amp;pyFrom,dPer,"&lt;="&amp;pyTo,dAmt,"&gt;-1E+300",dFlt1,critFlt1,dFlt2,critFlt2,dFlt3,critFlt3))</f>
        <v/>
      </c>
      <c r="D1393" t="str">
        <f>IF($B1393="","",SUMIFS(dAmt,dCust,$B1393,dPer,"&gt;="&amp;cyFrom,dPer,"&lt;="&amp;cyTo,dAmt,"&gt;-1E+300",dFlt1,critFlt1,dFlt2,critFlt2,dFlt3,critFlt3))</f>
        <v/>
      </c>
      <c r="E1393" t="str">
        <f>IF($B1393="","",SUMIFS(dQty,dCust,$B1393,dPer,"&gt;="&amp;pyFrom,dPer,"&lt;="&amp;pyTo,dQty,"&gt;-1E+300",dFlt1,critFlt1,dFlt2,critFlt2,dFlt3,critFlt3))</f>
        <v/>
      </c>
      <c r="F1393" t="str">
        <f>IF($B1393="","",SUMIFS(dQty,dCust,$B1393,dPer,"&gt;="&amp;cyFrom,dPer,"&lt;="&amp;cyTo,dQty,"&gt;-1E+300",dFlt1,critFlt1,dFlt2,critFlt2,dFlt3,critFlt3))</f>
        <v/>
      </c>
      <c r="G1393">
        <f>IF($B1393="",0,IFERROR(IF(OR(C1393&lt;&gt;0,D1393&lt;&gt;0,E1393&lt;&gt;0,F1393&lt;&gt;0),1,0),1))</f>
        <v>0</v>
      </c>
      <c r="H1393" t="str">
        <f>IF(OR(G1393=0,E1393=0),"",C1393/E1393)</f>
        <v/>
      </c>
      <c r="I1393" t="str">
        <f>IF(OR(G1393=0,F1393=0),"",D1393/F1393)</f>
        <v/>
      </c>
      <c r="J1393" t="str">
        <f>IF(OR(H1393="",I1393=""),"",IF(H1393=0,"",I1393/H1393-1))</f>
        <v/>
      </c>
      <c r="K1393" t="str">
        <f>IF($B1393="","",IFERROR(IF(G1393=0,-2E+300,CHOOSE(sortIdx,ROUND(D1393,0),IF(J1393="",-1E+300,ROUND(-J1393,6)),IF(J1393="",-1E+300,ROUND(J1393,6)))),-1.5E+300))</f>
        <v/>
      </c>
      <c r="L1393" t="str">
        <f>IF(K1393="","",RANK(K1393,$K$2:$K$3001,0)+COUNTIF($K$2:K1393,K1393)-1)</f>
        <v/>
      </c>
    </row>
    <row r="1394">
      <c r="B1394" t="str">
        <f>IFERROR(IF(A1394="","","="&amp;SUBSTITUTE(SUBSTITUTE(SUBSTITUTE(A1394,"~","~~"),"*","~*"),"?","~?")),"")</f>
        <v/>
      </c>
      <c r="C1394" t="str">
        <f>IF($B1394="","",SUMIFS(dAmt,dCust,$B1394,dPer,"&gt;="&amp;pyFrom,dPer,"&lt;="&amp;pyTo,dAmt,"&gt;-1E+300",dFlt1,critFlt1,dFlt2,critFlt2,dFlt3,critFlt3))</f>
        <v/>
      </c>
      <c r="D1394" t="str">
        <f>IF($B1394="","",SUMIFS(dAmt,dCust,$B1394,dPer,"&gt;="&amp;cyFrom,dPer,"&lt;="&amp;cyTo,dAmt,"&gt;-1E+300",dFlt1,critFlt1,dFlt2,critFlt2,dFlt3,critFlt3))</f>
        <v/>
      </c>
      <c r="E1394" t="str">
        <f>IF($B1394="","",SUMIFS(dQty,dCust,$B1394,dPer,"&gt;="&amp;pyFrom,dPer,"&lt;="&amp;pyTo,dQty,"&gt;-1E+300",dFlt1,critFlt1,dFlt2,critFlt2,dFlt3,critFlt3))</f>
        <v/>
      </c>
      <c r="F1394" t="str">
        <f>IF($B1394="","",SUMIFS(dQty,dCust,$B1394,dPer,"&gt;="&amp;cyFrom,dPer,"&lt;="&amp;cyTo,dQty,"&gt;-1E+300",dFlt1,critFlt1,dFlt2,critFlt2,dFlt3,critFlt3))</f>
        <v/>
      </c>
      <c r="G1394">
        <f>IF($B1394="",0,IFERROR(IF(OR(C1394&lt;&gt;0,D1394&lt;&gt;0,E1394&lt;&gt;0,F1394&lt;&gt;0),1,0),1))</f>
        <v>0</v>
      </c>
      <c r="H1394" t="str">
        <f>IF(OR(G1394=0,E1394=0),"",C1394/E1394)</f>
        <v/>
      </c>
      <c r="I1394" t="str">
        <f>IF(OR(G1394=0,F1394=0),"",D1394/F1394)</f>
        <v/>
      </c>
      <c r="J1394" t="str">
        <f>IF(OR(H1394="",I1394=""),"",IF(H1394=0,"",I1394/H1394-1))</f>
        <v/>
      </c>
      <c r="K1394" t="str">
        <f>IF($B1394="","",IFERROR(IF(G1394=0,-2E+300,CHOOSE(sortIdx,ROUND(D1394,0),IF(J1394="",-1E+300,ROUND(-J1394,6)),IF(J1394="",-1E+300,ROUND(J1394,6)))),-1.5E+300))</f>
        <v/>
      </c>
      <c r="L1394" t="str">
        <f>IF(K1394="","",RANK(K1394,$K$2:$K$3001,0)+COUNTIF($K$2:K1394,K1394)-1)</f>
        <v/>
      </c>
    </row>
    <row r="1395">
      <c r="B1395" t="str">
        <f>IFERROR(IF(A1395="","","="&amp;SUBSTITUTE(SUBSTITUTE(SUBSTITUTE(A1395,"~","~~"),"*","~*"),"?","~?")),"")</f>
        <v/>
      </c>
      <c r="C1395" t="str">
        <f>IF($B1395="","",SUMIFS(dAmt,dCust,$B1395,dPer,"&gt;="&amp;pyFrom,dPer,"&lt;="&amp;pyTo,dAmt,"&gt;-1E+300",dFlt1,critFlt1,dFlt2,critFlt2,dFlt3,critFlt3))</f>
        <v/>
      </c>
      <c r="D1395" t="str">
        <f>IF($B1395="","",SUMIFS(dAmt,dCust,$B1395,dPer,"&gt;="&amp;cyFrom,dPer,"&lt;="&amp;cyTo,dAmt,"&gt;-1E+300",dFlt1,critFlt1,dFlt2,critFlt2,dFlt3,critFlt3))</f>
        <v/>
      </c>
      <c r="E1395" t="str">
        <f>IF($B1395="","",SUMIFS(dQty,dCust,$B1395,dPer,"&gt;="&amp;pyFrom,dPer,"&lt;="&amp;pyTo,dQty,"&gt;-1E+300",dFlt1,critFlt1,dFlt2,critFlt2,dFlt3,critFlt3))</f>
        <v/>
      </c>
      <c r="F1395" t="str">
        <f>IF($B1395="","",SUMIFS(dQty,dCust,$B1395,dPer,"&gt;="&amp;cyFrom,dPer,"&lt;="&amp;cyTo,dQty,"&gt;-1E+300",dFlt1,critFlt1,dFlt2,critFlt2,dFlt3,critFlt3))</f>
        <v/>
      </c>
      <c r="G1395">
        <f>IF($B1395="",0,IFERROR(IF(OR(C1395&lt;&gt;0,D1395&lt;&gt;0,E1395&lt;&gt;0,F1395&lt;&gt;0),1,0),1))</f>
        <v>0</v>
      </c>
      <c r="H1395" t="str">
        <f>IF(OR(G1395=0,E1395=0),"",C1395/E1395)</f>
        <v/>
      </c>
      <c r="I1395" t="str">
        <f>IF(OR(G1395=0,F1395=0),"",D1395/F1395)</f>
        <v/>
      </c>
      <c r="J1395" t="str">
        <f>IF(OR(H1395="",I1395=""),"",IF(H1395=0,"",I1395/H1395-1))</f>
        <v/>
      </c>
      <c r="K1395" t="str">
        <f>IF($B1395="","",IFERROR(IF(G1395=0,-2E+300,CHOOSE(sortIdx,ROUND(D1395,0),IF(J1395="",-1E+300,ROUND(-J1395,6)),IF(J1395="",-1E+300,ROUND(J1395,6)))),-1.5E+300))</f>
        <v/>
      </c>
      <c r="L1395" t="str">
        <f>IF(K1395="","",RANK(K1395,$K$2:$K$3001,0)+COUNTIF($K$2:K1395,K1395)-1)</f>
        <v/>
      </c>
    </row>
    <row r="1396">
      <c r="B1396" t="str">
        <f>IFERROR(IF(A1396="","","="&amp;SUBSTITUTE(SUBSTITUTE(SUBSTITUTE(A1396,"~","~~"),"*","~*"),"?","~?")),"")</f>
        <v/>
      </c>
      <c r="C1396" t="str">
        <f>IF($B1396="","",SUMIFS(dAmt,dCust,$B1396,dPer,"&gt;="&amp;pyFrom,dPer,"&lt;="&amp;pyTo,dAmt,"&gt;-1E+300",dFlt1,critFlt1,dFlt2,critFlt2,dFlt3,critFlt3))</f>
        <v/>
      </c>
      <c r="D1396" t="str">
        <f>IF($B1396="","",SUMIFS(dAmt,dCust,$B1396,dPer,"&gt;="&amp;cyFrom,dPer,"&lt;="&amp;cyTo,dAmt,"&gt;-1E+300",dFlt1,critFlt1,dFlt2,critFlt2,dFlt3,critFlt3))</f>
        <v/>
      </c>
      <c r="E1396" t="str">
        <f>IF($B1396="","",SUMIFS(dQty,dCust,$B1396,dPer,"&gt;="&amp;pyFrom,dPer,"&lt;="&amp;pyTo,dQty,"&gt;-1E+300",dFlt1,critFlt1,dFlt2,critFlt2,dFlt3,critFlt3))</f>
        <v/>
      </c>
      <c r="F1396" t="str">
        <f>IF($B1396="","",SUMIFS(dQty,dCust,$B1396,dPer,"&gt;="&amp;cyFrom,dPer,"&lt;="&amp;cyTo,dQty,"&gt;-1E+300",dFlt1,critFlt1,dFlt2,critFlt2,dFlt3,critFlt3))</f>
        <v/>
      </c>
      <c r="G1396">
        <f>IF($B1396="",0,IFERROR(IF(OR(C1396&lt;&gt;0,D1396&lt;&gt;0,E1396&lt;&gt;0,F1396&lt;&gt;0),1,0),1))</f>
        <v>0</v>
      </c>
      <c r="H1396" t="str">
        <f>IF(OR(G1396=0,E1396=0),"",C1396/E1396)</f>
        <v/>
      </c>
      <c r="I1396" t="str">
        <f>IF(OR(G1396=0,F1396=0),"",D1396/F1396)</f>
        <v/>
      </c>
      <c r="J1396" t="str">
        <f>IF(OR(H1396="",I1396=""),"",IF(H1396=0,"",I1396/H1396-1))</f>
        <v/>
      </c>
      <c r="K1396" t="str">
        <f>IF($B1396="","",IFERROR(IF(G1396=0,-2E+300,CHOOSE(sortIdx,ROUND(D1396,0),IF(J1396="",-1E+300,ROUND(-J1396,6)),IF(J1396="",-1E+300,ROUND(J1396,6)))),-1.5E+300))</f>
        <v/>
      </c>
      <c r="L1396" t="str">
        <f>IF(K1396="","",RANK(K1396,$K$2:$K$3001,0)+COUNTIF($K$2:K1396,K1396)-1)</f>
        <v/>
      </c>
    </row>
    <row r="1397">
      <c r="B1397" t="str">
        <f>IFERROR(IF(A1397="","","="&amp;SUBSTITUTE(SUBSTITUTE(SUBSTITUTE(A1397,"~","~~"),"*","~*"),"?","~?")),"")</f>
        <v/>
      </c>
      <c r="C1397" t="str">
        <f>IF($B1397="","",SUMIFS(dAmt,dCust,$B1397,dPer,"&gt;="&amp;pyFrom,dPer,"&lt;="&amp;pyTo,dAmt,"&gt;-1E+300",dFlt1,critFlt1,dFlt2,critFlt2,dFlt3,critFlt3))</f>
        <v/>
      </c>
      <c r="D1397" t="str">
        <f>IF($B1397="","",SUMIFS(dAmt,dCust,$B1397,dPer,"&gt;="&amp;cyFrom,dPer,"&lt;="&amp;cyTo,dAmt,"&gt;-1E+300",dFlt1,critFlt1,dFlt2,critFlt2,dFlt3,critFlt3))</f>
        <v/>
      </c>
      <c r="E1397" t="str">
        <f>IF($B1397="","",SUMIFS(dQty,dCust,$B1397,dPer,"&gt;="&amp;pyFrom,dPer,"&lt;="&amp;pyTo,dQty,"&gt;-1E+300",dFlt1,critFlt1,dFlt2,critFlt2,dFlt3,critFlt3))</f>
        <v/>
      </c>
      <c r="F1397" t="str">
        <f>IF($B1397="","",SUMIFS(dQty,dCust,$B1397,dPer,"&gt;="&amp;cyFrom,dPer,"&lt;="&amp;cyTo,dQty,"&gt;-1E+300",dFlt1,critFlt1,dFlt2,critFlt2,dFlt3,critFlt3))</f>
        <v/>
      </c>
      <c r="G1397">
        <f>IF($B1397="",0,IFERROR(IF(OR(C1397&lt;&gt;0,D1397&lt;&gt;0,E1397&lt;&gt;0,F1397&lt;&gt;0),1,0),1))</f>
        <v>0</v>
      </c>
      <c r="H1397" t="str">
        <f>IF(OR(G1397=0,E1397=0),"",C1397/E1397)</f>
        <v/>
      </c>
      <c r="I1397" t="str">
        <f>IF(OR(G1397=0,F1397=0),"",D1397/F1397)</f>
        <v/>
      </c>
      <c r="J1397" t="str">
        <f>IF(OR(H1397="",I1397=""),"",IF(H1397=0,"",I1397/H1397-1))</f>
        <v/>
      </c>
      <c r="K1397" t="str">
        <f>IF($B1397="","",IFERROR(IF(G1397=0,-2E+300,CHOOSE(sortIdx,ROUND(D1397,0),IF(J1397="",-1E+300,ROUND(-J1397,6)),IF(J1397="",-1E+300,ROUND(J1397,6)))),-1.5E+300))</f>
        <v/>
      </c>
      <c r="L1397" t="str">
        <f>IF(K1397="","",RANK(K1397,$K$2:$K$3001,0)+COUNTIF($K$2:K1397,K1397)-1)</f>
        <v/>
      </c>
    </row>
    <row r="1398">
      <c r="B1398" t="str">
        <f>IFERROR(IF(A1398="","","="&amp;SUBSTITUTE(SUBSTITUTE(SUBSTITUTE(A1398,"~","~~"),"*","~*"),"?","~?")),"")</f>
        <v/>
      </c>
      <c r="C1398" t="str">
        <f>IF($B1398="","",SUMIFS(dAmt,dCust,$B1398,dPer,"&gt;="&amp;pyFrom,dPer,"&lt;="&amp;pyTo,dAmt,"&gt;-1E+300",dFlt1,critFlt1,dFlt2,critFlt2,dFlt3,critFlt3))</f>
        <v/>
      </c>
      <c r="D1398" t="str">
        <f>IF($B1398="","",SUMIFS(dAmt,dCust,$B1398,dPer,"&gt;="&amp;cyFrom,dPer,"&lt;="&amp;cyTo,dAmt,"&gt;-1E+300",dFlt1,critFlt1,dFlt2,critFlt2,dFlt3,critFlt3))</f>
        <v/>
      </c>
      <c r="E1398" t="str">
        <f>IF($B1398="","",SUMIFS(dQty,dCust,$B1398,dPer,"&gt;="&amp;pyFrom,dPer,"&lt;="&amp;pyTo,dQty,"&gt;-1E+300",dFlt1,critFlt1,dFlt2,critFlt2,dFlt3,critFlt3))</f>
        <v/>
      </c>
      <c r="F1398" t="str">
        <f>IF($B1398="","",SUMIFS(dQty,dCust,$B1398,dPer,"&gt;="&amp;cyFrom,dPer,"&lt;="&amp;cyTo,dQty,"&gt;-1E+300",dFlt1,critFlt1,dFlt2,critFlt2,dFlt3,critFlt3))</f>
        <v/>
      </c>
      <c r="G1398">
        <f>IF($B1398="",0,IFERROR(IF(OR(C1398&lt;&gt;0,D1398&lt;&gt;0,E1398&lt;&gt;0,F1398&lt;&gt;0),1,0),1))</f>
        <v>0</v>
      </c>
      <c r="H1398" t="str">
        <f>IF(OR(G1398=0,E1398=0),"",C1398/E1398)</f>
        <v/>
      </c>
      <c r="I1398" t="str">
        <f>IF(OR(G1398=0,F1398=0),"",D1398/F1398)</f>
        <v/>
      </c>
      <c r="J1398" t="str">
        <f>IF(OR(H1398="",I1398=""),"",IF(H1398=0,"",I1398/H1398-1))</f>
        <v/>
      </c>
      <c r="K1398" t="str">
        <f>IF($B1398="","",IFERROR(IF(G1398=0,-2E+300,CHOOSE(sortIdx,ROUND(D1398,0),IF(J1398="",-1E+300,ROUND(-J1398,6)),IF(J1398="",-1E+300,ROUND(J1398,6)))),-1.5E+300))</f>
        <v/>
      </c>
      <c r="L1398" t="str">
        <f>IF(K1398="","",RANK(K1398,$K$2:$K$3001,0)+COUNTIF($K$2:K1398,K1398)-1)</f>
        <v/>
      </c>
    </row>
    <row r="1399">
      <c r="B1399" t="str">
        <f>IFERROR(IF(A1399="","","="&amp;SUBSTITUTE(SUBSTITUTE(SUBSTITUTE(A1399,"~","~~"),"*","~*"),"?","~?")),"")</f>
        <v/>
      </c>
      <c r="C1399" t="str">
        <f>IF($B1399="","",SUMIFS(dAmt,dCust,$B1399,dPer,"&gt;="&amp;pyFrom,dPer,"&lt;="&amp;pyTo,dAmt,"&gt;-1E+300",dFlt1,critFlt1,dFlt2,critFlt2,dFlt3,critFlt3))</f>
        <v/>
      </c>
      <c r="D1399" t="str">
        <f>IF($B1399="","",SUMIFS(dAmt,dCust,$B1399,dPer,"&gt;="&amp;cyFrom,dPer,"&lt;="&amp;cyTo,dAmt,"&gt;-1E+300",dFlt1,critFlt1,dFlt2,critFlt2,dFlt3,critFlt3))</f>
        <v/>
      </c>
      <c r="E1399" t="str">
        <f>IF($B1399="","",SUMIFS(dQty,dCust,$B1399,dPer,"&gt;="&amp;pyFrom,dPer,"&lt;="&amp;pyTo,dQty,"&gt;-1E+300",dFlt1,critFlt1,dFlt2,critFlt2,dFlt3,critFlt3))</f>
        <v/>
      </c>
      <c r="F1399" t="str">
        <f>IF($B1399="","",SUMIFS(dQty,dCust,$B1399,dPer,"&gt;="&amp;cyFrom,dPer,"&lt;="&amp;cyTo,dQty,"&gt;-1E+300",dFlt1,critFlt1,dFlt2,critFlt2,dFlt3,critFlt3))</f>
        <v/>
      </c>
      <c r="G1399">
        <f>IF($B1399="",0,IFERROR(IF(OR(C1399&lt;&gt;0,D1399&lt;&gt;0,E1399&lt;&gt;0,F1399&lt;&gt;0),1,0),1))</f>
        <v>0</v>
      </c>
      <c r="H1399" t="str">
        <f>IF(OR(G1399=0,E1399=0),"",C1399/E1399)</f>
        <v/>
      </c>
      <c r="I1399" t="str">
        <f>IF(OR(G1399=0,F1399=0),"",D1399/F1399)</f>
        <v/>
      </c>
      <c r="J1399" t="str">
        <f>IF(OR(H1399="",I1399=""),"",IF(H1399=0,"",I1399/H1399-1))</f>
        <v/>
      </c>
      <c r="K1399" t="str">
        <f>IF($B1399="","",IFERROR(IF(G1399=0,-2E+300,CHOOSE(sortIdx,ROUND(D1399,0),IF(J1399="",-1E+300,ROUND(-J1399,6)),IF(J1399="",-1E+300,ROUND(J1399,6)))),-1.5E+300))</f>
        <v/>
      </c>
      <c r="L1399" t="str">
        <f>IF(K1399="","",RANK(K1399,$K$2:$K$3001,0)+COUNTIF($K$2:K1399,K1399)-1)</f>
        <v/>
      </c>
    </row>
    <row r="1400">
      <c r="B1400" t="str">
        <f>IFERROR(IF(A1400="","","="&amp;SUBSTITUTE(SUBSTITUTE(SUBSTITUTE(A1400,"~","~~"),"*","~*"),"?","~?")),"")</f>
        <v/>
      </c>
      <c r="C1400" t="str">
        <f>IF($B1400="","",SUMIFS(dAmt,dCust,$B1400,dPer,"&gt;="&amp;pyFrom,dPer,"&lt;="&amp;pyTo,dAmt,"&gt;-1E+300",dFlt1,critFlt1,dFlt2,critFlt2,dFlt3,critFlt3))</f>
        <v/>
      </c>
      <c r="D1400" t="str">
        <f>IF($B1400="","",SUMIFS(dAmt,dCust,$B1400,dPer,"&gt;="&amp;cyFrom,dPer,"&lt;="&amp;cyTo,dAmt,"&gt;-1E+300",dFlt1,critFlt1,dFlt2,critFlt2,dFlt3,critFlt3))</f>
        <v/>
      </c>
      <c r="E1400" t="str">
        <f>IF($B1400="","",SUMIFS(dQty,dCust,$B1400,dPer,"&gt;="&amp;pyFrom,dPer,"&lt;="&amp;pyTo,dQty,"&gt;-1E+300",dFlt1,critFlt1,dFlt2,critFlt2,dFlt3,critFlt3))</f>
        <v/>
      </c>
      <c r="F1400" t="str">
        <f>IF($B1400="","",SUMIFS(dQty,dCust,$B1400,dPer,"&gt;="&amp;cyFrom,dPer,"&lt;="&amp;cyTo,dQty,"&gt;-1E+300",dFlt1,critFlt1,dFlt2,critFlt2,dFlt3,critFlt3))</f>
        <v/>
      </c>
      <c r="G1400">
        <f>IF($B1400="",0,IFERROR(IF(OR(C1400&lt;&gt;0,D1400&lt;&gt;0,E1400&lt;&gt;0,F1400&lt;&gt;0),1,0),1))</f>
        <v>0</v>
      </c>
      <c r="H1400" t="str">
        <f>IF(OR(G1400=0,E1400=0),"",C1400/E1400)</f>
        <v/>
      </c>
      <c r="I1400" t="str">
        <f>IF(OR(G1400=0,F1400=0),"",D1400/F1400)</f>
        <v/>
      </c>
      <c r="J1400" t="str">
        <f>IF(OR(H1400="",I1400=""),"",IF(H1400=0,"",I1400/H1400-1))</f>
        <v/>
      </c>
      <c r="K1400" t="str">
        <f>IF($B1400="","",IFERROR(IF(G1400=0,-2E+300,CHOOSE(sortIdx,ROUND(D1400,0),IF(J1400="",-1E+300,ROUND(-J1400,6)),IF(J1400="",-1E+300,ROUND(J1400,6)))),-1.5E+300))</f>
        <v/>
      </c>
      <c r="L1400" t="str">
        <f>IF(K1400="","",RANK(K1400,$K$2:$K$3001,0)+COUNTIF($K$2:K1400,K1400)-1)</f>
        <v/>
      </c>
    </row>
    <row r="1401">
      <c r="B1401" t="str">
        <f>IFERROR(IF(A1401="","","="&amp;SUBSTITUTE(SUBSTITUTE(SUBSTITUTE(A1401,"~","~~"),"*","~*"),"?","~?")),"")</f>
        <v/>
      </c>
      <c r="C1401" t="str">
        <f>IF($B1401="","",SUMIFS(dAmt,dCust,$B1401,dPer,"&gt;="&amp;pyFrom,dPer,"&lt;="&amp;pyTo,dAmt,"&gt;-1E+300",dFlt1,critFlt1,dFlt2,critFlt2,dFlt3,critFlt3))</f>
        <v/>
      </c>
      <c r="D1401" t="str">
        <f>IF($B1401="","",SUMIFS(dAmt,dCust,$B1401,dPer,"&gt;="&amp;cyFrom,dPer,"&lt;="&amp;cyTo,dAmt,"&gt;-1E+300",dFlt1,critFlt1,dFlt2,critFlt2,dFlt3,critFlt3))</f>
        <v/>
      </c>
      <c r="E1401" t="str">
        <f>IF($B1401="","",SUMIFS(dQty,dCust,$B1401,dPer,"&gt;="&amp;pyFrom,dPer,"&lt;="&amp;pyTo,dQty,"&gt;-1E+300",dFlt1,critFlt1,dFlt2,critFlt2,dFlt3,critFlt3))</f>
        <v/>
      </c>
      <c r="F1401" t="str">
        <f>IF($B1401="","",SUMIFS(dQty,dCust,$B1401,dPer,"&gt;="&amp;cyFrom,dPer,"&lt;="&amp;cyTo,dQty,"&gt;-1E+300",dFlt1,critFlt1,dFlt2,critFlt2,dFlt3,critFlt3))</f>
        <v/>
      </c>
      <c r="G1401">
        <f>IF($B1401="",0,IFERROR(IF(OR(C1401&lt;&gt;0,D1401&lt;&gt;0,E1401&lt;&gt;0,F1401&lt;&gt;0),1,0),1))</f>
        <v>0</v>
      </c>
      <c r="H1401" t="str">
        <f>IF(OR(G1401=0,E1401=0),"",C1401/E1401)</f>
        <v/>
      </c>
      <c r="I1401" t="str">
        <f>IF(OR(G1401=0,F1401=0),"",D1401/F1401)</f>
        <v/>
      </c>
      <c r="J1401" t="str">
        <f>IF(OR(H1401="",I1401=""),"",IF(H1401=0,"",I1401/H1401-1))</f>
        <v/>
      </c>
      <c r="K1401" t="str">
        <f>IF($B1401="","",IFERROR(IF(G1401=0,-2E+300,CHOOSE(sortIdx,ROUND(D1401,0),IF(J1401="",-1E+300,ROUND(-J1401,6)),IF(J1401="",-1E+300,ROUND(J1401,6)))),-1.5E+300))</f>
        <v/>
      </c>
      <c r="L1401" t="str">
        <f>IF(K1401="","",RANK(K1401,$K$2:$K$3001,0)+COUNTIF($K$2:K1401,K1401)-1)</f>
        <v/>
      </c>
    </row>
    <row r="1402">
      <c r="B1402" t="str">
        <f>IFERROR(IF(A1402="","","="&amp;SUBSTITUTE(SUBSTITUTE(SUBSTITUTE(A1402,"~","~~"),"*","~*"),"?","~?")),"")</f>
        <v/>
      </c>
      <c r="C1402" t="str">
        <f>IF($B1402="","",SUMIFS(dAmt,dCust,$B1402,dPer,"&gt;="&amp;pyFrom,dPer,"&lt;="&amp;pyTo,dAmt,"&gt;-1E+300",dFlt1,critFlt1,dFlt2,critFlt2,dFlt3,critFlt3))</f>
        <v/>
      </c>
      <c r="D1402" t="str">
        <f>IF($B1402="","",SUMIFS(dAmt,dCust,$B1402,dPer,"&gt;="&amp;cyFrom,dPer,"&lt;="&amp;cyTo,dAmt,"&gt;-1E+300",dFlt1,critFlt1,dFlt2,critFlt2,dFlt3,critFlt3))</f>
        <v/>
      </c>
      <c r="E1402" t="str">
        <f>IF($B1402="","",SUMIFS(dQty,dCust,$B1402,dPer,"&gt;="&amp;pyFrom,dPer,"&lt;="&amp;pyTo,dQty,"&gt;-1E+300",dFlt1,critFlt1,dFlt2,critFlt2,dFlt3,critFlt3))</f>
        <v/>
      </c>
      <c r="F1402" t="str">
        <f>IF($B1402="","",SUMIFS(dQty,dCust,$B1402,dPer,"&gt;="&amp;cyFrom,dPer,"&lt;="&amp;cyTo,dQty,"&gt;-1E+300",dFlt1,critFlt1,dFlt2,critFlt2,dFlt3,critFlt3))</f>
        <v/>
      </c>
      <c r="G1402">
        <f>IF($B1402="",0,IFERROR(IF(OR(C1402&lt;&gt;0,D1402&lt;&gt;0,E1402&lt;&gt;0,F1402&lt;&gt;0),1,0),1))</f>
        <v>0</v>
      </c>
      <c r="H1402" t="str">
        <f>IF(OR(G1402=0,E1402=0),"",C1402/E1402)</f>
        <v/>
      </c>
      <c r="I1402" t="str">
        <f>IF(OR(G1402=0,F1402=0),"",D1402/F1402)</f>
        <v/>
      </c>
      <c r="J1402" t="str">
        <f>IF(OR(H1402="",I1402=""),"",IF(H1402=0,"",I1402/H1402-1))</f>
        <v/>
      </c>
      <c r="K1402" t="str">
        <f>IF($B1402="","",IFERROR(IF(G1402=0,-2E+300,CHOOSE(sortIdx,ROUND(D1402,0),IF(J1402="",-1E+300,ROUND(-J1402,6)),IF(J1402="",-1E+300,ROUND(J1402,6)))),-1.5E+300))</f>
        <v/>
      </c>
      <c r="L1402" t="str">
        <f>IF(K1402="","",RANK(K1402,$K$2:$K$3001,0)+COUNTIF($K$2:K1402,K1402)-1)</f>
        <v/>
      </c>
    </row>
    <row r="1403">
      <c r="B1403" t="str">
        <f>IFERROR(IF(A1403="","","="&amp;SUBSTITUTE(SUBSTITUTE(SUBSTITUTE(A1403,"~","~~"),"*","~*"),"?","~?")),"")</f>
        <v/>
      </c>
      <c r="C1403" t="str">
        <f>IF($B1403="","",SUMIFS(dAmt,dCust,$B1403,dPer,"&gt;="&amp;pyFrom,dPer,"&lt;="&amp;pyTo,dAmt,"&gt;-1E+300",dFlt1,critFlt1,dFlt2,critFlt2,dFlt3,critFlt3))</f>
        <v/>
      </c>
      <c r="D1403" t="str">
        <f>IF($B1403="","",SUMIFS(dAmt,dCust,$B1403,dPer,"&gt;="&amp;cyFrom,dPer,"&lt;="&amp;cyTo,dAmt,"&gt;-1E+300",dFlt1,critFlt1,dFlt2,critFlt2,dFlt3,critFlt3))</f>
        <v/>
      </c>
      <c r="E1403" t="str">
        <f>IF($B1403="","",SUMIFS(dQty,dCust,$B1403,dPer,"&gt;="&amp;pyFrom,dPer,"&lt;="&amp;pyTo,dQty,"&gt;-1E+300",dFlt1,critFlt1,dFlt2,critFlt2,dFlt3,critFlt3))</f>
        <v/>
      </c>
      <c r="F1403" t="str">
        <f>IF($B1403="","",SUMIFS(dQty,dCust,$B1403,dPer,"&gt;="&amp;cyFrom,dPer,"&lt;="&amp;cyTo,dQty,"&gt;-1E+300",dFlt1,critFlt1,dFlt2,critFlt2,dFlt3,critFlt3))</f>
        <v/>
      </c>
      <c r="G1403">
        <f>IF($B1403="",0,IFERROR(IF(OR(C1403&lt;&gt;0,D1403&lt;&gt;0,E1403&lt;&gt;0,F1403&lt;&gt;0),1,0),1))</f>
        <v>0</v>
      </c>
      <c r="H1403" t="str">
        <f>IF(OR(G1403=0,E1403=0),"",C1403/E1403)</f>
        <v/>
      </c>
      <c r="I1403" t="str">
        <f>IF(OR(G1403=0,F1403=0),"",D1403/F1403)</f>
        <v/>
      </c>
      <c r="J1403" t="str">
        <f>IF(OR(H1403="",I1403=""),"",IF(H1403=0,"",I1403/H1403-1))</f>
        <v/>
      </c>
      <c r="K1403" t="str">
        <f>IF($B1403="","",IFERROR(IF(G1403=0,-2E+300,CHOOSE(sortIdx,ROUND(D1403,0),IF(J1403="",-1E+300,ROUND(-J1403,6)),IF(J1403="",-1E+300,ROUND(J1403,6)))),-1.5E+300))</f>
        <v/>
      </c>
      <c r="L1403" t="str">
        <f>IF(K1403="","",RANK(K1403,$K$2:$K$3001,0)+COUNTIF($K$2:K1403,K1403)-1)</f>
        <v/>
      </c>
    </row>
    <row r="1404">
      <c r="B1404" t="str">
        <f>IFERROR(IF(A1404="","","="&amp;SUBSTITUTE(SUBSTITUTE(SUBSTITUTE(A1404,"~","~~"),"*","~*"),"?","~?")),"")</f>
        <v/>
      </c>
      <c r="C1404" t="str">
        <f>IF($B1404="","",SUMIFS(dAmt,dCust,$B1404,dPer,"&gt;="&amp;pyFrom,dPer,"&lt;="&amp;pyTo,dAmt,"&gt;-1E+300",dFlt1,critFlt1,dFlt2,critFlt2,dFlt3,critFlt3))</f>
        <v/>
      </c>
      <c r="D1404" t="str">
        <f>IF($B1404="","",SUMIFS(dAmt,dCust,$B1404,dPer,"&gt;="&amp;cyFrom,dPer,"&lt;="&amp;cyTo,dAmt,"&gt;-1E+300",dFlt1,critFlt1,dFlt2,critFlt2,dFlt3,critFlt3))</f>
        <v/>
      </c>
      <c r="E1404" t="str">
        <f>IF($B1404="","",SUMIFS(dQty,dCust,$B1404,dPer,"&gt;="&amp;pyFrom,dPer,"&lt;="&amp;pyTo,dQty,"&gt;-1E+300",dFlt1,critFlt1,dFlt2,critFlt2,dFlt3,critFlt3))</f>
        <v/>
      </c>
      <c r="F1404" t="str">
        <f>IF($B1404="","",SUMIFS(dQty,dCust,$B1404,dPer,"&gt;="&amp;cyFrom,dPer,"&lt;="&amp;cyTo,dQty,"&gt;-1E+300",dFlt1,critFlt1,dFlt2,critFlt2,dFlt3,critFlt3))</f>
        <v/>
      </c>
      <c r="G1404">
        <f>IF($B1404="",0,IFERROR(IF(OR(C1404&lt;&gt;0,D1404&lt;&gt;0,E1404&lt;&gt;0,F1404&lt;&gt;0),1,0),1))</f>
        <v>0</v>
      </c>
      <c r="H1404" t="str">
        <f>IF(OR(G1404=0,E1404=0),"",C1404/E1404)</f>
        <v/>
      </c>
      <c r="I1404" t="str">
        <f>IF(OR(G1404=0,F1404=0),"",D1404/F1404)</f>
        <v/>
      </c>
      <c r="J1404" t="str">
        <f>IF(OR(H1404="",I1404=""),"",IF(H1404=0,"",I1404/H1404-1))</f>
        <v/>
      </c>
      <c r="K1404" t="str">
        <f>IF($B1404="","",IFERROR(IF(G1404=0,-2E+300,CHOOSE(sortIdx,ROUND(D1404,0),IF(J1404="",-1E+300,ROUND(-J1404,6)),IF(J1404="",-1E+300,ROUND(J1404,6)))),-1.5E+300))</f>
        <v/>
      </c>
      <c r="L1404" t="str">
        <f>IF(K1404="","",RANK(K1404,$K$2:$K$3001,0)+COUNTIF($K$2:K1404,K1404)-1)</f>
        <v/>
      </c>
    </row>
    <row r="1405">
      <c r="B1405" t="str">
        <f>IFERROR(IF(A1405="","","="&amp;SUBSTITUTE(SUBSTITUTE(SUBSTITUTE(A1405,"~","~~"),"*","~*"),"?","~?")),"")</f>
        <v/>
      </c>
      <c r="C1405" t="str">
        <f>IF($B1405="","",SUMIFS(dAmt,dCust,$B1405,dPer,"&gt;="&amp;pyFrom,dPer,"&lt;="&amp;pyTo,dAmt,"&gt;-1E+300",dFlt1,critFlt1,dFlt2,critFlt2,dFlt3,critFlt3))</f>
        <v/>
      </c>
      <c r="D1405" t="str">
        <f>IF($B1405="","",SUMIFS(dAmt,dCust,$B1405,dPer,"&gt;="&amp;cyFrom,dPer,"&lt;="&amp;cyTo,dAmt,"&gt;-1E+300",dFlt1,critFlt1,dFlt2,critFlt2,dFlt3,critFlt3))</f>
        <v/>
      </c>
      <c r="E1405" t="str">
        <f>IF($B1405="","",SUMIFS(dQty,dCust,$B1405,dPer,"&gt;="&amp;pyFrom,dPer,"&lt;="&amp;pyTo,dQty,"&gt;-1E+300",dFlt1,critFlt1,dFlt2,critFlt2,dFlt3,critFlt3))</f>
        <v/>
      </c>
      <c r="F1405" t="str">
        <f>IF($B1405="","",SUMIFS(dQty,dCust,$B1405,dPer,"&gt;="&amp;cyFrom,dPer,"&lt;="&amp;cyTo,dQty,"&gt;-1E+300",dFlt1,critFlt1,dFlt2,critFlt2,dFlt3,critFlt3))</f>
        <v/>
      </c>
      <c r="G1405">
        <f>IF($B1405="",0,IFERROR(IF(OR(C1405&lt;&gt;0,D1405&lt;&gt;0,E1405&lt;&gt;0,F1405&lt;&gt;0),1,0),1))</f>
        <v>0</v>
      </c>
      <c r="H1405" t="str">
        <f>IF(OR(G1405=0,E1405=0),"",C1405/E1405)</f>
        <v/>
      </c>
      <c r="I1405" t="str">
        <f>IF(OR(G1405=0,F1405=0),"",D1405/F1405)</f>
        <v/>
      </c>
      <c r="J1405" t="str">
        <f>IF(OR(H1405="",I1405=""),"",IF(H1405=0,"",I1405/H1405-1))</f>
        <v/>
      </c>
      <c r="K1405" t="str">
        <f>IF($B1405="","",IFERROR(IF(G1405=0,-2E+300,CHOOSE(sortIdx,ROUND(D1405,0),IF(J1405="",-1E+300,ROUND(-J1405,6)),IF(J1405="",-1E+300,ROUND(J1405,6)))),-1.5E+300))</f>
        <v/>
      </c>
      <c r="L1405" t="str">
        <f>IF(K1405="","",RANK(K1405,$K$2:$K$3001,0)+COUNTIF($K$2:K1405,K1405)-1)</f>
        <v/>
      </c>
    </row>
    <row r="1406">
      <c r="B1406" t="str">
        <f>IFERROR(IF(A1406="","","="&amp;SUBSTITUTE(SUBSTITUTE(SUBSTITUTE(A1406,"~","~~"),"*","~*"),"?","~?")),"")</f>
        <v/>
      </c>
      <c r="C1406" t="str">
        <f>IF($B1406="","",SUMIFS(dAmt,dCust,$B1406,dPer,"&gt;="&amp;pyFrom,dPer,"&lt;="&amp;pyTo,dAmt,"&gt;-1E+300",dFlt1,critFlt1,dFlt2,critFlt2,dFlt3,critFlt3))</f>
        <v/>
      </c>
      <c r="D1406" t="str">
        <f>IF($B1406="","",SUMIFS(dAmt,dCust,$B1406,dPer,"&gt;="&amp;cyFrom,dPer,"&lt;="&amp;cyTo,dAmt,"&gt;-1E+300",dFlt1,critFlt1,dFlt2,critFlt2,dFlt3,critFlt3))</f>
        <v/>
      </c>
      <c r="E1406" t="str">
        <f>IF($B1406="","",SUMIFS(dQty,dCust,$B1406,dPer,"&gt;="&amp;pyFrom,dPer,"&lt;="&amp;pyTo,dQty,"&gt;-1E+300",dFlt1,critFlt1,dFlt2,critFlt2,dFlt3,critFlt3))</f>
        <v/>
      </c>
      <c r="F1406" t="str">
        <f>IF($B1406="","",SUMIFS(dQty,dCust,$B1406,dPer,"&gt;="&amp;cyFrom,dPer,"&lt;="&amp;cyTo,dQty,"&gt;-1E+300",dFlt1,critFlt1,dFlt2,critFlt2,dFlt3,critFlt3))</f>
        <v/>
      </c>
      <c r="G1406">
        <f>IF($B1406="",0,IFERROR(IF(OR(C1406&lt;&gt;0,D1406&lt;&gt;0,E1406&lt;&gt;0,F1406&lt;&gt;0),1,0),1))</f>
        <v>0</v>
      </c>
      <c r="H1406" t="str">
        <f>IF(OR(G1406=0,E1406=0),"",C1406/E1406)</f>
        <v/>
      </c>
      <c r="I1406" t="str">
        <f>IF(OR(G1406=0,F1406=0),"",D1406/F1406)</f>
        <v/>
      </c>
      <c r="J1406" t="str">
        <f>IF(OR(H1406="",I1406=""),"",IF(H1406=0,"",I1406/H1406-1))</f>
        <v/>
      </c>
      <c r="K1406" t="str">
        <f>IF($B1406="","",IFERROR(IF(G1406=0,-2E+300,CHOOSE(sortIdx,ROUND(D1406,0),IF(J1406="",-1E+300,ROUND(-J1406,6)),IF(J1406="",-1E+300,ROUND(J1406,6)))),-1.5E+300))</f>
        <v/>
      </c>
      <c r="L1406" t="str">
        <f>IF(K1406="","",RANK(K1406,$K$2:$K$3001,0)+COUNTIF($K$2:K1406,K1406)-1)</f>
        <v/>
      </c>
    </row>
    <row r="1407">
      <c r="B1407" t="str">
        <f>IFERROR(IF(A1407="","","="&amp;SUBSTITUTE(SUBSTITUTE(SUBSTITUTE(A1407,"~","~~"),"*","~*"),"?","~?")),"")</f>
        <v/>
      </c>
      <c r="C1407" t="str">
        <f>IF($B1407="","",SUMIFS(dAmt,dCust,$B1407,dPer,"&gt;="&amp;pyFrom,dPer,"&lt;="&amp;pyTo,dAmt,"&gt;-1E+300",dFlt1,critFlt1,dFlt2,critFlt2,dFlt3,critFlt3))</f>
        <v/>
      </c>
      <c r="D1407" t="str">
        <f>IF($B1407="","",SUMIFS(dAmt,dCust,$B1407,dPer,"&gt;="&amp;cyFrom,dPer,"&lt;="&amp;cyTo,dAmt,"&gt;-1E+300",dFlt1,critFlt1,dFlt2,critFlt2,dFlt3,critFlt3))</f>
        <v/>
      </c>
      <c r="E1407" t="str">
        <f>IF($B1407="","",SUMIFS(dQty,dCust,$B1407,dPer,"&gt;="&amp;pyFrom,dPer,"&lt;="&amp;pyTo,dQty,"&gt;-1E+300",dFlt1,critFlt1,dFlt2,critFlt2,dFlt3,critFlt3))</f>
        <v/>
      </c>
      <c r="F1407" t="str">
        <f>IF($B1407="","",SUMIFS(dQty,dCust,$B1407,dPer,"&gt;="&amp;cyFrom,dPer,"&lt;="&amp;cyTo,dQty,"&gt;-1E+300",dFlt1,critFlt1,dFlt2,critFlt2,dFlt3,critFlt3))</f>
        <v/>
      </c>
      <c r="G1407">
        <f>IF($B1407="",0,IFERROR(IF(OR(C1407&lt;&gt;0,D1407&lt;&gt;0,E1407&lt;&gt;0,F1407&lt;&gt;0),1,0),1))</f>
        <v>0</v>
      </c>
      <c r="H1407" t="str">
        <f>IF(OR(G1407=0,E1407=0),"",C1407/E1407)</f>
        <v/>
      </c>
      <c r="I1407" t="str">
        <f>IF(OR(G1407=0,F1407=0),"",D1407/F1407)</f>
        <v/>
      </c>
      <c r="J1407" t="str">
        <f>IF(OR(H1407="",I1407=""),"",IF(H1407=0,"",I1407/H1407-1))</f>
        <v/>
      </c>
      <c r="K1407" t="str">
        <f>IF($B1407="","",IFERROR(IF(G1407=0,-2E+300,CHOOSE(sortIdx,ROUND(D1407,0),IF(J1407="",-1E+300,ROUND(-J1407,6)),IF(J1407="",-1E+300,ROUND(J1407,6)))),-1.5E+300))</f>
        <v/>
      </c>
      <c r="L1407" t="str">
        <f>IF(K1407="","",RANK(K1407,$K$2:$K$3001,0)+COUNTIF($K$2:K1407,K1407)-1)</f>
        <v/>
      </c>
    </row>
    <row r="1408">
      <c r="B1408" t="str">
        <f>IFERROR(IF(A1408="","","="&amp;SUBSTITUTE(SUBSTITUTE(SUBSTITUTE(A1408,"~","~~"),"*","~*"),"?","~?")),"")</f>
        <v/>
      </c>
      <c r="C1408" t="str">
        <f>IF($B1408="","",SUMIFS(dAmt,dCust,$B1408,dPer,"&gt;="&amp;pyFrom,dPer,"&lt;="&amp;pyTo,dAmt,"&gt;-1E+300",dFlt1,critFlt1,dFlt2,critFlt2,dFlt3,critFlt3))</f>
        <v/>
      </c>
      <c r="D1408" t="str">
        <f>IF($B1408="","",SUMIFS(dAmt,dCust,$B1408,dPer,"&gt;="&amp;cyFrom,dPer,"&lt;="&amp;cyTo,dAmt,"&gt;-1E+300",dFlt1,critFlt1,dFlt2,critFlt2,dFlt3,critFlt3))</f>
        <v/>
      </c>
      <c r="E1408" t="str">
        <f>IF($B1408="","",SUMIFS(dQty,dCust,$B1408,dPer,"&gt;="&amp;pyFrom,dPer,"&lt;="&amp;pyTo,dQty,"&gt;-1E+300",dFlt1,critFlt1,dFlt2,critFlt2,dFlt3,critFlt3))</f>
        <v/>
      </c>
      <c r="F1408" t="str">
        <f>IF($B1408="","",SUMIFS(dQty,dCust,$B1408,dPer,"&gt;="&amp;cyFrom,dPer,"&lt;="&amp;cyTo,dQty,"&gt;-1E+300",dFlt1,critFlt1,dFlt2,critFlt2,dFlt3,critFlt3))</f>
        <v/>
      </c>
      <c r="G1408">
        <f>IF($B1408="",0,IFERROR(IF(OR(C1408&lt;&gt;0,D1408&lt;&gt;0,E1408&lt;&gt;0,F1408&lt;&gt;0),1,0),1))</f>
        <v>0</v>
      </c>
      <c r="H1408" t="str">
        <f>IF(OR(G1408=0,E1408=0),"",C1408/E1408)</f>
        <v/>
      </c>
      <c r="I1408" t="str">
        <f>IF(OR(G1408=0,F1408=0),"",D1408/F1408)</f>
        <v/>
      </c>
      <c r="J1408" t="str">
        <f>IF(OR(H1408="",I1408=""),"",IF(H1408=0,"",I1408/H1408-1))</f>
        <v/>
      </c>
      <c r="K1408" t="str">
        <f>IF($B1408="","",IFERROR(IF(G1408=0,-2E+300,CHOOSE(sortIdx,ROUND(D1408,0),IF(J1408="",-1E+300,ROUND(-J1408,6)),IF(J1408="",-1E+300,ROUND(J1408,6)))),-1.5E+300))</f>
        <v/>
      </c>
      <c r="L1408" t="str">
        <f>IF(K1408="","",RANK(K1408,$K$2:$K$3001,0)+COUNTIF($K$2:K1408,K1408)-1)</f>
        <v/>
      </c>
    </row>
    <row r="1409">
      <c r="B1409" t="str">
        <f>IFERROR(IF(A1409="","","="&amp;SUBSTITUTE(SUBSTITUTE(SUBSTITUTE(A1409,"~","~~"),"*","~*"),"?","~?")),"")</f>
        <v/>
      </c>
      <c r="C1409" t="str">
        <f>IF($B1409="","",SUMIFS(dAmt,dCust,$B1409,dPer,"&gt;="&amp;pyFrom,dPer,"&lt;="&amp;pyTo,dAmt,"&gt;-1E+300",dFlt1,critFlt1,dFlt2,critFlt2,dFlt3,critFlt3))</f>
        <v/>
      </c>
      <c r="D1409" t="str">
        <f>IF($B1409="","",SUMIFS(dAmt,dCust,$B1409,dPer,"&gt;="&amp;cyFrom,dPer,"&lt;="&amp;cyTo,dAmt,"&gt;-1E+300",dFlt1,critFlt1,dFlt2,critFlt2,dFlt3,critFlt3))</f>
        <v/>
      </c>
      <c r="E1409" t="str">
        <f>IF($B1409="","",SUMIFS(dQty,dCust,$B1409,dPer,"&gt;="&amp;pyFrom,dPer,"&lt;="&amp;pyTo,dQty,"&gt;-1E+300",dFlt1,critFlt1,dFlt2,critFlt2,dFlt3,critFlt3))</f>
        <v/>
      </c>
      <c r="F1409" t="str">
        <f>IF($B1409="","",SUMIFS(dQty,dCust,$B1409,dPer,"&gt;="&amp;cyFrom,dPer,"&lt;="&amp;cyTo,dQty,"&gt;-1E+300",dFlt1,critFlt1,dFlt2,critFlt2,dFlt3,critFlt3))</f>
        <v/>
      </c>
      <c r="G1409">
        <f>IF($B1409="",0,IFERROR(IF(OR(C1409&lt;&gt;0,D1409&lt;&gt;0,E1409&lt;&gt;0,F1409&lt;&gt;0),1,0),1))</f>
        <v>0</v>
      </c>
      <c r="H1409" t="str">
        <f>IF(OR(G1409=0,E1409=0),"",C1409/E1409)</f>
        <v/>
      </c>
      <c r="I1409" t="str">
        <f>IF(OR(G1409=0,F1409=0),"",D1409/F1409)</f>
        <v/>
      </c>
      <c r="J1409" t="str">
        <f>IF(OR(H1409="",I1409=""),"",IF(H1409=0,"",I1409/H1409-1))</f>
        <v/>
      </c>
      <c r="K1409" t="str">
        <f>IF($B1409="","",IFERROR(IF(G1409=0,-2E+300,CHOOSE(sortIdx,ROUND(D1409,0),IF(J1409="",-1E+300,ROUND(-J1409,6)),IF(J1409="",-1E+300,ROUND(J1409,6)))),-1.5E+300))</f>
        <v/>
      </c>
      <c r="L1409" t="str">
        <f>IF(K1409="","",RANK(K1409,$K$2:$K$3001,0)+COUNTIF($K$2:K1409,K1409)-1)</f>
        <v/>
      </c>
    </row>
    <row r="1410">
      <c r="B1410" t="str">
        <f>IFERROR(IF(A1410="","","="&amp;SUBSTITUTE(SUBSTITUTE(SUBSTITUTE(A1410,"~","~~"),"*","~*"),"?","~?")),"")</f>
        <v/>
      </c>
      <c r="C1410" t="str">
        <f>IF($B1410="","",SUMIFS(dAmt,dCust,$B1410,dPer,"&gt;="&amp;pyFrom,dPer,"&lt;="&amp;pyTo,dAmt,"&gt;-1E+300",dFlt1,critFlt1,dFlt2,critFlt2,dFlt3,critFlt3))</f>
        <v/>
      </c>
      <c r="D1410" t="str">
        <f>IF($B1410="","",SUMIFS(dAmt,dCust,$B1410,dPer,"&gt;="&amp;cyFrom,dPer,"&lt;="&amp;cyTo,dAmt,"&gt;-1E+300",dFlt1,critFlt1,dFlt2,critFlt2,dFlt3,critFlt3))</f>
        <v/>
      </c>
      <c r="E1410" t="str">
        <f>IF($B1410="","",SUMIFS(dQty,dCust,$B1410,dPer,"&gt;="&amp;pyFrom,dPer,"&lt;="&amp;pyTo,dQty,"&gt;-1E+300",dFlt1,critFlt1,dFlt2,critFlt2,dFlt3,critFlt3))</f>
        <v/>
      </c>
      <c r="F1410" t="str">
        <f>IF($B1410="","",SUMIFS(dQty,dCust,$B1410,dPer,"&gt;="&amp;cyFrom,dPer,"&lt;="&amp;cyTo,dQty,"&gt;-1E+300",dFlt1,critFlt1,dFlt2,critFlt2,dFlt3,critFlt3))</f>
        <v/>
      </c>
      <c r="G1410">
        <f>IF($B1410="",0,IFERROR(IF(OR(C1410&lt;&gt;0,D1410&lt;&gt;0,E1410&lt;&gt;0,F1410&lt;&gt;0),1,0),1))</f>
        <v>0</v>
      </c>
      <c r="H1410" t="str">
        <f>IF(OR(G1410=0,E1410=0),"",C1410/E1410)</f>
        <v/>
      </c>
      <c r="I1410" t="str">
        <f>IF(OR(G1410=0,F1410=0),"",D1410/F1410)</f>
        <v/>
      </c>
      <c r="J1410" t="str">
        <f>IF(OR(H1410="",I1410=""),"",IF(H1410=0,"",I1410/H1410-1))</f>
        <v/>
      </c>
      <c r="K1410" t="str">
        <f>IF($B1410="","",IFERROR(IF(G1410=0,-2E+300,CHOOSE(sortIdx,ROUND(D1410,0),IF(J1410="",-1E+300,ROUND(-J1410,6)),IF(J1410="",-1E+300,ROUND(J1410,6)))),-1.5E+300))</f>
        <v/>
      </c>
      <c r="L1410" t="str">
        <f>IF(K1410="","",RANK(K1410,$K$2:$K$3001,0)+COUNTIF($K$2:K1410,K1410)-1)</f>
        <v/>
      </c>
    </row>
    <row r="1411">
      <c r="B1411" t="str">
        <f>IFERROR(IF(A1411="","","="&amp;SUBSTITUTE(SUBSTITUTE(SUBSTITUTE(A1411,"~","~~"),"*","~*"),"?","~?")),"")</f>
        <v/>
      </c>
      <c r="C1411" t="str">
        <f>IF($B1411="","",SUMIFS(dAmt,dCust,$B1411,dPer,"&gt;="&amp;pyFrom,dPer,"&lt;="&amp;pyTo,dAmt,"&gt;-1E+300",dFlt1,critFlt1,dFlt2,critFlt2,dFlt3,critFlt3))</f>
        <v/>
      </c>
      <c r="D1411" t="str">
        <f>IF($B1411="","",SUMIFS(dAmt,dCust,$B1411,dPer,"&gt;="&amp;cyFrom,dPer,"&lt;="&amp;cyTo,dAmt,"&gt;-1E+300",dFlt1,critFlt1,dFlt2,critFlt2,dFlt3,critFlt3))</f>
        <v/>
      </c>
      <c r="E1411" t="str">
        <f>IF($B1411="","",SUMIFS(dQty,dCust,$B1411,dPer,"&gt;="&amp;pyFrom,dPer,"&lt;="&amp;pyTo,dQty,"&gt;-1E+300",dFlt1,critFlt1,dFlt2,critFlt2,dFlt3,critFlt3))</f>
        <v/>
      </c>
      <c r="F1411" t="str">
        <f>IF($B1411="","",SUMIFS(dQty,dCust,$B1411,dPer,"&gt;="&amp;cyFrom,dPer,"&lt;="&amp;cyTo,dQty,"&gt;-1E+300",dFlt1,critFlt1,dFlt2,critFlt2,dFlt3,critFlt3))</f>
        <v/>
      </c>
      <c r="G1411">
        <f>IF($B1411="",0,IFERROR(IF(OR(C1411&lt;&gt;0,D1411&lt;&gt;0,E1411&lt;&gt;0,F1411&lt;&gt;0),1,0),1))</f>
        <v>0</v>
      </c>
      <c r="H1411" t="str">
        <f>IF(OR(G1411=0,E1411=0),"",C1411/E1411)</f>
        <v/>
      </c>
      <c r="I1411" t="str">
        <f>IF(OR(G1411=0,F1411=0),"",D1411/F1411)</f>
        <v/>
      </c>
      <c r="J1411" t="str">
        <f>IF(OR(H1411="",I1411=""),"",IF(H1411=0,"",I1411/H1411-1))</f>
        <v/>
      </c>
      <c r="K1411" t="str">
        <f>IF($B1411="","",IFERROR(IF(G1411=0,-2E+300,CHOOSE(sortIdx,ROUND(D1411,0),IF(J1411="",-1E+300,ROUND(-J1411,6)),IF(J1411="",-1E+300,ROUND(J1411,6)))),-1.5E+300))</f>
        <v/>
      </c>
      <c r="L1411" t="str">
        <f>IF(K1411="","",RANK(K1411,$K$2:$K$3001,0)+COUNTIF($K$2:K1411,K1411)-1)</f>
        <v/>
      </c>
    </row>
    <row r="1412">
      <c r="B1412" t="str">
        <f>IFERROR(IF(A1412="","","="&amp;SUBSTITUTE(SUBSTITUTE(SUBSTITUTE(A1412,"~","~~"),"*","~*"),"?","~?")),"")</f>
        <v/>
      </c>
      <c r="C1412" t="str">
        <f>IF($B1412="","",SUMIFS(dAmt,dCust,$B1412,dPer,"&gt;="&amp;pyFrom,dPer,"&lt;="&amp;pyTo,dAmt,"&gt;-1E+300",dFlt1,critFlt1,dFlt2,critFlt2,dFlt3,critFlt3))</f>
        <v/>
      </c>
      <c r="D1412" t="str">
        <f>IF($B1412="","",SUMIFS(dAmt,dCust,$B1412,dPer,"&gt;="&amp;cyFrom,dPer,"&lt;="&amp;cyTo,dAmt,"&gt;-1E+300",dFlt1,critFlt1,dFlt2,critFlt2,dFlt3,critFlt3))</f>
        <v/>
      </c>
      <c r="E1412" t="str">
        <f>IF($B1412="","",SUMIFS(dQty,dCust,$B1412,dPer,"&gt;="&amp;pyFrom,dPer,"&lt;="&amp;pyTo,dQty,"&gt;-1E+300",dFlt1,critFlt1,dFlt2,critFlt2,dFlt3,critFlt3))</f>
        <v/>
      </c>
      <c r="F1412" t="str">
        <f>IF($B1412="","",SUMIFS(dQty,dCust,$B1412,dPer,"&gt;="&amp;cyFrom,dPer,"&lt;="&amp;cyTo,dQty,"&gt;-1E+300",dFlt1,critFlt1,dFlt2,critFlt2,dFlt3,critFlt3))</f>
        <v/>
      </c>
      <c r="G1412">
        <f>IF($B1412="",0,IFERROR(IF(OR(C1412&lt;&gt;0,D1412&lt;&gt;0,E1412&lt;&gt;0,F1412&lt;&gt;0),1,0),1))</f>
        <v>0</v>
      </c>
      <c r="H1412" t="str">
        <f>IF(OR(G1412=0,E1412=0),"",C1412/E1412)</f>
        <v/>
      </c>
      <c r="I1412" t="str">
        <f>IF(OR(G1412=0,F1412=0),"",D1412/F1412)</f>
        <v/>
      </c>
      <c r="J1412" t="str">
        <f>IF(OR(H1412="",I1412=""),"",IF(H1412=0,"",I1412/H1412-1))</f>
        <v/>
      </c>
      <c r="K1412" t="str">
        <f>IF($B1412="","",IFERROR(IF(G1412=0,-2E+300,CHOOSE(sortIdx,ROUND(D1412,0),IF(J1412="",-1E+300,ROUND(-J1412,6)),IF(J1412="",-1E+300,ROUND(J1412,6)))),-1.5E+300))</f>
        <v/>
      </c>
      <c r="L1412" t="str">
        <f>IF(K1412="","",RANK(K1412,$K$2:$K$3001,0)+COUNTIF($K$2:K1412,K1412)-1)</f>
        <v/>
      </c>
    </row>
    <row r="1413">
      <c r="B1413" t="str">
        <f>IFERROR(IF(A1413="","","="&amp;SUBSTITUTE(SUBSTITUTE(SUBSTITUTE(A1413,"~","~~"),"*","~*"),"?","~?")),"")</f>
        <v/>
      </c>
      <c r="C1413" t="str">
        <f>IF($B1413="","",SUMIFS(dAmt,dCust,$B1413,dPer,"&gt;="&amp;pyFrom,dPer,"&lt;="&amp;pyTo,dAmt,"&gt;-1E+300",dFlt1,critFlt1,dFlt2,critFlt2,dFlt3,critFlt3))</f>
        <v/>
      </c>
      <c r="D1413" t="str">
        <f>IF($B1413="","",SUMIFS(dAmt,dCust,$B1413,dPer,"&gt;="&amp;cyFrom,dPer,"&lt;="&amp;cyTo,dAmt,"&gt;-1E+300",dFlt1,critFlt1,dFlt2,critFlt2,dFlt3,critFlt3))</f>
        <v/>
      </c>
      <c r="E1413" t="str">
        <f>IF($B1413="","",SUMIFS(dQty,dCust,$B1413,dPer,"&gt;="&amp;pyFrom,dPer,"&lt;="&amp;pyTo,dQty,"&gt;-1E+300",dFlt1,critFlt1,dFlt2,critFlt2,dFlt3,critFlt3))</f>
        <v/>
      </c>
      <c r="F1413" t="str">
        <f>IF($B1413="","",SUMIFS(dQty,dCust,$B1413,dPer,"&gt;="&amp;cyFrom,dPer,"&lt;="&amp;cyTo,dQty,"&gt;-1E+300",dFlt1,critFlt1,dFlt2,critFlt2,dFlt3,critFlt3))</f>
        <v/>
      </c>
      <c r="G1413">
        <f>IF($B1413="",0,IFERROR(IF(OR(C1413&lt;&gt;0,D1413&lt;&gt;0,E1413&lt;&gt;0,F1413&lt;&gt;0),1,0),1))</f>
        <v>0</v>
      </c>
      <c r="H1413" t="str">
        <f>IF(OR(G1413=0,E1413=0),"",C1413/E1413)</f>
        <v/>
      </c>
      <c r="I1413" t="str">
        <f>IF(OR(G1413=0,F1413=0),"",D1413/F1413)</f>
        <v/>
      </c>
      <c r="J1413" t="str">
        <f>IF(OR(H1413="",I1413=""),"",IF(H1413=0,"",I1413/H1413-1))</f>
        <v/>
      </c>
      <c r="K1413" t="str">
        <f>IF($B1413="","",IFERROR(IF(G1413=0,-2E+300,CHOOSE(sortIdx,ROUND(D1413,0),IF(J1413="",-1E+300,ROUND(-J1413,6)),IF(J1413="",-1E+300,ROUND(J1413,6)))),-1.5E+300))</f>
        <v/>
      </c>
      <c r="L1413" t="str">
        <f>IF(K1413="","",RANK(K1413,$K$2:$K$3001,0)+COUNTIF($K$2:K1413,K1413)-1)</f>
        <v/>
      </c>
    </row>
    <row r="1414">
      <c r="B1414" t="str">
        <f>IFERROR(IF(A1414="","","="&amp;SUBSTITUTE(SUBSTITUTE(SUBSTITUTE(A1414,"~","~~"),"*","~*"),"?","~?")),"")</f>
        <v/>
      </c>
      <c r="C1414" t="str">
        <f>IF($B1414="","",SUMIFS(dAmt,dCust,$B1414,dPer,"&gt;="&amp;pyFrom,dPer,"&lt;="&amp;pyTo,dAmt,"&gt;-1E+300",dFlt1,critFlt1,dFlt2,critFlt2,dFlt3,critFlt3))</f>
        <v/>
      </c>
      <c r="D1414" t="str">
        <f>IF($B1414="","",SUMIFS(dAmt,dCust,$B1414,dPer,"&gt;="&amp;cyFrom,dPer,"&lt;="&amp;cyTo,dAmt,"&gt;-1E+300",dFlt1,critFlt1,dFlt2,critFlt2,dFlt3,critFlt3))</f>
        <v/>
      </c>
      <c r="E1414" t="str">
        <f>IF($B1414="","",SUMIFS(dQty,dCust,$B1414,dPer,"&gt;="&amp;pyFrom,dPer,"&lt;="&amp;pyTo,dQty,"&gt;-1E+300",dFlt1,critFlt1,dFlt2,critFlt2,dFlt3,critFlt3))</f>
        <v/>
      </c>
      <c r="F1414" t="str">
        <f>IF($B1414="","",SUMIFS(dQty,dCust,$B1414,dPer,"&gt;="&amp;cyFrom,dPer,"&lt;="&amp;cyTo,dQty,"&gt;-1E+300",dFlt1,critFlt1,dFlt2,critFlt2,dFlt3,critFlt3))</f>
        <v/>
      </c>
      <c r="G1414">
        <f>IF($B1414="",0,IFERROR(IF(OR(C1414&lt;&gt;0,D1414&lt;&gt;0,E1414&lt;&gt;0,F1414&lt;&gt;0),1,0),1))</f>
        <v>0</v>
      </c>
      <c r="H1414" t="str">
        <f>IF(OR(G1414=0,E1414=0),"",C1414/E1414)</f>
        <v/>
      </c>
      <c r="I1414" t="str">
        <f>IF(OR(G1414=0,F1414=0),"",D1414/F1414)</f>
        <v/>
      </c>
      <c r="J1414" t="str">
        <f>IF(OR(H1414="",I1414=""),"",IF(H1414=0,"",I1414/H1414-1))</f>
        <v/>
      </c>
      <c r="K1414" t="str">
        <f>IF($B1414="","",IFERROR(IF(G1414=0,-2E+300,CHOOSE(sortIdx,ROUND(D1414,0),IF(J1414="",-1E+300,ROUND(-J1414,6)),IF(J1414="",-1E+300,ROUND(J1414,6)))),-1.5E+300))</f>
        <v/>
      </c>
      <c r="L1414" t="str">
        <f>IF(K1414="","",RANK(K1414,$K$2:$K$3001,0)+COUNTIF($K$2:K1414,K1414)-1)</f>
        <v/>
      </c>
    </row>
    <row r="1415">
      <c r="B1415" t="str">
        <f>IFERROR(IF(A1415="","","="&amp;SUBSTITUTE(SUBSTITUTE(SUBSTITUTE(A1415,"~","~~"),"*","~*"),"?","~?")),"")</f>
        <v/>
      </c>
      <c r="C1415" t="str">
        <f>IF($B1415="","",SUMIFS(dAmt,dCust,$B1415,dPer,"&gt;="&amp;pyFrom,dPer,"&lt;="&amp;pyTo,dAmt,"&gt;-1E+300",dFlt1,critFlt1,dFlt2,critFlt2,dFlt3,critFlt3))</f>
        <v/>
      </c>
      <c r="D1415" t="str">
        <f>IF($B1415="","",SUMIFS(dAmt,dCust,$B1415,dPer,"&gt;="&amp;cyFrom,dPer,"&lt;="&amp;cyTo,dAmt,"&gt;-1E+300",dFlt1,critFlt1,dFlt2,critFlt2,dFlt3,critFlt3))</f>
        <v/>
      </c>
      <c r="E1415" t="str">
        <f>IF($B1415="","",SUMIFS(dQty,dCust,$B1415,dPer,"&gt;="&amp;pyFrom,dPer,"&lt;="&amp;pyTo,dQty,"&gt;-1E+300",dFlt1,critFlt1,dFlt2,critFlt2,dFlt3,critFlt3))</f>
        <v/>
      </c>
      <c r="F1415" t="str">
        <f>IF($B1415="","",SUMIFS(dQty,dCust,$B1415,dPer,"&gt;="&amp;cyFrom,dPer,"&lt;="&amp;cyTo,dQty,"&gt;-1E+300",dFlt1,critFlt1,dFlt2,critFlt2,dFlt3,critFlt3))</f>
        <v/>
      </c>
      <c r="G1415">
        <f>IF($B1415="",0,IFERROR(IF(OR(C1415&lt;&gt;0,D1415&lt;&gt;0,E1415&lt;&gt;0,F1415&lt;&gt;0),1,0),1))</f>
        <v>0</v>
      </c>
      <c r="H1415" t="str">
        <f>IF(OR(G1415=0,E1415=0),"",C1415/E1415)</f>
        <v/>
      </c>
      <c r="I1415" t="str">
        <f>IF(OR(G1415=0,F1415=0),"",D1415/F1415)</f>
        <v/>
      </c>
      <c r="J1415" t="str">
        <f>IF(OR(H1415="",I1415=""),"",IF(H1415=0,"",I1415/H1415-1))</f>
        <v/>
      </c>
      <c r="K1415" t="str">
        <f>IF($B1415="","",IFERROR(IF(G1415=0,-2E+300,CHOOSE(sortIdx,ROUND(D1415,0),IF(J1415="",-1E+300,ROUND(-J1415,6)),IF(J1415="",-1E+300,ROUND(J1415,6)))),-1.5E+300))</f>
        <v/>
      </c>
      <c r="L1415" t="str">
        <f>IF(K1415="","",RANK(K1415,$K$2:$K$3001,0)+COUNTIF($K$2:K1415,K1415)-1)</f>
        <v/>
      </c>
    </row>
    <row r="1416">
      <c r="B1416" t="str">
        <f>IFERROR(IF(A1416="","","="&amp;SUBSTITUTE(SUBSTITUTE(SUBSTITUTE(A1416,"~","~~"),"*","~*"),"?","~?")),"")</f>
        <v/>
      </c>
      <c r="C1416" t="str">
        <f>IF($B1416="","",SUMIFS(dAmt,dCust,$B1416,dPer,"&gt;="&amp;pyFrom,dPer,"&lt;="&amp;pyTo,dAmt,"&gt;-1E+300",dFlt1,critFlt1,dFlt2,critFlt2,dFlt3,critFlt3))</f>
        <v/>
      </c>
      <c r="D1416" t="str">
        <f>IF($B1416="","",SUMIFS(dAmt,dCust,$B1416,dPer,"&gt;="&amp;cyFrom,dPer,"&lt;="&amp;cyTo,dAmt,"&gt;-1E+300",dFlt1,critFlt1,dFlt2,critFlt2,dFlt3,critFlt3))</f>
        <v/>
      </c>
      <c r="E1416" t="str">
        <f>IF($B1416="","",SUMIFS(dQty,dCust,$B1416,dPer,"&gt;="&amp;pyFrom,dPer,"&lt;="&amp;pyTo,dQty,"&gt;-1E+300",dFlt1,critFlt1,dFlt2,critFlt2,dFlt3,critFlt3))</f>
        <v/>
      </c>
      <c r="F1416" t="str">
        <f>IF($B1416="","",SUMIFS(dQty,dCust,$B1416,dPer,"&gt;="&amp;cyFrom,dPer,"&lt;="&amp;cyTo,dQty,"&gt;-1E+300",dFlt1,critFlt1,dFlt2,critFlt2,dFlt3,critFlt3))</f>
        <v/>
      </c>
      <c r="G1416">
        <f>IF($B1416="",0,IFERROR(IF(OR(C1416&lt;&gt;0,D1416&lt;&gt;0,E1416&lt;&gt;0,F1416&lt;&gt;0),1,0),1))</f>
        <v>0</v>
      </c>
      <c r="H1416" t="str">
        <f>IF(OR(G1416=0,E1416=0),"",C1416/E1416)</f>
        <v/>
      </c>
      <c r="I1416" t="str">
        <f>IF(OR(G1416=0,F1416=0),"",D1416/F1416)</f>
        <v/>
      </c>
      <c r="J1416" t="str">
        <f>IF(OR(H1416="",I1416=""),"",IF(H1416=0,"",I1416/H1416-1))</f>
        <v/>
      </c>
      <c r="K1416" t="str">
        <f>IF($B1416="","",IFERROR(IF(G1416=0,-2E+300,CHOOSE(sortIdx,ROUND(D1416,0),IF(J1416="",-1E+300,ROUND(-J1416,6)),IF(J1416="",-1E+300,ROUND(J1416,6)))),-1.5E+300))</f>
        <v/>
      </c>
      <c r="L1416" t="str">
        <f>IF(K1416="","",RANK(K1416,$K$2:$K$3001,0)+COUNTIF($K$2:K1416,K1416)-1)</f>
        <v/>
      </c>
    </row>
    <row r="1417">
      <c r="B1417" t="str">
        <f>IFERROR(IF(A1417="","","="&amp;SUBSTITUTE(SUBSTITUTE(SUBSTITUTE(A1417,"~","~~"),"*","~*"),"?","~?")),"")</f>
        <v/>
      </c>
      <c r="C1417" t="str">
        <f>IF($B1417="","",SUMIFS(dAmt,dCust,$B1417,dPer,"&gt;="&amp;pyFrom,dPer,"&lt;="&amp;pyTo,dAmt,"&gt;-1E+300",dFlt1,critFlt1,dFlt2,critFlt2,dFlt3,critFlt3))</f>
        <v/>
      </c>
      <c r="D1417" t="str">
        <f>IF($B1417="","",SUMIFS(dAmt,dCust,$B1417,dPer,"&gt;="&amp;cyFrom,dPer,"&lt;="&amp;cyTo,dAmt,"&gt;-1E+300",dFlt1,critFlt1,dFlt2,critFlt2,dFlt3,critFlt3))</f>
        <v/>
      </c>
      <c r="E1417" t="str">
        <f>IF($B1417="","",SUMIFS(dQty,dCust,$B1417,dPer,"&gt;="&amp;pyFrom,dPer,"&lt;="&amp;pyTo,dQty,"&gt;-1E+300",dFlt1,critFlt1,dFlt2,critFlt2,dFlt3,critFlt3))</f>
        <v/>
      </c>
      <c r="F1417" t="str">
        <f>IF($B1417="","",SUMIFS(dQty,dCust,$B1417,dPer,"&gt;="&amp;cyFrom,dPer,"&lt;="&amp;cyTo,dQty,"&gt;-1E+300",dFlt1,critFlt1,dFlt2,critFlt2,dFlt3,critFlt3))</f>
        <v/>
      </c>
      <c r="G1417">
        <f>IF($B1417="",0,IFERROR(IF(OR(C1417&lt;&gt;0,D1417&lt;&gt;0,E1417&lt;&gt;0,F1417&lt;&gt;0),1,0),1))</f>
        <v>0</v>
      </c>
      <c r="H1417" t="str">
        <f>IF(OR(G1417=0,E1417=0),"",C1417/E1417)</f>
        <v/>
      </c>
      <c r="I1417" t="str">
        <f>IF(OR(G1417=0,F1417=0),"",D1417/F1417)</f>
        <v/>
      </c>
      <c r="J1417" t="str">
        <f>IF(OR(H1417="",I1417=""),"",IF(H1417=0,"",I1417/H1417-1))</f>
        <v/>
      </c>
      <c r="K1417" t="str">
        <f>IF($B1417="","",IFERROR(IF(G1417=0,-2E+300,CHOOSE(sortIdx,ROUND(D1417,0),IF(J1417="",-1E+300,ROUND(-J1417,6)),IF(J1417="",-1E+300,ROUND(J1417,6)))),-1.5E+300))</f>
        <v/>
      </c>
      <c r="L1417" t="str">
        <f>IF(K1417="","",RANK(K1417,$K$2:$K$3001,0)+COUNTIF($K$2:K1417,K1417)-1)</f>
        <v/>
      </c>
    </row>
    <row r="1418">
      <c r="B1418" t="str">
        <f>IFERROR(IF(A1418="","","="&amp;SUBSTITUTE(SUBSTITUTE(SUBSTITUTE(A1418,"~","~~"),"*","~*"),"?","~?")),"")</f>
        <v/>
      </c>
      <c r="C1418" t="str">
        <f>IF($B1418="","",SUMIFS(dAmt,dCust,$B1418,dPer,"&gt;="&amp;pyFrom,dPer,"&lt;="&amp;pyTo,dAmt,"&gt;-1E+300",dFlt1,critFlt1,dFlt2,critFlt2,dFlt3,critFlt3))</f>
        <v/>
      </c>
      <c r="D1418" t="str">
        <f>IF($B1418="","",SUMIFS(dAmt,dCust,$B1418,dPer,"&gt;="&amp;cyFrom,dPer,"&lt;="&amp;cyTo,dAmt,"&gt;-1E+300",dFlt1,critFlt1,dFlt2,critFlt2,dFlt3,critFlt3))</f>
        <v/>
      </c>
      <c r="E1418" t="str">
        <f>IF($B1418="","",SUMIFS(dQty,dCust,$B1418,dPer,"&gt;="&amp;pyFrom,dPer,"&lt;="&amp;pyTo,dQty,"&gt;-1E+300",dFlt1,critFlt1,dFlt2,critFlt2,dFlt3,critFlt3))</f>
        <v/>
      </c>
      <c r="F1418" t="str">
        <f>IF($B1418="","",SUMIFS(dQty,dCust,$B1418,dPer,"&gt;="&amp;cyFrom,dPer,"&lt;="&amp;cyTo,dQty,"&gt;-1E+300",dFlt1,critFlt1,dFlt2,critFlt2,dFlt3,critFlt3))</f>
        <v/>
      </c>
      <c r="G1418">
        <f>IF($B1418="",0,IFERROR(IF(OR(C1418&lt;&gt;0,D1418&lt;&gt;0,E1418&lt;&gt;0,F1418&lt;&gt;0),1,0),1))</f>
        <v>0</v>
      </c>
      <c r="H1418" t="str">
        <f>IF(OR(G1418=0,E1418=0),"",C1418/E1418)</f>
        <v/>
      </c>
      <c r="I1418" t="str">
        <f>IF(OR(G1418=0,F1418=0),"",D1418/F1418)</f>
        <v/>
      </c>
      <c r="J1418" t="str">
        <f>IF(OR(H1418="",I1418=""),"",IF(H1418=0,"",I1418/H1418-1))</f>
        <v/>
      </c>
      <c r="K1418" t="str">
        <f>IF($B1418="","",IFERROR(IF(G1418=0,-2E+300,CHOOSE(sortIdx,ROUND(D1418,0),IF(J1418="",-1E+300,ROUND(-J1418,6)),IF(J1418="",-1E+300,ROUND(J1418,6)))),-1.5E+300))</f>
        <v/>
      </c>
      <c r="L1418" t="str">
        <f>IF(K1418="","",RANK(K1418,$K$2:$K$3001,0)+COUNTIF($K$2:K1418,K1418)-1)</f>
        <v/>
      </c>
    </row>
    <row r="1419">
      <c r="B1419" t="str">
        <f>IFERROR(IF(A1419="","","="&amp;SUBSTITUTE(SUBSTITUTE(SUBSTITUTE(A1419,"~","~~"),"*","~*"),"?","~?")),"")</f>
        <v/>
      </c>
      <c r="C1419" t="str">
        <f>IF($B1419="","",SUMIFS(dAmt,dCust,$B1419,dPer,"&gt;="&amp;pyFrom,dPer,"&lt;="&amp;pyTo,dAmt,"&gt;-1E+300",dFlt1,critFlt1,dFlt2,critFlt2,dFlt3,critFlt3))</f>
        <v/>
      </c>
      <c r="D1419" t="str">
        <f>IF($B1419="","",SUMIFS(dAmt,dCust,$B1419,dPer,"&gt;="&amp;cyFrom,dPer,"&lt;="&amp;cyTo,dAmt,"&gt;-1E+300",dFlt1,critFlt1,dFlt2,critFlt2,dFlt3,critFlt3))</f>
        <v/>
      </c>
      <c r="E1419" t="str">
        <f>IF($B1419="","",SUMIFS(dQty,dCust,$B1419,dPer,"&gt;="&amp;pyFrom,dPer,"&lt;="&amp;pyTo,dQty,"&gt;-1E+300",dFlt1,critFlt1,dFlt2,critFlt2,dFlt3,critFlt3))</f>
        <v/>
      </c>
      <c r="F1419" t="str">
        <f>IF($B1419="","",SUMIFS(dQty,dCust,$B1419,dPer,"&gt;="&amp;cyFrom,dPer,"&lt;="&amp;cyTo,dQty,"&gt;-1E+300",dFlt1,critFlt1,dFlt2,critFlt2,dFlt3,critFlt3))</f>
        <v/>
      </c>
      <c r="G1419">
        <f>IF($B1419="",0,IFERROR(IF(OR(C1419&lt;&gt;0,D1419&lt;&gt;0,E1419&lt;&gt;0,F1419&lt;&gt;0),1,0),1))</f>
        <v>0</v>
      </c>
      <c r="H1419" t="str">
        <f>IF(OR(G1419=0,E1419=0),"",C1419/E1419)</f>
        <v/>
      </c>
      <c r="I1419" t="str">
        <f>IF(OR(G1419=0,F1419=0),"",D1419/F1419)</f>
        <v/>
      </c>
      <c r="J1419" t="str">
        <f>IF(OR(H1419="",I1419=""),"",IF(H1419=0,"",I1419/H1419-1))</f>
        <v/>
      </c>
      <c r="K1419" t="str">
        <f>IF($B1419="","",IFERROR(IF(G1419=0,-2E+300,CHOOSE(sortIdx,ROUND(D1419,0),IF(J1419="",-1E+300,ROUND(-J1419,6)),IF(J1419="",-1E+300,ROUND(J1419,6)))),-1.5E+300))</f>
        <v/>
      </c>
      <c r="L1419" t="str">
        <f>IF(K1419="","",RANK(K1419,$K$2:$K$3001,0)+COUNTIF($K$2:K1419,K1419)-1)</f>
        <v/>
      </c>
    </row>
    <row r="1420">
      <c r="B1420" t="str">
        <f>IFERROR(IF(A1420="","","="&amp;SUBSTITUTE(SUBSTITUTE(SUBSTITUTE(A1420,"~","~~"),"*","~*"),"?","~?")),"")</f>
        <v/>
      </c>
      <c r="C1420" t="str">
        <f>IF($B1420="","",SUMIFS(dAmt,dCust,$B1420,dPer,"&gt;="&amp;pyFrom,dPer,"&lt;="&amp;pyTo,dAmt,"&gt;-1E+300",dFlt1,critFlt1,dFlt2,critFlt2,dFlt3,critFlt3))</f>
        <v/>
      </c>
      <c r="D1420" t="str">
        <f>IF($B1420="","",SUMIFS(dAmt,dCust,$B1420,dPer,"&gt;="&amp;cyFrom,dPer,"&lt;="&amp;cyTo,dAmt,"&gt;-1E+300",dFlt1,critFlt1,dFlt2,critFlt2,dFlt3,critFlt3))</f>
        <v/>
      </c>
      <c r="E1420" t="str">
        <f>IF($B1420="","",SUMIFS(dQty,dCust,$B1420,dPer,"&gt;="&amp;pyFrom,dPer,"&lt;="&amp;pyTo,dQty,"&gt;-1E+300",dFlt1,critFlt1,dFlt2,critFlt2,dFlt3,critFlt3))</f>
        <v/>
      </c>
      <c r="F1420" t="str">
        <f>IF($B1420="","",SUMIFS(dQty,dCust,$B1420,dPer,"&gt;="&amp;cyFrom,dPer,"&lt;="&amp;cyTo,dQty,"&gt;-1E+300",dFlt1,critFlt1,dFlt2,critFlt2,dFlt3,critFlt3))</f>
        <v/>
      </c>
      <c r="G1420">
        <f>IF($B1420="",0,IFERROR(IF(OR(C1420&lt;&gt;0,D1420&lt;&gt;0,E1420&lt;&gt;0,F1420&lt;&gt;0),1,0),1))</f>
        <v>0</v>
      </c>
      <c r="H1420" t="str">
        <f>IF(OR(G1420=0,E1420=0),"",C1420/E1420)</f>
        <v/>
      </c>
      <c r="I1420" t="str">
        <f>IF(OR(G1420=0,F1420=0),"",D1420/F1420)</f>
        <v/>
      </c>
      <c r="J1420" t="str">
        <f>IF(OR(H1420="",I1420=""),"",IF(H1420=0,"",I1420/H1420-1))</f>
        <v/>
      </c>
      <c r="K1420" t="str">
        <f>IF($B1420="","",IFERROR(IF(G1420=0,-2E+300,CHOOSE(sortIdx,ROUND(D1420,0),IF(J1420="",-1E+300,ROUND(-J1420,6)),IF(J1420="",-1E+300,ROUND(J1420,6)))),-1.5E+300))</f>
        <v/>
      </c>
      <c r="L1420" t="str">
        <f>IF(K1420="","",RANK(K1420,$K$2:$K$3001,0)+COUNTIF($K$2:K1420,K1420)-1)</f>
        <v/>
      </c>
    </row>
    <row r="1421">
      <c r="B1421" t="str">
        <f>IFERROR(IF(A1421="","","="&amp;SUBSTITUTE(SUBSTITUTE(SUBSTITUTE(A1421,"~","~~"),"*","~*"),"?","~?")),"")</f>
        <v/>
      </c>
      <c r="C1421" t="str">
        <f>IF($B1421="","",SUMIFS(dAmt,dCust,$B1421,dPer,"&gt;="&amp;pyFrom,dPer,"&lt;="&amp;pyTo,dAmt,"&gt;-1E+300",dFlt1,critFlt1,dFlt2,critFlt2,dFlt3,critFlt3))</f>
        <v/>
      </c>
      <c r="D1421" t="str">
        <f>IF($B1421="","",SUMIFS(dAmt,dCust,$B1421,dPer,"&gt;="&amp;cyFrom,dPer,"&lt;="&amp;cyTo,dAmt,"&gt;-1E+300",dFlt1,critFlt1,dFlt2,critFlt2,dFlt3,critFlt3))</f>
        <v/>
      </c>
      <c r="E1421" t="str">
        <f>IF($B1421="","",SUMIFS(dQty,dCust,$B1421,dPer,"&gt;="&amp;pyFrom,dPer,"&lt;="&amp;pyTo,dQty,"&gt;-1E+300",dFlt1,critFlt1,dFlt2,critFlt2,dFlt3,critFlt3))</f>
        <v/>
      </c>
      <c r="F1421" t="str">
        <f>IF($B1421="","",SUMIFS(dQty,dCust,$B1421,dPer,"&gt;="&amp;cyFrom,dPer,"&lt;="&amp;cyTo,dQty,"&gt;-1E+300",dFlt1,critFlt1,dFlt2,critFlt2,dFlt3,critFlt3))</f>
        <v/>
      </c>
      <c r="G1421">
        <f>IF($B1421="",0,IFERROR(IF(OR(C1421&lt;&gt;0,D1421&lt;&gt;0,E1421&lt;&gt;0,F1421&lt;&gt;0),1,0),1))</f>
        <v>0</v>
      </c>
      <c r="H1421" t="str">
        <f>IF(OR(G1421=0,E1421=0),"",C1421/E1421)</f>
        <v/>
      </c>
      <c r="I1421" t="str">
        <f>IF(OR(G1421=0,F1421=0),"",D1421/F1421)</f>
        <v/>
      </c>
      <c r="J1421" t="str">
        <f>IF(OR(H1421="",I1421=""),"",IF(H1421=0,"",I1421/H1421-1))</f>
        <v/>
      </c>
      <c r="K1421" t="str">
        <f>IF($B1421="","",IFERROR(IF(G1421=0,-2E+300,CHOOSE(sortIdx,ROUND(D1421,0),IF(J1421="",-1E+300,ROUND(-J1421,6)),IF(J1421="",-1E+300,ROUND(J1421,6)))),-1.5E+300))</f>
        <v/>
      </c>
      <c r="L1421" t="str">
        <f>IF(K1421="","",RANK(K1421,$K$2:$K$3001,0)+COUNTIF($K$2:K1421,K1421)-1)</f>
        <v/>
      </c>
    </row>
    <row r="1422">
      <c r="B1422" t="str">
        <f>IFERROR(IF(A1422="","","="&amp;SUBSTITUTE(SUBSTITUTE(SUBSTITUTE(A1422,"~","~~"),"*","~*"),"?","~?")),"")</f>
        <v/>
      </c>
      <c r="C1422" t="str">
        <f>IF($B1422="","",SUMIFS(dAmt,dCust,$B1422,dPer,"&gt;="&amp;pyFrom,dPer,"&lt;="&amp;pyTo,dAmt,"&gt;-1E+300",dFlt1,critFlt1,dFlt2,critFlt2,dFlt3,critFlt3))</f>
        <v/>
      </c>
      <c r="D1422" t="str">
        <f>IF($B1422="","",SUMIFS(dAmt,dCust,$B1422,dPer,"&gt;="&amp;cyFrom,dPer,"&lt;="&amp;cyTo,dAmt,"&gt;-1E+300",dFlt1,critFlt1,dFlt2,critFlt2,dFlt3,critFlt3))</f>
        <v/>
      </c>
      <c r="E1422" t="str">
        <f>IF($B1422="","",SUMIFS(dQty,dCust,$B1422,dPer,"&gt;="&amp;pyFrom,dPer,"&lt;="&amp;pyTo,dQty,"&gt;-1E+300",dFlt1,critFlt1,dFlt2,critFlt2,dFlt3,critFlt3))</f>
        <v/>
      </c>
      <c r="F1422" t="str">
        <f>IF($B1422="","",SUMIFS(dQty,dCust,$B1422,dPer,"&gt;="&amp;cyFrom,dPer,"&lt;="&amp;cyTo,dQty,"&gt;-1E+300",dFlt1,critFlt1,dFlt2,critFlt2,dFlt3,critFlt3))</f>
        <v/>
      </c>
      <c r="G1422">
        <f>IF($B1422="",0,IFERROR(IF(OR(C1422&lt;&gt;0,D1422&lt;&gt;0,E1422&lt;&gt;0,F1422&lt;&gt;0),1,0),1))</f>
        <v>0</v>
      </c>
      <c r="H1422" t="str">
        <f>IF(OR(G1422=0,E1422=0),"",C1422/E1422)</f>
        <v/>
      </c>
      <c r="I1422" t="str">
        <f>IF(OR(G1422=0,F1422=0),"",D1422/F1422)</f>
        <v/>
      </c>
      <c r="J1422" t="str">
        <f>IF(OR(H1422="",I1422=""),"",IF(H1422=0,"",I1422/H1422-1))</f>
        <v/>
      </c>
      <c r="K1422" t="str">
        <f>IF($B1422="","",IFERROR(IF(G1422=0,-2E+300,CHOOSE(sortIdx,ROUND(D1422,0),IF(J1422="",-1E+300,ROUND(-J1422,6)),IF(J1422="",-1E+300,ROUND(J1422,6)))),-1.5E+300))</f>
        <v/>
      </c>
      <c r="L1422" t="str">
        <f>IF(K1422="","",RANK(K1422,$K$2:$K$3001,0)+COUNTIF($K$2:K1422,K1422)-1)</f>
        <v/>
      </c>
    </row>
    <row r="1423">
      <c r="B1423" t="str">
        <f>IFERROR(IF(A1423="","","="&amp;SUBSTITUTE(SUBSTITUTE(SUBSTITUTE(A1423,"~","~~"),"*","~*"),"?","~?")),"")</f>
        <v/>
      </c>
      <c r="C1423" t="str">
        <f>IF($B1423="","",SUMIFS(dAmt,dCust,$B1423,dPer,"&gt;="&amp;pyFrom,dPer,"&lt;="&amp;pyTo,dAmt,"&gt;-1E+300",dFlt1,critFlt1,dFlt2,critFlt2,dFlt3,critFlt3))</f>
        <v/>
      </c>
      <c r="D1423" t="str">
        <f>IF($B1423="","",SUMIFS(dAmt,dCust,$B1423,dPer,"&gt;="&amp;cyFrom,dPer,"&lt;="&amp;cyTo,dAmt,"&gt;-1E+300",dFlt1,critFlt1,dFlt2,critFlt2,dFlt3,critFlt3))</f>
        <v/>
      </c>
      <c r="E1423" t="str">
        <f>IF($B1423="","",SUMIFS(dQty,dCust,$B1423,dPer,"&gt;="&amp;pyFrom,dPer,"&lt;="&amp;pyTo,dQty,"&gt;-1E+300",dFlt1,critFlt1,dFlt2,critFlt2,dFlt3,critFlt3))</f>
        <v/>
      </c>
      <c r="F1423" t="str">
        <f>IF($B1423="","",SUMIFS(dQty,dCust,$B1423,dPer,"&gt;="&amp;cyFrom,dPer,"&lt;="&amp;cyTo,dQty,"&gt;-1E+300",dFlt1,critFlt1,dFlt2,critFlt2,dFlt3,critFlt3))</f>
        <v/>
      </c>
      <c r="G1423">
        <f>IF($B1423="",0,IFERROR(IF(OR(C1423&lt;&gt;0,D1423&lt;&gt;0,E1423&lt;&gt;0,F1423&lt;&gt;0),1,0),1))</f>
        <v>0</v>
      </c>
      <c r="H1423" t="str">
        <f>IF(OR(G1423=0,E1423=0),"",C1423/E1423)</f>
        <v/>
      </c>
      <c r="I1423" t="str">
        <f>IF(OR(G1423=0,F1423=0),"",D1423/F1423)</f>
        <v/>
      </c>
      <c r="J1423" t="str">
        <f>IF(OR(H1423="",I1423=""),"",IF(H1423=0,"",I1423/H1423-1))</f>
        <v/>
      </c>
      <c r="K1423" t="str">
        <f>IF($B1423="","",IFERROR(IF(G1423=0,-2E+300,CHOOSE(sortIdx,ROUND(D1423,0),IF(J1423="",-1E+300,ROUND(-J1423,6)),IF(J1423="",-1E+300,ROUND(J1423,6)))),-1.5E+300))</f>
        <v/>
      </c>
      <c r="L1423" t="str">
        <f>IF(K1423="","",RANK(K1423,$K$2:$K$3001,0)+COUNTIF($K$2:K1423,K1423)-1)</f>
        <v/>
      </c>
    </row>
    <row r="1424">
      <c r="B1424" t="str">
        <f>IFERROR(IF(A1424="","","="&amp;SUBSTITUTE(SUBSTITUTE(SUBSTITUTE(A1424,"~","~~"),"*","~*"),"?","~?")),"")</f>
        <v/>
      </c>
      <c r="C1424" t="str">
        <f>IF($B1424="","",SUMIFS(dAmt,dCust,$B1424,dPer,"&gt;="&amp;pyFrom,dPer,"&lt;="&amp;pyTo,dAmt,"&gt;-1E+300",dFlt1,critFlt1,dFlt2,critFlt2,dFlt3,critFlt3))</f>
        <v/>
      </c>
      <c r="D1424" t="str">
        <f>IF($B1424="","",SUMIFS(dAmt,dCust,$B1424,dPer,"&gt;="&amp;cyFrom,dPer,"&lt;="&amp;cyTo,dAmt,"&gt;-1E+300",dFlt1,critFlt1,dFlt2,critFlt2,dFlt3,critFlt3))</f>
        <v/>
      </c>
      <c r="E1424" t="str">
        <f>IF($B1424="","",SUMIFS(dQty,dCust,$B1424,dPer,"&gt;="&amp;pyFrom,dPer,"&lt;="&amp;pyTo,dQty,"&gt;-1E+300",dFlt1,critFlt1,dFlt2,critFlt2,dFlt3,critFlt3))</f>
        <v/>
      </c>
      <c r="F1424" t="str">
        <f>IF($B1424="","",SUMIFS(dQty,dCust,$B1424,dPer,"&gt;="&amp;cyFrom,dPer,"&lt;="&amp;cyTo,dQty,"&gt;-1E+300",dFlt1,critFlt1,dFlt2,critFlt2,dFlt3,critFlt3))</f>
        <v/>
      </c>
      <c r="G1424">
        <f>IF($B1424="",0,IFERROR(IF(OR(C1424&lt;&gt;0,D1424&lt;&gt;0,E1424&lt;&gt;0,F1424&lt;&gt;0),1,0),1))</f>
        <v>0</v>
      </c>
      <c r="H1424" t="str">
        <f>IF(OR(G1424=0,E1424=0),"",C1424/E1424)</f>
        <v/>
      </c>
      <c r="I1424" t="str">
        <f>IF(OR(G1424=0,F1424=0),"",D1424/F1424)</f>
        <v/>
      </c>
      <c r="J1424" t="str">
        <f>IF(OR(H1424="",I1424=""),"",IF(H1424=0,"",I1424/H1424-1))</f>
        <v/>
      </c>
      <c r="K1424" t="str">
        <f>IF($B1424="","",IFERROR(IF(G1424=0,-2E+300,CHOOSE(sortIdx,ROUND(D1424,0),IF(J1424="",-1E+300,ROUND(-J1424,6)),IF(J1424="",-1E+300,ROUND(J1424,6)))),-1.5E+300))</f>
        <v/>
      </c>
      <c r="L1424" t="str">
        <f>IF(K1424="","",RANK(K1424,$K$2:$K$3001,0)+COUNTIF($K$2:K1424,K1424)-1)</f>
        <v/>
      </c>
    </row>
    <row r="1425">
      <c r="B1425" t="str">
        <f>IFERROR(IF(A1425="","","="&amp;SUBSTITUTE(SUBSTITUTE(SUBSTITUTE(A1425,"~","~~"),"*","~*"),"?","~?")),"")</f>
        <v/>
      </c>
      <c r="C1425" t="str">
        <f>IF($B1425="","",SUMIFS(dAmt,dCust,$B1425,dPer,"&gt;="&amp;pyFrom,dPer,"&lt;="&amp;pyTo,dAmt,"&gt;-1E+300",dFlt1,critFlt1,dFlt2,critFlt2,dFlt3,critFlt3))</f>
        <v/>
      </c>
      <c r="D1425" t="str">
        <f>IF($B1425="","",SUMIFS(dAmt,dCust,$B1425,dPer,"&gt;="&amp;cyFrom,dPer,"&lt;="&amp;cyTo,dAmt,"&gt;-1E+300",dFlt1,critFlt1,dFlt2,critFlt2,dFlt3,critFlt3))</f>
        <v/>
      </c>
      <c r="E1425" t="str">
        <f>IF($B1425="","",SUMIFS(dQty,dCust,$B1425,dPer,"&gt;="&amp;pyFrom,dPer,"&lt;="&amp;pyTo,dQty,"&gt;-1E+300",dFlt1,critFlt1,dFlt2,critFlt2,dFlt3,critFlt3))</f>
        <v/>
      </c>
      <c r="F1425" t="str">
        <f>IF($B1425="","",SUMIFS(dQty,dCust,$B1425,dPer,"&gt;="&amp;cyFrom,dPer,"&lt;="&amp;cyTo,dQty,"&gt;-1E+300",dFlt1,critFlt1,dFlt2,critFlt2,dFlt3,critFlt3))</f>
        <v/>
      </c>
      <c r="G1425">
        <f>IF($B1425="",0,IFERROR(IF(OR(C1425&lt;&gt;0,D1425&lt;&gt;0,E1425&lt;&gt;0,F1425&lt;&gt;0),1,0),1))</f>
        <v>0</v>
      </c>
      <c r="H1425" t="str">
        <f>IF(OR(G1425=0,E1425=0),"",C1425/E1425)</f>
        <v/>
      </c>
      <c r="I1425" t="str">
        <f>IF(OR(G1425=0,F1425=0),"",D1425/F1425)</f>
        <v/>
      </c>
      <c r="J1425" t="str">
        <f>IF(OR(H1425="",I1425=""),"",IF(H1425=0,"",I1425/H1425-1))</f>
        <v/>
      </c>
      <c r="K1425" t="str">
        <f>IF($B1425="","",IFERROR(IF(G1425=0,-2E+300,CHOOSE(sortIdx,ROUND(D1425,0),IF(J1425="",-1E+300,ROUND(-J1425,6)),IF(J1425="",-1E+300,ROUND(J1425,6)))),-1.5E+300))</f>
        <v/>
      </c>
      <c r="L1425" t="str">
        <f>IF(K1425="","",RANK(K1425,$K$2:$K$3001,0)+COUNTIF($K$2:K1425,K1425)-1)</f>
        <v/>
      </c>
    </row>
    <row r="1426">
      <c r="B1426" t="str">
        <f>IFERROR(IF(A1426="","","="&amp;SUBSTITUTE(SUBSTITUTE(SUBSTITUTE(A1426,"~","~~"),"*","~*"),"?","~?")),"")</f>
        <v/>
      </c>
      <c r="C1426" t="str">
        <f>IF($B1426="","",SUMIFS(dAmt,dCust,$B1426,dPer,"&gt;="&amp;pyFrom,dPer,"&lt;="&amp;pyTo,dAmt,"&gt;-1E+300",dFlt1,critFlt1,dFlt2,critFlt2,dFlt3,critFlt3))</f>
        <v/>
      </c>
      <c r="D1426" t="str">
        <f>IF($B1426="","",SUMIFS(dAmt,dCust,$B1426,dPer,"&gt;="&amp;cyFrom,dPer,"&lt;="&amp;cyTo,dAmt,"&gt;-1E+300",dFlt1,critFlt1,dFlt2,critFlt2,dFlt3,critFlt3))</f>
        <v/>
      </c>
      <c r="E1426" t="str">
        <f>IF($B1426="","",SUMIFS(dQty,dCust,$B1426,dPer,"&gt;="&amp;pyFrom,dPer,"&lt;="&amp;pyTo,dQty,"&gt;-1E+300",dFlt1,critFlt1,dFlt2,critFlt2,dFlt3,critFlt3))</f>
        <v/>
      </c>
      <c r="F1426" t="str">
        <f>IF($B1426="","",SUMIFS(dQty,dCust,$B1426,dPer,"&gt;="&amp;cyFrom,dPer,"&lt;="&amp;cyTo,dQty,"&gt;-1E+300",dFlt1,critFlt1,dFlt2,critFlt2,dFlt3,critFlt3))</f>
        <v/>
      </c>
      <c r="G1426">
        <f>IF($B1426="",0,IFERROR(IF(OR(C1426&lt;&gt;0,D1426&lt;&gt;0,E1426&lt;&gt;0,F1426&lt;&gt;0),1,0),1))</f>
        <v>0</v>
      </c>
      <c r="H1426" t="str">
        <f>IF(OR(G1426=0,E1426=0),"",C1426/E1426)</f>
        <v/>
      </c>
      <c r="I1426" t="str">
        <f>IF(OR(G1426=0,F1426=0),"",D1426/F1426)</f>
        <v/>
      </c>
      <c r="J1426" t="str">
        <f>IF(OR(H1426="",I1426=""),"",IF(H1426=0,"",I1426/H1426-1))</f>
        <v/>
      </c>
      <c r="K1426" t="str">
        <f>IF($B1426="","",IFERROR(IF(G1426=0,-2E+300,CHOOSE(sortIdx,ROUND(D1426,0),IF(J1426="",-1E+300,ROUND(-J1426,6)),IF(J1426="",-1E+300,ROUND(J1426,6)))),-1.5E+300))</f>
        <v/>
      </c>
      <c r="L1426" t="str">
        <f>IF(K1426="","",RANK(K1426,$K$2:$K$3001,0)+COUNTIF($K$2:K1426,K1426)-1)</f>
        <v/>
      </c>
    </row>
    <row r="1427">
      <c r="B1427" t="str">
        <f>IFERROR(IF(A1427="","","="&amp;SUBSTITUTE(SUBSTITUTE(SUBSTITUTE(A1427,"~","~~"),"*","~*"),"?","~?")),"")</f>
        <v/>
      </c>
      <c r="C1427" t="str">
        <f>IF($B1427="","",SUMIFS(dAmt,dCust,$B1427,dPer,"&gt;="&amp;pyFrom,dPer,"&lt;="&amp;pyTo,dAmt,"&gt;-1E+300",dFlt1,critFlt1,dFlt2,critFlt2,dFlt3,critFlt3))</f>
        <v/>
      </c>
      <c r="D1427" t="str">
        <f>IF($B1427="","",SUMIFS(dAmt,dCust,$B1427,dPer,"&gt;="&amp;cyFrom,dPer,"&lt;="&amp;cyTo,dAmt,"&gt;-1E+300",dFlt1,critFlt1,dFlt2,critFlt2,dFlt3,critFlt3))</f>
        <v/>
      </c>
      <c r="E1427" t="str">
        <f>IF($B1427="","",SUMIFS(dQty,dCust,$B1427,dPer,"&gt;="&amp;pyFrom,dPer,"&lt;="&amp;pyTo,dQty,"&gt;-1E+300",dFlt1,critFlt1,dFlt2,critFlt2,dFlt3,critFlt3))</f>
        <v/>
      </c>
      <c r="F1427" t="str">
        <f>IF($B1427="","",SUMIFS(dQty,dCust,$B1427,dPer,"&gt;="&amp;cyFrom,dPer,"&lt;="&amp;cyTo,dQty,"&gt;-1E+300",dFlt1,critFlt1,dFlt2,critFlt2,dFlt3,critFlt3))</f>
        <v/>
      </c>
      <c r="G1427">
        <f>IF($B1427="",0,IFERROR(IF(OR(C1427&lt;&gt;0,D1427&lt;&gt;0,E1427&lt;&gt;0,F1427&lt;&gt;0),1,0),1))</f>
        <v>0</v>
      </c>
      <c r="H1427" t="str">
        <f>IF(OR(G1427=0,E1427=0),"",C1427/E1427)</f>
        <v/>
      </c>
      <c r="I1427" t="str">
        <f>IF(OR(G1427=0,F1427=0),"",D1427/F1427)</f>
        <v/>
      </c>
      <c r="J1427" t="str">
        <f>IF(OR(H1427="",I1427=""),"",IF(H1427=0,"",I1427/H1427-1))</f>
        <v/>
      </c>
      <c r="K1427" t="str">
        <f>IF($B1427="","",IFERROR(IF(G1427=0,-2E+300,CHOOSE(sortIdx,ROUND(D1427,0),IF(J1427="",-1E+300,ROUND(-J1427,6)),IF(J1427="",-1E+300,ROUND(J1427,6)))),-1.5E+300))</f>
        <v/>
      </c>
      <c r="L1427" t="str">
        <f>IF(K1427="","",RANK(K1427,$K$2:$K$3001,0)+COUNTIF($K$2:K1427,K1427)-1)</f>
        <v/>
      </c>
    </row>
    <row r="1428">
      <c r="B1428" t="str">
        <f>IFERROR(IF(A1428="","","="&amp;SUBSTITUTE(SUBSTITUTE(SUBSTITUTE(A1428,"~","~~"),"*","~*"),"?","~?")),"")</f>
        <v/>
      </c>
      <c r="C1428" t="str">
        <f>IF($B1428="","",SUMIFS(dAmt,dCust,$B1428,dPer,"&gt;="&amp;pyFrom,dPer,"&lt;="&amp;pyTo,dAmt,"&gt;-1E+300",dFlt1,critFlt1,dFlt2,critFlt2,dFlt3,critFlt3))</f>
        <v/>
      </c>
      <c r="D1428" t="str">
        <f>IF($B1428="","",SUMIFS(dAmt,dCust,$B1428,dPer,"&gt;="&amp;cyFrom,dPer,"&lt;="&amp;cyTo,dAmt,"&gt;-1E+300",dFlt1,critFlt1,dFlt2,critFlt2,dFlt3,critFlt3))</f>
        <v/>
      </c>
      <c r="E1428" t="str">
        <f>IF($B1428="","",SUMIFS(dQty,dCust,$B1428,dPer,"&gt;="&amp;pyFrom,dPer,"&lt;="&amp;pyTo,dQty,"&gt;-1E+300",dFlt1,critFlt1,dFlt2,critFlt2,dFlt3,critFlt3))</f>
        <v/>
      </c>
      <c r="F1428" t="str">
        <f>IF($B1428="","",SUMIFS(dQty,dCust,$B1428,dPer,"&gt;="&amp;cyFrom,dPer,"&lt;="&amp;cyTo,dQty,"&gt;-1E+300",dFlt1,critFlt1,dFlt2,critFlt2,dFlt3,critFlt3))</f>
        <v/>
      </c>
      <c r="G1428">
        <f>IF($B1428="",0,IFERROR(IF(OR(C1428&lt;&gt;0,D1428&lt;&gt;0,E1428&lt;&gt;0,F1428&lt;&gt;0),1,0),1))</f>
        <v>0</v>
      </c>
      <c r="H1428" t="str">
        <f>IF(OR(G1428=0,E1428=0),"",C1428/E1428)</f>
        <v/>
      </c>
      <c r="I1428" t="str">
        <f>IF(OR(G1428=0,F1428=0),"",D1428/F1428)</f>
        <v/>
      </c>
      <c r="J1428" t="str">
        <f>IF(OR(H1428="",I1428=""),"",IF(H1428=0,"",I1428/H1428-1))</f>
        <v/>
      </c>
      <c r="K1428" t="str">
        <f>IF($B1428="","",IFERROR(IF(G1428=0,-2E+300,CHOOSE(sortIdx,ROUND(D1428,0),IF(J1428="",-1E+300,ROUND(-J1428,6)),IF(J1428="",-1E+300,ROUND(J1428,6)))),-1.5E+300))</f>
        <v/>
      </c>
      <c r="L1428" t="str">
        <f>IF(K1428="","",RANK(K1428,$K$2:$K$3001,0)+COUNTIF($K$2:K1428,K1428)-1)</f>
        <v/>
      </c>
    </row>
    <row r="1429">
      <c r="B1429" t="str">
        <f>IFERROR(IF(A1429="","","="&amp;SUBSTITUTE(SUBSTITUTE(SUBSTITUTE(A1429,"~","~~"),"*","~*"),"?","~?")),"")</f>
        <v/>
      </c>
      <c r="C1429" t="str">
        <f>IF($B1429="","",SUMIFS(dAmt,dCust,$B1429,dPer,"&gt;="&amp;pyFrom,dPer,"&lt;="&amp;pyTo,dAmt,"&gt;-1E+300",dFlt1,critFlt1,dFlt2,critFlt2,dFlt3,critFlt3))</f>
        <v/>
      </c>
      <c r="D1429" t="str">
        <f>IF($B1429="","",SUMIFS(dAmt,dCust,$B1429,dPer,"&gt;="&amp;cyFrom,dPer,"&lt;="&amp;cyTo,dAmt,"&gt;-1E+300",dFlt1,critFlt1,dFlt2,critFlt2,dFlt3,critFlt3))</f>
        <v/>
      </c>
      <c r="E1429" t="str">
        <f>IF($B1429="","",SUMIFS(dQty,dCust,$B1429,dPer,"&gt;="&amp;pyFrom,dPer,"&lt;="&amp;pyTo,dQty,"&gt;-1E+300",dFlt1,critFlt1,dFlt2,critFlt2,dFlt3,critFlt3))</f>
        <v/>
      </c>
      <c r="F1429" t="str">
        <f>IF($B1429="","",SUMIFS(dQty,dCust,$B1429,dPer,"&gt;="&amp;cyFrom,dPer,"&lt;="&amp;cyTo,dQty,"&gt;-1E+300",dFlt1,critFlt1,dFlt2,critFlt2,dFlt3,critFlt3))</f>
        <v/>
      </c>
      <c r="G1429">
        <f>IF($B1429="",0,IFERROR(IF(OR(C1429&lt;&gt;0,D1429&lt;&gt;0,E1429&lt;&gt;0,F1429&lt;&gt;0),1,0),1))</f>
        <v>0</v>
      </c>
      <c r="H1429" t="str">
        <f>IF(OR(G1429=0,E1429=0),"",C1429/E1429)</f>
        <v/>
      </c>
      <c r="I1429" t="str">
        <f>IF(OR(G1429=0,F1429=0),"",D1429/F1429)</f>
        <v/>
      </c>
      <c r="J1429" t="str">
        <f>IF(OR(H1429="",I1429=""),"",IF(H1429=0,"",I1429/H1429-1))</f>
        <v/>
      </c>
      <c r="K1429" t="str">
        <f>IF($B1429="","",IFERROR(IF(G1429=0,-2E+300,CHOOSE(sortIdx,ROUND(D1429,0),IF(J1429="",-1E+300,ROUND(-J1429,6)),IF(J1429="",-1E+300,ROUND(J1429,6)))),-1.5E+300))</f>
        <v/>
      </c>
      <c r="L1429" t="str">
        <f>IF(K1429="","",RANK(K1429,$K$2:$K$3001,0)+COUNTIF($K$2:K1429,K1429)-1)</f>
        <v/>
      </c>
    </row>
    <row r="1430">
      <c r="B1430" t="str">
        <f>IFERROR(IF(A1430="","","="&amp;SUBSTITUTE(SUBSTITUTE(SUBSTITUTE(A1430,"~","~~"),"*","~*"),"?","~?")),"")</f>
        <v/>
      </c>
      <c r="C1430" t="str">
        <f>IF($B1430="","",SUMIFS(dAmt,dCust,$B1430,dPer,"&gt;="&amp;pyFrom,dPer,"&lt;="&amp;pyTo,dAmt,"&gt;-1E+300",dFlt1,critFlt1,dFlt2,critFlt2,dFlt3,critFlt3))</f>
        <v/>
      </c>
      <c r="D1430" t="str">
        <f>IF($B1430="","",SUMIFS(dAmt,dCust,$B1430,dPer,"&gt;="&amp;cyFrom,dPer,"&lt;="&amp;cyTo,dAmt,"&gt;-1E+300",dFlt1,critFlt1,dFlt2,critFlt2,dFlt3,critFlt3))</f>
        <v/>
      </c>
      <c r="E1430" t="str">
        <f>IF($B1430="","",SUMIFS(dQty,dCust,$B1430,dPer,"&gt;="&amp;pyFrom,dPer,"&lt;="&amp;pyTo,dQty,"&gt;-1E+300",dFlt1,critFlt1,dFlt2,critFlt2,dFlt3,critFlt3))</f>
        <v/>
      </c>
      <c r="F1430" t="str">
        <f>IF($B1430="","",SUMIFS(dQty,dCust,$B1430,dPer,"&gt;="&amp;cyFrom,dPer,"&lt;="&amp;cyTo,dQty,"&gt;-1E+300",dFlt1,critFlt1,dFlt2,critFlt2,dFlt3,critFlt3))</f>
        <v/>
      </c>
      <c r="G1430">
        <f>IF($B1430="",0,IFERROR(IF(OR(C1430&lt;&gt;0,D1430&lt;&gt;0,E1430&lt;&gt;0,F1430&lt;&gt;0),1,0),1))</f>
        <v>0</v>
      </c>
      <c r="H1430" t="str">
        <f>IF(OR(G1430=0,E1430=0),"",C1430/E1430)</f>
        <v/>
      </c>
      <c r="I1430" t="str">
        <f>IF(OR(G1430=0,F1430=0),"",D1430/F1430)</f>
        <v/>
      </c>
      <c r="J1430" t="str">
        <f>IF(OR(H1430="",I1430=""),"",IF(H1430=0,"",I1430/H1430-1))</f>
        <v/>
      </c>
      <c r="K1430" t="str">
        <f>IF($B1430="","",IFERROR(IF(G1430=0,-2E+300,CHOOSE(sortIdx,ROUND(D1430,0),IF(J1430="",-1E+300,ROUND(-J1430,6)),IF(J1430="",-1E+300,ROUND(J1430,6)))),-1.5E+300))</f>
        <v/>
      </c>
      <c r="L1430" t="str">
        <f>IF(K1430="","",RANK(K1430,$K$2:$K$3001,0)+COUNTIF($K$2:K1430,K1430)-1)</f>
        <v/>
      </c>
    </row>
    <row r="1431">
      <c r="B1431" t="str">
        <f>IFERROR(IF(A1431="","","="&amp;SUBSTITUTE(SUBSTITUTE(SUBSTITUTE(A1431,"~","~~"),"*","~*"),"?","~?")),"")</f>
        <v/>
      </c>
      <c r="C1431" t="str">
        <f>IF($B1431="","",SUMIFS(dAmt,dCust,$B1431,dPer,"&gt;="&amp;pyFrom,dPer,"&lt;="&amp;pyTo,dAmt,"&gt;-1E+300",dFlt1,critFlt1,dFlt2,critFlt2,dFlt3,critFlt3))</f>
        <v/>
      </c>
      <c r="D1431" t="str">
        <f>IF($B1431="","",SUMIFS(dAmt,dCust,$B1431,dPer,"&gt;="&amp;cyFrom,dPer,"&lt;="&amp;cyTo,dAmt,"&gt;-1E+300",dFlt1,critFlt1,dFlt2,critFlt2,dFlt3,critFlt3))</f>
        <v/>
      </c>
      <c r="E1431" t="str">
        <f>IF($B1431="","",SUMIFS(dQty,dCust,$B1431,dPer,"&gt;="&amp;pyFrom,dPer,"&lt;="&amp;pyTo,dQty,"&gt;-1E+300",dFlt1,critFlt1,dFlt2,critFlt2,dFlt3,critFlt3))</f>
        <v/>
      </c>
      <c r="F1431" t="str">
        <f>IF($B1431="","",SUMIFS(dQty,dCust,$B1431,dPer,"&gt;="&amp;cyFrom,dPer,"&lt;="&amp;cyTo,dQty,"&gt;-1E+300",dFlt1,critFlt1,dFlt2,critFlt2,dFlt3,critFlt3))</f>
        <v/>
      </c>
      <c r="G1431">
        <f>IF($B1431="",0,IFERROR(IF(OR(C1431&lt;&gt;0,D1431&lt;&gt;0,E1431&lt;&gt;0,F1431&lt;&gt;0),1,0),1))</f>
        <v>0</v>
      </c>
      <c r="H1431" t="str">
        <f>IF(OR(G1431=0,E1431=0),"",C1431/E1431)</f>
        <v/>
      </c>
      <c r="I1431" t="str">
        <f>IF(OR(G1431=0,F1431=0),"",D1431/F1431)</f>
        <v/>
      </c>
      <c r="J1431" t="str">
        <f>IF(OR(H1431="",I1431=""),"",IF(H1431=0,"",I1431/H1431-1))</f>
        <v/>
      </c>
      <c r="K1431" t="str">
        <f>IF($B1431="","",IFERROR(IF(G1431=0,-2E+300,CHOOSE(sortIdx,ROUND(D1431,0),IF(J1431="",-1E+300,ROUND(-J1431,6)),IF(J1431="",-1E+300,ROUND(J1431,6)))),-1.5E+300))</f>
        <v/>
      </c>
      <c r="L1431" t="str">
        <f>IF(K1431="","",RANK(K1431,$K$2:$K$3001,0)+COUNTIF($K$2:K1431,K1431)-1)</f>
        <v/>
      </c>
    </row>
    <row r="1432">
      <c r="B1432" t="str">
        <f>IFERROR(IF(A1432="","","="&amp;SUBSTITUTE(SUBSTITUTE(SUBSTITUTE(A1432,"~","~~"),"*","~*"),"?","~?")),"")</f>
        <v/>
      </c>
      <c r="C1432" t="str">
        <f>IF($B1432="","",SUMIFS(dAmt,dCust,$B1432,dPer,"&gt;="&amp;pyFrom,dPer,"&lt;="&amp;pyTo,dAmt,"&gt;-1E+300",dFlt1,critFlt1,dFlt2,critFlt2,dFlt3,critFlt3))</f>
        <v/>
      </c>
      <c r="D1432" t="str">
        <f>IF($B1432="","",SUMIFS(dAmt,dCust,$B1432,dPer,"&gt;="&amp;cyFrom,dPer,"&lt;="&amp;cyTo,dAmt,"&gt;-1E+300",dFlt1,critFlt1,dFlt2,critFlt2,dFlt3,critFlt3))</f>
        <v/>
      </c>
      <c r="E1432" t="str">
        <f>IF($B1432="","",SUMIFS(dQty,dCust,$B1432,dPer,"&gt;="&amp;pyFrom,dPer,"&lt;="&amp;pyTo,dQty,"&gt;-1E+300",dFlt1,critFlt1,dFlt2,critFlt2,dFlt3,critFlt3))</f>
        <v/>
      </c>
      <c r="F1432" t="str">
        <f>IF($B1432="","",SUMIFS(dQty,dCust,$B1432,dPer,"&gt;="&amp;cyFrom,dPer,"&lt;="&amp;cyTo,dQty,"&gt;-1E+300",dFlt1,critFlt1,dFlt2,critFlt2,dFlt3,critFlt3))</f>
        <v/>
      </c>
      <c r="G1432">
        <f>IF($B1432="",0,IFERROR(IF(OR(C1432&lt;&gt;0,D1432&lt;&gt;0,E1432&lt;&gt;0,F1432&lt;&gt;0),1,0),1))</f>
        <v>0</v>
      </c>
      <c r="H1432" t="str">
        <f>IF(OR(G1432=0,E1432=0),"",C1432/E1432)</f>
        <v/>
      </c>
      <c r="I1432" t="str">
        <f>IF(OR(G1432=0,F1432=0),"",D1432/F1432)</f>
        <v/>
      </c>
      <c r="J1432" t="str">
        <f>IF(OR(H1432="",I1432=""),"",IF(H1432=0,"",I1432/H1432-1))</f>
        <v/>
      </c>
      <c r="K1432" t="str">
        <f>IF($B1432="","",IFERROR(IF(G1432=0,-2E+300,CHOOSE(sortIdx,ROUND(D1432,0),IF(J1432="",-1E+300,ROUND(-J1432,6)),IF(J1432="",-1E+300,ROUND(J1432,6)))),-1.5E+300))</f>
        <v/>
      </c>
      <c r="L1432" t="str">
        <f>IF(K1432="","",RANK(K1432,$K$2:$K$3001,0)+COUNTIF($K$2:K1432,K1432)-1)</f>
        <v/>
      </c>
    </row>
    <row r="1433">
      <c r="B1433" t="str">
        <f>IFERROR(IF(A1433="","","="&amp;SUBSTITUTE(SUBSTITUTE(SUBSTITUTE(A1433,"~","~~"),"*","~*"),"?","~?")),"")</f>
        <v/>
      </c>
      <c r="C1433" t="str">
        <f>IF($B1433="","",SUMIFS(dAmt,dCust,$B1433,dPer,"&gt;="&amp;pyFrom,dPer,"&lt;="&amp;pyTo,dAmt,"&gt;-1E+300",dFlt1,critFlt1,dFlt2,critFlt2,dFlt3,critFlt3))</f>
        <v/>
      </c>
      <c r="D1433" t="str">
        <f>IF($B1433="","",SUMIFS(dAmt,dCust,$B1433,dPer,"&gt;="&amp;cyFrom,dPer,"&lt;="&amp;cyTo,dAmt,"&gt;-1E+300",dFlt1,critFlt1,dFlt2,critFlt2,dFlt3,critFlt3))</f>
        <v/>
      </c>
      <c r="E1433" t="str">
        <f>IF($B1433="","",SUMIFS(dQty,dCust,$B1433,dPer,"&gt;="&amp;pyFrom,dPer,"&lt;="&amp;pyTo,dQty,"&gt;-1E+300",dFlt1,critFlt1,dFlt2,critFlt2,dFlt3,critFlt3))</f>
        <v/>
      </c>
      <c r="F1433" t="str">
        <f>IF($B1433="","",SUMIFS(dQty,dCust,$B1433,dPer,"&gt;="&amp;cyFrom,dPer,"&lt;="&amp;cyTo,dQty,"&gt;-1E+300",dFlt1,critFlt1,dFlt2,critFlt2,dFlt3,critFlt3))</f>
        <v/>
      </c>
      <c r="G1433">
        <f>IF($B1433="",0,IFERROR(IF(OR(C1433&lt;&gt;0,D1433&lt;&gt;0,E1433&lt;&gt;0,F1433&lt;&gt;0),1,0),1))</f>
        <v>0</v>
      </c>
      <c r="H1433" t="str">
        <f>IF(OR(G1433=0,E1433=0),"",C1433/E1433)</f>
        <v/>
      </c>
      <c r="I1433" t="str">
        <f>IF(OR(G1433=0,F1433=0),"",D1433/F1433)</f>
        <v/>
      </c>
      <c r="J1433" t="str">
        <f>IF(OR(H1433="",I1433=""),"",IF(H1433=0,"",I1433/H1433-1))</f>
        <v/>
      </c>
      <c r="K1433" t="str">
        <f>IF($B1433="","",IFERROR(IF(G1433=0,-2E+300,CHOOSE(sortIdx,ROUND(D1433,0),IF(J1433="",-1E+300,ROUND(-J1433,6)),IF(J1433="",-1E+300,ROUND(J1433,6)))),-1.5E+300))</f>
        <v/>
      </c>
      <c r="L1433" t="str">
        <f>IF(K1433="","",RANK(K1433,$K$2:$K$3001,0)+COUNTIF($K$2:K1433,K1433)-1)</f>
        <v/>
      </c>
    </row>
    <row r="1434">
      <c r="B1434" t="str">
        <f>IFERROR(IF(A1434="","","="&amp;SUBSTITUTE(SUBSTITUTE(SUBSTITUTE(A1434,"~","~~"),"*","~*"),"?","~?")),"")</f>
        <v/>
      </c>
      <c r="C1434" t="str">
        <f>IF($B1434="","",SUMIFS(dAmt,dCust,$B1434,dPer,"&gt;="&amp;pyFrom,dPer,"&lt;="&amp;pyTo,dAmt,"&gt;-1E+300",dFlt1,critFlt1,dFlt2,critFlt2,dFlt3,critFlt3))</f>
        <v/>
      </c>
      <c r="D1434" t="str">
        <f>IF($B1434="","",SUMIFS(dAmt,dCust,$B1434,dPer,"&gt;="&amp;cyFrom,dPer,"&lt;="&amp;cyTo,dAmt,"&gt;-1E+300",dFlt1,critFlt1,dFlt2,critFlt2,dFlt3,critFlt3))</f>
        <v/>
      </c>
      <c r="E1434" t="str">
        <f>IF($B1434="","",SUMIFS(dQty,dCust,$B1434,dPer,"&gt;="&amp;pyFrom,dPer,"&lt;="&amp;pyTo,dQty,"&gt;-1E+300",dFlt1,critFlt1,dFlt2,critFlt2,dFlt3,critFlt3))</f>
        <v/>
      </c>
      <c r="F1434" t="str">
        <f>IF($B1434="","",SUMIFS(dQty,dCust,$B1434,dPer,"&gt;="&amp;cyFrom,dPer,"&lt;="&amp;cyTo,dQty,"&gt;-1E+300",dFlt1,critFlt1,dFlt2,critFlt2,dFlt3,critFlt3))</f>
        <v/>
      </c>
      <c r="G1434">
        <f>IF($B1434="",0,IFERROR(IF(OR(C1434&lt;&gt;0,D1434&lt;&gt;0,E1434&lt;&gt;0,F1434&lt;&gt;0),1,0),1))</f>
        <v>0</v>
      </c>
      <c r="H1434" t="str">
        <f>IF(OR(G1434=0,E1434=0),"",C1434/E1434)</f>
        <v/>
      </c>
      <c r="I1434" t="str">
        <f>IF(OR(G1434=0,F1434=0),"",D1434/F1434)</f>
        <v/>
      </c>
      <c r="J1434" t="str">
        <f>IF(OR(H1434="",I1434=""),"",IF(H1434=0,"",I1434/H1434-1))</f>
        <v/>
      </c>
      <c r="K1434" t="str">
        <f>IF($B1434="","",IFERROR(IF(G1434=0,-2E+300,CHOOSE(sortIdx,ROUND(D1434,0),IF(J1434="",-1E+300,ROUND(-J1434,6)),IF(J1434="",-1E+300,ROUND(J1434,6)))),-1.5E+300))</f>
        <v/>
      </c>
      <c r="L1434" t="str">
        <f>IF(K1434="","",RANK(K1434,$K$2:$K$3001,0)+COUNTIF($K$2:K1434,K1434)-1)</f>
        <v/>
      </c>
    </row>
    <row r="1435">
      <c r="B1435" t="str">
        <f>IFERROR(IF(A1435="","","="&amp;SUBSTITUTE(SUBSTITUTE(SUBSTITUTE(A1435,"~","~~"),"*","~*"),"?","~?")),"")</f>
        <v/>
      </c>
      <c r="C1435" t="str">
        <f>IF($B1435="","",SUMIFS(dAmt,dCust,$B1435,dPer,"&gt;="&amp;pyFrom,dPer,"&lt;="&amp;pyTo,dAmt,"&gt;-1E+300",dFlt1,critFlt1,dFlt2,critFlt2,dFlt3,critFlt3))</f>
        <v/>
      </c>
      <c r="D1435" t="str">
        <f>IF($B1435="","",SUMIFS(dAmt,dCust,$B1435,dPer,"&gt;="&amp;cyFrom,dPer,"&lt;="&amp;cyTo,dAmt,"&gt;-1E+300",dFlt1,critFlt1,dFlt2,critFlt2,dFlt3,critFlt3))</f>
        <v/>
      </c>
      <c r="E1435" t="str">
        <f>IF($B1435="","",SUMIFS(dQty,dCust,$B1435,dPer,"&gt;="&amp;pyFrom,dPer,"&lt;="&amp;pyTo,dQty,"&gt;-1E+300",dFlt1,critFlt1,dFlt2,critFlt2,dFlt3,critFlt3))</f>
        <v/>
      </c>
      <c r="F1435" t="str">
        <f>IF($B1435="","",SUMIFS(dQty,dCust,$B1435,dPer,"&gt;="&amp;cyFrom,dPer,"&lt;="&amp;cyTo,dQty,"&gt;-1E+300",dFlt1,critFlt1,dFlt2,critFlt2,dFlt3,critFlt3))</f>
        <v/>
      </c>
      <c r="G1435">
        <f>IF($B1435="",0,IFERROR(IF(OR(C1435&lt;&gt;0,D1435&lt;&gt;0,E1435&lt;&gt;0,F1435&lt;&gt;0),1,0),1))</f>
        <v>0</v>
      </c>
      <c r="H1435" t="str">
        <f>IF(OR(G1435=0,E1435=0),"",C1435/E1435)</f>
        <v/>
      </c>
      <c r="I1435" t="str">
        <f>IF(OR(G1435=0,F1435=0),"",D1435/F1435)</f>
        <v/>
      </c>
      <c r="J1435" t="str">
        <f>IF(OR(H1435="",I1435=""),"",IF(H1435=0,"",I1435/H1435-1))</f>
        <v/>
      </c>
      <c r="K1435" t="str">
        <f>IF($B1435="","",IFERROR(IF(G1435=0,-2E+300,CHOOSE(sortIdx,ROUND(D1435,0),IF(J1435="",-1E+300,ROUND(-J1435,6)),IF(J1435="",-1E+300,ROUND(J1435,6)))),-1.5E+300))</f>
        <v/>
      </c>
      <c r="L1435" t="str">
        <f>IF(K1435="","",RANK(K1435,$K$2:$K$3001,0)+COUNTIF($K$2:K1435,K1435)-1)</f>
        <v/>
      </c>
    </row>
    <row r="1436">
      <c r="B1436" t="str">
        <f>IFERROR(IF(A1436="","","="&amp;SUBSTITUTE(SUBSTITUTE(SUBSTITUTE(A1436,"~","~~"),"*","~*"),"?","~?")),"")</f>
        <v/>
      </c>
      <c r="C1436" t="str">
        <f>IF($B1436="","",SUMIFS(dAmt,dCust,$B1436,dPer,"&gt;="&amp;pyFrom,dPer,"&lt;="&amp;pyTo,dAmt,"&gt;-1E+300",dFlt1,critFlt1,dFlt2,critFlt2,dFlt3,critFlt3))</f>
        <v/>
      </c>
      <c r="D1436" t="str">
        <f>IF($B1436="","",SUMIFS(dAmt,dCust,$B1436,dPer,"&gt;="&amp;cyFrom,dPer,"&lt;="&amp;cyTo,dAmt,"&gt;-1E+300",dFlt1,critFlt1,dFlt2,critFlt2,dFlt3,critFlt3))</f>
        <v/>
      </c>
      <c r="E1436" t="str">
        <f>IF($B1436="","",SUMIFS(dQty,dCust,$B1436,dPer,"&gt;="&amp;pyFrom,dPer,"&lt;="&amp;pyTo,dQty,"&gt;-1E+300",dFlt1,critFlt1,dFlt2,critFlt2,dFlt3,critFlt3))</f>
        <v/>
      </c>
      <c r="F1436" t="str">
        <f>IF($B1436="","",SUMIFS(dQty,dCust,$B1436,dPer,"&gt;="&amp;cyFrom,dPer,"&lt;="&amp;cyTo,dQty,"&gt;-1E+300",dFlt1,critFlt1,dFlt2,critFlt2,dFlt3,critFlt3))</f>
        <v/>
      </c>
      <c r="G1436">
        <f>IF($B1436="",0,IFERROR(IF(OR(C1436&lt;&gt;0,D1436&lt;&gt;0,E1436&lt;&gt;0,F1436&lt;&gt;0),1,0),1))</f>
        <v>0</v>
      </c>
      <c r="H1436" t="str">
        <f>IF(OR(G1436=0,E1436=0),"",C1436/E1436)</f>
        <v/>
      </c>
      <c r="I1436" t="str">
        <f>IF(OR(G1436=0,F1436=0),"",D1436/F1436)</f>
        <v/>
      </c>
      <c r="J1436" t="str">
        <f>IF(OR(H1436="",I1436=""),"",IF(H1436=0,"",I1436/H1436-1))</f>
        <v/>
      </c>
      <c r="K1436" t="str">
        <f>IF($B1436="","",IFERROR(IF(G1436=0,-2E+300,CHOOSE(sortIdx,ROUND(D1436,0),IF(J1436="",-1E+300,ROUND(-J1436,6)),IF(J1436="",-1E+300,ROUND(J1436,6)))),-1.5E+300))</f>
        <v/>
      </c>
      <c r="L1436" t="str">
        <f>IF(K1436="","",RANK(K1436,$K$2:$K$3001,0)+COUNTIF($K$2:K1436,K1436)-1)</f>
        <v/>
      </c>
    </row>
    <row r="1437">
      <c r="B1437" t="str">
        <f>IFERROR(IF(A1437="","","="&amp;SUBSTITUTE(SUBSTITUTE(SUBSTITUTE(A1437,"~","~~"),"*","~*"),"?","~?")),"")</f>
        <v/>
      </c>
      <c r="C1437" t="str">
        <f>IF($B1437="","",SUMIFS(dAmt,dCust,$B1437,dPer,"&gt;="&amp;pyFrom,dPer,"&lt;="&amp;pyTo,dAmt,"&gt;-1E+300",dFlt1,critFlt1,dFlt2,critFlt2,dFlt3,critFlt3))</f>
        <v/>
      </c>
      <c r="D1437" t="str">
        <f>IF($B1437="","",SUMIFS(dAmt,dCust,$B1437,dPer,"&gt;="&amp;cyFrom,dPer,"&lt;="&amp;cyTo,dAmt,"&gt;-1E+300",dFlt1,critFlt1,dFlt2,critFlt2,dFlt3,critFlt3))</f>
        <v/>
      </c>
      <c r="E1437" t="str">
        <f>IF($B1437="","",SUMIFS(dQty,dCust,$B1437,dPer,"&gt;="&amp;pyFrom,dPer,"&lt;="&amp;pyTo,dQty,"&gt;-1E+300",dFlt1,critFlt1,dFlt2,critFlt2,dFlt3,critFlt3))</f>
        <v/>
      </c>
      <c r="F1437" t="str">
        <f>IF($B1437="","",SUMIFS(dQty,dCust,$B1437,dPer,"&gt;="&amp;cyFrom,dPer,"&lt;="&amp;cyTo,dQty,"&gt;-1E+300",dFlt1,critFlt1,dFlt2,critFlt2,dFlt3,critFlt3))</f>
        <v/>
      </c>
      <c r="G1437">
        <f>IF($B1437="",0,IFERROR(IF(OR(C1437&lt;&gt;0,D1437&lt;&gt;0,E1437&lt;&gt;0,F1437&lt;&gt;0),1,0),1))</f>
        <v>0</v>
      </c>
      <c r="H1437" t="str">
        <f>IF(OR(G1437=0,E1437=0),"",C1437/E1437)</f>
        <v/>
      </c>
      <c r="I1437" t="str">
        <f>IF(OR(G1437=0,F1437=0),"",D1437/F1437)</f>
        <v/>
      </c>
      <c r="J1437" t="str">
        <f>IF(OR(H1437="",I1437=""),"",IF(H1437=0,"",I1437/H1437-1))</f>
        <v/>
      </c>
      <c r="K1437" t="str">
        <f>IF($B1437="","",IFERROR(IF(G1437=0,-2E+300,CHOOSE(sortIdx,ROUND(D1437,0),IF(J1437="",-1E+300,ROUND(-J1437,6)),IF(J1437="",-1E+300,ROUND(J1437,6)))),-1.5E+300))</f>
        <v/>
      </c>
      <c r="L1437" t="str">
        <f>IF(K1437="","",RANK(K1437,$K$2:$K$3001,0)+COUNTIF($K$2:K1437,K1437)-1)</f>
        <v/>
      </c>
    </row>
    <row r="1438">
      <c r="B1438" t="str">
        <f>IFERROR(IF(A1438="","","="&amp;SUBSTITUTE(SUBSTITUTE(SUBSTITUTE(A1438,"~","~~"),"*","~*"),"?","~?")),"")</f>
        <v/>
      </c>
      <c r="C1438" t="str">
        <f>IF($B1438="","",SUMIFS(dAmt,dCust,$B1438,dPer,"&gt;="&amp;pyFrom,dPer,"&lt;="&amp;pyTo,dAmt,"&gt;-1E+300",dFlt1,critFlt1,dFlt2,critFlt2,dFlt3,critFlt3))</f>
        <v/>
      </c>
      <c r="D1438" t="str">
        <f>IF($B1438="","",SUMIFS(dAmt,dCust,$B1438,dPer,"&gt;="&amp;cyFrom,dPer,"&lt;="&amp;cyTo,dAmt,"&gt;-1E+300",dFlt1,critFlt1,dFlt2,critFlt2,dFlt3,critFlt3))</f>
        <v/>
      </c>
      <c r="E1438" t="str">
        <f>IF($B1438="","",SUMIFS(dQty,dCust,$B1438,dPer,"&gt;="&amp;pyFrom,dPer,"&lt;="&amp;pyTo,dQty,"&gt;-1E+300",dFlt1,critFlt1,dFlt2,critFlt2,dFlt3,critFlt3))</f>
        <v/>
      </c>
      <c r="F1438" t="str">
        <f>IF($B1438="","",SUMIFS(dQty,dCust,$B1438,dPer,"&gt;="&amp;cyFrom,dPer,"&lt;="&amp;cyTo,dQty,"&gt;-1E+300",dFlt1,critFlt1,dFlt2,critFlt2,dFlt3,critFlt3))</f>
        <v/>
      </c>
      <c r="G1438">
        <f>IF($B1438="",0,IFERROR(IF(OR(C1438&lt;&gt;0,D1438&lt;&gt;0,E1438&lt;&gt;0,F1438&lt;&gt;0),1,0),1))</f>
        <v>0</v>
      </c>
      <c r="H1438" t="str">
        <f>IF(OR(G1438=0,E1438=0),"",C1438/E1438)</f>
        <v/>
      </c>
      <c r="I1438" t="str">
        <f>IF(OR(G1438=0,F1438=0),"",D1438/F1438)</f>
        <v/>
      </c>
      <c r="J1438" t="str">
        <f>IF(OR(H1438="",I1438=""),"",IF(H1438=0,"",I1438/H1438-1))</f>
        <v/>
      </c>
      <c r="K1438" t="str">
        <f>IF($B1438="","",IFERROR(IF(G1438=0,-2E+300,CHOOSE(sortIdx,ROUND(D1438,0),IF(J1438="",-1E+300,ROUND(-J1438,6)),IF(J1438="",-1E+300,ROUND(J1438,6)))),-1.5E+300))</f>
        <v/>
      </c>
      <c r="L1438" t="str">
        <f>IF(K1438="","",RANK(K1438,$K$2:$K$3001,0)+COUNTIF($K$2:K1438,K1438)-1)</f>
        <v/>
      </c>
    </row>
    <row r="1439">
      <c r="B1439" t="str">
        <f>IFERROR(IF(A1439="","","="&amp;SUBSTITUTE(SUBSTITUTE(SUBSTITUTE(A1439,"~","~~"),"*","~*"),"?","~?")),"")</f>
        <v/>
      </c>
      <c r="C1439" t="str">
        <f>IF($B1439="","",SUMIFS(dAmt,dCust,$B1439,dPer,"&gt;="&amp;pyFrom,dPer,"&lt;="&amp;pyTo,dAmt,"&gt;-1E+300",dFlt1,critFlt1,dFlt2,critFlt2,dFlt3,critFlt3))</f>
        <v/>
      </c>
      <c r="D1439" t="str">
        <f>IF($B1439="","",SUMIFS(dAmt,dCust,$B1439,dPer,"&gt;="&amp;cyFrom,dPer,"&lt;="&amp;cyTo,dAmt,"&gt;-1E+300",dFlt1,critFlt1,dFlt2,critFlt2,dFlt3,critFlt3))</f>
        <v/>
      </c>
      <c r="E1439" t="str">
        <f>IF($B1439="","",SUMIFS(dQty,dCust,$B1439,dPer,"&gt;="&amp;pyFrom,dPer,"&lt;="&amp;pyTo,dQty,"&gt;-1E+300",dFlt1,critFlt1,dFlt2,critFlt2,dFlt3,critFlt3))</f>
        <v/>
      </c>
      <c r="F1439" t="str">
        <f>IF($B1439="","",SUMIFS(dQty,dCust,$B1439,dPer,"&gt;="&amp;cyFrom,dPer,"&lt;="&amp;cyTo,dQty,"&gt;-1E+300",dFlt1,critFlt1,dFlt2,critFlt2,dFlt3,critFlt3))</f>
        <v/>
      </c>
      <c r="G1439">
        <f>IF($B1439="",0,IFERROR(IF(OR(C1439&lt;&gt;0,D1439&lt;&gt;0,E1439&lt;&gt;0,F1439&lt;&gt;0),1,0),1))</f>
        <v>0</v>
      </c>
      <c r="H1439" t="str">
        <f>IF(OR(G1439=0,E1439=0),"",C1439/E1439)</f>
        <v/>
      </c>
      <c r="I1439" t="str">
        <f>IF(OR(G1439=0,F1439=0),"",D1439/F1439)</f>
        <v/>
      </c>
      <c r="J1439" t="str">
        <f>IF(OR(H1439="",I1439=""),"",IF(H1439=0,"",I1439/H1439-1))</f>
        <v/>
      </c>
      <c r="K1439" t="str">
        <f>IF($B1439="","",IFERROR(IF(G1439=0,-2E+300,CHOOSE(sortIdx,ROUND(D1439,0),IF(J1439="",-1E+300,ROUND(-J1439,6)),IF(J1439="",-1E+300,ROUND(J1439,6)))),-1.5E+300))</f>
        <v/>
      </c>
      <c r="L1439" t="str">
        <f>IF(K1439="","",RANK(K1439,$K$2:$K$3001,0)+COUNTIF($K$2:K1439,K1439)-1)</f>
        <v/>
      </c>
    </row>
    <row r="1440">
      <c r="B1440" t="str">
        <f>IFERROR(IF(A1440="","","="&amp;SUBSTITUTE(SUBSTITUTE(SUBSTITUTE(A1440,"~","~~"),"*","~*"),"?","~?")),"")</f>
        <v/>
      </c>
      <c r="C1440" t="str">
        <f>IF($B1440="","",SUMIFS(dAmt,dCust,$B1440,dPer,"&gt;="&amp;pyFrom,dPer,"&lt;="&amp;pyTo,dAmt,"&gt;-1E+300",dFlt1,critFlt1,dFlt2,critFlt2,dFlt3,critFlt3))</f>
        <v/>
      </c>
      <c r="D1440" t="str">
        <f>IF($B1440="","",SUMIFS(dAmt,dCust,$B1440,dPer,"&gt;="&amp;cyFrom,dPer,"&lt;="&amp;cyTo,dAmt,"&gt;-1E+300",dFlt1,critFlt1,dFlt2,critFlt2,dFlt3,critFlt3))</f>
        <v/>
      </c>
      <c r="E1440" t="str">
        <f>IF($B1440="","",SUMIFS(dQty,dCust,$B1440,dPer,"&gt;="&amp;pyFrom,dPer,"&lt;="&amp;pyTo,dQty,"&gt;-1E+300",dFlt1,critFlt1,dFlt2,critFlt2,dFlt3,critFlt3))</f>
        <v/>
      </c>
      <c r="F1440" t="str">
        <f>IF($B1440="","",SUMIFS(dQty,dCust,$B1440,dPer,"&gt;="&amp;cyFrom,dPer,"&lt;="&amp;cyTo,dQty,"&gt;-1E+300",dFlt1,critFlt1,dFlt2,critFlt2,dFlt3,critFlt3))</f>
        <v/>
      </c>
      <c r="G1440">
        <f>IF($B1440="",0,IFERROR(IF(OR(C1440&lt;&gt;0,D1440&lt;&gt;0,E1440&lt;&gt;0,F1440&lt;&gt;0),1,0),1))</f>
        <v>0</v>
      </c>
      <c r="H1440" t="str">
        <f>IF(OR(G1440=0,E1440=0),"",C1440/E1440)</f>
        <v/>
      </c>
      <c r="I1440" t="str">
        <f>IF(OR(G1440=0,F1440=0),"",D1440/F1440)</f>
        <v/>
      </c>
      <c r="J1440" t="str">
        <f>IF(OR(H1440="",I1440=""),"",IF(H1440=0,"",I1440/H1440-1))</f>
        <v/>
      </c>
      <c r="K1440" t="str">
        <f>IF($B1440="","",IFERROR(IF(G1440=0,-2E+300,CHOOSE(sortIdx,ROUND(D1440,0),IF(J1440="",-1E+300,ROUND(-J1440,6)),IF(J1440="",-1E+300,ROUND(J1440,6)))),-1.5E+300))</f>
        <v/>
      </c>
      <c r="L1440" t="str">
        <f>IF(K1440="","",RANK(K1440,$K$2:$K$3001,0)+COUNTIF($K$2:K1440,K1440)-1)</f>
        <v/>
      </c>
    </row>
    <row r="1441">
      <c r="B1441" t="str">
        <f>IFERROR(IF(A1441="","","="&amp;SUBSTITUTE(SUBSTITUTE(SUBSTITUTE(A1441,"~","~~"),"*","~*"),"?","~?")),"")</f>
        <v/>
      </c>
      <c r="C1441" t="str">
        <f>IF($B1441="","",SUMIFS(dAmt,dCust,$B1441,dPer,"&gt;="&amp;pyFrom,dPer,"&lt;="&amp;pyTo,dAmt,"&gt;-1E+300",dFlt1,critFlt1,dFlt2,critFlt2,dFlt3,critFlt3))</f>
        <v/>
      </c>
      <c r="D1441" t="str">
        <f>IF($B1441="","",SUMIFS(dAmt,dCust,$B1441,dPer,"&gt;="&amp;cyFrom,dPer,"&lt;="&amp;cyTo,dAmt,"&gt;-1E+300",dFlt1,critFlt1,dFlt2,critFlt2,dFlt3,critFlt3))</f>
        <v/>
      </c>
      <c r="E1441" t="str">
        <f>IF($B1441="","",SUMIFS(dQty,dCust,$B1441,dPer,"&gt;="&amp;pyFrom,dPer,"&lt;="&amp;pyTo,dQty,"&gt;-1E+300",dFlt1,critFlt1,dFlt2,critFlt2,dFlt3,critFlt3))</f>
        <v/>
      </c>
      <c r="F1441" t="str">
        <f>IF($B1441="","",SUMIFS(dQty,dCust,$B1441,dPer,"&gt;="&amp;cyFrom,dPer,"&lt;="&amp;cyTo,dQty,"&gt;-1E+300",dFlt1,critFlt1,dFlt2,critFlt2,dFlt3,critFlt3))</f>
        <v/>
      </c>
      <c r="G1441">
        <f>IF($B1441="",0,IFERROR(IF(OR(C1441&lt;&gt;0,D1441&lt;&gt;0,E1441&lt;&gt;0,F1441&lt;&gt;0),1,0),1))</f>
        <v>0</v>
      </c>
      <c r="H1441" t="str">
        <f>IF(OR(G1441=0,E1441=0),"",C1441/E1441)</f>
        <v/>
      </c>
      <c r="I1441" t="str">
        <f>IF(OR(G1441=0,F1441=0),"",D1441/F1441)</f>
        <v/>
      </c>
      <c r="J1441" t="str">
        <f>IF(OR(H1441="",I1441=""),"",IF(H1441=0,"",I1441/H1441-1))</f>
        <v/>
      </c>
      <c r="K1441" t="str">
        <f>IF($B1441="","",IFERROR(IF(G1441=0,-2E+300,CHOOSE(sortIdx,ROUND(D1441,0),IF(J1441="",-1E+300,ROUND(-J1441,6)),IF(J1441="",-1E+300,ROUND(J1441,6)))),-1.5E+300))</f>
        <v/>
      </c>
      <c r="L1441" t="str">
        <f>IF(K1441="","",RANK(K1441,$K$2:$K$3001,0)+COUNTIF($K$2:K1441,K1441)-1)</f>
        <v/>
      </c>
    </row>
    <row r="1442">
      <c r="B1442" t="str">
        <f>IFERROR(IF(A1442="","","="&amp;SUBSTITUTE(SUBSTITUTE(SUBSTITUTE(A1442,"~","~~"),"*","~*"),"?","~?")),"")</f>
        <v/>
      </c>
      <c r="C1442" t="str">
        <f>IF($B1442="","",SUMIFS(dAmt,dCust,$B1442,dPer,"&gt;="&amp;pyFrom,dPer,"&lt;="&amp;pyTo,dAmt,"&gt;-1E+300",dFlt1,critFlt1,dFlt2,critFlt2,dFlt3,critFlt3))</f>
        <v/>
      </c>
      <c r="D1442" t="str">
        <f>IF($B1442="","",SUMIFS(dAmt,dCust,$B1442,dPer,"&gt;="&amp;cyFrom,dPer,"&lt;="&amp;cyTo,dAmt,"&gt;-1E+300",dFlt1,critFlt1,dFlt2,critFlt2,dFlt3,critFlt3))</f>
        <v/>
      </c>
      <c r="E1442" t="str">
        <f>IF($B1442="","",SUMIFS(dQty,dCust,$B1442,dPer,"&gt;="&amp;pyFrom,dPer,"&lt;="&amp;pyTo,dQty,"&gt;-1E+300",dFlt1,critFlt1,dFlt2,critFlt2,dFlt3,critFlt3))</f>
        <v/>
      </c>
      <c r="F1442" t="str">
        <f>IF($B1442="","",SUMIFS(dQty,dCust,$B1442,dPer,"&gt;="&amp;cyFrom,dPer,"&lt;="&amp;cyTo,dQty,"&gt;-1E+300",dFlt1,critFlt1,dFlt2,critFlt2,dFlt3,critFlt3))</f>
        <v/>
      </c>
      <c r="G1442">
        <f>IF($B1442="",0,IFERROR(IF(OR(C1442&lt;&gt;0,D1442&lt;&gt;0,E1442&lt;&gt;0,F1442&lt;&gt;0),1,0),1))</f>
        <v>0</v>
      </c>
      <c r="H1442" t="str">
        <f>IF(OR(G1442=0,E1442=0),"",C1442/E1442)</f>
        <v/>
      </c>
      <c r="I1442" t="str">
        <f>IF(OR(G1442=0,F1442=0),"",D1442/F1442)</f>
        <v/>
      </c>
      <c r="J1442" t="str">
        <f>IF(OR(H1442="",I1442=""),"",IF(H1442=0,"",I1442/H1442-1))</f>
        <v/>
      </c>
      <c r="K1442" t="str">
        <f>IF($B1442="","",IFERROR(IF(G1442=0,-2E+300,CHOOSE(sortIdx,ROUND(D1442,0),IF(J1442="",-1E+300,ROUND(-J1442,6)),IF(J1442="",-1E+300,ROUND(J1442,6)))),-1.5E+300))</f>
        <v/>
      </c>
      <c r="L1442" t="str">
        <f>IF(K1442="","",RANK(K1442,$K$2:$K$3001,0)+COUNTIF($K$2:K1442,K1442)-1)</f>
        <v/>
      </c>
    </row>
    <row r="1443">
      <c r="B1443" t="str">
        <f>IFERROR(IF(A1443="","","="&amp;SUBSTITUTE(SUBSTITUTE(SUBSTITUTE(A1443,"~","~~"),"*","~*"),"?","~?")),"")</f>
        <v/>
      </c>
      <c r="C1443" t="str">
        <f>IF($B1443="","",SUMIFS(dAmt,dCust,$B1443,dPer,"&gt;="&amp;pyFrom,dPer,"&lt;="&amp;pyTo,dAmt,"&gt;-1E+300",dFlt1,critFlt1,dFlt2,critFlt2,dFlt3,critFlt3))</f>
        <v/>
      </c>
      <c r="D1443" t="str">
        <f>IF($B1443="","",SUMIFS(dAmt,dCust,$B1443,dPer,"&gt;="&amp;cyFrom,dPer,"&lt;="&amp;cyTo,dAmt,"&gt;-1E+300",dFlt1,critFlt1,dFlt2,critFlt2,dFlt3,critFlt3))</f>
        <v/>
      </c>
      <c r="E1443" t="str">
        <f>IF($B1443="","",SUMIFS(dQty,dCust,$B1443,dPer,"&gt;="&amp;pyFrom,dPer,"&lt;="&amp;pyTo,dQty,"&gt;-1E+300",dFlt1,critFlt1,dFlt2,critFlt2,dFlt3,critFlt3))</f>
        <v/>
      </c>
      <c r="F1443" t="str">
        <f>IF($B1443="","",SUMIFS(dQty,dCust,$B1443,dPer,"&gt;="&amp;cyFrom,dPer,"&lt;="&amp;cyTo,dQty,"&gt;-1E+300",dFlt1,critFlt1,dFlt2,critFlt2,dFlt3,critFlt3))</f>
        <v/>
      </c>
      <c r="G1443">
        <f>IF($B1443="",0,IFERROR(IF(OR(C1443&lt;&gt;0,D1443&lt;&gt;0,E1443&lt;&gt;0,F1443&lt;&gt;0),1,0),1))</f>
        <v>0</v>
      </c>
      <c r="H1443" t="str">
        <f>IF(OR(G1443=0,E1443=0),"",C1443/E1443)</f>
        <v/>
      </c>
      <c r="I1443" t="str">
        <f>IF(OR(G1443=0,F1443=0),"",D1443/F1443)</f>
        <v/>
      </c>
      <c r="J1443" t="str">
        <f>IF(OR(H1443="",I1443=""),"",IF(H1443=0,"",I1443/H1443-1))</f>
        <v/>
      </c>
      <c r="K1443" t="str">
        <f>IF($B1443="","",IFERROR(IF(G1443=0,-2E+300,CHOOSE(sortIdx,ROUND(D1443,0),IF(J1443="",-1E+300,ROUND(-J1443,6)),IF(J1443="",-1E+300,ROUND(J1443,6)))),-1.5E+300))</f>
        <v/>
      </c>
      <c r="L1443" t="str">
        <f>IF(K1443="","",RANK(K1443,$K$2:$K$3001,0)+COUNTIF($K$2:K1443,K1443)-1)</f>
        <v/>
      </c>
    </row>
    <row r="1444">
      <c r="B1444" t="str">
        <f>IFERROR(IF(A1444="","","="&amp;SUBSTITUTE(SUBSTITUTE(SUBSTITUTE(A1444,"~","~~"),"*","~*"),"?","~?")),"")</f>
        <v/>
      </c>
      <c r="C1444" t="str">
        <f>IF($B1444="","",SUMIFS(dAmt,dCust,$B1444,dPer,"&gt;="&amp;pyFrom,dPer,"&lt;="&amp;pyTo,dAmt,"&gt;-1E+300",dFlt1,critFlt1,dFlt2,critFlt2,dFlt3,critFlt3))</f>
        <v/>
      </c>
      <c r="D1444" t="str">
        <f>IF($B1444="","",SUMIFS(dAmt,dCust,$B1444,dPer,"&gt;="&amp;cyFrom,dPer,"&lt;="&amp;cyTo,dAmt,"&gt;-1E+300",dFlt1,critFlt1,dFlt2,critFlt2,dFlt3,critFlt3))</f>
        <v/>
      </c>
      <c r="E1444" t="str">
        <f>IF($B1444="","",SUMIFS(dQty,dCust,$B1444,dPer,"&gt;="&amp;pyFrom,dPer,"&lt;="&amp;pyTo,dQty,"&gt;-1E+300",dFlt1,critFlt1,dFlt2,critFlt2,dFlt3,critFlt3))</f>
        <v/>
      </c>
      <c r="F1444" t="str">
        <f>IF($B1444="","",SUMIFS(dQty,dCust,$B1444,dPer,"&gt;="&amp;cyFrom,dPer,"&lt;="&amp;cyTo,dQty,"&gt;-1E+300",dFlt1,critFlt1,dFlt2,critFlt2,dFlt3,critFlt3))</f>
        <v/>
      </c>
      <c r="G1444">
        <f>IF($B1444="",0,IFERROR(IF(OR(C1444&lt;&gt;0,D1444&lt;&gt;0,E1444&lt;&gt;0,F1444&lt;&gt;0),1,0),1))</f>
        <v>0</v>
      </c>
      <c r="H1444" t="str">
        <f>IF(OR(G1444=0,E1444=0),"",C1444/E1444)</f>
        <v/>
      </c>
      <c r="I1444" t="str">
        <f>IF(OR(G1444=0,F1444=0),"",D1444/F1444)</f>
        <v/>
      </c>
      <c r="J1444" t="str">
        <f>IF(OR(H1444="",I1444=""),"",IF(H1444=0,"",I1444/H1444-1))</f>
        <v/>
      </c>
      <c r="K1444" t="str">
        <f>IF($B1444="","",IFERROR(IF(G1444=0,-2E+300,CHOOSE(sortIdx,ROUND(D1444,0),IF(J1444="",-1E+300,ROUND(-J1444,6)),IF(J1444="",-1E+300,ROUND(J1444,6)))),-1.5E+300))</f>
        <v/>
      </c>
      <c r="L1444" t="str">
        <f>IF(K1444="","",RANK(K1444,$K$2:$K$3001,0)+COUNTIF($K$2:K1444,K1444)-1)</f>
        <v/>
      </c>
    </row>
    <row r="1445">
      <c r="B1445" t="str">
        <f>IFERROR(IF(A1445="","","="&amp;SUBSTITUTE(SUBSTITUTE(SUBSTITUTE(A1445,"~","~~"),"*","~*"),"?","~?")),"")</f>
        <v/>
      </c>
      <c r="C1445" t="str">
        <f>IF($B1445="","",SUMIFS(dAmt,dCust,$B1445,dPer,"&gt;="&amp;pyFrom,dPer,"&lt;="&amp;pyTo,dAmt,"&gt;-1E+300",dFlt1,critFlt1,dFlt2,critFlt2,dFlt3,critFlt3))</f>
        <v/>
      </c>
      <c r="D1445" t="str">
        <f>IF($B1445="","",SUMIFS(dAmt,dCust,$B1445,dPer,"&gt;="&amp;cyFrom,dPer,"&lt;="&amp;cyTo,dAmt,"&gt;-1E+300",dFlt1,critFlt1,dFlt2,critFlt2,dFlt3,critFlt3))</f>
        <v/>
      </c>
      <c r="E1445" t="str">
        <f>IF($B1445="","",SUMIFS(dQty,dCust,$B1445,dPer,"&gt;="&amp;pyFrom,dPer,"&lt;="&amp;pyTo,dQty,"&gt;-1E+300",dFlt1,critFlt1,dFlt2,critFlt2,dFlt3,critFlt3))</f>
        <v/>
      </c>
      <c r="F1445" t="str">
        <f>IF($B1445="","",SUMIFS(dQty,dCust,$B1445,dPer,"&gt;="&amp;cyFrom,dPer,"&lt;="&amp;cyTo,dQty,"&gt;-1E+300",dFlt1,critFlt1,dFlt2,critFlt2,dFlt3,critFlt3))</f>
        <v/>
      </c>
      <c r="G1445">
        <f>IF($B1445="",0,IFERROR(IF(OR(C1445&lt;&gt;0,D1445&lt;&gt;0,E1445&lt;&gt;0,F1445&lt;&gt;0),1,0),1))</f>
        <v>0</v>
      </c>
      <c r="H1445" t="str">
        <f>IF(OR(G1445=0,E1445=0),"",C1445/E1445)</f>
        <v/>
      </c>
      <c r="I1445" t="str">
        <f>IF(OR(G1445=0,F1445=0),"",D1445/F1445)</f>
        <v/>
      </c>
      <c r="J1445" t="str">
        <f>IF(OR(H1445="",I1445=""),"",IF(H1445=0,"",I1445/H1445-1))</f>
        <v/>
      </c>
      <c r="K1445" t="str">
        <f>IF($B1445="","",IFERROR(IF(G1445=0,-2E+300,CHOOSE(sortIdx,ROUND(D1445,0),IF(J1445="",-1E+300,ROUND(-J1445,6)),IF(J1445="",-1E+300,ROUND(J1445,6)))),-1.5E+300))</f>
        <v/>
      </c>
      <c r="L1445" t="str">
        <f>IF(K1445="","",RANK(K1445,$K$2:$K$3001,0)+COUNTIF($K$2:K1445,K1445)-1)</f>
        <v/>
      </c>
    </row>
    <row r="1446">
      <c r="B1446" t="str">
        <f>IFERROR(IF(A1446="","","="&amp;SUBSTITUTE(SUBSTITUTE(SUBSTITUTE(A1446,"~","~~"),"*","~*"),"?","~?")),"")</f>
        <v/>
      </c>
      <c r="C1446" t="str">
        <f>IF($B1446="","",SUMIFS(dAmt,dCust,$B1446,dPer,"&gt;="&amp;pyFrom,dPer,"&lt;="&amp;pyTo,dAmt,"&gt;-1E+300",dFlt1,critFlt1,dFlt2,critFlt2,dFlt3,critFlt3))</f>
        <v/>
      </c>
      <c r="D1446" t="str">
        <f>IF($B1446="","",SUMIFS(dAmt,dCust,$B1446,dPer,"&gt;="&amp;cyFrom,dPer,"&lt;="&amp;cyTo,dAmt,"&gt;-1E+300",dFlt1,critFlt1,dFlt2,critFlt2,dFlt3,critFlt3))</f>
        <v/>
      </c>
      <c r="E1446" t="str">
        <f>IF($B1446="","",SUMIFS(dQty,dCust,$B1446,dPer,"&gt;="&amp;pyFrom,dPer,"&lt;="&amp;pyTo,dQty,"&gt;-1E+300",dFlt1,critFlt1,dFlt2,critFlt2,dFlt3,critFlt3))</f>
        <v/>
      </c>
      <c r="F1446" t="str">
        <f>IF($B1446="","",SUMIFS(dQty,dCust,$B1446,dPer,"&gt;="&amp;cyFrom,dPer,"&lt;="&amp;cyTo,dQty,"&gt;-1E+300",dFlt1,critFlt1,dFlt2,critFlt2,dFlt3,critFlt3))</f>
        <v/>
      </c>
      <c r="G1446">
        <f>IF($B1446="",0,IFERROR(IF(OR(C1446&lt;&gt;0,D1446&lt;&gt;0,E1446&lt;&gt;0,F1446&lt;&gt;0),1,0),1))</f>
        <v>0</v>
      </c>
      <c r="H1446" t="str">
        <f>IF(OR(G1446=0,E1446=0),"",C1446/E1446)</f>
        <v/>
      </c>
      <c r="I1446" t="str">
        <f>IF(OR(G1446=0,F1446=0),"",D1446/F1446)</f>
        <v/>
      </c>
      <c r="J1446" t="str">
        <f>IF(OR(H1446="",I1446=""),"",IF(H1446=0,"",I1446/H1446-1))</f>
        <v/>
      </c>
      <c r="K1446" t="str">
        <f>IF($B1446="","",IFERROR(IF(G1446=0,-2E+300,CHOOSE(sortIdx,ROUND(D1446,0),IF(J1446="",-1E+300,ROUND(-J1446,6)),IF(J1446="",-1E+300,ROUND(J1446,6)))),-1.5E+300))</f>
        <v/>
      </c>
      <c r="L1446" t="str">
        <f>IF(K1446="","",RANK(K1446,$K$2:$K$3001,0)+COUNTIF($K$2:K1446,K1446)-1)</f>
        <v/>
      </c>
    </row>
    <row r="1447">
      <c r="B1447" t="str">
        <f>IFERROR(IF(A1447="","","="&amp;SUBSTITUTE(SUBSTITUTE(SUBSTITUTE(A1447,"~","~~"),"*","~*"),"?","~?")),"")</f>
        <v/>
      </c>
      <c r="C1447" t="str">
        <f>IF($B1447="","",SUMIFS(dAmt,dCust,$B1447,dPer,"&gt;="&amp;pyFrom,dPer,"&lt;="&amp;pyTo,dAmt,"&gt;-1E+300",dFlt1,critFlt1,dFlt2,critFlt2,dFlt3,critFlt3))</f>
        <v/>
      </c>
      <c r="D1447" t="str">
        <f>IF($B1447="","",SUMIFS(dAmt,dCust,$B1447,dPer,"&gt;="&amp;cyFrom,dPer,"&lt;="&amp;cyTo,dAmt,"&gt;-1E+300",dFlt1,critFlt1,dFlt2,critFlt2,dFlt3,critFlt3))</f>
        <v/>
      </c>
      <c r="E1447" t="str">
        <f>IF($B1447="","",SUMIFS(dQty,dCust,$B1447,dPer,"&gt;="&amp;pyFrom,dPer,"&lt;="&amp;pyTo,dQty,"&gt;-1E+300",dFlt1,critFlt1,dFlt2,critFlt2,dFlt3,critFlt3))</f>
        <v/>
      </c>
      <c r="F1447" t="str">
        <f>IF($B1447="","",SUMIFS(dQty,dCust,$B1447,dPer,"&gt;="&amp;cyFrom,dPer,"&lt;="&amp;cyTo,dQty,"&gt;-1E+300",dFlt1,critFlt1,dFlt2,critFlt2,dFlt3,critFlt3))</f>
        <v/>
      </c>
      <c r="G1447">
        <f>IF($B1447="",0,IFERROR(IF(OR(C1447&lt;&gt;0,D1447&lt;&gt;0,E1447&lt;&gt;0,F1447&lt;&gt;0),1,0),1))</f>
        <v>0</v>
      </c>
      <c r="H1447" t="str">
        <f>IF(OR(G1447=0,E1447=0),"",C1447/E1447)</f>
        <v/>
      </c>
      <c r="I1447" t="str">
        <f>IF(OR(G1447=0,F1447=0),"",D1447/F1447)</f>
        <v/>
      </c>
      <c r="J1447" t="str">
        <f>IF(OR(H1447="",I1447=""),"",IF(H1447=0,"",I1447/H1447-1))</f>
        <v/>
      </c>
      <c r="K1447" t="str">
        <f>IF($B1447="","",IFERROR(IF(G1447=0,-2E+300,CHOOSE(sortIdx,ROUND(D1447,0),IF(J1447="",-1E+300,ROUND(-J1447,6)),IF(J1447="",-1E+300,ROUND(J1447,6)))),-1.5E+300))</f>
        <v/>
      </c>
      <c r="L1447" t="str">
        <f>IF(K1447="","",RANK(K1447,$K$2:$K$3001,0)+COUNTIF($K$2:K1447,K1447)-1)</f>
        <v/>
      </c>
    </row>
    <row r="1448">
      <c r="B1448" t="str">
        <f>IFERROR(IF(A1448="","","="&amp;SUBSTITUTE(SUBSTITUTE(SUBSTITUTE(A1448,"~","~~"),"*","~*"),"?","~?")),"")</f>
        <v/>
      </c>
      <c r="C1448" t="str">
        <f>IF($B1448="","",SUMIFS(dAmt,dCust,$B1448,dPer,"&gt;="&amp;pyFrom,dPer,"&lt;="&amp;pyTo,dAmt,"&gt;-1E+300",dFlt1,critFlt1,dFlt2,critFlt2,dFlt3,critFlt3))</f>
        <v/>
      </c>
      <c r="D1448" t="str">
        <f>IF($B1448="","",SUMIFS(dAmt,dCust,$B1448,dPer,"&gt;="&amp;cyFrom,dPer,"&lt;="&amp;cyTo,dAmt,"&gt;-1E+300",dFlt1,critFlt1,dFlt2,critFlt2,dFlt3,critFlt3))</f>
        <v/>
      </c>
      <c r="E1448" t="str">
        <f>IF($B1448="","",SUMIFS(dQty,dCust,$B1448,dPer,"&gt;="&amp;pyFrom,dPer,"&lt;="&amp;pyTo,dQty,"&gt;-1E+300",dFlt1,critFlt1,dFlt2,critFlt2,dFlt3,critFlt3))</f>
        <v/>
      </c>
      <c r="F1448" t="str">
        <f>IF($B1448="","",SUMIFS(dQty,dCust,$B1448,dPer,"&gt;="&amp;cyFrom,dPer,"&lt;="&amp;cyTo,dQty,"&gt;-1E+300",dFlt1,critFlt1,dFlt2,critFlt2,dFlt3,critFlt3))</f>
        <v/>
      </c>
      <c r="G1448">
        <f>IF($B1448="",0,IFERROR(IF(OR(C1448&lt;&gt;0,D1448&lt;&gt;0,E1448&lt;&gt;0,F1448&lt;&gt;0),1,0),1))</f>
        <v>0</v>
      </c>
      <c r="H1448" t="str">
        <f>IF(OR(G1448=0,E1448=0),"",C1448/E1448)</f>
        <v/>
      </c>
      <c r="I1448" t="str">
        <f>IF(OR(G1448=0,F1448=0),"",D1448/F1448)</f>
        <v/>
      </c>
      <c r="J1448" t="str">
        <f>IF(OR(H1448="",I1448=""),"",IF(H1448=0,"",I1448/H1448-1))</f>
        <v/>
      </c>
      <c r="K1448" t="str">
        <f>IF($B1448="","",IFERROR(IF(G1448=0,-2E+300,CHOOSE(sortIdx,ROUND(D1448,0),IF(J1448="",-1E+300,ROUND(-J1448,6)),IF(J1448="",-1E+300,ROUND(J1448,6)))),-1.5E+300))</f>
        <v/>
      </c>
      <c r="L1448" t="str">
        <f>IF(K1448="","",RANK(K1448,$K$2:$K$3001,0)+COUNTIF($K$2:K1448,K1448)-1)</f>
        <v/>
      </c>
    </row>
    <row r="1449">
      <c r="B1449" t="str">
        <f>IFERROR(IF(A1449="","","="&amp;SUBSTITUTE(SUBSTITUTE(SUBSTITUTE(A1449,"~","~~"),"*","~*"),"?","~?")),"")</f>
        <v/>
      </c>
      <c r="C1449" t="str">
        <f>IF($B1449="","",SUMIFS(dAmt,dCust,$B1449,dPer,"&gt;="&amp;pyFrom,dPer,"&lt;="&amp;pyTo,dAmt,"&gt;-1E+300",dFlt1,critFlt1,dFlt2,critFlt2,dFlt3,critFlt3))</f>
        <v/>
      </c>
      <c r="D1449" t="str">
        <f>IF($B1449="","",SUMIFS(dAmt,dCust,$B1449,dPer,"&gt;="&amp;cyFrom,dPer,"&lt;="&amp;cyTo,dAmt,"&gt;-1E+300",dFlt1,critFlt1,dFlt2,critFlt2,dFlt3,critFlt3))</f>
        <v/>
      </c>
      <c r="E1449" t="str">
        <f>IF($B1449="","",SUMIFS(dQty,dCust,$B1449,dPer,"&gt;="&amp;pyFrom,dPer,"&lt;="&amp;pyTo,dQty,"&gt;-1E+300",dFlt1,critFlt1,dFlt2,critFlt2,dFlt3,critFlt3))</f>
        <v/>
      </c>
      <c r="F1449" t="str">
        <f>IF($B1449="","",SUMIFS(dQty,dCust,$B1449,dPer,"&gt;="&amp;cyFrom,dPer,"&lt;="&amp;cyTo,dQty,"&gt;-1E+300",dFlt1,critFlt1,dFlt2,critFlt2,dFlt3,critFlt3))</f>
        <v/>
      </c>
      <c r="G1449">
        <f>IF($B1449="",0,IFERROR(IF(OR(C1449&lt;&gt;0,D1449&lt;&gt;0,E1449&lt;&gt;0,F1449&lt;&gt;0),1,0),1))</f>
        <v>0</v>
      </c>
      <c r="H1449" t="str">
        <f>IF(OR(G1449=0,E1449=0),"",C1449/E1449)</f>
        <v/>
      </c>
      <c r="I1449" t="str">
        <f>IF(OR(G1449=0,F1449=0),"",D1449/F1449)</f>
        <v/>
      </c>
      <c r="J1449" t="str">
        <f>IF(OR(H1449="",I1449=""),"",IF(H1449=0,"",I1449/H1449-1))</f>
        <v/>
      </c>
      <c r="K1449" t="str">
        <f>IF($B1449="","",IFERROR(IF(G1449=0,-2E+300,CHOOSE(sortIdx,ROUND(D1449,0),IF(J1449="",-1E+300,ROUND(-J1449,6)),IF(J1449="",-1E+300,ROUND(J1449,6)))),-1.5E+300))</f>
        <v/>
      </c>
      <c r="L1449" t="str">
        <f>IF(K1449="","",RANK(K1449,$K$2:$K$3001,0)+COUNTIF($K$2:K1449,K1449)-1)</f>
        <v/>
      </c>
    </row>
    <row r="1450">
      <c r="B1450" t="str">
        <f>IFERROR(IF(A1450="","","="&amp;SUBSTITUTE(SUBSTITUTE(SUBSTITUTE(A1450,"~","~~"),"*","~*"),"?","~?")),"")</f>
        <v/>
      </c>
      <c r="C1450" t="str">
        <f>IF($B1450="","",SUMIFS(dAmt,dCust,$B1450,dPer,"&gt;="&amp;pyFrom,dPer,"&lt;="&amp;pyTo,dAmt,"&gt;-1E+300",dFlt1,critFlt1,dFlt2,critFlt2,dFlt3,critFlt3))</f>
        <v/>
      </c>
      <c r="D1450" t="str">
        <f>IF($B1450="","",SUMIFS(dAmt,dCust,$B1450,dPer,"&gt;="&amp;cyFrom,dPer,"&lt;="&amp;cyTo,dAmt,"&gt;-1E+300",dFlt1,critFlt1,dFlt2,critFlt2,dFlt3,critFlt3))</f>
        <v/>
      </c>
      <c r="E1450" t="str">
        <f>IF($B1450="","",SUMIFS(dQty,dCust,$B1450,dPer,"&gt;="&amp;pyFrom,dPer,"&lt;="&amp;pyTo,dQty,"&gt;-1E+300",dFlt1,critFlt1,dFlt2,critFlt2,dFlt3,critFlt3))</f>
        <v/>
      </c>
      <c r="F1450" t="str">
        <f>IF($B1450="","",SUMIFS(dQty,dCust,$B1450,dPer,"&gt;="&amp;cyFrom,dPer,"&lt;="&amp;cyTo,dQty,"&gt;-1E+300",dFlt1,critFlt1,dFlt2,critFlt2,dFlt3,critFlt3))</f>
        <v/>
      </c>
      <c r="G1450">
        <f>IF($B1450="",0,IFERROR(IF(OR(C1450&lt;&gt;0,D1450&lt;&gt;0,E1450&lt;&gt;0,F1450&lt;&gt;0),1,0),1))</f>
        <v>0</v>
      </c>
      <c r="H1450" t="str">
        <f>IF(OR(G1450=0,E1450=0),"",C1450/E1450)</f>
        <v/>
      </c>
      <c r="I1450" t="str">
        <f>IF(OR(G1450=0,F1450=0),"",D1450/F1450)</f>
        <v/>
      </c>
      <c r="J1450" t="str">
        <f>IF(OR(H1450="",I1450=""),"",IF(H1450=0,"",I1450/H1450-1))</f>
        <v/>
      </c>
      <c r="K1450" t="str">
        <f>IF($B1450="","",IFERROR(IF(G1450=0,-2E+300,CHOOSE(sortIdx,ROUND(D1450,0),IF(J1450="",-1E+300,ROUND(-J1450,6)),IF(J1450="",-1E+300,ROUND(J1450,6)))),-1.5E+300))</f>
        <v/>
      </c>
      <c r="L1450" t="str">
        <f>IF(K1450="","",RANK(K1450,$K$2:$K$3001,0)+COUNTIF($K$2:K1450,K1450)-1)</f>
        <v/>
      </c>
    </row>
    <row r="1451">
      <c r="B1451" t="str">
        <f>IFERROR(IF(A1451="","","="&amp;SUBSTITUTE(SUBSTITUTE(SUBSTITUTE(A1451,"~","~~"),"*","~*"),"?","~?")),"")</f>
        <v/>
      </c>
      <c r="C1451" t="str">
        <f>IF($B1451="","",SUMIFS(dAmt,dCust,$B1451,dPer,"&gt;="&amp;pyFrom,dPer,"&lt;="&amp;pyTo,dAmt,"&gt;-1E+300",dFlt1,critFlt1,dFlt2,critFlt2,dFlt3,critFlt3))</f>
        <v/>
      </c>
      <c r="D1451" t="str">
        <f>IF($B1451="","",SUMIFS(dAmt,dCust,$B1451,dPer,"&gt;="&amp;cyFrom,dPer,"&lt;="&amp;cyTo,dAmt,"&gt;-1E+300",dFlt1,critFlt1,dFlt2,critFlt2,dFlt3,critFlt3))</f>
        <v/>
      </c>
      <c r="E1451" t="str">
        <f>IF($B1451="","",SUMIFS(dQty,dCust,$B1451,dPer,"&gt;="&amp;pyFrom,dPer,"&lt;="&amp;pyTo,dQty,"&gt;-1E+300",dFlt1,critFlt1,dFlt2,critFlt2,dFlt3,critFlt3))</f>
        <v/>
      </c>
      <c r="F1451" t="str">
        <f>IF($B1451="","",SUMIFS(dQty,dCust,$B1451,dPer,"&gt;="&amp;cyFrom,dPer,"&lt;="&amp;cyTo,dQty,"&gt;-1E+300",dFlt1,critFlt1,dFlt2,critFlt2,dFlt3,critFlt3))</f>
        <v/>
      </c>
      <c r="G1451">
        <f>IF($B1451="",0,IFERROR(IF(OR(C1451&lt;&gt;0,D1451&lt;&gt;0,E1451&lt;&gt;0,F1451&lt;&gt;0),1,0),1))</f>
        <v>0</v>
      </c>
      <c r="H1451" t="str">
        <f>IF(OR(G1451=0,E1451=0),"",C1451/E1451)</f>
        <v/>
      </c>
      <c r="I1451" t="str">
        <f>IF(OR(G1451=0,F1451=0),"",D1451/F1451)</f>
        <v/>
      </c>
      <c r="J1451" t="str">
        <f>IF(OR(H1451="",I1451=""),"",IF(H1451=0,"",I1451/H1451-1))</f>
        <v/>
      </c>
      <c r="K1451" t="str">
        <f>IF($B1451="","",IFERROR(IF(G1451=0,-2E+300,CHOOSE(sortIdx,ROUND(D1451,0),IF(J1451="",-1E+300,ROUND(-J1451,6)),IF(J1451="",-1E+300,ROUND(J1451,6)))),-1.5E+300))</f>
        <v/>
      </c>
      <c r="L1451" t="str">
        <f>IF(K1451="","",RANK(K1451,$K$2:$K$3001,0)+COUNTIF($K$2:K1451,K1451)-1)</f>
        <v/>
      </c>
    </row>
    <row r="1452">
      <c r="B1452" t="str">
        <f>IFERROR(IF(A1452="","","="&amp;SUBSTITUTE(SUBSTITUTE(SUBSTITUTE(A1452,"~","~~"),"*","~*"),"?","~?")),"")</f>
        <v/>
      </c>
      <c r="C1452" t="str">
        <f>IF($B1452="","",SUMIFS(dAmt,dCust,$B1452,dPer,"&gt;="&amp;pyFrom,dPer,"&lt;="&amp;pyTo,dAmt,"&gt;-1E+300",dFlt1,critFlt1,dFlt2,critFlt2,dFlt3,critFlt3))</f>
        <v/>
      </c>
      <c r="D1452" t="str">
        <f>IF($B1452="","",SUMIFS(dAmt,dCust,$B1452,dPer,"&gt;="&amp;cyFrom,dPer,"&lt;="&amp;cyTo,dAmt,"&gt;-1E+300",dFlt1,critFlt1,dFlt2,critFlt2,dFlt3,critFlt3))</f>
        <v/>
      </c>
      <c r="E1452" t="str">
        <f>IF($B1452="","",SUMIFS(dQty,dCust,$B1452,dPer,"&gt;="&amp;pyFrom,dPer,"&lt;="&amp;pyTo,dQty,"&gt;-1E+300",dFlt1,critFlt1,dFlt2,critFlt2,dFlt3,critFlt3))</f>
        <v/>
      </c>
      <c r="F1452" t="str">
        <f>IF($B1452="","",SUMIFS(dQty,dCust,$B1452,dPer,"&gt;="&amp;cyFrom,dPer,"&lt;="&amp;cyTo,dQty,"&gt;-1E+300",dFlt1,critFlt1,dFlt2,critFlt2,dFlt3,critFlt3))</f>
        <v/>
      </c>
      <c r="G1452">
        <f>IF($B1452="",0,IFERROR(IF(OR(C1452&lt;&gt;0,D1452&lt;&gt;0,E1452&lt;&gt;0,F1452&lt;&gt;0),1,0),1))</f>
        <v>0</v>
      </c>
      <c r="H1452" t="str">
        <f>IF(OR(G1452=0,E1452=0),"",C1452/E1452)</f>
        <v/>
      </c>
      <c r="I1452" t="str">
        <f>IF(OR(G1452=0,F1452=0),"",D1452/F1452)</f>
        <v/>
      </c>
      <c r="J1452" t="str">
        <f>IF(OR(H1452="",I1452=""),"",IF(H1452=0,"",I1452/H1452-1))</f>
        <v/>
      </c>
      <c r="K1452" t="str">
        <f>IF($B1452="","",IFERROR(IF(G1452=0,-2E+300,CHOOSE(sortIdx,ROUND(D1452,0),IF(J1452="",-1E+300,ROUND(-J1452,6)),IF(J1452="",-1E+300,ROUND(J1452,6)))),-1.5E+300))</f>
        <v/>
      </c>
      <c r="L1452" t="str">
        <f>IF(K1452="","",RANK(K1452,$K$2:$K$3001,0)+COUNTIF($K$2:K1452,K1452)-1)</f>
        <v/>
      </c>
    </row>
    <row r="1453">
      <c r="B1453" t="str">
        <f>IFERROR(IF(A1453="","","="&amp;SUBSTITUTE(SUBSTITUTE(SUBSTITUTE(A1453,"~","~~"),"*","~*"),"?","~?")),"")</f>
        <v/>
      </c>
      <c r="C1453" t="str">
        <f>IF($B1453="","",SUMIFS(dAmt,dCust,$B1453,dPer,"&gt;="&amp;pyFrom,dPer,"&lt;="&amp;pyTo,dAmt,"&gt;-1E+300",dFlt1,critFlt1,dFlt2,critFlt2,dFlt3,critFlt3))</f>
        <v/>
      </c>
      <c r="D1453" t="str">
        <f>IF($B1453="","",SUMIFS(dAmt,dCust,$B1453,dPer,"&gt;="&amp;cyFrom,dPer,"&lt;="&amp;cyTo,dAmt,"&gt;-1E+300",dFlt1,critFlt1,dFlt2,critFlt2,dFlt3,critFlt3))</f>
        <v/>
      </c>
      <c r="E1453" t="str">
        <f>IF($B1453="","",SUMIFS(dQty,dCust,$B1453,dPer,"&gt;="&amp;pyFrom,dPer,"&lt;="&amp;pyTo,dQty,"&gt;-1E+300",dFlt1,critFlt1,dFlt2,critFlt2,dFlt3,critFlt3))</f>
        <v/>
      </c>
      <c r="F1453" t="str">
        <f>IF($B1453="","",SUMIFS(dQty,dCust,$B1453,dPer,"&gt;="&amp;cyFrom,dPer,"&lt;="&amp;cyTo,dQty,"&gt;-1E+300",dFlt1,critFlt1,dFlt2,critFlt2,dFlt3,critFlt3))</f>
        <v/>
      </c>
      <c r="G1453">
        <f>IF($B1453="",0,IFERROR(IF(OR(C1453&lt;&gt;0,D1453&lt;&gt;0,E1453&lt;&gt;0,F1453&lt;&gt;0),1,0),1))</f>
        <v>0</v>
      </c>
      <c r="H1453" t="str">
        <f>IF(OR(G1453=0,E1453=0),"",C1453/E1453)</f>
        <v/>
      </c>
      <c r="I1453" t="str">
        <f>IF(OR(G1453=0,F1453=0),"",D1453/F1453)</f>
        <v/>
      </c>
      <c r="J1453" t="str">
        <f>IF(OR(H1453="",I1453=""),"",IF(H1453=0,"",I1453/H1453-1))</f>
        <v/>
      </c>
      <c r="K1453" t="str">
        <f>IF($B1453="","",IFERROR(IF(G1453=0,-2E+300,CHOOSE(sortIdx,ROUND(D1453,0),IF(J1453="",-1E+300,ROUND(-J1453,6)),IF(J1453="",-1E+300,ROUND(J1453,6)))),-1.5E+300))</f>
        <v/>
      </c>
      <c r="L1453" t="str">
        <f>IF(K1453="","",RANK(K1453,$K$2:$K$3001,0)+COUNTIF($K$2:K1453,K1453)-1)</f>
        <v/>
      </c>
    </row>
    <row r="1454">
      <c r="B1454" t="str">
        <f>IFERROR(IF(A1454="","","="&amp;SUBSTITUTE(SUBSTITUTE(SUBSTITUTE(A1454,"~","~~"),"*","~*"),"?","~?")),"")</f>
        <v/>
      </c>
      <c r="C1454" t="str">
        <f>IF($B1454="","",SUMIFS(dAmt,dCust,$B1454,dPer,"&gt;="&amp;pyFrom,dPer,"&lt;="&amp;pyTo,dAmt,"&gt;-1E+300",dFlt1,critFlt1,dFlt2,critFlt2,dFlt3,critFlt3))</f>
        <v/>
      </c>
      <c r="D1454" t="str">
        <f>IF($B1454="","",SUMIFS(dAmt,dCust,$B1454,dPer,"&gt;="&amp;cyFrom,dPer,"&lt;="&amp;cyTo,dAmt,"&gt;-1E+300",dFlt1,critFlt1,dFlt2,critFlt2,dFlt3,critFlt3))</f>
        <v/>
      </c>
      <c r="E1454" t="str">
        <f>IF($B1454="","",SUMIFS(dQty,dCust,$B1454,dPer,"&gt;="&amp;pyFrom,dPer,"&lt;="&amp;pyTo,dQty,"&gt;-1E+300",dFlt1,critFlt1,dFlt2,critFlt2,dFlt3,critFlt3))</f>
        <v/>
      </c>
      <c r="F1454" t="str">
        <f>IF($B1454="","",SUMIFS(dQty,dCust,$B1454,dPer,"&gt;="&amp;cyFrom,dPer,"&lt;="&amp;cyTo,dQty,"&gt;-1E+300",dFlt1,critFlt1,dFlt2,critFlt2,dFlt3,critFlt3))</f>
        <v/>
      </c>
      <c r="G1454">
        <f>IF($B1454="",0,IFERROR(IF(OR(C1454&lt;&gt;0,D1454&lt;&gt;0,E1454&lt;&gt;0,F1454&lt;&gt;0),1,0),1))</f>
        <v>0</v>
      </c>
      <c r="H1454" t="str">
        <f>IF(OR(G1454=0,E1454=0),"",C1454/E1454)</f>
        <v/>
      </c>
      <c r="I1454" t="str">
        <f>IF(OR(G1454=0,F1454=0),"",D1454/F1454)</f>
        <v/>
      </c>
      <c r="J1454" t="str">
        <f>IF(OR(H1454="",I1454=""),"",IF(H1454=0,"",I1454/H1454-1))</f>
        <v/>
      </c>
      <c r="K1454" t="str">
        <f>IF($B1454="","",IFERROR(IF(G1454=0,-2E+300,CHOOSE(sortIdx,ROUND(D1454,0),IF(J1454="",-1E+300,ROUND(-J1454,6)),IF(J1454="",-1E+300,ROUND(J1454,6)))),-1.5E+300))</f>
        <v/>
      </c>
      <c r="L1454" t="str">
        <f>IF(K1454="","",RANK(K1454,$K$2:$K$3001,0)+COUNTIF($K$2:K1454,K1454)-1)</f>
        <v/>
      </c>
    </row>
    <row r="1455">
      <c r="B1455" t="str">
        <f>IFERROR(IF(A1455="","","="&amp;SUBSTITUTE(SUBSTITUTE(SUBSTITUTE(A1455,"~","~~"),"*","~*"),"?","~?")),"")</f>
        <v/>
      </c>
      <c r="C1455" t="str">
        <f>IF($B1455="","",SUMIFS(dAmt,dCust,$B1455,dPer,"&gt;="&amp;pyFrom,dPer,"&lt;="&amp;pyTo,dAmt,"&gt;-1E+300",dFlt1,critFlt1,dFlt2,critFlt2,dFlt3,critFlt3))</f>
        <v/>
      </c>
      <c r="D1455" t="str">
        <f>IF($B1455="","",SUMIFS(dAmt,dCust,$B1455,dPer,"&gt;="&amp;cyFrom,dPer,"&lt;="&amp;cyTo,dAmt,"&gt;-1E+300",dFlt1,critFlt1,dFlt2,critFlt2,dFlt3,critFlt3))</f>
        <v/>
      </c>
      <c r="E1455" t="str">
        <f>IF($B1455="","",SUMIFS(dQty,dCust,$B1455,dPer,"&gt;="&amp;pyFrom,dPer,"&lt;="&amp;pyTo,dQty,"&gt;-1E+300",dFlt1,critFlt1,dFlt2,critFlt2,dFlt3,critFlt3))</f>
        <v/>
      </c>
      <c r="F1455" t="str">
        <f>IF($B1455="","",SUMIFS(dQty,dCust,$B1455,dPer,"&gt;="&amp;cyFrom,dPer,"&lt;="&amp;cyTo,dQty,"&gt;-1E+300",dFlt1,critFlt1,dFlt2,critFlt2,dFlt3,critFlt3))</f>
        <v/>
      </c>
      <c r="G1455">
        <f>IF($B1455="",0,IFERROR(IF(OR(C1455&lt;&gt;0,D1455&lt;&gt;0,E1455&lt;&gt;0,F1455&lt;&gt;0),1,0),1))</f>
        <v>0</v>
      </c>
      <c r="H1455" t="str">
        <f>IF(OR(G1455=0,E1455=0),"",C1455/E1455)</f>
        <v/>
      </c>
      <c r="I1455" t="str">
        <f>IF(OR(G1455=0,F1455=0),"",D1455/F1455)</f>
        <v/>
      </c>
      <c r="J1455" t="str">
        <f>IF(OR(H1455="",I1455=""),"",IF(H1455=0,"",I1455/H1455-1))</f>
        <v/>
      </c>
      <c r="K1455" t="str">
        <f>IF($B1455="","",IFERROR(IF(G1455=0,-2E+300,CHOOSE(sortIdx,ROUND(D1455,0),IF(J1455="",-1E+300,ROUND(-J1455,6)),IF(J1455="",-1E+300,ROUND(J1455,6)))),-1.5E+300))</f>
        <v/>
      </c>
      <c r="L1455" t="str">
        <f>IF(K1455="","",RANK(K1455,$K$2:$K$3001,0)+COUNTIF($K$2:K1455,K1455)-1)</f>
        <v/>
      </c>
    </row>
    <row r="1456">
      <c r="B1456" t="str">
        <f>IFERROR(IF(A1456="","","="&amp;SUBSTITUTE(SUBSTITUTE(SUBSTITUTE(A1456,"~","~~"),"*","~*"),"?","~?")),"")</f>
        <v/>
      </c>
      <c r="C1456" t="str">
        <f>IF($B1456="","",SUMIFS(dAmt,dCust,$B1456,dPer,"&gt;="&amp;pyFrom,dPer,"&lt;="&amp;pyTo,dAmt,"&gt;-1E+300",dFlt1,critFlt1,dFlt2,critFlt2,dFlt3,critFlt3))</f>
        <v/>
      </c>
      <c r="D1456" t="str">
        <f>IF($B1456="","",SUMIFS(dAmt,dCust,$B1456,dPer,"&gt;="&amp;cyFrom,dPer,"&lt;="&amp;cyTo,dAmt,"&gt;-1E+300",dFlt1,critFlt1,dFlt2,critFlt2,dFlt3,critFlt3))</f>
        <v/>
      </c>
      <c r="E1456" t="str">
        <f>IF($B1456="","",SUMIFS(dQty,dCust,$B1456,dPer,"&gt;="&amp;pyFrom,dPer,"&lt;="&amp;pyTo,dQty,"&gt;-1E+300",dFlt1,critFlt1,dFlt2,critFlt2,dFlt3,critFlt3))</f>
        <v/>
      </c>
      <c r="F1456" t="str">
        <f>IF($B1456="","",SUMIFS(dQty,dCust,$B1456,dPer,"&gt;="&amp;cyFrom,dPer,"&lt;="&amp;cyTo,dQty,"&gt;-1E+300",dFlt1,critFlt1,dFlt2,critFlt2,dFlt3,critFlt3))</f>
        <v/>
      </c>
      <c r="G1456">
        <f>IF($B1456="",0,IFERROR(IF(OR(C1456&lt;&gt;0,D1456&lt;&gt;0,E1456&lt;&gt;0,F1456&lt;&gt;0),1,0),1))</f>
        <v>0</v>
      </c>
      <c r="H1456" t="str">
        <f>IF(OR(G1456=0,E1456=0),"",C1456/E1456)</f>
        <v/>
      </c>
      <c r="I1456" t="str">
        <f>IF(OR(G1456=0,F1456=0),"",D1456/F1456)</f>
        <v/>
      </c>
      <c r="J1456" t="str">
        <f>IF(OR(H1456="",I1456=""),"",IF(H1456=0,"",I1456/H1456-1))</f>
        <v/>
      </c>
      <c r="K1456" t="str">
        <f>IF($B1456="","",IFERROR(IF(G1456=0,-2E+300,CHOOSE(sortIdx,ROUND(D1456,0),IF(J1456="",-1E+300,ROUND(-J1456,6)),IF(J1456="",-1E+300,ROUND(J1456,6)))),-1.5E+300))</f>
        <v/>
      </c>
      <c r="L1456" t="str">
        <f>IF(K1456="","",RANK(K1456,$K$2:$K$3001,0)+COUNTIF($K$2:K1456,K1456)-1)</f>
        <v/>
      </c>
    </row>
    <row r="1457">
      <c r="B1457" t="str">
        <f>IFERROR(IF(A1457="","","="&amp;SUBSTITUTE(SUBSTITUTE(SUBSTITUTE(A1457,"~","~~"),"*","~*"),"?","~?")),"")</f>
        <v/>
      </c>
      <c r="C1457" t="str">
        <f>IF($B1457="","",SUMIFS(dAmt,dCust,$B1457,dPer,"&gt;="&amp;pyFrom,dPer,"&lt;="&amp;pyTo,dAmt,"&gt;-1E+300",dFlt1,critFlt1,dFlt2,critFlt2,dFlt3,critFlt3))</f>
        <v/>
      </c>
      <c r="D1457" t="str">
        <f>IF($B1457="","",SUMIFS(dAmt,dCust,$B1457,dPer,"&gt;="&amp;cyFrom,dPer,"&lt;="&amp;cyTo,dAmt,"&gt;-1E+300",dFlt1,critFlt1,dFlt2,critFlt2,dFlt3,critFlt3))</f>
        <v/>
      </c>
      <c r="E1457" t="str">
        <f>IF($B1457="","",SUMIFS(dQty,dCust,$B1457,dPer,"&gt;="&amp;pyFrom,dPer,"&lt;="&amp;pyTo,dQty,"&gt;-1E+300",dFlt1,critFlt1,dFlt2,critFlt2,dFlt3,critFlt3))</f>
        <v/>
      </c>
      <c r="F1457" t="str">
        <f>IF($B1457="","",SUMIFS(dQty,dCust,$B1457,dPer,"&gt;="&amp;cyFrom,dPer,"&lt;="&amp;cyTo,dQty,"&gt;-1E+300",dFlt1,critFlt1,dFlt2,critFlt2,dFlt3,critFlt3))</f>
        <v/>
      </c>
      <c r="G1457">
        <f>IF($B1457="",0,IFERROR(IF(OR(C1457&lt;&gt;0,D1457&lt;&gt;0,E1457&lt;&gt;0,F1457&lt;&gt;0),1,0),1))</f>
        <v>0</v>
      </c>
      <c r="H1457" t="str">
        <f>IF(OR(G1457=0,E1457=0),"",C1457/E1457)</f>
        <v/>
      </c>
      <c r="I1457" t="str">
        <f>IF(OR(G1457=0,F1457=0),"",D1457/F1457)</f>
        <v/>
      </c>
      <c r="J1457" t="str">
        <f>IF(OR(H1457="",I1457=""),"",IF(H1457=0,"",I1457/H1457-1))</f>
        <v/>
      </c>
      <c r="K1457" t="str">
        <f>IF($B1457="","",IFERROR(IF(G1457=0,-2E+300,CHOOSE(sortIdx,ROUND(D1457,0),IF(J1457="",-1E+300,ROUND(-J1457,6)),IF(J1457="",-1E+300,ROUND(J1457,6)))),-1.5E+300))</f>
        <v/>
      </c>
      <c r="L1457" t="str">
        <f>IF(K1457="","",RANK(K1457,$K$2:$K$3001,0)+COUNTIF($K$2:K1457,K1457)-1)</f>
        <v/>
      </c>
    </row>
    <row r="1458">
      <c r="B1458" t="str">
        <f>IFERROR(IF(A1458="","","="&amp;SUBSTITUTE(SUBSTITUTE(SUBSTITUTE(A1458,"~","~~"),"*","~*"),"?","~?")),"")</f>
        <v/>
      </c>
      <c r="C1458" t="str">
        <f>IF($B1458="","",SUMIFS(dAmt,dCust,$B1458,dPer,"&gt;="&amp;pyFrom,dPer,"&lt;="&amp;pyTo,dAmt,"&gt;-1E+300",dFlt1,critFlt1,dFlt2,critFlt2,dFlt3,critFlt3))</f>
        <v/>
      </c>
      <c r="D1458" t="str">
        <f>IF($B1458="","",SUMIFS(dAmt,dCust,$B1458,dPer,"&gt;="&amp;cyFrom,dPer,"&lt;="&amp;cyTo,dAmt,"&gt;-1E+300",dFlt1,critFlt1,dFlt2,critFlt2,dFlt3,critFlt3))</f>
        <v/>
      </c>
      <c r="E1458" t="str">
        <f>IF($B1458="","",SUMIFS(dQty,dCust,$B1458,dPer,"&gt;="&amp;pyFrom,dPer,"&lt;="&amp;pyTo,dQty,"&gt;-1E+300",dFlt1,critFlt1,dFlt2,critFlt2,dFlt3,critFlt3))</f>
        <v/>
      </c>
      <c r="F1458" t="str">
        <f>IF($B1458="","",SUMIFS(dQty,dCust,$B1458,dPer,"&gt;="&amp;cyFrom,dPer,"&lt;="&amp;cyTo,dQty,"&gt;-1E+300",dFlt1,critFlt1,dFlt2,critFlt2,dFlt3,critFlt3))</f>
        <v/>
      </c>
      <c r="G1458">
        <f>IF($B1458="",0,IFERROR(IF(OR(C1458&lt;&gt;0,D1458&lt;&gt;0,E1458&lt;&gt;0,F1458&lt;&gt;0),1,0),1))</f>
        <v>0</v>
      </c>
      <c r="H1458" t="str">
        <f>IF(OR(G1458=0,E1458=0),"",C1458/E1458)</f>
        <v/>
      </c>
      <c r="I1458" t="str">
        <f>IF(OR(G1458=0,F1458=0),"",D1458/F1458)</f>
        <v/>
      </c>
      <c r="J1458" t="str">
        <f>IF(OR(H1458="",I1458=""),"",IF(H1458=0,"",I1458/H1458-1))</f>
        <v/>
      </c>
      <c r="K1458" t="str">
        <f>IF($B1458="","",IFERROR(IF(G1458=0,-2E+300,CHOOSE(sortIdx,ROUND(D1458,0),IF(J1458="",-1E+300,ROUND(-J1458,6)),IF(J1458="",-1E+300,ROUND(J1458,6)))),-1.5E+300))</f>
        <v/>
      </c>
      <c r="L1458" t="str">
        <f>IF(K1458="","",RANK(K1458,$K$2:$K$3001,0)+COUNTIF($K$2:K1458,K1458)-1)</f>
        <v/>
      </c>
    </row>
    <row r="1459">
      <c r="B1459" t="str">
        <f>IFERROR(IF(A1459="","","="&amp;SUBSTITUTE(SUBSTITUTE(SUBSTITUTE(A1459,"~","~~"),"*","~*"),"?","~?")),"")</f>
        <v/>
      </c>
      <c r="C1459" t="str">
        <f>IF($B1459="","",SUMIFS(dAmt,dCust,$B1459,dPer,"&gt;="&amp;pyFrom,dPer,"&lt;="&amp;pyTo,dAmt,"&gt;-1E+300",dFlt1,critFlt1,dFlt2,critFlt2,dFlt3,critFlt3))</f>
        <v/>
      </c>
      <c r="D1459" t="str">
        <f>IF($B1459="","",SUMIFS(dAmt,dCust,$B1459,dPer,"&gt;="&amp;cyFrom,dPer,"&lt;="&amp;cyTo,dAmt,"&gt;-1E+300",dFlt1,critFlt1,dFlt2,critFlt2,dFlt3,critFlt3))</f>
        <v/>
      </c>
      <c r="E1459" t="str">
        <f>IF($B1459="","",SUMIFS(dQty,dCust,$B1459,dPer,"&gt;="&amp;pyFrom,dPer,"&lt;="&amp;pyTo,dQty,"&gt;-1E+300",dFlt1,critFlt1,dFlt2,critFlt2,dFlt3,critFlt3))</f>
        <v/>
      </c>
      <c r="F1459" t="str">
        <f>IF($B1459="","",SUMIFS(dQty,dCust,$B1459,dPer,"&gt;="&amp;cyFrom,dPer,"&lt;="&amp;cyTo,dQty,"&gt;-1E+300",dFlt1,critFlt1,dFlt2,critFlt2,dFlt3,critFlt3))</f>
        <v/>
      </c>
      <c r="G1459">
        <f>IF($B1459="",0,IFERROR(IF(OR(C1459&lt;&gt;0,D1459&lt;&gt;0,E1459&lt;&gt;0,F1459&lt;&gt;0),1,0),1))</f>
        <v>0</v>
      </c>
      <c r="H1459" t="str">
        <f>IF(OR(G1459=0,E1459=0),"",C1459/E1459)</f>
        <v/>
      </c>
      <c r="I1459" t="str">
        <f>IF(OR(G1459=0,F1459=0),"",D1459/F1459)</f>
        <v/>
      </c>
      <c r="J1459" t="str">
        <f>IF(OR(H1459="",I1459=""),"",IF(H1459=0,"",I1459/H1459-1))</f>
        <v/>
      </c>
      <c r="K1459" t="str">
        <f>IF($B1459="","",IFERROR(IF(G1459=0,-2E+300,CHOOSE(sortIdx,ROUND(D1459,0),IF(J1459="",-1E+300,ROUND(-J1459,6)),IF(J1459="",-1E+300,ROUND(J1459,6)))),-1.5E+300))</f>
        <v/>
      </c>
      <c r="L1459" t="str">
        <f>IF(K1459="","",RANK(K1459,$K$2:$K$3001,0)+COUNTIF($K$2:K1459,K1459)-1)</f>
        <v/>
      </c>
    </row>
    <row r="1460">
      <c r="B1460" t="str">
        <f>IFERROR(IF(A1460="","","="&amp;SUBSTITUTE(SUBSTITUTE(SUBSTITUTE(A1460,"~","~~"),"*","~*"),"?","~?")),"")</f>
        <v/>
      </c>
      <c r="C1460" t="str">
        <f>IF($B1460="","",SUMIFS(dAmt,dCust,$B1460,dPer,"&gt;="&amp;pyFrom,dPer,"&lt;="&amp;pyTo,dAmt,"&gt;-1E+300",dFlt1,critFlt1,dFlt2,critFlt2,dFlt3,critFlt3))</f>
        <v/>
      </c>
      <c r="D1460" t="str">
        <f>IF($B1460="","",SUMIFS(dAmt,dCust,$B1460,dPer,"&gt;="&amp;cyFrom,dPer,"&lt;="&amp;cyTo,dAmt,"&gt;-1E+300",dFlt1,critFlt1,dFlt2,critFlt2,dFlt3,critFlt3))</f>
        <v/>
      </c>
      <c r="E1460" t="str">
        <f>IF($B1460="","",SUMIFS(dQty,dCust,$B1460,dPer,"&gt;="&amp;pyFrom,dPer,"&lt;="&amp;pyTo,dQty,"&gt;-1E+300",dFlt1,critFlt1,dFlt2,critFlt2,dFlt3,critFlt3))</f>
        <v/>
      </c>
      <c r="F1460" t="str">
        <f>IF($B1460="","",SUMIFS(dQty,dCust,$B1460,dPer,"&gt;="&amp;cyFrom,dPer,"&lt;="&amp;cyTo,dQty,"&gt;-1E+300",dFlt1,critFlt1,dFlt2,critFlt2,dFlt3,critFlt3))</f>
        <v/>
      </c>
      <c r="G1460">
        <f>IF($B1460="",0,IFERROR(IF(OR(C1460&lt;&gt;0,D1460&lt;&gt;0,E1460&lt;&gt;0,F1460&lt;&gt;0),1,0),1))</f>
        <v>0</v>
      </c>
      <c r="H1460" t="str">
        <f>IF(OR(G1460=0,E1460=0),"",C1460/E1460)</f>
        <v/>
      </c>
      <c r="I1460" t="str">
        <f>IF(OR(G1460=0,F1460=0),"",D1460/F1460)</f>
        <v/>
      </c>
      <c r="J1460" t="str">
        <f>IF(OR(H1460="",I1460=""),"",IF(H1460=0,"",I1460/H1460-1))</f>
        <v/>
      </c>
      <c r="K1460" t="str">
        <f>IF($B1460="","",IFERROR(IF(G1460=0,-2E+300,CHOOSE(sortIdx,ROUND(D1460,0),IF(J1460="",-1E+300,ROUND(-J1460,6)),IF(J1460="",-1E+300,ROUND(J1460,6)))),-1.5E+300))</f>
        <v/>
      </c>
      <c r="L1460" t="str">
        <f>IF(K1460="","",RANK(K1460,$K$2:$K$3001,0)+COUNTIF($K$2:K1460,K1460)-1)</f>
        <v/>
      </c>
    </row>
    <row r="1461">
      <c r="B1461" t="str">
        <f>IFERROR(IF(A1461="","","="&amp;SUBSTITUTE(SUBSTITUTE(SUBSTITUTE(A1461,"~","~~"),"*","~*"),"?","~?")),"")</f>
        <v/>
      </c>
      <c r="C1461" t="str">
        <f>IF($B1461="","",SUMIFS(dAmt,dCust,$B1461,dPer,"&gt;="&amp;pyFrom,dPer,"&lt;="&amp;pyTo,dAmt,"&gt;-1E+300",dFlt1,critFlt1,dFlt2,critFlt2,dFlt3,critFlt3))</f>
        <v/>
      </c>
      <c r="D1461" t="str">
        <f>IF($B1461="","",SUMIFS(dAmt,dCust,$B1461,dPer,"&gt;="&amp;cyFrom,dPer,"&lt;="&amp;cyTo,dAmt,"&gt;-1E+300",dFlt1,critFlt1,dFlt2,critFlt2,dFlt3,critFlt3))</f>
        <v/>
      </c>
      <c r="E1461" t="str">
        <f>IF($B1461="","",SUMIFS(dQty,dCust,$B1461,dPer,"&gt;="&amp;pyFrom,dPer,"&lt;="&amp;pyTo,dQty,"&gt;-1E+300",dFlt1,critFlt1,dFlt2,critFlt2,dFlt3,critFlt3))</f>
        <v/>
      </c>
      <c r="F1461" t="str">
        <f>IF($B1461="","",SUMIFS(dQty,dCust,$B1461,dPer,"&gt;="&amp;cyFrom,dPer,"&lt;="&amp;cyTo,dQty,"&gt;-1E+300",dFlt1,critFlt1,dFlt2,critFlt2,dFlt3,critFlt3))</f>
        <v/>
      </c>
      <c r="G1461">
        <f>IF($B1461="",0,IFERROR(IF(OR(C1461&lt;&gt;0,D1461&lt;&gt;0,E1461&lt;&gt;0,F1461&lt;&gt;0),1,0),1))</f>
        <v>0</v>
      </c>
      <c r="H1461" t="str">
        <f>IF(OR(G1461=0,E1461=0),"",C1461/E1461)</f>
        <v/>
      </c>
      <c r="I1461" t="str">
        <f>IF(OR(G1461=0,F1461=0),"",D1461/F1461)</f>
        <v/>
      </c>
      <c r="J1461" t="str">
        <f>IF(OR(H1461="",I1461=""),"",IF(H1461=0,"",I1461/H1461-1))</f>
        <v/>
      </c>
      <c r="K1461" t="str">
        <f>IF($B1461="","",IFERROR(IF(G1461=0,-2E+300,CHOOSE(sortIdx,ROUND(D1461,0),IF(J1461="",-1E+300,ROUND(-J1461,6)),IF(J1461="",-1E+300,ROUND(J1461,6)))),-1.5E+300))</f>
        <v/>
      </c>
      <c r="L1461" t="str">
        <f>IF(K1461="","",RANK(K1461,$K$2:$K$3001,0)+COUNTIF($K$2:K1461,K1461)-1)</f>
        <v/>
      </c>
    </row>
    <row r="1462">
      <c r="B1462" t="str">
        <f>IFERROR(IF(A1462="","","="&amp;SUBSTITUTE(SUBSTITUTE(SUBSTITUTE(A1462,"~","~~"),"*","~*"),"?","~?")),"")</f>
        <v/>
      </c>
      <c r="C1462" t="str">
        <f>IF($B1462="","",SUMIFS(dAmt,dCust,$B1462,dPer,"&gt;="&amp;pyFrom,dPer,"&lt;="&amp;pyTo,dAmt,"&gt;-1E+300",dFlt1,critFlt1,dFlt2,critFlt2,dFlt3,critFlt3))</f>
        <v/>
      </c>
      <c r="D1462" t="str">
        <f>IF($B1462="","",SUMIFS(dAmt,dCust,$B1462,dPer,"&gt;="&amp;cyFrom,dPer,"&lt;="&amp;cyTo,dAmt,"&gt;-1E+300",dFlt1,critFlt1,dFlt2,critFlt2,dFlt3,critFlt3))</f>
        <v/>
      </c>
      <c r="E1462" t="str">
        <f>IF($B1462="","",SUMIFS(dQty,dCust,$B1462,dPer,"&gt;="&amp;pyFrom,dPer,"&lt;="&amp;pyTo,dQty,"&gt;-1E+300",dFlt1,critFlt1,dFlt2,critFlt2,dFlt3,critFlt3))</f>
        <v/>
      </c>
      <c r="F1462" t="str">
        <f>IF($B1462="","",SUMIFS(dQty,dCust,$B1462,dPer,"&gt;="&amp;cyFrom,dPer,"&lt;="&amp;cyTo,dQty,"&gt;-1E+300",dFlt1,critFlt1,dFlt2,critFlt2,dFlt3,critFlt3))</f>
        <v/>
      </c>
      <c r="G1462">
        <f>IF($B1462="",0,IFERROR(IF(OR(C1462&lt;&gt;0,D1462&lt;&gt;0,E1462&lt;&gt;0,F1462&lt;&gt;0),1,0),1))</f>
        <v>0</v>
      </c>
      <c r="H1462" t="str">
        <f>IF(OR(G1462=0,E1462=0),"",C1462/E1462)</f>
        <v/>
      </c>
      <c r="I1462" t="str">
        <f>IF(OR(G1462=0,F1462=0),"",D1462/F1462)</f>
        <v/>
      </c>
      <c r="J1462" t="str">
        <f>IF(OR(H1462="",I1462=""),"",IF(H1462=0,"",I1462/H1462-1))</f>
        <v/>
      </c>
      <c r="K1462" t="str">
        <f>IF($B1462="","",IFERROR(IF(G1462=0,-2E+300,CHOOSE(sortIdx,ROUND(D1462,0),IF(J1462="",-1E+300,ROUND(-J1462,6)),IF(J1462="",-1E+300,ROUND(J1462,6)))),-1.5E+300))</f>
        <v/>
      </c>
      <c r="L1462" t="str">
        <f>IF(K1462="","",RANK(K1462,$K$2:$K$3001,0)+COUNTIF($K$2:K1462,K1462)-1)</f>
        <v/>
      </c>
    </row>
    <row r="1463">
      <c r="B1463" t="str">
        <f>IFERROR(IF(A1463="","","="&amp;SUBSTITUTE(SUBSTITUTE(SUBSTITUTE(A1463,"~","~~"),"*","~*"),"?","~?")),"")</f>
        <v/>
      </c>
      <c r="C1463" t="str">
        <f>IF($B1463="","",SUMIFS(dAmt,dCust,$B1463,dPer,"&gt;="&amp;pyFrom,dPer,"&lt;="&amp;pyTo,dAmt,"&gt;-1E+300",dFlt1,critFlt1,dFlt2,critFlt2,dFlt3,critFlt3))</f>
        <v/>
      </c>
      <c r="D1463" t="str">
        <f>IF($B1463="","",SUMIFS(dAmt,dCust,$B1463,dPer,"&gt;="&amp;cyFrom,dPer,"&lt;="&amp;cyTo,dAmt,"&gt;-1E+300",dFlt1,critFlt1,dFlt2,critFlt2,dFlt3,critFlt3))</f>
        <v/>
      </c>
      <c r="E1463" t="str">
        <f>IF($B1463="","",SUMIFS(dQty,dCust,$B1463,dPer,"&gt;="&amp;pyFrom,dPer,"&lt;="&amp;pyTo,dQty,"&gt;-1E+300",dFlt1,critFlt1,dFlt2,critFlt2,dFlt3,critFlt3))</f>
        <v/>
      </c>
      <c r="F1463" t="str">
        <f>IF($B1463="","",SUMIFS(dQty,dCust,$B1463,dPer,"&gt;="&amp;cyFrom,dPer,"&lt;="&amp;cyTo,dQty,"&gt;-1E+300",dFlt1,critFlt1,dFlt2,critFlt2,dFlt3,critFlt3))</f>
        <v/>
      </c>
      <c r="G1463">
        <f>IF($B1463="",0,IFERROR(IF(OR(C1463&lt;&gt;0,D1463&lt;&gt;0,E1463&lt;&gt;0,F1463&lt;&gt;0),1,0),1))</f>
        <v>0</v>
      </c>
      <c r="H1463" t="str">
        <f>IF(OR(G1463=0,E1463=0),"",C1463/E1463)</f>
        <v/>
      </c>
      <c r="I1463" t="str">
        <f>IF(OR(G1463=0,F1463=0),"",D1463/F1463)</f>
        <v/>
      </c>
      <c r="J1463" t="str">
        <f>IF(OR(H1463="",I1463=""),"",IF(H1463=0,"",I1463/H1463-1))</f>
        <v/>
      </c>
      <c r="K1463" t="str">
        <f>IF($B1463="","",IFERROR(IF(G1463=0,-2E+300,CHOOSE(sortIdx,ROUND(D1463,0),IF(J1463="",-1E+300,ROUND(-J1463,6)),IF(J1463="",-1E+300,ROUND(J1463,6)))),-1.5E+300))</f>
        <v/>
      </c>
      <c r="L1463" t="str">
        <f>IF(K1463="","",RANK(K1463,$K$2:$K$3001,0)+COUNTIF($K$2:K1463,K1463)-1)</f>
        <v/>
      </c>
    </row>
    <row r="1464">
      <c r="B1464" t="str">
        <f>IFERROR(IF(A1464="","","="&amp;SUBSTITUTE(SUBSTITUTE(SUBSTITUTE(A1464,"~","~~"),"*","~*"),"?","~?")),"")</f>
        <v/>
      </c>
      <c r="C1464" t="str">
        <f>IF($B1464="","",SUMIFS(dAmt,dCust,$B1464,dPer,"&gt;="&amp;pyFrom,dPer,"&lt;="&amp;pyTo,dAmt,"&gt;-1E+300",dFlt1,critFlt1,dFlt2,critFlt2,dFlt3,critFlt3))</f>
        <v/>
      </c>
      <c r="D1464" t="str">
        <f>IF($B1464="","",SUMIFS(dAmt,dCust,$B1464,dPer,"&gt;="&amp;cyFrom,dPer,"&lt;="&amp;cyTo,dAmt,"&gt;-1E+300",dFlt1,critFlt1,dFlt2,critFlt2,dFlt3,critFlt3))</f>
        <v/>
      </c>
      <c r="E1464" t="str">
        <f>IF($B1464="","",SUMIFS(dQty,dCust,$B1464,dPer,"&gt;="&amp;pyFrom,dPer,"&lt;="&amp;pyTo,dQty,"&gt;-1E+300",dFlt1,critFlt1,dFlt2,critFlt2,dFlt3,critFlt3))</f>
        <v/>
      </c>
      <c r="F1464" t="str">
        <f>IF($B1464="","",SUMIFS(dQty,dCust,$B1464,dPer,"&gt;="&amp;cyFrom,dPer,"&lt;="&amp;cyTo,dQty,"&gt;-1E+300",dFlt1,critFlt1,dFlt2,critFlt2,dFlt3,critFlt3))</f>
        <v/>
      </c>
      <c r="G1464">
        <f>IF($B1464="",0,IFERROR(IF(OR(C1464&lt;&gt;0,D1464&lt;&gt;0,E1464&lt;&gt;0,F1464&lt;&gt;0),1,0),1))</f>
        <v>0</v>
      </c>
      <c r="H1464" t="str">
        <f>IF(OR(G1464=0,E1464=0),"",C1464/E1464)</f>
        <v/>
      </c>
      <c r="I1464" t="str">
        <f>IF(OR(G1464=0,F1464=0),"",D1464/F1464)</f>
        <v/>
      </c>
      <c r="J1464" t="str">
        <f>IF(OR(H1464="",I1464=""),"",IF(H1464=0,"",I1464/H1464-1))</f>
        <v/>
      </c>
      <c r="K1464" t="str">
        <f>IF($B1464="","",IFERROR(IF(G1464=0,-2E+300,CHOOSE(sortIdx,ROUND(D1464,0),IF(J1464="",-1E+300,ROUND(-J1464,6)),IF(J1464="",-1E+300,ROUND(J1464,6)))),-1.5E+300))</f>
        <v/>
      </c>
      <c r="L1464" t="str">
        <f>IF(K1464="","",RANK(K1464,$K$2:$K$3001,0)+COUNTIF($K$2:K1464,K1464)-1)</f>
        <v/>
      </c>
    </row>
    <row r="1465">
      <c r="B1465" t="str">
        <f>IFERROR(IF(A1465="","","="&amp;SUBSTITUTE(SUBSTITUTE(SUBSTITUTE(A1465,"~","~~"),"*","~*"),"?","~?")),"")</f>
        <v/>
      </c>
      <c r="C1465" t="str">
        <f>IF($B1465="","",SUMIFS(dAmt,dCust,$B1465,dPer,"&gt;="&amp;pyFrom,dPer,"&lt;="&amp;pyTo,dAmt,"&gt;-1E+300",dFlt1,critFlt1,dFlt2,critFlt2,dFlt3,critFlt3))</f>
        <v/>
      </c>
      <c r="D1465" t="str">
        <f>IF($B1465="","",SUMIFS(dAmt,dCust,$B1465,dPer,"&gt;="&amp;cyFrom,dPer,"&lt;="&amp;cyTo,dAmt,"&gt;-1E+300",dFlt1,critFlt1,dFlt2,critFlt2,dFlt3,critFlt3))</f>
        <v/>
      </c>
      <c r="E1465" t="str">
        <f>IF($B1465="","",SUMIFS(dQty,dCust,$B1465,dPer,"&gt;="&amp;pyFrom,dPer,"&lt;="&amp;pyTo,dQty,"&gt;-1E+300",dFlt1,critFlt1,dFlt2,critFlt2,dFlt3,critFlt3))</f>
        <v/>
      </c>
      <c r="F1465" t="str">
        <f>IF($B1465="","",SUMIFS(dQty,dCust,$B1465,dPer,"&gt;="&amp;cyFrom,dPer,"&lt;="&amp;cyTo,dQty,"&gt;-1E+300",dFlt1,critFlt1,dFlt2,critFlt2,dFlt3,critFlt3))</f>
        <v/>
      </c>
      <c r="G1465">
        <f>IF($B1465="",0,IFERROR(IF(OR(C1465&lt;&gt;0,D1465&lt;&gt;0,E1465&lt;&gt;0,F1465&lt;&gt;0),1,0),1))</f>
        <v>0</v>
      </c>
      <c r="H1465" t="str">
        <f>IF(OR(G1465=0,E1465=0),"",C1465/E1465)</f>
        <v/>
      </c>
      <c r="I1465" t="str">
        <f>IF(OR(G1465=0,F1465=0),"",D1465/F1465)</f>
        <v/>
      </c>
      <c r="J1465" t="str">
        <f>IF(OR(H1465="",I1465=""),"",IF(H1465=0,"",I1465/H1465-1))</f>
        <v/>
      </c>
      <c r="K1465" t="str">
        <f>IF($B1465="","",IFERROR(IF(G1465=0,-2E+300,CHOOSE(sortIdx,ROUND(D1465,0),IF(J1465="",-1E+300,ROUND(-J1465,6)),IF(J1465="",-1E+300,ROUND(J1465,6)))),-1.5E+300))</f>
        <v/>
      </c>
      <c r="L1465" t="str">
        <f>IF(K1465="","",RANK(K1465,$K$2:$K$3001,0)+COUNTIF($K$2:K1465,K1465)-1)</f>
        <v/>
      </c>
    </row>
    <row r="1466">
      <c r="B1466" t="str">
        <f>IFERROR(IF(A1466="","","="&amp;SUBSTITUTE(SUBSTITUTE(SUBSTITUTE(A1466,"~","~~"),"*","~*"),"?","~?")),"")</f>
        <v/>
      </c>
      <c r="C1466" t="str">
        <f>IF($B1466="","",SUMIFS(dAmt,dCust,$B1466,dPer,"&gt;="&amp;pyFrom,dPer,"&lt;="&amp;pyTo,dAmt,"&gt;-1E+300",dFlt1,critFlt1,dFlt2,critFlt2,dFlt3,critFlt3))</f>
        <v/>
      </c>
      <c r="D1466" t="str">
        <f>IF($B1466="","",SUMIFS(dAmt,dCust,$B1466,dPer,"&gt;="&amp;cyFrom,dPer,"&lt;="&amp;cyTo,dAmt,"&gt;-1E+300",dFlt1,critFlt1,dFlt2,critFlt2,dFlt3,critFlt3))</f>
        <v/>
      </c>
      <c r="E1466" t="str">
        <f>IF($B1466="","",SUMIFS(dQty,dCust,$B1466,dPer,"&gt;="&amp;pyFrom,dPer,"&lt;="&amp;pyTo,dQty,"&gt;-1E+300",dFlt1,critFlt1,dFlt2,critFlt2,dFlt3,critFlt3))</f>
        <v/>
      </c>
      <c r="F1466" t="str">
        <f>IF($B1466="","",SUMIFS(dQty,dCust,$B1466,dPer,"&gt;="&amp;cyFrom,dPer,"&lt;="&amp;cyTo,dQty,"&gt;-1E+300",dFlt1,critFlt1,dFlt2,critFlt2,dFlt3,critFlt3))</f>
        <v/>
      </c>
      <c r="G1466">
        <f>IF($B1466="",0,IFERROR(IF(OR(C1466&lt;&gt;0,D1466&lt;&gt;0,E1466&lt;&gt;0,F1466&lt;&gt;0),1,0),1))</f>
        <v>0</v>
      </c>
      <c r="H1466" t="str">
        <f>IF(OR(G1466=0,E1466=0),"",C1466/E1466)</f>
        <v/>
      </c>
      <c r="I1466" t="str">
        <f>IF(OR(G1466=0,F1466=0),"",D1466/F1466)</f>
        <v/>
      </c>
      <c r="J1466" t="str">
        <f>IF(OR(H1466="",I1466=""),"",IF(H1466=0,"",I1466/H1466-1))</f>
        <v/>
      </c>
      <c r="K1466" t="str">
        <f>IF($B1466="","",IFERROR(IF(G1466=0,-2E+300,CHOOSE(sortIdx,ROUND(D1466,0),IF(J1466="",-1E+300,ROUND(-J1466,6)),IF(J1466="",-1E+300,ROUND(J1466,6)))),-1.5E+300))</f>
        <v/>
      </c>
      <c r="L1466" t="str">
        <f>IF(K1466="","",RANK(K1466,$K$2:$K$3001,0)+COUNTIF($K$2:K1466,K1466)-1)</f>
        <v/>
      </c>
    </row>
    <row r="1467">
      <c r="B1467" t="str">
        <f>IFERROR(IF(A1467="","","="&amp;SUBSTITUTE(SUBSTITUTE(SUBSTITUTE(A1467,"~","~~"),"*","~*"),"?","~?")),"")</f>
        <v/>
      </c>
      <c r="C1467" t="str">
        <f>IF($B1467="","",SUMIFS(dAmt,dCust,$B1467,dPer,"&gt;="&amp;pyFrom,dPer,"&lt;="&amp;pyTo,dAmt,"&gt;-1E+300",dFlt1,critFlt1,dFlt2,critFlt2,dFlt3,critFlt3))</f>
        <v/>
      </c>
      <c r="D1467" t="str">
        <f>IF($B1467="","",SUMIFS(dAmt,dCust,$B1467,dPer,"&gt;="&amp;cyFrom,dPer,"&lt;="&amp;cyTo,dAmt,"&gt;-1E+300",dFlt1,critFlt1,dFlt2,critFlt2,dFlt3,critFlt3))</f>
        <v/>
      </c>
      <c r="E1467" t="str">
        <f>IF($B1467="","",SUMIFS(dQty,dCust,$B1467,dPer,"&gt;="&amp;pyFrom,dPer,"&lt;="&amp;pyTo,dQty,"&gt;-1E+300",dFlt1,critFlt1,dFlt2,critFlt2,dFlt3,critFlt3))</f>
        <v/>
      </c>
      <c r="F1467" t="str">
        <f>IF($B1467="","",SUMIFS(dQty,dCust,$B1467,dPer,"&gt;="&amp;cyFrom,dPer,"&lt;="&amp;cyTo,dQty,"&gt;-1E+300",dFlt1,critFlt1,dFlt2,critFlt2,dFlt3,critFlt3))</f>
        <v/>
      </c>
      <c r="G1467">
        <f>IF($B1467="",0,IFERROR(IF(OR(C1467&lt;&gt;0,D1467&lt;&gt;0,E1467&lt;&gt;0,F1467&lt;&gt;0),1,0),1))</f>
        <v>0</v>
      </c>
      <c r="H1467" t="str">
        <f>IF(OR(G1467=0,E1467=0),"",C1467/E1467)</f>
        <v/>
      </c>
      <c r="I1467" t="str">
        <f>IF(OR(G1467=0,F1467=0),"",D1467/F1467)</f>
        <v/>
      </c>
      <c r="J1467" t="str">
        <f>IF(OR(H1467="",I1467=""),"",IF(H1467=0,"",I1467/H1467-1))</f>
        <v/>
      </c>
      <c r="K1467" t="str">
        <f>IF($B1467="","",IFERROR(IF(G1467=0,-2E+300,CHOOSE(sortIdx,ROUND(D1467,0),IF(J1467="",-1E+300,ROUND(-J1467,6)),IF(J1467="",-1E+300,ROUND(J1467,6)))),-1.5E+300))</f>
        <v/>
      </c>
      <c r="L1467" t="str">
        <f>IF(K1467="","",RANK(K1467,$K$2:$K$3001,0)+COUNTIF($K$2:K1467,K1467)-1)</f>
        <v/>
      </c>
    </row>
    <row r="1468">
      <c r="B1468" t="str">
        <f>IFERROR(IF(A1468="","","="&amp;SUBSTITUTE(SUBSTITUTE(SUBSTITUTE(A1468,"~","~~"),"*","~*"),"?","~?")),"")</f>
        <v/>
      </c>
      <c r="C1468" t="str">
        <f>IF($B1468="","",SUMIFS(dAmt,dCust,$B1468,dPer,"&gt;="&amp;pyFrom,dPer,"&lt;="&amp;pyTo,dAmt,"&gt;-1E+300",dFlt1,critFlt1,dFlt2,critFlt2,dFlt3,critFlt3))</f>
        <v/>
      </c>
      <c r="D1468" t="str">
        <f>IF($B1468="","",SUMIFS(dAmt,dCust,$B1468,dPer,"&gt;="&amp;cyFrom,dPer,"&lt;="&amp;cyTo,dAmt,"&gt;-1E+300",dFlt1,critFlt1,dFlt2,critFlt2,dFlt3,critFlt3))</f>
        <v/>
      </c>
      <c r="E1468" t="str">
        <f>IF($B1468="","",SUMIFS(dQty,dCust,$B1468,dPer,"&gt;="&amp;pyFrom,dPer,"&lt;="&amp;pyTo,dQty,"&gt;-1E+300",dFlt1,critFlt1,dFlt2,critFlt2,dFlt3,critFlt3))</f>
        <v/>
      </c>
      <c r="F1468" t="str">
        <f>IF($B1468="","",SUMIFS(dQty,dCust,$B1468,dPer,"&gt;="&amp;cyFrom,dPer,"&lt;="&amp;cyTo,dQty,"&gt;-1E+300",dFlt1,critFlt1,dFlt2,critFlt2,dFlt3,critFlt3))</f>
        <v/>
      </c>
      <c r="G1468">
        <f>IF($B1468="",0,IFERROR(IF(OR(C1468&lt;&gt;0,D1468&lt;&gt;0,E1468&lt;&gt;0,F1468&lt;&gt;0),1,0),1))</f>
        <v>0</v>
      </c>
      <c r="H1468" t="str">
        <f>IF(OR(G1468=0,E1468=0),"",C1468/E1468)</f>
        <v/>
      </c>
      <c r="I1468" t="str">
        <f>IF(OR(G1468=0,F1468=0),"",D1468/F1468)</f>
        <v/>
      </c>
      <c r="J1468" t="str">
        <f>IF(OR(H1468="",I1468=""),"",IF(H1468=0,"",I1468/H1468-1))</f>
        <v/>
      </c>
      <c r="K1468" t="str">
        <f>IF($B1468="","",IFERROR(IF(G1468=0,-2E+300,CHOOSE(sortIdx,ROUND(D1468,0),IF(J1468="",-1E+300,ROUND(-J1468,6)),IF(J1468="",-1E+300,ROUND(J1468,6)))),-1.5E+300))</f>
        <v/>
      </c>
      <c r="L1468" t="str">
        <f>IF(K1468="","",RANK(K1468,$K$2:$K$3001,0)+COUNTIF($K$2:K1468,K1468)-1)</f>
        <v/>
      </c>
    </row>
    <row r="1469">
      <c r="B1469" t="str">
        <f>IFERROR(IF(A1469="","","="&amp;SUBSTITUTE(SUBSTITUTE(SUBSTITUTE(A1469,"~","~~"),"*","~*"),"?","~?")),"")</f>
        <v/>
      </c>
      <c r="C1469" t="str">
        <f>IF($B1469="","",SUMIFS(dAmt,dCust,$B1469,dPer,"&gt;="&amp;pyFrom,dPer,"&lt;="&amp;pyTo,dAmt,"&gt;-1E+300",dFlt1,critFlt1,dFlt2,critFlt2,dFlt3,critFlt3))</f>
        <v/>
      </c>
      <c r="D1469" t="str">
        <f>IF($B1469="","",SUMIFS(dAmt,dCust,$B1469,dPer,"&gt;="&amp;cyFrom,dPer,"&lt;="&amp;cyTo,dAmt,"&gt;-1E+300",dFlt1,critFlt1,dFlt2,critFlt2,dFlt3,critFlt3))</f>
        <v/>
      </c>
      <c r="E1469" t="str">
        <f>IF($B1469="","",SUMIFS(dQty,dCust,$B1469,dPer,"&gt;="&amp;pyFrom,dPer,"&lt;="&amp;pyTo,dQty,"&gt;-1E+300",dFlt1,critFlt1,dFlt2,critFlt2,dFlt3,critFlt3))</f>
        <v/>
      </c>
      <c r="F1469" t="str">
        <f>IF($B1469="","",SUMIFS(dQty,dCust,$B1469,dPer,"&gt;="&amp;cyFrom,dPer,"&lt;="&amp;cyTo,dQty,"&gt;-1E+300",dFlt1,critFlt1,dFlt2,critFlt2,dFlt3,critFlt3))</f>
        <v/>
      </c>
      <c r="G1469">
        <f>IF($B1469="",0,IFERROR(IF(OR(C1469&lt;&gt;0,D1469&lt;&gt;0,E1469&lt;&gt;0,F1469&lt;&gt;0),1,0),1))</f>
        <v>0</v>
      </c>
      <c r="H1469" t="str">
        <f>IF(OR(G1469=0,E1469=0),"",C1469/E1469)</f>
        <v/>
      </c>
      <c r="I1469" t="str">
        <f>IF(OR(G1469=0,F1469=0),"",D1469/F1469)</f>
        <v/>
      </c>
      <c r="J1469" t="str">
        <f>IF(OR(H1469="",I1469=""),"",IF(H1469=0,"",I1469/H1469-1))</f>
        <v/>
      </c>
      <c r="K1469" t="str">
        <f>IF($B1469="","",IFERROR(IF(G1469=0,-2E+300,CHOOSE(sortIdx,ROUND(D1469,0),IF(J1469="",-1E+300,ROUND(-J1469,6)),IF(J1469="",-1E+300,ROUND(J1469,6)))),-1.5E+300))</f>
        <v/>
      </c>
      <c r="L1469" t="str">
        <f>IF(K1469="","",RANK(K1469,$K$2:$K$3001,0)+COUNTIF($K$2:K1469,K1469)-1)</f>
        <v/>
      </c>
    </row>
    <row r="1470">
      <c r="B1470" t="str">
        <f>IFERROR(IF(A1470="","","="&amp;SUBSTITUTE(SUBSTITUTE(SUBSTITUTE(A1470,"~","~~"),"*","~*"),"?","~?")),"")</f>
        <v/>
      </c>
      <c r="C1470" t="str">
        <f>IF($B1470="","",SUMIFS(dAmt,dCust,$B1470,dPer,"&gt;="&amp;pyFrom,dPer,"&lt;="&amp;pyTo,dAmt,"&gt;-1E+300",dFlt1,critFlt1,dFlt2,critFlt2,dFlt3,critFlt3))</f>
        <v/>
      </c>
      <c r="D1470" t="str">
        <f>IF($B1470="","",SUMIFS(dAmt,dCust,$B1470,dPer,"&gt;="&amp;cyFrom,dPer,"&lt;="&amp;cyTo,dAmt,"&gt;-1E+300",dFlt1,critFlt1,dFlt2,critFlt2,dFlt3,critFlt3))</f>
        <v/>
      </c>
      <c r="E1470" t="str">
        <f>IF($B1470="","",SUMIFS(dQty,dCust,$B1470,dPer,"&gt;="&amp;pyFrom,dPer,"&lt;="&amp;pyTo,dQty,"&gt;-1E+300",dFlt1,critFlt1,dFlt2,critFlt2,dFlt3,critFlt3))</f>
        <v/>
      </c>
      <c r="F1470" t="str">
        <f>IF($B1470="","",SUMIFS(dQty,dCust,$B1470,dPer,"&gt;="&amp;cyFrom,dPer,"&lt;="&amp;cyTo,dQty,"&gt;-1E+300",dFlt1,critFlt1,dFlt2,critFlt2,dFlt3,critFlt3))</f>
        <v/>
      </c>
      <c r="G1470">
        <f>IF($B1470="",0,IFERROR(IF(OR(C1470&lt;&gt;0,D1470&lt;&gt;0,E1470&lt;&gt;0,F1470&lt;&gt;0),1,0),1))</f>
        <v>0</v>
      </c>
      <c r="H1470" t="str">
        <f>IF(OR(G1470=0,E1470=0),"",C1470/E1470)</f>
        <v/>
      </c>
      <c r="I1470" t="str">
        <f>IF(OR(G1470=0,F1470=0),"",D1470/F1470)</f>
        <v/>
      </c>
      <c r="J1470" t="str">
        <f>IF(OR(H1470="",I1470=""),"",IF(H1470=0,"",I1470/H1470-1))</f>
        <v/>
      </c>
      <c r="K1470" t="str">
        <f>IF($B1470="","",IFERROR(IF(G1470=0,-2E+300,CHOOSE(sortIdx,ROUND(D1470,0),IF(J1470="",-1E+300,ROUND(-J1470,6)),IF(J1470="",-1E+300,ROUND(J1470,6)))),-1.5E+300))</f>
        <v/>
      </c>
      <c r="L1470" t="str">
        <f>IF(K1470="","",RANK(K1470,$K$2:$K$3001,0)+COUNTIF($K$2:K1470,K1470)-1)</f>
        <v/>
      </c>
    </row>
    <row r="1471">
      <c r="B1471" t="str">
        <f>IFERROR(IF(A1471="","","="&amp;SUBSTITUTE(SUBSTITUTE(SUBSTITUTE(A1471,"~","~~"),"*","~*"),"?","~?")),"")</f>
        <v/>
      </c>
      <c r="C1471" t="str">
        <f>IF($B1471="","",SUMIFS(dAmt,dCust,$B1471,dPer,"&gt;="&amp;pyFrom,dPer,"&lt;="&amp;pyTo,dAmt,"&gt;-1E+300",dFlt1,critFlt1,dFlt2,critFlt2,dFlt3,critFlt3))</f>
        <v/>
      </c>
      <c r="D1471" t="str">
        <f>IF($B1471="","",SUMIFS(dAmt,dCust,$B1471,dPer,"&gt;="&amp;cyFrom,dPer,"&lt;="&amp;cyTo,dAmt,"&gt;-1E+300",dFlt1,critFlt1,dFlt2,critFlt2,dFlt3,critFlt3))</f>
        <v/>
      </c>
      <c r="E1471" t="str">
        <f>IF($B1471="","",SUMIFS(dQty,dCust,$B1471,dPer,"&gt;="&amp;pyFrom,dPer,"&lt;="&amp;pyTo,dQty,"&gt;-1E+300",dFlt1,critFlt1,dFlt2,critFlt2,dFlt3,critFlt3))</f>
        <v/>
      </c>
      <c r="F1471" t="str">
        <f>IF($B1471="","",SUMIFS(dQty,dCust,$B1471,dPer,"&gt;="&amp;cyFrom,dPer,"&lt;="&amp;cyTo,dQty,"&gt;-1E+300",dFlt1,critFlt1,dFlt2,critFlt2,dFlt3,critFlt3))</f>
        <v/>
      </c>
      <c r="G1471">
        <f>IF($B1471="",0,IFERROR(IF(OR(C1471&lt;&gt;0,D1471&lt;&gt;0,E1471&lt;&gt;0,F1471&lt;&gt;0),1,0),1))</f>
        <v>0</v>
      </c>
      <c r="H1471" t="str">
        <f>IF(OR(G1471=0,E1471=0),"",C1471/E1471)</f>
        <v/>
      </c>
      <c r="I1471" t="str">
        <f>IF(OR(G1471=0,F1471=0),"",D1471/F1471)</f>
        <v/>
      </c>
      <c r="J1471" t="str">
        <f>IF(OR(H1471="",I1471=""),"",IF(H1471=0,"",I1471/H1471-1))</f>
        <v/>
      </c>
      <c r="K1471" t="str">
        <f>IF($B1471="","",IFERROR(IF(G1471=0,-2E+300,CHOOSE(sortIdx,ROUND(D1471,0),IF(J1471="",-1E+300,ROUND(-J1471,6)),IF(J1471="",-1E+300,ROUND(J1471,6)))),-1.5E+300))</f>
        <v/>
      </c>
      <c r="L1471" t="str">
        <f>IF(K1471="","",RANK(K1471,$K$2:$K$3001,0)+COUNTIF($K$2:K1471,K1471)-1)</f>
        <v/>
      </c>
    </row>
    <row r="1472">
      <c r="B1472" t="str">
        <f>IFERROR(IF(A1472="","","="&amp;SUBSTITUTE(SUBSTITUTE(SUBSTITUTE(A1472,"~","~~"),"*","~*"),"?","~?")),"")</f>
        <v/>
      </c>
      <c r="C1472" t="str">
        <f>IF($B1472="","",SUMIFS(dAmt,dCust,$B1472,dPer,"&gt;="&amp;pyFrom,dPer,"&lt;="&amp;pyTo,dAmt,"&gt;-1E+300",dFlt1,critFlt1,dFlt2,critFlt2,dFlt3,critFlt3))</f>
        <v/>
      </c>
      <c r="D1472" t="str">
        <f>IF($B1472="","",SUMIFS(dAmt,dCust,$B1472,dPer,"&gt;="&amp;cyFrom,dPer,"&lt;="&amp;cyTo,dAmt,"&gt;-1E+300",dFlt1,critFlt1,dFlt2,critFlt2,dFlt3,critFlt3))</f>
        <v/>
      </c>
      <c r="E1472" t="str">
        <f>IF($B1472="","",SUMIFS(dQty,dCust,$B1472,dPer,"&gt;="&amp;pyFrom,dPer,"&lt;="&amp;pyTo,dQty,"&gt;-1E+300",dFlt1,critFlt1,dFlt2,critFlt2,dFlt3,critFlt3))</f>
        <v/>
      </c>
      <c r="F1472" t="str">
        <f>IF($B1472="","",SUMIFS(dQty,dCust,$B1472,dPer,"&gt;="&amp;cyFrom,dPer,"&lt;="&amp;cyTo,dQty,"&gt;-1E+300",dFlt1,critFlt1,dFlt2,critFlt2,dFlt3,critFlt3))</f>
        <v/>
      </c>
      <c r="G1472">
        <f>IF($B1472="",0,IFERROR(IF(OR(C1472&lt;&gt;0,D1472&lt;&gt;0,E1472&lt;&gt;0,F1472&lt;&gt;0),1,0),1))</f>
        <v>0</v>
      </c>
      <c r="H1472" t="str">
        <f>IF(OR(G1472=0,E1472=0),"",C1472/E1472)</f>
        <v/>
      </c>
      <c r="I1472" t="str">
        <f>IF(OR(G1472=0,F1472=0),"",D1472/F1472)</f>
        <v/>
      </c>
      <c r="J1472" t="str">
        <f>IF(OR(H1472="",I1472=""),"",IF(H1472=0,"",I1472/H1472-1))</f>
        <v/>
      </c>
      <c r="K1472" t="str">
        <f>IF($B1472="","",IFERROR(IF(G1472=0,-2E+300,CHOOSE(sortIdx,ROUND(D1472,0),IF(J1472="",-1E+300,ROUND(-J1472,6)),IF(J1472="",-1E+300,ROUND(J1472,6)))),-1.5E+300))</f>
        <v/>
      </c>
      <c r="L1472" t="str">
        <f>IF(K1472="","",RANK(K1472,$K$2:$K$3001,0)+COUNTIF($K$2:K1472,K1472)-1)</f>
        <v/>
      </c>
    </row>
    <row r="1473">
      <c r="B1473" t="str">
        <f>IFERROR(IF(A1473="","","="&amp;SUBSTITUTE(SUBSTITUTE(SUBSTITUTE(A1473,"~","~~"),"*","~*"),"?","~?")),"")</f>
        <v/>
      </c>
      <c r="C1473" t="str">
        <f>IF($B1473="","",SUMIFS(dAmt,dCust,$B1473,dPer,"&gt;="&amp;pyFrom,dPer,"&lt;="&amp;pyTo,dAmt,"&gt;-1E+300",dFlt1,critFlt1,dFlt2,critFlt2,dFlt3,critFlt3))</f>
        <v/>
      </c>
      <c r="D1473" t="str">
        <f>IF($B1473="","",SUMIFS(dAmt,dCust,$B1473,dPer,"&gt;="&amp;cyFrom,dPer,"&lt;="&amp;cyTo,dAmt,"&gt;-1E+300",dFlt1,critFlt1,dFlt2,critFlt2,dFlt3,critFlt3))</f>
        <v/>
      </c>
      <c r="E1473" t="str">
        <f>IF($B1473="","",SUMIFS(dQty,dCust,$B1473,dPer,"&gt;="&amp;pyFrom,dPer,"&lt;="&amp;pyTo,dQty,"&gt;-1E+300",dFlt1,critFlt1,dFlt2,critFlt2,dFlt3,critFlt3))</f>
        <v/>
      </c>
      <c r="F1473" t="str">
        <f>IF($B1473="","",SUMIFS(dQty,dCust,$B1473,dPer,"&gt;="&amp;cyFrom,dPer,"&lt;="&amp;cyTo,dQty,"&gt;-1E+300",dFlt1,critFlt1,dFlt2,critFlt2,dFlt3,critFlt3))</f>
        <v/>
      </c>
      <c r="G1473">
        <f>IF($B1473="",0,IFERROR(IF(OR(C1473&lt;&gt;0,D1473&lt;&gt;0,E1473&lt;&gt;0,F1473&lt;&gt;0),1,0),1))</f>
        <v>0</v>
      </c>
      <c r="H1473" t="str">
        <f>IF(OR(G1473=0,E1473=0),"",C1473/E1473)</f>
        <v/>
      </c>
      <c r="I1473" t="str">
        <f>IF(OR(G1473=0,F1473=0),"",D1473/F1473)</f>
        <v/>
      </c>
      <c r="J1473" t="str">
        <f>IF(OR(H1473="",I1473=""),"",IF(H1473=0,"",I1473/H1473-1))</f>
        <v/>
      </c>
      <c r="K1473" t="str">
        <f>IF($B1473="","",IFERROR(IF(G1473=0,-2E+300,CHOOSE(sortIdx,ROUND(D1473,0),IF(J1473="",-1E+300,ROUND(-J1473,6)),IF(J1473="",-1E+300,ROUND(J1473,6)))),-1.5E+300))</f>
        <v/>
      </c>
      <c r="L1473" t="str">
        <f>IF(K1473="","",RANK(K1473,$K$2:$K$3001,0)+COUNTIF($K$2:K1473,K1473)-1)</f>
        <v/>
      </c>
    </row>
    <row r="1474">
      <c r="B1474" t="str">
        <f>IFERROR(IF(A1474="","","="&amp;SUBSTITUTE(SUBSTITUTE(SUBSTITUTE(A1474,"~","~~"),"*","~*"),"?","~?")),"")</f>
        <v/>
      </c>
      <c r="C1474" t="str">
        <f>IF($B1474="","",SUMIFS(dAmt,dCust,$B1474,dPer,"&gt;="&amp;pyFrom,dPer,"&lt;="&amp;pyTo,dAmt,"&gt;-1E+300",dFlt1,critFlt1,dFlt2,critFlt2,dFlt3,critFlt3))</f>
        <v/>
      </c>
      <c r="D1474" t="str">
        <f>IF($B1474="","",SUMIFS(dAmt,dCust,$B1474,dPer,"&gt;="&amp;cyFrom,dPer,"&lt;="&amp;cyTo,dAmt,"&gt;-1E+300",dFlt1,critFlt1,dFlt2,critFlt2,dFlt3,critFlt3))</f>
        <v/>
      </c>
      <c r="E1474" t="str">
        <f>IF($B1474="","",SUMIFS(dQty,dCust,$B1474,dPer,"&gt;="&amp;pyFrom,dPer,"&lt;="&amp;pyTo,dQty,"&gt;-1E+300",dFlt1,critFlt1,dFlt2,critFlt2,dFlt3,critFlt3))</f>
        <v/>
      </c>
      <c r="F1474" t="str">
        <f>IF($B1474="","",SUMIFS(dQty,dCust,$B1474,dPer,"&gt;="&amp;cyFrom,dPer,"&lt;="&amp;cyTo,dQty,"&gt;-1E+300",dFlt1,critFlt1,dFlt2,critFlt2,dFlt3,critFlt3))</f>
        <v/>
      </c>
      <c r="G1474">
        <f>IF($B1474="",0,IFERROR(IF(OR(C1474&lt;&gt;0,D1474&lt;&gt;0,E1474&lt;&gt;0,F1474&lt;&gt;0),1,0),1))</f>
        <v>0</v>
      </c>
      <c r="H1474" t="str">
        <f>IF(OR(G1474=0,E1474=0),"",C1474/E1474)</f>
        <v/>
      </c>
      <c r="I1474" t="str">
        <f>IF(OR(G1474=0,F1474=0),"",D1474/F1474)</f>
        <v/>
      </c>
      <c r="J1474" t="str">
        <f>IF(OR(H1474="",I1474=""),"",IF(H1474=0,"",I1474/H1474-1))</f>
        <v/>
      </c>
      <c r="K1474" t="str">
        <f>IF($B1474="","",IFERROR(IF(G1474=0,-2E+300,CHOOSE(sortIdx,ROUND(D1474,0),IF(J1474="",-1E+300,ROUND(-J1474,6)),IF(J1474="",-1E+300,ROUND(J1474,6)))),-1.5E+300))</f>
        <v/>
      </c>
      <c r="L1474" t="str">
        <f>IF(K1474="","",RANK(K1474,$K$2:$K$3001,0)+COUNTIF($K$2:K1474,K1474)-1)</f>
        <v/>
      </c>
    </row>
    <row r="1475">
      <c r="B1475" t="str">
        <f>IFERROR(IF(A1475="","","="&amp;SUBSTITUTE(SUBSTITUTE(SUBSTITUTE(A1475,"~","~~"),"*","~*"),"?","~?")),"")</f>
        <v/>
      </c>
      <c r="C1475" t="str">
        <f>IF($B1475="","",SUMIFS(dAmt,dCust,$B1475,dPer,"&gt;="&amp;pyFrom,dPer,"&lt;="&amp;pyTo,dAmt,"&gt;-1E+300",dFlt1,critFlt1,dFlt2,critFlt2,dFlt3,critFlt3))</f>
        <v/>
      </c>
      <c r="D1475" t="str">
        <f>IF($B1475="","",SUMIFS(dAmt,dCust,$B1475,dPer,"&gt;="&amp;cyFrom,dPer,"&lt;="&amp;cyTo,dAmt,"&gt;-1E+300",dFlt1,critFlt1,dFlt2,critFlt2,dFlt3,critFlt3))</f>
        <v/>
      </c>
      <c r="E1475" t="str">
        <f>IF($B1475="","",SUMIFS(dQty,dCust,$B1475,dPer,"&gt;="&amp;pyFrom,dPer,"&lt;="&amp;pyTo,dQty,"&gt;-1E+300",dFlt1,critFlt1,dFlt2,critFlt2,dFlt3,critFlt3))</f>
        <v/>
      </c>
      <c r="F1475" t="str">
        <f>IF($B1475="","",SUMIFS(dQty,dCust,$B1475,dPer,"&gt;="&amp;cyFrom,dPer,"&lt;="&amp;cyTo,dQty,"&gt;-1E+300",dFlt1,critFlt1,dFlt2,critFlt2,dFlt3,critFlt3))</f>
        <v/>
      </c>
      <c r="G1475">
        <f>IF($B1475="",0,IFERROR(IF(OR(C1475&lt;&gt;0,D1475&lt;&gt;0,E1475&lt;&gt;0,F1475&lt;&gt;0),1,0),1))</f>
        <v>0</v>
      </c>
      <c r="H1475" t="str">
        <f>IF(OR(G1475=0,E1475=0),"",C1475/E1475)</f>
        <v/>
      </c>
      <c r="I1475" t="str">
        <f>IF(OR(G1475=0,F1475=0),"",D1475/F1475)</f>
        <v/>
      </c>
      <c r="J1475" t="str">
        <f>IF(OR(H1475="",I1475=""),"",IF(H1475=0,"",I1475/H1475-1))</f>
        <v/>
      </c>
      <c r="K1475" t="str">
        <f>IF($B1475="","",IFERROR(IF(G1475=0,-2E+300,CHOOSE(sortIdx,ROUND(D1475,0),IF(J1475="",-1E+300,ROUND(-J1475,6)),IF(J1475="",-1E+300,ROUND(J1475,6)))),-1.5E+300))</f>
        <v/>
      </c>
      <c r="L1475" t="str">
        <f>IF(K1475="","",RANK(K1475,$K$2:$K$3001,0)+COUNTIF($K$2:K1475,K1475)-1)</f>
        <v/>
      </c>
    </row>
    <row r="1476">
      <c r="B1476" t="str">
        <f>IFERROR(IF(A1476="","","="&amp;SUBSTITUTE(SUBSTITUTE(SUBSTITUTE(A1476,"~","~~"),"*","~*"),"?","~?")),"")</f>
        <v/>
      </c>
      <c r="C1476" t="str">
        <f>IF($B1476="","",SUMIFS(dAmt,dCust,$B1476,dPer,"&gt;="&amp;pyFrom,dPer,"&lt;="&amp;pyTo,dAmt,"&gt;-1E+300",dFlt1,critFlt1,dFlt2,critFlt2,dFlt3,critFlt3))</f>
        <v/>
      </c>
      <c r="D1476" t="str">
        <f>IF($B1476="","",SUMIFS(dAmt,dCust,$B1476,dPer,"&gt;="&amp;cyFrom,dPer,"&lt;="&amp;cyTo,dAmt,"&gt;-1E+300",dFlt1,critFlt1,dFlt2,critFlt2,dFlt3,critFlt3))</f>
        <v/>
      </c>
      <c r="E1476" t="str">
        <f>IF($B1476="","",SUMIFS(dQty,dCust,$B1476,dPer,"&gt;="&amp;pyFrom,dPer,"&lt;="&amp;pyTo,dQty,"&gt;-1E+300",dFlt1,critFlt1,dFlt2,critFlt2,dFlt3,critFlt3))</f>
        <v/>
      </c>
      <c r="F1476" t="str">
        <f>IF($B1476="","",SUMIFS(dQty,dCust,$B1476,dPer,"&gt;="&amp;cyFrom,dPer,"&lt;="&amp;cyTo,dQty,"&gt;-1E+300",dFlt1,critFlt1,dFlt2,critFlt2,dFlt3,critFlt3))</f>
        <v/>
      </c>
      <c r="G1476">
        <f>IF($B1476="",0,IFERROR(IF(OR(C1476&lt;&gt;0,D1476&lt;&gt;0,E1476&lt;&gt;0,F1476&lt;&gt;0),1,0),1))</f>
        <v>0</v>
      </c>
      <c r="H1476" t="str">
        <f>IF(OR(G1476=0,E1476=0),"",C1476/E1476)</f>
        <v/>
      </c>
      <c r="I1476" t="str">
        <f>IF(OR(G1476=0,F1476=0),"",D1476/F1476)</f>
        <v/>
      </c>
      <c r="J1476" t="str">
        <f>IF(OR(H1476="",I1476=""),"",IF(H1476=0,"",I1476/H1476-1))</f>
        <v/>
      </c>
      <c r="K1476" t="str">
        <f>IF($B1476="","",IFERROR(IF(G1476=0,-2E+300,CHOOSE(sortIdx,ROUND(D1476,0),IF(J1476="",-1E+300,ROUND(-J1476,6)),IF(J1476="",-1E+300,ROUND(J1476,6)))),-1.5E+300))</f>
        <v/>
      </c>
      <c r="L1476" t="str">
        <f>IF(K1476="","",RANK(K1476,$K$2:$K$3001,0)+COUNTIF($K$2:K1476,K1476)-1)</f>
        <v/>
      </c>
    </row>
    <row r="1477">
      <c r="B1477" t="str">
        <f>IFERROR(IF(A1477="","","="&amp;SUBSTITUTE(SUBSTITUTE(SUBSTITUTE(A1477,"~","~~"),"*","~*"),"?","~?")),"")</f>
        <v/>
      </c>
      <c r="C1477" t="str">
        <f>IF($B1477="","",SUMIFS(dAmt,dCust,$B1477,dPer,"&gt;="&amp;pyFrom,dPer,"&lt;="&amp;pyTo,dAmt,"&gt;-1E+300",dFlt1,critFlt1,dFlt2,critFlt2,dFlt3,critFlt3))</f>
        <v/>
      </c>
      <c r="D1477" t="str">
        <f>IF($B1477="","",SUMIFS(dAmt,dCust,$B1477,dPer,"&gt;="&amp;cyFrom,dPer,"&lt;="&amp;cyTo,dAmt,"&gt;-1E+300",dFlt1,critFlt1,dFlt2,critFlt2,dFlt3,critFlt3))</f>
        <v/>
      </c>
      <c r="E1477" t="str">
        <f>IF($B1477="","",SUMIFS(dQty,dCust,$B1477,dPer,"&gt;="&amp;pyFrom,dPer,"&lt;="&amp;pyTo,dQty,"&gt;-1E+300",dFlt1,critFlt1,dFlt2,critFlt2,dFlt3,critFlt3))</f>
        <v/>
      </c>
      <c r="F1477" t="str">
        <f>IF($B1477="","",SUMIFS(dQty,dCust,$B1477,dPer,"&gt;="&amp;cyFrom,dPer,"&lt;="&amp;cyTo,dQty,"&gt;-1E+300",dFlt1,critFlt1,dFlt2,critFlt2,dFlt3,critFlt3))</f>
        <v/>
      </c>
      <c r="G1477">
        <f>IF($B1477="",0,IFERROR(IF(OR(C1477&lt;&gt;0,D1477&lt;&gt;0,E1477&lt;&gt;0,F1477&lt;&gt;0),1,0),1))</f>
        <v>0</v>
      </c>
      <c r="H1477" t="str">
        <f>IF(OR(G1477=0,E1477=0),"",C1477/E1477)</f>
        <v/>
      </c>
      <c r="I1477" t="str">
        <f>IF(OR(G1477=0,F1477=0),"",D1477/F1477)</f>
        <v/>
      </c>
      <c r="J1477" t="str">
        <f>IF(OR(H1477="",I1477=""),"",IF(H1477=0,"",I1477/H1477-1))</f>
        <v/>
      </c>
      <c r="K1477" t="str">
        <f>IF($B1477="","",IFERROR(IF(G1477=0,-2E+300,CHOOSE(sortIdx,ROUND(D1477,0),IF(J1477="",-1E+300,ROUND(-J1477,6)),IF(J1477="",-1E+300,ROUND(J1477,6)))),-1.5E+300))</f>
        <v/>
      </c>
      <c r="L1477" t="str">
        <f>IF(K1477="","",RANK(K1477,$K$2:$K$3001,0)+COUNTIF($K$2:K1477,K1477)-1)</f>
        <v/>
      </c>
    </row>
    <row r="1478">
      <c r="B1478" t="str">
        <f>IFERROR(IF(A1478="","","="&amp;SUBSTITUTE(SUBSTITUTE(SUBSTITUTE(A1478,"~","~~"),"*","~*"),"?","~?")),"")</f>
        <v/>
      </c>
      <c r="C1478" t="str">
        <f>IF($B1478="","",SUMIFS(dAmt,dCust,$B1478,dPer,"&gt;="&amp;pyFrom,dPer,"&lt;="&amp;pyTo,dAmt,"&gt;-1E+300",dFlt1,critFlt1,dFlt2,critFlt2,dFlt3,critFlt3))</f>
        <v/>
      </c>
      <c r="D1478" t="str">
        <f>IF($B1478="","",SUMIFS(dAmt,dCust,$B1478,dPer,"&gt;="&amp;cyFrom,dPer,"&lt;="&amp;cyTo,dAmt,"&gt;-1E+300",dFlt1,critFlt1,dFlt2,critFlt2,dFlt3,critFlt3))</f>
        <v/>
      </c>
      <c r="E1478" t="str">
        <f>IF($B1478="","",SUMIFS(dQty,dCust,$B1478,dPer,"&gt;="&amp;pyFrom,dPer,"&lt;="&amp;pyTo,dQty,"&gt;-1E+300",dFlt1,critFlt1,dFlt2,critFlt2,dFlt3,critFlt3))</f>
        <v/>
      </c>
      <c r="F1478" t="str">
        <f>IF($B1478="","",SUMIFS(dQty,dCust,$B1478,dPer,"&gt;="&amp;cyFrom,dPer,"&lt;="&amp;cyTo,dQty,"&gt;-1E+300",dFlt1,critFlt1,dFlt2,critFlt2,dFlt3,critFlt3))</f>
        <v/>
      </c>
      <c r="G1478">
        <f>IF($B1478="",0,IFERROR(IF(OR(C1478&lt;&gt;0,D1478&lt;&gt;0,E1478&lt;&gt;0,F1478&lt;&gt;0),1,0),1))</f>
        <v>0</v>
      </c>
      <c r="H1478" t="str">
        <f>IF(OR(G1478=0,E1478=0),"",C1478/E1478)</f>
        <v/>
      </c>
      <c r="I1478" t="str">
        <f>IF(OR(G1478=0,F1478=0),"",D1478/F1478)</f>
        <v/>
      </c>
      <c r="J1478" t="str">
        <f>IF(OR(H1478="",I1478=""),"",IF(H1478=0,"",I1478/H1478-1))</f>
        <v/>
      </c>
      <c r="K1478" t="str">
        <f>IF($B1478="","",IFERROR(IF(G1478=0,-2E+300,CHOOSE(sortIdx,ROUND(D1478,0),IF(J1478="",-1E+300,ROUND(-J1478,6)),IF(J1478="",-1E+300,ROUND(J1478,6)))),-1.5E+300))</f>
        <v/>
      </c>
      <c r="L1478" t="str">
        <f>IF(K1478="","",RANK(K1478,$K$2:$K$3001,0)+COUNTIF($K$2:K1478,K1478)-1)</f>
        <v/>
      </c>
    </row>
    <row r="1479">
      <c r="B1479" t="str">
        <f>IFERROR(IF(A1479="","","="&amp;SUBSTITUTE(SUBSTITUTE(SUBSTITUTE(A1479,"~","~~"),"*","~*"),"?","~?")),"")</f>
        <v/>
      </c>
      <c r="C1479" t="str">
        <f>IF($B1479="","",SUMIFS(dAmt,dCust,$B1479,dPer,"&gt;="&amp;pyFrom,dPer,"&lt;="&amp;pyTo,dAmt,"&gt;-1E+300",dFlt1,critFlt1,dFlt2,critFlt2,dFlt3,critFlt3))</f>
        <v/>
      </c>
      <c r="D1479" t="str">
        <f>IF($B1479="","",SUMIFS(dAmt,dCust,$B1479,dPer,"&gt;="&amp;cyFrom,dPer,"&lt;="&amp;cyTo,dAmt,"&gt;-1E+300",dFlt1,critFlt1,dFlt2,critFlt2,dFlt3,critFlt3))</f>
        <v/>
      </c>
      <c r="E1479" t="str">
        <f>IF($B1479="","",SUMIFS(dQty,dCust,$B1479,dPer,"&gt;="&amp;pyFrom,dPer,"&lt;="&amp;pyTo,dQty,"&gt;-1E+300",dFlt1,critFlt1,dFlt2,critFlt2,dFlt3,critFlt3))</f>
        <v/>
      </c>
      <c r="F1479" t="str">
        <f>IF($B1479="","",SUMIFS(dQty,dCust,$B1479,dPer,"&gt;="&amp;cyFrom,dPer,"&lt;="&amp;cyTo,dQty,"&gt;-1E+300",dFlt1,critFlt1,dFlt2,critFlt2,dFlt3,critFlt3))</f>
        <v/>
      </c>
      <c r="G1479">
        <f>IF($B1479="",0,IFERROR(IF(OR(C1479&lt;&gt;0,D1479&lt;&gt;0,E1479&lt;&gt;0,F1479&lt;&gt;0),1,0),1))</f>
        <v>0</v>
      </c>
      <c r="H1479" t="str">
        <f>IF(OR(G1479=0,E1479=0),"",C1479/E1479)</f>
        <v/>
      </c>
      <c r="I1479" t="str">
        <f>IF(OR(G1479=0,F1479=0),"",D1479/F1479)</f>
        <v/>
      </c>
      <c r="J1479" t="str">
        <f>IF(OR(H1479="",I1479=""),"",IF(H1479=0,"",I1479/H1479-1))</f>
        <v/>
      </c>
      <c r="K1479" t="str">
        <f>IF($B1479="","",IFERROR(IF(G1479=0,-2E+300,CHOOSE(sortIdx,ROUND(D1479,0),IF(J1479="",-1E+300,ROUND(-J1479,6)),IF(J1479="",-1E+300,ROUND(J1479,6)))),-1.5E+300))</f>
        <v/>
      </c>
      <c r="L1479" t="str">
        <f>IF(K1479="","",RANK(K1479,$K$2:$K$3001,0)+COUNTIF($K$2:K1479,K1479)-1)</f>
        <v/>
      </c>
    </row>
    <row r="1480">
      <c r="B1480" t="str">
        <f>IFERROR(IF(A1480="","","="&amp;SUBSTITUTE(SUBSTITUTE(SUBSTITUTE(A1480,"~","~~"),"*","~*"),"?","~?")),"")</f>
        <v/>
      </c>
      <c r="C1480" t="str">
        <f>IF($B1480="","",SUMIFS(dAmt,dCust,$B1480,dPer,"&gt;="&amp;pyFrom,dPer,"&lt;="&amp;pyTo,dAmt,"&gt;-1E+300",dFlt1,critFlt1,dFlt2,critFlt2,dFlt3,critFlt3))</f>
        <v/>
      </c>
      <c r="D1480" t="str">
        <f>IF($B1480="","",SUMIFS(dAmt,dCust,$B1480,dPer,"&gt;="&amp;cyFrom,dPer,"&lt;="&amp;cyTo,dAmt,"&gt;-1E+300",dFlt1,critFlt1,dFlt2,critFlt2,dFlt3,critFlt3))</f>
        <v/>
      </c>
      <c r="E1480" t="str">
        <f>IF($B1480="","",SUMIFS(dQty,dCust,$B1480,dPer,"&gt;="&amp;pyFrom,dPer,"&lt;="&amp;pyTo,dQty,"&gt;-1E+300",dFlt1,critFlt1,dFlt2,critFlt2,dFlt3,critFlt3))</f>
        <v/>
      </c>
      <c r="F1480" t="str">
        <f>IF($B1480="","",SUMIFS(dQty,dCust,$B1480,dPer,"&gt;="&amp;cyFrom,dPer,"&lt;="&amp;cyTo,dQty,"&gt;-1E+300",dFlt1,critFlt1,dFlt2,critFlt2,dFlt3,critFlt3))</f>
        <v/>
      </c>
      <c r="G1480">
        <f>IF($B1480="",0,IFERROR(IF(OR(C1480&lt;&gt;0,D1480&lt;&gt;0,E1480&lt;&gt;0,F1480&lt;&gt;0),1,0),1))</f>
        <v>0</v>
      </c>
      <c r="H1480" t="str">
        <f>IF(OR(G1480=0,E1480=0),"",C1480/E1480)</f>
        <v/>
      </c>
      <c r="I1480" t="str">
        <f>IF(OR(G1480=0,F1480=0),"",D1480/F1480)</f>
        <v/>
      </c>
      <c r="J1480" t="str">
        <f>IF(OR(H1480="",I1480=""),"",IF(H1480=0,"",I1480/H1480-1))</f>
        <v/>
      </c>
      <c r="K1480" t="str">
        <f>IF($B1480="","",IFERROR(IF(G1480=0,-2E+300,CHOOSE(sortIdx,ROUND(D1480,0),IF(J1480="",-1E+300,ROUND(-J1480,6)),IF(J1480="",-1E+300,ROUND(J1480,6)))),-1.5E+300))</f>
        <v/>
      </c>
      <c r="L1480" t="str">
        <f>IF(K1480="","",RANK(K1480,$K$2:$K$3001,0)+COUNTIF($K$2:K1480,K1480)-1)</f>
        <v/>
      </c>
    </row>
    <row r="1481">
      <c r="B1481" t="str">
        <f>IFERROR(IF(A1481="","","="&amp;SUBSTITUTE(SUBSTITUTE(SUBSTITUTE(A1481,"~","~~"),"*","~*"),"?","~?")),"")</f>
        <v/>
      </c>
      <c r="C1481" t="str">
        <f>IF($B1481="","",SUMIFS(dAmt,dCust,$B1481,dPer,"&gt;="&amp;pyFrom,dPer,"&lt;="&amp;pyTo,dAmt,"&gt;-1E+300",dFlt1,critFlt1,dFlt2,critFlt2,dFlt3,critFlt3))</f>
        <v/>
      </c>
      <c r="D1481" t="str">
        <f>IF($B1481="","",SUMIFS(dAmt,dCust,$B1481,dPer,"&gt;="&amp;cyFrom,dPer,"&lt;="&amp;cyTo,dAmt,"&gt;-1E+300",dFlt1,critFlt1,dFlt2,critFlt2,dFlt3,critFlt3))</f>
        <v/>
      </c>
      <c r="E1481" t="str">
        <f>IF($B1481="","",SUMIFS(dQty,dCust,$B1481,dPer,"&gt;="&amp;pyFrom,dPer,"&lt;="&amp;pyTo,dQty,"&gt;-1E+300",dFlt1,critFlt1,dFlt2,critFlt2,dFlt3,critFlt3))</f>
        <v/>
      </c>
      <c r="F1481" t="str">
        <f>IF($B1481="","",SUMIFS(dQty,dCust,$B1481,dPer,"&gt;="&amp;cyFrom,dPer,"&lt;="&amp;cyTo,dQty,"&gt;-1E+300",dFlt1,critFlt1,dFlt2,critFlt2,dFlt3,critFlt3))</f>
        <v/>
      </c>
      <c r="G1481">
        <f>IF($B1481="",0,IFERROR(IF(OR(C1481&lt;&gt;0,D1481&lt;&gt;0,E1481&lt;&gt;0,F1481&lt;&gt;0),1,0),1))</f>
        <v>0</v>
      </c>
      <c r="H1481" t="str">
        <f>IF(OR(G1481=0,E1481=0),"",C1481/E1481)</f>
        <v/>
      </c>
      <c r="I1481" t="str">
        <f>IF(OR(G1481=0,F1481=0),"",D1481/F1481)</f>
        <v/>
      </c>
      <c r="J1481" t="str">
        <f>IF(OR(H1481="",I1481=""),"",IF(H1481=0,"",I1481/H1481-1))</f>
        <v/>
      </c>
      <c r="K1481" t="str">
        <f>IF($B1481="","",IFERROR(IF(G1481=0,-2E+300,CHOOSE(sortIdx,ROUND(D1481,0),IF(J1481="",-1E+300,ROUND(-J1481,6)),IF(J1481="",-1E+300,ROUND(J1481,6)))),-1.5E+300))</f>
        <v/>
      </c>
      <c r="L1481" t="str">
        <f>IF(K1481="","",RANK(K1481,$K$2:$K$3001,0)+COUNTIF($K$2:K1481,K1481)-1)</f>
        <v/>
      </c>
    </row>
    <row r="1482">
      <c r="B1482" t="str">
        <f>IFERROR(IF(A1482="","","="&amp;SUBSTITUTE(SUBSTITUTE(SUBSTITUTE(A1482,"~","~~"),"*","~*"),"?","~?")),"")</f>
        <v/>
      </c>
      <c r="C1482" t="str">
        <f>IF($B1482="","",SUMIFS(dAmt,dCust,$B1482,dPer,"&gt;="&amp;pyFrom,dPer,"&lt;="&amp;pyTo,dAmt,"&gt;-1E+300",dFlt1,critFlt1,dFlt2,critFlt2,dFlt3,critFlt3))</f>
        <v/>
      </c>
      <c r="D1482" t="str">
        <f>IF($B1482="","",SUMIFS(dAmt,dCust,$B1482,dPer,"&gt;="&amp;cyFrom,dPer,"&lt;="&amp;cyTo,dAmt,"&gt;-1E+300",dFlt1,critFlt1,dFlt2,critFlt2,dFlt3,critFlt3))</f>
        <v/>
      </c>
      <c r="E1482" t="str">
        <f>IF($B1482="","",SUMIFS(dQty,dCust,$B1482,dPer,"&gt;="&amp;pyFrom,dPer,"&lt;="&amp;pyTo,dQty,"&gt;-1E+300",dFlt1,critFlt1,dFlt2,critFlt2,dFlt3,critFlt3))</f>
        <v/>
      </c>
      <c r="F1482" t="str">
        <f>IF($B1482="","",SUMIFS(dQty,dCust,$B1482,dPer,"&gt;="&amp;cyFrom,dPer,"&lt;="&amp;cyTo,dQty,"&gt;-1E+300",dFlt1,critFlt1,dFlt2,critFlt2,dFlt3,critFlt3))</f>
        <v/>
      </c>
      <c r="G1482">
        <f>IF($B1482="",0,IFERROR(IF(OR(C1482&lt;&gt;0,D1482&lt;&gt;0,E1482&lt;&gt;0,F1482&lt;&gt;0),1,0),1))</f>
        <v>0</v>
      </c>
      <c r="H1482" t="str">
        <f>IF(OR(G1482=0,E1482=0),"",C1482/E1482)</f>
        <v/>
      </c>
      <c r="I1482" t="str">
        <f>IF(OR(G1482=0,F1482=0),"",D1482/F1482)</f>
        <v/>
      </c>
      <c r="J1482" t="str">
        <f>IF(OR(H1482="",I1482=""),"",IF(H1482=0,"",I1482/H1482-1))</f>
        <v/>
      </c>
      <c r="K1482" t="str">
        <f>IF($B1482="","",IFERROR(IF(G1482=0,-2E+300,CHOOSE(sortIdx,ROUND(D1482,0),IF(J1482="",-1E+300,ROUND(-J1482,6)),IF(J1482="",-1E+300,ROUND(J1482,6)))),-1.5E+300))</f>
        <v/>
      </c>
      <c r="L1482" t="str">
        <f>IF(K1482="","",RANK(K1482,$K$2:$K$3001,0)+COUNTIF($K$2:K1482,K1482)-1)</f>
        <v/>
      </c>
    </row>
    <row r="1483">
      <c r="B1483" t="str">
        <f>IFERROR(IF(A1483="","","="&amp;SUBSTITUTE(SUBSTITUTE(SUBSTITUTE(A1483,"~","~~"),"*","~*"),"?","~?")),"")</f>
        <v/>
      </c>
      <c r="C1483" t="str">
        <f>IF($B1483="","",SUMIFS(dAmt,dCust,$B1483,dPer,"&gt;="&amp;pyFrom,dPer,"&lt;="&amp;pyTo,dAmt,"&gt;-1E+300",dFlt1,critFlt1,dFlt2,critFlt2,dFlt3,critFlt3))</f>
        <v/>
      </c>
      <c r="D1483" t="str">
        <f>IF($B1483="","",SUMIFS(dAmt,dCust,$B1483,dPer,"&gt;="&amp;cyFrom,dPer,"&lt;="&amp;cyTo,dAmt,"&gt;-1E+300",dFlt1,critFlt1,dFlt2,critFlt2,dFlt3,critFlt3))</f>
        <v/>
      </c>
      <c r="E1483" t="str">
        <f>IF($B1483="","",SUMIFS(dQty,dCust,$B1483,dPer,"&gt;="&amp;pyFrom,dPer,"&lt;="&amp;pyTo,dQty,"&gt;-1E+300",dFlt1,critFlt1,dFlt2,critFlt2,dFlt3,critFlt3))</f>
        <v/>
      </c>
      <c r="F1483" t="str">
        <f>IF($B1483="","",SUMIFS(dQty,dCust,$B1483,dPer,"&gt;="&amp;cyFrom,dPer,"&lt;="&amp;cyTo,dQty,"&gt;-1E+300",dFlt1,critFlt1,dFlt2,critFlt2,dFlt3,critFlt3))</f>
        <v/>
      </c>
      <c r="G1483">
        <f>IF($B1483="",0,IFERROR(IF(OR(C1483&lt;&gt;0,D1483&lt;&gt;0,E1483&lt;&gt;0,F1483&lt;&gt;0),1,0),1))</f>
        <v>0</v>
      </c>
      <c r="H1483" t="str">
        <f>IF(OR(G1483=0,E1483=0),"",C1483/E1483)</f>
        <v/>
      </c>
      <c r="I1483" t="str">
        <f>IF(OR(G1483=0,F1483=0),"",D1483/F1483)</f>
        <v/>
      </c>
      <c r="J1483" t="str">
        <f>IF(OR(H1483="",I1483=""),"",IF(H1483=0,"",I1483/H1483-1))</f>
        <v/>
      </c>
      <c r="K1483" t="str">
        <f>IF($B1483="","",IFERROR(IF(G1483=0,-2E+300,CHOOSE(sortIdx,ROUND(D1483,0),IF(J1483="",-1E+300,ROUND(-J1483,6)),IF(J1483="",-1E+300,ROUND(J1483,6)))),-1.5E+300))</f>
        <v/>
      </c>
      <c r="L1483" t="str">
        <f>IF(K1483="","",RANK(K1483,$K$2:$K$3001,0)+COUNTIF($K$2:K1483,K1483)-1)</f>
        <v/>
      </c>
    </row>
    <row r="1484">
      <c r="B1484" t="str">
        <f>IFERROR(IF(A1484="","","="&amp;SUBSTITUTE(SUBSTITUTE(SUBSTITUTE(A1484,"~","~~"),"*","~*"),"?","~?")),"")</f>
        <v/>
      </c>
      <c r="C1484" t="str">
        <f>IF($B1484="","",SUMIFS(dAmt,dCust,$B1484,dPer,"&gt;="&amp;pyFrom,dPer,"&lt;="&amp;pyTo,dAmt,"&gt;-1E+300",dFlt1,critFlt1,dFlt2,critFlt2,dFlt3,critFlt3))</f>
        <v/>
      </c>
      <c r="D1484" t="str">
        <f>IF($B1484="","",SUMIFS(dAmt,dCust,$B1484,dPer,"&gt;="&amp;cyFrom,dPer,"&lt;="&amp;cyTo,dAmt,"&gt;-1E+300",dFlt1,critFlt1,dFlt2,critFlt2,dFlt3,critFlt3))</f>
        <v/>
      </c>
      <c r="E1484" t="str">
        <f>IF($B1484="","",SUMIFS(dQty,dCust,$B1484,dPer,"&gt;="&amp;pyFrom,dPer,"&lt;="&amp;pyTo,dQty,"&gt;-1E+300",dFlt1,critFlt1,dFlt2,critFlt2,dFlt3,critFlt3))</f>
        <v/>
      </c>
      <c r="F1484" t="str">
        <f>IF($B1484="","",SUMIFS(dQty,dCust,$B1484,dPer,"&gt;="&amp;cyFrom,dPer,"&lt;="&amp;cyTo,dQty,"&gt;-1E+300",dFlt1,critFlt1,dFlt2,critFlt2,dFlt3,critFlt3))</f>
        <v/>
      </c>
      <c r="G1484">
        <f>IF($B1484="",0,IFERROR(IF(OR(C1484&lt;&gt;0,D1484&lt;&gt;0,E1484&lt;&gt;0,F1484&lt;&gt;0),1,0),1))</f>
        <v>0</v>
      </c>
      <c r="H1484" t="str">
        <f>IF(OR(G1484=0,E1484=0),"",C1484/E1484)</f>
        <v/>
      </c>
      <c r="I1484" t="str">
        <f>IF(OR(G1484=0,F1484=0),"",D1484/F1484)</f>
        <v/>
      </c>
      <c r="J1484" t="str">
        <f>IF(OR(H1484="",I1484=""),"",IF(H1484=0,"",I1484/H1484-1))</f>
        <v/>
      </c>
      <c r="K1484" t="str">
        <f>IF($B1484="","",IFERROR(IF(G1484=0,-2E+300,CHOOSE(sortIdx,ROUND(D1484,0),IF(J1484="",-1E+300,ROUND(-J1484,6)),IF(J1484="",-1E+300,ROUND(J1484,6)))),-1.5E+300))</f>
        <v/>
      </c>
      <c r="L1484" t="str">
        <f>IF(K1484="","",RANK(K1484,$K$2:$K$3001,0)+COUNTIF($K$2:K1484,K1484)-1)</f>
        <v/>
      </c>
    </row>
    <row r="1485">
      <c r="B1485" t="str">
        <f>IFERROR(IF(A1485="","","="&amp;SUBSTITUTE(SUBSTITUTE(SUBSTITUTE(A1485,"~","~~"),"*","~*"),"?","~?")),"")</f>
        <v/>
      </c>
      <c r="C1485" t="str">
        <f>IF($B1485="","",SUMIFS(dAmt,dCust,$B1485,dPer,"&gt;="&amp;pyFrom,dPer,"&lt;="&amp;pyTo,dAmt,"&gt;-1E+300",dFlt1,critFlt1,dFlt2,critFlt2,dFlt3,critFlt3))</f>
        <v/>
      </c>
      <c r="D1485" t="str">
        <f>IF($B1485="","",SUMIFS(dAmt,dCust,$B1485,dPer,"&gt;="&amp;cyFrom,dPer,"&lt;="&amp;cyTo,dAmt,"&gt;-1E+300",dFlt1,critFlt1,dFlt2,critFlt2,dFlt3,critFlt3))</f>
        <v/>
      </c>
      <c r="E1485" t="str">
        <f>IF($B1485="","",SUMIFS(dQty,dCust,$B1485,dPer,"&gt;="&amp;pyFrom,dPer,"&lt;="&amp;pyTo,dQty,"&gt;-1E+300",dFlt1,critFlt1,dFlt2,critFlt2,dFlt3,critFlt3))</f>
        <v/>
      </c>
      <c r="F1485" t="str">
        <f>IF($B1485="","",SUMIFS(dQty,dCust,$B1485,dPer,"&gt;="&amp;cyFrom,dPer,"&lt;="&amp;cyTo,dQty,"&gt;-1E+300",dFlt1,critFlt1,dFlt2,critFlt2,dFlt3,critFlt3))</f>
        <v/>
      </c>
      <c r="G1485">
        <f>IF($B1485="",0,IFERROR(IF(OR(C1485&lt;&gt;0,D1485&lt;&gt;0,E1485&lt;&gt;0,F1485&lt;&gt;0),1,0),1))</f>
        <v>0</v>
      </c>
      <c r="H1485" t="str">
        <f>IF(OR(G1485=0,E1485=0),"",C1485/E1485)</f>
        <v/>
      </c>
      <c r="I1485" t="str">
        <f>IF(OR(G1485=0,F1485=0),"",D1485/F1485)</f>
        <v/>
      </c>
      <c r="J1485" t="str">
        <f>IF(OR(H1485="",I1485=""),"",IF(H1485=0,"",I1485/H1485-1))</f>
        <v/>
      </c>
      <c r="K1485" t="str">
        <f>IF($B1485="","",IFERROR(IF(G1485=0,-2E+300,CHOOSE(sortIdx,ROUND(D1485,0),IF(J1485="",-1E+300,ROUND(-J1485,6)),IF(J1485="",-1E+300,ROUND(J1485,6)))),-1.5E+300))</f>
        <v/>
      </c>
      <c r="L1485" t="str">
        <f>IF(K1485="","",RANK(K1485,$K$2:$K$3001,0)+COUNTIF($K$2:K1485,K1485)-1)</f>
        <v/>
      </c>
    </row>
    <row r="1486">
      <c r="B1486" t="str">
        <f>IFERROR(IF(A1486="","","="&amp;SUBSTITUTE(SUBSTITUTE(SUBSTITUTE(A1486,"~","~~"),"*","~*"),"?","~?")),"")</f>
        <v/>
      </c>
      <c r="C1486" t="str">
        <f>IF($B1486="","",SUMIFS(dAmt,dCust,$B1486,dPer,"&gt;="&amp;pyFrom,dPer,"&lt;="&amp;pyTo,dAmt,"&gt;-1E+300",dFlt1,critFlt1,dFlt2,critFlt2,dFlt3,critFlt3))</f>
        <v/>
      </c>
      <c r="D1486" t="str">
        <f>IF($B1486="","",SUMIFS(dAmt,dCust,$B1486,dPer,"&gt;="&amp;cyFrom,dPer,"&lt;="&amp;cyTo,dAmt,"&gt;-1E+300",dFlt1,critFlt1,dFlt2,critFlt2,dFlt3,critFlt3))</f>
        <v/>
      </c>
      <c r="E1486" t="str">
        <f>IF($B1486="","",SUMIFS(dQty,dCust,$B1486,dPer,"&gt;="&amp;pyFrom,dPer,"&lt;="&amp;pyTo,dQty,"&gt;-1E+300",dFlt1,critFlt1,dFlt2,critFlt2,dFlt3,critFlt3))</f>
        <v/>
      </c>
      <c r="F1486" t="str">
        <f>IF($B1486="","",SUMIFS(dQty,dCust,$B1486,dPer,"&gt;="&amp;cyFrom,dPer,"&lt;="&amp;cyTo,dQty,"&gt;-1E+300",dFlt1,critFlt1,dFlt2,critFlt2,dFlt3,critFlt3))</f>
        <v/>
      </c>
      <c r="G1486">
        <f>IF($B1486="",0,IFERROR(IF(OR(C1486&lt;&gt;0,D1486&lt;&gt;0,E1486&lt;&gt;0,F1486&lt;&gt;0),1,0),1))</f>
        <v>0</v>
      </c>
      <c r="H1486" t="str">
        <f>IF(OR(G1486=0,E1486=0),"",C1486/E1486)</f>
        <v/>
      </c>
      <c r="I1486" t="str">
        <f>IF(OR(G1486=0,F1486=0),"",D1486/F1486)</f>
        <v/>
      </c>
      <c r="J1486" t="str">
        <f>IF(OR(H1486="",I1486=""),"",IF(H1486=0,"",I1486/H1486-1))</f>
        <v/>
      </c>
      <c r="K1486" t="str">
        <f>IF($B1486="","",IFERROR(IF(G1486=0,-2E+300,CHOOSE(sortIdx,ROUND(D1486,0),IF(J1486="",-1E+300,ROUND(-J1486,6)),IF(J1486="",-1E+300,ROUND(J1486,6)))),-1.5E+300))</f>
        <v/>
      </c>
      <c r="L1486" t="str">
        <f>IF(K1486="","",RANK(K1486,$K$2:$K$3001,0)+COUNTIF($K$2:K1486,K1486)-1)</f>
        <v/>
      </c>
    </row>
    <row r="1487">
      <c r="B1487" t="str">
        <f>IFERROR(IF(A1487="","","="&amp;SUBSTITUTE(SUBSTITUTE(SUBSTITUTE(A1487,"~","~~"),"*","~*"),"?","~?")),"")</f>
        <v/>
      </c>
      <c r="C1487" t="str">
        <f>IF($B1487="","",SUMIFS(dAmt,dCust,$B1487,dPer,"&gt;="&amp;pyFrom,dPer,"&lt;="&amp;pyTo,dAmt,"&gt;-1E+300",dFlt1,critFlt1,dFlt2,critFlt2,dFlt3,critFlt3))</f>
        <v/>
      </c>
      <c r="D1487" t="str">
        <f>IF($B1487="","",SUMIFS(dAmt,dCust,$B1487,dPer,"&gt;="&amp;cyFrom,dPer,"&lt;="&amp;cyTo,dAmt,"&gt;-1E+300",dFlt1,critFlt1,dFlt2,critFlt2,dFlt3,critFlt3))</f>
        <v/>
      </c>
      <c r="E1487" t="str">
        <f>IF($B1487="","",SUMIFS(dQty,dCust,$B1487,dPer,"&gt;="&amp;pyFrom,dPer,"&lt;="&amp;pyTo,dQty,"&gt;-1E+300",dFlt1,critFlt1,dFlt2,critFlt2,dFlt3,critFlt3))</f>
        <v/>
      </c>
      <c r="F1487" t="str">
        <f>IF($B1487="","",SUMIFS(dQty,dCust,$B1487,dPer,"&gt;="&amp;cyFrom,dPer,"&lt;="&amp;cyTo,dQty,"&gt;-1E+300",dFlt1,critFlt1,dFlt2,critFlt2,dFlt3,critFlt3))</f>
        <v/>
      </c>
      <c r="G1487">
        <f>IF($B1487="",0,IFERROR(IF(OR(C1487&lt;&gt;0,D1487&lt;&gt;0,E1487&lt;&gt;0,F1487&lt;&gt;0),1,0),1))</f>
        <v>0</v>
      </c>
      <c r="H1487" t="str">
        <f>IF(OR(G1487=0,E1487=0),"",C1487/E1487)</f>
        <v/>
      </c>
      <c r="I1487" t="str">
        <f>IF(OR(G1487=0,F1487=0),"",D1487/F1487)</f>
        <v/>
      </c>
      <c r="J1487" t="str">
        <f>IF(OR(H1487="",I1487=""),"",IF(H1487=0,"",I1487/H1487-1))</f>
        <v/>
      </c>
      <c r="K1487" t="str">
        <f>IF($B1487="","",IFERROR(IF(G1487=0,-2E+300,CHOOSE(sortIdx,ROUND(D1487,0),IF(J1487="",-1E+300,ROUND(-J1487,6)),IF(J1487="",-1E+300,ROUND(J1487,6)))),-1.5E+300))</f>
        <v/>
      </c>
      <c r="L1487" t="str">
        <f>IF(K1487="","",RANK(K1487,$K$2:$K$3001,0)+COUNTIF($K$2:K1487,K1487)-1)</f>
        <v/>
      </c>
    </row>
    <row r="1488">
      <c r="B1488" t="str">
        <f>IFERROR(IF(A1488="","","="&amp;SUBSTITUTE(SUBSTITUTE(SUBSTITUTE(A1488,"~","~~"),"*","~*"),"?","~?")),"")</f>
        <v/>
      </c>
      <c r="C1488" t="str">
        <f>IF($B1488="","",SUMIFS(dAmt,dCust,$B1488,dPer,"&gt;="&amp;pyFrom,dPer,"&lt;="&amp;pyTo,dAmt,"&gt;-1E+300",dFlt1,critFlt1,dFlt2,critFlt2,dFlt3,critFlt3))</f>
        <v/>
      </c>
      <c r="D1488" t="str">
        <f>IF($B1488="","",SUMIFS(dAmt,dCust,$B1488,dPer,"&gt;="&amp;cyFrom,dPer,"&lt;="&amp;cyTo,dAmt,"&gt;-1E+300",dFlt1,critFlt1,dFlt2,critFlt2,dFlt3,critFlt3))</f>
        <v/>
      </c>
      <c r="E1488" t="str">
        <f>IF($B1488="","",SUMIFS(dQty,dCust,$B1488,dPer,"&gt;="&amp;pyFrom,dPer,"&lt;="&amp;pyTo,dQty,"&gt;-1E+300",dFlt1,critFlt1,dFlt2,critFlt2,dFlt3,critFlt3))</f>
        <v/>
      </c>
      <c r="F1488" t="str">
        <f>IF($B1488="","",SUMIFS(dQty,dCust,$B1488,dPer,"&gt;="&amp;cyFrom,dPer,"&lt;="&amp;cyTo,dQty,"&gt;-1E+300",dFlt1,critFlt1,dFlt2,critFlt2,dFlt3,critFlt3))</f>
        <v/>
      </c>
      <c r="G1488">
        <f>IF($B1488="",0,IFERROR(IF(OR(C1488&lt;&gt;0,D1488&lt;&gt;0,E1488&lt;&gt;0,F1488&lt;&gt;0),1,0),1))</f>
        <v>0</v>
      </c>
      <c r="H1488" t="str">
        <f>IF(OR(G1488=0,E1488=0),"",C1488/E1488)</f>
        <v/>
      </c>
      <c r="I1488" t="str">
        <f>IF(OR(G1488=0,F1488=0),"",D1488/F1488)</f>
        <v/>
      </c>
      <c r="J1488" t="str">
        <f>IF(OR(H1488="",I1488=""),"",IF(H1488=0,"",I1488/H1488-1))</f>
        <v/>
      </c>
      <c r="K1488" t="str">
        <f>IF($B1488="","",IFERROR(IF(G1488=0,-2E+300,CHOOSE(sortIdx,ROUND(D1488,0),IF(J1488="",-1E+300,ROUND(-J1488,6)),IF(J1488="",-1E+300,ROUND(J1488,6)))),-1.5E+300))</f>
        <v/>
      </c>
      <c r="L1488" t="str">
        <f>IF(K1488="","",RANK(K1488,$K$2:$K$3001,0)+COUNTIF($K$2:K1488,K1488)-1)</f>
        <v/>
      </c>
    </row>
    <row r="1489">
      <c r="B1489" t="str">
        <f>IFERROR(IF(A1489="","","="&amp;SUBSTITUTE(SUBSTITUTE(SUBSTITUTE(A1489,"~","~~"),"*","~*"),"?","~?")),"")</f>
        <v/>
      </c>
      <c r="C1489" t="str">
        <f>IF($B1489="","",SUMIFS(dAmt,dCust,$B1489,dPer,"&gt;="&amp;pyFrom,dPer,"&lt;="&amp;pyTo,dAmt,"&gt;-1E+300",dFlt1,critFlt1,dFlt2,critFlt2,dFlt3,critFlt3))</f>
        <v/>
      </c>
      <c r="D1489" t="str">
        <f>IF($B1489="","",SUMIFS(dAmt,dCust,$B1489,dPer,"&gt;="&amp;cyFrom,dPer,"&lt;="&amp;cyTo,dAmt,"&gt;-1E+300",dFlt1,critFlt1,dFlt2,critFlt2,dFlt3,critFlt3))</f>
        <v/>
      </c>
      <c r="E1489" t="str">
        <f>IF($B1489="","",SUMIFS(dQty,dCust,$B1489,dPer,"&gt;="&amp;pyFrom,dPer,"&lt;="&amp;pyTo,dQty,"&gt;-1E+300",dFlt1,critFlt1,dFlt2,critFlt2,dFlt3,critFlt3))</f>
        <v/>
      </c>
      <c r="F1489" t="str">
        <f>IF($B1489="","",SUMIFS(dQty,dCust,$B1489,dPer,"&gt;="&amp;cyFrom,dPer,"&lt;="&amp;cyTo,dQty,"&gt;-1E+300",dFlt1,critFlt1,dFlt2,critFlt2,dFlt3,critFlt3))</f>
        <v/>
      </c>
      <c r="G1489">
        <f>IF($B1489="",0,IFERROR(IF(OR(C1489&lt;&gt;0,D1489&lt;&gt;0,E1489&lt;&gt;0,F1489&lt;&gt;0),1,0),1))</f>
        <v>0</v>
      </c>
      <c r="H1489" t="str">
        <f>IF(OR(G1489=0,E1489=0),"",C1489/E1489)</f>
        <v/>
      </c>
      <c r="I1489" t="str">
        <f>IF(OR(G1489=0,F1489=0),"",D1489/F1489)</f>
        <v/>
      </c>
      <c r="J1489" t="str">
        <f>IF(OR(H1489="",I1489=""),"",IF(H1489=0,"",I1489/H1489-1))</f>
        <v/>
      </c>
      <c r="K1489" t="str">
        <f>IF($B1489="","",IFERROR(IF(G1489=0,-2E+300,CHOOSE(sortIdx,ROUND(D1489,0),IF(J1489="",-1E+300,ROUND(-J1489,6)),IF(J1489="",-1E+300,ROUND(J1489,6)))),-1.5E+300))</f>
        <v/>
      </c>
      <c r="L1489" t="str">
        <f>IF(K1489="","",RANK(K1489,$K$2:$K$3001,0)+COUNTIF($K$2:K1489,K1489)-1)</f>
        <v/>
      </c>
    </row>
    <row r="1490">
      <c r="B1490" t="str">
        <f>IFERROR(IF(A1490="","","="&amp;SUBSTITUTE(SUBSTITUTE(SUBSTITUTE(A1490,"~","~~"),"*","~*"),"?","~?")),"")</f>
        <v/>
      </c>
      <c r="C1490" t="str">
        <f>IF($B1490="","",SUMIFS(dAmt,dCust,$B1490,dPer,"&gt;="&amp;pyFrom,dPer,"&lt;="&amp;pyTo,dAmt,"&gt;-1E+300",dFlt1,critFlt1,dFlt2,critFlt2,dFlt3,critFlt3))</f>
        <v/>
      </c>
      <c r="D1490" t="str">
        <f>IF($B1490="","",SUMIFS(dAmt,dCust,$B1490,dPer,"&gt;="&amp;cyFrom,dPer,"&lt;="&amp;cyTo,dAmt,"&gt;-1E+300",dFlt1,critFlt1,dFlt2,critFlt2,dFlt3,critFlt3))</f>
        <v/>
      </c>
      <c r="E1490" t="str">
        <f>IF($B1490="","",SUMIFS(dQty,dCust,$B1490,dPer,"&gt;="&amp;pyFrom,dPer,"&lt;="&amp;pyTo,dQty,"&gt;-1E+300",dFlt1,critFlt1,dFlt2,critFlt2,dFlt3,critFlt3))</f>
        <v/>
      </c>
      <c r="F1490" t="str">
        <f>IF($B1490="","",SUMIFS(dQty,dCust,$B1490,dPer,"&gt;="&amp;cyFrom,dPer,"&lt;="&amp;cyTo,dQty,"&gt;-1E+300",dFlt1,critFlt1,dFlt2,critFlt2,dFlt3,critFlt3))</f>
        <v/>
      </c>
      <c r="G1490">
        <f>IF($B1490="",0,IFERROR(IF(OR(C1490&lt;&gt;0,D1490&lt;&gt;0,E1490&lt;&gt;0,F1490&lt;&gt;0),1,0),1))</f>
        <v>0</v>
      </c>
      <c r="H1490" t="str">
        <f>IF(OR(G1490=0,E1490=0),"",C1490/E1490)</f>
        <v/>
      </c>
      <c r="I1490" t="str">
        <f>IF(OR(G1490=0,F1490=0),"",D1490/F1490)</f>
        <v/>
      </c>
      <c r="J1490" t="str">
        <f>IF(OR(H1490="",I1490=""),"",IF(H1490=0,"",I1490/H1490-1))</f>
        <v/>
      </c>
      <c r="K1490" t="str">
        <f>IF($B1490="","",IFERROR(IF(G1490=0,-2E+300,CHOOSE(sortIdx,ROUND(D1490,0),IF(J1490="",-1E+300,ROUND(-J1490,6)),IF(J1490="",-1E+300,ROUND(J1490,6)))),-1.5E+300))</f>
        <v/>
      </c>
      <c r="L1490" t="str">
        <f>IF(K1490="","",RANK(K1490,$K$2:$K$3001,0)+COUNTIF($K$2:K1490,K1490)-1)</f>
        <v/>
      </c>
    </row>
    <row r="1491">
      <c r="B1491" t="str">
        <f>IFERROR(IF(A1491="","","="&amp;SUBSTITUTE(SUBSTITUTE(SUBSTITUTE(A1491,"~","~~"),"*","~*"),"?","~?")),"")</f>
        <v/>
      </c>
      <c r="C1491" t="str">
        <f>IF($B1491="","",SUMIFS(dAmt,dCust,$B1491,dPer,"&gt;="&amp;pyFrom,dPer,"&lt;="&amp;pyTo,dAmt,"&gt;-1E+300",dFlt1,critFlt1,dFlt2,critFlt2,dFlt3,critFlt3))</f>
        <v/>
      </c>
      <c r="D1491" t="str">
        <f>IF($B1491="","",SUMIFS(dAmt,dCust,$B1491,dPer,"&gt;="&amp;cyFrom,dPer,"&lt;="&amp;cyTo,dAmt,"&gt;-1E+300",dFlt1,critFlt1,dFlt2,critFlt2,dFlt3,critFlt3))</f>
        <v/>
      </c>
      <c r="E1491" t="str">
        <f>IF($B1491="","",SUMIFS(dQty,dCust,$B1491,dPer,"&gt;="&amp;pyFrom,dPer,"&lt;="&amp;pyTo,dQty,"&gt;-1E+300",dFlt1,critFlt1,dFlt2,critFlt2,dFlt3,critFlt3))</f>
        <v/>
      </c>
      <c r="F1491" t="str">
        <f>IF($B1491="","",SUMIFS(dQty,dCust,$B1491,dPer,"&gt;="&amp;cyFrom,dPer,"&lt;="&amp;cyTo,dQty,"&gt;-1E+300",dFlt1,critFlt1,dFlt2,critFlt2,dFlt3,critFlt3))</f>
        <v/>
      </c>
      <c r="G1491">
        <f>IF($B1491="",0,IFERROR(IF(OR(C1491&lt;&gt;0,D1491&lt;&gt;0,E1491&lt;&gt;0,F1491&lt;&gt;0),1,0),1))</f>
        <v>0</v>
      </c>
      <c r="H1491" t="str">
        <f>IF(OR(G1491=0,E1491=0),"",C1491/E1491)</f>
        <v/>
      </c>
      <c r="I1491" t="str">
        <f>IF(OR(G1491=0,F1491=0),"",D1491/F1491)</f>
        <v/>
      </c>
      <c r="J1491" t="str">
        <f>IF(OR(H1491="",I1491=""),"",IF(H1491=0,"",I1491/H1491-1))</f>
        <v/>
      </c>
      <c r="K1491" t="str">
        <f>IF($B1491="","",IFERROR(IF(G1491=0,-2E+300,CHOOSE(sortIdx,ROUND(D1491,0),IF(J1491="",-1E+300,ROUND(-J1491,6)),IF(J1491="",-1E+300,ROUND(J1491,6)))),-1.5E+300))</f>
        <v/>
      </c>
      <c r="L1491" t="str">
        <f>IF(K1491="","",RANK(K1491,$K$2:$K$3001,0)+COUNTIF($K$2:K1491,K1491)-1)</f>
        <v/>
      </c>
    </row>
    <row r="1492">
      <c r="B1492" t="str">
        <f>IFERROR(IF(A1492="","","="&amp;SUBSTITUTE(SUBSTITUTE(SUBSTITUTE(A1492,"~","~~"),"*","~*"),"?","~?")),"")</f>
        <v/>
      </c>
      <c r="C1492" t="str">
        <f>IF($B1492="","",SUMIFS(dAmt,dCust,$B1492,dPer,"&gt;="&amp;pyFrom,dPer,"&lt;="&amp;pyTo,dAmt,"&gt;-1E+300",dFlt1,critFlt1,dFlt2,critFlt2,dFlt3,critFlt3))</f>
        <v/>
      </c>
      <c r="D1492" t="str">
        <f>IF($B1492="","",SUMIFS(dAmt,dCust,$B1492,dPer,"&gt;="&amp;cyFrom,dPer,"&lt;="&amp;cyTo,dAmt,"&gt;-1E+300",dFlt1,critFlt1,dFlt2,critFlt2,dFlt3,critFlt3))</f>
        <v/>
      </c>
      <c r="E1492" t="str">
        <f>IF($B1492="","",SUMIFS(dQty,dCust,$B1492,dPer,"&gt;="&amp;pyFrom,dPer,"&lt;="&amp;pyTo,dQty,"&gt;-1E+300",dFlt1,critFlt1,dFlt2,critFlt2,dFlt3,critFlt3))</f>
        <v/>
      </c>
      <c r="F1492" t="str">
        <f>IF($B1492="","",SUMIFS(dQty,dCust,$B1492,dPer,"&gt;="&amp;cyFrom,dPer,"&lt;="&amp;cyTo,dQty,"&gt;-1E+300",dFlt1,critFlt1,dFlt2,critFlt2,dFlt3,critFlt3))</f>
        <v/>
      </c>
      <c r="G1492">
        <f>IF($B1492="",0,IFERROR(IF(OR(C1492&lt;&gt;0,D1492&lt;&gt;0,E1492&lt;&gt;0,F1492&lt;&gt;0),1,0),1))</f>
        <v>0</v>
      </c>
      <c r="H1492" t="str">
        <f>IF(OR(G1492=0,E1492=0),"",C1492/E1492)</f>
        <v/>
      </c>
      <c r="I1492" t="str">
        <f>IF(OR(G1492=0,F1492=0),"",D1492/F1492)</f>
        <v/>
      </c>
      <c r="J1492" t="str">
        <f>IF(OR(H1492="",I1492=""),"",IF(H1492=0,"",I1492/H1492-1))</f>
        <v/>
      </c>
      <c r="K1492" t="str">
        <f>IF($B1492="","",IFERROR(IF(G1492=0,-2E+300,CHOOSE(sortIdx,ROUND(D1492,0),IF(J1492="",-1E+300,ROUND(-J1492,6)),IF(J1492="",-1E+300,ROUND(J1492,6)))),-1.5E+300))</f>
        <v/>
      </c>
      <c r="L1492" t="str">
        <f>IF(K1492="","",RANK(K1492,$K$2:$K$3001,0)+COUNTIF($K$2:K1492,K1492)-1)</f>
        <v/>
      </c>
    </row>
    <row r="1493">
      <c r="B1493" t="str">
        <f>IFERROR(IF(A1493="","","="&amp;SUBSTITUTE(SUBSTITUTE(SUBSTITUTE(A1493,"~","~~"),"*","~*"),"?","~?")),"")</f>
        <v/>
      </c>
      <c r="C1493" t="str">
        <f>IF($B1493="","",SUMIFS(dAmt,dCust,$B1493,dPer,"&gt;="&amp;pyFrom,dPer,"&lt;="&amp;pyTo,dAmt,"&gt;-1E+300",dFlt1,critFlt1,dFlt2,critFlt2,dFlt3,critFlt3))</f>
        <v/>
      </c>
      <c r="D1493" t="str">
        <f>IF($B1493="","",SUMIFS(dAmt,dCust,$B1493,dPer,"&gt;="&amp;cyFrom,dPer,"&lt;="&amp;cyTo,dAmt,"&gt;-1E+300",dFlt1,critFlt1,dFlt2,critFlt2,dFlt3,critFlt3))</f>
        <v/>
      </c>
      <c r="E1493" t="str">
        <f>IF($B1493="","",SUMIFS(dQty,dCust,$B1493,dPer,"&gt;="&amp;pyFrom,dPer,"&lt;="&amp;pyTo,dQty,"&gt;-1E+300",dFlt1,critFlt1,dFlt2,critFlt2,dFlt3,critFlt3))</f>
        <v/>
      </c>
      <c r="F1493" t="str">
        <f>IF($B1493="","",SUMIFS(dQty,dCust,$B1493,dPer,"&gt;="&amp;cyFrom,dPer,"&lt;="&amp;cyTo,dQty,"&gt;-1E+300",dFlt1,critFlt1,dFlt2,critFlt2,dFlt3,critFlt3))</f>
        <v/>
      </c>
      <c r="G1493">
        <f>IF($B1493="",0,IFERROR(IF(OR(C1493&lt;&gt;0,D1493&lt;&gt;0,E1493&lt;&gt;0,F1493&lt;&gt;0),1,0),1))</f>
        <v>0</v>
      </c>
      <c r="H1493" t="str">
        <f>IF(OR(G1493=0,E1493=0),"",C1493/E1493)</f>
        <v/>
      </c>
      <c r="I1493" t="str">
        <f>IF(OR(G1493=0,F1493=0),"",D1493/F1493)</f>
        <v/>
      </c>
      <c r="J1493" t="str">
        <f>IF(OR(H1493="",I1493=""),"",IF(H1493=0,"",I1493/H1493-1))</f>
        <v/>
      </c>
      <c r="K1493" t="str">
        <f>IF($B1493="","",IFERROR(IF(G1493=0,-2E+300,CHOOSE(sortIdx,ROUND(D1493,0),IF(J1493="",-1E+300,ROUND(-J1493,6)),IF(J1493="",-1E+300,ROUND(J1493,6)))),-1.5E+300))</f>
        <v/>
      </c>
      <c r="L1493" t="str">
        <f>IF(K1493="","",RANK(K1493,$K$2:$K$3001,0)+COUNTIF($K$2:K1493,K1493)-1)</f>
        <v/>
      </c>
    </row>
    <row r="1494">
      <c r="B1494" t="str">
        <f>IFERROR(IF(A1494="","","="&amp;SUBSTITUTE(SUBSTITUTE(SUBSTITUTE(A1494,"~","~~"),"*","~*"),"?","~?")),"")</f>
        <v/>
      </c>
      <c r="C1494" t="str">
        <f>IF($B1494="","",SUMIFS(dAmt,dCust,$B1494,dPer,"&gt;="&amp;pyFrom,dPer,"&lt;="&amp;pyTo,dAmt,"&gt;-1E+300",dFlt1,critFlt1,dFlt2,critFlt2,dFlt3,critFlt3))</f>
        <v/>
      </c>
      <c r="D1494" t="str">
        <f>IF($B1494="","",SUMIFS(dAmt,dCust,$B1494,dPer,"&gt;="&amp;cyFrom,dPer,"&lt;="&amp;cyTo,dAmt,"&gt;-1E+300",dFlt1,critFlt1,dFlt2,critFlt2,dFlt3,critFlt3))</f>
        <v/>
      </c>
      <c r="E1494" t="str">
        <f>IF($B1494="","",SUMIFS(dQty,dCust,$B1494,dPer,"&gt;="&amp;pyFrom,dPer,"&lt;="&amp;pyTo,dQty,"&gt;-1E+300",dFlt1,critFlt1,dFlt2,critFlt2,dFlt3,critFlt3))</f>
        <v/>
      </c>
      <c r="F1494" t="str">
        <f>IF($B1494="","",SUMIFS(dQty,dCust,$B1494,dPer,"&gt;="&amp;cyFrom,dPer,"&lt;="&amp;cyTo,dQty,"&gt;-1E+300",dFlt1,critFlt1,dFlt2,critFlt2,dFlt3,critFlt3))</f>
        <v/>
      </c>
      <c r="G1494">
        <f>IF($B1494="",0,IFERROR(IF(OR(C1494&lt;&gt;0,D1494&lt;&gt;0,E1494&lt;&gt;0,F1494&lt;&gt;0),1,0),1))</f>
        <v>0</v>
      </c>
      <c r="H1494" t="str">
        <f>IF(OR(G1494=0,E1494=0),"",C1494/E1494)</f>
        <v/>
      </c>
      <c r="I1494" t="str">
        <f>IF(OR(G1494=0,F1494=0),"",D1494/F1494)</f>
        <v/>
      </c>
      <c r="J1494" t="str">
        <f>IF(OR(H1494="",I1494=""),"",IF(H1494=0,"",I1494/H1494-1))</f>
        <v/>
      </c>
      <c r="K1494" t="str">
        <f>IF($B1494="","",IFERROR(IF(G1494=0,-2E+300,CHOOSE(sortIdx,ROUND(D1494,0),IF(J1494="",-1E+300,ROUND(-J1494,6)),IF(J1494="",-1E+300,ROUND(J1494,6)))),-1.5E+300))</f>
        <v/>
      </c>
      <c r="L1494" t="str">
        <f>IF(K1494="","",RANK(K1494,$K$2:$K$3001,0)+COUNTIF($K$2:K1494,K1494)-1)</f>
        <v/>
      </c>
    </row>
    <row r="1495">
      <c r="B1495" t="str">
        <f>IFERROR(IF(A1495="","","="&amp;SUBSTITUTE(SUBSTITUTE(SUBSTITUTE(A1495,"~","~~"),"*","~*"),"?","~?")),"")</f>
        <v/>
      </c>
      <c r="C1495" t="str">
        <f>IF($B1495="","",SUMIFS(dAmt,dCust,$B1495,dPer,"&gt;="&amp;pyFrom,dPer,"&lt;="&amp;pyTo,dAmt,"&gt;-1E+300",dFlt1,critFlt1,dFlt2,critFlt2,dFlt3,critFlt3))</f>
        <v/>
      </c>
      <c r="D1495" t="str">
        <f>IF($B1495="","",SUMIFS(dAmt,dCust,$B1495,dPer,"&gt;="&amp;cyFrom,dPer,"&lt;="&amp;cyTo,dAmt,"&gt;-1E+300",dFlt1,critFlt1,dFlt2,critFlt2,dFlt3,critFlt3))</f>
        <v/>
      </c>
      <c r="E1495" t="str">
        <f>IF($B1495="","",SUMIFS(dQty,dCust,$B1495,dPer,"&gt;="&amp;pyFrom,dPer,"&lt;="&amp;pyTo,dQty,"&gt;-1E+300",dFlt1,critFlt1,dFlt2,critFlt2,dFlt3,critFlt3))</f>
        <v/>
      </c>
      <c r="F1495" t="str">
        <f>IF($B1495="","",SUMIFS(dQty,dCust,$B1495,dPer,"&gt;="&amp;cyFrom,dPer,"&lt;="&amp;cyTo,dQty,"&gt;-1E+300",dFlt1,critFlt1,dFlt2,critFlt2,dFlt3,critFlt3))</f>
        <v/>
      </c>
      <c r="G1495">
        <f>IF($B1495="",0,IFERROR(IF(OR(C1495&lt;&gt;0,D1495&lt;&gt;0,E1495&lt;&gt;0,F1495&lt;&gt;0),1,0),1))</f>
        <v>0</v>
      </c>
      <c r="H1495" t="str">
        <f>IF(OR(G1495=0,E1495=0),"",C1495/E1495)</f>
        <v/>
      </c>
      <c r="I1495" t="str">
        <f>IF(OR(G1495=0,F1495=0),"",D1495/F1495)</f>
        <v/>
      </c>
      <c r="J1495" t="str">
        <f>IF(OR(H1495="",I1495=""),"",IF(H1495=0,"",I1495/H1495-1))</f>
        <v/>
      </c>
      <c r="K1495" t="str">
        <f>IF($B1495="","",IFERROR(IF(G1495=0,-2E+300,CHOOSE(sortIdx,ROUND(D1495,0),IF(J1495="",-1E+300,ROUND(-J1495,6)),IF(J1495="",-1E+300,ROUND(J1495,6)))),-1.5E+300))</f>
        <v/>
      </c>
      <c r="L1495" t="str">
        <f>IF(K1495="","",RANK(K1495,$K$2:$K$3001,0)+COUNTIF($K$2:K1495,K1495)-1)</f>
        <v/>
      </c>
    </row>
    <row r="1496">
      <c r="B1496" t="str">
        <f>IFERROR(IF(A1496="","","="&amp;SUBSTITUTE(SUBSTITUTE(SUBSTITUTE(A1496,"~","~~"),"*","~*"),"?","~?")),"")</f>
        <v/>
      </c>
      <c r="C1496" t="str">
        <f>IF($B1496="","",SUMIFS(dAmt,dCust,$B1496,dPer,"&gt;="&amp;pyFrom,dPer,"&lt;="&amp;pyTo,dAmt,"&gt;-1E+300",dFlt1,critFlt1,dFlt2,critFlt2,dFlt3,critFlt3))</f>
        <v/>
      </c>
      <c r="D1496" t="str">
        <f>IF($B1496="","",SUMIFS(dAmt,dCust,$B1496,dPer,"&gt;="&amp;cyFrom,dPer,"&lt;="&amp;cyTo,dAmt,"&gt;-1E+300",dFlt1,critFlt1,dFlt2,critFlt2,dFlt3,critFlt3))</f>
        <v/>
      </c>
      <c r="E1496" t="str">
        <f>IF($B1496="","",SUMIFS(dQty,dCust,$B1496,dPer,"&gt;="&amp;pyFrom,dPer,"&lt;="&amp;pyTo,dQty,"&gt;-1E+300",dFlt1,critFlt1,dFlt2,critFlt2,dFlt3,critFlt3))</f>
        <v/>
      </c>
      <c r="F1496" t="str">
        <f>IF($B1496="","",SUMIFS(dQty,dCust,$B1496,dPer,"&gt;="&amp;cyFrom,dPer,"&lt;="&amp;cyTo,dQty,"&gt;-1E+300",dFlt1,critFlt1,dFlt2,critFlt2,dFlt3,critFlt3))</f>
        <v/>
      </c>
      <c r="G1496">
        <f>IF($B1496="",0,IFERROR(IF(OR(C1496&lt;&gt;0,D1496&lt;&gt;0,E1496&lt;&gt;0,F1496&lt;&gt;0),1,0),1))</f>
        <v>0</v>
      </c>
      <c r="H1496" t="str">
        <f>IF(OR(G1496=0,E1496=0),"",C1496/E1496)</f>
        <v/>
      </c>
      <c r="I1496" t="str">
        <f>IF(OR(G1496=0,F1496=0),"",D1496/F1496)</f>
        <v/>
      </c>
      <c r="J1496" t="str">
        <f>IF(OR(H1496="",I1496=""),"",IF(H1496=0,"",I1496/H1496-1))</f>
        <v/>
      </c>
      <c r="K1496" t="str">
        <f>IF($B1496="","",IFERROR(IF(G1496=0,-2E+300,CHOOSE(sortIdx,ROUND(D1496,0),IF(J1496="",-1E+300,ROUND(-J1496,6)),IF(J1496="",-1E+300,ROUND(J1496,6)))),-1.5E+300))</f>
        <v/>
      </c>
      <c r="L1496" t="str">
        <f>IF(K1496="","",RANK(K1496,$K$2:$K$3001,0)+COUNTIF($K$2:K1496,K1496)-1)</f>
        <v/>
      </c>
    </row>
    <row r="1497">
      <c r="B1497" t="str">
        <f>IFERROR(IF(A1497="","","="&amp;SUBSTITUTE(SUBSTITUTE(SUBSTITUTE(A1497,"~","~~"),"*","~*"),"?","~?")),"")</f>
        <v/>
      </c>
      <c r="C1497" t="str">
        <f>IF($B1497="","",SUMIFS(dAmt,dCust,$B1497,dPer,"&gt;="&amp;pyFrom,dPer,"&lt;="&amp;pyTo,dAmt,"&gt;-1E+300",dFlt1,critFlt1,dFlt2,critFlt2,dFlt3,critFlt3))</f>
        <v/>
      </c>
      <c r="D1497" t="str">
        <f>IF($B1497="","",SUMIFS(dAmt,dCust,$B1497,dPer,"&gt;="&amp;cyFrom,dPer,"&lt;="&amp;cyTo,dAmt,"&gt;-1E+300",dFlt1,critFlt1,dFlt2,critFlt2,dFlt3,critFlt3))</f>
        <v/>
      </c>
      <c r="E1497" t="str">
        <f>IF($B1497="","",SUMIFS(dQty,dCust,$B1497,dPer,"&gt;="&amp;pyFrom,dPer,"&lt;="&amp;pyTo,dQty,"&gt;-1E+300",dFlt1,critFlt1,dFlt2,critFlt2,dFlt3,critFlt3))</f>
        <v/>
      </c>
      <c r="F1497" t="str">
        <f>IF($B1497="","",SUMIFS(dQty,dCust,$B1497,dPer,"&gt;="&amp;cyFrom,dPer,"&lt;="&amp;cyTo,dQty,"&gt;-1E+300",dFlt1,critFlt1,dFlt2,critFlt2,dFlt3,critFlt3))</f>
        <v/>
      </c>
      <c r="G1497">
        <f>IF($B1497="",0,IFERROR(IF(OR(C1497&lt;&gt;0,D1497&lt;&gt;0,E1497&lt;&gt;0,F1497&lt;&gt;0),1,0),1))</f>
        <v>0</v>
      </c>
      <c r="H1497" t="str">
        <f>IF(OR(G1497=0,E1497=0),"",C1497/E1497)</f>
        <v/>
      </c>
      <c r="I1497" t="str">
        <f>IF(OR(G1497=0,F1497=0),"",D1497/F1497)</f>
        <v/>
      </c>
      <c r="J1497" t="str">
        <f>IF(OR(H1497="",I1497=""),"",IF(H1497=0,"",I1497/H1497-1))</f>
        <v/>
      </c>
      <c r="K1497" t="str">
        <f>IF($B1497="","",IFERROR(IF(G1497=0,-2E+300,CHOOSE(sortIdx,ROUND(D1497,0),IF(J1497="",-1E+300,ROUND(-J1497,6)),IF(J1497="",-1E+300,ROUND(J1497,6)))),-1.5E+300))</f>
        <v/>
      </c>
      <c r="L1497" t="str">
        <f>IF(K1497="","",RANK(K1497,$K$2:$K$3001,0)+COUNTIF($K$2:K1497,K1497)-1)</f>
        <v/>
      </c>
    </row>
    <row r="1498">
      <c r="B1498" t="str">
        <f>IFERROR(IF(A1498="","","="&amp;SUBSTITUTE(SUBSTITUTE(SUBSTITUTE(A1498,"~","~~"),"*","~*"),"?","~?")),"")</f>
        <v/>
      </c>
      <c r="C1498" t="str">
        <f>IF($B1498="","",SUMIFS(dAmt,dCust,$B1498,dPer,"&gt;="&amp;pyFrom,dPer,"&lt;="&amp;pyTo,dAmt,"&gt;-1E+300",dFlt1,critFlt1,dFlt2,critFlt2,dFlt3,critFlt3))</f>
        <v/>
      </c>
      <c r="D1498" t="str">
        <f>IF($B1498="","",SUMIFS(dAmt,dCust,$B1498,dPer,"&gt;="&amp;cyFrom,dPer,"&lt;="&amp;cyTo,dAmt,"&gt;-1E+300",dFlt1,critFlt1,dFlt2,critFlt2,dFlt3,critFlt3))</f>
        <v/>
      </c>
      <c r="E1498" t="str">
        <f>IF($B1498="","",SUMIFS(dQty,dCust,$B1498,dPer,"&gt;="&amp;pyFrom,dPer,"&lt;="&amp;pyTo,dQty,"&gt;-1E+300",dFlt1,critFlt1,dFlt2,critFlt2,dFlt3,critFlt3))</f>
        <v/>
      </c>
      <c r="F1498" t="str">
        <f>IF($B1498="","",SUMIFS(dQty,dCust,$B1498,dPer,"&gt;="&amp;cyFrom,dPer,"&lt;="&amp;cyTo,dQty,"&gt;-1E+300",dFlt1,critFlt1,dFlt2,critFlt2,dFlt3,critFlt3))</f>
        <v/>
      </c>
      <c r="G1498">
        <f>IF($B1498="",0,IFERROR(IF(OR(C1498&lt;&gt;0,D1498&lt;&gt;0,E1498&lt;&gt;0,F1498&lt;&gt;0),1,0),1))</f>
        <v>0</v>
      </c>
      <c r="H1498" t="str">
        <f>IF(OR(G1498=0,E1498=0),"",C1498/E1498)</f>
        <v/>
      </c>
      <c r="I1498" t="str">
        <f>IF(OR(G1498=0,F1498=0),"",D1498/F1498)</f>
        <v/>
      </c>
      <c r="J1498" t="str">
        <f>IF(OR(H1498="",I1498=""),"",IF(H1498=0,"",I1498/H1498-1))</f>
        <v/>
      </c>
      <c r="K1498" t="str">
        <f>IF($B1498="","",IFERROR(IF(G1498=0,-2E+300,CHOOSE(sortIdx,ROUND(D1498,0),IF(J1498="",-1E+300,ROUND(-J1498,6)),IF(J1498="",-1E+300,ROUND(J1498,6)))),-1.5E+300))</f>
        <v/>
      </c>
      <c r="L1498" t="str">
        <f>IF(K1498="","",RANK(K1498,$K$2:$K$3001,0)+COUNTIF($K$2:K1498,K1498)-1)</f>
        <v/>
      </c>
    </row>
    <row r="1499">
      <c r="B1499" t="str">
        <f>IFERROR(IF(A1499="","","="&amp;SUBSTITUTE(SUBSTITUTE(SUBSTITUTE(A1499,"~","~~"),"*","~*"),"?","~?")),"")</f>
        <v/>
      </c>
      <c r="C1499" t="str">
        <f>IF($B1499="","",SUMIFS(dAmt,dCust,$B1499,dPer,"&gt;="&amp;pyFrom,dPer,"&lt;="&amp;pyTo,dAmt,"&gt;-1E+300",dFlt1,critFlt1,dFlt2,critFlt2,dFlt3,critFlt3))</f>
        <v/>
      </c>
      <c r="D1499" t="str">
        <f>IF($B1499="","",SUMIFS(dAmt,dCust,$B1499,dPer,"&gt;="&amp;cyFrom,dPer,"&lt;="&amp;cyTo,dAmt,"&gt;-1E+300",dFlt1,critFlt1,dFlt2,critFlt2,dFlt3,critFlt3))</f>
        <v/>
      </c>
      <c r="E1499" t="str">
        <f>IF($B1499="","",SUMIFS(dQty,dCust,$B1499,dPer,"&gt;="&amp;pyFrom,dPer,"&lt;="&amp;pyTo,dQty,"&gt;-1E+300",dFlt1,critFlt1,dFlt2,critFlt2,dFlt3,critFlt3))</f>
        <v/>
      </c>
      <c r="F1499" t="str">
        <f>IF($B1499="","",SUMIFS(dQty,dCust,$B1499,dPer,"&gt;="&amp;cyFrom,dPer,"&lt;="&amp;cyTo,dQty,"&gt;-1E+300",dFlt1,critFlt1,dFlt2,critFlt2,dFlt3,critFlt3))</f>
        <v/>
      </c>
      <c r="G1499">
        <f>IF($B1499="",0,IFERROR(IF(OR(C1499&lt;&gt;0,D1499&lt;&gt;0,E1499&lt;&gt;0,F1499&lt;&gt;0),1,0),1))</f>
        <v>0</v>
      </c>
      <c r="H1499" t="str">
        <f>IF(OR(G1499=0,E1499=0),"",C1499/E1499)</f>
        <v/>
      </c>
      <c r="I1499" t="str">
        <f>IF(OR(G1499=0,F1499=0),"",D1499/F1499)</f>
        <v/>
      </c>
      <c r="J1499" t="str">
        <f>IF(OR(H1499="",I1499=""),"",IF(H1499=0,"",I1499/H1499-1))</f>
        <v/>
      </c>
      <c r="K1499" t="str">
        <f>IF($B1499="","",IFERROR(IF(G1499=0,-2E+300,CHOOSE(sortIdx,ROUND(D1499,0),IF(J1499="",-1E+300,ROUND(-J1499,6)),IF(J1499="",-1E+300,ROUND(J1499,6)))),-1.5E+300))</f>
        <v/>
      </c>
      <c r="L1499" t="str">
        <f>IF(K1499="","",RANK(K1499,$K$2:$K$3001,0)+COUNTIF($K$2:K1499,K1499)-1)</f>
        <v/>
      </c>
    </row>
    <row r="1500">
      <c r="B1500" t="str">
        <f>IFERROR(IF(A1500="","","="&amp;SUBSTITUTE(SUBSTITUTE(SUBSTITUTE(A1500,"~","~~"),"*","~*"),"?","~?")),"")</f>
        <v/>
      </c>
      <c r="C1500" t="str">
        <f>IF($B1500="","",SUMIFS(dAmt,dCust,$B1500,dPer,"&gt;="&amp;pyFrom,dPer,"&lt;="&amp;pyTo,dAmt,"&gt;-1E+300",dFlt1,critFlt1,dFlt2,critFlt2,dFlt3,critFlt3))</f>
        <v/>
      </c>
      <c r="D1500" t="str">
        <f>IF($B1500="","",SUMIFS(dAmt,dCust,$B1500,dPer,"&gt;="&amp;cyFrom,dPer,"&lt;="&amp;cyTo,dAmt,"&gt;-1E+300",dFlt1,critFlt1,dFlt2,critFlt2,dFlt3,critFlt3))</f>
        <v/>
      </c>
      <c r="E1500" t="str">
        <f>IF($B1500="","",SUMIFS(dQty,dCust,$B1500,dPer,"&gt;="&amp;pyFrom,dPer,"&lt;="&amp;pyTo,dQty,"&gt;-1E+300",dFlt1,critFlt1,dFlt2,critFlt2,dFlt3,critFlt3))</f>
        <v/>
      </c>
      <c r="F1500" t="str">
        <f>IF($B1500="","",SUMIFS(dQty,dCust,$B1500,dPer,"&gt;="&amp;cyFrom,dPer,"&lt;="&amp;cyTo,dQty,"&gt;-1E+300",dFlt1,critFlt1,dFlt2,critFlt2,dFlt3,critFlt3))</f>
        <v/>
      </c>
      <c r="G1500">
        <f>IF($B1500="",0,IFERROR(IF(OR(C1500&lt;&gt;0,D1500&lt;&gt;0,E1500&lt;&gt;0,F1500&lt;&gt;0),1,0),1))</f>
        <v>0</v>
      </c>
      <c r="H1500" t="str">
        <f>IF(OR(G1500=0,E1500=0),"",C1500/E1500)</f>
        <v/>
      </c>
      <c r="I1500" t="str">
        <f>IF(OR(G1500=0,F1500=0),"",D1500/F1500)</f>
        <v/>
      </c>
      <c r="J1500" t="str">
        <f>IF(OR(H1500="",I1500=""),"",IF(H1500=0,"",I1500/H1500-1))</f>
        <v/>
      </c>
      <c r="K1500" t="str">
        <f>IF($B1500="","",IFERROR(IF(G1500=0,-2E+300,CHOOSE(sortIdx,ROUND(D1500,0),IF(J1500="",-1E+300,ROUND(-J1500,6)),IF(J1500="",-1E+300,ROUND(J1500,6)))),-1.5E+300))</f>
        <v/>
      </c>
      <c r="L1500" t="str">
        <f>IF(K1500="","",RANK(K1500,$K$2:$K$3001,0)+COUNTIF($K$2:K1500,K1500)-1)</f>
        <v/>
      </c>
    </row>
    <row r="1501">
      <c r="B1501" t="str">
        <f>IFERROR(IF(A1501="","","="&amp;SUBSTITUTE(SUBSTITUTE(SUBSTITUTE(A1501,"~","~~"),"*","~*"),"?","~?")),"")</f>
        <v/>
      </c>
      <c r="C1501" t="str">
        <f>IF($B1501="","",SUMIFS(dAmt,dCust,$B1501,dPer,"&gt;="&amp;pyFrom,dPer,"&lt;="&amp;pyTo,dAmt,"&gt;-1E+300",dFlt1,critFlt1,dFlt2,critFlt2,dFlt3,critFlt3))</f>
        <v/>
      </c>
      <c r="D1501" t="str">
        <f>IF($B1501="","",SUMIFS(dAmt,dCust,$B1501,dPer,"&gt;="&amp;cyFrom,dPer,"&lt;="&amp;cyTo,dAmt,"&gt;-1E+300",dFlt1,critFlt1,dFlt2,critFlt2,dFlt3,critFlt3))</f>
        <v/>
      </c>
      <c r="E1501" t="str">
        <f>IF($B1501="","",SUMIFS(dQty,dCust,$B1501,dPer,"&gt;="&amp;pyFrom,dPer,"&lt;="&amp;pyTo,dQty,"&gt;-1E+300",dFlt1,critFlt1,dFlt2,critFlt2,dFlt3,critFlt3))</f>
        <v/>
      </c>
      <c r="F1501" t="str">
        <f>IF($B1501="","",SUMIFS(dQty,dCust,$B1501,dPer,"&gt;="&amp;cyFrom,dPer,"&lt;="&amp;cyTo,dQty,"&gt;-1E+300",dFlt1,critFlt1,dFlt2,critFlt2,dFlt3,critFlt3))</f>
        <v/>
      </c>
      <c r="G1501">
        <f>IF($B1501="",0,IFERROR(IF(OR(C1501&lt;&gt;0,D1501&lt;&gt;0,E1501&lt;&gt;0,F1501&lt;&gt;0),1,0),1))</f>
        <v>0</v>
      </c>
      <c r="H1501" t="str">
        <f>IF(OR(G1501=0,E1501=0),"",C1501/E1501)</f>
        <v/>
      </c>
      <c r="I1501" t="str">
        <f>IF(OR(G1501=0,F1501=0),"",D1501/F1501)</f>
        <v/>
      </c>
      <c r="J1501" t="str">
        <f>IF(OR(H1501="",I1501=""),"",IF(H1501=0,"",I1501/H1501-1))</f>
        <v/>
      </c>
      <c r="K1501" t="str">
        <f>IF($B1501="","",IFERROR(IF(G1501=0,-2E+300,CHOOSE(sortIdx,ROUND(D1501,0),IF(J1501="",-1E+300,ROUND(-J1501,6)),IF(J1501="",-1E+300,ROUND(J1501,6)))),-1.5E+300))</f>
        <v/>
      </c>
      <c r="L1501" t="str">
        <f>IF(K1501="","",RANK(K1501,$K$2:$K$3001,0)+COUNTIF($K$2:K1501,K1501)-1)</f>
        <v/>
      </c>
    </row>
    <row r="1502">
      <c r="B1502" t="str">
        <f>IFERROR(IF(A1502="","","="&amp;SUBSTITUTE(SUBSTITUTE(SUBSTITUTE(A1502,"~","~~"),"*","~*"),"?","~?")),"")</f>
        <v/>
      </c>
      <c r="C1502" t="str">
        <f>IF($B1502="","",SUMIFS(dAmt,dCust,$B1502,dPer,"&gt;="&amp;pyFrom,dPer,"&lt;="&amp;pyTo,dAmt,"&gt;-1E+300",dFlt1,critFlt1,dFlt2,critFlt2,dFlt3,critFlt3))</f>
        <v/>
      </c>
      <c r="D1502" t="str">
        <f>IF($B1502="","",SUMIFS(dAmt,dCust,$B1502,dPer,"&gt;="&amp;cyFrom,dPer,"&lt;="&amp;cyTo,dAmt,"&gt;-1E+300",dFlt1,critFlt1,dFlt2,critFlt2,dFlt3,critFlt3))</f>
        <v/>
      </c>
      <c r="E1502" t="str">
        <f>IF($B1502="","",SUMIFS(dQty,dCust,$B1502,dPer,"&gt;="&amp;pyFrom,dPer,"&lt;="&amp;pyTo,dQty,"&gt;-1E+300",dFlt1,critFlt1,dFlt2,critFlt2,dFlt3,critFlt3))</f>
        <v/>
      </c>
      <c r="F1502" t="str">
        <f>IF($B1502="","",SUMIFS(dQty,dCust,$B1502,dPer,"&gt;="&amp;cyFrom,dPer,"&lt;="&amp;cyTo,dQty,"&gt;-1E+300",dFlt1,critFlt1,dFlt2,critFlt2,dFlt3,critFlt3))</f>
        <v/>
      </c>
      <c r="G1502">
        <f>IF($B1502="",0,IFERROR(IF(OR(C1502&lt;&gt;0,D1502&lt;&gt;0,E1502&lt;&gt;0,F1502&lt;&gt;0),1,0),1))</f>
        <v>0</v>
      </c>
      <c r="H1502" t="str">
        <f>IF(OR(G1502=0,E1502=0),"",C1502/E1502)</f>
        <v/>
      </c>
      <c r="I1502" t="str">
        <f>IF(OR(G1502=0,F1502=0),"",D1502/F1502)</f>
        <v/>
      </c>
      <c r="J1502" t="str">
        <f>IF(OR(H1502="",I1502=""),"",IF(H1502=0,"",I1502/H1502-1))</f>
        <v/>
      </c>
      <c r="K1502" t="str">
        <f>IF($B1502="","",IFERROR(IF(G1502=0,-2E+300,CHOOSE(sortIdx,ROUND(D1502,0),IF(J1502="",-1E+300,ROUND(-J1502,6)),IF(J1502="",-1E+300,ROUND(J1502,6)))),-1.5E+300))</f>
        <v/>
      </c>
      <c r="L1502" t="str">
        <f>IF(K1502="","",RANK(K1502,$K$2:$K$3001,0)+COUNTIF($K$2:K1502,K1502)-1)</f>
        <v/>
      </c>
    </row>
    <row r="1503">
      <c r="B1503" t="str">
        <f>IFERROR(IF(A1503="","","="&amp;SUBSTITUTE(SUBSTITUTE(SUBSTITUTE(A1503,"~","~~"),"*","~*"),"?","~?")),"")</f>
        <v/>
      </c>
      <c r="C1503" t="str">
        <f>IF($B1503="","",SUMIFS(dAmt,dCust,$B1503,dPer,"&gt;="&amp;pyFrom,dPer,"&lt;="&amp;pyTo,dAmt,"&gt;-1E+300",dFlt1,critFlt1,dFlt2,critFlt2,dFlt3,critFlt3))</f>
        <v/>
      </c>
      <c r="D1503" t="str">
        <f>IF($B1503="","",SUMIFS(dAmt,dCust,$B1503,dPer,"&gt;="&amp;cyFrom,dPer,"&lt;="&amp;cyTo,dAmt,"&gt;-1E+300",dFlt1,critFlt1,dFlt2,critFlt2,dFlt3,critFlt3))</f>
        <v/>
      </c>
      <c r="E1503" t="str">
        <f>IF($B1503="","",SUMIFS(dQty,dCust,$B1503,dPer,"&gt;="&amp;pyFrom,dPer,"&lt;="&amp;pyTo,dQty,"&gt;-1E+300",dFlt1,critFlt1,dFlt2,critFlt2,dFlt3,critFlt3))</f>
        <v/>
      </c>
      <c r="F1503" t="str">
        <f>IF($B1503="","",SUMIFS(dQty,dCust,$B1503,dPer,"&gt;="&amp;cyFrom,dPer,"&lt;="&amp;cyTo,dQty,"&gt;-1E+300",dFlt1,critFlt1,dFlt2,critFlt2,dFlt3,critFlt3))</f>
        <v/>
      </c>
      <c r="G1503">
        <f>IF($B1503="",0,IFERROR(IF(OR(C1503&lt;&gt;0,D1503&lt;&gt;0,E1503&lt;&gt;0,F1503&lt;&gt;0),1,0),1))</f>
        <v>0</v>
      </c>
      <c r="H1503" t="str">
        <f>IF(OR(G1503=0,E1503=0),"",C1503/E1503)</f>
        <v/>
      </c>
      <c r="I1503" t="str">
        <f>IF(OR(G1503=0,F1503=0),"",D1503/F1503)</f>
        <v/>
      </c>
      <c r="J1503" t="str">
        <f>IF(OR(H1503="",I1503=""),"",IF(H1503=0,"",I1503/H1503-1))</f>
        <v/>
      </c>
      <c r="K1503" t="str">
        <f>IF($B1503="","",IFERROR(IF(G1503=0,-2E+300,CHOOSE(sortIdx,ROUND(D1503,0),IF(J1503="",-1E+300,ROUND(-J1503,6)),IF(J1503="",-1E+300,ROUND(J1503,6)))),-1.5E+300))</f>
        <v/>
      </c>
      <c r="L1503" t="str">
        <f>IF(K1503="","",RANK(K1503,$K$2:$K$3001,0)+COUNTIF($K$2:K1503,K1503)-1)</f>
        <v/>
      </c>
    </row>
    <row r="1504">
      <c r="B1504" t="str">
        <f>IFERROR(IF(A1504="","","="&amp;SUBSTITUTE(SUBSTITUTE(SUBSTITUTE(A1504,"~","~~"),"*","~*"),"?","~?")),"")</f>
        <v/>
      </c>
      <c r="C1504" t="str">
        <f>IF($B1504="","",SUMIFS(dAmt,dCust,$B1504,dPer,"&gt;="&amp;pyFrom,dPer,"&lt;="&amp;pyTo,dAmt,"&gt;-1E+300",dFlt1,critFlt1,dFlt2,critFlt2,dFlt3,critFlt3))</f>
        <v/>
      </c>
      <c r="D1504" t="str">
        <f>IF($B1504="","",SUMIFS(dAmt,dCust,$B1504,dPer,"&gt;="&amp;cyFrom,dPer,"&lt;="&amp;cyTo,dAmt,"&gt;-1E+300",dFlt1,critFlt1,dFlt2,critFlt2,dFlt3,critFlt3))</f>
        <v/>
      </c>
      <c r="E1504" t="str">
        <f>IF($B1504="","",SUMIFS(dQty,dCust,$B1504,dPer,"&gt;="&amp;pyFrom,dPer,"&lt;="&amp;pyTo,dQty,"&gt;-1E+300",dFlt1,critFlt1,dFlt2,critFlt2,dFlt3,critFlt3))</f>
        <v/>
      </c>
      <c r="F1504" t="str">
        <f>IF($B1504="","",SUMIFS(dQty,dCust,$B1504,dPer,"&gt;="&amp;cyFrom,dPer,"&lt;="&amp;cyTo,dQty,"&gt;-1E+300",dFlt1,critFlt1,dFlt2,critFlt2,dFlt3,critFlt3))</f>
        <v/>
      </c>
      <c r="G1504">
        <f>IF($B1504="",0,IFERROR(IF(OR(C1504&lt;&gt;0,D1504&lt;&gt;0,E1504&lt;&gt;0,F1504&lt;&gt;0),1,0),1))</f>
        <v>0</v>
      </c>
      <c r="H1504" t="str">
        <f>IF(OR(G1504=0,E1504=0),"",C1504/E1504)</f>
        <v/>
      </c>
      <c r="I1504" t="str">
        <f>IF(OR(G1504=0,F1504=0),"",D1504/F1504)</f>
        <v/>
      </c>
      <c r="J1504" t="str">
        <f>IF(OR(H1504="",I1504=""),"",IF(H1504=0,"",I1504/H1504-1))</f>
        <v/>
      </c>
      <c r="K1504" t="str">
        <f>IF($B1504="","",IFERROR(IF(G1504=0,-2E+300,CHOOSE(sortIdx,ROUND(D1504,0),IF(J1504="",-1E+300,ROUND(-J1504,6)),IF(J1504="",-1E+300,ROUND(J1504,6)))),-1.5E+300))</f>
        <v/>
      </c>
      <c r="L1504" t="str">
        <f>IF(K1504="","",RANK(K1504,$K$2:$K$3001,0)+COUNTIF($K$2:K1504,K1504)-1)</f>
        <v/>
      </c>
    </row>
    <row r="1505">
      <c r="B1505" t="str">
        <f>IFERROR(IF(A1505="","","="&amp;SUBSTITUTE(SUBSTITUTE(SUBSTITUTE(A1505,"~","~~"),"*","~*"),"?","~?")),"")</f>
        <v/>
      </c>
      <c r="C1505" t="str">
        <f>IF($B1505="","",SUMIFS(dAmt,dCust,$B1505,dPer,"&gt;="&amp;pyFrom,dPer,"&lt;="&amp;pyTo,dAmt,"&gt;-1E+300",dFlt1,critFlt1,dFlt2,critFlt2,dFlt3,critFlt3))</f>
        <v/>
      </c>
      <c r="D1505" t="str">
        <f>IF($B1505="","",SUMIFS(dAmt,dCust,$B1505,dPer,"&gt;="&amp;cyFrom,dPer,"&lt;="&amp;cyTo,dAmt,"&gt;-1E+300",dFlt1,critFlt1,dFlt2,critFlt2,dFlt3,critFlt3))</f>
        <v/>
      </c>
      <c r="E1505" t="str">
        <f>IF($B1505="","",SUMIFS(dQty,dCust,$B1505,dPer,"&gt;="&amp;pyFrom,dPer,"&lt;="&amp;pyTo,dQty,"&gt;-1E+300",dFlt1,critFlt1,dFlt2,critFlt2,dFlt3,critFlt3))</f>
        <v/>
      </c>
      <c r="F1505" t="str">
        <f>IF($B1505="","",SUMIFS(dQty,dCust,$B1505,dPer,"&gt;="&amp;cyFrom,dPer,"&lt;="&amp;cyTo,dQty,"&gt;-1E+300",dFlt1,critFlt1,dFlt2,critFlt2,dFlt3,critFlt3))</f>
        <v/>
      </c>
      <c r="G1505">
        <f>IF($B1505="",0,IFERROR(IF(OR(C1505&lt;&gt;0,D1505&lt;&gt;0,E1505&lt;&gt;0,F1505&lt;&gt;0),1,0),1))</f>
        <v>0</v>
      </c>
      <c r="H1505" t="str">
        <f>IF(OR(G1505=0,E1505=0),"",C1505/E1505)</f>
        <v/>
      </c>
      <c r="I1505" t="str">
        <f>IF(OR(G1505=0,F1505=0),"",D1505/F1505)</f>
        <v/>
      </c>
      <c r="J1505" t="str">
        <f>IF(OR(H1505="",I1505=""),"",IF(H1505=0,"",I1505/H1505-1))</f>
        <v/>
      </c>
      <c r="K1505" t="str">
        <f>IF($B1505="","",IFERROR(IF(G1505=0,-2E+300,CHOOSE(sortIdx,ROUND(D1505,0),IF(J1505="",-1E+300,ROUND(-J1505,6)),IF(J1505="",-1E+300,ROUND(J1505,6)))),-1.5E+300))</f>
        <v/>
      </c>
      <c r="L1505" t="str">
        <f>IF(K1505="","",RANK(K1505,$K$2:$K$3001,0)+COUNTIF($K$2:K1505,K1505)-1)</f>
        <v/>
      </c>
    </row>
    <row r="1506">
      <c r="B1506" t="str">
        <f>IFERROR(IF(A1506="","","="&amp;SUBSTITUTE(SUBSTITUTE(SUBSTITUTE(A1506,"~","~~"),"*","~*"),"?","~?")),"")</f>
        <v/>
      </c>
      <c r="C1506" t="str">
        <f>IF($B1506="","",SUMIFS(dAmt,dCust,$B1506,dPer,"&gt;="&amp;pyFrom,dPer,"&lt;="&amp;pyTo,dAmt,"&gt;-1E+300",dFlt1,critFlt1,dFlt2,critFlt2,dFlt3,critFlt3))</f>
        <v/>
      </c>
      <c r="D1506" t="str">
        <f>IF($B1506="","",SUMIFS(dAmt,dCust,$B1506,dPer,"&gt;="&amp;cyFrom,dPer,"&lt;="&amp;cyTo,dAmt,"&gt;-1E+300",dFlt1,critFlt1,dFlt2,critFlt2,dFlt3,critFlt3))</f>
        <v/>
      </c>
      <c r="E1506" t="str">
        <f>IF($B1506="","",SUMIFS(dQty,dCust,$B1506,dPer,"&gt;="&amp;pyFrom,dPer,"&lt;="&amp;pyTo,dQty,"&gt;-1E+300",dFlt1,critFlt1,dFlt2,critFlt2,dFlt3,critFlt3))</f>
        <v/>
      </c>
      <c r="F1506" t="str">
        <f>IF($B1506="","",SUMIFS(dQty,dCust,$B1506,dPer,"&gt;="&amp;cyFrom,dPer,"&lt;="&amp;cyTo,dQty,"&gt;-1E+300",dFlt1,critFlt1,dFlt2,critFlt2,dFlt3,critFlt3))</f>
        <v/>
      </c>
      <c r="G1506">
        <f>IF($B1506="",0,IFERROR(IF(OR(C1506&lt;&gt;0,D1506&lt;&gt;0,E1506&lt;&gt;0,F1506&lt;&gt;0),1,0),1))</f>
        <v>0</v>
      </c>
      <c r="H1506" t="str">
        <f>IF(OR(G1506=0,E1506=0),"",C1506/E1506)</f>
        <v/>
      </c>
      <c r="I1506" t="str">
        <f>IF(OR(G1506=0,F1506=0),"",D1506/F1506)</f>
        <v/>
      </c>
      <c r="J1506" t="str">
        <f>IF(OR(H1506="",I1506=""),"",IF(H1506=0,"",I1506/H1506-1))</f>
        <v/>
      </c>
      <c r="K1506" t="str">
        <f>IF($B1506="","",IFERROR(IF(G1506=0,-2E+300,CHOOSE(sortIdx,ROUND(D1506,0),IF(J1506="",-1E+300,ROUND(-J1506,6)),IF(J1506="",-1E+300,ROUND(J1506,6)))),-1.5E+300))</f>
        <v/>
      </c>
      <c r="L1506" t="str">
        <f>IF(K1506="","",RANK(K1506,$K$2:$K$3001,0)+COUNTIF($K$2:K1506,K1506)-1)</f>
        <v/>
      </c>
    </row>
    <row r="1507">
      <c r="B1507" t="str">
        <f>IFERROR(IF(A1507="","","="&amp;SUBSTITUTE(SUBSTITUTE(SUBSTITUTE(A1507,"~","~~"),"*","~*"),"?","~?")),"")</f>
        <v/>
      </c>
      <c r="C1507" t="str">
        <f>IF($B1507="","",SUMIFS(dAmt,dCust,$B1507,dPer,"&gt;="&amp;pyFrom,dPer,"&lt;="&amp;pyTo,dAmt,"&gt;-1E+300",dFlt1,critFlt1,dFlt2,critFlt2,dFlt3,critFlt3))</f>
        <v/>
      </c>
      <c r="D1507" t="str">
        <f>IF($B1507="","",SUMIFS(dAmt,dCust,$B1507,dPer,"&gt;="&amp;cyFrom,dPer,"&lt;="&amp;cyTo,dAmt,"&gt;-1E+300",dFlt1,critFlt1,dFlt2,critFlt2,dFlt3,critFlt3))</f>
        <v/>
      </c>
      <c r="E1507" t="str">
        <f>IF($B1507="","",SUMIFS(dQty,dCust,$B1507,dPer,"&gt;="&amp;pyFrom,dPer,"&lt;="&amp;pyTo,dQty,"&gt;-1E+300",dFlt1,critFlt1,dFlt2,critFlt2,dFlt3,critFlt3))</f>
        <v/>
      </c>
      <c r="F1507" t="str">
        <f>IF($B1507="","",SUMIFS(dQty,dCust,$B1507,dPer,"&gt;="&amp;cyFrom,dPer,"&lt;="&amp;cyTo,dQty,"&gt;-1E+300",dFlt1,critFlt1,dFlt2,critFlt2,dFlt3,critFlt3))</f>
        <v/>
      </c>
      <c r="G1507">
        <f>IF($B1507="",0,IFERROR(IF(OR(C1507&lt;&gt;0,D1507&lt;&gt;0,E1507&lt;&gt;0,F1507&lt;&gt;0),1,0),1))</f>
        <v>0</v>
      </c>
      <c r="H1507" t="str">
        <f>IF(OR(G1507=0,E1507=0),"",C1507/E1507)</f>
        <v/>
      </c>
      <c r="I1507" t="str">
        <f>IF(OR(G1507=0,F1507=0),"",D1507/F1507)</f>
        <v/>
      </c>
      <c r="J1507" t="str">
        <f>IF(OR(H1507="",I1507=""),"",IF(H1507=0,"",I1507/H1507-1))</f>
        <v/>
      </c>
      <c r="K1507" t="str">
        <f>IF($B1507="","",IFERROR(IF(G1507=0,-2E+300,CHOOSE(sortIdx,ROUND(D1507,0),IF(J1507="",-1E+300,ROUND(-J1507,6)),IF(J1507="",-1E+300,ROUND(J1507,6)))),-1.5E+300))</f>
        <v/>
      </c>
      <c r="L1507" t="str">
        <f>IF(K1507="","",RANK(K1507,$K$2:$K$3001,0)+COUNTIF($K$2:K1507,K1507)-1)</f>
        <v/>
      </c>
    </row>
    <row r="1508">
      <c r="B1508" t="str">
        <f>IFERROR(IF(A1508="","","="&amp;SUBSTITUTE(SUBSTITUTE(SUBSTITUTE(A1508,"~","~~"),"*","~*"),"?","~?")),"")</f>
        <v/>
      </c>
      <c r="C1508" t="str">
        <f>IF($B1508="","",SUMIFS(dAmt,dCust,$B1508,dPer,"&gt;="&amp;pyFrom,dPer,"&lt;="&amp;pyTo,dAmt,"&gt;-1E+300",dFlt1,critFlt1,dFlt2,critFlt2,dFlt3,critFlt3))</f>
        <v/>
      </c>
      <c r="D1508" t="str">
        <f>IF($B1508="","",SUMIFS(dAmt,dCust,$B1508,dPer,"&gt;="&amp;cyFrom,dPer,"&lt;="&amp;cyTo,dAmt,"&gt;-1E+300",dFlt1,critFlt1,dFlt2,critFlt2,dFlt3,critFlt3))</f>
        <v/>
      </c>
      <c r="E1508" t="str">
        <f>IF($B1508="","",SUMIFS(dQty,dCust,$B1508,dPer,"&gt;="&amp;pyFrom,dPer,"&lt;="&amp;pyTo,dQty,"&gt;-1E+300",dFlt1,critFlt1,dFlt2,critFlt2,dFlt3,critFlt3))</f>
        <v/>
      </c>
      <c r="F1508" t="str">
        <f>IF($B1508="","",SUMIFS(dQty,dCust,$B1508,dPer,"&gt;="&amp;cyFrom,dPer,"&lt;="&amp;cyTo,dQty,"&gt;-1E+300",dFlt1,critFlt1,dFlt2,critFlt2,dFlt3,critFlt3))</f>
        <v/>
      </c>
      <c r="G1508">
        <f>IF($B1508="",0,IFERROR(IF(OR(C1508&lt;&gt;0,D1508&lt;&gt;0,E1508&lt;&gt;0,F1508&lt;&gt;0),1,0),1))</f>
        <v>0</v>
      </c>
      <c r="H1508" t="str">
        <f>IF(OR(G1508=0,E1508=0),"",C1508/E1508)</f>
        <v/>
      </c>
      <c r="I1508" t="str">
        <f>IF(OR(G1508=0,F1508=0),"",D1508/F1508)</f>
        <v/>
      </c>
      <c r="J1508" t="str">
        <f>IF(OR(H1508="",I1508=""),"",IF(H1508=0,"",I1508/H1508-1))</f>
        <v/>
      </c>
      <c r="K1508" t="str">
        <f>IF($B1508="","",IFERROR(IF(G1508=0,-2E+300,CHOOSE(sortIdx,ROUND(D1508,0),IF(J1508="",-1E+300,ROUND(-J1508,6)),IF(J1508="",-1E+300,ROUND(J1508,6)))),-1.5E+300))</f>
        <v/>
      </c>
      <c r="L1508" t="str">
        <f>IF(K1508="","",RANK(K1508,$K$2:$K$3001,0)+COUNTIF($K$2:K1508,K1508)-1)</f>
        <v/>
      </c>
    </row>
    <row r="1509">
      <c r="B1509" t="str">
        <f>IFERROR(IF(A1509="","","="&amp;SUBSTITUTE(SUBSTITUTE(SUBSTITUTE(A1509,"~","~~"),"*","~*"),"?","~?")),"")</f>
        <v/>
      </c>
      <c r="C1509" t="str">
        <f>IF($B1509="","",SUMIFS(dAmt,dCust,$B1509,dPer,"&gt;="&amp;pyFrom,dPer,"&lt;="&amp;pyTo,dAmt,"&gt;-1E+300",dFlt1,critFlt1,dFlt2,critFlt2,dFlt3,critFlt3))</f>
        <v/>
      </c>
      <c r="D1509" t="str">
        <f>IF($B1509="","",SUMIFS(dAmt,dCust,$B1509,dPer,"&gt;="&amp;cyFrom,dPer,"&lt;="&amp;cyTo,dAmt,"&gt;-1E+300",dFlt1,critFlt1,dFlt2,critFlt2,dFlt3,critFlt3))</f>
        <v/>
      </c>
      <c r="E1509" t="str">
        <f>IF($B1509="","",SUMIFS(dQty,dCust,$B1509,dPer,"&gt;="&amp;pyFrom,dPer,"&lt;="&amp;pyTo,dQty,"&gt;-1E+300",dFlt1,critFlt1,dFlt2,critFlt2,dFlt3,critFlt3))</f>
        <v/>
      </c>
      <c r="F1509" t="str">
        <f>IF($B1509="","",SUMIFS(dQty,dCust,$B1509,dPer,"&gt;="&amp;cyFrom,dPer,"&lt;="&amp;cyTo,dQty,"&gt;-1E+300",dFlt1,critFlt1,dFlt2,critFlt2,dFlt3,critFlt3))</f>
        <v/>
      </c>
      <c r="G1509">
        <f>IF($B1509="",0,IFERROR(IF(OR(C1509&lt;&gt;0,D1509&lt;&gt;0,E1509&lt;&gt;0,F1509&lt;&gt;0),1,0),1))</f>
        <v>0</v>
      </c>
      <c r="H1509" t="str">
        <f>IF(OR(G1509=0,E1509=0),"",C1509/E1509)</f>
        <v/>
      </c>
      <c r="I1509" t="str">
        <f>IF(OR(G1509=0,F1509=0),"",D1509/F1509)</f>
        <v/>
      </c>
      <c r="J1509" t="str">
        <f>IF(OR(H1509="",I1509=""),"",IF(H1509=0,"",I1509/H1509-1))</f>
        <v/>
      </c>
      <c r="K1509" t="str">
        <f>IF($B1509="","",IFERROR(IF(G1509=0,-2E+300,CHOOSE(sortIdx,ROUND(D1509,0),IF(J1509="",-1E+300,ROUND(-J1509,6)),IF(J1509="",-1E+300,ROUND(J1509,6)))),-1.5E+300))</f>
        <v/>
      </c>
      <c r="L1509" t="str">
        <f>IF(K1509="","",RANK(K1509,$K$2:$K$3001,0)+COUNTIF($K$2:K1509,K1509)-1)</f>
        <v/>
      </c>
    </row>
    <row r="1510">
      <c r="B1510" t="str">
        <f>IFERROR(IF(A1510="","","="&amp;SUBSTITUTE(SUBSTITUTE(SUBSTITUTE(A1510,"~","~~"),"*","~*"),"?","~?")),"")</f>
        <v/>
      </c>
      <c r="C1510" t="str">
        <f>IF($B1510="","",SUMIFS(dAmt,dCust,$B1510,dPer,"&gt;="&amp;pyFrom,dPer,"&lt;="&amp;pyTo,dAmt,"&gt;-1E+300",dFlt1,critFlt1,dFlt2,critFlt2,dFlt3,critFlt3))</f>
        <v/>
      </c>
      <c r="D1510" t="str">
        <f>IF($B1510="","",SUMIFS(dAmt,dCust,$B1510,dPer,"&gt;="&amp;cyFrom,dPer,"&lt;="&amp;cyTo,dAmt,"&gt;-1E+300",dFlt1,critFlt1,dFlt2,critFlt2,dFlt3,critFlt3))</f>
        <v/>
      </c>
      <c r="E1510" t="str">
        <f>IF($B1510="","",SUMIFS(dQty,dCust,$B1510,dPer,"&gt;="&amp;pyFrom,dPer,"&lt;="&amp;pyTo,dQty,"&gt;-1E+300",dFlt1,critFlt1,dFlt2,critFlt2,dFlt3,critFlt3))</f>
        <v/>
      </c>
      <c r="F1510" t="str">
        <f>IF($B1510="","",SUMIFS(dQty,dCust,$B1510,dPer,"&gt;="&amp;cyFrom,dPer,"&lt;="&amp;cyTo,dQty,"&gt;-1E+300",dFlt1,critFlt1,dFlt2,critFlt2,dFlt3,critFlt3))</f>
        <v/>
      </c>
      <c r="G1510">
        <f>IF($B1510="",0,IFERROR(IF(OR(C1510&lt;&gt;0,D1510&lt;&gt;0,E1510&lt;&gt;0,F1510&lt;&gt;0),1,0),1))</f>
        <v>0</v>
      </c>
      <c r="H1510" t="str">
        <f>IF(OR(G1510=0,E1510=0),"",C1510/E1510)</f>
        <v/>
      </c>
      <c r="I1510" t="str">
        <f>IF(OR(G1510=0,F1510=0),"",D1510/F1510)</f>
        <v/>
      </c>
      <c r="J1510" t="str">
        <f>IF(OR(H1510="",I1510=""),"",IF(H1510=0,"",I1510/H1510-1))</f>
        <v/>
      </c>
      <c r="K1510" t="str">
        <f>IF($B1510="","",IFERROR(IF(G1510=0,-2E+300,CHOOSE(sortIdx,ROUND(D1510,0),IF(J1510="",-1E+300,ROUND(-J1510,6)),IF(J1510="",-1E+300,ROUND(J1510,6)))),-1.5E+300))</f>
        <v/>
      </c>
      <c r="L1510" t="str">
        <f>IF(K1510="","",RANK(K1510,$K$2:$K$3001,0)+COUNTIF($K$2:K1510,K1510)-1)</f>
        <v/>
      </c>
    </row>
    <row r="1511">
      <c r="B1511" t="str">
        <f>IFERROR(IF(A1511="","","="&amp;SUBSTITUTE(SUBSTITUTE(SUBSTITUTE(A1511,"~","~~"),"*","~*"),"?","~?")),"")</f>
        <v/>
      </c>
      <c r="C1511" t="str">
        <f>IF($B1511="","",SUMIFS(dAmt,dCust,$B1511,dPer,"&gt;="&amp;pyFrom,dPer,"&lt;="&amp;pyTo,dAmt,"&gt;-1E+300",dFlt1,critFlt1,dFlt2,critFlt2,dFlt3,critFlt3))</f>
        <v/>
      </c>
      <c r="D1511" t="str">
        <f>IF($B1511="","",SUMIFS(dAmt,dCust,$B1511,dPer,"&gt;="&amp;cyFrom,dPer,"&lt;="&amp;cyTo,dAmt,"&gt;-1E+300",dFlt1,critFlt1,dFlt2,critFlt2,dFlt3,critFlt3))</f>
        <v/>
      </c>
      <c r="E1511" t="str">
        <f>IF($B1511="","",SUMIFS(dQty,dCust,$B1511,dPer,"&gt;="&amp;pyFrom,dPer,"&lt;="&amp;pyTo,dQty,"&gt;-1E+300",dFlt1,critFlt1,dFlt2,critFlt2,dFlt3,critFlt3))</f>
        <v/>
      </c>
      <c r="F1511" t="str">
        <f>IF($B1511="","",SUMIFS(dQty,dCust,$B1511,dPer,"&gt;="&amp;cyFrom,dPer,"&lt;="&amp;cyTo,dQty,"&gt;-1E+300",dFlt1,critFlt1,dFlt2,critFlt2,dFlt3,critFlt3))</f>
        <v/>
      </c>
      <c r="G1511">
        <f>IF($B1511="",0,IFERROR(IF(OR(C1511&lt;&gt;0,D1511&lt;&gt;0,E1511&lt;&gt;0,F1511&lt;&gt;0),1,0),1))</f>
        <v>0</v>
      </c>
      <c r="H1511" t="str">
        <f>IF(OR(G1511=0,E1511=0),"",C1511/E1511)</f>
        <v/>
      </c>
      <c r="I1511" t="str">
        <f>IF(OR(G1511=0,F1511=0),"",D1511/F1511)</f>
        <v/>
      </c>
      <c r="J1511" t="str">
        <f>IF(OR(H1511="",I1511=""),"",IF(H1511=0,"",I1511/H1511-1))</f>
        <v/>
      </c>
      <c r="K1511" t="str">
        <f>IF($B1511="","",IFERROR(IF(G1511=0,-2E+300,CHOOSE(sortIdx,ROUND(D1511,0),IF(J1511="",-1E+300,ROUND(-J1511,6)),IF(J1511="",-1E+300,ROUND(J1511,6)))),-1.5E+300))</f>
        <v/>
      </c>
      <c r="L1511" t="str">
        <f>IF(K1511="","",RANK(K1511,$K$2:$K$3001,0)+COUNTIF($K$2:K1511,K1511)-1)</f>
        <v/>
      </c>
    </row>
    <row r="1512">
      <c r="B1512" t="str">
        <f>IFERROR(IF(A1512="","","="&amp;SUBSTITUTE(SUBSTITUTE(SUBSTITUTE(A1512,"~","~~"),"*","~*"),"?","~?")),"")</f>
        <v/>
      </c>
      <c r="C1512" t="str">
        <f>IF($B1512="","",SUMIFS(dAmt,dCust,$B1512,dPer,"&gt;="&amp;pyFrom,dPer,"&lt;="&amp;pyTo,dAmt,"&gt;-1E+300",dFlt1,critFlt1,dFlt2,critFlt2,dFlt3,critFlt3))</f>
        <v/>
      </c>
      <c r="D1512" t="str">
        <f>IF($B1512="","",SUMIFS(dAmt,dCust,$B1512,dPer,"&gt;="&amp;cyFrom,dPer,"&lt;="&amp;cyTo,dAmt,"&gt;-1E+300",dFlt1,critFlt1,dFlt2,critFlt2,dFlt3,critFlt3))</f>
        <v/>
      </c>
      <c r="E1512" t="str">
        <f>IF($B1512="","",SUMIFS(dQty,dCust,$B1512,dPer,"&gt;="&amp;pyFrom,dPer,"&lt;="&amp;pyTo,dQty,"&gt;-1E+300",dFlt1,critFlt1,dFlt2,critFlt2,dFlt3,critFlt3))</f>
        <v/>
      </c>
      <c r="F1512" t="str">
        <f>IF($B1512="","",SUMIFS(dQty,dCust,$B1512,dPer,"&gt;="&amp;cyFrom,dPer,"&lt;="&amp;cyTo,dQty,"&gt;-1E+300",dFlt1,critFlt1,dFlt2,critFlt2,dFlt3,critFlt3))</f>
        <v/>
      </c>
      <c r="G1512">
        <f>IF($B1512="",0,IFERROR(IF(OR(C1512&lt;&gt;0,D1512&lt;&gt;0,E1512&lt;&gt;0,F1512&lt;&gt;0),1,0),1))</f>
        <v>0</v>
      </c>
      <c r="H1512" t="str">
        <f>IF(OR(G1512=0,E1512=0),"",C1512/E1512)</f>
        <v/>
      </c>
      <c r="I1512" t="str">
        <f>IF(OR(G1512=0,F1512=0),"",D1512/F1512)</f>
        <v/>
      </c>
      <c r="J1512" t="str">
        <f>IF(OR(H1512="",I1512=""),"",IF(H1512=0,"",I1512/H1512-1))</f>
        <v/>
      </c>
      <c r="K1512" t="str">
        <f>IF($B1512="","",IFERROR(IF(G1512=0,-2E+300,CHOOSE(sortIdx,ROUND(D1512,0),IF(J1512="",-1E+300,ROUND(-J1512,6)),IF(J1512="",-1E+300,ROUND(J1512,6)))),-1.5E+300))</f>
        <v/>
      </c>
      <c r="L1512" t="str">
        <f>IF(K1512="","",RANK(K1512,$K$2:$K$3001,0)+COUNTIF($K$2:K1512,K1512)-1)</f>
        <v/>
      </c>
    </row>
    <row r="1513">
      <c r="B1513" t="str">
        <f>IFERROR(IF(A1513="","","="&amp;SUBSTITUTE(SUBSTITUTE(SUBSTITUTE(A1513,"~","~~"),"*","~*"),"?","~?")),"")</f>
        <v/>
      </c>
      <c r="C1513" t="str">
        <f>IF($B1513="","",SUMIFS(dAmt,dCust,$B1513,dPer,"&gt;="&amp;pyFrom,dPer,"&lt;="&amp;pyTo,dAmt,"&gt;-1E+300",dFlt1,critFlt1,dFlt2,critFlt2,dFlt3,critFlt3))</f>
        <v/>
      </c>
      <c r="D1513" t="str">
        <f>IF($B1513="","",SUMIFS(dAmt,dCust,$B1513,dPer,"&gt;="&amp;cyFrom,dPer,"&lt;="&amp;cyTo,dAmt,"&gt;-1E+300",dFlt1,critFlt1,dFlt2,critFlt2,dFlt3,critFlt3))</f>
        <v/>
      </c>
      <c r="E1513" t="str">
        <f>IF($B1513="","",SUMIFS(dQty,dCust,$B1513,dPer,"&gt;="&amp;pyFrom,dPer,"&lt;="&amp;pyTo,dQty,"&gt;-1E+300",dFlt1,critFlt1,dFlt2,critFlt2,dFlt3,critFlt3))</f>
        <v/>
      </c>
      <c r="F1513" t="str">
        <f>IF($B1513="","",SUMIFS(dQty,dCust,$B1513,dPer,"&gt;="&amp;cyFrom,dPer,"&lt;="&amp;cyTo,dQty,"&gt;-1E+300",dFlt1,critFlt1,dFlt2,critFlt2,dFlt3,critFlt3))</f>
        <v/>
      </c>
      <c r="G1513">
        <f>IF($B1513="",0,IFERROR(IF(OR(C1513&lt;&gt;0,D1513&lt;&gt;0,E1513&lt;&gt;0,F1513&lt;&gt;0),1,0),1))</f>
        <v>0</v>
      </c>
      <c r="H1513" t="str">
        <f>IF(OR(G1513=0,E1513=0),"",C1513/E1513)</f>
        <v/>
      </c>
      <c r="I1513" t="str">
        <f>IF(OR(G1513=0,F1513=0),"",D1513/F1513)</f>
        <v/>
      </c>
      <c r="J1513" t="str">
        <f>IF(OR(H1513="",I1513=""),"",IF(H1513=0,"",I1513/H1513-1))</f>
        <v/>
      </c>
      <c r="K1513" t="str">
        <f>IF($B1513="","",IFERROR(IF(G1513=0,-2E+300,CHOOSE(sortIdx,ROUND(D1513,0),IF(J1513="",-1E+300,ROUND(-J1513,6)),IF(J1513="",-1E+300,ROUND(J1513,6)))),-1.5E+300))</f>
        <v/>
      </c>
      <c r="L1513" t="str">
        <f>IF(K1513="","",RANK(K1513,$K$2:$K$3001,0)+COUNTIF($K$2:K1513,K1513)-1)</f>
        <v/>
      </c>
    </row>
    <row r="1514">
      <c r="B1514" t="str">
        <f>IFERROR(IF(A1514="","","="&amp;SUBSTITUTE(SUBSTITUTE(SUBSTITUTE(A1514,"~","~~"),"*","~*"),"?","~?")),"")</f>
        <v/>
      </c>
      <c r="C1514" t="str">
        <f>IF($B1514="","",SUMIFS(dAmt,dCust,$B1514,dPer,"&gt;="&amp;pyFrom,dPer,"&lt;="&amp;pyTo,dAmt,"&gt;-1E+300",dFlt1,critFlt1,dFlt2,critFlt2,dFlt3,critFlt3))</f>
        <v/>
      </c>
      <c r="D1514" t="str">
        <f>IF($B1514="","",SUMIFS(dAmt,dCust,$B1514,dPer,"&gt;="&amp;cyFrom,dPer,"&lt;="&amp;cyTo,dAmt,"&gt;-1E+300",dFlt1,critFlt1,dFlt2,critFlt2,dFlt3,critFlt3))</f>
        <v/>
      </c>
      <c r="E1514" t="str">
        <f>IF($B1514="","",SUMIFS(dQty,dCust,$B1514,dPer,"&gt;="&amp;pyFrom,dPer,"&lt;="&amp;pyTo,dQty,"&gt;-1E+300",dFlt1,critFlt1,dFlt2,critFlt2,dFlt3,critFlt3))</f>
        <v/>
      </c>
      <c r="F1514" t="str">
        <f>IF($B1514="","",SUMIFS(dQty,dCust,$B1514,dPer,"&gt;="&amp;cyFrom,dPer,"&lt;="&amp;cyTo,dQty,"&gt;-1E+300",dFlt1,critFlt1,dFlt2,critFlt2,dFlt3,critFlt3))</f>
        <v/>
      </c>
      <c r="G1514">
        <f>IF($B1514="",0,IFERROR(IF(OR(C1514&lt;&gt;0,D1514&lt;&gt;0,E1514&lt;&gt;0,F1514&lt;&gt;0),1,0),1))</f>
        <v>0</v>
      </c>
      <c r="H1514" t="str">
        <f>IF(OR(G1514=0,E1514=0),"",C1514/E1514)</f>
        <v/>
      </c>
      <c r="I1514" t="str">
        <f>IF(OR(G1514=0,F1514=0),"",D1514/F1514)</f>
        <v/>
      </c>
      <c r="J1514" t="str">
        <f>IF(OR(H1514="",I1514=""),"",IF(H1514=0,"",I1514/H1514-1))</f>
        <v/>
      </c>
      <c r="K1514" t="str">
        <f>IF($B1514="","",IFERROR(IF(G1514=0,-2E+300,CHOOSE(sortIdx,ROUND(D1514,0),IF(J1514="",-1E+300,ROUND(-J1514,6)),IF(J1514="",-1E+300,ROUND(J1514,6)))),-1.5E+300))</f>
        <v/>
      </c>
      <c r="L1514" t="str">
        <f>IF(K1514="","",RANK(K1514,$K$2:$K$3001,0)+COUNTIF($K$2:K1514,K1514)-1)</f>
        <v/>
      </c>
    </row>
    <row r="1515">
      <c r="B1515" t="str">
        <f>IFERROR(IF(A1515="","","="&amp;SUBSTITUTE(SUBSTITUTE(SUBSTITUTE(A1515,"~","~~"),"*","~*"),"?","~?")),"")</f>
        <v/>
      </c>
      <c r="C1515" t="str">
        <f>IF($B1515="","",SUMIFS(dAmt,dCust,$B1515,dPer,"&gt;="&amp;pyFrom,dPer,"&lt;="&amp;pyTo,dAmt,"&gt;-1E+300",dFlt1,critFlt1,dFlt2,critFlt2,dFlt3,critFlt3))</f>
        <v/>
      </c>
      <c r="D1515" t="str">
        <f>IF($B1515="","",SUMIFS(dAmt,dCust,$B1515,dPer,"&gt;="&amp;cyFrom,dPer,"&lt;="&amp;cyTo,dAmt,"&gt;-1E+300",dFlt1,critFlt1,dFlt2,critFlt2,dFlt3,critFlt3))</f>
        <v/>
      </c>
      <c r="E1515" t="str">
        <f>IF($B1515="","",SUMIFS(dQty,dCust,$B1515,dPer,"&gt;="&amp;pyFrom,dPer,"&lt;="&amp;pyTo,dQty,"&gt;-1E+300",dFlt1,critFlt1,dFlt2,critFlt2,dFlt3,critFlt3))</f>
        <v/>
      </c>
      <c r="F1515" t="str">
        <f>IF($B1515="","",SUMIFS(dQty,dCust,$B1515,dPer,"&gt;="&amp;cyFrom,dPer,"&lt;="&amp;cyTo,dQty,"&gt;-1E+300",dFlt1,critFlt1,dFlt2,critFlt2,dFlt3,critFlt3))</f>
        <v/>
      </c>
      <c r="G1515">
        <f>IF($B1515="",0,IFERROR(IF(OR(C1515&lt;&gt;0,D1515&lt;&gt;0,E1515&lt;&gt;0,F1515&lt;&gt;0),1,0),1))</f>
        <v>0</v>
      </c>
      <c r="H1515" t="str">
        <f>IF(OR(G1515=0,E1515=0),"",C1515/E1515)</f>
        <v/>
      </c>
      <c r="I1515" t="str">
        <f>IF(OR(G1515=0,F1515=0),"",D1515/F1515)</f>
        <v/>
      </c>
      <c r="J1515" t="str">
        <f>IF(OR(H1515="",I1515=""),"",IF(H1515=0,"",I1515/H1515-1))</f>
        <v/>
      </c>
      <c r="K1515" t="str">
        <f>IF($B1515="","",IFERROR(IF(G1515=0,-2E+300,CHOOSE(sortIdx,ROUND(D1515,0),IF(J1515="",-1E+300,ROUND(-J1515,6)),IF(J1515="",-1E+300,ROUND(J1515,6)))),-1.5E+300))</f>
        <v/>
      </c>
      <c r="L1515" t="str">
        <f>IF(K1515="","",RANK(K1515,$K$2:$K$3001,0)+COUNTIF($K$2:K1515,K1515)-1)</f>
        <v/>
      </c>
    </row>
    <row r="1516">
      <c r="B1516" t="str">
        <f>IFERROR(IF(A1516="","","="&amp;SUBSTITUTE(SUBSTITUTE(SUBSTITUTE(A1516,"~","~~"),"*","~*"),"?","~?")),"")</f>
        <v/>
      </c>
      <c r="C1516" t="str">
        <f>IF($B1516="","",SUMIFS(dAmt,dCust,$B1516,dPer,"&gt;="&amp;pyFrom,dPer,"&lt;="&amp;pyTo,dAmt,"&gt;-1E+300",dFlt1,critFlt1,dFlt2,critFlt2,dFlt3,critFlt3))</f>
        <v/>
      </c>
      <c r="D1516" t="str">
        <f>IF($B1516="","",SUMIFS(dAmt,dCust,$B1516,dPer,"&gt;="&amp;cyFrom,dPer,"&lt;="&amp;cyTo,dAmt,"&gt;-1E+300",dFlt1,critFlt1,dFlt2,critFlt2,dFlt3,critFlt3))</f>
        <v/>
      </c>
      <c r="E1516" t="str">
        <f>IF($B1516="","",SUMIFS(dQty,dCust,$B1516,dPer,"&gt;="&amp;pyFrom,dPer,"&lt;="&amp;pyTo,dQty,"&gt;-1E+300",dFlt1,critFlt1,dFlt2,critFlt2,dFlt3,critFlt3))</f>
        <v/>
      </c>
      <c r="F1516" t="str">
        <f>IF($B1516="","",SUMIFS(dQty,dCust,$B1516,dPer,"&gt;="&amp;cyFrom,dPer,"&lt;="&amp;cyTo,dQty,"&gt;-1E+300",dFlt1,critFlt1,dFlt2,critFlt2,dFlt3,critFlt3))</f>
        <v/>
      </c>
      <c r="G1516">
        <f>IF($B1516="",0,IFERROR(IF(OR(C1516&lt;&gt;0,D1516&lt;&gt;0,E1516&lt;&gt;0,F1516&lt;&gt;0),1,0),1))</f>
        <v>0</v>
      </c>
      <c r="H1516" t="str">
        <f>IF(OR(G1516=0,E1516=0),"",C1516/E1516)</f>
        <v/>
      </c>
      <c r="I1516" t="str">
        <f>IF(OR(G1516=0,F1516=0),"",D1516/F1516)</f>
        <v/>
      </c>
      <c r="J1516" t="str">
        <f>IF(OR(H1516="",I1516=""),"",IF(H1516=0,"",I1516/H1516-1))</f>
        <v/>
      </c>
      <c r="K1516" t="str">
        <f>IF($B1516="","",IFERROR(IF(G1516=0,-2E+300,CHOOSE(sortIdx,ROUND(D1516,0),IF(J1516="",-1E+300,ROUND(-J1516,6)),IF(J1516="",-1E+300,ROUND(J1516,6)))),-1.5E+300))</f>
        <v/>
      </c>
      <c r="L1516" t="str">
        <f>IF(K1516="","",RANK(K1516,$K$2:$K$3001,0)+COUNTIF($K$2:K1516,K1516)-1)</f>
        <v/>
      </c>
    </row>
    <row r="1517">
      <c r="B1517" t="str">
        <f>IFERROR(IF(A1517="","","="&amp;SUBSTITUTE(SUBSTITUTE(SUBSTITUTE(A1517,"~","~~"),"*","~*"),"?","~?")),"")</f>
        <v/>
      </c>
      <c r="C1517" t="str">
        <f>IF($B1517="","",SUMIFS(dAmt,dCust,$B1517,dPer,"&gt;="&amp;pyFrom,dPer,"&lt;="&amp;pyTo,dAmt,"&gt;-1E+300",dFlt1,critFlt1,dFlt2,critFlt2,dFlt3,critFlt3))</f>
        <v/>
      </c>
      <c r="D1517" t="str">
        <f>IF($B1517="","",SUMIFS(dAmt,dCust,$B1517,dPer,"&gt;="&amp;cyFrom,dPer,"&lt;="&amp;cyTo,dAmt,"&gt;-1E+300",dFlt1,critFlt1,dFlt2,critFlt2,dFlt3,critFlt3))</f>
        <v/>
      </c>
      <c r="E1517" t="str">
        <f>IF($B1517="","",SUMIFS(dQty,dCust,$B1517,dPer,"&gt;="&amp;pyFrom,dPer,"&lt;="&amp;pyTo,dQty,"&gt;-1E+300",dFlt1,critFlt1,dFlt2,critFlt2,dFlt3,critFlt3))</f>
        <v/>
      </c>
      <c r="F1517" t="str">
        <f>IF($B1517="","",SUMIFS(dQty,dCust,$B1517,dPer,"&gt;="&amp;cyFrom,dPer,"&lt;="&amp;cyTo,dQty,"&gt;-1E+300",dFlt1,critFlt1,dFlt2,critFlt2,dFlt3,critFlt3))</f>
        <v/>
      </c>
      <c r="G1517">
        <f>IF($B1517="",0,IFERROR(IF(OR(C1517&lt;&gt;0,D1517&lt;&gt;0,E1517&lt;&gt;0,F1517&lt;&gt;0),1,0),1))</f>
        <v>0</v>
      </c>
      <c r="H1517" t="str">
        <f>IF(OR(G1517=0,E1517=0),"",C1517/E1517)</f>
        <v/>
      </c>
      <c r="I1517" t="str">
        <f>IF(OR(G1517=0,F1517=0),"",D1517/F1517)</f>
        <v/>
      </c>
      <c r="J1517" t="str">
        <f>IF(OR(H1517="",I1517=""),"",IF(H1517=0,"",I1517/H1517-1))</f>
        <v/>
      </c>
      <c r="K1517" t="str">
        <f>IF($B1517="","",IFERROR(IF(G1517=0,-2E+300,CHOOSE(sortIdx,ROUND(D1517,0),IF(J1517="",-1E+300,ROUND(-J1517,6)),IF(J1517="",-1E+300,ROUND(J1517,6)))),-1.5E+300))</f>
        <v/>
      </c>
      <c r="L1517" t="str">
        <f>IF(K1517="","",RANK(K1517,$K$2:$K$3001,0)+COUNTIF($K$2:K1517,K1517)-1)</f>
        <v/>
      </c>
    </row>
    <row r="1518">
      <c r="B1518" t="str">
        <f>IFERROR(IF(A1518="","","="&amp;SUBSTITUTE(SUBSTITUTE(SUBSTITUTE(A1518,"~","~~"),"*","~*"),"?","~?")),"")</f>
        <v/>
      </c>
      <c r="C1518" t="str">
        <f>IF($B1518="","",SUMIFS(dAmt,dCust,$B1518,dPer,"&gt;="&amp;pyFrom,dPer,"&lt;="&amp;pyTo,dAmt,"&gt;-1E+300",dFlt1,critFlt1,dFlt2,critFlt2,dFlt3,critFlt3))</f>
        <v/>
      </c>
      <c r="D1518" t="str">
        <f>IF($B1518="","",SUMIFS(dAmt,dCust,$B1518,dPer,"&gt;="&amp;cyFrom,dPer,"&lt;="&amp;cyTo,dAmt,"&gt;-1E+300",dFlt1,critFlt1,dFlt2,critFlt2,dFlt3,critFlt3))</f>
        <v/>
      </c>
      <c r="E1518" t="str">
        <f>IF($B1518="","",SUMIFS(dQty,dCust,$B1518,dPer,"&gt;="&amp;pyFrom,dPer,"&lt;="&amp;pyTo,dQty,"&gt;-1E+300",dFlt1,critFlt1,dFlt2,critFlt2,dFlt3,critFlt3))</f>
        <v/>
      </c>
      <c r="F1518" t="str">
        <f>IF($B1518="","",SUMIFS(dQty,dCust,$B1518,dPer,"&gt;="&amp;cyFrom,dPer,"&lt;="&amp;cyTo,dQty,"&gt;-1E+300",dFlt1,critFlt1,dFlt2,critFlt2,dFlt3,critFlt3))</f>
        <v/>
      </c>
      <c r="G1518">
        <f>IF($B1518="",0,IFERROR(IF(OR(C1518&lt;&gt;0,D1518&lt;&gt;0,E1518&lt;&gt;0,F1518&lt;&gt;0),1,0),1))</f>
        <v>0</v>
      </c>
      <c r="H1518" t="str">
        <f>IF(OR(G1518=0,E1518=0),"",C1518/E1518)</f>
        <v/>
      </c>
      <c r="I1518" t="str">
        <f>IF(OR(G1518=0,F1518=0),"",D1518/F1518)</f>
        <v/>
      </c>
      <c r="J1518" t="str">
        <f>IF(OR(H1518="",I1518=""),"",IF(H1518=0,"",I1518/H1518-1))</f>
        <v/>
      </c>
      <c r="K1518" t="str">
        <f>IF($B1518="","",IFERROR(IF(G1518=0,-2E+300,CHOOSE(sortIdx,ROUND(D1518,0),IF(J1518="",-1E+300,ROUND(-J1518,6)),IF(J1518="",-1E+300,ROUND(J1518,6)))),-1.5E+300))</f>
        <v/>
      </c>
      <c r="L1518" t="str">
        <f>IF(K1518="","",RANK(K1518,$K$2:$K$3001,0)+COUNTIF($K$2:K1518,K1518)-1)</f>
        <v/>
      </c>
    </row>
    <row r="1519">
      <c r="B1519" t="str">
        <f>IFERROR(IF(A1519="","","="&amp;SUBSTITUTE(SUBSTITUTE(SUBSTITUTE(A1519,"~","~~"),"*","~*"),"?","~?")),"")</f>
        <v/>
      </c>
      <c r="C1519" t="str">
        <f>IF($B1519="","",SUMIFS(dAmt,dCust,$B1519,dPer,"&gt;="&amp;pyFrom,dPer,"&lt;="&amp;pyTo,dAmt,"&gt;-1E+300",dFlt1,critFlt1,dFlt2,critFlt2,dFlt3,critFlt3))</f>
        <v/>
      </c>
      <c r="D1519" t="str">
        <f>IF($B1519="","",SUMIFS(dAmt,dCust,$B1519,dPer,"&gt;="&amp;cyFrom,dPer,"&lt;="&amp;cyTo,dAmt,"&gt;-1E+300",dFlt1,critFlt1,dFlt2,critFlt2,dFlt3,critFlt3))</f>
        <v/>
      </c>
      <c r="E1519" t="str">
        <f>IF($B1519="","",SUMIFS(dQty,dCust,$B1519,dPer,"&gt;="&amp;pyFrom,dPer,"&lt;="&amp;pyTo,dQty,"&gt;-1E+300",dFlt1,critFlt1,dFlt2,critFlt2,dFlt3,critFlt3))</f>
        <v/>
      </c>
      <c r="F1519" t="str">
        <f>IF($B1519="","",SUMIFS(dQty,dCust,$B1519,dPer,"&gt;="&amp;cyFrom,dPer,"&lt;="&amp;cyTo,dQty,"&gt;-1E+300",dFlt1,critFlt1,dFlt2,critFlt2,dFlt3,critFlt3))</f>
        <v/>
      </c>
      <c r="G1519">
        <f>IF($B1519="",0,IFERROR(IF(OR(C1519&lt;&gt;0,D1519&lt;&gt;0,E1519&lt;&gt;0,F1519&lt;&gt;0),1,0),1))</f>
        <v>0</v>
      </c>
      <c r="H1519" t="str">
        <f>IF(OR(G1519=0,E1519=0),"",C1519/E1519)</f>
        <v/>
      </c>
      <c r="I1519" t="str">
        <f>IF(OR(G1519=0,F1519=0),"",D1519/F1519)</f>
        <v/>
      </c>
      <c r="J1519" t="str">
        <f>IF(OR(H1519="",I1519=""),"",IF(H1519=0,"",I1519/H1519-1))</f>
        <v/>
      </c>
      <c r="K1519" t="str">
        <f>IF($B1519="","",IFERROR(IF(G1519=0,-2E+300,CHOOSE(sortIdx,ROUND(D1519,0),IF(J1519="",-1E+300,ROUND(-J1519,6)),IF(J1519="",-1E+300,ROUND(J1519,6)))),-1.5E+300))</f>
        <v/>
      </c>
      <c r="L1519" t="str">
        <f>IF(K1519="","",RANK(K1519,$K$2:$K$3001,0)+COUNTIF($K$2:K1519,K1519)-1)</f>
        <v/>
      </c>
    </row>
    <row r="1520">
      <c r="B1520" t="str">
        <f>IFERROR(IF(A1520="","","="&amp;SUBSTITUTE(SUBSTITUTE(SUBSTITUTE(A1520,"~","~~"),"*","~*"),"?","~?")),"")</f>
        <v/>
      </c>
      <c r="C1520" t="str">
        <f>IF($B1520="","",SUMIFS(dAmt,dCust,$B1520,dPer,"&gt;="&amp;pyFrom,dPer,"&lt;="&amp;pyTo,dAmt,"&gt;-1E+300",dFlt1,critFlt1,dFlt2,critFlt2,dFlt3,critFlt3))</f>
        <v/>
      </c>
      <c r="D1520" t="str">
        <f>IF($B1520="","",SUMIFS(dAmt,dCust,$B1520,dPer,"&gt;="&amp;cyFrom,dPer,"&lt;="&amp;cyTo,dAmt,"&gt;-1E+300",dFlt1,critFlt1,dFlt2,critFlt2,dFlt3,critFlt3))</f>
        <v/>
      </c>
      <c r="E1520" t="str">
        <f>IF($B1520="","",SUMIFS(dQty,dCust,$B1520,dPer,"&gt;="&amp;pyFrom,dPer,"&lt;="&amp;pyTo,dQty,"&gt;-1E+300",dFlt1,critFlt1,dFlt2,critFlt2,dFlt3,critFlt3))</f>
        <v/>
      </c>
      <c r="F1520" t="str">
        <f>IF($B1520="","",SUMIFS(dQty,dCust,$B1520,dPer,"&gt;="&amp;cyFrom,dPer,"&lt;="&amp;cyTo,dQty,"&gt;-1E+300",dFlt1,critFlt1,dFlt2,critFlt2,dFlt3,critFlt3))</f>
        <v/>
      </c>
      <c r="G1520">
        <f>IF($B1520="",0,IFERROR(IF(OR(C1520&lt;&gt;0,D1520&lt;&gt;0,E1520&lt;&gt;0,F1520&lt;&gt;0),1,0),1))</f>
        <v>0</v>
      </c>
      <c r="H1520" t="str">
        <f>IF(OR(G1520=0,E1520=0),"",C1520/E1520)</f>
        <v/>
      </c>
      <c r="I1520" t="str">
        <f>IF(OR(G1520=0,F1520=0),"",D1520/F1520)</f>
        <v/>
      </c>
      <c r="J1520" t="str">
        <f>IF(OR(H1520="",I1520=""),"",IF(H1520=0,"",I1520/H1520-1))</f>
        <v/>
      </c>
      <c r="K1520" t="str">
        <f>IF($B1520="","",IFERROR(IF(G1520=0,-2E+300,CHOOSE(sortIdx,ROUND(D1520,0),IF(J1520="",-1E+300,ROUND(-J1520,6)),IF(J1520="",-1E+300,ROUND(J1520,6)))),-1.5E+300))</f>
        <v/>
      </c>
      <c r="L1520" t="str">
        <f>IF(K1520="","",RANK(K1520,$K$2:$K$3001,0)+COUNTIF($K$2:K1520,K1520)-1)</f>
        <v/>
      </c>
    </row>
    <row r="1521">
      <c r="B1521" t="str">
        <f>IFERROR(IF(A1521="","","="&amp;SUBSTITUTE(SUBSTITUTE(SUBSTITUTE(A1521,"~","~~"),"*","~*"),"?","~?")),"")</f>
        <v/>
      </c>
      <c r="C1521" t="str">
        <f>IF($B1521="","",SUMIFS(dAmt,dCust,$B1521,dPer,"&gt;="&amp;pyFrom,dPer,"&lt;="&amp;pyTo,dAmt,"&gt;-1E+300",dFlt1,critFlt1,dFlt2,critFlt2,dFlt3,critFlt3))</f>
        <v/>
      </c>
      <c r="D1521" t="str">
        <f>IF($B1521="","",SUMIFS(dAmt,dCust,$B1521,dPer,"&gt;="&amp;cyFrom,dPer,"&lt;="&amp;cyTo,dAmt,"&gt;-1E+300",dFlt1,critFlt1,dFlt2,critFlt2,dFlt3,critFlt3))</f>
        <v/>
      </c>
      <c r="E1521" t="str">
        <f>IF($B1521="","",SUMIFS(dQty,dCust,$B1521,dPer,"&gt;="&amp;pyFrom,dPer,"&lt;="&amp;pyTo,dQty,"&gt;-1E+300",dFlt1,critFlt1,dFlt2,critFlt2,dFlt3,critFlt3))</f>
        <v/>
      </c>
      <c r="F1521" t="str">
        <f>IF($B1521="","",SUMIFS(dQty,dCust,$B1521,dPer,"&gt;="&amp;cyFrom,dPer,"&lt;="&amp;cyTo,dQty,"&gt;-1E+300",dFlt1,critFlt1,dFlt2,critFlt2,dFlt3,critFlt3))</f>
        <v/>
      </c>
      <c r="G1521">
        <f>IF($B1521="",0,IFERROR(IF(OR(C1521&lt;&gt;0,D1521&lt;&gt;0,E1521&lt;&gt;0,F1521&lt;&gt;0),1,0),1))</f>
        <v>0</v>
      </c>
      <c r="H1521" t="str">
        <f>IF(OR(G1521=0,E1521=0),"",C1521/E1521)</f>
        <v/>
      </c>
      <c r="I1521" t="str">
        <f>IF(OR(G1521=0,F1521=0),"",D1521/F1521)</f>
        <v/>
      </c>
      <c r="J1521" t="str">
        <f>IF(OR(H1521="",I1521=""),"",IF(H1521=0,"",I1521/H1521-1))</f>
        <v/>
      </c>
      <c r="K1521" t="str">
        <f>IF($B1521="","",IFERROR(IF(G1521=0,-2E+300,CHOOSE(sortIdx,ROUND(D1521,0),IF(J1521="",-1E+300,ROUND(-J1521,6)),IF(J1521="",-1E+300,ROUND(J1521,6)))),-1.5E+300))</f>
        <v/>
      </c>
      <c r="L1521" t="str">
        <f>IF(K1521="","",RANK(K1521,$K$2:$K$3001,0)+COUNTIF($K$2:K1521,K1521)-1)</f>
        <v/>
      </c>
    </row>
    <row r="1522">
      <c r="B1522" t="str">
        <f>IFERROR(IF(A1522="","","="&amp;SUBSTITUTE(SUBSTITUTE(SUBSTITUTE(A1522,"~","~~"),"*","~*"),"?","~?")),"")</f>
        <v/>
      </c>
      <c r="C1522" t="str">
        <f>IF($B1522="","",SUMIFS(dAmt,dCust,$B1522,dPer,"&gt;="&amp;pyFrom,dPer,"&lt;="&amp;pyTo,dAmt,"&gt;-1E+300",dFlt1,critFlt1,dFlt2,critFlt2,dFlt3,critFlt3))</f>
        <v/>
      </c>
      <c r="D1522" t="str">
        <f>IF($B1522="","",SUMIFS(dAmt,dCust,$B1522,dPer,"&gt;="&amp;cyFrom,dPer,"&lt;="&amp;cyTo,dAmt,"&gt;-1E+300",dFlt1,critFlt1,dFlt2,critFlt2,dFlt3,critFlt3))</f>
        <v/>
      </c>
      <c r="E1522" t="str">
        <f>IF($B1522="","",SUMIFS(dQty,dCust,$B1522,dPer,"&gt;="&amp;pyFrom,dPer,"&lt;="&amp;pyTo,dQty,"&gt;-1E+300",dFlt1,critFlt1,dFlt2,critFlt2,dFlt3,critFlt3))</f>
        <v/>
      </c>
      <c r="F1522" t="str">
        <f>IF($B1522="","",SUMIFS(dQty,dCust,$B1522,dPer,"&gt;="&amp;cyFrom,dPer,"&lt;="&amp;cyTo,dQty,"&gt;-1E+300",dFlt1,critFlt1,dFlt2,critFlt2,dFlt3,critFlt3))</f>
        <v/>
      </c>
      <c r="G1522">
        <f>IF($B1522="",0,IFERROR(IF(OR(C1522&lt;&gt;0,D1522&lt;&gt;0,E1522&lt;&gt;0,F1522&lt;&gt;0),1,0),1))</f>
        <v>0</v>
      </c>
      <c r="H1522" t="str">
        <f>IF(OR(G1522=0,E1522=0),"",C1522/E1522)</f>
        <v/>
      </c>
      <c r="I1522" t="str">
        <f>IF(OR(G1522=0,F1522=0),"",D1522/F1522)</f>
        <v/>
      </c>
      <c r="J1522" t="str">
        <f>IF(OR(H1522="",I1522=""),"",IF(H1522=0,"",I1522/H1522-1))</f>
        <v/>
      </c>
      <c r="K1522" t="str">
        <f>IF($B1522="","",IFERROR(IF(G1522=0,-2E+300,CHOOSE(sortIdx,ROUND(D1522,0),IF(J1522="",-1E+300,ROUND(-J1522,6)),IF(J1522="",-1E+300,ROUND(J1522,6)))),-1.5E+300))</f>
        <v/>
      </c>
      <c r="L1522" t="str">
        <f>IF(K1522="","",RANK(K1522,$K$2:$K$3001,0)+COUNTIF($K$2:K1522,K1522)-1)</f>
        <v/>
      </c>
    </row>
    <row r="1523">
      <c r="B1523" t="str">
        <f>IFERROR(IF(A1523="","","="&amp;SUBSTITUTE(SUBSTITUTE(SUBSTITUTE(A1523,"~","~~"),"*","~*"),"?","~?")),"")</f>
        <v/>
      </c>
      <c r="C1523" t="str">
        <f>IF($B1523="","",SUMIFS(dAmt,dCust,$B1523,dPer,"&gt;="&amp;pyFrom,dPer,"&lt;="&amp;pyTo,dAmt,"&gt;-1E+300",dFlt1,critFlt1,dFlt2,critFlt2,dFlt3,critFlt3))</f>
        <v/>
      </c>
      <c r="D1523" t="str">
        <f>IF($B1523="","",SUMIFS(dAmt,dCust,$B1523,dPer,"&gt;="&amp;cyFrom,dPer,"&lt;="&amp;cyTo,dAmt,"&gt;-1E+300",dFlt1,critFlt1,dFlt2,critFlt2,dFlt3,critFlt3))</f>
        <v/>
      </c>
      <c r="E1523" t="str">
        <f>IF($B1523="","",SUMIFS(dQty,dCust,$B1523,dPer,"&gt;="&amp;pyFrom,dPer,"&lt;="&amp;pyTo,dQty,"&gt;-1E+300",dFlt1,critFlt1,dFlt2,critFlt2,dFlt3,critFlt3))</f>
        <v/>
      </c>
      <c r="F1523" t="str">
        <f>IF($B1523="","",SUMIFS(dQty,dCust,$B1523,dPer,"&gt;="&amp;cyFrom,dPer,"&lt;="&amp;cyTo,dQty,"&gt;-1E+300",dFlt1,critFlt1,dFlt2,critFlt2,dFlt3,critFlt3))</f>
        <v/>
      </c>
      <c r="G1523">
        <f>IF($B1523="",0,IFERROR(IF(OR(C1523&lt;&gt;0,D1523&lt;&gt;0,E1523&lt;&gt;0,F1523&lt;&gt;0),1,0),1))</f>
        <v>0</v>
      </c>
      <c r="H1523" t="str">
        <f>IF(OR(G1523=0,E1523=0),"",C1523/E1523)</f>
        <v/>
      </c>
      <c r="I1523" t="str">
        <f>IF(OR(G1523=0,F1523=0),"",D1523/F1523)</f>
        <v/>
      </c>
      <c r="J1523" t="str">
        <f>IF(OR(H1523="",I1523=""),"",IF(H1523=0,"",I1523/H1523-1))</f>
        <v/>
      </c>
      <c r="K1523" t="str">
        <f>IF($B1523="","",IFERROR(IF(G1523=0,-2E+300,CHOOSE(sortIdx,ROUND(D1523,0),IF(J1523="",-1E+300,ROUND(-J1523,6)),IF(J1523="",-1E+300,ROUND(J1523,6)))),-1.5E+300))</f>
        <v/>
      </c>
      <c r="L1523" t="str">
        <f>IF(K1523="","",RANK(K1523,$K$2:$K$3001,0)+COUNTIF($K$2:K1523,K1523)-1)</f>
        <v/>
      </c>
    </row>
    <row r="1524">
      <c r="B1524" t="str">
        <f>IFERROR(IF(A1524="","","="&amp;SUBSTITUTE(SUBSTITUTE(SUBSTITUTE(A1524,"~","~~"),"*","~*"),"?","~?")),"")</f>
        <v/>
      </c>
      <c r="C1524" t="str">
        <f>IF($B1524="","",SUMIFS(dAmt,dCust,$B1524,dPer,"&gt;="&amp;pyFrom,dPer,"&lt;="&amp;pyTo,dAmt,"&gt;-1E+300",dFlt1,critFlt1,dFlt2,critFlt2,dFlt3,critFlt3))</f>
        <v/>
      </c>
      <c r="D1524" t="str">
        <f>IF($B1524="","",SUMIFS(dAmt,dCust,$B1524,dPer,"&gt;="&amp;cyFrom,dPer,"&lt;="&amp;cyTo,dAmt,"&gt;-1E+300",dFlt1,critFlt1,dFlt2,critFlt2,dFlt3,critFlt3))</f>
        <v/>
      </c>
      <c r="E1524" t="str">
        <f>IF($B1524="","",SUMIFS(dQty,dCust,$B1524,dPer,"&gt;="&amp;pyFrom,dPer,"&lt;="&amp;pyTo,dQty,"&gt;-1E+300",dFlt1,critFlt1,dFlt2,critFlt2,dFlt3,critFlt3))</f>
        <v/>
      </c>
      <c r="F1524" t="str">
        <f>IF($B1524="","",SUMIFS(dQty,dCust,$B1524,dPer,"&gt;="&amp;cyFrom,dPer,"&lt;="&amp;cyTo,dQty,"&gt;-1E+300",dFlt1,critFlt1,dFlt2,critFlt2,dFlt3,critFlt3))</f>
        <v/>
      </c>
      <c r="G1524">
        <f>IF($B1524="",0,IFERROR(IF(OR(C1524&lt;&gt;0,D1524&lt;&gt;0,E1524&lt;&gt;0,F1524&lt;&gt;0),1,0),1))</f>
        <v>0</v>
      </c>
      <c r="H1524" t="str">
        <f>IF(OR(G1524=0,E1524=0),"",C1524/E1524)</f>
        <v/>
      </c>
      <c r="I1524" t="str">
        <f>IF(OR(G1524=0,F1524=0),"",D1524/F1524)</f>
        <v/>
      </c>
      <c r="J1524" t="str">
        <f>IF(OR(H1524="",I1524=""),"",IF(H1524=0,"",I1524/H1524-1))</f>
        <v/>
      </c>
      <c r="K1524" t="str">
        <f>IF($B1524="","",IFERROR(IF(G1524=0,-2E+300,CHOOSE(sortIdx,ROUND(D1524,0),IF(J1524="",-1E+300,ROUND(-J1524,6)),IF(J1524="",-1E+300,ROUND(J1524,6)))),-1.5E+300))</f>
        <v/>
      </c>
      <c r="L1524" t="str">
        <f>IF(K1524="","",RANK(K1524,$K$2:$K$3001,0)+COUNTIF($K$2:K1524,K1524)-1)</f>
        <v/>
      </c>
    </row>
    <row r="1525">
      <c r="B1525" t="str">
        <f>IFERROR(IF(A1525="","","="&amp;SUBSTITUTE(SUBSTITUTE(SUBSTITUTE(A1525,"~","~~"),"*","~*"),"?","~?")),"")</f>
        <v/>
      </c>
      <c r="C1525" t="str">
        <f>IF($B1525="","",SUMIFS(dAmt,dCust,$B1525,dPer,"&gt;="&amp;pyFrom,dPer,"&lt;="&amp;pyTo,dAmt,"&gt;-1E+300",dFlt1,critFlt1,dFlt2,critFlt2,dFlt3,critFlt3))</f>
        <v/>
      </c>
      <c r="D1525" t="str">
        <f>IF($B1525="","",SUMIFS(dAmt,dCust,$B1525,dPer,"&gt;="&amp;cyFrom,dPer,"&lt;="&amp;cyTo,dAmt,"&gt;-1E+300",dFlt1,critFlt1,dFlt2,critFlt2,dFlt3,critFlt3))</f>
        <v/>
      </c>
      <c r="E1525" t="str">
        <f>IF($B1525="","",SUMIFS(dQty,dCust,$B1525,dPer,"&gt;="&amp;pyFrom,dPer,"&lt;="&amp;pyTo,dQty,"&gt;-1E+300",dFlt1,critFlt1,dFlt2,critFlt2,dFlt3,critFlt3))</f>
        <v/>
      </c>
      <c r="F1525" t="str">
        <f>IF($B1525="","",SUMIFS(dQty,dCust,$B1525,dPer,"&gt;="&amp;cyFrom,dPer,"&lt;="&amp;cyTo,dQty,"&gt;-1E+300",dFlt1,critFlt1,dFlt2,critFlt2,dFlt3,critFlt3))</f>
        <v/>
      </c>
      <c r="G1525">
        <f>IF($B1525="",0,IFERROR(IF(OR(C1525&lt;&gt;0,D1525&lt;&gt;0,E1525&lt;&gt;0,F1525&lt;&gt;0),1,0),1))</f>
        <v>0</v>
      </c>
      <c r="H1525" t="str">
        <f>IF(OR(G1525=0,E1525=0),"",C1525/E1525)</f>
        <v/>
      </c>
      <c r="I1525" t="str">
        <f>IF(OR(G1525=0,F1525=0),"",D1525/F1525)</f>
        <v/>
      </c>
      <c r="J1525" t="str">
        <f>IF(OR(H1525="",I1525=""),"",IF(H1525=0,"",I1525/H1525-1))</f>
        <v/>
      </c>
      <c r="K1525" t="str">
        <f>IF($B1525="","",IFERROR(IF(G1525=0,-2E+300,CHOOSE(sortIdx,ROUND(D1525,0),IF(J1525="",-1E+300,ROUND(-J1525,6)),IF(J1525="",-1E+300,ROUND(J1525,6)))),-1.5E+300))</f>
        <v/>
      </c>
      <c r="L1525" t="str">
        <f>IF(K1525="","",RANK(K1525,$K$2:$K$3001,0)+COUNTIF($K$2:K1525,K1525)-1)</f>
        <v/>
      </c>
    </row>
    <row r="1526">
      <c r="B1526" t="str">
        <f>IFERROR(IF(A1526="","","="&amp;SUBSTITUTE(SUBSTITUTE(SUBSTITUTE(A1526,"~","~~"),"*","~*"),"?","~?")),"")</f>
        <v/>
      </c>
      <c r="C1526" t="str">
        <f>IF($B1526="","",SUMIFS(dAmt,dCust,$B1526,dPer,"&gt;="&amp;pyFrom,dPer,"&lt;="&amp;pyTo,dAmt,"&gt;-1E+300",dFlt1,critFlt1,dFlt2,critFlt2,dFlt3,critFlt3))</f>
        <v/>
      </c>
      <c r="D1526" t="str">
        <f>IF($B1526="","",SUMIFS(dAmt,dCust,$B1526,dPer,"&gt;="&amp;cyFrom,dPer,"&lt;="&amp;cyTo,dAmt,"&gt;-1E+300",dFlt1,critFlt1,dFlt2,critFlt2,dFlt3,critFlt3))</f>
        <v/>
      </c>
      <c r="E1526" t="str">
        <f>IF($B1526="","",SUMIFS(dQty,dCust,$B1526,dPer,"&gt;="&amp;pyFrom,dPer,"&lt;="&amp;pyTo,dQty,"&gt;-1E+300",dFlt1,critFlt1,dFlt2,critFlt2,dFlt3,critFlt3))</f>
        <v/>
      </c>
      <c r="F1526" t="str">
        <f>IF($B1526="","",SUMIFS(dQty,dCust,$B1526,dPer,"&gt;="&amp;cyFrom,dPer,"&lt;="&amp;cyTo,dQty,"&gt;-1E+300",dFlt1,critFlt1,dFlt2,critFlt2,dFlt3,critFlt3))</f>
        <v/>
      </c>
      <c r="G1526">
        <f>IF($B1526="",0,IFERROR(IF(OR(C1526&lt;&gt;0,D1526&lt;&gt;0,E1526&lt;&gt;0,F1526&lt;&gt;0),1,0),1))</f>
        <v>0</v>
      </c>
      <c r="H1526" t="str">
        <f>IF(OR(G1526=0,E1526=0),"",C1526/E1526)</f>
        <v/>
      </c>
      <c r="I1526" t="str">
        <f>IF(OR(G1526=0,F1526=0),"",D1526/F1526)</f>
        <v/>
      </c>
      <c r="J1526" t="str">
        <f>IF(OR(H1526="",I1526=""),"",IF(H1526=0,"",I1526/H1526-1))</f>
        <v/>
      </c>
      <c r="K1526" t="str">
        <f>IF($B1526="","",IFERROR(IF(G1526=0,-2E+300,CHOOSE(sortIdx,ROUND(D1526,0),IF(J1526="",-1E+300,ROUND(-J1526,6)),IF(J1526="",-1E+300,ROUND(J1526,6)))),-1.5E+300))</f>
        <v/>
      </c>
      <c r="L1526" t="str">
        <f>IF(K1526="","",RANK(K1526,$K$2:$K$3001,0)+COUNTIF($K$2:K1526,K1526)-1)</f>
        <v/>
      </c>
    </row>
    <row r="1527">
      <c r="B1527" t="str">
        <f>IFERROR(IF(A1527="","","="&amp;SUBSTITUTE(SUBSTITUTE(SUBSTITUTE(A1527,"~","~~"),"*","~*"),"?","~?")),"")</f>
        <v/>
      </c>
      <c r="C1527" t="str">
        <f>IF($B1527="","",SUMIFS(dAmt,dCust,$B1527,dPer,"&gt;="&amp;pyFrom,dPer,"&lt;="&amp;pyTo,dAmt,"&gt;-1E+300",dFlt1,critFlt1,dFlt2,critFlt2,dFlt3,critFlt3))</f>
        <v/>
      </c>
      <c r="D1527" t="str">
        <f>IF($B1527="","",SUMIFS(dAmt,dCust,$B1527,dPer,"&gt;="&amp;cyFrom,dPer,"&lt;="&amp;cyTo,dAmt,"&gt;-1E+300",dFlt1,critFlt1,dFlt2,critFlt2,dFlt3,critFlt3))</f>
        <v/>
      </c>
      <c r="E1527" t="str">
        <f>IF($B1527="","",SUMIFS(dQty,dCust,$B1527,dPer,"&gt;="&amp;pyFrom,dPer,"&lt;="&amp;pyTo,dQty,"&gt;-1E+300",dFlt1,critFlt1,dFlt2,critFlt2,dFlt3,critFlt3))</f>
        <v/>
      </c>
      <c r="F1527" t="str">
        <f>IF($B1527="","",SUMIFS(dQty,dCust,$B1527,dPer,"&gt;="&amp;cyFrom,dPer,"&lt;="&amp;cyTo,dQty,"&gt;-1E+300",dFlt1,critFlt1,dFlt2,critFlt2,dFlt3,critFlt3))</f>
        <v/>
      </c>
      <c r="G1527">
        <f>IF($B1527="",0,IFERROR(IF(OR(C1527&lt;&gt;0,D1527&lt;&gt;0,E1527&lt;&gt;0,F1527&lt;&gt;0),1,0),1))</f>
        <v>0</v>
      </c>
      <c r="H1527" t="str">
        <f>IF(OR(G1527=0,E1527=0),"",C1527/E1527)</f>
        <v/>
      </c>
      <c r="I1527" t="str">
        <f>IF(OR(G1527=0,F1527=0),"",D1527/F1527)</f>
        <v/>
      </c>
      <c r="J1527" t="str">
        <f>IF(OR(H1527="",I1527=""),"",IF(H1527=0,"",I1527/H1527-1))</f>
        <v/>
      </c>
      <c r="K1527" t="str">
        <f>IF($B1527="","",IFERROR(IF(G1527=0,-2E+300,CHOOSE(sortIdx,ROUND(D1527,0),IF(J1527="",-1E+300,ROUND(-J1527,6)),IF(J1527="",-1E+300,ROUND(J1527,6)))),-1.5E+300))</f>
        <v/>
      </c>
      <c r="L1527" t="str">
        <f>IF(K1527="","",RANK(K1527,$K$2:$K$3001,0)+COUNTIF($K$2:K1527,K1527)-1)</f>
        <v/>
      </c>
    </row>
    <row r="1528">
      <c r="B1528" t="str">
        <f>IFERROR(IF(A1528="","","="&amp;SUBSTITUTE(SUBSTITUTE(SUBSTITUTE(A1528,"~","~~"),"*","~*"),"?","~?")),"")</f>
        <v/>
      </c>
      <c r="C1528" t="str">
        <f>IF($B1528="","",SUMIFS(dAmt,dCust,$B1528,dPer,"&gt;="&amp;pyFrom,dPer,"&lt;="&amp;pyTo,dAmt,"&gt;-1E+300",dFlt1,critFlt1,dFlt2,critFlt2,dFlt3,critFlt3))</f>
        <v/>
      </c>
      <c r="D1528" t="str">
        <f>IF($B1528="","",SUMIFS(dAmt,dCust,$B1528,dPer,"&gt;="&amp;cyFrom,dPer,"&lt;="&amp;cyTo,dAmt,"&gt;-1E+300",dFlt1,critFlt1,dFlt2,critFlt2,dFlt3,critFlt3))</f>
        <v/>
      </c>
      <c r="E1528" t="str">
        <f>IF($B1528="","",SUMIFS(dQty,dCust,$B1528,dPer,"&gt;="&amp;pyFrom,dPer,"&lt;="&amp;pyTo,dQty,"&gt;-1E+300",dFlt1,critFlt1,dFlt2,critFlt2,dFlt3,critFlt3))</f>
        <v/>
      </c>
      <c r="F1528" t="str">
        <f>IF($B1528="","",SUMIFS(dQty,dCust,$B1528,dPer,"&gt;="&amp;cyFrom,dPer,"&lt;="&amp;cyTo,dQty,"&gt;-1E+300",dFlt1,critFlt1,dFlt2,critFlt2,dFlt3,critFlt3))</f>
        <v/>
      </c>
      <c r="G1528">
        <f>IF($B1528="",0,IFERROR(IF(OR(C1528&lt;&gt;0,D1528&lt;&gt;0,E1528&lt;&gt;0,F1528&lt;&gt;0),1,0),1))</f>
        <v>0</v>
      </c>
      <c r="H1528" t="str">
        <f>IF(OR(G1528=0,E1528=0),"",C1528/E1528)</f>
        <v/>
      </c>
      <c r="I1528" t="str">
        <f>IF(OR(G1528=0,F1528=0),"",D1528/F1528)</f>
        <v/>
      </c>
      <c r="J1528" t="str">
        <f>IF(OR(H1528="",I1528=""),"",IF(H1528=0,"",I1528/H1528-1))</f>
        <v/>
      </c>
      <c r="K1528" t="str">
        <f>IF($B1528="","",IFERROR(IF(G1528=0,-2E+300,CHOOSE(sortIdx,ROUND(D1528,0),IF(J1528="",-1E+300,ROUND(-J1528,6)),IF(J1528="",-1E+300,ROUND(J1528,6)))),-1.5E+300))</f>
        <v/>
      </c>
      <c r="L1528" t="str">
        <f>IF(K1528="","",RANK(K1528,$K$2:$K$3001,0)+COUNTIF($K$2:K1528,K1528)-1)</f>
        <v/>
      </c>
    </row>
    <row r="1529">
      <c r="B1529" t="str">
        <f>IFERROR(IF(A1529="","","="&amp;SUBSTITUTE(SUBSTITUTE(SUBSTITUTE(A1529,"~","~~"),"*","~*"),"?","~?")),"")</f>
        <v/>
      </c>
      <c r="C1529" t="str">
        <f>IF($B1529="","",SUMIFS(dAmt,dCust,$B1529,dPer,"&gt;="&amp;pyFrom,dPer,"&lt;="&amp;pyTo,dAmt,"&gt;-1E+300",dFlt1,critFlt1,dFlt2,critFlt2,dFlt3,critFlt3))</f>
        <v/>
      </c>
      <c r="D1529" t="str">
        <f>IF($B1529="","",SUMIFS(dAmt,dCust,$B1529,dPer,"&gt;="&amp;cyFrom,dPer,"&lt;="&amp;cyTo,dAmt,"&gt;-1E+300",dFlt1,critFlt1,dFlt2,critFlt2,dFlt3,critFlt3))</f>
        <v/>
      </c>
      <c r="E1529" t="str">
        <f>IF($B1529="","",SUMIFS(dQty,dCust,$B1529,dPer,"&gt;="&amp;pyFrom,dPer,"&lt;="&amp;pyTo,dQty,"&gt;-1E+300",dFlt1,critFlt1,dFlt2,critFlt2,dFlt3,critFlt3))</f>
        <v/>
      </c>
      <c r="F1529" t="str">
        <f>IF($B1529="","",SUMIFS(dQty,dCust,$B1529,dPer,"&gt;="&amp;cyFrom,dPer,"&lt;="&amp;cyTo,dQty,"&gt;-1E+300",dFlt1,critFlt1,dFlt2,critFlt2,dFlt3,critFlt3))</f>
        <v/>
      </c>
      <c r="G1529">
        <f>IF($B1529="",0,IFERROR(IF(OR(C1529&lt;&gt;0,D1529&lt;&gt;0,E1529&lt;&gt;0,F1529&lt;&gt;0),1,0),1))</f>
        <v>0</v>
      </c>
      <c r="H1529" t="str">
        <f>IF(OR(G1529=0,E1529=0),"",C1529/E1529)</f>
        <v/>
      </c>
      <c r="I1529" t="str">
        <f>IF(OR(G1529=0,F1529=0),"",D1529/F1529)</f>
        <v/>
      </c>
      <c r="J1529" t="str">
        <f>IF(OR(H1529="",I1529=""),"",IF(H1529=0,"",I1529/H1529-1))</f>
        <v/>
      </c>
      <c r="K1529" t="str">
        <f>IF($B1529="","",IFERROR(IF(G1529=0,-2E+300,CHOOSE(sortIdx,ROUND(D1529,0),IF(J1529="",-1E+300,ROUND(-J1529,6)),IF(J1529="",-1E+300,ROUND(J1529,6)))),-1.5E+300))</f>
        <v/>
      </c>
      <c r="L1529" t="str">
        <f>IF(K1529="","",RANK(K1529,$K$2:$K$3001,0)+COUNTIF($K$2:K1529,K1529)-1)</f>
        <v/>
      </c>
    </row>
    <row r="1530">
      <c r="B1530" t="str">
        <f>IFERROR(IF(A1530="","","="&amp;SUBSTITUTE(SUBSTITUTE(SUBSTITUTE(A1530,"~","~~"),"*","~*"),"?","~?")),"")</f>
        <v/>
      </c>
      <c r="C1530" t="str">
        <f>IF($B1530="","",SUMIFS(dAmt,dCust,$B1530,dPer,"&gt;="&amp;pyFrom,dPer,"&lt;="&amp;pyTo,dAmt,"&gt;-1E+300",dFlt1,critFlt1,dFlt2,critFlt2,dFlt3,critFlt3))</f>
        <v/>
      </c>
      <c r="D1530" t="str">
        <f>IF($B1530="","",SUMIFS(dAmt,dCust,$B1530,dPer,"&gt;="&amp;cyFrom,dPer,"&lt;="&amp;cyTo,dAmt,"&gt;-1E+300",dFlt1,critFlt1,dFlt2,critFlt2,dFlt3,critFlt3))</f>
        <v/>
      </c>
      <c r="E1530" t="str">
        <f>IF($B1530="","",SUMIFS(dQty,dCust,$B1530,dPer,"&gt;="&amp;pyFrom,dPer,"&lt;="&amp;pyTo,dQty,"&gt;-1E+300",dFlt1,critFlt1,dFlt2,critFlt2,dFlt3,critFlt3))</f>
        <v/>
      </c>
      <c r="F1530" t="str">
        <f>IF($B1530="","",SUMIFS(dQty,dCust,$B1530,dPer,"&gt;="&amp;cyFrom,dPer,"&lt;="&amp;cyTo,dQty,"&gt;-1E+300",dFlt1,critFlt1,dFlt2,critFlt2,dFlt3,critFlt3))</f>
        <v/>
      </c>
      <c r="G1530">
        <f>IF($B1530="",0,IFERROR(IF(OR(C1530&lt;&gt;0,D1530&lt;&gt;0,E1530&lt;&gt;0,F1530&lt;&gt;0),1,0),1))</f>
        <v>0</v>
      </c>
      <c r="H1530" t="str">
        <f>IF(OR(G1530=0,E1530=0),"",C1530/E1530)</f>
        <v/>
      </c>
      <c r="I1530" t="str">
        <f>IF(OR(G1530=0,F1530=0),"",D1530/F1530)</f>
        <v/>
      </c>
      <c r="J1530" t="str">
        <f>IF(OR(H1530="",I1530=""),"",IF(H1530=0,"",I1530/H1530-1))</f>
        <v/>
      </c>
      <c r="K1530" t="str">
        <f>IF($B1530="","",IFERROR(IF(G1530=0,-2E+300,CHOOSE(sortIdx,ROUND(D1530,0),IF(J1530="",-1E+300,ROUND(-J1530,6)),IF(J1530="",-1E+300,ROUND(J1530,6)))),-1.5E+300))</f>
        <v/>
      </c>
      <c r="L1530" t="str">
        <f>IF(K1530="","",RANK(K1530,$K$2:$K$3001,0)+COUNTIF($K$2:K1530,K1530)-1)</f>
        <v/>
      </c>
    </row>
    <row r="1531">
      <c r="B1531" t="str">
        <f>IFERROR(IF(A1531="","","="&amp;SUBSTITUTE(SUBSTITUTE(SUBSTITUTE(A1531,"~","~~"),"*","~*"),"?","~?")),"")</f>
        <v/>
      </c>
      <c r="C1531" t="str">
        <f>IF($B1531="","",SUMIFS(dAmt,dCust,$B1531,dPer,"&gt;="&amp;pyFrom,dPer,"&lt;="&amp;pyTo,dAmt,"&gt;-1E+300",dFlt1,critFlt1,dFlt2,critFlt2,dFlt3,critFlt3))</f>
        <v/>
      </c>
      <c r="D1531" t="str">
        <f>IF($B1531="","",SUMIFS(dAmt,dCust,$B1531,dPer,"&gt;="&amp;cyFrom,dPer,"&lt;="&amp;cyTo,dAmt,"&gt;-1E+300",dFlt1,critFlt1,dFlt2,critFlt2,dFlt3,critFlt3))</f>
        <v/>
      </c>
      <c r="E1531" t="str">
        <f>IF($B1531="","",SUMIFS(dQty,dCust,$B1531,dPer,"&gt;="&amp;pyFrom,dPer,"&lt;="&amp;pyTo,dQty,"&gt;-1E+300",dFlt1,critFlt1,dFlt2,critFlt2,dFlt3,critFlt3))</f>
        <v/>
      </c>
      <c r="F1531" t="str">
        <f>IF($B1531="","",SUMIFS(dQty,dCust,$B1531,dPer,"&gt;="&amp;cyFrom,dPer,"&lt;="&amp;cyTo,dQty,"&gt;-1E+300",dFlt1,critFlt1,dFlt2,critFlt2,dFlt3,critFlt3))</f>
        <v/>
      </c>
      <c r="G1531">
        <f>IF($B1531="",0,IFERROR(IF(OR(C1531&lt;&gt;0,D1531&lt;&gt;0,E1531&lt;&gt;0,F1531&lt;&gt;0),1,0),1))</f>
        <v>0</v>
      </c>
      <c r="H1531" t="str">
        <f>IF(OR(G1531=0,E1531=0),"",C1531/E1531)</f>
        <v/>
      </c>
      <c r="I1531" t="str">
        <f>IF(OR(G1531=0,F1531=0),"",D1531/F1531)</f>
        <v/>
      </c>
      <c r="J1531" t="str">
        <f>IF(OR(H1531="",I1531=""),"",IF(H1531=0,"",I1531/H1531-1))</f>
        <v/>
      </c>
      <c r="K1531" t="str">
        <f>IF($B1531="","",IFERROR(IF(G1531=0,-2E+300,CHOOSE(sortIdx,ROUND(D1531,0),IF(J1531="",-1E+300,ROUND(-J1531,6)),IF(J1531="",-1E+300,ROUND(J1531,6)))),-1.5E+300))</f>
        <v/>
      </c>
      <c r="L1531" t="str">
        <f>IF(K1531="","",RANK(K1531,$K$2:$K$3001,0)+COUNTIF($K$2:K1531,K1531)-1)</f>
        <v/>
      </c>
    </row>
    <row r="1532">
      <c r="B1532" t="str">
        <f>IFERROR(IF(A1532="","","="&amp;SUBSTITUTE(SUBSTITUTE(SUBSTITUTE(A1532,"~","~~"),"*","~*"),"?","~?")),"")</f>
        <v/>
      </c>
      <c r="C1532" t="str">
        <f>IF($B1532="","",SUMIFS(dAmt,dCust,$B1532,dPer,"&gt;="&amp;pyFrom,dPer,"&lt;="&amp;pyTo,dAmt,"&gt;-1E+300",dFlt1,critFlt1,dFlt2,critFlt2,dFlt3,critFlt3))</f>
        <v/>
      </c>
      <c r="D1532" t="str">
        <f>IF($B1532="","",SUMIFS(dAmt,dCust,$B1532,dPer,"&gt;="&amp;cyFrom,dPer,"&lt;="&amp;cyTo,dAmt,"&gt;-1E+300",dFlt1,critFlt1,dFlt2,critFlt2,dFlt3,critFlt3))</f>
        <v/>
      </c>
      <c r="E1532" t="str">
        <f>IF($B1532="","",SUMIFS(dQty,dCust,$B1532,dPer,"&gt;="&amp;pyFrom,dPer,"&lt;="&amp;pyTo,dQty,"&gt;-1E+300",dFlt1,critFlt1,dFlt2,critFlt2,dFlt3,critFlt3))</f>
        <v/>
      </c>
      <c r="F1532" t="str">
        <f>IF($B1532="","",SUMIFS(dQty,dCust,$B1532,dPer,"&gt;="&amp;cyFrom,dPer,"&lt;="&amp;cyTo,dQty,"&gt;-1E+300",dFlt1,critFlt1,dFlt2,critFlt2,dFlt3,critFlt3))</f>
        <v/>
      </c>
      <c r="G1532">
        <f>IF($B1532="",0,IFERROR(IF(OR(C1532&lt;&gt;0,D1532&lt;&gt;0,E1532&lt;&gt;0,F1532&lt;&gt;0),1,0),1))</f>
        <v>0</v>
      </c>
      <c r="H1532" t="str">
        <f>IF(OR(G1532=0,E1532=0),"",C1532/E1532)</f>
        <v/>
      </c>
      <c r="I1532" t="str">
        <f>IF(OR(G1532=0,F1532=0),"",D1532/F1532)</f>
        <v/>
      </c>
      <c r="J1532" t="str">
        <f>IF(OR(H1532="",I1532=""),"",IF(H1532=0,"",I1532/H1532-1))</f>
        <v/>
      </c>
      <c r="K1532" t="str">
        <f>IF($B1532="","",IFERROR(IF(G1532=0,-2E+300,CHOOSE(sortIdx,ROUND(D1532,0),IF(J1532="",-1E+300,ROUND(-J1532,6)),IF(J1532="",-1E+300,ROUND(J1532,6)))),-1.5E+300))</f>
        <v/>
      </c>
      <c r="L1532" t="str">
        <f>IF(K1532="","",RANK(K1532,$K$2:$K$3001,0)+COUNTIF($K$2:K1532,K1532)-1)</f>
        <v/>
      </c>
    </row>
    <row r="1533">
      <c r="B1533" t="str">
        <f>IFERROR(IF(A1533="","","="&amp;SUBSTITUTE(SUBSTITUTE(SUBSTITUTE(A1533,"~","~~"),"*","~*"),"?","~?")),"")</f>
        <v/>
      </c>
      <c r="C1533" t="str">
        <f>IF($B1533="","",SUMIFS(dAmt,dCust,$B1533,dPer,"&gt;="&amp;pyFrom,dPer,"&lt;="&amp;pyTo,dAmt,"&gt;-1E+300",dFlt1,critFlt1,dFlt2,critFlt2,dFlt3,critFlt3))</f>
        <v/>
      </c>
      <c r="D1533" t="str">
        <f>IF($B1533="","",SUMIFS(dAmt,dCust,$B1533,dPer,"&gt;="&amp;cyFrom,dPer,"&lt;="&amp;cyTo,dAmt,"&gt;-1E+300",dFlt1,critFlt1,dFlt2,critFlt2,dFlt3,critFlt3))</f>
        <v/>
      </c>
      <c r="E1533" t="str">
        <f>IF($B1533="","",SUMIFS(dQty,dCust,$B1533,dPer,"&gt;="&amp;pyFrom,dPer,"&lt;="&amp;pyTo,dQty,"&gt;-1E+300",dFlt1,critFlt1,dFlt2,critFlt2,dFlt3,critFlt3))</f>
        <v/>
      </c>
      <c r="F1533" t="str">
        <f>IF($B1533="","",SUMIFS(dQty,dCust,$B1533,dPer,"&gt;="&amp;cyFrom,dPer,"&lt;="&amp;cyTo,dQty,"&gt;-1E+300",dFlt1,critFlt1,dFlt2,critFlt2,dFlt3,critFlt3))</f>
        <v/>
      </c>
      <c r="G1533">
        <f>IF($B1533="",0,IFERROR(IF(OR(C1533&lt;&gt;0,D1533&lt;&gt;0,E1533&lt;&gt;0,F1533&lt;&gt;0),1,0),1))</f>
        <v>0</v>
      </c>
      <c r="H1533" t="str">
        <f>IF(OR(G1533=0,E1533=0),"",C1533/E1533)</f>
        <v/>
      </c>
      <c r="I1533" t="str">
        <f>IF(OR(G1533=0,F1533=0),"",D1533/F1533)</f>
        <v/>
      </c>
      <c r="J1533" t="str">
        <f>IF(OR(H1533="",I1533=""),"",IF(H1533=0,"",I1533/H1533-1))</f>
        <v/>
      </c>
      <c r="K1533" t="str">
        <f>IF($B1533="","",IFERROR(IF(G1533=0,-2E+300,CHOOSE(sortIdx,ROUND(D1533,0),IF(J1533="",-1E+300,ROUND(-J1533,6)),IF(J1533="",-1E+300,ROUND(J1533,6)))),-1.5E+300))</f>
        <v/>
      </c>
      <c r="L1533" t="str">
        <f>IF(K1533="","",RANK(K1533,$K$2:$K$3001,0)+COUNTIF($K$2:K1533,K1533)-1)</f>
        <v/>
      </c>
    </row>
    <row r="1534">
      <c r="B1534" t="str">
        <f>IFERROR(IF(A1534="","","="&amp;SUBSTITUTE(SUBSTITUTE(SUBSTITUTE(A1534,"~","~~"),"*","~*"),"?","~?")),"")</f>
        <v/>
      </c>
      <c r="C1534" t="str">
        <f>IF($B1534="","",SUMIFS(dAmt,dCust,$B1534,dPer,"&gt;="&amp;pyFrom,dPer,"&lt;="&amp;pyTo,dAmt,"&gt;-1E+300",dFlt1,critFlt1,dFlt2,critFlt2,dFlt3,critFlt3))</f>
        <v/>
      </c>
      <c r="D1534" t="str">
        <f>IF($B1534="","",SUMIFS(dAmt,dCust,$B1534,dPer,"&gt;="&amp;cyFrom,dPer,"&lt;="&amp;cyTo,dAmt,"&gt;-1E+300",dFlt1,critFlt1,dFlt2,critFlt2,dFlt3,critFlt3))</f>
        <v/>
      </c>
      <c r="E1534" t="str">
        <f>IF($B1534="","",SUMIFS(dQty,dCust,$B1534,dPer,"&gt;="&amp;pyFrom,dPer,"&lt;="&amp;pyTo,dQty,"&gt;-1E+300",dFlt1,critFlt1,dFlt2,critFlt2,dFlt3,critFlt3))</f>
        <v/>
      </c>
      <c r="F1534" t="str">
        <f>IF($B1534="","",SUMIFS(dQty,dCust,$B1534,dPer,"&gt;="&amp;cyFrom,dPer,"&lt;="&amp;cyTo,dQty,"&gt;-1E+300",dFlt1,critFlt1,dFlt2,critFlt2,dFlt3,critFlt3))</f>
        <v/>
      </c>
      <c r="G1534">
        <f>IF($B1534="",0,IFERROR(IF(OR(C1534&lt;&gt;0,D1534&lt;&gt;0,E1534&lt;&gt;0,F1534&lt;&gt;0),1,0),1))</f>
        <v>0</v>
      </c>
      <c r="H1534" t="str">
        <f>IF(OR(G1534=0,E1534=0),"",C1534/E1534)</f>
        <v/>
      </c>
      <c r="I1534" t="str">
        <f>IF(OR(G1534=0,F1534=0),"",D1534/F1534)</f>
        <v/>
      </c>
      <c r="J1534" t="str">
        <f>IF(OR(H1534="",I1534=""),"",IF(H1534=0,"",I1534/H1534-1))</f>
        <v/>
      </c>
      <c r="K1534" t="str">
        <f>IF($B1534="","",IFERROR(IF(G1534=0,-2E+300,CHOOSE(sortIdx,ROUND(D1534,0),IF(J1534="",-1E+300,ROUND(-J1534,6)),IF(J1534="",-1E+300,ROUND(J1534,6)))),-1.5E+300))</f>
        <v/>
      </c>
      <c r="L1534" t="str">
        <f>IF(K1534="","",RANK(K1534,$K$2:$K$3001,0)+COUNTIF($K$2:K1534,K1534)-1)</f>
        <v/>
      </c>
    </row>
    <row r="1535">
      <c r="B1535" t="str">
        <f>IFERROR(IF(A1535="","","="&amp;SUBSTITUTE(SUBSTITUTE(SUBSTITUTE(A1535,"~","~~"),"*","~*"),"?","~?")),"")</f>
        <v/>
      </c>
      <c r="C1535" t="str">
        <f>IF($B1535="","",SUMIFS(dAmt,dCust,$B1535,dPer,"&gt;="&amp;pyFrom,dPer,"&lt;="&amp;pyTo,dAmt,"&gt;-1E+300",dFlt1,critFlt1,dFlt2,critFlt2,dFlt3,critFlt3))</f>
        <v/>
      </c>
      <c r="D1535" t="str">
        <f>IF($B1535="","",SUMIFS(dAmt,dCust,$B1535,dPer,"&gt;="&amp;cyFrom,dPer,"&lt;="&amp;cyTo,dAmt,"&gt;-1E+300",dFlt1,critFlt1,dFlt2,critFlt2,dFlt3,critFlt3))</f>
        <v/>
      </c>
      <c r="E1535" t="str">
        <f>IF($B1535="","",SUMIFS(dQty,dCust,$B1535,dPer,"&gt;="&amp;pyFrom,dPer,"&lt;="&amp;pyTo,dQty,"&gt;-1E+300",dFlt1,critFlt1,dFlt2,critFlt2,dFlt3,critFlt3))</f>
        <v/>
      </c>
      <c r="F1535" t="str">
        <f>IF($B1535="","",SUMIFS(dQty,dCust,$B1535,dPer,"&gt;="&amp;cyFrom,dPer,"&lt;="&amp;cyTo,dQty,"&gt;-1E+300",dFlt1,critFlt1,dFlt2,critFlt2,dFlt3,critFlt3))</f>
        <v/>
      </c>
      <c r="G1535">
        <f>IF($B1535="",0,IFERROR(IF(OR(C1535&lt;&gt;0,D1535&lt;&gt;0,E1535&lt;&gt;0,F1535&lt;&gt;0),1,0),1))</f>
        <v>0</v>
      </c>
      <c r="H1535" t="str">
        <f>IF(OR(G1535=0,E1535=0),"",C1535/E1535)</f>
        <v/>
      </c>
      <c r="I1535" t="str">
        <f>IF(OR(G1535=0,F1535=0),"",D1535/F1535)</f>
        <v/>
      </c>
      <c r="J1535" t="str">
        <f>IF(OR(H1535="",I1535=""),"",IF(H1535=0,"",I1535/H1535-1))</f>
        <v/>
      </c>
      <c r="K1535" t="str">
        <f>IF($B1535="","",IFERROR(IF(G1535=0,-2E+300,CHOOSE(sortIdx,ROUND(D1535,0),IF(J1535="",-1E+300,ROUND(-J1535,6)),IF(J1535="",-1E+300,ROUND(J1535,6)))),-1.5E+300))</f>
        <v/>
      </c>
      <c r="L1535" t="str">
        <f>IF(K1535="","",RANK(K1535,$K$2:$K$3001,0)+COUNTIF($K$2:K1535,K1535)-1)</f>
        <v/>
      </c>
    </row>
    <row r="1536">
      <c r="B1536" t="str">
        <f>IFERROR(IF(A1536="","","="&amp;SUBSTITUTE(SUBSTITUTE(SUBSTITUTE(A1536,"~","~~"),"*","~*"),"?","~?")),"")</f>
        <v/>
      </c>
      <c r="C1536" t="str">
        <f>IF($B1536="","",SUMIFS(dAmt,dCust,$B1536,dPer,"&gt;="&amp;pyFrom,dPer,"&lt;="&amp;pyTo,dAmt,"&gt;-1E+300",dFlt1,critFlt1,dFlt2,critFlt2,dFlt3,critFlt3))</f>
        <v/>
      </c>
      <c r="D1536" t="str">
        <f>IF($B1536="","",SUMIFS(dAmt,dCust,$B1536,dPer,"&gt;="&amp;cyFrom,dPer,"&lt;="&amp;cyTo,dAmt,"&gt;-1E+300",dFlt1,critFlt1,dFlt2,critFlt2,dFlt3,critFlt3))</f>
        <v/>
      </c>
      <c r="E1536" t="str">
        <f>IF($B1536="","",SUMIFS(dQty,dCust,$B1536,dPer,"&gt;="&amp;pyFrom,dPer,"&lt;="&amp;pyTo,dQty,"&gt;-1E+300",dFlt1,critFlt1,dFlt2,critFlt2,dFlt3,critFlt3))</f>
        <v/>
      </c>
      <c r="F1536" t="str">
        <f>IF($B1536="","",SUMIFS(dQty,dCust,$B1536,dPer,"&gt;="&amp;cyFrom,dPer,"&lt;="&amp;cyTo,dQty,"&gt;-1E+300",dFlt1,critFlt1,dFlt2,critFlt2,dFlt3,critFlt3))</f>
        <v/>
      </c>
      <c r="G1536">
        <f>IF($B1536="",0,IFERROR(IF(OR(C1536&lt;&gt;0,D1536&lt;&gt;0,E1536&lt;&gt;0,F1536&lt;&gt;0),1,0),1))</f>
        <v>0</v>
      </c>
      <c r="H1536" t="str">
        <f>IF(OR(G1536=0,E1536=0),"",C1536/E1536)</f>
        <v/>
      </c>
      <c r="I1536" t="str">
        <f>IF(OR(G1536=0,F1536=0),"",D1536/F1536)</f>
        <v/>
      </c>
      <c r="J1536" t="str">
        <f>IF(OR(H1536="",I1536=""),"",IF(H1536=0,"",I1536/H1536-1))</f>
        <v/>
      </c>
      <c r="K1536" t="str">
        <f>IF($B1536="","",IFERROR(IF(G1536=0,-2E+300,CHOOSE(sortIdx,ROUND(D1536,0),IF(J1536="",-1E+300,ROUND(-J1536,6)),IF(J1536="",-1E+300,ROUND(J1536,6)))),-1.5E+300))</f>
        <v/>
      </c>
      <c r="L1536" t="str">
        <f>IF(K1536="","",RANK(K1536,$K$2:$K$3001,0)+COUNTIF($K$2:K1536,K1536)-1)</f>
        <v/>
      </c>
    </row>
    <row r="1537">
      <c r="B1537" t="str">
        <f>IFERROR(IF(A1537="","","="&amp;SUBSTITUTE(SUBSTITUTE(SUBSTITUTE(A1537,"~","~~"),"*","~*"),"?","~?")),"")</f>
        <v/>
      </c>
      <c r="C1537" t="str">
        <f>IF($B1537="","",SUMIFS(dAmt,dCust,$B1537,dPer,"&gt;="&amp;pyFrom,dPer,"&lt;="&amp;pyTo,dAmt,"&gt;-1E+300",dFlt1,critFlt1,dFlt2,critFlt2,dFlt3,critFlt3))</f>
        <v/>
      </c>
      <c r="D1537" t="str">
        <f>IF($B1537="","",SUMIFS(dAmt,dCust,$B1537,dPer,"&gt;="&amp;cyFrom,dPer,"&lt;="&amp;cyTo,dAmt,"&gt;-1E+300",dFlt1,critFlt1,dFlt2,critFlt2,dFlt3,critFlt3))</f>
        <v/>
      </c>
      <c r="E1537" t="str">
        <f>IF($B1537="","",SUMIFS(dQty,dCust,$B1537,dPer,"&gt;="&amp;pyFrom,dPer,"&lt;="&amp;pyTo,dQty,"&gt;-1E+300",dFlt1,critFlt1,dFlt2,critFlt2,dFlt3,critFlt3))</f>
        <v/>
      </c>
      <c r="F1537" t="str">
        <f>IF($B1537="","",SUMIFS(dQty,dCust,$B1537,dPer,"&gt;="&amp;cyFrom,dPer,"&lt;="&amp;cyTo,dQty,"&gt;-1E+300",dFlt1,critFlt1,dFlt2,critFlt2,dFlt3,critFlt3))</f>
        <v/>
      </c>
      <c r="G1537">
        <f>IF($B1537="",0,IFERROR(IF(OR(C1537&lt;&gt;0,D1537&lt;&gt;0,E1537&lt;&gt;0,F1537&lt;&gt;0),1,0),1))</f>
        <v>0</v>
      </c>
      <c r="H1537" t="str">
        <f>IF(OR(G1537=0,E1537=0),"",C1537/E1537)</f>
        <v/>
      </c>
      <c r="I1537" t="str">
        <f>IF(OR(G1537=0,F1537=0),"",D1537/F1537)</f>
        <v/>
      </c>
      <c r="J1537" t="str">
        <f>IF(OR(H1537="",I1537=""),"",IF(H1537=0,"",I1537/H1537-1))</f>
        <v/>
      </c>
      <c r="K1537" t="str">
        <f>IF($B1537="","",IFERROR(IF(G1537=0,-2E+300,CHOOSE(sortIdx,ROUND(D1537,0),IF(J1537="",-1E+300,ROUND(-J1537,6)),IF(J1537="",-1E+300,ROUND(J1537,6)))),-1.5E+300))</f>
        <v/>
      </c>
      <c r="L1537" t="str">
        <f>IF(K1537="","",RANK(K1537,$K$2:$K$3001,0)+COUNTIF($K$2:K1537,K1537)-1)</f>
        <v/>
      </c>
    </row>
    <row r="1538">
      <c r="B1538" t="str">
        <f>IFERROR(IF(A1538="","","="&amp;SUBSTITUTE(SUBSTITUTE(SUBSTITUTE(A1538,"~","~~"),"*","~*"),"?","~?")),"")</f>
        <v/>
      </c>
      <c r="C1538" t="str">
        <f>IF($B1538="","",SUMIFS(dAmt,dCust,$B1538,dPer,"&gt;="&amp;pyFrom,dPer,"&lt;="&amp;pyTo,dAmt,"&gt;-1E+300",dFlt1,critFlt1,dFlt2,critFlt2,dFlt3,critFlt3))</f>
        <v/>
      </c>
      <c r="D1538" t="str">
        <f>IF($B1538="","",SUMIFS(dAmt,dCust,$B1538,dPer,"&gt;="&amp;cyFrom,dPer,"&lt;="&amp;cyTo,dAmt,"&gt;-1E+300",dFlt1,critFlt1,dFlt2,critFlt2,dFlt3,critFlt3))</f>
        <v/>
      </c>
      <c r="E1538" t="str">
        <f>IF($B1538="","",SUMIFS(dQty,dCust,$B1538,dPer,"&gt;="&amp;pyFrom,dPer,"&lt;="&amp;pyTo,dQty,"&gt;-1E+300",dFlt1,critFlt1,dFlt2,critFlt2,dFlt3,critFlt3))</f>
        <v/>
      </c>
      <c r="F1538" t="str">
        <f>IF($B1538="","",SUMIFS(dQty,dCust,$B1538,dPer,"&gt;="&amp;cyFrom,dPer,"&lt;="&amp;cyTo,dQty,"&gt;-1E+300",dFlt1,critFlt1,dFlt2,critFlt2,dFlt3,critFlt3))</f>
        <v/>
      </c>
      <c r="G1538">
        <f>IF($B1538="",0,IFERROR(IF(OR(C1538&lt;&gt;0,D1538&lt;&gt;0,E1538&lt;&gt;0,F1538&lt;&gt;0),1,0),1))</f>
        <v>0</v>
      </c>
      <c r="H1538" t="str">
        <f>IF(OR(G1538=0,E1538=0),"",C1538/E1538)</f>
        <v/>
      </c>
      <c r="I1538" t="str">
        <f>IF(OR(G1538=0,F1538=0),"",D1538/F1538)</f>
        <v/>
      </c>
      <c r="J1538" t="str">
        <f>IF(OR(H1538="",I1538=""),"",IF(H1538=0,"",I1538/H1538-1))</f>
        <v/>
      </c>
      <c r="K1538" t="str">
        <f>IF($B1538="","",IFERROR(IF(G1538=0,-2E+300,CHOOSE(sortIdx,ROUND(D1538,0),IF(J1538="",-1E+300,ROUND(-J1538,6)),IF(J1538="",-1E+300,ROUND(J1538,6)))),-1.5E+300))</f>
        <v/>
      </c>
      <c r="L1538" t="str">
        <f>IF(K1538="","",RANK(K1538,$K$2:$K$3001,0)+COUNTIF($K$2:K1538,K1538)-1)</f>
        <v/>
      </c>
    </row>
    <row r="1539">
      <c r="B1539" t="str">
        <f>IFERROR(IF(A1539="","","="&amp;SUBSTITUTE(SUBSTITUTE(SUBSTITUTE(A1539,"~","~~"),"*","~*"),"?","~?")),"")</f>
        <v/>
      </c>
      <c r="C1539" t="str">
        <f>IF($B1539="","",SUMIFS(dAmt,dCust,$B1539,dPer,"&gt;="&amp;pyFrom,dPer,"&lt;="&amp;pyTo,dAmt,"&gt;-1E+300",dFlt1,critFlt1,dFlt2,critFlt2,dFlt3,critFlt3))</f>
        <v/>
      </c>
      <c r="D1539" t="str">
        <f>IF($B1539="","",SUMIFS(dAmt,dCust,$B1539,dPer,"&gt;="&amp;cyFrom,dPer,"&lt;="&amp;cyTo,dAmt,"&gt;-1E+300",dFlt1,critFlt1,dFlt2,critFlt2,dFlt3,critFlt3))</f>
        <v/>
      </c>
      <c r="E1539" t="str">
        <f>IF($B1539="","",SUMIFS(dQty,dCust,$B1539,dPer,"&gt;="&amp;pyFrom,dPer,"&lt;="&amp;pyTo,dQty,"&gt;-1E+300",dFlt1,critFlt1,dFlt2,critFlt2,dFlt3,critFlt3))</f>
        <v/>
      </c>
      <c r="F1539" t="str">
        <f>IF($B1539="","",SUMIFS(dQty,dCust,$B1539,dPer,"&gt;="&amp;cyFrom,dPer,"&lt;="&amp;cyTo,dQty,"&gt;-1E+300",dFlt1,critFlt1,dFlt2,critFlt2,dFlt3,critFlt3))</f>
        <v/>
      </c>
      <c r="G1539">
        <f>IF($B1539="",0,IFERROR(IF(OR(C1539&lt;&gt;0,D1539&lt;&gt;0,E1539&lt;&gt;0,F1539&lt;&gt;0),1,0),1))</f>
        <v>0</v>
      </c>
      <c r="H1539" t="str">
        <f>IF(OR(G1539=0,E1539=0),"",C1539/E1539)</f>
        <v/>
      </c>
      <c r="I1539" t="str">
        <f>IF(OR(G1539=0,F1539=0),"",D1539/F1539)</f>
        <v/>
      </c>
      <c r="J1539" t="str">
        <f>IF(OR(H1539="",I1539=""),"",IF(H1539=0,"",I1539/H1539-1))</f>
        <v/>
      </c>
      <c r="K1539" t="str">
        <f>IF($B1539="","",IFERROR(IF(G1539=0,-2E+300,CHOOSE(sortIdx,ROUND(D1539,0),IF(J1539="",-1E+300,ROUND(-J1539,6)),IF(J1539="",-1E+300,ROUND(J1539,6)))),-1.5E+300))</f>
        <v/>
      </c>
      <c r="L1539" t="str">
        <f>IF(K1539="","",RANK(K1539,$K$2:$K$3001,0)+COUNTIF($K$2:K1539,K1539)-1)</f>
        <v/>
      </c>
    </row>
    <row r="1540">
      <c r="B1540" t="str">
        <f>IFERROR(IF(A1540="","","="&amp;SUBSTITUTE(SUBSTITUTE(SUBSTITUTE(A1540,"~","~~"),"*","~*"),"?","~?")),"")</f>
        <v/>
      </c>
      <c r="C1540" t="str">
        <f>IF($B1540="","",SUMIFS(dAmt,dCust,$B1540,dPer,"&gt;="&amp;pyFrom,dPer,"&lt;="&amp;pyTo,dAmt,"&gt;-1E+300",dFlt1,critFlt1,dFlt2,critFlt2,dFlt3,critFlt3))</f>
        <v/>
      </c>
      <c r="D1540" t="str">
        <f>IF($B1540="","",SUMIFS(dAmt,dCust,$B1540,dPer,"&gt;="&amp;cyFrom,dPer,"&lt;="&amp;cyTo,dAmt,"&gt;-1E+300",dFlt1,critFlt1,dFlt2,critFlt2,dFlt3,critFlt3))</f>
        <v/>
      </c>
      <c r="E1540" t="str">
        <f>IF($B1540="","",SUMIFS(dQty,dCust,$B1540,dPer,"&gt;="&amp;pyFrom,dPer,"&lt;="&amp;pyTo,dQty,"&gt;-1E+300",dFlt1,critFlt1,dFlt2,critFlt2,dFlt3,critFlt3))</f>
        <v/>
      </c>
      <c r="F1540" t="str">
        <f>IF($B1540="","",SUMIFS(dQty,dCust,$B1540,dPer,"&gt;="&amp;cyFrom,dPer,"&lt;="&amp;cyTo,dQty,"&gt;-1E+300",dFlt1,critFlt1,dFlt2,critFlt2,dFlt3,critFlt3))</f>
        <v/>
      </c>
      <c r="G1540">
        <f>IF($B1540="",0,IFERROR(IF(OR(C1540&lt;&gt;0,D1540&lt;&gt;0,E1540&lt;&gt;0,F1540&lt;&gt;0),1,0),1))</f>
        <v>0</v>
      </c>
      <c r="H1540" t="str">
        <f>IF(OR(G1540=0,E1540=0),"",C1540/E1540)</f>
        <v/>
      </c>
      <c r="I1540" t="str">
        <f>IF(OR(G1540=0,F1540=0),"",D1540/F1540)</f>
        <v/>
      </c>
      <c r="J1540" t="str">
        <f>IF(OR(H1540="",I1540=""),"",IF(H1540=0,"",I1540/H1540-1))</f>
        <v/>
      </c>
      <c r="K1540" t="str">
        <f>IF($B1540="","",IFERROR(IF(G1540=0,-2E+300,CHOOSE(sortIdx,ROUND(D1540,0),IF(J1540="",-1E+300,ROUND(-J1540,6)),IF(J1540="",-1E+300,ROUND(J1540,6)))),-1.5E+300))</f>
        <v/>
      </c>
      <c r="L1540" t="str">
        <f>IF(K1540="","",RANK(K1540,$K$2:$K$3001,0)+COUNTIF($K$2:K1540,K1540)-1)</f>
        <v/>
      </c>
    </row>
    <row r="1541">
      <c r="B1541" t="str">
        <f>IFERROR(IF(A1541="","","="&amp;SUBSTITUTE(SUBSTITUTE(SUBSTITUTE(A1541,"~","~~"),"*","~*"),"?","~?")),"")</f>
        <v/>
      </c>
      <c r="C1541" t="str">
        <f>IF($B1541="","",SUMIFS(dAmt,dCust,$B1541,dPer,"&gt;="&amp;pyFrom,dPer,"&lt;="&amp;pyTo,dAmt,"&gt;-1E+300",dFlt1,critFlt1,dFlt2,critFlt2,dFlt3,critFlt3))</f>
        <v/>
      </c>
      <c r="D1541" t="str">
        <f>IF($B1541="","",SUMIFS(dAmt,dCust,$B1541,dPer,"&gt;="&amp;cyFrom,dPer,"&lt;="&amp;cyTo,dAmt,"&gt;-1E+300",dFlt1,critFlt1,dFlt2,critFlt2,dFlt3,critFlt3))</f>
        <v/>
      </c>
      <c r="E1541" t="str">
        <f>IF($B1541="","",SUMIFS(dQty,dCust,$B1541,dPer,"&gt;="&amp;pyFrom,dPer,"&lt;="&amp;pyTo,dQty,"&gt;-1E+300",dFlt1,critFlt1,dFlt2,critFlt2,dFlt3,critFlt3))</f>
        <v/>
      </c>
      <c r="F1541" t="str">
        <f>IF($B1541="","",SUMIFS(dQty,dCust,$B1541,dPer,"&gt;="&amp;cyFrom,dPer,"&lt;="&amp;cyTo,dQty,"&gt;-1E+300",dFlt1,critFlt1,dFlt2,critFlt2,dFlt3,critFlt3))</f>
        <v/>
      </c>
      <c r="G1541">
        <f>IF($B1541="",0,IFERROR(IF(OR(C1541&lt;&gt;0,D1541&lt;&gt;0,E1541&lt;&gt;0,F1541&lt;&gt;0),1,0),1))</f>
        <v>0</v>
      </c>
      <c r="H1541" t="str">
        <f>IF(OR(G1541=0,E1541=0),"",C1541/E1541)</f>
        <v/>
      </c>
      <c r="I1541" t="str">
        <f>IF(OR(G1541=0,F1541=0),"",D1541/F1541)</f>
        <v/>
      </c>
      <c r="J1541" t="str">
        <f>IF(OR(H1541="",I1541=""),"",IF(H1541=0,"",I1541/H1541-1))</f>
        <v/>
      </c>
      <c r="K1541" t="str">
        <f>IF($B1541="","",IFERROR(IF(G1541=0,-2E+300,CHOOSE(sortIdx,ROUND(D1541,0),IF(J1541="",-1E+300,ROUND(-J1541,6)),IF(J1541="",-1E+300,ROUND(J1541,6)))),-1.5E+300))</f>
        <v/>
      </c>
      <c r="L1541" t="str">
        <f>IF(K1541="","",RANK(K1541,$K$2:$K$3001,0)+COUNTIF($K$2:K1541,K1541)-1)</f>
        <v/>
      </c>
    </row>
    <row r="1542">
      <c r="B1542" t="str">
        <f>IFERROR(IF(A1542="","","="&amp;SUBSTITUTE(SUBSTITUTE(SUBSTITUTE(A1542,"~","~~"),"*","~*"),"?","~?")),"")</f>
        <v/>
      </c>
      <c r="C1542" t="str">
        <f>IF($B1542="","",SUMIFS(dAmt,dCust,$B1542,dPer,"&gt;="&amp;pyFrom,dPer,"&lt;="&amp;pyTo,dAmt,"&gt;-1E+300",dFlt1,critFlt1,dFlt2,critFlt2,dFlt3,critFlt3))</f>
        <v/>
      </c>
      <c r="D1542" t="str">
        <f>IF($B1542="","",SUMIFS(dAmt,dCust,$B1542,dPer,"&gt;="&amp;cyFrom,dPer,"&lt;="&amp;cyTo,dAmt,"&gt;-1E+300",dFlt1,critFlt1,dFlt2,critFlt2,dFlt3,critFlt3))</f>
        <v/>
      </c>
      <c r="E1542" t="str">
        <f>IF($B1542="","",SUMIFS(dQty,dCust,$B1542,dPer,"&gt;="&amp;pyFrom,dPer,"&lt;="&amp;pyTo,dQty,"&gt;-1E+300",dFlt1,critFlt1,dFlt2,critFlt2,dFlt3,critFlt3))</f>
        <v/>
      </c>
      <c r="F1542" t="str">
        <f>IF($B1542="","",SUMIFS(dQty,dCust,$B1542,dPer,"&gt;="&amp;cyFrom,dPer,"&lt;="&amp;cyTo,dQty,"&gt;-1E+300",dFlt1,critFlt1,dFlt2,critFlt2,dFlt3,critFlt3))</f>
        <v/>
      </c>
      <c r="G1542">
        <f>IF($B1542="",0,IFERROR(IF(OR(C1542&lt;&gt;0,D1542&lt;&gt;0,E1542&lt;&gt;0,F1542&lt;&gt;0),1,0),1))</f>
        <v>0</v>
      </c>
      <c r="H1542" t="str">
        <f>IF(OR(G1542=0,E1542=0),"",C1542/E1542)</f>
        <v/>
      </c>
      <c r="I1542" t="str">
        <f>IF(OR(G1542=0,F1542=0),"",D1542/F1542)</f>
        <v/>
      </c>
      <c r="J1542" t="str">
        <f>IF(OR(H1542="",I1542=""),"",IF(H1542=0,"",I1542/H1542-1))</f>
        <v/>
      </c>
      <c r="K1542" t="str">
        <f>IF($B1542="","",IFERROR(IF(G1542=0,-2E+300,CHOOSE(sortIdx,ROUND(D1542,0),IF(J1542="",-1E+300,ROUND(-J1542,6)),IF(J1542="",-1E+300,ROUND(J1542,6)))),-1.5E+300))</f>
        <v/>
      </c>
      <c r="L1542" t="str">
        <f>IF(K1542="","",RANK(K1542,$K$2:$K$3001,0)+COUNTIF($K$2:K1542,K1542)-1)</f>
        <v/>
      </c>
    </row>
    <row r="1543">
      <c r="B1543" t="str">
        <f>IFERROR(IF(A1543="","","="&amp;SUBSTITUTE(SUBSTITUTE(SUBSTITUTE(A1543,"~","~~"),"*","~*"),"?","~?")),"")</f>
        <v/>
      </c>
      <c r="C1543" t="str">
        <f>IF($B1543="","",SUMIFS(dAmt,dCust,$B1543,dPer,"&gt;="&amp;pyFrom,dPer,"&lt;="&amp;pyTo,dAmt,"&gt;-1E+300",dFlt1,critFlt1,dFlt2,critFlt2,dFlt3,critFlt3))</f>
        <v/>
      </c>
      <c r="D1543" t="str">
        <f>IF($B1543="","",SUMIFS(dAmt,dCust,$B1543,dPer,"&gt;="&amp;cyFrom,dPer,"&lt;="&amp;cyTo,dAmt,"&gt;-1E+300",dFlt1,critFlt1,dFlt2,critFlt2,dFlt3,critFlt3))</f>
        <v/>
      </c>
      <c r="E1543" t="str">
        <f>IF($B1543="","",SUMIFS(dQty,dCust,$B1543,dPer,"&gt;="&amp;pyFrom,dPer,"&lt;="&amp;pyTo,dQty,"&gt;-1E+300",dFlt1,critFlt1,dFlt2,critFlt2,dFlt3,critFlt3))</f>
        <v/>
      </c>
      <c r="F1543" t="str">
        <f>IF($B1543="","",SUMIFS(dQty,dCust,$B1543,dPer,"&gt;="&amp;cyFrom,dPer,"&lt;="&amp;cyTo,dQty,"&gt;-1E+300",dFlt1,critFlt1,dFlt2,critFlt2,dFlt3,critFlt3))</f>
        <v/>
      </c>
      <c r="G1543">
        <f>IF($B1543="",0,IFERROR(IF(OR(C1543&lt;&gt;0,D1543&lt;&gt;0,E1543&lt;&gt;0,F1543&lt;&gt;0),1,0),1))</f>
        <v>0</v>
      </c>
      <c r="H1543" t="str">
        <f>IF(OR(G1543=0,E1543=0),"",C1543/E1543)</f>
        <v/>
      </c>
      <c r="I1543" t="str">
        <f>IF(OR(G1543=0,F1543=0),"",D1543/F1543)</f>
        <v/>
      </c>
      <c r="J1543" t="str">
        <f>IF(OR(H1543="",I1543=""),"",IF(H1543=0,"",I1543/H1543-1))</f>
        <v/>
      </c>
      <c r="K1543" t="str">
        <f>IF($B1543="","",IFERROR(IF(G1543=0,-2E+300,CHOOSE(sortIdx,ROUND(D1543,0),IF(J1543="",-1E+300,ROUND(-J1543,6)),IF(J1543="",-1E+300,ROUND(J1543,6)))),-1.5E+300))</f>
        <v/>
      </c>
      <c r="L1543" t="str">
        <f>IF(K1543="","",RANK(K1543,$K$2:$K$3001,0)+COUNTIF($K$2:K1543,K1543)-1)</f>
        <v/>
      </c>
    </row>
    <row r="1544">
      <c r="B1544" t="str">
        <f>IFERROR(IF(A1544="","","="&amp;SUBSTITUTE(SUBSTITUTE(SUBSTITUTE(A1544,"~","~~"),"*","~*"),"?","~?")),"")</f>
        <v/>
      </c>
      <c r="C1544" t="str">
        <f>IF($B1544="","",SUMIFS(dAmt,dCust,$B1544,dPer,"&gt;="&amp;pyFrom,dPer,"&lt;="&amp;pyTo,dAmt,"&gt;-1E+300",dFlt1,critFlt1,dFlt2,critFlt2,dFlt3,critFlt3))</f>
        <v/>
      </c>
      <c r="D1544" t="str">
        <f>IF($B1544="","",SUMIFS(dAmt,dCust,$B1544,dPer,"&gt;="&amp;cyFrom,dPer,"&lt;="&amp;cyTo,dAmt,"&gt;-1E+300",dFlt1,critFlt1,dFlt2,critFlt2,dFlt3,critFlt3))</f>
        <v/>
      </c>
      <c r="E1544" t="str">
        <f>IF($B1544="","",SUMIFS(dQty,dCust,$B1544,dPer,"&gt;="&amp;pyFrom,dPer,"&lt;="&amp;pyTo,dQty,"&gt;-1E+300",dFlt1,critFlt1,dFlt2,critFlt2,dFlt3,critFlt3))</f>
        <v/>
      </c>
      <c r="F1544" t="str">
        <f>IF($B1544="","",SUMIFS(dQty,dCust,$B1544,dPer,"&gt;="&amp;cyFrom,dPer,"&lt;="&amp;cyTo,dQty,"&gt;-1E+300",dFlt1,critFlt1,dFlt2,critFlt2,dFlt3,critFlt3))</f>
        <v/>
      </c>
      <c r="G1544">
        <f>IF($B1544="",0,IFERROR(IF(OR(C1544&lt;&gt;0,D1544&lt;&gt;0,E1544&lt;&gt;0,F1544&lt;&gt;0),1,0),1))</f>
        <v>0</v>
      </c>
      <c r="H1544" t="str">
        <f>IF(OR(G1544=0,E1544=0),"",C1544/E1544)</f>
        <v/>
      </c>
      <c r="I1544" t="str">
        <f>IF(OR(G1544=0,F1544=0),"",D1544/F1544)</f>
        <v/>
      </c>
      <c r="J1544" t="str">
        <f>IF(OR(H1544="",I1544=""),"",IF(H1544=0,"",I1544/H1544-1))</f>
        <v/>
      </c>
      <c r="K1544" t="str">
        <f>IF($B1544="","",IFERROR(IF(G1544=0,-2E+300,CHOOSE(sortIdx,ROUND(D1544,0),IF(J1544="",-1E+300,ROUND(-J1544,6)),IF(J1544="",-1E+300,ROUND(J1544,6)))),-1.5E+300))</f>
        <v/>
      </c>
      <c r="L1544" t="str">
        <f>IF(K1544="","",RANK(K1544,$K$2:$K$3001,0)+COUNTIF($K$2:K1544,K1544)-1)</f>
        <v/>
      </c>
    </row>
    <row r="1545">
      <c r="B1545" t="str">
        <f>IFERROR(IF(A1545="","","="&amp;SUBSTITUTE(SUBSTITUTE(SUBSTITUTE(A1545,"~","~~"),"*","~*"),"?","~?")),"")</f>
        <v/>
      </c>
      <c r="C1545" t="str">
        <f>IF($B1545="","",SUMIFS(dAmt,dCust,$B1545,dPer,"&gt;="&amp;pyFrom,dPer,"&lt;="&amp;pyTo,dAmt,"&gt;-1E+300",dFlt1,critFlt1,dFlt2,critFlt2,dFlt3,critFlt3))</f>
        <v/>
      </c>
      <c r="D1545" t="str">
        <f>IF($B1545="","",SUMIFS(dAmt,dCust,$B1545,dPer,"&gt;="&amp;cyFrom,dPer,"&lt;="&amp;cyTo,dAmt,"&gt;-1E+300",dFlt1,critFlt1,dFlt2,critFlt2,dFlt3,critFlt3))</f>
        <v/>
      </c>
      <c r="E1545" t="str">
        <f>IF($B1545="","",SUMIFS(dQty,dCust,$B1545,dPer,"&gt;="&amp;pyFrom,dPer,"&lt;="&amp;pyTo,dQty,"&gt;-1E+300",dFlt1,critFlt1,dFlt2,critFlt2,dFlt3,critFlt3))</f>
        <v/>
      </c>
      <c r="F1545" t="str">
        <f>IF($B1545="","",SUMIFS(dQty,dCust,$B1545,dPer,"&gt;="&amp;cyFrom,dPer,"&lt;="&amp;cyTo,dQty,"&gt;-1E+300",dFlt1,critFlt1,dFlt2,critFlt2,dFlt3,critFlt3))</f>
        <v/>
      </c>
      <c r="G1545">
        <f>IF($B1545="",0,IFERROR(IF(OR(C1545&lt;&gt;0,D1545&lt;&gt;0,E1545&lt;&gt;0,F1545&lt;&gt;0),1,0),1))</f>
        <v>0</v>
      </c>
      <c r="H1545" t="str">
        <f>IF(OR(G1545=0,E1545=0),"",C1545/E1545)</f>
        <v/>
      </c>
      <c r="I1545" t="str">
        <f>IF(OR(G1545=0,F1545=0),"",D1545/F1545)</f>
        <v/>
      </c>
      <c r="J1545" t="str">
        <f>IF(OR(H1545="",I1545=""),"",IF(H1545=0,"",I1545/H1545-1))</f>
        <v/>
      </c>
      <c r="K1545" t="str">
        <f>IF($B1545="","",IFERROR(IF(G1545=0,-2E+300,CHOOSE(sortIdx,ROUND(D1545,0),IF(J1545="",-1E+300,ROUND(-J1545,6)),IF(J1545="",-1E+300,ROUND(J1545,6)))),-1.5E+300))</f>
        <v/>
      </c>
      <c r="L1545" t="str">
        <f>IF(K1545="","",RANK(K1545,$K$2:$K$3001,0)+COUNTIF($K$2:K1545,K1545)-1)</f>
        <v/>
      </c>
    </row>
    <row r="1546">
      <c r="B1546" t="str">
        <f>IFERROR(IF(A1546="","","="&amp;SUBSTITUTE(SUBSTITUTE(SUBSTITUTE(A1546,"~","~~"),"*","~*"),"?","~?")),"")</f>
        <v/>
      </c>
      <c r="C1546" t="str">
        <f>IF($B1546="","",SUMIFS(dAmt,dCust,$B1546,dPer,"&gt;="&amp;pyFrom,dPer,"&lt;="&amp;pyTo,dAmt,"&gt;-1E+300",dFlt1,critFlt1,dFlt2,critFlt2,dFlt3,critFlt3))</f>
        <v/>
      </c>
      <c r="D1546" t="str">
        <f>IF($B1546="","",SUMIFS(dAmt,dCust,$B1546,dPer,"&gt;="&amp;cyFrom,dPer,"&lt;="&amp;cyTo,dAmt,"&gt;-1E+300",dFlt1,critFlt1,dFlt2,critFlt2,dFlt3,critFlt3))</f>
        <v/>
      </c>
      <c r="E1546" t="str">
        <f>IF($B1546="","",SUMIFS(dQty,dCust,$B1546,dPer,"&gt;="&amp;pyFrom,dPer,"&lt;="&amp;pyTo,dQty,"&gt;-1E+300",dFlt1,critFlt1,dFlt2,critFlt2,dFlt3,critFlt3))</f>
        <v/>
      </c>
      <c r="F1546" t="str">
        <f>IF($B1546="","",SUMIFS(dQty,dCust,$B1546,dPer,"&gt;="&amp;cyFrom,dPer,"&lt;="&amp;cyTo,dQty,"&gt;-1E+300",dFlt1,critFlt1,dFlt2,critFlt2,dFlt3,critFlt3))</f>
        <v/>
      </c>
      <c r="G1546">
        <f>IF($B1546="",0,IFERROR(IF(OR(C1546&lt;&gt;0,D1546&lt;&gt;0,E1546&lt;&gt;0,F1546&lt;&gt;0),1,0),1))</f>
        <v>0</v>
      </c>
      <c r="H1546" t="str">
        <f>IF(OR(G1546=0,E1546=0),"",C1546/E1546)</f>
        <v/>
      </c>
      <c r="I1546" t="str">
        <f>IF(OR(G1546=0,F1546=0),"",D1546/F1546)</f>
        <v/>
      </c>
      <c r="J1546" t="str">
        <f>IF(OR(H1546="",I1546=""),"",IF(H1546=0,"",I1546/H1546-1))</f>
        <v/>
      </c>
      <c r="K1546" t="str">
        <f>IF($B1546="","",IFERROR(IF(G1546=0,-2E+300,CHOOSE(sortIdx,ROUND(D1546,0),IF(J1546="",-1E+300,ROUND(-J1546,6)),IF(J1546="",-1E+300,ROUND(J1546,6)))),-1.5E+300))</f>
        <v/>
      </c>
      <c r="L1546" t="str">
        <f>IF(K1546="","",RANK(K1546,$K$2:$K$3001,0)+COUNTIF($K$2:K1546,K1546)-1)</f>
        <v/>
      </c>
    </row>
    <row r="1547">
      <c r="B1547" t="str">
        <f>IFERROR(IF(A1547="","","="&amp;SUBSTITUTE(SUBSTITUTE(SUBSTITUTE(A1547,"~","~~"),"*","~*"),"?","~?")),"")</f>
        <v/>
      </c>
      <c r="C1547" t="str">
        <f>IF($B1547="","",SUMIFS(dAmt,dCust,$B1547,dPer,"&gt;="&amp;pyFrom,dPer,"&lt;="&amp;pyTo,dAmt,"&gt;-1E+300",dFlt1,critFlt1,dFlt2,critFlt2,dFlt3,critFlt3))</f>
        <v/>
      </c>
      <c r="D1547" t="str">
        <f>IF($B1547="","",SUMIFS(dAmt,dCust,$B1547,dPer,"&gt;="&amp;cyFrom,dPer,"&lt;="&amp;cyTo,dAmt,"&gt;-1E+300",dFlt1,critFlt1,dFlt2,critFlt2,dFlt3,critFlt3))</f>
        <v/>
      </c>
      <c r="E1547" t="str">
        <f>IF($B1547="","",SUMIFS(dQty,dCust,$B1547,dPer,"&gt;="&amp;pyFrom,dPer,"&lt;="&amp;pyTo,dQty,"&gt;-1E+300",dFlt1,critFlt1,dFlt2,critFlt2,dFlt3,critFlt3))</f>
        <v/>
      </c>
      <c r="F1547" t="str">
        <f>IF($B1547="","",SUMIFS(dQty,dCust,$B1547,dPer,"&gt;="&amp;cyFrom,dPer,"&lt;="&amp;cyTo,dQty,"&gt;-1E+300",dFlt1,critFlt1,dFlt2,critFlt2,dFlt3,critFlt3))</f>
        <v/>
      </c>
      <c r="G1547">
        <f>IF($B1547="",0,IFERROR(IF(OR(C1547&lt;&gt;0,D1547&lt;&gt;0,E1547&lt;&gt;0,F1547&lt;&gt;0),1,0),1))</f>
        <v>0</v>
      </c>
      <c r="H1547" t="str">
        <f>IF(OR(G1547=0,E1547=0),"",C1547/E1547)</f>
        <v/>
      </c>
      <c r="I1547" t="str">
        <f>IF(OR(G1547=0,F1547=0),"",D1547/F1547)</f>
        <v/>
      </c>
      <c r="J1547" t="str">
        <f>IF(OR(H1547="",I1547=""),"",IF(H1547=0,"",I1547/H1547-1))</f>
        <v/>
      </c>
      <c r="K1547" t="str">
        <f>IF($B1547="","",IFERROR(IF(G1547=0,-2E+300,CHOOSE(sortIdx,ROUND(D1547,0),IF(J1547="",-1E+300,ROUND(-J1547,6)),IF(J1547="",-1E+300,ROUND(J1547,6)))),-1.5E+300))</f>
        <v/>
      </c>
      <c r="L1547" t="str">
        <f>IF(K1547="","",RANK(K1547,$K$2:$K$3001,0)+COUNTIF($K$2:K1547,K1547)-1)</f>
        <v/>
      </c>
    </row>
    <row r="1548">
      <c r="B1548" t="str">
        <f>IFERROR(IF(A1548="","","="&amp;SUBSTITUTE(SUBSTITUTE(SUBSTITUTE(A1548,"~","~~"),"*","~*"),"?","~?")),"")</f>
        <v/>
      </c>
      <c r="C1548" t="str">
        <f>IF($B1548="","",SUMIFS(dAmt,dCust,$B1548,dPer,"&gt;="&amp;pyFrom,dPer,"&lt;="&amp;pyTo,dAmt,"&gt;-1E+300",dFlt1,critFlt1,dFlt2,critFlt2,dFlt3,critFlt3))</f>
        <v/>
      </c>
      <c r="D1548" t="str">
        <f>IF($B1548="","",SUMIFS(dAmt,dCust,$B1548,dPer,"&gt;="&amp;cyFrom,dPer,"&lt;="&amp;cyTo,dAmt,"&gt;-1E+300",dFlt1,critFlt1,dFlt2,critFlt2,dFlt3,critFlt3))</f>
        <v/>
      </c>
      <c r="E1548" t="str">
        <f>IF($B1548="","",SUMIFS(dQty,dCust,$B1548,dPer,"&gt;="&amp;pyFrom,dPer,"&lt;="&amp;pyTo,dQty,"&gt;-1E+300",dFlt1,critFlt1,dFlt2,critFlt2,dFlt3,critFlt3))</f>
        <v/>
      </c>
      <c r="F1548" t="str">
        <f>IF($B1548="","",SUMIFS(dQty,dCust,$B1548,dPer,"&gt;="&amp;cyFrom,dPer,"&lt;="&amp;cyTo,dQty,"&gt;-1E+300",dFlt1,critFlt1,dFlt2,critFlt2,dFlt3,critFlt3))</f>
        <v/>
      </c>
      <c r="G1548">
        <f>IF($B1548="",0,IFERROR(IF(OR(C1548&lt;&gt;0,D1548&lt;&gt;0,E1548&lt;&gt;0,F1548&lt;&gt;0),1,0),1))</f>
        <v>0</v>
      </c>
      <c r="H1548" t="str">
        <f>IF(OR(G1548=0,E1548=0),"",C1548/E1548)</f>
        <v/>
      </c>
      <c r="I1548" t="str">
        <f>IF(OR(G1548=0,F1548=0),"",D1548/F1548)</f>
        <v/>
      </c>
      <c r="J1548" t="str">
        <f>IF(OR(H1548="",I1548=""),"",IF(H1548=0,"",I1548/H1548-1))</f>
        <v/>
      </c>
      <c r="K1548" t="str">
        <f>IF($B1548="","",IFERROR(IF(G1548=0,-2E+300,CHOOSE(sortIdx,ROUND(D1548,0),IF(J1548="",-1E+300,ROUND(-J1548,6)),IF(J1548="",-1E+300,ROUND(J1548,6)))),-1.5E+300))</f>
        <v/>
      </c>
      <c r="L1548" t="str">
        <f>IF(K1548="","",RANK(K1548,$K$2:$K$3001,0)+COUNTIF($K$2:K1548,K1548)-1)</f>
        <v/>
      </c>
    </row>
    <row r="1549">
      <c r="B1549" t="str">
        <f>IFERROR(IF(A1549="","","="&amp;SUBSTITUTE(SUBSTITUTE(SUBSTITUTE(A1549,"~","~~"),"*","~*"),"?","~?")),"")</f>
        <v/>
      </c>
      <c r="C1549" t="str">
        <f>IF($B1549="","",SUMIFS(dAmt,dCust,$B1549,dPer,"&gt;="&amp;pyFrom,dPer,"&lt;="&amp;pyTo,dAmt,"&gt;-1E+300",dFlt1,critFlt1,dFlt2,critFlt2,dFlt3,critFlt3))</f>
        <v/>
      </c>
      <c r="D1549" t="str">
        <f>IF($B1549="","",SUMIFS(dAmt,dCust,$B1549,dPer,"&gt;="&amp;cyFrom,dPer,"&lt;="&amp;cyTo,dAmt,"&gt;-1E+300",dFlt1,critFlt1,dFlt2,critFlt2,dFlt3,critFlt3))</f>
        <v/>
      </c>
      <c r="E1549" t="str">
        <f>IF($B1549="","",SUMIFS(dQty,dCust,$B1549,dPer,"&gt;="&amp;pyFrom,dPer,"&lt;="&amp;pyTo,dQty,"&gt;-1E+300",dFlt1,critFlt1,dFlt2,critFlt2,dFlt3,critFlt3))</f>
        <v/>
      </c>
      <c r="F1549" t="str">
        <f>IF($B1549="","",SUMIFS(dQty,dCust,$B1549,dPer,"&gt;="&amp;cyFrom,dPer,"&lt;="&amp;cyTo,dQty,"&gt;-1E+300",dFlt1,critFlt1,dFlt2,critFlt2,dFlt3,critFlt3))</f>
        <v/>
      </c>
      <c r="G1549">
        <f>IF($B1549="",0,IFERROR(IF(OR(C1549&lt;&gt;0,D1549&lt;&gt;0,E1549&lt;&gt;0,F1549&lt;&gt;0),1,0),1))</f>
        <v>0</v>
      </c>
      <c r="H1549" t="str">
        <f>IF(OR(G1549=0,E1549=0),"",C1549/E1549)</f>
        <v/>
      </c>
      <c r="I1549" t="str">
        <f>IF(OR(G1549=0,F1549=0),"",D1549/F1549)</f>
        <v/>
      </c>
      <c r="J1549" t="str">
        <f>IF(OR(H1549="",I1549=""),"",IF(H1549=0,"",I1549/H1549-1))</f>
        <v/>
      </c>
      <c r="K1549" t="str">
        <f>IF($B1549="","",IFERROR(IF(G1549=0,-2E+300,CHOOSE(sortIdx,ROUND(D1549,0),IF(J1549="",-1E+300,ROUND(-J1549,6)),IF(J1549="",-1E+300,ROUND(J1549,6)))),-1.5E+300))</f>
        <v/>
      </c>
      <c r="L1549" t="str">
        <f>IF(K1549="","",RANK(K1549,$K$2:$K$3001,0)+COUNTIF($K$2:K1549,K1549)-1)</f>
        <v/>
      </c>
    </row>
    <row r="1550">
      <c r="B1550" t="str">
        <f>IFERROR(IF(A1550="","","="&amp;SUBSTITUTE(SUBSTITUTE(SUBSTITUTE(A1550,"~","~~"),"*","~*"),"?","~?")),"")</f>
        <v/>
      </c>
      <c r="C1550" t="str">
        <f>IF($B1550="","",SUMIFS(dAmt,dCust,$B1550,dPer,"&gt;="&amp;pyFrom,dPer,"&lt;="&amp;pyTo,dAmt,"&gt;-1E+300",dFlt1,critFlt1,dFlt2,critFlt2,dFlt3,critFlt3))</f>
        <v/>
      </c>
      <c r="D1550" t="str">
        <f>IF($B1550="","",SUMIFS(dAmt,dCust,$B1550,dPer,"&gt;="&amp;cyFrom,dPer,"&lt;="&amp;cyTo,dAmt,"&gt;-1E+300",dFlt1,critFlt1,dFlt2,critFlt2,dFlt3,critFlt3))</f>
        <v/>
      </c>
      <c r="E1550" t="str">
        <f>IF($B1550="","",SUMIFS(dQty,dCust,$B1550,dPer,"&gt;="&amp;pyFrom,dPer,"&lt;="&amp;pyTo,dQty,"&gt;-1E+300",dFlt1,critFlt1,dFlt2,critFlt2,dFlt3,critFlt3))</f>
        <v/>
      </c>
      <c r="F1550" t="str">
        <f>IF($B1550="","",SUMIFS(dQty,dCust,$B1550,dPer,"&gt;="&amp;cyFrom,dPer,"&lt;="&amp;cyTo,dQty,"&gt;-1E+300",dFlt1,critFlt1,dFlt2,critFlt2,dFlt3,critFlt3))</f>
        <v/>
      </c>
      <c r="G1550">
        <f>IF($B1550="",0,IFERROR(IF(OR(C1550&lt;&gt;0,D1550&lt;&gt;0,E1550&lt;&gt;0,F1550&lt;&gt;0),1,0),1))</f>
        <v>0</v>
      </c>
      <c r="H1550" t="str">
        <f>IF(OR(G1550=0,E1550=0),"",C1550/E1550)</f>
        <v/>
      </c>
      <c r="I1550" t="str">
        <f>IF(OR(G1550=0,F1550=0),"",D1550/F1550)</f>
        <v/>
      </c>
      <c r="J1550" t="str">
        <f>IF(OR(H1550="",I1550=""),"",IF(H1550=0,"",I1550/H1550-1))</f>
        <v/>
      </c>
      <c r="K1550" t="str">
        <f>IF($B1550="","",IFERROR(IF(G1550=0,-2E+300,CHOOSE(sortIdx,ROUND(D1550,0),IF(J1550="",-1E+300,ROUND(-J1550,6)),IF(J1550="",-1E+300,ROUND(J1550,6)))),-1.5E+300))</f>
        <v/>
      </c>
      <c r="L1550" t="str">
        <f>IF(K1550="","",RANK(K1550,$K$2:$K$3001,0)+COUNTIF($K$2:K1550,K1550)-1)</f>
        <v/>
      </c>
    </row>
    <row r="1551">
      <c r="B1551" t="str">
        <f>IFERROR(IF(A1551="","","="&amp;SUBSTITUTE(SUBSTITUTE(SUBSTITUTE(A1551,"~","~~"),"*","~*"),"?","~?")),"")</f>
        <v/>
      </c>
      <c r="C1551" t="str">
        <f>IF($B1551="","",SUMIFS(dAmt,dCust,$B1551,dPer,"&gt;="&amp;pyFrom,dPer,"&lt;="&amp;pyTo,dAmt,"&gt;-1E+300",dFlt1,critFlt1,dFlt2,critFlt2,dFlt3,critFlt3))</f>
        <v/>
      </c>
      <c r="D1551" t="str">
        <f>IF($B1551="","",SUMIFS(dAmt,dCust,$B1551,dPer,"&gt;="&amp;cyFrom,dPer,"&lt;="&amp;cyTo,dAmt,"&gt;-1E+300",dFlt1,critFlt1,dFlt2,critFlt2,dFlt3,critFlt3))</f>
        <v/>
      </c>
      <c r="E1551" t="str">
        <f>IF($B1551="","",SUMIFS(dQty,dCust,$B1551,dPer,"&gt;="&amp;pyFrom,dPer,"&lt;="&amp;pyTo,dQty,"&gt;-1E+300",dFlt1,critFlt1,dFlt2,critFlt2,dFlt3,critFlt3))</f>
        <v/>
      </c>
      <c r="F1551" t="str">
        <f>IF($B1551="","",SUMIFS(dQty,dCust,$B1551,dPer,"&gt;="&amp;cyFrom,dPer,"&lt;="&amp;cyTo,dQty,"&gt;-1E+300",dFlt1,critFlt1,dFlt2,critFlt2,dFlt3,critFlt3))</f>
        <v/>
      </c>
      <c r="G1551">
        <f>IF($B1551="",0,IFERROR(IF(OR(C1551&lt;&gt;0,D1551&lt;&gt;0,E1551&lt;&gt;0,F1551&lt;&gt;0),1,0),1))</f>
        <v>0</v>
      </c>
      <c r="H1551" t="str">
        <f>IF(OR(G1551=0,E1551=0),"",C1551/E1551)</f>
        <v/>
      </c>
      <c r="I1551" t="str">
        <f>IF(OR(G1551=0,F1551=0),"",D1551/F1551)</f>
        <v/>
      </c>
      <c r="J1551" t="str">
        <f>IF(OR(H1551="",I1551=""),"",IF(H1551=0,"",I1551/H1551-1))</f>
        <v/>
      </c>
      <c r="K1551" t="str">
        <f>IF($B1551="","",IFERROR(IF(G1551=0,-2E+300,CHOOSE(sortIdx,ROUND(D1551,0),IF(J1551="",-1E+300,ROUND(-J1551,6)),IF(J1551="",-1E+300,ROUND(J1551,6)))),-1.5E+300))</f>
        <v/>
      </c>
      <c r="L1551" t="str">
        <f>IF(K1551="","",RANK(K1551,$K$2:$K$3001,0)+COUNTIF($K$2:K1551,K1551)-1)</f>
        <v/>
      </c>
    </row>
    <row r="1552">
      <c r="B1552" t="str">
        <f>IFERROR(IF(A1552="","","="&amp;SUBSTITUTE(SUBSTITUTE(SUBSTITUTE(A1552,"~","~~"),"*","~*"),"?","~?")),"")</f>
        <v/>
      </c>
      <c r="C1552" t="str">
        <f>IF($B1552="","",SUMIFS(dAmt,dCust,$B1552,dPer,"&gt;="&amp;pyFrom,dPer,"&lt;="&amp;pyTo,dAmt,"&gt;-1E+300",dFlt1,critFlt1,dFlt2,critFlt2,dFlt3,critFlt3))</f>
        <v/>
      </c>
      <c r="D1552" t="str">
        <f>IF($B1552="","",SUMIFS(dAmt,dCust,$B1552,dPer,"&gt;="&amp;cyFrom,dPer,"&lt;="&amp;cyTo,dAmt,"&gt;-1E+300",dFlt1,critFlt1,dFlt2,critFlt2,dFlt3,critFlt3))</f>
        <v/>
      </c>
      <c r="E1552" t="str">
        <f>IF($B1552="","",SUMIFS(dQty,dCust,$B1552,dPer,"&gt;="&amp;pyFrom,dPer,"&lt;="&amp;pyTo,dQty,"&gt;-1E+300",dFlt1,critFlt1,dFlt2,critFlt2,dFlt3,critFlt3))</f>
        <v/>
      </c>
      <c r="F1552" t="str">
        <f>IF($B1552="","",SUMIFS(dQty,dCust,$B1552,dPer,"&gt;="&amp;cyFrom,dPer,"&lt;="&amp;cyTo,dQty,"&gt;-1E+300",dFlt1,critFlt1,dFlt2,critFlt2,dFlt3,critFlt3))</f>
        <v/>
      </c>
      <c r="G1552">
        <f>IF($B1552="",0,IFERROR(IF(OR(C1552&lt;&gt;0,D1552&lt;&gt;0,E1552&lt;&gt;0,F1552&lt;&gt;0),1,0),1))</f>
        <v>0</v>
      </c>
      <c r="H1552" t="str">
        <f>IF(OR(G1552=0,E1552=0),"",C1552/E1552)</f>
        <v/>
      </c>
      <c r="I1552" t="str">
        <f>IF(OR(G1552=0,F1552=0),"",D1552/F1552)</f>
        <v/>
      </c>
      <c r="J1552" t="str">
        <f>IF(OR(H1552="",I1552=""),"",IF(H1552=0,"",I1552/H1552-1))</f>
        <v/>
      </c>
      <c r="K1552" t="str">
        <f>IF($B1552="","",IFERROR(IF(G1552=0,-2E+300,CHOOSE(sortIdx,ROUND(D1552,0),IF(J1552="",-1E+300,ROUND(-J1552,6)),IF(J1552="",-1E+300,ROUND(J1552,6)))),-1.5E+300))</f>
        <v/>
      </c>
      <c r="L1552" t="str">
        <f>IF(K1552="","",RANK(K1552,$K$2:$K$3001,0)+COUNTIF($K$2:K1552,K1552)-1)</f>
        <v/>
      </c>
    </row>
    <row r="1553">
      <c r="B1553" t="str">
        <f>IFERROR(IF(A1553="","","="&amp;SUBSTITUTE(SUBSTITUTE(SUBSTITUTE(A1553,"~","~~"),"*","~*"),"?","~?")),"")</f>
        <v/>
      </c>
      <c r="C1553" t="str">
        <f>IF($B1553="","",SUMIFS(dAmt,dCust,$B1553,dPer,"&gt;="&amp;pyFrom,dPer,"&lt;="&amp;pyTo,dAmt,"&gt;-1E+300",dFlt1,critFlt1,dFlt2,critFlt2,dFlt3,critFlt3))</f>
        <v/>
      </c>
      <c r="D1553" t="str">
        <f>IF($B1553="","",SUMIFS(dAmt,dCust,$B1553,dPer,"&gt;="&amp;cyFrom,dPer,"&lt;="&amp;cyTo,dAmt,"&gt;-1E+300",dFlt1,critFlt1,dFlt2,critFlt2,dFlt3,critFlt3))</f>
        <v/>
      </c>
      <c r="E1553" t="str">
        <f>IF($B1553="","",SUMIFS(dQty,dCust,$B1553,dPer,"&gt;="&amp;pyFrom,dPer,"&lt;="&amp;pyTo,dQty,"&gt;-1E+300",dFlt1,critFlt1,dFlt2,critFlt2,dFlt3,critFlt3))</f>
        <v/>
      </c>
      <c r="F1553" t="str">
        <f>IF($B1553="","",SUMIFS(dQty,dCust,$B1553,dPer,"&gt;="&amp;cyFrom,dPer,"&lt;="&amp;cyTo,dQty,"&gt;-1E+300",dFlt1,critFlt1,dFlt2,critFlt2,dFlt3,critFlt3))</f>
        <v/>
      </c>
      <c r="G1553">
        <f>IF($B1553="",0,IFERROR(IF(OR(C1553&lt;&gt;0,D1553&lt;&gt;0,E1553&lt;&gt;0,F1553&lt;&gt;0),1,0),1))</f>
        <v>0</v>
      </c>
      <c r="H1553" t="str">
        <f>IF(OR(G1553=0,E1553=0),"",C1553/E1553)</f>
        <v/>
      </c>
      <c r="I1553" t="str">
        <f>IF(OR(G1553=0,F1553=0),"",D1553/F1553)</f>
        <v/>
      </c>
      <c r="J1553" t="str">
        <f>IF(OR(H1553="",I1553=""),"",IF(H1553=0,"",I1553/H1553-1))</f>
        <v/>
      </c>
      <c r="K1553" t="str">
        <f>IF($B1553="","",IFERROR(IF(G1553=0,-2E+300,CHOOSE(sortIdx,ROUND(D1553,0),IF(J1553="",-1E+300,ROUND(-J1553,6)),IF(J1553="",-1E+300,ROUND(J1553,6)))),-1.5E+300))</f>
        <v/>
      </c>
      <c r="L1553" t="str">
        <f>IF(K1553="","",RANK(K1553,$K$2:$K$3001,0)+COUNTIF($K$2:K1553,K1553)-1)</f>
        <v/>
      </c>
    </row>
    <row r="1554">
      <c r="B1554" t="str">
        <f>IFERROR(IF(A1554="","","="&amp;SUBSTITUTE(SUBSTITUTE(SUBSTITUTE(A1554,"~","~~"),"*","~*"),"?","~?")),"")</f>
        <v/>
      </c>
      <c r="C1554" t="str">
        <f>IF($B1554="","",SUMIFS(dAmt,dCust,$B1554,dPer,"&gt;="&amp;pyFrom,dPer,"&lt;="&amp;pyTo,dAmt,"&gt;-1E+300",dFlt1,critFlt1,dFlt2,critFlt2,dFlt3,critFlt3))</f>
        <v/>
      </c>
      <c r="D1554" t="str">
        <f>IF($B1554="","",SUMIFS(dAmt,dCust,$B1554,dPer,"&gt;="&amp;cyFrom,dPer,"&lt;="&amp;cyTo,dAmt,"&gt;-1E+300",dFlt1,critFlt1,dFlt2,critFlt2,dFlt3,critFlt3))</f>
        <v/>
      </c>
      <c r="E1554" t="str">
        <f>IF($B1554="","",SUMIFS(dQty,dCust,$B1554,dPer,"&gt;="&amp;pyFrom,dPer,"&lt;="&amp;pyTo,dQty,"&gt;-1E+300",dFlt1,critFlt1,dFlt2,critFlt2,dFlt3,critFlt3))</f>
        <v/>
      </c>
      <c r="F1554" t="str">
        <f>IF($B1554="","",SUMIFS(dQty,dCust,$B1554,dPer,"&gt;="&amp;cyFrom,dPer,"&lt;="&amp;cyTo,dQty,"&gt;-1E+300",dFlt1,critFlt1,dFlt2,critFlt2,dFlt3,critFlt3))</f>
        <v/>
      </c>
      <c r="G1554">
        <f>IF($B1554="",0,IFERROR(IF(OR(C1554&lt;&gt;0,D1554&lt;&gt;0,E1554&lt;&gt;0,F1554&lt;&gt;0),1,0),1))</f>
        <v>0</v>
      </c>
      <c r="H1554" t="str">
        <f>IF(OR(G1554=0,E1554=0),"",C1554/E1554)</f>
        <v/>
      </c>
      <c r="I1554" t="str">
        <f>IF(OR(G1554=0,F1554=0),"",D1554/F1554)</f>
        <v/>
      </c>
      <c r="J1554" t="str">
        <f>IF(OR(H1554="",I1554=""),"",IF(H1554=0,"",I1554/H1554-1))</f>
        <v/>
      </c>
      <c r="K1554" t="str">
        <f>IF($B1554="","",IFERROR(IF(G1554=0,-2E+300,CHOOSE(sortIdx,ROUND(D1554,0),IF(J1554="",-1E+300,ROUND(-J1554,6)),IF(J1554="",-1E+300,ROUND(J1554,6)))),-1.5E+300))</f>
        <v/>
      </c>
      <c r="L1554" t="str">
        <f>IF(K1554="","",RANK(K1554,$K$2:$K$3001,0)+COUNTIF($K$2:K1554,K1554)-1)</f>
        <v/>
      </c>
    </row>
    <row r="1555">
      <c r="B1555" t="str">
        <f>IFERROR(IF(A1555="","","="&amp;SUBSTITUTE(SUBSTITUTE(SUBSTITUTE(A1555,"~","~~"),"*","~*"),"?","~?")),"")</f>
        <v/>
      </c>
      <c r="C1555" t="str">
        <f>IF($B1555="","",SUMIFS(dAmt,dCust,$B1555,dPer,"&gt;="&amp;pyFrom,dPer,"&lt;="&amp;pyTo,dAmt,"&gt;-1E+300",dFlt1,critFlt1,dFlt2,critFlt2,dFlt3,critFlt3))</f>
        <v/>
      </c>
      <c r="D1555" t="str">
        <f>IF($B1555="","",SUMIFS(dAmt,dCust,$B1555,dPer,"&gt;="&amp;cyFrom,dPer,"&lt;="&amp;cyTo,dAmt,"&gt;-1E+300",dFlt1,critFlt1,dFlt2,critFlt2,dFlt3,critFlt3))</f>
        <v/>
      </c>
      <c r="E1555" t="str">
        <f>IF($B1555="","",SUMIFS(dQty,dCust,$B1555,dPer,"&gt;="&amp;pyFrom,dPer,"&lt;="&amp;pyTo,dQty,"&gt;-1E+300",dFlt1,critFlt1,dFlt2,critFlt2,dFlt3,critFlt3))</f>
        <v/>
      </c>
      <c r="F1555" t="str">
        <f>IF($B1555="","",SUMIFS(dQty,dCust,$B1555,dPer,"&gt;="&amp;cyFrom,dPer,"&lt;="&amp;cyTo,dQty,"&gt;-1E+300",dFlt1,critFlt1,dFlt2,critFlt2,dFlt3,critFlt3))</f>
        <v/>
      </c>
      <c r="G1555">
        <f>IF($B1555="",0,IFERROR(IF(OR(C1555&lt;&gt;0,D1555&lt;&gt;0,E1555&lt;&gt;0,F1555&lt;&gt;0),1,0),1))</f>
        <v>0</v>
      </c>
      <c r="H1555" t="str">
        <f>IF(OR(G1555=0,E1555=0),"",C1555/E1555)</f>
        <v/>
      </c>
      <c r="I1555" t="str">
        <f>IF(OR(G1555=0,F1555=0),"",D1555/F1555)</f>
        <v/>
      </c>
      <c r="J1555" t="str">
        <f>IF(OR(H1555="",I1555=""),"",IF(H1555=0,"",I1555/H1555-1))</f>
        <v/>
      </c>
      <c r="K1555" t="str">
        <f>IF($B1555="","",IFERROR(IF(G1555=0,-2E+300,CHOOSE(sortIdx,ROUND(D1555,0),IF(J1555="",-1E+300,ROUND(-J1555,6)),IF(J1555="",-1E+300,ROUND(J1555,6)))),-1.5E+300))</f>
        <v/>
      </c>
      <c r="L1555" t="str">
        <f>IF(K1555="","",RANK(K1555,$K$2:$K$3001,0)+COUNTIF($K$2:K1555,K1555)-1)</f>
        <v/>
      </c>
    </row>
    <row r="1556">
      <c r="B1556" t="str">
        <f>IFERROR(IF(A1556="","","="&amp;SUBSTITUTE(SUBSTITUTE(SUBSTITUTE(A1556,"~","~~"),"*","~*"),"?","~?")),"")</f>
        <v/>
      </c>
      <c r="C1556" t="str">
        <f>IF($B1556="","",SUMIFS(dAmt,dCust,$B1556,dPer,"&gt;="&amp;pyFrom,dPer,"&lt;="&amp;pyTo,dAmt,"&gt;-1E+300",dFlt1,critFlt1,dFlt2,critFlt2,dFlt3,critFlt3))</f>
        <v/>
      </c>
      <c r="D1556" t="str">
        <f>IF($B1556="","",SUMIFS(dAmt,dCust,$B1556,dPer,"&gt;="&amp;cyFrom,dPer,"&lt;="&amp;cyTo,dAmt,"&gt;-1E+300",dFlt1,critFlt1,dFlt2,critFlt2,dFlt3,critFlt3))</f>
        <v/>
      </c>
      <c r="E1556" t="str">
        <f>IF($B1556="","",SUMIFS(dQty,dCust,$B1556,dPer,"&gt;="&amp;pyFrom,dPer,"&lt;="&amp;pyTo,dQty,"&gt;-1E+300",dFlt1,critFlt1,dFlt2,critFlt2,dFlt3,critFlt3))</f>
        <v/>
      </c>
      <c r="F1556" t="str">
        <f>IF($B1556="","",SUMIFS(dQty,dCust,$B1556,dPer,"&gt;="&amp;cyFrom,dPer,"&lt;="&amp;cyTo,dQty,"&gt;-1E+300",dFlt1,critFlt1,dFlt2,critFlt2,dFlt3,critFlt3))</f>
        <v/>
      </c>
      <c r="G1556">
        <f>IF($B1556="",0,IFERROR(IF(OR(C1556&lt;&gt;0,D1556&lt;&gt;0,E1556&lt;&gt;0,F1556&lt;&gt;0),1,0),1))</f>
        <v>0</v>
      </c>
      <c r="H1556" t="str">
        <f>IF(OR(G1556=0,E1556=0),"",C1556/E1556)</f>
        <v/>
      </c>
      <c r="I1556" t="str">
        <f>IF(OR(G1556=0,F1556=0),"",D1556/F1556)</f>
        <v/>
      </c>
      <c r="J1556" t="str">
        <f>IF(OR(H1556="",I1556=""),"",IF(H1556=0,"",I1556/H1556-1))</f>
        <v/>
      </c>
      <c r="K1556" t="str">
        <f>IF($B1556="","",IFERROR(IF(G1556=0,-2E+300,CHOOSE(sortIdx,ROUND(D1556,0),IF(J1556="",-1E+300,ROUND(-J1556,6)),IF(J1556="",-1E+300,ROUND(J1556,6)))),-1.5E+300))</f>
        <v/>
      </c>
      <c r="L1556" t="str">
        <f>IF(K1556="","",RANK(K1556,$K$2:$K$3001,0)+COUNTIF($K$2:K1556,K1556)-1)</f>
        <v/>
      </c>
    </row>
    <row r="1557">
      <c r="B1557" t="str">
        <f>IFERROR(IF(A1557="","","="&amp;SUBSTITUTE(SUBSTITUTE(SUBSTITUTE(A1557,"~","~~"),"*","~*"),"?","~?")),"")</f>
        <v/>
      </c>
      <c r="C1557" t="str">
        <f>IF($B1557="","",SUMIFS(dAmt,dCust,$B1557,dPer,"&gt;="&amp;pyFrom,dPer,"&lt;="&amp;pyTo,dAmt,"&gt;-1E+300",dFlt1,critFlt1,dFlt2,critFlt2,dFlt3,critFlt3))</f>
        <v/>
      </c>
      <c r="D1557" t="str">
        <f>IF($B1557="","",SUMIFS(dAmt,dCust,$B1557,dPer,"&gt;="&amp;cyFrom,dPer,"&lt;="&amp;cyTo,dAmt,"&gt;-1E+300",dFlt1,critFlt1,dFlt2,critFlt2,dFlt3,critFlt3))</f>
        <v/>
      </c>
      <c r="E1557" t="str">
        <f>IF($B1557="","",SUMIFS(dQty,dCust,$B1557,dPer,"&gt;="&amp;pyFrom,dPer,"&lt;="&amp;pyTo,dQty,"&gt;-1E+300",dFlt1,critFlt1,dFlt2,critFlt2,dFlt3,critFlt3))</f>
        <v/>
      </c>
      <c r="F1557" t="str">
        <f>IF($B1557="","",SUMIFS(dQty,dCust,$B1557,dPer,"&gt;="&amp;cyFrom,dPer,"&lt;="&amp;cyTo,dQty,"&gt;-1E+300",dFlt1,critFlt1,dFlt2,critFlt2,dFlt3,critFlt3))</f>
        <v/>
      </c>
      <c r="G1557">
        <f>IF($B1557="",0,IFERROR(IF(OR(C1557&lt;&gt;0,D1557&lt;&gt;0,E1557&lt;&gt;0,F1557&lt;&gt;0),1,0),1))</f>
        <v>0</v>
      </c>
      <c r="H1557" t="str">
        <f>IF(OR(G1557=0,E1557=0),"",C1557/E1557)</f>
        <v/>
      </c>
      <c r="I1557" t="str">
        <f>IF(OR(G1557=0,F1557=0),"",D1557/F1557)</f>
        <v/>
      </c>
      <c r="J1557" t="str">
        <f>IF(OR(H1557="",I1557=""),"",IF(H1557=0,"",I1557/H1557-1))</f>
        <v/>
      </c>
      <c r="K1557" t="str">
        <f>IF($B1557="","",IFERROR(IF(G1557=0,-2E+300,CHOOSE(sortIdx,ROUND(D1557,0),IF(J1557="",-1E+300,ROUND(-J1557,6)),IF(J1557="",-1E+300,ROUND(J1557,6)))),-1.5E+300))</f>
        <v/>
      </c>
      <c r="L1557" t="str">
        <f>IF(K1557="","",RANK(K1557,$K$2:$K$3001,0)+COUNTIF($K$2:K1557,K1557)-1)</f>
        <v/>
      </c>
    </row>
    <row r="1558">
      <c r="B1558" t="str">
        <f>IFERROR(IF(A1558="","","="&amp;SUBSTITUTE(SUBSTITUTE(SUBSTITUTE(A1558,"~","~~"),"*","~*"),"?","~?")),"")</f>
        <v/>
      </c>
      <c r="C1558" t="str">
        <f>IF($B1558="","",SUMIFS(dAmt,dCust,$B1558,dPer,"&gt;="&amp;pyFrom,dPer,"&lt;="&amp;pyTo,dAmt,"&gt;-1E+300",dFlt1,critFlt1,dFlt2,critFlt2,dFlt3,critFlt3))</f>
        <v/>
      </c>
      <c r="D1558" t="str">
        <f>IF($B1558="","",SUMIFS(dAmt,dCust,$B1558,dPer,"&gt;="&amp;cyFrom,dPer,"&lt;="&amp;cyTo,dAmt,"&gt;-1E+300",dFlt1,critFlt1,dFlt2,critFlt2,dFlt3,critFlt3))</f>
        <v/>
      </c>
      <c r="E1558" t="str">
        <f>IF($B1558="","",SUMIFS(dQty,dCust,$B1558,dPer,"&gt;="&amp;pyFrom,dPer,"&lt;="&amp;pyTo,dQty,"&gt;-1E+300",dFlt1,critFlt1,dFlt2,critFlt2,dFlt3,critFlt3))</f>
        <v/>
      </c>
      <c r="F1558" t="str">
        <f>IF($B1558="","",SUMIFS(dQty,dCust,$B1558,dPer,"&gt;="&amp;cyFrom,dPer,"&lt;="&amp;cyTo,dQty,"&gt;-1E+300",dFlt1,critFlt1,dFlt2,critFlt2,dFlt3,critFlt3))</f>
        <v/>
      </c>
      <c r="G1558">
        <f>IF($B1558="",0,IFERROR(IF(OR(C1558&lt;&gt;0,D1558&lt;&gt;0,E1558&lt;&gt;0,F1558&lt;&gt;0),1,0),1))</f>
        <v>0</v>
      </c>
      <c r="H1558" t="str">
        <f>IF(OR(G1558=0,E1558=0),"",C1558/E1558)</f>
        <v/>
      </c>
      <c r="I1558" t="str">
        <f>IF(OR(G1558=0,F1558=0),"",D1558/F1558)</f>
        <v/>
      </c>
      <c r="J1558" t="str">
        <f>IF(OR(H1558="",I1558=""),"",IF(H1558=0,"",I1558/H1558-1))</f>
        <v/>
      </c>
      <c r="K1558" t="str">
        <f>IF($B1558="","",IFERROR(IF(G1558=0,-2E+300,CHOOSE(sortIdx,ROUND(D1558,0),IF(J1558="",-1E+300,ROUND(-J1558,6)),IF(J1558="",-1E+300,ROUND(J1558,6)))),-1.5E+300))</f>
        <v/>
      </c>
      <c r="L1558" t="str">
        <f>IF(K1558="","",RANK(K1558,$K$2:$K$3001,0)+COUNTIF($K$2:K1558,K1558)-1)</f>
        <v/>
      </c>
    </row>
    <row r="1559">
      <c r="B1559" t="str">
        <f>IFERROR(IF(A1559="","","="&amp;SUBSTITUTE(SUBSTITUTE(SUBSTITUTE(A1559,"~","~~"),"*","~*"),"?","~?")),"")</f>
        <v/>
      </c>
      <c r="C1559" t="str">
        <f>IF($B1559="","",SUMIFS(dAmt,dCust,$B1559,dPer,"&gt;="&amp;pyFrom,dPer,"&lt;="&amp;pyTo,dAmt,"&gt;-1E+300",dFlt1,critFlt1,dFlt2,critFlt2,dFlt3,critFlt3))</f>
        <v/>
      </c>
      <c r="D1559" t="str">
        <f>IF($B1559="","",SUMIFS(dAmt,dCust,$B1559,dPer,"&gt;="&amp;cyFrom,dPer,"&lt;="&amp;cyTo,dAmt,"&gt;-1E+300",dFlt1,critFlt1,dFlt2,critFlt2,dFlt3,critFlt3))</f>
        <v/>
      </c>
      <c r="E1559" t="str">
        <f>IF($B1559="","",SUMIFS(dQty,dCust,$B1559,dPer,"&gt;="&amp;pyFrom,dPer,"&lt;="&amp;pyTo,dQty,"&gt;-1E+300",dFlt1,critFlt1,dFlt2,critFlt2,dFlt3,critFlt3))</f>
        <v/>
      </c>
      <c r="F1559" t="str">
        <f>IF($B1559="","",SUMIFS(dQty,dCust,$B1559,dPer,"&gt;="&amp;cyFrom,dPer,"&lt;="&amp;cyTo,dQty,"&gt;-1E+300",dFlt1,critFlt1,dFlt2,critFlt2,dFlt3,critFlt3))</f>
        <v/>
      </c>
      <c r="G1559">
        <f>IF($B1559="",0,IFERROR(IF(OR(C1559&lt;&gt;0,D1559&lt;&gt;0,E1559&lt;&gt;0,F1559&lt;&gt;0),1,0),1))</f>
        <v>0</v>
      </c>
      <c r="H1559" t="str">
        <f>IF(OR(G1559=0,E1559=0),"",C1559/E1559)</f>
        <v/>
      </c>
      <c r="I1559" t="str">
        <f>IF(OR(G1559=0,F1559=0),"",D1559/F1559)</f>
        <v/>
      </c>
      <c r="J1559" t="str">
        <f>IF(OR(H1559="",I1559=""),"",IF(H1559=0,"",I1559/H1559-1))</f>
        <v/>
      </c>
      <c r="K1559" t="str">
        <f>IF($B1559="","",IFERROR(IF(G1559=0,-2E+300,CHOOSE(sortIdx,ROUND(D1559,0),IF(J1559="",-1E+300,ROUND(-J1559,6)),IF(J1559="",-1E+300,ROUND(J1559,6)))),-1.5E+300))</f>
        <v/>
      </c>
      <c r="L1559" t="str">
        <f>IF(K1559="","",RANK(K1559,$K$2:$K$3001,0)+COUNTIF($K$2:K1559,K1559)-1)</f>
        <v/>
      </c>
    </row>
    <row r="1560">
      <c r="B1560" t="str">
        <f>IFERROR(IF(A1560="","","="&amp;SUBSTITUTE(SUBSTITUTE(SUBSTITUTE(A1560,"~","~~"),"*","~*"),"?","~?")),"")</f>
        <v/>
      </c>
      <c r="C1560" t="str">
        <f>IF($B1560="","",SUMIFS(dAmt,dCust,$B1560,dPer,"&gt;="&amp;pyFrom,dPer,"&lt;="&amp;pyTo,dAmt,"&gt;-1E+300",dFlt1,critFlt1,dFlt2,critFlt2,dFlt3,critFlt3))</f>
        <v/>
      </c>
      <c r="D1560" t="str">
        <f>IF($B1560="","",SUMIFS(dAmt,dCust,$B1560,dPer,"&gt;="&amp;cyFrom,dPer,"&lt;="&amp;cyTo,dAmt,"&gt;-1E+300",dFlt1,critFlt1,dFlt2,critFlt2,dFlt3,critFlt3))</f>
        <v/>
      </c>
      <c r="E1560" t="str">
        <f>IF($B1560="","",SUMIFS(dQty,dCust,$B1560,dPer,"&gt;="&amp;pyFrom,dPer,"&lt;="&amp;pyTo,dQty,"&gt;-1E+300",dFlt1,critFlt1,dFlt2,critFlt2,dFlt3,critFlt3))</f>
        <v/>
      </c>
      <c r="F1560" t="str">
        <f>IF($B1560="","",SUMIFS(dQty,dCust,$B1560,dPer,"&gt;="&amp;cyFrom,dPer,"&lt;="&amp;cyTo,dQty,"&gt;-1E+300",dFlt1,critFlt1,dFlt2,critFlt2,dFlt3,critFlt3))</f>
        <v/>
      </c>
      <c r="G1560">
        <f>IF($B1560="",0,IFERROR(IF(OR(C1560&lt;&gt;0,D1560&lt;&gt;0,E1560&lt;&gt;0,F1560&lt;&gt;0),1,0),1))</f>
        <v>0</v>
      </c>
      <c r="H1560" t="str">
        <f>IF(OR(G1560=0,E1560=0),"",C1560/E1560)</f>
        <v/>
      </c>
      <c r="I1560" t="str">
        <f>IF(OR(G1560=0,F1560=0),"",D1560/F1560)</f>
        <v/>
      </c>
      <c r="J1560" t="str">
        <f>IF(OR(H1560="",I1560=""),"",IF(H1560=0,"",I1560/H1560-1))</f>
        <v/>
      </c>
      <c r="K1560" t="str">
        <f>IF($B1560="","",IFERROR(IF(G1560=0,-2E+300,CHOOSE(sortIdx,ROUND(D1560,0),IF(J1560="",-1E+300,ROUND(-J1560,6)),IF(J1560="",-1E+300,ROUND(J1560,6)))),-1.5E+300))</f>
        <v/>
      </c>
      <c r="L1560" t="str">
        <f>IF(K1560="","",RANK(K1560,$K$2:$K$3001,0)+COUNTIF($K$2:K1560,K1560)-1)</f>
        <v/>
      </c>
    </row>
    <row r="1561">
      <c r="B1561" t="str">
        <f>IFERROR(IF(A1561="","","="&amp;SUBSTITUTE(SUBSTITUTE(SUBSTITUTE(A1561,"~","~~"),"*","~*"),"?","~?")),"")</f>
        <v/>
      </c>
      <c r="C1561" t="str">
        <f>IF($B1561="","",SUMIFS(dAmt,dCust,$B1561,dPer,"&gt;="&amp;pyFrom,dPer,"&lt;="&amp;pyTo,dAmt,"&gt;-1E+300",dFlt1,critFlt1,dFlt2,critFlt2,dFlt3,critFlt3))</f>
        <v/>
      </c>
      <c r="D1561" t="str">
        <f>IF($B1561="","",SUMIFS(dAmt,dCust,$B1561,dPer,"&gt;="&amp;cyFrom,dPer,"&lt;="&amp;cyTo,dAmt,"&gt;-1E+300",dFlt1,critFlt1,dFlt2,critFlt2,dFlt3,critFlt3))</f>
        <v/>
      </c>
      <c r="E1561" t="str">
        <f>IF($B1561="","",SUMIFS(dQty,dCust,$B1561,dPer,"&gt;="&amp;pyFrom,dPer,"&lt;="&amp;pyTo,dQty,"&gt;-1E+300",dFlt1,critFlt1,dFlt2,critFlt2,dFlt3,critFlt3))</f>
        <v/>
      </c>
      <c r="F1561" t="str">
        <f>IF($B1561="","",SUMIFS(dQty,dCust,$B1561,dPer,"&gt;="&amp;cyFrom,dPer,"&lt;="&amp;cyTo,dQty,"&gt;-1E+300",dFlt1,critFlt1,dFlt2,critFlt2,dFlt3,critFlt3))</f>
        <v/>
      </c>
      <c r="G1561">
        <f>IF($B1561="",0,IFERROR(IF(OR(C1561&lt;&gt;0,D1561&lt;&gt;0,E1561&lt;&gt;0,F1561&lt;&gt;0),1,0),1))</f>
        <v>0</v>
      </c>
      <c r="H1561" t="str">
        <f>IF(OR(G1561=0,E1561=0),"",C1561/E1561)</f>
        <v/>
      </c>
      <c r="I1561" t="str">
        <f>IF(OR(G1561=0,F1561=0),"",D1561/F1561)</f>
        <v/>
      </c>
      <c r="J1561" t="str">
        <f>IF(OR(H1561="",I1561=""),"",IF(H1561=0,"",I1561/H1561-1))</f>
        <v/>
      </c>
      <c r="K1561" t="str">
        <f>IF($B1561="","",IFERROR(IF(G1561=0,-2E+300,CHOOSE(sortIdx,ROUND(D1561,0),IF(J1561="",-1E+300,ROUND(-J1561,6)),IF(J1561="",-1E+300,ROUND(J1561,6)))),-1.5E+300))</f>
        <v/>
      </c>
      <c r="L1561" t="str">
        <f>IF(K1561="","",RANK(K1561,$K$2:$K$3001,0)+COUNTIF($K$2:K1561,K1561)-1)</f>
        <v/>
      </c>
    </row>
    <row r="1562">
      <c r="B1562" t="str">
        <f>IFERROR(IF(A1562="","","="&amp;SUBSTITUTE(SUBSTITUTE(SUBSTITUTE(A1562,"~","~~"),"*","~*"),"?","~?")),"")</f>
        <v/>
      </c>
      <c r="C1562" t="str">
        <f>IF($B1562="","",SUMIFS(dAmt,dCust,$B1562,dPer,"&gt;="&amp;pyFrom,dPer,"&lt;="&amp;pyTo,dAmt,"&gt;-1E+300",dFlt1,critFlt1,dFlt2,critFlt2,dFlt3,critFlt3))</f>
        <v/>
      </c>
      <c r="D1562" t="str">
        <f>IF($B1562="","",SUMIFS(dAmt,dCust,$B1562,dPer,"&gt;="&amp;cyFrom,dPer,"&lt;="&amp;cyTo,dAmt,"&gt;-1E+300",dFlt1,critFlt1,dFlt2,critFlt2,dFlt3,critFlt3))</f>
        <v/>
      </c>
      <c r="E1562" t="str">
        <f>IF($B1562="","",SUMIFS(dQty,dCust,$B1562,dPer,"&gt;="&amp;pyFrom,dPer,"&lt;="&amp;pyTo,dQty,"&gt;-1E+300",dFlt1,critFlt1,dFlt2,critFlt2,dFlt3,critFlt3))</f>
        <v/>
      </c>
      <c r="F1562" t="str">
        <f>IF($B1562="","",SUMIFS(dQty,dCust,$B1562,dPer,"&gt;="&amp;cyFrom,dPer,"&lt;="&amp;cyTo,dQty,"&gt;-1E+300",dFlt1,critFlt1,dFlt2,critFlt2,dFlt3,critFlt3))</f>
        <v/>
      </c>
      <c r="G1562">
        <f>IF($B1562="",0,IFERROR(IF(OR(C1562&lt;&gt;0,D1562&lt;&gt;0,E1562&lt;&gt;0,F1562&lt;&gt;0),1,0),1))</f>
        <v>0</v>
      </c>
      <c r="H1562" t="str">
        <f>IF(OR(G1562=0,E1562=0),"",C1562/E1562)</f>
        <v/>
      </c>
      <c r="I1562" t="str">
        <f>IF(OR(G1562=0,F1562=0),"",D1562/F1562)</f>
        <v/>
      </c>
      <c r="J1562" t="str">
        <f>IF(OR(H1562="",I1562=""),"",IF(H1562=0,"",I1562/H1562-1))</f>
        <v/>
      </c>
      <c r="K1562" t="str">
        <f>IF($B1562="","",IFERROR(IF(G1562=0,-2E+300,CHOOSE(sortIdx,ROUND(D1562,0),IF(J1562="",-1E+300,ROUND(-J1562,6)),IF(J1562="",-1E+300,ROUND(J1562,6)))),-1.5E+300))</f>
        <v/>
      </c>
      <c r="L1562" t="str">
        <f>IF(K1562="","",RANK(K1562,$K$2:$K$3001,0)+COUNTIF($K$2:K1562,K1562)-1)</f>
        <v/>
      </c>
    </row>
    <row r="1563">
      <c r="B1563" t="str">
        <f>IFERROR(IF(A1563="","","="&amp;SUBSTITUTE(SUBSTITUTE(SUBSTITUTE(A1563,"~","~~"),"*","~*"),"?","~?")),"")</f>
        <v/>
      </c>
      <c r="C1563" t="str">
        <f>IF($B1563="","",SUMIFS(dAmt,dCust,$B1563,dPer,"&gt;="&amp;pyFrom,dPer,"&lt;="&amp;pyTo,dAmt,"&gt;-1E+300",dFlt1,critFlt1,dFlt2,critFlt2,dFlt3,critFlt3))</f>
        <v/>
      </c>
      <c r="D1563" t="str">
        <f>IF($B1563="","",SUMIFS(dAmt,dCust,$B1563,dPer,"&gt;="&amp;cyFrom,dPer,"&lt;="&amp;cyTo,dAmt,"&gt;-1E+300",dFlt1,critFlt1,dFlt2,critFlt2,dFlt3,critFlt3))</f>
        <v/>
      </c>
      <c r="E1563" t="str">
        <f>IF($B1563="","",SUMIFS(dQty,dCust,$B1563,dPer,"&gt;="&amp;pyFrom,dPer,"&lt;="&amp;pyTo,dQty,"&gt;-1E+300",dFlt1,critFlt1,dFlt2,critFlt2,dFlt3,critFlt3))</f>
        <v/>
      </c>
      <c r="F1563" t="str">
        <f>IF($B1563="","",SUMIFS(dQty,dCust,$B1563,dPer,"&gt;="&amp;cyFrom,dPer,"&lt;="&amp;cyTo,dQty,"&gt;-1E+300",dFlt1,critFlt1,dFlt2,critFlt2,dFlt3,critFlt3))</f>
        <v/>
      </c>
      <c r="G1563">
        <f>IF($B1563="",0,IFERROR(IF(OR(C1563&lt;&gt;0,D1563&lt;&gt;0,E1563&lt;&gt;0,F1563&lt;&gt;0),1,0),1))</f>
        <v>0</v>
      </c>
      <c r="H1563" t="str">
        <f>IF(OR(G1563=0,E1563=0),"",C1563/E1563)</f>
        <v/>
      </c>
      <c r="I1563" t="str">
        <f>IF(OR(G1563=0,F1563=0),"",D1563/F1563)</f>
        <v/>
      </c>
      <c r="J1563" t="str">
        <f>IF(OR(H1563="",I1563=""),"",IF(H1563=0,"",I1563/H1563-1))</f>
        <v/>
      </c>
      <c r="K1563" t="str">
        <f>IF($B1563="","",IFERROR(IF(G1563=0,-2E+300,CHOOSE(sortIdx,ROUND(D1563,0),IF(J1563="",-1E+300,ROUND(-J1563,6)),IF(J1563="",-1E+300,ROUND(J1563,6)))),-1.5E+300))</f>
        <v/>
      </c>
      <c r="L1563" t="str">
        <f>IF(K1563="","",RANK(K1563,$K$2:$K$3001,0)+COUNTIF($K$2:K1563,K1563)-1)</f>
        <v/>
      </c>
    </row>
    <row r="1564">
      <c r="B1564" t="str">
        <f>IFERROR(IF(A1564="","","="&amp;SUBSTITUTE(SUBSTITUTE(SUBSTITUTE(A1564,"~","~~"),"*","~*"),"?","~?")),"")</f>
        <v/>
      </c>
      <c r="C1564" t="str">
        <f>IF($B1564="","",SUMIFS(dAmt,dCust,$B1564,dPer,"&gt;="&amp;pyFrom,dPer,"&lt;="&amp;pyTo,dAmt,"&gt;-1E+300",dFlt1,critFlt1,dFlt2,critFlt2,dFlt3,critFlt3))</f>
        <v/>
      </c>
      <c r="D1564" t="str">
        <f>IF($B1564="","",SUMIFS(dAmt,dCust,$B1564,dPer,"&gt;="&amp;cyFrom,dPer,"&lt;="&amp;cyTo,dAmt,"&gt;-1E+300",dFlt1,critFlt1,dFlt2,critFlt2,dFlt3,critFlt3))</f>
        <v/>
      </c>
      <c r="E1564" t="str">
        <f>IF($B1564="","",SUMIFS(dQty,dCust,$B1564,dPer,"&gt;="&amp;pyFrom,dPer,"&lt;="&amp;pyTo,dQty,"&gt;-1E+300",dFlt1,critFlt1,dFlt2,critFlt2,dFlt3,critFlt3))</f>
        <v/>
      </c>
      <c r="F1564" t="str">
        <f>IF($B1564="","",SUMIFS(dQty,dCust,$B1564,dPer,"&gt;="&amp;cyFrom,dPer,"&lt;="&amp;cyTo,dQty,"&gt;-1E+300",dFlt1,critFlt1,dFlt2,critFlt2,dFlt3,critFlt3))</f>
        <v/>
      </c>
      <c r="G1564">
        <f>IF($B1564="",0,IFERROR(IF(OR(C1564&lt;&gt;0,D1564&lt;&gt;0,E1564&lt;&gt;0,F1564&lt;&gt;0),1,0),1))</f>
        <v>0</v>
      </c>
      <c r="H1564" t="str">
        <f>IF(OR(G1564=0,E1564=0),"",C1564/E1564)</f>
        <v/>
      </c>
      <c r="I1564" t="str">
        <f>IF(OR(G1564=0,F1564=0),"",D1564/F1564)</f>
        <v/>
      </c>
      <c r="J1564" t="str">
        <f>IF(OR(H1564="",I1564=""),"",IF(H1564=0,"",I1564/H1564-1))</f>
        <v/>
      </c>
      <c r="K1564" t="str">
        <f>IF($B1564="","",IFERROR(IF(G1564=0,-2E+300,CHOOSE(sortIdx,ROUND(D1564,0),IF(J1564="",-1E+300,ROUND(-J1564,6)),IF(J1564="",-1E+300,ROUND(J1564,6)))),-1.5E+300))</f>
        <v/>
      </c>
      <c r="L1564" t="str">
        <f>IF(K1564="","",RANK(K1564,$K$2:$K$3001,0)+COUNTIF($K$2:K1564,K1564)-1)</f>
        <v/>
      </c>
    </row>
    <row r="1565">
      <c r="B1565" t="str">
        <f>IFERROR(IF(A1565="","","="&amp;SUBSTITUTE(SUBSTITUTE(SUBSTITUTE(A1565,"~","~~"),"*","~*"),"?","~?")),"")</f>
        <v/>
      </c>
      <c r="C1565" t="str">
        <f>IF($B1565="","",SUMIFS(dAmt,dCust,$B1565,dPer,"&gt;="&amp;pyFrom,dPer,"&lt;="&amp;pyTo,dAmt,"&gt;-1E+300",dFlt1,critFlt1,dFlt2,critFlt2,dFlt3,critFlt3))</f>
        <v/>
      </c>
      <c r="D1565" t="str">
        <f>IF($B1565="","",SUMIFS(dAmt,dCust,$B1565,dPer,"&gt;="&amp;cyFrom,dPer,"&lt;="&amp;cyTo,dAmt,"&gt;-1E+300",dFlt1,critFlt1,dFlt2,critFlt2,dFlt3,critFlt3))</f>
        <v/>
      </c>
      <c r="E1565" t="str">
        <f>IF($B1565="","",SUMIFS(dQty,dCust,$B1565,dPer,"&gt;="&amp;pyFrom,dPer,"&lt;="&amp;pyTo,dQty,"&gt;-1E+300",dFlt1,critFlt1,dFlt2,critFlt2,dFlt3,critFlt3))</f>
        <v/>
      </c>
      <c r="F1565" t="str">
        <f>IF($B1565="","",SUMIFS(dQty,dCust,$B1565,dPer,"&gt;="&amp;cyFrom,dPer,"&lt;="&amp;cyTo,dQty,"&gt;-1E+300",dFlt1,critFlt1,dFlt2,critFlt2,dFlt3,critFlt3))</f>
        <v/>
      </c>
      <c r="G1565">
        <f>IF($B1565="",0,IFERROR(IF(OR(C1565&lt;&gt;0,D1565&lt;&gt;0,E1565&lt;&gt;0,F1565&lt;&gt;0),1,0),1))</f>
        <v>0</v>
      </c>
      <c r="H1565" t="str">
        <f>IF(OR(G1565=0,E1565=0),"",C1565/E1565)</f>
        <v/>
      </c>
      <c r="I1565" t="str">
        <f>IF(OR(G1565=0,F1565=0),"",D1565/F1565)</f>
        <v/>
      </c>
      <c r="J1565" t="str">
        <f>IF(OR(H1565="",I1565=""),"",IF(H1565=0,"",I1565/H1565-1))</f>
        <v/>
      </c>
      <c r="K1565" t="str">
        <f>IF($B1565="","",IFERROR(IF(G1565=0,-2E+300,CHOOSE(sortIdx,ROUND(D1565,0),IF(J1565="",-1E+300,ROUND(-J1565,6)),IF(J1565="",-1E+300,ROUND(J1565,6)))),-1.5E+300))</f>
        <v/>
      </c>
      <c r="L1565" t="str">
        <f>IF(K1565="","",RANK(K1565,$K$2:$K$3001,0)+COUNTIF($K$2:K1565,K1565)-1)</f>
        <v/>
      </c>
    </row>
    <row r="1566">
      <c r="B1566" t="str">
        <f>IFERROR(IF(A1566="","","="&amp;SUBSTITUTE(SUBSTITUTE(SUBSTITUTE(A1566,"~","~~"),"*","~*"),"?","~?")),"")</f>
        <v/>
      </c>
      <c r="C1566" t="str">
        <f>IF($B1566="","",SUMIFS(dAmt,dCust,$B1566,dPer,"&gt;="&amp;pyFrom,dPer,"&lt;="&amp;pyTo,dAmt,"&gt;-1E+300",dFlt1,critFlt1,dFlt2,critFlt2,dFlt3,critFlt3))</f>
        <v/>
      </c>
      <c r="D1566" t="str">
        <f>IF($B1566="","",SUMIFS(dAmt,dCust,$B1566,dPer,"&gt;="&amp;cyFrom,dPer,"&lt;="&amp;cyTo,dAmt,"&gt;-1E+300",dFlt1,critFlt1,dFlt2,critFlt2,dFlt3,critFlt3))</f>
        <v/>
      </c>
      <c r="E1566" t="str">
        <f>IF($B1566="","",SUMIFS(dQty,dCust,$B1566,dPer,"&gt;="&amp;pyFrom,dPer,"&lt;="&amp;pyTo,dQty,"&gt;-1E+300",dFlt1,critFlt1,dFlt2,critFlt2,dFlt3,critFlt3))</f>
        <v/>
      </c>
      <c r="F1566" t="str">
        <f>IF($B1566="","",SUMIFS(dQty,dCust,$B1566,dPer,"&gt;="&amp;cyFrom,dPer,"&lt;="&amp;cyTo,dQty,"&gt;-1E+300",dFlt1,critFlt1,dFlt2,critFlt2,dFlt3,critFlt3))</f>
        <v/>
      </c>
      <c r="G1566">
        <f>IF($B1566="",0,IFERROR(IF(OR(C1566&lt;&gt;0,D1566&lt;&gt;0,E1566&lt;&gt;0,F1566&lt;&gt;0),1,0),1))</f>
        <v>0</v>
      </c>
      <c r="H1566" t="str">
        <f>IF(OR(G1566=0,E1566=0),"",C1566/E1566)</f>
        <v/>
      </c>
      <c r="I1566" t="str">
        <f>IF(OR(G1566=0,F1566=0),"",D1566/F1566)</f>
        <v/>
      </c>
      <c r="J1566" t="str">
        <f>IF(OR(H1566="",I1566=""),"",IF(H1566=0,"",I1566/H1566-1))</f>
        <v/>
      </c>
      <c r="K1566" t="str">
        <f>IF($B1566="","",IFERROR(IF(G1566=0,-2E+300,CHOOSE(sortIdx,ROUND(D1566,0),IF(J1566="",-1E+300,ROUND(-J1566,6)),IF(J1566="",-1E+300,ROUND(J1566,6)))),-1.5E+300))</f>
        <v/>
      </c>
      <c r="L1566" t="str">
        <f>IF(K1566="","",RANK(K1566,$K$2:$K$3001,0)+COUNTIF($K$2:K1566,K1566)-1)</f>
        <v/>
      </c>
    </row>
    <row r="1567">
      <c r="B1567" t="str">
        <f>IFERROR(IF(A1567="","","="&amp;SUBSTITUTE(SUBSTITUTE(SUBSTITUTE(A1567,"~","~~"),"*","~*"),"?","~?")),"")</f>
        <v/>
      </c>
      <c r="C1567" t="str">
        <f>IF($B1567="","",SUMIFS(dAmt,dCust,$B1567,dPer,"&gt;="&amp;pyFrom,dPer,"&lt;="&amp;pyTo,dAmt,"&gt;-1E+300",dFlt1,critFlt1,dFlt2,critFlt2,dFlt3,critFlt3))</f>
        <v/>
      </c>
      <c r="D1567" t="str">
        <f>IF($B1567="","",SUMIFS(dAmt,dCust,$B1567,dPer,"&gt;="&amp;cyFrom,dPer,"&lt;="&amp;cyTo,dAmt,"&gt;-1E+300",dFlt1,critFlt1,dFlt2,critFlt2,dFlt3,critFlt3))</f>
        <v/>
      </c>
      <c r="E1567" t="str">
        <f>IF($B1567="","",SUMIFS(dQty,dCust,$B1567,dPer,"&gt;="&amp;pyFrom,dPer,"&lt;="&amp;pyTo,dQty,"&gt;-1E+300",dFlt1,critFlt1,dFlt2,critFlt2,dFlt3,critFlt3))</f>
        <v/>
      </c>
      <c r="F1567" t="str">
        <f>IF($B1567="","",SUMIFS(dQty,dCust,$B1567,dPer,"&gt;="&amp;cyFrom,dPer,"&lt;="&amp;cyTo,dQty,"&gt;-1E+300",dFlt1,critFlt1,dFlt2,critFlt2,dFlt3,critFlt3))</f>
        <v/>
      </c>
      <c r="G1567">
        <f>IF($B1567="",0,IFERROR(IF(OR(C1567&lt;&gt;0,D1567&lt;&gt;0,E1567&lt;&gt;0,F1567&lt;&gt;0),1,0),1))</f>
        <v>0</v>
      </c>
      <c r="H1567" t="str">
        <f>IF(OR(G1567=0,E1567=0),"",C1567/E1567)</f>
        <v/>
      </c>
      <c r="I1567" t="str">
        <f>IF(OR(G1567=0,F1567=0),"",D1567/F1567)</f>
        <v/>
      </c>
      <c r="J1567" t="str">
        <f>IF(OR(H1567="",I1567=""),"",IF(H1567=0,"",I1567/H1567-1))</f>
        <v/>
      </c>
      <c r="K1567" t="str">
        <f>IF($B1567="","",IFERROR(IF(G1567=0,-2E+300,CHOOSE(sortIdx,ROUND(D1567,0),IF(J1567="",-1E+300,ROUND(-J1567,6)),IF(J1567="",-1E+300,ROUND(J1567,6)))),-1.5E+300))</f>
        <v/>
      </c>
      <c r="L1567" t="str">
        <f>IF(K1567="","",RANK(K1567,$K$2:$K$3001,0)+COUNTIF($K$2:K1567,K1567)-1)</f>
        <v/>
      </c>
    </row>
    <row r="1568">
      <c r="B1568" t="str">
        <f>IFERROR(IF(A1568="","","="&amp;SUBSTITUTE(SUBSTITUTE(SUBSTITUTE(A1568,"~","~~"),"*","~*"),"?","~?")),"")</f>
        <v/>
      </c>
      <c r="C1568" t="str">
        <f>IF($B1568="","",SUMIFS(dAmt,dCust,$B1568,dPer,"&gt;="&amp;pyFrom,dPer,"&lt;="&amp;pyTo,dAmt,"&gt;-1E+300",dFlt1,critFlt1,dFlt2,critFlt2,dFlt3,critFlt3))</f>
        <v/>
      </c>
      <c r="D1568" t="str">
        <f>IF($B1568="","",SUMIFS(dAmt,dCust,$B1568,dPer,"&gt;="&amp;cyFrom,dPer,"&lt;="&amp;cyTo,dAmt,"&gt;-1E+300",dFlt1,critFlt1,dFlt2,critFlt2,dFlt3,critFlt3))</f>
        <v/>
      </c>
      <c r="E1568" t="str">
        <f>IF($B1568="","",SUMIFS(dQty,dCust,$B1568,dPer,"&gt;="&amp;pyFrom,dPer,"&lt;="&amp;pyTo,dQty,"&gt;-1E+300",dFlt1,critFlt1,dFlt2,critFlt2,dFlt3,critFlt3))</f>
        <v/>
      </c>
      <c r="F1568" t="str">
        <f>IF($B1568="","",SUMIFS(dQty,dCust,$B1568,dPer,"&gt;="&amp;cyFrom,dPer,"&lt;="&amp;cyTo,dQty,"&gt;-1E+300",dFlt1,critFlt1,dFlt2,critFlt2,dFlt3,critFlt3))</f>
        <v/>
      </c>
      <c r="G1568">
        <f>IF($B1568="",0,IFERROR(IF(OR(C1568&lt;&gt;0,D1568&lt;&gt;0,E1568&lt;&gt;0,F1568&lt;&gt;0),1,0),1))</f>
        <v>0</v>
      </c>
      <c r="H1568" t="str">
        <f>IF(OR(G1568=0,E1568=0),"",C1568/E1568)</f>
        <v/>
      </c>
      <c r="I1568" t="str">
        <f>IF(OR(G1568=0,F1568=0),"",D1568/F1568)</f>
        <v/>
      </c>
      <c r="J1568" t="str">
        <f>IF(OR(H1568="",I1568=""),"",IF(H1568=0,"",I1568/H1568-1))</f>
        <v/>
      </c>
      <c r="K1568" t="str">
        <f>IF($B1568="","",IFERROR(IF(G1568=0,-2E+300,CHOOSE(sortIdx,ROUND(D1568,0),IF(J1568="",-1E+300,ROUND(-J1568,6)),IF(J1568="",-1E+300,ROUND(J1568,6)))),-1.5E+300))</f>
        <v/>
      </c>
      <c r="L1568" t="str">
        <f>IF(K1568="","",RANK(K1568,$K$2:$K$3001,0)+COUNTIF($K$2:K1568,K1568)-1)</f>
        <v/>
      </c>
    </row>
    <row r="1569">
      <c r="B1569" t="str">
        <f>IFERROR(IF(A1569="","","="&amp;SUBSTITUTE(SUBSTITUTE(SUBSTITUTE(A1569,"~","~~"),"*","~*"),"?","~?")),"")</f>
        <v/>
      </c>
      <c r="C1569" t="str">
        <f>IF($B1569="","",SUMIFS(dAmt,dCust,$B1569,dPer,"&gt;="&amp;pyFrom,dPer,"&lt;="&amp;pyTo,dAmt,"&gt;-1E+300",dFlt1,critFlt1,dFlt2,critFlt2,dFlt3,critFlt3))</f>
        <v/>
      </c>
      <c r="D1569" t="str">
        <f>IF($B1569="","",SUMIFS(dAmt,dCust,$B1569,dPer,"&gt;="&amp;cyFrom,dPer,"&lt;="&amp;cyTo,dAmt,"&gt;-1E+300",dFlt1,critFlt1,dFlt2,critFlt2,dFlt3,critFlt3))</f>
        <v/>
      </c>
      <c r="E1569" t="str">
        <f>IF($B1569="","",SUMIFS(dQty,dCust,$B1569,dPer,"&gt;="&amp;pyFrom,dPer,"&lt;="&amp;pyTo,dQty,"&gt;-1E+300",dFlt1,critFlt1,dFlt2,critFlt2,dFlt3,critFlt3))</f>
        <v/>
      </c>
      <c r="F1569" t="str">
        <f>IF($B1569="","",SUMIFS(dQty,dCust,$B1569,dPer,"&gt;="&amp;cyFrom,dPer,"&lt;="&amp;cyTo,dQty,"&gt;-1E+300",dFlt1,critFlt1,dFlt2,critFlt2,dFlt3,critFlt3))</f>
        <v/>
      </c>
      <c r="G1569">
        <f>IF($B1569="",0,IFERROR(IF(OR(C1569&lt;&gt;0,D1569&lt;&gt;0,E1569&lt;&gt;0,F1569&lt;&gt;0),1,0),1))</f>
        <v>0</v>
      </c>
      <c r="H1569" t="str">
        <f>IF(OR(G1569=0,E1569=0),"",C1569/E1569)</f>
        <v/>
      </c>
      <c r="I1569" t="str">
        <f>IF(OR(G1569=0,F1569=0),"",D1569/F1569)</f>
        <v/>
      </c>
      <c r="J1569" t="str">
        <f>IF(OR(H1569="",I1569=""),"",IF(H1569=0,"",I1569/H1569-1))</f>
        <v/>
      </c>
      <c r="K1569" t="str">
        <f>IF($B1569="","",IFERROR(IF(G1569=0,-2E+300,CHOOSE(sortIdx,ROUND(D1569,0),IF(J1569="",-1E+300,ROUND(-J1569,6)),IF(J1569="",-1E+300,ROUND(J1569,6)))),-1.5E+300))</f>
        <v/>
      </c>
      <c r="L1569" t="str">
        <f>IF(K1569="","",RANK(K1569,$K$2:$K$3001,0)+COUNTIF($K$2:K1569,K1569)-1)</f>
        <v/>
      </c>
    </row>
    <row r="1570">
      <c r="B1570" t="str">
        <f>IFERROR(IF(A1570="","","="&amp;SUBSTITUTE(SUBSTITUTE(SUBSTITUTE(A1570,"~","~~"),"*","~*"),"?","~?")),"")</f>
        <v/>
      </c>
      <c r="C1570" t="str">
        <f>IF($B1570="","",SUMIFS(dAmt,dCust,$B1570,dPer,"&gt;="&amp;pyFrom,dPer,"&lt;="&amp;pyTo,dAmt,"&gt;-1E+300",dFlt1,critFlt1,dFlt2,critFlt2,dFlt3,critFlt3))</f>
        <v/>
      </c>
      <c r="D1570" t="str">
        <f>IF($B1570="","",SUMIFS(dAmt,dCust,$B1570,dPer,"&gt;="&amp;cyFrom,dPer,"&lt;="&amp;cyTo,dAmt,"&gt;-1E+300",dFlt1,critFlt1,dFlt2,critFlt2,dFlt3,critFlt3))</f>
        <v/>
      </c>
      <c r="E1570" t="str">
        <f>IF($B1570="","",SUMIFS(dQty,dCust,$B1570,dPer,"&gt;="&amp;pyFrom,dPer,"&lt;="&amp;pyTo,dQty,"&gt;-1E+300",dFlt1,critFlt1,dFlt2,critFlt2,dFlt3,critFlt3))</f>
        <v/>
      </c>
      <c r="F1570" t="str">
        <f>IF($B1570="","",SUMIFS(dQty,dCust,$B1570,dPer,"&gt;="&amp;cyFrom,dPer,"&lt;="&amp;cyTo,dQty,"&gt;-1E+300",dFlt1,critFlt1,dFlt2,critFlt2,dFlt3,critFlt3))</f>
        <v/>
      </c>
      <c r="G1570">
        <f>IF($B1570="",0,IFERROR(IF(OR(C1570&lt;&gt;0,D1570&lt;&gt;0,E1570&lt;&gt;0,F1570&lt;&gt;0),1,0),1))</f>
        <v>0</v>
      </c>
      <c r="H1570" t="str">
        <f>IF(OR(G1570=0,E1570=0),"",C1570/E1570)</f>
        <v/>
      </c>
      <c r="I1570" t="str">
        <f>IF(OR(G1570=0,F1570=0),"",D1570/F1570)</f>
        <v/>
      </c>
      <c r="J1570" t="str">
        <f>IF(OR(H1570="",I1570=""),"",IF(H1570=0,"",I1570/H1570-1))</f>
        <v/>
      </c>
      <c r="K1570" t="str">
        <f>IF($B1570="","",IFERROR(IF(G1570=0,-2E+300,CHOOSE(sortIdx,ROUND(D1570,0),IF(J1570="",-1E+300,ROUND(-J1570,6)),IF(J1570="",-1E+300,ROUND(J1570,6)))),-1.5E+300))</f>
        <v/>
      </c>
      <c r="L1570" t="str">
        <f>IF(K1570="","",RANK(K1570,$K$2:$K$3001,0)+COUNTIF($K$2:K1570,K1570)-1)</f>
        <v/>
      </c>
    </row>
    <row r="1571">
      <c r="B1571" t="str">
        <f>IFERROR(IF(A1571="","","="&amp;SUBSTITUTE(SUBSTITUTE(SUBSTITUTE(A1571,"~","~~"),"*","~*"),"?","~?")),"")</f>
        <v/>
      </c>
      <c r="C1571" t="str">
        <f>IF($B1571="","",SUMIFS(dAmt,dCust,$B1571,dPer,"&gt;="&amp;pyFrom,dPer,"&lt;="&amp;pyTo,dAmt,"&gt;-1E+300",dFlt1,critFlt1,dFlt2,critFlt2,dFlt3,critFlt3))</f>
        <v/>
      </c>
      <c r="D1571" t="str">
        <f>IF($B1571="","",SUMIFS(dAmt,dCust,$B1571,dPer,"&gt;="&amp;cyFrom,dPer,"&lt;="&amp;cyTo,dAmt,"&gt;-1E+300",dFlt1,critFlt1,dFlt2,critFlt2,dFlt3,critFlt3))</f>
        <v/>
      </c>
      <c r="E1571" t="str">
        <f>IF($B1571="","",SUMIFS(dQty,dCust,$B1571,dPer,"&gt;="&amp;pyFrom,dPer,"&lt;="&amp;pyTo,dQty,"&gt;-1E+300",dFlt1,critFlt1,dFlt2,critFlt2,dFlt3,critFlt3))</f>
        <v/>
      </c>
      <c r="F1571" t="str">
        <f>IF($B1571="","",SUMIFS(dQty,dCust,$B1571,dPer,"&gt;="&amp;cyFrom,dPer,"&lt;="&amp;cyTo,dQty,"&gt;-1E+300",dFlt1,critFlt1,dFlt2,critFlt2,dFlt3,critFlt3))</f>
        <v/>
      </c>
      <c r="G1571">
        <f>IF($B1571="",0,IFERROR(IF(OR(C1571&lt;&gt;0,D1571&lt;&gt;0,E1571&lt;&gt;0,F1571&lt;&gt;0),1,0),1))</f>
        <v>0</v>
      </c>
      <c r="H1571" t="str">
        <f>IF(OR(G1571=0,E1571=0),"",C1571/E1571)</f>
        <v/>
      </c>
      <c r="I1571" t="str">
        <f>IF(OR(G1571=0,F1571=0),"",D1571/F1571)</f>
        <v/>
      </c>
      <c r="J1571" t="str">
        <f>IF(OR(H1571="",I1571=""),"",IF(H1571=0,"",I1571/H1571-1))</f>
        <v/>
      </c>
      <c r="K1571" t="str">
        <f>IF($B1571="","",IFERROR(IF(G1571=0,-2E+300,CHOOSE(sortIdx,ROUND(D1571,0),IF(J1571="",-1E+300,ROUND(-J1571,6)),IF(J1571="",-1E+300,ROUND(J1571,6)))),-1.5E+300))</f>
        <v/>
      </c>
      <c r="L1571" t="str">
        <f>IF(K1571="","",RANK(K1571,$K$2:$K$3001,0)+COUNTIF($K$2:K1571,K1571)-1)</f>
        <v/>
      </c>
    </row>
    <row r="1572">
      <c r="B1572" t="str">
        <f>IFERROR(IF(A1572="","","="&amp;SUBSTITUTE(SUBSTITUTE(SUBSTITUTE(A1572,"~","~~"),"*","~*"),"?","~?")),"")</f>
        <v/>
      </c>
      <c r="C1572" t="str">
        <f>IF($B1572="","",SUMIFS(dAmt,dCust,$B1572,dPer,"&gt;="&amp;pyFrom,dPer,"&lt;="&amp;pyTo,dAmt,"&gt;-1E+300",dFlt1,critFlt1,dFlt2,critFlt2,dFlt3,critFlt3))</f>
        <v/>
      </c>
      <c r="D1572" t="str">
        <f>IF($B1572="","",SUMIFS(dAmt,dCust,$B1572,dPer,"&gt;="&amp;cyFrom,dPer,"&lt;="&amp;cyTo,dAmt,"&gt;-1E+300",dFlt1,critFlt1,dFlt2,critFlt2,dFlt3,critFlt3))</f>
        <v/>
      </c>
      <c r="E1572" t="str">
        <f>IF($B1572="","",SUMIFS(dQty,dCust,$B1572,dPer,"&gt;="&amp;pyFrom,dPer,"&lt;="&amp;pyTo,dQty,"&gt;-1E+300",dFlt1,critFlt1,dFlt2,critFlt2,dFlt3,critFlt3))</f>
        <v/>
      </c>
      <c r="F1572" t="str">
        <f>IF($B1572="","",SUMIFS(dQty,dCust,$B1572,dPer,"&gt;="&amp;cyFrom,dPer,"&lt;="&amp;cyTo,dQty,"&gt;-1E+300",dFlt1,critFlt1,dFlt2,critFlt2,dFlt3,critFlt3))</f>
        <v/>
      </c>
      <c r="G1572">
        <f>IF($B1572="",0,IFERROR(IF(OR(C1572&lt;&gt;0,D1572&lt;&gt;0,E1572&lt;&gt;0,F1572&lt;&gt;0),1,0),1))</f>
        <v>0</v>
      </c>
      <c r="H1572" t="str">
        <f>IF(OR(G1572=0,E1572=0),"",C1572/E1572)</f>
        <v/>
      </c>
      <c r="I1572" t="str">
        <f>IF(OR(G1572=0,F1572=0),"",D1572/F1572)</f>
        <v/>
      </c>
      <c r="J1572" t="str">
        <f>IF(OR(H1572="",I1572=""),"",IF(H1572=0,"",I1572/H1572-1))</f>
        <v/>
      </c>
      <c r="K1572" t="str">
        <f>IF($B1572="","",IFERROR(IF(G1572=0,-2E+300,CHOOSE(sortIdx,ROUND(D1572,0),IF(J1572="",-1E+300,ROUND(-J1572,6)),IF(J1572="",-1E+300,ROUND(J1572,6)))),-1.5E+300))</f>
        <v/>
      </c>
      <c r="L1572" t="str">
        <f>IF(K1572="","",RANK(K1572,$K$2:$K$3001,0)+COUNTIF($K$2:K1572,K1572)-1)</f>
        <v/>
      </c>
    </row>
    <row r="1573">
      <c r="B1573" t="str">
        <f>IFERROR(IF(A1573="","","="&amp;SUBSTITUTE(SUBSTITUTE(SUBSTITUTE(A1573,"~","~~"),"*","~*"),"?","~?")),"")</f>
        <v/>
      </c>
      <c r="C1573" t="str">
        <f>IF($B1573="","",SUMIFS(dAmt,dCust,$B1573,dPer,"&gt;="&amp;pyFrom,dPer,"&lt;="&amp;pyTo,dAmt,"&gt;-1E+300",dFlt1,critFlt1,dFlt2,critFlt2,dFlt3,critFlt3))</f>
        <v/>
      </c>
      <c r="D1573" t="str">
        <f>IF($B1573="","",SUMIFS(dAmt,dCust,$B1573,dPer,"&gt;="&amp;cyFrom,dPer,"&lt;="&amp;cyTo,dAmt,"&gt;-1E+300",dFlt1,critFlt1,dFlt2,critFlt2,dFlt3,critFlt3))</f>
        <v/>
      </c>
      <c r="E1573" t="str">
        <f>IF($B1573="","",SUMIFS(dQty,dCust,$B1573,dPer,"&gt;="&amp;pyFrom,dPer,"&lt;="&amp;pyTo,dQty,"&gt;-1E+300",dFlt1,critFlt1,dFlt2,critFlt2,dFlt3,critFlt3))</f>
        <v/>
      </c>
      <c r="F1573" t="str">
        <f>IF($B1573="","",SUMIFS(dQty,dCust,$B1573,dPer,"&gt;="&amp;cyFrom,dPer,"&lt;="&amp;cyTo,dQty,"&gt;-1E+300",dFlt1,critFlt1,dFlt2,critFlt2,dFlt3,critFlt3))</f>
        <v/>
      </c>
      <c r="G1573">
        <f>IF($B1573="",0,IFERROR(IF(OR(C1573&lt;&gt;0,D1573&lt;&gt;0,E1573&lt;&gt;0,F1573&lt;&gt;0),1,0),1))</f>
        <v>0</v>
      </c>
      <c r="H1573" t="str">
        <f>IF(OR(G1573=0,E1573=0),"",C1573/E1573)</f>
        <v/>
      </c>
      <c r="I1573" t="str">
        <f>IF(OR(G1573=0,F1573=0),"",D1573/F1573)</f>
        <v/>
      </c>
      <c r="J1573" t="str">
        <f>IF(OR(H1573="",I1573=""),"",IF(H1573=0,"",I1573/H1573-1))</f>
        <v/>
      </c>
      <c r="K1573" t="str">
        <f>IF($B1573="","",IFERROR(IF(G1573=0,-2E+300,CHOOSE(sortIdx,ROUND(D1573,0),IF(J1573="",-1E+300,ROUND(-J1573,6)),IF(J1573="",-1E+300,ROUND(J1573,6)))),-1.5E+300))</f>
        <v/>
      </c>
      <c r="L1573" t="str">
        <f>IF(K1573="","",RANK(K1573,$K$2:$K$3001,0)+COUNTIF($K$2:K1573,K1573)-1)</f>
        <v/>
      </c>
    </row>
    <row r="1574">
      <c r="B1574" t="str">
        <f>IFERROR(IF(A1574="","","="&amp;SUBSTITUTE(SUBSTITUTE(SUBSTITUTE(A1574,"~","~~"),"*","~*"),"?","~?")),"")</f>
        <v/>
      </c>
      <c r="C1574" t="str">
        <f>IF($B1574="","",SUMIFS(dAmt,dCust,$B1574,dPer,"&gt;="&amp;pyFrom,dPer,"&lt;="&amp;pyTo,dAmt,"&gt;-1E+300",dFlt1,critFlt1,dFlt2,critFlt2,dFlt3,critFlt3))</f>
        <v/>
      </c>
      <c r="D1574" t="str">
        <f>IF($B1574="","",SUMIFS(dAmt,dCust,$B1574,dPer,"&gt;="&amp;cyFrom,dPer,"&lt;="&amp;cyTo,dAmt,"&gt;-1E+300",dFlt1,critFlt1,dFlt2,critFlt2,dFlt3,critFlt3))</f>
        <v/>
      </c>
      <c r="E1574" t="str">
        <f>IF($B1574="","",SUMIFS(dQty,dCust,$B1574,dPer,"&gt;="&amp;pyFrom,dPer,"&lt;="&amp;pyTo,dQty,"&gt;-1E+300",dFlt1,critFlt1,dFlt2,critFlt2,dFlt3,critFlt3))</f>
        <v/>
      </c>
      <c r="F1574" t="str">
        <f>IF($B1574="","",SUMIFS(dQty,dCust,$B1574,dPer,"&gt;="&amp;cyFrom,dPer,"&lt;="&amp;cyTo,dQty,"&gt;-1E+300",dFlt1,critFlt1,dFlt2,critFlt2,dFlt3,critFlt3))</f>
        <v/>
      </c>
      <c r="G1574">
        <f>IF($B1574="",0,IFERROR(IF(OR(C1574&lt;&gt;0,D1574&lt;&gt;0,E1574&lt;&gt;0,F1574&lt;&gt;0),1,0),1))</f>
        <v>0</v>
      </c>
      <c r="H1574" t="str">
        <f>IF(OR(G1574=0,E1574=0),"",C1574/E1574)</f>
        <v/>
      </c>
      <c r="I1574" t="str">
        <f>IF(OR(G1574=0,F1574=0),"",D1574/F1574)</f>
        <v/>
      </c>
      <c r="J1574" t="str">
        <f>IF(OR(H1574="",I1574=""),"",IF(H1574=0,"",I1574/H1574-1))</f>
        <v/>
      </c>
      <c r="K1574" t="str">
        <f>IF($B1574="","",IFERROR(IF(G1574=0,-2E+300,CHOOSE(sortIdx,ROUND(D1574,0),IF(J1574="",-1E+300,ROUND(-J1574,6)),IF(J1574="",-1E+300,ROUND(J1574,6)))),-1.5E+300))</f>
        <v/>
      </c>
      <c r="L1574" t="str">
        <f>IF(K1574="","",RANK(K1574,$K$2:$K$3001,0)+COUNTIF($K$2:K1574,K1574)-1)</f>
        <v/>
      </c>
    </row>
    <row r="1575">
      <c r="B1575" t="str">
        <f>IFERROR(IF(A1575="","","="&amp;SUBSTITUTE(SUBSTITUTE(SUBSTITUTE(A1575,"~","~~"),"*","~*"),"?","~?")),"")</f>
        <v/>
      </c>
      <c r="C1575" t="str">
        <f>IF($B1575="","",SUMIFS(dAmt,dCust,$B1575,dPer,"&gt;="&amp;pyFrom,dPer,"&lt;="&amp;pyTo,dAmt,"&gt;-1E+300",dFlt1,critFlt1,dFlt2,critFlt2,dFlt3,critFlt3))</f>
        <v/>
      </c>
      <c r="D1575" t="str">
        <f>IF($B1575="","",SUMIFS(dAmt,dCust,$B1575,dPer,"&gt;="&amp;cyFrom,dPer,"&lt;="&amp;cyTo,dAmt,"&gt;-1E+300",dFlt1,critFlt1,dFlt2,critFlt2,dFlt3,critFlt3))</f>
        <v/>
      </c>
      <c r="E1575" t="str">
        <f>IF($B1575="","",SUMIFS(dQty,dCust,$B1575,dPer,"&gt;="&amp;pyFrom,dPer,"&lt;="&amp;pyTo,dQty,"&gt;-1E+300",dFlt1,critFlt1,dFlt2,critFlt2,dFlt3,critFlt3))</f>
        <v/>
      </c>
      <c r="F1575" t="str">
        <f>IF($B1575="","",SUMIFS(dQty,dCust,$B1575,dPer,"&gt;="&amp;cyFrom,dPer,"&lt;="&amp;cyTo,dQty,"&gt;-1E+300",dFlt1,critFlt1,dFlt2,critFlt2,dFlt3,critFlt3))</f>
        <v/>
      </c>
      <c r="G1575">
        <f>IF($B1575="",0,IFERROR(IF(OR(C1575&lt;&gt;0,D1575&lt;&gt;0,E1575&lt;&gt;0,F1575&lt;&gt;0),1,0),1))</f>
        <v>0</v>
      </c>
      <c r="H1575" t="str">
        <f>IF(OR(G1575=0,E1575=0),"",C1575/E1575)</f>
        <v/>
      </c>
      <c r="I1575" t="str">
        <f>IF(OR(G1575=0,F1575=0),"",D1575/F1575)</f>
        <v/>
      </c>
      <c r="J1575" t="str">
        <f>IF(OR(H1575="",I1575=""),"",IF(H1575=0,"",I1575/H1575-1))</f>
        <v/>
      </c>
      <c r="K1575" t="str">
        <f>IF($B1575="","",IFERROR(IF(G1575=0,-2E+300,CHOOSE(sortIdx,ROUND(D1575,0),IF(J1575="",-1E+300,ROUND(-J1575,6)),IF(J1575="",-1E+300,ROUND(J1575,6)))),-1.5E+300))</f>
        <v/>
      </c>
      <c r="L1575" t="str">
        <f>IF(K1575="","",RANK(K1575,$K$2:$K$3001,0)+COUNTIF($K$2:K1575,K1575)-1)</f>
        <v/>
      </c>
    </row>
    <row r="1576">
      <c r="B1576" t="str">
        <f>IFERROR(IF(A1576="","","="&amp;SUBSTITUTE(SUBSTITUTE(SUBSTITUTE(A1576,"~","~~"),"*","~*"),"?","~?")),"")</f>
        <v/>
      </c>
      <c r="C1576" t="str">
        <f>IF($B1576="","",SUMIFS(dAmt,dCust,$B1576,dPer,"&gt;="&amp;pyFrom,dPer,"&lt;="&amp;pyTo,dAmt,"&gt;-1E+300",dFlt1,critFlt1,dFlt2,critFlt2,dFlt3,critFlt3))</f>
        <v/>
      </c>
      <c r="D1576" t="str">
        <f>IF($B1576="","",SUMIFS(dAmt,dCust,$B1576,dPer,"&gt;="&amp;cyFrom,dPer,"&lt;="&amp;cyTo,dAmt,"&gt;-1E+300",dFlt1,critFlt1,dFlt2,critFlt2,dFlt3,critFlt3))</f>
        <v/>
      </c>
      <c r="E1576" t="str">
        <f>IF($B1576="","",SUMIFS(dQty,dCust,$B1576,dPer,"&gt;="&amp;pyFrom,dPer,"&lt;="&amp;pyTo,dQty,"&gt;-1E+300",dFlt1,critFlt1,dFlt2,critFlt2,dFlt3,critFlt3))</f>
        <v/>
      </c>
      <c r="F1576" t="str">
        <f>IF($B1576="","",SUMIFS(dQty,dCust,$B1576,dPer,"&gt;="&amp;cyFrom,dPer,"&lt;="&amp;cyTo,dQty,"&gt;-1E+300",dFlt1,critFlt1,dFlt2,critFlt2,dFlt3,critFlt3))</f>
        <v/>
      </c>
      <c r="G1576">
        <f>IF($B1576="",0,IFERROR(IF(OR(C1576&lt;&gt;0,D1576&lt;&gt;0,E1576&lt;&gt;0,F1576&lt;&gt;0),1,0),1))</f>
        <v>0</v>
      </c>
      <c r="H1576" t="str">
        <f>IF(OR(G1576=0,E1576=0),"",C1576/E1576)</f>
        <v/>
      </c>
      <c r="I1576" t="str">
        <f>IF(OR(G1576=0,F1576=0),"",D1576/F1576)</f>
        <v/>
      </c>
      <c r="J1576" t="str">
        <f>IF(OR(H1576="",I1576=""),"",IF(H1576=0,"",I1576/H1576-1))</f>
        <v/>
      </c>
      <c r="K1576" t="str">
        <f>IF($B1576="","",IFERROR(IF(G1576=0,-2E+300,CHOOSE(sortIdx,ROUND(D1576,0),IF(J1576="",-1E+300,ROUND(-J1576,6)),IF(J1576="",-1E+300,ROUND(J1576,6)))),-1.5E+300))</f>
        <v/>
      </c>
      <c r="L1576" t="str">
        <f>IF(K1576="","",RANK(K1576,$K$2:$K$3001,0)+COUNTIF($K$2:K1576,K1576)-1)</f>
        <v/>
      </c>
    </row>
    <row r="1577">
      <c r="B1577" t="str">
        <f>IFERROR(IF(A1577="","","="&amp;SUBSTITUTE(SUBSTITUTE(SUBSTITUTE(A1577,"~","~~"),"*","~*"),"?","~?")),"")</f>
        <v/>
      </c>
      <c r="C1577" t="str">
        <f>IF($B1577="","",SUMIFS(dAmt,dCust,$B1577,dPer,"&gt;="&amp;pyFrom,dPer,"&lt;="&amp;pyTo,dAmt,"&gt;-1E+300",dFlt1,critFlt1,dFlt2,critFlt2,dFlt3,critFlt3))</f>
        <v/>
      </c>
      <c r="D1577" t="str">
        <f>IF($B1577="","",SUMIFS(dAmt,dCust,$B1577,dPer,"&gt;="&amp;cyFrom,dPer,"&lt;="&amp;cyTo,dAmt,"&gt;-1E+300",dFlt1,critFlt1,dFlt2,critFlt2,dFlt3,critFlt3))</f>
        <v/>
      </c>
      <c r="E1577" t="str">
        <f>IF($B1577="","",SUMIFS(dQty,dCust,$B1577,dPer,"&gt;="&amp;pyFrom,dPer,"&lt;="&amp;pyTo,dQty,"&gt;-1E+300",dFlt1,critFlt1,dFlt2,critFlt2,dFlt3,critFlt3))</f>
        <v/>
      </c>
      <c r="F1577" t="str">
        <f>IF($B1577="","",SUMIFS(dQty,dCust,$B1577,dPer,"&gt;="&amp;cyFrom,dPer,"&lt;="&amp;cyTo,dQty,"&gt;-1E+300",dFlt1,critFlt1,dFlt2,critFlt2,dFlt3,critFlt3))</f>
        <v/>
      </c>
      <c r="G1577">
        <f>IF($B1577="",0,IFERROR(IF(OR(C1577&lt;&gt;0,D1577&lt;&gt;0,E1577&lt;&gt;0,F1577&lt;&gt;0),1,0),1))</f>
        <v>0</v>
      </c>
      <c r="H1577" t="str">
        <f>IF(OR(G1577=0,E1577=0),"",C1577/E1577)</f>
        <v/>
      </c>
      <c r="I1577" t="str">
        <f>IF(OR(G1577=0,F1577=0),"",D1577/F1577)</f>
        <v/>
      </c>
      <c r="J1577" t="str">
        <f>IF(OR(H1577="",I1577=""),"",IF(H1577=0,"",I1577/H1577-1))</f>
        <v/>
      </c>
      <c r="K1577" t="str">
        <f>IF($B1577="","",IFERROR(IF(G1577=0,-2E+300,CHOOSE(sortIdx,ROUND(D1577,0),IF(J1577="",-1E+300,ROUND(-J1577,6)),IF(J1577="",-1E+300,ROUND(J1577,6)))),-1.5E+300))</f>
        <v/>
      </c>
      <c r="L1577" t="str">
        <f>IF(K1577="","",RANK(K1577,$K$2:$K$3001,0)+COUNTIF($K$2:K1577,K1577)-1)</f>
        <v/>
      </c>
    </row>
    <row r="1578">
      <c r="B1578" t="str">
        <f>IFERROR(IF(A1578="","","="&amp;SUBSTITUTE(SUBSTITUTE(SUBSTITUTE(A1578,"~","~~"),"*","~*"),"?","~?")),"")</f>
        <v/>
      </c>
      <c r="C1578" t="str">
        <f>IF($B1578="","",SUMIFS(dAmt,dCust,$B1578,dPer,"&gt;="&amp;pyFrom,dPer,"&lt;="&amp;pyTo,dAmt,"&gt;-1E+300",dFlt1,critFlt1,dFlt2,critFlt2,dFlt3,critFlt3))</f>
        <v/>
      </c>
      <c r="D1578" t="str">
        <f>IF($B1578="","",SUMIFS(dAmt,dCust,$B1578,dPer,"&gt;="&amp;cyFrom,dPer,"&lt;="&amp;cyTo,dAmt,"&gt;-1E+300",dFlt1,critFlt1,dFlt2,critFlt2,dFlt3,critFlt3))</f>
        <v/>
      </c>
      <c r="E1578" t="str">
        <f>IF($B1578="","",SUMIFS(dQty,dCust,$B1578,dPer,"&gt;="&amp;pyFrom,dPer,"&lt;="&amp;pyTo,dQty,"&gt;-1E+300",dFlt1,critFlt1,dFlt2,critFlt2,dFlt3,critFlt3))</f>
        <v/>
      </c>
      <c r="F1578" t="str">
        <f>IF($B1578="","",SUMIFS(dQty,dCust,$B1578,dPer,"&gt;="&amp;cyFrom,dPer,"&lt;="&amp;cyTo,dQty,"&gt;-1E+300",dFlt1,critFlt1,dFlt2,critFlt2,dFlt3,critFlt3))</f>
        <v/>
      </c>
      <c r="G1578">
        <f>IF($B1578="",0,IFERROR(IF(OR(C1578&lt;&gt;0,D1578&lt;&gt;0,E1578&lt;&gt;0,F1578&lt;&gt;0),1,0),1))</f>
        <v>0</v>
      </c>
      <c r="H1578" t="str">
        <f>IF(OR(G1578=0,E1578=0),"",C1578/E1578)</f>
        <v/>
      </c>
      <c r="I1578" t="str">
        <f>IF(OR(G1578=0,F1578=0),"",D1578/F1578)</f>
        <v/>
      </c>
      <c r="J1578" t="str">
        <f>IF(OR(H1578="",I1578=""),"",IF(H1578=0,"",I1578/H1578-1))</f>
        <v/>
      </c>
      <c r="K1578" t="str">
        <f>IF($B1578="","",IFERROR(IF(G1578=0,-2E+300,CHOOSE(sortIdx,ROUND(D1578,0),IF(J1578="",-1E+300,ROUND(-J1578,6)),IF(J1578="",-1E+300,ROUND(J1578,6)))),-1.5E+300))</f>
        <v/>
      </c>
      <c r="L1578" t="str">
        <f>IF(K1578="","",RANK(K1578,$K$2:$K$3001,0)+COUNTIF($K$2:K1578,K1578)-1)</f>
        <v/>
      </c>
    </row>
    <row r="1579">
      <c r="B1579" t="str">
        <f>IFERROR(IF(A1579="","","="&amp;SUBSTITUTE(SUBSTITUTE(SUBSTITUTE(A1579,"~","~~"),"*","~*"),"?","~?")),"")</f>
        <v/>
      </c>
      <c r="C1579" t="str">
        <f>IF($B1579="","",SUMIFS(dAmt,dCust,$B1579,dPer,"&gt;="&amp;pyFrom,dPer,"&lt;="&amp;pyTo,dAmt,"&gt;-1E+300",dFlt1,critFlt1,dFlt2,critFlt2,dFlt3,critFlt3))</f>
        <v/>
      </c>
      <c r="D1579" t="str">
        <f>IF($B1579="","",SUMIFS(dAmt,dCust,$B1579,dPer,"&gt;="&amp;cyFrom,dPer,"&lt;="&amp;cyTo,dAmt,"&gt;-1E+300",dFlt1,critFlt1,dFlt2,critFlt2,dFlt3,critFlt3))</f>
        <v/>
      </c>
      <c r="E1579" t="str">
        <f>IF($B1579="","",SUMIFS(dQty,dCust,$B1579,dPer,"&gt;="&amp;pyFrom,dPer,"&lt;="&amp;pyTo,dQty,"&gt;-1E+300",dFlt1,critFlt1,dFlt2,critFlt2,dFlt3,critFlt3))</f>
        <v/>
      </c>
      <c r="F1579" t="str">
        <f>IF($B1579="","",SUMIFS(dQty,dCust,$B1579,dPer,"&gt;="&amp;cyFrom,dPer,"&lt;="&amp;cyTo,dQty,"&gt;-1E+300",dFlt1,critFlt1,dFlt2,critFlt2,dFlt3,critFlt3))</f>
        <v/>
      </c>
      <c r="G1579">
        <f>IF($B1579="",0,IFERROR(IF(OR(C1579&lt;&gt;0,D1579&lt;&gt;0,E1579&lt;&gt;0,F1579&lt;&gt;0),1,0),1))</f>
        <v>0</v>
      </c>
      <c r="H1579" t="str">
        <f>IF(OR(G1579=0,E1579=0),"",C1579/E1579)</f>
        <v/>
      </c>
      <c r="I1579" t="str">
        <f>IF(OR(G1579=0,F1579=0),"",D1579/F1579)</f>
        <v/>
      </c>
      <c r="J1579" t="str">
        <f>IF(OR(H1579="",I1579=""),"",IF(H1579=0,"",I1579/H1579-1))</f>
        <v/>
      </c>
      <c r="K1579" t="str">
        <f>IF($B1579="","",IFERROR(IF(G1579=0,-2E+300,CHOOSE(sortIdx,ROUND(D1579,0),IF(J1579="",-1E+300,ROUND(-J1579,6)),IF(J1579="",-1E+300,ROUND(J1579,6)))),-1.5E+300))</f>
        <v/>
      </c>
      <c r="L1579" t="str">
        <f>IF(K1579="","",RANK(K1579,$K$2:$K$3001,0)+COUNTIF($K$2:K1579,K1579)-1)</f>
        <v/>
      </c>
    </row>
    <row r="1580">
      <c r="B1580" t="str">
        <f>IFERROR(IF(A1580="","","="&amp;SUBSTITUTE(SUBSTITUTE(SUBSTITUTE(A1580,"~","~~"),"*","~*"),"?","~?")),"")</f>
        <v/>
      </c>
      <c r="C1580" t="str">
        <f>IF($B1580="","",SUMIFS(dAmt,dCust,$B1580,dPer,"&gt;="&amp;pyFrom,dPer,"&lt;="&amp;pyTo,dAmt,"&gt;-1E+300",dFlt1,critFlt1,dFlt2,critFlt2,dFlt3,critFlt3))</f>
        <v/>
      </c>
      <c r="D1580" t="str">
        <f>IF($B1580="","",SUMIFS(dAmt,dCust,$B1580,dPer,"&gt;="&amp;cyFrom,dPer,"&lt;="&amp;cyTo,dAmt,"&gt;-1E+300",dFlt1,critFlt1,dFlt2,critFlt2,dFlt3,critFlt3))</f>
        <v/>
      </c>
      <c r="E1580" t="str">
        <f>IF($B1580="","",SUMIFS(dQty,dCust,$B1580,dPer,"&gt;="&amp;pyFrom,dPer,"&lt;="&amp;pyTo,dQty,"&gt;-1E+300",dFlt1,critFlt1,dFlt2,critFlt2,dFlt3,critFlt3))</f>
        <v/>
      </c>
      <c r="F1580" t="str">
        <f>IF($B1580="","",SUMIFS(dQty,dCust,$B1580,dPer,"&gt;="&amp;cyFrom,dPer,"&lt;="&amp;cyTo,dQty,"&gt;-1E+300",dFlt1,critFlt1,dFlt2,critFlt2,dFlt3,critFlt3))</f>
        <v/>
      </c>
      <c r="G1580">
        <f>IF($B1580="",0,IFERROR(IF(OR(C1580&lt;&gt;0,D1580&lt;&gt;0,E1580&lt;&gt;0,F1580&lt;&gt;0),1,0),1))</f>
        <v>0</v>
      </c>
      <c r="H1580" t="str">
        <f>IF(OR(G1580=0,E1580=0),"",C1580/E1580)</f>
        <v/>
      </c>
      <c r="I1580" t="str">
        <f>IF(OR(G1580=0,F1580=0),"",D1580/F1580)</f>
        <v/>
      </c>
      <c r="J1580" t="str">
        <f>IF(OR(H1580="",I1580=""),"",IF(H1580=0,"",I1580/H1580-1))</f>
        <v/>
      </c>
      <c r="K1580" t="str">
        <f>IF($B1580="","",IFERROR(IF(G1580=0,-2E+300,CHOOSE(sortIdx,ROUND(D1580,0),IF(J1580="",-1E+300,ROUND(-J1580,6)),IF(J1580="",-1E+300,ROUND(J1580,6)))),-1.5E+300))</f>
        <v/>
      </c>
      <c r="L1580" t="str">
        <f>IF(K1580="","",RANK(K1580,$K$2:$K$3001,0)+COUNTIF($K$2:K1580,K1580)-1)</f>
        <v/>
      </c>
    </row>
    <row r="1581">
      <c r="B1581" t="str">
        <f>IFERROR(IF(A1581="","","="&amp;SUBSTITUTE(SUBSTITUTE(SUBSTITUTE(A1581,"~","~~"),"*","~*"),"?","~?")),"")</f>
        <v/>
      </c>
      <c r="C1581" t="str">
        <f>IF($B1581="","",SUMIFS(dAmt,dCust,$B1581,dPer,"&gt;="&amp;pyFrom,dPer,"&lt;="&amp;pyTo,dAmt,"&gt;-1E+300",dFlt1,critFlt1,dFlt2,critFlt2,dFlt3,critFlt3))</f>
        <v/>
      </c>
      <c r="D1581" t="str">
        <f>IF($B1581="","",SUMIFS(dAmt,dCust,$B1581,dPer,"&gt;="&amp;cyFrom,dPer,"&lt;="&amp;cyTo,dAmt,"&gt;-1E+300",dFlt1,critFlt1,dFlt2,critFlt2,dFlt3,critFlt3))</f>
        <v/>
      </c>
      <c r="E1581" t="str">
        <f>IF($B1581="","",SUMIFS(dQty,dCust,$B1581,dPer,"&gt;="&amp;pyFrom,dPer,"&lt;="&amp;pyTo,dQty,"&gt;-1E+300",dFlt1,critFlt1,dFlt2,critFlt2,dFlt3,critFlt3))</f>
        <v/>
      </c>
      <c r="F1581" t="str">
        <f>IF($B1581="","",SUMIFS(dQty,dCust,$B1581,dPer,"&gt;="&amp;cyFrom,dPer,"&lt;="&amp;cyTo,dQty,"&gt;-1E+300",dFlt1,critFlt1,dFlt2,critFlt2,dFlt3,critFlt3))</f>
        <v/>
      </c>
      <c r="G1581">
        <f>IF($B1581="",0,IFERROR(IF(OR(C1581&lt;&gt;0,D1581&lt;&gt;0,E1581&lt;&gt;0,F1581&lt;&gt;0),1,0),1))</f>
        <v>0</v>
      </c>
      <c r="H1581" t="str">
        <f>IF(OR(G1581=0,E1581=0),"",C1581/E1581)</f>
        <v/>
      </c>
      <c r="I1581" t="str">
        <f>IF(OR(G1581=0,F1581=0),"",D1581/F1581)</f>
        <v/>
      </c>
      <c r="J1581" t="str">
        <f>IF(OR(H1581="",I1581=""),"",IF(H1581=0,"",I1581/H1581-1))</f>
        <v/>
      </c>
      <c r="K1581" t="str">
        <f>IF($B1581="","",IFERROR(IF(G1581=0,-2E+300,CHOOSE(sortIdx,ROUND(D1581,0),IF(J1581="",-1E+300,ROUND(-J1581,6)),IF(J1581="",-1E+300,ROUND(J1581,6)))),-1.5E+300))</f>
        <v/>
      </c>
      <c r="L1581" t="str">
        <f>IF(K1581="","",RANK(K1581,$K$2:$K$3001,0)+COUNTIF($K$2:K1581,K1581)-1)</f>
        <v/>
      </c>
    </row>
    <row r="1582">
      <c r="B1582" t="str">
        <f>IFERROR(IF(A1582="","","="&amp;SUBSTITUTE(SUBSTITUTE(SUBSTITUTE(A1582,"~","~~"),"*","~*"),"?","~?")),"")</f>
        <v/>
      </c>
      <c r="C1582" t="str">
        <f>IF($B1582="","",SUMIFS(dAmt,dCust,$B1582,dPer,"&gt;="&amp;pyFrom,dPer,"&lt;="&amp;pyTo,dAmt,"&gt;-1E+300",dFlt1,critFlt1,dFlt2,critFlt2,dFlt3,critFlt3))</f>
        <v/>
      </c>
      <c r="D1582" t="str">
        <f>IF($B1582="","",SUMIFS(dAmt,dCust,$B1582,dPer,"&gt;="&amp;cyFrom,dPer,"&lt;="&amp;cyTo,dAmt,"&gt;-1E+300",dFlt1,critFlt1,dFlt2,critFlt2,dFlt3,critFlt3))</f>
        <v/>
      </c>
      <c r="E1582" t="str">
        <f>IF($B1582="","",SUMIFS(dQty,dCust,$B1582,dPer,"&gt;="&amp;pyFrom,dPer,"&lt;="&amp;pyTo,dQty,"&gt;-1E+300",dFlt1,critFlt1,dFlt2,critFlt2,dFlt3,critFlt3))</f>
        <v/>
      </c>
      <c r="F1582" t="str">
        <f>IF($B1582="","",SUMIFS(dQty,dCust,$B1582,dPer,"&gt;="&amp;cyFrom,dPer,"&lt;="&amp;cyTo,dQty,"&gt;-1E+300",dFlt1,critFlt1,dFlt2,critFlt2,dFlt3,critFlt3))</f>
        <v/>
      </c>
      <c r="G1582">
        <f>IF($B1582="",0,IFERROR(IF(OR(C1582&lt;&gt;0,D1582&lt;&gt;0,E1582&lt;&gt;0,F1582&lt;&gt;0),1,0),1))</f>
        <v>0</v>
      </c>
      <c r="H1582" t="str">
        <f>IF(OR(G1582=0,E1582=0),"",C1582/E1582)</f>
        <v/>
      </c>
      <c r="I1582" t="str">
        <f>IF(OR(G1582=0,F1582=0),"",D1582/F1582)</f>
        <v/>
      </c>
      <c r="J1582" t="str">
        <f>IF(OR(H1582="",I1582=""),"",IF(H1582=0,"",I1582/H1582-1))</f>
        <v/>
      </c>
      <c r="K1582" t="str">
        <f>IF($B1582="","",IFERROR(IF(G1582=0,-2E+300,CHOOSE(sortIdx,ROUND(D1582,0),IF(J1582="",-1E+300,ROUND(-J1582,6)),IF(J1582="",-1E+300,ROUND(J1582,6)))),-1.5E+300))</f>
        <v/>
      </c>
      <c r="L1582" t="str">
        <f>IF(K1582="","",RANK(K1582,$K$2:$K$3001,0)+COUNTIF($K$2:K1582,K1582)-1)</f>
        <v/>
      </c>
    </row>
    <row r="1583">
      <c r="B1583" t="str">
        <f>IFERROR(IF(A1583="","","="&amp;SUBSTITUTE(SUBSTITUTE(SUBSTITUTE(A1583,"~","~~"),"*","~*"),"?","~?")),"")</f>
        <v/>
      </c>
      <c r="C1583" t="str">
        <f>IF($B1583="","",SUMIFS(dAmt,dCust,$B1583,dPer,"&gt;="&amp;pyFrom,dPer,"&lt;="&amp;pyTo,dAmt,"&gt;-1E+300",dFlt1,critFlt1,dFlt2,critFlt2,dFlt3,critFlt3))</f>
        <v/>
      </c>
      <c r="D1583" t="str">
        <f>IF($B1583="","",SUMIFS(dAmt,dCust,$B1583,dPer,"&gt;="&amp;cyFrom,dPer,"&lt;="&amp;cyTo,dAmt,"&gt;-1E+300",dFlt1,critFlt1,dFlt2,critFlt2,dFlt3,critFlt3))</f>
        <v/>
      </c>
      <c r="E1583" t="str">
        <f>IF($B1583="","",SUMIFS(dQty,dCust,$B1583,dPer,"&gt;="&amp;pyFrom,dPer,"&lt;="&amp;pyTo,dQty,"&gt;-1E+300",dFlt1,critFlt1,dFlt2,critFlt2,dFlt3,critFlt3))</f>
        <v/>
      </c>
      <c r="F1583" t="str">
        <f>IF($B1583="","",SUMIFS(dQty,dCust,$B1583,dPer,"&gt;="&amp;cyFrom,dPer,"&lt;="&amp;cyTo,dQty,"&gt;-1E+300",dFlt1,critFlt1,dFlt2,critFlt2,dFlt3,critFlt3))</f>
        <v/>
      </c>
      <c r="G1583">
        <f>IF($B1583="",0,IFERROR(IF(OR(C1583&lt;&gt;0,D1583&lt;&gt;0,E1583&lt;&gt;0,F1583&lt;&gt;0),1,0),1))</f>
        <v>0</v>
      </c>
      <c r="H1583" t="str">
        <f>IF(OR(G1583=0,E1583=0),"",C1583/E1583)</f>
        <v/>
      </c>
      <c r="I1583" t="str">
        <f>IF(OR(G1583=0,F1583=0),"",D1583/F1583)</f>
        <v/>
      </c>
      <c r="J1583" t="str">
        <f>IF(OR(H1583="",I1583=""),"",IF(H1583=0,"",I1583/H1583-1))</f>
        <v/>
      </c>
      <c r="K1583" t="str">
        <f>IF($B1583="","",IFERROR(IF(G1583=0,-2E+300,CHOOSE(sortIdx,ROUND(D1583,0),IF(J1583="",-1E+300,ROUND(-J1583,6)),IF(J1583="",-1E+300,ROUND(J1583,6)))),-1.5E+300))</f>
        <v/>
      </c>
      <c r="L1583" t="str">
        <f>IF(K1583="","",RANK(K1583,$K$2:$K$3001,0)+COUNTIF($K$2:K1583,K1583)-1)</f>
        <v/>
      </c>
    </row>
    <row r="1584">
      <c r="B1584" t="str">
        <f>IFERROR(IF(A1584="","","="&amp;SUBSTITUTE(SUBSTITUTE(SUBSTITUTE(A1584,"~","~~"),"*","~*"),"?","~?")),"")</f>
        <v/>
      </c>
      <c r="C1584" t="str">
        <f>IF($B1584="","",SUMIFS(dAmt,dCust,$B1584,dPer,"&gt;="&amp;pyFrom,dPer,"&lt;="&amp;pyTo,dAmt,"&gt;-1E+300",dFlt1,critFlt1,dFlt2,critFlt2,dFlt3,critFlt3))</f>
        <v/>
      </c>
      <c r="D1584" t="str">
        <f>IF($B1584="","",SUMIFS(dAmt,dCust,$B1584,dPer,"&gt;="&amp;cyFrom,dPer,"&lt;="&amp;cyTo,dAmt,"&gt;-1E+300",dFlt1,critFlt1,dFlt2,critFlt2,dFlt3,critFlt3))</f>
        <v/>
      </c>
      <c r="E1584" t="str">
        <f>IF($B1584="","",SUMIFS(dQty,dCust,$B1584,dPer,"&gt;="&amp;pyFrom,dPer,"&lt;="&amp;pyTo,dQty,"&gt;-1E+300",dFlt1,critFlt1,dFlt2,critFlt2,dFlt3,critFlt3))</f>
        <v/>
      </c>
      <c r="F1584" t="str">
        <f>IF($B1584="","",SUMIFS(dQty,dCust,$B1584,dPer,"&gt;="&amp;cyFrom,dPer,"&lt;="&amp;cyTo,dQty,"&gt;-1E+300",dFlt1,critFlt1,dFlt2,critFlt2,dFlt3,critFlt3))</f>
        <v/>
      </c>
      <c r="G1584">
        <f>IF($B1584="",0,IFERROR(IF(OR(C1584&lt;&gt;0,D1584&lt;&gt;0,E1584&lt;&gt;0,F1584&lt;&gt;0),1,0),1))</f>
        <v>0</v>
      </c>
      <c r="H1584" t="str">
        <f>IF(OR(G1584=0,E1584=0),"",C1584/E1584)</f>
        <v/>
      </c>
      <c r="I1584" t="str">
        <f>IF(OR(G1584=0,F1584=0),"",D1584/F1584)</f>
        <v/>
      </c>
      <c r="J1584" t="str">
        <f>IF(OR(H1584="",I1584=""),"",IF(H1584=0,"",I1584/H1584-1))</f>
        <v/>
      </c>
      <c r="K1584" t="str">
        <f>IF($B1584="","",IFERROR(IF(G1584=0,-2E+300,CHOOSE(sortIdx,ROUND(D1584,0),IF(J1584="",-1E+300,ROUND(-J1584,6)),IF(J1584="",-1E+300,ROUND(J1584,6)))),-1.5E+300))</f>
        <v/>
      </c>
      <c r="L1584" t="str">
        <f>IF(K1584="","",RANK(K1584,$K$2:$K$3001,0)+COUNTIF($K$2:K1584,K1584)-1)</f>
        <v/>
      </c>
    </row>
    <row r="1585">
      <c r="B1585" t="str">
        <f>IFERROR(IF(A1585="","","="&amp;SUBSTITUTE(SUBSTITUTE(SUBSTITUTE(A1585,"~","~~"),"*","~*"),"?","~?")),"")</f>
        <v/>
      </c>
      <c r="C1585" t="str">
        <f>IF($B1585="","",SUMIFS(dAmt,dCust,$B1585,dPer,"&gt;="&amp;pyFrom,dPer,"&lt;="&amp;pyTo,dAmt,"&gt;-1E+300",dFlt1,critFlt1,dFlt2,critFlt2,dFlt3,critFlt3))</f>
        <v/>
      </c>
      <c r="D1585" t="str">
        <f>IF($B1585="","",SUMIFS(dAmt,dCust,$B1585,dPer,"&gt;="&amp;cyFrom,dPer,"&lt;="&amp;cyTo,dAmt,"&gt;-1E+300",dFlt1,critFlt1,dFlt2,critFlt2,dFlt3,critFlt3))</f>
        <v/>
      </c>
      <c r="E1585" t="str">
        <f>IF($B1585="","",SUMIFS(dQty,dCust,$B1585,dPer,"&gt;="&amp;pyFrom,dPer,"&lt;="&amp;pyTo,dQty,"&gt;-1E+300",dFlt1,critFlt1,dFlt2,critFlt2,dFlt3,critFlt3))</f>
        <v/>
      </c>
      <c r="F1585" t="str">
        <f>IF($B1585="","",SUMIFS(dQty,dCust,$B1585,dPer,"&gt;="&amp;cyFrom,dPer,"&lt;="&amp;cyTo,dQty,"&gt;-1E+300",dFlt1,critFlt1,dFlt2,critFlt2,dFlt3,critFlt3))</f>
        <v/>
      </c>
      <c r="G1585">
        <f>IF($B1585="",0,IFERROR(IF(OR(C1585&lt;&gt;0,D1585&lt;&gt;0,E1585&lt;&gt;0,F1585&lt;&gt;0),1,0),1))</f>
        <v>0</v>
      </c>
      <c r="H1585" t="str">
        <f>IF(OR(G1585=0,E1585=0),"",C1585/E1585)</f>
        <v/>
      </c>
      <c r="I1585" t="str">
        <f>IF(OR(G1585=0,F1585=0),"",D1585/F1585)</f>
        <v/>
      </c>
      <c r="J1585" t="str">
        <f>IF(OR(H1585="",I1585=""),"",IF(H1585=0,"",I1585/H1585-1))</f>
        <v/>
      </c>
      <c r="K1585" t="str">
        <f>IF($B1585="","",IFERROR(IF(G1585=0,-2E+300,CHOOSE(sortIdx,ROUND(D1585,0),IF(J1585="",-1E+300,ROUND(-J1585,6)),IF(J1585="",-1E+300,ROUND(J1585,6)))),-1.5E+300))</f>
        <v/>
      </c>
      <c r="L1585" t="str">
        <f>IF(K1585="","",RANK(K1585,$K$2:$K$3001,0)+COUNTIF($K$2:K1585,K1585)-1)</f>
        <v/>
      </c>
    </row>
    <row r="1586">
      <c r="B1586" t="str">
        <f>IFERROR(IF(A1586="","","="&amp;SUBSTITUTE(SUBSTITUTE(SUBSTITUTE(A1586,"~","~~"),"*","~*"),"?","~?")),"")</f>
        <v/>
      </c>
      <c r="C1586" t="str">
        <f>IF($B1586="","",SUMIFS(dAmt,dCust,$B1586,dPer,"&gt;="&amp;pyFrom,dPer,"&lt;="&amp;pyTo,dAmt,"&gt;-1E+300",dFlt1,critFlt1,dFlt2,critFlt2,dFlt3,critFlt3))</f>
        <v/>
      </c>
      <c r="D1586" t="str">
        <f>IF($B1586="","",SUMIFS(dAmt,dCust,$B1586,dPer,"&gt;="&amp;cyFrom,dPer,"&lt;="&amp;cyTo,dAmt,"&gt;-1E+300",dFlt1,critFlt1,dFlt2,critFlt2,dFlt3,critFlt3))</f>
        <v/>
      </c>
      <c r="E1586" t="str">
        <f>IF($B1586="","",SUMIFS(dQty,dCust,$B1586,dPer,"&gt;="&amp;pyFrom,dPer,"&lt;="&amp;pyTo,dQty,"&gt;-1E+300",dFlt1,critFlt1,dFlt2,critFlt2,dFlt3,critFlt3))</f>
        <v/>
      </c>
      <c r="F1586" t="str">
        <f>IF($B1586="","",SUMIFS(dQty,dCust,$B1586,dPer,"&gt;="&amp;cyFrom,dPer,"&lt;="&amp;cyTo,dQty,"&gt;-1E+300",dFlt1,critFlt1,dFlt2,critFlt2,dFlt3,critFlt3))</f>
        <v/>
      </c>
      <c r="G1586">
        <f>IF($B1586="",0,IFERROR(IF(OR(C1586&lt;&gt;0,D1586&lt;&gt;0,E1586&lt;&gt;0,F1586&lt;&gt;0),1,0),1))</f>
        <v>0</v>
      </c>
      <c r="H1586" t="str">
        <f>IF(OR(G1586=0,E1586=0),"",C1586/E1586)</f>
        <v/>
      </c>
      <c r="I1586" t="str">
        <f>IF(OR(G1586=0,F1586=0),"",D1586/F1586)</f>
        <v/>
      </c>
      <c r="J1586" t="str">
        <f>IF(OR(H1586="",I1586=""),"",IF(H1586=0,"",I1586/H1586-1))</f>
        <v/>
      </c>
      <c r="K1586" t="str">
        <f>IF($B1586="","",IFERROR(IF(G1586=0,-2E+300,CHOOSE(sortIdx,ROUND(D1586,0),IF(J1586="",-1E+300,ROUND(-J1586,6)),IF(J1586="",-1E+300,ROUND(J1586,6)))),-1.5E+300))</f>
        <v/>
      </c>
      <c r="L1586" t="str">
        <f>IF(K1586="","",RANK(K1586,$K$2:$K$3001,0)+COUNTIF($K$2:K1586,K1586)-1)</f>
        <v/>
      </c>
    </row>
    <row r="1587">
      <c r="B1587" t="str">
        <f>IFERROR(IF(A1587="","","="&amp;SUBSTITUTE(SUBSTITUTE(SUBSTITUTE(A1587,"~","~~"),"*","~*"),"?","~?")),"")</f>
        <v/>
      </c>
      <c r="C1587" t="str">
        <f>IF($B1587="","",SUMIFS(dAmt,dCust,$B1587,dPer,"&gt;="&amp;pyFrom,dPer,"&lt;="&amp;pyTo,dAmt,"&gt;-1E+300",dFlt1,critFlt1,dFlt2,critFlt2,dFlt3,critFlt3))</f>
        <v/>
      </c>
      <c r="D1587" t="str">
        <f>IF($B1587="","",SUMIFS(dAmt,dCust,$B1587,dPer,"&gt;="&amp;cyFrom,dPer,"&lt;="&amp;cyTo,dAmt,"&gt;-1E+300",dFlt1,critFlt1,dFlt2,critFlt2,dFlt3,critFlt3))</f>
        <v/>
      </c>
      <c r="E1587" t="str">
        <f>IF($B1587="","",SUMIFS(dQty,dCust,$B1587,dPer,"&gt;="&amp;pyFrom,dPer,"&lt;="&amp;pyTo,dQty,"&gt;-1E+300",dFlt1,critFlt1,dFlt2,critFlt2,dFlt3,critFlt3))</f>
        <v/>
      </c>
      <c r="F1587" t="str">
        <f>IF($B1587="","",SUMIFS(dQty,dCust,$B1587,dPer,"&gt;="&amp;cyFrom,dPer,"&lt;="&amp;cyTo,dQty,"&gt;-1E+300",dFlt1,critFlt1,dFlt2,critFlt2,dFlt3,critFlt3))</f>
        <v/>
      </c>
      <c r="G1587">
        <f>IF($B1587="",0,IFERROR(IF(OR(C1587&lt;&gt;0,D1587&lt;&gt;0,E1587&lt;&gt;0,F1587&lt;&gt;0),1,0),1))</f>
        <v>0</v>
      </c>
      <c r="H1587" t="str">
        <f>IF(OR(G1587=0,E1587=0),"",C1587/E1587)</f>
        <v/>
      </c>
      <c r="I1587" t="str">
        <f>IF(OR(G1587=0,F1587=0),"",D1587/F1587)</f>
        <v/>
      </c>
      <c r="J1587" t="str">
        <f>IF(OR(H1587="",I1587=""),"",IF(H1587=0,"",I1587/H1587-1))</f>
        <v/>
      </c>
      <c r="K1587" t="str">
        <f>IF($B1587="","",IFERROR(IF(G1587=0,-2E+300,CHOOSE(sortIdx,ROUND(D1587,0),IF(J1587="",-1E+300,ROUND(-J1587,6)),IF(J1587="",-1E+300,ROUND(J1587,6)))),-1.5E+300))</f>
        <v/>
      </c>
      <c r="L1587" t="str">
        <f>IF(K1587="","",RANK(K1587,$K$2:$K$3001,0)+COUNTIF($K$2:K1587,K1587)-1)</f>
        <v/>
      </c>
    </row>
    <row r="1588">
      <c r="B1588" t="str">
        <f>IFERROR(IF(A1588="","","="&amp;SUBSTITUTE(SUBSTITUTE(SUBSTITUTE(A1588,"~","~~"),"*","~*"),"?","~?")),"")</f>
        <v/>
      </c>
      <c r="C1588" t="str">
        <f>IF($B1588="","",SUMIFS(dAmt,dCust,$B1588,dPer,"&gt;="&amp;pyFrom,dPer,"&lt;="&amp;pyTo,dAmt,"&gt;-1E+300",dFlt1,critFlt1,dFlt2,critFlt2,dFlt3,critFlt3))</f>
        <v/>
      </c>
      <c r="D1588" t="str">
        <f>IF($B1588="","",SUMIFS(dAmt,dCust,$B1588,dPer,"&gt;="&amp;cyFrom,dPer,"&lt;="&amp;cyTo,dAmt,"&gt;-1E+300",dFlt1,critFlt1,dFlt2,critFlt2,dFlt3,critFlt3))</f>
        <v/>
      </c>
      <c r="E1588" t="str">
        <f>IF($B1588="","",SUMIFS(dQty,dCust,$B1588,dPer,"&gt;="&amp;pyFrom,dPer,"&lt;="&amp;pyTo,dQty,"&gt;-1E+300",dFlt1,critFlt1,dFlt2,critFlt2,dFlt3,critFlt3))</f>
        <v/>
      </c>
      <c r="F1588" t="str">
        <f>IF($B1588="","",SUMIFS(dQty,dCust,$B1588,dPer,"&gt;="&amp;cyFrom,dPer,"&lt;="&amp;cyTo,dQty,"&gt;-1E+300",dFlt1,critFlt1,dFlt2,critFlt2,dFlt3,critFlt3))</f>
        <v/>
      </c>
      <c r="G1588">
        <f>IF($B1588="",0,IFERROR(IF(OR(C1588&lt;&gt;0,D1588&lt;&gt;0,E1588&lt;&gt;0,F1588&lt;&gt;0),1,0),1))</f>
        <v>0</v>
      </c>
      <c r="H1588" t="str">
        <f>IF(OR(G1588=0,E1588=0),"",C1588/E1588)</f>
        <v/>
      </c>
      <c r="I1588" t="str">
        <f>IF(OR(G1588=0,F1588=0),"",D1588/F1588)</f>
        <v/>
      </c>
      <c r="J1588" t="str">
        <f>IF(OR(H1588="",I1588=""),"",IF(H1588=0,"",I1588/H1588-1))</f>
        <v/>
      </c>
      <c r="K1588" t="str">
        <f>IF($B1588="","",IFERROR(IF(G1588=0,-2E+300,CHOOSE(sortIdx,ROUND(D1588,0),IF(J1588="",-1E+300,ROUND(-J1588,6)),IF(J1588="",-1E+300,ROUND(J1588,6)))),-1.5E+300))</f>
        <v/>
      </c>
      <c r="L1588" t="str">
        <f>IF(K1588="","",RANK(K1588,$K$2:$K$3001,0)+COUNTIF($K$2:K1588,K1588)-1)</f>
        <v/>
      </c>
    </row>
    <row r="1589">
      <c r="B1589" t="str">
        <f>IFERROR(IF(A1589="","","="&amp;SUBSTITUTE(SUBSTITUTE(SUBSTITUTE(A1589,"~","~~"),"*","~*"),"?","~?")),"")</f>
        <v/>
      </c>
      <c r="C1589" t="str">
        <f>IF($B1589="","",SUMIFS(dAmt,dCust,$B1589,dPer,"&gt;="&amp;pyFrom,dPer,"&lt;="&amp;pyTo,dAmt,"&gt;-1E+300",dFlt1,critFlt1,dFlt2,critFlt2,dFlt3,critFlt3))</f>
        <v/>
      </c>
      <c r="D1589" t="str">
        <f>IF($B1589="","",SUMIFS(dAmt,dCust,$B1589,dPer,"&gt;="&amp;cyFrom,dPer,"&lt;="&amp;cyTo,dAmt,"&gt;-1E+300",dFlt1,critFlt1,dFlt2,critFlt2,dFlt3,critFlt3))</f>
        <v/>
      </c>
      <c r="E1589" t="str">
        <f>IF($B1589="","",SUMIFS(dQty,dCust,$B1589,dPer,"&gt;="&amp;pyFrom,dPer,"&lt;="&amp;pyTo,dQty,"&gt;-1E+300",dFlt1,critFlt1,dFlt2,critFlt2,dFlt3,critFlt3))</f>
        <v/>
      </c>
      <c r="F1589" t="str">
        <f>IF($B1589="","",SUMIFS(dQty,dCust,$B1589,dPer,"&gt;="&amp;cyFrom,dPer,"&lt;="&amp;cyTo,dQty,"&gt;-1E+300",dFlt1,critFlt1,dFlt2,critFlt2,dFlt3,critFlt3))</f>
        <v/>
      </c>
      <c r="G1589">
        <f>IF($B1589="",0,IFERROR(IF(OR(C1589&lt;&gt;0,D1589&lt;&gt;0,E1589&lt;&gt;0,F1589&lt;&gt;0),1,0),1))</f>
        <v>0</v>
      </c>
      <c r="H1589" t="str">
        <f>IF(OR(G1589=0,E1589=0),"",C1589/E1589)</f>
        <v/>
      </c>
      <c r="I1589" t="str">
        <f>IF(OR(G1589=0,F1589=0),"",D1589/F1589)</f>
        <v/>
      </c>
      <c r="J1589" t="str">
        <f>IF(OR(H1589="",I1589=""),"",IF(H1589=0,"",I1589/H1589-1))</f>
        <v/>
      </c>
      <c r="K1589" t="str">
        <f>IF($B1589="","",IFERROR(IF(G1589=0,-2E+300,CHOOSE(sortIdx,ROUND(D1589,0),IF(J1589="",-1E+300,ROUND(-J1589,6)),IF(J1589="",-1E+300,ROUND(J1589,6)))),-1.5E+300))</f>
        <v/>
      </c>
      <c r="L1589" t="str">
        <f>IF(K1589="","",RANK(K1589,$K$2:$K$3001,0)+COUNTIF($K$2:K1589,K1589)-1)</f>
        <v/>
      </c>
    </row>
    <row r="1590">
      <c r="B1590" t="str">
        <f>IFERROR(IF(A1590="","","="&amp;SUBSTITUTE(SUBSTITUTE(SUBSTITUTE(A1590,"~","~~"),"*","~*"),"?","~?")),"")</f>
        <v/>
      </c>
      <c r="C1590" t="str">
        <f>IF($B1590="","",SUMIFS(dAmt,dCust,$B1590,dPer,"&gt;="&amp;pyFrom,dPer,"&lt;="&amp;pyTo,dAmt,"&gt;-1E+300",dFlt1,critFlt1,dFlt2,critFlt2,dFlt3,critFlt3))</f>
        <v/>
      </c>
      <c r="D1590" t="str">
        <f>IF($B1590="","",SUMIFS(dAmt,dCust,$B1590,dPer,"&gt;="&amp;cyFrom,dPer,"&lt;="&amp;cyTo,dAmt,"&gt;-1E+300",dFlt1,critFlt1,dFlt2,critFlt2,dFlt3,critFlt3))</f>
        <v/>
      </c>
      <c r="E1590" t="str">
        <f>IF($B1590="","",SUMIFS(dQty,dCust,$B1590,dPer,"&gt;="&amp;pyFrom,dPer,"&lt;="&amp;pyTo,dQty,"&gt;-1E+300",dFlt1,critFlt1,dFlt2,critFlt2,dFlt3,critFlt3))</f>
        <v/>
      </c>
      <c r="F1590" t="str">
        <f>IF($B1590="","",SUMIFS(dQty,dCust,$B1590,dPer,"&gt;="&amp;cyFrom,dPer,"&lt;="&amp;cyTo,dQty,"&gt;-1E+300",dFlt1,critFlt1,dFlt2,critFlt2,dFlt3,critFlt3))</f>
        <v/>
      </c>
      <c r="G1590">
        <f>IF($B1590="",0,IFERROR(IF(OR(C1590&lt;&gt;0,D1590&lt;&gt;0,E1590&lt;&gt;0,F1590&lt;&gt;0),1,0),1))</f>
        <v>0</v>
      </c>
      <c r="H1590" t="str">
        <f>IF(OR(G1590=0,E1590=0),"",C1590/E1590)</f>
        <v/>
      </c>
      <c r="I1590" t="str">
        <f>IF(OR(G1590=0,F1590=0),"",D1590/F1590)</f>
        <v/>
      </c>
      <c r="J1590" t="str">
        <f>IF(OR(H1590="",I1590=""),"",IF(H1590=0,"",I1590/H1590-1))</f>
        <v/>
      </c>
      <c r="K1590" t="str">
        <f>IF($B1590="","",IFERROR(IF(G1590=0,-2E+300,CHOOSE(sortIdx,ROUND(D1590,0),IF(J1590="",-1E+300,ROUND(-J1590,6)),IF(J1590="",-1E+300,ROUND(J1590,6)))),-1.5E+300))</f>
        <v/>
      </c>
      <c r="L1590" t="str">
        <f>IF(K1590="","",RANK(K1590,$K$2:$K$3001,0)+COUNTIF($K$2:K1590,K1590)-1)</f>
        <v/>
      </c>
    </row>
    <row r="1591">
      <c r="B1591" t="str">
        <f>IFERROR(IF(A1591="","","="&amp;SUBSTITUTE(SUBSTITUTE(SUBSTITUTE(A1591,"~","~~"),"*","~*"),"?","~?")),"")</f>
        <v/>
      </c>
      <c r="C1591" t="str">
        <f>IF($B1591="","",SUMIFS(dAmt,dCust,$B1591,dPer,"&gt;="&amp;pyFrom,dPer,"&lt;="&amp;pyTo,dAmt,"&gt;-1E+300",dFlt1,critFlt1,dFlt2,critFlt2,dFlt3,critFlt3))</f>
        <v/>
      </c>
      <c r="D1591" t="str">
        <f>IF($B1591="","",SUMIFS(dAmt,dCust,$B1591,dPer,"&gt;="&amp;cyFrom,dPer,"&lt;="&amp;cyTo,dAmt,"&gt;-1E+300",dFlt1,critFlt1,dFlt2,critFlt2,dFlt3,critFlt3))</f>
        <v/>
      </c>
      <c r="E1591" t="str">
        <f>IF($B1591="","",SUMIFS(dQty,dCust,$B1591,dPer,"&gt;="&amp;pyFrom,dPer,"&lt;="&amp;pyTo,dQty,"&gt;-1E+300",dFlt1,critFlt1,dFlt2,critFlt2,dFlt3,critFlt3))</f>
        <v/>
      </c>
      <c r="F1591" t="str">
        <f>IF($B1591="","",SUMIFS(dQty,dCust,$B1591,dPer,"&gt;="&amp;cyFrom,dPer,"&lt;="&amp;cyTo,dQty,"&gt;-1E+300",dFlt1,critFlt1,dFlt2,critFlt2,dFlt3,critFlt3))</f>
        <v/>
      </c>
      <c r="G1591">
        <f>IF($B1591="",0,IFERROR(IF(OR(C1591&lt;&gt;0,D1591&lt;&gt;0,E1591&lt;&gt;0,F1591&lt;&gt;0),1,0),1))</f>
        <v>0</v>
      </c>
      <c r="H1591" t="str">
        <f>IF(OR(G1591=0,E1591=0),"",C1591/E1591)</f>
        <v/>
      </c>
      <c r="I1591" t="str">
        <f>IF(OR(G1591=0,F1591=0),"",D1591/F1591)</f>
        <v/>
      </c>
      <c r="J1591" t="str">
        <f>IF(OR(H1591="",I1591=""),"",IF(H1591=0,"",I1591/H1591-1))</f>
        <v/>
      </c>
      <c r="K1591" t="str">
        <f>IF($B1591="","",IFERROR(IF(G1591=0,-2E+300,CHOOSE(sortIdx,ROUND(D1591,0),IF(J1591="",-1E+300,ROUND(-J1591,6)),IF(J1591="",-1E+300,ROUND(J1591,6)))),-1.5E+300))</f>
        <v/>
      </c>
      <c r="L1591" t="str">
        <f>IF(K1591="","",RANK(K1591,$K$2:$K$3001,0)+COUNTIF($K$2:K1591,K1591)-1)</f>
        <v/>
      </c>
    </row>
    <row r="1592">
      <c r="B1592" t="str">
        <f>IFERROR(IF(A1592="","","="&amp;SUBSTITUTE(SUBSTITUTE(SUBSTITUTE(A1592,"~","~~"),"*","~*"),"?","~?")),"")</f>
        <v/>
      </c>
      <c r="C1592" t="str">
        <f>IF($B1592="","",SUMIFS(dAmt,dCust,$B1592,dPer,"&gt;="&amp;pyFrom,dPer,"&lt;="&amp;pyTo,dAmt,"&gt;-1E+300",dFlt1,critFlt1,dFlt2,critFlt2,dFlt3,critFlt3))</f>
        <v/>
      </c>
      <c r="D1592" t="str">
        <f>IF($B1592="","",SUMIFS(dAmt,dCust,$B1592,dPer,"&gt;="&amp;cyFrom,dPer,"&lt;="&amp;cyTo,dAmt,"&gt;-1E+300",dFlt1,critFlt1,dFlt2,critFlt2,dFlt3,critFlt3))</f>
        <v/>
      </c>
      <c r="E1592" t="str">
        <f>IF($B1592="","",SUMIFS(dQty,dCust,$B1592,dPer,"&gt;="&amp;pyFrom,dPer,"&lt;="&amp;pyTo,dQty,"&gt;-1E+300",dFlt1,critFlt1,dFlt2,critFlt2,dFlt3,critFlt3))</f>
        <v/>
      </c>
      <c r="F1592" t="str">
        <f>IF($B1592="","",SUMIFS(dQty,dCust,$B1592,dPer,"&gt;="&amp;cyFrom,dPer,"&lt;="&amp;cyTo,dQty,"&gt;-1E+300",dFlt1,critFlt1,dFlt2,critFlt2,dFlt3,critFlt3))</f>
        <v/>
      </c>
      <c r="G1592">
        <f>IF($B1592="",0,IFERROR(IF(OR(C1592&lt;&gt;0,D1592&lt;&gt;0,E1592&lt;&gt;0,F1592&lt;&gt;0),1,0),1))</f>
        <v>0</v>
      </c>
      <c r="H1592" t="str">
        <f>IF(OR(G1592=0,E1592=0),"",C1592/E1592)</f>
        <v/>
      </c>
      <c r="I1592" t="str">
        <f>IF(OR(G1592=0,F1592=0),"",D1592/F1592)</f>
        <v/>
      </c>
      <c r="J1592" t="str">
        <f>IF(OR(H1592="",I1592=""),"",IF(H1592=0,"",I1592/H1592-1))</f>
        <v/>
      </c>
      <c r="K1592" t="str">
        <f>IF($B1592="","",IFERROR(IF(G1592=0,-2E+300,CHOOSE(sortIdx,ROUND(D1592,0),IF(J1592="",-1E+300,ROUND(-J1592,6)),IF(J1592="",-1E+300,ROUND(J1592,6)))),-1.5E+300))</f>
        <v/>
      </c>
      <c r="L1592" t="str">
        <f>IF(K1592="","",RANK(K1592,$K$2:$K$3001,0)+COUNTIF($K$2:K1592,K1592)-1)</f>
        <v/>
      </c>
    </row>
    <row r="1593">
      <c r="B1593" t="str">
        <f>IFERROR(IF(A1593="","","="&amp;SUBSTITUTE(SUBSTITUTE(SUBSTITUTE(A1593,"~","~~"),"*","~*"),"?","~?")),"")</f>
        <v/>
      </c>
      <c r="C1593" t="str">
        <f>IF($B1593="","",SUMIFS(dAmt,dCust,$B1593,dPer,"&gt;="&amp;pyFrom,dPer,"&lt;="&amp;pyTo,dAmt,"&gt;-1E+300",dFlt1,critFlt1,dFlt2,critFlt2,dFlt3,critFlt3))</f>
        <v/>
      </c>
      <c r="D1593" t="str">
        <f>IF($B1593="","",SUMIFS(dAmt,dCust,$B1593,dPer,"&gt;="&amp;cyFrom,dPer,"&lt;="&amp;cyTo,dAmt,"&gt;-1E+300",dFlt1,critFlt1,dFlt2,critFlt2,dFlt3,critFlt3))</f>
        <v/>
      </c>
      <c r="E1593" t="str">
        <f>IF($B1593="","",SUMIFS(dQty,dCust,$B1593,dPer,"&gt;="&amp;pyFrom,dPer,"&lt;="&amp;pyTo,dQty,"&gt;-1E+300",dFlt1,critFlt1,dFlt2,critFlt2,dFlt3,critFlt3))</f>
        <v/>
      </c>
      <c r="F1593" t="str">
        <f>IF($B1593="","",SUMIFS(dQty,dCust,$B1593,dPer,"&gt;="&amp;cyFrom,dPer,"&lt;="&amp;cyTo,dQty,"&gt;-1E+300",dFlt1,critFlt1,dFlt2,critFlt2,dFlt3,critFlt3))</f>
        <v/>
      </c>
      <c r="G1593">
        <f>IF($B1593="",0,IFERROR(IF(OR(C1593&lt;&gt;0,D1593&lt;&gt;0,E1593&lt;&gt;0,F1593&lt;&gt;0),1,0),1))</f>
        <v>0</v>
      </c>
      <c r="H1593" t="str">
        <f>IF(OR(G1593=0,E1593=0),"",C1593/E1593)</f>
        <v/>
      </c>
      <c r="I1593" t="str">
        <f>IF(OR(G1593=0,F1593=0),"",D1593/F1593)</f>
        <v/>
      </c>
      <c r="J1593" t="str">
        <f>IF(OR(H1593="",I1593=""),"",IF(H1593=0,"",I1593/H1593-1))</f>
        <v/>
      </c>
      <c r="K1593" t="str">
        <f>IF($B1593="","",IFERROR(IF(G1593=0,-2E+300,CHOOSE(sortIdx,ROUND(D1593,0),IF(J1593="",-1E+300,ROUND(-J1593,6)),IF(J1593="",-1E+300,ROUND(J1593,6)))),-1.5E+300))</f>
        <v/>
      </c>
      <c r="L1593" t="str">
        <f>IF(K1593="","",RANK(K1593,$K$2:$K$3001,0)+COUNTIF($K$2:K1593,K1593)-1)</f>
        <v/>
      </c>
    </row>
    <row r="1594">
      <c r="B1594" t="str">
        <f>IFERROR(IF(A1594="","","="&amp;SUBSTITUTE(SUBSTITUTE(SUBSTITUTE(A1594,"~","~~"),"*","~*"),"?","~?")),"")</f>
        <v/>
      </c>
      <c r="C1594" t="str">
        <f>IF($B1594="","",SUMIFS(dAmt,dCust,$B1594,dPer,"&gt;="&amp;pyFrom,dPer,"&lt;="&amp;pyTo,dAmt,"&gt;-1E+300",dFlt1,critFlt1,dFlt2,critFlt2,dFlt3,critFlt3))</f>
        <v/>
      </c>
      <c r="D1594" t="str">
        <f>IF($B1594="","",SUMIFS(dAmt,dCust,$B1594,dPer,"&gt;="&amp;cyFrom,dPer,"&lt;="&amp;cyTo,dAmt,"&gt;-1E+300",dFlt1,critFlt1,dFlt2,critFlt2,dFlt3,critFlt3))</f>
        <v/>
      </c>
      <c r="E1594" t="str">
        <f>IF($B1594="","",SUMIFS(dQty,dCust,$B1594,dPer,"&gt;="&amp;pyFrom,dPer,"&lt;="&amp;pyTo,dQty,"&gt;-1E+300",dFlt1,critFlt1,dFlt2,critFlt2,dFlt3,critFlt3))</f>
        <v/>
      </c>
      <c r="F1594" t="str">
        <f>IF($B1594="","",SUMIFS(dQty,dCust,$B1594,dPer,"&gt;="&amp;cyFrom,dPer,"&lt;="&amp;cyTo,dQty,"&gt;-1E+300",dFlt1,critFlt1,dFlt2,critFlt2,dFlt3,critFlt3))</f>
        <v/>
      </c>
      <c r="G1594">
        <f>IF($B1594="",0,IFERROR(IF(OR(C1594&lt;&gt;0,D1594&lt;&gt;0,E1594&lt;&gt;0,F1594&lt;&gt;0),1,0),1))</f>
        <v>0</v>
      </c>
      <c r="H1594" t="str">
        <f>IF(OR(G1594=0,E1594=0),"",C1594/E1594)</f>
        <v/>
      </c>
      <c r="I1594" t="str">
        <f>IF(OR(G1594=0,F1594=0),"",D1594/F1594)</f>
        <v/>
      </c>
      <c r="J1594" t="str">
        <f>IF(OR(H1594="",I1594=""),"",IF(H1594=0,"",I1594/H1594-1))</f>
        <v/>
      </c>
      <c r="K1594" t="str">
        <f>IF($B1594="","",IFERROR(IF(G1594=0,-2E+300,CHOOSE(sortIdx,ROUND(D1594,0),IF(J1594="",-1E+300,ROUND(-J1594,6)),IF(J1594="",-1E+300,ROUND(J1594,6)))),-1.5E+300))</f>
        <v/>
      </c>
      <c r="L1594" t="str">
        <f>IF(K1594="","",RANK(K1594,$K$2:$K$3001,0)+COUNTIF($K$2:K1594,K1594)-1)</f>
        <v/>
      </c>
    </row>
    <row r="1595">
      <c r="B1595" t="str">
        <f>IFERROR(IF(A1595="","","="&amp;SUBSTITUTE(SUBSTITUTE(SUBSTITUTE(A1595,"~","~~"),"*","~*"),"?","~?")),"")</f>
        <v/>
      </c>
      <c r="C1595" t="str">
        <f>IF($B1595="","",SUMIFS(dAmt,dCust,$B1595,dPer,"&gt;="&amp;pyFrom,dPer,"&lt;="&amp;pyTo,dAmt,"&gt;-1E+300",dFlt1,critFlt1,dFlt2,critFlt2,dFlt3,critFlt3))</f>
        <v/>
      </c>
      <c r="D1595" t="str">
        <f>IF($B1595="","",SUMIFS(dAmt,dCust,$B1595,dPer,"&gt;="&amp;cyFrom,dPer,"&lt;="&amp;cyTo,dAmt,"&gt;-1E+300",dFlt1,critFlt1,dFlt2,critFlt2,dFlt3,critFlt3))</f>
        <v/>
      </c>
      <c r="E1595" t="str">
        <f>IF($B1595="","",SUMIFS(dQty,dCust,$B1595,dPer,"&gt;="&amp;pyFrom,dPer,"&lt;="&amp;pyTo,dQty,"&gt;-1E+300",dFlt1,critFlt1,dFlt2,critFlt2,dFlt3,critFlt3))</f>
        <v/>
      </c>
      <c r="F1595" t="str">
        <f>IF($B1595="","",SUMIFS(dQty,dCust,$B1595,dPer,"&gt;="&amp;cyFrom,dPer,"&lt;="&amp;cyTo,dQty,"&gt;-1E+300",dFlt1,critFlt1,dFlt2,critFlt2,dFlt3,critFlt3))</f>
        <v/>
      </c>
      <c r="G1595">
        <f>IF($B1595="",0,IFERROR(IF(OR(C1595&lt;&gt;0,D1595&lt;&gt;0,E1595&lt;&gt;0,F1595&lt;&gt;0),1,0),1))</f>
        <v>0</v>
      </c>
      <c r="H1595" t="str">
        <f>IF(OR(G1595=0,E1595=0),"",C1595/E1595)</f>
        <v/>
      </c>
      <c r="I1595" t="str">
        <f>IF(OR(G1595=0,F1595=0),"",D1595/F1595)</f>
        <v/>
      </c>
      <c r="J1595" t="str">
        <f>IF(OR(H1595="",I1595=""),"",IF(H1595=0,"",I1595/H1595-1))</f>
        <v/>
      </c>
      <c r="K1595" t="str">
        <f>IF($B1595="","",IFERROR(IF(G1595=0,-2E+300,CHOOSE(sortIdx,ROUND(D1595,0),IF(J1595="",-1E+300,ROUND(-J1595,6)),IF(J1595="",-1E+300,ROUND(J1595,6)))),-1.5E+300))</f>
        <v/>
      </c>
      <c r="L1595" t="str">
        <f>IF(K1595="","",RANK(K1595,$K$2:$K$3001,0)+COUNTIF($K$2:K1595,K1595)-1)</f>
        <v/>
      </c>
    </row>
    <row r="1596">
      <c r="B1596" t="str">
        <f>IFERROR(IF(A1596="","","="&amp;SUBSTITUTE(SUBSTITUTE(SUBSTITUTE(A1596,"~","~~"),"*","~*"),"?","~?")),"")</f>
        <v/>
      </c>
      <c r="C1596" t="str">
        <f>IF($B1596="","",SUMIFS(dAmt,dCust,$B1596,dPer,"&gt;="&amp;pyFrom,dPer,"&lt;="&amp;pyTo,dAmt,"&gt;-1E+300",dFlt1,critFlt1,dFlt2,critFlt2,dFlt3,critFlt3))</f>
        <v/>
      </c>
      <c r="D1596" t="str">
        <f>IF($B1596="","",SUMIFS(dAmt,dCust,$B1596,dPer,"&gt;="&amp;cyFrom,dPer,"&lt;="&amp;cyTo,dAmt,"&gt;-1E+300",dFlt1,critFlt1,dFlt2,critFlt2,dFlt3,critFlt3))</f>
        <v/>
      </c>
      <c r="E1596" t="str">
        <f>IF($B1596="","",SUMIFS(dQty,dCust,$B1596,dPer,"&gt;="&amp;pyFrom,dPer,"&lt;="&amp;pyTo,dQty,"&gt;-1E+300",dFlt1,critFlt1,dFlt2,critFlt2,dFlt3,critFlt3))</f>
        <v/>
      </c>
      <c r="F1596" t="str">
        <f>IF($B1596="","",SUMIFS(dQty,dCust,$B1596,dPer,"&gt;="&amp;cyFrom,dPer,"&lt;="&amp;cyTo,dQty,"&gt;-1E+300",dFlt1,critFlt1,dFlt2,critFlt2,dFlt3,critFlt3))</f>
        <v/>
      </c>
      <c r="G1596">
        <f>IF($B1596="",0,IFERROR(IF(OR(C1596&lt;&gt;0,D1596&lt;&gt;0,E1596&lt;&gt;0,F1596&lt;&gt;0),1,0),1))</f>
        <v>0</v>
      </c>
      <c r="H1596" t="str">
        <f>IF(OR(G1596=0,E1596=0),"",C1596/E1596)</f>
        <v/>
      </c>
      <c r="I1596" t="str">
        <f>IF(OR(G1596=0,F1596=0),"",D1596/F1596)</f>
        <v/>
      </c>
      <c r="J1596" t="str">
        <f>IF(OR(H1596="",I1596=""),"",IF(H1596=0,"",I1596/H1596-1))</f>
        <v/>
      </c>
      <c r="K1596" t="str">
        <f>IF($B1596="","",IFERROR(IF(G1596=0,-2E+300,CHOOSE(sortIdx,ROUND(D1596,0),IF(J1596="",-1E+300,ROUND(-J1596,6)),IF(J1596="",-1E+300,ROUND(J1596,6)))),-1.5E+300))</f>
        <v/>
      </c>
      <c r="L1596" t="str">
        <f>IF(K1596="","",RANK(K1596,$K$2:$K$3001,0)+COUNTIF($K$2:K1596,K1596)-1)</f>
        <v/>
      </c>
    </row>
    <row r="1597">
      <c r="B1597" t="str">
        <f>IFERROR(IF(A1597="","","="&amp;SUBSTITUTE(SUBSTITUTE(SUBSTITUTE(A1597,"~","~~"),"*","~*"),"?","~?")),"")</f>
        <v/>
      </c>
      <c r="C1597" t="str">
        <f>IF($B1597="","",SUMIFS(dAmt,dCust,$B1597,dPer,"&gt;="&amp;pyFrom,dPer,"&lt;="&amp;pyTo,dAmt,"&gt;-1E+300",dFlt1,critFlt1,dFlt2,critFlt2,dFlt3,critFlt3))</f>
        <v/>
      </c>
      <c r="D1597" t="str">
        <f>IF($B1597="","",SUMIFS(dAmt,dCust,$B1597,dPer,"&gt;="&amp;cyFrom,dPer,"&lt;="&amp;cyTo,dAmt,"&gt;-1E+300",dFlt1,critFlt1,dFlt2,critFlt2,dFlt3,critFlt3))</f>
        <v/>
      </c>
      <c r="E1597" t="str">
        <f>IF($B1597="","",SUMIFS(dQty,dCust,$B1597,dPer,"&gt;="&amp;pyFrom,dPer,"&lt;="&amp;pyTo,dQty,"&gt;-1E+300",dFlt1,critFlt1,dFlt2,critFlt2,dFlt3,critFlt3))</f>
        <v/>
      </c>
      <c r="F1597" t="str">
        <f>IF($B1597="","",SUMIFS(dQty,dCust,$B1597,dPer,"&gt;="&amp;cyFrom,dPer,"&lt;="&amp;cyTo,dQty,"&gt;-1E+300",dFlt1,critFlt1,dFlt2,critFlt2,dFlt3,critFlt3))</f>
        <v/>
      </c>
      <c r="G1597">
        <f>IF($B1597="",0,IFERROR(IF(OR(C1597&lt;&gt;0,D1597&lt;&gt;0,E1597&lt;&gt;0,F1597&lt;&gt;0),1,0),1))</f>
        <v>0</v>
      </c>
      <c r="H1597" t="str">
        <f>IF(OR(G1597=0,E1597=0),"",C1597/E1597)</f>
        <v/>
      </c>
      <c r="I1597" t="str">
        <f>IF(OR(G1597=0,F1597=0),"",D1597/F1597)</f>
        <v/>
      </c>
      <c r="J1597" t="str">
        <f>IF(OR(H1597="",I1597=""),"",IF(H1597=0,"",I1597/H1597-1))</f>
        <v/>
      </c>
      <c r="K1597" t="str">
        <f>IF($B1597="","",IFERROR(IF(G1597=0,-2E+300,CHOOSE(sortIdx,ROUND(D1597,0),IF(J1597="",-1E+300,ROUND(-J1597,6)),IF(J1597="",-1E+300,ROUND(J1597,6)))),-1.5E+300))</f>
        <v/>
      </c>
      <c r="L1597" t="str">
        <f>IF(K1597="","",RANK(K1597,$K$2:$K$3001,0)+COUNTIF($K$2:K1597,K1597)-1)</f>
        <v/>
      </c>
    </row>
    <row r="1598">
      <c r="B1598" t="str">
        <f>IFERROR(IF(A1598="","","="&amp;SUBSTITUTE(SUBSTITUTE(SUBSTITUTE(A1598,"~","~~"),"*","~*"),"?","~?")),"")</f>
        <v/>
      </c>
      <c r="C1598" t="str">
        <f>IF($B1598="","",SUMIFS(dAmt,dCust,$B1598,dPer,"&gt;="&amp;pyFrom,dPer,"&lt;="&amp;pyTo,dAmt,"&gt;-1E+300",dFlt1,critFlt1,dFlt2,critFlt2,dFlt3,critFlt3))</f>
        <v/>
      </c>
      <c r="D1598" t="str">
        <f>IF($B1598="","",SUMIFS(dAmt,dCust,$B1598,dPer,"&gt;="&amp;cyFrom,dPer,"&lt;="&amp;cyTo,dAmt,"&gt;-1E+300",dFlt1,critFlt1,dFlt2,critFlt2,dFlt3,critFlt3))</f>
        <v/>
      </c>
      <c r="E1598" t="str">
        <f>IF($B1598="","",SUMIFS(dQty,dCust,$B1598,dPer,"&gt;="&amp;pyFrom,dPer,"&lt;="&amp;pyTo,dQty,"&gt;-1E+300",dFlt1,critFlt1,dFlt2,critFlt2,dFlt3,critFlt3))</f>
        <v/>
      </c>
      <c r="F1598" t="str">
        <f>IF($B1598="","",SUMIFS(dQty,dCust,$B1598,dPer,"&gt;="&amp;cyFrom,dPer,"&lt;="&amp;cyTo,dQty,"&gt;-1E+300",dFlt1,critFlt1,dFlt2,critFlt2,dFlt3,critFlt3))</f>
        <v/>
      </c>
      <c r="G1598">
        <f>IF($B1598="",0,IFERROR(IF(OR(C1598&lt;&gt;0,D1598&lt;&gt;0,E1598&lt;&gt;0,F1598&lt;&gt;0),1,0),1))</f>
        <v>0</v>
      </c>
      <c r="H1598" t="str">
        <f>IF(OR(G1598=0,E1598=0),"",C1598/E1598)</f>
        <v/>
      </c>
      <c r="I1598" t="str">
        <f>IF(OR(G1598=0,F1598=0),"",D1598/F1598)</f>
        <v/>
      </c>
      <c r="J1598" t="str">
        <f>IF(OR(H1598="",I1598=""),"",IF(H1598=0,"",I1598/H1598-1))</f>
        <v/>
      </c>
      <c r="K1598" t="str">
        <f>IF($B1598="","",IFERROR(IF(G1598=0,-2E+300,CHOOSE(sortIdx,ROUND(D1598,0),IF(J1598="",-1E+300,ROUND(-J1598,6)),IF(J1598="",-1E+300,ROUND(J1598,6)))),-1.5E+300))</f>
        <v/>
      </c>
      <c r="L1598" t="str">
        <f>IF(K1598="","",RANK(K1598,$K$2:$K$3001,0)+COUNTIF($K$2:K1598,K1598)-1)</f>
        <v/>
      </c>
    </row>
    <row r="1599">
      <c r="B1599" t="str">
        <f>IFERROR(IF(A1599="","","="&amp;SUBSTITUTE(SUBSTITUTE(SUBSTITUTE(A1599,"~","~~"),"*","~*"),"?","~?")),"")</f>
        <v/>
      </c>
      <c r="C1599" t="str">
        <f>IF($B1599="","",SUMIFS(dAmt,dCust,$B1599,dPer,"&gt;="&amp;pyFrom,dPer,"&lt;="&amp;pyTo,dAmt,"&gt;-1E+300",dFlt1,critFlt1,dFlt2,critFlt2,dFlt3,critFlt3))</f>
        <v/>
      </c>
      <c r="D1599" t="str">
        <f>IF($B1599="","",SUMIFS(dAmt,dCust,$B1599,dPer,"&gt;="&amp;cyFrom,dPer,"&lt;="&amp;cyTo,dAmt,"&gt;-1E+300",dFlt1,critFlt1,dFlt2,critFlt2,dFlt3,critFlt3))</f>
        <v/>
      </c>
      <c r="E1599" t="str">
        <f>IF($B1599="","",SUMIFS(dQty,dCust,$B1599,dPer,"&gt;="&amp;pyFrom,dPer,"&lt;="&amp;pyTo,dQty,"&gt;-1E+300",dFlt1,critFlt1,dFlt2,critFlt2,dFlt3,critFlt3))</f>
        <v/>
      </c>
      <c r="F1599" t="str">
        <f>IF($B1599="","",SUMIFS(dQty,dCust,$B1599,dPer,"&gt;="&amp;cyFrom,dPer,"&lt;="&amp;cyTo,dQty,"&gt;-1E+300",dFlt1,critFlt1,dFlt2,critFlt2,dFlt3,critFlt3))</f>
        <v/>
      </c>
      <c r="G1599">
        <f>IF($B1599="",0,IFERROR(IF(OR(C1599&lt;&gt;0,D1599&lt;&gt;0,E1599&lt;&gt;0,F1599&lt;&gt;0),1,0),1))</f>
        <v>0</v>
      </c>
      <c r="H1599" t="str">
        <f>IF(OR(G1599=0,E1599=0),"",C1599/E1599)</f>
        <v/>
      </c>
      <c r="I1599" t="str">
        <f>IF(OR(G1599=0,F1599=0),"",D1599/F1599)</f>
        <v/>
      </c>
      <c r="J1599" t="str">
        <f>IF(OR(H1599="",I1599=""),"",IF(H1599=0,"",I1599/H1599-1))</f>
        <v/>
      </c>
      <c r="K1599" t="str">
        <f>IF($B1599="","",IFERROR(IF(G1599=0,-2E+300,CHOOSE(sortIdx,ROUND(D1599,0),IF(J1599="",-1E+300,ROUND(-J1599,6)),IF(J1599="",-1E+300,ROUND(J1599,6)))),-1.5E+300))</f>
        <v/>
      </c>
      <c r="L1599" t="str">
        <f>IF(K1599="","",RANK(K1599,$K$2:$K$3001,0)+COUNTIF($K$2:K1599,K1599)-1)</f>
        <v/>
      </c>
    </row>
    <row r="1600">
      <c r="B1600" t="str">
        <f>IFERROR(IF(A1600="","","="&amp;SUBSTITUTE(SUBSTITUTE(SUBSTITUTE(A1600,"~","~~"),"*","~*"),"?","~?")),"")</f>
        <v/>
      </c>
      <c r="C1600" t="str">
        <f>IF($B1600="","",SUMIFS(dAmt,dCust,$B1600,dPer,"&gt;="&amp;pyFrom,dPer,"&lt;="&amp;pyTo,dAmt,"&gt;-1E+300",dFlt1,critFlt1,dFlt2,critFlt2,dFlt3,critFlt3))</f>
        <v/>
      </c>
      <c r="D1600" t="str">
        <f>IF($B1600="","",SUMIFS(dAmt,dCust,$B1600,dPer,"&gt;="&amp;cyFrom,dPer,"&lt;="&amp;cyTo,dAmt,"&gt;-1E+300",dFlt1,critFlt1,dFlt2,critFlt2,dFlt3,critFlt3))</f>
        <v/>
      </c>
      <c r="E1600" t="str">
        <f>IF($B1600="","",SUMIFS(dQty,dCust,$B1600,dPer,"&gt;="&amp;pyFrom,dPer,"&lt;="&amp;pyTo,dQty,"&gt;-1E+300",dFlt1,critFlt1,dFlt2,critFlt2,dFlt3,critFlt3))</f>
        <v/>
      </c>
      <c r="F1600" t="str">
        <f>IF($B1600="","",SUMIFS(dQty,dCust,$B1600,dPer,"&gt;="&amp;cyFrom,dPer,"&lt;="&amp;cyTo,dQty,"&gt;-1E+300",dFlt1,critFlt1,dFlt2,critFlt2,dFlt3,critFlt3))</f>
        <v/>
      </c>
      <c r="G1600">
        <f>IF($B1600="",0,IFERROR(IF(OR(C1600&lt;&gt;0,D1600&lt;&gt;0,E1600&lt;&gt;0,F1600&lt;&gt;0),1,0),1))</f>
        <v>0</v>
      </c>
      <c r="H1600" t="str">
        <f>IF(OR(G1600=0,E1600=0),"",C1600/E1600)</f>
        <v/>
      </c>
      <c r="I1600" t="str">
        <f>IF(OR(G1600=0,F1600=0),"",D1600/F1600)</f>
        <v/>
      </c>
      <c r="J1600" t="str">
        <f>IF(OR(H1600="",I1600=""),"",IF(H1600=0,"",I1600/H1600-1))</f>
        <v/>
      </c>
      <c r="K1600" t="str">
        <f>IF($B1600="","",IFERROR(IF(G1600=0,-2E+300,CHOOSE(sortIdx,ROUND(D1600,0),IF(J1600="",-1E+300,ROUND(-J1600,6)),IF(J1600="",-1E+300,ROUND(J1600,6)))),-1.5E+300))</f>
        <v/>
      </c>
      <c r="L1600" t="str">
        <f>IF(K1600="","",RANK(K1600,$K$2:$K$3001,0)+COUNTIF($K$2:K1600,K1600)-1)</f>
        <v/>
      </c>
    </row>
    <row r="1601">
      <c r="B1601" t="str">
        <f>IFERROR(IF(A1601="","","="&amp;SUBSTITUTE(SUBSTITUTE(SUBSTITUTE(A1601,"~","~~"),"*","~*"),"?","~?")),"")</f>
        <v/>
      </c>
      <c r="C1601" t="str">
        <f>IF($B1601="","",SUMIFS(dAmt,dCust,$B1601,dPer,"&gt;="&amp;pyFrom,dPer,"&lt;="&amp;pyTo,dAmt,"&gt;-1E+300",dFlt1,critFlt1,dFlt2,critFlt2,dFlt3,critFlt3))</f>
        <v/>
      </c>
      <c r="D1601" t="str">
        <f>IF($B1601="","",SUMIFS(dAmt,dCust,$B1601,dPer,"&gt;="&amp;cyFrom,dPer,"&lt;="&amp;cyTo,dAmt,"&gt;-1E+300",dFlt1,critFlt1,dFlt2,critFlt2,dFlt3,critFlt3))</f>
        <v/>
      </c>
      <c r="E1601" t="str">
        <f>IF($B1601="","",SUMIFS(dQty,dCust,$B1601,dPer,"&gt;="&amp;pyFrom,dPer,"&lt;="&amp;pyTo,dQty,"&gt;-1E+300",dFlt1,critFlt1,dFlt2,critFlt2,dFlt3,critFlt3))</f>
        <v/>
      </c>
      <c r="F1601" t="str">
        <f>IF($B1601="","",SUMIFS(dQty,dCust,$B1601,dPer,"&gt;="&amp;cyFrom,dPer,"&lt;="&amp;cyTo,dQty,"&gt;-1E+300",dFlt1,critFlt1,dFlt2,critFlt2,dFlt3,critFlt3))</f>
        <v/>
      </c>
      <c r="G1601">
        <f>IF($B1601="",0,IFERROR(IF(OR(C1601&lt;&gt;0,D1601&lt;&gt;0,E1601&lt;&gt;0,F1601&lt;&gt;0),1,0),1))</f>
        <v>0</v>
      </c>
      <c r="H1601" t="str">
        <f>IF(OR(G1601=0,E1601=0),"",C1601/E1601)</f>
        <v/>
      </c>
      <c r="I1601" t="str">
        <f>IF(OR(G1601=0,F1601=0),"",D1601/F1601)</f>
        <v/>
      </c>
      <c r="J1601" t="str">
        <f>IF(OR(H1601="",I1601=""),"",IF(H1601=0,"",I1601/H1601-1))</f>
        <v/>
      </c>
      <c r="K1601" t="str">
        <f>IF($B1601="","",IFERROR(IF(G1601=0,-2E+300,CHOOSE(sortIdx,ROUND(D1601,0),IF(J1601="",-1E+300,ROUND(-J1601,6)),IF(J1601="",-1E+300,ROUND(J1601,6)))),-1.5E+300))</f>
        <v/>
      </c>
      <c r="L1601" t="str">
        <f>IF(K1601="","",RANK(K1601,$K$2:$K$3001,0)+COUNTIF($K$2:K1601,K1601)-1)</f>
        <v/>
      </c>
    </row>
    <row r="1602">
      <c r="B1602" t="str">
        <f>IFERROR(IF(A1602="","","="&amp;SUBSTITUTE(SUBSTITUTE(SUBSTITUTE(A1602,"~","~~"),"*","~*"),"?","~?")),"")</f>
        <v/>
      </c>
      <c r="C1602" t="str">
        <f>IF($B1602="","",SUMIFS(dAmt,dCust,$B1602,dPer,"&gt;="&amp;pyFrom,dPer,"&lt;="&amp;pyTo,dAmt,"&gt;-1E+300",dFlt1,critFlt1,dFlt2,critFlt2,dFlt3,critFlt3))</f>
        <v/>
      </c>
      <c r="D1602" t="str">
        <f>IF($B1602="","",SUMIFS(dAmt,dCust,$B1602,dPer,"&gt;="&amp;cyFrom,dPer,"&lt;="&amp;cyTo,dAmt,"&gt;-1E+300",dFlt1,critFlt1,dFlt2,critFlt2,dFlt3,critFlt3))</f>
        <v/>
      </c>
      <c r="E1602" t="str">
        <f>IF($B1602="","",SUMIFS(dQty,dCust,$B1602,dPer,"&gt;="&amp;pyFrom,dPer,"&lt;="&amp;pyTo,dQty,"&gt;-1E+300",dFlt1,critFlt1,dFlt2,critFlt2,dFlt3,critFlt3))</f>
        <v/>
      </c>
      <c r="F1602" t="str">
        <f>IF($B1602="","",SUMIFS(dQty,dCust,$B1602,dPer,"&gt;="&amp;cyFrom,dPer,"&lt;="&amp;cyTo,dQty,"&gt;-1E+300",dFlt1,critFlt1,dFlt2,critFlt2,dFlt3,critFlt3))</f>
        <v/>
      </c>
      <c r="G1602">
        <f>IF($B1602="",0,IFERROR(IF(OR(C1602&lt;&gt;0,D1602&lt;&gt;0,E1602&lt;&gt;0,F1602&lt;&gt;0),1,0),1))</f>
        <v>0</v>
      </c>
      <c r="H1602" t="str">
        <f>IF(OR(G1602=0,E1602=0),"",C1602/E1602)</f>
        <v/>
      </c>
      <c r="I1602" t="str">
        <f>IF(OR(G1602=0,F1602=0),"",D1602/F1602)</f>
        <v/>
      </c>
      <c r="J1602" t="str">
        <f>IF(OR(H1602="",I1602=""),"",IF(H1602=0,"",I1602/H1602-1))</f>
        <v/>
      </c>
      <c r="K1602" t="str">
        <f>IF($B1602="","",IFERROR(IF(G1602=0,-2E+300,CHOOSE(sortIdx,ROUND(D1602,0),IF(J1602="",-1E+300,ROUND(-J1602,6)),IF(J1602="",-1E+300,ROUND(J1602,6)))),-1.5E+300))</f>
        <v/>
      </c>
      <c r="L1602" t="str">
        <f>IF(K1602="","",RANK(K1602,$K$2:$K$3001,0)+COUNTIF($K$2:K1602,K1602)-1)</f>
        <v/>
      </c>
    </row>
    <row r="1603">
      <c r="B1603" t="str">
        <f>IFERROR(IF(A1603="","","="&amp;SUBSTITUTE(SUBSTITUTE(SUBSTITUTE(A1603,"~","~~"),"*","~*"),"?","~?")),"")</f>
        <v/>
      </c>
      <c r="C1603" t="str">
        <f>IF($B1603="","",SUMIFS(dAmt,dCust,$B1603,dPer,"&gt;="&amp;pyFrom,dPer,"&lt;="&amp;pyTo,dAmt,"&gt;-1E+300",dFlt1,critFlt1,dFlt2,critFlt2,dFlt3,critFlt3))</f>
        <v/>
      </c>
      <c r="D1603" t="str">
        <f>IF($B1603="","",SUMIFS(dAmt,dCust,$B1603,dPer,"&gt;="&amp;cyFrom,dPer,"&lt;="&amp;cyTo,dAmt,"&gt;-1E+300",dFlt1,critFlt1,dFlt2,critFlt2,dFlt3,critFlt3))</f>
        <v/>
      </c>
      <c r="E1603" t="str">
        <f>IF($B1603="","",SUMIFS(dQty,dCust,$B1603,dPer,"&gt;="&amp;pyFrom,dPer,"&lt;="&amp;pyTo,dQty,"&gt;-1E+300",dFlt1,critFlt1,dFlt2,critFlt2,dFlt3,critFlt3))</f>
        <v/>
      </c>
      <c r="F1603" t="str">
        <f>IF($B1603="","",SUMIFS(dQty,dCust,$B1603,dPer,"&gt;="&amp;cyFrom,dPer,"&lt;="&amp;cyTo,dQty,"&gt;-1E+300",dFlt1,critFlt1,dFlt2,critFlt2,dFlt3,critFlt3))</f>
        <v/>
      </c>
      <c r="G1603">
        <f>IF($B1603="",0,IFERROR(IF(OR(C1603&lt;&gt;0,D1603&lt;&gt;0,E1603&lt;&gt;0,F1603&lt;&gt;0),1,0),1))</f>
        <v>0</v>
      </c>
      <c r="H1603" t="str">
        <f>IF(OR(G1603=0,E1603=0),"",C1603/E1603)</f>
        <v/>
      </c>
      <c r="I1603" t="str">
        <f>IF(OR(G1603=0,F1603=0),"",D1603/F1603)</f>
        <v/>
      </c>
      <c r="J1603" t="str">
        <f>IF(OR(H1603="",I1603=""),"",IF(H1603=0,"",I1603/H1603-1))</f>
        <v/>
      </c>
      <c r="K1603" t="str">
        <f>IF($B1603="","",IFERROR(IF(G1603=0,-2E+300,CHOOSE(sortIdx,ROUND(D1603,0),IF(J1603="",-1E+300,ROUND(-J1603,6)),IF(J1603="",-1E+300,ROUND(J1603,6)))),-1.5E+300))</f>
        <v/>
      </c>
      <c r="L1603" t="str">
        <f>IF(K1603="","",RANK(K1603,$K$2:$K$3001,0)+COUNTIF($K$2:K1603,K1603)-1)</f>
        <v/>
      </c>
    </row>
    <row r="1604">
      <c r="B1604" t="str">
        <f>IFERROR(IF(A1604="","","="&amp;SUBSTITUTE(SUBSTITUTE(SUBSTITUTE(A1604,"~","~~"),"*","~*"),"?","~?")),"")</f>
        <v/>
      </c>
      <c r="C1604" t="str">
        <f>IF($B1604="","",SUMIFS(dAmt,dCust,$B1604,dPer,"&gt;="&amp;pyFrom,dPer,"&lt;="&amp;pyTo,dAmt,"&gt;-1E+300",dFlt1,critFlt1,dFlt2,critFlt2,dFlt3,critFlt3))</f>
        <v/>
      </c>
      <c r="D1604" t="str">
        <f>IF($B1604="","",SUMIFS(dAmt,dCust,$B1604,dPer,"&gt;="&amp;cyFrom,dPer,"&lt;="&amp;cyTo,dAmt,"&gt;-1E+300",dFlt1,critFlt1,dFlt2,critFlt2,dFlt3,critFlt3))</f>
        <v/>
      </c>
      <c r="E1604" t="str">
        <f>IF($B1604="","",SUMIFS(dQty,dCust,$B1604,dPer,"&gt;="&amp;pyFrom,dPer,"&lt;="&amp;pyTo,dQty,"&gt;-1E+300",dFlt1,critFlt1,dFlt2,critFlt2,dFlt3,critFlt3))</f>
        <v/>
      </c>
      <c r="F1604" t="str">
        <f>IF($B1604="","",SUMIFS(dQty,dCust,$B1604,dPer,"&gt;="&amp;cyFrom,dPer,"&lt;="&amp;cyTo,dQty,"&gt;-1E+300",dFlt1,critFlt1,dFlt2,critFlt2,dFlt3,critFlt3))</f>
        <v/>
      </c>
      <c r="G1604">
        <f>IF($B1604="",0,IFERROR(IF(OR(C1604&lt;&gt;0,D1604&lt;&gt;0,E1604&lt;&gt;0,F1604&lt;&gt;0),1,0),1))</f>
        <v>0</v>
      </c>
      <c r="H1604" t="str">
        <f>IF(OR(G1604=0,E1604=0),"",C1604/E1604)</f>
        <v/>
      </c>
      <c r="I1604" t="str">
        <f>IF(OR(G1604=0,F1604=0),"",D1604/F1604)</f>
        <v/>
      </c>
      <c r="J1604" t="str">
        <f>IF(OR(H1604="",I1604=""),"",IF(H1604=0,"",I1604/H1604-1))</f>
        <v/>
      </c>
      <c r="K1604" t="str">
        <f>IF($B1604="","",IFERROR(IF(G1604=0,-2E+300,CHOOSE(sortIdx,ROUND(D1604,0),IF(J1604="",-1E+300,ROUND(-J1604,6)),IF(J1604="",-1E+300,ROUND(J1604,6)))),-1.5E+300))</f>
        <v/>
      </c>
      <c r="L1604" t="str">
        <f>IF(K1604="","",RANK(K1604,$K$2:$K$3001,0)+COUNTIF($K$2:K1604,K1604)-1)</f>
        <v/>
      </c>
    </row>
    <row r="1605">
      <c r="B1605" t="str">
        <f>IFERROR(IF(A1605="","","="&amp;SUBSTITUTE(SUBSTITUTE(SUBSTITUTE(A1605,"~","~~"),"*","~*"),"?","~?")),"")</f>
        <v/>
      </c>
      <c r="C1605" t="str">
        <f>IF($B1605="","",SUMIFS(dAmt,dCust,$B1605,dPer,"&gt;="&amp;pyFrom,dPer,"&lt;="&amp;pyTo,dAmt,"&gt;-1E+300",dFlt1,critFlt1,dFlt2,critFlt2,dFlt3,critFlt3))</f>
        <v/>
      </c>
      <c r="D1605" t="str">
        <f>IF($B1605="","",SUMIFS(dAmt,dCust,$B1605,dPer,"&gt;="&amp;cyFrom,dPer,"&lt;="&amp;cyTo,dAmt,"&gt;-1E+300",dFlt1,critFlt1,dFlt2,critFlt2,dFlt3,critFlt3))</f>
        <v/>
      </c>
      <c r="E1605" t="str">
        <f>IF($B1605="","",SUMIFS(dQty,dCust,$B1605,dPer,"&gt;="&amp;pyFrom,dPer,"&lt;="&amp;pyTo,dQty,"&gt;-1E+300",dFlt1,critFlt1,dFlt2,critFlt2,dFlt3,critFlt3))</f>
        <v/>
      </c>
      <c r="F1605" t="str">
        <f>IF($B1605="","",SUMIFS(dQty,dCust,$B1605,dPer,"&gt;="&amp;cyFrom,dPer,"&lt;="&amp;cyTo,dQty,"&gt;-1E+300",dFlt1,critFlt1,dFlt2,critFlt2,dFlt3,critFlt3))</f>
        <v/>
      </c>
      <c r="G1605">
        <f>IF($B1605="",0,IFERROR(IF(OR(C1605&lt;&gt;0,D1605&lt;&gt;0,E1605&lt;&gt;0,F1605&lt;&gt;0),1,0),1))</f>
        <v>0</v>
      </c>
      <c r="H1605" t="str">
        <f>IF(OR(G1605=0,E1605=0),"",C1605/E1605)</f>
        <v/>
      </c>
      <c r="I1605" t="str">
        <f>IF(OR(G1605=0,F1605=0),"",D1605/F1605)</f>
        <v/>
      </c>
      <c r="J1605" t="str">
        <f>IF(OR(H1605="",I1605=""),"",IF(H1605=0,"",I1605/H1605-1))</f>
        <v/>
      </c>
      <c r="K1605" t="str">
        <f>IF($B1605="","",IFERROR(IF(G1605=0,-2E+300,CHOOSE(sortIdx,ROUND(D1605,0),IF(J1605="",-1E+300,ROUND(-J1605,6)),IF(J1605="",-1E+300,ROUND(J1605,6)))),-1.5E+300))</f>
        <v/>
      </c>
      <c r="L1605" t="str">
        <f>IF(K1605="","",RANK(K1605,$K$2:$K$3001,0)+COUNTIF($K$2:K1605,K1605)-1)</f>
        <v/>
      </c>
    </row>
    <row r="1606">
      <c r="B1606" t="str">
        <f>IFERROR(IF(A1606="","","="&amp;SUBSTITUTE(SUBSTITUTE(SUBSTITUTE(A1606,"~","~~"),"*","~*"),"?","~?")),"")</f>
        <v/>
      </c>
      <c r="C1606" t="str">
        <f>IF($B1606="","",SUMIFS(dAmt,dCust,$B1606,dPer,"&gt;="&amp;pyFrom,dPer,"&lt;="&amp;pyTo,dAmt,"&gt;-1E+300",dFlt1,critFlt1,dFlt2,critFlt2,dFlt3,critFlt3))</f>
        <v/>
      </c>
      <c r="D1606" t="str">
        <f>IF($B1606="","",SUMIFS(dAmt,dCust,$B1606,dPer,"&gt;="&amp;cyFrom,dPer,"&lt;="&amp;cyTo,dAmt,"&gt;-1E+300",dFlt1,critFlt1,dFlt2,critFlt2,dFlt3,critFlt3))</f>
        <v/>
      </c>
      <c r="E1606" t="str">
        <f>IF($B1606="","",SUMIFS(dQty,dCust,$B1606,dPer,"&gt;="&amp;pyFrom,dPer,"&lt;="&amp;pyTo,dQty,"&gt;-1E+300",dFlt1,critFlt1,dFlt2,critFlt2,dFlt3,critFlt3))</f>
        <v/>
      </c>
      <c r="F1606" t="str">
        <f>IF($B1606="","",SUMIFS(dQty,dCust,$B1606,dPer,"&gt;="&amp;cyFrom,dPer,"&lt;="&amp;cyTo,dQty,"&gt;-1E+300",dFlt1,critFlt1,dFlt2,critFlt2,dFlt3,critFlt3))</f>
        <v/>
      </c>
      <c r="G1606">
        <f>IF($B1606="",0,IFERROR(IF(OR(C1606&lt;&gt;0,D1606&lt;&gt;0,E1606&lt;&gt;0,F1606&lt;&gt;0),1,0),1))</f>
        <v>0</v>
      </c>
      <c r="H1606" t="str">
        <f>IF(OR(G1606=0,E1606=0),"",C1606/E1606)</f>
        <v/>
      </c>
      <c r="I1606" t="str">
        <f>IF(OR(G1606=0,F1606=0),"",D1606/F1606)</f>
        <v/>
      </c>
      <c r="J1606" t="str">
        <f>IF(OR(H1606="",I1606=""),"",IF(H1606=0,"",I1606/H1606-1))</f>
        <v/>
      </c>
      <c r="K1606" t="str">
        <f>IF($B1606="","",IFERROR(IF(G1606=0,-2E+300,CHOOSE(sortIdx,ROUND(D1606,0),IF(J1606="",-1E+300,ROUND(-J1606,6)),IF(J1606="",-1E+300,ROUND(J1606,6)))),-1.5E+300))</f>
        <v/>
      </c>
      <c r="L1606" t="str">
        <f>IF(K1606="","",RANK(K1606,$K$2:$K$3001,0)+COUNTIF($K$2:K1606,K1606)-1)</f>
        <v/>
      </c>
    </row>
    <row r="1607">
      <c r="B1607" t="str">
        <f>IFERROR(IF(A1607="","","="&amp;SUBSTITUTE(SUBSTITUTE(SUBSTITUTE(A1607,"~","~~"),"*","~*"),"?","~?")),"")</f>
        <v/>
      </c>
      <c r="C1607" t="str">
        <f>IF($B1607="","",SUMIFS(dAmt,dCust,$B1607,dPer,"&gt;="&amp;pyFrom,dPer,"&lt;="&amp;pyTo,dAmt,"&gt;-1E+300",dFlt1,critFlt1,dFlt2,critFlt2,dFlt3,critFlt3))</f>
        <v/>
      </c>
      <c r="D1607" t="str">
        <f>IF($B1607="","",SUMIFS(dAmt,dCust,$B1607,dPer,"&gt;="&amp;cyFrom,dPer,"&lt;="&amp;cyTo,dAmt,"&gt;-1E+300",dFlt1,critFlt1,dFlt2,critFlt2,dFlt3,critFlt3))</f>
        <v/>
      </c>
      <c r="E1607" t="str">
        <f>IF($B1607="","",SUMIFS(dQty,dCust,$B1607,dPer,"&gt;="&amp;pyFrom,dPer,"&lt;="&amp;pyTo,dQty,"&gt;-1E+300",dFlt1,critFlt1,dFlt2,critFlt2,dFlt3,critFlt3))</f>
        <v/>
      </c>
      <c r="F1607" t="str">
        <f>IF($B1607="","",SUMIFS(dQty,dCust,$B1607,dPer,"&gt;="&amp;cyFrom,dPer,"&lt;="&amp;cyTo,dQty,"&gt;-1E+300",dFlt1,critFlt1,dFlt2,critFlt2,dFlt3,critFlt3))</f>
        <v/>
      </c>
      <c r="G1607">
        <f>IF($B1607="",0,IFERROR(IF(OR(C1607&lt;&gt;0,D1607&lt;&gt;0,E1607&lt;&gt;0,F1607&lt;&gt;0),1,0),1))</f>
        <v>0</v>
      </c>
      <c r="H1607" t="str">
        <f>IF(OR(G1607=0,E1607=0),"",C1607/E1607)</f>
        <v/>
      </c>
      <c r="I1607" t="str">
        <f>IF(OR(G1607=0,F1607=0),"",D1607/F1607)</f>
        <v/>
      </c>
      <c r="J1607" t="str">
        <f>IF(OR(H1607="",I1607=""),"",IF(H1607=0,"",I1607/H1607-1))</f>
        <v/>
      </c>
      <c r="K1607" t="str">
        <f>IF($B1607="","",IFERROR(IF(G1607=0,-2E+300,CHOOSE(sortIdx,ROUND(D1607,0),IF(J1607="",-1E+300,ROUND(-J1607,6)),IF(J1607="",-1E+300,ROUND(J1607,6)))),-1.5E+300))</f>
        <v/>
      </c>
      <c r="L1607" t="str">
        <f>IF(K1607="","",RANK(K1607,$K$2:$K$3001,0)+COUNTIF($K$2:K1607,K1607)-1)</f>
        <v/>
      </c>
    </row>
    <row r="1608">
      <c r="B1608" t="str">
        <f>IFERROR(IF(A1608="","","="&amp;SUBSTITUTE(SUBSTITUTE(SUBSTITUTE(A1608,"~","~~"),"*","~*"),"?","~?")),"")</f>
        <v/>
      </c>
      <c r="C1608" t="str">
        <f>IF($B1608="","",SUMIFS(dAmt,dCust,$B1608,dPer,"&gt;="&amp;pyFrom,dPer,"&lt;="&amp;pyTo,dAmt,"&gt;-1E+300",dFlt1,critFlt1,dFlt2,critFlt2,dFlt3,critFlt3))</f>
        <v/>
      </c>
      <c r="D1608" t="str">
        <f>IF($B1608="","",SUMIFS(dAmt,dCust,$B1608,dPer,"&gt;="&amp;cyFrom,dPer,"&lt;="&amp;cyTo,dAmt,"&gt;-1E+300",dFlt1,critFlt1,dFlt2,critFlt2,dFlt3,critFlt3))</f>
        <v/>
      </c>
      <c r="E1608" t="str">
        <f>IF($B1608="","",SUMIFS(dQty,dCust,$B1608,dPer,"&gt;="&amp;pyFrom,dPer,"&lt;="&amp;pyTo,dQty,"&gt;-1E+300",dFlt1,critFlt1,dFlt2,critFlt2,dFlt3,critFlt3))</f>
        <v/>
      </c>
      <c r="F1608" t="str">
        <f>IF($B1608="","",SUMIFS(dQty,dCust,$B1608,dPer,"&gt;="&amp;cyFrom,dPer,"&lt;="&amp;cyTo,dQty,"&gt;-1E+300",dFlt1,critFlt1,dFlt2,critFlt2,dFlt3,critFlt3))</f>
        <v/>
      </c>
      <c r="G1608">
        <f>IF($B1608="",0,IFERROR(IF(OR(C1608&lt;&gt;0,D1608&lt;&gt;0,E1608&lt;&gt;0,F1608&lt;&gt;0),1,0),1))</f>
        <v>0</v>
      </c>
      <c r="H1608" t="str">
        <f>IF(OR(G1608=0,E1608=0),"",C1608/E1608)</f>
        <v/>
      </c>
      <c r="I1608" t="str">
        <f>IF(OR(G1608=0,F1608=0),"",D1608/F1608)</f>
        <v/>
      </c>
      <c r="J1608" t="str">
        <f>IF(OR(H1608="",I1608=""),"",IF(H1608=0,"",I1608/H1608-1))</f>
        <v/>
      </c>
      <c r="K1608" t="str">
        <f>IF($B1608="","",IFERROR(IF(G1608=0,-2E+300,CHOOSE(sortIdx,ROUND(D1608,0),IF(J1608="",-1E+300,ROUND(-J1608,6)),IF(J1608="",-1E+300,ROUND(J1608,6)))),-1.5E+300))</f>
        <v/>
      </c>
      <c r="L1608" t="str">
        <f>IF(K1608="","",RANK(K1608,$K$2:$K$3001,0)+COUNTIF($K$2:K1608,K1608)-1)</f>
        <v/>
      </c>
    </row>
    <row r="1609">
      <c r="B1609" t="str">
        <f>IFERROR(IF(A1609="","","="&amp;SUBSTITUTE(SUBSTITUTE(SUBSTITUTE(A1609,"~","~~"),"*","~*"),"?","~?")),"")</f>
        <v/>
      </c>
      <c r="C1609" t="str">
        <f>IF($B1609="","",SUMIFS(dAmt,dCust,$B1609,dPer,"&gt;="&amp;pyFrom,dPer,"&lt;="&amp;pyTo,dAmt,"&gt;-1E+300",dFlt1,critFlt1,dFlt2,critFlt2,dFlt3,critFlt3))</f>
        <v/>
      </c>
      <c r="D1609" t="str">
        <f>IF($B1609="","",SUMIFS(dAmt,dCust,$B1609,dPer,"&gt;="&amp;cyFrom,dPer,"&lt;="&amp;cyTo,dAmt,"&gt;-1E+300",dFlt1,critFlt1,dFlt2,critFlt2,dFlt3,critFlt3))</f>
        <v/>
      </c>
      <c r="E1609" t="str">
        <f>IF($B1609="","",SUMIFS(dQty,dCust,$B1609,dPer,"&gt;="&amp;pyFrom,dPer,"&lt;="&amp;pyTo,dQty,"&gt;-1E+300",dFlt1,critFlt1,dFlt2,critFlt2,dFlt3,critFlt3))</f>
        <v/>
      </c>
      <c r="F1609" t="str">
        <f>IF($B1609="","",SUMIFS(dQty,dCust,$B1609,dPer,"&gt;="&amp;cyFrom,dPer,"&lt;="&amp;cyTo,dQty,"&gt;-1E+300",dFlt1,critFlt1,dFlt2,critFlt2,dFlt3,critFlt3))</f>
        <v/>
      </c>
      <c r="G1609">
        <f>IF($B1609="",0,IFERROR(IF(OR(C1609&lt;&gt;0,D1609&lt;&gt;0,E1609&lt;&gt;0,F1609&lt;&gt;0),1,0),1))</f>
        <v>0</v>
      </c>
      <c r="H1609" t="str">
        <f>IF(OR(G1609=0,E1609=0),"",C1609/E1609)</f>
        <v/>
      </c>
      <c r="I1609" t="str">
        <f>IF(OR(G1609=0,F1609=0),"",D1609/F1609)</f>
        <v/>
      </c>
      <c r="J1609" t="str">
        <f>IF(OR(H1609="",I1609=""),"",IF(H1609=0,"",I1609/H1609-1))</f>
        <v/>
      </c>
      <c r="K1609" t="str">
        <f>IF($B1609="","",IFERROR(IF(G1609=0,-2E+300,CHOOSE(sortIdx,ROUND(D1609,0),IF(J1609="",-1E+300,ROUND(-J1609,6)),IF(J1609="",-1E+300,ROUND(J1609,6)))),-1.5E+300))</f>
        <v/>
      </c>
      <c r="L1609" t="str">
        <f>IF(K1609="","",RANK(K1609,$K$2:$K$3001,0)+COUNTIF($K$2:K1609,K1609)-1)</f>
        <v/>
      </c>
    </row>
    <row r="1610">
      <c r="B1610" t="str">
        <f>IFERROR(IF(A1610="","","="&amp;SUBSTITUTE(SUBSTITUTE(SUBSTITUTE(A1610,"~","~~"),"*","~*"),"?","~?")),"")</f>
        <v/>
      </c>
      <c r="C1610" t="str">
        <f>IF($B1610="","",SUMIFS(dAmt,dCust,$B1610,dPer,"&gt;="&amp;pyFrom,dPer,"&lt;="&amp;pyTo,dAmt,"&gt;-1E+300",dFlt1,critFlt1,dFlt2,critFlt2,dFlt3,critFlt3))</f>
        <v/>
      </c>
      <c r="D1610" t="str">
        <f>IF($B1610="","",SUMIFS(dAmt,dCust,$B1610,dPer,"&gt;="&amp;cyFrom,dPer,"&lt;="&amp;cyTo,dAmt,"&gt;-1E+300",dFlt1,critFlt1,dFlt2,critFlt2,dFlt3,critFlt3))</f>
        <v/>
      </c>
      <c r="E1610" t="str">
        <f>IF($B1610="","",SUMIFS(dQty,dCust,$B1610,dPer,"&gt;="&amp;pyFrom,dPer,"&lt;="&amp;pyTo,dQty,"&gt;-1E+300",dFlt1,critFlt1,dFlt2,critFlt2,dFlt3,critFlt3))</f>
        <v/>
      </c>
      <c r="F1610" t="str">
        <f>IF($B1610="","",SUMIFS(dQty,dCust,$B1610,dPer,"&gt;="&amp;cyFrom,dPer,"&lt;="&amp;cyTo,dQty,"&gt;-1E+300",dFlt1,critFlt1,dFlt2,critFlt2,dFlt3,critFlt3))</f>
        <v/>
      </c>
      <c r="G1610">
        <f>IF($B1610="",0,IFERROR(IF(OR(C1610&lt;&gt;0,D1610&lt;&gt;0,E1610&lt;&gt;0,F1610&lt;&gt;0),1,0),1))</f>
        <v>0</v>
      </c>
      <c r="H1610" t="str">
        <f>IF(OR(G1610=0,E1610=0),"",C1610/E1610)</f>
        <v/>
      </c>
      <c r="I1610" t="str">
        <f>IF(OR(G1610=0,F1610=0),"",D1610/F1610)</f>
        <v/>
      </c>
      <c r="J1610" t="str">
        <f>IF(OR(H1610="",I1610=""),"",IF(H1610=0,"",I1610/H1610-1))</f>
        <v/>
      </c>
      <c r="K1610" t="str">
        <f>IF($B1610="","",IFERROR(IF(G1610=0,-2E+300,CHOOSE(sortIdx,ROUND(D1610,0),IF(J1610="",-1E+300,ROUND(-J1610,6)),IF(J1610="",-1E+300,ROUND(J1610,6)))),-1.5E+300))</f>
        <v/>
      </c>
      <c r="L1610" t="str">
        <f>IF(K1610="","",RANK(K1610,$K$2:$K$3001,0)+COUNTIF($K$2:K1610,K1610)-1)</f>
        <v/>
      </c>
    </row>
    <row r="1611">
      <c r="B1611" t="str">
        <f>IFERROR(IF(A1611="","","="&amp;SUBSTITUTE(SUBSTITUTE(SUBSTITUTE(A1611,"~","~~"),"*","~*"),"?","~?")),"")</f>
        <v/>
      </c>
      <c r="C1611" t="str">
        <f>IF($B1611="","",SUMIFS(dAmt,dCust,$B1611,dPer,"&gt;="&amp;pyFrom,dPer,"&lt;="&amp;pyTo,dAmt,"&gt;-1E+300",dFlt1,critFlt1,dFlt2,critFlt2,dFlt3,critFlt3))</f>
        <v/>
      </c>
      <c r="D1611" t="str">
        <f>IF($B1611="","",SUMIFS(dAmt,dCust,$B1611,dPer,"&gt;="&amp;cyFrom,dPer,"&lt;="&amp;cyTo,dAmt,"&gt;-1E+300",dFlt1,critFlt1,dFlt2,critFlt2,dFlt3,critFlt3))</f>
        <v/>
      </c>
      <c r="E1611" t="str">
        <f>IF($B1611="","",SUMIFS(dQty,dCust,$B1611,dPer,"&gt;="&amp;pyFrom,dPer,"&lt;="&amp;pyTo,dQty,"&gt;-1E+300",dFlt1,critFlt1,dFlt2,critFlt2,dFlt3,critFlt3))</f>
        <v/>
      </c>
      <c r="F1611" t="str">
        <f>IF($B1611="","",SUMIFS(dQty,dCust,$B1611,dPer,"&gt;="&amp;cyFrom,dPer,"&lt;="&amp;cyTo,dQty,"&gt;-1E+300",dFlt1,critFlt1,dFlt2,critFlt2,dFlt3,critFlt3))</f>
        <v/>
      </c>
      <c r="G1611">
        <f>IF($B1611="",0,IFERROR(IF(OR(C1611&lt;&gt;0,D1611&lt;&gt;0,E1611&lt;&gt;0,F1611&lt;&gt;0),1,0),1))</f>
        <v>0</v>
      </c>
      <c r="H1611" t="str">
        <f>IF(OR(G1611=0,E1611=0),"",C1611/E1611)</f>
        <v/>
      </c>
      <c r="I1611" t="str">
        <f>IF(OR(G1611=0,F1611=0),"",D1611/F1611)</f>
        <v/>
      </c>
      <c r="J1611" t="str">
        <f>IF(OR(H1611="",I1611=""),"",IF(H1611=0,"",I1611/H1611-1))</f>
        <v/>
      </c>
      <c r="K1611" t="str">
        <f>IF($B1611="","",IFERROR(IF(G1611=0,-2E+300,CHOOSE(sortIdx,ROUND(D1611,0),IF(J1611="",-1E+300,ROUND(-J1611,6)),IF(J1611="",-1E+300,ROUND(J1611,6)))),-1.5E+300))</f>
        <v/>
      </c>
      <c r="L1611" t="str">
        <f>IF(K1611="","",RANK(K1611,$K$2:$K$3001,0)+COUNTIF($K$2:K1611,K1611)-1)</f>
        <v/>
      </c>
    </row>
    <row r="1612">
      <c r="B1612" t="str">
        <f>IFERROR(IF(A1612="","","="&amp;SUBSTITUTE(SUBSTITUTE(SUBSTITUTE(A1612,"~","~~"),"*","~*"),"?","~?")),"")</f>
        <v/>
      </c>
      <c r="C1612" t="str">
        <f>IF($B1612="","",SUMIFS(dAmt,dCust,$B1612,dPer,"&gt;="&amp;pyFrom,dPer,"&lt;="&amp;pyTo,dAmt,"&gt;-1E+300",dFlt1,critFlt1,dFlt2,critFlt2,dFlt3,critFlt3))</f>
        <v/>
      </c>
      <c r="D1612" t="str">
        <f>IF($B1612="","",SUMIFS(dAmt,dCust,$B1612,dPer,"&gt;="&amp;cyFrom,dPer,"&lt;="&amp;cyTo,dAmt,"&gt;-1E+300",dFlt1,critFlt1,dFlt2,critFlt2,dFlt3,critFlt3))</f>
        <v/>
      </c>
      <c r="E1612" t="str">
        <f>IF($B1612="","",SUMIFS(dQty,dCust,$B1612,dPer,"&gt;="&amp;pyFrom,dPer,"&lt;="&amp;pyTo,dQty,"&gt;-1E+300",dFlt1,critFlt1,dFlt2,critFlt2,dFlt3,critFlt3))</f>
        <v/>
      </c>
      <c r="F1612" t="str">
        <f>IF($B1612="","",SUMIFS(dQty,dCust,$B1612,dPer,"&gt;="&amp;cyFrom,dPer,"&lt;="&amp;cyTo,dQty,"&gt;-1E+300",dFlt1,critFlt1,dFlt2,critFlt2,dFlt3,critFlt3))</f>
        <v/>
      </c>
      <c r="G1612">
        <f>IF($B1612="",0,IFERROR(IF(OR(C1612&lt;&gt;0,D1612&lt;&gt;0,E1612&lt;&gt;0,F1612&lt;&gt;0),1,0),1))</f>
        <v>0</v>
      </c>
      <c r="H1612" t="str">
        <f>IF(OR(G1612=0,E1612=0),"",C1612/E1612)</f>
        <v/>
      </c>
      <c r="I1612" t="str">
        <f>IF(OR(G1612=0,F1612=0),"",D1612/F1612)</f>
        <v/>
      </c>
      <c r="J1612" t="str">
        <f>IF(OR(H1612="",I1612=""),"",IF(H1612=0,"",I1612/H1612-1))</f>
        <v/>
      </c>
      <c r="K1612" t="str">
        <f>IF($B1612="","",IFERROR(IF(G1612=0,-2E+300,CHOOSE(sortIdx,ROUND(D1612,0),IF(J1612="",-1E+300,ROUND(-J1612,6)),IF(J1612="",-1E+300,ROUND(J1612,6)))),-1.5E+300))</f>
        <v/>
      </c>
      <c r="L1612" t="str">
        <f>IF(K1612="","",RANK(K1612,$K$2:$K$3001,0)+COUNTIF($K$2:K1612,K1612)-1)</f>
        <v/>
      </c>
    </row>
    <row r="1613">
      <c r="B1613" t="str">
        <f>IFERROR(IF(A1613="","","="&amp;SUBSTITUTE(SUBSTITUTE(SUBSTITUTE(A1613,"~","~~"),"*","~*"),"?","~?")),"")</f>
        <v/>
      </c>
      <c r="C1613" t="str">
        <f>IF($B1613="","",SUMIFS(dAmt,dCust,$B1613,dPer,"&gt;="&amp;pyFrom,dPer,"&lt;="&amp;pyTo,dAmt,"&gt;-1E+300",dFlt1,critFlt1,dFlt2,critFlt2,dFlt3,critFlt3))</f>
        <v/>
      </c>
      <c r="D1613" t="str">
        <f>IF($B1613="","",SUMIFS(dAmt,dCust,$B1613,dPer,"&gt;="&amp;cyFrom,dPer,"&lt;="&amp;cyTo,dAmt,"&gt;-1E+300",dFlt1,critFlt1,dFlt2,critFlt2,dFlt3,critFlt3))</f>
        <v/>
      </c>
      <c r="E1613" t="str">
        <f>IF($B1613="","",SUMIFS(dQty,dCust,$B1613,dPer,"&gt;="&amp;pyFrom,dPer,"&lt;="&amp;pyTo,dQty,"&gt;-1E+300",dFlt1,critFlt1,dFlt2,critFlt2,dFlt3,critFlt3))</f>
        <v/>
      </c>
      <c r="F1613" t="str">
        <f>IF($B1613="","",SUMIFS(dQty,dCust,$B1613,dPer,"&gt;="&amp;cyFrom,dPer,"&lt;="&amp;cyTo,dQty,"&gt;-1E+300",dFlt1,critFlt1,dFlt2,critFlt2,dFlt3,critFlt3))</f>
        <v/>
      </c>
      <c r="G1613">
        <f>IF($B1613="",0,IFERROR(IF(OR(C1613&lt;&gt;0,D1613&lt;&gt;0,E1613&lt;&gt;0,F1613&lt;&gt;0),1,0),1))</f>
        <v>0</v>
      </c>
      <c r="H1613" t="str">
        <f>IF(OR(G1613=0,E1613=0),"",C1613/E1613)</f>
        <v/>
      </c>
      <c r="I1613" t="str">
        <f>IF(OR(G1613=0,F1613=0),"",D1613/F1613)</f>
        <v/>
      </c>
      <c r="J1613" t="str">
        <f>IF(OR(H1613="",I1613=""),"",IF(H1613=0,"",I1613/H1613-1))</f>
        <v/>
      </c>
      <c r="K1613" t="str">
        <f>IF($B1613="","",IFERROR(IF(G1613=0,-2E+300,CHOOSE(sortIdx,ROUND(D1613,0),IF(J1613="",-1E+300,ROUND(-J1613,6)),IF(J1613="",-1E+300,ROUND(J1613,6)))),-1.5E+300))</f>
        <v/>
      </c>
      <c r="L1613" t="str">
        <f>IF(K1613="","",RANK(K1613,$K$2:$K$3001,0)+COUNTIF($K$2:K1613,K1613)-1)</f>
        <v/>
      </c>
    </row>
    <row r="1614">
      <c r="B1614" t="str">
        <f>IFERROR(IF(A1614="","","="&amp;SUBSTITUTE(SUBSTITUTE(SUBSTITUTE(A1614,"~","~~"),"*","~*"),"?","~?")),"")</f>
        <v/>
      </c>
      <c r="C1614" t="str">
        <f>IF($B1614="","",SUMIFS(dAmt,dCust,$B1614,dPer,"&gt;="&amp;pyFrom,dPer,"&lt;="&amp;pyTo,dAmt,"&gt;-1E+300",dFlt1,critFlt1,dFlt2,critFlt2,dFlt3,critFlt3))</f>
        <v/>
      </c>
      <c r="D1614" t="str">
        <f>IF($B1614="","",SUMIFS(dAmt,dCust,$B1614,dPer,"&gt;="&amp;cyFrom,dPer,"&lt;="&amp;cyTo,dAmt,"&gt;-1E+300",dFlt1,critFlt1,dFlt2,critFlt2,dFlt3,critFlt3))</f>
        <v/>
      </c>
      <c r="E1614" t="str">
        <f>IF($B1614="","",SUMIFS(dQty,dCust,$B1614,dPer,"&gt;="&amp;pyFrom,dPer,"&lt;="&amp;pyTo,dQty,"&gt;-1E+300",dFlt1,critFlt1,dFlt2,critFlt2,dFlt3,critFlt3))</f>
        <v/>
      </c>
      <c r="F1614" t="str">
        <f>IF($B1614="","",SUMIFS(dQty,dCust,$B1614,dPer,"&gt;="&amp;cyFrom,dPer,"&lt;="&amp;cyTo,dQty,"&gt;-1E+300",dFlt1,critFlt1,dFlt2,critFlt2,dFlt3,critFlt3))</f>
        <v/>
      </c>
      <c r="G1614">
        <f>IF($B1614="",0,IFERROR(IF(OR(C1614&lt;&gt;0,D1614&lt;&gt;0,E1614&lt;&gt;0,F1614&lt;&gt;0),1,0),1))</f>
        <v>0</v>
      </c>
      <c r="H1614" t="str">
        <f>IF(OR(G1614=0,E1614=0),"",C1614/E1614)</f>
        <v/>
      </c>
      <c r="I1614" t="str">
        <f>IF(OR(G1614=0,F1614=0),"",D1614/F1614)</f>
        <v/>
      </c>
      <c r="J1614" t="str">
        <f>IF(OR(H1614="",I1614=""),"",IF(H1614=0,"",I1614/H1614-1))</f>
        <v/>
      </c>
      <c r="K1614" t="str">
        <f>IF($B1614="","",IFERROR(IF(G1614=0,-2E+300,CHOOSE(sortIdx,ROUND(D1614,0),IF(J1614="",-1E+300,ROUND(-J1614,6)),IF(J1614="",-1E+300,ROUND(J1614,6)))),-1.5E+300))</f>
        <v/>
      </c>
      <c r="L1614" t="str">
        <f>IF(K1614="","",RANK(K1614,$K$2:$K$3001,0)+COUNTIF($K$2:K1614,K1614)-1)</f>
        <v/>
      </c>
    </row>
    <row r="1615">
      <c r="B1615" t="str">
        <f>IFERROR(IF(A1615="","","="&amp;SUBSTITUTE(SUBSTITUTE(SUBSTITUTE(A1615,"~","~~"),"*","~*"),"?","~?")),"")</f>
        <v/>
      </c>
      <c r="C1615" t="str">
        <f>IF($B1615="","",SUMIFS(dAmt,dCust,$B1615,dPer,"&gt;="&amp;pyFrom,dPer,"&lt;="&amp;pyTo,dAmt,"&gt;-1E+300",dFlt1,critFlt1,dFlt2,critFlt2,dFlt3,critFlt3))</f>
        <v/>
      </c>
      <c r="D1615" t="str">
        <f>IF($B1615="","",SUMIFS(dAmt,dCust,$B1615,dPer,"&gt;="&amp;cyFrom,dPer,"&lt;="&amp;cyTo,dAmt,"&gt;-1E+300",dFlt1,critFlt1,dFlt2,critFlt2,dFlt3,critFlt3))</f>
        <v/>
      </c>
      <c r="E1615" t="str">
        <f>IF($B1615="","",SUMIFS(dQty,dCust,$B1615,dPer,"&gt;="&amp;pyFrom,dPer,"&lt;="&amp;pyTo,dQty,"&gt;-1E+300",dFlt1,critFlt1,dFlt2,critFlt2,dFlt3,critFlt3))</f>
        <v/>
      </c>
      <c r="F1615" t="str">
        <f>IF($B1615="","",SUMIFS(dQty,dCust,$B1615,dPer,"&gt;="&amp;cyFrom,dPer,"&lt;="&amp;cyTo,dQty,"&gt;-1E+300",dFlt1,critFlt1,dFlt2,critFlt2,dFlt3,critFlt3))</f>
        <v/>
      </c>
      <c r="G1615">
        <f>IF($B1615="",0,IFERROR(IF(OR(C1615&lt;&gt;0,D1615&lt;&gt;0,E1615&lt;&gt;0,F1615&lt;&gt;0),1,0),1))</f>
        <v>0</v>
      </c>
      <c r="H1615" t="str">
        <f>IF(OR(G1615=0,E1615=0),"",C1615/E1615)</f>
        <v/>
      </c>
      <c r="I1615" t="str">
        <f>IF(OR(G1615=0,F1615=0),"",D1615/F1615)</f>
        <v/>
      </c>
      <c r="J1615" t="str">
        <f>IF(OR(H1615="",I1615=""),"",IF(H1615=0,"",I1615/H1615-1))</f>
        <v/>
      </c>
      <c r="K1615" t="str">
        <f>IF($B1615="","",IFERROR(IF(G1615=0,-2E+300,CHOOSE(sortIdx,ROUND(D1615,0),IF(J1615="",-1E+300,ROUND(-J1615,6)),IF(J1615="",-1E+300,ROUND(J1615,6)))),-1.5E+300))</f>
        <v/>
      </c>
      <c r="L1615" t="str">
        <f>IF(K1615="","",RANK(K1615,$K$2:$K$3001,0)+COUNTIF($K$2:K1615,K1615)-1)</f>
        <v/>
      </c>
    </row>
    <row r="1616">
      <c r="B1616" t="str">
        <f>IFERROR(IF(A1616="","","="&amp;SUBSTITUTE(SUBSTITUTE(SUBSTITUTE(A1616,"~","~~"),"*","~*"),"?","~?")),"")</f>
        <v/>
      </c>
      <c r="C1616" t="str">
        <f>IF($B1616="","",SUMIFS(dAmt,dCust,$B1616,dPer,"&gt;="&amp;pyFrom,dPer,"&lt;="&amp;pyTo,dAmt,"&gt;-1E+300",dFlt1,critFlt1,dFlt2,critFlt2,dFlt3,critFlt3))</f>
        <v/>
      </c>
      <c r="D1616" t="str">
        <f>IF($B1616="","",SUMIFS(dAmt,dCust,$B1616,dPer,"&gt;="&amp;cyFrom,dPer,"&lt;="&amp;cyTo,dAmt,"&gt;-1E+300",dFlt1,critFlt1,dFlt2,critFlt2,dFlt3,critFlt3))</f>
        <v/>
      </c>
      <c r="E1616" t="str">
        <f>IF($B1616="","",SUMIFS(dQty,dCust,$B1616,dPer,"&gt;="&amp;pyFrom,dPer,"&lt;="&amp;pyTo,dQty,"&gt;-1E+300",dFlt1,critFlt1,dFlt2,critFlt2,dFlt3,critFlt3))</f>
        <v/>
      </c>
      <c r="F1616" t="str">
        <f>IF($B1616="","",SUMIFS(dQty,dCust,$B1616,dPer,"&gt;="&amp;cyFrom,dPer,"&lt;="&amp;cyTo,dQty,"&gt;-1E+300",dFlt1,critFlt1,dFlt2,critFlt2,dFlt3,critFlt3))</f>
        <v/>
      </c>
      <c r="G1616">
        <f>IF($B1616="",0,IFERROR(IF(OR(C1616&lt;&gt;0,D1616&lt;&gt;0,E1616&lt;&gt;0,F1616&lt;&gt;0),1,0),1))</f>
        <v>0</v>
      </c>
      <c r="H1616" t="str">
        <f>IF(OR(G1616=0,E1616=0),"",C1616/E1616)</f>
        <v/>
      </c>
      <c r="I1616" t="str">
        <f>IF(OR(G1616=0,F1616=0),"",D1616/F1616)</f>
        <v/>
      </c>
      <c r="J1616" t="str">
        <f>IF(OR(H1616="",I1616=""),"",IF(H1616=0,"",I1616/H1616-1))</f>
        <v/>
      </c>
      <c r="K1616" t="str">
        <f>IF($B1616="","",IFERROR(IF(G1616=0,-2E+300,CHOOSE(sortIdx,ROUND(D1616,0),IF(J1616="",-1E+300,ROUND(-J1616,6)),IF(J1616="",-1E+300,ROUND(J1616,6)))),-1.5E+300))</f>
        <v/>
      </c>
      <c r="L1616" t="str">
        <f>IF(K1616="","",RANK(K1616,$K$2:$K$3001,0)+COUNTIF($K$2:K1616,K1616)-1)</f>
        <v/>
      </c>
    </row>
    <row r="1617">
      <c r="B1617" t="str">
        <f>IFERROR(IF(A1617="","","="&amp;SUBSTITUTE(SUBSTITUTE(SUBSTITUTE(A1617,"~","~~"),"*","~*"),"?","~?")),"")</f>
        <v/>
      </c>
      <c r="C1617" t="str">
        <f>IF($B1617="","",SUMIFS(dAmt,dCust,$B1617,dPer,"&gt;="&amp;pyFrom,dPer,"&lt;="&amp;pyTo,dAmt,"&gt;-1E+300",dFlt1,critFlt1,dFlt2,critFlt2,dFlt3,critFlt3))</f>
        <v/>
      </c>
      <c r="D1617" t="str">
        <f>IF($B1617="","",SUMIFS(dAmt,dCust,$B1617,dPer,"&gt;="&amp;cyFrom,dPer,"&lt;="&amp;cyTo,dAmt,"&gt;-1E+300",dFlt1,critFlt1,dFlt2,critFlt2,dFlt3,critFlt3))</f>
        <v/>
      </c>
      <c r="E1617" t="str">
        <f>IF($B1617="","",SUMIFS(dQty,dCust,$B1617,dPer,"&gt;="&amp;pyFrom,dPer,"&lt;="&amp;pyTo,dQty,"&gt;-1E+300",dFlt1,critFlt1,dFlt2,critFlt2,dFlt3,critFlt3))</f>
        <v/>
      </c>
      <c r="F1617" t="str">
        <f>IF($B1617="","",SUMIFS(dQty,dCust,$B1617,dPer,"&gt;="&amp;cyFrom,dPer,"&lt;="&amp;cyTo,dQty,"&gt;-1E+300",dFlt1,critFlt1,dFlt2,critFlt2,dFlt3,critFlt3))</f>
        <v/>
      </c>
      <c r="G1617">
        <f>IF($B1617="",0,IFERROR(IF(OR(C1617&lt;&gt;0,D1617&lt;&gt;0,E1617&lt;&gt;0,F1617&lt;&gt;0),1,0),1))</f>
        <v>0</v>
      </c>
      <c r="H1617" t="str">
        <f>IF(OR(G1617=0,E1617=0),"",C1617/E1617)</f>
        <v/>
      </c>
      <c r="I1617" t="str">
        <f>IF(OR(G1617=0,F1617=0),"",D1617/F1617)</f>
        <v/>
      </c>
      <c r="J1617" t="str">
        <f>IF(OR(H1617="",I1617=""),"",IF(H1617=0,"",I1617/H1617-1))</f>
        <v/>
      </c>
      <c r="K1617" t="str">
        <f>IF($B1617="","",IFERROR(IF(G1617=0,-2E+300,CHOOSE(sortIdx,ROUND(D1617,0),IF(J1617="",-1E+300,ROUND(-J1617,6)),IF(J1617="",-1E+300,ROUND(J1617,6)))),-1.5E+300))</f>
        <v/>
      </c>
      <c r="L1617" t="str">
        <f>IF(K1617="","",RANK(K1617,$K$2:$K$3001,0)+COUNTIF($K$2:K1617,K1617)-1)</f>
        <v/>
      </c>
    </row>
    <row r="1618">
      <c r="B1618" t="str">
        <f>IFERROR(IF(A1618="","","="&amp;SUBSTITUTE(SUBSTITUTE(SUBSTITUTE(A1618,"~","~~"),"*","~*"),"?","~?")),"")</f>
        <v/>
      </c>
      <c r="C1618" t="str">
        <f>IF($B1618="","",SUMIFS(dAmt,dCust,$B1618,dPer,"&gt;="&amp;pyFrom,dPer,"&lt;="&amp;pyTo,dAmt,"&gt;-1E+300",dFlt1,critFlt1,dFlt2,critFlt2,dFlt3,critFlt3))</f>
        <v/>
      </c>
      <c r="D1618" t="str">
        <f>IF($B1618="","",SUMIFS(dAmt,dCust,$B1618,dPer,"&gt;="&amp;cyFrom,dPer,"&lt;="&amp;cyTo,dAmt,"&gt;-1E+300",dFlt1,critFlt1,dFlt2,critFlt2,dFlt3,critFlt3))</f>
        <v/>
      </c>
      <c r="E1618" t="str">
        <f>IF($B1618="","",SUMIFS(dQty,dCust,$B1618,dPer,"&gt;="&amp;pyFrom,dPer,"&lt;="&amp;pyTo,dQty,"&gt;-1E+300",dFlt1,critFlt1,dFlt2,critFlt2,dFlt3,critFlt3))</f>
        <v/>
      </c>
      <c r="F1618" t="str">
        <f>IF($B1618="","",SUMIFS(dQty,dCust,$B1618,dPer,"&gt;="&amp;cyFrom,dPer,"&lt;="&amp;cyTo,dQty,"&gt;-1E+300",dFlt1,critFlt1,dFlt2,critFlt2,dFlt3,critFlt3))</f>
        <v/>
      </c>
      <c r="G1618">
        <f>IF($B1618="",0,IFERROR(IF(OR(C1618&lt;&gt;0,D1618&lt;&gt;0,E1618&lt;&gt;0,F1618&lt;&gt;0),1,0),1))</f>
        <v>0</v>
      </c>
      <c r="H1618" t="str">
        <f>IF(OR(G1618=0,E1618=0),"",C1618/E1618)</f>
        <v/>
      </c>
      <c r="I1618" t="str">
        <f>IF(OR(G1618=0,F1618=0),"",D1618/F1618)</f>
        <v/>
      </c>
      <c r="J1618" t="str">
        <f>IF(OR(H1618="",I1618=""),"",IF(H1618=0,"",I1618/H1618-1))</f>
        <v/>
      </c>
      <c r="K1618" t="str">
        <f>IF($B1618="","",IFERROR(IF(G1618=0,-2E+300,CHOOSE(sortIdx,ROUND(D1618,0),IF(J1618="",-1E+300,ROUND(-J1618,6)),IF(J1618="",-1E+300,ROUND(J1618,6)))),-1.5E+300))</f>
        <v/>
      </c>
      <c r="L1618" t="str">
        <f>IF(K1618="","",RANK(K1618,$K$2:$K$3001,0)+COUNTIF($K$2:K1618,K1618)-1)</f>
        <v/>
      </c>
    </row>
    <row r="1619">
      <c r="B1619" t="str">
        <f>IFERROR(IF(A1619="","","="&amp;SUBSTITUTE(SUBSTITUTE(SUBSTITUTE(A1619,"~","~~"),"*","~*"),"?","~?")),"")</f>
        <v/>
      </c>
      <c r="C1619" t="str">
        <f>IF($B1619="","",SUMIFS(dAmt,dCust,$B1619,dPer,"&gt;="&amp;pyFrom,dPer,"&lt;="&amp;pyTo,dAmt,"&gt;-1E+300",dFlt1,critFlt1,dFlt2,critFlt2,dFlt3,critFlt3))</f>
        <v/>
      </c>
      <c r="D1619" t="str">
        <f>IF($B1619="","",SUMIFS(dAmt,dCust,$B1619,dPer,"&gt;="&amp;cyFrom,dPer,"&lt;="&amp;cyTo,dAmt,"&gt;-1E+300",dFlt1,critFlt1,dFlt2,critFlt2,dFlt3,critFlt3))</f>
        <v/>
      </c>
      <c r="E1619" t="str">
        <f>IF($B1619="","",SUMIFS(dQty,dCust,$B1619,dPer,"&gt;="&amp;pyFrom,dPer,"&lt;="&amp;pyTo,dQty,"&gt;-1E+300",dFlt1,critFlt1,dFlt2,critFlt2,dFlt3,critFlt3))</f>
        <v/>
      </c>
      <c r="F1619" t="str">
        <f>IF($B1619="","",SUMIFS(dQty,dCust,$B1619,dPer,"&gt;="&amp;cyFrom,dPer,"&lt;="&amp;cyTo,dQty,"&gt;-1E+300",dFlt1,critFlt1,dFlt2,critFlt2,dFlt3,critFlt3))</f>
        <v/>
      </c>
      <c r="G1619">
        <f>IF($B1619="",0,IFERROR(IF(OR(C1619&lt;&gt;0,D1619&lt;&gt;0,E1619&lt;&gt;0,F1619&lt;&gt;0),1,0),1))</f>
        <v>0</v>
      </c>
      <c r="H1619" t="str">
        <f>IF(OR(G1619=0,E1619=0),"",C1619/E1619)</f>
        <v/>
      </c>
      <c r="I1619" t="str">
        <f>IF(OR(G1619=0,F1619=0),"",D1619/F1619)</f>
        <v/>
      </c>
      <c r="J1619" t="str">
        <f>IF(OR(H1619="",I1619=""),"",IF(H1619=0,"",I1619/H1619-1))</f>
        <v/>
      </c>
      <c r="K1619" t="str">
        <f>IF($B1619="","",IFERROR(IF(G1619=0,-2E+300,CHOOSE(sortIdx,ROUND(D1619,0),IF(J1619="",-1E+300,ROUND(-J1619,6)),IF(J1619="",-1E+300,ROUND(J1619,6)))),-1.5E+300))</f>
        <v/>
      </c>
      <c r="L1619" t="str">
        <f>IF(K1619="","",RANK(K1619,$K$2:$K$3001,0)+COUNTIF($K$2:K1619,K1619)-1)</f>
        <v/>
      </c>
    </row>
    <row r="1620">
      <c r="B1620" t="str">
        <f>IFERROR(IF(A1620="","","="&amp;SUBSTITUTE(SUBSTITUTE(SUBSTITUTE(A1620,"~","~~"),"*","~*"),"?","~?")),"")</f>
        <v/>
      </c>
      <c r="C1620" t="str">
        <f>IF($B1620="","",SUMIFS(dAmt,dCust,$B1620,dPer,"&gt;="&amp;pyFrom,dPer,"&lt;="&amp;pyTo,dAmt,"&gt;-1E+300",dFlt1,critFlt1,dFlt2,critFlt2,dFlt3,critFlt3))</f>
        <v/>
      </c>
      <c r="D1620" t="str">
        <f>IF($B1620="","",SUMIFS(dAmt,dCust,$B1620,dPer,"&gt;="&amp;cyFrom,dPer,"&lt;="&amp;cyTo,dAmt,"&gt;-1E+300",dFlt1,critFlt1,dFlt2,critFlt2,dFlt3,critFlt3))</f>
        <v/>
      </c>
      <c r="E1620" t="str">
        <f>IF($B1620="","",SUMIFS(dQty,dCust,$B1620,dPer,"&gt;="&amp;pyFrom,dPer,"&lt;="&amp;pyTo,dQty,"&gt;-1E+300",dFlt1,critFlt1,dFlt2,critFlt2,dFlt3,critFlt3))</f>
        <v/>
      </c>
      <c r="F1620" t="str">
        <f>IF($B1620="","",SUMIFS(dQty,dCust,$B1620,dPer,"&gt;="&amp;cyFrom,dPer,"&lt;="&amp;cyTo,dQty,"&gt;-1E+300",dFlt1,critFlt1,dFlt2,critFlt2,dFlt3,critFlt3))</f>
        <v/>
      </c>
      <c r="G1620">
        <f>IF($B1620="",0,IFERROR(IF(OR(C1620&lt;&gt;0,D1620&lt;&gt;0,E1620&lt;&gt;0,F1620&lt;&gt;0),1,0),1))</f>
        <v>0</v>
      </c>
      <c r="H1620" t="str">
        <f>IF(OR(G1620=0,E1620=0),"",C1620/E1620)</f>
        <v/>
      </c>
      <c r="I1620" t="str">
        <f>IF(OR(G1620=0,F1620=0),"",D1620/F1620)</f>
        <v/>
      </c>
      <c r="J1620" t="str">
        <f>IF(OR(H1620="",I1620=""),"",IF(H1620=0,"",I1620/H1620-1))</f>
        <v/>
      </c>
      <c r="K1620" t="str">
        <f>IF($B1620="","",IFERROR(IF(G1620=0,-2E+300,CHOOSE(sortIdx,ROUND(D1620,0),IF(J1620="",-1E+300,ROUND(-J1620,6)),IF(J1620="",-1E+300,ROUND(J1620,6)))),-1.5E+300))</f>
        <v/>
      </c>
      <c r="L1620" t="str">
        <f>IF(K1620="","",RANK(K1620,$K$2:$K$3001,0)+COUNTIF($K$2:K1620,K1620)-1)</f>
        <v/>
      </c>
    </row>
    <row r="1621">
      <c r="B1621" t="str">
        <f>IFERROR(IF(A1621="","","="&amp;SUBSTITUTE(SUBSTITUTE(SUBSTITUTE(A1621,"~","~~"),"*","~*"),"?","~?")),"")</f>
        <v/>
      </c>
      <c r="C1621" t="str">
        <f>IF($B1621="","",SUMIFS(dAmt,dCust,$B1621,dPer,"&gt;="&amp;pyFrom,dPer,"&lt;="&amp;pyTo,dAmt,"&gt;-1E+300",dFlt1,critFlt1,dFlt2,critFlt2,dFlt3,critFlt3))</f>
        <v/>
      </c>
      <c r="D1621" t="str">
        <f>IF($B1621="","",SUMIFS(dAmt,dCust,$B1621,dPer,"&gt;="&amp;cyFrom,dPer,"&lt;="&amp;cyTo,dAmt,"&gt;-1E+300",dFlt1,critFlt1,dFlt2,critFlt2,dFlt3,critFlt3))</f>
        <v/>
      </c>
      <c r="E1621" t="str">
        <f>IF($B1621="","",SUMIFS(dQty,dCust,$B1621,dPer,"&gt;="&amp;pyFrom,dPer,"&lt;="&amp;pyTo,dQty,"&gt;-1E+300",dFlt1,critFlt1,dFlt2,critFlt2,dFlt3,critFlt3))</f>
        <v/>
      </c>
      <c r="F1621" t="str">
        <f>IF($B1621="","",SUMIFS(dQty,dCust,$B1621,dPer,"&gt;="&amp;cyFrom,dPer,"&lt;="&amp;cyTo,dQty,"&gt;-1E+300",dFlt1,critFlt1,dFlt2,critFlt2,dFlt3,critFlt3))</f>
        <v/>
      </c>
      <c r="G1621">
        <f>IF($B1621="",0,IFERROR(IF(OR(C1621&lt;&gt;0,D1621&lt;&gt;0,E1621&lt;&gt;0,F1621&lt;&gt;0),1,0),1))</f>
        <v>0</v>
      </c>
      <c r="H1621" t="str">
        <f>IF(OR(G1621=0,E1621=0),"",C1621/E1621)</f>
        <v/>
      </c>
      <c r="I1621" t="str">
        <f>IF(OR(G1621=0,F1621=0),"",D1621/F1621)</f>
        <v/>
      </c>
      <c r="J1621" t="str">
        <f>IF(OR(H1621="",I1621=""),"",IF(H1621=0,"",I1621/H1621-1))</f>
        <v/>
      </c>
      <c r="K1621" t="str">
        <f>IF($B1621="","",IFERROR(IF(G1621=0,-2E+300,CHOOSE(sortIdx,ROUND(D1621,0),IF(J1621="",-1E+300,ROUND(-J1621,6)),IF(J1621="",-1E+300,ROUND(J1621,6)))),-1.5E+300))</f>
        <v/>
      </c>
      <c r="L1621" t="str">
        <f>IF(K1621="","",RANK(K1621,$K$2:$K$3001,0)+COUNTIF($K$2:K1621,K1621)-1)</f>
        <v/>
      </c>
    </row>
    <row r="1622">
      <c r="B1622" t="str">
        <f>IFERROR(IF(A1622="","","="&amp;SUBSTITUTE(SUBSTITUTE(SUBSTITUTE(A1622,"~","~~"),"*","~*"),"?","~?")),"")</f>
        <v/>
      </c>
      <c r="C1622" t="str">
        <f>IF($B1622="","",SUMIFS(dAmt,dCust,$B1622,dPer,"&gt;="&amp;pyFrom,dPer,"&lt;="&amp;pyTo,dAmt,"&gt;-1E+300",dFlt1,critFlt1,dFlt2,critFlt2,dFlt3,critFlt3))</f>
        <v/>
      </c>
      <c r="D1622" t="str">
        <f>IF($B1622="","",SUMIFS(dAmt,dCust,$B1622,dPer,"&gt;="&amp;cyFrom,dPer,"&lt;="&amp;cyTo,dAmt,"&gt;-1E+300",dFlt1,critFlt1,dFlt2,critFlt2,dFlt3,critFlt3))</f>
        <v/>
      </c>
      <c r="E1622" t="str">
        <f>IF($B1622="","",SUMIFS(dQty,dCust,$B1622,dPer,"&gt;="&amp;pyFrom,dPer,"&lt;="&amp;pyTo,dQty,"&gt;-1E+300",dFlt1,critFlt1,dFlt2,critFlt2,dFlt3,critFlt3))</f>
        <v/>
      </c>
      <c r="F1622" t="str">
        <f>IF($B1622="","",SUMIFS(dQty,dCust,$B1622,dPer,"&gt;="&amp;cyFrom,dPer,"&lt;="&amp;cyTo,dQty,"&gt;-1E+300",dFlt1,critFlt1,dFlt2,critFlt2,dFlt3,critFlt3))</f>
        <v/>
      </c>
      <c r="G1622">
        <f>IF($B1622="",0,IFERROR(IF(OR(C1622&lt;&gt;0,D1622&lt;&gt;0,E1622&lt;&gt;0,F1622&lt;&gt;0),1,0),1))</f>
        <v>0</v>
      </c>
      <c r="H1622" t="str">
        <f>IF(OR(G1622=0,E1622=0),"",C1622/E1622)</f>
        <v/>
      </c>
      <c r="I1622" t="str">
        <f>IF(OR(G1622=0,F1622=0),"",D1622/F1622)</f>
        <v/>
      </c>
      <c r="J1622" t="str">
        <f>IF(OR(H1622="",I1622=""),"",IF(H1622=0,"",I1622/H1622-1))</f>
        <v/>
      </c>
      <c r="K1622" t="str">
        <f>IF($B1622="","",IFERROR(IF(G1622=0,-2E+300,CHOOSE(sortIdx,ROUND(D1622,0),IF(J1622="",-1E+300,ROUND(-J1622,6)),IF(J1622="",-1E+300,ROUND(J1622,6)))),-1.5E+300))</f>
        <v/>
      </c>
      <c r="L1622" t="str">
        <f>IF(K1622="","",RANK(K1622,$K$2:$K$3001,0)+COUNTIF($K$2:K1622,K1622)-1)</f>
        <v/>
      </c>
    </row>
    <row r="1623">
      <c r="B1623" t="str">
        <f>IFERROR(IF(A1623="","","="&amp;SUBSTITUTE(SUBSTITUTE(SUBSTITUTE(A1623,"~","~~"),"*","~*"),"?","~?")),"")</f>
        <v/>
      </c>
      <c r="C1623" t="str">
        <f>IF($B1623="","",SUMIFS(dAmt,dCust,$B1623,dPer,"&gt;="&amp;pyFrom,dPer,"&lt;="&amp;pyTo,dAmt,"&gt;-1E+300",dFlt1,critFlt1,dFlt2,critFlt2,dFlt3,critFlt3))</f>
        <v/>
      </c>
      <c r="D1623" t="str">
        <f>IF($B1623="","",SUMIFS(dAmt,dCust,$B1623,dPer,"&gt;="&amp;cyFrom,dPer,"&lt;="&amp;cyTo,dAmt,"&gt;-1E+300",dFlt1,critFlt1,dFlt2,critFlt2,dFlt3,critFlt3))</f>
        <v/>
      </c>
      <c r="E1623" t="str">
        <f>IF($B1623="","",SUMIFS(dQty,dCust,$B1623,dPer,"&gt;="&amp;pyFrom,dPer,"&lt;="&amp;pyTo,dQty,"&gt;-1E+300",dFlt1,critFlt1,dFlt2,critFlt2,dFlt3,critFlt3))</f>
        <v/>
      </c>
      <c r="F1623" t="str">
        <f>IF($B1623="","",SUMIFS(dQty,dCust,$B1623,dPer,"&gt;="&amp;cyFrom,dPer,"&lt;="&amp;cyTo,dQty,"&gt;-1E+300",dFlt1,critFlt1,dFlt2,critFlt2,dFlt3,critFlt3))</f>
        <v/>
      </c>
      <c r="G1623">
        <f>IF($B1623="",0,IFERROR(IF(OR(C1623&lt;&gt;0,D1623&lt;&gt;0,E1623&lt;&gt;0,F1623&lt;&gt;0),1,0),1))</f>
        <v>0</v>
      </c>
      <c r="H1623" t="str">
        <f>IF(OR(G1623=0,E1623=0),"",C1623/E1623)</f>
        <v/>
      </c>
      <c r="I1623" t="str">
        <f>IF(OR(G1623=0,F1623=0),"",D1623/F1623)</f>
        <v/>
      </c>
      <c r="J1623" t="str">
        <f>IF(OR(H1623="",I1623=""),"",IF(H1623=0,"",I1623/H1623-1))</f>
        <v/>
      </c>
      <c r="K1623" t="str">
        <f>IF($B1623="","",IFERROR(IF(G1623=0,-2E+300,CHOOSE(sortIdx,ROUND(D1623,0),IF(J1623="",-1E+300,ROUND(-J1623,6)),IF(J1623="",-1E+300,ROUND(J1623,6)))),-1.5E+300))</f>
        <v/>
      </c>
      <c r="L1623" t="str">
        <f>IF(K1623="","",RANK(K1623,$K$2:$K$3001,0)+COUNTIF($K$2:K1623,K1623)-1)</f>
        <v/>
      </c>
    </row>
    <row r="1624">
      <c r="B1624" t="str">
        <f>IFERROR(IF(A1624="","","="&amp;SUBSTITUTE(SUBSTITUTE(SUBSTITUTE(A1624,"~","~~"),"*","~*"),"?","~?")),"")</f>
        <v/>
      </c>
      <c r="C1624" t="str">
        <f>IF($B1624="","",SUMIFS(dAmt,dCust,$B1624,dPer,"&gt;="&amp;pyFrom,dPer,"&lt;="&amp;pyTo,dAmt,"&gt;-1E+300",dFlt1,critFlt1,dFlt2,critFlt2,dFlt3,critFlt3))</f>
        <v/>
      </c>
      <c r="D1624" t="str">
        <f>IF($B1624="","",SUMIFS(dAmt,dCust,$B1624,dPer,"&gt;="&amp;cyFrom,dPer,"&lt;="&amp;cyTo,dAmt,"&gt;-1E+300",dFlt1,critFlt1,dFlt2,critFlt2,dFlt3,critFlt3))</f>
        <v/>
      </c>
      <c r="E1624" t="str">
        <f>IF($B1624="","",SUMIFS(dQty,dCust,$B1624,dPer,"&gt;="&amp;pyFrom,dPer,"&lt;="&amp;pyTo,dQty,"&gt;-1E+300",dFlt1,critFlt1,dFlt2,critFlt2,dFlt3,critFlt3))</f>
        <v/>
      </c>
      <c r="F1624" t="str">
        <f>IF($B1624="","",SUMIFS(dQty,dCust,$B1624,dPer,"&gt;="&amp;cyFrom,dPer,"&lt;="&amp;cyTo,dQty,"&gt;-1E+300",dFlt1,critFlt1,dFlt2,critFlt2,dFlt3,critFlt3))</f>
        <v/>
      </c>
      <c r="G1624">
        <f>IF($B1624="",0,IFERROR(IF(OR(C1624&lt;&gt;0,D1624&lt;&gt;0,E1624&lt;&gt;0,F1624&lt;&gt;0),1,0),1))</f>
        <v>0</v>
      </c>
      <c r="H1624" t="str">
        <f>IF(OR(G1624=0,E1624=0),"",C1624/E1624)</f>
        <v/>
      </c>
      <c r="I1624" t="str">
        <f>IF(OR(G1624=0,F1624=0),"",D1624/F1624)</f>
        <v/>
      </c>
      <c r="J1624" t="str">
        <f>IF(OR(H1624="",I1624=""),"",IF(H1624=0,"",I1624/H1624-1))</f>
        <v/>
      </c>
      <c r="K1624" t="str">
        <f>IF($B1624="","",IFERROR(IF(G1624=0,-2E+300,CHOOSE(sortIdx,ROUND(D1624,0),IF(J1624="",-1E+300,ROUND(-J1624,6)),IF(J1624="",-1E+300,ROUND(J1624,6)))),-1.5E+300))</f>
        <v/>
      </c>
      <c r="L1624" t="str">
        <f>IF(K1624="","",RANK(K1624,$K$2:$K$3001,0)+COUNTIF($K$2:K1624,K1624)-1)</f>
        <v/>
      </c>
    </row>
    <row r="1625">
      <c r="B1625" t="str">
        <f>IFERROR(IF(A1625="","","="&amp;SUBSTITUTE(SUBSTITUTE(SUBSTITUTE(A1625,"~","~~"),"*","~*"),"?","~?")),"")</f>
        <v/>
      </c>
      <c r="C1625" t="str">
        <f>IF($B1625="","",SUMIFS(dAmt,dCust,$B1625,dPer,"&gt;="&amp;pyFrom,dPer,"&lt;="&amp;pyTo,dAmt,"&gt;-1E+300",dFlt1,critFlt1,dFlt2,critFlt2,dFlt3,critFlt3))</f>
        <v/>
      </c>
      <c r="D1625" t="str">
        <f>IF($B1625="","",SUMIFS(dAmt,dCust,$B1625,dPer,"&gt;="&amp;cyFrom,dPer,"&lt;="&amp;cyTo,dAmt,"&gt;-1E+300",dFlt1,critFlt1,dFlt2,critFlt2,dFlt3,critFlt3))</f>
        <v/>
      </c>
      <c r="E1625" t="str">
        <f>IF($B1625="","",SUMIFS(dQty,dCust,$B1625,dPer,"&gt;="&amp;pyFrom,dPer,"&lt;="&amp;pyTo,dQty,"&gt;-1E+300",dFlt1,critFlt1,dFlt2,critFlt2,dFlt3,critFlt3))</f>
        <v/>
      </c>
      <c r="F1625" t="str">
        <f>IF($B1625="","",SUMIFS(dQty,dCust,$B1625,dPer,"&gt;="&amp;cyFrom,dPer,"&lt;="&amp;cyTo,dQty,"&gt;-1E+300",dFlt1,critFlt1,dFlt2,critFlt2,dFlt3,critFlt3))</f>
        <v/>
      </c>
      <c r="G1625">
        <f>IF($B1625="",0,IFERROR(IF(OR(C1625&lt;&gt;0,D1625&lt;&gt;0,E1625&lt;&gt;0,F1625&lt;&gt;0),1,0),1))</f>
        <v>0</v>
      </c>
      <c r="H1625" t="str">
        <f>IF(OR(G1625=0,E1625=0),"",C1625/E1625)</f>
        <v/>
      </c>
      <c r="I1625" t="str">
        <f>IF(OR(G1625=0,F1625=0),"",D1625/F1625)</f>
        <v/>
      </c>
      <c r="J1625" t="str">
        <f>IF(OR(H1625="",I1625=""),"",IF(H1625=0,"",I1625/H1625-1))</f>
        <v/>
      </c>
      <c r="K1625" t="str">
        <f>IF($B1625="","",IFERROR(IF(G1625=0,-2E+300,CHOOSE(sortIdx,ROUND(D1625,0),IF(J1625="",-1E+300,ROUND(-J1625,6)),IF(J1625="",-1E+300,ROUND(J1625,6)))),-1.5E+300))</f>
        <v/>
      </c>
      <c r="L1625" t="str">
        <f>IF(K1625="","",RANK(K1625,$K$2:$K$3001,0)+COUNTIF($K$2:K1625,K1625)-1)</f>
        <v/>
      </c>
    </row>
    <row r="1626">
      <c r="B1626" t="str">
        <f>IFERROR(IF(A1626="","","="&amp;SUBSTITUTE(SUBSTITUTE(SUBSTITUTE(A1626,"~","~~"),"*","~*"),"?","~?")),"")</f>
        <v/>
      </c>
      <c r="C1626" t="str">
        <f>IF($B1626="","",SUMIFS(dAmt,dCust,$B1626,dPer,"&gt;="&amp;pyFrom,dPer,"&lt;="&amp;pyTo,dAmt,"&gt;-1E+300",dFlt1,critFlt1,dFlt2,critFlt2,dFlt3,critFlt3))</f>
        <v/>
      </c>
      <c r="D1626" t="str">
        <f>IF($B1626="","",SUMIFS(dAmt,dCust,$B1626,dPer,"&gt;="&amp;cyFrom,dPer,"&lt;="&amp;cyTo,dAmt,"&gt;-1E+300",dFlt1,critFlt1,dFlt2,critFlt2,dFlt3,critFlt3))</f>
        <v/>
      </c>
      <c r="E1626" t="str">
        <f>IF($B1626="","",SUMIFS(dQty,dCust,$B1626,dPer,"&gt;="&amp;pyFrom,dPer,"&lt;="&amp;pyTo,dQty,"&gt;-1E+300",dFlt1,critFlt1,dFlt2,critFlt2,dFlt3,critFlt3))</f>
        <v/>
      </c>
      <c r="F1626" t="str">
        <f>IF($B1626="","",SUMIFS(dQty,dCust,$B1626,dPer,"&gt;="&amp;cyFrom,dPer,"&lt;="&amp;cyTo,dQty,"&gt;-1E+300",dFlt1,critFlt1,dFlt2,critFlt2,dFlt3,critFlt3))</f>
        <v/>
      </c>
      <c r="G1626">
        <f>IF($B1626="",0,IFERROR(IF(OR(C1626&lt;&gt;0,D1626&lt;&gt;0,E1626&lt;&gt;0,F1626&lt;&gt;0),1,0),1))</f>
        <v>0</v>
      </c>
      <c r="H1626" t="str">
        <f>IF(OR(G1626=0,E1626=0),"",C1626/E1626)</f>
        <v/>
      </c>
      <c r="I1626" t="str">
        <f>IF(OR(G1626=0,F1626=0),"",D1626/F1626)</f>
        <v/>
      </c>
      <c r="J1626" t="str">
        <f>IF(OR(H1626="",I1626=""),"",IF(H1626=0,"",I1626/H1626-1))</f>
        <v/>
      </c>
      <c r="K1626" t="str">
        <f>IF($B1626="","",IFERROR(IF(G1626=0,-2E+300,CHOOSE(sortIdx,ROUND(D1626,0),IF(J1626="",-1E+300,ROUND(-J1626,6)),IF(J1626="",-1E+300,ROUND(J1626,6)))),-1.5E+300))</f>
        <v/>
      </c>
      <c r="L1626" t="str">
        <f>IF(K1626="","",RANK(K1626,$K$2:$K$3001,0)+COUNTIF($K$2:K1626,K1626)-1)</f>
        <v/>
      </c>
    </row>
    <row r="1627">
      <c r="B1627" t="str">
        <f>IFERROR(IF(A1627="","","="&amp;SUBSTITUTE(SUBSTITUTE(SUBSTITUTE(A1627,"~","~~"),"*","~*"),"?","~?")),"")</f>
        <v/>
      </c>
      <c r="C1627" t="str">
        <f>IF($B1627="","",SUMIFS(dAmt,dCust,$B1627,dPer,"&gt;="&amp;pyFrom,dPer,"&lt;="&amp;pyTo,dAmt,"&gt;-1E+300",dFlt1,critFlt1,dFlt2,critFlt2,dFlt3,critFlt3))</f>
        <v/>
      </c>
      <c r="D1627" t="str">
        <f>IF($B1627="","",SUMIFS(dAmt,dCust,$B1627,dPer,"&gt;="&amp;cyFrom,dPer,"&lt;="&amp;cyTo,dAmt,"&gt;-1E+300",dFlt1,critFlt1,dFlt2,critFlt2,dFlt3,critFlt3))</f>
        <v/>
      </c>
      <c r="E1627" t="str">
        <f>IF($B1627="","",SUMIFS(dQty,dCust,$B1627,dPer,"&gt;="&amp;pyFrom,dPer,"&lt;="&amp;pyTo,dQty,"&gt;-1E+300",dFlt1,critFlt1,dFlt2,critFlt2,dFlt3,critFlt3))</f>
        <v/>
      </c>
      <c r="F1627" t="str">
        <f>IF($B1627="","",SUMIFS(dQty,dCust,$B1627,dPer,"&gt;="&amp;cyFrom,dPer,"&lt;="&amp;cyTo,dQty,"&gt;-1E+300",dFlt1,critFlt1,dFlt2,critFlt2,dFlt3,critFlt3))</f>
        <v/>
      </c>
      <c r="G1627">
        <f>IF($B1627="",0,IFERROR(IF(OR(C1627&lt;&gt;0,D1627&lt;&gt;0,E1627&lt;&gt;0,F1627&lt;&gt;0),1,0),1))</f>
        <v>0</v>
      </c>
      <c r="H1627" t="str">
        <f>IF(OR(G1627=0,E1627=0),"",C1627/E1627)</f>
        <v/>
      </c>
      <c r="I1627" t="str">
        <f>IF(OR(G1627=0,F1627=0),"",D1627/F1627)</f>
        <v/>
      </c>
      <c r="J1627" t="str">
        <f>IF(OR(H1627="",I1627=""),"",IF(H1627=0,"",I1627/H1627-1))</f>
        <v/>
      </c>
      <c r="K1627" t="str">
        <f>IF($B1627="","",IFERROR(IF(G1627=0,-2E+300,CHOOSE(sortIdx,ROUND(D1627,0),IF(J1627="",-1E+300,ROUND(-J1627,6)),IF(J1627="",-1E+300,ROUND(J1627,6)))),-1.5E+300))</f>
        <v/>
      </c>
      <c r="L1627" t="str">
        <f>IF(K1627="","",RANK(K1627,$K$2:$K$3001,0)+COUNTIF($K$2:K1627,K1627)-1)</f>
        <v/>
      </c>
    </row>
    <row r="1628">
      <c r="B1628" t="str">
        <f>IFERROR(IF(A1628="","","="&amp;SUBSTITUTE(SUBSTITUTE(SUBSTITUTE(A1628,"~","~~"),"*","~*"),"?","~?")),"")</f>
        <v/>
      </c>
      <c r="C1628" t="str">
        <f>IF($B1628="","",SUMIFS(dAmt,dCust,$B1628,dPer,"&gt;="&amp;pyFrom,dPer,"&lt;="&amp;pyTo,dAmt,"&gt;-1E+300",dFlt1,critFlt1,dFlt2,critFlt2,dFlt3,critFlt3))</f>
        <v/>
      </c>
      <c r="D1628" t="str">
        <f>IF($B1628="","",SUMIFS(dAmt,dCust,$B1628,dPer,"&gt;="&amp;cyFrom,dPer,"&lt;="&amp;cyTo,dAmt,"&gt;-1E+300",dFlt1,critFlt1,dFlt2,critFlt2,dFlt3,critFlt3))</f>
        <v/>
      </c>
      <c r="E1628" t="str">
        <f>IF($B1628="","",SUMIFS(dQty,dCust,$B1628,dPer,"&gt;="&amp;pyFrom,dPer,"&lt;="&amp;pyTo,dQty,"&gt;-1E+300",dFlt1,critFlt1,dFlt2,critFlt2,dFlt3,critFlt3))</f>
        <v/>
      </c>
      <c r="F1628" t="str">
        <f>IF($B1628="","",SUMIFS(dQty,dCust,$B1628,dPer,"&gt;="&amp;cyFrom,dPer,"&lt;="&amp;cyTo,dQty,"&gt;-1E+300",dFlt1,critFlt1,dFlt2,critFlt2,dFlt3,critFlt3))</f>
        <v/>
      </c>
      <c r="G1628">
        <f>IF($B1628="",0,IFERROR(IF(OR(C1628&lt;&gt;0,D1628&lt;&gt;0,E1628&lt;&gt;0,F1628&lt;&gt;0),1,0),1))</f>
        <v>0</v>
      </c>
      <c r="H1628" t="str">
        <f>IF(OR(G1628=0,E1628=0),"",C1628/E1628)</f>
        <v/>
      </c>
      <c r="I1628" t="str">
        <f>IF(OR(G1628=0,F1628=0),"",D1628/F1628)</f>
        <v/>
      </c>
      <c r="J1628" t="str">
        <f>IF(OR(H1628="",I1628=""),"",IF(H1628=0,"",I1628/H1628-1))</f>
        <v/>
      </c>
      <c r="K1628" t="str">
        <f>IF($B1628="","",IFERROR(IF(G1628=0,-2E+300,CHOOSE(sortIdx,ROUND(D1628,0),IF(J1628="",-1E+300,ROUND(-J1628,6)),IF(J1628="",-1E+300,ROUND(J1628,6)))),-1.5E+300))</f>
        <v/>
      </c>
      <c r="L1628" t="str">
        <f>IF(K1628="","",RANK(K1628,$K$2:$K$3001,0)+COUNTIF($K$2:K1628,K1628)-1)</f>
        <v/>
      </c>
    </row>
    <row r="1629">
      <c r="B1629" t="str">
        <f>IFERROR(IF(A1629="","","="&amp;SUBSTITUTE(SUBSTITUTE(SUBSTITUTE(A1629,"~","~~"),"*","~*"),"?","~?")),"")</f>
        <v/>
      </c>
      <c r="C1629" t="str">
        <f>IF($B1629="","",SUMIFS(dAmt,dCust,$B1629,dPer,"&gt;="&amp;pyFrom,dPer,"&lt;="&amp;pyTo,dAmt,"&gt;-1E+300",dFlt1,critFlt1,dFlt2,critFlt2,dFlt3,critFlt3))</f>
        <v/>
      </c>
      <c r="D1629" t="str">
        <f>IF($B1629="","",SUMIFS(dAmt,dCust,$B1629,dPer,"&gt;="&amp;cyFrom,dPer,"&lt;="&amp;cyTo,dAmt,"&gt;-1E+300",dFlt1,critFlt1,dFlt2,critFlt2,dFlt3,critFlt3))</f>
        <v/>
      </c>
      <c r="E1629" t="str">
        <f>IF($B1629="","",SUMIFS(dQty,dCust,$B1629,dPer,"&gt;="&amp;pyFrom,dPer,"&lt;="&amp;pyTo,dQty,"&gt;-1E+300",dFlt1,critFlt1,dFlt2,critFlt2,dFlt3,critFlt3))</f>
        <v/>
      </c>
      <c r="F1629" t="str">
        <f>IF($B1629="","",SUMIFS(dQty,dCust,$B1629,dPer,"&gt;="&amp;cyFrom,dPer,"&lt;="&amp;cyTo,dQty,"&gt;-1E+300",dFlt1,critFlt1,dFlt2,critFlt2,dFlt3,critFlt3))</f>
        <v/>
      </c>
      <c r="G1629">
        <f>IF($B1629="",0,IFERROR(IF(OR(C1629&lt;&gt;0,D1629&lt;&gt;0,E1629&lt;&gt;0,F1629&lt;&gt;0),1,0),1))</f>
        <v>0</v>
      </c>
      <c r="H1629" t="str">
        <f>IF(OR(G1629=0,E1629=0),"",C1629/E1629)</f>
        <v/>
      </c>
      <c r="I1629" t="str">
        <f>IF(OR(G1629=0,F1629=0),"",D1629/F1629)</f>
        <v/>
      </c>
      <c r="J1629" t="str">
        <f>IF(OR(H1629="",I1629=""),"",IF(H1629=0,"",I1629/H1629-1))</f>
        <v/>
      </c>
      <c r="K1629" t="str">
        <f>IF($B1629="","",IFERROR(IF(G1629=0,-2E+300,CHOOSE(sortIdx,ROUND(D1629,0),IF(J1629="",-1E+300,ROUND(-J1629,6)),IF(J1629="",-1E+300,ROUND(J1629,6)))),-1.5E+300))</f>
        <v/>
      </c>
      <c r="L1629" t="str">
        <f>IF(K1629="","",RANK(K1629,$K$2:$K$3001,0)+COUNTIF($K$2:K1629,K1629)-1)</f>
        <v/>
      </c>
    </row>
    <row r="1630">
      <c r="B1630" t="str">
        <f>IFERROR(IF(A1630="","","="&amp;SUBSTITUTE(SUBSTITUTE(SUBSTITUTE(A1630,"~","~~"),"*","~*"),"?","~?")),"")</f>
        <v/>
      </c>
      <c r="C1630" t="str">
        <f>IF($B1630="","",SUMIFS(dAmt,dCust,$B1630,dPer,"&gt;="&amp;pyFrom,dPer,"&lt;="&amp;pyTo,dAmt,"&gt;-1E+300",dFlt1,critFlt1,dFlt2,critFlt2,dFlt3,critFlt3))</f>
        <v/>
      </c>
      <c r="D1630" t="str">
        <f>IF($B1630="","",SUMIFS(dAmt,dCust,$B1630,dPer,"&gt;="&amp;cyFrom,dPer,"&lt;="&amp;cyTo,dAmt,"&gt;-1E+300",dFlt1,critFlt1,dFlt2,critFlt2,dFlt3,critFlt3))</f>
        <v/>
      </c>
      <c r="E1630" t="str">
        <f>IF($B1630="","",SUMIFS(dQty,dCust,$B1630,dPer,"&gt;="&amp;pyFrom,dPer,"&lt;="&amp;pyTo,dQty,"&gt;-1E+300",dFlt1,critFlt1,dFlt2,critFlt2,dFlt3,critFlt3))</f>
        <v/>
      </c>
      <c r="F1630" t="str">
        <f>IF($B1630="","",SUMIFS(dQty,dCust,$B1630,dPer,"&gt;="&amp;cyFrom,dPer,"&lt;="&amp;cyTo,dQty,"&gt;-1E+300",dFlt1,critFlt1,dFlt2,critFlt2,dFlt3,critFlt3))</f>
        <v/>
      </c>
      <c r="G1630">
        <f>IF($B1630="",0,IFERROR(IF(OR(C1630&lt;&gt;0,D1630&lt;&gt;0,E1630&lt;&gt;0,F1630&lt;&gt;0),1,0),1))</f>
        <v>0</v>
      </c>
      <c r="H1630" t="str">
        <f>IF(OR(G1630=0,E1630=0),"",C1630/E1630)</f>
        <v/>
      </c>
      <c r="I1630" t="str">
        <f>IF(OR(G1630=0,F1630=0),"",D1630/F1630)</f>
        <v/>
      </c>
      <c r="J1630" t="str">
        <f>IF(OR(H1630="",I1630=""),"",IF(H1630=0,"",I1630/H1630-1))</f>
        <v/>
      </c>
      <c r="K1630" t="str">
        <f>IF($B1630="","",IFERROR(IF(G1630=0,-2E+300,CHOOSE(sortIdx,ROUND(D1630,0),IF(J1630="",-1E+300,ROUND(-J1630,6)),IF(J1630="",-1E+300,ROUND(J1630,6)))),-1.5E+300))</f>
        <v/>
      </c>
      <c r="L1630" t="str">
        <f>IF(K1630="","",RANK(K1630,$K$2:$K$3001,0)+COUNTIF($K$2:K1630,K1630)-1)</f>
        <v/>
      </c>
    </row>
    <row r="1631">
      <c r="B1631" t="str">
        <f>IFERROR(IF(A1631="","","="&amp;SUBSTITUTE(SUBSTITUTE(SUBSTITUTE(A1631,"~","~~"),"*","~*"),"?","~?")),"")</f>
        <v/>
      </c>
      <c r="C1631" t="str">
        <f>IF($B1631="","",SUMIFS(dAmt,dCust,$B1631,dPer,"&gt;="&amp;pyFrom,dPer,"&lt;="&amp;pyTo,dAmt,"&gt;-1E+300",dFlt1,critFlt1,dFlt2,critFlt2,dFlt3,critFlt3))</f>
        <v/>
      </c>
      <c r="D1631" t="str">
        <f>IF($B1631="","",SUMIFS(dAmt,dCust,$B1631,dPer,"&gt;="&amp;cyFrom,dPer,"&lt;="&amp;cyTo,dAmt,"&gt;-1E+300",dFlt1,critFlt1,dFlt2,critFlt2,dFlt3,critFlt3))</f>
        <v/>
      </c>
      <c r="E1631" t="str">
        <f>IF($B1631="","",SUMIFS(dQty,dCust,$B1631,dPer,"&gt;="&amp;pyFrom,dPer,"&lt;="&amp;pyTo,dQty,"&gt;-1E+300",dFlt1,critFlt1,dFlt2,critFlt2,dFlt3,critFlt3))</f>
        <v/>
      </c>
      <c r="F1631" t="str">
        <f>IF($B1631="","",SUMIFS(dQty,dCust,$B1631,dPer,"&gt;="&amp;cyFrom,dPer,"&lt;="&amp;cyTo,dQty,"&gt;-1E+300",dFlt1,critFlt1,dFlt2,critFlt2,dFlt3,critFlt3))</f>
        <v/>
      </c>
      <c r="G1631">
        <f>IF($B1631="",0,IFERROR(IF(OR(C1631&lt;&gt;0,D1631&lt;&gt;0,E1631&lt;&gt;0,F1631&lt;&gt;0),1,0),1))</f>
        <v>0</v>
      </c>
      <c r="H1631" t="str">
        <f>IF(OR(G1631=0,E1631=0),"",C1631/E1631)</f>
        <v/>
      </c>
      <c r="I1631" t="str">
        <f>IF(OR(G1631=0,F1631=0),"",D1631/F1631)</f>
        <v/>
      </c>
      <c r="J1631" t="str">
        <f>IF(OR(H1631="",I1631=""),"",IF(H1631=0,"",I1631/H1631-1))</f>
        <v/>
      </c>
      <c r="K1631" t="str">
        <f>IF($B1631="","",IFERROR(IF(G1631=0,-2E+300,CHOOSE(sortIdx,ROUND(D1631,0),IF(J1631="",-1E+300,ROUND(-J1631,6)),IF(J1631="",-1E+300,ROUND(J1631,6)))),-1.5E+300))</f>
        <v/>
      </c>
      <c r="L1631" t="str">
        <f>IF(K1631="","",RANK(K1631,$K$2:$K$3001,0)+COUNTIF($K$2:K1631,K1631)-1)</f>
        <v/>
      </c>
    </row>
    <row r="1632">
      <c r="B1632" t="str">
        <f>IFERROR(IF(A1632="","","="&amp;SUBSTITUTE(SUBSTITUTE(SUBSTITUTE(A1632,"~","~~"),"*","~*"),"?","~?")),"")</f>
        <v/>
      </c>
      <c r="C1632" t="str">
        <f>IF($B1632="","",SUMIFS(dAmt,dCust,$B1632,dPer,"&gt;="&amp;pyFrom,dPer,"&lt;="&amp;pyTo,dAmt,"&gt;-1E+300",dFlt1,critFlt1,dFlt2,critFlt2,dFlt3,critFlt3))</f>
        <v/>
      </c>
      <c r="D1632" t="str">
        <f>IF($B1632="","",SUMIFS(dAmt,dCust,$B1632,dPer,"&gt;="&amp;cyFrom,dPer,"&lt;="&amp;cyTo,dAmt,"&gt;-1E+300",dFlt1,critFlt1,dFlt2,critFlt2,dFlt3,critFlt3))</f>
        <v/>
      </c>
      <c r="E1632" t="str">
        <f>IF($B1632="","",SUMIFS(dQty,dCust,$B1632,dPer,"&gt;="&amp;pyFrom,dPer,"&lt;="&amp;pyTo,dQty,"&gt;-1E+300",dFlt1,critFlt1,dFlt2,critFlt2,dFlt3,critFlt3))</f>
        <v/>
      </c>
      <c r="F1632" t="str">
        <f>IF($B1632="","",SUMIFS(dQty,dCust,$B1632,dPer,"&gt;="&amp;cyFrom,dPer,"&lt;="&amp;cyTo,dQty,"&gt;-1E+300",dFlt1,critFlt1,dFlt2,critFlt2,dFlt3,critFlt3))</f>
        <v/>
      </c>
      <c r="G1632">
        <f>IF($B1632="",0,IFERROR(IF(OR(C1632&lt;&gt;0,D1632&lt;&gt;0,E1632&lt;&gt;0,F1632&lt;&gt;0),1,0),1))</f>
        <v>0</v>
      </c>
      <c r="H1632" t="str">
        <f>IF(OR(G1632=0,E1632=0),"",C1632/E1632)</f>
        <v/>
      </c>
      <c r="I1632" t="str">
        <f>IF(OR(G1632=0,F1632=0),"",D1632/F1632)</f>
        <v/>
      </c>
      <c r="J1632" t="str">
        <f>IF(OR(H1632="",I1632=""),"",IF(H1632=0,"",I1632/H1632-1))</f>
        <v/>
      </c>
      <c r="K1632" t="str">
        <f>IF($B1632="","",IFERROR(IF(G1632=0,-2E+300,CHOOSE(sortIdx,ROUND(D1632,0),IF(J1632="",-1E+300,ROUND(-J1632,6)),IF(J1632="",-1E+300,ROUND(J1632,6)))),-1.5E+300))</f>
        <v/>
      </c>
      <c r="L1632" t="str">
        <f>IF(K1632="","",RANK(K1632,$K$2:$K$3001,0)+COUNTIF($K$2:K1632,K1632)-1)</f>
        <v/>
      </c>
    </row>
    <row r="1633">
      <c r="B1633" t="str">
        <f>IFERROR(IF(A1633="","","="&amp;SUBSTITUTE(SUBSTITUTE(SUBSTITUTE(A1633,"~","~~"),"*","~*"),"?","~?")),"")</f>
        <v/>
      </c>
      <c r="C1633" t="str">
        <f>IF($B1633="","",SUMIFS(dAmt,dCust,$B1633,dPer,"&gt;="&amp;pyFrom,dPer,"&lt;="&amp;pyTo,dAmt,"&gt;-1E+300",dFlt1,critFlt1,dFlt2,critFlt2,dFlt3,critFlt3))</f>
        <v/>
      </c>
      <c r="D1633" t="str">
        <f>IF($B1633="","",SUMIFS(dAmt,dCust,$B1633,dPer,"&gt;="&amp;cyFrom,dPer,"&lt;="&amp;cyTo,dAmt,"&gt;-1E+300",dFlt1,critFlt1,dFlt2,critFlt2,dFlt3,critFlt3))</f>
        <v/>
      </c>
      <c r="E1633" t="str">
        <f>IF($B1633="","",SUMIFS(dQty,dCust,$B1633,dPer,"&gt;="&amp;pyFrom,dPer,"&lt;="&amp;pyTo,dQty,"&gt;-1E+300",dFlt1,critFlt1,dFlt2,critFlt2,dFlt3,critFlt3))</f>
        <v/>
      </c>
      <c r="F1633" t="str">
        <f>IF($B1633="","",SUMIFS(dQty,dCust,$B1633,dPer,"&gt;="&amp;cyFrom,dPer,"&lt;="&amp;cyTo,dQty,"&gt;-1E+300",dFlt1,critFlt1,dFlt2,critFlt2,dFlt3,critFlt3))</f>
        <v/>
      </c>
      <c r="G1633">
        <f>IF($B1633="",0,IFERROR(IF(OR(C1633&lt;&gt;0,D1633&lt;&gt;0,E1633&lt;&gt;0,F1633&lt;&gt;0),1,0),1))</f>
        <v>0</v>
      </c>
      <c r="H1633" t="str">
        <f>IF(OR(G1633=0,E1633=0),"",C1633/E1633)</f>
        <v/>
      </c>
      <c r="I1633" t="str">
        <f>IF(OR(G1633=0,F1633=0),"",D1633/F1633)</f>
        <v/>
      </c>
      <c r="J1633" t="str">
        <f>IF(OR(H1633="",I1633=""),"",IF(H1633=0,"",I1633/H1633-1))</f>
        <v/>
      </c>
      <c r="K1633" t="str">
        <f>IF($B1633="","",IFERROR(IF(G1633=0,-2E+300,CHOOSE(sortIdx,ROUND(D1633,0),IF(J1633="",-1E+300,ROUND(-J1633,6)),IF(J1633="",-1E+300,ROUND(J1633,6)))),-1.5E+300))</f>
        <v/>
      </c>
      <c r="L1633" t="str">
        <f>IF(K1633="","",RANK(K1633,$K$2:$K$3001,0)+COUNTIF($K$2:K1633,K1633)-1)</f>
        <v/>
      </c>
    </row>
    <row r="1634">
      <c r="B1634" t="str">
        <f>IFERROR(IF(A1634="","","="&amp;SUBSTITUTE(SUBSTITUTE(SUBSTITUTE(A1634,"~","~~"),"*","~*"),"?","~?")),"")</f>
        <v/>
      </c>
      <c r="C1634" t="str">
        <f>IF($B1634="","",SUMIFS(dAmt,dCust,$B1634,dPer,"&gt;="&amp;pyFrom,dPer,"&lt;="&amp;pyTo,dAmt,"&gt;-1E+300",dFlt1,critFlt1,dFlt2,critFlt2,dFlt3,critFlt3))</f>
        <v/>
      </c>
      <c r="D1634" t="str">
        <f>IF($B1634="","",SUMIFS(dAmt,dCust,$B1634,dPer,"&gt;="&amp;cyFrom,dPer,"&lt;="&amp;cyTo,dAmt,"&gt;-1E+300",dFlt1,critFlt1,dFlt2,critFlt2,dFlt3,critFlt3))</f>
        <v/>
      </c>
      <c r="E1634" t="str">
        <f>IF($B1634="","",SUMIFS(dQty,dCust,$B1634,dPer,"&gt;="&amp;pyFrom,dPer,"&lt;="&amp;pyTo,dQty,"&gt;-1E+300",dFlt1,critFlt1,dFlt2,critFlt2,dFlt3,critFlt3))</f>
        <v/>
      </c>
      <c r="F1634" t="str">
        <f>IF($B1634="","",SUMIFS(dQty,dCust,$B1634,dPer,"&gt;="&amp;cyFrom,dPer,"&lt;="&amp;cyTo,dQty,"&gt;-1E+300",dFlt1,critFlt1,dFlt2,critFlt2,dFlt3,critFlt3))</f>
        <v/>
      </c>
      <c r="G1634">
        <f>IF($B1634="",0,IFERROR(IF(OR(C1634&lt;&gt;0,D1634&lt;&gt;0,E1634&lt;&gt;0,F1634&lt;&gt;0),1,0),1))</f>
        <v>0</v>
      </c>
      <c r="H1634" t="str">
        <f>IF(OR(G1634=0,E1634=0),"",C1634/E1634)</f>
        <v/>
      </c>
      <c r="I1634" t="str">
        <f>IF(OR(G1634=0,F1634=0),"",D1634/F1634)</f>
        <v/>
      </c>
      <c r="J1634" t="str">
        <f>IF(OR(H1634="",I1634=""),"",IF(H1634=0,"",I1634/H1634-1))</f>
        <v/>
      </c>
      <c r="K1634" t="str">
        <f>IF($B1634="","",IFERROR(IF(G1634=0,-2E+300,CHOOSE(sortIdx,ROUND(D1634,0),IF(J1634="",-1E+300,ROUND(-J1634,6)),IF(J1634="",-1E+300,ROUND(J1634,6)))),-1.5E+300))</f>
        <v/>
      </c>
      <c r="L1634" t="str">
        <f>IF(K1634="","",RANK(K1634,$K$2:$K$3001,0)+COUNTIF($K$2:K1634,K1634)-1)</f>
        <v/>
      </c>
    </row>
    <row r="1635">
      <c r="B1635" t="str">
        <f>IFERROR(IF(A1635="","","="&amp;SUBSTITUTE(SUBSTITUTE(SUBSTITUTE(A1635,"~","~~"),"*","~*"),"?","~?")),"")</f>
        <v/>
      </c>
      <c r="C1635" t="str">
        <f>IF($B1635="","",SUMIFS(dAmt,dCust,$B1635,dPer,"&gt;="&amp;pyFrom,dPer,"&lt;="&amp;pyTo,dAmt,"&gt;-1E+300",dFlt1,critFlt1,dFlt2,critFlt2,dFlt3,critFlt3))</f>
        <v/>
      </c>
      <c r="D1635" t="str">
        <f>IF($B1635="","",SUMIFS(dAmt,dCust,$B1635,dPer,"&gt;="&amp;cyFrom,dPer,"&lt;="&amp;cyTo,dAmt,"&gt;-1E+300",dFlt1,critFlt1,dFlt2,critFlt2,dFlt3,critFlt3))</f>
        <v/>
      </c>
      <c r="E1635" t="str">
        <f>IF($B1635="","",SUMIFS(dQty,dCust,$B1635,dPer,"&gt;="&amp;pyFrom,dPer,"&lt;="&amp;pyTo,dQty,"&gt;-1E+300",dFlt1,critFlt1,dFlt2,critFlt2,dFlt3,critFlt3))</f>
        <v/>
      </c>
      <c r="F1635" t="str">
        <f>IF($B1635="","",SUMIFS(dQty,dCust,$B1635,dPer,"&gt;="&amp;cyFrom,dPer,"&lt;="&amp;cyTo,dQty,"&gt;-1E+300",dFlt1,critFlt1,dFlt2,critFlt2,dFlt3,critFlt3))</f>
        <v/>
      </c>
      <c r="G1635">
        <f>IF($B1635="",0,IFERROR(IF(OR(C1635&lt;&gt;0,D1635&lt;&gt;0,E1635&lt;&gt;0,F1635&lt;&gt;0),1,0),1))</f>
        <v>0</v>
      </c>
      <c r="H1635" t="str">
        <f>IF(OR(G1635=0,E1635=0),"",C1635/E1635)</f>
        <v/>
      </c>
      <c r="I1635" t="str">
        <f>IF(OR(G1635=0,F1635=0),"",D1635/F1635)</f>
        <v/>
      </c>
      <c r="J1635" t="str">
        <f>IF(OR(H1635="",I1635=""),"",IF(H1635=0,"",I1635/H1635-1))</f>
        <v/>
      </c>
      <c r="K1635" t="str">
        <f>IF($B1635="","",IFERROR(IF(G1635=0,-2E+300,CHOOSE(sortIdx,ROUND(D1635,0),IF(J1635="",-1E+300,ROUND(-J1635,6)),IF(J1635="",-1E+300,ROUND(J1635,6)))),-1.5E+300))</f>
        <v/>
      </c>
      <c r="L1635" t="str">
        <f>IF(K1635="","",RANK(K1635,$K$2:$K$3001,0)+COUNTIF($K$2:K1635,K1635)-1)</f>
        <v/>
      </c>
    </row>
    <row r="1636">
      <c r="B1636" t="str">
        <f>IFERROR(IF(A1636="","","="&amp;SUBSTITUTE(SUBSTITUTE(SUBSTITUTE(A1636,"~","~~"),"*","~*"),"?","~?")),"")</f>
        <v/>
      </c>
      <c r="C1636" t="str">
        <f>IF($B1636="","",SUMIFS(dAmt,dCust,$B1636,dPer,"&gt;="&amp;pyFrom,dPer,"&lt;="&amp;pyTo,dAmt,"&gt;-1E+300",dFlt1,critFlt1,dFlt2,critFlt2,dFlt3,critFlt3))</f>
        <v/>
      </c>
      <c r="D1636" t="str">
        <f>IF($B1636="","",SUMIFS(dAmt,dCust,$B1636,dPer,"&gt;="&amp;cyFrom,dPer,"&lt;="&amp;cyTo,dAmt,"&gt;-1E+300",dFlt1,critFlt1,dFlt2,critFlt2,dFlt3,critFlt3))</f>
        <v/>
      </c>
      <c r="E1636" t="str">
        <f>IF($B1636="","",SUMIFS(dQty,dCust,$B1636,dPer,"&gt;="&amp;pyFrom,dPer,"&lt;="&amp;pyTo,dQty,"&gt;-1E+300",dFlt1,critFlt1,dFlt2,critFlt2,dFlt3,critFlt3))</f>
        <v/>
      </c>
      <c r="F1636" t="str">
        <f>IF($B1636="","",SUMIFS(dQty,dCust,$B1636,dPer,"&gt;="&amp;cyFrom,dPer,"&lt;="&amp;cyTo,dQty,"&gt;-1E+300",dFlt1,critFlt1,dFlt2,critFlt2,dFlt3,critFlt3))</f>
        <v/>
      </c>
      <c r="G1636">
        <f>IF($B1636="",0,IFERROR(IF(OR(C1636&lt;&gt;0,D1636&lt;&gt;0,E1636&lt;&gt;0,F1636&lt;&gt;0),1,0),1))</f>
        <v>0</v>
      </c>
      <c r="H1636" t="str">
        <f>IF(OR(G1636=0,E1636=0),"",C1636/E1636)</f>
        <v/>
      </c>
      <c r="I1636" t="str">
        <f>IF(OR(G1636=0,F1636=0),"",D1636/F1636)</f>
        <v/>
      </c>
      <c r="J1636" t="str">
        <f>IF(OR(H1636="",I1636=""),"",IF(H1636=0,"",I1636/H1636-1))</f>
        <v/>
      </c>
      <c r="K1636" t="str">
        <f>IF($B1636="","",IFERROR(IF(G1636=0,-2E+300,CHOOSE(sortIdx,ROUND(D1636,0),IF(J1636="",-1E+300,ROUND(-J1636,6)),IF(J1636="",-1E+300,ROUND(J1636,6)))),-1.5E+300))</f>
        <v/>
      </c>
      <c r="L1636" t="str">
        <f>IF(K1636="","",RANK(K1636,$K$2:$K$3001,0)+COUNTIF($K$2:K1636,K1636)-1)</f>
        <v/>
      </c>
    </row>
    <row r="1637">
      <c r="B1637" t="str">
        <f>IFERROR(IF(A1637="","","="&amp;SUBSTITUTE(SUBSTITUTE(SUBSTITUTE(A1637,"~","~~"),"*","~*"),"?","~?")),"")</f>
        <v/>
      </c>
      <c r="C1637" t="str">
        <f>IF($B1637="","",SUMIFS(dAmt,dCust,$B1637,dPer,"&gt;="&amp;pyFrom,dPer,"&lt;="&amp;pyTo,dAmt,"&gt;-1E+300",dFlt1,critFlt1,dFlt2,critFlt2,dFlt3,critFlt3))</f>
        <v/>
      </c>
      <c r="D1637" t="str">
        <f>IF($B1637="","",SUMIFS(dAmt,dCust,$B1637,dPer,"&gt;="&amp;cyFrom,dPer,"&lt;="&amp;cyTo,dAmt,"&gt;-1E+300",dFlt1,critFlt1,dFlt2,critFlt2,dFlt3,critFlt3))</f>
        <v/>
      </c>
      <c r="E1637" t="str">
        <f>IF($B1637="","",SUMIFS(dQty,dCust,$B1637,dPer,"&gt;="&amp;pyFrom,dPer,"&lt;="&amp;pyTo,dQty,"&gt;-1E+300",dFlt1,critFlt1,dFlt2,critFlt2,dFlt3,critFlt3))</f>
        <v/>
      </c>
      <c r="F1637" t="str">
        <f>IF($B1637="","",SUMIFS(dQty,dCust,$B1637,dPer,"&gt;="&amp;cyFrom,dPer,"&lt;="&amp;cyTo,dQty,"&gt;-1E+300",dFlt1,critFlt1,dFlt2,critFlt2,dFlt3,critFlt3))</f>
        <v/>
      </c>
      <c r="G1637">
        <f>IF($B1637="",0,IFERROR(IF(OR(C1637&lt;&gt;0,D1637&lt;&gt;0,E1637&lt;&gt;0,F1637&lt;&gt;0),1,0),1))</f>
        <v>0</v>
      </c>
      <c r="H1637" t="str">
        <f>IF(OR(G1637=0,E1637=0),"",C1637/E1637)</f>
        <v/>
      </c>
      <c r="I1637" t="str">
        <f>IF(OR(G1637=0,F1637=0),"",D1637/F1637)</f>
        <v/>
      </c>
      <c r="J1637" t="str">
        <f>IF(OR(H1637="",I1637=""),"",IF(H1637=0,"",I1637/H1637-1))</f>
        <v/>
      </c>
      <c r="K1637" t="str">
        <f>IF($B1637="","",IFERROR(IF(G1637=0,-2E+300,CHOOSE(sortIdx,ROUND(D1637,0),IF(J1637="",-1E+300,ROUND(-J1637,6)),IF(J1637="",-1E+300,ROUND(J1637,6)))),-1.5E+300))</f>
        <v/>
      </c>
      <c r="L1637" t="str">
        <f>IF(K1637="","",RANK(K1637,$K$2:$K$3001,0)+COUNTIF($K$2:K1637,K1637)-1)</f>
        <v/>
      </c>
    </row>
    <row r="1638">
      <c r="B1638" t="str">
        <f>IFERROR(IF(A1638="","","="&amp;SUBSTITUTE(SUBSTITUTE(SUBSTITUTE(A1638,"~","~~"),"*","~*"),"?","~?")),"")</f>
        <v/>
      </c>
      <c r="C1638" t="str">
        <f>IF($B1638="","",SUMIFS(dAmt,dCust,$B1638,dPer,"&gt;="&amp;pyFrom,dPer,"&lt;="&amp;pyTo,dAmt,"&gt;-1E+300",dFlt1,critFlt1,dFlt2,critFlt2,dFlt3,critFlt3))</f>
        <v/>
      </c>
      <c r="D1638" t="str">
        <f>IF($B1638="","",SUMIFS(dAmt,dCust,$B1638,dPer,"&gt;="&amp;cyFrom,dPer,"&lt;="&amp;cyTo,dAmt,"&gt;-1E+300",dFlt1,critFlt1,dFlt2,critFlt2,dFlt3,critFlt3))</f>
        <v/>
      </c>
      <c r="E1638" t="str">
        <f>IF($B1638="","",SUMIFS(dQty,dCust,$B1638,dPer,"&gt;="&amp;pyFrom,dPer,"&lt;="&amp;pyTo,dQty,"&gt;-1E+300",dFlt1,critFlt1,dFlt2,critFlt2,dFlt3,critFlt3))</f>
        <v/>
      </c>
      <c r="F1638" t="str">
        <f>IF($B1638="","",SUMIFS(dQty,dCust,$B1638,dPer,"&gt;="&amp;cyFrom,dPer,"&lt;="&amp;cyTo,dQty,"&gt;-1E+300",dFlt1,critFlt1,dFlt2,critFlt2,dFlt3,critFlt3))</f>
        <v/>
      </c>
      <c r="G1638">
        <f>IF($B1638="",0,IFERROR(IF(OR(C1638&lt;&gt;0,D1638&lt;&gt;0,E1638&lt;&gt;0,F1638&lt;&gt;0),1,0),1))</f>
        <v>0</v>
      </c>
      <c r="H1638" t="str">
        <f>IF(OR(G1638=0,E1638=0),"",C1638/E1638)</f>
        <v/>
      </c>
      <c r="I1638" t="str">
        <f>IF(OR(G1638=0,F1638=0),"",D1638/F1638)</f>
        <v/>
      </c>
      <c r="J1638" t="str">
        <f>IF(OR(H1638="",I1638=""),"",IF(H1638=0,"",I1638/H1638-1))</f>
        <v/>
      </c>
      <c r="K1638" t="str">
        <f>IF($B1638="","",IFERROR(IF(G1638=0,-2E+300,CHOOSE(sortIdx,ROUND(D1638,0),IF(J1638="",-1E+300,ROUND(-J1638,6)),IF(J1638="",-1E+300,ROUND(J1638,6)))),-1.5E+300))</f>
        <v/>
      </c>
      <c r="L1638" t="str">
        <f>IF(K1638="","",RANK(K1638,$K$2:$K$3001,0)+COUNTIF($K$2:K1638,K1638)-1)</f>
        <v/>
      </c>
    </row>
    <row r="1639">
      <c r="B1639" t="str">
        <f>IFERROR(IF(A1639="","","="&amp;SUBSTITUTE(SUBSTITUTE(SUBSTITUTE(A1639,"~","~~"),"*","~*"),"?","~?")),"")</f>
        <v/>
      </c>
      <c r="C1639" t="str">
        <f>IF($B1639="","",SUMIFS(dAmt,dCust,$B1639,dPer,"&gt;="&amp;pyFrom,dPer,"&lt;="&amp;pyTo,dAmt,"&gt;-1E+300",dFlt1,critFlt1,dFlt2,critFlt2,dFlt3,critFlt3))</f>
        <v/>
      </c>
      <c r="D1639" t="str">
        <f>IF($B1639="","",SUMIFS(dAmt,dCust,$B1639,dPer,"&gt;="&amp;cyFrom,dPer,"&lt;="&amp;cyTo,dAmt,"&gt;-1E+300",dFlt1,critFlt1,dFlt2,critFlt2,dFlt3,critFlt3))</f>
        <v/>
      </c>
      <c r="E1639" t="str">
        <f>IF($B1639="","",SUMIFS(dQty,dCust,$B1639,dPer,"&gt;="&amp;pyFrom,dPer,"&lt;="&amp;pyTo,dQty,"&gt;-1E+300",dFlt1,critFlt1,dFlt2,critFlt2,dFlt3,critFlt3))</f>
        <v/>
      </c>
      <c r="F1639" t="str">
        <f>IF($B1639="","",SUMIFS(dQty,dCust,$B1639,dPer,"&gt;="&amp;cyFrom,dPer,"&lt;="&amp;cyTo,dQty,"&gt;-1E+300",dFlt1,critFlt1,dFlt2,critFlt2,dFlt3,critFlt3))</f>
        <v/>
      </c>
      <c r="G1639">
        <f>IF($B1639="",0,IFERROR(IF(OR(C1639&lt;&gt;0,D1639&lt;&gt;0,E1639&lt;&gt;0,F1639&lt;&gt;0),1,0),1))</f>
        <v>0</v>
      </c>
      <c r="H1639" t="str">
        <f>IF(OR(G1639=0,E1639=0),"",C1639/E1639)</f>
        <v/>
      </c>
      <c r="I1639" t="str">
        <f>IF(OR(G1639=0,F1639=0),"",D1639/F1639)</f>
        <v/>
      </c>
      <c r="J1639" t="str">
        <f>IF(OR(H1639="",I1639=""),"",IF(H1639=0,"",I1639/H1639-1))</f>
        <v/>
      </c>
      <c r="K1639" t="str">
        <f>IF($B1639="","",IFERROR(IF(G1639=0,-2E+300,CHOOSE(sortIdx,ROUND(D1639,0),IF(J1639="",-1E+300,ROUND(-J1639,6)),IF(J1639="",-1E+300,ROUND(J1639,6)))),-1.5E+300))</f>
        <v/>
      </c>
      <c r="L1639" t="str">
        <f>IF(K1639="","",RANK(K1639,$K$2:$K$3001,0)+COUNTIF($K$2:K1639,K1639)-1)</f>
        <v/>
      </c>
    </row>
    <row r="1640">
      <c r="B1640" t="str">
        <f>IFERROR(IF(A1640="","","="&amp;SUBSTITUTE(SUBSTITUTE(SUBSTITUTE(A1640,"~","~~"),"*","~*"),"?","~?")),"")</f>
        <v/>
      </c>
      <c r="C1640" t="str">
        <f>IF($B1640="","",SUMIFS(dAmt,dCust,$B1640,dPer,"&gt;="&amp;pyFrom,dPer,"&lt;="&amp;pyTo,dAmt,"&gt;-1E+300",dFlt1,critFlt1,dFlt2,critFlt2,dFlt3,critFlt3))</f>
        <v/>
      </c>
      <c r="D1640" t="str">
        <f>IF($B1640="","",SUMIFS(dAmt,dCust,$B1640,dPer,"&gt;="&amp;cyFrom,dPer,"&lt;="&amp;cyTo,dAmt,"&gt;-1E+300",dFlt1,critFlt1,dFlt2,critFlt2,dFlt3,critFlt3))</f>
        <v/>
      </c>
      <c r="E1640" t="str">
        <f>IF($B1640="","",SUMIFS(dQty,dCust,$B1640,dPer,"&gt;="&amp;pyFrom,dPer,"&lt;="&amp;pyTo,dQty,"&gt;-1E+300",dFlt1,critFlt1,dFlt2,critFlt2,dFlt3,critFlt3))</f>
        <v/>
      </c>
      <c r="F1640" t="str">
        <f>IF($B1640="","",SUMIFS(dQty,dCust,$B1640,dPer,"&gt;="&amp;cyFrom,dPer,"&lt;="&amp;cyTo,dQty,"&gt;-1E+300",dFlt1,critFlt1,dFlt2,critFlt2,dFlt3,critFlt3))</f>
        <v/>
      </c>
      <c r="G1640">
        <f>IF($B1640="",0,IFERROR(IF(OR(C1640&lt;&gt;0,D1640&lt;&gt;0,E1640&lt;&gt;0,F1640&lt;&gt;0),1,0),1))</f>
        <v>0</v>
      </c>
      <c r="H1640" t="str">
        <f>IF(OR(G1640=0,E1640=0),"",C1640/E1640)</f>
        <v/>
      </c>
      <c r="I1640" t="str">
        <f>IF(OR(G1640=0,F1640=0),"",D1640/F1640)</f>
        <v/>
      </c>
      <c r="J1640" t="str">
        <f>IF(OR(H1640="",I1640=""),"",IF(H1640=0,"",I1640/H1640-1))</f>
        <v/>
      </c>
      <c r="K1640" t="str">
        <f>IF($B1640="","",IFERROR(IF(G1640=0,-2E+300,CHOOSE(sortIdx,ROUND(D1640,0),IF(J1640="",-1E+300,ROUND(-J1640,6)),IF(J1640="",-1E+300,ROUND(J1640,6)))),-1.5E+300))</f>
        <v/>
      </c>
      <c r="L1640" t="str">
        <f>IF(K1640="","",RANK(K1640,$K$2:$K$3001,0)+COUNTIF($K$2:K1640,K1640)-1)</f>
        <v/>
      </c>
    </row>
    <row r="1641">
      <c r="B1641" t="str">
        <f>IFERROR(IF(A1641="","","="&amp;SUBSTITUTE(SUBSTITUTE(SUBSTITUTE(A1641,"~","~~"),"*","~*"),"?","~?")),"")</f>
        <v/>
      </c>
      <c r="C1641" t="str">
        <f>IF($B1641="","",SUMIFS(dAmt,dCust,$B1641,dPer,"&gt;="&amp;pyFrom,dPer,"&lt;="&amp;pyTo,dAmt,"&gt;-1E+300",dFlt1,critFlt1,dFlt2,critFlt2,dFlt3,critFlt3))</f>
        <v/>
      </c>
      <c r="D1641" t="str">
        <f>IF($B1641="","",SUMIFS(dAmt,dCust,$B1641,dPer,"&gt;="&amp;cyFrom,dPer,"&lt;="&amp;cyTo,dAmt,"&gt;-1E+300",dFlt1,critFlt1,dFlt2,critFlt2,dFlt3,critFlt3))</f>
        <v/>
      </c>
      <c r="E1641" t="str">
        <f>IF($B1641="","",SUMIFS(dQty,dCust,$B1641,dPer,"&gt;="&amp;pyFrom,dPer,"&lt;="&amp;pyTo,dQty,"&gt;-1E+300",dFlt1,critFlt1,dFlt2,critFlt2,dFlt3,critFlt3))</f>
        <v/>
      </c>
      <c r="F1641" t="str">
        <f>IF($B1641="","",SUMIFS(dQty,dCust,$B1641,dPer,"&gt;="&amp;cyFrom,dPer,"&lt;="&amp;cyTo,dQty,"&gt;-1E+300",dFlt1,critFlt1,dFlt2,critFlt2,dFlt3,critFlt3))</f>
        <v/>
      </c>
      <c r="G1641">
        <f>IF($B1641="",0,IFERROR(IF(OR(C1641&lt;&gt;0,D1641&lt;&gt;0,E1641&lt;&gt;0,F1641&lt;&gt;0),1,0),1))</f>
        <v>0</v>
      </c>
      <c r="H1641" t="str">
        <f>IF(OR(G1641=0,E1641=0),"",C1641/E1641)</f>
        <v/>
      </c>
      <c r="I1641" t="str">
        <f>IF(OR(G1641=0,F1641=0),"",D1641/F1641)</f>
        <v/>
      </c>
      <c r="J1641" t="str">
        <f>IF(OR(H1641="",I1641=""),"",IF(H1641=0,"",I1641/H1641-1))</f>
        <v/>
      </c>
      <c r="K1641" t="str">
        <f>IF($B1641="","",IFERROR(IF(G1641=0,-2E+300,CHOOSE(sortIdx,ROUND(D1641,0),IF(J1641="",-1E+300,ROUND(-J1641,6)),IF(J1641="",-1E+300,ROUND(J1641,6)))),-1.5E+300))</f>
        <v/>
      </c>
      <c r="L1641" t="str">
        <f>IF(K1641="","",RANK(K1641,$K$2:$K$3001,0)+COUNTIF($K$2:K1641,K1641)-1)</f>
        <v/>
      </c>
    </row>
    <row r="1642">
      <c r="B1642" t="str">
        <f>IFERROR(IF(A1642="","","="&amp;SUBSTITUTE(SUBSTITUTE(SUBSTITUTE(A1642,"~","~~"),"*","~*"),"?","~?")),"")</f>
        <v/>
      </c>
      <c r="C1642" t="str">
        <f>IF($B1642="","",SUMIFS(dAmt,dCust,$B1642,dPer,"&gt;="&amp;pyFrom,dPer,"&lt;="&amp;pyTo,dAmt,"&gt;-1E+300",dFlt1,critFlt1,dFlt2,critFlt2,dFlt3,critFlt3))</f>
        <v/>
      </c>
      <c r="D1642" t="str">
        <f>IF($B1642="","",SUMIFS(dAmt,dCust,$B1642,dPer,"&gt;="&amp;cyFrom,dPer,"&lt;="&amp;cyTo,dAmt,"&gt;-1E+300",dFlt1,critFlt1,dFlt2,critFlt2,dFlt3,critFlt3))</f>
        <v/>
      </c>
      <c r="E1642" t="str">
        <f>IF($B1642="","",SUMIFS(dQty,dCust,$B1642,dPer,"&gt;="&amp;pyFrom,dPer,"&lt;="&amp;pyTo,dQty,"&gt;-1E+300",dFlt1,critFlt1,dFlt2,critFlt2,dFlt3,critFlt3))</f>
        <v/>
      </c>
      <c r="F1642" t="str">
        <f>IF($B1642="","",SUMIFS(dQty,dCust,$B1642,dPer,"&gt;="&amp;cyFrom,dPer,"&lt;="&amp;cyTo,dQty,"&gt;-1E+300",dFlt1,critFlt1,dFlt2,critFlt2,dFlt3,critFlt3))</f>
        <v/>
      </c>
      <c r="G1642">
        <f>IF($B1642="",0,IFERROR(IF(OR(C1642&lt;&gt;0,D1642&lt;&gt;0,E1642&lt;&gt;0,F1642&lt;&gt;0),1,0),1))</f>
        <v>0</v>
      </c>
      <c r="H1642" t="str">
        <f>IF(OR(G1642=0,E1642=0),"",C1642/E1642)</f>
        <v/>
      </c>
      <c r="I1642" t="str">
        <f>IF(OR(G1642=0,F1642=0),"",D1642/F1642)</f>
        <v/>
      </c>
      <c r="J1642" t="str">
        <f>IF(OR(H1642="",I1642=""),"",IF(H1642=0,"",I1642/H1642-1))</f>
        <v/>
      </c>
      <c r="K1642" t="str">
        <f>IF($B1642="","",IFERROR(IF(G1642=0,-2E+300,CHOOSE(sortIdx,ROUND(D1642,0),IF(J1642="",-1E+300,ROUND(-J1642,6)),IF(J1642="",-1E+300,ROUND(J1642,6)))),-1.5E+300))</f>
        <v/>
      </c>
      <c r="L1642" t="str">
        <f>IF(K1642="","",RANK(K1642,$K$2:$K$3001,0)+COUNTIF($K$2:K1642,K1642)-1)</f>
        <v/>
      </c>
    </row>
    <row r="1643">
      <c r="B1643" t="str">
        <f>IFERROR(IF(A1643="","","="&amp;SUBSTITUTE(SUBSTITUTE(SUBSTITUTE(A1643,"~","~~"),"*","~*"),"?","~?")),"")</f>
        <v/>
      </c>
      <c r="C1643" t="str">
        <f>IF($B1643="","",SUMIFS(dAmt,dCust,$B1643,dPer,"&gt;="&amp;pyFrom,dPer,"&lt;="&amp;pyTo,dAmt,"&gt;-1E+300",dFlt1,critFlt1,dFlt2,critFlt2,dFlt3,critFlt3))</f>
        <v/>
      </c>
      <c r="D1643" t="str">
        <f>IF($B1643="","",SUMIFS(dAmt,dCust,$B1643,dPer,"&gt;="&amp;cyFrom,dPer,"&lt;="&amp;cyTo,dAmt,"&gt;-1E+300",dFlt1,critFlt1,dFlt2,critFlt2,dFlt3,critFlt3))</f>
        <v/>
      </c>
      <c r="E1643" t="str">
        <f>IF($B1643="","",SUMIFS(dQty,dCust,$B1643,dPer,"&gt;="&amp;pyFrom,dPer,"&lt;="&amp;pyTo,dQty,"&gt;-1E+300",dFlt1,critFlt1,dFlt2,critFlt2,dFlt3,critFlt3))</f>
        <v/>
      </c>
      <c r="F1643" t="str">
        <f>IF($B1643="","",SUMIFS(dQty,dCust,$B1643,dPer,"&gt;="&amp;cyFrom,dPer,"&lt;="&amp;cyTo,dQty,"&gt;-1E+300",dFlt1,critFlt1,dFlt2,critFlt2,dFlt3,critFlt3))</f>
        <v/>
      </c>
      <c r="G1643">
        <f>IF($B1643="",0,IFERROR(IF(OR(C1643&lt;&gt;0,D1643&lt;&gt;0,E1643&lt;&gt;0,F1643&lt;&gt;0),1,0),1))</f>
        <v>0</v>
      </c>
      <c r="H1643" t="str">
        <f>IF(OR(G1643=0,E1643=0),"",C1643/E1643)</f>
        <v/>
      </c>
      <c r="I1643" t="str">
        <f>IF(OR(G1643=0,F1643=0),"",D1643/F1643)</f>
        <v/>
      </c>
      <c r="J1643" t="str">
        <f>IF(OR(H1643="",I1643=""),"",IF(H1643=0,"",I1643/H1643-1))</f>
        <v/>
      </c>
      <c r="K1643" t="str">
        <f>IF($B1643="","",IFERROR(IF(G1643=0,-2E+300,CHOOSE(sortIdx,ROUND(D1643,0),IF(J1643="",-1E+300,ROUND(-J1643,6)),IF(J1643="",-1E+300,ROUND(J1643,6)))),-1.5E+300))</f>
        <v/>
      </c>
      <c r="L1643" t="str">
        <f>IF(K1643="","",RANK(K1643,$K$2:$K$3001,0)+COUNTIF($K$2:K1643,K1643)-1)</f>
        <v/>
      </c>
    </row>
    <row r="1644">
      <c r="B1644" t="str">
        <f>IFERROR(IF(A1644="","","="&amp;SUBSTITUTE(SUBSTITUTE(SUBSTITUTE(A1644,"~","~~"),"*","~*"),"?","~?")),"")</f>
        <v/>
      </c>
      <c r="C1644" t="str">
        <f>IF($B1644="","",SUMIFS(dAmt,dCust,$B1644,dPer,"&gt;="&amp;pyFrom,dPer,"&lt;="&amp;pyTo,dAmt,"&gt;-1E+300",dFlt1,critFlt1,dFlt2,critFlt2,dFlt3,critFlt3))</f>
        <v/>
      </c>
      <c r="D1644" t="str">
        <f>IF($B1644="","",SUMIFS(dAmt,dCust,$B1644,dPer,"&gt;="&amp;cyFrom,dPer,"&lt;="&amp;cyTo,dAmt,"&gt;-1E+300",dFlt1,critFlt1,dFlt2,critFlt2,dFlt3,critFlt3))</f>
        <v/>
      </c>
      <c r="E1644" t="str">
        <f>IF($B1644="","",SUMIFS(dQty,dCust,$B1644,dPer,"&gt;="&amp;pyFrom,dPer,"&lt;="&amp;pyTo,dQty,"&gt;-1E+300",dFlt1,critFlt1,dFlt2,critFlt2,dFlt3,critFlt3))</f>
        <v/>
      </c>
      <c r="F1644" t="str">
        <f>IF($B1644="","",SUMIFS(dQty,dCust,$B1644,dPer,"&gt;="&amp;cyFrom,dPer,"&lt;="&amp;cyTo,dQty,"&gt;-1E+300",dFlt1,critFlt1,dFlt2,critFlt2,dFlt3,critFlt3))</f>
        <v/>
      </c>
      <c r="G1644">
        <f>IF($B1644="",0,IFERROR(IF(OR(C1644&lt;&gt;0,D1644&lt;&gt;0,E1644&lt;&gt;0,F1644&lt;&gt;0),1,0),1))</f>
        <v>0</v>
      </c>
      <c r="H1644" t="str">
        <f>IF(OR(G1644=0,E1644=0),"",C1644/E1644)</f>
        <v/>
      </c>
      <c r="I1644" t="str">
        <f>IF(OR(G1644=0,F1644=0),"",D1644/F1644)</f>
        <v/>
      </c>
      <c r="J1644" t="str">
        <f>IF(OR(H1644="",I1644=""),"",IF(H1644=0,"",I1644/H1644-1))</f>
        <v/>
      </c>
      <c r="K1644" t="str">
        <f>IF($B1644="","",IFERROR(IF(G1644=0,-2E+300,CHOOSE(sortIdx,ROUND(D1644,0),IF(J1644="",-1E+300,ROUND(-J1644,6)),IF(J1644="",-1E+300,ROUND(J1644,6)))),-1.5E+300))</f>
        <v/>
      </c>
      <c r="L1644" t="str">
        <f>IF(K1644="","",RANK(K1644,$K$2:$K$3001,0)+COUNTIF($K$2:K1644,K1644)-1)</f>
        <v/>
      </c>
    </row>
    <row r="1645">
      <c r="B1645" t="str">
        <f>IFERROR(IF(A1645="","","="&amp;SUBSTITUTE(SUBSTITUTE(SUBSTITUTE(A1645,"~","~~"),"*","~*"),"?","~?")),"")</f>
        <v/>
      </c>
      <c r="C1645" t="str">
        <f>IF($B1645="","",SUMIFS(dAmt,dCust,$B1645,dPer,"&gt;="&amp;pyFrom,dPer,"&lt;="&amp;pyTo,dAmt,"&gt;-1E+300",dFlt1,critFlt1,dFlt2,critFlt2,dFlt3,critFlt3))</f>
        <v/>
      </c>
      <c r="D1645" t="str">
        <f>IF($B1645="","",SUMIFS(dAmt,dCust,$B1645,dPer,"&gt;="&amp;cyFrom,dPer,"&lt;="&amp;cyTo,dAmt,"&gt;-1E+300",dFlt1,critFlt1,dFlt2,critFlt2,dFlt3,critFlt3))</f>
        <v/>
      </c>
      <c r="E1645" t="str">
        <f>IF($B1645="","",SUMIFS(dQty,dCust,$B1645,dPer,"&gt;="&amp;pyFrom,dPer,"&lt;="&amp;pyTo,dQty,"&gt;-1E+300",dFlt1,critFlt1,dFlt2,critFlt2,dFlt3,critFlt3))</f>
        <v/>
      </c>
      <c r="F1645" t="str">
        <f>IF($B1645="","",SUMIFS(dQty,dCust,$B1645,dPer,"&gt;="&amp;cyFrom,dPer,"&lt;="&amp;cyTo,dQty,"&gt;-1E+300",dFlt1,critFlt1,dFlt2,critFlt2,dFlt3,critFlt3))</f>
        <v/>
      </c>
      <c r="G1645">
        <f>IF($B1645="",0,IFERROR(IF(OR(C1645&lt;&gt;0,D1645&lt;&gt;0,E1645&lt;&gt;0,F1645&lt;&gt;0),1,0),1))</f>
        <v>0</v>
      </c>
      <c r="H1645" t="str">
        <f>IF(OR(G1645=0,E1645=0),"",C1645/E1645)</f>
        <v/>
      </c>
      <c r="I1645" t="str">
        <f>IF(OR(G1645=0,F1645=0),"",D1645/F1645)</f>
        <v/>
      </c>
      <c r="J1645" t="str">
        <f>IF(OR(H1645="",I1645=""),"",IF(H1645=0,"",I1645/H1645-1))</f>
        <v/>
      </c>
      <c r="K1645" t="str">
        <f>IF($B1645="","",IFERROR(IF(G1645=0,-2E+300,CHOOSE(sortIdx,ROUND(D1645,0),IF(J1645="",-1E+300,ROUND(-J1645,6)),IF(J1645="",-1E+300,ROUND(J1645,6)))),-1.5E+300))</f>
        <v/>
      </c>
      <c r="L1645" t="str">
        <f>IF(K1645="","",RANK(K1645,$K$2:$K$3001,0)+COUNTIF($K$2:K1645,K1645)-1)</f>
        <v/>
      </c>
    </row>
    <row r="1646">
      <c r="B1646" t="str">
        <f>IFERROR(IF(A1646="","","="&amp;SUBSTITUTE(SUBSTITUTE(SUBSTITUTE(A1646,"~","~~"),"*","~*"),"?","~?")),"")</f>
        <v/>
      </c>
      <c r="C1646" t="str">
        <f>IF($B1646="","",SUMIFS(dAmt,dCust,$B1646,dPer,"&gt;="&amp;pyFrom,dPer,"&lt;="&amp;pyTo,dAmt,"&gt;-1E+300",dFlt1,critFlt1,dFlt2,critFlt2,dFlt3,critFlt3))</f>
        <v/>
      </c>
      <c r="D1646" t="str">
        <f>IF($B1646="","",SUMIFS(dAmt,dCust,$B1646,dPer,"&gt;="&amp;cyFrom,dPer,"&lt;="&amp;cyTo,dAmt,"&gt;-1E+300",dFlt1,critFlt1,dFlt2,critFlt2,dFlt3,critFlt3))</f>
        <v/>
      </c>
      <c r="E1646" t="str">
        <f>IF($B1646="","",SUMIFS(dQty,dCust,$B1646,dPer,"&gt;="&amp;pyFrom,dPer,"&lt;="&amp;pyTo,dQty,"&gt;-1E+300",dFlt1,critFlt1,dFlt2,critFlt2,dFlt3,critFlt3))</f>
        <v/>
      </c>
      <c r="F1646" t="str">
        <f>IF($B1646="","",SUMIFS(dQty,dCust,$B1646,dPer,"&gt;="&amp;cyFrom,dPer,"&lt;="&amp;cyTo,dQty,"&gt;-1E+300",dFlt1,critFlt1,dFlt2,critFlt2,dFlt3,critFlt3))</f>
        <v/>
      </c>
      <c r="G1646">
        <f>IF($B1646="",0,IFERROR(IF(OR(C1646&lt;&gt;0,D1646&lt;&gt;0,E1646&lt;&gt;0,F1646&lt;&gt;0),1,0),1))</f>
        <v>0</v>
      </c>
      <c r="H1646" t="str">
        <f>IF(OR(G1646=0,E1646=0),"",C1646/E1646)</f>
        <v/>
      </c>
      <c r="I1646" t="str">
        <f>IF(OR(G1646=0,F1646=0),"",D1646/F1646)</f>
        <v/>
      </c>
      <c r="J1646" t="str">
        <f>IF(OR(H1646="",I1646=""),"",IF(H1646=0,"",I1646/H1646-1))</f>
        <v/>
      </c>
      <c r="K1646" t="str">
        <f>IF($B1646="","",IFERROR(IF(G1646=0,-2E+300,CHOOSE(sortIdx,ROUND(D1646,0),IF(J1646="",-1E+300,ROUND(-J1646,6)),IF(J1646="",-1E+300,ROUND(J1646,6)))),-1.5E+300))</f>
        <v/>
      </c>
      <c r="L1646" t="str">
        <f>IF(K1646="","",RANK(K1646,$K$2:$K$3001,0)+COUNTIF($K$2:K1646,K1646)-1)</f>
        <v/>
      </c>
    </row>
    <row r="1647">
      <c r="B1647" t="str">
        <f>IFERROR(IF(A1647="","","="&amp;SUBSTITUTE(SUBSTITUTE(SUBSTITUTE(A1647,"~","~~"),"*","~*"),"?","~?")),"")</f>
        <v/>
      </c>
      <c r="C1647" t="str">
        <f>IF($B1647="","",SUMIFS(dAmt,dCust,$B1647,dPer,"&gt;="&amp;pyFrom,dPer,"&lt;="&amp;pyTo,dAmt,"&gt;-1E+300",dFlt1,critFlt1,dFlt2,critFlt2,dFlt3,critFlt3))</f>
        <v/>
      </c>
      <c r="D1647" t="str">
        <f>IF($B1647="","",SUMIFS(dAmt,dCust,$B1647,dPer,"&gt;="&amp;cyFrom,dPer,"&lt;="&amp;cyTo,dAmt,"&gt;-1E+300",dFlt1,critFlt1,dFlt2,critFlt2,dFlt3,critFlt3))</f>
        <v/>
      </c>
      <c r="E1647" t="str">
        <f>IF($B1647="","",SUMIFS(dQty,dCust,$B1647,dPer,"&gt;="&amp;pyFrom,dPer,"&lt;="&amp;pyTo,dQty,"&gt;-1E+300",dFlt1,critFlt1,dFlt2,critFlt2,dFlt3,critFlt3))</f>
        <v/>
      </c>
      <c r="F1647" t="str">
        <f>IF($B1647="","",SUMIFS(dQty,dCust,$B1647,dPer,"&gt;="&amp;cyFrom,dPer,"&lt;="&amp;cyTo,dQty,"&gt;-1E+300",dFlt1,critFlt1,dFlt2,critFlt2,dFlt3,critFlt3))</f>
        <v/>
      </c>
      <c r="G1647">
        <f>IF($B1647="",0,IFERROR(IF(OR(C1647&lt;&gt;0,D1647&lt;&gt;0,E1647&lt;&gt;0,F1647&lt;&gt;0),1,0),1))</f>
        <v>0</v>
      </c>
      <c r="H1647" t="str">
        <f>IF(OR(G1647=0,E1647=0),"",C1647/E1647)</f>
        <v/>
      </c>
      <c r="I1647" t="str">
        <f>IF(OR(G1647=0,F1647=0),"",D1647/F1647)</f>
        <v/>
      </c>
      <c r="J1647" t="str">
        <f>IF(OR(H1647="",I1647=""),"",IF(H1647=0,"",I1647/H1647-1))</f>
        <v/>
      </c>
      <c r="K1647" t="str">
        <f>IF($B1647="","",IFERROR(IF(G1647=0,-2E+300,CHOOSE(sortIdx,ROUND(D1647,0),IF(J1647="",-1E+300,ROUND(-J1647,6)),IF(J1647="",-1E+300,ROUND(J1647,6)))),-1.5E+300))</f>
        <v/>
      </c>
      <c r="L1647" t="str">
        <f>IF(K1647="","",RANK(K1647,$K$2:$K$3001,0)+COUNTIF($K$2:K1647,K1647)-1)</f>
        <v/>
      </c>
    </row>
    <row r="1648">
      <c r="B1648" t="str">
        <f>IFERROR(IF(A1648="","","="&amp;SUBSTITUTE(SUBSTITUTE(SUBSTITUTE(A1648,"~","~~"),"*","~*"),"?","~?")),"")</f>
        <v/>
      </c>
      <c r="C1648" t="str">
        <f>IF($B1648="","",SUMIFS(dAmt,dCust,$B1648,dPer,"&gt;="&amp;pyFrom,dPer,"&lt;="&amp;pyTo,dAmt,"&gt;-1E+300",dFlt1,critFlt1,dFlt2,critFlt2,dFlt3,critFlt3))</f>
        <v/>
      </c>
      <c r="D1648" t="str">
        <f>IF($B1648="","",SUMIFS(dAmt,dCust,$B1648,dPer,"&gt;="&amp;cyFrom,dPer,"&lt;="&amp;cyTo,dAmt,"&gt;-1E+300",dFlt1,critFlt1,dFlt2,critFlt2,dFlt3,critFlt3))</f>
        <v/>
      </c>
      <c r="E1648" t="str">
        <f>IF($B1648="","",SUMIFS(dQty,dCust,$B1648,dPer,"&gt;="&amp;pyFrom,dPer,"&lt;="&amp;pyTo,dQty,"&gt;-1E+300",dFlt1,critFlt1,dFlt2,critFlt2,dFlt3,critFlt3))</f>
        <v/>
      </c>
      <c r="F1648" t="str">
        <f>IF($B1648="","",SUMIFS(dQty,dCust,$B1648,dPer,"&gt;="&amp;cyFrom,dPer,"&lt;="&amp;cyTo,dQty,"&gt;-1E+300",dFlt1,critFlt1,dFlt2,critFlt2,dFlt3,critFlt3))</f>
        <v/>
      </c>
      <c r="G1648">
        <f>IF($B1648="",0,IFERROR(IF(OR(C1648&lt;&gt;0,D1648&lt;&gt;0,E1648&lt;&gt;0,F1648&lt;&gt;0),1,0),1))</f>
        <v>0</v>
      </c>
      <c r="H1648" t="str">
        <f>IF(OR(G1648=0,E1648=0),"",C1648/E1648)</f>
        <v/>
      </c>
      <c r="I1648" t="str">
        <f>IF(OR(G1648=0,F1648=0),"",D1648/F1648)</f>
        <v/>
      </c>
      <c r="J1648" t="str">
        <f>IF(OR(H1648="",I1648=""),"",IF(H1648=0,"",I1648/H1648-1))</f>
        <v/>
      </c>
      <c r="K1648" t="str">
        <f>IF($B1648="","",IFERROR(IF(G1648=0,-2E+300,CHOOSE(sortIdx,ROUND(D1648,0),IF(J1648="",-1E+300,ROUND(-J1648,6)),IF(J1648="",-1E+300,ROUND(J1648,6)))),-1.5E+300))</f>
        <v/>
      </c>
      <c r="L1648" t="str">
        <f>IF(K1648="","",RANK(K1648,$K$2:$K$3001,0)+COUNTIF($K$2:K1648,K1648)-1)</f>
        <v/>
      </c>
    </row>
    <row r="1649">
      <c r="B1649" t="str">
        <f>IFERROR(IF(A1649="","","="&amp;SUBSTITUTE(SUBSTITUTE(SUBSTITUTE(A1649,"~","~~"),"*","~*"),"?","~?")),"")</f>
        <v/>
      </c>
      <c r="C1649" t="str">
        <f>IF($B1649="","",SUMIFS(dAmt,dCust,$B1649,dPer,"&gt;="&amp;pyFrom,dPer,"&lt;="&amp;pyTo,dAmt,"&gt;-1E+300",dFlt1,critFlt1,dFlt2,critFlt2,dFlt3,critFlt3))</f>
        <v/>
      </c>
      <c r="D1649" t="str">
        <f>IF($B1649="","",SUMIFS(dAmt,dCust,$B1649,dPer,"&gt;="&amp;cyFrom,dPer,"&lt;="&amp;cyTo,dAmt,"&gt;-1E+300",dFlt1,critFlt1,dFlt2,critFlt2,dFlt3,critFlt3))</f>
        <v/>
      </c>
      <c r="E1649" t="str">
        <f>IF($B1649="","",SUMIFS(dQty,dCust,$B1649,dPer,"&gt;="&amp;pyFrom,dPer,"&lt;="&amp;pyTo,dQty,"&gt;-1E+300",dFlt1,critFlt1,dFlt2,critFlt2,dFlt3,critFlt3))</f>
        <v/>
      </c>
      <c r="F1649" t="str">
        <f>IF($B1649="","",SUMIFS(dQty,dCust,$B1649,dPer,"&gt;="&amp;cyFrom,dPer,"&lt;="&amp;cyTo,dQty,"&gt;-1E+300",dFlt1,critFlt1,dFlt2,critFlt2,dFlt3,critFlt3))</f>
        <v/>
      </c>
      <c r="G1649">
        <f>IF($B1649="",0,IFERROR(IF(OR(C1649&lt;&gt;0,D1649&lt;&gt;0,E1649&lt;&gt;0,F1649&lt;&gt;0),1,0),1))</f>
        <v>0</v>
      </c>
      <c r="H1649" t="str">
        <f>IF(OR(G1649=0,E1649=0),"",C1649/E1649)</f>
        <v/>
      </c>
      <c r="I1649" t="str">
        <f>IF(OR(G1649=0,F1649=0),"",D1649/F1649)</f>
        <v/>
      </c>
      <c r="J1649" t="str">
        <f>IF(OR(H1649="",I1649=""),"",IF(H1649=0,"",I1649/H1649-1))</f>
        <v/>
      </c>
      <c r="K1649" t="str">
        <f>IF($B1649="","",IFERROR(IF(G1649=0,-2E+300,CHOOSE(sortIdx,ROUND(D1649,0),IF(J1649="",-1E+300,ROUND(-J1649,6)),IF(J1649="",-1E+300,ROUND(J1649,6)))),-1.5E+300))</f>
        <v/>
      </c>
      <c r="L1649" t="str">
        <f>IF(K1649="","",RANK(K1649,$K$2:$K$3001,0)+COUNTIF($K$2:K1649,K1649)-1)</f>
        <v/>
      </c>
    </row>
    <row r="1650">
      <c r="B1650" t="str">
        <f>IFERROR(IF(A1650="","","="&amp;SUBSTITUTE(SUBSTITUTE(SUBSTITUTE(A1650,"~","~~"),"*","~*"),"?","~?")),"")</f>
        <v/>
      </c>
      <c r="C1650" t="str">
        <f>IF($B1650="","",SUMIFS(dAmt,dCust,$B1650,dPer,"&gt;="&amp;pyFrom,dPer,"&lt;="&amp;pyTo,dAmt,"&gt;-1E+300",dFlt1,critFlt1,dFlt2,critFlt2,dFlt3,critFlt3))</f>
        <v/>
      </c>
      <c r="D1650" t="str">
        <f>IF($B1650="","",SUMIFS(dAmt,dCust,$B1650,dPer,"&gt;="&amp;cyFrom,dPer,"&lt;="&amp;cyTo,dAmt,"&gt;-1E+300",dFlt1,critFlt1,dFlt2,critFlt2,dFlt3,critFlt3))</f>
        <v/>
      </c>
      <c r="E1650" t="str">
        <f>IF($B1650="","",SUMIFS(dQty,dCust,$B1650,dPer,"&gt;="&amp;pyFrom,dPer,"&lt;="&amp;pyTo,dQty,"&gt;-1E+300",dFlt1,critFlt1,dFlt2,critFlt2,dFlt3,critFlt3))</f>
        <v/>
      </c>
      <c r="F1650" t="str">
        <f>IF($B1650="","",SUMIFS(dQty,dCust,$B1650,dPer,"&gt;="&amp;cyFrom,dPer,"&lt;="&amp;cyTo,dQty,"&gt;-1E+300",dFlt1,critFlt1,dFlt2,critFlt2,dFlt3,critFlt3))</f>
        <v/>
      </c>
      <c r="G1650">
        <f>IF($B1650="",0,IFERROR(IF(OR(C1650&lt;&gt;0,D1650&lt;&gt;0,E1650&lt;&gt;0,F1650&lt;&gt;0),1,0),1))</f>
        <v>0</v>
      </c>
      <c r="H1650" t="str">
        <f>IF(OR(G1650=0,E1650=0),"",C1650/E1650)</f>
        <v/>
      </c>
      <c r="I1650" t="str">
        <f>IF(OR(G1650=0,F1650=0),"",D1650/F1650)</f>
        <v/>
      </c>
      <c r="J1650" t="str">
        <f>IF(OR(H1650="",I1650=""),"",IF(H1650=0,"",I1650/H1650-1))</f>
        <v/>
      </c>
      <c r="K1650" t="str">
        <f>IF($B1650="","",IFERROR(IF(G1650=0,-2E+300,CHOOSE(sortIdx,ROUND(D1650,0),IF(J1650="",-1E+300,ROUND(-J1650,6)),IF(J1650="",-1E+300,ROUND(J1650,6)))),-1.5E+300))</f>
        <v/>
      </c>
      <c r="L1650" t="str">
        <f>IF(K1650="","",RANK(K1650,$K$2:$K$3001,0)+COUNTIF($K$2:K1650,K1650)-1)</f>
        <v/>
      </c>
    </row>
    <row r="1651">
      <c r="B1651" t="str">
        <f>IFERROR(IF(A1651="","","="&amp;SUBSTITUTE(SUBSTITUTE(SUBSTITUTE(A1651,"~","~~"),"*","~*"),"?","~?")),"")</f>
        <v/>
      </c>
      <c r="C1651" t="str">
        <f>IF($B1651="","",SUMIFS(dAmt,dCust,$B1651,dPer,"&gt;="&amp;pyFrom,dPer,"&lt;="&amp;pyTo,dAmt,"&gt;-1E+300",dFlt1,critFlt1,dFlt2,critFlt2,dFlt3,critFlt3))</f>
        <v/>
      </c>
      <c r="D1651" t="str">
        <f>IF($B1651="","",SUMIFS(dAmt,dCust,$B1651,dPer,"&gt;="&amp;cyFrom,dPer,"&lt;="&amp;cyTo,dAmt,"&gt;-1E+300",dFlt1,critFlt1,dFlt2,critFlt2,dFlt3,critFlt3))</f>
        <v/>
      </c>
      <c r="E1651" t="str">
        <f>IF($B1651="","",SUMIFS(dQty,dCust,$B1651,dPer,"&gt;="&amp;pyFrom,dPer,"&lt;="&amp;pyTo,dQty,"&gt;-1E+300",dFlt1,critFlt1,dFlt2,critFlt2,dFlt3,critFlt3))</f>
        <v/>
      </c>
      <c r="F1651" t="str">
        <f>IF($B1651="","",SUMIFS(dQty,dCust,$B1651,dPer,"&gt;="&amp;cyFrom,dPer,"&lt;="&amp;cyTo,dQty,"&gt;-1E+300",dFlt1,critFlt1,dFlt2,critFlt2,dFlt3,critFlt3))</f>
        <v/>
      </c>
      <c r="G1651">
        <f>IF($B1651="",0,IFERROR(IF(OR(C1651&lt;&gt;0,D1651&lt;&gt;0,E1651&lt;&gt;0,F1651&lt;&gt;0),1,0),1))</f>
        <v>0</v>
      </c>
      <c r="H1651" t="str">
        <f>IF(OR(G1651=0,E1651=0),"",C1651/E1651)</f>
        <v/>
      </c>
      <c r="I1651" t="str">
        <f>IF(OR(G1651=0,F1651=0),"",D1651/F1651)</f>
        <v/>
      </c>
      <c r="J1651" t="str">
        <f>IF(OR(H1651="",I1651=""),"",IF(H1651=0,"",I1651/H1651-1))</f>
        <v/>
      </c>
      <c r="K1651" t="str">
        <f>IF($B1651="","",IFERROR(IF(G1651=0,-2E+300,CHOOSE(sortIdx,ROUND(D1651,0),IF(J1651="",-1E+300,ROUND(-J1651,6)),IF(J1651="",-1E+300,ROUND(J1651,6)))),-1.5E+300))</f>
        <v/>
      </c>
      <c r="L1651" t="str">
        <f>IF(K1651="","",RANK(K1651,$K$2:$K$3001,0)+COUNTIF($K$2:K1651,K1651)-1)</f>
        <v/>
      </c>
    </row>
    <row r="1652">
      <c r="B1652" t="str">
        <f>IFERROR(IF(A1652="","","="&amp;SUBSTITUTE(SUBSTITUTE(SUBSTITUTE(A1652,"~","~~"),"*","~*"),"?","~?")),"")</f>
        <v/>
      </c>
      <c r="C1652" t="str">
        <f>IF($B1652="","",SUMIFS(dAmt,dCust,$B1652,dPer,"&gt;="&amp;pyFrom,dPer,"&lt;="&amp;pyTo,dAmt,"&gt;-1E+300",dFlt1,critFlt1,dFlt2,critFlt2,dFlt3,critFlt3))</f>
        <v/>
      </c>
      <c r="D1652" t="str">
        <f>IF($B1652="","",SUMIFS(dAmt,dCust,$B1652,dPer,"&gt;="&amp;cyFrom,dPer,"&lt;="&amp;cyTo,dAmt,"&gt;-1E+300",dFlt1,critFlt1,dFlt2,critFlt2,dFlt3,critFlt3))</f>
        <v/>
      </c>
      <c r="E1652" t="str">
        <f>IF($B1652="","",SUMIFS(dQty,dCust,$B1652,dPer,"&gt;="&amp;pyFrom,dPer,"&lt;="&amp;pyTo,dQty,"&gt;-1E+300",dFlt1,critFlt1,dFlt2,critFlt2,dFlt3,critFlt3))</f>
        <v/>
      </c>
      <c r="F1652" t="str">
        <f>IF($B1652="","",SUMIFS(dQty,dCust,$B1652,dPer,"&gt;="&amp;cyFrom,dPer,"&lt;="&amp;cyTo,dQty,"&gt;-1E+300",dFlt1,critFlt1,dFlt2,critFlt2,dFlt3,critFlt3))</f>
        <v/>
      </c>
      <c r="G1652">
        <f>IF($B1652="",0,IFERROR(IF(OR(C1652&lt;&gt;0,D1652&lt;&gt;0,E1652&lt;&gt;0,F1652&lt;&gt;0),1,0),1))</f>
        <v>0</v>
      </c>
      <c r="H1652" t="str">
        <f>IF(OR(G1652=0,E1652=0),"",C1652/E1652)</f>
        <v/>
      </c>
      <c r="I1652" t="str">
        <f>IF(OR(G1652=0,F1652=0),"",D1652/F1652)</f>
        <v/>
      </c>
      <c r="J1652" t="str">
        <f>IF(OR(H1652="",I1652=""),"",IF(H1652=0,"",I1652/H1652-1))</f>
        <v/>
      </c>
      <c r="K1652" t="str">
        <f>IF($B1652="","",IFERROR(IF(G1652=0,-2E+300,CHOOSE(sortIdx,ROUND(D1652,0),IF(J1652="",-1E+300,ROUND(-J1652,6)),IF(J1652="",-1E+300,ROUND(J1652,6)))),-1.5E+300))</f>
        <v/>
      </c>
      <c r="L1652" t="str">
        <f>IF(K1652="","",RANK(K1652,$K$2:$K$3001,0)+COUNTIF($K$2:K1652,K1652)-1)</f>
        <v/>
      </c>
    </row>
    <row r="1653">
      <c r="B1653" t="str">
        <f>IFERROR(IF(A1653="","","="&amp;SUBSTITUTE(SUBSTITUTE(SUBSTITUTE(A1653,"~","~~"),"*","~*"),"?","~?")),"")</f>
        <v/>
      </c>
      <c r="C1653" t="str">
        <f>IF($B1653="","",SUMIFS(dAmt,dCust,$B1653,dPer,"&gt;="&amp;pyFrom,dPer,"&lt;="&amp;pyTo,dAmt,"&gt;-1E+300",dFlt1,critFlt1,dFlt2,critFlt2,dFlt3,critFlt3))</f>
        <v/>
      </c>
      <c r="D1653" t="str">
        <f>IF($B1653="","",SUMIFS(dAmt,dCust,$B1653,dPer,"&gt;="&amp;cyFrom,dPer,"&lt;="&amp;cyTo,dAmt,"&gt;-1E+300",dFlt1,critFlt1,dFlt2,critFlt2,dFlt3,critFlt3))</f>
        <v/>
      </c>
      <c r="E1653" t="str">
        <f>IF($B1653="","",SUMIFS(dQty,dCust,$B1653,dPer,"&gt;="&amp;pyFrom,dPer,"&lt;="&amp;pyTo,dQty,"&gt;-1E+300",dFlt1,critFlt1,dFlt2,critFlt2,dFlt3,critFlt3))</f>
        <v/>
      </c>
      <c r="F1653" t="str">
        <f>IF($B1653="","",SUMIFS(dQty,dCust,$B1653,dPer,"&gt;="&amp;cyFrom,dPer,"&lt;="&amp;cyTo,dQty,"&gt;-1E+300",dFlt1,critFlt1,dFlt2,critFlt2,dFlt3,critFlt3))</f>
        <v/>
      </c>
      <c r="G1653">
        <f>IF($B1653="",0,IFERROR(IF(OR(C1653&lt;&gt;0,D1653&lt;&gt;0,E1653&lt;&gt;0,F1653&lt;&gt;0),1,0),1))</f>
        <v>0</v>
      </c>
      <c r="H1653" t="str">
        <f>IF(OR(G1653=0,E1653=0),"",C1653/E1653)</f>
        <v/>
      </c>
      <c r="I1653" t="str">
        <f>IF(OR(G1653=0,F1653=0),"",D1653/F1653)</f>
        <v/>
      </c>
      <c r="J1653" t="str">
        <f>IF(OR(H1653="",I1653=""),"",IF(H1653=0,"",I1653/H1653-1))</f>
        <v/>
      </c>
      <c r="K1653" t="str">
        <f>IF($B1653="","",IFERROR(IF(G1653=0,-2E+300,CHOOSE(sortIdx,ROUND(D1653,0),IF(J1653="",-1E+300,ROUND(-J1653,6)),IF(J1653="",-1E+300,ROUND(J1653,6)))),-1.5E+300))</f>
        <v/>
      </c>
      <c r="L1653" t="str">
        <f>IF(K1653="","",RANK(K1653,$K$2:$K$3001,0)+COUNTIF($K$2:K1653,K1653)-1)</f>
        <v/>
      </c>
    </row>
    <row r="1654">
      <c r="B1654" t="str">
        <f>IFERROR(IF(A1654="","","="&amp;SUBSTITUTE(SUBSTITUTE(SUBSTITUTE(A1654,"~","~~"),"*","~*"),"?","~?")),"")</f>
        <v/>
      </c>
      <c r="C1654" t="str">
        <f>IF($B1654="","",SUMIFS(dAmt,dCust,$B1654,dPer,"&gt;="&amp;pyFrom,dPer,"&lt;="&amp;pyTo,dAmt,"&gt;-1E+300",dFlt1,critFlt1,dFlt2,critFlt2,dFlt3,critFlt3))</f>
        <v/>
      </c>
      <c r="D1654" t="str">
        <f>IF($B1654="","",SUMIFS(dAmt,dCust,$B1654,dPer,"&gt;="&amp;cyFrom,dPer,"&lt;="&amp;cyTo,dAmt,"&gt;-1E+300",dFlt1,critFlt1,dFlt2,critFlt2,dFlt3,critFlt3))</f>
        <v/>
      </c>
      <c r="E1654" t="str">
        <f>IF($B1654="","",SUMIFS(dQty,dCust,$B1654,dPer,"&gt;="&amp;pyFrom,dPer,"&lt;="&amp;pyTo,dQty,"&gt;-1E+300",dFlt1,critFlt1,dFlt2,critFlt2,dFlt3,critFlt3))</f>
        <v/>
      </c>
      <c r="F1654" t="str">
        <f>IF($B1654="","",SUMIFS(dQty,dCust,$B1654,dPer,"&gt;="&amp;cyFrom,dPer,"&lt;="&amp;cyTo,dQty,"&gt;-1E+300",dFlt1,critFlt1,dFlt2,critFlt2,dFlt3,critFlt3))</f>
        <v/>
      </c>
      <c r="G1654">
        <f>IF($B1654="",0,IFERROR(IF(OR(C1654&lt;&gt;0,D1654&lt;&gt;0,E1654&lt;&gt;0,F1654&lt;&gt;0),1,0),1))</f>
        <v>0</v>
      </c>
      <c r="H1654" t="str">
        <f>IF(OR(G1654=0,E1654=0),"",C1654/E1654)</f>
        <v/>
      </c>
      <c r="I1654" t="str">
        <f>IF(OR(G1654=0,F1654=0),"",D1654/F1654)</f>
        <v/>
      </c>
      <c r="J1654" t="str">
        <f>IF(OR(H1654="",I1654=""),"",IF(H1654=0,"",I1654/H1654-1))</f>
        <v/>
      </c>
      <c r="K1654" t="str">
        <f>IF($B1654="","",IFERROR(IF(G1654=0,-2E+300,CHOOSE(sortIdx,ROUND(D1654,0),IF(J1654="",-1E+300,ROUND(-J1654,6)),IF(J1654="",-1E+300,ROUND(J1654,6)))),-1.5E+300))</f>
        <v/>
      </c>
      <c r="L1654" t="str">
        <f>IF(K1654="","",RANK(K1654,$K$2:$K$3001,0)+COUNTIF($K$2:K1654,K1654)-1)</f>
        <v/>
      </c>
    </row>
    <row r="1655">
      <c r="B1655" t="str">
        <f>IFERROR(IF(A1655="","","="&amp;SUBSTITUTE(SUBSTITUTE(SUBSTITUTE(A1655,"~","~~"),"*","~*"),"?","~?")),"")</f>
        <v/>
      </c>
      <c r="C1655" t="str">
        <f>IF($B1655="","",SUMIFS(dAmt,dCust,$B1655,dPer,"&gt;="&amp;pyFrom,dPer,"&lt;="&amp;pyTo,dAmt,"&gt;-1E+300",dFlt1,critFlt1,dFlt2,critFlt2,dFlt3,critFlt3))</f>
        <v/>
      </c>
      <c r="D1655" t="str">
        <f>IF($B1655="","",SUMIFS(dAmt,dCust,$B1655,dPer,"&gt;="&amp;cyFrom,dPer,"&lt;="&amp;cyTo,dAmt,"&gt;-1E+300",dFlt1,critFlt1,dFlt2,critFlt2,dFlt3,critFlt3))</f>
        <v/>
      </c>
      <c r="E1655" t="str">
        <f>IF($B1655="","",SUMIFS(dQty,dCust,$B1655,dPer,"&gt;="&amp;pyFrom,dPer,"&lt;="&amp;pyTo,dQty,"&gt;-1E+300",dFlt1,critFlt1,dFlt2,critFlt2,dFlt3,critFlt3))</f>
        <v/>
      </c>
      <c r="F1655" t="str">
        <f>IF($B1655="","",SUMIFS(dQty,dCust,$B1655,dPer,"&gt;="&amp;cyFrom,dPer,"&lt;="&amp;cyTo,dQty,"&gt;-1E+300",dFlt1,critFlt1,dFlt2,critFlt2,dFlt3,critFlt3))</f>
        <v/>
      </c>
      <c r="G1655">
        <f>IF($B1655="",0,IFERROR(IF(OR(C1655&lt;&gt;0,D1655&lt;&gt;0,E1655&lt;&gt;0,F1655&lt;&gt;0),1,0),1))</f>
        <v>0</v>
      </c>
      <c r="H1655" t="str">
        <f>IF(OR(G1655=0,E1655=0),"",C1655/E1655)</f>
        <v/>
      </c>
      <c r="I1655" t="str">
        <f>IF(OR(G1655=0,F1655=0),"",D1655/F1655)</f>
        <v/>
      </c>
      <c r="J1655" t="str">
        <f>IF(OR(H1655="",I1655=""),"",IF(H1655=0,"",I1655/H1655-1))</f>
        <v/>
      </c>
      <c r="K1655" t="str">
        <f>IF($B1655="","",IFERROR(IF(G1655=0,-2E+300,CHOOSE(sortIdx,ROUND(D1655,0),IF(J1655="",-1E+300,ROUND(-J1655,6)),IF(J1655="",-1E+300,ROUND(J1655,6)))),-1.5E+300))</f>
        <v/>
      </c>
      <c r="L1655" t="str">
        <f>IF(K1655="","",RANK(K1655,$K$2:$K$3001,0)+COUNTIF($K$2:K1655,K1655)-1)</f>
        <v/>
      </c>
    </row>
    <row r="1656">
      <c r="B1656" t="str">
        <f>IFERROR(IF(A1656="","","="&amp;SUBSTITUTE(SUBSTITUTE(SUBSTITUTE(A1656,"~","~~"),"*","~*"),"?","~?")),"")</f>
        <v/>
      </c>
      <c r="C1656" t="str">
        <f>IF($B1656="","",SUMIFS(dAmt,dCust,$B1656,dPer,"&gt;="&amp;pyFrom,dPer,"&lt;="&amp;pyTo,dAmt,"&gt;-1E+300",dFlt1,critFlt1,dFlt2,critFlt2,dFlt3,critFlt3))</f>
        <v/>
      </c>
      <c r="D1656" t="str">
        <f>IF($B1656="","",SUMIFS(dAmt,dCust,$B1656,dPer,"&gt;="&amp;cyFrom,dPer,"&lt;="&amp;cyTo,dAmt,"&gt;-1E+300",dFlt1,critFlt1,dFlt2,critFlt2,dFlt3,critFlt3))</f>
        <v/>
      </c>
      <c r="E1656" t="str">
        <f>IF($B1656="","",SUMIFS(dQty,dCust,$B1656,dPer,"&gt;="&amp;pyFrom,dPer,"&lt;="&amp;pyTo,dQty,"&gt;-1E+300",dFlt1,critFlt1,dFlt2,critFlt2,dFlt3,critFlt3))</f>
        <v/>
      </c>
      <c r="F1656" t="str">
        <f>IF($B1656="","",SUMIFS(dQty,dCust,$B1656,dPer,"&gt;="&amp;cyFrom,dPer,"&lt;="&amp;cyTo,dQty,"&gt;-1E+300",dFlt1,critFlt1,dFlt2,critFlt2,dFlt3,critFlt3))</f>
        <v/>
      </c>
      <c r="G1656">
        <f>IF($B1656="",0,IFERROR(IF(OR(C1656&lt;&gt;0,D1656&lt;&gt;0,E1656&lt;&gt;0,F1656&lt;&gt;0),1,0),1))</f>
        <v>0</v>
      </c>
      <c r="H1656" t="str">
        <f>IF(OR(G1656=0,E1656=0),"",C1656/E1656)</f>
        <v/>
      </c>
      <c r="I1656" t="str">
        <f>IF(OR(G1656=0,F1656=0),"",D1656/F1656)</f>
        <v/>
      </c>
      <c r="J1656" t="str">
        <f>IF(OR(H1656="",I1656=""),"",IF(H1656=0,"",I1656/H1656-1))</f>
        <v/>
      </c>
      <c r="K1656" t="str">
        <f>IF($B1656="","",IFERROR(IF(G1656=0,-2E+300,CHOOSE(sortIdx,ROUND(D1656,0),IF(J1656="",-1E+300,ROUND(-J1656,6)),IF(J1656="",-1E+300,ROUND(J1656,6)))),-1.5E+300))</f>
        <v/>
      </c>
      <c r="L1656" t="str">
        <f>IF(K1656="","",RANK(K1656,$K$2:$K$3001,0)+COUNTIF($K$2:K1656,K1656)-1)</f>
        <v/>
      </c>
    </row>
    <row r="1657">
      <c r="B1657" t="str">
        <f>IFERROR(IF(A1657="","","="&amp;SUBSTITUTE(SUBSTITUTE(SUBSTITUTE(A1657,"~","~~"),"*","~*"),"?","~?")),"")</f>
        <v/>
      </c>
      <c r="C1657" t="str">
        <f>IF($B1657="","",SUMIFS(dAmt,dCust,$B1657,dPer,"&gt;="&amp;pyFrom,dPer,"&lt;="&amp;pyTo,dAmt,"&gt;-1E+300",dFlt1,critFlt1,dFlt2,critFlt2,dFlt3,critFlt3))</f>
        <v/>
      </c>
      <c r="D1657" t="str">
        <f>IF($B1657="","",SUMIFS(dAmt,dCust,$B1657,dPer,"&gt;="&amp;cyFrom,dPer,"&lt;="&amp;cyTo,dAmt,"&gt;-1E+300",dFlt1,critFlt1,dFlt2,critFlt2,dFlt3,critFlt3))</f>
        <v/>
      </c>
      <c r="E1657" t="str">
        <f>IF($B1657="","",SUMIFS(dQty,dCust,$B1657,dPer,"&gt;="&amp;pyFrom,dPer,"&lt;="&amp;pyTo,dQty,"&gt;-1E+300",dFlt1,critFlt1,dFlt2,critFlt2,dFlt3,critFlt3))</f>
        <v/>
      </c>
      <c r="F1657" t="str">
        <f>IF($B1657="","",SUMIFS(dQty,dCust,$B1657,dPer,"&gt;="&amp;cyFrom,dPer,"&lt;="&amp;cyTo,dQty,"&gt;-1E+300",dFlt1,critFlt1,dFlt2,critFlt2,dFlt3,critFlt3))</f>
        <v/>
      </c>
      <c r="G1657">
        <f>IF($B1657="",0,IFERROR(IF(OR(C1657&lt;&gt;0,D1657&lt;&gt;0,E1657&lt;&gt;0,F1657&lt;&gt;0),1,0),1))</f>
        <v>0</v>
      </c>
      <c r="H1657" t="str">
        <f>IF(OR(G1657=0,E1657=0),"",C1657/E1657)</f>
        <v/>
      </c>
      <c r="I1657" t="str">
        <f>IF(OR(G1657=0,F1657=0),"",D1657/F1657)</f>
        <v/>
      </c>
      <c r="J1657" t="str">
        <f>IF(OR(H1657="",I1657=""),"",IF(H1657=0,"",I1657/H1657-1))</f>
        <v/>
      </c>
      <c r="K1657" t="str">
        <f>IF($B1657="","",IFERROR(IF(G1657=0,-2E+300,CHOOSE(sortIdx,ROUND(D1657,0),IF(J1657="",-1E+300,ROUND(-J1657,6)),IF(J1657="",-1E+300,ROUND(J1657,6)))),-1.5E+300))</f>
        <v/>
      </c>
      <c r="L1657" t="str">
        <f>IF(K1657="","",RANK(K1657,$K$2:$K$3001,0)+COUNTIF($K$2:K1657,K1657)-1)</f>
        <v/>
      </c>
    </row>
    <row r="1658">
      <c r="B1658" t="str">
        <f>IFERROR(IF(A1658="","","="&amp;SUBSTITUTE(SUBSTITUTE(SUBSTITUTE(A1658,"~","~~"),"*","~*"),"?","~?")),"")</f>
        <v/>
      </c>
      <c r="C1658" t="str">
        <f>IF($B1658="","",SUMIFS(dAmt,dCust,$B1658,dPer,"&gt;="&amp;pyFrom,dPer,"&lt;="&amp;pyTo,dAmt,"&gt;-1E+300",dFlt1,critFlt1,dFlt2,critFlt2,dFlt3,critFlt3))</f>
        <v/>
      </c>
      <c r="D1658" t="str">
        <f>IF($B1658="","",SUMIFS(dAmt,dCust,$B1658,dPer,"&gt;="&amp;cyFrom,dPer,"&lt;="&amp;cyTo,dAmt,"&gt;-1E+300",dFlt1,critFlt1,dFlt2,critFlt2,dFlt3,critFlt3))</f>
        <v/>
      </c>
      <c r="E1658" t="str">
        <f>IF($B1658="","",SUMIFS(dQty,dCust,$B1658,dPer,"&gt;="&amp;pyFrom,dPer,"&lt;="&amp;pyTo,dQty,"&gt;-1E+300",dFlt1,critFlt1,dFlt2,critFlt2,dFlt3,critFlt3))</f>
        <v/>
      </c>
      <c r="F1658" t="str">
        <f>IF($B1658="","",SUMIFS(dQty,dCust,$B1658,dPer,"&gt;="&amp;cyFrom,dPer,"&lt;="&amp;cyTo,dQty,"&gt;-1E+300",dFlt1,critFlt1,dFlt2,critFlt2,dFlt3,critFlt3))</f>
        <v/>
      </c>
      <c r="G1658">
        <f>IF($B1658="",0,IFERROR(IF(OR(C1658&lt;&gt;0,D1658&lt;&gt;0,E1658&lt;&gt;0,F1658&lt;&gt;0),1,0),1))</f>
        <v>0</v>
      </c>
      <c r="H1658" t="str">
        <f>IF(OR(G1658=0,E1658=0),"",C1658/E1658)</f>
        <v/>
      </c>
      <c r="I1658" t="str">
        <f>IF(OR(G1658=0,F1658=0),"",D1658/F1658)</f>
        <v/>
      </c>
      <c r="J1658" t="str">
        <f>IF(OR(H1658="",I1658=""),"",IF(H1658=0,"",I1658/H1658-1))</f>
        <v/>
      </c>
      <c r="K1658" t="str">
        <f>IF($B1658="","",IFERROR(IF(G1658=0,-2E+300,CHOOSE(sortIdx,ROUND(D1658,0),IF(J1658="",-1E+300,ROUND(-J1658,6)),IF(J1658="",-1E+300,ROUND(J1658,6)))),-1.5E+300))</f>
        <v/>
      </c>
      <c r="L1658" t="str">
        <f>IF(K1658="","",RANK(K1658,$K$2:$K$3001,0)+COUNTIF($K$2:K1658,K1658)-1)</f>
        <v/>
      </c>
    </row>
    <row r="1659">
      <c r="B1659" t="str">
        <f>IFERROR(IF(A1659="","","="&amp;SUBSTITUTE(SUBSTITUTE(SUBSTITUTE(A1659,"~","~~"),"*","~*"),"?","~?")),"")</f>
        <v/>
      </c>
      <c r="C1659" t="str">
        <f>IF($B1659="","",SUMIFS(dAmt,dCust,$B1659,dPer,"&gt;="&amp;pyFrom,dPer,"&lt;="&amp;pyTo,dAmt,"&gt;-1E+300",dFlt1,critFlt1,dFlt2,critFlt2,dFlt3,critFlt3))</f>
        <v/>
      </c>
      <c r="D1659" t="str">
        <f>IF($B1659="","",SUMIFS(dAmt,dCust,$B1659,dPer,"&gt;="&amp;cyFrom,dPer,"&lt;="&amp;cyTo,dAmt,"&gt;-1E+300",dFlt1,critFlt1,dFlt2,critFlt2,dFlt3,critFlt3))</f>
        <v/>
      </c>
      <c r="E1659" t="str">
        <f>IF($B1659="","",SUMIFS(dQty,dCust,$B1659,dPer,"&gt;="&amp;pyFrom,dPer,"&lt;="&amp;pyTo,dQty,"&gt;-1E+300",dFlt1,critFlt1,dFlt2,critFlt2,dFlt3,critFlt3))</f>
        <v/>
      </c>
      <c r="F1659" t="str">
        <f>IF($B1659="","",SUMIFS(dQty,dCust,$B1659,dPer,"&gt;="&amp;cyFrom,dPer,"&lt;="&amp;cyTo,dQty,"&gt;-1E+300",dFlt1,critFlt1,dFlt2,critFlt2,dFlt3,critFlt3))</f>
        <v/>
      </c>
      <c r="G1659">
        <f>IF($B1659="",0,IFERROR(IF(OR(C1659&lt;&gt;0,D1659&lt;&gt;0,E1659&lt;&gt;0,F1659&lt;&gt;0),1,0),1))</f>
        <v>0</v>
      </c>
      <c r="H1659" t="str">
        <f>IF(OR(G1659=0,E1659=0),"",C1659/E1659)</f>
        <v/>
      </c>
      <c r="I1659" t="str">
        <f>IF(OR(G1659=0,F1659=0),"",D1659/F1659)</f>
        <v/>
      </c>
      <c r="J1659" t="str">
        <f>IF(OR(H1659="",I1659=""),"",IF(H1659=0,"",I1659/H1659-1))</f>
        <v/>
      </c>
      <c r="K1659" t="str">
        <f>IF($B1659="","",IFERROR(IF(G1659=0,-2E+300,CHOOSE(sortIdx,ROUND(D1659,0),IF(J1659="",-1E+300,ROUND(-J1659,6)),IF(J1659="",-1E+300,ROUND(J1659,6)))),-1.5E+300))</f>
        <v/>
      </c>
      <c r="L1659" t="str">
        <f>IF(K1659="","",RANK(K1659,$K$2:$K$3001,0)+COUNTIF($K$2:K1659,K1659)-1)</f>
        <v/>
      </c>
    </row>
    <row r="1660">
      <c r="B1660" t="str">
        <f>IFERROR(IF(A1660="","","="&amp;SUBSTITUTE(SUBSTITUTE(SUBSTITUTE(A1660,"~","~~"),"*","~*"),"?","~?")),"")</f>
        <v/>
      </c>
      <c r="C1660" t="str">
        <f>IF($B1660="","",SUMIFS(dAmt,dCust,$B1660,dPer,"&gt;="&amp;pyFrom,dPer,"&lt;="&amp;pyTo,dAmt,"&gt;-1E+300",dFlt1,critFlt1,dFlt2,critFlt2,dFlt3,critFlt3))</f>
        <v/>
      </c>
      <c r="D1660" t="str">
        <f>IF($B1660="","",SUMIFS(dAmt,dCust,$B1660,dPer,"&gt;="&amp;cyFrom,dPer,"&lt;="&amp;cyTo,dAmt,"&gt;-1E+300",dFlt1,critFlt1,dFlt2,critFlt2,dFlt3,critFlt3))</f>
        <v/>
      </c>
      <c r="E1660" t="str">
        <f>IF($B1660="","",SUMIFS(dQty,dCust,$B1660,dPer,"&gt;="&amp;pyFrom,dPer,"&lt;="&amp;pyTo,dQty,"&gt;-1E+300",dFlt1,critFlt1,dFlt2,critFlt2,dFlt3,critFlt3))</f>
        <v/>
      </c>
      <c r="F1660" t="str">
        <f>IF($B1660="","",SUMIFS(dQty,dCust,$B1660,dPer,"&gt;="&amp;cyFrom,dPer,"&lt;="&amp;cyTo,dQty,"&gt;-1E+300",dFlt1,critFlt1,dFlt2,critFlt2,dFlt3,critFlt3))</f>
        <v/>
      </c>
      <c r="G1660">
        <f>IF($B1660="",0,IFERROR(IF(OR(C1660&lt;&gt;0,D1660&lt;&gt;0,E1660&lt;&gt;0,F1660&lt;&gt;0),1,0),1))</f>
        <v>0</v>
      </c>
      <c r="H1660" t="str">
        <f>IF(OR(G1660=0,E1660=0),"",C1660/E1660)</f>
        <v/>
      </c>
      <c r="I1660" t="str">
        <f>IF(OR(G1660=0,F1660=0),"",D1660/F1660)</f>
        <v/>
      </c>
      <c r="J1660" t="str">
        <f>IF(OR(H1660="",I1660=""),"",IF(H1660=0,"",I1660/H1660-1))</f>
        <v/>
      </c>
      <c r="K1660" t="str">
        <f>IF($B1660="","",IFERROR(IF(G1660=0,-2E+300,CHOOSE(sortIdx,ROUND(D1660,0),IF(J1660="",-1E+300,ROUND(-J1660,6)),IF(J1660="",-1E+300,ROUND(J1660,6)))),-1.5E+300))</f>
        <v/>
      </c>
      <c r="L1660" t="str">
        <f>IF(K1660="","",RANK(K1660,$K$2:$K$3001,0)+COUNTIF($K$2:K1660,K1660)-1)</f>
        <v/>
      </c>
    </row>
    <row r="1661">
      <c r="B1661" t="str">
        <f>IFERROR(IF(A1661="","","="&amp;SUBSTITUTE(SUBSTITUTE(SUBSTITUTE(A1661,"~","~~"),"*","~*"),"?","~?")),"")</f>
        <v/>
      </c>
      <c r="C1661" t="str">
        <f>IF($B1661="","",SUMIFS(dAmt,dCust,$B1661,dPer,"&gt;="&amp;pyFrom,dPer,"&lt;="&amp;pyTo,dAmt,"&gt;-1E+300",dFlt1,critFlt1,dFlt2,critFlt2,dFlt3,critFlt3))</f>
        <v/>
      </c>
      <c r="D1661" t="str">
        <f>IF($B1661="","",SUMIFS(dAmt,dCust,$B1661,dPer,"&gt;="&amp;cyFrom,dPer,"&lt;="&amp;cyTo,dAmt,"&gt;-1E+300",dFlt1,critFlt1,dFlt2,critFlt2,dFlt3,critFlt3))</f>
        <v/>
      </c>
      <c r="E1661" t="str">
        <f>IF($B1661="","",SUMIFS(dQty,dCust,$B1661,dPer,"&gt;="&amp;pyFrom,dPer,"&lt;="&amp;pyTo,dQty,"&gt;-1E+300",dFlt1,critFlt1,dFlt2,critFlt2,dFlt3,critFlt3))</f>
        <v/>
      </c>
      <c r="F1661" t="str">
        <f>IF($B1661="","",SUMIFS(dQty,dCust,$B1661,dPer,"&gt;="&amp;cyFrom,dPer,"&lt;="&amp;cyTo,dQty,"&gt;-1E+300",dFlt1,critFlt1,dFlt2,critFlt2,dFlt3,critFlt3))</f>
        <v/>
      </c>
      <c r="G1661">
        <f>IF($B1661="",0,IFERROR(IF(OR(C1661&lt;&gt;0,D1661&lt;&gt;0,E1661&lt;&gt;0,F1661&lt;&gt;0),1,0),1))</f>
        <v>0</v>
      </c>
      <c r="H1661" t="str">
        <f>IF(OR(G1661=0,E1661=0),"",C1661/E1661)</f>
        <v/>
      </c>
      <c r="I1661" t="str">
        <f>IF(OR(G1661=0,F1661=0),"",D1661/F1661)</f>
        <v/>
      </c>
      <c r="J1661" t="str">
        <f>IF(OR(H1661="",I1661=""),"",IF(H1661=0,"",I1661/H1661-1))</f>
        <v/>
      </c>
      <c r="K1661" t="str">
        <f>IF($B1661="","",IFERROR(IF(G1661=0,-2E+300,CHOOSE(sortIdx,ROUND(D1661,0),IF(J1661="",-1E+300,ROUND(-J1661,6)),IF(J1661="",-1E+300,ROUND(J1661,6)))),-1.5E+300))</f>
        <v/>
      </c>
      <c r="L1661" t="str">
        <f>IF(K1661="","",RANK(K1661,$K$2:$K$3001,0)+COUNTIF($K$2:K1661,K1661)-1)</f>
        <v/>
      </c>
    </row>
    <row r="1662">
      <c r="B1662" t="str">
        <f>IFERROR(IF(A1662="","","="&amp;SUBSTITUTE(SUBSTITUTE(SUBSTITUTE(A1662,"~","~~"),"*","~*"),"?","~?")),"")</f>
        <v/>
      </c>
      <c r="C1662" t="str">
        <f>IF($B1662="","",SUMIFS(dAmt,dCust,$B1662,dPer,"&gt;="&amp;pyFrom,dPer,"&lt;="&amp;pyTo,dAmt,"&gt;-1E+300",dFlt1,critFlt1,dFlt2,critFlt2,dFlt3,critFlt3))</f>
        <v/>
      </c>
      <c r="D1662" t="str">
        <f>IF($B1662="","",SUMIFS(dAmt,dCust,$B1662,dPer,"&gt;="&amp;cyFrom,dPer,"&lt;="&amp;cyTo,dAmt,"&gt;-1E+300",dFlt1,critFlt1,dFlt2,critFlt2,dFlt3,critFlt3))</f>
        <v/>
      </c>
      <c r="E1662" t="str">
        <f>IF($B1662="","",SUMIFS(dQty,dCust,$B1662,dPer,"&gt;="&amp;pyFrom,dPer,"&lt;="&amp;pyTo,dQty,"&gt;-1E+300",dFlt1,critFlt1,dFlt2,critFlt2,dFlt3,critFlt3))</f>
        <v/>
      </c>
      <c r="F1662" t="str">
        <f>IF($B1662="","",SUMIFS(dQty,dCust,$B1662,dPer,"&gt;="&amp;cyFrom,dPer,"&lt;="&amp;cyTo,dQty,"&gt;-1E+300",dFlt1,critFlt1,dFlt2,critFlt2,dFlt3,critFlt3))</f>
        <v/>
      </c>
      <c r="G1662">
        <f>IF($B1662="",0,IFERROR(IF(OR(C1662&lt;&gt;0,D1662&lt;&gt;0,E1662&lt;&gt;0,F1662&lt;&gt;0),1,0),1))</f>
        <v>0</v>
      </c>
      <c r="H1662" t="str">
        <f>IF(OR(G1662=0,E1662=0),"",C1662/E1662)</f>
        <v/>
      </c>
      <c r="I1662" t="str">
        <f>IF(OR(G1662=0,F1662=0),"",D1662/F1662)</f>
        <v/>
      </c>
      <c r="J1662" t="str">
        <f>IF(OR(H1662="",I1662=""),"",IF(H1662=0,"",I1662/H1662-1))</f>
        <v/>
      </c>
      <c r="K1662" t="str">
        <f>IF($B1662="","",IFERROR(IF(G1662=0,-2E+300,CHOOSE(sortIdx,ROUND(D1662,0),IF(J1662="",-1E+300,ROUND(-J1662,6)),IF(J1662="",-1E+300,ROUND(J1662,6)))),-1.5E+300))</f>
        <v/>
      </c>
      <c r="L1662" t="str">
        <f>IF(K1662="","",RANK(K1662,$K$2:$K$3001,0)+COUNTIF($K$2:K1662,K1662)-1)</f>
        <v/>
      </c>
    </row>
    <row r="1663">
      <c r="B1663" t="str">
        <f>IFERROR(IF(A1663="","","="&amp;SUBSTITUTE(SUBSTITUTE(SUBSTITUTE(A1663,"~","~~"),"*","~*"),"?","~?")),"")</f>
        <v/>
      </c>
      <c r="C1663" t="str">
        <f>IF($B1663="","",SUMIFS(dAmt,dCust,$B1663,dPer,"&gt;="&amp;pyFrom,dPer,"&lt;="&amp;pyTo,dAmt,"&gt;-1E+300",dFlt1,critFlt1,dFlt2,critFlt2,dFlt3,critFlt3))</f>
        <v/>
      </c>
      <c r="D1663" t="str">
        <f>IF($B1663="","",SUMIFS(dAmt,dCust,$B1663,dPer,"&gt;="&amp;cyFrom,dPer,"&lt;="&amp;cyTo,dAmt,"&gt;-1E+300",dFlt1,critFlt1,dFlt2,critFlt2,dFlt3,critFlt3))</f>
        <v/>
      </c>
      <c r="E1663" t="str">
        <f>IF($B1663="","",SUMIFS(dQty,dCust,$B1663,dPer,"&gt;="&amp;pyFrom,dPer,"&lt;="&amp;pyTo,dQty,"&gt;-1E+300",dFlt1,critFlt1,dFlt2,critFlt2,dFlt3,critFlt3))</f>
        <v/>
      </c>
      <c r="F1663" t="str">
        <f>IF($B1663="","",SUMIFS(dQty,dCust,$B1663,dPer,"&gt;="&amp;cyFrom,dPer,"&lt;="&amp;cyTo,dQty,"&gt;-1E+300",dFlt1,critFlt1,dFlt2,critFlt2,dFlt3,critFlt3))</f>
        <v/>
      </c>
      <c r="G1663">
        <f>IF($B1663="",0,IFERROR(IF(OR(C1663&lt;&gt;0,D1663&lt;&gt;0,E1663&lt;&gt;0,F1663&lt;&gt;0),1,0),1))</f>
        <v>0</v>
      </c>
      <c r="H1663" t="str">
        <f>IF(OR(G1663=0,E1663=0),"",C1663/E1663)</f>
        <v/>
      </c>
      <c r="I1663" t="str">
        <f>IF(OR(G1663=0,F1663=0),"",D1663/F1663)</f>
        <v/>
      </c>
      <c r="J1663" t="str">
        <f>IF(OR(H1663="",I1663=""),"",IF(H1663=0,"",I1663/H1663-1))</f>
        <v/>
      </c>
      <c r="K1663" t="str">
        <f>IF($B1663="","",IFERROR(IF(G1663=0,-2E+300,CHOOSE(sortIdx,ROUND(D1663,0),IF(J1663="",-1E+300,ROUND(-J1663,6)),IF(J1663="",-1E+300,ROUND(J1663,6)))),-1.5E+300))</f>
        <v/>
      </c>
      <c r="L1663" t="str">
        <f>IF(K1663="","",RANK(K1663,$K$2:$K$3001,0)+COUNTIF($K$2:K1663,K1663)-1)</f>
        <v/>
      </c>
    </row>
    <row r="1664">
      <c r="B1664" t="str">
        <f>IFERROR(IF(A1664="","","="&amp;SUBSTITUTE(SUBSTITUTE(SUBSTITUTE(A1664,"~","~~"),"*","~*"),"?","~?")),"")</f>
        <v/>
      </c>
      <c r="C1664" t="str">
        <f>IF($B1664="","",SUMIFS(dAmt,dCust,$B1664,dPer,"&gt;="&amp;pyFrom,dPer,"&lt;="&amp;pyTo,dAmt,"&gt;-1E+300",dFlt1,critFlt1,dFlt2,critFlt2,dFlt3,critFlt3))</f>
        <v/>
      </c>
      <c r="D1664" t="str">
        <f>IF($B1664="","",SUMIFS(dAmt,dCust,$B1664,dPer,"&gt;="&amp;cyFrom,dPer,"&lt;="&amp;cyTo,dAmt,"&gt;-1E+300",dFlt1,critFlt1,dFlt2,critFlt2,dFlt3,critFlt3))</f>
        <v/>
      </c>
      <c r="E1664" t="str">
        <f>IF($B1664="","",SUMIFS(dQty,dCust,$B1664,dPer,"&gt;="&amp;pyFrom,dPer,"&lt;="&amp;pyTo,dQty,"&gt;-1E+300",dFlt1,critFlt1,dFlt2,critFlt2,dFlt3,critFlt3))</f>
        <v/>
      </c>
      <c r="F1664" t="str">
        <f>IF($B1664="","",SUMIFS(dQty,dCust,$B1664,dPer,"&gt;="&amp;cyFrom,dPer,"&lt;="&amp;cyTo,dQty,"&gt;-1E+300",dFlt1,critFlt1,dFlt2,critFlt2,dFlt3,critFlt3))</f>
        <v/>
      </c>
      <c r="G1664">
        <f>IF($B1664="",0,IFERROR(IF(OR(C1664&lt;&gt;0,D1664&lt;&gt;0,E1664&lt;&gt;0,F1664&lt;&gt;0),1,0),1))</f>
        <v>0</v>
      </c>
      <c r="H1664" t="str">
        <f>IF(OR(G1664=0,E1664=0),"",C1664/E1664)</f>
        <v/>
      </c>
      <c r="I1664" t="str">
        <f>IF(OR(G1664=0,F1664=0),"",D1664/F1664)</f>
        <v/>
      </c>
      <c r="J1664" t="str">
        <f>IF(OR(H1664="",I1664=""),"",IF(H1664=0,"",I1664/H1664-1))</f>
        <v/>
      </c>
      <c r="K1664" t="str">
        <f>IF($B1664="","",IFERROR(IF(G1664=0,-2E+300,CHOOSE(sortIdx,ROUND(D1664,0),IF(J1664="",-1E+300,ROUND(-J1664,6)),IF(J1664="",-1E+300,ROUND(J1664,6)))),-1.5E+300))</f>
        <v/>
      </c>
      <c r="L1664" t="str">
        <f>IF(K1664="","",RANK(K1664,$K$2:$K$3001,0)+COUNTIF($K$2:K1664,K1664)-1)</f>
        <v/>
      </c>
    </row>
    <row r="1665">
      <c r="B1665" t="str">
        <f>IFERROR(IF(A1665="","","="&amp;SUBSTITUTE(SUBSTITUTE(SUBSTITUTE(A1665,"~","~~"),"*","~*"),"?","~?")),"")</f>
        <v/>
      </c>
      <c r="C1665" t="str">
        <f>IF($B1665="","",SUMIFS(dAmt,dCust,$B1665,dPer,"&gt;="&amp;pyFrom,dPer,"&lt;="&amp;pyTo,dAmt,"&gt;-1E+300",dFlt1,critFlt1,dFlt2,critFlt2,dFlt3,critFlt3))</f>
        <v/>
      </c>
      <c r="D1665" t="str">
        <f>IF($B1665="","",SUMIFS(dAmt,dCust,$B1665,dPer,"&gt;="&amp;cyFrom,dPer,"&lt;="&amp;cyTo,dAmt,"&gt;-1E+300",dFlt1,critFlt1,dFlt2,critFlt2,dFlt3,critFlt3))</f>
        <v/>
      </c>
      <c r="E1665" t="str">
        <f>IF($B1665="","",SUMIFS(dQty,dCust,$B1665,dPer,"&gt;="&amp;pyFrom,dPer,"&lt;="&amp;pyTo,dQty,"&gt;-1E+300",dFlt1,critFlt1,dFlt2,critFlt2,dFlt3,critFlt3))</f>
        <v/>
      </c>
      <c r="F1665" t="str">
        <f>IF($B1665="","",SUMIFS(dQty,dCust,$B1665,dPer,"&gt;="&amp;cyFrom,dPer,"&lt;="&amp;cyTo,dQty,"&gt;-1E+300",dFlt1,critFlt1,dFlt2,critFlt2,dFlt3,critFlt3))</f>
        <v/>
      </c>
      <c r="G1665">
        <f>IF($B1665="",0,IFERROR(IF(OR(C1665&lt;&gt;0,D1665&lt;&gt;0,E1665&lt;&gt;0,F1665&lt;&gt;0),1,0),1))</f>
        <v>0</v>
      </c>
      <c r="H1665" t="str">
        <f>IF(OR(G1665=0,E1665=0),"",C1665/E1665)</f>
        <v/>
      </c>
      <c r="I1665" t="str">
        <f>IF(OR(G1665=0,F1665=0),"",D1665/F1665)</f>
        <v/>
      </c>
      <c r="J1665" t="str">
        <f>IF(OR(H1665="",I1665=""),"",IF(H1665=0,"",I1665/H1665-1))</f>
        <v/>
      </c>
      <c r="K1665" t="str">
        <f>IF($B1665="","",IFERROR(IF(G1665=0,-2E+300,CHOOSE(sortIdx,ROUND(D1665,0),IF(J1665="",-1E+300,ROUND(-J1665,6)),IF(J1665="",-1E+300,ROUND(J1665,6)))),-1.5E+300))</f>
        <v/>
      </c>
      <c r="L1665" t="str">
        <f>IF(K1665="","",RANK(K1665,$K$2:$K$3001,0)+COUNTIF($K$2:K1665,K1665)-1)</f>
        <v/>
      </c>
    </row>
    <row r="1666">
      <c r="B1666" t="str">
        <f>IFERROR(IF(A1666="","","="&amp;SUBSTITUTE(SUBSTITUTE(SUBSTITUTE(A1666,"~","~~"),"*","~*"),"?","~?")),"")</f>
        <v/>
      </c>
      <c r="C1666" t="str">
        <f>IF($B1666="","",SUMIFS(dAmt,dCust,$B1666,dPer,"&gt;="&amp;pyFrom,dPer,"&lt;="&amp;pyTo,dAmt,"&gt;-1E+300",dFlt1,critFlt1,dFlt2,critFlt2,dFlt3,critFlt3))</f>
        <v/>
      </c>
      <c r="D1666" t="str">
        <f>IF($B1666="","",SUMIFS(dAmt,dCust,$B1666,dPer,"&gt;="&amp;cyFrom,dPer,"&lt;="&amp;cyTo,dAmt,"&gt;-1E+300",dFlt1,critFlt1,dFlt2,critFlt2,dFlt3,critFlt3))</f>
        <v/>
      </c>
      <c r="E1666" t="str">
        <f>IF($B1666="","",SUMIFS(dQty,dCust,$B1666,dPer,"&gt;="&amp;pyFrom,dPer,"&lt;="&amp;pyTo,dQty,"&gt;-1E+300",dFlt1,critFlt1,dFlt2,critFlt2,dFlt3,critFlt3))</f>
        <v/>
      </c>
      <c r="F1666" t="str">
        <f>IF($B1666="","",SUMIFS(dQty,dCust,$B1666,dPer,"&gt;="&amp;cyFrom,dPer,"&lt;="&amp;cyTo,dQty,"&gt;-1E+300",dFlt1,critFlt1,dFlt2,critFlt2,dFlt3,critFlt3))</f>
        <v/>
      </c>
      <c r="G1666">
        <f>IF($B1666="",0,IFERROR(IF(OR(C1666&lt;&gt;0,D1666&lt;&gt;0,E1666&lt;&gt;0,F1666&lt;&gt;0),1,0),1))</f>
        <v>0</v>
      </c>
      <c r="H1666" t="str">
        <f>IF(OR(G1666=0,E1666=0),"",C1666/E1666)</f>
        <v/>
      </c>
      <c r="I1666" t="str">
        <f>IF(OR(G1666=0,F1666=0),"",D1666/F1666)</f>
        <v/>
      </c>
      <c r="J1666" t="str">
        <f>IF(OR(H1666="",I1666=""),"",IF(H1666=0,"",I1666/H1666-1))</f>
        <v/>
      </c>
      <c r="K1666" t="str">
        <f>IF($B1666="","",IFERROR(IF(G1666=0,-2E+300,CHOOSE(sortIdx,ROUND(D1666,0),IF(J1666="",-1E+300,ROUND(-J1666,6)),IF(J1666="",-1E+300,ROUND(J1666,6)))),-1.5E+300))</f>
        <v/>
      </c>
      <c r="L1666" t="str">
        <f>IF(K1666="","",RANK(K1666,$K$2:$K$3001,0)+COUNTIF($K$2:K1666,K1666)-1)</f>
        <v/>
      </c>
    </row>
    <row r="1667">
      <c r="B1667" t="str">
        <f>IFERROR(IF(A1667="","","="&amp;SUBSTITUTE(SUBSTITUTE(SUBSTITUTE(A1667,"~","~~"),"*","~*"),"?","~?")),"")</f>
        <v/>
      </c>
      <c r="C1667" t="str">
        <f>IF($B1667="","",SUMIFS(dAmt,dCust,$B1667,dPer,"&gt;="&amp;pyFrom,dPer,"&lt;="&amp;pyTo,dAmt,"&gt;-1E+300",dFlt1,critFlt1,dFlt2,critFlt2,dFlt3,critFlt3))</f>
        <v/>
      </c>
      <c r="D1667" t="str">
        <f>IF($B1667="","",SUMIFS(dAmt,dCust,$B1667,dPer,"&gt;="&amp;cyFrom,dPer,"&lt;="&amp;cyTo,dAmt,"&gt;-1E+300",dFlt1,critFlt1,dFlt2,critFlt2,dFlt3,critFlt3))</f>
        <v/>
      </c>
      <c r="E1667" t="str">
        <f>IF($B1667="","",SUMIFS(dQty,dCust,$B1667,dPer,"&gt;="&amp;pyFrom,dPer,"&lt;="&amp;pyTo,dQty,"&gt;-1E+300",dFlt1,critFlt1,dFlt2,critFlt2,dFlt3,critFlt3))</f>
        <v/>
      </c>
      <c r="F1667" t="str">
        <f>IF($B1667="","",SUMIFS(dQty,dCust,$B1667,dPer,"&gt;="&amp;cyFrom,dPer,"&lt;="&amp;cyTo,dQty,"&gt;-1E+300",dFlt1,critFlt1,dFlt2,critFlt2,dFlt3,critFlt3))</f>
        <v/>
      </c>
      <c r="G1667">
        <f>IF($B1667="",0,IFERROR(IF(OR(C1667&lt;&gt;0,D1667&lt;&gt;0,E1667&lt;&gt;0,F1667&lt;&gt;0),1,0),1))</f>
        <v>0</v>
      </c>
      <c r="H1667" t="str">
        <f>IF(OR(G1667=0,E1667=0),"",C1667/E1667)</f>
        <v/>
      </c>
      <c r="I1667" t="str">
        <f>IF(OR(G1667=0,F1667=0),"",D1667/F1667)</f>
        <v/>
      </c>
      <c r="J1667" t="str">
        <f>IF(OR(H1667="",I1667=""),"",IF(H1667=0,"",I1667/H1667-1))</f>
        <v/>
      </c>
      <c r="K1667" t="str">
        <f>IF($B1667="","",IFERROR(IF(G1667=0,-2E+300,CHOOSE(sortIdx,ROUND(D1667,0),IF(J1667="",-1E+300,ROUND(-J1667,6)),IF(J1667="",-1E+300,ROUND(J1667,6)))),-1.5E+300))</f>
        <v/>
      </c>
      <c r="L1667" t="str">
        <f>IF(K1667="","",RANK(K1667,$K$2:$K$3001,0)+COUNTIF($K$2:K1667,K1667)-1)</f>
        <v/>
      </c>
    </row>
    <row r="1668">
      <c r="B1668" t="str">
        <f>IFERROR(IF(A1668="","","="&amp;SUBSTITUTE(SUBSTITUTE(SUBSTITUTE(A1668,"~","~~"),"*","~*"),"?","~?")),"")</f>
        <v/>
      </c>
      <c r="C1668" t="str">
        <f>IF($B1668="","",SUMIFS(dAmt,dCust,$B1668,dPer,"&gt;="&amp;pyFrom,dPer,"&lt;="&amp;pyTo,dAmt,"&gt;-1E+300",dFlt1,critFlt1,dFlt2,critFlt2,dFlt3,critFlt3))</f>
        <v/>
      </c>
      <c r="D1668" t="str">
        <f>IF($B1668="","",SUMIFS(dAmt,dCust,$B1668,dPer,"&gt;="&amp;cyFrom,dPer,"&lt;="&amp;cyTo,dAmt,"&gt;-1E+300",dFlt1,critFlt1,dFlt2,critFlt2,dFlt3,critFlt3))</f>
        <v/>
      </c>
      <c r="E1668" t="str">
        <f>IF($B1668="","",SUMIFS(dQty,dCust,$B1668,dPer,"&gt;="&amp;pyFrom,dPer,"&lt;="&amp;pyTo,dQty,"&gt;-1E+300",dFlt1,critFlt1,dFlt2,critFlt2,dFlt3,critFlt3))</f>
        <v/>
      </c>
      <c r="F1668" t="str">
        <f>IF($B1668="","",SUMIFS(dQty,dCust,$B1668,dPer,"&gt;="&amp;cyFrom,dPer,"&lt;="&amp;cyTo,dQty,"&gt;-1E+300",dFlt1,critFlt1,dFlt2,critFlt2,dFlt3,critFlt3))</f>
        <v/>
      </c>
      <c r="G1668">
        <f>IF($B1668="",0,IFERROR(IF(OR(C1668&lt;&gt;0,D1668&lt;&gt;0,E1668&lt;&gt;0,F1668&lt;&gt;0),1,0),1))</f>
        <v>0</v>
      </c>
      <c r="H1668" t="str">
        <f>IF(OR(G1668=0,E1668=0),"",C1668/E1668)</f>
        <v/>
      </c>
      <c r="I1668" t="str">
        <f>IF(OR(G1668=0,F1668=0),"",D1668/F1668)</f>
        <v/>
      </c>
      <c r="J1668" t="str">
        <f>IF(OR(H1668="",I1668=""),"",IF(H1668=0,"",I1668/H1668-1))</f>
        <v/>
      </c>
      <c r="K1668" t="str">
        <f>IF($B1668="","",IFERROR(IF(G1668=0,-2E+300,CHOOSE(sortIdx,ROUND(D1668,0),IF(J1668="",-1E+300,ROUND(-J1668,6)),IF(J1668="",-1E+300,ROUND(J1668,6)))),-1.5E+300))</f>
        <v/>
      </c>
      <c r="L1668" t="str">
        <f>IF(K1668="","",RANK(K1668,$K$2:$K$3001,0)+COUNTIF($K$2:K1668,K1668)-1)</f>
        <v/>
      </c>
    </row>
    <row r="1669">
      <c r="B1669" t="str">
        <f>IFERROR(IF(A1669="","","="&amp;SUBSTITUTE(SUBSTITUTE(SUBSTITUTE(A1669,"~","~~"),"*","~*"),"?","~?")),"")</f>
        <v/>
      </c>
      <c r="C1669" t="str">
        <f>IF($B1669="","",SUMIFS(dAmt,dCust,$B1669,dPer,"&gt;="&amp;pyFrom,dPer,"&lt;="&amp;pyTo,dAmt,"&gt;-1E+300",dFlt1,critFlt1,dFlt2,critFlt2,dFlt3,critFlt3))</f>
        <v/>
      </c>
      <c r="D1669" t="str">
        <f>IF($B1669="","",SUMIFS(dAmt,dCust,$B1669,dPer,"&gt;="&amp;cyFrom,dPer,"&lt;="&amp;cyTo,dAmt,"&gt;-1E+300",dFlt1,critFlt1,dFlt2,critFlt2,dFlt3,critFlt3))</f>
        <v/>
      </c>
      <c r="E1669" t="str">
        <f>IF($B1669="","",SUMIFS(dQty,dCust,$B1669,dPer,"&gt;="&amp;pyFrom,dPer,"&lt;="&amp;pyTo,dQty,"&gt;-1E+300",dFlt1,critFlt1,dFlt2,critFlt2,dFlt3,critFlt3))</f>
        <v/>
      </c>
      <c r="F1669" t="str">
        <f>IF($B1669="","",SUMIFS(dQty,dCust,$B1669,dPer,"&gt;="&amp;cyFrom,dPer,"&lt;="&amp;cyTo,dQty,"&gt;-1E+300",dFlt1,critFlt1,dFlt2,critFlt2,dFlt3,critFlt3))</f>
        <v/>
      </c>
      <c r="G1669">
        <f>IF($B1669="",0,IFERROR(IF(OR(C1669&lt;&gt;0,D1669&lt;&gt;0,E1669&lt;&gt;0,F1669&lt;&gt;0),1,0),1))</f>
        <v>0</v>
      </c>
      <c r="H1669" t="str">
        <f>IF(OR(G1669=0,E1669=0),"",C1669/E1669)</f>
        <v/>
      </c>
      <c r="I1669" t="str">
        <f>IF(OR(G1669=0,F1669=0),"",D1669/F1669)</f>
        <v/>
      </c>
      <c r="J1669" t="str">
        <f>IF(OR(H1669="",I1669=""),"",IF(H1669=0,"",I1669/H1669-1))</f>
        <v/>
      </c>
      <c r="K1669" t="str">
        <f>IF($B1669="","",IFERROR(IF(G1669=0,-2E+300,CHOOSE(sortIdx,ROUND(D1669,0),IF(J1669="",-1E+300,ROUND(-J1669,6)),IF(J1669="",-1E+300,ROUND(J1669,6)))),-1.5E+300))</f>
        <v/>
      </c>
      <c r="L1669" t="str">
        <f>IF(K1669="","",RANK(K1669,$K$2:$K$3001,0)+COUNTIF($K$2:K1669,K1669)-1)</f>
        <v/>
      </c>
    </row>
    <row r="1670">
      <c r="B1670" t="str">
        <f>IFERROR(IF(A1670="","","="&amp;SUBSTITUTE(SUBSTITUTE(SUBSTITUTE(A1670,"~","~~"),"*","~*"),"?","~?")),"")</f>
        <v/>
      </c>
      <c r="C1670" t="str">
        <f>IF($B1670="","",SUMIFS(dAmt,dCust,$B1670,dPer,"&gt;="&amp;pyFrom,dPer,"&lt;="&amp;pyTo,dAmt,"&gt;-1E+300",dFlt1,critFlt1,dFlt2,critFlt2,dFlt3,critFlt3))</f>
        <v/>
      </c>
      <c r="D1670" t="str">
        <f>IF($B1670="","",SUMIFS(dAmt,dCust,$B1670,dPer,"&gt;="&amp;cyFrom,dPer,"&lt;="&amp;cyTo,dAmt,"&gt;-1E+300",dFlt1,critFlt1,dFlt2,critFlt2,dFlt3,critFlt3))</f>
        <v/>
      </c>
      <c r="E1670" t="str">
        <f>IF($B1670="","",SUMIFS(dQty,dCust,$B1670,dPer,"&gt;="&amp;pyFrom,dPer,"&lt;="&amp;pyTo,dQty,"&gt;-1E+300",dFlt1,critFlt1,dFlt2,critFlt2,dFlt3,critFlt3))</f>
        <v/>
      </c>
      <c r="F1670" t="str">
        <f>IF($B1670="","",SUMIFS(dQty,dCust,$B1670,dPer,"&gt;="&amp;cyFrom,dPer,"&lt;="&amp;cyTo,dQty,"&gt;-1E+300",dFlt1,critFlt1,dFlt2,critFlt2,dFlt3,critFlt3))</f>
        <v/>
      </c>
      <c r="G1670">
        <f>IF($B1670="",0,IFERROR(IF(OR(C1670&lt;&gt;0,D1670&lt;&gt;0,E1670&lt;&gt;0,F1670&lt;&gt;0),1,0),1))</f>
        <v>0</v>
      </c>
      <c r="H1670" t="str">
        <f>IF(OR(G1670=0,E1670=0),"",C1670/E1670)</f>
        <v/>
      </c>
      <c r="I1670" t="str">
        <f>IF(OR(G1670=0,F1670=0),"",D1670/F1670)</f>
        <v/>
      </c>
      <c r="J1670" t="str">
        <f>IF(OR(H1670="",I1670=""),"",IF(H1670=0,"",I1670/H1670-1))</f>
        <v/>
      </c>
      <c r="K1670" t="str">
        <f>IF($B1670="","",IFERROR(IF(G1670=0,-2E+300,CHOOSE(sortIdx,ROUND(D1670,0),IF(J1670="",-1E+300,ROUND(-J1670,6)),IF(J1670="",-1E+300,ROUND(J1670,6)))),-1.5E+300))</f>
        <v/>
      </c>
      <c r="L1670" t="str">
        <f>IF(K1670="","",RANK(K1670,$K$2:$K$3001,0)+COUNTIF($K$2:K1670,K1670)-1)</f>
        <v/>
      </c>
    </row>
    <row r="1671">
      <c r="B1671" t="str">
        <f>IFERROR(IF(A1671="","","="&amp;SUBSTITUTE(SUBSTITUTE(SUBSTITUTE(A1671,"~","~~"),"*","~*"),"?","~?")),"")</f>
        <v/>
      </c>
      <c r="C1671" t="str">
        <f>IF($B1671="","",SUMIFS(dAmt,dCust,$B1671,dPer,"&gt;="&amp;pyFrom,dPer,"&lt;="&amp;pyTo,dAmt,"&gt;-1E+300",dFlt1,critFlt1,dFlt2,critFlt2,dFlt3,critFlt3))</f>
        <v/>
      </c>
      <c r="D1671" t="str">
        <f>IF($B1671="","",SUMIFS(dAmt,dCust,$B1671,dPer,"&gt;="&amp;cyFrom,dPer,"&lt;="&amp;cyTo,dAmt,"&gt;-1E+300",dFlt1,critFlt1,dFlt2,critFlt2,dFlt3,critFlt3))</f>
        <v/>
      </c>
      <c r="E1671" t="str">
        <f>IF($B1671="","",SUMIFS(dQty,dCust,$B1671,dPer,"&gt;="&amp;pyFrom,dPer,"&lt;="&amp;pyTo,dQty,"&gt;-1E+300",dFlt1,critFlt1,dFlt2,critFlt2,dFlt3,critFlt3))</f>
        <v/>
      </c>
      <c r="F1671" t="str">
        <f>IF($B1671="","",SUMIFS(dQty,dCust,$B1671,dPer,"&gt;="&amp;cyFrom,dPer,"&lt;="&amp;cyTo,dQty,"&gt;-1E+300",dFlt1,critFlt1,dFlt2,critFlt2,dFlt3,critFlt3))</f>
        <v/>
      </c>
      <c r="G1671">
        <f>IF($B1671="",0,IFERROR(IF(OR(C1671&lt;&gt;0,D1671&lt;&gt;0,E1671&lt;&gt;0,F1671&lt;&gt;0),1,0),1))</f>
        <v>0</v>
      </c>
      <c r="H1671" t="str">
        <f>IF(OR(G1671=0,E1671=0),"",C1671/E1671)</f>
        <v/>
      </c>
      <c r="I1671" t="str">
        <f>IF(OR(G1671=0,F1671=0),"",D1671/F1671)</f>
        <v/>
      </c>
      <c r="J1671" t="str">
        <f>IF(OR(H1671="",I1671=""),"",IF(H1671=0,"",I1671/H1671-1))</f>
        <v/>
      </c>
      <c r="K1671" t="str">
        <f>IF($B1671="","",IFERROR(IF(G1671=0,-2E+300,CHOOSE(sortIdx,ROUND(D1671,0),IF(J1671="",-1E+300,ROUND(-J1671,6)),IF(J1671="",-1E+300,ROUND(J1671,6)))),-1.5E+300))</f>
        <v/>
      </c>
      <c r="L1671" t="str">
        <f>IF(K1671="","",RANK(K1671,$K$2:$K$3001,0)+COUNTIF($K$2:K1671,K1671)-1)</f>
        <v/>
      </c>
    </row>
    <row r="1672">
      <c r="B1672" t="str">
        <f>IFERROR(IF(A1672="","","="&amp;SUBSTITUTE(SUBSTITUTE(SUBSTITUTE(A1672,"~","~~"),"*","~*"),"?","~?")),"")</f>
        <v/>
      </c>
      <c r="C1672" t="str">
        <f>IF($B1672="","",SUMIFS(dAmt,dCust,$B1672,dPer,"&gt;="&amp;pyFrom,dPer,"&lt;="&amp;pyTo,dAmt,"&gt;-1E+300",dFlt1,critFlt1,dFlt2,critFlt2,dFlt3,critFlt3))</f>
        <v/>
      </c>
      <c r="D1672" t="str">
        <f>IF($B1672="","",SUMIFS(dAmt,dCust,$B1672,dPer,"&gt;="&amp;cyFrom,dPer,"&lt;="&amp;cyTo,dAmt,"&gt;-1E+300",dFlt1,critFlt1,dFlt2,critFlt2,dFlt3,critFlt3))</f>
        <v/>
      </c>
      <c r="E1672" t="str">
        <f>IF($B1672="","",SUMIFS(dQty,dCust,$B1672,dPer,"&gt;="&amp;pyFrom,dPer,"&lt;="&amp;pyTo,dQty,"&gt;-1E+300",dFlt1,critFlt1,dFlt2,critFlt2,dFlt3,critFlt3))</f>
        <v/>
      </c>
      <c r="F1672" t="str">
        <f>IF($B1672="","",SUMIFS(dQty,dCust,$B1672,dPer,"&gt;="&amp;cyFrom,dPer,"&lt;="&amp;cyTo,dQty,"&gt;-1E+300",dFlt1,critFlt1,dFlt2,critFlt2,dFlt3,critFlt3))</f>
        <v/>
      </c>
      <c r="G1672">
        <f>IF($B1672="",0,IFERROR(IF(OR(C1672&lt;&gt;0,D1672&lt;&gt;0,E1672&lt;&gt;0,F1672&lt;&gt;0),1,0),1))</f>
        <v>0</v>
      </c>
      <c r="H1672" t="str">
        <f>IF(OR(G1672=0,E1672=0),"",C1672/E1672)</f>
        <v/>
      </c>
      <c r="I1672" t="str">
        <f>IF(OR(G1672=0,F1672=0),"",D1672/F1672)</f>
        <v/>
      </c>
      <c r="J1672" t="str">
        <f>IF(OR(H1672="",I1672=""),"",IF(H1672=0,"",I1672/H1672-1))</f>
        <v/>
      </c>
      <c r="K1672" t="str">
        <f>IF($B1672="","",IFERROR(IF(G1672=0,-2E+300,CHOOSE(sortIdx,ROUND(D1672,0),IF(J1672="",-1E+300,ROUND(-J1672,6)),IF(J1672="",-1E+300,ROUND(J1672,6)))),-1.5E+300))</f>
        <v/>
      </c>
      <c r="L1672" t="str">
        <f>IF(K1672="","",RANK(K1672,$K$2:$K$3001,0)+COUNTIF($K$2:K1672,K1672)-1)</f>
        <v/>
      </c>
    </row>
    <row r="1673">
      <c r="B1673" t="str">
        <f>IFERROR(IF(A1673="","","="&amp;SUBSTITUTE(SUBSTITUTE(SUBSTITUTE(A1673,"~","~~"),"*","~*"),"?","~?")),"")</f>
        <v/>
      </c>
      <c r="C1673" t="str">
        <f>IF($B1673="","",SUMIFS(dAmt,dCust,$B1673,dPer,"&gt;="&amp;pyFrom,dPer,"&lt;="&amp;pyTo,dAmt,"&gt;-1E+300",dFlt1,critFlt1,dFlt2,critFlt2,dFlt3,critFlt3))</f>
        <v/>
      </c>
      <c r="D1673" t="str">
        <f>IF($B1673="","",SUMIFS(dAmt,dCust,$B1673,dPer,"&gt;="&amp;cyFrom,dPer,"&lt;="&amp;cyTo,dAmt,"&gt;-1E+300",dFlt1,critFlt1,dFlt2,critFlt2,dFlt3,critFlt3))</f>
        <v/>
      </c>
      <c r="E1673" t="str">
        <f>IF($B1673="","",SUMIFS(dQty,dCust,$B1673,dPer,"&gt;="&amp;pyFrom,dPer,"&lt;="&amp;pyTo,dQty,"&gt;-1E+300",dFlt1,critFlt1,dFlt2,critFlt2,dFlt3,critFlt3))</f>
        <v/>
      </c>
      <c r="F1673" t="str">
        <f>IF($B1673="","",SUMIFS(dQty,dCust,$B1673,dPer,"&gt;="&amp;cyFrom,dPer,"&lt;="&amp;cyTo,dQty,"&gt;-1E+300",dFlt1,critFlt1,dFlt2,critFlt2,dFlt3,critFlt3))</f>
        <v/>
      </c>
      <c r="G1673">
        <f>IF($B1673="",0,IFERROR(IF(OR(C1673&lt;&gt;0,D1673&lt;&gt;0,E1673&lt;&gt;0,F1673&lt;&gt;0),1,0),1))</f>
        <v>0</v>
      </c>
      <c r="H1673" t="str">
        <f>IF(OR(G1673=0,E1673=0),"",C1673/E1673)</f>
        <v/>
      </c>
      <c r="I1673" t="str">
        <f>IF(OR(G1673=0,F1673=0),"",D1673/F1673)</f>
        <v/>
      </c>
      <c r="J1673" t="str">
        <f>IF(OR(H1673="",I1673=""),"",IF(H1673=0,"",I1673/H1673-1))</f>
        <v/>
      </c>
      <c r="K1673" t="str">
        <f>IF($B1673="","",IFERROR(IF(G1673=0,-2E+300,CHOOSE(sortIdx,ROUND(D1673,0),IF(J1673="",-1E+300,ROUND(-J1673,6)),IF(J1673="",-1E+300,ROUND(J1673,6)))),-1.5E+300))</f>
        <v/>
      </c>
      <c r="L1673" t="str">
        <f>IF(K1673="","",RANK(K1673,$K$2:$K$3001,0)+COUNTIF($K$2:K1673,K1673)-1)</f>
        <v/>
      </c>
    </row>
    <row r="1674">
      <c r="B1674" t="str">
        <f>IFERROR(IF(A1674="","","="&amp;SUBSTITUTE(SUBSTITUTE(SUBSTITUTE(A1674,"~","~~"),"*","~*"),"?","~?")),"")</f>
        <v/>
      </c>
      <c r="C1674" t="str">
        <f>IF($B1674="","",SUMIFS(dAmt,dCust,$B1674,dPer,"&gt;="&amp;pyFrom,dPer,"&lt;="&amp;pyTo,dAmt,"&gt;-1E+300",dFlt1,critFlt1,dFlt2,critFlt2,dFlt3,critFlt3))</f>
        <v/>
      </c>
      <c r="D1674" t="str">
        <f>IF($B1674="","",SUMIFS(dAmt,dCust,$B1674,dPer,"&gt;="&amp;cyFrom,dPer,"&lt;="&amp;cyTo,dAmt,"&gt;-1E+300",dFlt1,critFlt1,dFlt2,critFlt2,dFlt3,critFlt3))</f>
        <v/>
      </c>
      <c r="E1674" t="str">
        <f>IF($B1674="","",SUMIFS(dQty,dCust,$B1674,dPer,"&gt;="&amp;pyFrom,dPer,"&lt;="&amp;pyTo,dQty,"&gt;-1E+300",dFlt1,critFlt1,dFlt2,critFlt2,dFlt3,critFlt3))</f>
        <v/>
      </c>
      <c r="F1674" t="str">
        <f>IF($B1674="","",SUMIFS(dQty,dCust,$B1674,dPer,"&gt;="&amp;cyFrom,dPer,"&lt;="&amp;cyTo,dQty,"&gt;-1E+300",dFlt1,critFlt1,dFlt2,critFlt2,dFlt3,critFlt3))</f>
        <v/>
      </c>
      <c r="G1674">
        <f>IF($B1674="",0,IFERROR(IF(OR(C1674&lt;&gt;0,D1674&lt;&gt;0,E1674&lt;&gt;0,F1674&lt;&gt;0),1,0),1))</f>
        <v>0</v>
      </c>
      <c r="H1674" t="str">
        <f>IF(OR(G1674=0,E1674=0),"",C1674/E1674)</f>
        <v/>
      </c>
      <c r="I1674" t="str">
        <f>IF(OR(G1674=0,F1674=0),"",D1674/F1674)</f>
        <v/>
      </c>
      <c r="J1674" t="str">
        <f>IF(OR(H1674="",I1674=""),"",IF(H1674=0,"",I1674/H1674-1))</f>
        <v/>
      </c>
      <c r="K1674" t="str">
        <f>IF($B1674="","",IFERROR(IF(G1674=0,-2E+300,CHOOSE(sortIdx,ROUND(D1674,0),IF(J1674="",-1E+300,ROUND(-J1674,6)),IF(J1674="",-1E+300,ROUND(J1674,6)))),-1.5E+300))</f>
        <v/>
      </c>
      <c r="L1674" t="str">
        <f>IF(K1674="","",RANK(K1674,$K$2:$K$3001,0)+COUNTIF($K$2:K1674,K1674)-1)</f>
        <v/>
      </c>
    </row>
    <row r="1675">
      <c r="B1675" t="str">
        <f>IFERROR(IF(A1675="","","="&amp;SUBSTITUTE(SUBSTITUTE(SUBSTITUTE(A1675,"~","~~"),"*","~*"),"?","~?")),"")</f>
        <v/>
      </c>
      <c r="C1675" t="str">
        <f>IF($B1675="","",SUMIFS(dAmt,dCust,$B1675,dPer,"&gt;="&amp;pyFrom,dPer,"&lt;="&amp;pyTo,dAmt,"&gt;-1E+300",dFlt1,critFlt1,dFlt2,critFlt2,dFlt3,critFlt3))</f>
        <v/>
      </c>
      <c r="D1675" t="str">
        <f>IF($B1675="","",SUMIFS(dAmt,dCust,$B1675,dPer,"&gt;="&amp;cyFrom,dPer,"&lt;="&amp;cyTo,dAmt,"&gt;-1E+300",dFlt1,critFlt1,dFlt2,critFlt2,dFlt3,critFlt3))</f>
        <v/>
      </c>
      <c r="E1675" t="str">
        <f>IF($B1675="","",SUMIFS(dQty,dCust,$B1675,dPer,"&gt;="&amp;pyFrom,dPer,"&lt;="&amp;pyTo,dQty,"&gt;-1E+300",dFlt1,critFlt1,dFlt2,critFlt2,dFlt3,critFlt3))</f>
        <v/>
      </c>
      <c r="F1675" t="str">
        <f>IF($B1675="","",SUMIFS(dQty,dCust,$B1675,dPer,"&gt;="&amp;cyFrom,dPer,"&lt;="&amp;cyTo,dQty,"&gt;-1E+300",dFlt1,critFlt1,dFlt2,critFlt2,dFlt3,critFlt3))</f>
        <v/>
      </c>
      <c r="G1675">
        <f>IF($B1675="",0,IFERROR(IF(OR(C1675&lt;&gt;0,D1675&lt;&gt;0,E1675&lt;&gt;0,F1675&lt;&gt;0),1,0),1))</f>
        <v>0</v>
      </c>
      <c r="H1675" t="str">
        <f>IF(OR(G1675=0,E1675=0),"",C1675/E1675)</f>
        <v/>
      </c>
      <c r="I1675" t="str">
        <f>IF(OR(G1675=0,F1675=0),"",D1675/F1675)</f>
        <v/>
      </c>
      <c r="J1675" t="str">
        <f>IF(OR(H1675="",I1675=""),"",IF(H1675=0,"",I1675/H1675-1))</f>
        <v/>
      </c>
      <c r="K1675" t="str">
        <f>IF($B1675="","",IFERROR(IF(G1675=0,-2E+300,CHOOSE(sortIdx,ROUND(D1675,0),IF(J1675="",-1E+300,ROUND(-J1675,6)),IF(J1675="",-1E+300,ROUND(J1675,6)))),-1.5E+300))</f>
        <v/>
      </c>
      <c r="L1675" t="str">
        <f>IF(K1675="","",RANK(K1675,$K$2:$K$3001,0)+COUNTIF($K$2:K1675,K1675)-1)</f>
        <v/>
      </c>
    </row>
    <row r="1676">
      <c r="B1676" t="str">
        <f>IFERROR(IF(A1676="","","="&amp;SUBSTITUTE(SUBSTITUTE(SUBSTITUTE(A1676,"~","~~"),"*","~*"),"?","~?")),"")</f>
        <v/>
      </c>
      <c r="C1676" t="str">
        <f>IF($B1676="","",SUMIFS(dAmt,dCust,$B1676,dPer,"&gt;="&amp;pyFrom,dPer,"&lt;="&amp;pyTo,dAmt,"&gt;-1E+300",dFlt1,critFlt1,dFlt2,critFlt2,dFlt3,critFlt3))</f>
        <v/>
      </c>
      <c r="D1676" t="str">
        <f>IF($B1676="","",SUMIFS(dAmt,dCust,$B1676,dPer,"&gt;="&amp;cyFrom,dPer,"&lt;="&amp;cyTo,dAmt,"&gt;-1E+300",dFlt1,critFlt1,dFlt2,critFlt2,dFlt3,critFlt3))</f>
        <v/>
      </c>
      <c r="E1676" t="str">
        <f>IF($B1676="","",SUMIFS(dQty,dCust,$B1676,dPer,"&gt;="&amp;pyFrom,dPer,"&lt;="&amp;pyTo,dQty,"&gt;-1E+300",dFlt1,critFlt1,dFlt2,critFlt2,dFlt3,critFlt3))</f>
        <v/>
      </c>
      <c r="F1676" t="str">
        <f>IF($B1676="","",SUMIFS(dQty,dCust,$B1676,dPer,"&gt;="&amp;cyFrom,dPer,"&lt;="&amp;cyTo,dQty,"&gt;-1E+300",dFlt1,critFlt1,dFlt2,critFlt2,dFlt3,critFlt3))</f>
        <v/>
      </c>
      <c r="G1676">
        <f>IF($B1676="",0,IFERROR(IF(OR(C1676&lt;&gt;0,D1676&lt;&gt;0,E1676&lt;&gt;0,F1676&lt;&gt;0),1,0),1))</f>
        <v>0</v>
      </c>
      <c r="H1676" t="str">
        <f>IF(OR(G1676=0,E1676=0),"",C1676/E1676)</f>
        <v/>
      </c>
      <c r="I1676" t="str">
        <f>IF(OR(G1676=0,F1676=0),"",D1676/F1676)</f>
        <v/>
      </c>
      <c r="J1676" t="str">
        <f>IF(OR(H1676="",I1676=""),"",IF(H1676=0,"",I1676/H1676-1))</f>
        <v/>
      </c>
      <c r="K1676" t="str">
        <f>IF($B1676="","",IFERROR(IF(G1676=0,-2E+300,CHOOSE(sortIdx,ROUND(D1676,0),IF(J1676="",-1E+300,ROUND(-J1676,6)),IF(J1676="",-1E+300,ROUND(J1676,6)))),-1.5E+300))</f>
        <v/>
      </c>
      <c r="L1676" t="str">
        <f>IF(K1676="","",RANK(K1676,$K$2:$K$3001,0)+COUNTIF($K$2:K1676,K1676)-1)</f>
        <v/>
      </c>
    </row>
    <row r="1677">
      <c r="B1677" t="str">
        <f>IFERROR(IF(A1677="","","="&amp;SUBSTITUTE(SUBSTITUTE(SUBSTITUTE(A1677,"~","~~"),"*","~*"),"?","~?")),"")</f>
        <v/>
      </c>
      <c r="C1677" t="str">
        <f>IF($B1677="","",SUMIFS(dAmt,dCust,$B1677,dPer,"&gt;="&amp;pyFrom,dPer,"&lt;="&amp;pyTo,dAmt,"&gt;-1E+300",dFlt1,critFlt1,dFlt2,critFlt2,dFlt3,critFlt3))</f>
        <v/>
      </c>
      <c r="D1677" t="str">
        <f>IF($B1677="","",SUMIFS(dAmt,dCust,$B1677,dPer,"&gt;="&amp;cyFrom,dPer,"&lt;="&amp;cyTo,dAmt,"&gt;-1E+300",dFlt1,critFlt1,dFlt2,critFlt2,dFlt3,critFlt3))</f>
        <v/>
      </c>
      <c r="E1677" t="str">
        <f>IF($B1677="","",SUMIFS(dQty,dCust,$B1677,dPer,"&gt;="&amp;pyFrom,dPer,"&lt;="&amp;pyTo,dQty,"&gt;-1E+300",dFlt1,critFlt1,dFlt2,critFlt2,dFlt3,critFlt3))</f>
        <v/>
      </c>
      <c r="F1677" t="str">
        <f>IF($B1677="","",SUMIFS(dQty,dCust,$B1677,dPer,"&gt;="&amp;cyFrom,dPer,"&lt;="&amp;cyTo,dQty,"&gt;-1E+300",dFlt1,critFlt1,dFlt2,critFlt2,dFlt3,critFlt3))</f>
        <v/>
      </c>
      <c r="G1677">
        <f>IF($B1677="",0,IFERROR(IF(OR(C1677&lt;&gt;0,D1677&lt;&gt;0,E1677&lt;&gt;0,F1677&lt;&gt;0),1,0),1))</f>
        <v>0</v>
      </c>
      <c r="H1677" t="str">
        <f>IF(OR(G1677=0,E1677=0),"",C1677/E1677)</f>
        <v/>
      </c>
      <c r="I1677" t="str">
        <f>IF(OR(G1677=0,F1677=0),"",D1677/F1677)</f>
        <v/>
      </c>
      <c r="J1677" t="str">
        <f>IF(OR(H1677="",I1677=""),"",IF(H1677=0,"",I1677/H1677-1))</f>
        <v/>
      </c>
      <c r="K1677" t="str">
        <f>IF($B1677="","",IFERROR(IF(G1677=0,-2E+300,CHOOSE(sortIdx,ROUND(D1677,0),IF(J1677="",-1E+300,ROUND(-J1677,6)),IF(J1677="",-1E+300,ROUND(J1677,6)))),-1.5E+300))</f>
        <v/>
      </c>
      <c r="L1677" t="str">
        <f>IF(K1677="","",RANK(K1677,$K$2:$K$3001,0)+COUNTIF($K$2:K1677,K1677)-1)</f>
        <v/>
      </c>
    </row>
    <row r="1678">
      <c r="B1678" t="str">
        <f>IFERROR(IF(A1678="","","="&amp;SUBSTITUTE(SUBSTITUTE(SUBSTITUTE(A1678,"~","~~"),"*","~*"),"?","~?")),"")</f>
        <v/>
      </c>
      <c r="C1678" t="str">
        <f>IF($B1678="","",SUMIFS(dAmt,dCust,$B1678,dPer,"&gt;="&amp;pyFrom,dPer,"&lt;="&amp;pyTo,dAmt,"&gt;-1E+300",dFlt1,critFlt1,dFlt2,critFlt2,dFlt3,critFlt3))</f>
        <v/>
      </c>
      <c r="D1678" t="str">
        <f>IF($B1678="","",SUMIFS(dAmt,dCust,$B1678,dPer,"&gt;="&amp;cyFrom,dPer,"&lt;="&amp;cyTo,dAmt,"&gt;-1E+300",dFlt1,critFlt1,dFlt2,critFlt2,dFlt3,critFlt3))</f>
        <v/>
      </c>
      <c r="E1678" t="str">
        <f>IF($B1678="","",SUMIFS(dQty,dCust,$B1678,dPer,"&gt;="&amp;pyFrom,dPer,"&lt;="&amp;pyTo,dQty,"&gt;-1E+300",dFlt1,critFlt1,dFlt2,critFlt2,dFlt3,critFlt3))</f>
        <v/>
      </c>
      <c r="F1678" t="str">
        <f>IF($B1678="","",SUMIFS(dQty,dCust,$B1678,dPer,"&gt;="&amp;cyFrom,dPer,"&lt;="&amp;cyTo,dQty,"&gt;-1E+300",dFlt1,critFlt1,dFlt2,critFlt2,dFlt3,critFlt3))</f>
        <v/>
      </c>
      <c r="G1678">
        <f>IF($B1678="",0,IFERROR(IF(OR(C1678&lt;&gt;0,D1678&lt;&gt;0,E1678&lt;&gt;0,F1678&lt;&gt;0),1,0),1))</f>
        <v>0</v>
      </c>
      <c r="H1678" t="str">
        <f>IF(OR(G1678=0,E1678=0),"",C1678/E1678)</f>
        <v/>
      </c>
      <c r="I1678" t="str">
        <f>IF(OR(G1678=0,F1678=0),"",D1678/F1678)</f>
        <v/>
      </c>
      <c r="J1678" t="str">
        <f>IF(OR(H1678="",I1678=""),"",IF(H1678=0,"",I1678/H1678-1))</f>
        <v/>
      </c>
      <c r="K1678" t="str">
        <f>IF($B1678="","",IFERROR(IF(G1678=0,-2E+300,CHOOSE(sortIdx,ROUND(D1678,0),IF(J1678="",-1E+300,ROUND(-J1678,6)),IF(J1678="",-1E+300,ROUND(J1678,6)))),-1.5E+300))</f>
        <v/>
      </c>
      <c r="L1678" t="str">
        <f>IF(K1678="","",RANK(K1678,$K$2:$K$3001,0)+COUNTIF($K$2:K1678,K1678)-1)</f>
        <v/>
      </c>
    </row>
    <row r="1679">
      <c r="B1679" t="str">
        <f>IFERROR(IF(A1679="","","="&amp;SUBSTITUTE(SUBSTITUTE(SUBSTITUTE(A1679,"~","~~"),"*","~*"),"?","~?")),"")</f>
        <v/>
      </c>
      <c r="C1679" t="str">
        <f>IF($B1679="","",SUMIFS(dAmt,dCust,$B1679,dPer,"&gt;="&amp;pyFrom,dPer,"&lt;="&amp;pyTo,dAmt,"&gt;-1E+300",dFlt1,critFlt1,dFlt2,critFlt2,dFlt3,critFlt3))</f>
        <v/>
      </c>
      <c r="D1679" t="str">
        <f>IF($B1679="","",SUMIFS(dAmt,dCust,$B1679,dPer,"&gt;="&amp;cyFrom,dPer,"&lt;="&amp;cyTo,dAmt,"&gt;-1E+300",dFlt1,critFlt1,dFlt2,critFlt2,dFlt3,critFlt3))</f>
        <v/>
      </c>
      <c r="E1679" t="str">
        <f>IF($B1679="","",SUMIFS(dQty,dCust,$B1679,dPer,"&gt;="&amp;pyFrom,dPer,"&lt;="&amp;pyTo,dQty,"&gt;-1E+300",dFlt1,critFlt1,dFlt2,critFlt2,dFlt3,critFlt3))</f>
        <v/>
      </c>
      <c r="F1679" t="str">
        <f>IF($B1679="","",SUMIFS(dQty,dCust,$B1679,dPer,"&gt;="&amp;cyFrom,dPer,"&lt;="&amp;cyTo,dQty,"&gt;-1E+300",dFlt1,critFlt1,dFlt2,critFlt2,dFlt3,critFlt3))</f>
        <v/>
      </c>
      <c r="G1679">
        <f>IF($B1679="",0,IFERROR(IF(OR(C1679&lt;&gt;0,D1679&lt;&gt;0,E1679&lt;&gt;0,F1679&lt;&gt;0),1,0),1))</f>
        <v>0</v>
      </c>
      <c r="H1679" t="str">
        <f>IF(OR(G1679=0,E1679=0),"",C1679/E1679)</f>
        <v/>
      </c>
      <c r="I1679" t="str">
        <f>IF(OR(G1679=0,F1679=0),"",D1679/F1679)</f>
        <v/>
      </c>
      <c r="J1679" t="str">
        <f>IF(OR(H1679="",I1679=""),"",IF(H1679=0,"",I1679/H1679-1))</f>
        <v/>
      </c>
      <c r="K1679" t="str">
        <f>IF($B1679="","",IFERROR(IF(G1679=0,-2E+300,CHOOSE(sortIdx,ROUND(D1679,0),IF(J1679="",-1E+300,ROUND(-J1679,6)),IF(J1679="",-1E+300,ROUND(J1679,6)))),-1.5E+300))</f>
        <v/>
      </c>
      <c r="L1679" t="str">
        <f>IF(K1679="","",RANK(K1679,$K$2:$K$3001,0)+COUNTIF($K$2:K1679,K1679)-1)</f>
        <v/>
      </c>
    </row>
    <row r="1680">
      <c r="B1680" t="str">
        <f>IFERROR(IF(A1680="","","="&amp;SUBSTITUTE(SUBSTITUTE(SUBSTITUTE(A1680,"~","~~"),"*","~*"),"?","~?")),"")</f>
        <v/>
      </c>
      <c r="C1680" t="str">
        <f>IF($B1680="","",SUMIFS(dAmt,dCust,$B1680,dPer,"&gt;="&amp;pyFrom,dPer,"&lt;="&amp;pyTo,dAmt,"&gt;-1E+300",dFlt1,critFlt1,dFlt2,critFlt2,dFlt3,critFlt3))</f>
        <v/>
      </c>
      <c r="D1680" t="str">
        <f>IF($B1680="","",SUMIFS(dAmt,dCust,$B1680,dPer,"&gt;="&amp;cyFrom,dPer,"&lt;="&amp;cyTo,dAmt,"&gt;-1E+300",dFlt1,critFlt1,dFlt2,critFlt2,dFlt3,critFlt3))</f>
        <v/>
      </c>
      <c r="E1680" t="str">
        <f>IF($B1680="","",SUMIFS(dQty,dCust,$B1680,dPer,"&gt;="&amp;pyFrom,dPer,"&lt;="&amp;pyTo,dQty,"&gt;-1E+300",dFlt1,critFlt1,dFlt2,critFlt2,dFlt3,critFlt3))</f>
        <v/>
      </c>
      <c r="F1680" t="str">
        <f>IF($B1680="","",SUMIFS(dQty,dCust,$B1680,dPer,"&gt;="&amp;cyFrom,dPer,"&lt;="&amp;cyTo,dQty,"&gt;-1E+300",dFlt1,critFlt1,dFlt2,critFlt2,dFlt3,critFlt3))</f>
        <v/>
      </c>
      <c r="G1680">
        <f>IF($B1680="",0,IFERROR(IF(OR(C1680&lt;&gt;0,D1680&lt;&gt;0,E1680&lt;&gt;0,F1680&lt;&gt;0),1,0),1))</f>
        <v>0</v>
      </c>
      <c r="H1680" t="str">
        <f>IF(OR(G1680=0,E1680=0),"",C1680/E1680)</f>
        <v/>
      </c>
      <c r="I1680" t="str">
        <f>IF(OR(G1680=0,F1680=0),"",D1680/F1680)</f>
        <v/>
      </c>
      <c r="J1680" t="str">
        <f>IF(OR(H1680="",I1680=""),"",IF(H1680=0,"",I1680/H1680-1))</f>
        <v/>
      </c>
      <c r="K1680" t="str">
        <f>IF($B1680="","",IFERROR(IF(G1680=0,-2E+300,CHOOSE(sortIdx,ROUND(D1680,0),IF(J1680="",-1E+300,ROUND(-J1680,6)),IF(J1680="",-1E+300,ROUND(J1680,6)))),-1.5E+300))</f>
        <v/>
      </c>
      <c r="L1680" t="str">
        <f>IF(K1680="","",RANK(K1680,$K$2:$K$3001,0)+COUNTIF($K$2:K1680,K1680)-1)</f>
        <v/>
      </c>
    </row>
    <row r="1681">
      <c r="B1681" t="str">
        <f>IFERROR(IF(A1681="","","="&amp;SUBSTITUTE(SUBSTITUTE(SUBSTITUTE(A1681,"~","~~"),"*","~*"),"?","~?")),"")</f>
        <v/>
      </c>
      <c r="C1681" t="str">
        <f>IF($B1681="","",SUMIFS(dAmt,dCust,$B1681,dPer,"&gt;="&amp;pyFrom,dPer,"&lt;="&amp;pyTo,dAmt,"&gt;-1E+300",dFlt1,critFlt1,dFlt2,critFlt2,dFlt3,critFlt3))</f>
        <v/>
      </c>
      <c r="D1681" t="str">
        <f>IF($B1681="","",SUMIFS(dAmt,dCust,$B1681,dPer,"&gt;="&amp;cyFrom,dPer,"&lt;="&amp;cyTo,dAmt,"&gt;-1E+300",dFlt1,critFlt1,dFlt2,critFlt2,dFlt3,critFlt3))</f>
        <v/>
      </c>
      <c r="E1681" t="str">
        <f>IF($B1681="","",SUMIFS(dQty,dCust,$B1681,dPer,"&gt;="&amp;pyFrom,dPer,"&lt;="&amp;pyTo,dQty,"&gt;-1E+300",dFlt1,critFlt1,dFlt2,critFlt2,dFlt3,critFlt3))</f>
        <v/>
      </c>
      <c r="F1681" t="str">
        <f>IF($B1681="","",SUMIFS(dQty,dCust,$B1681,dPer,"&gt;="&amp;cyFrom,dPer,"&lt;="&amp;cyTo,dQty,"&gt;-1E+300",dFlt1,critFlt1,dFlt2,critFlt2,dFlt3,critFlt3))</f>
        <v/>
      </c>
      <c r="G1681">
        <f>IF($B1681="",0,IFERROR(IF(OR(C1681&lt;&gt;0,D1681&lt;&gt;0,E1681&lt;&gt;0,F1681&lt;&gt;0),1,0),1))</f>
        <v>0</v>
      </c>
      <c r="H1681" t="str">
        <f>IF(OR(G1681=0,E1681=0),"",C1681/E1681)</f>
        <v/>
      </c>
      <c r="I1681" t="str">
        <f>IF(OR(G1681=0,F1681=0),"",D1681/F1681)</f>
        <v/>
      </c>
      <c r="J1681" t="str">
        <f>IF(OR(H1681="",I1681=""),"",IF(H1681=0,"",I1681/H1681-1))</f>
        <v/>
      </c>
      <c r="K1681" t="str">
        <f>IF($B1681="","",IFERROR(IF(G1681=0,-2E+300,CHOOSE(sortIdx,ROUND(D1681,0),IF(J1681="",-1E+300,ROUND(-J1681,6)),IF(J1681="",-1E+300,ROUND(J1681,6)))),-1.5E+300))</f>
        <v/>
      </c>
      <c r="L1681" t="str">
        <f>IF(K1681="","",RANK(K1681,$K$2:$K$3001,0)+COUNTIF($K$2:K1681,K1681)-1)</f>
        <v/>
      </c>
    </row>
    <row r="1682">
      <c r="B1682" t="str">
        <f>IFERROR(IF(A1682="","","="&amp;SUBSTITUTE(SUBSTITUTE(SUBSTITUTE(A1682,"~","~~"),"*","~*"),"?","~?")),"")</f>
        <v/>
      </c>
      <c r="C1682" t="str">
        <f>IF($B1682="","",SUMIFS(dAmt,dCust,$B1682,dPer,"&gt;="&amp;pyFrom,dPer,"&lt;="&amp;pyTo,dAmt,"&gt;-1E+300",dFlt1,critFlt1,dFlt2,critFlt2,dFlt3,critFlt3))</f>
        <v/>
      </c>
      <c r="D1682" t="str">
        <f>IF($B1682="","",SUMIFS(dAmt,dCust,$B1682,dPer,"&gt;="&amp;cyFrom,dPer,"&lt;="&amp;cyTo,dAmt,"&gt;-1E+300",dFlt1,critFlt1,dFlt2,critFlt2,dFlt3,critFlt3))</f>
        <v/>
      </c>
      <c r="E1682" t="str">
        <f>IF($B1682="","",SUMIFS(dQty,dCust,$B1682,dPer,"&gt;="&amp;pyFrom,dPer,"&lt;="&amp;pyTo,dQty,"&gt;-1E+300",dFlt1,critFlt1,dFlt2,critFlt2,dFlt3,critFlt3))</f>
        <v/>
      </c>
      <c r="F1682" t="str">
        <f>IF($B1682="","",SUMIFS(dQty,dCust,$B1682,dPer,"&gt;="&amp;cyFrom,dPer,"&lt;="&amp;cyTo,dQty,"&gt;-1E+300",dFlt1,critFlt1,dFlt2,critFlt2,dFlt3,critFlt3))</f>
        <v/>
      </c>
      <c r="G1682">
        <f>IF($B1682="",0,IFERROR(IF(OR(C1682&lt;&gt;0,D1682&lt;&gt;0,E1682&lt;&gt;0,F1682&lt;&gt;0),1,0),1))</f>
        <v>0</v>
      </c>
      <c r="H1682" t="str">
        <f>IF(OR(G1682=0,E1682=0),"",C1682/E1682)</f>
        <v/>
      </c>
      <c r="I1682" t="str">
        <f>IF(OR(G1682=0,F1682=0),"",D1682/F1682)</f>
        <v/>
      </c>
      <c r="J1682" t="str">
        <f>IF(OR(H1682="",I1682=""),"",IF(H1682=0,"",I1682/H1682-1))</f>
        <v/>
      </c>
      <c r="K1682" t="str">
        <f>IF($B1682="","",IFERROR(IF(G1682=0,-2E+300,CHOOSE(sortIdx,ROUND(D1682,0),IF(J1682="",-1E+300,ROUND(-J1682,6)),IF(J1682="",-1E+300,ROUND(J1682,6)))),-1.5E+300))</f>
        <v/>
      </c>
      <c r="L1682" t="str">
        <f>IF(K1682="","",RANK(K1682,$K$2:$K$3001,0)+COUNTIF($K$2:K1682,K1682)-1)</f>
        <v/>
      </c>
    </row>
    <row r="1683">
      <c r="B1683" t="str">
        <f>IFERROR(IF(A1683="","","="&amp;SUBSTITUTE(SUBSTITUTE(SUBSTITUTE(A1683,"~","~~"),"*","~*"),"?","~?")),"")</f>
        <v/>
      </c>
      <c r="C1683" t="str">
        <f>IF($B1683="","",SUMIFS(dAmt,dCust,$B1683,dPer,"&gt;="&amp;pyFrom,dPer,"&lt;="&amp;pyTo,dAmt,"&gt;-1E+300",dFlt1,critFlt1,dFlt2,critFlt2,dFlt3,critFlt3))</f>
        <v/>
      </c>
      <c r="D1683" t="str">
        <f>IF($B1683="","",SUMIFS(dAmt,dCust,$B1683,dPer,"&gt;="&amp;cyFrom,dPer,"&lt;="&amp;cyTo,dAmt,"&gt;-1E+300",dFlt1,critFlt1,dFlt2,critFlt2,dFlt3,critFlt3))</f>
        <v/>
      </c>
      <c r="E1683" t="str">
        <f>IF($B1683="","",SUMIFS(dQty,dCust,$B1683,dPer,"&gt;="&amp;pyFrom,dPer,"&lt;="&amp;pyTo,dQty,"&gt;-1E+300",dFlt1,critFlt1,dFlt2,critFlt2,dFlt3,critFlt3))</f>
        <v/>
      </c>
      <c r="F1683" t="str">
        <f>IF($B1683="","",SUMIFS(dQty,dCust,$B1683,dPer,"&gt;="&amp;cyFrom,dPer,"&lt;="&amp;cyTo,dQty,"&gt;-1E+300",dFlt1,critFlt1,dFlt2,critFlt2,dFlt3,critFlt3))</f>
        <v/>
      </c>
      <c r="G1683">
        <f>IF($B1683="",0,IFERROR(IF(OR(C1683&lt;&gt;0,D1683&lt;&gt;0,E1683&lt;&gt;0,F1683&lt;&gt;0),1,0),1))</f>
        <v>0</v>
      </c>
      <c r="H1683" t="str">
        <f>IF(OR(G1683=0,E1683=0),"",C1683/E1683)</f>
        <v/>
      </c>
      <c r="I1683" t="str">
        <f>IF(OR(G1683=0,F1683=0),"",D1683/F1683)</f>
        <v/>
      </c>
      <c r="J1683" t="str">
        <f>IF(OR(H1683="",I1683=""),"",IF(H1683=0,"",I1683/H1683-1))</f>
        <v/>
      </c>
      <c r="K1683" t="str">
        <f>IF($B1683="","",IFERROR(IF(G1683=0,-2E+300,CHOOSE(sortIdx,ROUND(D1683,0),IF(J1683="",-1E+300,ROUND(-J1683,6)),IF(J1683="",-1E+300,ROUND(J1683,6)))),-1.5E+300))</f>
        <v/>
      </c>
      <c r="L1683" t="str">
        <f>IF(K1683="","",RANK(K1683,$K$2:$K$3001,0)+COUNTIF($K$2:K1683,K1683)-1)</f>
        <v/>
      </c>
    </row>
    <row r="1684">
      <c r="B1684" t="str">
        <f>IFERROR(IF(A1684="","","="&amp;SUBSTITUTE(SUBSTITUTE(SUBSTITUTE(A1684,"~","~~"),"*","~*"),"?","~?")),"")</f>
        <v/>
      </c>
      <c r="C1684" t="str">
        <f>IF($B1684="","",SUMIFS(dAmt,dCust,$B1684,dPer,"&gt;="&amp;pyFrom,dPer,"&lt;="&amp;pyTo,dAmt,"&gt;-1E+300",dFlt1,critFlt1,dFlt2,critFlt2,dFlt3,critFlt3))</f>
        <v/>
      </c>
      <c r="D1684" t="str">
        <f>IF($B1684="","",SUMIFS(dAmt,dCust,$B1684,dPer,"&gt;="&amp;cyFrom,dPer,"&lt;="&amp;cyTo,dAmt,"&gt;-1E+300",dFlt1,critFlt1,dFlt2,critFlt2,dFlt3,critFlt3))</f>
        <v/>
      </c>
      <c r="E1684" t="str">
        <f>IF($B1684="","",SUMIFS(dQty,dCust,$B1684,dPer,"&gt;="&amp;pyFrom,dPer,"&lt;="&amp;pyTo,dQty,"&gt;-1E+300",dFlt1,critFlt1,dFlt2,critFlt2,dFlt3,critFlt3))</f>
        <v/>
      </c>
      <c r="F1684" t="str">
        <f>IF($B1684="","",SUMIFS(dQty,dCust,$B1684,dPer,"&gt;="&amp;cyFrom,dPer,"&lt;="&amp;cyTo,dQty,"&gt;-1E+300",dFlt1,critFlt1,dFlt2,critFlt2,dFlt3,critFlt3))</f>
        <v/>
      </c>
      <c r="G1684">
        <f>IF($B1684="",0,IFERROR(IF(OR(C1684&lt;&gt;0,D1684&lt;&gt;0,E1684&lt;&gt;0,F1684&lt;&gt;0),1,0),1))</f>
        <v>0</v>
      </c>
      <c r="H1684" t="str">
        <f>IF(OR(G1684=0,E1684=0),"",C1684/E1684)</f>
        <v/>
      </c>
      <c r="I1684" t="str">
        <f>IF(OR(G1684=0,F1684=0),"",D1684/F1684)</f>
        <v/>
      </c>
      <c r="J1684" t="str">
        <f>IF(OR(H1684="",I1684=""),"",IF(H1684=0,"",I1684/H1684-1))</f>
        <v/>
      </c>
      <c r="K1684" t="str">
        <f>IF($B1684="","",IFERROR(IF(G1684=0,-2E+300,CHOOSE(sortIdx,ROUND(D1684,0),IF(J1684="",-1E+300,ROUND(-J1684,6)),IF(J1684="",-1E+300,ROUND(J1684,6)))),-1.5E+300))</f>
        <v/>
      </c>
      <c r="L1684" t="str">
        <f>IF(K1684="","",RANK(K1684,$K$2:$K$3001,0)+COUNTIF($K$2:K1684,K1684)-1)</f>
        <v/>
      </c>
    </row>
    <row r="1685">
      <c r="B1685" t="str">
        <f>IFERROR(IF(A1685="","","="&amp;SUBSTITUTE(SUBSTITUTE(SUBSTITUTE(A1685,"~","~~"),"*","~*"),"?","~?")),"")</f>
        <v/>
      </c>
      <c r="C1685" t="str">
        <f>IF($B1685="","",SUMIFS(dAmt,dCust,$B1685,dPer,"&gt;="&amp;pyFrom,dPer,"&lt;="&amp;pyTo,dAmt,"&gt;-1E+300",dFlt1,critFlt1,dFlt2,critFlt2,dFlt3,critFlt3))</f>
        <v/>
      </c>
      <c r="D1685" t="str">
        <f>IF($B1685="","",SUMIFS(dAmt,dCust,$B1685,dPer,"&gt;="&amp;cyFrom,dPer,"&lt;="&amp;cyTo,dAmt,"&gt;-1E+300",dFlt1,critFlt1,dFlt2,critFlt2,dFlt3,critFlt3))</f>
        <v/>
      </c>
      <c r="E1685" t="str">
        <f>IF($B1685="","",SUMIFS(dQty,dCust,$B1685,dPer,"&gt;="&amp;pyFrom,dPer,"&lt;="&amp;pyTo,dQty,"&gt;-1E+300",dFlt1,critFlt1,dFlt2,critFlt2,dFlt3,critFlt3))</f>
        <v/>
      </c>
      <c r="F1685" t="str">
        <f>IF($B1685="","",SUMIFS(dQty,dCust,$B1685,dPer,"&gt;="&amp;cyFrom,dPer,"&lt;="&amp;cyTo,dQty,"&gt;-1E+300",dFlt1,critFlt1,dFlt2,critFlt2,dFlt3,critFlt3))</f>
        <v/>
      </c>
      <c r="G1685">
        <f>IF($B1685="",0,IFERROR(IF(OR(C1685&lt;&gt;0,D1685&lt;&gt;0,E1685&lt;&gt;0,F1685&lt;&gt;0),1,0),1))</f>
        <v>0</v>
      </c>
      <c r="H1685" t="str">
        <f>IF(OR(G1685=0,E1685=0),"",C1685/E1685)</f>
        <v/>
      </c>
      <c r="I1685" t="str">
        <f>IF(OR(G1685=0,F1685=0),"",D1685/F1685)</f>
        <v/>
      </c>
      <c r="J1685" t="str">
        <f>IF(OR(H1685="",I1685=""),"",IF(H1685=0,"",I1685/H1685-1))</f>
        <v/>
      </c>
      <c r="K1685" t="str">
        <f>IF($B1685="","",IFERROR(IF(G1685=0,-2E+300,CHOOSE(sortIdx,ROUND(D1685,0),IF(J1685="",-1E+300,ROUND(-J1685,6)),IF(J1685="",-1E+300,ROUND(J1685,6)))),-1.5E+300))</f>
        <v/>
      </c>
      <c r="L1685" t="str">
        <f>IF(K1685="","",RANK(K1685,$K$2:$K$3001,0)+COUNTIF($K$2:K1685,K1685)-1)</f>
        <v/>
      </c>
    </row>
    <row r="1686">
      <c r="B1686" t="str">
        <f>IFERROR(IF(A1686="","","="&amp;SUBSTITUTE(SUBSTITUTE(SUBSTITUTE(A1686,"~","~~"),"*","~*"),"?","~?")),"")</f>
        <v/>
      </c>
      <c r="C1686" t="str">
        <f>IF($B1686="","",SUMIFS(dAmt,dCust,$B1686,dPer,"&gt;="&amp;pyFrom,dPer,"&lt;="&amp;pyTo,dAmt,"&gt;-1E+300",dFlt1,critFlt1,dFlt2,critFlt2,dFlt3,critFlt3))</f>
        <v/>
      </c>
      <c r="D1686" t="str">
        <f>IF($B1686="","",SUMIFS(dAmt,dCust,$B1686,dPer,"&gt;="&amp;cyFrom,dPer,"&lt;="&amp;cyTo,dAmt,"&gt;-1E+300",dFlt1,critFlt1,dFlt2,critFlt2,dFlt3,critFlt3))</f>
        <v/>
      </c>
      <c r="E1686" t="str">
        <f>IF($B1686="","",SUMIFS(dQty,dCust,$B1686,dPer,"&gt;="&amp;pyFrom,dPer,"&lt;="&amp;pyTo,dQty,"&gt;-1E+300",dFlt1,critFlt1,dFlt2,critFlt2,dFlt3,critFlt3))</f>
        <v/>
      </c>
      <c r="F1686" t="str">
        <f>IF($B1686="","",SUMIFS(dQty,dCust,$B1686,dPer,"&gt;="&amp;cyFrom,dPer,"&lt;="&amp;cyTo,dQty,"&gt;-1E+300",dFlt1,critFlt1,dFlt2,critFlt2,dFlt3,critFlt3))</f>
        <v/>
      </c>
      <c r="G1686">
        <f>IF($B1686="",0,IFERROR(IF(OR(C1686&lt;&gt;0,D1686&lt;&gt;0,E1686&lt;&gt;0,F1686&lt;&gt;0),1,0),1))</f>
        <v>0</v>
      </c>
      <c r="H1686" t="str">
        <f>IF(OR(G1686=0,E1686=0),"",C1686/E1686)</f>
        <v/>
      </c>
      <c r="I1686" t="str">
        <f>IF(OR(G1686=0,F1686=0),"",D1686/F1686)</f>
        <v/>
      </c>
      <c r="J1686" t="str">
        <f>IF(OR(H1686="",I1686=""),"",IF(H1686=0,"",I1686/H1686-1))</f>
        <v/>
      </c>
      <c r="K1686" t="str">
        <f>IF($B1686="","",IFERROR(IF(G1686=0,-2E+300,CHOOSE(sortIdx,ROUND(D1686,0),IF(J1686="",-1E+300,ROUND(-J1686,6)),IF(J1686="",-1E+300,ROUND(J1686,6)))),-1.5E+300))</f>
        <v/>
      </c>
      <c r="L1686" t="str">
        <f>IF(K1686="","",RANK(K1686,$K$2:$K$3001,0)+COUNTIF($K$2:K1686,K1686)-1)</f>
        <v/>
      </c>
    </row>
    <row r="1687">
      <c r="B1687" t="str">
        <f>IFERROR(IF(A1687="","","="&amp;SUBSTITUTE(SUBSTITUTE(SUBSTITUTE(A1687,"~","~~"),"*","~*"),"?","~?")),"")</f>
        <v/>
      </c>
      <c r="C1687" t="str">
        <f>IF($B1687="","",SUMIFS(dAmt,dCust,$B1687,dPer,"&gt;="&amp;pyFrom,dPer,"&lt;="&amp;pyTo,dAmt,"&gt;-1E+300",dFlt1,critFlt1,dFlt2,critFlt2,dFlt3,critFlt3))</f>
        <v/>
      </c>
      <c r="D1687" t="str">
        <f>IF($B1687="","",SUMIFS(dAmt,dCust,$B1687,dPer,"&gt;="&amp;cyFrom,dPer,"&lt;="&amp;cyTo,dAmt,"&gt;-1E+300",dFlt1,critFlt1,dFlt2,critFlt2,dFlt3,critFlt3))</f>
        <v/>
      </c>
      <c r="E1687" t="str">
        <f>IF($B1687="","",SUMIFS(dQty,dCust,$B1687,dPer,"&gt;="&amp;pyFrom,dPer,"&lt;="&amp;pyTo,dQty,"&gt;-1E+300",dFlt1,critFlt1,dFlt2,critFlt2,dFlt3,critFlt3))</f>
        <v/>
      </c>
      <c r="F1687" t="str">
        <f>IF($B1687="","",SUMIFS(dQty,dCust,$B1687,dPer,"&gt;="&amp;cyFrom,dPer,"&lt;="&amp;cyTo,dQty,"&gt;-1E+300",dFlt1,critFlt1,dFlt2,critFlt2,dFlt3,critFlt3))</f>
        <v/>
      </c>
      <c r="G1687">
        <f>IF($B1687="",0,IFERROR(IF(OR(C1687&lt;&gt;0,D1687&lt;&gt;0,E1687&lt;&gt;0,F1687&lt;&gt;0),1,0),1))</f>
        <v>0</v>
      </c>
      <c r="H1687" t="str">
        <f>IF(OR(G1687=0,E1687=0),"",C1687/E1687)</f>
        <v/>
      </c>
      <c r="I1687" t="str">
        <f>IF(OR(G1687=0,F1687=0),"",D1687/F1687)</f>
        <v/>
      </c>
      <c r="J1687" t="str">
        <f>IF(OR(H1687="",I1687=""),"",IF(H1687=0,"",I1687/H1687-1))</f>
        <v/>
      </c>
      <c r="K1687" t="str">
        <f>IF($B1687="","",IFERROR(IF(G1687=0,-2E+300,CHOOSE(sortIdx,ROUND(D1687,0),IF(J1687="",-1E+300,ROUND(-J1687,6)),IF(J1687="",-1E+300,ROUND(J1687,6)))),-1.5E+300))</f>
        <v/>
      </c>
      <c r="L1687" t="str">
        <f>IF(K1687="","",RANK(K1687,$K$2:$K$3001,0)+COUNTIF($K$2:K1687,K1687)-1)</f>
        <v/>
      </c>
    </row>
    <row r="1688">
      <c r="B1688" t="str">
        <f>IFERROR(IF(A1688="","","="&amp;SUBSTITUTE(SUBSTITUTE(SUBSTITUTE(A1688,"~","~~"),"*","~*"),"?","~?")),"")</f>
        <v/>
      </c>
      <c r="C1688" t="str">
        <f>IF($B1688="","",SUMIFS(dAmt,dCust,$B1688,dPer,"&gt;="&amp;pyFrom,dPer,"&lt;="&amp;pyTo,dAmt,"&gt;-1E+300",dFlt1,critFlt1,dFlt2,critFlt2,dFlt3,critFlt3))</f>
        <v/>
      </c>
      <c r="D1688" t="str">
        <f>IF($B1688="","",SUMIFS(dAmt,dCust,$B1688,dPer,"&gt;="&amp;cyFrom,dPer,"&lt;="&amp;cyTo,dAmt,"&gt;-1E+300",dFlt1,critFlt1,dFlt2,critFlt2,dFlt3,critFlt3))</f>
        <v/>
      </c>
      <c r="E1688" t="str">
        <f>IF($B1688="","",SUMIFS(dQty,dCust,$B1688,dPer,"&gt;="&amp;pyFrom,dPer,"&lt;="&amp;pyTo,dQty,"&gt;-1E+300",dFlt1,critFlt1,dFlt2,critFlt2,dFlt3,critFlt3))</f>
        <v/>
      </c>
      <c r="F1688" t="str">
        <f>IF($B1688="","",SUMIFS(dQty,dCust,$B1688,dPer,"&gt;="&amp;cyFrom,dPer,"&lt;="&amp;cyTo,dQty,"&gt;-1E+300",dFlt1,critFlt1,dFlt2,critFlt2,dFlt3,critFlt3))</f>
        <v/>
      </c>
      <c r="G1688">
        <f>IF($B1688="",0,IFERROR(IF(OR(C1688&lt;&gt;0,D1688&lt;&gt;0,E1688&lt;&gt;0,F1688&lt;&gt;0),1,0),1))</f>
        <v>0</v>
      </c>
      <c r="H1688" t="str">
        <f>IF(OR(G1688=0,E1688=0),"",C1688/E1688)</f>
        <v/>
      </c>
      <c r="I1688" t="str">
        <f>IF(OR(G1688=0,F1688=0),"",D1688/F1688)</f>
        <v/>
      </c>
      <c r="J1688" t="str">
        <f>IF(OR(H1688="",I1688=""),"",IF(H1688=0,"",I1688/H1688-1))</f>
        <v/>
      </c>
      <c r="K1688" t="str">
        <f>IF($B1688="","",IFERROR(IF(G1688=0,-2E+300,CHOOSE(sortIdx,ROUND(D1688,0),IF(J1688="",-1E+300,ROUND(-J1688,6)),IF(J1688="",-1E+300,ROUND(J1688,6)))),-1.5E+300))</f>
        <v/>
      </c>
      <c r="L1688" t="str">
        <f>IF(K1688="","",RANK(K1688,$K$2:$K$3001,0)+COUNTIF($K$2:K1688,K1688)-1)</f>
        <v/>
      </c>
    </row>
    <row r="1689">
      <c r="B1689" t="str">
        <f>IFERROR(IF(A1689="","","="&amp;SUBSTITUTE(SUBSTITUTE(SUBSTITUTE(A1689,"~","~~"),"*","~*"),"?","~?")),"")</f>
        <v/>
      </c>
      <c r="C1689" t="str">
        <f>IF($B1689="","",SUMIFS(dAmt,dCust,$B1689,dPer,"&gt;="&amp;pyFrom,dPer,"&lt;="&amp;pyTo,dAmt,"&gt;-1E+300",dFlt1,critFlt1,dFlt2,critFlt2,dFlt3,critFlt3))</f>
        <v/>
      </c>
      <c r="D1689" t="str">
        <f>IF($B1689="","",SUMIFS(dAmt,dCust,$B1689,dPer,"&gt;="&amp;cyFrom,dPer,"&lt;="&amp;cyTo,dAmt,"&gt;-1E+300",dFlt1,critFlt1,dFlt2,critFlt2,dFlt3,critFlt3))</f>
        <v/>
      </c>
      <c r="E1689" t="str">
        <f>IF($B1689="","",SUMIFS(dQty,dCust,$B1689,dPer,"&gt;="&amp;pyFrom,dPer,"&lt;="&amp;pyTo,dQty,"&gt;-1E+300",dFlt1,critFlt1,dFlt2,critFlt2,dFlt3,critFlt3))</f>
        <v/>
      </c>
      <c r="F1689" t="str">
        <f>IF($B1689="","",SUMIFS(dQty,dCust,$B1689,dPer,"&gt;="&amp;cyFrom,dPer,"&lt;="&amp;cyTo,dQty,"&gt;-1E+300",dFlt1,critFlt1,dFlt2,critFlt2,dFlt3,critFlt3))</f>
        <v/>
      </c>
      <c r="G1689">
        <f>IF($B1689="",0,IFERROR(IF(OR(C1689&lt;&gt;0,D1689&lt;&gt;0,E1689&lt;&gt;0,F1689&lt;&gt;0),1,0),1))</f>
        <v>0</v>
      </c>
      <c r="H1689" t="str">
        <f>IF(OR(G1689=0,E1689=0),"",C1689/E1689)</f>
        <v/>
      </c>
      <c r="I1689" t="str">
        <f>IF(OR(G1689=0,F1689=0),"",D1689/F1689)</f>
        <v/>
      </c>
      <c r="J1689" t="str">
        <f>IF(OR(H1689="",I1689=""),"",IF(H1689=0,"",I1689/H1689-1))</f>
        <v/>
      </c>
      <c r="K1689" t="str">
        <f>IF($B1689="","",IFERROR(IF(G1689=0,-2E+300,CHOOSE(sortIdx,ROUND(D1689,0),IF(J1689="",-1E+300,ROUND(-J1689,6)),IF(J1689="",-1E+300,ROUND(J1689,6)))),-1.5E+300))</f>
        <v/>
      </c>
      <c r="L1689" t="str">
        <f>IF(K1689="","",RANK(K1689,$K$2:$K$3001,0)+COUNTIF($K$2:K1689,K1689)-1)</f>
        <v/>
      </c>
    </row>
    <row r="1690">
      <c r="B1690" t="str">
        <f>IFERROR(IF(A1690="","","="&amp;SUBSTITUTE(SUBSTITUTE(SUBSTITUTE(A1690,"~","~~"),"*","~*"),"?","~?")),"")</f>
        <v/>
      </c>
      <c r="C1690" t="str">
        <f>IF($B1690="","",SUMIFS(dAmt,dCust,$B1690,dPer,"&gt;="&amp;pyFrom,dPer,"&lt;="&amp;pyTo,dAmt,"&gt;-1E+300",dFlt1,critFlt1,dFlt2,critFlt2,dFlt3,critFlt3))</f>
        <v/>
      </c>
      <c r="D1690" t="str">
        <f>IF($B1690="","",SUMIFS(dAmt,dCust,$B1690,dPer,"&gt;="&amp;cyFrom,dPer,"&lt;="&amp;cyTo,dAmt,"&gt;-1E+300",dFlt1,critFlt1,dFlt2,critFlt2,dFlt3,critFlt3))</f>
        <v/>
      </c>
      <c r="E1690" t="str">
        <f>IF($B1690="","",SUMIFS(dQty,dCust,$B1690,dPer,"&gt;="&amp;pyFrom,dPer,"&lt;="&amp;pyTo,dQty,"&gt;-1E+300",dFlt1,critFlt1,dFlt2,critFlt2,dFlt3,critFlt3))</f>
        <v/>
      </c>
      <c r="F1690" t="str">
        <f>IF($B1690="","",SUMIFS(dQty,dCust,$B1690,dPer,"&gt;="&amp;cyFrom,dPer,"&lt;="&amp;cyTo,dQty,"&gt;-1E+300",dFlt1,critFlt1,dFlt2,critFlt2,dFlt3,critFlt3))</f>
        <v/>
      </c>
      <c r="G1690">
        <f>IF($B1690="",0,IFERROR(IF(OR(C1690&lt;&gt;0,D1690&lt;&gt;0,E1690&lt;&gt;0,F1690&lt;&gt;0),1,0),1))</f>
        <v>0</v>
      </c>
      <c r="H1690" t="str">
        <f>IF(OR(G1690=0,E1690=0),"",C1690/E1690)</f>
        <v/>
      </c>
      <c r="I1690" t="str">
        <f>IF(OR(G1690=0,F1690=0),"",D1690/F1690)</f>
        <v/>
      </c>
      <c r="J1690" t="str">
        <f>IF(OR(H1690="",I1690=""),"",IF(H1690=0,"",I1690/H1690-1))</f>
        <v/>
      </c>
      <c r="K1690" t="str">
        <f>IF($B1690="","",IFERROR(IF(G1690=0,-2E+300,CHOOSE(sortIdx,ROUND(D1690,0),IF(J1690="",-1E+300,ROUND(-J1690,6)),IF(J1690="",-1E+300,ROUND(J1690,6)))),-1.5E+300))</f>
        <v/>
      </c>
      <c r="L1690" t="str">
        <f>IF(K1690="","",RANK(K1690,$K$2:$K$3001,0)+COUNTIF($K$2:K1690,K1690)-1)</f>
        <v/>
      </c>
    </row>
    <row r="1691">
      <c r="B1691" t="str">
        <f>IFERROR(IF(A1691="","","="&amp;SUBSTITUTE(SUBSTITUTE(SUBSTITUTE(A1691,"~","~~"),"*","~*"),"?","~?")),"")</f>
        <v/>
      </c>
      <c r="C1691" t="str">
        <f>IF($B1691="","",SUMIFS(dAmt,dCust,$B1691,dPer,"&gt;="&amp;pyFrom,dPer,"&lt;="&amp;pyTo,dAmt,"&gt;-1E+300",dFlt1,critFlt1,dFlt2,critFlt2,dFlt3,critFlt3))</f>
        <v/>
      </c>
      <c r="D1691" t="str">
        <f>IF($B1691="","",SUMIFS(dAmt,dCust,$B1691,dPer,"&gt;="&amp;cyFrom,dPer,"&lt;="&amp;cyTo,dAmt,"&gt;-1E+300",dFlt1,critFlt1,dFlt2,critFlt2,dFlt3,critFlt3))</f>
        <v/>
      </c>
      <c r="E1691" t="str">
        <f>IF($B1691="","",SUMIFS(dQty,dCust,$B1691,dPer,"&gt;="&amp;pyFrom,dPer,"&lt;="&amp;pyTo,dQty,"&gt;-1E+300",dFlt1,critFlt1,dFlt2,critFlt2,dFlt3,critFlt3))</f>
        <v/>
      </c>
      <c r="F1691" t="str">
        <f>IF($B1691="","",SUMIFS(dQty,dCust,$B1691,dPer,"&gt;="&amp;cyFrom,dPer,"&lt;="&amp;cyTo,dQty,"&gt;-1E+300",dFlt1,critFlt1,dFlt2,critFlt2,dFlt3,critFlt3))</f>
        <v/>
      </c>
      <c r="G1691">
        <f>IF($B1691="",0,IFERROR(IF(OR(C1691&lt;&gt;0,D1691&lt;&gt;0,E1691&lt;&gt;0,F1691&lt;&gt;0),1,0),1))</f>
        <v>0</v>
      </c>
      <c r="H1691" t="str">
        <f>IF(OR(G1691=0,E1691=0),"",C1691/E1691)</f>
        <v/>
      </c>
      <c r="I1691" t="str">
        <f>IF(OR(G1691=0,F1691=0),"",D1691/F1691)</f>
        <v/>
      </c>
      <c r="J1691" t="str">
        <f>IF(OR(H1691="",I1691=""),"",IF(H1691=0,"",I1691/H1691-1))</f>
        <v/>
      </c>
      <c r="K1691" t="str">
        <f>IF($B1691="","",IFERROR(IF(G1691=0,-2E+300,CHOOSE(sortIdx,ROUND(D1691,0),IF(J1691="",-1E+300,ROUND(-J1691,6)),IF(J1691="",-1E+300,ROUND(J1691,6)))),-1.5E+300))</f>
        <v/>
      </c>
      <c r="L1691" t="str">
        <f>IF(K1691="","",RANK(K1691,$K$2:$K$3001,0)+COUNTIF($K$2:K1691,K1691)-1)</f>
        <v/>
      </c>
    </row>
    <row r="1692">
      <c r="B1692" t="str">
        <f>IFERROR(IF(A1692="","","="&amp;SUBSTITUTE(SUBSTITUTE(SUBSTITUTE(A1692,"~","~~"),"*","~*"),"?","~?")),"")</f>
        <v/>
      </c>
      <c r="C1692" t="str">
        <f>IF($B1692="","",SUMIFS(dAmt,dCust,$B1692,dPer,"&gt;="&amp;pyFrom,dPer,"&lt;="&amp;pyTo,dAmt,"&gt;-1E+300",dFlt1,critFlt1,dFlt2,critFlt2,dFlt3,critFlt3))</f>
        <v/>
      </c>
      <c r="D1692" t="str">
        <f>IF($B1692="","",SUMIFS(dAmt,dCust,$B1692,dPer,"&gt;="&amp;cyFrom,dPer,"&lt;="&amp;cyTo,dAmt,"&gt;-1E+300",dFlt1,critFlt1,dFlt2,critFlt2,dFlt3,critFlt3))</f>
        <v/>
      </c>
      <c r="E1692" t="str">
        <f>IF($B1692="","",SUMIFS(dQty,dCust,$B1692,dPer,"&gt;="&amp;pyFrom,dPer,"&lt;="&amp;pyTo,dQty,"&gt;-1E+300",dFlt1,critFlt1,dFlt2,critFlt2,dFlt3,critFlt3))</f>
        <v/>
      </c>
      <c r="F1692" t="str">
        <f>IF($B1692="","",SUMIFS(dQty,dCust,$B1692,dPer,"&gt;="&amp;cyFrom,dPer,"&lt;="&amp;cyTo,dQty,"&gt;-1E+300",dFlt1,critFlt1,dFlt2,critFlt2,dFlt3,critFlt3))</f>
        <v/>
      </c>
      <c r="G1692">
        <f>IF($B1692="",0,IFERROR(IF(OR(C1692&lt;&gt;0,D1692&lt;&gt;0,E1692&lt;&gt;0,F1692&lt;&gt;0),1,0),1))</f>
        <v>0</v>
      </c>
      <c r="H1692" t="str">
        <f>IF(OR(G1692=0,E1692=0),"",C1692/E1692)</f>
        <v/>
      </c>
      <c r="I1692" t="str">
        <f>IF(OR(G1692=0,F1692=0),"",D1692/F1692)</f>
        <v/>
      </c>
      <c r="J1692" t="str">
        <f>IF(OR(H1692="",I1692=""),"",IF(H1692=0,"",I1692/H1692-1))</f>
        <v/>
      </c>
      <c r="K1692" t="str">
        <f>IF($B1692="","",IFERROR(IF(G1692=0,-2E+300,CHOOSE(sortIdx,ROUND(D1692,0),IF(J1692="",-1E+300,ROUND(-J1692,6)),IF(J1692="",-1E+300,ROUND(J1692,6)))),-1.5E+300))</f>
        <v/>
      </c>
      <c r="L1692" t="str">
        <f>IF(K1692="","",RANK(K1692,$K$2:$K$3001,0)+COUNTIF($K$2:K1692,K1692)-1)</f>
        <v/>
      </c>
    </row>
    <row r="1693">
      <c r="B1693" t="str">
        <f>IFERROR(IF(A1693="","","="&amp;SUBSTITUTE(SUBSTITUTE(SUBSTITUTE(A1693,"~","~~"),"*","~*"),"?","~?")),"")</f>
        <v/>
      </c>
      <c r="C1693" t="str">
        <f>IF($B1693="","",SUMIFS(dAmt,dCust,$B1693,dPer,"&gt;="&amp;pyFrom,dPer,"&lt;="&amp;pyTo,dAmt,"&gt;-1E+300",dFlt1,critFlt1,dFlt2,critFlt2,dFlt3,critFlt3))</f>
        <v/>
      </c>
      <c r="D1693" t="str">
        <f>IF($B1693="","",SUMIFS(dAmt,dCust,$B1693,dPer,"&gt;="&amp;cyFrom,dPer,"&lt;="&amp;cyTo,dAmt,"&gt;-1E+300",dFlt1,critFlt1,dFlt2,critFlt2,dFlt3,critFlt3))</f>
        <v/>
      </c>
      <c r="E1693" t="str">
        <f>IF($B1693="","",SUMIFS(dQty,dCust,$B1693,dPer,"&gt;="&amp;pyFrom,dPer,"&lt;="&amp;pyTo,dQty,"&gt;-1E+300",dFlt1,critFlt1,dFlt2,critFlt2,dFlt3,critFlt3))</f>
        <v/>
      </c>
      <c r="F1693" t="str">
        <f>IF($B1693="","",SUMIFS(dQty,dCust,$B1693,dPer,"&gt;="&amp;cyFrom,dPer,"&lt;="&amp;cyTo,dQty,"&gt;-1E+300",dFlt1,critFlt1,dFlt2,critFlt2,dFlt3,critFlt3))</f>
        <v/>
      </c>
      <c r="G1693">
        <f>IF($B1693="",0,IFERROR(IF(OR(C1693&lt;&gt;0,D1693&lt;&gt;0,E1693&lt;&gt;0,F1693&lt;&gt;0),1,0),1))</f>
        <v>0</v>
      </c>
      <c r="H1693" t="str">
        <f>IF(OR(G1693=0,E1693=0),"",C1693/E1693)</f>
        <v/>
      </c>
      <c r="I1693" t="str">
        <f>IF(OR(G1693=0,F1693=0),"",D1693/F1693)</f>
        <v/>
      </c>
      <c r="J1693" t="str">
        <f>IF(OR(H1693="",I1693=""),"",IF(H1693=0,"",I1693/H1693-1))</f>
        <v/>
      </c>
      <c r="K1693" t="str">
        <f>IF($B1693="","",IFERROR(IF(G1693=0,-2E+300,CHOOSE(sortIdx,ROUND(D1693,0),IF(J1693="",-1E+300,ROUND(-J1693,6)),IF(J1693="",-1E+300,ROUND(J1693,6)))),-1.5E+300))</f>
        <v/>
      </c>
      <c r="L1693" t="str">
        <f>IF(K1693="","",RANK(K1693,$K$2:$K$3001,0)+COUNTIF($K$2:K1693,K1693)-1)</f>
        <v/>
      </c>
    </row>
    <row r="1694">
      <c r="B1694" t="str">
        <f>IFERROR(IF(A1694="","","="&amp;SUBSTITUTE(SUBSTITUTE(SUBSTITUTE(A1694,"~","~~"),"*","~*"),"?","~?")),"")</f>
        <v/>
      </c>
      <c r="C1694" t="str">
        <f>IF($B1694="","",SUMIFS(dAmt,dCust,$B1694,dPer,"&gt;="&amp;pyFrom,dPer,"&lt;="&amp;pyTo,dAmt,"&gt;-1E+300",dFlt1,critFlt1,dFlt2,critFlt2,dFlt3,critFlt3))</f>
        <v/>
      </c>
      <c r="D1694" t="str">
        <f>IF($B1694="","",SUMIFS(dAmt,dCust,$B1694,dPer,"&gt;="&amp;cyFrom,dPer,"&lt;="&amp;cyTo,dAmt,"&gt;-1E+300",dFlt1,critFlt1,dFlt2,critFlt2,dFlt3,critFlt3))</f>
        <v/>
      </c>
      <c r="E1694" t="str">
        <f>IF($B1694="","",SUMIFS(dQty,dCust,$B1694,dPer,"&gt;="&amp;pyFrom,dPer,"&lt;="&amp;pyTo,dQty,"&gt;-1E+300",dFlt1,critFlt1,dFlt2,critFlt2,dFlt3,critFlt3))</f>
        <v/>
      </c>
      <c r="F1694" t="str">
        <f>IF($B1694="","",SUMIFS(dQty,dCust,$B1694,dPer,"&gt;="&amp;cyFrom,dPer,"&lt;="&amp;cyTo,dQty,"&gt;-1E+300",dFlt1,critFlt1,dFlt2,critFlt2,dFlt3,critFlt3))</f>
        <v/>
      </c>
      <c r="G1694">
        <f>IF($B1694="",0,IFERROR(IF(OR(C1694&lt;&gt;0,D1694&lt;&gt;0,E1694&lt;&gt;0,F1694&lt;&gt;0),1,0),1))</f>
        <v>0</v>
      </c>
      <c r="H1694" t="str">
        <f>IF(OR(G1694=0,E1694=0),"",C1694/E1694)</f>
        <v/>
      </c>
      <c r="I1694" t="str">
        <f>IF(OR(G1694=0,F1694=0),"",D1694/F1694)</f>
        <v/>
      </c>
      <c r="J1694" t="str">
        <f>IF(OR(H1694="",I1694=""),"",IF(H1694=0,"",I1694/H1694-1))</f>
        <v/>
      </c>
      <c r="K1694" t="str">
        <f>IF($B1694="","",IFERROR(IF(G1694=0,-2E+300,CHOOSE(sortIdx,ROUND(D1694,0),IF(J1694="",-1E+300,ROUND(-J1694,6)),IF(J1694="",-1E+300,ROUND(J1694,6)))),-1.5E+300))</f>
        <v/>
      </c>
      <c r="L1694" t="str">
        <f>IF(K1694="","",RANK(K1694,$K$2:$K$3001,0)+COUNTIF($K$2:K1694,K1694)-1)</f>
        <v/>
      </c>
    </row>
    <row r="1695">
      <c r="B1695" t="str">
        <f>IFERROR(IF(A1695="","","="&amp;SUBSTITUTE(SUBSTITUTE(SUBSTITUTE(A1695,"~","~~"),"*","~*"),"?","~?")),"")</f>
        <v/>
      </c>
      <c r="C1695" t="str">
        <f>IF($B1695="","",SUMIFS(dAmt,dCust,$B1695,dPer,"&gt;="&amp;pyFrom,dPer,"&lt;="&amp;pyTo,dAmt,"&gt;-1E+300",dFlt1,critFlt1,dFlt2,critFlt2,dFlt3,critFlt3))</f>
        <v/>
      </c>
      <c r="D1695" t="str">
        <f>IF($B1695="","",SUMIFS(dAmt,dCust,$B1695,dPer,"&gt;="&amp;cyFrom,dPer,"&lt;="&amp;cyTo,dAmt,"&gt;-1E+300",dFlt1,critFlt1,dFlt2,critFlt2,dFlt3,critFlt3))</f>
        <v/>
      </c>
      <c r="E1695" t="str">
        <f>IF($B1695="","",SUMIFS(dQty,dCust,$B1695,dPer,"&gt;="&amp;pyFrom,dPer,"&lt;="&amp;pyTo,dQty,"&gt;-1E+300",dFlt1,critFlt1,dFlt2,critFlt2,dFlt3,critFlt3))</f>
        <v/>
      </c>
      <c r="F1695" t="str">
        <f>IF($B1695="","",SUMIFS(dQty,dCust,$B1695,dPer,"&gt;="&amp;cyFrom,dPer,"&lt;="&amp;cyTo,dQty,"&gt;-1E+300",dFlt1,critFlt1,dFlt2,critFlt2,dFlt3,critFlt3))</f>
        <v/>
      </c>
      <c r="G1695">
        <f>IF($B1695="",0,IFERROR(IF(OR(C1695&lt;&gt;0,D1695&lt;&gt;0,E1695&lt;&gt;0,F1695&lt;&gt;0),1,0),1))</f>
        <v>0</v>
      </c>
      <c r="H1695" t="str">
        <f>IF(OR(G1695=0,E1695=0),"",C1695/E1695)</f>
        <v/>
      </c>
      <c r="I1695" t="str">
        <f>IF(OR(G1695=0,F1695=0),"",D1695/F1695)</f>
        <v/>
      </c>
      <c r="J1695" t="str">
        <f>IF(OR(H1695="",I1695=""),"",IF(H1695=0,"",I1695/H1695-1))</f>
        <v/>
      </c>
      <c r="K1695" t="str">
        <f>IF($B1695="","",IFERROR(IF(G1695=0,-2E+300,CHOOSE(sortIdx,ROUND(D1695,0),IF(J1695="",-1E+300,ROUND(-J1695,6)),IF(J1695="",-1E+300,ROUND(J1695,6)))),-1.5E+300))</f>
        <v/>
      </c>
      <c r="L1695" t="str">
        <f>IF(K1695="","",RANK(K1695,$K$2:$K$3001,0)+COUNTIF($K$2:K1695,K1695)-1)</f>
        <v/>
      </c>
    </row>
    <row r="1696">
      <c r="B1696" t="str">
        <f>IFERROR(IF(A1696="","","="&amp;SUBSTITUTE(SUBSTITUTE(SUBSTITUTE(A1696,"~","~~"),"*","~*"),"?","~?")),"")</f>
        <v/>
      </c>
      <c r="C1696" t="str">
        <f>IF($B1696="","",SUMIFS(dAmt,dCust,$B1696,dPer,"&gt;="&amp;pyFrom,dPer,"&lt;="&amp;pyTo,dAmt,"&gt;-1E+300",dFlt1,critFlt1,dFlt2,critFlt2,dFlt3,critFlt3))</f>
        <v/>
      </c>
      <c r="D1696" t="str">
        <f>IF($B1696="","",SUMIFS(dAmt,dCust,$B1696,dPer,"&gt;="&amp;cyFrom,dPer,"&lt;="&amp;cyTo,dAmt,"&gt;-1E+300",dFlt1,critFlt1,dFlt2,critFlt2,dFlt3,critFlt3))</f>
        <v/>
      </c>
      <c r="E1696" t="str">
        <f>IF($B1696="","",SUMIFS(dQty,dCust,$B1696,dPer,"&gt;="&amp;pyFrom,dPer,"&lt;="&amp;pyTo,dQty,"&gt;-1E+300",dFlt1,critFlt1,dFlt2,critFlt2,dFlt3,critFlt3))</f>
        <v/>
      </c>
      <c r="F1696" t="str">
        <f>IF($B1696="","",SUMIFS(dQty,dCust,$B1696,dPer,"&gt;="&amp;cyFrom,dPer,"&lt;="&amp;cyTo,dQty,"&gt;-1E+300",dFlt1,critFlt1,dFlt2,critFlt2,dFlt3,critFlt3))</f>
        <v/>
      </c>
      <c r="G1696">
        <f>IF($B1696="",0,IFERROR(IF(OR(C1696&lt;&gt;0,D1696&lt;&gt;0,E1696&lt;&gt;0,F1696&lt;&gt;0),1,0),1))</f>
        <v>0</v>
      </c>
      <c r="H1696" t="str">
        <f>IF(OR(G1696=0,E1696=0),"",C1696/E1696)</f>
        <v/>
      </c>
      <c r="I1696" t="str">
        <f>IF(OR(G1696=0,F1696=0),"",D1696/F1696)</f>
        <v/>
      </c>
      <c r="J1696" t="str">
        <f>IF(OR(H1696="",I1696=""),"",IF(H1696=0,"",I1696/H1696-1))</f>
        <v/>
      </c>
      <c r="K1696" t="str">
        <f>IF($B1696="","",IFERROR(IF(G1696=0,-2E+300,CHOOSE(sortIdx,ROUND(D1696,0),IF(J1696="",-1E+300,ROUND(-J1696,6)),IF(J1696="",-1E+300,ROUND(J1696,6)))),-1.5E+300))</f>
        <v/>
      </c>
      <c r="L1696" t="str">
        <f>IF(K1696="","",RANK(K1696,$K$2:$K$3001,0)+COUNTIF($K$2:K1696,K1696)-1)</f>
        <v/>
      </c>
    </row>
    <row r="1697">
      <c r="B1697" t="str">
        <f>IFERROR(IF(A1697="","","="&amp;SUBSTITUTE(SUBSTITUTE(SUBSTITUTE(A1697,"~","~~"),"*","~*"),"?","~?")),"")</f>
        <v/>
      </c>
      <c r="C1697" t="str">
        <f>IF($B1697="","",SUMIFS(dAmt,dCust,$B1697,dPer,"&gt;="&amp;pyFrom,dPer,"&lt;="&amp;pyTo,dAmt,"&gt;-1E+300",dFlt1,critFlt1,dFlt2,critFlt2,dFlt3,critFlt3))</f>
        <v/>
      </c>
      <c r="D1697" t="str">
        <f>IF($B1697="","",SUMIFS(dAmt,dCust,$B1697,dPer,"&gt;="&amp;cyFrom,dPer,"&lt;="&amp;cyTo,dAmt,"&gt;-1E+300",dFlt1,critFlt1,dFlt2,critFlt2,dFlt3,critFlt3))</f>
        <v/>
      </c>
      <c r="E1697" t="str">
        <f>IF($B1697="","",SUMIFS(dQty,dCust,$B1697,dPer,"&gt;="&amp;pyFrom,dPer,"&lt;="&amp;pyTo,dQty,"&gt;-1E+300",dFlt1,critFlt1,dFlt2,critFlt2,dFlt3,critFlt3))</f>
        <v/>
      </c>
      <c r="F1697" t="str">
        <f>IF($B1697="","",SUMIFS(dQty,dCust,$B1697,dPer,"&gt;="&amp;cyFrom,dPer,"&lt;="&amp;cyTo,dQty,"&gt;-1E+300",dFlt1,critFlt1,dFlt2,critFlt2,dFlt3,critFlt3))</f>
        <v/>
      </c>
      <c r="G1697">
        <f>IF($B1697="",0,IFERROR(IF(OR(C1697&lt;&gt;0,D1697&lt;&gt;0,E1697&lt;&gt;0,F1697&lt;&gt;0),1,0),1))</f>
        <v>0</v>
      </c>
      <c r="H1697" t="str">
        <f>IF(OR(G1697=0,E1697=0),"",C1697/E1697)</f>
        <v/>
      </c>
      <c r="I1697" t="str">
        <f>IF(OR(G1697=0,F1697=0),"",D1697/F1697)</f>
        <v/>
      </c>
      <c r="J1697" t="str">
        <f>IF(OR(H1697="",I1697=""),"",IF(H1697=0,"",I1697/H1697-1))</f>
        <v/>
      </c>
      <c r="K1697" t="str">
        <f>IF($B1697="","",IFERROR(IF(G1697=0,-2E+300,CHOOSE(sortIdx,ROUND(D1697,0),IF(J1697="",-1E+300,ROUND(-J1697,6)),IF(J1697="",-1E+300,ROUND(J1697,6)))),-1.5E+300))</f>
        <v/>
      </c>
      <c r="L1697" t="str">
        <f>IF(K1697="","",RANK(K1697,$K$2:$K$3001,0)+COUNTIF($K$2:K1697,K1697)-1)</f>
        <v/>
      </c>
    </row>
    <row r="1698">
      <c r="B1698" t="str">
        <f>IFERROR(IF(A1698="","","="&amp;SUBSTITUTE(SUBSTITUTE(SUBSTITUTE(A1698,"~","~~"),"*","~*"),"?","~?")),"")</f>
        <v/>
      </c>
      <c r="C1698" t="str">
        <f>IF($B1698="","",SUMIFS(dAmt,dCust,$B1698,dPer,"&gt;="&amp;pyFrom,dPer,"&lt;="&amp;pyTo,dAmt,"&gt;-1E+300",dFlt1,critFlt1,dFlt2,critFlt2,dFlt3,critFlt3))</f>
        <v/>
      </c>
      <c r="D1698" t="str">
        <f>IF($B1698="","",SUMIFS(dAmt,dCust,$B1698,dPer,"&gt;="&amp;cyFrom,dPer,"&lt;="&amp;cyTo,dAmt,"&gt;-1E+300",dFlt1,critFlt1,dFlt2,critFlt2,dFlt3,critFlt3))</f>
        <v/>
      </c>
      <c r="E1698" t="str">
        <f>IF($B1698="","",SUMIFS(dQty,dCust,$B1698,dPer,"&gt;="&amp;pyFrom,dPer,"&lt;="&amp;pyTo,dQty,"&gt;-1E+300",dFlt1,critFlt1,dFlt2,critFlt2,dFlt3,critFlt3))</f>
        <v/>
      </c>
      <c r="F1698" t="str">
        <f>IF($B1698="","",SUMIFS(dQty,dCust,$B1698,dPer,"&gt;="&amp;cyFrom,dPer,"&lt;="&amp;cyTo,dQty,"&gt;-1E+300",dFlt1,critFlt1,dFlt2,critFlt2,dFlt3,critFlt3))</f>
        <v/>
      </c>
      <c r="G1698">
        <f>IF($B1698="",0,IFERROR(IF(OR(C1698&lt;&gt;0,D1698&lt;&gt;0,E1698&lt;&gt;0,F1698&lt;&gt;0),1,0),1))</f>
        <v>0</v>
      </c>
      <c r="H1698" t="str">
        <f>IF(OR(G1698=0,E1698=0),"",C1698/E1698)</f>
        <v/>
      </c>
      <c r="I1698" t="str">
        <f>IF(OR(G1698=0,F1698=0),"",D1698/F1698)</f>
        <v/>
      </c>
      <c r="J1698" t="str">
        <f>IF(OR(H1698="",I1698=""),"",IF(H1698=0,"",I1698/H1698-1))</f>
        <v/>
      </c>
      <c r="K1698" t="str">
        <f>IF($B1698="","",IFERROR(IF(G1698=0,-2E+300,CHOOSE(sortIdx,ROUND(D1698,0),IF(J1698="",-1E+300,ROUND(-J1698,6)),IF(J1698="",-1E+300,ROUND(J1698,6)))),-1.5E+300))</f>
        <v/>
      </c>
      <c r="L1698" t="str">
        <f>IF(K1698="","",RANK(K1698,$K$2:$K$3001,0)+COUNTIF($K$2:K1698,K1698)-1)</f>
        <v/>
      </c>
    </row>
    <row r="1699">
      <c r="B1699" t="str">
        <f>IFERROR(IF(A1699="","","="&amp;SUBSTITUTE(SUBSTITUTE(SUBSTITUTE(A1699,"~","~~"),"*","~*"),"?","~?")),"")</f>
        <v/>
      </c>
      <c r="C1699" t="str">
        <f>IF($B1699="","",SUMIFS(dAmt,dCust,$B1699,dPer,"&gt;="&amp;pyFrom,dPer,"&lt;="&amp;pyTo,dAmt,"&gt;-1E+300",dFlt1,critFlt1,dFlt2,critFlt2,dFlt3,critFlt3))</f>
        <v/>
      </c>
      <c r="D1699" t="str">
        <f>IF($B1699="","",SUMIFS(dAmt,dCust,$B1699,dPer,"&gt;="&amp;cyFrom,dPer,"&lt;="&amp;cyTo,dAmt,"&gt;-1E+300",dFlt1,critFlt1,dFlt2,critFlt2,dFlt3,critFlt3))</f>
        <v/>
      </c>
      <c r="E1699" t="str">
        <f>IF($B1699="","",SUMIFS(dQty,dCust,$B1699,dPer,"&gt;="&amp;pyFrom,dPer,"&lt;="&amp;pyTo,dQty,"&gt;-1E+300",dFlt1,critFlt1,dFlt2,critFlt2,dFlt3,critFlt3))</f>
        <v/>
      </c>
      <c r="F1699" t="str">
        <f>IF($B1699="","",SUMIFS(dQty,dCust,$B1699,dPer,"&gt;="&amp;cyFrom,dPer,"&lt;="&amp;cyTo,dQty,"&gt;-1E+300",dFlt1,critFlt1,dFlt2,critFlt2,dFlt3,critFlt3))</f>
        <v/>
      </c>
      <c r="G1699">
        <f>IF($B1699="",0,IFERROR(IF(OR(C1699&lt;&gt;0,D1699&lt;&gt;0,E1699&lt;&gt;0,F1699&lt;&gt;0),1,0),1))</f>
        <v>0</v>
      </c>
      <c r="H1699" t="str">
        <f>IF(OR(G1699=0,E1699=0),"",C1699/E1699)</f>
        <v/>
      </c>
      <c r="I1699" t="str">
        <f>IF(OR(G1699=0,F1699=0),"",D1699/F1699)</f>
        <v/>
      </c>
      <c r="J1699" t="str">
        <f>IF(OR(H1699="",I1699=""),"",IF(H1699=0,"",I1699/H1699-1))</f>
        <v/>
      </c>
      <c r="K1699" t="str">
        <f>IF($B1699="","",IFERROR(IF(G1699=0,-2E+300,CHOOSE(sortIdx,ROUND(D1699,0),IF(J1699="",-1E+300,ROUND(-J1699,6)),IF(J1699="",-1E+300,ROUND(J1699,6)))),-1.5E+300))</f>
        <v/>
      </c>
      <c r="L1699" t="str">
        <f>IF(K1699="","",RANK(K1699,$K$2:$K$3001,0)+COUNTIF($K$2:K1699,K1699)-1)</f>
        <v/>
      </c>
    </row>
    <row r="1700">
      <c r="B1700" t="str">
        <f>IFERROR(IF(A1700="","","="&amp;SUBSTITUTE(SUBSTITUTE(SUBSTITUTE(A1700,"~","~~"),"*","~*"),"?","~?")),"")</f>
        <v/>
      </c>
      <c r="C1700" t="str">
        <f>IF($B1700="","",SUMIFS(dAmt,dCust,$B1700,dPer,"&gt;="&amp;pyFrom,dPer,"&lt;="&amp;pyTo,dAmt,"&gt;-1E+300",dFlt1,critFlt1,dFlt2,critFlt2,dFlt3,critFlt3))</f>
        <v/>
      </c>
      <c r="D1700" t="str">
        <f>IF($B1700="","",SUMIFS(dAmt,dCust,$B1700,dPer,"&gt;="&amp;cyFrom,dPer,"&lt;="&amp;cyTo,dAmt,"&gt;-1E+300",dFlt1,critFlt1,dFlt2,critFlt2,dFlt3,critFlt3))</f>
        <v/>
      </c>
      <c r="E1700" t="str">
        <f>IF($B1700="","",SUMIFS(dQty,dCust,$B1700,dPer,"&gt;="&amp;pyFrom,dPer,"&lt;="&amp;pyTo,dQty,"&gt;-1E+300",dFlt1,critFlt1,dFlt2,critFlt2,dFlt3,critFlt3))</f>
        <v/>
      </c>
      <c r="F1700" t="str">
        <f>IF($B1700="","",SUMIFS(dQty,dCust,$B1700,dPer,"&gt;="&amp;cyFrom,dPer,"&lt;="&amp;cyTo,dQty,"&gt;-1E+300",dFlt1,critFlt1,dFlt2,critFlt2,dFlt3,critFlt3))</f>
        <v/>
      </c>
      <c r="G1700">
        <f>IF($B1700="",0,IFERROR(IF(OR(C1700&lt;&gt;0,D1700&lt;&gt;0,E1700&lt;&gt;0,F1700&lt;&gt;0),1,0),1))</f>
        <v>0</v>
      </c>
      <c r="H1700" t="str">
        <f>IF(OR(G1700=0,E1700=0),"",C1700/E1700)</f>
        <v/>
      </c>
      <c r="I1700" t="str">
        <f>IF(OR(G1700=0,F1700=0),"",D1700/F1700)</f>
        <v/>
      </c>
      <c r="J1700" t="str">
        <f>IF(OR(H1700="",I1700=""),"",IF(H1700=0,"",I1700/H1700-1))</f>
        <v/>
      </c>
      <c r="K1700" t="str">
        <f>IF($B1700="","",IFERROR(IF(G1700=0,-2E+300,CHOOSE(sortIdx,ROUND(D1700,0),IF(J1700="",-1E+300,ROUND(-J1700,6)),IF(J1700="",-1E+300,ROUND(J1700,6)))),-1.5E+300))</f>
        <v/>
      </c>
      <c r="L1700" t="str">
        <f>IF(K1700="","",RANK(K1700,$K$2:$K$3001,0)+COUNTIF($K$2:K1700,K1700)-1)</f>
        <v/>
      </c>
    </row>
    <row r="1701">
      <c r="B1701" t="str">
        <f>IFERROR(IF(A1701="","","="&amp;SUBSTITUTE(SUBSTITUTE(SUBSTITUTE(A1701,"~","~~"),"*","~*"),"?","~?")),"")</f>
        <v/>
      </c>
      <c r="C1701" t="str">
        <f>IF($B1701="","",SUMIFS(dAmt,dCust,$B1701,dPer,"&gt;="&amp;pyFrom,dPer,"&lt;="&amp;pyTo,dAmt,"&gt;-1E+300",dFlt1,critFlt1,dFlt2,critFlt2,dFlt3,critFlt3))</f>
        <v/>
      </c>
      <c r="D1701" t="str">
        <f>IF($B1701="","",SUMIFS(dAmt,dCust,$B1701,dPer,"&gt;="&amp;cyFrom,dPer,"&lt;="&amp;cyTo,dAmt,"&gt;-1E+300",dFlt1,critFlt1,dFlt2,critFlt2,dFlt3,critFlt3))</f>
        <v/>
      </c>
      <c r="E1701" t="str">
        <f>IF($B1701="","",SUMIFS(dQty,dCust,$B1701,dPer,"&gt;="&amp;pyFrom,dPer,"&lt;="&amp;pyTo,dQty,"&gt;-1E+300",dFlt1,critFlt1,dFlt2,critFlt2,dFlt3,critFlt3))</f>
        <v/>
      </c>
      <c r="F1701" t="str">
        <f>IF($B1701="","",SUMIFS(dQty,dCust,$B1701,dPer,"&gt;="&amp;cyFrom,dPer,"&lt;="&amp;cyTo,dQty,"&gt;-1E+300",dFlt1,critFlt1,dFlt2,critFlt2,dFlt3,critFlt3))</f>
        <v/>
      </c>
      <c r="G1701">
        <f>IF($B1701="",0,IFERROR(IF(OR(C1701&lt;&gt;0,D1701&lt;&gt;0,E1701&lt;&gt;0,F1701&lt;&gt;0),1,0),1))</f>
        <v>0</v>
      </c>
      <c r="H1701" t="str">
        <f>IF(OR(G1701=0,E1701=0),"",C1701/E1701)</f>
        <v/>
      </c>
      <c r="I1701" t="str">
        <f>IF(OR(G1701=0,F1701=0),"",D1701/F1701)</f>
        <v/>
      </c>
      <c r="J1701" t="str">
        <f>IF(OR(H1701="",I1701=""),"",IF(H1701=0,"",I1701/H1701-1))</f>
        <v/>
      </c>
      <c r="K1701" t="str">
        <f>IF($B1701="","",IFERROR(IF(G1701=0,-2E+300,CHOOSE(sortIdx,ROUND(D1701,0),IF(J1701="",-1E+300,ROUND(-J1701,6)),IF(J1701="",-1E+300,ROUND(J1701,6)))),-1.5E+300))</f>
        <v/>
      </c>
      <c r="L1701" t="str">
        <f>IF(K1701="","",RANK(K1701,$K$2:$K$3001,0)+COUNTIF($K$2:K1701,K1701)-1)</f>
        <v/>
      </c>
    </row>
    <row r="1702">
      <c r="B1702" t="str">
        <f>IFERROR(IF(A1702="","","="&amp;SUBSTITUTE(SUBSTITUTE(SUBSTITUTE(A1702,"~","~~"),"*","~*"),"?","~?")),"")</f>
        <v/>
      </c>
      <c r="C1702" t="str">
        <f>IF($B1702="","",SUMIFS(dAmt,dCust,$B1702,dPer,"&gt;="&amp;pyFrom,dPer,"&lt;="&amp;pyTo,dAmt,"&gt;-1E+300",dFlt1,critFlt1,dFlt2,critFlt2,dFlt3,critFlt3))</f>
        <v/>
      </c>
      <c r="D1702" t="str">
        <f>IF($B1702="","",SUMIFS(dAmt,dCust,$B1702,dPer,"&gt;="&amp;cyFrom,dPer,"&lt;="&amp;cyTo,dAmt,"&gt;-1E+300",dFlt1,critFlt1,dFlt2,critFlt2,dFlt3,critFlt3))</f>
        <v/>
      </c>
      <c r="E1702" t="str">
        <f>IF($B1702="","",SUMIFS(dQty,dCust,$B1702,dPer,"&gt;="&amp;pyFrom,dPer,"&lt;="&amp;pyTo,dQty,"&gt;-1E+300",dFlt1,critFlt1,dFlt2,critFlt2,dFlt3,critFlt3))</f>
        <v/>
      </c>
      <c r="F1702" t="str">
        <f>IF($B1702="","",SUMIFS(dQty,dCust,$B1702,dPer,"&gt;="&amp;cyFrom,dPer,"&lt;="&amp;cyTo,dQty,"&gt;-1E+300",dFlt1,critFlt1,dFlt2,critFlt2,dFlt3,critFlt3))</f>
        <v/>
      </c>
      <c r="G1702">
        <f>IF($B1702="",0,IFERROR(IF(OR(C1702&lt;&gt;0,D1702&lt;&gt;0,E1702&lt;&gt;0,F1702&lt;&gt;0),1,0),1))</f>
        <v>0</v>
      </c>
      <c r="H1702" t="str">
        <f>IF(OR(G1702=0,E1702=0),"",C1702/E1702)</f>
        <v/>
      </c>
      <c r="I1702" t="str">
        <f>IF(OR(G1702=0,F1702=0),"",D1702/F1702)</f>
        <v/>
      </c>
      <c r="J1702" t="str">
        <f>IF(OR(H1702="",I1702=""),"",IF(H1702=0,"",I1702/H1702-1))</f>
        <v/>
      </c>
      <c r="K1702" t="str">
        <f>IF($B1702="","",IFERROR(IF(G1702=0,-2E+300,CHOOSE(sortIdx,ROUND(D1702,0),IF(J1702="",-1E+300,ROUND(-J1702,6)),IF(J1702="",-1E+300,ROUND(J1702,6)))),-1.5E+300))</f>
        <v/>
      </c>
      <c r="L1702" t="str">
        <f>IF(K1702="","",RANK(K1702,$K$2:$K$3001,0)+COUNTIF($K$2:K1702,K1702)-1)</f>
        <v/>
      </c>
    </row>
    <row r="1703">
      <c r="B1703" t="str">
        <f>IFERROR(IF(A1703="","","="&amp;SUBSTITUTE(SUBSTITUTE(SUBSTITUTE(A1703,"~","~~"),"*","~*"),"?","~?")),"")</f>
        <v/>
      </c>
      <c r="C1703" t="str">
        <f>IF($B1703="","",SUMIFS(dAmt,dCust,$B1703,dPer,"&gt;="&amp;pyFrom,dPer,"&lt;="&amp;pyTo,dAmt,"&gt;-1E+300",dFlt1,critFlt1,dFlt2,critFlt2,dFlt3,critFlt3))</f>
        <v/>
      </c>
      <c r="D1703" t="str">
        <f>IF($B1703="","",SUMIFS(dAmt,dCust,$B1703,dPer,"&gt;="&amp;cyFrom,dPer,"&lt;="&amp;cyTo,dAmt,"&gt;-1E+300",dFlt1,critFlt1,dFlt2,critFlt2,dFlt3,critFlt3))</f>
        <v/>
      </c>
      <c r="E1703" t="str">
        <f>IF($B1703="","",SUMIFS(dQty,dCust,$B1703,dPer,"&gt;="&amp;pyFrom,dPer,"&lt;="&amp;pyTo,dQty,"&gt;-1E+300",dFlt1,critFlt1,dFlt2,critFlt2,dFlt3,critFlt3))</f>
        <v/>
      </c>
      <c r="F1703" t="str">
        <f>IF($B1703="","",SUMIFS(dQty,dCust,$B1703,dPer,"&gt;="&amp;cyFrom,dPer,"&lt;="&amp;cyTo,dQty,"&gt;-1E+300",dFlt1,critFlt1,dFlt2,critFlt2,dFlt3,critFlt3))</f>
        <v/>
      </c>
      <c r="G1703">
        <f>IF($B1703="",0,IFERROR(IF(OR(C1703&lt;&gt;0,D1703&lt;&gt;0,E1703&lt;&gt;0,F1703&lt;&gt;0),1,0),1))</f>
        <v>0</v>
      </c>
      <c r="H1703" t="str">
        <f>IF(OR(G1703=0,E1703=0),"",C1703/E1703)</f>
        <v/>
      </c>
      <c r="I1703" t="str">
        <f>IF(OR(G1703=0,F1703=0),"",D1703/F1703)</f>
        <v/>
      </c>
      <c r="J1703" t="str">
        <f>IF(OR(H1703="",I1703=""),"",IF(H1703=0,"",I1703/H1703-1))</f>
        <v/>
      </c>
      <c r="K1703" t="str">
        <f>IF($B1703="","",IFERROR(IF(G1703=0,-2E+300,CHOOSE(sortIdx,ROUND(D1703,0),IF(J1703="",-1E+300,ROUND(-J1703,6)),IF(J1703="",-1E+300,ROUND(J1703,6)))),-1.5E+300))</f>
        <v/>
      </c>
      <c r="L1703" t="str">
        <f>IF(K1703="","",RANK(K1703,$K$2:$K$3001,0)+COUNTIF($K$2:K1703,K1703)-1)</f>
        <v/>
      </c>
    </row>
    <row r="1704">
      <c r="B1704" t="str">
        <f>IFERROR(IF(A1704="","","="&amp;SUBSTITUTE(SUBSTITUTE(SUBSTITUTE(A1704,"~","~~"),"*","~*"),"?","~?")),"")</f>
        <v/>
      </c>
      <c r="C1704" t="str">
        <f>IF($B1704="","",SUMIFS(dAmt,dCust,$B1704,dPer,"&gt;="&amp;pyFrom,dPer,"&lt;="&amp;pyTo,dAmt,"&gt;-1E+300",dFlt1,critFlt1,dFlt2,critFlt2,dFlt3,critFlt3))</f>
        <v/>
      </c>
      <c r="D1704" t="str">
        <f>IF($B1704="","",SUMIFS(dAmt,dCust,$B1704,dPer,"&gt;="&amp;cyFrom,dPer,"&lt;="&amp;cyTo,dAmt,"&gt;-1E+300",dFlt1,critFlt1,dFlt2,critFlt2,dFlt3,critFlt3))</f>
        <v/>
      </c>
      <c r="E1704" t="str">
        <f>IF($B1704="","",SUMIFS(dQty,dCust,$B1704,dPer,"&gt;="&amp;pyFrom,dPer,"&lt;="&amp;pyTo,dQty,"&gt;-1E+300",dFlt1,critFlt1,dFlt2,critFlt2,dFlt3,critFlt3))</f>
        <v/>
      </c>
      <c r="F1704" t="str">
        <f>IF($B1704="","",SUMIFS(dQty,dCust,$B1704,dPer,"&gt;="&amp;cyFrom,dPer,"&lt;="&amp;cyTo,dQty,"&gt;-1E+300",dFlt1,critFlt1,dFlt2,critFlt2,dFlt3,critFlt3))</f>
        <v/>
      </c>
      <c r="G1704">
        <f>IF($B1704="",0,IFERROR(IF(OR(C1704&lt;&gt;0,D1704&lt;&gt;0,E1704&lt;&gt;0,F1704&lt;&gt;0),1,0),1))</f>
        <v>0</v>
      </c>
      <c r="H1704" t="str">
        <f>IF(OR(G1704=0,E1704=0),"",C1704/E1704)</f>
        <v/>
      </c>
      <c r="I1704" t="str">
        <f>IF(OR(G1704=0,F1704=0),"",D1704/F1704)</f>
        <v/>
      </c>
      <c r="J1704" t="str">
        <f>IF(OR(H1704="",I1704=""),"",IF(H1704=0,"",I1704/H1704-1))</f>
        <v/>
      </c>
      <c r="K1704" t="str">
        <f>IF($B1704="","",IFERROR(IF(G1704=0,-2E+300,CHOOSE(sortIdx,ROUND(D1704,0),IF(J1704="",-1E+300,ROUND(-J1704,6)),IF(J1704="",-1E+300,ROUND(J1704,6)))),-1.5E+300))</f>
        <v/>
      </c>
      <c r="L1704" t="str">
        <f>IF(K1704="","",RANK(K1704,$K$2:$K$3001,0)+COUNTIF($K$2:K1704,K1704)-1)</f>
        <v/>
      </c>
    </row>
    <row r="1705">
      <c r="B1705" t="str">
        <f>IFERROR(IF(A1705="","","="&amp;SUBSTITUTE(SUBSTITUTE(SUBSTITUTE(A1705,"~","~~"),"*","~*"),"?","~?")),"")</f>
        <v/>
      </c>
      <c r="C1705" t="str">
        <f>IF($B1705="","",SUMIFS(dAmt,dCust,$B1705,dPer,"&gt;="&amp;pyFrom,dPer,"&lt;="&amp;pyTo,dAmt,"&gt;-1E+300",dFlt1,critFlt1,dFlt2,critFlt2,dFlt3,critFlt3))</f>
        <v/>
      </c>
      <c r="D1705" t="str">
        <f>IF($B1705="","",SUMIFS(dAmt,dCust,$B1705,dPer,"&gt;="&amp;cyFrom,dPer,"&lt;="&amp;cyTo,dAmt,"&gt;-1E+300",dFlt1,critFlt1,dFlt2,critFlt2,dFlt3,critFlt3))</f>
        <v/>
      </c>
      <c r="E1705" t="str">
        <f>IF($B1705="","",SUMIFS(dQty,dCust,$B1705,dPer,"&gt;="&amp;pyFrom,dPer,"&lt;="&amp;pyTo,dQty,"&gt;-1E+300",dFlt1,critFlt1,dFlt2,critFlt2,dFlt3,critFlt3))</f>
        <v/>
      </c>
      <c r="F1705" t="str">
        <f>IF($B1705="","",SUMIFS(dQty,dCust,$B1705,dPer,"&gt;="&amp;cyFrom,dPer,"&lt;="&amp;cyTo,dQty,"&gt;-1E+300",dFlt1,critFlt1,dFlt2,critFlt2,dFlt3,critFlt3))</f>
        <v/>
      </c>
      <c r="G1705">
        <f>IF($B1705="",0,IFERROR(IF(OR(C1705&lt;&gt;0,D1705&lt;&gt;0,E1705&lt;&gt;0,F1705&lt;&gt;0),1,0),1))</f>
        <v>0</v>
      </c>
      <c r="H1705" t="str">
        <f>IF(OR(G1705=0,E1705=0),"",C1705/E1705)</f>
        <v/>
      </c>
      <c r="I1705" t="str">
        <f>IF(OR(G1705=0,F1705=0),"",D1705/F1705)</f>
        <v/>
      </c>
      <c r="J1705" t="str">
        <f>IF(OR(H1705="",I1705=""),"",IF(H1705=0,"",I1705/H1705-1))</f>
        <v/>
      </c>
      <c r="K1705" t="str">
        <f>IF($B1705="","",IFERROR(IF(G1705=0,-2E+300,CHOOSE(sortIdx,ROUND(D1705,0),IF(J1705="",-1E+300,ROUND(-J1705,6)),IF(J1705="",-1E+300,ROUND(J1705,6)))),-1.5E+300))</f>
        <v/>
      </c>
      <c r="L1705" t="str">
        <f>IF(K1705="","",RANK(K1705,$K$2:$K$3001,0)+COUNTIF($K$2:K1705,K1705)-1)</f>
        <v/>
      </c>
    </row>
    <row r="1706">
      <c r="B1706" t="str">
        <f>IFERROR(IF(A1706="","","="&amp;SUBSTITUTE(SUBSTITUTE(SUBSTITUTE(A1706,"~","~~"),"*","~*"),"?","~?")),"")</f>
        <v/>
      </c>
      <c r="C1706" t="str">
        <f>IF($B1706="","",SUMIFS(dAmt,dCust,$B1706,dPer,"&gt;="&amp;pyFrom,dPer,"&lt;="&amp;pyTo,dAmt,"&gt;-1E+300",dFlt1,critFlt1,dFlt2,critFlt2,dFlt3,critFlt3))</f>
        <v/>
      </c>
      <c r="D1706" t="str">
        <f>IF($B1706="","",SUMIFS(dAmt,dCust,$B1706,dPer,"&gt;="&amp;cyFrom,dPer,"&lt;="&amp;cyTo,dAmt,"&gt;-1E+300",dFlt1,critFlt1,dFlt2,critFlt2,dFlt3,critFlt3))</f>
        <v/>
      </c>
      <c r="E1706" t="str">
        <f>IF($B1706="","",SUMIFS(dQty,dCust,$B1706,dPer,"&gt;="&amp;pyFrom,dPer,"&lt;="&amp;pyTo,dQty,"&gt;-1E+300",dFlt1,critFlt1,dFlt2,critFlt2,dFlt3,critFlt3))</f>
        <v/>
      </c>
      <c r="F1706" t="str">
        <f>IF($B1706="","",SUMIFS(dQty,dCust,$B1706,dPer,"&gt;="&amp;cyFrom,dPer,"&lt;="&amp;cyTo,dQty,"&gt;-1E+300",dFlt1,critFlt1,dFlt2,critFlt2,dFlt3,critFlt3))</f>
        <v/>
      </c>
      <c r="G1706">
        <f>IF($B1706="",0,IFERROR(IF(OR(C1706&lt;&gt;0,D1706&lt;&gt;0,E1706&lt;&gt;0,F1706&lt;&gt;0),1,0),1))</f>
        <v>0</v>
      </c>
      <c r="H1706" t="str">
        <f>IF(OR(G1706=0,E1706=0),"",C1706/E1706)</f>
        <v/>
      </c>
      <c r="I1706" t="str">
        <f>IF(OR(G1706=0,F1706=0),"",D1706/F1706)</f>
        <v/>
      </c>
      <c r="J1706" t="str">
        <f>IF(OR(H1706="",I1706=""),"",IF(H1706=0,"",I1706/H1706-1))</f>
        <v/>
      </c>
      <c r="K1706" t="str">
        <f>IF($B1706="","",IFERROR(IF(G1706=0,-2E+300,CHOOSE(sortIdx,ROUND(D1706,0),IF(J1706="",-1E+300,ROUND(-J1706,6)),IF(J1706="",-1E+300,ROUND(J1706,6)))),-1.5E+300))</f>
        <v/>
      </c>
      <c r="L1706" t="str">
        <f>IF(K1706="","",RANK(K1706,$K$2:$K$3001,0)+COUNTIF($K$2:K1706,K1706)-1)</f>
        <v/>
      </c>
    </row>
    <row r="1707">
      <c r="B1707" t="str">
        <f>IFERROR(IF(A1707="","","="&amp;SUBSTITUTE(SUBSTITUTE(SUBSTITUTE(A1707,"~","~~"),"*","~*"),"?","~?")),"")</f>
        <v/>
      </c>
      <c r="C1707" t="str">
        <f>IF($B1707="","",SUMIFS(dAmt,dCust,$B1707,dPer,"&gt;="&amp;pyFrom,dPer,"&lt;="&amp;pyTo,dAmt,"&gt;-1E+300",dFlt1,critFlt1,dFlt2,critFlt2,dFlt3,critFlt3))</f>
        <v/>
      </c>
      <c r="D1707" t="str">
        <f>IF($B1707="","",SUMIFS(dAmt,dCust,$B1707,dPer,"&gt;="&amp;cyFrom,dPer,"&lt;="&amp;cyTo,dAmt,"&gt;-1E+300",dFlt1,critFlt1,dFlt2,critFlt2,dFlt3,critFlt3))</f>
        <v/>
      </c>
      <c r="E1707" t="str">
        <f>IF($B1707="","",SUMIFS(dQty,dCust,$B1707,dPer,"&gt;="&amp;pyFrom,dPer,"&lt;="&amp;pyTo,dQty,"&gt;-1E+300",dFlt1,critFlt1,dFlt2,critFlt2,dFlt3,critFlt3))</f>
        <v/>
      </c>
      <c r="F1707" t="str">
        <f>IF($B1707="","",SUMIFS(dQty,dCust,$B1707,dPer,"&gt;="&amp;cyFrom,dPer,"&lt;="&amp;cyTo,dQty,"&gt;-1E+300",dFlt1,critFlt1,dFlt2,critFlt2,dFlt3,critFlt3))</f>
        <v/>
      </c>
      <c r="G1707">
        <f>IF($B1707="",0,IFERROR(IF(OR(C1707&lt;&gt;0,D1707&lt;&gt;0,E1707&lt;&gt;0,F1707&lt;&gt;0),1,0),1))</f>
        <v>0</v>
      </c>
      <c r="H1707" t="str">
        <f>IF(OR(G1707=0,E1707=0),"",C1707/E1707)</f>
        <v/>
      </c>
      <c r="I1707" t="str">
        <f>IF(OR(G1707=0,F1707=0),"",D1707/F1707)</f>
        <v/>
      </c>
      <c r="J1707" t="str">
        <f>IF(OR(H1707="",I1707=""),"",IF(H1707=0,"",I1707/H1707-1))</f>
        <v/>
      </c>
      <c r="K1707" t="str">
        <f>IF($B1707="","",IFERROR(IF(G1707=0,-2E+300,CHOOSE(sortIdx,ROUND(D1707,0),IF(J1707="",-1E+300,ROUND(-J1707,6)),IF(J1707="",-1E+300,ROUND(J1707,6)))),-1.5E+300))</f>
        <v/>
      </c>
      <c r="L1707" t="str">
        <f>IF(K1707="","",RANK(K1707,$K$2:$K$3001,0)+COUNTIF($K$2:K1707,K1707)-1)</f>
        <v/>
      </c>
    </row>
    <row r="1708">
      <c r="B1708" t="str">
        <f>IFERROR(IF(A1708="","","="&amp;SUBSTITUTE(SUBSTITUTE(SUBSTITUTE(A1708,"~","~~"),"*","~*"),"?","~?")),"")</f>
        <v/>
      </c>
      <c r="C1708" t="str">
        <f>IF($B1708="","",SUMIFS(dAmt,dCust,$B1708,dPer,"&gt;="&amp;pyFrom,dPer,"&lt;="&amp;pyTo,dAmt,"&gt;-1E+300",dFlt1,critFlt1,dFlt2,critFlt2,dFlt3,critFlt3))</f>
        <v/>
      </c>
      <c r="D1708" t="str">
        <f>IF($B1708="","",SUMIFS(dAmt,dCust,$B1708,dPer,"&gt;="&amp;cyFrom,dPer,"&lt;="&amp;cyTo,dAmt,"&gt;-1E+300",dFlt1,critFlt1,dFlt2,critFlt2,dFlt3,critFlt3))</f>
        <v/>
      </c>
      <c r="E1708" t="str">
        <f>IF($B1708="","",SUMIFS(dQty,dCust,$B1708,dPer,"&gt;="&amp;pyFrom,dPer,"&lt;="&amp;pyTo,dQty,"&gt;-1E+300",dFlt1,critFlt1,dFlt2,critFlt2,dFlt3,critFlt3))</f>
        <v/>
      </c>
      <c r="F1708" t="str">
        <f>IF($B1708="","",SUMIFS(dQty,dCust,$B1708,dPer,"&gt;="&amp;cyFrom,dPer,"&lt;="&amp;cyTo,dQty,"&gt;-1E+300",dFlt1,critFlt1,dFlt2,critFlt2,dFlt3,critFlt3))</f>
        <v/>
      </c>
      <c r="G1708">
        <f>IF($B1708="",0,IFERROR(IF(OR(C1708&lt;&gt;0,D1708&lt;&gt;0,E1708&lt;&gt;0,F1708&lt;&gt;0),1,0),1))</f>
        <v>0</v>
      </c>
      <c r="H1708" t="str">
        <f>IF(OR(G1708=0,E1708=0),"",C1708/E1708)</f>
        <v/>
      </c>
      <c r="I1708" t="str">
        <f>IF(OR(G1708=0,F1708=0),"",D1708/F1708)</f>
        <v/>
      </c>
      <c r="J1708" t="str">
        <f>IF(OR(H1708="",I1708=""),"",IF(H1708=0,"",I1708/H1708-1))</f>
        <v/>
      </c>
      <c r="K1708" t="str">
        <f>IF($B1708="","",IFERROR(IF(G1708=0,-2E+300,CHOOSE(sortIdx,ROUND(D1708,0),IF(J1708="",-1E+300,ROUND(-J1708,6)),IF(J1708="",-1E+300,ROUND(J1708,6)))),-1.5E+300))</f>
        <v/>
      </c>
      <c r="L1708" t="str">
        <f>IF(K1708="","",RANK(K1708,$K$2:$K$3001,0)+COUNTIF($K$2:K1708,K1708)-1)</f>
        <v/>
      </c>
    </row>
    <row r="1709">
      <c r="B1709" t="str">
        <f>IFERROR(IF(A1709="","","="&amp;SUBSTITUTE(SUBSTITUTE(SUBSTITUTE(A1709,"~","~~"),"*","~*"),"?","~?")),"")</f>
        <v/>
      </c>
      <c r="C1709" t="str">
        <f>IF($B1709="","",SUMIFS(dAmt,dCust,$B1709,dPer,"&gt;="&amp;pyFrom,dPer,"&lt;="&amp;pyTo,dAmt,"&gt;-1E+300",dFlt1,critFlt1,dFlt2,critFlt2,dFlt3,critFlt3))</f>
        <v/>
      </c>
      <c r="D1709" t="str">
        <f>IF($B1709="","",SUMIFS(dAmt,dCust,$B1709,dPer,"&gt;="&amp;cyFrom,dPer,"&lt;="&amp;cyTo,dAmt,"&gt;-1E+300",dFlt1,critFlt1,dFlt2,critFlt2,dFlt3,critFlt3))</f>
        <v/>
      </c>
      <c r="E1709" t="str">
        <f>IF($B1709="","",SUMIFS(dQty,dCust,$B1709,dPer,"&gt;="&amp;pyFrom,dPer,"&lt;="&amp;pyTo,dQty,"&gt;-1E+300",dFlt1,critFlt1,dFlt2,critFlt2,dFlt3,critFlt3))</f>
        <v/>
      </c>
      <c r="F1709" t="str">
        <f>IF($B1709="","",SUMIFS(dQty,dCust,$B1709,dPer,"&gt;="&amp;cyFrom,dPer,"&lt;="&amp;cyTo,dQty,"&gt;-1E+300",dFlt1,critFlt1,dFlt2,critFlt2,dFlt3,critFlt3))</f>
        <v/>
      </c>
      <c r="G1709">
        <f>IF($B1709="",0,IFERROR(IF(OR(C1709&lt;&gt;0,D1709&lt;&gt;0,E1709&lt;&gt;0,F1709&lt;&gt;0),1,0),1))</f>
        <v>0</v>
      </c>
      <c r="H1709" t="str">
        <f>IF(OR(G1709=0,E1709=0),"",C1709/E1709)</f>
        <v/>
      </c>
      <c r="I1709" t="str">
        <f>IF(OR(G1709=0,F1709=0),"",D1709/F1709)</f>
        <v/>
      </c>
      <c r="J1709" t="str">
        <f>IF(OR(H1709="",I1709=""),"",IF(H1709=0,"",I1709/H1709-1))</f>
        <v/>
      </c>
      <c r="K1709" t="str">
        <f>IF($B1709="","",IFERROR(IF(G1709=0,-2E+300,CHOOSE(sortIdx,ROUND(D1709,0),IF(J1709="",-1E+300,ROUND(-J1709,6)),IF(J1709="",-1E+300,ROUND(J1709,6)))),-1.5E+300))</f>
        <v/>
      </c>
      <c r="L1709" t="str">
        <f>IF(K1709="","",RANK(K1709,$K$2:$K$3001,0)+COUNTIF($K$2:K1709,K1709)-1)</f>
        <v/>
      </c>
    </row>
    <row r="1710">
      <c r="B1710" t="str">
        <f>IFERROR(IF(A1710="","","="&amp;SUBSTITUTE(SUBSTITUTE(SUBSTITUTE(A1710,"~","~~"),"*","~*"),"?","~?")),"")</f>
        <v/>
      </c>
      <c r="C1710" t="str">
        <f>IF($B1710="","",SUMIFS(dAmt,dCust,$B1710,dPer,"&gt;="&amp;pyFrom,dPer,"&lt;="&amp;pyTo,dAmt,"&gt;-1E+300",dFlt1,critFlt1,dFlt2,critFlt2,dFlt3,critFlt3))</f>
        <v/>
      </c>
      <c r="D1710" t="str">
        <f>IF($B1710="","",SUMIFS(dAmt,dCust,$B1710,dPer,"&gt;="&amp;cyFrom,dPer,"&lt;="&amp;cyTo,dAmt,"&gt;-1E+300",dFlt1,critFlt1,dFlt2,critFlt2,dFlt3,critFlt3))</f>
        <v/>
      </c>
      <c r="E1710" t="str">
        <f>IF($B1710="","",SUMIFS(dQty,dCust,$B1710,dPer,"&gt;="&amp;pyFrom,dPer,"&lt;="&amp;pyTo,dQty,"&gt;-1E+300",dFlt1,critFlt1,dFlt2,critFlt2,dFlt3,critFlt3))</f>
        <v/>
      </c>
      <c r="F1710" t="str">
        <f>IF($B1710="","",SUMIFS(dQty,dCust,$B1710,dPer,"&gt;="&amp;cyFrom,dPer,"&lt;="&amp;cyTo,dQty,"&gt;-1E+300",dFlt1,critFlt1,dFlt2,critFlt2,dFlt3,critFlt3))</f>
        <v/>
      </c>
      <c r="G1710">
        <f>IF($B1710="",0,IFERROR(IF(OR(C1710&lt;&gt;0,D1710&lt;&gt;0,E1710&lt;&gt;0,F1710&lt;&gt;0),1,0),1))</f>
        <v>0</v>
      </c>
      <c r="H1710" t="str">
        <f>IF(OR(G1710=0,E1710=0),"",C1710/E1710)</f>
        <v/>
      </c>
      <c r="I1710" t="str">
        <f>IF(OR(G1710=0,F1710=0),"",D1710/F1710)</f>
        <v/>
      </c>
      <c r="J1710" t="str">
        <f>IF(OR(H1710="",I1710=""),"",IF(H1710=0,"",I1710/H1710-1))</f>
        <v/>
      </c>
      <c r="K1710" t="str">
        <f>IF($B1710="","",IFERROR(IF(G1710=0,-2E+300,CHOOSE(sortIdx,ROUND(D1710,0),IF(J1710="",-1E+300,ROUND(-J1710,6)),IF(J1710="",-1E+300,ROUND(J1710,6)))),-1.5E+300))</f>
        <v/>
      </c>
      <c r="L1710" t="str">
        <f>IF(K1710="","",RANK(K1710,$K$2:$K$3001,0)+COUNTIF($K$2:K1710,K1710)-1)</f>
        <v/>
      </c>
    </row>
    <row r="1711">
      <c r="B1711" t="str">
        <f>IFERROR(IF(A1711="","","="&amp;SUBSTITUTE(SUBSTITUTE(SUBSTITUTE(A1711,"~","~~"),"*","~*"),"?","~?")),"")</f>
        <v/>
      </c>
      <c r="C1711" t="str">
        <f>IF($B1711="","",SUMIFS(dAmt,dCust,$B1711,dPer,"&gt;="&amp;pyFrom,dPer,"&lt;="&amp;pyTo,dAmt,"&gt;-1E+300",dFlt1,critFlt1,dFlt2,critFlt2,dFlt3,critFlt3))</f>
        <v/>
      </c>
      <c r="D1711" t="str">
        <f>IF($B1711="","",SUMIFS(dAmt,dCust,$B1711,dPer,"&gt;="&amp;cyFrom,dPer,"&lt;="&amp;cyTo,dAmt,"&gt;-1E+300",dFlt1,critFlt1,dFlt2,critFlt2,dFlt3,critFlt3))</f>
        <v/>
      </c>
      <c r="E1711" t="str">
        <f>IF($B1711="","",SUMIFS(dQty,dCust,$B1711,dPer,"&gt;="&amp;pyFrom,dPer,"&lt;="&amp;pyTo,dQty,"&gt;-1E+300",dFlt1,critFlt1,dFlt2,critFlt2,dFlt3,critFlt3))</f>
        <v/>
      </c>
      <c r="F1711" t="str">
        <f>IF($B1711="","",SUMIFS(dQty,dCust,$B1711,dPer,"&gt;="&amp;cyFrom,dPer,"&lt;="&amp;cyTo,dQty,"&gt;-1E+300",dFlt1,critFlt1,dFlt2,critFlt2,dFlt3,critFlt3))</f>
        <v/>
      </c>
      <c r="G1711">
        <f>IF($B1711="",0,IFERROR(IF(OR(C1711&lt;&gt;0,D1711&lt;&gt;0,E1711&lt;&gt;0,F1711&lt;&gt;0),1,0),1))</f>
        <v>0</v>
      </c>
      <c r="H1711" t="str">
        <f>IF(OR(G1711=0,E1711=0),"",C1711/E1711)</f>
        <v/>
      </c>
      <c r="I1711" t="str">
        <f>IF(OR(G1711=0,F1711=0),"",D1711/F1711)</f>
        <v/>
      </c>
      <c r="J1711" t="str">
        <f>IF(OR(H1711="",I1711=""),"",IF(H1711=0,"",I1711/H1711-1))</f>
        <v/>
      </c>
      <c r="K1711" t="str">
        <f>IF($B1711="","",IFERROR(IF(G1711=0,-2E+300,CHOOSE(sortIdx,ROUND(D1711,0),IF(J1711="",-1E+300,ROUND(-J1711,6)),IF(J1711="",-1E+300,ROUND(J1711,6)))),-1.5E+300))</f>
        <v/>
      </c>
      <c r="L1711" t="str">
        <f>IF(K1711="","",RANK(K1711,$K$2:$K$3001,0)+COUNTIF($K$2:K1711,K1711)-1)</f>
        <v/>
      </c>
    </row>
    <row r="1712">
      <c r="B1712" t="str">
        <f>IFERROR(IF(A1712="","","="&amp;SUBSTITUTE(SUBSTITUTE(SUBSTITUTE(A1712,"~","~~"),"*","~*"),"?","~?")),"")</f>
        <v/>
      </c>
      <c r="C1712" t="str">
        <f>IF($B1712="","",SUMIFS(dAmt,dCust,$B1712,dPer,"&gt;="&amp;pyFrom,dPer,"&lt;="&amp;pyTo,dAmt,"&gt;-1E+300",dFlt1,critFlt1,dFlt2,critFlt2,dFlt3,critFlt3))</f>
        <v/>
      </c>
      <c r="D1712" t="str">
        <f>IF($B1712="","",SUMIFS(dAmt,dCust,$B1712,dPer,"&gt;="&amp;cyFrom,dPer,"&lt;="&amp;cyTo,dAmt,"&gt;-1E+300",dFlt1,critFlt1,dFlt2,critFlt2,dFlt3,critFlt3))</f>
        <v/>
      </c>
      <c r="E1712" t="str">
        <f>IF($B1712="","",SUMIFS(dQty,dCust,$B1712,dPer,"&gt;="&amp;pyFrom,dPer,"&lt;="&amp;pyTo,dQty,"&gt;-1E+300",dFlt1,critFlt1,dFlt2,critFlt2,dFlt3,critFlt3))</f>
        <v/>
      </c>
      <c r="F1712" t="str">
        <f>IF($B1712="","",SUMIFS(dQty,dCust,$B1712,dPer,"&gt;="&amp;cyFrom,dPer,"&lt;="&amp;cyTo,dQty,"&gt;-1E+300",dFlt1,critFlt1,dFlt2,critFlt2,dFlt3,critFlt3))</f>
        <v/>
      </c>
      <c r="G1712">
        <f>IF($B1712="",0,IFERROR(IF(OR(C1712&lt;&gt;0,D1712&lt;&gt;0,E1712&lt;&gt;0,F1712&lt;&gt;0),1,0),1))</f>
        <v>0</v>
      </c>
      <c r="H1712" t="str">
        <f>IF(OR(G1712=0,E1712=0),"",C1712/E1712)</f>
        <v/>
      </c>
      <c r="I1712" t="str">
        <f>IF(OR(G1712=0,F1712=0),"",D1712/F1712)</f>
        <v/>
      </c>
      <c r="J1712" t="str">
        <f>IF(OR(H1712="",I1712=""),"",IF(H1712=0,"",I1712/H1712-1))</f>
        <v/>
      </c>
      <c r="K1712" t="str">
        <f>IF($B1712="","",IFERROR(IF(G1712=0,-2E+300,CHOOSE(sortIdx,ROUND(D1712,0),IF(J1712="",-1E+300,ROUND(-J1712,6)),IF(J1712="",-1E+300,ROUND(J1712,6)))),-1.5E+300))</f>
        <v/>
      </c>
      <c r="L1712" t="str">
        <f>IF(K1712="","",RANK(K1712,$K$2:$K$3001,0)+COUNTIF($K$2:K1712,K1712)-1)</f>
        <v/>
      </c>
    </row>
    <row r="1713">
      <c r="B1713" t="str">
        <f>IFERROR(IF(A1713="","","="&amp;SUBSTITUTE(SUBSTITUTE(SUBSTITUTE(A1713,"~","~~"),"*","~*"),"?","~?")),"")</f>
        <v/>
      </c>
      <c r="C1713" t="str">
        <f>IF($B1713="","",SUMIFS(dAmt,dCust,$B1713,dPer,"&gt;="&amp;pyFrom,dPer,"&lt;="&amp;pyTo,dAmt,"&gt;-1E+300",dFlt1,critFlt1,dFlt2,critFlt2,dFlt3,critFlt3))</f>
        <v/>
      </c>
      <c r="D1713" t="str">
        <f>IF($B1713="","",SUMIFS(dAmt,dCust,$B1713,dPer,"&gt;="&amp;cyFrom,dPer,"&lt;="&amp;cyTo,dAmt,"&gt;-1E+300",dFlt1,critFlt1,dFlt2,critFlt2,dFlt3,critFlt3))</f>
        <v/>
      </c>
      <c r="E1713" t="str">
        <f>IF($B1713="","",SUMIFS(dQty,dCust,$B1713,dPer,"&gt;="&amp;pyFrom,dPer,"&lt;="&amp;pyTo,dQty,"&gt;-1E+300",dFlt1,critFlt1,dFlt2,critFlt2,dFlt3,critFlt3))</f>
        <v/>
      </c>
      <c r="F1713" t="str">
        <f>IF($B1713="","",SUMIFS(dQty,dCust,$B1713,dPer,"&gt;="&amp;cyFrom,dPer,"&lt;="&amp;cyTo,dQty,"&gt;-1E+300",dFlt1,critFlt1,dFlt2,critFlt2,dFlt3,critFlt3))</f>
        <v/>
      </c>
      <c r="G1713">
        <f>IF($B1713="",0,IFERROR(IF(OR(C1713&lt;&gt;0,D1713&lt;&gt;0,E1713&lt;&gt;0,F1713&lt;&gt;0),1,0),1))</f>
        <v>0</v>
      </c>
      <c r="H1713" t="str">
        <f>IF(OR(G1713=0,E1713=0),"",C1713/E1713)</f>
        <v/>
      </c>
      <c r="I1713" t="str">
        <f>IF(OR(G1713=0,F1713=0),"",D1713/F1713)</f>
        <v/>
      </c>
      <c r="J1713" t="str">
        <f>IF(OR(H1713="",I1713=""),"",IF(H1713=0,"",I1713/H1713-1))</f>
        <v/>
      </c>
      <c r="K1713" t="str">
        <f>IF($B1713="","",IFERROR(IF(G1713=0,-2E+300,CHOOSE(sortIdx,ROUND(D1713,0),IF(J1713="",-1E+300,ROUND(-J1713,6)),IF(J1713="",-1E+300,ROUND(J1713,6)))),-1.5E+300))</f>
        <v/>
      </c>
      <c r="L1713" t="str">
        <f>IF(K1713="","",RANK(K1713,$K$2:$K$3001,0)+COUNTIF($K$2:K1713,K1713)-1)</f>
        <v/>
      </c>
    </row>
    <row r="1714">
      <c r="B1714" t="str">
        <f>IFERROR(IF(A1714="","","="&amp;SUBSTITUTE(SUBSTITUTE(SUBSTITUTE(A1714,"~","~~"),"*","~*"),"?","~?")),"")</f>
        <v/>
      </c>
      <c r="C1714" t="str">
        <f>IF($B1714="","",SUMIFS(dAmt,dCust,$B1714,dPer,"&gt;="&amp;pyFrom,dPer,"&lt;="&amp;pyTo,dAmt,"&gt;-1E+300",dFlt1,critFlt1,dFlt2,critFlt2,dFlt3,critFlt3))</f>
        <v/>
      </c>
      <c r="D1714" t="str">
        <f>IF($B1714="","",SUMIFS(dAmt,dCust,$B1714,dPer,"&gt;="&amp;cyFrom,dPer,"&lt;="&amp;cyTo,dAmt,"&gt;-1E+300",dFlt1,critFlt1,dFlt2,critFlt2,dFlt3,critFlt3))</f>
        <v/>
      </c>
      <c r="E1714" t="str">
        <f>IF($B1714="","",SUMIFS(dQty,dCust,$B1714,dPer,"&gt;="&amp;pyFrom,dPer,"&lt;="&amp;pyTo,dQty,"&gt;-1E+300",dFlt1,critFlt1,dFlt2,critFlt2,dFlt3,critFlt3))</f>
        <v/>
      </c>
      <c r="F1714" t="str">
        <f>IF($B1714="","",SUMIFS(dQty,dCust,$B1714,dPer,"&gt;="&amp;cyFrom,dPer,"&lt;="&amp;cyTo,dQty,"&gt;-1E+300",dFlt1,critFlt1,dFlt2,critFlt2,dFlt3,critFlt3))</f>
        <v/>
      </c>
      <c r="G1714">
        <f>IF($B1714="",0,IFERROR(IF(OR(C1714&lt;&gt;0,D1714&lt;&gt;0,E1714&lt;&gt;0,F1714&lt;&gt;0),1,0),1))</f>
        <v>0</v>
      </c>
      <c r="H1714" t="str">
        <f>IF(OR(G1714=0,E1714=0),"",C1714/E1714)</f>
        <v/>
      </c>
      <c r="I1714" t="str">
        <f>IF(OR(G1714=0,F1714=0),"",D1714/F1714)</f>
        <v/>
      </c>
      <c r="J1714" t="str">
        <f>IF(OR(H1714="",I1714=""),"",IF(H1714=0,"",I1714/H1714-1))</f>
        <v/>
      </c>
      <c r="K1714" t="str">
        <f>IF($B1714="","",IFERROR(IF(G1714=0,-2E+300,CHOOSE(sortIdx,ROUND(D1714,0),IF(J1714="",-1E+300,ROUND(-J1714,6)),IF(J1714="",-1E+300,ROUND(J1714,6)))),-1.5E+300))</f>
        <v/>
      </c>
      <c r="L1714" t="str">
        <f>IF(K1714="","",RANK(K1714,$K$2:$K$3001,0)+COUNTIF($K$2:K1714,K1714)-1)</f>
        <v/>
      </c>
    </row>
    <row r="1715">
      <c r="B1715" t="str">
        <f>IFERROR(IF(A1715="","","="&amp;SUBSTITUTE(SUBSTITUTE(SUBSTITUTE(A1715,"~","~~"),"*","~*"),"?","~?")),"")</f>
        <v/>
      </c>
      <c r="C1715" t="str">
        <f>IF($B1715="","",SUMIFS(dAmt,dCust,$B1715,dPer,"&gt;="&amp;pyFrom,dPer,"&lt;="&amp;pyTo,dAmt,"&gt;-1E+300",dFlt1,critFlt1,dFlt2,critFlt2,dFlt3,critFlt3))</f>
        <v/>
      </c>
      <c r="D1715" t="str">
        <f>IF($B1715="","",SUMIFS(dAmt,dCust,$B1715,dPer,"&gt;="&amp;cyFrom,dPer,"&lt;="&amp;cyTo,dAmt,"&gt;-1E+300",dFlt1,critFlt1,dFlt2,critFlt2,dFlt3,critFlt3))</f>
        <v/>
      </c>
      <c r="E1715" t="str">
        <f>IF($B1715="","",SUMIFS(dQty,dCust,$B1715,dPer,"&gt;="&amp;pyFrom,dPer,"&lt;="&amp;pyTo,dQty,"&gt;-1E+300",dFlt1,critFlt1,dFlt2,critFlt2,dFlt3,critFlt3))</f>
        <v/>
      </c>
      <c r="F1715" t="str">
        <f>IF($B1715="","",SUMIFS(dQty,dCust,$B1715,dPer,"&gt;="&amp;cyFrom,dPer,"&lt;="&amp;cyTo,dQty,"&gt;-1E+300",dFlt1,critFlt1,dFlt2,critFlt2,dFlt3,critFlt3))</f>
        <v/>
      </c>
      <c r="G1715">
        <f>IF($B1715="",0,IFERROR(IF(OR(C1715&lt;&gt;0,D1715&lt;&gt;0,E1715&lt;&gt;0,F1715&lt;&gt;0),1,0),1))</f>
        <v>0</v>
      </c>
      <c r="H1715" t="str">
        <f>IF(OR(G1715=0,E1715=0),"",C1715/E1715)</f>
        <v/>
      </c>
      <c r="I1715" t="str">
        <f>IF(OR(G1715=0,F1715=0),"",D1715/F1715)</f>
        <v/>
      </c>
      <c r="J1715" t="str">
        <f>IF(OR(H1715="",I1715=""),"",IF(H1715=0,"",I1715/H1715-1))</f>
        <v/>
      </c>
      <c r="K1715" t="str">
        <f>IF($B1715="","",IFERROR(IF(G1715=0,-2E+300,CHOOSE(sortIdx,ROUND(D1715,0),IF(J1715="",-1E+300,ROUND(-J1715,6)),IF(J1715="",-1E+300,ROUND(J1715,6)))),-1.5E+300))</f>
        <v/>
      </c>
      <c r="L1715" t="str">
        <f>IF(K1715="","",RANK(K1715,$K$2:$K$3001,0)+COUNTIF($K$2:K1715,K1715)-1)</f>
        <v/>
      </c>
    </row>
    <row r="1716">
      <c r="B1716" t="str">
        <f>IFERROR(IF(A1716="","","="&amp;SUBSTITUTE(SUBSTITUTE(SUBSTITUTE(A1716,"~","~~"),"*","~*"),"?","~?")),"")</f>
        <v/>
      </c>
      <c r="C1716" t="str">
        <f>IF($B1716="","",SUMIFS(dAmt,dCust,$B1716,dPer,"&gt;="&amp;pyFrom,dPer,"&lt;="&amp;pyTo,dAmt,"&gt;-1E+300",dFlt1,critFlt1,dFlt2,critFlt2,dFlt3,critFlt3))</f>
        <v/>
      </c>
      <c r="D1716" t="str">
        <f>IF($B1716="","",SUMIFS(dAmt,dCust,$B1716,dPer,"&gt;="&amp;cyFrom,dPer,"&lt;="&amp;cyTo,dAmt,"&gt;-1E+300",dFlt1,critFlt1,dFlt2,critFlt2,dFlt3,critFlt3))</f>
        <v/>
      </c>
      <c r="E1716" t="str">
        <f>IF($B1716="","",SUMIFS(dQty,dCust,$B1716,dPer,"&gt;="&amp;pyFrom,dPer,"&lt;="&amp;pyTo,dQty,"&gt;-1E+300",dFlt1,critFlt1,dFlt2,critFlt2,dFlt3,critFlt3))</f>
        <v/>
      </c>
      <c r="F1716" t="str">
        <f>IF($B1716="","",SUMIFS(dQty,dCust,$B1716,dPer,"&gt;="&amp;cyFrom,dPer,"&lt;="&amp;cyTo,dQty,"&gt;-1E+300",dFlt1,critFlt1,dFlt2,critFlt2,dFlt3,critFlt3))</f>
        <v/>
      </c>
      <c r="G1716">
        <f>IF($B1716="",0,IFERROR(IF(OR(C1716&lt;&gt;0,D1716&lt;&gt;0,E1716&lt;&gt;0,F1716&lt;&gt;0),1,0),1))</f>
        <v>0</v>
      </c>
      <c r="H1716" t="str">
        <f>IF(OR(G1716=0,E1716=0),"",C1716/E1716)</f>
        <v/>
      </c>
      <c r="I1716" t="str">
        <f>IF(OR(G1716=0,F1716=0),"",D1716/F1716)</f>
        <v/>
      </c>
      <c r="J1716" t="str">
        <f>IF(OR(H1716="",I1716=""),"",IF(H1716=0,"",I1716/H1716-1))</f>
        <v/>
      </c>
      <c r="K1716" t="str">
        <f>IF($B1716="","",IFERROR(IF(G1716=0,-2E+300,CHOOSE(sortIdx,ROUND(D1716,0),IF(J1716="",-1E+300,ROUND(-J1716,6)),IF(J1716="",-1E+300,ROUND(J1716,6)))),-1.5E+300))</f>
        <v/>
      </c>
      <c r="L1716" t="str">
        <f>IF(K1716="","",RANK(K1716,$K$2:$K$3001,0)+COUNTIF($K$2:K1716,K1716)-1)</f>
        <v/>
      </c>
    </row>
    <row r="1717">
      <c r="B1717" t="str">
        <f>IFERROR(IF(A1717="","","="&amp;SUBSTITUTE(SUBSTITUTE(SUBSTITUTE(A1717,"~","~~"),"*","~*"),"?","~?")),"")</f>
        <v/>
      </c>
      <c r="C1717" t="str">
        <f>IF($B1717="","",SUMIFS(dAmt,dCust,$B1717,dPer,"&gt;="&amp;pyFrom,dPer,"&lt;="&amp;pyTo,dAmt,"&gt;-1E+300",dFlt1,critFlt1,dFlt2,critFlt2,dFlt3,critFlt3))</f>
        <v/>
      </c>
      <c r="D1717" t="str">
        <f>IF($B1717="","",SUMIFS(dAmt,dCust,$B1717,dPer,"&gt;="&amp;cyFrom,dPer,"&lt;="&amp;cyTo,dAmt,"&gt;-1E+300",dFlt1,critFlt1,dFlt2,critFlt2,dFlt3,critFlt3))</f>
        <v/>
      </c>
      <c r="E1717" t="str">
        <f>IF($B1717="","",SUMIFS(dQty,dCust,$B1717,dPer,"&gt;="&amp;pyFrom,dPer,"&lt;="&amp;pyTo,dQty,"&gt;-1E+300",dFlt1,critFlt1,dFlt2,critFlt2,dFlt3,critFlt3))</f>
        <v/>
      </c>
      <c r="F1717" t="str">
        <f>IF($B1717="","",SUMIFS(dQty,dCust,$B1717,dPer,"&gt;="&amp;cyFrom,dPer,"&lt;="&amp;cyTo,dQty,"&gt;-1E+300",dFlt1,critFlt1,dFlt2,critFlt2,dFlt3,critFlt3))</f>
        <v/>
      </c>
      <c r="G1717">
        <f>IF($B1717="",0,IFERROR(IF(OR(C1717&lt;&gt;0,D1717&lt;&gt;0,E1717&lt;&gt;0,F1717&lt;&gt;0),1,0),1))</f>
        <v>0</v>
      </c>
      <c r="H1717" t="str">
        <f>IF(OR(G1717=0,E1717=0),"",C1717/E1717)</f>
        <v/>
      </c>
      <c r="I1717" t="str">
        <f>IF(OR(G1717=0,F1717=0),"",D1717/F1717)</f>
        <v/>
      </c>
      <c r="J1717" t="str">
        <f>IF(OR(H1717="",I1717=""),"",IF(H1717=0,"",I1717/H1717-1))</f>
        <v/>
      </c>
      <c r="K1717" t="str">
        <f>IF($B1717="","",IFERROR(IF(G1717=0,-2E+300,CHOOSE(sortIdx,ROUND(D1717,0),IF(J1717="",-1E+300,ROUND(-J1717,6)),IF(J1717="",-1E+300,ROUND(J1717,6)))),-1.5E+300))</f>
        <v/>
      </c>
      <c r="L1717" t="str">
        <f>IF(K1717="","",RANK(K1717,$K$2:$K$3001,0)+COUNTIF($K$2:K1717,K1717)-1)</f>
        <v/>
      </c>
    </row>
    <row r="1718">
      <c r="B1718" t="str">
        <f>IFERROR(IF(A1718="","","="&amp;SUBSTITUTE(SUBSTITUTE(SUBSTITUTE(A1718,"~","~~"),"*","~*"),"?","~?")),"")</f>
        <v/>
      </c>
      <c r="C1718" t="str">
        <f>IF($B1718="","",SUMIFS(dAmt,dCust,$B1718,dPer,"&gt;="&amp;pyFrom,dPer,"&lt;="&amp;pyTo,dAmt,"&gt;-1E+300",dFlt1,critFlt1,dFlt2,critFlt2,dFlt3,critFlt3))</f>
        <v/>
      </c>
      <c r="D1718" t="str">
        <f>IF($B1718="","",SUMIFS(dAmt,dCust,$B1718,dPer,"&gt;="&amp;cyFrom,dPer,"&lt;="&amp;cyTo,dAmt,"&gt;-1E+300",dFlt1,critFlt1,dFlt2,critFlt2,dFlt3,critFlt3))</f>
        <v/>
      </c>
      <c r="E1718" t="str">
        <f>IF($B1718="","",SUMIFS(dQty,dCust,$B1718,dPer,"&gt;="&amp;pyFrom,dPer,"&lt;="&amp;pyTo,dQty,"&gt;-1E+300",dFlt1,critFlt1,dFlt2,critFlt2,dFlt3,critFlt3))</f>
        <v/>
      </c>
      <c r="F1718" t="str">
        <f>IF($B1718="","",SUMIFS(dQty,dCust,$B1718,dPer,"&gt;="&amp;cyFrom,dPer,"&lt;="&amp;cyTo,dQty,"&gt;-1E+300",dFlt1,critFlt1,dFlt2,critFlt2,dFlt3,critFlt3))</f>
        <v/>
      </c>
      <c r="G1718">
        <f>IF($B1718="",0,IFERROR(IF(OR(C1718&lt;&gt;0,D1718&lt;&gt;0,E1718&lt;&gt;0,F1718&lt;&gt;0),1,0),1))</f>
        <v>0</v>
      </c>
      <c r="H1718" t="str">
        <f>IF(OR(G1718=0,E1718=0),"",C1718/E1718)</f>
        <v/>
      </c>
      <c r="I1718" t="str">
        <f>IF(OR(G1718=0,F1718=0),"",D1718/F1718)</f>
        <v/>
      </c>
      <c r="J1718" t="str">
        <f>IF(OR(H1718="",I1718=""),"",IF(H1718=0,"",I1718/H1718-1))</f>
        <v/>
      </c>
      <c r="K1718" t="str">
        <f>IF($B1718="","",IFERROR(IF(G1718=0,-2E+300,CHOOSE(sortIdx,ROUND(D1718,0),IF(J1718="",-1E+300,ROUND(-J1718,6)),IF(J1718="",-1E+300,ROUND(J1718,6)))),-1.5E+300))</f>
        <v/>
      </c>
      <c r="L1718" t="str">
        <f>IF(K1718="","",RANK(K1718,$K$2:$K$3001,0)+COUNTIF($K$2:K1718,K1718)-1)</f>
        <v/>
      </c>
    </row>
    <row r="1719">
      <c r="B1719" t="str">
        <f>IFERROR(IF(A1719="","","="&amp;SUBSTITUTE(SUBSTITUTE(SUBSTITUTE(A1719,"~","~~"),"*","~*"),"?","~?")),"")</f>
        <v/>
      </c>
      <c r="C1719" t="str">
        <f>IF($B1719="","",SUMIFS(dAmt,dCust,$B1719,dPer,"&gt;="&amp;pyFrom,dPer,"&lt;="&amp;pyTo,dAmt,"&gt;-1E+300",dFlt1,critFlt1,dFlt2,critFlt2,dFlt3,critFlt3))</f>
        <v/>
      </c>
      <c r="D1719" t="str">
        <f>IF($B1719="","",SUMIFS(dAmt,dCust,$B1719,dPer,"&gt;="&amp;cyFrom,dPer,"&lt;="&amp;cyTo,dAmt,"&gt;-1E+300",dFlt1,critFlt1,dFlt2,critFlt2,dFlt3,critFlt3))</f>
        <v/>
      </c>
      <c r="E1719" t="str">
        <f>IF($B1719="","",SUMIFS(dQty,dCust,$B1719,dPer,"&gt;="&amp;pyFrom,dPer,"&lt;="&amp;pyTo,dQty,"&gt;-1E+300",dFlt1,critFlt1,dFlt2,critFlt2,dFlt3,critFlt3))</f>
        <v/>
      </c>
      <c r="F1719" t="str">
        <f>IF($B1719="","",SUMIFS(dQty,dCust,$B1719,dPer,"&gt;="&amp;cyFrom,dPer,"&lt;="&amp;cyTo,dQty,"&gt;-1E+300",dFlt1,critFlt1,dFlt2,critFlt2,dFlt3,critFlt3))</f>
        <v/>
      </c>
      <c r="G1719">
        <f>IF($B1719="",0,IFERROR(IF(OR(C1719&lt;&gt;0,D1719&lt;&gt;0,E1719&lt;&gt;0,F1719&lt;&gt;0),1,0),1))</f>
        <v>0</v>
      </c>
      <c r="H1719" t="str">
        <f>IF(OR(G1719=0,E1719=0),"",C1719/E1719)</f>
        <v/>
      </c>
      <c r="I1719" t="str">
        <f>IF(OR(G1719=0,F1719=0),"",D1719/F1719)</f>
        <v/>
      </c>
      <c r="J1719" t="str">
        <f>IF(OR(H1719="",I1719=""),"",IF(H1719=0,"",I1719/H1719-1))</f>
        <v/>
      </c>
      <c r="K1719" t="str">
        <f>IF($B1719="","",IFERROR(IF(G1719=0,-2E+300,CHOOSE(sortIdx,ROUND(D1719,0),IF(J1719="",-1E+300,ROUND(-J1719,6)),IF(J1719="",-1E+300,ROUND(J1719,6)))),-1.5E+300))</f>
        <v/>
      </c>
      <c r="L1719" t="str">
        <f>IF(K1719="","",RANK(K1719,$K$2:$K$3001,0)+COUNTIF($K$2:K1719,K1719)-1)</f>
        <v/>
      </c>
    </row>
    <row r="1720">
      <c r="B1720" t="str">
        <f>IFERROR(IF(A1720="","","="&amp;SUBSTITUTE(SUBSTITUTE(SUBSTITUTE(A1720,"~","~~"),"*","~*"),"?","~?")),"")</f>
        <v/>
      </c>
      <c r="C1720" t="str">
        <f>IF($B1720="","",SUMIFS(dAmt,dCust,$B1720,dPer,"&gt;="&amp;pyFrom,dPer,"&lt;="&amp;pyTo,dAmt,"&gt;-1E+300",dFlt1,critFlt1,dFlt2,critFlt2,dFlt3,critFlt3))</f>
        <v/>
      </c>
      <c r="D1720" t="str">
        <f>IF($B1720="","",SUMIFS(dAmt,dCust,$B1720,dPer,"&gt;="&amp;cyFrom,dPer,"&lt;="&amp;cyTo,dAmt,"&gt;-1E+300",dFlt1,critFlt1,dFlt2,critFlt2,dFlt3,critFlt3))</f>
        <v/>
      </c>
      <c r="E1720" t="str">
        <f>IF($B1720="","",SUMIFS(dQty,dCust,$B1720,dPer,"&gt;="&amp;pyFrom,dPer,"&lt;="&amp;pyTo,dQty,"&gt;-1E+300",dFlt1,critFlt1,dFlt2,critFlt2,dFlt3,critFlt3))</f>
        <v/>
      </c>
      <c r="F1720" t="str">
        <f>IF($B1720="","",SUMIFS(dQty,dCust,$B1720,dPer,"&gt;="&amp;cyFrom,dPer,"&lt;="&amp;cyTo,dQty,"&gt;-1E+300",dFlt1,critFlt1,dFlt2,critFlt2,dFlt3,critFlt3))</f>
        <v/>
      </c>
      <c r="G1720">
        <f>IF($B1720="",0,IFERROR(IF(OR(C1720&lt;&gt;0,D1720&lt;&gt;0,E1720&lt;&gt;0,F1720&lt;&gt;0),1,0),1))</f>
        <v>0</v>
      </c>
      <c r="H1720" t="str">
        <f>IF(OR(G1720=0,E1720=0),"",C1720/E1720)</f>
        <v/>
      </c>
      <c r="I1720" t="str">
        <f>IF(OR(G1720=0,F1720=0),"",D1720/F1720)</f>
        <v/>
      </c>
      <c r="J1720" t="str">
        <f>IF(OR(H1720="",I1720=""),"",IF(H1720=0,"",I1720/H1720-1))</f>
        <v/>
      </c>
      <c r="K1720" t="str">
        <f>IF($B1720="","",IFERROR(IF(G1720=0,-2E+300,CHOOSE(sortIdx,ROUND(D1720,0),IF(J1720="",-1E+300,ROUND(-J1720,6)),IF(J1720="",-1E+300,ROUND(J1720,6)))),-1.5E+300))</f>
        <v/>
      </c>
      <c r="L1720" t="str">
        <f>IF(K1720="","",RANK(K1720,$K$2:$K$3001,0)+COUNTIF($K$2:K1720,K1720)-1)</f>
        <v/>
      </c>
    </row>
    <row r="1721">
      <c r="B1721" t="str">
        <f>IFERROR(IF(A1721="","","="&amp;SUBSTITUTE(SUBSTITUTE(SUBSTITUTE(A1721,"~","~~"),"*","~*"),"?","~?")),"")</f>
        <v/>
      </c>
      <c r="C1721" t="str">
        <f>IF($B1721="","",SUMIFS(dAmt,dCust,$B1721,dPer,"&gt;="&amp;pyFrom,dPer,"&lt;="&amp;pyTo,dAmt,"&gt;-1E+300",dFlt1,critFlt1,dFlt2,critFlt2,dFlt3,critFlt3))</f>
        <v/>
      </c>
      <c r="D1721" t="str">
        <f>IF($B1721="","",SUMIFS(dAmt,dCust,$B1721,dPer,"&gt;="&amp;cyFrom,dPer,"&lt;="&amp;cyTo,dAmt,"&gt;-1E+300",dFlt1,critFlt1,dFlt2,critFlt2,dFlt3,critFlt3))</f>
        <v/>
      </c>
      <c r="E1721" t="str">
        <f>IF($B1721="","",SUMIFS(dQty,dCust,$B1721,dPer,"&gt;="&amp;pyFrom,dPer,"&lt;="&amp;pyTo,dQty,"&gt;-1E+300",dFlt1,critFlt1,dFlt2,critFlt2,dFlt3,critFlt3))</f>
        <v/>
      </c>
      <c r="F1721" t="str">
        <f>IF($B1721="","",SUMIFS(dQty,dCust,$B1721,dPer,"&gt;="&amp;cyFrom,dPer,"&lt;="&amp;cyTo,dQty,"&gt;-1E+300",dFlt1,critFlt1,dFlt2,critFlt2,dFlt3,critFlt3))</f>
        <v/>
      </c>
      <c r="G1721">
        <f>IF($B1721="",0,IFERROR(IF(OR(C1721&lt;&gt;0,D1721&lt;&gt;0,E1721&lt;&gt;0,F1721&lt;&gt;0),1,0),1))</f>
        <v>0</v>
      </c>
      <c r="H1721" t="str">
        <f>IF(OR(G1721=0,E1721=0),"",C1721/E1721)</f>
        <v/>
      </c>
      <c r="I1721" t="str">
        <f>IF(OR(G1721=0,F1721=0),"",D1721/F1721)</f>
        <v/>
      </c>
      <c r="J1721" t="str">
        <f>IF(OR(H1721="",I1721=""),"",IF(H1721=0,"",I1721/H1721-1))</f>
        <v/>
      </c>
      <c r="K1721" t="str">
        <f>IF($B1721="","",IFERROR(IF(G1721=0,-2E+300,CHOOSE(sortIdx,ROUND(D1721,0),IF(J1721="",-1E+300,ROUND(-J1721,6)),IF(J1721="",-1E+300,ROUND(J1721,6)))),-1.5E+300))</f>
        <v/>
      </c>
      <c r="L1721" t="str">
        <f>IF(K1721="","",RANK(K1721,$K$2:$K$3001,0)+COUNTIF($K$2:K1721,K1721)-1)</f>
        <v/>
      </c>
    </row>
    <row r="1722">
      <c r="B1722" t="str">
        <f>IFERROR(IF(A1722="","","="&amp;SUBSTITUTE(SUBSTITUTE(SUBSTITUTE(A1722,"~","~~"),"*","~*"),"?","~?")),"")</f>
        <v/>
      </c>
      <c r="C1722" t="str">
        <f>IF($B1722="","",SUMIFS(dAmt,dCust,$B1722,dPer,"&gt;="&amp;pyFrom,dPer,"&lt;="&amp;pyTo,dAmt,"&gt;-1E+300",dFlt1,critFlt1,dFlt2,critFlt2,dFlt3,critFlt3))</f>
        <v/>
      </c>
      <c r="D1722" t="str">
        <f>IF($B1722="","",SUMIFS(dAmt,dCust,$B1722,dPer,"&gt;="&amp;cyFrom,dPer,"&lt;="&amp;cyTo,dAmt,"&gt;-1E+300",dFlt1,critFlt1,dFlt2,critFlt2,dFlt3,critFlt3))</f>
        <v/>
      </c>
      <c r="E1722" t="str">
        <f>IF($B1722="","",SUMIFS(dQty,dCust,$B1722,dPer,"&gt;="&amp;pyFrom,dPer,"&lt;="&amp;pyTo,dQty,"&gt;-1E+300",dFlt1,critFlt1,dFlt2,critFlt2,dFlt3,critFlt3))</f>
        <v/>
      </c>
      <c r="F1722" t="str">
        <f>IF($B1722="","",SUMIFS(dQty,dCust,$B1722,dPer,"&gt;="&amp;cyFrom,dPer,"&lt;="&amp;cyTo,dQty,"&gt;-1E+300",dFlt1,critFlt1,dFlt2,critFlt2,dFlt3,critFlt3))</f>
        <v/>
      </c>
      <c r="G1722">
        <f>IF($B1722="",0,IFERROR(IF(OR(C1722&lt;&gt;0,D1722&lt;&gt;0,E1722&lt;&gt;0,F1722&lt;&gt;0),1,0),1))</f>
        <v>0</v>
      </c>
      <c r="H1722" t="str">
        <f>IF(OR(G1722=0,E1722=0),"",C1722/E1722)</f>
        <v/>
      </c>
      <c r="I1722" t="str">
        <f>IF(OR(G1722=0,F1722=0),"",D1722/F1722)</f>
        <v/>
      </c>
      <c r="J1722" t="str">
        <f>IF(OR(H1722="",I1722=""),"",IF(H1722=0,"",I1722/H1722-1))</f>
        <v/>
      </c>
      <c r="K1722" t="str">
        <f>IF($B1722="","",IFERROR(IF(G1722=0,-2E+300,CHOOSE(sortIdx,ROUND(D1722,0),IF(J1722="",-1E+300,ROUND(-J1722,6)),IF(J1722="",-1E+300,ROUND(J1722,6)))),-1.5E+300))</f>
        <v/>
      </c>
      <c r="L1722" t="str">
        <f>IF(K1722="","",RANK(K1722,$K$2:$K$3001,0)+COUNTIF($K$2:K1722,K1722)-1)</f>
        <v/>
      </c>
    </row>
    <row r="1723">
      <c r="B1723" t="str">
        <f>IFERROR(IF(A1723="","","="&amp;SUBSTITUTE(SUBSTITUTE(SUBSTITUTE(A1723,"~","~~"),"*","~*"),"?","~?")),"")</f>
        <v/>
      </c>
      <c r="C1723" t="str">
        <f>IF($B1723="","",SUMIFS(dAmt,dCust,$B1723,dPer,"&gt;="&amp;pyFrom,dPer,"&lt;="&amp;pyTo,dAmt,"&gt;-1E+300",dFlt1,critFlt1,dFlt2,critFlt2,dFlt3,critFlt3))</f>
        <v/>
      </c>
      <c r="D1723" t="str">
        <f>IF($B1723="","",SUMIFS(dAmt,dCust,$B1723,dPer,"&gt;="&amp;cyFrom,dPer,"&lt;="&amp;cyTo,dAmt,"&gt;-1E+300",dFlt1,critFlt1,dFlt2,critFlt2,dFlt3,critFlt3))</f>
        <v/>
      </c>
      <c r="E1723" t="str">
        <f>IF($B1723="","",SUMIFS(dQty,dCust,$B1723,dPer,"&gt;="&amp;pyFrom,dPer,"&lt;="&amp;pyTo,dQty,"&gt;-1E+300",dFlt1,critFlt1,dFlt2,critFlt2,dFlt3,critFlt3))</f>
        <v/>
      </c>
      <c r="F1723" t="str">
        <f>IF($B1723="","",SUMIFS(dQty,dCust,$B1723,dPer,"&gt;="&amp;cyFrom,dPer,"&lt;="&amp;cyTo,dQty,"&gt;-1E+300",dFlt1,critFlt1,dFlt2,critFlt2,dFlt3,critFlt3))</f>
        <v/>
      </c>
      <c r="G1723">
        <f>IF($B1723="",0,IFERROR(IF(OR(C1723&lt;&gt;0,D1723&lt;&gt;0,E1723&lt;&gt;0,F1723&lt;&gt;0),1,0),1))</f>
        <v>0</v>
      </c>
      <c r="H1723" t="str">
        <f>IF(OR(G1723=0,E1723=0),"",C1723/E1723)</f>
        <v/>
      </c>
      <c r="I1723" t="str">
        <f>IF(OR(G1723=0,F1723=0),"",D1723/F1723)</f>
        <v/>
      </c>
      <c r="J1723" t="str">
        <f>IF(OR(H1723="",I1723=""),"",IF(H1723=0,"",I1723/H1723-1))</f>
        <v/>
      </c>
      <c r="K1723" t="str">
        <f>IF($B1723="","",IFERROR(IF(G1723=0,-2E+300,CHOOSE(sortIdx,ROUND(D1723,0),IF(J1723="",-1E+300,ROUND(-J1723,6)),IF(J1723="",-1E+300,ROUND(J1723,6)))),-1.5E+300))</f>
        <v/>
      </c>
      <c r="L1723" t="str">
        <f>IF(K1723="","",RANK(K1723,$K$2:$K$3001,0)+COUNTIF($K$2:K1723,K1723)-1)</f>
        <v/>
      </c>
    </row>
    <row r="1724">
      <c r="B1724" t="str">
        <f>IFERROR(IF(A1724="","","="&amp;SUBSTITUTE(SUBSTITUTE(SUBSTITUTE(A1724,"~","~~"),"*","~*"),"?","~?")),"")</f>
        <v/>
      </c>
      <c r="C1724" t="str">
        <f>IF($B1724="","",SUMIFS(dAmt,dCust,$B1724,dPer,"&gt;="&amp;pyFrom,dPer,"&lt;="&amp;pyTo,dAmt,"&gt;-1E+300",dFlt1,critFlt1,dFlt2,critFlt2,dFlt3,critFlt3))</f>
        <v/>
      </c>
      <c r="D1724" t="str">
        <f>IF($B1724="","",SUMIFS(dAmt,dCust,$B1724,dPer,"&gt;="&amp;cyFrom,dPer,"&lt;="&amp;cyTo,dAmt,"&gt;-1E+300",dFlt1,critFlt1,dFlt2,critFlt2,dFlt3,critFlt3))</f>
        <v/>
      </c>
      <c r="E1724" t="str">
        <f>IF($B1724="","",SUMIFS(dQty,dCust,$B1724,dPer,"&gt;="&amp;pyFrom,dPer,"&lt;="&amp;pyTo,dQty,"&gt;-1E+300",dFlt1,critFlt1,dFlt2,critFlt2,dFlt3,critFlt3))</f>
        <v/>
      </c>
      <c r="F1724" t="str">
        <f>IF($B1724="","",SUMIFS(dQty,dCust,$B1724,dPer,"&gt;="&amp;cyFrom,dPer,"&lt;="&amp;cyTo,dQty,"&gt;-1E+300",dFlt1,critFlt1,dFlt2,critFlt2,dFlt3,critFlt3))</f>
        <v/>
      </c>
      <c r="G1724">
        <f>IF($B1724="",0,IFERROR(IF(OR(C1724&lt;&gt;0,D1724&lt;&gt;0,E1724&lt;&gt;0,F1724&lt;&gt;0),1,0),1))</f>
        <v>0</v>
      </c>
      <c r="H1724" t="str">
        <f>IF(OR(G1724=0,E1724=0),"",C1724/E1724)</f>
        <v/>
      </c>
      <c r="I1724" t="str">
        <f>IF(OR(G1724=0,F1724=0),"",D1724/F1724)</f>
        <v/>
      </c>
      <c r="J1724" t="str">
        <f>IF(OR(H1724="",I1724=""),"",IF(H1724=0,"",I1724/H1724-1))</f>
        <v/>
      </c>
      <c r="K1724" t="str">
        <f>IF($B1724="","",IFERROR(IF(G1724=0,-2E+300,CHOOSE(sortIdx,ROUND(D1724,0),IF(J1724="",-1E+300,ROUND(-J1724,6)),IF(J1724="",-1E+300,ROUND(J1724,6)))),-1.5E+300))</f>
        <v/>
      </c>
      <c r="L1724" t="str">
        <f>IF(K1724="","",RANK(K1724,$K$2:$K$3001,0)+COUNTIF($K$2:K1724,K1724)-1)</f>
        <v/>
      </c>
    </row>
    <row r="1725">
      <c r="B1725" t="str">
        <f>IFERROR(IF(A1725="","","="&amp;SUBSTITUTE(SUBSTITUTE(SUBSTITUTE(A1725,"~","~~"),"*","~*"),"?","~?")),"")</f>
        <v/>
      </c>
      <c r="C1725" t="str">
        <f>IF($B1725="","",SUMIFS(dAmt,dCust,$B1725,dPer,"&gt;="&amp;pyFrom,dPer,"&lt;="&amp;pyTo,dAmt,"&gt;-1E+300",dFlt1,critFlt1,dFlt2,critFlt2,dFlt3,critFlt3))</f>
        <v/>
      </c>
      <c r="D1725" t="str">
        <f>IF($B1725="","",SUMIFS(dAmt,dCust,$B1725,dPer,"&gt;="&amp;cyFrom,dPer,"&lt;="&amp;cyTo,dAmt,"&gt;-1E+300",dFlt1,critFlt1,dFlt2,critFlt2,dFlt3,critFlt3))</f>
        <v/>
      </c>
      <c r="E1725" t="str">
        <f>IF($B1725="","",SUMIFS(dQty,dCust,$B1725,dPer,"&gt;="&amp;pyFrom,dPer,"&lt;="&amp;pyTo,dQty,"&gt;-1E+300",dFlt1,critFlt1,dFlt2,critFlt2,dFlt3,critFlt3))</f>
        <v/>
      </c>
      <c r="F1725" t="str">
        <f>IF($B1725="","",SUMIFS(dQty,dCust,$B1725,dPer,"&gt;="&amp;cyFrom,dPer,"&lt;="&amp;cyTo,dQty,"&gt;-1E+300",dFlt1,critFlt1,dFlt2,critFlt2,dFlt3,critFlt3))</f>
        <v/>
      </c>
      <c r="G1725">
        <f>IF($B1725="",0,IFERROR(IF(OR(C1725&lt;&gt;0,D1725&lt;&gt;0,E1725&lt;&gt;0,F1725&lt;&gt;0),1,0),1))</f>
        <v>0</v>
      </c>
      <c r="H1725" t="str">
        <f>IF(OR(G1725=0,E1725=0),"",C1725/E1725)</f>
        <v/>
      </c>
      <c r="I1725" t="str">
        <f>IF(OR(G1725=0,F1725=0),"",D1725/F1725)</f>
        <v/>
      </c>
      <c r="J1725" t="str">
        <f>IF(OR(H1725="",I1725=""),"",IF(H1725=0,"",I1725/H1725-1))</f>
        <v/>
      </c>
      <c r="K1725" t="str">
        <f>IF($B1725="","",IFERROR(IF(G1725=0,-2E+300,CHOOSE(sortIdx,ROUND(D1725,0),IF(J1725="",-1E+300,ROUND(-J1725,6)),IF(J1725="",-1E+300,ROUND(J1725,6)))),-1.5E+300))</f>
        <v/>
      </c>
      <c r="L1725" t="str">
        <f>IF(K1725="","",RANK(K1725,$K$2:$K$3001,0)+COUNTIF($K$2:K1725,K1725)-1)</f>
        <v/>
      </c>
    </row>
    <row r="1726">
      <c r="B1726" t="str">
        <f>IFERROR(IF(A1726="","","="&amp;SUBSTITUTE(SUBSTITUTE(SUBSTITUTE(A1726,"~","~~"),"*","~*"),"?","~?")),"")</f>
        <v/>
      </c>
      <c r="C1726" t="str">
        <f>IF($B1726="","",SUMIFS(dAmt,dCust,$B1726,dPer,"&gt;="&amp;pyFrom,dPer,"&lt;="&amp;pyTo,dAmt,"&gt;-1E+300",dFlt1,critFlt1,dFlt2,critFlt2,dFlt3,critFlt3))</f>
        <v/>
      </c>
      <c r="D1726" t="str">
        <f>IF($B1726="","",SUMIFS(dAmt,dCust,$B1726,dPer,"&gt;="&amp;cyFrom,dPer,"&lt;="&amp;cyTo,dAmt,"&gt;-1E+300",dFlt1,critFlt1,dFlt2,critFlt2,dFlt3,critFlt3))</f>
        <v/>
      </c>
      <c r="E1726" t="str">
        <f>IF($B1726="","",SUMIFS(dQty,dCust,$B1726,dPer,"&gt;="&amp;pyFrom,dPer,"&lt;="&amp;pyTo,dQty,"&gt;-1E+300",dFlt1,critFlt1,dFlt2,critFlt2,dFlt3,critFlt3))</f>
        <v/>
      </c>
      <c r="F1726" t="str">
        <f>IF($B1726="","",SUMIFS(dQty,dCust,$B1726,dPer,"&gt;="&amp;cyFrom,dPer,"&lt;="&amp;cyTo,dQty,"&gt;-1E+300",dFlt1,critFlt1,dFlt2,critFlt2,dFlt3,critFlt3))</f>
        <v/>
      </c>
      <c r="G1726">
        <f>IF($B1726="",0,IFERROR(IF(OR(C1726&lt;&gt;0,D1726&lt;&gt;0,E1726&lt;&gt;0,F1726&lt;&gt;0),1,0),1))</f>
        <v>0</v>
      </c>
      <c r="H1726" t="str">
        <f>IF(OR(G1726=0,E1726=0),"",C1726/E1726)</f>
        <v/>
      </c>
      <c r="I1726" t="str">
        <f>IF(OR(G1726=0,F1726=0),"",D1726/F1726)</f>
        <v/>
      </c>
      <c r="J1726" t="str">
        <f>IF(OR(H1726="",I1726=""),"",IF(H1726=0,"",I1726/H1726-1))</f>
        <v/>
      </c>
      <c r="K1726" t="str">
        <f>IF($B1726="","",IFERROR(IF(G1726=0,-2E+300,CHOOSE(sortIdx,ROUND(D1726,0),IF(J1726="",-1E+300,ROUND(-J1726,6)),IF(J1726="",-1E+300,ROUND(J1726,6)))),-1.5E+300))</f>
        <v/>
      </c>
      <c r="L1726" t="str">
        <f>IF(K1726="","",RANK(K1726,$K$2:$K$3001,0)+COUNTIF($K$2:K1726,K1726)-1)</f>
        <v/>
      </c>
    </row>
    <row r="1727">
      <c r="B1727" t="str">
        <f>IFERROR(IF(A1727="","","="&amp;SUBSTITUTE(SUBSTITUTE(SUBSTITUTE(A1727,"~","~~"),"*","~*"),"?","~?")),"")</f>
        <v/>
      </c>
      <c r="C1727" t="str">
        <f>IF($B1727="","",SUMIFS(dAmt,dCust,$B1727,dPer,"&gt;="&amp;pyFrom,dPer,"&lt;="&amp;pyTo,dAmt,"&gt;-1E+300",dFlt1,critFlt1,dFlt2,critFlt2,dFlt3,critFlt3))</f>
        <v/>
      </c>
      <c r="D1727" t="str">
        <f>IF($B1727="","",SUMIFS(dAmt,dCust,$B1727,dPer,"&gt;="&amp;cyFrom,dPer,"&lt;="&amp;cyTo,dAmt,"&gt;-1E+300",dFlt1,critFlt1,dFlt2,critFlt2,dFlt3,critFlt3))</f>
        <v/>
      </c>
      <c r="E1727" t="str">
        <f>IF($B1727="","",SUMIFS(dQty,dCust,$B1727,dPer,"&gt;="&amp;pyFrom,dPer,"&lt;="&amp;pyTo,dQty,"&gt;-1E+300",dFlt1,critFlt1,dFlt2,critFlt2,dFlt3,critFlt3))</f>
        <v/>
      </c>
      <c r="F1727" t="str">
        <f>IF($B1727="","",SUMIFS(dQty,dCust,$B1727,dPer,"&gt;="&amp;cyFrom,dPer,"&lt;="&amp;cyTo,dQty,"&gt;-1E+300",dFlt1,critFlt1,dFlt2,critFlt2,dFlt3,critFlt3))</f>
        <v/>
      </c>
      <c r="G1727">
        <f>IF($B1727="",0,IFERROR(IF(OR(C1727&lt;&gt;0,D1727&lt;&gt;0,E1727&lt;&gt;0,F1727&lt;&gt;0),1,0),1))</f>
        <v>0</v>
      </c>
      <c r="H1727" t="str">
        <f>IF(OR(G1727=0,E1727=0),"",C1727/E1727)</f>
        <v/>
      </c>
      <c r="I1727" t="str">
        <f>IF(OR(G1727=0,F1727=0),"",D1727/F1727)</f>
        <v/>
      </c>
      <c r="J1727" t="str">
        <f>IF(OR(H1727="",I1727=""),"",IF(H1727=0,"",I1727/H1727-1))</f>
        <v/>
      </c>
      <c r="K1727" t="str">
        <f>IF($B1727="","",IFERROR(IF(G1727=0,-2E+300,CHOOSE(sortIdx,ROUND(D1727,0),IF(J1727="",-1E+300,ROUND(-J1727,6)),IF(J1727="",-1E+300,ROUND(J1727,6)))),-1.5E+300))</f>
        <v/>
      </c>
      <c r="L1727" t="str">
        <f>IF(K1727="","",RANK(K1727,$K$2:$K$3001,0)+COUNTIF($K$2:K1727,K1727)-1)</f>
        <v/>
      </c>
    </row>
    <row r="1728">
      <c r="B1728" t="str">
        <f>IFERROR(IF(A1728="","","="&amp;SUBSTITUTE(SUBSTITUTE(SUBSTITUTE(A1728,"~","~~"),"*","~*"),"?","~?")),"")</f>
        <v/>
      </c>
      <c r="C1728" t="str">
        <f>IF($B1728="","",SUMIFS(dAmt,dCust,$B1728,dPer,"&gt;="&amp;pyFrom,dPer,"&lt;="&amp;pyTo,dAmt,"&gt;-1E+300",dFlt1,critFlt1,dFlt2,critFlt2,dFlt3,critFlt3))</f>
        <v/>
      </c>
      <c r="D1728" t="str">
        <f>IF($B1728="","",SUMIFS(dAmt,dCust,$B1728,dPer,"&gt;="&amp;cyFrom,dPer,"&lt;="&amp;cyTo,dAmt,"&gt;-1E+300",dFlt1,critFlt1,dFlt2,critFlt2,dFlt3,critFlt3))</f>
        <v/>
      </c>
      <c r="E1728" t="str">
        <f>IF($B1728="","",SUMIFS(dQty,dCust,$B1728,dPer,"&gt;="&amp;pyFrom,dPer,"&lt;="&amp;pyTo,dQty,"&gt;-1E+300",dFlt1,critFlt1,dFlt2,critFlt2,dFlt3,critFlt3))</f>
        <v/>
      </c>
      <c r="F1728" t="str">
        <f>IF($B1728="","",SUMIFS(dQty,dCust,$B1728,dPer,"&gt;="&amp;cyFrom,dPer,"&lt;="&amp;cyTo,dQty,"&gt;-1E+300",dFlt1,critFlt1,dFlt2,critFlt2,dFlt3,critFlt3))</f>
        <v/>
      </c>
      <c r="G1728">
        <f>IF($B1728="",0,IFERROR(IF(OR(C1728&lt;&gt;0,D1728&lt;&gt;0,E1728&lt;&gt;0,F1728&lt;&gt;0),1,0),1))</f>
        <v>0</v>
      </c>
      <c r="H1728" t="str">
        <f>IF(OR(G1728=0,E1728=0),"",C1728/E1728)</f>
        <v/>
      </c>
      <c r="I1728" t="str">
        <f>IF(OR(G1728=0,F1728=0),"",D1728/F1728)</f>
        <v/>
      </c>
      <c r="J1728" t="str">
        <f>IF(OR(H1728="",I1728=""),"",IF(H1728=0,"",I1728/H1728-1))</f>
        <v/>
      </c>
      <c r="K1728" t="str">
        <f>IF($B1728="","",IFERROR(IF(G1728=0,-2E+300,CHOOSE(sortIdx,ROUND(D1728,0),IF(J1728="",-1E+300,ROUND(-J1728,6)),IF(J1728="",-1E+300,ROUND(J1728,6)))),-1.5E+300))</f>
        <v/>
      </c>
      <c r="L1728" t="str">
        <f>IF(K1728="","",RANK(K1728,$K$2:$K$3001,0)+COUNTIF($K$2:K1728,K1728)-1)</f>
        <v/>
      </c>
    </row>
    <row r="1729">
      <c r="B1729" t="str">
        <f>IFERROR(IF(A1729="","","="&amp;SUBSTITUTE(SUBSTITUTE(SUBSTITUTE(A1729,"~","~~"),"*","~*"),"?","~?")),"")</f>
        <v/>
      </c>
      <c r="C1729" t="str">
        <f>IF($B1729="","",SUMIFS(dAmt,dCust,$B1729,dPer,"&gt;="&amp;pyFrom,dPer,"&lt;="&amp;pyTo,dAmt,"&gt;-1E+300",dFlt1,critFlt1,dFlt2,critFlt2,dFlt3,critFlt3))</f>
        <v/>
      </c>
      <c r="D1729" t="str">
        <f>IF($B1729="","",SUMIFS(dAmt,dCust,$B1729,dPer,"&gt;="&amp;cyFrom,dPer,"&lt;="&amp;cyTo,dAmt,"&gt;-1E+300",dFlt1,critFlt1,dFlt2,critFlt2,dFlt3,critFlt3))</f>
        <v/>
      </c>
      <c r="E1729" t="str">
        <f>IF($B1729="","",SUMIFS(dQty,dCust,$B1729,dPer,"&gt;="&amp;pyFrom,dPer,"&lt;="&amp;pyTo,dQty,"&gt;-1E+300",dFlt1,critFlt1,dFlt2,critFlt2,dFlt3,critFlt3))</f>
        <v/>
      </c>
      <c r="F1729" t="str">
        <f>IF($B1729="","",SUMIFS(dQty,dCust,$B1729,dPer,"&gt;="&amp;cyFrom,dPer,"&lt;="&amp;cyTo,dQty,"&gt;-1E+300",dFlt1,critFlt1,dFlt2,critFlt2,dFlt3,critFlt3))</f>
        <v/>
      </c>
      <c r="G1729">
        <f>IF($B1729="",0,IFERROR(IF(OR(C1729&lt;&gt;0,D1729&lt;&gt;0,E1729&lt;&gt;0,F1729&lt;&gt;0),1,0),1))</f>
        <v>0</v>
      </c>
      <c r="H1729" t="str">
        <f>IF(OR(G1729=0,E1729=0),"",C1729/E1729)</f>
        <v/>
      </c>
      <c r="I1729" t="str">
        <f>IF(OR(G1729=0,F1729=0),"",D1729/F1729)</f>
        <v/>
      </c>
      <c r="J1729" t="str">
        <f>IF(OR(H1729="",I1729=""),"",IF(H1729=0,"",I1729/H1729-1))</f>
        <v/>
      </c>
      <c r="K1729" t="str">
        <f>IF($B1729="","",IFERROR(IF(G1729=0,-2E+300,CHOOSE(sortIdx,ROUND(D1729,0),IF(J1729="",-1E+300,ROUND(-J1729,6)),IF(J1729="",-1E+300,ROUND(J1729,6)))),-1.5E+300))</f>
        <v/>
      </c>
      <c r="L1729" t="str">
        <f>IF(K1729="","",RANK(K1729,$K$2:$K$3001,0)+COUNTIF($K$2:K1729,K1729)-1)</f>
        <v/>
      </c>
    </row>
    <row r="1730">
      <c r="B1730" t="str">
        <f>IFERROR(IF(A1730="","","="&amp;SUBSTITUTE(SUBSTITUTE(SUBSTITUTE(A1730,"~","~~"),"*","~*"),"?","~?")),"")</f>
        <v/>
      </c>
      <c r="C1730" t="str">
        <f>IF($B1730="","",SUMIFS(dAmt,dCust,$B1730,dPer,"&gt;="&amp;pyFrom,dPer,"&lt;="&amp;pyTo,dAmt,"&gt;-1E+300",dFlt1,critFlt1,dFlt2,critFlt2,dFlt3,critFlt3))</f>
        <v/>
      </c>
      <c r="D1730" t="str">
        <f>IF($B1730="","",SUMIFS(dAmt,dCust,$B1730,dPer,"&gt;="&amp;cyFrom,dPer,"&lt;="&amp;cyTo,dAmt,"&gt;-1E+300",dFlt1,critFlt1,dFlt2,critFlt2,dFlt3,critFlt3))</f>
        <v/>
      </c>
      <c r="E1730" t="str">
        <f>IF($B1730="","",SUMIFS(dQty,dCust,$B1730,dPer,"&gt;="&amp;pyFrom,dPer,"&lt;="&amp;pyTo,dQty,"&gt;-1E+300",dFlt1,critFlt1,dFlt2,critFlt2,dFlt3,critFlt3))</f>
        <v/>
      </c>
      <c r="F1730" t="str">
        <f>IF($B1730="","",SUMIFS(dQty,dCust,$B1730,dPer,"&gt;="&amp;cyFrom,dPer,"&lt;="&amp;cyTo,dQty,"&gt;-1E+300",dFlt1,critFlt1,dFlt2,critFlt2,dFlt3,critFlt3))</f>
        <v/>
      </c>
      <c r="G1730">
        <f>IF($B1730="",0,IFERROR(IF(OR(C1730&lt;&gt;0,D1730&lt;&gt;0,E1730&lt;&gt;0,F1730&lt;&gt;0),1,0),1))</f>
        <v>0</v>
      </c>
      <c r="H1730" t="str">
        <f>IF(OR(G1730=0,E1730=0),"",C1730/E1730)</f>
        <v/>
      </c>
      <c r="I1730" t="str">
        <f>IF(OR(G1730=0,F1730=0),"",D1730/F1730)</f>
        <v/>
      </c>
      <c r="J1730" t="str">
        <f>IF(OR(H1730="",I1730=""),"",IF(H1730=0,"",I1730/H1730-1))</f>
        <v/>
      </c>
      <c r="K1730" t="str">
        <f>IF($B1730="","",IFERROR(IF(G1730=0,-2E+300,CHOOSE(sortIdx,ROUND(D1730,0),IF(J1730="",-1E+300,ROUND(-J1730,6)),IF(J1730="",-1E+300,ROUND(J1730,6)))),-1.5E+300))</f>
        <v/>
      </c>
      <c r="L1730" t="str">
        <f>IF(K1730="","",RANK(K1730,$K$2:$K$3001,0)+COUNTIF($K$2:K1730,K1730)-1)</f>
        <v/>
      </c>
    </row>
    <row r="1731">
      <c r="B1731" t="str">
        <f>IFERROR(IF(A1731="","","="&amp;SUBSTITUTE(SUBSTITUTE(SUBSTITUTE(A1731,"~","~~"),"*","~*"),"?","~?")),"")</f>
        <v/>
      </c>
      <c r="C1731" t="str">
        <f>IF($B1731="","",SUMIFS(dAmt,dCust,$B1731,dPer,"&gt;="&amp;pyFrom,dPer,"&lt;="&amp;pyTo,dAmt,"&gt;-1E+300",dFlt1,critFlt1,dFlt2,critFlt2,dFlt3,critFlt3))</f>
        <v/>
      </c>
      <c r="D1731" t="str">
        <f>IF($B1731="","",SUMIFS(dAmt,dCust,$B1731,dPer,"&gt;="&amp;cyFrom,dPer,"&lt;="&amp;cyTo,dAmt,"&gt;-1E+300",dFlt1,critFlt1,dFlt2,critFlt2,dFlt3,critFlt3))</f>
        <v/>
      </c>
      <c r="E1731" t="str">
        <f>IF($B1731="","",SUMIFS(dQty,dCust,$B1731,dPer,"&gt;="&amp;pyFrom,dPer,"&lt;="&amp;pyTo,dQty,"&gt;-1E+300",dFlt1,critFlt1,dFlt2,critFlt2,dFlt3,critFlt3))</f>
        <v/>
      </c>
      <c r="F1731" t="str">
        <f>IF($B1731="","",SUMIFS(dQty,dCust,$B1731,dPer,"&gt;="&amp;cyFrom,dPer,"&lt;="&amp;cyTo,dQty,"&gt;-1E+300",dFlt1,critFlt1,dFlt2,critFlt2,dFlt3,critFlt3))</f>
        <v/>
      </c>
      <c r="G1731">
        <f>IF($B1731="",0,IFERROR(IF(OR(C1731&lt;&gt;0,D1731&lt;&gt;0,E1731&lt;&gt;0,F1731&lt;&gt;0),1,0),1))</f>
        <v>0</v>
      </c>
      <c r="H1731" t="str">
        <f>IF(OR(G1731=0,E1731=0),"",C1731/E1731)</f>
        <v/>
      </c>
      <c r="I1731" t="str">
        <f>IF(OR(G1731=0,F1731=0),"",D1731/F1731)</f>
        <v/>
      </c>
      <c r="J1731" t="str">
        <f>IF(OR(H1731="",I1731=""),"",IF(H1731=0,"",I1731/H1731-1))</f>
        <v/>
      </c>
      <c r="K1731" t="str">
        <f>IF($B1731="","",IFERROR(IF(G1731=0,-2E+300,CHOOSE(sortIdx,ROUND(D1731,0),IF(J1731="",-1E+300,ROUND(-J1731,6)),IF(J1731="",-1E+300,ROUND(J1731,6)))),-1.5E+300))</f>
        <v/>
      </c>
      <c r="L1731" t="str">
        <f>IF(K1731="","",RANK(K1731,$K$2:$K$3001,0)+COUNTIF($K$2:K1731,K1731)-1)</f>
        <v/>
      </c>
    </row>
    <row r="1732">
      <c r="B1732" t="str">
        <f>IFERROR(IF(A1732="","","="&amp;SUBSTITUTE(SUBSTITUTE(SUBSTITUTE(A1732,"~","~~"),"*","~*"),"?","~?")),"")</f>
        <v/>
      </c>
      <c r="C1732" t="str">
        <f>IF($B1732="","",SUMIFS(dAmt,dCust,$B1732,dPer,"&gt;="&amp;pyFrom,dPer,"&lt;="&amp;pyTo,dAmt,"&gt;-1E+300",dFlt1,critFlt1,dFlt2,critFlt2,dFlt3,critFlt3))</f>
        <v/>
      </c>
      <c r="D1732" t="str">
        <f>IF($B1732="","",SUMIFS(dAmt,dCust,$B1732,dPer,"&gt;="&amp;cyFrom,dPer,"&lt;="&amp;cyTo,dAmt,"&gt;-1E+300",dFlt1,critFlt1,dFlt2,critFlt2,dFlt3,critFlt3))</f>
        <v/>
      </c>
      <c r="E1732" t="str">
        <f>IF($B1732="","",SUMIFS(dQty,dCust,$B1732,dPer,"&gt;="&amp;pyFrom,dPer,"&lt;="&amp;pyTo,dQty,"&gt;-1E+300",dFlt1,critFlt1,dFlt2,critFlt2,dFlt3,critFlt3))</f>
        <v/>
      </c>
      <c r="F1732" t="str">
        <f>IF($B1732="","",SUMIFS(dQty,dCust,$B1732,dPer,"&gt;="&amp;cyFrom,dPer,"&lt;="&amp;cyTo,dQty,"&gt;-1E+300",dFlt1,critFlt1,dFlt2,critFlt2,dFlt3,critFlt3))</f>
        <v/>
      </c>
      <c r="G1732">
        <f>IF($B1732="",0,IFERROR(IF(OR(C1732&lt;&gt;0,D1732&lt;&gt;0,E1732&lt;&gt;0,F1732&lt;&gt;0),1,0),1))</f>
        <v>0</v>
      </c>
      <c r="H1732" t="str">
        <f>IF(OR(G1732=0,E1732=0),"",C1732/E1732)</f>
        <v/>
      </c>
      <c r="I1732" t="str">
        <f>IF(OR(G1732=0,F1732=0),"",D1732/F1732)</f>
        <v/>
      </c>
      <c r="J1732" t="str">
        <f>IF(OR(H1732="",I1732=""),"",IF(H1732=0,"",I1732/H1732-1))</f>
        <v/>
      </c>
      <c r="K1732" t="str">
        <f>IF($B1732="","",IFERROR(IF(G1732=0,-2E+300,CHOOSE(sortIdx,ROUND(D1732,0),IF(J1732="",-1E+300,ROUND(-J1732,6)),IF(J1732="",-1E+300,ROUND(J1732,6)))),-1.5E+300))</f>
        <v/>
      </c>
      <c r="L1732" t="str">
        <f>IF(K1732="","",RANK(K1732,$K$2:$K$3001,0)+COUNTIF($K$2:K1732,K1732)-1)</f>
        <v/>
      </c>
    </row>
    <row r="1733">
      <c r="B1733" t="str">
        <f>IFERROR(IF(A1733="","","="&amp;SUBSTITUTE(SUBSTITUTE(SUBSTITUTE(A1733,"~","~~"),"*","~*"),"?","~?")),"")</f>
        <v/>
      </c>
      <c r="C1733" t="str">
        <f>IF($B1733="","",SUMIFS(dAmt,dCust,$B1733,dPer,"&gt;="&amp;pyFrom,dPer,"&lt;="&amp;pyTo,dAmt,"&gt;-1E+300",dFlt1,critFlt1,dFlt2,critFlt2,dFlt3,critFlt3))</f>
        <v/>
      </c>
      <c r="D1733" t="str">
        <f>IF($B1733="","",SUMIFS(dAmt,dCust,$B1733,dPer,"&gt;="&amp;cyFrom,dPer,"&lt;="&amp;cyTo,dAmt,"&gt;-1E+300",dFlt1,critFlt1,dFlt2,critFlt2,dFlt3,critFlt3))</f>
        <v/>
      </c>
      <c r="E1733" t="str">
        <f>IF($B1733="","",SUMIFS(dQty,dCust,$B1733,dPer,"&gt;="&amp;pyFrom,dPer,"&lt;="&amp;pyTo,dQty,"&gt;-1E+300",dFlt1,critFlt1,dFlt2,critFlt2,dFlt3,critFlt3))</f>
        <v/>
      </c>
      <c r="F1733" t="str">
        <f>IF($B1733="","",SUMIFS(dQty,dCust,$B1733,dPer,"&gt;="&amp;cyFrom,dPer,"&lt;="&amp;cyTo,dQty,"&gt;-1E+300",dFlt1,critFlt1,dFlt2,critFlt2,dFlt3,critFlt3))</f>
        <v/>
      </c>
      <c r="G1733">
        <f>IF($B1733="",0,IFERROR(IF(OR(C1733&lt;&gt;0,D1733&lt;&gt;0,E1733&lt;&gt;0,F1733&lt;&gt;0),1,0),1))</f>
        <v>0</v>
      </c>
      <c r="H1733" t="str">
        <f>IF(OR(G1733=0,E1733=0),"",C1733/E1733)</f>
        <v/>
      </c>
      <c r="I1733" t="str">
        <f>IF(OR(G1733=0,F1733=0),"",D1733/F1733)</f>
        <v/>
      </c>
      <c r="J1733" t="str">
        <f>IF(OR(H1733="",I1733=""),"",IF(H1733=0,"",I1733/H1733-1))</f>
        <v/>
      </c>
      <c r="K1733" t="str">
        <f>IF($B1733="","",IFERROR(IF(G1733=0,-2E+300,CHOOSE(sortIdx,ROUND(D1733,0),IF(J1733="",-1E+300,ROUND(-J1733,6)),IF(J1733="",-1E+300,ROUND(J1733,6)))),-1.5E+300))</f>
        <v/>
      </c>
      <c r="L1733" t="str">
        <f>IF(K1733="","",RANK(K1733,$K$2:$K$3001,0)+COUNTIF($K$2:K1733,K1733)-1)</f>
        <v/>
      </c>
    </row>
    <row r="1734">
      <c r="B1734" t="str">
        <f>IFERROR(IF(A1734="","","="&amp;SUBSTITUTE(SUBSTITUTE(SUBSTITUTE(A1734,"~","~~"),"*","~*"),"?","~?")),"")</f>
        <v/>
      </c>
      <c r="C1734" t="str">
        <f>IF($B1734="","",SUMIFS(dAmt,dCust,$B1734,dPer,"&gt;="&amp;pyFrom,dPer,"&lt;="&amp;pyTo,dAmt,"&gt;-1E+300",dFlt1,critFlt1,dFlt2,critFlt2,dFlt3,critFlt3))</f>
        <v/>
      </c>
      <c r="D1734" t="str">
        <f>IF($B1734="","",SUMIFS(dAmt,dCust,$B1734,dPer,"&gt;="&amp;cyFrom,dPer,"&lt;="&amp;cyTo,dAmt,"&gt;-1E+300",dFlt1,critFlt1,dFlt2,critFlt2,dFlt3,critFlt3))</f>
        <v/>
      </c>
      <c r="E1734" t="str">
        <f>IF($B1734="","",SUMIFS(dQty,dCust,$B1734,dPer,"&gt;="&amp;pyFrom,dPer,"&lt;="&amp;pyTo,dQty,"&gt;-1E+300",dFlt1,critFlt1,dFlt2,critFlt2,dFlt3,critFlt3))</f>
        <v/>
      </c>
      <c r="F1734" t="str">
        <f>IF($B1734="","",SUMIFS(dQty,dCust,$B1734,dPer,"&gt;="&amp;cyFrom,dPer,"&lt;="&amp;cyTo,dQty,"&gt;-1E+300",dFlt1,critFlt1,dFlt2,critFlt2,dFlt3,critFlt3))</f>
        <v/>
      </c>
      <c r="G1734">
        <f>IF($B1734="",0,IFERROR(IF(OR(C1734&lt;&gt;0,D1734&lt;&gt;0,E1734&lt;&gt;0,F1734&lt;&gt;0),1,0),1))</f>
        <v>0</v>
      </c>
      <c r="H1734" t="str">
        <f>IF(OR(G1734=0,E1734=0),"",C1734/E1734)</f>
        <v/>
      </c>
      <c r="I1734" t="str">
        <f>IF(OR(G1734=0,F1734=0),"",D1734/F1734)</f>
        <v/>
      </c>
      <c r="J1734" t="str">
        <f>IF(OR(H1734="",I1734=""),"",IF(H1734=0,"",I1734/H1734-1))</f>
        <v/>
      </c>
      <c r="K1734" t="str">
        <f>IF($B1734="","",IFERROR(IF(G1734=0,-2E+300,CHOOSE(sortIdx,ROUND(D1734,0),IF(J1734="",-1E+300,ROUND(-J1734,6)),IF(J1734="",-1E+300,ROUND(J1734,6)))),-1.5E+300))</f>
        <v/>
      </c>
      <c r="L1734" t="str">
        <f>IF(K1734="","",RANK(K1734,$K$2:$K$3001,0)+COUNTIF($K$2:K1734,K1734)-1)</f>
        <v/>
      </c>
    </row>
    <row r="1735">
      <c r="B1735" t="str">
        <f>IFERROR(IF(A1735="","","="&amp;SUBSTITUTE(SUBSTITUTE(SUBSTITUTE(A1735,"~","~~"),"*","~*"),"?","~?")),"")</f>
        <v/>
      </c>
      <c r="C1735" t="str">
        <f>IF($B1735="","",SUMIFS(dAmt,dCust,$B1735,dPer,"&gt;="&amp;pyFrom,dPer,"&lt;="&amp;pyTo,dAmt,"&gt;-1E+300",dFlt1,critFlt1,dFlt2,critFlt2,dFlt3,critFlt3))</f>
        <v/>
      </c>
      <c r="D1735" t="str">
        <f>IF($B1735="","",SUMIFS(dAmt,dCust,$B1735,dPer,"&gt;="&amp;cyFrom,dPer,"&lt;="&amp;cyTo,dAmt,"&gt;-1E+300",dFlt1,critFlt1,dFlt2,critFlt2,dFlt3,critFlt3))</f>
        <v/>
      </c>
      <c r="E1735" t="str">
        <f>IF($B1735="","",SUMIFS(dQty,dCust,$B1735,dPer,"&gt;="&amp;pyFrom,dPer,"&lt;="&amp;pyTo,dQty,"&gt;-1E+300",dFlt1,critFlt1,dFlt2,critFlt2,dFlt3,critFlt3))</f>
        <v/>
      </c>
      <c r="F1735" t="str">
        <f>IF($B1735="","",SUMIFS(dQty,dCust,$B1735,dPer,"&gt;="&amp;cyFrom,dPer,"&lt;="&amp;cyTo,dQty,"&gt;-1E+300",dFlt1,critFlt1,dFlt2,critFlt2,dFlt3,critFlt3))</f>
        <v/>
      </c>
      <c r="G1735">
        <f>IF($B1735="",0,IFERROR(IF(OR(C1735&lt;&gt;0,D1735&lt;&gt;0,E1735&lt;&gt;0,F1735&lt;&gt;0),1,0),1))</f>
        <v>0</v>
      </c>
      <c r="H1735" t="str">
        <f>IF(OR(G1735=0,E1735=0),"",C1735/E1735)</f>
        <v/>
      </c>
      <c r="I1735" t="str">
        <f>IF(OR(G1735=0,F1735=0),"",D1735/F1735)</f>
        <v/>
      </c>
      <c r="J1735" t="str">
        <f>IF(OR(H1735="",I1735=""),"",IF(H1735=0,"",I1735/H1735-1))</f>
        <v/>
      </c>
      <c r="K1735" t="str">
        <f>IF($B1735="","",IFERROR(IF(G1735=0,-2E+300,CHOOSE(sortIdx,ROUND(D1735,0),IF(J1735="",-1E+300,ROUND(-J1735,6)),IF(J1735="",-1E+300,ROUND(J1735,6)))),-1.5E+300))</f>
        <v/>
      </c>
      <c r="L1735" t="str">
        <f>IF(K1735="","",RANK(K1735,$K$2:$K$3001,0)+COUNTIF($K$2:K1735,K1735)-1)</f>
        <v/>
      </c>
    </row>
    <row r="1736">
      <c r="B1736" t="str">
        <f>IFERROR(IF(A1736="","","="&amp;SUBSTITUTE(SUBSTITUTE(SUBSTITUTE(A1736,"~","~~"),"*","~*"),"?","~?")),"")</f>
        <v/>
      </c>
      <c r="C1736" t="str">
        <f>IF($B1736="","",SUMIFS(dAmt,dCust,$B1736,dPer,"&gt;="&amp;pyFrom,dPer,"&lt;="&amp;pyTo,dAmt,"&gt;-1E+300",dFlt1,critFlt1,dFlt2,critFlt2,dFlt3,critFlt3))</f>
        <v/>
      </c>
      <c r="D1736" t="str">
        <f>IF($B1736="","",SUMIFS(dAmt,dCust,$B1736,dPer,"&gt;="&amp;cyFrom,dPer,"&lt;="&amp;cyTo,dAmt,"&gt;-1E+300",dFlt1,critFlt1,dFlt2,critFlt2,dFlt3,critFlt3))</f>
        <v/>
      </c>
      <c r="E1736" t="str">
        <f>IF($B1736="","",SUMIFS(dQty,dCust,$B1736,dPer,"&gt;="&amp;pyFrom,dPer,"&lt;="&amp;pyTo,dQty,"&gt;-1E+300",dFlt1,critFlt1,dFlt2,critFlt2,dFlt3,critFlt3))</f>
        <v/>
      </c>
      <c r="F1736" t="str">
        <f>IF($B1736="","",SUMIFS(dQty,dCust,$B1736,dPer,"&gt;="&amp;cyFrom,dPer,"&lt;="&amp;cyTo,dQty,"&gt;-1E+300",dFlt1,critFlt1,dFlt2,critFlt2,dFlt3,critFlt3))</f>
        <v/>
      </c>
      <c r="G1736">
        <f>IF($B1736="",0,IFERROR(IF(OR(C1736&lt;&gt;0,D1736&lt;&gt;0,E1736&lt;&gt;0,F1736&lt;&gt;0),1,0),1))</f>
        <v>0</v>
      </c>
      <c r="H1736" t="str">
        <f>IF(OR(G1736=0,E1736=0),"",C1736/E1736)</f>
        <v/>
      </c>
      <c r="I1736" t="str">
        <f>IF(OR(G1736=0,F1736=0),"",D1736/F1736)</f>
        <v/>
      </c>
      <c r="J1736" t="str">
        <f>IF(OR(H1736="",I1736=""),"",IF(H1736=0,"",I1736/H1736-1))</f>
        <v/>
      </c>
      <c r="K1736" t="str">
        <f>IF($B1736="","",IFERROR(IF(G1736=0,-2E+300,CHOOSE(sortIdx,ROUND(D1736,0),IF(J1736="",-1E+300,ROUND(-J1736,6)),IF(J1736="",-1E+300,ROUND(J1736,6)))),-1.5E+300))</f>
        <v/>
      </c>
      <c r="L1736" t="str">
        <f>IF(K1736="","",RANK(K1736,$K$2:$K$3001,0)+COUNTIF($K$2:K1736,K1736)-1)</f>
        <v/>
      </c>
    </row>
    <row r="1737">
      <c r="B1737" t="str">
        <f>IFERROR(IF(A1737="","","="&amp;SUBSTITUTE(SUBSTITUTE(SUBSTITUTE(A1737,"~","~~"),"*","~*"),"?","~?")),"")</f>
        <v/>
      </c>
      <c r="C1737" t="str">
        <f>IF($B1737="","",SUMIFS(dAmt,dCust,$B1737,dPer,"&gt;="&amp;pyFrom,dPer,"&lt;="&amp;pyTo,dAmt,"&gt;-1E+300",dFlt1,critFlt1,dFlt2,critFlt2,dFlt3,critFlt3))</f>
        <v/>
      </c>
      <c r="D1737" t="str">
        <f>IF($B1737="","",SUMIFS(dAmt,dCust,$B1737,dPer,"&gt;="&amp;cyFrom,dPer,"&lt;="&amp;cyTo,dAmt,"&gt;-1E+300",dFlt1,critFlt1,dFlt2,critFlt2,dFlt3,critFlt3))</f>
        <v/>
      </c>
      <c r="E1737" t="str">
        <f>IF($B1737="","",SUMIFS(dQty,dCust,$B1737,dPer,"&gt;="&amp;pyFrom,dPer,"&lt;="&amp;pyTo,dQty,"&gt;-1E+300",dFlt1,critFlt1,dFlt2,critFlt2,dFlt3,critFlt3))</f>
        <v/>
      </c>
      <c r="F1737" t="str">
        <f>IF($B1737="","",SUMIFS(dQty,dCust,$B1737,dPer,"&gt;="&amp;cyFrom,dPer,"&lt;="&amp;cyTo,dQty,"&gt;-1E+300",dFlt1,critFlt1,dFlt2,critFlt2,dFlt3,critFlt3))</f>
        <v/>
      </c>
      <c r="G1737">
        <f>IF($B1737="",0,IFERROR(IF(OR(C1737&lt;&gt;0,D1737&lt;&gt;0,E1737&lt;&gt;0,F1737&lt;&gt;0),1,0),1))</f>
        <v>0</v>
      </c>
      <c r="H1737" t="str">
        <f>IF(OR(G1737=0,E1737=0),"",C1737/E1737)</f>
        <v/>
      </c>
      <c r="I1737" t="str">
        <f>IF(OR(G1737=0,F1737=0),"",D1737/F1737)</f>
        <v/>
      </c>
      <c r="J1737" t="str">
        <f>IF(OR(H1737="",I1737=""),"",IF(H1737=0,"",I1737/H1737-1))</f>
        <v/>
      </c>
      <c r="K1737" t="str">
        <f>IF($B1737="","",IFERROR(IF(G1737=0,-2E+300,CHOOSE(sortIdx,ROUND(D1737,0),IF(J1737="",-1E+300,ROUND(-J1737,6)),IF(J1737="",-1E+300,ROUND(J1737,6)))),-1.5E+300))</f>
        <v/>
      </c>
      <c r="L1737" t="str">
        <f>IF(K1737="","",RANK(K1737,$K$2:$K$3001,0)+COUNTIF($K$2:K1737,K1737)-1)</f>
        <v/>
      </c>
    </row>
    <row r="1738">
      <c r="B1738" t="str">
        <f>IFERROR(IF(A1738="","","="&amp;SUBSTITUTE(SUBSTITUTE(SUBSTITUTE(A1738,"~","~~"),"*","~*"),"?","~?")),"")</f>
        <v/>
      </c>
      <c r="C1738" t="str">
        <f>IF($B1738="","",SUMIFS(dAmt,dCust,$B1738,dPer,"&gt;="&amp;pyFrom,dPer,"&lt;="&amp;pyTo,dAmt,"&gt;-1E+300",dFlt1,critFlt1,dFlt2,critFlt2,dFlt3,critFlt3))</f>
        <v/>
      </c>
      <c r="D1738" t="str">
        <f>IF($B1738="","",SUMIFS(dAmt,dCust,$B1738,dPer,"&gt;="&amp;cyFrom,dPer,"&lt;="&amp;cyTo,dAmt,"&gt;-1E+300",dFlt1,critFlt1,dFlt2,critFlt2,dFlt3,critFlt3))</f>
        <v/>
      </c>
      <c r="E1738" t="str">
        <f>IF($B1738="","",SUMIFS(dQty,dCust,$B1738,dPer,"&gt;="&amp;pyFrom,dPer,"&lt;="&amp;pyTo,dQty,"&gt;-1E+300",dFlt1,critFlt1,dFlt2,critFlt2,dFlt3,critFlt3))</f>
        <v/>
      </c>
      <c r="F1738" t="str">
        <f>IF($B1738="","",SUMIFS(dQty,dCust,$B1738,dPer,"&gt;="&amp;cyFrom,dPer,"&lt;="&amp;cyTo,dQty,"&gt;-1E+300",dFlt1,critFlt1,dFlt2,critFlt2,dFlt3,critFlt3))</f>
        <v/>
      </c>
      <c r="G1738">
        <f>IF($B1738="",0,IFERROR(IF(OR(C1738&lt;&gt;0,D1738&lt;&gt;0,E1738&lt;&gt;0,F1738&lt;&gt;0),1,0),1))</f>
        <v>0</v>
      </c>
      <c r="H1738" t="str">
        <f>IF(OR(G1738=0,E1738=0),"",C1738/E1738)</f>
        <v/>
      </c>
      <c r="I1738" t="str">
        <f>IF(OR(G1738=0,F1738=0),"",D1738/F1738)</f>
        <v/>
      </c>
      <c r="J1738" t="str">
        <f>IF(OR(H1738="",I1738=""),"",IF(H1738=0,"",I1738/H1738-1))</f>
        <v/>
      </c>
      <c r="K1738" t="str">
        <f>IF($B1738="","",IFERROR(IF(G1738=0,-2E+300,CHOOSE(sortIdx,ROUND(D1738,0),IF(J1738="",-1E+300,ROUND(-J1738,6)),IF(J1738="",-1E+300,ROUND(J1738,6)))),-1.5E+300))</f>
        <v/>
      </c>
      <c r="L1738" t="str">
        <f>IF(K1738="","",RANK(K1738,$K$2:$K$3001,0)+COUNTIF($K$2:K1738,K1738)-1)</f>
        <v/>
      </c>
    </row>
    <row r="1739">
      <c r="B1739" t="str">
        <f>IFERROR(IF(A1739="","","="&amp;SUBSTITUTE(SUBSTITUTE(SUBSTITUTE(A1739,"~","~~"),"*","~*"),"?","~?")),"")</f>
        <v/>
      </c>
      <c r="C1739" t="str">
        <f>IF($B1739="","",SUMIFS(dAmt,dCust,$B1739,dPer,"&gt;="&amp;pyFrom,dPer,"&lt;="&amp;pyTo,dAmt,"&gt;-1E+300",dFlt1,critFlt1,dFlt2,critFlt2,dFlt3,critFlt3))</f>
        <v/>
      </c>
      <c r="D1739" t="str">
        <f>IF($B1739="","",SUMIFS(dAmt,dCust,$B1739,dPer,"&gt;="&amp;cyFrom,dPer,"&lt;="&amp;cyTo,dAmt,"&gt;-1E+300",dFlt1,critFlt1,dFlt2,critFlt2,dFlt3,critFlt3))</f>
        <v/>
      </c>
      <c r="E1739" t="str">
        <f>IF($B1739="","",SUMIFS(dQty,dCust,$B1739,dPer,"&gt;="&amp;pyFrom,dPer,"&lt;="&amp;pyTo,dQty,"&gt;-1E+300",dFlt1,critFlt1,dFlt2,critFlt2,dFlt3,critFlt3))</f>
        <v/>
      </c>
      <c r="F1739" t="str">
        <f>IF($B1739="","",SUMIFS(dQty,dCust,$B1739,dPer,"&gt;="&amp;cyFrom,dPer,"&lt;="&amp;cyTo,dQty,"&gt;-1E+300",dFlt1,critFlt1,dFlt2,critFlt2,dFlt3,critFlt3))</f>
        <v/>
      </c>
      <c r="G1739">
        <f>IF($B1739="",0,IFERROR(IF(OR(C1739&lt;&gt;0,D1739&lt;&gt;0,E1739&lt;&gt;0,F1739&lt;&gt;0),1,0),1))</f>
        <v>0</v>
      </c>
      <c r="H1739" t="str">
        <f>IF(OR(G1739=0,E1739=0),"",C1739/E1739)</f>
        <v/>
      </c>
      <c r="I1739" t="str">
        <f>IF(OR(G1739=0,F1739=0),"",D1739/F1739)</f>
        <v/>
      </c>
      <c r="J1739" t="str">
        <f>IF(OR(H1739="",I1739=""),"",IF(H1739=0,"",I1739/H1739-1))</f>
        <v/>
      </c>
      <c r="K1739" t="str">
        <f>IF($B1739="","",IFERROR(IF(G1739=0,-2E+300,CHOOSE(sortIdx,ROUND(D1739,0),IF(J1739="",-1E+300,ROUND(-J1739,6)),IF(J1739="",-1E+300,ROUND(J1739,6)))),-1.5E+300))</f>
        <v/>
      </c>
      <c r="L1739" t="str">
        <f>IF(K1739="","",RANK(K1739,$K$2:$K$3001,0)+COUNTIF($K$2:K1739,K1739)-1)</f>
        <v/>
      </c>
    </row>
    <row r="1740">
      <c r="B1740" t="str">
        <f>IFERROR(IF(A1740="","","="&amp;SUBSTITUTE(SUBSTITUTE(SUBSTITUTE(A1740,"~","~~"),"*","~*"),"?","~?")),"")</f>
        <v/>
      </c>
      <c r="C1740" t="str">
        <f>IF($B1740="","",SUMIFS(dAmt,dCust,$B1740,dPer,"&gt;="&amp;pyFrom,dPer,"&lt;="&amp;pyTo,dAmt,"&gt;-1E+300",dFlt1,critFlt1,dFlt2,critFlt2,dFlt3,critFlt3))</f>
        <v/>
      </c>
      <c r="D1740" t="str">
        <f>IF($B1740="","",SUMIFS(dAmt,dCust,$B1740,dPer,"&gt;="&amp;cyFrom,dPer,"&lt;="&amp;cyTo,dAmt,"&gt;-1E+300",dFlt1,critFlt1,dFlt2,critFlt2,dFlt3,critFlt3))</f>
        <v/>
      </c>
      <c r="E1740" t="str">
        <f>IF($B1740="","",SUMIFS(dQty,dCust,$B1740,dPer,"&gt;="&amp;pyFrom,dPer,"&lt;="&amp;pyTo,dQty,"&gt;-1E+300",dFlt1,critFlt1,dFlt2,critFlt2,dFlt3,critFlt3))</f>
        <v/>
      </c>
      <c r="F1740" t="str">
        <f>IF($B1740="","",SUMIFS(dQty,dCust,$B1740,dPer,"&gt;="&amp;cyFrom,dPer,"&lt;="&amp;cyTo,dQty,"&gt;-1E+300",dFlt1,critFlt1,dFlt2,critFlt2,dFlt3,critFlt3))</f>
        <v/>
      </c>
      <c r="G1740">
        <f>IF($B1740="",0,IFERROR(IF(OR(C1740&lt;&gt;0,D1740&lt;&gt;0,E1740&lt;&gt;0,F1740&lt;&gt;0),1,0),1))</f>
        <v>0</v>
      </c>
      <c r="H1740" t="str">
        <f>IF(OR(G1740=0,E1740=0),"",C1740/E1740)</f>
        <v/>
      </c>
      <c r="I1740" t="str">
        <f>IF(OR(G1740=0,F1740=0),"",D1740/F1740)</f>
        <v/>
      </c>
      <c r="J1740" t="str">
        <f>IF(OR(H1740="",I1740=""),"",IF(H1740=0,"",I1740/H1740-1))</f>
        <v/>
      </c>
      <c r="K1740" t="str">
        <f>IF($B1740="","",IFERROR(IF(G1740=0,-2E+300,CHOOSE(sortIdx,ROUND(D1740,0),IF(J1740="",-1E+300,ROUND(-J1740,6)),IF(J1740="",-1E+300,ROUND(J1740,6)))),-1.5E+300))</f>
        <v/>
      </c>
      <c r="L1740" t="str">
        <f>IF(K1740="","",RANK(K1740,$K$2:$K$3001,0)+COUNTIF($K$2:K1740,K1740)-1)</f>
        <v/>
      </c>
    </row>
    <row r="1741">
      <c r="B1741" t="str">
        <f>IFERROR(IF(A1741="","","="&amp;SUBSTITUTE(SUBSTITUTE(SUBSTITUTE(A1741,"~","~~"),"*","~*"),"?","~?")),"")</f>
        <v/>
      </c>
      <c r="C1741" t="str">
        <f>IF($B1741="","",SUMIFS(dAmt,dCust,$B1741,dPer,"&gt;="&amp;pyFrom,dPer,"&lt;="&amp;pyTo,dAmt,"&gt;-1E+300",dFlt1,critFlt1,dFlt2,critFlt2,dFlt3,critFlt3))</f>
        <v/>
      </c>
      <c r="D1741" t="str">
        <f>IF($B1741="","",SUMIFS(dAmt,dCust,$B1741,dPer,"&gt;="&amp;cyFrom,dPer,"&lt;="&amp;cyTo,dAmt,"&gt;-1E+300",dFlt1,critFlt1,dFlt2,critFlt2,dFlt3,critFlt3))</f>
        <v/>
      </c>
      <c r="E1741" t="str">
        <f>IF($B1741="","",SUMIFS(dQty,dCust,$B1741,dPer,"&gt;="&amp;pyFrom,dPer,"&lt;="&amp;pyTo,dQty,"&gt;-1E+300",dFlt1,critFlt1,dFlt2,critFlt2,dFlt3,critFlt3))</f>
        <v/>
      </c>
      <c r="F1741" t="str">
        <f>IF($B1741="","",SUMIFS(dQty,dCust,$B1741,dPer,"&gt;="&amp;cyFrom,dPer,"&lt;="&amp;cyTo,dQty,"&gt;-1E+300",dFlt1,critFlt1,dFlt2,critFlt2,dFlt3,critFlt3))</f>
        <v/>
      </c>
      <c r="G1741">
        <f>IF($B1741="",0,IFERROR(IF(OR(C1741&lt;&gt;0,D1741&lt;&gt;0,E1741&lt;&gt;0,F1741&lt;&gt;0),1,0),1))</f>
        <v>0</v>
      </c>
      <c r="H1741" t="str">
        <f>IF(OR(G1741=0,E1741=0),"",C1741/E1741)</f>
        <v/>
      </c>
      <c r="I1741" t="str">
        <f>IF(OR(G1741=0,F1741=0),"",D1741/F1741)</f>
        <v/>
      </c>
      <c r="J1741" t="str">
        <f>IF(OR(H1741="",I1741=""),"",IF(H1741=0,"",I1741/H1741-1))</f>
        <v/>
      </c>
      <c r="K1741" t="str">
        <f>IF($B1741="","",IFERROR(IF(G1741=0,-2E+300,CHOOSE(sortIdx,ROUND(D1741,0),IF(J1741="",-1E+300,ROUND(-J1741,6)),IF(J1741="",-1E+300,ROUND(J1741,6)))),-1.5E+300))</f>
        <v/>
      </c>
      <c r="L1741" t="str">
        <f>IF(K1741="","",RANK(K1741,$K$2:$K$3001,0)+COUNTIF($K$2:K1741,K1741)-1)</f>
        <v/>
      </c>
    </row>
    <row r="1742">
      <c r="B1742" t="str">
        <f>IFERROR(IF(A1742="","","="&amp;SUBSTITUTE(SUBSTITUTE(SUBSTITUTE(A1742,"~","~~"),"*","~*"),"?","~?")),"")</f>
        <v/>
      </c>
      <c r="C1742" t="str">
        <f>IF($B1742="","",SUMIFS(dAmt,dCust,$B1742,dPer,"&gt;="&amp;pyFrom,dPer,"&lt;="&amp;pyTo,dAmt,"&gt;-1E+300",dFlt1,critFlt1,dFlt2,critFlt2,dFlt3,critFlt3))</f>
        <v/>
      </c>
      <c r="D1742" t="str">
        <f>IF($B1742="","",SUMIFS(dAmt,dCust,$B1742,dPer,"&gt;="&amp;cyFrom,dPer,"&lt;="&amp;cyTo,dAmt,"&gt;-1E+300",dFlt1,critFlt1,dFlt2,critFlt2,dFlt3,critFlt3))</f>
        <v/>
      </c>
      <c r="E1742" t="str">
        <f>IF($B1742="","",SUMIFS(dQty,dCust,$B1742,dPer,"&gt;="&amp;pyFrom,dPer,"&lt;="&amp;pyTo,dQty,"&gt;-1E+300",dFlt1,critFlt1,dFlt2,critFlt2,dFlt3,critFlt3))</f>
        <v/>
      </c>
      <c r="F1742" t="str">
        <f>IF($B1742="","",SUMIFS(dQty,dCust,$B1742,dPer,"&gt;="&amp;cyFrom,dPer,"&lt;="&amp;cyTo,dQty,"&gt;-1E+300",dFlt1,critFlt1,dFlt2,critFlt2,dFlt3,critFlt3))</f>
        <v/>
      </c>
      <c r="G1742">
        <f>IF($B1742="",0,IFERROR(IF(OR(C1742&lt;&gt;0,D1742&lt;&gt;0,E1742&lt;&gt;0,F1742&lt;&gt;0),1,0),1))</f>
        <v>0</v>
      </c>
      <c r="H1742" t="str">
        <f>IF(OR(G1742=0,E1742=0),"",C1742/E1742)</f>
        <v/>
      </c>
      <c r="I1742" t="str">
        <f>IF(OR(G1742=0,F1742=0),"",D1742/F1742)</f>
        <v/>
      </c>
      <c r="J1742" t="str">
        <f>IF(OR(H1742="",I1742=""),"",IF(H1742=0,"",I1742/H1742-1))</f>
        <v/>
      </c>
      <c r="K1742" t="str">
        <f>IF($B1742="","",IFERROR(IF(G1742=0,-2E+300,CHOOSE(sortIdx,ROUND(D1742,0),IF(J1742="",-1E+300,ROUND(-J1742,6)),IF(J1742="",-1E+300,ROUND(J1742,6)))),-1.5E+300))</f>
        <v/>
      </c>
      <c r="L1742" t="str">
        <f>IF(K1742="","",RANK(K1742,$K$2:$K$3001,0)+COUNTIF($K$2:K1742,K1742)-1)</f>
        <v/>
      </c>
    </row>
    <row r="1743">
      <c r="B1743" t="str">
        <f>IFERROR(IF(A1743="","","="&amp;SUBSTITUTE(SUBSTITUTE(SUBSTITUTE(A1743,"~","~~"),"*","~*"),"?","~?")),"")</f>
        <v/>
      </c>
      <c r="C1743" t="str">
        <f>IF($B1743="","",SUMIFS(dAmt,dCust,$B1743,dPer,"&gt;="&amp;pyFrom,dPer,"&lt;="&amp;pyTo,dAmt,"&gt;-1E+300",dFlt1,critFlt1,dFlt2,critFlt2,dFlt3,critFlt3))</f>
        <v/>
      </c>
      <c r="D1743" t="str">
        <f>IF($B1743="","",SUMIFS(dAmt,dCust,$B1743,dPer,"&gt;="&amp;cyFrom,dPer,"&lt;="&amp;cyTo,dAmt,"&gt;-1E+300",dFlt1,critFlt1,dFlt2,critFlt2,dFlt3,critFlt3))</f>
        <v/>
      </c>
      <c r="E1743" t="str">
        <f>IF($B1743="","",SUMIFS(dQty,dCust,$B1743,dPer,"&gt;="&amp;pyFrom,dPer,"&lt;="&amp;pyTo,dQty,"&gt;-1E+300",dFlt1,critFlt1,dFlt2,critFlt2,dFlt3,critFlt3))</f>
        <v/>
      </c>
      <c r="F1743" t="str">
        <f>IF($B1743="","",SUMIFS(dQty,dCust,$B1743,dPer,"&gt;="&amp;cyFrom,dPer,"&lt;="&amp;cyTo,dQty,"&gt;-1E+300",dFlt1,critFlt1,dFlt2,critFlt2,dFlt3,critFlt3))</f>
        <v/>
      </c>
      <c r="G1743">
        <f>IF($B1743="",0,IFERROR(IF(OR(C1743&lt;&gt;0,D1743&lt;&gt;0,E1743&lt;&gt;0,F1743&lt;&gt;0),1,0),1))</f>
        <v>0</v>
      </c>
      <c r="H1743" t="str">
        <f>IF(OR(G1743=0,E1743=0),"",C1743/E1743)</f>
        <v/>
      </c>
      <c r="I1743" t="str">
        <f>IF(OR(G1743=0,F1743=0),"",D1743/F1743)</f>
        <v/>
      </c>
      <c r="J1743" t="str">
        <f>IF(OR(H1743="",I1743=""),"",IF(H1743=0,"",I1743/H1743-1))</f>
        <v/>
      </c>
      <c r="K1743" t="str">
        <f>IF($B1743="","",IFERROR(IF(G1743=0,-2E+300,CHOOSE(sortIdx,ROUND(D1743,0),IF(J1743="",-1E+300,ROUND(-J1743,6)),IF(J1743="",-1E+300,ROUND(J1743,6)))),-1.5E+300))</f>
        <v/>
      </c>
      <c r="L1743" t="str">
        <f>IF(K1743="","",RANK(K1743,$K$2:$K$3001,0)+COUNTIF($K$2:K1743,K1743)-1)</f>
        <v/>
      </c>
    </row>
    <row r="1744">
      <c r="B1744" t="str">
        <f>IFERROR(IF(A1744="","","="&amp;SUBSTITUTE(SUBSTITUTE(SUBSTITUTE(A1744,"~","~~"),"*","~*"),"?","~?")),"")</f>
        <v/>
      </c>
      <c r="C1744" t="str">
        <f>IF($B1744="","",SUMIFS(dAmt,dCust,$B1744,dPer,"&gt;="&amp;pyFrom,dPer,"&lt;="&amp;pyTo,dAmt,"&gt;-1E+300",dFlt1,critFlt1,dFlt2,critFlt2,dFlt3,critFlt3))</f>
        <v/>
      </c>
      <c r="D1744" t="str">
        <f>IF($B1744="","",SUMIFS(dAmt,dCust,$B1744,dPer,"&gt;="&amp;cyFrom,dPer,"&lt;="&amp;cyTo,dAmt,"&gt;-1E+300",dFlt1,critFlt1,dFlt2,critFlt2,dFlt3,critFlt3))</f>
        <v/>
      </c>
      <c r="E1744" t="str">
        <f>IF($B1744="","",SUMIFS(dQty,dCust,$B1744,dPer,"&gt;="&amp;pyFrom,dPer,"&lt;="&amp;pyTo,dQty,"&gt;-1E+300",dFlt1,critFlt1,dFlt2,critFlt2,dFlt3,critFlt3))</f>
        <v/>
      </c>
      <c r="F1744" t="str">
        <f>IF($B1744="","",SUMIFS(dQty,dCust,$B1744,dPer,"&gt;="&amp;cyFrom,dPer,"&lt;="&amp;cyTo,dQty,"&gt;-1E+300",dFlt1,critFlt1,dFlt2,critFlt2,dFlt3,critFlt3))</f>
        <v/>
      </c>
      <c r="G1744">
        <f>IF($B1744="",0,IFERROR(IF(OR(C1744&lt;&gt;0,D1744&lt;&gt;0,E1744&lt;&gt;0,F1744&lt;&gt;0),1,0),1))</f>
        <v>0</v>
      </c>
      <c r="H1744" t="str">
        <f>IF(OR(G1744=0,E1744=0),"",C1744/E1744)</f>
        <v/>
      </c>
      <c r="I1744" t="str">
        <f>IF(OR(G1744=0,F1744=0),"",D1744/F1744)</f>
        <v/>
      </c>
      <c r="J1744" t="str">
        <f>IF(OR(H1744="",I1744=""),"",IF(H1744=0,"",I1744/H1744-1))</f>
        <v/>
      </c>
      <c r="K1744" t="str">
        <f>IF($B1744="","",IFERROR(IF(G1744=0,-2E+300,CHOOSE(sortIdx,ROUND(D1744,0),IF(J1744="",-1E+300,ROUND(-J1744,6)),IF(J1744="",-1E+300,ROUND(J1744,6)))),-1.5E+300))</f>
        <v/>
      </c>
      <c r="L1744" t="str">
        <f>IF(K1744="","",RANK(K1744,$K$2:$K$3001,0)+COUNTIF($K$2:K1744,K1744)-1)</f>
        <v/>
      </c>
    </row>
    <row r="1745">
      <c r="B1745" t="str">
        <f>IFERROR(IF(A1745="","","="&amp;SUBSTITUTE(SUBSTITUTE(SUBSTITUTE(A1745,"~","~~"),"*","~*"),"?","~?")),"")</f>
        <v/>
      </c>
      <c r="C1745" t="str">
        <f>IF($B1745="","",SUMIFS(dAmt,dCust,$B1745,dPer,"&gt;="&amp;pyFrom,dPer,"&lt;="&amp;pyTo,dAmt,"&gt;-1E+300",dFlt1,critFlt1,dFlt2,critFlt2,dFlt3,critFlt3))</f>
        <v/>
      </c>
      <c r="D1745" t="str">
        <f>IF($B1745="","",SUMIFS(dAmt,dCust,$B1745,dPer,"&gt;="&amp;cyFrom,dPer,"&lt;="&amp;cyTo,dAmt,"&gt;-1E+300",dFlt1,critFlt1,dFlt2,critFlt2,dFlt3,critFlt3))</f>
        <v/>
      </c>
      <c r="E1745" t="str">
        <f>IF($B1745="","",SUMIFS(dQty,dCust,$B1745,dPer,"&gt;="&amp;pyFrom,dPer,"&lt;="&amp;pyTo,dQty,"&gt;-1E+300",dFlt1,critFlt1,dFlt2,critFlt2,dFlt3,critFlt3))</f>
        <v/>
      </c>
      <c r="F1745" t="str">
        <f>IF($B1745="","",SUMIFS(dQty,dCust,$B1745,dPer,"&gt;="&amp;cyFrom,dPer,"&lt;="&amp;cyTo,dQty,"&gt;-1E+300",dFlt1,critFlt1,dFlt2,critFlt2,dFlt3,critFlt3))</f>
        <v/>
      </c>
      <c r="G1745">
        <f>IF($B1745="",0,IFERROR(IF(OR(C1745&lt;&gt;0,D1745&lt;&gt;0,E1745&lt;&gt;0,F1745&lt;&gt;0),1,0),1))</f>
        <v>0</v>
      </c>
      <c r="H1745" t="str">
        <f>IF(OR(G1745=0,E1745=0),"",C1745/E1745)</f>
        <v/>
      </c>
      <c r="I1745" t="str">
        <f>IF(OR(G1745=0,F1745=0),"",D1745/F1745)</f>
        <v/>
      </c>
      <c r="J1745" t="str">
        <f>IF(OR(H1745="",I1745=""),"",IF(H1745=0,"",I1745/H1745-1))</f>
        <v/>
      </c>
      <c r="K1745" t="str">
        <f>IF($B1745="","",IFERROR(IF(G1745=0,-2E+300,CHOOSE(sortIdx,ROUND(D1745,0),IF(J1745="",-1E+300,ROUND(-J1745,6)),IF(J1745="",-1E+300,ROUND(J1745,6)))),-1.5E+300))</f>
        <v/>
      </c>
      <c r="L1745" t="str">
        <f>IF(K1745="","",RANK(K1745,$K$2:$K$3001,0)+COUNTIF($K$2:K1745,K1745)-1)</f>
        <v/>
      </c>
    </row>
    <row r="1746">
      <c r="B1746" t="str">
        <f>IFERROR(IF(A1746="","","="&amp;SUBSTITUTE(SUBSTITUTE(SUBSTITUTE(A1746,"~","~~"),"*","~*"),"?","~?")),"")</f>
        <v/>
      </c>
      <c r="C1746" t="str">
        <f>IF($B1746="","",SUMIFS(dAmt,dCust,$B1746,dPer,"&gt;="&amp;pyFrom,dPer,"&lt;="&amp;pyTo,dAmt,"&gt;-1E+300",dFlt1,critFlt1,dFlt2,critFlt2,dFlt3,critFlt3))</f>
        <v/>
      </c>
      <c r="D1746" t="str">
        <f>IF($B1746="","",SUMIFS(dAmt,dCust,$B1746,dPer,"&gt;="&amp;cyFrom,dPer,"&lt;="&amp;cyTo,dAmt,"&gt;-1E+300",dFlt1,critFlt1,dFlt2,critFlt2,dFlt3,critFlt3))</f>
        <v/>
      </c>
      <c r="E1746" t="str">
        <f>IF($B1746="","",SUMIFS(dQty,dCust,$B1746,dPer,"&gt;="&amp;pyFrom,dPer,"&lt;="&amp;pyTo,dQty,"&gt;-1E+300",dFlt1,critFlt1,dFlt2,critFlt2,dFlt3,critFlt3))</f>
        <v/>
      </c>
      <c r="F1746" t="str">
        <f>IF($B1746="","",SUMIFS(dQty,dCust,$B1746,dPer,"&gt;="&amp;cyFrom,dPer,"&lt;="&amp;cyTo,dQty,"&gt;-1E+300",dFlt1,critFlt1,dFlt2,critFlt2,dFlt3,critFlt3))</f>
        <v/>
      </c>
      <c r="G1746">
        <f>IF($B1746="",0,IFERROR(IF(OR(C1746&lt;&gt;0,D1746&lt;&gt;0,E1746&lt;&gt;0,F1746&lt;&gt;0),1,0),1))</f>
        <v>0</v>
      </c>
      <c r="H1746" t="str">
        <f>IF(OR(G1746=0,E1746=0),"",C1746/E1746)</f>
        <v/>
      </c>
      <c r="I1746" t="str">
        <f>IF(OR(G1746=0,F1746=0),"",D1746/F1746)</f>
        <v/>
      </c>
      <c r="J1746" t="str">
        <f>IF(OR(H1746="",I1746=""),"",IF(H1746=0,"",I1746/H1746-1))</f>
        <v/>
      </c>
      <c r="K1746" t="str">
        <f>IF($B1746="","",IFERROR(IF(G1746=0,-2E+300,CHOOSE(sortIdx,ROUND(D1746,0),IF(J1746="",-1E+300,ROUND(-J1746,6)),IF(J1746="",-1E+300,ROUND(J1746,6)))),-1.5E+300))</f>
        <v/>
      </c>
      <c r="L1746" t="str">
        <f>IF(K1746="","",RANK(K1746,$K$2:$K$3001,0)+COUNTIF($K$2:K1746,K1746)-1)</f>
        <v/>
      </c>
    </row>
    <row r="1747">
      <c r="B1747" t="str">
        <f>IFERROR(IF(A1747="","","="&amp;SUBSTITUTE(SUBSTITUTE(SUBSTITUTE(A1747,"~","~~"),"*","~*"),"?","~?")),"")</f>
        <v/>
      </c>
      <c r="C1747" t="str">
        <f>IF($B1747="","",SUMIFS(dAmt,dCust,$B1747,dPer,"&gt;="&amp;pyFrom,dPer,"&lt;="&amp;pyTo,dAmt,"&gt;-1E+300",dFlt1,critFlt1,dFlt2,critFlt2,dFlt3,critFlt3))</f>
        <v/>
      </c>
      <c r="D1747" t="str">
        <f>IF($B1747="","",SUMIFS(dAmt,dCust,$B1747,dPer,"&gt;="&amp;cyFrom,dPer,"&lt;="&amp;cyTo,dAmt,"&gt;-1E+300",dFlt1,critFlt1,dFlt2,critFlt2,dFlt3,critFlt3))</f>
        <v/>
      </c>
      <c r="E1747" t="str">
        <f>IF($B1747="","",SUMIFS(dQty,dCust,$B1747,dPer,"&gt;="&amp;pyFrom,dPer,"&lt;="&amp;pyTo,dQty,"&gt;-1E+300",dFlt1,critFlt1,dFlt2,critFlt2,dFlt3,critFlt3))</f>
        <v/>
      </c>
      <c r="F1747" t="str">
        <f>IF($B1747="","",SUMIFS(dQty,dCust,$B1747,dPer,"&gt;="&amp;cyFrom,dPer,"&lt;="&amp;cyTo,dQty,"&gt;-1E+300",dFlt1,critFlt1,dFlt2,critFlt2,dFlt3,critFlt3))</f>
        <v/>
      </c>
      <c r="G1747">
        <f>IF($B1747="",0,IFERROR(IF(OR(C1747&lt;&gt;0,D1747&lt;&gt;0,E1747&lt;&gt;0,F1747&lt;&gt;0),1,0),1))</f>
        <v>0</v>
      </c>
      <c r="H1747" t="str">
        <f>IF(OR(G1747=0,E1747=0),"",C1747/E1747)</f>
        <v/>
      </c>
      <c r="I1747" t="str">
        <f>IF(OR(G1747=0,F1747=0),"",D1747/F1747)</f>
        <v/>
      </c>
      <c r="J1747" t="str">
        <f>IF(OR(H1747="",I1747=""),"",IF(H1747=0,"",I1747/H1747-1))</f>
        <v/>
      </c>
      <c r="K1747" t="str">
        <f>IF($B1747="","",IFERROR(IF(G1747=0,-2E+300,CHOOSE(sortIdx,ROUND(D1747,0),IF(J1747="",-1E+300,ROUND(-J1747,6)),IF(J1747="",-1E+300,ROUND(J1747,6)))),-1.5E+300))</f>
        <v/>
      </c>
      <c r="L1747" t="str">
        <f>IF(K1747="","",RANK(K1747,$K$2:$K$3001,0)+COUNTIF($K$2:K1747,K1747)-1)</f>
        <v/>
      </c>
    </row>
    <row r="1748">
      <c r="B1748" t="str">
        <f>IFERROR(IF(A1748="","","="&amp;SUBSTITUTE(SUBSTITUTE(SUBSTITUTE(A1748,"~","~~"),"*","~*"),"?","~?")),"")</f>
        <v/>
      </c>
      <c r="C1748" t="str">
        <f>IF($B1748="","",SUMIFS(dAmt,dCust,$B1748,dPer,"&gt;="&amp;pyFrom,dPer,"&lt;="&amp;pyTo,dAmt,"&gt;-1E+300",dFlt1,critFlt1,dFlt2,critFlt2,dFlt3,critFlt3))</f>
        <v/>
      </c>
      <c r="D1748" t="str">
        <f>IF($B1748="","",SUMIFS(dAmt,dCust,$B1748,dPer,"&gt;="&amp;cyFrom,dPer,"&lt;="&amp;cyTo,dAmt,"&gt;-1E+300",dFlt1,critFlt1,dFlt2,critFlt2,dFlt3,critFlt3))</f>
        <v/>
      </c>
      <c r="E1748" t="str">
        <f>IF($B1748="","",SUMIFS(dQty,dCust,$B1748,dPer,"&gt;="&amp;pyFrom,dPer,"&lt;="&amp;pyTo,dQty,"&gt;-1E+300",dFlt1,critFlt1,dFlt2,critFlt2,dFlt3,critFlt3))</f>
        <v/>
      </c>
      <c r="F1748" t="str">
        <f>IF($B1748="","",SUMIFS(dQty,dCust,$B1748,dPer,"&gt;="&amp;cyFrom,dPer,"&lt;="&amp;cyTo,dQty,"&gt;-1E+300",dFlt1,critFlt1,dFlt2,critFlt2,dFlt3,critFlt3))</f>
        <v/>
      </c>
      <c r="G1748">
        <f>IF($B1748="",0,IFERROR(IF(OR(C1748&lt;&gt;0,D1748&lt;&gt;0,E1748&lt;&gt;0,F1748&lt;&gt;0),1,0),1))</f>
        <v>0</v>
      </c>
      <c r="H1748" t="str">
        <f>IF(OR(G1748=0,E1748=0),"",C1748/E1748)</f>
        <v/>
      </c>
      <c r="I1748" t="str">
        <f>IF(OR(G1748=0,F1748=0),"",D1748/F1748)</f>
        <v/>
      </c>
      <c r="J1748" t="str">
        <f>IF(OR(H1748="",I1748=""),"",IF(H1748=0,"",I1748/H1748-1))</f>
        <v/>
      </c>
      <c r="K1748" t="str">
        <f>IF($B1748="","",IFERROR(IF(G1748=0,-2E+300,CHOOSE(sortIdx,ROUND(D1748,0),IF(J1748="",-1E+300,ROUND(-J1748,6)),IF(J1748="",-1E+300,ROUND(J1748,6)))),-1.5E+300))</f>
        <v/>
      </c>
      <c r="L1748" t="str">
        <f>IF(K1748="","",RANK(K1748,$K$2:$K$3001,0)+COUNTIF($K$2:K1748,K1748)-1)</f>
        <v/>
      </c>
    </row>
    <row r="1749">
      <c r="B1749" t="str">
        <f>IFERROR(IF(A1749="","","="&amp;SUBSTITUTE(SUBSTITUTE(SUBSTITUTE(A1749,"~","~~"),"*","~*"),"?","~?")),"")</f>
        <v/>
      </c>
      <c r="C1749" t="str">
        <f>IF($B1749="","",SUMIFS(dAmt,dCust,$B1749,dPer,"&gt;="&amp;pyFrom,dPer,"&lt;="&amp;pyTo,dAmt,"&gt;-1E+300",dFlt1,critFlt1,dFlt2,critFlt2,dFlt3,critFlt3))</f>
        <v/>
      </c>
      <c r="D1749" t="str">
        <f>IF($B1749="","",SUMIFS(dAmt,dCust,$B1749,dPer,"&gt;="&amp;cyFrom,dPer,"&lt;="&amp;cyTo,dAmt,"&gt;-1E+300",dFlt1,critFlt1,dFlt2,critFlt2,dFlt3,critFlt3))</f>
        <v/>
      </c>
      <c r="E1749" t="str">
        <f>IF($B1749="","",SUMIFS(dQty,dCust,$B1749,dPer,"&gt;="&amp;pyFrom,dPer,"&lt;="&amp;pyTo,dQty,"&gt;-1E+300",dFlt1,critFlt1,dFlt2,critFlt2,dFlt3,critFlt3))</f>
        <v/>
      </c>
      <c r="F1749" t="str">
        <f>IF($B1749="","",SUMIFS(dQty,dCust,$B1749,dPer,"&gt;="&amp;cyFrom,dPer,"&lt;="&amp;cyTo,dQty,"&gt;-1E+300",dFlt1,critFlt1,dFlt2,critFlt2,dFlt3,critFlt3))</f>
        <v/>
      </c>
      <c r="G1749">
        <f>IF($B1749="",0,IFERROR(IF(OR(C1749&lt;&gt;0,D1749&lt;&gt;0,E1749&lt;&gt;0,F1749&lt;&gt;0),1,0),1))</f>
        <v>0</v>
      </c>
      <c r="H1749" t="str">
        <f>IF(OR(G1749=0,E1749=0),"",C1749/E1749)</f>
        <v/>
      </c>
      <c r="I1749" t="str">
        <f>IF(OR(G1749=0,F1749=0),"",D1749/F1749)</f>
        <v/>
      </c>
      <c r="J1749" t="str">
        <f>IF(OR(H1749="",I1749=""),"",IF(H1749=0,"",I1749/H1749-1))</f>
        <v/>
      </c>
      <c r="K1749" t="str">
        <f>IF($B1749="","",IFERROR(IF(G1749=0,-2E+300,CHOOSE(sortIdx,ROUND(D1749,0),IF(J1749="",-1E+300,ROUND(-J1749,6)),IF(J1749="",-1E+300,ROUND(J1749,6)))),-1.5E+300))</f>
        <v/>
      </c>
      <c r="L1749" t="str">
        <f>IF(K1749="","",RANK(K1749,$K$2:$K$3001,0)+COUNTIF($K$2:K1749,K1749)-1)</f>
        <v/>
      </c>
    </row>
    <row r="1750">
      <c r="B1750" t="str">
        <f>IFERROR(IF(A1750="","","="&amp;SUBSTITUTE(SUBSTITUTE(SUBSTITUTE(A1750,"~","~~"),"*","~*"),"?","~?")),"")</f>
        <v/>
      </c>
      <c r="C1750" t="str">
        <f>IF($B1750="","",SUMIFS(dAmt,dCust,$B1750,dPer,"&gt;="&amp;pyFrom,dPer,"&lt;="&amp;pyTo,dAmt,"&gt;-1E+300",dFlt1,critFlt1,dFlt2,critFlt2,dFlt3,critFlt3))</f>
        <v/>
      </c>
      <c r="D1750" t="str">
        <f>IF($B1750="","",SUMIFS(dAmt,dCust,$B1750,dPer,"&gt;="&amp;cyFrom,dPer,"&lt;="&amp;cyTo,dAmt,"&gt;-1E+300",dFlt1,critFlt1,dFlt2,critFlt2,dFlt3,critFlt3))</f>
        <v/>
      </c>
      <c r="E1750" t="str">
        <f>IF($B1750="","",SUMIFS(dQty,dCust,$B1750,dPer,"&gt;="&amp;pyFrom,dPer,"&lt;="&amp;pyTo,dQty,"&gt;-1E+300",dFlt1,critFlt1,dFlt2,critFlt2,dFlt3,critFlt3))</f>
        <v/>
      </c>
      <c r="F1750" t="str">
        <f>IF($B1750="","",SUMIFS(dQty,dCust,$B1750,dPer,"&gt;="&amp;cyFrom,dPer,"&lt;="&amp;cyTo,dQty,"&gt;-1E+300",dFlt1,critFlt1,dFlt2,critFlt2,dFlt3,critFlt3))</f>
        <v/>
      </c>
      <c r="G1750">
        <f>IF($B1750="",0,IFERROR(IF(OR(C1750&lt;&gt;0,D1750&lt;&gt;0,E1750&lt;&gt;0,F1750&lt;&gt;0),1,0),1))</f>
        <v>0</v>
      </c>
      <c r="H1750" t="str">
        <f>IF(OR(G1750=0,E1750=0),"",C1750/E1750)</f>
        <v/>
      </c>
      <c r="I1750" t="str">
        <f>IF(OR(G1750=0,F1750=0),"",D1750/F1750)</f>
        <v/>
      </c>
      <c r="J1750" t="str">
        <f>IF(OR(H1750="",I1750=""),"",IF(H1750=0,"",I1750/H1750-1))</f>
        <v/>
      </c>
      <c r="K1750" t="str">
        <f>IF($B1750="","",IFERROR(IF(G1750=0,-2E+300,CHOOSE(sortIdx,ROUND(D1750,0),IF(J1750="",-1E+300,ROUND(-J1750,6)),IF(J1750="",-1E+300,ROUND(J1750,6)))),-1.5E+300))</f>
        <v/>
      </c>
      <c r="L1750" t="str">
        <f>IF(K1750="","",RANK(K1750,$K$2:$K$3001,0)+COUNTIF($K$2:K1750,K1750)-1)</f>
        <v/>
      </c>
    </row>
    <row r="1751">
      <c r="B1751" t="str">
        <f>IFERROR(IF(A1751="","","="&amp;SUBSTITUTE(SUBSTITUTE(SUBSTITUTE(A1751,"~","~~"),"*","~*"),"?","~?")),"")</f>
        <v/>
      </c>
      <c r="C1751" t="str">
        <f>IF($B1751="","",SUMIFS(dAmt,dCust,$B1751,dPer,"&gt;="&amp;pyFrom,dPer,"&lt;="&amp;pyTo,dAmt,"&gt;-1E+300",dFlt1,critFlt1,dFlt2,critFlt2,dFlt3,critFlt3))</f>
        <v/>
      </c>
      <c r="D1751" t="str">
        <f>IF($B1751="","",SUMIFS(dAmt,dCust,$B1751,dPer,"&gt;="&amp;cyFrom,dPer,"&lt;="&amp;cyTo,dAmt,"&gt;-1E+300",dFlt1,critFlt1,dFlt2,critFlt2,dFlt3,critFlt3))</f>
        <v/>
      </c>
      <c r="E1751" t="str">
        <f>IF($B1751="","",SUMIFS(dQty,dCust,$B1751,dPer,"&gt;="&amp;pyFrom,dPer,"&lt;="&amp;pyTo,dQty,"&gt;-1E+300",dFlt1,critFlt1,dFlt2,critFlt2,dFlt3,critFlt3))</f>
        <v/>
      </c>
      <c r="F1751" t="str">
        <f>IF($B1751="","",SUMIFS(dQty,dCust,$B1751,dPer,"&gt;="&amp;cyFrom,dPer,"&lt;="&amp;cyTo,dQty,"&gt;-1E+300",dFlt1,critFlt1,dFlt2,critFlt2,dFlt3,critFlt3))</f>
        <v/>
      </c>
      <c r="G1751">
        <f>IF($B1751="",0,IFERROR(IF(OR(C1751&lt;&gt;0,D1751&lt;&gt;0,E1751&lt;&gt;0,F1751&lt;&gt;0),1,0),1))</f>
        <v>0</v>
      </c>
      <c r="H1751" t="str">
        <f>IF(OR(G1751=0,E1751=0),"",C1751/E1751)</f>
        <v/>
      </c>
      <c r="I1751" t="str">
        <f>IF(OR(G1751=0,F1751=0),"",D1751/F1751)</f>
        <v/>
      </c>
      <c r="J1751" t="str">
        <f>IF(OR(H1751="",I1751=""),"",IF(H1751=0,"",I1751/H1751-1))</f>
        <v/>
      </c>
      <c r="K1751" t="str">
        <f>IF($B1751="","",IFERROR(IF(G1751=0,-2E+300,CHOOSE(sortIdx,ROUND(D1751,0),IF(J1751="",-1E+300,ROUND(-J1751,6)),IF(J1751="",-1E+300,ROUND(J1751,6)))),-1.5E+300))</f>
        <v/>
      </c>
      <c r="L1751" t="str">
        <f>IF(K1751="","",RANK(K1751,$K$2:$K$3001,0)+COUNTIF($K$2:K1751,K1751)-1)</f>
        <v/>
      </c>
    </row>
    <row r="1752">
      <c r="B1752" t="str">
        <f>IFERROR(IF(A1752="","","="&amp;SUBSTITUTE(SUBSTITUTE(SUBSTITUTE(A1752,"~","~~"),"*","~*"),"?","~?")),"")</f>
        <v/>
      </c>
      <c r="C1752" t="str">
        <f>IF($B1752="","",SUMIFS(dAmt,dCust,$B1752,dPer,"&gt;="&amp;pyFrom,dPer,"&lt;="&amp;pyTo,dAmt,"&gt;-1E+300",dFlt1,critFlt1,dFlt2,critFlt2,dFlt3,critFlt3))</f>
        <v/>
      </c>
      <c r="D1752" t="str">
        <f>IF($B1752="","",SUMIFS(dAmt,dCust,$B1752,dPer,"&gt;="&amp;cyFrom,dPer,"&lt;="&amp;cyTo,dAmt,"&gt;-1E+300",dFlt1,critFlt1,dFlt2,critFlt2,dFlt3,critFlt3))</f>
        <v/>
      </c>
      <c r="E1752" t="str">
        <f>IF($B1752="","",SUMIFS(dQty,dCust,$B1752,dPer,"&gt;="&amp;pyFrom,dPer,"&lt;="&amp;pyTo,dQty,"&gt;-1E+300",dFlt1,critFlt1,dFlt2,critFlt2,dFlt3,critFlt3))</f>
        <v/>
      </c>
      <c r="F1752" t="str">
        <f>IF($B1752="","",SUMIFS(dQty,dCust,$B1752,dPer,"&gt;="&amp;cyFrom,dPer,"&lt;="&amp;cyTo,dQty,"&gt;-1E+300",dFlt1,critFlt1,dFlt2,critFlt2,dFlt3,critFlt3))</f>
        <v/>
      </c>
      <c r="G1752">
        <f>IF($B1752="",0,IFERROR(IF(OR(C1752&lt;&gt;0,D1752&lt;&gt;0,E1752&lt;&gt;0,F1752&lt;&gt;0),1,0),1))</f>
        <v>0</v>
      </c>
      <c r="H1752" t="str">
        <f>IF(OR(G1752=0,E1752=0),"",C1752/E1752)</f>
        <v/>
      </c>
      <c r="I1752" t="str">
        <f>IF(OR(G1752=0,F1752=0),"",D1752/F1752)</f>
        <v/>
      </c>
      <c r="J1752" t="str">
        <f>IF(OR(H1752="",I1752=""),"",IF(H1752=0,"",I1752/H1752-1))</f>
        <v/>
      </c>
      <c r="K1752" t="str">
        <f>IF($B1752="","",IFERROR(IF(G1752=0,-2E+300,CHOOSE(sortIdx,ROUND(D1752,0),IF(J1752="",-1E+300,ROUND(-J1752,6)),IF(J1752="",-1E+300,ROUND(J1752,6)))),-1.5E+300))</f>
        <v/>
      </c>
      <c r="L1752" t="str">
        <f>IF(K1752="","",RANK(K1752,$K$2:$K$3001,0)+COUNTIF($K$2:K1752,K1752)-1)</f>
        <v/>
      </c>
    </row>
    <row r="1753">
      <c r="B1753" t="str">
        <f>IFERROR(IF(A1753="","","="&amp;SUBSTITUTE(SUBSTITUTE(SUBSTITUTE(A1753,"~","~~"),"*","~*"),"?","~?")),"")</f>
        <v/>
      </c>
      <c r="C1753" t="str">
        <f>IF($B1753="","",SUMIFS(dAmt,dCust,$B1753,dPer,"&gt;="&amp;pyFrom,dPer,"&lt;="&amp;pyTo,dAmt,"&gt;-1E+300",dFlt1,critFlt1,dFlt2,critFlt2,dFlt3,critFlt3))</f>
        <v/>
      </c>
      <c r="D1753" t="str">
        <f>IF($B1753="","",SUMIFS(dAmt,dCust,$B1753,dPer,"&gt;="&amp;cyFrom,dPer,"&lt;="&amp;cyTo,dAmt,"&gt;-1E+300",dFlt1,critFlt1,dFlt2,critFlt2,dFlt3,critFlt3))</f>
        <v/>
      </c>
      <c r="E1753" t="str">
        <f>IF($B1753="","",SUMIFS(dQty,dCust,$B1753,dPer,"&gt;="&amp;pyFrom,dPer,"&lt;="&amp;pyTo,dQty,"&gt;-1E+300",dFlt1,critFlt1,dFlt2,critFlt2,dFlt3,critFlt3))</f>
        <v/>
      </c>
      <c r="F1753" t="str">
        <f>IF($B1753="","",SUMIFS(dQty,dCust,$B1753,dPer,"&gt;="&amp;cyFrom,dPer,"&lt;="&amp;cyTo,dQty,"&gt;-1E+300",dFlt1,critFlt1,dFlt2,critFlt2,dFlt3,critFlt3))</f>
        <v/>
      </c>
      <c r="G1753">
        <f>IF($B1753="",0,IFERROR(IF(OR(C1753&lt;&gt;0,D1753&lt;&gt;0,E1753&lt;&gt;0,F1753&lt;&gt;0),1,0),1))</f>
        <v>0</v>
      </c>
      <c r="H1753" t="str">
        <f>IF(OR(G1753=0,E1753=0),"",C1753/E1753)</f>
        <v/>
      </c>
      <c r="I1753" t="str">
        <f>IF(OR(G1753=0,F1753=0),"",D1753/F1753)</f>
        <v/>
      </c>
      <c r="J1753" t="str">
        <f>IF(OR(H1753="",I1753=""),"",IF(H1753=0,"",I1753/H1753-1))</f>
        <v/>
      </c>
      <c r="K1753" t="str">
        <f>IF($B1753="","",IFERROR(IF(G1753=0,-2E+300,CHOOSE(sortIdx,ROUND(D1753,0),IF(J1753="",-1E+300,ROUND(-J1753,6)),IF(J1753="",-1E+300,ROUND(J1753,6)))),-1.5E+300))</f>
        <v/>
      </c>
      <c r="L1753" t="str">
        <f>IF(K1753="","",RANK(K1753,$K$2:$K$3001,0)+COUNTIF($K$2:K1753,K1753)-1)</f>
        <v/>
      </c>
    </row>
    <row r="1754">
      <c r="B1754" t="str">
        <f>IFERROR(IF(A1754="","","="&amp;SUBSTITUTE(SUBSTITUTE(SUBSTITUTE(A1754,"~","~~"),"*","~*"),"?","~?")),"")</f>
        <v/>
      </c>
      <c r="C1754" t="str">
        <f>IF($B1754="","",SUMIFS(dAmt,dCust,$B1754,dPer,"&gt;="&amp;pyFrom,dPer,"&lt;="&amp;pyTo,dAmt,"&gt;-1E+300",dFlt1,critFlt1,dFlt2,critFlt2,dFlt3,critFlt3))</f>
        <v/>
      </c>
      <c r="D1754" t="str">
        <f>IF($B1754="","",SUMIFS(dAmt,dCust,$B1754,dPer,"&gt;="&amp;cyFrom,dPer,"&lt;="&amp;cyTo,dAmt,"&gt;-1E+300",dFlt1,critFlt1,dFlt2,critFlt2,dFlt3,critFlt3))</f>
        <v/>
      </c>
      <c r="E1754" t="str">
        <f>IF($B1754="","",SUMIFS(dQty,dCust,$B1754,dPer,"&gt;="&amp;pyFrom,dPer,"&lt;="&amp;pyTo,dQty,"&gt;-1E+300",dFlt1,critFlt1,dFlt2,critFlt2,dFlt3,critFlt3))</f>
        <v/>
      </c>
      <c r="F1754" t="str">
        <f>IF($B1754="","",SUMIFS(dQty,dCust,$B1754,dPer,"&gt;="&amp;cyFrom,dPer,"&lt;="&amp;cyTo,dQty,"&gt;-1E+300",dFlt1,critFlt1,dFlt2,critFlt2,dFlt3,critFlt3))</f>
        <v/>
      </c>
      <c r="G1754">
        <f>IF($B1754="",0,IFERROR(IF(OR(C1754&lt;&gt;0,D1754&lt;&gt;0,E1754&lt;&gt;0,F1754&lt;&gt;0),1,0),1))</f>
        <v>0</v>
      </c>
      <c r="H1754" t="str">
        <f>IF(OR(G1754=0,E1754=0),"",C1754/E1754)</f>
        <v/>
      </c>
      <c r="I1754" t="str">
        <f>IF(OR(G1754=0,F1754=0),"",D1754/F1754)</f>
        <v/>
      </c>
      <c r="J1754" t="str">
        <f>IF(OR(H1754="",I1754=""),"",IF(H1754=0,"",I1754/H1754-1))</f>
        <v/>
      </c>
      <c r="K1754" t="str">
        <f>IF($B1754="","",IFERROR(IF(G1754=0,-2E+300,CHOOSE(sortIdx,ROUND(D1754,0),IF(J1754="",-1E+300,ROUND(-J1754,6)),IF(J1754="",-1E+300,ROUND(J1754,6)))),-1.5E+300))</f>
        <v/>
      </c>
      <c r="L1754" t="str">
        <f>IF(K1754="","",RANK(K1754,$K$2:$K$3001,0)+COUNTIF($K$2:K1754,K1754)-1)</f>
        <v/>
      </c>
    </row>
    <row r="1755">
      <c r="B1755" t="str">
        <f>IFERROR(IF(A1755="","","="&amp;SUBSTITUTE(SUBSTITUTE(SUBSTITUTE(A1755,"~","~~"),"*","~*"),"?","~?")),"")</f>
        <v/>
      </c>
      <c r="C1755" t="str">
        <f>IF($B1755="","",SUMIFS(dAmt,dCust,$B1755,dPer,"&gt;="&amp;pyFrom,dPer,"&lt;="&amp;pyTo,dAmt,"&gt;-1E+300",dFlt1,critFlt1,dFlt2,critFlt2,dFlt3,critFlt3))</f>
        <v/>
      </c>
      <c r="D1755" t="str">
        <f>IF($B1755="","",SUMIFS(dAmt,dCust,$B1755,dPer,"&gt;="&amp;cyFrom,dPer,"&lt;="&amp;cyTo,dAmt,"&gt;-1E+300",dFlt1,critFlt1,dFlt2,critFlt2,dFlt3,critFlt3))</f>
        <v/>
      </c>
      <c r="E1755" t="str">
        <f>IF($B1755="","",SUMIFS(dQty,dCust,$B1755,dPer,"&gt;="&amp;pyFrom,dPer,"&lt;="&amp;pyTo,dQty,"&gt;-1E+300",dFlt1,critFlt1,dFlt2,critFlt2,dFlt3,critFlt3))</f>
        <v/>
      </c>
      <c r="F1755" t="str">
        <f>IF($B1755="","",SUMIFS(dQty,dCust,$B1755,dPer,"&gt;="&amp;cyFrom,dPer,"&lt;="&amp;cyTo,dQty,"&gt;-1E+300",dFlt1,critFlt1,dFlt2,critFlt2,dFlt3,critFlt3))</f>
        <v/>
      </c>
      <c r="G1755">
        <f>IF($B1755="",0,IFERROR(IF(OR(C1755&lt;&gt;0,D1755&lt;&gt;0,E1755&lt;&gt;0,F1755&lt;&gt;0),1,0),1))</f>
        <v>0</v>
      </c>
      <c r="H1755" t="str">
        <f>IF(OR(G1755=0,E1755=0),"",C1755/E1755)</f>
        <v/>
      </c>
      <c r="I1755" t="str">
        <f>IF(OR(G1755=0,F1755=0),"",D1755/F1755)</f>
        <v/>
      </c>
      <c r="J1755" t="str">
        <f>IF(OR(H1755="",I1755=""),"",IF(H1755=0,"",I1755/H1755-1))</f>
        <v/>
      </c>
      <c r="K1755" t="str">
        <f>IF($B1755="","",IFERROR(IF(G1755=0,-2E+300,CHOOSE(sortIdx,ROUND(D1755,0),IF(J1755="",-1E+300,ROUND(-J1755,6)),IF(J1755="",-1E+300,ROUND(J1755,6)))),-1.5E+300))</f>
        <v/>
      </c>
      <c r="L1755" t="str">
        <f>IF(K1755="","",RANK(K1755,$K$2:$K$3001,0)+COUNTIF($K$2:K1755,K1755)-1)</f>
        <v/>
      </c>
    </row>
    <row r="1756">
      <c r="B1756" t="str">
        <f>IFERROR(IF(A1756="","","="&amp;SUBSTITUTE(SUBSTITUTE(SUBSTITUTE(A1756,"~","~~"),"*","~*"),"?","~?")),"")</f>
        <v/>
      </c>
      <c r="C1756" t="str">
        <f>IF($B1756="","",SUMIFS(dAmt,dCust,$B1756,dPer,"&gt;="&amp;pyFrom,dPer,"&lt;="&amp;pyTo,dAmt,"&gt;-1E+300",dFlt1,critFlt1,dFlt2,critFlt2,dFlt3,critFlt3))</f>
        <v/>
      </c>
      <c r="D1756" t="str">
        <f>IF($B1756="","",SUMIFS(dAmt,dCust,$B1756,dPer,"&gt;="&amp;cyFrom,dPer,"&lt;="&amp;cyTo,dAmt,"&gt;-1E+300",dFlt1,critFlt1,dFlt2,critFlt2,dFlt3,critFlt3))</f>
        <v/>
      </c>
      <c r="E1756" t="str">
        <f>IF($B1756="","",SUMIFS(dQty,dCust,$B1756,dPer,"&gt;="&amp;pyFrom,dPer,"&lt;="&amp;pyTo,dQty,"&gt;-1E+300",dFlt1,critFlt1,dFlt2,critFlt2,dFlt3,critFlt3))</f>
        <v/>
      </c>
      <c r="F1756" t="str">
        <f>IF($B1756="","",SUMIFS(dQty,dCust,$B1756,dPer,"&gt;="&amp;cyFrom,dPer,"&lt;="&amp;cyTo,dQty,"&gt;-1E+300",dFlt1,critFlt1,dFlt2,critFlt2,dFlt3,critFlt3))</f>
        <v/>
      </c>
      <c r="G1756">
        <f>IF($B1756="",0,IFERROR(IF(OR(C1756&lt;&gt;0,D1756&lt;&gt;0,E1756&lt;&gt;0,F1756&lt;&gt;0),1,0),1))</f>
        <v>0</v>
      </c>
      <c r="H1756" t="str">
        <f>IF(OR(G1756=0,E1756=0),"",C1756/E1756)</f>
        <v/>
      </c>
      <c r="I1756" t="str">
        <f>IF(OR(G1756=0,F1756=0),"",D1756/F1756)</f>
        <v/>
      </c>
      <c r="J1756" t="str">
        <f>IF(OR(H1756="",I1756=""),"",IF(H1756=0,"",I1756/H1756-1))</f>
        <v/>
      </c>
      <c r="K1756" t="str">
        <f>IF($B1756="","",IFERROR(IF(G1756=0,-2E+300,CHOOSE(sortIdx,ROUND(D1756,0),IF(J1756="",-1E+300,ROUND(-J1756,6)),IF(J1756="",-1E+300,ROUND(J1756,6)))),-1.5E+300))</f>
        <v/>
      </c>
      <c r="L1756" t="str">
        <f>IF(K1756="","",RANK(K1756,$K$2:$K$3001,0)+COUNTIF($K$2:K1756,K1756)-1)</f>
        <v/>
      </c>
    </row>
    <row r="1757">
      <c r="B1757" t="str">
        <f>IFERROR(IF(A1757="","","="&amp;SUBSTITUTE(SUBSTITUTE(SUBSTITUTE(A1757,"~","~~"),"*","~*"),"?","~?")),"")</f>
        <v/>
      </c>
      <c r="C1757" t="str">
        <f>IF($B1757="","",SUMIFS(dAmt,dCust,$B1757,dPer,"&gt;="&amp;pyFrom,dPer,"&lt;="&amp;pyTo,dAmt,"&gt;-1E+300",dFlt1,critFlt1,dFlt2,critFlt2,dFlt3,critFlt3))</f>
        <v/>
      </c>
      <c r="D1757" t="str">
        <f>IF($B1757="","",SUMIFS(dAmt,dCust,$B1757,dPer,"&gt;="&amp;cyFrom,dPer,"&lt;="&amp;cyTo,dAmt,"&gt;-1E+300",dFlt1,critFlt1,dFlt2,critFlt2,dFlt3,critFlt3))</f>
        <v/>
      </c>
      <c r="E1757" t="str">
        <f>IF($B1757="","",SUMIFS(dQty,dCust,$B1757,dPer,"&gt;="&amp;pyFrom,dPer,"&lt;="&amp;pyTo,dQty,"&gt;-1E+300",dFlt1,critFlt1,dFlt2,critFlt2,dFlt3,critFlt3))</f>
        <v/>
      </c>
      <c r="F1757" t="str">
        <f>IF($B1757="","",SUMIFS(dQty,dCust,$B1757,dPer,"&gt;="&amp;cyFrom,dPer,"&lt;="&amp;cyTo,dQty,"&gt;-1E+300",dFlt1,critFlt1,dFlt2,critFlt2,dFlt3,critFlt3))</f>
        <v/>
      </c>
      <c r="G1757">
        <f>IF($B1757="",0,IFERROR(IF(OR(C1757&lt;&gt;0,D1757&lt;&gt;0,E1757&lt;&gt;0,F1757&lt;&gt;0),1,0),1))</f>
        <v>0</v>
      </c>
      <c r="H1757" t="str">
        <f>IF(OR(G1757=0,E1757=0),"",C1757/E1757)</f>
        <v/>
      </c>
      <c r="I1757" t="str">
        <f>IF(OR(G1757=0,F1757=0),"",D1757/F1757)</f>
        <v/>
      </c>
      <c r="J1757" t="str">
        <f>IF(OR(H1757="",I1757=""),"",IF(H1757=0,"",I1757/H1757-1))</f>
        <v/>
      </c>
      <c r="K1757" t="str">
        <f>IF($B1757="","",IFERROR(IF(G1757=0,-2E+300,CHOOSE(sortIdx,ROUND(D1757,0),IF(J1757="",-1E+300,ROUND(-J1757,6)),IF(J1757="",-1E+300,ROUND(J1757,6)))),-1.5E+300))</f>
        <v/>
      </c>
      <c r="L1757" t="str">
        <f>IF(K1757="","",RANK(K1757,$K$2:$K$3001,0)+COUNTIF($K$2:K1757,K1757)-1)</f>
        <v/>
      </c>
    </row>
    <row r="1758">
      <c r="B1758" t="str">
        <f>IFERROR(IF(A1758="","","="&amp;SUBSTITUTE(SUBSTITUTE(SUBSTITUTE(A1758,"~","~~"),"*","~*"),"?","~?")),"")</f>
        <v/>
      </c>
      <c r="C1758" t="str">
        <f>IF($B1758="","",SUMIFS(dAmt,dCust,$B1758,dPer,"&gt;="&amp;pyFrom,dPer,"&lt;="&amp;pyTo,dAmt,"&gt;-1E+300",dFlt1,critFlt1,dFlt2,critFlt2,dFlt3,critFlt3))</f>
        <v/>
      </c>
      <c r="D1758" t="str">
        <f>IF($B1758="","",SUMIFS(dAmt,dCust,$B1758,dPer,"&gt;="&amp;cyFrom,dPer,"&lt;="&amp;cyTo,dAmt,"&gt;-1E+300",dFlt1,critFlt1,dFlt2,critFlt2,dFlt3,critFlt3))</f>
        <v/>
      </c>
      <c r="E1758" t="str">
        <f>IF($B1758="","",SUMIFS(dQty,dCust,$B1758,dPer,"&gt;="&amp;pyFrom,dPer,"&lt;="&amp;pyTo,dQty,"&gt;-1E+300",dFlt1,critFlt1,dFlt2,critFlt2,dFlt3,critFlt3))</f>
        <v/>
      </c>
      <c r="F1758" t="str">
        <f>IF($B1758="","",SUMIFS(dQty,dCust,$B1758,dPer,"&gt;="&amp;cyFrom,dPer,"&lt;="&amp;cyTo,dQty,"&gt;-1E+300",dFlt1,critFlt1,dFlt2,critFlt2,dFlt3,critFlt3))</f>
        <v/>
      </c>
      <c r="G1758">
        <f>IF($B1758="",0,IFERROR(IF(OR(C1758&lt;&gt;0,D1758&lt;&gt;0,E1758&lt;&gt;0,F1758&lt;&gt;0),1,0),1))</f>
        <v>0</v>
      </c>
      <c r="H1758" t="str">
        <f>IF(OR(G1758=0,E1758=0),"",C1758/E1758)</f>
        <v/>
      </c>
      <c r="I1758" t="str">
        <f>IF(OR(G1758=0,F1758=0),"",D1758/F1758)</f>
        <v/>
      </c>
      <c r="J1758" t="str">
        <f>IF(OR(H1758="",I1758=""),"",IF(H1758=0,"",I1758/H1758-1))</f>
        <v/>
      </c>
      <c r="K1758" t="str">
        <f>IF($B1758="","",IFERROR(IF(G1758=0,-2E+300,CHOOSE(sortIdx,ROUND(D1758,0),IF(J1758="",-1E+300,ROUND(-J1758,6)),IF(J1758="",-1E+300,ROUND(J1758,6)))),-1.5E+300))</f>
        <v/>
      </c>
      <c r="L1758" t="str">
        <f>IF(K1758="","",RANK(K1758,$K$2:$K$3001,0)+COUNTIF($K$2:K1758,K1758)-1)</f>
        <v/>
      </c>
    </row>
    <row r="1759">
      <c r="B1759" t="str">
        <f>IFERROR(IF(A1759="","","="&amp;SUBSTITUTE(SUBSTITUTE(SUBSTITUTE(A1759,"~","~~"),"*","~*"),"?","~?")),"")</f>
        <v/>
      </c>
      <c r="C1759" t="str">
        <f>IF($B1759="","",SUMIFS(dAmt,dCust,$B1759,dPer,"&gt;="&amp;pyFrom,dPer,"&lt;="&amp;pyTo,dAmt,"&gt;-1E+300",dFlt1,critFlt1,dFlt2,critFlt2,dFlt3,critFlt3))</f>
        <v/>
      </c>
      <c r="D1759" t="str">
        <f>IF($B1759="","",SUMIFS(dAmt,dCust,$B1759,dPer,"&gt;="&amp;cyFrom,dPer,"&lt;="&amp;cyTo,dAmt,"&gt;-1E+300",dFlt1,critFlt1,dFlt2,critFlt2,dFlt3,critFlt3))</f>
        <v/>
      </c>
      <c r="E1759" t="str">
        <f>IF($B1759="","",SUMIFS(dQty,dCust,$B1759,dPer,"&gt;="&amp;pyFrom,dPer,"&lt;="&amp;pyTo,dQty,"&gt;-1E+300",dFlt1,critFlt1,dFlt2,critFlt2,dFlt3,critFlt3))</f>
        <v/>
      </c>
      <c r="F1759" t="str">
        <f>IF($B1759="","",SUMIFS(dQty,dCust,$B1759,dPer,"&gt;="&amp;cyFrom,dPer,"&lt;="&amp;cyTo,dQty,"&gt;-1E+300",dFlt1,critFlt1,dFlt2,critFlt2,dFlt3,critFlt3))</f>
        <v/>
      </c>
      <c r="G1759">
        <f>IF($B1759="",0,IFERROR(IF(OR(C1759&lt;&gt;0,D1759&lt;&gt;0,E1759&lt;&gt;0,F1759&lt;&gt;0),1,0),1))</f>
        <v>0</v>
      </c>
      <c r="H1759" t="str">
        <f>IF(OR(G1759=0,E1759=0),"",C1759/E1759)</f>
        <v/>
      </c>
      <c r="I1759" t="str">
        <f>IF(OR(G1759=0,F1759=0),"",D1759/F1759)</f>
        <v/>
      </c>
      <c r="J1759" t="str">
        <f>IF(OR(H1759="",I1759=""),"",IF(H1759=0,"",I1759/H1759-1))</f>
        <v/>
      </c>
      <c r="K1759" t="str">
        <f>IF($B1759="","",IFERROR(IF(G1759=0,-2E+300,CHOOSE(sortIdx,ROUND(D1759,0),IF(J1759="",-1E+300,ROUND(-J1759,6)),IF(J1759="",-1E+300,ROUND(J1759,6)))),-1.5E+300))</f>
        <v/>
      </c>
      <c r="L1759" t="str">
        <f>IF(K1759="","",RANK(K1759,$K$2:$K$3001,0)+COUNTIF($K$2:K1759,K1759)-1)</f>
        <v/>
      </c>
    </row>
    <row r="1760">
      <c r="B1760" t="str">
        <f>IFERROR(IF(A1760="","","="&amp;SUBSTITUTE(SUBSTITUTE(SUBSTITUTE(A1760,"~","~~"),"*","~*"),"?","~?")),"")</f>
        <v/>
      </c>
      <c r="C1760" t="str">
        <f>IF($B1760="","",SUMIFS(dAmt,dCust,$B1760,dPer,"&gt;="&amp;pyFrom,dPer,"&lt;="&amp;pyTo,dAmt,"&gt;-1E+300",dFlt1,critFlt1,dFlt2,critFlt2,dFlt3,critFlt3))</f>
        <v/>
      </c>
      <c r="D1760" t="str">
        <f>IF($B1760="","",SUMIFS(dAmt,dCust,$B1760,dPer,"&gt;="&amp;cyFrom,dPer,"&lt;="&amp;cyTo,dAmt,"&gt;-1E+300",dFlt1,critFlt1,dFlt2,critFlt2,dFlt3,critFlt3))</f>
        <v/>
      </c>
      <c r="E1760" t="str">
        <f>IF($B1760="","",SUMIFS(dQty,dCust,$B1760,dPer,"&gt;="&amp;pyFrom,dPer,"&lt;="&amp;pyTo,dQty,"&gt;-1E+300",dFlt1,critFlt1,dFlt2,critFlt2,dFlt3,critFlt3))</f>
        <v/>
      </c>
      <c r="F1760" t="str">
        <f>IF($B1760="","",SUMIFS(dQty,dCust,$B1760,dPer,"&gt;="&amp;cyFrom,dPer,"&lt;="&amp;cyTo,dQty,"&gt;-1E+300",dFlt1,critFlt1,dFlt2,critFlt2,dFlt3,critFlt3))</f>
        <v/>
      </c>
      <c r="G1760">
        <f>IF($B1760="",0,IFERROR(IF(OR(C1760&lt;&gt;0,D1760&lt;&gt;0,E1760&lt;&gt;0,F1760&lt;&gt;0),1,0),1))</f>
        <v>0</v>
      </c>
      <c r="H1760" t="str">
        <f>IF(OR(G1760=0,E1760=0),"",C1760/E1760)</f>
        <v/>
      </c>
      <c r="I1760" t="str">
        <f>IF(OR(G1760=0,F1760=0),"",D1760/F1760)</f>
        <v/>
      </c>
      <c r="J1760" t="str">
        <f>IF(OR(H1760="",I1760=""),"",IF(H1760=0,"",I1760/H1760-1))</f>
        <v/>
      </c>
      <c r="K1760" t="str">
        <f>IF($B1760="","",IFERROR(IF(G1760=0,-2E+300,CHOOSE(sortIdx,ROUND(D1760,0),IF(J1760="",-1E+300,ROUND(-J1760,6)),IF(J1760="",-1E+300,ROUND(J1760,6)))),-1.5E+300))</f>
        <v/>
      </c>
      <c r="L1760" t="str">
        <f>IF(K1760="","",RANK(K1760,$K$2:$K$3001,0)+COUNTIF($K$2:K1760,K1760)-1)</f>
        <v/>
      </c>
    </row>
    <row r="1761">
      <c r="B1761" t="str">
        <f>IFERROR(IF(A1761="","","="&amp;SUBSTITUTE(SUBSTITUTE(SUBSTITUTE(A1761,"~","~~"),"*","~*"),"?","~?")),"")</f>
        <v/>
      </c>
      <c r="C1761" t="str">
        <f>IF($B1761="","",SUMIFS(dAmt,dCust,$B1761,dPer,"&gt;="&amp;pyFrom,dPer,"&lt;="&amp;pyTo,dAmt,"&gt;-1E+300",dFlt1,critFlt1,dFlt2,critFlt2,dFlt3,critFlt3))</f>
        <v/>
      </c>
      <c r="D1761" t="str">
        <f>IF($B1761="","",SUMIFS(dAmt,dCust,$B1761,dPer,"&gt;="&amp;cyFrom,dPer,"&lt;="&amp;cyTo,dAmt,"&gt;-1E+300",dFlt1,critFlt1,dFlt2,critFlt2,dFlt3,critFlt3))</f>
        <v/>
      </c>
      <c r="E1761" t="str">
        <f>IF($B1761="","",SUMIFS(dQty,dCust,$B1761,dPer,"&gt;="&amp;pyFrom,dPer,"&lt;="&amp;pyTo,dQty,"&gt;-1E+300",dFlt1,critFlt1,dFlt2,critFlt2,dFlt3,critFlt3))</f>
        <v/>
      </c>
      <c r="F1761" t="str">
        <f>IF($B1761="","",SUMIFS(dQty,dCust,$B1761,dPer,"&gt;="&amp;cyFrom,dPer,"&lt;="&amp;cyTo,dQty,"&gt;-1E+300",dFlt1,critFlt1,dFlt2,critFlt2,dFlt3,critFlt3))</f>
        <v/>
      </c>
      <c r="G1761">
        <f>IF($B1761="",0,IFERROR(IF(OR(C1761&lt;&gt;0,D1761&lt;&gt;0,E1761&lt;&gt;0,F1761&lt;&gt;0),1,0),1))</f>
        <v>0</v>
      </c>
      <c r="H1761" t="str">
        <f>IF(OR(G1761=0,E1761=0),"",C1761/E1761)</f>
        <v/>
      </c>
      <c r="I1761" t="str">
        <f>IF(OR(G1761=0,F1761=0),"",D1761/F1761)</f>
        <v/>
      </c>
      <c r="J1761" t="str">
        <f>IF(OR(H1761="",I1761=""),"",IF(H1761=0,"",I1761/H1761-1))</f>
        <v/>
      </c>
      <c r="K1761" t="str">
        <f>IF($B1761="","",IFERROR(IF(G1761=0,-2E+300,CHOOSE(sortIdx,ROUND(D1761,0),IF(J1761="",-1E+300,ROUND(-J1761,6)),IF(J1761="",-1E+300,ROUND(J1761,6)))),-1.5E+300))</f>
        <v/>
      </c>
      <c r="L1761" t="str">
        <f>IF(K1761="","",RANK(K1761,$K$2:$K$3001,0)+COUNTIF($K$2:K1761,K1761)-1)</f>
        <v/>
      </c>
    </row>
    <row r="1762">
      <c r="B1762" t="str">
        <f>IFERROR(IF(A1762="","","="&amp;SUBSTITUTE(SUBSTITUTE(SUBSTITUTE(A1762,"~","~~"),"*","~*"),"?","~?")),"")</f>
        <v/>
      </c>
      <c r="C1762" t="str">
        <f>IF($B1762="","",SUMIFS(dAmt,dCust,$B1762,dPer,"&gt;="&amp;pyFrom,dPer,"&lt;="&amp;pyTo,dAmt,"&gt;-1E+300",dFlt1,critFlt1,dFlt2,critFlt2,dFlt3,critFlt3))</f>
        <v/>
      </c>
      <c r="D1762" t="str">
        <f>IF($B1762="","",SUMIFS(dAmt,dCust,$B1762,dPer,"&gt;="&amp;cyFrom,dPer,"&lt;="&amp;cyTo,dAmt,"&gt;-1E+300",dFlt1,critFlt1,dFlt2,critFlt2,dFlt3,critFlt3))</f>
        <v/>
      </c>
      <c r="E1762" t="str">
        <f>IF($B1762="","",SUMIFS(dQty,dCust,$B1762,dPer,"&gt;="&amp;pyFrom,dPer,"&lt;="&amp;pyTo,dQty,"&gt;-1E+300",dFlt1,critFlt1,dFlt2,critFlt2,dFlt3,critFlt3))</f>
        <v/>
      </c>
      <c r="F1762" t="str">
        <f>IF($B1762="","",SUMIFS(dQty,dCust,$B1762,dPer,"&gt;="&amp;cyFrom,dPer,"&lt;="&amp;cyTo,dQty,"&gt;-1E+300",dFlt1,critFlt1,dFlt2,critFlt2,dFlt3,critFlt3))</f>
        <v/>
      </c>
      <c r="G1762">
        <f>IF($B1762="",0,IFERROR(IF(OR(C1762&lt;&gt;0,D1762&lt;&gt;0,E1762&lt;&gt;0,F1762&lt;&gt;0),1,0),1))</f>
        <v>0</v>
      </c>
      <c r="H1762" t="str">
        <f>IF(OR(G1762=0,E1762=0),"",C1762/E1762)</f>
        <v/>
      </c>
      <c r="I1762" t="str">
        <f>IF(OR(G1762=0,F1762=0),"",D1762/F1762)</f>
        <v/>
      </c>
      <c r="J1762" t="str">
        <f>IF(OR(H1762="",I1762=""),"",IF(H1762=0,"",I1762/H1762-1))</f>
        <v/>
      </c>
      <c r="K1762" t="str">
        <f>IF($B1762="","",IFERROR(IF(G1762=0,-2E+300,CHOOSE(sortIdx,ROUND(D1762,0),IF(J1762="",-1E+300,ROUND(-J1762,6)),IF(J1762="",-1E+300,ROUND(J1762,6)))),-1.5E+300))</f>
        <v/>
      </c>
      <c r="L1762" t="str">
        <f>IF(K1762="","",RANK(K1762,$K$2:$K$3001,0)+COUNTIF($K$2:K1762,K1762)-1)</f>
        <v/>
      </c>
    </row>
    <row r="1763">
      <c r="B1763" t="str">
        <f>IFERROR(IF(A1763="","","="&amp;SUBSTITUTE(SUBSTITUTE(SUBSTITUTE(A1763,"~","~~"),"*","~*"),"?","~?")),"")</f>
        <v/>
      </c>
      <c r="C1763" t="str">
        <f>IF($B1763="","",SUMIFS(dAmt,dCust,$B1763,dPer,"&gt;="&amp;pyFrom,dPer,"&lt;="&amp;pyTo,dAmt,"&gt;-1E+300",dFlt1,critFlt1,dFlt2,critFlt2,dFlt3,critFlt3))</f>
        <v/>
      </c>
      <c r="D1763" t="str">
        <f>IF($B1763="","",SUMIFS(dAmt,dCust,$B1763,dPer,"&gt;="&amp;cyFrom,dPer,"&lt;="&amp;cyTo,dAmt,"&gt;-1E+300",dFlt1,critFlt1,dFlt2,critFlt2,dFlt3,critFlt3))</f>
        <v/>
      </c>
      <c r="E1763" t="str">
        <f>IF($B1763="","",SUMIFS(dQty,dCust,$B1763,dPer,"&gt;="&amp;pyFrom,dPer,"&lt;="&amp;pyTo,dQty,"&gt;-1E+300",dFlt1,critFlt1,dFlt2,critFlt2,dFlt3,critFlt3))</f>
        <v/>
      </c>
      <c r="F1763" t="str">
        <f>IF($B1763="","",SUMIFS(dQty,dCust,$B1763,dPer,"&gt;="&amp;cyFrom,dPer,"&lt;="&amp;cyTo,dQty,"&gt;-1E+300",dFlt1,critFlt1,dFlt2,critFlt2,dFlt3,critFlt3))</f>
        <v/>
      </c>
      <c r="G1763">
        <f>IF($B1763="",0,IFERROR(IF(OR(C1763&lt;&gt;0,D1763&lt;&gt;0,E1763&lt;&gt;0,F1763&lt;&gt;0),1,0),1))</f>
        <v>0</v>
      </c>
      <c r="H1763" t="str">
        <f>IF(OR(G1763=0,E1763=0),"",C1763/E1763)</f>
        <v/>
      </c>
      <c r="I1763" t="str">
        <f>IF(OR(G1763=0,F1763=0),"",D1763/F1763)</f>
        <v/>
      </c>
      <c r="J1763" t="str">
        <f>IF(OR(H1763="",I1763=""),"",IF(H1763=0,"",I1763/H1763-1))</f>
        <v/>
      </c>
      <c r="K1763" t="str">
        <f>IF($B1763="","",IFERROR(IF(G1763=0,-2E+300,CHOOSE(sortIdx,ROUND(D1763,0),IF(J1763="",-1E+300,ROUND(-J1763,6)),IF(J1763="",-1E+300,ROUND(J1763,6)))),-1.5E+300))</f>
        <v/>
      </c>
      <c r="L1763" t="str">
        <f>IF(K1763="","",RANK(K1763,$K$2:$K$3001,0)+COUNTIF($K$2:K1763,K1763)-1)</f>
        <v/>
      </c>
    </row>
    <row r="1764">
      <c r="B1764" t="str">
        <f>IFERROR(IF(A1764="","","="&amp;SUBSTITUTE(SUBSTITUTE(SUBSTITUTE(A1764,"~","~~"),"*","~*"),"?","~?")),"")</f>
        <v/>
      </c>
      <c r="C1764" t="str">
        <f>IF($B1764="","",SUMIFS(dAmt,dCust,$B1764,dPer,"&gt;="&amp;pyFrom,dPer,"&lt;="&amp;pyTo,dAmt,"&gt;-1E+300",dFlt1,critFlt1,dFlt2,critFlt2,dFlt3,critFlt3))</f>
        <v/>
      </c>
      <c r="D1764" t="str">
        <f>IF($B1764="","",SUMIFS(dAmt,dCust,$B1764,dPer,"&gt;="&amp;cyFrom,dPer,"&lt;="&amp;cyTo,dAmt,"&gt;-1E+300",dFlt1,critFlt1,dFlt2,critFlt2,dFlt3,critFlt3))</f>
        <v/>
      </c>
      <c r="E1764" t="str">
        <f>IF($B1764="","",SUMIFS(dQty,dCust,$B1764,dPer,"&gt;="&amp;pyFrom,dPer,"&lt;="&amp;pyTo,dQty,"&gt;-1E+300",dFlt1,critFlt1,dFlt2,critFlt2,dFlt3,critFlt3))</f>
        <v/>
      </c>
      <c r="F1764" t="str">
        <f>IF($B1764="","",SUMIFS(dQty,dCust,$B1764,dPer,"&gt;="&amp;cyFrom,dPer,"&lt;="&amp;cyTo,dQty,"&gt;-1E+300",dFlt1,critFlt1,dFlt2,critFlt2,dFlt3,critFlt3))</f>
        <v/>
      </c>
      <c r="G1764">
        <f>IF($B1764="",0,IFERROR(IF(OR(C1764&lt;&gt;0,D1764&lt;&gt;0,E1764&lt;&gt;0,F1764&lt;&gt;0),1,0),1))</f>
        <v>0</v>
      </c>
      <c r="H1764" t="str">
        <f>IF(OR(G1764=0,E1764=0),"",C1764/E1764)</f>
        <v/>
      </c>
      <c r="I1764" t="str">
        <f>IF(OR(G1764=0,F1764=0),"",D1764/F1764)</f>
        <v/>
      </c>
      <c r="J1764" t="str">
        <f>IF(OR(H1764="",I1764=""),"",IF(H1764=0,"",I1764/H1764-1))</f>
        <v/>
      </c>
      <c r="K1764" t="str">
        <f>IF($B1764="","",IFERROR(IF(G1764=0,-2E+300,CHOOSE(sortIdx,ROUND(D1764,0),IF(J1764="",-1E+300,ROUND(-J1764,6)),IF(J1764="",-1E+300,ROUND(J1764,6)))),-1.5E+300))</f>
        <v/>
      </c>
      <c r="L1764" t="str">
        <f>IF(K1764="","",RANK(K1764,$K$2:$K$3001,0)+COUNTIF($K$2:K1764,K1764)-1)</f>
        <v/>
      </c>
    </row>
    <row r="1765">
      <c r="B1765" t="str">
        <f>IFERROR(IF(A1765="","","="&amp;SUBSTITUTE(SUBSTITUTE(SUBSTITUTE(A1765,"~","~~"),"*","~*"),"?","~?")),"")</f>
        <v/>
      </c>
      <c r="C1765" t="str">
        <f>IF($B1765="","",SUMIFS(dAmt,dCust,$B1765,dPer,"&gt;="&amp;pyFrom,dPer,"&lt;="&amp;pyTo,dAmt,"&gt;-1E+300",dFlt1,critFlt1,dFlt2,critFlt2,dFlt3,critFlt3))</f>
        <v/>
      </c>
      <c r="D1765" t="str">
        <f>IF($B1765="","",SUMIFS(dAmt,dCust,$B1765,dPer,"&gt;="&amp;cyFrom,dPer,"&lt;="&amp;cyTo,dAmt,"&gt;-1E+300",dFlt1,critFlt1,dFlt2,critFlt2,dFlt3,critFlt3))</f>
        <v/>
      </c>
      <c r="E1765" t="str">
        <f>IF($B1765="","",SUMIFS(dQty,dCust,$B1765,dPer,"&gt;="&amp;pyFrom,dPer,"&lt;="&amp;pyTo,dQty,"&gt;-1E+300",dFlt1,critFlt1,dFlt2,critFlt2,dFlt3,critFlt3))</f>
        <v/>
      </c>
      <c r="F1765" t="str">
        <f>IF($B1765="","",SUMIFS(dQty,dCust,$B1765,dPer,"&gt;="&amp;cyFrom,dPer,"&lt;="&amp;cyTo,dQty,"&gt;-1E+300",dFlt1,critFlt1,dFlt2,critFlt2,dFlt3,critFlt3))</f>
        <v/>
      </c>
      <c r="G1765">
        <f>IF($B1765="",0,IFERROR(IF(OR(C1765&lt;&gt;0,D1765&lt;&gt;0,E1765&lt;&gt;0,F1765&lt;&gt;0),1,0),1))</f>
        <v>0</v>
      </c>
      <c r="H1765" t="str">
        <f>IF(OR(G1765=0,E1765=0),"",C1765/E1765)</f>
        <v/>
      </c>
      <c r="I1765" t="str">
        <f>IF(OR(G1765=0,F1765=0),"",D1765/F1765)</f>
        <v/>
      </c>
      <c r="J1765" t="str">
        <f>IF(OR(H1765="",I1765=""),"",IF(H1765=0,"",I1765/H1765-1))</f>
        <v/>
      </c>
      <c r="K1765" t="str">
        <f>IF($B1765="","",IFERROR(IF(G1765=0,-2E+300,CHOOSE(sortIdx,ROUND(D1765,0),IF(J1765="",-1E+300,ROUND(-J1765,6)),IF(J1765="",-1E+300,ROUND(J1765,6)))),-1.5E+300))</f>
        <v/>
      </c>
      <c r="L1765" t="str">
        <f>IF(K1765="","",RANK(K1765,$K$2:$K$3001,0)+COUNTIF($K$2:K1765,K1765)-1)</f>
        <v/>
      </c>
    </row>
    <row r="1766">
      <c r="B1766" t="str">
        <f>IFERROR(IF(A1766="","","="&amp;SUBSTITUTE(SUBSTITUTE(SUBSTITUTE(A1766,"~","~~"),"*","~*"),"?","~?")),"")</f>
        <v/>
      </c>
      <c r="C1766" t="str">
        <f>IF($B1766="","",SUMIFS(dAmt,dCust,$B1766,dPer,"&gt;="&amp;pyFrom,dPer,"&lt;="&amp;pyTo,dAmt,"&gt;-1E+300",dFlt1,critFlt1,dFlt2,critFlt2,dFlt3,critFlt3))</f>
        <v/>
      </c>
      <c r="D1766" t="str">
        <f>IF($B1766="","",SUMIFS(dAmt,dCust,$B1766,dPer,"&gt;="&amp;cyFrom,dPer,"&lt;="&amp;cyTo,dAmt,"&gt;-1E+300",dFlt1,critFlt1,dFlt2,critFlt2,dFlt3,critFlt3))</f>
        <v/>
      </c>
      <c r="E1766" t="str">
        <f>IF($B1766="","",SUMIFS(dQty,dCust,$B1766,dPer,"&gt;="&amp;pyFrom,dPer,"&lt;="&amp;pyTo,dQty,"&gt;-1E+300",dFlt1,critFlt1,dFlt2,critFlt2,dFlt3,critFlt3))</f>
        <v/>
      </c>
      <c r="F1766" t="str">
        <f>IF($B1766="","",SUMIFS(dQty,dCust,$B1766,dPer,"&gt;="&amp;cyFrom,dPer,"&lt;="&amp;cyTo,dQty,"&gt;-1E+300",dFlt1,critFlt1,dFlt2,critFlt2,dFlt3,critFlt3))</f>
        <v/>
      </c>
      <c r="G1766">
        <f>IF($B1766="",0,IFERROR(IF(OR(C1766&lt;&gt;0,D1766&lt;&gt;0,E1766&lt;&gt;0,F1766&lt;&gt;0),1,0),1))</f>
        <v>0</v>
      </c>
      <c r="H1766" t="str">
        <f>IF(OR(G1766=0,E1766=0),"",C1766/E1766)</f>
        <v/>
      </c>
      <c r="I1766" t="str">
        <f>IF(OR(G1766=0,F1766=0),"",D1766/F1766)</f>
        <v/>
      </c>
      <c r="J1766" t="str">
        <f>IF(OR(H1766="",I1766=""),"",IF(H1766=0,"",I1766/H1766-1))</f>
        <v/>
      </c>
      <c r="K1766" t="str">
        <f>IF($B1766="","",IFERROR(IF(G1766=0,-2E+300,CHOOSE(sortIdx,ROUND(D1766,0),IF(J1766="",-1E+300,ROUND(-J1766,6)),IF(J1766="",-1E+300,ROUND(J1766,6)))),-1.5E+300))</f>
        <v/>
      </c>
      <c r="L1766" t="str">
        <f>IF(K1766="","",RANK(K1766,$K$2:$K$3001,0)+COUNTIF($K$2:K1766,K1766)-1)</f>
        <v/>
      </c>
    </row>
    <row r="1767">
      <c r="B1767" t="str">
        <f>IFERROR(IF(A1767="","","="&amp;SUBSTITUTE(SUBSTITUTE(SUBSTITUTE(A1767,"~","~~"),"*","~*"),"?","~?")),"")</f>
        <v/>
      </c>
      <c r="C1767" t="str">
        <f>IF($B1767="","",SUMIFS(dAmt,dCust,$B1767,dPer,"&gt;="&amp;pyFrom,dPer,"&lt;="&amp;pyTo,dAmt,"&gt;-1E+300",dFlt1,critFlt1,dFlt2,critFlt2,dFlt3,critFlt3))</f>
        <v/>
      </c>
      <c r="D1767" t="str">
        <f>IF($B1767="","",SUMIFS(dAmt,dCust,$B1767,dPer,"&gt;="&amp;cyFrom,dPer,"&lt;="&amp;cyTo,dAmt,"&gt;-1E+300",dFlt1,critFlt1,dFlt2,critFlt2,dFlt3,critFlt3))</f>
        <v/>
      </c>
      <c r="E1767" t="str">
        <f>IF($B1767="","",SUMIFS(dQty,dCust,$B1767,dPer,"&gt;="&amp;pyFrom,dPer,"&lt;="&amp;pyTo,dQty,"&gt;-1E+300",dFlt1,critFlt1,dFlt2,critFlt2,dFlt3,critFlt3))</f>
        <v/>
      </c>
      <c r="F1767" t="str">
        <f>IF($B1767="","",SUMIFS(dQty,dCust,$B1767,dPer,"&gt;="&amp;cyFrom,dPer,"&lt;="&amp;cyTo,dQty,"&gt;-1E+300",dFlt1,critFlt1,dFlt2,critFlt2,dFlt3,critFlt3))</f>
        <v/>
      </c>
      <c r="G1767">
        <f>IF($B1767="",0,IFERROR(IF(OR(C1767&lt;&gt;0,D1767&lt;&gt;0,E1767&lt;&gt;0,F1767&lt;&gt;0),1,0),1))</f>
        <v>0</v>
      </c>
      <c r="H1767" t="str">
        <f>IF(OR(G1767=0,E1767=0),"",C1767/E1767)</f>
        <v/>
      </c>
      <c r="I1767" t="str">
        <f>IF(OR(G1767=0,F1767=0),"",D1767/F1767)</f>
        <v/>
      </c>
      <c r="J1767" t="str">
        <f>IF(OR(H1767="",I1767=""),"",IF(H1767=0,"",I1767/H1767-1))</f>
        <v/>
      </c>
      <c r="K1767" t="str">
        <f>IF($B1767="","",IFERROR(IF(G1767=0,-2E+300,CHOOSE(sortIdx,ROUND(D1767,0),IF(J1767="",-1E+300,ROUND(-J1767,6)),IF(J1767="",-1E+300,ROUND(J1767,6)))),-1.5E+300))</f>
        <v/>
      </c>
      <c r="L1767" t="str">
        <f>IF(K1767="","",RANK(K1767,$K$2:$K$3001,0)+COUNTIF($K$2:K1767,K1767)-1)</f>
        <v/>
      </c>
    </row>
    <row r="1768">
      <c r="B1768" t="str">
        <f>IFERROR(IF(A1768="","","="&amp;SUBSTITUTE(SUBSTITUTE(SUBSTITUTE(A1768,"~","~~"),"*","~*"),"?","~?")),"")</f>
        <v/>
      </c>
      <c r="C1768" t="str">
        <f>IF($B1768="","",SUMIFS(dAmt,dCust,$B1768,dPer,"&gt;="&amp;pyFrom,dPer,"&lt;="&amp;pyTo,dAmt,"&gt;-1E+300",dFlt1,critFlt1,dFlt2,critFlt2,dFlt3,critFlt3))</f>
        <v/>
      </c>
      <c r="D1768" t="str">
        <f>IF($B1768="","",SUMIFS(dAmt,dCust,$B1768,dPer,"&gt;="&amp;cyFrom,dPer,"&lt;="&amp;cyTo,dAmt,"&gt;-1E+300",dFlt1,critFlt1,dFlt2,critFlt2,dFlt3,critFlt3))</f>
        <v/>
      </c>
      <c r="E1768" t="str">
        <f>IF($B1768="","",SUMIFS(dQty,dCust,$B1768,dPer,"&gt;="&amp;pyFrom,dPer,"&lt;="&amp;pyTo,dQty,"&gt;-1E+300",dFlt1,critFlt1,dFlt2,critFlt2,dFlt3,critFlt3))</f>
        <v/>
      </c>
      <c r="F1768" t="str">
        <f>IF($B1768="","",SUMIFS(dQty,dCust,$B1768,dPer,"&gt;="&amp;cyFrom,dPer,"&lt;="&amp;cyTo,dQty,"&gt;-1E+300",dFlt1,critFlt1,dFlt2,critFlt2,dFlt3,critFlt3))</f>
        <v/>
      </c>
      <c r="G1768">
        <f>IF($B1768="",0,IFERROR(IF(OR(C1768&lt;&gt;0,D1768&lt;&gt;0,E1768&lt;&gt;0,F1768&lt;&gt;0),1,0),1))</f>
        <v>0</v>
      </c>
      <c r="H1768" t="str">
        <f>IF(OR(G1768=0,E1768=0),"",C1768/E1768)</f>
        <v/>
      </c>
      <c r="I1768" t="str">
        <f>IF(OR(G1768=0,F1768=0),"",D1768/F1768)</f>
        <v/>
      </c>
      <c r="J1768" t="str">
        <f>IF(OR(H1768="",I1768=""),"",IF(H1768=0,"",I1768/H1768-1))</f>
        <v/>
      </c>
      <c r="K1768" t="str">
        <f>IF($B1768="","",IFERROR(IF(G1768=0,-2E+300,CHOOSE(sortIdx,ROUND(D1768,0),IF(J1768="",-1E+300,ROUND(-J1768,6)),IF(J1768="",-1E+300,ROUND(J1768,6)))),-1.5E+300))</f>
        <v/>
      </c>
      <c r="L1768" t="str">
        <f>IF(K1768="","",RANK(K1768,$K$2:$K$3001,0)+COUNTIF($K$2:K1768,K1768)-1)</f>
        <v/>
      </c>
    </row>
    <row r="1769">
      <c r="B1769" t="str">
        <f>IFERROR(IF(A1769="","","="&amp;SUBSTITUTE(SUBSTITUTE(SUBSTITUTE(A1769,"~","~~"),"*","~*"),"?","~?")),"")</f>
        <v/>
      </c>
      <c r="C1769" t="str">
        <f>IF($B1769="","",SUMIFS(dAmt,dCust,$B1769,dPer,"&gt;="&amp;pyFrom,dPer,"&lt;="&amp;pyTo,dAmt,"&gt;-1E+300",dFlt1,critFlt1,dFlt2,critFlt2,dFlt3,critFlt3))</f>
        <v/>
      </c>
      <c r="D1769" t="str">
        <f>IF($B1769="","",SUMIFS(dAmt,dCust,$B1769,dPer,"&gt;="&amp;cyFrom,dPer,"&lt;="&amp;cyTo,dAmt,"&gt;-1E+300",dFlt1,critFlt1,dFlt2,critFlt2,dFlt3,critFlt3))</f>
        <v/>
      </c>
      <c r="E1769" t="str">
        <f>IF($B1769="","",SUMIFS(dQty,dCust,$B1769,dPer,"&gt;="&amp;pyFrom,dPer,"&lt;="&amp;pyTo,dQty,"&gt;-1E+300",dFlt1,critFlt1,dFlt2,critFlt2,dFlt3,critFlt3))</f>
        <v/>
      </c>
      <c r="F1769" t="str">
        <f>IF($B1769="","",SUMIFS(dQty,dCust,$B1769,dPer,"&gt;="&amp;cyFrom,dPer,"&lt;="&amp;cyTo,dQty,"&gt;-1E+300",dFlt1,critFlt1,dFlt2,critFlt2,dFlt3,critFlt3))</f>
        <v/>
      </c>
      <c r="G1769">
        <f>IF($B1769="",0,IFERROR(IF(OR(C1769&lt;&gt;0,D1769&lt;&gt;0,E1769&lt;&gt;0,F1769&lt;&gt;0),1,0),1))</f>
        <v>0</v>
      </c>
      <c r="H1769" t="str">
        <f>IF(OR(G1769=0,E1769=0),"",C1769/E1769)</f>
        <v/>
      </c>
      <c r="I1769" t="str">
        <f>IF(OR(G1769=0,F1769=0),"",D1769/F1769)</f>
        <v/>
      </c>
      <c r="J1769" t="str">
        <f>IF(OR(H1769="",I1769=""),"",IF(H1769=0,"",I1769/H1769-1))</f>
        <v/>
      </c>
      <c r="K1769" t="str">
        <f>IF($B1769="","",IFERROR(IF(G1769=0,-2E+300,CHOOSE(sortIdx,ROUND(D1769,0),IF(J1769="",-1E+300,ROUND(-J1769,6)),IF(J1769="",-1E+300,ROUND(J1769,6)))),-1.5E+300))</f>
        <v/>
      </c>
      <c r="L1769" t="str">
        <f>IF(K1769="","",RANK(K1769,$K$2:$K$3001,0)+COUNTIF($K$2:K1769,K1769)-1)</f>
        <v/>
      </c>
    </row>
    <row r="1770">
      <c r="B1770" t="str">
        <f>IFERROR(IF(A1770="","","="&amp;SUBSTITUTE(SUBSTITUTE(SUBSTITUTE(A1770,"~","~~"),"*","~*"),"?","~?")),"")</f>
        <v/>
      </c>
      <c r="C1770" t="str">
        <f>IF($B1770="","",SUMIFS(dAmt,dCust,$B1770,dPer,"&gt;="&amp;pyFrom,dPer,"&lt;="&amp;pyTo,dAmt,"&gt;-1E+300",dFlt1,critFlt1,dFlt2,critFlt2,dFlt3,critFlt3))</f>
        <v/>
      </c>
      <c r="D1770" t="str">
        <f>IF($B1770="","",SUMIFS(dAmt,dCust,$B1770,dPer,"&gt;="&amp;cyFrom,dPer,"&lt;="&amp;cyTo,dAmt,"&gt;-1E+300",dFlt1,critFlt1,dFlt2,critFlt2,dFlt3,critFlt3))</f>
        <v/>
      </c>
      <c r="E1770" t="str">
        <f>IF($B1770="","",SUMIFS(dQty,dCust,$B1770,dPer,"&gt;="&amp;pyFrom,dPer,"&lt;="&amp;pyTo,dQty,"&gt;-1E+300",dFlt1,critFlt1,dFlt2,critFlt2,dFlt3,critFlt3))</f>
        <v/>
      </c>
      <c r="F1770" t="str">
        <f>IF($B1770="","",SUMIFS(dQty,dCust,$B1770,dPer,"&gt;="&amp;cyFrom,dPer,"&lt;="&amp;cyTo,dQty,"&gt;-1E+300",dFlt1,critFlt1,dFlt2,critFlt2,dFlt3,critFlt3))</f>
        <v/>
      </c>
      <c r="G1770">
        <f>IF($B1770="",0,IFERROR(IF(OR(C1770&lt;&gt;0,D1770&lt;&gt;0,E1770&lt;&gt;0,F1770&lt;&gt;0),1,0),1))</f>
        <v>0</v>
      </c>
      <c r="H1770" t="str">
        <f>IF(OR(G1770=0,E1770=0),"",C1770/E1770)</f>
        <v/>
      </c>
      <c r="I1770" t="str">
        <f>IF(OR(G1770=0,F1770=0),"",D1770/F1770)</f>
        <v/>
      </c>
      <c r="J1770" t="str">
        <f>IF(OR(H1770="",I1770=""),"",IF(H1770=0,"",I1770/H1770-1))</f>
        <v/>
      </c>
      <c r="K1770" t="str">
        <f>IF($B1770="","",IFERROR(IF(G1770=0,-2E+300,CHOOSE(sortIdx,ROUND(D1770,0),IF(J1770="",-1E+300,ROUND(-J1770,6)),IF(J1770="",-1E+300,ROUND(J1770,6)))),-1.5E+300))</f>
        <v/>
      </c>
      <c r="L1770" t="str">
        <f>IF(K1770="","",RANK(K1770,$K$2:$K$3001,0)+COUNTIF($K$2:K1770,K1770)-1)</f>
        <v/>
      </c>
    </row>
    <row r="1771">
      <c r="B1771" t="str">
        <f>IFERROR(IF(A1771="","","="&amp;SUBSTITUTE(SUBSTITUTE(SUBSTITUTE(A1771,"~","~~"),"*","~*"),"?","~?")),"")</f>
        <v/>
      </c>
      <c r="C1771" t="str">
        <f>IF($B1771="","",SUMIFS(dAmt,dCust,$B1771,dPer,"&gt;="&amp;pyFrom,dPer,"&lt;="&amp;pyTo,dAmt,"&gt;-1E+300",dFlt1,critFlt1,dFlt2,critFlt2,dFlt3,critFlt3))</f>
        <v/>
      </c>
      <c r="D1771" t="str">
        <f>IF($B1771="","",SUMIFS(dAmt,dCust,$B1771,dPer,"&gt;="&amp;cyFrom,dPer,"&lt;="&amp;cyTo,dAmt,"&gt;-1E+300",dFlt1,critFlt1,dFlt2,critFlt2,dFlt3,critFlt3))</f>
        <v/>
      </c>
      <c r="E1771" t="str">
        <f>IF($B1771="","",SUMIFS(dQty,dCust,$B1771,dPer,"&gt;="&amp;pyFrom,dPer,"&lt;="&amp;pyTo,dQty,"&gt;-1E+300",dFlt1,critFlt1,dFlt2,critFlt2,dFlt3,critFlt3))</f>
        <v/>
      </c>
      <c r="F1771" t="str">
        <f>IF($B1771="","",SUMIFS(dQty,dCust,$B1771,dPer,"&gt;="&amp;cyFrom,dPer,"&lt;="&amp;cyTo,dQty,"&gt;-1E+300",dFlt1,critFlt1,dFlt2,critFlt2,dFlt3,critFlt3))</f>
        <v/>
      </c>
      <c r="G1771">
        <f>IF($B1771="",0,IFERROR(IF(OR(C1771&lt;&gt;0,D1771&lt;&gt;0,E1771&lt;&gt;0,F1771&lt;&gt;0),1,0),1))</f>
        <v>0</v>
      </c>
      <c r="H1771" t="str">
        <f>IF(OR(G1771=0,E1771=0),"",C1771/E1771)</f>
        <v/>
      </c>
      <c r="I1771" t="str">
        <f>IF(OR(G1771=0,F1771=0),"",D1771/F1771)</f>
        <v/>
      </c>
      <c r="J1771" t="str">
        <f>IF(OR(H1771="",I1771=""),"",IF(H1771=0,"",I1771/H1771-1))</f>
        <v/>
      </c>
      <c r="K1771" t="str">
        <f>IF($B1771="","",IFERROR(IF(G1771=0,-2E+300,CHOOSE(sortIdx,ROUND(D1771,0),IF(J1771="",-1E+300,ROUND(-J1771,6)),IF(J1771="",-1E+300,ROUND(J1771,6)))),-1.5E+300))</f>
        <v/>
      </c>
      <c r="L1771" t="str">
        <f>IF(K1771="","",RANK(K1771,$K$2:$K$3001,0)+COUNTIF($K$2:K1771,K1771)-1)</f>
        <v/>
      </c>
    </row>
    <row r="1772">
      <c r="B1772" t="str">
        <f>IFERROR(IF(A1772="","","="&amp;SUBSTITUTE(SUBSTITUTE(SUBSTITUTE(A1772,"~","~~"),"*","~*"),"?","~?")),"")</f>
        <v/>
      </c>
      <c r="C1772" t="str">
        <f>IF($B1772="","",SUMIFS(dAmt,dCust,$B1772,dPer,"&gt;="&amp;pyFrom,dPer,"&lt;="&amp;pyTo,dAmt,"&gt;-1E+300",dFlt1,critFlt1,dFlt2,critFlt2,dFlt3,critFlt3))</f>
        <v/>
      </c>
      <c r="D1772" t="str">
        <f>IF($B1772="","",SUMIFS(dAmt,dCust,$B1772,dPer,"&gt;="&amp;cyFrom,dPer,"&lt;="&amp;cyTo,dAmt,"&gt;-1E+300",dFlt1,critFlt1,dFlt2,critFlt2,dFlt3,critFlt3))</f>
        <v/>
      </c>
      <c r="E1772" t="str">
        <f>IF($B1772="","",SUMIFS(dQty,dCust,$B1772,dPer,"&gt;="&amp;pyFrom,dPer,"&lt;="&amp;pyTo,dQty,"&gt;-1E+300",dFlt1,critFlt1,dFlt2,critFlt2,dFlt3,critFlt3))</f>
        <v/>
      </c>
      <c r="F1772" t="str">
        <f>IF($B1772="","",SUMIFS(dQty,dCust,$B1772,dPer,"&gt;="&amp;cyFrom,dPer,"&lt;="&amp;cyTo,dQty,"&gt;-1E+300",dFlt1,critFlt1,dFlt2,critFlt2,dFlt3,critFlt3))</f>
        <v/>
      </c>
      <c r="G1772">
        <f>IF($B1772="",0,IFERROR(IF(OR(C1772&lt;&gt;0,D1772&lt;&gt;0,E1772&lt;&gt;0,F1772&lt;&gt;0),1,0),1))</f>
        <v>0</v>
      </c>
      <c r="H1772" t="str">
        <f>IF(OR(G1772=0,E1772=0),"",C1772/E1772)</f>
        <v/>
      </c>
      <c r="I1772" t="str">
        <f>IF(OR(G1772=0,F1772=0),"",D1772/F1772)</f>
        <v/>
      </c>
      <c r="J1772" t="str">
        <f>IF(OR(H1772="",I1772=""),"",IF(H1772=0,"",I1772/H1772-1))</f>
        <v/>
      </c>
      <c r="K1772" t="str">
        <f>IF($B1772="","",IFERROR(IF(G1772=0,-2E+300,CHOOSE(sortIdx,ROUND(D1772,0),IF(J1772="",-1E+300,ROUND(-J1772,6)),IF(J1772="",-1E+300,ROUND(J1772,6)))),-1.5E+300))</f>
        <v/>
      </c>
      <c r="L1772" t="str">
        <f>IF(K1772="","",RANK(K1772,$K$2:$K$3001,0)+COUNTIF($K$2:K1772,K1772)-1)</f>
        <v/>
      </c>
    </row>
    <row r="1773">
      <c r="B1773" t="str">
        <f>IFERROR(IF(A1773="","","="&amp;SUBSTITUTE(SUBSTITUTE(SUBSTITUTE(A1773,"~","~~"),"*","~*"),"?","~?")),"")</f>
        <v/>
      </c>
      <c r="C1773" t="str">
        <f>IF($B1773="","",SUMIFS(dAmt,dCust,$B1773,dPer,"&gt;="&amp;pyFrom,dPer,"&lt;="&amp;pyTo,dAmt,"&gt;-1E+300",dFlt1,critFlt1,dFlt2,critFlt2,dFlt3,critFlt3))</f>
        <v/>
      </c>
      <c r="D1773" t="str">
        <f>IF($B1773="","",SUMIFS(dAmt,dCust,$B1773,dPer,"&gt;="&amp;cyFrom,dPer,"&lt;="&amp;cyTo,dAmt,"&gt;-1E+300",dFlt1,critFlt1,dFlt2,critFlt2,dFlt3,critFlt3))</f>
        <v/>
      </c>
      <c r="E1773" t="str">
        <f>IF($B1773="","",SUMIFS(dQty,dCust,$B1773,dPer,"&gt;="&amp;pyFrom,dPer,"&lt;="&amp;pyTo,dQty,"&gt;-1E+300",dFlt1,critFlt1,dFlt2,critFlt2,dFlt3,critFlt3))</f>
        <v/>
      </c>
      <c r="F1773" t="str">
        <f>IF($B1773="","",SUMIFS(dQty,dCust,$B1773,dPer,"&gt;="&amp;cyFrom,dPer,"&lt;="&amp;cyTo,dQty,"&gt;-1E+300",dFlt1,critFlt1,dFlt2,critFlt2,dFlt3,critFlt3))</f>
        <v/>
      </c>
      <c r="G1773">
        <f>IF($B1773="",0,IFERROR(IF(OR(C1773&lt;&gt;0,D1773&lt;&gt;0,E1773&lt;&gt;0,F1773&lt;&gt;0),1,0),1))</f>
        <v>0</v>
      </c>
      <c r="H1773" t="str">
        <f>IF(OR(G1773=0,E1773=0),"",C1773/E1773)</f>
        <v/>
      </c>
      <c r="I1773" t="str">
        <f>IF(OR(G1773=0,F1773=0),"",D1773/F1773)</f>
        <v/>
      </c>
      <c r="J1773" t="str">
        <f>IF(OR(H1773="",I1773=""),"",IF(H1773=0,"",I1773/H1773-1))</f>
        <v/>
      </c>
      <c r="K1773" t="str">
        <f>IF($B1773="","",IFERROR(IF(G1773=0,-2E+300,CHOOSE(sortIdx,ROUND(D1773,0),IF(J1773="",-1E+300,ROUND(-J1773,6)),IF(J1773="",-1E+300,ROUND(J1773,6)))),-1.5E+300))</f>
        <v/>
      </c>
      <c r="L1773" t="str">
        <f>IF(K1773="","",RANK(K1773,$K$2:$K$3001,0)+COUNTIF($K$2:K1773,K1773)-1)</f>
        <v/>
      </c>
    </row>
    <row r="1774">
      <c r="B1774" t="str">
        <f>IFERROR(IF(A1774="","","="&amp;SUBSTITUTE(SUBSTITUTE(SUBSTITUTE(A1774,"~","~~"),"*","~*"),"?","~?")),"")</f>
        <v/>
      </c>
      <c r="C1774" t="str">
        <f>IF($B1774="","",SUMIFS(dAmt,dCust,$B1774,dPer,"&gt;="&amp;pyFrom,dPer,"&lt;="&amp;pyTo,dAmt,"&gt;-1E+300",dFlt1,critFlt1,dFlt2,critFlt2,dFlt3,critFlt3))</f>
        <v/>
      </c>
      <c r="D1774" t="str">
        <f>IF($B1774="","",SUMIFS(dAmt,dCust,$B1774,dPer,"&gt;="&amp;cyFrom,dPer,"&lt;="&amp;cyTo,dAmt,"&gt;-1E+300",dFlt1,critFlt1,dFlt2,critFlt2,dFlt3,critFlt3))</f>
        <v/>
      </c>
      <c r="E1774" t="str">
        <f>IF($B1774="","",SUMIFS(dQty,dCust,$B1774,dPer,"&gt;="&amp;pyFrom,dPer,"&lt;="&amp;pyTo,dQty,"&gt;-1E+300",dFlt1,critFlt1,dFlt2,critFlt2,dFlt3,critFlt3))</f>
        <v/>
      </c>
      <c r="F1774" t="str">
        <f>IF($B1774="","",SUMIFS(dQty,dCust,$B1774,dPer,"&gt;="&amp;cyFrom,dPer,"&lt;="&amp;cyTo,dQty,"&gt;-1E+300",dFlt1,critFlt1,dFlt2,critFlt2,dFlt3,critFlt3))</f>
        <v/>
      </c>
      <c r="G1774">
        <f>IF($B1774="",0,IFERROR(IF(OR(C1774&lt;&gt;0,D1774&lt;&gt;0,E1774&lt;&gt;0,F1774&lt;&gt;0),1,0),1))</f>
        <v>0</v>
      </c>
      <c r="H1774" t="str">
        <f>IF(OR(G1774=0,E1774=0),"",C1774/E1774)</f>
        <v/>
      </c>
      <c r="I1774" t="str">
        <f>IF(OR(G1774=0,F1774=0),"",D1774/F1774)</f>
        <v/>
      </c>
      <c r="J1774" t="str">
        <f>IF(OR(H1774="",I1774=""),"",IF(H1774=0,"",I1774/H1774-1))</f>
        <v/>
      </c>
      <c r="K1774" t="str">
        <f>IF($B1774="","",IFERROR(IF(G1774=0,-2E+300,CHOOSE(sortIdx,ROUND(D1774,0),IF(J1774="",-1E+300,ROUND(-J1774,6)),IF(J1774="",-1E+300,ROUND(J1774,6)))),-1.5E+300))</f>
        <v/>
      </c>
      <c r="L1774" t="str">
        <f>IF(K1774="","",RANK(K1774,$K$2:$K$3001,0)+COUNTIF($K$2:K1774,K1774)-1)</f>
        <v/>
      </c>
    </row>
    <row r="1775">
      <c r="B1775" t="str">
        <f>IFERROR(IF(A1775="","","="&amp;SUBSTITUTE(SUBSTITUTE(SUBSTITUTE(A1775,"~","~~"),"*","~*"),"?","~?")),"")</f>
        <v/>
      </c>
      <c r="C1775" t="str">
        <f>IF($B1775="","",SUMIFS(dAmt,dCust,$B1775,dPer,"&gt;="&amp;pyFrom,dPer,"&lt;="&amp;pyTo,dAmt,"&gt;-1E+300",dFlt1,critFlt1,dFlt2,critFlt2,dFlt3,critFlt3))</f>
        <v/>
      </c>
      <c r="D1775" t="str">
        <f>IF($B1775="","",SUMIFS(dAmt,dCust,$B1775,dPer,"&gt;="&amp;cyFrom,dPer,"&lt;="&amp;cyTo,dAmt,"&gt;-1E+300",dFlt1,critFlt1,dFlt2,critFlt2,dFlt3,critFlt3))</f>
        <v/>
      </c>
      <c r="E1775" t="str">
        <f>IF($B1775="","",SUMIFS(dQty,dCust,$B1775,dPer,"&gt;="&amp;pyFrom,dPer,"&lt;="&amp;pyTo,dQty,"&gt;-1E+300",dFlt1,critFlt1,dFlt2,critFlt2,dFlt3,critFlt3))</f>
        <v/>
      </c>
      <c r="F1775" t="str">
        <f>IF($B1775="","",SUMIFS(dQty,dCust,$B1775,dPer,"&gt;="&amp;cyFrom,dPer,"&lt;="&amp;cyTo,dQty,"&gt;-1E+300",dFlt1,critFlt1,dFlt2,critFlt2,dFlt3,critFlt3))</f>
        <v/>
      </c>
      <c r="G1775">
        <f>IF($B1775="",0,IFERROR(IF(OR(C1775&lt;&gt;0,D1775&lt;&gt;0,E1775&lt;&gt;0,F1775&lt;&gt;0),1,0),1))</f>
        <v>0</v>
      </c>
      <c r="H1775" t="str">
        <f>IF(OR(G1775=0,E1775=0),"",C1775/E1775)</f>
        <v/>
      </c>
      <c r="I1775" t="str">
        <f>IF(OR(G1775=0,F1775=0),"",D1775/F1775)</f>
        <v/>
      </c>
      <c r="J1775" t="str">
        <f>IF(OR(H1775="",I1775=""),"",IF(H1775=0,"",I1775/H1775-1))</f>
        <v/>
      </c>
      <c r="K1775" t="str">
        <f>IF($B1775="","",IFERROR(IF(G1775=0,-2E+300,CHOOSE(sortIdx,ROUND(D1775,0),IF(J1775="",-1E+300,ROUND(-J1775,6)),IF(J1775="",-1E+300,ROUND(J1775,6)))),-1.5E+300))</f>
        <v/>
      </c>
      <c r="L1775" t="str">
        <f>IF(K1775="","",RANK(K1775,$K$2:$K$3001,0)+COUNTIF($K$2:K1775,K1775)-1)</f>
        <v/>
      </c>
    </row>
    <row r="1776">
      <c r="B1776" t="str">
        <f>IFERROR(IF(A1776="","","="&amp;SUBSTITUTE(SUBSTITUTE(SUBSTITUTE(A1776,"~","~~"),"*","~*"),"?","~?")),"")</f>
        <v/>
      </c>
      <c r="C1776" t="str">
        <f>IF($B1776="","",SUMIFS(dAmt,dCust,$B1776,dPer,"&gt;="&amp;pyFrom,dPer,"&lt;="&amp;pyTo,dAmt,"&gt;-1E+300",dFlt1,critFlt1,dFlt2,critFlt2,dFlt3,critFlt3))</f>
        <v/>
      </c>
      <c r="D1776" t="str">
        <f>IF($B1776="","",SUMIFS(dAmt,dCust,$B1776,dPer,"&gt;="&amp;cyFrom,dPer,"&lt;="&amp;cyTo,dAmt,"&gt;-1E+300",dFlt1,critFlt1,dFlt2,critFlt2,dFlt3,critFlt3))</f>
        <v/>
      </c>
      <c r="E1776" t="str">
        <f>IF($B1776="","",SUMIFS(dQty,dCust,$B1776,dPer,"&gt;="&amp;pyFrom,dPer,"&lt;="&amp;pyTo,dQty,"&gt;-1E+300",dFlt1,critFlt1,dFlt2,critFlt2,dFlt3,critFlt3))</f>
        <v/>
      </c>
      <c r="F1776" t="str">
        <f>IF($B1776="","",SUMIFS(dQty,dCust,$B1776,dPer,"&gt;="&amp;cyFrom,dPer,"&lt;="&amp;cyTo,dQty,"&gt;-1E+300",dFlt1,critFlt1,dFlt2,critFlt2,dFlt3,critFlt3))</f>
        <v/>
      </c>
      <c r="G1776">
        <f>IF($B1776="",0,IFERROR(IF(OR(C1776&lt;&gt;0,D1776&lt;&gt;0,E1776&lt;&gt;0,F1776&lt;&gt;0),1,0),1))</f>
        <v>0</v>
      </c>
      <c r="H1776" t="str">
        <f>IF(OR(G1776=0,E1776=0),"",C1776/E1776)</f>
        <v/>
      </c>
      <c r="I1776" t="str">
        <f>IF(OR(G1776=0,F1776=0),"",D1776/F1776)</f>
        <v/>
      </c>
      <c r="J1776" t="str">
        <f>IF(OR(H1776="",I1776=""),"",IF(H1776=0,"",I1776/H1776-1))</f>
        <v/>
      </c>
      <c r="K1776" t="str">
        <f>IF($B1776="","",IFERROR(IF(G1776=0,-2E+300,CHOOSE(sortIdx,ROUND(D1776,0),IF(J1776="",-1E+300,ROUND(-J1776,6)),IF(J1776="",-1E+300,ROUND(J1776,6)))),-1.5E+300))</f>
        <v/>
      </c>
      <c r="L1776" t="str">
        <f>IF(K1776="","",RANK(K1776,$K$2:$K$3001,0)+COUNTIF($K$2:K1776,K1776)-1)</f>
        <v/>
      </c>
    </row>
    <row r="1777">
      <c r="B1777" t="str">
        <f>IFERROR(IF(A1777="","","="&amp;SUBSTITUTE(SUBSTITUTE(SUBSTITUTE(A1777,"~","~~"),"*","~*"),"?","~?")),"")</f>
        <v/>
      </c>
      <c r="C1777" t="str">
        <f>IF($B1777="","",SUMIFS(dAmt,dCust,$B1777,dPer,"&gt;="&amp;pyFrom,dPer,"&lt;="&amp;pyTo,dAmt,"&gt;-1E+300",dFlt1,critFlt1,dFlt2,critFlt2,dFlt3,critFlt3))</f>
        <v/>
      </c>
      <c r="D1777" t="str">
        <f>IF($B1777="","",SUMIFS(dAmt,dCust,$B1777,dPer,"&gt;="&amp;cyFrom,dPer,"&lt;="&amp;cyTo,dAmt,"&gt;-1E+300",dFlt1,critFlt1,dFlt2,critFlt2,dFlt3,critFlt3))</f>
        <v/>
      </c>
      <c r="E1777" t="str">
        <f>IF($B1777="","",SUMIFS(dQty,dCust,$B1777,dPer,"&gt;="&amp;pyFrom,dPer,"&lt;="&amp;pyTo,dQty,"&gt;-1E+300",dFlt1,critFlt1,dFlt2,critFlt2,dFlt3,critFlt3))</f>
        <v/>
      </c>
      <c r="F1777" t="str">
        <f>IF($B1777="","",SUMIFS(dQty,dCust,$B1777,dPer,"&gt;="&amp;cyFrom,dPer,"&lt;="&amp;cyTo,dQty,"&gt;-1E+300",dFlt1,critFlt1,dFlt2,critFlt2,dFlt3,critFlt3))</f>
        <v/>
      </c>
      <c r="G1777">
        <f>IF($B1777="",0,IFERROR(IF(OR(C1777&lt;&gt;0,D1777&lt;&gt;0,E1777&lt;&gt;0,F1777&lt;&gt;0),1,0),1))</f>
        <v>0</v>
      </c>
      <c r="H1777" t="str">
        <f>IF(OR(G1777=0,E1777=0),"",C1777/E1777)</f>
        <v/>
      </c>
      <c r="I1777" t="str">
        <f>IF(OR(G1777=0,F1777=0),"",D1777/F1777)</f>
        <v/>
      </c>
      <c r="J1777" t="str">
        <f>IF(OR(H1777="",I1777=""),"",IF(H1777=0,"",I1777/H1777-1))</f>
        <v/>
      </c>
      <c r="K1777" t="str">
        <f>IF($B1777="","",IFERROR(IF(G1777=0,-2E+300,CHOOSE(sortIdx,ROUND(D1777,0),IF(J1777="",-1E+300,ROUND(-J1777,6)),IF(J1777="",-1E+300,ROUND(J1777,6)))),-1.5E+300))</f>
        <v/>
      </c>
      <c r="L1777" t="str">
        <f>IF(K1777="","",RANK(K1777,$K$2:$K$3001,0)+COUNTIF($K$2:K1777,K1777)-1)</f>
        <v/>
      </c>
    </row>
    <row r="1778">
      <c r="B1778" t="str">
        <f>IFERROR(IF(A1778="","","="&amp;SUBSTITUTE(SUBSTITUTE(SUBSTITUTE(A1778,"~","~~"),"*","~*"),"?","~?")),"")</f>
        <v/>
      </c>
      <c r="C1778" t="str">
        <f>IF($B1778="","",SUMIFS(dAmt,dCust,$B1778,dPer,"&gt;="&amp;pyFrom,dPer,"&lt;="&amp;pyTo,dAmt,"&gt;-1E+300",dFlt1,critFlt1,dFlt2,critFlt2,dFlt3,critFlt3))</f>
        <v/>
      </c>
      <c r="D1778" t="str">
        <f>IF($B1778="","",SUMIFS(dAmt,dCust,$B1778,dPer,"&gt;="&amp;cyFrom,dPer,"&lt;="&amp;cyTo,dAmt,"&gt;-1E+300",dFlt1,critFlt1,dFlt2,critFlt2,dFlt3,critFlt3))</f>
        <v/>
      </c>
      <c r="E1778" t="str">
        <f>IF($B1778="","",SUMIFS(dQty,dCust,$B1778,dPer,"&gt;="&amp;pyFrom,dPer,"&lt;="&amp;pyTo,dQty,"&gt;-1E+300",dFlt1,critFlt1,dFlt2,critFlt2,dFlt3,critFlt3))</f>
        <v/>
      </c>
      <c r="F1778" t="str">
        <f>IF($B1778="","",SUMIFS(dQty,dCust,$B1778,dPer,"&gt;="&amp;cyFrom,dPer,"&lt;="&amp;cyTo,dQty,"&gt;-1E+300",dFlt1,critFlt1,dFlt2,critFlt2,dFlt3,critFlt3))</f>
        <v/>
      </c>
      <c r="G1778">
        <f>IF($B1778="",0,IFERROR(IF(OR(C1778&lt;&gt;0,D1778&lt;&gt;0,E1778&lt;&gt;0,F1778&lt;&gt;0),1,0),1))</f>
        <v>0</v>
      </c>
      <c r="H1778" t="str">
        <f>IF(OR(G1778=0,E1778=0),"",C1778/E1778)</f>
        <v/>
      </c>
      <c r="I1778" t="str">
        <f>IF(OR(G1778=0,F1778=0),"",D1778/F1778)</f>
        <v/>
      </c>
      <c r="J1778" t="str">
        <f>IF(OR(H1778="",I1778=""),"",IF(H1778=0,"",I1778/H1778-1))</f>
        <v/>
      </c>
      <c r="K1778" t="str">
        <f>IF($B1778="","",IFERROR(IF(G1778=0,-2E+300,CHOOSE(sortIdx,ROUND(D1778,0),IF(J1778="",-1E+300,ROUND(-J1778,6)),IF(J1778="",-1E+300,ROUND(J1778,6)))),-1.5E+300))</f>
        <v/>
      </c>
      <c r="L1778" t="str">
        <f>IF(K1778="","",RANK(K1778,$K$2:$K$3001,0)+COUNTIF($K$2:K1778,K1778)-1)</f>
        <v/>
      </c>
    </row>
    <row r="1779">
      <c r="B1779" t="str">
        <f>IFERROR(IF(A1779="","","="&amp;SUBSTITUTE(SUBSTITUTE(SUBSTITUTE(A1779,"~","~~"),"*","~*"),"?","~?")),"")</f>
        <v/>
      </c>
      <c r="C1779" t="str">
        <f>IF($B1779="","",SUMIFS(dAmt,dCust,$B1779,dPer,"&gt;="&amp;pyFrom,dPer,"&lt;="&amp;pyTo,dAmt,"&gt;-1E+300",dFlt1,critFlt1,dFlt2,critFlt2,dFlt3,critFlt3))</f>
        <v/>
      </c>
      <c r="D1779" t="str">
        <f>IF($B1779="","",SUMIFS(dAmt,dCust,$B1779,dPer,"&gt;="&amp;cyFrom,dPer,"&lt;="&amp;cyTo,dAmt,"&gt;-1E+300",dFlt1,critFlt1,dFlt2,critFlt2,dFlt3,critFlt3))</f>
        <v/>
      </c>
      <c r="E1779" t="str">
        <f>IF($B1779="","",SUMIFS(dQty,dCust,$B1779,dPer,"&gt;="&amp;pyFrom,dPer,"&lt;="&amp;pyTo,dQty,"&gt;-1E+300",dFlt1,critFlt1,dFlt2,critFlt2,dFlt3,critFlt3))</f>
        <v/>
      </c>
      <c r="F1779" t="str">
        <f>IF($B1779="","",SUMIFS(dQty,dCust,$B1779,dPer,"&gt;="&amp;cyFrom,dPer,"&lt;="&amp;cyTo,dQty,"&gt;-1E+300",dFlt1,critFlt1,dFlt2,critFlt2,dFlt3,critFlt3))</f>
        <v/>
      </c>
      <c r="G1779">
        <f>IF($B1779="",0,IFERROR(IF(OR(C1779&lt;&gt;0,D1779&lt;&gt;0,E1779&lt;&gt;0,F1779&lt;&gt;0),1,0),1))</f>
        <v>0</v>
      </c>
      <c r="H1779" t="str">
        <f>IF(OR(G1779=0,E1779=0),"",C1779/E1779)</f>
        <v/>
      </c>
      <c r="I1779" t="str">
        <f>IF(OR(G1779=0,F1779=0),"",D1779/F1779)</f>
        <v/>
      </c>
      <c r="J1779" t="str">
        <f>IF(OR(H1779="",I1779=""),"",IF(H1779=0,"",I1779/H1779-1))</f>
        <v/>
      </c>
      <c r="K1779" t="str">
        <f>IF($B1779="","",IFERROR(IF(G1779=0,-2E+300,CHOOSE(sortIdx,ROUND(D1779,0),IF(J1779="",-1E+300,ROUND(-J1779,6)),IF(J1779="",-1E+300,ROUND(J1779,6)))),-1.5E+300))</f>
        <v/>
      </c>
      <c r="L1779" t="str">
        <f>IF(K1779="","",RANK(K1779,$K$2:$K$3001,0)+COUNTIF($K$2:K1779,K1779)-1)</f>
        <v/>
      </c>
    </row>
    <row r="1780">
      <c r="B1780" t="str">
        <f>IFERROR(IF(A1780="","","="&amp;SUBSTITUTE(SUBSTITUTE(SUBSTITUTE(A1780,"~","~~"),"*","~*"),"?","~?")),"")</f>
        <v/>
      </c>
      <c r="C1780" t="str">
        <f>IF($B1780="","",SUMIFS(dAmt,dCust,$B1780,dPer,"&gt;="&amp;pyFrom,dPer,"&lt;="&amp;pyTo,dAmt,"&gt;-1E+300",dFlt1,critFlt1,dFlt2,critFlt2,dFlt3,critFlt3))</f>
        <v/>
      </c>
      <c r="D1780" t="str">
        <f>IF($B1780="","",SUMIFS(dAmt,dCust,$B1780,dPer,"&gt;="&amp;cyFrom,dPer,"&lt;="&amp;cyTo,dAmt,"&gt;-1E+300",dFlt1,critFlt1,dFlt2,critFlt2,dFlt3,critFlt3))</f>
        <v/>
      </c>
      <c r="E1780" t="str">
        <f>IF($B1780="","",SUMIFS(dQty,dCust,$B1780,dPer,"&gt;="&amp;pyFrom,dPer,"&lt;="&amp;pyTo,dQty,"&gt;-1E+300",dFlt1,critFlt1,dFlt2,critFlt2,dFlt3,critFlt3))</f>
        <v/>
      </c>
      <c r="F1780" t="str">
        <f>IF($B1780="","",SUMIFS(dQty,dCust,$B1780,dPer,"&gt;="&amp;cyFrom,dPer,"&lt;="&amp;cyTo,dQty,"&gt;-1E+300",dFlt1,critFlt1,dFlt2,critFlt2,dFlt3,critFlt3))</f>
        <v/>
      </c>
      <c r="G1780">
        <f>IF($B1780="",0,IFERROR(IF(OR(C1780&lt;&gt;0,D1780&lt;&gt;0,E1780&lt;&gt;0,F1780&lt;&gt;0),1,0),1))</f>
        <v>0</v>
      </c>
      <c r="H1780" t="str">
        <f>IF(OR(G1780=0,E1780=0),"",C1780/E1780)</f>
        <v/>
      </c>
      <c r="I1780" t="str">
        <f>IF(OR(G1780=0,F1780=0),"",D1780/F1780)</f>
        <v/>
      </c>
      <c r="J1780" t="str">
        <f>IF(OR(H1780="",I1780=""),"",IF(H1780=0,"",I1780/H1780-1))</f>
        <v/>
      </c>
      <c r="K1780" t="str">
        <f>IF($B1780="","",IFERROR(IF(G1780=0,-2E+300,CHOOSE(sortIdx,ROUND(D1780,0),IF(J1780="",-1E+300,ROUND(-J1780,6)),IF(J1780="",-1E+300,ROUND(J1780,6)))),-1.5E+300))</f>
        <v/>
      </c>
      <c r="L1780" t="str">
        <f>IF(K1780="","",RANK(K1780,$K$2:$K$3001,0)+COUNTIF($K$2:K1780,K1780)-1)</f>
        <v/>
      </c>
    </row>
    <row r="1781">
      <c r="B1781" t="str">
        <f>IFERROR(IF(A1781="","","="&amp;SUBSTITUTE(SUBSTITUTE(SUBSTITUTE(A1781,"~","~~"),"*","~*"),"?","~?")),"")</f>
        <v/>
      </c>
      <c r="C1781" t="str">
        <f>IF($B1781="","",SUMIFS(dAmt,dCust,$B1781,dPer,"&gt;="&amp;pyFrom,dPer,"&lt;="&amp;pyTo,dAmt,"&gt;-1E+300",dFlt1,critFlt1,dFlt2,critFlt2,dFlt3,critFlt3))</f>
        <v/>
      </c>
      <c r="D1781" t="str">
        <f>IF($B1781="","",SUMIFS(dAmt,dCust,$B1781,dPer,"&gt;="&amp;cyFrom,dPer,"&lt;="&amp;cyTo,dAmt,"&gt;-1E+300",dFlt1,critFlt1,dFlt2,critFlt2,dFlt3,critFlt3))</f>
        <v/>
      </c>
      <c r="E1781" t="str">
        <f>IF($B1781="","",SUMIFS(dQty,dCust,$B1781,dPer,"&gt;="&amp;pyFrom,dPer,"&lt;="&amp;pyTo,dQty,"&gt;-1E+300",dFlt1,critFlt1,dFlt2,critFlt2,dFlt3,critFlt3))</f>
        <v/>
      </c>
      <c r="F1781" t="str">
        <f>IF($B1781="","",SUMIFS(dQty,dCust,$B1781,dPer,"&gt;="&amp;cyFrom,dPer,"&lt;="&amp;cyTo,dQty,"&gt;-1E+300",dFlt1,critFlt1,dFlt2,critFlt2,dFlt3,critFlt3))</f>
        <v/>
      </c>
      <c r="G1781">
        <f>IF($B1781="",0,IFERROR(IF(OR(C1781&lt;&gt;0,D1781&lt;&gt;0,E1781&lt;&gt;0,F1781&lt;&gt;0),1,0),1))</f>
        <v>0</v>
      </c>
      <c r="H1781" t="str">
        <f>IF(OR(G1781=0,E1781=0),"",C1781/E1781)</f>
        <v/>
      </c>
      <c r="I1781" t="str">
        <f>IF(OR(G1781=0,F1781=0),"",D1781/F1781)</f>
        <v/>
      </c>
      <c r="J1781" t="str">
        <f>IF(OR(H1781="",I1781=""),"",IF(H1781=0,"",I1781/H1781-1))</f>
        <v/>
      </c>
      <c r="K1781" t="str">
        <f>IF($B1781="","",IFERROR(IF(G1781=0,-2E+300,CHOOSE(sortIdx,ROUND(D1781,0),IF(J1781="",-1E+300,ROUND(-J1781,6)),IF(J1781="",-1E+300,ROUND(J1781,6)))),-1.5E+300))</f>
        <v/>
      </c>
      <c r="L1781" t="str">
        <f>IF(K1781="","",RANK(K1781,$K$2:$K$3001,0)+COUNTIF($K$2:K1781,K1781)-1)</f>
        <v/>
      </c>
    </row>
    <row r="1782">
      <c r="B1782" t="str">
        <f>IFERROR(IF(A1782="","","="&amp;SUBSTITUTE(SUBSTITUTE(SUBSTITUTE(A1782,"~","~~"),"*","~*"),"?","~?")),"")</f>
        <v/>
      </c>
      <c r="C1782" t="str">
        <f>IF($B1782="","",SUMIFS(dAmt,dCust,$B1782,dPer,"&gt;="&amp;pyFrom,dPer,"&lt;="&amp;pyTo,dAmt,"&gt;-1E+300",dFlt1,critFlt1,dFlt2,critFlt2,dFlt3,critFlt3))</f>
        <v/>
      </c>
      <c r="D1782" t="str">
        <f>IF($B1782="","",SUMIFS(dAmt,dCust,$B1782,dPer,"&gt;="&amp;cyFrom,dPer,"&lt;="&amp;cyTo,dAmt,"&gt;-1E+300",dFlt1,critFlt1,dFlt2,critFlt2,dFlt3,critFlt3))</f>
        <v/>
      </c>
      <c r="E1782" t="str">
        <f>IF($B1782="","",SUMIFS(dQty,dCust,$B1782,dPer,"&gt;="&amp;pyFrom,dPer,"&lt;="&amp;pyTo,dQty,"&gt;-1E+300",dFlt1,critFlt1,dFlt2,critFlt2,dFlt3,critFlt3))</f>
        <v/>
      </c>
      <c r="F1782" t="str">
        <f>IF($B1782="","",SUMIFS(dQty,dCust,$B1782,dPer,"&gt;="&amp;cyFrom,dPer,"&lt;="&amp;cyTo,dQty,"&gt;-1E+300",dFlt1,critFlt1,dFlt2,critFlt2,dFlt3,critFlt3))</f>
        <v/>
      </c>
      <c r="G1782">
        <f>IF($B1782="",0,IFERROR(IF(OR(C1782&lt;&gt;0,D1782&lt;&gt;0,E1782&lt;&gt;0,F1782&lt;&gt;0),1,0),1))</f>
        <v>0</v>
      </c>
      <c r="H1782" t="str">
        <f>IF(OR(G1782=0,E1782=0),"",C1782/E1782)</f>
        <v/>
      </c>
      <c r="I1782" t="str">
        <f>IF(OR(G1782=0,F1782=0),"",D1782/F1782)</f>
        <v/>
      </c>
      <c r="J1782" t="str">
        <f>IF(OR(H1782="",I1782=""),"",IF(H1782=0,"",I1782/H1782-1))</f>
        <v/>
      </c>
      <c r="K1782" t="str">
        <f>IF($B1782="","",IFERROR(IF(G1782=0,-2E+300,CHOOSE(sortIdx,ROUND(D1782,0),IF(J1782="",-1E+300,ROUND(-J1782,6)),IF(J1782="",-1E+300,ROUND(J1782,6)))),-1.5E+300))</f>
        <v/>
      </c>
      <c r="L1782" t="str">
        <f>IF(K1782="","",RANK(K1782,$K$2:$K$3001,0)+COUNTIF($K$2:K1782,K1782)-1)</f>
        <v/>
      </c>
    </row>
    <row r="1783">
      <c r="B1783" t="str">
        <f>IFERROR(IF(A1783="","","="&amp;SUBSTITUTE(SUBSTITUTE(SUBSTITUTE(A1783,"~","~~"),"*","~*"),"?","~?")),"")</f>
        <v/>
      </c>
      <c r="C1783" t="str">
        <f>IF($B1783="","",SUMIFS(dAmt,dCust,$B1783,dPer,"&gt;="&amp;pyFrom,dPer,"&lt;="&amp;pyTo,dAmt,"&gt;-1E+300",dFlt1,critFlt1,dFlt2,critFlt2,dFlt3,critFlt3))</f>
        <v/>
      </c>
      <c r="D1783" t="str">
        <f>IF($B1783="","",SUMIFS(dAmt,dCust,$B1783,dPer,"&gt;="&amp;cyFrom,dPer,"&lt;="&amp;cyTo,dAmt,"&gt;-1E+300",dFlt1,critFlt1,dFlt2,critFlt2,dFlt3,critFlt3))</f>
        <v/>
      </c>
      <c r="E1783" t="str">
        <f>IF($B1783="","",SUMIFS(dQty,dCust,$B1783,dPer,"&gt;="&amp;pyFrom,dPer,"&lt;="&amp;pyTo,dQty,"&gt;-1E+300",dFlt1,critFlt1,dFlt2,critFlt2,dFlt3,critFlt3))</f>
        <v/>
      </c>
      <c r="F1783" t="str">
        <f>IF($B1783="","",SUMIFS(dQty,dCust,$B1783,dPer,"&gt;="&amp;cyFrom,dPer,"&lt;="&amp;cyTo,dQty,"&gt;-1E+300",dFlt1,critFlt1,dFlt2,critFlt2,dFlt3,critFlt3))</f>
        <v/>
      </c>
      <c r="G1783">
        <f>IF($B1783="",0,IFERROR(IF(OR(C1783&lt;&gt;0,D1783&lt;&gt;0,E1783&lt;&gt;0,F1783&lt;&gt;0),1,0),1))</f>
        <v>0</v>
      </c>
      <c r="H1783" t="str">
        <f>IF(OR(G1783=0,E1783=0),"",C1783/E1783)</f>
        <v/>
      </c>
      <c r="I1783" t="str">
        <f>IF(OR(G1783=0,F1783=0),"",D1783/F1783)</f>
        <v/>
      </c>
      <c r="J1783" t="str">
        <f>IF(OR(H1783="",I1783=""),"",IF(H1783=0,"",I1783/H1783-1))</f>
        <v/>
      </c>
      <c r="K1783" t="str">
        <f>IF($B1783="","",IFERROR(IF(G1783=0,-2E+300,CHOOSE(sortIdx,ROUND(D1783,0),IF(J1783="",-1E+300,ROUND(-J1783,6)),IF(J1783="",-1E+300,ROUND(J1783,6)))),-1.5E+300))</f>
        <v/>
      </c>
      <c r="L1783" t="str">
        <f>IF(K1783="","",RANK(K1783,$K$2:$K$3001,0)+COUNTIF($K$2:K1783,K1783)-1)</f>
        <v/>
      </c>
    </row>
    <row r="1784">
      <c r="B1784" t="str">
        <f>IFERROR(IF(A1784="","","="&amp;SUBSTITUTE(SUBSTITUTE(SUBSTITUTE(A1784,"~","~~"),"*","~*"),"?","~?")),"")</f>
        <v/>
      </c>
      <c r="C1784" t="str">
        <f>IF($B1784="","",SUMIFS(dAmt,dCust,$B1784,dPer,"&gt;="&amp;pyFrom,dPer,"&lt;="&amp;pyTo,dAmt,"&gt;-1E+300",dFlt1,critFlt1,dFlt2,critFlt2,dFlt3,critFlt3))</f>
        <v/>
      </c>
      <c r="D1784" t="str">
        <f>IF($B1784="","",SUMIFS(dAmt,dCust,$B1784,dPer,"&gt;="&amp;cyFrom,dPer,"&lt;="&amp;cyTo,dAmt,"&gt;-1E+300",dFlt1,critFlt1,dFlt2,critFlt2,dFlt3,critFlt3))</f>
        <v/>
      </c>
      <c r="E1784" t="str">
        <f>IF($B1784="","",SUMIFS(dQty,dCust,$B1784,dPer,"&gt;="&amp;pyFrom,dPer,"&lt;="&amp;pyTo,dQty,"&gt;-1E+300",dFlt1,critFlt1,dFlt2,critFlt2,dFlt3,critFlt3))</f>
        <v/>
      </c>
      <c r="F1784" t="str">
        <f>IF($B1784="","",SUMIFS(dQty,dCust,$B1784,dPer,"&gt;="&amp;cyFrom,dPer,"&lt;="&amp;cyTo,dQty,"&gt;-1E+300",dFlt1,critFlt1,dFlt2,critFlt2,dFlt3,critFlt3))</f>
        <v/>
      </c>
      <c r="G1784">
        <f>IF($B1784="",0,IFERROR(IF(OR(C1784&lt;&gt;0,D1784&lt;&gt;0,E1784&lt;&gt;0,F1784&lt;&gt;0),1,0),1))</f>
        <v>0</v>
      </c>
      <c r="H1784" t="str">
        <f>IF(OR(G1784=0,E1784=0),"",C1784/E1784)</f>
        <v/>
      </c>
      <c r="I1784" t="str">
        <f>IF(OR(G1784=0,F1784=0),"",D1784/F1784)</f>
        <v/>
      </c>
      <c r="J1784" t="str">
        <f>IF(OR(H1784="",I1784=""),"",IF(H1784=0,"",I1784/H1784-1))</f>
        <v/>
      </c>
      <c r="K1784" t="str">
        <f>IF($B1784="","",IFERROR(IF(G1784=0,-2E+300,CHOOSE(sortIdx,ROUND(D1784,0),IF(J1784="",-1E+300,ROUND(-J1784,6)),IF(J1784="",-1E+300,ROUND(J1784,6)))),-1.5E+300))</f>
        <v/>
      </c>
      <c r="L1784" t="str">
        <f>IF(K1784="","",RANK(K1784,$K$2:$K$3001,0)+COUNTIF($K$2:K1784,K1784)-1)</f>
        <v/>
      </c>
    </row>
    <row r="1785">
      <c r="B1785" t="str">
        <f>IFERROR(IF(A1785="","","="&amp;SUBSTITUTE(SUBSTITUTE(SUBSTITUTE(A1785,"~","~~"),"*","~*"),"?","~?")),"")</f>
        <v/>
      </c>
      <c r="C1785" t="str">
        <f>IF($B1785="","",SUMIFS(dAmt,dCust,$B1785,dPer,"&gt;="&amp;pyFrom,dPer,"&lt;="&amp;pyTo,dAmt,"&gt;-1E+300",dFlt1,critFlt1,dFlt2,critFlt2,dFlt3,critFlt3))</f>
        <v/>
      </c>
      <c r="D1785" t="str">
        <f>IF($B1785="","",SUMIFS(dAmt,dCust,$B1785,dPer,"&gt;="&amp;cyFrom,dPer,"&lt;="&amp;cyTo,dAmt,"&gt;-1E+300",dFlt1,critFlt1,dFlt2,critFlt2,dFlt3,critFlt3))</f>
        <v/>
      </c>
      <c r="E1785" t="str">
        <f>IF($B1785="","",SUMIFS(dQty,dCust,$B1785,dPer,"&gt;="&amp;pyFrom,dPer,"&lt;="&amp;pyTo,dQty,"&gt;-1E+300",dFlt1,critFlt1,dFlt2,critFlt2,dFlt3,critFlt3))</f>
        <v/>
      </c>
      <c r="F1785" t="str">
        <f>IF($B1785="","",SUMIFS(dQty,dCust,$B1785,dPer,"&gt;="&amp;cyFrom,dPer,"&lt;="&amp;cyTo,dQty,"&gt;-1E+300",dFlt1,critFlt1,dFlt2,critFlt2,dFlt3,critFlt3))</f>
        <v/>
      </c>
      <c r="G1785">
        <f>IF($B1785="",0,IFERROR(IF(OR(C1785&lt;&gt;0,D1785&lt;&gt;0,E1785&lt;&gt;0,F1785&lt;&gt;0),1,0),1))</f>
        <v>0</v>
      </c>
      <c r="H1785" t="str">
        <f>IF(OR(G1785=0,E1785=0),"",C1785/E1785)</f>
        <v/>
      </c>
      <c r="I1785" t="str">
        <f>IF(OR(G1785=0,F1785=0),"",D1785/F1785)</f>
        <v/>
      </c>
      <c r="J1785" t="str">
        <f>IF(OR(H1785="",I1785=""),"",IF(H1785=0,"",I1785/H1785-1))</f>
        <v/>
      </c>
      <c r="K1785" t="str">
        <f>IF($B1785="","",IFERROR(IF(G1785=0,-2E+300,CHOOSE(sortIdx,ROUND(D1785,0),IF(J1785="",-1E+300,ROUND(-J1785,6)),IF(J1785="",-1E+300,ROUND(J1785,6)))),-1.5E+300))</f>
        <v/>
      </c>
      <c r="L1785" t="str">
        <f>IF(K1785="","",RANK(K1785,$K$2:$K$3001,0)+COUNTIF($K$2:K1785,K1785)-1)</f>
        <v/>
      </c>
    </row>
    <row r="1786">
      <c r="B1786" t="str">
        <f>IFERROR(IF(A1786="","","="&amp;SUBSTITUTE(SUBSTITUTE(SUBSTITUTE(A1786,"~","~~"),"*","~*"),"?","~?")),"")</f>
        <v/>
      </c>
      <c r="C1786" t="str">
        <f>IF($B1786="","",SUMIFS(dAmt,dCust,$B1786,dPer,"&gt;="&amp;pyFrom,dPer,"&lt;="&amp;pyTo,dAmt,"&gt;-1E+300",dFlt1,critFlt1,dFlt2,critFlt2,dFlt3,critFlt3))</f>
        <v/>
      </c>
      <c r="D1786" t="str">
        <f>IF($B1786="","",SUMIFS(dAmt,dCust,$B1786,dPer,"&gt;="&amp;cyFrom,dPer,"&lt;="&amp;cyTo,dAmt,"&gt;-1E+300",dFlt1,critFlt1,dFlt2,critFlt2,dFlt3,critFlt3))</f>
        <v/>
      </c>
      <c r="E1786" t="str">
        <f>IF($B1786="","",SUMIFS(dQty,dCust,$B1786,dPer,"&gt;="&amp;pyFrom,dPer,"&lt;="&amp;pyTo,dQty,"&gt;-1E+300",dFlt1,critFlt1,dFlt2,critFlt2,dFlt3,critFlt3))</f>
        <v/>
      </c>
      <c r="F1786" t="str">
        <f>IF($B1786="","",SUMIFS(dQty,dCust,$B1786,dPer,"&gt;="&amp;cyFrom,dPer,"&lt;="&amp;cyTo,dQty,"&gt;-1E+300",dFlt1,critFlt1,dFlt2,critFlt2,dFlt3,critFlt3))</f>
        <v/>
      </c>
      <c r="G1786">
        <f>IF($B1786="",0,IFERROR(IF(OR(C1786&lt;&gt;0,D1786&lt;&gt;0,E1786&lt;&gt;0,F1786&lt;&gt;0),1,0),1))</f>
        <v>0</v>
      </c>
      <c r="H1786" t="str">
        <f>IF(OR(G1786=0,E1786=0),"",C1786/E1786)</f>
        <v/>
      </c>
      <c r="I1786" t="str">
        <f>IF(OR(G1786=0,F1786=0),"",D1786/F1786)</f>
        <v/>
      </c>
      <c r="J1786" t="str">
        <f>IF(OR(H1786="",I1786=""),"",IF(H1786=0,"",I1786/H1786-1))</f>
        <v/>
      </c>
      <c r="K1786" t="str">
        <f>IF($B1786="","",IFERROR(IF(G1786=0,-2E+300,CHOOSE(sortIdx,ROUND(D1786,0),IF(J1786="",-1E+300,ROUND(-J1786,6)),IF(J1786="",-1E+300,ROUND(J1786,6)))),-1.5E+300))</f>
        <v/>
      </c>
      <c r="L1786" t="str">
        <f>IF(K1786="","",RANK(K1786,$K$2:$K$3001,0)+COUNTIF($K$2:K1786,K1786)-1)</f>
        <v/>
      </c>
    </row>
    <row r="1787">
      <c r="B1787" t="str">
        <f>IFERROR(IF(A1787="","","="&amp;SUBSTITUTE(SUBSTITUTE(SUBSTITUTE(A1787,"~","~~"),"*","~*"),"?","~?")),"")</f>
        <v/>
      </c>
      <c r="C1787" t="str">
        <f>IF($B1787="","",SUMIFS(dAmt,dCust,$B1787,dPer,"&gt;="&amp;pyFrom,dPer,"&lt;="&amp;pyTo,dAmt,"&gt;-1E+300",dFlt1,critFlt1,dFlt2,critFlt2,dFlt3,critFlt3))</f>
        <v/>
      </c>
      <c r="D1787" t="str">
        <f>IF($B1787="","",SUMIFS(dAmt,dCust,$B1787,dPer,"&gt;="&amp;cyFrom,dPer,"&lt;="&amp;cyTo,dAmt,"&gt;-1E+300",dFlt1,critFlt1,dFlt2,critFlt2,dFlt3,critFlt3))</f>
        <v/>
      </c>
      <c r="E1787" t="str">
        <f>IF($B1787="","",SUMIFS(dQty,dCust,$B1787,dPer,"&gt;="&amp;pyFrom,dPer,"&lt;="&amp;pyTo,dQty,"&gt;-1E+300",dFlt1,critFlt1,dFlt2,critFlt2,dFlt3,critFlt3))</f>
        <v/>
      </c>
      <c r="F1787" t="str">
        <f>IF($B1787="","",SUMIFS(dQty,dCust,$B1787,dPer,"&gt;="&amp;cyFrom,dPer,"&lt;="&amp;cyTo,dQty,"&gt;-1E+300",dFlt1,critFlt1,dFlt2,critFlt2,dFlt3,critFlt3))</f>
        <v/>
      </c>
      <c r="G1787">
        <f>IF($B1787="",0,IFERROR(IF(OR(C1787&lt;&gt;0,D1787&lt;&gt;0,E1787&lt;&gt;0,F1787&lt;&gt;0),1,0),1))</f>
        <v>0</v>
      </c>
      <c r="H1787" t="str">
        <f>IF(OR(G1787=0,E1787=0),"",C1787/E1787)</f>
        <v/>
      </c>
      <c r="I1787" t="str">
        <f>IF(OR(G1787=0,F1787=0),"",D1787/F1787)</f>
        <v/>
      </c>
      <c r="J1787" t="str">
        <f>IF(OR(H1787="",I1787=""),"",IF(H1787=0,"",I1787/H1787-1))</f>
        <v/>
      </c>
      <c r="K1787" t="str">
        <f>IF($B1787="","",IFERROR(IF(G1787=0,-2E+300,CHOOSE(sortIdx,ROUND(D1787,0),IF(J1787="",-1E+300,ROUND(-J1787,6)),IF(J1787="",-1E+300,ROUND(J1787,6)))),-1.5E+300))</f>
        <v/>
      </c>
      <c r="L1787" t="str">
        <f>IF(K1787="","",RANK(K1787,$K$2:$K$3001,0)+COUNTIF($K$2:K1787,K1787)-1)</f>
        <v/>
      </c>
    </row>
    <row r="1788">
      <c r="B1788" t="str">
        <f>IFERROR(IF(A1788="","","="&amp;SUBSTITUTE(SUBSTITUTE(SUBSTITUTE(A1788,"~","~~"),"*","~*"),"?","~?")),"")</f>
        <v/>
      </c>
      <c r="C1788" t="str">
        <f>IF($B1788="","",SUMIFS(dAmt,dCust,$B1788,dPer,"&gt;="&amp;pyFrom,dPer,"&lt;="&amp;pyTo,dAmt,"&gt;-1E+300",dFlt1,critFlt1,dFlt2,critFlt2,dFlt3,critFlt3))</f>
        <v/>
      </c>
      <c r="D1788" t="str">
        <f>IF($B1788="","",SUMIFS(dAmt,dCust,$B1788,dPer,"&gt;="&amp;cyFrom,dPer,"&lt;="&amp;cyTo,dAmt,"&gt;-1E+300",dFlt1,critFlt1,dFlt2,critFlt2,dFlt3,critFlt3))</f>
        <v/>
      </c>
      <c r="E1788" t="str">
        <f>IF($B1788="","",SUMIFS(dQty,dCust,$B1788,dPer,"&gt;="&amp;pyFrom,dPer,"&lt;="&amp;pyTo,dQty,"&gt;-1E+300",dFlt1,critFlt1,dFlt2,critFlt2,dFlt3,critFlt3))</f>
        <v/>
      </c>
      <c r="F1788" t="str">
        <f>IF($B1788="","",SUMIFS(dQty,dCust,$B1788,dPer,"&gt;="&amp;cyFrom,dPer,"&lt;="&amp;cyTo,dQty,"&gt;-1E+300",dFlt1,critFlt1,dFlt2,critFlt2,dFlt3,critFlt3))</f>
        <v/>
      </c>
      <c r="G1788">
        <f>IF($B1788="",0,IFERROR(IF(OR(C1788&lt;&gt;0,D1788&lt;&gt;0,E1788&lt;&gt;0,F1788&lt;&gt;0),1,0),1))</f>
        <v>0</v>
      </c>
      <c r="H1788" t="str">
        <f>IF(OR(G1788=0,E1788=0),"",C1788/E1788)</f>
        <v/>
      </c>
      <c r="I1788" t="str">
        <f>IF(OR(G1788=0,F1788=0),"",D1788/F1788)</f>
        <v/>
      </c>
      <c r="J1788" t="str">
        <f>IF(OR(H1788="",I1788=""),"",IF(H1788=0,"",I1788/H1788-1))</f>
        <v/>
      </c>
      <c r="K1788" t="str">
        <f>IF($B1788="","",IFERROR(IF(G1788=0,-2E+300,CHOOSE(sortIdx,ROUND(D1788,0),IF(J1788="",-1E+300,ROUND(-J1788,6)),IF(J1788="",-1E+300,ROUND(J1788,6)))),-1.5E+300))</f>
        <v/>
      </c>
      <c r="L1788" t="str">
        <f>IF(K1788="","",RANK(K1788,$K$2:$K$3001,0)+COUNTIF($K$2:K1788,K1788)-1)</f>
        <v/>
      </c>
    </row>
    <row r="1789">
      <c r="B1789" t="str">
        <f>IFERROR(IF(A1789="","","="&amp;SUBSTITUTE(SUBSTITUTE(SUBSTITUTE(A1789,"~","~~"),"*","~*"),"?","~?")),"")</f>
        <v/>
      </c>
      <c r="C1789" t="str">
        <f>IF($B1789="","",SUMIFS(dAmt,dCust,$B1789,dPer,"&gt;="&amp;pyFrom,dPer,"&lt;="&amp;pyTo,dAmt,"&gt;-1E+300",dFlt1,critFlt1,dFlt2,critFlt2,dFlt3,critFlt3))</f>
        <v/>
      </c>
      <c r="D1789" t="str">
        <f>IF($B1789="","",SUMIFS(dAmt,dCust,$B1789,dPer,"&gt;="&amp;cyFrom,dPer,"&lt;="&amp;cyTo,dAmt,"&gt;-1E+300",dFlt1,critFlt1,dFlt2,critFlt2,dFlt3,critFlt3))</f>
        <v/>
      </c>
      <c r="E1789" t="str">
        <f>IF($B1789="","",SUMIFS(dQty,dCust,$B1789,dPer,"&gt;="&amp;pyFrom,dPer,"&lt;="&amp;pyTo,dQty,"&gt;-1E+300",dFlt1,critFlt1,dFlt2,critFlt2,dFlt3,critFlt3))</f>
        <v/>
      </c>
      <c r="F1789" t="str">
        <f>IF($B1789="","",SUMIFS(dQty,dCust,$B1789,dPer,"&gt;="&amp;cyFrom,dPer,"&lt;="&amp;cyTo,dQty,"&gt;-1E+300",dFlt1,critFlt1,dFlt2,critFlt2,dFlt3,critFlt3))</f>
        <v/>
      </c>
      <c r="G1789">
        <f>IF($B1789="",0,IFERROR(IF(OR(C1789&lt;&gt;0,D1789&lt;&gt;0,E1789&lt;&gt;0,F1789&lt;&gt;0),1,0),1))</f>
        <v>0</v>
      </c>
      <c r="H1789" t="str">
        <f>IF(OR(G1789=0,E1789=0),"",C1789/E1789)</f>
        <v/>
      </c>
      <c r="I1789" t="str">
        <f>IF(OR(G1789=0,F1789=0),"",D1789/F1789)</f>
        <v/>
      </c>
      <c r="J1789" t="str">
        <f>IF(OR(H1789="",I1789=""),"",IF(H1789=0,"",I1789/H1789-1))</f>
        <v/>
      </c>
      <c r="K1789" t="str">
        <f>IF($B1789="","",IFERROR(IF(G1789=0,-2E+300,CHOOSE(sortIdx,ROUND(D1789,0),IF(J1789="",-1E+300,ROUND(-J1789,6)),IF(J1789="",-1E+300,ROUND(J1789,6)))),-1.5E+300))</f>
        <v/>
      </c>
      <c r="L1789" t="str">
        <f>IF(K1789="","",RANK(K1789,$K$2:$K$3001,0)+COUNTIF($K$2:K1789,K1789)-1)</f>
        <v/>
      </c>
    </row>
    <row r="1790">
      <c r="B1790" t="str">
        <f>IFERROR(IF(A1790="","","="&amp;SUBSTITUTE(SUBSTITUTE(SUBSTITUTE(A1790,"~","~~"),"*","~*"),"?","~?")),"")</f>
        <v/>
      </c>
      <c r="C1790" t="str">
        <f>IF($B1790="","",SUMIFS(dAmt,dCust,$B1790,dPer,"&gt;="&amp;pyFrom,dPer,"&lt;="&amp;pyTo,dAmt,"&gt;-1E+300",dFlt1,critFlt1,dFlt2,critFlt2,dFlt3,critFlt3))</f>
        <v/>
      </c>
      <c r="D1790" t="str">
        <f>IF($B1790="","",SUMIFS(dAmt,dCust,$B1790,dPer,"&gt;="&amp;cyFrom,dPer,"&lt;="&amp;cyTo,dAmt,"&gt;-1E+300",dFlt1,critFlt1,dFlt2,critFlt2,dFlt3,critFlt3))</f>
        <v/>
      </c>
      <c r="E1790" t="str">
        <f>IF($B1790="","",SUMIFS(dQty,dCust,$B1790,dPer,"&gt;="&amp;pyFrom,dPer,"&lt;="&amp;pyTo,dQty,"&gt;-1E+300",dFlt1,critFlt1,dFlt2,critFlt2,dFlt3,critFlt3))</f>
        <v/>
      </c>
      <c r="F1790" t="str">
        <f>IF($B1790="","",SUMIFS(dQty,dCust,$B1790,dPer,"&gt;="&amp;cyFrom,dPer,"&lt;="&amp;cyTo,dQty,"&gt;-1E+300",dFlt1,critFlt1,dFlt2,critFlt2,dFlt3,critFlt3))</f>
        <v/>
      </c>
      <c r="G1790">
        <f>IF($B1790="",0,IFERROR(IF(OR(C1790&lt;&gt;0,D1790&lt;&gt;0,E1790&lt;&gt;0,F1790&lt;&gt;0),1,0),1))</f>
        <v>0</v>
      </c>
      <c r="H1790" t="str">
        <f>IF(OR(G1790=0,E1790=0),"",C1790/E1790)</f>
        <v/>
      </c>
      <c r="I1790" t="str">
        <f>IF(OR(G1790=0,F1790=0),"",D1790/F1790)</f>
        <v/>
      </c>
      <c r="J1790" t="str">
        <f>IF(OR(H1790="",I1790=""),"",IF(H1790=0,"",I1790/H1790-1))</f>
        <v/>
      </c>
      <c r="K1790" t="str">
        <f>IF($B1790="","",IFERROR(IF(G1790=0,-2E+300,CHOOSE(sortIdx,ROUND(D1790,0),IF(J1790="",-1E+300,ROUND(-J1790,6)),IF(J1790="",-1E+300,ROUND(J1790,6)))),-1.5E+300))</f>
        <v/>
      </c>
      <c r="L1790" t="str">
        <f>IF(K1790="","",RANK(K1790,$K$2:$K$3001,0)+COUNTIF($K$2:K1790,K1790)-1)</f>
        <v/>
      </c>
    </row>
    <row r="1791">
      <c r="B1791" t="str">
        <f>IFERROR(IF(A1791="","","="&amp;SUBSTITUTE(SUBSTITUTE(SUBSTITUTE(A1791,"~","~~"),"*","~*"),"?","~?")),"")</f>
        <v/>
      </c>
      <c r="C1791" t="str">
        <f>IF($B1791="","",SUMIFS(dAmt,dCust,$B1791,dPer,"&gt;="&amp;pyFrom,dPer,"&lt;="&amp;pyTo,dAmt,"&gt;-1E+300",dFlt1,critFlt1,dFlt2,critFlt2,dFlt3,critFlt3))</f>
        <v/>
      </c>
      <c r="D1791" t="str">
        <f>IF($B1791="","",SUMIFS(dAmt,dCust,$B1791,dPer,"&gt;="&amp;cyFrom,dPer,"&lt;="&amp;cyTo,dAmt,"&gt;-1E+300",dFlt1,critFlt1,dFlt2,critFlt2,dFlt3,critFlt3))</f>
        <v/>
      </c>
      <c r="E1791" t="str">
        <f>IF($B1791="","",SUMIFS(dQty,dCust,$B1791,dPer,"&gt;="&amp;pyFrom,dPer,"&lt;="&amp;pyTo,dQty,"&gt;-1E+300",dFlt1,critFlt1,dFlt2,critFlt2,dFlt3,critFlt3))</f>
        <v/>
      </c>
      <c r="F1791" t="str">
        <f>IF($B1791="","",SUMIFS(dQty,dCust,$B1791,dPer,"&gt;="&amp;cyFrom,dPer,"&lt;="&amp;cyTo,dQty,"&gt;-1E+300",dFlt1,critFlt1,dFlt2,critFlt2,dFlt3,critFlt3))</f>
        <v/>
      </c>
      <c r="G1791">
        <f>IF($B1791="",0,IFERROR(IF(OR(C1791&lt;&gt;0,D1791&lt;&gt;0,E1791&lt;&gt;0,F1791&lt;&gt;0),1,0),1))</f>
        <v>0</v>
      </c>
      <c r="H1791" t="str">
        <f>IF(OR(G1791=0,E1791=0),"",C1791/E1791)</f>
        <v/>
      </c>
      <c r="I1791" t="str">
        <f>IF(OR(G1791=0,F1791=0),"",D1791/F1791)</f>
        <v/>
      </c>
      <c r="J1791" t="str">
        <f>IF(OR(H1791="",I1791=""),"",IF(H1791=0,"",I1791/H1791-1))</f>
        <v/>
      </c>
      <c r="K1791" t="str">
        <f>IF($B1791="","",IFERROR(IF(G1791=0,-2E+300,CHOOSE(sortIdx,ROUND(D1791,0),IF(J1791="",-1E+300,ROUND(-J1791,6)),IF(J1791="",-1E+300,ROUND(J1791,6)))),-1.5E+300))</f>
        <v/>
      </c>
      <c r="L1791" t="str">
        <f>IF(K1791="","",RANK(K1791,$K$2:$K$3001,0)+COUNTIF($K$2:K1791,K1791)-1)</f>
        <v/>
      </c>
    </row>
    <row r="1792">
      <c r="B1792" t="str">
        <f>IFERROR(IF(A1792="","","="&amp;SUBSTITUTE(SUBSTITUTE(SUBSTITUTE(A1792,"~","~~"),"*","~*"),"?","~?")),"")</f>
        <v/>
      </c>
      <c r="C1792" t="str">
        <f>IF($B1792="","",SUMIFS(dAmt,dCust,$B1792,dPer,"&gt;="&amp;pyFrom,dPer,"&lt;="&amp;pyTo,dAmt,"&gt;-1E+300",dFlt1,critFlt1,dFlt2,critFlt2,dFlt3,critFlt3))</f>
        <v/>
      </c>
      <c r="D1792" t="str">
        <f>IF($B1792="","",SUMIFS(dAmt,dCust,$B1792,dPer,"&gt;="&amp;cyFrom,dPer,"&lt;="&amp;cyTo,dAmt,"&gt;-1E+300",dFlt1,critFlt1,dFlt2,critFlt2,dFlt3,critFlt3))</f>
        <v/>
      </c>
      <c r="E1792" t="str">
        <f>IF($B1792="","",SUMIFS(dQty,dCust,$B1792,dPer,"&gt;="&amp;pyFrom,dPer,"&lt;="&amp;pyTo,dQty,"&gt;-1E+300",dFlt1,critFlt1,dFlt2,critFlt2,dFlt3,critFlt3))</f>
        <v/>
      </c>
      <c r="F1792" t="str">
        <f>IF($B1792="","",SUMIFS(dQty,dCust,$B1792,dPer,"&gt;="&amp;cyFrom,dPer,"&lt;="&amp;cyTo,dQty,"&gt;-1E+300",dFlt1,critFlt1,dFlt2,critFlt2,dFlt3,critFlt3))</f>
        <v/>
      </c>
      <c r="G1792">
        <f>IF($B1792="",0,IFERROR(IF(OR(C1792&lt;&gt;0,D1792&lt;&gt;0,E1792&lt;&gt;0,F1792&lt;&gt;0),1,0),1))</f>
        <v>0</v>
      </c>
      <c r="H1792" t="str">
        <f>IF(OR(G1792=0,E1792=0),"",C1792/E1792)</f>
        <v/>
      </c>
      <c r="I1792" t="str">
        <f>IF(OR(G1792=0,F1792=0),"",D1792/F1792)</f>
        <v/>
      </c>
      <c r="J1792" t="str">
        <f>IF(OR(H1792="",I1792=""),"",IF(H1792=0,"",I1792/H1792-1))</f>
        <v/>
      </c>
      <c r="K1792" t="str">
        <f>IF($B1792="","",IFERROR(IF(G1792=0,-2E+300,CHOOSE(sortIdx,ROUND(D1792,0),IF(J1792="",-1E+300,ROUND(-J1792,6)),IF(J1792="",-1E+300,ROUND(J1792,6)))),-1.5E+300))</f>
        <v/>
      </c>
      <c r="L1792" t="str">
        <f>IF(K1792="","",RANK(K1792,$K$2:$K$3001,0)+COUNTIF($K$2:K1792,K1792)-1)</f>
        <v/>
      </c>
    </row>
    <row r="1793">
      <c r="B1793" t="str">
        <f>IFERROR(IF(A1793="","","="&amp;SUBSTITUTE(SUBSTITUTE(SUBSTITUTE(A1793,"~","~~"),"*","~*"),"?","~?")),"")</f>
        <v/>
      </c>
      <c r="C1793" t="str">
        <f>IF($B1793="","",SUMIFS(dAmt,dCust,$B1793,dPer,"&gt;="&amp;pyFrom,dPer,"&lt;="&amp;pyTo,dAmt,"&gt;-1E+300",dFlt1,critFlt1,dFlt2,critFlt2,dFlt3,critFlt3))</f>
        <v/>
      </c>
      <c r="D1793" t="str">
        <f>IF($B1793="","",SUMIFS(dAmt,dCust,$B1793,dPer,"&gt;="&amp;cyFrom,dPer,"&lt;="&amp;cyTo,dAmt,"&gt;-1E+300",dFlt1,critFlt1,dFlt2,critFlt2,dFlt3,critFlt3))</f>
        <v/>
      </c>
      <c r="E1793" t="str">
        <f>IF($B1793="","",SUMIFS(dQty,dCust,$B1793,dPer,"&gt;="&amp;pyFrom,dPer,"&lt;="&amp;pyTo,dQty,"&gt;-1E+300",dFlt1,critFlt1,dFlt2,critFlt2,dFlt3,critFlt3))</f>
        <v/>
      </c>
      <c r="F1793" t="str">
        <f>IF($B1793="","",SUMIFS(dQty,dCust,$B1793,dPer,"&gt;="&amp;cyFrom,dPer,"&lt;="&amp;cyTo,dQty,"&gt;-1E+300",dFlt1,critFlt1,dFlt2,critFlt2,dFlt3,critFlt3))</f>
        <v/>
      </c>
      <c r="G1793">
        <f>IF($B1793="",0,IFERROR(IF(OR(C1793&lt;&gt;0,D1793&lt;&gt;0,E1793&lt;&gt;0,F1793&lt;&gt;0),1,0),1))</f>
        <v>0</v>
      </c>
      <c r="H1793" t="str">
        <f>IF(OR(G1793=0,E1793=0),"",C1793/E1793)</f>
        <v/>
      </c>
      <c r="I1793" t="str">
        <f>IF(OR(G1793=0,F1793=0),"",D1793/F1793)</f>
        <v/>
      </c>
      <c r="J1793" t="str">
        <f>IF(OR(H1793="",I1793=""),"",IF(H1793=0,"",I1793/H1793-1))</f>
        <v/>
      </c>
      <c r="K1793" t="str">
        <f>IF($B1793="","",IFERROR(IF(G1793=0,-2E+300,CHOOSE(sortIdx,ROUND(D1793,0),IF(J1793="",-1E+300,ROUND(-J1793,6)),IF(J1793="",-1E+300,ROUND(J1793,6)))),-1.5E+300))</f>
        <v/>
      </c>
      <c r="L1793" t="str">
        <f>IF(K1793="","",RANK(K1793,$K$2:$K$3001,0)+COUNTIF($K$2:K1793,K1793)-1)</f>
        <v/>
      </c>
    </row>
    <row r="1794">
      <c r="B1794" t="str">
        <f>IFERROR(IF(A1794="","","="&amp;SUBSTITUTE(SUBSTITUTE(SUBSTITUTE(A1794,"~","~~"),"*","~*"),"?","~?")),"")</f>
        <v/>
      </c>
      <c r="C1794" t="str">
        <f>IF($B1794="","",SUMIFS(dAmt,dCust,$B1794,dPer,"&gt;="&amp;pyFrom,dPer,"&lt;="&amp;pyTo,dAmt,"&gt;-1E+300",dFlt1,critFlt1,dFlt2,critFlt2,dFlt3,critFlt3))</f>
        <v/>
      </c>
      <c r="D1794" t="str">
        <f>IF($B1794="","",SUMIFS(dAmt,dCust,$B1794,dPer,"&gt;="&amp;cyFrom,dPer,"&lt;="&amp;cyTo,dAmt,"&gt;-1E+300",dFlt1,critFlt1,dFlt2,critFlt2,dFlt3,critFlt3))</f>
        <v/>
      </c>
      <c r="E1794" t="str">
        <f>IF($B1794="","",SUMIFS(dQty,dCust,$B1794,dPer,"&gt;="&amp;pyFrom,dPer,"&lt;="&amp;pyTo,dQty,"&gt;-1E+300",dFlt1,critFlt1,dFlt2,critFlt2,dFlt3,critFlt3))</f>
        <v/>
      </c>
      <c r="F1794" t="str">
        <f>IF($B1794="","",SUMIFS(dQty,dCust,$B1794,dPer,"&gt;="&amp;cyFrom,dPer,"&lt;="&amp;cyTo,dQty,"&gt;-1E+300",dFlt1,critFlt1,dFlt2,critFlt2,dFlt3,critFlt3))</f>
        <v/>
      </c>
      <c r="G1794">
        <f>IF($B1794="",0,IFERROR(IF(OR(C1794&lt;&gt;0,D1794&lt;&gt;0,E1794&lt;&gt;0,F1794&lt;&gt;0),1,0),1))</f>
        <v>0</v>
      </c>
      <c r="H1794" t="str">
        <f>IF(OR(G1794=0,E1794=0),"",C1794/E1794)</f>
        <v/>
      </c>
      <c r="I1794" t="str">
        <f>IF(OR(G1794=0,F1794=0),"",D1794/F1794)</f>
        <v/>
      </c>
      <c r="J1794" t="str">
        <f>IF(OR(H1794="",I1794=""),"",IF(H1794=0,"",I1794/H1794-1))</f>
        <v/>
      </c>
      <c r="K1794" t="str">
        <f>IF($B1794="","",IFERROR(IF(G1794=0,-2E+300,CHOOSE(sortIdx,ROUND(D1794,0),IF(J1794="",-1E+300,ROUND(-J1794,6)),IF(J1794="",-1E+300,ROUND(J1794,6)))),-1.5E+300))</f>
        <v/>
      </c>
      <c r="L1794" t="str">
        <f>IF(K1794="","",RANK(K1794,$K$2:$K$3001,0)+COUNTIF($K$2:K1794,K1794)-1)</f>
        <v/>
      </c>
    </row>
    <row r="1795">
      <c r="B1795" t="str">
        <f>IFERROR(IF(A1795="","","="&amp;SUBSTITUTE(SUBSTITUTE(SUBSTITUTE(A1795,"~","~~"),"*","~*"),"?","~?")),"")</f>
        <v/>
      </c>
      <c r="C1795" t="str">
        <f>IF($B1795="","",SUMIFS(dAmt,dCust,$B1795,dPer,"&gt;="&amp;pyFrom,dPer,"&lt;="&amp;pyTo,dAmt,"&gt;-1E+300",dFlt1,critFlt1,dFlt2,critFlt2,dFlt3,critFlt3))</f>
        <v/>
      </c>
      <c r="D1795" t="str">
        <f>IF($B1795="","",SUMIFS(dAmt,dCust,$B1795,dPer,"&gt;="&amp;cyFrom,dPer,"&lt;="&amp;cyTo,dAmt,"&gt;-1E+300",dFlt1,critFlt1,dFlt2,critFlt2,dFlt3,critFlt3))</f>
        <v/>
      </c>
      <c r="E1795" t="str">
        <f>IF($B1795="","",SUMIFS(dQty,dCust,$B1795,dPer,"&gt;="&amp;pyFrom,dPer,"&lt;="&amp;pyTo,dQty,"&gt;-1E+300",dFlt1,critFlt1,dFlt2,critFlt2,dFlt3,critFlt3))</f>
        <v/>
      </c>
      <c r="F1795" t="str">
        <f>IF($B1795="","",SUMIFS(dQty,dCust,$B1795,dPer,"&gt;="&amp;cyFrom,dPer,"&lt;="&amp;cyTo,dQty,"&gt;-1E+300",dFlt1,critFlt1,dFlt2,critFlt2,dFlt3,critFlt3))</f>
        <v/>
      </c>
      <c r="G1795">
        <f>IF($B1795="",0,IFERROR(IF(OR(C1795&lt;&gt;0,D1795&lt;&gt;0,E1795&lt;&gt;0,F1795&lt;&gt;0),1,0),1))</f>
        <v>0</v>
      </c>
      <c r="H1795" t="str">
        <f>IF(OR(G1795=0,E1795=0),"",C1795/E1795)</f>
        <v/>
      </c>
      <c r="I1795" t="str">
        <f>IF(OR(G1795=0,F1795=0),"",D1795/F1795)</f>
        <v/>
      </c>
      <c r="J1795" t="str">
        <f>IF(OR(H1795="",I1795=""),"",IF(H1795=0,"",I1795/H1795-1))</f>
        <v/>
      </c>
      <c r="K1795" t="str">
        <f>IF($B1795="","",IFERROR(IF(G1795=0,-2E+300,CHOOSE(sortIdx,ROUND(D1795,0),IF(J1795="",-1E+300,ROUND(-J1795,6)),IF(J1795="",-1E+300,ROUND(J1795,6)))),-1.5E+300))</f>
        <v/>
      </c>
      <c r="L1795" t="str">
        <f>IF(K1795="","",RANK(K1795,$K$2:$K$3001,0)+COUNTIF($K$2:K1795,K1795)-1)</f>
        <v/>
      </c>
    </row>
    <row r="1796">
      <c r="B1796" t="str">
        <f>IFERROR(IF(A1796="","","="&amp;SUBSTITUTE(SUBSTITUTE(SUBSTITUTE(A1796,"~","~~"),"*","~*"),"?","~?")),"")</f>
        <v/>
      </c>
      <c r="C1796" t="str">
        <f>IF($B1796="","",SUMIFS(dAmt,dCust,$B1796,dPer,"&gt;="&amp;pyFrom,dPer,"&lt;="&amp;pyTo,dAmt,"&gt;-1E+300",dFlt1,critFlt1,dFlt2,critFlt2,dFlt3,critFlt3))</f>
        <v/>
      </c>
      <c r="D1796" t="str">
        <f>IF($B1796="","",SUMIFS(dAmt,dCust,$B1796,dPer,"&gt;="&amp;cyFrom,dPer,"&lt;="&amp;cyTo,dAmt,"&gt;-1E+300",dFlt1,critFlt1,dFlt2,critFlt2,dFlt3,critFlt3))</f>
        <v/>
      </c>
      <c r="E1796" t="str">
        <f>IF($B1796="","",SUMIFS(dQty,dCust,$B1796,dPer,"&gt;="&amp;pyFrom,dPer,"&lt;="&amp;pyTo,dQty,"&gt;-1E+300",dFlt1,critFlt1,dFlt2,critFlt2,dFlt3,critFlt3))</f>
        <v/>
      </c>
      <c r="F1796" t="str">
        <f>IF($B1796="","",SUMIFS(dQty,dCust,$B1796,dPer,"&gt;="&amp;cyFrom,dPer,"&lt;="&amp;cyTo,dQty,"&gt;-1E+300",dFlt1,critFlt1,dFlt2,critFlt2,dFlt3,critFlt3))</f>
        <v/>
      </c>
      <c r="G1796">
        <f>IF($B1796="",0,IFERROR(IF(OR(C1796&lt;&gt;0,D1796&lt;&gt;0,E1796&lt;&gt;0,F1796&lt;&gt;0),1,0),1))</f>
        <v>0</v>
      </c>
      <c r="H1796" t="str">
        <f>IF(OR(G1796=0,E1796=0),"",C1796/E1796)</f>
        <v/>
      </c>
      <c r="I1796" t="str">
        <f>IF(OR(G1796=0,F1796=0),"",D1796/F1796)</f>
        <v/>
      </c>
      <c r="J1796" t="str">
        <f>IF(OR(H1796="",I1796=""),"",IF(H1796=0,"",I1796/H1796-1))</f>
        <v/>
      </c>
      <c r="K1796" t="str">
        <f>IF($B1796="","",IFERROR(IF(G1796=0,-2E+300,CHOOSE(sortIdx,ROUND(D1796,0),IF(J1796="",-1E+300,ROUND(-J1796,6)),IF(J1796="",-1E+300,ROUND(J1796,6)))),-1.5E+300))</f>
        <v/>
      </c>
      <c r="L1796" t="str">
        <f>IF(K1796="","",RANK(K1796,$K$2:$K$3001,0)+COUNTIF($K$2:K1796,K1796)-1)</f>
        <v/>
      </c>
    </row>
    <row r="1797">
      <c r="B1797" t="str">
        <f>IFERROR(IF(A1797="","","="&amp;SUBSTITUTE(SUBSTITUTE(SUBSTITUTE(A1797,"~","~~"),"*","~*"),"?","~?")),"")</f>
        <v/>
      </c>
      <c r="C1797" t="str">
        <f>IF($B1797="","",SUMIFS(dAmt,dCust,$B1797,dPer,"&gt;="&amp;pyFrom,dPer,"&lt;="&amp;pyTo,dAmt,"&gt;-1E+300",dFlt1,critFlt1,dFlt2,critFlt2,dFlt3,critFlt3))</f>
        <v/>
      </c>
      <c r="D1797" t="str">
        <f>IF($B1797="","",SUMIFS(dAmt,dCust,$B1797,dPer,"&gt;="&amp;cyFrom,dPer,"&lt;="&amp;cyTo,dAmt,"&gt;-1E+300",dFlt1,critFlt1,dFlt2,critFlt2,dFlt3,critFlt3))</f>
        <v/>
      </c>
      <c r="E1797" t="str">
        <f>IF($B1797="","",SUMIFS(dQty,dCust,$B1797,dPer,"&gt;="&amp;pyFrom,dPer,"&lt;="&amp;pyTo,dQty,"&gt;-1E+300",dFlt1,critFlt1,dFlt2,critFlt2,dFlt3,critFlt3))</f>
        <v/>
      </c>
      <c r="F1797" t="str">
        <f>IF($B1797="","",SUMIFS(dQty,dCust,$B1797,dPer,"&gt;="&amp;cyFrom,dPer,"&lt;="&amp;cyTo,dQty,"&gt;-1E+300",dFlt1,critFlt1,dFlt2,critFlt2,dFlt3,critFlt3))</f>
        <v/>
      </c>
      <c r="G1797">
        <f>IF($B1797="",0,IFERROR(IF(OR(C1797&lt;&gt;0,D1797&lt;&gt;0,E1797&lt;&gt;0,F1797&lt;&gt;0),1,0),1))</f>
        <v>0</v>
      </c>
      <c r="H1797" t="str">
        <f>IF(OR(G1797=0,E1797=0),"",C1797/E1797)</f>
        <v/>
      </c>
      <c r="I1797" t="str">
        <f>IF(OR(G1797=0,F1797=0),"",D1797/F1797)</f>
        <v/>
      </c>
      <c r="J1797" t="str">
        <f>IF(OR(H1797="",I1797=""),"",IF(H1797=0,"",I1797/H1797-1))</f>
        <v/>
      </c>
      <c r="K1797" t="str">
        <f>IF($B1797="","",IFERROR(IF(G1797=0,-2E+300,CHOOSE(sortIdx,ROUND(D1797,0),IF(J1797="",-1E+300,ROUND(-J1797,6)),IF(J1797="",-1E+300,ROUND(J1797,6)))),-1.5E+300))</f>
        <v/>
      </c>
      <c r="L1797" t="str">
        <f>IF(K1797="","",RANK(K1797,$K$2:$K$3001,0)+COUNTIF($K$2:K1797,K1797)-1)</f>
        <v/>
      </c>
    </row>
    <row r="1798">
      <c r="B1798" t="str">
        <f>IFERROR(IF(A1798="","","="&amp;SUBSTITUTE(SUBSTITUTE(SUBSTITUTE(A1798,"~","~~"),"*","~*"),"?","~?")),"")</f>
        <v/>
      </c>
      <c r="C1798" t="str">
        <f>IF($B1798="","",SUMIFS(dAmt,dCust,$B1798,dPer,"&gt;="&amp;pyFrom,dPer,"&lt;="&amp;pyTo,dAmt,"&gt;-1E+300",dFlt1,critFlt1,dFlt2,critFlt2,dFlt3,critFlt3))</f>
        <v/>
      </c>
      <c r="D1798" t="str">
        <f>IF($B1798="","",SUMIFS(dAmt,dCust,$B1798,dPer,"&gt;="&amp;cyFrom,dPer,"&lt;="&amp;cyTo,dAmt,"&gt;-1E+300",dFlt1,critFlt1,dFlt2,critFlt2,dFlt3,critFlt3))</f>
        <v/>
      </c>
      <c r="E1798" t="str">
        <f>IF($B1798="","",SUMIFS(dQty,dCust,$B1798,dPer,"&gt;="&amp;pyFrom,dPer,"&lt;="&amp;pyTo,dQty,"&gt;-1E+300",dFlt1,critFlt1,dFlt2,critFlt2,dFlt3,critFlt3))</f>
        <v/>
      </c>
      <c r="F1798" t="str">
        <f>IF($B1798="","",SUMIFS(dQty,dCust,$B1798,dPer,"&gt;="&amp;cyFrom,dPer,"&lt;="&amp;cyTo,dQty,"&gt;-1E+300",dFlt1,critFlt1,dFlt2,critFlt2,dFlt3,critFlt3))</f>
        <v/>
      </c>
      <c r="G1798">
        <f>IF($B1798="",0,IFERROR(IF(OR(C1798&lt;&gt;0,D1798&lt;&gt;0,E1798&lt;&gt;0,F1798&lt;&gt;0),1,0),1))</f>
        <v>0</v>
      </c>
      <c r="H1798" t="str">
        <f>IF(OR(G1798=0,E1798=0),"",C1798/E1798)</f>
        <v/>
      </c>
      <c r="I1798" t="str">
        <f>IF(OR(G1798=0,F1798=0),"",D1798/F1798)</f>
        <v/>
      </c>
      <c r="J1798" t="str">
        <f>IF(OR(H1798="",I1798=""),"",IF(H1798=0,"",I1798/H1798-1))</f>
        <v/>
      </c>
      <c r="K1798" t="str">
        <f>IF($B1798="","",IFERROR(IF(G1798=0,-2E+300,CHOOSE(sortIdx,ROUND(D1798,0),IF(J1798="",-1E+300,ROUND(-J1798,6)),IF(J1798="",-1E+300,ROUND(J1798,6)))),-1.5E+300))</f>
        <v/>
      </c>
      <c r="L1798" t="str">
        <f>IF(K1798="","",RANK(K1798,$K$2:$K$3001,0)+COUNTIF($K$2:K1798,K1798)-1)</f>
        <v/>
      </c>
    </row>
    <row r="1799">
      <c r="B1799" t="str">
        <f>IFERROR(IF(A1799="","","="&amp;SUBSTITUTE(SUBSTITUTE(SUBSTITUTE(A1799,"~","~~"),"*","~*"),"?","~?")),"")</f>
        <v/>
      </c>
      <c r="C1799" t="str">
        <f>IF($B1799="","",SUMIFS(dAmt,dCust,$B1799,dPer,"&gt;="&amp;pyFrom,dPer,"&lt;="&amp;pyTo,dAmt,"&gt;-1E+300",dFlt1,critFlt1,dFlt2,critFlt2,dFlt3,critFlt3))</f>
        <v/>
      </c>
      <c r="D1799" t="str">
        <f>IF($B1799="","",SUMIFS(dAmt,dCust,$B1799,dPer,"&gt;="&amp;cyFrom,dPer,"&lt;="&amp;cyTo,dAmt,"&gt;-1E+300",dFlt1,critFlt1,dFlt2,critFlt2,dFlt3,critFlt3))</f>
        <v/>
      </c>
      <c r="E1799" t="str">
        <f>IF($B1799="","",SUMIFS(dQty,dCust,$B1799,dPer,"&gt;="&amp;pyFrom,dPer,"&lt;="&amp;pyTo,dQty,"&gt;-1E+300",dFlt1,critFlt1,dFlt2,critFlt2,dFlt3,critFlt3))</f>
        <v/>
      </c>
      <c r="F1799" t="str">
        <f>IF($B1799="","",SUMIFS(dQty,dCust,$B1799,dPer,"&gt;="&amp;cyFrom,dPer,"&lt;="&amp;cyTo,dQty,"&gt;-1E+300",dFlt1,critFlt1,dFlt2,critFlt2,dFlt3,critFlt3))</f>
        <v/>
      </c>
      <c r="G1799">
        <f>IF($B1799="",0,IFERROR(IF(OR(C1799&lt;&gt;0,D1799&lt;&gt;0,E1799&lt;&gt;0,F1799&lt;&gt;0),1,0),1))</f>
        <v>0</v>
      </c>
      <c r="H1799" t="str">
        <f>IF(OR(G1799=0,E1799=0),"",C1799/E1799)</f>
        <v/>
      </c>
      <c r="I1799" t="str">
        <f>IF(OR(G1799=0,F1799=0),"",D1799/F1799)</f>
        <v/>
      </c>
      <c r="J1799" t="str">
        <f>IF(OR(H1799="",I1799=""),"",IF(H1799=0,"",I1799/H1799-1))</f>
        <v/>
      </c>
      <c r="K1799" t="str">
        <f>IF($B1799="","",IFERROR(IF(G1799=0,-2E+300,CHOOSE(sortIdx,ROUND(D1799,0),IF(J1799="",-1E+300,ROUND(-J1799,6)),IF(J1799="",-1E+300,ROUND(J1799,6)))),-1.5E+300))</f>
        <v/>
      </c>
      <c r="L1799" t="str">
        <f>IF(K1799="","",RANK(K1799,$K$2:$K$3001,0)+COUNTIF($K$2:K1799,K1799)-1)</f>
        <v/>
      </c>
    </row>
    <row r="1800">
      <c r="B1800" t="str">
        <f>IFERROR(IF(A1800="","","="&amp;SUBSTITUTE(SUBSTITUTE(SUBSTITUTE(A1800,"~","~~"),"*","~*"),"?","~?")),"")</f>
        <v/>
      </c>
      <c r="C1800" t="str">
        <f>IF($B1800="","",SUMIFS(dAmt,dCust,$B1800,dPer,"&gt;="&amp;pyFrom,dPer,"&lt;="&amp;pyTo,dAmt,"&gt;-1E+300",dFlt1,critFlt1,dFlt2,critFlt2,dFlt3,critFlt3))</f>
        <v/>
      </c>
      <c r="D1800" t="str">
        <f>IF($B1800="","",SUMIFS(dAmt,dCust,$B1800,dPer,"&gt;="&amp;cyFrom,dPer,"&lt;="&amp;cyTo,dAmt,"&gt;-1E+300",dFlt1,critFlt1,dFlt2,critFlt2,dFlt3,critFlt3))</f>
        <v/>
      </c>
      <c r="E1800" t="str">
        <f>IF($B1800="","",SUMIFS(dQty,dCust,$B1800,dPer,"&gt;="&amp;pyFrom,dPer,"&lt;="&amp;pyTo,dQty,"&gt;-1E+300",dFlt1,critFlt1,dFlt2,critFlt2,dFlt3,critFlt3))</f>
        <v/>
      </c>
      <c r="F1800" t="str">
        <f>IF($B1800="","",SUMIFS(dQty,dCust,$B1800,dPer,"&gt;="&amp;cyFrom,dPer,"&lt;="&amp;cyTo,dQty,"&gt;-1E+300",dFlt1,critFlt1,dFlt2,critFlt2,dFlt3,critFlt3))</f>
        <v/>
      </c>
      <c r="G1800">
        <f>IF($B1800="",0,IFERROR(IF(OR(C1800&lt;&gt;0,D1800&lt;&gt;0,E1800&lt;&gt;0,F1800&lt;&gt;0),1,0),1))</f>
        <v>0</v>
      </c>
      <c r="H1800" t="str">
        <f>IF(OR(G1800=0,E1800=0),"",C1800/E1800)</f>
        <v/>
      </c>
      <c r="I1800" t="str">
        <f>IF(OR(G1800=0,F1800=0),"",D1800/F1800)</f>
        <v/>
      </c>
      <c r="J1800" t="str">
        <f>IF(OR(H1800="",I1800=""),"",IF(H1800=0,"",I1800/H1800-1))</f>
        <v/>
      </c>
      <c r="K1800" t="str">
        <f>IF($B1800="","",IFERROR(IF(G1800=0,-2E+300,CHOOSE(sortIdx,ROUND(D1800,0),IF(J1800="",-1E+300,ROUND(-J1800,6)),IF(J1800="",-1E+300,ROUND(J1800,6)))),-1.5E+300))</f>
        <v/>
      </c>
      <c r="L1800" t="str">
        <f>IF(K1800="","",RANK(K1800,$K$2:$K$3001,0)+COUNTIF($K$2:K1800,K1800)-1)</f>
        <v/>
      </c>
    </row>
    <row r="1801">
      <c r="B1801" t="str">
        <f>IFERROR(IF(A1801="","","="&amp;SUBSTITUTE(SUBSTITUTE(SUBSTITUTE(A1801,"~","~~"),"*","~*"),"?","~?")),"")</f>
        <v/>
      </c>
      <c r="C1801" t="str">
        <f>IF($B1801="","",SUMIFS(dAmt,dCust,$B1801,dPer,"&gt;="&amp;pyFrom,dPer,"&lt;="&amp;pyTo,dAmt,"&gt;-1E+300",dFlt1,critFlt1,dFlt2,critFlt2,dFlt3,critFlt3))</f>
        <v/>
      </c>
      <c r="D1801" t="str">
        <f>IF($B1801="","",SUMIFS(dAmt,dCust,$B1801,dPer,"&gt;="&amp;cyFrom,dPer,"&lt;="&amp;cyTo,dAmt,"&gt;-1E+300",dFlt1,critFlt1,dFlt2,critFlt2,dFlt3,critFlt3))</f>
        <v/>
      </c>
      <c r="E1801" t="str">
        <f>IF($B1801="","",SUMIFS(dQty,dCust,$B1801,dPer,"&gt;="&amp;pyFrom,dPer,"&lt;="&amp;pyTo,dQty,"&gt;-1E+300",dFlt1,critFlt1,dFlt2,critFlt2,dFlt3,critFlt3))</f>
        <v/>
      </c>
      <c r="F1801" t="str">
        <f>IF($B1801="","",SUMIFS(dQty,dCust,$B1801,dPer,"&gt;="&amp;cyFrom,dPer,"&lt;="&amp;cyTo,dQty,"&gt;-1E+300",dFlt1,critFlt1,dFlt2,critFlt2,dFlt3,critFlt3))</f>
        <v/>
      </c>
      <c r="G1801">
        <f>IF($B1801="",0,IFERROR(IF(OR(C1801&lt;&gt;0,D1801&lt;&gt;0,E1801&lt;&gt;0,F1801&lt;&gt;0),1,0),1))</f>
        <v>0</v>
      </c>
      <c r="H1801" t="str">
        <f>IF(OR(G1801=0,E1801=0),"",C1801/E1801)</f>
        <v/>
      </c>
      <c r="I1801" t="str">
        <f>IF(OR(G1801=0,F1801=0),"",D1801/F1801)</f>
        <v/>
      </c>
      <c r="J1801" t="str">
        <f>IF(OR(H1801="",I1801=""),"",IF(H1801=0,"",I1801/H1801-1))</f>
        <v/>
      </c>
      <c r="K1801" t="str">
        <f>IF($B1801="","",IFERROR(IF(G1801=0,-2E+300,CHOOSE(sortIdx,ROUND(D1801,0),IF(J1801="",-1E+300,ROUND(-J1801,6)),IF(J1801="",-1E+300,ROUND(J1801,6)))),-1.5E+300))</f>
        <v/>
      </c>
      <c r="L1801" t="str">
        <f>IF(K1801="","",RANK(K1801,$K$2:$K$3001,0)+COUNTIF($K$2:K1801,K1801)-1)</f>
        <v/>
      </c>
    </row>
    <row r="1802">
      <c r="B1802" t="str">
        <f>IFERROR(IF(A1802="","","="&amp;SUBSTITUTE(SUBSTITUTE(SUBSTITUTE(A1802,"~","~~"),"*","~*"),"?","~?")),"")</f>
        <v/>
      </c>
      <c r="C1802" t="str">
        <f>IF($B1802="","",SUMIFS(dAmt,dCust,$B1802,dPer,"&gt;="&amp;pyFrom,dPer,"&lt;="&amp;pyTo,dAmt,"&gt;-1E+300",dFlt1,critFlt1,dFlt2,critFlt2,dFlt3,critFlt3))</f>
        <v/>
      </c>
      <c r="D1802" t="str">
        <f>IF($B1802="","",SUMIFS(dAmt,dCust,$B1802,dPer,"&gt;="&amp;cyFrom,dPer,"&lt;="&amp;cyTo,dAmt,"&gt;-1E+300",dFlt1,critFlt1,dFlt2,critFlt2,dFlt3,critFlt3))</f>
        <v/>
      </c>
      <c r="E1802" t="str">
        <f>IF($B1802="","",SUMIFS(dQty,dCust,$B1802,dPer,"&gt;="&amp;pyFrom,dPer,"&lt;="&amp;pyTo,dQty,"&gt;-1E+300",dFlt1,critFlt1,dFlt2,critFlt2,dFlt3,critFlt3))</f>
        <v/>
      </c>
      <c r="F1802" t="str">
        <f>IF($B1802="","",SUMIFS(dQty,dCust,$B1802,dPer,"&gt;="&amp;cyFrom,dPer,"&lt;="&amp;cyTo,dQty,"&gt;-1E+300",dFlt1,critFlt1,dFlt2,critFlt2,dFlt3,critFlt3))</f>
        <v/>
      </c>
      <c r="G1802">
        <f>IF($B1802="",0,IFERROR(IF(OR(C1802&lt;&gt;0,D1802&lt;&gt;0,E1802&lt;&gt;0,F1802&lt;&gt;0),1,0),1))</f>
        <v>0</v>
      </c>
      <c r="H1802" t="str">
        <f>IF(OR(G1802=0,E1802=0),"",C1802/E1802)</f>
        <v/>
      </c>
      <c r="I1802" t="str">
        <f>IF(OR(G1802=0,F1802=0),"",D1802/F1802)</f>
        <v/>
      </c>
      <c r="J1802" t="str">
        <f>IF(OR(H1802="",I1802=""),"",IF(H1802=0,"",I1802/H1802-1))</f>
        <v/>
      </c>
      <c r="K1802" t="str">
        <f>IF($B1802="","",IFERROR(IF(G1802=0,-2E+300,CHOOSE(sortIdx,ROUND(D1802,0),IF(J1802="",-1E+300,ROUND(-J1802,6)),IF(J1802="",-1E+300,ROUND(J1802,6)))),-1.5E+300))</f>
        <v/>
      </c>
      <c r="L1802" t="str">
        <f>IF(K1802="","",RANK(K1802,$K$2:$K$3001,0)+COUNTIF($K$2:K1802,K1802)-1)</f>
        <v/>
      </c>
    </row>
    <row r="1803">
      <c r="B1803" t="str">
        <f>IFERROR(IF(A1803="","","="&amp;SUBSTITUTE(SUBSTITUTE(SUBSTITUTE(A1803,"~","~~"),"*","~*"),"?","~?")),"")</f>
        <v/>
      </c>
      <c r="C1803" t="str">
        <f>IF($B1803="","",SUMIFS(dAmt,dCust,$B1803,dPer,"&gt;="&amp;pyFrom,dPer,"&lt;="&amp;pyTo,dAmt,"&gt;-1E+300",dFlt1,critFlt1,dFlt2,critFlt2,dFlt3,critFlt3))</f>
        <v/>
      </c>
      <c r="D1803" t="str">
        <f>IF($B1803="","",SUMIFS(dAmt,dCust,$B1803,dPer,"&gt;="&amp;cyFrom,dPer,"&lt;="&amp;cyTo,dAmt,"&gt;-1E+300",dFlt1,critFlt1,dFlt2,critFlt2,dFlt3,critFlt3))</f>
        <v/>
      </c>
      <c r="E1803" t="str">
        <f>IF($B1803="","",SUMIFS(dQty,dCust,$B1803,dPer,"&gt;="&amp;pyFrom,dPer,"&lt;="&amp;pyTo,dQty,"&gt;-1E+300",dFlt1,critFlt1,dFlt2,critFlt2,dFlt3,critFlt3))</f>
        <v/>
      </c>
      <c r="F1803" t="str">
        <f>IF($B1803="","",SUMIFS(dQty,dCust,$B1803,dPer,"&gt;="&amp;cyFrom,dPer,"&lt;="&amp;cyTo,dQty,"&gt;-1E+300",dFlt1,critFlt1,dFlt2,critFlt2,dFlt3,critFlt3))</f>
        <v/>
      </c>
      <c r="G1803">
        <f>IF($B1803="",0,IFERROR(IF(OR(C1803&lt;&gt;0,D1803&lt;&gt;0,E1803&lt;&gt;0,F1803&lt;&gt;0),1,0),1))</f>
        <v>0</v>
      </c>
      <c r="H1803" t="str">
        <f>IF(OR(G1803=0,E1803=0),"",C1803/E1803)</f>
        <v/>
      </c>
      <c r="I1803" t="str">
        <f>IF(OR(G1803=0,F1803=0),"",D1803/F1803)</f>
        <v/>
      </c>
      <c r="J1803" t="str">
        <f>IF(OR(H1803="",I1803=""),"",IF(H1803=0,"",I1803/H1803-1))</f>
        <v/>
      </c>
      <c r="K1803" t="str">
        <f>IF($B1803="","",IFERROR(IF(G1803=0,-2E+300,CHOOSE(sortIdx,ROUND(D1803,0),IF(J1803="",-1E+300,ROUND(-J1803,6)),IF(J1803="",-1E+300,ROUND(J1803,6)))),-1.5E+300))</f>
        <v/>
      </c>
      <c r="L1803" t="str">
        <f>IF(K1803="","",RANK(K1803,$K$2:$K$3001,0)+COUNTIF($K$2:K1803,K1803)-1)</f>
        <v/>
      </c>
    </row>
    <row r="1804">
      <c r="B1804" t="str">
        <f>IFERROR(IF(A1804="","","="&amp;SUBSTITUTE(SUBSTITUTE(SUBSTITUTE(A1804,"~","~~"),"*","~*"),"?","~?")),"")</f>
        <v/>
      </c>
      <c r="C1804" t="str">
        <f>IF($B1804="","",SUMIFS(dAmt,dCust,$B1804,dPer,"&gt;="&amp;pyFrom,dPer,"&lt;="&amp;pyTo,dAmt,"&gt;-1E+300",dFlt1,critFlt1,dFlt2,critFlt2,dFlt3,critFlt3))</f>
        <v/>
      </c>
      <c r="D1804" t="str">
        <f>IF($B1804="","",SUMIFS(dAmt,dCust,$B1804,dPer,"&gt;="&amp;cyFrom,dPer,"&lt;="&amp;cyTo,dAmt,"&gt;-1E+300",dFlt1,critFlt1,dFlt2,critFlt2,dFlt3,critFlt3))</f>
        <v/>
      </c>
      <c r="E1804" t="str">
        <f>IF($B1804="","",SUMIFS(dQty,dCust,$B1804,dPer,"&gt;="&amp;pyFrom,dPer,"&lt;="&amp;pyTo,dQty,"&gt;-1E+300",dFlt1,critFlt1,dFlt2,critFlt2,dFlt3,critFlt3))</f>
        <v/>
      </c>
      <c r="F1804" t="str">
        <f>IF($B1804="","",SUMIFS(dQty,dCust,$B1804,dPer,"&gt;="&amp;cyFrom,dPer,"&lt;="&amp;cyTo,dQty,"&gt;-1E+300",dFlt1,critFlt1,dFlt2,critFlt2,dFlt3,critFlt3))</f>
        <v/>
      </c>
      <c r="G1804">
        <f>IF($B1804="",0,IFERROR(IF(OR(C1804&lt;&gt;0,D1804&lt;&gt;0,E1804&lt;&gt;0,F1804&lt;&gt;0),1,0),1))</f>
        <v>0</v>
      </c>
      <c r="H1804" t="str">
        <f>IF(OR(G1804=0,E1804=0),"",C1804/E1804)</f>
        <v/>
      </c>
      <c r="I1804" t="str">
        <f>IF(OR(G1804=0,F1804=0),"",D1804/F1804)</f>
        <v/>
      </c>
      <c r="J1804" t="str">
        <f>IF(OR(H1804="",I1804=""),"",IF(H1804=0,"",I1804/H1804-1))</f>
        <v/>
      </c>
      <c r="K1804" t="str">
        <f>IF($B1804="","",IFERROR(IF(G1804=0,-2E+300,CHOOSE(sortIdx,ROUND(D1804,0),IF(J1804="",-1E+300,ROUND(-J1804,6)),IF(J1804="",-1E+300,ROUND(J1804,6)))),-1.5E+300))</f>
        <v/>
      </c>
      <c r="L1804" t="str">
        <f>IF(K1804="","",RANK(K1804,$K$2:$K$3001,0)+COUNTIF($K$2:K1804,K1804)-1)</f>
        <v/>
      </c>
    </row>
    <row r="1805">
      <c r="B1805" t="str">
        <f>IFERROR(IF(A1805="","","="&amp;SUBSTITUTE(SUBSTITUTE(SUBSTITUTE(A1805,"~","~~"),"*","~*"),"?","~?")),"")</f>
        <v/>
      </c>
      <c r="C1805" t="str">
        <f>IF($B1805="","",SUMIFS(dAmt,dCust,$B1805,dPer,"&gt;="&amp;pyFrom,dPer,"&lt;="&amp;pyTo,dAmt,"&gt;-1E+300",dFlt1,critFlt1,dFlt2,critFlt2,dFlt3,critFlt3))</f>
        <v/>
      </c>
      <c r="D1805" t="str">
        <f>IF($B1805="","",SUMIFS(dAmt,dCust,$B1805,dPer,"&gt;="&amp;cyFrom,dPer,"&lt;="&amp;cyTo,dAmt,"&gt;-1E+300",dFlt1,critFlt1,dFlt2,critFlt2,dFlt3,critFlt3))</f>
        <v/>
      </c>
      <c r="E1805" t="str">
        <f>IF($B1805="","",SUMIFS(dQty,dCust,$B1805,dPer,"&gt;="&amp;pyFrom,dPer,"&lt;="&amp;pyTo,dQty,"&gt;-1E+300",dFlt1,critFlt1,dFlt2,critFlt2,dFlt3,critFlt3))</f>
        <v/>
      </c>
      <c r="F1805" t="str">
        <f>IF($B1805="","",SUMIFS(dQty,dCust,$B1805,dPer,"&gt;="&amp;cyFrom,dPer,"&lt;="&amp;cyTo,dQty,"&gt;-1E+300",dFlt1,critFlt1,dFlt2,critFlt2,dFlt3,critFlt3))</f>
        <v/>
      </c>
      <c r="G1805">
        <f>IF($B1805="",0,IFERROR(IF(OR(C1805&lt;&gt;0,D1805&lt;&gt;0,E1805&lt;&gt;0,F1805&lt;&gt;0),1,0),1))</f>
        <v>0</v>
      </c>
      <c r="H1805" t="str">
        <f>IF(OR(G1805=0,E1805=0),"",C1805/E1805)</f>
        <v/>
      </c>
      <c r="I1805" t="str">
        <f>IF(OR(G1805=0,F1805=0),"",D1805/F1805)</f>
        <v/>
      </c>
      <c r="J1805" t="str">
        <f>IF(OR(H1805="",I1805=""),"",IF(H1805=0,"",I1805/H1805-1))</f>
        <v/>
      </c>
      <c r="K1805" t="str">
        <f>IF($B1805="","",IFERROR(IF(G1805=0,-2E+300,CHOOSE(sortIdx,ROUND(D1805,0),IF(J1805="",-1E+300,ROUND(-J1805,6)),IF(J1805="",-1E+300,ROUND(J1805,6)))),-1.5E+300))</f>
        <v/>
      </c>
      <c r="L1805" t="str">
        <f>IF(K1805="","",RANK(K1805,$K$2:$K$3001,0)+COUNTIF($K$2:K1805,K1805)-1)</f>
        <v/>
      </c>
    </row>
    <row r="1806">
      <c r="B1806" t="str">
        <f>IFERROR(IF(A1806="","","="&amp;SUBSTITUTE(SUBSTITUTE(SUBSTITUTE(A1806,"~","~~"),"*","~*"),"?","~?")),"")</f>
        <v/>
      </c>
      <c r="C1806" t="str">
        <f>IF($B1806="","",SUMIFS(dAmt,dCust,$B1806,dPer,"&gt;="&amp;pyFrom,dPer,"&lt;="&amp;pyTo,dAmt,"&gt;-1E+300",dFlt1,critFlt1,dFlt2,critFlt2,dFlt3,critFlt3))</f>
        <v/>
      </c>
      <c r="D1806" t="str">
        <f>IF($B1806="","",SUMIFS(dAmt,dCust,$B1806,dPer,"&gt;="&amp;cyFrom,dPer,"&lt;="&amp;cyTo,dAmt,"&gt;-1E+300",dFlt1,critFlt1,dFlt2,critFlt2,dFlt3,critFlt3))</f>
        <v/>
      </c>
      <c r="E1806" t="str">
        <f>IF($B1806="","",SUMIFS(dQty,dCust,$B1806,dPer,"&gt;="&amp;pyFrom,dPer,"&lt;="&amp;pyTo,dQty,"&gt;-1E+300",dFlt1,critFlt1,dFlt2,critFlt2,dFlt3,critFlt3))</f>
        <v/>
      </c>
      <c r="F1806" t="str">
        <f>IF($B1806="","",SUMIFS(dQty,dCust,$B1806,dPer,"&gt;="&amp;cyFrom,dPer,"&lt;="&amp;cyTo,dQty,"&gt;-1E+300",dFlt1,critFlt1,dFlt2,critFlt2,dFlt3,critFlt3))</f>
        <v/>
      </c>
      <c r="G1806">
        <f>IF($B1806="",0,IFERROR(IF(OR(C1806&lt;&gt;0,D1806&lt;&gt;0,E1806&lt;&gt;0,F1806&lt;&gt;0),1,0),1))</f>
        <v>0</v>
      </c>
      <c r="H1806" t="str">
        <f>IF(OR(G1806=0,E1806=0),"",C1806/E1806)</f>
        <v/>
      </c>
      <c r="I1806" t="str">
        <f>IF(OR(G1806=0,F1806=0),"",D1806/F1806)</f>
        <v/>
      </c>
      <c r="J1806" t="str">
        <f>IF(OR(H1806="",I1806=""),"",IF(H1806=0,"",I1806/H1806-1))</f>
        <v/>
      </c>
      <c r="K1806" t="str">
        <f>IF($B1806="","",IFERROR(IF(G1806=0,-2E+300,CHOOSE(sortIdx,ROUND(D1806,0),IF(J1806="",-1E+300,ROUND(-J1806,6)),IF(J1806="",-1E+300,ROUND(J1806,6)))),-1.5E+300))</f>
        <v/>
      </c>
      <c r="L1806" t="str">
        <f>IF(K1806="","",RANK(K1806,$K$2:$K$3001,0)+COUNTIF($K$2:K1806,K1806)-1)</f>
        <v/>
      </c>
    </row>
    <row r="1807">
      <c r="B1807" t="str">
        <f>IFERROR(IF(A1807="","","="&amp;SUBSTITUTE(SUBSTITUTE(SUBSTITUTE(A1807,"~","~~"),"*","~*"),"?","~?")),"")</f>
        <v/>
      </c>
      <c r="C1807" t="str">
        <f>IF($B1807="","",SUMIFS(dAmt,dCust,$B1807,dPer,"&gt;="&amp;pyFrom,dPer,"&lt;="&amp;pyTo,dAmt,"&gt;-1E+300",dFlt1,critFlt1,dFlt2,critFlt2,dFlt3,critFlt3))</f>
        <v/>
      </c>
      <c r="D1807" t="str">
        <f>IF($B1807="","",SUMIFS(dAmt,dCust,$B1807,dPer,"&gt;="&amp;cyFrom,dPer,"&lt;="&amp;cyTo,dAmt,"&gt;-1E+300",dFlt1,critFlt1,dFlt2,critFlt2,dFlt3,critFlt3))</f>
        <v/>
      </c>
      <c r="E1807" t="str">
        <f>IF($B1807="","",SUMIFS(dQty,dCust,$B1807,dPer,"&gt;="&amp;pyFrom,dPer,"&lt;="&amp;pyTo,dQty,"&gt;-1E+300",dFlt1,critFlt1,dFlt2,critFlt2,dFlt3,critFlt3))</f>
        <v/>
      </c>
      <c r="F1807" t="str">
        <f>IF($B1807="","",SUMIFS(dQty,dCust,$B1807,dPer,"&gt;="&amp;cyFrom,dPer,"&lt;="&amp;cyTo,dQty,"&gt;-1E+300",dFlt1,critFlt1,dFlt2,critFlt2,dFlt3,critFlt3))</f>
        <v/>
      </c>
      <c r="G1807">
        <f>IF($B1807="",0,IFERROR(IF(OR(C1807&lt;&gt;0,D1807&lt;&gt;0,E1807&lt;&gt;0,F1807&lt;&gt;0),1,0),1))</f>
        <v>0</v>
      </c>
      <c r="H1807" t="str">
        <f>IF(OR(G1807=0,E1807=0),"",C1807/E1807)</f>
        <v/>
      </c>
      <c r="I1807" t="str">
        <f>IF(OR(G1807=0,F1807=0),"",D1807/F1807)</f>
        <v/>
      </c>
      <c r="J1807" t="str">
        <f>IF(OR(H1807="",I1807=""),"",IF(H1807=0,"",I1807/H1807-1))</f>
        <v/>
      </c>
      <c r="K1807" t="str">
        <f>IF($B1807="","",IFERROR(IF(G1807=0,-2E+300,CHOOSE(sortIdx,ROUND(D1807,0),IF(J1807="",-1E+300,ROUND(-J1807,6)),IF(J1807="",-1E+300,ROUND(J1807,6)))),-1.5E+300))</f>
        <v/>
      </c>
      <c r="L1807" t="str">
        <f>IF(K1807="","",RANK(K1807,$K$2:$K$3001,0)+COUNTIF($K$2:K1807,K1807)-1)</f>
        <v/>
      </c>
    </row>
    <row r="1808">
      <c r="B1808" t="str">
        <f>IFERROR(IF(A1808="","","="&amp;SUBSTITUTE(SUBSTITUTE(SUBSTITUTE(A1808,"~","~~"),"*","~*"),"?","~?")),"")</f>
        <v/>
      </c>
      <c r="C1808" t="str">
        <f>IF($B1808="","",SUMIFS(dAmt,dCust,$B1808,dPer,"&gt;="&amp;pyFrom,dPer,"&lt;="&amp;pyTo,dAmt,"&gt;-1E+300",dFlt1,critFlt1,dFlt2,critFlt2,dFlt3,critFlt3))</f>
        <v/>
      </c>
      <c r="D1808" t="str">
        <f>IF($B1808="","",SUMIFS(dAmt,dCust,$B1808,dPer,"&gt;="&amp;cyFrom,dPer,"&lt;="&amp;cyTo,dAmt,"&gt;-1E+300",dFlt1,critFlt1,dFlt2,critFlt2,dFlt3,critFlt3))</f>
        <v/>
      </c>
      <c r="E1808" t="str">
        <f>IF($B1808="","",SUMIFS(dQty,dCust,$B1808,dPer,"&gt;="&amp;pyFrom,dPer,"&lt;="&amp;pyTo,dQty,"&gt;-1E+300",dFlt1,critFlt1,dFlt2,critFlt2,dFlt3,critFlt3))</f>
        <v/>
      </c>
      <c r="F1808" t="str">
        <f>IF($B1808="","",SUMIFS(dQty,dCust,$B1808,dPer,"&gt;="&amp;cyFrom,dPer,"&lt;="&amp;cyTo,dQty,"&gt;-1E+300",dFlt1,critFlt1,dFlt2,critFlt2,dFlt3,critFlt3))</f>
        <v/>
      </c>
      <c r="G1808">
        <f>IF($B1808="",0,IFERROR(IF(OR(C1808&lt;&gt;0,D1808&lt;&gt;0,E1808&lt;&gt;0,F1808&lt;&gt;0),1,0),1))</f>
        <v>0</v>
      </c>
      <c r="H1808" t="str">
        <f>IF(OR(G1808=0,E1808=0),"",C1808/E1808)</f>
        <v/>
      </c>
      <c r="I1808" t="str">
        <f>IF(OR(G1808=0,F1808=0),"",D1808/F1808)</f>
        <v/>
      </c>
      <c r="J1808" t="str">
        <f>IF(OR(H1808="",I1808=""),"",IF(H1808=0,"",I1808/H1808-1))</f>
        <v/>
      </c>
      <c r="K1808" t="str">
        <f>IF($B1808="","",IFERROR(IF(G1808=0,-2E+300,CHOOSE(sortIdx,ROUND(D1808,0),IF(J1808="",-1E+300,ROUND(-J1808,6)),IF(J1808="",-1E+300,ROUND(J1808,6)))),-1.5E+300))</f>
        <v/>
      </c>
      <c r="L1808" t="str">
        <f>IF(K1808="","",RANK(K1808,$K$2:$K$3001,0)+COUNTIF($K$2:K1808,K1808)-1)</f>
        <v/>
      </c>
    </row>
    <row r="1809">
      <c r="B1809" t="str">
        <f>IFERROR(IF(A1809="","","="&amp;SUBSTITUTE(SUBSTITUTE(SUBSTITUTE(A1809,"~","~~"),"*","~*"),"?","~?")),"")</f>
        <v/>
      </c>
      <c r="C1809" t="str">
        <f>IF($B1809="","",SUMIFS(dAmt,dCust,$B1809,dPer,"&gt;="&amp;pyFrom,dPer,"&lt;="&amp;pyTo,dAmt,"&gt;-1E+300",dFlt1,critFlt1,dFlt2,critFlt2,dFlt3,critFlt3))</f>
        <v/>
      </c>
      <c r="D1809" t="str">
        <f>IF($B1809="","",SUMIFS(dAmt,dCust,$B1809,dPer,"&gt;="&amp;cyFrom,dPer,"&lt;="&amp;cyTo,dAmt,"&gt;-1E+300",dFlt1,critFlt1,dFlt2,critFlt2,dFlt3,critFlt3))</f>
        <v/>
      </c>
      <c r="E1809" t="str">
        <f>IF($B1809="","",SUMIFS(dQty,dCust,$B1809,dPer,"&gt;="&amp;pyFrom,dPer,"&lt;="&amp;pyTo,dQty,"&gt;-1E+300",dFlt1,critFlt1,dFlt2,critFlt2,dFlt3,critFlt3))</f>
        <v/>
      </c>
      <c r="F1809" t="str">
        <f>IF($B1809="","",SUMIFS(dQty,dCust,$B1809,dPer,"&gt;="&amp;cyFrom,dPer,"&lt;="&amp;cyTo,dQty,"&gt;-1E+300",dFlt1,critFlt1,dFlt2,critFlt2,dFlt3,critFlt3))</f>
        <v/>
      </c>
      <c r="G1809">
        <f>IF($B1809="",0,IFERROR(IF(OR(C1809&lt;&gt;0,D1809&lt;&gt;0,E1809&lt;&gt;0,F1809&lt;&gt;0),1,0),1))</f>
        <v>0</v>
      </c>
      <c r="H1809" t="str">
        <f>IF(OR(G1809=0,E1809=0),"",C1809/E1809)</f>
        <v/>
      </c>
      <c r="I1809" t="str">
        <f>IF(OR(G1809=0,F1809=0),"",D1809/F1809)</f>
        <v/>
      </c>
      <c r="J1809" t="str">
        <f>IF(OR(H1809="",I1809=""),"",IF(H1809=0,"",I1809/H1809-1))</f>
        <v/>
      </c>
      <c r="K1809" t="str">
        <f>IF($B1809="","",IFERROR(IF(G1809=0,-2E+300,CHOOSE(sortIdx,ROUND(D1809,0),IF(J1809="",-1E+300,ROUND(-J1809,6)),IF(J1809="",-1E+300,ROUND(J1809,6)))),-1.5E+300))</f>
        <v/>
      </c>
      <c r="L1809" t="str">
        <f>IF(K1809="","",RANK(K1809,$K$2:$K$3001,0)+COUNTIF($K$2:K1809,K1809)-1)</f>
        <v/>
      </c>
    </row>
    <row r="1810">
      <c r="B1810" t="str">
        <f>IFERROR(IF(A1810="","","="&amp;SUBSTITUTE(SUBSTITUTE(SUBSTITUTE(A1810,"~","~~"),"*","~*"),"?","~?")),"")</f>
        <v/>
      </c>
      <c r="C1810" t="str">
        <f>IF($B1810="","",SUMIFS(dAmt,dCust,$B1810,dPer,"&gt;="&amp;pyFrom,dPer,"&lt;="&amp;pyTo,dAmt,"&gt;-1E+300",dFlt1,critFlt1,dFlt2,critFlt2,dFlt3,critFlt3))</f>
        <v/>
      </c>
      <c r="D1810" t="str">
        <f>IF($B1810="","",SUMIFS(dAmt,dCust,$B1810,dPer,"&gt;="&amp;cyFrom,dPer,"&lt;="&amp;cyTo,dAmt,"&gt;-1E+300",dFlt1,critFlt1,dFlt2,critFlt2,dFlt3,critFlt3))</f>
        <v/>
      </c>
      <c r="E1810" t="str">
        <f>IF($B1810="","",SUMIFS(dQty,dCust,$B1810,dPer,"&gt;="&amp;pyFrom,dPer,"&lt;="&amp;pyTo,dQty,"&gt;-1E+300",dFlt1,critFlt1,dFlt2,critFlt2,dFlt3,critFlt3))</f>
        <v/>
      </c>
      <c r="F1810" t="str">
        <f>IF($B1810="","",SUMIFS(dQty,dCust,$B1810,dPer,"&gt;="&amp;cyFrom,dPer,"&lt;="&amp;cyTo,dQty,"&gt;-1E+300",dFlt1,critFlt1,dFlt2,critFlt2,dFlt3,critFlt3))</f>
        <v/>
      </c>
      <c r="G1810">
        <f>IF($B1810="",0,IFERROR(IF(OR(C1810&lt;&gt;0,D1810&lt;&gt;0,E1810&lt;&gt;0,F1810&lt;&gt;0),1,0),1))</f>
        <v>0</v>
      </c>
      <c r="H1810" t="str">
        <f>IF(OR(G1810=0,E1810=0),"",C1810/E1810)</f>
        <v/>
      </c>
      <c r="I1810" t="str">
        <f>IF(OR(G1810=0,F1810=0),"",D1810/F1810)</f>
        <v/>
      </c>
      <c r="J1810" t="str">
        <f>IF(OR(H1810="",I1810=""),"",IF(H1810=0,"",I1810/H1810-1))</f>
        <v/>
      </c>
      <c r="K1810" t="str">
        <f>IF($B1810="","",IFERROR(IF(G1810=0,-2E+300,CHOOSE(sortIdx,ROUND(D1810,0),IF(J1810="",-1E+300,ROUND(-J1810,6)),IF(J1810="",-1E+300,ROUND(J1810,6)))),-1.5E+300))</f>
        <v/>
      </c>
      <c r="L1810" t="str">
        <f>IF(K1810="","",RANK(K1810,$K$2:$K$3001,0)+COUNTIF($K$2:K1810,K1810)-1)</f>
        <v/>
      </c>
    </row>
    <row r="1811">
      <c r="B1811" t="str">
        <f>IFERROR(IF(A1811="","","="&amp;SUBSTITUTE(SUBSTITUTE(SUBSTITUTE(A1811,"~","~~"),"*","~*"),"?","~?")),"")</f>
        <v/>
      </c>
      <c r="C1811" t="str">
        <f>IF($B1811="","",SUMIFS(dAmt,dCust,$B1811,dPer,"&gt;="&amp;pyFrom,dPer,"&lt;="&amp;pyTo,dAmt,"&gt;-1E+300",dFlt1,critFlt1,dFlt2,critFlt2,dFlt3,critFlt3))</f>
        <v/>
      </c>
      <c r="D1811" t="str">
        <f>IF($B1811="","",SUMIFS(dAmt,dCust,$B1811,dPer,"&gt;="&amp;cyFrom,dPer,"&lt;="&amp;cyTo,dAmt,"&gt;-1E+300",dFlt1,critFlt1,dFlt2,critFlt2,dFlt3,critFlt3))</f>
        <v/>
      </c>
      <c r="E1811" t="str">
        <f>IF($B1811="","",SUMIFS(dQty,dCust,$B1811,dPer,"&gt;="&amp;pyFrom,dPer,"&lt;="&amp;pyTo,dQty,"&gt;-1E+300",dFlt1,critFlt1,dFlt2,critFlt2,dFlt3,critFlt3))</f>
        <v/>
      </c>
      <c r="F1811" t="str">
        <f>IF($B1811="","",SUMIFS(dQty,dCust,$B1811,dPer,"&gt;="&amp;cyFrom,dPer,"&lt;="&amp;cyTo,dQty,"&gt;-1E+300",dFlt1,critFlt1,dFlt2,critFlt2,dFlt3,critFlt3))</f>
        <v/>
      </c>
      <c r="G1811">
        <f>IF($B1811="",0,IFERROR(IF(OR(C1811&lt;&gt;0,D1811&lt;&gt;0,E1811&lt;&gt;0,F1811&lt;&gt;0),1,0),1))</f>
        <v>0</v>
      </c>
      <c r="H1811" t="str">
        <f>IF(OR(G1811=0,E1811=0),"",C1811/E1811)</f>
        <v/>
      </c>
      <c r="I1811" t="str">
        <f>IF(OR(G1811=0,F1811=0),"",D1811/F1811)</f>
        <v/>
      </c>
      <c r="J1811" t="str">
        <f>IF(OR(H1811="",I1811=""),"",IF(H1811=0,"",I1811/H1811-1))</f>
        <v/>
      </c>
      <c r="K1811" t="str">
        <f>IF($B1811="","",IFERROR(IF(G1811=0,-2E+300,CHOOSE(sortIdx,ROUND(D1811,0),IF(J1811="",-1E+300,ROUND(-J1811,6)),IF(J1811="",-1E+300,ROUND(J1811,6)))),-1.5E+300))</f>
        <v/>
      </c>
      <c r="L1811" t="str">
        <f>IF(K1811="","",RANK(K1811,$K$2:$K$3001,0)+COUNTIF($K$2:K1811,K1811)-1)</f>
        <v/>
      </c>
    </row>
    <row r="1812">
      <c r="B1812" t="str">
        <f>IFERROR(IF(A1812="","","="&amp;SUBSTITUTE(SUBSTITUTE(SUBSTITUTE(A1812,"~","~~"),"*","~*"),"?","~?")),"")</f>
        <v/>
      </c>
      <c r="C1812" t="str">
        <f>IF($B1812="","",SUMIFS(dAmt,dCust,$B1812,dPer,"&gt;="&amp;pyFrom,dPer,"&lt;="&amp;pyTo,dAmt,"&gt;-1E+300",dFlt1,critFlt1,dFlt2,critFlt2,dFlt3,critFlt3))</f>
        <v/>
      </c>
      <c r="D1812" t="str">
        <f>IF($B1812="","",SUMIFS(dAmt,dCust,$B1812,dPer,"&gt;="&amp;cyFrom,dPer,"&lt;="&amp;cyTo,dAmt,"&gt;-1E+300",dFlt1,critFlt1,dFlt2,critFlt2,dFlt3,critFlt3))</f>
        <v/>
      </c>
      <c r="E1812" t="str">
        <f>IF($B1812="","",SUMIFS(dQty,dCust,$B1812,dPer,"&gt;="&amp;pyFrom,dPer,"&lt;="&amp;pyTo,dQty,"&gt;-1E+300",dFlt1,critFlt1,dFlt2,critFlt2,dFlt3,critFlt3))</f>
        <v/>
      </c>
      <c r="F1812" t="str">
        <f>IF($B1812="","",SUMIFS(dQty,dCust,$B1812,dPer,"&gt;="&amp;cyFrom,dPer,"&lt;="&amp;cyTo,dQty,"&gt;-1E+300",dFlt1,critFlt1,dFlt2,critFlt2,dFlt3,critFlt3))</f>
        <v/>
      </c>
      <c r="G1812">
        <f>IF($B1812="",0,IFERROR(IF(OR(C1812&lt;&gt;0,D1812&lt;&gt;0,E1812&lt;&gt;0,F1812&lt;&gt;0),1,0),1))</f>
        <v>0</v>
      </c>
      <c r="H1812" t="str">
        <f>IF(OR(G1812=0,E1812=0),"",C1812/E1812)</f>
        <v/>
      </c>
      <c r="I1812" t="str">
        <f>IF(OR(G1812=0,F1812=0),"",D1812/F1812)</f>
        <v/>
      </c>
      <c r="J1812" t="str">
        <f>IF(OR(H1812="",I1812=""),"",IF(H1812=0,"",I1812/H1812-1))</f>
        <v/>
      </c>
      <c r="K1812" t="str">
        <f>IF($B1812="","",IFERROR(IF(G1812=0,-2E+300,CHOOSE(sortIdx,ROUND(D1812,0),IF(J1812="",-1E+300,ROUND(-J1812,6)),IF(J1812="",-1E+300,ROUND(J1812,6)))),-1.5E+300))</f>
        <v/>
      </c>
      <c r="L1812" t="str">
        <f>IF(K1812="","",RANK(K1812,$K$2:$K$3001,0)+COUNTIF($K$2:K1812,K1812)-1)</f>
        <v/>
      </c>
    </row>
    <row r="1813">
      <c r="B1813" t="str">
        <f>IFERROR(IF(A1813="","","="&amp;SUBSTITUTE(SUBSTITUTE(SUBSTITUTE(A1813,"~","~~"),"*","~*"),"?","~?")),"")</f>
        <v/>
      </c>
      <c r="C1813" t="str">
        <f>IF($B1813="","",SUMIFS(dAmt,dCust,$B1813,dPer,"&gt;="&amp;pyFrom,dPer,"&lt;="&amp;pyTo,dAmt,"&gt;-1E+300",dFlt1,critFlt1,dFlt2,critFlt2,dFlt3,critFlt3))</f>
        <v/>
      </c>
      <c r="D1813" t="str">
        <f>IF($B1813="","",SUMIFS(dAmt,dCust,$B1813,dPer,"&gt;="&amp;cyFrom,dPer,"&lt;="&amp;cyTo,dAmt,"&gt;-1E+300",dFlt1,critFlt1,dFlt2,critFlt2,dFlt3,critFlt3))</f>
        <v/>
      </c>
      <c r="E1813" t="str">
        <f>IF($B1813="","",SUMIFS(dQty,dCust,$B1813,dPer,"&gt;="&amp;pyFrom,dPer,"&lt;="&amp;pyTo,dQty,"&gt;-1E+300",dFlt1,critFlt1,dFlt2,critFlt2,dFlt3,critFlt3))</f>
        <v/>
      </c>
      <c r="F1813" t="str">
        <f>IF($B1813="","",SUMIFS(dQty,dCust,$B1813,dPer,"&gt;="&amp;cyFrom,dPer,"&lt;="&amp;cyTo,dQty,"&gt;-1E+300",dFlt1,critFlt1,dFlt2,critFlt2,dFlt3,critFlt3))</f>
        <v/>
      </c>
      <c r="G1813">
        <f>IF($B1813="",0,IFERROR(IF(OR(C1813&lt;&gt;0,D1813&lt;&gt;0,E1813&lt;&gt;0,F1813&lt;&gt;0),1,0),1))</f>
        <v>0</v>
      </c>
      <c r="H1813" t="str">
        <f>IF(OR(G1813=0,E1813=0),"",C1813/E1813)</f>
        <v/>
      </c>
      <c r="I1813" t="str">
        <f>IF(OR(G1813=0,F1813=0),"",D1813/F1813)</f>
        <v/>
      </c>
      <c r="J1813" t="str">
        <f>IF(OR(H1813="",I1813=""),"",IF(H1813=0,"",I1813/H1813-1))</f>
        <v/>
      </c>
      <c r="K1813" t="str">
        <f>IF($B1813="","",IFERROR(IF(G1813=0,-2E+300,CHOOSE(sortIdx,ROUND(D1813,0),IF(J1813="",-1E+300,ROUND(-J1813,6)),IF(J1813="",-1E+300,ROUND(J1813,6)))),-1.5E+300))</f>
        <v/>
      </c>
      <c r="L1813" t="str">
        <f>IF(K1813="","",RANK(K1813,$K$2:$K$3001,0)+COUNTIF($K$2:K1813,K1813)-1)</f>
        <v/>
      </c>
    </row>
    <row r="1814">
      <c r="B1814" t="str">
        <f>IFERROR(IF(A1814="","","="&amp;SUBSTITUTE(SUBSTITUTE(SUBSTITUTE(A1814,"~","~~"),"*","~*"),"?","~?")),"")</f>
        <v/>
      </c>
      <c r="C1814" t="str">
        <f>IF($B1814="","",SUMIFS(dAmt,dCust,$B1814,dPer,"&gt;="&amp;pyFrom,dPer,"&lt;="&amp;pyTo,dAmt,"&gt;-1E+300",dFlt1,critFlt1,dFlt2,critFlt2,dFlt3,critFlt3))</f>
        <v/>
      </c>
      <c r="D1814" t="str">
        <f>IF($B1814="","",SUMIFS(dAmt,dCust,$B1814,dPer,"&gt;="&amp;cyFrom,dPer,"&lt;="&amp;cyTo,dAmt,"&gt;-1E+300",dFlt1,critFlt1,dFlt2,critFlt2,dFlt3,critFlt3))</f>
        <v/>
      </c>
      <c r="E1814" t="str">
        <f>IF($B1814="","",SUMIFS(dQty,dCust,$B1814,dPer,"&gt;="&amp;pyFrom,dPer,"&lt;="&amp;pyTo,dQty,"&gt;-1E+300",dFlt1,critFlt1,dFlt2,critFlt2,dFlt3,critFlt3))</f>
        <v/>
      </c>
      <c r="F1814" t="str">
        <f>IF($B1814="","",SUMIFS(dQty,dCust,$B1814,dPer,"&gt;="&amp;cyFrom,dPer,"&lt;="&amp;cyTo,dQty,"&gt;-1E+300",dFlt1,critFlt1,dFlt2,critFlt2,dFlt3,critFlt3))</f>
        <v/>
      </c>
      <c r="G1814">
        <f>IF($B1814="",0,IFERROR(IF(OR(C1814&lt;&gt;0,D1814&lt;&gt;0,E1814&lt;&gt;0,F1814&lt;&gt;0),1,0),1))</f>
        <v>0</v>
      </c>
      <c r="H1814" t="str">
        <f>IF(OR(G1814=0,E1814=0),"",C1814/E1814)</f>
        <v/>
      </c>
      <c r="I1814" t="str">
        <f>IF(OR(G1814=0,F1814=0),"",D1814/F1814)</f>
        <v/>
      </c>
      <c r="J1814" t="str">
        <f>IF(OR(H1814="",I1814=""),"",IF(H1814=0,"",I1814/H1814-1))</f>
        <v/>
      </c>
      <c r="K1814" t="str">
        <f>IF($B1814="","",IFERROR(IF(G1814=0,-2E+300,CHOOSE(sortIdx,ROUND(D1814,0),IF(J1814="",-1E+300,ROUND(-J1814,6)),IF(J1814="",-1E+300,ROUND(J1814,6)))),-1.5E+300))</f>
        <v/>
      </c>
      <c r="L1814" t="str">
        <f>IF(K1814="","",RANK(K1814,$K$2:$K$3001,0)+COUNTIF($K$2:K1814,K1814)-1)</f>
        <v/>
      </c>
    </row>
    <row r="1815">
      <c r="B1815" t="str">
        <f>IFERROR(IF(A1815="","","="&amp;SUBSTITUTE(SUBSTITUTE(SUBSTITUTE(A1815,"~","~~"),"*","~*"),"?","~?")),"")</f>
        <v/>
      </c>
      <c r="C1815" t="str">
        <f>IF($B1815="","",SUMIFS(dAmt,dCust,$B1815,dPer,"&gt;="&amp;pyFrom,dPer,"&lt;="&amp;pyTo,dAmt,"&gt;-1E+300",dFlt1,critFlt1,dFlt2,critFlt2,dFlt3,critFlt3))</f>
        <v/>
      </c>
      <c r="D1815" t="str">
        <f>IF($B1815="","",SUMIFS(dAmt,dCust,$B1815,dPer,"&gt;="&amp;cyFrom,dPer,"&lt;="&amp;cyTo,dAmt,"&gt;-1E+300",dFlt1,critFlt1,dFlt2,critFlt2,dFlt3,critFlt3))</f>
        <v/>
      </c>
      <c r="E1815" t="str">
        <f>IF($B1815="","",SUMIFS(dQty,dCust,$B1815,dPer,"&gt;="&amp;pyFrom,dPer,"&lt;="&amp;pyTo,dQty,"&gt;-1E+300",dFlt1,critFlt1,dFlt2,critFlt2,dFlt3,critFlt3))</f>
        <v/>
      </c>
      <c r="F1815" t="str">
        <f>IF($B1815="","",SUMIFS(dQty,dCust,$B1815,dPer,"&gt;="&amp;cyFrom,dPer,"&lt;="&amp;cyTo,dQty,"&gt;-1E+300",dFlt1,critFlt1,dFlt2,critFlt2,dFlt3,critFlt3))</f>
        <v/>
      </c>
      <c r="G1815">
        <f>IF($B1815="",0,IFERROR(IF(OR(C1815&lt;&gt;0,D1815&lt;&gt;0,E1815&lt;&gt;0,F1815&lt;&gt;0),1,0),1))</f>
        <v>0</v>
      </c>
      <c r="H1815" t="str">
        <f>IF(OR(G1815=0,E1815=0),"",C1815/E1815)</f>
        <v/>
      </c>
      <c r="I1815" t="str">
        <f>IF(OR(G1815=0,F1815=0),"",D1815/F1815)</f>
        <v/>
      </c>
      <c r="J1815" t="str">
        <f>IF(OR(H1815="",I1815=""),"",IF(H1815=0,"",I1815/H1815-1))</f>
        <v/>
      </c>
      <c r="K1815" t="str">
        <f>IF($B1815="","",IFERROR(IF(G1815=0,-2E+300,CHOOSE(sortIdx,ROUND(D1815,0),IF(J1815="",-1E+300,ROUND(-J1815,6)),IF(J1815="",-1E+300,ROUND(J1815,6)))),-1.5E+300))</f>
        <v/>
      </c>
      <c r="L1815" t="str">
        <f>IF(K1815="","",RANK(K1815,$K$2:$K$3001,0)+COUNTIF($K$2:K1815,K1815)-1)</f>
        <v/>
      </c>
    </row>
    <row r="1816">
      <c r="B1816" t="str">
        <f>IFERROR(IF(A1816="","","="&amp;SUBSTITUTE(SUBSTITUTE(SUBSTITUTE(A1816,"~","~~"),"*","~*"),"?","~?")),"")</f>
        <v/>
      </c>
      <c r="C1816" t="str">
        <f>IF($B1816="","",SUMIFS(dAmt,dCust,$B1816,dPer,"&gt;="&amp;pyFrom,dPer,"&lt;="&amp;pyTo,dAmt,"&gt;-1E+300",dFlt1,critFlt1,dFlt2,critFlt2,dFlt3,critFlt3))</f>
        <v/>
      </c>
      <c r="D1816" t="str">
        <f>IF($B1816="","",SUMIFS(dAmt,dCust,$B1816,dPer,"&gt;="&amp;cyFrom,dPer,"&lt;="&amp;cyTo,dAmt,"&gt;-1E+300",dFlt1,critFlt1,dFlt2,critFlt2,dFlt3,critFlt3))</f>
        <v/>
      </c>
      <c r="E1816" t="str">
        <f>IF($B1816="","",SUMIFS(dQty,dCust,$B1816,dPer,"&gt;="&amp;pyFrom,dPer,"&lt;="&amp;pyTo,dQty,"&gt;-1E+300",dFlt1,critFlt1,dFlt2,critFlt2,dFlt3,critFlt3))</f>
        <v/>
      </c>
      <c r="F1816" t="str">
        <f>IF($B1816="","",SUMIFS(dQty,dCust,$B1816,dPer,"&gt;="&amp;cyFrom,dPer,"&lt;="&amp;cyTo,dQty,"&gt;-1E+300",dFlt1,critFlt1,dFlt2,critFlt2,dFlt3,critFlt3))</f>
        <v/>
      </c>
      <c r="G1816">
        <f>IF($B1816="",0,IFERROR(IF(OR(C1816&lt;&gt;0,D1816&lt;&gt;0,E1816&lt;&gt;0,F1816&lt;&gt;0),1,0),1))</f>
        <v>0</v>
      </c>
      <c r="H1816" t="str">
        <f>IF(OR(G1816=0,E1816=0),"",C1816/E1816)</f>
        <v/>
      </c>
      <c r="I1816" t="str">
        <f>IF(OR(G1816=0,F1816=0),"",D1816/F1816)</f>
        <v/>
      </c>
      <c r="J1816" t="str">
        <f>IF(OR(H1816="",I1816=""),"",IF(H1816=0,"",I1816/H1816-1))</f>
        <v/>
      </c>
      <c r="K1816" t="str">
        <f>IF($B1816="","",IFERROR(IF(G1816=0,-2E+300,CHOOSE(sortIdx,ROUND(D1816,0),IF(J1816="",-1E+300,ROUND(-J1816,6)),IF(J1816="",-1E+300,ROUND(J1816,6)))),-1.5E+300))</f>
        <v/>
      </c>
      <c r="L1816" t="str">
        <f>IF(K1816="","",RANK(K1816,$K$2:$K$3001,0)+COUNTIF($K$2:K1816,K1816)-1)</f>
        <v/>
      </c>
    </row>
    <row r="1817">
      <c r="B1817" t="str">
        <f>IFERROR(IF(A1817="","","="&amp;SUBSTITUTE(SUBSTITUTE(SUBSTITUTE(A1817,"~","~~"),"*","~*"),"?","~?")),"")</f>
        <v/>
      </c>
      <c r="C1817" t="str">
        <f>IF($B1817="","",SUMIFS(dAmt,dCust,$B1817,dPer,"&gt;="&amp;pyFrom,dPer,"&lt;="&amp;pyTo,dAmt,"&gt;-1E+300",dFlt1,critFlt1,dFlt2,critFlt2,dFlt3,critFlt3))</f>
        <v/>
      </c>
      <c r="D1817" t="str">
        <f>IF($B1817="","",SUMIFS(dAmt,dCust,$B1817,dPer,"&gt;="&amp;cyFrom,dPer,"&lt;="&amp;cyTo,dAmt,"&gt;-1E+300",dFlt1,critFlt1,dFlt2,critFlt2,dFlt3,critFlt3))</f>
        <v/>
      </c>
      <c r="E1817" t="str">
        <f>IF($B1817="","",SUMIFS(dQty,dCust,$B1817,dPer,"&gt;="&amp;pyFrom,dPer,"&lt;="&amp;pyTo,dQty,"&gt;-1E+300",dFlt1,critFlt1,dFlt2,critFlt2,dFlt3,critFlt3))</f>
        <v/>
      </c>
      <c r="F1817" t="str">
        <f>IF($B1817="","",SUMIFS(dQty,dCust,$B1817,dPer,"&gt;="&amp;cyFrom,dPer,"&lt;="&amp;cyTo,dQty,"&gt;-1E+300",dFlt1,critFlt1,dFlt2,critFlt2,dFlt3,critFlt3))</f>
        <v/>
      </c>
      <c r="G1817">
        <f>IF($B1817="",0,IFERROR(IF(OR(C1817&lt;&gt;0,D1817&lt;&gt;0,E1817&lt;&gt;0,F1817&lt;&gt;0),1,0),1))</f>
        <v>0</v>
      </c>
      <c r="H1817" t="str">
        <f>IF(OR(G1817=0,E1817=0),"",C1817/E1817)</f>
        <v/>
      </c>
      <c r="I1817" t="str">
        <f>IF(OR(G1817=0,F1817=0),"",D1817/F1817)</f>
        <v/>
      </c>
      <c r="J1817" t="str">
        <f>IF(OR(H1817="",I1817=""),"",IF(H1817=0,"",I1817/H1817-1))</f>
        <v/>
      </c>
      <c r="K1817" t="str">
        <f>IF($B1817="","",IFERROR(IF(G1817=0,-2E+300,CHOOSE(sortIdx,ROUND(D1817,0),IF(J1817="",-1E+300,ROUND(-J1817,6)),IF(J1817="",-1E+300,ROUND(J1817,6)))),-1.5E+300))</f>
        <v/>
      </c>
      <c r="L1817" t="str">
        <f>IF(K1817="","",RANK(K1817,$K$2:$K$3001,0)+COUNTIF($K$2:K1817,K1817)-1)</f>
        <v/>
      </c>
    </row>
    <row r="1818">
      <c r="B1818" t="str">
        <f>IFERROR(IF(A1818="","","="&amp;SUBSTITUTE(SUBSTITUTE(SUBSTITUTE(A1818,"~","~~"),"*","~*"),"?","~?")),"")</f>
        <v/>
      </c>
      <c r="C1818" t="str">
        <f>IF($B1818="","",SUMIFS(dAmt,dCust,$B1818,dPer,"&gt;="&amp;pyFrom,dPer,"&lt;="&amp;pyTo,dAmt,"&gt;-1E+300",dFlt1,critFlt1,dFlt2,critFlt2,dFlt3,critFlt3))</f>
        <v/>
      </c>
      <c r="D1818" t="str">
        <f>IF($B1818="","",SUMIFS(dAmt,dCust,$B1818,dPer,"&gt;="&amp;cyFrom,dPer,"&lt;="&amp;cyTo,dAmt,"&gt;-1E+300",dFlt1,critFlt1,dFlt2,critFlt2,dFlt3,critFlt3))</f>
        <v/>
      </c>
      <c r="E1818" t="str">
        <f>IF($B1818="","",SUMIFS(dQty,dCust,$B1818,dPer,"&gt;="&amp;pyFrom,dPer,"&lt;="&amp;pyTo,dQty,"&gt;-1E+300",dFlt1,critFlt1,dFlt2,critFlt2,dFlt3,critFlt3))</f>
        <v/>
      </c>
      <c r="F1818" t="str">
        <f>IF($B1818="","",SUMIFS(dQty,dCust,$B1818,dPer,"&gt;="&amp;cyFrom,dPer,"&lt;="&amp;cyTo,dQty,"&gt;-1E+300",dFlt1,critFlt1,dFlt2,critFlt2,dFlt3,critFlt3))</f>
        <v/>
      </c>
      <c r="G1818">
        <f>IF($B1818="",0,IFERROR(IF(OR(C1818&lt;&gt;0,D1818&lt;&gt;0,E1818&lt;&gt;0,F1818&lt;&gt;0),1,0),1))</f>
        <v>0</v>
      </c>
      <c r="H1818" t="str">
        <f>IF(OR(G1818=0,E1818=0),"",C1818/E1818)</f>
        <v/>
      </c>
      <c r="I1818" t="str">
        <f>IF(OR(G1818=0,F1818=0),"",D1818/F1818)</f>
        <v/>
      </c>
      <c r="J1818" t="str">
        <f>IF(OR(H1818="",I1818=""),"",IF(H1818=0,"",I1818/H1818-1))</f>
        <v/>
      </c>
      <c r="K1818" t="str">
        <f>IF($B1818="","",IFERROR(IF(G1818=0,-2E+300,CHOOSE(sortIdx,ROUND(D1818,0),IF(J1818="",-1E+300,ROUND(-J1818,6)),IF(J1818="",-1E+300,ROUND(J1818,6)))),-1.5E+300))</f>
        <v/>
      </c>
      <c r="L1818" t="str">
        <f>IF(K1818="","",RANK(K1818,$K$2:$K$3001,0)+COUNTIF($K$2:K1818,K1818)-1)</f>
        <v/>
      </c>
    </row>
    <row r="1819">
      <c r="B1819" t="str">
        <f>IFERROR(IF(A1819="","","="&amp;SUBSTITUTE(SUBSTITUTE(SUBSTITUTE(A1819,"~","~~"),"*","~*"),"?","~?")),"")</f>
        <v/>
      </c>
      <c r="C1819" t="str">
        <f>IF($B1819="","",SUMIFS(dAmt,dCust,$B1819,dPer,"&gt;="&amp;pyFrom,dPer,"&lt;="&amp;pyTo,dAmt,"&gt;-1E+300",dFlt1,critFlt1,dFlt2,critFlt2,dFlt3,critFlt3))</f>
        <v/>
      </c>
      <c r="D1819" t="str">
        <f>IF($B1819="","",SUMIFS(dAmt,dCust,$B1819,dPer,"&gt;="&amp;cyFrom,dPer,"&lt;="&amp;cyTo,dAmt,"&gt;-1E+300",dFlt1,critFlt1,dFlt2,critFlt2,dFlt3,critFlt3))</f>
        <v/>
      </c>
      <c r="E1819" t="str">
        <f>IF($B1819="","",SUMIFS(dQty,dCust,$B1819,dPer,"&gt;="&amp;pyFrom,dPer,"&lt;="&amp;pyTo,dQty,"&gt;-1E+300",dFlt1,critFlt1,dFlt2,critFlt2,dFlt3,critFlt3))</f>
        <v/>
      </c>
      <c r="F1819" t="str">
        <f>IF($B1819="","",SUMIFS(dQty,dCust,$B1819,dPer,"&gt;="&amp;cyFrom,dPer,"&lt;="&amp;cyTo,dQty,"&gt;-1E+300",dFlt1,critFlt1,dFlt2,critFlt2,dFlt3,critFlt3))</f>
        <v/>
      </c>
      <c r="G1819">
        <f>IF($B1819="",0,IFERROR(IF(OR(C1819&lt;&gt;0,D1819&lt;&gt;0,E1819&lt;&gt;0,F1819&lt;&gt;0),1,0),1))</f>
        <v>0</v>
      </c>
      <c r="H1819" t="str">
        <f>IF(OR(G1819=0,E1819=0),"",C1819/E1819)</f>
        <v/>
      </c>
      <c r="I1819" t="str">
        <f>IF(OR(G1819=0,F1819=0),"",D1819/F1819)</f>
        <v/>
      </c>
      <c r="J1819" t="str">
        <f>IF(OR(H1819="",I1819=""),"",IF(H1819=0,"",I1819/H1819-1))</f>
        <v/>
      </c>
      <c r="K1819" t="str">
        <f>IF($B1819="","",IFERROR(IF(G1819=0,-2E+300,CHOOSE(sortIdx,ROUND(D1819,0),IF(J1819="",-1E+300,ROUND(-J1819,6)),IF(J1819="",-1E+300,ROUND(J1819,6)))),-1.5E+300))</f>
        <v/>
      </c>
      <c r="L1819" t="str">
        <f>IF(K1819="","",RANK(K1819,$K$2:$K$3001,0)+COUNTIF($K$2:K1819,K1819)-1)</f>
        <v/>
      </c>
    </row>
    <row r="1820">
      <c r="B1820" t="str">
        <f>IFERROR(IF(A1820="","","="&amp;SUBSTITUTE(SUBSTITUTE(SUBSTITUTE(A1820,"~","~~"),"*","~*"),"?","~?")),"")</f>
        <v/>
      </c>
      <c r="C1820" t="str">
        <f>IF($B1820="","",SUMIFS(dAmt,dCust,$B1820,dPer,"&gt;="&amp;pyFrom,dPer,"&lt;="&amp;pyTo,dAmt,"&gt;-1E+300",dFlt1,critFlt1,dFlt2,critFlt2,dFlt3,critFlt3))</f>
        <v/>
      </c>
      <c r="D1820" t="str">
        <f>IF($B1820="","",SUMIFS(dAmt,dCust,$B1820,dPer,"&gt;="&amp;cyFrom,dPer,"&lt;="&amp;cyTo,dAmt,"&gt;-1E+300",dFlt1,critFlt1,dFlt2,critFlt2,dFlt3,critFlt3))</f>
        <v/>
      </c>
      <c r="E1820" t="str">
        <f>IF($B1820="","",SUMIFS(dQty,dCust,$B1820,dPer,"&gt;="&amp;pyFrom,dPer,"&lt;="&amp;pyTo,dQty,"&gt;-1E+300",dFlt1,critFlt1,dFlt2,critFlt2,dFlt3,critFlt3))</f>
        <v/>
      </c>
      <c r="F1820" t="str">
        <f>IF($B1820="","",SUMIFS(dQty,dCust,$B1820,dPer,"&gt;="&amp;cyFrom,dPer,"&lt;="&amp;cyTo,dQty,"&gt;-1E+300",dFlt1,critFlt1,dFlt2,critFlt2,dFlt3,critFlt3))</f>
        <v/>
      </c>
      <c r="G1820">
        <f>IF($B1820="",0,IFERROR(IF(OR(C1820&lt;&gt;0,D1820&lt;&gt;0,E1820&lt;&gt;0,F1820&lt;&gt;0),1,0),1))</f>
        <v>0</v>
      </c>
      <c r="H1820" t="str">
        <f>IF(OR(G1820=0,E1820=0),"",C1820/E1820)</f>
        <v/>
      </c>
      <c r="I1820" t="str">
        <f>IF(OR(G1820=0,F1820=0),"",D1820/F1820)</f>
        <v/>
      </c>
      <c r="J1820" t="str">
        <f>IF(OR(H1820="",I1820=""),"",IF(H1820=0,"",I1820/H1820-1))</f>
        <v/>
      </c>
      <c r="K1820" t="str">
        <f>IF($B1820="","",IFERROR(IF(G1820=0,-2E+300,CHOOSE(sortIdx,ROUND(D1820,0),IF(J1820="",-1E+300,ROUND(-J1820,6)),IF(J1820="",-1E+300,ROUND(J1820,6)))),-1.5E+300))</f>
        <v/>
      </c>
      <c r="L1820" t="str">
        <f>IF(K1820="","",RANK(K1820,$K$2:$K$3001,0)+COUNTIF($K$2:K1820,K1820)-1)</f>
        <v/>
      </c>
    </row>
    <row r="1821">
      <c r="B1821" t="str">
        <f>IFERROR(IF(A1821="","","="&amp;SUBSTITUTE(SUBSTITUTE(SUBSTITUTE(A1821,"~","~~"),"*","~*"),"?","~?")),"")</f>
        <v/>
      </c>
      <c r="C1821" t="str">
        <f>IF($B1821="","",SUMIFS(dAmt,dCust,$B1821,dPer,"&gt;="&amp;pyFrom,dPer,"&lt;="&amp;pyTo,dAmt,"&gt;-1E+300",dFlt1,critFlt1,dFlt2,critFlt2,dFlt3,critFlt3))</f>
        <v/>
      </c>
      <c r="D1821" t="str">
        <f>IF($B1821="","",SUMIFS(dAmt,dCust,$B1821,dPer,"&gt;="&amp;cyFrom,dPer,"&lt;="&amp;cyTo,dAmt,"&gt;-1E+300",dFlt1,critFlt1,dFlt2,critFlt2,dFlt3,critFlt3))</f>
        <v/>
      </c>
      <c r="E1821" t="str">
        <f>IF($B1821="","",SUMIFS(dQty,dCust,$B1821,dPer,"&gt;="&amp;pyFrom,dPer,"&lt;="&amp;pyTo,dQty,"&gt;-1E+300",dFlt1,critFlt1,dFlt2,critFlt2,dFlt3,critFlt3))</f>
        <v/>
      </c>
      <c r="F1821" t="str">
        <f>IF($B1821="","",SUMIFS(dQty,dCust,$B1821,dPer,"&gt;="&amp;cyFrom,dPer,"&lt;="&amp;cyTo,dQty,"&gt;-1E+300",dFlt1,critFlt1,dFlt2,critFlt2,dFlt3,critFlt3))</f>
        <v/>
      </c>
      <c r="G1821">
        <f>IF($B1821="",0,IFERROR(IF(OR(C1821&lt;&gt;0,D1821&lt;&gt;0,E1821&lt;&gt;0,F1821&lt;&gt;0),1,0),1))</f>
        <v>0</v>
      </c>
      <c r="H1821" t="str">
        <f>IF(OR(G1821=0,E1821=0),"",C1821/E1821)</f>
        <v/>
      </c>
      <c r="I1821" t="str">
        <f>IF(OR(G1821=0,F1821=0),"",D1821/F1821)</f>
        <v/>
      </c>
      <c r="J1821" t="str">
        <f>IF(OR(H1821="",I1821=""),"",IF(H1821=0,"",I1821/H1821-1))</f>
        <v/>
      </c>
      <c r="K1821" t="str">
        <f>IF($B1821="","",IFERROR(IF(G1821=0,-2E+300,CHOOSE(sortIdx,ROUND(D1821,0),IF(J1821="",-1E+300,ROUND(-J1821,6)),IF(J1821="",-1E+300,ROUND(J1821,6)))),-1.5E+300))</f>
        <v/>
      </c>
      <c r="L1821" t="str">
        <f>IF(K1821="","",RANK(K1821,$K$2:$K$3001,0)+COUNTIF($K$2:K1821,K1821)-1)</f>
        <v/>
      </c>
    </row>
    <row r="1822">
      <c r="B1822" t="str">
        <f>IFERROR(IF(A1822="","","="&amp;SUBSTITUTE(SUBSTITUTE(SUBSTITUTE(A1822,"~","~~"),"*","~*"),"?","~?")),"")</f>
        <v/>
      </c>
      <c r="C1822" t="str">
        <f>IF($B1822="","",SUMIFS(dAmt,dCust,$B1822,dPer,"&gt;="&amp;pyFrom,dPer,"&lt;="&amp;pyTo,dAmt,"&gt;-1E+300",dFlt1,critFlt1,dFlt2,critFlt2,dFlt3,critFlt3))</f>
        <v/>
      </c>
      <c r="D1822" t="str">
        <f>IF($B1822="","",SUMIFS(dAmt,dCust,$B1822,dPer,"&gt;="&amp;cyFrom,dPer,"&lt;="&amp;cyTo,dAmt,"&gt;-1E+300",dFlt1,critFlt1,dFlt2,critFlt2,dFlt3,critFlt3))</f>
        <v/>
      </c>
      <c r="E1822" t="str">
        <f>IF($B1822="","",SUMIFS(dQty,dCust,$B1822,dPer,"&gt;="&amp;pyFrom,dPer,"&lt;="&amp;pyTo,dQty,"&gt;-1E+300",dFlt1,critFlt1,dFlt2,critFlt2,dFlt3,critFlt3))</f>
        <v/>
      </c>
      <c r="F1822" t="str">
        <f>IF($B1822="","",SUMIFS(dQty,dCust,$B1822,dPer,"&gt;="&amp;cyFrom,dPer,"&lt;="&amp;cyTo,dQty,"&gt;-1E+300",dFlt1,critFlt1,dFlt2,critFlt2,dFlt3,critFlt3))</f>
        <v/>
      </c>
      <c r="G1822">
        <f>IF($B1822="",0,IFERROR(IF(OR(C1822&lt;&gt;0,D1822&lt;&gt;0,E1822&lt;&gt;0,F1822&lt;&gt;0),1,0),1))</f>
        <v>0</v>
      </c>
      <c r="H1822" t="str">
        <f>IF(OR(G1822=0,E1822=0),"",C1822/E1822)</f>
        <v/>
      </c>
      <c r="I1822" t="str">
        <f>IF(OR(G1822=0,F1822=0),"",D1822/F1822)</f>
        <v/>
      </c>
      <c r="J1822" t="str">
        <f>IF(OR(H1822="",I1822=""),"",IF(H1822=0,"",I1822/H1822-1))</f>
        <v/>
      </c>
      <c r="K1822" t="str">
        <f>IF($B1822="","",IFERROR(IF(G1822=0,-2E+300,CHOOSE(sortIdx,ROUND(D1822,0),IF(J1822="",-1E+300,ROUND(-J1822,6)),IF(J1822="",-1E+300,ROUND(J1822,6)))),-1.5E+300))</f>
        <v/>
      </c>
      <c r="L1822" t="str">
        <f>IF(K1822="","",RANK(K1822,$K$2:$K$3001,0)+COUNTIF($K$2:K1822,K1822)-1)</f>
        <v/>
      </c>
    </row>
    <row r="1823">
      <c r="B1823" t="str">
        <f>IFERROR(IF(A1823="","","="&amp;SUBSTITUTE(SUBSTITUTE(SUBSTITUTE(A1823,"~","~~"),"*","~*"),"?","~?")),"")</f>
        <v/>
      </c>
      <c r="C1823" t="str">
        <f>IF($B1823="","",SUMIFS(dAmt,dCust,$B1823,dPer,"&gt;="&amp;pyFrom,dPer,"&lt;="&amp;pyTo,dAmt,"&gt;-1E+300",dFlt1,critFlt1,dFlt2,critFlt2,dFlt3,critFlt3))</f>
        <v/>
      </c>
      <c r="D1823" t="str">
        <f>IF($B1823="","",SUMIFS(dAmt,dCust,$B1823,dPer,"&gt;="&amp;cyFrom,dPer,"&lt;="&amp;cyTo,dAmt,"&gt;-1E+300",dFlt1,critFlt1,dFlt2,critFlt2,dFlt3,critFlt3))</f>
        <v/>
      </c>
      <c r="E1823" t="str">
        <f>IF($B1823="","",SUMIFS(dQty,dCust,$B1823,dPer,"&gt;="&amp;pyFrom,dPer,"&lt;="&amp;pyTo,dQty,"&gt;-1E+300",dFlt1,critFlt1,dFlt2,critFlt2,dFlt3,critFlt3))</f>
        <v/>
      </c>
      <c r="F1823" t="str">
        <f>IF($B1823="","",SUMIFS(dQty,dCust,$B1823,dPer,"&gt;="&amp;cyFrom,dPer,"&lt;="&amp;cyTo,dQty,"&gt;-1E+300",dFlt1,critFlt1,dFlt2,critFlt2,dFlt3,critFlt3))</f>
        <v/>
      </c>
      <c r="G1823">
        <f>IF($B1823="",0,IFERROR(IF(OR(C1823&lt;&gt;0,D1823&lt;&gt;0,E1823&lt;&gt;0,F1823&lt;&gt;0),1,0),1))</f>
        <v>0</v>
      </c>
      <c r="H1823" t="str">
        <f>IF(OR(G1823=0,E1823=0),"",C1823/E1823)</f>
        <v/>
      </c>
      <c r="I1823" t="str">
        <f>IF(OR(G1823=0,F1823=0),"",D1823/F1823)</f>
        <v/>
      </c>
      <c r="J1823" t="str">
        <f>IF(OR(H1823="",I1823=""),"",IF(H1823=0,"",I1823/H1823-1))</f>
        <v/>
      </c>
      <c r="K1823" t="str">
        <f>IF($B1823="","",IFERROR(IF(G1823=0,-2E+300,CHOOSE(sortIdx,ROUND(D1823,0),IF(J1823="",-1E+300,ROUND(-J1823,6)),IF(J1823="",-1E+300,ROUND(J1823,6)))),-1.5E+300))</f>
        <v/>
      </c>
      <c r="L1823" t="str">
        <f>IF(K1823="","",RANK(K1823,$K$2:$K$3001,0)+COUNTIF($K$2:K1823,K1823)-1)</f>
        <v/>
      </c>
    </row>
    <row r="1824">
      <c r="B1824" t="str">
        <f>IFERROR(IF(A1824="","","="&amp;SUBSTITUTE(SUBSTITUTE(SUBSTITUTE(A1824,"~","~~"),"*","~*"),"?","~?")),"")</f>
        <v/>
      </c>
      <c r="C1824" t="str">
        <f>IF($B1824="","",SUMIFS(dAmt,dCust,$B1824,dPer,"&gt;="&amp;pyFrom,dPer,"&lt;="&amp;pyTo,dAmt,"&gt;-1E+300",dFlt1,critFlt1,dFlt2,critFlt2,dFlt3,critFlt3))</f>
        <v/>
      </c>
      <c r="D1824" t="str">
        <f>IF($B1824="","",SUMIFS(dAmt,dCust,$B1824,dPer,"&gt;="&amp;cyFrom,dPer,"&lt;="&amp;cyTo,dAmt,"&gt;-1E+300",dFlt1,critFlt1,dFlt2,critFlt2,dFlt3,critFlt3))</f>
        <v/>
      </c>
      <c r="E1824" t="str">
        <f>IF($B1824="","",SUMIFS(dQty,dCust,$B1824,dPer,"&gt;="&amp;pyFrom,dPer,"&lt;="&amp;pyTo,dQty,"&gt;-1E+300",dFlt1,critFlt1,dFlt2,critFlt2,dFlt3,critFlt3))</f>
        <v/>
      </c>
      <c r="F1824" t="str">
        <f>IF($B1824="","",SUMIFS(dQty,dCust,$B1824,dPer,"&gt;="&amp;cyFrom,dPer,"&lt;="&amp;cyTo,dQty,"&gt;-1E+300",dFlt1,critFlt1,dFlt2,critFlt2,dFlt3,critFlt3))</f>
        <v/>
      </c>
      <c r="G1824">
        <f>IF($B1824="",0,IFERROR(IF(OR(C1824&lt;&gt;0,D1824&lt;&gt;0,E1824&lt;&gt;0,F1824&lt;&gt;0),1,0),1))</f>
        <v>0</v>
      </c>
      <c r="H1824" t="str">
        <f>IF(OR(G1824=0,E1824=0),"",C1824/E1824)</f>
        <v/>
      </c>
      <c r="I1824" t="str">
        <f>IF(OR(G1824=0,F1824=0),"",D1824/F1824)</f>
        <v/>
      </c>
      <c r="J1824" t="str">
        <f>IF(OR(H1824="",I1824=""),"",IF(H1824=0,"",I1824/H1824-1))</f>
        <v/>
      </c>
      <c r="K1824" t="str">
        <f>IF($B1824="","",IFERROR(IF(G1824=0,-2E+300,CHOOSE(sortIdx,ROUND(D1824,0),IF(J1824="",-1E+300,ROUND(-J1824,6)),IF(J1824="",-1E+300,ROUND(J1824,6)))),-1.5E+300))</f>
        <v/>
      </c>
      <c r="L1824" t="str">
        <f>IF(K1824="","",RANK(K1824,$K$2:$K$3001,0)+COUNTIF($K$2:K1824,K1824)-1)</f>
        <v/>
      </c>
    </row>
    <row r="1825">
      <c r="B1825" t="str">
        <f>IFERROR(IF(A1825="","","="&amp;SUBSTITUTE(SUBSTITUTE(SUBSTITUTE(A1825,"~","~~"),"*","~*"),"?","~?")),"")</f>
        <v/>
      </c>
      <c r="C1825" t="str">
        <f>IF($B1825="","",SUMIFS(dAmt,dCust,$B1825,dPer,"&gt;="&amp;pyFrom,dPer,"&lt;="&amp;pyTo,dAmt,"&gt;-1E+300",dFlt1,critFlt1,dFlt2,critFlt2,dFlt3,critFlt3))</f>
        <v/>
      </c>
      <c r="D1825" t="str">
        <f>IF($B1825="","",SUMIFS(dAmt,dCust,$B1825,dPer,"&gt;="&amp;cyFrom,dPer,"&lt;="&amp;cyTo,dAmt,"&gt;-1E+300",dFlt1,critFlt1,dFlt2,critFlt2,dFlt3,critFlt3))</f>
        <v/>
      </c>
      <c r="E1825" t="str">
        <f>IF($B1825="","",SUMIFS(dQty,dCust,$B1825,dPer,"&gt;="&amp;pyFrom,dPer,"&lt;="&amp;pyTo,dQty,"&gt;-1E+300",dFlt1,critFlt1,dFlt2,critFlt2,dFlt3,critFlt3))</f>
        <v/>
      </c>
      <c r="F1825" t="str">
        <f>IF($B1825="","",SUMIFS(dQty,dCust,$B1825,dPer,"&gt;="&amp;cyFrom,dPer,"&lt;="&amp;cyTo,dQty,"&gt;-1E+300",dFlt1,critFlt1,dFlt2,critFlt2,dFlt3,critFlt3))</f>
        <v/>
      </c>
      <c r="G1825">
        <f>IF($B1825="",0,IFERROR(IF(OR(C1825&lt;&gt;0,D1825&lt;&gt;0,E1825&lt;&gt;0,F1825&lt;&gt;0),1,0),1))</f>
        <v>0</v>
      </c>
      <c r="H1825" t="str">
        <f>IF(OR(G1825=0,E1825=0),"",C1825/E1825)</f>
        <v/>
      </c>
      <c r="I1825" t="str">
        <f>IF(OR(G1825=0,F1825=0),"",D1825/F1825)</f>
        <v/>
      </c>
      <c r="J1825" t="str">
        <f>IF(OR(H1825="",I1825=""),"",IF(H1825=0,"",I1825/H1825-1))</f>
        <v/>
      </c>
      <c r="K1825" t="str">
        <f>IF($B1825="","",IFERROR(IF(G1825=0,-2E+300,CHOOSE(sortIdx,ROUND(D1825,0),IF(J1825="",-1E+300,ROUND(-J1825,6)),IF(J1825="",-1E+300,ROUND(J1825,6)))),-1.5E+300))</f>
        <v/>
      </c>
      <c r="L1825" t="str">
        <f>IF(K1825="","",RANK(K1825,$K$2:$K$3001,0)+COUNTIF($K$2:K1825,K1825)-1)</f>
        <v/>
      </c>
    </row>
    <row r="1826">
      <c r="B1826" t="str">
        <f>IFERROR(IF(A1826="","","="&amp;SUBSTITUTE(SUBSTITUTE(SUBSTITUTE(A1826,"~","~~"),"*","~*"),"?","~?")),"")</f>
        <v/>
      </c>
      <c r="C1826" t="str">
        <f>IF($B1826="","",SUMIFS(dAmt,dCust,$B1826,dPer,"&gt;="&amp;pyFrom,dPer,"&lt;="&amp;pyTo,dAmt,"&gt;-1E+300",dFlt1,critFlt1,dFlt2,critFlt2,dFlt3,critFlt3))</f>
        <v/>
      </c>
      <c r="D1826" t="str">
        <f>IF($B1826="","",SUMIFS(dAmt,dCust,$B1826,dPer,"&gt;="&amp;cyFrom,dPer,"&lt;="&amp;cyTo,dAmt,"&gt;-1E+300",dFlt1,critFlt1,dFlt2,critFlt2,dFlt3,critFlt3))</f>
        <v/>
      </c>
      <c r="E1826" t="str">
        <f>IF($B1826="","",SUMIFS(dQty,dCust,$B1826,dPer,"&gt;="&amp;pyFrom,dPer,"&lt;="&amp;pyTo,dQty,"&gt;-1E+300",dFlt1,critFlt1,dFlt2,critFlt2,dFlt3,critFlt3))</f>
        <v/>
      </c>
      <c r="F1826" t="str">
        <f>IF($B1826="","",SUMIFS(dQty,dCust,$B1826,dPer,"&gt;="&amp;cyFrom,dPer,"&lt;="&amp;cyTo,dQty,"&gt;-1E+300",dFlt1,critFlt1,dFlt2,critFlt2,dFlt3,critFlt3))</f>
        <v/>
      </c>
      <c r="G1826">
        <f>IF($B1826="",0,IFERROR(IF(OR(C1826&lt;&gt;0,D1826&lt;&gt;0,E1826&lt;&gt;0,F1826&lt;&gt;0),1,0),1))</f>
        <v>0</v>
      </c>
      <c r="H1826" t="str">
        <f>IF(OR(G1826=0,E1826=0),"",C1826/E1826)</f>
        <v/>
      </c>
      <c r="I1826" t="str">
        <f>IF(OR(G1826=0,F1826=0),"",D1826/F1826)</f>
        <v/>
      </c>
      <c r="J1826" t="str">
        <f>IF(OR(H1826="",I1826=""),"",IF(H1826=0,"",I1826/H1826-1))</f>
        <v/>
      </c>
      <c r="K1826" t="str">
        <f>IF($B1826="","",IFERROR(IF(G1826=0,-2E+300,CHOOSE(sortIdx,ROUND(D1826,0),IF(J1826="",-1E+300,ROUND(-J1826,6)),IF(J1826="",-1E+300,ROUND(J1826,6)))),-1.5E+300))</f>
        <v/>
      </c>
      <c r="L1826" t="str">
        <f>IF(K1826="","",RANK(K1826,$K$2:$K$3001,0)+COUNTIF($K$2:K1826,K1826)-1)</f>
        <v/>
      </c>
    </row>
    <row r="1827">
      <c r="B1827" t="str">
        <f>IFERROR(IF(A1827="","","="&amp;SUBSTITUTE(SUBSTITUTE(SUBSTITUTE(A1827,"~","~~"),"*","~*"),"?","~?")),"")</f>
        <v/>
      </c>
      <c r="C1827" t="str">
        <f>IF($B1827="","",SUMIFS(dAmt,dCust,$B1827,dPer,"&gt;="&amp;pyFrom,dPer,"&lt;="&amp;pyTo,dAmt,"&gt;-1E+300",dFlt1,critFlt1,dFlt2,critFlt2,dFlt3,critFlt3))</f>
        <v/>
      </c>
      <c r="D1827" t="str">
        <f>IF($B1827="","",SUMIFS(dAmt,dCust,$B1827,dPer,"&gt;="&amp;cyFrom,dPer,"&lt;="&amp;cyTo,dAmt,"&gt;-1E+300",dFlt1,critFlt1,dFlt2,critFlt2,dFlt3,critFlt3))</f>
        <v/>
      </c>
      <c r="E1827" t="str">
        <f>IF($B1827="","",SUMIFS(dQty,dCust,$B1827,dPer,"&gt;="&amp;pyFrom,dPer,"&lt;="&amp;pyTo,dQty,"&gt;-1E+300",dFlt1,critFlt1,dFlt2,critFlt2,dFlt3,critFlt3))</f>
        <v/>
      </c>
      <c r="F1827" t="str">
        <f>IF($B1827="","",SUMIFS(dQty,dCust,$B1827,dPer,"&gt;="&amp;cyFrom,dPer,"&lt;="&amp;cyTo,dQty,"&gt;-1E+300",dFlt1,critFlt1,dFlt2,critFlt2,dFlt3,critFlt3))</f>
        <v/>
      </c>
      <c r="G1827">
        <f>IF($B1827="",0,IFERROR(IF(OR(C1827&lt;&gt;0,D1827&lt;&gt;0,E1827&lt;&gt;0,F1827&lt;&gt;0),1,0),1))</f>
        <v>0</v>
      </c>
      <c r="H1827" t="str">
        <f>IF(OR(G1827=0,E1827=0),"",C1827/E1827)</f>
        <v/>
      </c>
      <c r="I1827" t="str">
        <f>IF(OR(G1827=0,F1827=0),"",D1827/F1827)</f>
        <v/>
      </c>
      <c r="J1827" t="str">
        <f>IF(OR(H1827="",I1827=""),"",IF(H1827=0,"",I1827/H1827-1))</f>
        <v/>
      </c>
      <c r="K1827" t="str">
        <f>IF($B1827="","",IFERROR(IF(G1827=0,-2E+300,CHOOSE(sortIdx,ROUND(D1827,0),IF(J1827="",-1E+300,ROUND(-J1827,6)),IF(J1827="",-1E+300,ROUND(J1827,6)))),-1.5E+300))</f>
        <v/>
      </c>
      <c r="L1827" t="str">
        <f>IF(K1827="","",RANK(K1827,$K$2:$K$3001,0)+COUNTIF($K$2:K1827,K1827)-1)</f>
        <v/>
      </c>
    </row>
    <row r="1828">
      <c r="B1828" t="str">
        <f>IFERROR(IF(A1828="","","="&amp;SUBSTITUTE(SUBSTITUTE(SUBSTITUTE(A1828,"~","~~"),"*","~*"),"?","~?")),"")</f>
        <v/>
      </c>
      <c r="C1828" t="str">
        <f>IF($B1828="","",SUMIFS(dAmt,dCust,$B1828,dPer,"&gt;="&amp;pyFrom,dPer,"&lt;="&amp;pyTo,dAmt,"&gt;-1E+300",dFlt1,critFlt1,dFlt2,critFlt2,dFlt3,critFlt3))</f>
        <v/>
      </c>
      <c r="D1828" t="str">
        <f>IF($B1828="","",SUMIFS(dAmt,dCust,$B1828,dPer,"&gt;="&amp;cyFrom,dPer,"&lt;="&amp;cyTo,dAmt,"&gt;-1E+300",dFlt1,critFlt1,dFlt2,critFlt2,dFlt3,critFlt3))</f>
        <v/>
      </c>
      <c r="E1828" t="str">
        <f>IF($B1828="","",SUMIFS(dQty,dCust,$B1828,dPer,"&gt;="&amp;pyFrom,dPer,"&lt;="&amp;pyTo,dQty,"&gt;-1E+300",dFlt1,critFlt1,dFlt2,critFlt2,dFlt3,critFlt3))</f>
        <v/>
      </c>
      <c r="F1828" t="str">
        <f>IF($B1828="","",SUMIFS(dQty,dCust,$B1828,dPer,"&gt;="&amp;cyFrom,dPer,"&lt;="&amp;cyTo,dQty,"&gt;-1E+300",dFlt1,critFlt1,dFlt2,critFlt2,dFlt3,critFlt3))</f>
        <v/>
      </c>
      <c r="G1828">
        <f>IF($B1828="",0,IFERROR(IF(OR(C1828&lt;&gt;0,D1828&lt;&gt;0,E1828&lt;&gt;0,F1828&lt;&gt;0),1,0),1))</f>
        <v>0</v>
      </c>
      <c r="H1828" t="str">
        <f>IF(OR(G1828=0,E1828=0),"",C1828/E1828)</f>
        <v/>
      </c>
      <c r="I1828" t="str">
        <f>IF(OR(G1828=0,F1828=0),"",D1828/F1828)</f>
        <v/>
      </c>
      <c r="J1828" t="str">
        <f>IF(OR(H1828="",I1828=""),"",IF(H1828=0,"",I1828/H1828-1))</f>
        <v/>
      </c>
      <c r="K1828" t="str">
        <f>IF($B1828="","",IFERROR(IF(G1828=0,-2E+300,CHOOSE(sortIdx,ROUND(D1828,0),IF(J1828="",-1E+300,ROUND(-J1828,6)),IF(J1828="",-1E+300,ROUND(J1828,6)))),-1.5E+300))</f>
        <v/>
      </c>
      <c r="L1828" t="str">
        <f>IF(K1828="","",RANK(K1828,$K$2:$K$3001,0)+COUNTIF($K$2:K1828,K1828)-1)</f>
        <v/>
      </c>
    </row>
    <row r="1829">
      <c r="B1829" t="str">
        <f>IFERROR(IF(A1829="","","="&amp;SUBSTITUTE(SUBSTITUTE(SUBSTITUTE(A1829,"~","~~"),"*","~*"),"?","~?")),"")</f>
        <v/>
      </c>
      <c r="C1829" t="str">
        <f>IF($B1829="","",SUMIFS(dAmt,dCust,$B1829,dPer,"&gt;="&amp;pyFrom,dPer,"&lt;="&amp;pyTo,dAmt,"&gt;-1E+300",dFlt1,critFlt1,dFlt2,critFlt2,dFlt3,critFlt3))</f>
        <v/>
      </c>
      <c r="D1829" t="str">
        <f>IF($B1829="","",SUMIFS(dAmt,dCust,$B1829,dPer,"&gt;="&amp;cyFrom,dPer,"&lt;="&amp;cyTo,dAmt,"&gt;-1E+300",dFlt1,critFlt1,dFlt2,critFlt2,dFlt3,critFlt3))</f>
        <v/>
      </c>
      <c r="E1829" t="str">
        <f>IF($B1829="","",SUMIFS(dQty,dCust,$B1829,dPer,"&gt;="&amp;pyFrom,dPer,"&lt;="&amp;pyTo,dQty,"&gt;-1E+300",dFlt1,critFlt1,dFlt2,critFlt2,dFlt3,critFlt3))</f>
        <v/>
      </c>
      <c r="F1829" t="str">
        <f>IF($B1829="","",SUMIFS(dQty,dCust,$B1829,dPer,"&gt;="&amp;cyFrom,dPer,"&lt;="&amp;cyTo,dQty,"&gt;-1E+300",dFlt1,critFlt1,dFlt2,critFlt2,dFlt3,critFlt3))</f>
        <v/>
      </c>
      <c r="G1829">
        <f>IF($B1829="",0,IFERROR(IF(OR(C1829&lt;&gt;0,D1829&lt;&gt;0,E1829&lt;&gt;0,F1829&lt;&gt;0),1,0),1))</f>
        <v>0</v>
      </c>
      <c r="H1829" t="str">
        <f>IF(OR(G1829=0,E1829=0),"",C1829/E1829)</f>
        <v/>
      </c>
      <c r="I1829" t="str">
        <f>IF(OR(G1829=0,F1829=0),"",D1829/F1829)</f>
        <v/>
      </c>
      <c r="J1829" t="str">
        <f>IF(OR(H1829="",I1829=""),"",IF(H1829=0,"",I1829/H1829-1))</f>
        <v/>
      </c>
      <c r="K1829" t="str">
        <f>IF($B1829="","",IFERROR(IF(G1829=0,-2E+300,CHOOSE(sortIdx,ROUND(D1829,0),IF(J1829="",-1E+300,ROUND(-J1829,6)),IF(J1829="",-1E+300,ROUND(J1829,6)))),-1.5E+300))</f>
        <v/>
      </c>
      <c r="L1829" t="str">
        <f>IF(K1829="","",RANK(K1829,$K$2:$K$3001,0)+COUNTIF($K$2:K1829,K1829)-1)</f>
        <v/>
      </c>
    </row>
    <row r="1830">
      <c r="B1830" t="str">
        <f>IFERROR(IF(A1830="","","="&amp;SUBSTITUTE(SUBSTITUTE(SUBSTITUTE(A1830,"~","~~"),"*","~*"),"?","~?")),"")</f>
        <v/>
      </c>
      <c r="C1830" t="str">
        <f>IF($B1830="","",SUMIFS(dAmt,dCust,$B1830,dPer,"&gt;="&amp;pyFrom,dPer,"&lt;="&amp;pyTo,dAmt,"&gt;-1E+300",dFlt1,critFlt1,dFlt2,critFlt2,dFlt3,critFlt3))</f>
        <v/>
      </c>
      <c r="D1830" t="str">
        <f>IF($B1830="","",SUMIFS(dAmt,dCust,$B1830,dPer,"&gt;="&amp;cyFrom,dPer,"&lt;="&amp;cyTo,dAmt,"&gt;-1E+300",dFlt1,critFlt1,dFlt2,critFlt2,dFlt3,critFlt3))</f>
        <v/>
      </c>
      <c r="E1830" t="str">
        <f>IF($B1830="","",SUMIFS(dQty,dCust,$B1830,dPer,"&gt;="&amp;pyFrom,dPer,"&lt;="&amp;pyTo,dQty,"&gt;-1E+300",dFlt1,critFlt1,dFlt2,critFlt2,dFlt3,critFlt3))</f>
        <v/>
      </c>
      <c r="F1830" t="str">
        <f>IF($B1830="","",SUMIFS(dQty,dCust,$B1830,dPer,"&gt;="&amp;cyFrom,dPer,"&lt;="&amp;cyTo,dQty,"&gt;-1E+300",dFlt1,critFlt1,dFlt2,critFlt2,dFlt3,critFlt3))</f>
        <v/>
      </c>
      <c r="G1830">
        <f>IF($B1830="",0,IFERROR(IF(OR(C1830&lt;&gt;0,D1830&lt;&gt;0,E1830&lt;&gt;0,F1830&lt;&gt;0),1,0),1))</f>
        <v>0</v>
      </c>
      <c r="H1830" t="str">
        <f>IF(OR(G1830=0,E1830=0),"",C1830/E1830)</f>
        <v/>
      </c>
      <c r="I1830" t="str">
        <f>IF(OR(G1830=0,F1830=0),"",D1830/F1830)</f>
        <v/>
      </c>
      <c r="J1830" t="str">
        <f>IF(OR(H1830="",I1830=""),"",IF(H1830=0,"",I1830/H1830-1))</f>
        <v/>
      </c>
      <c r="K1830" t="str">
        <f>IF($B1830="","",IFERROR(IF(G1830=0,-2E+300,CHOOSE(sortIdx,ROUND(D1830,0),IF(J1830="",-1E+300,ROUND(-J1830,6)),IF(J1830="",-1E+300,ROUND(J1830,6)))),-1.5E+300))</f>
        <v/>
      </c>
      <c r="L1830" t="str">
        <f>IF(K1830="","",RANK(K1830,$K$2:$K$3001,0)+COUNTIF($K$2:K1830,K1830)-1)</f>
        <v/>
      </c>
    </row>
    <row r="1831">
      <c r="B1831" t="str">
        <f>IFERROR(IF(A1831="","","="&amp;SUBSTITUTE(SUBSTITUTE(SUBSTITUTE(A1831,"~","~~"),"*","~*"),"?","~?")),"")</f>
        <v/>
      </c>
      <c r="C1831" t="str">
        <f>IF($B1831="","",SUMIFS(dAmt,dCust,$B1831,dPer,"&gt;="&amp;pyFrom,dPer,"&lt;="&amp;pyTo,dAmt,"&gt;-1E+300",dFlt1,critFlt1,dFlt2,critFlt2,dFlt3,critFlt3))</f>
        <v/>
      </c>
      <c r="D1831" t="str">
        <f>IF($B1831="","",SUMIFS(dAmt,dCust,$B1831,dPer,"&gt;="&amp;cyFrom,dPer,"&lt;="&amp;cyTo,dAmt,"&gt;-1E+300",dFlt1,critFlt1,dFlt2,critFlt2,dFlt3,critFlt3))</f>
        <v/>
      </c>
      <c r="E1831" t="str">
        <f>IF($B1831="","",SUMIFS(dQty,dCust,$B1831,dPer,"&gt;="&amp;pyFrom,dPer,"&lt;="&amp;pyTo,dQty,"&gt;-1E+300",dFlt1,critFlt1,dFlt2,critFlt2,dFlt3,critFlt3))</f>
        <v/>
      </c>
      <c r="F1831" t="str">
        <f>IF($B1831="","",SUMIFS(dQty,dCust,$B1831,dPer,"&gt;="&amp;cyFrom,dPer,"&lt;="&amp;cyTo,dQty,"&gt;-1E+300",dFlt1,critFlt1,dFlt2,critFlt2,dFlt3,critFlt3))</f>
        <v/>
      </c>
      <c r="G1831">
        <f>IF($B1831="",0,IFERROR(IF(OR(C1831&lt;&gt;0,D1831&lt;&gt;0,E1831&lt;&gt;0,F1831&lt;&gt;0),1,0),1))</f>
        <v>0</v>
      </c>
      <c r="H1831" t="str">
        <f>IF(OR(G1831=0,E1831=0),"",C1831/E1831)</f>
        <v/>
      </c>
      <c r="I1831" t="str">
        <f>IF(OR(G1831=0,F1831=0),"",D1831/F1831)</f>
        <v/>
      </c>
      <c r="J1831" t="str">
        <f>IF(OR(H1831="",I1831=""),"",IF(H1831=0,"",I1831/H1831-1))</f>
        <v/>
      </c>
      <c r="K1831" t="str">
        <f>IF($B1831="","",IFERROR(IF(G1831=0,-2E+300,CHOOSE(sortIdx,ROUND(D1831,0),IF(J1831="",-1E+300,ROUND(-J1831,6)),IF(J1831="",-1E+300,ROUND(J1831,6)))),-1.5E+300))</f>
        <v/>
      </c>
      <c r="L1831" t="str">
        <f>IF(K1831="","",RANK(K1831,$K$2:$K$3001,0)+COUNTIF($K$2:K1831,K1831)-1)</f>
        <v/>
      </c>
    </row>
    <row r="1832">
      <c r="B1832" t="str">
        <f>IFERROR(IF(A1832="","","="&amp;SUBSTITUTE(SUBSTITUTE(SUBSTITUTE(A1832,"~","~~"),"*","~*"),"?","~?")),"")</f>
        <v/>
      </c>
      <c r="C1832" t="str">
        <f>IF($B1832="","",SUMIFS(dAmt,dCust,$B1832,dPer,"&gt;="&amp;pyFrom,dPer,"&lt;="&amp;pyTo,dAmt,"&gt;-1E+300",dFlt1,critFlt1,dFlt2,critFlt2,dFlt3,critFlt3))</f>
        <v/>
      </c>
      <c r="D1832" t="str">
        <f>IF($B1832="","",SUMIFS(dAmt,dCust,$B1832,dPer,"&gt;="&amp;cyFrom,dPer,"&lt;="&amp;cyTo,dAmt,"&gt;-1E+300",dFlt1,critFlt1,dFlt2,critFlt2,dFlt3,critFlt3))</f>
        <v/>
      </c>
      <c r="E1832" t="str">
        <f>IF($B1832="","",SUMIFS(dQty,dCust,$B1832,dPer,"&gt;="&amp;pyFrom,dPer,"&lt;="&amp;pyTo,dQty,"&gt;-1E+300",dFlt1,critFlt1,dFlt2,critFlt2,dFlt3,critFlt3))</f>
        <v/>
      </c>
      <c r="F1832" t="str">
        <f>IF($B1832="","",SUMIFS(dQty,dCust,$B1832,dPer,"&gt;="&amp;cyFrom,dPer,"&lt;="&amp;cyTo,dQty,"&gt;-1E+300",dFlt1,critFlt1,dFlt2,critFlt2,dFlt3,critFlt3))</f>
        <v/>
      </c>
      <c r="G1832">
        <f>IF($B1832="",0,IFERROR(IF(OR(C1832&lt;&gt;0,D1832&lt;&gt;0,E1832&lt;&gt;0,F1832&lt;&gt;0),1,0),1))</f>
        <v>0</v>
      </c>
      <c r="H1832" t="str">
        <f>IF(OR(G1832=0,E1832=0),"",C1832/E1832)</f>
        <v/>
      </c>
      <c r="I1832" t="str">
        <f>IF(OR(G1832=0,F1832=0),"",D1832/F1832)</f>
        <v/>
      </c>
      <c r="J1832" t="str">
        <f>IF(OR(H1832="",I1832=""),"",IF(H1832=0,"",I1832/H1832-1))</f>
        <v/>
      </c>
      <c r="K1832" t="str">
        <f>IF($B1832="","",IFERROR(IF(G1832=0,-2E+300,CHOOSE(sortIdx,ROUND(D1832,0),IF(J1832="",-1E+300,ROUND(-J1832,6)),IF(J1832="",-1E+300,ROUND(J1832,6)))),-1.5E+300))</f>
        <v/>
      </c>
      <c r="L1832" t="str">
        <f>IF(K1832="","",RANK(K1832,$K$2:$K$3001,0)+COUNTIF($K$2:K1832,K1832)-1)</f>
        <v/>
      </c>
    </row>
    <row r="1833">
      <c r="B1833" t="str">
        <f>IFERROR(IF(A1833="","","="&amp;SUBSTITUTE(SUBSTITUTE(SUBSTITUTE(A1833,"~","~~"),"*","~*"),"?","~?")),"")</f>
        <v/>
      </c>
      <c r="C1833" t="str">
        <f>IF($B1833="","",SUMIFS(dAmt,dCust,$B1833,dPer,"&gt;="&amp;pyFrom,dPer,"&lt;="&amp;pyTo,dAmt,"&gt;-1E+300",dFlt1,critFlt1,dFlt2,critFlt2,dFlt3,critFlt3))</f>
        <v/>
      </c>
      <c r="D1833" t="str">
        <f>IF($B1833="","",SUMIFS(dAmt,dCust,$B1833,dPer,"&gt;="&amp;cyFrom,dPer,"&lt;="&amp;cyTo,dAmt,"&gt;-1E+300",dFlt1,critFlt1,dFlt2,critFlt2,dFlt3,critFlt3))</f>
        <v/>
      </c>
      <c r="E1833" t="str">
        <f>IF($B1833="","",SUMIFS(dQty,dCust,$B1833,dPer,"&gt;="&amp;pyFrom,dPer,"&lt;="&amp;pyTo,dQty,"&gt;-1E+300",dFlt1,critFlt1,dFlt2,critFlt2,dFlt3,critFlt3))</f>
        <v/>
      </c>
      <c r="F1833" t="str">
        <f>IF($B1833="","",SUMIFS(dQty,dCust,$B1833,dPer,"&gt;="&amp;cyFrom,dPer,"&lt;="&amp;cyTo,dQty,"&gt;-1E+300",dFlt1,critFlt1,dFlt2,critFlt2,dFlt3,critFlt3))</f>
        <v/>
      </c>
      <c r="G1833">
        <f>IF($B1833="",0,IFERROR(IF(OR(C1833&lt;&gt;0,D1833&lt;&gt;0,E1833&lt;&gt;0,F1833&lt;&gt;0),1,0),1))</f>
        <v>0</v>
      </c>
      <c r="H1833" t="str">
        <f>IF(OR(G1833=0,E1833=0),"",C1833/E1833)</f>
        <v/>
      </c>
      <c r="I1833" t="str">
        <f>IF(OR(G1833=0,F1833=0),"",D1833/F1833)</f>
        <v/>
      </c>
      <c r="J1833" t="str">
        <f>IF(OR(H1833="",I1833=""),"",IF(H1833=0,"",I1833/H1833-1))</f>
        <v/>
      </c>
      <c r="K1833" t="str">
        <f>IF($B1833="","",IFERROR(IF(G1833=0,-2E+300,CHOOSE(sortIdx,ROUND(D1833,0),IF(J1833="",-1E+300,ROUND(-J1833,6)),IF(J1833="",-1E+300,ROUND(J1833,6)))),-1.5E+300))</f>
        <v/>
      </c>
      <c r="L1833" t="str">
        <f>IF(K1833="","",RANK(K1833,$K$2:$K$3001,0)+COUNTIF($K$2:K1833,K1833)-1)</f>
        <v/>
      </c>
    </row>
    <row r="1834">
      <c r="B1834" t="str">
        <f>IFERROR(IF(A1834="","","="&amp;SUBSTITUTE(SUBSTITUTE(SUBSTITUTE(A1834,"~","~~"),"*","~*"),"?","~?")),"")</f>
        <v/>
      </c>
      <c r="C1834" t="str">
        <f>IF($B1834="","",SUMIFS(dAmt,dCust,$B1834,dPer,"&gt;="&amp;pyFrom,dPer,"&lt;="&amp;pyTo,dAmt,"&gt;-1E+300",dFlt1,critFlt1,dFlt2,critFlt2,dFlt3,critFlt3))</f>
        <v/>
      </c>
      <c r="D1834" t="str">
        <f>IF($B1834="","",SUMIFS(dAmt,dCust,$B1834,dPer,"&gt;="&amp;cyFrom,dPer,"&lt;="&amp;cyTo,dAmt,"&gt;-1E+300",dFlt1,critFlt1,dFlt2,critFlt2,dFlt3,critFlt3))</f>
        <v/>
      </c>
      <c r="E1834" t="str">
        <f>IF($B1834="","",SUMIFS(dQty,dCust,$B1834,dPer,"&gt;="&amp;pyFrom,dPer,"&lt;="&amp;pyTo,dQty,"&gt;-1E+300",dFlt1,critFlt1,dFlt2,critFlt2,dFlt3,critFlt3))</f>
        <v/>
      </c>
      <c r="F1834" t="str">
        <f>IF($B1834="","",SUMIFS(dQty,dCust,$B1834,dPer,"&gt;="&amp;cyFrom,dPer,"&lt;="&amp;cyTo,dQty,"&gt;-1E+300",dFlt1,critFlt1,dFlt2,critFlt2,dFlt3,critFlt3))</f>
        <v/>
      </c>
      <c r="G1834">
        <f>IF($B1834="",0,IFERROR(IF(OR(C1834&lt;&gt;0,D1834&lt;&gt;0,E1834&lt;&gt;0,F1834&lt;&gt;0),1,0),1))</f>
        <v>0</v>
      </c>
      <c r="H1834" t="str">
        <f>IF(OR(G1834=0,E1834=0),"",C1834/E1834)</f>
        <v/>
      </c>
      <c r="I1834" t="str">
        <f>IF(OR(G1834=0,F1834=0),"",D1834/F1834)</f>
        <v/>
      </c>
      <c r="J1834" t="str">
        <f>IF(OR(H1834="",I1834=""),"",IF(H1834=0,"",I1834/H1834-1))</f>
        <v/>
      </c>
      <c r="K1834" t="str">
        <f>IF($B1834="","",IFERROR(IF(G1834=0,-2E+300,CHOOSE(sortIdx,ROUND(D1834,0),IF(J1834="",-1E+300,ROUND(-J1834,6)),IF(J1834="",-1E+300,ROUND(J1834,6)))),-1.5E+300))</f>
        <v/>
      </c>
      <c r="L1834" t="str">
        <f>IF(K1834="","",RANK(K1834,$K$2:$K$3001,0)+COUNTIF($K$2:K1834,K1834)-1)</f>
        <v/>
      </c>
    </row>
    <row r="1835">
      <c r="B1835" t="str">
        <f>IFERROR(IF(A1835="","","="&amp;SUBSTITUTE(SUBSTITUTE(SUBSTITUTE(A1835,"~","~~"),"*","~*"),"?","~?")),"")</f>
        <v/>
      </c>
      <c r="C1835" t="str">
        <f>IF($B1835="","",SUMIFS(dAmt,dCust,$B1835,dPer,"&gt;="&amp;pyFrom,dPer,"&lt;="&amp;pyTo,dAmt,"&gt;-1E+300",dFlt1,critFlt1,dFlt2,critFlt2,dFlt3,critFlt3))</f>
        <v/>
      </c>
      <c r="D1835" t="str">
        <f>IF($B1835="","",SUMIFS(dAmt,dCust,$B1835,dPer,"&gt;="&amp;cyFrom,dPer,"&lt;="&amp;cyTo,dAmt,"&gt;-1E+300",dFlt1,critFlt1,dFlt2,critFlt2,dFlt3,critFlt3))</f>
        <v/>
      </c>
      <c r="E1835" t="str">
        <f>IF($B1835="","",SUMIFS(dQty,dCust,$B1835,dPer,"&gt;="&amp;pyFrom,dPer,"&lt;="&amp;pyTo,dQty,"&gt;-1E+300",dFlt1,critFlt1,dFlt2,critFlt2,dFlt3,critFlt3))</f>
        <v/>
      </c>
      <c r="F1835" t="str">
        <f>IF($B1835="","",SUMIFS(dQty,dCust,$B1835,dPer,"&gt;="&amp;cyFrom,dPer,"&lt;="&amp;cyTo,dQty,"&gt;-1E+300",dFlt1,critFlt1,dFlt2,critFlt2,dFlt3,critFlt3))</f>
        <v/>
      </c>
      <c r="G1835">
        <f>IF($B1835="",0,IFERROR(IF(OR(C1835&lt;&gt;0,D1835&lt;&gt;0,E1835&lt;&gt;0,F1835&lt;&gt;0),1,0),1))</f>
        <v>0</v>
      </c>
      <c r="H1835" t="str">
        <f>IF(OR(G1835=0,E1835=0),"",C1835/E1835)</f>
        <v/>
      </c>
      <c r="I1835" t="str">
        <f>IF(OR(G1835=0,F1835=0),"",D1835/F1835)</f>
        <v/>
      </c>
      <c r="J1835" t="str">
        <f>IF(OR(H1835="",I1835=""),"",IF(H1835=0,"",I1835/H1835-1))</f>
        <v/>
      </c>
      <c r="K1835" t="str">
        <f>IF($B1835="","",IFERROR(IF(G1835=0,-2E+300,CHOOSE(sortIdx,ROUND(D1835,0),IF(J1835="",-1E+300,ROUND(-J1835,6)),IF(J1835="",-1E+300,ROUND(J1835,6)))),-1.5E+300))</f>
        <v/>
      </c>
      <c r="L1835" t="str">
        <f>IF(K1835="","",RANK(K1835,$K$2:$K$3001,0)+COUNTIF($K$2:K1835,K1835)-1)</f>
        <v/>
      </c>
    </row>
    <row r="1836">
      <c r="B1836" t="str">
        <f>IFERROR(IF(A1836="","","="&amp;SUBSTITUTE(SUBSTITUTE(SUBSTITUTE(A1836,"~","~~"),"*","~*"),"?","~?")),"")</f>
        <v/>
      </c>
      <c r="C1836" t="str">
        <f>IF($B1836="","",SUMIFS(dAmt,dCust,$B1836,dPer,"&gt;="&amp;pyFrom,dPer,"&lt;="&amp;pyTo,dAmt,"&gt;-1E+300",dFlt1,critFlt1,dFlt2,critFlt2,dFlt3,critFlt3))</f>
        <v/>
      </c>
      <c r="D1836" t="str">
        <f>IF($B1836="","",SUMIFS(dAmt,dCust,$B1836,dPer,"&gt;="&amp;cyFrom,dPer,"&lt;="&amp;cyTo,dAmt,"&gt;-1E+300",dFlt1,critFlt1,dFlt2,critFlt2,dFlt3,critFlt3))</f>
        <v/>
      </c>
      <c r="E1836" t="str">
        <f>IF($B1836="","",SUMIFS(dQty,dCust,$B1836,dPer,"&gt;="&amp;pyFrom,dPer,"&lt;="&amp;pyTo,dQty,"&gt;-1E+300",dFlt1,critFlt1,dFlt2,critFlt2,dFlt3,critFlt3))</f>
        <v/>
      </c>
      <c r="F1836" t="str">
        <f>IF($B1836="","",SUMIFS(dQty,dCust,$B1836,dPer,"&gt;="&amp;cyFrom,dPer,"&lt;="&amp;cyTo,dQty,"&gt;-1E+300",dFlt1,critFlt1,dFlt2,critFlt2,dFlt3,critFlt3))</f>
        <v/>
      </c>
      <c r="G1836">
        <f>IF($B1836="",0,IFERROR(IF(OR(C1836&lt;&gt;0,D1836&lt;&gt;0,E1836&lt;&gt;0,F1836&lt;&gt;0),1,0),1))</f>
        <v>0</v>
      </c>
      <c r="H1836" t="str">
        <f>IF(OR(G1836=0,E1836=0),"",C1836/E1836)</f>
        <v/>
      </c>
      <c r="I1836" t="str">
        <f>IF(OR(G1836=0,F1836=0),"",D1836/F1836)</f>
        <v/>
      </c>
      <c r="J1836" t="str">
        <f>IF(OR(H1836="",I1836=""),"",IF(H1836=0,"",I1836/H1836-1))</f>
        <v/>
      </c>
      <c r="K1836" t="str">
        <f>IF($B1836="","",IFERROR(IF(G1836=0,-2E+300,CHOOSE(sortIdx,ROUND(D1836,0),IF(J1836="",-1E+300,ROUND(-J1836,6)),IF(J1836="",-1E+300,ROUND(J1836,6)))),-1.5E+300))</f>
        <v/>
      </c>
      <c r="L1836" t="str">
        <f>IF(K1836="","",RANK(K1836,$K$2:$K$3001,0)+COUNTIF($K$2:K1836,K1836)-1)</f>
        <v/>
      </c>
    </row>
    <row r="1837">
      <c r="B1837" t="str">
        <f>IFERROR(IF(A1837="","","="&amp;SUBSTITUTE(SUBSTITUTE(SUBSTITUTE(A1837,"~","~~"),"*","~*"),"?","~?")),"")</f>
        <v/>
      </c>
      <c r="C1837" t="str">
        <f>IF($B1837="","",SUMIFS(dAmt,dCust,$B1837,dPer,"&gt;="&amp;pyFrom,dPer,"&lt;="&amp;pyTo,dAmt,"&gt;-1E+300",dFlt1,critFlt1,dFlt2,critFlt2,dFlt3,critFlt3))</f>
        <v/>
      </c>
      <c r="D1837" t="str">
        <f>IF($B1837="","",SUMIFS(dAmt,dCust,$B1837,dPer,"&gt;="&amp;cyFrom,dPer,"&lt;="&amp;cyTo,dAmt,"&gt;-1E+300",dFlt1,critFlt1,dFlt2,critFlt2,dFlt3,critFlt3))</f>
        <v/>
      </c>
      <c r="E1837" t="str">
        <f>IF($B1837="","",SUMIFS(dQty,dCust,$B1837,dPer,"&gt;="&amp;pyFrom,dPer,"&lt;="&amp;pyTo,dQty,"&gt;-1E+300",dFlt1,critFlt1,dFlt2,critFlt2,dFlt3,critFlt3))</f>
        <v/>
      </c>
      <c r="F1837" t="str">
        <f>IF($B1837="","",SUMIFS(dQty,dCust,$B1837,dPer,"&gt;="&amp;cyFrom,dPer,"&lt;="&amp;cyTo,dQty,"&gt;-1E+300",dFlt1,critFlt1,dFlt2,critFlt2,dFlt3,critFlt3))</f>
        <v/>
      </c>
      <c r="G1837">
        <f>IF($B1837="",0,IFERROR(IF(OR(C1837&lt;&gt;0,D1837&lt;&gt;0,E1837&lt;&gt;0,F1837&lt;&gt;0),1,0),1))</f>
        <v>0</v>
      </c>
      <c r="H1837" t="str">
        <f>IF(OR(G1837=0,E1837=0),"",C1837/E1837)</f>
        <v/>
      </c>
      <c r="I1837" t="str">
        <f>IF(OR(G1837=0,F1837=0),"",D1837/F1837)</f>
        <v/>
      </c>
      <c r="J1837" t="str">
        <f>IF(OR(H1837="",I1837=""),"",IF(H1837=0,"",I1837/H1837-1))</f>
        <v/>
      </c>
      <c r="K1837" t="str">
        <f>IF($B1837="","",IFERROR(IF(G1837=0,-2E+300,CHOOSE(sortIdx,ROUND(D1837,0),IF(J1837="",-1E+300,ROUND(-J1837,6)),IF(J1837="",-1E+300,ROUND(J1837,6)))),-1.5E+300))</f>
        <v/>
      </c>
      <c r="L1837" t="str">
        <f>IF(K1837="","",RANK(K1837,$K$2:$K$3001,0)+COUNTIF($K$2:K1837,K1837)-1)</f>
        <v/>
      </c>
    </row>
    <row r="1838">
      <c r="B1838" t="str">
        <f>IFERROR(IF(A1838="","","="&amp;SUBSTITUTE(SUBSTITUTE(SUBSTITUTE(A1838,"~","~~"),"*","~*"),"?","~?")),"")</f>
        <v/>
      </c>
      <c r="C1838" t="str">
        <f>IF($B1838="","",SUMIFS(dAmt,dCust,$B1838,dPer,"&gt;="&amp;pyFrom,dPer,"&lt;="&amp;pyTo,dAmt,"&gt;-1E+300",dFlt1,critFlt1,dFlt2,critFlt2,dFlt3,critFlt3))</f>
        <v/>
      </c>
      <c r="D1838" t="str">
        <f>IF($B1838="","",SUMIFS(dAmt,dCust,$B1838,dPer,"&gt;="&amp;cyFrom,dPer,"&lt;="&amp;cyTo,dAmt,"&gt;-1E+300",dFlt1,critFlt1,dFlt2,critFlt2,dFlt3,critFlt3))</f>
        <v/>
      </c>
      <c r="E1838" t="str">
        <f>IF($B1838="","",SUMIFS(dQty,dCust,$B1838,dPer,"&gt;="&amp;pyFrom,dPer,"&lt;="&amp;pyTo,dQty,"&gt;-1E+300",dFlt1,critFlt1,dFlt2,critFlt2,dFlt3,critFlt3))</f>
        <v/>
      </c>
      <c r="F1838" t="str">
        <f>IF($B1838="","",SUMIFS(dQty,dCust,$B1838,dPer,"&gt;="&amp;cyFrom,dPer,"&lt;="&amp;cyTo,dQty,"&gt;-1E+300",dFlt1,critFlt1,dFlt2,critFlt2,dFlt3,critFlt3))</f>
        <v/>
      </c>
      <c r="G1838">
        <f>IF($B1838="",0,IFERROR(IF(OR(C1838&lt;&gt;0,D1838&lt;&gt;0,E1838&lt;&gt;0,F1838&lt;&gt;0),1,0),1))</f>
        <v>0</v>
      </c>
      <c r="H1838" t="str">
        <f>IF(OR(G1838=0,E1838=0),"",C1838/E1838)</f>
        <v/>
      </c>
      <c r="I1838" t="str">
        <f>IF(OR(G1838=0,F1838=0),"",D1838/F1838)</f>
        <v/>
      </c>
      <c r="J1838" t="str">
        <f>IF(OR(H1838="",I1838=""),"",IF(H1838=0,"",I1838/H1838-1))</f>
        <v/>
      </c>
      <c r="K1838" t="str">
        <f>IF($B1838="","",IFERROR(IF(G1838=0,-2E+300,CHOOSE(sortIdx,ROUND(D1838,0),IF(J1838="",-1E+300,ROUND(-J1838,6)),IF(J1838="",-1E+300,ROUND(J1838,6)))),-1.5E+300))</f>
        <v/>
      </c>
      <c r="L1838" t="str">
        <f>IF(K1838="","",RANK(K1838,$K$2:$K$3001,0)+COUNTIF($K$2:K1838,K1838)-1)</f>
        <v/>
      </c>
    </row>
    <row r="1839">
      <c r="B1839" t="str">
        <f>IFERROR(IF(A1839="","","="&amp;SUBSTITUTE(SUBSTITUTE(SUBSTITUTE(A1839,"~","~~"),"*","~*"),"?","~?")),"")</f>
        <v/>
      </c>
      <c r="C1839" t="str">
        <f>IF($B1839="","",SUMIFS(dAmt,dCust,$B1839,dPer,"&gt;="&amp;pyFrom,dPer,"&lt;="&amp;pyTo,dAmt,"&gt;-1E+300",dFlt1,critFlt1,dFlt2,critFlt2,dFlt3,critFlt3))</f>
        <v/>
      </c>
      <c r="D1839" t="str">
        <f>IF($B1839="","",SUMIFS(dAmt,dCust,$B1839,dPer,"&gt;="&amp;cyFrom,dPer,"&lt;="&amp;cyTo,dAmt,"&gt;-1E+300",dFlt1,critFlt1,dFlt2,critFlt2,dFlt3,critFlt3))</f>
        <v/>
      </c>
      <c r="E1839" t="str">
        <f>IF($B1839="","",SUMIFS(dQty,dCust,$B1839,dPer,"&gt;="&amp;pyFrom,dPer,"&lt;="&amp;pyTo,dQty,"&gt;-1E+300",dFlt1,critFlt1,dFlt2,critFlt2,dFlt3,critFlt3))</f>
        <v/>
      </c>
      <c r="F1839" t="str">
        <f>IF($B1839="","",SUMIFS(dQty,dCust,$B1839,dPer,"&gt;="&amp;cyFrom,dPer,"&lt;="&amp;cyTo,dQty,"&gt;-1E+300",dFlt1,critFlt1,dFlt2,critFlt2,dFlt3,critFlt3))</f>
        <v/>
      </c>
      <c r="G1839">
        <f>IF($B1839="",0,IFERROR(IF(OR(C1839&lt;&gt;0,D1839&lt;&gt;0,E1839&lt;&gt;0,F1839&lt;&gt;0),1,0),1))</f>
        <v>0</v>
      </c>
      <c r="H1839" t="str">
        <f>IF(OR(G1839=0,E1839=0),"",C1839/E1839)</f>
        <v/>
      </c>
      <c r="I1839" t="str">
        <f>IF(OR(G1839=0,F1839=0),"",D1839/F1839)</f>
        <v/>
      </c>
      <c r="J1839" t="str">
        <f>IF(OR(H1839="",I1839=""),"",IF(H1839=0,"",I1839/H1839-1))</f>
        <v/>
      </c>
      <c r="K1839" t="str">
        <f>IF($B1839="","",IFERROR(IF(G1839=0,-2E+300,CHOOSE(sortIdx,ROUND(D1839,0),IF(J1839="",-1E+300,ROUND(-J1839,6)),IF(J1839="",-1E+300,ROUND(J1839,6)))),-1.5E+300))</f>
        <v/>
      </c>
      <c r="L1839" t="str">
        <f>IF(K1839="","",RANK(K1839,$K$2:$K$3001,0)+COUNTIF($K$2:K1839,K1839)-1)</f>
        <v/>
      </c>
    </row>
    <row r="1840">
      <c r="B1840" t="str">
        <f>IFERROR(IF(A1840="","","="&amp;SUBSTITUTE(SUBSTITUTE(SUBSTITUTE(A1840,"~","~~"),"*","~*"),"?","~?")),"")</f>
        <v/>
      </c>
      <c r="C1840" t="str">
        <f>IF($B1840="","",SUMIFS(dAmt,dCust,$B1840,dPer,"&gt;="&amp;pyFrom,dPer,"&lt;="&amp;pyTo,dAmt,"&gt;-1E+300",dFlt1,critFlt1,dFlt2,critFlt2,dFlt3,critFlt3))</f>
        <v/>
      </c>
      <c r="D1840" t="str">
        <f>IF($B1840="","",SUMIFS(dAmt,dCust,$B1840,dPer,"&gt;="&amp;cyFrom,dPer,"&lt;="&amp;cyTo,dAmt,"&gt;-1E+300",dFlt1,critFlt1,dFlt2,critFlt2,dFlt3,critFlt3))</f>
        <v/>
      </c>
      <c r="E1840" t="str">
        <f>IF($B1840="","",SUMIFS(dQty,dCust,$B1840,dPer,"&gt;="&amp;pyFrom,dPer,"&lt;="&amp;pyTo,dQty,"&gt;-1E+300",dFlt1,critFlt1,dFlt2,critFlt2,dFlt3,critFlt3))</f>
        <v/>
      </c>
      <c r="F1840" t="str">
        <f>IF($B1840="","",SUMIFS(dQty,dCust,$B1840,dPer,"&gt;="&amp;cyFrom,dPer,"&lt;="&amp;cyTo,dQty,"&gt;-1E+300",dFlt1,critFlt1,dFlt2,critFlt2,dFlt3,critFlt3))</f>
        <v/>
      </c>
      <c r="G1840">
        <f>IF($B1840="",0,IFERROR(IF(OR(C1840&lt;&gt;0,D1840&lt;&gt;0,E1840&lt;&gt;0,F1840&lt;&gt;0),1,0),1))</f>
        <v>0</v>
      </c>
      <c r="H1840" t="str">
        <f>IF(OR(G1840=0,E1840=0),"",C1840/E1840)</f>
        <v/>
      </c>
      <c r="I1840" t="str">
        <f>IF(OR(G1840=0,F1840=0),"",D1840/F1840)</f>
        <v/>
      </c>
      <c r="J1840" t="str">
        <f>IF(OR(H1840="",I1840=""),"",IF(H1840=0,"",I1840/H1840-1))</f>
        <v/>
      </c>
      <c r="K1840" t="str">
        <f>IF($B1840="","",IFERROR(IF(G1840=0,-2E+300,CHOOSE(sortIdx,ROUND(D1840,0),IF(J1840="",-1E+300,ROUND(-J1840,6)),IF(J1840="",-1E+300,ROUND(J1840,6)))),-1.5E+300))</f>
        <v/>
      </c>
      <c r="L1840" t="str">
        <f>IF(K1840="","",RANK(K1840,$K$2:$K$3001,0)+COUNTIF($K$2:K1840,K1840)-1)</f>
        <v/>
      </c>
    </row>
    <row r="1841">
      <c r="B1841" t="str">
        <f>IFERROR(IF(A1841="","","="&amp;SUBSTITUTE(SUBSTITUTE(SUBSTITUTE(A1841,"~","~~"),"*","~*"),"?","~?")),"")</f>
        <v/>
      </c>
      <c r="C1841" t="str">
        <f>IF($B1841="","",SUMIFS(dAmt,dCust,$B1841,dPer,"&gt;="&amp;pyFrom,dPer,"&lt;="&amp;pyTo,dAmt,"&gt;-1E+300",dFlt1,critFlt1,dFlt2,critFlt2,dFlt3,critFlt3))</f>
        <v/>
      </c>
      <c r="D1841" t="str">
        <f>IF($B1841="","",SUMIFS(dAmt,dCust,$B1841,dPer,"&gt;="&amp;cyFrom,dPer,"&lt;="&amp;cyTo,dAmt,"&gt;-1E+300",dFlt1,critFlt1,dFlt2,critFlt2,dFlt3,critFlt3))</f>
        <v/>
      </c>
      <c r="E1841" t="str">
        <f>IF($B1841="","",SUMIFS(dQty,dCust,$B1841,dPer,"&gt;="&amp;pyFrom,dPer,"&lt;="&amp;pyTo,dQty,"&gt;-1E+300",dFlt1,critFlt1,dFlt2,critFlt2,dFlt3,critFlt3))</f>
        <v/>
      </c>
      <c r="F1841" t="str">
        <f>IF($B1841="","",SUMIFS(dQty,dCust,$B1841,dPer,"&gt;="&amp;cyFrom,dPer,"&lt;="&amp;cyTo,dQty,"&gt;-1E+300",dFlt1,critFlt1,dFlt2,critFlt2,dFlt3,critFlt3))</f>
        <v/>
      </c>
      <c r="G1841">
        <f>IF($B1841="",0,IFERROR(IF(OR(C1841&lt;&gt;0,D1841&lt;&gt;0,E1841&lt;&gt;0,F1841&lt;&gt;0),1,0),1))</f>
        <v>0</v>
      </c>
      <c r="H1841" t="str">
        <f>IF(OR(G1841=0,E1841=0),"",C1841/E1841)</f>
        <v/>
      </c>
      <c r="I1841" t="str">
        <f>IF(OR(G1841=0,F1841=0),"",D1841/F1841)</f>
        <v/>
      </c>
      <c r="J1841" t="str">
        <f>IF(OR(H1841="",I1841=""),"",IF(H1841=0,"",I1841/H1841-1))</f>
        <v/>
      </c>
      <c r="K1841" t="str">
        <f>IF($B1841="","",IFERROR(IF(G1841=0,-2E+300,CHOOSE(sortIdx,ROUND(D1841,0),IF(J1841="",-1E+300,ROUND(-J1841,6)),IF(J1841="",-1E+300,ROUND(J1841,6)))),-1.5E+300))</f>
        <v/>
      </c>
      <c r="L1841" t="str">
        <f>IF(K1841="","",RANK(K1841,$K$2:$K$3001,0)+COUNTIF($K$2:K1841,K1841)-1)</f>
        <v/>
      </c>
    </row>
    <row r="1842">
      <c r="B1842" t="str">
        <f>IFERROR(IF(A1842="","","="&amp;SUBSTITUTE(SUBSTITUTE(SUBSTITUTE(A1842,"~","~~"),"*","~*"),"?","~?")),"")</f>
        <v/>
      </c>
      <c r="C1842" t="str">
        <f>IF($B1842="","",SUMIFS(dAmt,dCust,$B1842,dPer,"&gt;="&amp;pyFrom,dPer,"&lt;="&amp;pyTo,dAmt,"&gt;-1E+300",dFlt1,critFlt1,dFlt2,critFlt2,dFlt3,critFlt3))</f>
        <v/>
      </c>
      <c r="D1842" t="str">
        <f>IF($B1842="","",SUMIFS(dAmt,dCust,$B1842,dPer,"&gt;="&amp;cyFrom,dPer,"&lt;="&amp;cyTo,dAmt,"&gt;-1E+300",dFlt1,critFlt1,dFlt2,critFlt2,dFlt3,critFlt3))</f>
        <v/>
      </c>
      <c r="E1842" t="str">
        <f>IF($B1842="","",SUMIFS(dQty,dCust,$B1842,dPer,"&gt;="&amp;pyFrom,dPer,"&lt;="&amp;pyTo,dQty,"&gt;-1E+300",dFlt1,critFlt1,dFlt2,critFlt2,dFlt3,critFlt3))</f>
        <v/>
      </c>
      <c r="F1842" t="str">
        <f>IF($B1842="","",SUMIFS(dQty,dCust,$B1842,dPer,"&gt;="&amp;cyFrom,dPer,"&lt;="&amp;cyTo,dQty,"&gt;-1E+300",dFlt1,critFlt1,dFlt2,critFlt2,dFlt3,critFlt3))</f>
        <v/>
      </c>
      <c r="G1842">
        <f>IF($B1842="",0,IFERROR(IF(OR(C1842&lt;&gt;0,D1842&lt;&gt;0,E1842&lt;&gt;0,F1842&lt;&gt;0),1,0),1))</f>
        <v>0</v>
      </c>
      <c r="H1842" t="str">
        <f>IF(OR(G1842=0,E1842=0),"",C1842/E1842)</f>
        <v/>
      </c>
      <c r="I1842" t="str">
        <f>IF(OR(G1842=0,F1842=0),"",D1842/F1842)</f>
        <v/>
      </c>
      <c r="J1842" t="str">
        <f>IF(OR(H1842="",I1842=""),"",IF(H1842=0,"",I1842/H1842-1))</f>
        <v/>
      </c>
      <c r="K1842" t="str">
        <f>IF($B1842="","",IFERROR(IF(G1842=0,-2E+300,CHOOSE(sortIdx,ROUND(D1842,0),IF(J1842="",-1E+300,ROUND(-J1842,6)),IF(J1842="",-1E+300,ROUND(J1842,6)))),-1.5E+300))</f>
        <v/>
      </c>
      <c r="L1842" t="str">
        <f>IF(K1842="","",RANK(K1842,$K$2:$K$3001,0)+COUNTIF($K$2:K1842,K1842)-1)</f>
        <v/>
      </c>
    </row>
    <row r="1843">
      <c r="B1843" t="str">
        <f>IFERROR(IF(A1843="","","="&amp;SUBSTITUTE(SUBSTITUTE(SUBSTITUTE(A1843,"~","~~"),"*","~*"),"?","~?")),"")</f>
        <v/>
      </c>
      <c r="C1843" t="str">
        <f>IF($B1843="","",SUMIFS(dAmt,dCust,$B1843,dPer,"&gt;="&amp;pyFrom,dPer,"&lt;="&amp;pyTo,dAmt,"&gt;-1E+300",dFlt1,critFlt1,dFlt2,critFlt2,dFlt3,critFlt3))</f>
        <v/>
      </c>
      <c r="D1843" t="str">
        <f>IF($B1843="","",SUMIFS(dAmt,dCust,$B1843,dPer,"&gt;="&amp;cyFrom,dPer,"&lt;="&amp;cyTo,dAmt,"&gt;-1E+300",dFlt1,critFlt1,dFlt2,critFlt2,dFlt3,critFlt3))</f>
        <v/>
      </c>
      <c r="E1843" t="str">
        <f>IF($B1843="","",SUMIFS(dQty,dCust,$B1843,dPer,"&gt;="&amp;pyFrom,dPer,"&lt;="&amp;pyTo,dQty,"&gt;-1E+300",dFlt1,critFlt1,dFlt2,critFlt2,dFlt3,critFlt3))</f>
        <v/>
      </c>
      <c r="F1843" t="str">
        <f>IF($B1843="","",SUMIFS(dQty,dCust,$B1843,dPer,"&gt;="&amp;cyFrom,dPer,"&lt;="&amp;cyTo,dQty,"&gt;-1E+300",dFlt1,critFlt1,dFlt2,critFlt2,dFlt3,critFlt3))</f>
        <v/>
      </c>
      <c r="G1843">
        <f>IF($B1843="",0,IFERROR(IF(OR(C1843&lt;&gt;0,D1843&lt;&gt;0,E1843&lt;&gt;0,F1843&lt;&gt;0),1,0),1))</f>
        <v>0</v>
      </c>
      <c r="H1843" t="str">
        <f>IF(OR(G1843=0,E1843=0),"",C1843/E1843)</f>
        <v/>
      </c>
      <c r="I1843" t="str">
        <f>IF(OR(G1843=0,F1843=0),"",D1843/F1843)</f>
        <v/>
      </c>
      <c r="J1843" t="str">
        <f>IF(OR(H1843="",I1843=""),"",IF(H1843=0,"",I1843/H1843-1))</f>
        <v/>
      </c>
      <c r="K1843" t="str">
        <f>IF($B1843="","",IFERROR(IF(G1843=0,-2E+300,CHOOSE(sortIdx,ROUND(D1843,0),IF(J1843="",-1E+300,ROUND(-J1843,6)),IF(J1843="",-1E+300,ROUND(J1843,6)))),-1.5E+300))</f>
        <v/>
      </c>
      <c r="L1843" t="str">
        <f>IF(K1843="","",RANK(K1843,$K$2:$K$3001,0)+COUNTIF($K$2:K1843,K1843)-1)</f>
        <v/>
      </c>
    </row>
    <row r="1844">
      <c r="B1844" t="str">
        <f>IFERROR(IF(A1844="","","="&amp;SUBSTITUTE(SUBSTITUTE(SUBSTITUTE(A1844,"~","~~"),"*","~*"),"?","~?")),"")</f>
        <v/>
      </c>
      <c r="C1844" t="str">
        <f>IF($B1844="","",SUMIFS(dAmt,dCust,$B1844,dPer,"&gt;="&amp;pyFrom,dPer,"&lt;="&amp;pyTo,dAmt,"&gt;-1E+300",dFlt1,critFlt1,dFlt2,critFlt2,dFlt3,critFlt3))</f>
        <v/>
      </c>
      <c r="D1844" t="str">
        <f>IF($B1844="","",SUMIFS(dAmt,dCust,$B1844,dPer,"&gt;="&amp;cyFrom,dPer,"&lt;="&amp;cyTo,dAmt,"&gt;-1E+300",dFlt1,critFlt1,dFlt2,critFlt2,dFlt3,critFlt3))</f>
        <v/>
      </c>
      <c r="E1844" t="str">
        <f>IF($B1844="","",SUMIFS(dQty,dCust,$B1844,dPer,"&gt;="&amp;pyFrom,dPer,"&lt;="&amp;pyTo,dQty,"&gt;-1E+300",dFlt1,critFlt1,dFlt2,critFlt2,dFlt3,critFlt3))</f>
        <v/>
      </c>
      <c r="F1844" t="str">
        <f>IF($B1844="","",SUMIFS(dQty,dCust,$B1844,dPer,"&gt;="&amp;cyFrom,dPer,"&lt;="&amp;cyTo,dQty,"&gt;-1E+300",dFlt1,critFlt1,dFlt2,critFlt2,dFlt3,critFlt3))</f>
        <v/>
      </c>
      <c r="G1844">
        <f>IF($B1844="",0,IFERROR(IF(OR(C1844&lt;&gt;0,D1844&lt;&gt;0,E1844&lt;&gt;0,F1844&lt;&gt;0),1,0),1))</f>
        <v>0</v>
      </c>
      <c r="H1844" t="str">
        <f>IF(OR(G1844=0,E1844=0),"",C1844/E1844)</f>
        <v/>
      </c>
      <c r="I1844" t="str">
        <f>IF(OR(G1844=0,F1844=0),"",D1844/F1844)</f>
        <v/>
      </c>
      <c r="J1844" t="str">
        <f>IF(OR(H1844="",I1844=""),"",IF(H1844=0,"",I1844/H1844-1))</f>
        <v/>
      </c>
      <c r="K1844" t="str">
        <f>IF($B1844="","",IFERROR(IF(G1844=0,-2E+300,CHOOSE(sortIdx,ROUND(D1844,0),IF(J1844="",-1E+300,ROUND(-J1844,6)),IF(J1844="",-1E+300,ROUND(J1844,6)))),-1.5E+300))</f>
        <v/>
      </c>
      <c r="L1844" t="str">
        <f>IF(K1844="","",RANK(K1844,$K$2:$K$3001,0)+COUNTIF($K$2:K1844,K1844)-1)</f>
        <v/>
      </c>
    </row>
    <row r="1845">
      <c r="B1845" t="str">
        <f>IFERROR(IF(A1845="","","="&amp;SUBSTITUTE(SUBSTITUTE(SUBSTITUTE(A1845,"~","~~"),"*","~*"),"?","~?")),"")</f>
        <v/>
      </c>
      <c r="C1845" t="str">
        <f>IF($B1845="","",SUMIFS(dAmt,dCust,$B1845,dPer,"&gt;="&amp;pyFrom,dPer,"&lt;="&amp;pyTo,dAmt,"&gt;-1E+300",dFlt1,critFlt1,dFlt2,critFlt2,dFlt3,critFlt3))</f>
        <v/>
      </c>
      <c r="D1845" t="str">
        <f>IF($B1845="","",SUMIFS(dAmt,dCust,$B1845,dPer,"&gt;="&amp;cyFrom,dPer,"&lt;="&amp;cyTo,dAmt,"&gt;-1E+300",dFlt1,critFlt1,dFlt2,critFlt2,dFlt3,critFlt3))</f>
        <v/>
      </c>
      <c r="E1845" t="str">
        <f>IF($B1845="","",SUMIFS(dQty,dCust,$B1845,dPer,"&gt;="&amp;pyFrom,dPer,"&lt;="&amp;pyTo,dQty,"&gt;-1E+300",dFlt1,critFlt1,dFlt2,critFlt2,dFlt3,critFlt3))</f>
        <v/>
      </c>
      <c r="F1845" t="str">
        <f>IF($B1845="","",SUMIFS(dQty,dCust,$B1845,dPer,"&gt;="&amp;cyFrom,dPer,"&lt;="&amp;cyTo,dQty,"&gt;-1E+300",dFlt1,critFlt1,dFlt2,critFlt2,dFlt3,critFlt3))</f>
        <v/>
      </c>
      <c r="G1845">
        <f>IF($B1845="",0,IFERROR(IF(OR(C1845&lt;&gt;0,D1845&lt;&gt;0,E1845&lt;&gt;0,F1845&lt;&gt;0),1,0),1))</f>
        <v>0</v>
      </c>
      <c r="H1845" t="str">
        <f>IF(OR(G1845=0,E1845=0),"",C1845/E1845)</f>
        <v/>
      </c>
      <c r="I1845" t="str">
        <f>IF(OR(G1845=0,F1845=0),"",D1845/F1845)</f>
        <v/>
      </c>
      <c r="J1845" t="str">
        <f>IF(OR(H1845="",I1845=""),"",IF(H1845=0,"",I1845/H1845-1))</f>
        <v/>
      </c>
      <c r="K1845" t="str">
        <f>IF($B1845="","",IFERROR(IF(G1845=0,-2E+300,CHOOSE(sortIdx,ROUND(D1845,0),IF(J1845="",-1E+300,ROUND(-J1845,6)),IF(J1845="",-1E+300,ROUND(J1845,6)))),-1.5E+300))</f>
        <v/>
      </c>
      <c r="L1845" t="str">
        <f>IF(K1845="","",RANK(K1845,$K$2:$K$3001,0)+COUNTIF($K$2:K1845,K1845)-1)</f>
        <v/>
      </c>
    </row>
    <row r="1846">
      <c r="B1846" t="str">
        <f>IFERROR(IF(A1846="","","="&amp;SUBSTITUTE(SUBSTITUTE(SUBSTITUTE(A1846,"~","~~"),"*","~*"),"?","~?")),"")</f>
        <v/>
      </c>
      <c r="C1846" t="str">
        <f>IF($B1846="","",SUMIFS(dAmt,dCust,$B1846,dPer,"&gt;="&amp;pyFrom,dPer,"&lt;="&amp;pyTo,dAmt,"&gt;-1E+300",dFlt1,critFlt1,dFlt2,critFlt2,dFlt3,critFlt3))</f>
        <v/>
      </c>
      <c r="D1846" t="str">
        <f>IF($B1846="","",SUMIFS(dAmt,dCust,$B1846,dPer,"&gt;="&amp;cyFrom,dPer,"&lt;="&amp;cyTo,dAmt,"&gt;-1E+300",dFlt1,critFlt1,dFlt2,critFlt2,dFlt3,critFlt3))</f>
        <v/>
      </c>
      <c r="E1846" t="str">
        <f>IF($B1846="","",SUMIFS(dQty,dCust,$B1846,dPer,"&gt;="&amp;pyFrom,dPer,"&lt;="&amp;pyTo,dQty,"&gt;-1E+300",dFlt1,critFlt1,dFlt2,critFlt2,dFlt3,critFlt3))</f>
        <v/>
      </c>
      <c r="F1846" t="str">
        <f>IF($B1846="","",SUMIFS(dQty,dCust,$B1846,dPer,"&gt;="&amp;cyFrom,dPer,"&lt;="&amp;cyTo,dQty,"&gt;-1E+300",dFlt1,critFlt1,dFlt2,critFlt2,dFlt3,critFlt3))</f>
        <v/>
      </c>
      <c r="G1846">
        <f>IF($B1846="",0,IFERROR(IF(OR(C1846&lt;&gt;0,D1846&lt;&gt;0,E1846&lt;&gt;0,F1846&lt;&gt;0),1,0),1))</f>
        <v>0</v>
      </c>
      <c r="H1846" t="str">
        <f>IF(OR(G1846=0,E1846=0),"",C1846/E1846)</f>
        <v/>
      </c>
      <c r="I1846" t="str">
        <f>IF(OR(G1846=0,F1846=0),"",D1846/F1846)</f>
        <v/>
      </c>
      <c r="J1846" t="str">
        <f>IF(OR(H1846="",I1846=""),"",IF(H1846=0,"",I1846/H1846-1))</f>
        <v/>
      </c>
      <c r="K1846" t="str">
        <f>IF($B1846="","",IFERROR(IF(G1846=0,-2E+300,CHOOSE(sortIdx,ROUND(D1846,0),IF(J1846="",-1E+300,ROUND(-J1846,6)),IF(J1846="",-1E+300,ROUND(J1846,6)))),-1.5E+300))</f>
        <v/>
      </c>
      <c r="L1846" t="str">
        <f>IF(K1846="","",RANK(K1846,$K$2:$K$3001,0)+COUNTIF($K$2:K1846,K1846)-1)</f>
        <v/>
      </c>
    </row>
    <row r="1847">
      <c r="B1847" t="str">
        <f>IFERROR(IF(A1847="","","="&amp;SUBSTITUTE(SUBSTITUTE(SUBSTITUTE(A1847,"~","~~"),"*","~*"),"?","~?")),"")</f>
        <v/>
      </c>
      <c r="C1847" t="str">
        <f>IF($B1847="","",SUMIFS(dAmt,dCust,$B1847,dPer,"&gt;="&amp;pyFrom,dPer,"&lt;="&amp;pyTo,dAmt,"&gt;-1E+300",dFlt1,critFlt1,dFlt2,critFlt2,dFlt3,critFlt3))</f>
        <v/>
      </c>
      <c r="D1847" t="str">
        <f>IF($B1847="","",SUMIFS(dAmt,dCust,$B1847,dPer,"&gt;="&amp;cyFrom,dPer,"&lt;="&amp;cyTo,dAmt,"&gt;-1E+300",dFlt1,critFlt1,dFlt2,critFlt2,dFlt3,critFlt3))</f>
        <v/>
      </c>
      <c r="E1847" t="str">
        <f>IF($B1847="","",SUMIFS(dQty,dCust,$B1847,dPer,"&gt;="&amp;pyFrom,dPer,"&lt;="&amp;pyTo,dQty,"&gt;-1E+300",dFlt1,critFlt1,dFlt2,critFlt2,dFlt3,critFlt3))</f>
        <v/>
      </c>
      <c r="F1847" t="str">
        <f>IF($B1847="","",SUMIFS(dQty,dCust,$B1847,dPer,"&gt;="&amp;cyFrom,dPer,"&lt;="&amp;cyTo,dQty,"&gt;-1E+300",dFlt1,critFlt1,dFlt2,critFlt2,dFlt3,critFlt3))</f>
        <v/>
      </c>
      <c r="G1847">
        <f>IF($B1847="",0,IFERROR(IF(OR(C1847&lt;&gt;0,D1847&lt;&gt;0,E1847&lt;&gt;0,F1847&lt;&gt;0),1,0),1))</f>
        <v>0</v>
      </c>
      <c r="H1847" t="str">
        <f>IF(OR(G1847=0,E1847=0),"",C1847/E1847)</f>
        <v/>
      </c>
      <c r="I1847" t="str">
        <f>IF(OR(G1847=0,F1847=0),"",D1847/F1847)</f>
        <v/>
      </c>
      <c r="J1847" t="str">
        <f>IF(OR(H1847="",I1847=""),"",IF(H1847=0,"",I1847/H1847-1))</f>
        <v/>
      </c>
      <c r="K1847" t="str">
        <f>IF($B1847="","",IFERROR(IF(G1847=0,-2E+300,CHOOSE(sortIdx,ROUND(D1847,0),IF(J1847="",-1E+300,ROUND(-J1847,6)),IF(J1847="",-1E+300,ROUND(J1847,6)))),-1.5E+300))</f>
        <v/>
      </c>
      <c r="L1847" t="str">
        <f>IF(K1847="","",RANK(K1847,$K$2:$K$3001,0)+COUNTIF($K$2:K1847,K1847)-1)</f>
        <v/>
      </c>
    </row>
    <row r="1848">
      <c r="B1848" t="str">
        <f>IFERROR(IF(A1848="","","="&amp;SUBSTITUTE(SUBSTITUTE(SUBSTITUTE(A1848,"~","~~"),"*","~*"),"?","~?")),"")</f>
        <v/>
      </c>
      <c r="C1848" t="str">
        <f>IF($B1848="","",SUMIFS(dAmt,dCust,$B1848,dPer,"&gt;="&amp;pyFrom,dPer,"&lt;="&amp;pyTo,dAmt,"&gt;-1E+300",dFlt1,critFlt1,dFlt2,critFlt2,dFlt3,critFlt3))</f>
        <v/>
      </c>
      <c r="D1848" t="str">
        <f>IF($B1848="","",SUMIFS(dAmt,dCust,$B1848,dPer,"&gt;="&amp;cyFrom,dPer,"&lt;="&amp;cyTo,dAmt,"&gt;-1E+300",dFlt1,critFlt1,dFlt2,critFlt2,dFlt3,critFlt3))</f>
        <v/>
      </c>
      <c r="E1848" t="str">
        <f>IF($B1848="","",SUMIFS(dQty,dCust,$B1848,dPer,"&gt;="&amp;pyFrom,dPer,"&lt;="&amp;pyTo,dQty,"&gt;-1E+300",dFlt1,critFlt1,dFlt2,critFlt2,dFlt3,critFlt3))</f>
        <v/>
      </c>
      <c r="F1848" t="str">
        <f>IF($B1848="","",SUMIFS(dQty,dCust,$B1848,dPer,"&gt;="&amp;cyFrom,dPer,"&lt;="&amp;cyTo,dQty,"&gt;-1E+300",dFlt1,critFlt1,dFlt2,critFlt2,dFlt3,critFlt3))</f>
        <v/>
      </c>
      <c r="G1848">
        <f>IF($B1848="",0,IFERROR(IF(OR(C1848&lt;&gt;0,D1848&lt;&gt;0,E1848&lt;&gt;0,F1848&lt;&gt;0),1,0),1))</f>
        <v>0</v>
      </c>
      <c r="H1848" t="str">
        <f>IF(OR(G1848=0,E1848=0),"",C1848/E1848)</f>
        <v/>
      </c>
      <c r="I1848" t="str">
        <f>IF(OR(G1848=0,F1848=0),"",D1848/F1848)</f>
        <v/>
      </c>
      <c r="J1848" t="str">
        <f>IF(OR(H1848="",I1848=""),"",IF(H1848=0,"",I1848/H1848-1))</f>
        <v/>
      </c>
      <c r="K1848" t="str">
        <f>IF($B1848="","",IFERROR(IF(G1848=0,-2E+300,CHOOSE(sortIdx,ROUND(D1848,0),IF(J1848="",-1E+300,ROUND(-J1848,6)),IF(J1848="",-1E+300,ROUND(J1848,6)))),-1.5E+300))</f>
        <v/>
      </c>
      <c r="L1848" t="str">
        <f>IF(K1848="","",RANK(K1848,$K$2:$K$3001,0)+COUNTIF($K$2:K1848,K1848)-1)</f>
        <v/>
      </c>
    </row>
    <row r="1849">
      <c r="B1849" t="str">
        <f>IFERROR(IF(A1849="","","="&amp;SUBSTITUTE(SUBSTITUTE(SUBSTITUTE(A1849,"~","~~"),"*","~*"),"?","~?")),"")</f>
        <v/>
      </c>
      <c r="C1849" t="str">
        <f>IF($B1849="","",SUMIFS(dAmt,dCust,$B1849,dPer,"&gt;="&amp;pyFrom,dPer,"&lt;="&amp;pyTo,dAmt,"&gt;-1E+300",dFlt1,critFlt1,dFlt2,critFlt2,dFlt3,critFlt3))</f>
        <v/>
      </c>
      <c r="D1849" t="str">
        <f>IF($B1849="","",SUMIFS(dAmt,dCust,$B1849,dPer,"&gt;="&amp;cyFrom,dPer,"&lt;="&amp;cyTo,dAmt,"&gt;-1E+300",dFlt1,critFlt1,dFlt2,critFlt2,dFlt3,critFlt3))</f>
        <v/>
      </c>
      <c r="E1849" t="str">
        <f>IF($B1849="","",SUMIFS(dQty,dCust,$B1849,dPer,"&gt;="&amp;pyFrom,dPer,"&lt;="&amp;pyTo,dQty,"&gt;-1E+300",dFlt1,critFlt1,dFlt2,critFlt2,dFlt3,critFlt3))</f>
        <v/>
      </c>
      <c r="F1849" t="str">
        <f>IF($B1849="","",SUMIFS(dQty,dCust,$B1849,dPer,"&gt;="&amp;cyFrom,dPer,"&lt;="&amp;cyTo,dQty,"&gt;-1E+300",dFlt1,critFlt1,dFlt2,critFlt2,dFlt3,critFlt3))</f>
        <v/>
      </c>
      <c r="G1849">
        <f>IF($B1849="",0,IFERROR(IF(OR(C1849&lt;&gt;0,D1849&lt;&gt;0,E1849&lt;&gt;0,F1849&lt;&gt;0),1,0),1))</f>
        <v>0</v>
      </c>
      <c r="H1849" t="str">
        <f>IF(OR(G1849=0,E1849=0),"",C1849/E1849)</f>
        <v/>
      </c>
      <c r="I1849" t="str">
        <f>IF(OR(G1849=0,F1849=0),"",D1849/F1849)</f>
        <v/>
      </c>
      <c r="J1849" t="str">
        <f>IF(OR(H1849="",I1849=""),"",IF(H1849=0,"",I1849/H1849-1))</f>
        <v/>
      </c>
      <c r="K1849" t="str">
        <f>IF($B1849="","",IFERROR(IF(G1849=0,-2E+300,CHOOSE(sortIdx,ROUND(D1849,0),IF(J1849="",-1E+300,ROUND(-J1849,6)),IF(J1849="",-1E+300,ROUND(J1849,6)))),-1.5E+300))</f>
        <v/>
      </c>
      <c r="L1849" t="str">
        <f>IF(K1849="","",RANK(K1849,$K$2:$K$3001,0)+COUNTIF($K$2:K1849,K1849)-1)</f>
        <v/>
      </c>
    </row>
    <row r="1850">
      <c r="B1850" t="str">
        <f>IFERROR(IF(A1850="","","="&amp;SUBSTITUTE(SUBSTITUTE(SUBSTITUTE(A1850,"~","~~"),"*","~*"),"?","~?")),"")</f>
        <v/>
      </c>
      <c r="C1850" t="str">
        <f>IF($B1850="","",SUMIFS(dAmt,dCust,$B1850,dPer,"&gt;="&amp;pyFrom,dPer,"&lt;="&amp;pyTo,dAmt,"&gt;-1E+300",dFlt1,critFlt1,dFlt2,critFlt2,dFlt3,critFlt3))</f>
        <v/>
      </c>
      <c r="D1850" t="str">
        <f>IF($B1850="","",SUMIFS(dAmt,dCust,$B1850,dPer,"&gt;="&amp;cyFrom,dPer,"&lt;="&amp;cyTo,dAmt,"&gt;-1E+300",dFlt1,critFlt1,dFlt2,critFlt2,dFlt3,critFlt3))</f>
        <v/>
      </c>
      <c r="E1850" t="str">
        <f>IF($B1850="","",SUMIFS(dQty,dCust,$B1850,dPer,"&gt;="&amp;pyFrom,dPer,"&lt;="&amp;pyTo,dQty,"&gt;-1E+300",dFlt1,critFlt1,dFlt2,critFlt2,dFlt3,critFlt3))</f>
        <v/>
      </c>
      <c r="F1850" t="str">
        <f>IF($B1850="","",SUMIFS(dQty,dCust,$B1850,dPer,"&gt;="&amp;cyFrom,dPer,"&lt;="&amp;cyTo,dQty,"&gt;-1E+300",dFlt1,critFlt1,dFlt2,critFlt2,dFlt3,critFlt3))</f>
        <v/>
      </c>
      <c r="G1850">
        <f>IF($B1850="",0,IFERROR(IF(OR(C1850&lt;&gt;0,D1850&lt;&gt;0,E1850&lt;&gt;0,F1850&lt;&gt;0),1,0),1))</f>
        <v>0</v>
      </c>
      <c r="H1850" t="str">
        <f>IF(OR(G1850=0,E1850=0),"",C1850/E1850)</f>
        <v/>
      </c>
      <c r="I1850" t="str">
        <f>IF(OR(G1850=0,F1850=0),"",D1850/F1850)</f>
        <v/>
      </c>
      <c r="J1850" t="str">
        <f>IF(OR(H1850="",I1850=""),"",IF(H1850=0,"",I1850/H1850-1))</f>
        <v/>
      </c>
      <c r="K1850" t="str">
        <f>IF($B1850="","",IFERROR(IF(G1850=0,-2E+300,CHOOSE(sortIdx,ROUND(D1850,0),IF(J1850="",-1E+300,ROUND(-J1850,6)),IF(J1850="",-1E+300,ROUND(J1850,6)))),-1.5E+300))</f>
        <v/>
      </c>
      <c r="L1850" t="str">
        <f>IF(K1850="","",RANK(K1850,$K$2:$K$3001,0)+COUNTIF($K$2:K1850,K1850)-1)</f>
        <v/>
      </c>
    </row>
    <row r="1851">
      <c r="B1851" t="str">
        <f>IFERROR(IF(A1851="","","="&amp;SUBSTITUTE(SUBSTITUTE(SUBSTITUTE(A1851,"~","~~"),"*","~*"),"?","~?")),"")</f>
        <v/>
      </c>
      <c r="C1851" t="str">
        <f>IF($B1851="","",SUMIFS(dAmt,dCust,$B1851,dPer,"&gt;="&amp;pyFrom,dPer,"&lt;="&amp;pyTo,dAmt,"&gt;-1E+300",dFlt1,critFlt1,dFlt2,critFlt2,dFlt3,critFlt3))</f>
        <v/>
      </c>
      <c r="D1851" t="str">
        <f>IF($B1851="","",SUMIFS(dAmt,dCust,$B1851,dPer,"&gt;="&amp;cyFrom,dPer,"&lt;="&amp;cyTo,dAmt,"&gt;-1E+300",dFlt1,critFlt1,dFlt2,critFlt2,dFlt3,critFlt3))</f>
        <v/>
      </c>
      <c r="E1851" t="str">
        <f>IF($B1851="","",SUMIFS(dQty,dCust,$B1851,dPer,"&gt;="&amp;pyFrom,dPer,"&lt;="&amp;pyTo,dQty,"&gt;-1E+300",dFlt1,critFlt1,dFlt2,critFlt2,dFlt3,critFlt3))</f>
        <v/>
      </c>
      <c r="F1851" t="str">
        <f>IF($B1851="","",SUMIFS(dQty,dCust,$B1851,dPer,"&gt;="&amp;cyFrom,dPer,"&lt;="&amp;cyTo,dQty,"&gt;-1E+300",dFlt1,critFlt1,dFlt2,critFlt2,dFlt3,critFlt3))</f>
        <v/>
      </c>
      <c r="G1851">
        <f>IF($B1851="",0,IFERROR(IF(OR(C1851&lt;&gt;0,D1851&lt;&gt;0,E1851&lt;&gt;0,F1851&lt;&gt;0),1,0),1))</f>
        <v>0</v>
      </c>
      <c r="H1851" t="str">
        <f>IF(OR(G1851=0,E1851=0),"",C1851/E1851)</f>
        <v/>
      </c>
      <c r="I1851" t="str">
        <f>IF(OR(G1851=0,F1851=0),"",D1851/F1851)</f>
        <v/>
      </c>
      <c r="J1851" t="str">
        <f>IF(OR(H1851="",I1851=""),"",IF(H1851=0,"",I1851/H1851-1))</f>
        <v/>
      </c>
      <c r="K1851" t="str">
        <f>IF($B1851="","",IFERROR(IF(G1851=0,-2E+300,CHOOSE(sortIdx,ROUND(D1851,0),IF(J1851="",-1E+300,ROUND(-J1851,6)),IF(J1851="",-1E+300,ROUND(J1851,6)))),-1.5E+300))</f>
        <v/>
      </c>
      <c r="L1851" t="str">
        <f>IF(K1851="","",RANK(K1851,$K$2:$K$3001,0)+COUNTIF($K$2:K1851,K1851)-1)</f>
        <v/>
      </c>
    </row>
    <row r="1852">
      <c r="B1852" t="str">
        <f>IFERROR(IF(A1852="","","="&amp;SUBSTITUTE(SUBSTITUTE(SUBSTITUTE(A1852,"~","~~"),"*","~*"),"?","~?")),"")</f>
        <v/>
      </c>
      <c r="C1852" t="str">
        <f>IF($B1852="","",SUMIFS(dAmt,dCust,$B1852,dPer,"&gt;="&amp;pyFrom,dPer,"&lt;="&amp;pyTo,dAmt,"&gt;-1E+300",dFlt1,critFlt1,dFlt2,critFlt2,dFlt3,critFlt3))</f>
        <v/>
      </c>
      <c r="D1852" t="str">
        <f>IF($B1852="","",SUMIFS(dAmt,dCust,$B1852,dPer,"&gt;="&amp;cyFrom,dPer,"&lt;="&amp;cyTo,dAmt,"&gt;-1E+300",dFlt1,critFlt1,dFlt2,critFlt2,dFlt3,critFlt3))</f>
        <v/>
      </c>
      <c r="E1852" t="str">
        <f>IF($B1852="","",SUMIFS(dQty,dCust,$B1852,dPer,"&gt;="&amp;pyFrom,dPer,"&lt;="&amp;pyTo,dQty,"&gt;-1E+300",dFlt1,critFlt1,dFlt2,critFlt2,dFlt3,critFlt3))</f>
        <v/>
      </c>
      <c r="F1852" t="str">
        <f>IF($B1852="","",SUMIFS(dQty,dCust,$B1852,dPer,"&gt;="&amp;cyFrom,dPer,"&lt;="&amp;cyTo,dQty,"&gt;-1E+300",dFlt1,critFlt1,dFlt2,critFlt2,dFlt3,critFlt3))</f>
        <v/>
      </c>
      <c r="G1852">
        <f>IF($B1852="",0,IFERROR(IF(OR(C1852&lt;&gt;0,D1852&lt;&gt;0,E1852&lt;&gt;0,F1852&lt;&gt;0),1,0),1))</f>
        <v>0</v>
      </c>
      <c r="H1852" t="str">
        <f>IF(OR(G1852=0,E1852=0),"",C1852/E1852)</f>
        <v/>
      </c>
      <c r="I1852" t="str">
        <f>IF(OR(G1852=0,F1852=0),"",D1852/F1852)</f>
        <v/>
      </c>
      <c r="J1852" t="str">
        <f>IF(OR(H1852="",I1852=""),"",IF(H1852=0,"",I1852/H1852-1))</f>
        <v/>
      </c>
      <c r="K1852" t="str">
        <f>IF($B1852="","",IFERROR(IF(G1852=0,-2E+300,CHOOSE(sortIdx,ROUND(D1852,0),IF(J1852="",-1E+300,ROUND(-J1852,6)),IF(J1852="",-1E+300,ROUND(J1852,6)))),-1.5E+300))</f>
        <v/>
      </c>
      <c r="L1852" t="str">
        <f>IF(K1852="","",RANK(K1852,$K$2:$K$3001,0)+COUNTIF($K$2:K1852,K1852)-1)</f>
        <v/>
      </c>
    </row>
    <row r="1853">
      <c r="B1853" t="str">
        <f>IFERROR(IF(A1853="","","="&amp;SUBSTITUTE(SUBSTITUTE(SUBSTITUTE(A1853,"~","~~"),"*","~*"),"?","~?")),"")</f>
        <v/>
      </c>
      <c r="C1853" t="str">
        <f>IF($B1853="","",SUMIFS(dAmt,dCust,$B1853,dPer,"&gt;="&amp;pyFrom,dPer,"&lt;="&amp;pyTo,dAmt,"&gt;-1E+300",dFlt1,critFlt1,dFlt2,critFlt2,dFlt3,critFlt3))</f>
        <v/>
      </c>
      <c r="D1853" t="str">
        <f>IF($B1853="","",SUMIFS(dAmt,dCust,$B1853,dPer,"&gt;="&amp;cyFrom,dPer,"&lt;="&amp;cyTo,dAmt,"&gt;-1E+300",dFlt1,critFlt1,dFlt2,critFlt2,dFlt3,critFlt3))</f>
        <v/>
      </c>
      <c r="E1853" t="str">
        <f>IF($B1853="","",SUMIFS(dQty,dCust,$B1853,dPer,"&gt;="&amp;pyFrom,dPer,"&lt;="&amp;pyTo,dQty,"&gt;-1E+300",dFlt1,critFlt1,dFlt2,critFlt2,dFlt3,critFlt3))</f>
        <v/>
      </c>
      <c r="F1853" t="str">
        <f>IF($B1853="","",SUMIFS(dQty,dCust,$B1853,dPer,"&gt;="&amp;cyFrom,dPer,"&lt;="&amp;cyTo,dQty,"&gt;-1E+300",dFlt1,critFlt1,dFlt2,critFlt2,dFlt3,critFlt3))</f>
        <v/>
      </c>
      <c r="G1853">
        <f>IF($B1853="",0,IFERROR(IF(OR(C1853&lt;&gt;0,D1853&lt;&gt;0,E1853&lt;&gt;0,F1853&lt;&gt;0),1,0),1))</f>
        <v>0</v>
      </c>
      <c r="H1853" t="str">
        <f>IF(OR(G1853=0,E1853=0),"",C1853/E1853)</f>
        <v/>
      </c>
      <c r="I1853" t="str">
        <f>IF(OR(G1853=0,F1853=0),"",D1853/F1853)</f>
        <v/>
      </c>
      <c r="J1853" t="str">
        <f>IF(OR(H1853="",I1853=""),"",IF(H1853=0,"",I1853/H1853-1))</f>
        <v/>
      </c>
      <c r="K1853" t="str">
        <f>IF($B1853="","",IFERROR(IF(G1853=0,-2E+300,CHOOSE(sortIdx,ROUND(D1853,0),IF(J1853="",-1E+300,ROUND(-J1853,6)),IF(J1853="",-1E+300,ROUND(J1853,6)))),-1.5E+300))</f>
        <v/>
      </c>
      <c r="L1853" t="str">
        <f>IF(K1853="","",RANK(K1853,$K$2:$K$3001,0)+COUNTIF($K$2:K1853,K1853)-1)</f>
        <v/>
      </c>
    </row>
    <row r="1854">
      <c r="B1854" t="str">
        <f>IFERROR(IF(A1854="","","="&amp;SUBSTITUTE(SUBSTITUTE(SUBSTITUTE(A1854,"~","~~"),"*","~*"),"?","~?")),"")</f>
        <v/>
      </c>
      <c r="C1854" t="str">
        <f>IF($B1854="","",SUMIFS(dAmt,dCust,$B1854,dPer,"&gt;="&amp;pyFrom,dPer,"&lt;="&amp;pyTo,dAmt,"&gt;-1E+300",dFlt1,critFlt1,dFlt2,critFlt2,dFlt3,critFlt3))</f>
        <v/>
      </c>
      <c r="D1854" t="str">
        <f>IF($B1854="","",SUMIFS(dAmt,dCust,$B1854,dPer,"&gt;="&amp;cyFrom,dPer,"&lt;="&amp;cyTo,dAmt,"&gt;-1E+300",dFlt1,critFlt1,dFlt2,critFlt2,dFlt3,critFlt3))</f>
        <v/>
      </c>
      <c r="E1854" t="str">
        <f>IF($B1854="","",SUMIFS(dQty,dCust,$B1854,dPer,"&gt;="&amp;pyFrom,dPer,"&lt;="&amp;pyTo,dQty,"&gt;-1E+300",dFlt1,critFlt1,dFlt2,critFlt2,dFlt3,critFlt3))</f>
        <v/>
      </c>
      <c r="F1854" t="str">
        <f>IF($B1854="","",SUMIFS(dQty,dCust,$B1854,dPer,"&gt;="&amp;cyFrom,dPer,"&lt;="&amp;cyTo,dQty,"&gt;-1E+300",dFlt1,critFlt1,dFlt2,critFlt2,dFlt3,critFlt3))</f>
        <v/>
      </c>
      <c r="G1854">
        <f>IF($B1854="",0,IFERROR(IF(OR(C1854&lt;&gt;0,D1854&lt;&gt;0,E1854&lt;&gt;0,F1854&lt;&gt;0),1,0),1))</f>
        <v>0</v>
      </c>
      <c r="H1854" t="str">
        <f>IF(OR(G1854=0,E1854=0),"",C1854/E1854)</f>
        <v/>
      </c>
      <c r="I1854" t="str">
        <f>IF(OR(G1854=0,F1854=0),"",D1854/F1854)</f>
        <v/>
      </c>
      <c r="J1854" t="str">
        <f>IF(OR(H1854="",I1854=""),"",IF(H1854=0,"",I1854/H1854-1))</f>
        <v/>
      </c>
      <c r="K1854" t="str">
        <f>IF($B1854="","",IFERROR(IF(G1854=0,-2E+300,CHOOSE(sortIdx,ROUND(D1854,0),IF(J1854="",-1E+300,ROUND(-J1854,6)),IF(J1854="",-1E+300,ROUND(J1854,6)))),-1.5E+300))</f>
        <v/>
      </c>
      <c r="L1854" t="str">
        <f>IF(K1854="","",RANK(K1854,$K$2:$K$3001,0)+COUNTIF($K$2:K1854,K1854)-1)</f>
        <v/>
      </c>
    </row>
    <row r="1855">
      <c r="B1855" t="str">
        <f>IFERROR(IF(A1855="","","="&amp;SUBSTITUTE(SUBSTITUTE(SUBSTITUTE(A1855,"~","~~"),"*","~*"),"?","~?")),"")</f>
        <v/>
      </c>
      <c r="C1855" t="str">
        <f>IF($B1855="","",SUMIFS(dAmt,dCust,$B1855,dPer,"&gt;="&amp;pyFrom,dPer,"&lt;="&amp;pyTo,dAmt,"&gt;-1E+300",dFlt1,critFlt1,dFlt2,critFlt2,dFlt3,critFlt3))</f>
        <v/>
      </c>
      <c r="D1855" t="str">
        <f>IF($B1855="","",SUMIFS(dAmt,dCust,$B1855,dPer,"&gt;="&amp;cyFrom,dPer,"&lt;="&amp;cyTo,dAmt,"&gt;-1E+300",dFlt1,critFlt1,dFlt2,critFlt2,dFlt3,critFlt3))</f>
        <v/>
      </c>
      <c r="E1855" t="str">
        <f>IF($B1855="","",SUMIFS(dQty,dCust,$B1855,dPer,"&gt;="&amp;pyFrom,dPer,"&lt;="&amp;pyTo,dQty,"&gt;-1E+300",dFlt1,critFlt1,dFlt2,critFlt2,dFlt3,critFlt3))</f>
        <v/>
      </c>
      <c r="F1855" t="str">
        <f>IF($B1855="","",SUMIFS(dQty,dCust,$B1855,dPer,"&gt;="&amp;cyFrom,dPer,"&lt;="&amp;cyTo,dQty,"&gt;-1E+300",dFlt1,critFlt1,dFlt2,critFlt2,dFlt3,critFlt3))</f>
        <v/>
      </c>
      <c r="G1855">
        <f>IF($B1855="",0,IFERROR(IF(OR(C1855&lt;&gt;0,D1855&lt;&gt;0,E1855&lt;&gt;0,F1855&lt;&gt;0),1,0),1))</f>
        <v>0</v>
      </c>
      <c r="H1855" t="str">
        <f>IF(OR(G1855=0,E1855=0),"",C1855/E1855)</f>
        <v/>
      </c>
      <c r="I1855" t="str">
        <f>IF(OR(G1855=0,F1855=0),"",D1855/F1855)</f>
        <v/>
      </c>
      <c r="J1855" t="str">
        <f>IF(OR(H1855="",I1855=""),"",IF(H1855=0,"",I1855/H1855-1))</f>
        <v/>
      </c>
      <c r="K1855" t="str">
        <f>IF($B1855="","",IFERROR(IF(G1855=0,-2E+300,CHOOSE(sortIdx,ROUND(D1855,0),IF(J1855="",-1E+300,ROUND(-J1855,6)),IF(J1855="",-1E+300,ROUND(J1855,6)))),-1.5E+300))</f>
        <v/>
      </c>
      <c r="L1855" t="str">
        <f>IF(K1855="","",RANK(K1855,$K$2:$K$3001,0)+COUNTIF($K$2:K1855,K1855)-1)</f>
        <v/>
      </c>
    </row>
    <row r="1856">
      <c r="B1856" t="str">
        <f>IFERROR(IF(A1856="","","="&amp;SUBSTITUTE(SUBSTITUTE(SUBSTITUTE(A1856,"~","~~"),"*","~*"),"?","~?")),"")</f>
        <v/>
      </c>
      <c r="C1856" t="str">
        <f>IF($B1856="","",SUMIFS(dAmt,dCust,$B1856,dPer,"&gt;="&amp;pyFrom,dPer,"&lt;="&amp;pyTo,dAmt,"&gt;-1E+300",dFlt1,critFlt1,dFlt2,critFlt2,dFlt3,critFlt3))</f>
        <v/>
      </c>
      <c r="D1856" t="str">
        <f>IF($B1856="","",SUMIFS(dAmt,dCust,$B1856,dPer,"&gt;="&amp;cyFrom,dPer,"&lt;="&amp;cyTo,dAmt,"&gt;-1E+300",dFlt1,critFlt1,dFlt2,critFlt2,dFlt3,critFlt3))</f>
        <v/>
      </c>
      <c r="E1856" t="str">
        <f>IF($B1856="","",SUMIFS(dQty,dCust,$B1856,dPer,"&gt;="&amp;pyFrom,dPer,"&lt;="&amp;pyTo,dQty,"&gt;-1E+300",dFlt1,critFlt1,dFlt2,critFlt2,dFlt3,critFlt3))</f>
        <v/>
      </c>
      <c r="F1856" t="str">
        <f>IF($B1856="","",SUMIFS(dQty,dCust,$B1856,dPer,"&gt;="&amp;cyFrom,dPer,"&lt;="&amp;cyTo,dQty,"&gt;-1E+300",dFlt1,critFlt1,dFlt2,critFlt2,dFlt3,critFlt3))</f>
        <v/>
      </c>
      <c r="G1856">
        <f>IF($B1856="",0,IFERROR(IF(OR(C1856&lt;&gt;0,D1856&lt;&gt;0,E1856&lt;&gt;0,F1856&lt;&gt;0),1,0),1))</f>
        <v>0</v>
      </c>
      <c r="H1856" t="str">
        <f>IF(OR(G1856=0,E1856=0),"",C1856/E1856)</f>
        <v/>
      </c>
      <c r="I1856" t="str">
        <f>IF(OR(G1856=0,F1856=0),"",D1856/F1856)</f>
        <v/>
      </c>
      <c r="J1856" t="str">
        <f>IF(OR(H1856="",I1856=""),"",IF(H1856=0,"",I1856/H1856-1))</f>
        <v/>
      </c>
      <c r="K1856" t="str">
        <f>IF($B1856="","",IFERROR(IF(G1856=0,-2E+300,CHOOSE(sortIdx,ROUND(D1856,0),IF(J1856="",-1E+300,ROUND(-J1856,6)),IF(J1856="",-1E+300,ROUND(J1856,6)))),-1.5E+300))</f>
        <v/>
      </c>
      <c r="L1856" t="str">
        <f>IF(K1856="","",RANK(K1856,$K$2:$K$3001,0)+COUNTIF($K$2:K1856,K1856)-1)</f>
        <v/>
      </c>
    </row>
    <row r="1857">
      <c r="B1857" t="str">
        <f>IFERROR(IF(A1857="","","="&amp;SUBSTITUTE(SUBSTITUTE(SUBSTITUTE(A1857,"~","~~"),"*","~*"),"?","~?")),"")</f>
        <v/>
      </c>
      <c r="C1857" t="str">
        <f>IF($B1857="","",SUMIFS(dAmt,dCust,$B1857,dPer,"&gt;="&amp;pyFrom,dPer,"&lt;="&amp;pyTo,dAmt,"&gt;-1E+300",dFlt1,critFlt1,dFlt2,critFlt2,dFlt3,critFlt3))</f>
        <v/>
      </c>
      <c r="D1857" t="str">
        <f>IF($B1857="","",SUMIFS(dAmt,dCust,$B1857,dPer,"&gt;="&amp;cyFrom,dPer,"&lt;="&amp;cyTo,dAmt,"&gt;-1E+300",dFlt1,critFlt1,dFlt2,critFlt2,dFlt3,critFlt3))</f>
        <v/>
      </c>
      <c r="E1857" t="str">
        <f>IF($B1857="","",SUMIFS(dQty,dCust,$B1857,dPer,"&gt;="&amp;pyFrom,dPer,"&lt;="&amp;pyTo,dQty,"&gt;-1E+300",dFlt1,critFlt1,dFlt2,critFlt2,dFlt3,critFlt3))</f>
        <v/>
      </c>
      <c r="F1857" t="str">
        <f>IF($B1857="","",SUMIFS(dQty,dCust,$B1857,dPer,"&gt;="&amp;cyFrom,dPer,"&lt;="&amp;cyTo,dQty,"&gt;-1E+300",dFlt1,critFlt1,dFlt2,critFlt2,dFlt3,critFlt3))</f>
        <v/>
      </c>
      <c r="G1857">
        <f>IF($B1857="",0,IFERROR(IF(OR(C1857&lt;&gt;0,D1857&lt;&gt;0,E1857&lt;&gt;0,F1857&lt;&gt;0),1,0),1))</f>
        <v>0</v>
      </c>
      <c r="H1857" t="str">
        <f>IF(OR(G1857=0,E1857=0),"",C1857/E1857)</f>
        <v/>
      </c>
      <c r="I1857" t="str">
        <f>IF(OR(G1857=0,F1857=0),"",D1857/F1857)</f>
        <v/>
      </c>
      <c r="J1857" t="str">
        <f>IF(OR(H1857="",I1857=""),"",IF(H1857=0,"",I1857/H1857-1))</f>
        <v/>
      </c>
      <c r="K1857" t="str">
        <f>IF($B1857="","",IFERROR(IF(G1857=0,-2E+300,CHOOSE(sortIdx,ROUND(D1857,0),IF(J1857="",-1E+300,ROUND(-J1857,6)),IF(J1857="",-1E+300,ROUND(J1857,6)))),-1.5E+300))</f>
        <v/>
      </c>
      <c r="L1857" t="str">
        <f>IF(K1857="","",RANK(K1857,$K$2:$K$3001,0)+COUNTIF($K$2:K1857,K1857)-1)</f>
        <v/>
      </c>
    </row>
    <row r="1858">
      <c r="B1858" t="str">
        <f>IFERROR(IF(A1858="","","="&amp;SUBSTITUTE(SUBSTITUTE(SUBSTITUTE(A1858,"~","~~"),"*","~*"),"?","~?")),"")</f>
        <v/>
      </c>
      <c r="C1858" t="str">
        <f>IF($B1858="","",SUMIFS(dAmt,dCust,$B1858,dPer,"&gt;="&amp;pyFrom,dPer,"&lt;="&amp;pyTo,dAmt,"&gt;-1E+300",dFlt1,critFlt1,dFlt2,critFlt2,dFlt3,critFlt3))</f>
        <v/>
      </c>
      <c r="D1858" t="str">
        <f>IF($B1858="","",SUMIFS(dAmt,dCust,$B1858,dPer,"&gt;="&amp;cyFrom,dPer,"&lt;="&amp;cyTo,dAmt,"&gt;-1E+300",dFlt1,critFlt1,dFlt2,critFlt2,dFlt3,critFlt3))</f>
        <v/>
      </c>
      <c r="E1858" t="str">
        <f>IF($B1858="","",SUMIFS(dQty,dCust,$B1858,dPer,"&gt;="&amp;pyFrom,dPer,"&lt;="&amp;pyTo,dQty,"&gt;-1E+300",dFlt1,critFlt1,dFlt2,critFlt2,dFlt3,critFlt3))</f>
        <v/>
      </c>
      <c r="F1858" t="str">
        <f>IF($B1858="","",SUMIFS(dQty,dCust,$B1858,dPer,"&gt;="&amp;cyFrom,dPer,"&lt;="&amp;cyTo,dQty,"&gt;-1E+300",dFlt1,critFlt1,dFlt2,critFlt2,dFlt3,critFlt3))</f>
        <v/>
      </c>
      <c r="G1858">
        <f>IF($B1858="",0,IFERROR(IF(OR(C1858&lt;&gt;0,D1858&lt;&gt;0,E1858&lt;&gt;0,F1858&lt;&gt;0),1,0),1))</f>
        <v>0</v>
      </c>
      <c r="H1858" t="str">
        <f>IF(OR(G1858=0,E1858=0),"",C1858/E1858)</f>
        <v/>
      </c>
      <c r="I1858" t="str">
        <f>IF(OR(G1858=0,F1858=0),"",D1858/F1858)</f>
        <v/>
      </c>
      <c r="J1858" t="str">
        <f>IF(OR(H1858="",I1858=""),"",IF(H1858=0,"",I1858/H1858-1))</f>
        <v/>
      </c>
      <c r="K1858" t="str">
        <f>IF($B1858="","",IFERROR(IF(G1858=0,-2E+300,CHOOSE(sortIdx,ROUND(D1858,0),IF(J1858="",-1E+300,ROUND(-J1858,6)),IF(J1858="",-1E+300,ROUND(J1858,6)))),-1.5E+300))</f>
        <v/>
      </c>
      <c r="L1858" t="str">
        <f>IF(K1858="","",RANK(K1858,$K$2:$K$3001,0)+COUNTIF($K$2:K1858,K1858)-1)</f>
        <v/>
      </c>
    </row>
    <row r="1859">
      <c r="B1859" t="str">
        <f>IFERROR(IF(A1859="","","="&amp;SUBSTITUTE(SUBSTITUTE(SUBSTITUTE(A1859,"~","~~"),"*","~*"),"?","~?")),"")</f>
        <v/>
      </c>
      <c r="C1859" t="str">
        <f>IF($B1859="","",SUMIFS(dAmt,dCust,$B1859,dPer,"&gt;="&amp;pyFrom,dPer,"&lt;="&amp;pyTo,dAmt,"&gt;-1E+300",dFlt1,critFlt1,dFlt2,critFlt2,dFlt3,critFlt3))</f>
        <v/>
      </c>
      <c r="D1859" t="str">
        <f>IF($B1859="","",SUMIFS(dAmt,dCust,$B1859,dPer,"&gt;="&amp;cyFrom,dPer,"&lt;="&amp;cyTo,dAmt,"&gt;-1E+300",dFlt1,critFlt1,dFlt2,critFlt2,dFlt3,critFlt3))</f>
        <v/>
      </c>
      <c r="E1859" t="str">
        <f>IF($B1859="","",SUMIFS(dQty,dCust,$B1859,dPer,"&gt;="&amp;pyFrom,dPer,"&lt;="&amp;pyTo,dQty,"&gt;-1E+300",dFlt1,critFlt1,dFlt2,critFlt2,dFlt3,critFlt3))</f>
        <v/>
      </c>
      <c r="F1859" t="str">
        <f>IF($B1859="","",SUMIFS(dQty,dCust,$B1859,dPer,"&gt;="&amp;cyFrom,dPer,"&lt;="&amp;cyTo,dQty,"&gt;-1E+300",dFlt1,critFlt1,dFlt2,critFlt2,dFlt3,critFlt3))</f>
        <v/>
      </c>
      <c r="G1859">
        <f>IF($B1859="",0,IFERROR(IF(OR(C1859&lt;&gt;0,D1859&lt;&gt;0,E1859&lt;&gt;0,F1859&lt;&gt;0),1,0),1))</f>
        <v>0</v>
      </c>
      <c r="H1859" t="str">
        <f>IF(OR(G1859=0,E1859=0),"",C1859/E1859)</f>
        <v/>
      </c>
      <c r="I1859" t="str">
        <f>IF(OR(G1859=0,F1859=0),"",D1859/F1859)</f>
        <v/>
      </c>
      <c r="J1859" t="str">
        <f>IF(OR(H1859="",I1859=""),"",IF(H1859=0,"",I1859/H1859-1))</f>
        <v/>
      </c>
      <c r="K1859" t="str">
        <f>IF($B1859="","",IFERROR(IF(G1859=0,-2E+300,CHOOSE(sortIdx,ROUND(D1859,0),IF(J1859="",-1E+300,ROUND(-J1859,6)),IF(J1859="",-1E+300,ROUND(J1859,6)))),-1.5E+300))</f>
        <v/>
      </c>
      <c r="L1859" t="str">
        <f>IF(K1859="","",RANK(K1859,$K$2:$K$3001,0)+COUNTIF($K$2:K1859,K1859)-1)</f>
        <v/>
      </c>
    </row>
    <row r="1860">
      <c r="B1860" t="str">
        <f>IFERROR(IF(A1860="","","="&amp;SUBSTITUTE(SUBSTITUTE(SUBSTITUTE(A1860,"~","~~"),"*","~*"),"?","~?")),"")</f>
        <v/>
      </c>
      <c r="C1860" t="str">
        <f>IF($B1860="","",SUMIFS(dAmt,dCust,$B1860,dPer,"&gt;="&amp;pyFrom,dPer,"&lt;="&amp;pyTo,dAmt,"&gt;-1E+300",dFlt1,critFlt1,dFlt2,critFlt2,dFlt3,critFlt3))</f>
        <v/>
      </c>
      <c r="D1860" t="str">
        <f>IF($B1860="","",SUMIFS(dAmt,dCust,$B1860,dPer,"&gt;="&amp;cyFrom,dPer,"&lt;="&amp;cyTo,dAmt,"&gt;-1E+300",dFlt1,critFlt1,dFlt2,critFlt2,dFlt3,critFlt3))</f>
        <v/>
      </c>
      <c r="E1860" t="str">
        <f>IF($B1860="","",SUMIFS(dQty,dCust,$B1860,dPer,"&gt;="&amp;pyFrom,dPer,"&lt;="&amp;pyTo,dQty,"&gt;-1E+300",dFlt1,critFlt1,dFlt2,critFlt2,dFlt3,critFlt3))</f>
        <v/>
      </c>
      <c r="F1860" t="str">
        <f>IF($B1860="","",SUMIFS(dQty,dCust,$B1860,dPer,"&gt;="&amp;cyFrom,dPer,"&lt;="&amp;cyTo,dQty,"&gt;-1E+300",dFlt1,critFlt1,dFlt2,critFlt2,dFlt3,critFlt3))</f>
        <v/>
      </c>
      <c r="G1860">
        <f>IF($B1860="",0,IFERROR(IF(OR(C1860&lt;&gt;0,D1860&lt;&gt;0,E1860&lt;&gt;0,F1860&lt;&gt;0),1,0),1))</f>
        <v>0</v>
      </c>
      <c r="H1860" t="str">
        <f>IF(OR(G1860=0,E1860=0),"",C1860/E1860)</f>
        <v/>
      </c>
      <c r="I1860" t="str">
        <f>IF(OR(G1860=0,F1860=0),"",D1860/F1860)</f>
        <v/>
      </c>
      <c r="J1860" t="str">
        <f>IF(OR(H1860="",I1860=""),"",IF(H1860=0,"",I1860/H1860-1))</f>
        <v/>
      </c>
      <c r="K1860" t="str">
        <f>IF($B1860="","",IFERROR(IF(G1860=0,-2E+300,CHOOSE(sortIdx,ROUND(D1860,0),IF(J1860="",-1E+300,ROUND(-J1860,6)),IF(J1860="",-1E+300,ROUND(J1860,6)))),-1.5E+300))</f>
        <v/>
      </c>
      <c r="L1860" t="str">
        <f>IF(K1860="","",RANK(K1860,$K$2:$K$3001,0)+COUNTIF($K$2:K1860,K1860)-1)</f>
        <v/>
      </c>
    </row>
    <row r="1861">
      <c r="B1861" t="str">
        <f>IFERROR(IF(A1861="","","="&amp;SUBSTITUTE(SUBSTITUTE(SUBSTITUTE(A1861,"~","~~"),"*","~*"),"?","~?")),"")</f>
        <v/>
      </c>
      <c r="C1861" t="str">
        <f>IF($B1861="","",SUMIFS(dAmt,dCust,$B1861,dPer,"&gt;="&amp;pyFrom,dPer,"&lt;="&amp;pyTo,dAmt,"&gt;-1E+300",dFlt1,critFlt1,dFlt2,critFlt2,dFlt3,critFlt3))</f>
        <v/>
      </c>
      <c r="D1861" t="str">
        <f>IF($B1861="","",SUMIFS(dAmt,dCust,$B1861,dPer,"&gt;="&amp;cyFrom,dPer,"&lt;="&amp;cyTo,dAmt,"&gt;-1E+300",dFlt1,critFlt1,dFlt2,critFlt2,dFlt3,critFlt3))</f>
        <v/>
      </c>
      <c r="E1861" t="str">
        <f>IF($B1861="","",SUMIFS(dQty,dCust,$B1861,dPer,"&gt;="&amp;pyFrom,dPer,"&lt;="&amp;pyTo,dQty,"&gt;-1E+300",dFlt1,critFlt1,dFlt2,critFlt2,dFlt3,critFlt3))</f>
        <v/>
      </c>
      <c r="F1861" t="str">
        <f>IF($B1861="","",SUMIFS(dQty,dCust,$B1861,dPer,"&gt;="&amp;cyFrom,dPer,"&lt;="&amp;cyTo,dQty,"&gt;-1E+300",dFlt1,critFlt1,dFlt2,critFlt2,dFlt3,critFlt3))</f>
        <v/>
      </c>
      <c r="G1861">
        <f>IF($B1861="",0,IFERROR(IF(OR(C1861&lt;&gt;0,D1861&lt;&gt;0,E1861&lt;&gt;0,F1861&lt;&gt;0),1,0),1))</f>
        <v>0</v>
      </c>
      <c r="H1861" t="str">
        <f>IF(OR(G1861=0,E1861=0),"",C1861/E1861)</f>
        <v/>
      </c>
      <c r="I1861" t="str">
        <f>IF(OR(G1861=0,F1861=0),"",D1861/F1861)</f>
        <v/>
      </c>
      <c r="J1861" t="str">
        <f>IF(OR(H1861="",I1861=""),"",IF(H1861=0,"",I1861/H1861-1))</f>
        <v/>
      </c>
      <c r="K1861" t="str">
        <f>IF($B1861="","",IFERROR(IF(G1861=0,-2E+300,CHOOSE(sortIdx,ROUND(D1861,0),IF(J1861="",-1E+300,ROUND(-J1861,6)),IF(J1861="",-1E+300,ROUND(J1861,6)))),-1.5E+300))</f>
        <v/>
      </c>
      <c r="L1861" t="str">
        <f>IF(K1861="","",RANK(K1861,$K$2:$K$3001,0)+COUNTIF($K$2:K1861,K1861)-1)</f>
        <v/>
      </c>
    </row>
    <row r="1862">
      <c r="B1862" t="str">
        <f>IFERROR(IF(A1862="","","="&amp;SUBSTITUTE(SUBSTITUTE(SUBSTITUTE(A1862,"~","~~"),"*","~*"),"?","~?")),"")</f>
        <v/>
      </c>
      <c r="C1862" t="str">
        <f>IF($B1862="","",SUMIFS(dAmt,dCust,$B1862,dPer,"&gt;="&amp;pyFrom,dPer,"&lt;="&amp;pyTo,dAmt,"&gt;-1E+300",dFlt1,critFlt1,dFlt2,critFlt2,dFlt3,critFlt3))</f>
        <v/>
      </c>
      <c r="D1862" t="str">
        <f>IF($B1862="","",SUMIFS(dAmt,dCust,$B1862,dPer,"&gt;="&amp;cyFrom,dPer,"&lt;="&amp;cyTo,dAmt,"&gt;-1E+300",dFlt1,critFlt1,dFlt2,critFlt2,dFlt3,critFlt3))</f>
        <v/>
      </c>
      <c r="E1862" t="str">
        <f>IF($B1862="","",SUMIFS(dQty,dCust,$B1862,dPer,"&gt;="&amp;pyFrom,dPer,"&lt;="&amp;pyTo,dQty,"&gt;-1E+300",dFlt1,critFlt1,dFlt2,critFlt2,dFlt3,critFlt3))</f>
        <v/>
      </c>
      <c r="F1862" t="str">
        <f>IF($B1862="","",SUMIFS(dQty,dCust,$B1862,dPer,"&gt;="&amp;cyFrom,dPer,"&lt;="&amp;cyTo,dQty,"&gt;-1E+300",dFlt1,critFlt1,dFlt2,critFlt2,dFlt3,critFlt3))</f>
        <v/>
      </c>
      <c r="G1862">
        <f>IF($B1862="",0,IFERROR(IF(OR(C1862&lt;&gt;0,D1862&lt;&gt;0,E1862&lt;&gt;0,F1862&lt;&gt;0),1,0),1))</f>
        <v>0</v>
      </c>
      <c r="H1862" t="str">
        <f>IF(OR(G1862=0,E1862=0),"",C1862/E1862)</f>
        <v/>
      </c>
      <c r="I1862" t="str">
        <f>IF(OR(G1862=0,F1862=0),"",D1862/F1862)</f>
        <v/>
      </c>
      <c r="J1862" t="str">
        <f>IF(OR(H1862="",I1862=""),"",IF(H1862=0,"",I1862/H1862-1))</f>
        <v/>
      </c>
      <c r="K1862" t="str">
        <f>IF($B1862="","",IFERROR(IF(G1862=0,-2E+300,CHOOSE(sortIdx,ROUND(D1862,0),IF(J1862="",-1E+300,ROUND(-J1862,6)),IF(J1862="",-1E+300,ROUND(J1862,6)))),-1.5E+300))</f>
        <v/>
      </c>
      <c r="L1862" t="str">
        <f>IF(K1862="","",RANK(K1862,$K$2:$K$3001,0)+COUNTIF($K$2:K1862,K1862)-1)</f>
        <v/>
      </c>
    </row>
    <row r="1863">
      <c r="B1863" t="str">
        <f>IFERROR(IF(A1863="","","="&amp;SUBSTITUTE(SUBSTITUTE(SUBSTITUTE(A1863,"~","~~"),"*","~*"),"?","~?")),"")</f>
        <v/>
      </c>
      <c r="C1863" t="str">
        <f>IF($B1863="","",SUMIFS(dAmt,dCust,$B1863,dPer,"&gt;="&amp;pyFrom,dPer,"&lt;="&amp;pyTo,dAmt,"&gt;-1E+300",dFlt1,critFlt1,dFlt2,critFlt2,dFlt3,critFlt3))</f>
        <v/>
      </c>
      <c r="D1863" t="str">
        <f>IF($B1863="","",SUMIFS(dAmt,dCust,$B1863,dPer,"&gt;="&amp;cyFrom,dPer,"&lt;="&amp;cyTo,dAmt,"&gt;-1E+300",dFlt1,critFlt1,dFlt2,critFlt2,dFlt3,critFlt3))</f>
        <v/>
      </c>
      <c r="E1863" t="str">
        <f>IF($B1863="","",SUMIFS(dQty,dCust,$B1863,dPer,"&gt;="&amp;pyFrom,dPer,"&lt;="&amp;pyTo,dQty,"&gt;-1E+300",dFlt1,critFlt1,dFlt2,critFlt2,dFlt3,critFlt3))</f>
        <v/>
      </c>
      <c r="F1863" t="str">
        <f>IF($B1863="","",SUMIFS(dQty,dCust,$B1863,dPer,"&gt;="&amp;cyFrom,dPer,"&lt;="&amp;cyTo,dQty,"&gt;-1E+300",dFlt1,critFlt1,dFlt2,critFlt2,dFlt3,critFlt3))</f>
        <v/>
      </c>
      <c r="G1863">
        <f>IF($B1863="",0,IFERROR(IF(OR(C1863&lt;&gt;0,D1863&lt;&gt;0,E1863&lt;&gt;0,F1863&lt;&gt;0),1,0),1))</f>
        <v>0</v>
      </c>
      <c r="H1863" t="str">
        <f>IF(OR(G1863=0,E1863=0),"",C1863/E1863)</f>
        <v/>
      </c>
      <c r="I1863" t="str">
        <f>IF(OR(G1863=0,F1863=0),"",D1863/F1863)</f>
        <v/>
      </c>
      <c r="J1863" t="str">
        <f>IF(OR(H1863="",I1863=""),"",IF(H1863=0,"",I1863/H1863-1))</f>
        <v/>
      </c>
      <c r="K1863" t="str">
        <f>IF($B1863="","",IFERROR(IF(G1863=0,-2E+300,CHOOSE(sortIdx,ROUND(D1863,0),IF(J1863="",-1E+300,ROUND(-J1863,6)),IF(J1863="",-1E+300,ROUND(J1863,6)))),-1.5E+300))</f>
        <v/>
      </c>
      <c r="L1863" t="str">
        <f>IF(K1863="","",RANK(K1863,$K$2:$K$3001,0)+COUNTIF($K$2:K1863,K1863)-1)</f>
        <v/>
      </c>
    </row>
    <row r="1864">
      <c r="B1864" t="str">
        <f>IFERROR(IF(A1864="","","="&amp;SUBSTITUTE(SUBSTITUTE(SUBSTITUTE(A1864,"~","~~"),"*","~*"),"?","~?")),"")</f>
        <v/>
      </c>
      <c r="C1864" t="str">
        <f>IF($B1864="","",SUMIFS(dAmt,dCust,$B1864,dPer,"&gt;="&amp;pyFrom,dPer,"&lt;="&amp;pyTo,dAmt,"&gt;-1E+300",dFlt1,critFlt1,dFlt2,critFlt2,dFlt3,critFlt3))</f>
        <v/>
      </c>
      <c r="D1864" t="str">
        <f>IF($B1864="","",SUMIFS(dAmt,dCust,$B1864,dPer,"&gt;="&amp;cyFrom,dPer,"&lt;="&amp;cyTo,dAmt,"&gt;-1E+300",dFlt1,critFlt1,dFlt2,critFlt2,dFlt3,critFlt3))</f>
        <v/>
      </c>
      <c r="E1864" t="str">
        <f>IF($B1864="","",SUMIFS(dQty,dCust,$B1864,dPer,"&gt;="&amp;pyFrom,dPer,"&lt;="&amp;pyTo,dQty,"&gt;-1E+300",dFlt1,critFlt1,dFlt2,critFlt2,dFlt3,critFlt3))</f>
        <v/>
      </c>
      <c r="F1864" t="str">
        <f>IF($B1864="","",SUMIFS(dQty,dCust,$B1864,dPer,"&gt;="&amp;cyFrom,dPer,"&lt;="&amp;cyTo,dQty,"&gt;-1E+300",dFlt1,critFlt1,dFlt2,critFlt2,dFlt3,critFlt3))</f>
        <v/>
      </c>
      <c r="G1864">
        <f>IF($B1864="",0,IFERROR(IF(OR(C1864&lt;&gt;0,D1864&lt;&gt;0,E1864&lt;&gt;0,F1864&lt;&gt;0),1,0),1))</f>
        <v>0</v>
      </c>
      <c r="H1864" t="str">
        <f>IF(OR(G1864=0,E1864=0),"",C1864/E1864)</f>
        <v/>
      </c>
      <c r="I1864" t="str">
        <f>IF(OR(G1864=0,F1864=0),"",D1864/F1864)</f>
        <v/>
      </c>
      <c r="J1864" t="str">
        <f>IF(OR(H1864="",I1864=""),"",IF(H1864=0,"",I1864/H1864-1))</f>
        <v/>
      </c>
      <c r="K1864" t="str">
        <f>IF($B1864="","",IFERROR(IF(G1864=0,-2E+300,CHOOSE(sortIdx,ROUND(D1864,0),IF(J1864="",-1E+300,ROUND(-J1864,6)),IF(J1864="",-1E+300,ROUND(J1864,6)))),-1.5E+300))</f>
        <v/>
      </c>
      <c r="L1864" t="str">
        <f>IF(K1864="","",RANK(K1864,$K$2:$K$3001,0)+COUNTIF($K$2:K1864,K1864)-1)</f>
        <v/>
      </c>
    </row>
    <row r="1865">
      <c r="B1865" t="str">
        <f>IFERROR(IF(A1865="","","="&amp;SUBSTITUTE(SUBSTITUTE(SUBSTITUTE(A1865,"~","~~"),"*","~*"),"?","~?")),"")</f>
        <v/>
      </c>
      <c r="C1865" t="str">
        <f>IF($B1865="","",SUMIFS(dAmt,dCust,$B1865,dPer,"&gt;="&amp;pyFrom,dPer,"&lt;="&amp;pyTo,dAmt,"&gt;-1E+300",dFlt1,critFlt1,dFlt2,critFlt2,dFlt3,critFlt3))</f>
        <v/>
      </c>
      <c r="D1865" t="str">
        <f>IF($B1865="","",SUMIFS(dAmt,dCust,$B1865,dPer,"&gt;="&amp;cyFrom,dPer,"&lt;="&amp;cyTo,dAmt,"&gt;-1E+300",dFlt1,critFlt1,dFlt2,critFlt2,dFlt3,critFlt3))</f>
        <v/>
      </c>
      <c r="E1865" t="str">
        <f>IF($B1865="","",SUMIFS(dQty,dCust,$B1865,dPer,"&gt;="&amp;pyFrom,dPer,"&lt;="&amp;pyTo,dQty,"&gt;-1E+300",dFlt1,critFlt1,dFlt2,critFlt2,dFlt3,critFlt3))</f>
        <v/>
      </c>
      <c r="F1865" t="str">
        <f>IF($B1865="","",SUMIFS(dQty,dCust,$B1865,dPer,"&gt;="&amp;cyFrom,dPer,"&lt;="&amp;cyTo,dQty,"&gt;-1E+300",dFlt1,critFlt1,dFlt2,critFlt2,dFlt3,critFlt3))</f>
        <v/>
      </c>
      <c r="G1865">
        <f>IF($B1865="",0,IFERROR(IF(OR(C1865&lt;&gt;0,D1865&lt;&gt;0,E1865&lt;&gt;0,F1865&lt;&gt;0),1,0),1))</f>
        <v>0</v>
      </c>
      <c r="H1865" t="str">
        <f>IF(OR(G1865=0,E1865=0),"",C1865/E1865)</f>
        <v/>
      </c>
      <c r="I1865" t="str">
        <f>IF(OR(G1865=0,F1865=0),"",D1865/F1865)</f>
        <v/>
      </c>
      <c r="J1865" t="str">
        <f>IF(OR(H1865="",I1865=""),"",IF(H1865=0,"",I1865/H1865-1))</f>
        <v/>
      </c>
      <c r="K1865" t="str">
        <f>IF($B1865="","",IFERROR(IF(G1865=0,-2E+300,CHOOSE(sortIdx,ROUND(D1865,0),IF(J1865="",-1E+300,ROUND(-J1865,6)),IF(J1865="",-1E+300,ROUND(J1865,6)))),-1.5E+300))</f>
        <v/>
      </c>
      <c r="L1865" t="str">
        <f>IF(K1865="","",RANK(K1865,$K$2:$K$3001,0)+COUNTIF($K$2:K1865,K1865)-1)</f>
        <v/>
      </c>
    </row>
    <row r="1866">
      <c r="B1866" t="str">
        <f>IFERROR(IF(A1866="","","="&amp;SUBSTITUTE(SUBSTITUTE(SUBSTITUTE(A1866,"~","~~"),"*","~*"),"?","~?")),"")</f>
        <v/>
      </c>
      <c r="C1866" t="str">
        <f>IF($B1866="","",SUMIFS(dAmt,dCust,$B1866,dPer,"&gt;="&amp;pyFrom,dPer,"&lt;="&amp;pyTo,dAmt,"&gt;-1E+300",dFlt1,critFlt1,dFlt2,critFlt2,dFlt3,critFlt3))</f>
        <v/>
      </c>
      <c r="D1866" t="str">
        <f>IF($B1866="","",SUMIFS(dAmt,dCust,$B1866,dPer,"&gt;="&amp;cyFrom,dPer,"&lt;="&amp;cyTo,dAmt,"&gt;-1E+300",dFlt1,critFlt1,dFlt2,critFlt2,dFlt3,critFlt3))</f>
        <v/>
      </c>
      <c r="E1866" t="str">
        <f>IF($B1866="","",SUMIFS(dQty,dCust,$B1866,dPer,"&gt;="&amp;pyFrom,dPer,"&lt;="&amp;pyTo,dQty,"&gt;-1E+300",dFlt1,critFlt1,dFlt2,critFlt2,dFlt3,critFlt3))</f>
        <v/>
      </c>
      <c r="F1866" t="str">
        <f>IF($B1866="","",SUMIFS(dQty,dCust,$B1866,dPer,"&gt;="&amp;cyFrom,dPer,"&lt;="&amp;cyTo,dQty,"&gt;-1E+300",dFlt1,critFlt1,dFlt2,critFlt2,dFlt3,critFlt3))</f>
        <v/>
      </c>
      <c r="G1866">
        <f>IF($B1866="",0,IFERROR(IF(OR(C1866&lt;&gt;0,D1866&lt;&gt;0,E1866&lt;&gt;0,F1866&lt;&gt;0),1,0),1))</f>
        <v>0</v>
      </c>
      <c r="H1866" t="str">
        <f>IF(OR(G1866=0,E1866=0),"",C1866/E1866)</f>
        <v/>
      </c>
      <c r="I1866" t="str">
        <f>IF(OR(G1866=0,F1866=0),"",D1866/F1866)</f>
        <v/>
      </c>
      <c r="J1866" t="str">
        <f>IF(OR(H1866="",I1866=""),"",IF(H1866=0,"",I1866/H1866-1))</f>
        <v/>
      </c>
      <c r="K1866" t="str">
        <f>IF($B1866="","",IFERROR(IF(G1866=0,-2E+300,CHOOSE(sortIdx,ROUND(D1866,0),IF(J1866="",-1E+300,ROUND(-J1866,6)),IF(J1866="",-1E+300,ROUND(J1866,6)))),-1.5E+300))</f>
        <v/>
      </c>
      <c r="L1866" t="str">
        <f>IF(K1866="","",RANK(K1866,$K$2:$K$3001,0)+COUNTIF($K$2:K1866,K1866)-1)</f>
        <v/>
      </c>
    </row>
    <row r="1867">
      <c r="B1867" t="str">
        <f>IFERROR(IF(A1867="","","="&amp;SUBSTITUTE(SUBSTITUTE(SUBSTITUTE(A1867,"~","~~"),"*","~*"),"?","~?")),"")</f>
        <v/>
      </c>
      <c r="C1867" t="str">
        <f>IF($B1867="","",SUMIFS(dAmt,dCust,$B1867,dPer,"&gt;="&amp;pyFrom,dPer,"&lt;="&amp;pyTo,dAmt,"&gt;-1E+300",dFlt1,critFlt1,dFlt2,critFlt2,dFlt3,critFlt3))</f>
        <v/>
      </c>
      <c r="D1867" t="str">
        <f>IF($B1867="","",SUMIFS(dAmt,dCust,$B1867,dPer,"&gt;="&amp;cyFrom,dPer,"&lt;="&amp;cyTo,dAmt,"&gt;-1E+300",dFlt1,critFlt1,dFlt2,critFlt2,dFlt3,critFlt3))</f>
        <v/>
      </c>
      <c r="E1867" t="str">
        <f>IF($B1867="","",SUMIFS(dQty,dCust,$B1867,dPer,"&gt;="&amp;pyFrom,dPer,"&lt;="&amp;pyTo,dQty,"&gt;-1E+300",dFlt1,critFlt1,dFlt2,critFlt2,dFlt3,critFlt3))</f>
        <v/>
      </c>
      <c r="F1867" t="str">
        <f>IF($B1867="","",SUMIFS(dQty,dCust,$B1867,dPer,"&gt;="&amp;cyFrom,dPer,"&lt;="&amp;cyTo,dQty,"&gt;-1E+300",dFlt1,critFlt1,dFlt2,critFlt2,dFlt3,critFlt3))</f>
        <v/>
      </c>
      <c r="G1867">
        <f>IF($B1867="",0,IFERROR(IF(OR(C1867&lt;&gt;0,D1867&lt;&gt;0,E1867&lt;&gt;0,F1867&lt;&gt;0),1,0),1))</f>
        <v>0</v>
      </c>
      <c r="H1867" t="str">
        <f>IF(OR(G1867=0,E1867=0),"",C1867/E1867)</f>
        <v/>
      </c>
      <c r="I1867" t="str">
        <f>IF(OR(G1867=0,F1867=0),"",D1867/F1867)</f>
        <v/>
      </c>
      <c r="J1867" t="str">
        <f>IF(OR(H1867="",I1867=""),"",IF(H1867=0,"",I1867/H1867-1))</f>
        <v/>
      </c>
      <c r="K1867" t="str">
        <f>IF($B1867="","",IFERROR(IF(G1867=0,-2E+300,CHOOSE(sortIdx,ROUND(D1867,0),IF(J1867="",-1E+300,ROUND(-J1867,6)),IF(J1867="",-1E+300,ROUND(J1867,6)))),-1.5E+300))</f>
        <v/>
      </c>
      <c r="L1867" t="str">
        <f>IF(K1867="","",RANK(K1867,$K$2:$K$3001,0)+COUNTIF($K$2:K1867,K1867)-1)</f>
        <v/>
      </c>
    </row>
    <row r="1868">
      <c r="B1868" t="str">
        <f>IFERROR(IF(A1868="","","="&amp;SUBSTITUTE(SUBSTITUTE(SUBSTITUTE(A1868,"~","~~"),"*","~*"),"?","~?")),"")</f>
        <v/>
      </c>
      <c r="C1868" t="str">
        <f>IF($B1868="","",SUMIFS(dAmt,dCust,$B1868,dPer,"&gt;="&amp;pyFrom,dPer,"&lt;="&amp;pyTo,dAmt,"&gt;-1E+300",dFlt1,critFlt1,dFlt2,critFlt2,dFlt3,critFlt3))</f>
        <v/>
      </c>
      <c r="D1868" t="str">
        <f>IF($B1868="","",SUMIFS(dAmt,dCust,$B1868,dPer,"&gt;="&amp;cyFrom,dPer,"&lt;="&amp;cyTo,dAmt,"&gt;-1E+300",dFlt1,critFlt1,dFlt2,critFlt2,dFlt3,critFlt3))</f>
        <v/>
      </c>
      <c r="E1868" t="str">
        <f>IF($B1868="","",SUMIFS(dQty,dCust,$B1868,dPer,"&gt;="&amp;pyFrom,dPer,"&lt;="&amp;pyTo,dQty,"&gt;-1E+300",dFlt1,critFlt1,dFlt2,critFlt2,dFlt3,critFlt3))</f>
        <v/>
      </c>
      <c r="F1868" t="str">
        <f>IF($B1868="","",SUMIFS(dQty,dCust,$B1868,dPer,"&gt;="&amp;cyFrom,dPer,"&lt;="&amp;cyTo,dQty,"&gt;-1E+300",dFlt1,critFlt1,dFlt2,critFlt2,dFlt3,critFlt3))</f>
        <v/>
      </c>
      <c r="G1868">
        <f>IF($B1868="",0,IFERROR(IF(OR(C1868&lt;&gt;0,D1868&lt;&gt;0,E1868&lt;&gt;0,F1868&lt;&gt;0),1,0),1))</f>
        <v>0</v>
      </c>
      <c r="H1868" t="str">
        <f>IF(OR(G1868=0,E1868=0),"",C1868/E1868)</f>
        <v/>
      </c>
      <c r="I1868" t="str">
        <f>IF(OR(G1868=0,F1868=0),"",D1868/F1868)</f>
        <v/>
      </c>
      <c r="J1868" t="str">
        <f>IF(OR(H1868="",I1868=""),"",IF(H1868=0,"",I1868/H1868-1))</f>
        <v/>
      </c>
      <c r="K1868" t="str">
        <f>IF($B1868="","",IFERROR(IF(G1868=0,-2E+300,CHOOSE(sortIdx,ROUND(D1868,0),IF(J1868="",-1E+300,ROUND(-J1868,6)),IF(J1868="",-1E+300,ROUND(J1868,6)))),-1.5E+300))</f>
        <v/>
      </c>
      <c r="L1868" t="str">
        <f>IF(K1868="","",RANK(K1868,$K$2:$K$3001,0)+COUNTIF($K$2:K1868,K1868)-1)</f>
        <v/>
      </c>
    </row>
    <row r="1869">
      <c r="B1869" t="str">
        <f>IFERROR(IF(A1869="","","="&amp;SUBSTITUTE(SUBSTITUTE(SUBSTITUTE(A1869,"~","~~"),"*","~*"),"?","~?")),"")</f>
        <v/>
      </c>
      <c r="C1869" t="str">
        <f>IF($B1869="","",SUMIFS(dAmt,dCust,$B1869,dPer,"&gt;="&amp;pyFrom,dPer,"&lt;="&amp;pyTo,dAmt,"&gt;-1E+300",dFlt1,critFlt1,dFlt2,critFlt2,dFlt3,critFlt3))</f>
        <v/>
      </c>
      <c r="D1869" t="str">
        <f>IF($B1869="","",SUMIFS(dAmt,dCust,$B1869,dPer,"&gt;="&amp;cyFrom,dPer,"&lt;="&amp;cyTo,dAmt,"&gt;-1E+300",dFlt1,critFlt1,dFlt2,critFlt2,dFlt3,critFlt3))</f>
        <v/>
      </c>
      <c r="E1869" t="str">
        <f>IF($B1869="","",SUMIFS(dQty,dCust,$B1869,dPer,"&gt;="&amp;pyFrom,dPer,"&lt;="&amp;pyTo,dQty,"&gt;-1E+300",dFlt1,critFlt1,dFlt2,critFlt2,dFlt3,critFlt3))</f>
        <v/>
      </c>
      <c r="F1869" t="str">
        <f>IF($B1869="","",SUMIFS(dQty,dCust,$B1869,dPer,"&gt;="&amp;cyFrom,dPer,"&lt;="&amp;cyTo,dQty,"&gt;-1E+300",dFlt1,critFlt1,dFlt2,critFlt2,dFlt3,critFlt3))</f>
        <v/>
      </c>
      <c r="G1869">
        <f>IF($B1869="",0,IFERROR(IF(OR(C1869&lt;&gt;0,D1869&lt;&gt;0,E1869&lt;&gt;0,F1869&lt;&gt;0),1,0),1))</f>
        <v>0</v>
      </c>
      <c r="H1869" t="str">
        <f>IF(OR(G1869=0,E1869=0),"",C1869/E1869)</f>
        <v/>
      </c>
      <c r="I1869" t="str">
        <f>IF(OR(G1869=0,F1869=0),"",D1869/F1869)</f>
        <v/>
      </c>
      <c r="J1869" t="str">
        <f>IF(OR(H1869="",I1869=""),"",IF(H1869=0,"",I1869/H1869-1))</f>
        <v/>
      </c>
      <c r="K1869" t="str">
        <f>IF($B1869="","",IFERROR(IF(G1869=0,-2E+300,CHOOSE(sortIdx,ROUND(D1869,0),IF(J1869="",-1E+300,ROUND(-J1869,6)),IF(J1869="",-1E+300,ROUND(J1869,6)))),-1.5E+300))</f>
        <v/>
      </c>
      <c r="L1869" t="str">
        <f>IF(K1869="","",RANK(K1869,$K$2:$K$3001,0)+COUNTIF($K$2:K1869,K1869)-1)</f>
        <v/>
      </c>
    </row>
    <row r="1870">
      <c r="B1870" t="str">
        <f>IFERROR(IF(A1870="","","="&amp;SUBSTITUTE(SUBSTITUTE(SUBSTITUTE(A1870,"~","~~"),"*","~*"),"?","~?")),"")</f>
        <v/>
      </c>
      <c r="C1870" t="str">
        <f>IF($B1870="","",SUMIFS(dAmt,dCust,$B1870,dPer,"&gt;="&amp;pyFrom,dPer,"&lt;="&amp;pyTo,dAmt,"&gt;-1E+300",dFlt1,critFlt1,dFlt2,critFlt2,dFlt3,critFlt3))</f>
        <v/>
      </c>
      <c r="D1870" t="str">
        <f>IF($B1870="","",SUMIFS(dAmt,dCust,$B1870,dPer,"&gt;="&amp;cyFrom,dPer,"&lt;="&amp;cyTo,dAmt,"&gt;-1E+300",dFlt1,critFlt1,dFlt2,critFlt2,dFlt3,critFlt3))</f>
        <v/>
      </c>
      <c r="E1870" t="str">
        <f>IF($B1870="","",SUMIFS(dQty,dCust,$B1870,dPer,"&gt;="&amp;pyFrom,dPer,"&lt;="&amp;pyTo,dQty,"&gt;-1E+300",dFlt1,critFlt1,dFlt2,critFlt2,dFlt3,critFlt3))</f>
        <v/>
      </c>
      <c r="F1870" t="str">
        <f>IF($B1870="","",SUMIFS(dQty,dCust,$B1870,dPer,"&gt;="&amp;cyFrom,dPer,"&lt;="&amp;cyTo,dQty,"&gt;-1E+300",dFlt1,critFlt1,dFlt2,critFlt2,dFlt3,critFlt3))</f>
        <v/>
      </c>
      <c r="G1870">
        <f>IF($B1870="",0,IFERROR(IF(OR(C1870&lt;&gt;0,D1870&lt;&gt;0,E1870&lt;&gt;0,F1870&lt;&gt;0),1,0),1))</f>
        <v>0</v>
      </c>
      <c r="H1870" t="str">
        <f>IF(OR(G1870=0,E1870=0),"",C1870/E1870)</f>
        <v/>
      </c>
      <c r="I1870" t="str">
        <f>IF(OR(G1870=0,F1870=0),"",D1870/F1870)</f>
        <v/>
      </c>
      <c r="J1870" t="str">
        <f>IF(OR(H1870="",I1870=""),"",IF(H1870=0,"",I1870/H1870-1))</f>
        <v/>
      </c>
      <c r="K1870" t="str">
        <f>IF($B1870="","",IFERROR(IF(G1870=0,-2E+300,CHOOSE(sortIdx,ROUND(D1870,0),IF(J1870="",-1E+300,ROUND(-J1870,6)),IF(J1870="",-1E+300,ROUND(J1870,6)))),-1.5E+300))</f>
        <v/>
      </c>
      <c r="L1870" t="str">
        <f>IF(K1870="","",RANK(K1870,$K$2:$K$3001,0)+COUNTIF($K$2:K1870,K1870)-1)</f>
        <v/>
      </c>
    </row>
    <row r="1871">
      <c r="B1871" t="str">
        <f>IFERROR(IF(A1871="","","="&amp;SUBSTITUTE(SUBSTITUTE(SUBSTITUTE(A1871,"~","~~"),"*","~*"),"?","~?")),"")</f>
        <v/>
      </c>
      <c r="C1871" t="str">
        <f>IF($B1871="","",SUMIFS(dAmt,dCust,$B1871,dPer,"&gt;="&amp;pyFrom,dPer,"&lt;="&amp;pyTo,dAmt,"&gt;-1E+300",dFlt1,critFlt1,dFlt2,critFlt2,dFlt3,critFlt3))</f>
        <v/>
      </c>
      <c r="D1871" t="str">
        <f>IF($B1871="","",SUMIFS(dAmt,dCust,$B1871,dPer,"&gt;="&amp;cyFrom,dPer,"&lt;="&amp;cyTo,dAmt,"&gt;-1E+300",dFlt1,critFlt1,dFlt2,critFlt2,dFlt3,critFlt3))</f>
        <v/>
      </c>
      <c r="E1871" t="str">
        <f>IF($B1871="","",SUMIFS(dQty,dCust,$B1871,dPer,"&gt;="&amp;pyFrom,dPer,"&lt;="&amp;pyTo,dQty,"&gt;-1E+300",dFlt1,critFlt1,dFlt2,critFlt2,dFlt3,critFlt3))</f>
        <v/>
      </c>
      <c r="F1871" t="str">
        <f>IF($B1871="","",SUMIFS(dQty,dCust,$B1871,dPer,"&gt;="&amp;cyFrom,dPer,"&lt;="&amp;cyTo,dQty,"&gt;-1E+300",dFlt1,critFlt1,dFlt2,critFlt2,dFlt3,critFlt3))</f>
        <v/>
      </c>
      <c r="G1871">
        <f>IF($B1871="",0,IFERROR(IF(OR(C1871&lt;&gt;0,D1871&lt;&gt;0,E1871&lt;&gt;0,F1871&lt;&gt;0),1,0),1))</f>
        <v>0</v>
      </c>
      <c r="H1871" t="str">
        <f>IF(OR(G1871=0,E1871=0),"",C1871/E1871)</f>
        <v/>
      </c>
      <c r="I1871" t="str">
        <f>IF(OR(G1871=0,F1871=0),"",D1871/F1871)</f>
        <v/>
      </c>
      <c r="J1871" t="str">
        <f>IF(OR(H1871="",I1871=""),"",IF(H1871=0,"",I1871/H1871-1))</f>
        <v/>
      </c>
      <c r="K1871" t="str">
        <f>IF($B1871="","",IFERROR(IF(G1871=0,-2E+300,CHOOSE(sortIdx,ROUND(D1871,0),IF(J1871="",-1E+300,ROUND(-J1871,6)),IF(J1871="",-1E+300,ROUND(J1871,6)))),-1.5E+300))</f>
        <v/>
      </c>
      <c r="L1871" t="str">
        <f>IF(K1871="","",RANK(K1871,$K$2:$K$3001,0)+COUNTIF($K$2:K1871,K1871)-1)</f>
        <v/>
      </c>
    </row>
    <row r="1872">
      <c r="B1872" t="str">
        <f>IFERROR(IF(A1872="","","="&amp;SUBSTITUTE(SUBSTITUTE(SUBSTITUTE(A1872,"~","~~"),"*","~*"),"?","~?")),"")</f>
        <v/>
      </c>
      <c r="C1872" t="str">
        <f>IF($B1872="","",SUMIFS(dAmt,dCust,$B1872,dPer,"&gt;="&amp;pyFrom,dPer,"&lt;="&amp;pyTo,dAmt,"&gt;-1E+300",dFlt1,critFlt1,dFlt2,critFlt2,dFlt3,critFlt3))</f>
        <v/>
      </c>
      <c r="D1872" t="str">
        <f>IF($B1872="","",SUMIFS(dAmt,dCust,$B1872,dPer,"&gt;="&amp;cyFrom,dPer,"&lt;="&amp;cyTo,dAmt,"&gt;-1E+300",dFlt1,critFlt1,dFlt2,critFlt2,dFlt3,critFlt3))</f>
        <v/>
      </c>
      <c r="E1872" t="str">
        <f>IF($B1872="","",SUMIFS(dQty,dCust,$B1872,dPer,"&gt;="&amp;pyFrom,dPer,"&lt;="&amp;pyTo,dQty,"&gt;-1E+300",dFlt1,critFlt1,dFlt2,critFlt2,dFlt3,critFlt3))</f>
        <v/>
      </c>
      <c r="F1872" t="str">
        <f>IF($B1872="","",SUMIFS(dQty,dCust,$B1872,dPer,"&gt;="&amp;cyFrom,dPer,"&lt;="&amp;cyTo,dQty,"&gt;-1E+300",dFlt1,critFlt1,dFlt2,critFlt2,dFlt3,critFlt3))</f>
        <v/>
      </c>
      <c r="G1872">
        <f>IF($B1872="",0,IFERROR(IF(OR(C1872&lt;&gt;0,D1872&lt;&gt;0,E1872&lt;&gt;0,F1872&lt;&gt;0),1,0),1))</f>
        <v>0</v>
      </c>
      <c r="H1872" t="str">
        <f>IF(OR(G1872=0,E1872=0),"",C1872/E1872)</f>
        <v/>
      </c>
      <c r="I1872" t="str">
        <f>IF(OR(G1872=0,F1872=0),"",D1872/F1872)</f>
        <v/>
      </c>
      <c r="J1872" t="str">
        <f>IF(OR(H1872="",I1872=""),"",IF(H1872=0,"",I1872/H1872-1))</f>
        <v/>
      </c>
      <c r="K1872" t="str">
        <f>IF($B1872="","",IFERROR(IF(G1872=0,-2E+300,CHOOSE(sortIdx,ROUND(D1872,0),IF(J1872="",-1E+300,ROUND(-J1872,6)),IF(J1872="",-1E+300,ROUND(J1872,6)))),-1.5E+300))</f>
        <v/>
      </c>
      <c r="L1872" t="str">
        <f>IF(K1872="","",RANK(K1872,$K$2:$K$3001,0)+COUNTIF($K$2:K1872,K1872)-1)</f>
        <v/>
      </c>
    </row>
    <row r="1873">
      <c r="B1873" t="str">
        <f>IFERROR(IF(A1873="","","="&amp;SUBSTITUTE(SUBSTITUTE(SUBSTITUTE(A1873,"~","~~"),"*","~*"),"?","~?")),"")</f>
        <v/>
      </c>
      <c r="C1873" t="str">
        <f>IF($B1873="","",SUMIFS(dAmt,dCust,$B1873,dPer,"&gt;="&amp;pyFrom,dPer,"&lt;="&amp;pyTo,dAmt,"&gt;-1E+300",dFlt1,critFlt1,dFlt2,critFlt2,dFlt3,critFlt3))</f>
        <v/>
      </c>
      <c r="D1873" t="str">
        <f>IF($B1873="","",SUMIFS(dAmt,dCust,$B1873,dPer,"&gt;="&amp;cyFrom,dPer,"&lt;="&amp;cyTo,dAmt,"&gt;-1E+300",dFlt1,critFlt1,dFlt2,critFlt2,dFlt3,critFlt3))</f>
        <v/>
      </c>
      <c r="E1873" t="str">
        <f>IF($B1873="","",SUMIFS(dQty,dCust,$B1873,dPer,"&gt;="&amp;pyFrom,dPer,"&lt;="&amp;pyTo,dQty,"&gt;-1E+300",dFlt1,critFlt1,dFlt2,critFlt2,dFlt3,critFlt3))</f>
        <v/>
      </c>
      <c r="F1873" t="str">
        <f>IF($B1873="","",SUMIFS(dQty,dCust,$B1873,dPer,"&gt;="&amp;cyFrom,dPer,"&lt;="&amp;cyTo,dQty,"&gt;-1E+300",dFlt1,critFlt1,dFlt2,critFlt2,dFlt3,critFlt3))</f>
        <v/>
      </c>
      <c r="G1873">
        <f>IF($B1873="",0,IFERROR(IF(OR(C1873&lt;&gt;0,D1873&lt;&gt;0,E1873&lt;&gt;0,F1873&lt;&gt;0),1,0),1))</f>
        <v>0</v>
      </c>
      <c r="H1873" t="str">
        <f>IF(OR(G1873=0,E1873=0),"",C1873/E1873)</f>
        <v/>
      </c>
      <c r="I1873" t="str">
        <f>IF(OR(G1873=0,F1873=0),"",D1873/F1873)</f>
        <v/>
      </c>
      <c r="J1873" t="str">
        <f>IF(OR(H1873="",I1873=""),"",IF(H1873=0,"",I1873/H1873-1))</f>
        <v/>
      </c>
      <c r="K1873" t="str">
        <f>IF($B1873="","",IFERROR(IF(G1873=0,-2E+300,CHOOSE(sortIdx,ROUND(D1873,0),IF(J1873="",-1E+300,ROUND(-J1873,6)),IF(J1873="",-1E+300,ROUND(J1873,6)))),-1.5E+300))</f>
        <v/>
      </c>
      <c r="L1873" t="str">
        <f>IF(K1873="","",RANK(K1873,$K$2:$K$3001,0)+COUNTIF($K$2:K1873,K1873)-1)</f>
        <v/>
      </c>
    </row>
    <row r="1874">
      <c r="B1874" t="str">
        <f>IFERROR(IF(A1874="","","="&amp;SUBSTITUTE(SUBSTITUTE(SUBSTITUTE(A1874,"~","~~"),"*","~*"),"?","~?")),"")</f>
        <v/>
      </c>
      <c r="C1874" t="str">
        <f>IF($B1874="","",SUMIFS(dAmt,dCust,$B1874,dPer,"&gt;="&amp;pyFrom,dPer,"&lt;="&amp;pyTo,dAmt,"&gt;-1E+300",dFlt1,critFlt1,dFlt2,critFlt2,dFlt3,critFlt3))</f>
        <v/>
      </c>
      <c r="D1874" t="str">
        <f>IF($B1874="","",SUMIFS(dAmt,dCust,$B1874,dPer,"&gt;="&amp;cyFrom,dPer,"&lt;="&amp;cyTo,dAmt,"&gt;-1E+300",dFlt1,critFlt1,dFlt2,critFlt2,dFlt3,critFlt3))</f>
        <v/>
      </c>
      <c r="E1874" t="str">
        <f>IF($B1874="","",SUMIFS(dQty,dCust,$B1874,dPer,"&gt;="&amp;pyFrom,dPer,"&lt;="&amp;pyTo,dQty,"&gt;-1E+300",dFlt1,critFlt1,dFlt2,critFlt2,dFlt3,critFlt3))</f>
        <v/>
      </c>
      <c r="F1874" t="str">
        <f>IF($B1874="","",SUMIFS(dQty,dCust,$B1874,dPer,"&gt;="&amp;cyFrom,dPer,"&lt;="&amp;cyTo,dQty,"&gt;-1E+300",dFlt1,critFlt1,dFlt2,critFlt2,dFlt3,critFlt3))</f>
        <v/>
      </c>
      <c r="G1874">
        <f>IF($B1874="",0,IFERROR(IF(OR(C1874&lt;&gt;0,D1874&lt;&gt;0,E1874&lt;&gt;0,F1874&lt;&gt;0),1,0),1))</f>
        <v>0</v>
      </c>
      <c r="H1874" t="str">
        <f>IF(OR(G1874=0,E1874=0),"",C1874/E1874)</f>
        <v/>
      </c>
      <c r="I1874" t="str">
        <f>IF(OR(G1874=0,F1874=0),"",D1874/F1874)</f>
        <v/>
      </c>
      <c r="J1874" t="str">
        <f>IF(OR(H1874="",I1874=""),"",IF(H1874=0,"",I1874/H1874-1))</f>
        <v/>
      </c>
      <c r="K1874" t="str">
        <f>IF($B1874="","",IFERROR(IF(G1874=0,-2E+300,CHOOSE(sortIdx,ROUND(D1874,0),IF(J1874="",-1E+300,ROUND(-J1874,6)),IF(J1874="",-1E+300,ROUND(J1874,6)))),-1.5E+300))</f>
        <v/>
      </c>
      <c r="L1874" t="str">
        <f>IF(K1874="","",RANK(K1874,$K$2:$K$3001,0)+COUNTIF($K$2:K1874,K1874)-1)</f>
        <v/>
      </c>
    </row>
    <row r="1875">
      <c r="B1875" t="str">
        <f>IFERROR(IF(A1875="","","="&amp;SUBSTITUTE(SUBSTITUTE(SUBSTITUTE(A1875,"~","~~"),"*","~*"),"?","~?")),"")</f>
        <v/>
      </c>
      <c r="C1875" t="str">
        <f>IF($B1875="","",SUMIFS(dAmt,dCust,$B1875,dPer,"&gt;="&amp;pyFrom,dPer,"&lt;="&amp;pyTo,dAmt,"&gt;-1E+300",dFlt1,critFlt1,dFlt2,critFlt2,dFlt3,critFlt3))</f>
        <v/>
      </c>
      <c r="D1875" t="str">
        <f>IF($B1875="","",SUMIFS(dAmt,dCust,$B1875,dPer,"&gt;="&amp;cyFrom,dPer,"&lt;="&amp;cyTo,dAmt,"&gt;-1E+300",dFlt1,critFlt1,dFlt2,critFlt2,dFlt3,critFlt3))</f>
        <v/>
      </c>
      <c r="E1875" t="str">
        <f>IF($B1875="","",SUMIFS(dQty,dCust,$B1875,dPer,"&gt;="&amp;pyFrom,dPer,"&lt;="&amp;pyTo,dQty,"&gt;-1E+300",dFlt1,critFlt1,dFlt2,critFlt2,dFlt3,critFlt3))</f>
        <v/>
      </c>
      <c r="F1875" t="str">
        <f>IF($B1875="","",SUMIFS(dQty,dCust,$B1875,dPer,"&gt;="&amp;cyFrom,dPer,"&lt;="&amp;cyTo,dQty,"&gt;-1E+300",dFlt1,critFlt1,dFlt2,critFlt2,dFlt3,critFlt3))</f>
        <v/>
      </c>
      <c r="G1875">
        <f>IF($B1875="",0,IFERROR(IF(OR(C1875&lt;&gt;0,D1875&lt;&gt;0,E1875&lt;&gt;0,F1875&lt;&gt;0),1,0),1))</f>
        <v>0</v>
      </c>
      <c r="H1875" t="str">
        <f>IF(OR(G1875=0,E1875=0),"",C1875/E1875)</f>
        <v/>
      </c>
      <c r="I1875" t="str">
        <f>IF(OR(G1875=0,F1875=0),"",D1875/F1875)</f>
        <v/>
      </c>
      <c r="J1875" t="str">
        <f>IF(OR(H1875="",I1875=""),"",IF(H1875=0,"",I1875/H1875-1))</f>
        <v/>
      </c>
      <c r="K1875" t="str">
        <f>IF($B1875="","",IFERROR(IF(G1875=0,-2E+300,CHOOSE(sortIdx,ROUND(D1875,0),IF(J1875="",-1E+300,ROUND(-J1875,6)),IF(J1875="",-1E+300,ROUND(J1875,6)))),-1.5E+300))</f>
        <v/>
      </c>
      <c r="L1875" t="str">
        <f>IF(K1875="","",RANK(K1875,$K$2:$K$3001,0)+COUNTIF($K$2:K1875,K1875)-1)</f>
        <v/>
      </c>
    </row>
    <row r="1876">
      <c r="B1876" t="str">
        <f>IFERROR(IF(A1876="","","="&amp;SUBSTITUTE(SUBSTITUTE(SUBSTITUTE(A1876,"~","~~"),"*","~*"),"?","~?")),"")</f>
        <v/>
      </c>
      <c r="C1876" t="str">
        <f>IF($B1876="","",SUMIFS(dAmt,dCust,$B1876,dPer,"&gt;="&amp;pyFrom,dPer,"&lt;="&amp;pyTo,dAmt,"&gt;-1E+300",dFlt1,critFlt1,dFlt2,critFlt2,dFlt3,critFlt3))</f>
        <v/>
      </c>
      <c r="D1876" t="str">
        <f>IF($B1876="","",SUMIFS(dAmt,dCust,$B1876,dPer,"&gt;="&amp;cyFrom,dPer,"&lt;="&amp;cyTo,dAmt,"&gt;-1E+300",dFlt1,critFlt1,dFlt2,critFlt2,dFlt3,critFlt3))</f>
        <v/>
      </c>
      <c r="E1876" t="str">
        <f>IF($B1876="","",SUMIFS(dQty,dCust,$B1876,dPer,"&gt;="&amp;pyFrom,dPer,"&lt;="&amp;pyTo,dQty,"&gt;-1E+300",dFlt1,critFlt1,dFlt2,critFlt2,dFlt3,critFlt3))</f>
        <v/>
      </c>
      <c r="F1876" t="str">
        <f>IF($B1876="","",SUMIFS(dQty,dCust,$B1876,dPer,"&gt;="&amp;cyFrom,dPer,"&lt;="&amp;cyTo,dQty,"&gt;-1E+300",dFlt1,critFlt1,dFlt2,critFlt2,dFlt3,critFlt3))</f>
        <v/>
      </c>
      <c r="G1876">
        <f>IF($B1876="",0,IFERROR(IF(OR(C1876&lt;&gt;0,D1876&lt;&gt;0,E1876&lt;&gt;0,F1876&lt;&gt;0),1,0),1))</f>
        <v>0</v>
      </c>
      <c r="H1876" t="str">
        <f>IF(OR(G1876=0,E1876=0),"",C1876/E1876)</f>
        <v/>
      </c>
      <c r="I1876" t="str">
        <f>IF(OR(G1876=0,F1876=0),"",D1876/F1876)</f>
        <v/>
      </c>
      <c r="J1876" t="str">
        <f>IF(OR(H1876="",I1876=""),"",IF(H1876=0,"",I1876/H1876-1))</f>
        <v/>
      </c>
      <c r="K1876" t="str">
        <f>IF($B1876="","",IFERROR(IF(G1876=0,-2E+300,CHOOSE(sortIdx,ROUND(D1876,0),IF(J1876="",-1E+300,ROUND(-J1876,6)),IF(J1876="",-1E+300,ROUND(J1876,6)))),-1.5E+300))</f>
        <v/>
      </c>
      <c r="L1876" t="str">
        <f>IF(K1876="","",RANK(K1876,$K$2:$K$3001,0)+COUNTIF($K$2:K1876,K1876)-1)</f>
        <v/>
      </c>
    </row>
    <row r="1877">
      <c r="B1877" t="str">
        <f>IFERROR(IF(A1877="","","="&amp;SUBSTITUTE(SUBSTITUTE(SUBSTITUTE(A1877,"~","~~"),"*","~*"),"?","~?")),"")</f>
        <v/>
      </c>
      <c r="C1877" t="str">
        <f>IF($B1877="","",SUMIFS(dAmt,dCust,$B1877,dPer,"&gt;="&amp;pyFrom,dPer,"&lt;="&amp;pyTo,dAmt,"&gt;-1E+300",dFlt1,critFlt1,dFlt2,critFlt2,dFlt3,critFlt3))</f>
        <v/>
      </c>
      <c r="D1877" t="str">
        <f>IF($B1877="","",SUMIFS(dAmt,dCust,$B1877,dPer,"&gt;="&amp;cyFrom,dPer,"&lt;="&amp;cyTo,dAmt,"&gt;-1E+300",dFlt1,critFlt1,dFlt2,critFlt2,dFlt3,critFlt3))</f>
        <v/>
      </c>
      <c r="E1877" t="str">
        <f>IF($B1877="","",SUMIFS(dQty,dCust,$B1877,dPer,"&gt;="&amp;pyFrom,dPer,"&lt;="&amp;pyTo,dQty,"&gt;-1E+300",dFlt1,critFlt1,dFlt2,critFlt2,dFlt3,critFlt3))</f>
        <v/>
      </c>
      <c r="F1877" t="str">
        <f>IF($B1877="","",SUMIFS(dQty,dCust,$B1877,dPer,"&gt;="&amp;cyFrom,dPer,"&lt;="&amp;cyTo,dQty,"&gt;-1E+300",dFlt1,critFlt1,dFlt2,critFlt2,dFlt3,critFlt3))</f>
        <v/>
      </c>
      <c r="G1877">
        <f>IF($B1877="",0,IFERROR(IF(OR(C1877&lt;&gt;0,D1877&lt;&gt;0,E1877&lt;&gt;0,F1877&lt;&gt;0),1,0),1))</f>
        <v>0</v>
      </c>
      <c r="H1877" t="str">
        <f>IF(OR(G1877=0,E1877=0),"",C1877/E1877)</f>
        <v/>
      </c>
      <c r="I1877" t="str">
        <f>IF(OR(G1877=0,F1877=0),"",D1877/F1877)</f>
        <v/>
      </c>
      <c r="J1877" t="str">
        <f>IF(OR(H1877="",I1877=""),"",IF(H1877=0,"",I1877/H1877-1))</f>
        <v/>
      </c>
      <c r="K1877" t="str">
        <f>IF($B1877="","",IFERROR(IF(G1877=0,-2E+300,CHOOSE(sortIdx,ROUND(D1877,0),IF(J1877="",-1E+300,ROUND(-J1877,6)),IF(J1877="",-1E+300,ROUND(J1877,6)))),-1.5E+300))</f>
        <v/>
      </c>
      <c r="L1877" t="str">
        <f>IF(K1877="","",RANK(K1877,$K$2:$K$3001,0)+COUNTIF($K$2:K1877,K1877)-1)</f>
        <v/>
      </c>
    </row>
    <row r="1878">
      <c r="B1878" t="str">
        <f>IFERROR(IF(A1878="","","="&amp;SUBSTITUTE(SUBSTITUTE(SUBSTITUTE(A1878,"~","~~"),"*","~*"),"?","~?")),"")</f>
        <v/>
      </c>
      <c r="C1878" t="str">
        <f>IF($B1878="","",SUMIFS(dAmt,dCust,$B1878,dPer,"&gt;="&amp;pyFrom,dPer,"&lt;="&amp;pyTo,dAmt,"&gt;-1E+300",dFlt1,critFlt1,dFlt2,critFlt2,dFlt3,critFlt3))</f>
        <v/>
      </c>
      <c r="D1878" t="str">
        <f>IF($B1878="","",SUMIFS(dAmt,dCust,$B1878,dPer,"&gt;="&amp;cyFrom,dPer,"&lt;="&amp;cyTo,dAmt,"&gt;-1E+300",dFlt1,critFlt1,dFlt2,critFlt2,dFlt3,critFlt3))</f>
        <v/>
      </c>
      <c r="E1878" t="str">
        <f>IF($B1878="","",SUMIFS(dQty,dCust,$B1878,dPer,"&gt;="&amp;pyFrom,dPer,"&lt;="&amp;pyTo,dQty,"&gt;-1E+300",dFlt1,critFlt1,dFlt2,critFlt2,dFlt3,critFlt3))</f>
        <v/>
      </c>
      <c r="F1878" t="str">
        <f>IF($B1878="","",SUMIFS(dQty,dCust,$B1878,dPer,"&gt;="&amp;cyFrom,dPer,"&lt;="&amp;cyTo,dQty,"&gt;-1E+300",dFlt1,critFlt1,dFlt2,critFlt2,dFlt3,critFlt3))</f>
        <v/>
      </c>
      <c r="G1878">
        <f>IF($B1878="",0,IFERROR(IF(OR(C1878&lt;&gt;0,D1878&lt;&gt;0,E1878&lt;&gt;0,F1878&lt;&gt;0),1,0),1))</f>
        <v>0</v>
      </c>
      <c r="H1878" t="str">
        <f>IF(OR(G1878=0,E1878=0),"",C1878/E1878)</f>
        <v/>
      </c>
      <c r="I1878" t="str">
        <f>IF(OR(G1878=0,F1878=0),"",D1878/F1878)</f>
        <v/>
      </c>
      <c r="J1878" t="str">
        <f>IF(OR(H1878="",I1878=""),"",IF(H1878=0,"",I1878/H1878-1))</f>
        <v/>
      </c>
      <c r="K1878" t="str">
        <f>IF($B1878="","",IFERROR(IF(G1878=0,-2E+300,CHOOSE(sortIdx,ROUND(D1878,0),IF(J1878="",-1E+300,ROUND(-J1878,6)),IF(J1878="",-1E+300,ROUND(J1878,6)))),-1.5E+300))</f>
        <v/>
      </c>
      <c r="L1878" t="str">
        <f>IF(K1878="","",RANK(K1878,$K$2:$K$3001,0)+COUNTIF($K$2:K1878,K1878)-1)</f>
        <v/>
      </c>
    </row>
    <row r="1879">
      <c r="B1879" t="str">
        <f>IFERROR(IF(A1879="","","="&amp;SUBSTITUTE(SUBSTITUTE(SUBSTITUTE(A1879,"~","~~"),"*","~*"),"?","~?")),"")</f>
        <v/>
      </c>
      <c r="C1879" t="str">
        <f>IF($B1879="","",SUMIFS(dAmt,dCust,$B1879,dPer,"&gt;="&amp;pyFrom,dPer,"&lt;="&amp;pyTo,dAmt,"&gt;-1E+300",dFlt1,critFlt1,dFlt2,critFlt2,dFlt3,critFlt3))</f>
        <v/>
      </c>
      <c r="D1879" t="str">
        <f>IF($B1879="","",SUMIFS(dAmt,dCust,$B1879,dPer,"&gt;="&amp;cyFrom,dPer,"&lt;="&amp;cyTo,dAmt,"&gt;-1E+300",dFlt1,critFlt1,dFlt2,critFlt2,dFlt3,critFlt3))</f>
        <v/>
      </c>
      <c r="E1879" t="str">
        <f>IF($B1879="","",SUMIFS(dQty,dCust,$B1879,dPer,"&gt;="&amp;pyFrom,dPer,"&lt;="&amp;pyTo,dQty,"&gt;-1E+300",dFlt1,critFlt1,dFlt2,critFlt2,dFlt3,critFlt3))</f>
        <v/>
      </c>
      <c r="F1879" t="str">
        <f>IF($B1879="","",SUMIFS(dQty,dCust,$B1879,dPer,"&gt;="&amp;cyFrom,dPer,"&lt;="&amp;cyTo,dQty,"&gt;-1E+300",dFlt1,critFlt1,dFlt2,critFlt2,dFlt3,critFlt3))</f>
        <v/>
      </c>
      <c r="G1879">
        <f>IF($B1879="",0,IFERROR(IF(OR(C1879&lt;&gt;0,D1879&lt;&gt;0,E1879&lt;&gt;0,F1879&lt;&gt;0),1,0),1))</f>
        <v>0</v>
      </c>
      <c r="H1879" t="str">
        <f>IF(OR(G1879=0,E1879=0),"",C1879/E1879)</f>
        <v/>
      </c>
      <c r="I1879" t="str">
        <f>IF(OR(G1879=0,F1879=0),"",D1879/F1879)</f>
        <v/>
      </c>
      <c r="J1879" t="str">
        <f>IF(OR(H1879="",I1879=""),"",IF(H1879=0,"",I1879/H1879-1))</f>
        <v/>
      </c>
      <c r="K1879" t="str">
        <f>IF($B1879="","",IFERROR(IF(G1879=0,-2E+300,CHOOSE(sortIdx,ROUND(D1879,0),IF(J1879="",-1E+300,ROUND(-J1879,6)),IF(J1879="",-1E+300,ROUND(J1879,6)))),-1.5E+300))</f>
        <v/>
      </c>
      <c r="L1879" t="str">
        <f>IF(K1879="","",RANK(K1879,$K$2:$K$3001,0)+COUNTIF($K$2:K1879,K1879)-1)</f>
        <v/>
      </c>
    </row>
    <row r="1880">
      <c r="B1880" t="str">
        <f>IFERROR(IF(A1880="","","="&amp;SUBSTITUTE(SUBSTITUTE(SUBSTITUTE(A1880,"~","~~"),"*","~*"),"?","~?")),"")</f>
        <v/>
      </c>
      <c r="C1880" t="str">
        <f>IF($B1880="","",SUMIFS(dAmt,dCust,$B1880,dPer,"&gt;="&amp;pyFrom,dPer,"&lt;="&amp;pyTo,dAmt,"&gt;-1E+300",dFlt1,critFlt1,dFlt2,critFlt2,dFlt3,critFlt3))</f>
        <v/>
      </c>
      <c r="D1880" t="str">
        <f>IF($B1880="","",SUMIFS(dAmt,dCust,$B1880,dPer,"&gt;="&amp;cyFrom,dPer,"&lt;="&amp;cyTo,dAmt,"&gt;-1E+300",dFlt1,critFlt1,dFlt2,critFlt2,dFlt3,critFlt3))</f>
        <v/>
      </c>
      <c r="E1880" t="str">
        <f>IF($B1880="","",SUMIFS(dQty,dCust,$B1880,dPer,"&gt;="&amp;pyFrom,dPer,"&lt;="&amp;pyTo,dQty,"&gt;-1E+300",dFlt1,critFlt1,dFlt2,critFlt2,dFlt3,critFlt3))</f>
        <v/>
      </c>
      <c r="F1880" t="str">
        <f>IF($B1880="","",SUMIFS(dQty,dCust,$B1880,dPer,"&gt;="&amp;cyFrom,dPer,"&lt;="&amp;cyTo,dQty,"&gt;-1E+300",dFlt1,critFlt1,dFlt2,critFlt2,dFlt3,critFlt3))</f>
        <v/>
      </c>
      <c r="G1880">
        <f>IF($B1880="",0,IFERROR(IF(OR(C1880&lt;&gt;0,D1880&lt;&gt;0,E1880&lt;&gt;0,F1880&lt;&gt;0),1,0),1))</f>
        <v>0</v>
      </c>
      <c r="H1880" t="str">
        <f>IF(OR(G1880=0,E1880=0),"",C1880/E1880)</f>
        <v/>
      </c>
      <c r="I1880" t="str">
        <f>IF(OR(G1880=0,F1880=0),"",D1880/F1880)</f>
        <v/>
      </c>
      <c r="J1880" t="str">
        <f>IF(OR(H1880="",I1880=""),"",IF(H1880=0,"",I1880/H1880-1))</f>
        <v/>
      </c>
      <c r="K1880" t="str">
        <f>IF($B1880="","",IFERROR(IF(G1880=0,-2E+300,CHOOSE(sortIdx,ROUND(D1880,0),IF(J1880="",-1E+300,ROUND(-J1880,6)),IF(J1880="",-1E+300,ROUND(J1880,6)))),-1.5E+300))</f>
        <v/>
      </c>
      <c r="L1880" t="str">
        <f>IF(K1880="","",RANK(K1880,$K$2:$K$3001,0)+COUNTIF($K$2:K1880,K1880)-1)</f>
        <v/>
      </c>
    </row>
    <row r="1881">
      <c r="B1881" t="str">
        <f>IFERROR(IF(A1881="","","="&amp;SUBSTITUTE(SUBSTITUTE(SUBSTITUTE(A1881,"~","~~"),"*","~*"),"?","~?")),"")</f>
        <v/>
      </c>
      <c r="C1881" t="str">
        <f>IF($B1881="","",SUMIFS(dAmt,dCust,$B1881,dPer,"&gt;="&amp;pyFrom,dPer,"&lt;="&amp;pyTo,dAmt,"&gt;-1E+300",dFlt1,critFlt1,dFlt2,critFlt2,dFlt3,critFlt3))</f>
        <v/>
      </c>
      <c r="D1881" t="str">
        <f>IF($B1881="","",SUMIFS(dAmt,dCust,$B1881,dPer,"&gt;="&amp;cyFrom,dPer,"&lt;="&amp;cyTo,dAmt,"&gt;-1E+300",dFlt1,critFlt1,dFlt2,critFlt2,dFlt3,critFlt3))</f>
        <v/>
      </c>
      <c r="E1881" t="str">
        <f>IF($B1881="","",SUMIFS(dQty,dCust,$B1881,dPer,"&gt;="&amp;pyFrom,dPer,"&lt;="&amp;pyTo,dQty,"&gt;-1E+300",dFlt1,critFlt1,dFlt2,critFlt2,dFlt3,critFlt3))</f>
        <v/>
      </c>
      <c r="F1881" t="str">
        <f>IF($B1881="","",SUMIFS(dQty,dCust,$B1881,dPer,"&gt;="&amp;cyFrom,dPer,"&lt;="&amp;cyTo,dQty,"&gt;-1E+300",dFlt1,critFlt1,dFlt2,critFlt2,dFlt3,critFlt3))</f>
        <v/>
      </c>
      <c r="G1881">
        <f>IF($B1881="",0,IFERROR(IF(OR(C1881&lt;&gt;0,D1881&lt;&gt;0,E1881&lt;&gt;0,F1881&lt;&gt;0),1,0),1))</f>
        <v>0</v>
      </c>
      <c r="H1881" t="str">
        <f>IF(OR(G1881=0,E1881=0),"",C1881/E1881)</f>
        <v/>
      </c>
      <c r="I1881" t="str">
        <f>IF(OR(G1881=0,F1881=0),"",D1881/F1881)</f>
        <v/>
      </c>
      <c r="J1881" t="str">
        <f>IF(OR(H1881="",I1881=""),"",IF(H1881=0,"",I1881/H1881-1))</f>
        <v/>
      </c>
      <c r="K1881" t="str">
        <f>IF($B1881="","",IFERROR(IF(G1881=0,-2E+300,CHOOSE(sortIdx,ROUND(D1881,0),IF(J1881="",-1E+300,ROUND(-J1881,6)),IF(J1881="",-1E+300,ROUND(J1881,6)))),-1.5E+300))</f>
        <v/>
      </c>
      <c r="L1881" t="str">
        <f>IF(K1881="","",RANK(K1881,$K$2:$K$3001,0)+COUNTIF($K$2:K1881,K1881)-1)</f>
        <v/>
      </c>
    </row>
    <row r="1882">
      <c r="B1882" t="str">
        <f>IFERROR(IF(A1882="","","="&amp;SUBSTITUTE(SUBSTITUTE(SUBSTITUTE(A1882,"~","~~"),"*","~*"),"?","~?")),"")</f>
        <v/>
      </c>
      <c r="C1882" t="str">
        <f>IF($B1882="","",SUMIFS(dAmt,dCust,$B1882,dPer,"&gt;="&amp;pyFrom,dPer,"&lt;="&amp;pyTo,dAmt,"&gt;-1E+300",dFlt1,critFlt1,dFlt2,critFlt2,dFlt3,critFlt3))</f>
        <v/>
      </c>
      <c r="D1882" t="str">
        <f>IF($B1882="","",SUMIFS(dAmt,dCust,$B1882,dPer,"&gt;="&amp;cyFrom,dPer,"&lt;="&amp;cyTo,dAmt,"&gt;-1E+300",dFlt1,critFlt1,dFlt2,critFlt2,dFlt3,critFlt3))</f>
        <v/>
      </c>
      <c r="E1882" t="str">
        <f>IF($B1882="","",SUMIFS(dQty,dCust,$B1882,dPer,"&gt;="&amp;pyFrom,dPer,"&lt;="&amp;pyTo,dQty,"&gt;-1E+300",dFlt1,critFlt1,dFlt2,critFlt2,dFlt3,critFlt3))</f>
        <v/>
      </c>
      <c r="F1882" t="str">
        <f>IF($B1882="","",SUMIFS(dQty,dCust,$B1882,dPer,"&gt;="&amp;cyFrom,dPer,"&lt;="&amp;cyTo,dQty,"&gt;-1E+300",dFlt1,critFlt1,dFlt2,critFlt2,dFlt3,critFlt3))</f>
        <v/>
      </c>
      <c r="G1882">
        <f>IF($B1882="",0,IFERROR(IF(OR(C1882&lt;&gt;0,D1882&lt;&gt;0,E1882&lt;&gt;0,F1882&lt;&gt;0),1,0),1))</f>
        <v>0</v>
      </c>
      <c r="H1882" t="str">
        <f>IF(OR(G1882=0,E1882=0),"",C1882/E1882)</f>
        <v/>
      </c>
      <c r="I1882" t="str">
        <f>IF(OR(G1882=0,F1882=0),"",D1882/F1882)</f>
        <v/>
      </c>
      <c r="J1882" t="str">
        <f>IF(OR(H1882="",I1882=""),"",IF(H1882=0,"",I1882/H1882-1))</f>
        <v/>
      </c>
      <c r="K1882" t="str">
        <f>IF($B1882="","",IFERROR(IF(G1882=0,-2E+300,CHOOSE(sortIdx,ROUND(D1882,0),IF(J1882="",-1E+300,ROUND(-J1882,6)),IF(J1882="",-1E+300,ROUND(J1882,6)))),-1.5E+300))</f>
        <v/>
      </c>
      <c r="L1882" t="str">
        <f>IF(K1882="","",RANK(K1882,$K$2:$K$3001,0)+COUNTIF($K$2:K1882,K1882)-1)</f>
        <v/>
      </c>
    </row>
    <row r="1883">
      <c r="B1883" t="str">
        <f>IFERROR(IF(A1883="","","="&amp;SUBSTITUTE(SUBSTITUTE(SUBSTITUTE(A1883,"~","~~"),"*","~*"),"?","~?")),"")</f>
        <v/>
      </c>
      <c r="C1883" t="str">
        <f>IF($B1883="","",SUMIFS(dAmt,dCust,$B1883,dPer,"&gt;="&amp;pyFrom,dPer,"&lt;="&amp;pyTo,dAmt,"&gt;-1E+300",dFlt1,critFlt1,dFlt2,critFlt2,dFlt3,critFlt3))</f>
        <v/>
      </c>
      <c r="D1883" t="str">
        <f>IF($B1883="","",SUMIFS(dAmt,dCust,$B1883,dPer,"&gt;="&amp;cyFrom,dPer,"&lt;="&amp;cyTo,dAmt,"&gt;-1E+300",dFlt1,critFlt1,dFlt2,critFlt2,dFlt3,critFlt3))</f>
        <v/>
      </c>
      <c r="E1883" t="str">
        <f>IF($B1883="","",SUMIFS(dQty,dCust,$B1883,dPer,"&gt;="&amp;pyFrom,dPer,"&lt;="&amp;pyTo,dQty,"&gt;-1E+300",dFlt1,critFlt1,dFlt2,critFlt2,dFlt3,critFlt3))</f>
        <v/>
      </c>
      <c r="F1883" t="str">
        <f>IF($B1883="","",SUMIFS(dQty,dCust,$B1883,dPer,"&gt;="&amp;cyFrom,dPer,"&lt;="&amp;cyTo,dQty,"&gt;-1E+300",dFlt1,critFlt1,dFlt2,critFlt2,dFlt3,critFlt3))</f>
        <v/>
      </c>
      <c r="G1883">
        <f>IF($B1883="",0,IFERROR(IF(OR(C1883&lt;&gt;0,D1883&lt;&gt;0,E1883&lt;&gt;0,F1883&lt;&gt;0),1,0),1))</f>
        <v>0</v>
      </c>
      <c r="H1883" t="str">
        <f>IF(OR(G1883=0,E1883=0),"",C1883/E1883)</f>
        <v/>
      </c>
      <c r="I1883" t="str">
        <f>IF(OR(G1883=0,F1883=0),"",D1883/F1883)</f>
        <v/>
      </c>
      <c r="J1883" t="str">
        <f>IF(OR(H1883="",I1883=""),"",IF(H1883=0,"",I1883/H1883-1))</f>
        <v/>
      </c>
      <c r="K1883" t="str">
        <f>IF($B1883="","",IFERROR(IF(G1883=0,-2E+300,CHOOSE(sortIdx,ROUND(D1883,0),IF(J1883="",-1E+300,ROUND(-J1883,6)),IF(J1883="",-1E+300,ROUND(J1883,6)))),-1.5E+300))</f>
        <v/>
      </c>
      <c r="L1883" t="str">
        <f>IF(K1883="","",RANK(K1883,$K$2:$K$3001,0)+COUNTIF($K$2:K1883,K1883)-1)</f>
        <v/>
      </c>
    </row>
    <row r="1884">
      <c r="B1884" t="str">
        <f>IFERROR(IF(A1884="","","="&amp;SUBSTITUTE(SUBSTITUTE(SUBSTITUTE(A1884,"~","~~"),"*","~*"),"?","~?")),"")</f>
        <v/>
      </c>
      <c r="C1884" t="str">
        <f>IF($B1884="","",SUMIFS(dAmt,dCust,$B1884,dPer,"&gt;="&amp;pyFrom,dPer,"&lt;="&amp;pyTo,dAmt,"&gt;-1E+300",dFlt1,critFlt1,dFlt2,critFlt2,dFlt3,critFlt3))</f>
        <v/>
      </c>
      <c r="D1884" t="str">
        <f>IF($B1884="","",SUMIFS(dAmt,dCust,$B1884,dPer,"&gt;="&amp;cyFrom,dPer,"&lt;="&amp;cyTo,dAmt,"&gt;-1E+300",dFlt1,critFlt1,dFlt2,critFlt2,dFlt3,critFlt3))</f>
        <v/>
      </c>
      <c r="E1884" t="str">
        <f>IF($B1884="","",SUMIFS(dQty,dCust,$B1884,dPer,"&gt;="&amp;pyFrom,dPer,"&lt;="&amp;pyTo,dQty,"&gt;-1E+300",dFlt1,critFlt1,dFlt2,critFlt2,dFlt3,critFlt3))</f>
        <v/>
      </c>
      <c r="F1884" t="str">
        <f>IF($B1884="","",SUMIFS(dQty,dCust,$B1884,dPer,"&gt;="&amp;cyFrom,dPer,"&lt;="&amp;cyTo,dQty,"&gt;-1E+300",dFlt1,critFlt1,dFlt2,critFlt2,dFlt3,critFlt3))</f>
        <v/>
      </c>
      <c r="G1884">
        <f>IF($B1884="",0,IFERROR(IF(OR(C1884&lt;&gt;0,D1884&lt;&gt;0,E1884&lt;&gt;0,F1884&lt;&gt;0),1,0),1))</f>
        <v>0</v>
      </c>
      <c r="H1884" t="str">
        <f>IF(OR(G1884=0,E1884=0),"",C1884/E1884)</f>
        <v/>
      </c>
      <c r="I1884" t="str">
        <f>IF(OR(G1884=0,F1884=0),"",D1884/F1884)</f>
        <v/>
      </c>
      <c r="J1884" t="str">
        <f>IF(OR(H1884="",I1884=""),"",IF(H1884=0,"",I1884/H1884-1))</f>
        <v/>
      </c>
      <c r="K1884" t="str">
        <f>IF($B1884="","",IFERROR(IF(G1884=0,-2E+300,CHOOSE(sortIdx,ROUND(D1884,0),IF(J1884="",-1E+300,ROUND(-J1884,6)),IF(J1884="",-1E+300,ROUND(J1884,6)))),-1.5E+300))</f>
        <v/>
      </c>
      <c r="L1884" t="str">
        <f>IF(K1884="","",RANK(K1884,$K$2:$K$3001,0)+COUNTIF($K$2:K1884,K1884)-1)</f>
        <v/>
      </c>
    </row>
    <row r="1885">
      <c r="B1885" t="str">
        <f>IFERROR(IF(A1885="","","="&amp;SUBSTITUTE(SUBSTITUTE(SUBSTITUTE(A1885,"~","~~"),"*","~*"),"?","~?")),"")</f>
        <v/>
      </c>
      <c r="C1885" t="str">
        <f>IF($B1885="","",SUMIFS(dAmt,dCust,$B1885,dPer,"&gt;="&amp;pyFrom,dPer,"&lt;="&amp;pyTo,dAmt,"&gt;-1E+300",dFlt1,critFlt1,dFlt2,critFlt2,dFlt3,critFlt3))</f>
        <v/>
      </c>
      <c r="D1885" t="str">
        <f>IF($B1885="","",SUMIFS(dAmt,dCust,$B1885,dPer,"&gt;="&amp;cyFrom,dPer,"&lt;="&amp;cyTo,dAmt,"&gt;-1E+300",dFlt1,critFlt1,dFlt2,critFlt2,dFlt3,critFlt3))</f>
        <v/>
      </c>
      <c r="E1885" t="str">
        <f>IF($B1885="","",SUMIFS(dQty,dCust,$B1885,dPer,"&gt;="&amp;pyFrom,dPer,"&lt;="&amp;pyTo,dQty,"&gt;-1E+300",dFlt1,critFlt1,dFlt2,critFlt2,dFlt3,critFlt3))</f>
        <v/>
      </c>
      <c r="F1885" t="str">
        <f>IF($B1885="","",SUMIFS(dQty,dCust,$B1885,dPer,"&gt;="&amp;cyFrom,dPer,"&lt;="&amp;cyTo,dQty,"&gt;-1E+300",dFlt1,critFlt1,dFlt2,critFlt2,dFlt3,critFlt3))</f>
        <v/>
      </c>
      <c r="G1885">
        <f>IF($B1885="",0,IFERROR(IF(OR(C1885&lt;&gt;0,D1885&lt;&gt;0,E1885&lt;&gt;0,F1885&lt;&gt;0),1,0),1))</f>
        <v>0</v>
      </c>
      <c r="H1885" t="str">
        <f>IF(OR(G1885=0,E1885=0),"",C1885/E1885)</f>
        <v/>
      </c>
      <c r="I1885" t="str">
        <f>IF(OR(G1885=0,F1885=0),"",D1885/F1885)</f>
        <v/>
      </c>
      <c r="J1885" t="str">
        <f>IF(OR(H1885="",I1885=""),"",IF(H1885=0,"",I1885/H1885-1))</f>
        <v/>
      </c>
      <c r="K1885" t="str">
        <f>IF($B1885="","",IFERROR(IF(G1885=0,-2E+300,CHOOSE(sortIdx,ROUND(D1885,0),IF(J1885="",-1E+300,ROUND(-J1885,6)),IF(J1885="",-1E+300,ROUND(J1885,6)))),-1.5E+300))</f>
        <v/>
      </c>
      <c r="L1885" t="str">
        <f>IF(K1885="","",RANK(K1885,$K$2:$K$3001,0)+COUNTIF($K$2:K1885,K1885)-1)</f>
        <v/>
      </c>
    </row>
    <row r="1886">
      <c r="B1886" t="str">
        <f>IFERROR(IF(A1886="","","="&amp;SUBSTITUTE(SUBSTITUTE(SUBSTITUTE(A1886,"~","~~"),"*","~*"),"?","~?")),"")</f>
        <v/>
      </c>
      <c r="C1886" t="str">
        <f>IF($B1886="","",SUMIFS(dAmt,dCust,$B1886,dPer,"&gt;="&amp;pyFrom,dPer,"&lt;="&amp;pyTo,dAmt,"&gt;-1E+300",dFlt1,critFlt1,dFlt2,critFlt2,dFlt3,critFlt3))</f>
        <v/>
      </c>
      <c r="D1886" t="str">
        <f>IF($B1886="","",SUMIFS(dAmt,dCust,$B1886,dPer,"&gt;="&amp;cyFrom,dPer,"&lt;="&amp;cyTo,dAmt,"&gt;-1E+300",dFlt1,critFlt1,dFlt2,critFlt2,dFlt3,critFlt3))</f>
        <v/>
      </c>
      <c r="E1886" t="str">
        <f>IF($B1886="","",SUMIFS(dQty,dCust,$B1886,dPer,"&gt;="&amp;pyFrom,dPer,"&lt;="&amp;pyTo,dQty,"&gt;-1E+300",dFlt1,critFlt1,dFlt2,critFlt2,dFlt3,critFlt3))</f>
        <v/>
      </c>
      <c r="F1886" t="str">
        <f>IF($B1886="","",SUMIFS(dQty,dCust,$B1886,dPer,"&gt;="&amp;cyFrom,dPer,"&lt;="&amp;cyTo,dQty,"&gt;-1E+300",dFlt1,critFlt1,dFlt2,critFlt2,dFlt3,critFlt3))</f>
        <v/>
      </c>
      <c r="G1886">
        <f>IF($B1886="",0,IFERROR(IF(OR(C1886&lt;&gt;0,D1886&lt;&gt;0,E1886&lt;&gt;0,F1886&lt;&gt;0),1,0),1))</f>
        <v>0</v>
      </c>
      <c r="H1886" t="str">
        <f>IF(OR(G1886=0,E1886=0),"",C1886/E1886)</f>
        <v/>
      </c>
      <c r="I1886" t="str">
        <f>IF(OR(G1886=0,F1886=0),"",D1886/F1886)</f>
        <v/>
      </c>
      <c r="J1886" t="str">
        <f>IF(OR(H1886="",I1886=""),"",IF(H1886=0,"",I1886/H1886-1))</f>
        <v/>
      </c>
      <c r="K1886" t="str">
        <f>IF($B1886="","",IFERROR(IF(G1886=0,-2E+300,CHOOSE(sortIdx,ROUND(D1886,0),IF(J1886="",-1E+300,ROUND(-J1886,6)),IF(J1886="",-1E+300,ROUND(J1886,6)))),-1.5E+300))</f>
        <v/>
      </c>
      <c r="L1886" t="str">
        <f>IF(K1886="","",RANK(K1886,$K$2:$K$3001,0)+COUNTIF($K$2:K1886,K1886)-1)</f>
        <v/>
      </c>
    </row>
    <row r="1887">
      <c r="B1887" t="str">
        <f>IFERROR(IF(A1887="","","="&amp;SUBSTITUTE(SUBSTITUTE(SUBSTITUTE(A1887,"~","~~"),"*","~*"),"?","~?")),"")</f>
        <v/>
      </c>
      <c r="C1887" t="str">
        <f>IF($B1887="","",SUMIFS(dAmt,dCust,$B1887,dPer,"&gt;="&amp;pyFrom,dPer,"&lt;="&amp;pyTo,dAmt,"&gt;-1E+300",dFlt1,critFlt1,dFlt2,critFlt2,dFlt3,critFlt3))</f>
        <v/>
      </c>
      <c r="D1887" t="str">
        <f>IF($B1887="","",SUMIFS(dAmt,dCust,$B1887,dPer,"&gt;="&amp;cyFrom,dPer,"&lt;="&amp;cyTo,dAmt,"&gt;-1E+300",dFlt1,critFlt1,dFlt2,critFlt2,dFlt3,critFlt3))</f>
        <v/>
      </c>
      <c r="E1887" t="str">
        <f>IF($B1887="","",SUMIFS(dQty,dCust,$B1887,dPer,"&gt;="&amp;pyFrom,dPer,"&lt;="&amp;pyTo,dQty,"&gt;-1E+300",dFlt1,critFlt1,dFlt2,critFlt2,dFlt3,critFlt3))</f>
        <v/>
      </c>
      <c r="F1887" t="str">
        <f>IF($B1887="","",SUMIFS(dQty,dCust,$B1887,dPer,"&gt;="&amp;cyFrom,dPer,"&lt;="&amp;cyTo,dQty,"&gt;-1E+300",dFlt1,critFlt1,dFlt2,critFlt2,dFlt3,critFlt3))</f>
        <v/>
      </c>
      <c r="G1887">
        <f>IF($B1887="",0,IFERROR(IF(OR(C1887&lt;&gt;0,D1887&lt;&gt;0,E1887&lt;&gt;0,F1887&lt;&gt;0),1,0),1))</f>
        <v>0</v>
      </c>
      <c r="H1887" t="str">
        <f>IF(OR(G1887=0,E1887=0),"",C1887/E1887)</f>
        <v/>
      </c>
      <c r="I1887" t="str">
        <f>IF(OR(G1887=0,F1887=0),"",D1887/F1887)</f>
        <v/>
      </c>
      <c r="J1887" t="str">
        <f>IF(OR(H1887="",I1887=""),"",IF(H1887=0,"",I1887/H1887-1))</f>
        <v/>
      </c>
      <c r="K1887" t="str">
        <f>IF($B1887="","",IFERROR(IF(G1887=0,-2E+300,CHOOSE(sortIdx,ROUND(D1887,0),IF(J1887="",-1E+300,ROUND(-J1887,6)),IF(J1887="",-1E+300,ROUND(J1887,6)))),-1.5E+300))</f>
        <v/>
      </c>
      <c r="L1887" t="str">
        <f>IF(K1887="","",RANK(K1887,$K$2:$K$3001,0)+COUNTIF($K$2:K1887,K1887)-1)</f>
        <v/>
      </c>
    </row>
    <row r="1888">
      <c r="B1888" t="str">
        <f>IFERROR(IF(A1888="","","="&amp;SUBSTITUTE(SUBSTITUTE(SUBSTITUTE(A1888,"~","~~"),"*","~*"),"?","~?")),"")</f>
        <v/>
      </c>
      <c r="C1888" t="str">
        <f>IF($B1888="","",SUMIFS(dAmt,dCust,$B1888,dPer,"&gt;="&amp;pyFrom,dPer,"&lt;="&amp;pyTo,dAmt,"&gt;-1E+300",dFlt1,critFlt1,dFlt2,critFlt2,dFlt3,critFlt3))</f>
        <v/>
      </c>
      <c r="D1888" t="str">
        <f>IF($B1888="","",SUMIFS(dAmt,dCust,$B1888,dPer,"&gt;="&amp;cyFrom,dPer,"&lt;="&amp;cyTo,dAmt,"&gt;-1E+300",dFlt1,critFlt1,dFlt2,critFlt2,dFlt3,critFlt3))</f>
        <v/>
      </c>
      <c r="E1888" t="str">
        <f>IF($B1888="","",SUMIFS(dQty,dCust,$B1888,dPer,"&gt;="&amp;pyFrom,dPer,"&lt;="&amp;pyTo,dQty,"&gt;-1E+300",dFlt1,critFlt1,dFlt2,critFlt2,dFlt3,critFlt3))</f>
        <v/>
      </c>
      <c r="F1888" t="str">
        <f>IF($B1888="","",SUMIFS(dQty,dCust,$B1888,dPer,"&gt;="&amp;cyFrom,dPer,"&lt;="&amp;cyTo,dQty,"&gt;-1E+300",dFlt1,critFlt1,dFlt2,critFlt2,dFlt3,critFlt3))</f>
        <v/>
      </c>
      <c r="G1888">
        <f>IF($B1888="",0,IFERROR(IF(OR(C1888&lt;&gt;0,D1888&lt;&gt;0,E1888&lt;&gt;0,F1888&lt;&gt;0),1,0),1))</f>
        <v>0</v>
      </c>
      <c r="H1888" t="str">
        <f>IF(OR(G1888=0,E1888=0),"",C1888/E1888)</f>
        <v/>
      </c>
      <c r="I1888" t="str">
        <f>IF(OR(G1888=0,F1888=0),"",D1888/F1888)</f>
        <v/>
      </c>
      <c r="J1888" t="str">
        <f>IF(OR(H1888="",I1888=""),"",IF(H1888=0,"",I1888/H1888-1))</f>
        <v/>
      </c>
      <c r="K1888" t="str">
        <f>IF($B1888="","",IFERROR(IF(G1888=0,-2E+300,CHOOSE(sortIdx,ROUND(D1888,0),IF(J1888="",-1E+300,ROUND(-J1888,6)),IF(J1888="",-1E+300,ROUND(J1888,6)))),-1.5E+300))</f>
        <v/>
      </c>
      <c r="L1888" t="str">
        <f>IF(K1888="","",RANK(K1888,$K$2:$K$3001,0)+COUNTIF($K$2:K1888,K1888)-1)</f>
        <v/>
      </c>
    </row>
    <row r="1889">
      <c r="B1889" t="str">
        <f>IFERROR(IF(A1889="","","="&amp;SUBSTITUTE(SUBSTITUTE(SUBSTITUTE(A1889,"~","~~"),"*","~*"),"?","~?")),"")</f>
        <v/>
      </c>
      <c r="C1889" t="str">
        <f>IF($B1889="","",SUMIFS(dAmt,dCust,$B1889,dPer,"&gt;="&amp;pyFrom,dPer,"&lt;="&amp;pyTo,dAmt,"&gt;-1E+300",dFlt1,critFlt1,dFlt2,critFlt2,dFlt3,critFlt3))</f>
        <v/>
      </c>
      <c r="D1889" t="str">
        <f>IF($B1889="","",SUMIFS(dAmt,dCust,$B1889,dPer,"&gt;="&amp;cyFrom,dPer,"&lt;="&amp;cyTo,dAmt,"&gt;-1E+300",dFlt1,critFlt1,dFlt2,critFlt2,dFlt3,critFlt3))</f>
        <v/>
      </c>
      <c r="E1889" t="str">
        <f>IF($B1889="","",SUMIFS(dQty,dCust,$B1889,dPer,"&gt;="&amp;pyFrom,dPer,"&lt;="&amp;pyTo,dQty,"&gt;-1E+300",dFlt1,critFlt1,dFlt2,critFlt2,dFlt3,critFlt3))</f>
        <v/>
      </c>
      <c r="F1889" t="str">
        <f>IF($B1889="","",SUMIFS(dQty,dCust,$B1889,dPer,"&gt;="&amp;cyFrom,dPer,"&lt;="&amp;cyTo,dQty,"&gt;-1E+300",dFlt1,critFlt1,dFlt2,critFlt2,dFlt3,critFlt3))</f>
        <v/>
      </c>
      <c r="G1889">
        <f>IF($B1889="",0,IFERROR(IF(OR(C1889&lt;&gt;0,D1889&lt;&gt;0,E1889&lt;&gt;0,F1889&lt;&gt;0),1,0),1))</f>
        <v>0</v>
      </c>
      <c r="H1889" t="str">
        <f>IF(OR(G1889=0,E1889=0),"",C1889/E1889)</f>
        <v/>
      </c>
      <c r="I1889" t="str">
        <f>IF(OR(G1889=0,F1889=0),"",D1889/F1889)</f>
        <v/>
      </c>
      <c r="J1889" t="str">
        <f>IF(OR(H1889="",I1889=""),"",IF(H1889=0,"",I1889/H1889-1))</f>
        <v/>
      </c>
      <c r="K1889" t="str">
        <f>IF($B1889="","",IFERROR(IF(G1889=0,-2E+300,CHOOSE(sortIdx,ROUND(D1889,0),IF(J1889="",-1E+300,ROUND(-J1889,6)),IF(J1889="",-1E+300,ROUND(J1889,6)))),-1.5E+300))</f>
        <v/>
      </c>
      <c r="L1889" t="str">
        <f>IF(K1889="","",RANK(K1889,$K$2:$K$3001,0)+COUNTIF($K$2:K1889,K1889)-1)</f>
        <v/>
      </c>
    </row>
    <row r="1890">
      <c r="B1890" t="str">
        <f>IFERROR(IF(A1890="","","="&amp;SUBSTITUTE(SUBSTITUTE(SUBSTITUTE(A1890,"~","~~"),"*","~*"),"?","~?")),"")</f>
        <v/>
      </c>
      <c r="C1890" t="str">
        <f>IF($B1890="","",SUMIFS(dAmt,dCust,$B1890,dPer,"&gt;="&amp;pyFrom,dPer,"&lt;="&amp;pyTo,dAmt,"&gt;-1E+300",dFlt1,critFlt1,dFlt2,critFlt2,dFlt3,critFlt3))</f>
        <v/>
      </c>
      <c r="D1890" t="str">
        <f>IF($B1890="","",SUMIFS(dAmt,dCust,$B1890,dPer,"&gt;="&amp;cyFrom,dPer,"&lt;="&amp;cyTo,dAmt,"&gt;-1E+300",dFlt1,critFlt1,dFlt2,critFlt2,dFlt3,critFlt3))</f>
        <v/>
      </c>
      <c r="E1890" t="str">
        <f>IF($B1890="","",SUMIFS(dQty,dCust,$B1890,dPer,"&gt;="&amp;pyFrom,dPer,"&lt;="&amp;pyTo,dQty,"&gt;-1E+300",dFlt1,critFlt1,dFlt2,critFlt2,dFlt3,critFlt3))</f>
        <v/>
      </c>
      <c r="F1890" t="str">
        <f>IF($B1890="","",SUMIFS(dQty,dCust,$B1890,dPer,"&gt;="&amp;cyFrom,dPer,"&lt;="&amp;cyTo,dQty,"&gt;-1E+300",dFlt1,critFlt1,dFlt2,critFlt2,dFlt3,critFlt3))</f>
        <v/>
      </c>
      <c r="G1890">
        <f>IF($B1890="",0,IFERROR(IF(OR(C1890&lt;&gt;0,D1890&lt;&gt;0,E1890&lt;&gt;0,F1890&lt;&gt;0),1,0),1))</f>
        <v>0</v>
      </c>
      <c r="H1890" t="str">
        <f>IF(OR(G1890=0,E1890=0),"",C1890/E1890)</f>
        <v/>
      </c>
      <c r="I1890" t="str">
        <f>IF(OR(G1890=0,F1890=0),"",D1890/F1890)</f>
        <v/>
      </c>
      <c r="J1890" t="str">
        <f>IF(OR(H1890="",I1890=""),"",IF(H1890=0,"",I1890/H1890-1))</f>
        <v/>
      </c>
      <c r="K1890" t="str">
        <f>IF($B1890="","",IFERROR(IF(G1890=0,-2E+300,CHOOSE(sortIdx,ROUND(D1890,0),IF(J1890="",-1E+300,ROUND(-J1890,6)),IF(J1890="",-1E+300,ROUND(J1890,6)))),-1.5E+300))</f>
        <v/>
      </c>
      <c r="L1890" t="str">
        <f>IF(K1890="","",RANK(K1890,$K$2:$K$3001,0)+COUNTIF($K$2:K1890,K1890)-1)</f>
        <v/>
      </c>
    </row>
    <row r="1891">
      <c r="B1891" t="str">
        <f>IFERROR(IF(A1891="","","="&amp;SUBSTITUTE(SUBSTITUTE(SUBSTITUTE(A1891,"~","~~"),"*","~*"),"?","~?")),"")</f>
        <v/>
      </c>
      <c r="C1891" t="str">
        <f>IF($B1891="","",SUMIFS(dAmt,dCust,$B1891,dPer,"&gt;="&amp;pyFrom,dPer,"&lt;="&amp;pyTo,dAmt,"&gt;-1E+300",dFlt1,critFlt1,dFlt2,critFlt2,dFlt3,critFlt3))</f>
        <v/>
      </c>
      <c r="D1891" t="str">
        <f>IF($B1891="","",SUMIFS(dAmt,dCust,$B1891,dPer,"&gt;="&amp;cyFrom,dPer,"&lt;="&amp;cyTo,dAmt,"&gt;-1E+300",dFlt1,critFlt1,dFlt2,critFlt2,dFlt3,critFlt3))</f>
        <v/>
      </c>
      <c r="E1891" t="str">
        <f>IF($B1891="","",SUMIFS(dQty,dCust,$B1891,dPer,"&gt;="&amp;pyFrom,dPer,"&lt;="&amp;pyTo,dQty,"&gt;-1E+300",dFlt1,critFlt1,dFlt2,critFlt2,dFlt3,critFlt3))</f>
        <v/>
      </c>
      <c r="F1891" t="str">
        <f>IF($B1891="","",SUMIFS(dQty,dCust,$B1891,dPer,"&gt;="&amp;cyFrom,dPer,"&lt;="&amp;cyTo,dQty,"&gt;-1E+300",dFlt1,critFlt1,dFlt2,critFlt2,dFlt3,critFlt3))</f>
        <v/>
      </c>
      <c r="G1891">
        <f>IF($B1891="",0,IFERROR(IF(OR(C1891&lt;&gt;0,D1891&lt;&gt;0,E1891&lt;&gt;0,F1891&lt;&gt;0),1,0),1))</f>
        <v>0</v>
      </c>
      <c r="H1891" t="str">
        <f>IF(OR(G1891=0,E1891=0),"",C1891/E1891)</f>
        <v/>
      </c>
      <c r="I1891" t="str">
        <f>IF(OR(G1891=0,F1891=0),"",D1891/F1891)</f>
        <v/>
      </c>
      <c r="J1891" t="str">
        <f>IF(OR(H1891="",I1891=""),"",IF(H1891=0,"",I1891/H1891-1))</f>
        <v/>
      </c>
      <c r="K1891" t="str">
        <f>IF($B1891="","",IFERROR(IF(G1891=0,-2E+300,CHOOSE(sortIdx,ROUND(D1891,0),IF(J1891="",-1E+300,ROUND(-J1891,6)),IF(J1891="",-1E+300,ROUND(J1891,6)))),-1.5E+300))</f>
        <v/>
      </c>
      <c r="L1891" t="str">
        <f>IF(K1891="","",RANK(K1891,$K$2:$K$3001,0)+COUNTIF($K$2:K1891,K1891)-1)</f>
        <v/>
      </c>
    </row>
    <row r="1892">
      <c r="B1892" t="str">
        <f>IFERROR(IF(A1892="","","="&amp;SUBSTITUTE(SUBSTITUTE(SUBSTITUTE(A1892,"~","~~"),"*","~*"),"?","~?")),"")</f>
        <v/>
      </c>
      <c r="C1892" t="str">
        <f>IF($B1892="","",SUMIFS(dAmt,dCust,$B1892,dPer,"&gt;="&amp;pyFrom,dPer,"&lt;="&amp;pyTo,dAmt,"&gt;-1E+300",dFlt1,critFlt1,dFlt2,critFlt2,dFlt3,critFlt3))</f>
        <v/>
      </c>
      <c r="D1892" t="str">
        <f>IF($B1892="","",SUMIFS(dAmt,dCust,$B1892,dPer,"&gt;="&amp;cyFrom,dPer,"&lt;="&amp;cyTo,dAmt,"&gt;-1E+300",dFlt1,critFlt1,dFlt2,critFlt2,dFlt3,critFlt3))</f>
        <v/>
      </c>
      <c r="E1892" t="str">
        <f>IF($B1892="","",SUMIFS(dQty,dCust,$B1892,dPer,"&gt;="&amp;pyFrom,dPer,"&lt;="&amp;pyTo,dQty,"&gt;-1E+300",dFlt1,critFlt1,dFlt2,critFlt2,dFlt3,critFlt3))</f>
        <v/>
      </c>
      <c r="F1892" t="str">
        <f>IF($B1892="","",SUMIFS(dQty,dCust,$B1892,dPer,"&gt;="&amp;cyFrom,dPer,"&lt;="&amp;cyTo,dQty,"&gt;-1E+300",dFlt1,critFlt1,dFlt2,critFlt2,dFlt3,critFlt3))</f>
        <v/>
      </c>
      <c r="G1892">
        <f>IF($B1892="",0,IFERROR(IF(OR(C1892&lt;&gt;0,D1892&lt;&gt;0,E1892&lt;&gt;0,F1892&lt;&gt;0),1,0),1))</f>
        <v>0</v>
      </c>
      <c r="H1892" t="str">
        <f>IF(OR(G1892=0,E1892=0),"",C1892/E1892)</f>
        <v/>
      </c>
      <c r="I1892" t="str">
        <f>IF(OR(G1892=0,F1892=0),"",D1892/F1892)</f>
        <v/>
      </c>
      <c r="J1892" t="str">
        <f>IF(OR(H1892="",I1892=""),"",IF(H1892=0,"",I1892/H1892-1))</f>
        <v/>
      </c>
      <c r="K1892" t="str">
        <f>IF($B1892="","",IFERROR(IF(G1892=0,-2E+300,CHOOSE(sortIdx,ROUND(D1892,0),IF(J1892="",-1E+300,ROUND(-J1892,6)),IF(J1892="",-1E+300,ROUND(J1892,6)))),-1.5E+300))</f>
        <v/>
      </c>
      <c r="L1892" t="str">
        <f>IF(K1892="","",RANK(K1892,$K$2:$K$3001,0)+COUNTIF($K$2:K1892,K1892)-1)</f>
        <v/>
      </c>
    </row>
    <row r="1893">
      <c r="B1893" t="str">
        <f>IFERROR(IF(A1893="","","="&amp;SUBSTITUTE(SUBSTITUTE(SUBSTITUTE(A1893,"~","~~"),"*","~*"),"?","~?")),"")</f>
        <v/>
      </c>
      <c r="C1893" t="str">
        <f>IF($B1893="","",SUMIFS(dAmt,dCust,$B1893,dPer,"&gt;="&amp;pyFrom,dPer,"&lt;="&amp;pyTo,dAmt,"&gt;-1E+300",dFlt1,critFlt1,dFlt2,critFlt2,dFlt3,critFlt3))</f>
        <v/>
      </c>
      <c r="D1893" t="str">
        <f>IF($B1893="","",SUMIFS(dAmt,dCust,$B1893,dPer,"&gt;="&amp;cyFrom,dPer,"&lt;="&amp;cyTo,dAmt,"&gt;-1E+300",dFlt1,critFlt1,dFlt2,critFlt2,dFlt3,critFlt3))</f>
        <v/>
      </c>
      <c r="E1893" t="str">
        <f>IF($B1893="","",SUMIFS(dQty,dCust,$B1893,dPer,"&gt;="&amp;pyFrom,dPer,"&lt;="&amp;pyTo,dQty,"&gt;-1E+300",dFlt1,critFlt1,dFlt2,critFlt2,dFlt3,critFlt3))</f>
        <v/>
      </c>
      <c r="F1893" t="str">
        <f>IF($B1893="","",SUMIFS(dQty,dCust,$B1893,dPer,"&gt;="&amp;cyFrom,dPer,"&lt;="&amp;cyTo,dQty,"&gt;-1E+300",dFlt1,critFlt1,dFlt2,critFlt2,dFlt3,critFlt3))</f>
        <v/>
      </c>
      <c r="G1893">
        <f>IF($B1893="",0,IFERROR(IF(OR(C1893&lt;&gt;0,D1893&lt;&gt;0,E1893&lt;&gt;0,F1893&lt;&gt;0),1,0),1))</f>
        <v>0</v>
      </c>
      <c r="H1893" t="str">
        <f>IF(OR(G1893=0,E1893=0),"",C1893/E1893)</f>
        <v/>
      </c>
      <c r="I1893" t="str">
        <f>IF(OR(G1893=0,F1893=0),"",D1893/F1893)</f>
        <v/>
      </c>
      <c r="J1893" t="str">
        <f>IF(OR(H1893="",I1893=""),"",IF(H1893=0,"",I1893/H1893-1))</f>
        <v/>
      </c>
      <c r="K1893" t="str">
        <f>IF($B1893="","",IFERROR(IF(G1893=0,-2E+300,CHOOSE(sortIdx,ROUND(D1893,0),IF(J1893="",-1E+300,ROUND(-J1893,6)),IF(J1893="",-1E+300,ROUND(J1893,6)))),-1.5E+300))</f>
        <v/>
      </c>
      <c r="L1893" t="str">
        <f>IF(K1893="","",RANK(K1893,$K$2:$K$3001,0)+COUNTIF($K$2:K1893,K1893)-1)</f>
        <v/>
      </c>
    </row>
    <row r="1894">
      <c r="B1894" t="str">
        <f>IFERROR(IF(A1894="","","="&amp;SUBSTITUTE(SUBSTITUTE(SUBSTITUTE(A1894,"~","~~"),"*","~*"),"?","~?")),"")</f>
        <v/>
      </c>
      <c r="C1894" t="str">
        <f>IF($B1894="","",SUMIFS(dAmt,dCust,$B1894,dPer,"&gt;="&amp;pyFrom,dPer,"&lt;="&amp;pyTo,dAmt,"&gt;-1E+300",dFlt1,critFlt1,dFlt2,critFlt2,dFlt3,critFlt3))</f>
        <v/>
      </c>
      <c r="D1894" t="str">
        <f>IF($B1894="","",SUMIFS(dAmt,dCust,$B1894,dPer,"&gt;="&amp;cyFrom,dPer,"&lt;="&amp;cyTo,dAmt,"&gt;-1E+300",dFlt1,critFlt1,dFlt2,critFlt2,dFlt3,critFlt3))</f>
        <v/>
      </c>
      <c r="E1894" t="str">
        <f>IF($B1894="","",SUMIFS(dQty,dCust,$B1894,dPer,"&gt;="&amp;pyFrom,dPer,"&lt;="&amp;pyTo,dQty,"&gt;-1E+300",dFlt1,critFlt1,dFlt2,critFlt2,dFlt3,critFlt3))</f>
        <v/>
      </c>
      <c r="F1894" t="str">
        <f>IF($B1894="","",SUMIFS(dQty,dCust,$B1894,dPer,"&gt;="&amp;cyFrom,dPer,"&lt;="&amp;cyTo,dQty,"&gt;-1E+300",dFlt1,critFlt1,dFlt2,critFlt2,dFlt3,critFlt3))</f>
        <v/>
      </c>
      <c r="G1894">
        <f>IF($B1894="",0,IFERROR(IF(OR(C1894&lt;&gt;0,D1894&lt;&gt;0,E1894&lt;&gt;0,F1894&lt;&gt;0),1,0),1))</f>
        <v>0</v>
      </c>
      <c r="H1894" t="str">
        <f>IF(OR(G1894=0,E1894=0),"",C1894/E1894)</f>
        <v/>
      </c>
      <c r="I1894" t="str">
        <f>IF(OR(G1894=0,F1894=0),"",D1894/F1894)</f>
        <v/>
      </c>
      <c r="J1894" t="str">
        <f>IF(OR(H1894="",I1894=""),"",IF(H1894=0,"",I1894/H1894-1))</f>
        <v/>
      </c>
      <c r="K1894" t="str">
        <f>IF($B1894="","",IFERROR(IF(G1894=0,-2E+300,CHOOSE(sortIdx,ROUND(D1894,0),IF(J1894="",-1E+300,ROUND(-J1894,6)),IF(J1894="",-1E+300,ROUND(J1894,6)))),-1.5E+300))</f>
        <v/>
      </c>
      <c r="L1894" t="str">
        <f>IF(K1894="","",RANK(K1894,$K$2:$K$3001,0)+COUNTIF($K$2:K1894,K1894)-1)</f>
        <v/>
      </c>
    </row>
    <row r="1895">
      <c r="B1895" t="str">
        <f>IFERROR(IF(A1895="","","="&amp;SUBSTITUTE(SUBSTITUTE(SUBSTITUTE(A1895,"~","~~"),"*","~*"),"?","~?")),"")</f>
        <v/>
      </c>
      <c r="C1895" t="str">
        <f>IF($B1895="","",SUMIFS(dAmt,dCust,$B1895,dPer,"&gt;="&amp;pyFrom,dPer,"&lt;="&amp;pyTo,dAmt,"&gt;-1E+300",dFlt1,critFlt1,dFlt2,critFlt2,dFlt3,critFlt3))</f>
        <v/>
      </c>
      <c r="D1895" t="str">
        <f>IF($B1895="","",SUMIFS(dAmt,dCust,$B1895,dPer,"&gt;="&amp;cyFrom,dPer,"&lt;="&amp;cyTo,dAmt,"&gt;-1E+300",dFlt1,critFlt1,dFlt2,critFlt2,dFlt3,critFlt3))</f>
        <v/>
      </c>
      <c r="E1895" t="str">
        <f>IF($B1895="","",SUMIFS(dQty,dCust,$B1895,dPer,"&gt;="&amp;pyFrom,dPer,"&lt;="&amp;pyTo,dQty,"&gt;-1E+300",dFlt1,critFlt1,dFlt2,critFlt2,dFlt3,critFlt3))</f>
        <v/>
      </c>
      <c r="F1895" t="str">
        <f>IF($B1895="","",SUMIFS(dQty,dCust,$B1895,dPer,"&gt;="&amp;cyFrom,dPer,"&lt;="&amp;cyTo,dQty,"&gt;-1E+300",dFlt1,critFlt1,dFlt2,critFlt2,dFlt3,critFlt3))</f>
        <v/>
      </c>
      <c r="G1895">
        <f>IF($B1895="",0,IFERROR(IF(OR(C1895&lt;&gt;0,D1895&lt;&gt;0,E1895&lt;&gt;0,F1895&lt;&gt;0),1,0),1))</f>
        <v>0</v>
      </c>
      <c r="H1895" t="str">
        <f>IF(OR(G1895=0,E1895=0),"",C1895/E1895)</f>
        <v/>
      </c>
      <c r="I1895" t="str">
        <f>IF(OR(G1895=0,F1895=0),"",D1895/F1895)</f>
        <v/>
      </c>
      <c r="J1895" t="str">
        <f>IF(OR(H1895="",I1895=""),"",IF(H1895=0,"",I1895/H1895-1))</f>
        <v/>
      </c>
      <c r="K1895" t="str">
        <f>IF($B1895="","",IFERROR(IF(G1895=0,-2E+300,CHOOSE(sortIdx,ROUND(D1895,0),IF(J1895="",-1E+300,ROUND(-J1895,6)),IF(J1895="",-1E+300,ROUND(J1895,6)))),-1.5E+300))</f>
        <v/>
      </c>
      <c r="L1895" t="str">
        <f>IF(K1895="","",RANK(K1895,$K$2:$K$3001,0)+COUNTIF($K$2:K1895,K1895)-1)</f>
        <v/>
      </c>
    </row>
    <row r="1896">
      <c r="B1896" t="str">
        <f>IFERROR(IF(A1896="","","="&amp;SUBSTITUTE(SUBSTITUTE(SUBSTITUTE(A1896,"~","~~"),"*","~*"),"?","~?")),"")</f>
        <v/>
      </c>
      <c r="C1896" t="str">
        <f>IF($B1896="","",SUMIFS(dAmt,dCust,$B1896,dPer,"&gt;="&amp;pyFrom,dPer,"&lt;="&amp;pyTo,dAmt,"&gt;-1E+300",dFlt1,critFlt1,dFlt2,critFlt2,dFlt3,critFlt3))</f>
        <v/>
      </c>
      <c r="D1896" t="str">
        <f>IF($B1896="","",SUMIFS(dAmt,dCust,$B1896,dPer,"&gt;="&amp;cyFrom,dPer,"&lt;="&amp;cyTo,dAmt,"&gt;-1E+300",dFlt1,critFlt1,dFlt2,critFlt2,dFlt3,critFlt3))</f>
        <v/>
      </c>
      <c r="E1896" t="str">
        <f>IF($B1896="","",SUMIFS(dQty,dCust,$B1896,dPer,"&gt;="&amp;pyFrom,dPer,"&lt;="&amp;pyTo,dQty,"&gt;-1E+300",dFlt1,critFlt1,dFlt2,critFlt2,dFlt3,critFlt3))</f>
        <v/>
      </c>
      <c r="F1896" t="str">
        <f>IF($B1896="","",SUMIFS(dQty,dCust,$B1896,dPer,"&gt;="&amp;cyFrom,dPer,"&lt;="&amp;cyTo,dQty,"&gt;-1E+300",dFlt1,critFlt1,dFlt2,critFlt2,dFlt3,critFlt3))</f>
        <v/>
      </c>
      <c r="G1896">
        <f>IF($B1896="",0,IFERROR(IF(OR(C1896&lt;&gt;0,D1896&lt;&gt;0,E1896&lt;&gt;0,F1896&lt;&gt;0),1,0),1))</f>
        <v>0</v>
      </c>
      <c r="H1896" t="str">
        <f>IF(OR(G1896=0,E1896=0),"",C1896/E1896)</f>
        <v/>
      </c>
      <c r="I1896" t="str">
        <f>IF(OR(G1896=0,F1896=0),"",D1896/F1896)</f>
        <v/>
      </c>
      <c r="J1896" t="str">
        <f>IF(OR(H1896="",I1896=""),"",IF(H1896=0,"",I1896/H1896-1))</f>
        <v/>
      </c>
      <c r="K1896" t="str">
        <f>IF($B1896="","",IFERROR(IF(G1896=0,-2E+300,CHOOSE(sortIdx,ROUND(D1896,0),IF(J1896="",-1E+300,ROUND(-J1896,6)),IF(J1896="",-1E+300,ROUND(J1896,6)))),-1.5E+300))</f>
        <v/>
      </c>
      <c r="L1896" t="str">
        <f>IF(K1896="","",RANK(K1896,$K$2:$K$3001,0)+COUNTIF($K$2:K1896,K1896)-1)</f>
        <v/>
      </c>
    </row>
    <row r="1897">
      <c r="B1897" t="str">
        <f>IFERROR(IF(A1897="","","="&amp;SUBSTITUTE(SUBSTITUTE(SUBSTITUTE(A1897,"~","~~"),"*","~*"),"?","~?")),"")</f>
        <v/>
      </c>
      <c r="C1897" t="str">
        <f>IF($B1897="","",SUMIFS(dAmt,dCust,$B1897,dPer,"&gt;="&amp;pyFrom,dPer,"&lt;="&amp;pyTo,dAmt,"&gt;-1E+300",dFlt1,critFlt1,dFlt2,critFlt2,dFlt3,critFlt3))</f>
        <v/>
      </c>
      <c r="D1897" t="str">
        <f>IF($B1897="","",SUMIFS(dAmt,dCust,$B1897,dPer,"&gt;="&amp;cyFrom,dPer,"&lt;="&amp;cyTo,dAmt,"&gt;-1E+300",dFlt1,critFlt1,dFlt2,critFlt2,dFlt3,critFlt3))</f>
        <v/>
      </c>
      <c r="E1897" t="str">
        <f>IF($B1897="","",SUMIFS(dQty,dCust,$B1897,dPer,"&gt;="&amp;pyFrom,dPer,"&lt;="&amp;pyTo,dQty,"&gt;-1E+300",dFlt1,critFlt1,dFlt2,critFlt2,dFlt3,critFlt3))</f>
        <v/>
      </c>
      <c r="F1897" t="str">
        <f>IF($B1897="","",SUMIFS(dQty,dCust,$B1897,dPer,"&gt;="&amp;cyFrom,dPer,"&lt;="&amp;cyTo,dQty,"&gt;-1E+300",dFlt1,critFlt1,dFlt2,critFlt2,dFlt3,critFlt3))</f>
        <v/>
      </c>
      <c r="G1897">
        <f>IF($B1897="",0,IFERROR(IF(OR(C1897&lt;&gt;0,D1897&lt;&gt;0,E1897&lt;&gt;0,F1897&lt;&gt;0),1,0),1))</f>
        <v>0</v>
      </c>
      <c r="H1897" t="str">
        <f>IF(OR(G1897=0,E1897=0),"",C1897/E1897)</f>
        <v/>
      </c>
      <c r="I1897" t="str">
        <f>IF(OR(G1897=0,F1897=0),"",D1897/F1897)</f>
        <v/>
      </c>
      <c r="J1897" t="str">
        <f>IF(OR(H1897="",I1897=""),"",IF(H1897=0,"",I1897/H1897-1))</f>
        <v/>
      </c>
      <c r="K1897" t="str">
        <f>IF($B1897="","",IFERROR(IF(G1897=0,-2E+300,CHOOSE(sortIdx,ROUND(D1897,0),IF(J1897="",-1E+300,ROUND(-J1897,6)),IF(J1897="",-1E+300,ROUND(J1897,6)))),-1.5E+300))</f>
        <v/>
      </c>
      <c r="L1897" t="str">
        <f>IF(K1897="","",RANK(K1897,$K$2:$K$3001,0)+COUNTIF($K$2:K1897,K1897)-1)</f>
        <v/>
      </c>
    </row>
    <row r="1898">
      <c r="B1898" t="str">
        <f>IFERROR(IF(A1898="","","="&amp;SUBSTITUTE(SUBSTITUTE(SUBSTITUTE(A1898,"~","~~"),"*","~*"),"?","~?")),"")</f>
        <v/>
      </c>
      <c r="C1898" t="str">
        <f>IF($B1898="","",SUMIFS(dAmt,dCust,$B1898,dPer,"&gt;="&amp;pyFrom,dPer,"&lt;="&amp;pyTo,dAmt,"&gt;-1E+300",dFlt1,critFlt1,dFlt2,critFlt2,dFlt3,critFlt3))</f>
        <v/>
      </c>
      <c r="D1898" t="str">
        <f>IF($B1898="","",SUMIFS(dAmt,dCust,$B1898,dPer,"&gt;="&amp;cyFrom,dPer,"&lt;="&amp;cyTo,dAmt,"&gt;-1E+300",dFlt1,critFlt1,dFlt2,critFlt2,dFlt3,critFlt3))</f>
        <v/>
      </c>
      <c r="E1898" t="str">
        <f>IF($B1898="","",SUMIFS(dQty,dCust,$B1898,dPer,"&gt;="&amp;pyFrom,dPer,"&lt;="&amp;pyTo,dQty,"&gt;-1E+300",dFlt1,critFlt1,dFlt2,critFlt2,dFlt3,critFlt3))</f>
        <v/>
      </c>
      <c r="F1898" t="str">
        <f>IF($B1898="","",SUMIFS(dQty,dCust,$B1898,dPer,"&gt;="&amp;cyFrom,dPer,"&lt;="&amp;cyTo,dQty,"&gt;-1E+300",dFlt1,critFlt1,dFlt2,critFlt2,dFlt3,critFlt3))</f>
        <v/>
      </c>
      <c r="G1898">
        <f>IF($B1898="",0,IFERROR(IF(OR(C1898&lt;&gt;0,D1898&lt;&gt;0,E1898&lt;&gt;0,F1898&lt;&gt;0),1,0),1))</f>
        <v>0</v>
      </c>
      <c r="H1898" t="str">
        <f>IF(OR(G1898=0,E1898=0),"",C1898/E1898)</f>
        <v/>
      </c>
      <c r="I1898" t="str">
        <f>IF(OR(G1898=0,F1898=0),"",D1898/F1898)</f>
        <v/>
      </c>
      <c r="J1898" t="str">
        <f>IF(OR(H1898="",I1898=""),"",IF(H1898=0,"",I1898/H1898-1))</f>
        <v/>
      </c>
      <c r="K1898" t="str">
        <f>IF($B1898="","",IFERROR(IF(G1898=0,-2E+300,CHOOSE(sortIdx,ROUND(D1898,0),IF(J1898="",-1E+300,ROUND(-J1898,6)),IF(J1898="",-1E+300,ROUND(J1898,6)))),-1.5E+300))</f>
        <v/>
      </c>
      <c r="L1898" t="str">
        <f>IF(K1898="","",RANK(K1898,$K$2:$K$3001,0)+COUNTIF($K$2:K1898,K1898)-1)</f>
        <v/>
      </c>
    </row>
    <row r="1899">
      <c r="B1899" t="str">
        <f>IFERROR(IF(A1899="","","="&amp;SUBSTITUTE(SUBSTITUTE(SUBSTITUTE(A1899,"~","~~"),"*","~*"),"?","~?")),"")</f>
        <v/>
      </c>
      <c r="C1899" t="str">
        <f>IF($B1899="","",SUMIFS(dAmt,dCust,$B1899,dPer,"&gt;="&amp;pyFrom,dPer,"&lt;="&amp;pyTo,dAmt,"&gt;-1E+300",dFlt1,critFlt1,dFlt2,critFlt2,dFlt3,critFlt3))</f>
        <v/>
      </c>
      <c r="D1899" t="str">
        <f>IF($B1899="","",SUMIFS(dAmt,dCust,$B1899,dPer,"&gt;="&amp;cyFrom,dPer,"&lt;="&amp;cyTo,dAmt,"&gt;-1E+300",dFlt1,critFlt1,dFlt2,critFlt2,dFlt3,critFlt3))</f>
        <v/>
      </c>
      <c r="E1899" t="str">
        <f>IF($B1899="","",SUMIFS(dQty,dCust,$B1899,dPer,"&gt;="&amp;pyFrom,dPer,"&lt;="&amp;pyTo,dQty,"&gt;-1E+300",dFlt1,critFlt1,dFlt2,critFlt2,dFlt3,critFlt3))</f>
        <v/>
      </c>
      <c r="F1899" t="str">
        <f>IF($B1899="","",SUMIFS(dQty,dCust,$B1899,dPer,"&gt;="&amp;cyFrom,dPer,"&lt;="&amp;cyTo,dQty,"&gt;-1E+300",dFlt1,critFlt1,dFlt2,critFlt2,dFlt3,critFlt3))</f>
        <v/>
      </c>
      <c r="G1899">
        <f>IF($B1899="",0,IFERROR(IF(OR(C1899&lt;&gt;0,D1899&lt;&gt;0,E1899&lt;&gt;0,F1899&lt;&gt;0),1,0),1))</f>
        <v>0</v>
      </c>
      <c r="H1899" t="str">
        <f>IF(OR(G1899=0,E1899=0),"",C1899/E1899)</f>
        <v/>
      </c>
      <c r="I1899" t="str">
        <f>IF(OR(G1899=0,F1899=0),"",D1899/F1899)</f>
        <v/>
      </c>
      <c r="J1899" t="str">
        <f>IF(OR(H1899="",I1899=""),"",IF(H1899=0,"",I1899/H1899-1))</f>
        <v/>
      </c>
      <c r="K1899" t="str">
        <f>IF($B1899="","",IFERROR(IF(G1899=0,-2E+300,CHOOSE(sortIdx,ROUND(D1899,0),IF(J1899="",-1E+300,ROUND(-J1899,6)),IF(J1899="",-1E+300,ROUND(J1899,6)))),-1.5E+300))</f>
        <v/>
      </c>
      <c r="L1899" t="str">
        <f>IF(K1899="","",RANK(K1899,$K$2:$K$3001,0)+COUNTIF($K$2:K1899,K1899)-1)</f>
        <v/>
      </c>
    </row>
    <row r="1900">
      <c r="B1900" t="str">
        <f>IFERROR(IF(A1900="","","="&amp;SUBSTITUTE(SUBSTITUTE(SUBSTITUTE(A1900,"~","~~"),"*","~*"),"?","~?")),"")</f>
        <v/>
      </c>
      <c r="C1900" t="str">
        <f>IF($B1900="","",SUMIFS(dAmt,dCust,$B1900,dPer,"&gt;="&amp;pyFrom,dPer,"&lt;="&amp;pyTo,dAmt,"&gt;-1E+300",dFlt1,critFlt1,dFlt2,critFlt2,dFlt3,critFlt3))</f>
        <v/>
      </c>
      <c r="D1900" t="str">
        <f>IF($B1900="","",SUMIFS(dAmt,dCust,$B1900,dPer,"&gt;="&amp;cyFrom,dPer,"&lt;="&amp;cyTo,dAmt,"&gt;-1E+300",dFlt1,critFlt1,dFlt2,critFlt2,dFlt3,critFlt3))</f>
        <v/>
      </c>
      <c r="E1900" t="str">
        <f>IF($B1900="","",SUMIFS(dQty,dCust,$B1900,dPer,"&gt;="&amp;pyFrom,dPer,"&lt;="&amp;pyTo,dQty,"&gt;-1E+300",dFlt1,critFlt1,dFlt2,critFlt2,dFlt3,critFlt3))</f>
        <v/>
      </c>
      <c r="F1900" t="str">
        <f>IF($B1900="","",SUMIFS(dQty,dCust,$B1900,dPer,"&gt;="&amp;cyFrom,dPer,"&lt;="&amp;cyTo,dQty,"&gt;-1E+300",dFlt1,critFlt1,dFlt2,critFlt2,dFlt3,critFlt3))</f>
        <v/>
      </c>
      <c r="G1900">
        <f>IF($B1900="",0,IFERROR(IF(OR(C1900&lt;&gt;0,D1900&lt;&gt;0,E1900&lt;&gt;0,F1900&lt;&gt;0),1,0),1))</f>
        <v>0</v>
      </c>
      <c r="H1900" t="str">
        <f>IF(OR(G1900=0,E1900=0),"",C1900/E1900)</f>
        <v/>
      </c>
      <c r="I1900" t="str">
        <f>IF(OR(G1900=0,F1900=0),"",D1900/F1900)</f>
        <v/>
      </c>
      <c r="J1900" t="str">
        <f>IF(OR(H1900="",I1900=""),"",IF(H1900=0,"",I1900/H1900-1))</f>
        <v/>
      </c>
      <c r="K1900" t="str">
        <f>IF($B1900="","",IFERROR(IF(G1900=0,-2E+300,CHOOSE(sortIdx,ROUND(D1900,0),IF(J1900="",-1E+300,ROUND(-J1900,6)),IF(J1900="",-1E+300,ROUND(J1900,6)))),-1.5E+300))</f>
        <v/>
      </c>
      <c r="L1900" t="str">
        <f>IF(K1900="","",RANK(K1900,$K$2:$K$3001,0)+COUNTIF($K$2:K1900,K1900)-1)</f>
        <v/>
      </c>
    </row>
    <row r="1901">
      <c r="B1901" t="str">
        <f>IFERROR(IF(A1901="","","="&amp;SUBSTITUTE(SUBSTITUTE(SUBSTITUTE(A1901,"~","~~"),"*","~*"),"?","~?")),"")</f>
        <v/>
      </c>
      <c r="C1901" t="str">
        <f>IF($B1901="","",SUMIFS(dAmt,dCust,$B1901,dPer,"&gt;="&amp;pyFrom,dPer,"&lt;="&amp;pyTo,dAmt,"&gt;-1E+300",dFlt1,critFlt1,dFlt2,critFlt2,dFlt3,critFlt3))</f>
        <v/>
      </c>
      <c r="D1901" t="str">
        <f>IF($B1901="","",SUMIFS(dAmt,dCust,$B1901,dPer,"&gt;="&amp;cyFrom,dPer,"&lt;="&amp;cyTo,dAmt,"&gt;-1E+300",dFlt1,critFlt1,dFlt2,critFlt2,dFlt3,critFlt3))</f>
        <v/>
      </c>
      <c r="E1901" t="str">
        <f>IF($B1901="","",SUMIFS(dQty,dCust,$B1901,dPer,"&gt;="&amp;pyFrom,dPer,"&lt;="&amp;pyTo,dQty,"&gt;-1E+300",dFlt1,critFlt1,dFlt2,critFlt2,dFlt3,critFlt3))</f>
        <v/>
      </c>
      <c r="F1901" t="str">
        <f>IF($B1901="","",SUMIFS(dQty,dCust,$B1901,dPer,"&gt;="&amp;cyFrom,dPer,"&lt;="&amp;cyTo,dQty,"&gt;-1E+300",dFlt1,critFlt1,dFlt2,critFlt2,dFlt3,critFlt3))</f>
        <v/>
      </c>
      <c r="G1901">
        <f>IF($B1901="",0,IFERROR(IF(OR(C1901&lt;&gt;0,D1901&lt;&gt;0,E1901&lt;&gt;0,F1901&lt;&gt;0),1,0),1))</f>
        <v>0</v>
      </c>
      <c r="H1901" t="str">
        <f>IF(OR(G1901=0,E1901=0),"",C1901/E1901)</f>
        <v/>
      </c>
      <c r="I1901" t="str">
        <f>IF(OR(G1901=0,F1901=0),"",D1901/F1901)</f>
        <v/>
      </c>
      <c r="J1901" t="str">
        <f>IF(OR(H1901="",I1901=""),"",IF(H1901=0,"",I1901/H1901-1))</f>
        <v/>
      </c>
      <c r="K1901" t="str">
        <f>IF($B1901="","",IFERROR(IF(G1901=0,-2E+300,CHOOSE(sortIdx,ROUND(D1901,0),IF(J1901="",-1E+300,ROUND(-J1901,6)),IF(J1901="",-1E+300,ROUND(J1901,6)))),-1.5E+300))</f>
        <v/>
      </c>
      <c r="L1901" t="str">
        <f>IF(K1901="","",RANK(K1901,$K$2:$K$3001,0)+COUNTIF($K$2:K1901,K1901)-1)</f>
        <v/>
      </c>
    </row>
    <row r="1902">
      <c r="B1902" t="str">
        <f>IFERROR(IF(A1902="","","="&amp;SUBSTITUTE(SUBSTITUTE(SUBSTITUTE(A1902,"~","~~"),"*","~*"),"?","~?")),"")</f>
        <v/>
      </c>
      <c r="C1902" t="str">
        <f>IF($B1902="","",SUMIFS(dAmt,dCust,$B1902,dPer,"&gt;="&amp;pyFrom,dPer,"&lt;="&amp;pyTo,dAmt,"&gt;-1E+300",dFlt1,critFlt1,dFlt2,critFlt2,dFlt3,critFlt3))</f>
        <v/>
      </c>
      <c r="D1902" t="str">
        <f>IF($B1902="","",SUMIFS(dAmt,dCust,$B1902,dPer,"&gt;="&amp;cyFrom,dPer,"&lt;="&amp;cyTo,dAmt,"&gt;-1E+300",dFlt1,critFlt1,dFlt2,critFlt2,dFlt3,critFlt3))</f>
        <v/>
      </c>
      <c r="E1902" t="str">
        <f>IF($B1902="","",SUMIFS(dQty,dCust,$B1902,dPer,"&gt;="&amp;pyFrom,dPer,"&lt;="&amp;pyTo,dQty,"&gt;-1E+300",dFlt1,critFlt1,dFlt2,critFlt2,dFlt3,critFlt3))</f>
        <v/>
      </c>
      <c r="F1902" t="str">
        <f>IF($B1902="","",SUMIFS(dQty,dCust,$B1902,dPer,"&gt;="&amp;cyFrom,dPer,"&lt;="&amp;cyTo,dQty,"&gt;-1E+300",dFlt1,critFlt1,dFlt2,critFlt2,dFlt3,critFlt3))</f>
        <v/>
      </c>
      <c r="G1902">
        <f>IF($B1902="",0,IFERROR(IF(OR(C1902&lt;&gt;0,D1902&lt;&gt;0,E1902&lt;&gt;0,F1902&lt;&gt;0),1,0),1))</f>
        <v>0</v>
      </c>
      <c r="H1902" t="str">
        <f>IF(OR(G1902=0,E1902=0),"",C1902/E1902)</f>
        <v/>
      </c>
      <c r="I1902" t="str">
        <f>IF(OR(G1902=0,F1902=0),"",D1902/F1902)</f>
        <v/>
      </c>
      <c r="J1902" t="str">
        <f>IF(OR(H1902="",I1902=""),"",IF(H1902=0,"",I1902/H1902-1))</f>
        <v/>
      </c>
      <c r="K1902" t="str">
        <f>IF($B1902="","",IFERROR(IF(G1902=0,-2E+300,CHOOSE(sortIdx,ROUND(D1902,0),IF(J1902="",-1E+300,ROUND(-J1902,6)),IF(J1902="",-1E+300,ROUND(J1902,6)))),-1.5E+300))</f>
        <v/>
      </c>
      <c r="L1902" t="str">
        <f>IF(K1902="","",RANK(K1902,$K$2:$K$3001,0)+COUNTIF($K$2:K1902,K1902)-1)</f>
        <v/>
      </c>
    </row>
    <row r="1903">
      <c r="B1903" t="str">
        <f>IFERROR(IF(A1903="","","="&amp;SUBSTITUTE(SUBSTITUTE(SUBSTITUTE(A1903,"~","~~"),"*","~*"),"?","~?")),"")</f>
        <v/>
      </c>
      <c r="C1903" t="str">
        <f>IF($B1903="","",SUMIFS(dAmt,dCust,$B1903,dPer,"&gt;="&amp;pyFrom,dPer,"&lt;="&amp;pyTo,dAmt,"&gt;-1E+300",dFlt1,critFlt1,dFlt2,critFlt2,dFlt3,critFlt3))</f>
        <v/>
      </c>
      <c r="D1903" t="str">
        <f>IF($B1903="","",SUMIFS(dAmt,dCust,$B1903,dPer,"&gt;="&amp;cyFrom,dPer,"&lt;="&amp;cyTo,dAmt,"&gt;-1E+300",dFlt1,critFlt1,dFlt2,critFlt2,dFlt3,critFlt3))</f>
        <v/>
      </c>
      <c r="E1903" t="str">
        <f>IF($B1903="","",SUMIFS(dQty,dCust,$B1903,dPer,"&gt;="&amp;pyFrom,dPer,"&lt;="&amp;pyTo,dQty,"&gt;-1E+300",dFlt1,critFlt1,dFlt2,critFlt2,dFlt3,critFlt3))</f>
        <v/>
      </c>
      <c r="F1903" t="str">
        <f>IF($B1903="","",SUMIFS(dQty,dCust,$B1903,dPer,"&gt;="&amp;cyFrom,dPer,"&lt;="&amp;cyTo,dQty,"&gt;-1E+300",dFlt1,critFlt1,dFlt2,critFlt2,dFlt3,critFlt3))</f>
        <v/>
      </c>
      <c r="G1903">
        <f>IF($B1903="",0,IFERROR(IF(OR(C1903&lt;&gt;0,D1903&lt;&gt;0,E1903&lt;&gt;0,F1903&lt;&gt;0),1,0),1))</f>
        <v>0</v>
      </c>
      <c r="H1903" t="str">
        <f>IF(OR(G1903=0,E1903=0),"",C1903/E1903)</f>
        <v/>
      </c>
      <c r="I1903" t="str">
        <f>IF(OR(G1903=0,F1903=0),"",D1903/F1903)</f>
        <v/>
      </c>
      <c r="J1903" t="str">
        <f>IF(OR(H1903="",I1903=""),"",IF(H1903=0,"",I1903/H1903-1))</f>
        <v/>
      </c>
      <c r="K1903" t="str">
        <f>IF($B1903="","",IFERROR(IF(G1903=0,-2E+300,CHOOSE(sortIdx,ROUND(D1903,0),IF(J1903="",-1E+300,ROUND(-J1903,6)),IF(J1903="",-1E+300,ROUND(J1903,6)))),-1.5E+300))</f>
        <v/>
      </c>
      <c r="L1903" t="str">
        <f>IF(K1903="","",RANK(K1903,$K$2:$K$3001,0)+COUNTIF($K$2:K1903,K1903)-1)</f>
        <v/>
      </c>
    </row>
    <row r="1904">
      <c r="B1904" t="str">
        <f>IFERROR(IF(A1904="","","="&amp;SUBSTITUTE(SUBSTITUTE(SUBSTITUTE(A1904,"~","~~"),"*","~*"),"?","~?")),"")</f>
        <v/>
      </c>
      <c r="C1904" t="str">
        <f>IF($B1904="","",SUMIFS(dAmt,dCust,$B1904,dPer,"&gt;="&amp;pyFrom,dPer,"&lt;="&amp;pyTo,dAmt,"&gt;-1E+300",dFlt1,critFlt1,dFlt2,critFlt2,dFlt3,critFlt3))</f>
        <v/>
      </c>
      <c r="D1904" t="str">
        <f>IF($B1904="","",SUMIFS(dAmt,dCust,$B1904,dPer,"&gt;="&amp;cyFrom,dPer,"&lt;="&amp;cyTo,dAmt,"&gt;-1E+300",dFlt1,critFlt1,dFlt2,critFlt2,dFlt3,critFlt3))</f>
        <v/>
      </c>
      <c r="E1904" t="str">
        <f>IF($B1904="","",SUMIFS(dQty,dCust,$B1904,dPer,"&gt;="&amp;pyFrom,dPer,"&lt;="&amp;pyTo,dQty,"&gt;-1E+300",dFlt1,critFlt1,dFlt2,critFlt2,dFlt3,critFlt3))</f>
        <v/>
      </c>
      <c r="F1904" t="str">
        <f>IF($B1904="","",SUMIFS(dQty,dCust,$B1904,dPer,"&gt;="&amp;cyFrom,dPer,"&lt;="&amp;cyTo,dQty,"&gt;-1E+300",dFlt1,critFlt1,dFlt2,critFlt2,dFlt3,critFlt3))</f>
        <v/>
      </c>
      <c r="G1904">
        <f>IF($B1904="",0,IFERROR(IF(OR(C1904&lt;&gt;0,D1904&lt;&gt;0,E1904&lt;&gt;0,F1904&lt;&gt;0),1,0),1))</f>
        <v>0</v>
      </c>
      <c r="H1904" t="str">
        <f>IF(OR(G1904=0,E1904=0),"",C1904/E1904)</f>
        <v/>
      </c>
      <c r="I1904" t="str">
        <f>IF(OR(G1904=0,F1904=0),"",D1904/F1904)</f>
        <v/>
      </c>
      <c r="J1904" t="str">
        <f>IF(OR(H1904="",I1904=""),"",IF(H1904=0,"",I1904/H1904-1))</f>
        <v/>
      </c>
      <c r="K1904" t="str">
        <f>IF($B1904="","",IFERROR(IF(G1904=0,-2E+300,CHOOSE(sortIdx,ROUND(D1904,0),IF(J1904="",-1E+300,ROUND(-J1904,6)),IF(J1904="",-1E+300,ROUND(J1904,6)))),-1.5E+300))</f>
        <v/>
      </c>
      <c r="L1904" t="str">
        <f>IF(K1904="","",RANK(K1904,$K$2:$K$3001,0)+COUNTIF($K$2:K1904,K1904)-1)</f>
        <v/>
      </c>
    </row>
    <row r="1905">
      <c r="B1905" t="str">
        <f>IFERROR(IF(A1905="","","="&amp;SUBSTITUTE(SUBSTITUTE(SUBSTITUTE(A1905,"~","~~"),"*","~*"),"?","~?")),"")</f>
        <v/>
      </c>
      <c r="C1905" t="str">
        <f>IF($B1905="","",SUMIFS(dAmt,dCust,$B1905,dPer,"&gt;="&amp;pyFrom,dPer,"&lt;="&amp;pyTo,dAmt,"&gt;-1E+300",dFlt1,critFlt1,dFlt2,critFlt2,dFlt3,critFlt3))</f>
        <v/>
      </c>
      <c r="D1905" t="str">
        <f>IF($B1905="","",SUMIFS(dAmt,dCust,$B1905,dPer,"&gt;="&amp;cyFrom,dPer,"&lt;="&amp;cyTo,dAmt,"&gt;-1E+300",dFlt1,critFlt1,dFlt2,critFlt2,dFlt3,critFlt3))</f>
        <v/>
      </c>
      <c r="E1905" t="str">
        <f>IF($B1905="","",SUMIFS(dQty,dCust,$B1905,dPer,"&gt;="&amp;pyFrom,dPer,"&lt;="&amp;pyTo,dQty,"&gt;-1E+300",dFlt1,critFlt1,dFlt2,critFlt2,dFlt3,critFlt3))</f>
        <v/>
      </c>
      <c r="F1905" t="str">
        <f>IF($B1905="","",SUMIFS(dQty,dCust,$B1905,dPer,"&gt;="&amp;cyFrom,dPer,"&lt;="&amp;cyTo,dQty,"&gt;-1E+300",dFlt1,critFlt1,dFlt2,critFlt2,dFlt3,critFlt3))</f>
        <v/>
      </c>
      <c r="G1905">
        <f>IF($B1905="",0,IFERROR(IF(OR(C1905&lt;&gt;0,D1905&lt;&gt;0,E1905&lt;&gt;0,F1905&lt;&gt;0),1,0),1))</f>
        <v>0</v>
      </c>
      <c r="H1905" t="str">
        <f>IF(OR(G1905=0,E1905=0),"",C1905/E1905)</f>
        <v/>
      </c>
      <c r="I1905" t="str">
        <f>IF(OR(G1905=0,F1905=0),"",D1905/F1905)</f>
        <v/>
      </c>
      <c r="J1905" t="str">
        <f>IF(OR(H1905="",I1905=""),"",IF(H1905=0,"",I1905/H1905-1))</f>
        <v/>
      </c>
      <c r="K1905" t="str">
        <f>IF($B1905="","",IFERROR(IF(G1905=0,-2E+300,CHOOSE(sortIdx,ROUND(D1905,0),IF(J1905="",-1E+300,ROUND(-J1905,6)),IF(J1905="",-1E+300,ROUND(J1905,6)))),-1.5E+300))</f>
        <v/>
      </c>
      <c r="L1905" t="str">
        <f>IF(K1905="","",RANK(K1905,$K$2:$K$3001,0)+COUNTIF($K$2:K1905,K1905)-1)</f>
        <v/>
      </c>
    </row>
    <row r="1906">
      <c r="B1906" t="str">
        <f>IFERROR(IF(A1906="","","="&amp;SUBSTITUTE(SUBSTITUTE(SUBSTITUTE(A1906,"~","~~"),"*","~*"),"?","~?")),"")</f>
        <v/>
      </c>
      <c r="C1906" t="str">
        <f>IF($B1906="","",SUMIFS(dAmt,dCust,$B1906,dPer,"&gt;="&amp;pyFrom,dPer,"&lt;="&amp;pyTo,dAmt,"&gt;-1E+300",dFlt1,critFlt1,dFlt2,critFlt2,dFlt3,critFlt3))</f>
        <v/>
      </c>
      <c r="D1906" t="str">
        <f>IF($B1906="","",SUMIFS(dAmt,dCust,$B1906,dPer,"&gt;="&amp;cyFrom,dPer,"&lt;="&amp;cyTo,dAmt,"&gt;-1E+300",dFlt1,critFlt1,dFlt2,critFlt2,dFlt3,critFlt3))</f>
        <v/>
      </c>
      <c r="E1906" t="str">
        <f>IF($B1906="","",SUMIFS(dQty,dCust,$B1906,dPer,"&gt;="&amp;pyFrom,dPer,"&lt;="&amp;pyTo,dQty,"&gt;-1E+300",dFlt1,critFlt1,dFlt2,critFlt2,dFlt3,critFlt3))</f>
        <v/>
      </c>
      <c r="F1906" t="str">
        <f>IF($B1906="","",SUMIFS(dQty,dCust,$B1906,dPer,"&gt;="&amp;cyFrom,dPer,"&lt;="&amp;cyTo,dQty,"&gt;-1E+300",dFlt1,critFlt1,dFlt2,critFlt2,dFlt3,critFlt3))</f>
        <v/>
      </c>
      <c r="G1906">
        <f>IF($B1906="",0,IFERROR(IF(OR(C1906&lt;&gt;0,D1906&lt;&gt;0,E1906&lt;&gt;0,F1906&lt;&gt;0),1,0),1))</f>
        <v>0</v>
      </c>
      <c r="H1906" t="str">
        <f>IF(OR(G1906=0,E1906=0),"",C1906/E1906)</f>
        <v/>
      </c>
      <c r="I1906" t="str">
        <f>IF(OR(G1906=0,F1906=0),"",D1906/F1906)</f>
        <v/>
      </c>
      <c r="J1906" t="str">
        <f>IF(OR(H1906="",I1906=""),"",IF(H1906=0,"",I1906/H1906-1))</f>
        <v/>
      </c>
      <c r="K1906" t="str">
        <f>IF($B1906="","",IFERROR(IF(G1906=0,-2E+300,CHOOSE(sortIdx,ROUND(D1906,0),IF(J1906="",-1E+300,ROUND(-J1906,6)),IF(J1906="",-1E+300,ROUND(J1906,6)))),-1.5E+300))</f>
        <v/>
      </c>
      <c r="L1906" t="str">
        <f>IF(K1906="","",RANK(K1906,$K$2:$K$3001,0)+COUNTIF($K$2:K1906,K1906)-1)</f>
        <v/>
      </c>
    </row>
    <row r="1907">
      <c r="B1907" t="str">
        <f>IFERROR(IF(A1907="","","="&amp;SUBSTITUTE(SUBSTITUTE(SUBSTITUTE(A1907,"~","~~"),"*","~*"),"?","~?")),"")</f>
        <v/>
      </c>
      <c r="C1907" t="str">
        <f>IF($B1907="","",SUMIFS(dAmt,dCust,$B1907,dPer,"&gt;="&amp;pyFrom,dPer,"&lt;="&amp;pyTo,dAmt,"&gt;-1E+300",dFlt1,critFlt1,dFlt2,critFlt2,dFlt3,critFlt3))</f>
        <v/>
      </c>
      <c r="D1907" t="str">
        <f>IF($B1907="","",SUMIFS(dAmt,dCust,$B1907,dPer,"&gt;="&amp;cyFrom,dPer,"&lt;="&amp;cyTo,dAmt,"&gt;-1E+300",dFlt1,critFlt1,dFlt2,critFlt2,dFlt3,critFlt3))</f>
        <v/>
      </c>
      <c r="E1907" t="str">
        <f>IF($B1907="","",SUMIFS(dQty,dCust,$B1907,dPer,"&gt;="&amp;pyFrom,dPer,"&lt;="&amp;pyTo,dQty,"&gt;-1E+300",dFlt1,critFlt1,dFlt2,critFlt2,dFlt3,critFlt3))</f>
        <v/>
      </c>
      <c r="F1907" t="str">
        <f>IF($B1907="","",SUMIFS(dQty,dCust,$B1907,dPer,"&gt;="&amp;cyFrom,dPer,"&lt;="&amp;cyTo,dQty,"&gt;-1E+300",dFlt1,critFlt1,dFlt2,critFlt2,dFlt3,critFlt3))</f>
        <v/>
      </c>
      <c r="G1907">
        <f>IF($B1907="",0,IFERROR(IF(OR(C1907&lt;&gt;0,D1907&lt;&gt;0,E1907&lt;&gt;0,F1907&lt;&gt;0),1,0),1))</f>
        <v>0</v>
      </c>
      <c r="H1907" t="str">
        <f>IF(OR(G1907=0,E1907=0),"",C1907/E1907)</f>
        <v/>
      </c>
      <c r="I1907" t="str">
        <f>IF(OR(G1907=0,F1907=0),"",D1907/F1907)</f>
        <v/>
      </c>
      <c r="J1907" t="str">
        <f>IF(OR(H1907="",I1907=""),"",IF(H1907=0,"",I1907/H1907-1))</f>
        <v/>
      </c>
      <c r="K1907" t="str">
        <f>IF($B1907="","",IFERROR(IF(G1907=0,-2E+300,CHOOSE(sortIdx,ROUND(D1907,0),IF(J1907="",-1E+300,ROUND(-J1907,6)),IF(J1907="",-1E+300,ROUND(J1907,6)))),-1.5E+300))</f>
        <v/>
      </c>
      <c r="L1907" t="str">
        <f>IF(K1907="","",RANK(K1907,$K$2:$K$3001,0)+COUNTIF($K$2:K1907,K1907)-1)</f>
        <v/>
      </c>
    </row>
    <row r="1908">
      <c r="B1908" t="str">
        <f>IFERROR(IF(A1908="","","="&amp;SUBSTITUTE(SUBSTITUTE(SUBSTITUTE(A1908,"~","~~"),"*","~*"),"?","~?")),"")</f>
        <v/>
      </c>
      <c r="C1908" t="str">
        <f>IF($B1908="","",SUMIFS(dAmt,dCust,$B1908,dPer,"&gt;="&amp;pyFrom,dPer,"&lt;="&amp;pyTo,dAmt,"&gt;-1E+300",dFlt1,critFlt1,dFlt2,critFlt2,dFlt3,critFlt3))</f>
        <v/>
      </c>
      <c r="D1908" t="str">
        <f>IF($B1908="","",SUMIFS(dAmt,dCust,$B1908,dPer,"&gt;="&amp;cyFrom,dPer,"&lt;="&amp;cyTo,dAmt,"&gt;-1E+300",dFlt1,critFlt1,dFlt2,critFlt2,dFlt3,critFlt3))</f>
        <v/>
      </c>
      <c r="E1908" t="str">
        <f>IF($B1908="","",SUMIFS(dQty,dCust,$B1908,dPer,"&gt;="&amp;pyFrom,dPer,"&lt;="&amp;pyTo,dQty,"&gt;-1E+300",dFlt1,critFlt1,dFlt2,critFlt2,dFlt3,critFlt3))</f>
        <v/>
      </c>
      <c r="F1908" t="str">
        <f>IF($B1908="","",SUMIFS(dQty,dCust,$B1908,dPer,"&gt;="&amp;cyFrom,dPer,"&lt;="&amp;cyTo,dQty,"&gt;-1E+300",dFlt1,critFlt1,dFlt2,critFlt2,dFlt3,critFlt3))</f>
        <v/>
      </c>
      <c r="G1908">
        <f>IF($B1908="",0,IFERROR(IF(OR(C1908&lt;&gt;0,D1908&lt;&gt;0,E1908&lt;&gt;0,F1908&lt;&gt;0),1,0),1))</f>
        <v>0</v>
      </c>
      <c r="H1908" t="str">
        <f>IF(OR(G1908=0,E1908=0),"",C1908/E1908)</f>
        <v/>
      </c>
      <c r="I1908" t="str">
        <f>IF(OR(G1908=0,F1908=0),"",D1908/F1908)</f>
        <v/>
      </c>
      <c r="J1908" t="str">
        <f>IF(OR(H1908="",I1908=""),"",IF(H1908=0,"",I1908/H1908-1))</f>
        <v/>
      </c>
      <c r="K1908" t="str">
        <f>IF($B1908="","",IFERROR(IF(G1908=0,-2E+300,CHOOSE(sortIdx,ROUND(D1908,0),IF(J1908="",-1E+300,ROUND(-J1908,6)),IF(J1908="",-1E+300,ROUND(J1908,6)))),-1.5E+300))</f>
        <v/>
      </c>
      <c r="L1908" t="str">
        <f>IF(K1908="","",RANK(K1908,$K$2:$K$3001,0)+COUNTIF($K$2:K1908,K1908)-1)</f>
        <v/>
      </c>
    </row>
    <row r="1909">
      <c r="B1909" t="str">
        <f>IFERROR(IF(A1909="","","="&amp;SUBSTITUTE(SUBSTITUTE(SUBSTITUTE(A1909,"~","~~"),"*","~*"),"?","~?")),"")</f>
        <v/>
      </c>
      <c r="C1909" t="str">
        <f>IF($B1909="","",SUMIFS(dAmt,dCust,$B1909,dPer,"&gt;="&amp;pyFrom,dPer,"&lt;="&amp;pyTo,dAmt,"&gt;-1E+300",dFlt1,critFlt1,dFlt2,critFlt2,dFlt3,critFlt3))</f>
        <v/>
      </c>
      <c r="D1909" t="str">
        <f>IF($B1909="","",SUMIFS(dAmt,dCust,$B1909,dPer,"&gt;="&amp;cyFrom,dPer,"&lt;="&amp;cyTo,dAmt,"&gt;-1E+300",dFlt1,critFlt1,dFlt2,critFlt2,dFlt3,critFlt3))</f>
        <v/>
      </c>
      <c r="E1909" t="str">
        <f>IF($B1909="","",SUMIFS(dQty,dCust,$B1909,dPer,"&gt;="&amp;pyFrom,dPer,"&lt;="&amp;pyTo,dQty,"&gt;-1E+300",dFlt1,critFlt1,dFlt2,critFlt2,dFlt3,critFlt3))</f>
        <v/>
      </c>
      <c r="F1909" t="str">
        <f>IF($B1909="","",SUMIFS(dQty,dCust,$B1909,dPer,"&gt;="&amp;cyFrom,dPer,"&lt;="&amp;cyTo,dQty,"&gt;-1E+300",dFlt1,critFlt1,dFlt2,critFlt2,dFlt3,critFlt3))</f>
        <v/>
      </c>
      <c r="G1909">
        <f>IF($B1909="",0,IFERROR(IF(OR(C1909&lt;&gt;0,D1909&lt;&gt;0,E1909&lt;&gt;0,F1909&lt;&gt;0),1,0),1))</f>
        <v>0</v>
      </c>
      <c r="H1909" t="str">
        <f>IF(OR(G1909=0,E1909=0),"",C1909/E1909)</f>
        <v/>
      </c>
      <c r="I1909" t="str">
        <f>IF(OR(G1909=0,F1909=0),"",D1909/F1909)</f>
        <v/>
      </c>
      <c r="J1909" t="str">
        <f>IF(OR(H1909="",I1909=""),"",IF(H1909=0,"",I1909/H1909-1))</f>
        <v/>
      </c>
      <c r="K1909" t="str">
        <f>IF($B1909="","",IFERROR(IF(G1909=0,-2E+300,CHOOSE(sortIdx,ROUND(D1909,0),IF(J1909="",-1E+300,ROUND(-J1909,6)),IF(J1909="",-1E+300,ROUND(J1909,6)))),-1.5E+300))</f>
        <v/>
      </c>
      <c r="L1909" t="str">
        <f>IF(K1909="","",RANK(K1909,$K$2:$K$3001,0)+COUNTIF($K$2:K1909,K1909)-1)</f>
        <v/>
      </c>
    </row>
    <row r="1910">
      <c r="B1910" t="str">
        <f>IFERROR(IF(A1910="","","="&amp;SUBSTITUTE(SUBSTITUTE(SUBSTITUTE(A1910,"~","~~"),"*","~*"),"?","~?")),"")</f>
        <v/>
      </c>
      <c r="C1910" t="str">
        <f>IF($B1910="","",SUMIFS(dAmt,dCust,$B1910,dPer,"&gt;="&amp;pyFrom,dPer,"&lt;="&amp;pyTo,dAmt,"&gt;-1E+300",dFlt1,critFlt1,dFlt2,critFlt2,dFlt3,critFlt3))</f>
        <v/>
      </c>
      <c r="D1910" t="str">
        <f>IF($B1910="","",SUMIFS(dAmt,dCust,$B1910,dPer,"&gt;="&amp;cyFrom,dPer,"&lt;="&amp;cyTo,dAmt,"&gt;-1E+300",dFlt1,critFlt1,dFlt2,critFlt2,dFlt3,critFlt3))</f>
        <v/>
      </c>
      <c r="E1910" t="str">
        <f>IF($B1910="","",SUMIFS(dQty,dCust,$B1910,dPer,"&gt;="&amp;pyFrom,dPer,"&lt;="&amp;pyTo,dQty,"&gt;-1E+300",dFlt1,critFlt1,dFlt2,critFlt2,dFlt3,critFlt3))</f>
        <v/>
      </c>
      <c r="F1910" t="str">
        <f>IF($B1910="","",SUMIFS(dQty,dCust,$B1910,dPer,"&gt;="&amp;cyFrom,dPer,"&lt;="&amp;cyTo,dQty,"&gt;-1E+300",dFlt1,critFlt1,dFlt2,critFlt2,dFlt3,critFlt3))</f>
        <v/>
      </c>
      <c r="G1910">
        <f>IF($B1910="",0,IFERROR(IF(OR(C1910&lt;&gt;0,D1910&lt;&gt;0,E1910&lt;&gt;0,F1910&lt;&gt;0),1,0),1))</f>
        <v>0</v>
      </c>
      <c r="H1910" t="str">
        <f>IF(OR(G1910=0,E1910=0),"",C1910/E1910)</f>
        <v/>
      </c>
      <c r="I1910" t="str">
        <f>IF(OR(G1910=0,F1910=0),"",D1910/F1910)</f>
        <v/>
      </c>
      <c r="J1910" t="str">
        <f>IF(OR(H1910="",I1910=""),"",IF(H1910=0,"",I1910/H1910-1))</f>
        <v/>
      </c>
      <c r="K1910" t="str">
        <f>IF($B1910="","",IFERROR(IF(G1910=0,-2E+300,CHOOSE(sortIdx,ROUND(D1910,0),IF(J1910="",-1E+300,ROUND(-J1910,6)),IF(J1910="",-1E+300,ROUND(J1910,6)))),-1.5E+300))</f>
        <v/>
      </c>
      <c r="L1910" t="str">
        <f>IF(K1910="","",RANK(K1910,$K$2:$K$3001,0)+COUNTIF($K$2:K1910,K1910)-1)</f>
        <v/>
      </c>
    </row>
    <row r="1911">
      <c r="B1911" t="str">
        <f>IFERROR(IF(A1911="","","="&amp;SUBSTITUTE(SUBSTITUTE(SUBSTITUTE(A1911,"~","~~"),"*","~*"),"?","~?")),"")</f>
        <v/>
      </c>
      <c r="C1911" t="str">
        <f>IF($B1911="","",SUMIFS(dAmt,dCust,$B1911,dPer,"&gt;="&amp;pyFrom,dPer,"&lt;="&amp;pyTo,dAmt,"&gt;-1E+300",dFlt1,critFlt1,dFlt2,critFlt2,dFlt3,critFlt3))</f>
        <v/>
      </c>
      <c r="D1911" t="str">
        <f>IF($B1911="","",SUMIFS(dAmt,dCust,$B1911,dPer,"&gt;="&amp;cyFrom,dPer,"&lt;="&amp;cyTo,dAmt,"&gt;-1E+300",dFlt1,critFlt1,dFlt2,critFlt2,dFlt3,critFlt3))</f>
        <v/>
      </c>
      <c r="E1911" t="str">
        <f>IF($B1911="","",SUMIFS(dQty,dCust,$B1911,dPer,"&gt;="&amp;pyFrom,dPer,"&lt;="&amp;pyTo,dQty,"&gt;-1E+300",dFlt1,critFlt1,dFlt2,critFlt2,dFlt3,critFlt3))</f>
        <v/>
      </c>
      <c r="F1911" t="str">
        <f>IF($B1911="","",SUMIFS(dQty,dCust,$B1911,dPer,"&gt;="&amp;cyFrom,dPer,"&lt;="&amp;cyTo,dQty,"&gt;-1E+300",dFlt1,critFlt1,dFlt2,critFlt2,dFlt3,critFlt3))</f>
        <v/>
      </c>
      <c r="G1911">
        <f>IF($B1911="",0,IFERROR(IF(OR(C1911&lt;&gt;0,D1911&lt;&gt;0,E1911&lt;&gt;0,F1911&lt;&gt;0),1,0),1))</f>
        <v>0</v>
      </c>
      <c r="H1911" t="str">
        <f>IF(OR(G1911=0,E1911=0),"",C1911/E1911)</f>
        <v/>
      </c>
      <c r="I1911" t="str">
        <f>IF(OR(G1911=0,F1911=0),"",D1911/F1911)</f>
        <v/>
      </c>
      <c r="J1911" t="str">
        <f>IF(OR(H1911="",I1911=""),"",IF(H1911=0,"",I1911/H1911-1))</f>
        <v/>
      </c>
      <c r="K1911" t="str">
        <f>IF($B1911="","",IFERROR(IF(G1911=0,-2E+300,CHOOSE(sortIdx,ROUND(D1911,0),IF(J1911="",-1E+300,ROUND(-J1911,6)),IF(J1911="",-1E+300,ROUND(J1911,6)))),-1.5E+300))</f>
        <v/>
      </c>
      <c r="L1911" t="str">
        <f>IF(K1911="","",RANK(K1911,$K$2:$K$3001,0)+COUNTIF($K$2:K1911,K1911)-1)</f>
        <v/>
      </c>
    </row>
    <row r="1912">
      <c r="B1912" t="str">
        <f>IFERROR(IF(A1912="","","="&amp;SUBSTITUTE(SUBSTITUTE(SUBSTITUTE(A1912,"~","~~"),"*","~*"),"?","~?")),"")</f>
        <v/>
      </c>
      <c r="C1912" t="str">
        <f>IF($B1912="","",SUMIFS(dAmt,dCust,$B1912,dPer,"&gt;="&amp;pyFrom,dPer,"&lt;="&amp;pyTo,dAmt,"&gt;-1E+300",dFlt1,critFlt1,dFlt2,critFlt2,dFlt3,critFlt3))</f>
        <v/>
      </c>
      <c r="D1912" t="str">
        <f>IF($B1912="","",SUMIFS(dAmt,dCust,$B1912,dPer,"&gt;="&amp;cyFrom,dPer,"&lt;="&amp;cyTo,dAmt,"&gt;-1E+300",dFlt1,critFlt1,dFlt2,critFlt2,dFlt3,critFlt3))</f>
        <v/>
      </c>
      <c r="E1912" t="str">
        <f>IF($B1912="","",SUMIFS(dQty,dCust,$B1912,dPer,"&gt;="&amp;pyFrom,dPer,"&lt;="&amp;pyTo,dQty,"&gt;-1E+300",dFlt1,critFlt1,dFlt2,critFlt2,dFlt3,critFlt3))</f>
        <v/>
      </c>
      <c r="F1912" t="str">
        <f>IF($B1912="","",SUMIFS(dQty,dCust,$B1912,dPer,"&gt;="&amp;cyFrom,dPer,"&lt;="&amp;cyTo,dQty,"&gt;-1E+300",dFlt1,critFlt1,dFlt2,critFlt2,dFlt3,critFlt3))</f>
        <v/>
      </c>
      <c r="G1912">
        <f>IF($B1912="",0,IFERROR(IF(OR(C1912&lt;&gt;0,D1912&lt;&gt;0,E1912&lt;&gt;0,F1912&lt;&gt;0),1,0),1))</f>
        <v>0</v>
      </c>
      <c r="H1912" t="str">
        <f>IF(OR(G1912=0,E1912=0),"",C1912/E1912)</f>
        <v/>
      </c>
      <c r="I1912" t="str">
        <f>IF(OR(G1912=0,F1912=0),"",D1912/F1912)</f>
        <v/>
      </c>
      <c r="J1912" t="str">
        <f>IF(OR(H1912="",I1912=""),"",IF(H1912=0,"",I1912/H1912-1))</f>
        <v/>
      </c>
      <c r="K1912" t="str">
        <f>IF($B1912="","",IFERROR(IF(G1912=0,-2E+300,CHOOSE(sortIdx,ROUND(D1912,0),IF(J1912="",-1E+300,ROUND(-J1912,6)),IF(J1912="",-1E+300,ROUND(J1912,6)))),-1.5E+300))</f>
        <v/>
      </c>
      <c r="L1912" t="str">
        <f>IF(K1912="","",RANK(K1912,$K$2:$K$3001,0)+COUNTIF($K$2:K1912,K1912)-1)</f>
        <v/>
      </c>
    </row>
    <row r="1913">
      <c r="B1913" t="str">
        <f>IFERROR(IF(A1913="","","="&amp;SUBSTITUTE(SUBSTITUTE(SUBSTITUTE(A1913,"~","~~"),"*","~*"),"?","~?")),"")</f>
        <v/>
      </c>
      <c r="C1913" t="str">
        <f>IF($B1913="","",SUMIFS(dAmt,dCust,$B1913,dPer,"&gt;="&amp;pyFrom,dPer,"&lt;="&amp;pyTo,dAmt,"&gt;-1E+300",dFlt1,critFlt1,dFlt2,critFlt2,dFlt3,critFlt3))</f>
        <v/>
      </c>
      <c r="D1913" t="str">
        <f>IF($B1913="","",SUMIFS(dAmt,dCust,$B1913,dPer,"&gt;="&amp;cyFrom,dPer,"&lt;="&amp;cyTo,dAmt,"&gt;-1E+300",dFlt1,critFlt1,dFlt2,critFlt2,dFlt3,critFlt3))</f>
        <v/>
      </c>
      <c r="E1913" t="str">
        <f>IF($B1913="","",SUMIFS(dQty,dCust,$B1913,dPer,"&gt;="&amp;pyFrom,dPer,"&lt;="&amp;pyTo,dQty,"&gt;-1E+300",dFlt1,critFlt1,dFlt2,critFlt2,dFlt3,critFlt3))</f>
        <v/>
      </c>
      <c r="F1913" t="str">
        <f>IF($B1913="","",SUMIFS(dQty,dCust,$B1913,dPer,"&gt;="&amp;cyFrom,dPer,"&lt;="&amp;cyTo,dQty,"&gt;-1E+300",dFlt1,critFlt1,dFlt2,critFlt2,dFlt3,critFlt3))</f>
        <v/>
      </c>
      <c r="G1913">
        <f>IF($B1913="",0,IFERROR(IF(OR(C1913&lt;&gt;0,D1913&lt;&gt;0,E1913&lt;&gt;0,F1913&lt;&gt;0),1,0),1))</f>
        <v>0</v>
      </c>
      <c r="H1913" t="str">
        <f>IF(OR(G1913=0,E1913=0),"",C1913/E1913)</f>
        <v/>
      </c>
      <c r="I1913" t="str">
        <f>IF(OR(G1913=0,F1913=0),"",D1913/F1913)</f>
        <v/>
      </c>
      <c r="J1913" t="str">
        <f>IF(OR(H1913="",I1913=""),"",IF(H1913=0,"",I1913/H1913-1))</f>
        <v/>
      </c>
      <c r="K1913" t="str">
        <f>IF($B1913="","",IFERROR(IF(G1913=0,-2E+300,CHOOSE(sortIdx,ROUND(D1913,0),IF(J1913="",-1E+300,ROUND(-J1913,6)),IF(J1913="",-1E+300,ROUND(J1913,6)))),-1.5E+300))</f>
        <v/>
      </c>
      <c r="L1913" t="str">
        <f>IF(K1913="","",RANK(K1913,$K$2:$K$3001,0)+COUNTIF($K$2:K1913,K1913)-1)</f>
        <v/>
      </c>
    </row>
    <row r="1914">
      <c r="B1914" t="str">
        <f>IFERROR(IF(A1914="","","="&amp;SUBSTITUTE(SUBSTITUTE(SUBSTITUTE(A1914,"~","~~"),"*","~*"),"?","~?")),"")</f>
        <v/>
      </c>
      <c r="C1914" t="str">
        <f>IF($B1914="","",SUMIFS(dAmt,dCust,$B1914,dPer,"&gt;="&amp;pyFrom,dPer,"&lt;="&amp;pyTo,dAmt,"&gt;-1E+300",dFlt1,critFlt1,dFlt2,critFlt2,dFlt3,critFlt3))</f>
        <v/>
      </c>
      <c r="D1914" t="str">
        <f>IF($B1914="","",SUMIFS(dAmt,dCust,$B1914,dPer,"&gt;="&amp;cyFrom,dPer,"&lt;="&amp;cyTo,dAmt,"&gt;-1E+300",dFlt1,critFlt1,dFlt2,critFlt2,dFlt3,critFlt3))</f>
        <v/>
      </c>
      <c r="E1914" t="str">
        <f>IF($B1914="","",SUMIFS(dQty,dCust,$B1914,dPer,"&gt;="&amp;pyFrom,dPer,"&lt;="&amp;pyTo,dQty,"&gt;-1E+300",dFlt1,critFlt1,dFlt2,critFlt2,dFlt3,critFlt3))</f>
        <v/>
      </c>
      <c r="F1914" t="str">
        <f>IF($B1914="","",SUMIFS(dQty,dCust,$B1914,dPer,"&gt;="&amp;cyFrom,dPer,"&lt;="&amp;cyTo,dQty,"&gt;-1E+300",dFlt1,critFlt1,dFlt2,critFlt2,dFlt3,critFlt3))</f>
        <v/>
      </c>
      <c r="G1914">
        <f>IF($B1914="",0,IFERROR(IF(OR(C1914&lt;&gt;0,D1914&lt;&gt;0,E1914&lt;&gt;0,F1914&lt;&gt;0),1,0),1))</f>
        <v>0</v>
      </c>
      <c r="H1914" t="str">
        <f>IF(OR(G1914=0,E1914=0),"",C1914/E1914)</f>
        <v/>
      </c>
      <c r="I1914" t="str">
        <f>IF(OR(G1914=0,F1914=0),"",D1914/F1914)</f>
        <v/>
      </c>
      <c r="J1914" t="str">
        <f>IF(OR(H1914="",I1914=""),"",IF(H1914=0,"",I1914/H1914-1))</f>
        <v/>
      </c>
      <c r="K1914" t="str">
        <f>IF($B1914="","",IFERROR(IF(G1914=0,-2E+300,CHOOSE(sortIdx,ROUND(D1914,0),IF(J1914="",-1E+300,ROUND(-J1914,6)),IF(J1914="",-1E+300,ROUND(J1914,6)))),-1.5E+300))</f>
        <v/>
      </c>
      <c r="L1914" t="str">
        <f>IF(K1914="","",RANK(K1914,$K$2:$K$3001,0)+COUNTIF($K$2:K1914,K1914)-1)</f>
        <v/>
      </c>
    </row>
    <row r="1915">
      <c r="B1915" t="str">
        <f>IFERROR(IF(A1915="","","="&amp;SUBSTITUTE(SUBSTITUTE(SUBSTITUTE(A1915,"~","~~"),"*","~*"),"?","~?")),"")</f>
        <v/>
      </c>
      <c r="C1915" t="str">
        <f>IF($B1915="","",SUMIFS(dAmt,dCust,$B1915,dPer,"&gt;="&amp;pyFrom,dPer,"&lt;="&amp;pyTo,dAmt,"&gt;-1E+300",dFlt1,critFlt1,dFlt2,critFlt2,dFlt3,critFlt3))</f>
        <v/>
      </c>
      <c r="D1915" t="str">
        <f>IF($B1915="","",SUMIFS(dAmt,dCust,$B1915,dPer,"&gt;="&amp;cyFrom,dPer,"&lt;="&amp;cyTo,dAmt,"&gt;-1E+300",dFlt1,critFlt1,dFlt2,critFlt2,dFlt3,critFlt3))</f>
        <v/>
      </c>
      <c r="E1915" t="str">
        <f>IF($B1915="","",SUMIFS(dQty,dCust,$B1915,dPer,"&gt;="&amp;pyFrom,dPer,"&lt;="&amp;pyTo,dQty,"&gt;-1E+300",dFlt1,critFlt1,dFlt2,critFlt2,dFlt3,critFlt3))</f>
        <v/>
      </c>
      <c r="F1915" t="str">
        <f>IF($B1915="","",SUMIFS(dQty,dCust,$B1915,dPer,"&gt;="&amp;cyFrom,dPer,"&lt;="&amp;cyTo,dQty,"&gt;-1E+300",dFlt1,critFlt1,dFlt2,critFlt2,dFlt3,critFlt3))</f>
        <v/>
      </c>
      <c r="G1915">
        <f>IF($B1915="",0,IFERROR(IF(OR(C1915&lt;&gt;0,D1915&lt;&gt;0,E1915&lt;&gt;0,F1915&lt;&gt;0),1,0),1))</f>
        <v>0</v>
      </c>
      <c r="H1915" t="str">
        <f>IF(OR(G1915=0,E1915=0),"",C1915/E1915)</f>
        <v/>
      </c>
      <c r="I1915" t="str">
        <f>IF(OR(G1915=0,F1915=0),"",D1915/F1915)</f>
        <v/>
      </c>
      <c r="J1915" t="str">
        <f>IF(OR(H1915="",I1915=""),"",IF(H1915=0,"",I1915/H1915-1))</f>
        <v/>
      </c>
      <c r="K1915" t="str">
        <f>IF($B1915="","",IFERROR(IF(G1915=0,-2E+300,CHOOSE(sortIdx,ROUND(D1915,0),IF(J1915="",-1E+300,ROUND(-J1915,6)),IF(J1915="",-1E+300,ROUND(J1915,6)))),-1.5E+300))</f>
        <v/>
      </c>
      <c r="L1915" t="str">
        <f>IF(K1915="","",RANK(K1915,$K$2:$K$3001,0)+COUNTIF($K$2:K1915,K1915)-1)</f>
        <v/>
      </c>
    </row>
    <row r="1916">
      <c r="B1916" t="str">
        <f>IFERROR(IF(A1916="","","="&amp;SUBSTITUTE(SUBSTITUTE(SUBSTITUTE(A1916,"~","~~"),"*","~*"),"?","~?")),"")</f>
        <v/>
      </c>
      <c r="C1916" t="str">
        <f>IF($B1916="","",SUMIFS(dAmt,dCust,$B1916,dPer,"&gt;="&amp;pyFrom,dPer,"&lt;="&amp;pyTo,dAmt,"&gt;-1E+300",dFlt1,critFlt1,dFlt2,critFlt2,dFlt3,critFlt3))</f>
        <v/>
      </c>
      <c r="D1916" t="str">
        <f>IF($B1916="","",SUMIFS(dAmt,dCust,$B1916,dPer,"&gt;="&amp;cyFrom,dPer,"&lt;="&amp;cyTo,dAmt,"&gt;-1E+300",dFlt1,critFlt1,dFlt2,critFlt2,dFlt3,critFlt3))</f>
        <v/>
      </c>
      <c r="E1916" t="str">
        <f>IF($B1916="","",SUMIFS(dQty,dCust,$B1916,dPer,"&gt;="&amp;pyFrom,dPer,"&lt;="&amp;pyTo,dQty,"&gt;-1E+300",dFlt1,critFlt1,dFlt2,critFlt2,dFlt3,critFlt3))</f>
        <v/>
      </c>
      <c r="F1916" t="str">
        <f>IF($B1916="","",SUMIFS(dQty,dCust,$B1916,dPer,"&gt;="&amp;cyFrom,dPer,"&lt;="&amp;cyTo,dQty,"&gt;-1E+300",dFlt1,critFlt1,dFlt2,critFlt2,dFlt3,critFlt3))</f>
        <v/>
      </c>
      <c r="G1916">
        <f>IF($B1916="",0,IFERROR(IF(OR(C1916&lt;&gt;0,D1916&lt;&gt;0,E1916&lt;&gt;0,F1916&lt;&gt;0),1,0),1))</f>
        <v>0</v>
      </c>
      <c r="H1916" t="str">
        <f>IF(OR(G1916=0,E1916=0),"",C1916/E1916)</f>
        <v/>
      </c>
      <c r="I1916" t="str">
        <f>IF(OR(G1916=0,F1916=0),"",D1916/F1916)</f>
        <v/>
      </c>
      <c r="J1916" t="str">
        <f>IF(OR(H1916="",I1916=""),"",IF(H1916=0,"",I1916/H1916-1))</f>
        <v/>
      </c>
      <c r="K1916" t="str">
        <f>IF($B1916="","",IFERROR(IF(G1916=0,-2E+300,CHOOSE(sortIdx,ROUND(D1916,0),IF(J1916="",-1E+300,ROUND(-J1916,6)),IF(J1916="",-1E+300,ROUND(J1916,6)))),-1.5E+300))</f>
        <v/>
      </c>
      <c r="L1916" t="str">
        <f>IF(K1916="","",RANK(K1916,$K$2:$K$3001,0)+COUNTIF($K$2:K1916,K1916)-1)</f>
        <v/>
      </c>
    </row>
    <row r="1917">
      <c r="B1917" t="str">
        <f>IFERROR(IF(A1917="","","="&amp;SUBSTITUTE(SUBSTITUTE(SUBSTITUTE(A1917,"~","~~"),"*","~*"),"?","~?")),"")</f>
        <v/>
      </c>
      <c r="C1917" t="str">
        <f>IF($B1917="","",SUMIFS(dAmt,dCust,$B1917,dPer,"&gt;="&amp;pyFrom,dPer,"&lt;="&amp;pyTo,dAmt,"&gt;-1E+300",dFlt1,critFlt1,dFlt2,critFlt2,dFlt3,critFlt3))</f>
        <v/>
      </c>
      <c r="D1917" t="str">
        <f>IF($B1917="","",SUMIFS(dAmt,dCust,$B1917,dPer,"&gt;="&amp;cyFrom,dPer,"&lt;="&amp;cyTo,dAmt,"&gt;-1E+300",dFlt1,critFlt1,dFlt2,critFlt2,dFlt3,critFlt3))</f>
        <v/>
      </c>
      <c r="E1917" t="str">
        <f>IF($B1917="","",SUMIFS(dQty,dCust,$B1917,dPer,"&gt;="&amp;pyFrom,dPer,"&lt;="&amp;pyTo,dQty,"&gt;-1E+300",dFlt1,critFlt1,dFlt2,critFlt2,dFlt3,critFlt3))</f>
        <v/>
      </c>
      <c r="F1917" t="str">
        <f>IF($B1917="","",SUMIFS(dQty,dCust,$B1917,dPer,"&gt;="&amp;cyFrom,dPer,"&lt;="&amp;cyTo,dQty,"&gt;-1E+300",dFlt1,critFlt1,dFlt2,critFlt2,dFlt3,critFlt3))</f>
        <v/>
      </c>
      <c r="G1917">
        <f>IF($B1917="",0,IFERROR(IF(OR(C1917&lt;&gt;0,D1917&lt;&gt;0,E1917&lt;&gt;0,F1917&lt;&gt;0),1,0),1))</f>
        <v>0</v>
      </c>
      <c r="H1917" t="str">
        <f>IF(OR(G1917=0,E1917=0),"",C1917/E1917)</f>
        <v/>
      </c>
      <c r="I1917" t="str">
        <f>IF(OR(G1917=0,F1917=0),"",D1917/F1917)</f>
        <v/>
      </c>
      <c r="J1917" t="str">
        <f>IF(OR(H1917="",I1917=""),"",IF(H1917=0,"",I1917/H1917-1))</f>
        <v/>
      </c>
      <c r="K1917" t="str">
        <f>IF($B1917="","",IFERROR(IF(G1917=0,-2E+300,CHOOSE(sortIdx,ROUND(D1917,0),IF(J1917="",-1E+300,ROUND(-J1917,6)),IF(J1917="",-1E+300,ROUND(J1917,6)))),-1.5E+300))</f>
        <v/>
      </c>
      <c r="L1917" t="str">
        <f>IF(K1917="","",RANK(K1917,$K$2:$K$3001,0)+COUNTIF($K$2:K1917,K1917)-1)</f>
        <v/>
      </c>
    </row>
    <row r="1918">
      <c r="B1918" t="str">
        <f>IFERROR(IF(A1918="","","="&amp;SUBSTITUTE(SUBSTITUTE(SUBSTITUTE(A1918,"~","~~"),"*","~*"),"?","~?")),"")</f>
        <v/>
      </c>
      <c r="C1918" t="str">
        <f>IF($B1918="","",SUMIFS(dAmt,dCust,$B1918,dPer,"&gt;="&amp;pyFrom,dPer,"&lt;="&amp;pyTo,dAmt,"&gt;-1E+300",dFlt1,critFlt1,dFlt2,critFlt2,dFlt3,critFlt3))</f>
        <v/>
      </c>
      <c r="D1918" t="str">
        <f>IF($B1918="","",SUMIFS(dAmt,dCust,$B1918,dPer,"&gt;="&amp;cyFrom,dPer,"&lt;="&amp;cyTo,dAmt,"&gt;-1E+300",dFlt1,critFlt1,dFlt2,critFlt2,dFlt3,critFlt3))</f>
        <v/>
      </c>
      <c r="E1918" t="str">
        <f>IF($B1918="","",SUMIFS(dQty,dCust,$B1918,dPer,"&gt;="&amp;pyFrom,dPer,"&lt;="&amp;pyTo,dQty,"&gt;-1E+300",dFlt1,critFlt1,dFlt2,critFlt2,dFlt3,critFlt3))</f>
        <v/>
      </c>
      <c r="F1918" t="str">
        <f>IF($B1918="","",SUMIFS(dQty,dCust,$B1918,dPer,"&gt;="&amp;cyFrom,dPer,"&lt;="&amp;cyTo,dQty,"&gt;-1E+300",dFlt1,critFlt1,dFlt2,critFlt2,dFlt3,critFlt3))</f>
        <v/>
      </c>
      <c r="G1918">
        <f>IF($B1918="",0,IFERROR(IF(OR(C1918&lt;&gt;0,D1918&lt;&gt;0,E1918&lt;&gt;0,F1918&lt;&gt;0),1,0),1))</f>
        <v>0</v>
      </c>
      <c r="H1918" t="str">
        <f>IF(OR(G1918=0,E1918=0),"",C1918/E1918)</f>
        <v/>
      </c>
      <c r="I1918" t="str">
        <f>IF(OR(G1918=0,F1918=0),"",D1918/F1918)</f>
        <v/>
      </c>
      <c r="J1918" t="str">
        <f>IF(OR(H1918="",I1918=""),"",IF(H1918=0,"",I1918/H1918-1))</f>
        <v/>
      </c>
      <c r="K1918" t="str">
        <f>IF($B1918="","",IFERROR(IF(G1918=0,-2E+300,CHOOSE(sortIdx,ROUND(D1918,0),IF(J1918="",-1E+300,ROUND(-J1918,6)),IF(J1918="",-1E+300,ROUND(J1918,6)))),-1.5E+300))</f>
        <v/>
      </c>
      <c r="L1918" t="str">
        <f>IF(K1918="","",RANK(K1918,$K$2:$K$3001,0)+COUNTIF($K$2:K1918,K1918)-1)</f>
        <v/>
      </c>
    </row>
    <row r="1919">
      <c r="B1919" t="str">
        <f>IFERROR(IF(A1919="","","="&amp;SUBSTITUTE(SUBSTITUTE(SUBSTITUTE(A1919,"~","~~"),"*","~*"),"?","~?")),"")</f>
        <v/>
      </c>
      <c r="C1919" t="str">
        <f>IF($B1919="","",SUMIFS(dAmt,dCust,$B1919,dPer,"&gt;="&amp;pyFrom,dPer,"&lt;="&amp;pyTo,dAmt,"&gt;-1E+300",dFlt1,critFlt1,dFlt2,critFlt2,dFlt3,critFlt3))</f>
        <v/>
      </c>
      <c r="D1919" t="str">
        <f>IF($B1919="","",SUMIFS(dAmt,dCust,$B1919,dPer,"&gt;="&amp;cyFrom,dPer,"&lt;="&amp;cyTo,dAmt,"&gt;-1E+300",dFlt1,critFlt1,dFlt2,critFlt2,dFlt3,critFlt3))</f>
        <v/>
      </c>
      <c r="E1919" t="str">
        <f>IF($B1919="","",SUMIFS(dQty,dCust,$B1919,dPer,"&gt;="&amp;pyFrom,dPer,"&lt;="&amp;pyTo,dQty,"&gt;-1E+300",dFlt1,critFlt1,dFlt2,critFlt2,dFlt3,critFlt3))</f>
        <v/>
      </c>
      <c r="F1919" t="str">
        <f>IF($B1919="","",SUMIFS(dQty,dCust,$B1919,dPer,"&gt;="&amp;cyFrom,dPer,"&lt;="&amp;cyTo,dQty,"&gt;-1E+300",dFlt1,critFlt1,dFlt2,critFlt2,dFlt3,critFlt3))</f>
        <v/>
      </c>
      <c r="G1919">
        <f>IF($B1919="",0,IFERROR(IF(OR(C1919&lt;&gt;0,D1919&lt;&gt;0,E1919&lt;&gt;0,F1919&lt;&gt;0),1,0),1))</f>
        <v>0</v>
      </c>
      <c r="H1919" t="str">
        <f>IF(OR(G1919=0,E1919=0),"",C1919/E1919)</f>
        <v/>
      </c>
      <c r="I1919" t="str">
        <f>IF(OR(G1919=0,F1919=0),"",D1919/F1919)</f>
        <v/>
      </c>
      <c r="J1919" t="str">
        <f>IF(OR(H1919="",I1919=""),"",IF(H1919=0,"",I1919/H1919-1))</f>
        <v/>
      </c>
      <c r="K1919" t="str">
        <f>IF($B1919="","",IFERROR(IF(G1919=0,-2E+300,CHOOSE(sortIdx,ROUND(D1919,0),IF(J1919="",-1E+300,ROUND(-J1919,6)),IF(J1919="",-1E+300,ROUND(J1919,6)))),-1.5E+300))</f>
        <v/>
      </c>
      <c r="L1919" t="str">
        <f>IF(K1919="","",RANK(K1919,$K$2:$K$3001,0)+COUNTIF($K$2:K1919,K1919)-1)</f>
        <v/>
      </c>
    </row>
    <row r="1920">
      <c r="B1920" t="str">
        <f>IFERROR(IF(A1920="","","="&amp;SUBSTITUTE(SUBSTITUTE(SUBSTITUTE(A1920,"~","~~"),"*","~*"),"?","~?")),"")</f>
        <v/>
      </c>
      <c r="C1920" t="str">
        <f>IF($B1920="","",SUMIFS(dAmt,dCust,$B1920,dPer,"&gt;="&amp;pyFrom,dPer,"&lt;="&amp;pyTo,dAmt,"&gt;-1E+300",dFlt1,critFlt1,dFlt2,critFlt2,dFlt3,critFlt3))</f>
        <v/>
      </c>
      <c r="D1920" t="str">
        <f>IF($B1920="","",SUMIFS(dAmt,dCust,$B1920,dPer,"&gt;="&amp;cyFrom,dPer,"&lt;="&amp;cyTo,dAmt,"&gt;-1E+300",dFlt1,critFlt1,dFlt2,critFlt2,dFlt3,critFlt3))</f>
        <v/>
      </c>
      <c r="E1920" t="str">
        <f>IF($B1920="","",SUMIFS(dQty,dCust,$B1920,dPer,"&gt;="&amp;pyFrom,dPer,"&lt;="&amp;pyTo,dQty,"&gt;-1E+300",dFlt1,critFlt1,dFlt2,critFlt2,dFlt3,critFlt3))</f>
        <v/>
      </c>
      <c r="F1920" t="str">
        <f>IF($B1920="","",SUMIFS(dQty,dCust,$B1920,dPer,"&gt;="&amp;cyFrom,dPer,"&lt;="&amp;cyTo,dQty,"&gt;-1E+300",dFlt1,critFlt1,dFlt2,critFlt2,dFlt3,critFlt3))</f>
        <v/>
      </c>
      <c r="G1920">
        <f>IF($B1920="",0,IFERROR(IF(OR(C1920&lt;&gt;0,D1920&lt;&gt;0,E1920&lt;&gt;0,F1920&lt;&gt;0),1,0),1))</f>
        <v>0</v>
      </c>
      <c r="H1920" t="str">
        <f>IF(OR(G1920=0,E1920=0),"",C1920/E1920)</f>
        <v/>
      </c>
      <c r="I1920" t="str">
        <f>IF(OR(G1920=0,F1920=0),"",D1920/F1920)</f>
        <v/>
      </c>
      <c r="J1920" t="str">
        <f>IF(OR(H1920="",I1920=""),"",IF(H1920=0,"",I1920/H1920-1))</f>
        <v/>
      </c>
      <c r="K1920" t="str">
        <f>IF($B1920="","",IFERROR(IF(G1920=0,-2E+300,CHOOSE(sortIdx,ROUND(D1920,0),IF(J1920="",-1E+300,ROUND(-J1920,6)),IF(J1920="",-1E+300,ROUND(J1920,6)))),-1.5E+300))</f>
        <v/>
      </c>
      <c r="L1920" t="str">
        <f>IF(K1920="","",RANK(K1920,$K$2:$K$3001,0)+COUNTIF($K$2:K1920,K1920)-1)</f>
        <v/>
      </c>
    </row>
    <row r="1921">
      <c r="B1921" t="str">
        <f>IFERROR(IF(A1921="","","="&amp;SUBSTITUTE(SUBSTITUTE(SUBSTITUTE(A1921,"~","~~"),"*","~*"),"?","~?")),"")</f>
        <v/>
      </c>
      <c r="C1921" t="str">
        <f>IF($B1921="","",SUMIFS(dAmt,dCust,$B1921,dPer,"&gt;="&amp;pyFrom,dPer,"&lt;="&amp;pyTo,dAmt,"&gt;-1E+300",dFlt1,critFlt1,dFlt2,critFlt2,dFlt3,critFlt3))</f>
        <v/>
      </c>
      <c r="D1921" t="str">
        <f>IF($B1921="","",SUMIFS(dAmt,dCust,$B1921,dPer,"&gt;="&amp;cyFrom,dPer,"&lt;="&amp;cyTo,dAmt,"&gt;-1E+300",dFlt1,critFlt1,dFlt2,critFlt2,dFlt3,critFlt3))</f>
        <v/>
      </c>
      <c r="E1921" t="str">
        <f>IF($B1921="","",SUMIFS(dQty,dCust,$B1921,dPer,"&gt;="&amp;pyFrom,dPer,"&lt;="&amp;pyTo,dQty,"&gt;-1E+300",dFlt1,critFlt1,dFlt2,critFlt2,dFlt3,critFlt3))</f>
        <v/>
      </c>
      <c r="F1921" t="str">
        <f>IF($B1921="","",SUMIFS(dQty,dCust,$B1921,dPer,"&gt;="&amp;cyFrom,dPer,"&lt;="&amp;cyTo,dQty,"&gt;-1E+300",dFlt1,critFlt1,dFlt2,critFlt2,dFlt3,critFlt3))</f>
        <v/>
      </c>
      <c r="G1921">
        <f>IF($B1921="",0,IFERROR(IF(OR(C1921&lt;&gt;0,D1921&lt;&gt;0,E1921&lt;&gt;0,F1921&lt;&gt;0),1,0),1))</f>
        <v>0</v>
      </c>
      <c r="H1921" t="str">
        <f>IF(OR(G1921=0,E1921=0),"",C1921/E1921)</f>
        <v/>
      </c>
      <c r="I1921" t="str">
        <f>IF(OR(G1921=0,F1921=0),"",D1921/F1921)</f>
        <v/>
      </c>
      <c r="J1921" t="str">
        <f>IF(OR(H1921="",I1921=""),"",IF(H1921=0,"",I1921/H1921-1))</f>
        <v/>
      </c>
      <c r="K1921" t="str">
        <f>IF($B1921="","",IFERROR(IF(G1921=0,-2E+300,CHOOSE(sortIdx,ROUND(D1921,0),IF(J1921="",-1E+300,ROUND(-J1921,6)),IF(J1921="",-1E+300,ROUND(J1921,6)))),-1.5E+300))</f>
        <v/>
      </c>
      <c r="L1921" t="str">
        <f>IF(K1921="","",RANK(K1921,$K$2:$K$3001,0)+COUNTIF($K$2:K1921,K1921)-1)</f>
        <v/>
      </c>
    </row>
    <row r="1922">
      <c r="B1922" t="str">
        <f>IFERROR(IF(A1922="","","="&amp;SUBSTITUTE(SUBSTITUTE(SUBSTITUTE(A1922,"~","~~"),"*","~*"),"?","~?")),"")</f>
        <v/>
      </c>
      <c r="C1922" t="str">
        <f>IF($B1922="","",SUMIFS(dAmt,dCust,$B1922,dPer,"&gt;="&amp;pyFrom,dPer,"&lt;="&amp;pyTo,dAmt,"&gt;-1E+300",dFlt1,critFlt1,dFlt2,critFlt2,dFlt3,critFlt3))</f>
        <v/>
      </c>
      <c r="D1922" t="str">
        <f>IF($B1922="","",SUMIFS(dAmt,dCust,$B1922,dPer,"&gt;="&amp;cyFrom,dPer,"&lt;="&amp;cyTo,dAmt,"&gt;-1E+300",dFlt1,critFlt1,dFlt2,critFlt2,dFlt3,critFlt3))</f>
        <v/>
      </c>
      <c r="E1922" t="str">
        <f>IF($B1922="","",SUMIFS(dQty,dCust,$B1922,dPer,"&gt;="&amp;pyFrom,dPer,"&lt;="&amp;pyTo,dQty,"&gt;-1E+300",dFlt1,critFlt1,dFlt2,critFlt2,dFlt3,critFlt3))</f>
        <v/>
      </c>
      <c r="F1922" t="str">
        <f>IF($B1922="","",SUMIFS(dQty,dCust,$B1922,dPer,"&gt;="&amp;cyFrom,dPer,"&lt;="&amp;cyTo,dQty,"&gt;-1E+300",dFlt1,critFlt1,dFlt2,critFlt2,dFlt3,critFlt3))</f>
        <v/>
      </c>
      <c r="G1922">
        <f>IF($B1922="",0,IFERROR(IF(OR(C1922&lt;&gt;0,D1922&lt;&gt;0,E1922&lt;&gt;0,F1922&lt;&gt;0),1,0),1))</f>
        <v>0</v>
      </c>
      <c r="H1922" t="str">
        <f>IF(OR(G1922=0,E1922=0),"",C1922/E1922)</f>
        <v/>
      </c>
      <c r="I1922" t="str">
        <f>IF(OR(G1922=0,F1922=0),"",D1922/F1922)</f>
        <v/>
      </c>
      <c r="J1922" t="str">
        <f>IF(OR(H1922="",I1922=""),"",IF(H1922=0,"",I1922/H1922-1))</f>
        <v/>
      </c>
      <c r="K1922" t="str">
        <f>IF($B1922="","",IFERROR(IF(G1922=0,-2E+300,CHOOSE(sortIdx,ROUND(D1922,0),IF(J1922="",-1E+300,ROUND(-J1922,6)),IF(J1922="",-1E+300,ROUND(J1922,6)))),-1.5E+300))</f>
        <v/>
      </c>
      <c r="L1922" t="str">
        <f>IF(K1922="","",RANK(K1922,$K$2:$K$3001,0)+COUNTIF($K$2:K1922,K1922)-1)</f>
        <v/>
      </c>
    </row>
    <row r="1923">
      <c r="B1923" t="str">
        <f>IFERROR(IF(A1923="","","="&amp;SUBSTITUTE(SUBSTITUTE(SUBSTITUTE(A1923,"~","~~"),"*","~*"),"?","~?")),"")</f>
        <v/>
      </c>
      <c r="C1923" t="str">
        <f>IF($B1923="","",SUMIFS(dAmt,dCust,$B1923,dPer,"&gt;="&amp;pyFrom,dPer,"&lt;="&amp;pyTo,dAmt,"&gt;-1E+300",dFlt1,critFlt1,dFlt2,critFlt2,dFlt3,critFlt3))</f>
        <v/>
      </c>
      <c r="D1923" t="str">
        <f>IF($B1923="","",SUMIFS(dAmt,dCust,$B1923,dPer,"&gt;="&amp;cyFrom,dPer,"&lt;="&amp;cyTo,dAmt,"&gt;-1E+300",dFlt1,critFlt1,dFlt2,critFlt2,dFlt3,critFlt3))</f>
        <v/>
      </c>
      <c r="E1923" t="str">
        <f>IF($B1923="","",SUMIFS(dQty,dCust,$B1923,dPer,"&gt;="&amp;pyFrom,dPer,"&lt;="&amp;pyTo,dQty,"&gt;-1E+300",dFlt1,critFlt1,dFlt2,critFlt2,dFlt3,critFlt3))</f>
        <v/>
      </c>
      <c r="F1923" t="str">
        <f>IF($B1923="","",SUMIFS(dQty,dCust,$B1923,dPer,"&gt;="&amp;cyFrom,dPer,"&lt;="&amp;cyTo,dQty,"&gt;-1E+300",dFlt1,critFlt1,dFlt2,critFlt2,dFlt3,critFlt3))</f>
        <v/>
      </c>
      <c r="G1923">
        <f>IF($B1923="",0,IFERROR(IF(OR(C1923&lt;&gt;0,D1923&lt;&gt;0,E1923&lt;&gt;0,F1923&lt;&gt;0),1,0),1))</f>
        <v>0</v>
      </c>
      <c r="H1923" t="str">
        <f>IF(OR(G1923=0,E1923=0),"",C1923/E1923)</f>
        <v/>
      </c>
      <c r="I1923" t="str">
        <f>IF(OR(G1923=0,F1923=0),"",D1923/F1923)</f>
        <v/>
      </c>
      <c r="J1923" t="str">
        <f>IF(OR(H1923="",I1923=""),"",IF(H1923=0,"",I1923/H1923-1))</f>
        <v/>
      </c>
      <c r="K1923" t="str">
        <f>IF($B1923="","",IFERROR(IF(G1923=0,-2E+300,CHOOSE(sortIdx,ROUND(D1923,0),IF(J1923="",-1E+300,ROUND(-J1923,6)),IF(J1923="",-1E+300,ROUND(J1923,6)))),-1.5E+300))</f>
        <v/>
      </c>
      <c r="L1923" t="str">
        <f>IF(K1923="","",RANK(K1923,$K$2:$K$3001,0)+COUNTIF($K$2:K1923,K1923)-1)</f>
        <v/>
      </c>
    </row>
    <row r="1924">
      <c r="B1924" t="str">
        <f>IFERROR(IF(A1924="","","="&amp;SUBSTITUTE(SUBSTITUTE(SUBSTITUTE(A1924,"~","~~"),"*","~*"),"?","~?")),"")</f>
        <v/>
      </c>
      <c r="C1924" t="str">
        <f>IF($B1924="","",SUMIFS(dAmt,dCust,$B1924,dPer,"&gt;="&amp;pyFrom,dPer,"&lt;="&amp;pyTo,dAmt,"&gt;-1E+300",dFlt1,critFlt1,dFlt2,critFlt2,dFlt3,critFlt3))</f>
        <v/>
      </c>
      <c r="D1924" t="str">
        <f>IF($B1924="","",SUMIFS(dAmt,dCust,$B1924,dPer,"&gt;="&amp;cyFrom,dPer,"&lt;="&amp;cyTo,dAmt,"&gt;-1E+300",dFlt1,critFlt1,dFlt2,critFlt2,dFlt3,critFlt3))</f>
        <v/>
      </c>
      <c r="E1924" t="str">
        <f>IF($B1924="","",SUMIFS(dQty,dCust,$B1924,dPer,"&gt;="&amp;pyFrom,dPer,"&lt;="&amp;pyTo,dQty,"&gt;-1E+300",dFlt1,critFlt1,dFlt2,critFlt2,dFlt3,critFlt3))</f>
        <v/>
      </c>
      <c r="F1924" t="str">
        <f>IF($B1924="","",SUMIFS(dQty,dCust,$B1924,dPer,"&gt;="&amp;cyFrom,dPer,"&lt;="&amp;cyTo,dQty,"&gt;-1E+300",dFlt1,critFlt1,dFlt2,critFlt2,dFlt3,critFlt3))</f>
        <v/>
      </c>
      <c r="G1924">
        <f>IF($B1924="",0,IFERROR(IF(OR(C1924&lt;&gt;0,D1924&lt;&gt;0,E1924&lt;&gt;0,F1924&lt;&gt;0),1,0),1))</f>
        <v>0</v>
      </c>
      <c r="H1924" t="str">
        <f>IF(OR(G1924=0,E1924=0),"",C1924/E1924)</f>
        <v/>
      </c>
      <c r="I1924" t="str">
        <f>IF(OR(G1924=0,F1924=0),"",D1924/F1924)</f>
        <v/>
      </c>
      <c r="J1924" t="str">
        <f>IF(OR(H1924="",I1924=""),"",IF(H1924=0,"",I1924/H1924-1))</f>
        <v/>
      </c>
      <c r="K1924" t="str">
        <f>IF($B1924="","",IFERROR(IF(G1924=0,-2E+300,CHOOSE(sortIdx,ROUND(D1924,0),IF(J1924="",-1E+300,ROUND(-J1924,6)),IF(J1924="",-1E+300,ROUND(J1924,6)))),-1.5E+300))</f>
        <v/>
      </c>
      <c r="L1924" t="str">
        <f>IF(K1924="","",RANK(K1924,$K$2:$K$3001,0)+COUNTIF($K$2:K1924,K1924)-1)</f>
        <v/>
      </c>
    </row>
    <row r="1925">
      <c r="B1925" t="str">
        <f>IFERROR(IF(A1925="","","="&amp;SUBSTITUTE(SUBSTITUTE(SUBSTITUTE(A1925,"~","~~"),"*","~*"),"?","~?")),"")</f>
        <v/>
      </c>
      <c r="C1925" t="str">
        <f>IF($B1925="","",SUMIFS(dAmt,dCust,$B1925,dPer,"&gt;="&amp;pyFrom,dPer,"&lt;="&amp;pyTo,dAmt,"&gt;-1E+300",dFlt1,critFlt1,dFlt2,critFlt2,dFlt3,critFlt3))</f>
        <v/>
      </c>
      <c r="D1925" t="str">
        <f>IF($B1925="","",SUMIFS(dAmt,dCust,$B1925,dPer,"&gt;="&amp;cyFrom,dPer,"&lt;="&amp;cyTo,dAmt,"&gt;-1E+300",dFlt1,critFlt1,dFlt2,critFlt2,dFlt3,critFlt3))</f>
        <v/>
      </c>
      <c r="E1925" t="str">
        <f>IF($B1925="","",SUMIFS(dQty,dCust,$B1925,dPer,"&gt;="&amp;pyFrom,dPer,"&lt;="&amp;pyTo,dQty,"&gt;-1E+300",dFlt1,critFlt1,dFlt2,critFlt2,dFlt3,critFlt3))</f>
        <v/>
      </c>
      <c r="F1925" t="str">
        <f>IF($B1925="","",SUMIFS(dQty,dCust,$B1925,dPer,"&gt;="&amp;cyFrom,dPer,"&lt;="&amp;cyTo,dQty,"&gt;-1E+300",dFlt1,critFlt1,dFlt2,critFlt2,dFlt3,critFlt3))</f>
        <v/>
      </c>
      <c r="G1925">
        <f>IF($B1925="",0,IFERROR(IF(OR(C1925&lt;&gt;0,D1925&lt;&gt;0,E1925&lt;&gt;0,F1925&lt;&gt;0),1,0),1))</f>
        <v>0</v>
      </c>
      <c r="H1925" t="str">
        <f>IF(OR(G1925=0,E1925=0),"",C1925/E1925)</f>
        <v/>
      </c>
      <c r="I1925" t="str">
        <f>IF(OR(G1925=0,F1925=0),"",D1925/F1925)</f>
        <v/>
      </c>
      <c r="J1925" t="str">
        <f>IF(OR(H1925="",I1925=""),"",IF(H1925=0,"",I1925/H1925-1))</f>
        <v/>
      </c>
      <c r="K1925" t="str">
        <f>IF($B1925="","",IFERROR(IF(G1925=0,-2E+300,CHOOSE(sortIdx,ROUND(D1925,0),IF(J1925="",-1E+300,ROUND(-J1925,6)),IF(J1925="",-1E+300,ROUND(J1925,6)))),-1.5E+300))</f>
        <v/>
      </c>
      <c r="L1925" t="str">
        <f>IF(K1925="","",RANK(K1925,$K$2:$K$3001,0)+COUNTIF($K$2:K1925,K1925)-1)</f>
        <v/>
      </c>
    </row>
    <row r="1926">
      <c r="B1926" t="str">
        <f>IFERROR(IF(A1926="","","="&amp;SUBSTITUTE(SUBSTITUTE(SUBSTITUTE(A1926,"~","~~"),"*","~*"),"?","~?")),"")</f>
        <v/>
      </c>
      <c r="C1926" t="str">
        <f>IF($B1926="","",SUMIFS(dAmt,dCust,$B1926,dPer,"&gt;="&amp;pyFrom,dPer,"&lt;="&amp;pyTo,dAmt,"&gt;-1E+300",dFlt1,critFlt1,dFlt2,critFlt2,dFlt3,critFlt3))</f>
        <v/>
      </c>
      <c r="D1926" t="str">
        <f>IF($B1926="","",SUMIFS(dAmt,dCust,$B1926,dPer,"&gt;="&amp;cyFrom,dPer,"&lt;="&amp;cyTo,dAmt,"&gt;-1E+300",dFlt1,critFlt1,dFlt2,critFlt2,dFlt3,critFlt3))</f>
        <v/>
      </c>
      <c r="E1926" t="str">
        <f>IF($B1926="","",SUMIFS(dQty,dCust,$B1926,dPer,"&gt;="&amp;pyFrom,dPer,"&lt;="&amp;pyTo,dQty,"&gt;-1E+300",dFlt1,critFlt1,dFlt2,critFlt2,dFlt3,critFlt3))</f>
        <v/>
      </c>
      <c r="F1926" t="str">
        <f>IF($B1926="","",SUMIFS(dQty,dCust,$B1926,dPer,"&gt;="&amp;cyFrom,dPer,"&lt;="&amp;cyTo,dQty,"&gt;-1E+300",dFlt1,critFlt1,dFlt2,critFlt2,dFlt3,critFlt3))</f>
        <v/>
      </c>
      <c r="G1926">
        <f>IF($B1926="",0,IFERROR(IF(OR(C1926&lt;&gt;0,D1926&lt;&gt;0,E1926&lt;&gt;0,F1926&lt;&gt;0),1,0),1))</f>
        <v>0</v>
      </c>
      <c r="H1926" t="str">
        <f>IF(OR(G1926=0,E1926=0),"",C1926/E1926)</f>
        <v/>
      </c>
      <c r="I1926" t="str">
        <f>IF(OR(G1926=0,F1926=0),"",D1926/F1926)</f>
        <v/>
      </c>
      <c r="J1926" t="str">
        <f>IF(OR(H1926="",I1926=""),"",IF(H1926=0,"",I1926/H1926-1))</f>
        <v/>
      </c>
      <c r="K1926" t="str">
        <f>IF($B1926="","",IFERROR(IF(G1926=0,-2E+300,CHOOSE(sortIdx,ROUND(D1926,0),IF(J1926="",-1E+300,ROUND(-J1926,6)),IF(J1926="",-1E+300,ROUND(J1926,6)))),-1.5E+300))</f>
        <v/>
      </c>
      <c r="L1926" t="str">
        <f>IF(K1926="","",RANK(K1926,$K$2:$K$3001,0)+COUNTIF($K$2:K1926,K1926)-1)</f>
        <v/>
      </c>
    </row>
    <row r="1927">
      <c r="B1927" t="str">
        <f>IFERROR(IF(A1927="","","="&amp;SUBSTITUTE(SUBSTITUTE(SUBSTITUTE(A1927,"~","~~"),"*","~*"),"?","~?")),"")</f>
        <v/>
      </c>
      <c r="C1927" t="str">
        <f>IF($B1927="","",SUMIFS(dAmt,dCust,$B1927,dPer,"&gt;="&amp;pyFrom,dPer,"&lt;="&amp;pyTo,dAmt,"&gt;-1E+300",dFlt1,critFlt1,dFlt2,critFlt2,dFlt3,critFlt3))</f>
        <v/>
      </c>
      <c r="D1927" t="str">
        <f>IF($B1927="","",SUMIFS(dAmt,dCust,$B1927,dPer,"&gt;="&amp;cyFrom,dPer,"&lt;="&amp;cyTo,dAmt,"&gt;-1E+300",dFlt1,critFlt1,dFlt2,critFlt2,dFlt3,critFlt3))</f>
        <v/>
      </c>
      <c r="E1927" t="str">
        <f>IF($B1927="","",SUMIFS(dQty,dCust,$B1927,dPer,"&gt;="&amp;pyFrom,dPer,"&lt;="&amp;pyTo,dQty,"&gt;-1E+300",dFlt1,critFlt1,dFlt2,critFlt2,dFlt3,critFlt3))</f>
        <v/>
      </c>
      <c r="F1927" t="str">
        <f>IF($B1927="","",SUMIFS(dQty,dCust,$B1927,dPer,"&gt;="&amp;cyFrom,dPer,"&lt;="&amp;cyTo,dQty,"&gt;-1E+300",dFlt1,critFlt1,dFlt2,critFlt2,dFlt3,critFlt3))</f>
        <v/>
      </c>
      <c r="G1927">
        <f>IF($B1927="",0,IFERROR(IF(OR(C1927&lt;&gt;0,D1927&lt;&gt;0,E1927&lt;&gt;0,F1927&lt;&gt;0),1,0),1))</f>
        <v>0</v>
      </c>
      <c r="H1927" t="str">
        <f>IF(OR(G1927=0,E1927=0),"",C1927/E1927)</f>
        <v/>
      </c>
      <c r="I1927" t="str">
        <f>IF(OR(G1927=0,F1927=0),"",D1927/F1927)</f>
        <v/>
      </c>
      <c r="J1927" t="str">
        <f>IF(OR(H1927="",I1927=""),"",IF(H1927=0,"",I1927/H1927-1))</f>
        <v/>
      </c>
      <c r="K1927" t="str">
        <f>IF($B1927="","",IFERROR(IF(G1927=0,-2E+300,CHOOSE(sortIdx,ROUND(D1927,0),IF(J1927="",-1E+300,ROUND(-J1927,6)),IF(J1927="",-1E+300,ROUND(J1927,6)))),-1.5E+300))</f>
        <v/>
      </c>
      <c r="L1927" t="str">
        <f>IF(K1927="","",RANK(K1927,$K$2:$K$3001,0)+COUNTIF($K$2:K1927,K1927)-1)</f>
        <v/>
      </c>
    </row>
    <row r="1928">
      <c r="B1928" t="str">
        <f>IFERROR(IF(A1928="","","="&amp;SUBSTITUTE(SUBSTITUTE(SUBSTITUTE(A1928,"~","~~"),"*","~*"),"?","~?")),"")</f>
        <v/>
      </c>
      <c r="C1928" t="str">
        <f>IF($B1928="","",SUMIFS(dAmt,dCust,$B1928,dPer,"&gt;="&amp;pyFrom,dPer,"&lt;="&amp;pyTo,dAmt,"&gt;-1E+300",dFlt1,critFlt1,dFlt2,critFlt2,dFlt3,critFlt3))</f>
        <v/>
      </c>
      <c r="D1928" t="str">
        <f>IF($B1928="","",SUMIFS(dAmt,dCust,$B1928,dPer,"&gt;="&amp;cyFrom,dPer,"&lt;="&amp;cyTo,dAmt,"&gt;-1E+300",dFlt1,critFlt1,dFlt2,critFlt2,dFlt3,critFlt3))</f>
        <v/>
      </c>
      <c r="E1928" t="str">
        <f>IF($B1928="","",SUMIFS(dQty,dCust,$B1928,dPer,"&gt;="&amp;pyFrom,dPer,"&lt;="&amp;pyTo,dQty,"&gt;-1E+300",dFlt1,critFlt1,dFlt2,critFlt2,dFlt3,critFlt3))</f>
        <v/>
      </c>
      <c r="F1928" t="str">
        <f>IF($B1928="","",SUMIFS(dQty,dCust,$B1928,dPer,"&gt;="&amp;cyFrom,dPer,"&lt;="&amp;cyTo,dQty,"&gt;-1E+300",dFlt1,critFlt1,dFlt2,critFlt2,dFlt3,critFlt3))</f>
        <v/>
      </c>
      <c r="G1928">
        <f>IF($B1928="",0,IFERROR(IF(OR(C1928&lt;&gt;0,D1928&lt;&gt;0,E1928&lt;&gt;0,F1928&lt;&gt;0),1,0),1))</f>
        <v>0</v>
      </c>
      <c r="H1928" t="str">
        <f>IF(OR(G1928=0,E1928=0),"",C1928/E1928)</f>
        <v/>
      </c>
      <c r="I1928" t="str">
        <f>IF(OR(G1928=0,F1928=0),"",D1928/F1928)</f>
        <v/>
      </c>
      <c r="J1928" t="str">
        <f>IF(OR(H1928="",I1928=""),"",IF(H1928=0,"",I1928/H1928-1))</f>
        <v/>
      </c>
      <c r="K1928" t="str">
        <f>IF($B1928="","",IFERROR(IF(G1928=0,-2E+300,CHOOSE(sortIdx,ROUND(D1928,0),IF(J1928="",-1E+300,ROUND(-J1928,6)),IF(J1928="",-1E+300,ROUND(J1928,6)))),-1.5E+300))</f>
        <v/>
      </c>
      <c r="L1928" t="str">
        <f>IF(K1928="","",RANK(K1928,$K$2:$K$3001,0)+COUNTIF($K$2:K1928,K1928)-1)</f>
        <v/>
      </c>
    </row>
    <row r="1929">
      <c r="B1929" t="str">
        <f>IFERROR(IF(A1929="","","="&amp;SUBSTITUTE(SUBSTITUTE(SUBSTITUTE(A1929,"~","~~"),"*","~*"),"?","~?")),"")</f>
        <v/>
      </c>
      <c r="C1929" t="str">
        <f>IF($B1929="","",SUMIFS(dAmt,dCust,$B1929,dPer,"&gt;="&amp;pyFrom,dPer,"&lt;="&amp;pyTo,dAmt,"&gt;-1E+300",dFlt1,critFlt1,dFlt2,critFlt2,dFlt3,critFlt3))</f>
        <v/>
      </c>
      <c r="D1929" t="str">
        <f>IF($B1929="","",SUMIFS(dAmt,dCust,$B1929,dPer,"&gt;="&amp;cyFrom,dPer,"&lt;="&amp;cyTo,dAmt,"&gt;-1E+300",dFlt1,critFlt1,dFlt2,critFlt2,dFlt3,critFlt3))</f>
        <v/>
      </c>
      <c r="E1929" t="str">
        <f>IF($B1929="","",SUMIFS(dQty,dCust,$B1929,dPer,"&gt;="&amp;pyFrom,dPer,"&lt;="&amp;pyTo,dQty,"&gt;-1E+300",dFlt1,critFlt1,dFlt2,critFlt2,dFlt3,critFlt3))</f>
        <v/>
      </c>
      <c r="F1929" t="str">
        <f>IF($B1929="","",SUMIFS(dQty,dCust,$B1929,dPer,"&gt;="&amp;cyFrom,dPer,"&lt;="&amp;cyTo,dQty,"&gt;-1E+300",dFlt1,critFlt1,dFlt2,critFlt2,dFlt3,critFlt3))</f>
        <v/>
      </c>
      <c r="G1929">
        <f>IF($B1929="",0,IFERROR(IF(OR(C1929&lt;&gt;0,D1929&lt;&gt;0,E1929&lt;&gt;0,F1929&lt;&gt;0),1,0),1))</f>
        <v>0</v>
      </c>
      <c r="H1929" t="str">
        <f>IF(OR(G1929=0,E1929=0),"",C1929/E1929)</f>
        <v/>
      </c>
      <c r="I1929" t="str">
        <f>IF(OR(G1929=0,F1929=0),"",D1929/F1929)</f>
        <v/>
      </c>
      <c r="J1929" t="str">
        <f>IF(OR(H1929="",I1929=""),"",IF(H1929=0,"",I1929/H1929-1))</f>
        <v/>
      </c>
      <c r="K1929" t="str">
        <f>IF($B1929="","",IFERROR(IF(G1929=0,-2E+300,CHOOSE(sortIdx,ROUND(D1929,0),IF(J1929="",-1E+300,ROUND(-J1929,6)),IF(J1929="",-1E+300,ROUND(J1929,6)))),-1.5E+300))</f>
        <v/>
      </c>
      <c r="L1929" t="str">
        <f>IF(K1929="","",RANK(K1929,$K$2:$K$3001,0)+COUNTIF($K$2:K1929,K1929)-1)</f>
        <v/>
      </c>
    </row>
    <row r="1930">
      <c r="B1930" t="str">
        <f>IFERROR(IF(A1930="","","="&amp;SUBSTITUTE(SUBSTITUTE(SUBSTITUTE(A1930,"~","~~"),"*","~*"),"?","~?")),"")</f>
        <v/>
      </c>
      <c r="C1930" t="str">
        <f>IF($B1930="","",SUMIFS(dAmt,dCust,$B1930,dPer,"&gt;="&amp;pyFrom,dPer,"&lt;="&amp;pyTo,dAmt,"&gt;-1E+300",dFlt1,critFlt1,dFlt2,critFlt2,dFlt3,critFlt3))</f>
        <v/>
      </c>
      <c r="D1930" t="str">
        <f>IF($B1930="","",SUMIFS(dAmt,dCust,$B1930,dPer,"&gt;="&amp;cyFrom,dPer,"&lt;="&amp;cyTo,dAmt,"&gt;-1E+300",dFlt1,critFlt1,dFlt2,critFlt2,dFlt3,critFlt3))</f>
        <v/>
      </c>
      <c r="E1930" t="str">
        <f>IF($B1930="","",SUMIFS(dQty,dCust,$B1930,dPer,"&gt;="&amp;pyFrom,dPer,"&lt;="&amp;pyTo,dQty,"&gt;-1E+300",dFlt1,critFlt1,dFlt2,critFlt2,dFlt3,critFlt3))</f>
        <v/>
      </c>
      <c r="F1930" t="str">
        <f>IF($B1930="","",SUMIFS(dQty,dCust,$B1930,dPer,"&gt;="&amp;cyFrom,dPer,"&lt;="&amp;cyTo,dQty,"&gt;-1E+300",dFlt1,critFlt1,dFlt2,critFlt2,dFlt3,critFlt3))</f>
        <v/>
      </c>
      <c r="G1930">
        <f>IF($B1930="",0,IFERROR(IF(OR(C1930&lt;&gt;0,D1930&lt;&gt;0,E1930&lt;&gt;0,F1930&lt;&gt;0),1,0),1))</f>
        <v>0</v>
      </c>
      <c r="H1930" t="str">
        <f>IF(OR(G1930=0,E1930=0),"",C1930/E1930)</f>
        <v/>
      </c>
      <c r="I1930" t="str">
        <f>IF(OR(G1930=0,F1930=0),"",D1930/F1930)</f>
        <v/>
      </c>
      <c r="J1930" t="str">
        <f>IF(OR(H1930="",I1930=""),"",IF(H1930=0,"",I1930/H1930-1))</f>
        <v/>
      </c>
      <c r="K1930" t="str">
        <f>IF($B1930="","",IFERROR(IF(G1930=0,-2E+300,CHOOSE(sortIdx,ROUND(D1930,0),IF(J1930="",-1E+300,ROUND(-J1930,6)),IF(J1930="",-1E+300,ROUND(J1930,6)))),-1.5E+300))</f>
        <v/>
      </c>
      <c r="L1930" t="str">
        <f>IF(K1930="","",RANK(K1930,$K$2:$K$3001,0)+COUNTIF($K$2:K1930,K1930)-1)</f>
        <v/>
      </c>
    </row>
    <row r="1931">
      <c r="B1931" t="str">
        <f>IFERROR(IF(A1931="","","="&amp;SUBSTITUTE(SUBSTITUTE(SUBSTITUTE(A1931,"~","~~"),"*","~*"),"?","~?")),"")</f>
        <v/>
      </c>
      <c r="C1931" t="str">
        <f>IF($B1931="","",SUMIFS(dAmt,dCust,$B1931,dPer,"&gt;="&amp;pyFrom,dPer,"&lt;="&amp;pyTo,dAmt,"&gt;-1E+300",dFlt1,critFlt1,dFlt2,critFlt2,dFlt3,critFlt3))</f>
        <v/>
      </c>
      <c r="D1931" t="str">
        <f>IF($B1931="","",SUMIFS(dAmt,dCust,$B1931,dPer,"&gt;="&amp;cyFrom,dPer,"&lt;="&amp;cyTo,dAmt,"&gt;-1E+300",dFlt1,critFlt1,dFlt2,critFlt2,dFlt3,critFlt3))</f>
        <v/>
      </c>
      <c r="E1931" t="str">
        <f>IF($B1931="","",SUMIFS(dQty,dCust,$B1931,dPer,"&gt;="&amp;pyFrom,dPer,"&lt;="&amp;pyTo,dQty,"&gt;-1E+300",dFlt1,critFlt1,dFlt2,critFlt2,dFlt3,critFlt3))</f>
        <v/>
      </c>
      <c r="F1931" t="str">
        <f>IF($B1931="","",SUMIFS(dQty,dCust,$B1931,dPer,"&gt;="&amp;cyFrom,dPer,"&lt;="&amp;cyTo,dQty,"&gt;-1E+300",dFlt1,critFlt1,dFlt2,critFlt2,dFlt3,critFlt3))</f>
        <v/>
      </c>
      <c r="G1931">
        <f>IF($B1931="",0,IFERROR(IF(OR(C1931&lt;&gt;0,D1931&lt;&gt;0,E1931&lt;&gt;0,F1931&lt;&gt;0),1,0),1))</f>
        <v>0</v>
      </c>
      <c r="H1931" t="str">
        <f>IF(OR(G1931=0,E1931=0),"",C1931/E1931)</f>
        <v/>
      </c>
      <c r="I1931" t="str">
        <f>IF(OR(G1931=0,F1931=0),"",D1931/F1931)</f>
        <v/>
      </c>
      <c r="J1931" t="str">
        <f>IF(OR(H1931="",I1931=""),"",IF(H1931=0,"",I1931/H1931-1))</f>
        <v/>
      </c>
      <c r="K1931" t="str">
        <f>IF($B1931="","",IFERROR(IF(G1931=0,-2E+300,CHOOSE(sortIdx,ROUND(D1931,0),IF(J1931="",-1E+300,ROUND(-J1931,6)),IF(J1931="",-1E+300,ROUND(J1931,6)))),-1.5E+300))</f>
        <v/>
      </c>
      <c r="L1931" t="str">
        <f>IF(K1931="","",RANK(K1931,$K$2:$K$3001,0)+COUNTIF($K$2:K1931,K1931)-1)</f>
        <v/>
      </c>
    </row>
    <row r="1932">
      <c r="B1932" t="str">
        <f>IFERROR(IF(A1932="","","="&amp;SUBSTITUTE(SUBSTITUTE(SUBSTITUTE(A1932,"~","~~"),"*","~*"),"?","~?")),"")</f>
        <v/>
      </c>
      <c r="C1932" t="str">
        <f>IF($B1932="","",SUMIFS(dAmt,dCust,$B1932,dPer,"&gt;="&amp;pyFrom,dPer,"&lt;="&amp;pyTo,dAmt,"&gt;-1E+300",dFlt1,critFlt1,dFlt2,critFlt2,dFlt3,critFlt3))</f>
        <v/>
      </c>
      <c r="D1932" t="str">
        <f>IF($B1932="","",SUMIFS(dAmt,dCust,$B1932,dPer,"&gt;="&amp;cyFrom,dPer,"&lt;="&amp;cyTo,dAmt,"&gt;-1E+300",dFlt1,critFlt1,dFlt2,critFlt2,dFlt3,critFlt3))</f>
        <v/>
      </c>
      <c r="E1932" t="str">
        <f>IF($B1932="","",SUMIFS(dQty,dCust,$B1932,dPer,"&gt;="&amp;pyFrom,dPer,"&lt;="&amp;pyTo,dQty,"&gt;-1E+300",dFlt1,critFlt1,dFlt2,critFlt2,dFlt3,critFlt3))</f>
        <v/>
      </c>
      <c r="F1932" t="str">
        <f>IF($B1932="","",SUMIFS(dQty,dCust,$B1932,dPer,"&gt;="&amp;cyFrom,dPer,"&lt;="&amp;cyTo,dQty,"&gt;-1E+300",dFlt1,critFlt1,dFlt2,critFlt2,dFlt3,critFlt3))</f>
        <v/>
      </c>
      <c r="G1932">
        <f>IF($B1932="",0,IFERROR(IF(OR(C1932&lt;&gt;0,D1932&lt;&gt;0,E1932&lt;&gt;0,F1932&lt;&gt;0),1,0),1))</f>
        <v>0</v>
      </c>
      <c r="H1932" t="str">
        <f>IF(OR(G1932=0,E1932=0),"",C1932/E1932)</f>
        <v/>
      </c>
      <c r="I1932" t="str">
        <f>IF(OR(G1932=0,F1932=0),"",D1932/F1932)</f>
        <v/>
      </c>
      <c r="J1932" t="str">
        <f>IF(OR(H1932="",I1932=""),"",IF(H1932=0,"",I1932/H1932-1))</f>
        <v/>
      </c>
      <c r="K1932" t="str">
        <f>IF($B1932="","",IFERROR(IF(G1932=0,-2E+300,CHOOSE(sortIdx,ROUND(D1932,0),IF(J1932="",-1E+300,ROUND(-J1932,6)),IF(J1932="",-1E+300,ROUND(J1932,6)))),-1.5E+300))</f>
        <v/>
      </c>
      <c r="L1932" t="str">
        <f>IF(K1932="","",RANK(K1932,$K$2:$K$3001,0)+COUNTIF($K$2:K1932,K1932)-1)</f>
        <v/>
      </c>
    </row>
    <row r="1933">
      <c r="B1933" t="str">
        <f>IFERROR(IF(A1933="","","="&amp;SUBSTITUTE(SUBSTITUTE(SUBSTITUTE(A1933,"~","~~"),"*","~*"),"?","~?")),"")</f>
        <v/>
      </c>
      <c r="C1933" t="str">
        <f>IF($B1933="","",SUMIFS(dAmt,dCust,$B1933,dPer,"&gt;="&amp;pyFrom,dPer,"&lt;="&amp;pyTo,dAmt,"&gt;-1E+300",dFlt1,critFlt1,dFlt2,critFlt2,dFlt3,critFlt3))</f>
        <v/>
      </c>
      <c r="D1933" t="str">
        <f>IF($B1933="","",SUMIFS(dAmt,dCust,$B1933,dPer,"&gt;="&amp;cyFrom,dPer,"&lt;="&amp;cyTo,dAmt,"&gt;-1E+300",dFlt1,critFlt1,dFlt2,critFlt2,dFlt3,critFlt3))</f>
        <v/>
      </c>
      <c r="E1933" t="str">
        <f>IF($B1933="","",SUMIFS(dQty,dCust,$B1933,dPer,"&gt;="&amp;pyFrom,dPer,"&lt;="&amp;pyTo,dQty,"&gt;-1E+300",dFlt1,critFlt1,dFlt2,critFlt2,dFlt3,critFlt3))</f>
        <v/>
      </c>
      <c r="F1933" t="str">
        <f>IF($B1933="","",SUMIFS(dQty,dCust,$B1933,dPer,"&gt;="&amp;cyFrom,dPer,"&lt;="&amp;cyTo,dQty,"&gt;-1E+300",dFlt1,critFlt1,dFlt2,critFlt2,dFlt3,critFlt3))</f>
        <v/>
      </c>
      <c r="G1933">
        <f>IF($B1933="",0,IFERROR(IF(OR(C1933&lt;&gt;0,D1933&lt;&gt;0,E1933&lt;&gt;0,F1933&lt;&gt;0),1,0),1))</f>
        <v>0</v>
      </c>
      <c r="H1933" t="str">
        <f>IF(OR(G1933=0,E1933=0),"",C1933/E1933)</f>
        <v/>
      </c>
      <c r="I1933" t="str">
        <f>IF(OR(G1933=0,F1933=0),"",D1933/F1933)</f>
        <v/>
      </c>
      <c r="J1933" t="str">
        <f>IF(OR(H1933="",I1933=""),"",IF(H1933=0,"",I1933/H1933-1))</f>
        <v/>
      </c>
      <c r="K1933" t="str">
        <f>IF($B1933="","",IFERROR(IF(G1933=0,-2E+300,CHOOSE(sortIdx,ROUND(D1933,0),IF(J1933="",-1E+300,ROUND(-J1933,6)),IF(J1933="",-1E+300,ROUND(J1933,6)))),-1.5E+300))</f>
        <v/>
      </c>
      <c r="L1933" t="str">
        <f>IF(K1933="","",RANK(K1933,$K$2:$K$3001,0)+COUNTIF($K$2:K1933,K1933)-1)</f>
        <v/>
      </c>
    </row>
    <row r="1934">
      <c r="B1934" t="str">
        <f>IFERROR(IF(A1934="","","="&amp;SUBSTITUTE(SUBSTITUTE(SUBSTITUTE(A1934,"~","~~"),"*","~*"),"?","~?")),"")</f>
        <v/>
      </c>
      <c r="C1934" t="str">
        <f>IF($B1934="","",SUMIFS(dAmt,dCust,$B1934,dPer,"&gt;="&amp;pyFrom,dPer,"&lt;="&amp;pyTo,dAmt,"&gt;-1E+300",dFlt1,critFlt1,dFlt2,critFlt2,dFlt3,critFlt3))</f>
        <v/>
      </c>
      <c r="D1934" t="str">
        <f>IF($B1934="","",SUMIFS(dAmt,dCust,$B1934,dPer,"&gt;="&amp;cyFrom,dPer,"&lt;="&amp;cyTo,dAmt,"&gt;-1E+300",dFlt1,critFlt1,dFlt2,critFlt2,dFlt3,critFlt3))</f>
        <v/>
      </c>
      <c r="E1934" t="str">
        <f>IF($B1934="","",SUMIFS(dQty,dCust,$B1934,dPer,"&gt;="&amp;pyFrom,dPer,"&lt;="&amp;pyTo,dQty,"&gt;-1E+300",dFlt1,critFlt1,dFlt2,critFlt2,dFlt3,critFlt3))</f>
        <v/>
      </c>
      <c r="F1934" t="str">
        <f>IF($B1934="","",SUMIFS(dQty,dCust,$B1934,dPer,"&gt;="&amp;cyFrom,dPer,"&lt;="&amp;cyTo,dQty,"&gt;-1E+300",dFlt1,critFlt1,dFlt2,critFlt2,dFlt3,critFlt3))</f>
        <v/>
      </c>
      <c r="G1934">
        <f>IF($B1934="",0,IFERROR(IF(OR(C1934&lt;&gt;0,D1934&lt;&gt;0,E1934&lt;&gt;0,F1934&lt;&gt;0),1,0),1))</f>
        <v>0</v>
      </c>
      <c r="H1934" t="str">
        <f>IF(OR(G1934=0,E1934=0),"",C1934/E1934)</f>
        <v/>
      </c>
      <c r="I1934" t="str">
        <f>IF(OR(G1934=0,F1934=0),"",D1934/F1934)</f>
        <v/>
      </c>
      <c r="J1934" t="str">
        <f>IF(OR(H1934="",I1934=""),"",IF(H1934=0,"",I1934/H1934-1))</f>
        <v/>
      </c>
      <c r="K1934" t="str">
        <f>IF($B1934="","",IFERROR(IF(G1934=0,-2E+300,CHOOSE(sortIdx,ROUND(D1934,0),IF(J1934="",-1E+300,ROUND(-J1934,6)),IF(J1934="",-1E+300,ROUND(J1934,6)))),-1.5E+300))</f>
        <v/>
      </c>
      <c r="L1934" t="str">
        <f>IF(K1934="","",RANK(K1934,$K$2:$K$3001,0)+COUNTIF($K$2:K1934,K1934)-1)</f>
        <v/>
      </c>
    </row>
    <row r="1935">
      <c r="B1935" t="str">
        <f>IFERROR(IF(A1935="","","="&amp;SUBSTITUTE(SUBSTITUTE(SUBSTITUTE(A1935,"~","~~"),"*","~*"),"?","~?")),"")</f>
        <v/>
      </c>
      <c r="C1935" t="str">
        <f>IF($B1935="","",SUMIFS(dAmt,dCust,$B1935,dPer,"&gt;="&amp;pyFrom,dPer,"&lt;="&amp;pyTo,dAmt,"&gt;-1E+300",dFlt1,critFlt1,dFlt2,critFlt2,dFlt3,critFlt3))</f>
        <v/>
      </c>
      <c r="D1935" t="str">
        <f>IF($B1935="","",SUMIFS(dAmt,dCust,$B1935,dPer,"&gt;="&amp;cyFrom,dPer,"&lt;="&amp;cyTo,dAmt,"&gt;-1E+300",dFlt1,critFlt1,dFlt2,critFlt2,dFlt3,critFlt3))</f>
        <v/>
      </c>
      <c r="E1935" t="str">
        <f>IF($B1935="","",SUMIFS(dQty,dCust,$B1935,dPer,"&gt;="&amp;pyFrom,dPer,"&lt;="&amp;pyTo,dQty,"&gt;-1E+300",dFlt1,critFlt1,dFlt2,critFlt2,dFlt3,critFlt3))</f>
        <v/>
      </c>
      <c r="F1935" t="str">
        <f>IF($B1935="","",SUMIFS(dQty,dCust,$B1935,dPer,"&gt;="&amp;cyFrom,dPer,"&lt;="&amp;cyTo,dQty,"&gt;-1E+300",dFlt1,critFlt1,dFlt2,critFlt2,dFlt3,critFlt3))</f>
        <v/>
      </c>
      <c r="G1935">
        <f>IF($B1935="",0,IFERROR(IF(OR(C1935&lt;&gt;0,D1935&lt;&gt;0,E1935&lt;&gt;0,F1935&lt;&gt;0),1,0),1))</f>
        <v>0</v>
      </c>
      <c r="H1935" t="str">
        <f>IF(OR(G1935=0,E1935=0),"",C1935/E1935)</f>
        <v/>
      </c>
      <c r="I1935" t="str">
        <f>IF(OR(G1935=0,F1935=0),"",D1935/F1935)</f>
        <v/>
      </c>
      <c r="J1935" t="str">
        <f>IF(OR(H1935="",I1935=""),"",IF(H1935=0,"",I1935/H1935-1))</f>
        <v/>
      </c>
      <c r="K1935" t="str">
        <f>IF($B1935="","",IFERROR(IF(G1935=0,-2E+300,CHOOSE(sortIdx,ROUND(D1935,0),IF(J1935="",-1E+300,ROUND(-J1935,6)),IF(J1935="",-1E+300,ROUND(J1935,6)))),-1.5E+300))</f>
        <v/>
      </c>
      <c r="L1935" t="str">
        <f>IF(K1935="","",RANK(K1935,$K$2:$K$3001,0)+COUNTIF($K$2:K1935,K1935)-1)</f>
        <v/>
      </c>
    </row>
    <row r="1936">
      <c r="B1936" t="str">
        <f>IFERROR(IF(A1936="","","="&amp;SUBSTITUTE(SUBSTITUTE(SUBSTITUTE(A1936,"~","~~"),"*","~*"),"?","~?")),"")</f>
        <v/>
      </c>
      <c r="C1936" t="str">
        <f>IF($B1936="","",SUMIFS(dAmt,dCust,$B1936,dPer,"&gt;="&amp;pyFrom,dPer,"&lt;="&amp;pyTo,dAmt,"&gt;-1E+300",dFlt1,critFlt1,dFlt2,critFlt2,dFlt3,critFlt3))</f>
        <v/>
      </c>
      <c r="D1936" t="str">
        <f>IF($B1936="","",SUMIFS(dAmt,dCust,$B1936,dPer,"&gt;="&amp;cyFrom,dPer,"&lt;="&amp;cyTo,dAmt,"&gt;-1E+300",dFlt1,critFlt1,dFlt2,critFlt2,dFlt3,critFlt3))</f>
        <v/>
      </c>
      <c r="E1936" t="str">
        <f>IF($B1936="","",SUMIFS(dQty,dCust,$B1936,dPer,"&gt;="&amp;pyFrom,dPer,"&lt;="&amp;pyTo,dQty,"&gt;-1E+300",dFlt1,critFlt1,dFlt2,critFlt2,dFlt3,critFlt3))</f>
        <v/>
      </c>
      <c r="F1936" t="str">
        <f>IF($B1936="","",SUMIFS(dQty,dCust,$B1936,dPer,"&gt;="&amp;cyFrom,dPer,"&lt;="&amp;cyTo,dQty,"&gt;-1E+300",dFlt1,critFlt1,dFlt2,critFlt2,dFlt3,critFlt3))</f>
        <v/>
      </c>
      <c r="G1936">
        <f>IF($B1936="",0,IFERROR(IF(OR(C1936&lt;&gt;0,D1936&lt;&gt;0,E1936&lt;&gt;0,F1936&lt;&gt;0),1,0),1))</f>
        <v>0</v>
      </c>
      <c r="H1936" t="str">
        <f>IF(OR(G1936=0,E1936=0),"",C1936/E1936)</f>
        <v/>
      </c>
      <c r="I1936" t="str">
        <f>IF(OR(G1936=0,F1936=0),"",D1936/F1936)</f>
        <v/>
      </c>
      <c r="J1936" t="str">
        <f>IF(OR(H1936="",I1936=""),"",IF(H1936=0,"",I1936/H1936-1))</f>
        <v/>
      </c>
      <c r="K1936" t="str">
        <f>IF($B1936="","",IFERROR(IF(G1936=0,-2E+300,CHOOSE(sortIdx,ROUND(D1936,0),IF(J1936="",-1E+300,ROUND(-J1936,6)),IF(J1936="",-1E+300,ROUND(J1936,6)))),-1.5E+300))</f>
        <v/>
      </c>
      <c r="L1936" t="str">
        <f>IF(K1936="","",RANK(K1936,$K$2:$K$3001,0)+COUNTIF($K$2:K1936,K1936)-1)</f>
        <v/>
      </c>
    </row>
    <row r="1937">
      <c r="B1937" t="str">
        <f>IFERROR(IF(A1937="","","="&amp;SUBSTITUTE(SUBSTITUTE(SUBSTITUTE(A1937,"~","~~"),"*","~*"),"?","~?")),"")</f>
        <v/>
      </c>
      <c r="C1937" t="str">
        <f>IF($B1937="","",SUMIFS(dAmt,dCust,$B1937,dPer,"&gt;="&amp;pyFrom,dPer,"&lt;="&amp;pyTo,dAmt,"&gt;-1E+300",dFlt1,critFlt1,dFlt2,critFlt2,dFlt3,critFlt3))</f>
        <v/>
      </c>
      <c r="D1937" t="str">
        <f>IF($B1937="","",SUMIFS(dAmt,dCust,$B1937,dPer,"&gt;="&amp;cyFrom,dPer,"&lt;="&amp;cyTo,dAmt,"&gt;-1E+300",dFlt1,critFlt1,dFlt2,critFlt2,dFlt3,critFlt3))</f>
        <v/>
      </c>
      <c r="E1937" t="str">
        <f>IF($B1937="","",SUMIFS(dQty,dCust,$B1937,dPer,"&gt;="&amp;pyFrom,dPer,"&lt;="&amp;pyTo,dQty,"&gt;-1E+300",dFlt1,critFlt1,dFlt2,critFlt2,dFlt3,critFlt3))</f>
        <v/>
      </c>
      <c r="F1937" t="str">
        <f>IF($B1937="","",SUMIFS(dQty,dCust,$B1937,dPer,"&gt;="&amp;cyFrom,dPer,"&lt;="&amp;cyTo,dQty,"&gt;-1E+300",dFlt1,critFlt1,dFlt2,critFlt2,dFlt3,critFlt3))</f>
        <v/>
      </c>
      <c r="G1937">
        <f>IF($B1937="",0,IFERROR(IF(OR(C1937&lt;&gt;0,D1937&lt;&gt;0,E1937&lt;&gt;0,F1937&lt;&gt;0),1,0),1))</f>
        <v>0</v>
      </c>
      <c r="H1937" t="str">
        <f>IF(OR(G1937=0,E1937=0),"",C1937/E1937)</f>
        <v/>
      </c>
      <c r="I1937" t="str">
        <f>IF(OR(G1937=0,F1937=0),"",D1937/F1937)</f>
        <v/>
      </c>
      <c r="J1937" t="str">
        <f>IF(OR(H1937="",I1937=""),"",IF(H1937=0,"",I1937/H1937-1))</f>
        <v/>
      </c>
      <c r="K1937" t="str">
        <f>IF($B1937="","",IFERROR(IF(G1937=0,-2E+300,CHOOSE(sortIdx,ROUND(D1937,0),IF(J1937="",-1E+300,ROUND(-J1937,6)),IF(J1937="",-1E+300,ROUND(J1937,6)))),-1.5E+300))</f>
        <v/>
      </c>
      <c r="L1937" t="str">
        <f>IF(K1937="","",RANK(K1937,$K$2:$K$3001,0)+COUNTIF($K$2:K1937,K1937)-1)</f>
        <v/>
      </c>
    </row>
    <row r="1938">
      <c r="B1938" t="str">
        <f>IFERROR(IF(A1938="","","="&amp;SUBSTITUTE(SUBSTITUTE(SUBSTITUTE(A1938,"~","~~"),"*","~*"),"?","~?")),"")</f>
        <v/>
      </c>
      <c r="C1938" t="str">
        <f>IF($B1938="","",SUMIFS(dAmt,dCust,$B1938,dPer,"&gt;="&amp;pyFrom,dPer,"&lt;="&amp;pyTo,dAmt,"&gt;-1E+300",dFlt1,critFlt1,dFlt2,critFlt2,dFlt3,critFlt3))</f>
        <v/>
      </c>
      <c r="D1938" t="str">
        <f>IF($B1938="","",SUMIFS(dAmt,dCust,$B1938,dPer,"&gt;="&amp;cyFrom,dPer,"&lt;="&amp;cyTo,dAmt,"&gt;-1E+300",dFlt1,critFlt1,dFlt2,critFlt2,dFlt3,critFlt3))</f>
        <v/>
      </c>
      <c r="E1938" t="str">
        <f>IF($B1938="","",SUMIFS(dQty,dCust,$B1938,dPer,"&gt;="&amp;pyFrom,dPer,"&lt;="&amp;pyTo,dQty,"&gt;-1E+300",dFlt1,critFlt1,dFlt2,critFlt2,dFlt3,critFlt3))</f>
        <v/>
      </c>
      <c r="F1938" t="str">
        <f>IF($B1938="","",SUMIFS(dQty,dCust,$B1938,dPer,"&gt;="&amp;cyFrom,dPer,"&lt;="&amp;cyTo,dQty,"&gt;-1E+300",dFlt1,critFlt1,dFlt2,critFlt2,dFlt3,critFlt3))</f>
        <v/>
      </c>
      <c r="G1938">
        <f>IF($B1938="",0,IFERROR(IF(OR(C1938&lt;&gt;0,D1938&lt;&gt;0,E1938&lt;&gt;0,F1938&lt;&gt;0),1,0),1))</f>
        <v>0</v>
      </c>
      <c r="H1938" t="str">
        <f>IF(OR(G1938=0,E1938=0),"",C1938/E1938)</f>
        <v/>
      </c>
      <c r="I1938" t="str">
        <f>IF(OR(G1938=0,F1938=0),"",D1938/F1938)</f>
        <v/>
      </c>
      <c r="J1938" t="str">
        <f>IF(OR(H1938="",I1938=""),"",IF(H1938=0,"",I1938/H1938-1))</f>
        <v/>
      </c>
      <c r="K1938" t="str">
        <f>IF($B1938="","",IFERROR(IF(G1938=0,-2E+300,CHOOSE(sortIdx,ROUND(D1938,0),IF(J1938="",-1E+300,ROUND(-J1938,6)),IF(J1938="",-1E+300,ROUND(J1938,6)))),-1.5E+300))</f>
        <v/>
      </c>
      <c r="L1938" t="str">
        <f>IF(K1938="","",RANK(K1938,$K$2:$K$3001,0)+COUNTIF($K$2:K1938,K1938)-1)</f>
        <v/>
      </c>
    </row>
    <row r="1939">
      <c r="B1939" t="str">
        <f>IFERROR(IF(A1939="","","="&amp;SUBSTITUTE(SUBSTITUTE(SUBSTITUTE(A1939,"~","~~"),"*","~*"),"?","~?")),"")</f>
        <v/>
      </c>
      <c r="C1939" t="str">
        <f>IF($B1939="","",SUMIFS(dAmt,dCust,$B1939,dPer,"&gt;="&amp;pyFrom,dPer,"&lt;="&amp;pyTo,dAmt,"&gt;-1E+300",dFlt1,critFlt1,dFlt2,critFlt2,dFlt3,critFlt3))</f>
        <v/>
      </c>
      <c r="D1939" t="str">
        <f>IF($B1939="","",SUMIFS(dAmt,dCust,$B1939,dPer,"&gt;="&amp;cyFrom,dPer,"&lt;="&amp;cyTo,dAmt,"&gt;-1E+300",dFlt1,critFlt1,dFlt2,critFlt2,dFlt3,critFlt3))</f>
        <v/>
      </c>
      <c r="E1939" t="str">
        <f>IF($B1939="","",SUMIFS(dQty,dCust,$B1939,dPer,"&gt;="&amp;pyFrom,dPer,"&lt;="&amp;pyTo,dQty,"&gt;-1E+300",dFlt1,critFlt1,dFlt2,critFlt2,dFlt3,critFlt3))</f>
        <v/>
      </c>
      <c r="F1939" t="str">
        <f>IF($B1939="","",SUMIFS(dQty,dCust,$B1939,dPer,"&gt;="&amp;cyFrom,dPer,"&lt;="&amp;cyTo,dQty,"&gt;-1E+300",dFlt1,critFlt1,dFlt2,critFlt2,dFlt3,critFlt3))</f>
        <v/>
      </c>
      <c r="G1939">
        <f>IF($B1939="",0,IFERROR(IF(OR(C1939&lt;&gt;0,D1939&lt;&gt;0,E1939&lt;&gt;0,F1939&lt;&gt;0),1,0),1))</f>
        <v>0</v>
      </c>
      <c r="H1939" t="str">
        <f>IF(OR(G1939=0,E1939=0),"",C1939/E1939)</f>
        <v/>
      </c>
      <c r="I1939" t="str">
        <f>IF(OR(G1939=0,F1939=0),"",D1939/F1939)</f>
        <v/>
      </c>
      <c r="J1939" t="str">
        <f>IF(OR(H1939="",I1939=""),"",IF(H1939=0,"",I1939/H1939-1))</f>
        <v/>
      </c>
      <c r="K1939" t="str">
        <f>IF($B1939="","",IFERROR(IF(G1939=0,-2E+300,CHOOSE(sortIdx,ROUND(D1939,0),IF(J1939="",-1E+300,ROUND(-J1939,6)),IF(J1939="",-1E+300,ROUND(J1939,6)))),-1.5E+300))</f>
        <v/>
      </c>
      <c r="L1939" t="str">
        <f>IF(K1939="","",RANK(K1939,$K$2:$K$3001,0)+COUNTIF($K$2:K1939,K1939)-1)</f>
        <v/>
      </c>
    </row>
    <row r="1940">
      <c r="B1940" t="str">
        <f>IFERROR(IF(A1940="","","="&amp;SUBSTITUTE(SUBSTITUTE(SUBSTITUTE(A1940,"~","~~"),"*","~*"),"?","~?")),"")</f>
        <v/>
      </c>
      <c r="C1940" t="str">
        <f>IF($B1940="","",SUMIFS(dAmt,dCust,$B1940,dPer,"&gt;="&amp;pyFrom,dPer,"&lt;="&amp;pyTo,dAmt,"&gt;-1E+300",dFlt1,critFlt1,dFlt2,critFlt2,dFlt3,critFlt3))</f>
        <v/>
      </c>
      <c r="D1940" t="str">
        <f>IF($B1940="","",SUMIFS(dAmt,dCust,$B1940,dPer,"&gt;="&amp;cyFrom,dPer,"&lt;="&amp;cyTo,dAmt,"&gt;-1E+300",dFlt1,critFlt1,dFlt2,critFlt2,dFlt3,critFlt3))</f>
        <v/>
      </c>
      <c r="E1940" t="str">
        <f>IF($B1940="","",SUMIFS(dQty,dCust,$B1940,dPer,"&gt;="&amp;pyFrom,dPer,"&lt;="&amp;pyTo,dQty,"&gt;-1E+300",dFlt1,critFlt1,dFlt2,critFlt2,dFlt3,critFlt3))</f>
        <v/>
      </c>
      <c r="F1940" t="str">
        <f>IF($B1940="","",SUMIFS(dQty,dCust,$B1940,dPer,"&gt;="&amp;cyFrom,dPer,"&lt;="&amp;cyTo,dQty,"&gt;-1E+300",dFlt1,critFlt1,dFlt2,critFlt2,dFlt3,critFlt3))</f>
        <v/>
      </c>
      <c r="G1940">
        <f>IF($B1940="",0,IFERROR(IF(OR(C1940&lt;&gt;0,D1940&lt;&gt;0,E1940&lt;&gt;0,F1940&lt;&gt;0),1,0),1))</f>
        <v>0</v>
      </c>
      <c r="H1940" t="str">
        <f>IF(OR(G1940=0,E1940=0),"",C1940/E1940)</f>
        <v/>
      </c>
      <c r="I1940" t="str">
        <f>IF(OR(G1940=0,F1940=0),"",D1940/F1940)</f>
        <v/>
      </c>
      <c r="J1940" t="str">
        <f>IF(OR(H1940="",I1940=""),"",IF(H1940=0,"",I1940/H1940-1))</f>
        <v/>
      </c>
      <c r="K1940" t="str">
        <f>IF($B1940="","",IFERROR(IF(G1940=0,-2E+300,CHOOSE(sortIdx,ROUND(D1940,0),IF(J1940="",-1E+300,ROUND(-J1940,6)),IF(J1940="",-1E+300,ROUND(J1940,6)))),-1.5E+300))</f>
        <v/>
      </c>
      <c r="L1940" t="str">
        <f>IF(K1940="","",RANK(K1940,$K$2:$K$3001,0)+COUNTIF($K$2:K1940,K1940)-1)</f>
        <v/>
      </c>
    </row>
    <row r="1941">
      <c r="B1941" t="str">
        <f>IFERROR(IF(A1941="","","="&amp;SUBSTITUTE(SUBSTITUTE(SUBSTITUTE(A1941,"~","~~"),"*","~*"),"?","~?")),"")</f>
        <v/>
      </c>
      <c r="C1941" t="str">
        <f>IF($B1941="","",SUMIFS(dAmt,dCust,$B1941,dPer,"&gt;="&amp;pyFrom,dPer,"&lt;="&amp;pyTo,dAmt,"&gt;-1E+300",dFlt1,critFlt1,dFlt2,critFlt2,dFlt3,critFlt3))</f>
        <v/>
      </c>
      <c r="D1941" t="str">
        <f>IF($B1941="","",SUMIFS(dAmt,dCust,$B1941,dPer,"&gt;="&amp;cyFrom,dPer,"&lt;="&amp;cyTo,dAmt,"&gt;-1E+300",dFlt1,critFlt1,dFlt2,critFlt2,dFlt3,critFlt3))</f>
        <v/>
      </c>
      <c r="E1941" t="str">
        <f>IF($B1941="","",SUMIFS(dQty,dCust,$B1941,dPer,"&gt;="&amp;pyFrom,dPer,"&lt;="&amp;pyTo,dQty,"&gt;-1E+300",dFlt1,critFlt1,dFlt2,critFlt2,dFlt3,critFlt3))</f>
        <v/>
      </c>
      <c r="F1941" t="str">
        <f>IF($B1941="","",SUMIFS(dQty,dCust,$B1941,dPer,"&gt;="&amp;cyFrom,dPer,"&lt;="&amp;cyTo,dQty,"&gt;-1E+300",dFlt1,critFlt1,dFlt2,critFlt2,dFlt3,critFlt3))</f>
        <v/>
      </c>
      <c r="G1941">
        <f>IF($B1941="",0,IFERROR(IF(OR(C1941&lt;&gt;0,D1941&lt;&gt;0,E1941&lt;&gt;0,F1941&lt;&gt;0),1,0),1))</f>
        <v>0</v>
      </c>
      <c r="H1941" t="str">
        <f>IF(OR(G1941=0,E1941=0),"",C1941/E1941)</f>
        <v/>
      </c>
      <c r="I1941" t="str">
        <f>IF(OR(G1941=0,F1941=0),"",D1941/F1941)</f>
        <v/>
      </c>
      <c r="J1941" t="str">
        <f>IF(OR(H1941="",I1941=""),"",IF(H1941=0,"",I1941/H1941-1))</f>
        <v/>
      </c>
      <c r="K1941" t="str">
        <f>IF($B1941="","",IFERROR(IF(G1941=0,-2E+300,CHOOSE(sortIdx,ROUND(D1941,0),IF(J1941="",-1E+300,ROUND(-J1941,6)),IF(J1941="",-1E+300,ROUND(J1941,6)))),-1.5E+300))</f>
        <v/>
      </c>
      <c r="L1941" t="str">
        <f>IF(K1941="","",RANK(K1941,$K$2:$K$3001,0)+COUNTIF($K$2:K1941,K1941)-1)</f>
        <v/>
      </c>
    </row>
    <row r="1942">
      <c r="B1942" t="str">
        <f>IFERROR(IF(A1942="","","="&amp;SUBSTITUTE(SUBSTITUTE(SUBSTITUTE(A1942,"~","~~"),"*","~*"),"?","~?")),"")</f>
        <v/>
      </c>
      <c r="C1942" t="str">
        <f>IF($B1942="","",SUMIFS(dAmt,dCust,$B1942,dPer,"&gt;="&amp;pyFrom,dPer,"&lt;="&amp;pyTo,dAmt,"&gt;-1E+300",dFlt1,critFlt1,dFlt2,critFlt2,dFlt3,critFlt3))</f>
        <v/>
      </c>
      <c r="D1942" t="str">
        <f>IF($B1942="","",SUMIFS(dAmt,dCust,$B1942,dPer,"&gt;="&amp;cyFrom,dPer,"&lt;="&amp;cyTo,dAmt,"&gt;-1E+300",dFlt1,critFlt1,dFlt2,critFlt2,dFlt3,critFlt3))</f>
        <v/>
      </c>
      <c r="E1942" t="str">
        <f>IF($B1942="","",SUMIFS(dQty,dCust,$B1942,dPer,"&gt;="&amp;pyFrom,dPer,"&lt;="&amp;pyTo,dQty,"&gt;-1E+300",dFlt1,critFlt1,dFlt2,critFlt2,dFlt3,critFlt3))</f>
        <v/>
      </c>
      <c r="F1942" t="str">
        <f>IF($B1942="","",SUMIFS(dQty,dCust,$B1942,dPer,"&gt;="&amp;cyFrom,dPer,"&lt;="&amp;cyTo,dQty,"&gt;-1E+300",dFlt1,critFlt1,dFlt2,critFlt2,dFlt3,critFlt3))</f>
        <v/>
      </c>
      <c r="G1942">
        <f>IF($B1942="",0,IFERROR(IF(OR(C1942&lt;&gt;0,D1942&lt;&gt;0,E1942&lt;&gt;0,F1942&lt;&gt;0),1,0),1))</f>
        <v>0</v>
      </c>
      <c r="H1942" t="str">
        <f>IF(OR(G1942=0,E1942=0),"",C1942/E1942)</f>
        <v/>
      </c>
      <c r="I1942" t="str">
        <f>IF(OR(G1942=0,F1942=0),"",D1942/F1942)</f>
        <v/>
      </c>
      <c r="J1942" t="str">
        <f>IF(OR(H1942="",I1942=""),"",IF(H1942=0,"",I1942/H1942-1))</f>
        <v/>
      </c>
      <c r="K1942" t="str">
        <f>IF($B1942="","",IFERROR(IF(G1942=0,-2E+300,CHOOSE(sortIdx,ROUND(D1942,0),IF(J1942="",-1E+300,ROUND(-J1942,6)),IF(J1942="",-1E+300,ROUND(J1942,6)))),-1.5E+300))</f>
        <v/>
      </c>
      <c r="L1942" t="str">
        <f>IF(K1942="","",RANK(K1942,$K$2:$K$3001,0)+COUNTIF($K$2:K1942,K1942)-1)</f>
        <v/>
      </c>
    </row>
    <row r="1943">
      <c r="B1943" t="str">
        <f>IFERROR(IF(A1943="","","="&amp;SUBSTITUTE(SUBSTITUTE(SUBSTITUTE(A1943,"~","~~"),"*","~*"),"?","~?")),"")</f>
        <v/>
      </c>
      <c r="C1943" t="str">
        <f>IF($B1943="","",SUMIFS(dAmt,dCust,$B1943,dPer,"&gt;="&amp;pyFrom,dPer,"&lt;="&amp;pyTo,dAmt,"&gt;-1E+300",dFlt1,critFlt1,dFlt2,critFlt2,dFlt3,critFlt3))</f>
        <v/>
      </c>
      <c r="D1943" t="str">
        <f>IF($B1943="","",SUMIFS(dAmt,dCust,$B1943,dPer,"&gt;="&amp;cyFrom,dPer,"&lt;="&amp;cyTo,dAmt,"&gt;-1E+300",dFlt1,critFlt1,dFlt2,critFlt2,dFlt3,critFlt3))</f>
        <v/>
      </c>
      <c r="E1943" t="str">
        <f>IF($B1943="","",SUMIFS(dQty,dCust,$B1943,dPer,"&gt;="&amp;pyFrom,dPer,"&lt;="&amp;pyTo,dQty,"&gt;-1E+300",dFlt1,critFlt1,dFlt2,critFlt2,dFlt3,critFlt3))</f>
        <v/>
      </c>
      <c r="F1943" t="str">
        <f>IF($B1943="","",SUMIFS(dQty,dCust,$B1943,dPer,"&gt;="&amp;cyFrom,dPer,"&lt;="&amp;cyTo,dQty,"&gt;-1E+300",dFlt1,critFlt1,dFlt2,critFlt2,dFlt3,critFlt3))</f>
        <v/>
      </c>
      <c r="G1943">
        <f>IF($B1943="",0,IFERROR(IF(OR(C1943&lt;&gt;0,D1943&lt;&gt;0,E1943&lt;&gt;0,F1943&lt;&gt;0),1,0),1))</f>
        <v>0</v>
      </c>
      <c r="H1943" t="str">
        <f>IF(OR(G1943=0,E1943=0),"",C1943/E1943)</f>
        <v/>
      </c>
      <c r="I1943" t="str">
        <f>IF(OR(G1943=0,F1943=0),"",D1943/F1943)</f>
        <v/>
      </c>
      <c r="J1943" t="str">
        <f>IF(OR(H1943="",I1943=""),"",IF(H1943=0,"",I1943/H1943-1))</f>
        <v/>
      </c>
      <c r="K1943" t="str">
        <f>IF($B1943="","",IFERROR(IF(G1943=0,-2E+300,CHOOSE(sortIdx,ROUND(D1943,0),IF(J1943="",-1E+300,ROUND(-J1943,6)),IF(J1943="",-1E+300,ROUND(J1943,6)))),-1.5E+300))</f>
        <v/>
      </c>
      <c r="L1943" t="str">
        <f>IF(K1943="","",RANK(K1943,$K$2:$K$3001,0)+COUNTIF($K$2:K1943,K1943)-1)</f>
        <v/>
      </c>
    </row>
    <row r="1944">
      <c r="B1944" t="str">
        <f>IFERROR(IF(A1944="","","="&amp;SUBSTITUTE(SUBSTITUTE(SUBSTITUTE(A1944,"~","~~"),"*","~*"),"?","~?")),"")</f>
        <v/>
      </c>
      <c r="C1944" t="str">
        <f>IF($B1944="","",SUMIFS(dAmt,dCust,$B1944,dPer,"&gt;="&amp;pyFrom,dPer,"&lt;="&amp;pyTo,dAmt,"&gt;-1E+300",dFlt1,critFlt1,dFlt2,critFlt2,dFlt3,critFlt3))</f>
        <v/>
      </c>
      <c r="D1944" t="str">
        <f>IF($B1944="","",SUMIFS(dAmt,dCust,$B1944,dPer,"&gt;="&amp;cyFrom,dPer,"&lt;="&amp;cyTo,dAmt,"&gt;-1E+300",dFlt1,critFlt1,dFlt2,critFlt2,dFlt3,critFlt3))</f>
        <v/>
      </c>
      <c r="E1944" t="str">
        <f>IF($B1944="","",SUMIFS(dQty,dCust,$B1944,dPer,"&gt;="&amp;pyFrom,dPer,"&lt;="&amp;pyTo,dQty,"&gt;-1E+300",dFlt1,critFlt1,dFlt2,critFlt2,dFlt3,critFlt3))</f>
        <v/>
      </c>
      <c r="F1944" t="str">
        <f>IF($B1944="","",SUMIFS(dQty,dCust,$B1944,dPer,"&gt;="&amp;cyFrom,dPer,"&lt;="&amp;cyTo,dQty,"&gt;-1E+300",dFlt1,critFlt1,dFlt2,critFlt2,dFlt3,critFlt3))</f>
        <v/>
      </c>
      <c r="G1944">
        <f>IF($B1944="",0,IFERROR(IF(OR(C1944&lt;&gt;0,D1944&lt;&gt;0,E1944&lt;&gt;0,F1944&lt;&gt;0),1,0),1))</f>
        <v>0</v>
      </c>
      <c r="H1944" t="str">
        <f>IF(OR(G1944=0,E1944=0),"",C1944/E1944)</f>
        <v/>
      </c>
      <c r="I1944" t="str">
        <f>IF(OR(G1944=0,F1944=0),"",D1944/F1944)</f>
        <v/>
      </c>
      <c r="J1944" t="str">
        <f>IF(OR(H1944="",I1944=""),"",IF(H1944=0,"",I1944/H1944-1))</f>
        <v/>
      </c>
      <c r="K1944" t="str">
        <f>IF($B1944="","",IFERROR(IF(G1944=0,-2E+300,CHOOSE(sortIdx,ROUND(D1944,0),IF(J1944="",-1E+300,ROUND(-J1944,6)),IF(J1944="",-1E+300,ROUND(J1944,6)))),-1.5E+300))</f>
        <v/>
      </c>
      <c r="L1944" t="str">
        <f>IF(K1944="","",RANK(K1944,$K$2:$K$3001,0)+COUNTIF($K$2:K1944,K1944)-1)</f>
        <v/>
      </c>
    </row>
    <row r="1945">
      <c r="B1945" t="str">
        <f>IFERROR(IF(A1945="","","="&amp;SUBSTITUTE(SUBSTITUTE(SUBSTITUTE(A1945,"~","~~"),"*","~*"),"?","~?")),"")</f>
        <v/>
      </c>
      <c r="C1945" t="str">
        <f>IF($B1945="","",SUMIFS(dAmt,dCust,$B1945,dPer,"&gt;="&amp;pyFrom,dPer,"&lt;="&amp;pyTo,dAmt,"&gt;-1E+300",dFlt1,critFlt1,dFlt2,critFlt2,dFlt3,critFlt3))</f>
        <v/>
      </c>
      <c r="D1945" t="str">
        <f>IF($B1945="","",SUMIFS(dAmt,dCust,$B1945,dPer,"&gt;="&amp;cyFrom,dPer,"&lt;="&amp;cyTo,dAmt,"&gt;-1E+300",dFlt1,critFlt1,dFlt2,critFlt2,dFlt3,critFlt3))</f>
        <v/>
      </c>
      <c r="E1945" t="str">
        <f>IF($B1945="","",SUMIFS(dQty,dCust,$B1945,dPer,"&gt;="&amp;pyFrom,dPer,"&lt;="&amp;pyTo,dQty,"&gt;-1E+300",dFlt1,critFlt1,dFlt2,critFlt2,dFlt3,critFlt3))</f>
        <v/>
      </c>
      <c r="F1945" t="str">
        <f>IF($B1945="","",SUMIFS(dQty,dCust,$B1945,dPer,"&gt;="&amp;cyFrom,dPer,"&lt;="&amp;cyTo,dQty,"&gt;-1E+300",dFlt1,critFlt1,dFlt2,critFlt2,dFlt3,critFlt3))</f>
        <v/>
      </c>
      <c r="G1945">
        <f>IF($B1945="",0,IFERROR(IF(OR(C1945&lt;&gt;0,D1945&lt;&gt;0,E1945&lt;&gt;0,F1945&lt;&gt;0),1,0),1))</f>
        <v>0</v>
      </c>
      <c r="H1945" t="str">
        <f>IF(OR(G1945=0,E1945=0),"",C1945/E1945)</f>
        <v/>
      </c>
      <c r="I1945" t="str">
        <f>IF(OR(G1945=0,F1945=0),"",D1945/F1945)</f>
        <v/>
      </c>
      <c r="J1945" t="str">
        <f>IF(OR(H1945="",I1945=""),"",IF(H1945=0,"",I1945/H1945-1))</f>
        <v/>
      </c>
      <c r="K1945" t="str">
        <f>IF($B1945="","",IFERROR(IF(G1945=0,-2E+300,CHOOSE(sortIdx,ROUND(D1945,0),IF(J1945="",-1E+300,ROUND(-J1945,6)),IF(J1945="",-1E+300,ROUND(J1945,6)))),-1.5E+300))</f>
        <v/>
      </c>
      <c r="L1945" t="str">
        <f>IF(K1945="","",RANK(K1945,$K$2:$K$3001,0)+COUNTIF($K$2:K1945,K1945)-1)</f>
        <v/>
      </c>
    </row>
    <row r="1946">
      <c r="B1946" t="str">
        <f>IFERROR(IF(A1946="","","="&amp;SUBSTITUTE(SUBSTITUTE(SUBSTITUTE(A1946,"~","~~"),"*","~*"),"?","~?")),"")</f>
        <v/>
      </c>
      <c r="C1946" t="str">
        <f>IF($B1946="","",SUMIFS(dAmt,dCust,$B1946,dPer,"&gt;="&amp;pyFrom,dPer,"&lt;="&amp;pyTo,dAmt,"&gt;-1E+300",dFlt1,critFlt1,dFlt2,critFlt2,dFlt3,critFlt3))</f>
        <v/>
      </c>
      <c r="D1946" t="str">
        <f>IF($B1946="","",SUMIFS(dAmt,dCust,$B1946,dPer,"&gt;="&amp;cyFrom,dPer,"&lt;="&amp;cyTo,dAmt,"&gt;-1E+300",dFlt1,critFlt1,dFlt2,critFlt2,dFlt3,critFlt3))</f>
        <v/>
      </c>
      <c r="E1946" t="str">
        <f>IF($B1946="","",SUMIFS(dQty,dCust,$B1946,dPer,"&gt;="&amp;pyFrom,dPer,"&lt;="&amp;pyTo,dQty,"&gt;-1E+300",dFlt1,critFlt1,dFlt2,critFlt2,dFlt3,critFlt3))</f>
        <v/>
      </c>
      <c r="F1946" t="str">
        <f>IF($B1946="","",SUMIFS(dQty,dCust,$B1946,dPer,"&gt;="&amp;cyFrom,dPer,"&lt;="&amp;cyTo,dQty,"&gt;-1E+300",dFlt1,critFlt1,dFlt2,critFlt2,dFlt3,critFlt3))</f>
        <v/>
      </c>
      <c r="G1946">
        <f>IF($B1946="",0,IFERROR(IF(OR(C1946&lt;&gt;0,D1946&lt;&gt;0,E1946&lt;&gt;0,F1946&lt;&gt;0),1,0),1))</f>
        <v>0</v>
      </c>
      <c r="H1946" t="str">
        <f>IF(OR(G1946=0,E1946=0),"",C1946/E1946)</f>
        <v/>
      </c>
      <c r="I1946" t="str">
        <f>IF(OR(G1946=0,F1946=0),"",D1946/F1946)</f>
        <v/>
      </c>
      <c r="J1946" t="str">
        <f>IF(OR(H1946="",I1946=""),"",IF(H1946=0,"",I1946/H1946-1))</f>
        <v/>
      </c>
      <c r="K1946" t="str">
        <f>IF($B1946="","",IFERROR(IF(G1946=0,-2E+300,CHOOSE(sortIdx,ROUND(D1946,0),IF(J1946="",-1E+300,ROUND(-J1946,6)),IF(J1946="",-1E+300,ROUND(J1946,6)))),-1.5E+300))</f>
        <v/>
      </c>
      <c r="L1946" t="str">
        <f>IF(K1946="","",RANK(K1946,$K$2:$K$3001,0)+COUNTIF($K$2:K1946,K1946)-1)</f>
        <v/>
      </c>
    </row>
    <row r="1947">
      <c r="B1947" t="str">
        <f>IFERROR(IF(A1947="","","="&amp;SUBSTITUTE(SUBSTITUTE(SUBSTITUTE(A1947,"~","~~"),"*","~*"),"?","~?")),"")</f>
        <v/>
      </c>
      <c r="C1947" t="str">
        <f>IF($B1947="","",SUMIFS(dAmt,dCust,$B1947,dPer,"&gt;="&amp;pyFrom,dPer,"&lt;="&amp;pyTo,dAmt,"&gt;-1E+300",dFlt1,critFlt1,dFlt2,critFlt2,dFlt3,critFlt3))</f>
        <v/>
      </c>
      <c r="D1947" t="str">
        <f>IF($B1947="","",SUMIFS(dAmt,dCust,$B1947,dPer,"&gt;="&amp;cyFrom,dPer,"&lt;="&amp;cyTo,dAmt,"&gt;-1E+300",dFlt1,critFlt1,dFlt2,critFlt2,dFlt3,critFlt3))</f>
        <v/>
      </c>
      <c r="E1947" t="str">
        <f>IF($B1947="","",SUMIFS(dQty,dCust,$B1947,dPer,"&gt;="&amp;pyFrom,dPer,"&lt;="&amp;pyTo,dQty,"&gt;-1E+300",dFlt1,critFlt1,dFlt2,critFlt2,dFlt3,critFlt3))</f>
        <v/>
      </c>
      <c r="F1947" t="str">
        <f>IF($B1947="","",SUMIFS(dQty,dCust,$B1947,dPer,"&gt;="&amp;cyFrom,dPer,"&lt;="&amp;cyTo,dQty,"&gt;-1E+300",dFlt1,critFlt1,dFlt2,critFlt2,dFlt3,critFlt3))</f>
        <v/>
      </c>
      <c r="G1947">
        <f>IF($B1947="",0,IFERROR(IF(OR(C1947&lt;&gt;0,D1947&lt;&gt;0,E1947&lt;&gt;0,F1947&lt;&gt;0),1,0),1))</f>
        <v>0</v>
      </c>
      <c r="H1947" t="str">
        <f>IF(OR(G1947=0,E1947=0),"",C1947/E1947)</f>
        <v/>
      </c>
      <c r="I1947" t="str">
        <f>IF(OR(G1947=0,F1947=0),"",D1947/F1947)</f>
        <v/>
      </c>
      <c r="J1947" t="str">
        <f>IF(OR(H1947="",I1947=""),"",IF(H1947=0,"",I1947/H1947-1))</f>
        <v/>
      </c>
      <c r="K1947" t="str">
        <f>IF($B1947="","",IFERROR(IF(G1947=0,-2E+300,CHOOSE(sortIdx,ROUND(D1947,0),IF(J1947="",-1E+300,ROUND(-J1947,6)),IF(J1947="",-1E+300,ROUND(J1947,6)))),-1.5E+300))</f>
        <v/>
      </c>
      <c r="L1947" t="str">
        <f>IF(K1947="","",RANK(K1947,$K$2:$K$3001,0)+COUNTIF($K$2:K1947,K1947)-1)</f>
        <v/>
      </c>
    </row>
    <row r="1948">
      <c r="B1948" t="str">
        <f>IFERROR(IF(A1948="","","="&amp;SUBSTITUTE(SUBSTITUTE(SUBSTITUTE(A1948,"~","~~"),"*","~*"),"?","~?")),"")</f>
        <v/>
      </c>
      <c r="C1948" t="str">
        <f>IF($B1948="","",SUMIFS(dAmt,dCust,$B1948,dPer,"&gt;="&amp;pyFrom,dPer,"&lt;="&amp;pyTo,dAmt,"&gt;-1E+300",dFlt1,critFlt1,dFlt2,critFlt2,dFlt3,critFlt3))</f>
        <v/>
      </c>
      <c r="D1948" t="str">
        <f>IF($B1948="","",SUMIFS(dAmt,dCust,$B1948,dPer,"&gt;="&amp;cyFrom,dPer,"&lt;="&amp;cyTo,dAmt,"&gt;-1E+300",dFlt1,critFlt1,dFlt2,critFlt2,dFlt3,critFlt3))</f>
        <v/>
      </c>
      <c r="E1948" t="str">
        <f>IF($B1948="","",SUMIFS(dQty,dCust,$B1948,dPer,"&gt;="&amp;pyFrom,dPer,"&lt;="&amp;pyTo,dQty,"&gt;-1E+300",dFlt1,critFlt1,dFlt2,critFlt2,dFlt3,critFlt3))</f>
        <v/>
      </c>
      <c r="F1948" t="str">
        <f>IF($B1948="","",SUMIFS(dQty,dCust,$B1948,dPer,"&gt;="&amp;cyFrom,dPer,"&lt;="&amp;cyTo,dQty,"&gt;-1E+300",dFlt1,critFlt1,dFlt2,critFlt2,dFlt3,critFlt3))</f>
        <v/>
      </c>
      <c r="G1948">
        <f>IF($B1948="",0,IFERROR(IF(OR(C1948&lt;&gt;0,D1948&lt;&gt;0,E1948&lt;&gt;0,F1948&lt;&gt;0),1,0),1))</f>
        <v>0</v>
      </c>
      <c r="H1948" t="str">
        <f>IF(OR(G1948=0,E1948=0),"",C1948/E1948)</f>
        <v/>
      </c>
      <c r="I1948" t="str">
        <f>IF(OR(G1948=0,F1948=0),"",D1948/F1948)</f>
        <v/>
      </c>
      <c r="J1948" t="str">
        <f>IF(OR(H1948="",I1948=""),"",IF(H1948=0,"",I1948/H1948-1))</f>
        <v/>
      </c>
      <c r="K1948" t="str">
        <f>IF($B1948="","",IFERROR(IF(G1948=0,-2E+300,CHOOSE(sortIdx,ROUND(D1948,0),IF(J1948="",-1E+300,ROUND(-J1948,6)),IF(J1948="",-1E+300,ROUND(J1948,6)))),-1.5E+300))</f>
        <v/>
      </c>
      <c r="L1948" t="str">
        <f>IF(K1948="","",RANK(K1948,$K$2:$K$3001,0)+COUNTIF($K$2:K1948,K1948)-1)</f>
        <v/>
      </c>
    </row>
    <row r="1949">
      <c r="B1949" t="str">
        <f>IFERROR(IF(A1949="","","="&amp;SUBSTITUTE(SUBSTITUTE(SUBSTITUTE(A1949,"~","~~"),"*","~*"),"?","~?")),"")</f>
        <v/>
      </c>
      <c r="C1949" t="str">
        <f>IF($B1949="","",SUMIFS(dAmt,dCust,$B1949,dPer,"&gt;="&amp;pyFrom,dPer,"&lt;="&amp;pyTo,dAmt,"&gt;-1E+300",dFlt1,critFlt1,dFlt2,critFlt2,dFlt3,critFlt3))</f>
        <v/>
      </c>
      <c r="D1949" t="str">
        <f>IF($B1949="","",SUMIFS(dAmt,dCust,$B1949,dPer,"&gt;="&amp;cyFrom,dPer,"&lt;="&amp;cyTo,dAmt,"&gt;-1E+300",dFlt1,critFlt1,dFlt2,critFlt2,dFlt3,critFlt3))</f>
        <v/>
      </c>
      <c r="E1949" t="str">
        <f>IF($B1949="","",SUMIFS(dQty,dCust,$B1949,dPer,"&gt;="&amp;pyFrom,dPer,"&lt;="&amp;pyTo,dQty,"&gt;-1E+300",dFlt1,critFlt1,dFlt2,critFlt2,dFlt3,critFlt3))</f>
        <v/>
      </c>
      <c r="F1949" t="str">
        <f>IF($B1949="","",SUMIFS(dQty,dCust,$B1949,dPer,"&gt;="&amp;cyFrom,dPer,"&lt;="&amp;cyTo,dQty,"&gt;-1E+300",dFlt1,critFlt1,dFlt2,critFlt2,dFlt3,critFlt3))</f>
        <v/>
      </c>
      <c r="G1949">
        <f>IF($B1949="",0,IFERROR(IF(OR(C1949&lt;&gt;0,D1949&lt;&gt;0,E1949&lt;&gt;0,F1949&lt;&gt;0),1,0),1))</f>
        <v>0</v>
      </c>
      <c r="H1949" t="str">
        <f>IF(OR(G1949=0,E1949=0),"",C1949/E1949)</f>
        <v/>
      </c>
      <c r="I1949" t="str">
        <f>IF(OR(G1949=0,F1949=0),"",D1949/F1949)</f>
        <v/>
      </c>
      <c r="J1949" t="str">
        <f>IF(OR(H1949="",I1949=""),"",IF(H1949=0,"",I1949/H1949-1))</f>
        <v/>
      </c>
      <c r="K1949" t="str">
        <f>IF($B1949="","",IFERROR(IF(G1949=0,-2E+300,CHOOSE(sortIdx,ROUND(D1949,0),IF(J1949="",-1E+300,ROUND(-J1949,6)),IF(J1949="",-1E+300,ROUND(J1949,6)))),-1.5E+300))</f>
        <v/>
      </c>
      <c r="L1949" t="str">
        <f>IF(K1949="","",RANK(K1949,$K$2:$K$3001,0)+COUNTIF($K$2:K1949,K1949)-1)</f>
        <v/>
      </c>
    </row>
    <row r="1950">
      <c r="B1950" t="str">
        <f>IFERROR(IF(A1950="","","="&amp;SUBSTITUTE(SUBSTITUTE(SUBSTITUTE(A1950,"~","~~"),"*","~*"),"?","~?")),"")</f>
        <v/>
      </c>
      <c r="C1950" t="str">
        <f>IF($B1950="","",SUMIFS(dAmt,dCust,$B1950,dPer,"&gt;="&amp;pyFrom,dPer,"&lt;="&amp;pyTo,dAmt,"&gt;-1E+300",dFlt1,critFlt1,dFlt2,critFlt2,dFlt3,critFlt3))</f>
        <v/>
      </c>
      <c r="D1950" t="str">
        <f>IF($B1950="","",SUMIFS(dAmt,dCust,$B1950,dPer,"&gt;="&amp;cyFrom,dPer,"&lt;="&amp;cyTo,dAmt,"&gt;-1E+300",dFlt1,critFlt1,dFlt2,critFlt2,dFlt3,critFlt3))</f>
        <v/>
      </c>
      <c r="E1950" t="str">
        <f>IF($B1950="","",SUMIFS(dQty,dCust,$B1950,dPer,"&gt;="&amp;pyFrom,dPer,"&lt;="&amp;pyTo,dQty,"&gt;-1E+300",dFlt1,critFlt1,dFlt2,critFlt2,dFlt3,critFlt3))</f>
        <v/>
      </c>
      <c r="F1950" t="str">
        <f>IF($B1950="","",SUMIFS(dQty,dCust,$B1950,dPer,"&gt;="&amp;cyFrom,dPer,"&lt;="&amp;cyTo,dQty,"&gt;-1E+300",dFlt1,critFlt1,dFlt2,critFlt2,dFlt3,critFlt3))</f>
        <v/>
      </c>
      <c r="G1950">
        <f>IF($B1950="",0,IFERROR(IF(OR(C1950&lt;&gt;0,D1950&lt;&gt;0,E1950&lt;&gt;0,F1950&lt;&gt;0),1,0),1))</f>
        <v>0</v>
      </c>
      <c r="H1950" t="str">
        <f>IF(OR(G1950=0,E1950=0),"",C1950/E1950)</f>
        <v/>
      </c>
      <c r="I1950" t="str">
        <f>IF(OR(G1950=0,F1950=0),"",D1950/F1950)</f>
        <v/>
      </c>
      <c r="J1950" t="str">
        <f>IF(OR(H1950="",I1950=""),"",IF(H1950=0,"",I1950/H1950-1))</f>
        <v/>
      </c>
      <c r="K1950" t="str">
        <f>IF($B1950="","",IFERROR(IF(G1950=0,-2E+300,CHOOSE(sortIdx,ROUND(D1950,0),IF(J1950="",-1E+300,ROUND(-J1950,6)),IF(J1950="",-1E+300,ROUND(J1950,6)))),-1.5E+300))</f>
        <v/>
      </c>
      <c r="L1950" t="str">
        <f>IF(K1950="","",RANK(K1950,$K$2:$K$3001,0)+COUNTIF($K$2:K1950,K1950)-1)</f>
        <v/>
      </c>
    </row>
    <row r="1951">
      <c r="B1951" t="str">
        <f>IFERROR(IF(A1951="","","="&amp;SUBSTITUTE(SUBSTITUTE(SUBSTITUTE(A1951,"~","~~"),"*","~*"),"?","~?")),"")</f>
        <v/>
      </c>
      <c r="C1951" t="str">
        <f>IF($B1951="","",SUMIFS(dAmt,dCust,$B1951,dPer,"&gt;="&amp;pyFrom,dPer,"&lt;="&amp;pyTo,dAmt,"&gt;-1E+300",dFlt1,critFlt1,dFlt2,critFlt2,dFlt3,critFlt3))</f>
        <v/>
      </c>
      <c r="D1951" t="str">
        <f>IF($B1951="","",SUMIFS(dAmt,dCust,$B1951,dPer,"&gt;="&amp;cyFrom,dPer,"&lt;="&amp;cyTo,dAmt,"&gt;-1E+300",dFlt1,critFlt1,dFlt2,critFlt2,dFlt3,critFlt3))</f>
        <v/>
      </c>
      <c r="E1951" t="str">
        <f>IF($B1951="","",SUMIFS(dQty,dCust,$B1951,dPer,"&gt;="&amp;pyFrom,dPer,"&lt;="&amp;pyTo,dQty,"&gt;-1E+300",dFlt1,critFlt1,dFlt2,critFlt2,dFlt3,critFlt3))</f>
        <v/>
      </c>
      <c r="F1951" t="str">
        <f>IF($B1951="","",SUMIFS(dQty,dCust,$B1951,dPer,"&gt;="&amp;cyFrom,dPer,"&lt;="&amp;cyTo,dQty,"&gt;-1E+300",dFlt1,critFlt1,dFlt2,critFlt2,dFlt3,critFlt3))</f>
        <v/>
      </c>
      <c r="G1951">
        <f>IF($B1951="",0,IFERROR(IF(OR(C1951&lt;&gt;0,D1951&lt;&gt;0,E1951&lt;&gt;0,F1951&lt;&gt;0),1,0),1))</f>
        <v>0</v>
      </c>
      <c r="H1951" t="str">
        <f>IF(OR(G1951=0,E1951=0),"",C1951/E1951)</f>
        <v/>
      </c>
      <c r="I1951" t="str">
        <f>IF(OR(G1951=0,F1951=0),"",D1951/F1951)</f>
        <v/>
      </c>
      <c r="J1951" t="str">
        <f>IF(OR(H1951="",I1951=""),"",IF(H1951=0,"",I1951/H1951-1))</f>
        <v/>
      </c>
      <c r="K1951" t="str">
        <f>IF($B1951="","",IFERROR(IF(G1951=0,-2E+300,CHOOSE(sortIdx,ROUND(D1951,0),IF(J1951="",-1E+300,ROUND(-J1951,6)),IF(J1951="",-1E+300,ROUND(J1951,6)))),-1.5E+300))</f>
        <v/>
      </c>
      <c r="L1951" t="str">
        <f>IF(K1951="","",RANK(K1951,$K$2:$K$3001,0)+COUNTIF($K$2:K1951,K1951)-1)</f>
        <v/>
      </c>
    </row>
    <row r="1952">
      <c r="B1952" t="str">
        <f>IFERROR(IF(A1952="","","="&amp;SUBSTITUTE(SUBSTITUTE(SUBSTITUTE(A1952,"~","~~"),"*","~*"),"?","~?")),"")</f>
        <v/>
      </c>
      <c r="C1952" t="str">
        <f>IF($B1952="","",SUMIFS(dAmt,dCust,$B1952,dPer,"&gt;="&amp;pyFrom,dPer,"&lt;="&amp;pyTo,dAmt,"&gt;-1E+300",dFlt1,critFlt1,dFlt2,critFlt2,dFlt3,critFlt3))</f>
        <v/>
      </c>
      <c r="D1952" t="str">
        <f>IF($B1952="","",SUMIFS(dAmt,dCust,$B1952,dPer,"&gt;="&amp;cyFrom,dPer,"&lt;="&amp;cyTo,dAmt,"&gt;-1E+300",dFlt1,critFlt1,dFlt2,critFlt2,dFlt3,critFlt3))</f>
        <v/>
      </c>
      <c r="E1952" t="str">
        <f>IF($B1952="","",SUMIFS(dQty,dCust,$B1952,dPer,"&gt;="&amp;pyFrom,dPer,"&lt;="&amp;pyTo,dQty,"&gt;-1E+300",dFlt1,critFlt1,dFlt2,critFlt2,dFlt3,critFlt3))</f>
        <v/>
      </c>
      <c r="F1952" t="str">
        <f>IF($B1952="","",SUMIFS(dQty,dCust,$B1952,dPer,"&gt;="&amp;cyFrom,dPer,"&lt;="&amp;cyTo,dQty,"&gt;-1E+300",dFlt1,critFlt1,dFlt2,critFlt2,dFlt3,critFlt3))</f>
        <v/>
      </c>
      <c r="G1952">
        <f>IF($B1952="",0,IFERROR(IF(OR(C1952&lt;&gt;0,D1952&lt;&gt;0,E1952&lt;&gt;0,F1952&lt;&gt;0),1,0),1))</f>
        <v>0</v>
      </c>
      <c r="H1952" t="str">
        <f>IF(OR(G1952=0,E1952=0),"",C1952/E1952)</f>
        <v/>
      </c>
      <c r="I1952" t="str">
        <f>IF(OR(G1952=0,F1952=0),"",D1952/F1952)</f>
        <v/>
      </c>
      <c r="J1952" t="str">
        <f>IF(OR(H1952="",I1952=""),"",IF(H1952=0,"",I1952/H1952-1))</f>
        <v/>
      </c>
      <c r="K1952" t="str">
        <f>IF($B1952="","",IFERROR(IF(G1952=0,-2E+300,CHOOSE(sortIdx,ROUND(D1952,0),IF(J1952="",-1E+300,ROUND(-J1952,6)),IF(J1952="",-1E+300,ROUND(J1952,6)))),-1.5E+300))</f>
        <v/>
      </c>
      <c r="L1952" t="str">
        <f>IF(K1952="","",RANK(K1952,$K$2:$K$3001,0)+COUNTIF($K$2:K1952,K1952)-1)</f>
        <v/>
      </c>
    </row>
    <row r="1953">
      <c r="B1953" t="str">
        <f>IFERROR(IF(A1953="","","="&amp;SUBSTITUTE(SUBSTITUTE(SUBSTITUTE(A1953,"~","~~"),"*","~*"),"?","~?")),"")</f>
        <v/>
      </c>
      <c r="C1953" t="str">
        <f>IF($B1953="","",SUMIFS(dAmt,dCust,$B1953,dPer,"&gt;="&amp;pyFrom,dPer,"&lt;="&amp;pyTo,dAmt,"&gt;-1E+300",dFlt1,critFlt1,dFlt2,critFlt2,dFlt3,critFlt3))</f>
        <v/>
      </c>
      <c r="D1953" t="str">
        <f>IF($B1953="","",SUMIFS(dAmt,dCust,$B1953,dPer,"&gt;="&amp;cyFrom,dPer,"&lt;="&amp;cyTo,dAmt,"&gt;-1E+300",dFlt1,critFlt1,dFlt2,critFlt2,dFlt3,critFlt3))</f>
        <v/>
      </c>
      <c r="E1953" t="str">
        <f>IF($B1953="","",SUMIFS(dQty,dCust,$B1953,dPer,"&gt;="&amp;pyFrom,dPer,"&lt;="&amp;pyTo,dQty,"&gt;-1E+300",dFlt1,critFlt1,dFlt2,critFlt2,dFlt3,critFlt3))</f>
        <v/>
      </c>
      <c r="F1953" t="str">
        <f>IF($B1953="","",SUMIFS(dQty,dCust,$B1953,dPer,"&gt;="&amp;cyFrom,dPer,"&lt;="&amp;cyTo,dQty,"&gt;-1E+300",dFlt1,critFlt1,dFlt2,critFlt2,dFlt3,critFlt3))</f>
        <v/>
      </c>
      <c r="G1953">
        <f>IF($B1953="",0,IFERROR(IF(OR(C1953&lt;&gt;0,D1953&lt;&gt;0,E1953&lt;&gt;0,F1953&lt;&gt;0),1,0),1))</f>
        <v>0</v>
      </c>
      <c r="H1953" t="str">
        <f>IF(OR(G1953=0,E1953=0),"",C1953/E1953)</f>
        <v/>
      </c>
      <c r="I1953" t="str">
        <f>IF(OR(G1953=0,F1953=0),"",D1953/F1953)</f>
        <v/>
      </c>
      <c r="J1953" t="str">
        <f>IF(OR(H1953="",I1953=""),"",IF(H1953=0,"",I1953/H1953-1))</f>
        <v/>
      </c>
      <c r="K1953" t="str">
        <f>IF($B1953="","",IFERROR(IF(G1953=0,-2E+300,CHOOSE(sortIdx,ROUND(D1953,0),IF(J1953="",-1E+300,ROUND(-J1953,6)),IF(J1953="",-1E+300,ROUND(J1953,6)))),-1.5E+300))</f>
        <v/>
      </c>
      <c r="L1953" t="str">
        <f>IF(K1953="","",RANK(K1953,$K$2:$K$3001,0)+COUNTIF($K$2:K1953,K1953)-1)</f>
        <v/>
      </c>
    </row>
    <row r="1954">
      <c r="B1954" t="str">
        <f>IFERROR(IF(A1954="","","="&amp;SUBSTITUTE(SUBSTITUTE(SUBSTITUTE(A1954,"~","~~"),"*","~*"),"?","~?")),"")</f>
        <v/>
      </c>
      <c r="C1954" t="str">
        <f>IF($B1954="","",SUMIFS(dAmt,dCust,$B1954,dPer,"&gt;="&amp;pyFrom,dPer,"&lt;="&amp;pyTo,dAmt,"&gt;-1E+300",dFlt1,critFlt1,dFlt2,critFlt2,dFlt3,critFlt3))</f>
        <v/>
      </c>
      <c r="D1954" t="str">
        <f>IF($B1954="","",SUMIFS(dAmt,dCust,$B1954,dPer,"&gt;="&amp;cyFrom,dPer,"&lt;="&amp;cyTo,dAmt,"&gt;-1E+300",dFlt1,critFlt1,dFlt2,critFlt2,dFlt3,critFlt3))</f>
        <v/>
      </c>
      <c r="E1954" t="str">
        <f>IF($B1954="","",SUMIFS(dQty,dCust,$B1954,dPer,"&gt;="&amp;pyFrom,dPer,"&lt;="&amp;pyTo,dQty,"&gt;-1E+300",dFlt1,critFlt1,dFlt2,critFlt2,dFlt3,critFlt3))</f>
        <v/>
      </c>
      <c r="F1954" t="str">
        <f>IF($B1954="","",SUMIFS(dQty,dCust,$B1954,dPer,"&gt;="&amp;cyFrom,dPer,"&lt;="&amp;cyTo,dQty,"&gt;-1E+300",dFlt1,critFlt1,dFlt2,critFlt2,dFlt3,critFlt3))</f>
        <v/>
      </c>
      <c r="G1954">
        <f>IF($B1954="",0,IFERROR(IF(OR(C1954&lt;&gt;0,D1954&lt;&gt;0,E1954&lt;&gt;0,F1954&lt;&gt;0),1,0),1))</f>
        <v>0</v>
      </c>
      <c r="H1954" t="str">
        <f>IF(OR(G1954=0,E1954=0),"",C1954/E1954)</f>
        <v/>
      </c>
      <c r="I1954" t="str">
        <f>IF(OR(G1954=0,F1954=0),"",D1954/F1954)</f>
        <v/>
      </c>
      <c r="J1954" t="str">
        <f>IF(OR(H1954="",I1954=""),"",IF(H1954=0,"",I1954/H1954-1))</f>
        <v/>
      </c>
      <c r="K1954" t="str">
        <f>IF($B1954="","",IFERROR(IF(G1954=0,-2E+300,CHOOSE(sortIdx,ROUND(D1954,0),IF(J1954="",-1E+300,ROUND(-J1954,6)),IF(J1954="",-1E+300,ROUND(J1954,6)))),-1.5E+300))</f>
        <v/>
      </c>
      <c r="L1954" t="str">
        <f>IF(K1954="","",RANK(K1954,$K$2:$K$3001,0)+COUNTIF($K$2:K1954,K1954)-1)</f>
        <v/>
      </c>
    </row>
    <row r="1955">
      <c r="B1955" t="str">
        <f>IFERROR(IF(A1955="","","="&amp;SUBSTITUTE(SUBSTITUTE(SUBSTITUTE(A1955,"~","~~"),"*","~*"),"?","~?")),"")</f>
        <v/>
      </c>
      <c r="C1955" t="str">
        <f>IF($B1955="","",SUMIFS(dAmt,dCust,$B1955,dPer,"&gt;="&amp;pyFrom,dPer,"&lt;="&amp;pyTo,dAmt,"&gt;-1E+300",dFlt1,critFlt1,dFlt2,critFlt2,dFlt3,critFlt3))</f>
        <v/>
      </c>
      <c r="D1955" t="str">
        <f>IF($B1955="","",SUMIFS(dAmt,dCust,$B1955,dPer,"&gt;="&amp;cyFrom,dPer,"&lt;="&amp;cyTo,dAmt,"&gt;-1E+300",dFlt1,critFlt1,dFlt2,critFlt2,dFlt3,critFlt3))</f>
        <v/>
      </c>
      <c r="E1955" t="str">
        <f>IF($B1955="","",SUMIFS(dQty,dCust,$B1955,dPer,"&gt;="&amp;pyFrom,dPer,"&lt;="&amp;pyTo,dQty,"&gt;-1E+300",dFlt1,critFlt1,dFlt2,critFlt2,dFlt3,critFlt3))</f>
        <v/>
      </c>
      <c r="F1955" t="str">
        <f>IF($B1955="","",SUMIFS(dQty,dCust,$B1955,dPer,"&gt;="&amp;cyFrom,dPer,"&lt;="&amp;cyTo,dQty,"&gt;-1E+300",dFlt1,critFlt1,dFlt2,critFlt2,dFlt3,critFlt3))</f>
        <v/>
      </c>
      <c r="G1955">
        <f>IF($B1955="",0,IFERROR(IF(OR(C1955&lt;&gt;0,D1955&lt;&gt;0,E1955&lt;&gt;0,F1955&lt;&gt;0),1,0),1))</f>
        <v>0</v>
      </c>
      <c r="H1955" t="str">
        <f>IF(OR(G1955=0,E1955=0),"",C1955/E1955)</f>
        <v/>
      </c>
      <c r="I1955" t="str">
        <f>IF(OR(G1955=0,F1955=0),"",D1955/F1955)</f>
        <v/>
      </c>
      <c r="J1955" t="str">
        <f>IF(OR(H1955="",I1955=""),"",IF(H1955=0,"",I1955/H1955-1))</f>
        <v/>
      </c>
      <c r="K1955" t="str">
        <f>IF($B1955="","",IFERROR(IF(G1955=0,-2E+300,CHOOSE(sortIdx,ROUND(D1955,0),IF(J1955="",-1E+300,ROUND(-J1955,6)),IF(J1955="",-1E+300,ROUND(J1955,6)))),-1.5E+300))</f>
        <v/>
      </c>
      <c r="L1955" t="str">
        <f>IF(K1955="","",RANK(K1955,$K$2:$K$3001,0)+COUNTIF($K$2:K1955,K1955)-1)</f>
        <v/>
      </c>
    </row>
    <row r="1956">
      <c r="B1956" t="str">
        <f>IFERROR(IF(A1956="","","="&amp;SUBSTITUTE(SUBSTITUTE(SUBSTITUTE(A1956,"~","~~"),"*","~*"),"?","~?")),"")</f>
        <v/>
      </c>
      <c r="C1956" t="str">
        <f>IF($B1956="","",SUMIFS(dAmt,dCust,$B1956,dPer,"&gt;="&amp;pyFrom,dPer,"&lt;="&amp;pyTo,dAmt,"&gt;-1E+300",dFlt1,critFlt1,dFlt2,critFlt2,dFlt3,critFlt3))</f>
        <v/>
      </c>
      <c r="D1956" t="str">
        <f>IF($B1956="","",SUMIFS(dAmt,dCust,$B1956,dPer,"&gt;="&amp;cyFrom,dPer,"&lt;="&amp;cyTo,dAmt,"&gt;-1E+300",dFlt1,critFlt1,dFlt2,critFlt2,dFlt3,critFlt3))</f>
        <v/>
      </c>
      <c r="E1956" t="str">
        <f>IF($B1956="","",SUMIFS(dQty,dCust,$B1956,dPer,"&gt;="&amp;pyFrom,dPer,"&lt;="&amp;pyTo,dQty,"&gt;-1E+300",dFlt1,critFlt1,dFlt2,critFlt2,dFlt3,critFlt3))</f>
        <v/>
      </c>
      <c r="F1956" t="str">
        <f>IF($B1956="","",SUMIFS(dQty,dCust,$B1956,dPer,"&gt;="&amp;cyFrom,dPer,"&lt;="&amp;cyTo,dQty,"&gt;-1E+300",dFlt1,critFlt1,dFlt2,critFlt2,dFlt3,critFlt3))</f>
        <v/>
      </c>
      <c r="G1956">
        <f>IF($B1956="",0,IFERROR(IF(OR(C1956&lt;&gt;0,D1956&lt;&gt;0,E1956&lt;&gt;0,F1956&lt;&gt;0),1,0),1))</f>
        <v>0</v>
      </c>
      <c r="H1956" t="str">
        <f>IF(OR(G1956=0,E1956=0),"",C1956/E1956)</f>
        <v/>
      </c>
      <c r="I1956" t="str">
        <f>IF(OR(G1956=0,F1956=0),"",D1956/F1956)</f>
        <v/>
      </c>
      <c r="J1956" t="str">
        <f>IF(OR(H1956="",I1956=""),"",IF(H1956=0,"",I1956/H1956-1))</f>
        <v/>
      </c>
      <c r="K1956" t="str">
        <f>IF($B1956="","",IFERROR(IF(G1956=0,-2E+300,CHOOSE(sortIdx,ROUND(D1956,0),IF(J1956="",-1E+300,ROUND(-J1956,6)),IF(J1956="",-1E+300,ROUND(J1956,6)))),-1.5E+300))</f>
        <v/>
      </c>
      <c r="L1956" t="str">
        <f>IF(K1956="","",RANK(K1956,$K$2:$K$3001,0)+COUNTIF($K$2:K1956,K1956)-1)</f>
        <v/>
      </c>
    </row>
    <row r="1957">
      <c r="B1957" t="str">
        <f>IFERROR(IF(A1957="","","="&amp;SUBSTITUTE(SUBSTITUTE(SUBSTITUTE(A1957,"~","~~"),"*","~*"),"?","~?")),"")</f>
        <v/>
      </c>
      <c r="C1957" t="str">
        <f>IF($B1957="","",SUMIFS(dAmt,dCust,$B1957,dPer,"&gt;="&amp;pyFrom,dPer,"&lt;="&amp;pyTo,dAmt,"&gt;-1E+300",dFlt1,critFlt1,dFlt2,critFlt2,dFlt3,critFlt3))</f>
        <v/>
      </c>
      <c r="D1957" t="str">
        <f>IF($B1957="","",SUMIFS(dAmt,dCust,$B1957,dPer,"&gt;="&amp;cyFrom,dPer,"&lt;="&amp;cyTo,dAmt,"&gt;-1E+300",dFlt1,critFlt1,dFlt2,critFlt2,dFlt3,critFlt3))</f>
        <v/>
      </c>
      <c r="E1957" t="str">
        <f>IF($B1957="","",SUMIFS(dQty,dCust,$B1957,dPer,"&gt;="&amp;pyFrom,dPer,"&lt;="&amp;pyTo,dQty,"&gt;-1E+300",dFlt1,critFlt1,dFlt2,critFlt2,dFlt3,critFlt3))</f>
        <v/>
      </c>
      <c r="F1957" t="str">
        <f>IF($B1957="","",SUMIFS(dQty,dCust,$B1957,dPer,"&gt;="&amp;cyFrom,dPer,"&lt;="&amp;cyTo,dQty,"&gt;-1E+300",dFlt1,critFlt1,dFlt2,critFlt2,dFlt3,critFlt3))</f>
        <v/>
      </c>
      <c r="G1957">
        <f>IF($B1957="",0,IFERROR(IF(OR(C1957&lt;&gt;0,D1957&lt;&gt;0,E1957&lt;&gt;0,F1957&lt;&gt;0),1,0),1))</f>
        <v>0</v>
      </c>
      <c r="H1957" t="str">
        <f>IF(OR(G1957=0,E1957=0),"",C1957/E1957)</f>
        <v/>
      </c>
      <c r="I1957" t="str">
        <f>IF(OR(G1957=0,F1957=0),"",D1957/F1957)</f>
        <v/>
      </c>
      <c r="J1957" t="str">
        <f>IF(OR(H1957="",I1957=""),"",IF(H1957=0,"",I1957/H1957-1))</f>
        <v/>
      </c>
      <c r="K1957" t="str">
        <f>IF($B1957="","",IFERROR(IF(G1957=0,-2E+300,CHOOSE(sortIdx,ROUND(D1957,0),IF(J1957="",-1E+300,ROUND(-J1957,6)),IF(J1957="",-1E+300,ROUND(J1957,6)))),-1.5E+300))</f>
        <v/>
      </c>
      <c r="L1957" t="str">
        <f>IF(K1957="","",RANK(K1957,$K$2:$K$3001,0)+COUNTIF($K$2:K1957,K1957)-1)</f>
        <v/>
      </c>
    </row>
    <row r="1958">
      <c r="B1958" t="str">
        <f>IFERROR(IF(A1958="","","="&amp;SUBSTITUTE(SUBSTITUTE(SUBSTITUTE(A1958,"~","~~"),"*","~*"),"?","~?")),"")</f>
        <v/>
      </c>
      <c r="C1958" t="str">
        <f>IF($B1958="","",SUMIFS(dAmt,dCust,$B1958,dPer,"&gt;="&amp;pyFrom,dPer,"&lt;="&amp;pyTo,dAmt,"&gt;-1E+300",dFlt1,critFlt1,dFlt2,critFlt2,dFlt3,critFlt3))</f>
        <v/>
      </c>
      <c r="D1958" t="str">
        <f>IF($B1958="","",SUMIFS(dAmt,dCust,$B1958,dPer,"&gt;="&amp;cyFrom,dPer,"&lt;="&amp;cyTo,dAmt,"&gt;-1E+300",dFlt1,critFlt1,dFlt2,critFlt2,dFlt3,critFlt3))</f>
        <v/>
      </c>
      <c r="E1958" t="str">
        <f>IF($B1958="","",SUMIFS(dQty,dCust,$B1958,dPer,"&gt;="&amp;pyFrom,dPer,"&lt;="&amp;pyTo,dQty,"&gt;-1E+300",dFlt1,critFlt1,dFlt2,critFlt2,dFlt3,critFlt3))</f>
        <v/>
      </c>
      <c r="F1958" t="str">
        <f>IF($B1958="","",SUMIFS(dQty,dCust,$B1958,dPer,"&gt;="&amp;cyFrom,dPer,"&lt;="&amp;cyTo,dQty,"&gt;-1E+300",dFlt1,critFlt1,dFlt2,critFlt2,dFlt3,critFlt3))</f>
        <v/>
      </c>
      <c r="G1958">
        <f>IF($B1958="",0,IFERROR(IF(OR(C1958&lt;&gt;0,D1958&lt;&gt;0,E1958&lt;&gt;0,F1958&lt;&gt;0),1,0),1))</f>
        <v>0</v>
      </c>
      <c r="H1958" t="str">
        <f>IF(OR(G1958=0,E1958=0),"",C1958/E1958)</f>
        <v/>
      </c>
      <c r="I1958" t="str">
        <f>IF(OR(G1958=0,F1958=0),"",D1958/F1958)</f>
        <v/>
      </c>
      <c r="J1958" t="str">
        <f>IF(OR(H1958="",I1958=""),"",IF(H1958=0,"",I1958/H1958-1))</f>
        <v/>
      </c>
      <c r="K1958" t="str">
        <f>IF($B1958="","",IFERROR(IF(G1958=0,-2E+300,CHOOSE(sortIdx,ROUND(D1958,0),IF(J1958="",-1E+300,ROUND(-J1958,6)),IF(J1958="",-1E+300,ROUND(J1958,6)))),-1.5E+300))</f>
        <v/>
      </c>
      <c r="L1958" t="str">
        <f>IF(K1958="","",RANK(K1958,$K$2:$K$3001,0)+COUNTIF($K$2:K1958,K1958)-1)</f>
        <v/>
      </c>
    </row>
    <row r="1959">
      <c r="B1959" t="str">
        <f>IFERROR(IF(A1959="","","="&amp;SUBSTITUTE(SUBSTITUTE(SUBSTITUTE(A1959,"~","~~"),"*","~*"),"?","~?")),"")</f>
        <v/>
      </c>
      <c r="C1959" t="str">
        <f>IF($B1959="","",SUMIFS(dAmt,dCust,$B1959,dPer,"&gt;="&amp;pyFrom,dPer,"&lt;="&amp;pyTo,dAmt,"&gt;-1E+300",dFlt1,critFlt1,dFlt2,critFlt2,dFlt3,critFlt3))</f>
        <v/>
      </c>
      <c r="D1959" t="str">
        <f>IF($B1959="","",SUMIFS(dAmt,dCust,$B1959,dPer,"&gt;="&amp;cyFrom,dPer,"&lt;="&amp;cyTo,dAmt,"&gt;-1E+300",dFlt1,critFlt1,dFlt2,critFlt2,dFlt3,critFlt3))</f>
        <v/>
      </c>
      <c r="E1959" t="str">
        <f>IF($B1959="","",SUMIFS(dQty,dCust,$B1959,dPer,"&gt;="&amp;pyFrom,dPer,"&lt;="&amp;pyTo,dQty,"&gt;-1E+300",dFlt1,critFlt1,dFlt2,critFlt2,dFlt3,critFlt3))</f>
        <v/>
      </c>
      <c r="F1959" t="str">
        <f>IF($B1959="","",SUMIFS(dQty,dCust,$B1959,dPer,"&gt;="&amp;cyFrom,dPer,"&lt;="&amp;cyTo,dQty,"&gt;-1E+300",dFlt1,critFlt1,dFlt2,critFlt2,dFlt3,critFlt3))</f>
        <v/>
      </c>
      <c r="G1959">
        <f>IF($B1959="",0,IFERROR(IF(OR(C1959&lt;&gt;0,D1959&lt;&gt;0,E1959&lt;&gt;0,F1959&lt;&gt;0),1,0),1))</f>
        <v>0</v>
      </c>
      <c r="H1959" t="str">
        <f>IF(OR(G1959=0,E1959=0),"",C1959/E1959)</f>
        <v/>
      </c>
      <c r="I1959" t="str">
        <f>IF(OR(G1959=0,F1959=0),"",D1959/F1959)</f>
        <v/>
      </c>
      <c r="J1959" t="str">
        <f>IF(OR(H1959="",I1959=""),"",IF(H1959=0,"",I1959/H1959-1))</f>
        <v/>
      </c>
      <c r="K1959" t="str">
        <f>IF($B1959="","",IFERROR(IF(G1959=0,-2E+300,CHOOSE(sortIdx,ROUND(D1959,0),IF(J1959="",-1E+300,ROUND(-J1959,6)),IF(J1959="",-1E+300,ROUND(J1959,6)))),-1.5E+300))</f>
        <v/>
      </c>
      <c r="L1959" t="str">
        <f>IF(K1959="","",RANK(K1959,$K$2:$K$3001,0)+COUNTIF($K$2:K1959,K1959)-1)</f>
        <v/>
      </c>
    </row>
    <row r="1960">
      <c r="B1960" t="str">
        <f>IFERROR(IF(A1960="","","="&amp;SUBSTITUTE(SUBSTITUTE(SUBSTITUTE(A1960,"~","~~"),"*","~*"),"?","~?")),"")</f>
        <v/>
      </c>
      <c r="C1960" t="str">
        <f>IF($B1960="","",SUMIFS(dAmt,dCust,$B1960,dPer,"&gt;="&amp;pyFrom,dPer,"&lt;="&amp;pyTo,dAmt,"&gt;-1E+300",dFlt1,critFlt1,dFlt2,critFlt2,dFlt3,critFlt3))</f>
        <v/>
      </c>
      <c r="D1960" t="str">
        <f>IF($B1960="","",SUMIFS(dAmt,dCust,$B1960,dPer,"&gt;="&amp;cyFrom,dPer,"&lt;="&amp;cyTo,dAmt,"&gt;-1E+300",dFlt1,critFlt1,dFlt2,critFlt2,dFlt3,critFlt3))</f>
        <v/>
      </c>
      <c r="E1960" t="str">
        <f>IF($B1960="","",SUMIFS(dQty,dCust,$B1960,dPer,"&gt;="&amp;pyFrom,dPer,"&lt;="&amp;pyTo,dQty,"&gt;-1E+300",dFlt1,critFlt1,dFlt2,critFlt2,dFlt3,critFlt3))</f>
        <v/>
      </c>
      <c r="F1960" t="str">
        <f>IF($B1960="","",SUMIFS(dQty,dCust,$B1960,dPer,"&gt;="&amp;cyFrom,dPer,"&lt;="&amp;cyTo,dQty,"&gt;-1E+300",dFlt1,critFlt1,dFlt2,critFlt2,dFlt3,critFlt3))</f>
        <v/>
      </c>
      <c r="G1960">
        <f>IF($B1960="",0,IFERROR(IF(OR(C1960&lt;&gt;0,D1960&lt;&gt;0,E1960&lt;&gt;0,F1960&lt;&gt;0),1,0),1))</f>
        <v>0</v>
      </c>
      <c r="H1960" t="str">
        <f>IF(OR(G1960=0,E1960=0),"",C1960/E1960)</f>
        <v/>
      </c>
      <c r="I1960" t="str">
        <f>IF(OR(G1960=0,F1960=0),"",D1960/F1960)</f>
        <v/>
      </c>
      <c r="J1960" t="str">
        <f>IF(OR(H1960="",I1960=""),"",IF(H1960=0,"",I1960/H1960-1))</f>
        <v/>
      </c>
      <c r="K1960" t="str">
        <f>IF($B1960="","",IFERROR(IF(G1960=0,-2E+300,CHOOSE(sortIdx,ROUND(D1960,0),IF(J1960="",-1E+300,ROUND(-J1960,6)),IF(J1960="",-1E+300,ROUND(J1960,6)))),-1.5E+300))</f>
        <v/>
      </c>
      <c r="L1960" t="str">
        <f>IF(K1960="","",RANK(K1960,$K$2:$K$3001,0)+COUNTIF($K$2:K1960,K1960)-1)</f>
        <v/>
      </c>
    </row>
    <row r="1961">
      <c r="B1961" t="str">
        <f>IFERROR(IF(A1961="","","="&amp;SUBSTITUTE(SUBSTITUTE(SUBSTITUTE(A1961,"~","~~"),"*","~*"),"?","~?")),"")</f>
        <v/>
      </c>
      <c r="C1961" t="str">
        <f>IF($B1961="","",SUMIFS(dAmt,dCust,$B1961,dPer,"&gt;="&amp;pyFrom,dPer,"&lt;="&amp;pyTo,dAmt,"&gt;-1E+300",dFlt1,critFlt1,dFlt2,critFlt2,dFlt3,critFlt3))</f>
        <v/>
      </c>
      <c r="D1961" t="str">
        <f>IF($B1961="","",SUMIFS(dAmt,dCust,$B1961,dPer,"&gt;="&amp;cyFrom,dPer,"&lt;="&amp;cyTo,dAmt,"&gt;-1E+300",dFlt1,critFlt1,dFlt2,critFlt2,dFlt3,critFlt3))</f>
        <v/>
      </c>
      <c r="E1961" t="str">
        <f>IF($B1961="","",SUMIFS(dQty,dCust,$B1961,dPer,"&gt;="&amp;pyFrom,dPer,"&lt;="&amp;pyTo,dQty,"&gt;-1E+300",dFlt1,critFlt1,dFlt2,critFlt2,dFlt3,critFlt3))</f>
        <v/>
      </c>
      <c r="F1961" t="str">
        <f>IF($B1961="","",SUMIFS(dQty,dCust,$B1961,dPer,"&gt;="&amp;cyFrom,dPer,"&lt;="&amp;cyTo,dQty,"&gt;-1E+300",dFlt1,critFlt1,dFlt2,critFlt2,dFlt3,critFlt3))</f>
        <v/>
      </c>
      <c r="G1961">
        <f>IF($B1961="",0,IFERROR(IF(OR(C1961&lt;&gt;0,D1961&lt;&gt;0,E1961&lt;&gt;0,F1961&lt;&gt;0),1,0),1))</f>
        <v>0</v>
      </c>
      <c r="H1961" t="str">
        <f>IF(OR(G1961=0,E1961=0),"",C1961/E1961)</f>
        <v/>
      </c>
      <c r="I1961" t="str">
        <f>IF(OR(G1961=0,F1961=0),"",D1961/F1961)</f>
        <v/>
      </c>
      <c r="J1961" t="str">
        <f>IF(OR(H1961="",I1961=""),"",IF(H1961=0,"",I1961/H1961-1))</f>
        <v/>
      </c>
      <c r="K1961" t="str">
        <f>IF($B1961="","",IFERROR(IF(G1961=0,-2E+300,CHOOSE(sortIdx,ROUND(D1961,0),IF(J1961="",-1E+300,ROUND(-J1961,6)),IF(J1961="",-1E+300,ROUND(J1961,6)))),-1.5E+300))</f>
        <v/>
      </c>
      <c r="L1961" t="str">
        <f>IF(K1961="","",RANK(K1961,$K$2:$K$3001,0)+COUNTIF($K$2:K1961,K1961)-1)</f>
        <v/>
      </c>
    </row>
    <row r="1962">
      <c r="B1962" t="str">
        <f>IFERROR(IF(A1962="","","="&amp;SUBSTITUTE(SUBSTITUTE(SUBSTITUTE(A1962,"~","~~"),"*","~*"),"?","~?")),"")</f>
        <v/>
      </c>
      <c r="C1962" t="str">
        <f>IF($B1962="","",SUMIFS(dAmt,dCust,$B1962,dPer,"&gt;="&amp;pyFrom,dPer,"&lt;="&amp;pyTo,dAmt,"&gt;-1E+300",dFlt1,critFlt1,dFlt2,critFlt2,dFlt3,critFlt3))</f>
        <v/>
      </c>
      <c r="D1962" t="str">
        <f>IF($B1962="","",SUMIFS(dAmt,dCust,$B1962,dPer,"&gt;="&amp;cyFrom,dPer,"&lt;="&amp;cyTo,dAmt,"&gt;-1E+300",dFlt1,critFlt1,dFlt2,critFlt2,dFlt3,critFlt3))</f>
        <v/>
      </c>
      <c r="E1962" t="str">
        <f>IF($B1962="","",SUMIFS(dQty,dCust,$B1962,dPer,"&gt;="&amp;pyFrom,dPer,"&lt;="&amp;pyTo,dQty,"&gt;-1E+300",dFlt1,critFlt1,dFlt2,critFlt2,dFlt3,critFlt3))</f>
        <v/>
      </c>
      <c r="F1962" t="str">
        <f>IF($B1962="","",SUMIFS(dQty,dCust,$B1962,dPer,"&gt;="&amp;cyFrom,dPer,"&lt;="&amp;cyTo,dQty,"&gt;-1E+300",dFlt1,critFlt1,dFlt2,critFlt2,dFlt3,critFlt3))</f>
        <v/>
      </c>
      <c r="G1962">
        <f>IF($B1962="",0,IFERROR(IF(OR(C1962&lt;&gt;0,D1962&lt;&gt;0,E1962&lt;&gt;0,F1962&lt;&gt;0),1,0),1))</f>
        <v>0</v>
      </c>
      <c r="H1962" t="str">
        <f>IF(OR(G1962=0,E1962=0),"",C1962/E1962)</f>
        <v/>
      </c>
      <c r="I1962" t="str">
        <f>IF(OR(G1962=0,F1962=0),"",D1962/F1962)</f>
        <v/>
      </c>
      <c r="J1962" t="str">
        <f>IF(OR(H1962="",I1962=""),"",IF(H1962=0,"",I1962/H1962-1))</f>
        <v/>
      </c>
      <c r="K1962" t="str">
        <f>IF($B1962="","",IFERROR(IF(G1962=0,-2E+300,CHOOSE(sortIdx,ROUND(D1962,0),IF(J1962="",-1E+300,ROUND(-J1962,6)),IF(J1962="",-1E+300,ROUND(J1962,6)))),-1.5E+300))</f>
        <v/>
      </c>
      <c r="L1962" t="str">
        <f>IF(K1962="","",RANK(K1962,$K$2:$K$3001,0)+COUNTIF($K$2:K1962,K1962)-1)</f>
        <v/>
      </c>
    </row>
    <row r="1963">
      <c r="B1963" t="str">
        <f>IFERROR(IF(A1963="","","="&amp;SUBSTITUTE(SUBSTITUTE(SUBSTITUTE(A1963,"~","~~"),"*","~*"),"?","~?")),"")</f>
        <v/>
      </c>
      <c r="C1963" t="str">
        <f>IF($B1963="","",SUMIFS(dAmt,dCust,$B1963,dPer,"&gt;="&amp;pyFrom,dPer,"&lt;="&amp;pyTo,dAmt,"&gt;-1E+300",dFlt1,critFlt1,dFlt2,critFlt2,dFlt3,critFlt3))</f>
        <v/>
      </c>
      <c r="D1963" t="str">
        <f>IF($B1963="","",SUMIFS(dAmt,dCust,$B1963,dPer,"&gt;="&amp;cyFrom,dPer,"&lt;="&amp;cyTo,dAmt,"&gt;-1E+300",dFlt1,critFlt1,dFlt2,critFlt2,dFlt3,critFlt3))</f>
        <v/>
      </c>
      <c r="E1963" t="str">
        <f>IF($B1963="","",SUMIFS(dQty,dCust,$B1963,dPer,"&gt;="&amp;pyFrom,dPer,"&lt;="&amp;pyTo,dQty,"&gt;-1E+300",dFlt1,critFlt1,dFlt2,critFlt2,dFlt3,critFlt3))</f>
        <v/>
      </c>
      <c r="F1963" t="str">
        <f>IF($B1963="","",SUMIFS(dQty,dCust,$B1963,dPer,"&gt;="&amp;cyFrom,dPer,"&lt;="&amp;cyTo,dQty,"&gt;-1E+300",dFlt1,critFlt1,dFlt2,critFlt2,dFlt3,critFlt3))</f>
        <v/>
      </c>
      <c r="G1963">
        <f>IF($B1963="",0,IFERROR(IF(OR(C1963&lt;&gt;0,D1963&lt;&gt;0,E1963&lt;&gt;0,F1963&lt;&gt;0),1,0),1))</f>
        <v>0</v>
      </c>
      <c r="H1963" t="str">
        <f>IF(OR(G1963=0,E1963=0),"",C1963/E1963)</f>
        <v/>
      </c>
      <c r="I1963" t="str">
        <f>IF(OR(G1963=0,F1963=0),"",D1963/F1963)</f>
        <v/>
      </c>
      <c r="J1963" t="str">
        <f>IF(OR(H1963="",I1963=""),"",IF(H1963=0,"",I1963/H1963-1))</f>
        <v/>
      </c>
      <c r="K1963" t="str">
        <f>IF($B1963="","",IFERROR(IF(G1963=0,-2E+300,CHOOSE(sortIdx,ROUND(D1963,0),IF(J1963="",-1E+300,ROUND(-J1963,6)),IF(J1963="",-1E+300,ROUND(J1963,6)))),-1.5E+300))</f>
        <v/>
      </c>
      <c r="L1963" t="str">
        <f>IF(K1963="","",RANK(K1963,$K$2:$K$3001,0)+COUNTIF($K$2:K1963,K1963)-1)</f>
        <v/>
      </c>
    </row>
    <row r="1964">
      <c r="B1964" t="str">
        <f>IFERROR(IF(A1964="","","="&amp;SUBSTITUTE(SUBSTITUTE(SUBSTITUTE(A1964,"~","~~"),"*","~*"),"?","~?")),"")</f>
        <v/>
      </c>
      <c r="C1964" t="str">
        <f>IF($B1964="","",SUMIFS(dAmt,dCust,$B1964,dPer,"&gt;="&amp;pyFrom,dPer,"&lt;="&amp;pyTo,dAmt,"&gt;-1E+300",dFlt1,critFlt1,dFlt2,critFlt2,dFlt3,critFlt3))</f>
        <v/>
      </c>
      <c r="D1964" t="str">
        <f>IF($B1964="","",SUMIFS(dAmt,dCust,$B1964,dPer,"&gt;="&amp;cyFrom,dPer,"&lt;="&amp;cyTo,dAmt,"&gt;-1E+300",dFlt1,critFlt1,dFlt2,critFlt2,dFlt3,critFlt3))</f>
        <v/>
      </c>
      <c r="E1964" t="str">
        <f>IF($B1964="","",SUMIFS(dQty,dCust,$B1964,dPer,"&gt;="&amp;pyFrom,dPer,"&lt;="&amp;pyTo,dQty,"&gt;-1E+300",dFlt1,critFlt1,dFlt2,critFlt2,dFlt3,critFlt3))</f>
        <v/>
      </c>
      <c r="F1964" t="str">
        <f>IF($B1964="","",SUMIFS(dQty,dCust,$B1964,dPer,"&gt;="&amp;cyFrom,dPer,"&lt;="&amp;cyTo,dQty,"&gt;-1E+300",dFlt1,critFlt1,dFlt2,critFlt2,dFlt3,critFlt3))</f>
        <v/>
      </c>
      <c r="G1964">
        <f>IF($B1964="",0,IFERROR(IF(OR(C1964&lt;&gt;0,D1964&lt;&gt;0,E1964&lt;&gt;0,F1964&lt;&gt;0),1,0),1))</f>
        <v>0</v>
      </c>
      <c r="H1964" t="str">
        <f>IF(OR(G1964=0,E1964=0),"",C1964/E1964)</f>
        <v/>
      </c>
      <c r="I1964" t="str">
        <f>IF(OR(G1964=0,F1964=0),"",D1964/F1964)</f>
        <v/>
      </c>
      <c r="J1964" t="str">
        <f>IF(OR(H1964="",I1964=""),"",IF(H1964=0,"",I1964/H1964-1))</f>
        <v/>
      </c>
      <c r="K1964" t="str">
        <f>IF($B1964="","",IFERROR(IF(G1964=0,-2E+300,CHOOSE(sortIdx,ROUND(D1964,0),IF(J1964="",-1E+300,ROUND(-J1964,6)),IF(J1964="",-1E+300,ROUND(J1964,6)))),-1.5E+300))</f>
        <v/>
      </c>
      <c r="L1964" t="str">
        <f>IF(K1964="","",RANK(K1964,$K$2:$K$3001,0)+COUNTIF($K$2:K1964,K1964)-1)</f>
        <v/>
      </c>
    </row>
    <row r="1965">
      <c r="B1965" t="str">
        <f>IFERROR(IF(A1965="","","="&amp;SUBSTITUTE(SUBSTITUTE(SUBSTITUTE(A1965,"~","~~"),"*","~*"),"?","~?")),"")</f>
        <v/>
      </c>
      <c r="C1965" t="str">
        <f>IF($B1965="","",SUMIFS(dAmt,dCust,$B1965,dPer,"&gt;="&amp;pyFrom,dPer,"&lt;="&amp;pyTo,dAmt,"&gt;-1E+300",dFlt1,critFlt1,dFlt2,critFlt2,dFlt3,critFlt3))</f>
        <v/>
      </c>
      <c r="D1965" t="str">
        <f>IF($B1965="","",SUMIFS(dAmt,dCust,$B1965,dPer,"&gt;="&amp;cyFrom,dPer,"&lt;="&amp;cyTo,dAmt,"&gt;-1E+300",dFlt1,critFlt1,dFlt2,critFlt2,dFlt3,critFlt3))</f>
        <v/>
      </c>
      <c r="E1965" t="str">
        <f>IF($B1965="","",SUMIFS(dQty,dCust,$B1965,dPer,"&gt;="&amp;pyFrom,dPer,"&lt;="&amp;pyTo,dQty,"&gt;-1E+300",dFlt1,critFlt1,dFlt2,critFlt2,dFlt3,critFlt3))</f>
        <v/>
      </c>
      <c r="F1965" t="str">
        <f>IF($B1965="","",SUMIFS(dQty,dCust,$B1965,dPer,"&gt;="&amp;cyFrom,dPer,"&lt;="&amp;cyTo,dQty,"&gt;-1E+300",dFlt1,critFlt1,dFlt2,critFlt2,dFlt3,critFlt3))</f>
        <v/>
      </c>
      <c r="G1965">
        <f>IF($B1965="",0,IFERROR(IF(OR(C1965&lt;&gt;0,D1965&lt;&gt;0,E1965&lt;&gt;0,F1965&lt;&gt;0),1,0),1))</f>
        <v>0</v>
      </c>
      <c r="H1965" t="str">
        <f>IF(OR(G1965=0,E1965=0),"",C1965/E1965)</f>
        <v/>
      </c>
      <c r="I1965" t="str">
        <f>IF(OR(G1965=0,F1965=0),"",D1965/F1965)</f>
        <v/>
      </c>
      <c r="J1965" t="str">
        <f>IF(OR(H1965="",I1965=""),"",IF(H1965=0,"",I1965/H1965-1))</f>
        <v/>
      </c>
      <c r="K1965" t="str">
        <f>IF($B1965="","",IFERROR(IF(G1965=0,-2E+300,CHOOSE(sortIdx,ROUND(D1965,0),IF(J1965="",-1E+300,ROUND(-J1965,6)),IF(J1965="",-1E+300,ROUND(J1965,6)))),-1.5E+300))</f>
        <v/>
      </c>
      <c r="L1965" t="str">
        <f>IF(K1965="","",RANK(K1965,$K$2:$K$3001,0)+COUNTIF($K$2:K1965,K1965)-1)</f>
        <v/>
      </c>
    </row>
    <row r="1966">
      <c r="B1966" t="str">
        <f>IFERROR(IF(A1966="","","="&amp;SUBSTITUTE(SUBSTITUTE(SUBSTITUTE(A1966,"~","~~"),"*","~*"),"?","~?")),"")</f>
        <v/>
      </c>
      <c r="C1966" t="str">
        <f>IF($B1966="","",SUMIFS(dAmt,dCust,$B1966,dPer,"&gt;="&amp;pyFrom,dPer,"&lt;="&amp;pyTo,dAmt,"&gt;-1E+300",dFlt1,critFlt1,dFlt2,critFlt2,dFlt3,critFlt3))</f>
        <v/>
      </c>
      <c r="D1966" t="str">
        <f>IF($B1966="","",SUMIFS(dAmt,dCust,$B1966,dPer,"&gt;="&amp;cyFrom,dPer,"&lt;="&amp;cyTo,dAmt,"&gt;-1E+300",dFlt1,critFlt1,dFlt2,critFlt2,dFlt3,critFlt3))</f>
        <v/>
      </c>
      <c r="E1966" t="str">
        <f>IF($B1966="","",SUMIFS(dQty,dCust,$B1966,dPer,"&gt;="&amp;pyFrom,dPer,"&lt;="&amp;pyTo,dQty,"&gt;-1E+300",dFlt1,critFlt1,dFlt2,critFlt2,dFlt3,critFlt3))</f>
        <v/>
      </c>
      <c r="F1966" t="str">
        <f>IF($B1966="","",SUMIFS(dQty,dCust,$B1966,dPer,"&gt;="&amp;cyFrom,dPer,"&lt;="&amp;cyTo,dQty,"&gt;-1E+300",dFlt1,critFlt1,dFlt2,critFlt2,dFlt3,critFlt3))</f>
        <v/>
      </c>
      <c r="G1966">
        <f>IF($B1966="",0,IFERROR(IF(OR(C1966&lt;&gt;0,D1966&lt;&gt;0,E1966&lt;&gt;0,F1966&lt;&gt;0),1,0),1))</f>
        <v>0</v>
      </c>
      <c r="H1966" t="str">
        <f>IF(OR(G1966=0,E1966=0),"",C1966/E1966)</f>
        <v/>
      </c>
      <c r="I1966" t="str">
        <f>IF(OR(G1966=0,F1966=0),"",D1966/F1966)</f>
        <v/>
      </c>
      <c r="J1966" t="str">
        <f>IF(OR(H1966="",I1966=""),"",IF(H1966=0,"",I1966/H1966-1))</f>
        <v/>
      </c>
      <c r="K1966" t="str">
        <f>IF($B1966="","",IFERROR(IF(G1966=0,-2E+300,CHOOSE(sortIdx,ROUND(D1966,0),IF(J1966="",-1E+300,ROUND(-J1966,6)),IF(J1966="",-1E+300,ROUND(J1966,6)))),-1.5E+300))</f>
        <v/>
      </c>
      <c r="L1966" t="str">
        <f>IF(K1966="","",RANK(K1966,$K$2:$K$3001,0)+COUNTIF($K$2:K1966,K1966)-1)</f>
        <v/>
      </c>
    </row>
    <row r="1967">
      <c r="B1967" t="str">
        <f>IFERROR(IF(A1967="","","="&amp;SUBSTITUTE(SUBSTITUTE(SUBSTITUTE(A1967,"~","~~"),"*","~*"),"?","~?")),"")</f>
        <v/>
      </c>
      <c r="C1967" t="str">
        <f>IF($B1967="","",SUMIFS(dAmt,dCust,$B1967,dPer,"&gt;="&amp;pyFrom,dPer,"&lt;="&amp;pyTo,dAmt,"&gt;-1E+300",dFlt1,critFlt1,dFlt2,critFlt2,dFlt3,critFlt3))</f>
        <v/>
      </c>
      <c r="D1967" t="str">
        <f>IF($B1967="","",SUMIFS(dAmt,dCust,$B1967,dPer,"&gt;="&amp;cyFrom,dPer,"&lt;="&amp;cyTo,dAmt,"&gt;-1E+300",dFlt1,critFlt1,dFlt2,critFlt2,dFlt3,critFlt3))</f>
        <v/>
      </c>
      <c r="E1967" t="str">
        <f>IF($B1967="","",SUMIFS(dQty,dCust,$B1967,dPer,"&gt;="&amp;pyFrom,dPer,"&lt;="&amp;pyTo,dQty,"&gt;-1E+300",dFlt1,critFlt1,dFlt2,critFlt2,dFlt3,critFlt3))</f>
        <v/>
      </c>
      <c r="F1967" t="str">
        <f>IF($B1967="","",SUMIFS(dQty,dCust,$B1967,dPer,"&gt;="&amp;cyFrom,dPer,"&lt;="&amp;cyTo,dQty,"&gt;-1E+300",dFlt1,critFlt1,dFlt2,critFlt2,dFlt3,critFlt3))</f>
        <v/>
      </c>
      <c r="G1967">
        <f>IF($B1967="",0,IFERROR(IF(OR(C1967&lt;&gt;0,D1967&lt;&gt;0,E1967&lt;&gt;0,F1967&lt;&gt;0),1,0),1))</f>
        <v>0</v>
      </c>
      <c r="H1967" t="str">
        <f>IF(OR(G1967=0,E1967=0),"",C1967/E1967)</f>
        <v/>
      </c>
      <c r="I1967" t="str">
        <f>IF(OR(G1967=0,F1967=0),"",D1967/F1967)</f>
        <v/>
      </c>
      <c r="J1967" t="str">
        <f>IF(OR(H1967="",I1967=""),"",IF(H1967=0,"",I1967/H1967-1))</f>
        <v/>
      </c>
      <c r="K1967" t="str">
        <f>IF($B1967="","",IFERROR(IF(G1967=0,-2E+300,CHOOSE(sortIdx,ROUND(D1967,0),IF(J1967="",-1E+300,ROUND(-J1967,6)),IF(J1967="",-1E+300,ROUND(J1967,6)))),-1.5E+300))</f>
        <v/>
      </c>
      <c r="L1967" t="str">
        <f>IF(K1967="","",RANK(K1967,$K$2:$K$3001,0)+COUNTIF($K$2:K1967,K1967)-1)</f>
        <v/>
      </c>
    </row>
    <row r="1968">
      <c r="B1968" t="str">
        <f>IFERROR(IF(A1968="","","="&amp;SUBSTITUTE(SUBSTITUTE(SUBSTITUTE(A1968,"~","~~"),"*","~*"),"?","~?")),"")</f>
        <v/>
      </c>
      <c r="C1968" t="str">
        <f>IF($B1968="","",SUMIFS(dAmt,dCust,$B1968,dPer,"&gt;="&amp;pyFrom,dPer,"&lt;="&amp;pyTo,dAmt,"&gt;-1E+300",dFlt1,critFlt1,dFlt2,critFlt2,dFlt3,critFlt3))</f>
        <v/>
      </c>
      <c r="D1968" t="str">
        <f>IF($B1968="","",SUMIFS(dAmt,dCust,$B1968,dPer,"&gt;="&amp;cyFrom,dPer,"&lt;="&amp;cyTo,dAmt,"&gt;-1E+300",dFlt1,critFlt1,dFlt2,critFlt2,dFlt3,critFlt3))</f>
        <v/>
      </c>
      <c r="E1968" t="str">
        <f>IF($B1968="","",SUMIFS(dQty,dCust,$B1968,dPer,"&gt;="&amp;pyFrom,dPer,"&lt;="&amp;pyTo,dQty,"&gt;-1E+300",dFlt1,critFlt1,dFlt2,critFlt2,dFlt3,critFlt3))</f>
        <v/>
      </c>
      <c r="F1968" t="str">
        <f>IF($B1968="","",SUMIFS(dQty,dCust,$B1968,dPer,"&gt;="&amp;cyFrom,dPer,"&lt;="&amp;cyTo,dQty,"&gt;-1E+300",dFlt1,critFlt1,dFlt2,critFlt2,dFlt3,critFlt3))</f>
        <v/>
      </c>
      <c r="G1968">
        <f>IF($B1968="",0,IFERROR(IF(OR(C1968&lt;&gt;0,D1968&lt;&gt;0,E1968&lt;&gt;0,F1968&lt;&gt;0),1,0),1))</f>
        <v>0</v>
      </c>
      <c r="H1968" t="str">
        <f>IF(OR(G1968=0,E1968=0),"",C1968/E1968)</f>
        <v/>
      </c>
      <c r="I1968" t="str">
        <f>IF(OR(G1968=0,F1968=0),"",D1968/F1968)</f>
        <v/>
      </c>
      <c r="J1968" t="str">
        <f>IF(OR(H1968="",I1968=""),"",IF(H1968=0,"",I1968/H1968-1))</f>
        <v/>
      </c>
      <c r="K1968" t="str">
        <f>IF($B1968="","",IFERROR(IF(G1968=0,-2E+300,CHOOSE(sortIdx,ROUND(D1968,0),IF(J1968="",-1E+300,ROUND(-J1968,6)),IF(J1968="",-1E+300,ROUND(J1968,6)))),-1.5E+300))</f>
        <v/>
      </c>
      <c r="L1968" t="str">
        <f>IF(K1968="","",RANK(K1968,$K$2:$K$3001,0)+COUNTIF($K$2:K1968,K1968)-1)</f>
        <v/>
      </c>
    </row>
    <row r="1969">
      <c r="B1969" t="str">
        <f>IFERROR(IF(A1969="","","="&amp;SUBSTITUTE(SUBSTITUTE(SUBSTITUTE(A1969,"~","~~"),"*","~*"),"?","~?")),"")</f>
        <v/>
      </c>
      <c r="C1969" t="str">
        <f>IF($B1969="","",SUMIFS(dAmt,dCust,$B1969,dPer,"&gt;="&amp;pyFrom,dPer,"&lt;="&amp;pyTo,dAmt,"&gt;-1E+300",dFlt1,critFlt1,dFlt2,critFlt2,dFlt3,critFlt3))</f>
        <v/>
      </c>
      <c r="D1969" t="str">
        <f>IF($B1969="","",SUMIFS(dAmt,dCust,$B1969,dPer,"&gt;="&amp;cyFrom,dPer,"&lt;="&amp;cyTo,dAmt,"&gt;-1E+300",dFlt1,critFlt1,dFlt2,critFlt2,dFlt3,critFlt3))</f>
        <v/>
      </c>
      <c r="E1969" t="str">
        <f>IF($B1969="","",SUMIFS(dQty,dCust,$B1969,dPer,"&gt;="&amp;pyFrom,dPer,"&lt;="&amp;pyTo,dQty,"&gt;-1E+300",dFlt1,critFlt1,dFlt2,critFlt2,dFlt3,critFlt3))</f>
        <v/>
      </c>
      <c r="F1969" t="str">
        <f>IF($B1969="","",SUMIFS(dQty,dCust,$B1969,dPer,"&gt;="&amp;cyFrom,dPer,"&lt;="&amp;cyTo,dQty,"&gt;-1E+300",dFlt1,critFlt1,dFlt2,critFlt2,dFlt3,critFlt3))</f>
        <v/>
      </c>
      <c r="G1969">
        <f>IF($B1969="",0,IFERROR(IF(OR(C1969&lt;&gt;0,D1969&lt;&gt;0,E1969&lt;&gt;0,F1969&lt;&gt;0),1,0),1))</f>
        <v>0</v>
      </c>
      <c r="H1969" t="str">
        <f>IF(OR(G1969=0,E1969=0),"",C1969/E1969)</f>
        <v/>
      </c>
      <c r="I1969" t="str">
        <f>IF(OR(G1969=0,F1969=0),"",D1969/F1969)</f>
        <v/>
      </c>
      <c r="J1969" t="str">
        <f>IF(OR(H1969="",I1969=""),"",IF(H1969=0,"",I1969/H1969-1))</f>
        <v/>
      </c>
      <c r="K1969" t="str">
        <f>IF($B1969="","",IFERROR(IF(G1969=0,-2E+300,CHOOSE(sortIdx,ROUND(D1969,0),IF(J1969="",-1E+300,ROUND(-J1969,6)),IF(J1969="",-1E+300,ROUND(J1969,6)))),-1.5E+300))</f>
        <v/>
      </c>
      <c r="L1969" t="str">
        <f>IF(K1969="","",RANK(K1969,$K$2:$K$3001,0)+COUNTIF($K$2:K1969,K1969)-1)</f>
        <v/>
      </c>
    </row>
    <row r="1970">
      <c r="B1970" t="str">
        <f>IFERROR(IF(A1970="","","="&amp;SUBSTITUTE(SUBSTITUTE(SUBSTITUTE(A1970,"~","~~"),"*","~*"),"?","~?")),"")</f>
        <v/>
      </c>
      <c r="C1970" t="str">
        <f>IF($B1970="","",SUMIFS(dAmt,dCust,$B1970,dPer,"&gt;="&amp;pyFrom,dPer,"&lt;="&amp;pyTo,dAmt,"&gt;-1E+300",dFlt1,critFlt1,dFlt2,critFlt2,dFlt3,critFlt3))</f>
        <v/>
      </c>
      <c r="D1970" t="str">
        <f>IF($B1970="","",SUMIFS(dAmt,dCust,$B1970,dPer,"&gt;="&amp;cyFrom,dPer,"&lt;="&amp;cyTo,dAmt,"&gt;-1E+300",dFlt1,critFlt1,dFlt2,critFlt2,dFlt3,critFlt3))</f>
        <v/>
      </c>
      <c r="E1970" t="str">
        <f>IF($B1970="","",SUMIFS(dQty,dCust,$B1970,dPer,"&gt;="&amp;pyFrom,dPer,"&lt;="&amp;pyTo,dQty,"&gt;-1E+300",dFlt1,critFlt1,dFlt2,critFlt2,dFlt3,critFlt3))</f>
        <v/>
      </c>
      <c r="F1970" t="str">
        <f>IF($B1970="","",SUMIFS(dQty,dCust,$B1970,dPer,"&gt;="&amp;cyFrom,dPer,"&lt;="&amp;cyTo,dQty,"&gt;-1E+300",dFlt1,critFlt1,dFlt2,critFlt2,dFlt3,critFlt3))</f>
        <v/>
      </c>
      <c r="G1970">
        <f>IF($B1970="",0,IFERROR(IF(OR(C1970&lt;&gt;0,D1970&lt;&gt;0,E1970&lt;&gt;0,F1970&lt;&gt;0),1,0),1))</f>
        <v>0</v>
      </c>
      <c r="H1970" t="str">
        <f>IF(OR(G1970=0,E1970=0),"",C1970/E1970)</f>
        <v/>
      </c>
      <c r="I1970" t="str">
        <f>IF(OR(G1970=0,F1970=0),"",D1970/F1970)</f>
        <v/>
      </c>
      <c r="J1970" t="str">
        <f>IF(OR(H1970="",I1970=""),"",IF(H1970=0,"",I1970/H1970-1))</f>
        <v/>
      </c>
      <c r="K1970" t="str">
        <f>IF($B1970="","",IFERROR(IF(G1970=0,-2E+300,CHOOSE(sortIdx,ROUND(D1970,0),IF(J1970="",-1E+300,ROUND(-J1970,6)),IF(J1970="",-1E+300,ROUND(J1970,6)))),-1.5E+300))</f>
        <v/>
      </c>
      <c r="L1970" t="str">
        <f>IF(K1970="","",RANK(K1970,$K$2:$K$3001,0)+COUNTIF($K$2:K1970,K1970)-1)</f>
        <v/>
      </c>
    </row>
    <row r="1971">
      <c r="B1971" t="str">
        <f>IFERROR(IF(A1971="","","="&amp;SUBSTITUTE(SUBSTITUTE(SUBSTITUTE(A1971,"~","~~"),"*","~*"),"?","~?")),"")</f>
        <v/>
      </c>
      <c r="C1971" t="str">
        <f>IF($B1971="","",SUMIFS(dAmt,dCust,$B1971,dPer,"&gt;="&amp;pyFrom,dPer,"&lt;="&amp;pyTo,dAmt,"&gt;-1E+300",dFlt1,critFlt1,dFlt2,critFlt2,dFlt3,critFlt3))</f>
        <v/>
      </c>
      <c r="D1971" t="str">
        <f>IF($B1971="","",SUMIFS(dAmt,dCust,$B1971,dPer,"&gt;="&amp;cyFrom,dPer,"&lt;="&amp;cyTo,dAmt,"&gt;-1E+300",dFlt1,critFlt1,dFlt2,critFlt2,dFlt3,critFlt3))</f>
        <v/>
      </c>
      <c r="E1971" t="str">
        <f>IF($B1971="","",SUMIFS(dQty,dCust,$B1971,dPer,"&gt;="&amp;pyFrom,dPer,"&lt;="&amp;pyTo,dQty,"&gt;-1E+300",dFlt1,critFlt1,dFlt2,critFlt2,dFlt3,critFlt3))</f>
        <v/>
      </c>
      <c r="F1971" t="str">
        <f>IF($B1971="","",SUMIFS(dQty,dCust,$B1971,dPer,"&gt;="&amp;cyFrom,dPer,"&lt;="&amp;cyTo,dQty,"&gt;-1E+300",dFlt1,critFlt1,dFlt2,critFlt2,dFlt3,critFlt3))</f>
        <v/>
      </c>
      <c r="G1971">
        <f>IF($B1971="",0,IFERROR(IF(OR(C1971&lt;&gt;0,D1971&lt;&gt;0,E1971&lt;&gt;0,F1971&lt;&gt;0),1,0),1))</f>
        <v>0</v>
      </c>
      <c r="H1971" t="str">
        <f>IF(OR(G1971=0,E1971=0),"",C1971/E1971)</f>
        <v/>
      </c>
      <c r="I1971" t="str">
        <f>IF(OR(G1971=0,F1971=0),"",D1971/F1971)</f>
        <v/>
      </c>
      <c r="J1971" t="str">
        <f>IF(OR(H1971="",I1971=""),"",IF(H1971=0,"",I1971/H1971-1))</f>
        <v/>
      </c>
      <c r="K1971" t="str">
        <f>IF($B1971="","",IFERROR(IF(G1971=0,-2E+300,CHOOSE(sortIdx,ROUND(D1971,0),IF(J1971="",-1E+300,ROUND(-J1971,6)),IF(J1971="",-1E+300,ROUND(J1971,6)))),-1.5E+300))</f>
        <v/>
      </c>
      <c r="L1971" t="str">
        <f>IF(K1971="","",RANK(K1971,$K$2:$K$3001,0)+COUNTIF($K$2:K1971,K1971)-1)</f>
        <v/>
      </c>
    </row>
    <row r="1972">
      <c r="B1972" t="str">
        <f>IFERROR(IF(A1972="","","="&amp;SUBSTITUTE(SUBSTITUTE(SUBSTITUTE(A1972,"~","~~"),"*","~*"),"?","~?")),"")</f>
        <v/>
      </c>
      <c r="C1972" t="str">
        <f>IF($B1972="","",SUMIFS(dAmt,dCust,$B1972,dPer,"&gt;="&amp;pyFrom,dPer,"&lt;="&amp;pyTo,dAmt,"&gt;-1E+300",dFlt1,critFlt1,dFlt2,critFlt2,dFlt3,critFlt3))</f>
        <v/>
      </c>
      <c r="D1972" t="str">
        <f>IF($B1972="","",SUMIFS(dAmt,dCust,$B1972,dPer,"&gt;="&amp;cyFrom,dPer,"&lt;="&amp;cyTo,dAmt,"&gt;-1E+300",dFlt1,critFlt1,dFlt2,critFlt2,dFlt3,critFlt3))</f>
        <v/>
      </c>
      <c r="E1972" t="str">
        <f>IF($B1972="","",SUMIFS(dQty,dCust,$B1972,dPer,"&gt;="&amp;pyFrom,dPer,"&lt;="&amp;pyTo,dQty,"&gt;-1E+300",dFlt1,critFlt1,dFlt2,critFlt2,dFlt3,critFlt3))</f>
        <v/>
      </c>
      <c r="F1972" t="str">
        <f>IF($B1972="","",SUMIFS(dQty,dCust,$B1972,dPer,"&gt;="&amp;cyFrom,dPer,"&lt;="&amp;cyTo,dQty,"&gt;-1E+300",dFlt1,critFlt1,dFlt2,critFlt2,dFlt3,critFlt3))</f>
        <v/>
      </c>
      <c r="G1972">
        <f>IF($B1972="",0,IFERROR(IF(OR(C1972&lt;&gt;0,D1972&lt;&gt;0,E1972&lt;&gt;0,F1972&lt;&gt;0),1,0),1))</f>
        <v>0</v>
      </c>
      <c r="H1972" t="str">
        <f>IF(OR(G1972=0,E1972=0),"",C1972/E1972)</f>
        <v/>
      </c>
      <c r="I1972" t="str">
        <f>IF(OR(G1972=0,F1972=0),"",D1972/F1972)</f>
        <v/>
      </c>
      <c r="J1972" t="str">
        <f>IF(OR(H1972="",I1972=""),"",IF(H1972=0,"",I1972/H1972-1))</f>
        <v/>
      </c>
      <c r="K1972" t="str">
        <f>IF($B1972="","",IFERROR(IF(G1972=0,-2E+300,CHOOSE(sortIdx,ROUND(D1972,0),IF(J1972="",-1E+300,ROUND(-J1972,6)),IF(J1972="",-1E+300,ROUND(J1972,6)))),-1.5E+300))</f>
        <v/>
      </c>
      <c r="L1972" t="str">
        <f>IF(K1972="","",RANK(K1972,$K$2:$K$3001,0)+COUNTIF($K$2:K1972,K1972)-1)</f>
        <v/>
      </c>
    </row>
    <row r="1973">
      <c r="B1973" t="str">
        <f>IFERROR(IF(A1973="","","="&amp;SUBSTITUTE(SUBSTITUTE(SUBSTITUTE(A1973,"~","~~"),"*","~*"),"?","~?")),"")</f>
        <v/>
      </c>
      <c r="C1973" t="str">
        <f>IF($B1973="","",SUMIFS(dAmt,dCust,$B1973,dPer,"&gt;="&amp;pyFrom,dPer,"&lt;="&amp;pyTo,dAmt,"&gt;-1E+300",dFlt1,critFlt1,dFlt2,critFlt2,dFlt3,critFlt3))</f>
        <v/>
      </c>
      <c r="D1973" t="str">
        <f>IF($B1973="","",SUMIFS(dAmt,dCust,$B1973,dPer,"&gt;="&amp;cyFrom,dPer,"&lt;="&amp;cyTo,dAmt,"&gt;-1E+300",dFlt1,critFlt1,dFlt2,critFlt2,dFlt3,critFlt3))</f>
        <v/>
      </c>
      <c r="E1973" t="str">
        <f>IF($B1973="","",SUMIFS(dQty,dCust,$B1973,dPer,"&gt;="&amp;pyFrom,dPer,"&lt;="&amp;pyTo,dQty,"&gt;-1E+300",dFlt1,critFlt1,dFlt2,critFlt2,dFlt3,critFlt3))</f>
        <v/>
      </c>
      <c r="F1973" t="str">
        <f>IF($B1973="","",SUMIFS(dQty,dCust,$B1973,dPer,"&gt;="&amp;cyFrom,dPer,"&lt;="&amp;cyTo,dQty,"&gt;-1E+300",dFlt1,critFlt1,dFlt2,critFlt2,dFlt3,critFlt3))</f>
        <v/>
      </c>
      <c r="G1973">
        <f>IF($B1973="",0,IFERROR(IF(OR(C1973&lt;&gt;0,D1973&lt;&gt;0,E1973&lt;&gt;0,F1973&lt;&gt;0),1,0),1))</f>
        <v>0</v>
      </c>
      <c r="H1973" t="str">
        <f>IF(OR(G1973=0,E1973=0),"",C1973/E1973)</f>
        <v/>
      </c>
      <c r="I1973" t="str">
        <f>IF(OR(G1973=0,F1973=0),"",D1973/F1973)</f>
        <v/>
      </c>
      <c r="J1973" t="str">
        <f>IF(OR(H1973="",I1973=""),"",IF(H1973=0,"",I1973/H1973-1))</f>
        <v/>
      </c>
      <c r="K1973" t="str">
        <f>IF($B1973="","",IFERROR(IF(G1973=0,-2E+300,CHOOSE(sortIdx,ROUND(D1973,0),IF(J1973="",-1E+300,ROUND(-J1973,6)),IF(J1973="",-1E+300,ROUND(J1973,6)))),-1.5E+300))</f>
        <v/>
      </c>
      <c r="L1973" t="str">
        <f>IF(K1973="","",RANK(K1973,$K$2:$K$3001,0)+COUNTIF($K$2:K1973,K1973)-1)</f>
        <v/>
      </c>
    </row>
    <row r="1974">
      <c r="B1974" t="str">
        <f>IFERROR(IF(A1974="","","="&amp;SUBSTITUTE(SUBSTITUTE(SUBSTITUTE(A1974,"~","~~"),"*","~*"),"?","~?")),"")</f>
        <v/>
      </c>
      <c r="C1974" t="str">
        <f>IF($B1974="","",SUMIFS(dAmt,dCust,$B1974,dPer,"&gt;="&amp;pyFrom,dPer,"&lt;="&amp;pyTo,dAmt,"&gt;-1E+300",dFlt1,critFlt1,dFlt2,critFlt2,dFlt3,critFlt3))</f>
        <v/>
      </c>
      <c r="D1974" t="str">
        <f>IF($B1974="","",SUMIFS(dAmt,dCust,$B1974,dPer,"&gt;="&amp;cyFrom,dPer,"&lt;="&amp;cyTo,dAmt,"&gt;-1E+300",dFlt1,critFlt1,dFlt2,critFlt2,dFlt3,critFlt3))</f>
        <v/>
      </c>
      <c r="E1974" t="str">
        <f>IF($B1974="","",SUMIFS(dQty,dCust,$B1974,dPer,"&gt;="&amp;pyFrom,dPer,"&lt;="&amp;pyTo,dQty,"&gt;-1E+300",dFlt1,critFlt1,dFlt2,critFlt2,dFlt3,critFlt3))</f>
        <v/>
      </c>
      <c r="F1974" t="str">
        <f>IF($B1974="","",SUMIFS(dQty,dCust,$B1974,dPer,"&gt;="&amp;cyFrom,dPer,"&lt;="&amp;cyTo,dQty,"&gt;-1E+300",dFlt1,critFlt1,dFlt2,critFlt2,dFlt3,critFlt3))</f>
        <v/>
      </c>
      <c r="G1974">
        <f>IF($B1974="",0,IFERROR(IF(OR(C1974&lt;&gt;0,D1974&lt;&gt;0,E1974&lt;&gt;0,F1974&lt;&gt;0),1,0),1))</f>
        <v>0</v>
      </c>
      <c r="H1974" t="str">
        <f>IF(OR(G1974=0,E1974=0),"",C1974/E1974)</f>
        <v/>
      </c>
      <c r="I1974" t="str">
        <f>IF(OR(G1974=0,F1974=0),"",D1974/F1974)</f>
        <v/>
      </c>
      <c r="J1974" t="str">
        <f>IF(OR(H1974="",I1974=""),"",IF(H1974=0,"",I1974/H1974-1))</f>
        <v/>
      </c>
      <c r="K1974" t="str">
        <f>IF($B1974="","",IFERROR(IF(G1974=0,-2E+300,CHOOSE(sortIdx,ROUND(D1974,0),IF(J1974="",-1E+300,ROUND(-J1974,6)),IF(J1974="",-1E+300,ROUND(J1974,6)))),-1.5E+300))</f>
        <v/>
      </c>
      <c r="L1974" t="str">
        <f>IF(K1974="","",RANK(K1974,$K$2:$K$3001,0)+COUNTIF($K$2:K1974,K1974)-1)</f>
        <v/>
      </c>
    </row>
    <row r="1975">
      <c r="B1975" t="str">
        <f>IFERROR(IF(A1975="","","="&amp;SUBSTITUTE(SUBSTITUTE(SUBSTITUTE(A1975,"~","~~"),"*","~*"),"?","~?")),"")</f>
        <v/>
      </c>
      <c r="C1975" t="str">
        <f>IF($B1975="","",SUMIFS(dAmt,dCust,$B1975,dPer,"&gt;="&amp;pyFrom,dPer,"&lt;="&amp;pyTo,dAmt,"&gt;-1E+300",dFlt1,critFlt1,dFlt2,critFlt2,dFlt3,critFlt3))</f>
        <v/>
      </c>
      <c r="D1975" t="str">
        <f>IF($B1975="","",SUMIFS(dAmt,dCust,$B1975,dPer,"&gt;="&amp;cyFrom,dPer,"&lt;="&amp;cyTo,dAmt,"&gt;-1E+300",dFlt1,critFlt1,dFlt2,critFlt2,dFlt3,critFlt3))</f>
        <v/>
      </c>
      <c r="E1975" t="str">
        <f>IF($B1975="","",SUMIFS(dQty,dCust,$B1975,dPer,"&gt;="&amp;pyFrom,dPer,"&lt;="&amp;pyTo,dQty,"&gt;-1E+300",dFlt1,critFlt1,dFlt2,critFlt2,dFlt3,critFlt3))</f>
        <v/>
      </c>
      <c r="F1975" t="str">
        <f>IF($B1975="","",SUMIFS(dQty,dCust,$B1975,dPer,"&gt;="&amp;cyFrom,dPer,"&lt;="&amp;cyTo,dQty,"&gt;-1E+300",dFlt1,critFlt1,dFlt2,critFlt2,dFlt3,critFlt3))</f>
        <v/>
      </c>
      <c r="G1975">
        <f>IF($B1975="",0,IFERROR(IF(OR(C1975&lt;&gt;0,D1975&lt;&gt;0,E1975&lt;&gt;0,F1975&lt;&gt;0),1,0),1))</f>
        <v>0</v>
      </c>
      <c r="H1975" t="str">
        <f>IF(OR(G1975=0,E1975=0),"",C1975/E1975)</f>
        <v/>
      </c>
      <c r="I1975" t="str">
        <f>IF(OR(G1975=0,F1975=0),"",D1975/F1975)</f>
        <v/>
      </c>
      <c r="J1975" t="str">
        <f>IF(OR(H1975="",I1975=""),"",IF(H1975=0,"",I1975/H1975-1))</f>
        <v/>
      </c>
      <c r="K1975" t="str">
        <f>IF($B1975="","",IFERROR(IF(G1975=0,-2E+300,CHOOSE(sortIdx,ROUND(D1975,0),IF(J1975="",-1E+300,ROUND(-J1975,6)),IF(J1975="",-1E+300,ROUND(J1975,6)))),-1.5E+300))</f>
        <v/>
      </c>
      <c r="L1975" t="str">
        <f>IF(K1975="","",RANK(K1975,$K$2:$K$3001,0)+COUNTIF($K$2:K1975,K1975)-1)</f>
        <v/>
      </c>
    </row>
    <row r="1976">
      <c r="B1976" t="str">
        <f>IFERROR(IF(A1976="","","="&amp;SUBSTITUTE(SUBSTITUTE(SUBSTITUTE(A1976,"~","~~"),"*","~*"),"?","~?")),"")</f>
        <v/>
      </c>
      <c r="C1976" t="str">
        <f>IF($B1976="","",SUMIFS(dAmt,dCust,$B1976,dPer,"&gt;="&amp;pyFrom,dPer,"&lt;="&amp;pyTo,dAmt,"&gt;-1E+300",dFlt1,critFlt1,dFlt2,critFlt2,dFlt3,critFlt3))</f>
        <v/>
      </c>
      <c r="D1976" t="str">
        <f>IF($B1976="","",SUMIFS(dAmt,dCust,$B1976,dPer,"&gt;="&amp;cyFrom,dPer,"&lt;="&amp;cyTo,dAmt,"&gt;-1E+300",dFlt1,critFlt1,dFlt2,critFlt2,dFlt3,critFlt3))</f>
        <v/>
      </c>
      <c r="E1976" t="str">
        <f>IF($B1976="","",SUMIFS(dQty,dCust,$B1976,dPer,"&gt;="&amp;pyFrom,dPer,"&lt;="&amp;pyTo,dQty,"&gt;-1E+300",dFlt1,critFlt1,dFlt2,critFlt2,dFlt3,critFlt3))</f>
        <v/>
      </c>
      <c r="F1976" t="str">
        <f>IF($B1976="","",SUMIFS(dQty,dCust,$B1976,dPer,"&gt;="&amp;cyFrom,dPer,"&lt;="&amp;cyTo,dQty,"&gt;-1E+300",dFlt1,critFlt1,dFlt2,critFlt2,dFlt3,critFlt3))</f>
        <v/>
      </c>
      <c r="G1976">
        <f>IF($B1976="",0,IFERROR(IF(OR(C1976&lt;&gt;0,D1976&lt;&gt;0,E1976&lt;&gt;0,F1976&lt;&gt;0),1,0),1))</f>
        <v>0</v>
      </c>
      <c r="H1976" t="str">
        <f>IF(OR(G1976=0,E1976=0),"",C1976/E1976)</f>
        <v/>
      </c>
      <c r="I1976" t="str">
        <f>IF(OR(G1976=0,F1976=0),"",D1976/F1976)</f>
        <v/>
      </c>
      <c r="J1976" t="str">
        <f>IF(OR(H1976="",I1976=""),"",IF(H1976=0,"",I1976/H1976-1))</f>
        <v/>
      </c>
      <c r="K1976" t="str">
        <f>IF($B1976="","",IFERROR(IF(G1976=0,-2E+300,CHOOSE(sortIdx,ROUND(D1976,0),IF(J1976="",-1E+300,ROUND(-J1976,6)),IF(J1976="",-1E+300,ROUND(J1976,6)))),-1.5E+300))</f>
        <v/>
      </c>
      <c r="L1976" t="str">
        <f>IF(K1976="","",RANK(K1976,$K$2:$K$3001,0)+COUNTIF($K$2:K1976,K1976)-1)</f>
        <v/>
      </c>
    </row>
    <row r="1977">
      <c r="B1977" t="str">
        <f>IFERROR(IF(A1977="","","="&amp;SUBSTITUTE(SUBSTITUTE(SUBSTITUTE(A1977,"~","~~"),"*","~*"),"?","~?")),"")</f>
        <v/>
      </c>
      <c r="C1977" t="str">
        <f>IF($B1977="","",SUMIFS(dAmt,dCust,$B1977,dPer,"&gt;="&amp;pyFrom,dPer,"&lt;="&amp;pyTo,dAmt,"&gt;-1E+300",dFlt1,critFlt1,dFlt2,critFlt2,dFlt3,critFlt3))</f>
        <v/>
      </c>
      <c r="D1977" t="str">
        <f>IF($B1977="","",SUMIFS(dAmt,dCust,$B1977,dPer,"&gt;="&amp;cyFrom,dPer,"&lt;="&amp;cyTo,dAmt,"&gt;-1E+300",dFlt1,critFlt1,dFlt2,critFlt2,dFlt3,critFlt3))</f>
        <v/>
      </c>
      <c r="E1977" t="str">
        <f>IF($B1977="","",SUMIFS(dQty,dCust,$B1977,dPer,"&gt;="&amp;pyFrom,dPer,"&lt;="&amp;pyTo,dQty,"&gt;-1E+300",dFlt1,critFlt1,dFlt2,critFlt2,dFlt3,critFlt3))</f>
        <v/>
      </c>
      <c r="F1977" t="str">
        <f>IF($B1977="","",SUMIFS(dQty,dCust,$B1977,dPer,"&gt;="&amp;cyFrom,dPer,"&lt;="&amp;cyTo,dQty,"&gt;-1E+300",dFlt1,critFlt1,dFlt2,critFlt2,dFlt3,critFlt3))</f>
        <v/>
      </c>
      <c r="G1977">
        <f>IF($B1977="",0,IFERROR(IF(OR(C1977&lt;&gt;0,D1977&lt;&gt;0,E1977&lt;&gt;0,F1977&lt;&gt;0),1,0),1))</f>
        <v>0</v>
      </c>
      <c r="H1977" t="str">
        <f>IF(OR(G1977=0,E1977=0),"",C1977/E1977)</f>
        <v/>
      </c>
      <c r="I1977" t="str">
        <f>IF(OR(G1977=0,F1977=0),"",D1977/F1977)</f>
        <v/>
      </c>
      <c r="J1977" t="str">
        <f>IF(OR(H1977="",I1977=""),"",IF(H1977=0,"",I1977/H1977-1))</f>
        <v/>
      </c>
      <c r="K1977" t="str">
        <f>IF($B1977="","",IFERROR(IF(G1977=0,-2E+300,CHOOSE(sortIdx,ROUND(D1977,0),IF(J1977="",-1E+300,ROUND(-J1977,6)),IF(J1977="",-1E+300,ROUND(J1977,6)))),-1.5E+300))</f>
        <v/>
      </c>
      <c r="L1977" t="str">
        <f>IF(K1977="","",RANK(K1977,$K$2:$K$3001,0)+COUNTIF($K$2:K1977,K1977)-1)</f>
        <v/>
      </c>
    </row>
    <row r="1978">
      <c r="B1978" t="str">
        <f>IFERROR(IF(A1978="","","="&amp;SUBSTITUTE(SUBSTITUTE(SUBSTITUTE(A1978,"~","~~"),"*","~*"),"?","~?")),"")</f>
        <v/>
      </c>
      <c r="C1978" t="str">
        <f>IF($B1978="","",SUMIFS(dAmt,dCust,$B1978,dPer,"&gt;="&amp;pyFrom,dPer,"&lt;="&amp;pyTo,dAmt,"&gt;-1E+300",dFlt1,critFlt1,dFlt2,critFlt2,dFlt3,critFlt3))</f>
        <v/>
      </c>
      <c r="D1978" t="str">
        <f>IF($B1978="","",SUMIFS(dAmt,dCust,$B1978,dPer,"&gt;="&amp;cyFrom,dPer,"&lt;="&amp;cyTo,dAmt,"&gt;-1E+300",dFlt1,critFlt1,dFlt2,critFlt2,dFlt3,critFlt3))</f>
        <v/>
      </c>
      <c r="E1978" t="str">
        <f>IF($B1978="","",SUMIFS(dQty,dCust,$B1978,dPer,"&gt;="&amp;pyFrom,dPer,"&lt;="&amp;pyTo,dQty,"&gt;-1E+300",dFlt1,critFlt1,dFlt2,critFlt2,dFlt3,critFlt3))</f>
        <v/>
      </c>
      <c r="F1978" t="str">
        <f>IF($B1978="","",SUMIFS(dQty,dCust,$B1978,dPer,"&gt;="&amp;cyFrom,dPer,"&lt;="&amp;cyTo,dQty,"&gt;-1E+300",dFlt1,critFlt1,dFlt2,critFlt2,dFlt3,critFlt3))</f>
        <v/>
      </c>
      <c r="G1978">
        <f>IF($B1978="",0,IFERROR(IF(OR(C1978&lt;&gt;0,D1978&lt;&gt;0,E1978&lt;&gt;0,F1978&lt;&gt;0),1,0),1))</f>
        <v>0</v>
      </c>
      <c r="H1978" t="str">
        <f>IF(OR(G1978=0,E1978=0),"",C1978/E1978)</f>
        <v/>
      </c>
      <c r="I1978" t="str">
        <f>IF(OR(G1978=0,F1978=0),"",D1978/F1978)</f>
        <v/>
      </c>
      <c r="J1978" t="str">
        <f>IF(OR(H1978="",I1978=""),"",IF(H1978=0,"",I1978/H1978-1))</f>
        <v/>
      </c>
      <c r="K1978" t="str">
        <f>IF($B1978="","",IFERROR(IF(G1978=0,-2E+300,CHOOSE(sortIdx,ROUND(D1978,0),IF(J1978="",-1E+300,ROUND(-J1978,6)),IF(J1978="",-1E+300,ROUND(J1978,6)))),-1.5E+300))</f>
        <v/>
      </c>
      <c r="L1978" t="str">
        <f>IF(K1978="","",RANK(K1978,$K$2:$K$3001,0)+COUNTIF($K$2:K1978,K1978)-1)</f>
        <v/>
      </c>
    </row>
    <row r="1979">
      <c r="B1979" t="str">
        <f>IFERROR(IF(A1979="","","="&amp;SUBSTITUTE(SUBSTITUTE(SUBSTITUTE(A1979,"~","~~"),"*","~*"),"?","~?")),"")</f>
        <v/>
      </c>
      <c r="C1979" t="str">
        <f>IF($B1979="","",SUMIFS(dAmt,dCust,$B1979,dPer,"&gt;="&amp;pyFrom,dPer,"&lt;="&amp;pyTo,dAmt,"&gt;-1E+300",dFlt1,critFlt1,dFlt2,critFlt2,dFlt3,critFlt3))</f>
        <v/>
      </c>
      <c r="D1979" t="str">
        <f>IF($B1979="","",SUMIFS(dAmt,dCust,$B1979,dPer,"&gt;="&amp;cyFrom,dPer,"&lt;="&amp;cyTo,dAmt,"&gt;-1E+300",dFlt1,critFlt1,dFlt2,critFlt2,dFlt3,critFlt3))</f>
        <v/>
      </c>
      <c r="E1979" t="str">
        <f>IF($B1979="","",SUMIFS(dQty,dCust,$B1979,dPer,"&gt;="&amp;pyFrom,dPer,"&lt;="&amp;pyTo,dQty,"&gt;-1E+300",dFlt1,critFlt1,dFlt2,critFlt2,dFlt3,critFlt3))</f>
        <v/>
      </c>
      <c r="F1979" t="str">
        <f>IF($B1979="","",SUMIFS(dQty,dCust,$B1979,dPer,"&gt;="&amp;cyFrom,dPer,"&lt;="&amp;cyTo,dQty,"&gt;-1E+300",dFlt1,critFlt1,dFlt2,critFlt2,dFlt3,critFlt3))</f>
        <v/>
      </c>
      <c r="G1979">
        <f>IF($B1979="",0,IFERROR(IF(OR(C1979&lt;&gt;0,D1979&lt;&gt;0,E1979&lt;&gt;0,F1979&lt;&gt;0),1,0),1))</f>
        <v>0</v>
      </c>
      <c r="H1979" t="str">
        <f>IF(OR(G1979=0,E1979=0),"",C1979/E1979)</f>
        <v/>
      </c>
      <c r="I1979" t="str">
        <f>IF(OR(G1979=0,F1979=0),"",D1979/F1979)</f>
        <v/>
      </c>
      <c r="J1979" t="str">
        <f>IF(OR(H1979="",I1979=""),"",IF(H1979=0,"",I1979/H1979-1))</f>
        <v/>
      </c>
      <c r="K1979" t="str">
        <f>IF($B1979="","",IFERROR(IF(G1979=0,-2E+300,CHOOSE(sortIdx,ROUND(D1979,0),IF(J1979="",-1E+300,ROUND(-J1979,6)),IF(J1979="",-1E+300,ROUND(J1979,6)))),-1.5E+300))</f>
        <v/>
      </c>
      <c r="L1979" t="str">
        <f>IF(K1979="","",RANK(K1979,$K$2:$K$3001,0)+COUNTIF($K$2:K1979,K1979)-1)</f>
        <v/>
      </c>
    </row>
    <row r="1980">
      <c r="B1980" t="str">
        <f>IFERROR(IF(A1980="","","="&amp;SUBSTITUTE(SUBSTITUTE(SUBSTITUTE(A1980,"~","~~"),"*","~*"),"?","~?")),"")</f>
        <v/>
      </c>
      <c r="C1980" t="str">
        <f>IF($B1980="","",SUMIFS(dAmt,dCust,$B1980,dPer,"&gt;="&amp;pyFrom,dPer,"&lt;="&amp;pyTo,dAmt,"&gt;-1E+300",dFlt1,critFlt1,dFlt2,critFlt2,dFlt3,critFlt3))</f>
        <v/>
      </c>
      <c r="D1980" t="str">
        <f>IF($B1980="","",SUMIFS(dAmt,dCust,$B1980,dPer,"&gt;="&amp;cyFrom,dPer,"&lt;="&amp;cyTo,dAmt,"&gt;-1E+300",dFlt1,critFlt1,dFlt2,critFlt2,dFlt3,critFlt3))</f>
        <v/>
      </c>
      <c r="E1980" t="str">
        <f>IF($B1980="","",SUMIFS(dQty,dCust,$B1980,dPer,"&gt;="&amp;pyFrom,dPer,"&lt;="&amp;pyTo,dQty,"&gt;-1E+300",dFlt1,critFlt1,dFlt2,critFlt2,dFlt3,critFlt3))</f>
        <v/>
      </c>
      <c r="F1980" t="str">
        <f>IF($B1980="","",SUMIFS(dQty,dCust,$B1980,dPer,"&gt;="&amp;cyFrom,dPer,"&lt;="&amp;cyTo,dQty,"&gt;-1E+300",dFlt1,critFlt1,dFlt2,critFlt2,dFlt3,critFlt3))</f>
        <v/>
      </c>
      <c r="G1980">
        <f>IF($B1980="",0,IFERROR(IF(OR(C1980&lt;&gt;0,D1980&lt;&gt;0,E1980&lt;&gt;0,F1980&lt;&gt;0),1,0),1))</f>
        <v>0</v>
      </c>
      <c r="H1980" t="str">
        <f>IF(OR(G1980=0,E1980=0),"",C1980/E1980)</f>
        <v/>
      </c>
      <c r="I1980" t="str">
        <f>IF(OR(G1980=0,F1980=0),"",D1980/F1980)</f>
        <v/>
      </c>
      <c r="J1980" t="str">
        <f>IF(OR(H1980="",I1980=""),"",IF(H1980=0,"",I1980/H1980-1))</f>
        <v/>
      </c>
      <c r="K1980" t="str">
        <f>IF($B1980="","",IFERROR(IF(G1980=0,-2E+300,CHOOSE(sortIdx,ROUND(D1980,0),IF(J1980="",-1E+300,ROUND(-J1980,6)),IF(J1980="",-1E+300,ROUND(J1980,6)))),-1.5E+300))</f>
        <v/>
      </c>
      <c r="L1980" t="str">
        <f>IF(K1980="","",RANK(K1980,$K$2:$K$3001,0)+COUNTIF($K$2:K1980,K1980)-1)</f>
        <v/>
      </c>
    </row>
    <row r="1981">
      <c r="B1981" t="str">
        <f>IFERROR(IF(A1981="","","="&amp;SUBSTITUTE(SUBSTITUTE(SUBSTITUTE(A1981,"~","~~"),"*","~*"),"?","~?")),"")</f>
        <v/>
      </c>
      <c r="C1981" t="str">
        <f>IF($B1981="","",SUMIFS(dAmt,dCust,$B1981,dPer,"&gt;="&amp;pyFrom,dPer,"&lt;="&amp;pyTo,dAmt,"&gt;-1E+300",dFlt1,critFlt1,dFlt2,critFlt2,dFlt3,critFlt3))</f>
        <v/>
      </c>
      <c r="D1981" t="str">
        <f>IF($B1981="","",SUMIFS(dAmt,dCust,$B1981,dPer,"&gt;="&amp;cyFrom,dPer,"&lt;="&amp;cyTo,dAmt,"&gt;-1E+300",dFlt1,critFlt1,dFlt2,critFlt2,dFlt3,critFlt3))</f>
        <v/>
      </c>
      <c r="E1981" t="str">
        <f>IF($B1981="","",SUMIFS(dQty,dCust,$B1981,dPer,"&gt;="&amp;pyFrom,dPer,"&lt;="&amp;pyTo,dQty,"&gt;-1E+300",dFlt1,critFlt1,dFlt2,critFlt2,dFlt3,critFlt3))</f>
        <v/>
      </c>
      <c r="F1981" t="str">
        <f>IF($B1981="","",SUMIFS(dQty,dCust,$B1981,dPer,"&gt;="&amp;cyFrom,dPer,"&lt;="&amp;cyTo,dQty,"&gt;-1E+300",dFlt1,critFlt1,dFlt2,critFlt2,dFlt3,critFlt3))</f>
        <v/>
      </c>
      <c r="G1981">
        <f>IF($B1981="",0,IFERROR(IF(OR(C1981&lt;&gt;0,D1981&lt;&gt;0,E1981&lt;&gt;0,F1981&lt;&gt;0),1,0),1))</f>
        <v>0</v>
      </c>
      <c r="H1981" t="str">
        <f>IF(OR(G1981=0,E1981=0),"",C1981/E1981)</f>
        <v/>
      </c>
      <c r="I1981" t="str">
        <f>IF(OR(G1981=0,F1981=0),"",D1981/F1981)</f>
        <v/>
      </c>
      <c r="J1981" t="str">
        <f>IF(OR(H1981="",I1981=""),"",IF(H1981=0,"",I1981/H1981-1))</f>
        <v/>
      </c>
      <c r="K1981" t="str">
        <f>IF($B1981="","",IFERROR(IF(G1981=0,-2E+300,CHOOSE(sortIdx,ROUND(D1981,0),IF(J1981="",-1E+300,ROUND(-J1981,6)),IF(J1981="",-1E+300,ROUND(J1981,6)))),-1.5E+300))</f>
        <v/>
      </c>
      <c r="L1981" t="str">
        <f>IF(K1981="","",RANK(K1981,$K$2:$K$3001,0)+COUNTIF($K$2:K1981,K1981)-1)</f>
        <v/>
      </c>
    </row>
    <row r="1982">
      <c r="B1982" t="str">
        <f>IFERROR(IF(A1982="","","="&amp;SUBSTITUTE(SUBSTITUTE(SUBSTITUTE(A1982,"~","~~"),"*","~*"),"?","~?")),"")</f>
        <v/>
      </c>
      <c r="C1982" t="str">
        <f>IF($B1982="","",SUMIFS(dAmt,dCust,$B1982,dPer,"&gt;="&amp;pyFrom,dPer,"&lt;="&amp;pyTo,dAmt,"&gt;-1E+300",dFlt1,critFlt1,dFlt2,critFlt2,dFlt3,critFlt3))</f>
        <v/>
      </c>
      <c r="D1982" t="str">
        <f>IF($B1982="","",SUMIFS(dAmt,dCust,$B1982,dPer,"&gt;="&amp;cyFrom,dPer,"&lt;="&amp;cyTo,dAmt,"&gt;-1E+300",dFlt1,critFlt1,dFlt2,critFlt2,dFlt3,critFlt3))</f>
        <v/>
      </c>
      <c r="E1982" t="str">
        <f>IF($B1982="","",SUMIFS(dQty,dCust,$B1982,dPer,"&gt;="&amp;pyFrom,dPer,"&lt;="&amp;pyTo,dQty,"&gt;-1E+300",dFlt1,critFlt1,dFlt2,critFlt2,dFlt3,critFlt3))</f>
        <v/>
      </c>
      <c r="F1982" t="str">
        <f>IF($B1982="","",SUMIFS(dQty,dCust,$B1982,dPer,"&gt;="&amp;cyFrom,dPer,"&lt;="&amp;cyTo,dQty,"&gt;-1E+300",dFlt1,critFlt1,dFlt2,critFlt2,dFlt3,critFlt3))</f>
        <v/>
      </c>
      <c r="G1982">
        <f>IF($B1982="",0,IFERROR(IF(OR(C1982&lt;&gt;0,D1982&lt;&gt;0,E1982&lt;&gt;0,F1982&lt;&gt;0),1,0),1))</f>
        <v>0</v>
      </c>
      <c r="H1982" t="str">
        <f>IF(OR(G1982=0,E1982=0),"",C1982/E1982)</f>
        <v/>
      </c>
      <c r="I1982" t="str">
        <f>IF(OR(G1982=0,F1982=0),"",D1982/F1982)</f>
        <v/>
      </c>
      <c r="J1982" t="str">
        <f>IF(OR(H1982="",I1982=""),"",IF(H1982=0,"",I1982/H1982-1))</f>
        <v/>
      </c>
      <c r="K1982" t="str">
        <f>IF($B1982="","",IFERROR(IF(G1982=0,-2E+300,CHOOSE(sortIdx,ROUND(D1982,0),IF(J1982="",-1E+300,ROUND(-J1982,6)),IF(J1982="",-1E+300,ROUND(J1982,6)))),-1.5E+300))</f>
        <v/>
      </c>
      <c r="L1982" t="str">
        <f>IF(K1982="","",RANK(K1982,$K$2:$K$3001,0)+COUNTIF($K$2:K1982,K1982)-1)</f>
        <v/>
      </c>
    </row>
    <row r="1983">
      <c r="B1983" t="str">
        <f>IFERROR(IF(A1983="","","="&amp;SUBSTITUTE(SUBSTITUTE(SUBSTITUTE(A1983,"~","~~"),"*","~*"),"?","~?")),"")</f>
        <v/>
      </c>
      <c r="C1983" t="str">
        <f>IF($B1983="","",SUMIFS(dAmt,dCust,$B1983,dPer,"&gt;="&amp;pyFrom,dPer,"&lt;="&amp;pyTo,dAmt,"&gt;-1E+300",dFlt1,critFlt1,dFlt2,critFlt2,dFlt3,critFlt3))</f>
        <v/>
      </c>
      <c r="D1983" t="str">
        <f>IF($B1983="","",SUMIFS(dAmt,dCust,$B1983,dPer,"&gt;="&amp;cyFrom,dPer,"&lt;="&amp;cyTo,dAmt,"&gt;-1E+300",dFlt1,critFlt1,dFlt2,critFlt2,dFlt3,critFlt3))</f>
        <v/>
      </c>
      <c r="E1983" t="str">
        <f>IF($B1983="","",SUMIFS(dQty,dCust,$B1983,dPer,"&gt;="&amp;pyFrom,dPer,"&lt;="&amp;pyTo,dQty,"&gt;-1E+300",dFlt1,critFlt1,dFlt2,critFlt2,dFlt3,critFlt3))</f>
        <v/>
      </c>
      <c r="F1983" t="str">
        <f>IF($B1983="","",SUMIFS(dQty,dCust,$B1983,dPer,"&gt;="&amp;cyFrom,dPer,"&lt;="&amp;cyTo,dQty,"&gt;-1E+300",dFlt1,critFlt1,dFlt2,critFlt2,dFlt3,critFlt3))</f>
        <v/>
      </c>
      <c r="G1983">
        <f>IF($B1983="",0,IFERROR(IF(OR(C1983&lt;&gt;0,D1983&lt;&gt;0,E1983&lt;&gt;0,F1983&lt;&gt;0),1,0),1))</f>
        <v>0</v>
      </c>
      <c r="H1983" t="str">
        <f>IF(OR(G1983=0,E1983=0),"",C1983/E1983)</f>
        <v/>
      </c>
      <c r="I1983" t="str">
        <f>IF(OR(G1983=0,F1983=0),"",D1983/F1983)</f>
        <v/>
      </c>
      <c r="J1983" t="str">
        <f>IF(OR(H1983="",I1983=""),"",IF(H1983=0,"",I1983/H1983-1))</f>
        <v/>
      </c>
      <c r="K1983" t="str">
        <f>IF($B1983="","",IFERROR(IF(G1983=0,-2E+300,CHOOSE(sortIdx,ROUND(D1983,0),IF(J1983="",-1E+300,ROUND(-J1983,6)),IF(J1983="",-1E+300,ROUND(J1983,6)))),-1.5E+300))</f>
        <v/>
      </c>
      <c r="L1983" t="str">
        <f>IF(K1983="","",RANK(K1983,$K$2:$K$3001,0)+COUNTIF($K$2:K1983,K1983)-1)</f>
        <v/>
      </c>
    </row>
    <row r="1984">
      <c r="B1984" t="str">
        <f>IFERROR(IF(A1984="","","="&amp;SUBSTITUTE(SUBSTITUTE(SUBSTITUTE(A1984,"~","~~"),"*","~*"),"?","~?")),"")</f>
        <v/>
      </c>
      <c r="C1984" t="str">
        <f>IF($B1984="","",SUMIFS(dAmt,dCust,$B1984,dPer,"&gt;="&amp;pyFrom,dPer,"&lt;="&amp;pyTo,dAmt,"&gt;-1E+300",dFlt1,critFlt1,dFlt2,critFlt2,dFlt3,critFlt3))</f>
        <v/>
      </c>
      <c r="D1984" t="str">
        <f>IF($B1984="","",SUMIFS(dAmt,dCust,$B1984,dPer,"&gt;="&amp;cyFrom,dPer,"&lt;="&amp;cyTo,dAmt,"&gt;-1E+300",dFlt1,critFlt1,dFlt2,critFlt2,dFlt3,critFlt3))</f>
        <v/>
      </c>
      <c r="E1984" t="str">
        <f>IF($B1984="","",SUMIFS(dQty,dCust,$B1984,dPer,"&gt;="&amp;pyFrom,dPer,"&lt;="&amp;pyTo,dQty,"&gt;-1E+300",dFlt1,critFlt1,dFlt2,critFlt2,dFlt3,critFlt3))</f>
        <v/>
      </c>
      <c r="F1984" t="str">
        <f>IF($B1984="","",SUMIFS(dQty,dCust,$B1984,dPer,"&gt;="&amp;cyFrom,dPer,"&lt;="&amp;cyTo,dQty,"&gt;-1E+300",dFlt1,critFlt1,dFlt2,critFlt2,dFlt3,critFlt3))</f>
        <v/>
      </c>
      <c r="G1984">
        <f>IF($B1984="",0,IFERROR(IF(OR(C1984&lt;&gt;0,D1984&lt;&gt;0,E1984&lt;&gt;0,F1984&lt;&gt;0),1,0),1))</f>
        <v>0</v>
      </c>
      <c r="H1984" t="str">
        <f>IF(OR(G1984=0,E1984=0),"",C1984/E1984)</f>
        <v/>
      </c>
      <c r="I1984" t="str">
        <f>IF(OR(G1984=0,F1984=0),"",D1984/F1984)</f>
        <v/>
      </c>
      <c r="J1984" t="str">
        <f>IF(OR(H1984="",I1984=""),"",IF(H1984=0,"",I1984/H1984-1))</f>
        <v/>
      </c>
      <c r="K1984" t="str">
        <f>IF($B1984="","",IFERROR(IF(G1984=0,-2E+300,CHOOSE(sortIdx,ROUND(D1984,0),IF(J1984="",-1E+300,ROUND(-J1984,6)),IF(J1984="",-1E+300,ROUND(J1984,6)))),-1.5E+300))</f>
        <v/>
      </c>
      <c r="L1984" t="str">
        <f>IF(K1984="","",RANK(K1984,$K$2:$K$3001,0)+COUNTIF($K$2:K1984,K1984)-1)</f>
        <v/>
      </c>
    </row>
    <row r="1985">
      <c r="B1985" t="str">
        <f>IFERROR(IF(A1985="","","="&amp;SUBSTITUTE(SUBSTITUTE(SUBSTITUTE(A1985,"~","~~"),"*","~*"),"?","~?")),"")</f>
        <v/>
      </c>
      <c r="C1985" t="str">
        <f>IF($B1985="","",SUMIFS(dAmt,dCust,$B1985,dPer,"&gt;="&amp;pyFrom,dPer,"&lt;="&amp;pyTo,dAmt,"&gt;-1E+300",dFlt1,critFlt1,dFlt2,critFlt2,dFlt3,critFlt3))</f>
        <v/>
      </c>
      <c r="D1985" t="str">
        <f>IF($B1985="","",SUMIFS(dAmt,dCust,$B1985,dPer,"&gt;="&amp;cyFrom,dPer,"&lt;="&amp;cyTo,dAmt,"&gt;-1E+300",dFlt1,critFlt1,dFlt2,critFlt2,dFlt3,critFlt3))</f>
        <v/>
      </c>
      <c r="E1985" t="str">
        <f>IF($B1985="","",SUMIFS(dQty,dCust,$B1985,dPer,"&gt;="&amp;pyFrom,dPer,"&lt;="&amp;pyTo,dQty,"&gt;-1E+300",dFlt1,critFlt1,dFlt2,critFlt2,dFlt3,critFlt3))</f>
        <v/>
      </c>
      <c r="F1985" t="str">
        <f>IF($B1985="","",SUMIFS(dQty,dCust,$B1985,dPer,"&gt;="&amp;cyFrom,dPer,"&lt;="&amp;cyTo,dQty,"&gt;-1E+300",dFlt1,critFlt1,dFlt2,critFlt2,dFlt3,critFlt3))</f>
        <v/>
      </c>
      <c r="G1985">
        <f>IF($B1985="",0,IFERROR(IF(OR(C1985&lt;&gt;0,D1985&lt;&gt;0,E1985&lt;&gt;0,F1985&lt;&gt;0),1,0),1))</f>
        <v>0</v>
      </c>
      <c r="H1985" t="str">
        <f>IF(OR(G1985=0,E1985=0),"",C1985/E1985)</f>
        <v/>
      </c>
      <c r="I1985" t="str">
        <f>IF(OR(G1985=0,F1985=0),"",D1985/F1985)</f>
        <v/>
      </c>
      <c r="J1985" t="str">
        <f>IF(OR(H1985="",I1985=""),"",IF(H1985=0,"",I1985/H1985-1))</f>
        <v/>
      </c>
      <c r="K1985" t="str">
        <f>IF($B1985="","",IFERROR(IF(G1985=0,-2E+300,CHOOSE(sortIdx,ROUND(D1985,0),IF(J1985="",-1E+300,ROUND(-J1985,6)),IF(J1985="",-1E+300,ROUND(J1985,6)))),-1.5E+300))</f>
        <v/>
      </c>
      <c r="L1985" t="str">
        <f>IF(K1985="","",RANK(K1985,$K$2:$K$3001,0)+COUNTIF($K$2:K1985,K1985)-1)</f>
        <v/>
      </c>
    </row>
    <row r="1986">
      <c r="B1986" t="str">
        <f>IFERROR(IF(A1986="","","="&amp;SUBSTITUTE(SUBSTITUTE(SUBSTITUTE(A1986,"~","~~"),"*","~*"),"?","~?")),"")</f>
        <v/>
      </c>
      <c r="C1986" t="str">
        <f>IF($B1986="","",SUMIFS(dAmt,dCust,$B1986,dPer,"&gt;="&amp;pyFrom,dPer,"&lt;="&amp;pyTo,dAmt,"&gt;-1E+300",dFlt1,critFlt1,dFlt2,critFlt2,dFlt3,critFlt3))</f>
        <v/>
      </c>
      <c r="D1986" t="str">
        <f>IF($B1986="","",SUMIFS(dAmt,dCust,$B1986,dPer,"&gt;="&amp;cyFrom,dPer,"&lt;="&amp;cyTo,dAmt,"&gt;-1E+300",dFlt1,critFlt1,dFlt2,critFlt2,dFlt3,critFlt3))</f>
        <v/>
      </c>
      <c r="E1986" t="str">
        <f>IF($B1986="","",SUMIFS(dQty,dCust,$B1986,dPer,"&gt;="&amp;pyFrom,dPer,"&lt;="&amp;pyTo,dQty,"&gt;-1E+300",dFlt1,critFlt1,dFlt2,critFlt2,dFlt3,critFlt3))</f>
        <v/>
      </c>
      <c r="F1986" t="str">
        <f>IF($B1986="","",SUMIFS(dQty,dCust,$B1986,dPer,"&gt;="&amp;cyFrom,dPer,"&lt;="&amp;cyTo,dQty,"&gt;-1E+300",dFlt1,critFlt1,dFlt2,critFlt2,dFlt3,critFlt3))</f>
        <v/>
      </c>
      <c r="G1986">
        <f>IF($B1986="",0,IFERROR(IF(OR(C1986&lt;&gt;0,D1986&lt;&gt;0,E1986&lt;&gt;0,F1986&lt;&gt;0),1,0),1))</f>
        <v>0</v>
      </c>
      <c r="H1986" t="str">
        <f>IF(OR(G1986=0,E1986=0),"",C1986/E1986)</f>
        <v/>
      </c>
      <c r="I1986" t="str">
        <f>IF(OR(G1986=0,F1986=0),"",D1986/F1986)</f>
        <v/>
      </c>
      <c r="J1986" t="str">
        <f>IF(OR(H1986="",I1986=""),"",IF(H1986=0,"",I1986/H1986-1))</f>
        <v/>
      </c>
      <c r="K1986" t="str">
        <f>IF($B1986="","",IFERROR(IF(G1986=0,-2E+300,CHOOSE(sortIdx,ROUND(D1986,0),IF(J1986="",-1E+300,ROUND(-J1986,6)),IF(J1986="",-1E+300,ROUND(J1986,6)))),-1.5E+300))</f>
        <v/>
      </c>
      <c r="L1986" t="str">
        <f>IF(K1986="","",RANK(K1986,$K$2:$K$3001,0)+COUNTIF($K$2:K1986,K1986)-1)</f>
        <v/>
      </c>
    </row>
    <row r="1987">
      <c r="B1987" t="str">
        <f>IFERROR(IF(A1987="","","="&amp;SUBSTITUTE(SUBSTITUTE(SUBSTITUTE(A1987,"~","~~"),"*","~*"),"?","~?")),"")</f>
        <v/>
      </c>
      <c r="C1987" t="str">
        <f>IF($B1987="","",SUMIFS(dAmt,dCust,$B1987,dPer,"&gt;="&amp;pyFrom,dPer,"&lt;="&amp;pyTo,dAmt,"&gt;-1E+300",dFlt1,critFlt1,dFlt2,critFlt2,dFlt3,critFlt3))</f>
        <v/>
      </c>
      <c r="D1987" t="str">
        <f>IF($B1987="","",SUMIFS(dAmt,dCust,$B1987,dPer,"&gt;="&amp;cyFrom,dPer,"&lt;="&amp;cyTo,dAmt,"&gt;-1E+300",dFlt1,critFlt1,dFlt2,critFlt2,dFlt3,critFlt3))</f>
        <v/>
      </c>
      <c r="E1987" t="str">
        <f>IF($B1987="","",SUMIFS(dQty,dCust,$B1987,dPer,"&gt;="&amp;pyFrom,dPer,"&lt;="&amp;pyTo,dQty,"&gt;-1E+300",dFlt1,critFlt1,dFlt2,critFlt2,dFlt3,critFlt3))</f>
        <v/>
      </c>
      <c r="F1987" t="str">
        <f>IF($B1987="","",SUMIFS(dQty,dCust,$B1987,dPer,"&gt;="&amp;cyFrom,dPer,"&lt;="&amp;cyTo,dQty,"&gt;-1E+300",dFlt1,critFlt1,dFlt2,critFlt2,dFlt3,critFlt3))</f>
        <v/>
      </c>
      <c r="G1987">
        <f>IF($B1987="",0,IFERROR(IF(OR(C1987&lt;&gt;0,D1987&lt;&gt;0,E1987&lt;&gt;0,F1987&lt;&gt;0),1,0),1))</f>
        <v>0</v>
      </c>
      <c r="H1987" t="str">
        <f>IF(OR(G1987=0,E1987=0),"",C1987/E1987)</f>
        <v/>
      </c>
      <c r="I1987" t="str">
        <f>IF(OR(G1987=0,F1987=0),"",D1987/F1987)</f>
        <v/>
      </c>
      <c r="J1987" t="str">
        <f>IF(OR(H1987="",I1987=""),"",IF(H1987=0,"",I1987/H1987-1))</f>
        <v/>
      </c>
      <c r="K1987" t="str">
        <f>IF($B1987="","",IFERROR(IF(G1987=0,-2E+300,CHOOSE(sortIdx,ROUND(D1987,0),IF(J1987="",-1E+300,ROUND(-J1987,6)),IF(J1987="",-1E+300,ROUND(J1987,6)))),-1.5E+300))</f>
        <v/>
      </c>
      <c r="L1987" t="str">
        <f>IF(K1987="","",RANK(K1987,$K$2:$K$3001,0)+COUNTIF($K$2:K1987,K1987)-1)</f>
        <v/>
      </c>
    </row>
    <row r="1988">
      <c r="B1988" t="str">
        <f>IFERROR(IF(A1988="","","="&amp;SUBSTITUTE(SUBSTITUTE(SUBSTITUTE(A1988,"~","~~"),"*","~*"),"?","~?")),"")</f>
        <v/>
      </c>
      <c r="C1988" t="str">
        <f>IF($B1988="","",SUMIFS(dAmt,dCust,$B1988,dPer,"&gt;="&amp;pyFrom,dPer,"&lt;="&amp;pyTo,dAmt,"&gt;-1E+300",dFlt1,critFlt1,dFlt2,critFlt2,dFlt3,critFlt3))</f>
        <v/>
      </c>
      <c r="D1988" t="str">
        <f>IF($B1988="","",SUMIFS(dAmt,dCust,$B1988,dPer,"&gt;="&amp;cyFrom,dPer,"&lt;="&amp;cyTo,dAmt,"&gt;-1E+300",dFlt1,critFlt1,dFlt2,critFlt2,dFlt3,critFlt3))</f>
        <v/>
      </c>
      <c r="E1988" t="str">
        <f>IF($B1988="","",SUMIFS(dQty,dCust,$B1988,dPer,"&gt;="&amp;pyFrom,dPer,"&lt;="&amp;pyTo,dQty,"&gt;-1E+300",dFlt1,critFlt1,dFlt2,critFlt2,dFlt3,critFlt3))</f>
        <v/>
      </c>
      <c r="F1988" t="str">
        <f>IF($B1988="","",SUMIFS(dQty,dCust,$B1988,dPer,"&gt;="&amp;cyFrom,dPer,"&lt;="&amp;cyTo,dQty,"&gt;-1E+300",dFlt1,critFlt1,dFlt2,critFlt2,dFlt3,critFlt3))</f>
        <v/>
      </c>
      <c r="G1988">
        <f>IF($B1988="",0,IFERROR(IF(OR(C1988&lt;&gt;0,D1988&lt;&gt;0,E1988&lt;&gt;0,F1988&lt;&gt;0),1,0),1))</f>
        <v>0</v>
      </c>
      <c r="H1988" t="str">
        <f>IF(OR(G1988=0,E1988=0),"",C1988/E1988)</f>
        <v/>
      </c>
      <c r="I1988" t="str">
        <f>IF(OR(G1988=0,F1988=0),"",D1988/F1988)</f>
        <v/>
      </c>
      <c r="J1988" t="str">
        <f>IF(OR(H1988="",I1988=""),"",IF(H1988=0,"",I1988/H1988-1))</f>
        <v/>
      </c>
      <c r="K1988" t="str">
        <f>IF($B1988="","",IFERROR(IF(G1988=0,-2E+300,CHOOSE(sortIdx,ROUND(D1988,0),IF(J1988="",-1E+300,ROUND(-J1988,6)),IF(J1988="",-1E+300,ROUND(J1988,6)))),-1.5E+300))</f>
        <v/>
      </c>
      <c r="L1988" t="str">
        <f>IF(K1988="","",RANK(K1988,$K$2:$K$3001,0)+COUNTIF($K$2:K1988,K1988)-1)</f>
        <v/>
      </c>
    </row>
    <row r="1989">
      <c r="B1989" t="str">
        <f>IFERROR(IF(A1989="","","="&amp;SUBSTITUTE(SUBSTITUTE(SUBSTITUTE(A1989,"~","~~"),"*","~*"),"?","~?")),"")</f>
        <v/>
      </c>
      <c r="C1989" t="str">
        <f>IF($B1989="","",SUMIFS(dAmt,dCust,$B1989,dPer,"&gt;="&amp;pyFrom,dPer,"&lt;="&amp;pyTo,dAmt,"&gt;-1E+300",dFlt1,critFlt1,dFlt2,critFlt2,dFlt3,critFlt3))</f>
        <v/>
      </c>
      <c r="D1989" t="str">
        <f>IF($B1989="","",SUMIFS(dAmt,dCust,$B1989,dPer,"&gt;="&amp;cyFrom,dPer,"&lt;="&amp;cyTo,dAmt,"&gt;-1E+300",dFlt1,critFlt1,dFlt2,critFlt2,dFlt3,critFlt3))</f>
        <v/>
      </c>
      <c r="E1989" t="str">
        <f>IF($B1989="","",SUMIFS(dQty,dCust,$B1989,dPer,"&gt;="&amp;pyFrom,dPer,"&lt;="&amp;pyTo,dQty,"&gt;-1E+300",dFlt1,critFlt1,dFlt2,critFlt2,dFlt3,critFlt3))</f>
        <v/>
      </c>
      <c r="F1989" t="str">
        <f>IF($B1989="","",SUMIFS(dQty,dCust,$B1989,dPer,"&gt;="&amp;cyFrom,dPer,"&lt;="&amp;cyTo,dQty,"&gt;-1E+300",dFlt1,critFlt1,dFlt2,critFlt2,dFlt3,critFlt3))</f>
        <v/>
      </c>
      <c r="G1989">
        <f>IF($B1989="",0,IFERROR(IF(OR(C1989&lt;&gt;0,D1989&lt;&gt;0,E1989&lt;&gt;0,F1989&lt;&gt;0),1,0),1))</f>
        <v>0</v>
      </c>
      <c r="H1989" t="str">
        <f>IF(OR(G1989=0,E1989=0),"",C1989/E1989)</f>
        <v/>
      </c>
      <c r="I1989" t="str">
        <f>IF(OR(G1989=0,F1989=0),"",D1989/F1989)</f>
        <v/>
      </c>
      <c r="J1989" t="str">
        <f>IF(OR(H1989="",I1989=""),"",IF(H1989=0,"",I1989/H1989-1))</f>
        <v/>
      </c>
      <c r="K1989" t="str">
        <f>IF($B1989="","",IFERROR(IF(G1989=0,-2E+300,CHOOSE(sortIdx,ROUND(D1989,0),IF(J1989="",-1E+300,ROUND(-J1989,6)),IF(J1989="",-1E+300,ROUND(J1989,6)))),-1.5E+300))</f>
        <v/>
      </c>
      <c r="L1989" t="str">
        <f>IF(K1989="","",RANK(K1989,$K$2:$K$3001,0)+COUNTIF($K$2:K1989,K1989)-1)</f>
        <v/>
      </c>
    </row>
    <row r="1990">
      <c r="B1990" t="str">
        <f>IFERROR(IF(A1990="","","="&amp;SUBSTITUTE(SUBSTITUTE(SUBSTITUTE(A1990,"~","~~"),"*","~*"),"?","~?")),"")</f>
        <v/>
      </c>
      <c r="C1990" t="str">
        <f>IF($B1990="","",SUMIFS(dAmt,dCust,$B1990,dPer,"&gt;="&amp;pyFrom,dPer,"&lt;="&amp;pyTo,dAmt,"&gt;-1E+300",dFlt1,critFlt1,dFlt2,critFlt2,dFlt3,critFlt3))</f>
        <v/>
      </c>
      <c r="D1990" t="str">
        <f>IF($B1990="","",SUMIFS(dAmt,dCust,$B1990,dPer,"&gt;="&amp;cyFrom,dPer,"&lt;="&amp;cyTo,dAmt,"&gt;-1E+300",dFlt1,critFlt1,dFlt2,critFlt2,dFlt3,critFlt3))</f>
        <v/>
      </c>
      <c r="E1990" t="str">
        <f>IF($B1990="","",SUMIFS(dQty,dCust,$B1990,dPer,"&gt;="&amp;pyFrom,dPer,"&lt;="&amp;pyTo,dQty,"&gt;-1E+300",dFlt1,critFlt1,dFlt2,critFlt2,dFlt3,critFlt3))</f>
        <v/>
      </c>
      <c r="F1990" t="str">
        <f>IF($B1990="","",SUMIFS(dQty,dCust,$B1990,dPer,"&gt;="&amp;cyFrom,dPer,"&lt;="&amp;cyTo,dQty,"&gt;-1E+300",dFlt1,critFlt1,dFlt2,critFlt2,dFlt3,critFlt3))</f>
        <v/>
      </c>
      <c r="G1990">
        <f>IF($B1990="",0,IFERROR(IF(OR(C1990&lt;&gt;0,D1990&lt;&gt;0,E1990&lt;&gt;0,F1990&lt;&gt;0),1,0),1))</f>
        <v>0</v>
      </c>
      <c r="H1990" t="str">
        <f>IF(OR(G1990=0,E1990=0),"",C1990/E1990)</f>
        <v/>
      </c>
      <c r="I1990" t="str">
        <f>IF(OR(G1990=0,F1990=0),"",D1990/F1990)</f>
        <v/>
      </c>
      <c r="J1990" t="str">
        <f>IF(OR(H1990="",I1990=""),"",IF(H1990=0,"",I1990/H1990-1))</f>
        <v/>
      </c>
      <c r="K1990" t="str">
        <f>IF($B1990="","",IFERROR(IF(G1990=0,-2E+300,CHOOSE(sortIdx,ROUND(D1990,0),IF(J1990="",-1E+300,ROUND(-J1990,6)),IF(J1990="",-1E+300,ROUND(J1990,6)))),-1.5E+300))</f>
        <v/>
      </c>
      <c r="L1990" t="str">
        <f>IF(K1990="","",RANK(K1990,$K$2:$K$3001,0)+COUNTIF($K$2:K1990,K1990)-1)</f>
        <v/>
      </c>
    </row>
    <row r="1991">
      <c r="B1991" t="str">
        <f>IFERROR(IF(A1991="","","="&amp;SUBSTITUTE(SUBSTITUTE(SUBSTITUTE(A1991,"~","~~"),"*","~*"),"?","~?")),"")</f>
        <v/>
      </c>
      <c r="C1991" t="str">
        <f>IF($B1991="","",SUMIFS(dAmt,dCust,$B1991,dPer,"&gt;="&amp;pyFrom,dPer,"&lt;="&amp;pyTo,dAmt,"&gt;-1E+300",dFlt1,critFlt1,dFlt2,critFlt2,dFlt3,critFlt3))</f>
        <v/>
      </c>
      <c r="D1991" t="str">
        <f>IF($B1991="","",SUMIFS(dAmt,dCust,$B1991,dPer,"&gt;="&amp;cyFrom,dPer,"&lt;="&amp;cyTo,dAmt,"&gt;-1E+300",dFlt1,critFlt1,dFlt2,critFlt2,dFlt3,critFlt3))</f>
        <v/>
      </c>
      <c r="E1991" t="str">
        <f>IF($B1991="","",SUMIFS(dQty,dCust,$B1991,dPer,"&gt;="&amp;pyFrom,dPer,"&lt;="&amp;pyTo,dQty,"&gt;-1E+300",dFlt1,critFlt1,dFlt2,critFlt2,dFlt3,critFlt3))</f>
        <v/>
      </c>
      <c r="F1991" t="str">
        <f>IF($B1991="","",SUMIFS(dQty,dCust,$B1991,dPer,"&gt;="&amp;cyFrom,dPer,"&lt;="&amp;cyTo,dQty,"&gt;-1E+300",dFlt1,critFlt1,dFlt2,critFlt2,dFlt3,critFlt3))</f>
        <v/>
      </c>
      <c r="G1991">
        <f>IF($B1991="",0,IFERROR(IF(OR(C1991&lt;&gt;0,D1991&lt;&gt;0,E1991&lt;&gt;0,F1991&lt;&gt;0),1,0),1))</f>
        <v>0</v>
      </c>
      <c r="H1991" t="str">
        <f>IF(OR(G1991=0,E1991=0),"",C1991/E1991)</f>
        <v/>
      </c>
      <c r="I1991" t="str">
        <f>IF(OR(G1991=0,F1991=0),"",D1991/F1991)</f>
        <v/>
      </c>
      <c r="J1991" t="str">
        <f>IF(OR(H1991="",I1991=""),"",IF(H1991=0,"",I1991/H1991-1))</f>
        <v/>
      </c>
      <c r="K1991" t="str">
        <f>IF($B1991="","",IFERROR(IF(G1991=0,-2E+300,CHOOSE(sortIdx,ROUND(D1991,0),IF(J1991="",-1E+300,ROUND(-J1991,6)),IF(J1991="",-1E+300,ROUND(J1991,6)))),-1.5E+300))</f>
        <v/>
      </c>
      <c r="L1991" t="str">
        <f>IF(K1991="","",RANK(K1991,$K$2:$K$3001,0)+COUNTIF($K$2:K1991,K1991)-1)</f>
        <v/>
      </c>
    </row>
    <row r="1992">
      <c r="B1992" t="str">
        <f>IFERROR(IF(A1992="","","="&amp;SUBSTITUTE(SUBSTITUTE(SUBSTITUTE(A1992,"~","~~"),"*","~*"),"?","~?")),"")</f>
        <v/>
      </c>
      <c r="C1992" t="str">
        <f>IF($B1992="","",SUMIFS(dAmt,dCust,$B1992,dPer,"&gt;="&amp;pyFrom,dPer,"&lt;="&amp;pyTo,dAmt,"&gt;-1E+300",dFlt1,critFlt1,dFlt2,critFlt2,dFlt3,critFlt3))</f>
        <v/>
      </c>
      <c r="D1992" t="str">
        <f>IF($B1992="","",SUMIFS(dAmt,dCust,$B1992,dPer,"&gt;="&amp;cyFrom,dPer,"&lt;="&amp;cyTo,dAmt,"&gt;-1E+300",dFlt1,critFlt1,dFlt2,critFlt2,dFlt3,critFlt3))</f>
        <v/>
      </c>
      <c r="E1992" t="str">
        <f>IF($B1992="","",SUMIFS(dQty,dCust,$B1992,dPer,"&gt;="&amp;pyFrom,dPer,"&lt;="&amp;pyTo,dQty,"&gt;-1E+300",dFlt1,critFlt1,dFlt2,critFlt2,dFlt3,critFlt3))</f>
        <v/>
      </c>
      <c r="F1992" t="str">
        <f>IF($B1992="","",SUMIFS(dQty,dCust,$B1992,dPer,"&gt;="&amp;cyFrom,dPer,"&lt;="&amp;cyTo,dQty,"&gt;-1E+300",dFlt1,critFlt1,dFlt2,critFlt2,dFlt3,critFlt3))</f>
        <v/>
      </c>
      <c r="G1992">
        <f>IF($B1992="",0,IFERROR(IF(OR(C1992&lt;&gt;0,D1992&lt;&gt;0,E1992&lt;&gt;0,F1992&lt;&gt;0),1,0),1))</f>
        <v>0</v>
      </c>
      <c r="H1992" t="str">
        <f>IF(OR(G1992=0,E1992=0),"",C1992/E1992)</f>
        <v/>
      </c>
      <c r="I1992" t="str">
        <f>IF(OR(G1992=0,F1992=0),"",D1992/F1992)</f>
        <v/>
      </c>
      <c r="J1992" t="str">
        <f>IF(OR(H1992="",I1992=""),"",IF(H1992=0,"",I1992/H1992-1))</f>
        <v/>
      </c>
      <c r="K1992" t="str">
        <f>IF($B1992="","",IFERROR(IF(G1992=0,-2E+300,CHOOSE(sortIdx,ROUND(D1992,0),IF(J1992="",-1E+300,ROUND(-J1992,6)),IF(J1992="",-1E+300,ROUND(J1992,6)))),-1.5E+300))</f>
        <v/>
      </c>
      <c r="L1992" t="str">
        <f>IF(K1992="","",RANK(K1992,$K$2:$K$3001,0)+COUNTIF($K$2:K1992,K1992)-1)</f>
        <v/>
      </c>
    </row>
    <row r="1993">
      <c r="B1993" t="str">
        <f>IFERROR(IF(A1993="","","="&amp;SUBSTITUTE(SUBSTITUTE(SUBSTITUTE(A1993,"~","~~"),"*","~*"),"?","~?")),"")</f>
        <v/>
      </c>
      <c r="C1993" t="str">
        <f>IF($B1993="","",SUMIFS(dAmt,dCust,$B1993,dPer,"&gt;="&amp;pyFrom,dPer,"&lt;="&amp;pyTo,dAmt,"&gt;-1E+300",dFlt1,critFlt1,dFlt2,critFlt2,dFlt3,critFlt3))</f>
        <v/>
      </c>
      <c r="D1993" t="str">
        <f>IF($B1993="","",SUMIFS(dAmt,dCust,$B1993,dPer,"&gt;="&amp;cyFrom,dPer,"&lt;="&amp;cyTo,dAmt,"&gt;-1E+300",dFlt1,critFlt1,dFlt2,critFlt2,dFlt3,critFlt3))</f>
        <v/>
      </c>
      <c r="E1993" t="str">
        <f>IF($B1993="","",SUMIFS(dQty,dCust,$B1993,dPer,"&gt;="&amp;pyFrom,dPer,"&lt;="&amp;pyTo,dQty,"&gt;-1E+300",dFlt1,critFlt1,dFlt2,critFlt2,dFlt3,critFlt3))</f>
        <v/>
      </c>
      <c r="F1993" t="str">
        <f>IF($B1993="","",SUMIFS(dQty,dCust,$B1993,dPer,"&gt;="&amp;cyFrom,dPer,"&lt;="&amp;cyTo,dQty,"&gt;-1E+300",dFlt1,critFlt1,dFlt2,critFlt2,dFlt3,critFlt3))</f>
        <v/>
      </c>
      <c r="G1993">
        <f>IF($B1993="",0,IFERROR(IF(OR(C1993&lt;&gt;0,D1993&lt;&gt;0,E1993&lt;&gt;0,F1993&lt;&gt;0),1,0),1))</f>
        <v>0</v>
      </c>
      <c r="H1993" t="str">
        <f>IF(OR(G1993=0,E1993=0),"",C1993/E1993)</f>
        <v/>
      </c>
      <c r="I1993" t="str">
        <f>IF(OR(G1993=0,F1993=0),"",D1993/F1993)</f>
        <v/>
      </c>
      <c r="J1993" t="str">
        <f>IF(OR(H1993="",I1993=""),"",IF(H1993=0,"",I1993/H1993-1))</f>
        <v/>
      </c>
      <c r="K1993" t="str">
        <f>IF($B1993="","",IFERROR(IF(G1993=0,-2E+300,CHOOSE(sortIdx,ROUND(D1993,0),IF(J1993="",-1E+300,ROUND(-J1993,6)),IF(J1993="",-1E+300,ROUND(J1993,6)))),-1.5E+300))</f>
        <v/>
      </c>
      <c r="L1993" t="str">
        <f>IF(K1993="","",RANK(K1993,$K$2:$K$3001,0)+COUNTIF($K$2:K1993,K1993)-1)</f>
        <v/>
      </c>
    </row>
    <row r="1994">
      <c r="B1994" t="str">
        <f>IFERROR(IF(A1994="","","="&amp;SUBSTITUTE(SUBSTITUTE(SUBSTITUTE(A1994,"~","~~"),"*","~*"),"?","~?")),"")</f>
        <v/>
      </c>
      <c r="C1994" t="str">
        <f>IF($B1994="","",SUMIFS(dAmt,dCust,$B1994,dPer,"&gt;="&amp;pyFrom,dPer,"&lt;="&amp;pyTo,dAmt,"&gt;-1E+300",dFlt1,critFlt1,dFlt2,critFlt2,dFlt3,critFlt3))</f>
        <v/>
      </c>
      <c r="D1994" t="str">
        <f>IF($B1994="","",SUMIFS(dAmt,dCust,$B1994,dPer,"&gt;="&amp;cyFrom,dPer,"&lt;="&amp;cyTo,dAmt,"&gt;-1E+300",dFlt1,critFlt1,dFlt2,critFlt2,dFlt3,critFlt3))</f>
        <v/>
      </c>
      <c r="E1994" t="str">
        <f>IF($B1994="","",SUMIFS(dQty,dCust,$B1994,dPer,"&gt;="&amp;pyFrom,dPer,"&lt;="&amp;pyTo,dQty,"&gt;-1E+300",dFlt1,critFlt1,dFlt2,critFlt2,dFlt3,critFlt3))</f>
        <v/>
      </c>
      <c r="F1994" t="str">
        <f>IF($B1994="","",SUMIFS(dQty,dCust,$B1994,dPer,"&gt;="&amp;cyFrom,dPer,"&lt;="&amp;cyTo,dQty,"&gt;-1E+300",dFlt1,critFlt1,dFlt2,critFlt2,dFlt3,critFlt3))</f>
        <v/>
      </c>
      <c r="G1994">
        <f>IF($B1994="",0,IFERROR(IF(OR(C1994&lt;&gt;0,D1994&lt;&gt;0,E1994&lt;&gt;0,F1994&lt;&gt;0),1,0),1))</f>
        <v>0</v>
      </c>
      <c r="H1994" t="str">
        <f>IF(OR(G1994=0,E1994=0),"",C1994/E1994)</f>
        <v/>
      </c>
      <c r="I1994" t="str">
        <f>IF(OR(G1994=0,F1994=0),"",D1994/F1994)</f>
        <v/>
      </c>
      <c r="J1994" t="str">
        <f>IF(OR(H1994="",I1994=""),"",IF(H1994=0,"",I1994/H1994-1))</f>
        <v/>
      </c>
      <c r="K1994" t="str">
        <f>IF($B1994="","",IFERROR(IF(G1994=0,-2E+300,CHOOSE(sortIdx,ROUND(D1994,0),IF(J1994="",-1E+300,ROUND(-J1994,6)),IF(J1994="",-1E+300,ROUND(J1994,6)))),-1.5E+300))</f>
        <v/>
      </c>
      <c r="L1994" t="str">
        <f>IF(K1994="","",RANK(K1994,$K$2:$K$3001,0)+COUNTIF($K$2:K1994,K1994)-1)</f>
        <v/>
      </c>
    </row>
    <row r="1995">
      <c r="B1995" t="str">
        <f>IFERROR(IF(A1995="","","="&amp;SUBSTITUTE(SUBSTITUTE(SUBSTITUTE(A1995,"~","~~"),"*","~*"),"?","~?")),"")</f>
        <v/>
      </c>
      <c r="C1995" t="str">
        <f>IF($B1995="","",SUMIFS(dAmt,dCust,$B1995,dPer,"&gt;="&amp;pyFrom,dPer,"&lt;="&amp;pyTo,dAmt,"&gt;-1E+300",dFlt1,critFlt1,dFlt2,critFlt2,dFlt3,critFlt3))</f>
        <v/>
      </c>
      <c r="D1995" t="str">
        <f>IF($B1995="","",SUMIFS(dAmt,dCust,$B1995,dPer,"&gt;="&amp;cyFrom,dPer,"&lt;="&amp;cyTo,dAmt,"&gt;-1E+300",dFlt1,critFlt1,dFlt2,critFlt2,dFlt3,critFlt3))</f>
        <v/>
      </c>
      <c r="E1995" t="str">
        <f>IF($B1995="","",SUMIFS(dQty,dCust,$B1995,dPer,"&gt;="&amp;pyFrom,dPer,"&lt;="&amp;pyTo,dQty,"&gt;-1E+300",dFlt1,critFlt1,dFlt2,critFlt2,dFlt3,critFlt3))</f>
        <v/>
      </c>
      <c r="F1995" t="str">
        <f>IF($B1995="","",SUMIFS(dQty,dCust,$B1995,dPer,"&gt;="&amp;cyFrom,dPer,"&lt;="&amp;cyTo,dQty,"&gt;-1E+300",dFlt1,critFlt1,dFlt2,critFlt2,dFlt3,critFlt3))</f>
        <v/>
      </c>
      <c r="G1995">
        <f>IF($B1995="",0,IFERROR(IF(OR(C1995&lt;&gt;0,D1995&lt;&gt;0,E1995&lt;&gt;0,F1995&lt;&gt;0),1,0),1))</f>
        <v>0</v>
      </c>
      <c r="H1995" t="str">
        <f>IF(OR(G1995=0,E1995=0),"",C1995/E1995)</f>
        <v/>
      </c>
      <c r="I1995" t="str">
        <f>IF(OR(G1995=0,F1995=0),"",D1995/F1995)</f>
        <v/>
      </c>
      <c r="J1995" t="str">
        <f>IF(OR(H1995="",I1995=""),"",IF(H1995=0,"",I1995/H1995-1))</f>
        <v/>
      </c>
      <c r="K1995" t="str">
        <f>IF($B1995="","",IFERROR(IF(G1995=0,-2E+300,CHOOSE(sortIdx,ROUND(D1995,0),IF(J1995="",-1E+300,ROUND(-J1995,6)),IF(J1995="",-1E+300,ROUND(J1995,6)))),-1.5E+300))</f>
        <v/>
      </c>
      <c r="L1995" t="str">
        <f>IF(K1995="","",RANK(K1995,$K$2:$K$3001,0)+COUNTIF($K$2:K1995,K1995)-1)</f>
        <v/>
      </c>
    </row>
    <row r="1996">
      <c r="B1996" t="str">
        <f>IFERROR(IF(A1996="","","="&amp;SUBSTITUTE(SUBSTITUTE(SUBSTITUTE(A1996,"~","~~"),"*","~*"),"?","~?")),"")</f>
        <v/>
      </c>
      <c r="C1996" t="str">
        <f>IF($B1996="","",SUMIFS(dAmt,dCust,$B1996,dPer,"&gt;="&amp;pyFrom,dPer,"&lt;="&amp;pyTo,dAmt,"&gt;-1E+300",dFlt1,critFlt1,dFlt2,critFlt2,dFlt3,critFlt3))</f>
        <v/>
      </c>
      <c r="D1996" t="str">
        <f>IF($B1996="","",SUMIFS(dAmt,dCust,$B1996,dPer,"&gt;="&amp;cyFrom,dPer,"&lt;="&amp;cyTo,dAmt,"&gt;-1E+300",dFlt1,critFlt1,dFlt2,critFlt2,dFlt3,critFlt3))</f>
        <v/>
      </c>
      <c r="E1996" t="str">
        <f>IF($B1996="","",SUMIFS(dQty,dCust,$B1996,dPer,"&gt;="&amp;pyFrom,dPer,"&lt;="&amp;pyTo,dQty,"&gt;-1E+300",dFlt1,critFlt1,dFlt2,critFlt2,dFlt3,critFlt3))</f>
        <v/>
      </c>
      <c r="F1996" t="str">
        <f>IF($B1996="","",SUMIFS(dQty,dCust,$B1996,dPer,"&gt;="&amp;cyFrom,dPer,"&lt;="&amp;cyTo,dQty,"&gt;-1E+300",dFlt1,critFlt1,dFlt2,critFlt2,dFlt3,critFlt3))</f>
        <v/>
      </c>
      <c r="G1996">
        <f>IF($B1996="",0,IFERROR(IF(OR(C1996&lt;&gt;0,D1996&lt;&gt;0,E1996&lt;&gt;0,F1996&lt;&gt;0),1,0),1))</f>
        <v>0</v>
      </c>
      <c r="H1996" t="str">
        <f>IF(OR(G1996=0,E1996=0),"",C1996/E1996)</f>
        <v/>
      </c>
      <c r="I1996" t="str">
        <f>IF(OR(G1996=0,F1996=0),"",D1996/F1996)</f>
        <v/>
      </c>
      <c r="J1996" t="str">
        <f>IF(OR(H1996="",I1996=""),"",IF(H1996=0,"",I1996/H1996-1))</f>
        <v/>
      </c>
      <c r="K1996" t="str">
        <f>IF($B1996="","",IFERROR(IF(G1996=0,-2E+300,CHOOSE(sortIdx,ROUND(D1996,0),IF(J1996="",-1E+300,ROUND(-J1996,6)),IF(J1996="",-1E+300,ROUND(J1996,6)))),-1.5E+300))</f>
        <v/>
      </c>
      <c r="L1996" t="str">
        <f>IF(K1996="","",RANK(K1996,$K$2:$K$3001,0)+COUNTIF($K$2:K1996,K1996)-1)</f>
        <v/>
      </c>
    </row>
    <row r="1997">
      <c r="B1997" t="str">
        <f>IFERROR(IF(A1997="","","="&amp;SUBSTITUTE(SUBSTITUTE(SUBSTITUTE(A1997,"~","~~"),"*","~*"),"?","~?")),"")</f>
        <v/>
      </c>
      <c r="C1997" t="str">
        <f>IF($B1997="","",SUMIFS(dAmt,dCust,$B1997,dPer,"&gt;="&amp;pyFrom,dPer,"&lt;="&amp;pyTo,dAmt,"&gt;-1E+300",dFlt1,critFlt1,dFlt2,critFlt2,dFlt3,critFlt3))</f>
        <v/>
      </c>
      <c r="D1997" t="str">
        <f>IF($B1997="","",SUMIFS(dAmt,dCust,$B1997,dPer,"&gt;="&amp;cyFrom,dPer,"&lt;="&amp;cyTo,dAmt,"&gt;-1E+300",dFlt1,critFlt1,dFlt2,critFlt2,dFlt3,critFlt3))</f>
        <v/>
      </c>
      <c r="E1997" t="str">
        <f>IF($B1997="","",SUMIFS(dQty,dCust,$B1997,dPer,"&gt;="&amp;pyFrom,dPer,"&lt;="&amp;pyTo,dQty,"&gt;-1E+300",dFlt1,critFlt1,dFlt2,critFlt2,dFlt3,critFlt3))</f>
        <v/>
      </c>
      <c r="F1997" t="str">
        <f>IF($B1997="","",SUMIFS(dQty,dCust,$B1997,dPer,"&gt;="&amp;cyFrom,dPer,"&lt;="&amp;cyTo,dQty,"&gt;-1E+300",dFlt1,critFlt1,dFlt2,critFlt2,dFlt3,critFlt3))</f>
        <v/>
      </c>
      <c r="G1997">
        <f>IF($B1997="",0,IFERROR(IF(OR(C1997&lt;&gt;0,D1997&lt;&gt;0,E1997&lt;&gt;0,F1997&lt;&gt;0),1,0),1))</f>
        <v>0</v>
      </c>
      <c r="H1997" t="str">
        <f>IF(OR(G1997=0,E1997=0),"",C1997/E1997)</f>
        <v/>
      </c>
      <c r="I1997" t="str">
        <f>IF(OR(G1997=0,F1997=0),"",D1997/F1997)</f>
        <v/>
      </c>
      <c r="J1997" t="str">
        <f>IF(OR(H1997="",I1997=""),"",IF(H1997=0,"",I1997/H1997-1))</f>
        <v/>
      </c>
      <c r="K1997" t="str">
        <f>IF($B1997="","",IFERROR(IF(G1997=0,-2E+300,CHOOSE(sortIdx,ROUND(D1997,0),IF(J1997="",-1E+300,ROUND(-J1997,6)),IF(J1997="",-1E+300,ROUND(J1997,6)))),-1.5E+300))</f>
        <v/>
      </c>
      <c r="L1997" t="str">
        <f>IF(K1997="","",RANK(K1997,$K$2:$K$3001,0)+COUNTIF($K$2:K1997,K1997)-1)</f>
        <v/>
      </c>
    </row>
    <row r="1998">
      <c r="B1998" t="str">
        <f>IFERROR(IF(A1998="","","="&amp;SUBSTITUTE(SUBSTITUTE(SUBSTITUTE(A1998,"~","~~"),"*","~*"),"?","~?")),"")</f>
        <v/>
      </c>
      <c r="C1998" t="str">
        <f>IF($B1998="","",SUMIFS(dAmt,dCust,$B1998,dPer,"&gt;="&amp;pyFrom,dPer,"&lt;="&amp;pyTo,dAmt,"&gt;-1E+300",dFlt1,critFlt1,dFlt2,critFlt2,dFlt3,critFlt3))</f>
        <v/>
      </c>
      <c r="D1998" t="str">
        <f>IF($B1998="","",SUMIFS(dAmt,dCust,$B1998,dPer,"&gt;="&amp;cyFrom,dPer,"&lt;="&amp;cyTo,dAmt,"&gt;-1E+300",dFlt1,critFlt1,dFlt2,critFlt2,dFlt3,critFlt3))</f>
        <v/>
      </c>
      <c r="E1998" t="str">
        <f>IF($B1998="","",SUMIFS(dQty,dCust,$B1998,dPer,"&gt;="&amp;pyFrom,dPer,"&lt;="&amp;pyTo,dQty,"&gt;-1E+300",dFlt1,critFlt1,dFlt2,critFlt2,dFlt3,critFlt3))</f>
        <v/>
      </c>
      <c r="F1998" t="str">
        <f>IF($B1998="","",SUMIFS(dQty,dCust,$B1998,dPer,"&gt;="&amp;cyFrom,dPer,"&lt;="&amp;cyTo,dQty,"&gt;-1E+300",dFlt1,critFlt1,dFlt2,critFlt2,dFlt3,critFlt3))</f>
        <v/>
      </c>
      <c r="G1998">
        <f>IF($B1998="",0,IFERROR(IF(OR(C1998&lt;&gt;0,D1998&lt;&gt;0,E1998&lt;&gt;0,F1998&lt;&gt;0),1,0),1))</f>
        <v>0</v>
      </c>
      <c r="H1998" t="str">
        <f>IF(OR(G1998=0,E1998=0),"",C1998/E1998)</f>
        <v/>
      </c>
      <c r="I1998" t="str">
        <f>IF(OR(G1998=0,F1998=0),"",D1998/F1998)</f>
        <v/>
      </c>
      <c r="J1998" t="str">
        <f>IF(OR(H1998="",I1998=""),"",IF(H1998=0,"",I1998/H1998-1))</f>
        <v/>
      </c>
      <c r="K1998" t="str">
        <f>IF($B1998="","",IFERROR(IF(G1998=0,-2E+300,CHOOSE(sortIdx,ROUND(D1998,0),IF(J1998="",-1E+300,ROUND(-J1998,6)),IF(J1998="",-1E+300,ROUND(J1998,6)))),-1.5E+300))</f>
        <v/>
      </c>
      <c r="L1998" t="str">
        <f>IF(K1998="","",RANK(K1998,$K$2:$K$3001,0)+COUNTIF($K$2:K1998,K1998)-1)</f>
        <v/>
      </c>
    </row>
    <row r="1999">
      <c r="B1999" t="str">
        <f>IFERROR(IF(A1999="","","="&amp;SUBSTITUTE(SUBSTITUTE(SUBSTITUTE(A1999,"~","~~"),"*","~*"),"?","~?")),"")</f>
        <v/>
      </c>
      <c r="C1999" t="str">
        <f>IF($B1999="","",SUMIFS(dAmt,dCust,$B1999,dPer,"&gt;="&amp;pyFrom,dPer,"&lt;="&amp;pyTo,dAmt,"&gt;-1E+300",dFlt1,critFlt1,dFlt2,critFlt2,dFlt3,critFlt3))</f>
        <v/>
      </c>
      <c r="D1999" t="str">
        <f>IF($B1999="","",SUMIFS(dAmt,dCust,$B1999,dPer,"&gt;="&amp;cyFrom,dPer,"&lt;="&amp;cyTo,dAmt,"&gt;-1E+300",dFlt1,critFlt1,dFlt2,critFlt2,dFlt3,critFlt3))</f>
        <v/>
      </c>
      <c r="E1999" t="str">
        <f>IF($B1999="","",SUMIFS(dQty,dCust,$B1999,dPer,"&gt;="&amp;pyFrom,dPer,"&lt;="&amp;pyTo,dQty,"&gt;-1E+300",dFlt1,critFlt1,dFlt2,critFlt2,dFlt3,critFlt3))</f>
        <v/>
      </c>
      <c r="F1999" t="str">
        <f>IF($B1999="","",SUMIFS(dQty,dCust,$B1999,dPer,"&gt;="&amp;cyFrom,dPer,"&lt;="&amp;cyTo,dQty,"&gt;-1E+300",dFlt1,critFlt1,dFlt2,critFlt2,dFlt3,critFlt3))</f>
        <v/>
      </c>
      <c r="G1999">
        <f>IF($B1999="",0,IFERROR(IF(OR(C1999&lt;&gt;0,D1999&lt;&gt;0,E1999&lt;&gt;0,F1999&lt;&gt;0),1,0),1))</f>
        <v>0</v>
      </c>
      <c r="H1999" t="str">
        <f>IF(OR(G1999=0,E1999=0),"",C1999/E1999)</f>
        <v/>
      </c>
      <c r="I1999" t="str">
        <f>IF(OR(G1999=0,F1999=0),"",D1999/F1999)</f>
        <v/>
      </c>
      <c r="J1999" t="str">
        <f>IF(OR(H1999="",I1999=""),"",IF(H1999=0,"",I1999/H1999-1))</f>
        <v/>
      </c>
      <c r="K1999" t="str">
        <f>IF($B1999="","",IFERROR(IF(G1999=0,-2E+300,CHOOSE(sortIdx,ROUND(D1999,0),IF(J1999="",-1E+300,ROUND(-J1999,6)),IF(J1999="",-1E+300,ROUND(J1999,6)))),-1.5E+300))</f>
        <v/>
      </c>
      <c r="L1999" t="str">
        <f>IF(K1999="","",RANK(K1999,$K$2:$K$3001,0)+COUNTIF($K$2:K1999,K1999)-1)</f>
        <v/>
      </c>
    </row>
    <row r="2000">
      <c r="B2000" t="str">
        <f>IFERROR(IF(A2000="","","="&amp;SUBSTITUTE(SUBSTITUTE(SUBSTITUTE(A2000,"~","~~"),"*","~*"),"?","~?")),"")</f>
        <v/>
      </c>
      <c r="C2000" t="str">
        <f>IF($B2000="","",SUMIFS(dAmt,dCust,$B2000,dPer,"&gt;="&amp;pyFrom,dPer,"&lt;="&amp;pyTo,dAmt,"&gt;-1E+300",dFlt1,critFlt1,dFlt2,critFlt2,dFlt3,critFlt3))</f>
        <v/>
      </c>
      <c r="D2000" t="str">
        <f>IF($B2000="","",SUMIFS(dAmt,dCust,$B2000,dPer,"&gt;="&amp;cyFrom,dPer,"&lt;="&amp;cyTo,dAmt,"&gt;-1E+300",dFlt1,critFlt1,dFlt2,critFlt2,dFlt3,critFlt3))</f>
        <v/>
      </c>
      <c r="E2000" t="str">
        <f>IF($B2000="","",SUMIFS(dQty,dCust,$B2000,dPer,"&gt;="&amp;pyFrom,dPer,"&lt;="&amp;pyTo,dQty,"&gt;-1E+300",dFlt1,critFlt1,dFlt2,critFlt2,dFlt3,critFlt3))</f>
        <v/>
      </c>
      <c r="F2000" t="str">
        <f>IF($B2000="","",SUMIFS(dQty,dCust,$B2000,dPer,"&gt;="&amp;cyFrom,dPer,"&lt;="&amp;cyTo,dQty,"&gt;-1E+300",dFlt1,critFlt1,dFlt2,critFlt2,dFlt3,critFlt3))</f>
        <v/>
      </c>
      <c r="G2000">
        <f>IF($B2000="",0,IFERROR(IF(OR(C2000&lt;&gt;0,D2000&lt;&gt;0,E2000&lt;&gt;0,F2000&lt;&gt;0),1,0),1))</f>
        <v>0</v>
      </c>
      <c r="H2000" t="str">
        <f>IF(OR(G2000=0,E2000=0),"",C2000/E2000)</f>
        <v/>
      </c>
      <c r="I2000" t="str">
        <f>IF(OR(G2000=0,F2000=0),"",D2000/F2000)</f>
        <v/>
      </c>
      <c r="J2000" t="str">
        <f>IF(OR(H2000="",I2000=""),"",IF(H2000=0,"",I2000/H2000-1))</f>
        <v/>
      </c>
      <c r="K2000" t="str">
        <f>IF($B2000="","",IFERROR(IF(G2000=0,-2E+300,CHOOSE(sortIdx,ROUND(D2000,0),IF(J2000="",-1E+300,ROUND(-J2000,6)),IF(J2000="",-1E+300,ROUND(J2000,6)))),-1.5E+300))</f>
        <v/>
      </c>
      <c r="L2000" t="str">
        <f>IF(K2000="","",RANK(K2000,$K$2:$K$3001,0)+COUNTIF($K$2:K2000,K2000)-1)</f>
        <v/>
      </c>
    </row>
    <row r="2001">
      <c r="B2001" t="str">
        <f>IFERROR(IF(A2001="","","="&amp;SUBSTITUTE(SUBSTITUTE(SUBSTITUTE(A2001,"~","~~"),"*","~*"),"?","~?")),"")</f>
        <v/>
      </c>
      <c r="C2001" t="str">
        <f>IF($B2001="","",SUMIFS(dAmt,dCust,$B2001,dPer,"&gt;="&amp;pyFrom,dPer,"&lt;="&amp;pyTo,dAmt,"&gt;-1E+300",dFlt1,critFlt1,dFlt2,critFlt2,dFlt3,critFlt3))</f>
        <v/>
      </c>
      <c r="D2001" t="str">
        <f>IF($B2001="","",SUMIFS(dAmt,dCust,$B2001,dPer,"&gt;="&amp;cyFrom,dPer,"&lt;="&amp;cyTo,dAmt,"&gt;-1E+300",dFlt1,critFlt1,dFlt2,critFlt2,dFlt3,critFlt3))</f>
        <v/>
      </c>
      <c r="E2001" t="str">
        <f>IF($B2001="","",SUMIFS(dQty,dCust,$B2001,dPer,"&gt;="&amp;pyFrom,dPer,"&lt;="&amp;pyTo,dQty,"&gt;-1E+300",dFlt1,critFlt1,dFlt2,critFlt2,dFlt3,critFlt3))</f>
        <v/>
      </c>
      <c r="F2001" t="str">
        <f>IF($B2001="","",SUMIFS(dQty,dCust,$B2001,dPer,"&gt;="&amp;cyFrom,dPer,"&lt;="&amp;cyTo,dQty,"&gt;-1E+300",dFlt1,critFlt1,dFlt2,critFlt2,dFlt3,critFlt3))</f>
        <v/>
      </c>
      <c r="G2001">
        <f>IF($B2001="",0,IFERROR(IF(OR(C2001&lt;&gt;0,D2001&lt;&gt;0,E2001&lt;&gt;0,F2001&lt;&gt;0),1,0),1))</f>
        <v>0</v>
      </c>
      <c r="H2001" t="str">
        <f>IF(OR(G2001=0,E2001=0),"",C2001/E2001)</f>
        <v/>
      </c>
      <c r="I2001" t="str">
        <f>IF(OR(G2001=0,F2001=0),"",D2001/F2001)</f>
        <v/>
      </c>
      <c r="J2001" t="str">
        <f>IF(OR(H2001="",I2001=""),"",IF(H2001=0,"",I2001/H2001-1))</f>
        <v/>
      </c>
      <c r="K2001" t="str">
        <f>IF($B2001="","",IFERROR(IF(G2001=0,-2E+300,CHOOSE(sortIdx,ROUND(D2001,0),IF(J2001="",-1E+300,ROUND(-J2001,6)),IF(J2001="",-1E+300,ROUND(J2001,6)))),-1.5E+300))</f>
        <v/>
      </c>
      <c r="L2001" t="str">
        <f>IF(K2001="","",RANK(K2001,$K$2:$K$3001,0)+COUNTIF($K$2:K2001,K2001)-1)</f>
        <v/>
      </c>
    </row>
    <row r="2002">
      <c r="B2002" t="str">
        <f>IFERROR(IF(A2002="","","="&amp;SUBSTITUTE(SUBSTITUTE(SUBSTITUTE(A2002,"~","~~"),"*","~*"),"?","~?")),"")</f>
        <v/>
      </c>
      <c r="C2002" t="str">
        <f>IF($B2002="","",SUMIFS(dAmt,dCust,$B2002,dPer,"&gt;="&amp;pyFrom,dPer,"&lt;="&amp;pyTo,dAmt,"&gt;-1E+300",dFlt1,critFlt1,dFlt2,critFlt2,dFlt3,critFlt3))</f>
        <v/>
      </c>
      <c r="D2002" t="str">
        <f>IF($B2002="","",SUMIFS(dAmt,dCust,$B2002,dPer,"&gt;="&amp;cyFrom,dPer,"&lt;="&amp;cyTo,dAmt,"&gt;-1E+300",dFlt1,critFlt1,dFlt2,critFlt2,dFlt3,critFlt3))</f>
        <v/>
      </c>
      <c r="E2002" t="str">
        <f>IF($B2002="","",SUMIFS(dQty,dCust,$B2002,dPer,"&gt;="&amp;pyFrom,dPer,"&lt;="&amp;pyTo,dQty,"&gt;-1E+300",dFlt1,critFlt1,dFlt2,critFlt2,dFlt3,critFlt3))</f>
        <v/>
      </c>
      <c r="F2002" t="str">
        <f>IF($B2002="","",SUMIFS(dQty,dCust,$B2002,dPer,"&gt;="&amp;cyFrom,dPer,"&lt;="&amp;cyTo,dQty,"&gt;-1E+300",dFlt1,critFlt1,dFlt2,critFlt2,dFlt3,critFlt3))</f>
        <v/>
      </c>
      <c r="G2002">
        <f>IF($B2002="",0,IFERROR(IF(OR(C2002&lt;&gt;0,D2002&lt;&gt;0,E2002&lt;&gt;0,F2002&lt;&gt;0),1,0),1))</f>
        <v>0</v>
      </c>
      <c r="H2002" t="str">
        <f>IF(OR(G2002=0,E2002=0),"",C2002/E2002)</f>
        <v/>
      </c>
      <c r="I2002" t="str">
        <f>IF(OR(G2002=0,F2002=0),"",D2002/F2002)</f>
        <v/>
      </c>
      <c r="J2002" t="str">
        <f>IF(OR(H2002="",I2002=""),"",IF(H2002=0,"",I2002/H2002-1))</f>
        <v/>
      </c>
      <c r="K2002" t="str">
        <f>IF($B2002="","",IFERROR(IF(G2002=0,-2E+300,CHOOSE(sortIdx,ROUND(D2002,0),IF(J2002="",-1E+300,ROUND(-J2002,6)),IF(J2002="",-1E+300,ROUND(J2002,6)))),-1.5E+300))</f>
        <v/>
      </c>
      <c r="L2002" t="str">
        <f>IF(K2002="","",RANK(K2002,$K$2:$K$3001,0)+COUNTIF($K$2:K2002,K2002)-1)</f>
        <v/>
      </c>
    </row>
    <row r="2003">
      <c r="B2003" t="str">
        <f>IFERROR(IF(A2003="","","="&amp;SUBSTITUTE(SUBSTITUTE(SUBSTITUTE(A2003,"~","~~"),"*","~*"),"?","~?")),"")</f>
        <v/>
      </c>
      <c r="C2003" t="str">
        <f>IF($B2003="","",SUMIFS(dAmt,dCust,$B2003,dPer,"&gt;="&amp;pyFrom,dPer,"&lt;="&amp;pyTo,dAmt,"&gt;-1E+300",dFlt1,critFlt1,dFlt2,critFlt2,dFlt3,critFlt3))</f>
        <v/>
      </c>
      <c r="D2003" t="str">
        <f>IF($B2003="","",SUMIFS(dAmt,dCust,$B2003,dPer,"&gt;="&amp;cyFrom,dPer,"&lt;="&amp;cyTo,dAmt,"&gt;-1E+300",dFlt1,critFlt1,dFlt2,critFlt2,dFlt3,critFlt3))</f>
        <v/>
      </c>
      <c r="E2003" t="str">
        <f>IF($B2003="","",SUMIFS(dQty,dCust,$B2003,dPer,"&gt;="&amp;pyFrom,dPer,"&lt;="&amp;pyTo,dQty,"&gt;-1E+300",dFlt1,critFlt1,dFlt2,critFlt2,dFlt3,critFlt3))</f>
        <v/>
      </c>
      <c r="F2003" t="str">
        <f>IF($B2003="","",SUMIFS(dQty,dCust,$B2003,dPer,"&gt;="&amp;cyFrom,dPer,"&lt;="&amp;cyTo,dQty,"&gt;-1E+300",dFlt1,critFlt1,dFlt2,critFlt2,dFlt3,critFlt3))</f>
        <v/>
      </c>
      <c r="G2003">
        <f>IF($B2003="",0,IFERROR(IF(OR(C2003&lt;&gt;0,D2003&lt;&gt;0,E2003&lt;&gt;0,F2003&lt;&gt;0),1,0),1))</f>
        <v>0</v>
      </c>
      <c r="H2003" t="str">
        <f>IF(OR(G2003=0,E2003=0),"",C2003/E2003)</f>
        <v/>
      </c>
      <c r="I2003" t="str">
        <f>IF(OR(G2003=0,F2003=0),"",D2003/F2003)</f>
        <v/>
      </c>
      <c r="J2003" t="str">
        <f>IF(OR(H2003="",I2003=""),"",IF(H2003=0,"",I2003/H2003-1))</f>
        <v/>
      </c>
      <c r="K2003" t="str">
        <f>IF($B2003="","",IFERROR(IF(G2003=0,-2E+300,CHOOSE(sortIdx,ROUND(D2003,0),IF(J2003="",-1E+300,ROUND(-J2003,6)),IF(J2003="",-1E+300,ROUND(J2003,6)))),-1.5E+300))</f>
        <v/>
      </c>
      <c r="L2003" t="str">
        <f>IF(K2003="","",RANK(K2003,$K$2:$K$3001,0)+COUNTIF($K$2:K2003,K2003)-1)</f>
        <v/>
      </c>
    </row>
    <row r="2004">
      <c r="B2004" t="str">
        <f>IFERROR(IF(A2004="","","="&amp;SUBSTITUTE(SUBSTITUTE(SUBSTITUTE(A2004,"~","~~"),"*","~*"),"?","~?")),"")</f>
        <v/>
      </c>
      <c r="C2004" t="str">
        <f>IF($B2004="","",SUMIFS(dAmt,dCust,$B2004,dPer,"&gt;="&amp;pyFrom,dPer,"&lt;="&amp;pyTo,dAmt,"&gt;-1E+300",dFlt1,critFlt1,dFlt2,critFlt2,dFlt3,critFlt3))</f>
        <v/>
      </c>
      <c r="D2004" t="str">
        <f>IF($B2004="","",SUMIFS(dAmt,dCust,$B2004,dPer,"&gt;="&amp;cyFrom,dPer,"&lt;="&amp;cyTo,dAmt,"&gt;-1E+300",dFlt1,critFlt1,dFlt2,critFlt2,dFlt3,critFlt3))</f>
        <v/>
      </c>
      <c r="E2004" t="str">
        <f>IF($B2004="","",SUMIFS(dQty,dCust,$B2004,dPer,"&gt;="&amp;pyFrom,dPer,"&lt;="&amp;pyTo,dQty,"&gt;-1E+300",dFlt1,critFlt1,dFlt2,critFlt2,dFlt3,critFlt3))</f>
        <v/>
      </c>
      <c r="F2004" t="str">
        <f>IF($B2004="","",SUMIFS(dQty,dCust,$B2004,dPer,"&gt;="&amp;cyFrom,dPer,"&lt;="&amp;cyTo,dQty,"&gt;-1E+300",dFlt1,critFlt1,dFlt2,critFlt2,dFlt3,critFlt3))</f>
        <v/>
      </c>
      <c r="G2004">
        <f>IF($B2004="",0,IFERROR(IF(OR(C2004&lt;&gt;0,D2004&lt;&gt;0,E2004&lt;&gt;0,F2004&lt;&gt;0),1,0),1))</f>
        <v>0</v>
      </c>
      <c r="H2004" t="str">
        <f>IF(OR(G2004=0,E2004=0),"",C2004/E2004)</f>
        <v/>
      </c>
      <c r="I2004" t="str">
        <f>IF(OR(G2004=0,F2004=0),"",D2004/F2004)</f>
        <v/>
      </c>
      <c r="J2004" t="str">
        <f>IF(OR(H2004="",I2004=""),"",IF(H2004=0,"",I2004/H2004-1))</f>
        <v/>
      </c>
      <c r="K2004" t="str">
        <f>IF($B2004="","",IFERROR(IF(G2004=0,-2E+300,CHOOSE(sortIdx,ROUND(D2004,0),IF(J2004="",-1E+300,ROUND(-J2004,6)),IF(J2004="",-1E+300,ROUND(J2004,6)))),-1.5E+300))</f>
        <v/>
      </c>
      <c r="L2004" t="str">
        <f>IF(K2004="","",RANK(K2004,$K$2:$K$3001,0)+COUNTIF($K$2:K2004,K2004)-1)</f>
        <v/>
      </c>
    </row>
    <row r="2005">
      <c r="B2005" t="str">
        <f>IFERROR(IF(A2005="","","="&amp;SUBSTITUTE(SUBSTITUTE(SUBSTITUTE(A2005,"~","~~"),"*","~*"),"?","~?")),"")</f>
        <v/>
      </c>
      <c r="C2005" t="str">
        <f>IF($B2005="","",SUMIFS(dAmt,dCust,$B2005,dPer,"&gt;="&amp;pyFrom,dPer,"&lt;="&amp;pyTo,dAmt,"&gt;-1E+300",dFlt1,critFlt1,dFlt2,critFlt2,dFlt3,critFlt3))</f>
        <v/>
      </c>
      <c r="D2005" t="str">
        <f>IF($B2005="","",SUMIFS(dAmt,dCust,$B2005,dPer,"&gt;="&amp;cyFrom,dPer,"&lt;="&amp;cyTo,dAmt,"&gt;-1E+300",dFlt1,critFlt1,dFlt2,critFlt2,dFlt3,critFlt3))</f>
        <v/>
      </c>
      <c r="E2005" t="str">
        <f>IF($B2005="","",SUMIFS(dQty,dCust,$B2005,dPer,"&gt;="&amp;pyFrom,dPer,"&lt;="&amp;pyTo,dQty,"&gt;-1E+300",dFlt1,critFlt1,dFlt2,critFlt2,dFlt3,critFlt3))</f>
        <v/>
      </c>
      <c r="F2005" t="str">
        <f>IF($B2005="","",SUMIFS(dQty,dCust,$B2005,dPer,"&gt;="&amp;cyFrom,dPer,"&lt;="&amp;cyTo,dQty,"&gt;-1E+300",dFlt1,critFlt1,dFlt2,critFlt2,dFlt3,critFlt3))</f>
        <v/>
      </c>
      <c r="G2005">
        <f>IF($B2005="",0,IFERROR(IF(OR(C2005&lt;&gt;0,D2005&lt;&gt;0,E2005&lt;&gt;0,F2005&lt;&gt;0),1,0),1))</f>
        <v>0</v>
      </c>
      <c r="H2005" t="str">
        <f>IF(OR(G2005=0,E2005=0),"",C2005/E2005)</f>
        <v/>
      </c>
      <c r="I2005" t="str">
        <f>IF(OR(G2005=0,F2005=0),"",D2005/F2005)</f>
        <v/>
      </c>
      <c r="J2005" t="str">
        <f>IF(OR(H2005="",I2005=""),"",IF(H2005=0,"",I2005/H2005-1))</f>
        <v/>
      </c>
      <c r="K2005" t="str">
        <f>IF($B2005="","",IFERROR(IF(G2005=0,-2E+300,CHOOSE(sortIdx,ROUND(D2005,0),IF(J2005="",-1E+300,ROUND(-J2005,6)),IF(J2005="",-1E+300,ROUND(J2005,6)))),-1.5E+300))</f>
        <v/>
      </c>
      <c r="L2005" t="str">
        <f>IF(K2005="","",RANK(K2005,$K$2:$K$3001,0)+COUNTIF($K$2:K2005,K2005)-1)</f>
        <v/>
      </c>
    </row>
    <row r="2006">
      <c r="B2006" t="str">
        <f>IFERROR(IF(A2006="","","="&amp;SUBSTITUTE(SUBSTITUTE(SUBSTITUTE(A2006,"~","~~"),"*","~*"),"?","~?")),"")</f>
        <v/>
      </c>
      <c r="C2006" t="str">
        <f>IF($B2006="","",SUMIFS(dAmt,dCust,$B2006,dPer,"&gt;="&amp;pyFrom,dPer,"&lt;="&amp;pyTo,dAmt,"&gt;-1E+300",dFlt1,critFlt1,dFlt2,critFlt2,dFlt3,critFlt3))</f>
        <v/>
      </c>
      <c r="D2006" t="str">
        <f>IF($B2006="","",SUMIFS(dAmt,dCust,$B2006,dPer,"&gt;="&amp;cyFrom,dPer,"&lt;="&amp;cyTo,dAmt,"&gt;-1E+300",dFlt1,critFlt1,dFlt2,critFlt2,dFlt3,critFlt3))</f>
        <v/>
      </c>
      <c r="E2006" t="str">
        <f>IF($B2006="","",SUMIFS(dQty,dCust,$B2006,dPer,"&gt;="&amp;pyFrom,dPer,"&lt;="&amp;pyTo,dQty,"&gt;-1E+300",dFlt1,critFlt1,dFlt2,critFlt2,dFlt3,critFlt3))</f>
        <v/>
      </c>
      <c r="F2006" t="str">
        <f>IF($B2006="","",SUMIFS(dQty,dCust,$B2006,dPer,"&gt;="&amp;cyFrom,dPer,"&lt;="&amp;cyTo,dQty,"&gt;-1E+300",dFlt1,critFlt1,dFlt2,critFlt2,dFlt3,critFlt3))</f>
        <v/>
      </c>
      <c r="G2006">
        <f>IF($B2006="",0,IFERROR(IF(OR(C2006&lt;&gt;0,D2006&lt;&gt;0,E2006&lt;&gt;0,F2006&lt;&gt;0),1,0),1))</f>
        <v>0</v>
      </c>
      <c r="H2006" t="str">
        <f>IF(OR(G2006=0,E2006=0),"",C2006/E2006)</f>
        <v/>
      </c>
      <c r="I2006" t="str">
        <f>IF(OR(G2006=0,F2006=0),"",D2006/F2006)</f>
        <v/>
      </c>
      <c r="J2006" t="str">
        <f>IF(OR(H2006="",I2006=""),"",IF(H2006=0,"",I2006/H2006-1))</f>
        <v/>
      </c>
      <c r="K2006" t="str">
        <f>IF($B2006="","",IFERROR(IF(G2006=0,-2E+300,CHOOSE(sortIdx,ROUND(D2006,0),IF(J2006="",-1E+300,ROUND(-J2006,6)),IF(J2006="",-1E+300,ROUND(J2006,6)))),-1.5E+300))</f>
        <v/>
      </c>
      <c r="L2006" t="str">
        <f>IF(K2006="","",RANK(K2006,$K$2:$K$3001,0)+COUNTIF($K$2:K2006,K2006)-1)</f>
        <v/>
      </c>
    </row>
    <row r="2007">
      <c r="B2007" t="str">
        <f>IFERROR(IF(A2007="","","="&amp;SUBSTITUTE(SUBSTITUTE(SUBSTITUTE(A2007,"~","~~"),"*","~*"),"?","~?")),"")</f>
        <v/>
      </c>
      <c r="C2007" t="str">
        <f>IF($B2007="","",SUMIFS(dAmt,dCust,$B2007,dPer,"&gt;="&amp;pyFrom,dPer,"&lt;="&amp;pyTo,dAmt,"&gt;-1E+300",dFlt1,critFlt1,dFlt2,critFlt2,dFlt3,critFlt3))</f>
        <v/>
      </c>
      <c r="D2007" t="str">
        <f>IF($B2007="","",SUMIFS(dAmt,dCust,$B2007,dPer,"&gt;="&amp;cyFrom,dPer,"&lt;="&amp;cyTo,dAmt,"&gt;-1E+300",dFlt1,critFlt1,dFlt2,critFlt2,dFlt3,critFlt3))</f>
        <v/>
      </c>
      <c r="E2007" t="str">
        <f>IF($B2007="","",SUMIFS(dQty,dCust,$B2007,dPer,"&gt;="&amp;pyFrom,dPer,"&lt;="&amp;pyTo,dQty,"&gt;-1E+300",dFlt1,critFlt1,dFlt2,critFlt2,dFlt3,critFlt3))</f>
        <v/>
      </c>
      <c r="F2007" t="str">
        <f>IF($B2007="","",SUMIFS(dQty,dCust,$B2007,dPer,"&gt;="&amp;cyFrom,dPer,"&lt;="&amp;cyTo,dQty,"&gt;-1E+300",dFlt1,critFlt1,dFlt2,critFlt2,dFlt3,critFlt3))</f>
        <v/>
      </c>
      <c r="G2007">
        <f>IF($B2007="",0,IFERROR(IF(OR(C2007&lt;&gt;0,D2007&lt;&gt;0,E2007&lt;&gt;0,F2007&lt;&gt;0),1,0),1))</f>
        <v>0</v>
      </c>
      <c r="H2007" t="str">
        <f>IF(OR(G2007=0,E2007=0),"",C2007/E2007)</f>
        <v/>
      </c>
      <c r="I2007" t="str">
        <f>IF(OR(G2007=0,F2007=0),"",D2007/F2007)</f>
        <v/>
      </c>
      <c r="J2007" t="str">
        <f>IF(OR(H2007="",I2007=""),"",IF(H2007=0,"",I2007/H2007-1))</f>
        <v/>
      </c>
      <c r="K2007" t="str">
        <f>IF($B2007="","",IFERROR(IF(G2007=0,-2E+300,CHOOSE(sortIdx,ROUND(D2007,0),IF(J2007="",-1E+300,ROUND(-J2007,6)),IF(J2007="",-1E+300,ROUND(J2007,6)))),-1.5E+300))</f>
        <v/>
      </c>
      <c r="L2007" t="str">
        <f>IF(K2007="","",RANK(K2007,$K$2:$K$3001,0)+COUNTIF($K$2:K2007,K2007)-1)</f>
        <v/>
      </c>
    </row>
    <row r="2008">
      <c r="B2008" t="str">
        <f>IFERROR(IF(A2008="","","="&amp;SUBSTITUTE(SUBSTITUTE(SUBSTITUTE(A2008,"~","~~"),"*","~*"),"?","~?")),"")</f>
        <v/>
      </c>
      <c r="C2008" t="str">
        <f>IF($B2008="","",SUMIFS(dAmt,dCust,$B2008,dPer,"&gt;="&amp;pyFrom,dPer,"&lt;="&amp;pyTo,dAmt,"&gt;-1E+300",dFlt1,critFlt1,dFlt2,critFlt2,dFlt3,critFlt3))</f>
        <v/>
      </c>
      <c r="D2008" t="str">
        <f>IF($B2008="","",SUMIFS(dAmt,dCust,$B2008,dPer,"&gt;="&amp;cyFrom,dPer,"&lt;="&amp;cyTo,dAmt,"&gt;-1E+300",dFlt1,critFlt1,dFlt2,critFlt2,dFlt3,critFlt3))</f>
        <v/>
      </c>
      <c r="E2008" t="str">
        <f>IF($B2008="","",SUMIFS(dQty,dCust,$B2008,dPer,"&gt;="&amp;pyFrom,dPer,"&lt;="&amp;pyTo,dQty,"&gt;-1E+300",dFlt1,critFlt1,dFlt2,critFlt2,dFlt3,critFlt3))</f>
        <v/>
      </c>
      <c r="F2008" t="str">
        <f>IF($B2008="","",SUMIFS(dQty,dCust,$B2008,dPer,"&gt;="&amp;cyFrom,dPer,"&lt;="&amp;cyTo,dQty,"&gt;-1E+300",dFlt1,critFlt1,dFlt2,critFlt2,dFlt3,critFlt3))</f>
        <v/>
      </c>
      <c r="G2008">
        <f>IF($B2008="",0,IFERROR(IF(OR(C2008&lt;&gt;0,D2008&lt;&gt;0,E2008&lt;&gt;0,F2008&lt;&gt;0),1,0),1))</f>
        <v>0</v>
      </c>
      <c r="H2008" t="str">
        <f>IF(OR(G2008=0,E2008=0),"",C2008/E2008)</f>
        <v/>
      </c>
      <c r="I2008" t="str">
        <f>IF(OR(G2008=0,F2008=0),"",D2008/F2008)</f>
        <v/>
      </c>
      <c r="J2008" t="str">
        <f>IF(OR(H2008="",I2008=""),"",IF(H2008=0,"",I2008/H2008-1))</f>
        <v/>
      </c>
      <c r="K2008" t="str">
        <f>IF($B2008="","",IFERROR(IF(G2008=0,-2E+300,CHOOSE(sortIdx,ROUND(D2008,0),IF(J2008="",-1E+300,ROUND(-J2008,6)),IF(J2008="",-1E+300,ROUND(J2008,6)))),-1.5E+300))</f>
        <v/>
      </c>
      <c r="L2008" t="str">
        <f>IF(K2008="","",RANK(K2008,$K$2:$K$3001,0)+COUNTIF($K$2:K2008,K2008)-1)</f>
        <v/>
      </c>
    </row>
    <row r="2009">
      <c r="B2009" t="str">
        <f>IFERROR(IF(A2009="","","="&amp;SUBSTITUTE(SUBSTITUTE(SUBSTITUTE(A2009,"~","~~"),"*","~*"),"?","~?")),"")</f>
        <v/>
      </c>
      <c r="C2009" t="str">
        <f>IF($B2009="","",SUMIFS(dAmt,dCust,$B2009,dPer,"&gt;="&amp;pyFrom,dPer,"&lt;="&amp;pyTo,dAmt,"&gt;-1E+300",dFlt1,critFlt1,dFlt2,critFlt2,dFlt3,critFlt3))</f>
        <v/>
      </c>
      <c r="D2009" t="str">
        <f>IF($B2009="","",SUMIFS(dAmt,dCust,$B2009,dPer,"&gt;="&amp;cyFrom,dPer,"&lt;="&amp;cyTo,dAmt,"&gt;-1E+300",dFlt1,critFlt1,dFlt2,critFlt2,dFlt3,critFlt3))</f>
        <v/>
      </c>
      <c r="E2009" t="str">
        <f>IF($B2009="","",SUMIFS(dQty,dCust,$B2009,dPer,"&gt;="&amp;pyFrom,dPer,"&lt;="&amp;pyTo,dQty,"&gt;-1E+300",dFlt1,critFlt1,dFlt2,critFlt2,dFlt3,critFlt3))</f>
        <v/>
      </c>
      <c r="F2009" t="str">
        <f>IF($B2009="","",SUMIFS(dQty,dCust,$B2009,dPer,"&gt;="&amp;cyFrom,dPer,"&lt;="&amp;cyTo,dQty,"&gt;-1E+300",dFlt1,critFlt1,dFlt2,critFlt2,dFlt3,critFlt3))</f>
        <v/>
      </c>
      <c r="G2009">
        <f>IF($B2009="",0,IFERROR(IF(OR(C2009&lt;&gt;0,D2009&lt;&gt;0,E2009&lt;&gt;0,F2009&lt;&gt;0),1,0),1))</f>
        <v>0</v>
      </c>
      <c r="H2009" t="str">
        <f>IF(OR(G2009=0,E2009=0),"",C2009/E2009)</f>
        <v/>
      </c>
      <c r="I2009" t="str">
        <f>IF(OR(G2009=0,F2009=0),"",D2009/F2009)</f>
        <v/>
      </c>
      <c r="J2009" t="str">
        <f>IF(OR(H2009="",I2009=""),"",IF(H2009=0,"",I2009/H2009-1))</f>
        <v/>
      </c>
      <c r="K2009" t="str">
        <f>IF($B2009="","",IFERROR(IF(G2009=0,-2E+300,CHOOSE(sortIdx,ROUND(D2009,0),IF(J2009="",-1E+300,ROUND(-J2009,6)),IF(J2009="",-1E+300,ROUND(J2009,6)))),-1.5E+300))</f>
        <v/>
      </c>
      <c r="L2009" t="str">
        <f>IF(K2009="","",RANK(K2009,$K$2:$K$3001,0)+COUNTIF($K$2:K2009,K2009)-1)</f>
        <v/>
      </c>
    </row>
    <row r="2010">
      <c r="B2010" t="str">
        <f>IFERROR(IF(A2010="","","="&amp;SUBSTITUTE(SUBSTITUTE(SUBSTITUTE(A2010,"~","~~"),"*","~*"),"?","~?")),"")</f>
        <v/>
      </c>
      <c r="C2010" t="str">
        <f>IF($B2010="","",SUMIFS(dAmt,dCust,$B2010,dPer,"&gt;="&amp;pyFrom,dPer,"&lt;="&amp;pyTo,dAmt,"&gt;-1E+300",dFlt1,critFlt1,dFlt2,critFlt2,dFlt3,critFlt3))</f>
        <v/>
      </c>
      <c r="D2010" t="str">
        <f>IF($B2010="","",SUMIFS(dAmt,dCust,$B2010,dPer,"&gt;="&amp;cyFrom,dPer,"&lt;="&amp;cyTo,dAmt,"&gt;-1E+300",dFlt1,critFlt1,dFlt2,critFlt2,dFlt3,critFlt3))</f>
        <v/>
      </c>
      <c r="E2010" t="str">
        <f>IF($B2010="","",SUMIFS(dQty,dCust,$B2010,dPer,"&gt;="&amp;pyFrom,dPer,"&lt;="&amp;pyTo,dQty,"&gt;-1E+300",dFlt1,critFlt1,dFlt2,critFlt2,dFlt3,critFlt3))</f>
        <v/>
      </c>
      <c r="F2010" t="str">
        <f>IF($B2010="","",SUMIFS(dQty,dCust,$B2010,dPer,"&gt;="&amp;cyFrom,dPer,"&lt;="&amp;cyTo,dQty,"&gt;-1E+300",dFlt1,critFlt1,dFlt2,critFlt2,dFlt3,critFlt3))</f>
        <v/>
      </c>
      <c r="G2010">
        <f>IF($B2010="",0,IFERROR(IF(OR(C2010&lt;&gt;0,D2010&lt;&gt;0,E2010&lt;&gt;0,F2010&lt;&gt;0),1,0),1))</f>
        <v>0</v>
      </c>
      <c r="H2010" t="str">
        <f>IF(OR(G2010=0,E2010=0),"",C2010/E2010)</f>
        <v/>
      </c>
      <c r="I2010" t="str">
        <f>IF(OR(G2010=0,F2010=0),"",D2010/F2010)</f>
        <v/>
      </c>
      <c r="J2010" t="str">
        <f>IF(OR(H2010="",I2010=""),"",IF(H2010=0,"",I2010/H2010-1))</f>
        <v/>
      </c>
      <c r="K2010" t="str">
        <f>IF($B2010="","",IFERROR(IF(G2010=0,-2E+300,CHOOSE(sortIdx,ROUND(D2010,0),IF(J2010="",-1E+300,ROUND(-J2010,6)),IF(J2010="",-1E+300,ROUND(J2010,6)))),-1.5E+300))</f>
        <v/>
      </c>
      <c r="L2010" t="str">
        <f>IF(K2010="","",RANK(K2010,$K$2:$K$3001,0)+COUNTIF($K$2:K2010,K2010)-1)</f>
        <v/>
      </c>
    </row>
    <row r="2011">
      <c r="B2011" t="str">
        <f>IFERROR(IF(A2011="","","="&amp;SUBSTITUTE(SUBSTITUTE(SUBSTITUTE(A2011,"~","~~"),"*","~*"),"?","~?")),"")</f>
        <v/>
      </c>
      <c r="C2011" t="str">
        <f>IF($B2011="","",SUMIFS(dAmt,dCust,$B2011,dPer,"&gt;="&amp;pyFrom,dPer,"&lt;="&amp;pyTo,dAmt,"&gt;-1E+300",dFlt1,critFlt1,dFlt2,critFlt2,dFlt3,critFlt3))</f>
        <v/>
      </c>
      <c r="D2011" t="str">
        <f>IF($B2011="","",SUMIFS(dAmt,dCust,$B2011,dPer,"&gt;="&amp;cyFrom,dPer,"&lt;="&amp;cyTo,dAmt,"&gt;-1E+300",dFlt1,critFlt1,dFlt2,critFlt2,dFlt3,critFlt3))</f>
        <v/>
      </c>
      <c r="E2011" t="str">
        <f>IF($B2011="","",SUMIFS(dQty,dCust,$B2011,dPer,"&gt;="&amp;pyFrom,dPer,"&lt;="&amp;pyTo,dQty,"&gt;-1E+300",dFlt1,critFlt1,dFlt2,critFlt2,dFlt3,critFlt3))</f>
        <v/>
      </c>
      <c r="F2011" t="str">
        <f>IF($B2011="","",SUMIFS(dQty,dCust,$B2011,dPer,"&gt;="&amp;cyFrom,dPer,"&lt;="&amp;cyTo,dQty,"&gt;-1E+300",dFlt1,critFlt1,dFlt2,critFlt2,dFlt3,critFlt3))</f>
        <v/>
      </c>
      <c r="G2011">
        <f>IF($B2011="",0,IFERROR(IF(OR(C2011&lt;&gt;0,D2011&lt;&gt;0,E2011&lt;&gt;0,F2011&lt;&gt;0),1,0),1))</f>
        <v>0</v>
      </c>
      <c r="H2011" t="str">
        <f>IF(OR(G2011=0,E2011=0),"",C2011/E2011)</f>
        <v/>
      </c>
      <c r="I2011" t="str">
        <f>IF(OR(G2011=0,F2011=0),"",D2011/F2011)</f>
        <v/>
      </c>
      <c r="J2011" t="str">
        <f>IF(OR(H2011="",I2011=""),"",IF(H2011=0,"",I2011/H2011-1))</f>
        <v/>
      </c>
      <c r="K2011" t="str">
        <f>IF($B2011="","",IFERROR(IF(G2011=0,-2E+300,CHOOSE(sortIdx,ROUND(D2011,0),IF(J2011="",-1E+300,ROUND(-J2011,6)),IF(J2011="",-1E+300,ROUND(J2011,6)))),-1.5E+300))</f>
        <v/>
      </c>
      <c r="L2011" t="str">
        <f>IF(K2011="","",RANK(K2011,$K$2:$K$3001,0)+COUNTIF($K$2:K2011,K2011)-1)</f>
        <v/>
      </c>
    </row>
    <row r="2012">
      <c r="B2012" t="str">
        <f>IFERROR(IF(A2012="","","="&amp;SUBSTITUTE(SUBSTITUTE(SUBSTITUTE(A2012,"~","~~"),"*","~*"),"?","~?")),"")</f>
        <v/>
      </c>
      <c r="C2012" t="str">
        <f>IF($B2012="","",SUMIFS(dAmt,dCust,$B2012,dPer,"&gt;="&amp;pyFrom,dPer,"&lt;="&amp;pyTo,dAmt,"&gt;-1E+300",dFlt1,critFlt1,dFlt2,critFlt2,dFlt3,critFlt3))</f>
        <v/>
      </c>
      <c r="D2012" t="str">
        <f>IF($B2012="","",SUMIFS(dAmt,dCust,$B2012,dPer,"&gt;="&amp;cyFrom,dPer,"&lt;="&amp;cyTo,dAmt,"&gt;-1E+300",dFlt1,critFlt1,dFlt2,critFlt2,dFlt3,critFlt3))</f>
        <v/>
      </c>
      <c r="E2012" t="str">
        <f>IF($B2012="","",SUMIFS(dQty,dCust,$B2012,dPer,"&gt;="&amp;pyFrom,dPer,"&lt;="&amp;pyTo,dQty,"&gt;-1E+300",dFlt1,critFlt1,dFlt2,critFlt2,dFlt3,critFlt3))</f>
        <v/>
      </c>
      <c r="F2012" t="str">
        <f>IF($B2012="","",SUMIFS(dQty,dCust,$B2012,dPer,"&gt;="&amp;cyFrom,dPer,"&lt;="&amp;cyTo,dQty,"&gt;-1E+300",dFlt1,critFlt1,dFlt2,critFlt2,dFlt3,critFlt3))</f>
        <v/>
      </c>
      <c r="G2012">
        <f>IF($B2012="",0,IFERROR(IF(OR(C2012&lt;&gt;0,D2012&lt;&gt;0,E2012&lt;&gt;0,F2012&lt;&gt;0),1,0),1))</f>
        <v>0</v>
      </c>
      <c r="H2012" t="str">
        <f>IF(OR(G2012=0,E2012=0),"",C2012/E2012)</f>
        <v/>
      </c>
      <c r="I2012" t="str">
        <f>IF(OR(G2012=0,F2012=0),"",D2012/F2012)</f>
        <v/>
      </c>
      <c r="J2012" t="str">
        <f>IF(OR(H2012="",I2012=""),"",IF(H2012=0,"",I2012/H2012-1))</f>
        <v/>
      </c>
      <c r="K2012" t="str">
        <f>IF($B2012="","",IFERROR(IF(G2012=0,-2E+300,CHOOSE(sortIdx,ROUND(D2012,0),IF(J2012="",-1E+300,ROUND(-J2012,6)),IF(J2012="",-1E+300,ROUND(J2012,6)))),-1.5E+300))</f>
        <v/>
      </c>
      <c r="L2012" t="str">
        <f>IF(K2012="","",RANK(K2012,$K$2:$K$3001,0)+COUNTIF($K$2:K2012,K2012)-1)</f>
        <v/>
      </c>
    </row>
    <row r="2013">
      <c r="B2013" t="str">
        <f>IFERROR(IF(A2013="","","="&amp;SUBSTITUTE(SUBSTITUTE(SUBSTITUTE(A2013,"~","~~"),"*","~*"),"?","~?")),"")</f>
        <v/>
      </c>
      <c r="C2013" t="str">
        <f>IF($B2013="","",SUMIFS(dAmt,dCust,$B2013,dPer,"&gt;="&amp;pyFrom,dPer,"&lt;="&amp;pyTo,dAmt,"&gt;-1E+300",dFlt1,critFlt1,dFlt2,critFlt2,dFlt3,critFlt3))</f>
        <v/>
      </c>
      <c r="D2013" t="str">
        <f>IF($B2013="","",SUMIFS(dAmt,dCust,$B2013,dPer,"&gt;="&amp;cyFrom,dPer,"&lt;="&amp;cyTo,dAmt,"&gt;-1E+300",dFlt1,critFlt1,dFlt2,critFlt2,dFlt3,critFlt3))</f>
        <v/>
      </c>
      <c r="E2013" t="str">
        <f>IF($B2013="","",SUMIFS(dQty,dCust,$B2013,dPer,"&gt;="&amp;pyFrom,dPer,"&lt;="&amp;pyTo,dQty,"&gt;-1E+300",dFlt1,critFlt1,dFlt2,critFlt2,dFlt3,critFlt3))</f>
        <v/>
      </c>
      <c r="F2013" t="str">
        <f>IF($B2013="","",SUMIFS(dQty,dCust,$B2013,dPer,"&gt;="&amp;cyFrom,dPer,"&lt;="&amp;cyTo,dQty,"&gt;-1E+300",dFlt1,critFlt1,dFlt2,critFlt2,dFlt3,critFlt3))</f>
        <v/>
      </c>
      <c r="G2013">
        <f>IF($B2013="",0,IFERROR(IF(OR(C2013&lt;&gt;0,D2013&lt;&gt;0,E2013&lt;&gt;0,F2013&lt;&gt;0),1,0),1))</f>
        <v>0</v>
      </c>
      <c r="H2013" t="str">
        <f>IF(OR(G2013=0,E2013=0),"",C2013/E2013)</f>
        <v/>
      </c>
      <c r="I2013" t="str">
        <f>IF(OR(G2013=0,F2013=0),"",D2013/F2013)</f>
        <v/>
      </c>
      <c r="J2013" t="str">
        <f>IF(OR(H2013="",I2013=""),"",IF(H2013=0,"",I2013/H2013-1))</f>
        <v/>
      </c>
      <c r="K2013" t="str">
        <f>IF($B2013="","",IFERROR(IF(G2013=0,-2E+300,CHOOSE(sortIdx,ROUND(D2013,0),IF(J2013="",-1E+300,ROUND(-J2013,6)),IF(J2013="",-1E+300,ROUND(J2013,6)))),-1.5E+300))</f>
        <v/>
      </c>
      <c r="L2013" t="str">
        <f>IF(K2013="","",RANK(K2013,$K$2:$K$3001,0)+COUNTIF($K$2:K2013,K2013)-1)</f>
        <v/>
      </c>
    </row>
    <row r="2014">
      <c r="B2014" t="str">
        <f>IFERROR(IF(A2014="","","="&amp;SUBSTITUTE(SUBSTITUTE(SUBSTITUTE(A2014,"~","~~"),"*","~*"),"?","~?")),"")</f>
        <v/>
      </c>
      <c r="C2014" t="str">
        <f>IF($B2014="","",SUMIFS(dAmt,dCust,$B2014,dPer,"&gt;="&amp;pyFrom,dPer,"&lt;="&amp;pyTo,dAmt,"&gt;-1E+300",dFlt1,critFlt1,dFlt2,critFlt2,dFlt3,critFlt3))</f>
        <v/>
      </c>
      <c r="D2014" t="str">
        <f>IF($B2014="","",SUMIFS(dAmt,dCust,$B2014,dPer,"&gt;="&amp;cyFrom,dPer,"&lt;="&amp;cyTo,dAmt,"&gt;-1E+300",dFlt1,critFlt1,dFlt2,critFlt2,dFlt3,critFlt3))</f>
        <v/>
      </c>
      <c r="E2014" t="str">
        <f>IF($B2014="","",SUMIFS(dQty,dCust,$B2014,dPer,"&gt;="&amp;pyFrom,dPer,"&lt;="&amp;pyTo,dQty,"&gt;-1E+300",dFlt1,critFlt1,dFlt2,critFlt2,dFlt3,critFlt3))</f>
        <v/>
      </c>
      <c r="F2014" t="str">
        <f>IF($B2014="","",SUMIFS(dQty,dCust,$B2014,dPer,"&gt;="&amp;cyFrom,dPer,"&lt;="&amp;cyTo,dQty,"&gt;-1E+300",dFlt1,critFlt1,dFlt2,critFlt2,dFlt3,critFlt3))</f>
        <v/>
      </c>
      <c r="G2014">
        <f>IF($B2014="",0,IFERROR(IF(OR(C2014&lt;&gt;0,D2014&lt;&gt;0,E2014&lt;&gt;0,F2014&lt;&gt;0),1,0),1))</f>
        <v>0</v>
      </c>
      <c r="H2014" t="str">
        <f>IF(OR(G2014=0,E2014=0),"",C2014/E2014)</f>
        <v/>
      </c>
      <c r="I2014" t="str">
        <f>IF(OR(G2014=0,F2014=0),"",D2014/F2014)</f>
        <v/>
      </c>
      <c r="J2014" t="str">
        <f>IF(OR(H2014="",I2014=""),"",IF(H2014=0,"",I2014/H2014-1))</f>
        <v/>
      </c>
      <c r="K2014" t="str">
        <f>IF($B2014="","",IFERROR(IF(G2014=0,-2E+300,CHOOSE(sortIdx,ROUND(D2014,0),IF(J2014="",-1E+300,ROUND(-J2014,6)),IF(J2014="",-1E+300,ROUND(J2014,6)))),-1.5E+300))</f>
        <v/>
      </c>
      <c r="L2014" t="str">
        <f>IF(K2014="","",RANK(K2014,$K$2:$K$3001,0)+COUNTIF($K$2:K2014,K2014)-1)</f>
        <v/>
      </c>
    </row>
    <row r="2015">
      <c r="B2015" t="str">
        <f>IFERROR(IF(A2015="","","="&amp;SUBSTITUTE(SUBSTITUTE(SUBSTITUTE(A2015,"~","~~"),"*","~*"),"?","~?")),"")</f>
        <v/>
      </c>
      <c r="C2015" t="str">
        <f>IF($B2015="","",SUMIFS(dAmt,dCust,$B2015,dPer,"&gt;="&amp;pyFrom,dPer,"&lt;="&amp;pyTo,dAmt,"&gt;-1E+300",dFlt1,critFlt1,dFlt2,critFlt2,dFlt3,critFlt3))</f>
        <v/>
      </c>
      <c r="D2015" t="str">
        <f>IF($B2015="","",SUMIFS(dAmt,dCust,$B2015,dPer,"&gt;="&amp;cyFrom,dPer,"&lt;="&amp;cyTo,dAmt,"&gt;-1E+300",dFlt1,critFlt1,dFlt2,critFlt2,dFlt3,critFlt3))</f>
        <v/>
      </c>
      <c r="E2015" t="str">
        <f>IF($B2015="","",SUMIFS(dQty,dCust,$B2015,dPer,"&gt;="&amp;pyFrom,dPer,"&lt;="&amp;pyTo,dQty,"&gt;-1E+300",dFlt1,critFlt1,dFlt2,critFlt2,dFlt3,critFlt3))</f>
        <v/>
      </c>
      <c r="F2015" t="str">
        <f>IF($B2015="","",SUMIFS(dQty,dCust,$B2015,dPer,"&gt;="&amp;cyFrom,dPer,"&lt;="&amp;cyTo,dQty,"&gt;-1E+300",dFlt1,critFlt1,dFlt2,critFlt2,dFlt3,critFlt3))</f>
        <v/>
      </c>
      <c r="G2015">
        <f>IF($B2015="",0,IFERROR(IF(OR(C2015&lt;&gt;0,D2015&lt;&gt;0,E2015&lt;&gt;0,F2015&lt;&gt;0),1,0),1))</f>
        <v>0</v>
      </c>
      <c r="H2015" t="str">
        <f>IF(OR(G2015=0,E2015=0),"",C2015/E2015)</f>
        <v/>
      </c>
      <c r="I2015" t="str">
        <f>IF(OR(G2015=0,F2015=0),"",D2015/F2015)</f>
        <v/>
      </c>
      <c r="J2015" t="str">
        <f>IF(OR(H2015="",I2015=""),"",IF(H2015=0,"",I2015/H2015-1))</f>
        <v/>
      </c>
      <c r="K2015" t="str">
        <f>IF($B2015="","",IFERROR(IF(G2015=0,-2E+300,CHOOSE(sortIdx,ROUND(D2015,0),IF(J2015="",-1E+300,ROUND(-J2015,6)),IF(J2015="",-1E+300,ROUND(J2015,6)))),-1.5E+300))</f>
        <v/>
      </c>
      <c r="L2015" t="str">
        <f>IF(K2015="","",RANK(K2015,$K$2:$K$3001,0)+COUNTIF($K$2:K2015,K2015)-1)</f>
        <v/>
      </c>
    </row>
    <row r="2016">
      <c r="B2016" t="str">
        <f>IFERROR(IF(A2016="","","="&amp;SUBSTITUTE(SUBSTITUTE(SUBSTITUTE(A2016,"~","~~"),"*","~*"),"?","~?")),"")</f>
        <v/>
      </c>
      <c r="C2016" t="str">
        <f>IF($B2016="","",SUMIFS(dAmt,dCust,$B2016,dPer,"&gt;="&amp;pyFrom,dPer,"&lt;="&amp;pyTo,dAmt,"&gt;-1E+300",dFlt1,critFlt1,dFlt2,critFlt2,dFlt3,critFlt3))</f>
        <v/>
      </c>
      <c r="D2016" t="str">
        <f>IF($B2016="","",SUMIFS(dAmt,dCust,$B2016,dPer,"&gt;="&amp;cyFrom,dPer,"&lt;="&amp;cyTo,dAmt,"&gt;-1E+300",dFlt1,critFlt1,dFlt2,critFlt2,dFlt3,critFlt3))</f>
        <v/>
      </c>
      <c r="E2016" t="str">
        <f>IF($B2016="","",SUMIFS(dQty,dCust,$B2016,dPer,"&gt;="&amp;pyFrom,dPer,"&lt;="&amp;pyTo,dQty,"&gt;-1E+300",dFlt1,critFlt1,dFlt2,critFlt2,dFlt3,critFlt3))</f>
        <v/>
      </c>
      <c r="F2016" t="str">
        <f>IF($B2016="","",SUMIFS(dQty,dCust,$B2016,dPer,"&gt;="&amp;cyFrom,dPer,"&lt;="&amp;cyTo,dQty,"&gt;-1E+300",dFlt1,critFlt1,dFlt2,critFlt2,dFlt3,critFlt3))</f>
        <v/>
      </c>
      <c r="G2016">
        <f>IF($B2016="",0,IFERROR(IF(OR(C2016&lt;&gt;0,D2016&lt;&gt;0,E2016&lt;&gt;0,F2016&lt;&gt;0),1,0),1))</f>
        <v>0</v>
      </c>
      <c r="H2016" t="str">
        <f>IF(OR(G2016=0,E2016=0),"",C2016/E2016)</f>
        <v/>
      </c>
      <c r="I2016" t="str">
        <f>IF(OR(G2016=0,F2016=0),"",D2016/F2016)</f>
        <v/>
      </c>
      <c r="J2016" t="str">
        <f>IF(OR(H2016="",I2016=""),"",IF(H2016=0,"",I2016/H2016-1))</f>
        <v/>
      </c>
      <c r="K2016" t="str">
        <f>IF($B2016="","",IFERROR(IF(G2016=0,-2E+300,CHOOSE(sortIdx,ROUND(D2016,0),IF(J2016="",-1E+300,ROUND(-J2016,6)),IF(J2016="",-1E+300,ROUND(J2016,6)))),-1.5E+300))</f>
        <v/>
      </c>
      <c r="L2016" t="str">
        <f>IF(K2016="","",RANK(K2016,$K$2:$K$3001,0)+COUNTIF($K$2:K2016,K2016)-1)</f>
        <v/>
      </c>
    </row>
    <row r="2017">
      <c r="B2017" t="str">
        <f>IFERROR(IF(A2017="","","="&amp;SUBSTITUTE(SUBSTITUTE(SUBSTITUTE(A2017,"~","~~"),"*","~*"),"?","~?")),"")</f>
        <v/>
      </c>
      <c r="C2017" t="str">
        <f>IF($B2017="","",SUMIFS(dAmt,dCust,$B2017,dPer,"&gt;="&amp;pyFrom,dPer,"&lt;="&amp;pyTo,dAmt,"&gt;-1E+300",dFlt1,critFlt1,dFlt2,critFlt2,dFlt3,critFlt3))</f>
        <v/>
      </c>
      <c r="D2017" t="str">
        <f>IF($B2017="","",SUMIFS(dAmt,dCust,$B2017,dPer,"&gt;="&amp;cyFrom,dPer,"&lt;="&amp;cyTo,dAmt,"&gt;-1E+300",dFlt1,critFlt1,dFlt2,critFlt2,dFlt3,critFlt3))</f>
        <v/>
      </c>
      <c r="E2017" t="str">
        <f>IF($B2017="","",SUMIFS(dQty,dCust,$B2017,dPer,"&gt;="&amp;pyFrom,dPer,"&lt;="&amp;pyTo,dQty,"&gt;-1E+300",dFlt1,critFlt1,dFlt2,critFlt2,dFlt3,critFlt3))</f>
        <v/>
      </c>
      <c r="F2017" t="str">
        <f>IF($B2017="","",SUMIFS(dQty,dCust,$B2017,dPer,"&gt;="&amp;cyFrom,dPer,"&lt;="&amp;cyTo,dQty,"&gt;-1E+300",dFlt1,critFlt1,dFlt2,critFlt2,dFlt3,critFlt3))</f>
        <v/>
      </c>
      <c r="G2017">
        <f>IF($B2017="",0,IFERROR(IF(OR(C2017&lt;&gt;0,D2017&lt;&gt;0,E2017&lt;&gt;0,F2017&lt;&gt;0),1,0),1))</f>
        <v>0</v>
      </c>
      <c r="H2017" t="str">
        <f>IF(OR(G2017=0,E2017=0),"",C2017/E2017)</f>
        <v/>
      </c>
      <c r="I2017" t="str">
        <f>IF(OR(G2017=0,F2017=0),"",D2017/F2017)</f>
        <v/>
      </c>
      <c r="J2017" t="str">
        <f>IF(OR(H2017="",I2017=""),"",IF(H2017=0,"",I2017/H2017-1))</f>
        <v/>
      </c>
      <c r="K2017" t="str">
        <f>IF($B2017="","",IFERROR(IF(G2017=0,-2E+300,CHOOSE(sortIdx,ROUND(D2017,0),IF(J2017="",-1E+300,ROUND(-J2017,6)),IF(J2017="",-1E+300,ROUND(J2017,6)))),-1.5E+300))</f>
        <v/>
      </c>
      <c r="L2017" t="str">
        <f>IF(K2017="","",RANK(K2017,$K$2:$K$3001,0)+COUNTIF($K$2:K2017,K2017)-1)</f>
        <v/>
      </c>
    </row>
    <row r="2018">
      <c r="B2018" t="str">
        <f>IFERROR(IF(A2018="","","="&amp;SUBSTITUTE(SUBSTITUTE(SUBSTITUTE(A2018,"~","~~"),"*","~*"),"?","~?")),"")</f>
        <v/>
      </c>
      <c r="C2018" t="str">
        <f>IF($B2018="","",SUMIFS(dAmt,dCust,$B2018,dPer,"&gt;="&amp;pyFrom,dPer,"&lt;="&amp;pyTo,dAmt,"&gt;-1E+300",dFlt1,critFlt1,dFlt2,critFlt2,dFlt3,critFlt3))</f>
        <v/>
      </c>
      <c r="D2018" t="str">
        <f>IF($B2018="","",SUMIFS(dAmt,dCust,$B2018,dPer,"&gt;="&amp;cyFrom,dPer,"&lt;="&amp;cyTo,dAmt,"&gt;-1E+300",dFlt1,critFlt1,dFlt2,critFlt2,dFlt3,critFlt3))</f>
        <v/>
      </c>
      <c r="E2018" t="str">
        <f>IF($B2018="","",SUMIFS(dQty,dCust,$B2018,dPer,"&gt;="&amp;pyFrom,dPer,"&lt;="&amp;pyTo,dQty,"&gt;-1E+300",dFlt1,critFlt1,dFlt2,critFlt2,dFlt3,critFlt3))</f>
        <v/>
      </c>
      <c r="F2018" t="str">
        <f>IF($B2018="","",SUMIFS(dQty,dCust,$B2018,dPer,"&gt;="&amp;cyFrom,dPer,"&lt;="&amp;cyTo,dQty,"&gt;-1E+300",dFlt1,critFlt1,dFlt2,critFlt2,dFlt3,critFlt3))</f>
        <v/>
      </c>
      <c r="G2018">
        <f>IF($B2018="",0,IFERROR(IF(OR(C2018&lt;&gt;0,D2018&lt;&gt;0,E2018&lt;&gt;0,F2018&lt;&gt;0),1,0),1))</f>
        <v>0</v>
      </c>
      <c r="H2018" t="str">
        <f>IF(OR(G2018=0,E2018=0),"",C2018/E2018)</f>
        <v/>
      </c>
      <c r="I2018" t="str">
        <f>IF(OR(G2018=0,F2018=0),"",D2018/F2018)</f>
        <v/>
      </c>
      <c r="J2018" t="str">
        <f>IF(OR(H2018="",I2018=""),"",IF(H2018=0,"",I2018/H2018-1))</f>
        <v/>
      </c>
      <c r="K2018" t="str">
        <f>IF($B2018="","",IFERROR(IF(G2018=0,-2E+300,CHOOSE(sortIdx,ROUND(D2018,0),IF(J2018="",-1E+300,ROUND(-J2018,6)),IF(J2018="",-1E+300,ROUND(J2018,6)))),-1.5E+300))</f>
        <v/>
      </c>
      <c r="L2018" t="str">
        <f>IF(K2018="","",RANK(K2018,$K$2:$K$3001,0)+COUNTIF($K$2:K2018,K2018)-1)</f>
        <v/>
      </c>
    </row>
    <row r="2019">
      <c r="B2019" t="str">
        <f>IFERROR(IF(A2019="","","="&amp;SUBSTITUTE(SUBSTITUTE(SUBSTITUTE(A2019,"~","~~"),"*","~*"),"?","~?")),"")</f>
        <v/>
      </c>
      <c r="C2019" t="str">
        <f>IF($B2019="","",SUMIFS(dAmt,dCust,$B2019,dPer,"&gt;="&amp;pyFrom,dPer,"&lt;="&amp;pyTo,dAmt,"&gt;-1E+300",dFlt1,critFlt1,dFlt2,critFlt2,dFlt3,critFlt3))</f>
        <v/>
      </c>
      <c r="D2019" t="str">
        <f>IF($B2019="","",SUMIFS(dAmt,dCust,$B2019,dPer,"&gt;="&amp;cyFrom,dPer,"&lt;="&amp;cyTo,dAmt,"&gt;-1E+300",dFlt1,critFlt1,dFlt2,critFlt2,dFlt3,critFlt3))</f>
        <v/>
      </c>
      <c r="E2019" t="str">
        <f>IF($B2019="","",SUMIFS(dQty,dCust,$B2019,dPer,"&gt;="&amp;pyFrom,dPer,"&lt;="&amp;pyTo,dQty,"&gt;-1E+300",dFlt1,critFlt1,dFlt2,critFlt2,dFlt3,critFlt3))</f>
        <v/>
      </c>
      <c r="F2019" t="str">
        <f>IF($B2019="","",SUMIFS(dQty,dCust,$B2019,dPer,"&gt;="&amp;cyFrom,dPer,"&lt;="&amp;cyTo,dQty,"&gt;-1E+300",dFlt1,critFlt1,dFlt2,critFlt2,dFlt3,critFlt3))</f>
        <v/>
      </c>
      <c r="G2019">
        <f>IF($B2019="",0,IFERROR(IF(OR(C2019&lt;&gt;0,D2019&lt;&gt;0,E2019&lt;&gt;0,F2019&lt;&gt;0),1,0),1))</f>
        <v>0</v>
      </c>
      <c r="H2019" t="str">
        <f>IF(OR(G2019=0,E2019=0),"",C2019/E2019)</f>
        <v/>
      </c>
      <c r="I2019" t="str">
        <f>IF(OR(G2019=0,F2019=0),"",D2019/F2019)</f>
        <v/>
      </c>
      <c r="J2019" t="str">
        <f>IF(OR(H2019="",I2019=""),"",IF(H2019=0,"",I2019/H2019-1))</f>
        <v/>
      </c>
      <c r="K2019" t="str">
        <f>IF($B2019="","",IFERROR(IF(G2019=0,-2E+300,CHOOSE(sortIdx,ROUND(D2019,0),IF(J2019="",-1E+300,ROUND(-J2019,6)),IF(J2019="",-1E+300,ROUND(J2019,6)))),-1.5E+300))</f>
        <v/>
      </c>
      <c r="L2019" t="str">
        <f>IF(K2019="","",RANK(K2019,$K$2:$K$3001,0)+COUNTIF($K$2:K2019,K2019)-1)</f>
        <v/>
      </c>
    </row>
    <row r="2020">
      <c r="B2020" t="str">
        <f>IFERROR(IF(A2020="","","="&amp;SUBSTITUTE(SUBSTITUTE(SUBSTITUTE(A2020,"~","~~"),"*","~*"),"?","~?")),"")</f>
        <v/>
      </c>
      <c r="C2020" t="str">
        <f>IF($B2020="","",SUMIFS(dAmt,dCust,$B2020,dPer,"&gt;="&amp;pyFrom,dPer,"&lt;="&amp;pyTo,dAmt,"&gt;-1E+300",dFlt1,critFlt1,dFlt2,critFlt2,dFlt3,critFlt3))</f>
        <v/>
      </c>
      <c r="D2020" t="str">
        <f>IF($B2020="","",SUMIFS(dAmt,dCust,$B2020,dPer,"&gt;="&amp;cyFrom,dPer,"&lt;="&amp;cyTo,dAmt,"&gt;-1E+300",dFlt1,critFlt1,dFlt2,critFlt2,dFlt3,critFlt3))</f>
        <v/>
      </c>
      <c r="E2020" t="str">
        <f>IF($B2020="","",SUMIFS(dQty,dCust,$B2020,dPer,"&gt;="&amp;pyFrom,dPer,"&lt;="&amp;pyTo,dQty,"&gt;-1E+300",dFlt1,critFlt1,dFlt2,critFlt2,dFlt3,critFlt3))</f>
        <v/>
      </c>
      <c r="F2020" t="str">
        <f>IF($B2020="","",SUMIFS(dQty,dCust,$B2020,dPer,"&gt;="&amp;cyFrom,dPer,"&lt;="&amp;cyTo,dQty,"&gt;-1E+300",dFlt1,critFlt1,dFlt2,critFlt2,dFlt3,critFlt3))</f>
        <v/>
      </c>
      <c r="G2020">
        <f>IF($B2020="",0,IFERROR(IF(OR(C2020&lt;&gt;0,D2020&lt;&gt;0,E2020&lt;&gt;0,F2020&lt;&gt;0),1,0),1))</f>
        <v>0</v>
      </c>
      <c r="H2020" t="str">
        <f>IF(OR(G2020=0,E2020=0),"",C2020/E2020)</f>
        <v/>
      </c>
      <c r="I2020" t="str">
        <f>IF(OR(G2020=0,F2020=0),"",D2020/F2020)</f>
        <v/>
      </c>
      <c r="J2020" t="str">
        <f>IF(OR(H2020="",I2020=""),"",IF(H2020=0,"",I2020/H2020-1))</f>
        <v/>
      </c>
      <c r="K2020" t="str">
        <f>IF($B2020="","",IFERROR(IF(G2020=0,-2E+300,CHOOSE(sortIdx,ROUND(D2020,0),IF(J2020="",-1E+300,ROUND(-J2020,6)),IF(J2020="",-1E+300,ROUND(J2020,6)))),-1.5E+300))</f>
        <v/>
      </c>
      <c r="L2020" t="str">
        <f>IF(K2020="","",RANK(K2020,$K$2:$K$3001,0)+COUNTIF($K$2:K2020,K2020)-1)</f>
        <v/>
      </c>
    </row>
    <row r="2021">
      <c r="B2021" t="str">
        <f>IFERROR(IF(A2021="","","="&amp;SUBSTITUTE(SUBSTITUTE(SUBSTITUTE(A2021,"~","~~"),"*","~*"),"?","~?")),"")</f>
        <v/>
      </c>
      <c r="C2021" t="str">
        <f>IF($B2021="","",SUMIFS(dAmt,dCust,$B2021,dPer,"&gt;="&amp;pyFrom,dPer,"&lt;="&amp;pyTo,dAmt,"&gt;-1E+300",dFlt1,critFlt1,dFlt2,critFlt2,dFlt3,critFlt3))</f>
        <v/>
      </c>
      <c r="D2021" t="str">
        <f>IF($B2021="","",SUMIFS(dAmt,dCust,$B2021,dPer,"&gt;="&amp;cyFrom,dPer,"&lt;="&amp;cyTo,dAmt,"&gt;-1E+300",dFlt1,critFlt1,dFlt2,critFlt2,dFlt3,critFlt3))</f>
        <v/>
      </c>
      <c r="E2021" t="str">
        <f>IF($B2021="","",SUMIFS(dQty,dCust,$B2021,dPer,"&gt;="&amp;pyFrom,dPer,"&lt;="&amp;pyTo,dQty,"&gt;-1E+300",dFlt1,critFlt1,dFlt2,critFlt2,dFlt3,critFlt3))</f>
        <v/>
      </c>
      <c r="F2021" t="str">
        <f>IF($B2021="","",SUMIFS(dQty,dCust,$B2021,dPer,"&gt;="&amp;cyFrom,dPer,"&lt;="&amp;cyTo,dQty,"&gt;-1E+300",dFlt1,critFlt1,dFlt2,critFlt2,dFlt3,critFlt3))</f>
        <v/>
      </c>
      <c r="G2021">
        <f>IF($B2021="",0,IFERROR(IF(OR(C2021&lt;&gt;0,D2021&lt;&gt;0,E2021&lt;&gt;0,F2021&lt;&gt;0),1,0),1))</f>
        <v>0</v>
      </c>
      <c r="H2021" t="str">
        <f>IF(OR(G2021=0,E2021=0),"",C2021/E2021)</f>
        <v/>
      </c>
      <c r="I2021" t="str">
        <f>IF(OR(G2021=0,F2021=0),"",D2021/F2021)</f>
        <v/>
      </c>
      <c r="J2021" t="str">
        <f>IF(OR(H2021="",I2021=""),"",IF(H2021=0,"",I2021/H2021-1))</f>
        <v/>
      </c>
      <c r="K2021" t="str">
        <f>IF($B2021="","",IFERROR(IF(G2021=0,-2E+300,CHOOSE(sortIdx,ROUND(D2021,0),IF(J2021="",-1E+300,ROUND(-J2021,6)),IF(J2021="",-1E+300,ROUND(J2021,6)))),-1.5E+300))</f>
        <v/>
      </c>
      <c r="L2021" t="str">
        <f>IF(K2021="","",RANK(K2021,$K$2:$K$3001,0)+COUNTIF($K$2:K2021,K2021)-1)</f>
        <v/>
      </c>
    </row>
    <row r="2022">
      <c r="B2022" t="str">
        <f>IFERROR(IF(A2022="","","="&amp;SUBSTITUTE(SUBSTITUTE(SUBSTITUTE(A2022,"~","~~"),"*","~*"),"?","~?")),"")</f>
        <v/>
      </c>
      <c r="C2022" t="str">
        <f>IF($B2022="","",SUMIFS(dAmt,dCust,$B2022,dPer,"&gt;="&amp;pyFrom,dPer,"&lt;="&amp;pyTo,dAmt,"&gt;-1E+300",dFlt1,critFlt1,dFlt2,critFlt2,dFlt3,critFlt3))</f>
        <v/>
      </c>
      <c r="D2022" t="str">
        <f>IF($B2022="","",SUMIFS(dAmt,dCust,$B2022,dPer,"&gt;="&amp;cyFrom,dPer,"&lt;="&amp;cyTo,dAmt,"&gt;-1E+300",dFlt1,critFlt1,dFlt2,critFlt2,dFlt3,critFlt3))</f>
        <v/>
      </c>
      <c r="E2022" t="str">
        <f>IF($B2022="","",SUMIFS(dQty,dCust,$B2022,dPer,"&gt;="&amp;pyFrom,dPer,"&lt;="&amp;pyTo,dQty,"&gt;-1E+300",dFlt1,critFlt1,dFlt2,critFlt2,dFlt3,critFlt3))</f>
        <v/>
      </c>
      <c r="F2022" t="str">
        <f>IF($B2022="","",SUMIFS(dQty,dCust,$B2022,dPer,"&gt;="&amp;cyFrom,dPer,"&lt;="&amp;cyTo,dQty,"&gt;-1E+300",dFlt1,critFlt1,dFlt2,critFlt2,dFlt3,critFlt3))</f>
        <v/>
      </c>
      <c r="G2022">
        <f>IF($B2022="",0,IFERROR(IF(OR(C2022&lt;&gt;0,D2022&lt;&gt;0,E2022&lt;&gt;0,F2022&lt;&gt;0),1,0),1))</f>
        <v>0</v>
      </c>
      <c r="H2022" t="str">
        <f>IF(OR(G2022=0,E2022=0),"",C2022/E2022)</f>
        <v/>
      </c>
      <c r="I2022" t="str">
        <f>IF(OR(G2022=0,F2022=0),"",D2022/F2022)</f>
        <v/>
      </c>
      <c r="J2022" t="str">
        <f>IF(OR(H2022="",I2022=""),"",IF(H2022=0,"",I2022/H2022-1))</f>
        <v/>
      </c>
      <c r="K2022" t="str">
        <f>IF($B2022="","",IFERROR(IF(G2022=0,-2E+300,CHOOSE(sortIdx,ROUND(D2022,0),IF(J2022="",-1E+300,ROUND(-J2022,6)),IF(J2022="",-1E+300,ROUND(J2022,6)))),-1.5E+300))</f>
        <v/>
      </c>
      <c r="L2022" t="str">
        <f>IF(K2022="","",RANK(K2022,$K$2:$K$3001,0)+COUNTIF($K$2:K2022,K2022)-1)</f>
        <v/>
      </c>
    </row>
    <row r="2023">
      <c r="B2023" t="str">
        <f>IFERROR(IF(A2023="","","="&amp;SUBSTITUTE(SUBSTITUTE(SUBSTITUTE(A2023,"~","~~"),"*","~*"),"?","~?")),"")</f>
        <v/>
      </c>
      <c r="C2023" t="str">
        <f>IF($B2023="","",SUMIFS(dAmt,dCust,$B2023,dPer,"&gt;="&amp;pyFrom,dPer,"&lt;="&amp;pyTo,dAmt,"&gt;-1E+300",dFlt1,critFlt1,dFlt2,critFlt2,dFlt3,critFlt3))</f>
        <v/>
      </c>
      <c r="D2023" t="str">
        <f>IF($B2023="","",SUMIFS(dAmt,dCust,$B2023,dPer,"&gt;="&amp;cyFrom,dPer,"&lt;="&amp;cyTo,dAmt,"&gt;-1E+300",dFlt1,critFlt1,dFlt2,critFlt2,dFlt3,critFlt3))</f>
        <v/>
      </c>
      <c r="E2023" t="str">
        <f>IF($B2023="","",SUMIFS(dQty,dCust,$B2023,dPer,"&gt;="&amp;pyFrom,dPer,"&lt;="&amp;pyTo,dQty,"&gt;-1E+300",dFlt1,critFlt1,dFlt2,critFlt2,dFlt3,critFlt3))</f>
        <v/>
      </c>
      <c r="F2023" t="str">
        <f>IF($B2023="","",SUMIFS(dQty,dCust,$B2023,dPer,"&gt;="&amp;cyFrom,dPer,"&lt;="&amp;cyTo,dQty,"&gt;-1E+300",dFlt1,critFlt1,dFlt2,critFlt2,dFlt3,critFlt3))</f>
        <v/>
      </c>
      <c r="G2023">
        <f>IF($B2023="",0,IFERROR(IF(OR(C2023&lt;&gt;0,D2023&lt;&gt;0,E2023&lt;&gt;0,F2023&lt;&gt;0),1,0),1))</f>
        <v>0</v>
      </c>
      <c r="H2023" t="str">
        <f>IF(OR(G2023=0,E2023=0),"",C2023/E2023)</f>
        <v/>
      </c>
      <c r="I2023" t="str">
        <f>IF(OR(G2023=0,F2023=0),"",D2023/F2023)</f>
        <v/>
      </c>
      <c r="J2023" t="str">
        <f>IF(OR(H2023="",I2023=""),"",IF(H2023=0,"",I2023/H2023-1))</f>
        <v/>
      </c>
      <c r="K2023" t="str">
        <f>IF($B2023="","",IFERROR(IF(G2023=0,-2E+300,CHOOSE(sortIdx,ROUND(D2023,0),IF(J2023="",-1E+300,ROUND(-J2023,6)),IF(J2023="",-1E+300,ROUND(J2023,6)))),-1.5E+300))</f>
        <v/>
      </c>
      <c r="L2023" t="str">
        <f>IF(K2023="","",RANK(K2023,$K$2:$K$3001,0)+COUNTIF($K$2:K2023,K2023)-1)</f>
        <v/>
      </c>
    </row>
    <row r="2024">
      <c r="B2024" t="str">
        <f>IFERROR(IF(A2024="","","="&amp;SUBSTITUTE(SUBSTITUTE(SUBSTITUTE(A2024,"~","~~"),"*","~*"),"?","~?")),"")</f>
        <v/>
      </c>
      <c r="C2024" t="str">
        <f>IF($B2024="","",SUMIFS(dAmt,dCust,$B2024,dPer,"&gt;="&amp;pyFrom,dPer,"&lt;="&amp;pyTo,dAmt,"&gt;-1E+300",dFlt1,critFlt1,dFlt2,critFlt2,dFlt3,critFlt3))</f>
        <v/>
      </c>
      <c r="D2024" t="str">
        <f>IF($B2024="","",SUMIFS(dAmt,dCust,$B2024,dPer,"&gt;="&amp;cyFrom,dPer,"&lt;="&amp;cyTo,dAmt,"&gt;-1E+300",dFlt1,critFlt1,dFlt2,critFlt2,dFlt3,critFlt3))</f>
        <v/>
      </c>
      <c r="E2024" t="str">
        <f>IF($B2024="","",SUMIFS(dQty,dCust,$B2024,dPer,"&gt;="&amp;pyFrom,dPer,"&lt;="&amp;pyTo,dQty,"&gt;-1E+300",dFlt1,critFlt1,dFlt2,critFlt2,dFlt3,critFlt3))</f>
        <v/>
      </c>
      <c r="F2024" t="str">
        <f>IF($B2024="","",SUMIFS(dQty,dCust,$B2024,dPer,"&gt;="&amp;cyFrom,dPer,"&lt;="&amp;cyTo,dQty,"&gt;-1E+300",dFlt1,critFlt1,dFlt2,critFlt2,dFlt3,critFlt3))</f>
        <v/>
      </c>
      <c r="G2024">
        <f>IF($B2024="",0,IFERROR(IF(OR(C2024&lt;&gt;0,D2024&lt;&gt;0,E2024&lt;&gt;0,F2024&lt;&gt;0),1,0),1))</f>
        <v>0</v>
      </c>
      <c r="H2024" t="str">
        <f>IF(OR(G2024=0,E2024=0),"",C2024/E2024)</f>
        <v/>
      </c>
      <c r="I2024" t="str">
        <f>IF(OR(G2024=0,F2024=0),"",D2024/F2024)</f>
        <v/>
      </c>
      <c r="J2024" t="str">
        <f>IF(OR(H2024="",I2024=""),"",IF(H2024=0,"",I2024/H2024-1))</f>
        <v/>
      </c>
      <c r="K2024" t="str">
        <f>IF($B2024="","",IFERROR(IF(G2024=0,-2E+300,CHOOSE(sortIdx,ROUND(D2024,0),IF(J2024="",-1E+300,ROUND(-J2024,6)),IF(J2024="",-1E+300,ROUND(J2024,6)))),-1.5E+300))</f>
        <v/>
      </c>
      <c r="L2024" t="str">
        <f>IF(K2024="","",RANK(K2024,$K$2:$K$3001,0)+COUNTIF($K$2:K2024,K2024)-1)</f>
        <v/>
      </c>
    </row>
    <row r="2025">
      <c r="B2025" t="str">
        <f>IFERROR(IF(A2025="","","="&amp;SUBSTITUTE(SUBSTITUTE(SUBSTITUTE(A2025,"~","~~"),"*","~*"),"?","~?")),"")</f>
        <v/>
      </c>
      <c r="C2025" t="str">
        <f>IF($B2025="","",SUMIFS(dAmt,dCust,$B2025,dPer,"&gt;="&amp;pyFrom,dPer,"&lt;="&amp;pyTo,dAmt,"&gt;-1E+300",dFlt1,critFlt1,dFlt2,critFlt2,dFlt3,critFlt3))</f>
        <v/>
      </c>
      <c r="D2025" t="str">
        <f>IF($B2025="","",SUMIFS(dAmt,dCust,$B2025,dPer,"&gt;="&amp;cyFrom,dPer,"&lt;="&amp;cyTo,dAmt,"&gt;-1E+300",dFlt1,critFlt1,dFlt2,critFlt2,dFlt3,critFlt3))</f>
        <v/>
      </c>
      <c r="E2025" t="str">
        <f>IF($B2025="","",SUMIFS(dQty,dCust,$B2025,dPer,"&gt;="&amp;pyFrom,dPer,"&lt;="&amp;pyTo,dQty,"&gt;-1E+300",dFlt1,critFlt1,dFlt2,critFlt2,dFlt3,critFlt3))</f>
        <v/>
      </c>
      <c r="F2025" t="str">
        <f>IF($B2025="","",SUMIFS(dQty,dCust,$B2025,dPer,"&gt;="&amp;cyFrom,dPer,"&lt;="&amp;cyTo,dQty,"&gt;-1E+300",dFlt1,critFlt1,dFlt2,critFlt2,dFlt3,critFlt3))</f>
        <v/>
      </c>
      <c r="G2025">
        <f>IF($B2025="",0,IFERROR(IF(OR(C2025&lt;&gt;0,D2025&lt;&gt;0,E2025&lt;&gt;0,F2025&lt;&gt;0),1,0),1))</f>
        <v>0</v>
      </c>
      <c r="H2025" t="str">
        <f>IF(OR(G2025=0,E2025=0),"",C2025/E2025)</f>
        <v/>
      </c>
      <c r="I2025" t="str">
        <f>IF(OR(G2025=0,F2025=0),"",D2025/F2025)</f>
        <v/>
      </c>
      <c r="J2025" t="str">
        <f>IF(OR(H2025="",I2025=""),"",IF(H2025=0,"",I2025/H2025-1))</f>
        <v/>
      </c>
      <c r="K2025" t="str">
        <f>IF($B2025="","",IFERROR(IF(G2025=0,-2E+300,CHOOSE(sortIdx,ROUND(D2025,0),IF(J2025="",-1E+300,ROUND(-J2025,6)),IF(J2025="",-1E+300,ROUND(J2025,6)))),-1.5E+300))</f>
        <v/>
      </c>
      <c r="L2025" t="str">
        <f>IF(K2025="","",RANK(K2025,$K$2:$K$3001,0)+COUNTIF($K$2:K2025,K2025)-1)</f>
        <v/>
      </c>
    </row>
    <row r="2026">
      <c r="B2026" t="str">
        <f>IFERROR(IF(A2026="","","="&amp;SUBSTITUTE(SUBSTITUTE(SUBSTITUTE(A2026,"~","~~"),"*","~*"),"?","~?")),"")</f>
        <v/>
      </c>
      <c r="C2026" t="str">
        <f>IF($B2026="","",SUMIFS(dAmt,dCust,$B2026,dPer,"&gt;="&amp;pyFrom,dPer,"&lt;="&amp;pyTo,dAmt,"&gt;-1E+300",dFlt1,critFlt1,dFlt2,critFlt2,dFlt3,critFlt3))</f>
        <v/>
      </c>
      <c r="D2026" t="str">
        <f>IF($B2026="","",SUMIFS(dAmt,dCust,$B2026,dPer,"&gt;="&amp;cyFrom,dPer,"&lt;="&amp;cyTo,dAmt,"&gt;-1E+300",dFlt1,critFlt1,dFlt2,critFlt2,dFlt3,critFlt3))</f>
        <v/>
      </c>
      <c r="E2026" t="str">
        <f>IF($B2026="","",SUMIFS(dQty,dCust,$B2026,dPer,"&gt;="&amp;pyFrom,dPer,"&lt;="&amp;pyTo,dQty,"&gt;-1E+300",dFlt1,critFlt1,dFlt2,critFlt2,dFlt3,critFlt3))</f>
        <v/>
      </c>
      <c r="F2026" t="str">
        <f>IF($B2026="","",SUMIFS(dQty,dCust,$B2026,dPer,"&gt;="&amp;cyFrom,dPer,"&lt;="&amp;cyTo,dQty,"&gt;-1E+300",dFlt1,critFlt1,dFlt2,critFlt2,dFlt3,critFlt3))</f>
        <v/>
      </c>
      <c r="G2026">
        <f>IF($B2026="",0,IFERROR(IF(OR(C2026&lt;&gt;0,D2026&lt;&gt;0,E2026&lt;&gt;0,F2026&lt;&gt;0),1,0),1))</f>
        <v>0</v>
      </c>
      <c r="H2026" t="str">
        <f>IF(OR(G2026=0,E2026=0),"",C2026/E2026)</f>
        <v/>
      </c>
      <c r="I2026" t="str">
        <f>IF(OR(G2026=0,F2026=0),"",D2026/F2026)</f>
        <v/>
      </c>
      <c r="J2026" t="str">
        <f>IF(OR(H2026="",I2026=""),"",IF(H2026=0,"",I2026/H2026-1))</f>
        <v/>
      </c>
      <c r="K2026" t="str">
        <f>IF($B2026="","",IFERROR(IF(G2026=0,-2E+300,CHOOSE(sortIdx,ROUND(D2026,0),IF(J2026="",-1E+300,ROUND(-J2026,6)),IF(J2026="",-1E+300,ROUND(J2026,6)))),-1.5E+300))</f>
        <v/>
      </c>
      <c r="L2026" t="str">
        <f>IF(K2026="","",RANK(K2026,$K$2:$K$3001,0)+COUNTIF($K$2:K2026,K2026)-1)</f>
        <v/>
      </c>
    </row>
    <row r="2027">
      <c r="B2027" t="str">
        <f>IFERROR(IF(A2027="","","="&amp;SUBSTITUTE(SUBSTITUTE(SUBSTITUTE(A2027,"~","~~"),"*","~*"),"?","~?")),"")</f>
        <v/>
      </c>
      <c r="C2027" t="str">
        <f>IF($B2027="","",SUMIFS(dAmt,dCust,$B2027,dPer,"&gt;="&amp;pyFrom,dPer,"&lt;="&amp;pyTo,dAmt,"&gt;-1E+300",dFlt1,critFlt1,dFlt2,critFlt2,dFlt3,critFlt3))</f>
        <v/>
      </c>
      <c r="D2027" t="str">
        <f>IF($B2027="","",SUMIFS(dAmt,dCust,$B2027,dPer,"&gt;="&amp;cyFrom,dPer,"&lt;="&amp;cyTo,dAmt,"&gt;-1E+300",dFlt1,critFlt1,dFlt2,critFlt2,dFlt3,critFlt3))</f>
        <v/>
      </c>
      <c r="E2027" t="str">
        <f>IF($B2027="","",SUMIFS(dQty,dCust,$B2027,dPer,"&gt;="&amp;pyFrom,dPer,"&lt;="&amp;pyTo,dQty,"&gt;-1E+300",dFlt1,critFlt1,dFlt2,critFlt2,dFlt3,critFlt3))</f>
        <v/>
      </c>
      <c r="F2027" t="str">
        <f>IF($B2027="","",SUMIFS(dQty,dCust,$B2027,dPer,"&gt;="&amp;cyFrom,dPer,"&lt;="&amp;cyTo,dQty,"&gt;-1E+300",dFlt1,critFlt1,dFlt2,critFlt2,dFlt3,critFlt3))</f>
        <v/>
      </c>
      <c r="G2027">
        <f>IF($B2027="",0,IFERROR(IF(OR(C2027&lt;&gt;0,D2027&lt;&gt;0,E2027&lt;&gt;0,F2027&lt;&gt;0),1,0),1))</f>
        <v>0</v>
      </c>
      <c r="H2027" t="str">
        <f>IF(OR(G2027=0,E2027=0),"",C2027/E2027)</f>
        <v/>
      </c>
      <c r="I2027" t="str">
        <f>IF(OR(G2027=0,F2027=0),"",D2027/F2027)</f>
        <v/>
      </c>
      <c r="J2027" t="str">
        <f>IF(OR(H2027="",I2027=""),"",IF(H2027=0,"",I2027/H2027-1))</f>
        <v/>
      </c>
      <c r="K2027" t="str">
        <f>IF($B2027="","",IFERROR(IF(G2027=0,-2E+300,CHOOSE(sortIdx,ROUND(D2027,0),IF(J2027="",-1E+300,ROUND(-J2027,6)),IF(J2027="",-1E+300,ROUND(J2027,6)))),-1.5E+300))</f>
        <v/>
      </c>
      <c r="L2027" t="str">
        <f>IF(K2027="","",RANK(K2027,$K$2:$K$3001,0)+COUNTIF($K$2:K2027,K2027)-1)</f>
        <v/>
      </c>
    </row>
    <row r="2028">
      <c r="B2028" t="str">
        <f>IFERROR(IF(A2028="","","="&amp;SUBSTITUTE(SUBSTITUTE(SUBSTITUTE(A2028,"~","~~"),"*","~*"),"?","~?")),"")</f>
        <v/>
      </c>
      <c r="C2028" t="str">
        <f>IF($B2028="","",SUMIFS(dAmt,dCust,$B2028,dPer,"&gt;="&amp;pyFrom,dPer,"&lt;="&amp;pyTo,dAmt,"&gt;-1E+300",dFlt1,critFlt1,dFlt2,critFlt2,dFlt3,critFlt3))</f>
        <v/>
      </c>
      <c r="D2028" t="str">
        <f>IF($B2028="","",SUMIFS(dAmt,dCust,$B2028,dPer,"&gt;="&amp;cyFrom,dPer,"&lt;="&amp;cyTo,dAmt,"&gt;-1E+300",dFlt1,critFlt1,dFlt2,critFlt2,dFlt3,critFlt3))</f>
        <v/>
      </c>
      <c r="E2028" t="str">
        <f>IF($B2028="","",SUMIFS(dQty,dCust,$B2028,dPer,"&gt;="&amp;pyFrom,dPer,"&lt;="&amp;pyTo,dQty,"&gt;-1E+300",dFlt1,critFlt1,dFlt2,critFlt2,dFlt3,critFlt3))</f>
        <v/>
      </c>
      <c r="F2028" t="str">
        <f>IF($B2028="","",SUMIFS(dQty,dCust,$B2028,dPer,"&gt;="&amp;cyFrom,dPer,"&lt;="&amp;cyTo,dQty,"&gt;-1E+300",dFlt1,critFlt1,dFlt2,critFlt2,dFlt3,critFlt3))</f>
        <v/>
      </c>
      <c r="G2028">
        <f>IF($B2028="",0,IFERROR(IF(OR(C2028&lt;&gt;0,D2028&lt;&gt;0,E2028&lt;&gt;0,F2028&lt;&gt;0),1,0),1))</f>
        <v>0</v>
      </c>
      <c r="H2028" t="str">
        <f>IF(OR(G2028=0,E2028=0),"",C2028/E2028)</f>
        <v/>
      </c>
      <c r="I2028" t="str">
        <f>IF(OR(G2028=0,F2028=0),"",D2028/F2028)</f>
        <v/>
      </c>
      <c r="J2028" t="str">
        <f>IF(OR(H2028="",I2028=""),"",IF(H2028=0,"",I2028/H2028-1))</f>
        <v/>
      </c>
      <c r="K2028" t="str">
        <f>IF($B2028="","",IFERROR(IF(G2028=0,-2E+300,CHOOSE(sortIdx,ROUND(D2028,0),IF(J2028="",-1E+300,ROUND(-J2028,6)),IF(J2028="",-1E+300,ROUND(J2028,6)))),-1.5E+300))</f>
        <v/>
      </c>
      <c r="L2028" t="str">
        <f>IF(K2028="","",RANK(K2028,$K$2:$K$3001,0)+COUNTIF($K$2:K2028,K2028)-1)</f>
        <v/>
      </c>
    </row>
    <row r="2029">
      <c r="B2029" t="str">
        <f>IFERROR(IF(A2029="","","="&amp;SUBSTITUTE(SUBSTITUTE(SUBSTITUTE(A2029,"~","~~"),"*","~*"),"?","~?")),"")</f>
        <v/>
      </c>
      <c r="C2029" t="str">
        <f>IF($B2029="","",SUMIFS(dAmt,dCust,$B2029,dPer,"&gt;="&amp;pyFrom,dPer,"&lt;="&amp;pyTo,dAmt,"&gt;-1E+300",dFlt1,critFlt1,dFlt2,critFlt2,dFlt3,critFlt3))</f>
        <v/>
      </c>
      <c r="D2029" t="str">
        <f>IF($B2029="","",SUMIFS(dAmt,dCust,$B2029,dPer,"&gt;="&amp;cyFrom,dPer,"&lt;="&amp;cyTo,dAmt,"&gt;-1E+300",dFlt1,critFlt1,dFlt2,critFlt2,dFlt3,critFlt3))</f>
        <v/>
      </c>
      <c r="E2029" t="str">
        <f>IF($B2029="","",SUMIFS(dQty,dCust,$B2029,dPer,"&gt;="&amp;pyFrom,dPer,"&lt;="&amp;pyTo,dQty,"&gt;-1E+300",dFlt1,critFlt1,dFlt2,critFlt2,dFlt3,critFlt3))</f>
        <v/>
      </c>
      <c r="F2029" t="str">
        <f>IF($B2029="","",SUMIFS(dQty,dCust,$B2029,dPer,"&gt;="&amp;cyFrom,dPer,"&lt;="&amp;cyTo,dQty,"&gt;-1E+300",dFlt1,critFlt1,dFlt2,critFlt2,dFlt3,critFlt3))</f>
        <v/>
      </c>
      <c r="G2029">
        <f>IF($B2029="",0,IFERROR(IF(OR(C2029&lt;&gt;0,D2029&lt;&gt;0,E2029&lt;&gt;0,F2029&lt;&gt;0),1,0),1))</f>
        <v>0</v>
      </c>
      <c r="H2029" t="str">
        <f>IF(OR(G2029=0,E2029=0),"",C2029/E2029)</f>
        <v/>
      </c>
      <c r="I2029" t="str">
        <f>IF(OR(G2029=0,F2029=0),"",D2029/F2029)</f>
        <v/>
      </c>
      <c r="J2029" t="str">
        <f>IF(OR(H2029="",I2029=""),"",IF(H2029=0,"",I2029/H2029-1))</f>
        <v/>
      </c>
      <c r="K2029" t="str">
        <f>IF($B2029="","",IFERROR(IF(G2029=0,-2E+300,CHOOSE(sortIdx,ROUND(D2029,0),IF(J2029="",-1E+300,ROUND(-J2029,6)),IF(J2029="",-1E+300,ROUND(J2029,6)))),-1.5E+300))</f>
        <v/>
      </c>
      <c r="L2029" t="str">
        <f>IF(K2029="","",RANK(K2029,$K$2:$K$3001,0)+COUNTIF($K$2:K2029,K2029)-1)</f>
        <v/>
      </c>
    </row>
    <row r="2030">
      <c r="B2030" t="str">
        <f>IFERROR(IF(A2030="","","="&amp;SUBSTITUTE(SUBSTITUTE(SUBSTITUTE(A2030,"~","~~"),"*","~*"),"?","~?")),"")</f>
        <v/>
      </c>
      <c r="C2030" t="str">
        <f>IF($B2030="","",SUMIFS(dAmt,dCust,$B2030,dPer,"&gt;="&amp;pyFrom,dPer,"&lt;="&amp;pyTo,dAmt,"&gt;-1E+300",dFlt1,critFlt1,dFlt2,critFlt2,dFlt3,critFlt3))</f>
        <v/>
      </c>
      <c r="D2030" t="str">
        <f>IF($B2030="","",SUMIFS(dAmt,dCust,$B2030,dPer,"&gt;="&amp;cyFrom,dPer,"&lt;="&amp;cyTo,dAmt,"&gt;-1E+300",dFlt1,critFlt1,dFlt2,critFlt2,dFlt3,critFlt3))</f>
        <v/>
      </c>
      <c r="E2030" t="str">
        <f>IF($B2030="","",SUMIFS(dQty,dCust,$B2030,dPer,"&gt;="&amp;pyFrom,dPer,"&lt;="&amp;pyTo,dQty,"&gt;-1E+300",dFlt1,critFlt1,dFlt2,critFlt2,dFlt3,critFlt3))</f>
        <v/>
      </c>
      <c r="F2030" t="str">
        <f>IF($B2030="","",SUMIFS(dQty,dCust,$B2030,dPer,"&gt;="&amp;cyFrom,dPer,"&lt;="&amp;cyTo,dQty,"&gt;-1E+300",dFlt1,critFlt1,dFlt2,critFlt2,dFlt3,critFlt3))</f>
        <v/>
      </c>
      <c r="G2030">
        <f>IF($B2030="",0,IFERROR(IF(OR(C2030&lt;&gt;0,D2030&lt;&gt;0,E2030&lt;&gt;0,F2030&lt;&gt;0),1,0),1))</f>
        <v>0</v>
      </c>
      <c r="H2030" t="str">
        <f>IF(OR(G2030=0,E2030=0),"",C2030/E2030)</f>
        <v/>
      </c>
      <c r="I2030" t="str">
        <f>IF(OR(G2030=0,F2030=0),"",D2030/F2030)</f>
        <v/>
      </c>
      <c r="J2030" t="str">
        <f>IF(OR(H2030="",I2030=""),"",IF(H2030=0,"",I2030/H2030-1))</f>
        <v/>
      </c>
      <c r="K2030" t="str">
        <f>IF($B2030="","",IFERROR(IF(G2030=0,-2E+300,CHOOSE(sortIdx,ROUND(D2030,0),IF(J2030="",-1E+300,ROUND(-J2030,6)),IF(J2030="",-1E+300,ROUND(J2030,6)))),-1.5E+300))</f>
        <v/>
      </c>
      <c r="L2030" t="str">
        <f>IF(K2030="","",RANK(K2030,$K$2:$K$3001,0)+COUNTIF($K$2:K2030,K2030)-1)</f>
        <v/>
      </c>
    </row>
    <row r="2031">
      <c r="B2031" t="str">
        <f>IFERROR(IF(A2031="","","="&amp;SUBSTITUTE(SUBSTITUTE(SUBSTITUTE(A2031,"~","~~"),"*","~*"),"?","~?")),"")</f>
        <v/>
      </c>
      <c r="C2031" t="str">
        <f>IF($B2031="","",SUMIFS(dAmt,dCust,$B2031,dPer,"&gt;="&amp;pyFrom,dPer,"&lt;="&amp;pyTo,dAmt,"&gt;-1E+300",dFlt1,critFlt1,dFlt2,critFlt2,dFlt3,critFlt3))</f>
        <v/>
      </c>
      <c r="D2031" t="str">
        <f>IF($B2031="","",SUMIFS(dAmt,dCust,$B2031,dPer,"&gt;="&amp;cyFrom,dPer,"&lt;="&amp;cyTo,dAmt,"&gt;-1E+300",dFlt1,critFlt1,dFlt2,critFlt2,dFlt3,critFlt3))</f>
        <v/>
      </c>
      <c r="E2031" t="str">
        <f>IF($B2031="","",SUMIFS(dQty,dCust,$B2031,dPer,"&gt;="&amp;pyFrom,dPer,"&lt;="&amp;pyTo,dQty,"&gt;-1E+300",dFlt1,critFlt1,dFlt2,critFlt2,dFlt3,critFlt3))</f>
        <v/>
      </c>
      <c r="F2031" t="str">
        <f>IF($B2031="","",SUMIFS(dQty,dCust,$B2031,dPer,"&gt;="&amp;cyFrom,dPer,"&lt;="&amp;cyTo,dQty,"&gt;-1E+300",dFlt1,critFlt1,dFlt2,critFlt2,dFlt3,critFlt3))</f>
        <v/>
      </c>
      <c r="G2031">
        <f>IF($B2031="",0,IFERROR(IF(OR(C2031&lt;&gt;0,D2031&lt;&gt;0,E2031&lt;&gt;0,F2031&lt;&gt;0),1,0),1))</f>
        <v>0</v>
      </c>
      <c r="H2031" t="str">
        <f>IF(OR(G2031=0,E2031=0),"",C2031/E2031)</f>
        <v/>
      </c>
      <c r="I2031" t="str">
        <f>IF(OR(G2031=0,F2031=0),"",D2031/F2031)</f>
        <v/>
      </c>
      <c r="J2031" t="str">
        <f>IF(OR(H2031="",I2031=""),"",IF(H2031=0,"",I2031/H2031-1))</f>
        <v/>
      </c>
      <c r="K2031" t="str">
        <f>IF($B2031="","",IFERROR(IF(G2031=0,-2E+300,CHOOSE(sortIdx,ROUND(D2031,0),IF(J2031="",-1E+300,ROUND(-J2031,6)),IF(J2031="",-1E+300,ROUND(J2031,6)))),-1.5E+300))</f>
        <v/>
      </c>
      <c r="L2031" t="str">
        <f>IF(K2031="","",RANK(K2031,$K$2:$K$3001,0)+COUNTIF($K$2:K2031,K2031)-1)</f>
        <v/>
      </c>
    </row>
    <row r="2032">
      <c r="B2032" t="str">
        <f>IFERROR(IF(A2032="","","="&amp;SUBSTITUTE(SUBSTITUTE(SUBSTITUTE(A2032,"~","~~"),"*","~*"),"?","~?")),"")</f>
        <v/>
      </c>
      <c r="C2032" t="str">
        <f>IF($B2032="","",SUMIFS(dAmt,dCust,$B2032,dPer,"&gt;="&amp;pyFrom,dPer,"&lt;="&amp;pyTo,dAmt,"&gt;-1E+300",dFlt1,critFlt1,dFlt2,critFlt2,dFlt3,critFlt3))</f>
        <v/>
      </c>
      <c r="D2032" t="str">
        <f>IF($B2032="","",SUMIFS(dAmt,dCust,$B2032,dPer,"&gt;="&amp;cyFrom,dPer,"&lt;="&amp;cyTo,dAmt,"&gt;-1E+300",dFlt1,critFlt1,dFlt2,critFlt2,dFlt3,critFlt3))</f>
        <v/>
      </c>
      <c r="E2032" t="str">
        <f>IF($B2032="","",SUMIFS(dQty,dCust,$B2032,dPer,"&gt;="&amp;pyFrom,dPer,"&lt;="&amp;pyTo,dQty,"&gt;-1E+300",dFlt1,critFlt1,dFlt2,critFlt2,dFlt3,critFlt3))</f>
        <v/>
      </c>
      <c r="F2032" t="str">
        <f>IF($B2032="","",SUMIFS(dQty,dCust,$B2032,dPer,"&gt;="&amp;cyFrom,dPer,"&lt;="&amp;cyTo,dQty,"&gt;-1E+300",dFlt1,critFlt1,dFlt2,critFlt2,dFlt3,critFlt3))</f>
        <v/>
      </c>
      <c r="G2032">
        <f>IF($B2032="",0,IFERROR(IF(OR(C2032&lt;&gt;0,D2032&lt;&gt;0,E2032&lt;&gt;0,F2032&lt;&gt;0),1,0),1))</f>
        <v>0</v>
      </c>
      <c r="H2032" t="str">
        <f>IF(OR(G2032=0,E2032=0),"",C2032/E2032)</f>
        <v/>
      </c>
      <c r="I2032" t="str">
        <f>IF(OR(G2032=0,F2032=0),"",D2032/F2032)</f>
        <v/>
      </c>
      <c r="J2032" t="str">
        <f>IF(OR(H2032="",I2032=""),"",IF(H2032=0,"",I2032/H2032-1))</f>
        <v/>
      </c>
      <c r="K2032" t="str">
        <f>IF($B2032="","",IFERROR(IF(G2032=0,-2E+300,CHOOSE(sortIdx,ROUND(D2032,0),IF(J2032="",-1E+300,ROUND(-J2032,6)),IF(J2032="",-1E+300,ROUND(J2032,6)))),-1.5E+300))</f>
        <v/>
      </c>
      <c r="L2032" t="str">
        <f>IF(K2032="","",RANK(K2032,$K$2:$K$3001,0)+COUNTIF($K$2:K2032,K2032)-1)</f>
        <v/>
      </c>
    </row>
    <row r="2033">
      <c r="B2033" t="str">
        <f>IFERROR(IF(A2033="","","="&amp;SUBSTITUTE(SUBSTITUTE(SUBSTITUTE(A2033,"~","~~"),"*","~*"),"?","~?")),"")</f>
        <v/>
      </c>
      <c r="C2033" t="str">
        <f>IF($B2033="","",SUMIFS(dAmt,dCust,$B2033,dPer,"&gt;="&amp;pyFrom,dPer,"&lt;="&amp;pyTo,dAmt,"&gt;-1E+300",dFlt1,critFlt1,dFlt2,critFlt2,dFlt3,critFlt3))</f>
        <v/>
      </c>
      <c r="D2033" t="str">
        <f>IF($B2033="","",SUMIFS(dAmt,dCust,$B2033,dPer,"&gt;="&amp;cyFrom,dPer,"&lt;="&amp;cyTo,dAmt,"&gt;-1E+300",dFlt1,critFlt1,dFlt2,critFlt2,dFlt3,critFlt3))</f>
        <v/>
      </c>
      <c r="E2033" t="str">
        <f>IF($B2033="","",SUMIFS(dQty,dCust,$B2033,dPer,"&gt;="&amp;pyFrom,dPer,"&lt;="&amp;pyTo,dQty,"&gt;-1E+300",dFlt1,critFlt1,dFlt2,critFlt2,dFlt3,critFlt3))</f>
        <v/>
      </c>
      <c r="F2033" t="str">
        <f>IF($B2033="","",SUMIFS(dQty,dCust,$B2033,dPer,"&gt;="&amp;cyFrom,dPer,"&lt;="&amp;cyTo,dQty,"&gt;-1E+300",dFlt1,critFlt1,dFlt2,critFlt2,dFlt3,critFlt3))</f>
        <v/>
      </c>
      <c r="G2033">
        <f>IF($B2033="",0,IFERROR(IF(OR(C2033&lt;&gt;0,D2033&lt;&gt;0,E2033&lt;&gt;0,F2033&lt;&gt;0),1,0),1))</f>
        <v>0</v>
      </c>
      <c r="H2033" t="str">
        <f>IF(OR(G2033=0,E2033=0),"",C2033/E2033)</f>
        <v/>
      </c>
      <c r="I2033" t="str">
        <f>IF(OR(G2033=0,F2033=0),"",D2033/F2033)</f>
        <v/>
      </c>
      <c r="J2033" t="str">
        <f>IF(OR(H2033="",I2033=""),"",IF(H2033=0,"",I2033/H2033-1))</f>
        <v/>
      </c>
      <c r="K2033" t="str">
        <f>IF($B2033="","",IFERROR(IF(G2033=0,-2E+300,CHOOSE(sortIdx,ROUND(D2033,0),IF(J2033="",-1E+300,ROUND(-J2033,6)),IF(J2033="",-1E+300,ROUND(J2033,6)))),-1.5E+300))</f>
        <v/>
      </c>
      <c r="L2033" t="str">
        <f>IF(K2033="","",RANK(K2033,$K$2:$K$3001,0)+COUNTIF($K$2:K2033,K2033)-1)</f>
        <v/>
      </c>
    </row>
    <row r="2034">
      <c r="B2034" t="str">
        <f>IFERROR(IF(A2034="","","="&amp;SUBSTITUTE(SUBSTITUTE(SUBSTITUTE(A2034,"~","~~"),"*","~*"),"?","~?")),"")</f>
        <v/>
      </c>
      <c r="C2034" t="str">
        <f>IF($B2034="","",SUMIFS(dAmt,dCust,$B2034,dPer,"&gt;="&amp;pyFrom,dPer,"&lt;="&amp;pyTo,dAmt,"&gt;-1E+300",dFlt1,critFlt1,dFlt2,critFlt2,dFlt3,critFlt3))</f>
        <v/>
      </c>
      <c r="D2034" t="str">
        <f>IF($B2034="","",SUMIFS(dAmt,dCust,$B2034,dPer,"&gt;="&amp;cyFrom,dPer,"&lt;="&amp;cyTo,dAmt,"&gt;-1E+300",dFlt1,critFlt1,dFlt2,critFlt2,dFlt3,critFlt3))</f>
        <v/>
      </c>
      <c r="E2034" t="str">
        <f>IF($B2034="","",SUMIFS(dQty,dCust,$B2034,dPer,"&gt;="&amp;pyFrom,dPer,"&lt;="&amp;pyTo,dQty,"&gt;-1E+300",dFlt1,critFlt1,dFlt2,critFlt2,dFlt3,critFlt3))</f>
        <v/>
      </c>
      <c r="F2034" t="str">
        <f>IF($B2034="","",SUMIFS(dQty,dCust,$B2034,dPer,"&gt;="&amp;cyFrom,dPer,"&lt;="&amp;cyTo,dQty,"&gt;-1E+300",dFlt1,critFlt1,dFlt2,critFlt2,dFlt3,critFlt3))</f>
        <v/>
      </c>
      <c r="G2034">
        <f>IF($B2034="",0,IFERROR(IF(OR(C2034&lt;&gt;0,D2034&lt;&gt;0,E2034&lt;&gt;0,F2034&lt;&gt;0),1,0),1))</f>
        <v>0</v>
      </c>
      <c r="H2034" t="str">
        <f>IF(OR(G2034=0,E2034=0),"",C2034/E2034)</f>
        <v/>
      </c>
      <c r="I2034" t="str">
        <f>IF(OR(G2034=0,F2034=0),"",D2034/F2034)</f>
        <v/>
      </c>
      <c r="J2034" t="str">
        <f>IF(OR(H2034="",I2034=""),"",IF(H2034=0,"",I2034/H2034-1))</f>
        <v/>
      </c>
      <c r="K2034" t="str">
        <f>IF($B2034="","",IFERROR(IF(G2034=0,-2E+300,CHOOSE(sortIdx,ROUND(D2034,0),IF(J2034="",-1E+300,ROUND(-J2034,6)),IF(J2034="",-1E+300,ROUND(J2034,6)))),-1.5E+300))</f>
        <v/>
      </c>
      <c r="L2034" t="str">
        <f>IF(K2034="","",RANK(K2034,$K$2:$K$3001,0)+COUNTIF($K$2:K2034,K2034)-1)</f>
        <v/>
      </c>
    </row>
    <row r="2035">
      <c r="B2035" t="str">
        <f>IFERROR(IF(A2035="","","="&amp;SUBSTITUTE(SUBSTITUTE(SUBSTITUTE(A2035,"~","~~"),"*","~*"),"?","~?")),"")</f>
        <v/>
      </c>
      <c r="C2035" t="str">
        <f>IF($B2035="","",SUMIFS(dAmt,dCust,$B2035,dPer,"&gt;="&amp;pyFrom,dPer,"&lt;="&amp;pyTo,dAmt,"&gt;-1E+300",dFlt1,critFlt1,dFlt2,critFlt2,dFlt3,critFlt3))</f>
        <v/>
      </c>
      <c r="D2035" t="str">
        <f>IF($B2035="","",SUMIFS(dAmt,dCust,$B2035,dPer,"&gt;="&amp;cyFrom,dPer,"&lt;="&amp;cyTo,dAmt,"&gt;-1E+300",dFlt1,critFlt1,dFlt2,critFlt2,dFlt3,critFlt3))</f>
        <v/>
      </c>
      <c r="E2035" t="str">
        <f>IF($B2035="","",SUMIFS(dQty,dCust,$B2035,dPer,"&gt;="&amp;pyFrom,dPer,"&lt;="&amp;pyTo,dQty,"&gt;-1E+300",dFlt1,critFlt1,dFlt2,critFlt2,dFlt3,critFlt3))</f>
        <v/>
      </c>
      <c r="F2035" t="str">
        <f>IF($B2035="","",SUMIFS(dQty,dCust,$B2035,dPer,"&gt;="&amp;cyFrom,dPer,"&lt;="&amp;cyTo,dQty,"&gt;-1E+300",dFlt1,critFlt1,dFlt2,critFlt2,dFlt3,critFlt3))</f>
        <v/>
      </c>
      <c r="G2035">
        <f>IF($B2035="",0,IFERROR(IF(OR(C2035&lt;&gt;0,D2035&lt;&gt;0,E2035&lt;&gt;0,F2035&lt;&gt;0),1,0),1))</f>
        <v>0</v>
      </c>
      <c r="H2035" t="str">
        <f>IF(OR(G2035=0,E2035=0),"",C2035/E2035)</f>
        <v/>
      </c>
      <c r="I2035" t="str">
        <f>IF(OR(G2035=0,F2035=0),"",D2035/F2035)</f>
        <v/>
      </c>
      <c r="J2035" t="str">
        <f>IF(OR(H2035="",I2035=""),"",IF(H2035=0,"",I2035/H2035-1))</f>
        <v/>
      </c>
      <c r="K2035" t="str">
        <f>IF($B2035="","",IFERROR(IF(G2035=0,-2E+300,CHOOSE(sortIdx,ROUND(D2035,0),IF(J2035="",-1E+300,ROUND(-J2035,6)),IF(J2035="",-1E+300,ROUND(J2035,6)))),-1.5E+300))</f>
        <v/>
      </c>
      <c r="L2035" t="str">
        <f>IF(K2035="","",RANK(K2035,$K$2:$K$3001,0)+COUNTIF($K$2:K2035,K2035)-1)</f>
        <v/>
      </c>
    </row>
    <row r="2036">
      <c r="B2036" t="str">
        <f>IFERROR(IF(A2036="","","="&amp;SUBSTITUTE(SUBSTITUTE(SUBSTITUTE(A2036,"~","~~"),"*","~*"),"?","~?")),"")</f>
        <v/>
      </c>
      <c r="C2036" t="str">
        <f>IF($B2036="","",SUMIFS(dAmt,dCust,$B2036,dPer,"&gt;="&amp;pyFrom,dPer,"&lt;="&amp;pyTo,dAmt,"&gt;-1E+300",dFlt1,critFlt1,dFlt2,critFlt2,dFlt3,critFlt3))</f>
        <v/>
      </c>
      <c r="D2036" t="str">
        <f>IF($B2036="","",SUMIFS(dAmt,dCust,$B2036,dPer,"&gt;="&amp;cyFrom,dPer,"&lt;="&amp;cyTo,dAmt,"&gt;-1E+300",dFlt1,critFlt1,dFlt2,critFlt2,dFlt3,critFlt3))</f>
        <v/>
      </c>
      <c r="E2036" t="str">
        <f>IF($B2036="","",SUMIFS(dQty,dCust,$B2036,dPer,"&gt;="&amp;pyFrom,dPer,"&lt;="&amp;pyTo,dQty,"&gt;-1E+300",dFlt1,critFlt1,dFlt2,critFlt2,dFlt3,critFlt3))</f>
        <v/>
      </c>
      <c r="F2036" t="str">
        <f>IF($B2036="","",SUMIFS(dQty,dCust,$B2036,dPer,"&gt;="&amp;cyFrom,dPer,"&lt;="&amp;cyTo,dQty,"&gt;-1E+300",dFlt1,critFlt1,dFlt2,critFlt2,dFlt3,critFlt3))</f>
        <v/>
      </c>
      <c r="G2036">
        <f>IF($B2036="",0,IFERROR(IF(OR(C2036&lt;&gt;0,D2036&lt;&gt;0,E2036&lt;&gt;0,F2036&lt;&gt;0),1,0),1))</f>
        <v>0</v>
      </c>
      <c r="H2036" t="str">
        <f>IF(OR(G2036=0,E2036=0),"",C2036/E2036)</f>
        <v/>
      </c>
      <c r="I2036" t="str">
        <f>IF(OR(G2036=0,F2036=0),"",D2036/F2036)</f>
        <v/>
      </c>
      <c r="J2036" t="str">
        <f>IF(OR(H2036="",I2036=""),"",IF(H2036=0,"",I2036/H2036-1))</f>
        <v/>
      </c>
      <c r="K2036" t="str">
        <f>IF($B2036="","",IFERROR(IF(G2036=0,-2E+300,CHOOSE(sortIdx,ROUND(D2036,0),IF(J2036="",-1E+300,ROUND(-J2036,6)),IF(J2036="",-1E+300,ROUND(J2036,6)))),-1.5E+300))</f>
        <v/>
      </c>
      <c r="L2036" t="str">
        <f>IF(K2036="","",RANK(K2036,$K$2:$K$3001,0)+COUNTIF($K$2:K2036,K2036)-1)</f>
        <v/>
      </c>
    </row>
    <row r="2037">
      <c r="B2037" t="str">
        <f>IFERROR(IF(A2037="","","="&amp;SUBSTITUTE(SUBSTITUTE(SUBSTITUTE(A2037,"~","~~"),"*","~*"),"?","~?")),"")</f>
        <v/>
      </c>
      <c r="C2037" t="str">
        <f>IF($B2037="","",SUMIFS(dAmt,dCust,$B2037,dPer,"&gt;="&amp;pyFrom,dPer,"&lt;="&amp;pyTo,dAmt,"&gt;-1E+300",dFlt1,critFlt1,dFlt2,critFlt2,dFlt3,critFlt3))</f>
        <v/>
      </c>
      <c r="D2037" t="str">
        <f>IF($B2037="","",SUMIFS(dAmt,dCust,$B2037,dPer,"&gt;="&amp;cyFrom,dPer,"&lt;="&amp;cyTo,dAmt,"&gt;-1E+300",dFlt1,critFlt1,dFlt2,critFlt2,dFlt3,critFlt3))</f>
        <v/>
      </c>
      <c r="E2037" t="str">
        <f>IF($B2037="","",SUMIFS(dQty,dCust,$B2037,dPer,"&gt;="&amp;pyFrom,dPer,"&lt;="&amp;pyTo,dQty,"&gt;-1E+300",dFlt1,critFlt1,dFlt2,critFlt2,dFlt3,critFlt3))</f>
        <v/>
      </c>
      <c r="F2037" t="str">
        <f>IF($B2037="","",SUMIFS(dQty,dCust,$B2037,dPer,"&gt;="&amp;cyFrom,dPer,"&lt;="&amp;cyTo,dQty,"&gt;-1E+300",dFlt1,critFlt1,dFlt2,critFlt2,dFlt3,critFlt3))</f>
        <v/>
      </c>
      <c r="G2037">
        <f>IF($B2037="",0,IFERROR(IF(OR(C2037&lt;&gt;0,D2037&lt;&gt;0,E2037&lt;&gt;0,F2037&lt;&gt;0),1,0),1))</f>
        <v>0</v>
      </c>
      <c r="H2037" t="str">
        <f>IF(OR(G2037=0,E2037=0),"",C2037/E2037)</f>
        <v/>
      </c>
      <c r="I2037" t="str">
        <f>IF(OR(G2037=0,F2037=0),"",D2037/F2037)</f>
        <v/>
      </c>
      <c r="J2037" t="str">
        <f>IF(OR(H2037="",I2037=""),"",IF(H2037=0,"",I2037/H2037-1))</f>
        <v/>
      </c>
      <c r="K2037" t="str">
        <f>IF($B2037="","",IFERROR(IF(G2037=0,-2E+300,CHOOSE(sortIdx,ROUND(D2037,0),IF(J2037="",-1E+300,ROUND(-J2037,6)),IF(J2037="",-1E+300,ROUND(J2037,6)))),-1.5E+300))</f>
        <v/>
      </c>
      <c r="L2037" t="str">
        <f>IF(K2037="","",RANK(K2037,$K$2:$K$3001,0)+COUNTIF($K$2:K2037,K2037)-1)</f>
        <v/>
      </c>
    </row>
    <row r="2038">
      <c r="B2038" t="str">
        <f>IFERROR(IF(A2038="","","="&amp;SUBSTITUTE(SUBSTITUTE(SUBSTITUTE(A2038,"~","~~"),"*","~*"),"?","~?")),"")</f>
        <v/>
      </c>
      <c r="C2038" t="str">
        <f>IF($B2038="","",SUMIFS(dAmt,dCust,$B2038,dPer,"&gt;="&amp;pyFrom,dPer,"&lt;="&amp;pyTo,dAmt,"&gt;-1E+300",dFlt1,critFlt1,dFlt2,critFlt2,dFlt3,critFlt3))</f>
        <v/>
      </c>
      <c r="D2038" t="str">
        <f>IF($B2038="","",SUMIFS(dAmt,dCust,$B2038,dPer,"&gt;="&amp;cyFrom,dPer,"&lt;="&amp;cyTo,dAmt,"&gt;-1E+300",dFlt1,critFlt1,dFlt2,critFlt2,dFlt3,critFlt3))</f>
        <v/>
      </c>
      <c r="E2038" t="str">
        <f>IF($B2038="","",SUMIFS(dQty,dCust,$B2038,dPer,"&gt;="&amp;pyFrom,dPer,"&lt;="&amp;pyTo,dQty,"&gt;-1E+300",dFlt1,critFlt1,dFlt2,critFlt2,dFlt3,critFlt3))</f>
        <v/>
      </c>
      <c r="F2038" t="str">
        <f>IF($B2038="","",SUMIFS(dQty,dCust,$B2038,dPer,"&gt;="&amp;cyFrom,dPer,"&lt;="&amp;cyTo,dQty,"&gt;-1E+300",dFlt1,critFlt1,dFlt2,critFlt2,dFlt3,critFlt3))</f>
        <v/>
      </c>
      <c r="G2038">
        <f>IF($B2038="",0,IFERROR(IF(OR(C2038&lt;&gt;0,D2038&lt;&gt;0,E2038&lt;&gt;0,F2038&lt;&gt;0),1,0),1))</f>
        <v>0</v>
      </c>
      <c r="H2038" t="str">
        <f>IF(OR(G2038=0,E2038=0),"",C2038/E2038)</f>
        <v/>
      </c>
      <c r="I2038" t="str">
        <f>IF(OR(G2038=0,F2038=0),"",D2038/F2038)</f>
        <v/>
      </c>
      <c r="J2038" t="str">
        <f>IF(OR(H2038="",I2038=""),"",IF(H2038=0,"",I2038/H2038-1))</f>
        <v/>
      </c>
      <c r="K2038" t="str">
        <f>IF($B2038="","",IFERROR(IF(G2038=0,-2E+300,CHOOSE(sortIdx,ROUND(D2038,0),IF(J2038="",-1E+300,ROUND(-J2038,6)),IF(J2038="",-1E+300,ROUND(J2038,6)))),-1.5E+300))</f>
        <v/>
      </c>
      <c r="L2038" t="str">
        <f>IF(K2038="","",RANK(K2038,$K$2:$K$3001,0)+COUNTIF($K$2:K2038,K2038)-1)</f>
        <v/>
      </c>
    </row>
    <row r="2039">
      <c r="B2039" t="str">
        <f>IFERROR(IF(A2039="","","="&amp;SUBSTITUTE(SUBSTITUTE(SUBSTITUTE(A2039,"~","~~"),"*","~*"),"?","~?")),"")</f>
        <v/>
      </c>
      <c r="C2039" t="str">
        <f>IF($B2039="","",SUMIFS(dAmt,dCust,$B2039,dPer,"&gt;="&amp;pyFrom,dPer,"&lt;="&amp;pyTo,dAmt,"&gt;-1E+300",dFlt1,critFlt1,dFlt2,critFlt2,dFlt3,critFlt3))</f>
        <v/>
      </c>
      <c r="D2039" t="str">
        <f>IF($B2039="","",SUMIFS(dAmt,dCust,$B2039,dPer,"&gt;="&amp;cyFrom,dPer,"&lt;="&amp;cyTo,dAmt,"&gt;-1E+300",dFlt1,critFlt1,dFlt2,critFlt2,dFlt3,critFlt3))</f>
        <v/>
      </c>
      <c r="E2039" t="str">
        <f>IF($B2039="","",SUMIFS(dQty,dCust,$B2039,dPer,"&gt;="&amp;pyFrom,dPer,"&lt;="&amp;pyTo,dQty,"&gt;-1E+300",dFlt1,critFlt1,dFlt2,critFlt2,dFlt3,critFlt3))</f>
        <v/>
      </c>
      <c r="F2039" t="str">
        <f>IF($B2039="","",SUMIFS(dQty,dCust,$B2039,dPer,"&gt;="&amp;cyFrom,dPer,"&lt;="&amp;cyTo,dQty,"&gt;-1E+300",dFlt1,critFlt1,dFlt2,critFlt2,dFlt3,critFlt3))</f>
        <v/>
      </c>
      <c r="G2039">
        <f>IF($B2039="",0,IFERROR(IF(OR(C2039&lt;&gt;0,D2039&lt;&gt;0,E2039&lt;&gt;0,F2039&lt;&gt;0),1,0),1))</f>
        <v>0</v>
      </c>
      <c r="H2039" t="str">
        <f>IF(OR(G2039=0,E2039=0),"",C2039/E2039)</f>
        <v/>
      </c>
      <c r="I2039" t="str">
        <f>IF(OR(G2039=0,F2039=0),"",D2039/F2039)</f>
        <v/>
      </c>
      <c r="J2039" t="str">
        <f>IF(OR(H2039="",I2039=""),"",IF(H2039=0,"",I2039/H2039-1))</f>
        <v/>
      </c>
      <c r="K2039" t="str">
        <f>IF($B2039="","",IFERROR(IF(G2039=0,-2E+300,CHOOSE(sortIdx,ROUND(D2039,0),IF(J2039="",-1E+300,ROUND(-J2039,6)),IF(J2039="",-1E+300,ROUND(J2039,6)))),-1.5E+300))</f>
        <v/>
      </c>
      <c r="L2039" t="str">
        <f>IF(K2039="","",RANK(K2039,$K$2:$K$3001,0)+COUNTIF($K$2:K2039,K2039)-1)</f>
        <v/>
      </c>
    </row>
    <row r="2040">
      <c r="B2040" t="str">
        <f>IFERROR(IF(A2040="","","="&amp;SUBSTITUTE(SUBSTITUTE(SUBSTITUTE(A2040,"~","~~"),"*","~*"),"?","~?")),"")</f>
        <v/>
      </c>
      <c r="C2040" t="str">
        <f>IF($B2040="","",SUMIFS(dAmt,dCust,$B2040,dPer,"&gt;="&amp;pyFrom,dPer,"&lt;="&amp;pyTo,dAmt,"&gt;-1E+300",dFlt1,critFlt1,dFlt2,critFlt2,dFlt3,critFlt3))</f>
        <v/>
      </c>
      <c r="D2040" t="str">
        <f>IF($B2040="","",SUMIFS(dAmt,dCust,$B2040,dPer,"&gt;="&amp;cyFrom,dPer,"&lt;="&amp;cyTo,dAmt,"&gt;-1E+300",dFlt1,critFlt1,dFlt2,critFlt2,dFlt3,critFlt3))</f>
        <v/>
      </c>
      <c r="E2040" t="str">
        <f>IF($B2040="","",SUMIFS(dQty,dCust,$B2040,dPer,"&gt;="&amp;pyFrom,dPer,"&lt;="&amp;pyTo,dQty,"&gt;-1E+300",dFlt1,critFlt1,dFlt2,critFlt2,dFlt3,critFlt3))</f>
        <v/>
      </c>
      <c r="F2040" t="str">
        <f>IF($B2040="","",SUMIFS(dQty,dCust,$B2040,dPer,"&gt;="&amp;cyFrom,dPer,"&lt;="&amp;cyTo,dQty,"&gt;-1E+300",dFlt1,critFlt1,dFlt2,critFlt2,dFlt3,critFlt3))</f>
        <v/>
      </c>
      <c r="G2040">
        <f>IF($B2040="",0,IFERROR(IF(OR(C2040&lt;&gt;0,D2040&lt;&gt;0,E2040&lt;&gt;0,F2040&lt;&gt;0),1,0),1))</f>
        <v>0</v>
      </c>
      <c r="H2040" t="str">
        <f>IF(OR(G2040=0,E2040=0),"",C2040/E2040)</f>
        <v/>
      </c>
      <c r="I2040" t="str">
        <f>IF(OR(G2040=0,F2040=0),"",D2040/F2040)</f>
        <v/>
      </c>
      <c r="J2040" t="str">
        <f>IF(OR(H2040="",I2040=""),"",IF(H2040=0,"",I2040/H2040-1))</f>
        <v/>
      </c>
      <c r="K2040" t="str">
        <f>IF($B2040="","",IFERROR(IF(G2040=0,-2E+300,CHOOSE(sortIdx,ROUND(D2040,0),IF(J2040="",-1E+300,ROUND(-J2040,6)),IF(J2040="",-1E+300,ROUND(J2040,6)))),-1.5E+300))</f>
        <v/>
      </c>
      <c r="L2040" t="str">
        <f>IF(K2040="","",RANK(K2040,$K$2:$K$3001,0)+COUNTIF($K$2:K2040,K2040)-1)</f>
        <v/>
      </c>
    </row>
    <row r="2041">
      <c r="B2041" t="str">
        <f>IFERROR(IF(A2041="","","="&amp;SUBSTITUTE(SUBSTITUTE(SUBSTITUTE(A2041,"~","~~"),"*","~*"),"?","~?")),"")</f>
        <v/>
      </c>
      <c r="C2041" t="str">
        <f>IF($B2041="","",SUMIFS(dAmt,dCust,$B2041,dPer,"&gt;="&amp;pyFrom,dPer,"&lt;="&amp;pyTo,dAmt,"&gt;-1E+300",dFlt1,critFlt1,dFlt2,critFlt2,dFlt3,critFlt3))</f>
        <v/>
      </c>
      <c r="D2041" t="str">
        <f>IF($B2041="","",SUMIFS(dAmt,dCust,$B2041,dPer,"&gt;="&amp;cyFrom,dPer,"&lt;="&amp;cyTo,dAmt,"&gt;-1E+300",dFlt1,critFlt1,dFlt2,critFlt2,dFlt3,critFlt3))</f>
        <v/>
      </c>
      <c r="E2041" t="str">
        <f>IF($B2041="","",SUMIFS(dQty,dCust,$B2041,dPer,"&gt;="&amp;pyFrom,dPer,"&lt;="&amp;pyTo,dQty,"&gt;-1E+300",dFlt1,critFlt1,dFlt2,critFlt2,dFlt3,critFlt3))</f>
        <v/>
      </c>
      <c r="F2041" t="str">
        <f>IF($B2041="","",SUMIFS(dQty,dCust,$B2041,dPer,"&gt;="&amp;cyFrom,dPer,"&lt;="&amp;cyTo,dQty,"&gt;-1E+300",dFlt1,critFlt1,dFlt2,critFlt2,dFlt3,critFlt3))</f>
        <v/>
      </c>
      <c r="G2041">
        <f>IF($B2041="",0,IFERROR(IF(OR(C2041&lt;&gt;0,D2041&lt;&gt;0,E2041&lt;&gt;0,F2041&lt;&gt;0),1,0),1))</f>
        <v>0</v>
      </c>
      <c r="H2041" t="str">
        <f>IF(OR(G2041=0,E2041=0),"",C2041/E2041)</f>
        <v/>
      </c>
      <c r="I2041" t="str">
        <f>IF(OR(G2041=0,F2041=0),"",D2041/F2041)</f>
        <v/>
      </c>
      <c r="J2041" t="str">
        <f>IF(OR(H2041="",I2041=""),"",IF(H2041=0,"",I2041/H2041-1))</f>
        <v/>
      </c>
      <c r="K2041" t="str">
        <f>IF($B2041="","",IFERROR(IF(G2041=0,-2E+300,CHOOSE(sortIdx,ROUND(D2041,0),IF(J2041="",-1E+300,ROUND(-J2041,6)),IF(J2041="",-1E+300,ROUND(J2041,6)))),-1.5E+300))</f>
        <v/>
      </c>
      <c r="L2041" t="str">
        <f>IF(K2041="","",RANK(K2041,$K$2:$K$3001,0)+COUNTIF($K$2:K2041,K2041)-1)</f>
        <v/>
      </c>
    </row>
    <row r="2042">
      <c r="B2042" t="str">
        <f>IFERROR(IF(A2042="","","="&amp;SUBSTITUTE(SUBSTITUTE(SUBSTITUTE(A2042,"~","~~"),"*","~*"),"?","~?")),"")</f>
        <v/>
      </c>
      <c r="C2042" t="str">
        <f>IF($B2042="","",SUMIFS(dAmt,dCust,$B2042,dPer,"&gt;="&amp;pyFrom,dPer,"&lt;="&amp;pyTo,dAmt,"&gt;-1E+300",dFlt1,critFlt1,dFlt2,critFlt2,dFlt3,critFlt3))</f>
        <v/>
      </c>
      <c r="D2042" t="str">
        <f>IF($B2042="","",SUMIFS(dAmt,dCust,$B2042,dPer,"&gt;="&amp;cyFrom,dPer,"&lt;="&amp;cyTo,dAmt,"&gt;-1E+300",dFlt1,critFlt1,dFlt2,critFlt2,dFlt3,critFlt3))</f>
        <v/>
      </c>
      <c r="E2042" t="str">
        <f>IF($B2042="","",SUMIFS(dQty,dCust,$B2042,dPer,"&gt;="&amp;pyFrom,dPer,"&lt;="&amp;pyTo,dQty,"&gt;-1E+300",dFlt1,critFlt1,dFlt2,critFlt2,dFlt3,critFlt3))</f>
        <v/>
      </c>
      <c r="F2042" t="str">
        <f>IF($B2042="","",SUMIFS(dQty,dCust,$B2042,dPer,"&gt;="&amp;cyFrom,dPer,"&lt;="&amp;cyTo,dQty,"&gt;-1E+300",dFlt1,critFlt1,dFlt2,critFlt2,dFlt3,critFlt3))</f>
        <v/>
      </c>
      <c r="G2042">
        <f>IF($B2042="",0,IFERROR(IF(OR(C2042&lt;&gt;0,D2042&lt;&gt;0,E2042&lt;&gt;0,F2042&lt;&gt;0),1,0),1))</f>
        <v>0</v>
      </c>
      <c r="H2042" t="str">
        <f>IF(OR(G2042=0,E2042=0),"",C2042/E2042)</f>
        <v/>
      </c>
      <c r="I2042" t="str">
        <f>IF(OR(G2042=0,F2042=0),"",D2042/F2042)</f>
        <v/>
      </c>
      <c r="J2042" t="str">
        <f>IF(OR(H2042="",I2042=""),"",IF(H2042=0,"",I2042/H2042-1))</f>
        <v/>
      </c>
      <c r="K2042" t="str">
        <f>IF($B2042="","",IFERROR(IF(G2042=0,-2E+300,CHOOSE(sortIdx,ROUND(D2042,0),IF(J2042="",-1E+300,ROUND(-J2042,6)),IF(J2042="",-1E+300,ROUND(J2042,6)))),-1.5E+300))</f>
        <v/>
      </c>
      <c r="L2042" t="str">
        <f>IF(K2042="","",RANK(K2042,$K$2:$K$3001,0)+COUNTIF($K$2:K2042,K2042)-1)</f>
        <v/>
      </c>
    </row>
    <row r="2043">
      <c r="B2043" t="str">
        <f>IFERROR(IF(A2043="","","="&amp;SUBSTITUTE(SUBSTITUTE(SUBSTITUTE(A2043,"~","~~"),"*","~*"),"?","~?")),"")</f>
        <v/>
      </c>
      <c r="C2043" t="str">
        <f>IF($B2043="","",SUMIFS(dAmt,dCust,$B2043,dPer,"&gt;="&amp;pyFrom,dPer,"&lt;="&amp;pyTo,dAmt,"&gt;-1E+300",dFlt1,critFlt1,dFlt2,critFlt2,dFlt3,critFlt3))</f>
        <v/>
      </c>
      <c r="D2043" t="str">
        <f>IF($B2043="","",SUMIFS(dAmt,dCust,$B2043,dPer,"&gt;="&amp;cyFrom,dPer,"&lt;="&amp;cyTo,dAmt,"&gt;-1E+300",dFlt1,critFlt1,dFlt2,critFlt2,dFlt3,critFlt3))</f>
        <v/>
      </c>
      <c r="E2043" t="str">
        <f>IF($B2043="","",SUMIFS(dQty,dCust,$B2043,dPer,"&gt;="&amp;pyFrom,dPer,"&lt;="&amp;pyTo,dQty,"&gt;-1E+300",dFlt1,critFlt1,dFlt2,critFlt2,dFlt3,critFlt3))</f>
        <v/>
      </c>
      <c r="F2043" t="str">
        <f>IF($B2043="","",SUMIFS(dQty,dCust,$B2043,dPer,"&gt;="&amp;cyFrom,dPer,"&lt;="&amp;cyTo,dQty,"&gt;-1E+300",dFlt1,critFlt1,dFlt2,critFlt2,dFlt3,critFlt3))</f>
        <v/>
      </c>
      <c r="G2043">
        <f>IF($B2043="",0,IFERROR(IF(OR(C2043&lt;&gt;0,D2043&lt;&gt;0,E2043&lt;&gt;0,F2043&lt;&gt;0),1,0),1))</f>
        <v>0</v>
      </c>
      <c r="H2043" t="str">
        <f>IF(OR(G2043=0,E2043=0),"",C2043/E2043)</f>
        <v/>
      </c>
      <c r="I2043" t="str">
        <f>IF(OR(G2043=0,F2043=0),"",D2043/F2043)</f>
        <v/>
      </c>
      <c r="J2043" t="str">
        <f>IF(OR(H2043="",I2043=""),"",IF(H2043=0,"",I2043/H2043-1))</f>
        <v/>
      </c>
      <c r="K2043" t="str">
        <f>IF($B2043="","",IFERROR(IF(G2043=0,-2E+300,CHOOSE(sortIdx,ROUND(D2043,0),IF(J2043="",-1E+300,ROUND(-J2043,6)),IF(J2043="",-1E+300,ROUND(J2043,6)))),-1.5E+300))</f>
        <v/>
      </c>
      <c r="L2043" t="str">
        <f>IF(K2043="","",RANK(K2043,$K$2:$K$3001,0)+COUNTIF($K$2:K2043,K2043)-1)</f>
        <v/>
      </c>
    </row>
    <row r="2044">
      <c r="B2044" t="str">
        <f>IFERROR(IF(A2044="","","="&amp;SUBSTITUTE(SUBSTITUTE(SUBSTITUTE(A2044,"~","~~"),"*","~*"),"?","~?")),"")</f>
        <v/>
      </c>
      <c r="C2044" t="str">
        <f>IF($B2044="","",SUMIFS(dAmt,dCust,$B2044,dPer,"&gt;="&amp;pyFrom,dPer,"&lt;="&amp;pyTo,dAmt,"&gt;-1E+300",dFlt1,critFlt1,dFlt2,critFlt2,dFlt3,critFlt3))</f>
        <v/>
      </c>
      <c r="D2044" t="str">
        <f>IF($B2044="","",SUMIFS(dAmt,dCust,$B2044,dPer,"&gt;="&amp;cyFrom,dPer,"&lt;="&amp;cyTo,dAmt,"&gt;-1E+300",dFlt1,critFlt1,dFlt2,critFlt2,dFlt3,critFlt3))</f>
        <v/>
      </c>
      <c r="E2044" t="str">
        <f>IF($B2044="","",SUMIFS(dQty,dCust,$B2044,dPer,"&gt;="&amp;pyFrom,dPer,"&lt;="&amp;pyTo,dQty,"&gt;-1E+300",dFlt1,critFlt1,dFlt2,critFlt2,dFlt3,critFlt3))</f>
        <v/>
      </c>
      <c r="F2044" t="str">
        <f>IF($B2044="","",SUMIFS(dQty,dCust,$B2044,dPer,"&gt;="&amp;cyFrom,dPer,"&lt;="&amp;cyTo,dQty,"&gt;-1E+300",dFlt1,critFlt1,dFlt2,critFlt2,dFlt3,critFlt3))</f>
        <v/>
      </c>
      <c r="G2044">
        <f>IF($B2044="",0,IFERROR(IF(OR(C2044&lt;&gt;0,D2044&lt;&gt;0,E2044&lt;&gt;0,F2044&lt;&gt;0),1,0),1))</f>
        <v>0</v>
      </c>
      <c r="H2044" t="str">
        <f>IF(OR(G2044=0,E2044=0),"",C2044/E2044)</f>
        <v/>
      </c>
      <c r="I2044" t="str">
        <f>IF(OR(G2044=0,F2044=0),"",D2044/F2044)</f>
        <v/>
      </c>
      <c r="J2044" t="str">
        <f>IF(OR(H2044="",I2044=""),"",IF(H2044=0,"",I2044/H2044-1))</f>
        <v/>
      </c>
      <c r="K2044" t="str">
        <f>IF($B2044="","",IFERROR(IF(G2044=0,-2E+300,CHOOSE(sortIdx,ROUND(D2044,0),IF(J2044="",-1E+300,ROUND(-J2044,6)),IF(J2044="",-1E+300,ROUND(J2044,6)))),-1.5E+300))</f>
        <v/>
      </c>
      <c r="L2044" t="str">
        <f>IF(K2044="","",RANK(K2044,$K$2:$K$3001,0)+COUNTIF($K$2:K2044,K2044)-1)</f>
        <v/>
      </c>
    </row>
    <row r="2045">
      <c r="B2045" t="str">
        <f>IFERROR(IF(A2045="","","="&amp;SUBSTITUTE(SUBSTITUTE(SUBSTITUTE(A2045,"~","~~"),"*","~*"),"?","~?")),"")</f>
        <v/>
      </c>
      <c r="C2045" t="str">
        <f>IF($B2045="","",SUMIFS(dAmt,dCust,$B2045,dPer,"&gt;="&amp;pyFrom,dPer,"&lt;="&amp;pyTo,dAmt,"&gt;-1E+300",dFlt1,critFlt1,dFlt2,critFlt2,dFlt3,critFlt3))</f>
        <v/>
      </c>
      <c r="D2045" t="str">
        <f>IF($B2045="","",SUMIFS(dAmt,dCust,$B2045,dPer,"&gt;="&amp;cyFrom,dPer,"&lt;="&amp;cyTo,dAmt,"&gt;-1E+300",dFlt1,critFlt1,dFlt2,critFlt2,dFlt3,critFlt3))</f>
        <v/>
      </c>
      <c r="E2045" t="str">
        <f>IF($B2045="","",SUMIFS(dQty,dCust,$B2045,dPer,"&gt;="&amp;pyFrom,dPer,"&lt;="&amp;pyTo,dQty,"&gt;-1E+300",dFlt1,critFlt1,dFlt2,critFlt2,dFlt3,critFlt3))</f>
        <v/>
      </c>
      <c r="F2045" t="str">
        <f>IF($B2045="","",SUMIFS(dQty,dCust,$B2045,dPer,"&gt;="&amp;cyFrom,dPer,"&lt;="&amp;cyTo,dQty,"&gt;-1E+300",dFlt1,critFlt1,dFlt2,critFlt2,dFlt3,critFlt3))</f>
        <v/>
      </c>
      <c r="G2045">
        <f>IF($B2045="",0,IFERROR(IF(OR(C2045&lt;&gt;0,D2045&lt;&gt;0,E2045&lt;&gt;0,F2045&lt;&gt;0),1,0),1))</f>
        <v>0</v>
      </c>
      <c r="H2045" t="str">
        <f>IF(OR(G2045=0,E2045=0),"",C2045/E2045)</f>
        <v/>
      </c>
      <c r="I2045" t="str">
        <f>IF(OR(G2045=0,F2045=0),"",D2045/F2045)</f>
        <v/>
      </c>
      <c r="J2045" t="str">
        <f>IF(OR(H2045="",I2045=""),"",IF(H2045=0,"",I2045/H2045-1))</f>
        <v/>
      </c>
      <c r="K2045" t="str">
        <f>IF($B2045="","",IFERROR(IF(G2045=0,-2E+300,CHOOSE(sortIdx,ROUND(D2045,0),IF(J2045="",-1E+300,ROUND(-J2045,6)),IF(J2045="",-1E+300,ROUND(J2045,6)))),-1.5E+300))</f>
        <v/>
      </c>
      <c r="L2045" t="str">
        <f>IF(K2045="","",RANK(K2045,$K$2:$K$3001,0)+COUNTIF($K$2:K2045,K2045)-1)</f>
        <v/>
      </c>
    </row>
    <row r="2046">
      <c r="B2046" t="str">
        <f>IFERROR(IF(A2046="","","="&amp;SUBSTITUTE(SUBSTITUTE(SUBSTITUTE(A2046,"~","~~"),"*","~*"),"?","~?")),"")</f>
        <v/>
      </c>
      <c r="C2046" t="str">
        <f>IF($B2046="","",SUMIFS(dAmt,dCust,$B2046,dPer,"&gt;="&amp;pyFrom,dPer,"&lt;="&amp;pyTo,dAmt,"&gt;-1E+300",dFlt1,critFlt1,dFlt2,critFlt2,dFlt3,critFlt3))</f>
        <v/>
      </c>
      <c r="D2046" t="str">
        <f>IF($B2046="","",SUMIFS(dAmt,dCust,$B2046,dPer,"&gt;="&amp;cyFrom,dPer,"&lt;="&amp;cyTo,dAmt,"&gt;-1E+300",dFlt1,critFlt1,dFlt2,critFlt2,dFlt3,critFlt3))</f>
        <v/>
      </c>
      <c r="E2046" t="str">
        <f>IF($B2046="","",SUMIFS(dQty,dCust,$B2046,dPer,"&gt;="&amp;pyFrom,dPer,"&lt;="&amp;pyTo,dQty,"&gt;-1E+300",dFlt1,critFlt1,dFlt2,critFlt2,dFlt3,critFlt3))</f>
        <v/>
      </c>
      <c r="F2046" t="str">
        <f>IF($B2046="","",SUMIFS(dQty,dCust,$B2046,dPer,"&gt;="&amp;cyFrom,dPer,"&lt;="&amp;cyTo,dQty,"&gt;-1E+300",dFlt1,critFlt1,dFlt2,critFlt2,dFlt3,critFlt3))</f>
        <v/>
      </c>
      <c r="G2046">
        <f>IF($B2046="",0,IFERROR(IF(OR(C2046&lt;&gt;0,D2046&lt;&gt;0,E2046&lt;&gt;0,F2046&lt;&gt;0),1,0),1))</f>
        <v>0</v>
      </c>
      <c r="H2046" t="str">
        <f>IF(OR(G2046=0,E2046=0),"",C2046/E2046)</f>
        <v/>
      </c>
      <c r="I2046" t="str">
        <f>IF(OR(G2046=0,F2046=0),"",D2046/F2046)</f>
        <v/>
      </c>
      <c r="J2046" t="str">
        <f>IF(OR(H2046="",I2046=""),"",IF(H2046=0,"",I2046/H2046-1))</f>
        <v/>
      </c>
      <c r="K2046" t="str">
        <f>IF($B2046="","",IFERROR(IF(G2046=0,-2E+300,CHOOSE(sortIdx,ROUND(D2046,0),IF(J2046="",-1E+300,ROUND(-J2046,6)),IF(J2046="",-1E+300,ROUND(J2046,6)))),-1.5E+300))</f>
        <v/>
      </c>
      <c r="L2046" t="str">
        <f>IF(K2046="","",RANK(K2046,$K$2:$K$3001,0)+COUNTIF($K$2:K2046,K2046)-1)</f>
        <v/>
      </c>
    </row>
    <row r="2047">
      <c r="B2047" t="str">
        <f>IFERROR(IF(A2047="","","="&amp;SUBSTITUTE(SUBSTITUTE(SUBSTITUTE(A2047,"~","~~"),"*","~*"),"?","~?")),"")</f>
        <v/>
      </c>
      <c r="C2047" t="str">
        <f>IF($B2047="","",SUMIFS(dAmt,dCust,$B2047,dPer,"&gt;="&amp;pyFrom,dPer,"&lt;="&amp;pyTo,dAmt,"&gt;-1E+300",dFlt1,critFlt1,dFlt2,critFlt2,dFlt3,critFlt3))</f>
        <v/>
      </c>
      <c r="D2047" t="str">
        <f>IF($B2047="","",SUMIFS(dAmt,dCust,$B2047,dPer,"&gt;="&amp;cyFrom,dPer,"&lt;="&amp;cyTo,dAmt,"&gt;-1E+300",dFlt1,critFlt1,dFlt2,critFlt2,dFlt3,critFlt3))</f>
        <v/>
      </c>
      <c r="E2047" t="str">
        <f>IF($B2047="","",SUMIFS(dQty,dCust,$B2047,dPer,"&gt;="&amp;pyFrom,dPer,"&lt;="&amp;pyTo,dQty,"&gt;-1E+300",dFlt1,critFlt1,dFlt2,critFlt2,dFlt3,critFlt3))</f>
        <v/>
      </c>
      <c r="F2047" t="str">
        <f>IF($B2047="","",SUMIFS(dQty,dCust,$B2047,dPer,"&gt;="&amp;cyFrom,dPer,"&lt;="&amp;cyTo,dQty,"&gt;-1E+300",dFlt1,critFlt1,dFlt2,critFlt2,dFlt3,critFlt3))</f>
        <v/>
      </c>
      <c r="G2047">
        <f>IF($B2047="",0,IFERROR(IF(OR(C2047&lt;&gt;0,D2047&lt;&gt;0,E2047&lt;&gt;0,F2047&lt;&gt;0),1,0),1))</f>
        <v>0</v>
      </c>
      <c r="H2047" t="str">
        <f>IF(OR(G2047=0,E2047=0),"",C2047/E2047)</f>
        <v/>
      </c>
      <c r="I2047" t="str">
        <f>IF(OR(G2047=0,F2047=0),"",D2047/F2047)</f>
        <v/>
      </c>
      <c r="J2047" t="str">
        <f>IF(OR(H2047="",I2047=""),"",IF(H2047=0,"",I2047/H2047-1))</f>
        <v/>
      </c>
      <c r="K2047" t="str">
        <f>IF($B2047="","",IFERROR(IF(G2047=0,-2E+300,CHOOSE(sortIdx,ROUND(D2047,0),IF(J2047="",-1E+300,ROUND(-J2047,6)),IF(J2047="",-1E+300,ROUND(J2047,6)))),-1.5E+300))</f>
        <v/>
      </c>
      <c r="L2047" t="str">
        <f>IF(K2047="","",RANK(K2047,$K$2:$K$3001,0)+COUNTIF($K$2:K2047,K2047)-1)</f>
        <v/>
      </c>
    </row>
    <row r="2048">
      <c r="B2048" t="str">
        <f>IFERROR(IF(A2048="","","="&amp;SUBSTITUTE(SUBSTITUTE(SUBSTITUTE(A2048,"~","~~"),"*","~*"),"?","~?")),"")</f>
        <v/>
      </c>
      <c r="C2048" t="str">
        <f>IF($B2048="","",SUMIFS(dAmt,dCust,$B2048,dPer,"&gt;="&amp;pyFrom,dPer,"&lt;="&amp;pyTo,dAmt,"&gt;-1E+300",dFlt1,critFlt1,dFlt2,critFlt2,dFlt3,critFlt3))</f>
        <v/>
      </c>
      <c r="D2048" t="str">
        <f>IF($B2048="","",SUMIFS(dAmt,dCust,$B2048,dPer,"&gt;="&amp;cyFrom,dPer,"&lt;="&amp;cyTo,dAmt,"&gt;-1E+300",dFlt1,critFlt1,dFlt2,critFlt2,dFlt3,critFlt3))</f>
        <v/>
      </c>
      <c r="E2048" t="str">
        <f>IF($B2048="","",SUMIFS(dQty,dCust,$B2048,dPer,"&gt;="&amp;pyFrom,dPer,"&lt;="&amp;pyTo,dQty,"&gt;-1E+300",dFlt1,critFlt1,dFlt2,critFlt2,dFlt3,critFlt3))</f>
        <v/>
      </c>
      <c r="F2048" t="str">
        <f>IF($B2048="","",SUMIFS(dQty,dCust,$B2048,dPer,"&gt;="&amp;cyFrom,dPer,"&lt;="&amp;cyTo,dQty,"&gt;-1E+300",dFlt1,critFlt1,dFlt2,critFlt2,dFlt3,critFlt3))</f>
        <v/>
      </c>
      <c r="G2048">
        <f>IF($B2048="",0,IFERROR(IF(OR(C2048&lt;&gt;0,D2048&lt;&gt;0,E2048&lt;&gt;0,F2048&lt;&gt;0),1,0),1))</f>
        <v>0</v>
      </c>
      <c r="H2048" t="str">
        <f>IF(OR(G2048=0,E2048=0),"",C2048/E2048)</f>
        <v/>
      </c>
      <c r="I2048" t="str">
        <f>IF(OR(G2048=0,F2048=0),"",D2048/F2048)</f>
        <v/>
      </c>
      <c r="J2048" t="str">
        <f>IF(OR(H2048="",I2048=""),"",IF(H2048=0,"",I2048/H2048-1))</f>
        <v/>
      </c>
      <c r="K2048" t="str">
        <f>IF($B2048="","",IFERROR(IF(G2048=0,-2E+300,CHOOSE(sortIdx,ROUND(D2048,0),IF(J2048="",-1E+300,ROUND(-J2048,6)),IF(J2048="",-1E+300,ROUND(J2048,6)))),-1.5E+300))</f>
        <v/>
      </c>
      <c r="L2048" t="str">
        <f>IF(K2048="","",RANK(K2048,$K$2:$K$3001,0)+COUNTIF($K$2:K2048,K2048)-1)</f>
        <v/>
      </c>
    </row>
    <row r="2049">
      <c r="B2049" t="str">
        <f>IFERROR(IF(A2049="","","="&amp;SUBSTITUTE(SUBSTITUTE(SUBSTITUTE(A2049,"~","~~"),"*","~*"),"?","~?")),"")</f>
        <v/>
      </c>
      <c r="C2049" t="str">
        <f>IF($B2049="","",SUMIFS(dAmt,dCust,$B2049,dPer,"&gt;="&amp;pyFrom,dPer,"&lt;="&amp;pyTo,dAmt,"&gt;-1E+300",dFlt1,critFlt1,dFlt2,critFlt2,dFlt3,critFlt3))</f>
        <v/>
      </c>
      <c r="D2049" t="str">
        <f>IF($B2049="","",SUMIFS(dAmt,dCust,$B2049,dPer,"&gt;="&amp;cyFrom,dPer,"&lt;="&amp;cyTo,dAmt,"&gt;-1E+300",dFlt1,critFlt1,dFlt2,critFlt2,dFlt3,critFlt3))</f>
        <v/>
      </c>
      <c r="E2049" t="str">
        <f>IF($B2049="","",SUMIFS(dQty,dCust,$B2049,dPer,"&gt;="&amp;pyFrom,dPer,"&lt;="&amp;pyTo,dQty,"&gt;-1E+300",dFlt1,critFlt1,dFlt2,critFlt2,dFlt3,critFlt3))</f>
        <v/>
      </c>
      <c r="F2049" t="str">
        <f>IF($B2049="","",SUMIFS(dQty,dCust,$B2049,dPer,"&gt;="&amp;cyFrom,dPer,"&lt;="&amp;cyTo,dQty,"&gt;-1E+300",dFlt1,critFlt1,dFlt2,critFlt2,dFlt3,critFlt3))</f>
        <v/>
      </c>
      <c r="G2049">
        <f>IF($B2049="",0,IFERROR(IF(OR(C2049&lt;&gt;0,D2049&lt;&gt;0,E2049&lt;&gt;0,F2049&lt;&gt;0),1,0),1))</f>
        <v>0</v>
      </c>
      <c r="H2049" t="str">
        <f>IF(OR(G2049=0,E2049=0),"",C2049/E2049)</f>
        <v/>
      </c>
      <c r="I2049" t="str">
        <f>IF(OR(G2049=0,F2049=0),"",D2049/F2049)</f>
        <v/>
      </c>
      <c r="J2049" t="str">
        <f>IF(OR(H2049="",I2049=""),"",IF(H2049=0,"",I2049/H2049-1))</f>
        <v/>
      </c>
      <c r="K2049" t="str">
        <f>IF($B2049="","",IFERROR(IF(G2049=0,-2E+300,CHOOSE(sortIdx,ROUND(D2049,0),IF(J2049="",-1E+300,ROUND(-J2049,6)),IF(J2049="",-1E+300,ROUND(J2049,6)))),-1.5E+300))</f>
        <v/>
      </c>
      <c r="L2049" t="str">
        <f>IF(K2049="","",RANK(K2049,$K$2:$K$3001,0)+COUNTIF($K$2:K2049,K2049)-1)</f>
        <v/>
      </c>
    </row>
    <row r="2050">
      <c r="B2050" t="str">
        <f>IFERROR(IF(A2050="","","="&amp;SUBSTITUTE(SUBSTITUTE(SUBSTITUTE(A2050,"~","~~"),"*","~*"),"?","~?")),"")</f>
        <v/>
      </c>
      <c r="C2050" t="str">
        <f>IF($B2050="","",SUMIFS(dAmt,dCust,$B2050,dPer,"&gt;="&amp;pyFrom,dPer,"&lt;="&amp;pyTo,dAmt,"&gt;-1E+300",dFlt1,critFlt1,dFlt2,critFlt2,dFlt3,critFlt3))</f>
        <v/>
      </c>
      <c r="D2050" t="str">
        <f>IF($B2050="","",SUMIFS(dAmt,dCust,$B2050,dPer,"&gt;="&amp;cyFrom,dPer,"&lt;="&amp;cyTo,dAmt,"&gt;-1E+300",dFlt1,critFlt1,dFlt2,critFlt2,dFlt3,critFlt3))</f>
        <v/>
      </c>
      <c r="E2050" t="str">
        <f>IF($B2050="","",SUMIFS(dQty,dCust,$B2050,dPer,"&gt;="&amp;pyFrom,dPer,"&lt;="&amp;pyTo,dQty,"&gt;-1E+300",dFlt1,critFlt1,dFlt2,critFlt2,dFlt3,critFlt3))</f>
        <v/>
      </c>
      <c r="F2050" t="str">
        <f>IF($B2050="","",SUMIFS(dQty,dCust,$B2050,dPer,"&gt;="&amp;cyFrom,dPer,"&lt;="&amp;cyTo,dQty,"&gt;-1E+300",dFlt1,critFlt1,dFlt2,critFlt2,dFlt3,critFlt3))</f>
        <v/>
      </c>
      <c r="G2050">
        <f>IF($B2050="",0,IFERROR(IF(OR(C2050&lt;&gt;0,D2050&lt;&gt;0,E2050&lt;&gt;0,F2050&lt;&gt;0),1,0),1))</f>
        <v>0</v>
      </c>
      <c r="H2050" t="str">
        <f>IF(OR(G2050=0,E2050=0),"",C2050/E2050)</f>
        <v/>
      </c>
      <c r="I2050" t="str">
        <f>IF(OR(G2050=0,F2050=0),"",D2050/F2050)</f>
        <v/>
      </c>
      <c r="J2050" t="str">
        <f>IF(OR(H2050="",I2050=""),"",IF(H2050=0,"",I2050/H2050-1))</f>
        <v/>
      </c>
      <c r="K2050" t="str">
        <f>IF($B2050="","",IFERROR(IF(G2050=0,-2E+300,CHOOSE(sortIdx,ROUND(D2050,0),IF(J2050="",-1E+300,ROUND(-J2050,6)),IF(J2050="",-1E+300,ROUND(J2050,6)))),-1.5E+300))</f>
        <v/>
      </c>
      <c r="L2050" t="str">
        <f>IF(K2050="","",RANK(K2050,$K$2:$K$3001,0)+COUNTIF($K$2:K2050,K2050)-1)</f>
        <v/>
      </c>
    </row>
    <row r="2051">
      <c r="B2051" t="str">
        <f>IFERROR(IF(A2051="","","="&amp;SUBSTITUTE(SUBSTITUTE(SUBSTITUTE(A2051,"~","~~"),"*","~*"),"?","~?")),"")</f>
        <v/>
      </c>
      <c r="C2051" t="str">
        <f>IF($B2051="","",SUMIFS(dAmt,dCust,$B2051,dPer,"&gt;="&amp;pyFrom,dPer,"&lt;="&amp;pyTo,dAmt,"&gt;-1E+300",dFlt1,critFlt1,dFlt2,critFlt2,dFlt3,critFlt3))</f>
        <v/>
      </c>
      <c r="D2051" t="str">
        <f>IF($B2051="","",SUMIFS(dAmt,dCust,$B2051,dPer,"&gt;="&amp;cyFrom,dPer,"&lt;="&amp;cyTo,dAmt,"&gt;-1E+300",dFlt1,critFlt1,dFlt2,critFlt2,dFlt3,critFlt3))</f>
        <v/>
      </c>
      <c r="E2051" t="str">
        <f>IF($B2051="","",SUMIFS(dQty,dCust,$B2051,dPer,"&gt;="&amp;pyFrom,dPer,"&lt;="&amp;pyTo,dQty,"&gt;-1E+300",dFlt1,critFlt1,dFlt2,critFlt2,dFlt3,critFlt3))</f>
        <v/>
      </c>
      <c r="F2051" t="str">
        <f>IF($B2051="","",SUMIFS(dQty,dCust,$B2051,dPer,"&gt;="&amp;cyFrom,dPer,"&lt;="&amp;cyTo,dQty,"&gt;-1E+300",dFlt1,critFlt1,dFlt2,critFlt2,dFlt3,critFlt3))</f>
        <v/>
      </c>
      <c r="G2051">
        <f>IF($B2051="",0,IFERROR(IF(OR(C2051&lt;&gt;0,D2051&lt;&gt;0,E2051&lt;&gt;0,F2051&lt;&gt;0),1,0),1))</f>
        <v>0</v>
      </c>
      <c r="H2051" t="str">
        <f>IF(OR(G2051=0,E2051=0),"",C2051/E2051)</f>
        <v/>
      </c>
      <c r="I2051" t="str">
        <f>IF(OR(G2051=0,F2051=0),"",D2051/F2051)</f>
        <v/>
      </c>
      <c r="J2051" t="str">
        <f>IF(OR(H2051="",I2051=""),"",IF(H2051=0,"",I2051/H2051-1))</f>
        <v/>
      </c>
      <c r="K2051" t="str">
        <f>IF($B2051="","",IFERROR(IF(G2051=0,-2E+300,CHOOSE(sortIdx,ROUND(D2051,0),IF(J2051="",-1E+300,ROUND(-J2051,6)),IF(J2051="",-1E+300,ROUND(J2051,6)))),-1.5E+300))</f>
        <v/>
      </c>
      <c r="L2051" t="str">
        <f>IF(K2051="","",RANK(K2051,$K$2:$K$3001,0)+COUNTIF($K$2:K2051,K2051)-1)</f>
        <v/>
      </c>
    </row>
    <row r="2052">
      <c r="B2052" t="str">
        <f>IFERROR(IF(A2052="","","="&amp;SUBSTITUTE(SUBSTITUTE(SUBSTITUTE(A2052,"~","~~"),"*","~*"),"?","~?")),"")</f>
        <v/>
      </c>
      <c r="C2052" t="str">
        <f>IF($B2052="","",SUMIFS(dAmt,dCust,$B2052,dPer,"&gt;="&amp;pyFrom,dPer,"&lt;="&amp;pyTo,dAmt,"&gt;-1E+300",dFlt1,critFlt1,dFlt2,critFlt2,dFlt3,critFlt3))</f>
        <v/>
      </c>
      <c r="D2052" t="str">
        <f>IF($B2052="","",SUMIFS(dAmt,dCust,$B2052,dPer,"&gt;="&amp;cyFrom,dPer,"&lt;="&amp;cyTo,dAmt,"&gt;-1E+300",dFlt1,critFlt1,dFlt2,critFlt2,dFlt3,critFlt3))</f>
        <v/>
      </c>
      <c r="E2052" t="str">
        <f>IF($B2052="","",SUMIFS(dQty,dCust,$B2052,dPer,"&gt;="&amp;pyFrom,dPer,"&lt;="&amp;pyTo,dQty,"&gt;-1E+300",dFlt1,critFlt1,dFlt2,critFlt2,dFlt3,critFlt3))</f>
        <v/>
      </c>
      <c r="F2052" t="str">
        <f>IF($B2052="","",SUMIFS(dQty,dCust,$B2052,dPer,"&gt;="&amp;cyFrom,dPer,"&lt;="&amp;cyTo,dQty,"&gt;-1E+300",dFlt1,critFlt1,dFlt2,critFlt2,dFlt3,critFlt3))</f>
        <v/>
      </c>
      <c r="G2052">
        <f>IF($B2052="",0,IFERROR(IF(OR(C2052&lt;&gt;0,D2052&lt;&gt;0,E2052&lt;&gt;0,F2052&lt;&gt;0),1,0),1))</f>
        <v>0</v>
      </c>
      <c r="H2052" t="str">
        <f>IF(OR(G2052=0,E2052=0),"",C2052/E2052)</f>
        <v/>
      </c>
      <c r="I2052" t="str">
        <f>IF(OR(G2052=0,F2052=0),"",D2052/F2052)</f>
        <v/>
      </c>
      <c r="J2052" t="str">
        <f>IF(OR(H2052="",I2052=""),"",IF(H2052=0,"",I2052/H2052-1))</f>
        <v/>
      </c>
      <c r="K2052" t="str">
        <f>IF($B2052="","",IFERROR(IF(G2052=0,-2E+300,CHOOSE(sortIdx,ROUND(D2052,0),IF(J2052="",-1E+300,ROUND(-J2052,6)),IF(J2052="",-1E+300,ROUND(J2052,6)))),-1.5E+300))</f>
        <v/>
      </c>
      <c r="L2052" t="str">
        <f>IF(K2052="","",RANK(K2052,$K$2:$K$3001,0)+COUNTIF($K$2:K2052,K2052)-1)</f>
        <v/>
      </c>
    </row>
    <row r="2053">
      <c r="B2053" t="str">
        <f>IFERROR(IF(A2053="","","="&amp;SUBSTITUTE(SUBSTITUTE(SUBSTITUTE(A2053,"~","~~"),"*","~*"),"?","~?")),"")</f>
        <v/>
      </c>
      <c r="C2053" t="str">
        <f>IF($B2053="","",SUMIFS(dAmt,dCust,$B2053,dPer,"&gt;="&amp;pyFrom,dPer,"&lt;="&amp;pyTo,dAmt,"&gt;-1E+300",dFlt1,critFlt1,dFlt2,critFlt2,dFlt3,critFlt3))</f>
        <v/>
      </c>
      <c r="D2053" t="str">
        <f>IF($B2053="","",SUMIFS(dAmt,dCust,$B2053,dPer,"&gt;="&amp;cyFrom,dPer,"&lt;="&amp;cyTo,dAmt,"&gt;-1E+300",dFlt1,critFlt1,dFlt2,critFlt2,dFlt3,critFlt3))</f>
        <v/>
      </c>
      <c r="E2053" t="str">
        <f>IF($B2053="","",SUMIFS(dQty,dCust,$B2053,dPer,"&gt;="&amp;pyFrom,dPer,"&lt;="&amp;pyTo,dQty,"&gt;-1E+300",dFlt1,critFlt1,dFlt2,critFlt2,dFlt3,critFlt3))</f>
        <v/>
      </c>
      <c r="F2053" t="str">
        <f>IF($B2053="","",SUMIFS(dQty,dCust,$B2053,dPer,"&gt;="&amp;cyFrom,dPer,"&lt;="&amp;cyTo,dQty,"&gt;-1E+300",dFlt1,critFlt1,dFlt2,critFlt2,dFlt3,critFlt3))</f>
        <v/>
      </c>
      <c r="G2053">
        <f>IF($B2053="",0,IFERROR(IF(OR(C2053&lt;&gt;0,D2053&lt;&gt;0,E2053&lt;&gt;0,F2053&lt;&gt;0),1,0),1))</f>
        <v>0</v>
      </c>
      <c r="H2053" t="str">
        <f>IF(OR(G2053=0,E2053=0),"",C2053/E2053)</f>
        <v/>
      </c>
      <c r="I2053" t="str">
        <f>IF(OR(G2053=0,F2053=0),"",D2053/F2053)</f>
        <v/>
      </c>
      <c r="J2053" t="str">
        <f>IF(OR(H2053="",I2053=""),"",IF(H2053=0,"",I2053/H2053-1))</f>
        <v/>
      </c>
      <c r="K2053" t="str">
        <f>IF($B2053="","",IFERROR(IF(G2053=0,-2E+300,CHOOSE(sortIdx,ROUND(D2053,0),IF(J2053="",-1E+300,ROUND(-J2053,6)),IF(J2053="",-1E+300,ROUND(J2053,6)))),-1.5E+300))</f>
        <v/>
      </c>
      <c r="L2053" t="str">
        <f>IF(K2053="","",RANK(K2053,$K$2:$K$3001,0)+COUNTIF($K$2:K2053,K2053)-1)</f>
        <v/>
      </c>
    </row>
    <row r="2054">
      <c r="B2054" t="str">
        <f>IFERROR(IF(A2054="","","="&amp;SUBSTITUTE(SUBSTITUTE(SUBSTITUTE(A2054,"~","~~"),"*","~*"),"?","~?")),"")</f>
        <v/>
      </c>
      <c r="C2054" t="str">
        <f>IF($B2054="","",SUMIFS(dAmt,dCust,$B2054,dPer,"&gt;="&amp;pyFrom,dPer,"&lt;="&amp;pyTo,dAmt,"&gt;-1E+300",dFlt1,critFlt1,dFlt2,critFlt2,dFlt3,critFlt3))</f>
        <v/>
      </c>
      <c r="D2054" t="str">
        <f>IF($B2054="","",SUMIFS(dAmt,dCust,$B2054,dPer,"&gt;="&amp;cyFrom,dPer,"&lt;="&amp;cyTo,dAmt,"&gt;-1E+300",dFlt1,critFlt1,dFlt2,critFlt2,dFlt3,critFlt3))</f>
        <v/>
      </c>
      <c r="E2054" t="str">
        <f>IF($B2054="","",SUMIFS(dQty,dCust,$B2054,dPer,"&gt;="&amp;pyFrom,dPer,"&lt;="&amp;pyTo,dQty,"&gt;-1E+300",dFlt1,critFlt1,dFlt2,critFlt2,dFlt3,critFlt3))</f>
        <v/>
      </c>
      <c r="F2054" t="str">
        <f>IF($B2054="","",SUMIFS(dQty,dCust,$B2054,dPer,"&gt;="&amp;cyFrom,dPer,"&lt;="&amp;cyTo,dQty,"&gt;-1E+300",dFlt1,critFlt1,dFlt2,critFlt2,dFlt3,critFlt3))</f>
        <v/>
      </c>
      <c r="G2054">
        <f>IF($B2054="",0,IFERROR(IF(OR(C2054&lt;&gt;0,D2054&lt;&gt;0,E2054&lt;&gt;0,F2054&lt;&gt;0),1,0),1))</f>
        <v>0</v>
      </c>
      <c r="H2054" t="str">
        <f>IF(OR(G2054=0,E2054=0),"",C2054/E2054)</f>
        <v/>
      </c>
      <c r="I2054" t="str">
        <f>IF(OR(G2054=0,F2054=0),"",D2054/F2054)</f>
        <v/>
      </c>
      <c r="J2054" t="str">
        <f>IF(OR(H2054="",I2054=""),"",IF(H2054=0,"",I2054/H2054-1))</f>
        <v/>
      </c>
      <c r="K2054" t="str">
        <f>IF($B2054="","",IFERROR(IF(G2054=0,-2E+300,CHOOSE(sortIdx,ROUND(D2054,0),IF(J2054="",-1E+300,ROUND(-J2054,6)),IF(J2054="",-1E+300,ROUND(J2054,6)))),-1.5E+300))</f>
        <v/>
      </c>
      <c r="L2054" t="str">
        <f>IF(K2054="","",RANK(K2054,$K$2:$K$3001,0)+COUNTIF($K$2:K2054,K2054)-1)</f>
        <v/>
      </c>
    </row>
    <row r="2055">
      <c r="B2055" t="str">
        <f>IFERROR(IF(A2055="","","="&amp;SUBSTITUTE(SUBSTITUTE(SUBSTITUTE(A2055,"~","~~"),"*","~*"),"?","~?")),"")</f>
        <v/>
      </c>
      <c r="C2055" t="str">
        <f>IF($B2055="","",SUMIFS(dAmt,dCust,$B2055,dPer,"&gt;="&amp;pyFrom,dPer,"&lt;="&amp;pyTo,dAmt,"&gt;-1E+300",dFlt1,critFlt1,dFlt2,critFlt2,dFlt3,critFlt3))</f>
        <v/>
      </c>
      <c r="D2055" t="str">
        <f>IF($B2055="","",SUMIFS(dAmt,dCust,$B2055,dPer,"&gt;="&amp;cyFrom,dPer,"&lt;="&amp;cyTo,dAmt,"&gt;-1E+300",dFlt1,critFlt1,dFlt2,critFlt2,dFlt3,critFlt3))</f>
        <v/>
      </c>
      <c r="E2055" t="str">
        <f>IF($B2055="","",SUMIFS(dQty,dCust,$B2055,dPer,"&gt;="&amp;pyFrom,dPer,"&lt;="&amp;pyTo,dQty,"&gt;-1E+300",dFlt1,critFlt1,dFlt2,critFlt2,dFlt3,critFlt3))</f>
        <v/>
      </c>
      <c r="F2055" t="str">
        <f>IF($B2055="","",SUMIFS(dQty,dCust,$B2055,dPer,"&gt;="&amp;cyFrom,dPer,"&lt;="&amp;cyTo,dQty,"&gt;-1E+300",dFlt1,critFlt1,dFlt2,critFlt2,dFlt3,critFlt3))</f>
        <v/>
      </c>
      <c r="G2055">
        <f>IF($B2055="",0,IFERROR(IF(OR(C2055&lt;&gt;0,D2055&lt;&gt;0,E2055&lt;&gt;0,F2055&lt;&gt;0),1,0),1))</f>
        <v>0</v>
      </c>
      <c r="H2055" t="str">
        <f>IF(OR(G2055=0,E2055=0),"",C2055/E2055)</f>
        <v/>
      </c>
      <c r="I2055" t="str">
        <f>IF(OR(G2055=0,F2055=0),"",D2055/F2055)</f>
        <v/>
      </c>
      <c r="J2055" t="str">
        <f>IF(OR(H2055="",I2055=""),"",IF(H2055=0,"",I2055/H2055-1))</f>
        <v/>
      </c>
      <c r="K2055" t="str">
        <f>IF($B2055="","",IFERROR(IF(G2055=0,-2E+300,CHOOSE(sortIdx,ROUND(D2055,0),IF(J2055="",-1E+300,ROUND(-J2055,6)),IF(J2055="",-1E+300,ROUND(J2055,6)))),-1.5E+300))</f>
        <v/>
      </c>
      <c r="L2055" t="str">
        <f>IF(K2055="","",RANK(K2055,$K$2:$K$3001,0)+COUNTIF($K$2:K2055,K2055)-1)</f>
        <v/>
      </c>
    </row>
    <row r="2056">
      <c r="B2056" t="str">
        <f>IFERROR(IF(A2056="","","="&amp;SUBSTITUTE(SUBSTITUTE(SUBSTITUTE(A2056,"~","~~"),"*","~*"),"?","~?")),"")</f>
        <v/>
      </c>
      <c r="C2056" t="str">
        <f>IF($B2056="","",SUMIFS(dAmt,dCust,$B2056,dPer,"&gt;="&amp;pyFrom,dPer,"&lt;="&amp;pyTo,dAmt,"&gt;-1E+300",dFlt1,critFlt1,dFlt2,critFlt2,dFlt3,critFlt3))</f>
        <v/>
      </c>
      <c r="D2056" t="str">
        <f>IF($B2056="","",SUMIFS(dAmt,dCust,$B2056,dPer,"&gt;="&amp;cyFrom,dPer,"&lt;="&amp;cyTo,dAmt,"&gt;-1E+300",dFlt1,critFlt1,dFlt2,critFlt2,dFlt3,critFlt3))</f>
        <v/>
      </c>
      <c r="E2056" t="str">
        <f>IF($B2056="","",SUMIFS(dQty,dCust,$B2056,dPer,"&gt;="&amp;pyFrom,dPer,"&lt;="&amp;pyTo,dQty,"&gt;-1E+300",dFlt1,critFlt1,dFlt2,critFlt2,dFlt3,critFlt3))</f>
        <v/>
      </c>
      <c r="F2056" t="str">
        <f>IF($B2056="","",SUMIFS(dQty,dCust,$B2056,dPer,"&gt;="&amp;cyFrom,dPer,"&lt;="&amp;cyTo,dQty,"&gt;-1E+300",dFlt1,critFlt1,dFlt2,critFlt2,dFlt3,critFlt3))</f>
        <v/>
      </c>
      <c r="G2056">
        <f>IF($B2056="",0,IFERROR(IF(OR(C2056&lt;&gt;0,D2056&lt;&gt;0,E2056&lt;&gt;0,F2056&lt;&gt;0),1,0),1))</f>
        <v>0</v>
      </c>
      <c r="H2056" t="str">
        <f>IF(OR(G2056=0,E2056=0),"",C2056/E2056)</f>
        <v/>
      </c>
      <c r="I2056" t="str">
        <f>IF(OR(G2056=0,F2056=0),"",D2056/F2056)</f>
        <v/>
      </c>
      <c r="J2056" t="str">
        <f>IF(OR(H2056="",I2056=""),"",IF(H2056=0,"",I2056/H2056-1))</f>
        <v/>
      </c>
      <c r="K2056" t="str">
        <f>IF($B2056="","",IFERROR(IF(G2056=0,-2E+300,CHOOSE(sortIdx,ROUND(D2056,0),IF(J2056="",-1E+300,ROUND(-J2056,6)),IF(J2056="",-1E+300,ROUND(J2056,6)))),-1.5E+300))</f>
        <v/>
      </c>
      <c r="L2056" t="str">
        <f>IF(K2056="","",RANK(K2056,$K$2:$K$3001,0)+COUNTIF($K$2:K2056,K2056)-1)</f>
        <v/>
      </c>
    </row>
    <row r="2057">
      <c r="B2057" t="str">
        <f>IFERROR(IF(A2057="","","="&amp;SUBSTITUTE(SUBSTITUTE(SUBSTITUTE(A2057,"~","~~"),"*","~*"),"?","~?")),"")</f>
        <v/>
      </c>
      <c r="C2057" t="str">
        <f>IF($B2057="","",SUMIFS(dAmt,dCust,$B2057,dPer,"&gt;="&amp;pyFrom,dPer,"&lt;="&amp;pyTo,dAmt,"&gt;-1E+300",dFlt1,critFlt1,dFlt2,critFlt2,dFlt3,critFlt3))</f>
        <v/>
      </c>
      <c r="D2057" t="str">
        <f>IF($B2057="","",SUMIFS(dAmt,dCust,$B2057,dPer,"&gt;="&amp;cyFrom,dPer,"&lt;="&amp;cyTo,dAmt,"&gt;-1E+300",dFlt1,critFlt1,dFlt2,critFlt2,dFlt3,critFlt3))</f>
        <v/>
      </c>
      <c r="E2057" t="str">
        <f>IF($B2057="","",SUMIFS(dQty,dCust,$B2057,dPer,"&gt;="&amp;pyFrom,dPer,"&lt;="&amp;pyTo,dQty,"&gt;-1E+300",dFlt1,critFlt1,dFlt2,critFlt2,dFlt3,critFlt3))</f>
        <v/>
      </c>
      <c r="F2057" t="str">
        <f>IF($B2057="","",SUMIFS(dQty,dCust,$B2057,dPer,"&gt;="&amp;cyFrom,dPer,"&lt;="&amp;cyTo,dQty,"&gt;-1E+300",dFlt1,critFlt1,dFlt2,critFlt2,dFlt3,critFlt3))</f>
        <v/>
      </c>
      <c r="G2057">
        <f>IF($B2057="",0,IFERROR(IF(OR(C2057&lt;&gt;0,D2057&lt;&gt;0,E2057&lt;&gt;0,F2057&lt;&gt;0),1,0),1))</f>
        <v>0</v>
      </c>
      <c r="H2057" t="str">
        <f>IF(OR(G2057=0,E2057=0),"",C2057/E2057)</f>
        <v/>
      </c>
      <c r="I2057" t="str">
        <f>IF(OR(G2057=0,F2057=0),"",D2057/F2057)</f>
        <v/>
      </c>
      <c r="J2057" t="str">
        <f>IF(OR(H2057="",I2057=""),"",IF(H2057=0,"",I2057/H2057-1))</f>
        <v/>
      </c>
      <c r="K2057" t="str">
        <f>IF($B2057="","",IFERROR(IF(G2057=0,-2E+300,CHOOSE(sortIdx,ROUND(D2057,0),IF(J2057="",-1E+300,ROUND(-J2057,6)),IF(J2057="",-1E+300,ROUND(J2057,6)))),-1.5E+300))</f>
        <v/>
      </c>
      <c r="L2057" t="str">
        <f>IF(K2057="","",RANK(K2057,$K$2:$K$3001,0)+COUNTIF($K$2:K2057,K2057)-1)</f>
        <v/>
      </c>
    </row>
    <row r="2058">
      <c r="B2058" t="str">
        <f>IFERROR(IF(A2058="","","="&amp;SUBSTITUTE(SUBSTITUTE(SUBSTITUTE(A2058,"~","~~"),"*","~*"),"?","~?")),"")</f>
        <v/>
      </c>
      <c r="C2058" t="str">
        <f>IF($B2058="","",SUMIFS(dAmt,dCust,$B2058,dPer,"&gt;="&amp;pyFrom,dPer,"&lt;="&amp;pyTo,dAmt,"&gt;-1E+300",dFlt1,critFlt1,dFlt2,critFlt2,dFlt3,critFlt3))</f>
        <v/>
      </c>
      <c r="D2058" t="str">
        <f>IF($B2058="","",SUMIFS(dAmt,dCust,$B2058,dPer,"&gt;="&amp;cyFrom,dPer,"&lt;="&amp;cyTo,dAmt,"&gt;-1E+300",dFlt1,critFlt1,dFlt2,critFlt2,dFlt3,critFlt3))</f>
        <v/>
      </c>
      <c r="E2058" t="str">
        <f>IF($B2058="","",SUMIFS(dQty,dCust,$B2058,dPer,"&gt;="&amp;pyFrom,dPer,"&lt;="&amp;pyTo,dQty,"&gt;-1E+300",dFlt1,critFlt1,dFlt2,critFlt2,dFlt3,critFlt3))</f>
        <v/>
      </c>
      <c r="F2058" t="str">
        <f>IF($B2058="","",SUMIFS(dQty,dCust,$B2058,dPer,"&gt;="&amp;cyFrom,dPer,"&lt;="&amp;cyTo,dQty,"&gt;-1E+300",dFlt1,critFlt1,dFlt2,critFlt2,dFlt3,critFlt3))</f>
        <v/>
      </c>
      <c r="G2058">
        <f>IF($B2058="",0,IFERROR(IF(OR(C2058&lt;&gt;0,D2058&lt;&gt;0,E2058&lt;&gt;0,F2058&lt;&gt;0),1,0),1))</f>
        <v>0</v>
      </c>
      <c r="H2058" t="str">
        <f>IF(OR(G2058=0,E2058=0),"",C2058/E2058)</f>
        <v/>
      </c>
      <c r="I2058" t="str">
        <f>IF(OR(G2058=0,F2058=0),"",D2058/F2058)</f>
        <v/>
      </c>
      <c r="J2058" t="str">
        <f>IF(OR(H2058="",I2058=""),"",IF(H2058=0,"",I2058/H2058-1))</f>
        <v/>
      </c>
      <c r="K2058" t="str">
        <f>IF($B2058="","",IFERROR(IF(G2058=0,-2E+300,CHOOSE(sortIdx,ROUND(D2058,0),IF(J2058="",-1E+300,ROUND(-J2058,6)),IF(J2058="",-1E+300,ROUND(J2058,6)))),-1.5E+300))</f>
        <v/>
      </c>
      <c r="L2058" t="str">
        <f>IF(K2058="","",RANK(K2058,$K$2:$K$3001,0)+COUNTIF($K$2:K2058,K2058)-1)</f>
        <v/>
      </c>
    </row>
    <row r="2059">
      <c r="B2059" t="str">
        <f>IFERROR(IF(A2059="","","="&amp;SUBSTITUTE(SUBSTITUTE(SUBSTITUTE(A2059,"~","~~"),"*","~*"),"?","~?")),"")</f>
        <v/>
      </c>
      <c r="C2059" t="str">
        <f>IF($B2059="","",SUMIFS(dAmt,dCust,$B2059,dPer,"&gt;="&amp;pyFrom,dPer,"&lt;="&amp;pyTo,dAmt,"&gt;-1E+300",dFlt1,critFlt1,dFlt2,critFlt2,dFlt3,critFlt3))</f>
        <v/>
      </c>
      <c r="D2059" t="str">
        <f>IF($B2059="","",SUMIFS(dAmt,dCust,$B2059,dPer,"&gt;="&amp;cyFrom,dPer,"&lt;="&amp;cyTo,dAmt,"&gt;-1E+300",dFlt1,critFlt1,dFlt2,critFlt2,dFlt3,critFlt3))</f>
        <v/>
      </c>
      <c r="E2059" t="str">
        <f>IF($B2059="","",SUMIFS(dQty,dCust,$B2059,dPer,"&gt;="&amp;pyFrom,dPer,"&lt;="&amp;pyTo,dQty,"&gt;-1E+300",dFlt1,critFlt1,dFlt2,critFlt2,dFlt3,critFlt3))</f>
        <v/>
      </c>
      <c r="F2059" t="str">
        <f>IF($B2059="","",SUMIFS(dQty,dCust,$B2059,dPer,"&gt;="&amp;cyFrom,dPer,"&lt;="&amp;cyTo,dQty,"&gt;-1E+300",dFlt1,critFlt1,dFlt2,critFlt2,dFlt3,critFlt3))</f>
        <v/>
      </c>
      <c r="G2059">
        <f>IF($B2059="",0,IFERROR(IF(OR(C2059&lt;&gt;0,D2059&lt;&gt;0,E2059&lt;&gt;0,F2059&lt;&gt;0),1,0),1))</f>
        <v>0</v>
      </c>
      <c r="H2059" t="str">
        <f>IF(OR(G2059=0,E2059=0),"",C2059/E2059)</f>
        <v/>
      </c>
      <c r="I2059" t="str">
        <f>IF(OR(G2059=0,F2059=0),"",D2059/F2059)</f>
        <v/>
      </c>
      <c r="J2059" t="str">
        <f>IF(OR(H2059="",I2059=""),"",IF(H2059=0,"",I2059/H2059-1))</f>
        <v/>
      </c>
      <c r="K2059" t="str">
        <f>IF($B2059="","",IFERROR(IF(G2059=0,-2E+300,CHOOSE(sortIdx,ROUND(D2059,0),IF(J2059="",-1E+300,ROUND(-J2059,6)),IF(J2059="",-1E+300,ROUND(J2059,6)))),-1.5E+300))</f>
        <v/>
      </c>
      <c r="L2059" t="str">
        <f>IF(K2059="","",RANK(K2059,$K$2:$K$3001,0)+COUNTIF($K$2:K2059,K2059)-1)</f>
        <v/>
      </c>
    </row>
    <row r="2060">
      <c r="B2060" t="str">
        <f>IFERROR(IF(A2060="","","="&amp;SUBSTITUTE(SUBSTITUTE(SUBSTITUTE(A2060,"~","~~"),"*","~*"),"?","~?")),"")</f>
        <v/>
      </c>
      <c r="C2060" t="str">
        <f>IF($B2060="","",SUMIFS(dAmt,dCust,$B2060,dPer,"&gt;="&amp;pyFrom,dPer,"&lt;="&amp;pyTo,dAmt,"&gt;-1E+300",dFlt1,critFlt1,dFlt2,critFlt2,dFlt3,critFlt3))</f>
        <v/>
      </c>
      <c r="D2060" t="str">
        <f>IF($B2060="","",SUMIFS(dAmt,dCust,$B2060,dPer,"&gt;="&amp;cyFrom,dPer,"&lt;="&amp;cyTo,dAmt,"&gt;-1E+300",dFlt1,critFlt1,dFlt2,critFlt2,dFlt3,critFlt3))</f>
        <v/>
      </c>
      <c r="E2060" t="str">
        <f>IF($B2060="","",SUMIFS(dQty,dCust,$B2060,dPer,"&gt;="&amp;pyFrom,dPer,"&lt;="&amp;pyTo,dQty,"&gt;-1E+300",dFlt1,critFlt1,dFlt2,critFlt2,dFlt3,critFlt3))</f>
        <v/>
      </c>
      <c r="F2060" t="str">
        <f>IF($B2060="","",SUMIFS(dQty,dCust,$B2060,dPer,"&gt;="&amp;cyFrom,dPer,"&lt;="&amp;cyTo,dQty,"&gt;-1E+300",dFlt1,critFlt1,dFlt2,critFlt2,dFlt3,critFlt3))</f>
        <v/>
      </c>
      <c r="G2060">
        <f>IF($B2060="",0,IFERROR(IF(OR(C2060&lt;&gt;0,D2060&lt;&gt;0,E2060&lt;&gt;0,F2060&lt;&gt;0),1,0),1))</f>
        <v>0</v>
      </c>
      <c r="H2060" t="str">
        <f>IF(OR(G2060=0,E2060=0),"",C2060/E2060)</f>
        <v/>
      </c>
      <c r="I2060" t="str">
        <f>IF(OR(G2060=0,F2060=0),"",D2060/F2060)</f>
        <v/>
      </c>
      <c r="J2060" t="str">
        <f>IF(OR(H2060="",I2060=""),"",IF(H2060=0,"",I2060/H2060-1))</f>
        <v/>
      </c>
      <c r="K2060" t="str">
        <f>IF($B2060="","",IFERROR(IF(G2060=0,-2E+300,CHOOSE(sortIdx,ROUND(D2060,0),IF(J2060="",-1E+300,ROUND(-J2060,6)),IF(J2060="",-1E+300,ROUND(J2060,6)))),-1.5E+300))</f>
        <v/>
      </c>
      <c r="L2060" t="str">
        <f>IF(K2060="","",RANK(K2060,$K$2:$K$3001,0)+COUNTIF($K$2:K2060,K2060)-1)</f>
        <v/>
      </c>
    </row>
    <row r="2061">
      <c r="B2061" t="str">
        <f>IFERROR(IF(A2061="","","="&amp;SUBSTITUTE(SUBSTITUTE(SUBSTITUTE(A2061,"~","~~"),"*","~*"),"?","~?")),"")</f>
        <v/>
      </c>
      <c r="C2061" t="str">
        <f>IF($B2061="","",SUMIFS(dAmt,dCust,$B2061,dPer,"&gt;="&amp;pyFrom,dPer,"&lt;="&amp;pyTo,dAmt,"&gt;-1E+300",dFlt1,critFlt1,dFlt2,critFlt2,dFlt3,critFlt3))</f>
        <v/>
      </c>
      <c r="D2061" t="str">
        <f>IF($B2061="","",SUMIFS(dAmt,dCust,$B2061,dPer,"&gt;="&amp;cyFrom,dPer,"&lt;="&amp;cyTo,dAmt,"&gt;-1E+300",dFlt1,critFlt1,dFlt2,critFlt2,dFlt3,critFlt3))</f>
        <v/>
      </c>
      <c r="E2061" t="str">
        <f>IF($B2061="","",SUMIFS(dQty,dCust,$B2061,dPer,"&gt;="&amp;pyFrom,dPer,"&lt;="&amp;pyTo,dQty,"&gt;-1E+300",dFlt1,critFlt1,dFlt2,critFlt2,dFlt3,critFlt3))</f>
        <v/>
      </c>
      <c r="F2061" t="str">
        <f>IF($B2061="","",SUMIFS(dQty,dCust,$B2061,dPer,"&gt;="&amp;cyFrom,dPer,"&lt;="&amp;cyTo,dQty,"&gt;-1E+300",dFlt1,critFlt1,dFlt2,critFlt2,dFlt3,critFlt3))</f>
        <v/>
      </c>
      <c r="G2061">
        <f>IF($B2061="",0,IFERROR(IF(OR(C2061&lt;&gt;0,D2061&lt;&gt;0,E2061&lt;&gt;0,F2061&lt;&gt;0),1,0),1))</f>
        <v>0</v>
      </c>
      <c r="H2061" t="str">
        <f>IF(OR(G2061=0,E2061=0),"",C2061/E2061)</f>
        <v/>
      </c>
      <c r="I2061" t="str">
        <f>IF(OR(G2061=0,F2061=0),"",D2061/F2061)</f>
        <v/>
      </c>
      <c r="J2061" t="str">
        <f>IF(OR(H2061="",I2061=""),"",IF(H2061=0,"",I2061/H2061-1))</f>
        <v/>
      </c>
      <c r="K2061" t="str">
        <f>IF($B2061="","",IFERROR(IF(G2061=0,-2E+300,CHOOSE(sortIdx,ROUND(D2061,0),IF(J2061="",-1E+300,ROUND(-J2061,6)),IF(J2061="",-1E+300,ROUND(J2061,6)))),-1.5E+300))</f>
        <v/>
      </c>
      <c r="L2061" t="str">
        <f>IF(K2061="","",RANK(K2061,$K$2:$K$3001,0)+COUNTIF($K$2:K2061,K2061)-1)</f>
        <v/>
      </c>
    </row>
    <row r="2062">
      <c r="B2062" t="str">
        <f>IFERROR(IF(A2062="","","="&amp;SUBSTITUTE(SUBSTITUTE(SUBSTITUTE(A2062,"~","~~"),"*","~*"),"?","~?")),"")</f>
        <v/>
      </c>
      <c r="C2062" t="str">
        <f>IF($B2062="","",SUMIFS(dAmt,dCust,$B2062,dPer,"&gt;="&amp;pyFrom,dPer,"&lt;="&amp;pyTo,dAmt,"&gt;-1E+300",dFlt1,critFlt1,dFlt2,critFlt2,dFlt3,critFlt3))</f>
        <v/>
      </c>
      <c r="D2062" t="str">
        <f>IF($B2062="","",SUMIFS(dAmt,dCust,$B2062,dPer,"&gt;="&amp;cyFrom,dPer,"&lt;="&amp;cyTo,dAmt,"&gt;-1E+300",dFlt1,critFlt1,dFlt2,critFlt2,dFlt3,critFlt3))</f>
        <v/>
      </c>
      <c r="E2062" t="str">
        <f>IF($B2062="","",SUMIFS(dQty,dCust,$B2062,dPer,"&gt;="&amp;pyFrom,dPer,"&lt;="&amp;pyTo,dQty,"&gt;-1E+300",dFlt1,critFlt1,dFlt2,critFlt2,dFlt3,critFlt3))</f>
        <v/>
      </c>
      <c r="F2062" t="str">
        <f>IF($B2062="","",SUMIFS(dQty,dCust,$B2062,dPer,"&gt;="&amp;cyFrom,dPer,"&lt;="&amp;cyTo,dQty,"&gt;-1E+300",dFlt1,critFlt1,dFlt2,critFlt2,dFlt3,critFlt3))</f>
        <v/>
      </c>
      <c r="G2062">
        <f>IF($B2062="",0,IFERROR(IF(OR(C2062&lt;&gt;0,D2062&lt;&gt;0,E2062&lt;&gt;0,F2062&lt;&gt;0),1,0),1))</f>
        <v>0</v>
      </c>
      <c r="H2062" t="str">
        <f>IF(OR(G2062=0,E2062=0),"",C2062/E2062)</f>
        <v/>
      </c>
      <c r="I2062" t="str">
        <f>IF(OR(G2062=0,F2062=0),"",D2062/F2062)</f>
        <v/>
      </c>
      <c r="J2062" t="str">
        <f>IF(OR(H2062="",I2062=""),"",IF(H2062=0,"",I2062/H2062-1))</f>
        <v/>
      </c>
      <c r="K2062" t="str">
        <f>IF($B2062="","",IFERROR(IF(G2062=0,-2E+300,CHOOSE(sortIdx,ROUND(D2062,0),IF(J2062="",-1E+300,ROUND(-J2062,6)),IF(J2062="",-1E+300,ROUND(J2062,6)))),-1.5E+300))</f>
        <v/>
      </c>
      <c r="L2062" t="str">
        <f>IF(K2062="","",RANK(K2062,$K$2:$K$3001,0)+COUNTIF($K$2:K2062,K2062)-1)</f>
        <v/>
      </c>
    </row>
    <row r="2063">
      <c r="B2063" t="str">
        <f>IFERROR(IF(A2063="","","="&amp;SUBSTITUTE(SUBSTITUTE(SUBSTITUTE(A2063,"~","~~"),"*","~*"),"?","~?")),"")</f>
        <v/>
      </c>
      <c r="C2063" t="str">
        <f>IF($B2063="","",SUMIFS(dAmt,dCust,$B2063,dPer,"&gt;="&amp;pyFrom,dPer,"&lt;="&amp;pyTo,dAmt,"&gt;-1E+300",dFlt1,critFlt1,dFlt2,critFlt2,dFlt3,critFlt3))</f>
        <v/>
      </c>
      <c r="D2063" t="str">
        <f>IF($B2063="","",SUMIFS(dAmt,dCust,$B2063,dPer,"&gt;="&amp;cyFrom,dPer,"&lt;="&amp;cyTo,dAmt,"&gt;-1E+300",dFlt1,critFlt1,dFlt2,critFlt2,dFlt3,critFlt3))</f>
        <v/>
      </c>
      <c r="E2063" t="str">
        <f>IF($B2063="","",SUMIFS(dQty,dCust,$B2063,dPer,"&gt;="&amp;pyFrom,dPer,"&lt;="&amp;pyTo,dQty,"&gt;-1E+300",dFlt1,critFlt1,dFlt2,critFlt2,dFlt3,critFlt3))</f>
        <v/>
      </c>
      <c r="F2063" t="str">
        <f>IF($B2063="","",SUMIFS(dQty,dCust,$B2063,dPer,"&gt;="&amp;cyFrom,dPer,"&lt;="&amp;cyTo,dQty,"&gt;-1E+300",dFlt1,critFlt1,dFlt2,critFlt2,dFlt3,critFlt3))</f>
        <v/>
      </c>
      <c r="G2063">
        <f>IF($B2063="",0,IFERROR(IF(OR(C2063&lt;&gt;0,D2063&lt;&gt;0,E2063&lt;&gt;0,F2063&lt;&gt;0),1,0),1))</f>
        <v>0</v>
      </c>
      <c r="H2063" t="str">
        <f>IF(OR(G2063=0,E2063=0),"",C2063/E2063)</f>
        <v/>
      </c>
      <c r="I2063" t="str">
        <f>IF(OR(G2063=0,F2063=0),"",D2063/F2063)</f>
        <v/>
      </c>
      <c r="J2063" t="str">
        <f>IF(OR(H2063="",I2063=""),"",IF(H2063=0,"",I2063/H2063-1))</f>
        <v/>
      </c>
      <c r="K2063" t="str">
        <f>IF($B2063="","",IFERROR(IF(G2063=0,-2E+300,CHOOSE(sortIdx,ROUND(D2063,0),IF(J2063="",-1E+300,ROUND(-J2063,6)),IF(J2063="",-1E+300,ROUND(J2063,6)))),-1.5E+300))</f>
        <v/>
      </c>
      <c r="L2063" t="str">
        <f>IF(K2063="","",RANK(K2063,$K$2:$K$3001,0)+COUNTIF($K$2:K2063,K2063)-1)</f>
        <v/>
      </c>
    </row>
    <row r="2064">
      <c r="B2064" t="str">
        <f>IFERROR(IF(A2064="","","="&amp;SUBSTITUTE(SUBSTITUTE(SUBSTITUTE(A2064,"~","~~"),"*","~*"),"?","~?")),"")</f>
        <v/>
      </c>
      <c r="C2064" t="str">
        <f>IF($B2064="","",SUMIFS(dAmt,dCust,$B2064,dPer,"&gt;="&amp;pyFrom,dPer,"&lt;="&amp;pyTo,dAmt,"&gt;-1E+300",dFlt1,critFlt1,dFlt2,critFlt2,dFlt3,critFlt3))</f>
        <v/>
      </c>
      <c r="D2064" t="str">
        <f>IF($B2064="","",SUMIFS(dAmt,dCust,$B2064,dPer,"&gt;="&amp;cyFrom,dPer,"&lt;="&amp;cyTo,dAmt,"&gt;-1E+300",dFlt1,critFlt1,dFlt2,critFlt2,dFlt3,critFlt3))</f>
        <v/>
      </c>
      <c r="E2064" t="str">
        <f>IF($B2064="","",SUMIFS(dQty,dCust,$B2064,dPer,"&gt;="&amp;pyFrom,dPer,"&lt;="&amp;pyTo,dQty,"&gt;-1E+300",dFlt1,critFlt1,dFlt2,critFlt2,dFlt3,critFlt3))</f>
        <v/>
      </c>
      <c r="F2064" t="str">
        <f>IF($B2064="","",SUMIFS(dQty,dCust,$B2064,dPer,"&gt;="&amp;cyFrom,dPer,"&lt;="&amp;cyTo,dQty,"&gt;-1E+300",dFlt1,critFlt1,dFlt2,critFlt2,dFlt3,critFlt3))</f>
        <v/>
      </c>
      <c r="G2064">
        <f>IF($B2064="",0,IFERROR(IF(OR(C2064&lt;&gt;0,D2064&lt;&gt;0,E2064&lt;&gt;0,F2064&lt;&gt;0),1,0),1))</f>
        <v>0</v>
      </c>
      <c r="H2064" t="str">
        <f>IF(OR(G2064=0,E2064=0),"",C2064/E2064)</f>
        <v/>
      </c>
      <c r="I2064" t="str">
        <f>IF(OR(G2064=0,F2064=0),"",D2064/F2064)</f>
        <v/>
      </c>
      <c r="J2064" t="str">
        <f>IF(OR(H2064="",I2064=""),"",IF(H2064=0,"",I2064/H2064-1))</f>
        <v/>
      </c>
      <c r="K2064" t="str">
        <f>IF($B2064="","",IFERROR(IF(G2064=0,-2E+300,CHOOSE(sortIdx,ROUND(D2064,0),IF(J2064="",-1E+300,ROUND(-J2064,6)),IF(J2064="",-1E+300,ROUND(J2064,6)))),-1.5E+300))</f>
        <v/>
      </c>
      <c r="L2064" t="str">
        <f>IF(K2064="","",RANK(K2064,$K$2:$K$3001,0)+COUNTIF($K$2:K2064,K2064)-1)</f>
        <v/>
      </c>
    </row>
    <row r="2065">
      <c r="B2065" t="str">
        <f>IFERROR(IF(A2065="","","="&amp;SUBSTITUTE(SUBSTITUTE(SUBSTITUTE(A2065,"~","~~"),"*","~*"),"?","~?")),"")</f>
        <v/>
      </c>
      <c r="C2065" t="str">
        <f>IF($B2065="","",SUMIFS(dAmt,dCust,$B2065,dPer,"&gt;="&amp;pyFrom,dPer,"&lt;="&amp;pyTo,dAmt,"&gt;-1E+300",dFlt1,critFlt1,dFlt2,critFlt2,dFlt3,critFlt3))</f>
        <v/>
      </c>
      <c r="D2065" t="str">
        <f>IF($B2065="","",SUMIFS(dAmt,dCust,$B2065,dPer,"&gt;="&amp;cyFrom,dPer,"&lt;="&amp;cyTo,dAmt,"&gt;-1E+300",dFlt1,critFlt1,dFlt2,critFlt2,dFlt3,critFlt3))</f>
        <v/>
      </c>
      <c r="E2065" t="str">
        <f>IF($B2065="","",SUMIFS(dQty,dCust,$B2065,dPer,"&gt;="&amp;pyFrom,dPer,"&lt;="&amp;pyTo,dQty,"&gt;-1E+300",dFlt1,critFlt1,dFlt2,critFlt2,dFlt3,critFlt3))</f>
        <v/>
      </c>
      <c r="F2065" t="str">
        <f>IF($B2065="","",SUMIFS(dQty,dCust,$B2065,dPer,"&gt;="&amp;cyFrom,dPer,"&lt;="&amp;cyTo,dQty,"&gt;-1E+300",dFlt1,critFlt1,dFlt2,critFlt2,dFlt3,critFlt3))</f>
        <v/>
      </c>
      <c r="G2065">
        <f>IF($B2065="",0,IFERROR(IF(OR(C2065&lt;&gt;0,D2065&lt;&gt;0,E2065&lt;&gt;0,F2065&lt;&gt;0),1,0),1))</f>
        <v>0</v>
      </c>
      <c r="H2065" t="str">
        <f>IF(OR(G2065=0,E2065=0),"",C2065/E2065)</f>
        <v/>
      </c>
      <c r="I2065" t="str">
        <f>IF(OR(G2065=0,F2065=0),"",D2065/F2065)</f>
        <v/>
      </c>
      <c r="J2065" t="str">
        <f>IF(OR(H2065="",I2065=""),"",IF(H2065=0,"",I2065/H2065-1))</f>
        <v/>
      </c>
      <c r="K2065" t="str">
        <f>IF($B2065="","",IFERROR(IF(G2065=0,-2E+300,CHOOSE(sortIdx,ROUND(D2065,0),IF(J2065="",-1E+300,ROUND(-J2065,6)),IF(J2065="",-1E+300,ROUND(J2065,6)))),-1.5E+300))</f>
        <v/>
      </c>
      <c r="L2065" t="str">
        <f>IF(K2065="","",RANK(K2065,$K$2:$K$3001,0)+COUNTIF($K$2:K2065,K2065)-1)</f>
        <v/>
      </c>
    </row>
    <row r="2066">
      <c r="B2066" t="str">
        <f>IFERROR(IF(A2066="","","="&amp;SUBSTITUTE(SUBSTITUTE(SUBSTITUTE(A2066,"~","~~"),"*","~*"),"?","~?")),"")</f>
        <v/>
      </c>
      <c r="C2066" t="str">
        <f>IF($B2066="","",SUMIFS(dAmt,dCust,$B2066,dPer,"&gt;="&amp;pyFrom,dPer,"&lt;="&amp;pyTo,dAmt,"&gt;-1E+300",dFlt1,critFlt1,dFlt2,critFlt2,dFlt3,critFlt3))</f>
        <v/>
      </c>
      <c r="D2066" t="str">
        <f>IF($B2066="","",SUMIFS(dAmt,dCust,$B2066,dPer,"&gt;="&amp;cyFrom,dPer,"&lt;="&amp;cyTo,dAmt,"&gt;-1E+300",dFlt1,critFlt1,dFlt2,critFlt2,dFlt3,critFlt3))</f>
        <v/>
      </c>
      <c r="E2066" t="str">
        <f>IF($B2066="","",SUMIFS(dQty,dCust,$B2066,dPer,"&gt;="&amp;pyFrom,dPer,"&lt;="&amp;pyTo,dQty,"&gt;-1E+300",dFlt1,critFlt1,dFlt2,critFlt2,dFlt3,critFlt3))</f>
        <v/>
      </c>
      <c r="F2066" t="str">
        <f>IF($B2066="","",SUMIFS(dQty,dCust,$B2066,dPer,"&gt;="&amp;cyFrom,dPer,"&lt;="&amp;cyTo,dQty,"&gt;-1E+300",dFlt1,critFlt1,dFlt2,critFlt2,dFlt3,critFlt3))</f>
        <v/>
      </c>
      <c r="G2066">
        <f>IF($B2066="",0,IFERROR(IF(OR(C2066&lt;&gt;0,D2066&lt;&gt;0,E2066&lt;&gt;0,F2066&lt;&gt;0),1,0),1))</f>
        <v>0</v>
      </c>
      <c r="H2066" t="str">
        <f>IF(OR(G2066=0,E2066=0),"",C2066/E2066)</f>
        <v/>
      </c>
      <c r="I2066" t="str">
        <f>IF(OR(G2066=0,F2066=0),"",D2066/F2066)</f>
        <v/>
      </c>
      <c r="J2066" t="str">
        <f>IF(OR(H2066="",I2066=""),"",IF(H2066=0,"",I2066/H2066-1))</f>
        <v/>
      </c>
      <c r="K2066" t="str">
        <f>IF($B2066="","",IFERROR(IF(G2066=0,-2E+300,CHOOSE(sortIdx,ROUND(D2066,0),IF(J2066="",-1E+300,ROUND(-J2066,6)),IF(J2066="",-1E+300,ROUND(J2066,6)))),-1.5E+300))</f>
        <v/>
      </c>
      <c r="L2066" t="str">
        <f>IF(K2066="","",RANK(K2066,$K$2:$K$3001,0)+COUNTIF($K$2:K2066,K2066)-1)</f>
        <v/>
      </c>
    </row>
    <row r="2067">
      <c r="B2067" t="str">
        <f>IFERROR(IF(A2067="","","="&amp;SUBSTITUTE(SUBSTITUTE(SUBSTITUTE(A2067,"~","~~"),"*","~*"),"?","~?")),"")</f>
        <v/>
      </c>
      <c r="C2067" t="str">
        <f>IF($B2067="","",SUMIFS(dAmt,dCust,$B2067,dPer,"&gt;="&amp;pyFrom,dPer,"&lt;="&amp;pyTo,dAmt,"&gt;-1E+300",dFlt1,critFlt1,dFlt2,critFlt2,dFlt3,critFlt3))</f>
        <v/>
      </c>
      <c r="D2067" t="str">
        <f>IF($B2067="","",SUMIFS(dAmt,dCust,$B2067,dPer,"&gt;="&amp;cyFrom,dPer,"&lt;="&amp;cyTo,dAmt,"&gt;-1E+300",dFlt1,critFlt1,dFlt2,critFlt2,dFlt3,critFlt3))</f>
        <v/>
      </c>
      <c r="E2067" t="str">
        <f>IF($B2067="","",SUMIFS(dQty,dCust,$B2067,dPer,"&gt;="&amp;pyFrom,dPer,"&lt;="&amp;pyTo,dQty,"&gt;-1E+300",dFlt1,critFlt1,dFlt2,critFlt2,dFlt3,critFlt3))</f>
        <v/>
      </c>
      <c r="F2067" t="str">
        <f>IF($B2067="","",SUMIFS(dQty,dCust,$B2067,dPer,"&gt;="&amp;cyFrom,dPer,"&lt;="&amp;cyTo,dQty,"&gt;-1E+300",dFlt1,critFlt1,dFlt2,critFlt2,dFlt3,critFlt3))</f>
        <v/>
      </c>
      <c r="G2067">
        <f>IF($B2067="",0,IFERROR(IF(OR(C2067&lt;&gt;0,D2067&lt;&gt;0,E2067&lt;&gt;0,F2067&lt;&gt;0),1,0),1))</f>
        <v>0</v>
      </c>
      <c r="H2067" t="str">
        <f>IF(OR(G2067=0,E2067=0),"",C2067/E2067)</f>
        <v/>
      </c>
      <c r="I2067" t="str">
        <f>IF(OR(G2067=0,F2067=0),"",D2067/F2067)</f>
        <v/>
      </c>
      <c r="J2067" t="str">
        <f>IF(OR(H2067="",I2067=""),"",IF(H2067=0,"",I2067/H2067-1))</f>
        <v/>
      </c>
      <c r="K2067" t="str">
        <f>IF($B2067="","",IFERROR(IF(G2067=0,-2E+300,CHOOSE(sortIdx,ROUND(D2067,0),IF(J2067="",-1E+300,ROUND(-J2067,6)),IF(J2067="",-1E+300,ROUND(J2067,6)))),-1.5E+300))</f>
        <v/>
      </c>
      <c r="L2067" t="str">
        <f>IF(K2067="","",RANK(K2067,$K$2:$K$3001,0)+COUNTIF($K$2:K2067,K2067)-1)</f>
        <v/>
      </c>
    </row>
    <row r="2068">
      <c r="B2068" t="str">
        <f>IFERROR(IF(A2068="","","="&amp;SUBSTITUTE(SUBSTITUTE(SUBSTITUTE(A2068,"~","~~"),"*","~*"),"?","~?")),"")</f>
        <v/>
      </c>
      <c r="C2068" t="str">
        <f>IF($B2068="","",SUMIFS(dAmt,dCust,$B2068,dPer,"&gt;="&amp;pyFrom,dPer,"&lt;="&amp;pyTo,dAmt,"&gt;-1E+300",dFlt1,critFlt1,dFlt2,critFlt2,dFlt3,critFlt3))</f>
        <v/>
      </c>
      <c r="D2068" t="str">
        <f>IF($B2068="","",SUMIFS(dAmt,dCust,$B2068,dPer,"&gt;="&amp;cyFrom,dPer,"&lt;="&amp;cyTo,dAmt,"&gt;-1E+300",dFlt1,critFlt1,dFlt2,critFlt2,dFlt3,critFlt3))</f>
        <v/>
      </c>
      <c r="E2068" t="str">
        <f>IF($B2068="","",SUMIFS(dQty,dCust,$B2068,dPer,"&gt;="&amp;pyFrom,dPer,"&lt;="&amp;pyTo,dQty,"&gt;-1E+300",dFlt1,critFlt1,dFlt2,critFlt2,dFlt3,critFlt3))</f>
        <v/>
      </c>
      <c r="F2068" t="str">
        <f>IF($B2068="","",SUMIFS(dQty,dCust,$B2068,dPer,"&gt;="&amp;cyFrom,dPer,"&lt;="&amp;cyTo,dQty,"&gt;-1E+300",dFlt1,critFlt1,dFlt2,critFlt2,dFlt3,critFlt3))</f>
        <v/>
      </c>
      <c r="G2068">
        <f>IF($B2068="",0,IFERROR(IF(OR(C2068&lt;&gt;0,D2068&lt;&gt;0,E2068&lt;&gt;0,F2068&lt;&gt;0),1,0),1))</f>
        <v>0</v>
      </c>
      <c r="H2068" t="str">
        <f>IF(OR(G2068=0,E2068=0),"",C2068/E2068)</f>
        <v/>
      </c>
      <c r="I2068" t="str">
        <f>IF(OR(G2068=0,F2068=0),"",D2068/F2068)</f>
        <v/>
      </c>
      <c r="J2068" t="str">
        <f>IF(OR(H2068="",I2068=""),"",IF(H2068=0,"",I2068/H2068-1))</f>
        <v/>
      </c>
      <c r="K2068" t="str">
        <f>IF($B2068="","",IFERROR(IF(G2068=0,-2E+300,CHOOSE(sortIdx,ROUND(D2068,0),IF(J2068="",-1E+300,ROUND(-J2068,6)),IF(J2068="",-1E+300,ROUND(J2068,6)))),-1.5E+300))</f>
        <v/>
      </c>
      <c r="L2068" t="str">
        <f>IF(K2068="","",RANK(K2068,$K$2:$K$3001,0)+COUNTIF($K$2:K2068,K2068)-1)</f>
        <v/>
      </c>
    </row>
    <row r="2069">
      <c r="B2069" t="str">
        <f>IFERROR(IF(A2069="","","="&amp;SUBSTITUTE(SUBSTITUTE(SUBSTITUTE(A2069,"~","~~"),"*","~*"),"?","~?")),"")</f>
        <v/>
      </c>
      <c r="C2069" t="str">
        <f>IF($B2069="","",SUMIFS(dAmt,dCust,$B2069,dPer,"&gt;="&amp;pyFrom,dPer,"&lt;="&amp;pyTo,dAmt,"&gt;-1E+300",dFlt1,critFlt1,dFlt2,critFlt2,dFlt3,critFlt3))</f>
        <v/>
      </c>
      <c r="D2069" t="str">
        <f>IF($B2069="","",SUMIFS(dAmt,dCust,$B2069,dPer,"&gt;="&amp;cyFrom,dPer,"&lt;="&amp;cyTo,dAmt,"&gt;-1E+300",dFlt1,critFlt1,dFlt2,critFlt2,dFlt3,critFlt3))</f>
        <v/>
      </c>
      <c r="E2069" t="str">
        <f>IF($B2069="","",SUMIFS(dQty,dCust,$B2069,dPer,"&gt;="&amp;pyFrom,dPer,"&lt;="&amp;pyTo,dQty,"&gt;-1E+300",dFlt1,critFlt1,dFlt2,critFlt2,dFlt3,critFlt3))</f>
        <v/>
      </c>
      <c r="F2069" t="str">
        <f>IF($B2069="","",SUMIFS(dQty,dCust,$B2069,dPer,"&gt;="&amp;cyFrom,dPer,"&lt;="&amp;cyTo,dQty,"&gt;-1E+300",dFlt1,critFlt1,dFlt2,critFlt2,dFlt3,critFlt3))</f>
        <v/>
      </c>
      <c r="G2069">
        <f>IF($B2069="",0,IFERROR(IF(OR(C2069&lt;&gt;0,D2069&lt;&gt;0,E2069&lt;&gt;0,F2069&lt;&gt;0),1,0),1))</f>
        <v>0</v>
      </c>
      <c r="H2069" t="str">
        <f>IF(OR(G2069=0,E2069=0),"",C2069/E2069)</f>
        <v/>
      </c>
      <c r="I2069" t="str">
        <f>IF(OR(G2069=0,F2069=0),"",D2069/F2069)</f>
        <v/>
      </c>
      <c r="J2069" t="str">
        <f>IF(OR(H2069="",I2069=""),"",IF(H2069=0,"",I2069/H2069-1))</f>
        <v/>
      </c>
      <c r="K2069" t="str">
        <f>IF($B2069="","",IFERROR(IF(G2069=0,-2E+300,CHOOSE(sortIdx,ROUND(D2069,0),IF(J2069="",-1E+300,ROUND(-J2069,6)),IF(J2069="",-1E+300,ROUND(J2069,6)))),-1.5E+300))</f>
        <v/>
      </c>
      <c r="L2069" t="str">
        <f>IF(K2069="","",RANK(K2069,$K$2:$K$3001,0)+COUNTIF($K$2:K2069,K2069)-1)</f>
        <v/>
      </c>
    </row>
    <row r="2070">
      <c r="B2070" t="str">
        <f>IFERROR(IF(A2070="","","="&amp;SUBSTITUTE(SUBSTITUTE(SUBSTITUTE(A2070,"~","~~"),"*","~*"),"?","~?")),"")</f>
        <v/>
      </c>
      <c r="C2070" t="str">
        <f>IF($B2070="","",SUMIFS(dAmt,dCust,$B2070,dPer,"&gt;="&amp;pyFrom,dPer,"&lt;="&amp;pyTo,dAmt,"&gt;-1E+300",dFlt1,critFlt1,dFlt2,critFlt2,dFlt3,critFlt3))</f>
        <v/>
      </c>
      <c r="D2070" t="str">
        <f>IF($B2070="","",SUMIFS(dAmt,dCust,$B2070,dPer,"&gt;="&amp;cyFrom,dPer,"&lt;="&amp;cyTo,dAmt,"&gt;-1E+300",dFlt1,critFlt1,dFlt2,critFlt2,dFlt3,critFlt3))</f>
        <v/>
      </c>
      <c r="E2070" t="str">
        <f>IF($B2070="","",SUMIFS(dQty,dCust,$B2070,dPer,"&gt;="&amp;pyFrom,dPer,"&lt;="&amp;pyTo,dQty,"&gt;-1E+300",dFlt1,critFlt1,dFlt2,critFlt2,dFlt3,critFlt3))</f>
        <v/>
      </c>
      <c r="F2070" t="str">
        <f>IF($B2070="","",SUMIFS(dQty,dCust,$B2070,dPer,"&gt;="&amp;cyFrom,dPer,"&lt;="&amp;cyTo,dQty,"&gt;-1E+300",dFlt1,critFlt1,dFlt2,critFlt2,dFlt3,critFlt3))</f>
        <v/>
      </c>
      <c r="G2070">
        <f>IF($B2070="",0,IFERROR(IF(OR(C2070&lt;&gt;0,D2070&lt;&gt;0,E2070&lt;&gt;0,F2070&lt;&gt;0),1,0),1))</f>
        <v>0</v>
      </c>
      <c r="H2070" t="str">
        <f>IF(OR(G2070=0,E2070=0),"",C2070/E2070)</f>
        <v/>
      </c>
      <c r="I2070" t="str">
        <f>IF(OR(G2070=0,F2070=0),"",D2070/F2070)</f>
        <v/>
      </c>
      <c r="J2070" t="str">
        <f>IF(OR(H2070="",I2070=""),"",IF(H2070=0,"",I2070/H2070-1))</f>
        <v/>
      </c>
      <c r="K2070" t="str">
        <f>IF($B2070="","",IFERROR(IF(G2070=0,-2E+300,CHOOSE(sortIdx,ROUND(D2070,0),IF(J2070="",-1E+300,ROUND(-J2070,6)),IF(J2070="",-1E+300,ROUND(J2070,6)))),-1.5E+300))</f>
        <v/>
      </c>
      <c r="L2070" t="str">
        <f>IF(K2070="","",RANK(K2070,$K$2:$K$3001,0)+COUNTIF($K$2:K2070,K2070)-1)</f>
        <v/>
      </c>
    </row>
    <row r="2071">
      <c r="B2071" t="str">
        <f>IFERROR(IF(A2071="","","="&amp;SUBSTITUTE(SUBSTITUTE(SUBSTITUTE(A2071,"~","~~"),"*","~*"),"?","~?")),"")</f>
        <v/>
      </c>
      <c r="C2071" t="str">
        <f>IF($B2071="","",SUMIFS(dAmt,dCust,$B2071,dPer,"&gt;="&amp;pyFrom,dPer,"&lt;="&amp;pyTo,dAmt,"&gt;-1E+300",dFlt1,critFlt1,dFlt2,critFlt2,dFlt3,critFlt3))</f>
        <v/>
      </c>
      <c r="D2071" t="str">
        <f>IF($B2071="","",SUMIFS(dAmt,dCust,$B2071,dPer,"&gt;="&amp;cyFrom,dPer,"&lt;="&amp;cyTo,dAmt,"&gt;-1E+300",dFlt1,critFlt1,dFlt2,critFlt2,dFlt3,critFlt3))</f>
        <v/>
      </c>
      <c r="E2071" t="str">
        <f>IF($B2071="","",SUMIFS(dQty,dCust,$B2071,dPer,"&gt;="&amp;pyFrom,dPer,"&lt;="&amp;pyTo,dQty,"&gt;-1E+300",dFlt1,critFlt1,dFlt2,critFlt2,dFlt3,critFlt3))</f>
        <v/>
      </c>
      <c r="F2071" t="str">
        <f>IF($B2071="","",SUMIFS(dQty,dCust,$B2071,dPer,"&gt;="&amp;cyFrom,dPer,"&lt;="&amp;cyTo,dQty,"&gt;-1E+300",dFlt1,critFlt1,dFlt2,critFlt2,dFlt3,critFlt3))</f>
        <v/>
      </c>
      <c r="G2071">
        <f>IF($B2071="",0,IFERROR(IF(OR(C2071&lt;&gt;0,D2071&lt;&gt;0,E2071&lt;&gt;0,F2071&lt;&gt;0),1,0),1))</f>
        <v>0</v>
      </c>
      <c r="H2071" t="str">
        <f>IF(OR(G2071=0,E2071=0),"",C2071/E2071)</f>
        <v/>
      </c>
      <c r="I2071" t="str">
        <f>IF(OR(G2071=0,F2071=0),"",D2071/F2071)</f>
        <v/>
      </c>
      <c r="J2071" t="str">
        <f>IF(OR(H2071="",I2071=""),"",IF(H2071=0,"",I2071/H2071-1))</f>
        <v/>
      </c>
      <c r="K2071" t="str">
        <f>IF($B2071="","",IFERROR(IF(G2071=0,-2E+300,CHOOSE(sortIdx,ROUND(D2071,0),IF(J2071="",-1E+300,ROUND(-J2071,6)),IF(J2071="",-1E+300,ROUND(J2071,6)))),-1.5E+300))</f>
        <v/>
      </c>
      <c r="L2071" t="str">
        <f>IF(K2071="","",RANK(K2071,$K$2:$K$3001,0)+COUNTIF($K$2:K2071,K2071)-1)</f>
        <v/>
      </c>
    </row>
    <row r="2072">
      <c r="B2072" t="str">
        <f>IFERROR(IF(A2072="","","="&amp;SUBSTITUTE(SUBSTITUTE(SUBSTITUTE(A2072,"~","~~"),"*","~*"),"?","~?")),"")</f>
        <v/>
      </c>
      <c r="C2072" t="str">
        <f>IF($B2072="","",SUMIFS(dAmt,dCust,$B2072,dPer,"&gt;="&amp;pyFrom,dPer,"&lt;="&amp;pyTo,dAmt,"&gt;-1E+300",dFlt1,critFlt1,dFlt2,critFlt2,dFlt3,critFlt3))</f>
        <v/>
      </c>
      <c r="D2072" t="str">
        <f>IF($B2072="","",SUMIFS(dAmt,dCust,$B2072,dPer,"&gt;="&amp;cyFrom,dPer,"&lt;="&amp;cyTo,dAmt,"&gt;-1E+300",dFlt1,critFlt1,dFlt2,critFlt2,dFlt3,critFlt3))</f>
        <v/>
      </c>
      <c r="E2072" t="str">
        <f>IF($B2072="","",SUMIFS(dQty,dCust,$B2072,dPer,"&gt;="&amp;pyFrom,dPer,"&lt;="&amp;pyTo,dQty,"&gt;-1E+300",dFlt1,critFlt1,dFlt2,critFlt2,dFlt3,critFlt3))</f>
        <v/>
      </c>
      <c r="F2072" t="str">
        <f>IF($B2072="","",SUMIFS(dQty,dCust,$B2072,dPer,"&gt;="&amp;cyFrom,dPer,"&lt;="&amp;cyTo,dQty,"&gt;-1E+300",dFlt1,critFlt1,dFlt2,critFlt2,dFlt3,critFlt3))</f>
        <v/>
      </c>
      <c r="G2072">
        <f>IF($B2072="",0,IFERROR(IF(OR(C2072&lt;&gt;0,D2072&lt;&gt;0,E2072&lt;&gt;0,F2072&lt;&gt;0),1,0),1))</f>
        <v>0</v>
      </c>
      <c r="H2072" t="str">
        <f>IF(OR(G2072=0,E2072=0),"",C2072/E2072)</f>
        <v/>
      </c>
      <c r="I2072" t="str">
        <f>IF(OR(G2072=0,F2072=0),"",D2072/F2072)</f>
        <v/>
      </c>
      <c r="J2072" t="str">
        <f>IF(OR(H2072="",I2072=""),"",IF(H2072=0,"",I2072/H2072-1))</f>
        <v/>
      </c>
      <c r="K2072" t="str">
        <f>IF($B2072="","",IFERROR(IF(G2072=0,-2E+300,CHOOSE(sortIdx,ROUND(D2072,0),IF(J2072="",-1E+300,ROUND(-J2072,6)),IF(J2072="",-1E+300,ROUND(J2072,6)))),-1.5E+300))</f>
        <v/>
      </c>
      <c r="L2072" t="str">
        <f>IF(K2072="","",RANK(K2072,$K$2:$K$3001,0)+COUNTIF($K$2:K2072,K2072)-1)</f>
        <v/>
      </c>
    </row>
    <row r="2073">
      <c r="B2073" t="str">
        <f>IFERROR(IF(A2073="","","="&amp;SUBSTITUTE(SUBSTITUTE(SUBSTITUTE(A2073,"~","~~"),"*","~*"),"?","~?")),"")</f>
        <v/>
      </c>
      <c r="C2073" t="str">
        <f>IF($B2073="","",SUMIFS(dAmt,dCust,$B2073,dPer,"&gt;="&amp;pyFrom,dPer,"&lt;="&amp;pyTo,dAmt,"&gt;-1E+300",dFlt1,critFlt1,dFlt2,critFlt2,dFlt3,critFlt3))</f>
        <v/>
      </c>
      <c r="D2073" t="str">
        <f>IF($B2073="","",SUMIFS(dAmt,dCust,$B2073,dPer,"&gt;="&amp;cyFrom,dPer,"&lt;="&amp;cyTo,dAmt,"&gt;-1E+300",dFlt1,critFlt1,dFlt2,critFlt2,dFlt3,critFlt3))</f>
        <v/>
      </c>
      <c r="E2073" t="str">
        <f>IF($B2073="","",SUMIFS(dQty,dCust,$B2073,dPer,"&gt;="&amp;pyFrom,dPer,"&lt;="&amp;pyTo,dQty,"&gt;-1E+300",dFlt1,critFlt1,dFlt2,critFlt2,dFlt3,critFlt3))</f>
        <v/>
      </c>
      <c r="F2073" t="str">
        <f>IF($B2073="","",SUMIFS(dQty,dCust,$B2073,dPer,"&gt;="&amp;cyFrom,dPer,"&lt;="&amp;cyTo,dQty,"&gt;-1E+300",dFlt1,critFlt1,dFlt2,critFlt2,dFlt3,critFlt3))</f>
        <v/>
      </c>
      <c r="G2073">
        <f>IF($B2073="",0,IFERROR(IF(OR(C2073&lt;&gt;0,D2073&lt;&gt;0,E2073&lt;&gt;0,F2073&lt;&gt;0),1,0),1))</f>
        <v>0</v>
      </c>
      <c r="H2073" t="str">
        <f>IF(OR(G2073=0,E2073=0),"",C2073/E2073)</f>
        <v/>
      </c>
      <c r="I2073" t="str">
        <f>IF(OR(G2073=0,F2073=0),"",D2073/F2073)</f>
        <v/>
      </c>
      <c r="J2073" t="str">
        <f>IF(OR(H2073="",I2073=""),"",IF(H2073=0,"",I2073/H2073-1))</f>
        <v/>
      </c>
      <c r="K2073" t="str">
        <f>IF($B2073="","",IFERROR(IF(G2073=0,-2E+300,CHOOSE(sortIdx,ROUND(D2073,0),IF(J2073="",-1E+300,ROUND(-J2073,6)),IF(J2073="",-1E+300,ROUND(J2073,6)))),-1.5E+300))</f>
        <v/>
      </c>
      <c r="L2073" t="str">
        <f>IF(K2073="","",RANK(K2073,$K$2:$K$3001,0)+COUNTIF($K$2:K2073,K2073)-1)</f>
        <v/>
      </c>
    </row>
    <row r="2074">
      <c r="B2074" t="str">
        <f>IFERROR(IF(A2074="","","="&amp;SUBSTITUTE(SUBSTITUTE(SUBSTITUTE(A2074,"~","~~"),"*","~*"),"?","~?")),"")</f>
        <v/>
      </c>
      <c r="C2074" t="str">
        <f>IF($B2074="","",SUMIFS(dAmt,dCust,$B2074,dPer,"&gt;="&amp;pyFrom,dPer,"&lt;="&amp;pyTo,dAmt,"&gt;-1E+300",dFlt1,critFlt1,dFlt2,critFlt2,dFlt3,critFlt3))</f>
        <v/>
      </c>
      <c r="D2074" t="str">
        <f>IF($B2074="","",SUMIFS(dAmt,dCust,$B2074,dPer,"&gt;="&amp;cyFrom,dPer,"&lt;="&amp;cyTo,dAmt,"&gt;-1E+300",dFlt1,critFlt1,dFlt2,critFlt2,dFlt3,critFlt3))</f>
        <v/>
      </c>
      <c r="E2074" t="str">
        <f>IF($B2074="","",SUMIFS(dQty,dCust,$B2074,dPer,"&gt;="&amp;pyFrom,dPer,"&lt;="&amp;pyTo,dQty,"&gt;-1E+300",dFlt1,critFlt1,dFlt2,critFlt2,dFlt3,critFlt3))</f>
        <v/>
      </c>
      <c r="F2074" t="str">
        <f>IF($B2074="","",SUMIFS(dQty,dCust,$B2074,dPer,"&gt;="&amp;cyFrom,dPer,"&lt;="&amp;cyTo,dQty,"&gt;-1E+300",dFlt1,critFlt1,dFlt2,critFlt2,dFlt3,critFlt3))</f>
        <v/>
      </c>
      <c r="G2074">
        <f>IF($B2074="",0,IFERROR(IF(OR(C2074&lt;&gt;0,D2074&lt;&gt;0,E2074&lt;&gt;0,F2074&lt;&gt;0),1,0),1))</f>
        <v>0</v>
      </c>
      <c r="H2074" t="str">
        <f>IF(OR(G2074=0,E2074=0),"",C2074/E2074)</f>
        <v/>
      </c>
      <c r="I2074" t="str">
        <f>IF(OR(G2074=0,F2074=0),"",D2074/F2074)</f>
        <v/>
      </c>
      <c r="J2074" t="str">
        <f>IF(OR(H2074="",I2074=""),"",IF(H2074=0,"",I2074/H2074-1))</f>
        <v/>
      </c>
      <c r="K2074" t="str">
        <f>IF($B2074="","",IFERROR(IF(G2074=0,-2E+300,CHOOSE(sortIdx,ROUND(D2074,0),IF(J2074="",-1E+300,ROUND(-J2074,6)),IF(J2074="",-1E+300,ROUND(J2074,6)))),-1.5E+300))</f>
        <v/>
      </c>
      <c r="L2074" t="str">
        <f>IF(K2074="","",RANK(K2074,$K$2:$K$3001,0)+COUNTIF($K$2:K2074,K2074)-1)</f>
        <v/>
      </c>
    </row>
    <row r="2075">
      <c r="B2075" t="str">
        <f>IFERROR(IF(A2075="","","="&amp;SUBSTITUTE(SUBSTITUTE(SUBSTITUTE(A2075,"~","~~"),"*","~*"),"?","~?")),"")</f>
        <v/>
      </c>
      <c r="C2075" t="str">
        <f>IF($B2075="","",SUMIFS(dAmt,dCust,$B2075,dPer,"&gt;="&amp;pyFrom,dPer,"&lt;="&amp;pyTo,dAmt,"&gt;-1E+300",dFlt1,critFlt1,dFlt2,critFlt2,dFlt3,critFlt3))</f>
        <v/>
      </c>
      <c r="D2075" t="str">
        <f>IF($B2075="","",SUMIFS(dAmt,dCust,$B2075,dPer,"&gt;="&amp;cyFrom,dPer,"&lt;="&amp;cyTo,dAmt,"&gt;-1E+300",dFlt1,critFlt1,dFlt2,critFlt2,dFlt3,critFlt3))</f>
        <v/>
      </c>
      <c r="E2075" t="str">
        <f>IF($B2075="","",SUMIFS(dQty,dCust,$B2075,dPer,"&gt;="&amp;pyFrom,dPer,"&lt;="&amp;pyTo,dQty,"&gt;-1E+300",dFlt1,critFlt1,dFlt2,critFlt2,dFlt3,critFlt3))</f>
        <v/>
      </c>
      <c r="F2075" t="str">
        <f>IF($B2075="","",SUMIFS(dQty,dCust,$B2075,dPer,"&gt;="&amp;cyFrom,dPer,"&lt;="&amp;cyTo,dQty,"&gt;-1E+300",dFlt1,critFlt1,dFlt2,critFlt2,dFlt3,critFlt3))</f>
        <v/>
      </c>
      <c r="G2075">
        <f>IF($B2075="",0,IFERROR(IF(OR(C2075&lt;&gt;0,D2075&lt;&gt;0,E2075&lt;&gt;0,F2075&lt;&gt;0),1,0),1))</f>
        <v>0</v>
      </c>
      <c r="H2075" t="str">
        <f>IF(OR(G2075=0,E2075=0),"",C2075/E2075)</f>
        <v/>
      </c>
      <c r="I2075" t="str">
        <f>IF(OR(G2075=0,F2075=0),"",D2075/F2075)</f>
        <v/>
      </c>
      <c r="J2075" t="str">
        <f>IF(OR(H2075="",I2075=""),"",IF(H2075=0,"",I2075/H2075-1))</f>
        <v/>
      </c>
      <c r="K2075" t="str">
        <f>IF($B2075="","",IFERROR(IF(G2075=0,-2E+300,CHOOSE(sortIdx,ROUND(D2075,0),IF(J2075="",-1E+300,ROUND(-J2075,6)),IF(J2075="",-1E+300,ROUND(J2075,6)))),-1.5E+300))</f>
        <v/>
      </c>
      <c r="L2075" t="str">
        <f>IF(K2075="","",RANK(K2075,$K$2:$K$3001,0)+COUNTIF($K$2:K2075,K2075)-1)</f>
        <v/>
      </c>
    </row>
    <row r="2076">
      <c r="B2076" t="str">
        <f>IFERROR(IF(A2076="","","="&amp;SUBSTITUTE(SUBSTITUTE(SUBSTITUTE(A2076,"~","~~"),"*","~*"),"?","~?")),"")</f>
        <v/>
      </c>
      <c r="C2076" t="str">
        <f>IF($B2076="","",SUMIFS(dAmt,dCust,$B2076,dPer,"&gt;="&amp;pyFrom,dPer,"&lt;="&amp;pyTo,dAmt,"&gt;-1E+300",dFlt1,critFlt1,dFlt2,critFlt2,dFlt3,critFlt3))</f>
        <v/>
      </c>
      <c r="D2076" t="str">
        <f>IF($B2076="","",SUMIFS(dAmt,dCust,$B2076,dPer,"&gt;="&amp;cyFrom,dPer,"&lt;="&amp;cyTo,dAmt,"&gt;-1E+300",dFlt1,critFlt1,dFlt2,critFlt2,dFlt3,critFlt3))</f>
        <v/>
      </c>
      <c r="E2076" t="str">
        <f>IF($B2076="","",SUMIFS(dQty,dCust,$B2076,dPer,"&gt;="&amp;pyFrom,dPer,"&lt;="&amp;pyTo,dQty,"&gt;-1E+300",dFlt1,critFlt1,dFlt2,critFlt2,dFlt3,critFlt3))</f>
        <v/>
      </c>
      <c r="F2076" t="str">
        <f>IF($B2076="","",SUMIFS(dQty,dCust,$B2076,dPer,"&gt;="&amp;cyFrom,dPer,"&lt;="&amp;cyTo,dQty,"&gt;-1E+300",dFlt1,critFlt1,dFlt2,critFlt2,dFlt3,critFlt3))</f>
        <v/>
      </c>
      <c r="G2076">
        <f>IF($B2076="",0,IFERROR(IF(OR(C2076&lt;&gt;0,D2076&lt;&gt;0,E2076&lt;&gt;0,F2076&lt;&gt;0),1,0),1))</f>
        <v>0</v>
      </c>
      <c r="H2076" t="str">
        <f>IF(OR(G2076=0,E2076=0),"",C2076/E2076)</f>
        <v/>
      </c>
      <c r="I2076" t="str">
        <f>IF(OR(G2076=0,F2076=0),"",D2076/F2076)</f>
        <v/>
      </c>
      <c r="J2076" t="str">
        <f>IF(OR(H2076="",I2076=""),"",IF(H2076=0,"",I2076/H2076-1))</f>
        <v/>
      </c>
      <c r="K2076" t="str">
        <f>IF($B2076="","",IFERROR(IF(G2076=0,-2E+300,CHOOSE(sortIdx,ROUND(D2076,0),IF(J2076="",-1E+300,ROUND(-J2076,6)),IF(J2076="",-1E+300,ROUND(J2076,6)))),-1.5E+300))</f>
        <v/>
      </c>
      <c r="L2076" t="str">
        <f>IF(K2076="","",RANK(K2076,$K$2:$K$3001,0)+COUNTIF($K$2:K2076,K2076)-1)</f>
        <v/>
      </c>
    </row>
    <row r="2077">
      <c r="B2077" t="str">
        <f>IFERROR(IF(A2077="","","="&amp;SUBSTITUTE(SUBSTITUTE(SUBSTITUTE(A2077,"~","~~"),"*","~*"),"?","~?")),"")</f>
        <v/>
      </c>
      <c r="C2077" t="str">
        <f>IF($B2077="","",SUMIFS(dAmt,dCust,$B2077,dPer,"&gt;="&amp;pyFrom,dPer,"&lt;="&amp;pyTo,dAmt,"&gt;-1E+300",dFlt1,critFlt1,dFlt2,critFlt2,dFlt3,critFlt3))</f>
        <v/>
      </c>
      <c r="D2077" t="str">
        <f>IF($B2077="","",SUMIFS(dAmt,dCust,$B2077,dPer,"&gt;="&amp;cyFrom,dPer,"&lt;="&amp;cyTo,dAmt,"&gt;-1E+300",dFlt1,critFlt1,dFlt2,critFlt2,dFlt3,critFlt3))</f>
        <v/>
      </c>
      <c r="E2077" t="str">
        <f>IF($B2077="","",SUMIFS(dQty,dCust,$B2077,dPer,"&gt;="&amp;pyFrom,dPer,"&lt;="&amp;pyTo,dQty,"&gt;-1E+300",dFlt1,critFlt1,dFlt2,critFlt2,dFlt3,critFlt3))</f>
        <v/>
      </c>
      <c r="F2077" t="str">
        <f>IF($B2077="","",SUMIFS(dQty,dCust,$B2077,dPer,"&gt;="&amp;cyFrom,dPer,"&lt;="&amp;cyTo,dQty,"&gt;-1E+300",dFlt1,critFlt1,dFlt2,critFlt2,dFlt3,critFlt3))</f>
        <v/>
      </c>
      <c r="G2077">
        <f>IF($B2077="",0,IFERROR(IF(OR(C2077&lt;&gt;0,D2077&lt;&gt;0,E2077&lt;&gt;0,F2077&lt;&gt;0),1,0),1))</f>
        <v>0</v>
      </c>
      <c r="H2077" t="str">
        <f>IF(OR(G2077=0,E2077=0),"",C2077/E2077)</f>
        <v/>
      </c>
      <c r="I2077" t="str">
        <f>IF(OR(G2077=0,F2077=0),"",D2077/F2077)</f>
        <v/>
      </c>
      <c r="J2077" t="str">
        <f>IF(OR(H2077="",I2077=""),"",IF(H2077=0,"",I2077/H2077-1))</f>
        <v/>
      </c>
      <c r="K2077" t="str">
        <f>IF($B2077="","",IFERROR(IF(G2077=0,-2E+300,CHOOSE(sortIdx,ROUND(D2077,0),IF(J2077="",-1E+300,ROUND(-J2077,6)),IF(J2077="",-1E+300,ROUND(J2077,6)))),-1.5E+300))</f>
        <v/>
      </c>
      <c r="L2077" t="str">
        <f>IF(K2077="","",RANK(K2077,$K$2:$K$3001,0)+COUNTIF($K$2:K2077,K2077)-1)</f>
        <v/>
      </c>
    </row>
    <row r="2078">
      <c r="B2078" t="str">
        <f>IFERROR(IF(A2078="","","="&amp;SUBSTITUTE(SUBSTITUTE(SUBSTITUTE(A2078,"~","~~"),"*","~*"),"?","~?")),"")</f>
        <v/>
      </c>
      <c r="C2078" t="str">
        <f>IF($B2078="","",SUMIFS(dAmt,dCust,$B2078,dPer,"&gt;="&amp;pyFrom,dPer,"&lt;="&amp;pyTo,dAmt,"&gt;-1E+300",dFlt1,critFlt1,dFlt2,critFlt2,dFlt3,critFlt3))</f>
        <v/>
      </c>
      <c r="D2078" t="str">
        <f>IF($B2078="","",SUMIFS(dAmt,dCust,$B2078,dPer,"&gt;="&amp;cyFrom,dPer,"&lt;="&amp;cyTo,dAmt,"&gt;-1E+300",dFlt1,critFlt1,dFlt2,critFlt2,dFlt3,critFlt3))</f>
        <v/>
      </c>
      <c r="E2078" t="str">
        <f>IF($B2078="","",SUMIFS(dQty,dCust,$B2078,dPer,"&gt;="&amp;pyFrom,dPer,"&lt;="&amp;pyTo,dQty,"&gt;-1E+300",dFlt1,critFlt1,dFlt2,critFlt2,dFlt3,critFlt3))</f>
        <v/>
      </c>
      <c r="F2078" t="str">
        <f>IF($B2078="","",SUMIFS(dQty,dCust,$B2078,dPer,"&gt;="&amp;cyFrom,dPer,"&lt;="&amp;cyTo,dQty,"&gt;-1E+300",dFlt1,critFlt1,dFlt2,critFlt2,dFlt3,critFlt3))</f>
        <v/>
      </c>
      <c r="G2078">
        <f>IF($B2078="",0,IFERROR(IF(OR(C2078&lt;&gt;0,D2078&lt;&gt;0,E2078&lt;&gt;0,F2078&lt;&gt;0),1,0),1))</f>
        <v>0</v>
      </c>
      <c r="H2078" t="str">
        <f>IF(OR(G2078=0,E2078=0),"",C2078/E2078)</f>
        <v/>
      </c>
      <c r="I2078" t="str">
        <f>IF(OR(G2078=0,F2078=0),"",D2078/F2078)</f>
        <v/>
      </c>
      <c r="J2078" t="str">
        <f>IF(OR(H2078="",I2078=""),"",IF(H2078=0,"",I2078/H2078-1))</f>
        <v/>
      </c>
      <c r="K2078" t="str">
        <f>IF($B2078="","",IFERROR(IF(G2078=0,-2E+300,CHOOSE(sortIdx,ROUND(D2078,0),IF(J2078="",-1E+300,ROUND(-J2078,6)),IF(J2078="",-1E+300,ROUND(J2078,6)))),-1.5E+300))</f>
        <v/>
      </c>
      <c r="L2078" t="str">
        <f>IF(K2078="","",RANK(K2078,$K$2:$K$3001,0)+COUNTIF($K$2:K2078,K2078)-1)</f>
        <v/>
      </c>
    </row>
    <row r="2079">
      <c r="B2079" t="str">
        <f>IFERROR(IF(A2079="","","="&amp;SUBSTITUTE(SUBSTITUTE(SUBSTITUTE(A2079,"~","~~"),"*","~*"),"?","~?")),"")</f>
        <v/>
      </c>
      <c r="C2079" t="str">
        <f>IF($B2079="","",SUMIFS(dAmt,dCust,$B2079,dPer,"&gt;="&amp;pyFrom,dPer,"&lt;="&amp;pyTo,dAmt,"&gt;-1E+300",dFlt1,critFlt1,dFlt2,critFlt2,dFlt3,critFlt3))</f>
        <v/>
      </c>
      <c r="D2079" t="str">
        <f>IF($B2079="","",SUMIFS(dAmt,dCust,$B2079,dPer,"&gt;="&amp;cyFrom,dPer,"&lt;="&amp;cyTo,dAmt,"&gt;-1E+300",dFlt1,critFlt1,dFlt2,critFlt2,dFlt3,critFlt3))</f>
        <v/>
      </c>
      <c r="E2079" t="str">
        <f>IF($B2079="","",SUMIFS(dQty,dCust,$B2079,dPer,"&gt;="&amp;pyFrom,dPer,"&lt;="&amp;pyTo,dQty,"&gt;-1E+300",dFlt1,critFlt1,dFlt2,critFlt2,dFlt3,critFlt3))</f>
        <v/>
      </c>
      <c r="F2079" t="str">
        <f>IF($B2079="","",SUMIFS(dQty,dCust,$B2079,dPer,"&gt;="&amp;cyFrom,dPer,"&lt;="&amp;cyTo,dQty,"&gt;-1E+300",dFlt1,critFlt1,dFlt2,critFlt2,dFlt3,critFlt3))</f>
        <v/>
      </c>
      <c r="G2079">
        <f>IF($B2079="",0,IFERROR(IF(OR(C2079&lt;&gt;0,D2079&lt;&gt;0,E2079&lt;&gt;0,F2079&lt;&gt;0),1,0),1))</f>
        <v>0</v>
      </c>
      <c r="H2079" t="str">
        <f>IF(OR(G2079=0,E2079=0),"",C2079/E2079)</f>
        <v/>
      </c>
      <c r="I2079" t="str">
        <f>IF(OR(G2079=0,F2079=0),"",D2079/F2079)</f>
        <v/>
      </c>
      <c r="J2079" t="str">
        <f>IF(OR(H2079="",I2079=""),"",IF(H2079=0,"",I2079/H2079-1))</f>
        <v/>
      </c>
      <c r="K2079" t="str">
        <f>IF($B2079="","",IFERROR(IF(G2079=0,-2E+300,CHOOSE(sortIdx,ROUND(D2079,0),IF(J2079="",-1E+300,ROUND(-J2079,6)),IF(J2079="",-1E+300,ROUND(J2079,6)))),-1.5E+300))</f>
        <v/>
      </c>
      <c r="L2079" t="str">
        <f>IF(K2079="","",RANK(K2079,$K$2:$K$3001,0)+COUNTIF($K$2:K2079,K2079)-1)</f>
        <v/>
      </c>
    </row>
    <row r="2080">
      <c r="B2080" t="str">
        <f>IFERROR(IF(A2080="","","="&amp;SUBSTITUTE(SUBSTITUTE(SUBSTITUTE(A2080,"~","~~"),"*","~*"),"?","~?")),"")</f>
        <v/>
      </c>
      <c r="C2080" t="str">
        <f>IF($B2080="","",SUMIFS(dAmt,dCust,$B2080,dPer,"&gt;="&amp;pyFrom,dPer,"&lt;="&amp;pyTo,dAmt,"&gt;-1E+300",dFlt1,critFlt1,dFlt2,critFlt2,dFlt3,critFlt3))</f>
        <v/>
      </c>
      <c r="D2080" t="str">
        <f>IF($B2080="","",SUMIFS(dAmt,dCust,$B2080,dPer,"&gt;="&amp;cyFrom,dPer,"&lt;="&amp;cyTo,dAmt,"&gt;-1E+300",dFlt1,critFlt1,dFlt2,critFlt2,dFlt3,critFlt3))</f>
        <v/>
      </c>
      <c r="E2080" t="str">
        <f>IF($B2080="","",SUMIFS(dQty,dCust,$B2080,dPer,"&gt;="&amp;pyFrom,dPer,"&lt;="&amp;pyTo,dQty,"&gt;-1E+300",dFlt1,critFlt1,dFlt2,critFlt2,dFlt3,critFlt3))</f>
        <v/>
      </c>
      <c r="F2080" t="str">
        <f>IF($B2080="","",SUMIFS(dQty,dCust,$B2080,dPer,"&gt;="&amp;cyFrom,dPer,"&lt;="&amp;cyTo,dQty,"&gt;-1E+300",dFlt1,critFlt1,dFlt2,critFlt2,dFlt3,critFlt3))</f>
        <v/>
      </c>
      <c r="G2080">
        <f>IF($B2080="",0,IFERROR(IF(OR(C2080&lt;&gt;0,D2080&lt;&gt;0,E2080&lt;&gt;0,F2080&lt;&gt;0),1,0),1))</f>
        <v>0</v>
      </c>
      <c r="H2080" t="str">
        <f>IF(OR(G2080=0,E2080=0),"",C2080/E2080)</f>
        <v/>
      </c>
      <c r="I2080" t="str">
        <f>IF(OR(G2080=0,F2080=0),"",D2080/F2080)</f>
        <v/>
      </c>
      <c r="J2080" t="str">
        <f>IF(OR(H2080="",I2080=""),"",IF(H2080=0,"",I2080/H2080-1))</f>
        <v/>
      </c>
      <c r="K2080" t="str">
        <f>IF($B2080="","",IFERROR(IF(G2080=0,-2E+300,CHOOSE(sortIdx,ROUND(D2080,0),IF(J2080="",-1E+300,ROUND(-J2080,6)),IF(J2080="",-1E+300,ROUND(J2080,6)))),-1.5E+300))</f>
        <v/>
      </c>
      <c r="L2080" t="str">
        <f>IF(K2080="","",RANK(K2080,$K$2:$K$3001,0)+COUNTIF($K$2:K2080,K2080)-1)</f>
        <v/>
      </c>
    </row>
    <row r="2081">
      <c r="B2081" t="str">
        <f>IFERROR(IF(A2081="","","="&amp;SUBSTITUTE(SUBSTITUTE(SUBSTITUTE(A2081,"~","~~"),"*","~*"),"?","~?")),"")</f>
        <v/>
      </c>
      <c r="C2081" t="str">
        <f>IF($B2081="","",SUMIFS(dAmt,dCust,$B2081,dPer,"&gt;="&amp;pyFrom,dPer,"&lt;="&amp;pyTo,dAmt,"&gt;-1E+300",dFlt1,critFlt1,dFlt2,critFlt2,dFlt3,critFlt3))</f>
        <v/>
      </c>
      <c r="D2081" t="str">
        <f>IF($B2081="","",SUMIFS(dAmt,dCust,$B2081,dPer,"&gt;="&amp;cyFrom,dPer,"&lt;="&amp;cyTo,dAmt,"&gt;-1E+300",dFlt1,critFlt1,dFlt2,critFlt2,dFlt3,critFlt3))</f>
        <v/>
      </c>
      <c r="E2081" t="str">
        <f>IF($B2081="","",SUMIFS(dQty,dCust,$B2081,dPer,"&gt;="&amp;pyFrom,dPer,"&lt;="&amp;pyTo,dQty,"&gt;-1E+300",dFlt1,critFlt1,dFlt2,critFlt2,dFlt3,critFlt3))</f>
        <v/>
      </c>
      <c r="F2081" t="str">
        <f>IF($B2081="","",SUMIFS(dQty,dCust,$B2081,dPer,"&gt;="&amp;cyFrom,dPer,"&lt;="&amp;cyTo,dQty,"&gt;-1E+300",dFlt1,critFlt1,dFlt2,critFlt2,dFlt3,critFlt3))</f>
        <v/>
      </c>
      <c r="G2081">
        <f>IF($B2081="",0,IFERROR(IF(OR(C2081&lt;&gt;0,D2081&lt;&gt;0,E2081&lt;&gt;0,F2081&lt;&gt;0),1,0),1))</f>
        <v>0</v>
      </c>
      <c r="H2081" t="str">
        <f>IF(OR(G2081=0,E2081=0),"",C2081/E2081)</f>
        <v/>
      </c>
      <c r="I2081" t="str">
        <f>IF(OR(G2081=0,F2081=0),"",D2081/F2081)</f>
        <v/>
      </c>
      <c r="J2081" t="str">
        <f>IF(OR(H2081="",I2081=""),"",IF(H2081=0,"",I2081/H2081-1))</f>
        <v/>
      </c>
      <c r="K2081" t="str">
        <f>IF($B2081="","",IFERROR(IF(G2081=0,-2E+300,CHOOSE(sortIdx,ROUND(D2081,0),IF(J2081="",-1E+300,ROUND(-J2081,6)),IF(J2081="",-1E+300,ROUND(J2081,6)))),-1.5E+300))</f>
        <v/>
      </c>
      <c r="L2081" t="str">
        <f>IF(K2081="","",RANK(K2081,$K$2:$K$3001,0)+COUNTIF($K$2:K2081,K2081)-1)</f>
        <v/>
      </c>
    </row>
    <row r="2082">
      <c r="B2082" t="str">
        <f>IFERROR(IF(A2082="","","="&amp;SUBSTITUTE(SUBSTITUTE(SUBSTITUTE(A2082,"~","~~"),"*","~*"),"?","~?")),"")</f>
        <v/>
      </c>
      <c r="C2082" t="str">
        <f>IF($B2082="","",SUMIFS(dAmt,dCust,$B2082,dPer,"&gt;="&amp;pyFrom,dPer,"&lt;="&amp;pyTo,dAmt,"&gt;-1E+300",dFlt1,critFlt1,dFlt2,critFlt2,dFlt3,critFlt3))</f>
        <v/>
      </c>
      <c r="D2082" t="str">
        <f>IF($B2082="","",SUMIFS(dAmt,dCust,$B2082,dPer,"&gt;="&amp;cyFrom,dPer,"&lt;="&amp;cyTo,dAmt,"&gt;-1E+300",dFlt1,critFlt1,dFlt2,critFlt2,dFlt3,critFlt3))</f>
        <v/>
      </c>
      <c r="E2082" t="str">
        <f>IF($B2082="","",SUMIFS(dQty,dCust,$B2082,dPer,"&gt;="&amp;pyFrom,dPer,"&lt;="&amp;pyTo,dQty,"&gt;-1E+300",dFlt1,critFlt1,dFlt2,critFlt2,dFlt3,critFlt3))</f>
        <v/>
      </c>
      <c r="F2082" t="str">
        <f>IF($B2082="","",SUMIFS(dQty,dCust,$B2082,dPer,"&gt;="&amp;cyFrom,dPer,"&lt;="&amp;cyTo,dQty,"&gt;-1E+300",dFlt1,critFlt1,dFlt2,critFlt2,dFlt3,critFlt3))</f>
        <v/>
      </c>
      <c r="G2082">
        <f>IF($B2082="",0,IFERROR(IF(OR(C2082&lt;&gt;0,D2082&lt;&gt;0,E2082&lt;&gt;0,F2082&lt;&gt;0),1,0),1))</f>
        <v>0</v>
      </c>
      <c r="H2082" t="str">
        <f>IF(OR(G2082=0,E2082=0),"",C2082/E2082)</f>
        <v/>
      </c>
      <c r="I2082" t="str">
        <f>IF(OR(G2082=0,F2082=0),"",D2082/F2082)</f>
        <v/>
      </c>
      <c r="J2082" t="str">
        <f>IF(OR(H2082="",I2082=""),"",IF(H2082=0,"",I2082/H2082-1))</f>
        <v/>
      </c>
      <c r="K2082" t="str">
        <f>IF($B2082="","",IFERROR(IF(G2082=0,-2E+300,CHOOSE(sortIdx,ROUND(D2082,0),IF(J2082="",-1E+300,ROUND(-J2082,6)),IF(J2082="",-1E+300,ROUND(J2082,6)))),-1.5E+300))</f>
        <v/>
      </c>
      <c r="L2082" t="str">
        <f>IF(K2082="","",RANK(K2082,$K$2:$K$3001,0)+COUNTIF($K$2:K2082,K2082)-1)</f>
        <v/>
      </c>
    </row>
    <row r="2083">
      <c r="B2083" t="str">
        <f>IFERROR(IF(A2083="","","="&amp;SUBSTITUTE(SUBSTITUTE(SUBSTITUTE(A2083,"~","~~"),"*","~*"),"?","~?")),"")</f>
        <v/>
      </c>
      <c r="C2083" t="str">
        <f>IF($B2083="","",SUMIFS(dAmt,dCust,$B2083,dPer,"&gt;="&amp;pyFrom,dPer,"&lt;="&amp;pyTo,dAmt,"&gt;-1E+300",dFlt1,critFlt1,dFlt2,critFlt2,dFlt3,critFlt3))</f>
        <v/>
      </c>
      <c r="D2083" t="str">
        <f>IF($B2083="","",SUMIFS(dAmt,dCust,$B2083,dPer,"&gt;="&amp;cyFrom,dPer,"&lt;="&amp;cyTo,dAmt,"&gt;-1E+300",dFlt1,critFlt1,dFlt2,critFlt2,dFlt3,critFlt3))</f>
        <v/>
      </c>
      <c r="E2083" t="str">
        <f>IF($B2083="","",SUMIFS(dQty,dCust,$B2083,dPer,"&gt;="&amp;pyFrom,dPer,"&lt;="&amp;pyTo,dQty,"&gt;-1E+300",dFlt1,critFlt1,dFlt2,critFlt2,dFlt3,critFlt3))</f>
        <v/>
      </c>
      <c r="F2083" t="str">
        <f>IF($B2083="","",SUMIFS(dQty,dCust,$B2083,dPer,"&gt;="&amp;cyFrom,dPer,"&lt;="&amp;cyTo,dQty,"&gt;-1E+300",dFlt1,critFlt1,dFlt2,critFlt2,dFlt3,critFlt3))</f>
        <v/>
      </c>
      <c r="G2083">
        <f>IF($B2083="",0,IFERROR(IF(OR(C2083&lt;&gt;0,D2083&lt;&gt;0,E2083&lt;&gt;0,F2083&lt;&gt;0),1,0),1))</f>
        <v>0</v>
      </c>
      <c r="H2083" t="str">
        <f>IF(OR(G2083=0,E2083=0),"",C2083/E2083)</f>
        <v/>
      </c>
      <c r="I2083" t="str">
        <f>IF(OR(G2083=0,F2083=0),"",D2083/F2083)</f>
        <v/>
      </c>
      <c r="J2083" t="str">
        <f>IF(OR(H2083="",I2083=""),"",IF(H2083=0,"",I2083/H2083-1))</f>
        <v/>
      </c>
      <c r="K2083" t="str">
        <f>IF($B2083="","",IFERROR(IF(G2083=0,-2E+300,CHOOSE(sortIdx,ROUND(D2083,0),IF(J2083="",-1E+300,ROUND(-J2083,6)),IF(J2083="",-1E+300,ROUND(J2083,6)))),-1.5E+300))</f>
        <v/>
      </c>
      <c r="L2083" t="str">
        <f>IF(K2083="","",RANK(K2083,$K$2:$K$3001,0)+COUNTIF($K$2:K2083,K2083)-1)</f>
        <v/>
      </c>
    </row>
    <row r="2084">
      <c r="B2084" t="str">
        <f>IFERROR(IF(A2084="","","="&amp;SUBSTITUTE(SUBSTITUTE(SUBSTITUTE(A2084,"~","~~"),"*","~*"),"?","~?")),"")</f>
        <v/>
      </c>
      <c r="C2084" t="str">
        <f>IF($B2084="","",SUMIFS(dAmt,dCust,$B2084,dPer,"&gt;="&amp;pyFrom,dPer,"&lt;="&amp;pyTo,dAmt,"&gt;-1E+300",dFlt1,critFlt1,dFlt2,critFlt2,dFlt3,critFlt3))</f>
        <v/>
      </c>
      <c r="D2084" t="str">
        <f>IF($B2084="","",SUMIFS(dAmt,dCust,$B2084,dPer,"&gt;="&amp;cyFrom,dPer,"&lt;="&amp;cyTo,dAmt,"&gt;-1E+300",dFlt1,critFlt1,dFlt2,critFlt2,dFlt3,critFlt3))</f>
        <v/>
      </c>
      <c r="E2084" t="str">
        <f>IF($B2084="","",SUMIFS(dQty,dCust,$B2084,dPer,"&gt;="&amp;pyFrom,dPer,"&lt;="&amp;pyTo,dQty,"&gt;-1E+300",dFlt1,critFlt1,dFlt2,critFlt2,dFlt3,critFlt3))</f>
        <v/>
      </c>
      <c r="F2084" t="str">
        <f>IF($B2084="","",SUMIFS(dQty,dCust,$B2084,dPer,"&gt;="&amp;cyFrom,dPer,"&lt;="&amp;cyTo,dQty,"&gt;-1E+300",dFlt1,critFlt1,dFlt2,critFlt2,dFlt3,critFlt3))</f>
        <v/>
      </c>
      <c r="G2084">
        <f>IF($B2084="",0,IFERROR(IF(OR(C2084&lt;&gt;0,D2084&lt;&gt;0,E2084&lt;&gt;0,F2084&lt;&gt;0),1,0),1))</f>
        <v>0</v>
      </c>
      <c r="H2084" t="str">
        <f>IF(OR(G2084=0,E2084=0),"",C2084/E2084)</f>
        <v/>
      </c>
      <c r="I2084" t="str">
        <f>IF(OR(G2084=0,F2084=0),"",D2084/F2084)</f>
        <v/>
      </c>
      <c r="J2084" t="str">
        <f>IF(OR(H2084="",I2084=""),"",IF(H2084=0,"",I2084/H2084-1))</f>
        <v/>
      </c>
      <c r="K2084" t="str">
        <f>IF($B2084="","",IFERROR(IF(G2084=0,-2E+300,CHOOSE(sortIdx,ROUND(D2084,0),IF(J2084="",-1E+300,ROUND(-J2084,6)),IF(J2084="",-1E+300,ROUND(J2084,6)))),-1.5E+300))</f>
        <v/>
      </c>
      <c r="L2084" t="str">
        <f>IF(K2084="","",RANK(K2084,$K$2:$K$3001,0)+COUNTIF($K$2:K2084,K2084)-1)</f>
        <v/>
      </c>
    </row>
    <row r="2085">
      <c r="B2085" t="str">
        <f>IFERROR(IF(A2085="","","="&amp;SUBSTITUTE(SUBSTITUTE(SUBSTITUTE(A2085,"~","~~"),"*","~*"),"?","~?")),"")</f>
        <v/>
      </c>
      <c r="C2085" t="str">
        <f>IF($B2085="","",SUMIFS(dAmt,dCust,$B2085,dPer,"&gt;="&amp;pyFrom,dPer,"&lt;="&amp;pyTo,dAmt,"&gt;-1E+300",dFlt1,critFlt1,dFlt2,critFlt2,dFlt3,critFlt3))</f>
        <v/>
      </c>
      <c r="D2085" t="str">
        <f>IF($B2085="","",SUMIFS(dAmt,dCust,$B2085,dPer,"&gt;="&amp;cyFrom,dPer,"&lt;="&amp;cyTo,dAmt,"&gt;-1E+300",dFlt1,critFlt1,dFlt2,critFlt2,dFlt3,critFlt3))</f>
        <v/>
      </c>
      <c r="E2085" t="str">
        <f>IF($B2085="","",SUMIFS(dQty,dCust,$B2085,dPer,"&gt;="&amp;pyFrom,dPer,"&lt;="&amp;pyTo,dQty,"&gt;-1E+300",dFlt1,critFlt1,dFlt2,critFlt2,dFlt3,critFlt3))</f>
        <v/>
      </c>
      <c r="F2085" t="str">
        <f>IF($B2085="","",SUMIFS(dQty,dCust,$B2085,dPer,"&gt;="&amp;cyFrom,dPer,"&lt;="&amp;cyTo,dQty,"&gt;-1E+300",dFlt1,critFlt1,dFlt2,critFlt2,dFlt3,critFlt3))</f>
        <v/>
      </c>
      <c r="G2085">
        <f>IF($B2085="",0,IFERROR(IF(OR(C2085&lt;&gt;0,D2085&lt;&gt;0,E2085&lt;&gt;0,F2085&lt;&gt;0),1,0),1))</f>
        <v>0</v>
      </c>
      <c r="H2085" t="str">
        <f>IF(OR(G2085=0,E2085=0),"",C2085/E2085)</f>
        <v/>
      </c>
      <c r="I2085" t="str">
        <f>IF(OR(G2085=0,F2085=0),"",D2085/F2085)</f>
        <v/>
      </c>
      <c r="J2085" t="str">
        <f>IF(OR(H2085="",I2085=""),"",IF(H2085=0,"",I2085/H2085-1))</f>
        <v/>
      </c>
      <c r="K2085" t="str">
        <f>IF($B2085="","",IFERROR(IF(G2085=0,-2E+300,CHOOSE(sortIdx,ROUND(D2085,0),IF(J2085="",-1E+300,ROUND(-J2085,6)),IF(J2085="",-1E+300,ROUND(J2085,6)))),-1.5E+300))</f>
        <v/>
      </c>
      <c r="L2085" t="str">
        <f>IF(K2085="","",RANK(K2085,$K$2:$K$3001,0)+COUNTIF($K$2:K2085,K2085)-1)</f>
        <v/>
      </c>
    </row>
    <row r="2086">
      <c r="B2086" t="str">
        <f>IFERROR(IF(A2086="","","="&amp;SUBSTITUTE(SUBSTITUTE(SUBSTITUTE(A2086,"~","~~"),"*","~*"),"?","~?")),"")</f>
        <v/>
      </c>
      <c r="C2086" t="str">
        <f>IF($B2086="","",SUMIFS(dAmt,dCust,$B2086,dPer,"&gt;="&amp;pyFrom,dPer,"&lt;="&amp;pyTo,dAmt,"&gt;-1E+300",dFlt1,critFlt1,dFlt2,critFlt2,dFlt3,critFlt3))</f>
        <v/>
      </c>
      <c r="D2086" t="str">
        <f>IF($B2086="","",SUMIFS(dAmt,dCust,$B2086,dPer,"&gt;="&amp;cyFrom,dPer,"&lt;="&amp;cyTo,dAmt,"&gt;-1E+300",dFlt1,critFlt1,dFlt2,critFlt2,dFlt3,critFlt3))</f>
        <v/>
      </c>
      <c r="E2086" t="str">
        <f>IF($B2086="","",SUMIFS(dQty,dCust,$B2086,dPer,"&gt;="&amp;pyFrom,dPer,"&lt;="&amp;pyTo,dQty,"&gt;-1E+300",dFlt1,critFlt1,dFlt2,critFlt2,dFlt3,critFlt3))</f>
        <v/>
      </c>
      <c r="F2086" t="str">
        <f>IF($B2086="","",SUMIFS(dQty,dCust,$B2086,dPer,"&gt;="&amp;cyFrom,dPer,"&lt;="&amp;cyTo,dQty,"&gt;-1E+300",dFlt1,critFlt1,dFlt2,critFlt2,dFlt3,critFlt3))</f>
        <v/>
      </c>
      <c r="G2086">
        <f>IF($B2086="",0,IFERROR(IF(OR(C2086&lt;&gt;0,D2086&lt;&gt;0,E2086&lt;&gt;0,F2086&lt;&gt;0),1,0),1))</f>
        <v>0</v>
      </c>
      <c r="H2086" t="str">
        <f>IF(OR(G2086=0,E2086=0),"",C2086/E2086)</f>
        <v/>
      </c>
      <c r="I2086" t="str">
        <f>IF(OR(G2086=0,F2086=0),"",D2086/F2086)</f>
        <v/>
      </c>
      <c r="J2086" t="str">
        <f>IF(OR(H2086="",I2086=""),"",IF(H2086=0,"",I2086/H2086-1))</f>
        <v/>
      </c>
      <c r="K2086" t="str">
        <f>IF($B2086="","",IFERROR(IF(G2086=0,-2E+300,CHOOSE(sortIdx,ROUND(D2086,0),IF(J2086="",-1E+300,ROUND(-J2086,6)),IF(J2086="",-1E+300,ROUND(J2086,6)))),-1.5E+300))</f>
        <v/>
      </c>
      <c r="L2086" t="str">
        <f>IF(K2086="","",RANK(K2086,$K$2:$K$3001,0)+COUNTIF($K$2:K2086,K2086)-1)</f>
        <v/>
      </c>
    </row>
    <row r="2087">
      <c r="B2087" t="str">
        <f>IFERROR(IF(A2087="","","="&amp;SUBSTITUTE(SUBSTITUTE(SUBSTITUTE(A2087,"~","~~"),"*","~*"),"?","~?")),"")</f>
        <v/>
      </c>
      <c r="C2087" t="str">
        <f>IF($B2087="","",SUMIFS(dAmt,dCust,$B2087,dPer,"&gt;="&amp;pyFrom,dPer,"&lt;="&amp;pyTo,dAmt,"&gt;-1E+300",dFlt1,critFlt1,dFlt2,critFlt2,dFlt3,critFlt3))</f>
        <v/>
      </c>
      <c r="D2087" t="str">
        <f>IF($B2087="","",SUMIFS(dAmt,dCust,$B2087,dPer,"&gt;="&amp;cyFrom,dPer,"&lt;="&amp;cyTo,dAmt,"&gt;-1E+300",dFlt1,critFlt1,dFlt2,critFlt2,dFlt3,critFlt3))</f>
        <v/>
      </c>
      <c r="E2087" t="str">
        <f>IF($B2087="","",SUMIFS(dQty,dCust,$B2087,dPer,"&gt;="&amp;pyFrom,dPer,"&lt;="&amp;pyTo,dQty,"&gt;-1E+300",dFlt1,critFlt1,dFlt2,critFlt2,dFlt3,critFlt3))</f>
        <v/>
      </c>
      <c r="F2087" t="str">
        <f>IF($B2087="","",SUMIFS(dQty,dCust,$B2087,dPer,"&gt;="&amp;cyFrom,dPer,"&lt;="&amp;cyTo,dQty,"&gt;-1E+300",dFlt1,critFlt1,dFlt2,critFlt2,dFlt3,critFlt3))</f>
        <v/>
      </c>
      <c r="G2087">
        <f>IF($B2087="",0,IFERROR(IF(OR(C2087&lt;&gt;0,D2087&lt;&gt;0,E2087&lt;&gt;0,F2087&lt;&gt;0),1,0),1))</f>
        <v>0</v>
      </c>
      <c r="H2087" t="str">
        <f>IF(OR(G2087=0,E2087=0),"",C2087/E2087)</f>
        <v/>
      </c>
      <c r="I2087" t="str">
        <f>IF(OR(G2087=0,F2087=0),"",D2087/F2087)</f>
        <v/>
      </c>
      <c r="J2087" t="str">
        <f>IF(OR(H2087="",I2087=""),"",IF(H2087=0,"",I2087/H2087-1))</f>
        <v/>
      </c>
      <c r="K2087" t="str">
        <f>IF($B2087="","",IFERROR(IF(G2087=0,-2E+300,CHOOSE(sortIdx,ROUND(D2087,0),IF(J2087="",-1E+300,ROUND(-J2087,6)),IF(J2087="",-1E+300,ROUND(J2087,6)))),-1.5E+300))</f>
        <v/>
      </c>
      <c r="L2087" t="str">
        <f>IF(K2087="","",RANK(K2087,$K$2:$K$3001,0)+COUNTIF($K$2:K2087,K2087)-1)</f>
        <v/>
      </c>
    </row>
    <row r="2088">
      <c r="B2088" t="str">
        <f>IFERROR(IF(A2088="","","="&amp;SUBSTITUTE(SUBSTITUTE(SUBSTITUTE(A2088,"~","~~"),"*","~*"),"?","~?")),"")</f>
        <v/>
      </c>
      <c r="C2088" t="str">
        <f>IF($B2088="","",SUMIFS(dAmt,dCust,$B2088,dPer,"&gt;="&amp;pyFrom,dPer,"&lt;="&amp;pyTo,dAmt,"&gt;-1E+300",dFlt1,critFlt1,dFlt2,critFlt2,dFlt3,critFlt3))</f>
        <v/>
      </c>
      <c r="D2088" t="str">
        <f>IF($B2088="","",SUMIFS(dAmt,dCust,$B2088,dPer,"&gt;="&amp;cyFrom,dPer,"&lt;="&amp;cyTo,dAmt,"&gt;-1E+300",dFlt1,critFlt1,dFlt2,critFlt2,dFlt3,critFlt3))</f>
        <v/>
      </c>
      <c r="E2088" t="str">
        <f>IF($B2088="","",SUMIFS(dQty,dCust,$B2088,dPer,"&gt;="&amp;pyFrom,dPer,"&lt;="&amp;pyTo,dQty,"&gt;-1E+300",dFlt1,critFlt1,dFlt2,critFlt2,dFlt3,critFlt3))</f>
        <v/>
      </c>
      <c r="F2088" t="str">
        <f>IF($B2088="","",SUMIFS(dQty,dCust,$B2088,dPer,"&gt;="&amp;cyFrom,dPer,"&lt;="&amp;cyTo,dQty,"&gt;-1E+300",dFlt1,critFlt1,dFlt2,critFlt2,dFlt3,critFlt3))</f>
        <v/>
      </c>
      <c r="G2088">
        <f>IF($B2088="",0,IFERROR(IF(OR(C2088&lt;&gt;0,D2088&lt;&gt;0,E2088&lt;&gt;0,F2088&lt;&gt;0),1,0),1))</f>
        <v>0</v>
      </c>
      <c r="H2088" t="str">
        <f>IF(OR(G2088=0,E2088=0),"",C2088/E2088)</f>
        <v/>
      </c>
      <c r="I2088" t="str">
        <f>IF(OR(G2088=0,F2088=0),"",D2088/F2088)</f>
        <v/>
      </c>
      <c r="J2088" t="str">
        <f>IF(OR(H2088="",I2088=""),"",IF(H2088=0,"",I2088/H2088-1))</f>
        <v/>
      </c>
      <c r="K2088" t="str">
        <f>IF($B2088="","",IFERROR(IF(G2088=0,-2E+300,CHOOSE(sortIdx,ROUND(D2088,0),IF(J2088="",-1E+300,ROUND(-J2088,6)),IF(J2088="",-1E+300,ROUND(J2088,6)))),-1.5E+300))</f>
        <v/>
      </c>
      <c r="L2088" t="str">
        <f>IF(K2088="","",RANK(K2088,$K$2:$K$3001,0)+COUNTIF($K$2:K2088,K2088)-1)</f>
        <v/>
      </c>
    </row>
    <row r="2089">
      <c r="B2089" t="str">
        <f>IFERROR(IF(A2089="","","="&amp;SUBSTITUTE(SUBSTITUTE(SUBSTITUTE(A2089,"~","~~"),"*","~*"),"?","~?")),"")</f>
        <v/>
      </c>
      <c r="C2089" t="str">
        <f>IF($B2089="","",SUMIFS(dAmt,dCust,$B2089,dPer,"&gt;="&amp;pyFrom,dPer,"&lt;="&amp;pyTo,dAmt,"&gt;-1E+300",dFlt1,critFlt1,dFlt2,critFlt2,dFlt3,critFlt3))</f>
        <v/>
      </c>
      <c r="D2089" t="str">
        <f>IF($B2089="","",SUMIFS(dAmt,dCust,$B2089,dPer,"&gt;="&amp;cyFrom,dPer,"&lt;="&amp;cyTo,dAmt,"&gt;-1E+300",dFlt1,critFlt1,dFlt2,critFlt2,dFlt3,critFlt3))</f>
        <v/>
      </c>
      <c r="E2089" t="str">
        <f>IF($B2089="","",SUMIFS(dQty,dCust,$B2089,dPer,"&gt;="&amp;pyFrom,dPer,"&lt;="&amp;pyTo,dQty,"&gt;-1E+300",dFlt1,critFlt1,dFlt2,critFlt2,dFlt3,critFlt3))</f>
        <v/>
      </c>
      <c r="F2089" t="str">
        <f>IF($B2089="","",SUMIFS(dQty,dCust,$B2089,dPer,"&gt;="&amp;cyFrom,dPer,"&lt;="&amp;cyTo,dQty,"&gt;-1E+300",dFlt1,critFlt1,dFlt2,critFlt2,dFlt3,critFlt3))</f>
        <v/>
      </c>
      <c r="G2089">
        <f>IF($B2089="",0,IFERROR(IF(OR(C2089&lt;&gt;0,D2089&lt;&gt;0,E2089&lt;&gt;0,F2089&lt;&gt;0),1,0),1))</f>
        <v>0</v>
      </c>
      <c r="H2089" t="str">
        <f>IF(OR(G2089=0,E2089=0),"",C2089/E2089)</f>
        <v/>
      </c>
      <c r="I2089" t="str">
        <f>IF(OR(G2089=0,F2089=0),"",D2089/F2089)</f>
        <v/>
      </c>
      <c r="J2089" t="str">
        <f>IF(OR(H2089="",I2089=""),"",IF(H2089=0,"",I2089/H2089-1))</f>
        <v/>
      </c>
      <c r="K2089" t="str">
        <f>IF($B2089="","",IFERROR(IF(G2089=0,-2E+300,CHOOSE(sortIdx,ROUND(D2089,0),IF(J2089="",-1E+300,ROUND(-J2089,6)),IF(J2089="",-1E+300,ROUND(J2089,6)))),-1.5E+300))</f>
        <v/>
      </c>
      <c r="L2089" t="str">
        <f>IF(K2089="","",RANK(K2089,$K$2:$K$3001,0)+COUNTIF($K$2:K2089,K2089)-1)</f>
        <v/>
      </c>
    </row>
    <row r="2090">
      <c r="B2090" t="str">
        <f>IFERROR(IF(A2090="","","="&amp;SUBSTITUTE(SUBSTITUTE(SUBSTITUTE(A2090,"~","~~"),"*","~*"),"?","~?")),"")</f>
        <v/>
      </c>
      <c r="C2090" t="str">
        <f>IF($B2090="","",SUMIFS(dAmt,dCust,$B2090,dPer,"&gt;="&amp;pyFrom,dPer,"&lt;="&amp;pyTo,dAmt,"&gt;-1E+300",dFlt1,critFlt1,dFlt2,critFlt2,dFlt3,critFlt3))</f>
        <v/>
      </c>
      <c r="D2090" t="str">
        <f>IF($B2090="","",SUMIFS(dAmt,dCust,$B2090,dPer,"&gt;="&amp;cyFrom,dPer,"&lt;="&amp;cyTo,dAmt,"&gt;-1E+300",dFlt1,critFlt1,dFlt2,critFlt2,dFlt3,critFlt3))</f>
        <v/>
      </c>
      <c r="E2090" t="str">
        <f>IF($B2090="","",SUMIFS(dQty,dCust,$B2090,dPer,"&gt;="&amp;pyFrom,dPer,"&lt;="&amp;pyTo,dQty,"&gt;-1E+300",dFlt1,critFlt1,dFlt2,critFlt2,dFlt3,critFlt3))</f>
        <v/>
      </c>
      <c r="F2090" t="str">
        <f>IF($B2090="","",SUMIFS(dQty,dCust,$B2090,dPer,"&gt;="&amp;cyFrom,dPer,"&lt;="&amp;cyTo,dQty,"&gt;-1E+300",dFlt1,critFlt1,dFlt2,critFlt2,dFlt3,critFlt3))</f>
        <v/>
      </c>
      <c r="G2090">
        <f>IF($B2090="",0,IFERROR(IF(OR(C2090&lt;&gt;0,D2090&lt;&gt;0,E2090&lt;&gt;0,F2090&lt;&gt;0),1,0),1))</f>
        <v>0</v>
      </c>
      <c r="H2090" t="str">
        <f>IF(OR(G2090=0,E2090=0),"",C2090/E2090)</f>
        <v/>
      </c>
      <c r="I2090" t="str">
        <f>IF(OR(G2090=0,F2090=0),"",D2090/F2090)</f>
        <v/>
      </c>
      <c r="J2090" t="str">
        <f>IF(OR(H2090="",I2090=""),"",IF(H2090=0,"",I2090/H2090-1))</f>
        <v/>
      </c>
      <c r="K2090" t="str">
        <f>IF($B2090="","",IFERROR(IF(G2090=0,-2E+300,CHOOSE(sortIdx,ROUND(D2090,0),IF(J2090="",-1E+300,ROUND(-J2090,6)),IF(J2090="",-1E+300,ROUND(J2090,6)))),-1.5E+300))</f>
        <v/>
      </c>
      <c r="L2090" t="str">
        <f>IF(K2090="","",RANK(K2090,$K$2:$K$3001,0)+COUNTIF($K$2:K2090,K2090)-1)</f>
        <v/>
      </c>
    </row>
    <row r="2091">
      <c r="B2091" t="str">
        <f>IFERROR(IF(A2091="","","="&amp;SUBSTITUTE(SUBSTITUTE(SUBSTITUTE(A2091,"~","~~"),"*","~*"),"?","~?")),"")</f>
        <v/>
      </c>
      <c r="C2091" t="str">
        <f>IF($B2091="","",SUMIFS(dAmt,dCust,$B2091,dPer,"&gt;="&amp;pyFrom,dPer,"&lt;="&amp;pyTo,dAmt,"&gt;-1E+300",dFlt1,critFlt1,dFlt2,critFlt2,dFlt3,critFlt3))</f>
        <v/>
      </c>
      <c r="D2091" t="str">
        <f>IF($B2091="","",SUMIFS(dAmt,dCust,$B2091,dPer,"&gt;="&amp;cyFrom,dPer,"&lt;="&amp;cyTo,dAmt,"&gt;-1E+300",dFlt1,critFlt1,dFlt2,critFlt2,dFlt3,critFlt3))</f>
        <v/>
      </c>
      <c r="E2091" t="str">
        <f>IF($B2091="","",SUMIFS(dQty,dCust,$B2091,dPer,"&gt;="&amp;pyFrom,dPer,"&lt;="&amp;pyTo,dQty,"&gt;-1E+300",dFlt1,critFlt1,dFlt2,critFlt2,dFlt3,critFlt3))</f>
        <v/>
      </c>
      <c r="F2091" t="str">
        <f>IF($B2091="","",SUMIFS(dQty,dCust,$B2091,dPer,"&gt;="&amp;cyFrom,dPer,"&lt;="&amp;cyTo,dQty,"&gt;-1E+300",dFlt1,critFlt1,dFlt2,critFlt2,dFlt3,critFlt3))</f>
        <v/>
      </c>
      <c r="G2091">
        <f>IF($B2091="",0,IFERROR(IF(OR(C2091&lt;&gt;0,D2091&lt;&gt;0,E2091&lt;&gt;0,F2091&lt;&gt;0),1,0),1))</f>
        <v>0</v>
      </c>
      <c r="H2091" t="str">
        <f>IF(OR(G2091=0,E2091=0),"",C2091/E2091)</f>
        <v/>
      </c>
      <c r="I2091" t="str">
        <f>IF(OR(G2091=0,F2091=0),"",D2091/F2091)</f>
        <v/>
      </c>
      <c r="J2091" t="str">
        <f>IF(OR(H2091="",I2091=""),"",IF(H2091=0,"",I2091/H2091-1))</f>
        <v/>
      </c>
      <c r="K2091" t="str">
        <f>IF($B2091="","",IFERROR(IF(G2091=0,-2E+300,CHOOSE(sortIdx,ROUND(D2091,0),IF(J2091="",-1E+300,ROUND(-J2091,6)),IF(J2091="",-1E+300,ROUND(J2091,6)))),-1.5E+300))</f>
        <v/>
      </c>
      <c r="L2091" t="str">
        <f>IF(K2091="","",RANK(K2091,$K$2:$K$3001,0)+COUNTIF($K$2:K2091,K2091)-1)</f>
        <v/>
      </c>
    </row>
    <row r="2092">
      <c r="B2092" t="str">
        <f>IFERROR(IF(A2092="","","="&amp;SUBSTITUTE(SUBSTITUTE(SUBSTITUTE(A2092,"~","~~"),"*","~*"),"?","~?")),"")</f>
        <v/>
      </c>
      <c r="C2092" t="str">
        <f>IF($B2092="","",SUMIFS(dAmt,dCust,$B2092,dPer,"&gt;="&amp;pyFrom,dPer,"&lt;="&amp;pyTo,dAmt,"&gt;-1E+300",dFlt1,critFlt1,dFlt2,critFlt2,dFlt3,critFlt3))</f>
        <v/>
      </c>
      <c r="D2092" t="str">
        <f>IF($B2092="","",SUMIFS(dAmt,dCust,$B2092,dPer,"&gt;="&amp;cyFrom,dPer,"&lt;="&amp;cyTo,dAmt,"&gt;-1E+300",dFlt1,critFlt1,dFlt2,critFlt2,dFlt3,critFlt3))</f>
        <v/>
      </c>
      <c r="E2092" t="str">
        <f>IF($B2092="","",SUMIFS(dQty,dCust,$B2092,dPer,"&gt;="&amp;pyFrom,dPer,"&lt;="&amp;pyTo,dQty,"&gt;-1E+300",dFlt1,critFlt1,dFlt2,critFlt2,dFlt3,critFlt3))</f>
        <v/>
      </c>
      <c r="F2092" t="str">
        <f>IF($B2092="","",SUMIFS(dQty,dCust,$B2092,dPer,"&gt;="&amp;cyFrom,dPer,"&lt;="&amp;cyTo,dQty,"&gt;-1E+300",dFlt1,critFlt1,dFlt2,critFlt2,dFlt3,critFlt3))</f>
        <v/>
      </c>
      <c r="G2092">
        <f>IF($B2092="",0,IFERROR(IF(OR(C2092&lt;&gt;0,D2092&lt;&gt;0,E2092&lt;&gt;0,F2092&lt;&gt;0),1,0),1))</f>
        <v>0</v>
      </c>
      <c r="H2092" t="str">
        <f>IF(OR(G2092=0,E2092=0),"",C2092/E2092)</f>
        <v/>
      </c>
      <c r="I2092" t="str">
        <f>IF(OR(G2092=0,F2092=0),"",D2092/F2092)</f>
        <v/>
      </c>
      <c r="J2092" t="str">
        <f>IF(OR(H2092="",I2092=""),"",IF(H2092=0,"",I2092/H2092-1))</f>
        <v/>
      </c>
      <c r="K2092" t="str">
        <f>IF($B2092="","",IFERROR(IF(G2092=0,-2E+300,CHOOSE(sortIdx,ROUND(D2092,0),IF(J2092="",-1E+300,ROUND(-J2092,6)),IF(J2092="",-1E+300,ROUND(J2092,6)))),-1.5E+300))</f>
        <v/>
      </c>
      <c r="L2092" t="str">
        <f>IF(K2092="","",RANK(K2092,$K$2:$K$3001,0)+COUNTIF($K$2:K2092,K2092)-1)</f>
        <v/>
      </c>
    </row>
    <row r="2093">
      <c r="B2093" t="str">
        <f>IFERROR(IF(A2093="","","="&amp;SUBSTITUTE(SUBSTITUTE(SUBSTITUTE(A2093,"~","~~"),"*","~*"),"?","~?")),"")</f>
        <v/>
      </c>
      <c r="C2093" t="str">
        <f>IF($B2093="","",SUMIFS(dAmt,dCust,$B2093,dPer,"&gt;="&amp;pyFrom,dPer,"&lt;="&amp;pyTo,dAmt,"&gt;-1E+300",dFlt1,critFlt1,dFlt2,critFlt2,dFlt3,critFlt3))</f>
        <v/>
      </c>
      <c r="D2093" t="str">
        <f>IF($B2093="","",SUMIFS(dAmt,dCust,$B2093,dPer,"&gt;="&amp;cyFrom,dPer,"&lt;="&amp;cyTo,dAmt,"&gt;-1E+300",dFlt1,critFlt1,dFlt2,critFlt2,dFlt3,critFlt3))</f>
        <v/>
      </c>
      <c r="E2093" t="str">
        <f>IF($B2093="","",SUMIFS(dQty,dCust,$B2093,dPer,"&gt;="&amp;pyFrom,dPer,"&lt;="&amp;pyTo,dQty,"&gt;-1E+300",dFlt1,critFlt1,dFlt2,critFlt2,dFlt3,critFlt3))</f>
        <v/>
      </c>
      <c r="F2093" t="str">
        <f>IF($B2093="","",SUMIFS(dQty,dCust,$B2093,dPer,"&gt;="&amp;cyFrom,dPer,"&lt;="&amp;cyTo,dQty,"&gt;-1E+300",dFlt1,critFlt1,dFlt2,critFlt2,dFlt3,critFlt3))</f>
        <v/>
      </c>
      <c r="G2093">
        <f>IF($B2093="",0,IFERROR(IF(OR(C2093&lt;&gt;0,D2093&lt;&gt;0,E2093&lt;&gt;0,F2093&lt;&gt;0),1,0),1))</f>
        <v>0</v>
      </c>
      <c r="H2093" t="str">
        <f>IF(OR(G2093=0,E2093=0),"",C2093/E2093)</f>
        <v/>
      </c>
      <c r="I2093" t="str">
        <f>IF(OR(G2093=0,F2093=0),"",D2093/F2093)</f>
        <v/>
      </c>
      <c r="J2093" t="str">
        <f>IF(OR(H2093="",I2093=""),"",IF(H2093=0,"",I2093/H2093-1))</f>
        <v/>
      </c>
      <c r="K2093" t="str">
        <f>IF($B2093="","",IFERROR(IF(G2093=0,-2E+300,CHOOSE(sortIdx,ROUND(D2093,0),IF(J2093="",-1E+300,ROUND(-J2093,6)),IF(J2093="",-1E+300,ROUND(J2093,6)))),-1.5E+300))</f>
        <v/>
      </c>
      <c r="L2093" t="str">
        <f>IF(K2093="","",RANK(K2093,$K$2:$K$3001,0)+COUNTIF($K$2:K2093,K2093)-1)</f>
        <v/>
      </c>
    </row>
    <row r="2094">
      <c r="B2094" t="str">
        <f>IFERROR(IF(A2094="","","="&amp;SUBSTITUTE(SUBSTITUTE(SUBSTITUTE(A2094,"~","~~"),"*","~*"),"?","~?")),"")</f>
        <v/>
      </c>
      <c r="C2094" t="str">
        <f>IF($B2094="","",SUMIFS(dAmt,dCust,$B2094,dPer,"&gt;="&amp;pyFrom,dPer,"&lt;="&amp;pyTo,dAmt,"&gt;-1E+300",dFlt1,critFlt1,dFlt2,critFlt2,dFlt3,critFlt3))</f>
        <v/>
      </c>
      <c r="D2094" t="str">
        <f>IF($B2094="","",SUMIFS(dAmt,dCust,$B2094,dPer,"&gt;="&amp;cyFrom,dPer,"&lt;="&amp;cyTo,dAmt,"&gt;-1E+300",dFlt1,critFlt1,dFlt2,critFlt2,dFlt3,critFlt3))</f>
        <v/>
      </c>
      <c r="E2094" t="str">
        <f>IF($B2094="","",SUMIFS(dQty,dCust,$B2094,dPer,"&gt;="&amp;pyFrom,dPer,"&lt;="&amp;pyTo,dQty,"&gt;-1E+300",dFlt1,critFlt1,dFlt2,critFlt2,dFlt3,critFlt3))</f>
        <v/>
      </c>
      <c r="F2094" t="str">
        <f>IF($B2094="","",SUMIFS(dQty,dCust,$B2094,dPer,"&gt;="&amp;cyFrom,dPer,"&lt;="&amp;cyTo,dQty,"&gt;-1E+300",dFlt1,critFlt1,dFlt2,critFlt2,dFlt3,critFlt3))</f>
        <v/>
      </c>
      <c r="G2094">
        <f>IF($B2094="",0,IFERROR(IF(OR(C2094&lt;&gt;0,D2094&lt;&gt;0,E2094&lt;&gt;0,F2094&lt;&gt;0),1,0),1))</f>
        <v>0</v>
      </c>
      <c r="H2094" t="str">
        <f>IF(OR(G2094=0,E2094=0),"",C2094/E2094)</f>
        <v/>
      </c>
      <c r="I2094" t="str">
        <f>IF(OR(G2094=0,F2094=0),"",D2094/F2094)</f>
        <v/>
      </c>
      <c r="J2094" t="str">
        <f>IF(OR(H2094="",I2094=""),"",IF(H2094=0,"",I2094/H2094-1))</f>
        <v/>
      </c>
      <c r="K2094" t="str">
        <f>IF($B2094="","",IFERROR(IF(G2094=0,-2E+300,CHOOSE(sortIdx,ROUND(D2094,0),IF(J2094="",-1E+300,ROUND(-J2094,6)),IF(J2094="",-1E+300,ROUND(J2094,6)))),-1.5E+300))</f>
        <v/>
      </c>
      <c r="L2094" t="str">
        <f>IF(K2094="","",RANK(K2094,$K$2:$K$3001,0)+COUNTIF($K$2:K2094,K2094)-1)</f>
        <v/>
      </c>
    </row>
    <row r="2095">
      <c r="B2095" t="str">
        <f>IFERROR(IF(A2095="","","="&amp;SUBSTITUTE(SUBSTITUTE(SUBSTITUTE(A2095,"~","~~"),"*","~*"),"?","~?")),"")</f>
        <v/>
      </c>
      <c r="C2095" t="str">
        <f>IF($B2095="","",SUMIFS(dAmt,dCust,$B2095,dPer,"&gt;="&amp;pyFrom,dPer,"&lt;="&amp;pyTo,dAmt,"&gt;-1E+300",dFlt1,critFlt1,dFlt2,critFlt2,dFlt3,critFlt3))</f>
        <v/>
      </c>
      <c r="D2095" t="str">
        <f>IF($B2095="","",SUMIFS(dAmt,dCust,$B2095,dPer,"&gt;="&amp;cyFrom,dPer,"&lt;="&amp;cyTo,dAmt,"&gt;-1E+300",dFlt1,critFlt1,dFlt2,critFlt2,dFlt3,critFlt3))</f>
        <v/>
      </c>
      <c r="E2095" t="str">
        <f>IF($B2095="","",SUMIFS(dQty,dCust,$B2095,dPer,"&gt;="&amp;pyFrom,dPer,"&lt;="&amp;pyTo,dQty,"&gt;-1E+300",dFlt1,critFlt1,dFlt2,critFlt2,dFlt3,critFlt3))</f>
        <v/>
      </c>
      <c r="F2095" t="str">
        <f>IF($B2095="","",SUMIFS(dQty,dCust,$B2095,dPer,"&gt;="&amp;cyFrom,dPer,"&lt;="&amp;cyTo,dQty,"&gt;-1E+300",dFlt1,critFlt1,dFlt2,critFlt2,dFlt3,critFlt3))</f>
        <v/>
      </c>
      <c r="G2095">
        <f>IF($B2095="",0,IFERROR(IF(OR(C2095&lt;&gt;0,D2095&lt;&gt;0,E2095&lt;&gt;0,F2095&lt;&gt;0),1,0),1))</f>
        <v>0</v>
      </c>
      <c r="H2095" t="str">
        <f>IF(OR(G2095=0,E2095=0),"",C2095/E2095)</f>
        <v/>
      </c>
      <c r="I2095" t="str">
        <f>IF(OR(G2095=0,F2095=0),"",D2095/F2095)</f>
        <v/>
      </c>
      <c r="J2095" t="str">
        <f>IF(OR(H2095="",I2095=""),"",IF(H2095=0,"",I2095/H2095-1))</f>
        <v/>
      </c>
      <c r="K2095" t="str">
        <f>IF($B2095="","",IFERROR(IF(G2095=0,-2E+300,CHOOSE(sortIdx,ROUND(D2095,0),IF(J2095="",-1E+300,ROUND(-J2095,6)),IF(J2095="",-1E+300,ROUND(J2095,6)))),-1.5E+300))</f>
        <v/>
      </c>
      <c r="L2095" t="str">
        <f>IF(K2095="","",RANK(K2095,$K$2:$K$3001,0)+COUNTIF($K$2:K2095,K2095)-1)</f>
        <v/>
      </c>
    </row>
    <row r="2096">
      <c r="B2096" t="str">
        <f>IFERROR(IF(A2096="","","="&amp;SUBSTITUTE(SUBSTITUTE(SUBSTITUTE(A2096,"~","~~"),"*","~*"),"?","~?")),"")</f>
        <v/>
      </c>
      <c r="C2096" t="str">
        <f>IF($B2096="","",SUMIFS(dAmt,dCust,$B2096,dPer,"&gt;="&amp;pyFrom,dPer,"&lt;="&amp;pyTo,dAmt,"&gt;-1E+300",dFlt1,critFlt1,dFlt2,critFlt2,dFlt3,critFlt3))</f>
        <v/>
      </c>
      <c r="D2096" t="str">
        <f>IF($B2096="","",SUMIFS(dAmt,dCust,$B2096,dPer,"&gt;="&amp;cyFrom,dPer,"&lt;="&amp;cyTo,dAmt,"&gt;-1E+300",dFlt1,critFlt1,dFlt2,critFlt2,dFlt3,critFlt3))</f>
        <v/>
      </c>
      <c r="E2096" t="str">
        <f>IF($B2096="","",SUMIFS(dQty,dCust,$B2096,dPer,"&gt;="&amp;pyFrom,dPer,"&lt;="&amp;pyTo,dQty,"&gt;-1E+300",dFlt1,critFlt1,dFlt2,critFlt2,dFlt3,critFlt3))</f>
        <v/>
      </c>
      <c r="F2096" t="str">
        <f>IF($B2096="","",SUMIFS(dQty,dCust,$B2096,dPer,"&gt;="&amp;cyFrom,dPer,"&lt;="&amp;cyTo,dQty,"&gt;-1E+300",dFlt1,critFlt1,dFlt2,critFlt2,dFlt3,critFlt3))</f>
        <v/>
      </c>
      <c r="G2096">
        <f>IF($B2096="",0,IFERROR(IF(OR(C2096&lt;&gt;0,D2096&lt;&gt;0,E2096&lt;&gt;0,F2096&lt;&gt;0),1,0),1))</f>
        <v>0</v>
      </c>
      <c r="H2096" t="str">
        <f>IF(OR(G2096=0,E2096=0),"",C2096/E2096)</f>
        <v/>
      </c>
      <c r="I2096" t="str">
        <f>IF(OR(G2096=0,F2096=0),"",D2096/F2096)</f>
        <v/>
      </c>
      <c r="J2096" t="str">
        <f>IF(OR(H2096="",I2096=""),"",IF(H2096=0,"",I2096/H2096-1))</f>
        <v/>
      </c>
      <c r="K2096" t="str">
        <f>IF($B2096="","",IFERROR(IF(G2096=0,-2E+300,CHOOSE(sortIdx,ROUND(D2096,0),IF(J2096="",-1E+300,ROUND(-J2096,6)),IF(J2096="",-1E+300,ROUND(J2096,6)))),-1.5E+300))</f>
        <v/>
      </c>
      <c r="L2096" t="str">
        <f>IF(K2096="","",RANK(K2096,$K$2:$K$3001,0)+COUNTIF($K$2:K2096,K2096)-1)</f>
        <v/>
      </c>
    </row>
    <row r="2097">
      <c r="B2097" t="str">
        <f>IFERROR(IF(A2097="","","="&amp;SUBSTITUTE(SUBSTITUTE(SUBSTITUTE(A2097,"~","~~"),"*","~*"),"?","~?")),"")</f>
        <v/>
      </c>
      <c r="C2097" t="str">
        <f>IF($B2097="","",SUMIFS(dAmt,dCust,$B2097,dPer,"&gt;="&amp;pyFrom,dPer,"&lt;="&amp;pyTo,dAmt,"&gt;-1E+300",dFlt1,critFlt1,dFlt2,critFlt2,dFlt3,critFlt3))</f>
        <v/>
      </c>
      <c r="D2097" t="str">
        <f>IF($B2097="","",SUMIFS(dAmt,dCust,$B2097,dPer,"&gt;="&amp;cyFrom,dPer,"&lt;="&amp;cyTo,dAmt,"&gt;-1E+300",dFlt1,critFlt1,dFlt2,critFlt2,dFlt3,critFlt3))</f>
        <v/>
      </c>
      <c r="E2097" t="str">
        <f>IF($B2097="","",SUMIFS(dQty,dCust,$B2097,dPer,"&gt;="&amp;pyFrom,dPer,"&lt;="&amp;pyTo,dQty,"&gt;-1E+300",dFlt1,critFlt1,dFlt2,critFlt2,dFlt3,critFlt3))</f>
        <v/>
      </c>
      <c r="F2097" t="str">
        <f>IF($B2097="","",SUMIFS(dQty,dCust,$B2097,dPer,"&gt;="&amp;cyFrom,dPer,"&lt;="&amp;cyTo,dQty,"&gt;-1E+300",dFlt1,critFlt1,dFlt2,critFlt2,dFlt3,critFlt3))</f>
        <v/>
      </c>
      <c r="G2097">
        <f>IF($B2097="",0,IFERROR(IF(OR(C2097&lt;&gt;0,D2097&lt;&gt;0,E2097&lt;&gt;0,F2097&lt;&gt;0),1,0),1))</f>
        <v>0</v>
      </c>
      <c r="H2097" t="str">
        <f>IF(OR(G2097=0,E2097=0),"",C2097/E2097)</f>
        <v/>
      </c>
      <c r="I2097" t="str">
        <f>IF(OR(G2097=0,F2097=0),"",D2097/F2097)</f>
        <v/>
      </c>
      <c r="J2097" t="str">
        <f>IF(OR(H2097="",I2097=""),"",IF(H2097=0,"",I2097/H2097-1))</f>
        <v/>
      </c>
      <c r="K2097" t="str">
        <f>IF($B2097="","",IFERROR(IF(G2097=0,-2E+300,CHOOSE(sortIdx,ROUND(D2097,0),IF(J2097="",-1E+300,ROUND(-J2097,6)),IF(J2097="",-1E+300,ROUND(J2097,6)))),-1.5E+300))</f>
        <v/>
      </c>
      <c r="L2097" t="str">
        <f>IF(K2097="","",RANK(K2097,$K$2:$K$3001,0)+COUNTIF($K$2:K2097,K2097)-1)</f>
        <v/>
      </c>
    </row>
    <row r="2098">
      <c r="B2098" t="str">
        <f>IFERROR(IF(A2098="","","="&amp;SUBSTITUTE(SUBSTITUTE(SUBSTITUTE(A2098,"~","~~"),"*","~*"),"?","~?")),"")</f>
        <v/>
      </c>
      <c r="C2098" t="str">
        <f>IF($B2098="","",SUMIFS(dAmt,dCust,$B2098,dPer,"&gt;="&amp;pyFrom,dPer,"&lt;="&amp;pyTo,dAmt,"&gt;-1E+300",dFlt1,critFlt1,dFlt2,critFlt2,dFlt3,critFlt3))</f>
        <v/>
      </c>
      <c r="D2098" t="str">
        <f>IF($B2098="","",SUMIFS(dAmt,dCust,$B2098,dPer,"&gt;="&amp;cyFrom,dPer,"&lt;="&amp;cyTo,dAmt,"&gt;-1E+300",dFlt1,critFlt1,dFlt2,critFlt2,dFlt3,critFlt3))</f>
        <v/>
      </c>
      <c r="E2098" t="str">
        <f>IF($B2098="","",SUMIFS(dQty,dCust,$B2098,dPer,"&gt;="&amp;pyFrom,dPer,"&lt;="&amp;pyTo,dQty,"&gt;-1E+300",dFlt1,critFlt1,dFlt2,critFlt2,dFlt3,critFlt3))</f>
        <v/>
      </c>
      <c r="F2098" t="str">
        <f>IF($B2098="","",SUMIFS(dQty,dCust,$B2098,dPer,"&gt;="&amp;cyFrom,dPer,"&lt;="&amp;cyTo,dQty,"&gt;-1E+300",dFlt1,critFlt1,dFlt2,critFlt2,dFlt3,critFlt3))</f>
        <v/>
      </c>
      <c r="G2098">
        <f>IF($B2098="",0,IFERROR(IF(OR(C2098&lt;&gt;0,D2098&lt;&gt;0,E2098&lt;&gt;0,F2098&lt;&gt;0),1,0),1))</f>
        <v>0</v>
      </c>
      <c r="H2098" t="str">
        <f>IF(OR(G2098=0,E2098=0),"",C2098/E2098)</f>
        <v/>
      </c>
      <c r="I2098" t="str">
        <f>IF(OR(G2098=0,F2098=0),"",D2098/F2098)</f>
        <v/>
      </c>
      <c r="J2098" t="str">
        <f>IF(OR(H2098="",I2098=""),"",IF(H2098=0,"",I2098/H2098-1))</f>
        <v/>
      </c>
      <c r="K2098" t="str">
        <f>IF($B2098="","",IFERROR(IF(G2098=0,-2E+300,CHOOSE(sortIdx,ROUND(D2098,0),IF(J2098="",-1E+300,ROUND(-J2098,6)),IF(J2098="",-1E+300,ROUND(J2098,6)))),-1.5E+300))</f>
        <v/>
      </c>
      <c r="L2098" t="str">
        <f>IF(K2098="","",RANK(K2098,$K$2:$K$3001,0)+COUNTIF($K$2:K2098,K2098)-1)</f>
        <v/>
      </c>
    </row>
    <row r="2099">
      <c r="B2099" t="str">
        <f>IFERROR(IF(A2099="","","="&amp;SUBSTITUTE(SUBSTITUTE(SUBSTITUTE(A2099,"~","~~"),"*","~*"),"?","~?")),"")</f>
        <v/>
      </c>
      <c r="C2099" t="str">
        <f>IF($B2099="","",SUMIFS(dAmt,dCust,$B2099,dPer,"&gt;="&amp;pyFrom,dPer,"&lt;="&amp;pyTo,dAmt,"&gt;-1E+300",dFlt1,critFlt1,dFlt2,critFlt2,dFlt3,critFlt3))</f>
        <v/>
      </c>
      <c r="D2099" t="str">
        <f>IF($B2099="","",SUMIFS(dAmt,dCust,$B2099,dPer,"&gt;="&amp;cyFrom,dPer,"&lt;="&amp;cyTo,dAmt,"&gt;-1E+300",dFlt1,critFlt1,dFlt2,critFlt2,dFlt3,critFlt3))</f>
        <v/>
      </c>
      <c r="E2099" t="str">
        <f>IF($B2099="","",SUMIFS(dQty,dCust,$B2099,dPer,"&gt;="&amp;pyFrom,dPer,"&lt;="&amp;pyTo,dQty,"&gt;-1E+300",dFlt1,critFlt1,dFlt2,critFlt2,dFlt3,critFlt3))</f>
        <v/>
      </c>
      <c r="F2099" t="str">
        <f>IF($B2099="","",SUMIFS(dQty,dCust,$B2099,dPer,"&gt;="&amp;cyFrom,dPer,"&lt;="&amp;cyTo,dQty,"&gt;-1E+300",dFlt1,critFlt1,dFlt2,critFlt2,dFlt3,critFlt3))</f>
        <v/>
      </c>
      <c r="G2099">
        <f>IF($B2099="",0,IFERROR(IF(OR(C2099&lt;&gt;0,D2099&lt;&gt;0,E2099&lt;&gt;0,F2099&lt;&gt;0),1,0),1))</f>
        <v>0</v>
      </c>
      <c r="H2099" t="str">
        <f>IF(OR(G2099=0,E2099=0),"",C2099/E2099)</f>
        <v/>
      </c>
      <c r="I2099" t="str">
        <f>IF(OR(G2099=0,F2099=0),"",D2099/F2099)</f>
        <v/>
      </c>
      <c r="J2099" t="str">
        <f>IF(OR(H2099="",I2099=""),"",IF(H2099=0,"",I2099/H2099-1))</f>
        <v/>
      </c>
      <c r="K2099" t="str">
        <f>IF($B2099="","",IFERROR(IF(G2099=0,-2E+300,CHOOSE(sortIdx,ROUND(D2099,0),IF(J2099="",-1E+300,ROUND(-J2099,6)),IF(J2099="",-1E+300,ROUND(J2099,6)))),-1.5E+300))</f>
        <v/>
      </c>
      <c r="L2099" t="str">
        <f>IF(K2099="","",RANK(K2099,$K$2:$K$3001,0)+COUNTIF($K$2:K2099,K2099)-1)</f>
        <v/>
      </c>
    </row>
    <row r="2100">
      <c r="B2100" t="str">
        <f>IFERROR(IF(A2100="","","="&amp;SUBSTITUTE(SUBSTITUTE(SUBSTITUTE(A2100,"~","~~"),"*","~*"),"?","~?")),"")</f>
        <v/>
      </c>
      <c r="C2100" t="str">
        <f>IF($B2100="","",SUMIFS(dAmt,dCust,$B2100,dPer,"&gt;="&amp;pyFrom,dPer,"&lt;="&amp;pyTo,dAmt,"&gt;-1E+300",dFlt1,critFlt1,dFlt2,critFlt2,dFlt3,critFlt3))</f>
        <v/>
      </c>
      <c r="D2100" t="str">
        <f>IF($B2100="","",SUMIFS(dAmt,dCust,$B2100,dPer,"&gt;="&amp;cyFrom,dPer,"&lt;="&amp;cyTo,dAmt,"&gt;-1E+300",dFlt1,critFlt1,dFlt2,critFlt2,dFlt3,critFlt3))</f>
        <v/>
      </c>
      <c r="E2100" t="str">
        <f>IF($B2100="","",SUMIFS(dQty,dCust,$B2100,dPer,"&gt;="&amp;pyFrom,dPer,"&lt;="&amp;pyTo,dQty,"&gt;-1E+300",dFlt1,critFlt1,dFlt2,critFlt2,dFlt3,critFlt3))</f>
        <v/>
      </c>
      <c r="F2100" t="str">
        <f>IF($B2100="","",SUMIFS(dQty,dCust,$B2100,dPer,"&gt;="&amp;cyFrom,dPer,"&lt;="&amp;cyTo,dQty,"&gt;-1E+300",dFlt1,critFlt1,dFlt2,critFlt2,dFlt3,critFlt3))</f>
        <v/>
      </c>
      <c r="G2100">
        <f>IF($B2100="",0,IFERROR(IF(OR(C2100&lt;&gt;0,D2100&lt;&gt;0,E2100&lt;&gt;0,F2100&lt;&gt;0),1,0),1))</f>
        <v>0</v>
      </c>
      <c r="H2100" t="str">
        <f>IF(OR(G2100=0,E2100=0),"",C2100/E2100)</f>
        <v/>
      </c>
      <c r="I2100" t="str">
        <f>IF(OR(G2100=0,F2100=0),"",D2100/F2100)</f>
        <v/>
      </c>
      <c r="J2100" t="str">
        <f>IF(OR(H2100="",I2100=""),"",IF(H2100=0,"",I2100/H2100-1))</f>
        <v/>
      </c>
      <c r="K2100" t="str">
        <f>IF($B2100="","",IFERROR(IF(G2100=0,-2E+300,CHOOSE(sortIdx,ROUND(D2100,0),IF(J2100="",-1E+300,ROUND(-J2100,6)),IF(J2100="",-1E+300,ROUND(J2100,6)))),-1.5E+300))</f>
        <v/>
      </c>
      <c r="L2100" t="str">
        <f>IF(K2100="","",RANK(K2100,$K$2:$K$3001,0)+COUNTIF($K$2:K2100,K2100)-1)</f>
        <v/>
      </c>
    </row>
    <row r="2101">
      <c r="B2101" t="str">
        <f>IFERROR(IF(A2101="","","="&amp;SUBSTITUTE(SUBSTITUTE(SUBSTITUTE(A2101,"~","~~"),"*","~*"),"?","~?")),"")</f>
        <v/>
      </c>
      <c r="C2101" t="str">
        <f>IF($B2101="","",SUMIFS(dAmt,dCust,$B2101,dPer,"&gt;="&amp;pyFrom,dPer,"&lt;="&amp;pyTo,dAmt,"&gt;-1E+300",dFlt1,critFlt1,dFlt2,critFlt2,dFlt3,critFlt3))</f>
        <v/>
      </c>
      <c r="D2101" t="str">
        <f>IF($B2101="","",SUMIFS(dAmt,dCust,$B2101,dPer,"&gt;="&amp;cyFrom,dPer,"&lt;="&amp;cyTo,dAmt,"&gt;-1E+300",dFlt1,critFlt1,dFlt2,critFlt2,dFlt3,critFlt3))</f>
        <v/>
      </c>
      <c r="E2101" t="str">
        <f>IF($B2101="","",SUMIFS(dQty,dCust,$B2101,dPer,"&gt;="&amp;pyFrom,dPer,"&lt;="&amp;pyTo,dQty,"&gt;-1E+300",dFlt1,critFlt1,dFlt2,critFlt2,dFlt3,critFlt3))</f>
        <v/>
      </c>
      <c r="F2101" t="str">
        <f>IF($B2101="","",SUMIFS(dQty,dCust,$B2101,dPer,"&gt;="&amp;cyFrom,dPer,"&lt;="&amp;cyTo,dQty,"&gt;-1E+300",dFlt1,critFlt1,dFlt2,critFlt2,dFlt3,critFlt3))</f>
        <v/>
      </c>
      <c r="G2101">
        <f>IF($B2101="",0,IFERROR(IF(OR(C2101&lt;&gt;0,D2101&lt;&gt;0,E2101&lt;&gt;0,F2101&lt;&gt;0),1,0),1))</f>
        <v>0</v>
      </c>
      <c r="H2101" t="str">
        <f>IF(OR(G2101=0,E2101=0),"",C2101/E2101)</f>
        <v/>
      </c>
      <c r="I2101" t="str">
        <f>IF(OR(G2101=0,F2101=0),"",D2101/F2101)</f>
        <v/>
      </c>
      <c r="J2101" t="str">
        <f>IF(OR(H2101="",I2101=""),"",IF(H2101=0,"",I2101/H2101-1))</f>
        <v/>
      </c>
      <c r="K2101" t="str">
        <f>IF($B2101="","",IFERROR(IF(G2101=0,-2E+300,CHOOSE(sortIdx,ROUND(D2101,0),IF(J2101="",-1E+300,ROUND(-J2101,6)),IF(J2101="",-1E+300,ROUND(J2101,6)))),-1.5E+300))</f>
        <v/>
      </c>
      <c r="L2101" t="str">
        <f>IF(K2101="","",RANK(K2101,$K$2:$K$3001,0)+COUNTIF($K$2:K2101,K2101)-1)</f>
        <v/>
      </c>
    </row>
    <row r="2102">
      <c r="B2102" t="str">
        <f>IFERROR(IF(A2102="","","="&amp;SUBSTITUTE(SUBSTITUTE(SUBSTITUTE(A2102,"~","~~"),"*","~*"),"?","~?")),"")</f>
        <v/>
      </c>
      <c r="C2102" t="str">
        <f>IF($B2102="","",SUMIFS(dAmt,dCust,$B2102,dPer,"&gt;="&amp;pyFrom,dPer,"&lt;="&amp;pyTo,dAmt,"&gt;-1E+300",dFlt1,critFlt1,dFlt2,critFlt2,dFlt3,critFlt3))</f>
        <v/>
      </c>
      <c r="D2102" t="str">
        <f>IF($B2102="","",SUMIFS(dAmt,dCust,$B2102,dPer,"&gt;="&amp;cyFrom,dPer,"&lt;="&amp;cyTo,dAmt,"&gt;-1E+300",dFlt1,critFlt1,dFlt2,critFlt2,dFlt3,critFlt3))</f>
        <v/>
      </c>
      <c r="E2102" t="str">
        <f>IF($B2102="","",SUMIFS(dQty,dCust,$B2102,dPer,"&gt;="&amp;pyFrom,dPer,"&lt;="&amp;pyTo,dQty,"&gt;-1E+300",dFlt1,critFlt1,dFlt2,critFlt2,dFlt3,critFlt3))</f>
        <v/>
      </c>
      <c r="F2102" t="str">
        <f>IF($B2102="","",SUMIFS(dQty,dCust,$B2102,dPer,"&gt;="&amp;cyFrom,dPer,"&lt;="&amp;cyTo,dQty,"&gt;-1E+300",dFlt1,critFlt1,dFlt2,critFlt2,dFlt3,critFlt3))</f>
        <v/>
      </c>
      <c r="G2102">
        <f>IF($B2102="",0,IFERROR(IF(OR(C2102&lt;&gt;0,D2102&lt;&gt;0,E2102&lt;&gt;0,F2102&lt;&gt;0),1,0),1))</f>
        <v>0</v>
      </c>
      <c r="H2102" t="str">
        <f>IF(OR(G2102=0,E2102=0),"",C2102/E2102)</f>
        <v/>
      </c>
      <c r="I2102" t="str">
        <f>IF(OR(G2102=0,F2102=0),"",D2102/F2102)</f>
        <v/>
      </c>
      <c r="J2102" t="str">
        <f>IF(OR(H2102="",I2102=""),"",IF(H2102=0,"",I2102/H2102-1))</f>
        <v/>
      </c>
      <c r="K2102" t="str">
        <f>IF($B2102="","",IFERROR(IF(G2102=0,-2E+300,CHOOSE(sortIdx,ROUND(D2102,0),IF(J2102="",-1E+300,ROUND(-J2102,6)),IF(J2102="",-1E+300,ROUND(J2102,6)))),-1.5E+300))</f>
        <v/>
      </c>
      <c r="L2102" t="str">
        <f>IF(K2102="","",RANK(K2102,$K$2:$K$3001,0)+COUNTIF($K$2:K2102,K2102)-1)</f>
        <v/>
      </c>
    </row>
    <row r="2103">
      <c r="B2103" t="str">
        <f>IFERROR(IF(A2103="","","="&amp;SUBSTITUTE(SUBSTITUTE(SUBSTITUTE(A2103,"~","~~"),"*","~*"),"?","~?")),"")</f>
        <v/>
      </c>
      <c r="C2103" t="str">
        <f>IF($B2103="","",SUMIFS(dAmt,dCust,$B2103,dPer,"&gt;="&amp;pyFrom,dPer,"&lt;="&amp;pyTo,dAmt,"&gt;-1E+300",dFlt1,critFlt1,dFlt2,critFlt2,dFlt3,critFlt3))</f>
        <v/>
      </c>
      <c r="D2103" t="str">
        <f>IF($B2103="","",SUMIFS(dAmt,dCust,$B2103,dPer,"&gt;="&amp;cyFrom,dPer,"&lt;="&amp;cyTo,dAmt,"&gt;-1E+300",dFlt1,critFlt1,dFlt2,critFlt2,dFlt3,critFlt3))</f>
        <v/>
      </c>
      <c r="E2103" t="str">
        <f>IF($B2103="","",SUMIFS(dQty,dCust,$B2103,dPer,"&gt;="&amp;pyFrom,dPer,"&lt;="&amp;pyTo,dQty,"&gt;-1E+300",dFlt1,critFlt1,dFlt2,critFlt2,dFlt3,critFlt3))</f>
        <v/>
      </c>
      <c r="F2103" t="str">
        <f>IF($B2103="","",SUMIFS(dQty,dCust,$B2103,dPer,"&gt;="&amp;cyFrom,dPer,"&lt;="&amp;cyTo,dQty,"&gt;-1E+300",dFlt1,critFlt1,dFlt2,critFlt2,dFlt3,critFlt3))</f>
        <v/>
      </c>
      <c r="G2103">
        <f>IF($B2103="",0,IFERROR(IF(OR(C2103&lt;&gt;0,D2103&lt;&gt;0,E2103&lt;&gt;0,F2103&lt;&gt;0),1,0),1))</f>
        <v>0</v>
      </c>
      <c r="H2103" t="str">
        <f>IF(OR(G2103=0,E2103=0),"",C2103/E2103)</f>
        <v/>
      </c>
      <c r="I2103" t="str">
        <f>IF(OR(G2103=0,F2103=0),"",D2103/F2103)</f>
        <v/>
      </c>
      <c r="J2103" t="str">
        <f>IF(OR(H2103="",I2103=""),"",IF(H2103=0,"",I2103/H2103-1))</f>
        <v/>
      </c>
      <c r="K2103" t="str">
        <f>IF($B2103="","",IFERROR(IF(G2103=0,-2E+300,CHOOSE(sortIdx,ROUND(D2103,0),IF(J2103="",-1E+300,ROUND(-J2103,6)),IF(J2103="",-1E+300,ROUND(J2103,6)))),-1.5E+300))</f>
        <v/>
      </c>
      <c r="L2103" t="str">
        <f>IF(K2103="","",RANK(K2103,$K$2:$K$3001,0)+COUNTIF($K$2:K2103,K2103)-1)</f>
        <v/>
      </c>
    </row>
    <row r="2104">
      <c r="B2104" t="str">
        <f>IFERROR(IF(A2104="","","="&amp;SUBSTITUTE(SUBSTITUTE(SUBSTITUTE(A2104,"~","~~"),"*","~*"),"?","~?")),"")</f>
        <v/>
      </c>
      <c r="C2104" t="str">
        <f>IF($B2104="","",SUMIFS(dAmt,dCust,$B2104,dPer,"&gt;="&amp;pyFrom,dPer,"&lt;="&amp;pyTo,dAmt,"&gt;-1E+300",dFlt1,critFlt1,dFlt2,critFlt2,dFlt3,critFlt3))</f>
        <v/>
      </c>
      <c r="D2104" t="str">
        <f>IF($B2104="","",SUMIFS(dAmt,dCust,$B2104,dPer,"&gt;="&amp;cyFrom,dPer,"&lt;="&amp;cyTo,dAmt,"&gt;-1E+300",dFlt1,critFlt1,dFlt2,critFlt2,dFlt3,critFlt3))</f>
        <v/>
      </c>
      <c r="E2104" t="str">
        <f>IF($B2104="","",SUMIFS(dQty,dCust,$B2104,dPer,"&gt;="&amp;pyFrom,dPer,"&lt;="&amp;pyTo,dQty,"&gt;-1E+300",dFlt1,critFlt1,dFlt2,critFlt2,dFlt3,critFlt3))</f>
        <v/>
      </c>
      <c r="F2104" t="str">
        <f>IF($B2104="","",SUMIFS(dQty,dCust,$B2104,dPer,"&gt;="&amp;cyFrom,dPer,"&lt;="&amp;cyTo,dQty,"&gt;-1E+300",dFlt1,critFlt1,dFlt2,critFlt2,dFlt3,critFlt3))</f>
        <v/>
      </c>
      <c r="G2104">
        <f>IF($B2104="",0,IFERROR(IF(OR(C2104&lt;&gt;0,D2104&lt;&gt;0,E2104&lt;&gt;0,F2104&lt;&gt;0),1,0),1))</f>
        <v>0</v>
      </c>
      <c r="H2104" t="str">
        <f>IF(OR(G2104=0,E2104=0),"",C2104/E2104)</f>
        <v/>
      </c>
      <c r="I2104" t="str">
        <f>IF(OR(G2104=0,F2104=0),"",D2104/F2104)</f>
        <v/>
      </c>
      <c r="J2104" t="str">
        <f>IF(OR(H2104="",I2104=""),"",IF(H2104=0,"",I2104/H2104-1))</f>
        <v/>
      </c>
      <c r="K2104" t="str">
        <f>IF($B2104="","",IFERROR(IF(G2104=0,-2E+300,CHOOSE(sortIdx,ROUND(D2104,0),IF(J2104="",-1E+300,ROUND(-J2104,6)),IF(J2104="",-1E+300,ROUND(J2104,6)))),-1.5E+300))</f>
        <v/>
      </c>
      <c r="L2104" t="str">
        <f>IF(K2104="","",RANK(K2104,$K$2:$K$3001,0)+COUNTIF($K$2:K2104,K2104)-1)</f>
        <v/>
      </c>
    </row>
    <row r="2105">
      <c r="B2105" t="str">
        <f>IFERROR(IF(A2105="","","="&amp;SUBSTITUTE(SUBSTITUTE(SUBSTITUTE(A2105,"~","~~"),"*","~*"),"?","~?")),"")</f>
        <v/>
      </c>
      <c r="C2105" t="str">
        <f>IF($B2105="","",SUMIFS(dAmt,dCust,$B2105,dPer,"&gt;="&amp;pyFrom,dPer,"&lt;="&amp;pyTo,dAmt,"&gt;-1E+300",dFlt1,critFlt1,dFlt2,critFlt2,dFlt3,critFlt3))</f>
        <v/>
      </c>
      <c r="D2105" t="str">
        <f>IF($B2105="","",SUMIFS(dAmt,dCust,$B2105,dPer,"&gt;="&amp;cyFrom,dPer,"&lt;="&amp;cyTo,dAmt,"&gt;-1E+300",dFlt1,critFlt1,dFlt2,critFlt2,dFlt3,critFlt3))</f>
        <v/>
      </c>
      <c r="E2105" t="str">
        <f>IF($B2105="","",SUMIFS(dQty,dCust,$B2105,dPer,"&gt;="&amp;pyFrom,dPer,"&lt;="&amp;pyTo,dQty,"&gt;-1E+300",dFlt1,critFlt1,dFlt2,critFlt2,dFlt3,critFlt3))</f>
        <v/>
      </c>
      <c r="F2105" t="str">
        <f>IF($B2105="","",SUMIFS(dQty,dCust,$B2105,dPer,"&gt;="&amp;cyFrom,dPer,"&lt;="&amp;cyTo,dQty,"&gt;-1E+300",dFlt1,critFlt1,dFlt2,critFlt2,dFlt3,critFlt3))</f>
        <v/>
      </c>
      <c r="G2105">
        <f>IF($B2105="",0,IFERROR(IF(OR(C2105&lt;&gt;0,D2105&lt;&gt;0,E2105&lt;&gt;0,F2105&lt;&gt;0),1,0),1))</f>
        <v>0</v>
      </c>
      <c r="H2105" t="str">
        <f>IF(OR(G2105=0,E2105=0),"",C2105/E2105)</f>
        <v/>
      </c>
      <c r="I2105" t="str">
        <f>IF(OR(G2105=0,F2105=0),"",D2105/F2105)</f>
        <v/>
      </c>
      <c r="J2105" t="str">
        <f>IF(OR(H2105="",I2105=""),"",IF(H2105=0,"",I2105/H2105-1))</f>
        <v/>
      </c>
      <c r="K2105" t="str">
        <f>IF($B2105="","",IFERROR(IF(G2105=0,-2E+300,CHOOSE(sortIdx,ROUND(D2105,0),IF(J2105="",-1E+300,ROUND(-J2105,6)),IF(J2105="",-1E+300,ROUND(J2105,6)))),-1.5E+300))</f>
        <v/>
      </c>
      <c r="L2105" t="str">
        <f>IF(K2105="","",RANK(K2105,$K$2:$K$3001,0)+COUNTIF($K$2:K2105,K2105)-1)</f>
        <v/>
      </c>
    </row>
    <row r="2106">
      <c r="B2106" t="str">
        <f>IFERROR(IF(A2106="","","="&amp;SUBSTITUTE(SUBSTITUTE(SUBSTITUTE(A2106,"~","~~"),"*","~*"),"?","~?")),"")</f>
        <v/>
      </c>
      <c r="C2106" t="str">
        <f>IF($B2106="","",SUMIFS(dAmt,dCust,$B2106,dPer,"&gt;="&amp;pyFrom,dPer,"&lt;="&amp;pyTo,dAmt,"&gt;-1E+300",dFlt1,critFlt1,dFlt2,critFlt2,dFlt3,critFlt3))</f>
        <v/>
      </c>
      <c r="D2106" t="str">
        <f>IF($B2106="","",SUMIFS(dAmt,dCust,$B2106,dPer,"&gt;="&amp;cyFrom,dPer,"&lt;="&amp;cyTo,dAmt,"&gt;-1E+300",dFlt1,critFlt1,dFlt2,critFlt2,dFlt3,critFlt3))</f>
        <v/>
      </c>
      <c r="E2106" t="str">
        <f>IF($B2106="","",SUMIFS(dQty,dCust,$B2106,dPer,"&gt;="&amp;pyFrom,dPer,"&lt;="&amp;pyTo,dQty,"&gt;-1E+300",dFlt1,critFlt1,dFlt2,critFlt2,dFlt3,critFlt3))</f>
        <v/>
      </c>
      <c r="F2106" t="str">
        <f>IF($B2106="","",SUMIFS(dQty,dCust,$B2106,dPer,"&gt;="&amp;cyFrom,dPer,"&lt;="&amp;cyTo,dQty,"&gt;-1E+300",dFlt1,critFlt1,dFlt2,critFlt2,dFlt3,critFlt3))</f>
        <v/>
      </c>
      <c r="G2106">
        <f>IF($B2106="",0,IFERROR(IF(OR(C2106&lt;&gt;0,D2106&lt;&gt;0,E2106&lt;&gt;0,F2106&lt;&gt;0),1,0),1))</f>
        <v>0</v>
      </c>
      <c r="H2106" t="str">
        <f>IF(OR(G2106=0,E2106=0),"",C2106/E2106)</f>
        <v/>
      </c>
      <c r="I2106" t="str">
        <f>IF(OR(G2106=0,F2106=0),"",D2106/F2106)</f>
        <v/>
      </c>
      <c r="J2106" t="str">
        <f>IF(OR(H2106="",I2106=""),"",IF(H2106=0,"",I2106/H2106-1))</f>
        <v/>
      </c>
      <c r="K2106" t="str">
        <f>IF($B2106="","",IFERROR(IF(G2106=0,-2E+300,CHOOSE(sortIdx,ROUND(D2106,0),IF(J2106="",-1E+300,ROUND(-J2106,6)),IF(J2106="",-1E+300,ROUND(J2106,6)))),-1.5E+300))</f>
        <v/>
      </c>
      <c r="L2106" t="str">
        <f>IF(K2106="","",RANK(K2106,$K$2:$K$3001,0)+COUNTIF($K$2:K2106,K2106)-1)</f>
        <v/>
      </c>
    </row>
    <row r="2107">
      <c r="B2107" t="str">
        <f>IFERROR(IF(A2107="","","="&amp;SUBSTITUTE(SUBSTITUTE(SUBSTITUTE(A2107,"~","~~"),"*","~*"),"?","~?")),"")</f>
        <v/>
      </c>
      <c r="C2107" t="str">
        <f>IF($B2107="","",SUMIFS(dAmt,dCust,$B2107,dPer,"&gt;="&amp;pyFrom,dPer,"&lt;="&amp;pyTo,dAmt,"&gt;-1E+300",dFlt1,critFlt1,dFlt2,critFlt2,dFlt3,critFlt3))</f>
        <v/>
      </c>
      <c r="D2107" t="str">
        <f>IF($B2107="","",SUMIFS(dAmt,dCust,$B2107,dPer,"&gt;="&amp;cyFrom,dPer,"&lt;="&amp;cyTo,dAmt,"&gt;-1E+300",dFlt1,critFlt1,dFlt2,critFlt2,dFlt3,critFlt3))</f>
        <v/>
      </c>
      <c r="E2107" t="str">
        <f>IF($B2107="","",SUMIFS(dQty,dCust,$B2107,dPer,"&gt;="&amp;pyFrom,dPer,"&lt;="&amp;pyTo,dQty,"&gt;-1E+300",dFlt1,critFlt1,dFlt2,critFlt2,dFlt3,critFlt3))</f>
        <v/>
      </c>
      <c r="F2107" t="str">
        <f>IF($B2107="","",SUMIFS(dQty,dCust,$B2107,dPer,"&gt;="&amp;cyFrom,dPer,"&lt;="&amp;cyTo,dQty,"&gt;-1E+300",dFlt1,critFlt1,dFlt2,critFlt2,dFlt3,critFlt3))</f>
        <v/>
      </c>
      <c r="G2107">
        <f>IF($B2107="",0,IFERROR(IF(OR(C2107&lt;&gt;0,D2107&lt;&gt;0,E2107&lt;&gt;0,F2107&lt;&gt;0),1,0),1))</f>
        <v>0</v>
      </c>
      <c r="H2107" t="str">
        <f>IF(OR(G2107=0,E2107=0),"",C2107/E2107)</f>
        <v/>
      </c>
      <c r="I2107" t="str">
        <f>IF(OR(G2107=0,F2107=0),"",D2107/F2107)</f>
        <v/>
      </c>
      <c r="J2107" t="str">
        <f>IF(OR(H2107="",I2107=""),"",IF(H2107=0,"",I2107/H2107-1))</f>
        <v/>
      </c>
      <c r="K2107" t="str">
        <f>IF($B2107="","",IFERROR(IF(G2107=0,-2E+300,CHOOSE(sortIdx,ROUND(D2107,0),IF(J2107="",-1E+300,ROUND(-J2107,6)),IF(J2107="",-1E+300,ROUND(J2107,6)))),-1.5E+300))</f>
        <v/>
      </c>
      <c r="L2107" t="str">
        <f>IF(K2107="","",RANK(K2107,$K$2:$K$3001,0)+COUNTIF($K$2:K2107,K2107)-1)</f>
        <v/>
      </c>
    </row>
    <row r="2108">
      <c r="B2108" t="str">
        <f>IFERROR(IF(A2108="","","="&amp;SUBSTITUTE(SUBSTITUTE(SUBSTITUTE(A2108,"~","~~"),"*","~*"),"?","~?")),"")</f>
        <v/>
      </c>
      <c r="C2108" t="str">
        <f>IF($B2108="","",SUMIFS(dAmt,dCust,$B2108,dPer,"&gt;="&amp;pyFrom,dPer,"&lt;="&amp;pyTo,dAmt,"&gt;-1E+300",dFlt1,critFlt1,dFlt2,critFlt2,dFlt3,critFlt3))</f>
        <v/>
      </c>
      <c r="D2108" t="str">
        <f>IF($B2108="","",SUMIFS(dAmt,dCust,$B2108,dPer,"&gt;="&amp;cyFrom,dPer,"&lt;="&amp;cyTo,dAmt,"&gt;-1E+300",dFlt1,critFlt1,dFlt2,critFlt2,dFlt3,critFlt3))</f>
        <v/>
      </c>
      <c r="E2108" t="str">
        <f>IF($B2108="","",SUMIFS(dQty,dCust,$B2108,dPer,"&gt;="&amp;pyFrom,dPer,"&lt;="&amp;pyTo,dQty,"&gt;-1E+300",dFlt1,critFlt1,dFlt2,critFlt2,dFlt3,critFlt3))</f>
        <v/>
      </c>
      <c r="F2108" t="str">
        <f>IF($B2108="","",SUMIFS(dQty,dCust,$B2108,dPer,"&gt;="&amp;cyFrom,dPer,"&lt;="&amp;cyTo,dQty,"&gt;-1E+300",dFlt1,critFlt1,dFlt2,critFlt2,dFlt3,critFlt3))</f>
        <v/>
      </c>
      <c r="G2108">
        <f>IF($B2108="",0,IFERROR(IF(OR(C2108&lt;&gt;0,D2108&lt;&gt;0,E2108&lt;&gt;0,F2108&lt;&gt;0),1,0),1))</f>
        <v>0</v>
      </c>
      <c r="H2108" t="str">
        <f>IF(OR(G2108=0,E2108=0),"",C2108/E2108)</f>
        <v/>
      </c>
      <c r="I2108" t="str">
        <f>IF(OR(G2108=0,F2108=0),"",D2108/F2108)</f>
        <v/>
      </c>
      <c r="J2108" t="str">
        <f>IF(OR(H2108="",I2108=""),"",IF(H2108=0,"",I2108/H2108-1))</f>
        <v/>
      </c>
      <c r="K2108" t="str">
        <f>IF($B2108="","",IFERROR(IF(G2108=0,-2E+300,CHOOSE(sortIdx,ROUND(D2108,0),IF(J2108="",-1E+300,ROUND(-J2108,6)),IF(J2108="",-1E+300,ROUND(J2108,6)))),-1.5E+300))</f>
        <v/>
      </c>
      <c r="L2108" t="str">
        <f>IF(K2108="","",RANK(K2108,$K$2:$K$3001,0)+COUNTIF($K$2:K2108,K2108)-1)</f>
        <v/>
      </c>
    </row>
    <row r="2109">
      <c r="B2109" t="str">
        <f>IFERROR(IF(A2109="","","="&amp;SUBSTITUTE(SUBSTITUTE(SUBSTITUTE(A2109,"~","~~"),"*","~*"),"?","~?")),"")</f>
        <v/>
      </c>
      <c r="C2109" t="str">
        <f>IF($B2109="","",SUMIFS(dAmt,dCust,$B2109,dPer,"&gt;="&amp;pyFrom,dPer,"&lt;="&amp;pyTo,dAmt,"&gt;-1E+300",dFlt1,critFlt1,dFlt2,critFlt2,dFlt3,critFlt3))</f>
        <v/>
      </c>
      <c r="D2109" t="str">
        <f>IF($B2109="","",SUMIFS(dAmt,dCust,$B2109,dPer,"&gt;="&amp;cyFrom,dPer,"&lt;="&amp;cyTo,dAmt,"&gt;-1E+300",dFlt1,critFlt1,dFlt2,critFlt2,dFlt3,critFlt3))</f>
        <v/>
      </c>
      <c r="E2109" t="str">
        <f>IF($B2109="","",SUMIFS(dQty,dCust,$B2109,dPer,"&gt;="&amp;pyFrom,dPer,"&lt;="&amp;pyTo,dQty,"&gt;-1E+300",dFlt1,critFlt1,dFlt2,critFlt2,dFlt3,critFlt3))</f>
        <v/>
      </c>
      <c r="F2109" t="str">
        <f>IF($B2109="","",SUMIFS(dQty,dCust,$B2109,dPer,"&gt;="&amp;cyFrom,dPer,"&lt;="&amp;cyTo,dQty,"&gt;-1E+300",dFlt1,critFlt1,dFlt2,critFlt2,dFlt3,critFlt3))</f>
        <v/>
      </c>
      <c r="G2109">
        <f>IF($B2109="",0,IFERROR(IF(OR(C2109&lt;&gt;0,D2109&lt;&gt;0,E2109&lt;&gt;0,F2109&lt;&gt;0),1,0),1))</f>
        <v>0</v>
      </c>
      <c r="H2109" t="str">
        <f>IF(OR(G2109=0,E2109=0),"",C2109/E2109)</f>
        <v/>
      </c>
      <c r="I2109" t="str">
        <f>IF(OR(G2109=0,F2109=0),"",D2109/F2109)</f>
        <v/>
      </c>
      <c r="J2109" t="str">
        <f>IF(OR(H2109="",I2109=""),"",IF(H2109=0,"",I2109/H2109-1))</f>
        <v/>
      </c>
      <c r="K2109" t="str">
        <f>IF($B2109="","",IFERROR(IF(G2109=0,-2E+300,CHOOSE(sortIdx,ROUND(D2109,0),IF(J2109="",-1E+300,ROUND(-J2109,6)),IF(J2109="",-1E+300,ROUND(J2109,6)))),-1.5E+300))</f>
        <v/>
      </c>
      <c r="L2109" t="str">
        <f>IF(K2109="","",RANK(K2109,$K$2:$K$3001,0)+COUNTIF($K$2:K2109,K2109)-1)</f>
        <v/>
      </c>
    </row>
    <row r="2110">
      <c r="B2110" t="str">
        <f>IFERROR(IF(A2110="","","="&amp;SUBSTITUTE(SUBSTITUTE(SUBSTITUTE(A2110,"~","~~"),"*","~*"),"?","~?")),"")</f>
        <v/>
      </c>
      <c r="C2110" t="str">
        <f>IF($B2110="","",SUMIFS(dAmt,dCust,$B2110,dPer,"&gt;="&amp;pyFrom,dPer,"&lt;="&amp;pyTo,dAmt,"&gt;-1E+300",dFlt1,critFlt1,dFlt2,critFlt2,dFlt3,critFlt3))</f>
        <v/>
      </c>
      <c r="D2110" t="str">
        <f>IF($B2110="","",SUMIFS(dAmt,dCust,$B2110,dPer,"&gt;="&amp;cyFrom,dPer,"&lt;="&amp;cyTo,dAmt,"&gt;-1E+300",dFlt1,critFlt1,dFlt2,critFlt2,dFlt3,critFlt3))</f>
        <v/>
      </c>
      <c r="E2110" t="str">
        <f>IF($B2110="","",SUMIFS(dQty,dCust,$B2110,dPer,"&gt;="&amp;pyFrom,dPer,"&lt;="&amp;pyTo,dQty,"&gt;-1E+300",dFlt1,critFlt1,dFlt2,critFlt2,dFlt3,critFlt3))</f>
        <v/>
      </c>
      <c r="F2110" t="str">
        <f>IF($B2110="","",SUMIFS(dQty,dCust,$B2110,dPer,"&gt;="&amp;cyFrom,dPer,"&lt;="&amp;cyTo,dQty,"&gt;-1E+300",dFlt1,critFlt1,dFlt2,critFlt2,dFlt3,critFlt3))</f>
        <v/>
      </c>
      <c r="G2110">
        <f>IF($B2110="",0,IFERROR(IF(OR(C2110&lt;&gt;0,D2110&lt;&gt;0,E2110&lt;&gt;0,F2110&lt;&gt;0),1,0),1))</f>
        <v>0</v>
      </c>
      <c r="H2110" t="str">
        <f>IF(OR(G2110=0,E2110=0),"",C2110/E2110)</f>
        <v/>
      </c>
      <c r="I2110" t="str">
        <f>IF(OR(G2110=0,F2110=0),"",D2110/F2110)</f>
        <v/>
      </c>
      <c r="J2110" t="str">
        <f>IF(OR(H2110="",I2110=""),"",IF(H2110=0,"",I2110/H2110-1))</f>
        <v/>
      </c>
      <c r="K2110" t="str">
        <f>IF($B2110="","",IFERROR(IF(G2110=0,-2E+300,CHOOSE(sortIdx,ROUND(D2110,0),IF(J2110="",-1E+300,ROUND(-J2110,6)),IF(J2110="",-1E+300,ROUND(J2110,6)))),-1.5E+300))</f>
        <v/>
      </c>
      <c r="L2110" t="str">
        <f>IF(K2110="","",RANK(K2110,$K$2:$K$3001,0)+COUNTIF($K$2:K2110,K2110)-1)</f>
        <v/>
      </c>
    </row>
    <row r="2111">
      <c r="B2111" t="str">
        <f>IFERROR(IF(A2111="","","="&amp;SUBSTITUTE(SUBSTITUTE(SUBSTITUTE(A2111,"~","~~"),"*","~*"),"?","~?")),"")</f>
        <v/>
      </c>
      <c r="C2111" t="str">
        <f>IF($B2111="","",SUMIFS(dAmt,dCust,$B2111,dPer,"&gt;="&amp;pyFrom,dPer,"&lt;="&amp;pyTo,dAmt,"&gt;-1E+300",dFlt1,critFlt1,dFlt2,critFlt2,dFlt3,critFlt3))</f>
        <v/>
      </c>
      <c r="D2111" t="str">
        <f>IF($B2111="","",SUMIFS(dAmt,dCust,$B2111,dPer,"&gt;="&amp;cyFrom,dPer,"&lt;="&amp;cyTo,dAmt,"&gt;-1E+300",dFlt1,critFlt1,dFlt2,critFlt2,dFlt3,critFlt3))</f>
        <v/>
      </c>
      <c r="E2111" t="str">
        <f>IF($B2111="","",SUMIFS(dQty,dCust,$B2111,dPer,"&gt;="&amp;pyFrom,dPer,"&lt;="&amp;pyTo,dQty,"&gt;-1E+300",dFlt1,critFlt1,dFlt2,critFlt2,dFlt3,critFlt3))</f>
        <v/>
      </c>
      <c r="F2111" t="str">
        <f>IF($B2111="","",SUMIFS(dQty,dCust,$B2111,dPer,"&gt;="&amp;cyFrom,dPer,"&lt;="&amp;cyTo,dQty,"&gt;-1E+300",dFlt1,critFlt1,dFlt2,critFlt2,dFlt3,critFlt3))</f>
        <v/>
      </c>
      <c r="G2111">
        <f>IF($B2111="",0,IFERROR(IF(OR(C2111&lt;&gt;0,D2111&lt;&gt;0,E2111&lt;&gt;0,F2111&lt;&gt;0),1,0),1))</f>
        <v>0</v>
      </c>
      <c r="H2111" t="str">
        <f>IF(OR(G2111=0,E2111=0),"",C2111/E2111)</f>
        <v/>
      </c>
      <c r="I2111" t="str">
        <f>IF(OR(G2111=0,F2111=0),"",D2111/F2111)</f>
        <v/>
      </c>
      <c r="J2111" t="str">
        <f>IF(OR(H2111="",I2111=""),"",IF(H2111=0,"",I2111/H2111-1))</f>
        <v/>
      </c>
      <c r="K2111" t="str">
        <f>IF($B2111="","",IFERROR(IF(G2111=0,-2E+300,CHOOSE(sortIdx,ROUND(D2111,0),IF(J2111="",-1E+300,ROUND(-J2111,6)),IF(J2111="",-1E+300,ROUND(J2111,6)))),-1.5E+300))</f>
        <v/>
      </c>
      <c r="L2111" t="str">
        <f>IF(K2111="","",RANK(K2111,$K$2:$K$3001,0)+COUNTIF($K$2:K2111,K2111)-1)</f>
        <v/>
      </c>
    </row>
    <row r="2112">
      <c r="B2112" t="str">
        <f>IFERROR(IF(A2112="","","="&amp;SUBSTITUTE(SUBSTITUTE(SUBSTITUTE(A2112,"~","~~"),"*","~*"),"?","~?")),"")</f>
        <v/>
      </c>
      <c r="C2112" t="str">
        <f>IF($B2112="","",SUMIFS(dAmt,dCust,$B2112,dPer,"&gt;="&amp;pyFrom,dPer,"&lt;="&amp;pyTo,dAmt,"&gt;-1E+300",dFlt1,critFlt1,dFlt2,critFlt2,dFlt3,critFlt3))</f>
        <v/>
      </c>
      <c r="D2112" t="str">
        <f>IF($B2112="","",SUMIFS(dAmt,dCust,$B2112,dPer,"&gt;="&amp;cyFrom,dPer,"&lt;="&amp;cyTo,dAmt,"&gt;-1E+300",dFlt1,critFlt1,dFlt2,critFlt2,dFlt3,critFlt3))</f>
        <v/>
      </c>
      <c r="E2112" t="str">
        <f>IF($B2112="","",SUMIFS(dQty,dCust,$B2112,dPer,"&gt;="&amp;pyFrom,dPer,"&lt;="&amp;pyTo,dQty,"&gt;-1E+300",dFlt1,critFlt1,dFlt2,critFlt2,dFlt3,critFlt3))</f>
        <v/>
      </c>
      <c r="F2112" t="str">
        <f>IF($B2112="","",SUMIFS(dQty,dCust,$B2112,dPer,"&gt;="&amp;cyFrom,dPer,"&lt;="&amp;cyTo,dQty,"&gt;-1E+300",dFlt1,critFlt1,dFlt2,critFlt2,dFlt3,critFlt3))</f>
        <v/>
      </c>
      <c r="G2112">
        <f>IF($B2112="",0,IFERROR(IF(OR(C2112&lt;&gt;0,D2112&lt;&gt;0,E2112&lt;&gt;0,F2112&lt;&gt;0),1,0),1))</f>
        <v>0</v>
      </c>
      <c r="H2112" t="str">
        <f>IF(OR(G2112=0,E2112=0),"",C2112/E2112)</f>
        <v/>
      </c>
      <c r="I2112" t="str">
        <f>IF(OR(G2112=0,F2112=0),"",D2112/F2112)</f>
        <v/>
      </c>
      <c r="J2112" t="str">
        <f>IF(OR(H2112="",I2112=""),"",IF(H2112=0,"",I2112/H2112-1))</f>
        <v/>
      </c>
      <c r="K2112" t="str">
        <f>IF($B2112="","",IFERROR(IF(G2112=0,-2E+300,CHOOSE(sortIdx,ROUND(D2112,0),IF(J2112="",-1E+300,ROUND(-J2112,6)),IF(J2112="",-1E+300,ROUND(J2112,6)))),-1.5E+300))</f>
        <v/>
      </c>
      <c r="L2112" t="str">
        <f>IF(K2112="","",RANK(K2112,$K$2:$K$3001,0)+COUNTIF($K$2:K2112,K2112)-1)</f>
        <v/>
      </c>
    </row>
    <row r="2113">
      <c r="B2113" t="str">
        <f>IFERROR(IF(A2113="","","="&amp;SUBSTITUTE(SUBSTITUTE(SUBSTITUTE(A2113,"~","~~"),"*","~*"),"?","~?")),"")</f>
        <v/>
      </c>
      <c r="C2113" t="str">
        <f>IF($B2113="","",SUMIFS(dAmt,dCust,$B2113,dPer,"&gt;="&amp;pyFrom,dPer,"&lt;="&amp;pyTo,dAmt,"&gt;-1E+300",dFlt1,critFlt1,dFlt2,critFlt2,dFlt3,critFlt3))</f>
        <v/>
      </c>
      <c r="D2113" t="str">
        <f>IF($B2113="","",SUMIFS(dAmt,dCust,$B2113,dPer,"&gt;="&amp;cyFrom,dPer,"&lt;="&amp;cyTo,dAmt,"&gt;-1E+300",dFlt1,critFlt1,dFlt2,critFlt2,dFlt3,critFlt3))</f>
        <v/>
      </c>
      <c r="E2113" t="str">
        <f>IF($B2113="","",SUMIFS(dQty,dCust,$B2113,dPer,"&gt;="&amp;pyFrom,dPer,"&lt;="&amp;pyTo,dQty,"&gt;-1E+300",dFlt1,critFlt1,dFlt2,critFlt2,dFlt3,critFlt3))</f>
        <v/>
      </c>
      <c r="F2113" t="str">
        <f>IF($B2113="","",SUMIFS(dQty,dCust,$B2113,dPer,"&gt;="&amp;cyFrom,dPer,"&lt;="&amp;cyTo,dQty,"&gt;-1E+300",dFlt1,critFlt1,dFlt2,critFlt2,dFlt3,critFlt3))</f>
        <v/>
      </c>
      <c r="G2113">
        <f>IF($B2113="",0,IFERROR(IF(OR(C2113&lt;&gt;0,D2113&lt;&gt;0,E2113&lt;&gt;0,F2113&lt;&gt;0),1,0),1))</f>
        <v>0</v>
      </c>
      <c r="H2113" t="str">
        <f>IF(OR(G2113=0,E2113=0),"",C2113/E2113)</f>
        <v/>
      </c>
      <c r="I2113" t="str">
        <f>IF(OR(G2113=0,F2113=0),"",D2113/F2113)</f>
        <v/>
      </c>
      <c r="J2113" t="str">
        <f>IF(OR(H2113="",I2113=""),"",IF(H2113=0,"",I2113/H2113-1))</f>
        <v/>
      </c>
      <c r="K2113" t="str">
        <f>IF($B2113="","",IFERROR(IF(G2113=0,-2E+300,CHOOSE(sortIdx,ROUND(D2113,0),IF(J2113="",-1E+300,ROUND(-J2113,6)),IF(J2113="",-1E+300,ROUND(J2113,6)))),-1.5E+300))</f>
        <v/>
      </c>
      <c r="L2113" t="str">
        <f>IF(K2113="","",RANK(K2113,$K$2:$K$3001,0)+COUNTIF($K$2:K2113,K2113)-1)</f>
        <v/>
      </c>
    </row>
    <row r="2114">
      <c r="B2114" t="str">
        <f>IFERROR(IF(A2114="","","="&amp;SUBSTITUTE(SUBSTITUTE(SUBSTITUTE(A2114,"~","~~"),"*","~*"),"?","~?")),"")</f>
        <v/>
      </c>
      <c r="C2114" t="str">
        <f>IF($B2114="","",SUMIFS(dAmt,dCust,$B2114,dPer,"&gt;="&amp;pyFrom,dPer,"&lt;="&amp;pyTo,dAmt,"&gt;-1E+300",dFlt1,critFlt1,dFlt2,critFlt2,dFlt3,critFlt3))</f>
        <v/>
      </c>
      <c r="D2114" t="str">
        <f>IF($B2114="","",SUMIFS(dAmt,dCust,$B2114,dPer,"&gt;="&amp;cyFrom,dPer,"&lt;="&amp;cyTo,dAmt,"&gt;-1E+300",dFlt1,critFlt1,dFlt2,critFlt2,dFlt3,critFlt3))</f>
        <v/>
      </c>
      <c r="E2114" t="str">
        <f>IF($B2114="","",SUMIFS(dQty,dCust,$B2114,dPer,"&gt;="&amp;pyFrom,dPer,"&lt;="&amp;pyTo,dQty,"&gt;-1E+300",dFlt1,critFlt1,dFlt2,critFlt2,dFlt3,critFlt3))</f>
        <v/>
      </c>
      <c r="F2114" t="str">
        <f>IF($B2114="","",SUMIFS(dQty,dCust,$B2114,dPer,"&gt;="&amp;cyFrom,dPer,"&lt;="&amp;cyTo,dQty,"&gt;-1E+300",dFlt1,critFlt1,dFlt2,critFlt2,dFlt3,critFlt3))</f>
        <v/>
      </c>
      <c r="G2114">
        <f>IF($B2114="",0,IFERROR(IF(OR(C2114&lt;&gt;0,D2114&lt;&gt;0,E2114&lt;&gt;0,F2114&lt;&gt;0),1,0),1))</f>
        <v>0</v>
      </c>
      <c r="H2114" t="str">
        <f>IF(OR(G2114=0,E2114=0),"",C2114/E2114)</f>
        <v/>
      </c>
      <c r="I2114" t="str">
        <f>IF(OR(G2114=0,F2114=0),"",D2114/F2114)</f>
        <v/>
      </c>
      <c r="J2114" t="str">
        <f>IF(OR(H2114="",I2114=""),"",IF(H2114=0,"",I2114/H2114-1))</f>
        <v/>
      </c>
      <c r="K2114" t="str">
        <f>IF($B2114="","",IFERROR(IF(G2114=0,-2E+300,CHOOSE(sortIdx,ROUND(D2114,0),IF(J2114="",-1E+300,ROUND(-J2114,6)),IF(J2114="",-1E+300,ROUND(J2114,6)))),-1.5E+300))</f>
        <v/>
      </c>
      <c r="L2114" t="str">
        <f>IF(K2114="","",RANK(K2114,$K$2:$K$3001,0)+COUNTIF($K$2:K2114,K2114)-1)</f>
        <v/>
      </c>
    </row>
    <row r="2115">
      <c r="B2115" t="str">
        <f>IFERROR(IF(A2115="","","="&amp;SUBSTITUTE(SUBSTITUTE(SUBSTITUTE(A2115,"~","~~"),"*","~*"),"?","~?")),"")</f>
        <v/>
      </c>
      <c r="C2115" t="str">
        <f>IF($B2115="","",SUMIFS(dAmt,dCust,$B2115,dPer,"&gt;="&amp;pyFrom,dPer,"&lt;="&amp;pyTo,dAmt,"&gt;-1E+300",dFlt1,critFlt1,dFlt2,critFlt2,dFlt3,critFlt3))</f>
        <v/>
      </c>
      <c r="D2115" t="str">
        <f>IF($B2115="","",SUMIFS(dAmt,dCust,$B2115,dPer,"&gt;="&amp;cyFrom,dPer,"&lt;="&amp;cyTo,dAmt,"&gt;-1E+300",dFlt1,critFlt1,dFlt2,critFlt2,dFlt3,critFlt3))</f>
        <v/>
      </c>
      <c r="E2115" t="str">
        <f>IF($B2115="","",SUMIFS(dQty,dCust,$B2115,dPer,"&gt;="&amp;pyFrom,dPer,"&lt;="&amp;pyTo,dQty,"&gt;-1E+300",dFlt1,critFlt1,dFlt2,critFlt2,dFlt3,critFlt3))</f>
        <v/>
      </c>
      <c r="F2115" t="str">
        <f>IF($B2115="","",SUMIFS(dQty,dCust,$B2115,dPer,"&gt;="&amp;cyFrom,dPer,"&lt;="&amp;cyTo,dQty,"&gt;-1E+300",dFlt1,critFlt1,dFlt2,critFlt2,dFlt3,critFlt3))</f>
        <v/>
      </c>
      <c r="G2115">
        <f>IF($B2115="",0,IFERROR(IF(OR(C2115&lt;&gt;0,D2115&lt;&gt;0,E2115&lt;&gt;0,F2115&lt;&gt;0),1,0),1))</f>
        <v>0</v>
      </c>
      <c r="H2115" t="str">
        <f>IF(OR(G2115=0,E2115=0),"",C2115/E2115)</f>
        <v/>
      </c>
      <c r="I2115" t="str">
        <f>IF(OR(G2115=0,F2115=0),"",D2115/F2115)</f>
        <v/>
      </c>
      <c r="J2115" t="str">
        <f>IF(OR(H2115="",I2115=""),"",IF(H2115=0,"",I2115/H2115-1))</f>
        <v/>
      </c>
      <c r="K2115" t="str">
        <f>IF($B2115="","",IFERROR(IF(G2115=0,-2E+300,CHOOSE(sortIdx,ROUND(D2115,0),IF(J2115="",-1E+300,ROUND(-J2115,6)),IF(J2115="",-1E+300,ROUND(J2115,6)))),-1.5E+300))</f>
        <v/>
      </c>
      <c r="L2115" t="str">
        <f>IF(K2115="","",RANK(K2115,$K$2:$K$3001,0)+COUNTIF($K$2:K2115,K2115)-1)</f>
        <v/>
      </c>
    </row>
    <row r="2116">
      <c r="B2116" t="str">
        <f>IFERROR(IF(A2116="","","="&amp;SUBSTITUTE(SUBSTITUTE(SUBSTITUTE(A2116,"~","~~"),"*","~*"),"?","~?")),"")</f>
        <v/>
      </c>
      <c r="C2116" t="str">
        <f>IF($B2116="","",SUMIFS(dAmt,dCust,$B2116,dPer,"&gt;="&amp;pyFrom,dPer,"&lt;="&amp;pyTo,dAmt,"&gt;-1E+300",dFlt1,critFlt1,dFlt2,critFlt2,dFlt3,critFlt3))</f>
        <v/>
      </c>
      <c r="D2116" t="str">
        <f>IF($B2116="","",SUMIFS(dAmt,dCust,$B2116,dPer,"&gt;="&amp;cyFrom,dPer,"&lt;="&amp;cyTo,dAmt,"&gt;-1E+300",dFlt1,critFlt1,dFlt2,critFlt2,dFlt3,critFlt3))</f>
        <v/>
      </c>
      <c r="E2116" t="str">
        <f>IF($B2116="","",SUMIFS(dQty,dCust,$B2116,dPer,"&gt;="&amp;pyFrom,dPer,"&lt;="&amp;pyTo,dQty,"&gt;-1E+300",dFlt1,critFlt1,dFlt2,critFlt2,dFlt3,critFlt3))</f>
        <v/>
      </c>
      <c r="F2116" t="str">
        <f>IF($B2116="","",SUMIFS(dQty,dCust,$B2116,dPer,"&gt;="&amp;cyFrom,dPer,"&lt;="&amp;cyTo,dQty,"&gt;-1E+300",dFlt1,critFlt1,dFlt2,critFlt2,dFlt3,critFlt3))</f>
        <v/>
      </c>
      <c r="G2116">
        <f>IF($B2116="",0,IFERROR(IF(OR(C2116&lt;&gt;0,D2116&lt;&gt;0,E2116&lt;&gt;0,F2116&lt;&gt;0),1,0),1))</f>
        <v>0</v>
      </c>
      <c r="H2116" t="str">
        <f>IF(OR(G2116=0,E2116=0),"",C2116/E2116)</f>
        <v/>
      </c>
      <c r="I2116" t="str">
        <f>IF(OR(G2116=0,F2116=0),"",D2116/F2116)</f>
        <v/>
      </c>
      <c r="J2116" t="str">
        <f>IF(OR(H2116="",I2116=""),"",IF(H2116=0,"",I2116/H2116-1))</f>
        <v/>
      </c>
      <c r="K2116" t="str">
        <f>IF($B2116="","",IFERROR(IF(G2116=0,-2E+300,CHOOSE(sortIdx,ROUND(D2116,0),IF(J2116="",-1E+300,ROUND(-J2116,6)),IF(J2116="",-1E+300,ROUND(J2116,6)))),-1.5E+300))</f>
        <v/>
      </c>
      <c r="L2116" t="str">
        <f>IF(K2116="","",RANK(K2116,$K$2:$K$3001,0)+COUNTIF($K$2:K2116,K2116)-1)</f>
        <v/>
      </c>
    </row>
    <row r="2117">
      <c r="B2117" t="str">
        <f>IFERROR(IF(A2117="","","="&amp;SUBSTITUTE(SUBSTITUTE(SUBSTITUTE(A2117,"~","~~"),"*","~*"),"?","~?")),"")</f>
        <v/>
      </c>
      <c r="C2117" t="str">
        <f>IF($B2117="","",SUMIFS(dAmt,dCust,$B2117,dPer,"&gt;="&amp;pyFrom,dPer,"&lt;="&amp;pyTo,dAmt,"&gt;-1E+300",dFlt1,critFlt1,dFlt2,critFlt2,dFlt3,critFlt3))</f>
        <v/>
      </c>
      <c r="D2117" t="str">
        <f>IF($B2117="","",SUMIFS(dAmt,dCust,$B2117,dPer,"&gt;="&amp;cyFrom,dPer,"&lt;="&amp;cyTo,dAmt,"&gt;-1E+300",dFlt1,critFlt1,dFlt2,critFlt2,dFlt3,critFlt3))</f>
        <v/>
      </c>
      <c r="E2117" t="str">
        <f>IF($B2117="","",SUMIFS(dQty,dCust,$B2117,dPer,"&gt;="&amp;pyFrom,dPer,"&lt;="&amp;pyTo,dQty,"&gt;-1E+300",dFlt1,critFlt1,dFlt2,critFlt2,dFlt3,critFlt3))</f>
        <v/>
      </c>
      <c r="F2117" t="str">
        <f>IF($B2117="","",SUMIFS(dQty,dCust,$B2117,dPer,"&gt;="&amp;cyFrom,dPer,"&lt;="&amp;cyTo,dQty,"&gt;-1E+300",dFlt1,critFlt1,dFlt2,critFlt2,dFlt3,critFlt3))</f>
        <v/>
      </c>
      <c r="G2117">
        <f>IF($B2117="",0,IFERROR(IF(OR(C2117&lt;&gt;0,D2117&lt;&gt;0,E2117&lt;&gt;0,F2117&lt;&gt;0),1,0),1))</f>
        <v>0</v>
      </c>
      <c r="H2117" t="str">
        <f>IF(OR(G2117=0,E2117=0),"",C2117/E2117)</f>
        <v/>
      </c>
      <c r="I2117" t="str">
        <f>IF(OR(G2117=0,F2117=0),"",D2117/F2117)</f>
        <v/>
      </c>
      <c r="J2117" t="str">
        <f>IF(OR(H2117="",I2117=""),"",IF(H2117=0,"",I2117/H2117-1))</f>
        <v/>
      </c>
      <c r="K2117" t="str">
        <f>IF($B2117="","",IFERROR(IF(G2117=0,-2E+300,CHOOSE(sortIdx,ROUND(D2117,0),IF(J2117="",-1E+300,ROUND(-J2117,6)),IF(J2117="",-1E+300,ROUND(J2117,6)))),-1.5E+300))</f>
        <v/>
      </c>
      <c r="L2117" t="str">
        <f>IF(K2117="","",RANK(K2117,$K$2:$K$3001,0)+COUNTIF($K$2:K2117,K2117)-1)</f>
        <v/>
      </c>
    </row>
    <row r="2118">
      <c r="B2118" t="str">
        <f>IFERROR(IF(A2118="","","="&amp;SUBSTITUTE(SUBSTITUTE(SUBSTITUTE(A2118,"~","~~"),"*","~*"),"?","~?")),"")</f>
        <v/>
      </c>
      <c r="C2118" t="str">
        <f>IF($B2118="","",SUMIFS(dAmt,dCust,$B2118,dPer,"&gt;="&amp;pyFrom,dPer,"&lt;="&amp;pyTo,dAmt,"&gt;-1E+300",dFlt1,critFlt1,dFlt2,critFlt2,dFlt3,critFlt3))</f>
        <v/>
      </c>
      <c r="D2118" t="str">
        <f>IF($B2118="","",SUMIFS(dAmt,dCust,$B2118,dPer,"&gt;="&amp;cyFrom,dPer,"&lt;="&amp;cyTo,dAmt,"&gt;-1E+300",dFlt1,critFlt1,dFlt2,critFlt2,dFlt3,critFlt3))</f>
        <v/>
      </c>
      <c r="E2118" t="str">
        <f>IF($B2118="","",SUMIFS(dQty,dCust,$B2118,dPer,"&gt;="&amp;pyFrom,dPer,"&lt;="&amp;pyTo,dQty,"&gt;-1E+300",dFlt1,critFlt1,dFlt2,critFlt2,dFlt3,critFlt3))</f>
        <v/>
      </c>
      <c r="F2118" t="str">
        <f>IF($B2118="","",SUMIFS(dQty,dCust,$B2118,dPer,"&gt;="&amp;cyFrom,dPer,"&lt;="&amp;cyTo,dQty,"&gt;-1E+300",dFlt1,critFlt1,dFlt2,critFlt2,dFlt3,critFlt3))</f>
        <v/>
      </c>
      <c r="G2118">
        <f>IF($B2118="",0,IFERROR(IF(OR(C2118&lt;&gt;0,D2118&lt;&gt;0,E2118&lt;&gt;0,F2118&lt;&gt;0),1,0),1))</f>
        <v>0</v>
      </c>
      <c r="H2118" t="str">
        <f>IF(OR(G2118=0,E2118=0),"",C2118/E2118)</f>
        <v/>
      </c>
      <c r="I2118" t="str">
        <f>IF(OR(G2118=0,F2118=0),"",D2118/F2118)</f>
        <v/>
      </c>
      <c r="J2118" t="str">
        <f>IF(OR(H2118="",I2118=""),"",IF(H2118=0,"",I2118/H2118-1))</f>
        <v/>
      </c>
      <c r="K2118" t="str">
        <f>IF($B2118="","",IFERROR(IF(G2118=0,-2E+300,CHOOSE(sortIdx,ROUND(D2118,0),IF(J2118="",-1E+300,ROUND(-J2118,6)),IF(J2118="",-1E+300,ROUND(J2118,6)))),-1.5E+300))</f>
        <v/>
      </c>
      <c r="L2118" t="str">
        <f>IF(K2118="","",RANK(K2118,$K$2:$K$3001,0)+COUNTIF($K$2:K2118,K2118)-1)</f>
        <v/>
      </c>
    </row>
    <row r="2119">
      <c r="B2119" t="str">
        <f>IFERROR(IF(A2119="","","="&amp;SUBSTITUTE(SUBSTITUTE(SUBSTITUTE(A2119,"~","~~"),"*","~*"),"?","~?")),"")</f>
        <v/>
      </c>
      <c r="C2119" t="str">
        <f>IF($B2119="","",SUMIFS(dAmt,dCust,$B2119,dPer,"&gt;="&amp;pyFrom,dPer,"&lt;="&amp;pyTo,dAmt,"&gt;-1E+300",dFlt1,critFlt1,dFlt2,critFlt2,dFlt3,critFlt3))</f>
        <v/>
      </c>
      <c r="D2119" t="str">
        <f>IF($B2119="","",SUMIFS(dAmt,dCust,$B2119,dPer,"&gt;="&amp;cyFrom,dPer,"&lt;="&amp;cyTo,dAmt,"&gt;-1E+300",dFlt1,critFlt1,dFlt2,critFlt2,dFlt3,critFlt3))</f>
        <v/>
      </c>
      <c r="E2119" t="str">
        <f>IF($B2119="","",SUMIFS(dQty,dCust,$B2119,dPer,"&gt;="&amp;pyFrom,dPer,"&lt;="&amp;pyTo,dQty,"&gt;-1E+300",dFlt1,critFlt1,dFlt2,critFlt2,dFlt3,critFlt3))</f>
        <v/>
      </c>
      <c r="F2119" t="str">
        <f>IF($B2119="","",SUMIFS(dQty,dCust,$B2119,dPer,"&gt;="&amp;cyFrom,dPer,"&lt;="&amp;cyTo,dQty,"&gt;-1E+300",dFlt1,critFlt1,dFlt2,critFlt2,dFlt3,critFlt3))</f>
        <v/>
      </c>
      <c r="G2119">
        <f>IF($B2119="",0,IFERROR(IF(OR(C2119&lt;&gt;0,D2119&lt;&gt;0,E2119&lt;&gt;0,F2119&lt;&gt;0),1,0),1))</f>
        <v>0</v>
      </c>
      <c r="H2119" t="str">
        <f>IF(OR(G2119=0,E2119=0),"",C2119/E2119)</f>
        <v/>
      </c>
      <c r="I2119" t="str">
        <f>IF(OR(G2119=0,F2119=0),"",D2119/F2119)</f>
        <v/>
      </c>
      <c r="J2119" t="str">
        <f>IF(OR(H2119="",I2119=""),"",IF(H2119=0,"",I2119/H2119-1))</f>
        <v/>
      </c>
      <c r="K2119" t="str">
        <f>IF($B2119="","",IFERROR(IF(G2119=0,-2E+300,CHOOSE(sortIdx,ROUND(D2119,0),IF(J2119="",-1E+300,ROUND(-J2119,6)),IF(J2119="",-1E+300,ROUND(J2119,6)))),-1.5E+300))</f>
        <v/>
      </c>
      <c r="L2119" t="str">
        <f>IF(K2119="","",RANK(K2119,$K$2:$K$3001,0)+COUNTIF($K$2:K2119,K2119)-1)</f>
        <v/>
      </c>
    </row>
    <row r="2120">
      <c r="B2120" t="str">
        <f>IFERROR(IF(A2120="","","="&amp;SUBSTITUTE(SUBSTITUTE(SUBSTITUTE(A2120,"~","~~"),"*","~*"),"?","~?")),"")</f>
        <v/>
      </c>
      <c r="C2120" t="str">
        <f>IF($B2120="","",SUMIFS(dAmt,dCust,$B2120,dPer,"&gt;="&amp;pyFrom,dPer,"&lt;="&amp;pyTo,dAmt,"&gt;-1E+300",dFlt1,critFlt1,dFlt2,critFlt2,dFlt3,critFlt3))</f>
        <v/>
      </c>
      <c r="D2120" t="str">
        <f>IF($B2120="","",SUMIFS(dAmt,dCust,$B2120,dPer,"&gt;="&amp;cyFrom,dPer,"&lt;="&amp;cyTo,dAmt,"&gt;-1E+300",dFlt1,critFlt1,dFlt2,critFlt2,dFlt3,critFlt3))</f>
        <v/>
      </c>
      <c r="E2120" t="str">
        <f>IF($B2120="","",SUMIFS(dQty,dCust,$B2120,dPer,"&gt;="&amp;pyFrom,dPer,"&lt;="&amp;pyTo,dQty,"&gt;-1E+300",dFlt1,critFlt1,dFlt2,critFlt2,dFlt3,critFlt3))</f>
        <v/>
      </c>
      <c r="F2120" t="str">
        <f>IF($B2120="","",SUMIFS(dQty,dCust,$B2120,dPer,"&gt;="&amp;cyFrom,dPer,"&lt;="&amp;cyTo,dQty,"&gt;-1E+300",dFlt1,critFlt1,dFlt2,critFlt2,dFlt3,critFlt3))</f>
        <v/>
      </c>
      <c r="G2120">
        <f>IF($B2120="",0,IFERROR(IF(OR(C2120&lt;&gt;0,D2120&lt;&gt;0,E2120&lt;&gt;0,F2120&lt;&gt;0),1,0),1))</f>
        <v>0</v>
      </c>
      <c r="H2120" t="str">
        <f>IF(OR(G2120=0,E2120=0),"",C2120/E2120)</f>
        <v/>
      </c>
      <c r="I2120" t="str">
        <f>IF(OR(G2120=0,F2120=0),"",D2120/F2120)</f>
        <v/>
      </c>
      <c r="J2120" t="str">
        <f>IF(OR(H2120="",I2120=""),"",IF(H2120=0,"",I2120/H2120-1))</f>
        <v/>
      </c>
      <c r="K2120" t="str">
        <f>IF($B2120="","",IFERROR(IF(G2120=0,-2E+300,CHOOSE(sortIdx,ROUND(D2120,0),IF(J2120="",-1E+300,ROUND(-J2120,6)),IF(J2120="",-1E+300,ROUND(J2120,6)))),-1.5E+300))</f>
        <v/>
      </c>
      <c r="L2120" t="str">
        <f>IF(K2120="","",RANK(K2120,$K$2:$K$3001,0)+COUNTIF($K$2:K2120,K2120)-1)</f>
        <v/>
      </c>
    </row>
    <row r="2121">
      <c r="B2121" t="str">
        <f>IFERROR(IF(A2121="","","="&amp;SUBSTITUTE(SUBSTITUTE(SUBSTITUTE(A2121,"~","~~"),"*","~*"),"?","~?")),"")</f>
        <v/>
      </c>
      <c r="C2121" t="str">
        <f>IF($B2121="","",SUMIFS(dAmt,dCust,$B2121,dPer,"&gt;="&amp;pyFrom,dPer,"&lt;="&amp;pyTo,dAmt,"&gt;-1E+300",dFlt1,critFlt1,dFlt2,critFlt2,dFlt3,critFlt3))</f>
        <v/>
      </c>
      <c r="D2121" t="str">
        <f>IF($B2121="","",SUMIFS(dAmt,dCust,$B2121,dPer,"&gt;="&amp;cyFrom,dPer,"&lt;="&amp;cyTo,dAmt,"&gt;-1E+300",dFlt1,critFlt1,dFlt2,critFlt2,dFlt3,critFlt3))</f>
        <v/>
      </c>
      <c r="E2121" t="str">
        <f>IF($B2121="","",SUMIFS(dQty,dCust,$B2121,dPer,"&gt;="&amp;pyFrom,dPer,"&lt;="&amp;pyTo,dQty,"&gt;-1E+300",dFlt1,critFlt1,dFlt2,critFlt2,dFlt3,critFlt3))</f>
        <v/>
      </c>
      <c r="F2121" t="str">
        <f>IF($B2121="","",SUMIFS(dQty,dCust,$B2121,dPer,"&gt;="&amp;cyFrom,dPer,"&lt;="&amp;cyTo,dQty,"&gt;-1E+300",dFlt1,critFlt1,dFlt2,critFlt2,dFlt3,critFlt3))</f>
        <v/>
      </c>
      <c r="G2121">
        <f>IF($B2121="",0,IFERROR(IF(OR(C2121&lt;&gt;0,D2121&lt;&gt;0,E2121&lt;&gt;0,F2121&lt;&gt;0),1,0),1))</f>
        <v>0</v>
      </c>
      <c r="H2121" t="str">
        <f>IF(OR(G2121=0,E2121=0),"",C2121/E2121)</f>
        <v/>
      </c>
      <c r="I2121" t="str">
        <f>IF(OR(G2121=0,F2121=0),"",D2121/F2121)</f>
        <v/>
      </c>
      <c r="J2121" t="str">
        <f>IF(OR(H2121="",I2121=""),"",IF(H2121=0,"",I2121/H2121-1))</f>
        <v/>
      </c>
      <c r="K2121" t="str">
        <f>IF($B2121="","",IFERROR(IF(G2121=0,-2E+300,CHOOSE(sortIdx,ROUND(D2121,0),IF(J2121="",-1E+300,ROUND(-J2121,6)),IF(J2121="",-1E+300,ROUND(J2121,6)))),-1.5E+300))</f>
        <v/>
      </c>
      <c r="L2121" t="str">
        <f>IF(K2121="","",RANK(K2121,$K$2:$K$3001,0)+COUNTIF($K$2:K2121,K2121)-1)</f>
        <v/>
      </c>
    </row>
    <row r="2122">
      <c r="B2122" t="str">
        <f>IFERROR(IF(A2122="","","="&amp;SUBSTITUTE(SUBSTITUTE(SUBSTITUTE(A2122,"~","~~"),"*","~*"),"?","~?")),"")</f>
        <v/>
      </c>
      <c r="C2122" t="str">
        <f>IF($B2122="","",SUMIFS(dAmt,dCust,$B2122,dPer,"&gt;="&amp;pyFrom,dPer,"&lt;="&amp;pyTo,dAmt,"&gt;-1E+300",dFlt1,critFlt1,dFlt2,critFlt2,dFlt3,critFlt3))</f>
        <v/>
      </c>
      <c r="D2122" t="str">
        <f>IF($B2122="","",SUMIFS(dAmt,dCust,$B2122,dPer,"&gt;="&amp;cyFrom,dPer,"&lt;="&amp;cyTo,dAmt,"&gt;-1E+300",dFlt1,critFlt1,dFlt2,critFlt2,dFlt3,critFlt3))</f>
        <v/>
      </c>
      <c r="E2122" t="str">
        <f>IF($B2122="","",SUMIFS(dQty,dCust,$B2122,dPer,"&gt;="&amp;pyFrom,dPer,"&lt;="&amp;pyTo,dQty,"&gt;-1E+300",dFlt1,critFlt1,dFlt2,critFlt2,dFlt3,critFlt3))</f>
        <v/>
      </c>
      <c r="F2122" t="str">
        <f>IF($B2122="","",SUMIFS(dQty,dCust,$B2122,dPer,"&gt;="&amp;cyFrom,dPer,"&lt;="&amp;cyTo,dQty,"&gt;-1E+300",dFlt1,critFlt1,dFlt2,critFlt2,dFlt3,critFlt3))</f>
        <v/>
      </c>
      <c r="G2122">
        <f>IF($B2122="",0,IFERROR(IF(OR(C2122&lt;&gt;0,D2122&lt;&gt;0,E2122&lt;&gt;0,F2122&lt;&gt;0),1,0),1))</f>
        <v>0</v>
      </c>
      <c r="H2122" t="str">
        <f>IF(OR(G2122=0,E2122=0),"",C2122/E2122)</f>
        <v/>
      </c>
      <c r="I2122" t="str">
        <f>IF(OR(G2122=0,F2122=0),"",D2122/F2122)</f>
        <v/>
      </c>
      <c r="J2122" t="str">
        <f>IF(OR(H2122="",I2122=""),"",IF(H2122=0,"",I2122/H2122-1))</f>
        <v/>
      </c>
      <c r="K2122" t="str">
        <f>IF($B2122="","",IFERROR(IF(G2122=0,-2E+300,CHOOSE(sortIdx,ROUND(D2122,0),IF(J2122="",-1E+300,ROUND(-J2122,6)),IF(J2122="",-1E+300,ROUND(J2122,6)))),-1.5E+300))</f>
        <v/>
      </c>
      <c r="L2122" t="str">
        <f>IF(K2122="","",RANK(K2122,$K$2:$K$3001,0)+COUNTIF($K$2:K2122,K2122)-1)</f>
        <v/>
      </c>
    </row>
    <row r="2123">
      <c r="B2123" t="str">
        <f>IFERROR(IF(A2123="","","="&amp;SUBSTITUTE(SUBSTITUTE(SUBSTITUTE(A2123,"~","~~"),"*","~*"),"?","~?")),"")</f>
        <v/>
      </c>
      <c r="C2123" t="str">
        <f>IF($B2123="","",SUMIFS(dAmt,dCust,$B2123,dPer,"&gt;="&amp;pyFrom,dPer,"&lt;="&amp;pyTo,dAmt,"&gt;-1E+300",dFlt1,critFlt1,dFlt2,critFlt2,dFlt3,critFlt3))</f>
        <v/>
      </c>
      <c r="D2123" t="str">
        <f>IF($B2123="","",SUMIFS(dAmt,dCust,$B2123,dPer,"&gt;="&amp;cyFrom,dPer,"&lt;="&amp;cyTo,dAmt,"&gt;-1E+300",dFlt1,critFlt1,dFlt2,critFlt2,dFlt3,critFlt3))</f>
        <v/>
      </c>
      <c r="E2123" t="str">
        <f>IF($B2123="","",SUMIFS(dQty,dCust,$B2123,dPer,"&gt;="&amp;pyFrom,dPer,"&lt;="&amp;pyTo,dQty,"&gt;-1E+300",dFlt1,critFlt1,dFlt2,critFlt2,dFlt3,critFlt3))</f>
        <v/>
      </c>
      <c r="F2123" t="str">
        <f>IF($B2123="","",SUMIFS(dQty,dCust,$B2123,dPer,"&gt;="&amp;cyFrom,dPer,"&lt;="&amp;cyTo,dQty,"&gt;-1E+300",dFlt1,critFlt1,dFlt2,critFlt2,dFlt3,critFlt3))</f>
        <v/>
      </c>
      <c r="G2123">
        <f>IF($B2123="",0,IFERROR(IF(OR(C2123&lt;&gt;0,D2123&lt;&gt;0,E2123&lt;&gt;0,F2123&lt;&gt;0),1,0),1))</f>
        <v>0</v>
      </c>
      <c r="H2123" t="str">
        <f>IF(OR(G2123=0,E2123=0),"",C2123/E2123)</f>
        <v/>
      </c>
      <c r="I2123" t="str">
        <f>IF(OR(G2123=0,F2123=0),"",D2123/F2123)</f>
        <v/>
      </c>
      <c r="J2123" t="str">
        <f>IF(OR(H2123="",I2123=""),"",IF(H2123=0,"",I2123/H2123-1))</f>
        <v/>
      </c>
      <c r="K2123" t="str">
        <f>IF($B2123="","",IFERROR(IF(G2123=0,-2E+300,CHOOSE(sortIdx,ROUND(D2123,0),IF(J2123="",-1E+300,ROUND(-J2123,6)),IF(J2123="",-1E+300,ROUND(J2123,6)))),-1.5E+300))</f>
        <v/>
      </c>
      <c r="L2123" t="str">
        <f>IF(K2123="","",RANK(K2123,$K$2:$K$3001,0)+COUNTIF($K$2:K2123,K2123)-1)</f>
        <v/>
      </c>
    </row>
    <row r="2124">
      <c r="B2124" t="str">
        <f>IFERROR(IF(A2124="","","="&amp;SUBSTITUTE(SUBSTITUTE(SUBSTITUTE(A2124,"~","~~"),"*","~*"),"?","~?")),"")</f>
        <v/>
      </c>
      <c r="C2124" t="str">
        <f>IF($B2124="","",SUMIFS(dAmt,dCust,$B2124,dPer,"&gt;="&amp;pyFrom,dPer,"&lt;="&amp;pyTo,dAmt,"&gt;-1E+300",dFlt1,critFlt1,dFlt2,critFlt2,dFlt3,critFlt3))</f>
        <v/>
      </c>
      <c r="D2124" t="str">
        <f>IF($B2124="","",SUMIFS(dAmt,dCust,$B2124,dPer,"&gt;="&amp;cyFrom,dPer,"&lt;="&amp;cyTo,dAmt,"&gt;-1E+300",dFlt1,critFlt1,dFlt2,critFlt2,dFlt3,critFlt3))</f>
        <v/>
      </c>
      <c r="E2124" t="str">
        <f>IF($B2124="","",SUMIFS(dQty,dCust,$B2124,dPer,"&gt;="&amp;pyFrom,dPer,"&lt;="&amp;pyTo,dQty,"&gt;-1E+300",dFlt1,critFlt1,dFlt2,critFlt2,dFlt3,critFlt3))</f>
        <v/>
      </c>
      <c r="F2124" t="str">
        <f>IF($B2124="","",SUMIFS(dQty,dCust,$B2124,dPer,"&gt;="&amp;cyFrom,dPer,"&lt;="&amp;cyTo,dQty,"&gt;-1E+300",dFlt1,critFlt1,dFlt2,critFlt2,dFlt3,critFlt3))</f>
        <v/>
      </c>
      <c r="G2124">
        <f>IF($B2124="",0,IFERROR(IF(OR(C2124&lt;&gt;0,D2124&lt;&gt;0,E2124&lt;&gt;0,F2124&lt;&gt;0),1,0),1))</f>
        <v>0</v>
      </c>
      <c r="H2124" t="str">
        <f>IF(OR(G2124=0,E2124=0),"",C2124/E2124)</f>
        <v/>
      </c>
      <c r="I2124" t="str">
        <f>IF(OR(G2124=0,F2124=0),"",D2124/F2124)</f>
        <v/>
      </c>
      <c r="J2124" t="str">
        <f>IF(OR(H2124="",I2124=""),"",IF(H2124=0,"",I2124/H2124-1))</f>
        <v/>
      </c>
      <c r="K2124" t="str">
        <f>IF($B2124="","",IFERROR(IF(G2124=0,-2E+300,CHOOSE(sortIdx,ROUND(D2124,0),IF(J2124="",-1E+300,ROUND(-J2124,6)),IF(J2124="",-1E+300,ROUND(J2124,6)))),-1.5E+300))</f>
        <v/>
      </c>
      <c r="L2124" t="str">
        <f>IF(K2124="","",RANK(K2124,$K$2:$K$3001,0)+COUNTIF($K$2:K2124,K2124)-1)</f>
        <v/>
      </c>
    </row>
    <row r="2125">
      <c r="B2125" t="str">
        <f>IFERROR(IF(A2125="","","="&amp;SUBSTITUTE(SUBSTITUTE(SUBSTITUTE(A2125,"~","~~"),"*","~*"),"?","~?")),"")</f>
        <v/>
      </c>
      <c r="C2125" t="str">
        <f>IF($B2125="","",SUMIFS(dAmt,dCust,$B2125,dPer,"&gt;="&amp;pyFrom,dPer,"&lt;="&amp;pyTo,dAmt,"&gt;-1E+300",dFlt1,critFlt1,dFlt2,critFlt2,dFlt3,critFlt3))</f>
        <v/>
      </c>
      <c r="D2125" t="str">
        <f>IF($B2125="","",SUMIFS(dAmt,dCust,$B2125,dPer,"&gt;="&amp;cyFrom,dPer,"&lt;="&amp;cyTo,dAmt,"&gt;-1E+300",dFlt1,critFlt1,dFlt2,critFlt2,dFlt3,critFlt3))</f>
        <v/>
      </c>
      <c r="E2125" t="str">
        <f>IF($B2125="","",SUMIFS(dQty,dCust,$B2125,dPer,"&gt;="&amp;pyFrom,dPer,"&lt;="&amp;pyTo,dQty,"&gt;-1E+300",dFlt1,critFlt1,dFlt2,critFlt2,dFlt3,critFlt3))</f>
        <v/>
      </c>
      <c r="F2125" t="str">
        <f>IF($B2125="","",SUMIFS(dQty,dCust,$B2125,dPer,"&gt;="&amp;cyFrom,dPer,"&lt;="&amp;cyTo,dQty,"&gt;-1E+300",dFlt1,critFlt1,dFlt2,critFlt2,dFlt3,critFlt3))</f>
        <v/>
      </c>
      <c r="G2125">
        <f>IF($B2125="",0,IFERROR(IF(OR(C2125&lt;&gt;0,D2125&lt;&gt;0,E2125&lt;&gt;0,F2125&lt;&gt;0),1,0),1))</f>
        <v>0</v>
      </c>
      <c r="H2125" t="str">
        <f>IF(OR(G2125=0,E2125=0),"",C2125/E2125)</f>
        <v/>
      </c>
      <c r="I2125" t="str">
        <f>IF(OR(G2125=0,F2125=0),"",D2125/F2125)</f>
        <v/>
      </c>
      <c r="J2125" t="str">
        <f>IF(OR(H2125="",I2125=""),"",IF(H2125=0,"",I2125/H2125-1))</f>
        <v/>
      </c>
      <c r="K2125" t="str">
        <f>IF($B2125="","",IFERROR(IF(G2125=0,-2E+300,CHOOSE(sortIdx,ROUND(D2125,0),IF(J2125="",-1E+300,ROUND(-J2125,6)),IF(J2125="",-1E+300,ROUND(J2125,6)))),-1.5E+300))</f>
        <v/>
      </c>
      <c r="L2125" t="str">
        <f>IF(K2125="","",RANK(K2125,$K$2:$K$3001,0)+COUNTIF($K$2:K2125,K2125)-1)</f>
        <v/>
      </c>
    </row>
    <row r="2126">
      <c r="B2126" t="str">
        <f>IFERROR(IF(A2126="","","="&amp;SUBSTITUTE(SUBSTITUTE(SUBSTITUTE(A2126,"~","~~"),"*","~*"),"?","~?")),"")</f>
        <v/>
      </c>
      <c r="C2126" t="str">
        <f>IF($B2126="","",SUMIFS(dAmt,dCust,$B2126,dPer,"&gt;="&amp;pyFrom,dPer,"&lt;="&amp;pyTo,dAmt,"&gt;-1E+300",dFlt1,critFlt1,dFlt2,critFlt2,dFlt3,critFlt3))</f>
        <v/>
      </c>
      <c r="D2126" t="str">
        <f>IF($B2126="","",SUMIFS(dAmt,dCust,$B2126,dPer,"&gt;="&amp;cyFrom,dPer,"&lt;="&amp;cyTo,dAmt,"&gt;-1E+300",dFlt1,critFlt1,dFlt2,critFlt2,dFlt3,critFlt3))</f>
        <v/>
      </c>
      <c r="E2126" t="str">
        <f>IF($B2126="","",SUMIFS(dQty,dCust,$B2126,dPer,"&gt;="&amp;pyFrom,dPer,"&lt;="&amp;pyTo,dQty,"&gt;-1E+300",dFlt1,critFlt1,dFlt2,critFlt2,dFlt3,critFlt3))</f>
        <v/>
      </c>
      <c r="F2126" t="str">
        <f>IF($B2126="","",SUMIFS(dQty,dCust,$B2126,dPer,"&gt;="&amp;cyFrom,dPer,"&lt;="&amp;cyTo,dQty,"&gt;-1E+300",dFlt1,critFlt1,dFlt2,critFlt2,dFlt3,critFlt3))</f>
        <v/>
      </c>
      <c r="G2126">
        <f>IF($B2126="",0,IFERROR(IF(OR(C2126&lt;&gt;0,D2126&lt;&gt;0,E2126&lt;&gt;0,F2126&lt;&gt;0),1,0),1))</f>
        <v>0</v>
      </c>
      <c r="H2126" t="str">
        <f>IF(OR(G2126=0,E2126=0),"",C2126/E2126)</f>
        <v/>
      </c>
      <c r="I2126" t="str">
        <f>IF(OR(G2126=0,F2126=0),"",D2126/F2126)</f>
        <v/>
      </c>
      <c r="J2126" t="str">
        <f>IF(OR(H2126="",I2126=""),"",IF(H2126=0,"",I2126/H2126-1))</f>
        <v/>
      </c>
      <c r="K2126" t="str">
        <f>IF($B2126="","",IFERROR(IF(G2126=0,-2E+300,CHOOSE(sortIdx,ROUND(D2126,0),IF(J2126="",-1E+300,ROUND(-J2126,6)),IF(J2126="",-1E+300,ROUND(J2126,6)))),-1.5E+300))</f>
        <v/>
      </c>
      <c r="L2126" t="str">
        <f>IF(K2126="","",RANK(K2126,$K$2:$K$3001,0)+COUNTIF($K$2:K2126,K2126)-1)</f>
        <v/>
      </c>
    </row>
    <row r="2127">
      <c r="B2127" t="str">
        <f>IFERROR(IF(A2127="","","="&amp;SUBSTITUTE(SUBSTITUTE(SUBSTITUTE(A2127,"~","~~"),"*","~*"),"?","~?")),"")</f>
        <v/>
      </c>
      <c r="C2127" t="str">
        <f>IF($B2127="","",SUMIFS(dAmt,dCust,$B2127,dPer,"&gt;="&amp;pyFrom,dPer,"&lt;="&amp;pyTo,dAmt,"&gt;-1E+300",dFlt1,critFlt1,dFlt2,critFlt2,dFlt3,critFlt3))</f>
        <v/>
      </c>
      <c r="D2127" t="str">
        <f>IF($B2127="","",SUMIFS(dAmt,dCust,$B2127,dPer,"&gt;="&amp;cyFrom,dPer,"&lt;="&amp;cyTo,dAmt,"&gt;-1E+300",dFlt1,critFlt1,dFlt2,critFlt2,dFlt3,critFlt3))</f>
        <v/>
      </c>
      <c r="E2127" t="str">
        <f>IF($B2127="","",SUMIFS(dQty,dCust,$B2127,dPer,"&gt;="&amp;pyFrom,dPer,"&lt;="&amp;pyTo,dQty,"&gt;-1E+300",dFlt1,critFlt1,dFlt2,critFlt2,dFlt3,critFlt3))</f>
        <v/>
      </c>
      <c r="F2127" t="str">
        <f>IF($B2127="","",SUMIFS(dQty,dCust,$B2127,dPer,"&gt;="&amp;cyFrom,dPer,"&lt;="&amp;cyTo,dQty,"&gt;-1E+300",dFlt1,critFlt1,dFlt2,critFlt2,dFlt3,critFlt3))</f>
        <v/>
      </c>
      <c r="G2127">
        <f>IF($B2127="",0,IFERROR(IF(OR(C2127&lt;&gt;0,D2127&lt;&gt;0,E2127&lt;&gt;0,F2127&lt;&gt;0),1,0),1))</f>
        <v>0</v>
      </c>
      <c r="H2127" t="str">
        <f>IF(OR(G2127=0,E2127=0),"",C2127/E2127)</f>
        <v/>
      </c>
      <c r="I2127" t="str">
        <f>IF(OR(G2127=0,F2127=0),"",D2127/F2127)</f>
        <v/>
      </c>
      <c r="J2127" t="str">
        <f>IF(OR(H2127="",I2127=""),"",IF(H2127=0,"",I2127/H2127-1))</f>
        <v/>
      </c>
      <c r="K2127" t="str">
        <f>IF($B2127="","",IFERROR(IF(G2127=0,-2E+300,CHOOSE(sortIdx,ROUND(D2127,0),IF(J2127="",-1E+300,ROUND(-J2127,6)),IF(J2127="",-1E+300,ROUND(J2127,6)))),-1.5E+300))</f>
        <v/>
      </c>
      <c r="L2127" t="str">
        <f>IF(K2127="","",RANK(K2127,$K$2:$K$3001,0)+COUNTIF($K$2:K2127,K2127)-1)</f>
        <v/>
      </c>
    </row>
    <row r="2128">
      <c r="B2128" t="str">
        <f>IFERROR(IF(A2128="","","="&amp;SUBSTITUTE(SUBSTITUTE(SUBSTITUTE(A2128,"~","~~"),"*","~*"),"?","~?")),"")</f>
        <v/>
      </c>
      <c r="C2128" t="str">
        <f>IF($B2128="","",SUMIFS(dAmt,dCust,$B2128,dPer,"&gt;="&amp;pyFrom,dPer,"&lt;="&amp;pyTo,dAmt,"&gt;-1E+300",dFlt1,critFlt1,dFlt2,critFlt2,dFlt3,critFlt3))</f>
        <v/>
      </c>
      <c r="D2128" t="str">
        <f>IF($B2128="","",SUMIFS(dAmt,dCust,$B2128,dPer,"&gt;="&amp;cyFrom,dPer,"&lt;="&amp;cyTo,dAmt,"&gt;-1E+300",dFlt1,critFlt1,dFlt2,critFlt2,dFlt3,critFlt3))</f>
        <v/>
      </c>
      <c r="E2128" t="str">
        <f>IF($B2128="","",SUMIFS(dQty,dCust,$B2128,dPer,"&gt;="&amp;pyFrom,dPer,"&lt;="&amp;pyTo,dQty,"&gt;-1E+300",dFlt1,critFlt1,dFlt2,critFlt2,dFlt3,critFlt3))</f>
        <v/>
      </c>
      <c r="F2128" t="str">
        <f>IF($B2128="","",SUMIFS(dQty,dCust,$B2128,dPer,"&gt;="&amp;cyFrom,dPer,"&lt;="&amp;cyTo,dQty,"&gt;-1E+300",dFlt1,critFlt1,dFlt2,critFlt2,dFlt3,critFlt3))</f>
        <v/>
      </c>
      <c r="G2128">
        <f>IF($B2128="",0,IFERROR(IF(OR(C2128&lt;&gt;0,D2128&lt;&gt;0,E2128&lt;&gt;0,F2128&lt;&gt;0),1,0),1))</f>
        <v>0</v>
      </c>
      <c r="H2128" t="str">
        <f>IF(OR(G2128=0,E2128=0),"",C2128/E2128)</f>
        <v/>
      </c>
      <c r="I2128" t="str">
        <f>IF(OR(G2128=0,F2128=0),"",D2128/F2128)</f>
        <v/>
      </c>
      <c r="J2128" t="str">
        <f>IF(OR(H2128="",I2128=""),"",IF(H2128=0,"",I2128/H2128-1))</f>
        <v/>
      </c>
      <c r="K2128" t="str">
        <f>IF($B2128="","",IFERROR(IF(G2128=0,-2E+300,CHOOSE(sortIdx,ROUND(D2128,0),IF(J2128="",-1E+300,ROUND(-J2128,6)),IF(J2128="",-1E+300,ROUND(J2128,6)))),-1.5E+300))</f>
        <v/>
      </c>
      <c r="L2128" t="str">
        <f>IF(K2128="","",RANK(K2128,$K$2:$K$3001,0)+COUNTIF($K$2:K2128,K2128)-1)</f>
        <v/>
      </c>
    </row>
    <row r="2129">
      <c r="B2129" t="str">
        <f>IFERROR(IF(A2129="","","="&amp;SUBSTITUTE(SUBSTITUTE(SUBSTITUTE(A2129,"~","~~"),"*","~*"),"?","~?")),"")</f>
        <v/>
      </c>
      <c r="C2129" t="str">
        <f>IF($B2129="","",SUMIFS(dAmt,dCust,$B2129,dPer,"&gt;="&amp;pyFrom,dPer,"&lt;="&amp;pyTo,dAmt,"&gt;-1E+300",dFlt1,critFlt1,dFlt2,critFlt2,dFlt3,critFlt3))</f>
        <v/>
      </c>
      <c r="D2129" t="str">
        <f>IF($B2129="","",SUMIFS(dAmt,dCust,$B2129,dPer,"&gt;="&amp;cyFrom,dPer,"&lt;="&amp;cyTo,dAmt,"&gt;-1E+300",dFlt1,critFlt1,dFlt2,critFlt2,dFlt3,critFlt3))</f>
        <v/>
      </c>
      <c r="E2129" t="str">
        <f>IF($B2129="","",SUMIFS(dQty,dCust,$B2129,dPer,"&gt;="&amp;pyFrom,dPer,"&lt;="&amp;pyTo,dQty,"&gt;-1E+300",dFlt1,critFlt1,dFlt2,critFlt2,dFlt3,critFlt3))</f>
        <v/>
      </c>
      <c r="F2129" t="str">
        <f>IF($B2129="","",SUMIFS(dQty,dCust,$B2129,dPer,"&gt;="&amp;cyFrom,dPer,"&lt;="&amp;cyTo,dQty,"&gt;-1E+300",dFlt1,critFlt1,dFlt2,critFlt2,dFlt3,critFlt3))</f>
        <v/>
      </c>
      <c r="G2129">
        <f>IF($B2129="",0,IFERROR(IF(OR(C2129&lt;&gt;0,D2129&lt;&gt;0,E2129&lt;&gt;0,F2129&lt;&gt;0),1,0),1))</f>
        <v>0</v>
      </c>
      <c r="H2129" t="str">
        <f>IF(OR(G2129=0,E2129=0),"",C2129/E2129)</f>
        <v/>
      </c>
      <c r="I2129" t="str">
        <f>IF(OR(G2129=0,F2129=0),"",D2129/F2129)</f>
        <v/>
      </c>
      <c r="J2129" t="str">
        <f>IF(OR(H2129="",I2129=""),"",IF(H2129=0,"",I2129/H2129-1))</f>
        <v/>
      </c>
      <c r="K2129" t="str">
        <f>IF($B2129="","",IFERROR(IF(G2129=0,-2E+300,CHOOSE(sortIdx,ROUND(D2129,0),IF(J2129="",-1E+300,ROUND(-J2129,6)),IF(J2129="",-1E+300,ROUND(J2129,6)))),-1.5E+300))</f>
        <v/>
      </c>
      <c r="L2129" t="str">
        <f>IF(K2129="","",RANK(K2129,$K$2:$K$3001,0)+COUNTIF($K$2:K2129,K2129)-1)</f>
        <v/>
      </c>
    </row>
    <row r="2130">
      <c r="B2130" t="str">
        <f>IFERROR(IF(A2130="","","="&amp;SUBSTITUTE(SUBSTITUTE(SUBSTITUTE(A2130,"~","~~"),"*","~*"),"?","~?")),"")</f>
        <v/>
      </c>
      <c r="C2130" t="str">
        <f>IF($B2130="","",SUMIFS(dAmt,dCust,$B2130,dPer,"&gt;="&amp;pyFrom,dPer,"&lt;="&amp;pyTo,dAmt,"&gt;-1E+300",dFlt1,critFlt1,dFlt2,critFlt2,dFlt3,critFlt3))</f>
        <v/>
      </c>
      <c r="D2130" t="str">
        <f>IF($B2130="","",SUMIFS(dAmt,dCust,$B2130,dPer,"&gt;="&amp;cyFrom,dPer,"&lt;="&amp;cyTo,dAmt,"&gt;-1E+300",dFlt1,critFlt1,dFlt2,critFlt2,dFlt3,critFlt3))</f>
        <v/>
      </c>
      <c r="E2130" t="str">
        <f>IF($B2130="","",SUMIFS(dQty,dCust,$B2130,dPer,"&gt;="&amp;pyFrom,dPer,"&lt;="&amp;pyTo,dQty,"&gt;-1E+300",dFlt1,critFlt1,dFlt2,critFlt2,dFlt3,critFlt3))</f>
        <v/>
      </c>
      <c r="F2130" t="str">
        <f>IF($B2130="","",SUMIFS(dQty,dCust,$B2130,dPer,"&gt;="&amp;cyFrom,dPer,"&lt;="&amp;cyTo,dQty,"&gt;-1E+300",dFlt1,critFlt1,dFlt2,critFlt2,dFlt3,critFlt3))</f>
        <v/>
      </c>
      <c r="G2130">
        <f>IF($B2130="",0,IFERROR(IF(OR(C2130&lt;&gt;0,D2130&lt;&gt;0,E2130&lt;&gt;0,F2130&lt;&gt;0),1,0),1))</f>
        <v>0</v>
      </c>
      <c r="H2130" t="str">
        <f>IF(OR(G2130=0,E2130=0),"",C2130/E2130)</f>
        <v/>
      </c>
      <c r="I2130" t="str">
        <f>IF(OR(G2130=0,F2130=0),"",D2130/F2130)</f>
        <v/>
      </c>
      <c r="J2130" t="str">
        <f>IF(OR(H2130="",I2130=""),"",IF(H2130=0,"",I2130/H2130-1))</f>
        <v/>
      </c>
      <c r="K2130" t="str">
        <f>IF($B2130="","",IFERROR(IF(G2130=0,-2E+300,CHOOSE(sortIdx,ROUND(D2130,0),IF(J2130="",-1E+300,ROUND(-J2130,6)),IF(J2130="",-1E+300,ROUND(J2130,6)))),-1.5E+300))</f>
        <v/>
      </c>
      <c r="L2130" t="str">
        <f>IF(K2130="","",RANK(K2130,$K$2:$K$3001,0)+COUNTIF($K$2:K2130,K2130)-1)</f>
        <v/>
      </c>
    </row>
    <row r="2131">
      <c r="B2131" t="str">
        <f>IFERROR(IF(A2131="","","="&amp;SUBSTITUTE(SUBSTITUTE(SUBSTITUTE(A2131,"~","~~"),"*","~*"),"?","~?")),"")</f>
        <v/>
      </c>
      <c r="C2131" t="str">
        <f>IF($B2131="","",SUMIFS(dAmt,dCust,$B2131,dPer,"&gt;="&amp;pyFrom,dPer,"&lt;="&amp;pyTo,dAmt,"&gt;-1E+300",dFlt1,critFlt1,dFlt2,critFlt2,dFlt3,critFlt3))</f>
        <v/>
      </c>
      <c r="D2131" t="str">
        <f>IF($B2131="","",SUMIFS(dAmt,dCust,$B2131,dPer,"&gt;="&amp;cyFrom,dPer,"&lt;="&amp;cyTo,dAmt,"&gt;-1E+300",dFlt1,critFlt1,dFlt2,critFlt2,dFlt3,critFlt3))</f>
        <v/>
      </c>
      <c r="E2131" t="str">
        <f>IF($B2131="","",SUMIFS(dQty,dCust,$B2131,dPer,"&gt;="&amp;pyFrom,dPer,"&lt;="&amp;pyTo,dQty,"&gt;-1E+300",dFlt1,critFlt1,dFlt2,critFlt2,dFlt3,critFlt3))</f>
        <v/>
      </c>
      <c r="F2131" t="str">
        <f>IF($B2131="","",SUMIFS(dQty,dCust,$B2131,dPer,"&gt;="&amp;cyFrom,dPer,"&lt;="&amp;cyTo,dQty,"&gt;-1E+300",dFlt1,critFlt1,dFlt2,critFlt2,dFlt3,critFlt3))</f>
        <v/>
      </c>
      <c r="G2131">
        <f>IF($B2131="",0,IFERROR(IF(OR(C2131&lt;&gt;0,D2131&lt;&gt;0,E2131&lt;&gt;0,F2131&lt;&gt;0),1,0),1))</f>
        <v>0</v>
      </c>
      <c r="H2131" t="str">
        <f>IF(OR(G2131=0,E2131=0),"",C2131/E2131)</f>
        <v/>
      </c>
      <c r="I2131" t="str">
        <f>IF(OR(G2131=0,F2131=0),"",D2131/F2131)</f>
        <v/>
      </c>
      <c r="J2131" t="str">
        <f>IF(OR(H2131="",I2131=""),"",IF(H2131=0,"",I2131/H2131-1))</f>
        <v/>
      </c>
      <c r="K2131" t="str">
        <f>IF($B2131="","",IFERROR(IF(G2131=0,-2E+300,CHOOSE(sortIdx,ROUND(D2131,0),IF(J2131="",-1E+300,ROUND(-J2131,6)),IF(J2131="",-1E+300,ROUND(J2131,6)))),-1.5E+300))</f>
        <v/>
      </c>
      <c r="L2131" t="str">
        <f>IF(K2131="","",RANK(K2131,$K$2:$K$3001,0)+COUNTIF($K$2:K2131,K2131)-1)</f>
        <v/>
      </c>
    </row>
    <row r="2132">
      <c r="B2132" t="str">
        <f>IFERROR(IF(A2132="","","="&amp;SUBSTITUTE(SUBSTITUTE(SUBSTITUTE(A2132,"~","~~"),"*","~*"),"?","~?")),"")</f>
        <v/>
      </c>
      <c r="C2132" t="str">
        <f>IF($B2132="","",SUMIFS(dAmt,dCust,$B2132,dPer,"&gt;="&amp;pyFrom,dPer,"&lt;="&amp;pyTo,dAmt,"&gt;-1E+300",dFlt1,critFlt1,dFlt2,critFlt2,dFlt3,critFlt3))</f>
        <v/>
      </c>
      <c r="D2132" t="str">
        <f>IF($B2132="","",SUMIFS(dAmt,dCust,$B2132,dPer,"&gt;="&amp;cyFrom,dPer,"&lt;="&amp;cyTo,dAmt,"&gt;-1E+300",dFlt1,critFlt1,dFlt2,critFlt2,dFlt3,critFlt3))</f>
        <v/>
      </c>
      <c r="E2132" t="str">
        <f>IF($B2132="","",SUMIFS(dQty,dCust,$B2132,dPer,"&gt;="&amp;pyFrom,dPer,"&lt;="&amp;pyTo,dQty,"&gt;-1E+300",dFlt1,critFlt1,dFlt2,critFlt2,dFlt3,critFlt3))</f>
        <v/>
      </c>
      <c r="F2132" t="str">
        <f>IF($B2132="","",SUMIFS(dQty,dCust,$B2132,dPer,"&gt;="&amp;cyFrom,dPer,"&lt;="&amp;cyTo,dQty,"&gt;-1E+300",dFlt1,critFlt1,dFlt2,critFlt2,dFlt3,critFlt3))</f>
        <v/>
      </c>
      <c r="G2132">
        <f>IF($B2132="",0,IFERROR(IF(OR(C2132&lt;&gt;0,D2132&lt;&gt;0,E2132&lt;&gt;0,F2132&lt;&gt;0),1,0),1))</f>
        <v>0</v>
      </c>
      <c r="H2132" t="str">
        <f>IF(OR(G2132=0,E2132=0),"",C2132/E2132)</f>
        <v/>
      </c>
      <c r="I2132" t="str">
        <f>IF(OR(G2132=0,F2132=0),"",D2132/F2132)</f>
        <v/>
      </c>
      <c r="J2132" t="str">
        <f>IF(OR(H2132="",I2132=""),"",IF(H2132=0,"",I2132/H2132-1))</f>
        <v/>
      </c>
      <c r="K2132" t="str">
        <f>IF($B2132="","",IFERROR(IF(G2132=0,-2E+300,CHOOSE(sortIdx,ROUND(D2132,0),IF(J2132="",-1E+300,ROUND(-J2132,6)),IF(J2132="",-1E+300,ROUND(J2132,6)))),-1.5E+300))</f>
        <v/>
      </c>
      <c r="L2132" t="str">
        <f>IF(K2132="","",RANK(K2132,$K$2:$K$3001,0)+COUNTIF($K$2:K2132,K2132)-1)</f>
        <v/>
      </c>
    </row>
    <row r="2133">
      <c r="B2133" t="str">
        <f>IFERROR(IF(A2133="","","="&amp;SUBSTITUTE(SUBSTITUTE(SUBSTITUTE(A2133,"~","~~"),"*","~*"),"?","~?")),"")</f>
        <v/>
      </c>
      <c r="C2133" t="str">
        <f>IF($B2133="","",SUMIFS(dAmt,dCust,$B2133,dPer,"&gt;="&amp;pyFrom,dPer,"&lt;="&amp;pyTo,dAmt,"&gt;-1E+300",dFlt1,critFlt1,dFlt2,critFlt2,dFlt3,critFlt3))</f>
        <v/>
      </c>
      <c r="D2133" t="str">
        <f>IF($B2133="","",SUMIFS(dAmt,dCust,$B2133,dPer,"&gt;="&amp;cyFrom,dPer,"&lt;="&amp;cyTo,dAmt,"&gt;-1E+300",dFlt1,critFlt1,dFlt2,critFlt2,dFlt3,critFlt3))</f>
        <v/>
      </c>
      <c r="E2133" t="str">
        <f>IF($B2133="","",SUMIFS(dQty,dCust,$B2133,dPer,"&gt;="&amp;pyFrom,dPer,"&lt;="&amp;pyTo,dQty,"&gt;-1E+300",dFlt1,critFlt1,dFlt2,critFlt2,dFlt3,critFlt3))</f>
        <v/>
      </c>
      <c r="F2133" t="str">
        <f>IF($B2133="","",SUMIFS(dQty,dCust,$B2133,dPer,"&gt;="&amp;cyFrom,dPer,"&lt;="&amp;cyTo,dQty,"&gt;-1E+300",dFlt1,critFlt1,dFlt2,critFlt2,dFlt3,critFlt3))</f>
        <v/>
      </c>
      <c r="G2133">
        <f>IF($B2133="",0,IFERROR(IF(OR(C2133&lt;&gt;0,D2133&lt;&gt;0,E2133&lt;&gt;0,F2133&lt;&gt;0),1,0),1))</f>
        <v>0</v>
      </c>
      <c r="H2133" t="str">
        <f>IF(OR(G2133=0,E2133=0),"",C2133/E2133)</f>
        <v/>
      </c>
      <c r="I2133" t="str">
        <f>IF(OR(G2133=0,F2133=0),"",D2133/F2133)</f>
        <v/>
      </c>
      <c r="J2133" t="str">
        <f>IF(OR(H2133="",I2133=""),"",IF(H2133=0,"",I2133/H2133-1))</f>
        <v/>
      </c>
      <c r="K2133" t="str">
        <f>IF($B2133="","",IFERROR(IF(G2133=0,-2E+300,CHOOSE(sortIdx,ROUND(D2133,0),IF(J2133="",-1E+300,ROUND(-J2133,6)),IF(J2133="",-1E+300,ROUND(J2133,6)))),-1.5E+300))</f>
        <v/>
      </c>
      <c r="L2133" t="str">
        <f>IF(K2133="","",RANK(K2133,$K$2:$K$3001,0)+COUNTIF($K$2:K2133,K2133)-1)</f>
        <v/>
      </c>
    </row>
    <row r="2134">
      <c r="B2134" t="str">
        <f>IFERROR(IF(A2134="","","="&amp;SUBSTITUTE(SUBSTITUTE(SUBSTITUTE(A2134,"~","~~"),"*","~*"),"?","~?")),"")</f>
        <v/>
      </c>
      <c r="C2134" t="str">
        <f>IF($B2134="","",SUMIFS(dAmt,dCust,$B2134,dPer,"&gt;="&amp;pyFrom,dPer,"&lt;="&amp;pyTo,dAmt,"&gt;-1E+300",dFlt1,critFlt1,dFlt2,critFlt2,dFlt3,critFlt3))</f>
        <v/>
      </c>
      <c r="D2134" t="str">
        <f>IF($B2134="","",SUMIFS(dAmt,dCust,$B2134,dPer,"&gt;="&amp;cyFrom,dPer,"&lt;="&amp;cyTo,dAmt,"&gt;-1E+300",dFlt1,critFlt1,dFlt2,critFlt2,dFlt3,critFlt3))</f>
        <v/>
      </c>
      <c r="E2134" t="str">
        <f>IF($B2134="","",SUMIFS(dQty,dCust,$B2134,dPer,"&gt;="&amp;pyFrom,dPer,"&lt;="&amp;pyTo,dQty,"&gt;-1E+300",dFlt1,critFlt1,dFlt2,critFlt2,dFlt3,critFlt3))</f>
        <v/>
      </c>
      <c r="F2134" t="str">
        <f>IF($B2134="","",SUMIFS(dQty,dCust,$B2134,dPer,"&gt;="&amp;cyFrom,dPer,"&lt;="&amp;cyTo,dQty,"&gt;-1E+300",dFlt1,critFlt1,dFlt2,critFlt2,dFlt3,critFlt3))</f>
        <v/>
      </c>
      <c r="G2134">
        <f>IF($B2134="",0,IFERROR(IF(OR(C2134&lt;&gt;0,D2134&lt;&gt;0,E2134&lt;&gt;0,F2134&lt;&gt;0),1,0),1))</f>
        <v>0</v>
      </c>
      <c r="H2134" t="str">
        <f>IF(OR(G2134=0,E2134=0),"",C2134/E2134)</f>
        <v/>
      </c>
      <c r="I2134" t="str">
        <f>IF(OR(G2134=0,F2134=0),"",D2134/F2134)</f>
        <v/>
      </c>
      <c r="J2134" t="str">
        <f>IF(OR(H2134="",I2134=""),"",IF(H2134=0,"",I2134/H2134-1))</f>
        <v/>
      </c>
      <c r="K2134" t="str">
        <f>IF($B2134="","",IFERROR(IF(G2134=0,-2E+300,CHOOSE(sortIdx,ROUND(D2134,0),IF(J2134="",-1E+300,ROUND(-J2134,6)),IF(J2134="",-1E+300,ROUND(J2134,6)))),-1.5E+300))</f>
        <v/>
      </c>
      <c r="L2134" t="str">
        <f>IF(K2134="","",RANK(K2134,$K$2:$K$3001,0)+COUNTIF($K$2:K2134,K2134)-1)</f>
        <v/>
      </c>
    </row>
    <row r="2135">
      <c r="B2135" t="str">
        <f>IFERROR(IF(A2135="","","="&amp;SUBSTITUTE(SUBSTITUTE(SUBSTITUTE(A2135,"~","~~"),"*","~*"),"?","~?")),"")</f>
        <v/>
      </c>
      <c r="C2135" t="str">
        <f>IF($B2135="","",SUMIFS(dAmt,dCust,$B2135,dPer,"&gt;="&amp;pyFrom,dPer,"&lt;="&amp;pyTo,dAmt,"&gt;-1E+300",dFlt1,critFlt1,dFlt2,critFlt2,dFlt3,critFlt3))</f>
        <v/>
      </c>
      <c r="D2135" t="str">
        <f>IF($B2135="","",SUMIFS(dAmt,dCust,$B2135,dPer,"&gt;="&amp;cyFrom,dPer,"&lt;="&amp;cyTo,dAmt,"&gt;-1E+300",dFlt1,critFlt1,dFlt2,critFlt2,dFlt3,critFlt3))</f>
        <v/>
      </c>
      <c r="E2135" t="str">
        <f>IF($B2135="","",SUMIFS(dQty,dCust,$B2135,dPer,"&gt;="&amp;pyFrom,dPer,"&lt;="&amp;pyTo,dQty,"&gt;-1E+300",dFlt1,critFlt1,dFlt2,critFlt2,dFlt3,critFlt3))</f>
        <v/>
      </c>
      <c r="F2135" t="str">
        <f>IF($B2135="","",SUMIFS(dQty,dCust,$B2135,dPer,"&gt;="&amp;cyFrom,dPer,"&lt;="&amp;cyTo,dQty,"&gt;-1E+300",dFlt1,critFlt1,dFlt2,critFlt2,dFlt3,critFlt3))</f>
        <v/>
      </c>
      <c r="G2135">
        <f>IF($B2135="",0,IFERROR(IF(OR(C2135&lt;&gt;0,D2135&lt;&gt;0,E2135&lt;&gt;0,F2135&lt;&gt;0),1,0),1))</f>
        <v>0</v>
      </c>
      <c r="H2135" t="str">
        <f>IF(OR(G2135=0,E2135=0),"",C2135/E2135)</f>
        <v/>
      </c>
      <c r="I2135" t="str">
        <f>IF(OR(G2135=0,F2135=0),"",D2135/F2135)</f>
        <v/>
      </c>
      <c r="J2135" t="str">
        <f>IF(OR(H2135="",I2135=""),"",IF(H2135=0,"",I2135/H2135-1))</f>
        <v/>
      </c>
      <c r="K2135" t="str">
        <f>IF($B2135="","",IFERROR(IF(G2135=0,-2E+300,CHOOSE(sortIdx,ROUND(D2135,0),IF(J2135="",-1E+300,ROUND(-J2135,6)),IF(J2135="",-1E+300,ROUND(J2135,6)))),-1.5E+300))</f>
        <v/>
      </c>
      <c r="L2135" t="str">
        <f>IF(K2135="","",RANK(K2135,$K$2:$K$3001,0)+COUNTIF($K$2:K2135,K2135)-1)</f>
        <v/>
      </c>
    </row>
    <row r="2136">
      <c r="B2136" t="str">
        <f>IFERROR(IF(A2136="","","="&amp;SUBSTITUTE(SUBSTITUTE(SUBSTITUTE(A2136,"~","~~"),"*","~*"),"?","~?")),"")</f>
        <v/>
      </c>
      <c r="C2136" t="str">
        <f>IF($B2136="","",SUMIFS(dAmt,dCust,$B2136,dPer,"&gt;="&amp;pyFrom,dPer,"&lt;="&amp;pyTo,dAmt,"&gt;-1E+300",dFlt1,critFlt1,dFlt2,critFlt2,dFlt3,critFlt3))</f>
        <v/>
      </c>
      <c r="D2136" t="str">
        <f>IF($B2136="","",SUMIFS(dAmt,dCust,$B2136,dPer,"&gt;="&amp;cyFrom,dPer,"&lt;="&amp;cyTo,dAmt,"&gt;-1E+300",dFlt1,critFlt1,dFlt2,critFlt2,dFlt3,critFlt3))</f>
        <v/>
      </c>
      <c r="E2136" t="str">
        <f>IF($B2136="","",SUMIFS(dQty,dCust,$B2136,dPer,"&gt;="&amp;pyFrom,dPer,"&lt;="&amp;pyTo,dQty,"&gt;-1E+300",dFlt1,critFlt1,dFlt2,critFlt2,dFlt3,critFlt3))</f>
        <v/>
      </c>
      <c r="F2136" t="str">
        <f>IF($B2136="","",SUMIFS(dQty,dCust,$B2136,dPer,"&gt;="&amp;cyFrom,dPer,"&lt;="&amp;cyTo,dQty,"&gt;-1E+300",dFlt1,critFlt1,dFlt2,critFlt2,dFlt3,critFlt3))</f>
        <v/>
      </c>
      <c r="G2136">
        <f>IF($B2136="",0,IFERROR(IF(OR(C2136&lt;&gt;0,D2136&lt;&gt;0,E2136&lt;&gt;0,F2136&lt;&gt;0),1,0),1))</f>
        <v>0</v>
      </c>
      <c r="H2136" t="str">
        <f>IF(OR(G2136=0,E2136=0),"",C2136/E2136)</f>
        <v/>
      </c>
      <c r="I2136" t="str">
        <f>IF(OR(G2136=0,F2136=0),"",D2136/F2136)</f>
        <v/>
      </c>
      <c r="J2136" t="str">
        <f>IF(OR(H2136="",I2136=""),"",IF(H2136=0,"",I2136/H2136-1))</f>
        <v/>
      </c>
      <c r="K2136" t="str">
        <f>IF($B2136="","",IFERROR(IF(G2136=0,-2E+300,CHOOSE(sortIdx,ROUND(D2136,0),IF(J2136="",-1E+300,ROUND(-J2136,6)),IF(J2136="",-1E+300,ROUND(J2136,6)))),-1.5E+300))</f>
        <v/>
      </c>
      <c r="L2136" t="str">
        <f>IF(K2136="","",RANK(K2136,$K$2:$K$3001,0)+COUNTIF($K$2:K2136,K2136)-1)</f>
        <v/>
      </c>
    </row>
    <row r="2137">
      <c r="B2137" t="str">
        <f>IFERROR(IF(A2137="","","="&amp;SUBSTITUTE(SUBSTITUTE(SUBSTITUTE(A2137,"~","~~"),"*","~*"),"?","~?")),"")</f>
        <v/>
      </c>
      <c r="C2137" t="str">
        <f>IF($B2137="","",SUMIFS(dAmt,dCust,$B2137,dPer,"&gt;="&amp;pyFrom,dPer,"&lt;="&amp;pyTo,dAmt,"&gt;-1E+300",dFlt1,critFlt1,dFlt2,critFlt2,dFlt3,critFlt3))</f>
        <v/>
      </c>
      <c r="D2137" t="str">
        <f>IF($B2137="","",SUMIFS(dAmt,dCust,$B2137,dPer,"&gt;="&amp;cyFrom,dPer,"&lt;="&amp;cyTo,dAmt,"&gt;-1E+300",dFlt1,critFlt1,dFlt2,critFlt2,dFlt3,critFlt3))</f>
        <v/>
      </c>
      <c r="E2137" t="str">
        <f>IF($B2137="","",SUMIFS(dQty,dCust,$B2137,dPer,"&gt;="&amp;pyFrom,dPer,"&lt;="&amp;pyTo,dQty,"&gt;-1E+300",dFlt1,critFlt1,dFlt2,critFlt2,dFlt3,critFlt3))</f>
        <v/>
      </c>
      <c r="F2137" t="str">
        <f>IF($B2137="","",SUMIFS(dQty,dCust,$B2137,dPer,"&gt;="&amp;cyFrom,dPer,"&lt;="&amp;cyTo,dQty,"&gt;-1E+300",dFlt1,critFlt1,dFlt2,critFlt2,dFlt3,critFlt3))</f>
        <v/>
      </c>
      <c r="G2137">
        <f>IF($B2137="",0,IFERROR(IF(OR(C2137&lt;&gt;0,D2137&lt;&gt;0,E2137&lt;&gt;0,F2137&lt;&gt;0),1,0),1))</f>
        <v>0</v>
      </c>
      <c r="H2137" t="str">
        <f>IF(OR(G2137=0,E2137=0),"",C2137/E2137)</f>
        <v/>
      </c>
      <c r="I2137" t="str">
        <f>IF(OR(G2137=0,F2137=0),"",D2137/F2137)</f>
        <v/>
      </c>
      <c r="J2137" t="str">
        <f>IF(OR(H2137="",I2137=""),"",IF(H2137=0,"",I2137/H2137-1))</f>
        <v/>
      </c>
      <c r="K2137" t="str">
        <f>IF($B2137="","",IFERROR(IF(G2137=0,-2E+300,CHOOSE(sortIdx,ROUND(D2137,0),IF(J2137="",-1E+300,ROUND(-J2137,6)),IF(J2137="",-1E+300,ROUND(J2137,6)))),-1.5E+300))</f>
        <v/>
      </c>
      <c r="L2137" t="str">
        <f>IF(K2137="","",RANK(K2137,$K$2:$K$3001,0)+COUNTIF($K$2:K2137,K2137)-1)</f>
        <v/>
      </c>
    </row>
    <row r="2138">
      <c r="B2138" t="str">
        <f>IFERROR(IF(A2138="","","="&amp;SUBSTITUTE(SUBSTITUTE(SUBSTITUTE(A2138,"~","~~"),"*","~*"),"?","~?")),"")</f>
        <v/>
      </c>
      <c r="C2138" t="str">
        <f>IF($B2138="","",SUMIFS(dAmt,dCust,$B2138,dPer,"&gt;="&amp;pyFrom,dPer,"&lt;="&amp;pyTo,dAmt,"&gt;-1E+300",dFlt1,critFlt1,dFlt2,critFlt2,dFlt3,critFlt3))</f>
        <v/>
      </c>
      <c r="D2138" t="str">
        <f>IF($B2138="","",SUMIFS(dAmt,dCust,$B2138,dPer,"&gt;="&amp;cyFrom,dPer,"&lt;="&amp;cyTo,dAmt,"&gt;-1E+300",dFlt1,critFlt1,dFlt2,critFlt2,dFlt3,critFlt3))</f>
        <v/>
      </c>
      <c r="E2138" t="str">
        <f>IF($B2138="","",SUMIFS(dQty,dCust,$B2138,dPer,"&gt;="&amp;pyFrom,dPer,"&lt;="&amp;pyTo,dQty,"&gt;-1E+300",dFlt1,critFlt1,dFlt2,critFlt2,dFlt3,critFlt3))</f>
        <v/>
      </c>
      <c r="F2138" t="str">
        <f>IF($B2138="","",SUMIFS(dQty,dCust,$B2138,dPer,"&gt;="&amp;cyFrom,dPer,"&lt;="&amp;cyTo,dQty,"&gt;-1E+300",dFlt1,critFlt1,dFlt2,critFlt2,dFlt3,critFlt3))</f>
        <v/>
      </c>
      <c r="G2138">
        <f>IF($B2138="",0,IFERROR(IF(OR(C2138&lt;&gt;0,D2138&lt;&gt;0,E2138&lt;&gt;0,F2138&lt;&gt;0),1,0),1))</f>
        <v>0</v>
      </c>
      <c r="H2138" t="str">
        <f>IF(OR(G2138=0,E2138=0),"",C2138/E2138)</f>
        <v/>
      </c>
      <c r="I2138" t="str">
        <f>IF(OR(G2138=0,F2138=0),"",D2138/F2138)</f>
        <v/>
      </c>
      <c r="J2138" t="str">
        <f>IF(OR(H2138="",I2138=""),"",IF(H2138=0,"",I2138/H2138-1))</f>
        <v/>
      </c>
      <c r="K2138" t="str">
        <f>IF($B2138="","",IFERROR(IF(G2138=0,-2E+300,CHOOSE(sortIdx,ROUND(D2138,0),IF(J2138="",-1E+300,ROUND(-J2138,6)),IF(J2138="",-1E+300,ROUND(J2138,6)))),-1.5E+300))</f>
        <v/>
      </c>
      <c r="L2138" t="str">
        <f>IF(K2138="","",RANK(K2138,$K$2:$K$3001,0)+COUNTIF($K$2:K2138,K2138)-1)</f>
        <v/>
      </c>
    </row>
    <row r="2139">
      <c r="B2139" t="str">
        <f>IFERROR(IF(A2139="","","="&amp;SUBSTITUTE(SUBSTITUTE(SUBSTITUTE(A2139,"~","~~"),"*","~*"),"?","~?")),"")</f>
        <v/>
      </c>
      <c r="C2139" t="str">
        <f>IF($B2139="","",SUMIFS(dAmt,dCust,$B2139,dPer,"&gt;="&amp;pyFrom,dPer,"&lt;="&amp;pyTo,dAmt,"&gt;-1E+300",dFlt1,critFlt1,dFlt2,critFlt2,dFlt3,critFlt3))</f>
        <v/>
      </c>
      <c r="D2139" t="str">
        <f>IF($B2139="","",SUMIFS(dAmt,dCust,$B2139,dPer,"&gt;="&amp;cyFrom,dPer,"&lt;="&amp;cyTo,dAmt,"&gt;-1E+300",dFlt1,critFlt1,dFlt2,critFlt2,dFlt3,critFlt3))</f>
        <v/>
      </c>
      <c r="E2139" t="str">
        <f>IF($B2139="","",SUMIFS(dQty,dCust,$B2139,dPer,"&gt;="&amp;pyFrom,dPer,"&lt;="&amp;pyTo,dQty,"&gt;-1E+300",dFlt1,critFlt1,dFlt2,critFlt2,dFlt3,critFlt3))</f>
        <v/>
      </c>
      <c r="F2139" t="str">
        <f>IF($B2139="","",SUMIFS(dQty,dCust,$B2139,dPer,"&gt;="&amp;cyFrom,dPer,"&lt;="&amp;cyTo,dQty,"&gt;-1E+300",dFlt1,critFlt1,dFlt2,critFlt2,dFlt3,critFlt3))</f>
        <v/>
      </c>
      <c r="G2139">
        <f>IF($B2139="",0,IFERROR(IF(OR(C2139&lt;&gt;0,D2139&lt;&gt;0,E2139&lt;&gt;0,F2139&lt;&gt;0),1,0),1))</f>
        <v>0</v>
      </c>
      <c r="H2139" t="str">
        <f>IF(OR(G2139=0,E2139=0),"",C2139/E2139)</f>
        <v/>
      </c>
      <c r="I2139" t="str">
        <f>IF(OR(G2139=0,F2139=0),"",D2139/F2139)</f>
        <v/>
      </c>
      <c r="J2139" t="str">
        <f>IF(OR(H2139="",I2139=""),"",IF(H2139=0,"",I2139/H2139-1))</f>
        <v/>
      </c>
      <c r="K2139" t="str">
        <f>IF($B2139="","",IFERROR(IF(G2139=0,-2E+300,CHOOSE(sortIdx,ROUND(D2139,0),IF(J2139="",-1E+300,ROUND(-J2139,6)),IF(J2139="",-1E+300,ROUND(J2139,6)))),-1.5E+300))</f>
        <v/>
      </c>
      <c r="L2139" t="str">
        <f>IF(K2139="","",RANK(K2139,$K$2:$K$3001,0)+COUNTIF($K$2:K2139,K2139)-1)</f>
        <v/>
      </c>
    </row>
    <row r="2140">
      <c r="B2140" t="str">
        <f>IFERROR(IF(A2140="","","="&amp;SUBSTITUTE(SUBSTITUTE(SUBSTITUTE(A2140,"~","~~"),"*","~*"),"?","~?")),"")</f>
        <v/>
      </c>
      <c r="C2140" t="str">
        <f>IF($B2140="","",SUMIFS(dAmt,dCust,$B2140,dPer,"&gt;="&amp;pyFrom,dPer,"&lt;="&amp;pyTo,dAmt,"&gt;-1E+300",dFlt1,critFlt1,dFlt2,critFlt2,dFlt3,critFlt3))</f>
        <v/>
      </c>
      <c r="D2140" t="str">
        <f>IF($B2140="","",SUMIFS(dAmt,dCust,$B2140,dPer,"&gt;="&amp;cyFrom,dPer,"&lt;="&amp;cyTo,dAmt,"&gt;-1E+300",dFlt1,critFlt1,dFlt2,critFlt2,dFlt3,critFlt3))</f>
        <v/>
      </c>
      <c r="E2140" t="str">
        <f>IF($B2140="","",SUMIFS(dQty,dCust,$B2140,dPer,"&gt;="&amp;pyFrom,dPer,"&lt;="&amp;pyTo,dQty,"&gt;-1E+300",dFlt1,critFlt1,dFlt2,critFlt2,dFlt3,critFlt3))</f>
        <v/>
      </c>
      <c r="F2140" t="str">
        <f>IF($B2140="","",SUMIFS(dQty,dCust,$B2140,dPer,"&gt;="&amp;cyFrom,dPer,"&lt;="&amp;cyTo,dQty,"&gt;-1E+300",dFlt1,critFlt1,dFlt2,critFlt2,dFlt3,critFlt3))</f>
        <v/>
      </c>
      <c r="G2140">
        <f>IF($B2140="",0,IFERROR(IF(OR(C2140&lt;&gt;0,D2140&lt;&gt;0,E2140&lt;&gt;0,F2140&lt;&gt;0),1,0),1))</f>
        <v>0</v>
      </c>
      <c r="H2140" t="str">
        <f>IF(OR(G2140=0,E2140=0),"",C2140/E2140)</f>
        <v/>
      </c>
      <c r="I2140" t="str">
        <f>IF(OR(G2140=0,F2140=0),"",D2140/F2140)</f>
        <v/>
      </c>
      <c r="J2140" t="str">
        <f>IF(OR(H2140="",I2140=""),"",IF(H2140=0,"",I2140/H2140-1))</f>
        <v/>
      </c>
      <c r="K2140" t="str">
        <f>IF($B2140="","",IFERROR(IF(G2140=0,-2E+300,CHOOSE(sortIdx,ROUND(D2140,0),IF(J2140="",-1E+300,ROUND(-J2140,6)),IF(J2140="",-1E+300,ROUND(J2140,6)))),-1.5E+300))</f>
        <v/>
      </c>
      <c r="L2140" t="str">
        <f>IF(K2140="","",RANK(K2140,$K$2:$K$3001,0)+COUNTIF($K$2:K2140,K2140)-1)</f>
        <v/>
      </c>
    </row>
    <row r="2141">
      <c r="B2141" t="str">
        <f>IFERROR(IF(A2141="","","="&amp;SUBSTITUTE(SUBSTITUTE(SUBSTITUTE(A2141,"~","~~"),"*","~*"),"?","~?")),"")</f>
        <v/>
      </c>
      <c r="C2141" t="str">
        <f>IF($B2141="","",SUMIFS(dAmt,dCust,$B2141,dPer,"&gt;="&amp;pyFrom,dPer,"&lt;="&amp;pyTo,dAmt,"&gt;-1E+300",dFlt1,critFlt1,dFlt2,critFlt2,dFlt3,critFlt3))</f>
        <v/>
      </c>
      <c r="D2141" t="str">
        <f>IF($B2141="","",SUMIFS(dAmt,dCust,$B2141,dPer,"&gt;="&amp;cyFrom,dPer,"&lt;="&amp;cyTo,dAmt,"&gt;-1E+300",dFlt1,critFlt1,dFlt2,critFlt2,dFlt3,critFlt3))</f>
        <v/>
      </c>
      <c r="E2141" t="str">
        <f>IF($B2141="","",SUMIFS(dQty,dCust,$B2141,dPer,"&gt;="&amp;pyFrom,dPer,"&lt;="&amp;pyTo,dQty,"&gt;-1E+300",dFlt1,critFlt1,dFlt2,critFlt2,dFlt3,critFlt3))</f>
        <v/>
      </c>
      <c r="F2141" t="str">
        <f>IF($B2141="","",SUMIFS(dQty,dCust,$B2141,dPer,"&gt;="&amp;cyFrom,dPer,"&lt;="&amp;cyTo,dQty,"&gt;-1E+300",dFlt1,critFlt1,dFlt2,critFlt2,dFlt3,critFlt3))</f>
        <v/>
      </c>
      <c r="G2141">
        <f>IF($B2141="",0,IFERROR(IF(OR(C2141&lt;&gt;0,D2141&lt;&gt;0,E2141&lt;&gt;0,F2141&lt;&gt;0),1,0),1))</f>
        <v>0</v>
      </c>
      <c r="H2141" t="str">
        <f>IF(OR(G2141=0,E2141=0),"",C2141/E2141)</f>
        <v/>
      </c>
      <c r="I2141" t="str">
        <f>IF(OR(G2141=0,F2141=0),"",D2141/F2141)</f>
        <v/>
      </c>
      <c r="J2141" t="str">
        <f>IF(OR(H2141="",I2141=""),"",IF(H2141=0,"",I2141/H2141-1))</f>
        <v/>
      </c>
      <c r="K2141" t="str">
        <f>IF($B2141="","",IFERROR(IF(G2141=0,-2E+300,CHOOSE(sortIdx,ROUND(D2141,0),IF(J2141="",-1E+300,ROUND(-J2141,6)),IF(J2141="",-1E+300,ROUND(J2141,6)))),-1.5E+300))</f>
        <v/>
      </c>
      <c r="L2141" t="str">
        <f>IF(K2141="","",RANK(K2141,$K$2:$K$3001,0)+COUNTIF($K$2:K2141,K2141)-1)</f>
        <v/>
      </c>
    </row>
    <row r="2142">
      <c r="B2142" t="str">
        <f>IFERROR(IF(A2142="","","="&amp;SUBSTITUTE(SUBSTITUTE(SUBSTITUTE(A2142,"~","~~"),"*","~*"),"?","~?")),"")</f>
        <v/>
      </c>
      <c r="C2142" t="str">
        <f>IF($B2142="","",SUMIFS(dAmt,dCust,$B2142,dPer,"&gt;="&amp;pyFrom,dPer,"&lt;="&amp;pyTo,dAmt,"&gt;-1E+300",dFlt1,critFlt1,dFlt2,critFlt2,dFlt3,critFlt3))</f>
        <v/>
      </c>
      <c r="D2142" t="str">
        <f>IF($B2142="","",SUMIFS(dAmt,dCust,$B2142,dPer,"&gt;="&amp;cyFrom,dPer,"&lt;="&amp;cyTo,dAmt,"&gt;-1E+300",dFlt1,critFlt1,dFlt2,critFlt2,dFlt3,critFlt3))</f>
        <v/>
      </c>
      <c r="E2142" t="str">
        <f>IF($B2142="","",SUMIFS(dQty,dCust,$B2142,dPer,"&gt;="&amp;pyFrom,dPer,"&lt;="&amp;pyTo,dQty,"&gt;-1E+300",dFlt1,critFlt1,dFlt2,critFlt2,dFlt3,critFlt3))</f>
        <v/>
      </c>
      <c r="F2142" t="str">
        <f>IF($B2142="","",SUMIFS(dQty,dCust,$B2142,dPer,"&gt;="&amp;cyFrom,dPer,"&lt;="&amp;cyTo,dQty,"&gt;-1E+300",dFlt1,critFlt1,dFlt2,critFlt2,dFlt3,critFlt3))</f>
        <v/>
      </c>
      <c r="G2142">
        <f>IF($B2142="",0,IFERROR(IF(OR(C2142&lt;&gt;0,D2142&lt;&gt;0,E2142&lt;&gt;0,F2142&lt;&gt;0),1,0),1))</f>
        <v>0</v>
      </c>
      <c r="H2142" t="str">
        <f>IF(OR(G2142=0,E2142=0),"",C2142/E2142)</f>
        <v/>
      </c>
      <c r="I2142" t="str">
        <f>IF(OR(G2142=0,F2142=0),"",D2142/F2142)</f>
        <v/>
      </c>
      <c r="J2142" t="str">
        <f>IF(OR(H2142="",I2142=""),"",IF(H2142=0,"",I2142/H2142-1))</f>
        <v/>
      </c>
      <c r="K2142" t="str">
        <f>IF($B2142="","",IFERROR(IF(G2142=0,-2E+300,CHOOSE(sortIdx,ROUND(D2142,0),IF(J2142="",-1E+300,ROUND(-J2142,6)),IF(J2142="",-1E+300,ROUND(J2142,6)))),-1.5E+300))</f>
        <v/>
      </c>
      <c r="L2142" t="str">
        <f>IF(K2142="","",RANK(K2142,$K$2:$K$3001,0)+COUNTIF($K$2:K2142,K2142)-1)</f>
        <v/>
      </c>
    </row>
    <row r="2143">
      <c r="B2143" t="str">
        <f>IFERROR(IF(A2143="","","="&amp;SUBSTITUTE(SUBSTITUTE(SUBSTITUTE(A2143,"~","~~"),"*","~*"),"?","~?")),"")</f>
        <v/>
      </c>
      <c r="C2143" t="str">
        <f>IF($B2143="","",SUMIFS(dAmt,dCust,$B2143,dPer,"&gt;="&amp;pyFrom,dPer,"&lt;="&amp;pyTo,dAmt,"&gt;-1E+300",dFlt1,critFlt1,dFlt2,critFlt2,dFlt3,critFlt3))</f>
        <v/>
      </c>
      <c r="D2143" t="str">
        <f>IF($B2143="","",SUMIFS(dAmt,dCust,$B2143,dPer,"&gt;="&amp;cyFrom,dPer,"&lt;="&amp;cyTo,dAmt,"&gt;-1E+300",dFlt1,critFlt1,dFlt2,critFlt2,dFlt3,critFlt3))</f>
        <v/>
      </c>
      <c r="E2143" t="str">
        <f>IF($B2143="","",SUMIFS(dQty,dCust,$B2143,dPer,"&gt;="&amp;pyFrom,dPer,"&lt;="&amp;pyTo,dQty,"&gt;-1E+300",dFlt1,critFlt1,dFlt2,critFlt2,dFlt3,critFlt3))</f>
        <v/>
      </c>
      <c r="F2143" t="str">
        <f>IF($B2143="","",SUMIFS(dQty,dCust,$B2143,dPer,"&gt;="&amp;cyFrom,dPer,"&lt;="&amp;cyTo,dQty,"&gt;-1E+300",dFlt1,critFlt1,dFlt2,critFlt2,dFlt3,critFlt3))</f>
        <v/>
      </c>
      <c r="G2143">
        <f>IF($B2143="",0,IFERROR(IF(OR(C2143&lt;&gt;0,D2143&lt;&gt;0,E2143&lt;&gt;0,F2143&lt;&gt;0),1,0),1))</f>
        <v>0</v>
      </c>
      <c r="H2143" t="str">
        <f>IF(OR(G2143=0,E2143=0),"",C2143/E2143)</f>
        <v/>
      </c>
      <c r="I2143" t="str">
        <f>IF(OR(G2143=0,F2143=0),"",D2143/F2143)</f>
        <v/>
      </c>
      <c r="J2143" t="str">
        <f>IF(OR(H2143="",I2143=""),"",IF(H2143=0,"",I2143/H2143-1))</f>
        <v/>
      </c>
      <c r="K2143" t="str">
        <f>IF($B2143="","",IFERROR(IF(G2143=0,-2E+300,CHOOSE(sortIdx,ROUND(D2143,0),IF(J2143="",-1E+300,ROUND(-J2143,6)),IF(J2143="",-1E+300,ROUND(J2143,6)))),-1.5E+300))</f>
        <v/>
      </c>
      <c r="L2143" t="str">
        <f>IF(K2143="","",RANK(K2143,$K$2:$K$3001,0)+COUNTIF($K$2:K2143,K2143)-1)</f>
        <v/>
      </c>
    </row>
    <row r="2144">
      <c r="B2144" t="str">
        <f>IFERROR(IF(A2144="","","="&amp;SUBSTITUTE(SUBSTITUTE(SUBSTITUTE(A2144,"~","~~"),"*","~*"),"?","~?")),"")</f>
        <v/>
      </c>
      <c r="C2144" t="str">
        <f>IF($B2144="","",SUMIFS(dAmt,dCust,$B2144,dPer,"&gt;="&amp;pyFrom,dPer,"&lt;="&amp;pyTo,dAmt,"&gt;-1E+300",dFlt1,critFlt1,dFlt2,critFlt2,dFlt3,critFlt3))</f>
        <v/>
      </c>
      <c r="D2144" t="str">
        <f>IF($B2144="","",SUMIFS(dAmt,dCust,$B2144,dPer,"&gt;="&amp;cyFrom,dPer,"&lt;="&amp;cyTo,dAmt,"&gt;-1E+300",dFlt1,critFlt1,dFlt2,critFlt2,dFlt3,critFlt3))</f>
        <v/>
      </c>
      <c r="E2144" t="str">
        <f>IF($B2144="","",SUMIFS(dQty,dCust,$B2144,dPer,"&gt;="&amp;pyFrom,dPer,"&lt;="&amp;pyTo,dQty,"&gt;-1E+300",dFlt1,critFlt1,dFlt2,critFlt2,dFlt3,critFlt3))</f>
        <v/>
      </c>
      <c r="F2144" t="str">
        <f>IF($B2144="","",SUMIFS(dQty,dCust,$B2144,dPer,"&gt;="&amp;cyFrom,dPer,"&lt;="&amp;cyTo,dQty,"&gt;-1E+300",dFlt1,critFlt1,dFlt2,critFlt2,dFlt3,critFlt3))</f>
        <v/>
      </c>
      <c r="G2144">
        <f>IF($B2144="",0,IFERROR(IF(OR(C2144&lt;&gt;0,D2144&lt;&gt;0,E2144&lt;&gt;0,F2144&lt;&gt;0),1,0),1))</f>
        <v>0</v>
      </c>
      <c r="H2144" t="str">
        <f>IF(OR(G2144=0,E2144=0),"",C2144/E2144)</f>
        <v/>
      </c>
      <c r="I2144" t="str">
        <f>IF(OR(G2144=0,F2144=0),"",D2144/F2144)</f>
        <v/>
      </c>
      <c r="J2144" t="str">
        <f>IF(OR(H2144="",I2144=""),"",IF(H2144=0,"",I2144/H2144-1))</f>
        <v/>
      </c>
      <c r="K2144" t="str">
        <f>IF($B2144="","",IFERROR(IF(G2144=0,-2E+300,CHOOSE(sortIdx,ROUND(D2144,0),IF(J2144="",-1E+300,ROUND(-J2144,6)),IF(J2144="",-1E+300,ROUND(J2144,6)))),-1.5E+300))</f>
        <v/>
      </c>
      <c r="L2144" t="str">
        <f>IF(K2144="","",RANK(K2144,$K$2:$K$3001,0)+COUNTIF($K$2:K2144,K2144)-1)</f>
        <v/>
      </c>
    </row>
    <row r="2145">
      <c r="B2145" t="str">
        <f>IFERROR(IF(A2145="","","="&amp;SUBSTITUTE(SUBSTITUTE(SUBSTITUTE(A2145,"~","~~"),"*","~*"),"?","~?")),"")</f>
        <v/>
      </c>
      <c r="C2145" t="str">
        <f>IF($B2145="","",SUMIFS(dAmt,dCust,$B2145,dPer,"&gt;="&amp;pyFrom,dPer,"&lt;="&amp;pyTo,dAmt,"&gt;-1E+300",dFlt1,critFlt1,dFlt2,critFlt2,dFlt3,critFlt3))</f>
        <v/>
      </c>
      <c r="D2145" t="str">
        <f>IF($B2145="","",SUMIFS(dAmt,dCust,$B2145,dPer,"&gt;="&amp;cyFrom,dPer,"&lt;="&amp;cyTo,dAmt,"&gt;-1E+300",dFlt1,critFlt1,dFlt2,critFlt2,dFlt3,critFlt3))</f>
        <v/>
      </c>
      <c r="E2145" t="str">
        <f>IF($B2145="","",SUMIFS(dQty,dCust,$B2145,dPer,"&gt;="&amp;pyFrom,dPer,"&lt;="&amp;pyTo,dQty,"&gt;-1E+300",dFlt1,critFlt1,dFlt2,critFlt2,dFlt3,critFlt3))</f>
        <v/>
      </c>
      <c r="F2145" t="str">
        <f>IF($B2145="","",SUMIFS(dQty,dCust,$B2145,dPer,"&gt;="&amp;cyFrom,dPer,"&lt;="&amp;cyTo,dQty,"&gt;-1E+300",dFlt1,critFlt1,dFlt2,critFlt2,dFlt3,critFlt3))</f>
        <v/>
      </c>
      <c r="G2145">
        <f>IF($B2145="",0,IFERROR(IF(OR(C2145&lt;&gt;0,D2145&lt;&gt;0,E2145&lt;&gt;0,F2145&lt;&gt;0),1,0),1))</f>
        <v>0</v>
      </c>
      <c r="H2145" t="str">
        <f>IF(OR(G2145=0,E2145=0),"",C2145/E2145)</f>
        <v/>
      </c>
      <c r="I2145" t="str">
        <f>IF(OR(G2145=0,F2145=0),"",D2145/F2145)</f>
        <v/>
      </c>
      <c r="J2145" t="str">
        <f>IF(OR(H2145="",I2145=""),"",IF(H2145=0,"",I2145/H2145-1))</f>
        <v/>
      </c>
      <c r="K2145" t="str">
        <f>IF($B2145="","",IFERROR(IF(G2145=0,-2E+300,CHOOSE(sortIdx,ROUND(D2145,0),IF(J2145="",-1E+300,ROUND(-J2145,6)),IF(J2145="",-1E+300,ROUND(J2145,6)))),-1.5E+300))</f>
        <v/>
      </c>
      <c r="L2145" t="str">
        <f>IF(K2145="","",RANK(K2145,$K$2:$K$3001,0)+COUNTIF($K$2:K2145,K2145)-1)</f>
        <v/>
      </c>
    </row>
    <row r="2146">
      <c r="B2146" t="str">
        <f>IFERROR(IF(A2146="","","="&amp;SUBSTITUTE(SUBSTITUTE(SUBSTITUTE(A2146,"~","~~"),"*","~*"),"?","~?")),"")</f>
        <v/>
      </c>
      <c r="C2146" t="str">
        <f>IF($B2146="","",SUMIFS(dAmt,dCust,$B2146,dPer,"&gt;="&amp;pyFrom,dPer,"&lt;="&amp;pyTo,dAmt,"&gt;-1E+300",dFlt1,critFlt1,dFlt2,critFlt2,dFlt3,critFlt3))</f>
        <v/>
      </c>
      <c r="D2146" t="str">
        <f>IF($B2146="","",SUMIFS(dAmt,dCust,$B2146,dPer,"&gt;="&amp;cyFrom,dPer,"&lt;="&amp;cyTo,dAmt,"&gt;-1E+300",dFlt1,critFlt1,dFlt2,critFlt2,dFlt3,critFlt3))</f>
        <v/>
      </c>
      <c r="E2146" t="str">
        <f>IF($B2146="","",SUMIFS(dQty,dCust,$B2146,dPer,"&gt;="&amp;pyFrom,dPer,"&lt;="&amp;pyTo,dQty,"&gt;-1E+300",dFlt1,critFlt1,dFlt2,critFlt2,dFlt3,critFlt3))</f>
        <v/>
      </c>
      <c r="F2146" t="str">
        <f>IF($B2146="","",SUMIFS(dQty,dCust,$B2146,dPer,"&gt;="&amp;cyFrom,dPer,"&lt;="&amp;cyTo,dQty,"&gt;-1E+300",dFlt1,critFlt1,dFlt2,critFlt2,dFlt3,critFlt3))</f>
        <v/>
      </c>
      <c r="G2146">
        <f>IF($B2146="",0,IFERROR(IF(OR(C2146&lt;&gt;0,D2146&lt;&gt;0,E2146&lt;&gt;0,F2146&lt;&gt;0),1,0),1))</f>
        <v>0</v>
      </c>
      <c r="H2146" t="str">
        <f>IF(OR(G2146=0,E2146=0),"",C2146/E2146)</f>
        <v/>
      </c>
      <c r="I2146" t="str">
        <f>IF(OR(G2146=0,F2146=0),"",D2146/F2146)</f>
        <v/>
      </c>
      <c r="J2146" t="str">
        <f>IF(OR(H2146="",I2146=""),"",IF(H2146=0,"",I2146/H2146-1))</f>
        <v/>
      </c>
      <c r="K2146" t="str">
        <f>IF($B2146="","",IFERROR(IF(G2146=0,-2E+300,CHOOSE(sortIdx,ROUND(D2146,0),IF(J2146="",-1E+300,ROUND(-J2146,6)),IF(J2146="",-1E+300,ROUND(J2146,6)))),-1.5E+300))</f>
        <v/>
      </c>
      <c r="L2146" t="str">
        <f>IF(K2146="","",RANK(K2146,$K$2:$K$3001,0)+COUNTIF($K$2:K2146,K2146)-1)</f>
        <v/>
      </c>
    </row>
    <row r="2147">
      <c r="B2147" t="str">
        <f>IFERROR(IF(A2147="","","="&amp;SUBSTITUTE(SUBSTITUTE(SUBSTITUTE(A2147,"~","~~"),"*","~*"),"?","~?")),"")</f>
        <v/>
      </c>
      <c r="C2147" t="str">
        <f>IF($B2147="","",SUMIFS(dAmt,dCust,$B2147,dPer,"&gt;="&amp;pyFrom,dPer,"&lt;="&amp;pyTo,dAmt,"&gt;-1E+300",dFlt1,critFlt1,dFlt2,critFlt2,dFlt3,critFlt3))</f>
        <v/>
      </c>
      <c r="D2147" t="str">
        <f>IF($B2147="","",SUMIFS(dAmt,dCust,$B2147,dPer,"&gt;="&amp;cyFrom,dPer,"&lt;="&amp;cyTo,dAmt,"&gt;-1E+300",dFlt1,critFlt1,dFlt2,critFlt2,dFlt3,critFlt3))</f>
        <v/>
      </c>
      <c r="E2147" t="str">
        <f>IF($B2147="","",SUMIFS(dQty,dCust,$B2147,dPer,"&gt;="&amp;pyFrom,dPer,"&lt;="&amp;pyTo,dQty,"&gt;-1E+300",dFlt1,critFlt1,dFlt2,critFlt2,dFlt3,critFlt3))</f>
        <v/>
      </c>
      <c r="F2147" t="str">
        <f>IF($B2147="","",SUMIFS(dQty,dCust,$B2147,dPer,"&gt;="&amp;cyFrom,dPer,"&lt;="&amp;cyTo,dQty,"&gt;-1E+300",dFlt1,critFlt1,dFlt2,critFlt2,dFlt3,critFlt3))</f>
        <v/>
      </c>
      <c r="G2147">
        <f>IF($B2147="",0,IFERROR(IF(OR(C2147&lt;&gt;0,D2147&lt;&gt;0,E2147&lt;&gt;0,F2147&lt;&gt;0),1,0),1))</f>
        <v>0</v>
      </c>
      <c r="H2147" t="str">
        <f>IF(OR(G2147=0,E2147=0),"",C2147/E2147)</f>
        <v/>
      </c>
      <c r="I2147" t="str">
        <f>IF(OR(G2147=0,F2147=0),"",D2147/F2147)</f>
        <v/>
      </c>
      <c r="J2147" t="str">
        <f>IF(OR(H2147="",I2147=""),"",IF(H2147=0,"",I2147/H2147-1))</f>
        <v/>
      </c>
      <c r="K2147" t="str">
        <f>IF($B2147="","",IFERROR(IF(G2147=0,-2E+300,CHOOSE(sortIdx,ROUND(D2147,0),IF(J2147="",-1E+300,ROUND(-J2147,6)),IF(J2147="",-1E+300,ROUND(J2147,6)))),-1.5E+300))</f>
        <v/>
      </c>
      <c r="L2147" t="str">
        <f>IF(K2147="","",RANK(K2147,$K$2:$K$3001,0)+COUNTIF($K$2:K2147,K2147)-1)</f>
        <v/>
      </c>
    </row>
    <row r="2148">
      <c r="B2148" t="str">
        <f>IFERROR(IF(A2148="","","="&amp;SUBSTITUTE(SUBSTITUTE(SUBSTITUTE(A2148,"~","~~"),"*","~*"),"?","~?")),"")</f>
        <v/>
      </c>
      <c r="C2148" t="str">
        <f>IF($B2148="","",SUMIFS(dAmt,dCust,$B2148,dPer,"&gt;="&amp;pyFrom,dPer,"&lt;="&amp;pyTo,dAmt,"&gt;-1E+300",dFlt1,critFlt1,dFlt2,critFlt2,dFlt3,critFlt3))</f>
        <v/>
      </c>
      <c r="D2148" t="str">
        <f>IF($B2148="","",SUMIFS(dAmt,dCust,$B2148,dPer,"&gt;="&amp;cyFrom,dPer,"&lt;="&amp;cyTo,dAmt,"&gt;-1E+300",dFlt1,critFlt1,dFlt2,critFlt2,dFlt3,critFlt3))</f>
        <v/>
      </c>
      <c r="E2148" t="str">
        <f>IF($B2148="","",SUMIFS(dQty,dCust,$B2148,dPer,"&gt;="&amp;pyFrom,dPer,"&lt;="&amp;pyTo,dQty,"&gt;-1E+300",dFlt1,critFlt1,dFlt2,critFlt2,dFlt3,critFlt3))</f>
        <v/>
      </c>
      <c r="F2148" t="str">
        <f>IF($B2148="","",SUMIFS(dQty,dCust,$B2148,dPer,"&gt;="&amp;cyFrom,dPer,"&lt;="&amp;cyTo,dQty,"&gt;-1E+300",dFlt1,critFlt1,dFlt2,critFlt2,dFlt3,critFlt3))</f>
        <v/>
      </c>
      <c r="G2148">
        <f>IF($B2148="",0,IFERROR(IF(OR(C2148&lt;&gt;0,D2148&lt;&gt;0,E2148&lt;&gt;0,F2148&lt;&gt;0),1,0),1))</f>
        <v>0</v>
      </c>
      <c r="H2148" t="str">
        <f>IF(OR(G2148=0,E2148=0),"",C2148/E2148)</f>
        <v/>
      </c>
      <c r="I2148" t="str">
        <f>IF(OR(G2148=0,F2148=0),"",D2148/F2148)</f>
        <v/>
      </c>
      <c r="J2148" t="str">
        <f>IF(OR(H2148="",I2148=""),"",IF(H2148=0,"",I2148/H2148-1))</f>
        <v/>
      </c>
      <c r="K2148" t="str">
        <f>IF($B2148="","",IFERROR(IF(G2148=0,-2E+300,CHOOSE(sortIdx,ROUND(D2148,0),IF(J2148="",-1E+300,ROUND(-J2148,6)),IF(J2148="",-1E+300,ROUND(J2148,6)))),-1.5E+300))</f>
        <v/>
      </c>
      <c r="L2148" t="str">
        <f>IF(K2148="","",RANK(K2148,$K$2:$K$3001,0)+COUNTIF($K$2:K2148,K2148)-1)</f>
        <v/>
      </c>
    </row>
    <row r="2149">
      <c r="B2149" t="str">
        <f>IFERROR(IF(A2149="","","="&amp;SUBSTITUTE(SUBSTITUTE(SUBSTITUTE(A2149,"~","~~"),"*","~*"),"?","~?")),"")</f>
        <v/>
      </c>
      <c r="C2149" t="str">
        <f>IF($B2149="","",SUMIFS(dAmt,dCust,$B2149,dPer,"&gt;="&amp;pyFrom,dPer,"&lt;="&amp;pyTo,dAmt,"&gt;-1E+300",dFlt1,critFlt1,dFlt2,critFlt2,dFlt3,critFlt3))</f>
        <v/>
      </c>
      <c r="D2149" t="str">
        <f>IF($B2149="","",SUMIFS(dAmt,dCust,$B2149,dPer,"&gt;="&amp;cyFrom,dPer,"&lt;="&amp;cyTo,dAmt,"&gt;-1E+300",dFlt1,critFlt1,dFlt2,critFlt2,dFlt3,critFlt3))</f>
        <v/>
      </c>
      <c r="E2149" t="str">
        <f>IF($B2149="","",SUMIFS(dQty,dCust,$B2149,dPer,"&gt;="&amp;pyFrom,dPer,"&lt;="&amp;pyTo,dQty,"&gt;-1E+300",dFlt1,critFlt1,dFlt2,critFlt2,dFlt3,critFlt3))</f>
        <v/>
      </c>
      <c r="F2149" t="str">
        <f>IF($B2149="","",SUMIFS(dQty,dCust,$B2149,dPer,"&gt;="&amp;cyFrom,dPer,"&lt;="&amp;cyTo,dQty,"&gt;-1E+300",dFlt1,critFlt1,dFlt2,critFlt2,dFlt3,critFlt3))</f>
        <v/>
      </c>
      <c r="G2149">
        <f>IF($B2149="",0,IFERROR(IF(OR(C2149&lt;&gt;0,D2149&lt;&gt;0,E2149&lt;&gt;0,F2149&lt;&gt;0),1,0),1))</f>
        <v>0</v>
      </c>
      <c r="H2149" t="str">
        <f>IF(OR(G2149=0,E2149=0),"",C2149/E2149)</f>
        <v/>
      </c>
      <c r="I2149" t="str">
        <f>IF(OR(G2149=0,F2149=0),"",D2149/F2149)</f>
        <v/>
      </c>
      <c r="J2149" t="str">
        <f>IF(OR(H2149="",I2149=""),"",IF(H2149=0,"",I2149/H2149-1))</f>
        <v/>
      </c>
      <c r="K2149" t="str">
        <f>IF($B2149="","",IFERROR(IF(G2149=0,-2E+300,CHOOSE(sortIdx,ROUND(D2149,0),IF(J2149="",-1E+300,ROUND(-J2149,6)),IF(J2149="",-1E+300,ROUND(J2149,6)))),-1.5E+300))</f>
        <v/>
      </c>
      <c r="L2149" t="str">
        <f>IF(K2149="","",RANK(K2149,$K$2:$K$3001,0)+COUNTIF($K$2:K2149,K2149)-1)</f>
        <v/>
      </c>
    </row>
    <row r="2150">
      <c r="B2150" t="str">
        <f>IFERROR(IF(A2150="","","="&amp;SUBSTITUTE(SUBSTITUTE(SUBSTITUTE(A2150,"~","~~"),"*","~*"),"?","~?")),"")</f>
        <v/>
      </c>
      <c r="C2150" t="str">
        <f>IF($B2150="","",SUMIFS(dAmt,dCust,$B2150,dPer,"&gt;="&amp;pyFrom,dPer,"&lt;="&amp;pyTo,dAmt,"&gt;-1E+300",dFlt1,critFlt1,dFlt2,critFlt2,dFlt3,critFlt3))</f>
        <v/>
      </c>
      <c r="D2150" t="str">
        <f>IF($B2150="","",SUMIFS(dAmt,dCust,$B2150,dPer,"&gt;="&amp;cyFrom,dPer,"&lt;="&amp;cyTo,dAmt,"&gt;-1E+300",dFlt1,critFlt1,dFlt2,critFlt2,dFlt3,critFlt3))</f>
        <v/>
      </c>
      <c r="E2150" t="str">
        <f>IF($B2150="","",SUMIFS(dQty,dCust,$B2150,dPer,"&gt;="&amp;pyFrom,dPer,"&lt;="&amp;pyTo,dQty,"&gt;-1E+300",dFlt1,critFlt1,dFlt2,critFlt2,dFlt3,critFlt3))</f>
        <v/>
      </c>
      <c r="F2150" t="str">
        <f>IF($B2150="","",SUMIFS(dQty,dCust,$B2150,dPer,"&gt;="&amp;cyFrom,dPer,"&lt;="&amp;cyTo,dQty,"&gt;-1E+300",dFlt1,critFlt1,dFlt2,critFlt2,dFlt3,critFlt3))</f>
        <v/>
      </c>
      <c r="G2150">
        <f>IF($B2150="",0,IFERROR(IF(OR(C2150&lt;&gt;0,D2150&lt;&gt;0,E2150&lt;&gt;0,F2150&lt;&gt;0),1,0),1))</f>
        <v>0</v>
      </c>
      <c r="H2150" t="str">
        <f>IF(OR(G2150=0,E2150=0),"",C2150/E2150)</f>
        <v/>
      </c>
      <c r="I2150" t="str">
        <f>IF(OR(G2150=0,F2150=0),"",D2150/F2150)</f>
        <v/>
      </c>
      <c r="J2150" t="str">
        <f>IF(OR(H2150="",I2150=""),"",IF(H2150=0,"",I2150/H2150-1))</f>
        <v/>
      </c>
      <c r="K2150" t="str">
        <f>IF($B2150="","",IFERROR(IF(G2150=0,-2E+300,CHOOSE(sortIdx,ROUND(D2150,0),IF(J2150="",-1E+300,ROUND(-J2150,6)),IF(J2150="",-1E+300,ROUND(J2150,6)))),-1.5E+300))</f>
        <v/>
      </c>
      <c r="L2150" t="str">
        <f>IF(K2150="","",RANK(K2150,$K$2:$K$3001,0)+COUNTIF($K$2:K2150,K2150)-1)</f>
        <v/>
      </c>
    </row>
    <row r="2151">
      <c r="B2151" t="str">
        <f>IFERROR(IF(A2151="","","="&amp;SUBSTITUTE(SUBSTITUTE(SUBSTITUTE(A2151,"~","~~"),"*","~*"),"?","~?")),"")</f>
        <v/>
      </c>
      <c r="C2151" t="str">
        <f>IF($B2151="","",SUMIFS(dAmt,dCust,$B2151,dPer,"&gt;="&amp;pyFrom,dPer,"&lt;="&amp;pyTo,dAmt,"&gt;-1E+300",dFlt1,critFlt1,dFlt2,critFlt2,dFlt3,critFlt3))</f>
        <v/>
      </c>
      <c r="D2151" t="str">
        <f>IF($B2151="","",SUMIFS(dAmt,dCust,$B2151,dPer,"&gt;="&amp;cyFrom,dPer,"&lt;="&amp;cyTo,dAmt,"&gt;-1E+300",dFlt1,critFlt1,dFlt2,critFlt2,dFlt3,critFlt3))</f>
        <v/>
      </c>
      <c r="E2151" t="str">
        <f>IF($B2151="","",SUMIFS(dQty,dCust,$B2151,dPer,"&gt;="&amp;pyFrom,dPer,"&lt;="&amp;pyTo,dQty,"&gt;-1E+300",dFlt1,critFlt1,dFlt2,critFlt2,dFlt3,critFlt3))</f>
        <v/>
      </c>
      <c r="F2151" t="str">
        <f>IF($B2151="","",SUMIFS(dQty,dCust,$B2151,dPer,"&gt;="&amp;cyFrom,dPer,"&lt;="&amp;cyTo,dQty,"&gt;-1E+300",dFlt1,critFlt1,dFlt2,critFlt2,dFlt3,critFlt3))</f>
        <v/>
      </c>
      <c r="G2151">
        <f>IF($B2151="",0,IFERROR(IF(OR(C2151&lt;&gt;0,D2151&lt;&gt;0,E2151&lt;&gt;0,F2151&lt;&gt;0),1,0),1))</f>
        <v>0</v>
      </c>
      <c r="H2151" t="str">
        <f>IF(OR(G2151=0,E2151=0),"",C2151/E2151)</f>
        <v/>
      </c>
      <c r="I2151" t="str">
        <f>IF(OR(G2151=0,F2151=0),"",D2151/F2151)</f>
        <v/>
      </c>
      <c r="J2151" t="str">
        <f>IF(OR(H2151="",I2151=""),"",IF(H2151=0,"",I2151/H2151-1))</f>
        <v/>
      </c>
      <c r="K2151" t="str">
        <f>IF($B2151="","",IFERROR(IF(G2151=0,-2E+300,CHOOSE(sortIdx,ROUND(D2151,0),IF(J2151="",-1E+300,ROUND(-J2151,6)),IF(J2151="",-1E+300,ROUND(J2151,6)))),-1.5E+300))</f>
        <v/>
      </c>
      <c r="L2151" t="str">
        <f>IF(K2151="","",RANK(K2151,$K$2:$K$3001,0)+COUNTIF($K$2:K2151,K2151)-1)</f>
        <v/>
      </c>
    </row>
    <row r="2152">
      <c r="B2152" t="str">
        <f>IFERROR(IF(A2152="","","="&amp;SUBSTITUTE(SUBSTITUTE(SUBSTITUTE(A2152,"~","~~"),"*","~*"),"?","~?")),"")</f>
        <v/>
      </c>
      <c r="C2152" t="str">
        <f>IF($B2152="","",SUMIFS(dAmt,dCust,$B2152,dPer,"&gt;="&amp;pyFrom,dPer,"&lt;="&amp;pyTo,dAmt,"&gt;-1E+300",dFlt1,critFlt1,dFlt2,critFlt2,dFlt3,critFlt3))</f>
        <v/>
      </c>
      <c r="D2152" t="str">
        <f>IF($B2152="","",SUMIFS(dAmt,dCust,$B2152,dPer,"&gt;="&amp;cyFrom,dPer,"&lt;="&amp;cyTo,dAmt,"&gt;-1E+300",dFlt1,critFlt1,dFlt2,critFlt2,dFlt3,critFlt3))</f>
        <v/>
      </c>
      <c r="E2152" t="str">
        <f>IF($B2152="","",SUMIFS(dQty,dCust,$B2152,dPer,"&gt;="&amp;pyFrom,dPer,"&lt;="&amp;pyTo,dQty,"&gt;-1E+300",dFlt1,critFlt1,dFlt2,critFlt2,dFlt3,critFlt3))</f>
        <v/>
      </c>
      <c r="F2152" t="str">
        <f>IF($B2152="","",SUMIFS(dQty,dCust,$B2152,dPer,"&gt;="&amp;cyFrom,dPer,"&lt;="&amp;cyTo,dQty,"&gt;-1E+300",dFlt1,critFlt1,dFlt2,critFlt2,dFlt3,critFlt3))</f>
        <v/>
      </c>
      <c r="G2152">
        <f>IF($B2152="",0,IFERROR(IF(OR(C2152&lt;&gt;0,D2152&lt;&gt;0,E2152&lt;&gt;0,F2152&lt;&gt;0),1,0),1))</f>
        <v>0</v>
      </c>
      <c r="H2152" t="str">
        <f>IF(OR(G2152=0,E2152=0),"",C2152/E2152)</f>
        <v/>
      </c>
      <c r="I2152" t="str">
        <f>IF(OR(G2152=0,F2152=0),"",D2152/F2152)</f>
        <v/>
      </c>
      <c r="J2152" t="str">
        <f>IF(OR(H2152="",I2152=""),"",IF(H2152=0,"",I2152/H2152-1))</f>
        <v/>
      </c>
      <c r="K2152" t="str">
        <f>IF($B2152="","",IFERROR(IF(G2152=0,-2E+300,CHOOSE(sortIdx,ROUND(D2152,0),IF(J2152="",-1E+300,ROUND(-J2152,6)),IF(J2152="",-1E+300,ROUND(J2152,6)))),-1.5E+300))</f>
        <v/>
      </c>
      <c r="L2152" t="str">
        <f>IF(K2152="","",RANK(K2152,$K$2:$K$3001,0)+COUNTIF($K$2:K2152,K2152)-1)</f>
        <v/>
      </c>
    </row>
    <row r="2153">
      <c r="B2153" t="str">
        <f>IFERROR(IF(A2153="","","="&amp;SUBSTITUTE(SUBSTITUTE(SUBSTITUTE(A2153,"~","~~"),"*","~*"),"?","~?")),"")</f>
        <v/>
      </c>
      <c r="C2153" t="str">
        <f>IF($B2153="","",SUMIFS(dAmt,dCust,$B2153,dPer,"&gt;="&amp;pyFrom,dPer,"&lt;="&amp;pyTo,dAmt,"&gt;-1E+300",dFlt1,critFlt1,dFlt2,critFlt2,dFlt3,critFlt3))</f>
        <v/>
      </c>
      <c r="D2153" t="str">
        <f>IF($B2153="","",SUMIFS(dAmt,dCust,$B2153,dPer,"&gt;="&amp;cyFrom,dPer,"&lt;="&amp;cyTo,dAmt,"&gt;-1E+300",dFlt1,critFlt1,dFlt2,critFlt2,dFlt3,critFlt3))</f>
        <v/>
      </c>
      <c r="E2153" t="str">
        <f>IF($B2153="","",SUMIFS(dQty,dCust,$B2153,dPer,"&gt;="&amp;pyFrom,dPer,"&lt;="&amp;pyTo,dQty,"&gt;-1E+300",dFlt1,critFlt1,dFlt2,critFlt2,dFlt3,critFlt3))</f>
        <v/>
      </c>
      <c r="F2153" t="str">
        <f>IF($B2153="","",SUMIFS(dQty,dCust,$B2153,dPer,"&gt;="&amp;cyFrom,dPer,"&lt;="&amp;cyTo,dQty,"&gt;-1E+300",dFlt1,critFlt1,dFlt2,critFlt2,dFlt3,critFlt3))</f>
        <v/>
      </c>
      <c r="G2153">
        <f>IF($B2153="",0,IFERROR(IF(OR(C2153&lt;&gt;0,D2153&lt;&gt;0,E2153&lt;&gt;0,F2153&lt;&gt;0),1,0),1))</f>
        <v>0</v>
      </c>
      <c r="H2153" t="str">
        <f>IF(OR(G2153=0,E2153=0),"",C2153/E2153)</f>
        <v/>
      </c>
      <c r="I2153" t="str">
        <f>IF(OR(G2153=0,F2153=0),"",D2153/F2153)</f>
        <v/>
      </c>
      <c r="J2153" t="str">
        <f>IF(OR(H2153="",I2153=""),"",IF(H2153=0,"",I2153/H2153-1))</f>
        <v/>
      </c>
      <c r="K2153" t="str">
        <f>IF($B2153="","",IFERROR(IF(G2153=0,-2E+300,CHOOSE(sortIdx,ROUND(D2153,0),IF(J2153="",-1E+300,ROUND(-J2153,6)),IF(J2153="",-1E+300,ROUND(J2153,6)))),-1.5E+300))</f>
        <v/>
      </c>
      <c r="L2153" t="str">
        <f>IF(K2153="","",RANK(K2153,$K$2:$K$3001,0)+COUNTIF($K$2:K2153,K2153)-1)</f>
        <v/>
      </c>
    </row>
    <row r="2154">
      <c r="B2154" t="str">
        <f>IFERROR(IF(A2154="","","="&amp;SUBSTITUTE(SUBSTITUTE(SUBSTITUTE(A2154,"~","~~"),"*","~*"),"?","~?")),"")</f>
        <v/>
      </c>
      <c r="C2154" t="str">
        <f>IF($B2154="","",SUMIFS(dAmt,dCust,$B2154,dPer,"&gt;="&amp;pyFrom,dPer,"&lt;="&amp;pyTo,dAmt,"&gt;-1E+300",dFlt1,critFlt1,dFlt2,critFlt2,dFlt3,critFlt3))</f>
        <v/>
      </c>
      <c r="D2154" t="str">
        <f>IF($B2154="","",SUMIFS(dAmt,dCust,$B2154,dPer,"&gt;="&amp;cyFrom,dPer,"&lt;="&amp;cyTo,dAmt,"&gt;-1E+300",dFlt1,critFlt1,dFlt2,critFlt2,dFlt3,critFlt3))</f>
        <v/>
      </c>
      <c r="E2154" t="str">
        <f>IF($B2154="","",SUMIFS(dQty,dCust,$B2154,dPer,"&gt;="&amp;pyFrom,dPer,"&lt;="&amp;pyTo,dQty,"&gt;-1E+300",dFlt1,critFlt1,dFlt2,critFlt2,dFlt3,critFlt3))</f>
        <v/>
      </c>
      <c r="F2154" t="str">
        <f>IF($B2154="","",SUMIFS(dQty,dCust,$B2154,dPer,"&gt;="&amp;cyFrom,dPer,"&lt;="&amp;cyTo,dQty,"&gt;-1E+300",dFlt1,critFlt1,dFlt2,critFlt2,dFlt3,critFlt3))</f>
        <v/>
      </c>
      <c r="G2154">
        <f>IF($B2154="",0,IFERROR(IF(OR(C2154&lt;&gt;0,D2154&lt;&gt;0,E2154&lt;&gt;0,F2154&lt;&gt;0),1,0),1))</f>
        <v>0</v>
      </c>
      <c r="H2154" t="str">
        <f>IF(OR(G2154=0,E2154=0),"",C2154/E2154)</f>
        <v/>
      </c>
      <c r="I2154" t="str">
        <f>IF(OR(G2154=0,F2154=0),"",D2154/F2154)</f>
        <v/>
      </c>
      <c r="J2154" t="str">
        <f>IF(OR(H2154="",I2154=""),"",IF(H2154=0,"",I2154/H2154-1))</f>
        <v/>
      </c>
      <c r="K2154" t="str">
        <f>IF($B2154="","",IFERROR(IF(G2154=0,-2E+300,CHOOSE(sortIdx,ROUND(D2154,0),IF(J2154="",-1E+300,ROUND(-J2154,6)),IF(J2154="",-1E+300,ROUND(J2154,6)))),-1.5E+300))</f>
        <v/>
      </c>
      <c r="L2154" t="str">
        <f>IF(K2154="","",RANK(K2154,$K$2:$K$3001,0)+COUNTIF($K$2:K2154,K2154)-1)</f>
        <v/>
      </c>
    </row>
    <row r="2155">
      <c r="B2155" t="str">
        <f>IFERROR(IF(A2155="","","="&amp;SUBSTITUTE(SUBSTITUTE(SUBSTITUTE(A2155,"~","~~"),"*","~*"),"?","~?")),"")</f>
        <v/>
      </c>
      <c r="C2155" t="str">
        <f>IF($B2155="","",SUMIFS(dAmt,dCust,$B2155,dPer,"&gt;="&amp;pyFrom,dPer,"&lt;="&amp;pyTo,dAmt,"&gt;-1E+300",dFlt1,critFlt1,dFlt2,critFlt2,dFlt3,critFlt3))</f>
        <v/>
      </c>
      <c r="D2155" t="str">
        <f>IF($B2155="","",SUMIFS(dAmt,dCust,$B2155,dPer,"&gt;="&amp;cyFrom,dPer,"&lt;="&amp;cyTo,dAmt,"&gt;-1E+300",dFlt1,critFlt1,dFlt2,critFlt2,dFlt3,critFlt3))</f>
        <v/>
      </c>
      <c r="E2155" t="str">
        <f>IF($B2155="","",SUMIFS(dQty,dCust,$B2155,dPer,"&gt;="&amp;pyFrom,dPer,"&lt;="&amp;pyTo,dQty,"&gt;-1E+300",dFlt1,critFlt1,dFlt2,critFlt2,dFlt3,critFlt3))</f>
        <v/>
      </c>
      <c r="F2155" t="str">
        <f>IF($B2155="","",SUMIFS(dQty,dCust,$B2155,dPer,"&gt;="&amp;cyFrom,dPer,"&lt;="&amp;cyTo,dQty,"&gt;-1E+300",dFlt1,critFlt1,dFlt2,critFlt2,dFlt3,critFlt3))</f>
        <v/>
      </c>
      <c r="G2155">
        <f>IF($B2155="",0,IFERROR(IF(OR(C2155&lt;&gt;0,D2155&lt;&gt;0,E2155&lt;&gt;0,F2155&lt;&gt;0),1,0),1))</f>
        <v>0</v>
      </c>
      <c r="H2155" t="str">
        <f>IF(OR(G2155=0,E2155=0),"",C2155/E2155)</f>
        <v/>
      </c>
      <c r="I2155" t="str">
        <f>IF(OR(G2155=0,F2155=0),"",D2155/F2155)</f>
        <v/>
      </c>
      <c r="J2155" t="str">
        <f>IF(OR(H2155="",I2155=""),"",IF(H2155=0,"",I2155/H2155-1))</f>
        <v/>
      </c>
      <c r="K2155" t="str">
        <f>IF($B2155="","",IFERROR(IF(G2155=0,-2E+300,CHOOSE(sortIdx,ROUND(D2155,0),IF(J2155="",-1E+300,ROUND(-J2155,6)),IF(J2155="",-1E+300,ROUND(J2155,6)))),-1.5E+300))</f>
        <v/>
      </c>
      <c r="L2155" t="str">
        <f>IF(K2155="","",RANK(K2155,$K$2:$K$3001,0)+COUNTIF($K$2:K2155,K2155)-1)</f>
        <v/>
      </c>
    </row>
    <row r="2156">
      <c r="B2156" t="str">
        <f>IFERROR(IF(A2156="","","="&amp;SUBSTITUTE(SUBSTITUTE(SUBSTITUTE(A2156,"~","~~"),"*","~*"),"?","~?")),"")</f>
        <v/>
      </c>
      <c r="C2156" t="str">
        <f>IF($B2156="","",SUMIFS(dAmt,dCust,$B2156,dPer,"&gt;="&amp;pyFrom,dPer,"&lt;="&amp;pyTo,dAmt,"&gt;-1E+300",dFlt1,critFlt1,dFlt2,critFlt2,dFlt3,critFlt3))</f>
        <v/>
      </c>
      <c r="D2156" t="str">
        <f>IF($B2156="","",SUMIFS(dAmt,dCust,$B2156,dPer,"&gt;="&amp;cyFrom,dPer,"&lt;="&amp;cyTo,dAmt,"&gt;-1E+300",dFlt1,critFlt1,dFlt2,critFlt2,dFlt3,critFlt3))</f>
        <v/>
      </c>
      <c r="E2156" t="str">
        <f>IF($B2156="","",SUMIFS(dQty,dCust,$B2156,dPer,"&gt;="&amp;pyFrom,dPer,"&lt;="&amp;pyTo,dQty,"&gt;-1E+300",dFlt1,critFlt1,dFlt2,critFlt2,dFlt3,critFlt3))</f>
        <v/>
      </c>
      <c r="F2156" t="str">
        <f>IF($B2156="","",SUMIFS(dQty,dCust,$B2156,dPer,"&gt;="&amp;cyFrom,dPer,"&lt;="&amp;cyTo,dQty,"&gt;-1E+300",dFlt1,critFlt1,dFlt2,critFlt2,dFlt3,critFlt3))</f>
        <v/>
      </c>
      <c r="G2156">
        <f>IF($B2156="",0,IFERROR(IF(OR(C2156&lt;&gt;0,D2156&lt;&gt;0,E2156&lt;&gt;0,F2156&lt;&gt;0),1,0),1))</f>
        <v>0</v>
      </c>
      <c r="H2156" t="str">
        <f>IF(OR(G2156=0,E2156=0),"",C2156/E2156)</f>
        <v/>
      </c>
      <c r="I2156" t="str">
        <f>IF(OR(G2156=0,F2156=0),"",D2156/F2156)</f>
        <v/>
      </c>
      <c r="J2156" t="str">
        <f>IF(OR(H2156="",I2156=""),"",IF(H2156=0,"",I2156/H2156-1))</f>
        <v/>
      </c>
      <c r="K2156" t="str">
        <f>IF($B2156="","",IFERROR(IF(G2156=0,-2E+300,CHOOSE(sortIdx,ROUND(D2156,0),IF(J2156="",-1E+300,ROUND(-J2156,6)),IF(J2156="",-1E+300,ROUND(J2156,6)))),-1.5E+300))</f>
        <v/>
      </c>
      <c r="L2156" t="str">
        <f>IF(K2156="","",RANK(K2156,$K$2:$K$3001,0)+COUNTIF($K$2:K2156,K2156)-1)</f>
        <v/>
      </c>
    </row>
    <row r="2157">
      <c r="B2157" t="str">
        <f>IFERROR(IF(A2157="","","="&amp;SUBSTITUTE(SUBSTITUTE(SUBSTITUTE(A2157,"~","~~"),"*","~*"),"?","~?")),"")</f>
        <v/>
      </c>
      <c r="C2157" t="str">
        <f>IF($B2157="","",SUMIFS(dAmt,dCust,$B2157,dPer,"&gt;="&amp;pyFrom,dPer,"&lt;="&amp;pyTo,dAmt,"&gt;-1E+300",dFlt1,critFlt1,dFlt2,critFlt2,dFlt3,critFlt3))</f>
        <v/>
      </c>
      <c r="D2157" t="str">
        <f>IF($B2157="","",SUMIFS(dAmt,dCust,$B2157,dPer,"&gt;="&amp;cyFrom,dPer,"&lt;="&amp;cyTo,dAmt,"&gt;-1E+300",dFlt1,critFlt1,dFlt2,critFlt2,dFlt3,critFlt3))</f>
        <v/>
      </c>
      <c r="E2157" t="str">
        <f>IF($B2157="","",SUMIFS(dQty,dCust,$B2157,dPer,"&gt;="&amp;pyFrom,dPer,"&lt;="&amp;pyTo,dQty,"&gt;-1E+300",dFlt1,critFlt1,dFlt2,critFlt2,dFlt3,critFlt3))</f>
        <v/>
      </c>
      <c r="F2157" t="str">
        <f>IF($B2157="","",SUMIFS(dQty,dCust,$B2157,dPer,"&gt;="&amp;cyFrom,dPer,"&lt;="&amp;cyTo,dQty,"&gt;-1E+300",dFlt1,critFlt1,dFlt2,critFlt2,dFlt3,critFlt3))</f>
        <v/>
      </c>
      <c r="G2157">
        <f>IF($B2157="",0,IFERROR(IF(OR(C2157&lt;&gt;0,D2157&lt;&gt;0,E2157&lt;&gt;0,F2157&lt;&gt;0),1,0),1))</f>
        <v>0</v>
      </c>
      <c r="H2157" t="str">
        <f>IF(OR(G2157=0,E2157=0),"",C2157/E2157)</f>
        <v/>
      </c>
      <c r="I2157" t="str">
        <f>IF(OR(G2157=0,F2157=0),"",D2157/F2157)</f>
        <v/>
      </c>
      <c r="J2157" t="str">
        <f>IF(OR(H2157="",I2157=""),"",IF(H2157=0,"",I2157/H2157-1))</f>
        <v/>
      </c>
      <c r="K2157" t="str">
        <f>IF($B2157="","",IFERROR(IF(G2157=0,-2E+300,CHOOSE(sortIdx,ROUND(D2157,0),IF(J2157="",-1E+300,ROUND(-J2157,6)),IF(J2157="",-1E+300,ROUND(J2157,6)))),-1.5E+300))</f>
        <v/>
      </c>
      <c r="L2157" t="str">
        <f>IF(K2157="","",RANK(K2157,$K$2:$K$3001,0)+COUNTIF($K$2:K2157,K2157)-1)</f>
        <v/>
      </c>
    </row>
    <row r="2158">
      <c r="B2158" t="str">
        <f>IFERROR(IF(A2158="","","="&amp;SUBSTITUTE(SUBSTITUTE(SUBSTITUTE(A2158,"~","~~"),"*","~*"),"?","~?")),"")</f>
        <v/>
      </c>
      <c r="C2158" t="str">
        <f>IF($B2158="","",SUMIFS(dAmt,dCust,$B2158,dPer,"&gt;="&amp;pyFrom,dPer,"&lt;="&amp;pyTo,dAmt,"&gt;-1E+300",dFlt1,critFlt1,dFlt2,critFlt2,dFlt3,critFlt3))</f>
        <v/>
      </c>
      <c r="D2158" t="str">
        <f>IF($B2158="","",SUMIFS(dAmt,dCust,$B2158,dPer,"&gt;="&amp;cyFrom,dPer,"&lt;="&amp;cyTo,dAmt,"&gt;-1E+300",dFlt1,critFlt1,dFlt2,critFlt2,dFlt3,critFlt3))</f>
        <v/>
      </c>
      <c r="E2158" t="str">
        <f>IF($B2158="","",SUMIFS(dQty,dCust,$B2158,dPer,"&gt;="&amp;pyFrom,dPer,"&lt;="&amp;pyTo,dQty,"&gt;-1E+300",dFlt1,critFlt1,dFlt2,critFlt2,dFlt3,critFlt3))</f>
        <v/>
      </c>
      <c r="F2158" t="str">
        <f>IF($B2158="","",SUMIFS(dQty,dCust,$B2158,dPer,"&gt;="&amp;cyFrom,dPer,"&lt;="&amp;cyTo,dQty,"&gt;-1E+300",dFlt1,critFlt1,dFlt2,critFlt2,dFlt3,critFlt3))</f>
        <v/>
      </c>
      <c r="G2158">
        <f>IF($B2158="",0,IFERROR(IF(OR(C2158&lt;&gt;0,D2158&lt;&gt;0,E2158&lt;&gt;0,F2158&lt;&gt;0),1,0),1))</f>
        <v>0</v>
      </c>
      <c r="H2158" t="str">
        <f>IF(OR(G2158=0,E2158=0),"",C2158/E2158)</f>
        <v/>
      </c>
      <c r="I2158" t="str">
        <f>IF(OR(G2158=0,F2158=0),"",D2158/F2158)</f>
        <v/>
      </c>
      <c r="J2158" t="str">
        <f>IF(OR(H2158="",I2158=""),"",IF(H2158=0,"",I2158/H2158-1))</f>
        <v/>
      </c>
      <c r="K2158" t="str">
        <f>IF($B2158="","",IFERROR(IF(G2158=0,-2E+300,CHOOSE(sortIdx,ROUND(D2158,0),IF(J2158="",-1E+300,ROUND(-J2158,6)),IF(J2158="",-1E+300,ROUND(J2158,6)))),-1.5E+300))</f>
        <v/>
      </c>
      <c r="L2158" t="str">
        <f>IF(K2158="","",RANK(K2158,$K$2:$K$3001,0)+COUNTIF($K$2:K2158,K2158)-1)</f>
        <v/>
      </c>
    </row>
    <row r="2159">
      <c r="B2159" t="str">
        <f>IFERROR(IF(A2159="","","="&amp;SUBSTITUTE(SUBSTITUTE(SUBSTITUTE(A2159,"~","~~"),"*","~*"),"?","~?")),"")</f>
        <v/>
      </c>
      <c r="C2159" t="str">
        <f>IF($B2159="","",SUMIFS(dAmt,dCust,$B2159,dPer,"&gt;="&amp;pyFrom,dPer,"&lt;="&amp;pyTo,dAmt,"&gt;-1E+300",dFlt1,critFlt1,dFlt2,critFlt2,dFlt3,critFlt3))</f>
        <v/>
      </c>
      <c r="D2159" t="str">
        <f>IF($B2159="","",SUMIFS(dAmt,dCust,$B2159,dPer,"&gt;="&amp;cyFrom,dPer,"&lt;="&amp;cyTo,dAmt,"&gt;-1E+300",dFlt1,critFlt1,dFlt2,critFlt2,dFlt3,critFlt3))</f>
        <v/>
      </c>
      <c r="E2159" t="str">
        <f>IF($B2159="","",SUMIFS(dQty,dCust,$B2159,dPer,"&gt;="&amp;pyFrom,dPer,"&lt;="&amp;pyTo,dQty,"&gt;-1E+300",dFlt1,critFlt1,dFlt2,critFlt2,dFlt3,critFlt3))</f>
        <v/>
      </c>
      <c r="F2159" t="str">
        <f>IF($B2159="","",SUMIFS(dQty,dCust,$B2159,dPer,"&gt;="&amp;cyFrom,dPer,"&lt;="&amp;cyTo,dQty,"&gt;-1E+300",dFlt1,critFlt1,dFlt2,critFlt2,dFlt3,critFlt3))</f>
        <v/>
      </c>
      <c r="G2159">
        <f>IF($B2159="",0,IFERROR(IF(OR(C2159&lt;&gt;0,D2159&lt;&gt;0,E2159&lt;&gt;0,F2159&lt;&gt;0),1,0),1))</f>
        <v>0</v>
      </c>
      <c r="H2159" t="str">
        <f>IF(OR(G2159=0,E2159=0),"",C2159/E2159)</f>
        <v/>
      </c>
      <c r="I2159" t="str">
        <f>IF(OR(G2159=0,F2159=0),"",D2159/F2159)</f>
        <v/>
      </c>
      <c r="J2159" t="str">
        <f>IF(OR(H2159="",I2159=""),"",IF(H2159=0,"",I2159/H2159-1))</f>
        <v/>
      </c>
      <c r="K2159" t="str">
        <f>IF($B2159="","",IFERROR(IF(G2159=0,-2E+300,CHOOSE(sortIdx,ROUND(D2159,0),IF(J2159="",-1E+300,ROUND(-J2159,6)),IF(J2159="",-1E+300,ROUND(J2159,6)))),-1.5E+300))</f>
        <v/>
      </c>
      <c r="L2159" t="str">
        <f>IF(K2159="","",RANK(K2159,$K$2:$K$3001,0)+COUNTIF($K$2:K2159,K2159)-1)</f>
        <v/>
      </c>
    </row>
    <row r="2160">
      <c r="B2160" t="str">
        <f>IFERROR(IF(A2160="","","="&amp;SUBSTITUTE(SUBSTITUTE(SUBSTITUTE(A2160,"~","~~"),"*","~*"),"?","~?")),"")</f>
        <v/>
      </c>
      <c r="C2160" t="str">
        <f>IF($B2160="","",SUMIFS(dAmt,dCust,$B2160,dPer,"&gt;="&amp;pyFrom,dPer,"&lt;="&amp;pyTo,dAmt,"&gt;-1E+300",dFlt1,critFlt1,dFlt2,critFlt2,dFlt3,critFlt3))</f>
        <v/>
      </c>
      <c r="D2160" t="str">
        <f>IF($B2160="","",SUMIFS(dAmt,dCust,$B2160,dPer,"&gt;="&amp;cyFrom,dPer,"&lt;="&amp;cyTo,dAmt,"&gt;-1E+300",dFlt1,critFlt1,dFlt2,critFlt2,dFlt3,critFlt3))</f>
        <v/>
      </c>
      <c r="E2160" t="str">
        <f>IF($B2160="","",SUMIFS(dQty,dCust,$B2160,dPer,"&gt;="&amp;pyFrom,dPer,"&lt;="&amp;pyTo,dQty,"&gt;-1E+300",dFlt1,critFlt1,dFlt2,critFlt2,dFlt3,critFlt3))</f>
        <v/>
      </c>
      <c r="F2160" t="str">
        <f>IF($B2160="","",SUMIFS(dQty,dCust,$B2160,dPer,"&gt;="&amp;cyFrom,dPer,"&lt;="&amp;cyTo,dQty,"&gt;-1E+300",dFlt1,critFlt1,dFlt2,critFlt2,dFlt3,critFlt3))</f>
        <v/>
      </c>
      <c r="G2160">
        <f>IF($B2160="",0,IFERROR(IF(OR(C2160&lt;&gt;0,D2160&lt;&gt;0,E2160&lt;&gt;0,F2160&lt;&gt;0),1,0),1))</f>
        <v>0</v>
      </c>
      <c r="H2160" t="str">
        <f>IF(OR(G2160=0,E2160=0),"",C2160/E2160)</f>
        <v/>
      </c>
      <c r="I2160" t="str">
        <f>IF(OR(G2160=0,F2160=0),"",D2160/F2160)</f>
        <v/>
      </c>
      <c r="J2160" t="str">
        <f>IF(OR(H2160="",I2160=""),"",IF(H2160=0,"",I2160/H2160-1))</f>
        <v/>
      </c>
      <c r="K2160" t="str">
        <f>IF($B2160="","",IFERROR(IF(G2160=0,-2E+300,CHOOSE(sortIdx,ROUND(D2160,0),IF(J2160="",-1E+300,ROUND(-J2160,6)),IF(J2160="",-1E+300,ROUND(J2160,6)))),-1.5E+300))</f>
        <v/>
      </c>
      <c r="L2160" t="str">
        <f>IF(K2160="","",RANK(K2160,$K$2:$K$3001,0)+COUNTIF($K$2:K2160,K2160)-1)</f>
        <v/>
      </c>
    </row>
    <row r="2161">
      <c r="B2161" t="str">
        <f>IFERROR(IF(A2161="","","="&amp;SUBSTITUTE(SUBSTITUTE(SUBSTITUTE(A2161,"~","~~"),"*","~*"),"?","~?")),"")</f>
        <v/>
      </c>
      <c r="C2161" t="str">
        <f>IF($B2161="","",SUMIFS(dAmt,dCust,$B2161,dPer,"&gt;="&amp;pyFrom,dPer,"&lt;="&amp;pyTo,dAmt,"&gt;-1E+300",dFlt1,critFlt1,dFlt2,critFlt2,dFlt3,critFlt3))</f>
        <v/>
      </c>
      <c r="D2161" t="str">
        <f>IF($B2161="","",SUMIFS(dAmt,dCust,$B2161,dPer,"&gt;="&amp;cyFrom,dPer,"&lt;="&amp;cyTo,dAmt,"&gt;-1E+300",dFlt1,critFlt1,dFlt2,critFlt2,dFlt3,critFlt3))</f>
        <v/>
      </c>
      <c r="E2161" t="str">
        <f>IF($B2161="","",SUMIFS(dQty,dCust,$B2161,dPer,"&gt;="&amp;pyFrom,dPer,"&lt;="&amp;pyTo,dQty,"&gt;-1E+300",dFlt1,critFlt1,dFlt2,critFlt2,dFlt3,critFlt3))</f>
        <v/>
      </c>
      <c r="F2161" t="str">
        <f>IF($B2161="","",SUMIFS(dQty,dCust,$B2161,dPer,"&gt;="&amp;cyFrom,dPer,"&lt;="&amp;cyTo,dQty,"&gt;-1E+300",dFlt1,critFlt1,dFlt2,critFlt2,dFlt3,critFlt3))</f>
        <v/>
      </c>
      <c r="G2161">
        <f>IF($B2161="",0,IFERROR(IF(OR(C2161&lt;&gt;0,D2161&lt;&gt;0,E2161&lt;&gt;0,F2161&lt;&gt;0),1,0),1))</f>
        <v>0</v>
      </c>
      <c r="H2161" t="str">
        <f>IF(OR(G2161=0,E2161=0),"",C2161/E2161)</f>
        <v/>
      </c>
      <c r="I2161" t="str">
        <f>IF(OR(G2161=0,F2161=0),"",D2161/F2161)</f>
        <v/>
      </c>
      <c r="J2161" t="str">
        <f>IF(OR(H2161="",I2161=""),"",IF(H2161=0,"",I2161/H2161-1))</f>
        <v/>
      </c>
      <c r="K2161" t="str">
        <f>IF($B2161="","",IFERROR(IF(G2161=0,-2E+300,CHOOSE(sortIdx,ROUND(D2161,0),IF(J2161="",-1E+300,ROUND(-J2161,6)),IF(J2161="",-1E+300,ROUND(J2161,6)))),-1.5E+300))</f>
        <v/>
      </c>
      <c r="L2161" t="str">
        <f>IF(K2161="","",RANK(K2161,$K$2:$K$3001,0)+COUNTIF($K$2:K2161,K2161)-1)</f>
        <v/>
      </c>
    </row>
    <row r="2162">
      <c r="B2162" t="str">
        <f>IFERROR(IF(A2162="","","="&amp;SUBSTITUTE(SUBSTITUTE(SUBSTITUTE(A2162,"~","~~"),"*","~*"),"?","~?")),"")</f>
        <v/>
      </c>
      <c r="C2162" t="str">
        <f>IF($B2162="","",SUMIFS(dAmt,dCust,$B2162,dPer,"&gt;="&amp;pyFrom,dPer,"&lt;="&amp;pyTo,dAmt,"&gt;-1E+300",dFlt1,critFlt1,dFlt2,critFlt2,dFlt3,critFlt3))</f>
        <v/>
      </c>
      <c r="D2162" t="str">
        <f>IF($B2162="","",SUMIFS(dAmt,dCust,$B2162,dPer,"&gt;="&amp;cyFrom,dPer,"&lt;="&amp;cyTo,dAmt,"&gt;-1E+300",dFlt1,critFlt1,dFlt2,critFlt2,dFlt3,critFlt3))</f>
        <v/>
      </c>
      <c r="E2162" t="str">
        <f>IF($B2162="","",SUMIFS(dQty,dCust,$B2162,dPer,"&gt;="&amp;pyFrom,dPer,"&lt;="&amp;pyTo,dQty,"&gt;-1E+300",dFlt1,critFlt1,dFlt2,critFlt2,dFlt3,critFlt3))</f>
        <v/>
      </c>
      <c r="F2162" t="str">
        <f>IF($B2162="","",SUMIFS(dQty,dCust,$B2162,dPer,"&gt;="&amp;cyFrom,dPer,"&lt;="&amp;cyTo,dQty,"&gt;-1E+300",dFlt1,critFlt1,dFlt2,critFlt2,dFlt3,critFlt3))</f>
        <v/>
      </c>
      <c r="G2162">
        <f>IF($B2162="",0,IFERROR(IF(OR(C2162&lt;&gt;0,D2162&lt;&gt;0,E2162&lt;&gt;0,F2162&lt;&gt;0),1,0),1))</f>
        <v>0</v>
      </c>
      <c r="H2162" t="str">
        <f>IF(OR(G2162=0,E2162=0),"",C2162/E2162)</f>
        <v/>
      </c>
      <c r="I2162" t="str">
        <f>IF(OR(G2162=0,F2162=0),"",D2162/F2162)</f>
        <v/>
      </c>
      <c r="J2162" t="str">
        <f>IF(OR(H2162="",I2162=""),"",IF(H2162=0,"",I2162/H2162-1))</f>
        <v/>
      </c>
      <c r="K2162" t="str">
        <f>IF($B2162="","",IFERROR(IF(G2162=0,-2E+300,CHOOSE(sortIdx,ROUND(D2162,0),IF(J2162="",-1E+300,ROUND(-J2162,6)),IF(J2162="",-1E+300,ROUND(J2162,6)))),-1.5E+300))</f>
        <v/>
      </c>
      <c r="L2162" t="str">
        <f>IF(K2162="","",RANK(K2162,$K$2:$K$3001,0)+COUNTIF($K$2:K2162,K2162)-1)</f>
        <v/>
      </c>
    </row>
    <row r="2163">
      <c r="B2163" t="str">
        <f>IFERROR(IF(A2163="","","="&amp;SUBSTITUTE(SUBSTITUTE(SUBSTITUTE(A2163,"~","~~"),"*","~*"),"?","~?")),"")</f>
        <v/>
      </c>
      <c r="C2163" t="str">
        <f>IF($B2163="","",SUMIFS(dAmt,dCust,$B2163,dPer,"&gt;="&amp;pyFrom,dPer,"&lt;="&amp;pyTo,dAmt,"&gt;-1E+300",dFlt1,critFlt1,dFlt2,critFlt2,dFlt3,critFlt3))</f>
        <v/>
      </c>
      <c r="D2163" t="str">
        <f>IF($B2163="","",SUMIFS(dAmt,dCust,$B2163,dPer,"&gt;="&amp;cyFrom,dPer,"&lt;="&amp;cyTo,dAmt,"&gt;-1E+300",dFlt1,critFlt1,dFlt2,critFlt2,dFlt3,critFlt3))</f>
        <v/>
      </c>
      <c r="E2163" t="str">
        <f>IF($B2163="","",SUMIFS(dQty,dCust,$B2163,dPer,"&gt;="&amp;pyFrom,dPer,"&lt;="&amp;pyTo,dQty,"&gt;-1E+300",dFlt1,critFlt1,dFlt2,critFlt2,dFlt3,critFlt3))</f>
        <v/>
      </c>
      <c r="F2163" t="str">
        <f>IF($B2163="","",SUMIFS(dQty,dCust,$B2163,dPer,"&gt;="&amp;cyFrom,dPer,"&lt;="&amp;cyTo,dQty,"&gt;-1E+300",dFlt1,critFlt1,dFlt2,critFlt2,dFlt3,critFlt3))</f>
        <v/>
      </c>
      <c r="G2163">
        <f>IF($B2163="",0,IFERROR(IF(OR(C2163&lt;&gt;0,D2163&lt;&gt;0,E2163&lt;&gt;0,F2163&lt;&gt;0),1,0),1))</f>
        <v>0</v>
      </c>
      <c r="H2163" t="str">
        <f>IF(OR(G2163=0,E2163=0),"",C2163/E2163)</f>
        <v/>
      </c>
      <c r="I2163" t="str">
        <f>IF(OR(G2163=0,F2163=0),"",D2163/F2163)</f>
        <v/>
      </c>
      <c r="J2163" t="str">
        <f>IF(OR(H2163="",I2163=""),"",IF(H2163=0,"",I2163/H2163-1))</f>
        <v/>
      </c>
      <c r="K2163" t="str">
        <f>IF($B2163="","",IFERROR(IF(G2163=0,-2E+300,CHOOSE(sortIdx,ROUND(D2163,0),IF(J2163="",-1E+300,ROUND(-J2163,6)),IF(J2163="",-1E+300,ROUND(J2163,6)))),-1.5E+300))</f>
        <v/>
      </c>
      <c r="L2163" t="str">
        <f>IF(K2163="","",RANK(K2163,$K$2:$K$3001,0)+COUNTIF($K$2:K2163,K2163)-1)</f>
        <v/>
      </c>
    </row>
    <row r="2164">
      <c r="B2164" t="str">
        <f>IFERROR(IF(A2164="","","="&amp;SUBSTITUTE(SUBSTITUTE(SUBSTITUTE(A2164,"~","~~"),"*","~*"),"?","~?")),"")</f>
        <v/>
      </c>
      <c r="C2164" t="str">
        <f>IF($B2164="","",SUMIFS(dAmt,dCust,$B2164,dPer,"&gt;="&amp;pyFrom,dPer,"&lt;="&amp;pyTo,dAmt,"&gt;-1E+300",dFlt1,critFlt1,dFlt2,critFlt2,dFlt3,critFlt3))</f>
        <v/>
      </c>
      <c r="D2164" t="str">
        <f>IF($B2164="","",SUMIFS(dAmt,dCust,$B2164,dPer,"&gt;="&amp;cyFrom,dPer,"&lt;="&amp;cyTo,dAmt,"&gt;-1E+300",dFlt1,critFlt1,dFlt2,critFlt2,dFlt3,critFlt3))</f>
        <v/>
      </c>
      <c r="E2164" t="str">
        <f>IF($B2164="","",SUMIFS(dQty,dCust,$B2164,dPer,"&gt;="&amp;pyFrom,dPer,"&lt;="&amp;pyTo,dQty,"&gt;-1E+300",dFlt1,critFlt1,dFlt2,critFlt2,dFlt3,critFlt3))</f>
        <v/>
      </c>
      <c r="F2164" t="str">
        <f>IF($B2164="","",SUMIFS(dQty,dCust,$B2164,dPer,"&gt;="&amp;cyFrom,dPer,"&lt;="&amp;cyTo,dQty,"&gt;-1E+300",dFlt1,critFlt1,dFlt2,critFlt2,dFlt3,critFlt3))</f>
        <v/>
      </c>
      <c r="G2164">
        <f>IF($B2164="",0,IFERROR(IF(OR(C2164&lt;&gt;0,D2164&lt;&gt;0,E2164&lt;&gt;0,F2164&lt;&gt;0),1,0),1))</f>
        <v>0</v>
      </c>
      <c r="H2164" t="str">
        <f>IF(OR(G2164=0,E2164=0),"",C2164/E2164)</f>
        <v/>
      </c>
      <c r="I2164" t="str">
        <f>IF(OR(G2164=0,F2164=0),"",D2164/F2164)</f>
        <v/>
      </c>
      <c r="J2164" t="str">
        <f>IF(OR(H2164="",I2164=""),"",IF(H2164=0,"",I2164/H2164-1))</f>
        <v/>
      </c>
      <c r="K2164" t="str">
        <f>IF($B2164="","",IFERROR(IF(G2164=0,-2E+300,CHOOSE(sortIdx,ROUND(D2164,0),IF(J2164="",-1E+300,ROUND(-J2164,6)),IF(J2164="",-1E+300,ROUND(J2164,6)))),-1.5E+300))</f>
        <v/>
      </c>
      <c r="L2164" t="str">
        <f>IF(K2164="","",RANK(K2164,$K$2:$K$3001,0)+COUNTIF($K$2:K2164,K2164)-1)</f>
        <v/>
      </c>
    </row>
    <row r="2165">
      <c r="B2165" t="str">
        <f>IFERROR(IF(A2165="","","="&amp;SUBSTITUTE(SUBSTITUTE(SUBSTITUTE(A2165,"~","~~"),"*","~*"),"?","~?")),"")</f>
        <v/>
      </c>
      <c r="C2165" t="str">
        <f>IF($B2165="","",SUMIFS(dAmt,dCust,$B2165,dPer,"&gt;="&amp;pyFrom,dPer,"&lt;="&amp;pyTo,dAmt,"&gt;-1E+300",dFlt1,critFlt1,dFlt2,critFlt2,dFlt3,critFlt3))</f>
        <v/>
      </c>
      <c r="D2165" t="str">
        <f>IF($B2165="","",SUMIFS(dAmt,dCust,$B2165,dPer,"&gt;="&amp;cyFrom,dPer,"&lt;="&amp;cyTo,dAmt,"&gt;-1E+300",dFlt1,critFlt1,dFlt2,critFlt2,dFlt3,critFlt3))</f>
        <v/>
      </c>
      <c r="E2165" t="str">
        <f>IF($B2165="","",SUMIFS(dQty,dCust,$B2165,dPer,"&gt;="&amp;pyFrom,dPer,"&lt;="&amp;pyTo,dQty,"&gt;-1E+300",dFlt1,critFlt1,dFlt2,critFlt2,dFlt3,critFlt3))</f>
        <v/>
      </c>
      <c r="F2165" t="str">
        <f>IF($B2165="","",SUMIFS(dQty,dCust,$B2165,dPer,"&gt;="&amp;cyFrom,dPer,"&lt;="&amp;cyTo,dQty,"&gt;-1E+300",dFlt1,critFlt1,dFlt2,critFlt2,dFlt3,critFlt3))</f>
        <v/>
      </c>
      <c r="G2165">
        <f>IF($B2165="",0,IFERROR(IF(OR(C2165&lt;&gt;0,D2165&lt;&gt;0,E2165&lt;&gt;0,F2165&lt;&gt;0),1,0),1))</f>
        <v>0</v>
      </c>
      <c r="H2165" t="str">
        <f>IF(OR(G2165=0,E2165=0),"",C2165/E2165)</f>
        <v/>
      </c>
      <c r="I2165" t="str">
        <f>IF(OR(G2165=0,F2165=0),"",D2165/F2165)</f>
        <v/>
      </c>
      <c r="J2165" t="str">
        <f>IF(OR(H2165="",I2165=""),"",IF(H2165=0,"",I2165/H2165-1))</f>
        <v/>
      </c>
      <c r="K2165" t="str">
        <f>IF($B2165="","",IFERROR(IF(G2165=0,-2E+300,CHOOSE(sortIdx,ROUND(D2165,0),IF(J2165="",-1E+300,ROUND(-J2165,6)),IF(J2165="",-1E+300,ROUND(J2165,6)))),-1.5E+300))</f>
        <v/>
      </c>
      <c r="L2165" t="str">
        <f>IF(K2165="","",RANK(K2165,$K$2:$K$3001,0)+COUNTIF($K$2:K2165,K2165)-1)</f>
        <v/>
      </c>
    </row>
    <row r="2166">
      <c r="B2166" t="str">
        <f>IFERROR(IF(A2166="","","="&amp;SUBSTITUTE(SUBSTITUTE(SUBSTITUTE(A2166,"~","~~"),"*","~*"),"?","~?")),"")</f>
        <v/>
      </c>
      <c r="C2166" t="str">
        <f>IF($B2166="","",SUMIFS(dAmt,dCust,$B2166,dPer,"&gt;="&amp;pyFrom,dPer,"&lt;="&amp;pyTo,dAmt,"&gt;-1E+300",dFlt1,critFlt1,dFlt2,critFlt2,dFlt3,critFlt3))</f>
        <v/>
      </c>
      <c r="D2166" t="str">
        <f>IF($B2166="","",SUMIFS(dAmt,dCust,$B2166,dPer,"&gt;="&amp;cyFrom,dPer,"&lt;="&amp;cyTo,dAmt,"&gt;-1E+300",dFlt1,critFlt1,dFlt2,critFlt2,dFlt3,critFlt3))</f>
        <v/>
      </c>
      <c r="E2166" t="str">
        <f>IF($B2166="","",SUMIFS(dQty,dCust,$B2166,dPer,"&gt;="&amp;pyFrom,dPer,"&lt;="&amp;pyTo,dQty,"&gt;-1E+300",dFlt1,critFlt1,dFlt2,critFlt2,dFlt3,critFlt3))</f>
        <v/>
      </c>
      <c r="F2166" t="str">
        <f>IF($B2166="","",SUMIFS(dQty,dCust,$B2166,dPer,"&gt;="&amp;cyFrom,dPer,"&lt;="&amp;cyTo,dQty,"&gt;-1E+300",dFlt1,critFlt1,dFlt2,critFlt2,dFlt3,critFlt3))</f>
        <v/>
      </c>
      <c r="G2166">
        <f>IF($B2166="",0,IFERROR(IF(OR(C2166&lt;&gt;0,D2166&lt;&gt;0,E2166&lt;&gt;0,F2166&lt;&gt;0),1,0),1))</f>
        <v>0</v>
      </c>
      <c r="H2166" t="str">
        <f>IF(OR(G2166=0,E2166=0),"",C2166/E2166)</f>
        <v/>
      </c>
      <c r="I2166" t="str">
        <f>IF(OR(G2166=0,F2166=0),"",D2166/F2166)</f>
        <v/>
      </c>
      <c r="J2166" t="str">
        <f>IF(OR(H2166="",I2166=""),"",IF(H2166=0,"",I2166/H2166-1))</f>
        <v/>
      </c>
      <c r="K2166" t="str">
        <f>IF($B2166="","",IFERROR(IF(G2166=0,-2E+300,CHOOSE(sortIdx,ROUND(D2166,0),IF(J2166="",-1E+300,ROUND(-J2166,6)),IF(J2166="",-1E+300,ROUND(J2166,6)))),-1.5E+300))</f>
        <v/>
      </c>
      <c r="L2166" t="str">
        <f>IF(K2166="","",RANK(K2166,$K$2:$K$3001,0)+COUNTIF($K$2:K2166,K2166)-1)</f>
        <v/>
      </c>
    </row>
    <row r="2167">
      <c r="B2167" t="str">
        <f>IFERROR(IF(A2167="","","="&amp;SUBSTITUTE(SUBSTITUTE(SUBSTITUTE(A2167,"~","~~"),"*","~*"),"?","~?")),"")</f>
        <v/>
      </c>
      <c r="C2167" t="str">
        <f>IF($B2167="","",SUMIFS(dAmt,dCust,$B2167,dPer,"&gt;="&amp;pyFrom,dPer,"&lt;="&amp;pyTo,dAmt,"&gt;-1E+300",dFlt1,critFlt1,dFlt2,critFlt2,dFlt3,critFlt3))</f>
        <v/>
      </c>
      <c r="D2167" t="str">
        <f>IF($B2167="","",SUMIFS(dAmt,dCust,$B2167,dPer,"&gt;="&amp;cyFrom,dPer,"&lt;="&amp;cyTo,dAmt,"&gt;-1E+300",dFlt1,critFlt1,dFlt2,critFlt2,dFlt3,critFlt3))</f>
        <v/>
      </c>
      <c r="E2167" t="str">
        <f>IF($B2167="","",SUMIFS(dQty,dCust,$B2167,dPer,"&gt;="&amp;pyFrom,dPer,"&lt;="&amp;pyTo,dQty,"&gt;-1E+300",dFlt1,critFlt1,dFlt2,critFlt2,dFlt3,critFlt3))</f>
        <v/>
      </c>
      <c r="F2167" t="str">
        <f>IF($B2167="","",SUMIFS(dQty,dCust,$B2167,dPer,"&gt;="&amp;cyFrom,dPer,"&lt;="&amp;cyTo,dQty,"&gt;-1E+300",dFlt1,critFlt1,dFlt2,critFlt2,dFlt3,critFlt3))</f>
        <v/>
      </c>
      <c r="G2167">
        <f>IF($B2167="",0,IFERROR(IF(OR(C2167&lt;&gt;0,D2167&lt;&gt;0,E2167&lt;&gt;0,F2167&lt;&gt;0),1,0),1))</f>
        <v>0</v>
      </c>
      <c r="H2167" t="str">
        <f>IF(OR(G2167=0,E2167=0),"",C2167/E2167)</f>
        <v/>
      </c>
      <c r="I2167" t="str">
        <f>IF(OR(G2167=0,F2167=0),"",D2167/F2167)</f>
        <v/>
      </c>
      <c r="J2167" t="str">
        <f>IF(OR(H2167="",I2167=""),"",IF(H2167=0,"",I2167/H2167-1))</f>
        <v/>
      </c>
      <c r="K2167" t="str">
        <f>IF($B2167="","",IFERROR(IF(G2167=0,-2E+300,CHOOSE(sortIdx,ROUND(D2167,0),IF(J2167="",-1E+300,ROUND(-J2167,6)),IF(J2167="",-1E+300,ROUND(J2167,6)))),-1.5E+300))</f>
        <v/>
      </c>
      <c r="L2167" t="str">
        <f>IF(K2167="","",RANK(K2167,$K$2:$K$3001,0)+COUNTIF($K$2:K2167,K2167)-1)</f>
        <v/>
      </c>
    </row>
    <row r="2168">
      <c r="B2168" t="str">
        <f>IFERROR(IF(A2168="","","="&amp;SUBSTITUTE(SUBSTITUTE(SUBSTITUTE(A2168,"~","~~"),"*","~*"),"?","~?")),"")</f>
        <v/>
      </c>
      <c r="C2168" t="str">
        <f>IF($B2168="","",SUMIFS(dAmt,dCust,$B2168,dPer,"&gt;="&amp;pyFrom,dPer,"&lt;="&amp;pyTo,dAmt,"&gt;-1E+300",dFlt1,critFlt1,dFlt2,critFlt2,dFlt3,critFlt3))</f>
        <v/>
      </c>
      <c r="D2168" t="str">
        <f>IF($B2168="","",SUMIFS(dAmt,dCust,$B2168,dPer,"&gt;="&amp;cyFrom,dPer,"&lt;="&amp;cyTo,dAmt,"&gt;-1E+300",dFlt1,critFlt1,dFlt2,critFlt2,dFlt3,critFlt3))</f>
        <v/>
      </c>
      <c r="E2168" t="str">
        <f>IF($B2168="","",SUMIFS(dQty,dCust,$B2168,dPer,"&gt;="&amp;pyFrom,dPer,"&lt;="&amp;pyTo,dQty,"&gt;-1E+300",dFlt1,critFlt1,dFlt2,critFlt2,dFlt3,critFlt3))</f>
        <v/>
      </c>
      <c r="F2168" t="str">
        <f>IF($B2168="","",SUMIFS(dQty,dCust,$B2168,dPer,"&gt;="&amp;cyFrom,dPer,"&lt;="&amp;cyTo,dQty,"&gt;-1E+300",dFlt1,critFlt1,dFlt2,critFlt2,dFlt3,critFlt3))</f>
        <v/>
      </c>
      <c r="G2168">
        <f>IF($B2168="",0,IFERROR(IF(OR(C2168&lt;&gt;0,D2168&lt;&gt;0,E2168&lt;&gt;0,F2168&lt;&gt;0),1,0),1))</f>
        <v>0</v>
      </c>
      <c r="H2168" t="str">
        <f>IF(OR(G2168=0,E2168=0),"",C2168/E2168)</f>
        <v/>
      </c>
      <c r="I2168" t="str">
        <f>IF(OR(G2168=0,F2168=0),"",D2168/F2168)</f>
        <v/>
      </c>
      <c r="J2168" t="str">
        <f>IF(OR(H2168="",I2168=""),"",IF(H2168=0,"",I2168/H2168-1))</f>
        <v/>
      </c>
      <c r="K2168" t="str">
        <f>IF($B2168="","",IFERROR(IF(G2168=0,-2E+300,CHOOSE(sortIdx,ROUND(D2168,0),IF(J2168="",-1E+300,ROUND(-J2168,6)),IF(J2168="",-1E+300,ROUND(J2168,6)))),-1.5E+300))</f>
        <v/>
      </c>
      <c r="L2168" t="str">
        <f>IF(K2168="","",RANK(K2168,$K$2:$K$3001,0)+COUNTIF($K$2:K2168,K2168)-1)</f>
        <v/>
      </c>
    </row>
    <row r="2169">
      <c r="B2169" t="str">
        <f>IFERROR(IF(A2169="","","="&amp;SUBSTITUTE(SUBSTITUTE(SUBSTITUTE(A2169,"~","~~"),"*","~*"),"?","~?")),"")</f>
        <v/>
      </c>
      <c r="C2169" t="str">
        <f>IF($B2169="","",SUMIFS(dAmt,dCust,$B2169,dPer,"&gt;="&amp;pyFrom,dPer,"&lt;="&amp;pyTo,dAmt,"&gt;-1E+300",dFlt1,critFlt1,dFlt2,critFlt2,dFlt3,critFlt3))</f>
        <v/>
      </c>
      <c r="D2169" t="str">
        <f>IF($B2169="","",SUMIFS(dAmt,dCust,$B2169,dPer,"&gt;="&amp;cyFrom,dPer,"&lt;="&amp;cyTo,dAmt,"&gt;-1E+300",dFlt1,critFlt1,dFlt2,critFlt2,dFlt3,critFlt3))</f>
        <v/>
      </c>
      <c r="E2169" t="str">
        <f>IF($B2169="","",SUMIFS(dQty,dCust,$B2169,dPer,"&gt;="&amp;pyFrom,dPer,"&lt;="&amp;pyTo,dQty,"&gt;-1E+300",dFlt1,critFlt1,dFlt2,critFlt2,dFlt3,critFlt3))</f>
        <v/>
      </c>
      <c r="F2169" t="str">
        <f>IF($B2169="","",SUMIFS(dQty,dCust,$B2169,dPer,"&gt;="&amp;cyFrom,dPer,"&lt;="&amp;cyTo,dQty,"&gt;-1E+300",dFlt1,critFlt1,dFlt2,critFlt2,dFlt3,critFlt3))</f>
        <v/>
      </c>
      <c r="G2169">
        <f>IF($B2169="",0,IFERROR(IF(OR(C2169&lt;&gt;0,D2169&lt;&gt;0,E2169&lt;&gt;0,F2169&lt;&gt;0),1,0),1))</f>
        <v>0</v>
      </c>
      <c r="H2169" t="str">
        <f>IF(OR(G2169=0,E2169=0),"",C2169/E2169)</f>
        <v/>
      </c>
      <c r="I2169" t="str">
        <f>IF(OR(G2169=0,F2169=0),"",D2169/F2169)</f>
        <v/>
      </c>
      <c r="J2169" t="str">
        <f>IF(OR(H2169="",I2169=""),"",IF(H2169=0,"",I2169/H2169-1))</f>
        <v/>
      </c>
      <c r="K2169" t="str">
        <f>IF($B2169="","",IFERROR(IF(G2169=0,-2E+300,CHOOSE(sortIdx,ROUND(D2169,0),IF(J2169="",-1E+300,ROUND(-J2169,6)),IF(J2169="",-1E+300,ROUND(J2169,6)))),-1.5E+300))</f>
        <v/>
      </c>
      <c r="L2169" t="str">
        <f>IF(K2169="","",RANK(K2169,$K$2:$K$3001,0)+COUNTIF($K$2:K2169,K2169)-1)</f>
        <v/>
      </c>
    </row>
    <row r="2170">
      <c r="B2170" t="str">
        <f>IFERROR(IF(A2170="","","="&amp;SUBSTITUTE(SUBSTITUTE(SUBSTITUTE(A2170,"~","~~"),"*","~*"),"?","~?")),"")</f>
        <v/>
      </c>
      <c r="C2170" t="str">
        <f>IF($B2170="","",SUMIFS(dAmt,dCust,$B2170,dPer,"&gt;="&amp;pyFrom,dPer,"&lt;="&amp;pyTo,dAmt,"&gt;-1E+300",dFlt1,critFlt1,dFlt2,critFlt2,dFlt3,critFlt3))</f>
        <v/>
      </c>
      <c r="D2170" t="str">
        <f>IF($B2170="","",SUMIFS(dAmt,dCust,$B2170,dPer,"&gt;="&amp;cyFrom,dPer,"&lt;="&amp;cyTo,dAmt,"&gt;-1E+300",dFlt1,critFlt1,dFlt2,critFlt2,dFlt3,critFlt3))</f>
        <v/>
      </c>
      <c r="E2170" t="str">
        <f>IF($B2170="","",SUMIFS(dQty,dCust,$B2170,dPer,"&gt;="&amp;pyFrom,dPer,"&lt;="&amp;pyTo,dQty,"&gt;-1E+300",dFlt1,critFlt1,dFlt2,critFlt2,dFlt3,critFlt3))</f>
        <v/>
      </c>
      <c r="F2170" t="str">
        <f>IF($B2170="","",SUMIFS(dQty,dCust,$B2170,dPer,"&gt;="&amp;cyFrom,dPer,"&lt;="&amp;cyTo,dQty,"&gt;-1E+300",dFlt1,critFlt1,dFlt2,critFlt2,dFlt3,critFlt3))</f>
        <v/>
      </c>
      <c r="G2170">
        <f>IF($B2170="",0,IFERROR(IF(OR(C2170&lt;&gt;0,D2170&lt;&gt;0,E2170&lt;&gt;0,F2170&lt;&gt;0),1,0),1))</f>
        <v>0</v>
      </c>
      <c r="H2170" t="str">
        <f>IF(OR(G2170=0,E2170=0),"",C2170/E2170)</f>
        <v/>
      </c>
      <c r="I2170" t="str">
        <f>IF(OR(G2170=0,F2170=0),"",D2170/F2170)</f>
        <v/>
      </c>
      <c r="J2170" t="str">
        <f>IF(OR(H2170="",I2170=""),"",IF(H2170=0,"",I2170/H2170-1))</f>
        <v/>
      </c>
      <c r="K2170" t="str">
        <f>IF($B2170="","",IFERROR(IF(G2170=0,-2E+300,CHOOSE(sortIdx,ROUND(D2170,0),IF(J2170="",-1E+300,ROUND(-J2170,6)),IF(J2170="",-1E+300,ROUND(J2170,6)))),-1.5E+300))</f>
        <v/>
      </c>
      <c r="L2170" t="str">
        <f>IF(K2170="","",RANK(K2170,$K$2:$K$3001,0)+COUNTIF($K$2:K2170,K2170)-1)</f>
        <v/>
      </c>
    </row>
    <row r="2171">
      <c r="B2171" t="str">
        <f>IFERROR(IF(A2171="","","="&amp;SUBSTITUTE(SUBSTITUTE(SUBSTITUTE(A2171,"~","~~"),"*","~*"),"?","~?")),"")</f>
        <v/>
      </c>
      <c r="C2171" t="str">
        <f>IF($B2171="","",SUMIFS(dAmt,dCust,$B2171,dPer,"&gt;="&amp;pyFrom,dPer,"&lt;="&amp;pyTo,dAmt,"&gt;-1E+300",dFlt1,critFlt1,dFlt2,critFlt2,dFlt3,critFlt3))</f>
        <v/>
      </c>
      <c r="D2171" t="str">
        <f>IF($B2171="","",SUMIFS(dAmt,dCust,$B2171,dPer,"&gt;="&amp;cyFrom,dPer,"&lt;="&amp;cyTo,dAmt,"&gt;-1E+300",dFlt1,critFlt1,dFlt2,critFlt2,dFlt3,critFlt3))</f>
        <v/>
      </c>
      <c r="E2171" t="str">
        <f>IF($B2171="","",SUMIFS(dQty,dCust,$B2171,dPer,"&gt;="&amp;pyFrom,dPer,"&lt;="&amp;pyTo,dQty,"&gt;-1E+300",dFlt1,critFlt1,dFlt2,critFlt2,dFlt3,critFlt3))</f>
        <v/>
      </c>
      <c r="F2171" t="str">
        <f>IF($B2171="","",SUMIFS(dQty,dCust,$B2171,dPer,"&gt;="&amp;cyFrom,dPer,"&lt;="&amp;cyTo,dQty,"&gt;-1E+300",dFlt1,critFlt1,dFlt2,critFlt2,dFlt3,critFlt3))</f>
        <v/>
      </c>
      <c r="G2171">
        <f>IF($B2171="",0,IFERROR(IF(OR(C2171&lt;&gt;0,D2171&lt;&gt;0,E2171&lt;&gt;0,F2171&lt;&gt;0),1,0),1))</f>
        <v>0</v>
      </c>
      <c r="H2171" t="str">
        <f>IF(OR(G2171=0,E2171=0),"",C2171/E2171)</f>
        <v/>
      </c>
      <c r="I2171" t="str">
        <f>IF(OR(G2171=0,F2171=0),"",D2171/F2171)</f>
        <v/>
      </c>
      <c r="J2171" t="str">
        <f>IF(OR(H2171="",I2171=""),"",IF(H2171=0,"",I2171/H2171-1))</f>
        <v/>
      </c>
      <c r="K2171" t="str">
        <f>IF($B2171="","",IFERROR(IF(G2171=0,-2E+300,CHOOSE(sortIdx,ROUND(D2171,0),IF(J2171="",-1E+300,ROUND(-J2171,6)),IF(J2171="",-1E+300,ROUND(J2171,6)))),-1.5E+300))</f>
        <v/>
      </c>
      <c r="L2171" t="str">
        <f>IF(K2171="","",RANK(K2171,$K$2:$K$3001,0)+COUNTIF($K$2:K2171,K2171)-1)</f>
        <v/>
      </c>
    </row>
    <row r="2172">
      <c r="B2172" t="str">
        <f>IFERROR(IF(A2172="","","="&amp;SUBSTITUTE(SUBSTITUTE(SUBSTITUTE(A2172,"~","~~"),"*","~*"),"?","~?")),"")</f>
        <v/>
      </c>
      <c r="C2172" t="str">
        <f>IF($B2172="","",SUMIFS(dAmt,dCust,$B2172,dPer,"&gt;="&amp;pyFrom,dPer,"&lt;="&amp;pyTo,dAmt,"&gt;-1E+300",dFlt1,critFlt1,dFlt2,critFlt2,dFlt3,critFlt3))</f>
        <v/>
      </c>
      <c r="D2172" t="str">
        <f>IF($B2172="","",SUMIFS(dAmt,dCust,$B2172,dPer,"&gt;="&amp;cyFrom,dPer,"&lt;="&amp;cyTo,dAmt,"&gt;-1E+300",dFlt1,critFlt1,dFlt2,critFlt2,dFlt3,critFlt3))</f>
        <v/>
      </c>
      <c r="E2172" t="str">
        <f>IF($B2172="","",SUMIFS(dQty,dCust,$B2172,dPer,"&gt;="&amp;pyFrom,dPer,"&lt;="&amp;pyTo,dQty,"&gt;-1E+300",dFlt1,critFlt1,dFlt2,critFlt2,dFlt3,critFlt3))</f>
        <v/>
      </c>
      <c r="F2172" t="str">
        <f>IF($B2172="","",SUMIFS(dQty,dCust,$B2172,dPer,"&gt;="&amp;cyFrom,dPer,"&lt;="&amp;cyTo,dQty,"&gt;-1E+300",dFlt1,critFlt1,dFlt2,critFlt2,dFlt3,critFlt3))</f>
        <v/>
      </c>
      <c r="G2172">
        <f>IF($B2172="",0,IFERROR(IF(OR(C2172&lt;&gt;0,D2172&lt;&gt;0,E2172&lt;&gt;0,F2172&lt;&gt;0),1,0),1))</f>
        <v>0</v>
      </c>
      <c r="H2172" t="str">
        <f>IF(OR(G2172=0,E2172=0),"",C2172/E2172)</f>
        <v/>
      </c>
      <c r="I2172" t="str">
        <f>IF(OR(G2172=0,F2172=0),"",D2172/F2172)</f>
        <v/>
      </c>
      <c r="J2172" t="str">
        <f>IF(OR(H2172="",I2172=""),"",IF(H2172=0,"",I2172/H2172-1))</f>
        <v/>
      </c>
      <c r="K2172" t="str">
        <f>IF($B2172="","",IFERROR(IF(G2172=0,-2E+300,CHOOSE(sortIdx,ROUND(D2172,0),IF(J2172="",-1E+300,ROUND(-J2172,6)),IF(J2172="",-1E+300,ROUND(J2172,6)))),-1.5E+300))</f>
        <v/>
      </c>
      <c r="L2172" t="str">
        <f>IF(K2172="","",RANK(K2172,$K$2:$K$3001,0)+COUNTIF($K$2:K2172,K2172)-1)</f>
        <v/>
      </c>
    </row>
    <row r="2173">
      <c r="B2173" t="str">
        <f>IFERROR(IF(A2173="","","="&amp;SUBSTITUTE(SUBSTITUTE(SUBSTITUTE(A2173,"~","~~"),"*","~*"),"?","~?")),"")</f>
        <v/>
      </c>
      <c r="C2173" t="str">
        <f>IF($B2173="","",SUMIFS(dAmt,dCust,$B2173,dPer,"&gt;="&amp;pyFrom,dPer,"&lt;="&amp;pyTo,dAmt,"&gt;-1E+300",dFlt1,critFlt1,dFlt2,critFlt2,dFlt3,critFlt3))</f>
        <v/>
      </c>
      <c r="D2173" t="str">
        <f>IF($B2173="","",SUMIFS(dAmt,dCust,$B2173,dPer,"&gt;="&amp;cyFrom,dPer,"&lt;="&amp;cyTo,dAmt,"&gt;-1E+300",dFlt1,critFlt1,dFlt2,critFlt2,dFlt3,critFlt3))</f>
        <v/>
      </c>
      <c r="E2173" t="str">
        <f>IF($B2173="","",SUMIFS(dQty,dCust,$B2173,dPer,"&gt;="&amp;pyFrom,dPer,"&lt;="&amp;pyTo,dQty,"&gt;-1E+300",dFlt1,critFlt1,dFlt2,critFlt2,dFlt3,critFlt3))</f>
        <v/>
      </c>
      <c r="F2173" t="str">
        <f>IF($B2173="","",SUMIFS(dQty,dCust,$B2173,dPer,"&gt;="&amp;cyFrom,dPer,"&lt;="&amp;cyTo,dQty,"&gt;-1E+300",dFlt1,critFlt1,dFlt2,critFlt2,dFlt3,critFlt3))</f>
        <v/>
      </c>
      <c r="G2173">
        <f>IF($B2173="",0,IFERROR(IF(OR(C2173&lt;&gt;0,D2173&lt;&gt;0,E2173&lt;&gt;0,F2173&lt;&gt;0),1,0),1))</f>
        <v>0</v>
      </c>
      <c r="H2173" t="str">
        <f>IF(OR(G2173=0,E2173=0),"",C2173/E2173)</f>
        <v/>
      </c>
      <c r="I2173" t="str">
        <f>IF(OR(G2173=0,F2173=0),"",D2173/F2173)</f>
        <v/>
      </c>
      <c r="J2173" t="str">
        <f>IF(OR(H2173="",I2173=""),"",IF(H2173=0,"",I2173/H2173-1))</f>
        <v/>
      </c>
      <c r="K2173" t="str">
        <f>IF($B2173="","",IFERROR(IF(G2173=0,-2E+300,CHOOSE(sortIdx,ROUND(D2173,0),IF(J2173="",-1E+300,ROUND(-J2173,6)),IF(J2173="",-1E+300,ROUND(J2173,6)))),-1.5E+300))</f>
        <v/>
      </c>
      <c r="L2173" t="str">
        <f>IF(K2173="","",RANK(K2173,$K$2:$K$3001,0)+COUNTIF($K$2:K2173,K2173)-1)</f>
        <v/>
      </c>
    </row>
    <row r="2174">
      <c r="B2174" t="str">
        <f>IFERROR(IF(A2174="","","="&amp;SUBSTITUTE(SUBSTITUTE(SUBSTITUTE(A2174,"~","~~"),"*","~*"),"?","~?")),"")</f>
        <v/>
      </c>
      <c r="C2174" t="str">
        <f>IF($B2174="","",SUMIFS(dAmt,dCust,$B2174,dPer,"&gt;="&amp;pyFrom,dPer,"&lt;="&amp;pyTo,dAmt,"&gt;-1E+300",dFlt1,critFlt1,dFlt2,critFlt2,dFlt3,critFlt3))</f>
        <v/>
      </c>
      <c r="D2174" t="str">
        <f>IF($B2174="","",SUMIFS(dAmt,dCust,$B2174,dPer,"&gt;="&amp;cyFrom,dPer,"&lt;="&amp;cyTo,dAmt,"&gt;-1E+300",dFlt1,critFlt1,dFlt2,critFlt2,dFlt3,critFlt3))</f>
        <v/>
      </c>
      <c r="E2174" t="str">
        <f>IF($B2174="","",SUMIFS(dQty,dCust,$B2174,dPer,"&gt;="&amp;pyFrom,dPer,"&lt;="&amp;pyTo,dQty,"&gt;-1E+300",dFlt1,critFlt1,dFlt2,critFlt2,dFlt3,critFlt3))</f>
        <v/>
      </c>
      <c r="F2174" t="str">
        <f>IF($B2174="","",SUMIFS(dQty,dCust,$B2174,dPer,"&gt;="&amp;cyFrom,dPer,"&lt;="&amp;cyTo,dQty,"&gt;-1E+300",dFlt1,critFlt1,dFlt2,critFlt2,dFlt3,critFlt3))</f>
        <v/>
      </c>
      <c r="G2174">
        <f>IF($B2174="",0,IFERROR(IF(OR(C2174&lt;&gt;0,D2174&lt;&gt;0,E2174&lt;&gt;0,F2174&lt;&gt;0),1,0),1))</f>
        <v>0</v>
      </c>
      <c r="H2174" t="str">
        <f>IF(OR(G2174=0,E2174=0),"",C2174/E2174)</f>
        <v/>
      </c>
      <c r="I2174" t="str">
        <f>IF(OR(G2174=0,F2174=0),"",D2174/F2174)</f>
        <v/>
      </c>
      <c r="J2174" t="str">
        <f>IF(OR(H2174="",I2174=""),"",IF(H2174=0,"",I2174/H2174-1))</f>
        <v/>
      </c>
      <c r="K2174" t="str">
        <f>IF($B2174="","",IFERROR(IF(G2174=0,-2E+300,CHOOSE(sortIdx,ROUND(D2174,0),IF(J2174="",-1E+300,ROUND(-J2174,6)),IF(J2174="",-1E+300,ROUND(J2174,6)))),-1.5E+300))</f>
        <v/>
      </c>
      <c r="L2174" t="str">
        <f>IF(K2174="","",RANK(K2174,$K$2:$K$3001,0)+COUNTIF($K$2:K2174,K2174)-1)</f>
        <v/>
      </c>
    </row>
    <row r="2175">
      <c r="B2175" t="str">
        <f>IFERROR(IF(A2175="","","="&amp;SUBSTITUTE(SUBSTITUTE(SUBSTITUTE(A2175,"~","~~"),"*","~*"),"?","~?")),"")</f>
        <v/>
      </c>
      <c r="C2175" t="str">
        <f>IF($B2175="","",SUMIFS(dAmt,dCust,$B2175,dPer,"&gt;="&amp;pyFrom,dPer,"&lt;="&amp;pyTo,dAmt,"&gt;-1E+300",dFlt1,critFlt1,dFlt2,critFlt2,dFlt3,critFlt3))</f>
        <v/>
      </c>
      <c r="D2175" t="str">
        <f>IF($B2175="","",SUMIFS(dAmt,dCust,$B2175,dPer,"&gt;="&amp;cyFrom,dPer,"&lt;="&amp;cyTo,dAmt,"&gt;-1E+300",dFlt1,critFlt1,dFlt2,critFlt2,dFlt3,critFlt3))</f>
        <v/>
      </c>
      <c r="E2175" t="str">
        <f>IF($B2175="","",SUMIFS(dQty,dCust,$B2175,dPer,"&gt;="&amp;pyFrom,dPer,"&lt;="&amp;pyTo,dQty,"&gt;-1E+300",dFlt1,critFlt1,dFlt2,critFlt2,dFlt3,critFlt3))</f>
        <v/>
      </c>
      <c r="F2175" t="str">
        <f>IF($B2175="","",SUMIFS(dQty,dCust,$B2175,dPer,"&gt;="&amp;cyFrom,dPer,"&lt;="&amp;cyTo,dQty,"&gt;-1E+300",dFlt1,critFlt1,dFlt2,critFlt2,dFlt3,critFlt3))</f>
        <v/>
      </c>
      <c r="G2175">
        <f>IF($B2175="",0,IFERROR(IF(OR(C2175&lt;&gt;0,D2175&lt;&gt;0,E2175&lt;&gt;0,F2175&lt;&gt;0),1,0),1))</f>
        <v>0</v>
      </c>
      <c r="H2175" t="str">
        <f>IF(OR(G2175=0,E2175=0),"",C2175/E2175)</f>
        <v/>
      </c>
      <c r="I2175" t="str">
        <f>IF(OR(G2175=0,F2175=0),"",D2175/F2175)</f>
        <v/>
      </c>
      <c r="J2175" t="str">
        <f>IF(OR(H2175="",I2175=""),"",IF(H2175=0,"",I2175/H2175-1))</f>
        <v/>
      </c>
      <c r="K2175" t="str">
        <f>IF($B2175="","",IFERROR(IF(G2175=0,-2E+300,CHOOSE(sortIdx,ROUND(D2175,0),IF(J2175="",-1E+300,ROUND(-J2175,6)),IF(J2175="",-1E+300,ROUND(J2175,6)))),-1.5E+300))</f>
        <v/>
      </c>
      <c r="L2175" t="str">
        <f>IF(K2175="","",RANK(K2175,$K$2:$K$3001,0)+COUNTIF($K$2:K2175,K2175)-1)</f>
        <v/>
      </c>
    </row>
    <row r="2176">
      <c r="B2176" t="str">
        <f>IFERROR(IF(A2176="","","="&amp;SUBSTITUTE(SUBSTITUTE(SUBSTITUTE(A2176,"~","~~"),"*","~*"),"?","~?")),"")</f>
        <v/>
      </c>
      <c r="C2176" t="str">
        <f>IF($B2176="","",SUMIFS(dAmt,dCust,$B2176,dPer,"&gt;="&amp;pyFrom,dPer,"&lt;="&amp;pyTo,dAmt,"&gt;-1E+300",dFlt1,critFlt1,dFlt2,critFlt2,dFlt3,critFlt3))</f>
        <v/>
      </c>
      <c r="D2176" t="str">
        <f>IF($B2176="","",SUMIFS(dAmt,dCust,$B2176,dPer,"&gt;="&amp;cyFrom,dPer,"&lt;="&amp;cyTo,dAmt,"&gt;-1E+300",dFlt1,critFlt1,dFlt2,critFlt2,dFlt3,critFlt3))</f>
        <v/>
      </c>
      <c r="E2176" t="str">
        <f>IF($B2176="","",SUMIFS(dQty,dCust,$B2176,dPer,"&gt;="&amp;pyFrom,dPer,"&lt;="&amp;pyTo,dQty,"&gt;-1E+300",dFlt1,critFlt1,dFlt2,critFlt2,dFlt3,critFlt3))</f>
        <v/>
      </c>
      <c r="F2176" t="str">
        <f>IF($B2176="","",SUMIFS(dQty,dCust,$B2176,dPer,"&gt;="&amp;cyFrom,dPer,"&lt;="&amp;cyTo,dQty,"&gt;-1E+300",dFlt1,critFlt1,dFlt2,critFlt2,dFlt3,critFlt3))</f>
        <v/>
      </c>
      <c r="G2176">
        <f>IF($B2176="",0,IFERROR(IF(OR(C2176&lt;&gt;0,D2176&lt;&gt;0,E2176&lt;&gt;0,F2176&lt;&gt;0),1,0),1))</f>
        <v>0</v>
      </c>
      <c r="H2176" t="str">
        <f>IF(OR(G2176=0,E2176=0),"",C2176/E2176)</f>
        <v/>
      </c>
      <c r="I2176" t="str">
        <f>IF(OR(G2176=0,F2176=0),"",D2176/F2176)</f>
        <v/>
      </c>
      <c r="J2176" t="str">
        <f>IF(OR(H2176="",I2176=""),"",IF(H2176=0,"",I2176/H2176-1))</f>
        <v/>
      </c>
      <c r="K2176" t="str">
        <f>IF($B2176="","",IFERROR(IF(G2176=0,-2E+300,CHOOSE(sortIdx,ROUND(D2176,0),IF(J2176="",-1E+300,ROUND(-J2176,6)),IF(J2176="",-1E+300,ROUND(J2176,6)))),-1.5E+300))</f>
        <v/>
      </c>
      <c r="L2176" t="str">
        <f>IF(K2176="","",RANK(K2176,$K$2:$K$3001,0)+COUNTIF($K$2:K2176,K2176)-1)</f>
        <v/>
      </c>
    </row>
    <row r="2177">
      <c r="B2177" t="str">
        <f>IFERROR(IF(A2177="","","="&amp;SUBSTITUTE(SUBSTITUTE(SUBSTITUTE(A2177,"~","~~"),"*","~*"),"?","~?")),"")</f>
        <v/>
      </c>
      <c r="C2177" t="str">
        <f>IF($B2177="","",SUMIFS(dAmt,dCust,$B2177,dPer,"&gt;="&amp;pyFrom,dPer,"&lt;="&amp;pyTo,dAmt,"&gt;-1E+300",dFlt1,critFlt1,dFlt2,critFlt2,dFlt3,critFlt3))</f>
        <v/>
      </c>
      <c r="D2177" t="str">
        <f>IF($B2177="","",SUMIFS(dAmt,dCust,$B2177,dPer,"&gt;="&amp;cyFrom,dPer,"&lt;="&amp;cyTo,dAmt,"&gt;-1E+300",dFlt1,critFlt1,dFlt2,critFlt2,dFlt3,critFlt3))</f>
        <v/>
      </c>
      <c r="E2177" t="str">
        <f>IF($B2177="","",SUMIFS(dQty,dCust,$B2177,dPer,"&gt;="&amp;pyFrom,dPer,"&lt;="&amp;pyTo,dQty,"&gt;-1E+300",dFlt1,critFlt1,dFlt2,critFlt2,dFlt3,critFlt3))</f>
        <v/>
      </c>
      <c r="F2177" t="str">
        <f>IF($B2177="","",SUMIFS(dQty,dCust,$B2177,dPer,"&gt;="&amp;cyFrom,dPer,"&lt;="&amp;cyTo,dQty,"&gt;-1E+300",dFlt1,critFlt1,dFlt2,critFlt2,dFlt3,critFlt3))</f>
        <v/>
      </c>
      <c r="G2177">
        <f>IF($B2177="",0,IFERROR(IF(OR(C2177&lt;&gt;0,D2177&lt;&gt;0,E2177&lt;&gt;0,F2177&lt;&gt;0),1,0),1))</f>
        <v>0</v>
      </c>
      <c r="H2177" t="str">
        <f>IF(OR(G2177=0,E2177=0),"",C2177/E2177)</f>
        <v/>
      </c>
      <c r="I2177" t="str">
        <f>IF(OR(G2177=0,F2177=0),"",D2177/F2177)</f>
        <v/>
      </c>
      <c r="J2177" t="str">
        <f>IF(OR(H2177="",I2177=""),"",IF(H2177=0,"",I2177/H2177-1))</f>
        <v/>
      </c>
      <c r="K2177" t="str">
        <f>IF($B2177="","",IFERROR(IF(G2177=0,-2E+300,CHOOSE(sortIdx,ROUND(D2177,0),IF(J2177="",-1E+300,ROUND(-J2177,6)),IF(J2177="",-1E+300,ROUND(J2177,6)))),-1.5E+300))</f>
        <v/>
      </c>
      <c r="L2177" t="str">
        <f>IF(K2177="","",RANK(K2177,$K$2:$K$3001,0)+COUNTIF($K$2:K2177,K2177)-1)</f>
        <v/>
      </c>
    </row>
    <row r="2178">
      <c r="B2178" t="str">
        <f>IFERROR(IF(A2178="","","="&amp;SUBSTITUTE(SUBSTITUTE(SUBSTITUTE(A2178,"~","~~"),"*","~*"),"?","~?")),"")</f>
        <v/>
      </c>
      <c r="C2178" t="str">
        <f>IF($B2178="","",SUMIFS(dAmt,dCust,$B2178,dPer,"&gt;="&amp;pyFrom,dPer,"&lt;="&amp;pyTo,dAmt,"&gt;-1E+300",dFlt1,critFlt1,dFlt2,critFlt2,dFlt3,critFlt3))</f>
        <v/>
      </c>
      <c r="D2178" t="str">
        <f>IF($B2178="","",SUMIFS(dAmt,dCust,$B2178,dPer,"&gt;="&amp;cyFrom,dPer,"&lt;="&amp;cyTo,dAmt,"&gt;-1E+300",dFlt1,critFlt1,dFlt2,critFlt2,dFlt3,critFlt3))</f>
        <v/>
      </c>
      <c r="E2178" t="str">
        <f>IF($B2178="","",SUMIFS(dQty,dCust,$B2178,dPer,"&gt;="&amp;pyFrom,dPer,"&lt;="&amp;pyTo,dQty,"&gt;-1E+300",dFlt1,critFlt1,dFlt2,critFlt2,dFlt3,critFlt3))</f>
        <v/>
      </c>
      <c r="F2178" t="str">
        <f>IF($B2178="","",SUMIFS(dQty,dCust,$B2178,dPer,"&gt;="&amp;cyFrom,dPer,"&lt;="&amp;cyTo,dQty,"&gt;-1E+300",dFlt1,critFlt1,dFlt2,critFlt2,dFlt3,critFlt3))</f>
        <v/>
      </c>
      <c r="G2178">
        <f>IF($B2178="",0,IFERROR(IF(OR(C2178&lt;&gt;0,D2178&lt;&gt;0,E2178&lt;&gt;0,F2178&lt;&gt;0),1,0),1))</f>
        <v>0</v>
      </c>
      <c r="H2178" t="str">
        <f>IF(OR(G2178=0,E2178=0),"",C2178/E2178)</f>
        <v/>
      </c>
      <c r="I2178" t="str">
        <f>IF(OR(G2178=0,F2178=0),"",D2178/F2178)</f>
        <v/>
      </c>
      <c r="J2178" t="str">
        <f>IF(OR(H2178="",I2178=""),"",IF(H2178=0,"",I2178/H2178-1))</f>
        <v/>
      </c>
      <c r="K2178" t="str">
        <f>IF($B2178="","",IFERROR(IF(G2178=0,-2E+300,CHOOSE(sortIdx,ROUND(D2178,0),IF(J2178="",-1E+300,ROUND(-J2178,6)),IF(J2178="",-1E+300,ROUND(J2178,6)))),-1.5E+300))</f>
        <v/>
      </c>
      <c r="L2178" t="str">
        <f>IF(K2178="","",RANK(K2178,$K$2:$K$3001,0)+COUNTIF($K$2:K2178,K2178)-1)</f>
        <v/>
      </c>
    </row>
    <row r="2179">
      <c r="B2179" t="str">
        <f>IFERROR(IF(A2179="","","="&amp;SUBSTITUTE(SUBSTITUTE(SUBSTITUTE(A2179,"~","~~"),"*","~*"),"?","~?")),"")</f>
        <v/>
      </c>
      <c r="C2179" t="str">
        <f>IF($B2179="","",SUMIFS(dAmt,dCust,$B2179,dPer,"&gt;="&amp;pyFrom,dPer,"&lt;="&amp;pyTo,dAmt,"&gt;-1E+300",dFlt1,critFlt1,dFlt2,critFlt2,dFlt3,critFlt3))</f>
        <v/>
      </c>
      <c r="D2179" t="str">
        <f>IF($B2179="","",SUMIFS(dAmt,dCust,$B2179,dPer,"&gt;="&amp;cyFrom,dPer,"&lt;="&amp;cyTo,dAmt,"&gt;-1E+300",dFlt1,critFlt1,dFlt2,critFlt2,dFlt3,critFlt3))</f>
        <v/>
      </c>
      <c r="E2179" t="str">
        <f>IF($B2179="","",SUMIFS(dQty,dCust,$B2179,dPer,"&gt;="&amp;pyFrom,dPer,"&lt;="&amp;pyTo,dQty,"&gt;-1E+300",dFlt1,critFlt1,dFlt2,critFlt2,dFlt3,critFlt3))</f>
        <v/>
      </c>
      <c r="F2179" t="str">
        <f>IF($B2179="","",SUMIFS(dQty,dCust,$B2179,dPer,"&gt;="&amp;cyFrom,dPer,"&lt;="&amp;cyTo,dQty,"&gt;-1E+300",dFlt1,critFlt1,dFlt2,critFlt2,dFlt3,critFlt3))</f>
        <v/>
      </c>
      <c r="G2179">
        <f>IF($B2179="",0,IFERROR(IF(OR(C2179&lt;&gt;0,D2179&lt;&gt;0,E2179&lt;&gt;0,F2179&lt;&gt;0),1,0),1))</f>
        <v>0</v>
      </c>
      <c r="H2179" t="str">
        <f>IF(OR(G2179=0,E2179=0),"",C2179/E2179)</f>
        <v/>
      </c>
      <c r="I2179" t="str">
        <f>IF(OR(G2179=0,F2179=0),"",D2179/F2179)</f>
        <v/>
      </c>
      <c r="J2179" t="str">
        <f>IF(OR(H2179="",I2179=""),"",IF(H2179=0,"",I2179/H2179-1))</f>
        <v/>
      </c>
      <c r="K2179" t="str">
        <f>IF($B2179="","",IFERROR(IF(G2179=0,-2E+300,CHOOSE(sortIdx,ROUND(D2179,0),IF(J2179="",-1E+300,ROUND(-J2179,6)),IF(J2179="",-1E+300,ROUND(J2179,6)))),-1.5E+300))</f>
        <v/>
      </c>
      <c r="L2179" t="str">
        <f>IF(K2179="","",RANK(K2179,$K$2:$K$3001,0)+COUNTIF($K$2:K2179,K2179)-1)</f>
        <v/>
      </c>
    </row>
    <row r="2180">
      <c r="B2180" t="str">
        <f>IFERROR(IF(A2180="","","="&amp;SUBSTITUTE(SUBSTITUTE(SUBSTITUTE(A2180,"~","~~"),"*","~*"),"?","~?")),"")</f>
        <v/>
      </c>
      <c r="C2180" t="str">
        <f>IF($B2180="","",SUMIFS(dAmt,dCust,$B2180,dPer,"&gt;="&amp;pyFrom,dPer,"&lt;="&amp;pyTo,dAmt,"&gt;-1E+300",dFlt1,critFlt1,dFlt2,critFlt2,dFlt3,critFlt3))</f>
        <v/>
      </c>
      <c r="D2180" t="str">
        <f>IF($B2180="","",SUMIFS(dAmt,dCust,$B2180,dPer,"&gt;="&amp;cyFrom,dPer,"&lt;="&amp;cyTo,dAmt,"&gt;-1E+300",dFlt1,critFlt1,dFlt2,critFlt2,dFlt3,critFlt3))</f>
        <v/>
      </c>
      <c r="E2180" t="str">
        <f>IF($B2180="","",SUMIFS(dQty,dCust,$B2180,dPer,"&gt;="&amp;pyFrom,dPer,"&lt;="&amp;pyTo,dQty,"&gt;-1E+300",dFlt1,critFlt1,dFlt2,critFlt2,dFlt3,critFlt3))</f>
        <v/>
      </c>
      <c r="F2180" t="str">
        <f>IF($B2180="","",SUMIFS(dQty,dCust,$B2180,dPer,"&gt;="&amp;cyFrom,dPer,"&lt;="&amp;cyTo,dQty,"&gt;-1E+300",dFlt1,critFlt1,dFlt2,critFlt2,dFlt3,critFlt3))</f>
        <v/>
      </c>
      <c r="G2180">
        <f>IF($B2180="",0,IFERROR(IF(OR(C2180&lt;&gt;0,D2180&lt;&gt;0,E2180&lt;&gt;0,F2180&lt;&gt;0),1,0),1))</f>
        <v>0</v>
      </c>
      <c r="H2180" t="str">
        <f>IF(OR(G2180=0,E2180=0),"",C2180/E2180)</f>
        <v/>
      </c>
      <c r="I2180" t="str">
        <f>IF(OR(G2180=0,F2180=0),"",D2180/F2180)</f>
        <v/>
      </c>
      <c r="J2180" t="str">
        <f>IF(OR(H2180="",I2180=""),"",IF(H2180=0,"",I2180/H2180-1))</f>
        <v/>
      </c>
      <c r="K2180" t="str">
        <f>IF($B2180="","",IFERROR(IF(G2180=0,-2E+300,CHOOSE(sortIdx,ROUND(D2180,0),IF(J2180="",-1E+300,ROUND(-J2180,6)),IF(J2180="",-1E+300,ROUND(J2180,6)))),-1.5E+300))</f>
        <v/>
      </c>
      <c r="L2180" t="str">
        <f>IF(K2180="","",RANK(K2180,$K$2:$K$3001,0)+COUNTIF($K$2:K2180,K2180)-1)</f>
        <v/>
      </c>
    </row>
    <row r="2181">
      <c r="B2181" t="str">
        <f>IFERROR(IF(A2181="","","="&amp;SUBSTITUTE(SUBSTITUTE(SUBSTITUTE(A2181,"~","~~"),"*","~*"),"?","~?")),"")</f>
        <v/>
      </c>
      <c r="C2181" t="str">
        <f>IF($B2181="","",SUMIFS(dAmt,dCust,$B2181,dPer,"&gt;="&amp;pyFrom,dPer,"&lt;="&amp;pyTo,dAmt,"&gt;-1E+300",dFlt1,critFlt1,dFlt2,critFlt2,dFlt3,critFlt3))</f>
        <v/>
      </c>
      <c r="D2181" t="str">
        <f>IF($B2181="","",SUMIFS(dAmt,dCust,$B2181,dPer,"&gt;="&amp;cyFrom,dPer,"&lt;="&amp;cyTo,dAmt,"&gt;-1E+300",dFlt1,critFlt1,dFlt2,critFlt2,dFlt3,critFlt3))</f>
        <v/>
      </c>
      <c r="E2181" t="str">
        <f>IF($B2181="","",SUMIFS(dQty,dCust,$B2181,dPer,"&gt;="&amp;pyFrom,dPer,"&lt;="&amp;pyTo,dQty,"&gt;-1E+300",dFlt1,critFlt1,dFlt2,critFlt2,dFlt3,critFlt3))</f>
        <v/>
      </c>
      <c r="F2181" t="str">
        <f>IF($B2181="","",SUMIFS(dQty,dCust,$B2181,dPer,"&gt;="&amp;cyFrom,dPer,"&lt;="&amp;cyTo,dQty,"&gt;-1E+300",dFlt1,critFlt1,dFlt2,critFlt2,dFlt3,critFlt3))</f>
        <v/>
      </c>
      <c r="G2181">
        <f>IF($B2181="",0,IFERROR(IF(OR(C2181&lt;&gt;0,D2181&lt;&gt;0,E2181&lt;&gt;0,F2181&lt;&gt;0),1,0),1))</f>
        <v>0</v>
      </c>
      <c r="H2181" t="str">
        <f>IF(OR(G2181=0,E2181=0),"",C2181/E2181)</f>
        <v/>
      </c>
      <c r="I2181" t="str">
        <f>IF(OR(G2181=0,F2181=0),"",D2181/F2181)</f>
        <v/>
      </c>
      <c r="J2181" t="str">
        <f>IF(OR(H2181="",I2181=""),"",IF(H2181=0,"",I2181/H2181-1))</f>
        <v/>
      </c>
      <c r="K2181" t="str">
        <f>IF($B2181="","",IFERROR(IF(G2181=0,-2E+300,CHOOSE(sortIdx,ROUND(D2181,0),IF(J2181="",-1E+300,ROUND(-J2181,6)),IF(J2181="",-1E+300,ROUND(J2181,6)))),-1.5E+300))</f>
        <v/>
      </c>
      <c r="L2181" t="str">
        <f>IF(K2181="","",RANK(K2181,$K$2:$K$3001,0)+COUNTIF($K$2:K2181,K2181)-1)</f>
        <v/>
      </c>
    </row>
    <row r="2182">
      <c r="B2182" t="str">
        <f>IFERROR(IF(A2182="","","="&amp;SUBSTITUTE(SUBSTITUTE(SUBSTITUTE(A2182,"~","~~"),"*","~*"),"?","~?")),"")</f>
        <v/>
      </c>
      <c r="C2182" t="str">
        <f>IF($B2182="","",SUMIFS(dAmt,dCust,$B2182,dPer,"&gt;="&amp;pyFrom,dPer,"&lt;="&amp;pyTo,dAmt,"&gt;-1E+300",dFlt1,critFlt1,dFlt2,critFlt2,dFlt3,critFlt3))</f>
        <v/>
      </c>
      <c r="D2182" t="str">
        <f>IF($B2182="","",SUMIFS(dAmt,dCust,$B2182,dPer,"&gt;="&amp;cyFrom,dPer,"&lt;="&amp;cyTo,dAmt,"&gt;-1E+300",dFlt1,critFlt1,dFlt2,critFlt2,dFlt3,critFlt3))</f>
        <v/>
      </c>
      <c r="E2182" t="str">
        <f>IF($B2182="","",SUMIFS(dQty,dCust,$B2182,dPer,"&gt;="&amp;pyFrom,dPer,"&lt;="&amp;pyTo,dQty,"&gt;-1E+300",dFlt1,critFlt1,dFlt2,critFlt2,dFlt3,critFlt3))</f>
        <v/>
      </c>
      <c r="F2182" t="str">
        <f>IF($B2182="","",SUMIFS(dQty,dCust,$B2182,dPer,"&gt;="&amp;cyFrom,dPer,"&lt;="&amp;cyTo,dQty,"&gt;-1E+300",dFlt1,critFlt1,dFlt2,critFlt2,dFlt3,critFlt3))</f>
        <v/>
      </c>
      <c r="G2182">
        <f>IF($B2182="",0,IFERROR(IF(OR(C2182&lt;&gt;0,D2182&lt;&gt;0,E2182&lt;&gt;0,F2182&lt;&gt;0),1,0),1))</f>
        <v>0</v>
      </c>
      <c r="H2182" t="str">
        <f>IF(OR(G2182=0,E2182=0),"",C2182/E2182)</f>
        <v/>
      </c>
      <c r="I2182" t="str">
        <f>IF(OR(G2182=0,F2182=0),"",D2182/F2182)</f>
        <v/>
      </c>
      <c r="J2182" t="str">
        <f>IF(OR(H2182="",I2182=""),"",IF(H2182=0,"",I2182/H2182-1))</f>
        <v/>
      </c>
      <c r="K2182" t="str">
        <f>IF($B2182="","",IFERROR(IF(G2182=0,-2E+300,CHOOSE(sortIdx,ROUND(D2182,0),IF(J2182="",-1E+300,ROUND(-J2182,6)),IF(J2182="",-1E+300,ROUND(J2182,6)))),-1.5E+300))</f>
        <v/>
      </c>
      <c r="L2182" t="str">
        <f>IF(K2182="","",RANK(K2182,$K$2:$K$3001,0)+COUNTIF($K$2:K2182,K2182)-1)</f>
        <v/>
      </c>
    </row>
    <row r="2183">
      <c r="B2183" t="str">
        <f>IFERROR(IF(A2183="","","="&amp;SUBSTITUTE(SUBSTITUTE(SUBSTITUTE(A2183,"~","~~"),"*","~*"),"?","~?")),"")</f>
        <v/>
      </c>
      <c r="C2183" t="str">
        <f>IF($B2183="","",SUMIFS(dAmt,dCust,$B2183,dPer,"&gt;="&amp;pyFrom,dPer,"&lt;="&amp;pyTo,dAmt,"&gt;-1E+300",dFlt1,critFlt1,dFlt2,critFlt2,dFlt3,critFlt3))</f>
        <v/>
      </c>
      <c r="D2183" t="str">
        <f>IF($B2183="","",SUMIFS(dAmt,dCust,$B2183,dPer,"&gt;="&amp;cyFrom,dPer,"&lt;="&amp;cyTo,dAmt,"&gt;-1E+300",dFlt1,critFlt1,dFlt2,critFlt2,dFlt3,critFlt3))</f>
        <v/>
      </c>
      <c r="E2183" t="str">
        <f>IF($B2183="","",SUMIFS(dQty,dCust,$B2183,dPer,"&gt;="&amp;pyFrom,dPer,"&lt;="&amp;pyTo,dQty,"&gt;-1E+300",dFlt1,critFlt1,dFlt2,critFlt2,dFlt3,critFlt3))</f>
        <v/>
      </c>
      <c r="F2183" t="str">
        <f>IF($B2183="","",SUMIFS(dQty,dCust,$B2183,dPer,"&gt;="&amp;cyFrom,dPer,"&lt;="&amp;cyTo,dQty,"&gt;-1E+300",dFlt1,critFlt1,dFlt2,critFlt2,dFlt3,critFlt3))</f>
        <v/>
      </c>
      <c r="G2183">
        <f>IF($B2183="",0,IFERROR(IF(OR(C2183&lt;&gt;0,D2183&lt;&gt;0,E2183&lt;&gt;0,F2183&lt;&gt;0),1,0),1))</f>
        <v>0</v>
      </c>
      <c r="H2183" t="str">
        <f>IF(OR(G2183=0,E2183=0),"",C2183/E2183)</f>
        <v/>
      </c>
      <c r="I2183" t="str">
        <f>IF(OR(G2183=0,F2183=0),"",D2183/F2183)</f>
        <v/>
      </c>
      <c r="J2183" t="str">
        <f>IF(OR(H2183="",I2183=""),"",IF(H2183=0,"",I2183/H2183-1))</f>
        <v/>
      </c>
      <c r="K2183" t="str">
        <f>IF($B2183="","",IFERROR(IF(G2183=0,-2E+300,CHOOSE(sortIdx,ROUND(D2183,0),IF(J2183="",-1E+300,ROUND(-J2183,6)),IF(J2183="",-1E+300,ROUND(J2183,6)))),-1.5E+300))</f>
        <v/>
      </c>
      <c r="L2183" t="str">
        <f>IF(K2183="","",RANK(K2183,$K$2:$K$3001,0)+COUNTIF($K$2:K2183,K2183)-1)</f>
        <v/>
      </c>
    </row>
    <row r="2184">
      <c r="B2184" t="str">
        <f>IFERROR(IF(A2184="","","="&amp;SUBSTITUTE(SUBSTITUTE(SUBSTITUTE(A2184,"~","~~"),"*","~*"),"?","~?")),"")</f>
        <v/>
      </c>
      <c r="C2184" t="str">
        <f>IF($B2184="","",SUMIFS(dAmt,dCust,$B2184,dPer,"&gt;="&amp;pyFrom,dPer,"&lt;="&amp;pyTo,dAmt,"&gt;-1E+300",dFlt1,critFlt1,dFlt2,critFlt2,dFlt3,critFlt3))</f>
        <v/>
      </c>
      <c r="D2184" t="str">
        <f>IF($B2184="","",SUMIFS(dAmt,dCust,$B2184,dPer,"&gt;="&amp;cyFrom,dPer,"&lt;="&amp;cyTo,dAmt,"&gt;-1E+300",dFlt1,critFlt1,dFlt2,critFlt2,dFlt3,critFlt3))</f>
        <v/>
      </c>
      <c r="E2184" t="str">
        <f>IF($B2184="","",SUMIFS(dQty,dCust,$B2184,dPer,"&gt;="&amp;pyFrom,dPer,"&lt;="&amp;pyTo,dQty,"&gt;-1E+300",dFlt1,critFlt1,dFlt2,critFlt2,dFlt3,critFlt3))</f>
        <v/>
      </c>
      <c r="F2184" t="str">
        <f>IF($B2184="","",SUMIFS(dQty,dCust,$B2184,dPer,"&gt;="&amp;cyFrom,dPer,"&lt;="&amp;cyTo,dQty,"&gt;-1E+300",dFlt1,critFlt1,dFlt2,critFlt2,dFlt3,critFlt3))</f>
        <v/>
      </c>
      <c r="G2184">
        <f>IF($B2184="",0,IFERROR(IF(OR(C2184&lt;&gt;0,D2184&lt;&gt;0,E2184&lt;&gt;0,F2184&lt;&gt;0),1,0),1))</f>
        <v>0</v>
      </c>
      <c r="H2184" t="str">
        <f>IF(OR(G2184=0,E2184=0),"",C2184/E2184)</f>
        <v/>
      </c>
      <c r="I2184" t="str">
        <f>IF(OR(G2184=0,F2184=0),"",D2184/F2184)</f>
        <v/>
      </c>
      <c r="J2184" t="str">
        <f>IF(OR(H2184="",I2184=""),"",IF(H2184=0,"",I2184/H2184-1))</f>
        <v/>
      </c>
      <c r="K2184" t="str">
        <f>IF($B2184="","",IFERROR(IF(G2184=0,-2E+300,CHOOSE(sortIdx,ROUND(D2184,0),IF(J2184="",-1E+300,ROUND(-J2184,6)),IF(J2184="",-1E+300,ROUND(J2184,6)))),-1.5E+300))</f>
        <v/>
      </c>
      <c r="L2184" t="str">
        <f>IF(K2184="","",RANK(K2184,$K$2:$K$3001,0)+COUNTIF($K$2:K2184,K2184)-1)</f>
        <v/>
      </c>
    </row>
    <row r="2185">
      <c r="B2185" t="str">
        <f>IFERROR(IF(A2185="","","="&amp;SUBSTITUTE(SUBSTITUTE(SUBSTITUTE(A2185,"~","~~"),"*","~*"),"?","~?")),"")</f>
        <v/>
      </c>
      <c r="C2185" t="str">
        <f>IF($B2185="","",SUMIFS(dAmt,dCust,$B2185,dPer,"&gt;="&amp;pyFrom,dPer,"&lt;="&amp;pyTo,dAmt,"&gt;-1E+300",dFlt1,critFlt1,dFlt2,critFlt2,dFlt3,critFlt3))</f>
        <v/>
      </c>
      <c r="D2185" t="str">
        <f>IF($B2185="","",SUMIFS(dAmt,dCust,$B2185,dPer,"&gt;="&amp;cyFrom,dPer,"&lt;="&amp;cyTo,dAmt,"&gt;-1E+300",dFlt1,critFlt1,dFlt2,critFlt2,dFlt3,critFlt3))</f>
        <v/>
      </c>
      <c r="E2185" t="str">
        <f>IF($B2185="","",SUMIFS(dQty,dCust,$B2185,dPer,"&gt;="&amp;pyFrom,dPer,"&lt;="&amp;pyTo,dQty,"&gt;-1E+300",dFlt1,critFlt1,dFlt2,critFlt2,dFlt3,critFlt3))</f>
        <v/>
      </c>
      <c r="F2185" t="str">
        <f>IF($B2185="","",SUMIFS(dQty,dCust,$B2185,dPer,"&gt;="&amp;cyFrom,dPer,"&lt;="&amp;cyTo,dQty,"&gt;-1E+300",dFlt1,critFlt1,dFlt2,critFlt2,dFlt3,critFlt3))</f>
        <v/>
      </c>
      <c r="G2185">
        <f>IF($B2185="",0,IFERROR(IF(OR(C2185&lt;&gt;0,D2185&lt;&gt;0,E2185&lt;&gt;0,F2185&lt;&gt;0),1,0),1))</f>
        <v>0</v>
      </c>
      <c r="H2185" t="str">
        <f>IF(OR(G2185=0,E2185=0),"",C2185/E2185)</f>
        <v/>
      </c>
      <c r="I2185" t="str">
        <f>IF(OR(G2185=0,F2185=0),"",D2185/F2185)</f>
        <v/>
      </c>
      <c r="J2185" t="str">
        <f>IF(OR(H2185="",I2185=""),"",IF(H2185=0,"",I2185/H2185-1))</f>
        <v/>
      </c>
      <c r="K2185" t="str">
        <f>IF($B2185="","",IFERROR(IF(G2185=0,-2E+300,CHOOSE(sortIdx,ROUND(D2185,0),IF(J2185="",-1E+300,ROUND(-J2185,6)),IF(J2185="",-1E+300,ROUND(J2185,6)))),-1.5E+300))</f>
        <v/>
      </c>
      <c r="L2185" t="str">
        <f>IF(K2185="","",RANK(K2185,$K$2:$K$3001,0)+COUNTIF($K$2:K2185,K2185)-1)</f>
        <v/>
      </c>
    </row>
    <row r="2186">
      <c r="B2186" t="str">
        <f>IFERROR(IF(A2186="","","="&amp;SUBSTITUTE(SUBSTITUTE(SUBSTITUTE(A2186,"~","~~"),"*","~*"),"?","~?")),"")</f>
        <v/>
      </c>
      <c r="C2186" t="str">
        <f>IF($B2186="","",SUMIFS(dAmt,dCust,$B2186,dPer,"&gt;="&amp;pyFrom,dPer,"&lt;="&amp;pyTo,dAmt,"&gt;-1E+300",dFlt1,critFlt1,dFlt2,critFlt2,dFlt3,critFlt3))</f>
        <v/>
      </c>
      <c r="D2186" t="str">
        <f>IF($B2186="","",SUMIFS(dAmt,dCust,$B2186,dPer,"&gt;="&amp;cyFrom,dPer,"&lt;="&amp;cyTo,dAmt,"&gt;-1E+300",dFlt1,critFlt1,dFlt2,critFlt2,dFlt3,critFlt3))</f>
        <v/>
      </c>
      <c r="E2186" t="str">
        <f>IF($B2186="","",SUMIFS(dQty,dCust,$B2186,dPer,"&gt;="&amp;pyFrom,dPer,"&lt;="&amp;pyTo,dQty,"&gt;-1E+300",dFlt1,critFlt1,dFlt2,critFlt2,dFlt3,critFlt3))</f>
        <v/>
      </c>
      <c r="F2186" t="str">
        <f>IF($B2186="","",SUMIFS(dQty,dCust,$B2186,dPer,"&gt;="&amp;cyFrom,dPer,"&lt;="&amp;cyTo,dQty,"&gt;-1E+300",dFlt1,critFlt1,dFlt2,critFlt2,dFlt3,critFlt3))</f>
        <v/>
      </c>
      <c r="G2186">
        <f>IF($B2186="",0,IFERROR(IF(OR(C2186&lt;&gt;0,D2186&lt;&gt;0,E2186&lt;&gt;0,F2186&lt;&gt;0),1,0),1))</f>
        <v>0</v>
      </c>
      <c r="H2186" t="str">
        <f>IF(OR(G2186=0,E2186=0),"",C2186/E2186)</f>
        <v/>
      </c>
      <c r="I2186" t="str">
        <f>IF(OR(G2186=0,F2186=0),"",D2186/F2186)</f>
        <v/>
      </c>
      <c r="J2186" t="str">
        <f>IF(OR(H2186="",I2186=""),"",IF(H2186=0,"",I2186/H2186-1))</f>
        <v/>
      </c>
      <c r="K2186" t="str">
        <f>IF($B2186="","",IFERROR(IF(G2186=0,-2E+300,CHOOSE(sortIdx,ROUND(D2186,0),IF(J2186="",-1E+300,ROUND(-J2186,6)),IF(J2186="",-1E+300,ROUND(J2186,6)))),-1.5E+300))</f>
        <v/>
      </c>
      <c r="L2186" t="str">
        <f>IF(K2186="","",RANK(K2186,$K$2:$K$3001,0)+COUNTIF($K$2:K2186,K2186)-1)</f>
        <v/>
      </c>
    </row>
    <row r="2187">
      <c r="B2187" t="str">
        <f>IFERROR(IF(A2187="","","="&amp;SUBSTITUTE(SUBSTITUTE(SUBSTITUTE(A2187,"~","~~"),"*","~*"),"?","~?")),"")</f>
        <v/>
      </c>
      <c r="C2187" t="str">
        <f>IF($B2187="","",SUMIFS(dAmt,dCust,$B2187,dPer,"&gt;="&amp;pyFrom,dPer,"&lt;="&amp;pyTo,dAmt,"&gt;-1E+300",dFlt1,critFlt1,dFlt2,critFlt2,dFlt3,critFlt3))</f>
        <v/>
      </c>
      <c r="D2187" t="str">
        <f>IF($B2187="","",SUMIFS(dAmt,dCust,$B2187,dPer,"&gt;="&amp;cyFrom,dPer,"&lt;="&amp;cyTo,dAmt,"&gt;-1E+300",dFlt1,critFlt1,dFlt2,critFlt2,dFlt3,critFlt3))</f>
        <v/>
      </c>
      <c r="E2187" t="str">
        <f>IF($B2187="","",SUMIFS(dQty,dCust,$B2187,dPer,"&gt;="&amp;pyFrom,dPer,"&lt;="&amp;pyTo,dQty,"&gt;-1E+300",dFlt1,critFlt1,dFlt2,critFlt2,dFlt3,critFlt3))</f>
        <v/>
      </c>
      <c r="F2187" t="str">
        <f>IF($B2187="","",SUMIFS(dQty,dCust,$B2187,dPer,"&gt;="&amp;cyFrom,dPer,"&lt;="&amp;cyTo,dQty,"&gt;-1E+300",dFlt1,critFlt1,dFlt2,critFlt2,dFlt3,critFlt3))</f>
        <v/>
      </c>
      <c r="G2187">
        <f>IF($B2187="",0,IFERROR(IF(OR(C2187&lt;&gt;0,D2187&lt;&gt;0,E2187&lt;&gt;0,F2187&lt;&gt;0),1,0),1))</f>
        <v>0</v>
      </c>
      <c r="H2187" t="str">
        <f>IF(OR(G2187=0,E2187=0),"",C2187/E2187)</f>
        <v/>
      </c>
      <c r="I2187" t="str">
        <f>IF(OR(G2187=0,F2187=0),"",D2187/F2187)</f>
        <v/>
      </c>
      <c r="J2187" t="str">
        <f>IF(OR(H2187="",I2187=""),"",IF(H2187=0,"",I2187/H2187-1))</f>
        <v/>
      </c>
      <c r="K2187" t="str">
        <f>IF($B2187="","",IFERROR(IF(G2187=0,-2E+300,CHOOSE(sortIdx,ROUND(D2187,0),IF(J2187="",-1E+300,ROUND(-J2187,6)),IF(J2187="",-1E+300,ROUND(J2187,6)))),-1.5E+300))</f>
        <v/>
      </c>
      <c r="L2187" t="str">
        <f>IF(K2187="","",RANK(K2187,$K$2:$K$3001,0)+COUNTIF($K$2:K2187,K2187)-1)</f>
        <v/>
      </c>
    </row>
    <row r="2188">
      <c r="B2188" t="str">
        <f>IFERROR(IF(A2188="","","="&amp;SUBSTITUTE(SUBSTITUTE(SUBSTITUTE(A2188,"~","~~"),"*","~*"),"?","~?")),"")</f>
        <v/>
      </c>
      <c r="C2188" t="str">
        <f>IF($B2188="","",SUMIFS(dAmt,dCust,$B2188,dPer,"&gt;="&amp;pyFrom,dPer,"&lt;="&amp;pyTo,dAmt,"&gt;-1E+300",dFlt1,critFlt1,dFlt2,critFlt2,dFlt3,critFlt3))</f>
        <v/>
      </c>
      <c r="D2188" t="str">
        <f>IF($B2188="","",SUMIFS(dAmt,dCust,$B2188,dPer,"&gt;="&amp;cyFrom,dPer,"&lt;="&amp;cyTo,dAmt,"&gt;-1E+300",dFlt1,critFlt1,dFlt2,critFlt2,dFlt3,critFlt3))</f>
        <v/>
      </c>
      <c r="E2188" t="str">
        <f>IF($B2188="","",SUMIFS(dQty,dCust,$B2188,dPer,"&gt;="&amp;pyFrom,dPer,"&lt;="&amp;pyTo,dQty,"&gt;-1E+300",dFlt1,critFlt1,dFlt2,critFlt2,dFlt3,critFlt3))</f>
        <v/>
      </c>
      <c r="F2188" t="str">
        <f>IF($B2188="","",SUMIFS(dQty,dCust,$B2188,dPer,"&gt;="&amp;cyFrom,dPer,"&lt;="&amp;cyTo,dQty,"&gt;-1E+300",dFlt1,critFlt1,dFlt2,critFlt2,dFlt3,critFlt3))</f>
        <v/>
      </c>
      <c r="G2188">
        <f>IF($B2188="",0,IFERROR(IF(OR(C2188&lt;&gt;0,D2188&lt;&gt;0,E2188&lt;&gt;0,F2188&lt;&gt;0),1,0),1))</f>
        <v>0</v>
      </c>
      <c r="H2188" t="str">
        <f>IF(OR(G2188=0,E2188=0),"",C2188/E2188)</f>
        <v/>
      </c>
      <c r="I2188" t="str">
        <f>IF(OR(G2188=0,F2188=0),"",D2188/F2188)</f>
        <v/>
      </c>
      <c r="J2188" t="str">
        <f>IF(OR(H2188="",I2188=""),"",IF(H2188=0,"",I2188/H2188-1))</f>
        <v/>
      </c>
      <c r="K2188" t="str">
        <f>IF($B2188="","",IFERROR(IF(G2188=0,-2E+300,CHOOSE(sortIdx,ROUND(D2188,0),IF(J2188="",-1E+300,ROUND(-J2188,6)),IF(J2188="",-1E+300,ROUND(J2188,6)))),-1.5E+300))</f>
        <v/>
      </c>
      <c r="L2188" t="str">
        <f>IF(K2188="","",RANK(K2188,$K$2:$K$3001,0)+COUNTIF($K$2:K2188,K2188)-1)</f>
        <v/>
      </c>
    </row>
    <row r="2189">
      <c r="B2189" t="str">
        <f>IFERROR(IF(A2189="","","="&amp;SUBSTITUTE(SUBSTITUTE(SUBSTITUTE(A2189,"~","~~"),"*","~*"),"?","~?")),"")</f>
        <v/>
      </c>
      <c r="C2189" t="str">
        <f>IF($B2189="","",SUMIFS(dAmt,dCust,$B2189,dPer,"&gt;="&amp;pyFrom,dPer,"&lt;="&amp;pyTo,dAmt,"&gt;-1E+300",dFlt1,critFlt1,dFlt2,critFlt2,dFlt3,critFlt3))</f>
        <v/>
      </c>
      <c r="D2189" t="str">
        <f>IF($B2189="","",SUMIFS(dAmt,dCust,$B2189,dPer,"&gt;="&amp;cyFrom,dPer,"&lt;="&amp;cyTo,dAmt,"&gt;-1E+300",dFlt1,critFlt1,dFlt2,critFlt2,dFlt3,critFlt3))</f>
        <v/>
      </c>
      <c r="E2189" t="str">
        <f>IF($B2189="","",SUMIFS(dQty,dCust,$B2189,dPer,"&gt;="&amp;pyFrom,dPer,"&lt;="&amp;pyTo,dQty,"&gt;-1E+300",dFlt1,critFlt1,dFlt2,critFlt2,dFlt3,critFlt3))</f>
        <v/>
      </c>
      <c r="F2189" t="str">
        <f>IF($B2189="","",SUMIFS(dQty,dCust,$B2189,dPer,"&gt;="&amp;cyFrom,dPer,"&lt;="&amp;cyTo,dQty,"&gt;-1E+300",dFlt1,critFlt1,dFlt2,critFlt2,dFlt3,critFlt3))</f>
        <v/>
      </c>
      <c r="G2189">
        <f>IF($B2189="",0,IFERROR(IF(OR(C2189&lt;&gt;0,D2189&lt;&gt;0,E2189&lt;&gt;0,F2189&lt;&gt;0),1,0),1))</f>
        <v>0</v>
      </c>
      <c r="H2189" t="str">
        <f>IF(OR(G2189=0,E2189=0),"",C2189/E2189)</f>
        <v/>
      </c>
      <c r="I2189" t="str">
        <f>IF(OR(G2189=0,F2189=0),"",D2189/F2189)</f>
        <v/>
      </c>
      <c r="J2189" t="str">
        <f>IF(OR(H2189="",I2189=""),"",IF(H2189=0,"",I2189/H2189-1))</f>
        <v/>
      </c>
      <c r="K2189" t="str">
        <f>IF($B2189="","",IFERROR(IF(G2189=0,-2E+300,CHOOSE(sortIdx,ROUND(D2189,0),IF(J2189="",-1E+300,ROUND(-J2189,6)),IF(J2189="",-1E+300,ROUND(J2189,6)))),-1.5E+300))</f>
        <v/>
      </c>
      <c r="L2189" t="str">
        <f>IF(K2189="","",RANK(K2189,$K$2:$K$3001,0)+COUNTIF($K$2:K2189,K2189)-1)</f>
        <v/>
      </c>
    </row>
    <row r="2190">
      <c r="B2190" t="str">
        <f>IFERROR(IF(A2190="","","="&amp;SUBSTITUTE(SUBSTITUTE(SUBSTITUTE(A2190,"~","~~"),"*","~*"),"?","~?")),"")</f>
        <v/>
      </c>
      <c r="C2190" t="str">
        <f>IF($B2190="","",SUMIFS(dAmt,dCust,$B2190,dPer,"&gt;="&amp;pyFrom,dPer,"&lt;="&amp;pyTo,dAmt,"&gt;-1E+300",dFlt1,critFlt1,dFlt2,critFlt2,dFlt3,critFlt3))</f>
        <v/>
      </c>
      <c r="D2190" t="str">
        <f>IF($B2190="","",SUMIFS(dAmt,dCust,$B2190,dPer,"&gt;="&amp;cyFrom,dPer,"&lt;="&amp;cyTo,dAmt,"&gt;-1E+300",dFlt1,critFlt1,dFlt2,critFlt2,dFlt3,critFlt3))</f>
        <v/>
      </c>
      <c r="E2190" t="str">
        <f>IF($B2190="","",SUMIFS(dQty,dCust,$B2190,dPer,"&gt;="&amp;pyFrom,dPer,"&lt;="&amp;pyTo,dQty,"&gt;-1E+300",dFlt1,critFlt1,dFlt2,critFlt2,dFlt3,critFlt3))</f>
        <v/>
      </c>
      <c r="F2190" t="str">
        <f>IF($B2190="","",SUMIFS(dQty,dCust,$B2190,dPer,"&gt;="&amp;cyFrom,dPer,"&lt;="&amp;cyTo,dQty,"&gt;-1E+300",dFlt1,critFlt1,dFlt2,critFlt2,dFlt3,critFlt3))</f>
        <v/>
      </c>
      <c r="G2190">
        <f>IF($B2190="",0,IFERROR(IF(OR(C2190&lt;&gt;0,D2190&lt;&gt;0,E2190&lt;&gt;0,F2190&lt;&gt;0),1,0),1))</f>
        <v>0</v>
      </c>
      <c r="H2190" t="str">
        <f>IF(OR(G2190=0,E2190=0),"",C2190/E2190)</f>
        <v/>
      </c>
      <c r="I2190" t="str">
        <f>IF(OR(G2190=0,F2190=0),"",D2190/F2190)</f>
        <v/>
      </c>
      <c r="J2190" t="str">
        <f>IF(OR(H2190="",I2190=""),"",IF(H2190=0,"",I2190/H2190-1))</f>
        <v/>
      </c>
      <c r="K2190" t="str">
        <f>IF($B2190="","",IFERROR(IF(G2190=0,-2E+300,CHOOSE(sortIdx,ROUND(D2190,0),IF(J2190="",-1E+300,ROUND(-J2190,6)),IF(J2190="",-1E+300,ROUND(J2190,6)))),-1.5E+300))</f>
        <v/>
      </c>
      <c r="L2190" t="str">
        <f>IF(K2190="","",RANK(K2190,$K$2:$K$3001,0)+COUNTIF($K$2:K2190,K2190)-1)</f>
        <v/>
      </c>
    </row>
    <row r="2191">
      <c r="B2191" t="str">
        <f>IFERROR(IF(A2191="","","="&amp;SUBSTITUTE(SUBSTITUTE(SUBSTITUTE(A2191,"~","~~"),"*","~*"),"?","~?")),"")</f>
        <v/>
      </c>
      <c r="C2191" t="str">
        <f>IF($B2191="","",SUMIFS(dAmt,dCust,$B2191,dPer,"&gt;="&amp;pyFrom,dPer,"&lt;="&amp;pyTo,dAmt,"&gt;-1E+300",dFlt1,critFlt1,dFlt2,critFlt2,dFlt3,critFlt3))</f>
        <v/>
      </c>
      <c r="D2191" t="str">
        <f>IF($B2191="","",SUMIFS(dAmt,dCust,$B2191,dPer,"&gt;="&amp;cyFrom,dPer,"&lt;="&amp;cyTo,dAmt,"&gt;-1E+300",dFlt1,critFlt1,dFlt2,critFlt2,dFlt3,critFlt3))</f>
        <v/>
      </c>
      <c r="E2191" t="str">
        <f>IF($B2191="","",SUMIFS(dQty,dCust,$B2191,dPer,"&gt;="&amp;pyFrom,dPer,"&lt;="&amp;pyTo,dQty,"&gt;-1E+300",dFlt1,critFlt1,dFlt2,critFlt2,dFlt3,critFlt3))</f>
        <v/>
      </c>
      <c r="F2191" t="str">
        <f>IF($B2191="","",SUMIFS(dQty,dCust,$B2191,dPer,"&gt;="&amp;cyFrom,dPer,"&lt;="&amp;cyTo,dQty,"&gt;-1E+300",dFlt1,critFlt1,dFlt2,critFlt2,dFlt3,critFlt3))</f>
        <v/>
      </c>
      <c r="G2191">
        <f>IF($B2191="",0,IFERROR(IF(OR(C2191&lt;&gt;0,D2191&lt;&gt;0,E2191&lt;&gt;0,F2191&lt;&gt;0),1,0),1))</f>
        <v>0</v>
      </c>
      <c r="H2191" t="str">
        <f>IF(OR(G2191=0,E2191=0),"",C2191/E2191)</f>
        <v/>
      </c>
      <c r="I2191" t="str">
        <f>IF(OR(G2191=0,F2191=0),"",D2191/F2191)</f>
        <v/>
      </c>
      <c r="J2191" t="str">
        <f>IF(OR(H2191="",I2191=""),"",IF(H2191=0,"",I2191/H2191-1))</f>
        <v/>
      </c>
      <c r="K2191" t="str">
        <f>IF($B2191="","",IFERROR(IF(G2191=0,-2E+300,CHOOSE(sortIdx,ROUND(D2191,0),IF(J2191="",-1E+300,ROUND(-J2191,6)),IF(J2191="",-1E+300,ROUND(J2191,6)))),-1.5E+300))</f>
        <v/>
      </c>
      <c r="L2191" t="str">
        <f>IF(K2191="","",RANK(K2191,$K$2:$K$3001,0)+COUNTIF($K$2:K2191,K2191)-1)</f>
        <v/>
      </c>
    </row>
    <row r="2192">
      <c r="B2192" t="str">
        <f>IFERROR(IF(A2192="","","="&amp;SUBSTITUTE(SUBSTITUTE(SUBSTITUTE(A2192,"~","~~"),"*","~*"),"?","~?")),"")</f>
        <v/>
      </c>
      <c r="C2192" t="str">
        <f>IF($B2192="","",SUMIFS(dAmt,dCust,$B2192,dPer,"&gt;="&amp;pyFrom,dPer,"&lt;="&amp;pyTo,dAmt,"&gt;-1E+300",dFlt1,critFlt1,dFlt2,critFlt2,dFlt3,critFlt3))</f>
        <v/>
      </c>
      <c r="D2192" t="str">
        <f>IF($B2192="","",SUMIFS(dAmt,dCust,$B2192,dPer,"&gt;="&amp;cyFrom,dPer,"&lt;="&amp;cyTo,dAmt,"&gt;-1E+300",dFlt1,critFlt1,dFlt2,critFlt2,dFlt3,critFlt3))</f>
        <v/>
      </c>
      <c r="E2192" t="str">
        <f>IF($B2192="","",SUMIFS(dQty,dCust,$B2192,dPer,"&gt;="&amp;pyFrom,dPer,"&lt;="&amp;pyTo,dQty,"&gt;-1E+300",dFlt1,critFlt1,dFlt2,critFlt2,dFlt3,critFlt3))</f>
        <v/>
      </c>
      <c r="F2192" t="str">
        <f>IF($B2192="","",SUMIFS(dQty,dCust,$B2192,dPer,"&gt;="&amp;cyFrom,dPer,"&lt;="&amp;cyTo,dQty,"&gt;-1E+300",dFlt1,critFlt1,dFlt2,critFlt2,dFlt3,critFlt3))</f>
        <v/>
      </c>
      <c r="G2192">
        <f>IF($B2192="",0,IFERROR(IF(OR(C2192&lt;&gt;0,D2192&lt;&gt;0,E2192&lt;&gt;0,F2192&lt;&gt;0),1,0),1))</f>
        <v>0</v>
      </c>
      <c r="H2192" t="str">
        <f>IF(OR(G2192=0,E2192=0),"",C2192/E2192)</f>
        <v/>
      </c>
      <c r="I2192" t="str">
        <f>IF(OR(G2192=0,F2192=0),"",D2192/F2192)</f>
        <v/>
      </c>
      <c r="J2192" t="str">
        <f>IF(OR(H2192="",I2192=""),"",IF(H2192=0,"",I2192/H2192-1))</f>
        <v/>
      </c>
      <c r="K2192" t="str">
        <f>IF($B2192="","",IFERROR(IF(G2192=0,-2E+300,CHOOSE(sortIdx,ROUND(D2192,0),IF(J2192="",-1E+300,ROUND(-J2192,6)),IF(J2192="",-1E+300,ROUND(J2192,6)))),-1.5E+300))</f>
        <v/>
      </c>
      <c r="L2192" t="str">
        <f>IF(K2192="","",RANK(K2192,$K$2:$K$3001,0)+COUNTIF($K$2:K2192,K2192)-1)</f>
        <v/>
      </c>
    </row>
    <row r="2193">
      <c r="B2193" t="str">
        <f>IFERROR(IF(A2193="","","="&amp;SUBSTITUTE(SUBSTITUTE(SUBSTITUTE(A2193,"~","~~"),"*","~*"),"?","~?")),"")</f>
        <v/>
      </c>
      <c r="C2193" t="str">
        <f>IF($B2193="","",SUMIFS(dAmt,dCust,$B2193,dPer,"&gt;="&amp;pyFrom,dPer,"&lt;="&amp;pyTo,dAmt,"&gt;-1E+300",dFlt1,critFlt1,dFlt2,critFlt2,dFlt3,critFlt3))</f>
        <v/>
      </c>
      <c r="D2193" t="str">
        <f>IF($B2193="","",SUMIFS(dAmt,dCust,$B2193,dPer,"&gt;="&amp;cyFrom,dPer,"&lt;="&amp;cyTo,dAmt,"&gt;-1E+300",dFlt1,critFlt1,dFlt2,critFlt2,dFlt3,critFlt3))</f>
        <v/>
      </c>
      <c r="E2193" t="str">
        <f>IF($B2193="","",SUMIFS(dQty,dCust,$B2193,dPer,"&gt;="&amp;pyFrom,dPer,"&lt;="&amp;pyTo,dQty,"&gt;-1E+300",dFlt1,critFlt1,dFlt2,critFlt2,dFlt3,critFlt3))</f>
        <v/>
      </c>
      <c r="F2193" t="str">
        <f>IF($B2193="","",SUMIFS(dQty,dCust,$B2193,dPer,"&gt;="&amp;cyFrom,dPer,"&lt;="&amp;cyTo,dQty,"&gt;-1E+300",dFlt1,critFlt1,dFlt2,critFlt2,dFlt3,critFlt3))</f>
        <v/>
      </c>
      <c r="G2193">
        <f>IF($B2193="",0,IFERROR(IF(OR(C2193&lt;&gt;0,D2193&lt;&gt;0,E2193&lt;&gt;0,F2193&lt;&gt;0),1,0),1))</f>
        <v>0</v>
      </c>
      <c r="H2193" t="str">
        <f>IF(OR(G2193=0,E2193=0),"",C2193/E2193)</f>
        <v/>
      </c>
      <c r="I2193" t="str">
        <f>IF(OR(G2193=0,F2193=0),"",D2193/F2193)</f>
        <v/>
      </c>
      <c r="J2193" t="str">
        <f>IF(OR(H2193="",I2193=""),"",IF(H2193=0,"",I2193/H2193-1))</f>
        <v/>
      </c>
      <c r="K2193" t="str">
        <f>IF($B2193="","",IFERROR(IF(G2193=0,-2E+300,CHOOSE(sortIdx,ROUND(D2193,0),IF(J2193="",-1E+300,ROUND(-J2193,6)),IF(J2193="",-1E+300,ROUND(J2193,6)))),-1.5E+300))</f>
        <v/>
      </c>
      <c r="L2193" t="str">
        <f>IF(K2193="","",RANK(K2193,$K$2:$K$3001,0)+COUNTIF($K$2:K2193,K2193)-1)</f>
        <v/>
      </c>
    </row>
    <row r="2194">
      <c r="B2194" t="str">
        <f>IFERROR(IF(A2194="","","="&amp;SUBSTITUTE(SUBSTITUTE(SUBSTITUTE(A2194,"~","~~"),"*","~*"),"?","~?")),"")</f>
        <v/>
      </c>
      <c r="C2194" t="str">
        <f>IF($B2194="","",SUMIFS(dAmt,dCust,$B2194,dPer,"&gt;="&amp;pyFrom,dPer,"&lt;="&amp;pyTo,dAmt,"&gt;-1E+300",dFlt1,critFlt1,dFlt2,critFlt2,dFlt3,critFlt3))</f>
        <v/>
      </c>
      <c r="D2194" t="str">
        <f>IF($B2194="","",SUMIFS(dAmt,dCust,$B2194,dPer,"&gt;="&amp;cyFrom,dPer,"&lt;="&amp;cyTo,dAmt,"&gt;-1E+300",dFlt1,critFlt1,dFlt2,critFlt2,dFlt3,critFlt3))</f>
        <v/>
      </c>
      <c r="E2194" t="str">
        <f>IF($B2194="","",SUMIFS(dQty,dCust,$B2194,dPer,"&gt;="&amp;pyFrom,dPer,"&lt;="&amp;pyTo,dQty,"&gt;-1E+300",dFlt1,critFlt1,dFlt2,critFlt2,dFlt3,critFlt3))</f>
        <v/>
      </c>
      <c r="F2194" t="str">
        <f>IF($B2194="","",SUMIFS(dQty,dCust,$B2194,dPer,"&gt;="&amp;cyFrom,dPer,"&lt;="&amp;cyTo,dQty,"&gt;-1E+300",dFlt1,critFlt1,dFlt2,critFlt2,dFlt3,critFlt3))</f>
        <v/>
      </c>
      <c r="G2194">
        <f>IF($B2194="",0,IFERROR(IF(OR(C2194&lt;&gt;0,D2194&lt;&gt;0,E2194&lt;&gt;0,F2194&lt;&gt;0),1,0),1))</f>
        <v>0</v>
      </c>
      <c r="H2194" t="str">
        <f>IF(OR(G2194=0,E2194=0),"",C2194/E2194)</f>
        <v/>
      </c>
      <c r="I2194" t="str">
        <f>IF(OR(G2194=0,F2194=0),"",D2194/F2194)</f>
        <v/>
      </c>
      <c r="J2194" t="str">
        <f>IF(OR(H2194="",I2194=""),"",IF(H2194=0,"",I2194/H2194-1))</f>
        <v/>
      </c>
      <c r="K2194" t="str">
        <f>IF($B2194="","",IFERROR(IF(G2194=0,-2E+300,CHOOSE(sortIdx,ROUND(D2194,0),IF(J2194="",-1E+300,ROUND(-J2194,6)),IF(J2194="",-1E+300,ROUND(J2194,6)))),-1.5E+300))</f>
        <v/>
      </c>
      <c r="L2194" t="str">
        <f>IF(K2194="","",RANK(K2194,$K$2:$K$3001,0)+COUNTIF($K$2:K2194,K2194)-1)</f>
        <v/>
      </c>
    </row>
    <row r="2195">
      <c r="B2195" t="str">
        <f>IFERROR(IF(A2195="","","="&amp;SUBSTITUTE(SUBSTITUTE(SUBSTITUTE(A2195,"~","~~"),"*","~*"),"?","~?")),"")</f>
        <v/>
      </c>
      <c r="C2195" t="str">
        <f>IF($B2195="","",SUMIFS(dAmt,dCust,$B2195,dPer,"&gt;="&amp;pyFrom,dPer,"&lt;="&amp;pyTo,dAmt,"&gt;-1E+300",dFlt1,critFlt1,dFlt2,critFlt2,dFlt3,critFlt3))</f>
        <v/>
      </c>
      <c r="D2195" t="str">
        <f>IF($B2195="","",SUMIFS(dAmt,dCust,$B2195,dPer,"&gt;="&amp;cyFrom,dPer,"&lt;="&amp;cyTo,dAmt,"&gt;-1E+300",dFlt1,critFlt1,dFlt2,critFlt2,dFlt3,critFlt3))</f>
        <v/>
      </c>
      <c r="E2195" t="str">
        <f>IF($B2195="","",SUMIFS(dQty,dCust,$B2195,dPer,"&gt;="&amp;pyFrom,dPer,"&lt;="&amp;pyTo,dQty,"&gt;-1E+300",dFlt1,critFlt1,dFlt2,critFlt2,dFlt3,critFlt3))</f>
        <v/>
      </c>
      <c r="F2195" t="str">
        <f>IF($B2195="","",SUMIFS(dQty,dCust,$B2195,dPer,"&gt;="&amp;cyFrom,dPer,"&lt;="&amp;cyTo,dQty,"&gt;-1E+300",dFlt1,critFlt1,dFlt2,critFlt2,dFlt3,critFlt3))</f>
        <v/>
      </c>
      <c r="G2195">
        <f>IF($B2195="",0,IFERROR(IF(OR(C2195&lt;&gt;0,D2195&lt;&gt;0,E2195&lt;&gt;0,F2195&lt;&gt;0),1,0),1))</f>
        <v>0</v>
      </c>
      <c r="H2195" t="str">
        <f>IF(OR(G2195=0,E2195=0),"",C2195/E2195)</f>
        <v/>
      </c>
      <c r="I2195" t="str">
        <f>IF(OR(G2195=0,F2195=0),"",D2195/F2195)</f>
        <v/>
      </c>
      <c r="J2195" t="str">
        <f>IF(OR(H2195="",I2195=""),"",IF(H2195=0,"",I2195/H2195-1))</f>
        <v/>
      </c>
      <c r="K2195" t="str">
        <f>IF($B2195="","",IFERROR(IF(G2195=0,-2E+300,CHOOSE(sortIdx,ROUND(D2195,0),IF(J2195="",-1E+300,ROUND(-J2195,6)),IF(J2195="",-1E+300,ROUND(J2195,6)))),-1.5E+300))</f>
        <v/>
      </c>
      <c r="L2195" t="str">
        <f>IF(K2195="","",RANK(K2195,$K$2:$K$3001,0)+COUNTIF($K$2:K2195,K2195)-1)</f>
        <v/>
      </c>
    </row>
    <row r="2196">
      <c r="B2196" t="str">
        <f>IFERROR(IF(A2196="","","="&amp;SUBSTITUTE(SUBSTITUTE(SUBSTITUTE(A2196,"~","~~"),"*","~*"),"?","~?")),"")</f>
        <v/>
      </c>
      <c r="C2196" t="str">
        <f>IF($B2196="","",SUMIFS(dAmt,dCust,$B2196,dPer,"&gt;="&amp;pyFrom,dPer,"&lt;="&amp;pyTo,dAmt,"&gt;-1E+300",dFlt1,critFlt1,dFlt2,critFlt2,dFlt3,critFlt3))</f>
        <v/>
      </c>
      <c r="D2196" t="str">
        <f>IF($B2196="","",SUMIFS(dAmt,dCust,$B2196,dPer,"&gt;="&amp;cyFrom,dPer,"&lt;="&amp;cyTo,dAmt,"&gt;-1E+300",dFlt1,critFlt1,dFlt2,critFlt2,dFlt3,critFlt3))</f>
        <v/>
      </c>
      <c r="E2196" t="str">
        <f>IF($B2196="","",SUMIFS(dQty,dCust,$B2196,dPer,"&gt;="&amp;pyFrom,dPer,"&lt;="&amp;pyTo,dQty,"&gt;-1E+300",dFlt1,critFlt1,dFlt2,critFlt2,dFlt3,critFlt3))</f>
        <v/>
      </c>
      <c r="F2196" t="str">
        <f>IF($B2196="","",SUMIFS(dQty,dCust,$B2196,dPer,"&gt;="&amp;cyFrom,dPer,"&lt;="&amp;cyTo,dQty,"&gt;-1E+300",dFlt1,critFlt1,dFlt2,critFlt2,dFlt3,critFlt3))</f>
        <v/>
      </c>
      <c r="G2196">
        <f>IF($B2196="",0,IFERROR(IF(OR(C2196&lt;&gt;0,D2196&lt;&gt;0,E2196&lt;&gt;0,F2196&lt;&gt;0),1,0),1))</f>
        <v>0</v>
      </c>
      <c r="H2196" t="str">
        <f>IF(OR(G2196=0,E2196=0),"",C2196/E2196)</f>
        <v/>
      </c>
      <c r="I2196" t="str">
        <f>IF(OR(G2196=0,F2196=0),"",D2196/F2196)</f>
        <v/>
      </c>
      <c r="J2196" t="str">
        <f>IF(OR(H2196="",I2196=""),"",IF(H2196=0,"",I2196/H2196-1))</f>
        <v/>
      </c>
      <c r="K2196" t="str">
        <f>IF($B2196="","",IFERROR(IF(G2196=0,-2E+300,CHOOSE(sortIdx,ROUND(D2196,0),IF(J2196="",-1E+300,ROUND(-J2196,6)),IF(J2196="",-1E+300,ROUND(J2196,6)))),-1.5E+300))</f>
        <v/>
      </c>
      <c r="L2196" t="str">
        <f>IF(K2196="","",RANK(K2196,$K$2:$K$3001,0)+COUNTIF($K$2:K2196,K2196)-1)</f>
        <v/>
      </c>
    </row>
    <row r="2197">
      <c r="B2197" t="str">
        <f>IFERROR(IF(A2197="","","="&amp;SUBSTITUTE(SUBSTITUTE(SUBSTITUTE(A2197,"~","~~"),"*","~*"),"?","~?")),"")</f>
        <v/>
      </c>
      <c r="C2197" t="str">
        <f>IF($B2197="","",SUMIFS(dAmt,dCust,$B2197,dPer,"&gt;="&amp;pyFrom,dPer,"&lt;="&amp;pyTo,dAmt,"&gt;-1E+300",dFlt1,critFlt1,dFlt2,critFlt2,dFlt3,critFlt3))</f>
        <v/>
      </c>
      <c r="D2197" t="str">
        <f>IF($B2197="","",SUMIFS(dAmt,dCust,$B2197,dPer,"&gt;="&amp;cyFrom,dPer,"&lt;="&amp;cyTo,dAmt,"&gt;-1E+300",dFlt1,critFlt1,dFlt2,critFlt2,dFlt3,critFlt3))</f>
        <v/>
      </c>
      <c r="E2197" t="str">
        <f>IF($B2197="","",SUMIFS(dQty,dCust,$B2197,dPer,"&gt;="&amp;pyFrom,dPer,"&lt;="&amp;pyTo,dQty,"&gt;-1E+300",dFlt1,critFlt1,dFlt2,critFlt2,dFlt3,critFlt3))</f>
        <v/>
      </c>
      <c r="F2197" t="str">
        <f>IF($B2197="","",SUMIFS(dQty,dCust,$B2197,dPer,"&gt;="&amp;cyFrom,dPer,"&lt;="&amp;cyTo,dQty,"&gt;-1E+300",dFlt1,critFlt1,dFlt2,critFlt2,dFlt3,critFlt3))</f>
        <v/>
      </c>
      <c r="G2197">
        <f>IF($B2197="",0,IFERROR(IF(OR(C2197&lt;&gt;0,D2197&lt;&gt;0,E2197&lt;&gt;0,F2197&lt;&gt;0),1,0),1))</f>
        <v>0</v>
      </c>
      <c r="H2197" t="str">
        <f>IF(OR(G2197=0,E2197=0),"",C2197/E2197)</f>
        <v/>
      </c>
      <c r="I2197" t="str">
        <f>IF(OR(G2197=0,F2197=0),"",D2197/F2197)</f>
        <v/>
      </c>
      <c r="J2197" t="str">
        <f>IF(OR(H2197="",I2197=""),"",IF(H2197=0,"",I2197/H2197-1))</f>
        <v/>
      </c>
      <c r="K2197" t="str">
        <f>IF($B2197="","",IFERROR(IF(G2197=0,-2E+300,CHOOSE(sortIdx,ROUND(D2197,0),IF(J2197="",-1E+300,ROUND(-J2197,6)),IF(J2197="",-1E+300,ROUND(J2197,6)))),-1.5E+300))</f>
        <v/>
      </c>
      <c r="L2197" t="str">
        <f>IF(K2197="","",RANK(K2197,$K$2:$K$3001,0)+COUNTIF($K$2:K2197,K2197)-1)</f>
        <v/>
      </c>
    </row>
    <row r="2198">
      <c r="B2198" t="str">
        <f>IFERROR(IF(A2198="","","="&amp;SUBSTITUTE(SUBSTITUTE(SUBSTITUTE(A2198,"~","~~"),"*","~*"),"?","~?")),"")</f>
        <v/>
      </c>
      <c r="C2198" t="str">
        <f>IF($B2198="","",SUMIFS(dAmt,dCust,$B2198,dPer,"&gt;="&amp;pyFrom,dPer,"&lt;="&amp;pyTo,dAmt,"&gt;-1E+300",dFlt1,critFlt1,dFlt2,critFlt2,dFlt3,critFlt3))</f>
        <v/>
      </c>
      <c r="D2198" t="str">
        <f>IF($B2198="","",SUMIFS(dAmt,dCust,$B2198,dPer,"&gt;="&amp;cyFrom,dPer,"&lt;="&amp;cyTo,dAmt,"&gt;-1E+300",dFlt1,critFlt1,dFlt2,critFlt2,dFlt3,critFlt3))</f>
        <v/>
      </c>
      <c r="E2198" t="str">
        <f>IF($B2198="","",SUMIFS(dQty,dCust,$B2198,dPer,"&gt;="&amp;pyFrom,dPer,"&lt;="&amp;pyTo,dQty,"&gt;-1E+300",dFlt1,critFlt1,dFlt2,critFlt2,dFlt3,critFlt3))</f>
        <v/>
      </c>
      <c r="F2198" t="str">
        <f>IF($B2198="","",SUMIFS(dQty,dCust,$B2198,dPer,"&gt;="&amp;cyFrom,dPer,"&lt;="&amp;cyTo,dQty,"&gt;-1E+300",dFlt1,critFlt1,dFlt2,critFlt2,dFlt3,critFlt3))</f>
        <v/>
      </c>
      <c r="G2198">
        <f>IF($B2198="",0,IFERROR(IF(OR(C2198&lt;&gt;0,D2198&lt;&gt;0,E2198&lt;&gt;0,F2198&lt;&gt;0),1,0),1))</f>
        <v>0</v>
      </c>
      <c r="H2198" t="str">
        <f>IF(OR(G2198=0,E2198=0),"",C2198/E2198)</f>
        <v/>
      </c>
      <c r="I2198" t="str">
        <f>IF(OR(G2198=0,F2198=0),"",D2198/F2198)</f>
        <v/>
      </c>
      <c r="J2198" t="str">
        <f>IF(OR(H2198="",I2198=""),"",IF(H2198=0,"",I2198/H2198-1))</f>
        <v/>
      </c>
      <c r="K2198" t="str">
        <f>IF($B2198="","",IFERROR(IF(G2198=0,-2E+300,CHOOSE(sortIdx,ROUND(D2198,0),IF(J2198="",-1E+300,ROUND(-J2198,6)),IF(J2198="",-1E+300,ROUND(J2198,6)))),-1.5E+300))</f>
        <v/>
      </c>
      <c r="L2198" t="str">
        <f>IF(K2198="","",RANK(K2198,$K$2:$K$3001,0)+COUNTIF($K$2:K2198,K2198)-1)</f>
        <v/>
      </c>
    </row>
    <row r="2199">
      <c r="B2199" t="str">
        <f>IFERROR(IF(A2199="","","="&amp;SUBSTITUTE(SUBSTITUTE(SUBSTITUTE(A2199,"~","~~"),"*","~*"),"?","~?")),"")</f>
        <v/>
      </c>
      <c r="C2199" t="str">
        <f>IF($B2199="","",SUMIFS(dAmt,dCust,$B2199,dPer,"&gt;="&amp;pyFrom,dPer,"&lt;="&amp;pyTo,dAmt,"&gt;-1E+300",dFlt1,critFlt1,dFlt2,critFlt2,dFlt3,critFlt3))</f>
        <v/>
      </c>
      <c r="D2199" t="str">
        <f>IF($B2199="","",SUMIFS(dAmt,dCust,$B2199,dPer,"&gt;="&amp;cyFrom,dPer,"&lt;="&amp;cyTo,dAmt,"&gt;-1E+300",dFlt1,critFlt1,dFlt2,critFlt2,dFlt3,critFlt3))</f>
        <v/>
      </c>
      <c r="E2199" t="str">
        <f>IF($B2199="","",SUMIFS(dQty,dCust,$B2199,dPer,"&gt;="&amp;pyFrom,dPer,"&lt;="&amp;pyTo,dQty,"&gt;-1E+300",dFlt1,critFlt1,dFlt2,critFlt2,dFlt3,critFlt3))</f>
        <v/>
      </c>
      <c r="F2199" t="str">
        <f>IF($B2199="","",SUMIFS(dQty,dCust,$B2199,dPer,"&gt;="&amp;cyFrom,dPer,"&lt;="&amp;cyTo,dQty,"&gt;-1E+300",dFlt1,critFlt1,dFlt2,critFlt2,dFlt3,critFlt3))</f>
        <v/>
      </c>
      <c r="G2199">
        <f>IF($B2199="",0,IFERROR(IF(OR(C2199&lt;&gt;0,D2199&lt;&gt;0,E2199&lt;&gt;0,F2199&lt;&gt;0),1,0),1))</f>
        <v>0</v>
      </c>
      <c r="H2199" t="str">
        <f>IF(OR(G2199=0,E2199=0),"",C2199/E2199)</f>
        <v/>
      </c>
      <c r="I2199" t="str">
        <f>IF(OR(G2199=0,F2199=0),"",D2199/F2199)</f>
        <v/>
      </c>
      <c r="J2199" t="str">
        <f>IF(OR(H2199="",I2199=""),"",IF(H2199=0,"",I2199/H2199-1))</f>
        <v/>
      </c>
      <c r="K2199" t="str">
        <f>IF($B2199="","",IFERROR(IF(G2199=0,-2E+300,CHOOSE(sortIdx,ROUND(D2199,0),IF(J2199="",-1E+300,ROUND(-J2199,6)),IF(J2199="",-1E+300,ROUND(J2199,6)))),-1.5E+300))</f>
        <v/>
      </c>
      <c r="L2199" t="str">
        <f>IF(K2199="","",RANK(K2199,$K$2:$K$3001,0)+COUNTIF($K$2:K2199,K2199)-1)</f>
        <v/>
      </c>
    </row>
    <row r="2200">
      <c r="B2200" t="str">
        <f>IFERROR(IF(A2200="","","="&amp;SUBSTITUTE(SUBSTITUTE(SUBSTITUTE(A2200,"~","~~"),"*","~*"),"?","~?")),"")</f>
        <v/>
      </c>
      <c r="C2200" t="str">
        <f>IF($B2200="","",SUMIFS(dAmt,dCust,$B2200,dPer,"&gt;="&amp;pyFrom,dPer,"&lt;="&amp;pyTo,dAmt,"&gt;-1E+300",dFlt1,critFlt1,dFlt2,critFlt2,dFlt3,critFlt3))</f>
        <v/>
      </c>
      <c r="D2200" t="str">
        <f>IF($B2200="","",SUMIFS(dAmt,dCust,$B2200,dPer,"&gt;="&amp;cyFrom,dPer,"&lt;="&amp;cyTo,dAmt,"&gt;-1E+300",dFlt1,critFlt1,dFlt2,critFlt2,dFlt3,critFlt3))</f>
        <v/>
      </c>
      <c r="E2200" t="str">
        <f>IF($B2200="","",SUMIFS(dQty,dCust,$B2200,dPer,"&gt;="&amp;pyFrom,dPer,"&lt;="&amp;pyTo,dQty,"&gt;-1E+300",dFlt1,critFlt1,dFlt2,critFlt2,dFlt3,critFlt3))</f>
        <v/>
      </c>
      <c r="F2200" t="str">
        <f>IF($B2200="","",SUMIFS(dQty,dCust,$B2200,dPer,"&gt;="&amp;cyFrom,dPer,"&lt;="&amp;cyTo,dQty,"&gt;-1E+300",dFlt1,critFlt1,dFlt2,critFlt2,dFlt3,critFlt3))</f>
        <v/>
      </c>
      <c r="G2200">
        <f>IF($B2200="",0,IFERROR(IF(OR(C2200&lt;&gt;0,D2200&lt;&gt;0,E2200&lt;&gt;0,F2200&lt;&gt;0),1,0),1))</f>
        <v>0</v>
      </c>
      <c r="H2200" t="str">
        <f>IF(OR(G2200=0,E2200=0),"",C2200/E2200)</f>
        <v/>
      </c>
      <c r="I2200" t="str">
        <f>IF(OR(G2200=0,F2200=0),"",D2200/F2200)</f>
        <v/>
      </c>
      <c r="J2200" t="str">
        <f>IF(OR(H2200="",I2200=""),"",IF(H2200=0,"",I2200/H2200-1))</f>
        <v/>
      </c>
      <c r="K2200" t="str">
        <f>IF($B2200="","",IFERROR(IF(G2200=0,-2E+300,CHOOSE(sortIdx,ROUND(D2200,0),IF(J2200="",-1E+300,ROUND(-J2200,6)),IF(J2200="",-1E+300,ROUND(J2200,6)))),-1.5E+300))</f>
        <v/>
      </c>
      <c r="L2200" t="str">
        <f>IF(K2200="","",RANK(K2200,$K$2:$K$3001,0)+COUNTIF($K$2:K2200,K2200)-1)</f>
        <v/>
      </c>
    </row>
    <row r="2201">
      <c r="B2201" t="str">
        <f>IFERROR(IF(A2201="","","="&amp;SUBSTITUTE(SUBSTITUTE(SUBSTITUTE(A2201,"~","~~"),"*","~*"),"?","~?")),"")</f>
        <v/>
      </c>
      <c r="C2201" t="str">
        <f>IF($B2201="","",SUMIFS(dAmt,dCust,$B2201,dPer,"&gt;="&amp;pyFrom,dPer,"&lt;="&amp;pyTo,dAmt,"&gt;-1E+300",dFlt1,critFlt1,dFlt2,critFlt2,dFlt3,critFlt3))</f>
        <v/>
      </c>
      <c r="D2201" t="str">
        <f>IF($B2201="","",SUMIFS(dAmt,dCust,$B2201,dPer,"&gt;="&amp;cyFrom,dPer,"&lt;="&amp;cyTo,dAmt,"&gt;-1E+300",dFlt1,critFlt1,dFlt2,critFlt2,dFlt3,critFlt3))</f>
        <v/>
      </c>
      <c r="E2201" t="str">
        <f>IF($B2201="","",SUMIFS(dQty,dCust,$B2201,dPer,"&gt;="&amp;pyFrom,dPer,"&lt;="&amp;pyTo,dQty,"&gt;-1E+300",dFlt1,critFlt1,dFlt2,critFlt2,dFlt3,critFlt3))</f>
        <v/>
      </c>
      <c r="F2201" t="str">
        <f>IF($B2201="","",SUMIFS(dQty,dCust,$B2201,dPer,"&gt;="&amp;cyFrom,dPer,"&lt;="&amp;cyTo,dQty,"&gt;-1E+300",dFlt1,critFlt1,dFlt2,critFlt2,dFlt3,critFlt3))</f>
        <v/>
      </c>
      <c r="G2201">
        <f>IF($B2201="",0,IFERROR(IF(OR(C2201&lt;&gt;0,D2201&lt;&gt;0,E2201&lt;&gt;0,F2201&lt;&gt;0),1,0),1))</f>
        <v>0</v>
      </c>
      <c r="H2201" t="str">
        <f>IF(OR(G2201=0,E2201=0),"",C2201/E2201)</f>
        <v/>
      </c>
      <c r="I2201" t="str">
        <f>IF(OR(G2201=0,F2201=0),"",D2201/F2201)</f>
        <v/>
      </c>
      <c r="J2201" t="str">
        <f>IF(OR(H2201="",I2201=""),"",IF(H2201=0,"",I2201/H2201-1))</f>
        <v/>
      </c>
      <c r="K2201" t="str">
        <f>IF($B2201="","",IFERROR(IF(G2201=0,-2E+300,CHOOSE(sortIdx,ROUND(D2201,0),IF(J2201="",-1E+300,ROUND(-J2201,6)),IF(J2201="",-1E+300,ROUND(J2201,6)))),-1.5E+300))</f>
        <v/>
      </c>
      <c r="L2201" t="str">
        <f>IF(K2201="","",RANK(K2201,$K$2:$K$3001,0)+COUNTIF($K$2:K2201,K2201)-1)</f>
        <v/>
      </c>
    </row>
    <row r="2202">
      <c r="B2202" t="str">
        <f>IFERROR(IF(A2202="","","="&amp;SUBSTITUTE(SUBSTITUTE(SUBSTITUTE(A2202,"~","~~"),"*","~*"),"?","~?")),"")</f>
        <v/>
      </c>
      <c r="C2202" t="str">
        <f>IF($B2202="","",SUMIFS(dAmt,dCust,$B2202,dPer,"&gt;="&amp;pyFrom,dPer,"&lt;="&amp;pyTo,dAmt,"&gt;-1E+300",dFlt1,critFlt1,dFlt2,critFlt2,dFlt3,critFlt3))</f>
        <v/>
      </c>
      <c r="D2202" t="str">
        <f>IF($B2202="","",SUMIFS(dAmt,dCust,$B2202,dPer,"&gt;="&amp;cyFrom,dPer,"&lt;="&amp;cyTo,dAmt,"&gt;-1E+300",dFlt1,critFlt1,dFlt2,critFlt2,dFlt3,critFlt3))</f>
        <v/>
      </c>
      <c r="E2202" t="str">
        <f>IF($B2202="","",SUMIFS(dQty,dCust,$B2202,dPer,"&gt;="&amp;pyFrom,dPer,"&lt;="&amp;pyTo,dQty,"&gt;-1E+300",dFlt1,critFlt1,dFlt2,critFlt2,dFlt3,critFlt3))</f>
        <v/>
      </c>
      <c r="F2202" t="str">
        <f>IF($B2202="","",SUMIFS(dQty,dCust,$B2202,dPer,"&gt;="&amp;cyFrom,dPer,"&lt;="&amp;cyTo,dQty,"&gt;-1E+300",dFlt1,critFlt1,dFlt2,critFlt2,dFlt3,critFlt3))</f>
        <v/>
      </c>
      <c r="G2202">
        <f>IF($B2202="",0,IFERROR(IF(OR(C2202&lt;&gt;0,D2202&lt;&gt;0,E2202&lt;&gt;0,F2202&lt;&gt;0),1,0),1))</f>
        <v>0</v>
      </c>
      <c r="H2202" t="str">
        <f>IF(OR(G2202=0,E2202=0),"",C2202/E2202)</f>
        <v/>
      </c>
      <c r="I2202" t="str">
        <f>IF(OR(G2202=0,F2202=0),"",D2202/F2202)</f>
        <v/>
      </c>
      <c r="J2202" t="str">
        <f>IF(OR(H2202="",I2202=""),"",IF(H2202=0,"",I2202/H2202-1))</f>
        <v/>
      </c>
      <c r="K2202" t="str">
        <f>IF($B2202="","",IFERROR(IF(G2202=0,-2E+300,CHOOSE(sortIdx,ROUND(D2202,0),IF(J2202="",-1E+300,ROUND(-J2202,6)),IF(J2202="",-1E+300,ROUND(J2202,6)))),-1.5E+300))</f>
        <v/>
      </c>
      <c r="L2202" t="str">
        <f>IF(K2202="","",RANK(K2202,$K$2:$K$3001,0)+COUNTIF($K$2:K2202,K2202)-1)</f>
        <v/>
      </c>
    </row>
    <row r="2203">
      <c r="B2203" t="str">
        <f>IFERROR(IF(A2203="","","="&amp;SUBSTITUTE(SUBSTITUTE(SUBSTITUTE(A2203,"~","~~"),"*","~*"),"?","~?")),"")</f>
        <v/>
      </c>
      <c r="C2203" t="str">
        <f>IF($B2203="","",SUMIFS(dAmt,dCust,$B2203,dPer,"&gt;="&amp;pyFrom,dPer,"&lt;="&amp;pyTo,dAmt,"&gt;-1E+300",dFlt1,critFlt1,dFlt2,critFlt2,dFlt3,critFlt3))</f>
        <v/>
      </c>
      <c r="D2203" t="str">
        <f>IF($B2203="","",SUMIFS(dAmt,dCust,$B2203,dPer,"&gt;="&amp;cyFrom,dPer,"&lt;="&amp;cyTo,dAmt,"&gt;-1E+300",dFlt1,critFlt1,dFlt2,critFlt2,dFlt3,critFlt3))</f>
        <v/>
      </c>
      <c r="E2203" t="str">
        <f>IF($B2203="","",SUMIFS(dQty,dCust,$B2203,dPer,"&gt;="&amp;pyFrom,dPer,"&lt;="&amp;pyTo,dQty,"&gt;-1E+300",dFlt1,critFlt1,dFlt2,critFlt2,dFlt3,critFlt3))</f>
        <v/>
      </c>
      <c r="F2203" t="str">
        <f>IF($B2203="","",SUMIFS(dQty,dCust,$B2203,dPer,"&gt;="&amp;cyFrom,dPer,"&lt;="&amp;cyTo,dQty,"&gt;-1E+300",dFlt1,critFlt1,dFlt2,critFlt2,dFlt3,critFlt3))</f>
        <v/>
      </c>
      <c r="G2203">
        <f>IF($B2203="",0,IFERROR(IF(OR(C2203&lt;&gt;0,D2203&lt;&gt;0,E2203&lt;&gt;0,F2203&lt;&gt;0),1,0),1))</f>
        <v>0</v>
      </c>
      <c r="H2203" t="str">
        <f>IF(OR(G2203=0,E2203=0),"",C2203/E2203)</f>
        <v/>
      </c>
      <c r="I2203" t="str">
        <f>IF(OR(G2203=0,F2203=0),"",D2203/F2203)</f>
        <v/>
      </c>
      <c r="J2203" t="str">
        <f>IF(OR(H2203="",I2203=""),"",IF(H2203=0,"",I2203/H2203-1))</f>
        <v/>
      </c>
      <c r="K2203" t="str">
        <f>IF($B2203="","",IFERROR(IF(G2203=0,-2E+300,CHOOSE(sortIdx,ROUND(D2203,0),IF(J2203="",-1E+300,ROUND(-J2203,6)),IF(J2203="",-1E+300,ROUND(J2203,6)))),-1.5E+300))</f>
        <v/>
      </c>
      <c r="L2203" t="str">
        <f>IF(K2203="","",RANK(K2203,$K$2:$K$3001,0)+COUNTIF($K$2:K2203,K2203)-1)</f>
        <v/>
      </c>
    </row>
    <row r="2204">
      <c r="B2204" t="str">
        <f>IFERROR(IF(A2204="","","="&amp;SUBSTITUTE(SUBSTITUTE(SUBSTITUTE(A2204,"~","~~"),"*","~*"),"?","~?")),"")</f>
        <v/>
      </c>
      <c r="C2204" t="str">
        <f>IF($B2204="","",SUMIFS(dAmt,dCust,$B2204,dPer,"&gt;="&amp;pyFrom,dPer,"&lt;="&amp;pyTo,dAmt,"&gt;-1E+300",dFlt1,critFlt1,dFlt2,critFlt2,dFlt3,critFlt3))</f>
        <v/>
      </c>
      <c r="D2204" t="str">
        <f>IF($B2204="","",SUMIFS(dAmt,dCust,$B2204,dPer,"&gt;="&amp;cyFrom,dPer,"&lt;="&amp;cyTo,dAmt,"&gt;-1E+300",dFlt1,critFlt1,dFlt2,critFlt2,dFlt3,critFlt3))</f>
        <v/>
      </c>
      <c r="E2204" t="str">
        <f>IF($B2204="","",SUMIFS(dQty,dCust,$B2204,dPer,"&gt;="&amp;pyFrom,dPer,"&lt;="&amp;pyTo,dQty,"&gt;-1E+300",dFlt1,critFlt1,dFlt2,critFlt2,dFlt3,critFlt3))</f>
        <v/>
      </c>
      <c r="F2204" t="str">
        <f>IF($B2204="","",SUMIFS(dQty,dCust,$B2204,dPer,"&gt;="&amp;cyFrom,dPer,"&lt;="&amp;cyTo,dQty,"&gt;-1E+300",dFlt1,critFlt1,dFlt2,critFlt2,dFlt3,critFlt3))</f>
        <v/>
      </c>
      <c r="G2204">
        <f>IF($B2204="",0,IFERROR(IF(OR(C2204&lt;&gt;0,D2204&lt;&gt;0,E2204&lt;&gt;0,F2204&lt;&gt;0),1,0),1))</f>
        <v>0</v>
      </c>
      <c r="H2204" t="str">
        <f>IF(OR(G2204=0,E2204=0),"",C2204/E2204)</f>
        <v/>
      </c>
      <c r="I2204" t="str">
        <f>IF(OR(G2204=0,F2204=0),"",D2204/F2204)</f>
        <v/>
      </c>
      <c r="J2204" t="str">
        <f>IF(OR(H2204="",I2204=""),"",IF(H2204=0,"",I2204/H2204-1))</f>
        <v/>
      </c>
      <c r="K2204" t="str">
        <f>IF($B2204="","",IFERROR(IF(G2204=0,-2E+300,CHOOSE(sortIdx,ROUND(D2204,0),IF(J2204="",-1E+300,ROUND(-J2204,6)),IF(J2204="",-1E+300,ROUND(J2204,6)))),-1.5E+300))</f>
        <v/>
      </c>
      <c r="L2204" t="str">
        <f>IF(K2204="","",RANK(K2204,$K$2:$K$3001,0)+COUNTIF($K$2:K2204,K2204)-1)</f>
        <v/>
      </c>
    </row>
    <row r="2205">
      <c r="B2205" t="str">
        <f>IFERROR(IF(A2205="","","="&amp;SUBSTITUTE(SUBSTITUTE(SUBSTITUTE(A2205,"~","~~"),"*","~*"),"?","~?")),"")</f>
        <v/>
      </c>
      <c r="C2205" t="str">
        <f>IF($B2205="","",SUMIFS(dAmt,dCust,$B2205,dPer,"&gt;="&amp;pyFrom,dPer,"&lt;="&amp;pyTo,dAmt,"&gt;-1E+300",dFlt1,critFlt1,dFlt2,critFlt2,dFlt3,critFlt3))</f>
        <v/>
      </c>
      <c r="D2205" t="str">
        <f>IF($B2205="","",SUMIFS(dAmt,dCust,$B2205,dPer,"&gt;="&amp;cyFrom,dPer,"&lt;="&amp;cyTo,dAmt,"&gt;-1E+300",dFlt1,critFlt1,dFlt2,critFlt2,dFlt3,critFlt3))</f>
        <v/>
      </c>
      <c r="E2205" t="str">
        <f>IF($B2205="","",SUMIFS(dQty,dCust,$B2205,dPer,"&gt;="&amp;pyFrom,dPer,"&lt;="&amp;pyTo,dQty,"&gt;-1E+300",dFlt1,critFlt1,dFlt2,critFlt2,dFlt3,critFlt3))</f>
        <v/>
      </c>
      <c r="F2205" t="str">
        <f>IF($B2205="","",SUMIFS(dQty,dCust,$B2205,dPer,"&gt;="&amp;cyFrom,dPer,"&lt;="&amp;cyTo,dQty,"&gt;-1E+300",dFlt1,critFlt1,dFlt2,critFlt2,dFlt3,critFlt3))</f>
        <v/>
      </c>
      <c r="G2205">
        <f>IF($B2205="",0,IFERROR(IF(OR(C2205&lt;&gt;0,D2205&lt;&gt;0,E2205&lt;&gt;0,F2205&lt;&gt;0),1,0),1))</f>
        <v>0</v>
      </c>
      <c r="H2205" t="str">
        <f>IF(OR(G2205=0,E2205=0),"",C2205/E2205)</f>
        <v/>
      </c>
      <c r="I2205" t="str">
        <f>IF(OR(G2205=0,F2205=0),"",D2205/F2205)</f>
        <v/>
      </c>
      <c r="J2205" t="str">
        <f>IF(OR(H2205="",I2205=""),"",IF(H2205=0,"",I2205/H2205-1))</f>
        <v/>
      </c>
      <c r="K2205" t="str">
        <f>IF($B2205="","",IFERROR(IF(G2205=0,-2E+300,CHOOSE(sortIdx,ROUND(D2205,0),IF(J2205="",-1E+300,ROUND(-J2205,6)),IF(J2205="",-1E+300,ROUND(J2205,6)))),-1.5E+300))</f>
        <v/>
      </c>
      <c r="L2205" t="str">
        <f>IF(K2205="","",RANK(K2205,$K$2:$K$3001,0)+COUNTIF($K$2:K2205,K2205)-1)</f>
        <v/>
      </c>
    </row>
    <row r="2206">
      <c r="B2206" t="str">
        <f>IFERROR(IF(A2206="","","="&amp;SUBSTITUTE(SUBSTITUTE(SUBSTITUTE(A2206,"~","~~"),"*","~*"),"?","~?")),"")</f>
        <v/>
      </c>
      <c r="C2206" t="str">
        <f>IF($B2206="","",SUMIFS(dAmt,dCust,$B2206,dPer,"&gt;="&amp;pyFrom,dPer,"&lt;="&amp;pyTo,dAmt,"&gt;-1E+300",dFlt1,critFlt1,dFlt2,critFlt2,dFlt3,critFlt3))</f>
        <v/>
      </c>
      <c r="D2206" t="str">
        <f>IF($B2206="","",SUMIFS(dAmt,dCust,$B2206,dPer,"&gt;="&amp;cyFrom,dPer,"&lt;="&amp;cyTo,dAmt,"&gt;-1E+300",dFlt1,critFlt1,dFlt2,critFlt2,dFlt3,critFlt3))</f>
        <v/>
      </c>
      <c r="E2206" t="str">
        <f>IF($B2206="","",SUMIFS(dQty,dCust,$B2206,dPer,"&gt;="&amp;pyFrom,dPer,"&lt;="&amp;pyTo,dQty,"&gt;-1E+300",dFlt1,critFlt1,dFlt2,critFlt2,dFlt3,critFlt3))</f>
        <v/>
      </c>
      <c r="F2206" t="str">
        <f>IF($B2206="","",SUMIFS(dQty,dCust,$B2206,dPer,"&gt;="&amp;cyFrom,dPer,"&lt;="&amp;cyTo,dQty,"&gt;-1E+300",dFlt1,critFlt1,dFlt2,critFlt2,dFlt3,critFlt3))</f>
        <v/>
      </c>
      <c r="G2206">
        <f>IF($B2206="",0,IFERROR(IF(OR(C2206&lt;&gt;0,D2206&lt;&gt;0,E2206&lt;&gt;0,F2206&lt;&gt;0),1,0),1))</f>
        <v>0</v>
      </c>
      <c r="H2206" t="str">
        <f>IF(OR(G2206=0,E2206=0),"",C2206/E2206)</f>
        <v/>
      </c>
      <c r="I2206" t="str">
        <f>IF(OR(G2206=0,F2206=0),"",D2206/F2206)</f>
        <v/>
      </c>
      <c r="J2206" t="str">
        <f>IF(OR(H2206="",I2206=""),"",IF(H2206=0,"",I2206/H2206-1))</f>
        <v/>
      </c>
      <c r="K2206" t="str">
        <f>IF($B2206="","",IFERROR(IF(G2206=0,-2E+300,CHOOSE(sortIdx,ROUND(D2206,0),IF(J2206="",-1E+300,ROUND(-J2206,6)),IF(J2206="",-1E+300,ROUND(J2206,6)))),-1.5E+300))</f>
        <v/>
      </c>
      <c r="L2206" t="str">
        <f>IF(K2206="","",RANK(K2206,$K$2:$K$3001,0)+COUNTIF($K$2:K2206,K2206)-1)</f>
        <v/>
      </c>
    </row>
    <row r="2207">
      <c r="B2207" t="str">
        <f>IFERROR(IF(A2207="","","="&amp;SUBSTITUTE(SUBSTITUTE(SUBSTITUTE(A2207,"~","~~"),"*","~*"),"?","~?")),"")</f>
        <v/>
      </c>
      <c r="C2207" t="str">
        <f>IF($B2207="","",SUMIFS(dAmt,dCust,$B2207,dPer,"&gt;="&amp;pyFrom,dPer,"&lt;="&amp;pyTo,dAmt,"&gt;-1E+300",dFlt1,critFlt1,dFlt2,critFlt2,dFlt3,critFlt3))</f>
        <v/>
      </c>
      <c r="D2207" t="str">
        <f>IF($B2207="","",SUMIFS(dAmt,dCust,$B2207,dPer,"&gt;="&amp;cyFrom,dPer,"&lt;="&amp;cyTo,dAmt,"&gt;-1E+300",dFlt1,critFlt1,dFlt2,critFlt2,dFlt3,critFlt3))</f>
        <v/>
      </c>
      <c r="E2207" t="str">
        <f>IF($B2207="","",SUMIFS(dQty,dCust,$B2207,dPer,"&gt;="&amp;pyFrom,dPer,"&lt;="&amp;pyTo,dQty,"&gt;-1E+300",dFlt1,critFlt1,dFlt2,critFlt2,dFlt3,critFlt3))</f>
        <v/>
      </c>
      <c r="F2207" t="str">
        <f>IF($B2207="","",SUMIFS(dQty,dCust,$B2207,dPer,"&gt;="&amp;cyFrom,dPer,"&lt;="&amp;cyTo,dQty,"&gt;-1E+300",dFlt1,critFlt1,dFlt2,critFlt2,dFlt3,critFlt3))</f>
        <v/>
      </c>
      <c r="G2207">
        <f>IF($B2207="",0,IFERROR(IF(OR(C2207&lt;&gt;0,D2207&lt;&gt;0,E2207&lt;&gt;0,F2207&lt;&gt;0),1,0),1))</f>
        <v>0</v>
      </c>
      <c r="H2207" t="str">
        <f>IF(OR(G2207=0,E2207=0),"",C2207/E2207)</f>
        <v/>
      </c>
      <c r="I2207" t="str">
        <f>IF(OR(G2207=0,F2207=0),"",D2207/F2207)</f>
        <v/>
      </c>
      <c r="J2207" t="str">
        <f>IF(OR(H2207="",I2207=""),"",IF(H2207=0,"",I2207/H2207-1))</f>
        <v/>
      </c>
      <c r="K2207" t="str">
        <f>IF($B2207="","",IFERROR(IF(G2207=0,-2E+300,CHOOSE(sortIdx,ROUND(D2207,0),IF(J2207="",-1E+300,ROUND(-J2207,6)),IF(J2207="",-1E+300,ROUND(J2207,6)))),-1.5E+300))</f>
        <v/>
      </c>
      <c r="L2207" t="str">
        <f>IF(K2207="","",RANK(K2207,$K$2:$K$3001,0)+COUNTIF($K$2:K2207,K2207)-1)</f>
        <v/>
      </c>
    </row>
    <row r="2208">
      <c r="B2208" t="str">
        <f>IFERROR(IF(A2208="","","="&amp;SUBSTITUTE(SUBSTITUTE(SUBSTITUTE(A2208,"~","~~"),"*","~*"),"?","~?")),"")</f>
        <v/>
      </c>
      <c r="C2208" t="str">
        <f>IF($B2208="","",SUMIFS(dAmt,dCust,$B2208,dPer,"&gt;="&amp;pyFrom,dPer,"&lt;="&amp;pyTo,dAmt,"&gt;-1E+300",dFlt1,critFlt1,dFlt2,critFlt2,dFlt3,critFlt3))</f>
        <v/>
      </c>
      <c r="D2208" t="str">
        <f>IF($B2208="","",SUMIFS(dAmt,dCust,$B2208,dPer,"&gt;="&amp;cyFrom,dPer,"&lt;="&amp;cyTo,dAmt,"&gt;-1E+300",dFlt1,critFlt1,dFlt2,critFlt2,dFlt3,critFlt3))</f>
        <v/>
      </c>
      <c r="E2208" t="str">
        <f>IF($B2208="","",SUMIFS(dQty,dCust,$B2208,dPer,"&gt;="&amp;pyFrom,dPer,"&lt;="&amp;pyTo,dQty,"&gt;-1E+300",dFlt1,critFlt1,dFlt2,critFlt2,dFlt3,critFlt3))</f>
        <v/>
      </c>
      <c r="F2208" t="str">
        <f>IF($B2208="","",SUMIFS(dQty,dCust,$B2208,dPer,"&gt;="&amp;cyFrom,dPer,"&lt;="&amp;cyTo,dQty,"&gt;-1E+300",dFlt1,critFlt1,dFlt2,critFlt2,dFlt3,critFlt3))</f>
        <v/>
      </c>
      <c r="G2208">
        <f>IF($B2208="",0,IFERROR(IF(OR(C2208&lt;&gt;0,D2208&lt;&gt;0,E2208&lt;&gt;0,F2208&lt;&gt;0),1,0),1))</f>
        <v>0</v>
      </c>
      <c r="H2208" t="str">
        <f>IF(OR(G2208=0,E2208=0),"",C2208/E2208)</f>
        <v/>
      </c>
      <c r="I2208" t="str">
        <f>IF(OR(G2208=0,F2208=0),"",D2208/F2208)</f>
        <v/>
      </c>
      <c r="J2208" t="str">
        <f>IF(OR(H2208="",I2208=""),"",IF(H2208=0,"",I2208/H2208-1))</f>
        <v/>
      </c>
      <c r="K2208" t="str">
        <f>IF($B2208="","",IFERROR(IF(G2208=0,-2E+300,CHOOSE(sortIdx,ROUND(D2208,0),IF(J2208="",-1E+300,ROUND(-J2208,6)),IF(J2208="",-1E+300,ROUND(J2208,6)))),-1.5E+300))</f>
        <v/>
      </c>
      <c r="L2208" t="str">
        <f>IF(K2208="","",RANK(K2208,$K$2:$K$3001,0)+COUNTIF($K$2:K2208,K2208)-1)</f>
        <v/>
      </c>
    </row>
    <row r="2209">
      <c r="B2209" t="str">
        <f>IFERROR(IF(A2209="","","="&amp;SUBSTITUTE(SUBSTITUTE(SUBSTITUTE(A2209,"~","~~"),"*","~*"),"?","~?")),"")</f>
        <v/>
      </c>
      <c r="C2209" t="str">
        <f>IF($B2209="","",SUMIFS(dAmt,dCust,$B2209,dPer,"&gt;="&amp;pyFrom,dPer,"&lt;="&amp;pyTo,dAmt,"&gt;-1E+300",dFlt1,critFlt1,dFlt2,critFlt2,dFlt3,critFlt3))</f>
        <v/>
      </c>
      <c r="D2209" t="str">
        <f>IF($B2209="","",SUMIFS(dAmt,dCust,$B2209,dPer,"&gt;="&amp;cyFrom,dPer,"&lt;="&amp;cyTo,dAmt,"&gt;-1E+300",dFlt1,critFlt1,dFlt2,critFlt2,dFlt3,critFlt3))</f>
        <v/>
      </c>
      <c r="E2209" t="str">
        <f>IF($B2209="","",SUMIFS(dQty,dCust,$B2209,dPer,"&gt;="&amp;pyFrom,dPer,"&lt;="&amp;pyTo,dQty,"&gt;-1E+300",dFlt1,critFlt1,dFlt2,critFlt2,dFlt3,critFlt3))</f>
        <v/>
      </c>
      <c r="F2209" t="str">
        <f>IF($B2209="","",SUMIFS(dQty,dCust,$B2209,dPer,"&gt;="&amp;cyFrom,dPer,"&lt;="&amp;cyTo,dQty,"&gt;-1E+300",dFlt1,critFlt1,dFlt2,critFlt2,dFlt3,critFlt3))</f>
        <v/>
      </c>
      <c r="G2209">
        <f>IF($B2209="",0,IFERROR(IF(OR(C2209&lt;&gt;0,D2209&lt;&gt;0,E2209&lt;&gt;0,F2209&lt;&gt;0),1,0),1))</f>
        <v>0</v>
      </c>
      <c r="H2209" t="str">
        <f>IF(OR(G2209=0,E2209=0),"",C2209/E2209)</f>
        <v/>
      </c>
      <c r="I2209" t="str">
        <f>IF(OR(G2209=0,F2209=0),"",D2209/F2209)</f>
        <v/>
      </c>
      <c r="J2209" t="str">
        <f>IF(OR(H2209="",I2209=""),"",IF(H2209=0,"",I2209/H2209-1))</f>
        <v/>
      </c>
      <c r="K2209" t="str">
        <f>IF($B2209="","",IFERROR(IF(G2209=0,-2E+300,CHOOSE(sortIdx,ROUND(D2209,0),IF(J2209="",-1E+300,ROUND(-J2209,6)),IF(J2209="",-1E+300,ROUND(J2209,6)))),-1.5E+300))</f>
        <v/>
      </c>
      <c r="L2209" t="str">
        <f>IF(K2209="","",RANK(K2209,$K$2:$K$3001,0)+COUNTIF($K$2:K2209,K2209)-1)</f>
        <v/>
      </c>
    </row>
    <row r="2210">
      <c r="B2210" t="str">
        <f>IFERROR(IF(A2210="","","="&amp;SUBSTITUTE(SUBSTITUTE(SUBSTITUTE(A2210,"~","~~"),"*","~*"),"?","~?")),"")</f>
        <v/>
      </c>
      <c r="C2210" t="str">
        <f>IF($B2210="","",SUMIFS(dAmt,dCust,$B2210,dPer,"&gt;="&amp;pyFrom,dPer,"&lt;="&amp;pyTo,dAmt,"&gt;-1E+300",dFlt1,critFlt1,dFlt2,critFlt2,dFlt3,critFlt3))</f>
        <v/>
      </c>
      <c r="D2210" t="str">
        <f>IF($B2210="","",SUMIFS(dAmt,dCust,$B2210,dPer,"&gt;="&amp;cyFrom,dPer,"&lt;="&amp;cyTo,dAmt,"&gt;-1E+300",dFlt1,critFlt1,dFlt2,critFlt2,dFlt3,critFlt3))</f>
        <v/>
      </c>
      <c r="E2210" t="str">
        <f>IF($B2210="","",SUMIFS(dQty,dCust,$B2210,dPer,"&gt;="&amp;pyFrom,dPer,"&lt;="&amp;pyTo,dQty,"&gt;-1E+300",dFlt1,critFlt1,dFlt2,critFlt2,dFlt3,critFlt3))</f>
        <v/>
      </c>
      <c r="F2210" t="str">
        <f>IF($B2210="","",SUMIFS(dQty,dCust,$B2210,dPer,"&gt;="&amp;cyFrom,dPer,"&lt;="&amp;cyTo,dQty,"&gt;-1E+300",dFlt1,critFlt1,dFlt2,critFlt2,dFlt3,critFlt3))</f>
        <v/>
      </c>
      <c r="G2210">
        <f>IF($B2210="",0,IFERROR(IF(OR(C2210&lt;&gt;0,D2210&lt;&gt;0,E2210&lt;&gt;0,F2210&lt;&gt;0),1,0),1))</f>
        <v>0</v>
      </c>
      <c r="H2210" t="str">
        <f>IF(OR(G2210=0,E2210=0),"",C2210/E2210)</f>
        <v/>
      </c>
      <c r="I2210" t="str">
        <f>IF(OR(G2210=0,F2210=0),"",D2210/F2210)</f>
        <v/>
      </c>
      <c r="J2210" t="str">
        <f>IF(OR(H2210="",I2210=""),"",IF(H2210=0,"",I2210/H2210-1))</f>
        <v/>
      </c>
      <c r="K2210" t="str">
        <f>IF($B2210="","",IFERROR(IF(G2210=0,-2E+300,CHOOSE(sortIdx,ROUND(D2210,0),IF(J2210="",-1E+300,ROUND(-J2210,6)),IF(J2210="",-1E+300,ROUND(J2210,6)))),-1.5E+300))</f>
        <v/>
      </c>
      <c r="L2210" t="str">
        <f>IF(K2210="","",RANK(K2210,$K$2:$K$3001,0)+COUNTIF($K$2:K2210,K2210)-1)</f>
        <v/>
      </c>
    </row>
    <row r="2211">
      <c r="B2211" t="str">
        <f>IFERROR(IF(A2211="","","="&amp;SUBSTITUTE(SUBSTITUTE(SUBSTITUTE(A2211,"~","~~"),"*","~*"),"?","~?")),"")</f>
        <v/>
      </c>
      <c r="C2211" t="str">
        <f>IF($B2211="","",SUMIFS(dAmt,dCust,$B2211,dPer,"&gt;="&amp;pyFrom,dPer,"&lt;="&amp;pyTo,dAmt,"&gt;-1E+300",dFlt1,critFlt1,dFlt2,critFlt2,dFlt3,critFlt3))</f>
        <v/>
      </c>
      <c r="D2211" t="str">
        <f>IF($B2211="","",SUMIFS(dAmt,dCust,$B2211,dPer,"&gt;="&amp;cyFrom,dPer,"&lt;="&amp;cyTo,dAmt,"&gt;-1E+300",dFlt1,critFlt1,dFlt2,critFlt2,dFlt3,critFlt3))</f>
        <v/>
      </c>
      <c r="E2211" t="str">
        <f>IF($B2211="","",SUMIFS(dQty,dCust,$B2211,dPer,"&gt;="&amp;pyFrom,dPer,"&lt;="&amp;pyTo,dQty,"&gt;-1E+300",dFlt1,critFlt1,dFlt2,critFlt2,dFlt3,critFlt3))</f>
        <v/>
      </c>
      <c r="F2211" t="str">
        <f>IF($B2211="","",SUMIFS(dQty,dCust,$B2211,dPer,"&gt;="&amp;cyFrom,dPer,"&lt;="&amp;cyTo,dQty,"&gt;-1E+300",dFlt1,critFlt1,dFlt2,critFlt2,dFlt3,critFlt3))</f>
        <v/>
      </c>
      <c r="G2211">
        <f>IF($B2211="",0,IFERROR(IF(OR(C2211&lt;&gt;0,D2211&lt;&gt;0,E2211&lt;&gt;0,F2211&lt;&gt;0),1,0),1))</f>
        <v>0</v>
      </c>
      <c r="H2211" t="str">
        <f>IF(OR(G2211=0,E2211=0),"",C2211/E2211)</f>
        <v/>
      </c>
      <c r="I2211" t="str">
        <f>IF(OR(G2211=0,F2211=0),"",D2211/F2211)</f>
        <v/>
      </c>
      <c r="J2211" t="str">
        <f>IF(OR(H2211="",I2211=""),"",IF(H2211=0,"",I2211/H2211-1))</f>
        <v/>
      </c>
      <c r="K2211" t="str">
        <f>IF($B2211="","",IFERROR(IF(G2211=0,-2E+300,CHOOSE(sortIdx,ROUND(D2211,0),IF(J2211="",-1E+300,ROUND(-J2211,6)),IF(J2211="",-1E+300,ROUND(J2211,6)))),-1.5E+300))</f>
        <v/>
      </c>
      <c r="L2211" t="str">
        <f>IF(K2211="","",RANK(K2211,$K$2:$K$3001,0)+COUNTIF($K$2:K2211,K2211)-1)</f>
        <v/>
      </c>
    </row>
    <row r="2212">
      <c r="B2212" t="str">
        <f>IFERROR(IF(A2212="","","="&amp;SUBSTITUTE(SUBSTITUTE(SUBSTITUTE(A2212,"~","~~"),"*","~*"),"?","~?")),"")</f>
        <v/>
      </c>
      <c r="C2212" t="str">
        <f>IF($B2212="","",SUMIFS(dAmt,dCust,$B2212,dPer,"&gt;="&amp;pyFrom,dPer,"&lt;="&amp;pyTo,dAmt,"&gt;-1E+300",dFlt1,critFlt1,dFlt2,critFlt2,dFlt3,critFlt3))</f>
        <v/>
      </c>
      <c r="D2212" t="str">
        <f>IF($B2212="","",SUMIFS(dAmt,dCust,$B2212,dPer,"&gt;="&amp;cyFrom,dPer,"&lt;="&amp;cyTo,dAmt,"&gt;-1E+300",dFlt1,critFlt1,dFlt2,critFlt2,dFlt3,critFlt3))</f>
        <v/>
      </c>
      <c r="E2212" t="str">
        <f>IF($B2212="","",SUMIFS(dQty,dCust,$B2212,dPer,"&gt;="&amp;pyFrom,dPer,"&lt;="&amp;pyTo,dQty,"&gt;-1E+300",dFlt1,critFlt1,dFlt2,critFlt2,dFlt3,critFlt3))</f>
        <v/>
      </c>
      <c r="F2212" t="str">
        <f>IF($B2212="","",SUMIFS(dQty,dCust,$B2212,dPer,"&gt;="&amp;cyFrom,dPer,"&lt;="&amp;cyTo,dQty,"&gt;-1E+300",dFlt1,critFlt1,dFlt2,critFlt2,dFlt3,critFlt3))</f>
        <v/>
      </c>
      <c r="G2212">
        <f>IF($B2212="",0,IFERROR(IF(OR(C2212&lt;&gt;0,D2212&lt;&gt;0,E2212&lt;&gt;0,F2212&lt;&gt;0),1,0),1))</f>
        <v>0</v>
      </c>
      <c r="H2212" t="str">
        <f>IF(OR(G2212=0,E2212=0),"",C2212/E2212)</f>
        <v/>
      </c>
      <c r="I2212" t="str">
        <f>IF(OR(G2212=0,F2212=0),"",D2212/F2212)</f>
        <v/>
      </c>
      <c r="J2212" t="str">
        <f>IF(OR(H2212="",I2212=""),"",IF(H2212=0,"",I2212/H2212-1))</f>
        <v/>
      </c>
      <c r="K2212" t="str">
        <f>IF($B2212="","",IFERROR(IF(G2212=0,-2E+300,CHOOSE(sortIdx,ROUND(D2212,0),IF(J2212="",-1E+300,ROUND(-J2212,6)),IF(J2212="",-1E+300,ROUND(J2212,6)))),-1.5E+300))</f>
        <v/>
      </c>
      <c r="L2212" t="str">
        <f>IF(K2212="","",RANK(K2212,$K$2:$K$3001,0)+COUNTIF($K$2:K2212,K2212)-1)</f>
        <v/>
      </c>
    </row>
    <row r="2213">
      <c r="B2213" t="str">
        <f>IFERROR(IF(A2213="","","="&amp;SUBSTITUTE(SUBSTITUTE(SUBSTITUTE(A2213,"~","~~"),"*","~*"),"?","~?")),"")</f>
        <v/>
      </c>
      <c r="C2213" t="str">
        <f>IF($B2213="","",SUMIFS(dAmt,dCust,$B2213,dPer,"&gt;="&amp;pyFrom,dPer,"&lt;="&amp;pyTo,dAmt,"&gt;-1E+300",dFlt1,critFlt1,dFlt2,critFlt2,dFlt3,critFlt3))</f>
        <v/>
      </c>
      <c r="D2213" t="str">
        <f>IF($B2213="","",SUMIFS(dAmt,dCust,$B2213,dPer,"&gt;="&amp;cyFrom,dPer,"&lt;="&amp;cyTo,dAmt,"&gt;-1E+300",dFlt1,critFlt1,dFlt2,critFlt2,dFlt3,critFlt3))</f>
        <v/>
      </c>
      <c r="E2213" t="str">
        <f>IF($B2213="","",SUMIFS(dQty,dCust,$B2213,dPer,"&gt;="&amp;pyFrom,dPer,"&lt;="&amp;pyTo,dQty,"&gt;-1E+300",dFlt1,critFlt1,dFlt2,critFlt2,dFlt3,critFlt3))</f>
        <v/>
      </c>
      <c r="F2213" t="str">
        <f>IF($B2213="","",SUMIFS(dQty,dCust,$B2213,dPer,"&gt;="&amp;cyFrom,dPer,"&lt;="&amp;cyTo,dQty,"&gt;-1E+300",dFlt1,critFlt1,dFlt2,critFlt2,dFlt3,critFlt3))</f>
        <v/>
      </c>
      <c r="G2213">
        <f>IF($B2213="",0,IFERROR(IF(OR(C2213&lt;&gt;0,D2213&lt;&gt;0,E2213&lt;&gt;0,F2213&lt;&gt;0),1,0),1))</f>
        <v>0</v>
      </c>
      <c r="H2213" t="str">
        <f>IF(OR(G2213=0,E2213=0),"",C2213/E2213)</f>
        <v/>
      </c>
      <c r="I2213" t="str">
        <f>IF(OR(G2213=0,F2213=0),"",D2213/F2213)</f>
        <v/>
      </c>
      <c r="J2213" t="str">
        <f>IF(OR(H2213="",I2213=""),"",IF(H2213=0,"",I2213/H2213-1))</f>
        <v/>
      </c>
      <c r="K2213" t="str">
        <f>IF($B2213="","",IFERROR(IF(G2213=0,-2E+300,CHOOSE(sortIdx,ROUND(D2213,0),IF(J2213="",-1E+300,ROUND(-J2213,6)),IF(J2213="",-1E+300,ROUND(J2213,6)))),-1.5E+300))</f>
        <v/>
      </c>
      <c r="L2213" t="str">
        <f>IF(K2213="","",RANK(K2213,$K$2:$K$3001,0)+COUNTIF($K$2:K2213,K2213)-1)</f>
        <v/>
      </c>
    </row>
    <row r="2214">
      <c r="B2214" t="str">
        <f>IFERROR(IF(A2214="","","="&amp;SUBSTITUTE(SUBSTITUTE(SUBSTITUTE(A2214,"~","~~"),"*","~*"),"?","~?")),"")</f>
        <v/>
      </c>
      <c r="C2214" t="str">
        <f>IF($B2214="","",SUMIFS(dAmt,dCust,$B2214,dPer,"&gt;="&amp;pyFrom,dPer,"&lt;="&amp;pyTo,dAmt,"&gt;-1E+300",dFlt1,critFlt1,dFlt2,critFlt2,dFlt3,critFlt3))</f>
        <v/>
      </c>
      <c r="D2214" t="str">
        <f>IF($B2214="","",SUMIFS(dAmt,dCust,$B2214,dPer,"&gt;="&amp;cyFrom,dPer,"&lt;="&amp;cyTo,dAmt,"&gt;-1E+300",dFlt1,critFlt1,dFlt2,critFlt2,dFlt3,critFlt3))</f>
        <v/>
      </c>
      <c r="E2214" t="str">
        <f>IF($B2214="","",SUMIFS(dQty,dCust,$B2214,dPer,"&gt;="&amp;pyFrom,dPer,"&lt;="&amp;pyTo,dQty,"&gt;-1E+300",dFlt1,critFlt1,dFlt2,critFlt2,dFlt3,critFlt3))</f>
        <v/>
      </c>
      <c r="F2214" t="str">
        <f>IF($B2214="","",SUMIFS(dQty,dCust,$B2214,dPer,"&gt;="&amp;cyFrom,dPer,"&lt;="&amp;cyTo,dQty,"&gt;-1E+300",dFlt1,critFlt1,dFlt2,critFlt2,dFlt3,critFlt3))</f>
        <v/>
      </c>
      <c r="G2214">
        <f>IF($B2214="",0,IFERROR(IF(OR(C2214&lt;&gt;0,D2214&lt;&gt;0,E2214&lt;&gt;0,F2214&lt;&gt;0),1,0),1))</f>
        <v>0</v>
      </c>
      <c r="H2214" t="str">
        <f>IF(OR(G2214=0,E2214=0),"",C2214/E2214)</f>
        <v/>
      </c>
      <c r="I2214" t="str">
        <f>IF(OR(G2214=0,F2214=0),"",D2214/F2214)</f>
        <v/>
      </c>
      <c r="J2214" t="str">
        <f>IF(OR(H2214="",I2214=""),"",IF(H2214=0,"",I2214/H2214-1))</f>
        <v/>
      </c>
      <c r="K2214" t="str">
        <f>IF($B2214="","",IFERROR(IF(G2214=0,-2E+300,CHOOSE(sortIdx,ROUND(D2214,0),IF(J2214="",-1E+300,ROUND(-J2214,6)),IF(J2214="",-1E+300,ROUND(J2214,6)))),-1.5E+300))</f>
        <v/>
      </c>
      <c r="L2214" t="str">
        <f>IF(K2214="","",RANK(K2214,$K$2:$K$3001,0)+COUNTIF($K$2:K2214,K2214)-1)</f>
        <v/>
      </c>
    </row>
    <row r="2215">
      <c r="B2215" t="str">
        <f>IFERROR(IF(A2215="","","="&amp;SUBSTITUTE(SUBSTITUTE(SUBSTITUTE(A2215,"~","~~"),"*","~*"),"?","~?")),"")</f>
        <v/>
      </c>
      <c r="C2215" t="str">
        <f>IF($B2215="","",SUMIFS(dAmt,dCust,$B2215,dPer,"&gt;="&amp;pyFrom,dPer,"&lt;="&amp;pyTo,dAmt,"&gt;-1E+300",dFlt1,critFlt1,dFlt2,critFlt2,dFlt3,critFlt3))</f>
        <v/>
      </c>
      <c r="D2215" t="str">
        <f>IF($B2215="","",SUMIFS(dAmt,dCust,$B2215,dPer,"&gt;="&amp;cyFrom,dPer,"&lt;="&amp;cyTo,dAmt,"&gt;-1E+300",dFlt1,critFlt1,dFlt2,critFlt2,dFlt3,critFlt3))</f>
        <v/>
      </c>
      <c r="E2215" t="str">
        <f>IF($B2215="","",SUMIFS(dQty,dCust,$B2215,dPer,"&gt;="&amp;pyFrom,dPer,"&lt;="&amp;pyTo,dQty,"&gt;-1E+300",dFlt1,critFlt1,dFlt2,critFlt2,dFlt3,critFlt3))</f>
        <v/>
      </c>
      <c r="F2215" t="str">
        <f>IF($B2215="","",SUMIFS(dQty,dCust,$B2215,dPer,"&gt;="&amp;cyFrom,dPer,"&lt;="&amp;cyTo,dQty,"&gt;-1E+300",dFlt1,critFlt1,dFlt2,critFlt2,dFlt3,critFlt3))</f>
        <v/>
      </c>
      <c r="G2215">
        <f>IF($B2215="",0,IFERROR(IF(OR(C2215&lt;&gt;0,D2215&lt;&gt;0,E2215&lt;&gt;0,F2215&lt;&gt;0),1,0),1))</f>
        <v>0</v>
      </c>
      <c r="H2215" t="str">
        <f>IF(OR(G2215=0,E2215=0),"",C2215/E2215)</f>
        <v/>
      </c>
      <c r="I2215" t="str">
        <f>IF(OR(G2215=0,F2215=0),"",D2215/F2215)</f>
        <v/>
      </c>
      <c r="J2215" t="str">
        <f>IF(OR(H2215="",I2215=""),"",IF(H2215=0,"",I2215/H2215-1))</f>
        <v/>
      </c>
      <c r="K2215" t="str">
        <f>IF($B2215="","",IFERROR(IF(G2215=0,-2E+300,CHOOSE(sortIdx,ROUND(D2215,0),IF(J2215="",-1E+300,ROUND(-J2215,6)),IF(J2215="",-1E+300,ROUND(J2215,6)))),-1.5E+300))</f>
        <v/>
      </c>
      <c r="L2215" t="str">
        <f>IF(K2215="","",RANK(K2215,$K$2:$K$3001,0)+COUNTIF($K$2:K2215,K2215)-1)</f>
        <v/>
      </c>
    </row>
    <row r="2216">
      <c r="B2216" t="str">
        <f>IFERROR(IF(A2216="","","="&amp;SUBSTITUTE(SUBSTITUTE(SUBSTITUTE(A2216,"~","~~"),"*","~*"),"?","~?")),"")</f>
        <v/>
      </c>
      <c r="C2216" t="str">
        <f>IF($B2216="","",SUMIFS(dAmt,dCust,$B2216,dPer,"&gt;="&amp;pyFrom,dPer,"&lt;="&amp;pyTo,dAmt,"&gt;-1E+300",dFlt1,critFlt1,dFlt2,critFlt2,dFlt3,critFlt3))</f>
        <v/>
      </c>
      <c r="D2216" t="str">
        <f>IF($B2216="","",SUMIFS(dAmt,dCust,$B2216,dPer,"&gt;="&amp;cyFrom,dPer,"&lt;="&amp;cyTo,dAmt,"&gt;-1E+300",dFlt1,critFlt1,dFlt2,critFlt2,dFlt3,critFlt3))</f>
        <v/>
      </c>
      <c r="E2216" t="str">
        <f>IF($B2216="","",SUMIFS(dQty,dCust,$B2216,dPer,"&gt;="&amp;pyFrom,dPer,"&lt;="&amp;pyTo,dQty,"&gt;-1E+300",dFlt1,critFlt1,dFlt2,critFlt2,dFlt3,critFlt3))</f>
        <v/>
      </c>
      <c r="F2216" t="str">
        <f>IF($B2216="","",SUMIFS(dQty,dCust,$B2216,dPer,"&gt;="&amp;cyFrom,dPer,"&lt;="&amp;cyTo,dQty,"&gt;-1E+300",dFlt1,critFlt1,dFlt2,critFlt2,dFlt3,critFlt3))</f>
        <v/>
      </c>
      <c r="G2216">
        <f>IF($B2216="",0,IFERROR(IF(OR(C2216&lt;&gt;0,D2216&lt;&gt;0,E2216&lt;&gt;0,F2216&lt;&gt;0),1,0),1))</f>
        <v>0</v>
      </c>
      <c r="H2216" t="str">
        <f>IF(OR(G2216=0,E2216=0),"",C2216/E2216)</f>
        <v/>
      </c>
      <c r="I2216" t="str">
        <f>IF(OR(G2216=0,F2216=0),"",D2216/F2216)</f>
        <v/>
      </c>
      <c r="J2216" t="str">
        <f>IF(OR(H2216="",I2216=""),"",IF(H2216=0,"",I2216/H2216-1))</f>
        <v/>
      </c>
      <c r="K2216" t="str">
        <f>IF($B2216="","",IFERROR(IF(G2216=0,-2E+300,CHOOSE(sortIdx,ROUND(D2216,0),IF(J2216="",-1E+300,ROUND(-J2216,6)),IF(J2216="",-1E+300,ROUND(J2216,6)))),-1.5E+300))</f>
        <v/>
      </c>
      <c r="L2216" t="str">
        <f>IF(K2216="","",RANK(K2216,$K$2:$K$3001,0)+COUNTIF($K$2:K2216,K2216)-1)</f>
        <v/>
      </c>
    </row>
    <row r="2217">
      <c r="B2217" t="str">
        <f>IFERROR(IF(A2217="","","="&amp;SUBSTITUTE(SUBSTITUTE(SUBSTITUTE(A2217,"~","~~"),"*","~*"),"?","~?")),"")</f>
        <v/>
      </c>
      <c r="C2217" t="str">
        <f>IF($B2217="","",SUMIFS(dAmt,dCust,$B2217,dPer,"&gt;="&amp;pyFrom,dPer,"&lt;="&amp;pyTo,dAmt,"&gt;-1E+300",dFlt1,critFlt1,dFlt2,critFlt2,dFlt3,critFlt3))</f>
        <v/>
      </c>
      <c r="D2217" t="str">
        <f>IF($B2217="","",SUMIFS(dAmt,dCust,$B2217,dPer,"&gt;="&amp;cyFrom,dPer,"&lt;="&amp;cyTo,dAmt,"&gt;-1E+300",dFlt1,critFlt1,dFlt2,critFlt2,dFlt3,critFlt3))</f>
        <v/>
      </c>
      <c r="E2217" t="str">
        <f>IF($B2217="","",SUMIFS(dQty,dCust,$B2217,dPer,"&gt;="&amp;pyFrom,dPer,"&lt;="&amp;pyTo,dQty,"&gt;-1E+300",dFlt1,critFlt1,dFlt2,critFlt2,dFlt3,critFlt3))</f>
        <v/>
      </c>
      <c r="F2217" t="str">
        <f>IF($B2217="","",SUMIFS(dQty,dCust,$B2217,dPer,"&gt;="&amp;cyFrom,dPer,"&lt;="&amp;cyTo,dQty,"&gt;-1E+300",dFlt1,critFlt1,dFlt2,critFlt2,dFlt3,critFlt3))</f>
        <v/>
      </c>
      <c r="G2217">
        <f>IF($B2217="",0,IFERROR(IF(OR(C2217&lt;&gt;0,D2217&lt;&gt;0,E2217&lt;&gt;0,F2217&lt;&gt;0),1,0),1))</f>
        <v>0</v>
      </c>
      <c r="H2217" t="str">
        <f>IF(OR(G2217=0,E2217=0),"",C2217/E2217)</f>
        <v/>
      </c>
      <c r="I2217" t="str">
        <f>IF(OR(G2217=0,F2217=0),"",D2217/F2217)</f>
        <v/>
      </c>
      <c r="J2217" t="str">
        <f>IF(OR(H2217="",I2217=""),"",IF(H2217=0,"",I2217/H2217-1))</f>
        <v/>
      </c>
      <c r="K2217" t="str">
        <f>IF($B2217="","",IFERROR(IF(G2217=0,-2E+300,CHOOSE(sortIdx,ROUND(D2217,0),IF(J2217="",-1E+300,ROUND(-J2217,6)),IF(J2217="",-1E+300,ROUND(J2217,6)))),-1.5E+300))</f>
        <v/>
      </c>
      <c r="L2217" t="str">
        <f>IF(K2217="","",RANK(K2217,$K$2:$K$3001,0)+COUNTIF($K$2:K2217,K2217)-1)</f>
        <v/>
      </c>
    </row>
    <row r="2218">
      <c r="B2218" t="str">
        <f>IFERROR(IF(A2218="","","="&amp;SUBSTITUTE(SUBSTITUTE(SUBSTITUTE(A2218,"~","~~"),"*","~*"),"?","~?")),"")</f>
        <v/>
      </c>
      <c r="C2218" t="str">
        <f>IF($B2218="","",SUMIFS(dAmt,dCust,$B2218,dPer,"&gt;="&amp;pyFrom,dPer,"&lt;="&amp;pyTo,dAmt,"&gt;-1E+300",dFlt1,critFlt1,dFlt2,critFlt2,dFlt3,critFlt3))</f>
        <v/>
      </c>
      <c r="D2218" t="str">
        <f>IF($B2218="","",SUMIFS(dAmt,dCust,$B2218,dPer,"&gt;="&amp;cyFrom,dPer,"&lt;="&amp;cyTo,dAmt,"&gt;-1E+300",dFlt1,critFlt1,dFlt2,critFlt2,dFlt3,critFlt3))</f>
        <v/>
      </c>
      <c r="E2218" t="str">
        <f>IF($B2218="","",SUMIFS(dQty,dCust,$B2218,dPer,"&gt;="&amp;pyFrom,dPer,"&lt;="&amp;pyTo,dQty,"&gt;-1E+300",dFlt1,critFlt1,dFlt2,critFlt2,dFlt3,critFlt3))</f>
        <v/>
      </c>
      <c r="F2218" t="str">
        <f>IF($B2218="","",SUMIFS(dQty,dCust,$B2218,dPer,"&gt;="&amp;cyFrom,dPer,"&lt;="&amp;cyTo,dQty,"&gt;-1E+300",dFlt1,critFlt1,dFlt2,critFlt2,dFlt3,critFlt3))</f>
        <v/>
      </c>
      <c r="G2218">
        <f>IF($B2218="",0,IFERROR(IF(OR(C2218&lt;&gt;0,D2218&lt;&gt;0,E2218&lt;&gt;0,F2218&lt;&gt;0),1,0),1))</f>
        <v>0</v>
      </c>
      <c r="H2218" t="str">
        <f>IF(OR(G2218=0,E2218=0),"",C2218/E2218)</f>
        <v/>
      </c>
      <c r="I2218" t="str">
        <f>IF(OR(G2218=0,F2218=0),"",D2218/F2218)</f>
        <v/>
      </c>
      <c r="J2218" t="str">
        <f>IF(OR(H2218="",I2218=""),"",IF(H2218=0,"",I2218/H2218-1))</f>
        <v/>
      </c>
      <c r="K2218" t="str">
        <f>IF($B2218="","",IFERROR(IF(G2218=0,-2E+300,CHOOSE(sortIdx,ROUND(D2218,0),IF(J2218="",-1E+300,ROUND(-J2218,6)),IF(J2218="",-1E+300,ROUND(J2218,6)))),-1.5E+300))</f>
        <v/>
      </c>
      <c r="L2218" t="str">
        <f>IF(K2218="","",RANK(K2218,$K$2:$K$3001,0)+COUNTIF($K$2:K2218,K2218)-1)</f>
        <v/>
      </c>
    </row>
    <row r="2219">
      <c r="B2219" t="str">
        <f>IFERROR(IF(A2219="","","="&amp;SUBSTITUTE(SUBSTITUTE(SUBSTITUTE(A2219,"~","~~"),"*","~*"),"?","~?")),"")</f>
        <v/>
      </c>
      <c r="C2219" t="str">
        <f>IF($B2219="","",SUMIFS(dAmt,dCust,$B2219,dPer,"&gt;="&amp;pyFrom,dPer,"&lt;="&amp;pyTo,dAmt,"&gt;-1E+300",dFlt1,critFlt1,dFlt2,critFlt2,dFlt3,critFlt3))</f>
        <v/>
      </c>
      <c r="D2219" t="str">
        <f>IF($B2219="","",SUMIFS(dAmt,dCust,$B2219,dPer,"&gt;="&amp;cyFrom,dPer,"&lt;="&amp;cyTo,dAmt,"&gt;-1E+300",dFlt1,critFlt1,dFlt2,critFlt2,dFlt3,critFlt3))</f>
        <v/>
      </c>
      <c r="E2219" t="str">
        <f>IF($B2219="","",SUMIFS(dQty,dCust,$B2219,dPer,"&gt;="&amp;pyFrom,dPer,"&lt;="&amp;pyTo,dQty,"&gt;-1E+300",dFlt1,critFlt1,dFlt2,critFlt2,dFlt3,critFlt3))</f>
        <v/>
      </c>
      <c r="F2219" t="str">
        <f>IF($B2219="","",SUMIFS(dQty,dCust,$B2219,dPer,"&gt;="&amp;cyFrom,dPer,"&lt;="&amp;cyTo,dQty,"&gt;-1E+300",dFlt1,critFlt1,dFlt2,critFlt2,dFlt3,critFlt3))</f>
        <v/>
      </c>
      <c r="G2219">
        <f>IF($B2219="",0,IFERROR(IF(OR(C2219&lt;&gt;0,D2219&lt;&gt;0,E2219&lt;&gt;0,F2219&lt;&gt;0),1,0),1))</f>
        <v>0</v>
      </c>
      <c r="H2219" t="str">
        <f>IF(OR(G2219=0,E2219=0),"",C2219/E2219)</f>
        <v/>
      </c>
      <c r="I2219" t="str">
        <f>IF(OR(G2219=0,F2219=0),"",D2219/F2219)</f>
        <v/>
      </c>
      <c r="J2219" t="str">
        <f>IF(OR(H2219="",I2219=""),"",IF(H2219=0,"",I2219/H2219-1))</f>
        <v/>
      </c>
      <c r="K2219" t="str">
        <f>IF($B2219="","",IFERROR(IF(G2219=0,-2E+300,CHOOSE(sortIdx,ROUND(D2219,0),IF(J2219="",-1E+300,ROUND(-J2219,6)),IF(J2219="",-1E+300,ROUND(J2219,6)))),-1.5E+300))</f>
        <v/>
      </c>
      <c r="L2219" t="str">
        <f>IF(K2219="","",RANK(K2219,$K$2:$K$3001,0)+COUNTIF($K$2:K2219,K2219)-1)</f>
        <v/>
      </c>
    </row>
    <row r="2220">
      <c r="B2220" t="str">
        <f>IFERROR(IF(A2220="","","="&amp;SUBSTITUTE(SUBSTITUTE(SUBSTITUTE(A2220,"~","~~"),"*","~*"),"?","~?")),"")</f>
        <v/>
      </c>
      <c r="C2220" t="str">
        <f>IF($B2220="","",SUMIFS(dAmt,dCust,$B2220,dPer,"&gt;="&amp;pyFrom,dPer,"&lt;="&amp;pyTo,dAmt,"&gt;-1E+300",dFlt1,critFlt1,dFlt2,critFlt2,dFlt3,critFlt3))</f>
        <v/>
      </c>
      <c r="D2220" t="str">
        <f>IF($B2220="","",SUMIFS(dAmt,dCust,$B2220,dPer,"&gt;="&amp;cyFrom,dPer,"&lt;="&amp;cyTo,dAmt,"&gt;-1E+300",dFlt1,critFlt1,dFlt2,critFlt2,dFlt3,critFlt3))</f>
        <v/>
      </c>
      <c r="E2220" t="str">
        <f>IF($B2220="","",SUMIFS(dQty,dCust,$B2220,dPer,"&gt;="&amp;pyFrom,dPer,"&lt;="&amp;pyTo,dQty,"&gt;-1E+300",dFlt1,critFlt1,dFlt2,critFlt2,dFlt3,critFlt3))</f>
        <v/>
      </c>
      <c r="F2220" t="str">
        <f>IF($B2220="","",SUMIFS(dQty,dCust,$B2220,dPer,"&gt;="&amp;cyFrom,dPer,"&lt;="&amp;cyTo,dQty,"&gt;-1E+300",dFlt1,critFlt1,dFlt2,critFlt2,dFlt3,critFlt3))</f>
        <v/>
      </c>
      <c r="G2220">
        <f>IF($B2220="",0,IFERROR(IF(OR(C2220&lt;&gt;0,D2220&lt;&gt;0,E2220&lt;&gt;0,F2220&lt;&gt;0),1,0),1))</f>
        <v>0</v>
      </c>
      <c r="H2220" t="str">
        <f>IF(OR(G2220=0,E2220=0),"",C2220/E2220)</f>
        <v/>
      </c>
      <c r="I2220" t="str">
        <f>IF(OR(G2220=0,F2220=0),"",D2220/F2220)</f>
        <v/>
      </c>
      <c r="J2220" t="str">
        <f>IF(OR(H2220="",I2220=""),"",IF(H2220=0,"",I2220/H2220-1))</f>
        <v/>
      </c>
      <c r="K2220" t="str">
        <f>IF($B2220="","",IFERROR(IF(G2220=0,-2E+300,CHOOSE(sortIdx,ROUND(D2220,0),IF(J2220="",-1E+300,ROUND(-J2220,6)),IF(J2220="",-1E+300,ROUND(J2220,6)))),-1.5E+300))</f>
        <v/>
      </c>
      <c r="L2220" t="str">
        <f>IF(K2220="","",RANK(K2220,$K$2:$K$3001,0)+COUNTIF($K$2:K2220,K2220)-1)</f>
        <v/>
      </c>
    </row>
    <row r="2221">
      <c r="B2221" t="str">
        <f>IFERROR(IF(A2221="","","="&amp;SUBSTITUTE(SUBSTITUTE(SUBSTITUTE(A2221,"~","~~"),"*","~*"),"?","~?")),"")</f>
        <v/>
      </c>
      <c r="C2221" t="str">
        <f>IF($B2221="","",SUMIFS(dAmt,dCust,$B2221,dPer,"&gt;="&amp;pyFrom,dPer,"&lt;="&amp;pyTo,dAmt,"&gt;-1E+300",dFlt1,critFlt1,dFlt2,critFlt2,dFlt3,critFlt3))</f>
        <v/>
      </c>
      <c r="D2221" t="str">
        <f>IF($B2221="","",SUMIFS(dAmt,dCust,$B2221,dPer,"&gt;="&amp;cyFrom,dPer,"&lt;="&amp;cyTo,dAmt,"&gt;-1E+300",dFlt1,critFlt1,dFlt2,critFlt2,dFlt3,critFlt3))</f>
        <v/>
      </c>
      <c r="E2221" t="str">
        <f>IF($B2221="","",SUMIFS(dQty,dCust,$B2221,dPer,"&gt;="&amp;pyFrom,dPer,"&lt;="&amp;pyTo,dQty,"&gt;-1E+300",dFlt1,critFlt1,dFlt2,critFlt2,dFlt3,critFlt3))</f>
        <v/>
      </c>
      <c r="F2221" t="str">
        <f>IF($B2221="","",SUMIFS(dQty,dCust,$B2221,dPer,"&gt;="&amp;cyFrom,dPer,"&lt;="&amp;cyTo,dQty,"&gt;-1E+300",dFlt1,critFlt1,dFlt2,critFlt2,dFlt3,critFlt3))</f>
        <v/>
      </c>
      <c r="G2221">
        <f>IF($B2221="",0,IFERROR(IF(OR(C2221&lt;&gt;0,D2221&lt;&gt;0,E2221&lt;&gt;0,F2221&lt;&gt;0),1,0),1))</f>
        <v>0</v>
      </c>
      <c r="H2221" t="str">
        <f>IF(OR(G2221=0,E2221=0),"",C2221/E2221)</f>
        <v/>
      </c>
      <c r="I2221" t="str">
        <f>IF(OR(G2221=0,F2221=0),"",D2221/F2221)</f>
        <v/>
      </c>
      <c r="J2221" t="str">
        <f>IF(OR(H2221="",I2221=""),"",IF(H2221=0,"",I2221/H2221-1))</f>
        <v/>
      </c>
      <c r="K2221" t="str">
        <f>IF($B2221="","",IFERROR(IF(G2221=0,-2E+300,CHOOSE(sortIdx,ROUND(D2221,0),IF(J2221="",-1E+300,ROUND(-J2221,6)),IF(J2221="",-1E+300,ROUND(J2221,6)))),-1.5E+300))</f>
        <v/>
      </c>
      <c r="L2221" t="str">
        <f>IF(K2221="","",RANK(K2221,$K$2:$K$3001,0)+COUNTIF($K$2:K2221,K2221)-1)</f>
        <v/>
      </c>
    </row>
    <row r="2222">
      <c r="B2222" t="str">
        <f>IFERROR(IF(A2222="","","="&amp;SUBSTITUTE(SUBSTITUTE(SUBSTITUTE(A2222,"~","~~"),"*","~*"),"?","~?")),"")</f>
        <v/>
      </c>
      <c r="C2222" t="str">
        <f>IF($B2222="","",SUMIFS(dAmt,dCust,$B2222,dPer,"&gt;="&amp;pyFrom,dPer,"&lt;="&amp;pyTo,dAmt,"&gt;-1E+300",dFlt1,critFlt1,dFlt2,critFlt2,dFlt3,critFlt3))</f>
        <v/>
      </c>
      <c r="D2222" t="str">
        <f>IF($B2222="","",SUMIFS(dAmt,dCust,$B2222,dPer,"&gt;="&amp;cyFrom,dPer,"&lt;="&amp;cyTo,dAmt,"&gt;-1E+300",dFlt1,critFlt1,dFlt2,critFlt2,dFlt3,critFlt3))</f>
        <v/>
      </c>
      <c r="E2222" t="str">
        <f>IF($B2222="","",SUMIFS(dQty,dCust,$B2222,dPer,"&gt;="&amp;pyFrom,dPer,"&lt;="&amp;pyTo,dQty,"&gt;-1E+300",dFlt1,critFlt1,dFlt2,critFlt2,dFlt3,critFlt3))</f>
        <v/>
      </c>
      <c r="F2222" t="str">
        <f>IF($B2222="","",SUMIFS(dQty,dCust,$B2222,dPer,"&gt;="&amp;cyFrom,dPer,"&lt;="&amp;cyTo,dQty,"&gt;-1E+300",dFlt1,critFlt1,dFlt2,critFlt2,dFlt3,critFlt3))</f>
        <v/>
      </c>
      <c r="G2222">
        <f>IF($B2222="",0,IFERROR(IF(OR(C2222&lt;&gt;0,D2222&lt;&gt;0,E2222&lt;&gt;0,F2222&lt;&gt;0),1,0),1))</f>
        <v>0</v>
      </c>
      <c r="H2222" t="str">
        <f>IF(OR(G2222=0,E2222=0),"",C2222/E2222)</f>
        <v/>
      </c>
      <c r="I2222" t="str">
        <f>IF(OR(G2222=0,F2222=0),"",D2222/F2222)</f>
        <v/>
      </c>
      <c r="J2222" t="str">
        <f>IF(OR(H2222="",I2222=""),"",IF(H2222=0,"",I2222/H2222-1))</f>
        <v/>
      </c>
      <c r="K2222" t="str">
        <f>IF($B2222="","",IFERROR(IF(G2222=0,-2E+300,CHOOSE(sortIdx,ROUND(D2222,0),IF(J2222="",-1E+300,ROUND(-J2222,6)),IF(J2222="",-1E+300,ROUND(J2222,6)))),-1.5E+300))</f>
        <v/>
      </c>
      <c r="L2222" t="str">
        <f>IF(K2222="","",RANK(K2222,$K$2:$K$3001,0)+COUNTIF($K$2:K2222,K2222)-1)</f>
        <v/>
      </c>
    </row>
    <row r="2223">
      <c r="B2223" t="str">
        <f>IFERROR(IF(A2223="","","="&amp;SUBSTITUTE(SUBSTITUTE(SUBSTITUTE(A2223,"~","~~"),"*","~*"),"?","~?")),"")</f>
        <v/>
      </c>
      <c r="C2223" t="str">
        <f>IF($B2223="","",SUMIFS(dAmt,dCust,$B2223,dPer,"&gt;="&amp;pyFrom,dPer,"&lt;="&amp;pyTo,dAmt,"&gt;-1E+300",dFlt1,critFlt1,dFlt2,critFlt2,dFlt3,critFlt3))</f>
        <v/>
      </c>
      <c r="D2223" t="str">
        <f>IF($B2223="","",SUMIFS(dAmt,dCust,$B2223,dPer,"&gt;="&amp;cyFrom,dPer,"&lt;="&amp;cyTo,dAmt,"&gt;-1E+300",dFlt1,critFlt1,dFlt2,critFlt2,dFlt3,critFlt3))</f>
        <v/>
      </c>
      <c r="E2223" t="str">
        <f>IF($B2223="","",SUMIFS(dQty,dCust,$B2223,dPer,"&gt;="&amp;pyFrom,dPer,"&lt;="&amp;pyTo,dQty,"&gt;-1E+300",dFlt1,critFlt1,dFlt2,critFlt2,dFlt3,critFlt3))</f>
        <v/>
      </c>
      <c r="F2223" t="str">
        <f>IF($B2223="","",SUMIFS(dQty,dCust,$B2223,dPer,"&gt;="&amp;cyFrom,dPer,"&lt;="&amp;cyTo,dQty,"&gt;-1E+300",dFlt1,critFlt1,dFlt2,critFlt2,dFlt3,critFlt3))</f>
        <v/>
      </c>
      <c r="G2223">
        <f>IF($B2223="",0,IFERROR(IF(OR(C2223&lt;&gt;0,D2223&lt;&gt;0,E2223&lt;&gt;0,F2223&lt;&gt;0),1,0),1))</f>
        <v>0</v>
      </c>
      <c r="H2223" t="str">
        <f>IF(OR(G2223=0,E2223=0),"",C2223/E2223)</f>
        <v/>
      </c>
      <c r="I2223" t="str">
        <f>IF(OR(G2223=0,F2223=0),"",D2223/F2223)</f>
        <v/>
      </c>
      <c r="J2223" t="str">
        <f>IF(OR(H2223="",I2223=""),"",IF(H2223=0,"",I2223/H2223-1))</f>
        <v/>
      </c>
      <c r="K2223" t="str">
        <f>IF($B2223="","",IFERROR(IF(G2223=0,-2E+300,CHOOSE(sortIdx,ROUND(D2223,0),IF(J2223="",-1E+300,ROUND(-J2223,6)),IF(J2223="",-1E+300,ROUND(J2223,6)))),-1.5E+300))</f>
        <v/>
      </c>
      <c r="L2223" t="str">
        <f>IF(K2223="","",RANK(K2223,$K$2:$K$3001,0)+COUNTIF($K$2:K2223,K2223)-1)</f>
        <v/>
      </c>
    </row>
    <row r="2224">
      <c r="B2224" t="str">
        <f>IFERROR(IF(A2224="","","="&amp;SUBSTITUTE(SUBSTITUTE(SUBSTITUTE(A2224,"~","~~"),"*","~*"),"?","~?")),"")</f>
        <v/>
      </c>
      <c r="C2224" t="str">
        <f>IF($B2224="","",SUMIFS(dAmt,dCust,$B2224,dPer,"&gt;="&amp;pyFrom,dPer,"&lt;="&amp;pyTo,dAmt,"&gt;-1E+300",dFlt1,critFlt1,dFlt2,critFlt2,dFlt3,critFlt3))</f>
        <v/>
      </c>
      <c r="D2224" t="str">
        <f>IF($B2224="","",SUMIFS(dAmt,dCust,$B2224,dPer,"&gt;="&amp;cyFrom,dPer,"&lt;="&amp;cyTo,dAmt,"&gt;-1E+300",dFlt1,critFlt1,dFlt2,critFlt2,dFlt3,critFlt3))</f>
        <v/>
      </c>
      <c r="E2224" t="str">
        <f>IF($B2224="","",SUMIFS(dQty,dCust,$B2224,dPer,"&gt;="&amp;pyFrom,dPer,"&lt;="&amp;pyTo,dQty,"&gt;-1E+300",dFlt1,critFlt1,dFlt2,critFlt2,dFlt3,critFlt3))</f>
        <v/>
      </c>
      <c r="F2224" t="str">
        <f>IF($B2224="","",SUMIFS(dQty,dCust,$B2224,dPer,"&gt;="&amp;cyFrom,dPer,"&lt;="&amp;cyTo,dQty,"&gt;-1E+300",dFlt1,critFlt1,dFlt2,critFlt2,dFlt3,critFlt3))</f>
        <v/>
      </c>
      <c r="G2224">
        <f>IF($B2224="",0,IFERROR(IF(OR(C2224&lt;&gt;0,D2224&lt;&gt;0,E2224&lt;&gt;0,F2224&lt;&gt;0),1,0),1))</f>
        <v>0</v>
      </c>
      <c r="H2224" t="str">
        <f>IF(OR(G2224=0,E2224=0),"",C2224/E2224)</f>
        <v/>
      </c>
      <c r="I2224" t="str">
        <f>IF(OR(G2224=0,F2224=0),"",D2224/F2224)</f>
        <v/>
      </c>
      <c r="J2224" t="str">
        <f>IF(OR(H2224="",I2224=""),"",IF(H2224=0,"",I2224/H2224-1))</f>
        <v/>
      </c>
      <c r="K2224" t="str">
        <f>IF($B2224="","",IFERROR(IF(G2224=0,-2E+300,CHOOSE(sortIdx,ROUND(D2224,0),IF(J2224="",-1E+300,ROUND(-J2224,6)),IF(J2224="",-1E+300,ROUND(J2224,6)))),-1.5E+300))</f>
        <v/>
      </c>
      <c r="L2224" t="str">
        <f>IF(K2224="","",RANK(K2224,$K$2:$K$3001,0)+COUNTIF($K$2:K2224,K2224)-1)</f>
        <v/>
      </c>
    </row>
    <row r="2225">
      <c r="B2225" t="str">
        <f>IFERROR(IF(A2225="","","="&amp;SUBSTITUTE(SUBSTITUTE(SUBSTITUTE(A2225,"~","~~"),"*","~*"),"?","~?")),"")</f>
        <v/>
      </c>
      <c r="C2225" t="str">
        <f>IF($B2225="","",SUMIFS(dAmt,dCust,$B2225,dPer,"&gt;="&amp;pyFrom,dPer,"&lt;="&amp;pyTo,dAmt,"&gt;-1E+300",dFlt1,critFlt1,dFlt2,critFlt2,dFlt3,critFlt3))</f>
        <v/>
      </c>
      <c r="D2225" t="str">
        <f>IF($B2225="","",SUMIFS(dAmt,dCust,$B2225,dPer,"&gt;="&amp;cyFrom,dPer,"&lt;="&amp;cyTo,dAmt,"&gt;-1E+300",dFlt1,critFlt1,dFlt2,critFlt2,dFlt3,critFlt3))</f>
        <v/>
      </c>
      <c r="E2225" t="str">
        <f>IF($B2225="","",SUMIFS(dQty,dCust,$B2225,dPer,"&gt;="&amp;pyFrom,dPer,"&lt;="&amp;pyTo,dQty,"&gt;-1E+300",dFlt1,critFlt1,dFlt2,critFlt2,dFlt3,critFlt3))</f>
        <v/>
      </c>
      <c r="F2225" t="str">
        <f>IF($B2225="","",SUMIFS(dQty,dCust,$B2225,dPer,"&gt;="&amp;cyFrom,dPer,"&lt;="&amp;cyTo,dQty,"&gt;-1E+300",dFlt1,critFlt1,dFlt2,critFlt2,dFlt3,critFlt3))</f>
        <v/>
      </c>
      <c r="G2225">
        <f>IF($B2225="",0,IFERROR(IF(OR(C2225&lt;&gt;0,D2225&lt;&gt;0,E2225&lt;&gt;0,F2225&lt;&gt;0),1,0),1))</f>
        <v>0</v>
      </c>
      <c r="H2225" t="str">
        <f>IF(OR(G2225=0,E2225=0),"",C2225/E2225)</f>
        <v/>
      </c>
      <c r="I2225" t="str">
        <f>IF(OR(G2225=0,F2225=0),"",D2225/F2225)</f>
        <v/>
      </c>
      <c r="J2225" t="str">
        <f>IF(OR(H2225="",I2225=""),"",IF(H2225=0,"",I2225/H2225-1))</f>
        <v/>
      </c>
      <c r="K2225" t="str">
        <f>IF($B2225="","",IFERROR(IF(G2225=0,-2E+300,CHOOSE(sortIdx,ROUND(D2225,0),IF(J2225="",-1E+300,ROUND(-J2225,6)),IF(J2225="",-1E+300,ROUND(J2225,6)))),-1.5E+300))</f>
        <v/>
      </c>
      <c r="L2225" t="str">
        <f>IF(K2225="","",RANK(K2225,$K$2:$K$3001,0)+COUNTIF($K$2:K2225,K2225)-1)</f>
        <v/>
      </c>
    </row>
    <row r="2226">
      <c r="B2226" t="str">
        <f>IFERROR(IF(A2226="","","="&amp;SUBSTITUTE(SUBSTITUTE(SUBSTITUTE(A2226,"~","~~"),"*","~*"),"?","~?")),"")</f>
        <v/>
      </c>
      <c r="C2226" t="str">
        <f>IF($B2226="","",SUMIFS(dAmt,dCust,$B2226,dPer,"&gt;="&amp;pyFrom,dPer,"&lt;="&amp;pyTo,dAmt,"&gt;-1E+300",dFlt1,critFlt1,dFlt2,critFlt2,dFlt3,critFlt3))</f>
        <v/>
      </c>
      <c r="D2226" t="str">
        <f>IF($B2226="","",SUMIFS(dAmt,dCust,$B2226,dPer,"&gt;="&amp;cyFrom,dPer,"&lt;="&amp;cyTo,dAmt,"&gt;-1E+300",dFlt1,critFlt1,dFlt2,critFlt2,dFlt3,critFlt3))</f>
        <v/>
      </c>
      <c r="E2226" t="str">
        <f>IF($B2226="","",SUMIFS(dQty,dCust,$B2226,dPer,"&gt;="&amp;pyFrom,dPer,"&lt;="&amp;pyTo,dQty,"&gt;-1E+300",dFlt1,critFlt1,dFlt2,critFlt2,dFlt3,critFlt3))</f>
        <v/>
      </c>
      <c r="F2226" t="str">
        <f>IF($B2226="","",SUMIFS(dQty,dCust,$B2226,dPer,"&gt;="&amp;cyFrom,dPer,"&lt;="&amp;cyTo,dQty,"&gt;-1E+300",dFlt1,critFlt1,dFlt2,critFlt2,dFlt3,critFlt3))</f>
        <v/>
      </c>
      <c r="G2226">
        <f>IF($B2226="",0,IFERROR(IF(OR(C2226&lt;&gt;0,D2226&lt;&gt;0,E2226&lt;&gt;0,F2226&lt;&gt;0),1,0),1))</f>
        <v>0</v>
      </c>
      <c r="H2226" t="str">
        <f>IF(OR(G2226=0,E2226=0),"",C2226/E2226)</f>
        <v/>
      </c>
      <c r="I2226" t="str">
        <f>IF(OR(G2226=0,F2226=0),"",D2226/F2226)</f>
        <v/>
      </c>
      <c r="J2226" t="str">
        <f>IF(OR(H2226="",I2226=""),"",IF(H2226=0,"",I2226/H2226-1))</f>
        <v/>
      </c>
      <c r="K2226" t="str">
        <f>IF($B2226="","",IFERROR(IF(G2226=0,-2E+300,CHOOSE(sortIdx,ROUND(D2226,0),IF(J2226="",-1E+300,ROUND(-J2226,6)),IF(J2226="",-1E+300,ROUND(J2226,6)))),-1.5E+300))</f>
        <v/>
      </c>
      <c r="L2226" t="str">
        <f>IF(K2226="","",RANK(K2226,$K$2:$K$3001,0)+COUNTIF($K$2:K2226,K2226)-1)</f>
        <v/>
      </c>
    </row>
    <row r="2227">
      <c r="B2227" t="str">
        <f>IFERROR(IF(A2227="","","="&amp;SUBSTITUTE(SUBSTITUTE(SUBSTITUTE(A2227,"~","~~"),"*","~*"),"?","~?")),"")</f>
        <v/>
      </c>
      <c r="C2227" t="str">
        <f>IF($B2227="","",SUMIFS(dAmt,dCust,$B2227,dPer,"&gt;="&amp;pyFrom,dPer,"&lt;="&amp;pyTo,dAmt,"&gt;-1E+300",dFlt1,critFlt1,dFlt2,critFlt2,dFlt3,critFlt3))</f>
        <v/>
      </c>
      <c r="D2227" t="str">
        <f>IF($B2227="","",SUMIFS(dAmt,dCust,$B2227,dPer,"&gt;="&amp;cyFrom,dPer,"&lt;="&amp;cyTo,dAmt,"&gt;-1E+300",dFlt1,critFlt1,dFlt2,critFlt2,dFlt3,critFlt3))</f>
        <v/>
      </c>
      <c r="E2227" t="str">
        <f>IF($B2227="","",SUMIFS(dQty,dCust,$B2227,dPer,"&gt;="&amp;pyFrom,dPer,"&lt;="&amp;pyTo,dQty,"&gt;-1E+300",dFlt1,critFlt1,dFlt2,critFlt2,dFlt3,critFlt3))</f>
        <v/>
      </c>
      <c r="F2227" t="str">
        <f>IF($B2227="","",SUMIFS(dQty,dCust,$B2227,dPer,"&gt;="&amp;cyFrom,dPer,"&lt;="&amp;cyTo,dQty,"&gt;-1E+300",dFlt1,critFlt1,dFlt2,critFlt2,dFlt3,critFlt3))</f>
        <v/>
      </c>
      <c r="G2227">
        <f>IF($B2227="",0,IFERROR(IF(OR(C2227&lt;&gt;0,D2227&lt;&gt;0,E2227&lt;&gt;0,F2227&lt;&gt;0),1,0),1))</f>
        <v>0</v>
      </c>
      <c r="H2227" t="str">
        <f>IF(OR(G2227=0,E2227=0),"",C2227/E2227)</f>
        <v/>
      </c>
      <c r="I2227" t="str">
        <f>IF(OR(G2227=0,F2227=0),"",D2227/F2227)</f>
        <v/>
      </c>
      <c r="J2227" t="str">
        <f>IF(OR(H2227="",I2227=""),"",IF(H2227=0,"",I2227/H2227-1))</f>
        <v/>
      </c>
      <c r="K2227" t="str">
        <f>IF($B2227="","",IFERROR(IF(G2227=0,-2E+300,CHOOSE(sortIdx,ROUND(D2227,0),IF(J2227="",-1E+300,ROUND(-J2227,6)),IF(J2227="",-1E+300,ROUND(J2227,6)))),-1.5E+300))</f>
        <v/>
      </c>
      <c r="L2227" t="str">
        <f>IF(K2227="","",RANK(K2227,$K$2:$K$3001,0)+COUNTIF($K$2:K2227,K2227)-1)</f>
        <v/>
      </c>
    </row>
    <row r="2228">
      <c r="B2228" t="str">
        <f>IFERROR(IF(A2228="","","="&amp;SUBSTITUTE(SUBSTITUTE(SUBSTITUTE(A2228,"~","~~"),"*","~*"),"?","~?")),"")</f>
        <v/>
      </c>
      <c r="C2228" t="str">
        <f>IF($B2228="","",SUMIFS(dAmt,dCust,$B2228,dPer,"&gt;="&amp;pyFrom,dPer,"&lt;="&amp;pyTo,dAmt,"&gt;-1E+300",dFlt1,critFlt1,dFlt2,critFlt2,dFlt3,critFlt3))</f>
        <v/>
      </c>
      <c r="D2228" t="str">
        <f>IF($B2228="","",SUMIFS(dAmt,dCust,$B2228,dPer,"&gt;="&amp;cyFrom,dPer,"&lt;="&amp;cyTo,dAmt,"&gt;-1E+300",dFlt1,critFlt1,dFlt2,critFlt2,dFlt3,critFlt3))</f>
        <v/>
      </c>
      <c r="E2228" t="str">
        <f>IF($B2228="","",SUMIFS(dQty,dCust,$B2228,dPer,"&gt;="&amp;pyFrom,dPer,"&lt;="&amp;pyTo,dQty,"&gt;-1E+300",dFlt1,critFlt1,dFlt2,critFlt2,dFlt3,critFlt3))</f>
        <v/>
      </c>
      <c r="F2228" t="str">
        <f>IF($B2228="","",SUMIFS(dQty,dCust,$B2228,dPer,"&gt;="&amp;cyFrom,dPer,"&lt;="&amp;cyTo,dQty,"&gt;-1E+300",dFlt1,critFlt1,dFlt2,critFlt2,dFlt3,critFlt3))</f>
        <v/>
      </c>
      <c r="G2228">
        <f>IF($B2228="",0,IFERROR(IF(OR(C2228&lt;&gt;0,D2228&lt;&gt;0,E2228&lt;&gt;0,F2228&lt;&gt;0),1,0),1))</f>
        <v>0</v>
      </c>
      <c r="H2228" t="str">
        <f>IF(OR(G2228=0,E2228=0),"",C2228/E2228)</f>
        <v/>
      </c>
      <c r="I2228" t="str">
        <f>IF(OR(G2228=0,F2228=0),"",D2228/F2228)</f>
        <v/>
      </c>
      <c r="J2228" t="str">
        <f>IF(OR(H2228="",I2228=""),"",IF(H2228=0,"",I2228/H2228-1))</f>
        <v/>
      </c>
      <c r="K2228" t="str">
        <f>IF($B2228="","",IFERROR(IF(G2228=0,-2E+300,CHOOSE(sortIdx,ROUND(D2228,0),IF(J2228="",-1E+300,ROUND(-J2228,6)),IF(J2228="",-1E+300,ROUND(J2228,6)))),-1.5E+300))</f>
        <v/>
      </c>
      <c r="L2228" t="str">
        <f>IF(K2228="","",RANK(K2228,$K$2:$K$3001,0)+COUNTIF($K$2:K2228,K2228)-1)</f>
        <v/>
      </c>
    </row>
    <row r="2229">
      <c r="B2229" t="str">
        <f>IFERROR(IF(A2229="","","="&amp;SUBSTITUTE(SUBSTITUTE(SUBSTITUTE(A2229,"~","~~"),"*","~*"),"?","~?")),"")</f>
        <v/>
      </c>
      <c r="C2229" t="str">
        <f>IF($B2229="","",SUMIFS(dAmt,dCust,$B2229,dPer,"&gt;="&amp;pyFrom,dPer,"&lt;="&amp;pyTo,dAmt,"&gt;-1E+300",dFlt1,critFlt1,dFlt2,critFlt2,dFlt3,critFlt3))</f>
        <v/>
      </c>
      <c r="D2229" t="str">
        <f>IF($B2229="","",SUMIFS(dAmt,dCust,$B2229,dPer,"&gt;="&amp;cyFrom,dPer,"&lt;="&amp;cyTo,dAmt,"&gt;-1E+300",dFlt1,critFlt1,dFlt2,critFlt2,dFlt3,critFlt3))</f>
        <v/>
      </c>
      <c r="E2229" t="str">
        <f>IF($B2229="","",SUMIFS(dQty,dCust,$B2229,dPer,"&gt;="&amp;pyFrom,dPer,"&lt;="&amp;pyTo,dQty,"&gt;-1E+300",dFlt1,critFlt1,dFlt2,critFlt2,dFlt3,critFlt3))</f>
        <v/>
      </c>
      <c r="F2229" t="str">
        <f>IF($B2229="","",SUMIFS(dQty,dCust,$B2229,dPer,"&gt;="&amp;cyFrom,dPer,"&lt;="&amp;cyTo,dQty,"&gt;-1E+300",dFlt1,critFlt1,dFlt2,critFlt2,dFlt3,critFlt3))</f>
        <v/>
      </c>
      <c r="G2229">
        <f>IF($B2229="",0,IFERROR(IF(OR(C2229&lt;&gt;0,D2229&lt;&gt;0,E2229&lt;&gt;0,F2229&lt;&gt;0),1,0),1))</f>
        <v>0</v>
      </c>
      <c r="H2229" t="str">
        <f>IF(OR(G2229=0,E2229=0),"",C2229/E2229)</f>
        <v/>
      </c>
      <c r="I2229" t="str">
        <f>IF(OR(G2229=0,F2229=0),"",D2229/F2229)</f>
        <v/>
      </c>
      <c r="J2229" t="str">
        <f>IF(OR(H2229="",I2229=""),"",IF(H2229=0,"",I2229/H2229-1))</f>
        <v/>
      </c>
      <c r="K2229" t="str">
        <f>IF($B2229="","",IFERROR(IF(G2229=0,-2E+300,CHOOSE(sortIdx,ROUND(D2229,0),IF(J2229="",-1E+300,ROUND(-J2229,6)),IF(J2229="",-1E+300,ROUND(J2229,6)))),-1.5E+300))</f>
        <v/>
      </c>
      <c r="L2229" t="str">
        <f>IF(K2229="","",RANK(K2229,$K$2:$K$3001,0)+COUNTIF($K$2:K2229,K2229)-1)</f>
        <v/>
      </c>
    </row>
    <row r="2230">
      <c r="B2230" t="str">
        <f>IFERROR(IF(A2230="","","="&amp;SUBSTITUTE(SUBSTITUTE(SUBSTITUTE(A2230,"~","~~"),"*","~*"),"?","~?")),"")</f>
        <v/>
      </c>
      <c r="C2230" t="str">
        <f>IF($B2230="","",SUMIFS(dAmt,dCust,$B2230,dPer,"&gt;="&amp;pyFrom,dPer,"&lt;="&amp;pyTo,dAmt,"&gt;-1E+300",dFlt1,critFlt1,dFlt2,critFlt2,dFlt3,critFlt3))</f>
        <v/>
      </c>
      <c r="D2230" t="str">
        <f>IF($B2230="","",SUMIFS(dAmt,dCust,$B2230,dPer,"&gt;="&amp;cyFrom,dPer,"&lt;="&amp;cyTo,dAmt,"&gt;-1E+300",dFlt1,critFlt1,dFlt2,critFlt2,dFlt3,critFlt3))</f>
        <v/>
      </c>
      <c r="E2230" t="str">
        <f>IF($B2230="","",SUMIFS(dQty,dCust,$B2230,dPer,"&gt;="&amp;pyFrom,dPer,"&lt;="&amp;pyTo,dQty,"&gt;-1E+300",dFlt1,critFlt1,dFlt2,critFlt2,dFlt3,critFlt3))</f>
        <v/>
      </c>
      <c r="F2230" t="str">
        <f>IF($B2230="","",SUMIFS(dQty,dCust,$B2230,dPer,"&gt;="&amp;cyFrom,dPer,"&lt;="&amp;cyTo,dQty,"&gt;-1E+300",dFlt1,critFlt1,dFlt2,critFlt2,dFlt3,critFlt3))</f>
        <v/>
      </c>
      <c r="G2230">
        <f>IF($B2230="",0,IFERROR(IF(OR(C2230&lt;&gt;0,D2230&lt;&gt;0,E2230&lt;&gt;0,F2230&lt;&gt;0),1,0),1))</f>
        <v>0</v>
      </c>
      <c r="H2230" t="str">
        <f>IF(OR(G2230=0,E2230=0),"",C2230/E2230)</f>
        <v/>
      </c>
      <c r="I2230" t="str">
        <f>IF(OR(G2230=0,F2230=0),"",D2230/F2230)</f>
        <v/>
      </c>
      <c r="J2230" t="str">
        <f>IF(OR(H2230="",I2230=""),"",IF(H2230=0,"",I2230/H2230-1))</f>
        <v/>
      </c>
      <c r="K2230" t="str">
        <f>IF($B2230="","",IFERROR(IF(G2230=0,-2E+300,CHOOSE(sortIdx,ROUND(D2230,0),IF(J2230="",-1E+300,ROUND(-J2230,6)),IF(J2230="",-1E+300,ROUND(J2230,6)))),-1.5E+300))</f>
        <v/>
      </c>
      <c r="L2230" t="str">
        <f>IF(K2230="","",RANK(K2230,$K$2:$K$3001,0)+COUNTIF($K$2:K2230,K2230)-1)</f>
        <v/>
      </c>
    </row>
    <row r="2231">
      <c r="B2231" t="str">
        <f>IFERROR(IF(A2231="","","="&amp;SUBSTITUTE(SUBSTITUTE(SUBSTITUTE(A2231,"~","~~"),"*","~*"),"?","~?")),"")</f>
        <v/>
      </c>
      <c r="C2231" t="str">
        <f>IF($B2231="","",SUMIFS(dAmt,dCust,$B2231,dPer,"&gt;="&amp;pyFrom,dPer,"&lt;="&amp;pyTo,dAmt,"&gt;-1E+300",dFlt1,critFlt1,dFlt2,critFlt2,dFlt3,critFlt3))</f>
        <v/>
      </c>
      <c r="D2231" t="str">
        <f>IF($B2231="","",SUMIFS(dAmt,dCust,$B2231,dPer,"&gt;="&amp;cyFrom,dPer,"&lt;="&amp;cyTo,dAmt,"&gt;-1E+300",dFlt1,critFlt1,dFlt2,critFlt2,dFlt3,critFlt3))</f>
        <v/>
      </c>
      <c r="E2231" t="str">
        <f>IF($B2231="","",SUMIFS(dQty,dCust,$B2231,dPer,"&gt;="&amp;pyFrom,dPer,"&lt;="&amp;pyTo,dQty,"&gt;-1E+300",dFlt1,critFlt1,dFlt2,critFlt2,dFlt3,critFlt3))</f>
        <v/>
      </c>
      <c r="F2231" t="str">
        <f>IF($B2231="","",SUMIFS(dQty,dCust,$B2231,dPer,"&gt;="&amp;cyFrom,dPer,"&lt;="&amp;cyTo,dQty,"&gt;-1E+300",dFlt1,critFlt1,dFlt2,critFlt2,dFlt3,critFlt3))</f>
        <v/>
      </c>
      <c r="G2231">
        <f>IF($B2231="",0,IFERROR(IF(OR(C2231&lt;&gt;0,D2231&lt;&gt;0,E2231&lt;&gt;0,F2231&lt;&gt;0),1,0),1))</f>
        <v>0</v>
      </c>
      <c r="H2231" t="str">
        <f>IF(OR(G2231=0,E2231=0),"",C2231/E2231)</f>
        <v/>
      </c>
      <c r="I2231" t="str">
        <f>IF(OR(G2231=0,F2231=0),"",D2231/F2231)</f>
        <v/>
      </c>
      <c r="J2231" t="str">
        <f>IF(OR(H2231="",I2231=""),"",IF(H2231=0,"",I2231/H2231-1))</f>
        <v/>
      </c>
      <c r="K2231" t="str">
        <f>IF($B2231="","",IFERROR(IF(G2231=0,-2E+300,CHOOSE(sortIdx,ROUND(D2231,0),IF(J2231="",-1E+300,ROUND(-J2231,6)),IF(J2231="",-1E+300,ROUND(J2231,6)))),-1.5E+300))</f>
        <v/>
      </c>
      <c r="L2231" t="str">
        <f>IF(K2231="","",RANK(K2231,$K$2:$K$3001,0)+COUNTIF($K$2:K2231,K2231)-1)</f>
        <v/>
      </c>
    </row>
    <row r="2232">
      <c r="B2232" t="str">
        <f>IFERROR(IF(A2232="","","="&amp;SUBSTITUTE(SUBSTITUTE(SUBSTITUTE(A2232,"~","~~"),"*","~*"),"?","~?")),"")</f>
        <v/>
      </c>
      <c r="C2232" t="str">
        <f>IF($B2232="","",SUMIFS(dAmt,dCust,$B2232,dPer,"&gt;="&amp;pyFrom,dPer,"&lt;="&amp;pyTo,dAmt,"&gt;-1E+300",dFlt1,critFlt1,dFlt2,critFlt2,dFlt3,critFlt3))</f>
        <v/>
      </c>
      <c r="D2232" t="str">
        <f>IF($B2232="","",SUMIFS(dAmt,dCust,$B2232,dPer,"&gt;="&amp;cyFrom,dPer,"&lt;="&amp;cyTo,dAmt,"&gt;-1E+300",dFlt1,critFlt1,dFlt2,critFlt2,dFlt3,critFlt3))</f>
        <v/>
      </c>
      <c r="E2232" t="str">
        <f>IF($B2232="","",SUMIFS(dQty,dCust,$B2232,dPer,"&gt;="&amp;pyFrom,dPer,"&lt;="&amp;pyTo,dQty,"&gt;-1E+300",dFlt1,critFlt1,dFlt2,critFlt2,dFlt3,critFlt3))</f>
        <v/>
      </c>
      <c r="F2232" t="str">
        <f>IF($B2232="","",SUMIFS(dQty,dCust,$B2232,dPer,"&gt;="&amp;cyFrom,dPer,"&lt;="&amp;cyTo,dQty,"&gt;-1E+300",dFlt1,critFlt1,dFlt2,critFlt2,dFlt3,critFlt3))</f>
        <v/>
      </c>
      <c r="G2232">
        <f>IF($B2232="",0,IFERROR(IF(OR(C2232&lt;&gt;0,D2232&lt;&gt;0,E2232&lt;&gt;0,F2232&lt;&gt;0),1,0),1))</f>
        <v>0</v>
      </c>
      <c r="H2232" t="str">
        <f>IF(OR(G2232=0,E2232=0),"",C2232/E2232)</f>
        <v/>
      </c>
      <c r="I2232" t="str">
        <f>IF(OR(G2232=0,F2232=0),"",D2232/F2232)</f>
        <v/>
      </c>
      <c r="J2232" t="str">
        <f>IF(OR(H2232="",I2232=""),"",IF(H2232=0,"",I2232/H2232-1))</f>
        <v/>
      </c>
      <c r="K2232" t="str">
        <f>IF($B2232="","",IFERROR(IF(G2232=0,-2E+300,CHOOSE(sortIdx,ROUND(D2232,0),IF(J2232="",-1E+300,ROUND(-J2232,6)),IF(J2232="",-1E+300,ROUND(J2232,6)))),-1.5E+300))</f>
        <v/>
      </c>
      <c r="L2232" t="str">
        <f>IF(K2232="","",RANK(K2232,$K$2:$K$3001,0)+COUNTIF($K$2:K2232,K2232)-1)</f>
        <v/>
      </c>
    </row>
    <row r="2233">
      <c r="B2233" t="str">
        <f>IFERROR(IF(A2233="","","="&amp;SUBSTITUTE(SUBSTITUTE(SUBSTITUTE(A2233,"~","~~"),"*","~*"),"?","~?")),"")</f>
        <v/>
      </c>
      <c r="C2233" t="str">
        <f>IF($B2233="","",SUMIFS(dAmt,dCust,$B2233,dPer,"&gt;="&amp;pyFrom,dPer,"&lt;="&amp;pyTo,dAmt,"&gt;-1E+300",dFlt1,critFlt1,dFlt2,critFlt2,dFlt3,critFlt3))</f>
        <v/>
      </c>
      <c r="D2233" t="str">
        <f>IF($B2233="","",SUMIFS(dAmt,dCust,$B2233,dPer,"&gt;="&amp;cyFrom,dPer,"&lt;="&amp;cyTo,dAmt,"&gt;-1E+300",dFlt1,critFlt1,dFlt2,critFlt2,dFlt3,critFlt3))</f>
        <v/>
      </c>
      <c r="E2233" t="str">
        <f>IF($B2233="","",SUMIFS(dQty,dCust,$B2233,dPer,"&gt;="&amp;pyFrom,dPer,"&lt;="&amp;pyTo,dQty,"&gt;-1E+300",dFlt1,critFlt1,dFlt2,critFlt2,dFlt3,critFlt3))</f>
        <v/>
      </c>
      <c r="F2233" t="str">
        <f>IF($B2233="","",SUMIFS(dQty,dCust,$B2233,dPer,"&gt;="&amp;cyFrom,dPer,"&lt;="&amp;cyTo,dQty,"&gt;-1E+300",dFlt1,critFlt1,dFlt2,critFlt2,dFlt3,critFlt3))</f>
        <v/>
      </c>
      <c r="G2233">
        <f>IF($B2233="",0,IFERROR(IF(OR(C2233&lt;&gt;0,D2233&lt;&gt;0,E2233&lt;&gt;0,F2233&lt;&gt;0),1,0),1))</f>
        <v>0</v>
      </c>
      <c r="H2233" t="str">
        <f>IF(OR(G2233=0,E2233=0),"",C2233/E2233)</f>
        <v/>
      </c>
      <c r="I2233" t="str">
        <f>IF(OR(G2233=0,F2233=0),"",D2233/F2233)</f>
        <v/>
      </c>
      <c r="J2233" t="str">
        <f>IF(OR(H2233="",I2233=""),"",IF(H2233=0,"",I2233/H2233-1))</f>
        <v/>
      </c>
      <c r="K2233" t="str">
        <f>IF($B2233="","",IFERROR(IF(G2233=0,-2E+300,CHOOSE(sortIdx,ROUND(D2233,0),IF(J2233="",-1E+300,ROUND(-J2233,6)),IF(J2233="",-1E+300,ROUND(J2233,6)))),-1.5E+300))</f>
        <v/>
      </c>
      <c r="L2233" t="str">
        <f>IF(K2233="","",RANK(K2233,$K$2:$K$3001,0)+COUNTIF($K$2:K2233,K2233)-1)</f>
        <v/>
      </c>
    </row>
    <row r="2234">
      <c r="B2234" t="str">
        <f>IFERROR(IF(A2234="","","="&amp;SUBSTITUTE(SUBSTITUTE(SUBSTITUTE(A2234,"~","~~"),"*","~*"),"?","~?")),"")</f>
        <v/>
      </c>
      <c r="C2234" t="str">
        <f>IF($B2234="","",SUMIFS(dAmt,dCust,$B2234,dPer,"&gt;="&amp;pyFrom,dPer,"&lt;="&amp;pyTo,dAmt,"&gt;-1E+300",dFlt1,critFlt1,dFlt2,critFlt2,dFlt3,critFlt3))</f>
        <v/>
      </c>
      <c r="D2234" t="str">
        <f>IF($B2234="","",SUMIFS(dAmt,dCust,$B2234,dPer,"&gt;="&amp;cyFrom,dPer,"&lt;="&amp;cyTo,dAmt,"&gt;-1E+300",dFlt1,critFlt1,dFlt2,critFlt2,dFlt3,critFlt3))</f>
        <v/>
      </c>
      <c r="E2234" t="str">
        <f>IF($B2234="","",SUMIFS(dQty,dCust,$B2234,dPer,"&gt;="&amp;pyFrom,dPer,"&lt;="&amp;pyTo,dQty,"&gt;-1E+300",dFlt1,critFlt1,dFlt2,critFlt2,dFlt3,critFlt3))</f>
        <v/>
      </c>
      <c r="F2234" t="str">
        <f>IF($B2234="","",SUMIFS(dQty,dCust,$B2234,dPer,"&gt;="&amp;cyFrom,dPer,"&lt;="&amp;cyTo,dQty,"&gt;-1E+300",dFlt1,critFlt1,dFlt2,critFlt2,dFlt3,critFlt3))</f>
        <v/>
      </c>
      <c r="G2234">
        <f>IF($B2234="",0,IFERROR(IF(OR(C2234&lt;&gt;0,D2234&lt;&gt;0,E2234&lt;&gt;0,F2234&lt;&gt;0),1,0),1))</f>
        <v>0</v>
      </c>
      <c r="H2234" t="str">
        <f>IF(OR(G2234=0,E2234=0),"",C2234/E2234)</f>
        <v/>
      </c>
      <c r="I2234" t="str">
        <f>IF(OR(G2234=0,F2234=0),"",D2234/F2234)</f>
        <v/>
      </c>
      <c r="J2234" t="str">
        <f>IF(OR(H2234="",I2234=""),"",IF(H2234=0,"",I2234/H2234-1))</f>
        <v/>
      </c>
      <c r="K2234" t="str">
        <f>IF($B2234="","",IFERROR(IF(G2234=0,-2E+300,CHOOSE(sortIdx,ROUND(D2234,0),IF(J2234="",-1E+300,ROUND(-J2234,6)),IF(J2234="",-1E+300,ROUND(J2234,6)))),-1.5E+300))</f>
        <v/>
      </c>
      <c r="L2234" t="str">
        <f>IF(K2234="","",RANK(K2234,$K$2:$K$3001,0)+COUNTIF($K$2:K2234,K2234)-1)</f>
        <v/>
      </c>
    </row>
    <row r="2235">
      <c r="B2235" t="str">
        <f>IFERROR(IF(A2235="","","="&amp;SUBSTITUTE(SUBSTITUTE(SUBSTITUTE(A2235,"~","~~"),"*","~*"),"?","~?")),"")</f>
        <v/>
      </c>
      <c r="C2235" t="str">
        <f>IF($B2235="","",SUMIFS(dAmt,dCust,$B2235,dPer,"&gt;="&amp;pyFrom,dPer,"&lt;="&amp;pyTo,dAmt,"&gt;-1E+300",dFlt1,critFlt1,dFlt2,critFlt2,dFlt3,critFlt3))</f>
        <v/>
      </c>
      <c r="D2235" t="str">
        <f>IF($B2235="","",SUMIFS(dAmt,dCust,$B2235,dPer,"&gt;="&amp;cyFrom,dPer,"&lt;="&amp;cyTo,dAmt,"&gt;-1E+300",dFlt1,critFlt1,dFlt2,critFlt2,dFlt3,critFlt3))</f>
        <v/>
      </c>
      <c r="E2235" t="str">
        <f>IF($B2235="","",SUMIFS(dQty,dCust,$B2235,dPer,"&gt;="&amp;pyFrom,dPer,"&lt;="&amp;pyTo,dQty,"&gt;-1E+300",dFlt1,critFlt1,dFlt2,critFlt2,dFlt3,critFlt3))</f>
        <v/>
      </c>
      <c r="F2235" t="str">
        <f>IF($B2235="","",SUMIFS(dQty,dCust,$B2235,dPer,"&gt;="&amp;cyFrom,dPer,"&lt;="&amp;cyTo,dQty,"&gt;-1E+300",dFlt1,critFlt1,dFlt2,critFlt2,dFlt3,critFlt3))</f>
        <v/>
      </c>
      <c r="G2235">
        <f>IF($B2235="",0,IFERROR(IF(OR(C2235&lt;&gt;0,D2235&lt;&gt;0,E2235&lt;&gt;0,F2235&lt;&gt;0),1,0),1))</f>
        <v>0</v>
      </c>
      <c r="H2235" t="str">
        <f>IF(OR(G2235=0,E2235=0),"",C2235/E2235)</f>
        <v/>
      </c>
      <c r="I2235" t="str">
        <f>IF(OR(G2235=0,F2235=0),"",D2235/F2235)</f>
        <v/>
      </c>
      <c r="J2235" t="str">
        <f>IF(OR(H2235="",I2235=""),"",IF(H2235=0,"",I2235/H2235-1))</f>
        <v/>
      </c>
      <c r="K2235" t="str">
        <f>IF($B2235="","",IFERROR(IF(G2235=0,-2E+300,CHOOSE(sortIdx,ROUND(D2235,0),IF(J2235="",-1E+300,ROUND(-J2235,6)),IF(J2235="",-1E+300,ROUND(J2235,6)))),-1.5E+300))</f>
        <v/>
      </c>
      <c r="L2235" t="str">
        <f>IF(K2235="","",RANK(K2235,$K$2:$K$3001,0)+COUNTIF($K$2:K2235,K2235)-1)</f>
        <v/>
      </c>
    </row>
    <row r="2236">
      <c r="B2236" t="str">
        <f>IFERROR(IF(A2236="","","="&amp;SUBSTITUTE(SUBSTITUTE(SUBSTITUTE(A2236,"~","~~"),"*","~*"),"?","~?")),"")</f>
        <v/>
      </c>
      <c r="C2236" t="str">
        <f>IF($B2236="","",SUMIFS(dAmt,dCust,$B2236,dPer,"&gt;="&amp;pyFrom,dPer,"&lt;="&amp;pyTo,dAmt,"&gt;-1E+300",dFlt1,critFlt1,dFlt2,critFlt2,dFlt3,critFlt3))</f>
        <v/>
      </c>
      <c r="D2236" t="str">
        <f>IF($B2236="","",SUMIFS(dAmt,dCust,$B2236,dPer,"&gt;="&amp;cyFrom,dPer,"&lt;="&amp;cyTo,dAmt,"&gt;-1E+300",dFlt1,critFlt1,dFlt2,critFlt2,dFlt3,critFlt3))</f>
        <v/>
      </c>
      <c r="E2236" t="str">
        <f>IF($B2236="","",SUMIFS(dQty,dCust,$B2236,dPer,"&gt;="&amp;pyFrom,dPer,"&lt;="&amp;pyTo,dQty,"&gt;-1E+300",dFlt1,critFlt1,dFlt2,critFlt2,dFlt3,critFlt3))</f>
        <v/>
      </c>
      <c r="F2236" t="str">
        <f>IF($B2236="","",SUMIFS(dQty,dCust,$B2236,dPer,"&gt;="&amp;cyFrom,dPer,"&lt;="&amp;cyTo,dQty,"&gt;-1E+300",dFlt1,critFlt1,dFlt2,critFlt2,dFlt3,critFlt3))</f>
        <v/>
      </c>
      <c r="G2236">
        <f>IF($B2236="",0,IFERROR(IF(OR(C2236&lt;&gt;0,D2236&lt;&gt;0,E2236&lt;&gt;0,F2236&lt;&gt;0),1,0),1))</f>
        <v>0</v>
      </c>
      <c r="H2236" t="str">
        <f>IF(OR(G2236=0,E2236=0),"",C2236/E2236)</f>
        <v/>
      </c>
      <c r="I2236" t="str">
        <f>IF(OR(G2236=0,F2236=0),"",D2236/F2236)</f>
        <v/>
      </c>
      <c r="J2236" t="str">
        <f>IF(OR(H2236="",I2236=""),"",IF(H2236=0,"",I2236/H2236-1))</f>
        <v/>
      </c>
      <c r="K2236" t="str">
        <f>IF($B2236="","",IFERROR(IF(G2236=0,-2E+300,CHOOSE(sortIdx,ROUND(D2236,0),IF(J2236="",-1E+300,ROUND(-J2236,6)),IF(J2236="",-1E+300,ROUND(J2236,6)))),-1.5E+300))</f>
        <v/>
      </c>
      <c r="L2236" t="str">
        <f>IF(K2236="","",RANK(K2236,$K$2:$K$3001,0)+COUNTIF($K$2:K2236,K2236)-1)</f>
        <v/>
      </c>
    </row>
    <row r="2237">
      <c r="B2237" t="str">
        <f>IFERROR(IF(A2237="","","="&amp;SUBSTITUTE(SUBSTITUTE(SUBSTITUTE(A2237,"~","~~"),"*","~*"),"?","~?")),"")</f>
        <v/>
      </c>
      <c r="C2237" t="str">
        <f>IF($B2237="","",SUMIFS(dAmt,dCust,$B2237,dPer,"&gt;="&amp;pyFrom,dPer,"&lt;="&amp;pyTo,dAmt,"&gt;-1E+300",dFlt1,critFlt1,dFlt2,critFlt2,dFlt3,critFlt3))</f>
        <v/>
      </c>
      <c r="D2237" t="str">
        <f>IF($B2237="","",SUMIFS(dAmt,dCust,$B2237,dPer,"&gt;="&amp;cyFrom,dPer,"&lt;="&amp;cyTo,dAmt,"&gt;-1E+300",dFlt1,critFlt1,dFlt2,critFlt2,dFlt3,critFlt3))</f>
        <v/>
      </c>
      <c r="E2237" t="str">
        <f>IF($B2237="","",SUMIFS(dQty,dCust,$B2237,dPer,"&gt;="&amp;pyFrom,dPer,"&lt;="&amp;pyTo,dQty,"&gt;-1E+300",dFlt1,critFlt1,dFlt2,critFlt2,dFlt3,critFlt3))</f>
        <v/>
      </c>
      <c r="F2237" t="str">
        <f>IF($B2237="","",SUMIFS(dQty,dCust,$B2237,dPer,"&gt;="&amp;cyFrom,dPer,"&lt;="&amp;cyTo,dQty,"&gt;-1E+300",dFlt1,critFlt1,dFlt2,critFlt2,dFlt3,critFlt3))</f>
        <v/>
      </c>
      <c r="G2237">
        <f>IF($B2237="",0,IFERROR(IF(OR(C2237&lt;&gt;0,D2237&lt;&gt;0,E2237&lt;&gt;0,F2237&lt;&gt;0),1,0),1))</f>
        <v>0</v>
      </c>
      <c r="H2237" t="str">
        <f>IF(OR(G2237=0,E2237=0),"",C2237/E2237)</f>
        <v/>
      </c>
      <c r="I2237" t="str">
        <f>IF(OR(G2237=0,F2237=0),"",D2237/F2237)</f>
        <v/>
      </c>
      <c r="J2237" t="str">
        <f>IF(OR(H2237="",I2237=""),"",IF(H2237=0,"",I2237/H2237-1))</f>
        <v/>
      </c>
      <c r="K2237" t="str">
        <f>IF($B2237="","",IFERROR(IF(G2237=0,-2E+300,CHOOSE(sortIdx,ROUND(D2237,0),IF(J2237="",-1E+300,ROUND(-J2237,6)),IF(J2237="",-1E+300,ROUND(J2237,6)))),-1.5E+300))</f>
        <v/>
      </c>
      <c r="L2237" t="str">
        <f>IF(K2237="","",RANK(K2237,$K$2:$K$3001,0)+COUNTIF($K$2:K2237,K2237)-1)</f>
        <v/>
      </c>
    </row>
    <row r="2238">
      <c r="B2238" t="str">
        <f>IFERROR(IF(A2238="","","="&amp;SUBSTITUTE(SUBSTITUTE(SUBSTITUTE(A2238,"~","~~"),"*","~*"),"?","~?")),"")</f>
        <v/>
      </c>
      <c r="C2238" t="str">
        <f>IF($B2238="","",SUMIFS(dAmt,dCust,$B2238,dPer,"&gt;="&amp;pyFrom,dPer,"&lt;="&amp;pyTo,dAmt,"&gt;-1E+300",dFlt1,critFlt1,dFlt2,critFlt2,dFlt3,critFlt3))</f>
        <v/>
      </c>
      <c r="D2238" t="str">
        <f>IF($B2238="","",SUMIFS(dAmt,dCust,$B2238,dPer,"&gt;="&amp;cyFrom,dPer,"&lt;="&amp;cyTo,dAmt,"&gt;-1E+300",dFlt1,critFlt1,dFlt2,critFlt2,dFlt3,critFlt3))</f>
        <v/>
      </c>
      <c r="E2238" t="str">
        <f>IF($B2238="","",SUMIFS(dQty,dCust,$B2238,dPer,"&gt;="&amp;pyFrom,dPer,"&lt;="&amp;pyTo,dQty,"&gt;-1E+300",dFlt1,critFlt1,dFlt2,critFlt2,dFlt3,critFlt3))</f>
        <v/>
      </c>
      <c r="F2238" t="str">
        <f>IF($B2238="","",SUMIFS(dQty,dCust,$B2238,dPer,"&gt;="&amp;cyFrom,dPer,"&lt;="&amp;cyTo,dQty,"&gt;-1E+300",dFlt1,critFlt1,dFlt2,critFlt2,dFlt3,critFlt3))</f>
        <v/>
      </c>
      <c r="G2238">
        <f>IF($B2238="",0,IFERROR(IF(OR(C2238&lt;&gt;0,D2238&lt;&gt;0,E2238&lt;&gt;0,F2238&lt;&gt;0),1,0),1))</f>
        <v>0</v>
      </c>
      <c r="H2238" t="str">
        <f>IF(OR(G2238=0,E2238=0),"",C2238/E2238)</f>
        <v/>
      </c>
      <c r="I2238" t="str">
        <f>IF(OR(G2238=0,F2238=0),"",D2238/F2238)</f>
        <v/>
      </c>
      <c r="J2238" t="str">
        <f>IF(OR(H2238="",I2238=""),"",IF(H2238=0,"",I2238/H2238-1))</f>
        <v/>
      </c>
      <c r="K2238" t="str">
        <f>IF($B2238="","",IFERROR(IF(G2238=0,-2E+300,CHOOSE(sortIdx,ROUND(D2238,0),IF(J2238="",-1E+300,ROUND(-J2238,6)),IF(J2238="",-1E+300,ROUND(J2238,6)))),-1.5E+300))</f>
        <v/>
      </c>
      <c r="L2238" t="str">
        <f>IF(K2238="","",RANK(K2238,$K$2:$K$3001,0)+COUNTIF($K$2:K2238,K2238)-1)</f>
        <v/>
      </c>
    </row>
    <row r="2239">
      <c r="B2239" t="str">
        <f>IFERROR(IF(A2239="","","="&amp;SUBSTITUTE(SUBSTITUTE(SUBSTITUTE(A2239,"~","~~"),"*","~*"),"?","~?")),"")</f>
        <v/>
      </c>
      <c r="C2239" t="str">
        <f>IF($B2239="","",SUMIFS(dAmt,dCust,$B2239,dPer,"&gt;="&amp;pyFrom,dPer,"&lt;="&amp;pyTo,dAmt,"&gt;-1E+300",dFlt1,critFlt1,dFlt2,critFlt2,dFlt3,critFlt3))</f>
        <v/>
      </c>
      <c r="D2239" t="str">
        <f>IF($B2239="","",SUMIFS(dAmt,dCust,$B2239,dPer,"&gt;="&amp;cyFrom,dPer,"&lt;="&amp;cyTo,dAmt,"&gt;-1E+300",dFlt1,critFlt1,dFlt2,critFlt2,dFlt3,critFlt3))</f>
        <v/>
      </c>
      <c r="E2239" t="str">
        <f>IF($B2239="","",SUMIFS(dQty,dCust,$B2239,dPer,"&gt;="&amp;pyFrom,dPer,"&lt;="&amp;pyTo,dQty,"&gt;-1E+300",dFlt1,critFlt1,dFlt2,critFlt2,dFlt3,critFlt3))</f>
        <v/>
      </c>
      <c r="F2239" t="str">
        <f>IF($B2239="","",SUMIFS(dQty,dCust,$B2239,dPer,"&gt;="&amp;cyFrom,dPer,"&lt;="&amp;cyTo,dQty,"&gt;-1E+300",dFlt1,critFlt1,dFlt2,critFlt2,dFlt3,critFlt3))</f>
        <v/>
      </c>
      <c r="G2239">
        <f>IF($B2239="",0,IFERROR(IF(OR(C2239&lt;&gt;0,D2239&lt;&gt;0,E2239&lt;&gt;0,F2239&lt;&gt;0),1,0),1))</f>
        <v>0</v>
      </c>
      <c r="H2239" t="str">
        <f>IF(OR(G2239=0,E2239=0),"",C2239/E2239)</f>
        <v/>
      </c>
      <c r="I2239" t="str">
        <f>IF(OR(G2239=0,F2239=0),"",D2239/F2239)</f>
        <v/>
      </c>
      <c r="J2239" t="str">
        <f>IF(OR(H2239="",I2239=""),"",IF(H2239=0,"",I2239/H2239-1))</f>
        <v/>
      </c>
      <c r="K2239" t="str">
        <f>IF($B2239="","",IFERROR(IF(G2239=0,-2E+300,CHOOSE(sortIdx,ROUND(D2239,0),IF(J2239="",-1E+300,ROUND(-J2239,6)),IF(J2239="",-1E+300,ROUND(J2239,6)))),-1.5E+300))</f>
        <v/>
      </c>
      <c r="L2239" t="str">
        <f>IF(K2239="","",RANK(K2239,$K$2:$K$3001,0)+COUNTIF($K$2:K2239,K2239)-1)</f>
        <v/>
      </c>
    </row>
    <row r="2240">
      <c r="B2240" t="str">
        <f>IFERROR(IF(A2240="","","="&amp;SUBSTITUTE(SUBSTITUTE(SUBSTITUTE(A2240,"~","~~"),"*","~*"),"?","~?")),"")</f>
        <v/>
      </c>
      <c r="C2240" t="str">
        <f>IF($B2240="","",SUMIFS(dAmt,dCust,$B2240,dPer,"&gt;="&amp;pyFrom,dPer,"&lt;="&amp;pyTo,dAmt,"&gt;-1E+300",dFlt1,critFlt1,dFlt2,critFlt2,dFlt3,critFlt3))</f>
        <v/>
      </c>
      <c r="D2240" t="str">
        <f>IF($B2240="","",SUMIFS(dAmt,dCust,$B2240,dPer,"&gt;="&amp;cyFrom,dPer,"&lt;="&amp;cyTo,dAmt,"&gt;-1E+300",dFlt1,critFlt1,dFlt2,critFlt2,dFlt3,critFlt3))</f>
        <v/>
      </c>
      <c r="E2240" t="str">
        <f>IF($B2240="","",SUMIFS(dQty,dCust,$B2240,dPer,"&gt;="&amp;pyFrom,dPer,"&lt;="&amp;pyTo,dQty,"&gt;-1E+300",dFlt1,critFlt1,dFlt2,critFlt2,dFlt3,critFlt3))</f>
        <v/>
      </c>
      <c r="F2240" t="str">
        <f>IF($B2240="","",SUMIFS(dQty,dCust,$B2240,dPer,"&gt;="&amp;cyFrom,dPer,"&lt;="&amp;cyTo,dQty,"&gt;-1E+300",dFlt1,critFlt1,dFlt2,critFlt2,dFlt3,critFlt3))</f>
        <v/>
      </c>
      <c r="G2240">
        <f>IF($B2240="",0,IFERROR(IF(OR(C2240&lt;&gt;0,D2240&lt;&gt;0,E2240&lt;&gt;0,F2240&lt;&gt;0),1,0),1))</f>
        <v>0</v>
      </c>
      <c r="H2240" t="str">
        <f>IF(OR(G2240=0,E2240=0),"",C2240/E2240)</f>
        <v/>
      </c>
      <c r="I2240" t="str">
        <f>IF(OR(G2240=0,F2240=0),"",D2240/F2240)</f>
        <v/>
      </c>
      <c r="J2240" t="str">
        <f>IF(OR(H2240="",I2240=""),"",IF(H2240=0,"",I2240/H2240-1))</f>
        <v/>
      </c>
      <c r="K2240" t="str">
        <f>IF($B2240="","",IFERROR(IF(G2240=0,-2E+300,CHOOSE(sortIdx,ROUND(D2240,0),IF(J2240="",-1E+300,ROUND(-J2240,6)),IF(J2240="",-1E+300,ROUND(J2240,6)))),-1.5E+300))</f>
        <v/>
      </c>
      <c r="L2240" t="str">
        <f>IF(K2240="","",RANK(K2240,$K$2:$K$3001,0)+COUNTIF($K$2:K2240,K2240)-1)</f>
        <v/>
      </c>
    </row>
    <row r="2241">
      <c r="B2241" t="str">
        <f>IFERROR(IF(A2241="","","="&amp;SUBSTITUTE(SUBSTITUTE(SUBSTITUTE(A2241,"~","~~"),"*","~*"),"?","~?")),"")</f>
        <v/>
      </c>
      <c r="C2241" t="str">
        <f>IF($B2241="","",SUMIFS(dAmt,dCust,$B2241,dPer,"&gt;="&amp;pyFrom,dPer,"&lt;="&amp;pyTo,dAmt,"&gt;-1E+300",dFlt1,critFlt1,dFlt2,critFlt2,dFlt3,critFlt3))</f>
        <v/>
      </c>
      <c r="D2241" t="str">
        <f>IF($B2241="","",SUMIFS(dAmt,dCust,$B2241,dPer,"&gt;="&amp;cyFrom,dPer,"&lt;="&amp;cyTo,dAmt,"&gt;-1E+300",dFlt1,critFlt1,dFlt2,critFlt2,dFlt3,critFlt3))</f>
        <v/>
      </c>
      <c r="E2241" t="str">
        <f>IF($B2241="","",SUMIFS(dQty,dCust,$B2241,dPer,"&gt;="&amp;pyFrom,dPer,"&lt;="&amp;pyTo,dQty,"&gt;-1E+300",dFlt1,critFlt1,dFlt2,critFlt2,dFlt3,critFlt3))</f>
        <v/>
      </c>
      <c r="F2241" t="str">
        <f>IF($B2241="","",SUMIFS(dQty,dCust,$B2241,dPer,"&gt;="&amp;cyFrom,dPer,"&lt;="&amp;cyTo,dQty,"&gt;-1E+300",dFlt1,critFlt1,dFlt2,critFlt2,dFlt3,critFlt3))</f>
        <v/>
      </c>
      <c r="G2241">
        <f>IF($B2241="",0,IFERROR(IF(OR(C2241&lt;&gt;0,D2241&lt;&gt;0,E2241&lt;&gt;0,F2241&lt;&gt;0),1,0),1))</f>
        <v>0</v>
      </c>
      <c r="H2241" t="str">
        <f>IF(OR(G2241=0,E2241=0),"",C2241/E2241)</f>
        <v/>
      </c>
      <c r="I2241" t="str">
        <f>IF(OR(G2241=0,F2241=0),"",D2241/F2241)</f>
        <v/>
      </c>
      <c r="J2241" t="str">
        <f>IF(OR(H2241="",I2241=""),"",IF(H2241=0,"",I2241/H2241-1))</f>
        <v/>
      </c>
      <c r="K2241" t="str">
        <f>IF($B2241="","",IFERROR(IF(G2241=0,-2E+300,CHOOSE(sortIdx,ROUND(D2241,0),IF(J2241="",-1E+300,ROUND(-J2241,6)),IF(J2241="",-1E+300,ROUND(J2241,6)))),-1.5E+300))</f>
        <v/>
      </c>
      <c r="L2241" t="str">
        <f>IF(K2241="","",RANK(K2241,$K$2:$K$3001,0)+COUNTIF($K$2:K2241,K2241)-1)</f>
        <v/>
      </c>
    </row>
    <row r="2242">
      <c r="B2242" t="str">
        <f>IFERROR(IF(A2242="","","="&amp;SUBSTITUTE(SUBSTITUTE(SUBSTITUTE(A2242,"~","~~"),"*","~*"),"?","~?")),"")</f>
        <v/>
      </c>
      <c r="C2242" t="str">
        <f>IF($B2242="","",SUMIFS(dAmt,dCust,$B2242,dPer,"&gt;="&amp;pyFrom,dPer,"&lt;="&amp;pyTo,dAmt,"&gt;-1E+300",dFlt1,critFlt1,dFlt2,critFlt2,dFlt3,critFlt3))</f>
        <v/>
      </c>
      <c r="D2242" t="str">
        <f>IF($B2242="","",SUMIFS(dAmt,dCust,$B2242,dPer,"&gt;="&amp;cyFrom,dPer,"&lt;="&amp;cyTo,dAmt,"&gt;-1E+300",dFlt1,critFlt1,dFlt2,critFlt2,dFlt3,critFlt3))</f>
        <v/>
      </c>
      <c r="E2242" t="str">
        <f>IF($B2242="","",SUMIFS(dQty,dCust,$B2242,dPer,"&gt;="&amp;pyFrom,dPer,"&lt;="&amp;pyTo,dQty,"&gt;-1E+300",dFlt1,critFlt1,dFlt2,critFlt2,dFlt3,critFlt3))</f>
        <v/>
      </c>
      <c r="F2242" t="str">
        <f>IF($B2242="","",SUMIFS(dQty,dCust,$B2242,dPer,"&gt;="&amp;cyFrom,dPer,"&lt;="&amp;cyTo,dQty,"&gt;-1E+300",dFlt1,critFlt1,dFlt2,critFlt2,dFlt3,critFlt3))</f>
        <v/>
      </c>
      <c r="G2242">
        <f>IF($B2242="",0,IFERROR(IF(OR(C2242&lt;&gt;0,D2242&lt;&gt;0,E2242&lt;&gt;0,F2242&lt;&gt;0),1,0),1))</f>
        <v>0</v>
      </c>
      <c r="H2242" t="str">
        <f>IF(OR(G2242=0,E2242=0),"",C2242/E2242)</f>
        <v/>
      </c>
      <c r="I2242" t="str">
        <f>IF(OR(G2242=0,F2242=0),"",D2242/F2242)</f>
        <v/>
      </c>
      <c r="J2242" t="str">
        <f>IF(OR(H2242="",I2242=""),"",IF(H2242=0,"",I2242/H2242-1))</f>
        <v/>
      </c>
      <c r="K2242" t="str">
        <f>IF($B2242="","",IFERROR(IF(G2242=0,-2E+300,CHOOSE(sortIdx,ROUND(D2242,0),IF(J2242="",-1E+300,ROUND(-J2242,6)),IF(J2242="",-1E+300,ROUND(J2242,6)))),-1.5E+300))</f>
        <v/>
      </c>
      <c r="L2242" t="str">
        <f>IF(K2242="","",RANK(K2242,$K$2:$K$3001,0)+COUNTIF($K$2:K2242,K2242)-1)</f>
        <v/>
      </c>
    </row>
    <row r="2243">
      <c r="B2243" t="str">
        <f>IFERROR(IF(A2243="","","="&amp;SUBSTITUTE(SUBSTITUTE(SUBSTITUTE(A2243,"~","~~"),"*","~*"),"?","~?")),"")</f>
        <v/>
      </c>
      <c r="C2243" t="str">
        <f>IF($B2243="","",SUMIFS(dAmt,dCust,$B2243,dPer,"&gt;="&amp;pyFrom,dPer,"&lt;="&amp;pyTo,dAmt,"&gt;-1E+300",dFlt1,critFlt1,dFlt2,critFlt2,dFlt3,critFlt3))</f>
        <v/>
      </c>
      <c r="D2243" t="str">
        <f>IF($B2243="","",SUMIFS(dAmt,dCust,$B2243,dPer,"&gt;="&amp;cyFrom,dPer,"&lt;="&amp;cyTo,dAmt,"&gt;-1E+300",dFlt1,critFlt1,dFlt2,critFlt2,dFlt3,critFlt3))</f>
        <v/>
      </c>
      <c r="E2243" t="str">
        <f>IF($B2243="","",SUMIFS(dQty,dCust,$B2243,dPer,"&gt;="&amp;pyFrom,dPer,"&lt;="&amp;pyTo,dQty,"&gt;-1E+300",dFlt1,critFlt1,dFlt2,critFlt2,dFlt3,critFlt3))</f>
        <v/>
      </c>
      <c r="F2243" t="str">
        <f>IF($B2243="","",SUMIFS(dQty,dCust,$B2243,dPer,"&gt;="&amp;cyFrom,dPer,"&lt;="&amp;cyTo,dQty,"&gt;-1E+300",dFlt1,critFlt1,dFlt2,critFlt2,dFlt3,critFlt3))</f>
        <v/>
      </c>
      <c r="G2243">
        <f>IF($B2243="",0,IFERROR(IF(OR(C2243&lt;&gt;0,D2243&lt;&gt;0,E2243&lt;&gt;0,F2243&lt;&gt;0),1,0),1))</f>
        <v>0</v>
      </c>
      <c r="H2243" t="str">
        <f>IF(OR(G2243=0,E2243=0),"",C2243/E2243)</f>
        <v/>
      </c>
      <c r="I2243" t="str">
        <f>IF(OR(G2243=0,F2243=0),"",D2243/F2243)</f>
        <v/>
      </c>
      <c r="J2243" t="str">
        <f>IF(OR(H2243="",I2243=""),"",IF(H2243=0,"",I2243/H2243-1))</f>
        <v/>
      </c>
      <c r="K2243" t="str">
        <f>IF($B2243="","",IFERROR(IF(G2243=0,-2E+300,CHOOSE(sortIdx,ROUND(D2243,0),IF(J2243="",-1E+300,ROUND(-J2243,6)),IF(J2243="",-1E+300,ROUND(J2243,6)))),-1.5E+300))</f>
        <v/>
      </c>
      <c r="L2243" t="str">
        <f>IF(K2243="","",RANK(K2243,$K$2:$K$3001,0)+COUNTIF($K$2:K2243,K2243)-1)</f>
        <v/>
      </c>
    </row>
    <row r="2244">
      <c r="B2244" t="str">
        <f>IFERROR(IF(A2244="","","="&amp;SUBSTITUTE(SUBSTITUTE(SUBSTITUTE(A2244,"~","~~"),"*","~*"),"?","~?")),"")</f>
        <v/>
      </c>
      <c r="C2244" t="str">
        <f>IF($B2244="","",SUMIFS(dAmt,dCust,$B2244,dPer,"&gt;="&amp;pyFrom,dPer,"&lt;="&amp;pyTo,dAmt,"&gt;-1E+300",dFlt1,critFlt1,dFlt2,critFlt2,dFlt3,critFlt3))</f>
        <v/>
      </c>
      <c r="D2244" t="str">
        <f>IF($B2244="","",SUMIFS(dAmt,dCust,$B2244,dPer,"&gt;="&amp;cyFrom,dPer,"&lt;="&amp;cyTo,dAmt,"&gt;-1E+300",dFlt1,critFlt1,dFlt2,critFlt2,dFlt3,critFlt3))</f>
        <v/>
      </c>
      <c r="E2244" t="str">
        <f>IF($B2244="","",SUMIFS(dQty,dCust,$B2244,dPer,"&gt;="&amp;pyFrom,dPer,"&lt;="&amp;pyTo,dQty,"&gt;-1E+300",dFlt1,critFlt1,dFlt2,critFlt2,dFlt3,critFlt3))</f>
        <v/>
      </c>
      <c r="F2244" t="str">
        <f>IF($B2244="","",SUMIFS(dQty,dCust,$B2244,dPer,"&gt;="&amp;cyFrom,dPer,"&lt;="&amp;cyTo,dQty,"&gt;-1E+300",dFlt1,critFlt1,dFlt2,critFlt2,dFlt3,critFlt3))</f>
        <v/>
      </c>
      <c r="G2244">
        <f>IF($B2244="",0,IFERROR(IF(OR(C2244&lt;&gt;0,D2244&lt;&gt;0,E2244&lt;&gt;0,F2244&lt;&gt;0),1,0),1))</f>
        <v>0</v>
      </c>
      <c r="H2244" t="str">
        <f>IF(OR(G2244=0,E2244=0),"",C2244/E2244)</f>
        <v/>
      </c>
      <c r="I2244" t="str">
        <f>IF(OR(G2244=0,F2244=0),"",D2244/F2244)</f>
        <v/>
      </c>
      <c r="J2244" t="str">
        <f>IF(OR(H2244="",I2244=""),"",IF(H2244=0,"",I2244/H2244-1))</f>
        <v/>
      </c>
      <c r="K2244" t="str">
        <f>IF($B2244="","",IFERROR(IF(G2244=0,-2E+300,CHOOSE(sortIdx,ROUND(D2244,0),IF(J2244="",-1E+300,ROUND(-J2244,6)),IF(J2244="",-1E+300,ROUND(J2244,6)))),-1.5E+300))</f>
        <v/>
      </c>
      <c r="L2244" t="str">
        <f>IF(K2244="","",RANK(K2244,$K$2:$K$3001,0)+COUNTIF($K$2:K2244,K2244)-1)</f>
        <v/>
      </c>
    </row>
    <row r="2245">
      <c r="B2245" t="str">
        <f>IFERROR(IF(A2245="","","="&amp;SUBSTITUTE(SUBSTITUTE(SUBSTITUTE(A2245,"~","~~"),"*","~*"),"?","~?")),"")</f>
        <v/>
      </c>
      <c r="C2245" t="str">
        <f>IF($B2245="","",SUMIFS(dAmt,dCust,$B2245,dPer,"&gt;="&amp;pyFrom,dPer,"&lt;="&amp;pyTo,dAmt,"&gt;-1E+300",dFlt1,critFlt1,dFlt2,critFlt2,dFlt3,critFlt3))</f>
        <v/>
      </c>
      <c r="D2245" t="str">
        <f>IF($B2245="","",SUMIFS(dAmt,dCust,$B2245,dPer,"&gt;="&amp;cyFrom,dPer,"&lt;="&amp;cyTo,dAmt,"&gt;-1E+300",dFlt1,critFlt1,dFlt2,critFlt2,dFlt3,critFlt3))</f>
        <v/>
      </c>
      <c r="E2245" t="str">
        <f>IF($B2245="","",SUMIFS(dQty,dCust,$B2245,dPer,"&gt;="&amp;pyFrom,dPer,"&lt;="&amp;pyTo,dQty,"&gt;-1E+300",dFlt1,critFlt1,dFlt2,critFlt2,dFlt3,critFlt3))</f>
        <v/>
      </c>
      <c r="F2245" t="str">
        <f>IF($B2245="","",SUMIFS(dQty,dCust,$B2245,dPer,"&gt;="&amp;cyFrom,dPer,"&lt;="&amp;cyTo,dQty,"&gt;-1E+300",dFlt1,critFlt1,dFlt2,critFlt2,dFlt3,critFlt3))</f>
        <v/>
      </c>
      <c r="G2245">
        <f>IF($B2245="",0,IFERROR(IF(OR(C2245&lt;&gt;0,D2245&lt;&gt;0,E2245&lt;&gt;0,F2245&lt;&gt;0),1,0),1))</f>
        <v>0</v>
      </c>
      <c r="H2245" t="str">
        <f>IF(OR(G2245=0,E2245=0),"",C2245/E2245)</f>
        <v/>
      </c>
      <c r="I2245" t="str">
        <f>IF(OR(G2245=0,F2245=0),"",D2245/F2245)</f>
        <v/>
      </c>
      <c r="J2245" t="str">
        <f>IF(OR(H2245="",I2245=""),"",IF(H2245=0,"",I2245/H2245-1))</f>
        <v/>
      </c>
      <c r="K2245" t="str">
        <f>IF($B2245="","",IFERROR(IF(G2245=0,-2E+300,CHOOSE(sortIdx,ROUND(D2245,0),IF(J2245="",-1E+300,ROUND(-J2245,6)),IF(J2245="",-1E+300,ROUND(J2245,6)))),-1.5E+300))</f>
        <v/>
      </c>
      <c r="L2245" t="str">
        <f>IF(K2245="","",RANK(K2245,$K$2:$K$3001,0)+COUNTIF($K$2:K2245,K2245)-1)</f>
        <v/>
      </c>
    </row>
    <row r="2246">
      <c r="B2246" t="str">
        <f>IFERROR(IF(A2246="","","="&amp;SUBSTITUTE(SUBSTITUTE(SUBSTITUTE(A2246,"~","~~"),"*","~*"),"?","~?")),"")</f>
        <v/>
      </c>
      <c r="C2246" t="str">
        <f>IF($B2246="","",SUMIFS(dAmt,dCust,$B2246,dPer,"&gt;="&amp;pyFrom,dPer,"&lt;="&amp;pyTo,dAmt,"&gt;-1E+300",dFlt1,critFlt1,dFlt2,critFlt2,dFlt3,critFlt3))</f>
        <v/>
      </c>
      <c r="D2246" t="str">
        <f>IF($B2246="","",SUMIFS(dAmt,dCust,$B2246,dPer,"&gt;="&amp;cyFrom,dPer,"&lt;="&amp;cyTo,dAmt,"&gt;-1E+300",dFlt1,critFlt1,dFlt2,critFlt2,dFlt3,critFlt3))</f>
        <v/>
      </c>
      <c r="E2246" t="str">
        <f>IF($B2246="","",SUMIFS(dQty,dCust,$B2246,dPer,"&gt;="&amp;pyFrom,dPer,"&lt;="&amp;pyTo,dQty,"&gt;-1E+300",dFlt1,critFlt1,dFlt2,critFlt2,dFlt3,critFlt3))</f>
        <v/>
      </c>
      <c r="F2246" t="str">
        <f>IF($B2246="","",SUMIFS(dQty,dCust,$B2246,dPer,"&gt;="&amp;cyFrom,dPer,"&lt;="&amp;cyTo,dQty,"&gt;-1E+300",dFlt1,critFlt1,dFlt2,critFlt2,dFlt3,critFlt3))</f>
        <v/>
      </c>
      <c r="G2246">
        <f>IF($B2246="",0,IFERROR(IF(OR(C2246&lt;&gt;0,D2246&lt;&gt;0,E2246&lt;&gt;0,F2246&lt;&gt;0),1,0),1))</f>
        <v>0</v>
      </c>
      <c r="H2246" t="str">
        <f>IF(OR(G2246=0,E2246=0),"",C2246/E2246)</f>
        <v/>
      </c>
      <c r="I2246" t="str">
        <f>IF(OR(G2246=0,F2246=0),"",D2246/F2246)</f>
        <v/>
      </c>
      <c r="J2246" t="str">
        <f>IF(OR(H2246="",I2246=""),"",IF(H2246=0,"",I2246/H2246-1))</f>
        <v/>
      </c>
      <c r="K2246" t="str">
        <f>IF($B2246="","",IFERROR(IF(G2246=0,-2E+300,CHOOSE(sortIdx,ROUND(D2246,0),IF(J2246="",-1E+300,ROUND(-J2246,6)),IF(J2246="",-1E+300,ROUND(J2246,6)))),-1.5E+300))</f>
        <v/>
      </c>
      <c r="L2246" t="str">
        <f>IF(K2246="","",RANK(K2246,$K$2:$K$3001,0)+COUNTIF($K$2:K2246,K2246)-1)</f>
        <v/>
      </c>
    </row>
    <row r="2247">
      <c r="B2247" t="str">
        <f>IFERROR(IF(A2247="","","="&amp;SUBSTITUTE(SUBSTITUTE(SUBSTITUTE(A2247,"~","~~"),"*","~*"),"?","~?")),"")</f>
        <v/>
      </c>
      <c r="C2247" t="str">
        <f>IF($B2247="","",SUMIFS(dAmt,dCust,$B2247,dPer,"&gt;="&amp;pyFrom,dPer,"&lt;="&amp;pyTo,dAmt,"&gt;-1E+300",dFlt1,critFlt1,dFlt2,critFlt2,dFlt3,critFlt3))</f>
        <v/>
      </c>
      <c r="D2247" t="str">
        <f>IF($B2247="","",SUMIFS(dAmt,dCust,$B2247,dPer,"&gt;="&amp;cyFrom,dPer,"&lt;="&amp;cyTo,dAmt,"&gt;-1E+300",dFlt1,critFlt1,dFlt2,critFlt2,dFlt3,critFlt3))</f>
        <v/>
      </c>
      <c r="E2247" t="str">
        <f>IF($B2247="","",SUMIFS(dQty,dCust,$B2247,dPer,"&gt;="&amp;pyFrom,dPer,"&lt;="&amp;pyTo,dQty,"&gt;-1E+300",dFlt1,critFlt1,dFlt2,critFlt2,dFlt3,critFlt3))</f>
        <v/>
      </c>
      <c r="F2247" t="str">
        <f>IF($B2247="","",SUMIFS(dQty,dCust,$B2247,dPer,"&gt;="&amp;cyFrom,dPer,"&lt;="&amp;cyTo,dQty,"&gt;-1E+300",dFlt1,critFlt1,dFlt2,critFlt2,dFlt3,critFlt3))</f>
        <v/>
      </c>
      <c r="G2247">
        <f>IF($B2247="",0,IFERROR(IF(OR(C2247&lt;&gt;0,D2247&lt;&gt;0,E2247&lt;&gt;0,F2247&lt;&gt;0),1,0),1))</f>
        <v>0</v>
      </c>
      <c r="H2247" t="str">
        <f>IF(OR(G2247=0,E2247=0),"",C2247/E2247)</f>
        <v/>
      </c>
      <c r="I2247" t="str">
        <f>IF(OR(G2247=0,F2247=0),"",D2247/F2247)</f>
        <v/>
      </c>
      <c r="J2247" t="str">
        <f>IF(OR(H2247="",I2247=""),"",IF(H2247=0,"",I2247/H2247-1))</f>
        <v/>
      </c>
      <c r="K2247" t="str">
        <f>IF($B2247="","",IFERROR(IF(G2247=0,-2E+300,CHOOSE(sortIdx,ROUND(D2247,0),IF(J2247="",-1E+300,ROUND(-J2247,6)),IF(J2247="",-1E+300,ROUND(J2247,6)))),-1.5E+300))</f>
        <v/>
      </c>
      <c r="L2247" t="str">
        <f>IF(K2247="","",RANK(K2247,$K$2:$K$3001,0)+COUNTIF($K$2:K2247,K2247)-1)</f>
        <v/>
      </c>
    </row>
    <row r="2248">
      <c r="B2248" t="str">
        <f>IFERROR(IF(A2248="","","="&amp;SUBSTITUTE(SUBSTITUTE(SUBSTITUTE(A2248,"~","~~"),"*","~*"),"?","~?")),"")</f>
        <v/>
      </c>
      <c r="C2248" t="str">
        <f>IF($B2248="","",SUMIFS(dAmt,dCust,$B2248,dPer,"&gt;="&amp;pyFrom,dPer,"&lt;="&amp;pyTo,dAmt,"&gt;-1E+300",dFlt1,critFlt1,dFlt2,critFlt2,dFlt3,critFlt3))</f>
        <v/>
      </c>
      <c r="D2248" t="str">
        <f>IF($B2248="","",SUMIFS(dAmt,dCust,$B2248,dPer,"&gt;="&amp;cyFrom,dPer,"&lt;="&amp;cyTo,dAmt,"&gt;-1E+300",dFlt1,critFlt1,dFlt2,critFlt2,dFlt3,critFlt3))</f>
        <v/>
      </c>
      <c r="E2248" t="str">
        <f>IF($B2248="","",SUMIFS(dQty,dCust,$B2248,dPer,"&gt;="&amp;pyFrom,dPer,"&lt;="&amp;pyTo,dQty,"&gt;-1E+300",dFlt1,critFlt1,dFlt2,critFlt2,dFlt3,critFlt3))</f>
        <v/>
      </c>
      <c r="F2248" t="str">
        <f>IF($B2248="","",SUMIFS(dQty,dCust,$B2248,dPer,"&gt;="&amp;cyFrom,dPer,"&lt;="&amp;cyTo,dQty,"&gt;-1E+300",dFlt1,critFlt1,dFlt2,critFlt2,dFlt3,critFlt3))</f>
        <v/>
      </c>
      <c r="G2248">
        <f>IF($B2248="",0,IFERROR(IF(OR(C2248&lt;&gt;0,D2248&lt;&gt;0,E2248&lt;&gt;0,F2248&lt;&gt;0),1,0),1))</f>
        <v>0</v>
      </c>
      <c r="H2248" t="str">
        <f>IF(OR(G2248=0,E2248=0),"",C2248/E2248)</f>
        <v/>
      </c>
      <c r="I2248" t="str">
        <f>IF(OR(G2248=0,F2248=0),"",D2248/F2248)</f>
        <v/>
      </c>
      <c r="J2248" t="str">
        <f>IF(OR(H2248="",I2248=""),"",IF(H2248=0,"",I2248/H2248-1))</f>
        <v/>
      </c>
      <c r="K2248" t="str">
        <f>IF($B2248="","",IFERROR(IF(G2248=0,-2E+300,CHOOSE(sortIdx,ROUND(D2248,0),IF(J2248="",-1E+300,ROUND(-J2248,6)),IF(J2248="",-1E+300,ROUND(J2248,6)))),-1.5E+300))</f>
        <v/>
      </c>
      <c r="L2248" t="str">
        <f>IF(K2248="","",RANK(K2248,$K$2:$K$3001,0)+COUNTIF($K$2:K2248,K2248)-1)</f>
        <v/>
      </c>
    </row>
    <row r="2249">
      <c r="B2249" t="str">
        <f>IFERROR(IF(A2249="","","="&amp;SUBSTITUTE(SUBSTITUTE(SUBSTITUTE(A2249,"~","~~"),"*","~*"),"?","~?")),"")</f>
        <v/>
      </c>
      <c r="C2249" t="str">
        <f>IF($B2249="","",SUMIFS(dAmt,dCust,$B2249,dPer,"&gt;="&amp;pyFrom,dPer,"&lt;="&amp;pyTo,dAmt,"&gt;-1E+300",dFlt1,critFlt1,dFlt2,critFlt2,dFlt3,critFlt3))</f>
        <v/>
      </c>
      <c r="D2249" t="str">
        <f>IF($B2249="","",SUMIFS(dAmt,dCust,$B2249,dPer,"&gt;="&amp;cyFrom,dPer,"&lt;="&amp;cyTo,dAmt,"&gt;-1E+300",dFlt1,critFlt1,dFlt2,critFlt2,dFlt3,critFlt3))</f>
        <v/>
      </c>
      <c r="E2249" t="str">
        <f>IF($B2249="","",SUMIFS(dQty,dCust,$B2249,dPer,"&gt;="&amp;pyFrom,dPer,"&lt;="&amp;pyTo,dQty,"&gt;-1E+300",dFlt1,critFlt1,dFlt2,critFlt2,dFlt3,critFlt3))</f>
        <v/>
      </c>
      <c r="F2249" t="str">
        <f>IF($B2249="","",SUMIFS(dQty,dCust,$B2249,dPer,"&gt;="&amp;cyFrom,dPer,"&lt;="&amp;cyTo,dQty,"&gt;-1E+300",dFlt1,critFlt1,dFlt2,critFlt2,dFlt3,critFlt3))</f>
        <v/>
      </c>
      <c r="G2249">
        <f>IF($B2249="",0,IFERROR(IF(OR(C2249&lt;&gt;0,D2249&lt;&gt;0,E2249&lt;&gt;0,F2249&lt;&gt;0),1,0),1))</f>
        <v>0</v>
      </c>
      <c r="H2249" t="str">
        <f>IF(OR(G2249=0,E2249=0),"",C2249/E2249)</f>
        <v/>
      </c>
      <c r="I2249" t="str">
        <f>IF(OR(G2249=0,F2249=0),"",D2249/F2249)</f>
        <v/>
      </c>
      <c r="J2249" t="str">
        <f>IF(OR(H2249="",I2249=""),"",IF(H2249=0,"",I2249/H2249-1))</f>
        <v/>
      </c>
      <c r="K2249" t="str">
        <f>IF($B2249="","",IFERROR(IF(G2249=0,-2E+300,CHOOSE(sortIdx,ROUND(D2249,0),IF(J2249="",-1E+300,ROUND(-J2249,6)),IF(J2249="",-1E+300,ROUND(J2249,6)))),-1.5E+300))</f>
        <v/>
      </c>
      <c r="L2249" t="str">
        <f>IF(K2249="","",RANK(K2249,$K$2:$K$3001,0)+COUNTIF($K$2:K2249,K2249)-1)</f>
        <v/>
      </c>
    </row>
    <row r="2250">
      <c r="B2250" t="str">
        <f>IFERROR(IF(A2250="","","="&amp;SUBSTITUTE(SUBSTITUTE(SUBSTITUTE(A2250,"~","~~"),"*","~*"),"?","~?")),"")</f>
        <v/>
      </c>
      <c r="C2250" t="str">
        <f>IF($B2250="","",SUMIFS(dAmt,dCust,$B2250,dPer,"&gt;="&amp;pyFrom,dPer,"&lt;="&amp;pyTo,dAmt,"&gt;-1E+300",dFlt1,critFlt1,dFlt2,critFlt2,dFlt3,critFlt3))</f>
        <v/>
      </c>
      <c r="D2250" t="str">
        <f>IF($B2250="","",SUMIFS(dAmt,dCust,$B2250,dPer,"&gt;="&amp;cyFrom,dPer,"&lt;="&amp;cyTo,dAmt,"&gt;-1E+300",dFlt1,critFlt1,dFlt2,critFlt2,dFlt3,critFlt3))</f>
        <v/>
      </c>
      <c r="E2250" t="str">
        <f>IF($B2250="","",SUMIFS(dQty,dCust,$B2250,dPer,"&gt;="&amp;pyFrom,dPer,"&lt;="&amp;pyTo,dQty,"&gt;-1E+300",dFlt1,critFlt1,dFlt2,critFlt2,dFlt3,critFlt3))</f>
        <v/>
      </c>
      <c r="F2250" t="str">
        <f>IF($B2250="","",SUMIFS(dQty,dCust,$B2250,dPer,"&gt;="&amp;cyFrom,dPer,"&lt;="&amp;cyTo,dQty,"&gt;-1E+300",dFlt1,critFlt1,dFlt2,critFlt2,dFlt3,critFlt3))</f>
        <v/>
      </c>
      <c r="G2250">
        <f>IF($B2250="",0,IFERROR(IF(OR(C2250&lt;&gt;0,D2250&lt;&gt;0,E2250&lt;&gt;0,F2250&lt;&gt;0),1,0),1))</f>
        <v>0</v>
      </c>
      <c r="H2250" t="str">
        <f>IF(OR(G2250=0,E2250=0),"",C2250/E2250)</f>
        <v/>
      </c>
      <c r="I2250" t="str">
        <f>IF(OR(G2250=0,F2250=0),"",D2250/F2250)</f>
        <v/>
      </c>
      <c r="J2250" t="str">
        <f>IF(OR(H2250="",I2250=""),"",IF(H2250=0,"",I2250/H2250-1))</f>
        <v/>
      </c>
      <c r="K2250" t="str">
        <f>IF($B2250="","",IFERROR(IF(G2250=0,-2E+300,CHOOSE(sortIdx,ROUND(D2250,0),IF(J2250="",-1E+300,ROUND(-J2250,6)),IF(J2250="",-1E+300,ROUND(J2250,6)))),-1.5E+300))</f>
        <v/>
      </c>
      <c r="L2250" t="str">
        <f>IF(K2250="","",RANK(K2250,$K$2:$K$3001,0)+COUNTIF($K$2:K2250,K2250)-1)</f>
        <v/>
      </c>
    </row>
    <row r="2251">
      <c r="B2251" t="str">
        <f>IFERROR(IF(A2251="","","="&amp;SUBSTITUTE(SUBSTITUTE(SUBSTITUTE(A2251,"~","~~"),"*","~*"),"?","~?")),"")</f>
        <v/>
      </c>
      <c r="C2251" t="str">
        <f>IF($B2251="","",SUMIFS(dAmt,dCust,$B2251,dPer,"&gt;="&amp;pyFrom,dPer,"&lt;="&amp;pyTo,dAmt,"&gt;-1E+300",dFlt1,critFlt1,dFlt2,critFlt2,dFlt3,critFlt3))</f>
        <v/>
      </c>
      <c r="D2251" t="str">
        <f>IF($B2251="","",SUMIFS(dAmt,dCust,$B2251,dPer,"&gt;="&amp;cyFrom,dPer,"&lt;="&amp;cyTo,dAmt,"&gt;-1E+300",dFlt1,critFlt1,dFlt2,critFlt2,dFlt3,critFlt3))</f>
        <v/>
      </c>
      <c r="E2251" t="str">
        <f>IF($B2251="","",SUMIFS(dQty,dCust,$B2251,dPer,"&gt;="&amp;pyFrom,dPer,"&lt;="&amp;pyTo,dQty,"&gt;-1E+300",dFlt1,critFlt1,dFlt2,critFlt2,dFlt3,critFlt3))</f>
        <v/>
      </c>
      <c r="F2251" t="str">
        <f>IF($B2251="","",SUMIFS(dQty,dCust,$B2251,dPer,"&gt;="&amp;cyFrom,dPer,"&lt;="&amp;cyTo,dQty,"&gt;-1E+300",dFlt1,critFlt1,dFlt2,critFlt2,dFlt3,critFlt3))</f>
        <v/>
      </c>
      <c r="G2251">
        <f>IF($B2251="",0,IFERROR(IF(OR(C2251&lt;&gt;0,D2251&lt;&gt;0,E2251&lt;&gt;0,F2251&lt;&gt;0),1,0),1))</f>
        <v>0</v>
      </c>
      <c r="H2251" t="str">
        <f>IF(OR(G2251=0,E2251=0),"",C2251/E2251)</f>
        <v/>
      </c>
      <c r="I2251" t="str">
        <f>IF(OR(G2251=0,F2251=0),"",D2251/F2251)</f>
        <v/>
      </c>
      <c r="J2251" t="str">
        <f>IF(OR(H2251="",I2251=""),"",IF(H2251=0,"",I2251/H2251-1))</f>
        <v/>
      </c>
      <c r="K2251" t="str">
        <f>IF($B2251="","",IFERROR(IF(G2251=0,-2E+300,CHOOSE(sortIdx,ROUND(D2251,0),IF(J2251="",-1E+300,ROUND(-J2251,6)),IF(J2251="",-1E+300,ROUND(J2251,6)))),-1.5E+300))</f>
        <v/>
      </c>
      <c r="L2251" t="str">
        <f>IF(K2251="","",RANK(K2251,$K$2:$K$3001,0)+COUNTIF($K$2:K2251,K2251)-1)</f>
        <v/>
      </c>
    </row>
    <row r="2252">
      <c r="B2252" t="str">
        <f>IFERROR(IF(A2252="","","="&amp;SUBSTITUTE(SUBSTITUTE(SUBSTITUTE(A2252,"~","~~"),"*","~*"),"?","~?")),"")</f>
        <v/>
      </c>
      <c r="C2252" t="str">
        <f>IF($B2252="","",SUMIFS(dAmt,dCust,$B2252,dPer,"&gt;="&amp;pyFrom,dPer,"&lt;="&amp;pyTo,dAmt,"&gt;-1E+300",dFlt1,critFlt1,dFlt2,critFlt2,dFlt3,critFlt3))</f>
        <v/>
      </c>
      <c r="D2252" t="str">
        <f>IF($B2252="","",SUMIFS(dAmt,dCust,$B2252,dPer,"&gt;="&amp;cyFrom,dPer,"&lt;="&amp;cyTo,dAmt,"&gt;-1E+300",dFlt1,critFlt1,dFlt2,critFlt2,dFlt3,critFlt3))</f>
        <v/>
      </c>
      <c r="E2252" t="str">
        <f>IF($B2252="","",SUMIFS(dQty,dCust,$B2252,dPer,"&gt;="&amp;pyFrom,dPer,"&lt;="&amp;pyTo,dQty,"&gt;-1E+300",dFlt1,critFlt1,dFlt2,critFlt2,dFlt3,critFlt3))</f>
        <v/>
      </c>
      <c r="F2252" t="str">
        <f>IF($B2252="","",SUMIFS(dQty,dCust,$B2252,dPer,"&gt;="&amp;cyFrom,dPer,"&lt;="&amp;cyTo,dQty,"&gt;-1E+300",dFlt1,critFlt1,dFlt2,critFlt2,dFlt3,critFlt3))</f>
        <v/>
      </c>
      <c r="G2252">
        <f>IF($B2252="",0,IFERROR(IF(OR(C2252&lt;&gt;0,D2252&lt;&gt;0,E2252&lt;&gt;0,F2252&lt;&gt;0),1,0),1))</f>
        <v>0</v>
      </c>
      <c r="H2252" t="str">
        <f>IF(OR(G2252=0,E2252=0),"",C2252/E2252)</f>
        <v/>
      </c>
      <c r="I2252" t="str">
        <f>IF(OR(G2252=0,F2252=0),"",D2252/F2252)</f>
        <v/>
      </c>
      <c r="J2252" t="str">
        <f>IF(OR(H2252="",I2252=""),"",IF(H2252=0,"",I2252/H2252-1))</f>
        <v/>
      </c>
      <c r="K2252" t="str">
        <f>IF($B2252="","",IFERROR(IF(G2252=0,-2E+300,CHOOSE(sortIdx,ROUND(D2252,0),IF(J2252="",-1E+300,ROUND(-J2252,6)),IF(J2252="",-1E+300,ROUND(J2252,6)))),-1.5E+300))</f>
        <v/>
      </c>
      <c r="L2252" t="str">
        <f>IF(K2252="","",RANK(K2252,$K$2:$K$3001,0)+COUNTIF($K$2:K2252,K2252)-1)</f>
        <v/>
      </c>
    </row>
    <row r="2253">
      <c r="B2253" t="str">
        <f>IFERROR(IF(A2253="","","="&amp;SUBSTITUTE(SUBSTITUTE(SUBSTITUTE(A2253,"~","~~"),"*","~*"),"?","~?")),"")</f>
        <v/>
      </c>
      <c r="C2253" t="str">
        <f>IF($B2253="","",SUMIFS(dAmt,dCust,$B2253,dPer,"&gt;="&amp;pyFrom,dPer,"&lt;="&amp;pyTo,dAmt,"&gt;-1E+300",dFlt1,critFlt1,dFlt2,critFlt2,dFlt3,critFlt3))</f>
        <v/>
      </c>
      <c r="D2253" t="str">
        <f>IF($B2253="","",SUMIFS(dAmt,dCust,$B2253,dPer,"&gt;="&amp;cyFrom,dPer,"&lt;="&amp;cyTo,dAmt,"&gt;-1E+300",dFlt1,critFlt1,dFlt2,critFlt2,dFlt3,critFlt3))</f>
        <v/>
      </c>
      <c r="E2253" t="str">
        <f>IF($B2253="","",SUMIFS(dQty,dCust,$B2253,dPer,"&gt;="&amp;pyFrom,dPer,"&lt;="&amp;pyTo,dQty,"&gt;-1E+300",dFlt1,critFlt1,dFlt2,critFlt2,dFlt3,critFlt3))</f>
        <v/>
      </c>
      <c r="F2253" t="str">
        <f>IF($B2253="","",SUMIFS(dQty,dCust,$B2253,dPer,"&gt;="&amp;cyFrom,dPer,"&lt;="&amp;cyTo,dQty,"&gt;-1E+300",dFlt1,critFlt1,dFlt2,critFlt2,dFlt3,critFlt3))</f>
        <v/>
      </c>
      <c r="G2253">
        <f>IF($B2253="",0,IFERROR(IF(OR(C2253&lt;&gt;0,D2253&lt;&gt;0,E2253&lt;&gt;0,F2253&lt;&gt;0),1,0),1))</f>
        <v>0</v>
      </c>
      <c r="H2253" t="str">
        <f>IF(OR(G2253=0,E2253=0),"",C2253/E2253)</f>
        <v/>
      </c>
      <c r="I2253" t="str">
        <f>IF(OR(G2253=0,F2253=0),"",D2253/F2253)</f>
        <v/>
      </c>
      <c r="J2253" t="str">
        <f>IF(OR(H2253="",I2253=""),"",IF(H2253=0,"",I2253/H2253-1))</f>
        <v/>
      </c>
      <c r="K2253" t="str">
        <f>IF($B2253="","",IFERROR(IF(G2253=0,-2E+300,CHOOSE(sortIdx,ROUND(D2253,0),IF(J2253="",-1E+300,ROUND(-J2253,6)),IF(J2253="",-1E+300,ROUND(J2253,6)))),-1.5E+300))</f>
        <v/>
      </c>
      <c r="L2253" t="str">
        <f>IF(K2253="","",RANK(K2253,$K$2:$K$3001,0)+COUNTIF($K$2:K2253,K2253)-1)</f>
        <v/>
      </c>
    </row>
    <row r="2254">
      <c r="B2254" t="str">
        <f>IFERROR(IF(A2254="","","="&amp;SUBSTITUTE(SUBSTITUTE(SUBSTITUTE(A2254,"~","~~"),"*","~*"),"?","~?")),"")</f>
        <v/>
      </c>
      <c r="C2254" t="str">
        <f>IF($B2254="","",SUMIFS(dAmt,dCust,$B2254,dPer,"&gt;="&amp;pyFrom,dPer,"&lt;="&amp;pyTo,dAmt,"&gt;-1E+300",dFlt1,critFlt1,dFlt2,critFlt2,dFlt3,critFlt3))</f>
        <v/>
      </c>
      <c r="D2254" t="str">
        <f>IF($B2254="","",SUMIFS(dAmt,dCust,$B2254,dPer,"&gt;="&amp;cyFrom,dPer,"&lt;="&amp;cyTo,dAmt,"&gt;-1E+300",dFlt1,critFlt1,dFlt2,critFlt2,dFlt3,critFlt3))</f>
        <v/>
      </c>
      <c r="E2254" t="str">
        <f>IF($B2254="","",SUMIFS(dQty,dCust,$B2254,dPer,"&gt;="&amp;pyFrom,dPer,"&lt;="&amp;pyTo,dQty,"&gt;-1E+300",dFlt1,critFlt1,dFlt2,critFlt2,dFlt3,critFlt3))</f>
        <v/>
      </c>
      <c r="F2254" t="str">
        <f>IF($B2254="","",SUMIFS(dQty,dCust,$B2254,dPer,"&gt;="&amp;cyFrom,dPer,"&lt;="&amp;cyTo,dQty,"&gt;-1E+300",dFlt1,critFlt1,dFlt2,critFlt2,dFlt3,critFlt3))</f>
        <v/>
      </c>
      <c r="G2254">
        <f>IF($B2254="",0,IFERROR(IF(OR(C2254&lt;&gt;0,D2254&lt;&gt;0,E2254&lt;&gt;0,F2254&lt;&gt;0),1,0),1))</f>
        <v>0</v>
      </c>
      <c r="H2254" t="str">
        <f>IF(OR(G2254=0,E2254=0),"",C2254/E2254)</f>
        <v/>
      </c>
      <c r="I2254" t="str">
        <f>IF(OR(G2254=0,F2254=0),"",D2254/F2254)</f>
        <v/>
      </c>
      <c r="J2254" t="str">
        <f>IF(OR(H2254="",I2254=""),"",IF(H2254=0,"",I2254/H2254-1))</f>
        <v/>
      </c>
      <c r="K2254" t="str">
        <f>IF($B2254="","",IFERROR(IF(G2254=0,-2E+300,CHOOSE(sortIdx,ROUND(D2254,0),IF(J2254="",-1E+300,ROUND(-J2254,6)),IF(J2254="",-1E+300,ROUND(J2254,6)))),-1.5E+300))</f>
        <v/>
      </c>
      <c r="L2254" t="str">
        <f>IF(K2254="","",RANK(K2254,$K$2:$K$3001,0)+COUNTIF($K$2:K2254,K2254)-1)</f>
        <v/>
      </c>
    </row>
    <row r="2255">
      <c r="B2255" t="str">
        <f>IFERROR(IF(A2255="","","="&amp;SUBSTITUTE(SUBSTITUTE(SUBSTITUTE(A2255,"~","~~"),"*","~*"),"?","~?")),"")</f>
        <v/>
      </c>
      <c r="C2255" t="str">
        <f>IF($B2255="","",SUMIFS(dAmt,dCust,$B2255,dPer,"&gt;="&amp;pyFrom,dPer,"&lt;="&amp;pyTo,dAmt,"&gt;-1E+300",dFlt1,critFlt1,dFlt2,critFlt2,dFlt3,critFlt3))</f>
        <v/>
      </c>
      <c r="D2255" t="str">
        <f>IF($B2255="","",SUMIFS(dAmt,dCust,$B2255,dPer,"&gt;="&amp;cyFrom,dPer,"&lt;="&amp;cyTo,dAmt,"&gt;-1E+300",dFlt1,critFlt1,dFlt2,critFlt2,dFlt3,critFlt3))</f>
        <v/>
      </c>
      <c r="E2255" t="str">
        <f>IF($B2255="","",SUMIFS(dQty,dCust,$B2255,dPer,"&gt;="&amp;pyFrom,dPer,"&lt;="&amp;pyTo,dQty,"&gt;-1E+300",dFlt1,critFlt1,dFlt2,critFlt2,dFlt3,critFlt3))</f>
        <v/>
      </c>
      <c r="F2255" t="str">
        <f>IF($B2255="","",SUMIFS(dQty,dCust,$B2255,dPer,"&gt;="&amp;cyFrom,dPer,"&lt;="&amp;cyTo,dQty,"&gt;-1E+300",dFlt1,critFlt1,dFlt2,critFlt2,dFlt3,critFlt3))</f>
        <v/>
      </c>
      <c r="G2255">
        <f>IF($B2255="",0,IFERROR(IF(OR(C2255&lt;&gt;0,D2255&lt;&gt;0,E2255&lt;&gt;0,F2255&lt;&gt;0),1,0),1))</f>
        <v>0</v>
      </c>
      <c r="H2255" t="str">
        <f>IF(OR(G2255=0,E2255=0),"",C2255/E2255)</f>
        <v/>
      </c>
      <c r="I2255" t="str">
        <f>IF(OR(G2255=0,F2255=0),"",D2255/F2255)</f>
        <v/>
      </c>
      <c r="J2255" t="str">
        <f>IF(OR(H2255="",I2255=""),"",IF(H2255=0,"",I2255/H2255-1))</f>
        <v/>
      </c>
      <c r="K2255" t="str">
        <f>IF($B2255="","",IFERROR(IF(G2255=0,-2E+300,CHOOSE(sortIdx,ROUND(D2255,0),IF(J2255="",-1E+300,ROUND(-J2255,6)),IF(J2255="",-1E+300,ROUND(J2255,6)))),-1.5E+300))</f>
        <v/>
      </c>
      <c r="L2255" t="str">
        <f>IF(K2255="","",RANK(K2255,$K$2:$K$3001,0)+COUNTIF($K$2:K2255,K2255)-1)</f>
        <v/>
      </c>
    </row>
    <row r="2256">
      <c r="B2256" t="str">
        <f>IFERROR(IF(A2256="","","="&amp;SUBSTITUTE(SUBSTITUTE(SUBSTITUTE(A2256,"~","~~"),"*","~*"),"?","~?")),"")</f>
        <v/>
      </c>
      <c r="C2256" t="str">
        <f>IF($B2256="","",SUMIFS(dAmt,dCust,$B2256,dPer,"&gt;="&amp;pyFrom,dPer,"&lt;="&amp;pyTo,dAmt,"&gt;-1E+300",dFlt1,critFlt1,dFlt2,critFlt2,dFlt3,critFlt3))</f>
        <v/>
      </c>
      <c r="D2256" t="str">
        <f>IF($B2256="","",SUMIFS(dAmt,dCust,$B2256,dPer,"&gt;="&amp;cyFrom,dPer,"&lt;="&amp;cyTo,dAmt,"&gt;-1E+300",dFlt1,critFlt1,dFlt2,critFlt2,dFlt3,critFlt3))</f>
        <v/>
      </c>
      <c r="E2256" t="str">
        <f>IF($B2256="","",SUMIFS(dQty,dCust,$B2256,dPer,"&gt;="&amp;pyFrom,dPer,"&lt;="&amp;pyTo,dQty,"&gt;-1E+300",dFlt1,critFlt1,dFlt2,critFlt2,dFlt3,critFlt3))</f>
        <v/>
      </c>
      <c r="F2256" t="str">
        <f>IF($B2256="","",SUMIFS(dQty,dCust,$B2256,dPer,"&gt;="&amp;cyFrom,dPer,"&lt;="&amp;cyTo,dQty,"&gt;-1E+300",dFlt1,critFlt1,dFlt2,critFlt2,dFlt3,critFlt3))</f>
        <v/>
      </c>
      <c r="G2256">
        <f>IF($B2256="",0,IFERROR(IF(OR(C2256&lt;&gt;0,D2256&lt;&gt;0,E2256&lt;&gt;0,F2256&lt;&gt;0),1,0),1))</f>
        <v>0</v>
      </c>
      <c r="H2256" t="str">
        <f>IF(OR(G2256=0,E2256=0),"",C2256/E2256)</f>
        <v/>
      </c>
      <c r="I2256" t="str">
        <f>IF(OR(G2256=0,F2256=0),"",D2256/F2256)</f>
        <v/>
      </c>
      <c r="J2256" t="str">
        <f>IF(OR(H2256="",I2256=""),"",IF(H2256=0,"",I2256/H2256-1))</f>
        <v/>
      </c>
      <c r="K2256" t="str">
        <f>IF($B2256="","",IFERROR(IF(G2256=0,-2E+300,CHOOSE(sortIdx,ROUND(D2256,0),IF(J2256="",-1E+300,ROUND(-J2256,6)),IF(J2256="",-1E+300,ROUND(J2256,6)))),-1.5E+300))</f>
        <v/>
      </c>
      <c r="L2256" t="str">
        <f>IF(K2256="","",RANK(K2256,$K$2:$K$3001,0)+COUNTIF($K$2:K2256,K2256)-1)</f>
        <v/>
      </c>
    </row>
    <row r="2257">
      <c r="B2257" t="str">
        <f>IFERROR(IF(A2257="","","="&amp;SUBSTITUTE(SUBSTITUTE(SUBSTITUTE(A2257,"~","~~"),"*","~*"),"?","~?")),"")</f>
        <v/>
      </c>
      <c r="C2257" t="str">
        <f>IF($B2257="","",SUMIFS(dAmt,dCust,$B2257,dPer,"&gt;="&amp;pyFrom,dPer,"&lt;="&amp;pyTo,dAmt,"&gt;-1E+300",dFlt1,critFlt1,dFlt2,critFlt2,dFlt3,critFlt3))</f>
        <v/>
      </c>
      <c r="D2257" t="str">
        <f>IF($B2257="","",SUMIFS(dAmt,dCust,$B2257,dPer,"&gt;="&amp;cyFrom,dPer,"&lt;="&amp;cyTo,dAmt,"&gt;-1E+300",dFlt1,critFlt1,dFlt2,critFlt2,dFlt3,critFlt3))</f>
        <v/>
      </c>
      <c r="E2257" t="str">
        <f>IF($B2257="","",SUMIFS(dQty,dCust,$B2257,dPer,"&gt;="&amp;pyFrom,dPer,"&lt;="&amp;pyTo,dQty,"&gt;-1E+300",dFlt1,critFlt1,dFlt2,critFlt2,dFlt3,critFlt3))</f>
        <v/>
      </c>
      <c r="F2257" t="str">
        <f>IF($B2257="","",SUMIFS(dQty,dCust,$B2257,dPer,"&gt;="&amp;cyFrom,dPer,"&lt;="&amp;cyTo,dQty,"&gt;-1E+300",dFlt1,critFlt1,dFlt2,critFlt2,dFlt3,critFlt3))</f>
        <v/>
      </c>
      <c r="G2257">
        <f>IF($B2257="",0,IFERROR(IF(OR(C2257&lt;&gt;0,D2257&lt;&gt;0,E2257&lt;&gt;0,F2257&lt;&gt;0),1,0),1))</f>
        <v>0</v>
      </c>
      <c r="H2257" t="str">
        <f>IF(OR(G2257=0,E2257=0),"",C2257/E2257)</f>
        <v/>
      </c>
      <c r="I2257" t="str">
        <f>IF(OR(G2257=0,F2257=0),"",D2257/F2257)</f>
        <v/>
      </c>
      <c r="J2257" t="str">
        <f>IF(OR(H2257="",I2257=""),"",IF(H2257=0,"",I2257/H2257-1))</f>
        <v/>
      </c>
      <c r="K2257" t="str">
        <f>IF($B2257="","",IFERROR(IF(G2257=0,-2E+300,CHOOSE(sortIdx,ROUND(D2257,0),IF(J2257="",-1E+300,ROUND(-J2257,6)),IF(J2257="",-1E+300,ROUND(J2257,6)))),-1.5E+300))</f>
        <v/>
      </c>
      <c r="L2257" t="str">
        <f>IF(K2257="","",RANK(K2257,$K$2:$K$3001,0)+COUNTIF($K$2:K2257,K2257)-1)</f>
        <v/>
      </c>
    </row>
    <row r="2258">
      <c r="B2258" t="str">
        <f>IFERROR(IF(A2258="","","="&amp;SUBSTITUTE(SUBSTITUTE(SUBSTITUTE(A2258,"~","~~"),"*","~*"),"?","~?")),"")</f>
        <v/>
      </c>
      <c r="C2258" t="str">
        <f>IF($B2258="","",SUMIFS(dAmt,dCust,$B2258,dPer,"&gt;="&amp;pyFrom,dPer,"&lt;="&amp;pyTo,dAmt,"&gt;-1E+300",dFlt1,critFlt1,dFlt2,critFlt2,dFlt3,critFlt3))</f>
        <v/>
      </c>
      <c r="D2258" t="str">
        <f>IF($B2258="","",SUMIFS(dAmt,dCust,$B2258,dPer,"&gt;="&amp;cyFrom,dPer,"&lt;="&amp;cyTo,dAmt,"&gt;-1E+300",dFlt1,critFlt1,dFlt2,critFlt2,dFlt3,critFlt3))</f>
        <v/>
      </c>
      <c r="E2258" t="str">
        <f>IF($B2258="","",SUMIFS(dQty,dCust,$B2258,dPer,"&gt;="&amp;pyFrom,dPer,"&lt;="&amp;pyTo,dQty,"&gt;-1E+300",dFlt1,critFlt1,dFlt2,critFlt2,dFlt3,critFlt3))</f>
        <v/>
      </c>
      <c r="F2258" t="str">
        <f>IF($B2258="","",SUMIFS(dQty,dCust,$B2258,dPer,"&gt;="&amp;cyFrom,dPer,"&lt;="&amp;cyTo,dQty,"&gt;-1E+300",dFlt1,critFlt1,dFlt2,critFlt2,dFlt3,critFlt3))</f>
        <v/>
      </c>
      <c r="G2258">
        <f>IF($B2258="",0,IFERROR(IF(OR(C2258&lt;&gt;0,D2258&lt;&gt;0,E2258&lt;&gt;0,F2258&lt;&gt;0),1,0),1))</f>
        <v>0</v>
      </c>
      <c r="H2258" t="str">
        <f>IF(OR(G2258=0,E2258=0),"",C2258/E2258)</f>
        <v/>
      </c>
      <c r="I2258" t="str">
        <f>IF(OR(G2258=0,F2258=0),"",D2258/F2258)</f>
        <v/>
      </c>
      <c r="J2258" t="str">
        <f>IF(OR(H2258="",I2258=""),"",IF(H2258=0,"",I2258/H2258-1))</f>
        <v/>
      </c>
      <c r="K2258" t="str">
        <f>IF($B2258="","",IFERROR(IF(G2258=0,-2E+300,CHOOSE(sortIdx,ROUND(D2258,0),IF(J2258="",-1E+300,ROUND(-J2258,6)),IF(J2258="",-1E+300,ROUND(J2258,6)))),-1.5E+300))</f>
        <v/>
      </c>
      <c r="L2258" t="str">
        <f>IF(K2258="","",RANK(K2258,$K$2:$K$3001,0)+COUNTIF($K$2:K2258,K2258)-1)</f>
        <v/>
      </c>
    </row>
    <row r="2259">
      <c r="B2259" t="str">
        <f>IFERROR(IF(A2259="","","="&amp;SUBSTITUTE(SUBSTITUTE(SUBSTITUTE(A2259,"~","~~"),"*","~*"),"?","~?")),"")</f>
        <v/>
      </c>
      <c r="C2259" t="str">
        <f>IF($B2259="","",SUMIFS(dAmt,dCust,$B2259,dPer,"&gt;="&amp;pyFrom,dPer,"&lt;="&amp;pyTo,dAmt,"&gt;-1E+300",dFlt1,critFlt1,dFlt2,critFlt2,dFlt3,critFlt3))</f>
        <v/>
      </c>
      <c r="D2259" t="str">
        <f>IF($B2259="","",SUMIFS(dAmt,dCust,$B2259,dPer,"&gt;="&amp;cyFrom,dPer,"&lt;="&amp;cyTo,dAmt,"&gt;-1E+300",dFlt1,critFlt1,dFlt2,critFlt2,dFlt3,critFlt3))</f>
        <v/>
      </c>
      <c r="E2259" t="str">
        <f>IF($B2259="","",SUMIFS(dQty,dCust,$B2259,dPer,"&gt;="&amp;pyFrom,dPer,"&lt;="&amp;pyTo,dQty,"&gt;-1E+300",dFlt1,critFlt1,dFlt2,critFlt2,dFlt3,critFlt3))</f>
        <v/>
      </c>
      <c r="F2259" t="str">
        <f>IF($B2259="","",SUMIFS(dQty,dCust,$B2259,dPer,"&gt;="&amp;cyFrom,dPer,"&lt;="&amp;cyTo,dQty,"&gt;-1E+300",dFlt1,critFlt1,dFlt2,critFlt2,dFlt3,critFlt3))</f>
        <v/>
      </c>
      <c r="G2259">
        <f>IF($B2259="",0,IFERROR(IF(OR(C2259&lt;&gt;0,D2259&lt;&gt;0,E2259&lt;&gt;0,F2259&lt;&gt;0),1,0),1))</f>
        <v>0</v>
      </c>
      <c r="H2259" t="str">
        <f>IF(OR(G2259=0,E2259=0),"",C2259/E2259)</f>
        <v/>
      </c>
      <c r="I2259" t="str">
        <f>IF(OR(G2259=0,F2259=0),"",D2259/F2259)</f>
        <v/>
      </c>
      <c r="J2259" t="str">
        <f>IF(OR(H2259="",I2259=""),"",IF(H2259=0,"",I2259/H2259-1))</f>
        <v/>
      </c>
      <c r="K2259" t="str">
        <f>IF($B2259="","",IFERROR(IF(G2259=0,-2E+300,CHOOSE(sortIdx,ROUND(D2259,0),IF(J2259="",-1E+300,ROUND(-J2259,6)),IF(J2259="",-1E+300,ROUND(J2259,6)))),-1.5E+300))</f>
        <v/>
      </c>
      <c r="L2259" t="str">
        <f>IF(K2259="","",RANK(K2259,$K$2:$K$3001,0)+COUNTIF($K$2:K2259,K2259)-1)</f>
        <v/>
      </c>
    </row>
    <row r="2260">
      <c r="B2260" t="str">
        <f>IFERROR(IF(A2260="","","="&amp;SUBSTITUTE(SUBSTITUTE(SUBSTITUTE(A2260,"~","~~"),"*","~*"),"?","~?")),"")</f>
        <v/>
      </c>
      <c r="C2260" t="str">
        <f>IF($B2260="","",SUMIFS(dAmt,dCust,$B2260,dPer,"&gt;="&amp;pyFrom,dPer,"&lt;="&amp;pyTo,dAmt,"&gt;-1E+300",dFlt1,critFlt1,dFlt2,critFlt2,dFlt3,critFlt3))</f>
        <v/>
      </c>
      <c r="D2260" t="str">
        <f>IF($B2260="","",SUMIFS(dAmt,dCust,$B2260,dPer,"&gt;="&amp;cyFrom,dPer,"&lt;="&amp;cyTo,dAmt,"&gt;-1E+300",dFlt1,critFlt1,dFlt2,critFlt2,dFlt3,critFlt3))</f>
        <v/>
      </c>
      <c r="E2260" t="str">
        <f>IF($B2260="","",SUMIFS(dQty,dCust,$B2260,dPer,"&gt;="&amp;pyFrom,dPer,"&lt;="&amp;pyTo,dQty,"&gt;-1E+300",dFlt1,critFlt1,dFlt2,critFlt2,dFlt3,critFlt3))</f>
        <v/>
      </c>
      <c r="F2260" t="str">
        <f>IF($B2260="","",SUMIFS(dQty,dCust,$B2260,dPer,"&gt;="&amp;cyFrom,dPer,"&lt;="&amp;cyTo,dQty,"&gt;-1E+300",dFlt1,critFlt1,dFlt2,critFlt2,dFlt3,critFlt3))</f>
        <v/>
      </c>
      <c r="G2260">
        <f>IF($B2260="",0,IFERROR(IF(OR(C2260&lt;&gt;0,D2260&lt;&gt;0,E2260&lt;&gt;0,F2260&lt;&gt;0),1,0),1))</f>
        <v>0</v>
      </c>
      <c r="H2260" t="str">
        <f>IF(OR(G2260=0,E2260=0),"",C2260/E2260)</f>
        <v/>
      </c>
      <c r="I2260" t="str">
        <f>IF(OR(G2260=0,F2260=0),"",D2260/F2260)</f>
        <v/>
      </c>
      <c r="J2260" t="str">
        <f>IF(OR(H2260="",I2260=""),"",IF(H2260=0,"",I2260/H2260-1))</f>
        <v/>
      </c>
      <c r="K2260" t="str">
        <f>IF($B2260="","",IFERROR(IF(G2260=0,-2E+300,CHOOSE(sortIdx,ROUND(D2260,0),IF(J2260="",-1E+300,ROUND(-J2260,6)),IF(J2260="",-1E+300,ROUND(J2260,6)))),-1.5E+300))</f>
        <v/>
      </c>
      <c r="L2260" t="str">
        <f>IF(K2260="","",RANK(K2260,$K$2:$K$3001,0)+COUNTIF($K$2:K2260,K2260)-1)</f>
        <v/>
      </c>
    </row>
    <row r="2261">
      <c r="B2261" t="str">
        <f>IFERROR(IF(A2261="","","="&amp;SUBSTITUTE(SUBSTITUTE(SUBSTITUTE(A2261,"~","~~"),"*","~*"),"?","~?")),"")</f>
        <v/>
      </c>
      <c r="C2261" t="str">
        <f>IF($B2261="","",SUMIFS(dAmt,dCust,$B2261,dPer,"&gt;="&amp;pyFrom,dPer,"&lt;="&amp;pyTo,dAmt,"&gt;-1E+300",dFlt1,critFlt1,dFlt2,critFlt2,dFlt3,critFlt3))</f>
        <v/>
      </c>
      <c r="D2261" t="str">
        <f>IF($B2261="","",SUMIFS(dAmt,dCust,$B2261,dPer,"&gt;="&amp;cyFrom,dPer,"&lt;="&amp;cyTo,dAmt,"&gt;-1E+300",dFlt1,critFlt1,dFlt2,critFlt2,dFlt3,critFlt3))</f>
        <v/>
      </c>
      <c r="E2261" t="str">
        <f>IF($B2261="","",SUMIFS(dQty,dCust,$B2261,dPer,"&gt;="&amp;pyFrom,dPer,"&lt;="&amp;pyTo,dQty,"&gt;-1E+300",dFlt1,critFlt1,dFlt2,critFlt2,dFlt3,critFlt3))</f>
        <v/>
      </c>
      <c r="F2261" t="str">
        <f>IF($B2261="","",SUMIFS(dQty,dCust,$B2261,dPer,"&gt;="&amp;cyFrom,dPer,"&lt;="&amp;cyTo,dQty,"&gt;-1E+300",dFlt1,critFlt1,dFlt2,critFlt2,dFlt3,critFlt3))</f>
        <v/>
      </c>
      <c r="G2261">
        <f>IF($B2261="",0,IFERROR(IF(OR(C2261&lt;&gt;0,D2261&lt;&gt;0,E2261&lt;&gt;0,F2261&lt;&gt;0),1,0),1))</f>
        <v>0</v>
      </c>
      <c r="H2261" t="str">
        <f>IF(OR(G2261=0,E2261=0),"",C2261/E2261)</f>
        <v/>
      </c>
      <c r="I2261" t="str">
        <f>IF(OR(G2261=0,F2261=0),"",D2261/F2261)</f>
        <v/>
      </c>
      <c r="J2261" t="str">
        <f>IF(OR(H2261="",I2261=""),"",IF(H2261=0,"",I2261/H2261-1))</f>
        <v/>
      </c>
      <c r="K2261" t="str">
        <f>IF($B2261="","",IFERROR(IF(G2261=0,-2E+300,CHOOSE(sortIdx,ROUND(D2261,0),IF(J2261="",-1E+300,ROUND(-J2261,6)),IF(J2261="",-1E+300,ROUND(J2261,6)))),-1.5E+300))</f>
        <v/>
      </c>
      <c r="L2261" t="str">
        <f>IF(K2261="","",RANK(K2261,$K$2:$K$3001,0)+COUNTIF($K$2:K2261,K2261)-1)</f>
        <v/>
      </c>
    </row>
    <row r="2262">
      <c r="B2262" t="str">
        <f>IFERROR(IF(A2262="","","="&amp;SUBSTITUTE(SUBSTITUTE(SUBSTITUTE(A2262,"~","~~"),"*","~*"),"?","~?")),"")</f>
        <v/>
      </c>
      <c r="C2262" t="str">
        <f>IF($B2262="","",SUMIFS(dAmt,dCust,$B2262,dPer,"&gt;="&amp;pyFrom,dPer,"&lt;="&amp;pyTo,dAmt,"&gt;-1E+300",dFlt1,critFlt1,dFlt2,critFlt2,dFlt3,critFlt3))</f>
        <v/>
      </c>
      <c r="D2262" t="str">
        <f>IF($B2262="","",SUMIFS(dAmt,dCust,$B2262,dPer,"&gt;="&amp;cyFrom,dPer,"&lt;="&amp;cyTo,dAmt,"&gt;-1E+300",dFlt1,critFlt1,dFlt2,critFlt2,dFlt3,critFlt3))</f>
        <v/>
      </c>
      <c r="E2262" t="str">
        <f>IF($B2262="","",SUMIFS(dQty,dCust,$B2262,dPer,"&gt;="&amp;pyFrom,dPer,"&lt;="&amp;pyTo,dQty,"&gt;-1E+300",dFlt1,critFlt1,dFlt2,critFlt2,dFlt3,critFlt3))</f>
        <v/>
      </c>
      <c r="F2262" t="str">
        <f>IF($B2262="","",SUMIFS(dQty,dCust,$B2262,dPer,"&gt;="&amp;cyFrom,dPer,"&lt;="&amp;cyTo,dQty,"&gt;-1E+300",dFlt1,critFlt1,dFlt2,critFlt2,dFlt3,critFlt3))</f>
        <v/>
      </c>
      <c r="G2262">
        <f>IF($B2262="",0,IFERROR(IF(OR(C2262&lt;&gt;0,D2262&lt;&gt;0,E2262&lt;&gt;0,F2262&lt;&gt;0),1,0),1))</f>
        <v>0</v>
      </c>
      <c r="H2262" t="str">
        <f>IF(OR(G2262=0,E2262=0),"",C2262/E2262)</f>
        <v/>
      </c>
      <c r="I2262" t="str">
        <f>IF(OR(G2262=0,F2262=0),"",D2262/F2262)</f>
        <v/>
      </c>
      <c r="J2262" t="str">
        <f>IF(OR(H2262="",I2262=""),"",IF(H2262=0,"",I2262/H2262-1))</f>
        <v/>
      </c>
      <c r="K2262" t="str">
        <f>IF($B2262="","",IFERROR(IF(G2262=0,-2E+300,CHOOSE(sortIdx,ROUND(D2262,0),IF(J2262="",-1E+300,ROUND(-J2262,6)),IF(J2262="",-1E+300,ROUND(J2262,6)))),-1.5E+300))</f>
        <v/>
      </c>
      <c r="L2262" t="str">
        <f>IF(K2262="","",RANK(K2262,$K$2:$K$3001,0)+COUNTIF($K$2:K2262,K2262)-1)</f>
        <v/>
      </c>
    </row>
    <row r="2263">
      <c r="B2263" t="str">
        <f>IFERROR(IF(A2263="","","="&amp;SUBSTITUTE(SUBSTITUTE(SUBSTITUTE(A2263,"~","~~"),"*","~*"),"?","~?")),"")</f>
        <v/>
      </c>
      <c r="C2263" t="str">
        <f>IF($B2263="","",SUMIFS(dAmt,dCust,$B2263,dPer,"&gt;="&amp;pyFrom,dPer,"&lt;="&amp;pyTo,dAmt,"&gt;-1E+300",dFlt1,critFlt1,dFlt2,critFlt2,dFlt3,critFlt3))</f>
        <v/>
      </c>
      <c r="D2263" t="str">
        <f>IF($B2263="","",SUMIFS(dAmt,dCust,$B2263,dPer,"&gt;="&amp;cyFrom,dPer,"&lt;="&amp;cyTo,dAmt,"&gt;-1E+300",dFlt1,critFlt1,dFlt2,critFlt2,dFlt3,critFlt3))</f>
        <v/>
      </c>
      <c r="E2263" t="str">
        <f>IF($B2263="","",SUMIFS(dQty,dCust,$B2263,dPer,"&gt;="&amp;pyFrom,dPer,"&lt;="&amp;pyTo,dQty,"&gt;-1E+300",dFlt1,critFlt1,dFlt2,critFlt2,dFlt3,critFlt3))</f>
        <v/>
      </c>
      <c r="F2263" t="str">
        <f>IF($B2263="","",SUMIFS(dQty,dCust,$B2263,dPer,"&gt;="&amp;cyFrom,dPer,"&lt;="&amp;cyTo,dQty,"&gt;-1E+300",dFlt1,critFlt1,dFlt2,critFlt2,dFlt3,critFlt3))</f>
        <v/>
      </c>
      <c r="G2263">
        <f>IF($B2263="",0,IFERROR(IF(OR(C2263&lt;&gt;0,D2263&lt;&gt;0,E2263&lt;&gt;0,F2263&lt;&gt;0),1,0),1))</f>
        <v>0</v>
      </c>
      <c r="H2263" t="str">
        <f>IF(OR(G2263=0,E2263=0),"",C2263/E2263)</f>
        <v/>
      </c>
      <c r="I2263" t="str">
        <f>IF(OR(G2263=0,F2263=0),"",D2263/F2263)</f>
        <v/>
      </c>
      <c r="J2263" t="str">
        <f>IF(OR(H2263="",I2263=""),"",IF(H2263=0,"",I2263/H2263-1))</f>
        <v/>
      </c>
      <c r="K2263" t="str">
        <f>IF($B2263="","",IFERROR(IF(G2263=0,-2E+300,CHOOSE(sortIdx,ROUND(D2263,0),IF(J2263="",-1E+300,ROUND(-J2263,6)),IF(J2263="",-1E+300,ROUND(J2263,6)))),-1.5E+300))</f>
        <v/>
      </c>
      <c r="L2263" t="str">
        <f>IF(K2263="","",RANK(K2263,$K$2:$K$3001,0)+COUNTIF($K$2:K2263,K2263)-1)</f>
        <v/>
      </c>
    </row>
    <row r="2264">
      <c r="B2264" t="str">
        <f>IFERROR(IF(A2264="","","="&amp;SUBSTITUTE(SUBSTITUTE(SUBSTITUTE(A2264,"~","~~"),"*","~*"),"?","~?")),"")</f>
        <v/>
      </c>
      <c r="C2264" t="str">
        <f>IF($B2264="","",SUMIFS(dAmt,dCust,$B2264,dPer,"&gt;="&amp;pyFrom,dPer,"&lt;="&amp;pyTo,dAmt,"&gt;-1E+300",dFlt1,critFlt1,dFlt2,critFlt2,dFlt3,critFlt3))</f>
        <v/>
      </c>
      <c r="D2264" t="str">
        <f>IF($B2264="","",SUMIFS(dAmt,dCust,$B2264,dPer,"&gt;="&amp;cyFrom,dPer,"&lt;="&amp;cyTo,dAmt,"&gt;-1E+300",dFlt1,critFlt1,dFlt2,critFlt2,dFlt3,critFlt3))</f>
        <v/>
      </c>
      <c r="E2264" t="str">
        <f>IF($B2264="","",SUMIFS(dQty,dCust,$B2264,dPer,"&gt;="&amp;pyFrom,dPer,"&lt;="&amp;pyTo,dQty,"&gt;-1E+300",dFlt1,critFlt1,dFlt2,critFlt2,dFlt3,critFlt3))</f>
        <v/>
      </c>
      <c r="F2264" t="str">
        <f>IF($B2264="","",SUMIFS(dQty,dCust,$B2264,dPer,"&gt;="&amp;cyFrom,dPer,"&lt;="&amp;cyTo,dQty,"&gt;-1E+300",dFlt1,critFlt1,dFlt2,critFlt2,dFlt3,critFlt3))</f>
        <v/>
      </c>
      <c r="G2264">
        <f>IF($B2264="",0,IFERROR(IF(OR(C2264&lt;&gt;0,D2264&lt;&gt;0,E2264&lt;&gt;0,F2264&lt;&gt;0),1,0),1))</f>
        <v>0</v>
      </c>
      <c r="H2264" t="str">
        <f>IF(OR(G2264=0,E2264=0),"",C2264/E2264)</f>
        <v/>
      </c>
      <c r="I2264" t="str">
        <f>IF(OR(G2264=0,F2264=0),"",D2264/F2264)</f>
        <v/>
      </c>
      <c r="J2264" t="str">
        <f>IF(OR(H2264="",I2264=""),"",IF(H2264=0,"",I2264/H2264-1))</f>
        <v/>
      </c>
      <c r="K2264" t="str">
        <f>IF($B2264="","",IFERROR(IF(G2264=0,-2E+300,CHOOSE(sortIdx,ROUND(D2264,0),IF(J2264="",-1E+300,ROUND(-J2264,6)),IF(J2264="",-1E+300,ROUND(J2264,6)))),-1.5E+300))</f>
        <v/>
      </c>
      <c r="L2264" t="str">
        <f>IF(K2264="","",RANK(K2264,$K$2:$K$3001,0)+COUNTIF($K$2:K2264,K2264)-1)</f>
        <v/>
      </c>
    </row>
    <row r="2265">
      <c r="B2265" t="str">
        <f>IFERROR(IF(A2265="","","="&amp;SUBSTITUTE(SUBSTITUTE(SUBSTITUTE(A2265,"~","~~"),"*","~*"),"?","~?")),"")</f>
        <v/>
      </c>
      <c r="C2265" t="str">
        <f>IF($B2265="","",SUMIFS(dAmt,dCust,$B2265,dPer,"&gt;="&amp;pyFrom,dPer,"&lt;="&amp;pyTo,dAmt,"&gt;-1E+300",dFlt1,critFlt1,dFlt2,critFlt2,dFlt3,critFlt3))</f>
        <v/>
      </c>
      <c r="D2265" t="str">
        <f>IF($B2265="","",SUMIFS(dAmt,dCust,$B2265,dPer,"&gt;="&amp;cyFrom,dPer,"&lt;="&amp;cyTo,dAmt,"&gt;-1E+300",dFlt1,critFlt1,dFlt2,critFlt2,dFlt3,critFlt3))</f>
        <v/>
      </c>
      <c r="E2265" t="str">
        <f>IF($B2265="","",SUMIFS(dQty,dCust,$B2265,dPer,"&gt;="&amp;pyFrom,dPer,"&lt;="&amp;pyTo,dQty,"&gt;-1E+300",dFlt1,critFlt1,dFlt2,critFlt2,dFlt3,critFlt3))</f>
        <v/>
      </c>
      <c r="F2265" t="str">
        <f>IF($B2265="","",SUMIFS(dQty,dCust,$B2265,dPer,"&gt;="&amp;cyFrom,dPer,"&lt;="&amp;cyTo,dQty,"&gt;-1E+300",dFlt1,critFlt1,dFlt2,critFlt2,dFlt3,critFlt3))</f>
        <v/>
      </c>
      <c r="G2265">
        <f>IF($B2265="",0,IFERROR(IF(OR(C2265&lt;&gt;0,D2265&lt;&gt;0,E2265&lt;&gt;0,F2265&lt;&gt;0),1,0),1))</f>
        <v>0</v>
      </c>
      <c r="H2265" t="str">
        <f>IF(OR(G2265=0,E2265=0),"",C2265/E2265)</f>
        <v/>
      </c>
      <c r="I2265" t="str">
        <f>IF(OR(G2265=0,F2265=0),"",D2265/F2265)</f>
        <v/>
      </c>
      <c r="J2265" t="str">
        <f>IF(OR(H2265="",I2265=""),"",IF(H2265=0,"",I2265/H2265-1))</f>
        <v/>
      </c>
      <c r="K2265" t="str">
        <f>IF($B2265="","",IFERROR(IF(G2265=0,-2E+300,CHOOSE(sortIdx,ROUND(D2265,0),IF(J2265="",-1E+300,ROUND(-J2265,6)),IF(J2265="",-1E+300,ROUND(J2265,6)))),-1.5E+300))</f>
        <v/>
      </c>
      <c r="L2265" t="str">
        <f>IF(K2265="","",RANK(K2265,$K$2:$K$3001,0)+COUNTIF($K$2:K2265,K2265)-1)</f>
        <v/>
      </c>
    </row>
    <row r="2266">
      <c r="B2266" t="str">
        <f>IFERROR(IF(A2266="","","="&amp;SUBSTITUTE(SUBSTITUTE(SUBSTITUTE(A2266,"~","~~"),"*","~*"),"?","~?")),"")</f>
        <v/>
      </c>
      <c r="C2266" t="str">
        <f>IF($B2266="","",SUMIFS(dAmt,dCust,$B2266,dPer,"&gt;="&amp;pyFrom,dPer,"&lt;="&amp;pyTo,dAmt,"&gt;-1E+300",dFlt1,critFlt1,dFlt2,critFlt2,dFlt3,critFlt3))</f>
        <v/>
      </c>
      <c r="D2266" t="str">
        <f>IF($B2266="","",SUMIFS(dAmt,dCust,$B2266,dPer,"&gt;="&amp;cyFrom,dPer,"&lt;="&amp;cyTo,dAmt,"&gt;-1E+300",dFlt1,critFlt1,dFlt2,critFlt2,dFlt3,critFlt3))</f>
        <v/>
      </c>
      <c r="E2266" t="str">
        <f>IF($B2266="","",SUMIFS(dQty,dCust,$B2266,dPer,"&gt;="&amp;pyFrom,dPer,"&lt;="&amp;pyTo,dQty,"&gt;-1E+300",dFlt1,critFlt1,dFlt2,critFlt2,dFlt3,critFlt3))</f>
        <v/>
      </c>
      <c r="F2266" t="str">
        <f>IF($B2266="","",SUMIFS(dQty,dCust,$B2266,dPer,"&gt;="&amp;cyFrom,dPer,"&lt;="&amp;cyTo,dQty,"&gt;-1E+300",dFlt1,critFlt1,dFlt2,critFlt2,dFlt3,critFlt3))</f>
        <v/>
      </c>
      <c r="G2266">
        <f>IF($B2266="",0,IFERROR(IF(OR(C2266&lt;&gt;0,D2266&lt;&gt;0,E2266&lt;&gt;0,F2266&lt;&gt;0),1,0),1))</f>
        <v>0</v>
      </c>
      <c r="H2266" t="str">
        <f>IF(OR(G2266=0,E2266=0),"",C2266/E2266)</f>
        <v/>
      </c>
      <c r="I2266" t="str">
        <f>IF(OR(G2266=0,F2266=0),"",D2266/F2266)</f>
        <v/>
      </c>
      <c r="J2266" t="str">
        <f>IF(OR(H2266="",I2266=""),"",IF(H2266=0,"",I2266/H2266-1))</f>
        <v/>
      </c>
      <c r="K2266" t="str">
        <f>IF($B2266="","",IFERROR(IF(G2266=0,-2E+300,CHOOSE(sortIdx,ROUND(D2266,0),IF(J2266="",-1E+300,ROUND(-J2266,6)),IF(J2266="",-1E+300,ROUND(J2266,6)))),-1.5E+300))</f>
        <v/>
      </c>
      <c r="L2266" t="str">
        <f>IF(K2266="","",RANK(K2266,$K$2:$K$3001,0)+COUNTIF($K$2:K2266,K2266)-1)</f>
        <v/>
      </c>
    </row>
    <row r="2267">
      <c r="B2267" t="str">
        <f>IFERROR(IF(A2267="","","="&amp;SUBSTITUTE(SUBSTITUTE(SUBSTITUTE(A2267,"~","~~"),"*","~*"),"?","~?")),"")</f>
        <v/>
      </c>
      <c r="C2267" t="str">
        <f>IF($B2267="","",SUMIFS(dAmt,dCust,$B2267,dPer,"&gt;="&amp;pyFrom,dPer,"&lt;="&amp;pyTo,dAmt,"&gt;-1E+300",dFlt1,critFlt1,dFlt2,critFlt2,dFlt3,critFlt3))</f>
        <v/>
      </c>
      <c r="D2267" t="str">
        <f>IF($B2267="","",SUMIFS(dAmt,dCust,$B2267,dPer,"&gt;="&amp;cyFrom,dPer,"&lt;="&amp;cyTo,dAmt,"&gt;-1E+300",dFlt1,critFlt1,dFlt2,critFlt2,dFlt3,critFlt3))</f>
        <v/>
      </c>
      <c r="E2267" t="str">
        <f>IF($B2267="","",SUMIFS(dQty,dCust,$B2267,dPer,"&gt;="&amp;pyFrom,dPer,"&lt;="&amp;pyTo,dQty,"&gt;-1E+300",dFlt1,critFlt1,dFlt2,critFlt2,dFlt3,critFlt3))</f>
        <v/>
      </c>
      <c r="F2267" t="str">
        <f>IF($B2267="","",SUMIFS(dQty,dCust,$B2267,dPer,"&gt;="&amp;cyFrom,dPer,"&lt;="&amp;cyTo,dQty,"&gt;-1E+300",dFlt1,critFlt1,dFlt2,critFlt2,dFlt3,critFlt3))</f>
        <v/>
      </c>
      <c r="G2267">
        <f>IF($B2267="",0,IFERROR(IF(OR(C2267&lt;&gt;0,D2267&lt;&gt;0,E2267&lt;&gt;0,F2267&lt;&gt;0),1,0),1))</f>
        <v>0</v>
      </c>
      <c r="H2267" t="str">
        <f>IF(OR(G2267=0,E2267=0),"",C2267/E2267)</f>
        <v/>
      </c>
      <c r="I2267" t="str">
        <f>IF(OR(G2267=0,F2267=0),"",D2267/F2267)</f>
        <v/>
      </c>
      <c r="J2267" t="str">
        <f>IF(OR(H2267="",I2267=""),"",IF(H2267=0,"",I2267/H2267-1))</f>
        <v/>
      </c>
      <c r="K2267" t="str">
        <f>IF($B2267="","",IFERROR(IF(G2267=0,-2E+300,CHOOSE(sortIdx,ROUND(D2267,0),IF(J2267="",-1E+300,ROUND(-J2267,6)),IF(J2267="",-1E+300,ROUND(J2267,6)))),-1.5E+300))</f>
        <v/>
      </c>
      <c r="L2267" t="str">
        <f>IF(K2267="","",RANK(K2267,$K$2:$K$3001,0)+COUNTIF($K$2:K2267,K2267)-1)</f>
        <v/>
      </c>
    </row>
    <row r="2268">
      <c r="B2268" t="str">
        <f>IFERROR(IF(A2268="","","="&amp;SUBSTITUTE(SUBSTITUTE(SUBSTITUTE(A2268,"~","~~"),"*","~*"),"?","~?")),"")</f>
        <v/>
      </c>
      <c r="C2268" t="str">
        <f>IF($B2268="","",SUMIFS(dAmt,dCust,$B2268,dPer,"&gt;="&amp;pyFrom,dPer,"&lt;="&amp;pyTo,dAmt,"&gt;-1E+300",dFlt1,critFlt1,dFlt2,critFlt2,dFlt3,critFlt3))</f>
        <v/>
      </c>
      <c r="D2268" t="str">
        <f>IF($B2268="","",SUMIFS(dAmt,dCust,$B2268,dPer,"&gt;="&amp;cyFrom,dPer,"&lt;="&amp;cyTo,dAmt,"&gt;-1E+300",dFlt1,critFlt1,dFlt2,critFlt2,dFlt3,critFlt3))</f>
        <v/>
      </c>
      <c r="E2268" t="str">
        <f>IF($B2268="","",SUMIFS(dQty,dCust,$B2268,dPer,"&gt;="&amp;pyFrom,dPer,"&lt;="&amp;pyTo,dQty,"&gt;-1E+300",dFlt1,critFlt1,dFlt2,critFlt2,dFlt3,critFlt3))</f>
        <v/>
      </c>
      <c r="F2268" t="str">
        <f>IF($B2268="","",SUMIFS(dQty,dCust,$B2268,dPer,"&gt;="&amp;cyFrom,dPer,"&lt;="&amp;cyTo,dQty,"&gt;-1E+300",dFlt1,critFlt1,dFlt2,critFlt2,dFlt3,critFlt3))</f>
        <v/>
      </c>
      <c r="G2268">
        <f>IF($B2268="",0,IFERROR(IF(OR(C2268&lt;&gt;0,D2268&lt;&gt;0,E2268&lt;&gt;0,F2268&lt;&gt;0),1,0),1))</f>
        <v>0</v>
      </c>
      <c r="H2268" t="str">
        <f>IF(OR(G2268=0,E2268=0),"",C2268/E2268)</f>
        <v/>
      </c>
      <c r="I2268" t="str">
        <f>IF(OR(G2268=0,F2268=0),"",D2268/F2268)</f>
        <v/>
      </c>
      <c r="J2268" t="str">
        <f>IF(OR(H2268="",I2268=""),"",IF(H2268=0,"",I2268/H2268-1))</f>
        <v/>
      </c>
      <c r="K2268" t="str">
        <f>IF($B2268="","",IFERROR(IF(G2268=0,-2E+300,CHOOSE(sortIdx,ROUND(D2268,0),IF(J2268="",-1E+300,ROUND(-J2268,6)),IF(J2268="",-1E+300,ROUND(J2268,6)))),-1.5E+300))</f>
        <v/>
      </c>
      <c r="L2268" t="str">
        <f>IF(K2268="","",RANK(K2268,$K$2:$K$3001,0)+COUNTIF($K$2:K2268,K2268)-1)</f>
        <v/>
      </c>
    </row>
    <row r="2269">
      <c r="B2269" t="str">
        <f>IFERROR(IF(A2269="","","="&amp;SUBSTITUTE(SUBSTITUTE(SUBSTITUTE(A2269,"~","~~"),"*","~*"),"?","~?")),"")</f>
        <v/>
      </c>
      <c r="C2269" t="str">
        <f>IF($B2269="","",SUMIFS(dAmt,dCust,$B2269,dPer,"&gt;="&amp;pyFrom,dPer,"&lt;="&amp;pyTo,dAmt,"&gt;-1E+300",dFlt1,critFlt1,dFlt2,critFlt2,dFlt3,critFlt3))</f>
        <v/>
      </c>
      <c r="D2269" t="str">
        <f>IF($B2269="","",SUMIFS(dAmt,dCust,$B2269,dPer,"&gt;="&amp;cyFrom,dPer,"&lt;="&amp;cyTo,dAmt,"&gt;-1E+300",dFlt1,critFlt1,dFlt2,critFlt2,dFlt3,critFlt3))</f>
        <v/>
      </c>
      <c r="E2269" t="str">
        <f>IF($B2269="","",SUMIFS(dQty,dCust,$B2269,dPer,"&gt;="&amp;pyFrom,dPer,"&lt;="&amp;pyTo,dQty,"&gt;-1E+300",dFlt1,critFlt1,dFlt2,critFlt2,dFlt3,critFlt3))</f>
        <v/>
      </c>
      <c r="F2269" t="str">
        <f>IF($B2269="","",SUMIFS(dQty,dCust,$B2269,dPer,"&gt;="&amp;cyFrom,dPer,"&lt;="&amp;cyTo,dQty,"&gt;-1E+300",dFlt1,critFlt1,dFlt2,critFlt2,dFlt3,critFlt3))</f>
        <v/>
      </c>
      <c r="G2269">
        <f>IF($B2269="",0,IFERROR(IF(OR(C2269&lt;&gt;0,D2269&lt;&gt;0,E2269&lt;&gt;0,F2269&lt;&gt;0),1,0),1))</f>
        <v>0</v>
      </c>
      <c r="H2269" t="str">
        <f>IF(OR(G2269=0,E2269=0),"",C2269/E2269)</f>
        <v/>
      </c>
      <c r="I2269" t="str">
        <f>IF(OR(G2269=0,F2269=0),"",D2269/F2269)</f>
        <v/>
      </c>
      <c r="J2269" t="str">
        <f>IF(OR(H2269="",I2269=""),"",IF(H2269=0,"",I2269/H2269-1))</f>
        <v/>
      </c>
      <c r="K2269" t="str">
        <f>IF($B2269="","",IFERROR(IF(G2269=0,-2E+300,CHOOSE(sortIdx,ROUND(D2269,0),IF(J2269="",-1E+300,ROUND(-J2269,6)),IF(J2269="",-1E+300,ROUND(J2269,6)))),-1.5E+300))</f>
        <v/>
      </c>
      <c r="L2269" t="str">
        <f>IF(K2269="","",RANK(K2269,$K$2:$K$3001,0)+COUNTIF($K$2:K2269,K2269)-1)</f>
        <v/>
      </c>
    </row>
    <row r="2270">
      <c r="B2270" t="str">
        <f>IFERROR(IF(A2270="","","="&amp;SUBSTITUTE(SUBSTITUTE(SUBSTITUTE(A2270,"~","~~"),"*","~*"),"?","~?")),"")</f>
        <v/>
      </c>
      <c r="C2270" t="str">
        <f>IF($B2270="","",SUMIFS(dAmt,dCust,$B2270,dPer,"&gt;="&amp;pyFrom,dPer,"&lt;="&amp;pyTo,dAmt,"&gt;-1E+300",dFlt1,critFlt1,dFlt2,critFlt2,dFlt3,critFlt3))</f>
        <v/>
      </c>
      <c r="D2270" t="str">
        <f>IF($B2270="","",SUMIFS(dAmt,dCust,$B2270,dPer,"&gt;="&amp;cyFrom,dPer,"&lt;="&amp;cyTo,dAmt,"&gt;-1E+300",dFlt1,critFlt1,dFlt2,critFlt2,dFlt3,critFlt3))</f>
        <v/>
      </c>
      <c r="E2270" t="str">
        <f>IF($B2270="","",SUMIFS(dQty,dCust,$B2270,dPer,"&gt;="&amp;pyFrom,dPer,"&lt;="&amp;pyTo,dQty,"&gt;-1E+300",dFlt1,critFlt1,dFlt2,critFlt2,dFlt3,critFlt3))</f>
        <v/>
      </c>
      <c r="F2270" t="str">
        <f>IF($B2270="","",SUMIFS(dQty,dCust,$B2270,dPer,"&gt;="&amp;cyFrom,dPer,"&lt;="&amp;cyTo,dQty,"&gt;-1E+300",dFlt1,critFlt1,dFlt2,critFlt2,dFlt3,critFlt3))</f>
        <v/>
      </c>
      <c r="G2270">
        <f>IF($B2270="",0,IFERROR(IF(OR(C2270&lt;&gt;0,D2270&lt;&gt;0,E2270&lt;&gt;0,F2270&lt;&gt;0),1,0),1))</f>
        <v>0</v>
      </c>
      <c r="H2270" t="str">
        <f>IF(OR(G2270=0,E2270=0),"",C2270/E2270)</f>
        <v/>
      </c>
      <c r="I2270" t="str">
        <f>IF(OR(G2270=0,F2270=0),"",D2270/F2270)</f>
        <v/>
      </c>
      <c r="J2270" t="str">
        <f>IF(OR(H2270="",I2270=""),"",IF(H2270=0,"",I2270/H2270-1))</f>
        <v/>
      </c>
      <c r="K2270" t="str">
        <f>IF($B2270="","",IFERROR(IF(G2270=0,-2E+300,CHOOSE(sortIdx,ROUND(D2270,0),IF(J2270="",-1E+300,ROUND(-J2270,6)),IF(J2270="",-1E+300,ROUND(J2270,6)))),-1.5E+300))</f>
        <v/>
      </c>
      <c r="L2270" t="str">
        <f>IF(K2270="","",RANK(K2270,$K$2:$K$3001,0)+COUNTIF($K$2:K2270,K2270)-1)</f>
        <v/>
      </c>
    </row>
    <row r="2271">
      <c r="B2271" t="str">
        <f>IFERROR(IF(A2271="","","="&amp;SUBSTITUTE(SUBSTITUTE(SUBSTITUTE(A2271,"~","~~"),"*","~*"),"?","~?")),"")</f>
        <v/>
      </c>
      <c r="C2271" t="str">
        <f>IF($B2271="","",SUMIFS(dAmt,dCust,$B2271,dPer,"&gt;="&amp;pyFrom,dPer,"&lt;="&amp;pyTo,dAmt,"&gt;-1E+300",dFlt1,critFlt1,dFlt2,critFlt2,dFlt3,critFlt3))</f>
        <v/>
      </c>
      <c r="D2271" t="str">
        <f>IF($B2271="","",SUMIFS(dAmt,dCust,$B2271,dPer,"&gt;="&amp;cyFrom,dPer,"&lt;="&amp;cyTo,dAmt,"&gt;-1E+300",dFlt1,critFlt1,dFlt2,critFlt2,dFlt3,critFlt3))</f>
        <v/>
      </c>
      <c r="E2271" t="str">
        <f>IF($B2271="","",SUMIFS(dQty,dCust,$B2271,dPer,"&gt;="&amp;pyFrom,dPer,"&lt;="&amp;pyTo,dQty,"&gt;-1E+300",dFlt1,critFlt1,dFlt2,critFlt2,dFlt3,critFlt3))</f>
        <v/>
      </c>
      <c r="F2271" t="str">
        <f>IF($B2271="","",SUMIFS(dQty,dCust,$B2271,dPer,"&gt;="&amp;cyFrom,dPer,"&lt;="&amp;cyTo,dQty,"&gt;-1E+300",dFlt1,critFlt1,dFlt2,critFlt2,dFlt3,critFlt3))</f>
        <v/>
      </c>
      <c r="G2271">
        <f>IF($B2271="",0,IFERROR(IF(OR(C2271&lt;&gt;0,D2271&lt;&gt;0,E2271&lt;&gt;0,F2271&lt;&gt;0),1,0),1))</f>
        <v>0</v>
      </c>
      <c r="H2271" t="str">
        <f>IF(OR(G2271=0,E2271=0),"",C2271/E2271)</f>
        <v/>
      </c>
      <c r="I2271" t="str">
        <f>IF(OR(G2271=0,F2271=0),"",D2271/F2271)</f>
        <v/>
      </c>
      <c r="J2271" t="str">
        <f>IF(OR(H2271="",I2271=""),"",IF(H2271=0,"",I2271/H2271-1))</f>
        <v/>
      </c>
      <c r="K2271" t="str">
        <f>IF($B2271="","",IFERROR(IF(G2271=0,-2E+300,CHOOSE(sortIdx,ROUND(D2271,0),IF(J2271="",-1E+300,ROUND(-J2271,6)),IF(J2271="",-1E+300,ROUND(J2271,6)))),-1.5E+300))</f>
        <v/>
      </c>
      <c r="L2271" t="str">
        <f>IF(K2271="","",RANK(K2271,$K$2:$K$3001,0)+COUNTIF($K$2:K2271,K2271)-1)</f>
        <v/>
      </c>
    </row>
    <row r="2272">
      <c r="B2272" t="str">
        <f>IFERROR(IF(A2272="","","="&amp;SUBSTITUTE(SUBSTITUTE(SUBSTITUTE(A2272,"~","~~"),"*","~*"),"?","~?")),"")</f>
        <v/>
      </c>
      <c r="C2272" t="str">
        <f>IF($B2272="","",SUMIFS(dAmt,dCust,$B2272,dPer,"&gt;="&amp;pyFrom,dPer,"&lt;="&amp;pyTo,dAmt,"&gt;-1E+300",dFlt1,critFlt1,dFlt2,critFlt2,dFlt3,critFlt3))</f>
        <v/>
      </c>
      <c r="D2272" t="str">
        <f>IF($B2272="","",SUMIFS(dAmt,dCust,$B2272,dPer,"&gt;="&amp;cyFrom,dPer,"&lt;="&amp;cyTo,dAmt,"&gt;-1E+300",dFlt1,critFlt1,dFlt2,critFlt2,dFlt3,critFlt3))</f>
        <v/>
      </c>
      <c r="E2272" t="str">
        <f>IF($B2272="","",SUMIFS(dQty,dCust,$B2272,dPer,"&gt;="&amp;pyFrom,dPer,"&lt;="&amp;pyTo,dQty,"&gt;-1E+300",dFlt1,critFlt1,dFlt2,critFlt2,dFlt3,critFlt3))</f>
        <v/>
      </c>
      <c r="F2272" t="str">
        <f>IF($B2272="","",SUMIFS(dQty,dCust,$B2272,dPer,"&gt;="&amp;cyFrom,dPer,"&lt;="&amp;cyTo,dQty,"&gt;-1E+300",dFlt1,critFlt1,dFlt2,critFlt2,dFlt3,critFlt3))</f>
        <v/>
      </c>
      <c r="G2272">
        <f>IF($B2272="",0,IFERROR(IF(OR(C2272&lt;&gt;0,D2272&lt;&gt;0,E2272&lt;&gt;0,F2272&lt;&gt;0),1,0),1))</f>
        <v>0</v>
      </c>
      <c r="H2272" t="str">
        <f>IF(OR(G2272=0,E2272=0),"",C2272/E2272)</f>
        <v/>
      </c>
      <c r="I2272" t="str">
        <f>IF(OR(G2272=0,F2272=0),"",D2272/F2272)</f>
        <v/>
      </c>
      <c r="J2272" t="str">
        <f>IF(OR(H2272="",I2272=""),"",IF(H2272=0,"",I2272/H2272-1))</f>
        <v/>
      </c>
      <c r="K2272" t="str">
        <f>IF($B2272="","",IFERROR(IF(G2272=0,-2E+300,CHOOSE(sortIdx,ROUND(D2272,0),IF(J2272="",-1E+300,ROUND(-J2272,6)),IF(J2272="",-1E+300,ROUND(J2272,6)))),-1.5E+300))</f>
        <v/>
      </c>
      <c r="L2272" t="str">
        <f>IF(K2272="","",RANK(K2272,$K$2:$K$3001,0)+COUNTIF($K$2:K2272,K2272)-1)</f>
        <v/>
      </c>
    </row>
    <row r="2273">
      <c r="B2273" t="str">
        <f>IFERROR(IF(A2273="","","="&amp;SUBSTITUTE(SUBSTITUTE(SUBSTITUTE(A2273,"~","~~"),"*","~*"),"?","~?")),"")</f>
        <v/>
      </c>
      <c r="C2273" t="str">
        <f>IF($B2273="","",SUMIFS(dAmt,dCust,$B2273,dPer,"&gt;="&amp;pyFrom,dPer,"&lt;="&amp;pyTo,dAmt,"&gt;-1E+300",dFlt1,critFlt1,dFlt2,critFlt2,dFlt3,critFlt3))</f>
        <v/>
      </c>
      <c r="D2273" t="str">
        <f>IF($B2273="","",SUMIFS(dAmt,dCust,$B2273,dPer,"&gt;="&amp;cyFrom,dPer,"&lt;="&amp;cyTo,dAmt,"&gt;-1E+300",dFlt1,critFlt1,dFlt2,critFlt2,dFlt3,critFlt3))</f>
        <v/>
      </c>
      <c r="E2273" t="str">
        <f>IF($B2273="","",SUMIFS(dQty,dCust,$B2273,dPer,"&gt;="&amp;pyFrom,dPer,"&lt;="&amp;pyTo,dQty,"&gt;-1E+300",dFlt1,critFlt1,dFlt2,critFlt2,dFlt3,critFlt3))</f>
        <v/>
      </c>
      <c r="F2273" t="str">
        <f>IF($B2273="","",SUMIFS(dQty,dCust,$B2273,dPer,"&gt;="&amp;cyFrom,dPer,"&lt;="&amp;cyTo,dQty,"&gt;-1E+300",dFlt1,critFlt1,dFlt2,critFlt2,dFlt3,critFlt3))</f>
        <v/>
      </c>
      <c r="G2273">
        <f>IF($B2273="",0,IFERROR(IF(OR(C2273&lt;&gt;0,D2273&lt;&gt;0,E2273&lt;&gt;0,F2273&lt;&gt;0),1,0),1))</f>
        <v>0</v>
      </c>
      <c r="H2273" t="str">
        <f>IF(OR(G2273=0,E2273=0),"",C2273/E2273)</f>
        <v/>
      </c>
      <c r="I2273" t="str">
        <f>IF(OR(G2273=0,F2273=0),"",D2273/F2273)</f>
        <v/>
      </c>
      <c r="J2273" t="str">
        <f>IF(OR(H2273="",I2273=""),"",IF(H2273=0,"",I2273/H2273-1))</f>
        <v/>
      </c>
      <c r="K2273" t="str">
        <f>IF($B2273="","",IFERROR(IF(G2273=0,-2E+300,CHOOSE(sortIdx,ROUND(D2273,0),IF(J2273="",-1E+300,ROUND(-J2273,6)),IF(J2273="",-1E+300,ROUND(J2273,6)))),-1.5E+300))</f>
        <v/>
      </c>
      <c r="L2273" t="str">
        <f>IF(K2273="","",RANK(K2273,$K$2:$K$3001,0)+COUNTIF($K$2:K2273,K2273)-1)</f>
        <v/>
      </c>
    </row>
    <row r="2274">
      <c r="B2274" t="str">
        <f>IFERROR(IF(A2274="","","="&amp;SUBSTITUTE(SUBSTITUTE(SUBSTITUTE(A2274,"~","~~"),"*","~*"),"?","~?")),"")</f>
        <v/>
      </c>
      <c r="C2274" t="str">
        <f>IF($B2274="","",SUMIFS(dAmt,dCust,$B2274,dPer,"&gt;="&amp;pyFrom,dPer,"&lt;="&amp;pyTo,dAmt,"&gt;-1E+300",dFlt1,critFlt1,dFlt2,critFlt2,dFlt3,critFlt3))</f>
        <v/>
      </c>
      <c r="D2274" t="str">
        <f>IF($B2274="","",SUMIFS(dAmt,dCust,$B2274,dPer,"&gt;="&amp;cyFrom,dPer,"&lt;="&amp;cyTo,dAmt,"&gt;-1E+300",dFlt1,critFlt1,dFlt2,critFlt2,dFlt3,critFlt3))</f>
        <v/>
      </c>
      <c r="E2274" t="str">
        <f>IF($B2274="","",SUMIFS(dQty,dCust,$B2274,dPer,"&gt;="&amp;pyFrom,dPer,"&lt;="&amp;pyTo,dQty,"&gt;-1E+300",dFlt1,critFlt1,dFlt2,critFlt2,dFlt3,critFlt3))</f>
        <v/>
      </c>
      <c r="F2274" t="str">
        <f>IF($B2274="","",SUMIFS(dQty,dCust,$B2274,dPer,"&gt;="&amp;cyFrom,dPer,"&lt;="&amp;cyTo,dQty,"&gt;-1E+300",dFlt1,critFlt1,dFlt2,critFlt2,dFlt3,critFlt3))</f>
        <v/>
      </c>
      <c r="G2274">
        <f>IF($B2274="",0,IFERROR(IF(OR(C2274&lt;&gt;0,D2274&lt;&gt;0,E2274&lt;&gt;0,F2274&lt;&gt;0),1,0),1))</f>
        <v>0</v>
      </c>
      <c r="H2274" t="str">
        <f>IF(OR(G2274=0,E2274=0),"",C2274/E2274)</f>
        <v/>
      </c>
      <c r="I2274" t="str">
        <f>IF(OR(G2274=0,F2274=0),"",D2274/F2274)</f>
        <v/>
      </c>
      <c r="J2274" t="str">
        <f>IF(OR(H2274="",I2274=""),"",IF(H2274=0,"",I2274/H2274-1))</f>
        <v/>
      </c>
      <c r="K2274" t="str">
        <f>IF($B2274="","",IFERROR(IF(G2274=0,-2E+300,CHOOSE(sortIdx,ROUND(D2274,0),IF(J2274="",-1E+300,ROUND(-J2274,6)),IF(J2274="",-1E+300,ROUND(J2274,6)))),-1.5E+300))</f>
        <v/>
      </c>
      <c r="L2274" t="str">
        <f>IF(K2274="","",RANK(K2274,$K$2:$K$3001,0)+COUNTIF($K$2:K2274,K2274)-1)</f>
        <v/>
      </c>
    </row>
    <row r="2275">
      <c r="B2275" t="str">
        <f>IFERROR(IF(A2275="","","="&amp;SUBSTITUTE(SUBSTITUTE(SUBSTITUTE(A2275,"~","~~"),"*","~*"),"?","~?")),"")</f>
        <v/>
      </c>
      <c r="C2275" t="str">
        <f>IF($B2275="","",SUMIFS(dAmt,dCust,$B2275,dPer,"&gt;="&amp;pyFrom,dPer,"&lt;="&amp;pyTo,dAmt,"&gt;-1E+300",dFlt1,critFlt1,dFlt2,critFlt2,dFlt3,critFlt3))</f>
        <v/>
      </c>
      <c r="D2275" t="str">
        <f>IF($B2275="","",SUMIFS(dAmt,dCust,$B2275,dPer,"&gt;="&amp;cyFrom,dPer,"&lt;="&amp;cyTo,dAmt,"&gt;-1E+300",dFlt1,critFlt1,dFlt2,critFlt2,dFlt3,critFlt3))</f>
        <v/>
      </c>
      <c r="E2275" t="str">
        <f>IF($B2275="","",SUMIFS(dQty,dCust,$B2275,dPer,"&gt;="&amp;pyFrom,dPer,"&lt;="&amp;pyTo,dQty,"&gt;-1E+300",dFlt1,critFlt1,dFlt2,critFlt2,dFlt3,critFlt3))</f>
        <v/>
      </c>
      <c r="F2275" t="str">
        <f>IF($B2275="","",SUMIFS(dQty,dCust,$B2275,dPer,"&gt;="&amp;cyFrom,dPer,"&lt;="&amp;cyTo,dQty,"&gt;-1E+300",dFlt1,critFlt1,dFlt2,critFlt2,dFlt3,critFlt3))</f>
        <v/>
      </c>
      <c r="G2275">
        <f>IF($B2275="",0,IFERROR(IF(OR(C2275&lt;&gt;0,D2275&lt;&gt;0,E2275&lt;&gt;0,F2275&lt;&gt;0),1,0),1))</f>
        <v>0</v>
      </c>
      <c r="H2275" t="str">
        <f>IF(OR(G2275=0,E2275=0),"",C2275/E2275)</f>
        <v/>
      </c>
      <c r="I2275" t="str">
        <f>IF(OR(G2275=0,F2275=0),"",D2275/F2275)</f>
        <v/>
      </c>
      <c r="J2275" t="str">
        <f>IF(OR(H2275="",I2275=""),"",IF(H2275=0,"",I2275/H2275-1))</f>
        <v/>
      </c>
      <c r="K2275" t="str">
        <f>IF($B2275="","",IFERROR(IF(G2275=0,-2E+300,CHOOSE(sortIdx,ROUND(D2275,0),IF(J2275="",-1E+300,ROUND(-J2275,6)),IF(J2275="",-1E+300,ROUND(J2275,6)))),-1.5E+300))</f>
        <v/>
      </c>
      <c r="L2275" t="str">
        <f>IF(K2275="","",RANK(K2275,$K$2:$K$3001,0)+COUNTIF($K$2:K2275,K2275)-1)</f>
        <v/>
      </c>
    </row>
    <row r="2276">
      <c r="B2276" t="str">
        <f>IFERROR(IF(A2276="","","="&amp;SUBSTITUTE(SUBSTITUTE(SUBSTITUTE(A2276,"~","~~"),"*","~*"),"?","~?")),"")</f>
        <v/>
      </c>
      <c r="C2276" t="str">
        <f>IF($B2276="","",SUMIFS(dAmt,dCust,$B2276,dPer,"&gt;="&amp;pyFrom,dPer,"&lt;="&amp;pyTo,dAmt,"&gt;-1E+300",dFlt1,critFlt1,dFlt2,critFlt2,dFlt3,critFlt3))</f>
        <v/>
      </c>
      <c r="D2276" t="str">
        <f>IF($B2276="","",SUMIFS(dAmt,dCust,$B2276,dPer,"&gt;="&amp;cyFrom,dPer,"&lt;="&amp;cyTo,dAmt,"&gt;-1E+300",dFlt1,critFlt1,dFlt2,critFlt2,dFlt3,critFlt3))</f>
        <v/>
      </c>
      <c r="E2276" t="str">
        <f>IF($B2276="","",SUMIFS(dQty,dCust,$B2276,dPer,"&gt;="&amp;pyFrom,dPer,"&lt;="&amp;pyTo,dQty,"&gt;-1E+300",dFlt1,critFlt1,dFlt2,critFlt2,dFlt3,critFlt3))</f>
        <v/>
      </c>
      <c r="F2276" t="str">
        <f>IF($B2276="","",SUMIFS(dQty,dCust,$B2276,dPer,"&gt;="&amp;cyFrom,dPer,"&lt;="&amp;cyTo,dQty,"&gt;-1E+300",dFlt1,critFlt1,dFlt2,critFlt2,dFlt3,critFlt3))</f>
        <v/>
      </c>
      <c r="G2276">
        <f>IF($B2276="",0,IFERROR(IF(OR(C2276&lt;&gt;0,D2276&lt;&gt;0,E2276&lt;&gt;0,F2276&lt;&gt;0),1,0),1))</f>
        <v>0</v>
      </c>
      <c r="H2276" t="str">
        <f>IF(OR(G2276=0,E2276=0),"",C2276/E2276)</f>
        <v/>
      </c>
      <c r="I2276" t="str">
        <f>IF(OR(G2276=0,F2276=0),"",D2276/F2276)</f>
        <v/>
      </c>
      <c r="J2276" t="str">
        <f>IF(OR(H2276="",I2276=""),"",IF(H2276=0,"",I2276/H2276-1))</f>
        <v/>
      </c>
      <c r="K2276" t="str">
        <f>IF($B2276="","",IFERROR(IF(G2276=0,-2E+300,CHOOSE(sortIdx,ROUND(D2276,0),IF(J2276="",-1E+300,ROUND(-J2276,6)),IF(J2276="",-1E+300,ROUND(J2276,6)))),-1.5E+300))</f>
        <v/>
      </c>
      <c r="L2276" t="str">
        <f>IF(K2276="","",RANK(K2276,$K$2:$K$3001,0)+COUNTIF($K$2:K2276,K2276)-1)</f>
        <v/>
      </c>
    </row>
    <row r="2277">
      <c r="B2277" t="str">
        <f>IFERROR(IF(A2277="","","="&amp;SUBSTITUTE(SUBSTITUTE(SUBSTITUTE(A2277,"~","~~"),"*","~*"),"?","~?")),"")</f>
        <v/>
      </c>
      <c r="C2277" t="str">
        <f>IF($B2277="","",SUMIFS(dAmt,dCust,$B2277,dPer,"&gt;="&amp;pyFrom,dPer,"&lt;="&amp;pyTo,dAmt,"&gt;-1E+300",dFlt1,critFlt1,dFlt2,critFlt2,dFlt3,critFlt3))</f>
        <v/>
      </c>
      <c r="D2277" t="str">
        <f>IF($B2277="","",SUMIFS(dAmt,dCust,$B2277,dPer,"&gt;="&amp;cyFrom,dPer,"&lt;="&amp;cyTo,dAmt,"&gt;-1E+300",dFlt1,critFlt1,dFlt2,critFlt2,dFlt3,critFlt3))</f>
        <v/>
      </c>
      <c r="E2277" t="str">
        <f>IF($B2277="","",SUMIFS(dQty,dCust,$B2277,dPer,"&gt;="&amp;pyFrom,dPer,"&lt;="&amp;pyTo,dQty,"&gt;-1E+300",dFlt1,critFlt1,dFlt2,critFlt2,dFlt3,critFlt3))</f>
        <v/>
      </c>
      <c r="F2277" t="str">
        <f>IF($B2277="","",SUMIFS(dQty,dCust,$B2277,dPer,"&gt;="&amp;cyFrom,dPer,"&lt;="&amp;cyTo,dQty,"&gt;-1E+300",dFlt1,critFlt1,dFlt2,critFlt2,dFlt3,critFlt3))</f>
        <v/>
      </c>
      <c r="G2277">
        <f>IF($B2277="",0,IFERROR(IF(OR(C2277&lt;&gt;0,D2277&lt;&gt;0,E2277&lt;&gt;0,F2277&lt;&gt;0),1,0),1))</f>
        <v>0</v>
      </c>
      <c r="H2277" t="str">
        <f>IF(OR(G2277=0,E2277=0),"",C2277/E2277)</f>
        <v/>
      </c>
      <c r="I2277" t="str">
        <f>IF(OR(G2277=0,F2277=0),"",D2277/F2277)</f>
        <v/>
      </c>
      <c r="J2277" t="str">
        <f>IF(OR(H2277="",I2277=""),"",IF(H2277=0,"",I2277/H2277-1))</f>
        <v/>
      </c>
      <c r="K2277" t="str">
        <f>IF($B2277="","",IFERROR(IF(G2277=0,-2E+300,CHOOSE(sortIdx,ROUND(D2277,0),IF(J2277="",-1E+300,ROUND(-J2277,6)),IF(J2277="",-1E+300,ROUND(J2277,6)))),-1.5E+300))</f>
        <v/>
      </c>
      <c r="L2277" t="str">
        <f>IF(K2277="","",RANK(K2277,$K$2:$K$3001,0)+COUNTIF($K$2:K2277,K2277)-1)</f>
        <v/>
      </c>
    </row>
    <row r="2278">
      <c r="B2278" t="str">
        <f>IFERROR(IF(A2278="","","="&amp;SUBSTITUTE(SUBSTITUTE(SUBSTITUTE(A2278,"~","~~"),"*","~*"),"?","~?")),"")</f>
        <v/>
      </c>
      <c r="C2278" t="str">
        <f>IF($B2278="","",SUMIFS(dAmt,dCust,$B2278,dPer,"&gt;="&amp;pyFrom,dPer,"&lt;="&amp;pyTo,dAmt,"&gt;-1E+300",dFlt1,critFlt1,dFlt2,critFlt2,dFlt3,critFlt3))</f>
        <v/>
      </c>
      <c r="D2278" t="str">
        <f>IF($B2278="","",SUMIFS(dAmt,dCust,$B2278,dPer,"&gt;="&amp;cyFrom,dPer,"&lt;="&amp;cyTo,dAmt,"&gt;-1E+300",dFlt1,critFlt1,dFlt2,critFlt2,dFlt3,critFlt3))</f>
        <v/>
      </c>
      <c r="E2278" t="str">
        <f>IF($B2278="","",SUMIFS(dQty,dCust,$B2278,dPer,"&gt;="&amp;pyFrom,dPer,"&lt;="&amp;pyTo,dQty,"&gt;-1E+300",dFlt1,critFlt1,dFlt2,critFlt2,dFlt3,critFlt3))</f>
        <v/>
      </c>
      <c r="F2278" t="str">
        <f>IF($B2278="","",SUMIFS(dQty,dCust,$B2278,dPer,"&gt;="&amp;cyFrom,dPer,"&lt;="&amp;cyTo,dQty,"&gt;-1E+300",dFlt1,critFlt1,dFlt2,critFlt2,dFlt3,critFlt3))</f>
        <v/>
      </c>
      <c r="G2278">
        <f>IF($B2278="",0,IFERROR(IF(OR(C2278&lt;&gt;0,D2278&lt;&gt;0,E2278&lt;&gt;0,F2278&lt;&gt;0),1,0),1))</f>
        <v>0</v>
      </c>
      <c r="H2278" t="str">
        <f>IF(OR(G2278=0,E2278=0),"",C2278/E2278)</f>
        <v/>
      </c>
      <c r="I2278" t="str">
        <f>IF(OR(G2278=0,F2278=0),"",D2278/F2278)</f>
        <v/>
      </c>
      <c r="J2278" t="str">
        <f>IF(OR(H2278="",I2278=""),"",IF(H2278=0,"",I2278/H2278-1))</f>
        <v/>
      </c>
      <c r="K2278" t="str">
        <f>IF($B2278="","",IFERROR(IF(G2278=0,-2E+300,CHOOSE(sortIdx,ROUND(D2278,0),IF(J2278="",-1E+300,ROUND(-J2278,6)),IF(J2278="",-1E+300,ROUND(J2278,6)))),-1.5E+300))</f>
        <v/>
      </c>
      <c r="L2278" t="str">
        <f>IF(K2278="","",RANK(K2278,$K$2:$K$3001,0)+COUNTIF($K$2:K2278,K2278)-1)</f>
        <v/>
      </c>
    </row>
    <row r="2279">
      <c r="B2279" t="str">
        <f>IFERROR(IF(A2279="","","="&amp;SUBSTITUTE(SUBSTITUTE(SUBSTITUTE(A2279,"~","~~"),"*","~*"),"?","~?")),"")</f>
        <v/>
      </c>
      <c r="C2279" t="str">
        <f>IF($B2279="","",SUMIFS(dAmt,dCust,$B2279,dPer,"&gt;="&amp;pyFrom,dPer,"&lt;="&amp;pyTo,dAmt,"&gt;-1E+300",dFlt1,critFlt1,dFlt2,critFlt2,dFlt3,critFlt3))</f>
        <v/>
      </c>
      <c r="D2279" t="str">
        <f>IF($B2279="","",SUMIFS(dAmt,dCust,$B2279,dPer,"&gt;="&amp;cyFrom,dPer,"&lt;="&amp;cyTo,dAmt,"&gt;-1E+300",dFlt1,critFlt1,dFlt2,critFlt2,dFlt3,critFlt3))</f>
        <v/>
      </c>
      <c r="E2279" t="str">
        <f>IF($B2279="","",SUMIFS(dQty,dCust,$B2279,dPer,"&gt;="&amp;pyFrom,dPer,"&lt;="&amp;pyTo,dQty,"&gt;-1E+300",dFlt1,critFlt1,dFlt2,critFlt2,dFlt3,critFlt3))</f>
        <v/>
      </c>
      <c r="F2279" t="str">
        <f>IF($B2279="","",SUMIFS(dQty,dCust,$B2279,dPer,"&gt;="&amp;cyFrom,dPer,"&lt;="&amp;cyTo,dQty,"&gt;-1E+300",dFlt1,critFlt1,dFlt2,critFlt2,dFlt3,critFlt3))</f>
        <v/>
      </c>
      <c r="G2279">
        <f>IF($B2279="",0,IFERROR(IF(OR(C2279&lt;&gt;0,D2279&lt;&gt;0,E2279&lt;&gt;0,F2279&lt;&gt;0),1,0),1))</f>
        <v>0</v>
      </c>
      <c r="H2279" t="str">
        <f>IF(OR(G2279=0,E2279=0),"",C2279/E2279)</f>
        <v/>
      </c>
      <c r="I2279" t="str">
        <f>IF(OR(G2279=0,F2279=0),"",D2279/F2279)</f>
        <v/>
      </c>
      <c r="J2279" t="str">
        <f>IF(OR(H2279="",I2279=""),"",IF(H2279=0,"",I2279/H2279-1))</f>
        <v/>
      </c>
      <c r="K2279" t="str">
        <f>IF($B2279="","",IFERROR(IF(G2279=0,-2E+300,CHOOSE(sortIdx,ROUND(D2279,0),IF(J2279="",-1E+300,ROUND(-J2279,6)),IF(J2279="",-1E+300,ROUND(J2279,6)))),-1.5E+300))</f>
        <v/>
      </c>
      <c r="L2279" t="str">
        <f>IF(K2279="","",RANK(K2279,$K$2:$K$3001,0)+COUNTIF($K$2:K2279,K2279)-1)</f>
        <v/>
      </c>
    </row>
    <row r="2280">
      <c r="B2280" t="str">
        <f>IFERROR(IF(A2280="","","="&amp;SUBSTITUTE(SUBSTITUTE(SUBSTITUTE(A2280,"~","~~"),"*","~*"),"?","~?")),"")</f>
        <v/>
      </c>
      <c r="C2280" t="str">
        <f>IF($B2280="","",SUMIFS(dAmt,dCust,$B2280,dPer,"&gt;="&amp;pyFrom,dPer,"&lt;="&amp;pyTo,dAmt,"&gt;-1E+300",dFlt1,critFlt1,dFlt2,critFlt2,dFlt3,critFlt3))</f>
        <v/>
      </c>
      <c r="D2280" t="str">
        <f>IF($B2280="","",SUMIFS(dAmt,dCust,$B2280,dPer,"&gt;="&amp;cyFrom,dPer,"&lt;="&amp;cyTo,dAmt,"&gt;-1E+300",dFlt1,critFlt1,dFlt2,critFlt2,dFlt3,critFlt3))</f>
        <v/>
      </c>
      <c r="E2280" t="str">
        <f>IF($B2280="","",SUMIFS(dQty,dCust,$B2280,dPer,"&gt;="&amp;pyFrom,dPer,"&lt;="&amp;pyTo,dQty,"&gt;-1E+300",dFlt1,critFlt1,dFlt2,critFlt2,dFlt3,critFlt3))</f>
        <v/>
      </c>
      <c r="F2280" t="str">
        <f>IF($B2280="","",SUMIFS(dQty,dCust,$B2280,dPer,"&gt;="&amp;cyFrom,dPer,"&lt;="&amp;cyTo,dQty,"&gt;-1E+300",dFlt1,critFlt1,dFlt2,critFlt2,dFlt3,critFlt3))</f>
        <v/>
      </c>
      <c r="G2280">
        <f>IF($B2280="",0,IFERROR(IF(OR(C2280&lt;&gt;0,D2280&lt;&gt;0,E2280&lt;&gt;0,F2280&lt;&gt;0),1,0),1))</f>
        <v>0</v>
      </c>
      <c r="H2280" t="str">
        <f>IF(OR(G2280=0,E2280=0),"",C2280/E2280)</f>
        <v/>
      </c>
      <c r="I2280" t="str">
        <f>IF(OR(G2280=0,F2280=0),"",D2280/F2280)</f>
        <v/>
      </c>
      <c r="J2280" t="str">
        <f>IF(OR(H2280="",I2280=""),"",IF(H2280=0,"",I2280/H2280-1))</f>
        <v/>
      </c>
      <c r="K2280" t="str">
        <f>IF($B2280="","",IFERROR(IF(G2280=0,-2E+300,CHOOSE(sortIdx,ROUND(D2280,0),IF(J2280="",-1E+300,ROUND(-J2280,6)),IF(J2280="",-1E+300,ROUND(J2280,6)))),-1.5E+300))</f>
        <v/>
      </c>
      <c r="L2280" t="str">
        <f>IF(K2280="","",RANK(K2280,$K$2:$K$3001,0)+COUNTIF($K$2:K2280,K2280)-1)</f>
        <v/>
      </c>
    </row>
    <row r="2281">
      <c r="B2281" t="str">
        <f>IFERROR(IF(A2281="","","="&amp;SUBSTITUTE(SUBSTITUTE(SUBSTITUTE(A2281,"~","~~"),"*","~*"),"?","~?")),"")</f>
        <v/>
      </c>
      <c r="C2281" t="str">
        <f>IF($B2281="","",SUMIFS(dAmt,dCust,$B2281,dPer,"&gt;="&amp;pyFrom,dPer,"&lt;="&amp;pyTo,dAmt,"&gt;-1E+300",dFlt1,critFlt1,dFlt2,critFlt2,dFlt3,critFlt3))</f>
        <v/>
      </c>
      <c r="D2281" t="str">
        <f>IF($B2281="","",SUMIFS(dAmt,dCust,$B2281,dPer,"&gt;="&amp;cyFrom,dPer,"&lt;="&amp;cyTo,dAmt,"&gt;-1E+300",dFlt1,critFlt1,dFlt2,critFlt2,dFlt3,critFlt3))</f>
        <v/>
      </c>
      <c r="E2281" t="str">
        <f>IF($B2281="","",SUMIFS(dQty,dCust,$B2281,dPer,"&gt;="&amp;pyFrom,dPer,"&lt;="&amp;pyTo,dQty,"&gt;-1E+300",dFlt1,critFlt1,dFlt2,critFlt2,dFlt3,critFlt3))</f>
        <v/>
      </c>
      <c r="F2281" t="str">
        <f>IF($B2281="","",SUMIFS(dQty,dCust,$B2281,dPer,"&gt;="&amp;cyFrom,dPer,"&lt;="&amp;cyTo,dQty,"&gt;-1E+300",dFlt1,critFlt1,dFlt2,critFlt2,dFlt3,critFlt3))</f>
        <v/>
      </c>
      <c r="G2281">
        <f>IF($B2281="",0,IFERROR(IF(OR(C2281&lt;&gt;0,D2281&lt;&gt;0,E2281&lt;&gt;0,F2281&lt;&gt;0),1,0),1))</f>
        <v>0</v>
      </c>
      <c r="H2281" t="str">
        <f>IF(OR(G2281=0,E2281=0),"",C2281/E2281)</f>
        <v/>
      </c>
      <c r="I2281" t="str">
        <f>IF(OR(G2281=0,F2281=0),"",D2281/F2281)</f>
        <v/>
      </c>
      <c r="J2281" t="str">
        <f>IF(OR(H2281="",I2281=""),"",IF(H2281=0,"",I2281/H2281-1))</f>
        <v/>
      </c>
      <c r="K2281" t="str">
        <f>IF($B2281="","",IFERROR(IF(G2281=0,-2E+300,CHOOSE(sortIdx,ROUND(D2281,0),IF(J2281="",-1E+300,ROUND(-J2281,6)),IF(J2281="",-1E+300,ROUND(J2281,6)))),-1.5E+300))</f>
        <v/>
      </c>
      <c r="L2281" t="str">
        <f>IF(K2281="","",RANK(K2281,$K$2:$K$3001,0)+COUNTIF($K$2:K2281,K2281)-1)</f>
        <v/>
      </c>
    </row>
    <row r="2282">
      <c r="B2282" t="str">
        <f>IFERROR(IF(A2282="","","="&amp;SUBSTITUTE(SUBSTITUTE(SUBSTITUTE(A2282,"~","~~"),"*","~*"),"?","~?")),"")</f>
        <v/>
      </c>
      <c r="C2282" t="str">
        <f>IF($B2282="","",SUMIFS(dAmt,dCust,$B2282,dPer,"&gt;="&amp;pyFrom,dPer,"&lt;="&amp;pyTo,dAmt,"&gt;-1E+300",dFlt1,critFlt1,dFlt2,critFlt2,dFlt3,critFlt3))</f>
        <v/>
      </c>
      <c r="D2282" t="str">
        <f>IF($B2282="","",SUMIFS(dAmt,dCust,$B2282,dPer,"&gt;="&amp;cyFrom,dPer,"&lt;="&amp;cyTo,dAmt,"&gt;-1E+300",dFlt1,critFlt1,dFlt2,critFlt2,dFlt3,critFlt3))</f>
        <v/>
      </c>
      <c r="E2282" t="str">
        <f>IF($B2282="","",SUMIFS(dQty,dCust,$B2282,dPer,"&gt;="&amp;pyFrom,dPer,"&lt;="&amp;pyTo,dQty,"&gt;-1E+300",dFlt1,critFlt1,dFlt2,critFlt2,dFlt3,critFlt3))</f>
        <v/>
      </c>
      <c r="F2282" t="str">
        <f>IF($B2282="","",SUMIFS(dQty,dCust,$B2282,dPer,"&gt;="&amp;cyFrom,dPer,"&lt;="&amp;cyTo,dQty,"&gt;-1E+300",dFlt1,critFlt1,dFlt2,critFlt2,dFlt3,critFlt3))</f>
        <v/>
      </c>
      <c r="G2282">
        <f>IF($B2282="",0,IFERROR(IF(OR(C2282&lt;&gt;0,D2282&lt;&gt;0,E2282&lt;&gt;0,F2282&lt;&gt;0),1,0),1))</f>
        <v>0</v>
      </c>
      <c r="H2282" t="str">
        <f>IF(OR(G2282=0,E2282=0),"",C2282/E2282)</f>
        <v/>
      </c>
      <c r="I2282" t="str">
        <f>IF(OR(G2282=0,F2282=0),"",D2282/F2282)</f>
        <v/>
      </c>
      <c r="J2282" t="str">
        <f>IF(OR(H2282="",I2282=""),"",IF(H2282=0,"",I2282/H2282-1))</f>
        <v/>
      </c>
      <c r="K2282" t="str">
        <f>IF($B2282="","",IFERROR(IF(G2282=0,-2E+300,CHOOSE(sortIdx,ROUND(D2282,0),IF(J2282="",-1E+300,ROUND(-J2282,6)),IF(J2282="",-1E+300,ROUND(J2282,6)))),-1.5E+300))</f>
        <v/>
      </c>
      <c r="L2282" t="str">
        <f>IF(K2282="","",RANK(K2282,$K$2:$K$3001,0)+COUNTIF($K$2:K2282,K2282)-1)</f>
        <v/>
      </c>
    </row>
    <row r="2283">
      <c r="B2283" t="str">
        <f>IFERROR(IF(A2283="","","="&amp;SUBSTITUTE(SUBSTITUTE(SUBSTITUTE(A2283,"~","~~"),"*","~*"),"?","~?")),"")</f>
        <v/>
      </c>
      <c r="C2283" t="str">
        <f>IF($B2283="","",SUMIFS(dAmt,dCust,$B2283,dPer,"&gt;="&amp;pyFrom,dPer,"&lt;="&amp;pyTo,dAmt,"&gt;-1E+300",dFlt1,critFlt1,dFlt2,critFlt2,dFlt3,critFlt3))</f>
        <v/>
      </c>
      <c r="D2283" t="str">
        <f>IF($B2283="","",SUMIFS(dAmt,dCust,$B2283,dPer,"&gt;="&amp;cyFrom,dPer,"&lt;="&amp;cyTo,dAmt,"&gt;-1E+300",dFlt1,critFlt1,dFlt2,critFlt2,dFlt3,critFlt3))</f>
        <v/>
      </c>
      <c r="E2283" t="str">
        <f>IF($B2283="","",SUMIFS(dQty,dCust,$B2283,dPer,"&gt;="&amp;pyFrom,dPer,"&lt;="&amp;pyTo,dQty,"&gt;-1E+300",dFlt1,critFlt1,dFlt2,critFlt2,dFlt3,critFlt3))</f>
        <v/>
      </c>
      <c r="F2283" t="str">
        <f>IF($B2283="","",SUMIFS(dQty,dCust,$B2283,dPer,"&gt;="&amp;cyFrom,dPer,"&lt;="&amp;cyTo,dQty,"&gt;-1E+300",dFlt1,critFlt1,dFlt2,critFlt2,dFlt3,critFlt3))</f>
        <v/>
      </c>
      <c r="G2283">
        <f>IF($B2283="",0,IFERROR(IF(OR(C2283&lt;&gt;0,D2283&lt;&gt;0,E2283&lt;&gt;0,F2283&lt;&gt;0),1,0),1))</f>
        <v>0</v>
      </c>
      <c r="H2283" t="str">
        <f>IF(OR(G2283=0,E2283=0),"",C2283/E2283)</f>
        <v/>
      </c>
      <c r="I2283" t="str">
        <f>IF(OR(G2283=0,F2283=0),"",D2283/F2283)</f>
        <v/>
      </c>
      <c r="J2283" t="str">
        <f>IF(OR(H2283="",I2283=""),"",IF(H2283=0,"",I2283/H2283-1))</f>
        <v/>
      </c>
      <c r="K2283" t="str">
        <f>IF($B2283="","",IFERROR(IF(G2283=0,-2E+300,CHOOSE(sortIdx,ROUND(D2283,0),IF(J2283="",-1E+300,ROUND(-J2283,6)),IF(J2283="",-1E+300,ROUND(J2283,6)))),-1.5E+300))</f>
        <v/>
      </c>
      <c r="L2283" t="str">
        <f>IF(K2283="","",RANK(K2283,$K$2:$K$3001,0)+COUNTIF($K$2:K2283,K2283)-1)</f>
        <v/>
      </c>
    </row>
    <row r="2284">
      <c r="B2284" t="str">
        <f>IFERROR(IF(A2284="","","="&amp;SUBSTITUTE(SUBSTITUTE(SUBSTITUTE(A2284,"~","~~"),"*","~*"),"?","~?")),"")</f>
        <v/>
      </c>
      <c r="C2284" t="str">
        <f>IF($B2284="","",SUMIFS(dAmt,dCust,$B2284,dPer,"&gt;="&amp;pyFrom,dPer,"&lt;="&amp;pyTo,dAmt,"&gt;-1E+300",dFlt1,critFlt1,dFlt2,critFlt2,dFlt3,critFlt3))</f>
        <v/>
      </c>
      <c r="D2284" t="str">
        <f>IF($B2284="","",SUMIFS(dAmt,dCust,$B2284,dPer,"&gt;="&amp;cyFrom,dPer,"&lt;="&amp;cyTo,dAmt,"&gt;-1E+300",dFlt1,critFlt1,dFlt2,critFlt2,dFlt3,critFlt3))</f>
        <v/>
      </c>
      <c r="E2284" t="str">
        <f>IF($B2284="","",SUMIFS(dQty,dCust,$B2284,dPer,"&gt;="&amp;pyFrom,dPer,"&lt;="&amp;pyTo,dQty,"&gt;-1E+300",dFlt1,critFlt1,dFlt2,critFlt2,dFlt3,critFlt3))</f>
        <v/>
      </c>
      <c r="F2284" t="str">
        <f>IF($B2284="","",SUMIFS(dQty,dCust,$B2284,dPer,"&gt;="&amp;cyFrom,dPer,"&lt;="&amp;cyTo,dQty,"&gt;-1E+300",dFlt1,critFlt1,dFlt2,critFlt2,dFlt3,critFlt3))</f>
        <v/>
      </c>
      <c r="G2284">
        <f>IF($B2284="",0,IFERROR(IF(OR(C2284&lt;&gt;0,D2284&lt;&gt;0,E2284&lt;&gt;0,F2284&lt;&gt;0),1,0),1))</f>
        <v>0</v>
      </c>
      <c r="H2284" t="str">
        <f>IF(OR(G2284=0,E2284=0),"",C2284/E2284)</f>
        <v/>
      </c>
      <c r="I2284" t="str">
        <f>IF(OR(G2284=0,F2284=0),"",D2284/F2284)</f>
        <v/>
      </c>
      <c r="J2284" t="str">
        <f>IF(OR(H2284="",I2284=""),"",IF(H2284=0,"",I2284/H2284-1))</f>
        <v/>
      </c>
      <c r="K2284" t="str">
        <f>IF($B2284="","",IFERROR(IF(G2284=0,-2E+300,CHOOSE(sortIdx,ROUND(D2284,0),IF(J2284="",-1E+300,ROUND(-J2284,6)),IF(J2284="",-1E+300,ROUND(J2284,6)))),-1.5E+300))</f>
        <v/>
      </c>
      <c r="L2284" t="str">
        <f>IF(K2284="","",RANK(K2284,$K$2:$K$3001,0)+COUNTIF($K$2:K2284,K2284)-1)</f>
        <v/>
      </c>
    </row>
    <row r="2285">
      <c r="B2285" t="str">
        <f>IFERROR(IF(A2285="","","="&amp;SUBSTITUTE(SUBSTITUTE(SUBSTITUTE(A2285,"~","~~"),"*","~*"),"?","~?")),"")</f>
        <v/>
      </c>
      <c r="C2285" t="str">
        <f>IF($B2285="","",SUMIFS(dAmt,dCust,$B2285,dPer,"&gt;="&amp;pyFrom,dPer,"&lt;="&amp;pyTo,dAmt,"&gt;-1E+300",dFlt1,critFlt1,dFlt2,critFlt2,dFlt3,critFlt3))</f>
        <v/>
      </c>
      <c r="D2285" t="str">
        <f>IF($B2285="","",SUMIFS(dAmt,dCust,$B2285,dPer,"&gt;="&amp;cyFrom,dPer,"&lt;="&amp;cyTo,dAmt,"&gt;-1E+300",dFlt1,critFlt1,dFlt2,critFlt2,dFlt3,critFlt3))</f>
        <v/>
      </c>
      <c r="E2285" t="str">
        <f>IF($B2285="","",SUMIFS(dQty,dCust,$B2285,dPer,"&gt;="&amp;pyFrom,dPer,"&lt;="&amp;pyTo,dQty,"&gt;-1E+300",dFlt1,critFlt1,dFlt2,critFlt2,dFlt3,critFlt3))</f>
        <v/>
      </c>
      <c r="F2285" t="str">
        <f>IF($B2285="","",SUMIFS(dQty,dCust,$B2285,dPer,"&gt;="&amp;cyFrom,dPer,"&lt;="&amp;cyTo,dQty,"&gt;-1E+300",dFlt1,critFlt1,dFlt2,critFlt2,dFlt3,critFlt3))</f>
        <v/>
      </c>
      <c r="G2285">
        <f>IF($B2285="",0,IFERROR(IF(OR(C2285&lt;&gt;0,D2285&lt;&gt;0,E2285&lt;&gt;0,F2285&lt;&gt;0),1,0),1))</f>
        <v>0</v>
      </c>
      <c r="H2285" t="str">
        <f>IF(OR(G2285=0,E2285=0),"",C2285/E2285)</f>
        <v/>
      </c>
      <c r="I2285" t="str">
        <f>IF(OR(G2285=0,F2285=0),"",D2285/F2285)</f>
        <v/>
      </c>
      <c r="J2285" t="str">
        <f>IF(OR(H2285="",I2285=""),"",IF(H2285=0,"",I2285/H2285-1))</f>
        <v/>
      </c>
      <c r="K2285" t="str">
        <f>IF($B2285="","",IFERROR(IF(G2285=0,-2E+300,CHOOSE(sortIdx,ROUND(D2285,0),IF(J2285="",-1E+300,ROUND(-J2285,6)),IF(J2285="",-1E+300,ROUND(J2285,6)))),-1.5E+300))</f>
        <v/>
      </c>
      <c r="L2285" t="str">
        <f>IF(K2285="","",RANK(K2285,$K$2:$K$3001,0)+COUNTIF($K$2:K2285,K2285)-1)</f>
        <v/>
      </c>
    </row>
    <row r="2286">
      <c r="B2286" t="str">
        <f>IFERROR(IF(A2286="","","="&amp;SUBSTITUTE(SUBSTITUTE(SUBSTITUTE(A2286,"~","~~"),"*","~*"),"?","~?")),"")</f>
        <v/>
      </c>
      <c r="C2286" t="str">
        <f>IF($B2286="","",SUMIFS(dAmt,dCust,$B2286,dPer,"&gt;="&amp;pyFrom,dPer,"&lt;="&amp;pyTo,dAmt,"&gt;-1E+300",dFlt1,critFlt1,dFlt2,critFlt2,dFlt3,critFlt3))</f>
        <v/>
      </c>
      <c r="D2286" t="str">
        <f>IF($B2286="","",SUMIFS(dAmt,dCust,$B2286,dPer,"&gt;="&amp;cyFrom,dPer,"&lt;="&amp;cyTo,dAmt,"&gt;-1E+300",dFlt1,critFlt1,dFlt2,critFlt2,dFlt3,critFlt3))</f>
        <v/>
      </c>
      <c r="E2286" t="str">
        <f>IF($B2286="","",SUMIFS(dQty,dCust,$B2286,dPer,"&gt;="&amp;pyFrom,dPer,"&lt;="&amp;pyTo,dQty,"&gt;-1E+300",dFlt1,critFlt1,dFlt2,critFlt2,dFlt3,critFlt3))</f>
        <v/>
      </c>
      <c r="F2286" t="str">
        <f>IF($B2286="","",SUMIFS(dQty,dCust,$B2286,dPer,"&gt;="&amp;cyFrom,dPer,"&lt;="&amp;cyTo,dQty,"&gt;-1E+300",dFlt1,critFlt1,dFlt2,critFlt2,dFlt3,critFlt3))</f>
        <v/>
      </c>
      <c r="G2286">
        <f>IF($B2286="",0,IFERROR(IF(OR(C2286&lt;&gt;0,D2286&lt;&gt;0,E2286&lt;&gt;0,F2286&lt;&gt;0),1,0),1))</f>
        <v>0</v>
      </c>
      <c r="H2286" t="str">
        <f>IF(OR(G2286=0,E2286=0),"",C2286/E2286)</f>
        <v/>
      </c>
      <c r="I2286" t="str">
        <f>IF(OR(G2286=0,F2286=0),"",D2286/F2286)</f>
        <v/>
      </c>
      <c r="J2286" t="str">
        <f>IF(OR(H2286="",I2286=""),"",IF(H2286=0,"",I2286/H2286-1))</f>
        <v/>
      </c>
      <c r="K2286" t="str">
        <f>IF($B2286="","",IFERROR(IF(G2286=0,-2E+300,CHOOSE(sortIdx,ROUND(D2286,0),IF(J2286="",-1E+300,ROUND(-J2286,6)),IF(J2286="",-1E+300,ROUND(J2286,6)))),-1.5E+300))</f>
        <v/>
      </c>
      <c r="L2286" t="str">
        <f>IF(K2286="","",RANK(K2286,$K$2:$K$3001,0)+COUNTIF($K$2:K2286,K2286)-1)</f>
        <v/>
      </c>
    </row>
    <row r="2287">
      <c r="B2287" t="str">
        <f>IFERROR(IF(A2287="","","="&amp;SUBSTITUTE(SUBSTITUTE(SUBSTITUTE(A2287,"~","~~"),"*","~*"),"?","~?")),"")</f>
        <v/>
      </c>
      <c r="C2287" t="str">
        <f>IF($B2287="","",SUMIFS(dAmt,dCust,$B2287,dPer,"&gt;="&amp;pyFrom,dPer,"&lt;="&amp;pyTo,dAmt,"&gt;-1E+300",dFlt1,critFlt1,dFlt2,critFlt2,dFlt3,critFlt3))</f>
        <v/>
      </c>
      <c r="D2287" t="str">
        <f>IF($B2287="","",SUMIFS(dAmt,dCust,$B2287,dPer,"&gt;="&amp;cyFrom,dPer,"&lt;="&amp;cyTo,dAmt,"&gt;-1E+300",dFlt1,critFlt1,dFlt2,critFlt2,dFlt3,critFlt3))</f>
        <v/>
      </c>
      <c r="E2287" t="str">
        <f>IF($B2287="","",SUMIFS(dQty,dCust,$B2287,dPer,"&gt;="&amp;pyFrom,dPer,"&lt;="&amp;pyTo,dQty,"&gt;-1E+300",dFlt1,critFlt1,dFlt2,critFlt2,dFlt3,critFlt3))</f>
        <v/>
      </c>
      <c r="F2287" t="str">
        <f>IF($B2287="","",SUMIFS(dQty,dCust,$B2287,dPer,"&gt;="&amp;cyFrom,dPer,"&lt;="&amp;cyTo,dQty,"&gt;-1E+300",dFlt1,critFlt1,dFlt2,critFlt2,dFlt3,critFlt3))</f>
        <v/>
      </c>
      <c r="G2287">
        <f>IF($B2287="",0,IFERROR(IF(OR(C2287&lt;&gt;0,D2287&lt;&gt;0,E2287&lt;&gt;0,F2287&lt;&gt;0),1,0),1))</f>
        <v>0</v>
      </c>
      <c r="H2287" t="str">
        <f>IF(OR(G2287=0,E2287=0),"",C2287/E2287)</f>
        <v/>
      </c>
      <c r="I2287" t="str">
        <f>IF(OR(G2287=0,F2287=0),"",D2287/F2287)</f>
        <v/>
      </c>
      <c r="J2287" t="str">
        <f>IF(OR(H2287="",I2287=""),"",IF(H2287=0,"",I2287/H2287-1))</f>
        <v/>
      </c>
      <c r="K2287" t="str">
        <f>IF($B2287="","",IFERROR(IF(G2287=0,-2E+300,CHOOSE(sortIdx,ROUND(D2287,0),IF(J2287="",-1E+300,ROUND(-J2287,6)),IF(J2287="",-1E+300,ROUND(J2287,6)))),-1.5E+300))</f>
        <v/>
      </c>
      <c r="L2287" t="str">
        <f>IF(K2287="","",RANK(K2287,$K$2:$K$3001,0)+COUNTIF($K$2:K2287,K2287)-1)</f>
        <v/>
      </c>
    </row>
    <row r="2288">
      <c r="B2288" t="str">
        <f>IFERROR(IF(A2288="","","="&amp;SUBSTITUTE(SUBSTITUTE(SUBSTITUTE(A2288,"~","~~"),"*","~*"),"?","~?")),"")</f>
        <v/>
      </c>
      <c r="C2288" t="str">
        <f>IF($B2288="","",SUMIFS(dAmt,dCust,$B2288,dPer,"&gt;="&amp;pyFrom,dPer,"&lt;="&amp;pyTo,dAmt,"&gt;-1E+300",dFlt1,critFlt1,dFlt2,critFlt2,dFlt3,critFlt3))</f>
        <v/>
      </c>
      <c r="D2288" t="str">
        <f>IF($B2288="","",SUMIFS(dAmt,dCust,$B2288,dPer,"&gt;="&amp;cyFrom,dPer,"&lt;="&amp;cyTo,dAmt,"&gt;-1E+300",dFlt1,critFlt1,dFlt2,critFlt2,dFlt3,critFlt3))</f>
        <v/>
      </c>
      <c r="E2288" t="str">
        <f>IF($B2288="","",SUMIFS(dQty,dCust,$B2288,dPer,"&gt;="&amp;pyFrom,dPer,"&lt;="&amp;pyTo,dQty,"&gt;-1E+300",dFlt1,critFlt1,dFlt2,critFlt2,dFlt3,critFlt3))</f>
        <v/>
      </c>
      <c r="F2288" t="str">
        <f>IF($B2288="","",SUMIFS(dQty,dCust,$B2288,dPer,"&gt;="&amp;cyFrom,dPer,"&lt;="&amp;cyTo,dQty,"&gt;-1E+300",dFlt1,critFlt1,dFlt2,critFlt2,dFlt3,critFlt3))</f>
        <v/>
      </c>
      <c r="G2288">
        <f>IF($B2288="",0,IFERROR(IF(OR(C2288&lt;&gt;0,D2288&lt;&gt;0,E2288&lt;&gt;0,F2288&lt;&gt;0),1,0),1))</f>
        <v>0</v>
      </c>
      <c r="H2288" t="str">
        <f>IF(OR(G2288=0,E2288=0),"",C2288/E2288)</f>
        <v/>
      </c>
      <c r="I2288" t="str">
        <f>IF(OR(G2288=0,F2288=0),"",D2288/F2288)</f>
        <v/>
      </c>
      <c r="J2288" t="str">
        <f>IF(OR(H2288="",I2288=""),"",IF(H2288=0,"",I2288/H2288-1))</f>
        <v/>
      </c>
      <c r="K2288" t="str">
        <f>IF($B2288="","",IFERROR(IF(G2288=0,-2E+300,CHOOSE(sortIdx,ROUND(D2288,0),IF(J2288="",-1E+300,ROUND(-J2288,6)),IF(J2288="",-1E+300,ROUND(J2288,6)))),-1.5E+300))</f>
        <v/>
      </c>
      <c r="L2288" t="str">
        <f>IF(K2288="","",RANK(K2288,$K$2:$K$3001,0)+COUNTIF($K$2:K2288,K2288)-1)</f>
        <v/>
      </c>
    </row>
    <row r="2289">
      <c r="B2289" t="str">
        <f>IFERROR(IF(A2289="","","="&amp;SUBSTITUTE(SUBSTITUTE(SUBSTITUTE(A2289,"~","~~"),"*","~*"),"?","~?")),"")</f>
        <v/>
      </c>
      <c r="C2289" t="str">
        <f>IF($B2289="","",SUMIFS(dAmt,dCust,$B2289,dPer,"&gt;="&amp;pyFrom,dPer,"&lt;="&amp;pyTo,dAmt,"&gt;-1E+300",dFlt1,critFlt1,dFlt2,critFlt2,dFlt3,critFlt3))</f>
        <v/>
      </c>
      <c r="D2289" t="str">
        <f>IF($B2289="","",SUMIFS(dAmt,dCust,$B2289,dPer,"&gt;="&amp;cyFrom,dPer,"&lt;="&amp;cyTo,dAmt,"&gt;-1E+300",dFlt1,critFlt1,dFlt2,critFlt2,dFlt3,critFlt3))</f>
        <v/>
      </c>
      <c r="E2289" t="str">
        <f>IF($B2289="","",SUMIFS(dQty,dCust,$B2289,dPer,"&gt;="&amp;pyFrom,dPer,"&lt;="&amp;pyTo,dQty,"&gt;-1E+300",dFlt1,critFlt1,dFlt2,critFlt2,dFlt3,critFlt3))</f>
        <v/>
      </c>
      <c r="F2289" t="str">
        <f>IF($B2289="","",SUMIFS(dQty,dCust,$B2289,dPer,"&gt;="&amp;cyFrom,dPer,"&lt;="&amp;cyTo,dQty,"&gt;-1E+300",dFlt1,critFlt1,dFlt2,critFlt2,dFlt3,critFlt3))</f>
        <v/>
      </c>
      <c r="G2289">
        <f>IF($B2289="",0,IFERROR(IF(OR(C2289&lt;&gt;0,D2289&lt;&gt;0,E2289&lt;&gt;0,F2289&lt;&gt;0),1,0),1))</f>
        <v>0</v>
      </c>
      <c r="H2289" t="str">
        <f>IF(OR(G2289=0,E2289=0),"",C2289/E2289)</f>
        <v/>
      </c>
      <c r="I2289" t="str">
        <f>IF(OR(G2289=0,F2289=0),"",D2289/F2289)</f>
        <v/>
      </c>
      <c r="J2289" t="str">
        <f>IF(OR(H2289="",I2289=""),"",IF(H2289=0,"",I2289/H2289-1))</f>
        <v/>
      </c>
      <c r="K2289" t="str">
        <f>IF($B2289="","",IFERROR(IF(G2289=0,-2E+300,CHOOSE(sortIdx,ROUND(D2289,0),IF(J2289="",-1E+300,ROUND(-J2289,6)),IF(J2289="",-1E+300,ROUND(J2289,6)))),-1.5E+300))</f>
        <v/>
      </c>
      <c r="L2289" t="str">
        <f>IF(K2289="","",RANK(K2289,$K$2:$K$3001,0)+COUNTIF($K$2:K2289,K2289)-1)</f>
        <v/>
      </c>
    </row>
    <row r="2290">
      <c r="B2290" t="str">
        <f>IFERROR(IF(A2290="","","="&amp;SUBSTITUTE(SUBSTITUTE(SUBSTITUTE(A2290,"~","~~"),"*","~*"),"?","~?")),"")</f>
        <v/>
      </c>
      <c r="C2290" t="str">
        <f>IF($B2290="","",SUMIFS(dAmt,dCust,$B2290,dPer,"&gt;="&amp;pyFrom,dPer,"&lt;="&amp;pyTo,dAmt,"&gt;-1E+300",dFlt1,critFlt1,dFlt2,critFlt2,dFlt3,critFlt3))</f>
        <v/>
      </c>
      <c r="D2290" t="str">
        <f>IF($B2290="","",SUMIFS(dAmt,dCust,$B2290,dPer,"&gt;="&amp;cyFrom,dPer,"&lt;="&amp;cyTo,dAmt,"&gt;-1E+300",dFlt1,critFlt1,dFlt2,critFlt2,dFlt3,critFlt3))</f>
        <v/>
      </c>
      <c r="E2290" t="str">
        <f>IF($B2290="","",SUMIFS(dQty,dCust,$B2290,dPer,"&gt;="&amp;pyFrom,dPer,"&lt;="&amp;pyTo,dQty,"&gt;-1E+300",dFlt1,critFlt1,dFlt2,critFlt2,dFlt3,critFlt3))</f>
        <v/>
      </c>
      <c r="F2290" t="str">
        <f>IF($B2290="","",SUMIFS(dQty,dCust,$B2290,dPer,"&gt;="&amp;cyFrom,dPer,"&lt;="&amp;cyTo,dQty,"&gt;-1E+300",dFlt1,critFlt1,dFlt2,critFlt2,dFlt3,critFlt3))</f>
        <v/>
      </c>
      <c r="G2290">
        <f>IF($B2290="",0,IFERROR(IF(OR(C2290&lt;&gt;0,D2290&lt;&gt;0,E2290&lt;&gt;0,F2290&lt;&gt;0),1,0),1))</f>
        <v>0</v>
      </c>
      <c r="H2290" t="str">
        <f>IF(OR(G2290=0,E2290=0),"",C2290/E2290)</f>
        <v/>
      </c>
      <c r="I2290" t="str">
        <f>IF(OR(G2290=0,F2290=0),"",D2290/F2290)</f>
        <v/>
      </c>
      <c r="J2290" t="str">
        <f>IF(OR(H2290="",I2290=""),"",IF(H2290=0,"",I2290/H2290-1))</f>
        <v/>
      </c>
      <c r="K2290" t="str">
        <f>IF($B2290="","",IFERROR(IF(G2290=0,-2E+300,CHOOSE(sortIdx,ROUND(D2290,0),IF(J2290="",-1E+300,ROUND(-J2290,6)),IF(J2290="",-1E+300,ROUND(J2290,6)))),-1.5E+300))</f>
        <v/>
      </c>
      <c r="L2290" t="str">
        <f>IF(K2290="","",RANK(K2290,$K$2:$K$3001,0)+COUNTIF($K$2:K2290,K2290)-1)</f>
        <v/>
      </c>
    </row>
    <row r="2291">
      <c r="B2291" t="str">
        <f>IFERROR(IF(A2291="","","="&amp;SUBSTITUTE(SUBSTITUTE(SUBSTITUTE(A2291,"~","~~"),"*","~*"),"?","~?")),"")</f>
        <v/>
      </c>
      <c r="C2291" t="str">
        <f>IF($B2291="","",SUMIFS(dAmt,dCust,$B2291,dPer,"&gt;="&amp;pyFrom,dPer,"&lt;="&amp;pyTo,dAmt,"&gt;-1E+300",dFlt1,critFlt1,dFlt2,critFlt2,dFlt3,critFlt3))</f>
        <v/>
      </c>
      <c r="D2291" t="str">
        <f>IF($B2291="","",SUMIFS(dAmt,dCust,$B2291,dPer,"&gt;="&amp;cyFrom,dPer,"&lt;="&amp;cyTo,dAmt,"&gt;-1E+300",dFlt1,critFlt1,dFlt2,critFlt2,dFlt3,critFlt3))</f>
        <v/>
      </c>
      <c r="E2291" t="str">
        <f>IF($B2291="","",SUMIFS(dQty,dCust,$B2291,dPer,"&gt;="&amp;pyFrom,dPer,"&lt;="&amp;pyTo,dQty,"&gt;-1E+300",dFlt1,critFlt1,dFlt2,critFlt2,dFlt3,critFlt3))</f>
        <v/>
      </c>
      <c r="F2291" t="str">
        <f>IF($B2291="","",SUMIFS(dQty,dCust,$B2291,dPer,"&gt;="&amp;cyFrom,dPer,"&lt;="&amp;cyTo,dQty,"&gt;-1E+300",dFlt1,critFlt1,dFlt2,critFlt2,dFlt3,critFlt3))</f>
        <v/>
      </c>
      <c r="G2291">
        <f>IF($B2291="",0,IFERROR(IF(OR(C2291&lt;&gt;0,D2291&lt;&gt;0,E2291&lt;&gt;0,F2291&lt;&gt;0),1,0),1))</f>
        <v>0</v>
      </c>
      <c r="H2291" t="str">
        <f>IF(OR(G2291=0,E2291=0),"",C2291/E2291)</f>
        <v/>
      </c>
      <c r="I2291" t="str">
        <f>IF(OR(G2291=0,F2291=0),"",D2291/F2291)</f>
        <v/>
      </c>
      <c r="J2291" t="str">
        <f>IF(OR(H2291="",I2291=""),"",IF(H2291=0,"",I2291/H2291-1))</f>
        <v/>
      </c>
      <c r="K2291" t="str">
        <f>IF($B2291="","",IFERROR(IF(G2291=0,-2E+300,CHOOSE(sortIdx,ROUND(D2291,0),IF(J2291="",-1E+300,ROUND(-J2291,6)),IF(J2291="",-1E+300,ROUND(J2291,6)))),-1.5E+300))</f>
        <v/>
      </c>
      <c r="L2291" t="str">
        <f>IF(K2291="","",RANK(K2291,$K$2:$K$3001,0)+COUNTIF($K$2:K2291,K2291)-1)</f>
        <v/>
      </c>
    </row>
    <row r="2292">
      <c r="B2292" t="str">
        <f>IFERROR(IF(A2292="","","="&amp;SUBSTITUTE(SUBSTITUTE(SUBSTITUTE(A2292,"~","~~"),"*","~*"),"?","~?")),"")</f>
        <v/>
      </c>
      <c r="C2292" t="str">
        <f>IF($B2292="","",SUMIFS(dAmt,dCust,$B2292,dPer,"&gt;="&amp;pyFrom,dPer,"&lt;="&amp;pyTo,dAmt,"&gt;-1E+300",dFlt1,critFlt1,dFlt2,critFlt2,dFlt3,critFlt3))</f>
        <v/>
      </c>
      <c r="D2292" t="str">
        <f>IF($B2292="","",SUMIFS(dAmt,dCust,$B2292,dPer,"&gt;="&amp;cyFrom,dPer,"&lt;="&amp;cyTo,dAmt,"&gt;-1E+300",dFlt1,critFlt1,dFlt2,critFlt2,dFlt3,critFlt3))</f>
        <v/>
      </c>
      <c r="E2292" t="str">
        <f>IF($B2292="","",SUMIFS(dQty,dCust,$B2292,dPer,"&gt;="&amp;pyFrom,dPer,"&lt;="&amp;pyTo,dQty,"&gt;-1E+300",dFlt1,critFlt1,dFlt2,critFlt2,dFlt3,critFlt3))</f>
        <v/>
      </c>
      <c r="F2292" t="str">
        <f>IF($B2292="","",SUMIFS(dQty,dCust,$B2292,dPer,"&gt;="&amp;cyFrom,dPer,"&lt;="&amp;cyTo,dQty,"&gt;-1E+300",dFlt1,critFlt1,dFlt2,critFlt2,dFlt3,critFlt3))</f>
        <v/>
      </c>
      <c r="G2292">
        <f>IF($B2292="",0,IFERROR(IF(OR(C2292&lt;&gt;0,D2292&lt;&gt;0,E2292&lt;&gt;0,F2292&lt;&gt;0),1,0),1))</f>
        <v>0</v>
      </c>
      <c r="H2292" t="str">
        <f>IF(OR(G2292=0,E2292=0),"",C2292/E2292)</f>
        <v/>
      </c>
      <c r="I2292" t="str">
        <f>IF(OR(G2292=0,F2292=0),"",D2292/F2292)</f>
        <v/>
      </c>
      <c r="J2292" t="str">
        <f>IF(OR(H2292="",I2292=""),"",IF(H2292=0,"",I2292/H2292-1))</f>
        <v/>
      </c>
      <c r="K2292" t="str">
        <f>IF($B2292="","",IFERROR(IF(G2292=0,-2E+300,CHOOSE(sortIdx,ROUND(D2292,0),IF(J2292="",-1E+300,ROUND(-J2292,6)),IF(J2292="",-1E+300,ROUND(J2292,6)))),-1.5E+300))</f>
        <v/>
      </c>
      <c r="L2292" t="str">
        <f>IF(K2292="","",RANK(K2292,$K$2:$K$3001,0)+COUNTIF($K$2:K2292,K2292)-1)</f>
        <v/>
      </c>
    </row>
    <row r="2293">
      <c r="B2293" t="str">
        <f>IFERROR(IF(A2293="","","="&amp;SUBSTITUTE(SUBSTITUTE(SUBSTITUTE(A2293,"~","~~"),"*","~*"),"?","~?")),"")</f>
        <v/>
      </c>
      <c r="C2293" t="str">
        <f>IF($B2293="","",SUMIFS(dAmt,dCust,$B2293,dPer,"&gt;="&amp;pyFrom,dPer,"&lt;="&amp;pyTo,dAmt,"&gt;-1E+300",dFlt1,critFlt1,dFlt2,critFlt2,dFlt3,critFlt3))</f>
        <v/>
      </c>
      <c r="D2293" t="str">
        <f>IF($B2293="","",SUMIFS(dAmt,dCust,$B2293,dPer,"&gt;="&amp;cyFrom,dPer,"&lt;="&amp;cyTo,dAmt,"&gt;-1E+300",dFlt1,critFlt1,dFlt2,critFlt2,dFlt3,critFlt3))</f>
        <v/>
      </c>
      <c r="E2293" t="str">
        <f>IF($B2293="","",SUMIFS(dQty,dCust,$B2293,dPer,"&gt;="&amp;pyFrom,dPer,"&lt;="&amp;pyTo,dQty,"&gt;-1E+300",dFlt1,critFlt1,dFlt2,critFlt2,dFlt3,critFlt3))</f>
        <v/>
      </c>
      <c r="F2293" t="str">
        <f>IF($B2293="","",SUMIFS(dQty,dCust,$B2293,dPer,"&gt;="&amp;cyFrom,dPer,"&lt;="&amp;cyTo,dQty,"&gt;-1E+300",dFlt1,critFlt1,dFlt2,critFlt2,dFlt3,critFlt3))</f>
        <v/>
      </c>
      <c r="G2293">
        <f>IF($B2293="",0,IFERROR(IF(OR(C2293&lt;&gt;0,D2293&lt;&gt;0,E2293&lt;&gt;0,F2293&lt;&gt;0),1,0),1))</f>
        <v>0</v>
      </c>
      <c r="H2293" t="str">
        <f>IF(OR(G2293=0,E2293=0),"",C2293/E2293)</f>
        <v/>
      </c>
      <c r="I2293" t="str">
        <f>IF(OR(G2293=0,F2293=0),"",D2293/F2293)</f>
        <v/>
      </c>
      <c r="J2293" t="str">
        <f>IF(OR(H2293="",I2293=""),"",IF(H2293=0,"",I2293/H2293-1))</f>
        <v/>
      </c>
      <c r="K2293" t="str">
        <f>IF($B2293="","",IFERROR(IF(G2293=0,-2E+300,CHOOSE(sortIdx,ROUND(D2293,0),IF(J2293="",-1E+300,ROUND(-J2293,6)),IF(J2293="",-1E+300,ROUND(J2293,6)))),-1.5E+300))</f>
        <v/>
      </c>
      <c r="L2293" t="str">
        <f>IF(K2293="","",RANK(K2293,$K$2:$K$3001,0)+COUNTIF($K$2:K2293,K2293)-1)</f>
        <v/>
      </c>
    </row>
    <row r="2294">
      <c r="B2294" t="str">
        <f>IFERROR(IF(A2294="","","="&amp;SUBSTITUTE(SUBSTITUTE(SUBSTITUTE(A2294,"~","~~"),"*","~*"),"?","~?")),"")</f>
        <v/>
      </c>
      <c r="C2294" t="str">
        <f>IF($B2294="","",SUMIFS(dAmt,dCust,$B2294,dPer,"&gt;="&amp;pyFrom,dPer,"&lt;="&amp;pyTo,dAmt,"&gt;-1E+300",dFlt1,critFlt1,dFlt2,critFlt2,dFlt3,critFlt3))</f>
        <v/>
      </c>
      <c r="D2294" t="str">
        <f>IF($B2294="","",SUMIFS(dAmt,dCust,$B2294,dPer,"&gt;="&amp;cyFrom,dPer,"&lt;="&amp;cyTo,dAmt,"&gt;-1E+300",dFlt1,critFlt1,dFlt2,critFlt2,dFlt3,critFlt3))</f>
        <v/>
      </c>
      <c r="E2294" t="str">
        <f>IF($B2294="","",SUMIFS(dQty,dCust,$B2294,dPer,"&gt;="&amp;pyFrom,dPer,"&lt;="&amp;pyTo,dQty,"&gt;-1E+300",dFlt1,critFlt1,dFlt2,critFlt2,dFlt3,critFlt3))</f>
        <v/>
      </c>
      <c r="F2294" t="str">
        <f>IF($B2294="","",SUMIFS(dQty,dCust,$B2294,dPer,"&gt;="&amp;cyFrom,dPer,"&lt;="&amp;cyTo,dQty,"&gt;-1E+300",dFlt1,critFlt1,dFlt2,critFlt2,dFlt3,critFlt3))</f>
        <v/>
      </c>
      <c r="G2294">
        <f>IF($B2294="",0,IFERROR(IF(OR(C2294&lt;&gt;0,D2294&lt;&gt;0,E2294&lt;&gt;0,F2294&lt;&gt;0),1,0),1))</f>
        <v>0</v>
      </c>
      <c r="H2294" t="str">
        <f>IF(OR(G2294=0,E2294=0),"",C2294/E2294)</f>
        <v/>
      </c>
      <c r="I2294" t="str">
        <f>IF(OR(G2294=0,F2294=0),"",D2294/F2294)</f>
        <v/>
      </c>
      <c r="J2294" t="str">
        <f>IF(OR(H2294="",I2294=""),"",IF(H2294=0,"",I2294/H2294-1))</f>
        <v/>
      </c>
      <c r="K2294" t="str">
        <f>IF($B2294="","",IFERROR(IF(G2294=0,-2E+300,CHOOSE(sortIdx,ROUND(D2294,0),IF(J2294="",-1E+300,ROUND(-J2294,6)),IF(J2294="",-1E+300,ROUND(J2294,6)))),-1.5E+300))</f>
        <v/>
      </c>
      <c r="L2294" t="str">
        <f>IF(K2294="","",RANK(K2294,$K$2:$K$3001,0)+COUNTIF($K$2:K2294,K2294)-1)</f>
        <v/>
      </c>
    </row>
    <row r="2295">
      <c r="B2295" t="str">
        <f>IFERROR(IF(A2295="","","="&amp;SUBSTITUTE(SUBSTITUTE(SUBSTITUTE(A2295,"~","~~"),"*","~*"),"?","~?")),"")</f>
        <v/>
      </c>
      <c r="C2295" t="str">
        <f>IF($B2295="","",SUMIFS(dAmt,dCust,$B2295,dPer,"&gt;="&amp;pyFrom,dPer,"&lt;="&amp;pyTo,dAmt,"&gt;-1E+300",dFlt1,critFlt1,dFlt2,critFlt2,dFlt3,critFlt3))</f>
        <v/>
      </c>
      <c r="D2295" t="str">
        <f>IF($B2295="","",SUMIFS(dAmt,dCust,$B2295,dPer,"&gt;="&amp;cyFrom,dPer,"&lt;="&amp;cyTo,dAmt,"&gt;-1E+300",dFlt1,critFlt1,dFlt2,critFlt2,dFlt3,critFlt3))</f>
        <v/>
      </c>
      <c r="E2295" t="str">
        <f>IF($B2295="","",SUMIFS(dQty,dCust,$B2295,dPer,"&gt;="&amp;pyFrom,dPer,"&lt;="&amp;pyTo,dQty,"&gt;-1E+300",dFlt1,critFlt1,dFlt2,critFlt2,dFlt3,critFlt3))</f>
        <v/>
      </c>
      <c r="F2295" t="str">
        <f>IF($B2295="","",SUMIFS(dQty,dCust,$B2295,dPer,"&gt;="&amp;cyFrom,dPer,"&lt;="&amp;cyTo,dQty,"&gt;-1E+300",dFlt1,critFlt1,dFlt2,critFlt2,dFlt3,critFlt3))</f>
        <v/>
      </c>
      <c r="G2295">
        <f>IF($B2295="",0,IFERROR(IF(OR(C2295&lt;&gt;0,D2295&lt;&gt;0,E2295&lt;&gt;0,F2295&lt;&gt;0),1,0),1))</f>
        <v>0</v>
      </c>
      <c r="H2295" t="str">
        <f>IF(OR(G2295=0,E2295=0),"",C2295/E2295)</f>
        <v/>
      </c>
      <c r="I2295" t="str">
        <f>IF(OR(G2295=0,F2295=0),"",D2295/F2295)</f>
        <v/>
      </c>
      <c r="J2295" t="str">
        <f>IF(OR(H2295="",I2295=""),"",IF(H2295=0,"",I2295/H2295-1))</f>
        <v/>
      </c>
      <c r="K2295" t="str">
        <f>IF($B2295="","",IFERROR(IF(G2295=0,-2E+300,CHOOSE(sortIdx,ROUND(D2295,0),IF(J2295="",-1E+300,ROUND(-J2295,6)),IF(J2295="",-1E+300,ROUND(J2295,6)))),-1.5E+300))</f>
        <v/>
      </c>
      <c r="L2295" t="str">
        <f>IF(K2295="","",RANK(K2295,$K$2:$K$3001,0)+COUNTIF($K$2:K2295,K2295)-1)</f>
        <v/>
      </c>
    </row>
    <row r="2296">
      <c r="B2296" t="str">
        <f>IFERROR(IF(A2296="","","="&amp;SUBSTITUTE(SUBSTITUTE(SUBSTITUTE(A2296,"~","~~"),"*","~*"),"?","~?")),"")</f>
        <v/>
      </c>
      <c r="C2296" t="str">
        <f>IF($B2296="","",SUMIFS(dAmt,dCust,$B2296,dPer,"&gt;="&amp;pyFrom,dPer,"&lt;="&amp;pyTo,dAmt,"&gt;-1E+300",dFlt1,critFlt1,dFlt2,critFlt2,dFlt3,critFlt3))</f>
        <v/>
      </c>
      <c r="D2296" t="str">
        <f>IF($B2296="","",SUMIFS(dAmt,dCust,$B2296,dPer,"&gt;="&amp;cyFrom,dPer,"&lt;="&amp;cyTo,dAmt,"&gt;-1E+300",dFlt1,critFlt1,dFlt2,critFlt2,dFlt3,critFlt3))</f>
        <v/>
      </c>
      <c r="E2296" t="str">
        <f>IF($B2296="","",SUMIFS(dQty,dCust,$B2296,dPer,"&gt;="&amp;pyFrom,dPer,"&lt;="&amp;pyTo,dQty,"&gt;-1E+300",dFlt1,critFlt1,dFlt2,critFlt2,dFlt3,critFlt3))</f>
        <v/>
      </c>
      <c r="F2296" t="str">
        <f>IF($B2296="","",SUMIFS(dQty,dCust,$B2296,dPer,"&gt;="&amp;cyFrom,dPer,"&lt;="&amp;cyTo,dQty,"&gt;-1E+300",dFlt1,critFlt1,dFlt2,critFlt2,dFlt3,critFlt3))</f>
        <v/>
      </c>
      <c r="G2296">
        <f>IF($B2296="",0,IFERROR(IF(OR(C2296&lt;&gt;0,D2296&lt;&gt;0,E2296&lt;&gt;0,F2296&lt;&gt;0),1,0),1))</f>
        <v>0</v>
      </c>
      <c r="H2296" t="str">
        <f>IF(OR(G2296=0,E2296=0),"",C2296/E2296)</f>
        <v/>
      </c>
      <c r="I2296" t="str">
        <f>IF(OR(G2296=0,F2296=0),"",D2296/F2296)</f>
        <v/>
      </c>
      <c r="J2296" t="str">
        <f>IF(OR(H2296="",I2296=""),"",IF(H2296=0,"",I2296/H2296-1))</f>
        <v/>
      </c>
      <c r="K2296" t="str">
        <f>IF($B2296="","",IFERROR(IF(G2296=0,-2E+300,CHOOSE(sortIdx,ROUND(D2296,0),IF(J2296="",-1E+300,ROUND(-J2296,6)),IF(J2296="",-1E+300,ROUND(J2296,6)))),-1.5E+300))</f>
        <v/>
      </c>
      <c r="L2296" t="str">
        <f>IF(K2296="","",RANK(K2296,$K$2:$K$3001,0)+COUNTIF($K$2:K2296,K2296)-1)</f>
        <v/>
      </c>
    </row>
    <row r="2297">
      <c r="B2297" t="str">
        <f>IFERROR(IF(A2297="","","="&amp;SUBSTITUTE(SUBSTITUTE(SUBSTITUTE(A2297,"~","~~"),"*","~*"),"?","~?")),"")</f>
        <v/>
      </c>
      <c r="C2297" t="str">
        <f>IF($B2297="","",SUMIFS(dAmt,dCust,$B2297,dPer,"&gt;="&amp;pyFrom,dPer,"&lt;="&amp;pyTo,dAmt,"&gt;-1E+300",dFlt1,critFlt1,dFlt2,critFlt2,dFlt3,critFlt3))</f>
        <v/>
      </c>
      <c r="D2297" t="str">
        <f>IF($B2297="","",SUMIFS(dAmt,dCust,$B2297,dPer,"&gt;="&amp;cyFrom,dPer,"&lt;="&amp;cyTo,dAmt,"&gt;-1E+300",dFlt1,critFlt1,dFlt2,critFlt2,dFlt3,critFlt3))</f>
        <v/>
      </c>
      <c r="E2297" t="str">
        <f>IF($B2297="","",SUMIFS(dQty,dCust,$B2297,dPer,"&gt;="&amp;pyFrom,dPer,"&lt;="&amp;pyTo,dQty,"&gt;-1E+300",dFlt1,critFlt1,dFlt2,critFlt2,dFlt3,critFlt3))</f>
        <v/>
      </c>
      <c r="F2297" t="str">
        <f>IF($B2297="","",SUMIFS(dQty,dCust,$B2297,dPer,"&gt;="&amp;cyFrom,dPer,"&lt;="&amp;cyTo,dQty,"&gt;-1E+300",dFlt1,critFlt1,dFlt2,critFlt2,dFlt3,critFlt3))</f>
        <v/>
      </c>
      <c r="G2297">
        <f>IF($B2297="",0,IFERROR(IF(OR(C2297&lt;&gt;0,D2297&lt;&gt;0,E2297&lt;&gt;0,F2297&lt;&gt;0),1,0),1))</f>
        <v>0</v>
      </c>
      <c r="H2297" t="str">
        <f>IF(OR(G2297=0,E2297=0),"",C2297/E2297)</f>
        <v/>
      </c>
      <c r="I2297" t="str">
        <f>IF(OR(G2297=0,F2297=0),"",D2297/F2297)</f>
        <v/>
      </c>
      <c r="J2297" t="str">
        <f>IF(OR(H2297="",I2297=""),"",IF(H2297=0,"",I2297/H2297-1))</f>
        <v/>
      </c>
      <c r="K2297" t="str">
        <f>IF($B2297="","",IFERROR(IF(G2297=0,-2E+300,CHOOSE(sortIdx,ROUND(D2297,0),IF(J2297="",-1E+300,ROUND(-J2297,6)),IF(J2297="",-1E+300,ROUND(J2297,6)))),-1.5E+300))</f>
        <v/>
      </c>
      <c r="L2297" t="str">
        <f>IF(K2297="","",RANK(K2297,$K$2:$K$3001,0)+COUNTIF($K$2:K2297,K2297)-1)</f>
        <v/>
      </c>
    </row>
    <row r="2298">
      <c r="B2298" t="str">
        <f>IFERROR(IF(A2298="","","="&amp;SUBSTITUTE(SUBSTITUTE(SUBSTITUTE(A2298,"~","~~"),"*","~*"),"?","~?")),"")</f>
        <v/>
      </c>
      <c r="C2298" t="str">
        <f>IF($B2298="","",SUMIFS(dAmt,dCust,$B2298,dPer,"&gt;="&amp;pyFrom,dPer,"&lt;="&amp;pyTo,dAmt,"&gt;-1E+300",dFlt1,critFlt1,dFlt2,critFlt2,dFlt3,critFlt3))</f>
        <v/>
      </c>
      <c r="D2298" t="str">
        <f>IF($B2298="","",SUMIFS(dAmt,dCust,$B2298,dPer,"&gt;="&amp;cyFrom,dPer,"&lt;="&amp;cyTo,dAmt,"&gt;-1E+300",dFlt1,critFlt1,dFlt2,critFlt2,dFlt3,critFlt3))</f>
        <v/>
      </c>
      <c r="E2298" t="str">
        <f>IF($B2298="","",SUMIFS(dQty,dCust,$B2298,dPer,"&gt;="&amp;pyFrom,dPer,"&lt;="&amp;pyTo,dQty,"&gt;-1E+300",dFlt1,critFlt1,dFlt2,critFlt2,dFlt3,critFlt3))</f>
        <v/>
      </c>
      <c r="F2298" t="str">
        <f>IF($B2298="","",SUMIFS(dQty,dCust,$B2298,dPer,"&gt;="&amp;cyFrom,dPer,"&lt;="&amp;cyTo,dQty,"&gt;-1E+300",dFlt1,critFlt1,dFlt2,critFlt2,dFlt3,critFlt3))</f>
        <v/>
      </c>
      <c r="G2298">
        <f>IF($B2298="",0,IFERROR(IF(OR(C2298&lt;&gt;0,D2298&lt;&gt;0,E2298&lt;&gt;0,F2298&lt;&gt;0),1,0),1))</f>
        <v>0</v>
      </c>
      <c r="H2298" t="str">
        <f>IF(OR(G2298=0,E2298=0),"",C2298/E2298)</f>
        <v/>
      </c>
      <c r="I2298" t="str">
        <f>IF(OR(G2298=0,F2298=0),"",D2298/F2298)</f>
        <v/>
      </c>
      <c r="J2298" t="str">
        <f>IF(OR(H2298="",I2298=""),"",IF(H2298=0,"",I2298/H2298-1))</f>
        <v/>
      </c>
      <c r="K2298" t="str">
        <f>IF($B2298="","",IFERROR(IF(G2298=0,-2E+300,CHOOSE(sortIdx,ROUND(D2298,0),IF(J2298="",-1E+300,ROUND(-J2298,6)),IF(J2298="",-1E+300,ROUND(J2298,6)))),-1.5E+300))</f>
        <v/>
      </c>
      <c r="L2298" t="str">
        <f>IF(K2298="","",RANK(K2298,$K$2:$K$3001,0)+COUNTIF($K$2:K2298,K2298)-1)</f>
        <v/>
      </c>
    </row>
    <row r="2299">
      <c r="B2299" t="str">
        <f>IFERROR(IF(A2299="","","="&amp;SUBSTITUTE(SUBSTITUTE(SUBSTITUTE(A2299,"~","~~"),"*","~*"),"?","~?")),"")</f>
        <v/>
      </c>
      <c r="C2299" t="str">
        <f>IF($B2299="","",SUMIFS(dAmt,dCust,$B2299,dPer,"&gt;="&amp;pyFrom,dPer,"&lt;="&amp;pyTo,dAmt,"&gt;-1E+300",dFlt1,critFlt1,dFlt2,critFlt2,dFlt3,critFlt3))</f>
        <v/>
      </c>
      <c r="D2299" t="str">
        <f>IF($B2299="","",SUMIFS(dAmt,dCust,$B2299,dPer,"&gt;="&amp;cyFrom,dPer,"&lt;="&amp;cyTo,dAmt,"&gt;-1E+300",dFlt1,critFlt1,dFlt2,critFlt2,dFlt3,critFlt3))</f>
        <v/>
      </c>
      <c r="E2299" t="str">
        <f>IF($B2299="","",SUMIFS(dQty,dCust,$B2299,dPer,"&gt;="&amp;pyFrom,dPer,"&lt;="&amp;pyTo,dQty,"&gt;-1E+300",dFlt1,critFlt1,dFlt2,critFlt2,dFlt3,critFlt3))</f>
        <v/>
      </c>
      <c r="F2299" t="str">
        <f>IF($B2299="","",SUMIFS(dQty,dCust,$B2299,dPer,"&gt;="&amp;cyFrom,dPer,"&lt;="&amp;cyTo,dQty,"&gt;-1E+300",dFlt1,critFlt1,dFlt2,critFlt2,dFlt3,critFlt3))</f>
        <v/>
      </c>
      <c r="G2299">
        <f>IF($B2299="",0,IFERROR(IF(OR(C2299&lt;&gt;0,D2299&lt;&gt;0,E2299&lt;&gt;0,F2299&lt;&gt;0),1,0),1))</f>
        <v>0</v>
      </c>
      <c r="H2299" t="str">
        <f>IF(OR(G2299=0,E2299=0),"",C2299/E2299)</f>
        <v/>
      </c>
      <c r="I2299" t="str">
        <f>IF(OR(G2299=0,F2299=0),"",D2299/F2299)</f>
        <v/>
      </c>
      <c r="J2299" t="str">
        <f>IF(OR(H2299="",I2299=""),"",IF(H2299=0,"",I2299/H2299-1))</f>
        <v/>
      </c>
      <c r="K2299" t="str">
        <f>IF($B2299="","",IFERROR(IF(G2299=0,-2E+300,CHOOSE(sortIdx,ROUND(D2299,0),IF(J2299="",-1E+300,ROUND(-J2299,6)),IF(J2299="",-1E+300,ROUND(J2299,6)))),-1.5E+300))</f>
        <v/>
      </c>
      <c r="L2299" t="str">
        <f>IF(K2299="","",RANK(K2299,$K$2:$K$3001,0)+COUNTIF($K$2:K2299,K2299)-1)</f>
        <v/>
      </c>
    </row>
    <row r="2300">
      <c r="B2300" t="str">
        <f>IFERROR(IF(A2300="","","="&amp;SUBSTITUTE(SUBSTITUTE(SUBSTITUTE(A2300,"~","~~"),"*","~*"),"?","~?")),"")</f>
        <v/>
      </c>
      <c r="C2300" t="str">
        <f>IF($B2300="","",SUMIFS(dAmt,dCust,$B2300,dPer,"&gt;="&amp;pyFrom,dPer,"&lt;="&amp;pyTo,dAmt,"&gt;-1E+300",dFlt1,critFlt1,dFlt2,critFlt2,dFlt3,critFlt3))</f>
        <v/>
      </c>
      <c r="D2300" t="str">
        <f>IF($B2300="","",SUMIFS(dAmt,dCust,$B2300,dPer,"&gt;="&amp;cyFrom,dPer,"&lt;="&amp;cyTo,dAmt,"&gt;-1E+300",dFlt1,critFlt1,dFlt2,critFlt2,dFlt3,critFlt3))</f>
        <v/>
      </c>
      <c r="E2300" t="str">
        <f>IF($B2300="","",SUMIFS(dQty,dCust,$B2300,dPer,"&gt;="&amp;pyFrom,dPer,"&lt;="&amp;pyTo,dQty,"&gt;-1E+300",dFlt1,critFlt1,dFlt2,critFlt2,dFlt3,critFlt3))</f>
        <v/>
      </c>
      <c r="F2300" t="str">
        <f>IF($B2300="","",SUMIFS(dQty,dCust,$B2300,dPer,"&gt;="&amp;cyFrom,dPer,"&lt;="&amp;cyTo,dQty,"&gt;-1E+300",dFlt1,critFlt1,dFlt2,critFlt2,dFlt3,critFlt3))</f>
        <v/>
      </c>
      <c r="G2300">
        <f>IF($B2300="",0,IFERROR(IF(OR(C2300&lt;&gt;0,D2300&lt;&gt;0,E2300&lt;&gt;0,F2300&lt;&gt;0),1,0),1))</f>
        <v>0</v>
      </c>
      <c r="H2300" t="str">
        <f>IF(OR(G2300=0,E2300=0),"",C2300/E2300)</f>
        <v/>
      </c>
      <c r="I2300" t="str">
        <f>IF(OR(G2300=0,F2300=0),"",D2300/F2300)</f>
        <v/>
      </c>
      <c r="J2300" t="str">
        <f>IF(OR(H2300="",I2300=""),"",IF(H2300=0,"",I2300/H2300-1))</f>
        <v/>
      </c>
      <c r="K2300" t="str">
        <f>IF($B2300="","",IFERROR(IF(G2300=0,-2E+300,CHOOSE(sortIdx,ROUND(D2300,0),IF(J2300="",-1E+300,ROUND(-J2300,6)),IF(J2300="",-1E+300,ROUND(J2300,6)))),-1.5E+300))</f>
        <v/>
      </c>
      <c r="L2300" t="str">
        <f>IF(K2300="","",RANK(K2300,$K$2:$K$3001,0)+COUNTIF($K$2:K2300,K2300)-1)</f>
        <v/>
      </c>
    </row>
    <row r="2301">
      <c r="B2301" t="str">
        <f>IFERROR(IF(A2301="","","="&amp;SUBSTITUTE(SUBSTITUTE(SUBSTITUTE(A2301,"~","~~"),"*","~*"),"?","~?")),"")</f>
        <v/>
      </c>
      <c r="C2301" t="str">
        <f>IF($B2301="","",SUMIFS(dAmt,dCust,$B2301,dPer,"&gt;="&amp;pyFrom,dPer,"&lt;="&amp;pyTo,dAmt,"&gt;-1E+300",dFlt1,critFlt1,dFlt2,critFlt2,dFlt3,critFlt3))</f>
        <v/>
      </c>
      <c r="D2301" t="str">
        <f>IF($B2301="","",SUMIFS(dAmt,dCust,$B2301,dPer,"&gt;="&amp;cyFrom,dPer,"&lt;="&amp;cyTo,dAmt,"&gt;-1E+300",dFlt1,critFlt1,dFlt2,critFlt2,dFlt3,critFlt3))</f>
        <v/>
      </c>
      <c r="E2301" t="str">
        <f>IF($B2301="","",SUMIFS(dQty,dCust,$B2301,dPer,"&gt;="&amp;pyFrom,dPer,"&lt;="&amp;pyTo,dQty,"&gt;-1E+300",dFlt1,critFlt1,dFlt2,critFlt2,dFlt3,critFlt3))</f>
        <v/>
      </c>
      <c r="F2301" t="str">
        <f>IF($B2301="","",SUMIFS(dQty,dCust,$B2301,dPer,"&gt;="&amp;cyFrom,dPer,"&lt;="&amp;cyTo,dQty,"&gt;-1E+300",dFlt1,critFlt1,dFlt2,critFlt2,dFlt3,critFlt3))</f>
        <v/>
      </c>
      <c r="G2301">
        <f>IF($B2301="",0,IFERROR(IF(OR(C2301&lt;&gt;0,D2301&lt;&gt;0,E2301&lt;&gt;0,F2301&lt;&gt;0),1,0),1))</f>
        <v>0</v>
      </c>
      <c r="H2301" t="str">
        <f>IF(OR(G2301=0,E2301=0),"",C2301/E2301)</f>
        <v/>
      </c>
      <c r="I2301" t="str">
        <f>IF(OR(G2301=0,F2301=0),"",D2301/F2301)</f>
        <v/>
      </c>
      <c r="J2301" t="str">
        <f>IF(OR(H2301="",I2301=""),"",IF(H2301=0,"",I2301/H2301-1))</f>
        <v/>
      </c>
      <c r="K2301" t="str">
        <f>IF($B2301="","",IFERROR(IF(G2301=0,-2E+300,CHOOSE(sortIdx,ROUND(D2301,0),IF(J2301="",-1E+300,ROUND(-J2301,6)),IF(J2301="",-1E+300,ROUND(J2301,6)))),-1.5E+300))</f>
        <v/>
      </c>
      <c r="L2301" t="str">
        <f>IF(K2301="","",RANK(K2301,$K$2:$K$3001,0)+COUNTIF($K$2:K2301,K2301)-1)</f>
        <v/>
      </c>
    </row>
    <row r="2302">
      <c r="B2302" t="str">
        <f>IFERROR(IF(A2302="","","="&amp;SUBSTITUTE(SUBSTITUTE(SUBSTITUTE(A2302,"~","~~"),"*","~*"),"?","~?")),"")</f>
        <v/>
      </c>
      <c r="C2302" t="str">
        <f>IF($B2302="","",SUMIFS(dAmt,dCust,$B2302,dPer,"&gt;="&amp;pyFrom,dPer,"&lt;="&amp;pyTo,dAmt,"&gt;-1E+300",dFlt1,critFlt1,dFlt2,critFlt2,dFlt3,critFlt3))</f>
        <v/>
      </c>
      <c r="D2302" t="str">
        <f>IF($B2302="","",SUMIFS(dAmt,dCust,$B2302,dPer,"&gt;="&amp;cyFrom,dPer,"&lt;="&amp;cyTo,dAmt,"&gt;-1E+300",dFlt1,critFlt1,dFlt2,critFlt2,dFlt3,critFlt3))</f>
        <v/>
      </c>
      <c r="E2302" t="str">
        <f>IF($B2302="","",SUMIFS(dQty,dCust,$B2302,dPer,"&gt;="&amp;pyFrom,dPer,"&lt;="&amp;pyTo,dQty,"&gt;-1E+300",dFlt1,critFlt1,dFlt2,critFlt2,dFlt3,critFlt3))</f>
        <v/>
      </c>
      <c r="F2302" t="str">
        <f>IF($B2302="","",SUMIFS(dQty,dCust,$B2302,dPer,"&gt;="&amp;cyFrom,dPer,"&lt;="&amp;cyTo,dQty,"&gt;-1E+300",dFlt1,critFlt1,dFlt2,critFlt2,dFlt3,critFlt3))</f>
        <v/>
      </c>
      <c r="G2302">
        <f>IF($B2302="",0,IFERROR(IF(OR(C2302&lt;&gt;0,D2302&lt;&gt;0,E2302&lt;&gt;0,F2302&lt;&gt;0),1,0),1))</f>
        <v>0</v>
      </c>
      <c r="H2302" t="str">
        <f>IF(OR(G2302=0,E2302=0),"",C2302/E2302)</f>
        <v/>
      </c>
      <c r="I2302" t="str">
        <f>IF(OR(G2302=0,F2302=0),"",D2302/F2302)</f>
        <v/>
      </c>
      <c r="J2302" t="str">
        <f>IF(OR(H2302="",I2302=""),"",IF(H2302=0,"",I2302/H2302-1))</f>
        <v/>
      </c>
      <c r="K2302" t="str">
        <f>IF($B2302="","",IFERROR(IF(G2302=0,-2E+300,CHOOSE(sortIdx,ROUND(D2302,0),IF(J2302="",-1E+300,ROUND(-J2302,6)),IF(J2302="",-1E+300,ROUND(J2302,6)))),-1.5E+300))</f>
        <v/>
      </c>
      <c r="L2302" t="str">
        <f>IF(K2302="","",RANK(K2302,$K$2:$K$3001,0)+COUNTIF($K$2:K2302,K2302)-1)</f>
        <v/>
      </c>
    </row>
    <row r="2303">
      <c r="B2303" t="str">
        <f>IFERROR(IF(A2303="","","="&amp;SUBSTITUTE(SUBSTITUTE(SUBSTITUTE(A2303,"~","~~"),"*","~*"),"?","~?")),"")</f>
        <v/>
      </c>
      <c r="C2303" t="str">
        <f>IF($B2303="","",SUMIFS(dAmt,dCust,$B2303,dPer,"&gt;="&amp;pyFrom,dPer,"&lt;="&amp;pyTo,dAmt,"&gt;-1E+300",dFlt1,critFlt1,dFlt2,critFlt2,dFlt3,critFlt3))</f>
        <v/>
      </c>
      <c r="D2303" t="str">
        <f>IF($B2303="","",SUMIFS(dAmt,dCust,$B2303,dPer,"&gt;="&amp;cyFrom,dPer,"&lt;="&amp;cyTo,dAmt,"&gt;-1E+300",dFlt1,critFlt1,dFlt2,critFlt2,dFlt3,critFlt3))</f>
        <v/>
      </c>
      <c r="E2303" t="str">
        <f>IF($B2303="","",SUMIFS(dQty,dCust,$B2303,dPer,"&gt;="&amp;pyFrom,dPer,"&lt;="&amp;pyTo,dQty,"&gt;-1E+300",dFlt1,critFlt1,dFlt2,critFlt2,dFlt3,critFlt3))</f>
        <v/>
      </c>
      <c r="F2303" t="str">
        <f>IF($B2303="","",SUMIFS(dQty,dCust,$B2303,dPer,"&gt;="&amp;cyFrom,dPer,"&lt;="&amp;cyTo,dQty,"&gt;-1E+300",dFlt1,critFlt1,dFlt2,critFlt2,dFlt3,critFlt3))</f>
        <v/>
      </c>
      <c r="G2303">
        <f>IF($B2303="",0,IFERROR(IF(OR(C2303&lt;&gt;0,D2303&lt;&gt;0,E2303&lt;&gt;0,F2303&lt;&gt;0),1,0),1))</f>
        <v>0</v>
      </c>
      <c r="H2303" t="str">
        <f>IF(OR(G2303=0,E2303=0),"",C2303/E2303)</f>
        <v/>
      </c>
      <c r="I2303" t="str">
        <f>IF(OR(G2303=0,F2303=0),"",D2303/F2303)</f>
        <v/>
      </c>
      <c r="J2303" t="str">
        <f>IF(OR(H2303="",I2303=""),"",IF(H2303=0,"",I2303/H2303-1))</f>
        <v/>
      </c>
      <c r="K2303" t="str">
        <f>IF($B2303="","",IFERROR(IF(G2303=0,-2E+300,CHOOSE(sortIdx,ROUND(D2303,0),IF(J2303="",-1E+300,ROUND(-J2303,6)),IF(J2303="",-1E+300,ROUND(J2303,6)))),-1.5E+300))</f>
        <v/>
      </c>
      <c r="L2303" t="str">
        <f>IF(K2303="","",RANK(K2303,$K$2:$K$3001,0)+COUNTIF($K$2:K2303,K2303)-1)</f>
        <v/>
      </c>
    </row>
    <row r="2304">
      <c r="B2304" t="str">
        <f>IFERROR(IF(A2304="","","="&amp;SUBSTITUTE(SUBSTITUTE(SUBSTITUTE(A2304,"~","~~"),"*","~*"),"?","~?")),"")</f>
        <v/>
      </c>
      <c r="C2304" t="str">
        <f>IF($B2304="","",SUMIFS(dAmt,dCust,$B2304,dPer,"&gt;="&amp;pyFrom,dPer,"&lt;="&amp;pyTo,dAmt,"&gt;-1E+300",dFlt1,critFlt1,dFlt2,critFlt2,dFlt3,critFlt3))</f>
        <v/>
      </c>
      <c r="D2304" t="str">
        <f>IF($B2304="","",SUMIFS(dAmt,dCust,$B2304,dPer,"&gt;="&amp;cyFrom,dPer,"&lt;="&amp;cyTo,dAmt,"&gt;-1E+300",dFlt1,critFlt1,dFlt2,critFlt2,dFlt3,critFlt3))</f>
        <v/>
      </c>
      <c r="E2304" t="str">
        <f>IF($B2304="","",SUMIFS(dQty,dCust,$B2304,dPer,"&gt;="&amp;pyFrom,dPer,"&lt;="&amp;pyTo,dQty,"&gt;-1E+300",dFlt1,critFlt1,dFlt2,critFlt2,dFlt3,critFlt3))</f>
        <v/>
      </c>
      <c r="F2304" t="str">
        <f>IF($B2304="","",SUMIFS(dQty,dCust,$B2304,dPer,"&gt;="&amp;cyFrom,dPer,"&lt;="&amp;cyTo,dQty,"&gt;-1E+300",dFlt1,critFlt1,dFlt2,critFlt2,dFlt3,critFlt3))</f>
        <v/>
      </c>
      <c r="G2304">
        <f>IF($B2304="",0,IFERROR(IF(OR(C2304&lt;&gt;0,D2304&lt;&gt;0,E2304&lt;&gt;0,F2304&lt;&gt;0),1,0),1))</f>
        <v>0</v>
      </c>
      <c r="H2304" t="str">
        <f>IF(OR(G2304=0,E2304=0),"",C2304/E2304)</f>
        <v/>
      </c>
      <c r="I2304" t="str">
        <f>IF(OR(G2304=0,F2304=0),"",D2304/F2304)</f>
        <v/>
      </c>
      <c r="J2304" t="str">
        <f>IF(OR(H2304="",I2304=""),"",IF(H2304=0,"",I2304/H2304-1))</f>
        <v/>
      </c>
      <c r="K2304" t="str">
        <f>IF($B2304="","",IFERROR(IF(G2304=0,-2E+300,CHOOSE(sortIdx,ROUND(D2304,0),IF(J2304="",-1E+300,ROUND(-J2304,6)),IF(J2304="",-1E+300,ROUND(J2304,6)))),-1.5E+300))</f>
        <v/>
      </c>
      <c r="L2304" t="str">
        <f>IF(K2304="","",RANK(K2304,$K$2:$K$3001,0)+COUNTIF($K$2:K2304,K2304)-1)</f>
        <v/>
      </c>
    </row>
    <row r="2305">
      <c r="B2305" t="str">
        <f>IFERROR(IF(A2305="","","="&amp;SUBSTITUTE(SUBSTITUTE(SUBSTITUTE(A2305,"~","~~"),"*","~*"),"?","~?")),"")</f>
        <v/>
      </c>
      <c r="C2305" t="str">
        <f>IF($B2305="","",SUMIFS(dAmt,dCust,$B2305,dPer,"&gt;="&amp;pyFrom,dPer,"&lt;="&amp;pyTo,dAmt,"&gt;-1E+300",dFlt1,critFlt1,dFlt2,critFlt2,dFlt3,critFlt3))</f>
        <v/>
      </c>
      <c r="D2305" t="str">
        <f>IF($B2305="","",SUMIFS(dAmt,dCust,$B2305,dPer,"&gt;="&amp;cyFrom,dPer,"&lt;="&amp;cyTo,dAmt,"&gt;-1E+300",dFlt1,critFlt1,dFlt2,critFlt2,dFlt3,critFlt3))</f>
        <v/>
      </c>
      <c r="E2305" t="str">
        <f>IF($B2305="","",SUMIFS(dQty,dCust,$B2305,dPer,"&gt;="&amp;pyFrom,dPer,"&lt;="&amp;pyTo,dQty,"&gt;-1E+300",dFlt1,critFlt1,dFlt2,critFlt2,dFlt3,critFlt3))</f>
        <v/>
      </c>
      <c r="F2305" t="str">
        <f>IF($B2305="","",SUMIFS(dQty,dCust,$B2305,dPer,"&gt;="&amp;cyFrom,dPer,"&lt;="&amp;cyTo,dQty,"&gt;-1E+300",dFlt1,critFlt1,dFlt2,critFlt2,dFlt3,critFlt3))</f>
        <v/>
      </c>
      <c r="G2305">
        <f>IF($B2305="",0,IFERROR(IF(OR(C2305&lt;&gt;0,D2305&lt;&gt;0,E2305&lt;&gt;0,F2305&lt;&gt;0),1,0),1))</f>
        <v>0</v>
      </c>
      <c r="H2305" t="str">
        <f>IF(OR(G2305=0,E2305=0),"",C2305/E2305)</f>
        <v/>
      </c>
      <c r="I2305" t="str">
        <f>IF(OR(G2305=0,F2305=0),"",D2305/F2305)</f>
        <v/>
      </c>
      <c r="J2305" t="str">
        <f>IF(OR(H2305="",I2305=""),"",IF(H2305=0,"",I2305/H2305-1))</f>
        <v/>
      </c>
      <c r="K2305" t="str">
        <f>IF($B2305="","",IFERROR(IF(G2305=0,-2E+300,CHOOSE(sortIdx,ROUND(D2305,0),IF(J2305="",-1E+300,ROUND(-J2305,6)),IF(J2305="",-1E+300,ROUND(J2305,6)))),-1.5E+300))</f>
        <v/>
      </c>
      <c r="L2305" t="str">
        <f>IF(K2305="","",RANK(K2305,$K$2:$K$3001,0)+COUNTIF($K$2:K2305,K2305)-1)</f>
        <v/>
      </c>
    </row>
    <row r="2306">
      <c r="B2306" t="str">
        <f>IFERROR(IF(A2306="","","="&amp;SUBSTITUTE(SUBSTITUTE(SUBSTITUTE(A2306,"~","~~"),"*","~*"),"?","~?")),"")</f>
        <v/>
      </c>
      <c r="C2306" t="str">
        <f>IF($B2306="","",SUMIFS(dAmt,dCust,$B2306,dPer,"&gt;="&amp;pyFrom,dPer,"&lt;="&amp;pyTo,dAmt,"&gt;-1E+300",dFlt1,critFlt1,dFlt2,critFlt2,dFlt3,critFlt3))</f>
        <v/>
      </c>
      <c r="D2306" t="str">
        <f>IF($B2306="","",SUMIFS(dAmt,dCust,$B2306,dPer,"&gt;="&amp;cyFrom,dPer,"&lt;="&amp;cyTo,dAmt,"&gt;-1E+300",dFlt1,critFlt1,dFlt2,critFlt2,dFlt3,critFlt3))</f>
        <v/>
      </c>
      <c r="E2306" t="str">
        <f>IF($B2306="","",SUMIFS(dQty,dCust,$B2306,dPer,"&gt;="&amp;pyFrom,dPer,"&lt;="&amp;pyTo,dQty,"&gt;-1E+300",dFlt1,critFlt1,dFlt2,critFlt2,dFlt3,critFlt3))</f>
        <v/>
      </c>
      <c r="F2306" t="str">
        <f>IF($B2306="","",SUMIFS(dQty,dCust,$B2306,dPer,"&gt;="&amp;cyFrom,dPer,"&lt;="&amp;cyTo,dQty,"&gt;-1E+300",dFlt1,critFlt1,dFlt2,critFlt2,dFlt3,critFlt3))</f>
        <v/>
      </c>
      <c r="G2306">
        <f>IF($B2306="",0,IFERROR(IF(OR(C2306&lt;&gt;0,D2306&lt;&gt;0,E2306&lt;&gt;0,F2306&lt;&gt;0),1,0),1))</f>
        <v>0</v>
      </c>
      <c r="H2306" t="str">
        <f>IF(OR(G2306=0,E2306=0),"",C2306/E2306)</f>
        <v/>
      </c>
      <c r="I2306" t="str">
        <f>IF(OR(G2306=0,F2306=0),"",D2306/F2306)</f>
        <v/>
      </c>
      <c r="J2306" t="str">
        <f>IF(OR(H2306="",I2306=""),"",IF(H2306=0,"",I2306/H2306-1))</f>
        <v/>
      </c>
      <c r="K2306" t="str">
        <f>IF($B2306="","",IFERROR(IF(G2306=0,-2E+300,CHOOSE(sortIdx,ROUND(D2306,0),IF(J2306="",-1E+300,ROUND(-J2306,6)),IF(J2306="",-1E+300,ROUND(J2306,6)))),-1.5E+300))</f>
        <v/>
      </c>
      <c r="L2306" t="str">
        <f>IF(K2306="","",RANK(K2306,$K$2:$K$3001,0)+COUNTIF($K$2:K2306,K2306)-1)</f>
        <v/>
      </c>
    </row>
    <row r="2307">
      <c r="B2307" t="str">
        <f>IFERROR(IF(A2307="","","="&amp;SUBSTITUTE(SUBSTITUTE(SUBSTITUTE(A2307,"~","~~"),"*","~*"),"?","~?")),"")</f>
        <v/>
      </c>
      <c r="C2307" t="str">
        <f>IF($B2307="","",SUMIFS(dAmt,dCust,$B2307,dPer,"&gt;="&amp;pyFrom,dPer,"&lt;="&amp;pyTo,dAmt,"&gt;-1E+300",dFlt1,critFlt1,dFlt2,critFlt2,dFlt3,critFlt3))</f>
        <v/>
      </c>
      <c r="D2307" t="str">
        <f>IF($B2307="","",SUMIFS(dAmt,dCust,$B2307,dPer,"&gt;="&amp;cyFrom,dPer,"&lt;="&amp;cyTo,dAmt,"&gt;-1E+300",dFlt1,critFlt1,dFlt2,critFlt2,dFlt3,critFlt3))</f>
        <v/>
      </c>
      <c r="E2307" t="str">
        <f>IF($B2307="","",SUMIFS(dQty,dCust,$B2307,dPer,"&gt;="&amp;pyFrom,dPer,"&lt;="&amp;pyTo,dQty,"&gt;-1E+300",dFlt1,critFlt1,dFlt2,critFlt2,dFlt3,critFlt3))</f>
        <v/>
      </c>
      <c r="F2307" t="str">
        <f>IF($B2307="","",SUMIFS(dQty,dCust,$B2307,dPer,"&gt;="&amp;cyFrom,dPer,"&lt;="&amp;cyTo,dQty,"&gt;-1E+300",dFlt1,critFlt1,dFlt2,critFlt2,dFlt3,critFlt3))</f>
        <v/>
      </c>
      <c r="G2307">
        <f>IF($B2307="",0,IFERROR(IF(OR(C2307&lt;&gt;0,D2307&lt;&gt;0,E2307&lt;&gt;0,F2307&lt;&gt;0),1,0),1))</f>
        <v>0</v>
      </c>
      <c r="H2307" t="str">
        <f>IF(OR(G2307=0,E2307=0),"",C2307/E2307)</f>
        <v/>
      </c>
      <c r="I2307" t="str">
        <f>IF(OR(G2307=0,F2307=0),"",D2307/F2307)</f>
        <v/>
      </c>
      <c r="J2307" t="str">
        <f>IF(OR(H2307="",I2307=""),"",IF(H2307=0,"",I2307/H2307-1))</f>
        <v/>
      </c>
      <c r="K2307" t="str">
        <f>IF($B2307="","",IFERROR(IF(G2307=0,-2E+300,CHOOSE(sortIdx,ROUND(D2307,0),IF(J2307="",-1E+300,ROUND(-J2307,6)),IF(J2307="",-1E+300,ROUND(J2307,6)))),-1.5E+300))</f>
        <v/>
      </c>
      <c r="L2307" t="str">
        <f>IF(K2307="","",RANK(K2307,$K$2:$K$3001,0)+COUNTIF($K$2:K2307,K2307)-1)</f>
        <v/>
      </c>
    </row>
    <row r="2308">
      <c r="B2308" t="str">
        <f>IFERROR(IF(A2308="","","="&amp;SUBSTITUTE(SUBSTITUTE(SUBSTITUTE(A2308,"~","~~"),"*","~*"),"?","~?")),"")</f>
        <v/>
      </c>
      <c r="C2308" t="str">
        <f>IF($B2308="","",SUMIFS(dAmt,dCust,$B2308,dPer,"&gt;="&amp;pyFrom,dPer,"&lt;="&amp;pyTo,dAmt,"&gt;-1E+300",dFlt1,critFlt1,dFlt2,critFlt2,dFlt3,critFlt3))</f>
        <v/>
      </c>
      <c r="D2308" t="str">
        <f>IF($B2308="","",SUMIFS(dAmt,dCust,$B2308,dPer,"&gt;="&amp;cyFrom,dPer,"&lt;="&amp;cyTo,dAmt,"&gt;-1E+300",dFlt1,critFlt1,dFlt2,critFlt2,dFlt3,critFlt3))</f>
        <v/>
      </c>
      <c r="E2308" t="str">
        <f>IF($B2308="","",SUMIFS(dQty,dCust,$B2308,dPer,"&gt;="&amp;pyFrom,dPer,"&lt;="&amp;pyTo,dQty,"&gt;-1E+300",dFlt1,critFlt1,dFlt2,critFlt2,dFlt3,critFlt3))</f>
        <v/>
      </c>
      <c r="F2308" t="str">
        <f>IF($B2308="","",SUMIFS(dQty,dCust,$B2308,dPer,"&gt;="&amp;cyFrom,dPer,"&lt;="&amp;cyTo,dQty,"&gt;-1E+300",dFlt1,critFlt1,dFlt2,critFlt2,dFlt3,critFlt3))</f>
        <v/>
      </c>
      <c r="G2308">
        <f>IF($B2308="",0,IFERROR(IF(OR(C2308&lt;&gt;0,D2308&lt;&gt;0,E2308&lt;&gt;0,F2308&lt;&gt;0),1,0),1))</f>
        <v>0</v>
      </c>
      <c r="H2308" t="str">
        <f>IF(OR(G2308=0,E2308=0),"",C2308/E2308)</f>
        <v/>
      </c>
      <c r="I2308" t="str">
        <f>IF(OR(G2308=0,F2308=0),"",D2308/F2308)</f>
        <v/>
      </c>
      <c r="J2308" t="str">
        <f>IF(OR(H2308="",I2308=""),"",IF(H2308=0,"",I2308/H2308-1))</f>
        <v/>
      </c>
      <c r="K2308" t="str">
        <f>IF($B2308="","",IFERROR(IF(G2308=0,-2E+300,CHOOSE(sortIdx,ROUND(D2308,0),IF(J2308="",-1E+300,ROUND(-J2308,6)),IF(J2308="",-1E+300,ROUND(J2308,6)))),-1.5E+300))</f>
        <v/>
      </c>
      <c r="L2308" t="str">
        <f>IF(K2308="","",RANK(K2308,$K$2:$K$3001,0)+COUNTIF($K$2:K2308,K2308)-1)</f>
        <v/>
      </c>
    </row>
    <row r="2309">
      <c r="B2309" t="str">
        <f>IFERROR(IF(A2309="","","="&amp;SUBSTITUTE(SUBSTITUTE(SUBSTITUTE(A2309,"~","~~"),"*","~*"),"?","~?")),"")</f>
        <v/>
      </c>
      <c r="C2309" t="str">
        <f>IF($B2309="","",SUMIFS(dAmt,dCust,$B2309,dPer,"&gt;="&amp;pyFrom,dPer,"&lt;="&amp;pyTo,dAmt,"&gt;-1E+300",dFlt1,critFlt1,dFlt2,critFlt2,dFlt3,critFlt3))</f>
        <v/>
      </c>
      <c r="D2309" t="str">
        <f>IF($B2309="","",SUMIFS(dAmt,dCust,$B2309,dPer,"&gt;="&amp;cyFrom,dPer,"&lt;="&amp;cyTo,dAmt,"&gt;-1E+300",dFlt1,critFlt1,dFlt2,critFlt2,dFlt3,critFlt3))</f>
        <v/>
      </c>
      <c r="E2309" t="str">
        <f>IF($B2309="","",SUMIFS(dQty,dCust,$B2309,dPer,"&gt;="&amp;pyFrom,dPer,"&lt;="&amp;pyTo,dQty,"&gt;-1E+300",dFlt1,critFlt1,dFlt2,critFlt2,dFlt3,critFlt3))</f>
        <v/>
      </c>
      <c r="F2309" t="str">
        <f>IF($B2309="","",SUMIFS(dQty,dCust,$B2309,dPer,"&gt;="&amp;cyFrom,dPer,"&lt;="&amp;cyTo,dQty,"&gt;-1E+300",dFlt1,critFlt1,dFlt2,critFlt2,dFlt3,critFlt3))</f>
        <v/>
      </c>
      <c r="G2309">
        <f>IF($B2309="",0,IFERROR(IF(OR(C2309&lt;&gt;0,D2309&lt;&gt;0,E2309&lt;&gt;0,F2309&lt;&gt;0),1,0),1))</f>
        <v>0</v>
      </c>
      <c r="H2309" t="str">
        <f>IF(OR(G2309=0,E2309=0),"",C2309/E2309)</f>
        <v/>
      </c>
      <c r="I2309" t="str">
        <f>IF(OR(G2309=0,F2309=0),"",D2309/F2309)</f>
        <v/>
      </c>
      <c r="J2309" t="str">
        <f>IF(OR(H2309="",I2309=""),"",IF(H2309=0,"",I2309/H2309-1))</f>
        <v/>
      </c>
      <c r="K2309" t="str">
        <f>IF($B2309="","",IFERROR(IF(G2309=0,-2E+300,CHOOSE(sortIdx,ROUND(D2309,0),IF(J2309="",-1E+300,ROUND(-J2309,6)),IF(J2309="",-1E+300,ROUND(J2309,6)))),-1.5E+300))</f>
        <v/>
      </c>
      <c r="L2309" t="str">
        <f>IF(K2309="","",RANK(K2309,$K$2:$K$3001,0)+COUNTIF($K$2:K2309,K2309)-1)</f>
        <v/>
      </c>
    </row>
    <row r="2310">
      <c r="B2310" t="str">
        <f>IFERROR(IF(A2310="","","="&amp;SUBSTITUTE(SUBSTITUTE(SUBSTITUTE(A2310,"~","~~"),"*","~*"),"?","~?")),"")</f>
        <v/>
      </c>
      <c r="C2310" t="str">
        <f>IF($B2310="","",SUMIFS(dAmt,dCust,$B2310,dPer,"&gt;="&amp;pyFrom,dPer,"&lt;="&amp;pyTo,dAmt,"&gt;-1E+300",dFlt1,critFlt1,dFlt2,critFlt2,dFlt3,critFlt3))</f>
        <v/>
      </c>
      <c r="D2310" t="str">
        <f>IF($B2310="","",SUMIFS(dAmt,dCust,$B2310,dPer,"&gt;="&amp;cyFrom,dPer,"&lt;="&amp;cyTo,dAmt,"&gt;-1E+300",dFlt1,critFlt1,dFlt2,critFlt2,dFlt3,critFlt3))</f>
        <v/>
      </c>
      <c r="E2310" t="str">
        <f>IF($B2310="","",SUMIFS(dQty,dCust,$B2310,dPer,"&gt;="&amp;pyFrom,dPer,"&lt;="&amp;pyTo,dQty,"&gt;-1E+300",dFlt1,critFlt1,dFlt2,critFlt2,dFlt3,critFlt3))</f>
        <v/>
      </c>
      <c r="F2310" t="str">
        <f>IF($B2310="","",SUMIFS(dQty,dCust,$B2310,dPer,"&gt;="&amp;cyFrom,dPer,"&lt;="&amp;cyTo,dQty,"&gt;-1E+300",dFlt1,critFlt1,dFlt2,critFlt2,dFlt3,critFlt3))</f>
        <v/>
      </c>
      <c r="G2310">
        <f>IF($B2310="",0,IFERROR(IF(OR(C2310&lt;&gt;0,D2310&lt;&gt;0,E2310&lt;&gt;0,F2310&lt;&gt;0),1,0),1))</f>
        <v>0</v>
      </c>
      <c r="H2310" t="str">
        <f>IF(OR(G2310=0,E2310=0),"",C2310/E2310)</f>
        <v/>
      </c>
      <c r="I2310" t="str">
        <f>IF(OR(G2310=0,F2310=0),"",D2310/F2310)</f>
        <v/>
      </c>
      <c r="J2310" t="str">
        <f>IF(OR(H2310="",I2310=""),"",IF(H2310=0,"",I2310/H2310-1))</f>
        <v/>
      </c>
      <c r="K2310" t="str">
        <f>IF($B2310="","",IFERROR(IF(G2310=0,-2E+300,CHOOSE(sortIdx,ROUND(D2310,0),IF(J2310="",-1E+300,ROUND(-J2310,6)),IF(J2310="",-1E+300,ROUND(J2310,6)))),-1.5E+300))</f>
        <v/>
      </c>
      <c r="L2310" t="str">
        <f>IF(K2310="","",RANK(K2310,$K$2:$K$3001,0)+COUNTIF($K$2:K2310,K2310)-1)</f>
        <v/>
      </c>
    </row>
    <row r="2311">
      <c r="B2311" t="str">
        <f>IFERROR(IF(A2311="","","="&amp;SUBSTITUTE(SUBSTITUTE(SUBSTITUTE(A2311,"~","~~"),"*","~*"),"?","~?")),"")</f>
        <v/>
      </c>
      <c r="C2311" t="str">
        <f>IF($B2311="","",SUMIFS(dAmt,dCust,$B2311,dPer,"&gt;="&amp;pyFrom,dPer,"&lt;="&amp;pyTo,dAmt,"&gt;-1E+300",dFlt1,critFlt1,dFlt2,critFlt2,dFlt3,critFlt3))</f>
        <v/>
      </c>
      <c r="D2311" t="str">
        <f>IF($B2311="","",SUMIFS(dAmt,dCust,$B2311,dPer,"&gt;="&amp;cyFrom,dPer,"&lt;="&amp;cyTo,dAmt,"&gt;-1E+300",dFlt1,critFlt1,dFlt2,critFlt2,dFlt3,critFlt3))</f>
        <v/>
      </c>
      <c r="E2311" t="str">
        <f>IF($B2311="","",SUMIFS(dQty,dCust,$B2311,dPer,"&gt;="&amp;pyFrom,dPer,"&lt;="&amp;pyTo,dQty,"&gt;-1E+300",dFlt1,critFlt1,dFlt2,critFlt2,dFlt3,critFlt3))</f>
        <v/>
      </c>
      <c r="F2311" t="str">
        <f>IF($B2311="","",SUMIFS(dQty,dCust,$B2311,dPer,"&gt;="&amp;cyFrom,dPer,"&lt;="&amp;cyTo,dQty,"&gt;-1E+300",dFlt1,critFlt1,dFlt2,critFlt2,dFlt3,critFlt3))</f>
        <v/>
      </c>
      <c r="G2311">
        <f>IF($B2311="",0,IFERROR(IF(OR(C2311&lt;&gt;0,D2311&lt;&gt;0,E2311&lt;&gt;0,F2311&lt;&gt;0),1,0),1))</f>
        <v>0</v>
      </c>
      <c r="H2311" t="str">
        <f>IF(OR(G2311=0,E2311=0),"",C2311/E2311)</f>
        <v/>
      </c>
      <c r="I2311" t="str">
        <f>IF(OR(G2311=0,F2311=0),"",D2311/F2311)</f>
        <v/>
      </c>
      <c r="J2311" t="str">
        <f>IF(OR(H2311="",I2311=""),"",IF(H2311=0,"",I2311/H2311-1))</f>
        <v/>
      </c>
      <c r="K2311" t="str">
        <f>IF($B2311="","",IFERROR(IF(G2311=0,-2E+300,CHOOSE(sortIdx,ROUND(D2311,0),IF(J2311="",-1E+300,ROUND(-J2311,6)),IF(J2311="",-1E+300,ROUND(J2311,6)))),-1.5E+300))</f>
        <v/>
      </c>
      <c r="L2311" t="str">
        <f>IF(K2311="","",RANK(K2311,$K$2:$K$3001,0)+COUNTIF($K$2:K2311,K2311)-1)</f>
        <v/>
      </c>
    </row>
    <row r="2312">
      <c r="B2312" t="str">
        <f>IFERROR(IF(A2312="","","="&amp;SUBSTITUTE(SUBSTITUTE(SUBSTITUTE(A2312,"~","~~"),"*","~*"),"?","~?")),"")</f>
        <v/>
      </c>
      <c r="C2312" t="str">
        <f>IF($B2312="","",SUMIFS(dAmt,dCust,$B2312,dPer,"&gt;="&amp;pyFrom,dPer,"&lt;="&amp;pyTo,dAmt,"&gt;-1E+300",dFlt1,critFlt1,dFlt2,critFlt2,dFlt3,critFlt3))</f>
        <v/>
      </c>
      <c r="D2312" t="str">
        <f>IF($B2312="","",SUMIFS(dAmt,dCust,$B2312,dPer,"&gt;="&amp;cyFrom,dPer,"&lt;="&amp;cyTo,dAmt,"&gt;-1E+300",dFlt1,critFlt1,dFlt2,critFlt2,dFlt3,critFlt3))</f>
        <v/>
      </c>
      <c r="E2312" t="str">
        <f>IF($B2312="","",SUMIFS(dQty,dCust,$B2312,dPer,"&gt;="&amp;pyFrom,dPer,"&lt;="&amp;pyTo,dQty,"&gt;-1E+300",dFlt1,critFlt1,dFlt2,critFlt2,dFlt3,critFlt3))</f>
        <v/>
      </c>
      <c r="F2312" t="str">
        <f>IF($B2312="","",SUMIFS(dQty,dCust,$B2312,dPer,"&gt;="&amp;cyFrom,dPer,"&lt;="&amp;cyTo,dQty,"&gt;-1E+300",dFlt1,critFlt1,dFlt2,critFlt2,dFlt3,critFlt3))</f>
        <v/>
      </c>
      <c r="G2312">
        <f>IF($B2312="",0,IFERROR(IF(OR(C2312&lt;&gt;0,D2312&lt;&gt;0,E2312&lt;&gt;0,F2312&lt;&gt;0),1,0),1))</f>
        <v>0</v>
      </c>
      <c r="H2312" t="str">
        <f>IF(OR(G2312=0,E2312=0),"",C2312/E2312)</f>
        <v/>
      </c>
      <c r="I2312" t="str">
        <f>IF(OR(G2312=0,F2312=0),"",D2312/F2312)</f>
        <v/>
      </c>
      <c r="J2312" t="str">
        <f>IF(OR(H2312="",I2312=""),"",IF(H2312=0,"",I2312/H2312-1))</f>
        <v/>
      </c>
      <c r="K2312" t="str">
        <f>IF($B2312="","",IFERROR(IF(G2312=0,-2E+300,CHOOSE(sortIdx,ROUND(D2312,0),IF(J2312="",-1E+300,ROUND(-J2312,6)),IF(J2312="",-1E+300,ROUND(J2312,6)))),-1.5E+300))</f>
        <v/>
      </c>
      <c r="L2312" t="str">
        <f>IF(K2312="","",RANK(K2312,$K$2:$K$3001,0)+COUNTIF($K$2:K2312,K2312)-1)</f>
        <v/>
      </c>
    </row>
    <row r="2313">
      <c r="B2313" t="str">
        <f>IFERROR(IF(A2313="","","="&amp;SUBSTITUTE(SUBSTITUTE(SUBSTITUTE(A2313,"~","~~"),"*","~*"),"?","~?")),"")</f>
        <v/>
      </c>
      <c r="C2313" t="str">
        <f>IF($B2313="","",SUMIFS(dAmt,dCust,$B2313,dPer,"&gt;="&amp;pyFrom,dPer,"&lt;="&amp;pyTo,dAmt,"&gt;-1E+300",dFlt1,critFlt1,dFlt2,critFlt2,dFlt3,critFlt3))</f>
        <v/>
      </c>
      <c r="D2313" t="str">
        <f>IF($B2313="","",SUMIFS(dAmt,dCust,$B2313,dPer,"&gt;="&amp;cyFrom,dPer,"&lt;="&amp;cyTo,dAmt,"&gt;-1E+300",dFlt1,critFlt1,dFlt2,critFlt2,dFlt3,critFlt3))</f>
        <v/>
      </c>
      <c r="E2313" t="str">
        <f>IF($B2313="","",SUMIFS(dQty,dCust,$B2313,dPer,"&gt;="&amp;pyFrom,dPer,"&lt;="&amp;pyTo,dQty,"&gt;-1E+300",dFlt1,critFlt1,dFlt2,critFlt2,dFlt3,critFlt3))</f>
        <v/>
      </c>
      <c r="F2313" t="str">
        <f>IF($B2313="","",SUMIFS(dQty,dCust,$B2313,dPer,"&gt;="&amp;cyFrom,dPer,"&lt;="&amp;cyTo,dQty,"&gt;-1E+300",dFlt1,critFlt1,dFlt2,critFlt2,dFlt3,critFlt3))</f>
        <v/>
      </c>
      <c r="G2313">
        <f>IF($B2313="",0,IFERROR(IF(OR(C2313&lt;&gt;0,D2313&lt;&gt;0,E2313&lt;&gt;0,F2313&lt;&gt;0),1,0),1))</f>
        <v>0</v>
      </c>
      <c r="H2313" t="str">
        <f>IF(OR(G2313=0,E2313=0),"",C2313/E2313)</f>
        <v/>
      </c>
      <c r="I2313" t="str">
        <f>IF(OR(G2313=0,F2313=0),"",D2313/F2313)</f>
        <v/>
      </c>
      <c r="J2313" t="str">
        <f>IF(OR(H2313="",I2313=""),"",IF(H2313=0,"",I2313/H2313-1))</f>
        <v/>
      </c>
      <c r="K2313" t="str">
        <f>IF($B2313="","",IFERROR(IF(G2313=0,-2E+300,CHOOSE(sortIdx,ROUND(D2313,0),IF(J2313="",-1E+300,ROUND(-J2313,6)),IF(J2313="",-1E+300,ROUND(J2313,6)))),-1.5E+300))</f>
        <v/>
      </c>
      <c r="L2313" t="str">
        <f>IF(K2313="","",RANK(K2313,$K$2:$K$3001,0)+COUNTIF($K$2:K2313,K2313)-1)</f>
        <v/>
      </c>
    </row>
    <row r="2314">
      <c r="B2314" t="str">
        <f>IFERROR(IF(A2314="","","="&amp;SUBSTITUTE(SUBSTITUTE(SUBSTITUTE(A2314,"~","~~"),"*","~*"),"?","~?")),"")</f>
        <v/>
      </c>
      <c r="C2314" t="str">
        <f>IF($B2314="","",SUMIFS(dAmt,dCust,$B2314,dPer,"&gt;="&amp;pyFrom,dPer,"&lt;="&amp;pyTo,dAmt,"&gt;-1E+300",dFlt1,critFlt1,dFlt2,critFlt2,dFlt3,critFlt3))</f>
        <v/>
      </c>
      <c r="D2314" t="str">
        <f>IF($B2314="","",SUMIFS(dAmt,dCust,$B2314,dPer,"&gt;="&amp;cyFrom,dPer,"&lt;="&amp;cyTo,dAmt,"&gt;-1E+300",dFlt1,critFlt1,dFlt2,critFlt2,dFlt3,critFlt3))</f>
        <v/>
      </c>
      <c r="E2314" t="str">
        <f>IF($B2314="","",SUMIFS(dQty,dCust,$B2314,dPer,"&gt;="&amp;pyFrom,dPer,"&lt;="&amp;pyTo,dQty,"&gt;-1E+300",dFlt1,critFlt1,dFlt2,critFlt2,dFlt3,critFlt3))</f>
        <v/>
      </c>
      <c r="F2314" t="str">
        <f>IF($B2314="","",SUMIFS(dQty,dCust,$B2314,dPer,"&gt;="&amp;cyFrom,dPer,"&lt;="&amp;cyTo,dQty,"&gt;-1E+300",dFlt1,critFlt1,dFlt2,critFlt2,dFlt3,critFlt3))</f>
        <v/>
      </c>
      <c r="G2314">
        <f>IF($B2314="",0,IFERROR(IF(OR(C2314&lt;&gt;0,D2314&lt;&gt;0,E2314&lt;&gt;0,F2314&lt;&gt;0),1,0),1))</f>
        <v>0</v>
      </c>
      <c r="H2314" t="str">
        <f>IF(OR(G2314=0,E2314=0),"",C2314/E2314)</f>
        <v/>
      </c>
      <c r="I2314" t="str">
        <f>IF(OR(G2314=0,F2314=0),"",D2314/F2314)</f>
        <v/>
      </c>
      <c r="J2314" t="str">
        <f>IF(OR(H2314="",I2314=""),"",IF(H2314=0,"",I2314/H2314-1))</f>
        <v/>
      </c>
      <c r="K2314" t="str">
        <f>IF($B2314="","",IFERROR(IF(G2314=0,-2E+300,CHOOSE(sortIdx,ROUND(D2314,0),IF(J2314="",-1E+300,ROUND(-J2314,6)),IF(J2314="",-1E+300,ROUND(J2314,6)))),-1.5E+300))</f>
        <v/>
      </c>
      <c r="L2314" t="str">
        <f>IF(K2314="","",RANK(K2314,$K$2:$K$3001,0)+COUNTIF($K$2:K2314,K2314)-1)</f>
        <v/>
      </c>
    </row>
    <row r="2315">
      <c r="B2315" t="str">
        <f>IFERROR(IF(A2315="","","="&amp;SUBSTITUTE(SUBSTITUTE(SUBSTITUTE(A2315,"~","~~"),"*","~*"),"?","~?")),"")</f>
        <v/>
      </c>
      <c r="C2315" t="str">
        <f>IF($B2315="","",SUMIFS(dAmt,dCust,$B2315,dPer,"&gt;="&amp;pyFrom,dPer,"&lt;="&amp;pyTo,dAmt,"&gt;-1E+300",dFlt1,critFlt1,dFlt2,critFlt2,dFlt3,critFlt3))</f>
        <v/>
      </c>
      <c r="D2315" t="str">
        <f>IF($B2315="","",SUMIFS(dAmt,dCust,$B2315,dPer,"&gt;="&amp;cyFrom,dPer,"&lt;="&amp;cyTo,dAmt,"&gt;-1E+300",dFlt1,critFlt1,dFlt2,critFlt2,dFlt3,critFlt3))</f>
        <v/>
      </c>
      <c r="E2315" t="str">
        <f>IF($B2315="","",SUMIFS(dQty,dCust,$B2315,dPer,"&gt;="&amp;pyFrom,dPer,"&lt;="&amp;pyTo,dQty,"&gt;-1E+300",dFlt1,critFlt1,dFlt2,critFlt2,dFlt3,critFlt3))</f>
        <v/>
      </c>
      <c r="F2315" t="str">
        <f>IF($B2315="","",SUMIFS(dQty,dCust,$B2315,dPer,"&gt;="&amp;cyFrom,dPer,"&lt;="&amp;cyTo,dQty,"&gt;-1E+300",dFlt1,critFlt1,dFlt2,critFlt2,dFlt3,critFlt3))</f>
        <v/>
      </c>
      <c r="G2315">
        <f>IF($B2315="",0,IFERROR(IF(OR(C2315&lt;&gt;0,D2315&lt;&gt;0,E2315&lt;&gt;0,F2315&lt;&gt;0),1,0),1))</f>
        <v>0</v>
      </c>
      <c r="H2315" t="str">
        <f>IF(OR(G2315=0,E2315=0),"",C2315/E2315)</f>
        <v/>
      </c>
      <c r="I2315" t="str">
        <f>IF(OR(G2315=0,F2315=0),"",D2315/F2315)</f>
        <v/>
      </c>
      <c r="J2315" t="str">
        <f>IF(OR(H2315="",I2315=""),"",IF(H2315=0,"",I2315/H2315-1))</f>
        <v/>
      </c>
      <c r="K2315" t="str">
        <f>IF($B2315="","",IFERROR(IF(G2315=0,-2E+300,CHOOSE(sortIdx,ROUND(D2315,0),IF(J2315="",-1E+300,ROUND(-J2315,6)),IF(J2315="",-1E+300,ROUND(J2315,6)))),-1.5E+300))</f>
        <v/>
      </c>
      <c r="L2315" t="str">
        <f>IF(K2315="","",RANK(K2315,$K$2:$K$3001,0)+COUNTIF($K$2:K2315,K2315)-1)</f>
        <v/>
      </c>
    </row>
    <row r="2316">
      <c r="B2316" t="str">
        <f>IFERROR(IF(A2316="","","="&amp;SUBSTITUTE(SUBSTITUTE(SUBSTITUTE(A2316,"~","~~"),"*","~*"),"?","~?")),"")</f>
        <v/>
      </c>
      <c r="C2316" t="str">
        <f>IF($B2316="","",SUMIFS(dAmt,dCust,$B2316,dPer,"&gt;="&amp;pyFrom,dPer,"&lt;="&amp;pyTo,dAmt,"&gt;-1E+300",dFlt1,critFlt1,dFlt2,critFlt2,dFlt3,critFlt3))</f>
        <v/>
      </c>
      <c r="D2316" t="str">
        <f>IF($B2316="","",SUMIFS(dAmt,dCust,$B2316,dPer,"&gt;="&amp;cyFrom,dPer,"&lt;="&amp;cyTo,dAmt,"&gt;-1E+300",dFlt1,critFlt1,dFlt2,critFlt2,dFlt3,critFlt3))</f>
        <v/>
      </c>
      <c r="E2316" t="str">
        <f>IF($B2316="","",SUMIFS(dQty,dCust,$B2316,dPer,"&gt;="&amp;pyFrom,dPer,"&lt;="&amp;pyTo,dQty,"&gt;-1E+300",dFlt1,critFlt1,dFlt2,critFlt2,dFlt3,critFlt3))</f>
        <v/>
      </c>
      <c r="F2316" t="str">
        <f>IF($B2316="","",SUMIFS(dQty,dCust,$B2316,dPer,"&gt;="&amp;cyFrom,dPer,"&lt;="&amp;cyTo,dQty,"&gt;-1E+300",dFlt1,critFlt1,dFlt2,critFlt2,dFlt3,critFlt3))</f>
        <v/>
      </c>
      <c r="G2316">
        <f>IF($B2316="",0,IFERROR(IF(OR(C2316&lt;&gt;0,D2316&lt;&gt;0,E2316&lt;&gt;0,F2316&lt;&gt;0),1,0),1))</f>
        <v>0</v>
      </c>
      <c r="H2316" t="str">
        <f>IF(OR(G2316=0,E2316=0),"",C2316/E2316)</f>
        <v/>
      </c>
      <c r="I2316" t="str">
        <f>IF(OR(G2316=0,F2316=0),"",D2316/F2316)</f>
        <v/>
      </c>
      <c r="J2316" t="str">
        <f>IF(OR(H2316="",I2316=""),"",IF(H2316=0,"",I2316/H2316-1))</f>
        <v/>
      </c>
      <c r="K2316" t="str">
        <f>IF($B2316="","",IFERROR(IF(G2316=0,-2E+300,CHOOSE(sortIdx,ROUND(D2316,0),IF(J2316="",-1E+300,ROUND(-J2316,6)),IF(J2316="",-1E+300,ROUND(J2316,6)))),-1.5E+300))</f>
        <v/>
      </c>
      <c r="L2316" t="str">
        <f>IF(K2316="","",RANK(K2316,$K$2:$K$3001,0)+COUNTIF($K$2:K2316,K2316)-1)</f>
        <v/>
      </c>
    </row>
    <row r="2317">
      <c r="B2317" t="str">
        <f>IFERROR(IF(A2317="","","="&amp;SUBSTITUTE(SUBSTITUTE(SUBSTITUTE(A2317,"~","~~"),"*","~*"),"?","~?")),"")</f>
        <v/>
      </c>
      <c r="C2317" t="str">
        <f>IF($B2317="","",SUMIFS(dAmt,dCust,$B2317,dPer,"&gt;="&amp;pyFrom,dPer,"&lt;="&amp;pyTo,dAmt,"&gt;-1E+300",dFlt1,critFlt1,dFlt2,critFlt2,dFlt3,critFlt3))</f>
        <v/>
      </c>
      <c r="D2317" t="str">
        <f>IF($B2317="","",SUMIFS(dAmt,dCust,$B2317,dPer,"&gt;="&amp;cyFrom,dPer,"&lt;="&amp;cyTo,dAmt,"&gt;-1E+300",dFlt1,critFlt1,dFlt2,critFlt2,dFlt3,critFlt3))</f>
        <v/>
      </c>
      <c r="E2317" t="str">
        <f>IF($B2317="","",SUMIFS(dQty,dCust,$B2317,dPer,"&gt;="&amp;pyFrom,dPer,"&lt;="&amp;pyTo,dQty,"&gt;-1E+300",dFlt1,critFlt1,dFlt2,critFlt2,dFlt3,critFlt3))</f>
        <v/>
      </c>
      <c r="F2317" t="str">
        <f>IF($B2317="","",SUMIFS(dQty,dCust,$B2317,dPer,"&gt;="&amp;cyFrom,dPer,"&lt;="&amp;cyTo,dQty,"&gt;-1E+300",dFlt1,critFlt1,dFlt2,critFlt2,dFlt3,critFlt3))</f>
        <v/>
      </c>
      <c r="G2317">
        <f>IF($B2317="",0,IFERROR(IF(OR(C2317&lt;&gt;0,D2317&lt;&gt;0,E2317&lt;&gt;0,F2317&lt;&gt;0),1,0),1))</f>
        <v>0</v>
      </c>
      <c r="H2317" t="str">
        <f>IF(OR(G2317=0,E2317=0),"",C2317/E2317)</f>
        <v/>
      </c>
      <c r="I2317" t="str">
        <f>IF(OR(G2317=0,F2317=0),"",D2317/F2317)</f>
        <v/>
      </c>
      <c r="J2317" t="str">
        <f>IF(OR(H2317="",I2317=""),"",IF(H2317=0,"",I2317/H2317-1))</f>
        <v/>
      </c>
      <c r="K2317" t="str">
        <f>IF($B2317="","",IFERROR(IF(G2317=0,-2E+300,CHOOSE(sortIdx,ROUND(D2317,0),IF(J2317="",-1E+300,ROUND(-J2317,6)),IF(J2317="",-1E+300,ROUND(J2317,6)))),-1.5E+300))</f>
        <v/>
      </c>
      <c r="L2317" t="str">
        <f>IF(K2317="","",RANK(K2317,$K$2:$K$3001,0)+COUNTIF($K$2:K2317,K2317)-1)</f>
        <v/>
      </c>
    </row>
    <row r="2318">
      <c r="B2318" t="str">
        <f>IFERROR(IF(A2318="","","="&amp;SUBSTITUTE(SUBSTITUTE(SUBSTITUTE(A2318,"~","~~"),"*","~*"),"?","~?")),"")</f>
        <v/>
      </c>
      <c r="C2318" t="str">
        <f>IF($B2318="","",SUMIFS(dAmt,dCust,$B2318,dPer,"&gt;="&amp;pyFrom,dPer,"&lt;="&amp;pyTo,dAmt,"&gt;-1E+300",dFlt1,critFlt1,dFlt2,critFlt2,dFlt3,critFlt3))</f>
        <v/>
      </c>
      <c r="D2318" t="str">
        <f>IF($B2318="","",SUMIFS(dAmt,dCust,$B2318,dPer,"&gt;="&amp;cyFrom,dPer,"&lt;="&amp;cyTo,dAmt,"&gt;-1E+300",dFlt1,critFlt1,dFlt2,critFlt2,dFlt3,critFlt3))</f>
        <v/>
      </c>
      <c r="E2318" t="str">
        <f>IF($B2318="","",SUMIFS(dQty,dCust,$B2318,dPer,"&gt;="&amp;pyFrom,dPer,"&lt;="&amp;pyTo,dQty,"&gt;-1E+300",dFlt1,critFlt1,dFlt2,critFlt2,dFlt3,critFlt3))</f>
        <v/>
      </c>
      <c r="F2318" t="str">
        <f>IF($B2318="","",SUMIFS(dQty,dCust,$B2318,dPer,"&gt;="&amp;cyFrom,dPer,"&lt;="&amp;cyTo,dQty,"&gt;-1E+300",dFlt1,critFlt1,dFlt2,critFlt2,dFlt3,critFlt3))</f>
        <v/>
      </c>
      <c r="G2318">
        <f>IF($B2318="",0,IFERROR(IF(OR(C2318&lt;&gt;0,D2318&lt;&gt;0,E2318&lt;&gt;0,F2318&lt;&gt;0),1,0),1))</f>
        <v>0</v>
      </c>
      <c r="H2318" t="str">
        <f>IF(OR(G2318=0,E2318=0),"",C2318/E2318)</f>
        <v/>
      </c>
      <c r="I2318" t="str">
        <f>IF(OR(G2318=0,F2318=0),"",D2318/F2318)</f>
        <v/>
      </c>
      <c r="J2318" t="str">
        <f>IF(OR(H2318="",I2318=""),"",IF(H2318=0,"",I2318/H2318-1))</f>
        <v/>
      </c>
      <c r="K2318" t="str">
        <f>IF($B2318="","",IFERROR(IF(G2318=0,-2E+300,CHOOSE(sortIdx,ROUND(D2318,0),IF(J2318="",-1E+300,ROUND(-J2318,6)),IF(J2318="",-1E+300,ROUND(J2318,6)))),-1.5E+300))</f>
        <v/>
      </c>
      <c r="L2318" t="str">
        <f>IF(K2318="","",RANK(K2318,$K$2:$K$3001,0)+COUNTIF($K$2:K2318,K2318)-1)</f>
        <v/>
      </c>
    </row>
    <row r="2319">
      <c r="B2319" t="str">
        <f>IFERROR(IF(A2319="","","="&amp;SUBSTITUTE(SUBSTITUTE(SUBSTITUTE(A2319,"~","~~"),"*","~*"),"?","~?")),"")</f>
        <v/>
      </c>
      <c r="C2319" t="str">
        <f>IF($B2319="","",SUMIFS(dAmt,dCust,$B2319,dPer,"&gt;="&amp;pyFrom,dPer,"&lt;="&amp;pyTo,dAmt,"&gt;-1E+300",dFlt1,critFlt1,dFlt2,critFlt2,dFlt3,critFlt3))</f>
        <v/>
      </c>
      <c r="D2319" t="str">
        <f>IF($B2319="","",SUMIFS(dAmt,dCust,$B2319,dPer,"&gt;="&amp;cyFrom,dPer,"&lt;="&amp;cyTo,dAmt,"&gt;-1E+300",dFlt1,critFlt1,dFlt2,critFlt2,dFlt3,critFlt3))</f>
        <v/>
      </c>
      <c r="E2319" t="str">
        <f>IF($B2319="","",SUMIFS(dQty,dCust,$B2319,dPer,"&gt;="&amp;pyFrom,dPer,"&lt;="&amp;pyTo,dQty,"&gt;-1E+300",dFlt1,critFlt1,dFlt2,critFlt2,dFlt3,critFlt3))</f>
        <v/>
      </c>
      <c r="F2319" t="str">
        <f>IF($B2319="","",SUMIFS(dQty,dCust,$B2319,dPer,"&gt;="&amp;cyFrom,dPer,"&lt;="&amp;cyTo,dQty,"&gt;-1E+300",dFlt1,critFlt1,dFlt2,critFlt2,dFlt3,critFlt3))</f>
        <v/>
      </c>
      <c r="G2319">
        <f>IF($B2319="",0,IFERROR(IF(OR(C2319&lt;&gt;0,D2319&lt;&gt;0,E2319&lt;&gt;0,F2319&lt;&gt;0),1,0),1))</f>
        <v>0</v>
      </c>
      <c r="H2319" t="str">
        <f>IF(OR(G2319=0,E2319=0),"",C2319/E2319)</f>
        <v/>
      </c>
      <c r="I2319" t="str">
        <f>IF(OR(G2319=0,F2319=0),"",D2319/F2319)</f>
        <v/>
      </c>
      <c r="J2319" t="str">
        <f>IF(OR(H2319="",I2319=""),"",IF(H2319=0,"",I2319/H2319-1))</f>
        <v/>
      </c>
      <c r="K2319" t="str">
        <f>IF($B2319="","",IFERROR(IF(G2319=0,-2E+300,CHOOSE(sortIdx,ROUND(D2319,0),IF(J2319="",-1E+300,ROUND(-J2319,6)),IF(J2319="",-1E+300,ROUND(J2319,6)))),-1.5E+300))</f>
        <v/>
      </c>
      <c r="L2319" t="str">
        <f>IF(K2319="","",RANK(K2319,$K$2:$K$3001,0)+COUNTIF($K$2:K2319,K2319)-1)</f>
        <v/>
      </c>
    </row>
    <row r="2320">
      <c r="B2320" t="str">
        <f>IFERROR(IF(A2320="","","="&amp;SUBSTITUTE(SUBSTITUTE(SUBSTITUTE(A2320,"~","~~"),"*","~*"),"?","~?")),"")</f>
        <v/>
      </c>
      <c r="C2320" t="str">
        <f>IF($B2320="","",SUMIFS(dAmt,dCust,$B2320,dPer,"&gt;="&amp;pyFrom,dPer,"&lt;="&amp;pyTo,dAmt,"&gt;-1E+300",dFlt1,critFlt1,dFlt2,critFlt2,dFlt3,critFlt3))</f>
        <v/>
      </c>
      <c r="D2320" t="str">
        <f>IF($B2320="","",SUMIFS(dAmt,dCust,$B2320,dPer,"&gt;="&amp;cyFrom,dPer,"&lt;="&amp;cyTo,dAmt,"&gt;-1E+300",dFlt1,critFlt1,dFlt2,critFlt2,dFlt3,critFlt3))</f>
        <v/>
      </c>
      <c r="E2320" t="str">
        <f>IF($B2320="","",SUMIFS(dQty,dCust,$B2320,dPer,"&gt;="&amp;pyFrom,dPer,"&lt;="&amp;pyTo,dQty,"&gt;-1E+300",dFlt1,critFlt1,dFlt2,critFlt2,dFlt3,critFlt3))</f>
        <v/>
      </c>
      <c r="F2320" t="str">
        <f>IF($B2320="","",SUMIFS(dQty,dCust,$B2320,dPer,"&gt;="&amp;cyFrom,dPer,"&lt;="&amp;cyTo,dQty,"&gt;-1E+300",dFlt1,critFlt1,dFlt2,critFlt2,dFlt3,critFlt3))</f>
        <v/>
      </c>
      <c r="G2320">
        <f>IF($B2320="",0,IFERROR(IF(OR(C2320&lt;&gt;0,D2320&lt;&gt;0,E2320&lt;&gt;0,F2320&lt;&gt;0),1,0),1))</f>
        <v>0</v>
      </c>
      <c r="H2320" t="str">
        <f>IF(OR(G2320=0,E2320=0),"",C2320/E2320)</f>
        <v/>
      </c>
      <c r="I2320" t="str">
        <f>IF(OR(G2320=0,F2320=0),"",D2320/F2320)</f>
        <v/>
      </c>
      <c r="J2320" t="str">
        <f>IF(OR(H2320="",I2320=""),"",IF(H2320=0,"",I2320/H2320-1))</f>
        <v/>
      </c>
      <c r="K2320" t="str">
        <f>IF($B2320="","",IFERROR(IF(G2320=0,-2E+300,CHOOSE(sortIdx,ROUND(D2320,0),IF(J2320="",-1E+300,ROUND(-J2320,6)),IF(J2320="",-1E+300,ROUND(J2320,6)))),-1.5E+300))</f>
        <v/>
      </c>
      <c r="L2320" t="str">
        <f>IF(K2320="","",RANK(K2320,$K$2:$K$3001,0)+COUNTIF($K$2:K2320,K2320)-1)</f>
        <v/>
      </c>
    </row>
    <row r="2321">
      <c r="B2321" t="str">
        <f>IFERROR(IF(A2321="","","="&amp;SUBSTITUTE(SUBSTITUTE(SUBSTITUTE(A2321,"~","~~"),"*","~*"),"?","~?")),"")</f>
        <v/>
      </c>
      <c r="C2321" t="str">
        <f>IF($B2321="","",SUMIFS(dAmt,dCust,$B2321,dPer,"&gt;="&amp;pyFrom,dPer,"&lt;="&amp;pyTo,dAmt,"&gt;-1E+300",dFlt1,critFlt1,dFlt2,critFlt2,dFlt3,critFlt3))</f>
        <v/>
      </c>
      <c r="D2321" t="str">
        <f>IF($B2321="","",SUMIFS(dAmt,dCust,$B2321,dPer,"&gt;="&amp;cyFrom,dPer,"&lt;="&amp;cyTo,dAmt,"&gt;-1E+300",dFlt1,critFlt1,dFlt2,critFlt2,dFlt3,critFlt3))</f>
        <v/>
      </c>
      <c r="E2321" t="str">
        <f>IF($B2321="","",SUMIFS(dQty,dCust,$B2321,dPer,"&gt;="&amp;pyFrom,dPer,"&lt;="&amp;pyTo,dQty,"&gt;-1E+300",dFlt1,critFlt1,dFlt2,critFlt2,dFlt3,critFlt3))</f>
        <v/>
      </c>
      <c r="F2321" t="str">
        <f>IF($B2321="","",SUMIFS(dQty,dCust,$B2321,dPer,"&gt;="&amp;cyFrom,dPer,"&lt;="&amp;cyTo,dQty,"&gt;-1E+300",dFlt1,critFlt1,dFlt2,critFlt2,dFlt3,critFlt3))</f>
        <v/>
      </c>
      <c r="G2321">
        <f>IF($B2321="",0,IFERROR(IF(OR(C2321&lt;&gt;0,D2321&lt;&gt;0,E2321&lt;&gt;0,F2321&lt;&gt;0),1,0),1))</f>
        <v>0</v>
      </c>
      <c r="H2321" t="str">
        <f>IF(OR(G2321=0,E2321=0),"",C2321/E2321)</f>
        <v/>
      </c>
      <c r="I2321" t="str">
        <f>IF(OR(G2321=0,F2321=0),"",D2321/F2321)</f>
        <v/>
      </c>
      <c r="J2321" t="str">
        <f>IF(OR(H2321="",I2321=""),"",IF(H2321=0,"",I2321/H2321-1))</f>
        <v/>
      </c>
      <c r="K2321" t="str">
        <f>IF($B2321="","",IFERROR(IF(G2321=0,-2E+300,CHOOSE(sortIdx,ROUND(D2321,0),IF(J2321="",-1E+300,ROUND(-J2321,6)),IF(J2321="",-1E+300,ROUND(J2321,6)))),-1.5E+300))</f>
        <v/>
      </c>
      <c r="L2321" t="str">
        <f>IF(K2321="","",RANK(K2321,$K$2:$K$3001,0)+COUNTIF($K$2:K2321,K2321)-1)</f>
        <v/>
      </c>
    </row>
    <row r="2322">
      <c r="B2322" t="str">
        <f>IFERROR(IF(A2322="","","="&amp;SUBSTITUTE(SUBSTITUTE(SUBSTITUTE(A2322,"~","~~"),"*","~*"),"?","~?")),"")</f>
        <v/>
      </c>
      <c r="C2322" t="str">
        <f>IF($B2322="","",SUMIFS(dAmt,dCust,$B2322,dPer,"&gt;="&amp;pyFrom,dPer,"&lt;="&amp;pyTo,dAmt,"&gt;-1E+300",dFlt1,critFlt1,dFlt2,critFlt2,dFlt3,critFlt3))</f>
        <v/>
      </c>
      <c r="D2322" t="str">
        <f>IF($B2322="","",SUMIFS(dAmt,dCust,$B2322,dPer,"&gt;="&amp;cyFrom,dPer,"&lt;="&amp;cyTo,dAmt,"&gt;-1E+300",dFlt1,critFlt1,dFlt2,critFlt2,dFlt3,critFlt3))</f>
        <v/>
      </c>
      <c r="E2322" t="str">
        <f>IF($B2322="","",SUMIFS(dQty,dCust,$B2322,dPer,"&gt;="&amp;pyFrom,dPer,"&lt;="&amp;pyTo,dQty,"&gt;-1E+300",dFlt1,critFlt1,dFlt2,critFlt2,dFlt3,critFlt3))</f>
        <v/>
      </c>
      <c r="F2322" t="str">
        <f>IF($B2322="","",SUMIFS(dQty,dCust,$B2322,dPer,"&gt;="&amp;cyFrom,dPer,"&lt;="&amp;cyTo,dQty,"&gt;-1E+300",dFlt1,critFlt1,dFlt2,critFlt2,dFlt3,critFlt3))</f>
        <v/>
      </c>
      <c r="G2322">
        <f>IF($B2322="",0,IFERROR(IF(OR(C2322&lt;&gt;0,D2322&lt;&gt;0,E2322&lt;&gt;0,F2322&lt;&gt;0),1,0),1))</f>
        <v>0</v>
      </c>
      <c r="H2322" t="str">
        <f>IF(OR(G2322=0,E2322=0),"",C2322/E2322)</f>
        <v/>
      </c>
      <c r="I2322" t="str">
        <f>IF(OR(G2322=0,F2322=0),"",D2322/F2322)</f>
        <v/>
      </c>
      <c r="J2322" t="str">
        <f>IF(OR(H2322="",I2322=""),"",IF(H2322=0,"",I2322/H2322-1))</f>
        <v/>
      </c>
      <c r="K2322" t="str">
        <f>IF($B2322="","",IFERROR(IF(G2322=0,-2E+300,CHOOSE(sortIdx,ROUND(D2322,0),IF(J2322="",-1E+300,ROUND(-J2322,6)),IF(J2322="",-1E+300,ROUND(J2322,6)))),-1.5E+300))</f>
        <v/>
      </c>
      <c r="L2322" t="str">
        <f>IF(K2322="","",RANK(K2322,$K$2:$K$3001,0)+COUNTIF($K$2:K2322,K2322)-1)</f>
        <v/>
      </c>
    </row>
    <row r="2323">
      <c r="B2323" t="str">
        <f>IFERROR(IF(A2323="","","="&amp;SUBSTITUTE(SUBSTITUTE(SUBSTITUTE(A2323,"~","~~"),"*","~*"),"?","~?")),"")</f>
        <v/>
      </c>
      <c r="C2323" t="str">
        <f>IF($B2323="","",SUMIFS(dAmt,dCust,$B2323,dPer,"&gt;="&amp;pyFrom,dPer,"&lt;="&amp;pyTo,dAmt,"&gt;-1E+300",dFlt1,critFlt1,dFlt2,critFlt2,dFlt3,critFlt3))</f>
        <v/>
      </c>
      <c r="D2323" t="str">
        <f>IF($B2323="","",SUMIFS(dAmt,dCust,$B2323,dPer,"&gt;="&amp;cyFrom,dPer,"&lt;="&amp;cyTo,dAmt,"&gt;-1E+300",dFlt1,critFlt1,dFlt2,critFlt2,dFlt3,critFlt3))</f>
        <v/>
      </c>
      <c r="E2323" t="str">
        <f>IF($B2323="","",SUMIFS(dQty,dCust,$B2323,dPer,"&gt;="&amp;pyFrom,dPer,"&lt;="&amp;pyTo,dQty,"&gt;-1E+300",dFlt1,critFlt1,dFlt2,critFlt2,dFlt3,critFlt3))</f>
        <v/>
      </c>
      <c r="F2323" t="str">
        <f>IF($B2323="","",SUMIFS(dQty,dCust,$B2323,dPer,"&gt;="&amp;cyFrom,dPer,"&lt;="&amp;cyTo,dQty,"&gt;-1E+300",dFlt1,critFlt1,dFlt2,critFlt2,dFlt3,critFlt3))</f>
        <v/>
      </c>
      <c r="G2323">
        <f>IF($B2323="",0,IFERROR(IF(OR(C2323&lt;&gt;0,D2323&lt;&gt;0,E2323&lt;&gt;0,F2323&lt;&gt;0),1,0),1))</f>
        <v>0</v>
      </c>
      <c r="H2323" t="str">
        <f>IF(OR(G2323=0,E2323=0),"",C2323/E2323)</f>
        <v/>
      </c>
      <c r="I2323" t="str">
        <f>IF(OR(G2323=0,F2323=0),"",D2323/F2323)</f>
        <v/>
      </c>
      <c r="J2323" t="str">
        <f>IF(OR(H2323="",I2323=""),"",IF(H2323=0,"",I2323/H2323-1))</f>
        <v/>
      </c>
      <c r="K2323" t="str">
        <f>IF($B2323="","",IFERROR(IF(G2323=0,-2E+300,CHOOSE(sortIdx,ROUND(D2323,0),IF(J2323="",-1E+300,ROUND(-J2323,6)),IF(J2323="",-1E+300,ROUND(J2323,6)))),-1.5E+300))</f>
        <v/>
      </c>
      <c r="L2323" t="str">
        <f>IF(K2323="","",RANK(K2323,$K$2:$K$3001,0)+COUNTIF($K$2:K2323,K2323)-1)</f>
        <v/>
      </c>
    </row>
    <row r="2324">
      <c r="B2324" t="str">
        <f>IFERROR(IF(A2324="","","="&amp;SUBSTITUTE(SUBSTITUTE(SUBSTITUTE(A2324,"~","~~"),"*","~*"),"?","~?")),"")</f>
        <v/>
      </c>
      <c r="C2324" t="str">
        <f>IF($B2324="","",SUMIFS(dAmt,dCust,$B2324,dPer,"&gt;="&amp;pyFrom,dPer,"&lt;="&amp;pyTo,dAmt,"&gt;-1E+300",dFlt1,critFlt1,dFlt2,critFlt2,dFlt3,critFlt3))</f>
        <v/>
      </c>
      <c r="D2324" t="str">
        <f>IF($B2324="","",SUMIFS(dAmt,dCust,$B2324,dPer,"&gt;="&amp;cyFrom,dPer,"&lt;="&amp;cyTo,dAmt,"&gt;-1E+300",dFlt1,critFlt1,dFlt2,critFlt2,dFlt3,critFlt3))</f>
        <v/>
      </c>
      <c r="E2324" t="str">
        <f>IF($B2324="","",SUMIFS(dQty,dCust,$B2324,dPer,"&gt;="&amp;pyFrom,dPer,"&lt;="&amp;pyTo,dQty,"&gt;-1E+300",dFlt1,critFlt1,dFlt2,critFlt2,dFlt3,critFlt3))</f>
        <v/>
      </c>
      <c r="F2324" t="str">
        <f>IF($B2324="","",SUMIFS(dQty,dCust,$B2324,dPer,"&gt;="&amp;cyFrom,dPer,"&lt;="&amp;cyTo,dQty,"&gt;-1E+300",dFlt1,critFlt1,dFlt2,critFlt2,dFlt3,critFlt3))</f>
        <v/>
      </c>
      <c r="G2324">
        <f>IF($B2324="",0,IFERROR(IF(OR(C2324&lt;&gt;0,D2324&lt;&gt;0,E2324&lt;&gt;0,F2324&lt;&gt;0),1,0),1))</f>
        <v>0</v>
      </c>
      <c r="H2324" t="str">
        <f>IF(OR(G2324=0,E2324=0),"",C2324/E2324)</f>
        <v/>
      </c>
      <c r="I2324" t="str">
        <f>IF(OR(G2324=0,F2324=0),"",D2324/F2324)</f>
        <v/>
      </c>
      <c r="J2324" t="str">
        <f>IF(OR(H2324="",I2324=""),"",IF(H2324=0,"",I2324/H2324-1))</f>
        <v/>
      </c>
      <c r="K2324" t="str">
        <f>IF($B2324="","",IFERROR(IF(G2324=0,-2E+300,CHOOSE(sortIdx,ROUND(D2324,0),IF(J2324="",-1E+300,ROUND(-J2324,6)),IF(J2324="",-1E+300,ROUND(J2324,6)))),-1.5E+300))</f>
        <v/>
      </c>
      <c r="L2324" t="str">
        <f>IF(K2324="","",RANK(K2324,$K$2:$K$3001,0)+COUNTIF($K$2:K2324,K2324)-1)</f>
        <v/>
      </c>
    </row>
    <row r="2325">
      <c r="B2325" t="str">
        <f>IFERROR(IF(A2325="","","="&amp;SUBSTITUTE(SUBSTITUTE(SUBSTITUTE(A2325,"~","~~"),"*","~*"),"?","~?")),"")</f>
        <v/>
      </c>
      <c r="C2325" t="str">
        <f>IF($B2325="","",SUMIFS(dAmt,dCust,$B2325,dPer,"&gt;="&amp;pyFrom,dPer,"&lt;="&amp;pyTo,dAmt,"&gt;-1E+300",dFlt1,critFlt1,dFlt2,critFlt2,dFlt3,critFlt3))</f>
        <v/>
      </c>
      <c r="D2325" t="str">
        <f>IF($B2325="","",SUMIFS(dAmt,dCust,$B2325,dPer,"&gt;="&amp;cyFrom,dPer,"&lt;="&amp;cyTo,dAmt,"&gt;-1E+300",dFlt1,critFlt1,dFlt2,critFlt2,dFlt3,critFlt3))</f>
        <v/>
      </c>
      <c r="E2325" t="str">
        <f>IF($B2325="","",SUMIFS(dQty,dCust,$B2325,dPer,"&gt;="&amp;pyFrom,dPer,"&lt;="&amp;pyTo,dQty,"&gt;-1E+300",dFlt1,critFlt1,dFlt2,critFlt2,dFlt3,critFlt3))</f>
        <v/>
      </c>
      <c r="F2325" t="str">
        <f>IF($B2325="","",SUMIFS(dQty,dCust,$B2325,dPer,"&gt;="&amp;cyFrom,dPer,"&lt;="&amp;cyTo,dQty,"&gt;-1E+300",dFlt1,critFlt1,dFlt2,critFlt2,dFlt3,critFlt3))</f>
        <v/>
      </c>
      <c r="G2325">
        <f>IF($B2325="",0,IFERROR(IF(OR(C2325&lt;&gt;0,D2325&lt;&gt;0,E2325&lt;&gt;0,F2325&lt;&gt;0),1,0),1))</f>
        <v>0</v>
      </c>
      <c r="H2325" t="str">
        <f>IF(OR(G2325=0,E2325=0),"",C2325/E2325)</f>
        <v/>
      </c>
      <c r="I2325" t="str">
        <f>IF(OR(G2325=0,F2325=0),"",D2325/F2325)</f>
        <v/>
      </c>
      <c r="J2325" t="str">
        <f>IF(OR(H2325="",I2325=""),"",IF(H2325=0,"",I2325/H2325-1))</f>
        <v/>
      </c>
      <c r="K2325" t="str">
        <f>IF($B2325="","",IFERROR(IF(G2325=0,-2E+300,CHOOSE(sortIdx,ROUND(D2325,0),IF(J2325="",-1E+300,ROUND(-J2325,6)),IF(J2325="",-1E+300,ROUND(J2325,6)))),-1.5E+300))</f>
        <v/>
      </c>
      <c r="L2325" t="str">
        <f>IF(K2325="","",RANK(K2325,$K$2:$K$3001,0)+COUNTIF($K$2:K2325,K2325)-1)</f>
        <v/>
      </c>
    </row>
    <row r="2326">
      <c r="B2326" t="str">
        <f>IFERROR(IF(A2326="","","="&amp;SUBSTITUTE(SUBSTITUTE(SUBSTITUTE(A2326,"~","~~"),"*","~*"),"?","~?")),"")</f>
        <v/>
      </c>
      <c r="C2326" t="str">
        <f>IF($B2326="","",SUMIFS(dAmt,dCust,$B2326,dPer,"&gt;="&amp;pyFrom,dPer,"&lt;="&amp;pyTo,dAmt,"&gt;-1E+300",dFlt1,critFlt1,dFlt2,critFlt2,dFlt3,critFlt3))</f>
        <v/>
      </c>
      <c r="D2326" t="str">
        <f>IF($B2326="","",SUMIFS(dAmt,dCust,$B2326,dPer,"&gt;="&amp;cyFrom,dPer,"&lt;="&amp;cyTo,dAmt,"&gt;-1E+300",dFlt1,critFlt1,dFlt2,critFlt2,dFlt3,critFlt3))</f>
        <v/>
      </c>
      <c r="E2326" t="str">
        <f>IF($B2326="","",SUMIFS(dQty,dCust,$B2326,dPer,"&gt;="&amp;pyFrom,dPer,"&lt;="&amp;pyTo,dQty,"&gt;-1E+300",dFlt1,critFlt1,dFlt2,critFlt2,dFlt3,critFlt3))</f>
        <v/>
      </c>
      <c r="F2326" t="str">
        <f>IF($B2326="","",SUMIFS(dQty,dCust,$B2326,dPer,"&gt;="&amp;cyFrom,dPer,"&lt;="&amp;cyTo,dQty,"&gt;-1E+300",dFlt1,critFlt1,dFlt2,critFlt2,dFlt3,critFlt3))</f>
        <v/>
      </c>
      <c r="G2326">
        <f>IF($B2326="",0,IFERROR(IF(OR(C2326&lt;&gt;0,D2326&lt;&gt;0,E2326&lt;&gt;0,F2326&lt;&gt;0),1,0),1))</f>
        <v>0</v>
      </c>
      <c r="H2326" t="str">
        <f>IF(OR(G2326=0,E2326=0),"",C2326/E2326)</f>
        <v/>
      </c>
      <c r="I2326" t="str">
        <f>IF(OR(G2326=0,F2326=0),"",D2326/F2326)</f>
        <v/>
      </c>
      <c r="J2326" t="str">
        <f>IF(OR(H2326="",I2326=""),"",IF(H2326=0,"",I2326/H2326-1))</f>
        <v/>
      </c>
      <c r="K2326" t="str">
        <f>IF($B2326="","",IFERROR(IF(G2326=0,-2E+300,CHOOSE(sortIdx,ROUND(D2326,0),IF(J2326="",-1E+300,ROUND(-J2326,6)),IF(J2326="",-1E+300,ROUND(J2326,6)))),-1.5E+300))</f>
        <v/>
      </c>
      <c r="L2326" t="str">
        <f>IF(K2326="","",RANK(K2326,$K$2:$K$3001,0)+COUNTIF($K$2:K2326,K2326)-1)</f>
        <v/>
      </c>
    </row>
    <row r="2327">
      <c r="B2327" t="str">
        <f>IFERROR(IF(A2327="","","="&amp;SUBSTITUTE(SUBSTITUTE(SUBSTITUTE(A2327,"~","~~"),"*","~*"),"?","~?")),"")</f>
        <v/>
      </c>
      <c r="C2327" t="str">
        <f>IF($B2327="","",SUMIFS(dAmt,dCust,$B2327,dPer,"&gt;="&amp;pyFrom,dPer,"&lt;="&amp;pyTo,dAmt,"&gt;-1E+300",dFlt1,critFlt1,dFlt2,critFlt2,dFlt3,critFlt3))</f>
        <v/>
      </c>
      <c r="D2327" t="str">
        <f>IF($B2327="","",SUMIFS(dAmt,dCust,$B2327,dPer,"&gt;="&amp;cyFrom,dPer,"&lt;="&amp;cyTo,dAmt,"&gt;-1E+300",dFlt1,critFlt1,dFlt2,critFlt2,dFlt3,critFlt3))</f>
        <v/>
      </c>
      <c r="E2327" t="str">
        <f>IF($B2327="","",SUMIFS(dQty,dCust,$B2327,dPer,"&gt;="&amp;pyFrom,dPer,"&lt;="&amp;pyTo,dQty,"&gt;-1E+300",dFlt1,critFlt1,dFlt2,critFlt2,dFlt3,critFlt3))</f>
        <v/>
      </c>
      <c r="F2327" t="str">
        <f>IF($B2327="","",SUMIFS(dQty,dCust,$B2327,dPer,"&gt;="&amp;cyFrom,dPer,"&lt;="&amp;cyTo,dQty,"&gt;-1E+300",dFlt1,critFlt1,dFlt2,critFlt2,dFlt3,critFlt3))</f>
        <v/>
      </c>
      <c r="G2327">
        <f>IF($B2327="",0,IFERROR(IF(OR(C2327&lt;&gt;0,D2327&lt;&gt;0,E2327&lt;&gt;0,F2327&lt;&gt;0),1,0),1))</f>
        <v>0</v>
      </c>
      <c r="H2327" t="str">
        <f>IF(OR(G2327=0,E2327=0),"",C2327/E2327)</f>
        <v/>
      </c>
      <c r="I2327" t="str">
        <f>IF(OR(G2327=0,F2327=0),"",D2327/F2327)</f>
        <v/>
      </c>
      <c r="J2327" t="str">
        <f>IF(OR(H2327="",I2327=""),"",IF(H2327=0,"",I2327/H2327-1))</f>
        <v/>
      </c>
      <c r="K2327" t="str">
        <f>IF($B2327="","",IFERROR(IF(G2327=0,-2E+300,CHOOSE(sortIdx,ROUND(D2327,0),IF(J2327="",-1E+300,ROUND(-J2327,6)),IF(J2327="",-1E+300,ROUND(J2327,6)))),-1.5E+300))</f>
        <v/>
      </c>
      <c r="L2327" t="str">
        <f>IF(K2327="","",RANK(K2327,$K$2:$K$3001,0)+COUNTIF($K$2:K2327,K2327)-1)</f>
        <v/>
      </c>
    </row>
    <row r="2328">
      <c r="B2328" t="str">
        <f>IFERROR(IF(A2328="","","="&amp;SUBSTITUTE(SUBSTITUTE(SUBSTITUTE(A2328,"~","~~"),"*","~*"),"?","~?")),"")</f>
        <v/>
      </c>
      <c r="C2328" t="str">
        <f>IF($B2328="","",SUMIFS(dAmt,dCust,$B2328,dPer,"&gt;="&amp;pyFrom,dPer,"&lt;="&amp;pyTo,dAmt,"&gt;-1E+300",dFlt1,critFlt1,dFlt2,critFlt2,dFlt3,critFlt3))</f>
        <v/>
      </c>
      <c r="D2328" t="str">
        <f>IF($B2328="","",SUMIFS(dAmt,dCust,$B2328,dPer,"&gt;="&amp;cyFrom,dPer,"&lt;="&amp;cyTo,dAmt,"&gt;-1E+300",dFlt1,critFlt1,dFlt2,critFlt2,dFlt3,critFlt3))</f>
        <v/>
      </c>
      <c r="E2328" t="str">
        <f>IF($B2328="","",SUMIFS(dQty,dCust,$B2328,dPer,"&gt;="&amp;pyFrom,dPer,"&lt;="&amp;pyTo,dQty,"&gt;-1E+300",dFlt1,critFlt1,dFlt2,critFlt2,dFlt3,critFlt3))</f>
        <v/>
      </c>
      <c r="F2328" t="str">
        <f>IF($B2328="","",SUMIFS(dQty,dCust,$B2328,dPer,"&gt;="&amp;cyFrom,dPer,"&lt;="&amp;cyTo,dQty,"&gt;-1E+300",dFlt1,critFlt1,dFlt2,critFlt2,dFlt3,critFlt3))</f>
        <v/>
      </c>
      <c r="G2328">
        <f>IF($B2328="",0,IFERROR(IF(OR(C2328&lt;&gt;0,D2328&lt;&gt;0,E2328&lt;&gt;0,F2328&lt;&gt;0),1,0),1))</f>
        <v>0</v>
      </c>
      <c r="H2328" t="str">
        <f>IF(OR(G2328=0,E2328=0),"",C2328/E2328)</f>
        <v/>
      </c>
      <c r="I2328" t="str">
        <f>IF(OR(G2328=0,F2328=0),"",D2328/F2328)</f>
        <v/>
      </c>
      <c r="J2328" t="str">
        <f>IF(OR(H2328="",I2328=""),"",IF(H2328=0,"",I2328/H2328-1))</f>
        <v/>
      </c>
      <c r="K2328" t="str">
        <f>IF($B2328="","",IFERROR(IF(G2328=0,-2E+300,CHOOSE(sortIdx,ROUND(D2328,0),IF(J2328="",-1E+300,ROUND(-J2328,6)),IF(J2328="",-1E+300,ROUND(J2328,6)))),-1.5E+300))</f>
        <v/>
      </c>
      <c r="L2328" t="str">
        <f>IF(K2328="","",RANK(K2328,$K$2:$K$3001,0)+COUNTIF($K$2:K2328,K2328)-1)</f>
        <v/>
      </c>
    </row>
    <row r="2329">
      <c r="B2329" t="str">
        <f>IFERROR(IF(A2329="","","="&amp;SUBSTITUTE(SUBSTITUTE(SUBSTITUTE(A2329,"~","~~"),"*","~*"),"?","~?")),"")</f>
        <v/>
      </c>
      <c r="C2329" t="str">
        <f>IF($B2329="","",SUMIFS(dAmt,dCust,$B2329,dPer,"&gt;="&amp;pyFrom,dPer,"&lt;="&amp;pyTo,dAmt,"&gt;-1E+300",dFlt1,critFlt1,dFlt2,critFlt2,dFlt3,critFlt3))</f>
        <v/>
      </c>
      <c r="D2329" t="str">
        <f>IF($B2329="","",SUMIFS(dAmt,dCust,$B2329,dPer,"&gt;="&amp;cyFrom,dPer,"&lt;="&amp;cyTo,dAmt,"&gt;-1E+300",dFlt1,critFlt1,dFlt2,critFlt2,dFlt3,critFlt3))</f>
        <v/>
      </c>
      <c r="E2329" t="str">
        <f>IF($B2329="","",SUMIFS(dQty,dCust,$B2329,dPer,"&gt;="&amp;pyFrom,dPer,"&lt;="&amp;pyTo,dQty,"&gt;-1E+300",dFlt1,critFlt1,dFlt2,critFlt2,dFlt3,critFlt3))</f>
        <v/>
      </c>
      <c r="F2329" t="str">
        <f>IF($B2329="","",SUMIFS(dQty,dCust,$B2329,dPer,"&gt;="&amp;cyFrom,dPer,"&lt;="&amp;cyTo,dQty,"&gt;-1E+300",dFlt1,critFlt1,dFlt2,critFlt2,dFlt3,critFlt3))</f>
        <v/>
      </c>
      <c r="G2329">
        <f>IF($B2329="",0,IFERROR(IF(OR(C2329&lt;&gt;0,D2329&lt;&gt;0,E2329&lt;&gt;0,F2329&lt;&gt;0),1,0),1))</f>
        <v>0</v>
      </c>
      <c r="H2329" t="str">
        <f>IF(OR(G2329=0,E2329=0),"",C2329/E2329)</f>
        <v/>
      </c>
      <c r="I2329" t="str">
        <f>IF(OR(G2329=0,F2329=0),"",D2329/F2329)</f>
        <v/>
      </c>
      <c r="J2329" t="str">
        <f>IF(OR(H2329="",I2329=""),"",IF(H2329=0,"",I2329/H2329-1))</f>
        <v/>
      </c>
      <c r="K2329" t="str">
        <f>IF($B2329="","",IFERROR(IF(G2329=0,-2E+300,CHOOSE(sortIdx,ROUND(D2329,0),IF(J2329="",-1E+300,ROUND(-J2329,6)),IF(J2329="",-1E+300,ROUND(J2329,6)))),-1.5E+300))</f>
        <v/>
      </c>
      <c r="L2329" t="str">
        <f>IF(K2329="","",RANK(K2329,$K$2:$K$3001,0)+COUNTIF($K$2:K2329,K2329)-1)</f>
        <v/>
      </c>
    </row>
    <row r="2330">
      <c r="B2330" t="str">
        <f>IFERROR(IF(A2330="","","="&amp;SUBSTITUTE(SUBSTITUTE(SUBSTITUTE(A2330,"~","~~"),"*","~*"),"?","~?")),"")</f>
        <v/>
      </c>
      <c r="C2330" t="str">
        <f>IF($B2330="","",SUMIFS(dAmt,dCust,$B2330,dPer,"&gt;="&amp;pyFrom,dPer,"&lt;="&amp;pyTo,dAmt,"&gt;-1E+300",dFlt1,critFlt1,dFlt2,critFlt2,dFlt3,critFlt3))</f>
        <v/>
      </c>
      <c r="D2330" t="str">
        <f>IF($B2330="","",SUMIFS(dAmt,dCust,$B2330,dPer,"&gt;="&amp;cyFrom,dPer,"&lt;="&amp;cyTo,dAmt,"&gt;-1E+300",dFlt1,critFlt1,dFlt2,critFlt2,dFlt3,critFlt3))</f>
        <v/>
      </c>
      <c r="E2330" t="str">
        <f>IF($B2330="","",SUMIFS(dQty,dCust,$B2330,dPer,"&gt;="&amp;pyFrom,dPer,"&lt;="&amp;pyTo,dQty,"&gt;-1E+300",dFlt1,critFlt1,dFlt2,critFlt2,dFlt3,critFlt3))</f>
        <v/>
      </c>
      <c r="F2330" t="str">
        <f>IF($B2330="","",SUMIFS(dQty,dCust,$B2330,dPer,"&gt;="&amp;cyFrom,dPer,"&lt;="&amp;cyTo,dQty,"&gt;-1E+300",dFlt1,critFlt1,dFlt2,critFlt2,dFlt3,critFlt3))</f>
        <v/>
      </c>
      <c r="G2330">
        <f>IF($B2330="",0,IFERROR(IF(OR(C2330&lt;&gt;0,D2330&lt;&gt;0,E2330&lt;&gt;0,F2330&lt;&gt;0),1,0),1))</f>
        <v>0</v>
      </c>
      <c r="H2330" t="str">
        <f>IF(OR(G2330=0,E2330=0),"",C2330/E2330)</f>
        <v/>
      </c>
      <c r="I2330" t="str">
        <f>IF(OR(G2330=0,F2330=0),"",D2330/F2330)</f>
        <v/>
      </c>
      <c r="J2330" t="str">
        <f>IF(OR(H2330="",I2330=""),"",IF(H2330=0,"",I2330/H2330-1))</f>
        <v/>
      </c>
      <c r="K2330" t="str">
        <f>IF($B2330="","",IFERROR(IF(G2330=0,-2E+300,CHOOSE(sortIdx,ROUND(D2330,0),IF(J2330="",-1E+300,ROUND(-J2330,6)),IF(J2330="",-1E+300,ROUND(J2330,6)))),-1.5E+300))</f>
        <v/>
      </c>
      <c r="L2330" t="str">
        <f>IF(K2330="","",RANK(K2330,$K$2:$K$3001,0)+COUNTIF($K$2:K2330,K2330)-1)</f>
        <v/>
      </c>
    </row>
    <row r="2331">
      <c r="B2331" t="str">
        <f>IFERROR(IF(A2331="","","="&amp;SUBSTITUTE(SUBSTITUTE(SUBSTITUTE(A2331,"~","~~"),"*","~*"),"?","~?")),"")</f>
        <v/>
      </c>
      <c r="C2331" t="str">
        <f>IF($B2331="","",SUMIFS(dAmt,dCust,$B2331,dPer,"&gt;="&amp;pyFrom,dPer,"&lt;="&amp;pyTo,dAmt,"&gt;-1E+300",dFlt1,critFlt1,dFlt2,critFlt2,dFlt3,critFlt3))</f>
        <v/>
      </c>
      <c r="D2331" t="str">
        <f>IF($B2331="","",SUMIFS(dAmt,dCust,$B2331,dPer,"&gt;="&amp;cyFrom,dPer,"&lt;="&amp;cyTo,dAmt,"&gt;-1E+300",dFlt1,critFlt1,dFlt2,critFlt2,dFlt3,critFlt3))</f>
        <v/>
      </c>
      <c r="E2331" t="str">
        <f>IF($B2331="","",SUMIFS(dQty,dCust,$B2331,dPer,"&gt;="&amp;pyFrom,dPer,"&lt;="&amp;pyTo,dQty,"&gt;-1E+300",dFlt1,critFlt1,dFlt2,critFlt2,dFlt3,critFlt3))</f>
        <v/>
      </c>
      <c r="F2331" t="str">
        <f>IF($B2331="","",SUMIFS(dQty,dCust,$B2331,dPer,"&gt;="&amp;cyFrom,dPer,"&lt;="&amp;cyTo,dQty,"&gt;-1E+300",dFlt1,critFlt1,dFlt2,critFlt2,dFlt3,critFlt3))</f>
        <v/>
      </c>
      <c r="G2331">
        <f>IF($B2331="",0,IFERROR(IF(OR(C2331&lt;&gt;0,D2331&lt;&gt;0,E2331&lt;&gt;0,F2331&lt;&gt;0),1,0),1))</f>
        <v>0</v>
      </c>
      <c r="H2331" t="str">
        <f>IF(OR(G2331=0,E2331=0),"",C2331/E2331)</f>
        <v/>
      </c>
      <c r="I2331" t="str">
        <f>IF(OR(G2331=0,F2331=0),"",D2331/F2331)</f>
        <v/>
      </c>
      <c r="J2331" t="str">
        <f>IF(OR(H2331="",I2331=""),"",IF(H2331=0,"",I2331/H2331-1))</f>
        <v/>
      </c>
      <c r="K2331" t="str">
        <f>IF($B2331="","",IFERROR(IF(G2331=0,-2E+300,CHOOSE(sortIdx,ROUND(D2331,0),IF(J2331="",-1E+300,ROUND(-J2331,6)),IF(J2331="",-1E+300,ROUND(J2331,6)))),-1.5E+300))</f>
        <v/>
      </c>
      <c r="L2331" t="str">
        <f>IF(K2331="","",RANK(K2331,$K$2:$K$3001,0)+COUNTIF($K$2:K2331,K2331)-1)</f>
        <v/>
      </c>
    </row>
    <row r="2332">
      <c r="B2332" t="str">
        <f>IFERROR(IF(A2332="","","="&amp;SUBSTITUTE(SUBSTITUTE(SUBSTITUTE(A2332,"~","~~"),"*","~*"),"?","~?")),"")</f>
        <v/>
      </c>
      <c r="C2332" t="str">
        <f>IF($B2332="","",SUMIFS(dAmt,dCust,$B2332,dPer,"&gt;="&amp;pyFrom,dPer,"&lt;="&amp;pyTo,dAmt,"&gt;-1E+300",dFlt1,critFlt1,dFlt2,critFlt2,dFlt3,critFlt3))</f>
        <v/>
      </c>
      <c r="D2332" t="str">
        <f>IF($B2332="","",SUMIFS(dAmt,dCust,$B2332,dPer,"&gt;="&amp;cyFrom,dPer,"&lt;="&amp;cyTo,dAmt,"&gt;-1E+300",dFlt1,critFlt1,dFlt2,critFlt2,dFlt3,critFlt3))</f>
        <v/>
      </c>
      <c r="E2332" t="str">
        <f>IF($B2332="","",SUMIFS(dQty,dCust,$B2332,dPer,"&gt;="&amp;pyFrom,dPer,"&lt;="&amp;pyTo,dQty,"&gt;-1E+300",dFlt1,critFlt1,dFlt2,critFlt2,dFlt3,critFlt3))</f>
        <v/>
      </c>
      <c r="F2332" t="str">
        <f>IF($B2332="","",SUMIFS(dQty,dCust,$B2332,dPer,"&gt;="&amp;cyFrom,dPer,"&lt;="&amp;cyTo,dQty,"&gt;-1E+300",dFlt1,critFlt1,dFlt2,critFlt2,dFlt3,critFlt3))</f>
        <v/>
      </c>
      <c r="G2332">
        <f>IF($B2332="",0,IFERROR(IF(OR(C2332&lt;&gt;0,D2332&lt;&gt;0,E2332&lt;&gt;0,F2332&lt;&gt;0),1,0),1))</f>
        <v>0</v>
      </c>
      <c r="H2332" t="str">
        <f>IF(OR(G2332=0,E2332=0),"",C2332/E2332)</f>
        <v/>
      </c>
      <c r="I2332" t="str">
        <f>IF(OR(G2332=0,F2332=0),"",D2332/F2332)</f>
        <v/>
      </c>
      <c r="J2332" t="str">
        <f>IF(OR(H2332="",I2332=""),"",IF(H2332=0,"",I2332/H2332-1))</f>
        <v/>
      </c>
      <c r="K2332" t="str">
        <f>IF($B2332="","",IFERROR(IF(G2332=0,-2E+300,CHOOSE(sortIdx,ROUND(D2332,0),IF(J2332="",-1E+300,ROUND(-J2332,6)),IF(J2332="",-1E+300,ROUND(J2332,6)))),-1.5E+300))</f>
        <v/>
      </c>
      <c r="L2332" t="str">
        <f>IF(K2332="","",RANK(K2332,$K$2:$K$3001,0)+COUNTIF($K$2:K2332,K2332)-1)</f>
        <v/>
      </c>
    </row>
    <row r="2333">
      <c r="B2333" t="str">
        <f>IFERROR(IF(A2333="","","="&amp;SUBSTITUTE(SUBSTITUTE(SUBSTITUTE(A2333,"~","~~"),"*","~*"),"?","~?")),"")</f>
        <v/>
      </c>
      <c r="C2333" t="str">
        <f>IF($B2333="","",SUMIFS(dAmt,dCust,$B2333,dPer,"&gt;="&amp;pyFrom,dPer,"&lt;="&amp;pyTo,dAmt,"&gt;-1E+300",dFlt1,critFlt1,dFlt2,critFlt2,dFlt3,critFlt3))</f>
        <v/>
      </c>
      <c r="D2333" t="str">
        <f>IF($B2333="","",SUMIFS(dAmt,dCust,$B2333,dPer,"&gt;="&amp;cyFrom,dPer,"&lt;="&amp;cyTo,dAmt,"&gt;-1E+300",dFlt1,critFlt1,dFlt2,critFlt2,dFlt3,critFlt3))</f>
        <v/>
      </c>
      <c r="E2333" t="str">
        <f>IF($B2333="","",SUMIFS(dQty,dCust,$B2333,dPer,"&gt;="&amp;pyFrom,dPer,"&lt;="&amp;pyTo,dQty,"&gt;-1E+300",dFlt1,critFlt1,dFlt2,critFlt2,dFlt3,critFlt3))</f>
        <v/>
      </c>
      <c r="F2333" t="str">
        <f>IF($B2333="","",SUMIFS(dQty,dCust,$B2333,dPer,"&gt;="&amp;cyFrom,dPer,"&lt;="&amp;cyTo,dQty,"&gt;-1E+300",dFlt1,critFlt1,dFlt2,critFlt2,dFlt3,critFlt3))</f>
        <v/>
      </c>
      <c r="G2333">
        <f>IF($B2333="",0,IFERROR(IF(OR(C2333&lt;&gt;0,D2333&lt;&gt;0,E2333&lt;&gt;0,F2333&lt;&gt;0),1,0),1))</f>
        <v>0</v>
      </c>
      <c r="H2333" t="str">
        <f>IF(OR(G2333=0,E2333=0),"",C2333/E2333)</f>
        <v/>
      </c>
      <c r="I2333" t="str">
        <f>IF(OR(G2333=0,F2333=0),"",D2333/F2333)</f>
        <v/>
      </c>
      <c r="J2333" t="str">
        <f>IF(OR(H2333="",I2333=""),"",IF(H2333=0,"",I2333/H2333-1))</f>
        <v/>
      </c>
      <c r="K2333" t="str">
        <f>IF($B2333="","",IFERROR(IF(G2333=0,-2E+300,CHOOSE(sortIdx,ROUND(D2333,0),IF(J2333="",-1E+300,ROUND(-J2333,6)),IF(J2333="",-1E+300,ROUND(J2333,6)))),-1.5E+300))</f>
        <v/>
      </c>
      <c r="L2333" t="str">
        <f>IF(K2333="","",RANK(K2333,$K$2:$K$3001,0)+COUNTIF($K$2:K2333,K2333)-1)</f>
        <v/>
      </c>
    </row>
    <row r="2334">
      <c r="B2334" t="str">
        <f>IFERROR(IF(A2334="","","="&amp;SUBSTITUTE(SUBSTITUTE(SUBSTITUTE(A2334,"~","~~"),"*","~*"),"?","~?")),"")</f>
        <v/>
      </c>
      <c r="C2334" t="str">
        <f>IF($B2334="","",SUMIFS(dAmt,dCust,$B2334,dPer,"&gt;="&amp;pyFrom,dPer,"&lt;="&amp;pyTo,dAmt,"&gt;-1E+300",dFlt1,critFlt1,dFlt2,critFlt2,dFlt3,critFlt3))</f>
        <v/>
      </c>
      <c r="D2334" t="str">
        <f>IF($B2334="","",SUMIFS(dAmt,dCust,$B2334,dPer,"&gt;="&amp;cyFrom,dPer,"&lt;="&amp;cyTo,dAmt,"&gt;-1E+300",dFlt1,critFlt1,dFlt2,critFlt2,dFlt3,critFlt3))</f>
        <v/>
      </c>
      <c r="E2334" t="str">
        <f>IF($B2334="","",SUMIFS(dQty,dCust,$B2334,dPer,"&gt;="&amp;pyFrom,dPer,"&lt;="&amp;pyTo,dQty,"&gt;-1E+300",dFlt1,critFlt1,dFlt2,critFlt2,dFlt3,critFlt3))</f>
        <v/>
      </c>
      <c r="F2334" t="str">
        <f>IF($B2334="","",SUMIFS(dQty,dCust,$B2334,dPer,"&gt;="&amp;cyFrom,dPer,"&lt;="&amp;cyTo,dQty,"&gt;-1E+300",dFlt1,critFlt1,dFlt2,critFlt2,dFlt3,critFlt3))</f>
        <v/>
      </c>
      <c r="G2334">
        <f>IF($B2334="",0,IFERROR(IF(OR(C2334&lt;&gt;0,D2334&lt;&gt;0,E2334&lt;&gt;0,F2334&lt;&gt;0),1,0),1))</f>
        <v>0</v>
      </c>
      <c r="H2334" t="str">
        <f>IF(OR(G2334=0,E2334=0),"",C2334/E2334)</f>
        <v/>
      </c>
      <c r="I2334" t="str">
        <f>IF(OR(G2334=0,F2334=0),"",D2334/F2334)</f>
        <v/>
      </c>
      <c r="J2334" t="str">
        <f>IF(OR(H2334="",I2334=""),"",IF(H2334=0,"",I2334/H2334-1))</f>
        <v/>
      </c>
      <c r="K2334" t="str">
        <f>IF($B2334="","",IFERROR(IF(G2334=0,-2E+300,CHOOSE(sortIdx,ROUND(D2334,0),IF(J2334="",-1E+300,ROUND(-J2334,6)),IF(J2334="",-1E+300,ROUND(J2334,6)))),-1.5E+300))</f>
        <v/>
      </c>
      <c r="L2334" t="str">
        <f>IF(K2334="","",RANK(K2334,$K$2:$K$3001,0)+COUNTIF($K$2:K2334,K2334)-1)</f>
        <v/>
      </c>
    </row>
    <row r="2335">
      <c r="B2335" t="str">
        <f>IFERROR(IF(A2335="","","="&amp;SUBSTITUTE(SUBSTITUTE(SUBSTITUTE(A2335,"~","~~"),"*","~*"),"?","~?")),"")</f>
        <v/>
      </c>
      <c r="C2335" t="str">
        <f>IF($B2335="","",SUMIFS(dAmt,dCust,$B2335,dPer,"&gt;="&amp;pyFrom,dPer,"&lt;="&amp;pyTo,dAmt,"&gt;-1E+300",dFlt1,critFlt1,dFlt2,critFlt2,dFlt3,critFlt3))</f>
        <v/>
      </c>
      <c r="D2335" t="str">
        <f>IF($B2335="","",SUMIFS(dAmt,dCust,$B2335,dPer,"&gt;="&amp;cyFrom,dPer,"&lt;="&amp;cyTo,dAmt,"&gt;-1E+300",dFlt1,critFlt1,dFlt2,critFlt2,dFlt3,critFlt3))</f>
        <v/>
      </c>
      <c r="E2335" t="str">
        <f>IF($B2335="","",SUMIFS(dQty,dCust,$B2335,dPer,"&gt;="&amp;pyFrom,dPer,"&lt;="&amp;pyTo,dQty,"&gt;-1E+300",dFlt1,critFlt1,dFlt2,critFlt2,dFlt3,critFlt3))</f>
        <v/>
      </c>
      <c r="F2335" t="str">
        <f>IF($B2335="","",SUMIFS(dQty,dCust,$B2335,dPer,"&gt;="&amp;cyFrom,dPer,"&lt;="&amp;cyTo,dQty,"&gt;-1E+300",dFlt1,critFlt1,dFlt2,critFlt2,dFlt3,critFlt3))</f>
        <v/>
      </c>
      <c r="G2335">
        <f>IF($B2335="",0,IFERROR(IF(OR(C2335&lt;&gt;0,D2335&lt;&gt;0,E2335&lt;&gt;0,F2335&lt;&gt;0),1,0),1))</f>
        <v>0</v>
      </c>
      <c r="H2335" t="str">
        <f>IF(OR(G2335=0,E2335=0),"",C2335/E2335)</f>
        <v/>
      </c>
      <c r="I2335" t="str">
        <f>IF(OR(G2335=0,F2335=0),"",D2335/F2335)</f>
        <v/>
      </c>
      <c r="J2335" t="str">
        <f>IF(OR(H2335="",I2335=""),"",IF(H2335=0,"",I2335/H2335-1))</f>
        <v/>
      </c>
      <c r="K2335" t="str">
        <f>IF($B2335="","",IFERROR(IF(G2335=0,-2E+300,CHOOSE(sortIdx,ROUND(D2335,0),IF(J2335="",-1E+300,ROUND(-J2335,6)),IF(J2335="",-1E+300,ROUND(J2335,6)))),-1.5E+300))</f>
        <v/>
      </c>
      <c r="L2335" t="str">
        <f>IF(K2335="","",RANK(K2335,$K$2:$K$3001,0)+COUNTIF($K$2:K2335,K2335)-1)</f>
        <v/>
      </c>
    </row>
    <row r="2336">
      <c r="B2336" t="str">
        <f>IFERROR(IF(A2336="","","="&amp;SUBSTITUTE(SUBSTITUTE(SUBSTITUTE(A2336,"~","~~"),"*","~*"),"?","~?")),"")</f>
        <v/>
      </c>
      <c r="C2336" t="str">
        <f>IF($B2336="","",SUMIFS(dAmt,dCust,$B2336,dPer,"&gt;="&amp;pyFrom,dPer,"&lt;="&amp;pyTo,dAmt,"&gt;-1E+300",dFlt1,critFlt1,dFlt2,critFlt2,dFlt3,critFlt3))</f>
        <v/>
      </c>
      <c r="D2336" t="str">
        <f>IF($B2336="","",SUMIFS(dAmt,dCust,$B2336,dPer,"&gt;="&amp;cyFrom,dPer,"&lt;="&amp;cyTo,dAmt,"&gt;-1E+300",dFlt1,critFlt1,dFlt2,critFlt2,dFlt3,critFlt3))</f>
        <v/>
      </c>
      <c r="E2336" t="str">
        <f>IF($B2336="","",SUMIFS(dQty,dCust,$B2336,dPer,"&gt;="&amp;pyFrom,dPer,"&lt;="&amp;pyTo,dQty,"&gt;-1E+300",dFlt1,critFlt1,dFlt2,critFlt2,dFlt3,critFlt3))</f>
        <v/>
      </c>
      <c r="F2336" t="str">
        <f>IF($B2336="","",SUMIFS(dQty,dCust,$B2336,dPer,"&gt;="&amp;cyFrom,dPer,"&lt;="&amp;cyTo,dQty,"&gt;-1E+300",dFlt1,critFlt1,dFlt2,critFlt2,dFlt3,critFlt3))</f>
        <v/>
      </c>
      <c r="G2336">
        <f>IF($B2336="",0,IFERROR(IF(OR(C2336&lt;&gt;0,D2336&lt;&gt;0,E2336&lt;&gt;0,F2336&lt;&gt;0),1,0),1))</f>
        <v>0</v>
      </c>
      <c r="H2336" t="str">
        <f>IF(OR(G2336=0,E2336=0),"",C2336/E2336)</f>
        <v/>
      </c>
      <c r="I2336" t="str">
        <f>IF(OR(G2336=0,F2336=0),"",D2336/F2336)</f>
        <v/>
      </c>
      <c r="J2336" t="str">
        <f>IF(OR(H2336="",I2336=""),"",IF(H2336=0,"",I2336/H2336-1))</f>
        <v/>
      </c>
      <c r="K2336" t="str">
        <f>IF($B2336="","",IFERROR(IF(G2336=0,-2E+300,CHOOSE(sortIdx,ROUND(D2336,0),IF(J2336="",-1E+300,ROUND(-J2336,6)),IF(J2336="",-1E+300,ROUND(J2336,6)))),-1.5E+300))</f>
        <v/>
      </c>
      <c r="L2336" t="str">
        <f>IF(K2336="","",RANK(K2336,$K$2:$K$3001,0)+COUNTIF($K$2:K2336,K2336)-1)</f>
        <v/>
      </c>
    </row>
    <row r="2337">
      <c r="B2337" t="str">
        <f>IFERROR(IF(A2337="","","="&amp;SUBSTITUTE(SUBSTITUTE(SUBSTITUTE(A2337,"~","~~"),"*","~*"),"?","~?")),"")</f>
        <v/>
      </c>
      <c r="C2337" t="str">
        <f>IF($B2337="","",SUMIFS(dAmt,dCust,$B2337,dPer,"&gt;="&amp;pyFrom,dPer,"&lt;="&amp;pyTo,dAmt,"&gt;-1E+300",dFlt1,critFlt1,dFlt2,critFlt2,dFlt3,critFlt3))</f>
        <v/>
      </c>
      <c r="D2337" t="str">
        <f>IF($B2337="","",SUMIFS(dAmt,dCust,$B2337,dPer,"&gt;="&amp;cyFrom,dPer,"&lt;="&amp;cyTo,dAmt,"&gt;-1E+300",dFlt1,critFlt1,dFlt2,critFlt2,dFlt3,critFlt3))</f>
        <v/>
      </c>
      <c r="E2337" t="str">
        <f>IF($B2337="","",SUMIFS(dQty,dCust,$B2337,dPer,"&gt;="&amp;pyFrom,dPer,"&lt;="&amp;pyTo,dQty,"&gt;-1E+300",dFlt1,critFlt1,dFlt2,critFlt2,dFlt3,critFlt3))</f>
        <v/>
      </c>
      <c r="F2337" t="str">
        <f>IF($B2337="","",SUMIFS(dQty,dCust,$B2337,dPer,"&gt;="&amp;cyFrom,dPer,"&lt;="&amp;cyTo,dQty,"&gt;-1E+300",dFlt1,critFlt1,dFlt2,critFlt2,dFlt3,critFlt3))</f>
        <v/>
      </c>
      <c r="G2337">
        <f>IF($B2337="",0,IFERROR(IF(OR(C2337&lt;&gt;0,D2337&lt;&gt;0,E2337&lt;&gt;0,F2337&lt;&gt;0),1,0),1))</f>
        <v>0</v>
      </c>
      <c r="H2337" t="str">
        <f>IF(OR(G2337=0,E2337=0),"",C2337/E2337)</f>
        <v/>
      </c>
      <c r="I2337" t="str">
        <f>IF(OR(G2337=0,F2337=0),"",D2337/F2337)</f>
        <v/>
      </c>
      <c r="J2337" t="str">
        <f>IF(OR(H2337="",I2337=""),"",IF(H2337=0,"",I2337/H2337-1))</f>
        <v/>
      </c>
      <c r="K2337" t="str">
        <f>IF($B2337="","",IFERROR(IF(G2337=0,-2E+300,CHOOSE(sortIdx,ROUND(D2337,0),IF(J2337="",-1E+300,ROUND(-J2337,6)),IF(J2337="",-1E+300,ROUND(J2337,6)))),-1.5E+300))</f>
        <v/>
      </c>
      <c r="L2337" t="str">
        <f>IF(K2337="","",RANK(K2337,$K$2:$K$3001,0)+COUNTIF($K$2:K2337,K2337)-1)</f>
        <v/>
      </c>
    </row>
    <row r="2338">
      <c r="B2338" t="str">
        <f>IFERROR(IF(A2338="","","="&amp;SUBSTITUTE(SUBSTITUTE(SUBSTITUTE(A2338,"~","~~"),"*","~*"),"?","~?")),"")</f>
        <v/>
      </c>
      <c r="C2338" t="str">
        <f>IF($B2338="","",SUMIFS(dAmt,dCust,$B2338,dPer,"&gt;="&amp;pyFrom,dPer,"&lt;="&amp;pyTo,dAmt,"&gt;-1E+300",dFlt1,critFlt1,dFlt2,critFlt2,dFlt3,critFlt3))</f>
        <v/>
      </c>
      <c r="D2338" t="str">
        <f>IF($B2338="","",SUMIFS(dAmt,dCust,$B2338,dPer,"&gt;="&amp;cyFrom,dPer,"&lt;="&amp;cyTo,dAmt,"&gt;-1E+300",dFlt1,critFlt1,dFlt2,critFlt2,dFlt3,critFlt3))</f>
        <v/>
      </c>
      <c r="E2338" t="str">
        <f>IF($B2338="","",SUMIFS(dQty,dCust,$B2338,dPer,"&gt;="&amp;pyFrom,dPer,"&lt;="&amp;pyTo,dQty,"&gt;-1E+300",dFlt1,critFlt1,dFlt2,critFlt2,dFlt3,critFlt3))</f>
        <v/>
      </c>
      <c r="F2338" t="str">
        <f>IF($B2338="","",SUMIFS(dQty,dCust,$B2338,dPer,"&gt;="&amp;cyFrom,dPer,"&lt;="&amp;cyTo,dQty,"&gt;-1E+300",dFlt1,critFlt1,dFlt2,critFlt2,dFlt3,critFlt3))</f>
        <v/>
      </c>
      <c r="G2338">
        <f>IF($B2338="",0,IFERROR(IF(OR(C2338&lt;&gt;0,D2338&lt;&gt;0,E2338&lt;&gt;0,F2338&lt;&gt;0),1,0),1))</f>
        <v>0</v>
      </c>
      <c r="H2338" t="str">
        <f>IF(OR(G2338=0,E2338=0),"",C2338/E2338)</f>
        <v/>
      </c>
      <c r="I2338" t="str">
        <f>IF(OR(G2338=0,F2338=0),"",D2338/F2338)</f>
        <v/>
      </c>
      <c r="J2338" t="str">
        <f>IF(OR(H2338="",I2338=""),"",IF(H2338=0,"",I2338/H2338-1))</f>
        <v/>
      </c>
      <c r="K2338" t="str">
        <f>IF($B2338="","",IFERROR(IF(G2338=0,-2E+300,CHOOSE(sortIdx,ROUND(D2338,0),IF(J2338="",-1E+300,ROUND(-J2338,6)),IF(J2338="",-1E+300,ROUND(J2338,6)))),-1.5E+300))</f>
        <v/>
      </c>
      <c r="L2338" t="str">
        <f>IF(K2338="","",RANK(K2338,$K$2:$K$3001,0)+COUNTIF($K$2:K2338,K2338)-1)</f>
        <v/>
      </c>
    </row>
    <row r="2339">
      <c r="B2339" t="str">
        <f>IFERROR(IF(A2339="","","="&amp;SUBSTITUTE(SUBSTITUTE(SUBSTITUTE(A2339,"~","~~"),"*","~*"),"?","~?")),"")</f>
        <v/>
      </c>
      <c r="C2339" t="str">
        <f>IF($B2339="","",SUMIFS(dAmt,dCust,$B2339,dPer,"&gt;="&amp;pyFrom,dPer,"&lt;="&amp;pyTo,dAmt,"&gt;-1E+300",dFlt1,critFlt1,dFlt2,critFlt2,dFlt3,critFlt3))</f>
        <v/>
      </c>
      <c r="D2339" t="str">
        <f>IF($B2339="","",SUMIFS(dAmt,dCust,$B2339,dPer,"&gt;="&amp;cyFrom,dPer,"&lt;="&amp;cyTo,dAmt,"&gt;-1E+300",dFlt1,critFlt1,dFlt2,critFlt2,dFlt3,critFlt3))</f>
        <v/>
      </c>
      <c r="E2339" t="str">
        <f>IF($B2339="","",SUMIFS(dQty,dCust,$B2339,dPer,"&gt;="&amp;pyFrom,dPer,"&lt;="&amp;pyTo,dQty,"&gt;-1E+300",dFlt1,critFlt1,dFlt2,critFlt2,dFlt3,critFlt3))</f>
        <v/>
      </c>
      <c r="F2339" t="str">
        <f>IF($B2339="","",SUMIFS(dQty,dCust,$B2339,dPer,"&gt;="&amp;cyFrom,dPer,"&lt;="&amp;cyTo,dQty,"&gt;-1E+300",dFlt1,critFlt1,dFlt2,critFlt2,dFlt3,critFlt3))</f>
        <v/>
      </c>
      <c r="G2339">
        <f>IF($B2339="",0,IFERROR(IF(OR(C2339&lt;&gt;0,D2339&lt;&gt;0,E2339&lt;&gt;0,F2339&lt;&gt;0),1,0),1))</f>
        <v>0</v>
      </c>
      <c r="H2339" t="str">
        <f>IF(OR(G2339=0,E2339=0),"",C2339/E2339)</f>
        <v/>
      </c>
      <c r="I2339" t="str">
        <f>IF(OR(G2339=0,F2339=0),"",D2339/F2339)</f>
        <v/>
      </c>
      <c r="J2339" t="str">
        <f>IF(OR(H2339="",I2339=""),"",IF(H2339=0,"",I2339/H2339-1))</f>
        <v/>
      </c>
      <c r="K2339" t="str">
        <f>IF($B2339="","",IFERROR(IF(G2339=0,-2E+300,CHOOSE(sortIdx,ROUND(D2339,0),IF(J2339="",-1E+300,ROUND(-J2339,6)),IF(J2339="",-1E+300,ROUND(J2339,6)))),-1.5E+300))</f>
        <v/>
      </c>
      <c r="L2339" t="str">
        <f>IF(K2339="","",RANK(K2339,$K$2:$K$3001,0)+COUNTIF($K$2:K2339,K2339)-1)</f>
        <v/>
      </c>
    </row>
    <row r="2340">
      <c r="B2340" t="str">
        <f>IFERROR(IF(A2340="","","="&amp;SUBSTITUTE(SUBSTITUTE(SUBSTITUTE(A2340,"~","~~"),"*","~*"),"?","~?")),"")</f>
        <v/>
      </c>
      <c r="C2340" t="str">
        <f>IF($B2340="","",SUMIFS(dAmt,dCust,$B2340,dPer,"&gt;="&amp;pyFrom,dPer,"&lt;="&amp;pyTo,dAmt,"&gt;-1E+300",dFlt1,critFlt1,dFlt2,critFlt2,dFlt3,critFlt3))</f>
        <v/>
      </c>
      <c r="D2340" t="str">
        <f>IF($B2340="","",SUMIFS(dAmt,dCust,$B2340,dPer,"&gt;="&amp;cyFrom,dPer,"&lt;="&amp;cyTo,dAmt,"&gt;-1E+300",dFlt1,critFlt1,dFlt2,critFlt2,dFlt3,critFlt3))</f>
        <v/>
      </c>
      <c r="E2340" t="str">
        <f>IF($B2340="","",SUMIFS(dQty,dCust,$B2340,dPer,"&gt;="&amp;pyFrom,dPer,"&lt;="&amp;pyTo,dQty,"&gt;-1E+300",dFlt1,critFlt1,dFlt2,critFlt2,dFlt3,critFlt3))</f>
        <v/>
      </c>
      <c r="F2340" t="str">
        <f>IF($B2340="","",SUMIFS(dQty,dCust,$B2340,dPer,"&gt;="&amp;cyFrom,dPer,"&lt;="&amp;cyTo,dQty,"&gt;-1E+300",dFlt1,critFlt1,dFlt2,critFlt2,dFlt3,critFlt3))</f>
        <v/>
      </c>
      <c r="G2340">
        <f>IF($B2340="",0,IFERROR(IF(OR(C2340&lt;&gt;0,D2340&lt;&gt;0,E2340&lt;&gt;0,F2340&lt;&gt;0),1,0),1))</f>
        <v>0</v>
      </c>
      <c r="H2340" t="str">
        <f>IF(OR(G2340=0,E2340=0),"",C2340/E2340)</f>
        <v/>
      </c>
      <c r="I2340" t="str">
        <f>IF(OR(G2340=0,F2340=0),"",D2340/F2340)</f>
        <v/>
      </c>
      <c r="J2340" t="str">
        <f>IF(OR(H2340="",I2340=""),"",IF(H2340=0,"",I2340/H2340-1))</f>
        <v/>
      </c>
      <c r="K2340" t="str">
        <f>IF($B2340="","",IFERROR(IF(G2340=0,-2E+300,CHOOSE(sortIdx,ROUND(D2340,0),IF(J2340="",-1E+300,ROUND(-J2340,6)),IF(J2340="",-1E+300,ROUND(J2340,6)))),-1.5E+300))</f>
        <v/>
      </c>
      <c r="L2340" t="str">
        <f>IF(K2340="","",RANK(K2340,$K$2:$K$3001,0)+COUNTIF($K$2:K2340,K2340)-1)</f>
        <v/>
      </c>
    </row>
    <row r="2341">
      <c r="B2341" t="str">
        <f>IFERROR(IF(A2341="","","="&amp;SUBSTITUTE(SUBSTITUTE(SUBSTITUTE(A2341,"~","~~"),"*","~*"),"?","~?")),"")</f>
        <v/>
      </c>
      <c r="C2341" t="str">
        <f>IF($B2341="","",SUMIFS(dAmt,dCust,$B2341,dPer,"&gt;="&amp;pyFrom,dPer,"&lt;="&amp;pyTo,dAmt,"&gt;-1E+300",dFlt1,critFlt1,dFlt2,critFlt2,dFlt3,critFlt3))</f>
        <v/>
      </c>
      <c r="D2341" t="str">
        <f>IF($B2341="","",SUMIFS(dAmt,dCust,$B2341,dPer,"&gt;="&amp;cyFrom,dPer,"&lt;="&amp;cyTo,dAmt,"&gt;-1E+300",dFlt1,critFlt1,dFlt2,critFlt2,dFlt3,critFlt3))</f>
        <v/>
      </c>
      <c r="E2341" t="str">
        <f>IF($B2341="","",SUMIFS(dQty,dCust,$B2341,dPer,"&gt;="&amp;pyFrom,dPer,"&lt;="&amp;pyTo,dQty,"&gt;-1E+300",dFlt1,critFlt1,dFlt2,critFlt2,dFlt3,critFlt3))</f>
        <v/>
      </c>
      <c r="F2341" t="str">
        <f>IF($B2341="","",SUMIFS(dQty,dCust,$B2341,dPer,"&gt;="&amp;cyFrom,dPer,"&lt;="&amp;cyTo,dQty,"&gt;-1E+300",dFlt1,critFlt1,dFlt2,critFlt2,dFlt3,critFlt3))</f>
        <v/>
      </c>
      <c r="G2341">
        <f>IF($B2341="",0,IFERROR(IF(OR(C2341&lt;&gt;0,D2341&lt;&gt;0,E2341&lt;&gt;0,F2341&lt;&gt;0),1,0),1))</f>
        <v>0</v>
      </c>
      <c r="H2341" t="str">
        <f>IF(OR(G2341=0,E2341=0),"",C2341/E2341)</f>
        <v/>
      </c>
      <c r="I2341" t="str">
        <f>IF(OR(G2341=0,F2341=0),"",D2341/F2341)</f>
        <v/>
      </c>
      <c r="J2341" t="str">
        <f>IF(OR(H2341="",I2341=""),"",IF(H2341=0,"",I2341/H2341-1))</f>
        <v/>
      </c>
      <c r="K2341" t="str">
        <f>IF($B2341="","",IFERROR(IF(G2341=0,-2E+300,CHOOSE(sortIdx,ROUND(D2341,0),IF(J2341="",-1E+300,ROUND(-J2341,6)),IF(J2341="",-1E+300,ROUND(J2341,6)))),-1.5E+300))</f>
        <v/>
      </c>
      <c r="L2341" t="str">
        <f>IF(K2341="","",RANK(K2341,$K$2:$K$3001,0)+COUNTIF($K$2:K2341,K2341)-1)</f>
        <v/>
      </c>
    </row>
    <row r="2342">
      <c r="B2342" t="str">
        <f>IFERROR(IF(A2342="","","="&amp;SUBSTITUTE(SUBSTITUTE(SUBSTITUTE(A2342,"~","~~"),"*","~*"),"?","~?")),"")</f>
        <v/>
      </c>
      <c r="C2342" t="str">
        <f>IF($B2342="","",SUMIFS(dAmt,dCust,$B2342,dPer,"&gt;="&amp;pyFrom,dPer,"&lt;="&amp;pyTo,dAmt,"&gt;-1E+300",dFlt1,critFlt1,dFlt2,critFlt2,dFlt3,critFlt3))</f>
        <v/>
      </c>
      <c r="D2342" t="str">
        <f>IF($B2342="","",SUMIFS(dAmt,dCust,$B2342,dPer,"&gt;="&amp;cyFrom,dPer,"&lt;="&amp;cyTo,dAmt,"&gt;-1E+300",dFlt1,critFlt1,dFlt2,critFlt2,dFlt3,critFlt3))</f>
        <v/>
      </c>
      <c r="E2342" t="str">
        <f>IF($B2342="","",SUMIFS(dQty,dCust,$B2342,dPer,"&gt;="&amp;pyFrom,dPer,"&lt;="&amp;pyTo,dQty,"&gt;-1E+300",dFlt1,critFlt1,dFlt2,critFlt2,dFlt3,critFlt3))</f>
        <v/>
      </c>
      <c r="F2342" t="str">
        <f>IF($B2342="","",SUMIFS(dQty,dCust,$B2342,dPer,"&gt;="&amp;cyFrom,dPer,"&lt;="&amp;cyTo,dQty,"&gt;-1E+300",dFlt1,critFlt1,dFlt2,critFlt2,dFlt3,critFlt3))</f>
        <v/>
      </c>
      <c r="G2342">
        <f>IF($B2342="",0,IFERROR(IF(OR(C2342&lt;&gt;0,D2342&lt;&gt;0,E2342&lt;&gt;0,F2342&lt;&gt;0),1,0),1))</f>
        <v>0</v>
      </c>
      <c r="H2342" t="str">
        <f>IF(OR(G2342=0,E2342=0),"",C2342/E2342)</f>
        <v/>
      </c>
      <c r="I2342" t="str">
        <f>IF(OR(G2342=0,F2342=0),"",D2342/F2342)</f>
        <v/>
      </c>
      <c r="J2342" t="str">
        <f>IF(OR(H2342="",I2342=""),"",IF(H2342=0,"",I2342/H2342-1))</f>
        <v/>
      </c>
      <c r="K2342" t="str">
        <f>IF($B2342="","",IFERROR(IF(G2342=0,-2E+300,CHOOSE(sortIdx,ROUND(D2342,0),IF(J2342="",-1E+300,ROUND(-J2342,6)),IF(J2342="",-1E+300,ROUND(J2342,6)))),-1.5E+300))</f>
        <v/>
      </c>
      <c r="L2342" t="str">
        <f>IF(K2342="","",RANK(K2342,$K$2:$K$3001,0)+COUNTIF($K$2:K2342,K2342)-1)</f>
        <v/>
      </c>
    </row>
    <row r="2343">
      <c r="B2343" t="str">
        <f>IFERROR(IF(A2343="","","="&amp;SUBSTITUTE(SUBSTITUTE(SUBSTITUTE(A2343,"~","~~"),"*","~*"),"?","~?")),"")</f>
        <v/>
      </c>
      <c r="C2343" t="str">
        <f>IF($B2343="","",SUMIFS(dAmt,dCust,$B2343,dPer,"&gt;="&amp;pyFrom,dPer,"&lt;="&amp;pyTo,dAmt,"&gt;-1E+300",dFlt1,critFlt1,dFlt2,critFlt2,dFlt3,critFlt3))</f>
        <v/>
      </c>
      <c r="D2343" t="str">
        <f>IF($B2343="","",SUMIFS(dAmt,dCust,$B2343,dPer,"&gt;="&amp;cyFrom,dPer,"&lt;="&amp;cyTo,dAmt,"&gt;-1E+300",dFlt1,critFlt1,dFlt2,critFlt2,dFlt3,critFlt3))</f>
        <v/>
      </c>
      <c r="E2343" t="str">
        <f>IF($B2343="","",SUMIFS(dQty,dCust,$B2343,dPer,"&gt;="&amp;pyFrom,dPer,"&lt;="&amp;pyTo,dQty,"&gt;-1E+300",dFlt1,critFlt1,dFlt2,critFlt2,dFlt3,critFlt3))</f>
        <v/>
      </c>
      <c r="F2343" t="str">
        <f>IF($B2343="","",SUMIFS(dQty,dCust,$B2343,dPer,"&gt;="&amp;cyFrom,dPer,"&lt;="&amp;cyTo,dQty,"&gt;-1E+300",dFlt1,critFlt1,dFlt2,critFlt2,dFlt3,critFlt3))</f>
        <v/>
      </c>
      <c r="G2343">
        <f>IF($B2343="",0,IFERROR(IF(OR(C2343&lt;&gt;0,D2343&lt;&gt;0,E2343&lt;&gt;0,F2343&lt;&gt;0),1,0),1))</f>
        <v>0</v>
      </c>
      <c r="H2343" t="str">
        <f>IF(OR(G2343=0,E2343=0),"",C2343/E2343)</f>
        <v/>
      </c>
      <c r="I2343" t="str">
        <f>IF(OR(G2343=0,F2343=0),"",D2343/F2343)</f>
        <v/>
      </c>
      <c r="J2343" t="str">
        <f>IF(OR(H2343="",I2343=""),"",IF(H2343=0,"",I2343/H2343-1))</f>
        <v/>
      </c>
      <c r="K2343" t="str">
        <f>IF($B2343="","",IFERROR(IF(G2343=0,-2E+300,CHOOSE(sortIdx,ROUND(D2343,0),IF(J2343="",-1E+300,ROUND(-J2343,6)),IF(J2343="",-1E+300,ROUND(J2343,6)))),-1.5E+300))</f>
        <v/>
      </c>
      <c r="L2343" t="str">
        <f>IF(K2343="","",RANK(K2343,$K$2:$K$3001,0)+COUNTIF($K$2:K2343,K2343)-1)</f>
        <v/>
      </c>
    </row>
    <row r="2344">
      <c r="B2344" t="str">
        <f>IFERROR(IF(A2344="","","="&amp;SUBSTITUTE(SUBSTITUTE(SUBSTITUTE(A2344,"~","~~"),"*","~*"),"?","~?")),"")</f>
        <v/>
      </c>
      <c r="C2344" t="str">
        <f>IF($B2344="","",SUMIFS(dAmt,dCust,$B2344,dPer,"&gt;="&amp;pyFrom,dPer,"&lt;="&amp;pyTo,dAmt,"&gt;-1E+300",dFlt1,critFlt1,dFlt2,critFlt2,dFlt3,critFlt3))</f>
        <v/>
      </c>
      <c r="D2344" t="str">
        <f>IF($B2344="","",SUMIFS(dAmt,dCust,$B2344,dPer,"&gt;="&amp;cyFrom,dPer,"&lt;="&amp;cyTo,dAmt,"&gt;-1E+300",dFlt1,critFlt1,dFlt2,critFlt2,dFlt3,critFlt3))</f>
        <v/>
      </c>
      <c r="E2344" t="str">
        <f>IF($B2344="","",SUMIFS(dQty,dCust,$B2344,dPer,"&gt;="&amp;pyFrom,dPer,"&lt;="&amp;pyTo,dQty,"&gt;-1E+300",dFlt1,critFlt1,dFlt2,critFlt2,dFlt3,critFlt3))</f>
        <v/>
      </c>
      <c r="F2344" t="str">
        <f>IF($B2344="","",SUMIFS(dQty,dCust,$B2344,dPer,"&gt;="&amp;cyFrom,dPer,"&lt;="&amp;cyTo,dQty,"&gt;-1E+300",dFlt1,critFlt1,dFlt2,critFlt2,dFlt3,critFlt3))</f>
        <v/>
      </c>
      <c r="G2344">
        <f>IF($B2344="",0,IFERROR(IF(OR(C2344&lt;&gt;0,D2344&lt;&gt;0,E2344&lt;&gt;0,F2344&lt;&gt;0),1,0),1))</f>
        <v>0</v>
      </c>
      <c r="H2344" t="str">
        <f>IF(OR(G2344=0,E2344=0),"",C2344/E2344)</f>
        <v/>
      </c>
      <c r="I2344" t="str">
        <f>IF(OR(G2344=0,F2344=0),"",D2344/F2344)</f>
        <v/>
      </c>
      <c r="J2344" t="str">
        <f>IF(OR(H2344="",I2344=""),"",IF(H2344=0,"",I2344/H2344-1))</f>
        <v/>
      </c>
      <c r="K2344" t="str">
        <f>IF($B2344="","",IFERROR(IF(G2344=0,-2E+300,CHOOSE(sortIdx,ROUND(D2344,0),IF(J2344="",-1E+300,ROUND(-J2344,6)),IF(J2344="",-1E+300,ROUND(J2344,6)))),-1.5E+300))</f>
        <v/>
      </c>
      <c r="L2344" t="str">
        <f>IF(K2344="","",RANK(K2344,$K$2:$K$3001,0)+COUNTIF($K$2:K2344,K2344)-1)</f>
        <v/>
      </c>
    </row>
    <row r="2345">
      <c r="B2345" t="str">
        <f>IFERROR(IF(A2345="","","="&amp;SUBSTITUTE(SUBSTITUTE(SUBSTITUTE(A2345,"~","~~"),"*","~*"),"?","~?")),"")</f>
        <v/>
      </c>
      <c r="C2345" t="str">
        <f>IF($B2345="","",SUMIFS(dAmt,dCust,$B2345,dPer,"&gt;="&amp;pyFrom,dPer,"&lt;="&amp;pyTo,dAmt,"&gt;-1E+300",dFlt1,critFlt1,dFlt2,critFlt2,dFlt3,critFlt3))</f>
        <v/>
      </c>
      <c r="D2345" t="str">
        <f>IF($B2345="","",SUMIFS(dAmt,dCust,$B2345,dPer,"&gt;="&amp;cyFrom,dPer,"&lt;="&amp;cyTo,dAmt,"&gt;-1E+300",dFlt1,critFlt1,dFlt2,critFlt2,dFlt3,critFlt3))</f>
        <v/>
      </c>
      <c r="E2345" t="str">
        <f>IF($B2345="","",SUMIFS(dQty,dCust,$B2345,dPer,"&gt;="&amp;pyFrom,dPer,"&lt;="&amp;pyTo,dQty,"&gt;-1E+300",dFlt1,critFlt1,dFlt2,critFlt2,dFlt3,critFlt3))</f>
        <v/>
      </c>
      <c r="F2345" t="str">
        <f>IF($B2345="","",SUMIFS(dQty,dCust,$B2345,dPer,"&gt;="&amp;cyFrom,dPer,"&lt;="&amp;cyTo,dQty,"&gt;-1E+300",dFlt1,critFlt1,dFlt2,critFlt2,dFlt3,critFlt3))</f>
        <v/>
      </c>
      <c r="G2345">
        <f>IF($B2345="",0,IFERROR(IF(OR(C2345&lt;&gt;0,D2345&lt;&gt;0,E2345&lt;&gt;0,F2345&lt;&gt;0),1,0),1))</f>
        <v>0</v>
      </c>
      <c r="H2345" t="str">
        <f>IF(OR(G2345=0,E2345=0),"",C2345/E2345)</f>
        <v/>
      </c>
      <c r="I2345" t="str">
        <f>IF(OR(G2345=0,F2345=0),"",D2345/F2345)</f>
        <v/>
      </c>
      <c r="J2345" t="str">
        <f>IF(OR(H2345="",I2345=""),"",IF(H2345=0,"",I2345/H2345-1))</f>
        <v/>
      </c>
      <c r="K2345" t="str">
        <f>IF($B2345="","",IFERROR(IF(G2345=0,-2E+300,CHOOSE(sortIdx,ROUND(D2345,0),IF(J2345="",-1E+300,ROUND(-J2345,6)),IF(J2345="",-1E+300,ROUND(J2345,6)))),-1.5E+300))</f>
        <v/>
      </c>
      <c r="L2345" t="str">
        <f>IF(K2345="","",RANK(K2345,$K$2:$K$3001,0)+COUNTIF($K$2:K2345,K2345)-1)</f>
        <v/>
      </c>
    </row>
    <row r="2346">
      <c r="B2346" t="str">
        <f>IFERROR(IF(A2346="","","="&amp;SUBSTITUTE(SUBSTITUTE(SUBSTITUTE(A2346,"~","~~"),"*","~*"),"?","~?")),"")</f>
        <v/>
      </c>
      <c r="C2346" t="str">
        <f>IF($B2346="","",SUMIFS(dAmt,dCust,$B2346,dPer,"&gt;="&amp;pyFrom,dPer,"&lt;="&amp;pyTo,dAmt,"&gt;-1E+300",dFlt1,critFlt1,dFlt2,critFlt2,dFlt3,critFlt3))</f>
        <v/>
      </c>
      <c r="D2346" t="str">
        <f>IF($B2346="","",SUMIFS(dAmt,dCust,$B2346,dPer,"&gt;="&amp;cyFrom,dPer,"&lt;="&amp;cyTo,dAmt,"&gt;-1E+300",dFlt1,critFlt1,dFlt2,critFlt2,dFlt3,critFlt3))</f>
        <v/>
      </c>
      <c r="E2346" t="str">
        <f>IF($B2346="","",SUMIFS(dQty,dCust,$B2346,dPer,"&gt;="&amp;pyFrom,dPer,"&lt;="&amp;pyTo,dQty,"&gt;-1E+300",dFlt1,critFlt1,dFlt2,critFlt2,dFlt3,critFlt3))</f>
        <v/>
      </c>
      <c r="F2346" t="str">
        <f>IF($B2346="","",SUMIFS(dQty,dCust,$B2346,dPer,"&gt;="&amp;cyFrom,dPer,"&lt;="&amp;cyTo,dQty,"&gt;-1E+300",dFlt1,critFlt1,dFlt2,critFlt2,dFlt3,critFlt3))</f>
        <v/>
      </c>
      <c r="G2346">
        <f>IF($B2346="",0,IFERROR(IF(OR(C2346&lt;&gt;0,D2346&lt;&gt;0,E2346&lt;&gt;0,F2346&lt;&gt;0),1,0),1))</f>
        <v>0</v>
      </c>
      <c r="H2346" t="str">
        <f>IF(OR(G2346=0,E2346=0),"",C2346/E2346)</f>
        <v/>
      </c>
      <c r="I2346" t="str">
        <f>IF(OR(G2346=0,F2346=0),"",D2346/F2346)</f>
        <v/>
      </c>
      <c r="J2346" t="str">
        <f>IF(OR(H2346="",I2346=""),"",IF(H2346=0,"",I2346/H2346-1))</f>
        <v/>
      </c>
      <c r="K2346" t="str">
        <f>IF($B2346="","",IFERROR(IF(G2346=0,-2E+300,CHOOSE(sortIdx,ROUND(D2346,0),IF(J2346="",-1E+300,ROUND(-J2346,6)),IF(J2346="",-1E+300,ROUND(J2346,6)))),-1.5E+300))</f>
        <v/>
      </c>
      <c r="L2346" t="str">
        <f>IF(K2346="","",RANK(K2346,$K$2:$K$3001,0)+COUNTIF($K$2:K2346,K2346)-1)</f>
        <v/>
      </c>
    </row>
    <row r="2347">
      <c r="B2347" t="str">
        <f>IFERROR(IF(A2347="","","="&amp;SUBSTITUTE(SUBSTITUTE(SUBSTITUTE(A2347,"~","~~"),"*","~*"),"?","~?")),"")</f>
        <v/>
      </c>
      <c r="C2347" t="str">
        <f>IF($B2347="","",SUMIFS(dAmt,dCust,$B2347,dPer,"&gt;="&amp;pyFrom,dPer,"&lt;="&amp;pyTo,dAmt,"&gt;-1E+300",dFlt1,critFlt1,dFlt2,critFlt2,dFlt3,critFlt3))</f>
        <v/>
      </c>
      <c r="D2347" t="str">
        <f>IF($B2347="","",SUMIFS(dAmt,dCust,$B2347,dPer,"&gt;="&amp;cyFrom,dPer,"&lt;="&amp;cyTo,dAmt,"&gt;-1E+300",dFlt1,critFlt1,dFlt2,critFlt2,dFlt3,critFlt3))</f>
        <v/>
      </c>
      <c r="E2347" t="str">
        <f>IF($B2347="","",SUMIFS(dQty,dCust,$B2347,dPer,"&gt;="&amp;pyFrom,dPer,"&lt;="&amp;pyTo,dQty,"&gt;-1E+300",dFlt1,critFlt1,dFlt2,critFlt2,dFlt3,critFlt3))</f>
        <v/>
      </c>
      <c r="F2347" t="str">
        <f>IF($B2347="","",SUMIFS(dQty,dCust,$B2347,dPer,"&gt;="&amp;cyFrom,dPer,"&lt;="&amp;cyTo,dQty,"&gt;-1E+300",dFlt1,critFlt1,dFlt2,critFlt2,dFlt3,critFlt3))</f>
        <v/>
      </c>
      <c r="G2347">
        <f>IF($B2347="",0,IFERROR(IF(OR(C2347&lt;&gt;0,D2347&lt;&gt;0,E2347&lt;&gt;0,F2347&lt;&gt;0),1,0),1))</f>
        <v>0</v>
      </c>
      <c r="H2347" t="str">
        <f>IF(OR(G2347=0,E2347=0),"",C2347/E2347)</f>
        <v/>
      </c>
      <c r="I2347" t="str">
        <f>IF(OR(G2347=0,F2347=0),"",D2347/F2347)</f>
        <v/>
      </c>
      <c r="J2347" t="str">
        <f>IF(OR(H2347="",I2347=""),"",IF(H2347=0,"",I2347/H2347-1))</f>
        <v/>
      </c>
      <c r="K2347" t="str">
        <f>IF($B2347="","",IFERROR(IF(G2347=0,-2E+300,CHOOSE(sortIdx,ROUND(D2347,0),IF(J2347="",-1E+300,ROUND(-J2347,6)),IF(J2347="",-1E+300,ROUND(J2347,6)))),-1.5E+300))</f>
        <v/>
      </c>
      <c r="L2347" t="str">
        <f>IF(K2347="","",RANK(K2347,$K$2:$K$3001,0)+COUNTIF($K$2:K2347,K2347)-1)</f>
        <v/>
      </c>
    </row>
    <row r="2348">
      <c r="B2348" t="str">
        <f>IFERROR(IF(A2348="","","="&amp;SUBSTITUTE(SUBSTITUTE(SUBSTITUTE(A2348,"~","~~"),"*","~*"),"?","~?")),"")</f>
        <v/>
      </c>
      <c r="C2348" t="str">
        <f>IF($B2348="","",SUMIFS(dAmt,dCust,$B2348,dPer,"&gt;="&amp;pyFrom,dPer,"&lt;="&amp;pyTo,dAmt,"&gt;-1E+300",dFlt1,critFlt1,dFlt2,critFlt2,dFlt3,critFlt3))</f>
        <v/>
      </c>
      <c r="D2348" t="str">
        <f>IF($B2348="","",SUMIFS(dAmt,dCust,$B2348,dPer,"&gt;="&amp;cyFrom,dPer,"&lt;="&amp;cyTo,dAmt,"&gt;-1E+300",dFlt1,critFlt1,dFlt2,critFlt2,dFlt3,critFlt3))</f>
        <v/>
      </c>
      <c r="E2348" t="str">
        <f>IF($B2348="","",SUMIFS(dQty,dCust,$B2348,dPer,"&gt;="&amp;pyFrom,dPer,"&lt;="&amp;pyTo,dQty,"&gt;-1E+300",dFlt1,critFlt1,dFlt2,critFlt2,dFlt3,critFlt3))</f>
        <v/>
      </c>
      <c r="F2348" t="str">
        <f>IF($B2348="","",SUMIFS(dQty,dCust,$B2348,dPer,"&gt;="&amp;cyFrom,dPer,"&lt;="&amp;cyTo,dQty,"&gt;-1E+300",dFlt1,critFlt1,dFlt2,critFlt2,dFlt3,critFlt3))</f>
        <v/>
      </c>
      <c r="G2348">
        <f>IF($B2348="",0,IFERROR(IF(OR(C2348&lt;&gt;0,D2348&lt;&gt;0,E2348&lt;&gt;0,F2348&lt;&gt;0),1,0),1))</f>
        <v>0</v>
      </c>
      <c r="H2348" t="str">
        <f>IF(OR(G2348=0,E2348=0),"",C2348/E2348)</f>
        <v/>
      </c>
      <c r="I2348" t="str">
        <f>IF(OR(G2348=0,F2348=0),"",D2348/F2348)</f>
        <v/>
      </c>
      <c r="J2348" t="str">
        <f>IF(OR(H2348="",I2348=""),"",IF(H2348=0,"",I2348/H2348-1))</f>
        <v/>
      </c>
      <c r="K2348" t="str">
        <f>IF($B2348="","",IFERROR(IF(G2348=0,-2E+300,CHOOSE(sortIdx,ROUND(D2348,0),IF(J2348="",-1E+300,ROUND(-J2348,6)),IF(J2348="",-1E+300,ROUND(J2348,6)))),-1.5E+300))</f>
        <v/>
      </c>
      <c r="L2348" t="str">
        <f>IF(K2348="","",RANK(K2348,$K$2:$K$3001,0)+COUNTIF($K$2:K2348,K2348)-1)</f>
        <v/>
      </c>
    </row>
    <row r="2349">
      <c r="B2349" t="str">
        <f>IFERROR(IF(A2349="","","="&amp;SUBSTITUTE(SUBSTITUTE(SUBSTITUTE(A2349,"~","~~"),"*","~*"),"?","~?")),"")</f>
        <v/>
      </c>
      <c r="C2349" t="str">
        <f>IF($B2349="","",SUMIFS(dAmt,dCust,$B2349,dPer,"&gt;="&amp;pyFrom,dPer,"&lt;="&amp;pyTo,dAmt,"&gt;-1E+300",dFlt1,critFlt1,dFlt2,critFlt2,dFlt3,critFlt3))</f>
        <v/>
      </c>
      <c r="D2349" t="str">
        <f>IF($B2349="","",SUMIFS(dAmt,dCust,$B2349,dPer,"&gt;="&amp;cyFrom,dPer,"&lt;="&amp;cyTo,dAmt,"&gt;-1E+300",dFlt1,critFlt1,dFlt2,critFlt2,dFlt3,critFlt3))</f>
        <v/>
      </c>
      <c r="E2349" t="str">
        <f>IF($B2349="","",SUMIFS(dQty,dCust,$B2349,dPer,"&gt;="&amp;pyFrom,dPer,"&lt;="&amp;pyTo,dQty,"&gt;-1E+300",dFlt1,critFlt1,dFlt2,critFlt2,dFlt3,critFlt3))</f>
        <v/>
      </c>
      <c r="F2349" t="str">
        <f>IF($B2349="","",SUMIFS(dQty,dCust,$B2349,dPer,"&gt;="&amp;cyFrom,dPer,"&lt;="&amp;cyTo,dQty,"&gt;-1E+300",dFlt1,critFlt1,dFlt2,critFlt2,dFlt3,critFlt3))</f>
        <v/>
      </c>
      <c r="G2349">
        <f>IF($B2349="",0,IFERROR(IF(OR(C2349&lt;&gt;0,D2349&lt;&gt;0,E2349&lt;&gt;0,F2349&lt;&gt;0),1,0),1))</f>
        <v>0</v>
      </c>
      <c r="H2349" t="str">
        <f>IF(OR(G2349=0,E2349=0),"",C2349/E2349)</f>
        <v/>
      </c>
      <c r="I2349" t="str">
        <f>IF(OR(G2349=0,F2349=0),"",D2349/F2349)</f>
        <v/>
      </c>
      <c r="J2349" t="str">
        <f>IF(OR(H2349="",I2349=""),"",IF(H2349=0,"",I2349/H2349-1))</f>
        <v/>
      </c>
      <c r="K2349" t="str">
        <f>IF($B2349="","",IFERROR(IF(G2349=0,-2E+300,CHOOSE(sortIdx,ROUND(D2349,0),IF(J2349="",-1E+300,ROUND(-J2349,6)),IF(J2349="",-1E+300,ROUND(J2349,6)))),-1.5E+300))</f>
        <v/>
      </c>
      <c r="L2349" t="str">
        <f>IF(K2349="","",RANK(K2349,$K$2:$K$3001,0)+COUNTIF($K$2:K2349,K2349)-1)</f>
        <v/>
      </c>
    </row>
    <row r="2350">
      <c r="B2350" t="str">
        <f>IFERROR(IF(A2350="","","="&amp;SUBSTITUTE(SUBSTITUTE(SUBSTITUTE(A2350,"~","~~"),"*","~*"),"?","~?")),"")</f>
        <v/>
      </c>
      <c r="C2350" t="str">
        <f>IF($B2350="","",SUMIFS(dAmt,dCust,$B2350,dPer,"&gt;="&amp;pyFrom,dPer,"&lt;="&amp;pyTo,dAmt,"&gt;-1E+300",dFlt1,critFlt1,dFlt2,critFlt2,dFlt3,critFlt3))</f>
        <v/>
      </c>
      <c r="D2350" t="str">
        <f>IF($B2350="","",SUMIFS(dAmt,dCust,$B2350,dPer,"&gt;="&amp;cyFrom,dPer,"&lt;="&amp;cyTo,dAmt,"&gt;-1E+300",dFlt1,critFlt1,dFlt2,critFlt2,dFlt3,critFlt3))</f>
        <v/>
      </c>
      <c r="E2350" t="str">
        <f>IF($B2350="","",SUMIFS(dQty,dCust,$B2350,dPer,"&gt;="&amp;pyFrom,dPer,"&lt;="&amp;pyTo,dQty,"&gt;-1E+300",dFlt1,critFlt1,dFlt2,critFlt2,dFlt3,critFlt3))</f>
        <v/>
      </c>
      <c r="F2350" t="str">
        <f>IF($B2350="","",SUMIFS(dQty,dCust,$B2350,dPer,"&gt;="&amp;cyFrom,dPer,"&lt;="&amp;cyTo,dQty,"&gt;-1E+300",dFlt1,critFlt1,dFlt2,critFlt2,dFlt3,critFlt3))</f>
        <v/>
      </c>
      <c r="G2350">
        <f>IF($B2350="",0,IFERROR(IF(OR(C2350&lt;&gt;0,D2350&lt;&gt;0,E2350&lt;&gt;0,F2350&lt;&gt;0),1,0),1))</f>
        <v>0</v>
      </c>
      <c r="H2350" t="str">
        <f>IF(OR(G2350=0,E2350=0),"",C2350/E2350)</f>
        <v/>
      </c>
      <c r="I2350" t="str">
        <f>IF(OR(G2350=0,F2350=0),"",D2350/F2350)</f>
        <v/>
      </c>
      <c r="J2350" t="str">
        <f>IF(OR(H2350="",I2350=""),"",IF(H2350=0,"",I2350/H2350-1))</f>
        <v/>
      </c>
      <c r="K2350" t="str">
        <f>IF($B2350="","",IFERROR(IF(G2350=0,-2E+300,CHOOSE(sortIdx,ROUND(D2350,0),IF(J2350="",-1E+300,ROUND(-J2350,6)),IF(J2350="",-1E+300,ROUND(J2350,6)))),-1.5E+300))</f>
        <v/>
      </c>
      <c r="L2350" t="str">
        <f>IF(K2350="","",RANK(K2350,$K$2:$K$3001,0)+COUNTIF($K$2:K2350,K2350)-1)</f>
        <v/>
      </c>
    </row>
    <row r="2351">
      <c r="B2351" t="str">
        <f>IFERROR(IF(A2351="","","="&amp;SUBSTITUTE(SUBSTITUTE(SUBSTITUTE(A2351,"~","~~"),"*","~*"),"?","~?")),"")</f>
        <v/>
      </c>
      <c r="C2351" t="str">
        <f>IF($B2351="","",SUMIFS(dAmt,dCust,$B2351,dPer,"&gt;="&amp;pyFrom,dPer,"&lt;="&amp;pyTo,dAmt,"&gt;-1E+300",dFlt1,critFlt1,dFlt2,critFlt2,dFlt3,critFlt3))</f>
        <v/>
      </c>
      <c r="D2351" t="str">
        <f>IF($B2351="","",SUMIFS(dAmt,dCust,$B2351,dPer,"&gt;="&amp;cyFrom,dPer,"&lt;="&amp;cyTo,dAmt,"&gt;-1E+300",dFlt1,critFlt1,dFlt2,critFlt2,dFlt3,critFlt3))</f>
        <v/>
      </c>
      <c r="E2351" t="str">
        <f>IF($B2351="","",SUMIFS(dQty,dCust,$B2351,dPer,"&gt;="&amp;pyFrom,dPer,"&lt;="&amp;pyTo,dQty,"&gt;-1E+300",dFlt1,critFlt1,dFlt2,critFlt2,dFlt3,critFlt3))</f>
        <v/>
      </c>
      <c r="F2351" t="str">
        <f>IF($B2351="","",SUMIFS(dQty,dCust,$B2351,dPer,"&gt;="&amp;cyFrom,dPer,"&lt;="&amp;cyTo,dQty,"&gt;-1E+300",dFlt1,critFlt1,dFlt2,critFlt2,dFlt3,critFlt3))</f>
        <v/>
      </c>
      <c r="G2351">
        <f>IF($B2351="",0,IFERROR(IF(OR(C2351&lt;&gt;0,D2351&lt;&gt;0,E2351&lt;&gt;0,F2351&lt;&gt;0),1,0),1))</f>
        <v>0</v>
      </c>
      <c r="H2351" t="str">
        <f>IF(OR(G2351=0,E2351=0),"",C2351/E2351)</f>
        <v/>
      </c>
      <c r="I2351" t="str">
        <f>IF(OR(G2351=0,F2351=0),"",D2351/F2351)</f>
        <v/>
      </c>
      <c r="J2351" t="str">
        <f>IF(OR(H2351="",I2351=""),"",IF(H2351=0,"",I2351/H2351-1))</f>
        <v/>
      </c>
      <c r="K2351" t="str">
        <f>IF($B2351="","",IFERROR(IF(G2351=0,-2E+300,CHOOSE(sortIdx,ROUND(D2351,0),IF(J2351="",-1E+300,ROUND(-J2351,6)),IF(J2351="",-1E+300,ROUND(J2351,6)))),-1.5E+300))</f>
        <v/>
      </c>
      <c r="L2351" t="str">
        <f>IF(K2351="","",RANK(K2351,$K$2:$K$3001,0)+COUNTIF($K$2:K2351,K2351)-1)</f>
        <v/>
      </c>
    </row>
    <row r="2352">
      <c r="B2352" t="str">
        <f>IFERROR(IF(A2352="","","="&amp;SUBSTITUTE(SUBSTITUTE(SUBSTITUTE(A2352,"~","~~"),"*","~*"),"?","~?")),"")</f>
        <v/>
      </c>
      <c r="C2352" t="str">
        <f>IF($B2352="","",SUMIFS(dAmt,dCust,$B2352,dPer,"&gt;="&amp;pyFrom,dPer,"&lt;="&amp;pyTo,dAmt,"&gt;-1E+300",dFlt1,critFlt1,dFlt2,critFlt2,dFlt3,critFlt3))</f>
        <v/>
      </c>
      <c r="D2352" t="str">
        <f>IF($B2352="","",SUMIFS(dAmt,dCust,$B2352,dPer,"&gt;="&amp;cyFrom,dPer,"&lt;="&amp;cyTo,dAmt,"&gt;-1E+300",dFlt1,critFlt1,dFlt2,critFlt2,dFlt3,critFlt3))</f>
        <v/>
      </c>
      <c r="E2352" t="str">
        <f>IF($B2352="","",SUMIFS(dQty,dCust,$B2352,dPer,"&gt;="&amp;pyFrom,dPer,"&lt;="&amp;pyTo,dQty,"&gt;-1E+300",dFlt1,critFlt1,dFlt2,critFlt2,dFlt3,critFlt3))</f>
        <v/>
      </c>
      <c r="F2352" t="str">
        <f>IF($B2352="","",SUMIFS(dQty,dCust,$B2352,dPer,"&gt;="&amp;cyFrom,dPer,"&lt;="&amp;cyTo,dQty,"&gt;-1E+300",dFlt1,critFlt1,dFlt2,critFlt2,dFlt3,critFlt3))</f>
        <v/>
      </c>
      <c r="G2352">
        <f>IF($B2352="",0,IFERROR(IF(OR(C2352&lt;&gt;0,D2352&lt;&gt;0,E2352&lt;&gt;0,F2352&lt;&gt;0),1,0),1))</f>
        <v>0</v>
      </c>
      <c r="H2352" t="str">
        <f>IF(OR(G2352=0,E2352=0),"",C2352/E2352)</f>
        <v/>
      </c>
      <c r="I2352" t="str">
        <f>IF(OR(G2352=0,F2352=0),"",D2352/F2352)</f>
        <v/>
      </c>
      <c r="J2352" t="str">
        <f>IF(OR(H2352="",I2352=""),"",IF(H2352=0,"",I2352/H2352-1))</f>
        <v/>
      </c>
      <c r="K2352" t="str">
        <f>IF($B2352="","",IFERROR(IF(G2352=0,-2E+300,CHOOSE(sortIdx,ROUND(D2352,0),IF(J2352="",-1E+300,ROUND(-J2352,6)),IF(J2352="",-1E+300,ROUND(J2352,6)))),-1.5E+300))</f>
        <v/>
      </c>
      <c r="L2352" t="str">
        <f>IF(K2352="","",RANK(K2352,$K$2:$K$3001,0)+COUNTIF($K$2:K2352,K2352)-1)</f>
        <v/>
      </c>
    </row>
    <row r="2353">
      <c r="B2353" t="str">
        <f>IFERROR(IF(A2353="","","="&amp;SUBSTITUTE(SUBSTITUTE(SUBSTITUTE(A2353,"~","~~"),"*","~*"),"?","~?")),"")</f>
        <v/>
      </c>
      <c r="C2353" t="str">
        <f>IF($B2353="","",SUMIFS(dAmt,dCust,$B2353,dPer,"&gt;="&amp;pyFrom,dPer,"&lt;="&amp;pyTo,dAmt,"&gt;-1E+300",dFlt1,critFlt1,dFlt2,critFlt2,dFlt3,critFlt3))</f>
        <v/>
      </c>
      <c r="D2353" t="str">
        <f>IF($B2353="","",SUMIFS(dAmt,dCust,$B2353,dPer,"&gt;="&amp;cyFrom,dPer,"&lt;="&amp;cyTo,dAmt,"&gt;-1E+300",dFlt1,critFlt1,dFlt2,critFlt2,dFlt3,critFlt3))</f>
        <v/>
      </c>
      <c r="E2353" t="str">
        <f>IF($B2353="","",SUMIFS(dQty,dCust,$B2353,dPer,"&gt;="&amp;pyFrom,dPer,"&lt;="&amp;pyTo,dQty,"&gt;-1E+300",dFlt1,critFlt1,dFlt2,critFlt2,dFlt3,critFlt3))</f>
        <v/>
      </c>
      <c r="F2353" t="str">
        <f>IF($B2353="","",SUMIFS(dQty,dCust,$B2353,dPer,"&gt;="&amp;cyFrom,dPer,"&lt;="&amp;cyTo,dQty,"&gt;-1E+300",dFlt1,critFlt1,dFlt2,critFlt2,dFlt3,critFlt3))</f>
        <v/>
      </c>
      <c r="G2353">
        <f>IF($B2353="",0,IFERROR(IF(OR(C2353&lt;&gt;0,D2353&lt;&gt;0,E2353&lt;&gt;0,F2353&lt;&gt;0),1,0),1))</f>
        <v>0</v>
      </c>
      <c r="H2353" t="str">
        <f>IF(OR(G2353=0,E2353=0),"",C2353/E2353)</f>
        <v/>
      </c>
      <c r="I2353" t="str">
        <f>IF(OR(G2353=0,F2353=0),"",D2353/F2353)</f>
        <v/>
      </c>
      <c r="J2353" t="str">
        <f>IF(OR(H2353="",I2353=""),"",IF(H2353=0,"",I2353/H2353-1))</f>
        <v/>
      </c>
      <c r="K2353" t="str">
        <f>IF($B2353="","",IFERROR(IF(G2353=0,-2E+300,CHOOSE(sortIdx,ROUND(D2353,0),IF(J2353="",-1E+300,ROUND(-J2353,6)),IF(J2353="",-1E+300,ROUND(J2353,6)))),-1.5E+300))</f>
        <v/>
      </c>
      <c r="L2353" t="str">
        <f>IF(K2353="","",RANK(K2353,$K$2:$K$3001,0)+COUNTIF($K$2:K2353,K2353)-1)</f>
        <v/>
      </c>
    </row>
    <row r="2354">
      <c r="B2354" t="str">
        <f>IFERROR(IF(A2354="","","="&amp;SUBSTITUTE(SUBSTITUTE(SUBSTITUTE(A2354,"~","~~"),"*","~*"),"?","~?")),"")</f>
        <v/>
      </c>
      <c r="C2354" t="str">
        <f>IF($B2354="","",SUMIFS(dAmt,dCust,$B2354,dPer,"&gt;="&amp;pyFrom,dPer,"&lt;="&amp;pyTo,dAmt,"&gt;-1E+300",dFlt1,critFlt1,dFlt2,critFlt2,dFlt3,critFlt3))</f>
        <v/>
      </c>
      <c r="D2354" t="str">
        <f>IF($B2354="","",SUMIFS(dAmt,dCust,$B2354,dPer,"&gt;="&amp;cyFrom,dPer,"&lt;="&amp;cyTo,dAmt,"&gt;-1E+300",dFlt1,critFlt1,dFlt2,critFlt2,dFlt3,critFlt3))</f>
        <v/>
      </c>
      <c r="E2354" t="str">
        <f>IF($B2354="","",SUMIFS(dQty,dCust,$B2354,dPer,"&gt;="&amp;pyFrom,dPer,"&lt;="&amp;pyTo,dQty,"&gt;-1E+300",dFlt1,critFlt1,dFlt2,critFlt2,dFlt3,critFlt3))</f>
        <v/>
      </c>
      <c r="F2354" t="str">
        <f>IF($B2354="","",SUMIFS(dQty,dCust,$B2354,dPer,"&gt;="&amp;cyFrom,dPer,"&lt;="&amp;cyTo,dQty,"&gt;-1E+300",dFlt1,critFlt1,dFlt2,critFlt2,dFlt3,critFlt3))</f>
        <v/>
      </c>
      <c r="G2354">
        <f>IF($B2354="",0,IFERROR(IF(OR(C2354&lt;&gt;0,D2354&lt;&gt;0,E2354&lt;&gt;0,F2354&lt;&gt;0),1,0),1))</f>
        <v>0</v>
      </c>
      <c r="H2354" t="str">
        <f>IF(OR(G2354=0,E2354=0),"",C2354/E2354)</f>
        <v/>
      </c>
      <c r="I2354" t="str">
        <f>IF(OR(G2354=0,F2354=0),"",D2354/F2354)</f>
        <v/>
      </c>
      <c r="J2354" t="str">
        <f>IF(OR(H2354="",I2354=""),"",IF(H2354=0,"",I2354/H2354-1))</f>
        <v/>
      </c>
      <c r="K2354" t="str">
        <f>IF($B2354="","",IFERROR(IF(G2354=0,-2E+300,CHOOSE(sortIdx,ROUND(D2354,0),IF(J2354="",-1E+300,ROUND(-J2354,6)),IF(J2354="",-1E+300,ROUND(J2354,6)))),-1.5E+300))</f>
        <v/>
      </c>
      <c r="L2354" t="str">
        <f>IF(K2354="","",RANK(K2354,$K$2:$K$3001,0)+COUNTIF($K$2:K2354,K2354)-1)</f>
        <v/>
      </c>
    </row>
    <row r="2355">
      <c r="B2355" t="str">
        <f>IFERROR(IF(A2355="","","="&amp;SUBSTITUTE(SUBSTITUTE(SUBSTITUTE(A2355,"~","~~"),"*","~*"),"?","~?")),"")</f>
        <v/>
      </c>
      <c r="C2355" t="str">
        <f>IF($B2355="","",SUMIFS(dAmt,dCust,$B2355,dPer,"&gt;="&amp;pyFrom,dPer,"&lt;="&amp;pyTo,dAmt,"&gt;-1E+300",dFlt1,critFlt1,dFlt2,critFlt2,dFlt3,critFlt3))</f>
        <v/>
      </c>
      <c r="D2355" t="str">
        <f>IF($B2355="","",SUMIFS(dAmt,dCust,$B2355,dPer,"&gt;="&amp;cyFrom,dPer,"&lt;="&amp;cyTo,dAmt,"&gt;-1E+300",dFlt1,critFlt1,dFlt2,critFlt2,dFlt3,critFlt3))</f>
        <v/>
      </c>
      <c r="E2355" t="str">
        <f>IF($B2355="","",SUMIFS(dQty,dCust,$B2355,dPer,"&gt;="&amp;pyFrom,dPer,"&lt;="&amp;pyTo,dQty,"&gt;-1E+300",dFlt1,critFlt1,dFlt2,critFlt2,dFlt3,critFlt3))</f>
        <v/>
      </c>
      <c r="F2355" t="str">
        <f>IF($B2355="","",SUMIFS(dQty,dCust,$B2355,dPer,"&gt;="&amp;cyFrom,dPer,"&lt;="&amp;cyTo,dQty,"&gt;-1E+300",dFlt1,critFlt1,dFlt2,critFlt2,dFlt3,critFlt3))</f>
        <v/>
      </c>
      <c r="G2355">
        <f>IF($B2355="",0,IFERROR(IF(OR(C2355&lt;&gt;0,D2355&lt;&gt;0,E2355&lt;&gt;0,F2355&lt;&gt;0),1,0),1))</f>
        <v>0</v>
      </c>
      <c r="H2355" t="str">
        <f>IF(OR(G2355=0,E2355=0),"",C2355/E2355)</f>
        <v/>
      </c>
      <c r="I2355" t="str">
        <f>IF(OR(G2355=0,F2355=0),"",D2355/F2355)</f>
        <v/>
      </c>
      <c r="J2355" t="str">
        <f>IF(OR(H2355="",I2355=""),"",IF(H2355=0,"",I2355/H2355-1))</f>
        <v/>
      </c>
      <c r="K2355" t="str">
        <f>IF($B2355="","",IFERROR(IF(G2355=0,-2E+300,CHOOSE(sortIdx,ROUND(D2355,0),IF(J2355="",-1E+300,ROUND(-J2355,6)),IF(J2355="",-1E+300,ROUND(J2355,6)))),-1.5E+300))</f>
        <v/>
      </c>
      <c r="L2355" t="str">
        <f>IF(K2355="","",RANK(K2355,$K$2:$K$3001,0)+COUNTIF($K$2:K2355,K2355)-1)</f>
        <v/>
      </c>
    </row>
    <row r="2356">
      <c r="B2356" t="str">
        <f>IFERROR(IF(A2356="","","="&amp;SUBSTITUTE(SUBSTITUTE(SUBSTITUTE(A2356,"~","~~"),"*","~*"),"?","~?")),"")</f>
        <v/>
      </c>
      <c r="C2356" t="str">
        <f>IF($B2356="","",SUMIFS(dAmt,dCust,$B2356,dPer,"&gt;="&amp;pyFrom,dPer,"&lt;="&amp;pyTo,dAmt,"&gt;-1E+300",dFlt1,critFlt1,dFlt2,critFlt2,dFlt3,critFlt3))</f>
        <v/>
      </c>
      <c r="D2356" t="str">
        <f>IF($B2356="","",SUMIFS(dAmt,dCust,$B2356,dPer,"&gt;="&amp;cyFrom,dPer,"&lt;="&amp;cyTo,dAmt,"&gt;-1E+300",dFlt1,critFlt1,dFlt2,critFlt2,dFlt3,critFlt3))</f>
        <v/>
      </c>
      <c r="E2356" t="str">
        <f>IF($B2356="","",SUMIFS(dQty,dCust,$B2356,dPer,"&gt;="&amp;pyFrom,dPer,"&lt;="&amp;pyTo,dQty,"&gt;-1E+300",dFlt1,critFlt1,dFlt2,critFlt2,dFlt3,critFlt3))</f>
        <v/>
      </c>
      <c r="F2356" t="str">
        <f>IF($B2356="","",SUMIFS(dQty,dCust,$B2356,dPer,"&gt;="&amp;cyFrom,dPer,"&lt;="&amp;cyTo,dQty,"&gt;-1E+300",dFlt1,critFlt1,dFlt2,critFlt2,dFlt3,critFlt3))</f>
        <v/>
      </c>
      <c r="G2356">
        <f>IF($B2356="",0,IFERROR(IF(OR(C2356&lt;&gt;0,D2356&lt;&gt;0,E2356&lt;&gt;0,F2356&lt;&gt;0),1,0),1))</f>
        <v>0</v>
      </c>
      <c r="H2356" t="str">
        <f>IF(OR(G2356=0,E2356=0),"",C2356/E2356)</f>
        <v/>
      </c>
      <c r="I2356" t="str">
        <f>IF(OR(G2356=0,F2356=0),"",D2356/F2356)</f>
        <v/>
      </c>
      <c r="J2356" t="str">
        <f>IF(OR(H2356="",I2356=""),"",IF(H2356=0,"",I2356/H2356-1))</f>
        <v/>
      </c>
      <c r="K2356" t="str">
        <f>IF($B2356="","",IFERROR(IF(G2356=0,-2E+300,CHOOSE(sortIdx,ROUND(D2356,0),IF(J2356="",-1E+300,ROUND(-J2356,6)),IF(J2356="",-1E+300,ROUND(J2356,6)))),-1.5E+300))</f>
        <v/>
      </c>
      <c r="L2356" t="str">
        <f>IF(K2356="","",RANK(K2356,$K$2:$K$3001,0)+COUNTIF($K$2:K2356,K2356)-1)</f>
        <v/>
      </c>
    </row>
    <row r="2357">
      <c r="B2357" t="str">
        <f>IFERROR(IF(A2357="","","="&amp;SUBSTITUTE(SUBSTITUTE(SUBSTITUTE(A2357,"~","~~"),"*","~*"),"?","~?")),"")</f>
        <v/>
      </c>
      <c r="C2357" t="str">
        <f>IF($B2357="","",SUMIFS(dAmt,dCust,$B2357,dPer,"&gt;="&amp;pyFrom,dPer,"&lt;="&amp;pyTo,dAmt,"&gt;-1E+300",dFlt1,critFlt1,dFlt2,critFlt2,dFlt3,critFlt3))</f>
        <v/>
      </c>
      <c r="D2357" t="str">
        <f>IF($B2357="","",SUMIFS(dAmt,dCust,$B2357,dPer,"&gt;="&amp;cyFrom,dPer,"&lt;="&amp;cyTo,dAmt,"&gt;-1E+300",dFlt1,critFlt1,dFlt2,critFlt2,dFlt3,critFlt3))</f>
        <v/>
      </c>
      <c r="E2357" t="str">
        <f>IF($B2357="","",SUMIFS(dQty,dCust,$B2357,dPer,"&gt;="&amp;pyFrom,dPer,"&lt;="&amp;pyTo,dQty,"&gt;-1E+300",dFlt1,critFlt1,dFlt2,critFlt2,dFlt3,critFlt3))</f>
        <v/>
      </c>
      <c r="F2357" t="str">
        <f>IF($B2357="","",SUMIFS(dQty,dCust,$B2357,dPer,"&gt;="&amp;cyFrom,dPer,"&lt;="&amp;cyTo,dQty,"&gt;-1E+300",dFlt1,critFlt1,dFlt2,critFlt2,dFlt3,critFlt3))</f>
        <v/>
      </c>
      <c r="G2357">
        <f>IF($B2357="",0,IFERROR(IF(OR(C2357&lt;&gt;0,D2357&lt;&gt;0,E2357&lt;&gt;0,F2357&lt;&gt;0),1,0),1))</f>
        <v>0</v>
      </c>
      <c r="H2357" t="str">
        <f>IF(OR(G2357=0,E2357=0),"",C2357/E2357)</f>
        <v/>
      </c>
      <c r="I2357" t="str">
        <f>IF(OR(G2357=0,F2357=0),"",D2357/F2357)</f>
        <v/>
      </c>
      <c r="J2357" t="str">
        <f>IF(OR(H2357="",I2357=""),"",IF(H2357=0,"",I2357/H2357-1))</f>
        <v/>
      </c>
      <c r="K2357" t="str">
        <f>IF($B2357="","",IFERROR(IF(G2357=0,-2E+300,CHOOSE(sortIdx,ROUND(D2357,0),IF(J2357="",-1E+300,ROUND(-J2357,6)),IF(J2357="",-1E+300,ROUND(J2357,6)))),-1.5E+300))</f>
        <v/>
      </c>
      <c r="L2357" t="str">
        <f>IF(K2357="","",RANK(K2357,$K$2:$K$3001,0)+COUNTIF($K$2:K2357,K2357)-1)</f>
        <v/>
      </c>
    </row>
    <row r="2358">
      <c r="B2358" t="str">
        <f>IFERROR(IF(A2358="","","="&amp;SUBSTITUTE(SUBSTITUTE(SUBSTITUTE(A2358,"~","~~"),"*","~*"),"?","~?")),"")</f>
        <v/>
      </c>
      <c r="C2358" t="str">
        <f>IF($B2358="","",SUMIFS(dAmt,dCust,$B2358,dPer,"&gt;="&amp;pyFrom,dPer,"&lt;="&amp;pyTo,dAmt,"&gt;-1E+300",dFlt1,critFlt1,dFlt2,critFlt2,dFlt3,critFlt3))</f>
        <v/>
      </c>
      <c r="D2358" t="str">
        <f>IF($B2358="","",SUMIFS(dAmt,dCust,$B2358,dPer,"&gt;="&amp;cyFrom,dPer,"&lt;="&amp;cyTo,dAmt,"&gt;-1E+300",dFlt1,critFlt1,dFlt2,critFlt2,dFlt3,critFlt3))</f>
        <v/>
      </c>
      <c r="E2358" t="str">
        <f>IF($B2358="","",SUMIFS(dQty,dCust,$B2358,dPer,"&gt;="&amp;pyFrom,dPer,"&lt;="&amp;pyTo,dQty,"&gt;-1E+300",dFlt1,critFlt1,dFlt2,critFlt2,dFlt3,critFlt3))</f>
        <v/>
      </c>
      <c r="F2358" t="str">
        <f>IF($B2358="","",SUMIFS(dQty,dCust,$B2358,dPer,"&gt;="&amp;cyFrom,dPer,"&lt;="&amp;cyTo,dQty,"&gt;-1E+300",dFlt1,critFlt1,dFlt2,critFlt2,dFlt3,critFlt3))</f>
        <v/>
      </c>
      <c r="G2358">
        <f>IF($B2358="",0,IFERROR(IF(OR(C2358&lt;&gt;0,D2358&lt;&gt;0,E2358&lt;&gt;0,F2358&lt;&gt;0),1,0),1))</f>
        <v>0</v>
      </c>
      <c r="H2358" t="str">
        <f>IF(OR(G2358=0,E2358=0),"",C2358/E2358)</f>
        <v/>
      </c>
      <c r="I2358" t="str">
        <f>IF(OR(G2358=0,F2358=0),"",D2358/F2358)</f>
        <v/>
      </c>
      <c r="J2358" t="str">
        <f>IF(OR(H2358="",I2358=""),"",IF(H2358=0,"",I2358/H2358-1))</f>
        <v/>
      </c>
      <c r="K2358" t="str">
        <f>IF($B2358="","",IFERROR(IF(G2358=0,-2E+300,CHOOSE(sortIdx,ROUND(D2358,0),IF(J2358="",-1E+300,ROUND(-J2358,6)),IF(J2358="",-1E+300,ROUND(J2358,6)))),-1.5E+300))</f>
        <v/>
      </c>
      <c r="L2358" t="str">
        <f>IF(K2358="","",RANK(K2358,$K$2:$K$3001,0)+COUNTIF($K$2:K2358,K2358)-1)</f>
        <v/>
      </c>
    </row>
    <row r="2359">
      <c r="B2359" t="str">
        <f>IFERROR(IF(A2359="","","="&amp;SUBSTITUTE(SUBSTITUTE(SUBSTITUTE(A2359,"~","~~"),"*","~*"),"?","~?")),"")</f>
        <v/>
      </c>
      <c r="C2359" t="str">
        <f>IF($B2359="","",SUMIFS(dAmt,dCust,$B2359,dPer,"&gt;="&amp;pyFrom,dPer,"&lt;="&amp;pyTo,dAmt,"&gt;-1E+300",dFlt1,critFlt1,dFlt2,critFlt2,dFlt3,critFlt3))</f>
        <v/>
      </c>
      <c r="D2359" t="str">
        <f>IF($B2359="","",SUMIFS(dAmt,dCust,$B2359,dPer,"&gt;="&amp;cyFrom,dPer,"&lt;="&amp;cyTo,dAmt,"&gt;-1E+300",dFlt1,critFlt1,dFlt2,critFlt2,dFlt3,critFlt3))</f>
        <v/>
      </c>
      <c r="E2359" t="str">
        <f>IF($B2359="","",SUMIFS(dQty,dCust,$B2359,dPer,"&gt;="&amp;pyFrom,dPer,"&lt;="&amp;pyTo,dQty,"&gt;-1E+300",dFlt1,critFlt1,dFlt2,critFlt2,dFlt3,critFlt3))</f>
        <v/>
      </c>
      <c r="F2359" t="str">
        <f>IF($B2359="","",SUMIFS(dQty,dCust,$B2359,dPer,"&gt;="&amp;cyFrom,dPer,"&lt;="&amp;cyTo,dQty,"&gt;-1E+300",dFlt1,critFlt1,dFlt2,critFlt2,dFlt3,critFlt3))</f>
        <v/>
      </c>
      <c r="G2359">
        <f>IF($B2359="",0,IFERROR(IF(OR(C2359&lt;&gt;0,D2359&lt;&gt;0,E2359&lt;&gt;0,F2359&lt;&gt;0),1,0),1))</f>
        <v>0</v>
      </c>
      <c r="H2359" t="str">
        <f>IF(OR(G2359=0,E2359=0),"",C2359/E2359)</f>
        <v/>
      </c>
      <c r="I2359" t="str">
        <f>IF(OR(G2359=0,F2359=0),"",D2359/F2359)</f>
        <v/>
      </c>
      <c r="J2359" t="str">
        <f>IF(OR(H2359="",I2359=""),"",IF(H2359=0,"",I2359/H2359-1))</f>
        <v/>
      </c>
      <c r="K2359" t="str">
        <f>IF($B2359="","",IFERROR(IF(G2359=0,-2E+300,CHOOSE(sortIdx,ROUND(D2359,0),IF(J2359="",-1E+300,ROUND(-J2359,6)),IF(J2359="",-1E+300,ROUND(J2359,6)))),-1.5E+300))</f>
        <v/>
      </c>
      <c r="L2359" t="str">
        <f>IF(K2359="","",RANK(K2359,$K$2:$K$3001,0)+COUNTIF($K$2:K2359,K2359)-1)</f>
        <v/>
      </c>
    </row>
    <row r="2360">
      <c r="B2360" t="str">
        <f>IFERROR(IF(A2360="","","="&amp;SUBSTITUTE(SUBSTITUTE(SUBSTITUTE(A2360,"~","~~"),"*","~*"),"?","~?")),"")</f>
        <v/>
      </c>
      <c r="C2360" t="str">
        <f>IF($B2360="","",SUMIFS(dAmt,dCust,$B2360,dPer,"&gt;="&amp;pyFrom,dPer,"&lt;="&amp;pyTo,dAmt,"&gt;-1E+300",dFlt1,critFlt1,dFlt2,critFlt2,dFlt3,critFlt3))</f>
        <v/>
      </c>
      <c r="D2360" t="str">
        <f>IF($B2360="","",SUMIFS(dAmt,dCust,$B2360,dPer,"&gt;="&amp;cyFrom,dPer,"&lt;="&amp;cyTo,dAmt,"&gt;-1E+300",dFlt1,critFlt1,dFlt2,critFlt2,dFlt3,critFlt3))</f>
        <v/>
      </c>
      <c r="E2360" t="str">
        <f>IF($B2360="","",SUMIFS(dQty,dCust,$B2360,dPer,"&gt;="&amp;pyFrom,dPer,"&lt;="&amp;pyTo,dQty,"&gt;-1E+300",dFlt1,critFlt1,dFlt2,critFlt2,dFlt3,critFlt3))</f>
        <v/>
      </c>
      <c r="F2360" t="str">
        <f>IF($B2360="","",SUMIFS(dQty,dCust,$B2360,dPer,"&gt;="&amp;cyFrom,dPer,"&lt;="&amp;cyTo,dQty,"&gt;-1E+300",dFlt1,critFlt1,dFlt2,critFlt2,dFlt3,critFlt3))</f>
        <v/>
      </c>
      <c r="G2360">
        <f>IF($B2360="",0,IFERROR(IF(OR(C2360&lt;&gt;0,D2360&lt;&gt;0,E2360&lt;&gt;0,F2360&lt;&gt;0),1,0),1))</f>
        <v>0</v>
      </c>
      <c r="H2360" t="str">
        <f>IF(OR(G2360=0,E2360=0),"",C2360/E2360)</f>
        <v/>
      </c>
      <c r="I2360" t="str">
        <f>IF(OR(G2360=0,F2360=0),"",D2360/F2360)</f>
        <v/>
      </c>
      <c r="J2360" t="str">
        <f>IF(OR(H2360="",I2360=""),"",IF(H2360=0,"",I2360/H2360-1))</f>
        <v/>
      </c>
      <c r="K2360" t="str">
        <f>IF($B2360="","",IFERROR(IF(G2360=0,-2E+300,CHOOSE(sortIdx,ROUND(D2360,0),IF(J2360="",-1E+300,ROUND(-J2360,6)),IF(J2360="",-1E+300,ROUND(J2360,6)))),-1.5E+300))</f>
        <v/>
      </c>
      <c r="L2360" t="str">
        <f>IF(K2360="","",RANK(K2360,$K$2:$K$3001,0)+COUNTIF($K$2:K2360,K2360)-1)</f>
        <v/>
      </c>
    </row>
    <row r="2361">
      <c r="B2361" t="str">
        <f>IFERROR(IF(A2361="","","="&amp;SUBSTITUTE(SUBSTITUTE(SUBSTITUTE(A2361,"~","~~"),"*","~*"),"?","~?")),"")</f>
        <v/>
      </c>
      <c r="C2361" t="str">
        <f>IF($B2361="","",SUMIFS(dAmt,dCust,$B2361,dPer,"&gt;="&amp;pyFrom,dPer,"&lt;="&amp;pyTo,dAmt,"&gt;-1E+300",dFlt1,critFlt1,dFlt2,critFlt2,dFlt3,critFlt3))</f>
        <v/>
      </c>
      <c r="D2361" t="str">
        <f>IF($B2361="","",SUMIFS(dAmt,dCust,$B2361,dPer,"&gt;="&amp;cyFrom,dPer,"&lt;="&amp;cyTo,dAmt,"&gt;-1E+300",dFlt1,critFlt1,dFlt2,critFlt2,dFlt3,critFlt3))</f>
        <v/>
      </c>
      <c r="E2361" t="str">
        <f>IF($B2361="","",SUMIFS(dQty,dCust,$B2361,dPer,"&gt;="&amp;pyFrom,dPer,"&lt;="&amp;pyTo,dQty,"&gt;-1E+300",dFlt1,critFlt1,dFlt2,critFlt2,dFlt3,critFlt3))</f>
        <v/>
      </c>
      <c r="F2361" t="str">
        <f>IF($B2361="","",SUMIFS(dQty,dCust,$B2361,dPer,"&gt;="&amp;cyFrom,dPer,"&lt;="&amp;cyTo,dQty,"&gt;-1E+300",dFlt1,critFlt1,dFlt2,critFlt2,dFlt3,critFlt3))</f>
        <v/>
      </c>
      <c r="G2361">
        <f>IF($B2361="",0,IFERROR(IF(OR(C2361&lt;&gt;0,D2361&lt;&gt;0,E2361&lt;&gt;0,F2361&lt;&gt;0),1,0),1))</f>
        <v>0</v>
      </c>
      <c r="H2361" t="str">
        <f>IF(OR(G2361=0,E2361=0),"",C2361/E2361)</f>
        <v/>
      </c>
      <c r="I2361" t="str">
        <f>IF(OR(G2361=0,F2361=0),"",D2361/F2361)</f>
        <v/>
      </c>
      <c r="J2361" t="str">
        <f>IF(OR(H2361="",I2361=""),"",IF(H2361=0,"",I2361/H2361-1))</f>
        <v/>
      </c>
      <c r="K2361" t="str">
        <f>IF($B2361="","",IFERROR(IF(G2361=0,-2E+300,CHOOSE(sortIdx,ROUND(D2361,0),IF(J2361="",-1E+300,ROUND(-J2361,6)),IF(J2361="",-1E+300,ROUND(J2361,6)))),-1.5E+300))</f>
        <v/>
      </c>
      <c r="L2361" t="str">
        <f>IF(K2361="","",RANK(K2361,$K$2:$K$3001,0)+COUNTIF($K$2:K2361,K2361)-1)</f>
        <v/>
      </c>
    </row>
    <row r="2362">
      <c r="B2362" t="str">
        <f>IFERROR(IF(A2362="","","="&amp;SUBSTITUTE(SUBSTITUTE(SUBSTITUTE(A2362,"~","~~"),"*","~*"),"?","~?")),"")</f>
        <v/>
      </c>
      <c r="C2362" t="str">
        <f>IF($B2362="","",SUMIFS(dAmt,dCust,$B2362,dPer,"&gt;="&amp;pyFrom,dPer,"&lt;="&amp;pyTo,dAmt,"&gt;-1E+300",dFlt1,critFlt1,dFlt2,critFlt2,dFlt3,critFlt3))</f>
        <v/>
      </c>
      <c r="D2362" t="str">
        <f>IF($B2362="","",SUMIFS(dAmt,dCust,$B2362,dPer,"&gt;="&amp;cyFrom,dPer,"&lt;="&amp;cyTo,dAmt,"&gt;-1E+300",dFlt1,critFlt1,dFlt2,critFlt2,dFlt3,critFlt3))</f>
        <v/>
      </c>
      <c r="E2362" t="str">
        <f>IF($B2362="","",SUMIFS(dQty,dCust,$B2362,dPer,"&gt;="&amp;pyFrom,dPer,"&lt;="&amp;pyTo,dQty,"&gt;-1E+300",dFlt1,critFlt1,dFlt2,critFlt2,dFlt3,critFlt3))</f>
        <v/>
      </c>
      <c r="F2362" t="str">
        <f>IF($B2362="","",SUMIFS(dQty,dCust,$B2362,dPer,"&gt;="&amp;cyFrom,dPer,"&lt;="&amp;cyTo,dQty,"&gt;-1E+300",dFlt1,critFlt1,dFlt2,critFlt2,dFlt3,critFlt3))</f>
        <v/>
      </c>
      <c r="G2362">
        <f>IF($B2362="",0,IFERROR(IF(OR(C2362&lt;&gt;0,D2362&lt;&gt;0,E2362&lt;&gt;0,F2362&lt;&gt;0),1,0),1))</f>
        <v>0</v>
      </c>
      <c r="H2362" t="str">
        <f>IF(OR(G2362=0,E2362=0),"",C2362/E2362)</f>
        <v/>
      </c>
      <c r="I2362" t="str">
        <f>IF(OR(G2362=0,F2362=0),"",D2362/F2362)</f>
        <v/>
      </c>
      <c r="J2362" t="str">
        <f>IF(OR(H2362="",I2362=""),"",IF(H2362=0,"",I2362/H2362-1))</f>
        <v/>
      </c>
      <c r="K2362" t="str">
        <f>IF($B2362="","",IFERROR(IF(G2362=0,-2E+300,CHOOSE(sortIdx,ROUND(D2362,0),IF(J2362="",-1E+300,ROUND(-J2362,6)),IF(J2362="",-1E+300,ROUND(J2362,6)))),-1.5E+300))</f>
        <v/>
      </c>
      <c r="L2362" t="str">
        <f>IF(K2362="","",RANK(K2362,$K$2:$K$3001,0)+COUNTIF($K$2:K2362,K2362)-1)</f>
        <v/>
      </c>
    </row>
    <row r="2363">
      <c r="B2363" t="str">
        <f>IFERROR(IF(A2363="","","="&amp;SUBSTITUTE(SUBSTITUTE(SUBSTITUTE(A2363,"~","~~"),"*","~*"),"?","~?")),"")</f>
        <v/>
      </c>
      <c r="C2363" t="str">
        <f>IF($B2363="","",SUMIFS(dAmt,dCust,$B2363,dPer,"&gt;="&amp;pyFrom,dPer,"&lt;="&amp;pyTo,dAmt,"&gt;-1E+300",dFlt1,critFlt1,dFlt2,critFlt2,dFlt3,critFlt3))</f>
        <v/>
      </c>
      <c r="D2363" t="str">
        <f>IF($B2363="","",SUMIFS(dAmt,dCust,$B2363,dPer,"&gt;="&amp;cyFrom,dPer,"&lt;="&amp;cyTo,dAmt,"&gt;-1E+300",dFlt1,critFlt1,dFlt2,critFlt2,dFlt3,critFlt3))</f>
        <v/>
      </c>
      <c r="E2363" t="str">
        <f>IF($B2363="","",SUMIFS(dQty,dCust,$B2363,dPer,"&gt;="&amp;pyFrom,dPer,"&lt;="&amp;pyTo,dQty,"&gt;-1E+300",dFlt1,critFlt1,dFlt2,critFlt2,dFlt3,critFlt3))</f>
        <v/>
      </c>
      <c r="F2363" t="str">
        <f>IF($B2363="","",SUMIFS(dQty,dCust,$B2363,dPer,"&gt;="&amp;cyFrom,dPer,"&lt;="&amp;cyTo,dQty,"&gt;-1E+300",dFlt1,critFlt1,dFlt2,critFlt2,dFlt3,critFlt3))</f>
        <v/>
      </c>
      <c r="G2363">
        <f>IF($B2363="",0,IFERROR(IF(OR(C2363&lt;&gt;0,D2363&lt;&gt;0,E2363&lt;&gt;0,F2363&lt;&gt;0),1,0),1))</f>
        <v>0</v>
      </c>
      <c r="H2363" t="str">
        <f>IF(OR(G2363=0,E2363=0),"",C2363/E2363)</f>
        <v/>
      </c>
      <c r="I2363" t="str">
        <f>IF(OR(G2363=0,F2363=0),"",D2363/F2363)</f>
        <v/>
      </c>
      <c r="J2363" t="str">
        <f>IF(OR(H2363="",I2363=""),"",IF(H2363=0,"",I2363/H2363-1))</f>
        <v/>
      </c>
      <c r="K2363" t="str">
        <f>IF($B2363="","",IFERROR(IF(G2363=0,-2E+300,CHOOSE(sortIdx,ROUND(D2363,0),IF(J2363="",-1E+300,ROUND(-J2363,6)),IF(J2363="",-1E+300,ROUND(J2363,6)))),-1.5E+300))</f>
        <v/>
      </c>
      <c r="L2363" t="str">
        <f>IF(K2363="","",RANK(K2363,$K$2:$K$3001,0)+COUNTIF($K$2:K2363,K2363)-1)</f>
        <v/>
      </c>
    </row>
    <row r="2364">
      <c r="B2364" t="str">
        <f>IFERROR(IF(A2364="","","="&amp;SUBSTITUTE(SUBSTITUTE(SUBSTITUTE(A2364,"~","~~"),"*","~*"),"?","~?")),"")</f>
        <v/>
      </c>
      <c r="C2364" t="str">
        <f>IF($B2364="","",SUMIFS(dAmt,dCust,$B2364,dPer,"&gt;="&amp;pyFrom,dPer,"&lt;="&amp;pyTo,dAmt,"&gt;-1E+300",dFlt1,critFlt1,dFlt2,critFlt2,dFlt3,critFlt3))</f>
        <v/>
      </c>
      <c r="D2364" t="str">
        <f>IF($B2364="","",SUMIFS(dAmt,dCust,$B2364,dPer,"&gt;="&amp;cyFrom,dPer,"&lt;="&amp;cyTo,dAmt,"&gt;-1E+300",dFlt1,critFlt1,dFlt2,critFlt2,dFlt3,critFlt3))</f>
        <v/>
      </c>
      <c r="E2364" t="str">
        <f>IF($B2364="","",SUMIFS(dQty,dCust,$B2364,dPer,"&gt;="&amp;pyFrom,dPer,"&lt;="&amp;pyTo,dQty,"&gt;-1E+300",dFlt1,critFlt1,dFlt2,critFlt2,dFlt3,critFlt3))</f>
        <v/>
      </c>
      <c r="F2364" t="str">
        <f>IF($B2364="","",SUMIFS(dQty,dCust,$B2364,dPer,"&gt;="&amp;cyFrom,dPer,"&lt;="&amp;cyTo,dQty,"&gt;-1E+300",dFlt1,critFlt1,dFlt2,critFlt2,dFlt3,critFlt3))</f>
        <v/>
      </c>
      <c r="G2364">
        <f>IF($B2364="",0,IFERROR(IF(OR(C2364&lt;&gt;0,D2364&lt;&gt;0,E2364&lt;&gt;0,F2364&lt;&gt;0),1,0),1))</f>
        <v>0</v>
      </c>
      <c r="H2364" t="str">
        <f>IF(OR(G2364=0,E2364=0),"",C2364/E2364)</f>
        <v/>
      </c>
      <c r="I2364" t="str">
        <f>IF(OR(G2364=0,F2364=0),"",D2364/F2364)</f>
        <v/>
      </c>
      <c r="J2364" t="str">
        <f>IF(OR(H2364="",I2364=""),"",IF(H2364=0,"",I2364/H2364-1))</f>
        <v/>
      </c>
      <c r="K2364" t="str">
        <f>IF($B2364="","",IFERROR(IF(G2364=0,-2E+300,CHOOSE(sortIdx,ROUND(D2364,0),IF(J2364="",-1E+300,ROUND(-J2364,6)),IF(J2364="",-1E+300,ROUND(J2364,6)))),-1.5E+300))</f>
        <v/>
      </c>
      <c r="L2364" t="str">
        <f>IF(K2364="","",RANK(K2364,$K$2:$K$3001,0)+COUNTIF($K$2:K2364,K2364)-1)</f>
        <v/>
      </c>
    </row>
    <row r="2365">
      <c r="B2365" t="str">
        <f>IFERROR(IF(A2365="","","="&amp;SUBSTITUTE(SUBSTITUTE(SUBSTITUTE(A2365,"~","~~"),"*","~*"),"?","~?")),"")</f>
        <v/>
      </c>
      <c r="C2365" t="str">
        <f>IF($B2365="","",SUMIFS(dAmt,dCust,$B2365,dPer,"&gt;="&amp;pyFrom,dPer,"&lt;="&amp;pyTo,dAmt,"&gt;-1E+300",dFlt1,critFlt1,dFlt2,critFlt2,dFlt3,critFlt3))</f>
        <v/>
      </c>
      <c r="D2365" t="str">
        <f>IF($B2365="","",SUMIFS(dAmt,dCust,$B2365,dPer,"&gt;="&amp;cyFrom,dPer,"&lt;="&amp;cyTo,dAmt,"&gt;-1E+300",dFlt1,critFlt1,dFlt2,critFlt2,dFlt3,critFlt3))</f>
        <v/>
      </c>
      <c r="E2365" t="str">
        <f>IF($B2365="","",SUMIFS(dQty,dCust,$B2365,dPer,"&gt;="&amp;pyFrom,dPer,"&lt;="&amp;pyTo,dQty,"&gt;-1E+300",dFlt1,critFlt1,dFlt2,critFlt2,dFlt3,critFlt3))</f>
        <v/>
      </c>
      <c r="F2365" t="str">
        <f>IF($B2365="","",SUMIFS(dQty,dCust,$B2365,dPer,"&gt;="&amp;cyFrom,dPer,"&lt;="&amp;cyTo,dQty,"&gt;-1E+300",dFlt1,critFlt1,dFlt2,critFlt2,dFlt3,critFlt3))</f>
        <v/>
      </c>
      <c r="G2365">
        <f>IF($B2365="",0,IFERROR(IF(OR(C2365&lt;&gt;0,D2365&lt;&gt;0,E2365&lt;&gt;0,F2365&lt;&gt;0),1,0),1))</f>
        <v>0</v>
      </c>
      <c r="H2365" t="str">
        <f>IF(OR(G2365=0,E2365=0),"",C2365/E2365)</f>
        <v/>
      </c>
      <c r="I2365" t="str">
        <f>IF(OR(G2365=0,F2365=0),"",D2365/F2365)</f>
        <v/>
      </c>
      <c r="J2365" t="str">
        <f>IF(OR(H2365="",I2365=""),"",IF(H2365=0,"",I2365/H2365-1))</f>
        <v/>
      </c>
      <c r="K2365" t="str">
        <f>IF($B2365="","",IFERROR(IF(G2365=0,-2E+300,CHOOSE(sortIdx,ROUND(D2365,0),IF(J2365="",-1E+300,ROUND(-J2365,6)),IF(J2365="",-1E+300,ROUND(J2365,6)))),-1.5E+300))</f>
        <v/>
      </c>
      <c r="L2365" t="str">
        <f>IF(K2365="","",RANK(K2365,$K$2:$K$3001,0)+COUNTIF($K$2:K2365,K2365)-1)</f>
        <v/>
      </c>
    </row>
    <row r="2366">
      <c r="B2366" t="str">
        <f>IFERROR(IF(A2366="","","="&amp;SUBSTITUTE(SUBSTITUTE(SUBSTITUTE(A2366,"~","~~"),"*","~*"),"?","~?")),"")</f>
        <v/>
      </c>
      <c r="C2366" t="str">
        <f>IF($B2366="","",SUMIFS(dAmt,dCust,$B2366,dPer,"&gt;="&amp;pyFrom,dPer,"&lt;="&amp;pyTo,dAmt,"&gt;-1E+300",dFlt1,critFlt1,dFlt2,critFlt2,dFlt3,critFlt3))</f>
        <v/>
      </c>
      <c r="D2366" t="str">
        <f>IF($B2366="","",SUMIFS(dAmt,dCust,$B2366,dPer,"&gt;="&amp;cyFrom,dPer,"&lt;="&amp;cyTo,dAmt,"&gt;-1E+300",dFlt1,critFlt1,dFlt2,critFlt2,dFlt3,critFlt3))</f>
        <v/>
      </c>
      <c r="E2366" t="str">
        <f>IF($B2366="","",SUMIFS(dQty,dCust,$B2366,dPer,"&gt;="&amp;pyFrom,dPer,"&lt;="&amp;pyTo,dQty,"&gt;-1E+300",dFlt1,critFlt1,dFlt2,critFlt2,dFlt3,critFlt3))</f>
        <v/>
      </c>
      <c r="F2366" t="str">
        <f>IF($B2366="","",SUMIFS(dQty,dCust,$B2366,dPer,"&gt;="&amp;cyFrom,dPer,"&lt;="&amp;cyTo,dQty,"&gt;-1E+300",dFlt1,critFlt1,dFlt2,critFlt2,dFlt3,critFlt3))</f>
        <v/>
      </c>
      <c r="G2366">
        <f>IF($B2366="",0,IFERROR(IF(OR(C2366&lt;&gt;0,D2366&lt;&gt;0,E2366&lt;&gt;0,F2366&lt;&gt;0),1,0),1))</f>
        <v>0</v>
      </c>
      <c r="H2366" t="str">
        <f>IF(OR(G2366=0,E2366=0),"",C2366/E2366)</f>
        <v/>
      </c>
      <c r="I2366" t="str">
        <f>IF(OR(G2366=0,F2366=0),"",D2366/F2366)</f>
        <v/>
      </c>
      <c r="J2366" t="str">
        <f>IF(OR(H2366="",I2366=""),"",IF(H2366=0,"",I2366/H2366-1))</f>
        <v/>
      </c>
      <c r="K2366" t="str">
        <f>IF($B2366="","",IFERROR(IF(G2366=0,-2E+300,CHOOSE(sortIdx,ROUND(D2366,0),IF(J2366="",-1E+300,ROUND(-J2366,6)),IF(J2366="",-1E+300,ROUND(J2366,6)))),-1.5E+300))</f>
        <v/>
      </c>
      <c r="L2366" t="str">
        <f>IF(K2366="","",RANK(K2366,$K$2:$K$3001,0)+COUNTIF($K$2:K2366,K2366)-1)</f>
        <v/>
      </c>
    </row>
    <row r="2367">
      <c r="B2367" t="str">
        <f>IFERROR(IF(A2367="","","="&amp;SUBSTITUTE(SUBSTITUTE(SUBSTITUTE(A2367,"~","~~"),"*","~*"),"?","~?")),"")</f>
        <v/>
      </c>
      <c r="C2367" t="str">
        <f>IF($B2367="","",SUMIFS(dAmt,dCust,$B2367,dPer,"&gt;="&amp;pyFrom,dPer,"&lt;="&amp;pyTo,dAmt,"&gt;-1E+300",dFlt1,critFlt1,dFlt2,critFlt2,dFlt3,critFlt3))</f>
        <v/>
      </c>
      <c r="D2367" t="str">
        <f>IF($B2367="","",SUMIFS(dAmt,dCust,$B2367,dPer,"&gt;="&amp;cyFrom,dPer,"&lt;="&amp;cyTo,dAmt,"&gt;-1E+300",dFlt1,critFlt1,dFlt2,critFlt2,dFlt3,critFlt3))</f>
        <v/>
      </c>
      <c r="E2367" t="str">
        <f>IF($B2367="","",SUMIFS(dQty,dCust,$B2367,dPer,"&gt;="&amp;pyFrom,dPer,"&lt;="&amp;pyTo,dQty,"&gt;-1E+300",dFlt1,critFlt1,dFlt2,critFlt2,dFlt3,critFlt3))</f>
        <v/>
      </c>
      <c r="F2367" t="str">
        <f>IF($B2367="","",SUMIFS(dQty,dCust,$B2367,dPer,"&gt;="&amp;cyFrom,dPer,"&lt;="&amp;cyTo,dQty,"&gt;-1E+300",dFlt1,critFlt1,dFlt2,critFlt2,dFlt3,critFlt3))</f>
        <v/>
      </c>
      <c r="G2367">
        <f>IF($B2367="",0,IFERROR(IF(OR(C2367&lt;&gt;0,D2367&lt;&gt;0,E2367&lt;&gt;0,F2367&lt;&gt;0),1,0),1))</f>
        <v>0</v>
      </c>
      <c r="H2367" t="str">
        <f>IF(OR(G2367=0,E2367=0),"",C2367/E2367)</f>
        <v/>
      </c>
      <c r="I2367" t="str">
        <f>IF(OR(G2367=0,F2367=0),"",D2367/F2367)</f>
        <v/>
      </c>
      <c r="J2367" t="str">
        <f>IF(OR(H2367="",I2367=""),"",IF(H2367=0,"",I2367/H2367-1))</f>
        <v/>
      </c>
      <c r="K2367" t="str">
        <f>IF($B2367="","",IFERROR(IF(G2367=0,-2E+300,CHOOSE(sortIdx,ROUND(D2367,0),IF(J2367="",-1E+300,ROUND(-J2367,6)),IF(J2367="",-1E+300,ROUND(J2367,6)))),-1.5E+300))</f>
        <v/>
      </c>
      <c r="L2367" t="str">
        <f>IF(K2367="","",RANK(K2367,$K$2:$K$3001,0)+COUNTIF($K$2:K2367,K2367)-1)</f>
        <v/>
      </c>
    </row>
    <row r="2368">
      <c r="B2368" t="str">
        <f>IFERROR(IF(A2368="","","="&amp;SUBSTITUTE(SUBSTITUTE(SUBSTITUTE(A2368,"~","~~"),"*","~*"),"?","~?")),"")</f>
        <v/>
      </c>
      <c r="C2368" t="str">
        <f>IF($B2368="","",SUMIFS(dAmt,dCust,$B2368,dPer,"&gt;="&amp;pyFrom,dPer,"&lt;="&amp;pyTo,dAmt,"&gt;-1E+300",dFlt1,critFlt1,dFlt2,critFlt2,dFlt3,critFlt3))</f>
        <v/>
      </c>
      <c r="D2368" t="str">
        <f>IF($B2368="","",SUMIFS(dAmt,dCust,$B2368,dPer,"&gt;="&amp;cyFrom,dPer,"&lt;="&amp;cyTo,dAmt,"&gt;-1E+300",dFlt1,critFlt1,dFlt2,critFlt2,dFlt3,critFlt3))</f>
        <v/>
      </c>
      <c r="E2368" t="str">
        <f>IF($B2368="","",SUMIFS(dQty,dCust,$B2368,dPer,"&gt;="&amp;pyFrom,dPer,"&lt;="&amp;pyTo,dQty,"&gt;-1E+300",dFlt1,critFlt1,dFlt2,critFlt2,dFlt3,critFlt3))</f>
        <v/>
      </c>
      <c r="F2368" t="str">
        <f>IF($B2368="","",SUMIFS(dQty,dCust,$B2368,dPer,"&gt;="&amp;cyFrom,dPer,"&lt;="&amp;cyTo,dQty,"&gt;-1E+300",dFlt1,critFlt1,dFlt2,critFlt2,dFlt3,critFlt3))</f>
        <v/>
      </c>
      <c r="G2368">
        <f>IF($B2368="",0,IFERROR(IF(OR(C2368&lt;&gt;0,D2368&lt;&gt;0,E2368&lt;&gt;0,F2368&lt;&gt;0),1,0),1))</f>
        <v>0</v>
      </c>
      <c r="H2368" t="str">
        <f>IF(OR(G2368=0,E2368=0),"",C2368/E2368)</f>
        <v/>
      </c>
      <c r="I2368" t="str">
        <f>IF(OR(G2368=0,F2368=0),"",D2368/F2368)</f>
        <v/>
      </c>
      <c r="J2368" t="str">
        <f>IF(OR(H2368="",I2368=""),"",IF(H2368=0,"",I2368/H2368-1))</f>
        <v/>
      </c>
      <c r="K2368" t="str">
        <f>IF($B2368="","",IFERROR(IF(G2368=0,-2E+300,CHOOSE(sortIdx,ROUND(D2368,0),IF(J2368="",-1E+300,ROUND(-J2368,6)),IF(J2368="",-1E+300,ROUND(J2368,6)))),-1.5E+300))</f>
        <v/>
      </c>
      <c r="L2368" t="str">
        <f>IF(K2368="","",RANK(K2368,$K$2:$K$3001,0)+COUNTIF($K$2:K2368,K2368)-1)</f>
        <v/>
      </c>
    </row>
    <row r="2369">
      <c r="B2369" t="str">
        <f>IFERROR(IF(A2369="","","="&amp;SUBSTITUTE(SUBSTITUTE(SUBSTITUTE(A2369,"~","~~"),"*","~*"),"?","~?")),"")</f>
        <v/>
      </c>
      <c r="C2369" t="str">
        <f>IF($B2369="","",SUMIFS(dAmt,dCust,$B2369,dPer,"&gt;="&amp;pyFrom,dPer,"&lt;="&amp;pyTo,dAmt,"&gt;-1E+300",dFlt1,critFlt1,dFlt2,critFlt2,dFlt3,critFlt3))</f>
        <v/>
      </c>
      <c r="D2369" t="str">
        <f>IF($B2369="","",SUMIFS(dAmt,dCust,$B2369,dPer,"&gt;="&amp;cyFrom,dPer,"&lt;="&amp;cyTo,dAmt,"&gt;-1E+300",dFlt1,critFlt1,dFlt2,critFlt2,dFlt3,critFlt3))</f>
        <v/>
      </c>
      <c r="E2369" t="str">
        <f>IF($B2369="","",SUMIFS(dQty,dCust,$B2369,dPer,"&gt;="&amp;pyFrom,dPer,"&lt;="&amp;pyTo,dQty,"&gt;-1E+300",dFlt1,critFlt1,dFlt2,critFlt2,dFlt3,critFlt3))</f>
        <v/>
      </c>
      <c r="F2369" t="str">
        <f>IF($B2369="","",SUMIFS(dQty,dCust,$B2369,dPer,"&gt;="&amp;cyFrom,dPer,"&lt;="&amp;cyTo,dQty,"&gt;-1E+300",dFlt1,critFlt1,dFlt2,critFlt2,dFlt3,critFlt3))</f>
        <v/>
      </c>
      <c r="G2369">
        <f>IF($B2369="",0,IFERROR(IF(OR(C2369&lt;&gt;0,D2369&lt;&gt;0,E2369&lt;&gt;0,F2369&lt;&gt;0),1,0),1))</f>
        <v>0</v>
      </c>
      <c r="H2369" t="str">
        <f>IF(OR(G2369=0,E2369=0),"",C2369/E2369)</f>
        <v/>
      </c>
      <c r="I2369" t="str">
        <f>IF(OR(G2369=0,F2369=0),"",D2369/F2369)</f>
        <v/>
      </c>
      <c r="J2369" t="str">
        <f>IF(OR(H2369="",I2369=""),"",IF(H2369=0,"",I2369/H2369-1))</f>
        <v/>
      </c>
      <c r="K2369" t="str">
        <f>IF($B2369="","",IFERROR(IF(G2369=0,-2E+300,CHOOSE(sortIdx,ROUND(D2369,0),IF(J2369="",-1E+300,ROUND(-J2369,6)),IF(J2369="",-1E+300,ROUND(J2369,6)))),-1.5E+300))</f>
        <v/>
      </c>
      <c r="L2369" t="str">
        <f>IF(K2369="","",RANK(K2369,$K$2:$K$3001,0)+COUNTIF($K$2:K2369,K2369)-1)</f>
        <v/>
      </c>
    </row>
    <row r="2370">
      <c r="B2370" t="str">
        <f>IFERROR(IF(A2370="","","="&amp;SUBSTITUTE(SUBSTITUTE(SUBSTITUTE(A2370,"~","~~"),"*","~*"),"?","~?")),"")</f>
        <v/>
      </c>
      <c r="C2370" t="str">
        <f>IF($B2370="","",SUMIFS(dAmt,dCust,$B2370,dPer,"&gt;="&amp;pyFrom,dPer,"&lt;="&amp;pyTo,dAmt,"&gt;-1E+300",dFlt1,critFlt1,dFlt2,critFlt2,dFlt3,critFlt3))</f>
        <v/>
      </c>
      <c r="D2370" t="str">
        <f>IF($B2370="","",SUMIFS(dAmt,dCust,$B2370,dPer,"&gt;="&amp;cyFrom,dPer,"&lt;="&amp;cyTo,dAmt,"&gt;-1E+300",dFlt1,critFlt1,dFlt2,critFlt2,dFlt3,critFlt3))</f>
        <v/>
      </c>
      <c r="E2370" t="str">
        <f>IF($B2370="","",SUMIFS(dQty,dCust,$B2370,dPer,"&gt;="&amp;pyFrom,dPer,"&lt;="&amp;pyTo,dQty,"&gt;-1E+300",dFlt1,critFlt1,dFlt2,critFlt2,dFlt3,critFlt3))</f>
        <v/>
      </c>
      <c r="F2370" t="str">
        <f>IF($B2370="","",SUMIFS(dQty,dCust,$B2370,dPer,"&gt;="&amp;cyFrom,dPer,"&lt;="&amp;cyTo,dQty,"&gt;-1E+300",dFlt1,critFlt1,dFlt2,critFlt2,dFlt3,critFlt3))</f>
        <v/>
      </c>
      <c r="G2370">
        <f>IF($B2370="",0,IFERROR(IF(OR(C2370&lt;&gt;0,D2370&lt;&gt;0,E2370&lt;&gt;0,F2370&lt;&gt;0),1,0),1))</f>
        <v>0</v>
      </c>
      <c r="H2370" t="str">
        <f>IF(OR(G2370=0,E2370=0),"",C2370/E2370)</f>
        <v/>
      </c>
      <c r="I2370" t="str">
        <f>IF(OR(G2370=0,F2370=0),"",D2370/F2370)</f>
        <v/>
      </c>
      <c r="J2370" t="str">
        <f>IF(OR(H2370="",I2370=""),"",IF(H2370=0,"",I2370/H2370-1))</f>
        <v/>
      </c>
      <c r="K2370" t="str">
        <f>IF($B2370="","",IFERROR(IF(G2370=0,-2E+300,CHOOSE(sortIdx,ROUND(D2370,0),IF(J2370="",-1E+300,ROUND(-J2370,6)),IF(J2370="",-1E+300,ROUND(J2370,6)))),-1.5E+300))</f>
        <v/>
      </c>
      <c r="L2370" t="str">
        <f>IF(K2370="","",RANK(K2370,$K$2:$K$3001,0)+COUNTIF($K$2:K2370,K2370)-1)</f>
        <v/>
      </c>
    </row>
    <row r="2371">
      <c r="B2371" t="str">
        <f>IFERROR(IF(A2371="","","="&amp;SUBSTITUTE(SUBSTITUTE(SUBSTITUTE(A2371,"~","~~"),"*","~*"),"?","~?")),"")</f>
        <v/>
      </c>
      <c r="C2371" t="str">
        <f>IF($B2371="","",SUMIFS(dAmt,dCust,$B2371,dPer,"&gt;="&amp;pyFrom,dPer,"&lt;="&amp;pyTo,dAmt,"&gt;-1E+300",dFlt1,critFlt1,dFlt2,critFlt2,dFlt3,critFlt3))</f>
        <v/>
      </c>
      <c r="D2371" t="str">
        <f>IF($B2371="","",SUMIFS(dAmt,dCust,$B2371,dPer,"&gt;="&amp;cyFrom,dPer,"&lt;="&amp;cyTo,dAmt,"&gt;-1E+300",dFlt1,critFlt1,dFlt2,critFlt2,dFlt3,critFlt3))</f>
        <v/>
      </c>
      <c r="E2371" t="str">
        <f>IF($B2371="","",SUMIFS(dQty,dCust,$B2371,dPer,"&gt;="&amp;pyFrom,dPer,"&lt;="&amp;pyTo,dQty,"&gt;-1E+300",dFlt1,critFlt1,dFlt2,critFlt2,dFlt3,critFlt3))</f>
        <v/>
      </c>
      <c r="F2371" t="str">
        <f>IF($B2371="","",SUMIFS(dQty,dCust,$B2371,dPer,"&gt;="&amp;cyFrom,dPer,"&lt;="&amp;cyTo,dQty,"&gt;-1E+300",dFlt1,critFlt1,dFlt2,critFlt2,dFlt3,critFlt3))</f>
        <v/>
      </c>
      <c r="G2371">
        <f>IF($B2371="",0,IFERROR(IF(OR(C2371&lt;&gt;0,D2371&lt;&gt;0,E2371&lt;&gt;0,F2371&lt;&gt;0),1,0),1))</f>
        <v>0</v>
      </c>
      <c r="H2371" t="str">
        <f>IF(OR(G2371=0,E2371=0),"",C2371/E2371)</f>
        <v/>
      </c>
      <c r="I2371" t="str">
        <f>IF(OR(G2371=0,F2371=0),"",D2371/F2371)</f>
        <v/>
      </c>
      <c r="J2371" t="str">
        <f>IF(OR(H2371="",I2371=""),"",IF(H2371=0,"",I2371/H2371-1))</f>
        <v/>
      </c>
      <c r="K2371" t="str">
        <f>IF($B2371="","",IFERROR(IF(G2371=0,-2E+300,CHOOSE(sortIdx,ROUND(D2371,0),IF(J2371="",-1E+300,ROUND(-J2371,6)),IF(J2371="",-1E+300,ROUND(J2371,6)))),-1.5E+300))</f>
        <v/>
      </c>
      <c r="L2371" t="str">
        <f>IF(K2371="","",RANK(K2371,$K$2:$K$3001,0)+COUNTIF($K$2:K2371,K2371)-1)</f>
        <v/>
      </c>
    </row>
    <row r="2372">
      <c r="B2372" t="str">
        <f>IFERROR(IF(A2372="","","="&amp;SUBSTITUTE(SUBSTITUTE(SUBSTITUTE(A2372,"~","~~"),"*","~*"),"?","~?")),"")</f>
        <v/>
      </c>
      <c r="C2372" t="str">
        <f>IF($B2372="","",SUMIFS(dAmt,dCust,$B2372,dPer,"&gt;="&amp;pyFrom,dPer,"&lt;="&amp;pyTo,dAmt,"&gt;-1E+300",dFlt1,critFlt1,dFlt2,critFlt2,dFlt3,critFlt3))</f>
        <v/>
      </c>
      <c r="D2372" t="str">
        <f>IF($B2372="","",SUMIFS(dAmt,dCust,$B2372,dPer,"&gt;="&amp;cyFrom,dPer,"&lt;="&amp;cyTo,dAmt,"&gt;-1E+300",dFlt1,critFlt1,dFlt2,critFlt2,dFlt3,critFlt3))</f>
        <v/>
      </c>
      <c r="E2372" t="str">
        <f>IF($B2372="","",SUMIFS(dQty,dCust,$B2372,dPer,"&gt;="&amp;pyFrom,dPer,"&lt;="&amp;pyTo,dQty,"&gt;-1E+300",dFlt1,critFlt1,dFlt2,critFlt2,dFlt3,critFlt3))</f>
        <v/>
      </c>
      <c r="F2372" t="str">
        <f>IF($B2372="","",SUMIFS(dQty,dCust,$B2372,dPer,"&gt;="&amp;cyFrom,dPer,"&lt;="&amp;cyTo,dQty,"&gt;-1E+300",dFlt1,critFlt1,dFlt2,critFlt2,dFlt3,critFlt3))</f>
        <v/>
      </c>
      <c r="G2372">
        <f>IF($B2372="",0,IFERROR(IF(OR(C2372&lt;&gt;0,D2372&lt;&gt;0,E2372&lt;&gt;0,F2372&lt;&gt;0),1,0),1))</f>
        <v>0</v>
      </c>
      <c r="H2372" t="str">
        <f>IF(OR(G2372=0,E2372=0),"",C2372/E2372)</f>
        <v/>
      </c>
      <c r="I2372" t="str">
        <f>IF(OR(G2372=0,F2372=0),"",D2372/F2372)</f>
        <v/>
      </c>
      <c r="J2372" t="str">
        <f>IF(OR(H2372="",I2372=""),"",IF(H2372=0,"",I2372/H2372-1))</f>
        <v/>
      </c>
      <c r="K2372" t="str">
        <f>IF($B2372="","",IFERROR(IF(G2372=0,-2E+300,CHOOSE(sortIdx,ROUND(D2372,0),IF(J2372="",-1E+300,ROUND(-J2372,6)),IF(J2372="",-1E+300,ROUND(J2372,6)))),-1.5E+300))</f>
        <v/>
      </c>
      <c r="L2372" t="str">
        <f>IF(K2372="","",RANK(K2372,$K$2:$K$3001,0)+COUNTIF($K$2:K2372,K2372)-1)</f>
        <v/>
      </c>
    </row>
    <row r="2373">
      <c r="B2373" t="str">
        <f>IFERROR(IF(A2373="","","="&amp;SUBSTITUTE(SUBSTITUTE(SUBSTITUTE(A2373,"~","~~"),"*","~*"),"?","~?")),"")</f>
        <v/>
      </c>
      <c r="C2373" t="str">
        <f>IF($B2373="","",SUMIFS(dAmt,dCust,$B2373,dPer,"&gt;="&amp;pyFrom,dPer,"&lt;="&amp;pyTo,dAmt,"&gt;-1E+300",dFlt1,critFlt1,dFlt2,critFlt2,dFlt3,critFlt3))</f>
        <v/>
      </c>
      <c r="D2373" t="str">
        <f>IF($B2373="","",SUMIFS(dAmt,dCust,$B2373,dPer,"&gt;="&amp;cyFrom,dPer,"&lt;="&amp;cyTo,dAmt,"&gt;-1E+300",dFlt1,critFlt1,dFlt2,critFlt2,dFlt3,critFlt3))</f>
        <v/>
      </c>
      <c r="E2373" t="str">
        <f>IF($B2373="","",SUMIFS(dQty,dCust,$B2373,dPer,"&gt;="&amp;pyFrom,dPer,"&lt;="&amp;pyTo,dQty,"&gt;-1E+300",dFlt1,critFlt1,dFlt2,critFlt2,dFlt3,critFlt3))</f>
        <v/>
      </c>
      <c r="F2373" t="str">
        <f>IF($B2373="","",SUMIFS(dQty,dCust,$B2373,dPer,"&gt;="&amp;cyFrom,dPer,"&lt;="&amp;cyTo,dQty,"&gt;-1E+300",dFlt1,critFlt1,dFlt2,critFlt2,dFlt3,critFlt3))</f>
        <v/>
      </c>
      <c r="G2373">
        <f>IF($B2373="",0,IFERROR(IF(OR(C2373&lt;&gt;0,D2373&lt;&gt;0,E2373&lt;&gt;0,F2373&lt;&gt;0),1,0),1))</f>
        <v>0</v>
      </c>
      <c r="H2373" t="str">
        <f>IF(OR(G2373=0,E2373=0),"",C2373/E2373)</f>
        <v/>
      </c>
      <c r="I2373" t="str">
        <f>IF(OR(G2373=0,F2373=0),"",D2373/F2373)</f>
        <v/>
      </c>
      <c r="J2373" t="str">
        <f>IF(OR(H2373="",I2373=""),"",IF(H2373=0,"",I2373/H2373-1))</f>
        <v/>
      </c>
      <c r="K2373" t="str">
        <f>IF($B2373="","",IFERROR(IF(G2373=0,-2E+300,CHOOSE(sortIdx,ROUND(D2373,0),IF(J2373="",-1E+300,ROUND(-J2373,6)),IF(J2373="",-1E+300,ROUND(J2373,6)))),-1.5E+300))</f>
        <v/>
      </c>
      <c r="L2373" t="str">
        <f>IF(K2373="","",RANK(K2373,$K$2:$K$3001,0)+COUNTIF($K$2:K2373,K2373)-1)</f>
        <v/>
      </c>
    </row>
    <row r="2374">
      <c r="B2374" t="str">
        <f>IFERROR(IF(A2374="","","="&amp;SUBSTITUTE(SUBSTITUTE(SUBSTITUTE(A2374,"~","~~"),"*","~*"),"?","~?")),"")</f>
        <v/>
      </c>
      <c r="C2374" t="str">
        <f>IF($B2374="","",SUMIFS(dAmt,dCust,$B2374,dPer,"&gt;="&amp;pyFrom,dPer,"&lt;="&amp;pyTo,dAmt,"&gt;-1E+300",dFlt1,critFlt1,dFlt2,critFlt2,dFlt3,critFlt3))</f>
        <v/>
      </c>
      <c r="D2374" t="str">
        <f>IF($B2374="","",SUMIFS(dAmt,dCust,$B2374,dPer,"&gt;="&amp;cyFrom,dPer,"&lt;="&amp;cyTo,dAmt,"&gt;-1E+300",dFlt1,critFlt1,dFlt2,critFlt2,dFlt3,critFlt3))</f>
        <v/>
      </c>
      <c r="E2374" t="str">
        <f>IF($B2374="","",SUMIFS(dQty,dCust,$B2374,dPer,"&gt;="&amp;pyFrom,dPer,"&lt;="&amp;pyTo,dQty,"&gt;-1E+300",dFlt1,critFlt1,dFlt2,critFlt2,dFlt3,critFlt3))</f>
        <v/>
      </c>
      <c r="F2374" t="str">
        <f>IF($B2374="","",SUMIFS(dQty,dCust,$B2374,dPer,"&gt;="&amp;cyFrom,dPer,"&lt;="&amp;cyTo,dQty,"&gt;-1E+300",dFlt1,critFlt1,dFlt2,critFlt2,dFlt3,critFlt3))</f>
        <v/>
      </c>
      <c r="G2374">
        <f>IF($B2374="",0,IFERROR(IF(OR(C2374&lt;&gt;0,D2374&lt;&gt;0,E2374&lt;&gt;0,F2374&lt;&gt;0),1,0),1))</f>
        <v>0</v>
      </c>
      <c r="H2374" t="str">
        <f>IF(OR(G2374=0,E2374=0),"",C2374/E2374)</f>
        <v/>
      </c>
      <c r="I2374" t="str">
        <f>IF(OR(G2374=0,F2374=0),"",D2374/F2374)</f>
        <v/>
      </c>
      <c r="J2374" t="str">
        <f>IF(OR(H2374="",I2374=""),"",IF(H2374=0,"",I2374/H2374-1))</f>
        <v/>
      </c>
      <c r="K2374" t="str">
        <f>IF($B2374="","",IFERROR(IF(G2374=0,-2E+300,CHOOSE(sortIdx,ROUND(D2374,0),IF(J2374="",-1E+300,ROUND(-J2374,6)),IF(J2374="",-1E+300,ROUND(J2374,6)))),-1.5E+300))</f>
        <v/>
      </c>
      <c r="L2374" t="str">
        <f>IF(K2374="","",RANK(K2374,$K$2:$K$3001,0)+COUNTIF($K$2:K2374,K2374)-1)</f>
        <v/>
      </c>
    </row>
    <row r="2375">
      <c r="B2375" t="str">
        <f>IFERROR(IF(A2375="","","="&amp;SUBSTITUTE(SUBSTITUTE(SUBSTITUTE(A2375,"~","~~"),"*","~*"),"?","~?")),"")</f>
        <v/>
      </c>
      <c r="C2375" t="str">
        <f>IF($B2375="","",SUMIFS(dAmt,dCust,$B2375,dPer,"&gt;="&amp;pyFrom,dPer,"&lt;="&amp;pyTo,dAmt,"&gt;-1E+300",dFlt1,critFlt1,dFlt2,critFlt2,dFlt3,critFlt3))</f>
        <v/>
      </c>
      <c r="D2375" t="str">
        <f>IF($B2375="","",SUMIFS(dAmt,dCust,$B2375,dPer,"&gt;="&amp;cyFrom,dPer,"&lt;="&amp;cyTo,dAmt,"&gt;-1E+300",dFlt1,critFlt1,dFlt2,critFlt2,dFlt3,critFlt3))</f>
        <v/>
      </c>
      <c r="E2375" t="str">
        <f>IF($B2375="","",SUMIFS(dQty,dCust,$B2375,dPer,"&gt;="&amp;pyFrom,dPer,"&lt;="&amp;pyTo,dQty,"&gt;-1E+300",dFlt1,critFlt1,dFlt2,critFlt2,dFlt3,critFlt3))</f>
        <v/>
      </c>
      <c r="F2375" t="str">
        <f>IF($B2375="","",SUMIFS(dQty,dCust,$B2375,dPer,"&gt;="&amp;cyFrom,dPer,"&lt;="&amp;cyTo,dQty,"&gt;-1E+300",dFlt1,critFlt1,dFlt2,critFlt2,dFlt3,critFlt3))</f>
        <v/>
      </c>
      <c r="G2375">
        <f>IF($B2375="",0,IFERROR(IF(OR(C2375&lt;&gt;0,D2375&lt;&gt;0,E2375&lt;&gt;0,F2375&lt;&gt;0),1,0),1))</f>
        <v>0</v>
      </c>
      <c r="H2375" t="str">
        <f>IF(OR(G2375=0,E2375=0),"",C2375/E2375)</f>
        <v/>
      </c>
      <c r="I2375" t="str">
        <f>IF(OR(G2375=0,F2375=0),"",D2375/F2375)</f>
        <v/>
      </c>
      <c r="J2375" t="str">
        <f>IF(OR(H2375="",I2375=""),"",IF(H2375=0,"",I2375/H2375-1))</f>
        <v/>
      </c>
      <c r="K2375" t="str">
        <f>IF($B2375="","",IFERROR(IF(G2375=0,-2E+300,CHOOSE(sortIdx,ROUND(D2375,0),IF(J2375="",-1E+300,ROUND(-J2375,6)),IF(J2375="",-1E+300,ROUND(J2375,6)))),-1.5E+300))</f>
        <v/>
      </c>
      <c r="L2375" t="str">
        <f>IF(K2375="","",RANK(K2375,$K$2:$K$3001,0)+COUNTIF($K$2:K2375,K2375)-1)</f>
        <v/>
      </c>
    </row>
    <row r="2376">
      <c r="B2376" t="str">
        <f>IFERROR(IF(A2376="","","="&amp;SUBSTITUTE(SUBSTITUTE(SUBSTITUTE(A2376,"~","~~"),"*","~*"),"?","~?")),"")</f>
        <v/>
      </c>
      <c r="C2376" t="str">
        <f>IF($B2376="","",SUMIFS(dAmt,dCust,$B2376,dPer,"&gt;="&amp;pyFrom,dPer,"&lt;="&amp;pyTo,dAmt,"&gt;-1E+300",dFlt1,critFlt1,dFlt2,critFlt2,dFlt3,critFlt3))</f>
        <v/>
      </c>
      <c r="D2376" t="str">
        <f>IF($B2376="","",SUMIFS(dAmt,dCust,$B2376,dPer,"&gt;="&amp;cyFrom,dPer,"&lt;="&amp;cyTo,dAmt,"&gt;-1E+300",dFlt1,critFlt1,dFlt2,critFlt2,dFlt3,critFlt3))</f>
        <v/>
      </c>
      <c r="E2376" t="str">
        <f>IF($B2376="","",SUMIFS(dQty,dCust,$B2376,dPer,"&gt;="&amp;pyFrom,dPer,"&lt;="&amp;pyTo,dQty,"&gt;-1E+300",dFlt1,critFlt1,dFlt2,critFlt2,dFlt3,critFlt3))</f>
        <v/>
      </c>
      <c r="F2376" t="str">
        <f>IF($B2376="","",SUMIFS(dQty,dCust,$B2376,dPer,"&gt;="&amp;cyFrom,dPer,"&lt;="&amp;cyTo,dQty,"&gt;-1E+300",dFlt1,critFlt1,dFlt2,critFlt2,dFlt3,critFlt3))</f>
        <v/>
      </c>
      <c r="G2376">
        <f>IF($B2376="",0,IFERROR(IF(OR(C2376&lt;&gt;0,D2376&lt;&gt;0,E2376&lt;&gt;0,F2376&lt;&gt;0),1,0),1))</f>
        <v>0</v>
      </c>
      <c r="H2376" t="str">
        <f>IF(OR(G2376=0,E2376=0),"",C2376/E2376)</f>
        <v/>
      </c>
      <c r="I2376" t="str">
        <f>IF(OR(G2376=0,F2376=0),"",D2376/F2376)</f>
        <v/>
      </c>
      <c r="J2376" t="str">
        <f>IF(OR(H2376="",I2376=""),"",IF(H2376=0,"",I2376/H2376-1))</f>
        <v/>
      </c>
      <c r="K2376" t="str">
        <f>IF($B2376="","",IFERROR(IF(G2376=0,-2E+300,CHOOSE(sortIdx,ROUND(D2376,0),IF(J2376="",-1E+300,ROUND(-J2376,6)),IF(J2376="",-1E+300,ROUND(J2376,6)))),-1.5E+300))</f>
        <v/>
      </c>
      <c r="L2376" t="str">
        <f>IF(K2376="","",RANK(K2376,$K$2:$K$3001,0)+COUNTIF($K$2:K2376,K2376)-1)</f>
        <v/>
      </c>
    </row>
    <row r="2377">
      <c r="B2377" t="str">
        <f>IFERROR(IF(A2377="","","="&amp;SUBSTITUTE(SUBSTITUTE(SUBSTITUTE(A2377,"~","~~"),"*","~*"),"?","~?")),"")</f>
        <v/>
      </c>
      <c r="C2377" t="str">
        <f>IF($B2377="","",SUMIFS(dAmt,dCust,$B2377,dPer,"&gt;="&amp;pyFrom,dPer,"&lt;="&amp;pyTo,dAmt,"&gt;-1E+300",dFlt1,critFlt1,dFlt2,critFlt2,dFlt3,critFlt3))</f>
        <v/>
      </c>
      <c r="D2377" t="str">
        <f>IF($B2377="","",SUMIFS(dAmt,dCust,$B2377,dPer,"&gt;="&amp;cyFrom,dPer,"&lt;="&amp;cyTo,dAmt,"&gt;-1E+300",dFlt1,critFlt1,dFlt2,critFlt2,dFlt3,critFlt3))</f>
        <v/>
      </c>
      <c r="E2377" t="str">
        <f>IF($B2377="","",SUMIFS(dQty,dCust,$B2377,dPer,"&gt;="&amp;pyFrom,dPer,"&lt;="&amp;pyTo,dQty,"&gt;-1E+300",dFlt1,critFlt1,dFlt2,critFlt2,dFlt3,critFlt3))</f>
        <v/>
      </c>
      <c r="F2377" t="str">
        <f>IF($B2377="","",SUMIFS(dQty,dCust,$B2377,dPer,"&gt;="&amp;cyFrom,dPer,"&lt;="&amp;cyTo,dQty,"&gt;-1E+300",dFlt1,critFlt1,dFlt2,critFlt2,dFlt3,critFlt3))</f>
        <v/>
      </c>
      <c r="G2377">
        <f>IF($B2377="",0,IFERROR(IF(OR(C2377&lt;&gt;0,D2377&lt;&gt;0,E2377&lt;&gt;0,F2377&lt;&gt;0),1,0),1))</f>
        <v>0</v>
      </c>
      <c r="H2377" t="str">
        <f>IF(OR(G2377=0,E2377=0),"",C2377/E2377)</f>
        <v/>
      </c>
      <c r="I2377" t="str">
        <f>IF(OR(G2377=0,F2377=0),"",D2377/F2377)</f>
        <v/>
      </c>
      <c r="J2377" t="str">
        <f>IF(OR(H2377="",I2377=""),"",IF(H2377=0,"",I2377/H2377-1))</f>
        <v/>
      </c>
      <c r="K2377" t="str">
        <f>IF($B2377="","",IFERROR(IF(G2377=0,-2E+300,CHOOSE(sortIdx,ROUND(D2377,0),IF(J2377="",-1E+300,ROUND(-J2377,6)),IF(J2377="",-1E+300,ROUND(J2377,6)))),-1.5E+300))</f>
        <v/>
      </c>
      <c r="L2377" t="str">
        <f>IF(K2377="","",RANK(K2377,$K$2:$K$3001,0)+COUNTIF($K$2:K2377,K2377)-1)</f>
        <v/>
      </c>
    </row>
    <row r="2378">
      <c r="B2378" t="str">
        <f>IFERROR(IF(A2378="","","="&amp;SUBSTITUTE(SUBSTITUTE(SUBSTITUTE(A2378,"~","~~"),"*","~*"),"?","~?")),"")</f>
        <v/>
      </c>
      <c r="C2378" t="str">
        <f>IF($B2378="","",SUMIFS(dAmt,dCust,$B2378,dPer,"&gt;="&amp;pyFrom,dPer,"&lt;="&amp;pyTo,dAmt,"&gt;-1E+300",dFlt1,critFlt1,dFlt2,critFlt2,dFlt3,critFlt3))</f>
        <v/>
      </c>
      <c r="D2378" t="str">
        <f>IF($B2378="","",SUMIFS(dAmt,dCust,$B2378,dPer,"&gt;="&amp;cyFrom,dPer,"&lt;="&amp;cyTo,dAmt,"&gt;-1E+300",dFlt1,critFlt1,dFlt2,critFlt2,dFlt3,critFlt3))</f>
        <v/>
      </c>
      <c r="E2378" t="str">
        <f>IF($B2378="","",SUMIFS(dQty,dCust,$B2378,dPer,"&gt;="&amp;pyFrom,dPer,"&lt;="&amp;pyTo,dQty,"&gt;-1E+300",dFlt1,critFlt1,dFlt2,critFlt2,dFlt3,critFlt3))</f>
        <v/>
      </c>
      <c r="F2378" t="str">
        <f>IF($B2378="","",SUMIFS(dQty,dCust,$B2378,dPer,"&gt;="&amp;cyFrom,dPer,"&lt;="&amp;cyTo,dQty,"&gt;-1E+300",dFlt1,critFlt1,dFlt2,critFlt2,dFlt3,critFlt3))</f>
        <v/>
      </c>
      <c r="G2378">
        <f>IF($B2378="",0,IFERROR(IF(OR(C2378&lt;&gt;0,D2378&lt;&gt;0,E2378&lt;&gt;0,F2378&lt;&gt;0),1,0),1))</f>
        <v>0</v>
      </c>
      <c r="H2378" t="str">
        <f>IF(OR(G2378=0,E2378=0),"",C2378/E2378)</f>
        <v/>
      </c>
      <c r="I2378" t="str">
        <f>IF(OR(G2378=0,F2378=0),"",D2378/F2378)</f>
        <v/>
      </c>
      <c r="J2378" t="str">
        <f>IF(OR(H2378="",I2378=""),"",IF(H2378=0,"",I2378/H2378-1))</f>
        <v/>
      </c>
      <c r="K2378" t="str">
        <f>IF($B2378="","",IFERROR(IF(G2378=0,-2E+300,CHOOSE(sortIdx,ROUND(D2378,0),IF(J2378="",-1E+300,ROUND(-J2378,6)),IF(J2378="",-1E+300,ROUND(J2378,6)))),-1.5E+300))</f>
        <v/>
      </c>
      <c r="L2378" t="str">
        <f>IF(K2378="","",RANK(K2378,$K$2:$K$3001,0)+COUNTIF($K$2:K2378,K2378)-1)</f>
        <v/>
      </c>
    </row>
    <row r="2379">
      <c r="B2379" t="str">
        <f>IFERROR(IF(A2379="","","="&amp;SUBSTITUTE(SUBSTITUTE(SUBSTITUTE(A2379,"~","~~"),"*","~*"),"?","~?")),"")</f>
        <v/>
      </c>
      <c r="C2379" t="str">
        <f>IF($B2379="","",SUMIFS(dAmt,dCust,$B2379,dPer,"&gt;="&amp;pyFrom,dPer,"&lt;="&amp;pyTo,dAmt,"&gt;-1E+300",dFlt1,critFlt1,dFlt2,critFlt2,dFlt3,critFlt3))</f>
        <v/>
      </c>
      <c r="D2379" t="str">
        <f>IF($B2379="","",SUMIFS(dAmt,dCust,$B2379,dPer,"&gt;="&amp;cyFrom,dPer,"&lt;="&amp;cyTo,dAmt,"&gt;-1E+300",dFlt1,critFlt1,dFlt2,critFlt2,dFlt3,critFlt3))</f>
        <v/>
      </c>
      <c r="E2379" t="str">
        <f>IF($B2379="","",SUMIFS(dQty,dCust,$B2379,dPer,"&gt;="&amp;pyFrom,dPer,"&lt;="&amp;pyTo,dQty,"&gt;-1E+300",dFlt1,critFlt1,dFlt2,critFlt2,dFlt3,critFlt3))</f>
        <v/>
      </c>
      <c r="F2379" t="str">
        <f>IF($B2379="","",SUMIFS(dQty,dCust,$B2379,dPer,"&gt;="&amp;cyFrom,dPer,"&lt;="&amp;cyTo,dQty,"&gt;-1E+300",dFlt1,critFlt1,dFlt2,critFlt2,dFlt3,critFlt3))</f>
        <v/>
      </c>
      <c r="G2379">
        <f>IF($B2379="",0,IFERROR(IF(OR(C2379&lt;&gt;0,D2379&lt;&gt;0,E2379&lt;&gt;0,F2379&lt;&gt;0),1,0),1))</f>
        <v>0</v>
      </c>
      <c r="H2379" t="str">
        <f>IF(OR(G2379=0,E2379=0),"",C2379/E2379)</f>
        <v/>
      </c>
      <c r="I2379" t="str">
        <f>IF(OR(G2379=0,F2379=0),"",D2379/F2379)</f>
        <v/>
      </c>
      <c r="J2379" t="str">
        <f>IF(OR(H2379="",I2379=""),"",IF(H2379=0,"",I2379/H2379-1))</f>
        <v/>
      </c>
      <c r="K2379" t="str">
        <f>IF($B2379="","",IFERROR(IF(G2379=0,-2E+300,CHOOSE(sortIdx,ROUND(D2379,0),IF(J2379="",-1E+300,ROUND(-J2379,6)),IF(J2379="",-1E+300,ROUND(J2379,6)))),-1.5E+300))</f>
        <v/>
      </c>
      <c r="L2379" t="str">
        <f>IF(K2379="","",RANK(K2379,$K$2:$K$3001,0)+COUNTIF($K$2:K2379,K2379)-1)</f>
        <v/>
      </c>
    </row>
    <row r="2380">
      <c r="B2380" t="str">
        <f>IFERROR(IF(A2380="","","="&amp;SUBSTITUTE(SUBSTITUTE(SUBSTITUTE(A2380,"~","~~"),"*","~*"),"?","~?")),"")</f>
        <v/>
      </c>
      <c r="C2380" t="str">
        <f>IF($B2380="","",SUMIFS(dAmt,dCust,$B2380,dPer,"&gt;="&amp;pyFrom,dPer,"&lt;="&amp;pyTo,dAmt,"&gt;-1E+300",dFlt1,critFlt1,dFlt2,critFlt2,dFlt3,critFlt3))</f>
        <v/>
      </c>
      <c r="D2380" t="str">
        <f>IF($B2380="","",SUMIFS(dAmt,dCust,$B2380,dPer,"&gt;="&amp;cyFrom,dPer,"&lt;="&amp;cyTo,dAmt,"&gt;-1E+300",dFlt1,critFlt1,dFlt2,critFlt2,dFlt3,critFlt3))</f>
        <v/>
      </c>
      <c r="E2380" t="str">
        <f>IF($B2380="","",SUMIFS(dQty,dCust,$B2380,dPer,"&gt;="&amp;pyFrom,dPer,"&lt;="&amp;pyTo,dQty,"&gt;-1E+300",dFlt1,critFlt1,dFlt2,critFlt2,dFlt3,critFlt3))</f>
        <v/>
      </c>
      <c r="F2380" t="str">
        <f>IF($B2380="","",SUMIFS(dQty,dCust,$B2380,dPer,"&gt;="&amp;cyFrom,dPer,"&lt;="&amp;cyTo,dQty,"&gt;-1E+300",dFlt1,critFlt1,dFlt2,critFlt2,dFlt3,critFlt3))</f>
        <v/>
      </c>
      <c r="G2380">
        <f>IF($B2380="",0,IFERROR(IF(OR(C2380&lt;&gt;0,D2380&lt;&gt;0,E2380&lt;&gt;0,F2380&lt;&gt;0),1,0),1))</f>
        <v>0</v>
      </c>
      <c r="H2380" t="str">
        <f>IF(OR(G2380=0,E2380=0),"",C2380/E2380)</f>
        <v/>
      </c>
      <c r="I2380" t="str">
        <f>IF(OR(G2380=0,F2380=0),"",D2380/F2380)</f>
        <v/>
      </c>
      <c r="J2380" t="str">
        <f>IF(OR(H2380="",I2380=""),"",IF(H2380=0,"",I2380/H2380-1))</f>
        <v/>
      </c>
      <c r="K2380" t="str">
        <f>IF($B2380="","",IFERROR(IF(G2380=0,-2E+300,CHOOSE(sortIdx,ROUND(D2380,0),IF(J2380="",-1E+300,ROUND(-J2380,6)),IF(J2380="",-1E+300,ROUND(J2380,6)))),-1.5E+300))</f>
        <v/>
      </c>
      <c r="L2380" t="str">
        <f>IF(K2380="","",RANK(K2380,$K$2:$K$3001,0)+COUNTIF($K$2:K2380,K2380)-1)</f>
        <v/>
      </c>
    </row>
    <row r="2381">
      <c r="B2381" t="str">
        <f>IFERROR(IF(A2381="","","="&amp;SUBSTITUTE(SUBSTITUTE(SUBSTITUTE(A2381,"~","~~"),"*","~*"),"?","~?")),"")</f>
        <v/>
      </c>
      <c r="C2381" t="str">
        <f>IF($B2381="","",SUMIFS(dAmt,dCust,$B2381,dPer,"&gt;="&amp;pyFrom,dPer,"&lt;="&amp;pyTo,dAmt,"&gt;-1E+300",dFlt1,critFlt1,dFlt2,critFlt2,dFlt3,critFlt3))</f>
        <v/>
      </c>
      <c r="D2381" t="str">
        <f>IF($B2381="","",SUMIFS(dAmt,dCust,$B2381,dPer,"&gt;="&amp;cyFrom,dPer,"&lt;="&amp;cyTo,dAmt,"&gt;-1E+300",dFlt1,critFlt1,dFlt2,critFlt2,dFlt3,critFlt3))</f>
        <v/>
      </c>
      <c r="E2381" t="str">
        <f>IF($B2381="","",SUMIFS(dQty,dCust,$B2381,dPer,"&gt;="&amp;pyFrom,dPer,"&lt;="&amp;pyTo,dQty,"&gt;-1E+300",dFlt1,critFlt1,dFlt2,critFlt2,dFlt3,critFlt3))</f>
        <v/>
      </c>
      <c r="F2381" t="str">
        <f>IF($B2381="","",SUMIFS(dQty,dCust,$B2381,dPer,"&gt;="&amp;cyFrom,dPer,"&lt;="&amp;cyTo,dQty,"&gt;-1E+300",dFlt1,critFlt1,dFlt2,critFlt2,dFlt3,critFlt3))</f>
        <v/>
      </c>
      <c r="G2381">
        <f>IF($B2381="",0,IFERROR(IF(OR(C2381&lt;&gt;0,D2381&lt;&gt;0,E2381&lt;&gt;0,F2381&lt;&gt;0),1,0),1))</f>
        <v>0</v>
      </c>
      <c r="H2381" t="str">
        <f>IF(OR(G2381=0,E2381=0),"",C2381/E2381)</f>
        <v/>
      </c>
      <c r="I2381" t="str">
        <f>IF(OR(G2381=0,F2381=0),"",D2381/F2381)</f>
        <v/>
      </c>
      <c r="J2381" t="str">
        <f>IF(OR(H2381="",I2381=""),"",IF(H2381=0,"",I2381/H2381-1))</f>
        <v/>
      </c>
      <c r="K2381" t="str">
        <f>IF($B2381="","",IFERROR(IF(G2381=0,-2E+300,CHOOSE(sortIdx,ROUND(D2381,0),IF(J2381="",-1E+300,ROUND(-J2381,6)),IF(J2381="",-1E+300,ROUND(J2381,6)))),-1.5E+300))</f>
        <v/>
      </c>
      <c r="L2381" t="str">
        <f>IF(K2381="","",RANK(K2381,$K$2:$K$3001,0)+COUNTIF($K$2:K2381,K2381)-1)</f>
        <v/>
      </c>
    </row>
    <row r="2382">
      <c r="B2382" t="str">
        <f>IFERROR(IF(A2382="","","="&amp;SUBSTITUTE(SUBSTITUTE(SUBSTITUTE(A2382,"~","~~"),"*","~*"),"?","~?")),"")</f>
        <v/>
      </c>
      <c r="C2382" t="str">
        <f>IF($B2382="","",SUMIFS(dAmt,dCust,$B2382,dPer,"&gt;="&amp;pyFrom,dPer,"&lt;="&amp;pyTo,dAmt,"&gt;-1E+300",dFlt1,critFlt1,dFlt2,critFlt2,dFlt3,critFlt3))</f>
        <v/>
      </c>
      <c r="D2382" t="str">
        <f>IF($B2382="","",SUMIFS(dAmt,dCust,$B2382,dPer,"&gt;="&amp;cyFrom,dPer,"&lt;="&amp;cyTo,dAmt,"&gt;-1E+300",dFlt1,critFlt1,dFlt2,critFlt2,dFlt3,critFlt3))</f>
        <v/>
      </c>
      <c r="E2382" t="str">
        <f>IF($B2382="","",SUMIFS(dQty,dCust,$B2382,dPer,"&gt;="&amp;pyFrom,dPer,"&lt;="&amp;pyTo,dQty,"&gt;-1E+300",dFlt1,critFlt1,dFlt2,critFlt2,dFlt3,critFlt3))</f>
        <v/>
      </c>
      <c r="F2382" t="str">
        <f>IF($B2382="","",SUMIFS(dQty,dCust,$B2382,dPer,"&gt;="&amp;cyFrom,dPer,"&lt;="&amp;cyTo,dQty,"&gt;-1E+300",dFlt1,critFlt1,dFlt2,critFlt2,dFlt3,critFlt3))</f>
        <v/>
      </c>
      <c r="G2382">
        <f>IF($B2382="",0,IFERROR(IF(OR(C2382&lt;&gt;0,D2382&lt;&gt;0,E2382&lt;&gt;0,F2382&lt;&gt;0),1,0),1))</f>
        <v>0</v>
      </c>
      <c r="H2382" t="str">
        <f>IF(OR(G2382=0,E2382=0),"",C2382/E2382)</f>
        <v/>
      </c>
      <c r="I2382" t="str">
        <f>IF(OR(G2382=0,F2382=0),"",D2382/F2382)</f>
        <v/>
      </c>
      <c r="J2382" t="str">
        <f>IF(OR(H2382="",I2382=""),"",IF(H2382=0,"",I2382/H2382-1))</f>
        <v/>
      </c>
      <c r="K2382" t="str">
        <f>IF($B2382="","",IFERROR(IF(G2382=0,-2E+300,CHOOSE(sortIdx,ROUND(D2382,0),IF(J2382="",-1E+300,ROUND(-J2382,6)),IF(J2382="",-1E+300,ROUND(J2382,6)))),-1.5E+300))</f>
        <v/>
      </c>
      <c r="L2382" t="str">
        <f>IF(K2382="","",RANK(K2382,$K$2:$K$3001,0)+COUNTIF($K$2:K2382,K2382)-1)</f>
        <v/>
      </c>
    </row>
    <row r="2383">
      <c r="B2383" t="str">
        <f>IFERROR(IF(A2383="","","="&amp;SUBSTITUTE(SUBSTITUTE(SUBSTITUTE(A2383,"~","~~"),"*","~*"),"?","~?")),"")</f>
        <v/>
      </c>
      <c r="C2383" t="str">
        <f>IF($B2383="","",SUMIFS(dAmt,dCust,$B2383,dPer,"&gt;="&amp;pyFrom,dPer,"&lt;="&amp;pyTo,dAmt,"&gt;-1E+300",dFlt1,critFlt1,dFlt2,critFlt2,dFlt3,critFlt3))</f>
        <v/>
      </c>
      <c r="D2383" t="str">
        <f>IF($B2383="","",SUMIFS(dAmt,dCust,$B2383,dPer,"&gt;="&amp;cyFrom,dPer,"&lt;="&amp;cyTo,dAmt,"&gt;-1E+300",dFlt1,critFlt1,dFlt2,critFlt2,dFlt3,critFlt3))</f>
        <v/>
      </c>
      <c r="E2383" t="str">
        <f>IF($B2383="","",SUMIFS(dQty,dCust,$B2383,dPer,"&gt;="&amp;pyFrom,dPer,"&lt;="&amp;pyTo,dQty,"&gt;-1E+300",dFlt1,critFlt1,dFlt2,critFlt2,dFlt3,critFlt3))</f>
        <v/>
      </c>
      <c r="F2383" t="str">
        <f>IF($B2383="","",SUMIFS(dQty,dCust,$B2383,dPer,"&gt;="&amp;cyFrom,dPer,"&lt;="&amp;cyTo,dQty,"&gt;-1E+300",dFlt1,critFlt1,dFlt2,critFlt2,dFlt3,critFlt3))</f>
        <v/>
      </c>
      <c r="G2383">
        <f>IF($B2383="",0,IFERROR(IF(OR(C2383&lt;&gt;0,D2383&lt;&gt;0,E2383&lt;&gt;0,F2383&lt;&gt;0),1,0),1))</f>
        <v>0</v>
      </c>
      <c r="H2383" t="str">
        <f>IF(OR(G2383=0,E2383=0),"",C2383/E2383)</f>
        <v/>
      </c>
      <c r="I2383" t="str">
        <f>IF(OR(G2383=0,F2383=0),"",D2383/F2383)</f>
        <v/>
      </c>
      <c r="J2383" t="str">
        <f>IF(OR(H2383="",I2383=""),"",IF(H2383=0,"",I2383/H2383-1))</f>
        <v/>
      </c>
      <c r="K2383" t="str">
        <f>IF($B2383="","",IFERROR(IF(G2383=0,-2E+300,CHOOSE(sortIdx,ROUND(D2383,0),IF(J2383="",-1E+300,ROUND(-J2383,6)),IF(J2383="",-1E+300,ROUND(J2383,6)))),-1.5E+300))</f>
        <v/>
      </c>
      <c r="L2383" t="str">
        <f>IF(K2383="","",RANK(K2383,$K$2:$K$3001,0)+COUNTIF($K$2:K2383,K2383)-1)</f>
        <v/>
      </c>
    </row>
    <row r="2384">
      <c r="B2384" t="str">
        <f>IFERROR(IF(A2384="","","="&amp;SUBSTITUTE(SUBSTITUTE(SUBSTITUTE(A2384,"~","~~"),"*","~*"),"?","~?")),"")</f>
        <v/>
      </c>
      <c r="C2384" t="str">
        <f>IF($B2384="","",SUMIFS(dAmt,dCust,$B2384,dPer,"&gt;="&amp;pyFrom,dPer,"&lt;="&amp;pyTo,dAmt,"&gt;-1E+300",dFlt1,critFlt1,dFlt2,critFlt2,dFlt3,critFlt3))</f>
        <v/>
      </c>
      <c r="D2384" t="str">
        <f>IF($B2384="","",SUMIFS(dAmt,dCust,$B2384,dPer,"&gt;="&amp;cyFrom,dPer,"&lt;="&amp;cyTo,dAmt,"&gt;-1E+300",dFlt1,critFlt1,dFlt2,critFlt2,dFlt3,critFlt3))</f>
        <v/>
      </c>
      <c r="E2384" t="str">
        <f>IF($B2384="","",SUMIFS(dQty,dCust,$B2384,dPer,"&gt;="&amp;pyFrom,dPer,"&lt;="&amp;pyTo,dQty,"&gt;-1E+300",dFlt1,critFlt1,dFlt2,critFlt2,dFlt3,critFlt3))</f>
        <v/>
      </c>
      <c r="F2384" t="str">
        <f>IF($B2384="","",SUMIFS(dQty,dCust,$B2384,dPer,"&gt;="&amp;cyFrom,dPer,"&lt;="&amp;cyTo,dQty,"&gt;-1E+300",dFlt1,critFlt1,dFlt2,critFlt2,dFlt3,critFlt3))</f>
        <v/>
      </c>
      <c r="G2384">
        <f>IF($B2384="",0,IFERROR(IF(OR(C2384&lt;&gt;0,D2384&lt;&gt;0,E2384&lt;&gt;0,F2384&lt;&gt;0),1,0),1))</f>
        <v>0</v>
      </c>
      <c r="H2384" t="str">
        <f>IF(OR(G2384=0,E2384=0),"",C2384/E2384)</f>
        <v/>
      </c>
      <c r="I2384" t="str">
        <f>IF(OR(G2384=0,F2384=0),"",D2384/F2384)</f>
        <v/>
      </c>
      <c r="J2384" t="str">
        <f>IF(OR(H2384="",I2384=""),"",IF(H2384=0,"",I2384/H2384-1))</f>
        <v/>
      </c>
      <c r="K2384" t="str">
        <f>IF($B2384="","",IFERROR(IF(G2384=0,-2E+300,CHOOSE(sortIdx,ROUND(D2384,0),IF(J2384="",-1E+300,ROUND(-J2384,6)),IF(J2384="",-1E+300,ROUND(J2384,6)))),-1.5E+300))</f>
        <v/>
      </c>
      <c r="L2384" t="str">
        <f>IF(K2384="","",RANK(K2384,$K$2:$K$3001,0)+COUNTIF($K$2:K2384,K2384)-1)</f>
        <v/>
      </c>
    </row>
    <row r="2385">
      <c r="B2385" t="str">
        <f>IFERROR(IF(A2385="","","="&amp;SUBSTITUTE(SUBSTITUTE(SUBSTITUTE(A2385,"~","~~"),"*","~*"),"?","~?")),"")</f>
        <v/>
      </c>
      <c r="C2385" t="str">
        <f>IF($B2385="","",SUMIFS(dAmt,dCust,$B2385,dPer,"&gt;="&amp;pyFrom,dPer,"&lt;="&amp;pyTo,dAmt,"&gt;-1E+300",dFlt1,critFlt1,dFlt2,critFlt2,dFlt3,critFlt3))</f>
        <v/>
      </c>
      <c r="D2385" t="str">
        <f>IF($B2385="","",SUMIFS(dAmt,dCust,$B2385,dPer,"&gt;="&amp;cyFrom,dPer,"&lt;="&amp;cyTo,dAmt,"&gt;-1E+300",dFlt1,critFlt1,dFlt2,critFlt2,dFlt3,critFlt3))</f>
        <v/>
      </c>
      <c r="E2385" t="str">
        <f>IF($B2385="","",SUMIFS(dQty,dCust,$B2385,dPer,"&gt;="&amp;pyFrom,dPer,"&lt;="&amp;pyTo,dQty,"&gt;-1E+300",dFlt1,critFlt1,dFlt2,critFlt2,dFlt3,critFlt3))</f>
        <v/>
      </c>
      <c r="F2385" t="str">
        <f>IF($B2385="","",SUMIFS(dQty,dCust,$B2385,dPer,"&gt;="&amp;cyFrom,dPer,"&lt;="&amp;cyTo,dQty,"&gt;-1E+300",dFlt1,critFlt1,dFlt2,critFlt2,dFlt3,critFlt3))</f>
        <v/>
      </c>
      <c r="G2385">
        <f>IF($B2385="",0,IFERROR(IF(OR(C2385&lt;&gt;0,D2385&lt;&gt;0,E2385&lt;&gt;0,F2385&lt;&gt;0),1,0),1))</f>
        <v>0</v>
      </c>
      <c r="H2385" t="str">
        <f>IF(OR(G2385=0,E2385=0),"",C2385/E2385)</f>
        <v/>
      </c>
      <c r="I2385" t="str">
        <f>IF(OR(G2385=0,F2385=0),"",D2385/F2385)</f>
        <v/>
      </c>
      <c r="J2385" t="str">
        <f>IF(OR(H2385="",I2385=""),"",IF(H2385=0,"",I2385/H2385-1))</f>
        <v/>
      </c>
      <c r="K2385" t="str">
        <f>IF($B2385="","",IFERROR(IF(G2385=0,-2E+300,CHOOSE(sortIdx,ROUND(D2385,0),IF(J2385="",-1E+300,ROUND(-J2385,6)),IF(J2385="",-1E+300,ROUND(J2385,6)))),-1.5E+300))</f>
        <v/>
      </c>
      <c r="L2385" t="str">
        <f>IF(K2385="","",RANK(K2385,$K$2:$K$3001,0)+COUNTIF($K$2:K2385,K2385)-1)</f>
        <v/>
      </c>
    </row>
    <row r="2386">
      <c r="B2386" t="str">
        <f>IFERROR(IF(A2386="","","="&amp;SUBSTITUTE(SUBSTITUTE(SUBSTITUTE(A2386,"~","~~"),"*","~*"),"?","~?")),"")</f>
        <v/>
      </c>
      <c r="C2386" t="str">
        <f>IF($B2386="","",SUMIFS(dAmt,dCust,$B2386,dPer,"&gt;="&amp;pyFrom,dPer,"&lt;="&amp;pyTo,dAmt,"&gt;-1E+300",dFlt1,critFlt1,dFlt2,critFlt2,dFlt3,critFlt3))</f>
        <v/>
      </c>
      <c r="D2386" t="str">
        <f>IF($B2386="","",SUMIFS(dAmt,dCust,$B2386,dPer,"&gt;="&amp;cyFrom,dPer,"&lt;="&amp;cyTo,dAmt,"&gt;-1E+300",dFlt1,critFlt1,dFlt2,critFlt2,dFlt3,critFlt3))</f>
        <v/>
      </c>
      <c r="E2386" t="str">
        <f>IF($B2386="","",SUMIFS(dQty,dCust,$B2386,dPer,"&gt;="&amp;pyFrom,dPer,"&lt;="&amp;pyTo,dQty,"&gt;-1E+300",dFlt1,critFlt1,dFlt2,critFlt2,dFlt3,critFlt3))</f>
        <v/>
      </c>
      <c r="F2386" t="str">
        <f>IF($B2386="","",SUMIFS(dQty,dCust,$B2386,dPer,"&gt;="&amp;cyFrom,dPer,"&lt;="&amp;cyTo,dQty,"&gt;-1E+300",dFlt1,critFlt1,dFlt2,critFlt2,dFlt3,critFlt3))</f>
        <v/>
      </c>
      <c r="G2386">
        <f>IF($B2386="",0,IFERROR(IF(OR(C2386&lt;&gt;0,D2386&lt;&gt;0,E2386&lt;&gt;0,F2386&lt;&gt;0),1,0),1))</f>
        <v>0</v>
      </c>
      <c r="H2386" t="str">
        <f>IF(OR(G2386=0,E2386=0),"",C2386/E2386)</f>
        <v/>
      </c>
      <c r="I2386" t="str">
        <f>IF(OR(G2386=0,F2386=0),"",D2386/F2386)</f>
        <v/>
      </c>
      <c r="J2386" t="str">
        <f>IF(OR(H2386="",I2386=""),"",IF(H2386=0,"",I2386/H2386-1))</f>
        <v/>
      </c>
      <c r="K2386" t="str">
        <f>IF($B2386="","",IFERROR(IF(G2386=0,-2E+300,CHOOSE(sortIdx,ROUND(D2386,0),IF(J2386="",-1E+300,ROUND(-J2386,6)),IF(J2386="",-1E+300,ROUND(J2386,6)))),-1.5E+300))</f>
        <v/>
      </c>
      <c r="L2386" t="str">
        <f>IF(K2386="","",RANK(K2386,$K$2:$K$3001,0)+COUNTIF($K$2:K2386,K2386)-1)</f>
        <v/>
      </c>
    </row>
    <row r="2387">
      <c r="B2387" t="str">
        <f>IFERROR(IF(A2387="","","="&amp;SUBSTITUTE(SUBSTITUTE(SUBSTITUTE(A2387,"~","~~"),"*","~*"),"?","~?")),"")</f>
        <v/>
      </c>
      <c r="C2387" t="str">
        <f>IF($B2387="","",SUMIFS(dAmt,dCust,$B2387,dPer,"&gt;="&amp;pyFrom,dPer,"&lt;="&amp;pyTo,dAmt,"&gt;-1E+300",dFlt1,critFlt1,dFlt2,critFlt2,dFlt3,critFlt3))</f>
        <v/>
      </c>
      <c r="D2387" t="str">
        <f>IF($B2387="","",SUMIFS(dAmt,dCust,$B2387,dPer,"&gt;="&amp;cyFrom,dPer,"&lt;="&amp;cyTo,dAmt,"&gt;-1E+300",dFlt1,critFlt1,dFlt2,critFlt2,dFlt3,critFlt3))</f>
        <v/>
      </c>
      <c r="E2387" t="str">
        <f>IF($B2387="","",SUMIFS(dQty,dCust,$B2387,dPer,"&gt;="&amp;pyFrom,dPer,"&lt;="&amp;pyTo,dQty,"&gt;-1E+300",dFlt1,critFlt1,dFlt2,critFlt2,dFlt3,critFlt3))</f>
        <v/>
      </c>
      <c r="F2387" t="str">
        <f>IF($B2387="","",SUMIFS(dQty,dCust,$B2387,dPer,"&gt;="&amp;cyFrom,dPer,"&lt;="&amp;cyTo,dQty,"&gt;-1E+300",dFlt1,critFlt1,dFlt2,critFlt2,dFlt3,critFlt3))</f>
        <v/>
      </c>
      <c r="G2387">
        <f>IF($B2387="",0,IFERROR(IF(OR(C2387&lt;&gt;0,D2387&lt;&gt;0,E2387&lt;&gt;0,F2387&lt;&gt;0),1,0),1))</f>
        <v>0</v>
      </c>
      <c r="H2387" t="str">
        <f>IF(OR(G2387=0,E2387=0),"",C2387/E2387)</f>
        <v/>
      </c>
      <c r="I2387" t="str">
        <f>IF(OR(G2387=0,F2387=0),"",D2387/F2387)</f>
        <v/>
      </c>
      <c r="J2387" t="str">
        <f>IF(OR(H2387="",I2387=""),"",IF(H2387=0,"",I2387/H2387-1))</f>
        <v/>
      </c>
      <c r="K2387" t="str">
        <f>IF($B2387="","",IFERROR(IF(G2387=0,-2E+300,CHOOSE(sortIdx,ROUND(D2387,0),IF(J2387="",-1E+300,ROUND(-J2387,6)),IF(J2387="",-1E+300,ROUND(J2387,6)))),-1.5E+300))</f>
        <v/>
      </c>
      <c r="L2387" t="str">
        <f>IF(K2387="","",RANK(K2387,$K$2:$K$3001,0)+COUNTIF($K$2:K2387,K2387)-1)</f>
        <v/>
      </c>
    </row>
    <row r="2388">
      <c r="B2388" t="str">
        <f>IFERROR(IF(A2388="","","="&amp;SUBSTITUTE(SUBSTITUTE(SUBSTITUTE(A2388,"~","~~"),"*","~*"),"?","~?")),"")</f>
        <v/>
      </c>
      <c r="C2388" t="str">
        <f>IF($B2388="","",SUMIFS(dAmt,dCust,$B2388,dPer,"&gt;="&amp;pyFrom,dPer,"&lt;="&amp;pyTo,dAmt,"&gt;-1E+300",dFlt1,critFlt1,dFlt2,critFlt2,dFlt3,critFlt3))</f>
        <v/>
      </c>
      <c r="D2388" t="str">
        <f>IF($B2388="","",SUMIFS(dAmt,dCust,$B2388,dPer,"&gt;="&amp;cyFrom,dPer,"&lt;="&amp;cyTo,dAmt,"&gt;-1E+300",dFlt1,critFlt1,dFlt2,critFlt2,dFlt3,critFlt3))</f>
        <v/>
      </c>
      <c r="E2388" t="str">
        <f>IF($B2388="","",SUMIFS(dQty,dCust,$B2388,dPer,"&gt;="&amp;pyFrom,dPer,"&lt;="&amp;pyTo,dQty,"&gt;-1E+300",dFlt1,critFlt1,dFlt2,critFlt2,dFlt3,critFlt3))</f>
        <v/>
      </c>
      <c r="F2388" t="str">
        <f>IF($B2388="","",SUMIFS(dQty,dCust,$B2388,dPer,"&gt;="&amp;cyFrom,dPer,"&lt;="&amp;cyTo,dQty,"&gt;-1E+300",dFlt1,critFlt1,dFlt2,critFlt2,dFlt3,critFlt3))</f>
        <v/>
      </c>
      <c r="G2388">
        <f>IF($B2388="",0,IFERROR(IF(OR(C2388&lt;&gt;0,D2388&lt;&gt;0,E2388&lt;&gt;0,F2388&lt;&gt;0),1,0),1))</f>
        <v>0</v>
      </c>
      <c r="H2388" t="str">
        <f>IF(OR(G2388=0,E2388=0),"",C2388/E2388)</f>
        <v/>
      </c>
      <c r="I2388" t="str">
        <f>IF(OR(G2388=0,F2388=0),"",D2388/F2388)</f>
        <v/>
      </c>
      <c r="J2388" t="str">
        <f>IF(OR(H2388="",I2388=""),"",IF(H2388=0,"",I2388/H2388-1))</f>
        <v/>
      </c>
      <c r="K2388" t="str">
        <f>IF($B2388="","",IFERROR(IF(G2388=0,-2E+300,CHOOSE(sortIdx,ROUND(D2388,0),IF(J2388="",-1E+300,ROUND(-J2388,6)),IF(J2388="",-1E+300,ROUND(J2388,6)))),-1.5E+300))</f>
        <v/>
      </c>
      <c r="L2388" t="str">
        <f>IF(K2388="","",RANK(K2388,$K$2:$K$3001,0)+COUNTIF($K$2:K2388,K2388)-1)</f>
        <v/>
      </c>
    </row>
    <row r="2389">
      <c r="B2389" t="str">
        <f>IFERROR(IF(A2389="","","="&amp;SUBSTITUTE(SUBSTITUTE(SUBSTITUTE(A2389,"~","~~"),"*","~*"),"?","~?")),"")</f>
        <v/>
      </c>
      <c r="C2389" t="str">
        <f>IF($B2389="","",SUMIFS(dAmt,dCust,$B2389,dPer,"&gt;="&amp;pyFrom,dPer,"&lt;="&amp;pyTo,dAmt,"&gt;-1E+300",dFlt1,critFlt1,dFlt2,critFlt2,dFlt3,critFlt3))</f>
        <v/>
      </c>
      <c r="D2389" t="str">
        <f>IF($B2389="","",SUMIFS(dAmt,dCust,$B2389,dPer,"&gt;="&amp;cyFrom,dPer,"&lt;="&amp;cyTo,dAmt,"&gt;-1E+300",dFlt1,critFlt1,dFlt2,critFlt2,dFlt3,critFlt3))</f>
        <v/>
      </c>
      <c r="E2389" t="str">
        <f>IF($B2389="","",SUMIFS(dQty,dCust,$B2389,dPer,"&gt;="&amp;pyFrom,dPer,"&lt;="&amp;pyTo,dQty,"&gt;-1E+300",dFlt1,critFlt1,dFlt2,critFlt2,dFlt3,critFlt3))</f>
        <v/>
      </c>
      <c r="F2389" t="str">
        <f>IF($B2389="","",SUMIFS(dQty,dCust,$B2389,dPer,"&gt;="&amp;cyFrom,dPer,"&lt;="&amp;cyTo,dQty,"&gt;-1E+300",dFlt1,critFlt1,dFlt2,critFlt2,dFlt3,critFlt3))</f>
        <v/>
      </c>
      <c r="G2389">
        <f>IF($B2389="",0,IFERROR(IF(OR(C2389&lt;&gt;0,D2389&lt;&gt;0,E2389&lt;&gt;0,F2389&lt;&gt;0),1,0),1))</f>
        <v>0</v>
      </c>
      <c r="H2389" t="str">
        <f>IF(OR(G2389=0,E2389=0),"",C2389/E2389)</f>
        <v/>
      </c>
      <c r="I2389" t="str">
        <f>IF(OR(G2389=0,F2389=0),"",D2389/F2389)</f>
        <v/>
      </c>
      <c r="J2389" t="str">
        <f>IF(OR(H2389="",I2389=""),"",IF(H2389=0,"",I2389/H2389-1))</f>
        <v/>
      </c>
      <c r="K2389" t="str">
        <f>IF($B2389="","",IFERROR(IF(G2389=0,-2E+300,CHOOSE(sortIdx,ROUND(D2389,0),IF(J2389="",-1E+300,ROUND(-J2389,6)),IF(J2389="",-1E+300,ROUND(J2389,6)))),-1.5E+300))</f>
        <v/>
      </c>
      <c r="L2389" t="str">
        <f>IF(K2389="","",RANK(K2389,$K$2:$K$3001,0)+COUNTIF($K$2:K2389,K2389)-1)</f>
        <v/>
      </c>
    </row>
    <row r="2390">
      <c r="B2390" t="str">
        <f>IFERROR(IF(A2390="","","="&amp;SUBSTITUTE(SUBSTITUTE(SUBSTITUTE(A2390,"~","~~"),"*","~*"),"?","~?")),"")</f>
        <v/>
      </c>
      <c r="C2390" t="str">
        <f>IF($B2390="","",SUMIFS(dAmt,dCust,$B2390,dPer,"&gt;="&amp;pyFrom,dPer,"&lt;="&amp;pyTo,dAmt,"&gt;-1E+300",dFlt1,critFlt1,dFlt2,critFlt2,dFlt3,critFlt3))</f>
        <v/>
      </c>
      <c r="D2390" t="str">
        <f>IF($B2390="","",SUMIFS(dAmt,dCust,$B2390,dPer,"&gt;="&amp;cyFrom,dPer,"&lt;="&amp;cyTo,dAmt,"&gt;-1E+300",dFlt1,critFlt1,dFlt2,critFlt2,dFlt3,critFlt3))</f>
        <v/>
      </c>
      <c r="E2390" t="str">
        <f>IF($B2390="","",SUMIFS(dQty,dCust,$B2390,dPer,"&gt;="&amp;pyFrom,dPer,"&lt;="&amp;pyTo,dQty,"&gt;-1E+300",dFlt1,critFlt1,dFlt2,critFlt2,dFlt3,critFlt3))</f>
        <v/>
      </c>
      <c r="F2390" t="str">
        <f>IF($B2390="","",SUMIFS(dQty,dCust,$B2390,dPer,"&gt;="&amp;cyFrom,dPer,"&lt;="&amp;cyTo,dQty,"&gt;-1E+300",dFlt1,critFlt1,dFlt2,critFlt2,dFlt3,critFlt3))</f>
        <v/>
      </c>
      <c r="G2390">
        <f>IF($B2390="",0,IFERROR(IF(OR(C2390&lt;&gt;0,D2390&lt;&gt;0,E2390&lt;&gt;0,F2390&lt;&gt;0),1,0),1))</f>
        <v>0</v>
      </c>
      <c r="H2390" t="str">
        <f>IF(OR(G2390=0,E2390=0),"",C2390/E2390)</f>
        <v/>
      </c>
      <c r="I2390" t="str">
        <f>IF(OR(G2390=0,F2390=0),"",D2390/F2390)</f>
        <v/>
      </c>
      <c r="J2390" t="str">
        <f>IF(OR(H2390="",I2390=""),"",IF(H2390=0,"",I2390/H2390-1))</f>
        <v/>
      </c>
      <c r="K2390" t="str">
        <f>IF($B2390="","",IFERROR(IF(G2390=0,-2E+300,CHOOSE(sortIdx,ROUND(D2390,0),IF(J2390="",-1E+300,ROUND(-J2390,6)),IF(J2390="",-1E+300,ROUND(J2390,6)))),-1.5E+300))</f>
        <v/>
      </c>
      <c r="L2390" t="str">
        <f>IF(K2390="","",RANK(K2390,$K$2:$K$3001,0)+COUNTIF($K$2:K2390,K2390)-1)</f>
        <v/>
      </c>
    </row>
    <row r="2391">
      <c r="B2391" t="str">
        <f>IFERROR(IF(A2391="","","="&amp;SUBSTITUTE(SUBSTITUTE(SUBSTITUTE(A2391,"~","~~"),"*","~*"),"?","~?")),"")</f>
        <v/>
      </c>
      <c r="C2391" t="str">
        <f>IF($B2391="","",SUMIFS(dAmt,dCust,$B2391,dPer,"&gt;="&amp;pyFrom,dPer,"&lt;="&amp;pyTo,dAmt,"&gt;-1E+300",dFlt1,critFlt1,dFlt2,critFlt2,dFlt3,critFlt3))</f>
        <v/>
      </c>
      <c r="D2391" t="str">
        <f>IF($B2391="","",SUMIFS(dAmt,dCust,$B2391,dPer,"&gt;="&amp;cyFrom,dPer,"&lt;="&amp;cyTo,dAmt,"&gt;-1E+300",dFlt1,critFlt1,dFlt2,critFlt2,dFlt3,critFlt3))</f>
        <v/>
      </c>
      <c r="E2391" t="str">
        <f>IF($B2391="","",SUMIFS(dQty,dCust,$B2391,dPer,"&gt;="&amp;pyFrom,dPer,"&lt;="&amp;pyTo,dQty,"&gt;-1E+300",dFlt1,critFlt1,dFlt2,critFlt2,dFlt3,critFlt3))</f>
        <v/>
      </c>
      <c r="F2391" t="str">
        <f>IF($B2391="","",SUMIFS(dQty,dCust,$B2391,dPer,"&gt;="&amp;cyFrom,dPer,"&lt;="&amp;cyTo,dQty,"&gt;-1E+300",dFlt1,critFlt1,dFlt2,critFlt2,dFlt3,critFlt3))</f>
        <v/>
      </c>
      <c r="G2391">
        <f>IF($B2391="",0,IFERROR(IF(OR(C2391&lt;&gt;0,D2391&lt;&gt;0,E2391&lt;&gt;0,F2391&lt;&gt;0),1,0),1))</f>
        <v>0</v>
      </c>
      <c r="H2391" t="str">
        <f>IF(OR(G2391=0,E2391=0),"",C2391/E2391)</f>
        <v/>
      </c>
      <c r="I2391" t="str">
        <f>IF(OR(G2391=0,F2391=0),"",D2391/F2391)</f>
        <v/>
      </c>
      <c r="J2391" t="str">
        <f>IF(OR(H2391="",I2391=""),"",IF(H2391=0,"",I2391/H2391-1))</f>
        <v/>
      </c>
      <c r="K2391" t="str">
        <f>IF($B2391="","",IFERROR(IF(G2391=0,-2E+300,CHOOSE(sortIdx,ROUND(D2391,0),IF(J2391="",-1E+300,ROUND(-J2391,6)),IF(J2391="",-1E+300,ROUND(J2391,6)))),-1.5E+300))</f>
        <v/>
      </c>
      <c r="L2391" t="str">
        <f>IF(K2391="","",RANK(K2391,$K$2:$K$3001,0)+COUNTIF($K$2:K2391,K2391)-1)</f>
        <v/>
      </c>
    </row>
    <row r="2392">
      <c r="B2392" t="str">
        <f>IFERROR(IF(A2392="","","="&amp;SUBSTITUTE(SUBSTITUTE(SUBSTITUTE(A2392,"~","~~"),"*","~*"),"?","~?")),"")</f>
        <v/>
      </c>
      <c r="C2392" t="str">
        <f>IF($B2392="","",SUMIFS(dAmt,dCust,$B2392,dPer,"&gt;="&amp;pyFrom,dPer,"&lt;="&amp;pyTo,dAmt,"&gt;-1E+300",dFlt1,critFlt1,dFlt2,critFlt2,dFlt3,critFlt3))</f>
        <v/>
      </c>
      <c r="D2392" t="str">
        <f>IF($B2392="","",SUMIFS(dAmt,dCust,$B2392,dPer,"&gt;="&amp;cyFrom,dPer,"&lt;="&amp;cyTo,dAmt,"&gt;-1E+300",dFlt1,critFlt1,dFlt2,critFlt2,dFlt3,critFlt3))</f>
        <v/>
      </c>
      <c r="E2392" t="str">
        <f>IF($B2392="","",SUMIFS(dQty,dCust,$B2392,dPer,"&gt;="&amp;pyFrom,dPer,"&lt;="&amp;pyTo,dQty,"&gt;-1E+300",dFlt1,critFlt1,dFlt2,critFlt2,dFlt3,critFlt3))</f>
        <v/>
      </c>
      <c r="F2392" t="str">
        <f>IF($B2392="","",SUMIFS(dQty,dCust,$B2392,dPer,"&gt;="&amp;cyFrom,dPer,"&lt;="&amp;cyTo,dQty,"&gt;-1E+300",dFlt1,critFlt1,dFlt2,critFlt2,dFlt3,critFlt3))</f>
        <v/>
      </c>
      <c r="G2392">
        <f>IF($B2392="",0,IFERROR(IF(OR(C2392&lt;&gt;0,D2392&lt;&gt;0,E2392&lt;&gt;0,F2392&lt;&gt;0),1,0),1))</f>
        <v>0</v>
      </c>
      <c r="H2392" t="str">
        <f>IF(OR(G2392=0,E2392=0),"",C2392/E2392)</f>
        <v/>
      </c>
      <c r="I2392" t="str">
        <f>IF(OR(G2392=0,F2392=0),"",D2392/F2392)</f>
        <v/>
      </c>
      <c r="J2392" t="str">
        <f>IF(OR(H2392="",I2392=""),"",IF(H2392=0,"",I2392/H2392-1))</f>
        <v/>
      </c>
      <c r="K2392" t="str">
        <f>IF($B2392="","",IFERROR(IF(G2392=0,-2E+300,CHOOSE(sortIdx,ROUND(D2392,0),IF(J2392="",-1E+300,ROUND(-J2392,6)),IF(J2392="",-1E+300,ROUND(J2392,6)))),-1.5E+300))</f>
        <v/>
      </c>
      <c r="L2392" t="str">
        <f>IF(K2392="","",RANK(K2392,$K$2:$K$3001,0)+COUNTIF($K$2:K2392,K2392)-1)</f>
        <v/>
      </c>
    </row>
    <row r="2393">
      <c r="B2393" t="str">
        <f>IFERROR(IF(A2393="","","="&amp;SUBSTITUTE(SUBSTITUTE(SUBSTITUTE(A2393,"~","~~"),"*","~*"),"?","~?")),"")</f>
        <v/>
      </c>
      <c r="C2393" t="str">
        <f>IF($B2393="","",SUMIFS(dAmt,dCust,$B2393,dPer,"&gt;="&amp;pyFrom,dPer,"&lt;="&amp;pyTo,dAmt,"&gt;-1E+300",dFlt1,critFlt1,dFlt2,critFlt2,dFlt3,critFlt3))</f>
        <v/>
      </c>
      <c r="D2393" t="str">
        <f>IF($B2393="","",SUMIFS(dAmt,dCust,$B2393,dPer,"&gt;="&amp;cyFrom,dPer,"&lt;="&amp;cyTo,dAmt,"&gt;-1E+300",dFlt1,critFlt1,dFlt2,critFlt2,dFlt3,critFlt3))</f>
        <v/>
      </c>
      <c r="E2393" t="str">
        <f>IF($B2393="","",SUMIFS(dQty,dCust,$B2393,dPer,"&gt;="&amp;pyFrom,dPer,"&lt;="&amp;pyTo,dQty,"&gt;-1E+300",dFlt1,critFlt1,dFlt2,critFlt2,dFlt3,critFlt3))</f>
        <v/>
      </c>
      <c r="F2393" t="str">
        <f>IF($B2393="","",SUMIFS(dQty,dCust,$B2393,dPer,"&gt;="&amp;cyFrom,dPer,"&lt;="&amp;cyTo,dQty,"&gt;-1E+300",dFlt1,critFlt1,dFlt2,critFlt2,dFlt3,critFlt3))</f>
        <v/>
      </c>
      <c r="G2393">
        <f>IF($B2393="",0,IFERROR(IF(OR(C2393&lt;&gt;0,D2393&lt;&gt;0,E2393&lt;&gt;0,F2393&lt;&gt;0),1,0),1))</f>
        <v>0</v>
      </c>
      <c r="H2393" t="str">
        <f>IF(OR(G2393=0,E2393=0),"",C2393/E2393)</f>
        <v/>
      </c>
      <c r="I2393" t="str">
        <f>IF(OR(G2393=0,F2393=0),"",D2393/F2393)</f>
        <v/>
      </c>
      <c r="J2393" t="str">
        <f>IF(OR(H2393="",I2393=""),"",IF(H2393=0,"",I2393/H2393-1))</f>
        <v/>
      </c>
      <c r="K2393" t="str">
        <f>IF($B2393="","",IFERROR(IF(G2393=0,-2E+300,CHOOSE(sortIdx,ROUND(D2393,0),IF(J2393="",-1E+300,ROUND(-J2393,6)),IF(J2393="",-1E+300,ROUND(J2393,6)))),-1.5E+300))</f>
        <v/>
      </c>
      <c r="L2393" t="str">
        <f>IF(K2393="","",RANK(K2393,$K$2:$K$3001,0)+COUNTIF($K$2:K2393,K2393)-1)</f>
        <v/>
      </c>
    </row>
    <row r="2394">
      <c r="B2394" t="str">
        <f>IFERROR(IF(A2394="","","="&amp;SUBSTITUTE(SUBSTITUTE(SUBSTITUTE(A2394,"~","~~"),"*","~*"),"?","~?")),"")</f>
        <v/>
      </c>
      <c r="C2394" t="str">
        <f>IF($B2394="","",SUMIFS(dAmt,dCust,$B2394,dPer,"&gt;="&amp;pyFrom,dPer,"&lt;="&amp;pyTo,dAmt,"&gt;-1E+300",dFlt1,critFlt1,dFlt2,critFlt2,dFlt3,critFlt3))</f>
        <v/>
      </c>
      <c r="D2394" t="str">
        <f>IF($B2394="","",SUMIFS(dAmt,dCust,$B2394,dPer,"&gt;="&amp;cyFrom,dPer,"&lt;="&amp;cyTo,dAmt,"&gt;-1E+300",dFlt1,critFlt1,dFlt2,critFlt2,dFlt3,critFlt3))</f>
        <v/>
      </c>
      <c r="E2394" t="str">
        <f>IF($B2394="","",SUMIFS(dQty,dCust,$B2394,dPer,"&gt;="&amp;pyFrom,dPer,"&lt;="&amp;pyTo,dQty,"&gt;-1E+300",dFlt1,critFlt1,dFlt2,critFlt2,dFlt3,critFlt3))</f>
        <v/>
      </c>
      <c r="F2394" t="str">
        <f>IF($B2394="","",SUMIFS(dQty,dCust,$B2394,dPer,"&gt;="&amp;cyFrom,dPer,"&lt;="&amp;cyTo,dQty,"&gt;-1E+300",dFlt1,critFlt1,dFlt2,critFlt2,dFlt3,critFlt3))</f>
        <v/>
      </c>
      <c r="G2394">
        <f>IF($B2394="",0,IFERROR(IF(OR(C2394&lt;&gt;0,D2394&lt;&gt;0,E2394&lt;&gt;0,F2394&lt;&gt;0),1,0),1))</f>
        <v>0</v>
      </c>
      <c r="H2394" t="str">
        <f>IF(OR(G2394=0,E2394=0),"",C2394/E2394)</f>
        <v/>
      </c>
      <c r="I2394" t="str">
        <f>IF(OR(G2394=0,F2394=0),"",D2394/F2394)</f>
        <v/>
      </c>
      <c r="J2394" t="str">
        <f>IF(OR(H2394="",I2394=""),"",IF(H2394=0,"",I2394/H2394-1))</f>
        <v/>
      </c>
      <c r="K2394" t="str">
        <f>IF($B2394="","",IFERROR(IF(G2394=0,-2E+300,CHOOSE(sortIdx,ROUND(D2394,0),IF(J2394="",-1E+300,ROUND(-J2394,6)),IF(J2394="",-1E+300,ROUND(J2394,6)))),-1.5E+300))</f>
        <v/>
      </c>
      <c r="L2394" t="str">
        <f>IF(K2394="","",RANK(K2394,$K$2:$K$3001,0)+COUNTIF($K$2:K2394,K2394)-1)</f>
        <v/>
      </c>
    </row>
    <row r="2395">
      <c r="B2395" t="str">
        <f>IFERROR(IF(A2395="","","="&amp;SUBSTITUTE(SUBSTITUTE(SUBSTITUTE(A2395,"~","~~"),"*","~*"),"?","~?")),"")</f>
        <v/>
      </c>
      <c r="C2395" t="str">
        <f>IF($B2395="","",SUMIFS(dAmt,dCust,$B2395,dPer,"&gt;="&amp;pyFrom,dPer,"&lt;="&amp;pyTo,dAmt,"&gt;-1E+300",dFlt1,critFlt1,dFlt2,critFlt2,dFlt3,critFlt3))</f>
        <v/>
      </c>
      <c r="D2395" t="str">
        <f>IF($B2395="","",SUMIFS(dAmt,dCust,$B2395,dPer,"&gt;="&amp;cyFrom,dPer,"&lt;="&amp;cyTo,dAmt,"&gt;-1E+300",dFlt1,critFlt1,dFlt2,critFlt2,dFlt3,critFlt3))</f>
        <v/>
      </c>
      <c r="E2395" t="str">
        <f>IF($B2395="","",SUMIFS(dQty,dCust,$B2395,dPer,"&gt;="&amp;pyFrom,dPer,"&lt;="&amp;pyTo,dQty,"&gt;-1E+300",dFlt1,critFlt1,dFlt2,critFlt2,dFlt3,critFlt3))</f>
        <v/>
      </c>
      <c r="F2395" t="str">
        <f>IF($B2395="","",SUMIFS(dQty,dCust,$B2395,dPer,"&gt;="&amp;cyFrom,dPer,"&lt;="&amp;cyTo,dQty,"&gt;-1E+300",dFlt1,critFlt1,dFlt2,critFlt2,dFlt3,critFlt3))</f>
        <v/>
      </c>
      <c r="G2395">
        <f>IF($B2395="",0,IFERROR(IF(OR(C2395&lt;&gt;0,D2395&lt;&gt;0,E2395&lt;&gt;0,F2395&lt;&gt;0),1,0),1))</f>
        <v>0</v>
      </c>
      <c r="H2395" t="str">
        <f>IF(OR(G2395=0,E2395=0),"",C2395/E2395)</f>
        <v/>
      </c>
      <c r="I2395" t="str">
        <f>IF(OR(G2395=0,F2395=0),"",D2395/F2395)</f>
        <v/>
      </c>
      <c r="J2395" t="str">
        <f>IF(OR(H2395="",I2395=""),"",IF(H2395=0,"",I2395/H2395-1))</f>
        <v/>
      </c>
      <c r="K2395" t="str">
        <f>IF($B2395="","",IFERROR(IF(G2395=0,-2E+300,CHOOSE(sortIdx,ROUND(D2395,0),IF(J2395="",-1E+300,ROUND(-J2395,6)),IF(J2395="",-1E+300,ROUND(J2395,6)))),-1.5E+300))</f>
        <v/>
      </c>
      <c r="L2395" t="str">
        <f>IF(K2395="","",RANK(K2395,$K$2:$K$3001,0)+COUNTIF($K$2:K2395,K2395)-1)</f>
        <v/>
      </c>
    </row>
    <row r="2396">
      <c r="B2396" t="str">
        <f>IFERROR(IF(A2396="","","="&amp;SUBSTITUTE(SUBSTITUTE(SUBSTITUTE(A2396,"~","~~"),"*","~*"),"?","~?")),"")</f>
        <v/>
      </c>
      <c r="C2396" t="str">
        <f>IF($B2396="","",SUMIFS(dAmt,dCust,$B2396,dPer,"&gt;="&amp;pyFrom,dPer,"&lt;="&amp;pyTo,dAmt,"&gt;-1E+300",dFlt1,critFlt1,dFlt2,critFlt2,dFlt3,critFlt3))</f>
        <v/>
      </c>
      <c r="D2396" t="str">
        <f>IF($B2396="","",SUMIFS(dAmt,dCust,$B2396,dPer,"&gt;="&amp;cyFrom,dPer,"&lt;="&amp;cyTo,dAmt,"&gt;-1E+300",dFlt1,critFlt1,dFlt2,critFlt2,dFlt3,critFlt3))</f>
        <v/>
      </c>
      <c r="E2396" t="str">
        <f>IF($B2396="","",SUMIFS(dQty,dCust,$B2396,dPer,"&gt;="&amp;pyFrom,dPer,"&lt;="&amp;pyTo,dQty,"&gt;-1E+300",dFlt1,critFlt1,dFlt2,critFlt2,dFlt3,critFlt3))</f>
        <v/>
      </c>
      <c r="F2396" t="str">
        <f>IF($B2396="","",SUMIFS(dQty,dCust,$B2396,dPer,"&gt;="&amp;cyFrom,dPer,"&lt;="&amp;cyTo,dQty,"&gt;-1E+300",dFlt1,critFlt1,dFlt2,critFlt2,dFlt3,critFlt3))</f>
        <v/>
      </c>
      <c r="G2396">
        <f>IF($B2396="",0,IFERROR(IF(OR(C2396&lt;&gt;0,D2396&lt;&gt;0,E2396&lt;&gt;0,F2396&lt;&gt;0),1,0),1))</f>
        <v>0</v>
      </c>
      <c r="H2396" t="str">
        <f>IF(OR(G2396=0,E2396=0),"",C2396/E2396)</f>
        <v/>
      </c>
      <c r="I2396" t="str">
        <f>IF(OR(G2396=0,F2396=0),"",D2396/F2396)</f>
        <v/>
      </c>
      <c r="J2396" t="str">
        <f>IF(OR(H2396="",I2396=""),"",IF(H2396=0,"",I2396/H2396-1))</f>
        <v/>
      </c>
      <c r="K2396" t="str">
        <f>IF($B2396="","",IFERROR(IF(G2396=0,-2E+300,CHOOSE(sortIdx,ROUND(D2396,0),IF(J2396="",-1E+300,ROUND(-J2396,6)),IF(J2396="",-1E+300,ROUND(J2396,6)))),-1.5E+300))</f>
        <v/>
      </c>
      <c r="L2396" t="str">
        <f>IF(K2396="","",RANK(K2396,$K$2:$K$3001,0)+COUNTIF($K$2:K2396,K2396)-1)</f>
        <v/>
      </c>
    </row>
    <row r="2397">
      <c r="B2397" t="str">
        <f>IFERROR(IF(A2397="","","="&amp;SUBSTITUTE(SUBSTITUTE(SUBSTITUTE(A2397,"~","~~"),"*","~*"),"?","~?")),"")</f>
        <v/>
      </c>
      <c r="C2397" t="str">
        <f>IF($B2397="","",SUMIFS(dAmt,dCust,$B2397,dPer,"&gt;="&amp;pyFrom,dPer,"&lt;="&amp;pyTo,dAmt,"&gt;-1E+300",dFlt1,critFlt1,dFlt2,critFlt2,dFlt3,critFlt3))</f>
        <v/>
      </c>
      <c r="D2397" t="str">
        <f>IF($B2397="","",SUMIFS(dAmt,dCust,$B2397,dPer,"&gt;="&amp;cyFrom,dPer,"&lt;="&amp;cyTo,dAmt,"&gt;-1E+300",dFlt1,critFlt1,dFlt2,critFlt2,dFlt3,critFlt3))</f>
        <v/>
      </c>
      <c r="E2397" t="str">
        <f>IF($B2397="","",SUMIFS(dQty,dCust,$B2397,dPer,"&gt;="&amp;pyFrom,dPer,"&lt;="&amp;pyTo,dQty,"&gt;-1E+300",dFlt1,critFlt1,dFlt2,critFlt2,dFlt3,critFlt3))</f>
        <v/>
      </c>
      <c r="F2397" t="str">
        <f>IF($B2397="","",SUMIFS(dQty,dCust,$B2397,dPer,"&gt;="&amp;cyFrom,dPer,"&lt;="&amp;cyTo,dQty,"&gt;-1E+300",dFlt1,critFlt1,dFlt2,critFlt2,dFlt3,critFlt3))</f>
        <v/>
      </c>
      <c r="G2397">
        <f>IF($B2397="",0,IFERROR(IF(OR(C2397&lt;&gt;0,D2397&lt;&gt;0,E2397&lt;&gt;0,F2397&lt;&gt;0),1,0),1))</f>
        <v>0</v>
      </c>
      <c r="H2397" t="str">
        <f>IF(OR(G2397=0,E2397=0),"",C2397/E2397)</f>
        <v/>
      </c>
      <c r="I2397" t="str">
        <f>IF(OR(G2397=0,F2397=0),"",D2397/F2397)</f>
        <v/>
      </c>
      <c r="J2397" t="str">
        <f>IF(OR(H2397="",I2397=""),"",IF(H2397=0,"",I2397/H2397-1))</f>
        <v/>
      </c>
      <c r="K2397" t="str">
        <f>IF($B2397="","",IFERROR(IF(G2397=0,-2E+300,CHOOSE(sortIdx,ROUND(D2397,0),IF(J2397="",-1E+300,ROUND(-J2397,6)),IF(J2397="",-1E+300,ROUND(J2397,6)))),-1.5E+300))</f>
        <v/>
      </c>
      <c r="L2397" t="str">
        <f>IF(K2397="","",RANK(K2397,$K$2:$K$3001,0)+COUNTIF($K$2:K2397,K2397)-1)</f>
        <v/>
      </c>
    </row>
    <row r="2398">
      <c r="B2398" t="str">
        <f>IFERROR(IF(A2398="","","="&amp;SUBSTITUTE(SUBSTITUTE(SUBSTITUTE(A2398,"~","~~"),"*","~*"),"?","~?")),"")</f>
        <v/>
      </c>
      <c r="C2398" t="str">
        <f>IF($B2398="","",SUMIFS(dAmt,dCust,$B2398,dPer,"&gt;="&amp;pyFrom,dPer,"&lt;="&amp;pyTo,dAmt,"&gt;-1E+300",dFlt1,critFlt1,dFlt2,critFlt2,dFlt3,critFlt3))</f>
        <v/>
      </c>
      <c r="D2398" t="str">
        <f>IF($B2398="","",SUMIFS(dAmt,dCust,$B2398,dPer,"&gt;="&amp;cyFrom,dPer,"&lt;="&amp;cyTo,dAmt,"&gt;-1E+300",dFlt1,critFlt1,dFlt2,critFlt2,dFlt3,critFlt3))</f>
        <v/>
      </c>
      <c r="E2398" t="str">
        <f>IF($B2398="","",SUMIFS(dQty,dCust,$B2398,dPer,"&gt;="&amp;pyFrom,dPer,"&lt;="&amp;pyTo,dQty,"&gt;-1E+300",dFlt1,critFlt1,dFlt2,critFlt2,dFlt3,critFlt3))</f>
        <v/>
      </c>
      <c r="F2398" t="str">
        <f>IF($B2398="","",SUMIFS(dQty,dCust,$B2398,dPer,"&gt;="&amp;cyFrom,dPer,"&lt;="&amp;cyTo,dQty,"&gt;-1E+300",dFlt1,critFlt1,dFlt2,critFlt2,dFlt3,critFlt3))</f>
        <v/>
      </c>
      <c r="G2398">
        <f>IF($B2398="",0,IFERROR(IF(OR(C2398&lt;&gt;0,D2398&lt;&gt;0,E2398&lt;&gt;0,F2398&lt;&gt;0),1,0),1))</f>
        <v>0</v>
      </c>
      <c r="H2398" t="str">
        <f>IF(OR(G2398=0,E2398=0),"",C2398/E2398)</f>
        <v/>
      </c>
      <c r="I2398" t="str">
        <f>IF(OR(G2398=0,F2398=0),"",D2398/F2398)</f>
        <v/>
      </c>
      <c r="J2398" t="str">
        <f>IF(OR(H2398="",I2398=""),"",IF(H2398=0,"",I2398/H2398-1))</f>
        <v/>
      </c>
      <c r="K2398" t="str">
        <f>IF($B2398="","",IFERROR(IF(G2398=0,-2E+300,CHOOSE(sortIdx,ROUND(D2398,0),IF(J2398="",-1E+300,ROUND(-J2398,6)),IF(J2398="",-1E+300,ROUND(J2398,6)))),-1.5E+300))</f>
        <v/>
      </c>
      <c r="L2398" t="str">
        <f>IF(K2398="","",RANK(K2398,$K$2:$K$3001,0)+COUNTIF($K$2:K2398,K2398)-1)</f>
        <v/>
      </c>
    </row>
    <row r="2399">
      <c r="B2399" t="str">
        <f>IFERROR(IF(A2399="","","="&amp;SUBSTITUTE(SUBSTITUTE(SUBSTITUTE(A2399,"~","~~"),"*","~*"),"?","~?")),"")</f>
        <v/>
      </c>
      <c r="C2399" t="str">
        <f>IF($B2399="","",SUMIFS(dAmt,dCust,$B2399,dPer,"&gt;="&amp;pyFrom,dPer,"&lt;="&amp;pyTo,dAmt,"&gt;-1E+300",dFlt1,critFlt1,dFlt2,critFlt2,dFlt3,critFlt3))</f>
        <v/>
      </c>
      <c r="D2399" t="str">
        <f>IF($B2399="","",SUMIFS(dAmt,dCust,$B2399,dPer,"&gt;="&amp;cyFrom,dPer,"&lt;="&amp;cyTo,dAmt,"&gt;-1E+300",dFlt1,critFlt1,dFlt2,critFlt2,dFlt3,critFlt3))</f>
        <v/>
      </c>
      <c r="E2399" t="str">
        <f>IF($B2399="","",SUMIFS(dQty,dCust,$B2399,dPer,"&gt;="&amp;pyFrom,dPer,"&lt;="&amp;pyTo,dQty,"&gt;-1E+300",dFlt1,critFlt1,dFlt2,critFlt2,dFlt3,critFlt3))</f>
        <v/>
      </c>
      <c r="F2399" t="str">
        <f>IF($B2399="","",SUMIFS(dQty,dCust,$B2399,dPer,"&gt;="&amp;cyFrom,dPer,"&lt;="&amp;cyTo,dQty,"&gt;-1E+300",dFlt1,critFlt1,dFlt2,critFlt2,dFlt3,critFlt3))</f>
        <v/>
      </c>
      <c r="G2399">
        <f>IF($B2399="",0,IFERROR(IF(OR(C2399&lt;&gt;0,D2399&lt;&gt;0,E2399&lt;&gt;0,F2399&lt;&gt;0),1,0),1))</f>
        <v>0</v>
      </c>
      <c r="H2399" t="str">
        <f>IF(OR(G2399=0,E2399=0),"",C2399/E2399)</f>
        <v/>
      </c>
      <c r="I2399" t="str">
        <f>IF(OR(G2399=0,F2399=0),"",D2399/F2399)</f>
        <v/>
      </c>
      <c r="J2399" t="str">
        <f>IF(OR(H2399="",I2399=""),"",IF(H2399=0,"",I2399/H2399-1))</f>
        <v/>
      </c>
      <c r="K2399" t="str">
        <f>IF($B2399="","",IFERROR(IF(G2399=0,-2E+300,CHOOSE(sortIdx,ROUND(D2399,0),IF(J2399="",-1E+300,ROUND(-J2399,6)),IF(J2399="",-1E+300,ROUND(J2399,6)))),-1.5E+300))</f>
        <v/>
      </c>
      <c r="L2399" t="str">
        <f>IF(K2399="","",RANK(K2399,$K$2:$K$3001,0)+COUNTIF($K$2:K2399,K2399)-1)</f>
        <v/>
      </c>
    </row>
    <row r="2400">
      <c r="B2400" t="str">
        <f>IFERROR(IF(A2400="","","="&amp;SUBSTITUTE(SUBSTITUTE(SUBSTITUTE(A2400,"~","~~"),"*","~*"),"?","~?")),"")</f>
        <v/>
      </c>
      <c r="C2400" t="str">
        <f>IF($B2400="","",SUMIFS(dAmt,dCust,$B2400,dPer,"&gt;="&amp;pyFrom,dPer,"&lt;="&amp;pyTo,dAmt,"&gt;-1E+300",dFlt1,critFlt1,dFlt2,critFlt2,dFlt3,critFlt3))</f>
        <v/>
      </c>
      <c r="D2400" t="str">
        <f>IF($B2400="","",SUMIFS(dAmt,dCust,$B2400,dPer,"&gt;="&amp;cyFrom,dPer,"&lt;="&amp;cyTo,dAmt,"&gt;-1E+300",dFlt1,critFlt1,dFlt2,critFlt2,dFlt3,critFlt3))</f>
        <v/>
      </c>
      <c r="E2400" t="str">
        <f>IF($B2400="","",SUMIFS(dQty,dCust,$B2400,dPer,"&gt;="&amp;pyFrom,dPer,"&lt;="&amp;pyTo,dQty,"&gt;-1E+300",dFlt1,critFlt1,dFlt2,critFlt2,dFlt3,critFlt3))</f>
        <v/>
      </c>
      <c r="F2400" t="str">
        <f>IF($B2400="","",SUMIFS(dQty,dCust,$B2400,dPer,"&gt;="&amp;cyFrom,dPer,"&lt;="&amp;cyTo,dQty,"&gt;-1E+300",dFlt1,critFlt1,dFlt2,critFlt2,dFlt3,critFlt3))</f>
        <v/>
      </c>
      <c r="G2400">
        <f>IF($B2400="",0,IFERROR(IF(OR(C2400&lt;&gt;0,D2400&lt;&gt;0,E2400&lt;&gt;0,F2400&lt;&gt;0),1,0),1))</f>
        <v>0</v>
      </c>
      <c r="H2400" t="str">
        <f>IF(OR(G2400=0,E2400=0),"",C2400/E2400)</f>
        <v/>
      </c>
      <c r="I2400" t="str">
        <f>IF(OR(G2400=0,F2400=0),"",D2400/F2400)</f>
        <v/>
      </c>
      <c r="J2400" t="str">
        <f>IF(OR(H2400="",I2400=""),"",IF(H2400=0,"",I2400/H2400-1))</f>
        <v/>
      </c>
      <c r="K2400" t="str">
        <f>IF($B2400="","",IFERROR(IF(G2400=0,-2E+300,CHOOSE(sortIdx,ROUND(D2400,0),IF(J2400="",-1E+300,ROUND(-J2400,6)),IF(J2400="",-1E+300,ROUND(J2400,6)))),-1.5E+300))</f>
        <v/>
      </c>
      <c r="L2400" t="str">
        <f>IF(K2400="","",RANK(K2400,$K$2:$K$3001,0)+COUNTIF($K$2:K2400,K2400)-1)</f>
        <v/>
      </c>
    </row>
    <row r="2401">
      <c r="B2401" t="str">
        <f>IFERROR(IF(A2401="","","="&amp;SUBSTITUTE(SUBSTITUTE(SUBSTITUTE(A2401,"~","~~"),"*","~*"),"?","~?")),"")</f>
        <v/>
      </c>
      <c r="C2401" t="str">
        <f>IF($B2401="","",SUMIFS(dAmt,dCust,$B2401,dPer,"&gt;="&amp;pyFrom,dPer,"&lt;="&amp;pyTo,dAmt,"&gt;-1E+300",dFlt1,critFlt1,dFlt2,critFlt2,dFlt3,critFlt3))</f>
        <v/>
      </c>
      <c r="D2401" t="str">
        <f>IF($B2401="","",SUMIFS(dAmt,dCust,$B2401,dPer,"&gt;="&amp;cyFrom,dPer,"&lt;="&amp;cyTo,dAmt,"&gt;-1E+300",dFlt1,critFlt1,dFlt2,critFlt2,dFlt3,critFlt3))</f>
        <v/>
      </c>
      <c r="E2401" t="str">
        <f>IF($B2401="","",SUMIFS(dQty,dCust,$B2401,dPer,"&gt;="&amp;pyFrom,dPer,"&lt;="&amp;pyTo,dQty,"&gt;-1E+300",dFlt1,critFlt1,dFlt2,critFlt2,dFlt3,critFlt3))</f>
        <v/>
      </c>
      <c r="F2401" t="str">
        <f>IF($B2401="","",SUMIFS(dQty,dCust,$B2401,dPer,"&gt;="&amp;cyFrom,dPer,"&lt;="&amp;cyTo,dQty,"&gt;-1E+300",dFlt1,critFlt1,dFlt2,critFlt2,dFlt3,critFlt3))</f>
        <v/>
      </c>
      <c r="G2401">
        <f>IF($B2401="",0,IFERROR(IF(OR(C2401&lt;&gt;0,D2401&lt;&gt;0,E2401&lt;&gt;0,F2401&lt;&gt;0),1,0),1))</f>
        <v>0</v>
      </c>
      <c r="H2401" t="str">
        <f>IF(OR(G2401=0,E2401=0),"",C2401/E2401)</f>
        <v/>
      </c>
      <c r="I2401" t="str">
        <f>IF(OR(G2401=0,F2401=0),"",D2401/F2401)</f>
        <v/>
      </c>
      <c r="J2401" t="str">
        <f>IF(OR(H2401="",I2401=""),"",IF(H2401=0,"",I2401/H2401-1))</f>
        <v/>
      </c>
      <c r="K2401" t="str">
        <f>IF($B2401="","",IFERROR(IF(G2401=0,-2E+300,CHOOSE(sortIdx,ROUND(D2401,0),IF(J2401="",-1E+300,ROUND(-J2401,6)),IF(J2401="",-1E+300,ROUND(J2401,6)))),-1.5E+300))</f>
        <v/>
      </c>
      <c r="L2401" t="str">
        <f>IF(K2401="","",RANK(K2401,$K$2:$K$3001,0)+COUNTIF($K$2:K2401,K2401)-1)</f>
        <v/>
      </c>
    </row>
    <row r="2402">
      <c r="B2402" t="str">
        <f>IFERROR(IF(A2402="","","="&amp;SUBSTITUTE(SUBSTITUTE(SUBSTITUTE(A2402,"~","~~"),"*","~*"),"?","~?")),"")</f>
        <v/>
      </c>
      <c r="C2402" t="str">
        <f>IF($B2402="","",SUMIFS(dAmt,dCust,$B2402,dPer,"&gt;="&amp;pyFrom,dPer,"&lt;="&amp;pyTo,dAmt,"&gt;-1E+300",dFlt1,critFlt1,dFlt2,critFlt2,dFlt3,critFlt3))</f>
        <v/>
      </c>
      <c r="D2402" t="str">
        <f>IF($B2402="","",SUMIFS(dAmt,dCust,$B2402,dPer,"&gt;="&amp;cyFrom,dPer,"&lt;="&amp;cyTo,dAmt,"&gt;-1E+300",dFlt1,critFlt1,dFlt2,critFlt2,dFlt3,critFlt3))</f>
        <v/>
      </c>
      <c r="E2402" t="str">
        <f>IF($B2402="","",SUMIFS(dQty,dCust,$B2402,dPer,"&gt;="&amp;pyFrom,dPer,"&lt;="&amp;pyTo,dQty,"&gt;-1E+300",dFlt1,critFlt1,dFlt2,critFlt2,dFlt3,critFlt3))</f>
        <v/>
      </c>
      <c r="F2402" t="str">
        <f>IF($B2402="","",SUMIFS(dQty,dCust,$B2402,dPer,"&gt;="&amp;cyFrom,dPer,"&lt;="&amp;cyTo,dQty,"&gt;-1E+300",dFlt1,critFlt1,dFlt2,critFlt2,dFlt3,critFlt3))</f>
        <v/>
      </c>
      <c r="G2402">
        <f>IF($B2402="",0,IFERROR(IF(OR(C2402&lt;&gt;0,D2402&lt;&gt;0,E2402&lt;&gt;0,F2402&lt;&gt;0),1,0),1))</f>
        <v>0</v>
      </c>
      <c r="H2402" t="str">
        <f>IF(OR(G2402=0,E2402=0),"",C2402/E2402)</f>
        <v/>
      </c>
      <c r="I2402" t="str">
        <f>IF(OR(G2402=0,F2402=0),"",D2402/F2402)</f>
        <v/>
      </c>
      <c r="J2402" t="str">
        <f>IF(OR(H2402="",I2402=""),"",IF(H2402=0,"",I2402/H2402-1))</f>
        <v/>
      </c>
      <c r="K2402" t="str">
        <f>IF($B2402="","",IFERROR(IF(G2402=0,-2E+300,CHOOSE(sortIdx,ROUND(D2402,0),IF(J2402="",-1E+300,ROUND(-J2402,6)),IF(J2402="",-1E+300,ROUND(J2402,6)))),-1.5E+300))</f>
        <v/>
      </c>
      <c r="L2402" t="str">
        <f>IF(K2402="","",RANK(K2402,$K$2:$K$3001,0)+COUNTIF($K$2:K2402,K2402)-1)</f>
        <v/>
      </c>
    </row>
    <row r="2403">
      <c r="B2403" t="str">
        <f>IFERROR(IF(A2403="","","="&amp;SUBSTITUTE(SUBSTITUTE(SUBSTITUTE(A2403,"~","~~"),"*","~*"),"?","~?")),"")</f>
        <v/>
      </c>
      <c r="C2403" t="str">
        <f>IF($B2403="","",SUMIFS(dAmt,dCust,$B2403,dPer,"&gt;="&amp;pyFrom,dPer,"&lt;="&amp;pyTo,dAmt,"&gt;-1E+300",dFlt1,critFlt1,dFlt2,critFlt2,dFlt3,critFlt3))</f>
        <v/>
      </c>
      <c r="D2403" t="str">
        <f>IF($B2403="","",SUMIFS(dAmt,dCust,$B2403,dPer,"&gt;="&amp;cyFrom,dPer,"&lt;="&amp;cyTo,dAmt,"&gt;-1E+300",dFlt1,critFlt1,dFlt2,critFlt2,dFlt3,critFlt3))</f>
        <v/>
      </c>
      <c r="E2403" t="str">
        <f>IF($B2403="","",SUMIFS(dQty,dCust,$B2403,dPer,"&gt;="&amp;pyFrom,dPer,"&lt;="&amp;pyTo,dQty,"&gt;-1E+300",dFlt1,critFlt1,dFlt2,critFlt2,dFlt3,critFlt3))</f>
        <v/>
      </c>
      <c r="F2403" t="str">
        <f>IF($B2403="","",SUMIFS(dQty,dCust,$B2403,dPer,"&gt;="&amp;cyFrom,dPer,"&lt;="&amp;cyTo,dQty,"&gt;-1E+300",dFlt1,critFlt1,dFlt2,critFlt2,dFlt3,critFlt3))</f>
        <v/>
      </c>
      <c r="G2403">
        <f>IF($B2403="",0,IFERROR(IF(OR(C2403&lt;&gt;0,D2403&lt;&gt;0,E2403&lt;&gt;0,F2403&lt;&gt;0),1,0),1))</f>
        <v>0</v>
      </c>
      <c r="H2403" t="str">
        <f>IF(OR(G2403=0,E2403=0),"",C2403/E2403)</f>
        <v/>
      </c>
      <c r="I2403" t="str">
        <f>IF(OR(G2403=0,F2403=0),"",D2403/F2403)</f>
        <v/>
      </c>
      <c r="J2403" t="str">
        <f>IF(OR(H2403="",I2403=""),"",IF(H2403=0,"",I2403/H2403-1))</f>
        <v/>
      </c>
      <c r="K2403" t="str">
        <f>IF($B2403="","",IFERROR(IF(G2403=0,-2E+300,CHOOSE(sortIdx,ROUND(D2403,0),IF(J2403="",-1E+300,ROUND(-J2403,6)),IF(J2403="",-1E+300,ROUND(J2403,6)))),-1.5E+300))</f>
        <v/>
      </c>
      <c r="L2403" t="str">
        <f>IF(K2403="","",RANK(K2403,$K$2:$K$3001,0)+COUNTIF($K$2:K2403,K2403)-1)</f>
        <v/>
      </c>
    </row>
    <row r="2404">
      <c r="B2404" t="str">
        <f>IFERROR(IF(A2404="","","="&amp;SUBSTITUTE(SUBSTITUTE(SUBSTITUTE(A2404,"~","~~"),"*","~*"),"?","~?")),"")</f>
        <v/>
      </c>
      <c r="C2404" t="str">
        <f>IF($B2404="","",SUMIFS(dAmt,dCust,$B2404,dPer,"&gt;="&amp;pyFrom,dPer,"&lt;="&amp;pyTo,dAmt,"&gt;-1E+300",dFlt1,critFlt1,dFlt2,critFlt2,dFlt3,critFlt3))</f>
        <v/>
      </c>
      <c r="D2404" t="str">
        <f>IF($B2404="","",SUMIFS(dAmt,dCust,$B2404,dPer,"&gt;="&amp;cyFrom,dPer,"&lt;="&amp;cyTo,dAmt,"&gt;-1E+300",dFlt1,critFlt1,dFlt2,critFlt2,dFlt3,critFlt3))</f>
        <v/>
      </c>
      <c r="E2404" t="str">
        <f>IF($B2404="","",SUMIFS(dQty,dCust,$B2404,dPer,"&gt;="&amp;pyFrom,dPer,"&lt;="&amp;pyTo,dQty,"&gt;-1E+300",dFlt1,critFlt1,dFlt2,critFlt2,dFlt3,critFlt3))</f>
        <v/>
      </c>
      <c r="F2404" t="str">
        <f>IF($B2404="","",SUMIFS(dQty,dCust,$B2404,dPer,"&gt;="&amp;cyFrom,dPer,"&lt;="&amp;cyTo,dQty,"&gt;-1E+300",dFlt1,critFlt1,dFlt2,critFlt2,dFlt3,critFlt3))</f>
        <v/>
      </c>
      <c r="G2404">
        <f>IF($B2404="",0,IFERROR(IF(OR(C2404&lt;&gt;0,D2404&lt;&gt;0,E2404&lt;&gt;0,F2404&lt;&gt;0),1,0),1))</f>
        <v>0</v>
      </c>
      <c r="H2404" t="str">
        <f>IF(OR(G2404=0,E2404=0),"",C2404/E2404)</f>
        <v/>
      </c>
      <c r="I2404" t="str">
        <f>IF(OR(G2404=0,F2404=0),"",D2404/F2404)</f>
        <v/>
      </c>
      <c r="J2404" t="str">
        <f>IF(OR(H2404="",I2404=""),"",IF(H2404=0,"",I2404/H2404-1))</f>
        <v/>
      </c>
      <c r="K2404" t="str">
        <f>IF($B2404="","",IFERROR(IF(G2404=0,-2E+300,CHOOSE(sortIdx,ROUND(D2404,0),IF(J2404="",-1E+300,ROUND(-J2404,6)),IF(J2404="",-1E+300,ROUND(J2404,6)))),-1.5E+300))</f>
        <v/>
      </c>
      <c r="L2404" t="str">
        <f>IF(K2404="","",RANK(K2404,$K$2:$K$3001,0)+COUNTIF($K$2:K2404,K2404)-1)</f>
        <v/>
      </c>
    </row>
    <row r="2405">
      <c r="B2405" t="str">
        <f>IFERROR(IF(A2405="","","="&amp;SUBSTITUTE(SUBSTITUTE(SUBSTITUTE(A2405,"~","~~"),"*","~*"),"?","~?")),"")</f>
        <v/>
      </c>
      <c r="C2405" t="str">
        <f>IF($B2405="","",SUMIFS(dAmt,dCust,$B2405,dPer,"&gt;="&amp;pyFrom,dPer,"&lt;="&amp;pyTo,dAmt,"&gt;-1E+300",dFlt1,critFlt1,dFlt2,critFlt2,dFlt3,critFlt3))</f>
        <v/>
      </c>
      <c r="D2405" t="str">
        <f>IF($B2405="","",SUMIFS(dAmt,dCust,$B2405,dPer,"&gt;="&amp;cyFrom,dPer,"&lt;="&amp;cyTo,dAmt,"&gt;-1E+300",dFlt1,critFlt1,dFlt2,critFlt2,dFlt3,critFlt3))</f>
        <v/>
      </c>
      <c r="E2405" t="str">
        <f>IF($B2405="","",SUMIFS(dQty,dCust,$B2405,dPer,"&gt;="&amp;pyFrom,dPer,"&lt;="&amp;pyTo,dQty,"&gt;-1E+300",dFlt1,critFlt1,dFlt2,critFlt2,dFlt3,critFlt3))</f>
        <v/>
      </c>
      <c r="F2405" t="str">
        <f>IF($B2405="","",SUMIFS(dQty,dCust,$B2405,dPer,"&gt;="&amp;cyFrom,dPer,"&lt;="&amp;cyTo,dQty,"&gt;-1E+300",dFlt1,critFlt1,dFlt2,critFlt2,dFlt3,critFlt3))</f>
        <v/>
      </c>
      <c r="G2405">
        <f>IF($B2405="",0,IFERROR(IF(OR(C2405&lt;&gt;0,D2405&lt;&gt;0,E2405&lt;&gt;0,F2405&lt;&gt;0),1,0),1))</f>
        <v>0</v>
      </c>
      <c r="H2405" t="str">
        <f>IF(OR(G2405=0,E2405=0),"",C2405/E2405)</f>
        <v/>
      </c>
      <c r="I2405" t="str">
        <f>IF(OR(G2405=0,F2405=0),"",D2405/F2405)</f>
        <v/>
      </c>
      <c r="J2405" t="str">
        <f>IF(OR(H2405="",I2405=""),"",IF(H2405=0,"",I2405/H2405-1))</f>
        <v/>
      </c>
      <c r="K2405" t="str">
        <f>IF($B2405="","",IFERROR(IF(G2405=0,-2E+300,CHOOSE(sortIdx,ROUND(D2405,0),IF(J2405="",-1E+300,ROUND(-J2405,6)),IF(J2405="",-1E+300,ROUND(J2405,6)))),-1.5E+300))</f>
        <v/>
      </c>
      <c r="L2405" t="str">
        <f>IF(K2405="","",RANK(K2405,$K$2:$K$3001,0)+COUNTIF($K$2:K2405,K2405)-1)</f>
        <v/>
      </c>
    </row>
    <row r="2406">
      <c r="B2406" t="str">
        <f>IFERROR(IF(A2406="","","="&amp;SUBSTITUTE(SUBSTITUTE(SUBSTITUTE(A2406,"~","~~"),"*","~*"),"?","~?")),"")</f>
        <v/>
      </c>
      <c r="C2406" t="str">
        <f>IF($B2406="","",SUMIFS(dAmt,dCust,$B2406,dPer,"&gt;="&amp;pyFrom,dPer,"&lt;="&amp;pyTo,dAmt,"&gt;-1E+300",dFlt1,critFlt1,dFlt2,critFlt2,dFlt3,critFlt3))</f>
        <v/>
      </c>
      <c r="D2406" t="str">
        <f>IF($B2406="","",SUMIFS(dAmt,dCust,$B2406,dPer,"&gt;="&amp;cyFrom,dPer,"&lt;="&amp;cyTo,dAmt,"&gt;-1E+300",dFlt1,critFlt1,dFlt2,critFlt2,dFlt3,critFlt3))</f>
        <v/>
      </c>
      <c r="E2406" t="str">
        <f>IF($B2406="","",SUMIFS(dQty,dCust,$B2406,dPer,"&gt;="&amp;pyFrom,dPer,"&lt;="&amp;pyTo,dQty,"&gt;-1E+300",dFlt1,critFlt1,dFlt2,critFlt2,dFlt3,critFlt3))</f>
        <v/>
      </c>
      <c r="F2406" t="str">
        <f>IF($B2406="","",SUMIFS(dQty,dCust,$B2406,dPer,"&gt;="&amp;cyFrom,dPer,"&lt;="&amp;cyTo,dQty,"&gt;-1E+300",dFlt1,critFlt1,dFlt2,critFlt2,dFlt3,critFlt3))</f>
        <v/>
      </c>
      <c r="G2406">
        <f>IF($B2406="",0,IFERROR(IF(OR(C2406&lt;&gt;0,D2406&lt;&gt;0,E2406&lt;&gt;0,F2406&lt;&gt;0),1,0),1))</f>
        <v>0</v>
      </c>
      <c r="H2406" t="str">
        <f>IF(OR(G2406=0,E2406=0),"",C2406/E2406)</f>
        <v/>
      </c>
      <c r="I2406" t="str">
        <f>IF(OR(G2406=0,F2406=0),"",D2406/F2406)</f>
        <v/>
      </c>
      <c r="J2406" t="str">
        <f>IF(OR(H2406="",I2406=""),"",IF(H2406=0,"",I2406/H2406-1))</f>
        <v/>
      </c>
      <c r="K2406" t="str">
        <f>IF($B2406="","",IFERROR(IF(G2406=0,-2E+300,CHOOSE(sortIdx,ROUND(D2406,0),IF(J2406="",-1E+300,ROUND(-J2406,6)),IF(J2406="",-1E+300,ROUND(J2406,6)))),-1.5E+300))</f>
        <v/>
      </c>
      <c r="L2406" t="str">
        <f>IF(K2406="","",RANK(K2406,$K$2:$K$3001,0)+COUNTIF($K$2:K2406,K2406)-1)</f>
        <v/>
      </c>
    </row>
    <row r="2407">
      <c r="B2407" t="str">
        <f>IFERROR(IF(A2407="","","="&amp;SUBSTITUTE(SUBSTITUTE(SUBSTITUTE(A2407,"~","~~"),"*","~*"),"?","~?")),"")</f>
        <v/>
      </c>
      <c r="C2407" t="str">
        <f>IF($B2407="","",SUMIFS(dAmt,dCust,$B2407,dPer,"&gt;="&amp;pyFrom,dPer,"&lt;="&amp;pyTo,dAmt,"&gt;-1E+300",dFlt1,critFlt1,dFlt2,critFlt2,dFlt3,critFlt3))</f>
        <v/>
      </c>
      <c r="D2407" t="str">
        <f>IF($B2407="","",SUMIFS(dAmt,dCust,$B2407,dPer,"&gt;="&amp;cyFrom,dPer,"&lt;="&amp;cyTo,dAmt,"&gt;-1E+300",dFlt1,critFlt1,dFlt2,critFlt2,dFlt3,critFlt3))</f>
        <v/>
      </c>
      <c r="E2407" t="str">
        <f>IF($B2407="","",SUMIFS(dQty,dCust,$B2407,dPer,"&gt;="&amp;pyFrom,dPer,"&lt;="&amp;pyTo,dQty,"&gt;-1E+300",dFlt1,critFlt1,dFlt2,critFlt2,dFlt3,critFlt3))</f>
        <v/>
      </c>
      <c r="F2407" t="str">
        <f>IF($B2407="","",SUMIFS(dQty,dCust,$B2407,dPer,"&gt;="&amp;cyFrom,dPer,"&lt;="&amp;cyTo,dQty,"&gt;-1E+300",dFlt1,critFlt1,dFlt2,critFlt2,dFlt3,critFlt3))</f>
        <v/>
      </c>
      <c r="G2407">
        <f>IF($B2407="",0,IFERROR(IF(OR(C2407&lt;&gt;0,D2407&lt;&gt;0,E2407&lt;&gt;0,F2407&lt;&gt;0),1,0),1))</f>
        <v>0</v>
      </c>
      <c r="H2407" t="str">
        <f>IF(OR(G2407=0,E2407=0),"",C2407/E2407)</f>
        <v/>
      </c>
      <c r="I2407" t="str">
        <f>IF(OR(G2407=0,F2407=0),"",D2407/F2407)</f>
        <v/>
      </c>
      <c r="J2407" t="str">
        <f>IF(OR(H2407="",I2407=""),"",IF(H2407=0,"",I2407/H2407-1))</f>
        <v/>
      </c>
      <c r="K2407" t="str">
        <f>IF($B2407="","",IFERROR(IF(G2407=0,-2E+300,CHOOSE(sortIdx,ROUND(D2407,0),IF(J2407="",-1E+300,ROUND(-J2407,6)),IF(J2407="",-1E+300,ROUND(J2407,6)))),-1.5E+300))</f>
        <v/>
      </c>
      <c r="L2407" t="str">
        <f>IF(K2407="","",RANK(K2407,$K$2:$K$3001,0)+COUNTIF($K$2:K2407,K2407)-1)</f>
        <v/>
      </c>
    </row>
    <row r="2408">
      <c r="B2408" t="str">
        <f>IFERROR(IF(A2408="","","="&amp;SUBSTITUTE(SUBSTITUTE(SUBSTITUTE(A2408,"~","~~"),"*","~*"),"?","~?")),"")</f>
        <v/>
      </c>
      <c r="C2408" t="str">
        <f>IF($B2408="","",SUMIFS(dAmt,dCust,$B2408,dPer,"&gt;="&amp;pyFrom,dPer,"&lt;="&amp;pyTo,dAmt,"&gt;-1E+300",dFlt1,critFlt1,dFlt2,critFlt2,dFlt3,critFlt3))</f>
        <v/>
      </c>
      <c r="D2408" t="str">
        <f>IF($B2408="","",SUMIFS(dAmt,dCust,$B2408,dPer,"&gt;="&amp;cyFrom,dPer,"&lt;="&amp;cyTo,dAmt,"&gt;-1E+300",dFlt1,critFlt1,dFlt2,critFlt2,dFlt3,critFlt3))</f>
        <v/>
      </c>
      <c r="E2408" t="str">
        <f>IF($B2408="","",SUMIFS(dQty,dCust,$B2408,dPer,"&gt;="&amp;pyFrom,dPer,"&lt;="&amp;pyTo,dQty,"&gt;-1E+300",dFlt1,critFlt1,dFlt2,critFlt2,dFlt3,critFlt3))</f>
        <v/>
      </c>
      <c r="F2408" t="str">
        <f>IF($B2408="","",SUMIFS(dQty,dCust,$B2408,dPer,"&gt;="&amp;cyFrom,dPer,"&lt;="&amp;cyTo,dQty,"&gt;-1E+300",dFlt1,critFlt1,dFlt2,critFlt2,dFlt3,critFlt3))</f>
        <v/>
      </c>
      <c r="G2408">
        <f>IF($B2408="",0,IFERROR(IF(OR(C2408&lt;&gt;0,D2408&lt;&gt;0,E2408&lt;&gt;0,F2408&lt;&gt;0),1,0),1))</f>
        <v>0</v>
      </c>
      <c r="H2408" t="str">
        <f>IF(OR(G2408=0,E2408=0),"",C2408/E2408)</f>
        <v/>
      </c>
      <c r="I2408" t="str">
        <f>IF(OR(G2408=0,F2408=0),"",D2408/F2408)</f>
        <v/>
      </c>
      <c r="J2408" t="str">
        <f>IF(OR(H2408="",I2408=""),"",IF(H2408=0,"",I2408/H2408-1))</f>
        <v/>
      </c>
      <c r="K2408" t="str">
        <f>IF($B2408="","",IFERROR(IF(G2408=0,-2E+300,CHOOSE(sortIdx,ROUND(D2408,0),IF(J2408="",-1E+300,ROUND(-J2408,6)),IF(J2408="",-1E+300,ROUND(J2408,6)))),-1.5E+300))</f>
        <v/>
      </c>
      <c r="L2408" t="str">
        <f>IF(K2408="","",RANK(K2408,$K$2:$K$3001,0)+COUNTIF($K$2:K2408,K2408)-1)</f>
        <v/>
      </c>
    </row>
    <row r="2409">
      <c r="B2409" t="str">
        <f>IFERROR(IF(A2409="","","="&amp;SUBSTITUTE(SUBSTITUTE(SUBSTITUTE(A2409,"~","~~"),"*","~*"),"?","~?")),"")</f>
        <v/>
      </c>
      <c r="C2409" t="str">
        <f>IF($B2409="","",SUMIFS(dAmt,dCust,$B2409,dPer,"&gt;="&amp;pyFrom,dPer,"&lt;="&amp;pyTo,dAmt,"&gt;-1E+300",dFlt1,critFlt1,dFlt2,critFlt2,dFlt3,critFlt3))</f>
        <v/>
      </c>
      <c r="D2409" t="str">
        <f>IF($B2409="","",SUMIFS(dAmt,dCust,$B2409,dPer,"&gt;="&amp;cyFrom,dPer,"&lt;="&amp;cyTo,dAmt,"&gt;-1E+300",dFlt1,critFlt1,dFlt2,critFlt2,dFlt3,critFlt3))</f>
        <v/>
      </c>
      <c r="E2409" t="str">
        <f>IF($B2409="","",SUMIFS(dQty,dCust,$B2409,dPer,"&gt;="&amp;pyFrom,dPer,"&lt;="&amp;pyTo,dQty,"&gt;-1E+300",dFlt1,critFlt1,dFlt2,critFlt2,dFlt3,critFlt3))</f>
        <v/>
      </c>
      <c r="F2409" t="str">
        <f>IF($B2409="","",SUMIFS(dQty,dCust,$B2409,dPer,"&gt;="&amp;cyFrom,dPer,"&lt;="&amp;cyTo,dQty,"&gt;-1E+300",dFlt1,critFlt1,dFlt2,critFlt2,dFlt3,critFlt3))</f>
        <v/>
      </c>
      <c r="G2409">
        <f>IF($B2409="",0,IFERROR(IF(OR(C2409&lt;&gt;0,D2409&lt;&gt;0,E2409&lt;&gt;0,F2409&lt;&gt;0),1,0),1))</f>
        <v>0</v>
      </c>
      <c r="H2409" t="str">
        <f>IF(OR(G2409=0,E2409=0),"",C2409/E2409)</f>
        <v/>
      </c>
      <c r="I2409" t="str">
        <f>IF(OR(G2409=0,F2409=0),"",D2409/F2409)</f>
        <v/>
      </c>
      <c r="J2409" t="str">
        <f>IF(OR(H2409="",I2409=""),"",IF(H2409=0,"",I2409/H2409-1))</f>
        <v/>
      </c>
      <c r="K2409" t="str">
        <f>IF($B2409="","",IFERROR(IF(G2409=0,-2E+300,CHOOSE(sortIdx,ROUND(D2409,0),IF(J2409="",-1E+300,ROUND(-J2409,6)),IF(J2409="",-1E+300,ROUND(J2409,6)))),-1.5E+300))</f>
        <v/>
      </c>
      <c r="L2409" t="str">
        <f>IF(K2409="","",RANK(K2409,$K$2:$K$3001,0)+COUNTIF($K$2:K2409,K2409)-1)</f>
        <v/>
      </c>
    </row>
    <row r="2410">
      <c r="B2410" t="str">
        <f>IFERROR(IF(A2410="","","="&amp;SUBSTITUTE(SUBSTITUTE(SUBSTITUTE(A2410,"~","~~"),"*","~*"),"?","~?")),"")</f>
        <v/>
      </c>
      <c r="C2410" t="str">
        <f>IF($B2410="","",SUMIFS(dAmt,dCust,$B2410,dPer,"&gt;="&amp;pyFrom,dPer,"&lt;="&amp;pyTo,dAmt,"&gt;-1E+300",dFlt1,critFlt1,dFlt2,critFlt2,dFlt3,critFlt3))</f>
        <v/>
      </c>
      <c r="D2410" t="str">
        <f>IF($B2410="","",SUMIFS(dAmt,dCust,$B2410,dPer,"&gt;="&amp;cyFrom,dPer,"&lt;="&amp;cyTo,dAmt,"&gt;-1E+300",dFlt1,critFlt1,dFlt2,critFlt2,dFlt3,critFlt3))</f>
        <v/>
      </c>
      <c r="E2410" t="str">
        <f>IF($B2410="","",SUMIFS(dQty,dCust,$B2410,dPer,"&gt;="&amp;pyFrom,dPer,"&lt;="&amp;pyTo,dQty,"&gt;-1E+300",dFlt1,critFlt1,dFlt2,critFlt2,dFlt3,critFlt3))</f>
        <v/>
      </c>
      <c r="F2410" t="str">
        <f>IF($B2410="","",SUMIFS(dQty,dCust,$B2410,dPer,"&gt;="&amp;cyFrom,dPer,"&lt;="&amp;cyTo,dQty,"&gt;-1E+300",dFlt1,critFlt1,dFlt2,critFlt2,dFlt3,critFlt3))</f>
        <v/>
      </c>
      <c r="G2410">
        <f>IF($B2410="",0,IFERROR(IF(OR(C2410&lt;&gt;0,D2410&lt;&gt;0,E2410&lt;&gt;0,F2410&lt;&gt;0),1,0),1))</f>
        <v>0</v>
      </c>
      <c r="H2410" t="str">
        <f>IF(OR(G2410=0,E2410=0),"",C2410/E2410)</f>
        <v/>
      </c>
      <c r="I2410" t="str">
        <f>IF(OR(G2410=0,F2410=0),"",D2410/F2410)</f>
        <v/>
      </c>
      <c r="J2410" t="str">
        <f>IF(OR(H2410="",I2410=""),"",IF(H2410=0,"",I2410/H2410-1))</f>
        <v/>
      </c>
      <c r="K2410" t="str">
        <f>IF($B2410="","",IFERROR(IF(G2410=0,-2E+300,CHOOSE(sortIdx,ROUND(D2410,0),IF(J2410="",-1E+300,ROUND(-J2410,6)),IF(J2410="",-1E+300,ROUND(J2410,6)))),-1.5E+300))</f>
        <v/>
      </c>
      <c r="L2410" t="str">
        <f>IF(K2410="","",RANK(K2410,$K$2:$K$3001,0)+COUNTIF($K$2:K2410,K2410)-1)</f>
        <v/>
      </c>
    </row>
    <row r="2411">
      <c r="B2411" t="str">
        <f>IFERROR(IF(A2411="","","="&amp;SUBSTITUTE(SUBSTITUTE(SUBSTITUTE(A2411,"~","~~"),"*","~*"),"?","~?")),"")</f>
        <v/>
      </c>
      <c r="C2411" t="str">
        <f>IF($B2411="","",SUMIFS(dAmt,dCust,$B2411,dPer,"&gt;="&amp;pyFrom,dPer,"&lt;="&amp;pyTo,dAmt,"&gt;-1E+300",dFlt1,critFlt1,dFlt2,critFlt2,dFlt3,critFlt3))</f>
        <v/>
      </c>
      <c r="D2411" t="str">
        <f>IF($B2411="","",SUMIFS(dAmt,dCust,$B2411,dPer,"&gt;="&amp;cyFrom,dPer,"&lt;="&amp;cyTo,dAmt,"&gt;-1E+300",dFlt1,critFlt1,dFlt2,critFlt2,dFlt3,critFlt3))</f>
        <v/>
      </c>
      <c r="E2411" t="str">
        <f>IF($B2411="","",SUMIFS(dQty,dCust,$B2411,dPer,"&gt;="&amp;pyFrom,dPer,"&lt;="&amp;pyTo,dQty,"&gt;-1E+300",dFlt1,critFlt1,dFlt2,critFlt2,dFlt3,critFlt3))</f>
        <v/>
      </c>
      <c r="F2411" t="str">
        <f>IF($B2411="","",SUMIFS(dQty,dCust,$B2411,dPer,"&gt;="&amp;cyFrom,dPer,"&lt;="&amp;cyTo,dQty,"&gt;-1E+300",dFlt1,critFlt1,dFlt2,critFlt2,dFlt3,critFlt3))</f>
        <v/>
      </c>
      <c r="G2411">
        <f>IF($B2411="",0,IFERROR(IF(OR(C2411&lt;&gt;0,D2411&lt;&gt;0,E2411&lt;&gt;0,F2411&lt;&gt;0),1,0),1))</f>
        <v>0</v>
      </c>
      <c r="H2411" t="str">
        <f>IF(OR(G2411=0,E2411=0),"",C2411/E2411)</f>
        <v/>
      </c>
      <c r="I2411" t="str">
        <f>IF(OR(G2411=0,F2411=0),"",D2411/F2411)</f>
        <v/>
      </c>
      <c r="J2411" t="str">
        <f>IF(OR(H2411="",I2411=""),"",IF(H2411=0,"",I2411/H2411-1))</f>
        <v/>
      </c>
      <c r="K2411" t="str">
        <f>IF($B2411="","",IFERROR(IF(G2411=0,-2E+300,CHOOSE(sortIdx,ROUND(D2411,0),IF(J2411="",-1E+300,ROUND(-J2411,6)),IF(J2411="",-1E+300,ROUND(J2411,6)))),-1.5E+300))</f>
        <v/>
      </c>
      <c r="L2411" t="str">
        <f>IF(K2411="","",RANK(K2411,$K$2:$K$3001,0)+COUNTIF($K$2:K2411,K2411)-1)</f>
        <v/>
      </c>
    </row>
    <row r="2412">
      <c r="B2412" t="str">
        <f>IFERROR(IF(A2412="","","="&amp;SUBSTITUTE(SUBSTITUTE(SUBSTITUTE(A2412,"~","~~"),"*","~*"),"?","~?")),"")</f>
        <v/>
      </c>
      <c r="C2412" t="str">
        <f>IF($B2412="","",SUMIFS(dAmt,dCust,$B2412,dPer,"&gt;="&amp;pyFrom,dPer,"&lt;="&amp;pyTo,dAmt,"&gt;-1E+300",dFlt1,critFlt1,dFlt2,critFlt2,dFlt3,critFlt3))</f>
        <v/>
      </c>
      <c r="D2412" t="str">
        <f>IF($B2412="","",SUMIFS(dAmt,dCust,$B2412,dPer,"&gt;="&amp;cyFrom,dPer,"&lt;="&amp;cyTo,dAmt,"&gt;-1E+300",dFlt1,critFlt1,dFlt2,critFlt2,dFlt3,critFlt3))</f>
        <v/>
      </c>
      <c r="E2412" t="str">
        <f>IF($B2412="","",SUMIFS(dQty,dCust,$B2412,dPer,"&gt;="&amp;pyFrom,dPer,"&lt;="&amp;pyTo,dQty,"&gt;-1E+300",dFlt1,critFlt1,dFlt2,critFlt2,dFlt3,critFlt3))</f>
        <v/>
      </c>
      <c r="F2412" t="str">
        <f>IF($B2412="","",SUMIFS(dQty,dCust,$B2412,dPer,"&gt;="&amp;cyFrom,dPer,"&lt;="&amp;cyTo,dQty,"&gt;-1E+300",dFlt1,critFlt1,dFlt2,critFlt2,dFlt3,critFlt3))</f>
        <v/>
      </c>
      <c r="G2412">
        <f>IF($B2412="",0,IFERROR(IF(OR(C2412&lt;&gt;0,D2412&lt;&gt;0,E2412&lt;&gt;0,F2412&lt;&gt;0),1,0),1))</f>
        <v>0</v>
      </c>
      <c r="H2412" t="str">
        <f>IF(OR(G2412=0,E2412=0),"",C2412/E2412)</f>
        <v/>
      </c>
      <c r="I2412" t="str">
        <f>IF(OR(G2412=0,F2412=0),"",D2412/F2412)</f>
        <v/>
      </c>
      <c r="J2412" t="str">
        <f>IF(OR(H2412="",I2412=""),"",IF(H2412=0,"",I2412/H2412-1))</f>
        <v/>
      </c>
      <c r="K2412" t="str">
        <f>IF($B2412="","",IFERROR(IF(G2412=0,-2E+300,CHOOSE(sortIdx,ROUND(D2412,0),IF(J2412="",-1E+300,ROUND(-J2412,6)),IF(J2412="",-1E+300,ROUND(J2412,6)))),-1.5E+300))</f>
        <v/>
      </c>
      <c r="L2412" t="str">
        <f>IF(K2412="","",RANK(K2412,$K$2:$K$3001,0)+COUNTIF($K$2:K2412,K2412)-1)</f>
        <v/>
      </c>
    </row>
    <row r="2413">
      <c r="B2413" t="str">
        <f>IFERROR(IF(A2413="","","="&amp;SUBSTITUTE(SUBSTITUTE(SUBSTITUTE(A2413,"~","~~"),"*","~*"),"?","~?")),"")</f>
        <v/>
      </c>
      <c r="C2413" t="str">
        <f>IF($B2413="","",SUMIFS(dAmt,dCust,$B2413,dPer,"&gt;="&amp;pyFrom,dPer,"&lt;="&amp;pyTo,dAmt,"&gt;-1E+300",dFlt1,critFlt1,dFlt2,critFlt2,dFlt3,critFlt3))</f>
        <v/>
      </c>
      <c r="D2413" t="str">
        <f>IF($B2413="","",SUMIFS(dAmt,dCust,$B2413,dPer,"&gt;="&amp;cyFrom,dPer,"&lt;="&amp;cyTo,dAmt,"&gt;-1E+300",dFlt1,critFlt1,dFlt2,critFlt2,dFlt3,critFlt3))</f>
        <v/>
      </c>
      <c r="E2413" t="str">
        <f>IF($B2413="","",SUMIFS(dQty,dCust,$B2413,dPer,"&gt;="&amp;pyFrom,dPer,"&lt;="&amp;pyTo,dQty,"&gt;-1E+300",dFlt1,critFlt1,dFlt2,critFlt2,dFlt3,critFlt3))</f>
        <v/>
      </c>
      <c r="F2413" t="str">
        <f>IF($B2413="","",SUMIFS(dQty,dCust,$B2413,dPer,"&gt;="&amp;cyFrom,dPer,"&lt;="&amp;cyTo,dQty,"&gt;-1E+300",dFlt1,critFlt1,dFlt2,critFlt2,dFlt3,critFlt3))</f>
        <v/>
      </c>
      <c r="G2413">
        <f>IF($B2413="",0,IFERROR(IF(OR(C2413&lt;&gt;0,D2413&lt;&gt;0,E2413&lt;&gt;0,F2413&lt;&gt;0),1,0),1))</f>
        <v>0</v>
      </c>
      <c r="H2413" t="str">
        <f>IF(OR(G2413=0,E2413=0),"",C2413/E2413)</f>
        <v/>
      </c>
      <c r="I2413" t="str">
        <f>IF(OR(G2413=0,F2413=0),"",D2413/F2413)</f>
        <v/>
      </c>
      <c r="J2413" t="str">
        <f>IF(OR(H2413="",I2413=""),"",IF(H2413=0,"",I2413/H2413-1))</f>
        <v/>
      </c>
      <c r="K2413" t="str">
        <f>IF($B2413="","",IFERROR(IF(G2413=0,-2E+300,CHOOSE(sortIdx,ROUND(D2413,0),IF(J2413="",-1E+300,ROUND(-J2413,6)),IF(J2413="",-1E+300,ROUND(J2413,6)))),-1.5E+300))</f>
        <v/>
      </c>
      <c r="L2413" t="str">
        <f>IF(K2413="","",RANK(K2413,$K$2:$K$3001,0)+COUNTIF($K$2:K2413,K2413)-1)</f>
        <v/>
      </c>
    </row>
    <row r="2414">
      <c r="B2414" t="str">
        <f>IFERROR(IF(A2414="","","="&amp;SUBSTITUTE(SUBSTITUTE(SUBSTITUTE(A2414,"~","~~"),"*","~*"),"?","~?")),"")</f>
        <v/>
      </c>
      <c r="C2414" t="str">
        <f>IF($B2414="","",SUMIFS(dAmt,dCust,$B2414,dPer,"&gt;="&amp;pyFrom,dPer,"&lt;="&amp;pyTo,dAmt,"&gt;-1E+300",dFlt1,critFlt1,dFlt2,critFlt2,dFlt3,critFlt3))</f>
        <v/>
      </c>
      <c r="D2414" t="str">
        <f>IF($B2414="","",SUMIFS(dAmt,dCust,$B2414,dPer,"&gt;="&amp;cyFrom,dPer,"&lt;="&amp;cyTo,dAmt,"&gt;-1E+300",dFlt1,critFlt1,dFlt2,critFlt2,dFlt3,critFlt3))</f>
        <v/>
      </c>
      <c r="E2414" t="str">
        <f>IF($B2414="","",SUMIFS(dQty,dCust,$B2414,dPer,"&gt;="&amp;pyFrom,dPer,"&lt;="&amp;pyTo,dQty,"&gt;-1E+300",dFlt1,critFlt1,dFlt2,critFlt2,dFlt3,critFlt3))</f>
        <v/>
      </c>
      <c r="F2414" t="str">
        <f>IF($B2414="","",SUMIFS(dQty,dCust,$B2414,dPer,"&gt;="&amp;cyFrom,dPer,"&lt;="&amp;cyTo,dQty,"&gt;-1E+300",dFlt1,critFlt1,dFlt2,critFlt2,dFlt3,critFlt3))</f>
        <v/>
      </c>
      <c r="G2414">
        <f>IF($B2414="",0,IFERROR(IF(OR(C2414&lt;&gt;0,D2414&lt;&gt;0,E2414&lt;&gt;0,F2414&lt;&gt;0),1,0),1))</f>
        <v>0</v>
      </c>
      <c r="H2414" t="str">
        <f>IF(OR(G2414=0,E2414=0),"",C2414/E2414)</f>
        <v/>
      </c>
      <c r="I2414" t="str">
        <f>IF(OR(G2414=0,F2414=0),"",D2414/F2414)</f>
        <v/>
      </c>
      <c r="J2414" t="str">
        <f>IF(OR(H2414="",I2414=""),"",IF(H2414=0,"",I2414/H2414-1))</f>
        <v/>
      </c>
      <c r="K2414" t="str">
        <f>IF($B2414="","",IFERROR(IF(G2414=0,-2E+300,CHOOSE(sortIdx,ROUND(D2414,0),IF(J2414="",-1E+300,ROUND(-J2414,6)),IF(J2414="",-1E+300,ROUND(J2414,6)))),-1.5E+300))</f>
        <v/>
      </c>
      <c r="L2414" t="str">
        <f>IF(K2414="","",RANK(K2414,$K$2:$K$3001,0)+COUNTIF($K$2:K2414,K2414)-1)</f>
        <v/>
      </c>
    </row>
    <row r="2415">
      <c r="B2415" t="str">
        <f>IFERROR(IF(A2415="","","="&amp;SUBSTITUTE(SUBSTITUTE(SUBSTITUTE(A2415,"~","~~"),"*","~*"),"?","~?")),"")</f>
        <v/>
      </c>
      <c r="C2415" t="str">
        <f>IF($B2415="","",SUMIFS(dAmt,dCust,$B2415,dPer,"&gt;="&amp;pyFrom,dPer,"&lt;="&amp;pyTo,dAmt,"&gt;-1E+300",dFlt1,critFlt1,dFlt2,critFlt2,dFlt3,critFlt3))</f>
        <v/>
      </c>
      <c r="D2415" t="str">
        <f>IF($B2415="","",SUMIFS(dAmt,dCust,$B2415,dPer,"&gt;="&amp;cyFrom,dPer,"&lt;="&amp;cyTo,dAmt,"&gt;-1E+300",dFlt1,critFlt1,dFlt2,critFlt2,dFlt3,critFlt3))</f>
        <v/>
      </c>
      <c r="E2415" t="str">
        <f>IF($B2415="","",SUMIFS(dQty,dCust,$B2415,dPer,"&gt;="&amp;pyFrom,dPer,"&lt;="&amp;pyTo,dQty,"&gt;-1E+300",dFlt1,critFlt1,dFlt2,critFlt2,dFlt3,critFlt3))</f>
        <v/>
      </c>
      <c r="F2415" t="str">
        <f>IF($B2415="","",SUMIFS(dQty,dCust,$B2415,dPer,"&gt;="&amp;cyFrom,dPer,"&lt;="&amp;cyTo,dQty,"&gt;-1E+300",dFlt1,critFlt1,dFlt2,critFlt2,dFlt3,critFlt3))</f>
        <v/>
      </c>
      <c r="G2415">
        <f>IF($B2415="",0,IFERROR(IF(OR(C2415&lt;&gt;0,D2415&lt;&gt;0,E2415&lt;&gt;0,F2415&lt;&gt;0),1,0),1))</f>
        <v>0</v>
      </c>
      <c r="H2415" t="str">
        <f>IF(OR(G2415=0,E2415=0),"",C2415/E2415)</f>
        <v/>
      </c>
      <c r="I2415" t="str">
        <f>IF(OR(G2415=0,F2415=0),"",D2415/F2415)</f>
        <v/>
      </c>
      <c r="J2415" t="str">
        <f>IF(OR(H2415="",I2415=""),"",IF(H2415=0,"",I2415/H2415-1))</f>
        <v/>
      </c>
      <c r="K2415" t="str">
        <f>IF($B2415="","",IFERROR(IF(G2415=0,-2E+300,CHOOSE(sortIdx,ROUND(D2415,0),IF(J2415="",-1E+300,ROUND(-J2415,6)),IF(J2415="",-1E+300,ROUND(J2415,6)))),-1.5E+300))</f>
        <v/>
      </c>
      <c r="L2415" t="str">
        <f>IF(K2415="","",RANK(K2415,$K$2:$K$3001,0)+COUNTIF($K$2:K2415,K2415)-1)</f>
        <v/>
      </c>
    </row>
    <row r="2416">
      <c r="B2416" t="str">
        <f>IFERROR(IF(A2416="","","="&amp;SUBSTITUTE(SUBSTITUTE(SUBSTITUTE(A2416,"~","~~"),"*","~*"),"?","~?")),"")</f>
        <v/>
      </c>
      <c r="C2416" t="str">
        <f>IF($B2416="","",SUMIFS(dAmt,dCust,$B2416,dPer,"&gt;="&amp;pyFrom,dPer,"&lt;="&amp;pyTo,dAmt,"&gt;-1E+300",dFlt1,critFlt1,dFlt2,critFlt2,dFlt3,critFlt3))</f>
        <v/>
      </c>
      <c r="D2416" t="str">
        <f>IF($B2416="","",SUMIFS(dAmt,dCust,$B2416,dPer,"&gt;="&amp;cyFrom,dPer,"&lt;="&amp;cyTo,dAmt,"&gt;-1E+300",dFlt1,critFlt1,dFlt2,critFlt2,dFlt3,critFlt3))</f>
        <v/>
      </c>
      <c r="E2416" t="str">
        <f>IF($B2416="","",SUMIFS(dQty,dCust,$B2416,dPer,"&gt;="&amp;pyFrom,dPer,"&lt;="&amp;pyTo,dQty,"&gt;-1E+300",dFlt1,critFlt1,dFlt2,critFlt2,dFlt3,critFlt3))</f>
        <v/>
      </c>
      <c r="F2416" t="str">
        <f>IF($B2416="","",SUMIFS(dQty,dCust,$B2416,dPer,"&gt;="&amp;cyFrom,dPer,"&lt;="&amp;cyTo,dQty,"&gt;-1E+300",dFlt1,critFlt1,dFlt2,critFlt2,dFlt3,critFlt3))</f>
        <v/>
      </c>
      <c r="G2416">
        <f>IF($B2416="",0,IFERROR(IF(OR(C2416&lt;&gt;0,D2416&lt;&gt;0,E2416&lt;&gt;0,F2416&lt;&gt;0),1,0),1))</f>
        <v>0</v>
      </c>
      <c r="H2416" t="str">
        <f>IF(OR(G2416=0,E2416=0),"",C2416/E2416)</f>
        <v/>
      </c>
      <c r="I2416" t="str">
        <f>IF(OR(G2416=0,F2416=0),"",D2416/F2416)</f>
        <v/>
      </c>
      <c r="J2416" t="str">
        <f>IF(OR(H2416="",I2416=""),"",IF(H2416=0,"",I2416/H2416-1))</f>
        <v/>
      </c>
      <c r="K2416" t="str">
        <f>IF($B2416="","",IFERROR(IF(G2416=0,-2E+300,CHOOSE(sortIdx,ROUND(D2416,0),IF(J2416="",-1E+300,ROUND(-J2416,6)),IF(J2416="",-1E+300,ROUND(J2416,6)))),-1.5E+300))</f>
        <v/>
      </c>
      <c r="L2416" t="str">
        <f>IF(K2416="","",RANK(K2416,$K$2:$K$3001,0)+COUNTIF($K$2:K2416,K2416)-1)</f>
        <v/>
      </c>
    </row>
    <row r="2417">
      <c r="B2417" t="str">
        <f>IFERROR(IF(A2417="","","="&amp;SUBSTITUTE(SUBSTITUTE(SUBSTITUTE(A2417,"~","~~"),"*","~*"),"?","~?")),"")</f>
        <v/>
      </c>
      <c r="C2417" t="str">
        <f>IF($B2417="","",SUMIFS(dAmt,dCust,$B2417,dPer,"&gt;="&amp;pyFrom,dPer,"&lt;="&amp;pyTo,dAmt,"&gt;-1E+300",dFlt1,critFlt1,dFlt2,critFlt2,dFlt3,critFlt3))</f>
        <v/>
      </c>
      <c r="D2417" t="str">
        <f>IF($B2417="","",SUMIFS(dAmt,dCust,$B2417,dPer,"&gt;="&amp;cyFrom,dPer,"&lt;="&amp;cyTo,dAmt,"&gt;-1E+300",dFlt1,critFlt1,dFlt2,critFlt2,dFlt3,critFlt3))</f>
        <v/>
      </c>
      <c r="E2417" t="str">
        <f>IF($B2417="","",SUMIFS(dQty,dCust,$B2417,dPer,"&gt;="&amp;pyFrom,dPer,"&lt;="&amp;pyTo,dQty,"&gt;-1E+300",dFlt1,critFlt1,dFlt2,critFlt2,dFlt3,critFlt3))</f>
        <v/>
      </c>
      <c r="F2417" t="str">
        <f>IF($B2417="","",SUMIFS(dQty,dCust,$B2417,dPer,"&gt;="&amp;cyFrom,dPer,"&lt;="&amp;cyTo,dQty,"&gt;-1E+300",dFlt1,critFlt1,dFlt2,critFlt2,dFlt3,critFlt3))</f>
        <v/>
      </c>
      <c r="G2417">
        <f>IF($B2417="",0,IFERROR(IF(OR(C2417&lt;&gt;0,D2417&lt;&gt;0,E2417&lt;&gt;0,F2417&lt;&gt;0),1,0),1))</f>
        <v>0</v>
      </c>
      <c r="H2417" t="str">
        <f>IF(OR(G2417=0,E2417=0),"",C2417/E2417)</f>
        <v/>
      </c>
      <c r="I2417" t="str">
        <f>IF(OR(G2417=0,F2417=0),"",D2417/F2417)</f>
        <v/>
      </c>
      <c r="J2417" t="str">
        <f>IF(OR(H2417="",I2417=""),"",IF(H2417=0,"",I2417/H2417-1))</f>
        <v/>
      </c>
      <c r="K2417" t="str">
        <f>IF($B2417="","",IFERROR(IF(G2417=0,-2E+300,CHOOSE(sortIdx,ROUND(D2417,0),IF(J2417="",-1E+300,ROUND(-J2417,6)),IF(J2417="",-1E+300,ROUND(J2417,6)))),-1.5E+300))</f>
        <v/>
      </c>
      <c r="L2417" t="str">
        <f>IF(K2417="","",RANK(K2417,$K$2:$K$3001,0)+COUNTIF($K$2:K2417,K2417)-1)</f>
        <v/>
      </c>
    </row>
    <row r="2418">
      <c r="B2418" t="str">
        <f>IFERROR(IF(A2418="","","="&amp;SUBSTITUTE(SUBSTITUTE(SUBSTITUTE(A2418,"~","~~"),"*","~*"),"?","~?")),"")</f>
        <v/>
      </c>
      <c r="C2418" t="str">
        <f>IF($B2418="","",SUMIFS(dAmt,dCust,$B2418,dPer,"&gt;="&amp;pyFrom,dPer,"&lt;="&amp;pyTo,dAmt,"&gt;-1E+300",dFlt1,critFlt1,dFlt2,critFlt2,dFlt3,critFlt3))</f>
        <v/>
      </c>
      <c r="D2418" t="str">
        <f>IF($B2418="","",SUMIFS(dAmt,dCust,$B2418,dPer,"&gt;="&amp;cyFrom,dPer,"&lt;="&amp;cyTo,dAmt,"&gt;-1E+300",dFlt1,critFlt1,dFlt2,critFlt2,dFlt3,critFlt3))</f>
        <v/>
      </c>
      <c r="E2418" t="str">
        <f>IF($B2418="","",SUMIFS(dQty,dCust,$B2418,dPer,"&gt;="&amp;pyFrom,dPer,"&lt;="&amp;pyTo,dQty,"&gt;-1E+300",dFlt1,critFlt1,dFlt2,critFlt2,dFlt3,critFlt3))</f>
        <v/>
      </c>
      <c r="F2418" t="str">
        <f>IF($B2418="","",SUMIFS(dQty,dCust,$B2418,dPer,"&gt;="&amp;cyFrom,dPer,"&lt;="&amp;cyTo,dQty,"&gt;-1E+300",dFlt1,critFlt1,dFlt2,critFlt2,dFlt3,critFlt3))</f>
        <v/>
      </c>
      <c r="G2418">
        <f>IF($B2418="",0,IFERROR(IF(OR(C2418&lt;&gt;0,D2418&lt;&gt;0,E2418&lt;&gt;0,F2418&lt;&gt;0),1,0),1))</f>
        <v>0</v>
      </c>
      <c r="H2418" t="str">
        <f>IF(OR(G2418=0,E2418=0),"",C2418/E2418)</f>
        <v/>
      </c>
      <c r="I2418" t="str">
        <f>IF(OR(G2418=0,F2418=0),"",D2418/F2418)</f>
        <v/>
      </c>
      <c r="J2418" t="str">
        <f>IF(OR(H2418="",I2418=""),"",IF(H2418=0,"",I2418/H2418-1))</f>
        <v/>
      </c>
      <c r="K2418" t="str">
        <f>IF($B2418="","",IFERROR(IF(G2418=0,-2E+300,CHOOSE(sortIdx,ROUND(D2418,0),IF(J2418="",-1E+300,ROUND(-J2418,6)),IF(J2418="",-1E+300,ROUND(J2418,6)))),-1.5E+300))</f>
        <v/>
      </c>
      <c r="L2418" t="str">
        <f>IF(K2418="","",RANK(K2418,$K$2:$K$3001,0)+COUNTIF($K$2:K2418,K2418)-1)</f>
        <v/>
      </c>
    </row>
    <row r="2419">
      <c r="B2419" t="str">
        <f>IFERROR(IF(A2419="","","="&amp;SUBSTITUTE(SUBSTITUTE(SUBSTITUTE(A2419,"~","~~"),"*","~*"),"?","~?")),"")</f>
        <v/>
      </c>
      <c r="C2419" t="str">
        <f>IF($B2419="","",SUMIFS(dAmt,dCust,$B2419,dPer,"&gt;="&amp;pyFrom,dPer,"&lt;="&amp;pyTo,dAmt,"&gt;-1E+300",dFlt1,critFlt1,dFlt2,critFlt2,dFlt3,critFlt3))</f>
        <v/>
      </c>
      <c r="D2419" t="str">
        <f>IF($B2419="","",SUMIFS(dAmt,dCust,$B2419,dPer,"&gt;="&amp;cyFrom,dPer,"&lt;="&amp;cyTo,dAmt,"&gt;-1E+300",dFlt1,critFlt1,dFlt2,critFlt2,dFlt3,critFlt3))</f>
        <v/>
      </c>
      <c r="E2419" t="str">
        <f>IF($B2419="","",SUMIFS(dQty,dCust,$B2419,dPer,"&gt;="&amp;pyFrom,dPer,"&lt;="&amp;pyTo,dQty,"&gt;-1E+300",dFlt1,critFlt1,dFlt2,critFlt2,dFlt3,critFlt3))</f>
        <v/>
      </c>
      <c r="F2419" t="str">
        <f>IF($B2419="","",SUMIFS(dQty,dCust,$B2419,dPer,"&gt;="&amp;cyFrom,dPer,"&lt;="&amp;cyTo,dQty,"&gt;-1E+300",dFlt1,critFlt1,dFlt2,critFlt2,dFlt3,critFlt3))</f>
        <v/>
      </c>
      <c r="G2419">
        <f>IF($B2419="",0,IFERROR(IF(OR(C2419&lt;&gt;0,D2419&lt;&gt;0,E2419&lt;&gt;0,F2419&lt;&gt;0),1,0),1))</f>
        <v>0</v>
      </c>
      <c r="H2419" t="str">
        <f>IF(OR(G2419=0,E2419=0),"",C2419/E2419)</f>
        <v/>
      </c>
      <c r="I2419" t="str">
        <f>IF(OR(G2419=0,F2419=0),"",D2419/F2419)</f>
        <v/>
      </c>
      <c r="J2419" t="str">
        <f>IF(OR(H2419="",I2419=""),"",IF(H2419=0,"",I2419/H2419-1))</f>
        <v/>
      </c>
      <c r="K2419" t="str">
        <f>IF($B2419="","",IFERROR(IF(G2419=0,-2E+300,CHOOSE(sortIdx,ROUND(D2419,0),IF(J2419="",-1E+300,ROUND(-J2419,6)),IF(J2419="",-1E+300,ROUND(J2419,6)))),-1.5E+300))</f>
        <v/>
      </c>
      <c r="L2419" t="str">
        <f>IF(K2419="","",RANK(K2419,$K$2:$K$3001,0)+COUNTIF($K$2:K2419,K2419)-1)</f>
        <v/>
      </c>
    </row>
    <row r="2420">
      <c r="B2420" t="str">
        <f>IFERROR(IF(A2420="","","="&amp;SUBSTITUTE(SUBSTITUTE(SUBSTITUTE(A2420,"~","~~"),"*","~*"),"?","~?")),"")</f>
        <v/>
      </c>
      <c r="C2420" t="str">
        <f>IF($B2420="","",SUMIFS(dAmt,dCust,$B2420,dPer,"&gt;="&amp;pyFrom,dPer,"&lt;="&amp;pyTo,dAmt,"&gt;-1E+300",dFlt1,critFlt1,dFlt2,critFlt2,dFlt3,critFlt3))</f>
        <v/>
      </c>
      <c r="D2420" t="str">
        <f>IF($B2420="","",SUMIFS(dAmt,dCust,$B2420,dPer,"&gt;="&amp;cyFrom,dPer,"&lt;="&amp;cyTo,dAmt,"&gt;-1E+300",dFlt1,critFlt1,dFlt2,critFlt2,dFlt3,critFlt3))</f>
        <v/>
      </c>
      <c r="E2420" t="str">
        <f>IF($B2420="","",SUMIFS(dQty,dCust,$B2420,dPer,"&gt;="&amp;pyFrom,dPer,"&lt;="&amp;pyTo,dQty,"&gt;-1E+300",dFlt1,critFlt1,dFlt2,critFlt2,dFlt3,critFlt3))</f>
        <v/>
      </c>
      <c r="F2420" t="str">
        <f>IF($B2420="","",SUMIFS(dQty,dCust,$B2420,dPer,"&gt;="&amp;cyFrom,dPer,"&lt;="&amp;cyTo,dQty,"&gt;-1E+300",dFlt1,critFlt1,dFlt2,critFlt2,dFlt3,critFlt3))</f>
        <v/>
      </c>
      <c r="G2420">
        <f>IF($B2420="",0,IFERROR(IF(OR(C2420&lt;&gt;0,D2420&lt;&gt;0,E2420&lt;&gt;0,F2420&lt;&gt;0),1,0),1))</f>
        <v>0</v>
      </c>
      <c r="H2420" t="str">
        <f>IF(OR(G2420=0,E2420=0),"",C2420/E2420)</f>
        <v/>
      </c>
      <c r="I2420" t="str">
        <f>IF(OR(G2420=0,F2420=0),"",D2420/F2420)</f>
        <v/>
      </c>
      <c r="J2420" t="str">
        <f>IF(OR(H2420="",I2420=""),"",IF(H2420=0,"",I2420/H2420-1))</f>
        <v/>
      </c>
      <c r="K2420" t="str">
        <f>IF($B2420="","",IFERROR(IF(G2420=0,-2E+300,CHOOSE(sortIdx,ROUND(D2420,0),IF(J2420="",-1E+300,ROUND(-J2420,6)),IF(J2420="",-1E+300,ROUND(J2420,6)))),-1.5E+300))</f>
        <v/>
      </c>
      <c r="L2420" t="str">
        <f>IF(K2420="","",RANK(K2420,$K$2:$K$3001,0)+COUNTIF($K$2:K2420,K2420)-1)</f>
        <v/>
      </c>
    </row>
    <row r="2421">
      <c r="B2421" t="str">
        <f>IFERROR(IF(A2421="","","="&amp;SUBSTITUTE(SUBSTITUTE(SUBSTITUTE(A2421,"~","~~"),"*","~*"),"?","~?")),"")</f>
        <v/>
      </c>
      <c r="C2421" t="str">
        <f>IF($B2421="","",SUMIFS(dAmt,dCust,$B2421,dPer,"&gt;="&amp;pyFrom,dPer,"&lt;="&amp;pyTo,dAmt,"&gt;-1E+300",dFlt1,critFlt1,dFlt2,critFlt2,dFlt3,critFlt3))</f>
        <v/>
      </c>
      <c r="D2421" t="str">
        <f>IF($B2421="","",SUMIFS(dAmt,dCust,$B2421,dPer,"&gt;="&amp;cyFrom,dPer,"&lt;="&amp;cyTo,dAmt,"&gt;-1E+300",dFlt1,critFlt1,dFlt2,critFlt2,dFlt3,critFlt3))</f>
        <v/>
      </c>
      <c r="E2421" t="str">
        <f>IF($B2421="","",SUMIFS(dQty,dCust,$B2421,dPer,"&gt;="&amp;pyFrom,dPer,"&lt;="&amp;pyTo,dQty,"&gt;-1E+300",dFlt1,critFlt1,dFlt2,critFlt2,dFlt3,critFlt3))</f>
        <v/>
      </c>
      <c r="F2421" t="str">
        <f>IF($B2421="","",SUMIFS(dQty,dCust,$B2421,dPer,"&gt;="&amp;cyFrom,dPer,"&lt;="&amp;cyTo,dQty,"&gt;-1E+300",dFlt1,critFlt1,dFlt2,critFlt2,dFlt3,critFlt3))</f>
        <v/>
      </c>
      <c r="G2421">
        <f>IF($B2421="",0,IFERROR(IF(OR(C2421&lt;&gt;0,D2421&lt;&gt;0,E2421&lt;&gt;0,F2421&lt;&gt;0),1,0),1))</f>
        <v>0</v>
      </c>
      <c r="H2421" t="str">
        <f>IF(OR(G2421=0,E2421=0),"",C2421/E2421)</f>
        <v/>
      </c>
      <c r="I2421" t="str">
        <f>IF(OR(G2421=0,F2421=0),"",D2421/F2421)</f>
        <v/>
      </c>
      <c r="J2421" t="str">
        <f>IF(OR(H2421="",I2421=""),"",IF(H2421=0,"",I2421/H2421-1))</f>
        <v/>
      </c>
      <c r="K2421" t="str">
        <f>IF($B2421="","",IFERROR(IF(G2421=0,-2E+300,CHOOSE(sortIdx,ROUND(D2421,0),IF(J2421="",-1E+300,ROUND(-J2421,6)),IF(J2421="",-1E+300,ROUND(J2421,6)))),-1.5E+300))</f>
        <v/>
      </c>
      <c r="L2421" t="str">
        <f>IF(K2421="","",RANK(K2421,$K$2:$K$3001,0)+COUNTIF($K$2:K2421,K2421)-1)</f>
        <v/>
      </c>
    </row>
    <row r="2422">
      <c r="B2422" t="str">
        <f>IFERROR(IF(A2422="","","="&amp;SUBSTITUTE(SUBSTITUTE(SUBSTITUTE(A2422,"~","~~"),"*","~*"),"?","~?")),"")</f>
        <v/>
      </c>
      <c r="C2422" t="str">
        <f>IF($B2422="","",SUMIFS(dAmt,dCust,$B2422,dPer,"&gt;="&amp;pyFrom,dPer,"&lt;="&amp;pyTo,dAmt,"&gt;-1E+300",dFlt1,critFlt1,dFlt2,critFlt2,dFlt3,critFlt3))</f>
        <v/>
      </c>
      <c r="D2422" t="str">
        <f>IF($B2422="","",SUMIFS(dAmt,dCust,$B2422,dPer,"&gt;="&amp;cyFrom,dPer,"&lt;="&amp;cyTo,dAmt,"&gt;-1E+300",dFlt1,critFlt1,dFlt2,critFlt2,dFlt3,critFlt3))</f>
        <v/>
      </c>
      <c r="E2422" t="str">
        <f>IF($B2422="","",SUMIFS(dQty,dCust,$B2422,dPer,"&gt;="&amp;pyFrom,dPer,"&lt;="&amp;pyTo,dQty,"&gt;-1E+300",dFlt1,critFlt1,dFlt2,critFlt2,dFlt3,critFlt3))</f>
        <v/>
      </c>
      <c r="F2422" t="str">
        <f>IF($B2422="","",SUMIFS(dQty,dCust,$B2422,dPer,"&gt;="&amp;cyFrom,dPer,"&lt;="&amp;cyTo,dQty,"&gt;-1E+300",dFlt1,critFlt1,dFlt2,critFlt2,dFlt3,critFlt3))</f>
        <v/>
      </c>
      <c r="G2422">
        <f>IF($B2422="",0,IFERROR(IF(OR(C2422&lt;&gt;0,D2422&lt;&gt;0,E2422&lt;&gt;0,F2422&lt;&gt;0),1,0),1))</f>
        <v>0</v>
      </c>
      <c r="H2422" t="str">
        <f>IF(OR(G2422=0,E2422=0),"",C2422/E2422)</f>
        <v/>
      </c>
      <c r="I2422" t="str">
        <f>IF(OR(G2422=0,F2422=0),"",D2422/F2422)</f>
        <v/>
      </c>
      <c r="J2422" t="str">
        <f>IF(OR(H2422="",I2422=""),"",IF(H2422=0,"",I2422/H2422-1))</f>
        <v/>
      </c>
      <c r="K2422" t="str">
        <f>IF($B2422="","",IFERROR(IF(G2422=0,-2E+300,CHOOSE(sortIdx,ROUND(D2422,0),IF(J2422="",-1E+300,ROUND(-J2422,6)),IF(J2422="",-1E+300,ROUND(J2422,6)))),-1.5E+300))</f>
        <v/>
      </c>
      <c r="L2422" t="str">
        <f>IF(K2422="","",RANK(K2422,$K$2:$K$3001,0)+COUNTIF($K$2:K2422,K2422)-1)</f>
        <v/>
      </c>
    </row>
    <row r="2423">
      <c r="B2423" t="str">
        <f>IFERROR(IF(A2423="","","="&amp;SUBSTITUTE(SUBSTITUTE(SUBSTITUTE(A2423,"~","~~"),"*","~*"),"?","~?")),"")</f>
        <v/>
      </c>
      <c r="C2423" t="str">
        <f>IF($B2423="","",SUMIFS(dAmt,dCust,$B2423,dPer,"&gt;="&amp;pyFrom,dPer,"&lt;="&amp;pyTo,dAmt,"&gt;-1E+300",dFlt1,critFlt1,dFlt2,critFlt2,dFlt3,critFlt3))</f>
        <v/>
      </c>
      <c r="D2423" t="str">
        <f>IF($B2423="","",SUMIFS(dAmt,dCust,$B2423,dPer,"&gt;="&amp;cyFrom,dPer,"&lt;="&amp;cyTo,dAmt,"&gt;-1E+300",dFlt1,critFlt1,dFlt2,critFlt2,dFlt3,critFlt3))</f>
        <v/>
      </c>
      <c r="E2423" t="str">
        <f>IF($B2423="","",SUMIFS(dQty,dCust,$B2423,dPer,"&gt;="&amp;pyFrom,dPer,"&lt;="&amp;pyTo,dQty,"&gt;-1E+300",dFlt1,critFlt1,dFlt2,critFlt2,dFlt3,critFlt3))</f>
        <v/>
      </c>
      <c r="F2423" t="str">
        <f>IF($B2423="","",SUMIFS(dQty,dCust,$B2423,dPer,"&gt;="&amp;cyFrom,dPer,"&lt;="&amp;cyTo,dQty,"&gt;-1E+300",dFlt1,critFlt1,dFlt2,critFlt2,dFlt3,critFlt3))</f>
        <v/>
      </c>
      <c r="G2423">
        <f>IF($B2423="",0,IFERROR(IF(OR(C2423&lt;&gt;0,D2423&lt;&gt;0,E2423&lt;&gt;0,F2423&lt;&gt;0),1,0),1))</f>
        <v>0</v>
      </c>
      <c r="H2423" t="str">
        <f>IF(OR(G2423=0,E2423=0),"",C2423/E2423)</f>
        <v/>
      </c>
      <c r="I2423" t="str">
        <f>IF(OR(G2423=0,F2423=0),"",D2423/F2423)</f>
        <v/>
      </c>
      <c r="J2423" t="str">
        <f>IF(OR(H2423="",I2423=""),"",IF(H2423=0,"",I2423/H2423-1))</f>
        <v/>
      </c>
      <c r="K2423" t="str">
        <f>IF($B2423="","",IFERROR(IF(G2423=0,-2E+300,CHOOSE(sortIdx,ROUND(D2423,0),IF(J2423="",-1E+300,ROUND(-J2423,6)),IF(J2423="",-1E+300,ROUND(J2423,6)))),-1.5E+300))</f>
        <v/>
      </c>
      <c r="L2423" t="str">
        <f>IF(K2423="","",RANK(K2423,$K$2:$K$3001,0)+COUNTIF($K$2:K2423,K2423)-1)</f>
        <v/>
      </c>
    </row>
    <row r="2424">
      <c r="B2424" t="str">
        <f>IFERROR(IF(A2424="","","="&amp;SUBSTITUTE(SUBSTITUTE(SUBSTITUTE(A2424,"~","~~"),"*","~*"),"?","~?")),"")</f>
        <v/>
      </c>
      <c r="C2424" t="str">
        <f>IF($B2424="","",SUMIFS(dAmt,dCust,$B2424,dPer,"&gt;="&amp;pyFrom,dPer,"&lt;="&amp;pyTo,dAmt,"&gt;-1E+300",dFlt1,critFlt1,dFlt2,critFlt2,dFlt3,critFlt3))</f>
        <v/>
      </c>
      <c r="D2424" t="str">
        <f>IF($B2424="","",SUMIFS(dAmt,dCust,$B2424,dPer,"&gt;="&amp;cyFrom,dPer,"&lt;="&amp;cyTo,dAmt,"&gt;-1E+300",dFlt1,critFlt1,dFlt2,critFlt2,dFlt3,critFlt3))</f>
        <v/>
      </c>
      <c r="E2424" t="str">
        <f>IF($B2424="","",SUMIFS(dQty,dCust,$B2424,dPer,"&gt;="&amp;pyFrom,dPer,"&lt;="&amp;pyTo,dQty,"&gt;-1E+300",dFlt1,critFlt1,dFlt2,critFlt2,dFlt3,critFlt3))</f>
        <v/>
      </c>
      <c r="F2424" t="str">
        <f>IF($B2424="","",SUMIFS(dQty,dCust,$B2424,dPer,"&gt;="&amp;cyFrom,dPer,"&lt;="&amp;cyTo,dQty,"&gt;-1E+300",dFlt1,critFlt1,dFlt2,critFlt2,dFlt3,critFlt3))</f>
        <v/>
      </c>
      <c r="G2424">
        <f>IF($B2424="",0,IFERROR(IF(OR(C2424&lt;&gt;0,D2424&lt;&gt;0,E2424&lt;&gt;0,F2424&lt;&gt;0),1,0),1))</f>
        <v>0</v>
      </c>
      <c r="H2424" t="str">
        <f>IF(OR(G2424=0,E2424=0),"",C2424/E2424)</f>
        <v/>
      </c>
      <c r="I2424" t="str">
        <f>IF(OR(G2424=0,F2424=0),"",D2424/F2424)</f>
        <v/>
      </c>
      <c r="J2424" t="str">
        <f>IF(OR(H2424="",I2424=""),"",IF(H2424=0,"",I2424/H2424-1))</f>
        <v/>
      </c>
      <c r="K2424" t="str">
        <f>IF($B2424="","",IFERROR(IF(G2424=0,-2E+300,CHOOSE(sortIdx,ROUND(D2424,0),IF(J2424="",-1E+300,ROUND(-J2424,6)),IF(J2424="",-1E+300,ROUND(J2424,6)))),-1.5E+300))</f>
        <v/>
      </c>
      <c r="L2424" t="str">
        <f>IF(K2424="","",RANK(K2424,$K$2:$K$3001,0)+COUNTIF($K$2:K2424,K2424)-1)</f>
        <v/>
      </c>
    </row>
    <row r="2425">
      <c r="B2425" t="str">
        <f>IFERROR(IF(A2425="","","="&amp;SUBSTITUTE(SUBSTITUTE(SUBSTITUTE(A2425,"~","~~"),"*","~*"),"?","~?")),"")</f>
        <v/>
      </c>
      <c r="C2425" t="str">
        <f>IF($B2425="","",SUMIFS(dAmt,dCust,$B2425,dPer,"&gt;="&amp;pyFrom,dPer,"&lt;="&amp;pyTo,dAmt,"&gt;-1E+300",dFlt1,critFlt1,dFlt2,critFlt2,dFlt3,critFlt3))</f>
        <v/>
      </c>
      <c r="D2425" t="str">
        <f>IF($B2425="","",SUMIFS(dAmt,dCust,$B2425,dPer,"&gt;="&amp;cyFrom,dPer,"&lt;="&amp;cyTo,dAmt,"&gt;-1E+300",dFlt1,critFlt1,dFlt2,critFlt2,dFlt3,critFlt3))</f>
        <v/>
      </c>
      <c r="E2425" t="str">
        <f>IF($B2425="","",SUMIFS(dQty,dCust,$B2425,dPer,"&gt;="&amp;pyFrom,dPer,"&lt;="&amp;pyTo,dQty,"&gt;-1E+300",dFlt1,critFlt1,dFlt2,critFlt2,dFlt3,critFlt3))</f>
        <v/>
      </c>
      <c r="F2425" t="str">
        <f>IF($B2425="","",SUMIFS(dQty,dCust,$B2425,dPer,"&gt;="&amp;cyFrom,dPer,"&lt;="&amp;cyTo,dQty,"&gt;-1E+300",dFlt1,critFlt1,dFlt2,critFlt2,dFlt3,critFlt3))</f>
        <v/>
      </c>
      <c r="G2425">
        <f>IF($B2425="",0,IFERROR(IF(OR(C2425&lt;&gt;0,D2425&lt;&gt;0,E2425&lt;&gt;0,F2425&lt;&gt;0),1,0),1))</f>
        <v>0</v>
      </c>
      <c r="H2425" t="str">
        <f>IF(OR(G2425=0,E2425=0),"",C2425/E2425)</f>
        <v/>
      </c>
      <c r="I2425" t="str">
        <f>IF(OR(G2425=0,F2425=0),"",D2425/F2425)</f>
        <v/>
      </c>
      <c r="J2425" t="str">
        <f>IF(OR(H2425="",I2425=""),"",IF(H2425=0,"",I2425/H2425-1))</f>
        <v/>
      </c>
      <c r="K2425" t="str">
        <f>IF($B2425="","",IFERROR(IF(G2425=0,-2E+300,CHOOSE(sortIdx,ROUND(D2425,0),IF(J2425="",-1E+300,ROUND(-J2425,6)),IF(J2425="",-1E+300,ROUND(J2425,6)))),-1.5E+300))</f>
        <v/>
      </c>
      <c r="L2425" t="str">
        <f>IF(K2425="","",RANK(K2425,$K$2:$K$3001,0)+COUNTIF($K$2:K2425,K2425)-1)</f>
        <v/>
      </c>
    </row>
    <row r="2426">
      <c r="B2426" t="str">
        <f>IFERROR(IF(A2426="","","="&amp;SUBSTITUTE(SUBSTITUTE(SUBSTITUTE(A2426,"~","~~"),"*","~*"),"?","~?")),"")</f>
        <v/>
      </c>
      <c r="C2426" t="str">
        <f>IF($B2426="","",SUMIFS(dAmt,dCust,$B2426,dPer,"&gt;="&amp;pyFrom,dPer,"&lt;="&amp;pyTo,dAmt,"&gt;-1E+300",dFlt1,critFlt1,dFlt2,critFlt2,dFlt3,critFlt3))</f>
        <v/>
      </c>
      <c r="D2426" t="str">
        <f>IF($B2426="","",SUMIFS(dAmt,dCust,$B2426,dPer,"&gt;="&amp;cyFrom,dPer,"&lt;="&amp;cyTo,dAmt,"&gt;-1E+300",dFlt1,critFlt1,dFlt2,critFlt2,dFlt3,critFlt3))</f>
        <v/>
      </c>
      <c r="E2426" t="str">
        <f>IF($B2426="","",SUMIFS(dQty,dCust,$B2426,dPer,"&gt;="&amp;pyFrom,dPer,"&lt;="&amp;pyTo,dQty,"&gt;-1E+300",dFlt1,critFlt1,dFlt2,critFlt2,dFlt3,critFlt3))</f>
        <v/>
      </c>
      <c r="F2426" t="str">
        <f>IF($B2426="","",SUMIFS(dQty,dCust,$B2426,dPer,"&gt;="&amp;cyFrom,dPer,"&lt;="&amp;cyTo,dQty,"&gt;-1E+300",dFlt1,critFlt1,dFlt2,critFlt2,dFlt3,critFlt3))</f>
        <v/>
      </c>
      <c r="G2426">
        <f>IF($B2426="",0,IFERROR(IF(OR(C2426&lt;&gt;0,D2426&lt;&gt;0,E2426&lt;&gt;0,F2426&lt;&gt;0),1,0),1))</f>
        <v>0</v>
      </c>
      <c r="H2426" t="str">
        <f>IF(OR(G2426=0,E2426=0),"",C2426/E2426)</f>
        <v/>
      </c>
      <c r="I2426" t="str">
        <f>IF(OR(G2426=0,F2426=0),"",D2426/F2426)</f>
        <v/>
      </c>
      <c r="J2426" t="str">
        <f>IF(OR(H2426="",I2426=""),"",IF(H2426=0,"",I2426/H2426-1))</f>
        <v/>
      </c>
      <c r="K2426" t="str">
        <f>IF($B2426="","",IFERROR(IF(G2426=0,-2E+300,CHOOSE(sortIdx,ROUND(D2426,0),IF(J2426="",-1E+300,ROUND(-J2426,6)),IF(J2426="",-1E+300,ROUND(J2426,6)))),-1.5E+300))</f>
        <v/>
      </c>
      <c r="L2426" t="str">
        <f>IF(K2426="","",RANK(K2426,$K$2:$K$3001,0)+COUNTIF($K$2:K2426,K2426)-1)</f>
        <v/>
      </c>
    </row>
    <row r="2427">
      <c r="B2427" t="str">
        <f>IFERROR(IF(A2427="","","="&amp;SUBSTITUTE(SUBSTITUTE(SUBSTITUTE(A2427,"~","~~"),"*","~*"),"?","~?")),"")</f>
        <v/>
      </c>
      <c r="C2427" t="str">
        <f>IF($B2427="","",SUMIFS(dAmt,dCust,$B2427,dPer,"&gt;="&amp;pyFrom,dPer,"&lt;="&amp;pyTo,dAmt,"&gt;-1E+300",dFlt1,critFlt1,dFlt2,critFlt2,dFlt3,critFlt3))</f>
        <v/>
      </c>
      <c r="D2427" t="str">
        <f>IF($B2427="","",SUMIFS(dAmt,dCust,$B2427,dPer,"&gt;="&amp;cyFrom,dPer,"&lt;="&amp;cyTo,dAmt,"&gt;-1E+300",dFlt1,critFlt1,dFlt2,critFlt2,dFlt3,critFlt3))</f>
        <v/>
      </c>
      <c r="E2427" t="str">
        <f>IF($B2427="","",SUMIFS(dQty,dCust,$B2427,dPer,"&gt;="&amp;pyFrom,dPer,"&lt;="&amp;pyTo,dQty,"&gt;-1E+300",dFlt1,critFlt1,dFlt2,critFlt2,dFlt3,critFlt3))</f>
        <v/>
      </c>
      <c r="F2427" t="str">
        <f>IF($B2427="","",SUMIFS(dQty,dCust,$B2427,dPer,"&gt;="&amp;cyFrom,dPer,"&lt;="&amp;cyTo,dQty,"&gt;-1E+300",dFlt1,critFlt1,dFlt2,critFlt2,dFlt3,critFlt3))</f>
        <v/>
      </c>
      <c r="G2427">
        <f>IF($B2427="",0,IFERROR(IF(OR(C2427&lt;&gt;0,D2427&lt;&gt;0,E2427&lt;&gt;0,F2427&lt;&gt;0),1,0),1))</f>
        <v>0</v>
      </c>
      <c r="H2427" t="str">
        <f>IF(OR(G2427=0,E2427=0),"",C2427/E2427)</f>
        <v/>
      </c>
      <c r="I2427" t="str">
        <f>IF(OR(G2427=0,F2427=0),"",D2427/F2427)</f>
        <v/>
      </c>
      <c r="J2427" t="str">
        <f>IF(OR(H2427="",I2427=""),"",IF(H2427=0,"",I2427/H2427-1))</f>
        <v/>
      </c>
      <c r="K2427" t="str">
        <f>IF($B2427="","",IFERROR(IF(G2427=0,-2E+300,CHOOSE(sortIdx,ROUND(D2427,0),IF(J2427="",-1E+300,ROUND(-J2427,6)),IF(J2427="",-1E+300,ROUND(J2427,6)))),-1.5E+300))</f>
        <v/>
      </c>
      <c r="L2427" t="str">
        <f>IF(K2427="","",RANK(K2427,$K$2:$K$3001,0)+COUNTIF($K$2:K2427,K2427)-1)</f>
        <v/>
      </c>
    </row>
    <row r="2428">
      <c r="B2428" t="str">
        <f>IFERROR(IF(A2428="","","="&amp;SUBSTITUTE(SUBSTITUTE(SUBSTITUTE(A2428,"~","~~"),"*","~*"),"?","~?")),"")</f>
        <v/>
      </c>
      <c r="C2428" t="str">
        <f>IF($B2428="","",SUMIFS(dAmt,dCust,$B2428,dPer,"&gt;="&amp;pyFrom,dPer,"&lt;="&amp;pyTo,dAmt,"&gt;-1E+300",dFlt1,critFlt1,dFlt2,critFlt2,dFlt3,critFlt3))</f>
        <v/>
      </c>
      <c r="D2428" t="str">
        <f>IF($B2428="","",SUMIFS(dAmt,dCust,$B2428,dPer,"&gt;="&amp;cyFrom,dPer,"&lt;="&amp;cyTo,dAmt,"&gt;-1E+300",dFlt1,critFlt1,dFlt2,critFlt2,dFlt3,critFlt3))</f>
        <v/>
      </c>
      <c r="E2428" t="str">
        <f>IF($B2428="","",SUMIFS(dQty,dCust,$B2428,dPer,"&gt;="&amp;pyFrom,dPer,"&lt;="&amp;pyTo,dQty,"&gt;-1E+300",dFlt1,critFlt1,dFlt2,critFlt2,dFlt3,critFlt3))</f>
        <v/>
      </c>
      <c r="F2428" t="str">
        <f>IF($B2428="","",SUMIFS(dQty,dCust,$B2428,dPer,"&gt;="&amp;cyFrom,dPer,"&lt;="&amp;cyTo,dQty,"&gt;-1E+300",dFlt1,critFlt1,dFlt2,critFlt2,dFlt3,critFlt3))</f>
        <v/>
      </c>
      <c r="G2428">
        <f>IF($B2428="",0,IFERROR(IF(OR(C2428&lt;&gt;0,D2428&lt;&gt;0,E2428&lt;&gt;0,F2428&lt;&gt;0),1,0),1))</f>
        <v>0</v>
      </c>
      <c r="H2428" t="str">
        <f>IF(OR(G2428=0,E2428=0),"",C2428/E2428)</f>
        <v/>
      </c>
      <c r="I2428" t="str">
        <f>IF(OR(G2428=0,F2428=0),"",D2428/F2428)</f>
        <v/>
      </c>
      <c r="J2428" t="str">
        <f>IF(OR(H2428="",I2428=""),"",IF(H2428=0,"",I2428/H2428-1))</f>
        <v/>
      </c>
      <c r="K2428" t="str">
        <f>IF($B2428="","",IFERROR(IF(G2428=0,-2E+300,CHOOSE(sortIdx,ROUND(D2428,0),IF(J2428="",-1E+300,ROUND(-J2428,6)),IF(J2428="",-1E+300,ROUND(J2428,6)))),-1.5E+300))</f>
        <v/>
      </c>
      <c r="L2428" t="str">
        <f>IF(K2428="","",RANK(K2428,$K$2:$K$3001,0)+COUNTIF($K$2:K2428,K2428)-1)</f>
        <v/>
      </c>
    </row>
    <row r="2429">
      <c r="B2429" t="str">
        <f>IFERROR(IF(A2429="","","="&amp;SUBSTITUTE(SUBSTITUTE(SUBSTITUTE(A2429,"~","~~"),"*","~*"),"?","~?")),"")</f>
        <v/>
      </c>
      <c r="C2429" t="str">
        <f>IF($B2429="","",SUMIFS(dAmt,dCust,$B2429,dPer,"&gt;="&amp;pyFrom,dPer,"&lt;="&amp;pyTo,dAmt,"&gt;-1E+300",dFlt1,critFlt1,dFlt2,critFlt2,dFlt3,critFlt3))</f>
        <v/>
      </c>
      <c r="D2429" t="str">
        <f>IF($B2429="","",SUMIFS(dAmt,dCust,$B2429,dPer,"&gt;="&amp;cyFrom,dPer,"&lt;="&amp;cyTo,dAmt,"&gt;-1E+300",dFlt1,critFlt1,dFlt2,critFlt2,dFlt3,critFlt3))</f>
        <v/>
      </c>
      <c r="E2429" t="str">
        <f>IF($B2429="","",SUMIFS(dQty,dCust,$B2429,dPer,"&gt;="&amp;pyFrom,dPer,"&lt;="&amp;pyTo,dQty,"&gt;-1E+300",dFlt1,critFlt1,dFlt2,critFlt2,dFlt3,critFlt3))</f>
        <v/>
      </c>
      <c r="F2429" t="str">
        <f>IF($B2429="","",SUMIFS(dQty,dCust,$B2429,dPer,"&gt;="&amp;cyFrom,dPer,"&lt;="&amp;cyTo,dQty,"&gt;-1E+300",dFlt1,critFlt1,dFlt2,critFlt2,dFlt3,critFlt3))</f>
        <v/>
      </c>
      <c r="G2429">
        <f>IF($B2429="",0,IFERROR(IF(OR(C2429&lt;&gt;0,D2429&lt;&gt;0,E2429&lt;&gt;0,F2429&lt;&gt;0),1,0),1))</f>
        <v>0</v>
      </c>
      <c r="H2429" t="str">
        <f>IF(OR(G2429=0,E2429=0),"",C2429/E2429)</f>
        <v/>
      </c>
      <c r="I2429" t="str">
        <f>IF(OR(G2429=0,F2429=0),"",D2429/F2429)</f>
        <v/>
      </c>
      <c r="J2429" t="str">
        <f>IF(OR(H2429="",I2429=""),"",IF(H2429=0,"",I2429/H2429-1))</f>
        <v/>
      </c>
      <c r="K2429" t="str">
        <f>IF($B2429="","",IFERROR(IF(G2429=0,-2E+300,CHOOSE(sortIdx,ROUND(D2429,0),IF(J2429="",-1E+300,ROUND(-J2429,6)),IF(J2429="",-1E+300,ROUND(J2429,6)))),-1.5E+300))</f>
        <v/>
      </c>
      <c r="L2429" t="str">
        <f>IF(K2429="","",RANK(K2429,$K$2:$K$3001,0)+COUNTIF($K$2:K2429,K2429)-1)</f>
        <v/>
      </c>
    </row>
    <row r="2430">
      <c r="B2430" t="str">
        <f>IFERROR(IF(A2430="","","="&amp;SUBSTITUTE(SUBSTITUTE(SUBSTITUTE(A2430,"~","~~"),"*","~*"),"?","~?")),"")</f>
        <v/>
      </c>
      <c r="C2430" t="str">
        <f>IF($B2430="","",SUMIFS(dAmt,dCust,$B2430,dPer,"&gt;="&amp;pyFrom,dPer,"&lt;="&amp;pyTo,dAmt,"&gt;-1E+300",dFlt1,critFlt1,dFlt2,critFlt2,dFlt3,critFlt3))</f>
        <v/>
      </c>
      <c r="D2430" t="str">
        <f>IF($B2430="","",SUMIFS(dAmt,dCust,$B2430,dPer,"&gt;="&amp;cyFrom,dPer,"&lt;="&amp;cyTo,dAmt,"&gt;-1E+300",dFlt1,critFlt1,dFlt2,critFlt2,dFlt3,critFlt3))</f>
        <v/>
      </c>
      <c r="E2430" t="str">
        <f>IF($B2430="","",SUMIFS(dQty,dCust,$B2430,dPer,"&gt;="&amp;pyFrom,dPer,"&lt;="&amp;pyTo,dQty,"&gt;-1E+300",dFlt1,critFlt1,dFlt2,critFlt2,dFlt3,critFlt3))</f>
        <v/>
      </c>
      <c r="F2430" t="str">
        <f>IF($B2430="","",SUMIFS(dQty,dCust,$B2430,dPer,"&gt;="&amp;cyFrom,dPer,"&lt;="&amp;cyTo,dQty,"&gt;-1E+300",dFlt1,critFlt1,dFlt2,critFlt2,dFlt3,critFlt3))</f>
        <v/>
      </c>
      <c r="G2430">
        <f>IF($B2430="",0,IFERROR(IF(OR(C2430&lt;&gt;0,D2430&lt;&gt;0,E2430&lt;&gt;0,F2430&lt;&gt;0),1,0),1))</f>
        <v>0</v>
      </c>
      <c r="H2430" t="str">
        <f>IF(OR(G2430=0,E2430=0),"",C2430/E2430)</f>
        <v/>
      </c>
      <c r="I2430" t="str">
        <f>IF(OR(G2430=0,F2430=0),"",D2430/F2430)</f>
        <v/>
      </c>
      <c r="J2430" t="str">
        <f>IF(OR(H2430="",I2430=""),"",IF(H2430=0,"",I2430/H2430-1))</f>
        <v/>
      </c>
      <c r="K2430" t="str">
        <f>IF($B2430="","",IFERROR(IF(G2430=0,-2E+300,CHOOSE(sortIdx,ROUND(D2430,0),IF(J2430="",-1E+300,ROUND(-J2430,6)),IF(J2430="",-1E+300,ROUND(J2430,6)))),-1.5E+300))</f>
        <v/>
      </c>
      <c r="L2430" t="str">
        <f>IF(K2430="","",RANK(K2430,$K$2:$K$3001,0)+COUNTIF($K$2:K2430,K2430)-1)</f>
        <v/>
      </c>
    </row>
    <row r="2431">
      <c r="B2431" t="str">
        <f>IFERROR(IF(A2431="","","="&amp;SUBSTITUTE(SUBSTITUTE(SUBSTITUTE(A2431,"~","~~"),"*","~*"),"?","~?")),"")</f>
        <v/>
      </c>
      <c r="C2431" t="str">
        <f>IF($B2431="","",SUMIFS(dAmt,dCust,$B2431,dPer,"&gt;="&amp;pyFrom,dPer,"&lt;="&amp;pyTo,dAmt,"&gt;-1E+300",dFlt1,critFlt1,dFlt2,critFlt2,dFlt3,critFlt3))</f>
        <v/>
      </c>
      <c r="D2431" t="str">
        <f>IF($B2431="","",SUMIFS(dAmt,dCust,$B2431,dPer,"&gt;="&amp;cyFrom,dPer,"&lt;="&amp;cyTo,dAmt,"&gt;-1E+300",dFlt1,critFlt1,dFlt2,critFlt2,dFlt3,critFlt3))</f>
        <v/>
      </c>
      <c r="E2431" t="str">
        <f>IF($B2431="","",SUMIFS(dQty,dCust,$B2431,dPer,"&gt;="&amp;pyFrom,dPer,"&lt;="&amp;pyTo,dQty,"&gt;-1E+300",dFlt1,critFlt1,dFlt2,critFlt2,dFlt3,critFlt3))</f>
        <v/>
      </c>
      <c r="F2431" t="str">
        <f>IF($B2431="","",SUMIFS(dQty,dCust,$B2431,dPer,"&gt;="&amp;cyFrom,dPer,"&lt;="&amp;cyTo,dQty,"&gt;-1E+300",dFlt1,critFlt1,dFlt2,critFlt2,dFlt3,critFlt3))</f>
        <v/>
      </c>
      <c r="G2431">
        <f>IF($B2431="",0,IFERROR(IF(OR(C2431&lt;&gt;0,D2431&lt;&gt;0,E2431&lt;&gt;0,F2431&lt;&gt;0),1,0),1))</f>
        <v>0</v>
      </c>
      <c r="H2431" t="str">
        <f>IF(OR(G2431=0,E2431=0),"",C2431/E2431)</f>
        <v/>
      </c>
      <c r="I2431" t="str">
        <f>IF(OR(G2431=0,F2431=0),"",D2431/F2431)</f>
        <v/>
      </c>
      <c r="J2431" t="str">
        <f>IF(OR(H2431="",I2431=""),"",IF(H2431=0,"",I2431/H2431-1))</f>
        <v/>
      </c>
      <c r="K2431" t="str">
        <f>IF($B2431="","",IFERROR(IF(G2431=0,-2E+300,CHOOSE(sortIdx,ROUND(D2431,0),IF(J2431="",-1E+300,ROUND(-J2431,6)),IF(J2431="",-1E+300,ROUND(J2431,6)))),-1.5E+300))</f>
        <v/>
      </c>
      <c r="L2431" t="str">
        <f>IF(K2431="","",RANK(K2431,$K$2:$K$3001,0)+COUNTIF($K$2:K2431,K2431)-1)</f>
        <v/>
      </c>
    </row>
    <row r="2432">
      <c r="B2432" t="str">
        <f>IFERROR(IF(A2432="","","="&amp;SUBSTITUTE(SUBSTITUTE(SUBSTITUTE(A2432,"~","~~"),"*","~*"),"?","~?")),"")</f>
        <v/>
      </c>
      <c r="C2432" t="str">
        <f>IF($B2432="","",SUMIFS(dAmt,dCust,$B2432,dPer,"&gt;="&amp;pyFrom,dPer,"&lt;="&amp;pyTo,dAmt,"&gt;-1E+300",dFlt1,critFlt1,dFlt2,critFlt2,dFlt3,critFlt3))</f>
        <v/>
      </c>
      <c r="D2432" t="str">
        <f>IF($B2432="","",SUMIFS(dAmt,dCust,$B2432,dPer,"&gt;="&amp;cyFrom,dPer,"&lt;="&amp;cyTo,dAmt,"&gt;-1E+300",dFlt1,critFlt1,dFlt2,critFlt2,dFlt3,critFlt3))</f>
        <v/>
      </c>
      <c r="E2432" t="str">
        <f>IF($B2432="","",SUMIFS(dQty,dCust,$B2432,dPer,"&gt;="&amp;pyFrom,dPer,"&lt;="&amp;pyTo,dQty,"&gt;-1E+300",dFlt1,critFlt1,dFlt2,critFlt2,dFlt3,critFlt3))</f>
        <v/>
      </c>
      <c r="F2432" t="str">
        <f>IF($B2432="","",SUMIFS(dQty,dCust,$B2432,dPer,"&gt;="&amp;cyFrom,dPer,"&lt;="&amp;cyTo,dQty,"&gt;-1E+300",dFlt1,critFlt1,dFlt2,critFlt2,dFlt3,critFlt3))</f>
        <v/>
      </c>
      <c r="G2432">
        <f>IF($B2432="",0,IFERROR(IF(OR(C2432&lt;&gt;0,D2432&lt;&gt;0,E2432&lt;&gt;0,F2432&lt;&gt;0),1,0),1))</f>
        <v>0</v>
      </c>
      <c r="H2432" t="str">
        <f>IF(OR(G2432=0,E2432=0),"",C2432/E2432)</f>
        <v/>
      </c>
      <c r="I2432" t="str">
        <f>IF(OR(G2432=0,F2432=0),"",D2432/F2432)</f>
        <v/>
      </c>
      <c r="J2432" t="str">
        <f>IF(OR(H2432="",I2432=""),"",IF(H2432=0,"",I2432/H2432-1))</f>
        <v/>
      </c>
      <c r="K2432" t="str">
        <f>IF($B2432="","",IFERROR(IF(G2432=0,-2E+300,CHOOSE(sortIdx,ROUND(D2432,0),IF(J2432="",-1E+300,ROUND(-J2432,6)),IF(J2432="",-1E+300,ROUND(J2432,6)))),-1.5E+300))</f>
        <v/>
      </c>
      <c r="L2432" t="str">
        <f>IF(K2432="","",RANK(K2432,$K$2:$K$3001,0)+COUNTIF($K$2:K2432,K2432)-1)</f>
        <v/>
      </c>
    </row>
    <row r="2433">
      <c r="B2433" t="str">
        <f>IFERROR(IF(A2433="","","="&amp;SUBSTITUTE(SUBSTITUTE(SUBSTITUTE(A2433,"~","~~"),"*","~*"),"?","~?")),"")</f>
        <v/>
      </c>
      <c r="C2433" t="str">
        <f>IF($B2433="","",SUMIFS(dAmt,dCust,$B2433,dPer,"&gt;="&amp;pyFrom,dPer,"&lt;="&amp;pyTo,dAmt,"&gt;-1E+300",dFlt1,critFlt1,dFlt2,critFlt2,dFlt3,critFlt3))</f>
        <v/>
      </c>
      <c r="D2433" t="str">
        <f>IF($B2433="","",SUMIFS(dAmt,dCust,$B2433,dPer,"&gt;="&amp;cyFrom,dPer,"&lt;="&amp;cyTo,dAmt,"&gt;-1E+300",dFlt1,critFlt1,dFlt2,critFlt2,dFlt3,critFlt3))</f>
        <v/>
      </c>
      <c r="E2433" t="str">
        <f>IF($B2433="","",SUMIFS(dQty,dCust,$B2433,dPer,"&gt;="&amp;pyFrom,dPer,"&lt;="&amp;pyTo,dQty,"&gt;-1E+300",dFlt1,critFlt1,dFlt2,critFlt2,dFlt3,critFlt3))</f>
        <v/>
      </c>
      <c r="F2433" t="str">
        <f>IF($B2433="","",SUMIFS(dQty,dCust,$B2433,dPer,"&gt;="&amp;cyFrom,dPer,"&lt;="&amp;cyTo,dQty,"&gt;-1E+300",dFlt1,critFlt1,dFlt2,critFlt2,dFlt3,critFlt3))</f>
        <v/>
      </c>
      <c r="G2433">
        <f>IF($B2433="",0,IFERROR(IF(OR(C2433&lt;&gt;0,D2433&lt;&gt;0,E2433&lt;&gt;0,F2433&lt;&gt;0),1,0),1))</f>
        <v>0</v>
      </c>
      <c r="H2433" t="str">
        <f>IF(OR(G2433=0,E2433=0),"",C2433/E2433)</f>
        <v/>
      </c>
      <c r="I2433" t="str">
        <f>IF(OR(G2433=0,F2433=0),"",D2433/F2433)</f>
        <v/>
      </c>
      <c r="J2433" t="str">
        <f>IF(OR(H2433="",I2433=""),"",IF(H2433=0,"",I2433/H2433-1))</f>
        <v/>
      </c>
      <c r="K2433" t="str">
        <f>IF($B2433="","",IFERROR(IF(G2433=0,-2E+300,CHOOSE(sortIdx,ROUND(D2433,0),IF(J2433="",-1E+300,ROUND(-J2433,6)),IF(J2433="",-1E+300,ROUND(J2433,6)))),-1.5E+300))</f>
        <v/>
      </c>
      <c r="L2433" t="str">
        <f>IF(K2433="","",RANK(K2433,$K$2:$K$3001,0)+COUNTIF($K$2:K2433,K2433)-1)</f>
        <v/>
      </c>
    </row>
    <row r="2434">
      <c r="B2434" t="str">
        <f>IFERROR(IF(A2434="","","="&amp;SUBSTITUTE(SUBSTITUTE(SUBSTITUTE(A2434,"~","~~"),"*","~*"),"?","~?")),"")</f>
        <v/>
      </c>
      <c r="C2434" t="str">
        <f>IF($B2434="","",SUMIFS(dAmt,dCust,$B2434,dPer,"&gt;="&amp;pyFrom,dPer,"&lt;="&amp;pyTo,dAmt,"&gt;-1E+300",dFlt1,critFlt1,dFlt2,critFlt2,dFlt3,critFlt3))</f>
        <v/>
      </c>
      <c r="D2434" t="str">
        <f>IF($B2434="","",SUMIFS(dAmt,dCust,$B2434,dPer,"&gt;="&amp;cyFrom,dPer,"&lt;="&amp;cyTo,dAmt,"&gt;-1E+300",dFlt1,critFlt1,dFlt2,critFlt2,dFlt3,critFlt3))</f>
        <v/>
      </c>
      <c r="E2434" t="str">
        <f>IF($B2434="","",SUMIFS(dQty,dCust,$B2434,dPer,"&gt;="&amp;pyFrom,dPer,"&lt;="&amp;pyTo,dQty,"&gt;-1E+300",dFlt1,critFlt1,dFlt2,critFlt2,dFlt3,critFlt3))</f>
        <v/>
      </c>
      <c r="F2434" t="str">
        <f>IF($B2434="","",SUMIFS(dQty,dCust,$B2434,dPer,"&gt;="&amp;cyFrom,dPer,"&lt;="&amp;cyTo,dQty,"&gt;-1E+300",dFlt1,critFlt1,dFlt2,critFlt2,dFlt3,critFlt3))</f>
        <v/>
      </c>
      <c r="G2434">
        <f>IF($B2434="",0,IFERROR(IF(OR(C2434&lt;&gt;0,D2434&lt;&gt;0,E2434&lt;&gt;0,F2434&lt;&gt;0),1,0),1))</f>
        <v>0</v>
      </c>
      <c r="H2434" t="str">
        <f>IF(OR(G2434=0,E2434=0),"",C2434/E2434)</f>
        <v/>
      </c>
      <c r="I2434" t="str">
        <f>IF(OR(G2434=0,F2434=0),"",D2434/F2434)</f>
        <v/>
      </c>
      <c r="J2434" t="str">
        <f>IF(OR(H2434="",I2434=""),"",IF(H2434=0,"",I2434/H2434-1))</f>
        <v/>
      </c>
      <c r="K2434" t="str">
        <f>IF($B2434="","",IFERROR(IF(G2434=0,-2E+300,CHOOSE(sortIdx,ROUND(D2434,0),IF(J2434="",-1E+300,ROUND(-J2434,6)),IF(J2434="",-1E+300,ROUND(J2434,6)))),-1.5E+300))</f>
        <v/>
      </c>
      <c r="L2434" t="str">
        <f>IF(K2434="","",RANK(K2434,$K$2:$K$3001,0)+COUNTIF($K$2:K2434,K2434)-1)</f>
        <v/>
      </c>
    </row>
    <row r="2435">
      <c r="B2435" t="str">
        <f>IFERROR(IF(A2435="","","="&amp;SUBSTITUTE(SUBSTITUTE(SUBSTITUTE(A2435,"~","~~"),"*","~*"),"?","~?")),"")</f>
        <v/>
      </c>
      <c r="C2435" t="str">
        <f>IF($B2435="","",SUMIFS(dAmt,dCust,$B2435,dPer,"&gt;="&amp;pyFrom,dPer,"&lt;="&amp;pyTo,dAmt,"&gt;-1E+300",dFlt1,critFlt1,dFlt2,critFlt2,dFlt3,critFlt3))</f>
        <v/>
      </c>
      <c r="D2435" t="str">
        <f>IF($B2435="","",SUMIFS(dAmt,dCust,$B2435,dPer,"&gt;="&amp;cyFrom,dPer,"&lt;="&amp;cyTo,dAmt,"&gt;-1E+300",dFlt1,critFlt1,dFlt2,critFlt2,dFlt3,critFlt3))</f>
        <v/>
      </c>
      <c r="E2435" t="str">
        <f>IF($B2435="","",SUMIFS(dQty,dCust,$B2435,dPer,"&gt;="&amp;pyFrom,dPer,"&lt;="&amp;pyTo,dQty,"&gt;-1E+300",dFlt1,critFlt1,dFlt2,critFlt2,dFlt3,critFlt3))</f>
        <v/>
      </c>
      <c r="F2435" t="str">
        <f>IF($B2435="","",SUMIFS(dQty,dCust,$B2435,dPer,"&gt;="&amp;cyFrom,dPer,"&lt;="&amp;cyTo,dQty,"&gt;-1E+300",dFlt1,critFlt1,dFlt2,critFlt2,dFlt3,critFlt3))</f>
        <v/>
      </c>
      <c r="G2435">
        <f>IF($B2435="",0,IFERROR(IF(OR(C2435&lt;&gt;0,D2435&lt;&gt;0,E2435&lt;&gt;0,F2435&lt;&gt;0),1,0),1))</f>
        <v>0</v>
      </c>
      <c r="H2435" t="str">
        <f>IF(OR(G2435=0,E2435=0),"",C2435/E2435)</f>
        <v/>
      </c>
      <c r="I2435" t="str">
        <f>IF(OR(G2435=0,F2435=0),"",D2435/F2435)</f>
        <v/>
      </c>
      <c r="J2435" t="str">
        <f>IF(OR(H2435="",I2435=""),"",IF(H2435=0,"",I2435/H2435-1))</f>
        <v/>
      </c>
      <c r="K2435" t="str">
        <f>IF($B2435="","",IFERROR(IF(G2435=0,-2E+300,CHOOSE(sortIdx,ROUND(D2435,0),IF(J2435="",-1E+300,ROUND(-J2435,6)),IF(J2435="",-1E+300,ROUND(J2435,6)))),-1.5E+300))</f>
        <v/>
      </c>
      <c r="L2435" t="str">
        <f>IF(K2435="","",RANK(K2435,$K$2:$K$3001,0)+COUNTIF($K$2:K2435,K2435)-1)</f>
        <v/>
      </c>
    </row>
    <row r="2436">
      <c r="B2436" t="str">
        <f>IFERROR(IF(A2436="","","="&amp;SUBSTITUTE(SUBSTITUTE(SUBSTITUTE(A2436,"~","~~"),"*","~*"),"?","~?")),"")</f>
        <v/>
      </c>
      <c r="C2436" t="str">
        <f>IF($B2436="","",SUMIFS(dAmt,dCust,$B2436,dPer,"&gt;="&amp;pyFrom,dPer,"&lt;="&amp;pyTo,dAmt,"&gt;-1E+300",dFlt1,critFlt1,dFlt2,critFlt2,dFlt3,critFlt3))</f>
        <v/>
      </c>
      <c r="D2436" t="str">
        <f>IF($B2436="","",SUMIFS(dAmt,dCust,$B2436,dPer,"&gt;="&amp;cyFrom,dPer,"&lt;="&amp;cyTo,dAmt,"&gt;-1E+300",dFlt1,critFlt1,dFlt2,critFlt2,dFlt3,critFlt3))</f>
        <v/>
      </c>
      <c r="E2436" t="str">
        <f>IF($B2436="","",SUMIFS(dQty,dCust,$B2436,dPer,"&gt;="&amp;pyFrom,dPer,"&lt;="&amp;pyTo,dQty,"&gt;-1E+300",dFlt1,critFlt1,dFlt2,critFlt2,dFlt3,critFlt3))</f>
        <v/>
      </c>
      <c r="F2436" t="str">
        <f>IF($B2436="","",SUMIFS(dQty,dCust,$B2436,dPer,"&gt;="&amp;cyFrom,dPer,"&lt;="&amp;cyTo,dQty,"&gt;-1E+300",dFlt1,critFlt1,dFlt2,critFlt2,dFlt3,critFlt3))</f>
        <v/>
      </c>
      <c r="G2436">
        <f>IF($B2436="",0,IFERROR(IF(OR(C2436&lt;&gt;0,D2436&lt;&gt;0,E2436&lt;&gt;0,F2436&lt;&gt;0),1,0),1))</f>
        <v>0</v>
      </c>
      <c r="H2436" t="str">
        <f>IF(OR(G2436=0,E2436=0),"",C2436/E2436)</f>
        <v/>
      </c>
      <c r="I2436" t="str">
        <f>IF(OR(G2436=0,F2436=0),"",D2436/F2436)</f>
        <v/>
      </c>
      <c r="J2436" t="str">
        <f>IF(OR(H2436="",I2436=""),"",IF(H2436=0,"",I2436/H2436-1))</f>
        <v/>
      </c>
      <c r="K2436" t="str">
        <f>IF($B2436="","",IFERROR(IF(G2436=0,-2E+300,CHOOSE(sortIdx,ROUND(D2436,0),IF(J2436="",-1E+300,ROUND(-J2436,6)),IF(J2436="",-1E+300,ROUND(J2436,6)))),-1.5E+300))</f>
        <v/>
      </c>
      <c r="L2436" t="str">
        <f>IF(K2436="","",RANK(K2436,$K$2:$K$3001,0)+COUNTIF($K$2:K2436,K2436)-1)</f>
        <v/>
      </c>
    </row>
    <row r="2437">
      <c r="B2437" t="str">
        <f>IFERROR(IF(A2437="","","="&amp;SUBSTITUTE(SUBSTITUTE(SUBSTITUTE(A2437,"~","~~"),"*","~*"),"?","~?")),"")</f>
        <v/>
      </c>
      <c r="C2437" t="str">
        <f>IF($B2437="","",SUMIFS(dAmt,dCust,$B2437,dPer,"&gt;="&amp;pyFrom,dPer,"&lt;="&amp;pyTo,dAmt,"&gt;-1E+300",dFlt1,critFlt1,dFlt2,critFlt2,dFlt3,critFlt3))</f>
        <v/>
      </c>
      <c r="D2437" t="str">
        <f>IF($B2437="","",SUMIFS(dAmt,dCust,$B2437,dPer,"&gt;="&amp;cyFrom,dPer,"&lt;="&amp;cyTo,dAmt,"&gt;-1E+300",dFlt1,critFlt1,dFlt2,critFlt2,dFlt3,critFlt3))</f>
        <v/>
      </c>
      <c r="E2437" t="str">
        <f>IF($B2437="","",SUMIFS(dQty,dCust,$B2437,dPer,"&gt;="&amp;pyFrom,dPer,"&lt;="&amp;pyTo,dQty,"&gt;-1E+300",dFlt1,critFlt1,dFlt2,critFlt2,dFlt3,critFlt3))</f>
        <v/>
      </c>
      <c r="F2437" t="str">
        <f>IF($B2437="","",SUMIFS(dQty,dCust,$B2437,dPer,"&gt;="&amp;cyFrom,dPer,"&lt;="&amp;cyTo,dQty,"&gt;-1E+300",dFlt1,critFlt1,dFlt2,critFlt2,dFlt3,critFlt3))</f>
        <v/>
      </c>
      <c r="G2437">
        <f>IF($B2437="",0,IFERROR(IF(OR(C2437&lt;&gt;0,D2437&lt;&gt;0,E2437&lt;&gt;0,F2437&lt;&gt;0),1,0),1))</f>
        <v>0</v>
      </c>
      <c r="H2437" t="str">
        <f>IF(OR(G2437=0,E2437=0),"",C2437/E2437)</f>
        <v/>
      </c>
      <c r="I2437" t="str">
        <f>IF(OR(G2437=0,F2437=0),"",D2437/F2437)</f>
        <v/>
      </c>
      <c r="J2437" t="str">
        <f>IF(OR(H2437="",I2437=""),"",IF(H2437=0,"",I2437/H2437-1))</f>
        <v/>
      </c>
      <c r="K2437" t="str">
        <f>IF($B2437="","",IFERROR(IF(G2437=0,-2E+300,CHOOSE(sortIdx,ROUND(D2437,0),IF(J2437="",-1E+300,ROUND(-J2437,6)),IF(J2437="",-1E+300,ROUND(J2437,6)))),-1.5E+300))</f>
        <v/>
      </c>
      <c r="L2437" t="str">
        <f>IF(K2437="","",RANK(K2437,$K$2:$K$3001,0)+COUNTIF($K$2:K2437,K2437)-1)</f>
        <v/>
      </c>
    </row>
    <row r="2438">
      <c r="B2438" t="str">
        <f>IFERROR(IF(A2438="","","="&amp;SUBSTITUTE(SUBSTITUTE(SUBSTITUTE(A2438,"~","~~"),"*","~*"),"?","~?")),"")</f>
        <v/>
      </c>
      <c r="C2438" t="str">
        <f>IF($B2438="","",SUMIFS(dAmt,dCust,$B2438,dPer,"&gt;="&amp;pyFrom,dPer,"&lt;="&amp;pyTo,dAmt,"&gt;-1E+300",dFlt1,critFlt1,dFlt2,critFlt2,dFlt3,critFlt3))</f>
        <v/>
      </c>
      <c r="D2438" t="str">
        <f>IF($B2438="","",SUMIFS(dAmt,dCust,$B2438,dPer,"&gt;="&amp;cyFrom,dPer,"&lt;="&amp;cyTo,dAmt,"&gt;-1E+300",dFlt1,critFlt1,dFlt2,critFlt2,dFlt3,critFlt3))</f>
        <v/>
      </c>
      <c r="E2438" t="str">
        <f>IF($B2438="","",SUMIFS(dQty,dCust,$B2438,dPer,"&gt;="&amp;pyFrom,dPer,"&lt;="&amp;pyTo,dQty,"&gt;-1E+300",dFlt1,critFlt1,dFlt2,critFlt2,dFlt3,critFlt3))</f>
        <v/>
      </c>
      <c r="F2438" t="str">
        <f>IF($B2438="","",SUMIFS(dQty,dCust,$B2438,dPer,"&gt;="&amp;cyFrom,dPer,"&lt;="&amp;cyTo,dQty,"&gt;-1E+300",dFlt1,critFlt1,dFlt2,critFlt2,dFlt3,critFlt3))</f>
        <v/>
      </c>
      <c r="G2438">
        <f>IF($B2438="",0,IFERROR(IF(OR(C2438&lt;&gt;0,D2438&lt;&gt;0,E2438&lt;&gt;0,F2438&lt;&gt;0),1,0),1))</f>
        <v>0</v>
      </c>
      <c r="H2438" t="str">
        <f>IF(OR(G2438=0,E2438=0),"",C2438/E2438)</f>
        <v/>
      </c>
      <c r="I2438" t="str">
        <f>IF(OR(G2438=0,F2438=0),"",D2438/F2438)</f>
        <v/>
      </c>
      <c r="J2438" t="str">
        <f>IF(OR(H2438="",I2438=""),"",IF(H2438=0,"",I2438/H2438-1))</f>
        <v/>
      </c>
      <c r="K2438" t="str">
        <f>IF($B2438="","",IFERROR(IF(G2438=0,-2E+300,CHOOSE(sortIdx,ROUND(D2438,0),IF(J2438="",-1E+300,ROUND(-J2438,6)),IF(J2438="",-1E+300,ROUND(J2438,6)))),-1.5E+300))</f>
        <v/>
      </c>
      <c r="L2438" t="str">
        <f>IF(K2438="","",RANK(K2438,$K$2:$K$3001,0)+COUNTIF($K$2:K2438,K2438)-1)</f>
        <v/>
      </c>
    </row>
    <row r="2439">
      <c r="B2439" t="str">
        <f>IFERROR(IF(A2439="","","="&amp;SUBSTITUTE(SUBSTITUTE(SUBSTITUTE(A2439,"~","~~"),"*","~*"),"?","~?")),"")</f>
        <v/>
      </c>
      <c r="C2439" t="str">
        <f>IF($B2439="","",SUMIFS(dAmt,dCust,$B2439,dPer,"&gt;="&amp;pyFrom,dPer,"&lt;="&amp;pyTo,dAmt,"&gt;-1E+300",dFlt1,critFlt1,dFlt2,critFlt2,dFlt3,critFlt3))</f>
        <v/>
      </c>
      <c r="D2439" t="str">
        <f>IF($B2439="","",SUMIFS(dAmt,dCust,$B2439,dPer,"&gt;="&amp;cyFrom,dPer,"&lt;="&amp;cyTo,dAmt,"&gt;-1E+300",dFlt1,critFlt1,dFlt2,critFlt2,dFlt3,critFlt3))</f>
        <v/>
      </c>
      <c r="E2439" t="str">
        <f>IF($B2439="","",SUMIFS(dQty,dCust,$B2439,dPer,"&gt;="&amp;pyFrom,dPer,"&lt;="&amp;pyTo,dQty,"&gt;-1E+300",dFlt1,critFlt1,dFlt2,critFlt2,dFlt3,critFlt3))</f>
        <v/>
      </c>
      <c r="F2439" t="str">
        <f>IF($B2439="","",SUMIFS(dQty,dCust,$B2439,dPer,"&gt;="&amp;cyFrom,dPer,"&lt;="&amp;cyTo,dQty,"&gt;-1E+300",dFlt1,critFlt1,dFlt2,critFlt2,dFlt3,critFlt3))</f>
        <v/>
      </c>
      <c r="G2439">
        <f>IF($B2439="",0,IFERROR(IF(OR(C2439&lt;&gt;0,D2439&lt;&gt;0,E2439&lt;&gt;0,F2439&lt;&gt;0),1,0),1))</f>
        <v>0</v>
      </c>
      <c r="H2439" t="str">
        <f>IF(OR(G2439=0,E2439=0),"",C2439/E2439)</f>
        <v/>
      </c>
      <c r="I2439" t="str">
        <f>IF(OR(G2439=0,F2439=0),"",D2439/F2439)</f>
        <v/>
      </c>
      <c r="J2439" t="str">
        <f>IF(OR(H2439="",I2439=""),"",IF(H2439=0,"",I2439/H2439-1))</f>
        <v/>
      </c>
      <c r="K2439" t="str">
        <f>IF($B2439="","",IFERROR(IF(G2439=0,-2E+300,CHOOSE(sortIdx,ROUND(D2439,0),IF(J2439="",-1E+300,ROUND(-J2439,6)),IF(J2439="",-1E+300,ROUND(J2439,6)))),-1.5E+300))</f>
        <v/>
      </c>
      <c r="L2439" t="str">
        <f>IF(K2439="","",RANK(K2439,$K$2:$K$3001,0)+COUNTIF($K$2:K2439,K2439)-1)</f>
        <v/>
      </c>
    </row>
    <row r="2440">
      <c r="B2440" t="str">
        <f>IFERROR(IF(A2440="","","="&amp;SUBSTITUTE(SUBSTITUTE(SUBSTITUTE(A2440,"~","~~"),"*","~*"),"?","~?")),"")</f>
        <v/>
      </c>
      <c r="C2440" t="str">
        <f>IF($B2440="","",SUMIFS(dAmt,dCust,$B2440,dPer,"&gt;="&amp;pyFrom,dPer,"&lt;="&amp;pyTo,dAmt,"&gt;-1E+300",dFlt1,critFlt1,dFlt2,critFlt2,dFlt3,critFlt3))</f>
        <v/>
      </c>
      <c r="D2440" t="str">
        <f>IF($B2440="","",SUMIFS(dAmt,dCust,$B2440,dPer,"&gt;="&amp;cyFrom,dPer,"&lt;="&amp;cyTo,dAmt,"&gt;-1E+300",dFlt1,critFlt1,dFlt2,critFlt2,dFlt3,critFlt3))</f>
        <v/>
      </c>
      <c r="E2440" t="str">
        <f>IF($B2440="","",SUMIFS(dQty,dCust,$B2440,dPer,"&gt;="&amp;pyFrom,dPer,"&lt;="&amp;pyTo,dQty,"&gt;-1E+300",dFlt1,critFlt1,dFlt2,critFlt2,dFlt3,critFlt3))</f>
        <v/>
      </c>
      <c r="F2440" t="str">
        <f>IF($B2440="","",SUMIFS(dQty,dCust,$B2440,dPer,"&gt;="&amp;cyFrom,dPer,"&lt;="&amp;cyTo,dQty,"&gt;-1E+300",dFlt1,critFlt1,dFlt2,critFlt2,dFlt3,critFlt3))</f>
        <v/>
      </c>
      <c r="G2440">
        <f>IF($B2440="",0,IFERROR(IF(OR(C2440&lt;&gt;0,D2440&lt;&gt;0,E2440&lt;&gt;0,F2440&lt;&gt;0),1,0),1))</f>
        <v>0</v>
      </c>
      <c r="H2440" t="str">
        <f>IF(OR(G2440=0,E2440=0),"",C2440/E2440)</f>
        <v/>
      </c>
      <c r="I2440" t="str">
        <f>IF(OR(G2440=0,F2440=0),"",D2440/F2440)</f>
        <v/>
      </c>
      <c r="J2440" t="str">
        <f>IF(OR(H2440="",I2440=""),"",IF(H2440=0,"",I2440/H2440-1))</f>
        <v/>
      </c>
      <c r="K2440" t="str">
        <f>IF($B2440="","",IFERROR(IF(G2440=0,-2E+300,CHOOSE(sortIdx,ROUND(D2440,0),IF(J2440="",-1E+300,ROUND(-J2440,6)),IF(J2440="",-1E+300,ROUND(J2440,6)))),-1.5E+300))</f>
        <v/>
      </c>
      <c r="L2440" t="str">
        <f>IF(K2440="","",RANK(K2440,$K$2:$K$3001,0)+COUNTIF($K$2:K2440,K2440)-1)</f>
        <v/>
      </c>
    </row>
    <row r="2441">
      <c r="B2441" t="str">
        <f>IFERROR(IF(A2441="","","="&amp;SUBSTITUTE(SUBSTITUTE(SUBSTITUTE(A2441,"~","~~"),"*","~*"),"?","~?")),"")</f>
        <v/>
      </c>
      <c r="C2441" t="str">
        <f>IF($B2441="","",SUMIFS(dAmt,dCust,$B2441,dPer,"&gt;="&amp;pyFrom,dPer,"&lt;="&amp;pyTo,dAmt,"&gt;-1E+300",dFlt1,critFlt1,dFlt2,critFlt2,dFlt3,critFlt3))</f>
        <v/>
      </c>
      <c r="D2441" t="str">
        <f>IF($B2441="","",SUMIFS(dAmt,dCust,$B2441,dPer,"&gt;="&amp;cyFrom,dPer,"&lt;="&amp;cyTo,dAmt,"&gt;-1E+300",dFlt1,critFlt1,dFlt2,critFlt2,dFlt3,critFlt3))</f>
        <v/>
      </c>
      <c r="E2441" t="str">
        <f>IF($B2441="","",SUMIFS(dQty,dCust,$B2441,dPer,"&gt;="&amp;pyFrom,dPer,"&lt;="&amp;pyTo,dQty,"&gt;-1E+300",dFlt1,critFlt1,dFlt2,critFlt2,dFlt3,critFlt3))</f>
        <v/>
      </c>
      <c r="F2441" t="str">
        <f>IF($B2441="","",SUMIFS(dQty,dCust,$B2441,dPer,"&gt;="&amp;cyFrom,dPer,"&lt;="&amp;cyTo,dQty,"&gt;-1E+300",dFlt1,critFlt1,dFlt2,critFlt2,dFlt3,critFlt3))</f>
        <v/>
      </c>
      <c r="G2441">
        <f>IF($B2441="",0,IFERROR(IF(OR(C2441&lt;&gt;0,D2441&lt;&gt;0,E2441&lt;&gt;0,F2441&lt;&gt;0),1,0),1))</f>
        <v>0</v>
      </c>
      <c r="H2441" t="str">
        <f>IF(OR(G2441=0,E2441=0),"",C2441/E2441)</f>
        <v/>
      </c>
      <c r="I2441" t="str">
        <f>IF(OR(G2441=0,F2441=0),"",D2441/F2441)</f>
        <v/>
      </c>
      <c r="J2441" t="str">
        <f>IF(OR(H2441="",I2441=""),"",IF(H2441=0,"",I2441/H2441-1))</f>
        <v/>
      </c>
      <c r="K2441" t="str">
        <f>IF($B2441="","",IFERROR(IF(G2441=0,-2E+300,CHOOSE(sortIdx,ROUND(D2441,0),IF(J2441="",-1E+300,ROUND(-J2441,6)),IF(J2441="",-1E+300,ROUND(J2441,6)))),-1.5E+300))</f>
        <v/>
      </c>
      <c r="L2441" t="str">
        <f>IF(K2441="","",RANK(K2441,$K$2:$K$3001,0)+COUNTIF($K$2:K2441,K2441)-1)</f>
        <v/>
      </c>
    </row>
    <row r="2442">
      <c r="B2442" t="str">
        <f>IFERROR(IF(A2442="","","="&amp;SUBSTITUTE(SUBSTITUTE(SUBSTITUTE(A2442,"~","~~"),"*","~*"),"?","~?")),"")</f>
        <v/>
      </c>
      <c r="C2442" t="str">
        <f>IF($B2442="","",SUMIFS(dAmt,dCust,$B2442,dPer,"&gt;="&amp;pyFrom,dPer,"&lt;="&amp;pyTo,dAmt,"&gt;-1E+300",dFlt1,critFlt1,dFlt2,critFlt2,dFlt3,critFlt3))</f>
        <v/>
      </c>
      <c r="D2442" t="str">
        <f>IF($B2442="","",SUMIFS(dAmt,dCust,$B2442,dPer,"&gt;="&amp;cyFrom,dPer,"&lt;="&amp;cyTo,dAmt,"&gt;-1E+300",dFlt1,critFlt1,dFlt2,critFlt2,dFlt3,critFlt3))</f>
        <v/>
      </c>
      <c r="E2442" t="str">
        <f>IF($B2442="","",SUMIFS(dQty,dCust,$B2442,dPer,"&gt;="&amp;pyFrom,dPer,"&lt;="&amp;pyTo,dQty,"&gt;-1E+300",dFlt1,critFlt1,dFlt2,critFlt2,dFlt3,critFlt3))</f>
        <v/>
      </c>
      <c r="F2442" t="str">
        <f>IF($B2442="","",SUMIFS(dQty,dCust,$B2442,dPer,"&gt;="&amp;cyFrom,dPer,"&lt;="&amp;cyTo,dQty,"&gt;-1E+300",dFlt1,critFlt1,dFlt2,critFlt2,dFlt3,critFlt3))</f>
        <v/>
      </c>
      <c r="G2442">
        <f>IF($B2442="",0,IFERROR(IF(OR(C2442&lt;&gt;0,D2442&lt;&gt;0,E2442&lt;&gt;0,F2442&lt;&gt;0),1,0),1))</f>
        <v>0</v>
      </c>
      <c r="H2442" t="str">
        <f>IF(OR(G2442=0,E2442=0),"",C2442/E2442)</f>
        <v/>
      </c>
      <c r="I2442" t="str">
        <f>IF(OR(G2442=0,F2442=0),"",D2442/F2442)</f>
        <v/>
      </c>
      <c r="J2442" t="str">
        <f>IF(OR(H2442="",I2442=""),"",IF(H2442=0,"",I2442/H2442-1))</f>
        <v/>
      </c>
      <c r="K2442" t="str">
        <f>IF($B2442="","",IFERROR(IF(G2442=0,-2E+300,CHOOSE(sortIdx,ROUND(D2442,0),IF(J2442="",-1E+300,ROUND(-J2442,6)),IF(J2442="",-1E+300,ROUND(J2442,6)))),-1.5E+300))</f>
        <v/>
      </c>
      <c r="L2442" t="str">
        <f>IF(K2442="","",RANK(K2442,$K$2:$K$3001,0)+COUNTIF($K$2:K2442,K2442)-1)</f>
        <v/>
      </c>
    </row>
    <row r="2443">
      <c r="B2443" t="str">
        <f>IFERROR(IF(A2443="","","="&amp;SUBSTITUTE(SUBSTITUTE(SUBSTITUTE(A2443,"~","~~"),"*","~*"),"?","~?")),"")</f>
        <v/>
      </c>
      <c r="C2443" t="str">
        <f>IF($B2443="","",SUMIFS(dAmt,dCust,$B2443,dPer,"&gt;="&amp;pyFrom,dPer,"&lt;="&amp;pyTo,dAmt,"&gt;-1E+300",dFlt1,critFlt1,dFlt2,critFlt2,dFlt3,critFlt3))</f>
        <v/>
      </c>
      <c r="D2443" t="str">
        <f>IF($B2443="","",SUMIFS(dAmt,dCust,$B2443,dPer,"&gt;="&amp;cyFrom,dPer,"&lt;="&amp;cyTo,dAmt,"&gt;-1E+300",dFlt1,critFlt1,dFlt2,critFlt2,dFlt3,critFlt3))</f>
        <v/>
      </c>
      <c r="E2443" t="str">
        <f>IF($B2443="","",SUMIFS(dQty,dCust,$B2443,dPer,"&gt;="&amp;pyFrom,dPer,"&lt;="&amp;pyTo,dQty,"&gt;-1E+300",dFlt1,critFlt1,dFlt2,critFlt2,dFlt3,critFlt3))</f>
        <v/>
      </c>
      <c r="F2443" t="str">
        <f>IF($B2443="","",SUMIFS(dQty,dCust,$B2443,dPer,"&gt;="&amp;cyFrom,dPer,"&lt;="&amp;cyTo,dQty,"&gt;-1E+300",dFlt1,critFlt1,dFlt2,critFlt2,dFlt3,critFlt3))</f>
        <v/>
      </c>
      <c r="G2443">
        <f>IF($B2443="",0,IFERROR(IF(OR(C2443&lt;&gt;0,D2443&lt;&gt;0,E2443&lt;&gt;0,F2443&lt;&gt;0),1,0),1))</f>
        <v>0</v>
      </c>
      <c r="H2443" t="str">
        <f>IF(OR(G2443=0,E2443=0),"",C2443/E2443)</f>
        <v/>
      </c>
      <c r="I2443" t="str">
        <f>IF(OR(G2443=0,F2443=0),"",D2443/F2443)</f>
        <v/>
      </c>
      <c r="J2443" t="str">
        <f>IF(OR(H2443="",I2443=""),"",IF(H2443=0,"",I2443/H2443-1))</f>
        <v/>
      </c>
      <c r="K2443" t="str">
        <f>IF($B2443="","",IFERROR(IF(G2443=0,-2E+300,CHOOSE(sortIdx,ROUND(D2443,0),IF(J2443="",-1E+300,ROUND(-J2443,6)),IF(J2443="",-1E+300,ROUND(J2443,6)))),-1.5E+300))</f>
        <v/>
      </c>
      <c r="L2443" t="str">
        <f>IF(K2443="","",RANK(K2443,$K$2:$K$3001,0)+COUNTIF($K$2:K2443,K2443)-1)</f>
        <v/>
      </c>
    </row>
    <row r="2444">
      <c r="B2444" t="str">
        <f>IFERROR(IF(A2444="","","="&amp;SUBSTITUTE(SUBSTITUTE(SUBSTITUTE(A2444,"~","~~"),"*","~*"),"?","~?")),"")</f>
        <v/>
      </c>
      <c r="C2444" t="str">
        <f>IF($B2444="","",SUMIFS(dAmt,dCust,$B2444,dPer,"&gt;="&amp;pyFrom,dPer,"&lt;="&amp;pyTo,dAmt,"&gt;-1E+300",dFlt1,critFlt1,dFlt2,critFlt2,dFlt3,critFlt3))</f>
        <v/>
      </c>
      <c r="D2444" t="str">
        <f>IF($B2444="","",SUMIFS(dAmt,dCust,$B2444,dPer,"&gt;="&amp;cyFrom,dPer,"&lt;="&amp;cyTo,dAmt,"&gt;-1E+300",dFlt1,critFlt1,dFlt2,critFlt2,dFlt3,critFlt3))</f>
        <v/>
      </c>
      <c r="E2444" t="str">
        <f>IF($B2444="","",SUMIFS(dQty,dCust,$B2444,dPer,"&gt;="&amp;pyFrom,dPer,"&lt;="&amp;pyTo,dQty,"&gt;-1E+300",dFlt1,critFlt1,dFlt2,critFlt2,dFlt3,critFlt3))</f>
        <v/>
      </c>
      <c r="F2444" t="str">
        <f>IF($B2444="","",SUMIFS(dQty,dCust,$B2444,dPer,"&gt;="&amp;cyFrom,dPer,"&lt;="&amp;cyTo,dQty,"&gt;-1E+300",dFlt1,critFlt1,dFlt2,critFlt2,dFlt3,critFlt3))</f>
        <v/>
      </c>
      <c r="G2444">
        <f>IF($B2444="",0,IFERROR(IF(OR(C2444&lt;&gt;0,D2444&lt;&gt;0,E2444&lt;&gt;0,F2444&lt;&gt;0),1,0),1))</f>
        <v>0</v>
      </c>
      <c r="H2444" t="str">
        <f>IF(OR(G2444=0,E2444=0),"",C2444/E2444)</f>
        <v/>
      </c>
      <c r="I2444" t="str">
        <f>IF(OR(G2444=0,F2444=0),"",D2444/F2444)</f>
        <v/>
      </c>
      <c r="J2444" t="str">
        <f>IF(OR(H2444="",I2444=""),"",IF(H2444=0,"",I2444/H2444-1))</f>
        <v/>
      </c>
      <c r="K2444" t="str">
        <f>IF($B2444="","",IFERROR(IF(G2444=0,-2E+300,CHOOSE(sortIdx,ROUND(D2444,0),IF(J2444="",-1E+300,ROUND(-J2444,6)),IF(J2444="",-1E+300,ROUND(J2444,6)))),-1.5E+300))</f>
        <v/>
      </c>
      <c r="L2444" t="str">
        <f>IF(K2444="","",RANK(K2444,$K$2:$K$3001,0)+COUNTIF($K$2:K2444,K2444)-1)</f>
        <v/>
      </c>
    </row>
    <row r="2445">
      <c r="B2445" t="str">
        <f>IFERROR(IF(A2445="","","="&amp;SUBSTITUTE(SUBSTITUTE(SUBSTITUTE(A2445,"~","~~"),"*","~*"),"?","~?")),"")</f>
        <v/>
      </c>
      <c r="C2445" t="str">
        <f>IF($B2445="","",SUMIFS(dAmt,dCust,$B2445,dPer,"&gt;="&amp;pyFrom,dPer,"&lt;="&amp;pyTo,dAmt,"&gt;-1E+300",dFlt1,critFlt1,dFlt2,critFlt2,dFlt3,critFlt3))</f>
        <v/>
      </c>
      <c r="D2445" t="str">
        <f>IF($B2445="","",SUMIFS(dAmt,dCust,$B2445,dPer,"&gt;="&amp;cyFrom,dPer,"&lt;="&amp;cyTo,dAmt,"&gt;-1E+300",dFlt1,critFlt1,dFlt2,critFlt2,dFlt3,critFlt3))</f>
        <v/>
      </c>
      <c r="E2445" t="str">
        <f>IF($B2445="","",SUMIFS(dQty,dCust,$B2445,dPer,"&gt;="&amp;pyFrom,dPer,"&lt;="&amp;pyTo,dQty,"&gt;-1E+300",dFlt1,critFlt1,dFlt2,critFlt2,dFlt3,critFlt3))</f>
        <v/>
      </c>
      <c r="F2445" t="str">
        <f>IF($B2445="","",SUMIFS(dQty,dCust,$B2445,dPer,"&gt;="&amp;cyFrom,dPer,"&lt;="&amp;cyTo,dQty,"&gt;-1E+300",dFlt1,critFlt1,dFlt2,critFlt2,dFlt3,critFlt3))</f>
        <v/>
      </c>
      <c r="G2445">
        <f>IF($B2445="",0,IFERROR(IF(OR(C2445&lt;&gt;0,D2445&lt;&gt;0,E2445&lt;&gt;0,F2445&lt;&gt;0),1,0),1))</f>
        <v>0</v>
      </c>
      <c r="H2445" t="str">
        <f>IF(OR(G2445=0,E2445=0),"",C2445/E2445)</f>
        <v/>
      </c>
      <c r="I2445" t="str">
        <f>IF(OR(G2445=0,F2445=0),"",D2445/F2445)</f>
        <v/>
      </c>
      <c r="J2445" t="str">
        <f>IF(OR(H2445="",I2445=""),"",IF(H2445=0,"",I2445/H2445-1))</f>
        <v/>
      </c>
      <c r="K2445" t="str">
        <f>IF($B2445="","",IFERROR(IF(G2445=0,-2E+300,CHOOSE(sortIdx,ROUND(D2445,0),IF(J2445="",-1E+300,ROUND(-J2445,6)),IF(J2445="",-1E+300,ROUND(J2445,6)))),-1.5E+300))</f>
        <v/>
      </c>
      <c r="L2445" t="str">
        <f>IF(K2445="","",RANK(K2445,$K$2:$K$3001,0)+COUNTIF($K$2:K2445,K2445)-1)</f>
        <v/>
      </c>
    </row>
    <row r="2446">
      <c r="B2446" t="str">
        <f>IFERROR(IF(A2446="","","="&amp;SUBSTITUTE(SUBSTITUTE(SUBSTITUTE(A2446,"~","~~"),"*","~*"),"?","~?")),"")</f>
        <v/>
      </c>
      <c r="C2446" t="str">
        <f>IF($B2446="","",SUMIFS(dAmt,dCust,$B2446,dPer,"&gt;="&amp;pyFrom,dPer,"&lt;="&amp;pyTo,dAmt,"&gt;-1E+300",dFlt1,critFlt1,dFlt2,critFlt2,dFlt3,critFlt3))</f>
        <v/>
      </c>
      <c r="D2446" t="str">
        <f>IF($B2446="","",SUMIFS(dAmt,dCust,$B2446,dPer,"&gt;="&amp;cyFrom,dPer,"&lt;="&amp;cyTo,dAmt,"&gt;-1E+300",dFlt1,critFlt1,dFlt2,critFlt2,dFlt3,critFlt3))</f>
        <v/>
      </c>
      <c r="E2446" t="str">
        <f>IF($B2446="","",SUMIFS(dQty,dCust,$B2446,dPer,"&gt;="&amp;pyFrom,dPer,"&lt;="&amp;pyTo,dQty,"&gt;-1E+300",dFlt1,critFlt1,dFlt2,critFlt2,dFlt3,critFlt3))</f>
        <v/>
      </c>
      <c r="F2446" t="str">
        <f>IF($B2446="","",SUMIFS(dQty,dCust,$B2446,dPer,"&gt;="&amp;cyFrom,dPer,"&lt;="&amp;cyTo,dQty,"&gt;-1E+300",dFlt1,critFlt1,dFlt2,critFlt2,dFlt3,critFlt3))</f>
        <v/>
      </c>
      <c r="G2446">
        <f>IF($B2446="",0,IFERROR(IF(OR(C2446&lt;&gt;0,D2446&lt;&gt;0,E2446&lt;&gt;0,F2446&lt;&gt;0),1,0),1))</f>
        <v>0</v>
      </c>
      <c r="H2446" t="str">
        <f>IF(OR(G2446=0,E2446=0),"",C2446/E2446)</f>
        <v/>
      </c>
      <c r="I2446" t="str">
        <f>IF(OR(G2446=0,F2446=0),"",D2446/F2446)</f>
        <v/>
      </c>
      <c r="J2446" t="str">
        <f>IF(OR(H2446="",I2446=""),"",IF(H2446=0,"",I2446/H2446-1))</f>
        <v/>
      </c>
      <c r="K2446" t="str">
        <f>IF($B2446="","",IFERROR(IF(G2446=0,-2E+300,CHOOSE(sortIdx,ROUND(D2446,0),IF(J2446="",-1E+300,ROUND(-J2446,6)),IF(J2446="",-1E+300,ROUND(J2446,6)))),-1.5E+300))</f>
        <v/>
      </c>
      <c r="L2446" t="str">
        <f>IF(K2446="","",RANK(K2446,$K$2:$K$3001,0)+COUNTIF($K$2:K2446,K2446)-1)</f>
        <v/>
      </c>
    </row>
    <row r="2447">
      <c r="B2447" t="str">
        <f>IFERROR(IF(A2447="","","="&amp;SUBSTITUTE(SUBSTITUTE(SUBSTITUTE(A2447,"~","~~"),"*","~*"),"?","~?")),"")</f>
        <v/>
      </c>
      <c r="C2447" t="str">
        <f>IF($B2447="","",SUMIFS(dAmt,dCust,$B2447,dPer,"&gt;="&amp;pyFrom,dPer,"&lt;="&amp;pyTo,dAmt,"&gt;-1E+300",dFlt1,critFlt1,dFlt2,critFlt2,dFlt3,critFlt3))</f>
        <v/>
      </c>
      <c r="D2447" t="str">
        <f>IF($B2447="","",SUMIFS(dAmt,dCust,$B2447,dPer,"&gt;="&amp;cyFrom,dPer,"&lt;="&amp;cyTo,dAmt,"&gt;-1E+300",dFlt1,critFlt1,dFlt2,critFlt2,dFlt3,critFlt3))</f>
        <v/>
      </c>
      <c r="E2447" t="str">
        <f>IF($B2447="","",SUMIFS(dQty,dCust,$B2447,dPer,"&gt;="&amp;pyFrom,dPer,"&lt;="&amp;pyTo,dQty,"&gt;-1E+300",dFlt1,critFlt1,dFlt2,critFlt2,dFlt3,critFlt3))</f>
        <v/>
      </c>
      <c r="F2447" t="str">
        <f>IF($B2447="","",SUMIFS(dQty,dCust,$B2447,dPer,"&gt;="&amp;cyFrom,dPer,"&lt;="&amp;cyTo,dQty,"&gt;-1E+300",dFlt1,critFlt1,dFlt2,critFlt2,dFlt3,critFlt3))</f>
        <v/>
      </c>
      <c r="G2447">
        <f>IF($B2447="",0,IFERROR(IF(OR(C2447&lt;&gt;0,D2447&lt;&gt;0,E2447&lt;&gt;0,F2447&lt;&gt;0),1,0),1))</f>
        <v>0</v>
      </c>
      <c r="H2447" t="str">
        <f>IF(OR(G2447=0,E2447=0),"",C2447/E2447)</f>
        <v/>
      </c>
      <c r="I2447" t="str">
        <f>IF(OR(G2447=0,F2447=0),"",D2447/F2447)</f>
        <v/>
      </c>
      <c r="J2447" t="str">
        <f>IF(OR(H2447="",I2447=""),"",IF(H2447=0,"",I2447/H2447-1))</f>
        <v/>
      </c>
      <c r="K2447" t="str">
        <f>IF($B2447="","",IFERROR(IF(G2447=0,-2E+300,CHOOSE(sortIdx,ROUND(D2447,0),IF(J2447="",-1E+300,ROUND(-J2447,6)),IF(J2447="",-1E+300,ROUND(J2447,6)))),-1.5E+300))</f>
        <v/>
      </c>
      <c r="L2447" t="str">
        <f>IF(K2447="","",RANK(K2447,$K$2:$K$3001,0)+COUNTIF($K$2:K2447,K2447)-1)</f>
        <v/>
      </c>
    </row>
    <row r="2448">
      <c r="B2448" t="str">
        <f>IFERROR(IF(A2448="","","="&amp;SUBSTITUTE(SUBSTITUTE(SUBSTITUTE(A2448,"~","~~"),"*","~*"),"?","~?")),"")</f>
        <v/>
      </c>
      <c r="C2448" t="str">
        <f>IF($B2448="","",SUMIFS(dAmt,dCust,$B2448,dPer,"&gt;="&amp;pyFrom,dPer,"&lt;="&amp;pyTo,dAmt,"&gt;-1E+300",dFlt1,critFlt1,dFlt2,critFlt2,dFlt3,critFlt3))</f>
        <v/>
      </c>
      <c r="D2448" t="str">
        <f>IF($B2448="","",SUMIFS(dAmt,dCust,$B2448,dPer,"&gt;="&amp;cyFrom,dPer,"&lt;="&amp;cyTo,dAmt,"&gt;-1E+300",dFlt1,critFlt1,dFlt2,critFlt2,dFlt3,critFlt3))</f>
        <v/>
      </c>
      <c r="E2448" t="str">
        <f>IF($B2448="","",SUMIFS(dQty,dCust,$B2448,dPer,"&gt;="&amp;pyFrom,dPer,"&lt;="&amp;pyTo,dQty,"&gt;-1E+300",dFlt1,critFlt1,dFlt2,critFlt2,dFlt3,critFlt3))</f>
        <v/>
      </c>
      <c r="F2448" t="str">
        <f>IF($B2448="","",SUMIFS(dQty,dCust,$B2448,dPer,"&gt;="&amp;cyFrom,dPer,"&lt;="&amp;cyTo,dQty,"&gt;-1E+300",dFlt1,critFlt1,dFlt2,critFlt2,dFlt3,critFlt3))</f>
        <v/>
      </c>
      <c r="G2448">
        <f>IF($B2448="",0,IFERROR(IF(OR(C2448&lt;&gt;0,D2448&lt;&gt;0,E2448&lt;&gt;0,F2448&lt;&gt;0),1,0),1))</f>
        <v>0</v>
      </c>
      <c r="H2448" t="str">
        <f>IF(OR(G2448=0,E2448=0),"",C2448/E2448)</f>
        <v/>
      </c>
      <c r="I2448" t="str">
        <f>IF(OR(G2448=0,F2448=0),"",D2448/F2448)</f>
        <v/>
      </c>
      <c r="J2448" t="str">
        <f>IF(OR(H2448="",I2448=""),"",IF(H2448=0,"",I2448/H2448-1))</f>
        <v/>
      </c>
      <c r="K2448" t="str">
        <f>IF($B2448="","",IFERROR(IF(G2448=0,-2E+300,CHOOSE(sortIdx,ROUND(D2448,0),IF(J2448="",-1E+300,ROUND(-J2448,6)),IF(J2448="",-1E+300,ROUND(J2448,6)))),-1.5E+300))</f>
        <v/>
      </c>
      <c r="L2448" t="str">
        <f>IF(K2448="","",RANK(K2448,$K$2:$K$3001,0)+COUNTIF($K$2:K2448,K2448)-1)</f>
        <v/>
      </c>
    </row>
    <row r="2449">
      <c r="B2449" t="str">
        <f>IFERROR(IF(A2449="","","="&amp;SUBSTITUTE(SUBSTITUTE(SUBSTITUTE(A2449,"~","~~"),"*","~*"),"?","~?")),"")</f>
        <v/>
      </c>
      <c r="C2449" t="str">
        <f>IF($B2449="","",SUMIFS(dAmt,dCust,$B2449,dPer,"&gt;="&amp;pyFrom,dPer,"&lt;="&amp;pyTo,dAmt,"&gt;-1E+300",dFlt1,critFlt1,dFlt2,critFlt2,dFlt3,critFlt3))</f>
        <v/>
      </c>
      <c r="D2449" t="str">
        <f>IF($B2449="","",SUMIFS(dAmt,dCust,$B2449,dPer,"&gt;="&amp;cyFrom,dPer,"&lt;="&amp;cyTo,dAmt,"&gt;-1E+300",dFlt1,critFlt1,dFlt2,critFlt2,dFlt3,critFlt3))</f>
        <v/>
      </c>
      <c r="E2449" t="str">
        <f>IF($B2449="","",SUMIFS(dQty,dCust,$B2449,dPer,"&gt;="&amp;pyFrom,dPer,"&lt;="&amp;pyTo,dQty,"&gt;-1E+300",dFlt1,critFlt1,dFlt2,critFlt2,dFlt3,critFlt3))</f>
        <v/>
      </c>
      <c r="F2449" t="str">
        <f>IF($B2449="","",SUMIFS(dQty,dCust,$B2449,dPer,"&gt;="&amp;cyFrom,dPer,"&lt;="&amp;cyTo,dQty,"&gt;-1E+300",dFlt1,critFlt1,dFlt2,critFlt2,dFlt3,critFlt3))</f>
        <v/>
      </c>
      <c r="G2449">
        <f>IF($B2449="",0,IFERROR(IF(OR(C2449&lt;&gt;0,D2449&lt;&gt;0,E2449&lt;&gt;0,F2449&lt;&gt;0),1,0),1))</f>
        <v>0</v>
      </c>
      <c r="H2449" t="str">
        <f>IF(OR(G2449=0,E2449=0),"",C2449/E2449)</f>
        <v/>
      </c>
      <c r="I2449" t="str">
        <f>IF(OR(G2449=0,F2449=0),"",D2449/F2449)</f>
        <v/>
      </c>
      <c r="J2449" t="str">
        <f>IF(OR(H2449="",I2449=""),"",IF(H2449=0,"",I2449/H2449-1))</f>
        <v/>
      </c>
      <c r="K2449" t="str">
        <f>IF($B2449="","",IFERROR(IF(G2449=0,-2E+300,CHOOSE(sortIdx,ROUND(D2449,0),IF(J2449="",-1E+300,ROUND(-J2449,6)),IF(J2449="",-1E+300,ROUND(J2449,6)))),-1.5E+300))</f>
        <v/>
      </c>
      <c r="L2449" t="str">
        <f>IF(K2449="","",RANK(K2449,$K$2:$K$3001,0)+COUNTIF($K$2:K2449,K2449)-1)</f>
        <v/>
      </c>
    </row>
    <row r="2450">
      <c r="B2450" t="str">
        <f>IFERROR(IF(A2450="","","="&amp;SUBSTITUTE(SUBSTITUTE(SUBSTITUTE(A2450,"~","~~"),"*","~*"),"?","~?")),"")</f>
        <v/>
      </c>
      <c r="C2450" t="str">
        <f>IF($B2450="","",SUMIFS(dAmt,dCust,$B2450,dPer,"&gt;="&amp;pyFrom,dPer,"&lt;="&amp;pyTo,dAmt,"&gt;-1E+300",dFlt1,critFlt1,dFlt2,critFlt2,dFlt3,critFlt3))</f>
        <v/>
      </c>
      <c r="D2450" t="str">
        <f>IF($B2450="","",SUMIFS(dAmt,dCust,$B2450,dPer,"&gt;="&amp;cyFrom,dPer,"&lt;="&amp;cyTo,dAmt,"&gt;-1E+300",dFlt1,critFlt1,dFlt2,critFlt2,dFlt3,critFlt3))</f>
        <v/>
      </c>
      <c r="E2450" t="str">
        <f>IF($B2450="","",SUMIFS(dQty,dCust,$B2450,dPer,"&gt;="&amp;pyFrom,dPer,"&lt;="&amp;pyTo,dQty,"&gt;-1E+300",dFlt1,critFlt1,dFlt2,critFlt2,dFlt3,critFlt3))</f>
        <v/>
      </c>
      <c r="F2450" t="str">
        <f>IF($B2450="","",SUMIFS(dQty,dCust,$B2450,dPer,"&gt;="&amp;cyFrom,dPer,"&lt;="&amp;cyTo,dQty,"&gt;-1E+300",dFlt1,critFlt1,dFlt2,critFlt2,dFlt3,critFlt3))</f>
        <v/>
      </c>
      <c r="G2450">
        <f>IF($B2450="",0,IFERROR(IF(OR(C2450&lt;&gt;0,D2450&lt;&gt;0,E2450&lt;&gt;0,F2450&lt;&gt;0),1,0),1))</f>
        <v>0</v>
      </c>
      <c r="H2450" t="str">
        <f>IF(OR(G2450=0,E2450=0),"",C2450/E2450)</f>
        <v/>
      </c>
      <c r="I2450" t="str">
        <f>IF(OR(G2450=0,F2450=0),"",D2450/F2450)</f>
        <v/>
      </c>
      <c r="J2450" t="str">
        <f>IF(OR(H2450="",I2450=""),"",IF(H2450=0,"",I2450/H2450-1))</f>
        <v/>
      </c>
      <c r="K2450" t="str">
        <f>IF($B2450="","",IFERROR(IF(G2450=0,-2E+300,CHOOSE(sortIdx,ROUND(D2450,0),IF(J2450="",-1E+300,ROUND(-J2450,6)),IF(J2450="",-1E+300,ROUND(J2450,6)))),-1.5E+300))</f>
        <v/>
      </c>
      <c r="L2450" t="str">
        <f>IF(K2450="","",RANK(K2450,$K$2:$K$3001,0)+COUNTIF($K$2:K2450,K2450)-1)</f>
        <v/>
      </c>
    </row>
    <row r="2451">
      <c r="B2451" t="str">
        <f>IFERROR(IF(A2451="","","="&amp;SUBSTITUTE(SUBSTITUTE(SUBSTITUTE(A2451,"~","~~"),"*","~*"),"?","~?")),"")</f>
        <v/>
      </c>
      <c r="C2451" t="str">
        <f>IF($B2451="","",SUMIFS(dAmt,dCust,$B2451,dPer,"&gt;="&amp;pyFrom,dPer,"&lt;="&amp;pyTo,dAmt,"&gt;-1E+300",dFlt1,critFlt1,dFlt2,critFlt2,dFlt3,critFlt3))</f>
        <v/>
      </c>
      <c r="D2451" t="str">
        <f>IF($B2451="","",SUMIFS(dAmt,dCust,$B2451,dPer,"&gt;="&amp;cyFrom,dPer,"&lt;="&amp;cyTo,dAmt,"&gt;-1E+300",dFlt1,critFlt1,dFlt2,critFlt2,dFlt3,critFlt3))</f>
        <v/>
      </c>
      <c r="E2451" t="str">
        <f>IF($B2451="","",SUMIFS(dQty,dCust,$B2451,dPer,"&gt;="&amp;pyFrom,dPer,"&lt;="&amp;pyTo,dQty,"&gt;-1E+300",dFlt1,critFlt1,dFlt2,critFlt2,dFlt3,critFlt3))</f>
        <v/>
      </c>
      <c r="F2451" t="str">
        <f>IF($B2451="","",SUMIFS(dQty,dCust,$B2451,dPer,"&gt;="&amp;cyFrom,dPer,"&lt;="&amp;cyTo,dQty,"&gt;-1E+300",dFlt1,critFlt1,dFlt2,critFlt2,dFlt3,critFlt3))</f>
        <v/>
      </c>
      <c r="G2451">
        <f>IF($B2451="",0,IFERROR(IF(OR(C2451&lt;&gt;0,D2451&lt;&gt;0,E2451&lt;&gt;0,F2451&lt;&gt;0),1,0),1))</f>
        <v>0</v>
      </c>
      <c r="H2451" t="str">
        <f>IF(OR(G2451=0,E2451=0),"",C2451/E2451)</f>
        <v/>
      </c>
      <c r="I2451" t="str">
        <f>IF(OR(G2451=0,F2451=0),"",D2451/F2451)</f>
        <v/>
      </c>
      <c r="J2451" t="str">
        <f>IF(OR(H2451="",I2451=""),"",IF(H2451=0,"",I2451/H2451-1))</f>
        <v/>
      </c>
      <c r="K2451" t="str">
        <f>IF($B2451="","",IFERROR(IF(G2451=0,-2E+300,CHOOSE(sortIdx,ROUND(D2451,0),IF(J2451="",-1E+300,ROUND(-J2451,6)),IF(J2451="",-1E+300,ROUND(J2451,6)))),-1.5E+300))</f>
        <v/>
      </c>
      <c r="L2451" t="str">
        <f>IF(K2451="","",RANK(K2451,$K$2:$K$3001,0)+COUNTIF($K$2:K2451,K2451)-1)</f>
        <v/>
      </c>
    </row>
    <row r="2452">
      <c r="B2452" t="str">
        <f>IFERROR(IF(A2452="","","="&amp;SUBSTITUTE(SUBSTITUTE(SUBSTITUTE(A2452,"~","~~"),"*","~*"),"?","~?")),"")</f>
        <v/>
      </c>
      <c r="C2452" t="str">
        <f>IF($B2452="","",SUMIFS(dAmt,dCust,$B2452,dPer,"&gt;="&amp;pyFrom,dPer,"&lt;="&amp;pyTo,dAmt,"&gt;-1E+300",dFlt1,critFlt1,dFlt2,critFlt2,dFlt3,critFlt3))</f>
        <v/>
      </c>
      <c r="D2452" t="str">
        <f>IF($B2452="","",SUMIFS(dAmt,dCust,$B2452,dPer,"&gt;="&amp;cyFrom,dPer,"&lt;="&amp;cyTo,dAmt,"&gt;-1E+300",dFlt1,critFlt1,dFlt2,critFlt2,dFlt3,critFlt3))</f>
        <v/>
      </c>
      <c r="E2452" t="str">
        <f>IF($B2452="","",SUMIFS(dQty,dCust,$B2452,dPer,"&gt;="&amp;pyFrom,dPer,"&lt;="&amp;pyTo,dQty,"&gt;-1E+300",dFlt1,critFlt1,dFlt2,critFlt2,dFlt3,critFlt3))</f>
        <v/>
      </c>
      <c r="F2452" t="str">
        <f>IF($B2452="","",SUMIFS(dQty,dCust,$B2452,dPer,"&gt;="&amp;cyFrom,dPer,"&lt;="&amp;cyTo,dQty,"&gt;-1E+300",dFlt1,critFlt1,dFlt2,critFlt2,dFlt3,critFlt3))</f>
        <v/>
      </c>
      <c r="G2452">
        <f>IF($B2452="",0,IFERROR(IF(OR(C2452&lt;&gt;0,D2452&lt;&gt;0,E2452&lt;&gt;0,F2452&lt;&gt;0),1,0),1))</f>
        <v>0</v>
      </c>
      <c r="H2452" t="str">
        <f>IF(OR(G2452=0,E2452=0),"",C2452/E2452)</f>
        <v/>
      </c>
      <c r="I2452" t="str">
        <f>IF(OR(G2452=0,F2452=0),"",D2452/F2452)</f>
        <v/>
      </c>
      <c r="J2452" t="str">
        <f>IF(OR(H2452="",I2452=""),"",IF(H2452=0,"",I2452/H2452-1))</f>
        <v/>
      </c>
      <c r="K2452" t="str">
        <f>IF($B2452="","",IFERROR(IF(G2452=0,-2E+300,CHOOSE(sortIdx,ROUND(D2452,0),IF(J2452="",-1E+300,ROUND(-J2452,6)),IF(J2452="",-1E+300,ROUND(J2452,6)))),-1.5E+300))</f>
        <v/>
      </c>
      <c r="L2452" t="str">
        <f>IF(K2452="","",RANK(K2452,$K$2:$K$3001,0)+COUNTIF($K$2:K2452,K2452)-1)</f>
        <v/>
      </c>
    </row>
    <row r="2453">
      <c r="B2453" t="str">
        <f>IFERROR(IF(A2453="","","="&amp;SUBSTITUTE(SUBSTITUTE(SUBSTITUTE(A2453,"~","~~"),"*","~*"),"?","~?")),"")</f>
        <v/>
      </c>
      <c r="C2453" t="str">
        <f>IF($B2453="","",SUMIFS(dAmt,dCust,$B2453,dPer,"&gt;="&amp;pyFrom,dPer,"&lt;="&amp;pyTo,dAmt,"&gt;-1E+300",dFlt1,critFlt1,dFlt2,critFlt2,dFlt3,critFlt3))</f>
        <v/>
      </c>
      <c r="D2453" t="str">
        <f>IF($B2453="","",SUMIFS(dAmt,dCust,$B2453,dPer,"&gt;="&amp;cyFrom,dPer,"&lt;="&amp;cyTo,dAmt,"&gt;-1E+300",dFlt1,critFlt1,dFlt2,critFlt2,dFlt3,critFlt3))</f>
        <v/>
      </c>
      <c r="E2453" t="str">
        <f>IF($B2453="","",SUMIFS(dQty,dCust,$B2453,dPer,"&gt;="&amp;pyFrom,dPer,"&lt;="&amp;pyTo,dQty,"&gt;-1E+300",dFlt1,critFlt1,dFlt2,critFlt2,dFlt3,critFlt3))</f>
        <v/>
      </c>
      <c r="F2453" t="str">
        <f>IF($B2453="","",SUMIFS(dQty,dCust,$B2453,dPer,"&gt;="&amp;cyFrom,dPer,"&lt;="&amp;cyTo,dQty,"&gt;-1E+300",dFlt1,critFlt1,dFlt2,critFlt2,dFlt3,critFlt3))</f>
        <v/>
      </c>
      <c r="G2453">
        <f>IF($B2453="",0,IFERROR(IF(OR(C2453&lt;&gt;0,D2453&lt;&gt;0,E2453&lt;&gt;0,F2453&lt;&gt;0),1,0),1))</f>
        <v>0</v>
      </c>
      <c r="H2453" t="str">
        <f>IF(OR(G2453=0,E2453=0),"",C2453/E2453)</f>
        <v/>
      </c>
      <c r="I2453" t="str">
        <f>IF(OR(G2453=0,F2453=0),"",D2453/F2453)</f>
        <v/>
      </c>
      <c r="J2453" t="str">
        <f>IF(OR(H2453="",I2453=""),"",IF(H2453=0,"",I2453/H2453-1))</f>
        <v/>
      </c>
      <c r="K2453" t="str">
        <f>IF($B2453="","",IFERROR(IF(G2453=0,-2E+300,CHOOSE(sortIdx,ROUND(D2453,0),IF(J2453="",-1E+300,ROUND(-J2453,6)),IF(J2453="",-1E+300,ROUND(J2453,6)))),-1.5E+300))</f>
        <v/>
      </c>
      <c r="L2453" t="str">
        <f>IF(K2453="","",RANK(K2453,$K$2:$K$3001,0)+COUNTIF($K$2:K2453,K2453)-1)</f>
        <v/>
      </c>
    </row>
    <row r="2454">
      <c r="B2454" t="str">
        <f>IFERROR(IF(A2454="","","="&amp;SUBSTITUTE(SUBSTITUTE(SUBSTITUTE(A2454,"~","~~"),"*","~*"),"?","~?")),"")</f>
        <v/>
      </c>
      <c r="C2454" t="str">
        <f>IF($B2454="","",SUMIFS(dAmt,dCust,$B2454,dPer,"&gt;="&amp;pyFrom,dPer,"&lt;="&amp;pyTo,dAmt,"&gt;-1E+300",dFlt1,critFlt1,dFlt2,critFlt2,dFlt3,critFlt3))</f>
        <v/>
      </c>
      <c r="D2454" t="str">
        <f>IF($B2454="","",SUMIFS(dAmt,dCust,$B2454,dPer,"&gt;="&amp;cyFrom,dPer,"&lt;="&amp;cyTo,dAmt,"&gt;-1E+300",dFlt1,critFlt1,dFlt2,critFlt2,dFlt3,critFlt3))</f>
        <v/>
      </c>
      <c r="E2454" t="str">
        <f>IF($B2454="","",SUMIFS(dQty,dCust,$B2454,dPer,"&gt;="&amp;pyFrom,dPer,"&lt;="&amp;pyTo,dQty,"&gt;-1E+300",dFlt1,critFlt1,dFlt2,critFlt2,dFlt3,critFlt3))</f>
        <v/>
      </c>
      <c r="F2454" t="str">
        <f>IF($B2454="","",SUMIFS(dQty,dCust,$B2454,dPer,"&gt;="&amp;cyFrom,dPer,"&lt;="&amp;cyTo,dQty,"&gt;-1E+300",dFlt1,critFlt1,dFlt2,critFlt2,dFlt3,critFlt3))</f>
        <v/>
      </c>
      <c r="G2454">
        <f>IF($B2454="",0,IFERROR(IF(OR(C2454&lt;&gt;0,D2454&lt;&gt;0,E2454&lt;&gt;0,F2454&lt;&gt;0),1,0),1))</f>
        <v>0</v>
      </c>
      <c r="H2454" t="str">
        <f>IF(OR(G2454=0,E2454=0),"",C2454/E2454)</f>
        <v/>
      </c>
      <c r="I2454" t="str">
        <f>IF(OR(G2454=0,F2454=0),"",D2454/F2454)</f>
        <v/>
      </c>
      <c r="J2454" t="str">
        <f>IF(OR(H2454="",I2454=""),"",IF(H2454=0,"",I2454/H2454-1))</f>
        <v/>
      </c>
      <c r="K2454" t="str">
        <f>IF($B2454="","",IFERROR(IF(G2454=0,-2E+300,CHOOSE(sortIdx,ROUND(D2454,0),IF(J2454="",-1E+300,ROUND(-J2454,6)),IF(J2454="",-1E+300,ROUND(J2454,6)))),-1.5E+300))</f>
        <v/>
      </c>
      <c r="L2454" t="str">
        <f>IF(K2454="","",RANK(K2454,$K$2:$K$3001,0)+COUNTIF($K$2:K2454,K2454)-1)</f>
        <v/>
      </c>
    </row>
    <row r="2455">
      <c r="B2455" t="str">
        <f>IFERROR(IF(A2455="","","="&amp;SUBSTITUTE(SUBSTITUTE(SUBSTITUTE(A2455,"~","~~"),"*","~*"),"?","~?")),"")</f>
        <v/>
      </c>
      <c r="C2455" t="str">
        <f>IF($B2455="","",SUMIFS(dAmt,dCust,$B2455,dPer,"&gt;="&amp;pyFrom,dPer,"&lt;="&amp;pyTo,dAmt,"&gt;-1E+300",dFlt1,critFlt1,dFlt2,critFlt2,dFlt3,critFlt3))</f>
        <v/>
      </c>
      <c r="D2455" t="str">
        <f>IF($B2455="","",SUMIFS(dAmt,dCust,$B2455,dPer,"&gt;="&amp;cyFrom,dPer,"&lt;="&amp;cyTo,dAmt,"&gt;-1E+300",dFlt1,critFlt1,dFlt2,critFlt2,dFlt3,critFlt3))</f>
        <v/>
      </c>
      <c r="E2455" t="str">
        <f>IF($B2455="","",SUMIFS(dQty,dCust,$B2455,dPer,"&gt;="&amp;pyFrom,dPer,"&lt;="&amp;pyTo,dQty,"&gt;-1E+300",dFlt1,critFlt1,dFlt2,critFlt2,dFlt3,critFlt3))</f>
        <v/>
      </c>
      <c r="F2455" t="str">
        <f>IF($B2455="","",SUMIFS(dQty,dCust,$B2455,dPer,"&gt;="&amp;cyFrom,dPer,"&lt;="&amp;cyTo,dQty,"&gt;-1E+300",dFlt1,critFlt1,dFlt2,critFlt2,dFlt3,critFlt3))</f>
        <v/>
      </c>
      <c r="G2455">
        <f>IF($B2455="",0,IFERROR(IF(OR(C2455&lt;&gt;0,D2455&lt;&gt;0,E2455&lt;&gt;0,F2455&lt;&gt;0),1,0),1))</f>
        <v>0</v>
      </c>
      <c r="H2455" t="str">
        <f>IF(OR(G2455=0,E2455=0),"",C2455/E2455)</f>
        <v/>
      </c>
      <c r="I2455" t="str">
        <f>IF(OR(G2455=0,F2455=0),"",D2455/F2455)</f>
        <v/>
      </c>
      <c r="J2455" t="str">
        <f>IF(OR(H2455="",I2455=""),"",IF(H2455=0,"",I2455/H2455-1))</f>
        <v/>
      </c>
      <c r="K2455" t="str">
        <f>IF($B2455="","",IFERROR(IF(G2455=0,-2E+300,CHOOSE(sortIdx,ROUND(D2455,0),IF(J2455="",-1E+300,ROUND(-J2455,6)),IF(J2455="",-1E+300,ROUND(J2455,6)))),-1.5E+300))</f>
        <v/>
      </c>
      <c r="L2455" t="str">
        <f>IF(K2455="","",RANK(K2455,$K$2:$K$3001,0)+COUNTIF($K$2:K2455,K2455)-1)</f>
        <v/>
      </c>
    </row>
    <row r="2456">
      <c r="B2456" t="str">
        <f>IFERROR(IF(A2456="","","="&amp;SUBSTITUTE(SUBSTITUTE(SUBSTITUTE(A2456,"~","~~"),"*","~*"),"?","~?")),"")</f>
        <v/>
      </c>
      <c r="C2456" t="str">
        <f>IF($B2456="","",SUMIFS(dAmt,dCust,$B2456,dPer,"&gt;="&amp;pyFrom,dPer,"&lt;="&amp;pyTo,dAmt,"&gt;-1E+300",dFlt1,critFlt1,dFlt2,critFlt2,dFlt3,critFlt3))</f>
        <v/>
      </c>
      <c r="D2456" t="str">
        <f>IF($B2456="","",SUMIFS(dAmt,dCust,$B2456,dPer,"&gt;="&amp;cyFrom,dPer,"&lt;="&amp;cyTo,dAmt,"&gt;-1E+300",dFlt1,critFlt1,dFlt2,critFlt2,dFlt3,critFlt3))</f>
        <v/>
      </c>
      <c r="E2456" t="str">
        <f>IF($B2456="","",SUMIFS(dQty,dCust,$B2456,dPer,"&gt;="&amp;pyFrom,dPer,"&lt;="&amp;pyTo,dQty,"&gt;-1E+300",dFlt1,critFlt1,dFlt2,critFlt2,dFlt3,critFlt3))</f>
        <v/>
      </c>
      <c r="F2456" t="str">
        <f>IF($B2456="","",SUMIFS(dQty,dCust,$B2456,dPer,"&gt;="&amp;cyFrom,dPer,"&lt;="&amp;cyTo,dQty,"&gt;-1E+300",dFlt1,critFlt1,dFlt2,critFlt2,dFlt3,critFlt3))</f>
        <v/>
      </c>
      <c r="G2456">
        <f>IF($B2456="",0,IFERROR(IF(OR(C2456&lt;&gt;0,D2456&lt;&gt;0,E2456&lt;&gt;0,F2456&lt;&gt;0),1,0),1))</f>
        <v>0</v>
      </c>
      <c r="H2456" t="str">
        <f>IF(OR(G2456=0,E2456=0),"",C2456/E2456)</f>
        <v/>
      </c>
      <c r="I2456" t="str">
        <f>IF(OR(G2456=0,F2456=0),"",D2456/F2456)</f>
        <v/>
      </c>
      <c r="J2456" t="str">
        <f>IF(OR(H2456="",I2456=""),"",IF(H2456=0,"",I2456/H2456-1))</f>
        <v/>
      </c>
      <c r="K2456" t="str">
        <f>IF($B2456="","",IFERROR(IF(G2456=0,-2E+300,CHOOSE(sortIdx,ROUND(D2456,0),IF(J2456="",-1E+300,ROUND(-J2456,6)),IF(J2456="",-1E+300,ROUND(J2456,6)))),-1.5E+300))</f>
        <v/>
      </c>
      <c r="L2456" t="str">
        <f>IF(K2456="","",RANK(K2456,$K$2:$K$3001,0)+COUNTIF($K$2:K2456,K2456)-1)</f>
        <v/>
      </c>
    </row>
    <row r="2457">
      <c r="B2457" t="str">
        <f>IFERROR(IF(A2457="","","="&amp;SUBSTITUTE(SUBSTITUTE(SUBSTITUTE(A2457,"~","~~"),"*","~*"),"?","~?")),"")</f>
        <v/>
      </c>
      <c r="C2457" t="str">
        <f>IF($B2457="","",SUMIFS(dAmt,dCust,$B2457,dPer,"&gt;="&amp;pyFrom,dPer,"&lt;="&amp;pyTo,dAmt,"&gt;-1E+300",dFlt1,critFlt1,dFlt2,critFlt2,dFlt3,critFlt3))</f>
        <v/>
      </c>
      <c r="D2457" t="str">
        <f>IF($B2457="","",SUMIFS(dAmt,dCust,$B2457,dPer,"&gt;="&amp;cyFrom,dPer,"&lt;="&amp;cyTo,dAmt,"&gt;-1E+300",dFlt1,critFlt1,dFlt2,critFlt2,dFlt3,critFlt3))</f>
        <v/>
      </c>
      <c r="E2457" t="str">
        <f>IF($B2457="","",SUMIFS(dQty,dCust,$B2457,dPer,"&gt;="&amp;pyFrom,dPer,"&lt;="&amp;pyTo,dQty,"&gt;-1E+300",dFlt1,critFlt1,dFlt2,critFlt2,dFlt3,critFlt3))</f>
        <v/>
      </c>
      <c r="F2457" t="str">
        <f>IF($B2457="","",SUMIFS(dQty,dCust,$B2457,dPer,"&gt;="&amp;cyFrom,dPer,"&lt;="&amp;cyTo,dQty,"&gt;-1E+300",dFlt1,critFlt1,dFlt2,critFlt2,dFlt3,critFlt3))</f>
        <v/>
      </c>
      <c r="G2457">
        <f>IF($B2457="",0,IFERROR(IF(OR(C2457&lt;&gt;0,D2457&lt;&gt;0,E2457&lt;&gt;0,F2457&lt;&gt;0),1,0),1))</f>
        <v>0</v>
      </c>
      <c r="H2457" t="str">
        <f>IF(OR(G2457=0,E2457=0),"",C2457/E2457)</f>
        <v/>
      </c>
      <c r="I2457" t="str">
        <f>IF(OR(G2457=0,F2457=0),"",D2457/F2457)</f>
        <v/>
      </c>
      <c r="J2457" t="str">
        <f>IF(OR(H2457="",I2457=""),"",IF(H2457=0,"",I2457/H2457-1))</f>
        <v/>
      </c>
      <c r="K2457" t="str">
        <f>IF($B2457="","",IFERROR(IF(G2457=0,-2E+300,CHOOSE(sortIdx,ROUND(D2457,0),IF(J2457="",-1E+300,ROUND(-J2457,6)),IF(J2457="",-1E+300,ROUND(J2457,6)))),-1.5E+300))</f>
        <v/>
      </c>
      <c r="L2457" t="str">
        <f>IF(K2457="","",RANK(K2457,$K$2:$K$3001,0)+COUNTIF($K$2:K2457,K2457)-1)</f>
        <v/>
      </c>
    </row>
    <row r="2458">
      <c r="B2458" t="str">
        <f>IFERROR(IF(A2458="","","="&amp;SUBSTITUTE(SUBSTITUTE(SUBSTITUTE(A2458,"~","~~"),"*","~*"),"?","~?")),"")</f>
        <v/>
      </c>
      <c r="C2458" t="str">
        <f>IF($B2458="","",SUMIFS(dAmt,dCust,$B2458,dPer,"&gt;="&amp;pyFrom,dPer,"&lt;="&amp;pyTo,dAmt,"&gt;-1E+300",dFlt1,critFlt1,dFlt2,critFlt2,dFlt3,critFlt3))</f>
        <v/>
      </c>
      <c r="D2458" t="str">
        <f>IF($B2458="","",SUMIFS(dAmt,dCust,$B2458,dPer,"&gt;="&amp;cyFrom,dPer,"&lt;="&amp;cyTo,dAmt,"&gt;-1E+300",dFlt1,critFlt1,dFlt2,critFlt2,dFlt3,critFlt3))</f>
        <v/>
      </c>
      <c r="E2458" t="str">
        <f>IF($B2458="","",SUMIFS(dQty,dCust,$B2458,dPer,"&gt;="&amp;pyFrom,dPer,"&lt;="&amp;pyTo,dQty,"&gt;-1E+300",dFlt1,critFlt1,dFlt2,critFlt2,dFlt3,critFlt3))</f>
        <v/>
      </c>
      <c r="F2458" t="str">
        <f>IF($B2458="","",SUMIFS(dQty,dCust,$B2458,dPer,"&gt;="&amp;cyFrom,dPer,"&lt;="&amp;cyTo,dQty,"&gt;-1E+300",dFlt1,critFlt1,dFlt2,critFlt2,dFlt3,critFlt3))</f>
        <v/>
      </c>
      <c r="G2458">
        <f>IF($B2458="",0,IFERROR(IF(OR(C2458&lt;&gt;0,D2458&lt;&gt;0,E2458&lt;&gt;0,F2458&lt;&gt;0),1,0),1))</f>
        <v>0</v>
      </c>
      <c r="H2458" t="str">
        <f>IF(OR(G2458=0,E2458=0),"",C2458/E2458)</f>
        <v/>
      </c>
      <c r="I2458" t="str">
        <f>IF(OR(G2458=0,F2458=0),"",D2458/F2458)</f>
        <v/>
      </c>
      <c r="J2458" t="str">
        <f>IF(OR(H2458="",I2458=""),"",IF(H2458=0,"",I2458/H2458-1))</f>
        <v/>
      </c>
      <c r="K2458" t="str">
        <f>IF($B2458="","",IFERROR(IF(G2458=0,-2E+300,CHOOSE(sortIdx,ROUND(D2458,0),IF(J2458="",-1E+300,ROUND(-J2458,6)),IF(J2458="",-1E+300,ROUND(J2458,6)))),-1.5E+300))</f>
        <v/>
      </c>
      <c r="L2458" t="str">
        <f>IF(K2458="","",RANK(K2458,$K$2:$K$3001,0)+COUNTIF($K$2:K2458,K2458)-1)</f>
        <v/>
      </c>
    </row>
    <row r="2459">
      <c r="B2459" t="str">
        <f>IFERROR(IF(A2459="","","="&amp;SUBSTITUTE(SUBSTITUTE(SUBSTITUTE(A2459,"~","~~"),"*","~*"),"?","~?")),"")</f>
        <v/>
      </c>
      <c r="C2459" t="str">
        <f>IF($B2459="","",SUMIFS(dAmt,dCust,$B2459,dPer,"&gt;="&amp;pyFrom,dPer,"&lt;="&amp;pyTo,dAmt,"&gt;-1E+300",dFlt1,critFlt1,dFlt2,critFlt2,dFlt3,critFlt3))</f>
        <v/>
      </c>
      <c r="D2459" t="str">
        <f>IF($B2459="","",SUMIFS(dAmt,dCust,$B2459,dPer,"&gt;="&amp;cyFrom,dPer,"&lt;="&amp;cyTo,dAmt,"&gt;-1E+300",dFlt1,critFlt1,dFlt2,critFlt2,dFlt3,critFlt3))</f>
        <v/>
      </c>
      <c r="E2459" t="str">
        <f>IF($B2459="","",SUMIFS(dQty,dCust,$B2459,dPer,"&gt;="&amp;pyFrom,dPer,"&lt;="&amp;pyTo,dQty,"&gt;-1E+300",dFlt1,critFlt1,dFlt2,critFlt2,dFlt3,critFlt3))</f>
        <v/>
      </c>
      <c r="F2459" t="str">
        <f>IF($B2459="","",SUMIFS(dQty,dCust,$B2459,dPer,"&gt;="&amp;cyFrom,dPer,"&lt;="&amp;cyTo,dQty,"&gt;-1E+300",dFlt1,critFlt1,dFlt2,critFlt2,dFlt3,critFlt3))</f>
        <v/>
      </c>
      <c r="G2459">
        <f>IF($B2459="",0,IFERROR(IF(OR(C2459&lt;&gt;0,D2459&lt;&gt;0,E2459&lt;&gt;0,F2459&lt;&gt;0),1,0),1))</f>
        <v>0</v>
      </c>
      <c r="H2459" t="str">
        <f>IF(OR(G2459=0,E2459=0),"",C2459/E2459)</f>
        <v/>
      </c>
      <c r="I2459" t="str">
        <f>IF(OR(G2459=0,F2459=0),"",D2459/F2459)</f>
        <v/>
      </c>
      <c r="J2459" t="str">
        <f>IF(OR(H2459="",I2459=""),"",IF(H2459=0,"",I2459/H2459-1))</f>
        <v/>
      </c>
      <c r="K2459" t="str">
        <f>IF($B2459="","",IFERROR(IF(G2459=0,-2E+300,CHOOSE(sortIdx,ROUND(D2459,0),IF(J2459="",-1E+300,ROUND(-J2459,6)),IF(J2459="",-1E+300,ROUND(J2459,6)))),-1.5E+300))</f>
        <v/>
      </c>
      <c r="L2459" t="str">
        <f>IF(K2459="","",RANK(K2459,$K$2:$K$3001,0)+COUNTIF($K$2:K2459,K2459)-1)</f>
        <v/>
      </c>
    </row>
    <row r="2460">
      <c r="B2460" t="str">
        <f>IFERROR(IF(A2460="","","="&amp;SUBSTITUTE(SUBSTITUTE(SUBSTITUTE(A2460,"~","~~"),"*","~*"),"?","~?")),"")</f>
        <v/>
      </c>
      <c r="C2460" t="str">
        <f>IF($B2460="","",SUMIFS(dAmt,dCust,$B2460,dPer,"&gt;="&amp;pyFrom,dPer,"&lt;="&amp;pyTo,dAmt,"&gt;-1E+300",dFlt1,critFlt1,dFlt2,critFlt2,dFlt3,critFlt3))</f>
        <v/>
      </c>
      <c r="D2460" t="str">
        <f>IF($B2460="","",SUMIFS(dAmt,dCust,$B2460,dPer,"&gt;="&amp;cyFrom,dPer,"&lt;="&amp;cyTo,dAmt,"&gt;-1E+300",dFlt1,critFlt1,dFlt2,critFlt2,dFlt3,critFlt3))</f>
        <v/>
      </c>
      <c r="E2460" t="str">
        <f>IF($B2460="","",SUMIFS(dQty,dCust,$B2460,dPer,"&gt;="&amp;pyFrom,dPer,"&lt;="&amp;pyTo,dQty,"&gt;-1E+300",dFlt1,critFlt1,dFlt2,critFlt2,dFlt3,critFlt3))</f>
        <v/>
      </c>
      <c r="F2460" t="str">
        <f>IF($B2460="","",SUMIFS(dQty,dCust,$B2460,dPer,"&gt;="&amp;cyFrom,dPer,"&lt;="&amp;cyTo,dQty,"&gt;-1E+300",dFlt1,critFlt1,dFlt2,critFlt2,dFlt3,critFlt3))</f>
        <v/>
      </c>
      <c r="G2460">
        <f>IF($B2460="",0,IFERROR(IF(OR(C2460&lt;&gt;0,D2460&lt;&gt;0,E2460&lt;&gt;0,F2460&lt;&gt;0),1,0),1))</f>
        <v>0</v>
      </c>
      <c r="H2460" t="str">
        <f>IF(OR(G2460=0,E2460=0),"",C2460/E2460)</f>
        <v/>
      </c>
      <c r="I2460" t="str">
        <f>IF(OR(G2460=0,F2460=0),"",D2460/F2460)</f>
        <v/>
      </c>
      <c r="J2460" t="str">
        <f>IF(OR(H2460="",I2460=""),"",IF(H2460=0,"",I2460/H2460-1))</f>
        <v/>
      </c>
      <c r="K2460" t="str">
        <f>IF($B2460="","",IFERROR(IF(G2460=0,-2E+300,CHOOSE(sortIdx,ROUND(D2460,0),IF(J2460="",-1E+300,ROUND(-J2460,6)),IF(J2460="",-1E+300,ROUND(J2460,6)))),-1.5E+300))</f>
        <v/>
      </c>
      <c r="L2460" t="str">
        <f>IF(K2460="","",RANK(K2460,$K$2:$K$3001,0)+COUNTIF($K$2:K2460,K2460)-1)</f>
        <v/>
      </c>
    </row>
    <row r="2461">
      <c r="B2461" t="str">
        <f>IFERROR(IF(A2461="","","="&amp;SUBSTITUTE(SUBSTITUTE(SUBSTITUTE(A2461,"~","~~"),"*","~*"),"?","~?")),"")</f>
        <v/>
      </c>
      <c r="C2461" t="str">
        <f>IF($B2461="","",SUMIFS(dAmt,dCust,$B2461,dPer,"&gt;="&amp;pyFrom,dPer,"&lt;="&amp;pyTo,dAmt,"&gt;-1E+300",dFlt1,critFlt1,dFlt2,critFlt2,dFlt3,critFlt3))</f>
        <v/>
      </c>
      <c r="D2461" t="str">
        <f>IF($B2461="","",SUMIFS(dAmt,dCust,$B2461,dPer,"&gt;="&amp;cyFrom,dPer,"&lt;="&amp;cyTo,dAmt,"&gt;-1E+300",dFlt1,critFlt1,dFlt2,critFlt2,dFlt3,critFlt3))</f>
        <v/>
      </c>
      <c r="E2461" t="str">
        <f>IF($B2461="","",SUMIFS(dQty,dCust,$B2461,dPer,"&gt;="&amp;pyFrom,dPer,"&lt;="&amp;pyTo,dQty,"&gt;-1E+300",dFlt1,critFlt1,dFlt2,critFlt2,dFlt3,critFlt3))</f>
        <v/>
      </c>
      <c r="F2461" t="str">
        <f>IF($B2461="","",SUMIFS(dQty,dCust,$B2461,dPer,"&gt;="&amp;cyFrom,dPer,"&lt;="&amp;cyTo,dQty,"&gt;-1E+300",dFlt1,critFlt1,dFlt2,critFlt2,dFlt3,critFlt3))</f>
        <v/>
      </c>
      <c r="G2461">
        <f>IF($B2461="",0,IFERROR(IF(OR(C2461&lt;&gt;0,D2461&lt;&gt;0,E2461&lt;&gt;0,F2461&lt;&gt;0),1,0),1))</f>
        <v>0</v>
      </c>
      <c r="H2461" t="str">
        <f>IF(OR(G2461=0,E2461=0),"",C2461/E2461)</f>
        <v/>
      </c>
      <c r="I2461" t="str">
        <f>IF(OR(G2461=0,F2461=0),"",D2461/F2461)</f>
        <v/>
      </c>
      <c r="J2461" t="str">
        <f>IF(OR(H2461="",I2461=""),"",IF(H2461=0,"",I2461/H2461-1))</f>
        <v/>
      </c>
      <c r="K2461" t="str">
        <f>IF($B2461="","",IFERROR(IF(G2461=0,-2E+300,CHOOSE(sortIdx,ROUND(D2461,0),IF(J2461="",-1E+300,ROUND(-J2461,6)),IF(J2461="",-1E+300,ROUND(J2461,6)))),-1.5E+300))</f>
        <v/>
      </c>
      <c r="L2461" t="str">
        <f>IF(K2461="","",RANK(K2461,$K$2:$K$3001,0)+COUNTIF($K$2:K2461,K2461)-1)</f>
        <v/>
      </c>
    </row>
    <row r="2462">
      <c r="B2462" t="str">
        <f>IFERROR(IF(A2462="","","="&amp;SUBSTITUTE(SUBSTITUTE(SUBSTITUTE(A2462,"~","~~"),"*","~*"),"?","~?")),"")</f>
        <v/>
      </c>
      <c r="C2462" t="str">
        <f>IF($B2462="","",SUMIFS(dAmt,dCust,$B2462,dPer,"&gt;="&amp;pyFrom,dPer,"&lt;="&amp;pyTo,dAmt,"&gt;-1E+300",dFlt1,critFlt1,dFlt2,critFlt2,dFlt3,critFlt3))</f>
        <v/>
      </c>
      <c r="D2462" t="str">
        <f>IF($B2462="","",SUMIFS(dAmt,dCust,$B2462,dPer,"&gt;="&amp;cyFrom,dPer,"&lt;="&amp;cyTo,dAmt,"&gt;-1E+300",dFlt1,critFlt1,dFlt2,critFlt2,dFlt3,critFlt3))</f>
        <v/>
      </c>
      <c r="E2462" t="str">
        <f>IF($B2462="","",SUMIFS(dQty,dCust,$B2462,dPer,"&gt;="&amp;pyFrom,dPer,"&lt;="&amp;pyTo,dQty,"&gt;-1E+300",dFlt1,critFlt1,dFlt2,critFlt2,dFlt3,critFlt3))</f>
        <v/>
      </c>
      <c r="F2462" t="str">
        <f>IF($B2462="","",SUMIFS(dQty,dCust,$B2462,dPer,"&gt;="&amp;cyFrom,dPer,"&lt;="&amp;cyTo,dQty,"&gt;-1E+300",dFlt1,critFlt1,dFlt2,critFlt2,dFlt3,critFlt3))</f>
        <v/>
      </c>
      <c r="G2462">
        <f>IF($B2462="",0,IFERROR(IF(OR(C2462&lt;&gt;0,D2462&lt;&gt;0,E2462&lt;&gt;0,F2462&lt;&gt;0),1,0),1))</f>
        <v>0</v>
      </c>
      <c r="H2462" t="str">
        <f>IF(OR(G2462=0,E2462=0),"",C2462/E2462)</f>
        <v/>
      </c>
      <c r="I2462" t="str">
        <f>IF(OR(G2462=0,F2462=0),"",D2462/F2462)</f>
        <v/>
      </c>
      <c r="J2462" t="str">
        <f>IF(OR(H2462="",I2462=""),"",IF(H2462=0,"",I2462/H2462-1))</f>
        <v/>
      </c>
      <c r="K2462" t="str">
        <f>IF($B2462="","",IFERROR(IF(G2462=0,-2E+300,CHOOSE(sortIdx,ROUND(D2462,0),IF(J2462="",-1E+300,ROUND(-J2462,6)),IF(J2462="",-1E+300,ROUND(J2462,6)))),-1.5E+300))</f>
        <v/>
      </c>
      <c r="L2462" t="str">
        <f>IF(K2462="","",RANK(K2462,$K$2:$K$3001,0)+COUNTIF($K$2:K2462,K2462)-1)</f>
        <v/>
      </c>
    </row>
    <row r="2463">
      <c r="B2463" t="str">
        <f>IFERROR(IF(A2463="","","="&amp;SUBSTITUTE(SUBSTITUTE(SUBSTITUTE(A2463,"~","~~"),"*","~*"),"?","~?")),"")</f>
        <v/>
      </c>
      <c r="C2463" t="str">
        <f>IF($B2463="","",SUMIFS(dAmt,dCust,$B2463,dPer,"&gt;="&amp;pyFrom,dPer,"&lt;="&amp;pyTo,dAmt,"&gt;-1E+300",dFlt1,critFlt1,dFlt2,critFlt2,dFlt3,critFlt3))</f>
        <v/>
      </c>
      <c r="D2463" t="str">
        <f>IF($B2463="","",SUMIFS(dAmt,dCust,$B2463,dPer,"&gt;="&amp;cyFrom,dPer,"&lt;="&amp;cyTo,dAmt,"&gt;-1E+300",dFlt1,critFlt1,dFlt2,critFlt2,dFlt3,critFlt3))</f>
        <v/>
      </c>
      <c r="E2463" t="str">
        <f>IF($B2463="","",SUMIFS(dQty,dCust,$B2463,dPer,"&gt;="&amp;pyFrom,dPer,"&lt;="&amp;pyTo,dQty,"&gt;-1E+300",dFlt1,critFlt1,dFlt2,critFlt2,dFlt3,critFlt3))</f>
        <v/>
      </c>
      <c r="F2463" t="str">
        <f>IF($B2463="","",SUMIFS(dQty,dCust,$B2463,dPer,"&gt;="&amp;cyFrom,dPer,"&lt;="&amp;cyTo,dQty,"&gt;-1E+300",dFlt1,critFlt1,dFlt2,critFlt2,dFlt3,critFlt3))</f>
        <v/>
      </c>
      <c r="G2463">
        <f>IF($B2463="",0,IFERROR(IF(OR(C2463&lt;&gt;0,D2463&lt;&gt;0,E2463&lt;&gt;0,F2463&lt;&gt;0),1,0),1))</f>
        <v>0</v>
      </c>
      <c r="H2463" t="str">
        <f>IF(OR(G2463=0,E2463=0),"",C2463/E2463)</f>
        <v/>
      </c>
      <c r="I2463" t="str">
        <f>IF(OR(G2463=0,F2463=0),"",D2463/F2463)</f>
        <v/>
      </c>
      <c r="J2463" t="str">
        <f>IF(OR(H2463="",I2463=""),"",IF(H2463=0,"",I2463/H2463-1))</f>
        <v/>
      </c>
      <c r="K2463" t="str">
        <f>IF($B2463="","",IFERROR(IF(G2463=0,-2E+300,CHOOSE(sortIdx,ROUND(D2463,0),IF(J2463="",-1E+300,ROUND(-J2463,6)),IF(J2463="",-1E+300,ROUND(J2463,6)))),-1.5E+300))</f>
        <v/>
      </c>
      <c r="L2463" t="str">
        <f>IF(K2463="","",RANK(K2463,$K$2:$K$3001,0)+COUNTIF($K$2:K2463,K2463)-1)</f>
        <v/>
      </c>
    </row>
    <row r="2464">
      <c r="B2464" t="str">
        <f>IFERROR(IF(A2464="","","="&amp;SUBSTITUTE(SUBSTITUTE(SUBSTITUTE(A2464,"~","~~"),"*","~*"),"?","~?")),"")</f>
        <v/>
      </c>
      <c r="C2464" t="str">
        <f>IF($B2464="","",SUMIFS(dAmt,dCust,$B2464,dPer,"&gt;="&amp;pyFrom,dPer,"&lt;="&amp;pyTo,dAmt,"&gt;-1E+300",dFlt1,critFlt1,dFlt2,critFlt2,dFlt3,critFlt3))</f>
        <v/>
      </c>
      <c r="D2464" t="str">
        <f>IF($B2464="","",SUMIFS(dAmt,dCust,$B2464,dPer,"&gt;="&amp;cyFrom,dPer,"&lt;="&amp;cyTo,dAmt,"&gt;-1E+300",dFlt1,critFlt1,dFlt2,critFlt2,dFlt3,critFlt3))</f>
        <v/>
      </c>
      <c r="E2464" t="str">
        <f>IF($B2464="","",SUMIFS(dQty,dCust,$B2464,dPer,"&gt;="&amp;pyFrom,dPer,"&lt;="&amp;pyTo,dQty,"&gt;-1E+300",dFlt1,critFlt1,dFlt2,critFlt2,dFlt3,critFlt3))</f>
        <v/>
      </c>
      <c r="F2464" t="str">
        <f>IF($B2464="","",SUMIFS(dQty,dCust,$B2464,dPer,"&gt;="&amp;cyFrom,dPer,"&lt;="&amp;cyTo,dQty,"&gt;-1E+300",dFlt1,critFlt1,dFlt2,critFlt2,dFlt3,critFlt3))</f>
        <v/>
      </c>
      <c r="G2464">
        <f>IF($B2464="",0,IFERROR(IF(OR(C2464&lt;&gt;0,D2464&lt;&gt;0,E2464&lt;&gt;0,F2464&lt;&gt;0),1,0),1))</f>
        <v>0</v>
      </c>
      <c r="H2464" t="str">
        <f>IF(OR(G2464=0,E2464=0),"",C2464/E2464)</f>
        <v/>
      </c>
      <c r="I2464" t="str">
        <f>IF(OR(G2464=0,F2464=0),"",D2464/F2464)</f>
        <v/>
      </c>
      <c r="J2464" t="str">
        <f>IF(OR(H2464="",I2464=""),"",IF(H2464=0,"",I2464/H2464-1))</f>
        <v/>
      </c>
      <c r="K2464" t="str">
        <f>IF($B2464="","",IFERROR(IF(G2464=0,-2E+300,CHOOSE(sortIdx,ROUND(D2464,0),IF(J2464="",-1E+300,ROUND(-J2464,6)),IF(J2464="",-1E+300,ROUND(J2464,6)))),-1.5E+300))</f>
        <v/>
      </c>
      <c r="L2464" t="str">
        <f>IF(K2464="","",RANK(K2464,$K$2:$K$3001,0)+COUNTIF($K$2:K2464,K2464)-1)</f>
        <v/>
      </c>
    </row>
    <row r="2465">
      <c r="B2465" t="str">
        <f>IFERROR(IF(A2465="","","="&amp;SUBSTITUTE(SUBSTITUTE(SUBSTITUTE(A2465,"~","~~"),"*","~*"),"?","~?")),"")</f>
        <v/>
      </c>
      <c r="C2465" t="str">
        <f>IF($B2465="","",SUMIFS(dAmt,dCust,$B2465,dPer,"&gt;="&amp;pyFrom,dPer,"&lt;="&amp;pyTo,dAmt,"&gt;-1E+300",dFlt1,critFlt1,dFlt2,critFlt2,dFlt3,critFlt3))</f>
        <v/>
      </c>
      <c r="D2465" t="str">
        <f>IF($B2465="","",SUMIFS(dAmt,dCust,$B2465,dPer,"&gt;="&amp;cyFrom,dPer,"&lt;="&amp;cyTo,dAmt,"&gt;-1E+300",dFlt1,critFlt1,dFlt2,critFlt2,dFlt3,critFlt3))</f>
        <v/>
      </c>
      <c r="E2465" t="str">
        <f>IF($B2465="","",SUMIFS(dQty,dCust,$B2465,dPer,"&gt;="&amp;pyFrom,dPer,"&lt;="&amp;pyTo,dQty,"&gt;-1E+300",dFlt1,critFlt1,dFlt2,critFlt2,dFlt3,critFlt3))</f>
        <v/>
      </c>
      <c r="F2465" t="str">
        <f>IF($B2465="","",SUMIFS(dQty,dCust,$B2465,dPer,"&gt;="&amp;cyFrom,dPer,"&lt;="&amp;cyTo,dQty,"&gt;-1E+300",dFlt1,critFlt1,dFlt2,critFlt2,dFlt3,critFlt3))</f>
        <v/>
      </c>
      <c r="G2465">
        <f>IF($B2465="",0,IFERROR(IF(OR(C2465&lt;&gt;0,D2465&lt;&gt;0,E2465&lt;&gt;0,F2465&lt;&gt;0),1,0),1))</f>
        <v>0</v>
      </c>
      <c r="H2465" t="str">
        <f>IF(OR(G2465=0,E2465=0),"",C2465/E2465)</f>
        <v/>
      </c>
      <c r="I2465" t="str">
        <f>IF(OR(G2465=0,F2465=0),"",D2465/F2465)</f>
        <v/>
      </c>
      <c r="J2465" t="str">
        <f>IF(OR(H2465="",I2465=""),"",IF(H2465=0,"",I2465/H2465-1))</f>
        <v/>
      </c>
      <c r="K2465" t="str">
        <f>IF($B2465="","",IFERROR(IF(G2465=0,-2E+300,CHOOSE(sortIdx,ROUND(D2465,0),IF(J2465="",-1E+300,ROUND(-J2465,6)),IF(J2465="",-1E+300,ROUND(J2465,6)))),-1.5E+300))</f>
        <v/>
      </c>
      <c r="L2465" t="str">
        <f>IF(K2465="","",RANK(K2465,$K$2:$K$3001,0)+COUNTIF($K$2:K2465,K2465)-1)</f>
        <v/>
      </c>
    </row>
    <row r="2466">
      <c r="B2466" t="str">
        <f>IFERROR(IF(A2466="","","="&amp;SUBSTITUTE(SUBSTITUTE(SUBSTITUTE(A2466,"~","~~"),"*","~*"),"?","~?")),"")</f>
        <v/>
      </c>
      <c r="C2466" t="str">
        <f>IF($B2466="","",SUMIFS(dAmt,dCust,$B2466,dPer,"&gt;="&amp;pyFrom,dPer,"&lt;="&amp;pyTo,dAmt,"&gt;-1E+300",dFlt1,critFlt1,dFlt2,critFlt2,dFlt3,critFlt3))</f>
        <v/>
      </c>
      <c r="D2466" t="str">
        <f>IF($B2466="","",SUMIFS(dAmt,dCust,$B2466,dPer,"&gt;="&amp;cyFrom,dPer,"&lt;="&amp;cyTo,dAmt,"&gt;-1E+300",dFlt1,critFlt1,dFlt2,critFlt2,dFlt3,critFlt3))</f>
        <v/>
      </c>
      <c r="E2466" t="str">
        <f>IF($B2466="","",SUMIFS(dQty,dCust,$B2466,dPer,"&gt;="&amp;pyFrom,dPer,"&lt;="&amp;pyTo,dQty,"&gt;-1E+300",dFlt1,critFlt1,dFlt2,critFlt2,dFlt3,critFlt3))</f>
        <v/>
      </c>
      <c r="F2466" t="str">
        <f>IF($B2466="","",SUMIFS(dQty,dCust,$B2466,dPer,"&gt;="&amp;cyFrom,dPer,"&lt;="&amp;cyTo,dQty,"&gt;-1E+300",dFlt1,critFlt1,dFlt2,critFlt2,dFlt3,critFlt3))</f>
        <v/>
      </c>
      <c r="G2466">
        <f>IF($B2466="",0,IFERROR(IF(OR(C2466&lt;&gt;0,D2466&lt;&gt;0,E2466&lt;&gt;0,F2466&lt;&gt;0),1,0),1))</f>
        <v>0</v>
      </c>
      <c r="H2466" t="str">
        <f>IF(OR(G2466=0,E2466=0),"",C2466/E2466)</f>
        <v/>
      </c>
      <c r="I2466" t="str">
        <f>IF(OR(G2466=0,F2466=0),"",D2466/F2466)</f>
        <v/>
      </c>
      <c r="J2466" t="str">
        <f>IF(OR(H2466="",I2466=""),"",IF(H2466=0,"",I2466/H2466-1))</f>
        <v/>
      </c>
      <c r="K2466" t="str">
        <f>IF($B2466="","",IFERROR(IF(G2466=0,-2E+300,CHOOSE(sortIdx,ROUND(D2466,0),IF(J2466="",-1E+300,ROUND(-J2466,6)),IF(J2466="",-1E+300,ROUND(J2466,6)))),-1.5E+300))</f>
        <v/>
      </c>
      <c r="L2466" t="str">
        <f>IF(K2466="","",RANK(K2466,$K$2:$K$3001,0)+COUNTIF($K$2:K2466,K2466)-1)</f>
        <v/>
      </c>
    </row>
    <row r="2467">
      <c r="B2467" t="str">
        <f>IFERROR(IF(A2467="","","="&amp;SUBSTITUTE(SUBSTITUTE(SUBSTITUTE(A2467,"~","~~"),"*","~*"),"?","~?")),"")</f>
        <v/>
      </c>
      <c r="C2467" t="str">
        <f>IF($B2467="","",SUMIFS(dAmt,dCust,$B2467,dPer,"&gt;="&amp;pyFrom,dPer,"&lt;="&amp;pyTo,dAmt,"&gt;-1E+300",dFlt1,critFlt1,dFlt2,critFlt2,dFlt3,critFlt3))</f>
        <v/>
      </c>
      <c r="D2467" t="str">
        <f>IF($B2467="","",SUMIFS(dAmt,dCust,$B2467,dPer,"&gt;="&amp;cyFrom,dPer,"&lt;="&amp;cyTo,dAmt,"&gt;-1E+300",dFlt1,critFlt1,dFlt2,critFlt2,dFlt3,critFlt3))</f>
        <v/>
      </c>
      <c r="E2467" t="str">
        <f>IF($B2467="","",SUMIFS(dQty,dCust,$B2467,dPer,"&gt;="&amp;pyFrom,dPer,"&lt;="&amp;pyTo,dQty,"&gt;-1E+300",dFlt1,critFlt1,dFlt2,critFlt2,dFlt3,critFlt3))</f>
        <v/>
      </c>
      <c r="F2467" t="str">
        <f>IF($B2467="","",SUMIFS(dQty,dCust,$B2467,dPer,"&gt;="&amp;cyFrom,dPer,"&lt;="&amp;cyTo,dQty,"&gt;-1E+300",dFlt1,critFlt1,dFlt2,critFlt2,dFlt3,critFlt3))</f>
        <v/>
      </c>
      <c r="G2467">
        <f>IF($B2467="",0,IFERROR(IF(OR(C2467&lt;&gt;0,D2467&lt;&gt;0,E2467&lt;&gt;0,F2467&lt;&gt;0),1,0),1))</f>
        <v>0</v>
      </c>
      <c r="H2467" t="str">
        <f>IF(OR(G2467=0,E2467=0),"",C2467/E2467)</f>
        <v/>
      </c>
      <c r="I2467" t="str">
        <f>IF(OR(G2467=0,F2467=0),"",D2467/F2467)</f>
        <v/>
      </c>
      <c r="J2467" t="str">
        <f>IF(OR(H2467="",I2467=""),"",IF(H2467=0,"",I2467/H2467-1))</f>
        <v/>
      </c>
      <c r="K2467" t="str">
        <f>IF($B2467="","",IFERROR(IF(G2467=0,-2E+300,CHOOSE(sortIdx,ROUND(D2467,0),IF(J2467="",-1E+300,ROUND(-J2467,6)),IF(J2467="",-1E+300,ROUND(J2467,6)))),-1.5E+300))</f>
        <v/>
      </c>
      <c r="L2467" t="str">
        <f>IF(K2467="","",RANK(K2467,$K$2:$K$3001,0)+COUNTIF($K$2:K2467,K2467)-1)</f>
        <v/>
      </c>
    </row>
    <row r="2468">
      <c r="B2468" t="str">
        <f>IFERROR(IF(A2468="","","="&amp;SUBSTITUTE(SUBSTITUTE(SUBSTITUTE(A2468,"~","~~"),"*","~*"),"?","~?")),"")</f>
        <v/>
      </c>
      <c r="C2468" t="str">
        <f>IF($B2468="","",SUMIFS(dAmt,dCust,$B2468,dPer,"&gt;="&amp;pyFrom,dPer,"&lt;="&amp;pyTo,dAmt,"&gt;-1E+300",dFlt1,critFlt1,dFlt2,critFlt2,dFlt3,critFlt3))</f>
        <v/>
      </c>
      <c r="D2468" t="str">
        <f>IF($B2468="","",SUMIFS(dAmt,dCust,$B2468,dPer,"&gt;="&amp;cyFrom,dPer,"&lt;="&amp;cyTo,dAmt,"&gt;-1E+300",dFlt1,critFlt1,dFlt2,critFlt2,dFlt3,critFlt3))</f>
        <v/>
      </c>
      <c r="E2468" t="str">
        <f>IF($B2468="","",SUMIFS(dQty,dCust,$B2468,dPer,"&gt;="&amp;pyFrom,dPer,"&lt;="&amp;pyTo,dQty,"&gt;-1E+300",dFlt1,critFlt1,dFlt2,critFlt2,dFlt3,critFlt3))</f>
        <v/>
      </c>
      <c r="F2468" t="str">
        <f>IF($B2468="","",SUMIFS(dQty,dCust,$B2468,dPer,"&gt;="&amp;cyFrom,dPer,"&lt;="&amp;cyTo,dQty,"&gt;-1E+300",dFlt1,critFlt1,dFlt2,critFlt2,dFlt3,critFlt3))</f>
        <v/>
      </c>
      <c r="G2468">
        <f>IF($B2468="",0,IFERROR(IF(OR(C2468&lt;&gt;0,D2468&lt;&gt;0,E2468&lt;&gt;0,F2468&lt;&gt;0),1,0),1))</f>
        <v>0</v>
      </c>
      <c r="H2468" t="str">
        <f>IF(OR(G2468=0,E2468=0),"",C2468/E2468)</f>
        <v/>
      </c>
      <c r="I2468" t="str">
        <f>IF(OR(G2468=0,F2468=0),"",D2468/F2468)</f>
        <v/>
      </c>
      <c r="J2468" t="str">
        <f>IF(OR(H2468="",I2468=""),"",IF(H2468=0,"",I2468/H2468-1))</f>
        <v/>
      </c>
      <c r="K2468" t="str">
        <f>IF($B2468="","",IFERROR(IF(G2468=0,-2E+300,CHOOSE(sortIdx,ROUND(D2468,0),IF(J2468="",-1E+300,ROUND(-J2468,6)),IF(J2468="",-1E+300,ROUND(J2468,6)))),-1.5E+300))</f>
        <v/>
      </c>
      <c r="L2468" t="str">
        <f>IF(K2468="","",RANK(K2468,$K$2:$K$3001,0)+COUNTIF($K$2:K2468,K2468)-1)</f>
        <v/>
      </c>
    </row>
    <row r="2469">
      <c r="B2469" t="str">
        <f>IFERROR(IF(A2469="","","="&amp;SUBSTITUTE(SUBSTITUTE(SUBSTITUTE(A2469,"~","~~"),"*","~*"),"?","~?")),"")</f>
        <v/>
      </c>
      <c r="C2469" t="str">
        <f>IF($B2469="","",SUMIFS(dAmt,dCust,$B2469,dPer,"&gt;="&amp;pyFrom,dPer,"&lt;="&amp;pyTo,dAmt,"&gt;-1E+300",dFlt1,critFlt1,dFlt2,critFlt2,dFlt3,critFlt3))</f>
        <v/>
      </c>
      <c r="D2469" t="str">
        <f>IF($B2469="","",SUMIFS(dAmt,dCust,$B2469,dPer,"&gt;="&amp;cyFrom,dPer,"&lt;="&amp;cyTo,dAmt,"&gt;-1E+300",dFlt1,critFlt1,dFlt2,critFlt2,dFlt3,critFlt3))</f>
        <v/>
      </c>
      <c r="E2469" t="str">
        <f>IF($B2469="","",SUMIFS(dQty,dCust,$B2469,dPer,"&gt;="&amp;pyFrom,dPer,"&lt;="&amp;pyTo,dQty,"&gt;-1E+300",dFlt1,critFlt1,dFlt2,critFlt2,dFlt3,critFlt3))</f>
        <v/>
      </c>
      <c r="F2469" t="str">
        <f>IF($B2469="","",SUMIFS(dQty,dCust,$B2469,dPer,"&gt;="&amp;cyFrom,dPer,"&lt;="&amp;cyTo,dQty,"&gt;-1E+300",dFlt1,critFlt1,dFlt2,critFlt2,dFlt3,critFlt3))</f>
        <v/>
      </c>
      <c r="G2469">
        <f>IF($B2469="",0,IFERROR(IF(OR(C2469&lt;&gt;0,D2469&lt;&gt;0,E2469&lt;&gt;0,F2469&lt;&gt;0),1,0),1))</f>
        <v>0</v>
      </c>
      <c r="H2469" t="str">
        <f>IF(OR(G2469=0,E2469=0),"",C2469/E2469)</f>
        <v/>
      </c>
      <c r="I2469" t="str">
        <f>IF(OR(G2469=0,F2469=0),"",D2469/F2469)</f>
        <v/>
      </c>
      <c r="J2469" t="str">
        <f>IF(OR(H2469="",I2469=""),"",IF(H2469=0,"",I2469/H2469-1))</f>
        <v/>
      </c>
      <c r="K2469" t="str">
        <f>IF($B2469="","",IFERROR(IF(G2469=0,-2E+300,CHOOSE(sortIdx,ROUND(D2469,0),IF(J2469="",-1E+300,ROUND(-J2469,6)),IF(J2469="",-1E+300,ROUND(J2469,6)))),-1.5E+300))</f>
        <v/>
      </c>
      <c r="L2469" t="str">
        <f>IF(K2469="","",RANK(K2469,$K$2:$K$3001,0)+COUNTIF($K$2:K2469,K2469)-1)</f>
        <v/>
      </c>
    </row>
    <row r="2470">
      <c r="B2470" t="str">
        <f>IFERROR(IF(A2470="","","="&amp;SUBSTITUTE(SUBSTITUTE(SUBSTITUTE(A2470,"~","~~"),"*","~*"),"?","~?")),"")</f>
        <v/>
      </c>
      <c r="C2470" t="str">
        <f>IF($B2470="","",SUMIFS(dAmt,dCust,$B2470,dPer,"&gt;="&amp;pyFrom,dPer,"&lt;="&amp;pyTo,dAmt,"&gt;-1E+300",dFlt1,critFlt1,dFlt2,critFlt2,dFlt3,critFlt3))</f>
        <v/>
      </c>
      <c r="D2470" t="str">
        <f>IF($B2470="","",SUMIFS(dAmt,dCust,$B2470,dPer,"&gt;="&amp;cyFrom,dPer,"&lt;="&amp;cyTo,dAmt,"&gt;-1E+300",dFlt1,critFlt1,dFlt2,critFlt2,dFlt3,critFlt3))</f>
        <v/>
      </c>
      <c r="E2470" t="str">
        <f>IF($B2470="","",SUMIFS(dQty,dCust,$B2470,dPer,"&gt;="&amp;pyFrom,dPer,"&lt;="&amp;pyTo,dQty,"&gt;-1E+300",dFlt1,critFlt1,dFlt2,critFlt2,dFlt3,critFlt3))</f>
        <v/>
      </c>
      <c r="F2470" t="str">
        <f>IF($B2470="","",SUMIFS(dQty,dCust,$B2470,dPer,"&gt;="&amp;cyFrom,dPer,"&lt;="&amp;cyTo,dQty,"&gt;-1E+300",dFlt1,critFlt1,dFlt2,critFlt2,dFlt3,critFlt3))</f>
        <v/>
      </c>
      <c r="G2470">
        <f>IF($B2470="",0,IFERROR(IF(OR(C2470&lt;&gt;0,D2470&lt;&gt;0,E2470&lt;&gt;0,F2470&lt;&gt;0),1,0),1))</f>
        <v>0</v>
      </c>
      <c r="H2470" t="str">
        <f>IF(OR(G2470=0,E2470=0),"",C2470/E2470)</f>
        <v/>
      </c>
      <c r="I2470" t="str">
        <f>IF(OR(G2470=0,F2470=0),"",D2470/F2470)</f>
        <v/>
      </c>
      <c r="J2470" t="str">
        <f>IF(OR(H2470="",I2470=""),"",IF(H2470=0,"",I2470/H2470-1))</f>
        <v/>
      </c>
      <c r="K2470" t="str">
        <f>IF($B2470="","",IFERROR(IF(G2470=0,-2E+300,CHOOSE(sortIdx,ROUND(D2470,0),IF(J2470="",-1E+300,ROUND(-J2470,6)),IF(J2470="",-1E+300,ROUND(J2470,6)))),-1.5E+300))</f>
        <v/>
      </c>
      <c r="L2470" t="str">
        <f>IF(K2470="","",RANK(K2470,$K$2:$K$3001,0)+COUNTIF($K$2:K2470,K2470)-1)</f>
        <v/>
      </c>
    </row>
    <row r="2471">
      <c r="B2471" t="str">
        <f>IFERROR(IF(A2471="","","="&amp;SUBSTITUTE(SUBSTITUTE(SUBSTITUTE(A2471,"~","~~"),"*","~*"),"?","~?")),"")</f>
        <v/>
      </c>
      <c r="C2471" t="str">
        <f>IF($B2471="","",SUMIFS(dAmt,dCust,$B2471,dPer,"&gt;="&amp;pyFrom,dPer,"&lt;="&amp;pyTo,dAmt,"&gt;-1E+300",dFlt1,critFlt1,dFlt2,critFlt2,dFlt3,critFlt3))</f>
        <v/>
      </c>
      <c r="D2471" t="str">
        <f>IF($B2471="","",SUMIFS(dAmt,dCust,$B2471,dPer,"&gt;="&amp;cyFrom,dPer,"&lt;="&amp;cyTo,dAmt,"&gt;-1E+300",dFlt1,critFlt1,dFlt2,critFlt2,dFlt3,critFlt3))</f>
        <v/>
      </c>
      <c r="E2471" t="str">
        <f>IF($B2471="","",SUMIFS(dQty,dCust,$B2471,dPer,"&gt;="&amp;pyFrom,dPer,"&lt;="&amp;pyTo,dQty,"&gt;-1E+300",dFlt1,critFlt1,dFlt2,critFlt2,dFlt3,critFlt3))</f>
        <v/>
      </c>
      <c r="F2471" t="str">
        <f>IF($B2471="","",SUMIFS(dQty,dCust,$B2471,dPer,"&gt;="&amp;cyFrom,dPer,"&lt;="&amp;cyTo,dQty,"&gt;-1E+300",dFlt1,critFlt1,dFlt2,critFlt2,dFlt3,critFlt3))</f>
        <v/>
      </c>
      <c r="G2471">
        <f>IF($B2471="",0,IFERROR(IF(OR(C2471&lt;&gt;0,D2471&lt;&gt;0,E2471&lt;&gt;0,F2471&lt;&gt;0),1,0),1))</f>
        <v>0</v>
      </c>
      <c r="H2471" t="str">
        <f>IF(OR(G2471=0,E2471=0),"",C2471/E2471)</f>
        <v/>
      </c>
      <c r="I2471" t="str">
        <f>IF(OR(G2471=0,F2471=0),"",D2471/F2471)</f>
        <v/>
      </c>
      <c r="J2471" t="str">
        <f>IF(OR(H2471="",I2471=""),"",IF(H2471=0,"",I2471/H2471-1))</f>
        <v/>
      </c>
      <c r="K2471" t="str">
        <f>IF($B2471="","",IFERROR(IF(G2471=0,-2E+300,CHOOSE(sortIdx,ROUND(D2471,0),IF(J2471="",-1E+300,ROUND(-J2471,6)),IF(J2471="",-1E+300,ROUND(J2471,6)))),-1.5E+300))</f>
        <v/>
      </c>
      <c r="L2471" t="str">
        <f>IF(K2471="","",RANK(K2471,$K$2:$K$3001,0)+COUNTIF($K$2:K2471,K2471)-1)</f>
        <v/>
      </c>
    </row>
    <row r="2472">
      <c r="B2472" t="str">
        <f>IFERROR(IF(A2472="","","="&amp;SUBSTITUTE(SUBSTITUTE(SUBSTITUTE(A2472,"~","~~"),"*","~*"),"?","~?")),"")</f>
        <v/>
      </c>
      <c r="C2472" t="str">
        <f>IF($B2472="","",SUMIFS(dAmt,dCust,$B2472,dPer,"&gt;="&amp;pyFrom,dPer,"&lt;="&amp;pyTo,dAmt,"&gt;-1E+300",dFlt1,critFlt1,dFlt2,critFlt2,dFlt3,critFlt3))</f>
        <v/>
      </c>
      <c r="D2472" t="str">
        <f>IF($B2472="","",SUMIFS(dAmt,dCust,$B2472,dPer,"&gt;="&amp;cyFrom,dPer,"&lt;="&amp;cyTo,dAmt,"&gt;-1E+300",dFlt1,critFlt1,dFlt2,critFlt2,dFlt3,critFlt3))</f>
        <v/>
      </c>
      <c r="E2472" t="str">
        <f>IF($B2472="","",SUMIFS(dQty,dCust,$B2472,dPer,"&gt;="&amp;pyFrom,dPer,"&lt;="&amp;pyTo,dQty,"&gt;-1E+300",dFlt1,critFlt1,dFlt2,critFlt2,dFlt3,critFlt3))</f>
        <v/>
      </c>
      <c r="F2472" t="str">
        <f>IF($B2472="","",SUMIFS(dQty,dCust,$B2472,dPer,"&gt;="&amp;cyFrom,dPer,"&lt;="&amp;cyTo,dQty,"&gt;-1E+300",dFlt1,critFlt1,dFlt2,critFlt2,dFlt3,critFlt3))</f>
        <v/>
      </c>
      <c r="G2472">
        <f>IF($B2472="",0,IFERROR(IF(OR(C2472&lt;&gt;0,D2472&lt;&gt;0,E2472&lt;&gt;0,F2472&lt;&gt;0),1,0),1))</f>
        <v>0</v>
      </c>
      <c r="H2472" t="str">
        <f>IF(OR(G2472=0,E2472=0),"",C2472/E2472)</f>
        <v/>
      </c>
      <c r="I2472" t="str">
        <f>IF(OR(G2472=0,F2472=0),"",D2472/F2472)</f>
        <v/>
      </c>
      <c r="J2472" t="str">
        <f>IF(OR(H2472="",I2472=""),"",IF(H2472=0,"",I2472/H2472-1))</f>
        <v/>
      </c>
      <c r="K2472" t="str">
        <f>IF($B2472="","",IFERROR(IF(G2472=0,-2E+300,CHOOSE(sortIdx,ROUND(D2472,0),IF(J2472="",-1E+300,ROUND(-J2472,6)),IF(J2472="",-1E+300,ROUND(J2472,6)))),-1.5E+300))</f>
        <v/>
      </c>
      <c r="L2472" t="str">
        <f>IF(K2472="","",RANK(K2472,$K$2:$K$3001,0)+COUNTIF($K$2:K2472,K2472)-1)</f>
        <v/>
      </c>
    </row>
    <row r="2473">
      <c r="B2473" t="str">
        <f>IFERROR(IF(A2473="","","="&amp;SUBSTITUTE(SUBSTITUTE(SUBSTITUTE(A2473,"~","~~"),"*","~*"),"?","~?")),"")</f>
        <v/>
      </c>
      <c r="C2473" t="str">
        <f>IF($B2473="","",SUMIFS(dAmt,dCust,$B2473,dPer,"&gt;="&amp;pyFrom,dPer,"&lt;="&amp;pyTo,dAmt,"&gt;-1E+300",dFlt1,critFlt1,dFlt2,critFlt2,dFlt3,critFlt3))</f>
        <v/>
      </c>
      <c r="D2473" t="str">
        <f>IF($B2473="","",SUMIFS(dAmt,dCust,$B2473,dPer,"&gt;="&amp;cyFrom,dPer,"&lt;="&amp;cyTo,dAmt,"&gt;-1E+300",dFlt1,critFlt1,dFlt2,critFlt2,dFlt3,critFlt3))</f>
        <v/>
      </c>
      <c r="E2473" t="str">
        <f>IF($B2473="","",SUMIFS(dQty,dCust,$B2473,dPer,"&gt;="&amp;pyFrom,dPer,"&lt;="&amp;pyTo,dQty,"&gt;-1E+300",dFlt1,critFlt1,dFlt2,critFlt2,dFlt3,critFlt3))</f>
        <v/>
      </c>
      <c r="F2473" t="str">
        <f>IF($B2473="","",SUMIFS(dQty,dCust,$B2473,dPer,"&gt;="&amp;cyFrom,dPer,"&lt;="&amp;cyTo,dQty,"&gt;-1E+300",dFlt1,critFlt1,dFlt2,critFlt2,dFlt3,critFlt3))</f>
        <v/>
      </c>
      <c r="G2473">
        <f>IF($B2473="",0,IFERROR(IF(OR(C2473&lt;&gt;0,D2473&lt;&gt;0,E2473&lt;&gt;0,F2473&lt;&gt;0),1,0),1))</f>
        <v>0</v>
      </c>
      <c r="H2473" t="str">
        <f>IF(OR(G2473=0,E2473=0),"",C2473/E2473)</f>
        <v/>
      </c>
      <c r="I2473" t="str">
        <f>IF(OR(G2473=0,F2473=0),"",D2473/F2473)</f>
        <v/>
      </c>
      <c r="J2473" t="str">
        <f>IF(OR(H2473="",I2473=""),"",IF(H2473=0,"",I2473/H2473-1))</f>
        <v/>
      </c>
      <c r="K2473" t="str">
        <f>IF($B2473="","",IFERROR(IF(G2473=0,-2E+300,CHOOSE(sortIdx,ROUND(D2473,0),IF(J2473="",-1E+300,ROUND(-J2473,6)),IF(J2473="",-1E+300,ROUND(J2473,6)))),-1.5E+300))</f>
        <v/>
      </c>
      <c r="L2473" t="str">
        <f>IF(K2473="","",RANK(K2473,$K$2:$K$3001,0)+COUNTIF($K$2:K2473,K2473)-1)</f>
        <v/>
      </c>
    </row>
    <row r="2474">
      <c r="B2474" t="str">
        <f>IFERROR(IF(A2474="","","="&amp;SUBSTITUTE(SUBSTITUTE(SUBSTITUTE(A2474,"~","~~"),"*","~*"),"?","~?")),"")</f>
        <v/>
      </c>
      <c r="C2474" t="str">
        <f>IF($B2474="","",SUMIFS(dAmt,dCust,$B2474,dPer,"&gt;="&amp;pyFrom,dPer,"&lt;="&amp;pyTo,dAmt,"&gt;-1E+300",dFlt1,critFlt1,dFlt2,critFlt2,dFlt3,critFlt3))</f>
        <v/>
      </c>
      <c r="D2474" t="str">
        <f>IF($B2474="","",SUMIFS(dAmt,dCust,$B2474,dPer,"&gt;="&amp;cyFrom,dPer,"&lt;="&amp;cyTo,dAmt,"&gt;-1E+300",dFlt1,critFlt1,dFlt2,critFlt2,dFlt3,critFlt3))</f>
        <v/>
      </c>
      <c r="E2474" t="str">
        <f>IF($B2474="","",SUMIFS(dQty,dCust,$B2474,dPer,"&gt;="&amp;pyFrom,dPer,"&lt;="&amp;pyTo,dQty,"&gt;-1E+300",dFlt1,critFlt1,dFlt2,critFlt2,dFlt3,critFlt3))</f>
        <v/>
      </c>
      <c r="F2474" t="str">
        <f>IF($B2474="","",SUMIFS(dQty,dCust,$B2474,dPer,"&gt;="&amp;cyFrom,dPer,"&lt;="&amp;cyTo,dQty,"&gt;-1E+300",dFlt1,critFlt1,dFlt2,critFlt2,dFlt3,critFlt3))</f>
        <v/>
      </c>
      <c r="G2474">
        <f>IF($B2474="",0,IFERROR(IF(OR(C2474&lt;&gt;0,D2474&lt;&gt;0,E2474&lt;&gt;0,F2474&lt;&gt;0),1,0),1))</f>
        <v>0</v>
      </c>
      <c r="H2474" t="str">
        <f>IF(OR(G2474=0,E2474=0),"",C2474/E2474)</f>
        <v/>
      </c>
      <c r="I2474" t="str">
        <f>IF(OR(G2474=0,F2474=0),"",D2474/F2474)</f>
        <v/>
      </c>
      <c r="J2474" t="str">
        <f>IF(OR(H2474="",I2474=""),"",IF(H2474=0,"",I2474/H2474-1))</f>
        <v/>
      </c>
      <c r="K2474" t="str">
        <f>IF($B2474="","",IFERROR(IF(G2474=0,-2E+300,CHOOSE(sortIdx,ROUND(D2474,0),IF(J2474="",-1E+300,ROUND(-J2474,6)),IF(J2474="",-1E+300,ROUND(J2474,6)))),-1.5E+300))</f>
        <v/>
      </c>
      <c r="L2474" t="str">
        <f>IF(K2474="","",RANK(K2474,$K$2:$K$3001,0)+COUNTIF($K$2:K2474,K2474)-1)</f>
        <v/>
      </c>
    </row>
    <row r="2475">
      <c r="B2475" t="str">
        <f>IFERROR(IF(A2475="","","="&amp;SUBSTITUTE(SUBSTITUTE(SUBSTITUTE(A2475,"~","~~"),"*","~*"),"?","~?")),"")</f>
        <v/>
      </c>
      <c r="C2475" t="str">
        <f>IF($B2475="","",SUMIFS(dAmt,dCust,$B2475,dPer,"&gt;="&amp;pyFrom,dPer,"&lt;="&amp;pyTo,dAmt,"&gt;-1E+300",dFlt1,critFlt1,dFlt2,critFlt2,dFlt3,critFlt3))</f>
        <v/>
      </c>
      <c r="D2475" t="str">
        <f>IF($B2475="","",SUMIFS(dAmt,dCust,$B2475,dPer,"&gt;="&amp;cyFrom,dPer,"&lt;="&amp;cyTo,dAmt,"&gt;-1E+300",dFlt1,critFlt1,dFlt2,critFlt2,dFlt3,critFlt3))</f>
        <v/>
      </c>
      <c r="E2475" t="str">
        <f>IF($B2475="","",SUMIFS(dQty,dCust,$B2475,dPer,"&gt;="&amp;pyFrom,dPer,"&lt;="&amp;pyTo,dQty,"&gt;-1E+300",dFlt1,critFlt1,dFlt2,critFlt2,dFlt3,critFlt3))</f>
        <v/>
      </c>
      <c r="F2475" t="str">
        <f>IF($B2475="","",SUMIFS(dQty,dCust,$B2475,dPer,"&gt;="&amp;cyFrom,dPer,"&lt;="&amp;cyTo,dQty,"&gt;-1E+300",dFlt1,critFlt1,dFlt2,critFlt2,dFlt3,critFlt3))</f>
        <v/>
      </c>
      <c r="G2475">
        <f>IF($B2475="",0,IFERROR(IF(OR(C2475&lt;&gt;0,D2475&lt;&gt;0,E2475&lt;&gt;0,F2475&lt;&gt;0),1,0),1))</f>
        <v>0</v>
      </c>
      <c r="H2475" t="str">
        <f>IF(OR(G2475=0,E2475=0),"",C2475/E2475)</f>
        <v/>
      </c>
      <c r="I2475" t="str">
        <f>IF(OR(G2475=0,F2475=0),"",D2475/F2475)</f>
        <v/>
      </c>
      <c r="J2475" t="str">
        <f>IF(OR(H2475="",I2475=""),"",IF(H2475=0,"",I2475/H2475-1))</f>
        <v/>
      </c>
      <c r="K2475" t="str">
        <f>IF($B2475="","",IFERROR(IF(G2475=0,-2E+300,CHOOSE(sortIdx,ROUND(D2475,0),IF(J2475="",-1E+300,ROUND(-J2475,6)),IF(J2475="",-1E+300,ROUND(J2475,6)))),-1.5E+300))</f>
        <v/>
      </c>
      <c r="L2475" t="str">
        <f>IF(K2475="","",RANK(K2475,$K$2:$K$3001,0)+COUNTIF($K$2:K2475,K2475)-1)</f>
        <v/>
      </c>
    </row>
    <row r="2476">
      <c r="B2476" t="str">
        <f>IFERROR(IF(A2476="","","="&amp;SUBSTITUTE(SUBSTITUTE(SUBSTITUTE(A2476,"~","~~"),"*","~*"),"?","~?")),"")</f>
        <v/>
      </c>
      <c r="C2476" t="str">
        <f>IF($B2476="","",SUMIFS(dAmt,dCust,$B2476,dPer,"&gt;="&amp;pyFrom,dPer,"&lt;="&amp;pyTo,dAmt,"&gt;-1E+300",dFlt1,critFlt1,dFlt2,critFlt2,dFlt3,critFlt3))</f>
        <v/>
      </c>
      <c r="D2476" t="str">
        <f>IF($B2476="","",SUMIFS(dAmt,dCust,$B2476,dPer,"&gt;="&amp;cyFrom,dPer,"&lt;="&amp;cyTo,dAmt,"&gt;-1E+300",dFlt1,critFlt1,dFlt2,critFlt2,dFlt3,critFlt3))</f>
        <v/>
      </c>
      <c r="E2476" t="str">
        <f>IF($B2476="","",SUMIFS(dQty,dCust,$B2476,dPer,"&gt;="&amp;pyFrom,dPer,"&lt;="&amp;pyTo,dQty,"&gt;-1E+300",dFlt1,critFlt1,dFlt2,critFlt2,dFlt3,critFlt3))</f>
        <v/>
      </c>
      <c r="F2476" t="str">
        <f>IF($B2476="","",SUMIFS(dQty,dCust,$B2476,dPer,"&gt;="&amp;cyFrom,dPer,"&lt;="&amp;cyTo,dQty,"&gt;-1E+300",dFlt1,critFlt1,dFlt2,critFlt2,dFlt3,critFlt3))</f>
        <v/>
      </c>
      <c r="G2476">
        <f>IF($B2476="",0,IFERROR(IF(OR(C2476&lt;&gt;0,D2476&lt;&gt;0,E2476&lt;&gt;0,F2476&lt;&gt;0),1,0),1))</f>
        <v>0</v>
      </c>
      <c r="H2476" t="str">
        <f>IF(OR(G2476=0,E2476=0),"",C2476/E2476)</f>
        <v/>
      </c>
      <c r="I2476" t="str">
        <f>IF(OR(G2476=0,F2476=0),"",D2476/F2476)</f>
        <v/>
      </c>
      <c r="J2476" t="str">
        <f>IF(OR(H2476="",I2476=""),"",IF(H2476=0,"",I2476/H2476-1))</f>
        <v/>
      </c>
      <c r="K2476" t="str">
        <f>IF($B2476="","",IFERROR(IF(G2476=0,-2E+300,CHOOSE(sortIdx,ROUND(D2476,0),IF(J2476="",-1E+300,ROUND(-J2476,6)),IF(J2476="",-1E+300,ROUND(J2476,6)))),-1.5E+300))</f>
        <v/>
      </c>
      <c r="L2476" t="str">
        <f>IF(K2476="","",RANK(K2476,$K$2:$K$3001,0)+COUNTIF($K$2:K2476,K2476)-1)</f>
        <v/>
      </c>
    </row>
    <row r="2477">
      <c r="B2477" t="str">
        <f>IFERROR(IF(A2477="","","="&amp;SUBSTITUTE(SUBSTITUTE(SUBSTITUTE(A2477,"~","~~"),"*","~*"),"?","~?")),"")</f>
        <v/>
      </c>
      <c r="C2477" t="str">
        <f>IF($B2477="","",SUMIFS(dAmt,dCust,$B2477,dPer,"&gt;="&amp;pyFrom,dPer,"&lt;="&amp;pyTo,dAmt,"&gt;-1E+300",dFlt1,critFlt1,dFlt2,critFlt2,dFlt3,critFlt3))</f>
        <v/>
      </c>
      <c r="D2477" t="str">
        <f>IF($B2477="","",SUMIFS(dAmt,dCust,$B2477,dPer,"&gt;="&amp;cyFrom,dPer,"&lt;="&amp;cyTo,dAmt,"&gt;-1E+300",dFlt1,critFlt1,dFlt2,critFlt2,dFlt3,critFlt3))</f>
        <v/>
      </c>
      <c r="E2477" t="str">
        <f>IF($B2477="","",SUMIFS(dQty,dCust,$B2477,dPer,"&gt;="&amp;pyFrom,dPer,"&lt;="&amp;pyTo,dQty,"&gt;-1E+300",dFlt1,critFlt1,dFlt2,critFlt2,dFlt3,critFlt3))</f>
        <v/>
      </c>
      <c r="F2477" t="str">
        <f>IF($B2477="","",SUMIFS(dQty,dCust,$B2477,dPer,"&gt;="&amp;cyFrom,dPer,"&lt;="&amp;cyTo,dQty,"&gt;-1E+300",dFlt1,critFlt1,dFlt2,critFlt2,dFlt3,critFlt3))</f>
        <v/>
      </c>
      <c r="G2477">
        <f>IF($B2477="",0,IFERROR(IF(OR(C2477&lt;&gt;0,D2477&lt;&gt;0,E2477&lt;&gt;0,F2477&lt;&gt;0),1,0),1))</f>
        <v>0</v>
      </c>
      <c r="H2477" t="str">
        <f>IF(OR(G2477=0,E2477=0),"",C2477/E2477)</f>
        <v/>
      </c>
      <c r="I2477" t="str">
        <f>IF(OR(G2477=0,F2477=0),"",D2477/F2477)</f>
        <v/>
      </c>
      <c r="J2477" t="str">
        <f>IF(OR(H2477="",I2477=""),"",IF(H2477=0,"",I2477/H2477-1))</f>
        <v/>
      </c>
      <c r="K2477" t="str">
        <f>IF($B2477="","",IFERROR(IF(G2477=0,-2E+300,CHOOSE(sortIdx,ROUND(D2477,0),IF(J2477="",-1E+300,ROUND(-J2477,6)),IF(J2477="",-1E+300,ROUND(J2477,6)))),-1.5E+300))</f>
        <v/>
      </c>
      <c r="L2477" t="str">
        <f>IF(K2477="","",RANK(K2477,$K$2:$K$3001,0)+COUNTIF($K$2:K2477,K2477)-1)</f>
        <v/>
      </c>
    </row>
    <row r="2478">
      <c r="B2478" t="str">
        <f>IFERROR(IF(A2478="","","="&amp;SUBSTITUTE(SUBSTITUTE(SUBSTITUTE(A2478,"~","~~"),"*","~*"),"?","~?")),"")</f>
        <v/>
      </c>
      <c r="C2478" t="str">
        <f>IF($B2478="","",SUMIFS(dAmt,dCust,$B2478,dPer,"&gt;="&amp;pyFrom,dPer,"&lt;="&amp;pyTo,dAmt,"&gt;-1E+300",dFlt1,critFlt1,dFlt2,critFlt2,dFlt3,critFlt3))</f>
        <v/>
      </c>
      <c r="D2478" t="str">
        <f>IF($B2478="","",SUMIFS(dAmt,dCust,$B2478,dPer,"&gt;="&amp;cyFrom,dPer,"&lt;="&amp;cyTo,dAmt,"&gt;-1E+300",dFlt1,critFlt1,dFlt2,critFlt2,dFlt3,critFlt3))</f>
        <v/>
      </c>
      <c r="E2478" t="str">
        <f>IF($B2478="","",SUMIFS(dQty,dCust,$B2478,dPer,"&gt;="&amp;pyFrom,dPer,"&lt;="&amp;pyTo,dQty,"&gt;-1E+300",dFlt1,critFlt1,dFlt2,critFlt2,dFlt3,critFlt3))</f>
        <v/>
      </c>
      <c r="F2478" t="str">
        <f>IF($B2478="","",SUMIFS(dQty,dCust,$B2478,dPer,"&gt;="&amp;cyFrom,dPer,"&lt;="&amp;cyTo,dQty,"&gt;-1E+300",dFlt1,critFlt1,dFlt2,critFlt2,dFlt3,critFlt3))</f>
        <v/>
      </c>
      <c r="G2478">
        <f>IF($B2478="",0,IFERROR(IF(OR(C2478&lt;&gt;0,D2478&lt;&gt;0,E2478&lt;&gt;0,F2478&lt;&gt;0),1,0),1))</f>
        <v>0</v>
      </c>
      <c r="H2478" t="str">
        <f>IF(OR(G2478=0,E2478=0),"",C2478/E2478)</f>
        <v/>
      </c>
      <c r="I2478" t="str">
        <f>IF(OR(G2478=0,F2478=0),"",D2478/F2478)</f>
        <v/>
      </c>
      <c r="J2478" t="str">
        <f>IF(OR(H2478="",I2478=""),"",IF(H2478=0,"",I2478/H2478-1))</f>
        <v/>
      </c>
      <c r="K2478" t="str">
        <f>IF($B2478="","",IFERROR(IF(G2478=0,-2E+300,CHOOSE(sortIdx,ROUND(D2478,0),IF(J2478="",-1E+300,ROUND(-J2478,6)),IF(J2478="",-1E+300,ROUND(J2478,6)))),-1.5E+300))</f>
        <v/>
      </c>
      <c r="L2478" t="str">
        <f>IF(K2478="","",RANK(K2478,$K$2:$K$3001,0)+COUNTIF($K$2:K2478,K2478)-1)</f>
        <v/>
      </c>
    </row>
    <row r="2479">
      <c r="B2479" t="str">
        <f>IFERROR(IF(A2479="","","="&amp;SUBSTITUTE(SUBSTITUTE(SUBSTITUTE(A2479,"~","~~"),"*","~*"),"?","~?")),"")</f>
        <v/>
      </c>
      <c r="C2479" t="str">
        <f>IF($B2479="","",SUMIFS(dAmt,dCust,$B2479,dPer,"&gt;="&amp;pyFrom,dPer,"&lt;="&amp;pyTo,dAmt,"&gt;-1E+300",dFlt1,critFlt1,dFlt2,critFlt2,dFlt3,critFlt3))</f>
        <v/>
      </c>
      <c r="D2479" t="str">
        <f>IF($B2479="","",SUMIFS(dAmt,dCust,$B2479,dPer,"&gt;="&amp;cyFrom,dPer,"&lt;="&amp;cyTo,dAmt,"&gt;-1E+300",dFlt1,critFlt1,dFlt2,critFlt2,dFlt3,critFlt3))</f>
        <v/>
      </c>
      <c r="E2479" t="str">
        <f>IF($B2479="","",SUMIFS(dQty,dCust,$B2479,dPer,"&gt;="&amp;pyFrom,dPer,"&lt;="&amp;pyTo,dQty,"&gt;-1E+300",dFlt1,critFlt1,dFlt2,critFlt2,dFlt3,critFlt3))</f>
        <v/>
      </c>
      <c r="F2479" t="str">
        <f>IF($B2479="","",SUMIFS(dQty,dCust,$B2479,dPer,"&gt;="&amp;cyFrom,dPer,"&lt;="&amp;cyTo,dQty,"&gt;-1E+300",dFlt1,critFlt1,dFlt2,critFlt2,dFlt3,critFlt3))</f>
        <v/>
      </c>
      <c r="G2479">
        <f>IF($B2479="",0,IFERROR(IF(OR(C2479&lt;&gt;0,D2479&lt;&gt;0,E2479&lt;&gt;0,F2479&lt;&gt;0),1,0),1))</f>
        <v>0</v>
      </c>
      <c r="H2479" t="str">
        <f>IF(OR(G2479=0,E2479=0),"",C2479/E2479)</f>
        <v/>
      </c>
      <c r="I2479" t="str">
        <f>IF(OR(G2479=0,F2479=0),"",D2479/F2479)</f>
        <v/>
      </c>
      <c r="J2479" t="str">
        <f>IF(OR(H2479="",I2479=""),"",IF(H2479=0,"",I2479/H2479-1))</f>
        <v/>
      </c>
      <c r="K2479" t="str">
        <f>IF($B2479="","",IFERROR(IF(G2479=0,-2E+300,CHOOSE(sortIdx,ROUND(D2479,0),IF(J2479="",-1E+300,ROUND(-J2479,6)),IF(J2479="",-1E+300,ROUND(J2479,6)))),-1.5E+300))</f>
        <v/>
      </c>
      <c r="L2479" t="str">
        <f>IF(K2479="","",RANK(K2479,$K$2:$K$3001,0)+COUNTIF($K$2:K2479,K2479)-1)</f>
        <v/>
      </c>
    </row>
    <row r="2480">
      <c r="B2480" t="str">
        <f>IFERROR(IF(A2480="","","="&amp;SUBSTITUTE(SUBSTITUTE(SUBSTITUTE(A2480,"~","~~"),"*","~*"),"?","~?")),"")</f>
        <v/>
      </c>
      <c r="C2480" t="str">
        <f>IF($B2480="","",SUMIFS(dAmt,dCust,$B2480,dPer,"&gt;="&amp;pyFrom,dPer,"&lt;="&amp;pyTo,dAmt,"&gt;-1E+300",dFlt1,critFlt1,dFlt2,critFlt2,dFlt3,critFlt3))</f>
        <v/>
      </c>
      <c r="D2480" t="str">
        <f>IF($B2480="","",SUMIFS(dAmt,dCust,$B2480,dPer,"&gt;="&amp;cyFrom,dPer,"&lt;="&amp;cyTo,dAmt,"&gt;-1E+300",dFlt1,critFlt1,dFlt2,critFlt2,dFlt3,critFlt3))</f>
        <v/>
      </c>
      <c r="E2480" t="str">
        <f>IF($B2480="","",SUMIFS(dQty,dCust,$B2480,dPer,"&gt;="&amp;pyFrom,dPer,"&lt;="&amp;pyTo,dQty,"&gt;-1E+300",dFlt1,critFlt1,dFlt2,critFlt2,dFlt3,critFlt3))</f>
        <v/>
      </c>
      <c r="F2480" t="str">
        <f>IF($B2480="","",SUMIFS(dQty,dCust,$B2480,dPer,"&gt;="&amp;cyFrom,dPer,"&lt;="&amp;cyTo,dQty,"&gt;-1E+300",dFlt1,critFlt1,dFlt2,critFlt2,dFlt3,critFlt3))</f>
        <v/>
      </c>
      <c r="G2480">
        <f>IF($B2480="",0,IFERROR(IF(OR(C2480&lt;&gt;0,D2480&lt;&gt;0,E2480&lt;&gt;0,F2480&lt;&gt;0),1,0),1))</f>
        <v>0</v>
      </c>
      <c r="H2480" t="str">
        <f>IF(OR(G2480=0,E2480=0),"",C2480/E2480)</f>
        <v/>
      </c>
      <c r="I2480" t="str">
        <f>IF(OR(G2480=0,F2480=0),"",D2480/F2480)</f>
        <v/>
      </c>
      <c r="J2480" t="str">
        <f>IF(OR(H2480="",I2480=""),"",IF(H2480=0,"",I2480/H2480-1))</f>
        <v/>
      </c>
      <c r="K2480" t="str">
        <f>IF($B2480="","",IFERROR(IF(G2480=0,-2E+300,CHOOSE(sortIdx,ROUND(D2480,0),IF(J2480="",-1E+300,ROUND(-J2480,6)),IF(J2480="",-1E+300,ROUND(J2480,6)))),-1.5E+300))</f>
        <v/>
      </c>
      <c r="L2480" t="str">
        <f>IF(K2480="","",RANK(K2480,$K$2:$K$3001,0)+COUNTIF($K$2:K2480,K2480)-1)</f>
        <v/>
      </c>
    </row>
    <row r="2481">
      <c r="B2481" t="str">
        <f>IFERROR(IF(A2481="","","="&amp;SUBSTITUTE(SUBSTITUTE(SUBSTITUTE(A2481,"~","~~"),"*","~*"),"?","~?")),"")</f>
        <v/>
      </c>
      <c r="C2481" t="str">
        <f>IF($B2481="","",SUMIFS(dAmt,dCust,$B2481,dPer,"&gt;="&amp;pyFrom,dPer,"&lt;="&amp;pyTo,dAmt,"&gt;-1E+300",dFlt1,critFlt1,dFlt2,critFlt2,dFlt3,critFlt3))</f>
        <v/>
      </c>
      <c r="D2481" t="str">
        <f>IF($B2481="","",SUMIFS(dAmt,dCust,$B2481,dPer,"&gt;="&amp;cyFrom,dPer,"&lt;="&amp;cyTo,dAmt,"&gt;-1E+300",dFlt1,critFlt1,dFlt2,critFlt2,dFlt3,critFlt3))</f>
        <v/>
      </c>
      <c r="E2481" t="str">
        <f>IF($B2481="","",SUMIFS(dQty,dCust,$B2481,dPer,"&gt;="&amp;pyFrom,dPer,"&lt;="&amp;pyTo,dQty,"&gt;-1E+300",dFlt1,critFlt1,dFlt2,critFlt2,dFlt3,critFlt3))</f>
        <v/>
      </c>
      <c r="F2481" t="str">
        <f>IF($B2481="","",SUMIFS(dQty,dCust,$B2481,dPer,"&gt;="&amp;cyFrom,dPer,"&lt;="&amp;cyTo,dQty,"&gt;-1E+300",dFlt1,critFlt1,dFlt2,critFlt2,dFlt3,critFlt3))</f>
        <v/>
      </c>
      <c r="G2481">
        <f>IF($B2481="",0,IFERROR(IF(OR(C2481&lt;&gt;0,D2481&lt;&gt;0,E2481&lt;&gt;0,F2481&lt;&gt;0),1,0),1))</f>
        <v>0</v>
      </c>
      <c r="H2481" t="str">
        <f>IF(OR(G2481=0,E2481=0),"",C2481/E2481)</f>
        <v/>
      </c>
      <c r="I2481" t="str">
        <f>IF(OR(G2481=0,F2481=0),"",D2481/F2481)</f>
        <v/>
      </c>
      <c r="J2481" t="str">
        <f>IF(OR(H2481="",I2481=""),"",IF(H2481=0,"",I2481/H2481-1))</f>
        <v/>
      </c>
      <c r="K2481" t="str">
        <f>IF($B2481="","",IFERROR(IF(G2481=0,-2E+300,CHOOSE(sortIdx,ROUND(D2481,0),IF(J2481="",-1E+300,ROUND(-J2481,6)),IF(J2481="",-1E+300,ROUND(J2481,6)))),-1.5E+300))</f>
        <v/>
      </c>
      <c r="L2481" t="str">
        <f>IF(K2481="","",RANK(K2481,$K$2:$K$3001,0)+COUNTIF($K$2:K2481,K2481)-1)</f>
        <v/>
      </c>
    </row>
    <row r="2482">
      <c r="B2482" t="str">
        <f>IFERROR(IF(A2482="","","="&amp;SUBSTITUTE(SUBSTITUTE(SUBSTITUTE(A2482,"~","~~"),"*","~*"),"?","~?")),"")</f>
        <v/>
      </c>
      <c r="C2482" t="str">
        <f>IF($B2482="","",SUMIFS(dAmt,dCust,$B2482,dPer,"&gt;="&amp;pyFrom,dPer,"&lt;="&amp;pyTo,dAmt,"&gt;-1E+300",dFlt1,critFlt1,dFlt2,critFlt2,dFlt3,critFlt3))</f>
        <v/>
      </c>
      <c r="D2482" t="str">
        <f>IF($B2482="","",SUMIFS(dAmt,dCust,$B2482,dPer,"&gt;="&amp;cyFrom,dPer,"&lt;="&amp;cyTo,dAmt,"&gt;-1E+300",dFlt1,critFlt1,dFlt2,critFlt2,dFlt3,critFlt3))</f>
        <v/>
      </c>
      <c r="E2482" t="str">
        <f>IF($B2482="","",SUMIFS(dQty,dCust,$B2482,dPer,"&gt;="&amp;pyFrom,dPer,"&lt;="&amp;pyTo,dQty,"&gt;-1E+300",dFlt1,critFlt1,dFlt2,critFlt2,dFlt3,critFlt3))</f>
        <v/>
      </c>
      <c r="F2482" t="str">
        <f>IF($B2482="","",SUMIFS(dQty,dCust,$B2482,dPer,"&gt;="&amp;cyFrom,dPer,"&lt;="&amp;cyTo,dQty,"&gt;-1E+300",dFlt1,critFlt1,dFlt2,critFlt2,dFlt3,critFlt3))</f>
        <v/>
      </c>
      <c r="G2482">
        <f>IF($B2482="",0,IFERROR(IF(OR(C2482&lt;&gt;0,D2482&lt;&gt;0,E2482&lt;&gt;0,F2482&lt;&gt;0),1,0),1))</f>
        <v>0</v>
      </c>
      <c r="H2482" t="str">
        <f>IF(OR(G2482=0,E2482=0),"",C2482/E2482)</f>
        <v/>
      </c>
      <c r="I2482" t="str">
        <f>IF(OR(G2482=0,F2482=0),"",D2482/F2482)</f>
        <v/>
      </c>
      <c r="J2482" t="str">
        <f>IF(OR(H2482="",I2482=""),"",IF(H2482=0,"",I2482/H2482-1))</f>
        <v/>
      </c>
      <c r="K2482" t="str">
        <f>IF($B2482="","",IFERROR(IF(G2482=0,-2E+300,CHOOSE(sortIdx,ROUND(D2482,0),IF(J2482="",-1E+300,ROUND(-J2482,6)),IF(J2482="",-1E+300,ROUND(J2482,6)))),-1.5E+300))</f>
        <v/>
      </c>
      <c r="L2482" t="str">
        <f>IF(K2482="","",RANK(K2482,$K$2:$K$3001,0)+COUNTIF($K$2:K2482,K2482)-1)</f>
        <v/>
      </c>
    </row>
    <row r="2483">
      <c r="B2483" t="str">
        <f>IFERROR(IF(A2483="","","="&amp;SUBSTITUTE(SUBSTITUTE(SUBSTITUTE(A2483,"~","~~"),"*","~*"),"?","~?")),"")</f>
        <v/>
      </c>
      <c r="C2483" t="str">
        <f>IF($B2483="","",SUMIFS(dAmt,dCust,$B2483,dPer,"&gt;="&amp;pyFrom,dPer,"&lt;="&amp;pyTo,dAmt,"&gt;-1E+300",dFlt1,critFlt1,dFlt2,critFlt2,dFlt3,critFlt3))</f>
        <v/>
      </c>
      <c r="D2483" t="str">
        <f>IF($B2483="","",SUMIFS(dAmt,dCust,$B2483,dPer,"&gt;="&amp;cyFrom,dPer,"&lt;="&amp;cyTo,dAmt,"&gt;-1E+300",dFlt1,critFlt1,dFlt2,critFlt2,dFlt3,critFlt3))</f>
        <v/>
      </c>
      <c r="E2483" t="str">
        <f>IF($B2483="","",SUMIFS(dQty,dCust,$B2483,dPer,"&gt;="&amp;pyFrom,dPer,"&lt;="&amp;pyTo,dQty,"&gt;-1E+300",dFlt1,critFlt1,dFlt2,critFlt2,dFlt3,critFlt3))</f>
        <v/>
      </c>
      <c r="F2483" t="str">
        <f>IF($B2483="","",SUMIFS(dQty,dCust,$B2483,dPer,"&gt;="&amp;cyFrom,dPer,"&lt;="&amp;cyTo,dQty,"&gt;-1E+300",dFlt1,critFlt1,dFlt2,critFlt2,dFlt3,critFlt3))</f>
        <v/>
      </c>
      <c r="G2483">
        <f>IF($B2483="",0,IFERROR(IF(OR(C2483&lt;&gt;0,D2483&lt;&gt;0,E2483&lt;&gt;0,F2483&lt;&gt;0),1,0),1))</f>
        <v>0</v>
      </c>
      <c r="H2483" t="str">
        <f>IF(OR(G2483=0,E2483=0),"",C2483/E2483)</f>
        <v/>
      </c>
      <c r="I2483" t="str">
        <f>IF(OR(G2483=0,F2483=0),"",D2483/F2483)</f>
        <v/>
      </c>
      <c r="J2483" t="str">
        <f>IF(OR(H2483="",I2483=""),"",IF(H2483=0,"",I2483/H2483-1))</f>
        <v/>
      </c>
      <c r="K2483" t="str">
        <f>IF($B2483="","",IFERROR(IF(G2483=0,-2E+300,CHOOSE(sortIdx,ROUND(D2483,0),IF(J2483="",-1E+300,ROUND(-J2483,6)),IF(J2483="",-1E+300,ROUND(J2483,6)))),-1.5E+300))</f>
        <v/>
      </c>
      <c r="L2483" t="str">
        <f>IF(K2483="","",RANK(K2483,$K$2:$K$3001,0)+COUNTIF($K$2:K2483,K2483)-1)</f>
        <v/>
      </c>
    </row>
    <row r="2484">
      <c r="B2484" t="str">
        <f>IFERROR(IF(A2484="","","="&amp;SUBSTITUTE(SUBSTITUTE(SUBSTITUTE(A2484,"~","~~"),"*","~*"),"?","~?")),"")</f>
        <v/>
      </c>
      <c r="C2484" t="str">
        <f>IF($B2484="","",SUMIFS(dAmt,dCust,$B2484,dPer,"&gt;="&amp;pyFrom,dPer,"&lt;="&amp;pyTo,dAmt,"&gt;-1E+300",dFlt1,critFlt1,dFlt2,critFlt2,dFlt3,critFlt3))</f>
        <v/>
      </c>
      <c r="D2484" t="str">
        <f>IF($B2484="","",SUMIFS(dAmt,dCust,$B2484,dPer,"&gt;="&amp;cyFrom,dPer,"&lt;="&amp;cyTo,dAmt,"&gt;-1E+300",dFlt1,critFlt1,dFlt2,critFlt2,dFlt3,critFlt3))</f>
        <v/>
      </c>
      <c r="E2484" t="str">
        <f>IF($B2484="","",SUMIFS(dQty,dCust,$B2484,dPer,"&gt;="&amp;pyFrom,dPer,"&lt;="&amp;pyTo,dQty,"&gt;-1E+300",dFlt1,critFlt1,dFlt2,critFlt2,dFlt3,critFlt3))</f>
        <v/>
      </c>
      <c r="F2484" t="str">
        <f>IF($B2484="","",SUMIFS(dQty,dCust,$B2484,dPer,"&gt;="&amp;cyFrom,dPer,"&lt;="&amp;cyTo,dQty,"&gt;-1E+300",dFlt1,critFlt1,dFlt2,critFlt2,dFlt3,critFlt3))</f>
        <v/>
      </c>
      <c r="G2484">
        <f>IF($B2484="",0,IFERROR(IF(OR(C2484&lt;&gt;0,D2484&lt;&gt;0,E2484&lt;&gt;0,F2484&lt;&gt;0),1,0),1))</f>
        <v>0</v>
      </c>
      <c r="H2484" t="str">
        <f>IF(OR(G2484=0,E2484=0),"",C2484/E2484)</f>
        <v/>
      </c>
      <c r="I2484" t="str">
        <f>IF(OR(G2484=0,F2484=0),"",D2484/F2484)</f>
        <v/>
      </c>
      <c r="J2484" t="str">
        <f>IF(OR(H2484="",I2484=""),"",IF(H2484=0,"",I2484/H2484-1))</f>
        <v/>
      </c>
      <c r="K2484" t="str">
        <f>IF($B2484="","",IFERROR(IF(G2484=0,-2E+300,CHOOSE(sortIdx,ROUND(D2484,0),IF(J2484="",-1E+300,ROUND(-J2484,6)),IF(J2484="",-1E+300,ROUND(J2484,6)))),-1.5E+300))</f>
        <v/>
      </c>
      <c r="L2484" t="str">
        <f>IF(K2484="","",RANK(K2484,$K$2:$K$3001,0)+COUNTIF($K$2:K2484,K2484)-1)</f>
        <v/>
      </c>
    </row>
    <row r="2485">
      <c r="B2485" t="str">
        <f>IFERROR(IF(A2485="","","="&amp;SUBSTITUTE(SUBSTITUTE(SUBSTITUTE(A2485,"~","~~"),"*","~*"),"?","~?")),"")</f>
        <v/>
      </c>
      <c r="C2485" t="str">
        <f>IF($B2485="","",SUMIFS(dAmt,dCust,$B2485,dPer,"&gt;="&amp;pyFrom,dPer,"&lt;="&amp;pyTo,dAmt,"&gt;-1E+300",dFlt1,critFlt1,dFlt2,critFlt2,dFlt3,critFlt3))</f>
        <v/>
      </c>
      <c r="D2485" t="str">
        <f>IF($B2485="","",SUMIFS(dAmt,dCust,$B2485,dPer,"&gt;="&amp;cyFrom,dPer,"&lt;="&amp;cyTo,dAmt,"&gt;-1E+300",dFlt1,critFlt1,dFlt2,critFlt2,dFlt3,critFlt3))</f>
        <v/>
      </c>
      <c r="E2485" t="str">
        <f>IF($B2485="","",SUMIFS(dQty,dCust,$B2485,dPer,"&gt;="&amp;pyFrom,dPer,"&lt;="&amp;pyTo,dQty,"&gt;-1E+300",dFlt1,critFlt1,dFlt2,critFlt2,dFlt3,critFlt3))</f>
        <v/>
      </c>
      <c r="F2485" t="str">
        <f>IF($B2485="","",SUMIFS(dQty,dCust,$B2485,dPer,"&gt;="&amp;cyFrom,dPer,"&lt;="&amp;cyTo,dQty,"&gt;-1E+300",dFlt1,critFlt1,dFlt2,critFlt2,dFlt3,critFlt3))</f>
        <v/>
      </c>
      <c r="G2485">
        <f>IF($B2485="",0,IFERROR(IF(OR(C2485&lt;&gt;0,D2485&lt;&gt;0,E2485&lt;&gt;0,F2485&lt;&gt;0),1,0),1))</f>
        <v>0</v>
      </c>
      <c r="H2485" t="str">
        <f>IF(OR(G2485=0,E2485=0),"",C2485/E2485)</f>
        <v/>
      </c>
      <c r="I2485" t="str">
        <f>IF(OR(G2485=0,F2485=0),"",D2485/F2485)</f>
        <v/>
      </c>
      <c r="J2485" t="str">
        <f>IF(OR(H2485="",I2485=""),"",IF(H2485=0,"",I2485/H2485-1))</f>
        <v/>
      </c>
      <c r="K2485" t="str">
        <f>IF($B2485="","",IFERROR(IF(G2485=0,-2E+300,CHOOSE(sortIdx,ROUND(D2485,0),IF(J2485="",-1E+300,ROUND(-J2485,6)),IF(J2485="",-1E+300,ROUND(J2485,6)))),-1.5E+300))</f>
        <v/>
      </c>
      <c r="L2485" t="str">
        <f>IF(K2485="","",RANK(K2485,$K$2:$K$3001,0)+COUNTIF($K$2:K2485,K2485)-1)</f>
        <v/>
      </c>
    </row>
    <row r="2486">
      <c r="B2486" t="str">
        <f>IFERROR(IF(A2486="","","="&amp;SUBSTITUTE(SUBSTITUTE(SUBSTITUTE(A2486,"~","~~"),"*","~*"),"?","~?")),"")</f>
        <v/>
      </c>
      <c r="C2486" t="str">
        <f>IF($B2486="","",SUMIFS(dAmt,dCust,$B2486,dPer,"&gt;="&amp;pyFrom,dPer,"&lt;="&amp;pyTo,dAmt,"&gt;-1E+300",dFlt1,critFlt1,dFlt2,critFlt2,dFlt3,critFlt3))</f>
        <v/>
      </c>
      <c r="D2486" t="str">
        <f>IF($B2486="","",SUMIFS(dAmt,dCust,$B2486,dPer,"&gt;="&amp;cyFrom,dPer,"&lt;="&amp;cyTo,dAmt,"&gt;-1E+300",dFlt1,critFlt1,dFlt2,critFlt2,dFlt3,critFlt3))</f>
        <v/>
      </c>
      <c r="E2486" t="str">
        <f>IF($B2486="","",SUMIFS(dQty,dCust,$B2486,dPer,"&gt;="&amp;pyFrom,dPer,"&lt;="&amp;pyTo,dQty,"&gt;-1E+300",dFlt1,critFlt1,dFlt2,critFlt2,dFlt3,critFlt3))</f>
        <v/>
      </c>
      <c r="F2486" t="str">
        <f>IF($B2486="","",SUMIFS(dQty,dCust,$B2486,dPer,"&gt;="&amp;cyFrom,dPer,"&lt;="&amp;cyTo,dQty,"&gt;-1E+300",dFlt1,critFlt1,dFlt2,critFlt2,dFlt3,critFlt3))</f>
        <v/>
      </c>
      <c r="G2486">
        <f>IF($B2486="",0,IFERROR(IF(OR(C2486&lt;&gt;0,D2486&lt;&gt;0,E2486&lt;&gt;0,F2486&lt;&gt;0),1,0),1))</f>
        <v>0</v>
      </c>
      <c r="H2486" t="str">
        <f>IF(OR(G2486=0,E2486=0),"",C2486/E2486)</f>
        <v/>
      </c>
      <c r="I2486" t="str">
        <f>IF(OR(G2486=0,F2486=0),"",D2486/F2486)</f>
        <v/>
      </c>
      <c r="J2486" t="str">
        <f>IF(OR(H2486="",I2486=""),"",IF(H2486=0,"",I2486/H2486-1))</f>
        <v/>
      </c>
      <c r="K2486" t="str">
        <f>IF($B2486="","",IFERROR(IF(G2486=0,-2E+300,CHOOSE(sortIdx,ROUND(D2486,0),IF(J2486="",-1E+300,ROUND(-J2486,6)),IF(J2486="",-1E+300,ROUND(J2486,6)))),-1.5E+300))</f>
        <v/>
      </c>
      <c r="L2486" t="str">
        <f>IF(K2486="","",RANK(K2486,$K$2:$K$3001,0)+COUNTIF($K$2:K2486,K2486)-1)</f>
        <v/>
      </c>
    </row>
    <row r="2487">
      <c r="B2487" t="str">
        <f>IFERROR(IF(A2487="","","="&amp;SUBSTITUTE(SUBSTITUTE(SUBSTITUTE(A2487,"~","~~"),"*","~*"),"?","~?")),"")</f>
        <v/>
      </c>
      <c r="C2487" t="str">
        <f>IF($B2487="","",SUMIFS(dAmt,dCust,$B2487,dPer,"&gt;="&amp;pyFrom,dPer,"&lt;="&amp;pyTo,dAmt,"&gt;-1E+300",dFlt1,critFlt1,dFlt2,critFlt2,dFlt3,critFlt3))</f>
        <v/>
      </c>
      <c r="D2487" t="str">
        <f>IF($B2487="","",SUMIFS(dAmt,dCust,$B2487,dPer,"&gt;="&amp;cyFrom,dPer,"&lt;="&amp;cyTo,dAmt,"&gt;-1E+300",dFlt1,critFlt1,dFlt2,critFlt2,dFlt3,critFlt3))</f>
        <v/>
      </c>
      <c r="E2487" t="str">
        <f>IF($B2487="","",SUMIFS(dQty,dCust,$B2487,dPer,"&gt;="&amp;pyFrom,dPer,"&lt;="&amp;pyTo,dQty,"&gt;-1E+300",dFlt1,critFlt1,dFlt2,critFlt2,dFlt3,critFlt3))</f>
        <v/>
      </c>
      <c r="F2487" t="str">
        <f>IF($B2487="","",SUMIFS(dQty,dCust,$B2487,dPer,"&gt;="&amp;cyFrom,dPer,"&lt;="&amp;cyTo,dQty,"&gt;-1E+300",dFlt1,critFlt1,dFlt2,critFlt2,dFlt3,critFlt3))</f>
        <v/>
      </c>
      <c r="G2487">
        <f>IF($B2487="",0,IFERROR(IF(OR(C2487&lt;&gt;0,D2487&lt;&gt;0,E2487&lt;&gt;0,F2487&lt;&gt;0),1,0),1))</f>
        <v>0</v>
      </c>
      <c r="H2487" t="str">
        <f>IF(OR(G2487=0,E2487=0),"",C2487/E2487)</f>
        <v/>
      </c>
      <c r="I2487" t="str">
        <f>IF(OR(G2487=0,F2487=0),"",D2487/F2487)</f>
        <v/>
      </c>
      <c r="J2487" t="str">
        <f>IF(OR(H2487="",I2487=""),"",IF(H2487=0,"",I2487/H2487-1))</f>
        <v/>
      </c>
      <c r="K2487" t="str">
        <f>IF($B2487="","",IFERROR(IF(G2487=0,-2E+300,CHOOSE(sortIdx,ROUND(D2487,0),IF(J2487="",-1E+300,ROUND(-J2487,6)),IF(J2487="",-1E+300,ROUND(J2487,6)))),-1.5E+300))</f>
        <v/>
      </c>
      <c r="L2487" t="str">
        <f>IF(K2487="","",RANK(K2487,$K$2:$K$3001,0)+COUNTIF($K$2:K2487,K2487)-1)</f>
        <v/>
      </c>
    </row>
    <row r="2488">
      <c r="B2488" t="str">
        <f>IFERROR(IF(A2488="","","="&amp;SUBSTITUTE(SUBSTITUTE(SUBSTITUTE(A2488,"~","~~"),"*","~*"),"?","~?")),"")</f>
        <v/>
      </c>
      <c r="C2488" t="str">
        <f>IF($B2488="","",SUMIFS(dAmt,dCust,$B2488,dPer,"&gt;="&amp;pyFrom,dPer,"&lt;="&amp;pyTo,dAmt,"&gt;-1E+300",dFlt1,critFlt1,dFlt2,critFlt2,dFlt3,critFlt3))</f>
        <v/>
      </c>
      <c r="D2488" t="str">
        <f>IF($B2488="","",SUMIFS(dAmt,dCust,$B2488,dPer,"&gt;="&amp;cyFrom,dPer,"&lt;="&amp;cyTo,dAmt,"&gt;-1E+300",dFlt1,critFlt1,dFlt2,critFlt2,dFlt3,critFlt3))</f>
        <v/>
      </c>
      <c r="E2488" t="str">
        <f>IF($B2488="","",SUMIFS(dQty,dCust,$B2488,dPer,"&gt;="&amp;pyFrom,dPer,"&lt;="&amp;pyTo,dQty,"&gt;-1E+300",dFlt1,critFlt1,dFlt2,critFlt2,dFlt3,critFlt3))</f>
        <v/>
      </c>
      <c r="F2488" t="str">
        <f>IF($B2488="","",SUMIFS(dQty,dCust,$B2488,dPer,"&gt;="&amp;cyFrom,dPer,"&lt;="&amp;cyTo,dQty,"&gt;-1E+300",dFlt1,critFlt1,dFlt2,critFlt2,dFlt3,critFlt3))</f>
        <v/>
      </c>
      <c r="G2488">
        <f>IF($B2488="",0,IFERROR(IF(OR(C2488&lt;&gt;0,D2488&lt;&gt;0,E2488&lt;&gt;0,F2488&lt;&gt;0),1,0),1))</f>
        <v>0</v>
      </c>
      <c r="H2488" t="str">
        <f>IF(OR(G2488=0,E2488=0),"",C2488/E2488)</f>
        <v/>
      </c>
      <c r="I2488" t="str">
        <f>IF(OR(G2488=0,F2488=0),"",D2488/F2488)</f>
        <v/>
      </c>
      <c r="J2488" t="str">
        <f>IF(OR(H2488="",I2488=""),"",IF(H2488=0,"",I2488/H2488-1))</f>
        <v/>
      </c>
      <c r="K2488" t="str">
        <f>IF($B2488="","",IFERROR(IF(G2488=0,-2E+300,CHOOSE(sortIdx,ROUND(D2488,0),IF(J2488="",-1E+300,ROUND(-J2488,6)),IF(J2488="",-1E+300,ROUND(J2488,6)))),-1.5E+300))</f>
        <v/>
      </c>
      <c r="L2488" t="str">
        <f>IF(K2488="","",RANK(K2488,$K$2:$K$3001,0)+COUNTIF($K$2:K2488,K2488)-1)</f>
        <v/>
      </c>
    </row>
    <row r="2489">
      <c r="B2489" t="str">
        <f>IFERROR(IF(A2489="","","="&amp;SUBSTITUTE(SUBSTITUTE(SUBSTITUTE(A2489,"~","~~"),"*","~*"),"?","~?")),"")</f>
        <v/>
      </c>
      <c r="C2489" t="str">
        <f>IF($B2489="","",SUMIFS(dAmt,dCust,$B2489,dPer,"&gt;="&amp;pyFrom,dPer,"&lt;="&amp;pyTo,dAmt,"&gt;-1E+300",dFlt1,critFlt1,dFlt2,critFlt2,dFlt3,critFlt3))</f>
        <v/>
      </c>
      <c r="D2489" t="str">
        <f>IF($B2489="","",SUMIFS(dAmt,dCust,$B2489,dPer,"&gt;="&amp;cyFrom,dPer,"&lt;="&amp;cyTo,dAmt,"&gt;-1E+300",dFlt1,critFlt1,dFlt2,critFlt2,dFlt3,critFlt3))</f>
        <v/>
      </c>
      <c r="E2489" t="str">
        <f>IF($B2489="","",SUMIFS(dQty,dCust,$B2489,dPer,"&gt;="&amp;pyFrom,dPer,"&lt;="&amp;pyTo,dQty,"&gt;-1E+300",dFlt1,critFlt1,dFlt2,critFlt2,dFlt3,critFlt3))</f>
        <v/>
      </c>
      <c r="F2489" t="str">
        <f>IF($B2489="","",SUMIFS(dQty,dCust,$B2489,dPer,"&gt;="&amp;cyFrom,dPer,"&lt;="&amp;cyTo,dQty,"&gt;-1E+300",dFlt1,critFlt1,dFlt2,critFlt2,dFlt3,critFlt3))</f>
        <v/>
      </c>
      <c r="G2489">
        <f>IF($B2489="",0,IFERROR(IF(OR(C2489&lt;&gt;0,D2489&lt;&gt;0,E2489&lt;&gt;0,F2489&lt;&gt;0),1,0),1))</f>
        <v>0</v>
      </c>
      <c r="H2489" t="str">
        <f>IF(OR(G2489=0,E2489=0),"",C2489/E2489)</f>
        <v/>
      </c>
      <c r="I2489" t="str">
        <f>IF(OR(G2489=0,F2489=0),"",D2489/F2489)</f>
        <v/>
      </c>
      <c r="J2489" t="str">
        <f>IF(OR(H2489="",I2489=""),"",IF(H2489=0,"",I2489/H2489-1))</f>
        <v/>
      </c>
      <c r="K2489" t="str">
        <f>IF($B2489="","",IFERROR(IF(G2489=0,-2E+300,CHOOSE(sortIdx,ROUND(D2489,0),IF(J2489="",-1E+300,ROUND(-J2489,6)),IF(J2489="",-1E+300,ROUND(J2489,6)))),-1.5E+300))</f>
        <v/>
      </c>
      <c r="L2489" t="str">
        <f>IF(K2489="","",RANK(K2489,$K$2:$K$3001,0)+COUNTIF($K$2:K2489,K2489)-1)</f>
        <v/>
      </c>
    </row>
    <row r="2490">
      <c r="B2490" t="str">
        <f>IFERROR(IF(A2490="","","="&amp;SUBSTITUTE(SUBSTITUTE(SUBSTITUTE(A2490,"~","~~"),"*","~*"),"?","~?")),"")</f>
        <v/>
      </c>
      <c r="C2490" t="str">
        <f>IF($B2490="","",SUMIFS(dAmt,dCust,$B2490,dPer,"&gt;="&amp;pyFrom,dPer,"&lt;="&amp;pyTo,dAmt,"&gt;-1E+300",dFlt1,critFlt1,dFlt2,critFlt2,dFlt3,critFlt3))</f>
        <v/>
      </c>
      <c r="D2490" t="str">
        <f>IF($B2490="","",SUMIFS(dAmt,dCust,$B2490,dPer,"&gt;="&amp;cyFrom,dPer,"&lt;="&amp;cyTo,dAmt,"&gt;-1E+300",dFlt1,critFlt1,dFlt2,critFlt2,dFlt3,critFlt3))</f>
        <v/>
      </c>
      <c r="E2490" t="str">
        <f>IF($B2490="","",SUMIFS(dQty,dCust,$B2490,dPer,"&gt;="&amp;pyFrom,dPer,"&lt;="&amp;pyTo,dQty,"&gt;-1E+300",dFlt1,critFlt1,dFlt2,critFlt2,dFlt3,critFlt3))</f>
        <v/>
      </c>
      <c r="F2490" t="str">
        <f>IF($B2490="","",SUMIFS(dQty,dCust,$B2490,dPer,"&gt;="&amp;cyFrom,dPer,"&lt;="&amp;cyTo,dQty,"&gt;-1E+300",dFlt1,critFlt1,dFlt2,critFlt2,dFlt3,critFlt3))</f>
        <v/>
      </c>
      <c r="G2490">
        <f>IF($B2490="",0,IFERROR(IF(OR(C2490&lt;&gt;0,D2490&lt;&gt;0,E2490&lt;&gt;0,F2490&lt;&gt;0),1,0),1))</f>
        <v>0</v>
      </c>
      <c r="H2490" t="str">
        <f>IF(OR(G2490=0,E2490=0),"",C2490/E2490)</f>
        <v/>
      </c>
      <c r="I2490" t="str">
        <f>IF(OR(G2490=0,F2490=0),"",D2490/F2490)</f>
        <v/>
      </c>
      <c r="J2490" t="str">
        <f>IF(OR(H2490="",I2490=""),"",IF(H2490=0,"",I2490/H2490-1))</f>
        <v/>
      </c>
      <c r="K2490" t="str">
        <f>IF($B2490="","",IFERROR(IF(G2490=0,-2E+300,CHOOSE(sortIdx,ROUND(D2490,0),IF(J2490="",-1E+300,ROUND(-J2490,6)),IF(J2490="",-1E+300,ROUND(J2490,6)))),-1.5E+300))</f>
        <v/>
      </c>
      <c r="L2490" t="str">
        <f>IF(K2490="","",RANK(K2490,$K$2:$K$3001,0)+COUNTIF($K$2:K2490,K2490)-1)</f>
        <v/>
      </c>
    </row>
    <row r="2491">
      <c r="B2491" t="str">
        <f>IFERROR(IF(A2491="","","="&amp;SUBSTITUTE(SUBSTITUTE(SUBSTITUTE(A2491,"~","~~"),"*","~*"),"?","~?")),"")</f>
        <v/>
      </c>
      <c r="C2491" t="str">
        <f>IF($B2491="","",SUMIFS(dAmt,dCust,$B2491,dPer,"&gt;="&amp;pyFrom,dPer,"&lt;="&amp;pyTo,dAmt,"&gt;-1E+300",dFlt1,critFlt1,dFlt2,critFlt2,dFlt3,critFlt3))</f>
        <v/>
      </c>
      <c r="D2491" t="str">
        <f>IF($B2491="","",SUMIFS(dAmt,dCust,$B2491,dPer,"&gt;="&amp;cyFrom,dPer,"&lt;="&amp;cyTo,dAmt,"&gt;-1E+300",dFlt1,critFlt1,dFlt2,critFlt2,dFlt3,critFlt3))</f>
        <v/>
      </c>
      <c r="E2491" t="str">
        <f>IF($B2491="","",SUMIFS(dQty,dCust,$B2491,dPer,"&gt;="&amp;pyFrom,dPer,"&lt;="&amp;pyTo,dQty,"&gt;-1E+300",dFlt1,critFlt1,dFlt2,critFlt2,dFlt3,critFlt3))</f>
        <v/>
      </c>
      <c r="F2491" t="str">
        <f>IF($B2491="","",SUMIFS(dQty,dCust,$B2491,dPer,"&gt;="&amp;cyFrom,dPer,"&lt;="&amp;cyTo,dQty,"&gt;-1E+300",dFlt1,critFlt1,dFlt2,critFlt2,dFlt3,critFlt3))</f>
        <v/>
      </c>
      <c r="G2491">
        <f>IF($B2491="",0,IFERROR(IF(OR(C2491&lt;&gt;0,D2491&lt;&gt;0,E2491&lt;&gt;0,F2491&lt;&gt;0),1,0),1))</f>
        <v>0</v>
      </c>
      <c r="H2491" t="str">
        <f>IF(OR(G2491=0,E2491=0),"",C2491/E2491)</f>
        <v/>
      </c>
      <c r="I2491" t="str">
        <f>IF(OR(G2491=0,F2491=0),"",D2491/F2491)</f>
        <v/>
      </c>
      <c r="J2491" t="str">
        <f>IF(OR(H2491="",I2491=""),"",IF(H2491=0,"",I2491/H2491-1))</f>
        <v/>
      </c>
      <c r="K2491" t="str">
        <f>IF($B2491="","",IFERROR(IF(G2491=0,-2E+300,CHOOSE(sortIdx,ROUND(D2491,0),IF(J2491="",-1E+300,ROUND(-J2491,6)),IF(J2491="",-1E+300,ROUND(J2491,6)))),-1.5E+300))</f>
        <v/>
      </c>
      <c r="L2491" t="str">
        <f>IF(K2491="","",RANK(K2491,$K$2:$K$3001,0)+COUNTIF($K$2:K2491,K2491)-1)</f>
        <v/>
      </c>
    </row>
    <row r="2492">
      <c r="B2492" t="str">
        <f>IFERROR(IF(A2492="","","="&amp;SUBSTITUTE(SUBSTITUTE(SUBSTITUTE(A2492,"~","~~"),"*","~*"),"?","~?")),"")</f>
        <v/>
      </c>
      <c r="C2492" t="str">
        <f>IF($B2492="","",SUMIFS(dAmt,dCust,$B2492,dPer,"&gt;="&amp;pyFrom,dPer,"&lt;="&amp;pyTo,dAmt,"&gt;-1E+300",dFlt1,critFlt1,dFlt2,critFlt2,dFlt3,critFlt3))</f>
        <v/>
      </c>
      <c r="D2492" t="str">
        <f>IF($B2492="","",SUMIFS(dAmt,dCust,$B2492,dPer,"&gt;="&amp;cyFrom,dPer,"&lt;="&amp;cyTo,dAmt,"&gt;-1E+300",dFlt1,critFlt1,dFlt2,critFlt2,dFlt3,critFlt3))</f>
        <v/>
      </c>
      <c r="E2492" t="str">
        <f>IF($B2492="","",SUMIFS(dQty,dCust,$B2492,dPer,"&gt;="&amp;pyFrom,dPer,"&lt;="&amp;pyTo,dQty,"&gt;-1E+300",dFlt1,critFlt1,dFlt2,critFlt2,dFlt3,critFlt3))</f>
        <v/>
      </c>
      <c r="F2492" t="str">
        <f>IF($B2492="","",SUMIFS(dQty,dCust,$B2492,dPer,"&gt;="&amp;cyFrom,dPer,"&lt;="&amp;cyTo,dQty,"&gt;-1E+300",dFlt1,critFlt1,dFlt2,critFlt2,dFlt3,critFlt3))</f>
        <v/>
      </c>
      <c r="G2492">
        <f>IF($B2492="",0,IFERROR(IF(OR(C2492&lt;&gt;0,D2492&lt;&gt;0,E2492&lt;&gt;0,F2492&lt;&gt;0),1,0),1))</f>
        <v>0</v>
      </c>
      <c r="H2492" t="str">
        <f>IF(OR(G2492=0,E2492=0),"",C2492/E2492)</f>
        <v/>
      </c>
      <c r="I2492" t="str">
        <f>IF(OR(G2492=0,F2492=0),"",D2492/F2492)</f>
        <v/>
      </c>
      <c r="J2492" t="str">
        <f>IF(OR(H2492="",I2492=""),"",IF(H2492=0,"",I2492/H2492-1))</f>
        <v/>
      </c>
      <c r="K2492" t="str">
        <f>IF($B2492="","",IFERROR(IF(G2492=0,-2E+300,CHOOSE(sortIdx,ROUND(D2492,0),IF(J2492="",-1E+300,ROUND(-J2492,6)),IF(J2492="",-1E+300,ROUND(J2492,6)))),-1.5E+300))</f>
        <v/>
      </c>
      <c r="L2492" t="str">
        <f>IF(K2492="","",RANK(K2492,$K$2:$K$3001,0)+COUNTIF($K$2:K2492,K2492)-1)</f>
        <v/>
      </c>
    </row>
    <row r="2493">
      <c r="B2493" t="str">
        <f>IFERROR(IF(A2493="","","="&amp;SUBSTITUTE(SUBSTITUTE(SUBSTITUTE(A2493,"~","~~"),"*","~*"),"?","~?")),"")</f>
        <v/>
      </c>
      <c r="C2493" t="str">
        <f>IF($B2493="","",SUMIFS(dAmt,dCust,$B2493,dPer,"&gt;="&amp;pyFrom,dPer,"&lt;="&amp;pyTo,dAmt,"&gt;-1E+300",dFlt1,critFlt1,dFlt2,critFlt2,dFlt3,critFlt3))</f>
        <v/>
      </c>
      <c r="D2493" t="str">
        <f>IF($B2493="","",SUMIFS(dAmt,dCust,$B2493,dPer,"&gt;="&amp;cyFrom,dPer,"&lt;="&amp;cyTo,dAmt,"&gt;-1E+300",dFlt1,critFlt1,dFlt2,critFlt2,dFlt3,critFlt3))</f>
        <v/>
      </c>
      <c r="E2493" t="str">
        <f>IF($B2493="","",SUMIFS(dQty,dCust,$B2493,dPer,"&gt;="&amp;pyFrom,dPer,"&lt;="&amp;pyTo,dQty,"&gt;-1E+300",dFlt1,critFlt1,dFlt2,critFlt2,dFlt3,critFlt3))</f>
        <v/>
      </c>
      <c r="F2493" t="str">
        <f>IF($B2493="","",SUMIFS(dQty,dCust,$B2493,dPer,"&gt;="&amp;cyFrom,dPer,"&lt;="&amp;cyTo,dQty,"&gt;-1E+300",dFlt1,critFlt1,dFlt2,critFlt2,dFlt3,critFlt3))</f>
        <v/>
      </c>
      <c r="G2493">
        <f>IF($B2493="",0,IFERROR(IF(OR(C2493&lt;&gt;0,D2493&lt;&gt;0,E2493&lt;&gt;0,F2493&lt;&gt;0),1,0),1))</f>
        <v>0</v>
      </c>
      <c r="H2493" t="str">
        <f>IF(OR(G2493=0,E2493=0),"",C2493/E2493)</f>
        <v/>
      </c>
      <c r="I2493" t="str">
        <f>IF(OR(G2493=0,F2493=0),"",D2493/F2493)</f>
        <v/>
      </c>
      <c r="J2493" t="str">
        <f>IF(OR(H2493="",I2493=""),"",IF(H2493=0,"",I2493/H2493-1))</f>
        <v/>
      </c>
      <c r="K2493" t="str">
        <f>IF($B2493="","",IFERROR(IF(G2493=0,-2E+300,CHOOSE(sortIdx,ROUND(D2493,0),IF(J2493="",-1E+300,ROUND(-J2493,6)),IF(J2493="",-1E+300,ROUND(J2493,6)))),-1.5E+300))</f>
        <v/>
      </c>
      <c r="L2493" t="str">
        <f>IF(K2493="","",RANK(K2493,$K$2:$K$3001,0)+COUNTIF($K$2:K2493,K2493)-1)</f>
        <v/>
      </c>
    </row>
    <row r="2494">
      <c r="B2494" t="str">
        <f>IFERROR(IF(A2494="","","="&amp;SUBSTITUTE(SUBSTITUTE(SUBSTITUTE(A2494,"~","~~"),"*","~*"),"?","~?")),"")</f>
        <v/>
      </c>
      <c r="C2494" t="str">
        <f>IF($B2494="","",SUMIFS(dAmt,dCust,$B2494,dPer,"&gt;="&amp;pyFrom,dPer,"&lt;="&amp;pyTo,dAmt,"&gt;-1E+300",dFlt1,critFlt1,dFlt2,critFlt2,dFlt3,critFlt3))</f>
        <v/>
      </c>
      <c r="D2494" t="str">
        <f>IF($B2494="","",SUMIFS(dAmt,dCust,$B2494,dPer,"&gt;="&amp;cyFrom,dPer,"&lt;="&amp;cyTo,dAmt,"&gt;-1E+300",dFlt1,critFlt1,dFlt2,critFlt2,dFlt3,critFlt3))</f>
        <v/>
      </c>
      <c r="E2494" t="str">
        <f>IF($B2494="","",SUMIFS(dQty,dCust,$B2494,dPer,"&gt;="&amp;pyFrom,dPer,"&lt;="&amp;pyTo,dQty,"&gt;-1E+300",dFlt1,critFlt1,dFlt2,critFlt2,dFlt3,critFlt3))</f>
        <v/>
      </c>
      <c r="F2494" t="str">
        <f>IF($B2494="","",SUMIFS(dQty,dCust,$B2494,dPer,"&gt;="&amp;cyFrom,dPer,"&lt;="&amp;cyTo,dQty,"&gt;-1E+300",dFlt1,critFlt1,dFlt2,critFlt2,dFlt3,critFlt3))</f>
        <v/>
      </c>
      <c r="G2494">
        <f>IF($B2494="",0,IFERROR(IF(OR(C2494&lt;&gt;0,D2494&lt;&gt;0,E2494&lt;&gt;0,F2494&lt;&gt;0),1,0),1))</f>
        <v>0</v>
      </c>
      <c r="H2494" t="str">
        <f>IF(OR(G2494=0,E2494=0),"",C2494/E2494)</f>
        <v/>
      </c>
      <c r="I2494" t="str">
        <f>IF(OR(G2494=0,F2494=0),"",D2494/F2494)</f>
        <v/>
      </c>
      <c r="J2494" t="str">
        <f>IF(OR(H2494="",I2494=""),"",IF(H2494=0,"",I2494/H2494-1))</f>
        <v/>
      </c>
      <c r="K2494" t="str">
        <f>IF($B2494="","",IFERROR(IF(G2494=0,-2E+300,CHOOSE(sortIdx,ROUND(D2494,0),IF(J2494="",-1E+300,ROUND(-J2494,6)),IF(J2494="",-1E+300,ROUND(J2494,6)))),-1.5E+300))</f>
        <v/>
      </c>
      <c r="L2494" t="str">
        <f>IF(K2494="","",RANK(K2494,$K$2:$K$3001,0)+COUNTIF($K$2:K2494,K2494)-1)</f>
        <v/>
      </c>
    </row>
    <row r="2495">
      <c r="B2495" t="str">
        <f>IFERROR(IF(A2495="","","="&amp;SUBSTITUTE(SUBSTITUTE(SUBSTITUTE(A2495,"~","~~"),"*","~*"),"?","~?")),"")</f>
        <v/>
      </c>
      <c r="C2495" t="str">
        <f>IF($B2495="","",SUMIFS(dAmt,dCust,$B2495,dPer,"&gt;="&amp;pyFrom,dPer,"&lt;="&amp;pyTo,dAmt,"&gt;-1E+300",dFlt1,critFlt1,dFlt2,critFlt2,dFlt3,critFlt3))</f>
        <v/>
      </c>
      <c r="D2495" t="str">
        <f>IF($B2495="","",SUMIFS(dAmt,dCust,$B2495,dPer,"&gt;="&amp;cyFrom,dPer,"&lt;="&amp;cyTo,dAmt,"&gt;-1E+300",dFlt1,critFlt1,dFlt2,critFlt2,dFlt3,critFlt3))</f>
        <v/>
      </c>
      <c r="E2495" t="str">
        <f>IF($B2495="","",SUMIFS(dQty,dCust,$B2495,dPer,"&gt;="&amp;pyFrom,dPer,"&lt;="&amp;pyTo,dQty,"&gt;-1E+300",dFlt1,critFlt1,dFlt2,critFlt2,dFlt3,critFlt3))</f>
        <v/>
      </c>
      <c r="F2495" t="str">
        <f>IF($B2495="","",SUMIFS(dQty,dCust,$B2495,dPer,"&gt;="&amp;cyFrom,dPer,"&lt;="&amp;cyTo,dQty,"&gt;-1E+300",dFlt1,critFlt1,dFlt2,critFlt2,dFlt3,critFlt3))</f>
        <v/>
      </c>
      <c r="G2495">
        <f>IF($B2495="",0,IFERROR(IF(OR(C2495&lt;&gt;0,D2495&lt;&gt;0,E2495&lt;&gt;0,F2495&lt;&gt;0),1,0),1))</f>
        <v>0</v>
      </c>
      <c r="H2495" t="str">
        <f>IF(OR(G2495=0,E2495=0),"",C2495/E2495)</f>
        <v/>
      </c>
      <c r="I2495" t="str">
        <f>IF(OR(G2495=0,F2495=0),"",D2495/F2495)</f>
        <v/>
      </c>
      <c r="J2495" t="str">
        <f>IF(OR(H2495="",I2495=""),"",IF(H2495=0,"",I2495/H2495-1))</f>
        <v/>
      </c>
      <c r="K2495" t="str">
        <f>IF($B2495="","",IFERROR(IF(G2495=0,-2E+300,CHOOSE(sortIdx,ROUND(D2495,0),IF(J2495="",-1E+300,ROUND(-J2495,6)),IF(J2495="",-1E+300,ROUND(J2495,6)))),-1.5E+300))</f>
        <v/>
      </c>
      <c r="L2495" t="str">
        <f>IF(K2495="","",RANK(K2495,$K$2:$K$3001,0)+COUNTIF($K$2:K2495,K2495)-1)</f>
        <v/>
      </c>
    </row>
    <row r="2496">
      <c r="B2496" t="str">
        <f>IFERROR(IF(A2496="","","="&amp;SUBSTITUTE(SUBSTITUTE(SUBSTITUTE(A2496,"~","~~"),"*","~*"),"?","~?")),"")</f>
        <v/>
      </c>
      <c r="C2496" t="str">
        <f>IF($B2496="","",SUMIFS(dAmt,dCust,$B2496,dPer,"&gt;="&amp;pyFrom,dPer,"&lt;="&amp;pyTo,dAmt,"&gt;-1E+300",dFlt1,critFlt1,dFlt2,critFlt2,dFlt3,critFlt3))</f>
        <v/>
      </c>
      <c r="D2496" t="str">
        <f>IF($B2496="","",SUMIFS(dAmt,dCust,$B2496,dPer,"&gt;="&amp;cyFrom,dPer,"&lt;="&amp;cyTo,dAmt,"&gt;-1E+300",dFlt1,critFlt1,dFlt2,critFlt2,dFlt3,critFlt3))</f>
        <v/>
      </c>
      <c r="E2496" t="str">
        <f>IF($B2496="","",SUMIFS(dQty,dCust,$B2496,dPer,"&gt;="&amp;pyFrom,dPer,"&lt;="&amp;pyTo,dQty,"&gt;-1E+300",dFlt1,critFlt1,dFlt2,critFlt2,dFlt3,critFlt3))</f>
        <v/>
      </c>
      <c r="F2496" t="str">
        <f>IF($B2496="","",SUMIFS(dQty,dCust,$B2496,dPer,"&gt;="&amp;cyFrom,dPer,"&lt;="&amp;cyTo,dQty,"&gt;-1E+300",dFlt1,critFlt1,dFlt2,critFlt2,dFlt3,critFlt3))</f>
        <v/>
      </c>
      <c r="G2496">
        <f>IF($B2496="",0,IFERROR(IF(OR(C2496&lt;&gt;0,D2496&lt;&gt;0,E2496&lt;&gt;0,F2496&lt;&gt;0),1,0),1))</f>
        <v>0</v>
      </c>
      <c r="H2496" t="str">
        <f>IF(OR(G2496=0,E2496=0),"",C2496/E2496)</f>
        <v/>
      </c>
      <c r="I2496" t="str">
        <f>IF(OR(G2496=0,F2496=0),"",D2496/F2496)</f>
        <v/>
      </c>
      <c r="J2496" t="str">
        <f>IF(OR(H2496="",I2496=""),"",IF(H2496=0,"",I2496/H2496-1))</f>
        <v/>
      </c>
      <c r="K2496" t="str">
        <f>IF($B2496="","",IFERROR(IF(G2496=0,-2E+300,CHOOSE(sortIdx,ROUND(D2496,0),IF(J2496="",-1E+300,ROUND(-J2496,6)),IF(J2496="",-1E+300,ROUND(J2496,6)))),-1.5E+300))</f>
        <v/>
      </c>
      <c r="L2496" t="str">
        <f>IF(K2496="","",RANK(K2496,$K$2:$K$3001,0)+COUNTIF($K$2:K2496,K2496)-1)</f>
        <v/>
      </c>
    </row>
    <row r="2497">
      <c r="B2497" t="str">
        <f>IFERROR(IF(A2497="","","="&amp;SUBSTITUTE(SUBSTITUTE(SUBSTITUTE(A2497,"~","~~"),"*","~*"),"?","~?")),"")</f>
        <v/>
      </c>
      <c r="C2497" t="str">
        <f>IF($B2497="","",SUMIFS(dAmt,dCust,$B2497,dPer,"&gt;="&amp;pyFrom,dPer,"&lt;="&amp;pyTo,dAmt,"&gt;-1E+300",dFlt1,critFlt1,dFlt2,critFlt2,dFlt3,critFlt3))</f>
        <v/>
      </c>
      <c r="D2497" t="str">
        <f>IF($B2497="","",SUMIFS(dAmt,dCust,$B2497,dPer,"&gt;="&amp;cyFrom,dPer,"&lt;="&amp;cyTo,dAmt,"&gt;-1E+300",dFlt1,critFlt1,dFlt2,critFlt2,dFlt3,critFlt3))</f>
        <v/>
      </c>
      <c r="E2497" t="str">
        <f>IF($B2497="","",SUMIFS(dQty,dCust,$B2497,dPer,"&gt;="&amp;pyFrom,dPer,"&lt;="&amp;pyTo,dQty,"&gt;-1E+300",dFlt1,critFlt1,dFlt2,critFlt2,dFlt3,critFlt3))</f>
        <v/>
      </c>
      <c r="F2497" t="str">
        <f>IF($B2497="","",SUMIFS(dQty,dCust,$B2497,dPer,"&gt;="&amp;cyFrom,dPer,"&lt;="&amp;cyTo,dQty,"&gt;-1E+300",dFlt1,critFlt1,dFlt2,critFlt2,dFlt3,critFlt3))</f>
        <v/>
      </c>
      <c r="G2497">
        <f>IF($B2497="",0,IFERROR(IF(OR(C2497&lt;&gt;0,D2497&lt;&gt;0,E2497&lt;&gt;0,F2497&lt;&gt;0),1,0),1))</f>
        <v>0</v>
      </c>
      <c r="H2497" t="str">
        <f>IF(OR(G2497=0,E2497=0),"",C2497/E2497)</f>
        <v/>
      </c>
      <c r="I2497" t="str">
        <f>IF(OR(G2497=0,F2497=0),"",D2497/F2497)</f>
        <v/>
      </c>
      <c r="J2497" t="str">
        <f>IF(OR(H2497="",I2497=""),"",IF(H2497=0,"",I2497/H2497-1))</f>
        <v/>
      </c>
      <c r="K2497" t="str">
        <f>IF($B2497="","",IFERROR(IF(G2497=0,-2E+300,CHOOSE(sortIdx,ROUND(D2497,0),IF(J2497="",-1E+300,ROUND(-J2497,6)),IF(J2497="",-1E+300,ROUND(J2497,6)))),-1.5E+300))</f>
        <v/>
      </c>
      <c r="L2497" t="str">
        <f>IF(K2497="","",RANK(K2497,$K$2:$K$3001,0)+COUNTIF($K$2:K2497,K2497)-1)</f>
        <v/>
      </c>
    </row>
    <row r="2498">
      <c r="B2498" t="str">
        <f>IFERROR(IF(A2498="","","="&amp;SUBSTITUTE(SUBSTITUTE(SUBSTITUTE(A2498,"~","~~"),"*","~*"),"?","~?")),"")</f>
        <v/>
      </c>
      <c r="C2498" t="str">
        <f>IF($B2498="","",SUMIFS(dAmt,dCust,$B2498,dPer,"&gt;="&amp;pyFrom,dPer,"&lt;="&amp;pyTo,dAmt,"&gt;-1E+300",dFlt1,critFlt1,dFlt2,critFlt2,dFlt3,critFlt3))</f>
        <v/>
      </c>
      <c r="D2498" t="str">
        <f>IF($B2498="","",SUMIFS(dAmt,dCust,$B2498,dPer,"&gt;="&amp;cyFrom,dPer,"&lt;="&amp;cyTo,dAmt,"&gt;-1E+300",dFlt1,critFlt1,dFlt2,critFlt2,dFlt3,critFlt3))</f>
        <v/>
      </c>
      <c r="E2498" t="str">
        <f>IF($B2498="","",SUMIFS(dQty,dCust,$B2498,dPer,"&gt;="&amp;pyFrom,dPer,"&lt;="&amp;pyTo,dQty,"&gt;-1E+300",dFlt1,critFlt1,dFlt2,critFlt2,dFlt3,critFlt3))</f>
        <v/>
      </c>
      <c r="F2498" t="str">
        <f>IF($B2498="","",SUMIFS(dQty,dCust,$B2498,dPer,"&gt;="&amp;cyFrom,dPer,"&lt;="&amp;cyTo,dQty,"&gt;-1E+300",dFlt1,critFlt1,dFlt2,critFlt2,dFlt3,critFlt3))</f>
        <v/>
      </c>
      <c r="G2498">
        <f>IF($B2498="",0,IFERROR(IF(OR(C2498&lt;&gt;0,D2498&lt;&gt;0,E2498&lt;&gt;0,F2498&lt;&gt;0),1,0),1))</f>
        <v>0</v>
      </c>
      <c r="H2498" t="str">
        <f>IF(OR(G2498=0,E2498=0),"",C2498/E2498)</f>
        <v/>
      </c>
      <c r="I2498" t="str">
        <f>IF(OR(G2498=0,F2498=0),"",D2498/F2498)</f>
        <v/>
      </c>
      <c r="J2498" t="str">
        <f>IF(OR(H2498="",I2498=""),"",IF(H2498=0,"",I2498/H2498-1))</f>
        <v/>
      </c>
      <c r="K2498" t="str">
        <f>IF($B2498="","",IFERROR(IF(G2498=0,-2E+300,CHOOSE(sortIdx,ROUND(D2498,0),IF(J2498="",-1E+300,ROUND(-J2498,6)),IF(J2498="",-1E+300,ROUND(J2498,6)))),-1.5E+300))</f>
        <v/>
      </c>
      <c r="L2498" t="str">
        <f>IF(K2498="","",RANK(K2498,$K$2:$K$3001,0)+COUNTIF($K$2:K2498,K2498)-1)</f>
        <v/>
      </c>
    </row>
    <row r="2499">
      <c r="B2499" t="str">
        <f>IFERROR(IF(A2499="","","="&amp;SUBSTITUTE(SUBSTITUTE(SUBSTITUTE(A2499,"~","~~"),"*","~*"),"?","~?")),"")</f>
        <v/>
      </c>
      <c r="C2499" t="str">
        <f>IF($B2499="","",SUMIFS(dAmt,dCust,$B2499,dPer,"&gt;="&amp;pyFrom,dPer,"&lt;="&amp;pyTo,dAmt,"&gt;-1E+300",dFlt1,critFlt1,dFlt2,critFlt2,dFlt3,critFlt3))</f>
        <v/>
      </c>
      <c r="D2499" t="str">
        <f>IF($B2499="","",SUMIFS(dAmt,dCust,$B2499,dPer,"&gt;="&amp;cyFrom,dPer,"&lt;="&amp;cyTo,dAmt,"&gt;-1E+300",dFlt1,critFlt1,dFlt2,critFlt2,dFlt3,critFlt3))</f>
        <v/>
      </c>
      <c r="E2499" t="str">
        <f>IF($B2499="","",SUMIFS(dQty,dCust,$B2499,dPer,"&gt;="&amp;pyFrom,dPer,"&lt;="&amp;pyTo,dQty,"&gt;-1E+300",dFlt1,critFlt1,dFlt2,critFlt2,dFlt3,critFlt3))</f>
        <v/>
      </c>
      <c r="F2499" t="str">
        <f>IF($B2499="","",SUMIFS(dQty,dCust,$B2499,dPer,"&gt;="&amp;cyFrom,dPer,"&lt;="&amp;cyTo,dQty,"&gt;-1E+300",dFlt1,critFlt1,dFlt2,critFlt2,dFlt3,critFlt3))</f>
        <v/>
      </c>
      <c r="G2499">
        <f>IF($B2499="",0,IFERROR(IF(OR(C2499&lt;&gt;0,D2499&lt;&gt;0,E2499&lt;&gt;0,F2499&lt;&gt;0),1,0),1))</f>
        <v>0</v>
      </c>
      <c r="H2499" t="str">
        <f>IF(OR(G2499=0,E2499=0),"",C2499/E2499)</f>
        <v/>
      </c>
      <c r="I2499" t="str">
        <f>IF(OR(G2499=0,F2499=0),"",D2499/F2499)</f>
        <v/>
      </c>
      <c r="J2499" t="str">
        <f>IF(OR(H2499="",I2499=""),"",IF(H2499=0,"",I2499/H2499-1))</f>
        <v/>
      </c>
      <c r="K2499" t="str">
        <f>IF($B2499="","",IFERROR(IF(G2499=0,-2E+300,CHOOSE(sortIdx,ROUND(D2499,0),IF(J2499="",-1E+300,ROUND(-J2499,6)),IF(J2499="",-1E+300,ROUND(J2499,6)))),-1.5E+300))</f>
        <v/>
      </c>
      <c r="L2499" t="str">
        <f>IF(K2499="","",RANK(K2499,$K$2:$K$3001,0)+COUNTIF($K$2:K2499,K2499)-1)</f>
        <v/>
      </c>
    </row>
    <row r="2500">
      <c r="B2500" t="str">
        <f>IFERROR(IF(A2500="","","="&amp;SUBSTITUTE(SUBSTITUTE(SUBSTITUTE(A2500,"~","~~"),"*","~*"),"?","~?")),"")</f>
        <v/>
      </c>
      <c r="C2500" t="str">
        <f>IF($B2500="","",SUMIFS(dAmt,dCust,$B2500,dPer,"&gt;="&amp;pyFrom,dPer,"&lt;="&amp;pyTo,dAmt,"&gt;-1E+300",dFlt1,critFlt1,dFlt2,critFlt2,dFlt3,critFlt3))</f>
        <v/>
      </c>
      <c r="D2500" t="str">
        <f>IF($B2500="","",SUMIFS(dAmt,dCust,$B2500,dPer,"&gt;="&amp;cyFrom,dPer,"&lt;="&amp;cyTo,dAmt,"&gt;-1E+300",dFlt1,critFlt1,dFlt2,critFlt2,dFlt3,critFlt3))</f>
        <v/>
      </c>
      <c r="E2500" t="str">
        <f>IF($B2500="","",SUMIFS(dQty,dCust,$B2500,dPer,"&gt;="&amp;pyFrom,dPer,"&lt;="&amp;pyTo,dQty,"&gt;-1E+300",dFlt1,critFlt1,dFlt2,critFlt2,dFlt3,critFlt3))</f>
        <v/>
      </c>
      <c r="F2500" t="str">
        <f>IF($B2500="","",SUMIFS(dQty,dCust,$B2500,dPer,"&gt;="&amp;cyFrom,dPer,"&lt;="&amp;cyTo,dQty,"&gt;-1E+300",dFlt1,critFlt1,dFlt2,critFlt2,dFlt3,critFlt3))</f>
        <v/>
      </c>
      <c r="G2500">
        <f>IF($B2500="",0,IFERROR(IF(OR(C2500&lt;&gt;0,D2500&lt;&gt;0,E2500&lt;&gt;0,F2500&lt;&gt;0),1,0),1))</f>
        <v>0</v>
      </c>
      <c r="H2500" t="str">
        <f>IF(OR(G2500=0,E2500=0),"",C2500/E2500)</f>
        <v/>
      </c>
      <c r="I2500" t="str">
        <f>IF(OR(G2500=0,F2500=0),"",D2500/F2500)</f>
        <v/>
      </c>
      <c r="J2500" t="str">
        <f>IF(OR(H2500="",I2500=""),"",IF(H2500=0,"",I2500/H2500-1))</f>
        <v/>
      </c>
      <c r="K2500" t="str">
        <f>IF($B2500="","",IFERROR(IF(G2500=0,-2E+300,CHOOSE(sortIdx,ROUND(D2500,0),IF(J2500="",-1E+300,ROUND(-J2500,6)),IF(J2500="",-1E+300,ROUND(J2500,6)))),-1.5E+300))</f>
        <v/>
      </c>
      <c r="L2500" t="str">
        <f>IF(K2500="","",RANK(K2500,$K$2:$K$3001,0)+COUNTIF($K$2:K2500,K2500)-1)</f>
        <v/>
      </c>
    </row>
    <row r="2501">
      <c r="B2501" t="str">
        <f>IFERROR(IF(A2501="","","="&amp;SUBSTITUTE(SUBSTITUTE(SUBSTITUTE(A2501,"~","~~"),"*","~*"),"?","~?")),"")</f>
        <v/>
      </c>
      <c r="C2501" t="str">
        <f>IF($B2501="","",SUMIFS(dAmt,dCust,$B2501,dPer,"&gt;="&amp;pyFrom,dPer,"&lt;="&amp;pyTo,dAmt,"&gt;-1E+300",dFlt1,critFlt1,dFlt2,critFlt2,dFlt3,critFlt3))</f>
        <v/>
      </c>
      <c r="D2501" t="str">
        <f>IF($B2501="","",SUMIFS(dAmt,dCust,$B2501,dPer,"&gt;="&amp;cyFrom,dPer,"&lt;="&amp;cyTo,dAmt,"&gt;-1E+300",dFlt1,critFlt1,dFlt2,critFlt2,dFlt3,critFlt3))</f>
        <v/>
      </c>
      <c r="E2501" t="str">
        <f>IF($B2501="","",SUMIFS(dQty,dCust,$B2501,dPer,"&gt;="&amp;pyFrom,dPer,"&lt;="&amp;pyTo,dQty,"&gt;-1E+300",dFlt1,critFlt1,dFlt2,critFlt2,dFlt3,critFlt3))</f>
        <v/>
      </c>
      <c r="F2501" t="str">
        <f>IF($B2501="","",SUMIFS(dQty,dCust,$B2501,dPer,"&gt;="&amp;cyFrom,dPer,"&lt;="&amp;cyTo,dQty,"&gt;-1E+300",dFlt1,critFlt1,dFlt2,critFlt2,dFlt3,critFlt3))</f>
        <v/>
      </c>
      <c r="G2501">
        <f>IF($B2501="",0,IFERROR(IF(OR(C2501&lt;&gt;0,D2501&lt;&gt;0,E2501&lt;&gt;0,F2501&lt;&gt;0),1,0),1))</f>
        <v>0</v>
      </c>
      <c r="H2501" t="str">
        <f>IF(OR(G2501=0,E2501=0),"",C2501/E2501)</f>
        <v/>
      </c>
      <c r="I2501" t="str">
        <f>IF(OR(G2501=0,F2501=0),"",D2501/F2501)</f>
        <v/>
      </c>
      <c r="J2501" t="str">
        <f>IF(OR(H2501="",I2501=""),"",IF(H2501=0,"",I2501/H2501-1))</f>
        <v/>
      </c>
      <c r="K2501" t="str">
        <f>IF($B2501="","",IFERROR(IF(G2501=0,-2E+300,CHOOSE(sortIdx,ROUND(D2501,0),IF(J2501="",-1E+300,ROUND(-J2501,6)),IF(J2501="",-1E+300,ROUND(J2501,6)))),-1.5E+300))</f>
        <v/>
      </c>
      <c r="L2501" t="str">
        <f>IF(K2501="","",RANK(K2501,$K$2:$K$3001,0)+COUNTIF($K$2:K2501,K2501)-1)</f>
        <v/>
      </c>
    </row>
    <row r="2502">
      <c r="B2502" t="str">
        <f>IFERROR(IF(A2502="","","="&amp;SUBSTITUTE(SUBSTITUTE(SUBSTITUTE(A2502,"~","~~"),"*","~*"),"?","~?")),"")</f>
        <v/>
      </c>
      <c r="C2502" t="str">
        <f>IF($B2502="","",SUMIFS(dAmt,dCust,$B2502,dPer,"&gt;="&amp;pyFrom,dPer,"&lt;="&amp;pyTo,dAmt,"&gt;-1E+300",dFlt1,critFlt1,dFlt2,critFlt2,dFlt3,critFlt3))</f>
        <v/>
      </c>
      <c r="D2502" t="str">
        <f>IF($B2502="","",SUMIFS(dAmt,dCust,$B2502,dPer,"&gt;="&amp;cyFrom,dPer,"&lt;="&amp;cyTo,dAmt,"&gt;-1E+300",dFlt1,critFlt1,dFlt2,critFlt2,dFlt3,critFlt3))</f>
        <v/>
      </c>
      <c r="E2502" t="str">
        <f>IF($B2502="","",SUMIFS(dQty,dCust,$B2502,dPer,"&gt;="&amp;pyFrom,dPer,"&lt;="&amp;pyTo,dQty,"&gt;-1E+300",dFlt1,critFlt1,dFlt2,critFlt2,dFlt3,critFlt3))</f>
        <v/>
      </c>
      <c r="F2502" t="str">
        <f>IF($B2502="","",SUMIFS(dQty,dCust,$B2502,dPer,"&gt;="&amp;cyFrom,dPer,"&lt;="&amp;cyTo,dQty,"&gt;-1E+300",dFlt1,critFlt1,dFlt2,critFlt2,dFlt3,critFlt3))</f>
        <v/>
      </c>
      <c r="G2502">
        <f>IF($B2502="",0,IFERROR(IF(OR(C2502&lt;&gt;0,D2502&lt;&gt;0,E2502&lt;&gt;0,F2502&lt;&gt;0),1,0),1))</f>
        <v>0</v>
      </c>
      <c r="H2502" t="str">
        <f>IF(OR(G2502=0,E2502=0),"",C2502/E2502)</f>
        <v/>
      </c>
      <c r="I2502" t="str">
        <f>IF(OR(G2502=0,F2502=0),"",D2502/F2502)</f>
        <v/>
      </c>
      <c r="J2502" t="str">
        <f>IF(OR(H2502="",I2502=""),"",IF(H2502=0,"",I2502/H2502-1))</f>
        <v/>
      </c>
      <c r="K2502" t="str">
        <f>IF($B2502="","",IFERROR(IF(G2502=0,-2E+300,CHOOSE(sortIdx,ROUND(D2502,0),IF(J2502="",-1E+300,ROUND(-J2502,6)),IF(J2502="",-1E+300,ROUND(J2502,6)))),-1.5E+300))</f>
        <v/>
      </c>
      <c r="L2502" t="str">
        <f>IF(K2502="","",RANK(K2502,$K$2:$K$3001,0)+COUNTIF($K$2:K2502,K2502)-1)</f>
        <v/>
      </c>
    </row>
    <row r="2503">
      <c r="B2503" t="str">
        <f>IFERROR(IF(A2503="","","="&amp;SUBSTITUTE(SUBSTITUTE(SUBSTITUTE(A2503,"~","~~"),"*","~*"),"?","~?")),"")</f>
        <v/>
      </c>
      <c r="C2503" t="str">
        <f>IF($B2503="","",SUMIFS(dAmt,dCust,$B2503,dPer,"&gt;="&amp;pyFrom,dPer,"&lt;="&amp;pyTo,dAmt,"&gt;-1E+300",dFlt1,critFlt1,dFlt2,critFlt2,dFlt3,critFlt3))</f>
        <v/>
      </c>
      <c r="D2503" t="str">
        <f>IF($B2503="","",SUMIFS(dAmt,dCust,$B2503,dPer,"&gt;="&amp;cyFrom,dPer,"&lt;="&amp;cyTo,dAmt,"&gt;-1E+300",dFlt1,critFlt1,dFlt2,critFlt2,dFlt3,critFlt3))</f>
        <v/>
      </c>
      <c r="E2503" t="str">
        <f>IF($B2503="","",SUMIFS(dQty,dCust,$B2503,dPer,"&gt;="&amp;pyFrom,dPer,"&lt;="&amp;pyTo,dQty,"&gt;-1E+300",dFlt1,critFlt1,dFlt2,critFlt2,dFlt3,critFlt3))</f>
        <v/>
      </c>
      <c r="F2503" t="str">
        <f>IF($B2503="","",SUMIFS(dQty,dCust,$B2503,dPer,"&gt;="&amp;cyFrom,dPer,"&lt;="&amp;cyTo,dQty,"&gt;-1E+300",dFlt1,critFlt1,dFlt2,critFlt2,dFlt3,critFlt3))</f>
        <v/>
      </c>
      <c r="G2503">
        <f>IF($B2503="",0,IFERROR(IF(OR(C2503&lt;&gt;0,D2503&lt;&gt;0,E2503&lt;&gt;0,F2503&lt;&gt;0),1,0),1))</f>
        <v>0</v>
      </c>
      <c r="H2503" t="str">
        <f>IF(OR(G2503=0,E2503=0),"",C2503/E2503)</f>
        <v/>
      </c>
      <c r="I2503" t="str">
        <f>IF(OR(G2503=0,F2503=0),"",D2503/F2503)</f>
        <v/>
      </c>
      <c r="J2503" t="str">
        <f>IF(OR(H2503="",I2503=""),"",IF(H2503=0,"",I2503/H2503-1))</f>
        <v/>
      </c>
      <c r="K2503" t="str">
        <f>IF($B2503="","",IFERROR(IF(G2503=0,-2E+300,CHOOSE(sortIdx,ROUND(D2503,0),IF(J2503="",-1E+300,ROUND(-J2503,6)),IF(J2503="",-1E+300,ROUND(J2503,6)))),-1.5E+300))</f>
        <v/>
      </c>
      <c r="L2503" t="str">
        <f>IF(K2503="","",RANK(K2503,$K$2:$K$3001,0)+COUNTIF($K$2:K2503,K2503)-1)</f>
        <v/>
      </c>
    </row>
    <row r="2504">
      <c r="B2504" t="str">
        <f>IFERROR(IF(A2504="","","="&amp;SUBSTITUTE(SUBSTITUTE(SUBSTITUTE(A2504,"~","~~"),"*","~*"),"?","~?")),"")</f>
        <v/>
      </c>
      <c r="C2504" t="str">
        <f>IF($B2504="","",SUMIFS(dAmt,dCust,$B2504,dPer,"&gt;="&amp;pyFrom,dPer,"&lt;="&amp;pyTo,dAmt,"&gt;-1E+300",dFlt1,critFlt1,dFlt2,critFlt2,dFlt3,critFlt3))</f>
        <v/>
      </c>
      <c r="D2504" t="str">
        <f>IF($B2504="","",SUMIFS(dAmt,dCust,$B2504,dPer,"&gt;="&amp;cyFrom,dPer,"&lt;="&amp;cyTo,dAmt,"&gt;-1E+300",dFlt1,critFlt1,dFlt2,critFlt2,dFlt3,critFlt3))</f>
        <v/>
      </c>
      <c r="E2504" t="str">
        <f>IF($B2504="","",SUMIFS(dQty,dCust,$B2504,dPer,"&gt;="&amp;pyFrom,dPer,"&lt;="&amp;pyTo,dQty,"&gt;-1E+300",dFlt1,critFlt1,dFlt2,critFlt2,dFlt3,critFlt3))</f>
        <v/>
      </c>
      <c r="F2504" t="str">
        <f>IF($B2504="","",SUMIFS(dQty,dCust,$B2504,dPer,"&gt;="&amp;cyFrom,dPer,"&lt;="&amp;cyTo,dQty,"&gt;-1E+300",dFlt1,critFlt1,dFlt2,critFlt2,dFlt3,critFlt3))</f>
        <v/>
      </c>
      <c r="G2504">
        <f>IF($B2504="",0,IFERROR(IF(OR(C2504&lt;&gt;0,D2504&lt;&gt;0,E2504&lt;&gt;0,F2504&lt;&gt;0),1,0),1))</f>
        <v>0</v>
      </c>
      <c r="H2504" t="str">
        <f>IF(OR(G2504=0,E2504=0),"",C2504/E2504)</f>
        <v/>
      </c>
      <c r="I2504" t="str">
        <f>IF(OR(G2504=0,F2504=0),"",D2504/F2504)</f>
        <v/>
      </c>
      <c r="J2504" t="str">
        <f>IF(OR(H2504="",I2504=""),"",IF(H2504=0,"",I2504/H2504-1))</f>
        <v/>
      </c>
      <c r="K2504" t="str">
        <f>IF($B2504="","",IFERROR(IF(G2504=0,-2E+300,CHOOSE(sortIdx,ROUND(D2504,0),IF(J2504="",-1E+300,ROUND(-J2504,6)),IF(J2504="",-1E+300,ROUND(J2504,6)))),-1.5E+300))</f>
        <v/>
      </c>
      <c r="L2504" t="str">
        <f>IF(K2504="","",RANK(K2504,$K$2:$K$3001,0)+COUNTIF($K$2:K2504,K2504)-1)</f>
        <v/>
      </c>
    </row>
    <row r="2505">
      <c r="B2505" t="str">
        <f>IFERROR(IF(A2505="","","="&amp;SUBSTITUTE(SUBSTITUTE(SUBSTITUTE(A2505,"~","~~"),"*","~*"),"?","~?")),"")</f>
        <v/>
      </c>
      <c r="C2505" t="str">
        <f>IF($B2505="","",SUMIFS(dAmt,dCust,$B2505,dPer,"&gt;="&amp;pyFrom,dPer,"&lt;="&amp;pyTo,dAmt,"&gt;-1E+300",dFlt1,critFlt1,dFlt2,critFlt2,dFlt3,critFlt3))</f>
        <v/>
      </c>
      <c r="D2505" t="str">
        <f>IF($B2505="","",SUMIFS(dAmt,dCust,$B2505,dPer,"&gt;="&amp;cyFrom,dPer,"&lt;="&amp;cyTo,dAmt,"&gt;-1E+300",dFlt1,critFlt1,dFlt2,critFlt2,dFlt3,critFlt3))</f>
        <v/>
      </c>
      <c r="E2505" t="str">
        <f>IF($B2505="","",SUMIFS(dQty,dCust,$B2505,dPer,"&gt;="&amp;pyFrom,dPer,"&lt;="&amp;pyTo,dQty,"&gt;-1E+300",dFlt1,critFlt1,dFlt2,critFlt2,dFlt3,critFlt3))</f>
        <v/>
      </c>
      <c r="F2505" t="str">
        <f>IF($B2505="","",SUMIFS(dQty,dCust,$B2505,dPer,"&gt;="&amp;cyFrom,dPer,"&lt;="&amp;cyTo,dQty,"&gt;-1E+300",dFlt1,critFlt1,dFlt2,critFlt2,dFlt3,critFlt3))</f>
        <v/>
      </c>
      <c r="G2505">
        <f>IF($B2505="",0,IFERROR(IF(OR(C2505&lt;&gt;0,D2505&lt;&gt;0,E2505&lt;&gt;0,F2505&lt;&gt;0),1,0),1))</f>
        <v>0</v>
      </c>
      <c r="H2505" t="str">
        <f>IF(OR(G2505=0,E2505=0),"",C2505/E2505)</f>
        <v/>
      </c>
      <c r="I2505" t="str">
        <f>IF(OR(G2505=0,F2505=0),"",D2505/F2505)</f>
        <v/>
      </c>
      <c r="J2505" t="str">
        <f>IF(OR(H2505="",I2505=""),"",IF(H2505=0,"",I2505/H2505-1))</f>
        <v/>
      </c>
      <c r="K2505" t="str">
        <f>IF($B2505="","",IFERROR(IF(G2505=0,-2E+300,CHOOSE(sortIdx,ROUND(D2505,0),IF(J2505="",-1E+300,ROUND(-J2505,6)),IF(J2505="",-1E+300,ROUND(J2505,6)))),-1.5E+300))</f>
        <v/>
      </c>
      <c r="L2505" t="str">
        <f>IF(K2505="","",RANK(K2505,$K$2:$K$3001,0)+COUNTIF($K$2:K2505,K2505)-1)</f>
        <v/>
      </c>
    </row>
    <row r="2506">
      <c r="B2506" t="str">
        <f>IFERROR(IF(A2506="","","="&amp;SUBSTITUTE(SUBSTITUTE(SUBSTITUTE(A2506,"~","~~"),"*","~*"),"?","~?")),"")</f>
        <v/>
      </c>
      <c r="C2506" t="str">
        <f>IF($B2506="","",SUMIFS(dAmt,dCust,$B2506,dPer,"&gt;="&amp;pyFrom,dPer,"&lt;="&amp;pyTo,dAmt,"&gt;-1E+300",dFlt1,critFlt1,dFlt2,critFlt2,dFlt3,critFlt3))</f>
        <v/>
      </c>
      <c r="D2506" t="str">
        <f>IF($B2506="","",SUMIFS(dAmt,dCust,$B2506,dPer,"&gt;="&amp;cyFrom,dPer,"&lt;="&amp;cyTo,dAmt,"&gt;-1E+300",dFlt1,critFlt1,dFlt2,critFlt2,dFlt3,critFlt3))</f>
        <v/>
      </c>
      <c r="E2506" t="str">
        <f>IF($B2506="","",SUMIFS(dQty,dCust,$B2506,dPer,"&gt;="&amp;pyFrom,dPer,"&lt;="&amp;pyTo,dQty,"&gt;-1E+300",dFlt1,critFlt1,dFlt2,critFlt2,dFlt3,critFlt3))</f>
        <v/>
      </c>
      <c r="F2506" t="str">
        <f>IF($B2506="","",SUMIFS(dQty,dCust,$B2506,dPer,"&gt;="&amp;cyFrom,dPer,"&lt;="&amp;cyTo,dQty,"&gt;-1E+300",dFlt1,critFlt1,dFlt2,critFlt2,dFlt3,critFlt3))</f>
        <v/>
      </c>
      <c r="G2506">
        <f>IF($B2506="",0,IFERROR(IF(OR(C2506&lt;&gt;0,D2506&lt;&gt;0,E2506&lt;&gt;0,F2506&lt;&gt;0),1,0),1))</f>
        <v>0</v>
      </c>
      <c r="H2506" t="str">
        <f>IF(OR(G2506=0,E2506=0),"",C2506/E2506)</f>
        <v/>
      </c>
      <c r="I2506" t="str">
        <f>IF(OR(G2506=0,F2506=0),"",D2506/F2506)</f>
        <v/>
      </c>
      <c r="J2506" t="str">
        <f>IF(OR(H2506="",I2506=""),"",IF(H2506=0,"",I2506/H2506-1))</f>
        <v/>
      </c>
      <c r="K2506" t="str">
        <f>IF($B2506="","",IFERROR(IF(G2506=0,-2E+300,CHOOSE(sortIdx,ROUND(D2506,0),IF(J2506="",-1E+300,ROUND(-J2506,6)),IF(J2506="",-1E+300,ROUND(J2506,6)))),-1.5E+300))</f>
        <v/>
      </c>
      <c r="L2506" t="str">
        <f>IF(K2506="","",RANK(K2506,$K$2:$K$3001,0)+COUNTIF($K$2:K2506,K2506)-1)</f>
        <v/>
      </c>
    </row>
    <row r="2507">
      <c r="B2507" t="str">
        <f>IFERROR(IF(A2507="","","="&amp;SUBSTITUTE(SUBSTITUTE(SUBSTITUTE(A2507,"~","~~"),"*","~*"),"?","~?")),"")</f>
        <v/>
      </c>
      <c r="C2507" t="str">
        <f>IF($B2507="","",SUMIFS(dAmt,dCust,$B2507,dPer,"&gt;="&amp;pyFrom,dPer,"&lt;="&amp;pyTo,dAmt,"&gt;-1E+300",dFlt1,critFlt1,dFlt2,critFlt2,dFlt3,critFlt3))</f>
        <v/>
      </c>
      <c r="D2507" t="str">
        <f>IF($B2507="","",SUMIFS(dAmt,dCust,$B2507,dPer,"&gt;="&amp;cyFrom,dPer,"&lt;="&amp;cyTo,dAmt,"&gt;-1E+300",dFlt1,critFlt1,dFlt2,critFlt2,dFlt3,critFlt3))</f>
        <v/>
      </c>
      <c r="E2507" t="str">
        <f>IF($B2507="","",SUMIFS(dQty,dCust,$B2507,dPer,"&gt;="&amp;pyFrom,dPer,"&lt;="&amp;pyTo,dQty,"&gt;-1E+300",dFlt1,critFlt1,dFlt2,critFlt2,dFlt3,critFlt3))</f>
        <v/>
      </c>
      <c r="F2507" t="str">
        <f>IF($B2507="","",SUMIFS(dQty,dCust,$B2507,dPer,"&gt;="&amp;cyFrom,dPer,"&lt;="&amp;cyTo,dQty,"&gt;-1E+300",dFlt1,critFlt1,dFlt2,critFlt2,dFlt3,critFlt3))</f>
        <v/>
      </c>
      <c r="G2507">
        <f>IF($B2507="",0,IFERROR(IF(OR(C2507&lt;&gt;0,D2507&lt;&gt;0,E2507&lt;&gt;0,F2507&lt;&gt;0),1,0),1))</f>
        <v>0</v>
      </c>
      <c r="H2507" t="str">
        <f>IF(OR(G2507=0,E2507=0),"",C2507/E2507)</f>
        <v/>
      </c>
      <c r="I2507" t="str">
        <f>IF(OR(G2507=0,F2507=0),"",D2507/F2507)</f>
        <v/>
      </c>
      <c r="J2507" t="str">
        <f>IF(OR(H2507="",I2507=""),"",IF(H2507=0,"",I2507/H2507-1))</f>
        <v/>
      </c>
      <c r="K2507" t="str">
        <f>IF($B2507="","",IFERROR(IF(G2507=0,-2E+300,CHOOSE(sortIdx,ROUND(D2507,0),IF(J2507="",-1E+300,ROUND(-J2507,6)),IF(J2507="",-1E+300,ROUND(J2507,6)))),-1.5E+300))</f>
        <v/>
      </c>
      <c r="L2507" t="str">
        <f>IF(K2507="","",RANK(K2507,$K$2:$K$3001,0)+COUNTIF($K$2:K2507,K2507)-1)</f>
        <v/>
      </c>
    </row>
    <row r="2508">
      <c r="B2508" t="str">
        <f>IFERROR(IF(A2508="","","="&amp;SUBSTITUTE(SUBSTITUTE(SUBSTITUTE(A2508,"~","~~"),"*","~*"),"?","~?")),"")</f>
        <v/>
      </c>
      <c r="C2508" t="str">
        <f>IF($B2508="","",SUMIFS(dAmt,dCust,$B2508,dPer,"&gt;="&amp;pyFrom,dPer,"&lt;="&amp;pyTo,dAmt,"&gt;-1E+300",dFlt1,critFlt1,dFlt2,critFlt2,dFlt3,critFlt3))</f>
        <v/>
      </c>
      <c r="D2508" t="str">
        <f>IF($B2508="","",SUMIFS(dAmt,dCust,$B2508,dPer,"&gt;="&amp;cyFrom,dPer,"&lt;="&amp;cyTo,dAmt,"&gt;-1E+300",dFlt1,critFlt1,dFlt2,critFlt2,dFlt3,critFlt3))</f>
        <v/>
      </c>
      <c r="E2508" t="str">
        <f>IF($B2508="","",SUMIFS(dQty,dCust,$B2508,dPer,"&gt;="&amp;pyFrom,dPer,"&lt;="&amp;pyTo,dQty,"&gt;-1E+300",dFlt1,critFlt1,dFlt2,critFlt2,dFlt3,critFlt3))</f>
        <v/>
      </c>
      <c r="F2508" t="str">
        <f>IF($B2508="","",SUMIFS(dQty,dCust,$B2508,dPer,"&gt;="&amp;cyFrom,dPer,"&lt;="&amp;cyTo,dQty,"&gt;-1E+300",dFlt1,critFlt1,dFlt2,critFlt2,dFlt3,critFlt3))</f>
        <v/>
      </c>
      <c r="G2508">
        <f>IF($B2508="",0,IFERROR(IF(OR(C2508&lt;&gt;0,D2508&lt;&gt;0,E2508&lt;&gt;0,F2508&lt;&gt;0),1,0),1))</f>
        <v>0</v>
      </c>
      <c r="H2508" t="str">
        <f>IF(OR(G2508=0,E2508=0),"",C2508/E2508)</f>
        <v/>
      </c>
      <c r="I2508" t="str">
        <f>IF(OR(G2508=0,F2508=0),"",D2508/F2508)</f>
        <v/>
      </c>
      <c r="J2508" t="str">
        <f>IF(OR(H2508="",I2508=""),"",IF(H2508=0,"",I2508/H2508-1))</f>
        <v/>
      </c>
      <c r="K2508" t="str">
        <f>IF($B2508="","",IFERROR(IF(G2508=0,-2E+300,CHOOSE(sortIdx,ROUND(D2508,0),IF(J2508="",-1E+300,ROUND(-J2508,6)),IF(J2508="",-1E+300,ROUND(J2508,6)))),-1.5E+300))</f>
        <v/>
      </c>
      <c r="L2508" t="str">
        <f>IF(K2508="","",RANK(K2508,$K$2:$K$3001,0)+COUNTIF($K$2:K2508,K2508)-1)</f>
        <v/>
      </c>
    </row>
    <row r="2509">
      <c r="B2509" t="str">
        <f>IFERROR(IF(A2509="","","="&amp;SUBSTITUTE(SUBSTITUTE(SUBSTITUTE(A2509,"~","~~"),"*","~*"),"?","~?")),"")</f>
        <v/>
      </c>
      <c r="C2509" t="str">
        <f>IF($B2509="","",SUMIFS(dAmt,dCust,$B2509,dPer,"&gt;="&amp;pyFrom,dPer,"&lt;="&amp;pyTo,dAmt,"&gt;-1E+300",dFlt1,critFlt1,dFlt2,critFlt2,dFlt3,critFlt3))</f>
        <v/>
      </c>
      <c r="D2509" t="str">
        <f>IF($B2509="","",SUMIFS(dAmt,dCust,$B2509,dPer,"&gt;="&amp;cyFrom,dPer,"&lt;="&amp;cyTo,dAmt,"&gt;-1E+300",dFlt1,critFlt1,dFlt2,critFlt2,dFlt3,critFlt3))</f>
        <v/>
      </c>
      <c r="E2509" t="str">
        <f>IF($B2509="","",SUMIFS(dQty,dCust,$B2509,dPer,"&gt;="&amp;pyFrom,dPer,"&lt;="&amp;pyTo,dQty,"&gt;-1E+300",dFlt1,critFlt1,dFlt2,critFlt2,dFlt3,critFlt3))</f>
        <v/>
      </c>
      <c r="F2509" t="str">
        <f>IF($B2509="","",SUMIFS(dQty,dCust,$B2509,dPer,"&gt;="&amp;cyFrom,dPer,"&lt;="&amp;cyTo,dQty,"&gt;-1E+300",dFlt1,critFlt1,dFlt2,critFlt2,dFlt3,critFlt3))</f>
        <v/>
      </c>
      <c r="G2509">
        <f>IF($B2509="",0,IFERROR(IF(OR(C2509&lt;&gt;0,D2509&lt;&gt;0,E2509&lt;&gt;0,F2509&lt;&gt;0),1,0),1))</f>
        <v>0</v>
      </c>
      <c r="H2509" t="str">
        <f>IF(OR(G2509=0,E2509=0),"",C2509/E2509)</f>
        <v/>
      </c>
      <c r="I2509" t="str">
        <f>IF(OR(G2509=0,F2509=0),"",D2509/F2509)</f>
        <v/>
      </c>
      <c r="J2509" t="str">
        <f>IF(OR(H2509="",I2509=""),"",IF(H2509=0,"",I2509/H2509-1))</f>
        <v/>
      </c>
      <c r="K2509" t="str">
        <f>IF($B2509="","",IFERROR(IF(G2509=0,-2E+300,CHOOSE(sortIdx,ROUND(D2509,0),IF(J2509="",-1E+300,ROUND(-J2509,6)),IF(J2509="",-1E+300,ROUND(J2509,6)))),-1.5E+300))</f>
        <v/>
      </c>
      <c r="L2509" t="str">
        <f>IF(K2509="","",RANK(K2509,$K$2:$K$3001,0)+COUNTIF($K$2:K2509,K2509)-1)</f>
        <v/>
      </c>
    </row>
    <row r="2510">
      <c r="B2510" t="str">
        <f>IFERROR(IF(A2510="","","="&amp;SUBSTITUTE(SUBSTITUTE(SUBSTITUTE(A2510,"~","~~"),"*","~*"),"?","~?")),"")</f>
        <v/>
      </c>
      <c r="C2510" t="str">
        <f>IF($B2510="","",SUMIFS(dAmt,dCust,$B2510,dPer,"&gt;="&amp;pyFrom,dPer,"&lt;="&amp;pyTo,dAmt,"&gt;-1E+300",dFlt1,critFlt1,dFlt2,critFlt2,dFlt3,critFlt3))</f>
        <v/>
      </c>
      <c r="D2510" t="str">
        <f>IF($B2510="","",SUMIFS(dAmt,dCust,$B2510,dPer,"&gt;="&amp;cyFrom,dPer,"&lt;="&amp;cyTo,dAmt,"&gt;-1E+300",dFlt1,critFlt1,dFlt2,critFlt2,dFlt3,critFlt3))</f>
        <v/>
      </c>
      <c r="E2510" t="str">
        <f>IF($B2510="","",SUMIFS(dQty,dCust,$B2510,dPer,"&gt;="&amp;pyFrom,dPer,"&lt;="&amp;pyTo,dQty,"&gt;-1E+300",dFlt1,critFlt1,dFlt2,critFlt2,dFlt3,critFlt3))</f>
        <v/>
      </c>
      <c r="F2510" t="str">
        <f>IF($B2510="","",SUMIFS(dQty,dCust,$B2510,dPer,"&gt;="&amp;cyFrom,dPer,"&lt;="&amp;cyTo,dQty,"&gt;-1E+300",dFlt1,critFlt1,dFlt2,critFlt2,dFlt3,critFlt3))</f>
        <v/>
      </c>
      <c r="G2510">
        <f>IF($B2510="",0,IFERROR(IF(OR(C2510&lt;&gt;0,D2510&lt;&gt;0,E2510&lt;&gt;0,F2510&lt;&gt;0),1,0),1))</f>
        <v>0</v>
      </c>
      <c r="H2510" t="str">
        <f>IF(OR(G2510=0,E2510=0),"",C2510/E2510)</f>
        <v/>
      </c>
      <c r="I2510" t="str">
        <f>IF(OR(G2510=0,F2510=0),"",D2510/F2510)</f>
        <v/>
      </c>
      <c r="J2510" t="str">
        <f>IF(OR(H2510="",I2510=""),"",IF(H2510=0,"",I2510/H2510-1))</f>
        <v/>
      </c>
      <c r="K2510" t="str">
        <f>IF($B2510="","",IFERROR(IF(G2510=0,-2E+300,CHOOSE(sortIdx,ROUND(D2510,0),IF(J2510="",-1E+300,ROUND(-J2510,6)),IF(J2510="",-1E+300,ROUND(J2510,6)))),-1.5E+300))</f>
        <v/>
      </c>
      <c r="L2510" t="str">
        <f>IF(K2510="","",RANK(K2510,$K$2:$K$3001,0)+COUNTIF($K$2:K2510,K2510)-1)</f>
        <v/>
      </c>
    </row>
    <row r="2511">
      <c r="B2511" t="str">
        <f>IFERROR(IF(A2511="","","="&amp;SUBSTITUTE(SUBSTITUTE(SUBSTITUTE(A2511,"~","~~"),"*","~*"),"?","~?")),"")</f>
        <v/>
      </c>
      <c r="C2511" t="str">
        <f>IF($B2511="","",SUMIFS(dAmt,dCust,$B2511,dPer,"&gt;="&amp;pyFrom,dPer,"&lt;="&amp;pyTo,dAmt,"&gt;-1E+300",dFlt1,critFlt1,dFlt2,critFlt2,dFlt3,critFlt3))</f>
        <v/>
      </c>
      <c r="D2511" t="str">
        <f>IF($B2511="","",SUMIFS(dAmt,dCust,$B2511,dPer,"&gt;="&amp;cyFrom,dPer,"&lt;="&amp;cyTo,dAmt,"&gt;-1E+300",dFlt1,critFlt1,dFlt2,critFlt2,dFlt3,critFlt3))</f>
        <v/>
      </c>
      <c r="E2511" t="str">
        <f>IF($B2511="","",SUMIFS(dQty,dCust,$B2511,dPer,"&gt;="&amp;pyFrom,dPer,"&lt;="&amp;pyTo,dQty,"&gt;-1E+300",dFlt1,critFlt1,dFlt2,critFlt2,dFlt3,critFlt3))</f>
        <v/>
      </c>
      <c r="F2511" t="str">
        <f>IF($B2511="","",SUMIFS(dQty,dCust,$B2511,dPer,"&gt;="&amp;cyFrom,dPer,"&lt;="&amp;cyTo,dQty,"&gt;-1E+300",dFlt1,critFlt1,dFlt2,critFlt2,dFlt3,critFlt3))</f>
        <v/>
      </c>
      <c r="G2511">
        <f>IF($B2511="",0,IFERROR(IF(OR(C2511&lt;&gt;0,D2511&lt;&gt;0,E2511&lt;&gt;0,F2511&lt;&gt;0),1,0),1))</f>
        <v>0</v>
      </c>
      <c r="H2511" t="str">
        <f>IF(OR(G2511=0,E2511=0),"",C2511/E2511)</f>
        <v/>
      </c>
      <c r="I2511" t="str">
        <f>IF(OR(G2511=0,F2511=0),"",D2511/F2511)</f>
        <v/>
      </c>
      <c r="J2511" t="str">
        <f>IF(OR(H2511="",I2511=""),"",IF(H2511=0,"",I2511/H2511-1))</f>
        <v/>
      </c>
      <c r="K2511" t="str">
        <f>IF($B2511="","",IFERROR(IF(G2511=0,-2E+300,CHOOSE(sortIdx,ROUND(D2511,0),IF(J2511="",-1E+300,ROUND(-J2511,6)),IF(J2511="",-1E+300,ROUND(J2511,6)))),-1.5E+300))</f>
        <v/>
      </c>
      <c r="L2511" t="str">
        <f>IF(K2511="","",RANK(K2511,$K$2:$K$3001,0)+COUNTIF($K$2:K2511,K2511)-1)</f>
        <v/>
      </c>
    </row>
    <row r="2512">
      <c r="B2512" t="str">
        <f>IFERROR(IF(A2512="","","="&amp;SUBSTITUTE(SUBSTITUTE(SUBSTITUTE(A2512,"~","~~"),"*","~*"),"?","~?")),"")</f>
        <v/>
      </c>
      <c r="C2512" t="str">
        <f>IF($B2512="","",SUMIFS(dAmt,dCust,$B2512,dPer,"&gt;="&amp;pyFrom,dPer,"&lt;="&amp;pyTo,dAmt,"&gt;-1E+300",dFlt1,critFlt1,dFlt2,critFlt2,dFlt3,critFlt3))</f>
        <v/>
      </c>
      <c r="D2512" t="str">
        <f>IF($B2512="","",SUMIFS(dAmt,dCust,$B2512,dPer,"&gt;="&amp;cyFrom,dPer,"&lt;="&amp;cyTo,dAmt,"&gt;-1E+300",dFlt1,critFlt1,dFlt2,critFlt2,dFlt3,critFlt3))</f>
        <v/>
      </c>
      <c r="E2512" t="str">
        <f>IF($B2512="","",SUMIFS(dQty,dCust,$B2512,dPer,"&gt;="&amp;pyFrom,dPer,"&lt;="&amp;pyTo,dQty,"&gt;-1E+300",dFlt1,critFlt1,dFlt2,critFlt2,dFlt3,critFlt3))</f>
        <v/>
      </c>
      <c r="F2512" t="str">
        <f>IF($B2512="","",SUMIFS(dQty,dCust,$B2512,dPer,"&gt;="&amp;cyFrom,dPer,"&lt;="&amp;cyTo,dQty,"&gt;-1E+300",dFlt1,critFlt1,dFlt2,critFlt2,dFlt3,critFlt3))</f>
        <v/>
      </c>
      <c r="G2512">
        <f>IF($B2512="",0,IFERROR(IF(OR(C2512&lt;&gt;0,D2512&lt;&gt;0,E2512&lt;&gt;0,F2512&lt;&gt;0),1,0),1))</f>
        <v>0</v>
      </c>
      <c r="H2512" t="str">
        <f>IF(OR(G2512=0,E2512=0),"",C2512/E2512)</f>
        <v/>
      </c>
      <c r="I2512" t="str">
        <f>IF(OR(G2512=0,F2512=0),"",D2512/F2512)</f>
        <v/>
      </c>
      <c r="J2512" t="str">
        <f>IF(OR(H2512="",I2512=""),"",IF(H2512=0,"",I2512/H2512-1))</f>
        <v/>
      </c>
      <c r="K2512" t="str">
        <f>IF($B2512="","",IFERROR(IF(G2512=0,-2E+300,CHOOSE(sortIdx,ROUND(D2512,0),IF(J2512="",-1E+300,ROUND(-J2512,6)),IF(J2512="",-1E+300,ROUND(J2512,6)))),-1.5E+300))</f>
        <v/>
      </c>
      <c r="L2512" t="str">
        <f>IF(K2512="","",RANK(K2512,$K$2:$K$3001,0)+COUNTIF($K$2:K2512,K2512)-1)</f>
        <v/>
      </c>
    </row>
    <row r="2513">
      <c r="B2513" t="str">
        <f>IFERROR(IF(A2513="","","="&amp;SUBSTITUTE(SUBSTITUTE(SUBSTITUTE(A2513,"~","~~"),"*","~*"),"?","~?")),"")</f>
        <v/>
      </c>
      <c r="C2513" t="str">
        <f>IF($B2513="","",SUMIFS(dAmt,dCust,$B2513,dPer,"&gt;="&amp;pyFrom,dPer,"&lt;="&amp;pyTo,dAmt,"&gt;-1E+300",dFlt1,critFlt1,dFlt2,critFlt2,dFlt3,critFlt3))</f>
        <v/>
      </c>
      <c r="D2513" t="str">
        <f>IF($B2513="","",SUMIFS(dAmt,dCust,$B2513,dPer,"&gt;="&amp;cyFrom,dPer,"&lt;="&amp;cyTo,dAmt,"&gt;-1E+300",dFlt1,critFlt1,dFlt2,critFlt2,dFlt3,critFlt3))</f>
        <v/>
      </c>
      <c r="E2513" t="str">
        <f>IF($B2513="","",SUMIFS(dQty,dCust,$B2513,dPer,"&gt;="&amp;pyFrom,dPer,"&lt;="&amp;pyTo,dQty,"&gt;-1E+300",dFlt1,critFlt1,dFlt2,critFlt2,dFlt3,critFlt3))</f>
        <v/>
      </c>
      <c r="F2513" t="str">
        <f>IF($B2513="","",SUMIFS(dQty,dCust,$B2513,dPer,"&gt;="&amp;cyFrom,dPer,"&lt;="&amp;cyTo,dQty,"&gt;-1E+300",dFlt1,critFlt1,dFlt2,critFlt2,dFlt3,critFlt3))</f>
        <v/>
      </c>
      <c r="G2513">
        <f>IF($B2513="",0,IFERROR(IF(OR(C2513&lt;&gt;0,D2513&lt;&gt;0,E2513&lt;&gt;0,F2513&lt;&gt;0),1,0),1))</f>
        <v>0</v>
      </c>
      <c r="H2513" t="str">
        <f>IF(OR(G2513=0,E2513=0),"",C2513/E2513)</f>
        <v/>
      </c>
      <c r="I2513" t="str">
        <f>IF(OR(G2513=0,F2513=0),"",D2513/F2513)</f>
        <v/>
      </c>
      <c r="J2513" t="str">
        <f>IF(OR(H2513="",I2513=""),"",IF(H2513=0,"",I2513/H2513-1))</f>
        <v/>
      </c>
      <c r="K2513" t="str">
        <f>IF($B2513="","",IFERROR(IF(G2513=0,-2E+300,CHOOSE(sortIdx,ROUND(D2513,0),IF(J2513="",-1E+300,ROUND(-J2513,6)),IF(J2513="",-1E+300,ROUND(J2513,6)))),-1.5E+300))</f>
        <v/>
      </c>
      <c r="L2513" t="str">
        <f>IF(K2513="","",RANK(K2513,$K$2:$K$3001,0)+COUNTIF($K$2:K2513,K2513)-1)</f>
        <v/>
      </c>
    </row>
    <row r="2514">
      <c r="B2514" t="str">
        <f>IFERROR(IF(A2514="","","="&amp;SUBSTITUTE(SUBSTITUTE(SUBSTITUTE(A2514,"~","~~"),"*","~*"),"?","~?")),"")</f>
        <v/>
      </c>
      <c r="C2514" t="str">
        <f>IF($B2514="","",SUMIFS(dAmt,dCust,$B2514,dPer,"&gt;="&amp;pyFrom,dPer,"&lt;="&amp;pyTo,dAmt,"&gt;-1E+300",dFlt1,critFlt1,dFlt2,critFlt2,dFlt3,critFlt3))</f>
        <v/>
      </c>
      <c r="D2514" t="str">
        <f>IF($B2514="","",SUMIFS(dAmt,dCust,$B2514,dPer,"&gt;="&amp;cyFrom,dPer,"&lt;="&amp;cyTo,dAmt,"&gt;-1E+300",dFlt1,critFlt1,dFlt2,critFlt2,dFlt3,critFlt3))</f>
        <v/>
      </c>
      <c r="E2514" t="str">
        <f>IF($B2514="","",SUMIFS(dQty,dCust,$B2514,dPer,"&gt;="&amp;pyFrom,dPer,"&lt;="&amp;pyTo,dQty,"&gt;-1E+300",dFlt1,critFlt1,dFlt2,critFlt2,dFlt3,critFlt3))</f>
        <v/>
      </c>
      <c r="F2514" t="str">
        <f>IF($B2514="","",SUMIFS(dQty,dCust,$B2514,dPer,"&gt;="&amp;cyFrom,dPer,"&lt;="&amp;cyTo,dQty,"&gt;-1E+300",dFlt1,critFlt1,dFlt2,critFlt2,dFlt3,critFlt3))</f>
        <v/>
      </c>
      <c r="G2514">
        <f>IF($B2514="",0,IFERROR(IF(OR(C2514&lt;&gt;0,D2514&lt;&gt;0,E2514&lt;&gt;0,F2514&lt;&gt;0),1,0),1))</f>
        <v>0</v>
      </c>
      <c r="H2514" t="str">
        <f>IF(OR(G2514=0,E2514=0),"",C2514/E2514)</f>
        <v/>
      </c>
      <c r="I2514" t="str">
        <f>IF(OR(G2514=0,F2514=0),"",D2514/F2514)</f>
        <v/>
      </c>
      <c r="J2514" t="str">
        <f>IF(OR(H2514="",I2514=""),"",IF(H2514=0,"",I2514/H2514-1))</f>
        <v/>
      </c>
      <c r="K2514" t="str">
        <f>IF($B2514="","",IFERROR(IF(G2514=0,-2E+300,CHOOSE(sortIdx,ROUND(D2514,0),IF(J2514="",-1E+300,ROUND(-J2514,6)),IF(J2514="",-1E+300,ROUND(J2514,6)))),-1.5E+300))</f>
        <v/>
      </c>
      <c r="L2514" t="str">
        <f>IF(K2514="","",RANK(K2514,$K$2:$K$3001,0)+COUNTIF($K$2:K2514,K2514)-1)</f>
        <v/>
      </c>
    </row>
    <row r="2515">
      <c r="B2515" t="str">
        <f>IFERROR(IF(A2515="","","="&amp;SUBSTITUTE(SUBSTITUTE(SUBSTITUTE(A2515,"~","~~"),"*","~*"),"?","~?")),"")</f>
        <v/>
      </c>
      <c r="C2515" t="str">
        <f>IF($B2515="","",SUMIFS(dAmt,dCust,$B2515,dPer,"&gt;="&amp;pyFrom,dPer,"&lt;="&amp;pyTo,dAmt,"&gt;-1E+300",dFlt1,critFlt1,dFlt2,critFlt2,dFlt3,critFlt3))</f>
        <v/>
      </c>
      <c r="D2515" t="str">
        <f>IF($B2515="","",SUMIFS(dAmt,dCust,$B2515,dPer,"&gt;="&amp;cyFrom,dPer,"&lt;="&amp;cyTo,dAmt,"&gt;-1E+300",dFlt1,critFlt1,dFlt2,critFlt2,dFlt3,critFlt3))</f>
        <v/>
      </c>
      <c r="E2515" t="str">
        <f>IF($B2515="","",SUMIFS(dQty,dCust,$B2515,dPer,"&gt;="&amp;pyFrom,dPer,"&lt;="&amp;pyTo,dQty,"&gt;-1E+300",dFlt1,critFlt1,dFlt2,critFlt2,dFlt3,critFlt3))</f>
        <v/>
      </c>
      <c r="F2515" t="str">
        <f>IF($B2515="","",SUMIFS(dQty,dCust,$B2515,dPer,"&gt;="&amp;cyFrom,dPer,"&lt;="&amp;cyTo,dQty,"&gt;-1E+300",dFlt1,critFlt1,dFlt2,critFlt2,dFlt3,critFlt3))</f>
        <v/>
      </c>
      <c r="G2515">
        <f>IF($B2515="",0,IFERROR(IF(OR(C2515&lt;&gt;0,D2515&lt;&gt;0,E2515&lt;&gt;0,F2515&lt;&gt;0),1,0),1))</f>
        <v>0</v>
      </c>
      <c r="H2515" t="str">
        <f>IF(OR(G2515=0,E2515=0),"",C2515/E2515)</f>
        <v/>
      </c>
      <c r="I2515" t="str">
        <f>IF(OR(G2515=0,F2515=0),"",D2515/F2515)</f>
        <v/>
      </c>
      <c r="J2515" t="str">
        <f>IF(OR(H2515="",I2515=""),"",IF(H2515=0,"",I2515/H2515-1))</f>
        <v/>
      </c>
      <c r="K2515" t="str">
        <f>IF($B2515="","",IFERROR(IF(G2515=0,-2E+300,CHOOSE(sortIdx,ROUND(D2515,0),IF(J2515="",-1E+300,ROUND(-J2515,6)),IF(J2515="",-1E+300,ROUND(J2515,6)))),-1.5E+300))</f>
        <v/>
      </c>
      <c r="L2515" t="str">
        <f>IF(K2515="","",RANK(K2515,$K$2:$K$3001,0)+COUNTIF($K$2:K2515,K2515)-1)</f>
        <v/>
      </c>
    </row>
    <row r="2516">
      <c r="B2516" t="str">
        <f>IFERROR(IF(A2516="","","="&amp;SUBSTITUTE(SUBSTITUTE(SUBSTITUTE(A2516,"~","~~"),"*","~*"),"?","~?")),"")</f>
        <v/>
      </c>
      <c r="C2516" t="str">
        <f>IF($B2516="","",SUMIFS(dAmt,dCust,$B2516,dPer,"&gt;="&amp;pyFrom,dPer,"&lt;="&amp;pyTo,dAmt,"&gt;-1E+300",dFlt1,critFlt1,dFlt2,critFlt2,dFlt3,critFlt3))</f>
        <v/>
      </c>
      <c r="D2516" t="str">
        <f>IF($B2516="","",SUMIFS(dAmt,dCust,$B2516,dPer,"&gt;="&amp;cyFrom,dPer,"&lt;="&amp;cyTo,dAmt,"&gt;-1E+300",dFlt1,critFlt1,dFlt2,critFlt2,dFlt3,critFlt3))</f>
        <v/>
      </c>
      <c r="E2516" t="str">
        <f>IF($B2516="","",SUMIFS(dQty,dCust,$B2516,dPer,"&gt;="&amp;pyFrom,dPer,"&lt;="&amp;pyTo,dQty,"&gt;-1E+300",dFlt1,critFlt1,dFlt2,critFlt2,dFlt3,critFlt3))</f>
        <v/>
      </c>
      <c r="F2516" t="str">
        <f>IF($B2516="","",SUMIFS(dQty,dCust,$B2516,dPer,"&gt;="&amp;cyFrom,dPer,"&lt;="&amp;cyTo,dQty,"&gt;-1E+300",dFlt1,critFlt1,dFlt2,critFlt2,dFlt3,critFlt3))</f>
        <v/>
      </c>
      <c r="G2516">
        <f>IF($B2516="",0,IFERROR(IF(OR(C2516&lt;&gt;0,D2516&lt;&gt;0,E2516&lt;&gt;0,F2516&lt;&gt;0),1,0),1))</f>
        <v>0</v>
      </c>
      <c r="H2516" t="str">
        <f>IF(OR(G2516=0,E2516=0),"",C2516/E2516)</f>
        <v/>
      </c>
      <c r="I2516" t="str">
        <f>IF(OR(G2516=0,F2516=0),"",D2516/F2516)</f>
        <v/>
      </c>
      <c r="J2516" t="str">
        <f>IF(OR(H2516="",I2516=""),"",IF(H2516=0,"",I2516/H2516-1))</f>
        <v/>
      </c>
      <c r="K2516" t="str">
        <f>IF($B2516="","",IFERROR(IF(G2516=0,-2E+300,CHOOSE(sortIdx,ROUND(D2516,0),IF(J2516="",-1E+300,ROUND(-J2516,6)),IF(J2516="",-1E+300,ROUND(J2516,6)))),-1.5E+300))</f>
        <v/>
      </c>
      <c r="L2516" t="str">
        <f>IF(K2516="","",RANK(K2516,$K$2:$K$3001,0)+COUNTIF($K$2:K2516,K2516)-1)</f>
        <v/>
      </c>
    </row>
    <row r="2517">
      <c r="B2517" t="str">
        <f>IFERROR(IF(A2517="","","="&amp;SUBSTITUTE(SUBSTITUTE(SUBSTITUTE(A2517,"~","~~"),"*","~*"),"?","~?")),"")</f>
        <v/>
      </c>
      <c r="C2517" t="str">
        <f>IF($B2517="","",SUMIFS(dAmt,dCust,$B2517,dPer,"&gt;="&amp;pyFrom,dPer,"&lt;="&amp;pyTo,dAmt,"&gt;-1E+300",dFlt1,critFlt1,dFlt2,critFlt2,dFlt3,critFlt3))</f>
        <v/>
      </c>
      <c r="D2517" t="str">
        <f>IF($B2517="","",SUMIFS(dAmt,dCust,$B2517,dPer,"&gt;="&amp;cyFrom,dPer,"&lt;="&amp;cyTo,dAmt,"&gt;-1E+300",dFlt1,critFlt1,dFlt2,critFlt2,dFlt3,critFlt3))</f>
        <v/>
      </c>
      <c r="E2517" t="str">
        <f>IF($B2517="","",SUMIFS(dQty,dCust,$B2517,dPer,"&gt;="&amp;pyFrom,dPer,"&lt;="&amp;pyTo,dQty,"&gt;-1E+300",dFlt1,critFlt1,dFlt2,critFlt2,dFlt3,critFlt3))</f>
        <v/>
      </c>
      <c r="F2517" t="str">
        <f>IF($B2517="","",SUMIFS(dQty,dCust,$B2517,dPer,"&gt;="&amp;cyFrom,dPer,"&lt;="&amp;cyTo,dQty,"&gt;-1E+300",dFlt1,critFlt1,dFlt2,critFlt2,dFlt3,critFlt3))</f>
        <v/>
      </c>
      <c r="G2517">
        <f>IF($B2517="",0,IFERROR(IF(OR(C2517&lt;&gt;0,D2517&lt;&gt;0,E2517&lt;&gt;0,F2517&lt;&gt;0),1,0),1))</f>
        <v>0</v>
      </c>
      <c r="H2517" t="str">
        <f>IF(OR(G2517=0,E2517=0),"",C2517/E2517)</f>
        <v/>
      </c>
      <c r="I2517" t="str">
        <f>IF(OR(G2517=0,F2517=0),"",D2517/F2517)</f>
        <v/>
      </c>
      <c r="J2517" t="str">
        <f>IF(OR(H2517="",I2517=""),"",IF(H2517=0,"",I2517/H2517-1))</f>
        <v/>
      </c>
      <c r="K2517" t="str">
        <f>IF($B2517="","",IFERROR(IF(G2517=0,-2E+300,CHOOSE(sortIdx,ROUND(D2517,0),IF(J2517="",-1E+300,ROUND(-J2517,6)),IF(J2517="",-1E+300,ROUND(J2517,6)))),-1.5E+300))</f>
        <v/>
      </c>
      <c r="L2517" t="str">
        <f>IF(K2517="","",RANK(K2517,$K$2:$K$3001,0)+COUNTIF($K$2:K2517,K2517)-1)</f>
        <v/>
      </c>
    </row>
    <row r="2518">
      <c r="B2518" t="str">
        <f>IFERROR(IF(A2518="","","="&amp;SUBSTITUTE(SUBSTITUTE(SUBSTITUTE(A2518,"~","~~"),"*","~*"),"?","~?")),"")</f>
        <v/>
      </c>
      <c r="C2518" t="str">
        <f>IF($B2518="","",SUMIFS(dAmt,dCust,$B2518,dPer,"&gt;="&amp;pyFrom,dPer,"&lt;="&amp;pyTo,dAmt,"&gt;-1E+300",dFlt1,critFlt1,dFlt2,critFlt2,dFlt3,critFlt3))</f>
        <v/>
      </c>
      <c r="D2518" t="str">
        <f>IF($B2518="","",SUMIFS(dAmt,dCust,$B2518,dPer,"&gt;="&amp;cyFrom,dPer,"&lt;="&amp;cyTo,dAmt,"&gt;-1E+300",dFlt1,critFlt1,dFlt2,critFlt2,dFlt3,critFlt3))</f>
        <v/>
      </c>
      <c r="E2518" t="str">
        <f>IF($B2518="","",SUMIFS(dQty,dCust,$B2518,dPer,"&gt;="&amp;pyFrom,dPer,"&lt;="&amp;pyTo,dQty,"&gt;-1E+300",dFlt1,critFlt1,dFlt2,critFlt2,dFlt3,critFlt3))</f>
        <v/>
      </c>
      <c r="F2518" t="str">
        <f>IF($B2518="","",SUMIFS(dQty,dCust,$B2518,dPer,"&gt;="&amp;cyFrom,dPer,"&lt;="&amp;cyTo,dQty,"&gt;-1E+300",dFlt1,critFlt1,dFlt2,critFlt2,dFlt3,critFlt3))</f>
        <v/>
      </c>
      <c r="G2518">
        <f>IF($B2518="",0,IFERROR(IF(OR(C2518&lt;&gt;0,D2518&lt;&gt;0,E2518&lt;&gt;0,F2518&lt;&gt;0),1,0),1))</f>
        <v>0</v>
      </c>
      <c r="H2518" t="str">
        <f>IF(OR(G2518=0,E2518=0),"",C2518/E2518)</f>
        <v/>
      </c>
      <c r="I2518" t="str">
        <f>IF(OR(G2518=0,F2518=0),"",D2518/F2518)</f>
        <v/>
      </c>
      <c r="J2518" t="str">
        <f>IF(OR(H2518="",I2518=""),"",IF(H2518=0,"",I2518/H2518-1))</f>
        <v/>
      </c>
      <c r="K2518" t="str">
        <f>IF($B2518="","",IFERROR(IF(G2518=0,-2E+300,CHOOSE(sortIdx,ROUND(D2518,0),IF(J2518="",-1E+300,ROUND(-J2518,6)),IF(J2518="",-1E+300,ROUND(J2518,6)))),-1.5E+300))</f>
        <v/>
      </c>
      <c r="L2518" t="str">
        <f>IF(K2518="","",RANK(K2518,$K$2:$K$3001,0)+COUNTIF($K$2:K2518,K2518)-1)</f>
        <v/>
      </c>
    </row>
    <row r="2519">
      <c r="B2519" t="str">
        <f>IFERROR(IF(A2519="","","="&amp;SUBSTITUTE(SUBSTITUTE(SUBSTITUTE(A2519,"~","~~"),"*","~*"),"?","~?")),"")</f>
        <v/>
      </c>
      <c r="C2519" t="str">
        <f>IF($B2519="","",SUMIFS(dAmt,dCust,$B2519,dPer,"&gt;="&amp;pyFrom,dPer,"&lt;="&amp;pyTo,dAmt,"&gt;-1E+300",dFlt1,critFlt1,dFlt2,critFlt2,dFlt3,critFlt3))</f>
        <v/>
      </c>
      <c r="D2519" t="str">
        <f>IF($B2519="","",SUMIFS(dAmt,dCust,$B2519,dPer,"&gt;="&amp;cyFrom,dPer,"&lt;="&amp;cyTo,dAmt,"&gt;-1E+300",dFlt1,critFlt1,dFlt2,critFlt2,dFlt3,critFlt3))</f>
        <v/>
      </c>
      <c r="E2519" t="str">
        <f>IF($B2519="","",SUMIFS(dQty,dCust,$B2519,dPer,"&gt;="&amp;pyFrom,dPer,"&lt;="&amp;pyTo,dQty,"&gt;-1E+300",dFlt1,critFlt1,dFlt2,critFlt2,dFlt3,critFlt3))</f>
        <v/>
      </c>
      <c r="F2519" t="str">
        <f>IF($B2519="","",SUMIFS(dQty,dCust,$B2519,dPer,"&gt;="&amp;cyFrom,dPer,"&lt;="&amp;cyTo,dQty,"&gt;-1E+300",dFlt1,critFlt1,dFlt2,critFlt2,dFlt3,critFlt3))</f>
        <v/>
      </c>
      <c r="G2519">
        <f>IF($B2519="",0,IFERROR(IF(OR(C2519&lt;&gt;0,D2519&lt;&gt;0,E2519&lt;&gt;0,F2519&lt;&gt;0),1,0),1))</f>
        <v>0</v>
      </c>
      <c r="H2519" t="str">
        <f>IF(OR(G2519=0,E2519=0),"",C2519/E2519)</f>
        <v/>
      </c>
      <c r="I2519" t="str">
        <f>IF(OR(G2519=0,F2519=0),"",D2519/F2519)</f>
        <v/>
      </c>
      <c r="J2519" t="str">
        <f>IF(OR(H2519="",I2519=""),"",IF(H2519=0,"",I2519/H2519-1))</f>
        <v/>
      </c>
      <c r="K2519" t="str">
        <f>IF($B2519="","",IFERROR(IF(G2519=0,-2E+300,CHOOSE(sortIdx,ROUND(D2519,0),IF(J2519="",-1E+300,ROUND(-J2519,6)),IF(J2519="",-1E+300,ROUND(J2519,6)))),-1.5E+300))</f>
        <v/>
      </c>
      <c r="L2519" t="str">
        <f>IF(K2519="","",RANK(K2519,$K$2:$K$3001,0)+COUNTIF($K$2:K2519,K2519)-1)</f>
        <v/>
      </c>
    </row>
    <row r="2520">
      <c r="B2520" t="str">
        <f>IFERROR(IF(A2520="","","="&amp;SUBSTITUTE(SUBSTITUTE(SUBSTITUTE(A2520,"~","~~"),"*","~*"),"?","~?")),"")</f>
        <v/>
      </c>
      <c r="C2520" t="str">
        <f>IF($B2520="","",SUMIFS(dAmt,dCust,$B2520,dPer,"&gt;="&amp;pyFrom,dPer,"&lt;="&amp;pyTo,dAmt,"&gt;-1E+300",dFlt1,critFlt1,dFlt2,critFlt2,dFlt3,critFlt3))</f>
        <v/>
      </c>
      <c r="D2520" t="str">
        <f>IF($B2520="","",SUMIFS(dAmt,dCust,$B2520,dPer,"&gt;="&amp;cyFrom,dPer,"&lt;="&amp;cyTo,dAmt,"&gt;-1E+300",dFlt1,critFlt1,dFlt2,critFlt2,dFlt3,critFlt3))</f>
        <v/>
      </c>
      <c r="E2520" t="str">
        <f>IF($B2520="","",SUMIFS(dQty,dCust,$B2520,dPer,"&gt;="&amp;pyFrom,dPer,"&lt;="&amp;pyTo,dQty,"&gt;-1E+300",dFlt1,critFlt1,dFlt2,critFlt2,dFlt3,critFlt3))</f>
        <v/>
      </c>
      <c r="F2520" t="str">
        <f>IF($B2520="","",SUMIFS(dQty,dCust,$B2520,dPer,"&gt;="&amp;cyFrom,dPer,"&lt;="&amp;cyTo,dQty,"&gt;-1E+300",dFlt1,critFlt1,dFlt2,critFlt2,dFlt3,critFlt3))</f>
        <v/>
      </c>
      <c r="G2520">
        <f>IF($B2520="",0,IFERROR(IF(OR(C2520&lt;&gt;0,D2520&lt;&gt;0,E2520&lt;&gt;0,F2520&lt;&gt;0),1,0),1))</f>
        <v>0</v>
      </c>
      <c r="H2520" t="str">
        <f>IF(OR(G2520=0,E2520=0),"",C2520/E2520)</f>
        <v/>
      </c>
      <c r="I2520" t="str">
        <f>IF(OR(G2520=0,F2520=0),"",D2520/F2520)</f>
        <v/>
      </c>
      <c r="J2520" t="str">
        <f>IF(OR(H2520="",I2520=""),"",IF(H2520=0,"",I2520/H2520-1))</f>
        <v/>
      </c>
      <c r="K2520" t="str">
        <f>IF($B2520="","",IFERROR(IF(G2520=0,-2E+300,CHOOSE(sortIdx,ROUND(D2520,0),IF(J2520="",-1E+300,ROUND(-J2520,6)),IF(J2520="",-1E+300,ROUND(J2520,6)))),-1.5E+300))</f>
        <v/>
      </c>
      <c r="L2520" t="str">
        <f>IF(K2520="","",RANK(K2520,$K$2:$K$3001,0)+COUNTIF($K$2:K2520,K2520)-1)</f>
        <v/>
      </c>
    </row>
    <row r="2521">
      <c r="B2521" t="str">
        <f>IFERROR(IF(A2521="","","="&amp;SUBSTITUTE(SUBSTITUTE(SUBSTITUTE(A2521,"~","~~"),"*","~*"),"?","~?")),"")</f>
        <v/>
      </c>
      <c r="C2521" t="str">
        <f>IF($B2521="","",SUMIFS(dAmt,dCust,$B2521,dPer,"&gt;="&amp;pyFrom,dPer,"&lt;="&amp;pyTo,dAmt,"&gt;-1E+300",dFlt1,critFlt1,dFlt2,critFlt2,dFlt3,critFlt3))</f>
        <v/>
      </c>
      <c r="D2521" t="str">
        <f>IF($B2521="","",SUMIFS(dAmt,dCust,$B2521,dPer,"&gt;="&amp;cyFrom,dPer,"&lt;="&amp;cyTo,dAmt,"&gt;-1E+300",dFlt1,critFlt1,dFlt2,critFlt2,dFlt3,critFlt3))</f>
        <v/>
      </c>
      <c r="E2521" t="str">
        <f>IF($B2521="","",SUMIFS(dQty,dCust,$B2521,dPer,"&gt;="&amp;pyFrom,dPer,"&lt;="&amp;pyTo,dQty,"&gt;-1E+300",dFlt1,critFlt1,dFlt2,critFlt2,dFlt3,critFlt3))</f>
        <v/>
      </c>
      <c r="F2521" t="str">
        <f>IF($B2521="","",SUMIFS(dQty,dCust,$B2521,dPer,"&gt;="&amp;cyFrom,dPer,"&lt;="&amp;cyTo,dQty,"&gt;-1E+300",dFlt1,critFlt1,dFlt2,critFlt2,dFlt3,critFlt3))</f>
        <v/>
      </c>
      <c r="G2521">
        <f>IF($B2521="",0,IFERROR(IF(OR(C2521&lt;&gt;0,D2521&lt;&gt;0,E2521&lt;&gt;0,F2521&lt;&gt;0),1,0),1))</f>
        <v>0</v>
      </c>
      <c r="H2521" t="str">
        <f>IF(OR(G2521=0,E2521=0),"",C2521/E2521)</f>
        <v/>
      </c>
      <c r="I2521" t="str">
        <f>IF(OR(G2521=0,F2521=0),"",D2521/F2521)</f>
        <v/>
      </c>
      <c r="J2521" t="str">
        <f>IF(OR(H2521="",I2521=""),"",IF(H2521=0,"",I2521/H2521-1))</f>
        <v/>
      </c>
      <c r="K2521" t="str">
        <f>IF($B2521="","",IFERROR(IF(G2521=0,-2E+300,CHOOSE(sortIdx,ROUND(D2521,0),IF(J2521="",-1E+300,ROUND(-J2521,6)),IF(J2521="",-1E+300,ROUND(J2521,6)))),-1.5E+300))</f>
        <v/>
      </c>
      <c r="L2521" t="str">
        <f>IF(K2521="","",RANK(K2521,$K$2:$K$3001,0)+COUNTIF($K$2:K2521,K2521)-1)</f>
        <v/>
      </c>
    </row>
    <row r="2522">
      <c r="B2522" t="str">
        <f>IFERROR(IF(A2522="","","="&amp;SUBSTITUTE(SUBSTITUTE(SUBSTITUTE(A2522,"~","~~"),"*","~*"),"?","~?")),"")</f>
        <v/>
      </c>
      <c r="C2522" t="str">
        <f>IF($B2522="","",SUMIFS(dAmt,dCust,$B2522,dPer,"&gt;="&amp;pyFrom,dPer,"&lt;="&amp;pyTo,dAmt,"&gt;-1E+300",dFlt1,critFlt1,dFlt2,critFlt2,dFlt3,critFlt3))</f>
        <v/>
      </c>
      <c r="D2522" t="str">
        <f>IF($B2522="","",SUMIFS(dAmt,dCust,$B2522,dPer,"&gt;="&amp;cyFrom,dPer,"&lt;="&amp;cyTo,dAmt,"&gt;-1E+300",dFlt1,critFlt1,dFlt2,critFlt2,dFlt3,critFlt3))</f>
        <v/>
      </c>
      <c r="E2522" t="str">
        <f>IF($B2522="","",SUMIFS(dQty,dCust,$B2522,dPer,"&gt;="&amp;pyFrom,dPer,"&lt;="&amp;pyTo,dQty,"&gt;-1E+300",dFlt1,critFlt1,dFlt2,critFlt2,dFlt3,critFlt3))</f>
        <v/>
      </c>
      <c r="F2522" t="str">
        <f>IF($B2522="","",SUMIFS(dQty,dCust,$B2522,dPer,"&gt;="&amp;cyFrom,dPer,"&lt;="&amp;cyTo,dQty,"&gt;-1E+300",dFlt1,critFlt1,dFlt2,critFlt2,dFlt3,critFlt3))</f>
        <v/>
      </c>
      <c r="G2522">
        <f>IF($B2522="",0,IFERROR(IF(OR(C2522&lt;&gt;0,D2522&lt;&gt;0,E2522&lt;&gt;0,F2522&lt;&gt;0),1,0),1))</f>
        <v>0</v>
      </c>
      <c r="H2522" t="str">
        <f>IF(OR(G2522=0,E2522=0),"",C2522/E2522)</f>
        <v/>
      </c>
      <c r="I2522" t="str">
        <f>IF(OR(G2522=0,F2522=0),"",D2522/F2522)</f>
        <v/>
      </c>
      <c r="J2522" t="str">
        <f>IF(OR(H2522="",I2522=""),"",IF(H2522=0,"",I2522/H2522-1))</f>
        <v/>
      </c>
      <c r="K2522" t="str">
        <f>IF($B2522="","",IFERROR(IF(G2522=0,-2E+300,CHOOSE(sortIdx,ROUND(D2522,0),IF(J2522="",-1E+300,ROUND(-J2522,6)),IF(J2522="",-1E+300,ROUND(J2522,6)))),-1.5E+300))</f>
        <v/>
      </c>
      <c r="L2522" t="str">
        <f>IF(K2522="","",RANK(K2522,$K$2:$K$3001,0)+COUNTIF($K$2:K2522,K2522)-1)</f>
        <v/>
      </c>
    </row>
    <row r="2523">
      <c r="B2523" t="str">
        <f>IFERROR(IF(A2523="","","="&amp;SUBSTITUTE(SUBSTITUTE(SUBSTITUTE(A2523,"~","~~"),"*","~*"),"?","~?")),"")</f>
        <v/>
      </c>
      <c r="C2523" t="str">
        <f>IF($B2523="","",SUMIFS(dAmt,dCust,$B2523,dPer,"&gt;="&amp;pyFrom,dPer,"&lt;="&amp;pyTo,dAmt,"&gt;-1E+300",dFlt1,critFlt1,dFlt2,critFlt2,dFlt3,critFlt3))</f>
        <v/>
      </c>
      <c r="D2523" t="str">
        <f>IF($B2523="","",SUMIFS(dAmt,dCust,$B2523,dPer,"&gt;="&amp;cyFrom,dPer,"&lt;="&amp;cyTo,dAmt,"&gt;-1E+300",dFlt1,critFlt1,dFlt2,critFlt2,dFlt3,critFlt3))</f>
        <v/>
      </c>
      <c r="E2523" t="str">
        <f>IF($B2523="","",SUMIFS(dQty,dCust,$B2523,dPer,"&gt;="&amp;pyFrom,dPer,"&lt;="&amp;pyTo,dQty,"&gt;-1E+300",dFlt1,critFlt1,dFlt2,critFlt2,dFlt3,critFlt3))</f>
        <v/>
      </c>
      <c r="F2523" t="str">
        <f>IF($B2523="","",SUMIFS(dQty,dCust,$B2523,dPer,"&gt;="&amp;cyFrom,dPer,"&lt;="&amp;cyTo,dQty,"&gt;-1E+300",dFlt1,critFlt1,dFlt2,critFlt2,dFlt3,critFlt3))</f>
        <v/>
      </c>
      <c r="G2523">
        <f>IF($B2523="",0,IFERROR(IF(OR(C2523&lt;&gt;0,D2523&lt;&gt;0,E2523&lt;&gt;0,F2523&lt;&gt;0),1,0),1))</f>
        <v>0</v>
      </c>
      <c r="H2523" t="str">
        <f>IF(OR(G2523=0,E2523=0),"",C2523/E2523)</f>
        <v/>
      </c>
      <c r="I2523" t="str">
        <f>IF(OR(G2523=0,F2523=0),"",D2523/F2523)</f>
        <v/>
      </c>
      <c r="J2523" t="str">
        <f>IF(OR(H2523="",I2523=""),"",IF(H2523=0,"",I2523/H2523-1))</f>
        <v/>
      </c>
      <c r="K2523" t="str">
        <f>IF($B2523="","",IFERROR(IF(G2523=0,-2E+300,CHOOSE(sortIdx,ROUND(D2523,0),IF(J2523="",-1E+300,ROUND(-J2523,6)),IF(J2523="",-1E+300,ROUND(J2523,6)))),-1.5E+300))</f>
        <v/>
      </c>
      <c r="L2523" t="str">
        <f>IF(K2523="","",RANK(K2523,$K$2:$K$3001,0)+COUNTIF($K$2:K2523,K2523)-1)</f>
        <v/>
      </c>
    </row>
    <row r="2524">
      <c r="B2524" t="str">
        <f>IFERROR(IF(A2524="","","="&amp;SUBSTITUTE(SUBSTITUTE(SUBSTITUTE(A2524,"~","~~"),"*","~*"),"?","~?")),"")</f>
        <v/>
      </c>
      <c r="C2524" t="str">
        <f>IF($B2524="","",SUMIFS(dAmt,dCust,$B2524,dPer,"&gt;="&amp;pyFrom,dPer,"&lt;="&amp;pyTo,dAmt,"&gt;-1E+300",dFlt1,critFlt1,dFlt2,critFlt2,dFlt3,critFlt3))</f>
        <v/>
      </c>
      <c r="D2524" t="str">
        <f>IF($B2524="","",SUMIFS(dAmt,dCust,$B2524,dPer,"&gt;="&amp;cyFrom,dPer,"&lt;="&amp;cyTo,dAmt,"&gt;-1E+300",dFlt1,critFlt1,dFlt2,critFlt2,dFlt3,critFlt3))</f>
        <v/>
      </c>
      <c r="E2524" t="str">
        <f>IF($B2524="","",SUMIFS(dQty,dCust,$B2524,dPer,"&gt;="&amp;pyFrom,dPer,"&lt;="&amp;pyTo,dQty,"&gt;-1E+300",dFlt1,critFlt1,dFlt2,critFlt2,dFlt3,critFlt3))</f>
        <v/>
      </c>
      <c r="F2524" t="str">
        <f>IF($B2524="","",SUMIFS(dQty,dCust,$B2524,dPer,"&gt;="&amp;cyFrom,dPer,"&lt;="&amp;cyTo,dQty,"&gt;-1E+300",dFlt1,critFlt1,dFlt2,critFlt2,dFlt3,critFlt3))</f>
        <v/>
      </c>
      <c r="G2524">
        <f>IF($B2524="",0,IFERROR(IF(OR(C2524&lt;&gt;0,D2524&lt;&gt;0,E2524&lt;&gt;0,F2524&lt;&gt;0),1,0),1))</f>
        <v>0</v>
      </c>
      <c r="H2524" t="str">
        <f>IF(OR(G2524=0,E2524=0),"",C2524/E2524)</f>
        <v/>
      </c>
      <c r="I2524" t="str">
        <f>IF(OR(G2524=0,F2524=0),"",D2524/F2524)</f>
        <v/>
      </c>
      <c r="J2524" t="str">
        <f>IF(OR(H2524="",I2524=""),"",IF(H2524=0,"",I2524/H2524-1))</f>
        <v/>
      </c>
      <c r="K2524" t="str">
        <f>IF($B2524="","",IFERROR(IF(G2524=0,-2E+300,CHOOSE(sortIdx,ROUND(D2524,0),IF(J2524="",-1E+300,ROUND(-J2524,6)),IF(J2524="",-1E+300,ROUND(J2524,6)))),-1.5E+300))</f>
        <v/>
      </c>
      <c r="L2524" t="str">
        <f>IF(K2524="","",RANK(K2524,$K$2:$K$3001,0)+COUNTIF($K$2:K2524,K2524)-1)</f>
        <v/>
      </c>
    </row>
    <row r="2525">
      <c r="B2525" t="str">
        <f>IFERROR(IF(A2525="","","="&amp;SUBSTITUTE(SUBSTITUTE(SUBSTITUTE(A2525,"~","~~"),"*","~*"),"?","~?")),"")</f>
        <v/>
      </c>
      <c r="C2525" t="str">
        <f>IF($B2525="","",SUMIFS(dAmt,dCust,$B2525,dPer,"&gt;="&amp;pyFrom,dPer,"&lt;="&amp;pyTo,dAmt,"&gt;-1E+300",dFlt1,critFlt1,dFlt2,critFlt2,dFlt3,critFlt3))</f>
        <v/>
      </c>
      <c r="D2525" t="str">
        <f>IF($B2525="","",SUMIFS(dAmt,dCust,$B2525,dPer,"&gt;="&amp;cyFrom,dPer,"&lt;="&amp;cyTo,dAmt,"&gt;-1E+300",dFlt1,critFlt1,dFlt2,critFlt2,dFlt3,critFlt3))</f>
        <v/>
      </c>
      <c r="E2525" t="str">
        <f>IF($B2525="","",SUMIFS(dQty,dCust,$B2525,dPer,"&gt;="&amp;pyFrom,dPer,"&lt;="&amp;pyTo,dQty,"&gt;-1E+300",dFlt1,critFlt1,dFlt2,critFlt2,dFlt3,critFlt3))</f>
        <v/>
      </c>
      <c r="F2525" t="str">
        <f>IF($B2525="","",SUMIFS(dQty,dCust,$B2525,dPer,"&gt;="&amp;cyFrom,dPer,"&lt;="&amp;cyTo,dQty,"&gt;-1E+300",dFlt1,critFlt1,dFlt2,critFlt2,dFlt3,critFlt3))</f>
        <v/>
      </c>
      <c r="G2525">
        <f>IF($B2525="",0,IFERROR(IF(OR(C2525&lt;&gt;0,D2525&lt;&gt;0,E2525&lt;&gt;0,F2525&lt;&gt;0),1,0),1))</f>
        <v>0</v>
      </c>
      <c r="H2525" t="str">
        <f>IF(OR(G2525=0,E2525=0),"",C2525/E2525)</f>
        <v/>
      </c>
      <c r="I2525" t="str">
        <f>IF(OR(G2525=0,F2525=0),"",D2525/F2525)</f>
        <v/>
      </c>
      <c r="J2525" t="str">
        <f>IF(OR(H2525="",I2525=""),"",IF(H2525=0,"",I2525/H2525-1))</f>
        <v/>
      </c>
      <c r="K2525" t="str">
        <f>IF($B2525="","",IFERROR(IF(G2525=0,-2E+300,CHOOSE(sortIdx,ROUND(D2525,0),IF(J2525="",-1E+300,ROUND(-J2525,6)),IF(J2525="",-1E+300,ROUND(J2525,6)))),-1.5E+300))</f>
        <v/>
      </c>
      <c r="L2525" t="str">
        <f>IF(K2525="","",RANK(K2525,$K$2:$K$3001,0)+COUNTIF($K$2:K2525,K2525)-1)</f>
        <v/>
      </c>
    </row>
    <row r="2526">
      <c r="B2526" t="str">
        <f>IFERROR(IF(A2526="","","="&amp;SUBSTITUTE(SUBSTITUTE(SUBSTITUTE(A2526,"~","~~"),"*","~*"),"?","~?")),"")</f>
        <v/>
      </c>
      <c r="C2526" t="str">
        <f>IF($B2526="","",SUMIFS(dAmt,dCust,$B2526,dPer,"&gt;="&amp;pyFrom,dPer,"&lt;="&amp;pyTo,dAmt,"&gt;-1E+300",dFlt1,critFlt1,dFlt2,critFlt2,dFlt3,critFlt3))</f>
        <v/>
      </c>
      <c r="D2526" t="str">
        <f>IF($B2526="","",SUMIFS(dAmt,dCust,$B2526,dPer,"&gt;="&amp;cyFrom,dPer,"&lt;="&amp;cyTo,dAmt,"&gt;-1E+300",dFlt1,critFlt1,dFlt2,critFlt2,dFlt3,critFlt3))</f>
        <v/>
      </c>
      <c r="E2526" t="str">
        <f>IF($B2526="","",SUMIFS(dQty,dCust,$B2526,dPer,"&gt;="&amp;pyFrom,dPer,"&lt;="&amp;pyTo,dQty,"&gt;-1E+300",dFlt1,critFlt1,dFlt2,critFlt2,dFlt3,critFlt3))</f>
        <v/>
      </c>
      <c r="F2526" t="str">
        <f>IF($B2526="","",SUMIFS(dQty,dCust,$B2526,dPer,"&gt;="&amp;cyFrom,dPer,"&lt;="&amp;cyTo,dQty,"&gt;-1E+300",dFlt1,critFlt1,dFlt2,critFlt2,dFlt3,critFlt3))</f>
        <v/>
      </c>
      <c r="G2526">
        <f>IF($B2526="",0,IFERROR(IF(OR(C2526&lt;&gt;0,D2526&lt;&gt;0,E2526&lt;&gt;0,F2526&lt;&gt;0),1,0),1))</f>
        <v>0</v>
      </c>
      <c r="H2526" t="str">
        <f>IF(OR(G2526=0,E2526=0),"",C2526/E2526)</f>
        <v/>
      </c>
      <c r="I2526" t="str">
        <f>IF(OR(G2526=0,F2526=0),"",D2526/F2526)</f>
        <v/>
      </c>
      <c r="J2526" t="str">
        <f>IF(OR(H2526="",I2526=""),"",IF(H2526=0,"",I2526/H2526-1))</f>
        <v/>
      </c>
      <c r="K2526" t="str">
        <f>IF($B2526="","",IFERROR(IF(G2526=0,-2E+300,CHOOSE(sortIdx,ROUND(D2526,0),IF(J2526="",-1E+300,ROUND(-J2526,6)),IF(J2526="",-1E+300,ROUND(J2526,6)))),-1.5E+300))</f>
        <v/>
      </c>
      <c r="L2526" t="str">
        <f>IF(K2526="","",RANK(K2526,$K$2:$K$3001,0)+COUNTIF($K$2:K2526,K2526)-1)</f>
        <v/>
      </c>
    </row>
    <row r="2527">
      <c r="B2527" t="str">
        <f>IFERROR(IF(A2527="","","="&amp;SUBSTITUTE(SUBSTITUTE(SUBSTITUTE(A2527,"~","~~"),"*","~*"),"?","~?")),"")</f>
        <v/>
      </c>
      <c r="C2527" t="str">
        <f>IF($B2527="","",SUMIFS(dAmt,dCust,$B2527,dPer,"&gt;="&amp;pyFrom,dPer,"&lt;="&amp;pyTo,dAmt,"&gt;-1E+300",dFlt1,critFlt1,dFlt2,critFlt2,dFlt3,critFlt3))</f>
        <v/>
      </c>
      <c r="D2527" t="str">
        <f>IF($B2527="","",SUMIFS(dAmt,dCust,$B2527,dPer,"&gt;="&amp;cyFrom,dPer,"&lt;="&amp;cyTo,dAmt,"&gt;-1E+300",dFlt1,critFlt1,dFlt2,critFlt2,dFlt3,critFlt3))</f>
        <v/>
      </c>
      <c r="E2527" t="str">
        <f>IF($B2527="","",SUMIFS(dQty,dCust,$B2527,dPer,"&gt;="&amp;pyFrom,dPer,"&lt;="&amp;pyTo,dQty,"&gt;-1E+300",dFlt1,critFlt1,dFlt2,critFlt2,dFlt3,critFlt3))</f>
        <v/>
      </c>
      <c r="F2527" t="str">
        <f>IF($B2527="","",SUMIFS(dQty,dCust,$B2527,dPer,"&gt;="&amp;cyFrom,dPer,"&lt;="&amp;cyTo,dQty,"&gt;-1E+300",dFlt1,critFlt1,dFlt2,critFlt2,dFlt3,critFlt3))</f>
        <v/>
      </c>
      <c r="G2527">
        <f>IF($B2527="",0,IFERROR(IF(OR(C2527&lt;&gt;0,D2527&lt;&gt;0,E2527&lt;&gt;0,F2527&lt;&gt;0),1,0),1))</f>
        <v>0</v>
      </c>
      <c r="H2527" t="str">
        <f>IF(OR(G2527=0,E2527=0),"",C2527/E2527)</f>
        <v/>
      </c>
      <c r="I2527" t="str">
        <f>IF(OR(G2527=0,F2527=0),"",D2527/F2527)</f>
        <v/>
      </c>
      <c r="J2527" t="str">
        <f>IF(OR(H2527="",I2527=""),"",IF(H2527=0,"",I2527/H2527-1))</f>
        <v/>
      </c>
      <c r="K2527" t="str">
        <f>IF($B2527="","",IFERROR(IF(G2527=0,-2E+300,CHOOSE(sortIdx,ROUND(D2527,0),IF(J2527="",-1E+300,ROUND(-J2527,6)),IF(J2527="",-1E+300,ROUND(J2527,6)))),-1.5E+300))</f>
        <v/>
      </c>
      <c r="L2527" t="str">
        <f>IF(K2527="","",RANK(K2527,$K$2:$K$3001,0)+COUNTIF($K$2:K2527,K2527)-1)</f>
        <v/>
      </c>
    </row>
    <row r="2528">
      <c r="B2528" t="str">
        <f>IFERROR(IF(A2528="","","="&amp;SUBSTITUTE(SUBSTITUTE(SUBSTITUTE(A2528,"~","~~"),"*","~*"),"?","~?")),"")</f>
        <v/>
      </c>
      <c r="C2528" t="str">
        <f>IF($B2528="","",SUMIFS(dAmt,dCust,$B2528,dPer,"&gt;="&amp;pyFrom,dPer,"&lt;="&amp;pyTo,dAmt,"&gt;-1E+300",dFlt1,critFlt1,dFlt2,critFlt2,dFlt3,critFlt3))</f>
        <v/>
      </c>
      <c r="D2528" t="str">
        <f>IF($B2528="","",SUMIFS(dAmt,dCust,$B2528,dPer,"&gt;="&amp;cyFrom,dPer,"&lt;="&amp;cyTo,dAmt,"&gt;-1E+300",dFlt1,critFlt1,dFlt2,critFlt2,dFlt3,critFlt3))</f>
        <v/>
      </c>
      <c r="E2528" t="str">
        <f>IF($B2528="","",SUMIFS(dQty,dCust,$B2528,dPer,"&gt;="&amp;pyFrom,dPer,"&lt;="&amp;pyTo,dQty,"&gt;-1E+300",dFlt1,critFlt1,dFlt2,critFlt2,dFlt3,critFlt3))</f>
        <v/>
      </c>
      <c r="F2528" t="str">
        <f>IF($B2528="","",SUMIFS(dQty,dCust,$B2528,dPer,"&gt;="&amp;cyFrom,dPer,"&lt;="&amp;cyTo,dQty,"&gt;-1E+300",dFlt1,critFlt1,dFlt2,critFlt2,dFlt3,critFlt3))</f>
        <v/>
      </c>
      <c r="G2528">
        <f>IF($B2528="",0,IFERROR(IF(OR(C2528&lt;&gt;0,D2528&lt;&gt;0,E2528&lt;&gt;0,F2528&lt;&gt;0),1,0),1))</f>
        <v>0</v>
      </c>
      <c r="H2528" t="str">
        <f>IF(OR(G2528=0,E2528=0),"",C2528/E2528)</f>
        <v/>
      </c>
      <c r="I2528" t="str">
        <f>IF(OR(G2528=0,F2528=0),"",D2528/F2528)</f>
        <v/>
      </c>
      <c r="J2528" t="str">
        <f>IF(OR(H2528="",I2528=""),"",IF(H2528=0,"",I2528/H2528-1))</f>
        <v/>
      </c>
      <c r="K2528" t="str">
        <f>IF($B2528="","",IFERROR(IF(G2528=0,-2E+300,CHOOSE(sortIdx,ROUND(D2528,0),IF(J2528="",-1E+300,ROUND(-J2528,6)),IF(J2528="",-1E+300,ROUND(J2528,6)))),-1.5E+300))</f>
        <v/>
      </c>
      <c r="L2528" t="str">
        <f>IF(K2528="","",RANK(K2528,$K$2:$K$3001,0)+COUNTIF($K$2:K2528,K2528)-1)</f>
        <v/>
      </c>
    </row>
    <row r="2529">
      <c r="B2529" t="str">
        <f>IFERROR(IF(A2529="","","="&amp;SUBSTITUTE(SUBSTITUTE(SUBSTITUTE(A2529,"~","~~"),"*","~*"),"?","~?")),"")</f>
        <v/>
      </c>
      <c r="C2529" t="str">
        <f>IF($B2529="","",SUMIFS(dAmt,dCust,$B2529,dPer,"&gt;="&amp;pyFrom,dPer,"&lt;="&amp;pyTo,dAmt,"&gt;-1E+300",dFlt1,critFlt1,dFlt2,critFlt2,dFlt3,critFlt3))</f>
        <v/>
      </c>
      <c r="D2529" t="str">
        <f>IF($B2529="","",SUMIFS(dAmt,dCust,$B2529,dPer,"&gt;="&amp;cyFrom,dPer,"&lt;="&amp;cyTo,dAmt,"&gt;-1E+300",dFlt1,critFlt1,dFlt2,critFlt2,dFlt3,critFlt3))</f>
        <v/>
      </c>
      <c r="E2529" t="str">
        <f>IF($B2529="","",SUMIFS(dQty,dCust,$B2529,dPer,"&gt;="&amp;pyFrom,dPer,"&lt;="&amp;pyTo,dQty,"&gt;-1E+300",dFlt1,critFlt1,dFlt2,critFlt2,dFlt3,critFlt3))</f>
        <v/>
      </c>
      <c r="F2529" t="str">
        <f>IF($B2529="","",SUMIFS(dQty,dCust,$B2529,dPer,"&gt;="&amp;cyFrom,dPer,"&lt;="&amp;cyTo,dQty,"&gt;-1E+300",dFlt1,critFlt1,dFlt2,critFlt2,dFlt3,critFlt3))</f>
        <v/>
      </c>
      <c r="G2529">
        <f>IF($B2529="",0,IFERROR(IF(OR(C2529&lt;&gt;0,D2529&lt;&gt;0,E2529&lt;&gt;0,F2529&lt;&gt;0),1,0),1))</f>
        <v>0</v>
      </c>
      <c r="H2529" t="str">
        <f>IF(OR(G2529=0,E2529=0),"",C2529/E2529)</f>
        <v/>
      </c>
      <c r="I2529" t="str">
        <f>IF(OR(G2529=0,F2529=0),"",D2529/F2529)</f>
        <v/>
      </c>
      <c r="J2529" t="str">
        <f>IF(OR(H2529="",I2529=""),"",IF(H2529=0,"",I2529/H2529-1))</f>
        <v/>
      </c>
      <c r="K2529" t="str">
        <f>IF($B2529="","",IFERROR(IF(G2529=0,-2E+300,CHOOSE(sortIdx,ROUND(D2529,0),IF(J2529="",-1E+300,ROUND(-J2529,6)),IF(J2529="",-1E+300,ROUND(J2529,6)))),-1.5E+300))</f>
        <v/>
      </c>
      <c r="L2529" t="str">
        <f>IF(K2529="","",RANK(K2529,$K$2:$K$3001,0)+COUNTIF($K$2:K2529,K2529)-1)</f>
        <v/>
      </c>
    </row>
    <row r="2530">
      <c r="B2530" t="str">
        <f>IFERROR(IF(A2530="","","="&amp;SUBSTITUTE(SUBSTITUTE(SUBSTITUTE(A2530,"~","~~"),"*","~*"),"?","~?")),"")</f>
        <v/>
      </c>
      <c r="C2530" t="str">
        <f>IF($B2530="","",SUMIFS(dAmt,dCust,$B2530,dPer,"&gt;="&amp;pyFrom,dPer,"&lt;="&amp;pyTo,dAmt,"&gt;-1E+300",dFlt1,critFlt1,dFlt2,critFlt2,dFlt3,critFlt3))</f>
        <v/>
      </c>
      <c r="D2530" t="str">
        <f>IF($B2530="","",SUMIFS(dAmt,dCust,$B2530,dPer,"&gt;="&amp;cyFrom,dPer,"&lt;="&amp;cyTo,dAmt,"&gt;-1E+300",dFlt1,critFlt1,dFlt2,critFlt2,dFlt3,critFlt3))</f>
        <v/>
      </c>
      <c r="E2530" t="str">
        <f>IF($B2530="","",SUMIFS(dQty,dCust,$B2530,dPer,"&gt;="&amp;pyFrom,dPer,"&lt;="&amp;pyTo,dQty,"&gt;-1E+300",dFlt1,critFlt1,dFlt2,critFlt2,dFlt3,critFlt3))</f>
        <v/>
      </c>
      <c r="F2530" t="str">
        <f>IF($B2530="","",SUMIFS(dQty,dCust,$B2530,dPer,"&gt;="&amp;cyFrom,dPer,"&lt;="&amp;cyTo,dQty,"&gt;-1E+300",dFlt1,critFlt1,dFlt2,critFlt2,dFlt3,critFlt3))</f>
        <v/>
      </c>
      <c r="G2530">
        <f>IF($B2530="",0,IFERROR(IF(OR(C2530&lt;&gt;0,D2530&lt;&gt;0,E2530&lt;&gt;0,F2530&lt;&gt;0),1,0),1))</f>
        <v>0</v>
      </c>
      <c r="H2530" t="str">
        <f>IF(OR(G2530=0,E2530=0),"",C2530/E2530)</f>
        <v/>
      </c>
      <c r="I2530" t="str">
        <f>IF(OR(G2530=0,F2530=0),"",D2530/F2530)</f>
        <v/>
      </c>
      <c r="J2530" t="str">
        <f>IF(OR(H2530="",I2530=""),"",IF(H2530=0,"",I2530/H2530-1))</f>
        <v/>
      </c>
      <c r="K2530" t="str">
        <f>IF($B2530="","",IFERROR(IF(G2530=0,-2E+300,CHOOSE(sortIdx,ROUND(D2530,0),IF(J2530="",-1E+300,ROUND(-J2530,6)),IF(J2530="",-1E+300,ROUND(J2530,6)))),-1.5E+300))</f>
        <v/>
      </c>
      <c r="L2530" t="str">
        <f>IF(K2530="","",RANK(K2530,$K$2:$K$3001,0)+COUNTIF($K$2:K2530,K2530)-1)</f>
        <v/>
      </c>
    </row>
    <row r="2531">
      <c r="B2531" t="str">
        <f>IFERROR(IF(A2531="","","="&amp;SUBSTITUTE(SUBSTITUTE(SUBSTITUTE(A2531,"~","~~"),"*","~*"),"?","~?")),"")</f>
        <v/>
      </c>
      <c r="C2531" t="str">
        <f>IF($B2531="","",SUMIFS(dAmt,dCust,$B2531,dPer,"&gt;="&amp;pyFrom,dPer,"&lt;="&amp;pyTo,dAmt,"&gt;-1E+300",dFlt1,critFlt1,dFlt2,critFlt2,dFlt3,critFlt3))</f>
        <v/>
      </c>
      <c r="D2531" t="str">
        <f>IF($B2531="","",SUMIFS(dAmt,dCust,$B2531,dPer,"&gt;="&amp;cyFrom,dPer,"&lt;="&amp;cyTo,dAmt,"&gt;-1E+300",dFlt1,critFlt1,dFlt2,critFlt2,dFlt3,critFlt3))</f>
        <v/>
      </c>
      <c r="E2531" t="str">
        <f>IF($B2531="","",SUMIFS(dQty,dCust,$B2531,dPer,"&gt;="&amp;pyFrom,dPer,"&lt;="&amp;pyTo,dQty,"&gt;-1E+300",dFlt1,critFlt1,dFlt2,critFlt2,dFlt3,critFlt3))</f>
        <v/>
      </c>
      <c r="F2531" t="str">
        <f>IF($B2531="","",SUMIFS(dQty,dCust,$B2531,dPer,"&gt;="&amp;cyFrom,dPer,"&lt;="&amp;cyTo,dQty,"&gt;-1E+300",dFlt1,critFlt1,dFlt2,critFlt2,dFlt3,critFlt3))</f>
        <v/>
      </c>
      <c r="G2531">
        <f>IF($B2531="",0,IFERROR(IF(OR(C2531&lt;&gt;0,D2531&lt;&gt;0,E2531&lt;&gt;0,F2531&lt;&gt;0),1,0),1))</f>
        <v>0</v>
      </c>
      <c r="H2531" t="str">
        <f>IF(OR(G2531=0,E2531=0),"",C2531/E2531)</f>
        <v/>
      </c>
      <c r="I2531" t="str">
        <f>IF(OR(G2531=0,F2531=0),"",D2531/F2531)</f>
        <v/>
      </c>
      <c r="J2531" t="str">
        <f>IF(OR(H2531="",I2531=""),"",IF(H2531=0,"",I2531/H2531-1))</f>
        <v/>
      </c>
      <c r="K2531" t="str">
        <f>IF($B2531="","",IFERROR(IF(G2531=0,-2E+300,CHOOSE(sortIdx,ROUND(D2531,0),IF(J2531="",-1E+300,ROUND(-J2531,6)),IF(J2531="",-1E+300,ROUND(J2531,6)))),-1.5E+300))</f>
        <v/>
      </c>
      <c r="L2531" t="str">
        <f>IF(K2531="","",RANK(K2531,$K$2:$K$3001,0)+COUNTIF($K$2:K2531,K2531)-1)</f>
        <v/>
      </c>
    </row>
    <row r="2532">
      <c r="B2532" t="str">
        <f>IFERROR(IF(A2532="","","="&amp;SUBSTITUTE(SUBSTITUTE(SUBSTITUTE(A2532,"~","~~"),"*","~*"),"?","~?")),"")</f>
        <v/>
      </c>
      <c r="C2532" t="str">
        <f>IF($B2532="","",SUMIFS(dAmt,dCust,$B2532,dPer,"&gt;="&amp;pyFrom,dPer,"&lt;="&amp;pyTo,dAmt,"&gt;-1E+300",dFlt1,critFlt1,dFlt2,critFlt2,dFlt3,critFlt3))</f>
        <v/>
      </c>
      <c r="D2532" t="str">
        <f>IF($B2532="","",SUMIFS(dAmt,dCust,$B2532,dPer,"&gt;="&amp;cyFrom,dPer,"&lt;="&amp;cyTo,dAmt,"&gt;-1E+300",dFlt1,critFlt1,dFlt2,critFlt2,dFlt3,critFlt3))</f>
        <v/>
      </c>
      <c r="E2532" t="str">
        <f>IF($B2532="","",SUMIFS(dQty,dCust,$B2532,dPer,"&gt;="&amp;pyFrom,dPer,"&lt;="&amp;pyTo,dQty,"&gt;-1E+300",dFlt1,critFlt1,dFlt2,critFlt2,dFlt3,critFlt3))</f>
        <v/>
      </c>
      <c r="F2532" t="str">
        <f>IF($B2532="","",SUMIFS(dQty,dCust,$B2532,dPer,"&gt;="&amp;cyFrom,dPer,"&lt;="&amp;cyTo,dQty,"&gt;-1E+300",dFlt1,critFlt1,dFlt2,critFlt2,dFlt3,critFlt3))</f>
        <v/>
      </c>
      <c r="G2532">
        <f>IF($B2532="",0,IFERROR(IF(OR(C2532&lt;&gt;0,D2532&lt;&gt;0,E2532&lt;&gt;0,F2532&lt;&gt;0),1,0),1))</f>
        <v>0</v>
      </c>
      <c r="H2532" t="str">
        <f>IF(OR(G2532=0,E2532=0),"",C2532/E2532)</f>
        <v/>
      </c>
      <c r="I2532" t="str">
        <f>IF(OR(G2532=0,F2532=0),"",D2532/F2532)</f>
        <v/>
      </c>
      <c r="J2532" t="str">
        <f>IF(OR(H2532="",I2532=""),"",IF(H2532=0,"",I2532/H2532-1))</f>
        <v/>
      </c>
      <c r="K2532" t="str">
        <f>IF($B2532="","",IFERROR(IF(G2532=0,-2E+300,CHOOSE(sortIdx,ROUND(D2532,0),IF(J2532="",-1E+300,ROUND(-J2532,6)),IF(J2532="",-1E+300,ROUND(J2532,6)))),-1.5E+300))</f>
        <v/>
      </c>
      <c r="L2532" t="str">
        <f>IF(K2532="","",RANK(K2532,$K$2:$K$3001,0)+COUNTIF($K$2:K2532,K2532)-1)</f>
        <v/>
      </c>
    </row>
    <row r="2533">
      <c r="B2533" t="str">
        <f>IFERROR(IF(A2533="","","="&amp;SUBSTITUTE(SUBSTITUTE(SUBSTITUTE(A2533,"~","~~"),"*","~*"),"?","~?")),"")</f>
        <v/>
      </c>
      <c r="C2533" t="str">
        <f>IF($B2533="","",SUMIFS(dAmt,dCust,$B2533,dPer,"&gt;="&amp;pyFrom,dPer,"&lt;="&amp;pyTo,dAmt,"&gt;-1E+300",dFlt1,critFlt1,dFlt2,critFlt2,dFlt3,critFlt3))</f>
        <v/>
      </c>
      <c r="D2533" t="str">
        <f>IF($B2533="","",SUMIFS(dAmt,dCust,$B2533,dPer,"&gt;="&amp;cyFrom,dPer,"&lt;="&amp;cyTo,dAmt,"&gt;-1E+300",dFlt1,critFlt1,dFlt2,critFlt2,dFlt3,critFlt3))</f>
        <v/>
      </c>
      <c r="E2533" t="str">
        <f>IF($B2533="","",SUMIFS(dQty,dCust,$B2533,dPer,"&gt;="&amp;pyFrom,dPer,"&lt;="&amp;pyTo,dQty,"&gt;-1E+300",dFlt1,critFlt1,dFlt2,critFlt2,dFlt3,critFlt3))</f>
        <v/>
      </c>
      <c r="F2533" t="str">
        <f>IF($B2533="","",SUMIFS(dQty,dCust,$B2533,dPer,"&gt;="&amp;cyFrom,dPer,"&lt;="&amp;cyTo,dQty,"&gt;-1E+300",dFlt1,critFlt1,dFlt2,critFlt2,dFlt3,critFlt3))</f>
        <v/>
      </c>
      <c r="G2533">
        <f>IF($B2533="",0,IFERROR(IF(OR(C2533&lt;&gt;0,D2533&lt;&gt;0,E2533&lt;&gt;0,F2533&lt;&gt;0),1,0),1))</f>
        <v>0</v>
      </c>
      <c r="H2533" t="str">
        <f>IF(OR(G2533=0,E2533=0),"",C2533/E2533)</f>
        <v/>
      </c>
      <c r="I2533" t="str">
        <f>IF(OR(G2533=0,F2533=0),"",D2533/F2533)</f>
        <v/>
      </c>
      <c r="J2533" t="str">
        <f>IF(OR(H2533="",I2533=""),"",IF(H2533=0,"",I2533/H2533-1))</f>
        <v/>
      </c>
      <c r="K2533" t="str">
        <f>IF($B2533="","",IFERROR(IF(G2533=0,-2E+300,CHOOSE(sortIdx,ROUND(D2533,0),IF(J2533="",-1E+300,ROUND(-J2533,6)),IF(J2533="",-1E+300,ROUND(J2533,6)))),-1.5E+300))</f>
        <v/>
      </c>
      <c r="L2533" t="str">
        <f>IF(K2533="","",RANK(K2533,$K$2:$K$3001,0)+COUNTIF($K$2:K2533,K2533)-1)</f>
        <v/>
      </c>
    </row>
    <row r="2534">
      <c r="B2534" t="str">
        <f>IFERROR(IF(A2534="","","="&amp;SUBSTITUTE(SUBSTITUTE(SUBSTITUTE(A2534,"~","~~"),"*","~*"),"?","~?")),"")</f>
        <v/>
      </c>
      <c r="C2534" t="str">
        <f>IF($B2534="","",SUMIFS(dAmt,dCust,$B2534,dPer,"&gt;="&amp;pyFrom,dPer,"&lt;="&amp;pyTo,dAmt,"&gt;-1E+300",dFlt1,critFlt1,dFlt2,critFlt2,dFlt3,critFlt3))</f>
        <v/>
      </c>
      <c r="D2534" t="str">
        <f>IF($B2534="","",SUMIFS(dAmt,dCust,$B2534,dPer,"&gt;="&amp;cyFrom,dPer,"&lt;="&amp;cyTo,dAmt,"&gt;-1E+300",dFlt1,critFlt1,dFlt2,critFlt2,dFlt3,critFlt3))</f>
        <v/>
      </c>
      <c r="E2534" t="str">
        <f>IF($B2534="","",SUMIFS(dQty,dCust,$B2534,dPer,"&gt;="&amp;pyFrom,dPer,"&lt;="&amp;pyTo,dQty,"&gt;-1E+300",dFlt1,critFlt1,dFlt2,critFlt2,dFlt3,critFlt3))</f>
        <v/>
      </c>
      <c r="F2534" t="str">
        <f>IF($B2534="","",SUMIFS(dQty,dCust,$B2534,dPer,"&gt;="&amp;cyFrom,dPer,"&lt;="&amp;cyTo,dQty,"&gt;-1E+300",dFlt1,critFlt1,dFlt2,critFlt2,dFlt3,critFlt3))</f>
        <v/>
      </c>
      <c r="G2534">
        <f>IF($B2534="",0,IFERROR(IF(OR(C2534&lt;&gt;0,D2534&lt;&gt;0,E2534&lt;&gt;0,F2534&lt;&gt;0),1,0),1))</f>
        <v>0</v>
      </c>
      <c r="H2534" t="str">
        <f>IF(OR(G2534=0,E2534=0),"",C2534/E2534)</f>
        <v/>
      </c>
      <c r="I2534" t="str">
        <f>IF(OR(G2534=0,F2534=0),"",D2534/F2534)</f>
        <v/>
      </c>
      <c r="J2534" t="str">
        <f>IF(OR(H2534="",I2534=""),"",IF(H2534=0,"",I2534/H2534-1))</f>
        <v/>
      </c>
      <c r="K2534" t="str">
        <f>IF($B2534="","",IFERROR(IF(G2534=0,-2E+300,CHOOSE(sortIdx,ROUND(D2534,0),IF(J2534="",-1E+300,ROUND(-J2534,6)),IF(J2534="",-1E+300,ROUND(J2534,6)))),-1.5E+300))</f>
        <v/>
      </c>
      <c r="L2534" t="str">
        <f>IF(K2534="","",RANK(K2534,$K$2:$K$3001,0)+COUNTIF($K$2:K2534,K2534)-1)</f>
        <v/>
      </c>
    </row>
    <row r="2535">
      <c r="B2535" t="str">
        <f>IFERROR(IF(A2535="","","="&amp;SUBSTITUTE(SUBSTITUTE(SUBSTITUTE(A2535,"~","~~"),"*","~*"),"?","~?")),"")</f>
        <v/>
      </c>
      <c r="C2535" t="str">
        <f>IF($B2535="","",SUMIFS(dAmt,dCust,$B2535,dPer,"&gt;="&amp;pyFrom,dPer,"&lt;="&amp;pyTo,dAmt,"&gt;-1E+300",dFlt1,critFlt1,dFlt2,critFlt2,dFlt3,critFlt3))</f>
        <v/>
      </c>
      <c r="D2535" t="str">
        <f>IF($B2535="","",SUMIFS(dAmt,dCust,$B2535,dPer,"&gt;="&amp;cyFrom,dPer,"&lt;="&amp;cyTo,dAmt,"&gt;-1E+300",dFlt1,critFlt1,dFlt2,critFlt2,dFlt3,critFlt3))</f>
        <v/>
      </c>
      <c r="E2535" t="str">
        <f>IF($B2535="","",SUMIFS(dQty,dCust,$B2535,dPer,"&gt;="&amp;pyFrom,dPer,"&lt;="&amp;pyTo,dQty,"&gt;-1E+300",dFlt1,critFlt1,dFlt2,critFlt2,dFlt3,critFlt3))</f>
        <v/>
      </c>
      <c r="F2535" t="str">
        <f>IF($B2535="","",SUMIFS(dQty,dCust,$B2535,dPer,"&gt;="&amp;cyFrom,dPer,"&lt;="&amp;cyTo,dQty,"&gt;-1E+300",dFlt1,critFlt1,dFlt2,critFlt2,dFlt3,critFlt3))</f>
        <v/>
      </c>
      <c r="G2535">
        <f>IF($B2535="",0,IFERROR(IF(OR(C2535&lt;&gt;0,D2535&lt;&gt;0,E2535&lt;&gt;0,F2535&lt;&gt;0),1,0),1))</f>
        <v>0</v>
      </c>
      <c r="H2535" t="str">
        <f>IF(OR(G2535=0,E2535=0),"",C2535/E2535)</f>
        <v/>
      </c>
      <c r="I2535" t="str">
        <f>IF(OR(G2535=0,F2535=0),"",D2535/F2535)</f>
        <v/>
      </c>
      <c r="J2535" t="str">
        <f>IF(OR(H2535="",I2535=""),"",IF(H2535=0,"",I2535/H2535-1))</f>
        <v/>
      </c>
      <c r="K2535" t="str">
        <f>IF($B2535="","",IFERROR(IF(G2535=0,-2E+300,CHOOSE(sortIdx,ROUND(D2535,0),IF(J2535="",-1E+300,ROUND(-J2535,6)),IF(J2535="",-1E+300,ROUND(J2535,6)))),-1.5E+300))</f>
        <v/>
      </c>
      <c r="L2535" t="str">
        <f>IF(K2535="","",RANK(K2535,$K$2:$K$3001,0)+COUNTIF($K$2:K2535,K2535)-1)</f>
        <v/>
      </c>
    </row>
    <row r="2536">
      <c r="B2536" t="str">
        <f>IFERROR(IF(A2536="","","="&amp;SUBSTITUTE(SUBSTITUTE(SUBSTITUTE(A2536,"~","~~"),"*","~*"),"?","~?")),"")</f>
        <v/>
      </c>
      <c r="C2536" t="str">
        <f>IF($B2536="","",SUMIFS(dAmt,dCust,$B2536,dPer,"&gt;="&amp;pyFrom,dPer,"&lt;="&amp;pyTo,dAmt,"&gt;-1E+300",dFlt1,critFlt1,dFlt2,critFlt2,dFlt3,critFlt3))</f>
        <v/>
      </c>
      <c r="D2536" t="str">
        <f>IF($B2536="","",SUMIFS(dAmt,dCust,$B2536,dPer,"&gt;="&amp;cyFrom,dPer,"&lt;="&amp;cyTo,dAmt,"&gt;-1E+300",dFlt1,critFlt1,dFlt2,critFlt2,dFlt3,critFlt3))</f>
        <v/>
      </c>
      <c r="E2536" t="str">
        <f>IF($B2536="","",SUMIFS(dQty,dCust,$B2536,dPer,"&gt;="&amp;pyFrom,dPer,"&lt;="&amp;pyTo,dQty,"&gt;-1E+300",dFlt1,critFlt1,dFlt2,critFlt2,dFlt3,critFlt3))</f>
        <v/>
      </c>
      <c r="F2536" t="str">
        <f>IF($B2536="","",SUMIFS(dQty,dCust,$B2536,dPer,"&gt;="&amp;cyFrom,dPer,"&lt;="&amp;cyTo,dQty,"&gt;-1E+300",dFlt1,critFlt1,dFlt2,critFlt2,dFlt3,critFlt3))</f>
        <v/>
      </c>
      <c r="G2536">
        <f>IF($B2536="",0,IFERROR(IF(OR(C2536&lt;&gt;0,D2536&lt;&gt;0,E2536&lt;&gt;0,F2536&lt;&gt;0),1,0),1))</f>
        <v>0</v>
      </c>
      <c r="H2536" t="str">
        <f>IF(OR(G2536=0,E2536=0),"",C2536/E2536)</f>
        <v/>
      </c>
      <c r="I2536" t="str">
        <f>IF(OR(G2536=0,F2536=0),"",D2536/F2536)</f>
        <v/>
      </c>
      <c r="J2536" t="str">
        <f>IF(OR(H2536="",I2536=""),"",IF(H2536=0,"",I2536/H2536-1))</f>
        <v/>
      </c>
      <c r="K2536" t="str">
        <f>IF($B2536="","",IFERROR(IF(G2536=0,-2E+300,CHOOSE(sortIdx,ROUND(D2536,0),IF(J2536="",-1E+300,ROUND(-J2536,6)),IF(J2536="",-1E+300,ROUND(J2536,6)))),-1.5E+300))</f>
        <v/>
      </c>
      <c r="L2536" t="str">
        <f>IF(K2536="","",RANK(K2536,$K$2:$K$3001,0)+COUNTIF($K$2:K2536,K2536)-1)</f>
        <v/>
      </c>
    </row>
    <row r="2537">
      <c r="B2537" t="str">
        <f>IFERROR(IF(A2537="","","="&amp;SUBSTITUTE(SUBSTITUTE(SUBSTITUTE(A2537,"~","~~"),"*","~*"),"?","~?")),"")</f>
        <v/>
      </c>
      <c r="C2537" t="str">
        <f>IF($B2537="","",SUMIFS(dAmt,dCust,$B2537,dPer,"&gt;="&amp;pyFrom,dPer,"&lt;="&amp;pyTo,dAmt,"&gt;-1E+300",dFlt1,critFlt1,dFlt2,critFlt2,dFlt3,critFlt3))</f>
        <v/>
      </c>
      <c r="D2537" t="str">
        <f>IF($B2537="","",SUMIFS(dAmt,dCust,$B2537,dPer,"&gt;="&amp;cyFrom,dPer,"&lt;="&amp;cyTo,dAmt,"&gt;-1E+300",dFlt1,critFlt1,dFlt2,critFlt2,dFlt3,critFlt3))</f>
        <v/>
      </c>
      <c r="E2537" t="str">
        <f>IF($B2537="","",SUMIFS(dQty,dCust,$B2537,dPer,"&gt;="&amp;pyFrom,dPer,"&lt;="&amp;pyTo,dQty,"&gt;-1E+300",dFlt1,critFlt1,dFlt2,critFlt2,dFlt3,critFlt3))</f>
        <v/>
      </c>
      <c r="F2537" t="str">
        <f>IF($B2537="","",SUMIFS(dQty,dCust,$B2537,dPer,"&gt;="&amp;cyFrom,dPer,"&lt;="&amp;cyTo,dQty,"&gt;-1E+300",dFlt1,critFlt1,dFlt2,critFlt2,dFlt3,critFlt3))</f>
        <v/>
      </c>
      <c r="G2537">
        <f>IF($B2537="",0,IFERROR(IF(OR(C2537&lt;&gt;0,D2537&lt;&gt;0,E2537&lt;&gt;0,F2537&lt;&gt;0),1,0),1))</f>
        <v>0</v>
      </c>
      <c r="H2537" t="str">
        <f>IF(OR(G2537=0,E2537=0),"",C2537/E2537)</f>
        <v/>
      </c>
      <c r="I2537" t="str">
        <f>IF(OR(G2537=0,F2537=0),"",D2537/F2537)</f>
        <v/>
      </c>
      <c r="J2537" t="str">
        <f>IF(OR(H2537="",I2537=""),"",IF(H2537=0,"",I2537/H2537-1))</f>
        <v/>
      </c>
      <c r="K2537" t="str">
        <f>IF($B2537="","",IFERROR(IF(G2537=0,-2E+300,CHOOSE(sortIdx,ROUND(D2537,0),IF(J2537="",-1E+300,ROUND(-J2537,6)),IF(J2537="",-1E+300,ROUND(J2537,6)))),-1.5E+300))</f>
        <v/>
      </c>
      <c r="L2537" t="str">
        <f>IF(K2537="","",RANK(K2537,$K$2:$K$3001,0)+COUNTIF($K$2:K2537,K2537)-1)</f>
        <v/>
      </c>
    </row>
    <row r="2538">
      <c r="B2538" t="str">
        <f>IFERROR(IF(A2538="","","="&amp;SUBSTITUTE(SUBSTITUTE(SUBSTITUTE(A2538,"~","~~"),"*","~*"),"?","~?")),"")</f>
        <v/>
      </c>
      <c r="C2538" t="str">
        <f>IF($B2538="","",SUMIFS(dAmt,dCust,$B2538,dPer,"&gt;="&amp;pyFrom,dPer,"&lt;="&amp;pyTo,dAmt,"&gt;-1E+300",dFlt1,critFlt1,dFlt2,critFlt2,dFlt3,critFlt3))</f>
        <v/>
      </c>
      <c r="D2538" t="str">
        <f>IF($B2538="","",SUMIFS(dAmt,dCust,$B2538,dPer,"&gt;="&amp;cyFrom,dPer,"&lt;="&amp;cyTo,dAmt,"&gt;-1E+300",dFlt1,critFlt1,dFlt2,critFlt2,dFlt3,critFlt3))</f>
        <v/>
      </c>
      <c r="E2538" t="str">
        <f>IF($B2538="","",SUMIFS(dQty,dCust,$B2538,dPer,"&gt;="&amp;pyFrom,dPer,"&lt;="&amp;pyTo,dQty,"&gt;-1E+300",dFlt1,critFlt1,dFlt2,critFlt2,dFlt3,critFlt3))</f>
        <v/>
      </c>
      <c r="F2538" t="str">
        <f>IF($B2538="","",SUMIFS(dQty,dCust,$B2538,dPer,"&gt;="&amp;cyFrom,dPer,"&lt;="&amp;cyTo,dQty,"&gt;-1E+300",dFlt1,critFlt1,dFlt2,critFlt2,dFlt3,critFlt3))</f>
        <v/>
      </c>
      <c r="G2538">
        <f>IF($B2538="",0,IFERROR(IF(OR(C2538&lt;&gt;0,D2538&lt;&gt;0,E2538&lt;&gt;0,F2538&lt;&gt;0),1,0),1))</f>
        <v>0</v>
      </c>
      <c r="H2538" t="str">
        <f>IF(OR(G2538=0,E2538=0),"",C2538/E2538)</f>
        <v/>
      </c>
      <c r="I2538" t="str">
        <f>IF(OR(G2538=0,F2538=0),"",D2538/F2538)</f>
        <v/>
      </c>
      <c r="J2538" t="str">
        <f>IF(OR(H2538="",I2538=""),"",IF(H2538=0,"",I2538/H2538-1))</f>
        <v/>
      </c>
      <c r="K2538" t="str">
        <f>IF($B2538="","",IFERROR(IF(G2538=0,-2E+300,CHOOSE(sortIdx,ROUND(D2538,0),IF(J2538="",-1E+300,ROUND(-J2538,6)),IF(J2538="",-1E+300,ROUND(J2538,6)))),-1.5E+300))</f>
        <v/>
      </c>
      <c r="L2538" t="str">
        <f>IF(K2538="","",RANK(K2538,$K$2:$K$3001,0)+COUNTIF($K$2:K2538,K2538)-1)</f>
        <v/>
      </c>
    </row>
    <row r="2539">
      <c r="B2539" t="str">
        <f>IFERROR(IF(A2539="","","="&amp;SUBSTITUTE(SUBSTITUTE(SUBSTITUTE(A2539,"~","~~"),"*","~*"),"?","~?")),"")</f>
        <v/>
      </c>
      <c r="C2539" t="str">
        <f>IF($B2539="","",SUMIFS(dAmt,dCust,$B2539,dPer,"&gt;="&amp;pyFrom,dPer,"&lt;="&amp;pyTo,dAmt,"&gt;-1E+300",dFlt1,critFlt1,dFlt2,critFlt2,dFlt3,critFlt3))</f>
        <v/>
      </c>
      <c r="D2539" t="str">
        <f>IF($B2539="","",SUMIFS(dAmt,dCust,$B2539,dPer,"&gt;="&amp;cyFrom,dPer,"&lt;="&amp;cyTo,dAmt,"&gt;-1E+300",dFlt1,critFlt1,dFlt2,critFlt2,dFlt3,critFlt3))</f>
        <v/>
      </c>
      <c r="E2539" t="str">
        <f>IF($B2539="","",SUMIFS(dQty,dCust,$B2539,dPer,"&gt;="&amp;pyFrom,dPer,"&lt;="&amp;pyTo,dQty,"&gt;-1E+300",dFlt1,critFlt1,dFlt2,critFlt2,dFlt3,critFlt3))</f>
        <v/>
      </c>
      <c r="F2539" t="str">
        <f>IF($B2539="","",SUMIFS(dQty,dCust,$B2539,dPer,"&gt;="&amp;cyFrom,dPer,"&lt;="&amp;cyTo,dQty,"&gt;-1E+300",dFlt1,critFlt1,dFlt2,critFlt2,dFlt3,critFlt3))</f>
        <v/>
      </c>
      <c r="G2539">
        <f>IF($B2539="",0,IFERROR(IF(OR(C2539&lt;&gt;0,D2539&lt;&gt;0,E2539&lt;&gt;0,F2539&lt;&gt;0),1,0),1))</f>
        <v>0</v>
      </c>
      <c r="H2539" t="str">
        <f>IF(OR(G2539=0,E2539=0),"",C2539/E2539)</f>
        <v/>
      </c>
      <c r="I2539" t="str">
        <f>IF(OR(G2539=0,F2539=0),"",D2539/F2539)</f>
        <v/>
      </c>
      <c r="J2539" t="str">
        <f>IF(OR(H2539="",I2539=""),"",IF(H2539=0,"",I2539/H2539-1))</f>
        <v/>
      </c>
      <c r="K2539" t="str">
        <f>IF($B2539="","",IFERROR(IF(G2539=0,-2E+300,CHOOSE(sortIdx,ROUND(D2539,0),IF(J2539="",-1E+300,ROUND(-J2539,6)),IF(J2539="",-1E+300,ROUND(J2539,6)))),-1.5E+300))</f>
        <v/>
      </c>
      <c r="L2539" t="str">
        <f>IF(K2539="","",RANK(K2539,$K$2:$K$3001,0)+COUNTIF($K$2:K2539,K2539)-1)</f>
        <v/>
      </c>
    </row>
    <row r="2540">
      <c r="B2540" t="str">
        <f>IFERROR(IF(A2540="","","="&amp;SUBSTITUTE(SUBSTITUTE(SUBSTITUTE(A2540,"~","~~"),"*","~*"),"?","~?")),"")</f>
        <v/>
      </c>
      <c r="C2540" t="str">
        <f>IF($B2540="","",SUMIFS(dAmt,dCust,$B2540,dPer,"&gt;="&amp;pyFrom,dPer,"&lt;="&amp;pyTo,dAmt,"&gt;-1E+300",dFlt1,critFlt1,dFlt2,critFlt2,dFlt3,critFlt3))</f>
        <v/>
      </c>
      <c r="D2540" t="str">
        <f>IF($B2540="","",SUMIFS(dAmt,dCust,$B2540,dPer,"&gt;="&amp;cyFrom,dPer,"&lt;="&amp;cyTo,dAmt,"&gt;-1E+300",dFlt1,critFlt1,dFlt2,critFlt2,dFlt3,critFlt3))</f>
        <v/>
      </c>
      <c r="E2540" t="str">
        <f>IF($B2540="","",SUMIFS(dQty,dCust,$B2540,dPer,"&gt;="&amp;pyFrom,dPer,"&lt;="&amp;pyTo,dQty,"&gt;-1E+300",dFlt1,critFlt1,dFlt2,critFlt2,dFlt3,critFlt3))</f>
        <v/>
      </c>
      <c r="F2540" t="str">
        <f>IF($B2540="","",SUMIFS(dQty,dCust,$B2540,dPer,"&gt;="&amp;cyFrom,dPer,"&lt;="&amp;cyTo,dQty,"&gt;-1E+300",dFlt1,critFlt1,dFlt2,critFlt2,dFlt3,critFlt3))</f>
        <v/>
      </c>
      <c r="G2540">
        <f>IF($B2540="",0,IFERROR(IF(OR(C2540&lt;&gt;0,D2540&lt;&gt;0,E2540&lt;&gt;0,F2540&lt;&gt;0),1,0),1))</f>
        <v>0</v>
      </c>
      <c r="H2540" t="str">
        <f>IF(OR(G2540=0,E2540=0),"",C2540/E2540)</f>
        <v/>
      </c>
      <c r="I2540" t="str">
        <f>IF(OR(G2540=0,F2540=0),"",D2540/F2540)</f>
        <v/>
      </c>
      <c r="J2540" t="str">
        <f>IF(OR(H2540="",I2540=""),"",IF(H2540=0,"",I2540/H2540-1))</f>
        <v/>
      </c>
      <c r="K2540" t="str">
        <f>IF($B2540="","",IFERROR(IF(G2540=0,-2E+300,CHOOSE(sortIdx,ROUND(D2540,0),IF(J2540="",-1E+300,ROUND(-J2540,6)),IF(J2540="",-1E+300,ROUND(J2540,6)))),-1.5E+300))</f>
        <v/>
      </c>
      <c r="L2540" t="str">
        <f>IF(K2540="","",RANK(K2540,$K$2:$K$3001,0)+COUNTIF($K$2:K2540,K2540)-1)</f>
        <v/>
      </c>
    </row>
    <row r="2541">
      <c r="B2541" t="str">
        <f>IFERROR(IF(A2541="","","="&amp;SUBSTITUTE(SUBSTITUTE(SUBSTITUTE(A2541,"~","~~"),"*","~*"),"?","~?")),"")</f>
        <v/>
      </c>
      <c r="C2541" t="str">
        <f>IF($B2541="","",SUMIFS(dAmt,dCust,$B2541,dPer,"&gt;="&amp;pyFrom,dPer,"&lt;="&amp;pyTo,dAmt,"&gt;-1E+300",dFlt1,critFlt1,dFlt2,critFlt2,dFlt3,critFlt3))</f>
        <v/>
      </c>
      <c r="D2541" t="str">
        <f>IF($B2541="","",SUMIFS(dAmt,dCust,$B2541,dPer,"&gt;="&amp;cyFrom,dPer,"&lt;="&amp;cyTo,dAmt,"&gt;-1E+300",dFlt1,critFlt1,dFlt2,critFlt2,dFlt3,critFlt3))</f>
        <v/>
      </c>
      <c r="E2541" t="str">
        <f>IF($B2541="","",SUMIFS(dQty,dCust,$B2541,dPer,"&gt;="&amp;pyFrom,dPer,"&lt;="&amp;pyTo,dQty,"&gt;-1E+300",dFlt1,critFlt1,dFlt2,critFlt2,dFlt3,critFlt3))</f>
        <v/>
      </c>
      <c r="F2541" t="str">
        <f>IF($B2541="","",SUMIFS(dQty,dCust,$B2541,dPer,"&gt;="&amp;cyFrom,dPer,"&lt;="&amp;cyTo,dQty,"&gt;-1E+300",dFlt1,critFlt1,dFlt2,critFlt2,dFlt3,critFlt3))</f>
        <v/>
      </c>
      <c r="G2541">
        <f>IF($B2541="",0,IFERROR(IF(OR(C2541&lt;&gt;0,D2541&lt;&gt;0,E2541&lt;&gt;0,F2541&lt;&gt;0),1,0),1))</f>
        <v>0</v>
      </c>
      <c r="H2541" t="str">
        <f>IF(OR(G2541=0,E2541=0),"",C2541/E2541)</f>
        <v/>
      </c>
      <c r="I2541" t="str">
        <f>IF(OR(G2541=0,F2541=0),"",D2541/F2541)</f>
        <v/>
      </c>
      <c r="J2541" t="str">
        <f>IF(OR(H2541="",I2541=""),"",IF(H2541=0,"",I2541/H2541-1))</f>
        <v/>
      </c>
      <c r="K2541" t="str">
        <f>IF($B2541="","",IFERROR(IF(G2541=0,-2E+300,CHOOSE(sortIdx,ROUND(D2541,0),IF(J2541="",-1E+300,ROUND(-J2541,6)),IF(J2541="",-1E+300,ROUND(J2541,6)))),-1.5E+300))</f>
        <v/>
      </c>
      <c r="L2541" t="str">
        <f>IF(K2541="","",RANK(K2541,$K$2:$K$3001,0)+COUNTIF($K$2:K2541,K2541)-1)</f>
        <v/>
      </c>
    </row>
    <row r="2542">
      <c r="B2542" t="str">
        <f>IFERROR(IF(A2542="","","="&amp;SUBSTITUTE(SUBSTITUTE(SUBSTITUTE(A2542,"~","~~"),"*","~*"),"?","~?")),"")</f>
        <v/>
      </c>
      <c r="C2542" t="str">
        <f>IF($B2542="","",SUMIFS(dAmt,dCust,$B2542,dPer,"&gt;="&amp;pyFrom,dPer,"&lt;="&amp;pyTo,dAmt,"&gt;-1E+300",dFlt1,critFlt1,dFlt2,critFlt2,dFlt3,critFlt3))</f>
        <v/>
      </c>
      <c r="D2542" t="str">
        <f>IF($B2542="","",SUMIFS(dAmt,dCust,$B2542,dPer,"&gt;="&amp;cyFrom,dPer,"&lt;="&amp;cyTo,dAmt,"&gt;-1E+300",dFlt1,critFlt1,dFlt2,critFlt2,dFlt3,critFlt3))</f>
        <v/>
      </c>
      <c r="E2542" t="str">
        <f>IF($B2542="","",SUMIFS(dQty,dCust,$B2542,dPer,"&gt;="&amp;pyFrom,dPer,"&lt;="&amp;pyTo,dQty,"&gt;-1E+300",dFlt1,critFlt1,dFlt2,critFlt2,dFlt3,critFlt3))</f>
        <v/>
      </c>
      <c r="F2542" t="str">
        <f>IF($B2542="","",SUMIFS(dQty,dCust,$B2542,dPer,"&gt;="&amp;cyFrom,dPer,"&lt;="&amp;cyTo,dQty,"&gt;-1E+300",dFlt1,critFlt1,dFlt2,critFlt2,dFlt3,critFlt3))</f>
        <v/>
      </c>
      <c r="G2542">
        <f>IF($B2542="",0,IFERROR(IF(OR(C2542&lt;&gt;0,D2542&lt;&gt;0,E2542&lt;&gt;0,F2542&lt;&gt;0),1,0),1))</f>
        <v>0</v>
      </c>
      <c r="H2542" t="str">
        <f>IF(OR(G2542=0,E2542=0),"",C2542/E2542)</f>
        <v/>
      </c>
      <c r="I2542" t="str">
        <f>IF(OR(G2542=0,F2542=0),"",D2542/F2542)</f>
        <v/>
      </c>
      <c r="J2542" t="str">
        <f>IF(OR(H2542="",I2542=""),"",IF(H2542=0,"",I2542/H2542-1))</f>
        <v/>
      </c>
      <c r="K2542" t="str">
        <f>IF($B2542="","",IFERROR(IF(G2542=0,-2E+300,CHOOSE(sortIdx,ROUND(D2542,0),IF(J2542="",-1E+300,ROUND(-J2542,6)),IF(J2542="",-1E+300,ROUND(J2542,6)))),-1.5E+300))</f>
        <v/>
      </c>
      <c r="L2542" t="str">
        <f>IF(K2542="","",RANK(K2542,$K$2:$K$3001,0)+COUNTIF($K$2:K2542,K2542)-1)</f>
        <v/>
      </c>
    </row>
    <row r="2543">
      <c r="B2543" t="str">
        <f>IFERROR(IF(A2543="","","="&amp;SUBSTITUTE(SUBSTITUTE(SUBSTITUTE(A2543,"~","~~"),"*","~*"),"?","~?")),"")</f>
        <v/>
      </c>
      <c r="C2543" t="str">
        <f>IF($B2543="","",SUMIFS(dAmt,dCust,$B2543,dPer,"&gt;="&amp;pyFrom,dPer,"&lt;="&amp;pyTo,dAmt,"&gt;-1E+300",dFlt1,critFlt1,dFlt2,critFlt2,dFlt3,critFlt3))</f>
        <v/>
      </c>
      <c r="D2543" t="str">
        <f>IF($B2543="","",SUMIFS(dAmt,dCust,$B2543,dPer,"&gt;="&amp;cyFrom,dPer,"&lt;="&amp;cyTo,dAmt,"&gt;-1E+300",dFlt1,critFlt1,dFlt2,critFlt2,dFlt3,critFlt3))</f>
        <v/>
      </c>
      <c r="E2543" t="str">
        <f>IF($B2543="","",SUMIFS(dQty,dCust,$B2543,dPer,"&gt;="&amp;pyFrom,dPer,"&lt;="&amp;pyTo,dQty,"&gt;-1E+300",dFlt1,critFlt1,dFlt2,critFlt2,dFlt3,critFlt3))</f>
        <v/>
      </c>
      <c r="F2543" t="str">
        <f>IF($B2543="","",SUMIFS(dQty,dCust,$B2543,dPer,"&gt;="&amp;cyFrom,dPer,"&lt;="&amp;cyTo,dQty,"&gt;-1E+300",dFlt1,critFlt1,dFlt2,critFlt2,dFlt3,critFlt3))</f>
        <v/>
      </c>
      <c r="G2543">
        <f>IF($B2543="",0,IFERROR(IF(OR(C2543&lt;&gt;0,D2543&lt;&gt;0,E2543&lt;&gt;0,F2543&lt;&gt;0),1,0),1))</f>
        <v>0</v>
      </c>
      <c r="H2543" t="str">
        <f>IF(OR(G2543=0,E2543=0),"",C2543/E2543)</f>
        <v/>
      </c>
      <c r="I2543" t="str">
        <f>IF(OR(G2543=0,F2543=0),"",D2543/F2543)</f>
        <v/>
      </c>
      <c r="J2543" t="str">
        <f>IF(OR(H2543="",I2543=""),"",IF(H2543=0,"",I2543/H2543-1))</f>
        <v/>
      </c>
      <c r="K2543" t="str">
        <f>IF($B2543="","",IFERROR(IF(G2543=0,-2E+300,CHOOSE(sortIdx,ROUND(D2543,0),IF(J2543="",-1E+300,ROUND(-J2543,6)),IF(J2543="",-1E+300,ROUND(J2543,6)))),-1.5E+300))</f>
        <v/>
      </c>
      <c r="L2543" t="str">
        <f>IF(K2543="","",RANK(K2543,$K$2:$K$3001,0)+COUNTIF($K$2:K2543,K2543)-1)</f>
        <v/>
      </c>
    </row>
    <row r="2544">
      <c r="B2544" t="str">
        <f>IFERROR(IF(A2544="","","="&amp;SUBSTITUTE(SUBSTITUTE(SUBSTITUTE(A2544,"~","~~"),"*","~*"),"?","~?")),"")</f>
        <v/>
      </c>
      <c r="C2544" t="str">
        <f>IF($B2544="","",SUMIFS(dAmt,dCust,$B2544,dPer,"&gt;="&amp;pyFrom,dPer,"&lt;="&amp;pyTo,dAmt,"&gt;-1E+300",dFlt1,critFlt1,dFlt2,critFlt2,dFlt3,critFlt3))</f>
        <v/>
      </c>
      <c r="D2544" t="str">
        <f>IF($B2544="","",SUMIFS(dAmt,dCust,$B2544,dPer,"&gt;="&amp;cyFrom,dPer,"&lt;="&amp;cyTo,dAmt,"&gt;-1E+300",dFlt1,critFlt1,dFlt2,critFlt2,dFlt3,critFlt3))</f>
        <v/>
      </c>
      <c r="E2544" t="str">
        <f>IF($B2544="","",SUMIFS(dQty,dCust,$B2544,dPer,"&gt;="&amp;pyFrom,dPer,"&lt;="&amp;pyTo,dQty,"&gt;-1E+300",dFlt1,critFlt1,dFlt2,critFlt2,dFlt3,critFlt3))</f>
        <v/>
      </c>
      <c r="F2544" t="str">
        <f>IF($B2544="","",SUMIFS(dQty,dCust,$B2544,dPer,"&gt;="&amp;cyFrom,dPer,"&lt;="&amp;cyTo,dQty,"&gt;-1E+300",dFlt1,critFlt1,dFlt2,critFlt2,dFlt3,critFlt3))</f>
        <v/>
      </c>
      <c r="G2544">
        <f>IF($B2544="",0,IFERROR(IF(OR(C2544&lt;&gt;0,D2544&lt;&gt;0,E2544&lt;&gt;0,F2544&lt;&gt;0),1,0),1))</f>
        <v>0</v>
      </c>
      <c r="H2544" t="str">
        <f>IF(OR(G2544=0,E2544=0),"",C2544/E2544)</f>
        <v/>
      </c>
      <c r="I2544" t="str">
        <f>IF(OR(G2544=0,F2544=0),"",D2544/F2544)</f>
        <v/>
      </c>
      <c r="J2544" t="str">
        <f>IF(OR(H2544="",I2544=""),"",IF(H2544=0,"",I2544/H2544-1))</f>
        <v/>
      </c>
      <c r="K2544" t="str">
        <f>IF($B2544="","",IFERROR(IF(G2544=0,-2E+300,CHOOSE(sortIdx,ROUND(D2544,0),IF(J2544="",-1E+300,ROUND(-J2544,6)),IF(J2544="",-1E+300,ROUND(J2544,6)))),-1.5E+300))</f>
        <v/>
      </c>
      <c r="L2544" t="str">
        <f>IF(K2544="","",RANK(K2544,$K$2:$K$3001,0)+COUNTIF($K$2:K2544,K2544)-1)</f>
        <v/>
      </c>
    </row>
    <row r="2545">
      <c r="B2545" t="str">
        <f>IFERROR(IF(A2545="","","="&amp;SUBSTITUTE(SUBSTITUTE(SUBSTITUTE(A2545,"~","~~"),"*","~*"),"?","~?")),"")</f>
        <v/>
      </c>
      <c r="C2545" t="str">
        <f>IF($B2545="","",SUMIFS(dAmt,dCust,$B2545,dPer,"&gt;="&amp;pyFrom,dPer,"&lt;="&amp;pyTo,dAmt,"&gt;-1E+300",dFlt1,critFlt1,dFlt2,critFlt2,dFlt3,critFlt3))</f>
        <v/>
      </c>
      <c r="D2545" t="str">
        <f>IF($B2545="","",SUMIFS(dAmt,dCust,$B2545,dPer,"&gt;="&amp;cyFrom,dPer,"&lt;="&amp;cyTo,dAmt,"&gt;-1E+300",dFlt1,critFlt1,dFlt2,critFlt2,dFlt3,critFlt3))</f>
        <v/>
      </c>
      <c r="E2545" t="str">
        <f>IF($B2545="","",SUMIFS(dQty,dCust,$B2545,dPer,"&gt;="&amp;pyFrom,dPer,"&lt;="&amp;pyTo,dQty,"&gt;-1E+300",dFlt1,critFlt1,dFlt2,critFlt2,dFlt3,critFlt3))</f>
        <v/>
      </c>
      <c r="F2545" t="str">
        <f>IF($B2545="","",SUMIFS(dQty,dCust,$B2545,dPer,"&gt;="&amp;cyFrom,dPer,"&lt;="&amp;cyTo,dQty,"&gt;-1E+300",dFlt1,critFlt1,dFlt2,critFlt2,dFlt3,critFlt3))</f>
        <v/>
      </c>
      <c r="G2545">
        <f>IF($B2545="",0,IFERROR(IF(OR(C2545&lt;&gt;0,D2545&lt;&gt;0,E2545&lt;&gt;0,F2545&lt;&gt;0),1,0),1))</f>
        <v>0</v>
      </c>
      <c r="H2545" t="str">
        <f>IF(OR(G2545=0,E2545=0),"",C2545/E2545)</f>
        <v/>
      </c>
      <c r="I2545" t="str">
        <f>IF(OR(G2545=0,F2545=0),"",D2545/F2545)</f>
        <v/>
      </c>
      <c r="J2545" t="str">
        <f>IF(OR(H2545="",I2545=""),"",IF(H2545=0,"",I2545/H2545-1))</f>
        <v/>
      </c>
      <c r="K2545" t="str">
        <f>IF($B2545="","",IFERROR(IF(G2545=0,-2E+300,CHOOSE(sortIdx,ROUND(D2545,0),IF(J2545="",-1E+300,ROUND(-J2545,6)),IF(J2545="",-1E+300,ROUND(J2545,6)))),-1.5E+300))</f>
        <v/>
      </c>
      <c r="L2545" t="str">
        <f>IF(K2545="","",RANK(K2545,$K$2:$K$3001,0)+COUNTIF($K$2:K2545,K2545)-1)</f>
        <v/>
      </c>
    </row>
    <row r="2546">
      <c r="B2546" t="str">
        <f>IFERROR(IF(A2546="","","="&amp;SUBSTITUTE(SUBSTITUTE(SUBSTITUTE(A2546,"~","~~"),"*","~*"),"?","~?")),"")</f>
        <v/>
      </c>
      <c r="C2546" t="str">
        <f>IF($B2546="","",SUMIFS(dAmt,dCust,$B2546,dPer,"&gt;="&amp;pyFrom,dPer,"&lt;="&amp;pyTo,dAmt,"&gt;-1E+300",dFlt1,critFlt1,dFlt2,critFlt2,dFlt3,critFlt3))</f>
        <v/>
      </c>
      <c r="D2546" t="str">
        <f>IF($B2546="","",SUMIFS(dAmt,dCust,$B2546,dPer,"&gt;="&amp;cyFrom,dPer,"&lt;="&amp;cyTo,dAmt,"&gt;-1E+300",dFlt1,critFlt1,dFlt2,critFlt2,dFlt3,critFlt3))</f>
        <v/>
      </c>
      <c r="E2546" t="str">
        <f>IF($B2546="","",SUMIFS(dQty,dCust,$B2546,dPer,"&gt;="&amp;pyFrom,dPer,"&lt;="&amp;pyTo,dQty,"&gt;-1E+300",dFlt1,critFlt1,dFlt2,critFlt2,dFlt3,critFlt3))</f>
        <v/>
      </c>
      <c r="F2546" t="str">
        <f>IF($B2546="","",SUMIFS(dQty,dCust,$B2546,dPer,"&gt;="&amp;cyFrom,dPer,"&lt;="&amp;cyTo,dQty,"&gt;-1E+300",dFlt1,critFlt1,dFlt2,critFlt2,dFlt3,critFlt3))</f>
        <v/>
      </c>
      <c r="G2546">
        <f>IF($B2546="",0,IFERROR(IF(OR(C2546&lt;&gt;0,D2546&lt;&gt;0,E2546&lt;&gt;0,F2546&lt;&gt;0),1,0),1))</f>
        <v>0</v>
      </c>
      <c r="H2546" t="str">
        <f>IF(OR(G2546=0,E2546=0),"",C2546/E2546)</f>
        <v/>
      </c>
      <c r="I2546" t="str">
        <f>IF(OR(G2546=0,F2546=0),"",D2546/F2546)</f>
        <v/>
      </c>
      <c r="J2546" t="str">
        <f>IF(OR(H2546="",I2546=""),"",IF(H2546=0,"",I2546/H2546-1))</f>
        <v/>
      </c>
      <c r="K2546" t="str">
        <f>IF($B2546="","",IFERROR(IF(G2546=0,-2E+300,CHOOSE(sortIdx,ROUND(D2546,0),IF(J2546="",-1E+300,ROUND(-J2546,6)),IF(J2546="",-1E+300,ROUND(J2546,6)))),-1.5E+300))</f>
        <v/>
      </c>
      <c r="L2546" t="str">
        <f>IF(K2546="","",RANK(K2546,$K$2:$K$3001,0)+COUNTIF($K$2:K2546,K2546)-1)</f>
        <v/>
      </c>
    </row>
    <row r="2547">
      <c r="B2547" t="str">
        <f>IFERROR(IF(A2547="","","="&amp;SUBSTITUTE(SUBSTITUTE(SUBSTITUTE(A2547,"~","~~"),"*","~*"),"?","~?")),"")</f>
        <v/>
      </c>
      <c r="C2547" t="str">
        <f>IF($B2547="","",SUMIFS(dAmt,dCust,$B2547,dPer,"&gt;="&amp;pyFrom,dPer,"&lt;="&amp;pyTo,dAmt,"&gt;-1E+300",dFlt1,critFlt1,dFlt2,critFlt2,dFlt3,critFlt3))</f>
        <v/>
      </c>
      <c r="D2547" t="str">
        <f>IF($B2547="","",SUMIFS(dAmt,dCust,$B2547,dPer,"&gt;="&amp;cyFrom,dPer,"&lt;="&amp;cyTo,dAmt,"&gt;-1E+300",dFlt1,critFlt1,dFlt2,critFlt2,dFlt3,critFlt3))</f>
        <v/>
      </c>
      <c r="E2547" t="str">
        <f>IF($B2547="","",SUMIFS(dQty,dCust,$B2547,dPer,"&gt;="&amp;pyFrom,dPer,"&lt;="&amp;pyTo,dQty,"&gt;-1E+300",dFlt1,critFlt1,dFlt2,critFlt2,dFlt3,critFlt3))</f>
        <v/>
      </c>
      <c r="F2547" t="str">
        <f>IF($B2547="","",SUMIFS(dQty,dCust,$B2547,dPer,"&gt;="&amp;cyFrom,dPer,"&lt;="&amp;cyTo,dQty,"&gt;-1E+300",dFlt1,critFlt1,dFlt2,critFlt2,dFlt3,critFlt3))</f>
        <v/>
      </c>
      <c r="G2547">
        <f>IF($B2547="",0,IFERROR(IF(OR(C2547&lt;&gt;0,D2547&lt;&gt;0,E2547&lt;&gt;0,F2547&lt;&gt;0),1,0),1))</f>
        <v>0</v>
      </c>
      <c r="H2547" t="str">
        <f>IF(OR(G2547=0,E2547=0),"",C2547/E2547)</f>
        <v/>
      </c>
      <c r="I2547" t="str">
        <f>IF(OR(G2547=0,F2547=0),"",D2547/F2547)</f>
        <v/>
      </c>
      <c r="J2547" t="str">
        <f>IF(OR(H2547="",I2547=""),"",IF(H2547=0,"",I2547/H2547-1))</f>
        <v/>
      </c>
      <c r="K2547" t="str">
        <f>IF($B2547="","",IFERROR(IF(G2547=0,-2E+300,CHOOSE(sortIdx,ROUND(D2547,0),IF(J2547="",-1E+300,ROUND(-J2547,6)),IF(J2547="",-1E+300,ROUND(J2547,6)))),-1.5E+300))</f>
        <v/>
      </c>
      <c r="L2547" t="str">
        <f>IF(K2547="","",RANK(K2547,$K$2:$K$3001,0)+COUNTIF($K$2:K2547,K2547)-1)</f>
        <v/>
      </c>
    </row>
    <row r="2548">
      <c r="B2548" t="str">
        <f>IFERROR(IF(A2548="","","="&amp;SUBSTITUTE(SUBSTITUTE(SUBSTITUTE(A2548,"~","~~"),"*","~*"),"?","~?")),"")</f>
        <v/>
      </c>
      <c r="C2548" t="str">
        <f>IF($B2548="","",SUMIFS(dAmt,dCust,$B2548,dPer,"&gt;="&amp;pyFrom,dPer,"&lt;="&amp;pyTo,dAmt,"&gt;-1E+300",dFlt1,critFlt1,dFlt2,critFlt2,dFlt3,critFlt3))</f>
        <v/>
      </c>
      <c r="D2548" t="str">
        <f>IF($B2548="","",SUMIFS(dAmt,dCust,$B2548,dPer,"&gt;="&amp;cyFrom,dPer,"&lt;="&amp;cyTo,dAmt,"&gt;-1E+300",dFlt1,critFlt1,dFlt2,critFlt2,dFlt3,critFlt3))</f>
        <v/>
      </c>
      <c r="E2548" t="str">
        <f>IF($B2548="","",SUMIFS(dQty,dCust,$B2548,dPer,"&gt;="&amp;pyFrom,dPer,"&lt;="&amp;pyTo,dQty,"&gt;-1E+300",dFlt1,critFlt1,dFlt2,critFlt2,dFlt3,critFlt3))</f>
        <v/>
      </c>
      <c r="F2548" t="str">
        <f>IF($B2548="","",SUMIFS(dQty,dCust,$B2548,dPer,"&gt;="&amp;cyFrom,dPer,"&lt;="&amp;cyTo,dQty,"&gt;-1E+300",dFlt1,critFlt1,dFlt2,critFlt2,dFlt3,critFlt3))</f>
        <v/>
      </c>
      <c r="G2548">
        <f>IF($B2548="",0,IFERROR(IF(OR(C2548&lt;&gt;0,D2548&lt;&gt;0,E2548&lt;&gt;0,F2548&lt;&gt;0),1,0),1))</f>
        <v>0</v>
      </c>
      <c r="H2548" t="str">
        <f>IF(OR(G2548=0,E2548=0),"",C2548/E2548)</f>
        <v/>
      </c>
      <c r="I2548" t="str">
        <f>IF(OR(G2548=0,F2548=0),"",D2548/F2548)</f>
        <v/>
      </c>
      <c r="J2548" t="str">
        <f>IF(OR(H2548="",I2548=""),"",IF(H2548=0,"",I2548/H2548-1))</f>
        <v/>
      </c>
      <c r="K2548" t="str">
        <f>IF($B2548="","",IFERROR(IF(G2548=0,-2E+300,CHOOSE(sortIdx,ROUND(D2548,0),IF(J2548="",-1E+300,ROUND(-J2548,6)),IF(J2548="",-1E+300,ROUND(J2548,6)))),-1.5E+300))</f>
        <v/>
      </c>
      <c r="L2548" t="str">
        <f>IF(K2548="","",RANK(K2548,$K$2:$K$3001,0)+COUNTIF($K$2:K2548,K2548)-1)</f>
        <v/>
      </c>
    </row>
    <row r="2549">
      <c r="B2549" t="str">
        <f>IFERROR(IF(A2549="","","="&amp;SUBSTITUTE(SUBSTITUTE(SUBSTITUTE(A2549,"~","~~"),"*","~*"),"?","~?")),"")</f>
        <v/>
      </c>
      <c r="C2549" t="str">
        <f>IF($B2549="","",SUMIFS(dAmt,dCust,$B2549,dPer,"&gt;="&amp;pyFrom,dPer,"&lt;="&amp;pyTo,dAmt,"&gt;-1E+300",dFlt1,critFlt1,dFlt2,critFlt2,dFlt3,critFlt3))</f>
        <v/>
      </c>
      <c r="D2549" t="str">
        <f>IF($B2549="","",SUMIFS(dAmt,dCust,$B2549,dPer,"&gt;="&amp;cyFrom,dPer,"&lt;="&amp;cyTo,dAmt,"&gt;-1E+300",dFlt1,critFlt1,dFlt2,critFlt2,dFlt3,critFlt3))</f>
        <v/>
      </c>
      <c r="E2549" t="str">
        <f>IF($B2549="","",SUMIFS(dQty,dCust,$B2549,dPer,"&gt;="&amp;pyFrom,dPer,"&lt;="&amp;pyTo,dQty,"&gt;-1E+300",dFlt1,critFlt1,dFlt2,critFlt2,dFlt3,critFlt3))</f>
        <v/>
      </c>
      <c r="F2549" t="str">
        <f>IF($B2549="","",SUMIFS(dQty,dCust,$B2549,dPer,"&gt;="&amp;cyFrom,dPer,"&lt;="&amp;cyTo,dQty,"&gt;-1E+300",dFlt1,critFlt1,dFlt2,critFlt2,dFlt3,critFlt3))</f>
        <v/>
      </c>
      <c r="G2549">
        <f>IF($B2549="",0,IFERROR(IF(OR(C2549&lt;&gt;0,D2549&lt;&gt;0,E2549&lt;&gt;0,F2549&lt;&gt;0),1,0),1))</f>
        <v>0</v>
      </c>
      <c r="H2549" t="str">
        <f>IF(OR(G2549=0,E2549=0),"",C2549/E2549)</f>
        <v/>
      </c>
      <c r="I2549" t="str">
        <f>IF(OR(G2549=0,F2549=0),"",D2549/F2549)</f>
        <v/>
      </c>
      <c r="J2549" t="str">
        <f>IF(OR(H2549="",I2549=""),"",IF(H2549=0,"",I2549/H2549-1))</f>
        <v/>
      </c>
      <c r="K2549" t="str">
        <f>IF($B2549="","",IFERROR(IF(G2549=0,-2E+300,CHOOSE(sortIdx,ROUND(D2549,0),IF(J2549="",-1E+300,ROUND(-J2549,6)),IF(J2549="",-1E+300,ROUND(J2549,6)))),-1.5E+300))</f>
        <v/>
      </c>
      <c r="L2549" t="str">
        <f>IF(K2549="","",RANK(K2549,$K$2:$K$3001,0)+COUNTIF($K$2:K2549,K2549)-1)</f>
        <v/>
      </c>
    </row>
    <row r="2550">
      <c r="B2550" t="str">
        <f>IFERROR(IF(A2550="","","="&amp;SUBSTITUTE(SUBSTITUTE(SUBSTITUTE(A2550,"~","~~"),"*","~*"),"?","~?")),"")</f>
        <v/>
      </c>
      <c r="C2550" t="str">
        <f>IF($B2550="","",SUMIFS(dAmt,dCust,$B2550,dPer,"&gt;="&amp;pyFrom,dPer,"&lt;="&amp;pyTo,dAmt,"&gt;-1E+300",dFlt1,critFlt1,dFlt2,critFlt2,dFlt3,critFlt3))</f>
        <v/>
      </c>
      <c r="D2550" t="str">
        <f>IF($B2550="","",SUMIFS(dAmt,dCust,$B2550,dPer,"&gt;="&amp;cyFrom,dPer,"&lt;="&amp;cyTo,dAmt,"&gt;-1E+300",dFlt1,critFlt1,dFlt2,critFlt2,dFlt3,critFlt3))</f>
        <v/>
      </c>
      <c r="E2550" t="str">
        <f>IF($B2550="","",SUMIFS(dQty,dCust,$B2550,dPer,"&gt;="&amp;pyFrom,dPer,"&lt;="&amp;pyTo,dQty,"&gt;-1E+300",dFlt1,critFlt1,dFlt2,critFlt2,dFlt3,critFlt3))</f>
        <v/>
      </c>
      <c r="F2550" t="str">
        <f>IF($B2550="","",SUMIFS(dQty,dCust,$B2550,dPer,"&gt;="&amp;cyFrom,dPer,"&lt;="&amp;cyTo,dQty,"&gt;-1E+300",dFlt1,critFlt1,dFlt2,critFlt2,dFlt3,critFlt3))</f>
        <v/>
      </c>
      <c r="G2550">
        <f>IF($B2550="",0,IFERROR(IF(OR(C2550&lt;&gt;0,D2550&lt;&gt;0,E2550&lt;&gt;0,F2550&lt;&gt;0),1,0),1))</f>
        <v>0</v>
      </c>
      <c r="H2550" t="str">
        <f>IF(OR(G2550=0,E2550=0),"",C2550/E2550)</f>
        <v/>
      </c>
      <c r="I2550" t="str">
        <f>IF(OR(G2550=0,F2550=0),"",D2550/F2550)</f>
        <v/>
      </c>
      <c r="J2550" t="str">
        <f>IF(OR(H2550="",I2550=""),"",IF(H2550=0,"",I2550/H2550-1))</f>
        <v/>
      </c>
      <c r="K2550" t="str">
        <f>IF($B2550="","",IFERROR(IF(G2550=0,-2E+300,CHOOSE(sortIdx,ROUND(D2550,0),IF(J2550="",-1E+300,ROUND(-J2550,6)),IF(J2550="",-1E+300,ROUND(J2550,6)))),-1.5E+300))</f>
        <v/>
      </c>
      <c r="L2550" t="str">
        <f>IF(K2550="","",RANK(K2550,$K$2:$K$3001,0)+COUNTIF($K$2:K2550,K2550)-1)</f>
        <v/>
      </c>
    </row>
    <row r="2551">
      <c r="B2551" t="str">
        <f>IFERROR(IF(A2551="","","="&amp;SUBSTITUTE(SUBSTITUTE(SUBSTITUTE(A2551,"~","~~"),"*","~*"),"?","~?")),"")</f>
        <v/>
      </c>
      <c r="C2551" t="str">
        <f>IF($B2551="","",SUMIFS(dAmt,dCust,$B2551,dPer,"&gt;="&amp;pyFrom,dPer,"&lt;="&amp;pyTo,dAmt,"&gt;-1E+300",dFlt1,critFlt1,dFlt2,critFlt2,dFlt3,critFlt3))</f>
        <v/>
      </c>
      <c r="D2551" t="str">
        <f>IF($B2551="","",SUMIFS(dAmt,dCust,$B2551,dPer,"&gt;="&amp;cyFrom,dPer,"&lt;="&amp;cyTo,dAmt,"&gt;-1E+300",dFlt1,critFlt1,dFlt2,critFlt2,dFlt3,critFlt3))</f>
        <v/>
      </c>
      <c r="E2551" t="str">
        <f>IF($B2551="","",SUMIFS(dQty,dCust,$B2551,dPer,"&gt;="&amp;pyFrom,dPer,"&lt;="&amp;pyTo,dQty,"&gt;-1E+300",dFlt1,critFlt1,dFlt2,critFlt2,dFlt3,critFlt3))</f>
        <v/>
      </c>
      <c r="F2551" t="str">
        <f>IF($B2551="","",SUMIFS(dQty,dCust,$B2551,dPer,"&gt;="&amp;cyFrom,dPer,"&lt;="&amp;cyTo,dQty,"&gt;-1E+300",dFlt1,critFlt1,dFlt2,critFlt2,dFlt3,critFlt3))</f>
        <v/>
      </c>
      <c r="G2551">
        <f>IF($B2551="",0,IFERROR(IF(OR(C2551&lt;&gt;0,D2551&lt;&gt;0,E2551&lt;&gt;0,F2551&lt;&gt;0),1,0),1))</f>
        <v>0</v>
      </c>
      <c r="H2551" t="str">
        <f>IF(OR(G2551=0,E2551=0),"",C2551/E2551)</f>
        <v/>
      </c>
      <c r="I2551" t="str">
        <f>IF(OR(G2551=0,F2551=0),"",D2551/F2551)</f>
        <v/>
      </c>
      <c r="J2551" t="str">
        <f>IF(OR(H2551="",I2551=""),"",IF(H2551=0,"",I2551/H2551-1))</f>
        <v/>
      </c>
      <c r="K2551" t="str">
        <f>IF($B2551="","",IFERROR(IF(G2551=0,-2E+300,CHOOSE(sortIdx,ROUND(D2551,0),IF(J2551="",-1E+300,ROUND(-J2551,6)),IF(J2551="",-1E+300,ROUND(J2551,6)))),-1.5E+300))</f>
        <v/>
      </c>
      <c r="L2551" t="str">
        <f>IF(K2551="","",RANK(K2551,$K$2:$K$3001,0)+COUNTIF($K$2:K2551,K2551)-1)</f>
        <v/>
      </c>
    </row>
    <row r="2552">
      <c r="B2552" t="str">
        <f>IFERROR(IF(A2552="","","="&amp;SUBSTITUTE(SUBSTITUTE(SUBSTITUTE(A2552,"~","~~"),"*","~*"),"?","~?")),"")</f>
        <v/>
      </c>
      <c r="C2552" t="str">
        <f>IF($B2552="","",SUMIFS(dAmt,dCust,$B2552,dPer,"&gt;="&amp;pyFrom,dPer,"&lt;="&amp;pyTo,dAmt,"&gt;-1E+300",dFlt1,critFlt1,dFlt2,critFlt2,dFlt3,critFlt3))</f>
        <v/>
      </c>
      <c r="D2552" t="str">
        <f>IF($B2552="","",SUMIFS(dAmt,dCust,$B2552,dPer,"&gt;="&amp;cyFrom,dPer,"&lt;="&amp;cyTo,dAmt,"&gt;-1E+300",dFlt1,critFlt1,dFlt2,critFlt2,dFlt3,critFlt3))</f>
        <v/>
      </c>
      <c r="E2552" t="str">
        <f>IF($B2552="","",SUMIFS(dQty,dCust,$B2552,dPer,"&gt;="&amp;pyFrom,dPer,"&lt;="&amp;pyTo,dQty,"&gt;-1E+300",dFlt1,critFlt1,dFlt2,critFlt2,dFlt3,critFlt3))</f>
        <v/>
      </c>
      <c r="F2552" t="str">
        <f>IF($B2552="","",SUMIFS(dQty,dCust,$B2552,dPer,"&gt;="&amp;cyFrom,dPer,"&lt;="&amp;cyTo,dQty,"&gt;-1E+300",dFlt1,critFlt1,dFlt2,critFlt2,dFlt3,critFlt3))</f>
        <v/>
      </c>
      <c r="G2552">
        <f>IF($B2552="",0,IFERROR(IF(OR(C2552&lt;&gt;0,D2552&lt;&gt;0,E2552&lt;&gt;0,F2552&lt;&gt;0),1,0),1))</f>
        <v>0</v>
      </c>
      <c r="H2552" t="str">
        <f>IF(OR(G2552=0,E2552=0),"",C2552/E2552)</f>
        <v/>
      </c>
      <c r="I2552" t="str">
        <f>IF(OR(G2552=0,F2552=0),"",D2552/F2552)</f>
        <v/>
      </c>
      <c r="J2552" t="str">
        <f>IF(OR(H2552="",I2552=""),"",IF(H2552=0,"",I2552/H2552-1))</f>
        <v/>
      </c>
      <c r="K2552" t="str">
        <f>IF($B2552="","",IFERROR(IF(G2552=0,-2E+300,CHOOSE(sortIdx,ROUND(D2552,0),IF(J2552="",-1E+300,ROUND(-J2552,6)),IF(J2552="",-1E+300,ROUND(J2552,6)))),-1.5E+300))</f>
        <v/>
      </c>
      <c r="L2552" t="str">
        <f>IF(K2552="","",RANK(K2552,$K$2:$K$3001,0)+COUNTIF($K$2:K2552,K2552)-1)</f>
        <v/>
      </c>
    </row>
    <row r="2553">
      <c r="B2553" t="str">
        <f>IFERROR(IF(A2553="","","="&amp;SUBSTITUTE(SUBSTITUTE(SUBSTITUTE(A2553,"~","~~"),"*","~*"),"?","~?")),"")</f>
        <v/>
      </c>
      <c r="C2553" t="str">
        <f>IF($B2553="","",SUMIFS(dAmt,dCust,$B2553,dPer,"&gt;="&amp;pyFrom,dPer,"&lt;="&amp;pyTo,dAmt,"&gt;-1E+300",dFlt1,critFlt1,dFlt2,critFlt2,dFlt3,critFlt3))</f>
        <v/>
      </c>
      <c r="D2553" t="str">
        <f>IF($B2553="","",SUMIFS(dAmt,dCust,$B2553,dPer,"&gt;="&amp;cyFrom,dPer,"&lt;="&amp;cyTo,dAmt,"&gt;-1E+300",dFlt1,critFlt1,dFlt2,critFlt2,dFlt3,critFlt3))</f>
        <v/>
      </c>
      <c r="E2553" t="str">
        <f>IF($B2553="","",SUMIFS(dQty,dCust,$B2553,dPer,"&gt;="&amp;pyFrom,dPer,"&lt;="&amp;pyTo,dQty,"&gt;-1E+300",dFlt1,critFlt1,dFlt2,critFlt2,dFlt3,critFlt3))</f>
        <v/>
      </c>
      <c r="F2553" t="str">
        <f>IF($B2553="","",SUMIFS(dQty,dCust,$B2553,dPer,"&gt;="&amp;cyFrom,dPer,"&lt;="&amp;cyTo,dQty,"&gt;-1E+300",dFlt1,critFlt1,dFlt2,critFlt2,dFlt3,critFlt3))</f>
        <v/>
      </c>
      <c r="G2553">
        <f>IF($B2553="",0,IFERROR(IF(OR(C2553&lt;&gt;0,D2553&lt;&gt;0,E2553&lt;&gt;0,F2553&lt;&gt;0),1,0),1))</f>
        <v>0</v>
      </c>
      <c r="H2553" t="str">
        <f>IF(OR(G2553=0,E2553=0),"",C2553/E2553)</f>
        <v/>
      </c>
      <c r="I2553" t="str">
        <f>IF(OR(G2553=0,F2553=0),"",D2553/F2553)</f>
        <v/>
      </c>
      <c r="J2553" t="str">
        <f>IF(OR(H2553="",I2553=""),"",IF(H2553=0,"",I2553/H2553-1))</f>
        <v/>
      </c>
      <c r="K2553" t="str">
        <f>IF($B2553="","",IFERROR(IF(G2553=0,-2E+300,CHOOSE(sortIdx,ROUND(D2553,0),IF(J2553="",-1E+300,ROUND(-J2553,6)),IF(J2553="",-1E+300,ROUND(J2553,6)))),-1.5E+300))</f>
        <v/>
      </c>
      <c r="L2553" t="str">
        <f>IF(K2553="","",RANK(K2553,$K$2:$K$3001,0)+COUNTIF($K$2:K2553,K2553)-1)</f>
        <v/>
      </c>
    </row>
    <row r="2554">
      <c r="B2554" t="str">
        <f>IFERROR(IF(A2554="","","="&amp;SUBSTITUTE(SUBSTITUTE(SUBSTITUTE(A2554,"~","~~"),"*","~*"),"?","~?")),"")</f>
        <v/>
      </c>
      <c r="C2554" t="str">
        <f>IF($B2554="","",SUMIFS(dAmt,dCust,$B2554,dPer,"&gt;="&amp;pyFrom,dPer,"&lt;="&amp;pyTo,dAmt,"&gt;-1E+300",dFlt1,critFlt1,dFlt2,critFlt2,dFlt3,critFlt3))</f>
        <v/>
      </c>
      <c r="D2554" t="str">
        <f>IF($B2554="","",SUMIFS(dAmt,dCust,$B2554,dPer,"&gt;="&amp;cyFrom,dPer,"&lt;="&amp;cyTo,dAmt,"&gt;-1E+300",dFlt1,critFlt1,dFlt2,critFlt2,dFlt3,critFlt3))</f>
        <v/>
      </c>
      <c r="E2554" t="str">
        <f>IF($B2554="","",SUMIFS(dQty,dCust,$B2554,dPer,"&gt;="&amp;pyFrom,dPer,"&lt;="&amp;pyTo,dQty,"&gt;-1E+300",dFlt1,critFlt1,dFlt2,critFlt2,dFlt3,critFlt3))</f>
        <v/>
      </c>
      <c r="F2554" t="str">
        <f>IF($B2554="","",SUMIFS(dQty,dCust,$B2554,dPer,"&gt;="&amp;cyFrom,dPer,"&lt;="&amp;cyTo,dQty,"&gt;-1E+300",dFlt1,critFlt1,dFlt2,critFlt2,dFlt3,critFlt3))</f>
        <v/>
      </c>
      <c r="G2554">
        <f>IF($B2554="",0,IFERROR(IF(OR(C2554&lt;&gt;0,D2554&lt;&gt;0,E2554&lt;&gt;0,F2554&lt;&gt;0),1,0),1))</f>
        <v>0</v>
      </c>
      <c r="H2554" t="str">
        <f>IF(OR(G2554=0,E2554=0),"",C2554/E2554)</f>
        <v/>
      </c>
      <c r="I2554" t="str">
        <f>IF(OR(G2554=0,F2554=0),"",D2554/F2554)</f>
        <v/>
      </c>
      <c r="J2554" t="str">
        <f>IF(OR(H2554="",I2554=""),"",IF(H2554=0,"",I2554/H2554-1))</f>
        <v/>
      </c>
      <c r="K2554" t="str">
        <f>IF($B2554="","",IFERROR(IF(G2554=0,-2E+300,CHOOSE(sortIdx,ROUND(D2554,0),IF(J2554="",-1E+300,ROUND(-J2554,6)),IF(J2554="",-1E+300,ROUND(J2554,6)))),-1.5E+300))</f>
        <v/>
      </c>
      <c r="L2554" t="str">
        <f>IF(K2554="","",RANK(K2554,$K$2:$K$3001,0)+COUNTIF($K$2:K2554,K2554)-1)</f>
        <v/>
      </c>
    </row>
    <row r="2555">
      <c r="B2555" t="str">
        <f>IFERROR(IF(A2555="","","="&amp;SUBSTITUTE(SUBSTITUTE(SUBSTITUTE(A2555,"~","~~"),"*","~*"),"?","~?")),"")</f>
        <v/>
      </c>
      <c r="C2555" t="str">
        <f>IF($B2555="","",SUMIFS(dAmt,dCust,$B2555,dPer,"&gt;="&amp;pyFrom,dPer,"&lt;="&amp;pyTo,dAmt,"&gt;-1E+300",dFlt1,critFlt1,dFlt2,critFlt2,dFlt3,critFlt3))</f>
        <v/>
      </c>
      <c r="D2555" t="str">
        <f>IF($B2555="","",SUMIFS(dAmt,dCust,$B2555,dPer,"&gt;="&amp;cyFrom,dPer,"&lt;="&amp;cyTo,dAmt,"&gt;-1E+300",dFlt1,critFlt1,dFlt2,critFlt2,dFlt3,critFlt3))</f>
        <v/>
      </c>
      <c r="E2555" t="str">
        <f>IF($B2555="","",SUMIFS(dQty,dCust,$B2555,dPer,"&gt;="&amp;pyFrom,dPer,"&lt;="&amp;pyTo,dQty,"&gt;-1E+300",dFlt1,critFlt1,dFlt2,critFlt2,dFlt3,critFlt3))</f>
        <v/>
      </c>
      <c r="F2555" t="str">
        <f>IF($B2555="","",SUMIFS(dQty,dCust,$B2555,dPer,"&gt;="&amp;cyFrom,dPer,"&lt;="&amp;cyTo,dQty,"&gt;-1E+300",dFlt1,critFlt1,dFlt2,critFlt2,dFlt3,critFlt3))</f>
        <v/>
      </c>
      <c r="G2555">
        <f>IF($B2555="",0,IFERROR(IF(OR(C2555&lt;&gt;0,D2555&lt;&gt;0,E2555&lt;&gt;0,F2555&lt;&gt;0),1,0),1))</f>
        <v>0</v>
      </c>
      <c r="H2555" t="str">
        <f>IF(OR(G2555=0,E2555=0),"",C2555/E2555)</f>
        <v/>
      </c>
      <c r="I2555" t="str">
        <f>IF(OR(G2555=0,F2555=0),"",D2555/F2555)</f>
        <v/>
      </c>
      <c r="J2555" t="str">
        <f>IF(OR(H2555="",I2555=""),"",IF(H2555=0,"",I2555/H2555-1))</f>
        <v/>
      </c>
      <c r="K2555" t="str">
        <f>IF($B2555="","",IFERROR(IF(G2555=0,-2E+300,CHOOSE(sortIdx,ROUND(D2555,0),IF(J2555="",-1E+300,ROUND(-J2555,6)),IF(J2555="",-1E+300,ROUND(J2555,6)))),-1.5E+300))</f>
        <v/>
      </c>
      <c r="L2555" t="str">
        <f>IF(K2555="","",RANK(K2555,$K$2:$K$3001,0)+COUNTIF($K$2:K2555,K2555)-1)</f>
        <v/>
      </c>
    </row>
    <row r="2556">
      <c r="B2556" t="str">
        <f>IFERROR(IF(A2556="","","="&amp;SUBSTITUTE(SUBSTITUTE(SUBSTITUTE(A2556,"~","~~"),"*","~*"),"?","~?")),"")</f>
        <v/>
      </c>
      <c r="C2556" t="str">
        <f>IF($B2556="","",SUMIFS(dAmt,dCust,$B2556,dPer,"&gt;="&amp;pyFrom,dPer,"&lt;="&amp;pyTo,dAmt,"&gt;-1E+300",dFlt1,critFlt1,dFlt2,critFlt2,dFlt3,critFlt3))</f>
        <v/>
      </c>
      <c r="D2556" t="str">
        <f>IF($B2556="","",SUMIFS(dAmt,dCust,$B2556,dPer,"&gt;="&amp;cyFrom,dPer,"&lt;="&amp;cyTo,dAmt,"&gt;-1E+300",dFlt1,critFlt1,dFlt2,critFlt2,dFlt3,critFlt3))</f>
        <v/>
      </c>
      <c r="E2556" t="str">
        <f>IF($B2556="","",SUMIFS(dQty,dCust,$B2556,dPer,"&gt;="&amp;pyFrom,dPer,"&lt;="&amp;pyTo,dQty,"&gt;-1E+300",dFlt1,critFlt1,dFlt2,critFlt2,dFlt3,critFlt3))</f>
        <v/>
      </c>
      <c r="F2556" t="str">
        <f>IF($B2556="","",SUMIFS(dQty,dCust,$B2556,dPer,"&gt;="&amp;cyFrom,dPer,"&lt;="&amp;cyTo,dQty,"&gt;-1E+300",dFlt1,critFlt1,dFlt2,critFlt2,dFlt3,critFlt3))</f>
        <v/>
      </c>
      <c r="G2556">
        <f>IF($B2556="",0,IFERROR(IF(OR(C2556&lt;&gt;0,D2556&lt;&gt;0,E2556&lt;&gt;0,F2556&lt;&gt;0),1,0),1))</f>
        <v>0</v>
      </c>
      <c r="H2556" t="str">
        <f>IF(OR(G2556=0,E2556=0),"",C2556/E2556)</f>
        <v/>
      </c>
      <c r="I2556" t="str">
        <f>IF(OR(G2556=0,F2556=0),"",D2556/F2556)</f>
        <v/>
      </c>
      <c r="J2556" t="str">
        <f>IF(OR(H2556="",I2556=""),"",IF(H2556=0,"",I2556/H2556-1))</f>
        <v/>
      </c>
      <c r="K2556" t="str">
        <f>IF($B2556="","",IFERROR(IF(G2556=0,-2E+300,CHOOSE(sortIdx,ROUND(D2556,0),IF(J2556="",-1E+300,ROUND(-J2556,6)),IF(J2556="",-1E+300,ROUND(J2556,6)))),-1.5E+300))</f>
        <v/>
      </c>
      <c r="L2556" t="str">
        <f>IF(K2556="","",RANK(K2556,$K$2:$K$3001,0)+COUNTIF($K$2:K2556,K2556)-1)</f>
        <v/>
      </c>
    </row>
    <row r="2557">
      <c r="B2557" t="str">
        <f>IFERROR(IF(A2557="","","="&amp;SUBSTITUTE(SUBSTITUTE(SUBSTITUTE(A2557,"~","~~"),"*","~*"),"?","~?")),"")</f>
        <v/>
      </c>
      <c r="C2557" t="str">
        <f>IF($B2557="","",SUMIFS(dAmt,dCust,$B2557,dPer,"&gt;="&amp;pyFrom,dPer,"&lt;="&amp;pyTo,dAmt,"&gt;-1E+300",dFlt1,critFlt1,dFlt2,critFlt2,dFlt3,critFlt3))</f>
        <v/>
      </c>
      <c r="D2557" t="str">
        <f>IF($B2557="","",SUMIFS(dAmt,dCust,$B2557,dPer,"&gt;="&amp;cyFrom,dPer,"&lt;="&amp;cyTo,dAmt,"&gt;-1E+300",dFlt1,critFlt1,dFlt2,critFlt2,dFlt3,critFlt3))</f>
        <v/>
      </c>
      <c r="E2557" t="str">
        <f>IF($B2557="","",SUMIFS(dQty,dCust,$B2557,dPer,"&gt;="&amp;pyFrom,dPer,"&lt;="&amp;pyTo,dQty,"&gt;-1E+300",dFlt1,critFlt1,dFlt2,critFlt2,dFlt3,critFlt3))</f>
        <v/>
      </c>
      <c r="F2557" t="str">
        <f>IF($B2557="","",SUMIFS(dQty,dCust,$B2557,dPer,"&gt;="&amp;cyFrom,dPer,"&lt;="&amp;cyTo,dQty,"&gt;-1E+300",dFlt1,critFlt1,dFlt2,critFlt2,dFlt3,critFlt3))</f>
        <v/>
      </c>
      <c r="G2557">
        <f>IF($B2557="",0,IFERROR(IF(OR(C2557&lt;&gt;0,D2557&lt;&gt;0,E2557&lt;&gt;0,F2557&lt;&gt;0),1,0),1))</f>
        <v>0</v>
      </c>
      <c r="H2557" t="str">
        <f>IF(OR(G2557=0,E2557=0),"",C2557/E2557)</f>
        <v/>
      </c>
      <c r="I2557" t="str">
        <f>IF(OR(G2557=0,F2557=0),"",D2557/F2557)</f>
        <v/>
      </c>
      <c r="J2557" t="str">
        <f>IF(OR(H2557="",I2557=""),"",IF(H2557=0,"",I2557/H2557-1))</f>
        <v/>
      </c>
      <c r="K2557" t="str">
        <f>IF($B2557="","",IFERROR(IF(G2557=0,-2E+300,CHOOSE(sortIdx,ROUND(D2557,0),IF(J2557="",-1E+300,ROUND(-J2557,6)),IF(J2557="",-1E+300,ROUND(J2557,6)))),-1.5E+300))</f>
        <v/>
      </c>
      <c r="L2557" t="str">
        <f>IF(K2557="","",RANK(K2557,$K$2:$K$3001,0)+COUNTIF($K$2:K2557,K2557)-1)</f>
        <v/>
      </c>
    </row>
    <row r="2558">
      <c r="B2558" t="str">
        <f>IFERROR(IF(A2558="","","="&amp;SUBSTITUTE(SUBSTITUTE(SUBSTITUTE(A2558,"~","~~"),"*","~*"),"?","~?")),"")</f>
        <v/>
      </c>
      <c r="C2558" t="str">
        <f>IF($B2558="","",SUMIFS(dAmt,dCust,$B2558,dPer,"&gt;="&amp;pyFrom,dPer,"&lt;="&amp;pyTo,dAmt,"&gt;-1E+300",dFlt1,critFlt1,dFlt2,critFlt2,dFlt3,critFlt3))</f>
        <v/>
      </c>
      <c r="D2558" t="str">
        <f>IF($B2558="","",SUMIFS(dAmt,dCust,$B2558,dPer,"&gt;="&amp;cyFrom,dPer,"&lt;="&amp;cyTo,dAmt,"&gt;-1E+300",dFlt1,critFlt1,dFlt2,critFlt2,dFlt3,critFlt3))</f>
        <v/>
      </c>
      <c r="E2558" t="str">
        <f>IF($B2558="","",SUMIFS(dQty,dCust,$B2558,dPer,"&gt;="&amp;pyFrom,dPer,"&lt;="&amp;pyTo,dQty,"&gt;-1E+300",dFlt1,critFlt1,dFlt2,critFlt2,dFlt3,critFlt3))</f>
        <v/>
      </c>
      <c r="F2558" t="str">
        <f>IF($B2558="","",SUMIFS(dQty,dCust,$B2558,dPer,"&gt;="&amp;cyFrom,dPer,"&lt;="&amp;cyTo,dQty,"&gt;-1E+300",dFlt1,critFlt1,dFlt2,critFlt2,dFlt3,critFlt3))</f>
        <v/>
      </c>
      <c r="G2558">
        <f>IF($B2558="",0,IFERROR(IF(OR(C2558&lt;&gt;0,D2558&lt;&gt;0,E2558&lt;&gt;0,F2558&lt;&gt;0),1,0),1))</f>
        <v>0</v>
      </c>
      <c r="H2558" t="str">
        <f>IF(OR(G2558=0,E2558=0),"",C2558/E2558)</f>
        <v/>
      </c>
      <c r="I2558" t="str">
        <f>IF(OR(G2558=0,F2558=0),"",D2558/F2558)</f>
        <v/>
      </c>
      <c r="J2558" t="str">
        <f>IF(OR(H2558="",I2558=""),"",IF(H2558=0,"",I2558/H2558-1))</f>
        <v/>
      </c>
      <c r="K2558" t="str">
        <f>IF($B2558="","",IFERROR(IF(G2558=0,-2E+300,CHOOSE(sortIdx,ROUND(D2558,0),IF(J2558="",-1E+300,ROUND(-J2558,6)),IF(J2558="",-1E+300,ROUND(J2558,6)))),-1.5E+300))</f>
        <v/>
      </c>
      <c r="L2558" t="str">
        <f>IF(K2558="","",RANK(K2558,$K$2:$K$3001,0)+COUNTIF($K$2:K2558,K2558)-1)</f>
        <v/>
      </c>
    </row>
    <row r="2559">
      <c r="B2559" t="str">
        <f>IFERROR(IF(A2559="","","="&amp;SUBSTITUTE(SUBSTITUTE(SUBSTITUTE(A2559,"~","~~"),"*","~*"),"?","~?")),"")</f>
        <v/>
      </c>
      <c r="C2559" t="str">
        <f>IF($B2559="","",SUMIFS(dAmt,dCust,$B2559,dPer,"&gt;="&amp;pyFrom,dPer,"&lt;="&amp;pyTo,dAmt,"&gt;-1E+300",dFlt1,critFlt1,dFlt2,critFlt2,dFlt3,critFlt3))</f>
        <v/>
      </c>
      <c r="D2559" t="str">
        <f>IF($B2559="","",SUMIFS(dAmt,dCust,$B2559,dPer,"&gt;="&amp;cyFrom,dPer,"&lt;="&amp;cyTo,dAmt,"&gt;-1E+300",dFlt1,critFlt1,dFlt2,critFlt2,dFlt3,critFlt3))</f>
        <v/>
      </c>
      <c r="E2559" t="str">
        <f>IF($B2559="","",SUMIFS(dQty,dCust,$B2559,dPer,"&gt;="&amp;pyFrom,dPer,"&lt;="&amp;pyTo,dQty,"&gt;-1E+300",dFlt1,critFlt1,dFlt2,critFlt2,dFlt3,critFlt3))</f>
        <v/>
      </c>
      <c r="F2559" t="str">
        <f>IF($B2559="","",SUMIFS(dQty,dCust,$B2559,dPer,"&gt;="&amp;cyFrom,dPer,"&lt;="&amp;cyTo,dQty,"&gt;-1E+300",dFlt1,critFlt1,dFlt2,critFlt2,dFlt3,critFlt3))</f>
        <v/>
      </c>
      <c r="G2559">
        <f>IF($B2559="",0,IFERROR(IF(OR(C2559&lt;&gt;0,D2559&lt;&gt;0,E2559&lt;&gt;0,F2559&lt;&gt;0),1,0),1))</f>
        <v>0</v>
      </c>
      <c r="H2559" t="str">
        <f>IF(OR(G2559=0,E2559=0),"",C2559/E2559)</f>
        <v/>
      </c>
      <c r="I2559" t="str">
        <f>IF(OR(G2559=0,F2559=0),"",D2559/F2559)</f>
        <v/>
      </c>
      <c r="J2559" t="str">
        <f>IF(OR(H2559="",I2559=""),"",IF(H2559=0,"",I2559/H2559-1))</f>
        <v/>
      </c>
      <c r="K2559" t="str">
        <f>IF($B2559="","",IFERROR(IF(G2559=0,-2E+300,CHOOSE(sortIdx,ROUND(D2559,0),IF(J2559="",-1E+300,ROUND(-J2559,6)),IF(J2559="",-1E+300,ROUND(J2559,6)))),-1.5E+300))</f>
        <v/>
      </c>
      <c r="L2559" t="str">
        <f>IF(K2559="","",RANK(K2559,$K$2:$K$3001,0)+COUNTIF($K$2:K2559,K2559)-1)</f>
        <v/>
      </c>
    </row>
    <row r="2560">
      <c r="B2560" t="str">
        <f>IFERROR(IF(A2560="","","="&amp;SUBSTITUTE(SUBSTITUTE(SUBSTITUTE(A2560,"~","~~"),"*","~*"),"?","~?")),"")</f>
        <v/>
      </c>
      <c r="C2560" t="str">
        <f>IF($B2560="","",SUMIFS(dAmt,dCust,$B2560,dPer,"&gt;="&amp;pyFrom,dPer,"&lt;="&amp;pyTo,dAmt,"&gt;-1E+300",dFlt1,critFlt1,dFlt2,critFlt2,dFlt3,critFlt3))</f>
        <v/>
      </c>
      <c r="D2560" t="str">
        <f>IF($B2560="","",SUMIFS(dAmt,dCust,$B2560,dPer,"&gt;="&amp;cyFrom,dPer,"&lt;="&amp;cyTo,dAmt,"&gt;-1E+300",dFlt1,critFlt1,dFlt2,critFlt2,dFlt3,critFlt3))</f>
        <v/>
      </c>
      <c r="E2560" t="str">
        <f>IF($B2560="","",SUMIFS(dQty,dCust,$B2560,dPer,"&gt;="&amp;pyFrom,dPer,"&lt;="&amp;pyTo,dQty,"&gt;-1E+300",dFlt1,critFlt1,dFlt2,critFlt2,dFlt3,critFlt3))</f>
        <v/>
      </c>
      <c r="F2560" t="str">
        <f>IF($B2560="","",SUMIFS(dQty,dCust,$B2560,dPer,"&gt;="&amp;cyFrom,dPer,"&lt;="&amp;cyTo,dQty,"&gt;-1E+300",dFlt1,critFlt1,dFlt2,critFlt2,dFlt3,critFlt3))</f>
        <v/>
      </c>
      <c r="G2560">
        <f>IF($B2560="",0,IFERROR(IF(OR(C2560&lt;&gt;0,D2560&lt;&gt;0,E2560&lt;&gt;0,F2560&lt;&gt;0),1,0),1))</f>
        <v>0</v>
      </c>
      <c r="H2560" t="str">
        <f>IF(OR(G2560=0,E2560=0),"",C2560/E2560)</f>
        <v/>
      </c>
      <c r="I2560" t="str">
        <f>IF(OR(G2560=0,F2560=0),"",D2560/F2560)</f>
        <v/>
      </c>
      <c r="J2560" t="str">
        <f>IF(OR(H2560="",I2560=""),"",IF(H2560=0,"",I2560/H2560-1))</f>
        <v/>
      </c>
      <c r="K2560" t="str">
        <f>IF($B2560="","",IFERROR(IF(G2560=0,-2E+300,CHOOSE(sortIdx,ROUND(D2560,0),IF(J2560="",-1E+300,ROUND(-J2560,6)),IF(J2560="",-1E+300,ROUND(J2560,6)))),-1.5E+300))</f>
        <v/>
      </c>
      <c r="L2560" t="str">
        <f>IF(K2560="","",RANK(K2560,$K$2:$K$3001,0)+COUNTIF($K$2:K2560,K2560)-1)</f>
        <v/>
      </c>
    </row>
    <row r="2561">
      <c r="B2561" t="str">
        <f>IFERROR(IF(A2561="","","="&amp;SUBSTITUTE(SUBSTITUTE(SUBSTITUTE(A2561,"~","~~"),"*","~*"),"?","~?")),"")</f>
        <v/>
      </c>
      <c r="C2561" t="str">
        <f>IF($B2561="","",SUMIFS(dAmt,dCust,$B2561,dPer,"&gt;="&amp;pyFrom,dPer,"&lt;="&amp;pyTo,dAmt,"&gt;-1E+300",dFlt1,critFlt1,dFlt2,critFlt2,dFlt3,critFlt3))</f>
        <v/>
      </c>
      <c r="D2561" t="str">
        <f>IF($B2561="","",SUMIFS(dAmt,dCust,$B2561,dPer,"&gt;="&amp;cyFrom,dPer,"&lt;="&amp;cyTo,dAmt,"&gt;-1E+300",dFlt1,critFlt1,dFlt2,critFlt2,dFlt3,critFlt3))</f>
        <v/>
      </c>
      <c r="E2561" t="str">
        <f>IF($B2561="","",SUMIFS(dQty,dCust,$B2561,dPer,"&gt;="&amp;pyFrom,dPer,"&lt;="&amp;pyTo,dQty,"&gt;-1E+300",dFlt1,critFlt1,dFlt2,critFlt2,dFlt3,critFlt3))</f>
        <v/>
      </c>
      <c r="F2561" t="str">
        <f>IF($B2561="","",SUMIFS(dQty,dCust,$B2561,dPer,"&gt;="&amp;cyFrom,dPer,"&lt;="&amp;cyTo,dQty,"&gt;-1E+300",dFlt1,critFlt1,dFlt2,critFlt2,dFlt3,critFlt3))</f>
        <v/>
      </c>
      <c r="G2561">
        <f>IF($B2561="",0,IFERROR(IF(OR(C2561&lt;&gt;0,D2561&lt;&gt;0,E2561&lt;&gt;0,F2561&lt;&gt;0),1,0),1))</f>
        <v>0</v>
      </c>
      <c r="H2561" t="str">
        <f>IF(OR(G2561=0,E2561=0),"",C2561/E2561)</f>
        <v/>
      </c>
      <c r="I2561" t="str">
        <f>IF(OR(G2561=0,F2561=0),"",D2561/F2561)</f>
        <v/>
      </c>
      <c r="J2561" t="str">
        <f>IF(OR(H2561="",I2561=""),"",IF(H2561=0,"",I2561/H2561-1))</f>
        <v/>
      </c>
      <c r="K2561" t="str">
        <f>IF($B2561="","",IFERROR(IF(G2561=0,-2E+300,CHOOSE(sortIdx,ROUND(D2561,0),IF(J2561="",-1E+300,ROUND(-J2561,6)),IF(J2561="",-1E+300,ROUND(J2561,6)))),-1.5E+300))</f>
        <v/>
      </c>
      <c r="L2561" t="str">
        <f>IF(K2561="","",RANK(K2561,$K$2:$K$3001,0)+COUNTIF($K$2:K2561,K2561)-1)</f>
        <v/>
      </c>
    </row>
    <row r="2562">
      <c r="B2562" t="str">
        <f>IFERROR(IF(A2562="","","="&amp;SUBSTITUTE(SUBSTITUTE(SUBSTITUTE(A2562,"~","~~"),"*","~*"),"?","~?")),"")</f>
        <v/>
      </c>
      <c r="C2562" t="str">
        <f>IF($B2562="","",SUMIFS(dAmt,dCust,$B2562,dPer,"&gt;="&amp;pyFrom,dPer,"&lt;="&amp;pyTo,dAmt,"&gt;-1E+300",dFlt1,critFlt1,dFlt2,critFlt2,dFlt3,critFlt3))</f>
        <v/>
      </c>
      <c r="D2562" t="str">
        <f>IF($B2562="","",SUMIFS(dAmt,dCust,$B2562,dPer,"&gt;="&amp;cyFrom,dPer,"&lt;="&amp;cyTo,dAmt,"&gt;-1E+300",dFlt1,critFlt1,dFlt2,critFlt2,dFlt3,critFlt3))</f>
        <v/>
      </c>
      <c r="E2562" t="str">
        <f>IF($B2562="","",SUMIFS(dQty,dCust,$B2562,dPer,"&gt;="&amp;pyFrom,dPer,"&lt;="&amp;pyTo,dQty,"&gt;-1E+300",dFlt1,critFlt1,dFlt2,critFlt2,dFlt3,critFlt3))</f>
        <v/>
      </c>
      <c r="F2562" t="str">
        <f>IF($B2562="","",SUMIFS(dQty,dCust,$B2562,dPer,"&gt;="&amp;cyFrom,dPer,"&lt;="&amp;cyTo,dQty,"&gt;-1E+300",dFlt1,critFlt1,dFlt2,critFlt2,dFlt3,critFlt3))</f>
        <v/>
      </c>
      <c r="G2562">
        <f>IF($B2562="",0,IFERROR(IF(OR(C2562&lt;&gt;0,D2562&lt;&gt;0,E2562&lt;&gt;0,F2562&lt;&gt;0),1,0),1))</f>
        <v>0</v>
      </c>
      <c r="H2562" t="str">
        <f>IF(OR(G2562=0,E2562=0),"",C2562/E2562)</f>
        <v/>
      </c>
      <c r="I2562" t="str">
        <f>IF(OR(G2562=0,F2562=0),"",D2562/F2562)</f>
        <v/>
      </c>
      <c r="J2562" t="str">
        <f>IF(OR(H2562="",I2562=""),"",IF(H2562=0,"",I2562/H2562-1))</f>
        <v/>
      </c>
      <c r="K2562" t="str">
        <f>IF($B2562="","",IFERROR(IF(G2562=0,-2E+300,CHOOSE(sortIdx,ROUND(D2562,0),IF(J2562="",-1E+300,ROUND(-J2562,6)),IF(J2562="",-1E+300,ROUND(J2562,6)))),-1.5E+300))</f>
        <v/>
      </c>
      <c r="L2562" t="str">
        <f>IF(K2562="","",RANK(K2562,$K$2:$K$3001,0)+COUNTIF($K$2:K2562,K2562)-1)</f>
        <v/>
      </c>
    </row>
    <row r="2563">
      <c r="B2563" t="str">
        <f>IFERROR(IF(A2563="","","="&amp;SUBSTITUTE(SUBSTITUTE(SUBSTITUTE(A2563,"~","~~"),"*","~*"),"?","~?")),"")</f>
        <v/>
      </c>
      <c r="C2563" t="str">
        <f>IF($B2563="","",SUMIFS(dAmt,dCust,$B2563,dPer,"&gt;="&amp;pyFrom,dPer,"&lt;="&amp;pyTo,dAmt,"&gt;-1E+300",dFlt1,critFlt1,dFlt2,critFlt2,dFlt3,critFlt3))</f>
        <v/>
      </c>
      <c r="D2563" t="str">
        <f>IF($B2563="","",SUMIFS(dAmt,dCust,$B2563,dPer,"&gt;="&amp;cyFrom,dPer,"&lt;="&amp;cyTo,dAmt,"&gt;-1E+300",dFlt1,critFlt1,dFlt2,critFlt2,dFlt3,critFlt3))</f>
        <v/>
      </c>
      <c r="E2563" t="str">
        <f>IF($B2563="","",SUMIFS(dQty,dCust,$B2563,dPer,"&gt;="&amp;pyFrom,dPer,"&lt;="&amp;pyTo,dQty,"&gt;-1E+300",dFlt1,critFlt1,dFlt2,critFlt2,dFlt3,critFlt3))</f>
        <v/>
      </c>
      <c r="F2563" t="str">
        <f>IF($B2563="","",SUMIFS(dQty,dCust,$B2563,dPer,"&gt;="&amp;cyFrom,dPer,"&lt;="&amp;cyTo,dQty,"&gt;-1E+300",dFlt1,critFlt1,dFlt2,critFlt2,dFlt3,critFlt3))</f>
        <v/>
      </c>
      <c r="G2563">
        <f>IF($B2563="",0,IFERROR(IF(OR(C2563&lt;&gt;0,D2563&lt;&gt;0,E2563&lt;&gt;0,F2563&lt;&gt;0),1,0),1))</f>
        <v>0</v>
      </c>
      <c r="H2563" t="str">
        <f>IF(OR(G2563=0,E2563=0),"",C2563/E2563)</f>
        <v/>
      </c>
      <c r="I2563" t="str">
        <f>IF(OR(G2563=0,F2563=0),"",D2563/F2563)</f>
        <v/>
      </c>
      <c r="J2563" t="str">
        <f>IF(OR(H2563="",I2563=""),"",IF(H2563=0,"",I2563/H2563-1))</f>
        <v/>
      </c>
      <c r="K2563" t="str">
        <f>IF($B2563="","",IFERROR(IF(G2563=0,-2E+300,CHOOSE(sortIdx,ROUND(D2563,0),IF(J2563="",-1E+300,ROUND(-J2563,6)),IF(J2563="",-1E+300,ROUND(J2563,6)))),-1.5E+300))</f>
        <v/>
      </c>
      <c r="L2563" t="str">
        <f>IF(K2563="","",RANK(K2563,$K$2:$K$3001,0)+COUNTIF($K$2:K2563,K2563)-1)</f>
        <v/>
      </c>
    </row>
    <row r="2564">
      <c r="B2564" t="str">
        <f>IFERROR(IF(A2564="","","="&amp;SUBSTITUTE(SUBSTITUTE(SUBSTITUTE(A2564,"~","~~"),"*","~*"),"?","~?")),"")</f>
        <v/>
      </c>
      <c r="C2564" t="str">
        <f>IF($B2564="","",SUMIFS(dAmt,dCust,$B2564,dPer,"&gt;="&amp;pyFrom,dPer,"&lt;="&amp;pyTo,dAmt,"&gt;-1E+300",dFlt1,critFlt1,dFlt2,critFlt2,dFlt3,critFlt3))</f>
        <v/>
      </c>
      <c r="D2564" t="str">
        <f>IF($B2564="","",SUMIFS(dAmt,dCust,$B2564,dPer,"&gt;="&amp;cyFrom,dPer,"&lt;="&amp;cyTo,dAmt,"&gt;-1E+300",dFlt1,critFlt1,dFlt2,critFlt2,dFlt3,critFlt3))</f>
        <v/>
      </c>
      <c r="E2564" t="str">
        <f>IF($B2564="","",SUMIFS(dQty,dCust,$B2564,dPer,"&gt;="&amp;pyFrom,dPer,"&lt;="&amp;pyTo,dQty,"&gt;-1E+300",dFlt1,critFlt1,dFlt2,critFlt2,dFlt3,critFlt3))</f>
        <v/>
      </c>
      <c r="F2564" t="str">
        <f>IF($B2564="","",SUMIFS(dQty,dCust,$B2564,dPer,"&gt;="&amp;cyFrom,dPer,"&lt;="&amp;cyTo,dQty,"&gt;-1E+300",dFlt1,critFlt1,dFlt2,critFlt2,dFlt3,critFlt3))</f>
        <v/>
      </c>
      <c r="G2564">
        <f>IF($B2564="",0,IFERROR(IF(OR(C2564&lt;&gt;0,D2564&lt;&gt;0,E2564&lt;&gt;0,F2564&lt;&gt;0),1,0),1))</f>
        <v>0</v>
      </c>
      <c r="H2564" t="str">
        <f>IF(OR(G2564=0,E2564=0),"",C2564/E2564)</f>
        <v/>
      </c>
      <c r="I2564" t="str">
        <f>IF(OR(G2564=0,F2564=0),"",D2564/F2564)</f>
        <v/>
      </c>
      <c r="J2564" t="str">
        <f>IF(OR(H2564="",I2564=""),"",IF(H2564=0,"",I2564/H2564-1))</f>
        <v/>
      </c>
      <c r="K2564" t="str">
        <f>IF($B2564="","",IFERROR(IF(G2564=0,-2E+300,CHOOSE(sortIdx,ROUND(D2564,0),IF(J2564="",-1E+300,ROUND(-J2564,6)),IF(J2564="",-1E+300,ROUND(J2564,6)))),-1.5E+300))</f>
        <v/>
      </c>
      <c r="L2564" t="str">
        <f>IF(K2564="","",RANK(K2564,$K$2:$K$3001,0)+COUNTIF($K$2:K2564,K2564)-1)</f>
        <v/>
      </c>
    </row>
    <row r="2565">
      <c r="B2565" t="str">
        <f>IFERROR(IF(A2565="","","="&amp;SUBSTITUTE(SUBSTITUTE(SUBSTITUTE(A2565,"~","~~"),"*","~*"),"?","~?")),"")</f>
        <v/>
      </c>
      <c r="C2565" t="str">
        <f>IF($B2565="","",SUMIFS(dAmt,dCust,$B2565,dPer,"&gt;="&amp;pyFrom,dPer,"&lt;="&amp;pyTo,dAmt,"&gt;-1E+300",dFlt1,critFlt1,dFlt2,critFlt2,dFlt3,critFlt3))</f>
        <v/>
      </c>
      <c r="D2565" t="str">
        <f>IF($B2565="","",SUMIFS(dAmt,dCust,$B2565,dPer,"&gt;="&amp;cyFrom,dPer,"&lt;="&amp;cyTo,dAmt,"&gt;-1E+300",dFlt1,critFlt1,dFlt2,critFlt2,dFlt3,critFlt3))</f>
        <v/>
      </c>
      <c r="E2565" t="str">
        <f>IF($B2565="","",SUMIFS(dQty,dCust,$B2565,dPer,"&gt;="&amp;pyFrom,dPer,"&lt;="&amp;pyTo,dQty,"&gt;-1E+300",dFlt1,critFlt1,dFlt2,critFlt2,dFlt3,critFlt3))</f>
        <v/>
      </c>
      <c r="F2565" t="str">
        <f>IF($B2565="","",SUMIFS(dQty,dCust,$B2565,dPer,"&gt;="&amp;cyFrom,dPer,"&lt;="&amp;cyTo,dQty,"&gt;-1E+300",dFlt1,critFlt1,dFlt2,critFlt2,dFlt3,critFlt3))</f>
        <v/>
      </c>
      <c r="G2565">
        <f>IF($B2565="",0,IFERROR(IF(OR(C2565&lt;&gt;0,D2565&lt;&gt;0,E2565&lt;&gt;0,F2565&lt;&gt;0),1,0),1))</f>
        <v>0</v>
      </c>
      <c r="H2565" t="str">
        <f>IF(OR(G2565=0,E2565=0),"",C2565/E2565)</f>
        <v/>
      </c>
      <c r="I2565" t="str">
        <f>IF(OR(G2565=0,F2565=0),"",D2565/F2565)</f>
        <v/>
      </c>
      <c r="J2565" t="str">
        <f>IF(OR(H2565="",I2565=""),"",IF(H2565=0,"",I2565/H2565-1))</f>
        <v/>
      </c>
      <c r="K2565" t="str">
        <f>IF($B2565="","",IFERROR(IF(G2565=0,-2E+300,CHOOSE(sortIdx,ROUND(D2565,0),IF(J2565="",-1E+300,ROUND(-J2565,6)),IF(J2565="",-1E+300,ROUND(J2565,6)))),-1.5E+300))</f>
        <v/>
      </c>
      <c r="L2565" t="str">
        <f>IF(K2565="","",RANK(K2565,$K$2:$K$3001,0)+COUNTIF($K$2:K2565,K2565)-1)</f>
        <v/>
      </c>
    </row>
    <row r="2566">
      <c r="B2566" t="str">
        <f>IFERROR(IF(A2566="","","="&amp;SUBSTITUTE(SUBSTITUTE(SUBSTITUTE(A2566,"~","~~"),"*","~*"),"?","~?")),"")</f>
        <v/>
      </c>
      <c r="C2566" t="str">
        <f>IF($B2566="","",SUMIFS(dAmt,dCust,$B2566,dPer,"&gt;="&amp;pyFrom,dPer,"&lt;="&amp;pyTo,dAmt,"&gt;-1E+300",dFlt1,critFlt1,dFlt2,critFlt2,dFlt3,critFlt3))</f>
        <v/>
      </c>
      <c r="D2566" t="str">
        <f>IF($B2566="","",SUMIFS(dAmt,dCust,$B2566,dPer,"&gt;="&amp;cyFrom,dPer,"&lt;="&amp;cyTo,dAmt,"&gt;-1E+300",dFlt1,critFlt1,dFlt2,critFlt2,dFlt3,critFlt3))</f>
        <v/>
      </c>
      <c r="E2566" t="str">
        <f>IF($B2566="","",SUMIFS(dQty,dCust,$B2566,dPer,"&gt;="&amp;pyFrom,dPer,"&lt;="&amp;pyTo,dQty,"&gt;-1E+300",dFlt1,critFlt1,dFlt2,critFlt2,dFlt3,critFlt3))</f>
        <v/>
      </c>
      <c r="F2566" t="str">
        <f>IF($B2566="","",SUMIFS(dQty,dCust,$B2566,dPer,"&gt;="&amp;cyFrom,dPer,"&lt;="&amp;cyTo,dQty,"&gt;-1E+300",dFlt1,critFlt1,dFlt2,critFlt2,dFlt3,critFlt3))</f>
        <v/>
      </c>
      <c r="G2566">
        <f>IF($B2566="",0,IFERROR(IF(OR(C2566&lt;&gt;0,D2566&lt;&gt;0,E2566&lt;&gt;0,F2566&lt;&gt;0),1,0),1))</f>
        <v>0</v>
      </c>
      <c r="H2566" t="str">
        <f>IF(OR(G2566=0,E2566=0),"",C2566/E2566)</f>
        <v/>
      </c>
      <c r="I2566" t="str">
        <f>IF(OR(G2566=0,F2566=0),"",D2566/F2566)</f>
        <v/>
      </c>
      <c r="J2566" t="str">
        <f>IF(OR(H2566="",I2566=""),"",IF(H2566=0,"",I2566/H2566-1))</f>
        <v/>
      </c>
      <c r="K2566" t="str">
        <f>IF($B2566="","",IFERROR(IF(G2566=0,-2E+300,CHOOSE(sortIdx,ROUND(D2566,0),IF(J2566="",-1E+300,ROUND(-J2566,6)),IF(J2566="",-1E+300,ROUND(J2566,6)))),-1.5E+300))</f>
        <v/>
      </c>
      <c r="L2566" t="str">
        <f>IF(K2566="","",RANK(K2566,$K$2:$K$3001,0)+COUNTIF($K$2:K2566,K2566)-1)</f>
        <v/>
      </c>
    </row>
    <row r="2567">
      <c r="B2567" t="str">
        <f>IFERROR(IF(A2567="","","="&amp;SUBSTITUTE(SUBSTITUTE(SUBSTITUTE(A2567,"~","~~"),"*","~*"),"?","~?")),"")</f>
        <v/>
      </c>
      <c r="C2567" t="str">
        <f>IF($B2567="","",SUMIFS(dAmt,dCust,$B2567,dPer,"&gt;="&amp;pyFrom,dPer,"&lt;="&amp;pyTo,dAmt,"&gt;-1E+300",dFlt1,critFlt1,dFlt2,critFlt2,dFlt3,critFlt3))</f>
        <v/>
      </c>
      <c r="D2567" t="str">
        <f>IF($B2567="","",SUMIFS(dAmt,dCust,$B2567,dPer,"&gt;="&amp;cyFrom,dPer,"&lt;="&amp;cyTo,dAmt,"&gt;-1E+300",dFlt1,critFlt1,dFlt2,critFlt2,dFlt3,critFlt3))</f>
        <v/>
      </c>
      <c r="E2567" t="str">
        <f>IF($B2567="","",SUMIFS(dQty,dCust,$B2567,dPer,"&gt;="&amp;pyFrom,dPer,"&lt;="&amp;pyTo,dQty,"&gt;-1E+300",dFlt1,critFlt1,dFlt2,critFlt2,dFlt3,critFlt3))</f>
        <v/>
      </c>
      <c r="F2567" t="str">
        <f>IF($B2567="","",SUMIFS(dQty,dCust,$B2567,dPer,"&gt;="&amp;cyFrom,dPer,"&lt;="&amp;cyTo,dQty,"&gt;-1E+300",dFlt1,critFlt1,dFlt2,critFlt2,dFlt3,critFlt3))</f>
        <v/>
      </c>
      <c r="G2567">
        <f>IF($B2567="",0,IFERROR(IF(OR(C2567&lt;&gt;0,D2567&lt;&gt;0,E2567&lt;&gt;0,F2567&lt;&gt;0),1,0),1))</f>
        <v>0</v>
      </c>
      <c r="H2567" t="str">
        <f>IF(OR(G2567=0,E2567=0),"",C2567/E2567)</f>
        <v/>
      </c>
      <c r="I2567" t="str">
        <f>IF(OR(G2567=0,F2567=0),"",D2567/F2567)</f>
        <v/>
      </c>
      <c r="J2567" t="str">
        <f>IF(OR(H2567="",I2567=""),"",IF(H2567=0,"",I2567/H2567-1))</f>
        <v/>
      </c>
      <c r="K2567" t="str">
        <f>IF($B2567="","",IFERROR(IF(G2567=0,-2E+300,CHOOSE(sortIdx,ROUND(D2567,0),IF(J2567="",-1E+300,ROUND(-J2567,6)),IF(J2567="",-1E+300,ROUND(J2567,6)))),-1.5E+300))</f>
        <v/>
      </c>
      <c r="L2567" t="str">
        <f>IF(K2567="","",RANK(K2567,$K$2:$K$3001,0)+COUNTIF($K$2:K2567,K2567)-1)</f>
        <v/>
      </c>
    </row>
    <row r="2568">
      <c r="B2568" t="str">
        <f>IFERROR(IF(A2568="","","="&amp;SUBSTITUTE(SUBSTITUTE(SUBSTITUTE(A2568,"~","~~"),"*","~*"),"?","~?")),"")</f>
        <v/>
      </c>
      <c r="C2568" t="str">
        <f>IF($B2568="","",SUMIFS(dAmt,dCust,$B2568,dPer,"&gt;="&amp;pyFrom,dPer,"&lt;="&amp;pyTo,dAmt,"&gt;-1E+300",dFlt1,critFlt1,dFlt2,critFlt2,dFlt3,critFlt3))</f>
        <v/>
      </c>
      <c r="D2568" t="str">
        <f>IF($B2568="","",SUMIFS(dAmt,dCust,$B2568,dPer,"&gt;="&amp;cyFrom,dPer,"&lt;="&amp;cyTo,dAmt,"&gt;-1E+300",dFlt1,critFlt1,dFlt2,critFlt2,dFlt3,critFlt3))</f>
        <v/>
      </c>
      <c r="E2568" t="str">
        <f>IF($B2568="","",SUMIFS(dQty,dCust,$B2568,dPer,"&gt;="&amp;pyFrom,dPer,"&lt;="&amp;pyTo,dQty,"&gt;-1E+300",dFlt1,critFlt1,dFlt2,critFlt2,dFlt3,critFlt3))</f>
        <v/>
      </c>
      <c r="F2568" t="str">
        <f>IF($B2568="","",SUMIFS(dQty,dCust,$B2568,dPer,"&gt;="&amp;cyFrom,dPer,"&lt;="&amp;cyTo,dQty,"&gt;-1E+300",dFlt1,critFlt1,dFlt2,critFlt2,dFlt3,critFlt3))</f>
        <v/>
      </c>
      <c r="G2568">
        <f>IF($B2568="",0,IFERROR(IF(OR(C2568&lt;&gt;0,D2568&lt;&gt;0,E2568&lt;&gt;0,F2568&lt;&gt;0),1,0),1))</f>
        <v>0</v>
      </c>
      <c r="H2568" t="str">
        <f>IF(OR(G2568=0,E2568=0),"",C2568/E2568)</f>
        <v/>
      </c>
      <c r="I2568" t="str">
        <f>IF(OR(G2568=0,F2568=0),"",D2568/F2568)</f>
        <v/>
      </c>
      <c r="J2568" t="str">
        <f>IF(OR(H2568="",I2568=""),"",IF(H2568=0,"",I2568/H2568-1))</f>
        <v/>
      </c>
      <c r="K2568" t="str">
        <f>IF($B2568="","",IFERROR(IF(G2568=0,-2E+300,CHOOSE(sortIdx,ROUND(D2568,0),IF(J2568="",-1E+300,ROUND(-J2568,6)),IF(J2568="",-1E+300,ROUND(J2568,6)))),-1.5E+300))</f>
        <v/>
      </c>
      <c r="L2568" t="str">
        <f>IF(K2568="","",RANK(K2568,$K$2:$K$3001,0)+COUNTIF($K$2:K2568,K2568)-1)</f>
        <v/>
      </c>
    </row>
    <row r="2569">
      <c r="B2569" t="str">
        <f>IFERROR(IF(A2569="","","="&amp;SUBSTITUTE(SUBSTITUTE(SUBSTITUTE(A2569,"~","~~"),"*","~*"),"?","~?")),"")</f>
        <v/>
      </c>
      <c r="C2569" t="str">
        <f>IF($B2569="","",SUMIFS(dAmt,dCust,$B2569,dPer,"&gt;="&amp;pyFrom,dPer,"&lt;="&amp;pyTo,dAmt,"&gt;-1E+300",dFlt1,critFlt1,dFlt2,critFlt2,dFlt3,critFlt3))</f>
        <v/>
      </c>
      <c r="D2569" t="str">
        <f>IF($B2569="","",SUMIFS(dAmt,dCust,$B2569,dPer,"&gt;="&amp;cyFrom,dPer,"&lt;="&amp;cyTo,dAmt,"&gt;-1E+300",dFlt1,critFlt1,dFlt2,critFlt2,dFlt3,critFlt3))</f>
        <v/>
      </c>
      <c r="E2569" t="str">
        <f>IF($B2569="","",SUMIFS(dQty,dCust,$B2569,dPer,"&gt;="&amp;pyFrom,dPer,"&lt;="&amp;pyTo,dQty,"&gt;-1E+300",dFlt1,critFlt1,dFlt2,critFlt2,dFlt3,critFlt3))</f>
        <v/>
      </c>
      <c r="F2569" t="str">
        <f>IF($B2569="","",SUMIFS(dQty,dCust,$B2569,dPer,"&gt;="&amp;cyFrom,dPer,"&lt;="&amp;cyTo,dQty,"&gt;-1E+300",dFlt1,critFlt1,dFlt2,critFlt2,dFlt3,critFlt3))</f>
        <v/>
      </c>
      <c r="G2569">
        <f>IF($B2569="",0,IFERROR(IF(OR(C2569&lt;&gt;0,D2569&lt;&gt;0,E2569&lt;&gt;0,F2569&lt;&gt;0),1,0),1))</f>
        <v>0</v>
      </c>
      <c r="H2569" t="str">
        <f>IF(OR(G2569=0,E2569=0),"",C2569/E2569)</f>
        <v/>
      </c>
      <c r="I2569" t="str">
        <f>IF(OR(G2569=0,F2569=0),"",D2569/F2569)</f>
        <v/>
      </c>
      <c r="J2569" t="str">
        <f>IF(OR(H2569="",I2569=""),"",IF(H2569=0,"",I2569/H2569-1))</f>
        <v/>
      </c>
      <c r="K2569" t="str">
        <f>IF($B2569="","",IFERROR(IF(G2569=0,-2E+300,CHOOSE(sortIdx,ROUND(D2569,0),IF(J2569="",-1E+300,ROUND(-J2569,6)),IF(J2569="",-1E+300,ROUND(J2569,6)))),-1.5E+300))</f>
        <v/>
      </c>
      <c r="L2569" t="str">
        <f>IF(K2569="","",RANK(K2569,$K$2:$K$3001,0)+COUNTIF($K$2:K2569,K2569)-1)</f>
        <v/>
      </c>
    </row>
    <row r="2570">
      <c r="B2570" t="str">
        <f>IFERROR(IF(A2570="","","="&amp;SUBSTITUTE(SUBSTITUTE(SUBSTITUTE(A2570,"~","~~"),"*","~*"),"?","~?")),"")</f>
        <v/>
      </c>
      <c r="C2570" t="str">
        <f>IF($B2570="","",SUMIFS(dAmt,dCust,$B2570,dPer,"&gt;="&amp;pyFrom,dPer,"&lt;="&amp;pyTo,dAmt,"&gt;-1E+300",dFlt1,critFlt1,dFlt2,critFlt2,dFlt3,critFlt3))</f>
        <v/>
      </c>
      <c r="D2570" t="str">
        <f>IF($B2570="","",SUMIFS(dAmt,dCust,$B2570,dPer,"&gt;="&amp;cyFrom,dPer,"&lt;="&amp;cyTo,dAmt,"&gt;-1E+300",dFlt1,critFlt1,dFlt2,critFlt2,dFlt3,critFlt3))</f>
        <v/>
      </c>
      <c r="E2570" t="str">
        <f>IF($B2570="","",SUMIFS(dQty,dCust,$B2570,dPer,"&gt;="&amp;pyFrom,dPer,"&lt;="&amp;pyTo,dQty,"&gt;-1E+300",dFlt1,critFlt1,dFlt2,critFlt2,dFlt3,critFlt3))</f>
        <v/>
      </c>
      <c r="F2570" t="str">
        <f>IF($B2570="","",SUMIFS(dQty,dCust,$B2570,dPer,"&gt;="&amp;cyFrom,dPer,"&lt;="&amp;cyTo,dQty,"&gt;-1E+300",dFlt1,critFlt1,dFlt2,critFlt2,dFlt3,critFlt3))</f>
        <v/>
      </c>
      <c r="G2570">
        <f>IF($B2570="",0,IFERROR(IF(OR(C2570&lt;&gt;0,D2570&lt;&gt;0,E2570&lt;&gt;0,F2570&lt;&gt;0),1,0),1))</f>
        <v>0</v>
      </c>
      <c r="H2570" t="str">
        <f>IF(OR(G2570=0,E2570=0),"",C2570/E2570)</f>
        <v/>
      </c>
      <c r="I2570" t="str">
        <f>IF(OR(G2570=0,F2570=0),"",D2570/F2570)</f>
        <v/>
      </c>
      <c r="J2570" t="str">
        <f>IF(OR(H2570="",I2570=""),"",IF(H2570=0,"",I2570/H2570-1))</f>
        <v/>
      </c>
      <c r="K2570" t="str">
        <f>IF($B2570="","",IFERROR(IF(G2570=0,-2E+300,CHOOSE(sortIdx,ROUND(D2570,0),IF(J2570="",-1E+300,ROUND(-J2570,6)),IF(J2570="",-1E+300,ROUND(J2570,6)))),-1.5E+300))</f>
        <v/>
      </c>
      <c r="L2570" t="str">
        <f>IF(K2570="","",RANK(K2570,$K$2:$K$3001,0)+COUNTIF($K$2:K2570,K2570)-1)</f>
        <v/>
      </c>
    </row>
    <row r="2571">
      <c r="B2571" t="str">
        <f>IFERROR(IF(A2571="","","="&amp;SUBSTITUTE(SUBSTITUTE(SUBSTITUTE(A2571,"~","~~"),"*","~*"),"?","~?")),"")</f>
        <v/>
      </c>
      <c r="C2571" t="str">
        <f>IF($B2571="","",SUMIFS(dAmt,dCust,$B2571,dPer,"&gt;="&amp;pyFrom,dPer,"&lt;="&amp;pyTo,dAmt,"&gt;-1E+300",dFlt1,critFlt1,dFlt2,critFlt2,dFlt3,critFlt3))</f>
        <v/>
      </c>
      <c r="D2571" t="str">
        <f>IF($B2571="","",SUMIFS(dAmt,dCust,$B2571,dPer,"&gt;="&amp;cyFrom,dPer,"&lt;="&amp;cyTo,dAmt,"&gt;-1E+300",dFlt1,critFlt1,dFlt2,critFlt2,dFlt3,critFlt3))</f>
        <v/>
      </c>
      <c r="E2571" t="str">
        <f>IF($B2571="","",SUMIFS(dQty,dCust,$B2571,dPer,"&gt;="&amp;pyFrom,dPer,"&lt;="&amp;pyTo,dQty,"&gt;-1E+300",dFlt1,critFlt1,dFlt2,critFlt2,dFlt3,critFlt3))</f>
        <v/>
      </c>
      <c r="F2571" t="str">
        <f>IF($B2571="","",SUMIFS(dQty,dCust,$B2571,dPer,"&gt;="&amp;cyFrom,dPer,"&lt;="&amp;cyTo,dQty,"&gt;-1E+300",dFlt1,critFlt1,dFlt2,critFlt2,dFlt3,critFlt3))</f>
        <v/>
      </c>
      <c r="G2571">
        <f>IF($B2571="",0,IFERROR(IF(OR(C2571&lt;&gt;0,D2571&lt;&gt;0,E2571&lt;&gt;0,F2571&lt;&gt;0),1,0),1))</f>
        <v>0</v>
      </c>
      <c r="H2571" t="str">
        <f>IF(OR(G2571=0,E2571=0),"",C2571/E2571)</f>
        <v/>
      </c>
      <c r="I2571" t="str">
        <f>IF(OR(G2571=0,F2571=0),"",D2571/F2571)</f>
        <v/>
      </c>
      <c r="J2571" t="str">
        <f>IF(OR(H2571="",I2571=""),"",IF(H2571=0,"",I2571/H2571-1))</f>
        <v/>
      </c>
      <c r="K2571" t="str">
        <f>IF($B2571="","",IFERROR(IF(G2571=0,-2E+300,CHOOSE(sortIdx,ROUND(D2571,0),IF(J2571="",-1E+300,ROUND(-J2571,6)),IF(J2571="",-1E+300,ROUND(J2571,6)))),-1.5E+300))</f>
        <v/>
      </c>
      <c r="L2571" t="str">
        <f>IF(K2571="","",RANK(K2571,$K$2:$K$3001,0)+COUNTIF($K$2:K2571,K2571)-1)</f>
        <v/>
      </c>
    </row>
    <row r="2572">
      <c r="B2572" t="str">
        <f>IFERROR(IF(A2572="","","="&amp;SUBSTITUTE(SUBSTITUTE(SUBSTITUTE(A2572,"~","~~"),"*","~*"),"?","~?")),"")</f>
        <v/>
      </c>
      <c r="C2572" t="str">
        <f>IF($B2572="","",SUMIFS(dAmt,dCust,$B2572,dPer,"&gt;="&amp;pyFrom,dPer,"&lt;="&amp;pyTo,dAmt,"&gt;-1E+300",dFlt1,critFlt1,dFlt2,critFlt2,dFlt3,critFlt3))</f>
        <v/>
      </c>
      <c r="D2572" t="str">
        <f>IF($B2572="","",SUMIFS(dAmt,dCust,$B2572,dPer,"&gt;="&amp;cyFrom,dPer,"&lt;="&amp;cyTo,dAmt,"&gt;-1E+300",dFlt1,critFlt1,dFlt2,critFlt2,dFlt3,critFlt3))</f>
        <v/>
      </c>
      <c r="E2572" t="str">
        <f>IF($B2572="","",SUMIFS(dQty,dCust,$B2572,dPer,"&gt;="&amp;pyFrom,dPer,"&lt;="&amp;pyTo,dQty,"&gt;-1E+300",dFlt1,critFlt1,dFlt2,critFlt2,dFlt3,critFlt3))</f>
        <v/>
      </c>
      <c r="F2572" t="str">
        <f>IF($B2572="","",SUMIFS(dQty,dCust,$B2572,dPer,"&gt;="&amp;cyFrom,dPer,"&lt;="&amp;cyTo,dQty,"&gt;-1E+300",dFlt1,critFlt1,dFlt2,critFlt2,dFlt3,critFlt3))</f>
        <v/>
      </c>
      <c r="G2572">
        <f>IF($B2572="",0,IFERROR(IF(OR(C2572&lt;&gt;0,D2572&lt;&gt;0,E2572&lt;&gt;0,F2572&lt;&gt;0),1,0),1))</f>
        <v>0</v>
      </c>
      <c r="H2572" t="str">
        <f>IF(OR(G2572=0,E2572=0),"",C2572/E2572)</f>
        <v/>
      </c>
      <c r="I2572" t="str">
        <f>IF(OR(G2572=0,F2572=0),"",D2572/F2572)</f>
        <v/>
      </c>
      <c r="J2572" t="str">
        <f>IF(OR(H2572="",I2572=""),"",IF(H2572=0,"",I2572/H2572-1))</f>
        <v/>
      </c>
      <c r="K2572" t="str">
        <f>IF($B2572="","",IFERROR(IF(G2572=0,-2E+300,CHOOSE(sortIdx,ROUND(D2572,0),IF(J2572="",-1E+300,ROUND(-J2572,6)),IF(J2572="",-1E+300,ROUND(J2572,6)))),-1.5E+300))</f>
        <v/>
      </c>
      <c r="L2572" t="str">
        <f>IF(K2572="","",RANK(K2572,$K$2:$K$3001,0)+COUNTIF($K$2:K2572,K2572)-1)</f>
        <v/>
      </c>
    </row>
    <row r="2573">
      <c r="B2573" t="str">
        <f>IFERROR(IF(A2573="","","="&amp;SUBSTITUTE(SUBSTITUTE(SUBSTITUTE(A2573,"~","~~"),"*","~*"),"?","~?")),"")</f>
        <v/>
      </c>
      <c r="C2573" t="str">
        <f>IF($B2573="","",SUMIFS(dAmt,dCust,$B2573,dPer,"&gt;="&amp;pyFrom,dPer,"&lt;="&amp;pyTo,dAmt,"&gt;-1E+300",dFlt1,critFlt1,dFlt2,critFlt2,dFlt3,critFlt3))</f>
        <v/>
      </c>
      <c r="D2573" t="str">
        <f>IF($B2573="","",SUMIFS(dAmt,dCust,$B2573,dPer,"&gt;="&amp;cyFrom,dPer,"&lt;="&amp;cyTo,dAmt,"&gt;-1E+300",dFlt1,critFlt1,dFlt2,critFlt2,dFlt3,critFlt3))</f>
        <v/>
      </c>
      <c r="E2573" t="str">
        <f>IF($B2573="","",SUMIFS(dQty,dCust,$B2573,dPer,"&gt;="&amp;pyFrom,dPer,"&lt;="&amp;pyTo,dQty,"&gt;-1E+300",dFlt1,critFlt1,dFlt2,critFlt2,dFlt3,critFlt3))</f>
        <v/>
      </c>
      <c r="F2573" t="str">
        <f>IF($B2573="","",SUMIFS(dQty,dCust,$B2573,dPer,"&gt;="&amp;cyFrom,dPer,"&lt;="&amp;cyTo,dQty,"&gt;-1E+300",dFlt1,critFlt1,dFlt2,critFlt2,dFlt3,critFlt3))</f>
        <v/>
      </c>
      <c r="G2573">
        <f>IF($B2573="",0,IFERROR(IF(OR(C2573&lt;&gt;0,D2573&lt;&gt;0,E2573&lt;&gt;0,F2573&lt;&gt;0),1,0),1))</f>
        <v>0</v>
      </c>
      <c r="H2573" t="str">
        <f>IF(OR(G2573=0,E2573=0),"",C2573/E2573)</f>
        <v/>
      </c>
      <c r="I2573" t="str">
        <f>IF(OR(G2573=0,F2573=0),"",D2573/F2573)</f>
        <v/>
      </c>
      <c r="J2573" t="str">
        <f>IF(OR(H2573="",I2573=""),"",IF(H2573=0,"",I2573/H2573-1))</f>
        <v/>
      </c>
      <c r="K2573" t="str">
        <f>IF($B2573="","",IFERROR(IF(G2573=0,-2E+300,CHOOSE(sortIdx,ROUND(D2573,0),IF(J2573="",-1E+300,ROUND(-J2573,6)),IF(J2573="",-1E+300,ROUND(J2573,6)))),-1.5E+300))</f>
        <v/>
      </c>
      <c r="L2573" t="str">
        <f>IF(K2573="","",RANK(K2573,$K$2:$K$3001,0)+COUNTIF($K$2:K2573,K2573)-1)</f>
        <v/>
      </c>
    </row>
    <row r="2574">
      <c r="B2574" t="str">
        <f>IFERROR(IF(A2574="","","="&amp;SUBSTITUTE(SUBSTITUTE(SUBSTITUTE(A2574,"~","~~"),"*","~*"),"?","~?")),"")</f>
        <v/>
      </c>
      <c r="C2574" t="str">
        <f>IF($B2574="","",SUMIFS(dAmt,dCust,$B2574,dPer,"&gt;="&amp;pyFrom,dPer,"&lt;="&amp;pyTo,dAmt,"&gt;-1E+300",dFlt1,critFlt1,dFlt2,critFlt2,dFlt3,critFlt3))</f>
        <v/>
      </c>
      <c r="D2574" t="str">
        <f>IF($B2574="","",SUMIFS(dAmt,dCust,$B2574,dPer,"&gt;="&amp;cyFrom,dPer,"&lt;="&amp;cyTo,dAmt,"&gt;-1E+300",dFlt1,critFlt1,dFlt2,critFlt2,dFlt3,critFlt3))</f>
        <v/>
      </c>
      <c r="E2574" t="str">
        <f>IF($B2574="","",SUMIFS(dQty,dCust,$B2574,dPer,"&gt;="&amp;pyFrom,dPer,"&lt;="&amp;pyTo,dQty,"&gt;-1E+300",dFlt1,critFlt1,dFlt2,critFlt2,dFlt3,critFlt3))</f>
        <v/>
      </c>
      <c r="F2574" t="str">
        <f>IF($B2574="","",SUMIFS(dQty,dCust,$B2574,dPer,"&gt;="&amp;cyFrom,dPer,"&lt;="&amp;cyTo,dQty,"&gt;-1E+300",dFlt1,critFlt1,dFlt2,critFlt2,dFlt3,critFlt3))</f>
        <v/>
      </c>
      <c r="G2574">
        <f>IF($B2574="",0,IFERROR(IF(OR(C2574&lt;&gt;0,D2574&lt;&gt;0,E2574&lt;&gt;0,F2574&lt;&gt;0),1,0),1))</f>
        <v>0</v>
      </c>
      <c r="H2574" t="str">
        <f>IF(OR(G2574=0,E2574=0),"",C2574/E2574)</f>
        <v/>
      </c>
      <c r="I2574" t="str">
        <f>IF(OR(G2574=0,F2574=0),"",D2574/F2574)</f>
        <v/>
      </c>
      <c r="J2574" t="str">
        <f>IF(OR(H2574="",I2574=""),"",IF(H2574=0,"",I2574/H2574-1))</f>
        <v/>
      </c>
      <c r="K2574" t="str">
        <f>IF($B2574="","",IFERROR(IF(G2574=0,-2E+300,CHOOSE(sortIdx,ROUND(D2574,0),IF(J2574="",-1E+300,ROUND(-J2574,6)),IF(J2574="",-1E+300,ROUND(J2574,6)))),-1.5E+300))</f>
        <v/>
      </c>
      <c r="L2574" t="str">
        <f>IF(K2574="","",RANK(K2574,$K$2:$K$3001,0)+COUNTIF($K$2:K2574,K2574)-1)</f>
        <v/>
      </c>
    </row>
    <row r="2575">
      <c r="B2575" t="str">
        <f>IFERROR(IF(A2575="","","="&amp;SUBSTITUTE(SUBSTITUTE(SUBSTITUTE(A2575,"~","~~"),"*","~*"),"?","~?")),"")</f>
        <v/>
      </c>
      <c r="C2575" t="str">
        <f>IF($B2575="","",SUMIFS(dAmt,dCust,$B2575,dPer,"&gt;="&amp;pyFrom,dPer,"&lt;="&amp;pyTo,dAmt,"&gt;-1E+300",dFlt1,critFlt1,dFlt2,critFlt2,dFlt3,critFlt3))</f>
        <v/>
      </c>
      <c r="D2575" t="str">
        <f>IF($B2575="","",SUMIFS(dAmt,dCust,$B2575,dPer,"&gt;="&amp;cyFrom,dPer,"&lt;="&amp;cyTo,dAmt,"&gt;-1E+300",dFlt1,critFlt1,dFlt2,critFlt2,dFlt3,critFlt3))</f>
        <v/>
      </c>
      <c r="E2575" t="str">
        <f>IF($B2575="","",SUMIFS(dQty,dCust,$B2575,dPer,"&gt;="&amp;pyFrom,dPer,"&lt;="&amp;pyTo,dQty,"&gt;-1E+300",dFlt1,critFlt1,dFlt2,critFlt2,dFlt3,critFlt3))</f>
        <v/>
      </c>
      <c r="F2575" t="str">
        <f>IF($B2575="","",SUMIFS(dQty,dCust,$B2575,dPer,"&gt;="&amp;cyFrom,dPer,"&lt;="&amp;cyTo,dQty,"&gt;-1E+300",dFlt1,critFlt1,dFlt2,critFlt2,dFlt3,critFlt3))</f>
        <v/>
      </c>
      <c r="G2575">
        <f>IF($B2575="",0,IFERROR(IF(OR(C2575&lt;&gt;0,D2575&lt;&gt;0,E2575&lt;&gt;0,F2575&lt;&gt;0),1,0),1))</f>
        <v>0</v>
      </c>
      <c r="H2575" t="str">
        <f>IF(OR(G2575=0,E2575=0),"",C2575/E2575)</f>
        <v/>
      </c>
      <c r="I2575" t="str">
        <f>IF(OR(G2575=0,F2575=0),"",D2575/F2575)</f>
        <v/>
      </c>
      <c r="J2575" t="str">
        <f>IF(OR(H2575="",I2575=""),"",IF(H2575=0,"",I2575/H2575-1))</f>
        <v/>
      </c>
      <c r="K2575" t="str">
        <f>IF($B2575="","",IFERROR(IF(G2575=0,-2E+300,CHOOSE(sortIdx,ROUND(D2575,0),IF(J2575="",-1E+300,ROUND(-J2575,6)),IF(J2575="",-1E+300,ROUND(J2575,6)))),-1.5E+300))</f>
        <v/>
      </c>
      <c r="L2575" t="str">
        <f>IF(K2575="","",RANK(K2575,$K$2:$K$3001,0)+COUNTIF($K$2:K2575,K2575)-1)</f>
        <v/>
      </c>
    </row>
    <row r="2576">
      <c r="B2576" t="str">
        <f>IFERROR(IF(A2576="","","="&amp;SUBSTITUTE(SUBSTITUTE(SUBSTITUTE(A2576,"~","~~"),"*","~*"),"?","~?")),"")</f>
        <v/>
      </c>
      <c r="C2576" t="str">
        <f>IF($B2576="","",SUMIFS(dAmt,dCust,$B2576,dPer,"&gt;="&amp;pyFrom,dPer,"&lt;="&amp;pyTo,dAmt,"&gt;-1E+300",dFlt1,critFlt1,dFlt2,critFlt2,dFlt3,critFlt3))</f>
        <v/>
      </c>
      <c r="D2576" t="str">
        <f>IF($B2576="","",SUMIFS(dAmt,dCust,$B2576,dPer,"&gt;="&amp;cyFrom,dPer,"&lt;="&amp;cyTo,dAmt,"&gt;-1E+300",dFlt1,critFlt1,dFlt2,critFlt2,dFlt3,critFlt3))</f>
        <v/>
      </c>
      <c r="E2576" t="str">
        <f>IF($B2576="","",SUMIFS(dQty,dCust,$B2576,dPer,"&gt;="&amp;pyFrom,dPer,"&lt;="&amp;pyTo,dQty,"&gt;-1E+300",dFlt1,critFlt1,dFlt2,critFlt2,dFlt3,critFlt3))</f>
        <v/>
      </c>
      <c r="F2576" t="str">
        <f>IF($B2576="","",SUMIFS(dQty,dCust,$B2576,dPer,"&gt;="&amp;cyFrom,dPer,"&lt;="&amp;cyTo,dQty,"&gt;-1E+300",dFlt1,critFlt1,dFlt2,critFlt2,dFlt3,critFlt3))</f>
        <v/>
      </c>
      <c r="G2576">
        <f>IF($B2576="",0,IFERROR(IF(OR(C2576&lt;&gt;0,D2576&lt;&gt;0,E2576&lt;&gt;0,F2576&lt;&gt;0),1,0),1))</f>
        <v>0</v>
      </c>
      <c r="H2576" t="str">
        <f>IF(OR(G2576=0,E2576=0),"",C2576/E2576)</f>
        <v/>
      </c>
      <c r="I2576" t="str">
        <f>IF(OR(G2576=0,F2576=0),"",D2576/F2576)</f>
        <v/>
      </c>
      <c r="J2576" t="str">
        <f>IF(OR(H2576="",I2576=""),"",IF(H2576=0,"",I2576/H2576-1))</f>
        <v/>
      </c>
      <c r="K2576" t="str">
        <f>IF($B2576="","",IFERROR(IF(G2576=0,-2E+300,CHOOSE(sortIdx,ROUND(D2576,0),IF(J2576="",-1E+300,ROUND(-J2576,6)),IF(J2576="",-1E+300,ROUND(J2576,6)))),-1.5E+300))</f>
        <v/>
      </c>
      <c r="L2576" t="str">
        <f>IF(K2576="","",RANK(K2576,$K$2:$K$3001,0)+COUNTIF($K$2:K2576,K2576)-1)</f>
        <v/>
      </c>
    </row>
    <row r="2577">
      <c r="B2577" t="str">
        <f>IFERROR(IF(A2577="","","="&amp;SUBSTITUTE(SUBSTITUTE(SUBSTITUTE(A2577,"~","~~"),"*","~*"),"?","~?")),"")</f>
        <v/>
      </c>
      <c r="C2577" t="str">
        <f>IF($B2577="","",SUMIFS(dAmt,dCust,$B2577,dPer,"&gt;="&amp;pyFrom,dPer,"&lt;="&amp;pyTo,dAmt,"&gt;-1E+300",dFlt1,critFlt1,dFlt2,critFlt2,dFlt3,critFlt3))</f>
        <v/>
      </c>
      <c r="D2577" t="str">
        <f>IF($B2577="","",SUMIFS(dAmt,dCust,$B2577,dPer,"&gt;="&amp;cyFrom,dPer,"&lt;="&amp;cyTo,dAmt,"&gt;-1E+300",dFlt1,critFlt1,dFlt2,critFlt2,dFlt3,critFlt3))</f>
        <v/>
      </c>
      <c r="E2577" t="str">
        <f>IF($B2577="","",SUMIFS(dQty,dCust,$B2577,dPer,"&gt;="&amp;pyFrom,dPer,"&lt;="&amp;pyTo,dQty,"&gt;-1E+300",dFlt1,critFlt1,dFlt2,critFlt2,dFlt3,critFlt3))</f>
        <v/>
      </c>
      <c r="F2577" t="str">
        <f>IF($B2577="","",SUMIFS(dQty,dCust,$B2577,dPer,"&gt;="&amp;cyFrom,dPer,"&lt;="&amp;cyTo,dQty,"&gt;-1E+300",dFlt1,critFlt1,dFlt2,critFlt2,dFlt3,critFlt3))</f>
        <v/>
      </c>
      <c r="G2577">
        <f>IF($B2577="",0,IFERROR(IF(OR(C2577&lt;&gt;0,D2577&lt;&gt;0,E2577&lt;&gt;0,F2577&lt;&gt;0),1,0),1))</f>
        <v>0</v>
      </c>
      <c r="H2577" t="str">
        <f>IF(OR(G2577=0,E2577=0),"",C2577/E2577)</f>
        <v/>
      </c>
      <c r="I2577" t="str">
        <f>IF(OR(G2577=0,F2577=0),"",D2577/F2577)</f>
        <v/>
      </c>
      <c r="J2577" t="str">
        <f>IF(OR(H2577="",I2577=""),"",IF(H2577=0,"",I2577/H2577-1))</f>
        <v/>
      </c>
      <c r="K2577" t="str">
        <f>IF($B2577="","",IFERROR(IF(G2577=0,-2E+300,CHOOSE(sortIdx,ROUND(D2577,0),IF(J2577="",-1E+300,ROUND(-J2577,6)),IF(J2577="",-1E+300,ROUND(J2577,6)))),-1.5E+300))</f>
        <v/>
      </c>
      <c r="L2577" t="str">
        <f>IF(K2577="","",RANK(K2577,$K$2:$K$3001,0)+COUNTIF($K$2:K2577,K2577)-1)</f>
        <v/>
      </c>
    </row>
    <row r="2578">
      <c r="B2578" t="str">
        <f>IFERROR(IF(A2578="","","="&amp;SUBSTITUTE(SUBSTITUTE(SUBSTITUTE(A2578,"~","~~"),"*","~*"),"?","~?")),"")</f>
        <v/>
      </c>
      <c r="C2578" t="str">
        <f>IF($B2578="","",SUMIFS(dAmt,dCust,$B2578,dPer,"&gt;="&amp;pyFrom,dPer,"&lt;="&amp;pyTo,dAmt,"&gt;-1E+300",dFlt1,critFlt1,dFlt2,critFlt2,dFlt3,critFlt3))</f>
        <v/>
      </c>
      <c r="D2578" t="str">
        <f>IF($B2578="","",SUMIFS(dAmt,dCust,$B2578,dPer,"&gt;="&amp;cyFrom,dPer,"&lt;="&amp;cyTo,dAmt,"&gt;-1E+300",dFlt1,critFlt1,dFlt2,critFlt2,dFlt3,critFlt3))</f>
        <v/>
      </c>
      <c r="E2578" t="str">
        <f>IF($B2578="","",SUMIFS(dQty,dCust,$B2578,dPer,"&gt;="&amp;pyFrom,dPer,"&lt;="&amp;pyTo,dQty,"&gt;-1E+300",dFlt1,critFlt1,dFlt2,critFlt2,dFlt3,critFlt3))</f>
        <v/>
      </c>
      <c r="F2578" t="str">
        <f>IF($B2578="","",SUMIFS(dQty,dCust,$B2578,dPer,"&gt;="&amp;cyFrom,dPer,"&lt;="&amp;cyTo,dQty,"&gt;-1E+300",dFlt1,critFlt1,dFlt2,critFlt2,dFlt3,critFlt3))</f>
        <v/>
      </c>
      <c r="G2578">
        <f>IF($B2578="",0,IFERROR(IF(OR(C2578&lt;&gt;0,D2578&lt;&gt;0,E2578&lt;&gt;0,F2578&lt;&gt;0),1,0),1))</f>
        <v>0</v>
      </c>
      <c r="H2578" t="str">
        <f>IF(OR(G2578=0,E2578=0),"",C2578/E2578)</f>
        <v/>
      </c>
      <c r="I2578" t="str">
        <f>IF(OR(G2578=0,F2578=0),"",D2578/F2578)</f>
        <v/>
      </c>
      <c r="J2578" t="str">
        <f>IF(OR(H2578="",I2578=""),"",IF(H2578=0,"",I2578/H2578-1))</f>
        <v/>
      </c>
      <c r="K2578" t="str">
        <f>IF($B2578="","",IFERROR(IF(G2578=0,-2E+300,CHOOSE(sortIdx,ROUND(D2578,0),IF(J2578="",-1E+300,ROUND(-J2578,6)),IF(J2578="",-1E+300,ROUND(J2578,6)))),-1.5E+300))</f>
        <v/>
      </c>
      <c r="L2578" t="str">
        <f>IF(K2578="","",RANK(K2578,$K$2:$K$3001,0)+COUNTIF($K$2:K2578,K2578)-1)</f>
        <v/>
      </c>
    </row>
    <row r="2579">
      <c r="B2579" t="str">
        <f>IFERROR(IF(A2579="","","="&amp;SUBSTITUTE(SUBSTITUTE(SUBSTITUTE(A2579,"~","~~"),"*","~*"),"?","~?")),"")</f>
        <v/>
      </c>
      <c r="C2579" t="str">
        <f>IF($B2579="","",SUMIFS(dAmt,dCust,$B2579,dPer,"&gt;="&amp;pyFrom,dPer,"&lt;="&amp;pyTo,dAmt,"&gt;-1E+300",dFlt1,critFlt1,dFlt2,critFlt2,dFlt3,critFlt3))</f>
        <v/>
      </c>
      <c r="D2579" t="str">
        <f>IF($B2579="","",SUMIFS(dAmt,dCust,$B2579,dPer,"&gt;="&amp;cyFrom,dPer,"&lt;="&amp;cyTo,dAmt,"&gt;-1E+300",dFlt1,critFlt1,dFlt2,critFlt2,dFlt3,critFlt3))</f>
        <v/>
      </c>
      <c r="E2579" t="str">
        <f>IF($B2579="","",SUMIFS(dQty,dCust,$B2579,dPer,"&gt;="&amp;pyFrom,dPer,"&lt;="&amp;pyTo,dQty,"&gt;-1E+300",dFlt1,critFlt1,dFlt2,critFlt2,dFlt3,critFlt3))</f>
        <v/>
      </c>
      <c r="F2579" t="str">
        <f>IF($B2579="","",SUMIFS(dQty,dCust,$B2579,dPer,"&gt;="&amp;cyFrom,dPer,"&lt;="&amp;cyTo,dQty,"&gt;-1E+300",dFlt1,critFlt1,dFlt2,critFlt2,dFlt3,critFlt3))</f>
        <v/>
      </c>
      <c r="G2579">
        <f>IF($B2579="",0,IFERROR(IF(OR(C2579&lt;&gt;0,D2579&lt;&gt;0,E2579&lt;&gt;0,F2579&lt;&gt;0),1,0),1))</f>
        <v>0</v>
      </c>
      <c r="H2579" t="str">
        <f>IF(OR(G2579=0,E2579=0),"",C2579/E2579)</f>
        <v/>
      </c>
      <c r="I2579" t="str">
        <f>IF(OR(G2579=0,F2579=0),"",D2579/F2579)</f>
        <v/>
      </c>
      <c r="J2579" t="str">
        <f>IF(OR(H2579="",I2579=""),"",IF(H2579=0,"",I2579/H2579-1))</f>
        <v/>
      </c>
      <c r="K2579" t="str">
        <f>IF($B2579="","",IFERROR(IF(G2579=0,-2E+300,CHOOSE(sortIdx,ROUND(D2579,0),IF(J2579="",-1E+300,ROUND(-J2579,6)),IF(J2579="",-1E+300,ROUND(J2579,6)))),-1.5E+300))</f>
        <v/>
      </c>
      <c r="L2579" t="str">
        <f>IF(K2579="","",RANK(K2579,$K$2:$K$3001,0)+COUNTIF($K$2:K2579,K2579)-1)</f>
        <v/>
      </c>
    </row>
    <row r="2580">
      <c r="B2580" t="str">
        <f>IFERROR(IF(A2580="","","="&amp;SUBSTITUTE(SUBSTITUTE(SUBSTITUTE(A2580,"~","~~"),"*","~*"),"?","~?")),"")</f>
        <v/>
      </c>
      <c r="C2580" t="str">
        <f>IF($B2580="","",SUMIFS(dAmt,dCust,$B2580,dPer,"&gt;="&amp;pyFrom,dPer,"&lt;="&amp;pyTo,dAmt,"&gt;-1E+300",dFlt1,critFlt1,dFlt2,critFlt2,dFlt3,critFlt3))</f>
        <v/>
      </c>
      <c r="D2580" t="str">
        <f>IF($B2580="","",SUMIFS(dAmt,dCust,$B2580,dPer,"&gt;="&amp;cyFrom,dPer,"&lt;="&amp;cyTo,dAmt,"&gt;-1E+300",dFlt1,critFlt1,dFlt2,critFlt2,dFlt3,critFlt3))</f>
        <v/>
      </c>
      <c r="E2580" t="str">
        <f>IF($B2580="","",SUMIFS(dQty,dCust,$B2580,dPer,"&gt;="&amp;pyFrom,dPer,"&lt;="&amp;pyTo,dQty,"&gt;-1E+300",dFlt1,critFlt1,dFlt2,critFlt2,dFlt3,critFlt3))</f>
        <v/>
      </c>
      <c r="F2580" t="str">
        <f>IF($B2580="","",SUMIFS(dQty,dCust,$B2580,dPer,"&gt;="&amp;cyFrom,dPer,"&lt;="&amp;cyTo,dQty,"&gt;-1E+300",dFlt1,critFlt1,dFlt2,critFlt2,dFlt3,critFlt3))</f>
        <v/>
      </c>
      <c r="G2580">
        <f>IF($B2580="",0,IFERROR(IF(OR(C2580&lt;&gt;0,D2580&lt;&gt;0,E2580&lt;&gt;0,F2580&lt;&gt;0),1,0),1))</f>
        <v>0</v>
      </c>
      <c r="H2580" t="str">
        <f>IF(OR(G2580=0,E2580=0),"",C2580/E2580)</f>
        <v/>
      </c>
      <c r="I2580" t="str">
        <f>IF(OR(G2580=0,F2580=0),"",D2580/F2580)</f>
        <v/>
      </c>
      <c r="J2580" t="str">
        <f>IF(OR(H2580="",I2580=""),"",IF(H2580=0,"",I2580/H2580-1))</f>
        <v/>
      </c>
      <c r="K2580" t="str">
        <f>IF($B2580="","",IFERROR(IF(G2580=0,-2E+300,CHOOSE(sortIdx,ROUND(D2580,0),IF(J2580="",-1E+300,ROUND(-J2580,6)),IF(J2580="",-1E+300,ROUND(J2580,6)))),-1.5E+300))</f>
        <v/>
      </c>
      <c r="L2580" t="str">
        <f>IF(K2580="","",RANK(K2580,$K$2:$K$3001,0)+COUNTIF($K$2:K2580,K2580)-1)</f>
        <v/>
      </c>
    </row>
    <row r="2581">
      <c r="B2581" t="str">
        <f>IFERROR(IF(A2581="","","="&amp;SUBSTITUTE(SUBSTITUTE(SUBSTITUTE(A2581,"~","~~"),"*","~*"),"?","~?")),"")</f>
        <v/>
      </c>
      <c r="C2581" t="str">
        <f>IF($B2581="","",SUMIFS(dAmt,dCust,$B2581,dPer,"&gt;="&amp;pyFrom,dPer,"&lt;="&amp;pyTo,dAmt,"&gt;-1E+300",dFlt1,critFlt1,dFlt2,critFlt2,dFlt3,critFlt3))</f>
        <v/>
      </c>
      <c r="D2581" t="str">
        <f>IF($B2581="","",SUMIFS(dAmt,dCust,$B2581,dPer,"&gt;="&amp;cyFrom,dPer,"&lt;="&amp;cyTo,dAmt,"&gt;-1E+300",dFlt1,critFlt1,dFlt2,critFlt2,dFlt3,critFlt3))</f>
        <v/>
      </c>
      <c r="E2581" t="str">
        <f>IF($B2581="","",SUMIFS(dQty,dCust,$B2581,dPer,"&gt;="&amp;pyFrom,dPer,"&lt;="&amp;pyTo,dQty,"&gt;-1E+300",dFlt1,critFlt1,dFlt2,critFlt2,dFlt3,critFlt3))</f>
        <v/>
      </c>
      <c r="F2581" t="str">
        <f>IF($B2581="","",SUMIFS(dQty,dCust,$B2581,dPer,"&gt;="&amp;cyFrom,dPer,"&lt;="&amp;cyTo,dQty,"&gt;-1E+300",dFlt1,critFlt1,dFlt2,critFlt2,dFlt3,critFlt3))</f>
        <v/>
      </c>
      <c r="G2581">
        <f>IF($B2581="",0,IFERROR(IF(OR(C2581&lt;&gt;0,D2581&lt;&gt;0,E2581&lt;&gt;0,F2581&lt;&gt;0),1,0),1))</f>
        <v>0</v>
      </c>
      <c r="H2581" t="str">
        <f>IF(OR(G2581=0,E2581=0),"",C2581/E2581)</f>
        <v/>
      </c>
      <c r="I2581" t="str">
        <f>IF(OR(G2581=0,F2581=0),"",D2581/F2581)</f>
        <v/>
      </c>
      <c r="J2581" t="str">
        <f>IF(OR(H2581="",I2581=""),"",IF(H2581=0,"",I2581/H2581-1))</f>
        <v/>
      </c>
      <c r="K2581" t="str">
        <f>IF($B2581="","",IFERROR(IF(G2581=0,-2E+300,CHOOSE(sortIdx,ROUND(D2581,0),IF(J2581="",-1E+300,ROUND(-J2581,6)),IF(J2581="",-1E+300,ROUND(J2581,6)))),-1.5E+300))</f>
        <v/>
      </c>
      <c r="L2581" t="str">
        <f>IF(K2581="","",RANK(K2581,$K$2:$K$3001,0)+COUNTIF($K$2:K2581,K2581)-1)</f>
        <v/>
      </c>
    </row>
    <row r="2582">
      <c r="B2582" t="str">
        <f>IFERROR(IF(A2582="","","="&amp;SUBSTITUTE(SUBSTITUTE(SUBSTITUTE(A2582,"~","~~"),"*","~*"),"?","~?")),"")</f>
        <v/>
      </c>
      <c r="C2582" t="str">
        <f>IF($B2582="","",SUMIFS(dAmt,dCust,$B2582,dPer,"&gt;="&amp;pyFrom,dPer,"&lt;="&amp;pyTo,dAmt,"&gt;-1E+300",dFlt1,critFlt1,dFlt2,critFlt2,dFlt3,critFlt3))</f>
        <v/>
      </c>
      <c r="D2582" t="str">
        <f>IF($B2582="","",SUMIFS(dAmt,dCust,$B2582,dPer,"&gt;="&amp;cyFrom,dPer,"&lt;="&amp;cyTo,dAmt,"&gt;-1E+300",dFlt1,critFlt1,dFlt2,critFlt2,dFlt3,critFlt3))</f>
        <v/>
      </c>
      <c r="E2582" t="str">
        <f>IF($B2582="","",SUMIFS(dQty,dCust,$B2582,dPer,"&gt;="&amp;pyFrom,dPer,"&lt;="&amp;pyTo,dQty,"&gt;-1E+300",dFlt1,critFlt1,dFlt2,critFlt2,dFlt3,critFlt3))</f>
        <v/>
      </c>
      <c r="F2582" t="str">
        <f>IF($B2582="","",SUMIFS(dQty,dCust,$B2582,dPer,"&gt;="&amp;cyFrom,dPer,"&lt;="&amp;cyTo,dQty,"&gt;-1E+300",dFlt1,critFlt1,dFlt2,critFlt2,dFlt3,critFlt3))</f>
        <v/>
      </c>
      <c r="G2582">
        <f>IF($B2582="",0,IFERROR(IF(OR(C2582&lt;&gt;0,D2582&lt;&gt;0,E2582&lt;&gt;0,F2582&lt;&gt;0),1,0),1))</f>
        <v>0</v>
      </c>
      <c r="H2582" t="str">
        <f>IF(OR(G2582=0,E2582=0),"",C2582/E2582)</f>
        <v/>
      </c>
      <c r="I2582" t="str">
        <f>IF(OR(G2582=0,F2582=0),"",D2582/F2582)</f>
        <v/>
      </c>
      <c r="J2582" t="str">
        <f>IF(OR(H2582="",I2582=""),"",IF(H2582=0,"",I2582/H2582-1))</f>
        <v/>
      </c>
      <c r="K2582" t="str">
        <f>IF($B2582="","",IFERROR(IF(G2582=0,-2E+300,CHOOSE(sortIdx,ROUND(D2582,0),IF(J2582="",-1E+300,ROUND(-J2582,6)),IF(J2582="",-1E+300,ROUND(J2582,6)))),-1.5E+300))</f>
        <v/>
      </c>
      <c r="L2582" t="str">
        <f>IF(K2582="","",RANK(K2582,$K$2:$K$3001,0)+COUNTIF($K$2:K2582,K2582)-1)</f>
        <v/>
      </c>
    </row>
    <row r="2583">
      <c r="B2583" t="str">
        <f>IFERROR(IF(A2583="","","="&amp;SUBSTITUTE(SUBSTITUTE(SUBSTITUTE(A2583,"~","~~"),"*","~*"),"?","~?")),"")</f>
        <v/>
      </c>
      <c r="C2583" t="str">
        <f>IF($B2583="","",SUMIFS(dAmt,dCust,$B2583,dPer,"&gt;="&amp;pyFrom,dPer,"&lt;="&amp;pyTo,dAmt,"&gt;-1E+300",dFlt1,critFlt1,dFlt2,critFlt2,dFlt3,critFlt3))</f>
        <v/>
      </c>
      <c r="D2583" t="str">
        <f>IF($B2583="","",SUMIFS(dAmt,dCust,$B2583,dPer,"&gt;="&amp;cyFrom,dPer,"&lt;="&amp;cyTo,dAmt,"&gt;-1E+300",dFlt1,critFlt1,dFlt2,critFlt2,dFlt3,critFlt3))</f>
        <v/>
      </c>
      <c r="E2583" t="str">
        <f>IF($B2583="","",SUMIFS(dQty,dCust,$B2583,dPer,"&gt;="&amp;pyFrom,dPer,"&lt;="&amp;pyTo,dQty,"&gt;-1E+300",dFlt1,critFlt1,dFlt2,critFlt2,dFlt3,critFlt3))</f>
        <v/>
      </c>
      <c r="F2583" t="str">
        <f>IF($B2583="","",SUMIFS(dQty,dCust,$B2583,dPer,"&gt;="&amp;cyFrom,dPer,"&lt;="&amp;cyTo,dQty,"&gt;-1E+300",dFlt1,critFlt1,dFlt2,critFlt2,dFlt3,critFlt3))</f>
        <v/>
      </c>
      <c r="G2583">
        <f>IF($B2583="",0,IFERROR(IF(OR(C2583&lt;&gt;0,D2583&lt;&gt;0,E2583&lt;&gt;0,F2583&lt;&gt;0),1,0),1))</f>
        <v>0</v>
      </c>
      <c r="H2583" t="str">
        <f>IF(OR(G2583=0,E2583=0),"",C2583/E2583)</f>
        <v/>
      </c>
      <c r="I2583" t="str">
        <f>IF(OR(G2583=0,F2583=0),"",D2583/F2583)</f>
        <v/>
      </c>
      <c r="J2583" t="str">
        <f>IF(OR(H2583="",I2583=""),"",IF(H2583=0,"",I2583/H2583-1))</f>
        <v/>
      </c>
      <c r="K2583" t="str">
        <f>IF($B2583="","",IFERROR(IF(G2583=0,-2E+300,CHOOSE(sortIdx,ROUND(D2583,0),IF(J2583="",-1E+300,ROUND(-J2583,6)),IF(J2583="",-1E+300,ROUND(J2583,6)))),-1.5E+300))</f>
        <v/>
      </c>
      <c r="L2583" t="str">
        <f>IF(K2583="","",RANK(K2583,$K$2:$K$3001,0)+COUNTIF($K$2:K2583,K2583)-1)</f>
        <v/>
      </c>
    </row>
    <row r="2584">
      <c r="B2584" t="str">
        <f>IFERROR(IF(A2584="","","="&amp;SUBSTITUTE(SUBSTITUTE(SUBSTITUTE(A2584,"~","~~"),"*","~*"),"?","~?")),"")</f>
        <v/>
      </c>
      <c r="C2584" t="str">
        <f>IF($B2584="","",SUMIFS(dAmt,dCust,$B2584,dPer,"&gt;="&amp;pyFrom,dPer,"&lt;="&amp;pyTo,dAmt,"&gt;-1E+300",dFlt1,critFlt1,dFlt2,critFlt2,dFlt3,critFlt3))</f>
        <v/>
      </c>
      <c r="D2584" t="str">
        <f>IF($B2584="","",SUMIFS(dAmt,dCust,$B2584,dPer,"&gt;="&amp;cyFrom,dPer,"&lt;="&amp;cyTo,dAmt,"&gt;-1E+300",dFlt1,critFlt1,dFlt2,critFlt2,dFlt3,critFlt3))</f>
        <v/>
      </c>
      <c r="E2584" t="str">
        <f>IF($B2584="","",SUMIFS(dQty,dCust,$B2584,dPer,"&gt;="&amp;pyFrom,dPer,"&lt;="&amp;pyTo,dQty,"&gt;-1E+300",dFlt1,critFlt1,dFlt2,critFlt2,dFlt3,critFlt3))</f>
        <v/>
      </c>
      <c r="F2584" t="str">
        <f>IF($B2584="","",SUMIFS(dQty,dCust,$B2584,dPer,"&gt;="&amp;cyFrom,dPer,"&lt;="&amp;cyTo,dQty,"&gt;-1E+300",dFlt1,critFlt1,dFlt2,critFlt2,dFlt3,critFlt3))</f>
        <v/>
      </c>
      <c r="G2584">
        <f>IF($B2584="",0,IFERROR(IF(OR(C2584&lt;&gt;0,D2584&lt;&gt;0,E2584&lt;&gt;0,F2584&lt;&gt;0),1,0),1))</f>
        <v>0</v>
      </c>
      <c r="H2584" t="str">
        <f>IF(OR(G2584=0,E2584=0),"",C2584/E2584)</f>
        <v/>
      </c>
      <c r="I2584" t="str">
        <f>IF(OR(G2584=0,F2584=0),"",D2584/F2584)</f>
        <v/>
      </c>
      <c r="J2584" t="str">
        <f>IF(OR(H2584="",I2584=""),"",IF(H2584=0,"",I2584/H2584-1))</f>
        <v/>
      </c>
      <c r="K2584" t="str">
        <f>IF($B2584="","",IFERROR(IF(G2584=0,-2E+300,CHOOSE(sortIdx,ROUND(D2584,0),IF(J2584="",-1E+300,ROUND(-J2584,6)),IF(J2584="",-1E+300,ROUND(J2584,6)))),-1.5E+300))</f>
        <v/>
      </c>
      <c r="L2584" t="str">
        <f>IF(K2584="","",RANK(K2584,$K$2:$K$3001,0)+COUNTIF($K$2:K2584,K2584)-1)</f>
        <v/>
      </c>
    </row>
    <row r="2585">
      <c r="B2585" t="str">
        <f>IFERROR(IF(A2585="","","="&amp;SUBSTITUTE(SUBSTITUTE(SUBSTITUTE(A2585,"~","~~"),"*","~*"),"?","~?")),"")</f>
        <v/>
      </c>
      <c r="C2585" t="str">
        <f>IF($B2585="","",SUMIFS(dAmt,dCust,$B2585,dPer,"&gt;="&amp;pyFrom,dPer,"&lt;="&amp;pyTo,dAmt,"&gt;-1E+300",dFlt1,critFlt1,dFlt2,critFlt2,dFlt3,critFlt3))</f>
        <v/>
      </c>
      <c r="D2585" t="str">
        <f>IF($B2585="","",SUMIFS(dAmt,dCust,$B2585,dPer,"&gt;="&amp;cyFrom,dPer,"&lt;="&amp;cyTo,dAmt,"&gt;-1E+300",dFlt1,critFlt1,dFlt2,critFlt2,dFlt3,critFlt3))</f>
        <v/>
      </c>
      <c r="E2585" t="str">
        <f>IF($B2585="","",SUMIFS(dQty,dCust,$B2585,dPer,"&gt;="&amp;pyFrom,dPer,"&lt;="&amp;pyTo,dQty,"&gt;-1E+300",dFlt1,critFlt1,dFlt2,critFlt2,dFlt3,critFlt3))</f>
        <v/>
      </c>
      <c r="F2585" t="str">
        <f>IF($B2585="","",SUMIFS(dQty,dCust,$B2585,dPer,"&gt;="&amp;cyFrom,dPer,"&lt;="&amp;cyTo,dQty,"&gt;-1E+300",dFlt1,critFlt1,dFlt2,critFlt2,dFlt3,critFlt3))</f>
        <v/>
      </c>
      <c r="G2585">
        <f>IF($B2585="",0,IFERROR(IF(OR(C2585&lt;&gt;0,D2585&lt;&gt;0,E2585&lt;&gt;0,F2585&lt;&gt;0),1,0),1))</f>
        <v>0</v>
      </c>
      <c r="H2585" t="str">
        <f>IF(OR(G2585=0,E2585=0),"",C2585/E2585)</f>
        <v/>
      </c>
      <c r="I2585" t="str">
        <f>IF(OR(G2585=0,F2585=0),"",D2585/F2585)</f>
        <v/>
      </c>
      <c r="J2585" t="str">
        <f>IF(OR(H2585="",I2585=""),"",IF(H2585=0,"",I2585/H2585-1))</f>
        <v/>
      </c>
      <c r="K2585" t="str">
        <f>IF($B2585="","",IFERROR(IF(G2585=0,-2E+300,CHOOSE(sortIdx,ROUND(D2585,0),IF(J2585="",-1E+300,ROUND(-J2585,6)),IF(J2585="",-1E+300,ROUND(J2585,6)))),-1.5E+300))</f>
        <v/>
      </c>
      <c r="L2585" t="str">
        <f>IF(K2585="","",RANK(K2585,$K$2:$K$3001,0)+COUNTIF($K$2:K2585,K2585)-1)</f>
        <v/>
      </c>
    </row>
    <row r="2586">
      <c r="B2586" t="str">
        <f>IFERROR(IF(A2586="","","="&amp;SUBSTITUTE(SUBSTITUTE(SUBSTITUTE(A2586,"~","~~"),"*","~*"),"?","~?")),"")</f>
        <v/>
      </c>
      <c r="C2586" t="str">
        <f>IF($B2586="","",SUMIFS(dAmt,dCust,$B2586,dPer,"&gt;="&amp;pyFrom,dPer,"&lt;="&amp;pyTo,dAmt,"&gt;-1E+300",dFlt1,critFlt1,dFlt2,critFlt2,dFlt3,critFlt3))</f>
        <v/>
      </c>
      <c r="D2586" t="str">
        <f>IF($B2586="","",SUMIFS(dAmt,dCust,$B2586,dPer,"&gt;="&amp;cyFrom,dPer,"&lt;="&amp;cyTo,dAmt,"&gt;-1E+300",dFlt1,critFlt1,dFlt2,critFlt2,dFlt3,critFlt3))</f>
        <v/>
      </c>
      <c r="E2586" t="str">
        <f>IF($B2586="","",SUMIFS(dQty,dCust,$B2586,dPer,"&gt;="&amp;pyFrom,dPer,"&lt;="&amp;pyTo,dQty,"&gt;-1E+300",dFlt1,critFlt1,dFlt2,critFlt2,dFlt3,critFlt3))</f>
        <v/>
      </c>
      <c r="F2586" t="str">
        <f>IF($B2586="","",SUMIFS(dQty,dCust,$B2586,dPer,"&gt;="&amp;cyFrom,dPer,"&lt;="&amp;cyTo,dQty,"&gt;-1E+300",dFlt1,critFlt1,dFlt2,critFlt2,dFlt3,critFlt3))</f>
        <v/>
      </c>
      <c r="G2586">
        <f>IF($B2586="",0,IFERROR(IF(OR(C2586&lt;&gt;0,D2586&lt;&gt;0,E2586&lt;&gt;0,F2586&lt;&gt;0),1,0),1))</f>
        <v>0</v>
      </c>
      <c r="H2586" t="str">
        <f>IF(OR(G2586=0,E2586=0),"",C2586/E2586)</f>
        <v/>
      </c>
      <c r="I2586" t="str">
        <f>IF(OR(G2586=0,F2586=0),"",D2586/F2586)</f>
        <v/>
      </c>
      <c r="J2586" t="str">
        <f>IF(OR(H2586="",I2586=""),"",IF(H2586=0,"",I2586/H2586-1))</f>
        <v/>
      </c>
      <c r="K2586" t="str">
        <f>IF($B2586="","",IFERROR(IF(G2586=0,-2E+300,CHOOSE(sortIdx,ROUND(D2586,0),IF(J2586="",-1E+300,ROUND(-J2586,6)),IF(J2586="",-1E+300,ROUND(J2586,6)))),-1.5E+300))</f>
        <v/>
      </c>
      <c r="L2586" t="str">
        <f>IF(K2586="","",RANK(K2586,$K$2:$K$3001,0)+COUNTIF($K$2:K2586,K2586)-1)</f>
        <v/>
      </c>
    </row>
    <row r="2587">
      <c r="B2587" t="str">
        <f>IFERROR(IF(A2587="","","="&amp;SUBSTITUTE(SUBSTITUTE(SUBSTITUTE(A2587,"~","~~"),"*","~*"),"?","~?")),"")</f>
        <v/>
      </c>
      <c r="C2587" t="str">
        <f>IF($B2587="","",SUMIFS(dAmt,dCust,$B2587,dPer,"&gt;="&amp;pyFrom,dPer,"&lt;="&amp;pyTo,dAmt,"&gt;-1E+300",dFlt1,critFlt1,dFlt2,critFlt2,dFlt3,critFlt3))</f>
        <v/>
      </c>
      <c r="D2587" t="str">
        <f>IF($B2587="","",SUMIFS(dAmt,dCust,$B2587,dPer,"&gt;="&amp;cyFrom,dPer,"&lt;="&amp;cyTo,dAmt,"&gt;-1E+300",dFlt1,critFlt1,dFlt2,critFlt2,dFlt3,critFlt3))</f>
        <v/>
      </c>
      <c r="E2587" t="str">
        <f>IF($B2587="","",SUMIFS(dQty,dCust,$B2587,dPer,"&gt;="&amp;pyFrom,dPer,"&lt;="&amp;pyTo,dQty,"&gt;-1E+300",dFlt1,critFlt1,dFlt2,critFlt2,dFlt3,critFlt3))</f>
        <v/>
      </c>
      <c r="F2587" t="str">
        <f>IF($B2587="","",SUMIFS(dQty,dCust,$B2587,dPer,"&gt;="&amp;cyFrom,dPer,"&lt;="&amp;cyTo,dQty,"&gt;-1E+300",dFlt1,critFlt1,dFlt2,critFlt2,dFlt3,critFlt3))</f>
        <v/>
      </c>
      <c r="G2587">
        <f>IF($B2587="",0,IFERROR(IF(OR(C2587&lt;&gt;0,D2587&lt;&gt;0,E2587&lt;&gt;0,F2587&lt;&gt;0),1,0),1))</f>
        <v>0</v>
      </c>
      <c r="H2587" t="str">
        <f>IF(OR(G2587=0,E2587=0),"",C2587/E2587)</f>
        <v/>
      </c>
      <c r="I2587" t="str">
        <f>IF(OR(G2587=0,F2587=0),"",D2587/F2587)</f>
        <v/>
      </c>
      <c r="J2587" t="str">
        <f>IF(OR(H2587="",I2587=""),"",IF(H2587=0,"",I2587/H2587-1))</f>
        <v/>
      </c>
      <c r="K2587" t="str">
        <f>IF($B2587="","",IFERROR(IF(G2587=0,-2E+300,CHOOSE(sortIdx,ROUND(D2587,0),IF(J2587="",-1E+300,ROUND(-J2587,6)),IF(J2587="",-1E+300,ROUND(J2587,6)))),-1.5E+300))</f>
        <v/>
      </c>
      <c r="L2587" t="str">
        <f>IF(K2587="","",RANK(K2587,$K$2:$K$3001,0)+COUNTIF($K$2:K2587,K2587)-1)</f>
        <v/>
      </c>
    </row>
    <row r="2588">
      <c r="B2588" t="str">
        <f>IFERROR(IF(A2588="","","="&amp;SUBSTITUTE(SUBSTITUTE(SUBSTITUTE(A2588,"~","~~"),"*","~*"),"?","~?")),"")</f>
        <v/>
      </c>
      <c r="C2588" t="str">
        <f>IF($B2588="","",SUMIFS(dAmt,dCust,$B2588,dPer,"&gt;="&amp;pyFrom,dPer,"&lt;="&amp;pyTo,dAmt,"&gt;-1E+300",dFlt1,critFlt1,dFlt2,critFlt2,dFlt3,critFlt3))</f>
        <v/>
      </c>
      <c r="D2588" t="str">
        <f>IF($B2588="","",SUMIFS(dAmt,dCust,$B2588,dPer,"&gt;="&amp;cyFrom,dPer,"&lt;="&amp;cyTo,dAmt,"&gt;-1E+300",dFlt1,critFlt1,dFlt2,critFlt2,dFlt3,critFlt3))</f>
        <v/>
      </c>
      <c r="E2588" t="str">
        <f>IF($B2588="","",SUMIFS(dQty,dCust,$B2588,dPer,"&gt;="&amp;pyFrom,dPer,"&lt;="&amp;pyTo,dQty,"&gt;-1E+300",dFlt1,critFlt1,dFlt2,critFlt2,dFlt3,critFlt3))</f>
        <v/>
      </c>
      <c r="F2588" t="str">
        <f>IF($B2588="","",SUMIFS(dQty,dCust,$B2588,dPer,"&gt;="&amp;cyFrom,dPer,"&lt;="&amp;cyTo,dQty,"&gt;-1E+300",dFlt1,critFlt1,dFlt2,critFlt2,dFlt3,critFlt3))</f>
        <v/>
      </c>
      <c r="G2588">
        <f>IF($B2588="",0,IFERROR(IF(OR(C2588&lt;&gt;0,D2588&lt;&gt;0,E2588&lt;&gt;0,F2588&lt;&gt;0),1,0),1))</f>
        <v>0</v>
      </c>
      <c r="H2588" t="str">
        <f>IF(OR(G2588=0,E2588=0),"",C2588/E2588)</f>
        <v/>
      </c>
      <c r="I2588" t="str">
        <f>IF(OR(G2588=0,F2588=0),"",D2588/F2588)</f>
        <v/>
      </c>
      <c r="J2588" t="str">
        <f>IF(OR(H2588="",I2588=""),"",IF(H2588=0,"",I2588/H2588-1))</f>
        <v/>
      </c>
      <c r="K2588" t="str">
        <f>IF($B2588="","",IFERROR(IF(G2588=0,-2E+300,CHOOSE(sortIdx,ROUND(D2588,0),IF(J2588="",-1E+300,ROUND(-J2588,6)),IF(J2588="",-1E+300,ROUND(J2588,6)))),-1.5E+300))</f>
        <v/>
      </c>
      <c r="L2588" t="str">
        <f>IF(K2588="","",RANK(K2588,$K$2:$K$3001,0)+COUNTIF($K$2:K2588,K2588)-1)</f>
        <v/>
      </c>
    </row>
    <row r="2589">
      <c r="B2589" t="str">
        <f>IFERROR(IF(A2589="","","="&amp;SUBSTITUTE(SUBSTITUTE(SUBSTITUTE(A2589,"~","~~"),"*","~*"),"?","~?")),"")</f>
        <v/>
      </c>
      <c r="C2589" t="str">
        <f>IF($B2589="","",SUMIFS(dAmt,dCust,$B2589,dPer,"&gt;="&amp;pyFrom,dPer,"&lt;="&amp;pyTo,dAmt,"&gt;-1E+300",dFlt1,critFlt1,dFlt2,critFlt2,dFlt3,critFlt3))</f>
        <v/>
      </c>
      <c r="D2589" t="str">
        <f>IF($B2589="","",SUMIFS(dAmt,dCust,$B2589,dPer,"&gt;="&amp;cyFrom,dPer,"&lt;="&amp;cyTo,dAmt,"&gt;-1E+300",dFlt1,critFlt1,dFlt2,critFlt2,dFlt3,critFlt3))</f>
        <v/>
      </c>
      <c r="E2589" t="str">
        <f>IF($B2589="","",SUMIFS(dQty,dCust,$B2589,dPer,"&gt;="&amp;pyFrom,dPer,"&lt;="&amp;pyTo,dQty,"&gt;-1E+300",dFlt1,critFlt1,dFlt2,critFlt2,dFlt3,critFlt3))</f>
        <v/>
      </c>
      <c r="F2589" t="str">
        <f>IF($B2589="","",SUMIFS(dQty,dCust,$B2589,dPer,"&gt;="&amp;cyFrom,dPer,"&lt;="&amp;cyTo,dQty,"&gt;-1E+300",dFlt1,critFlt1,dFlt2,critFlt2,dFlt3,critFlt3))</f>
        <v/>
      </c>
      <c r="G2589">
        <f>IF($B2589="",0,IFERROR(IF(OR(C2589&lt;&gt;0,D2589&lt;&gt;0,E2589&lt;&gt;0,F2589&lt;&gt;0),1,0),1))</f>
        <v>0</v>
      </c>
      <c r="H2589" t="str">
        <f>IF(OR(G2589=0,E2589=0),"",C2589/E2589)</f>
        <v/>
      </c>
      <c r="I2589" t="str">
        <f>IF(OR(G2589=0,F2589=0),"",D2589/F2589)</f>
        <v/>
      </c>
      <c r="J2589" t="str">
        <f>IF(OR(H2589="",I2589=""),"",IF(H2589=0,"",I2589/H2589-1))</f>
        <v/>
      </c>
      <c r="K2589" t="str">
        <f>IF($B2589="","",IFERROR(IF(G2589=0,-2E+300,CHOOSE(sortIdx,ROUND(D2589,0),IF(J2589="",-1E+300,ROUND(-J2589,6)),IF(J2589="",-1E+300,ROUND(J2589,6)))),-1.5E+300))</f>
        <v/>
      </c>
      <c r="L2589" t="str">
        <f>IF(K2589="","",RANK(K2589,$K$2:$K$3001,0)+COUNTIF($K$2:K2589,K2589)-1)</f>
        <v/>
      </c>
    </row>
    <row r="2590">
      <c r="B2590" t="str">
        <f>IFERROR(IF(A2590="","","="&amp;SUBSTITUTE(SUBSTITUTE(SUBSTITUTE(A2590,"~","~~"),"*","~*"),"?","~?")),"")</f>
        <v/>
      </c>
      <c r="C2590" t="str">
        <f>IF($B2590="","",SUMIFS(dAmt,dCust,$B2590,dPer,"&gt;="&amp;pyFrom,dPer,"&lt;="&amp;pyTo,dAmt,"&gt;-1E+300",dFlt1,critFlt1,dFlt2,critFlt2,dFlt3,critFlt3))</f>
        <v/>
      </c>
      <c r="D2590" t="str">
        <f>IF($B2590="","",SUMIFS(dAmt,dCust,$B2590,dPer,"&gt;="&amp;cyFrom,dPer,"&lt;="&amp;cyTo,dAmt,"&gt;-1E+300",dFlt1,critFlt1,dFlt2,critFlt2,dFlt3,critFlt3))</f>
        <v/>
      </c>
      <c r="E2590" t="str">
        <f>IF($B2590="","",SUMIFS(dQty,dCust,$B2590,dPer,"&gt;="&amp;pyFrom,dPer,"&lt;="&amp;pyTo,dQty,"&gt;-1E+300",dFlt1,critFlt1,dFlt2,critFlt2,dFlt3,critFlt3))</f>
        <v/>
      </c>
      <c r="F2590" t="str">
        <f>IF($B2590="","",SUMIFS(dQty,dCust,$B2590,dPer,"&gt;="&amp;cyFrom,dPer,"&lt;="&amp;cyTo,dQty,"&gt;-1E+300",dFlt1,critFlt1,dFlt2,critFlt2,dFlt3,critFlt3))</f>
        <v/>
      </c>
      <c r="G2590">
        <f>IF($B2590="",0,IFERROR(IF(OR(C2590&lt;&gt;0,D2590&lt;&gt;0,E2590&lt;&gt;0,F2590&lt;&gt;0),1,0),1))</f>
        <v>0</v>
      </c>
      <c r="H2590" t="str">
        <f>IF(OR(G2590=0,E2590=0),"",C2590/E2590)</f>
        <v/>
      </c>
      <c r="I2590" t="str">
        <f>IF(OR(G2590=0,F2590=0),"",D2590/F2590)</f>
        <v/>
      </c>
      <c r="J2590" t="str">
        <f>IF(OR(H2590="",I2590=""),"",IF(H2590=0,"",I2590/H2590-1))</f>
        <v/>
      </c>
      <c r="K2590" t="str">
        <f>IF($B2590="","",IFERROR(IF(G2590=0,-2E+300,CHOOSE(sortIdx,ROUND(D2590,0),IF(J2590="",-1E+300,ROUND(-J2590,6)),IF(J2590="",-1E+300,ROUND(J2590,6)))),-1.5E+300))</f>
        <v/>
      </c>
      <c r="L2590" t="str">
        <f>IF(K2590="","",RANK(K2590,$K$2:$K$3001,0)+COUNTIF($K$2:K2590,K2590)-1)</f>
        <v/>
      </c>
    </row>
    <row r="2591">
      <c r="B2591" t="str">
        <f>IFERROR(IF(A2591="","","="&amp;SUBSTITUTE(SUBSTITUTE(SUBSTITUTE(A2591,"~","~~"),"*","~*"),"?","~?")),"")</f>
        <v/>
      </c>
      <c r="C2591" t="str">
        <f>IF($B2591="","",SUMIFS(dAmt,dCust,$B2591,dPer,"&gt;="&amp;pyFrom,dPer,"&lt;="&amp;pyTo,dAmt,"&gt;-1E+300",dFlt1,critFlt1,dFlt2,critFlt2,dFlt3,critFlt3))</f>
        <v/>
      </c>
      <c r="D2591" t="str">
        <f>IF($B2591="","",SUMIFS(dAmt,dCust,$B2591,dPer,"&gt;="&amp;cyFrom,dPer,"&lt;="&amp;cyTo,dAmt,"&gt;-1E+300",dFlt1,critFlt1,dFlt2,critFlt2,dFlt3,critFlt3))</f>
        <v/>
      </c>
      <c r="E2591" t="str">
        <f>IF($B2591="","",SUMIFS(dQty,dCust,$B2591,dPer,"&gt;="&amp;pyFrom,dPer,"&lt;="&amp;pyTo,dQty,"&gt;-1E+300",dFlt1,critFlt1,dFlt2,critFlt2,dFlt3,critFlt3))</f>
        <v/>
      </c>
      <c r="F2591" t="str">
        <f>IF($B2591="","",SUMIFS(dQty,dCust,$B2591,dPer,"&gt;="&amp;cyFrom,dPer,"&lt;="&amp;cyTo,dQty,"&gt;-1E+300",dFlt1,critFlt1,dFlt2,critFlt2,dFlt3,critFlt3))</f>
        <v/>
      </c>
      <c r="G2591">
        <f>IF($B2591="",0,IFERROR(IF(OR(C2591&lt;&gt;0,D2591&lt;&gt;0,E2591&lt;&gt;0,F2591&lt;&gt;0),1,0),1))</f>
        <v>0</v>
      </c>
      <c r="H2591" t="str">
        <f>IF(OR(G2591=0,E2591=0),"",C2591/E2591)</f>
        <v/>
      </c>
      <c r="I2591" t="str">
        <f>IF(OR(G2591=0,F2591=0),"",D2591/F2591)</f>
        <v/>
      </c>
      <c r="J2591" t="str">
        <f>IF(OR(H2591="",I2591=""),"",IF(H2591=0,"",I2591/H2591-1))</f>
        <v/>
      </c>
      <c r="K2591" t="str">
        <f>IF($B2591="","",IFERROR(IF(G2591=0,-2E+300,CHOOSE(sortIdx,ROUND(D2591,0),IF(J2591="",-1E+300,ROUND(-J2591,6)),IF(J2591="",-1E+300,ROUND(J2591,6)))),-1.5E+300))</f>
        <v/>
      </c>
      <c r="L2591" t="str">
        <f>IF(K2591="","",RANK(K2591,$K$2:$K$3001,0)+COUNTIF($K$2:K2591,K2591)-1)</f>
        <v/>
      </c>
    </row>
    <row r="2592">
      <c r="B2592" t="str">
        <f>IFERROR(IF(A2592="","","="&amp;SUBSTITUTE(SUBSTITUTE(SUBSTITUTE(A2592,"~","~~"),"*","~*"),"?","~?")),"")</f>
        <v/>
      </c>
      <c r="C2592" t="str">
        <f>IF($B2592="","",SUMIFS(dAmt,dCust,$B2592,dPer,"&gt;="&amp;pyFrom,dPer,"&lt;="&amp;pyTo,dAmt,"&gt;-1E+300",dFlt1,critFlt1,dFlt2,critFlt2,dFlt3,critFlt3))</f>
        <v/>
      </c>
      <c r="D2592" t="str">
        <f>IF($B2592="","",SUMIFS(dAmt,dCust,$B2592,dPer,"&gt;="&amp;cyFrom,dPer,"&lt;="&amp;cyTo,dAmt,"&gt;-1E+300",dFlt1,critFlt1,dFlt2,critFlt2,dFlt3,critFlt3))</f>
        <v/>
      </c>
      <c r="E2592" t="str">
        <f>IF($B2592="","",SUMIFS(dQty,dCust,$B2592,dPer,"&gt;="&amp;pyFrom,dPer,"&lt;="&amp;pyTo,dQty,"&gt;-1E+300",dFlt1,critFlt1,dFlt2,critFlt2,dFlt3,critFlt3))</f>
        <v/>
      </c>
      <c r="F2592" t="str">
        <f>IF($B2592="","",SUMIFS(dQty,dCust,$B2592,dPer,"&gt;="&amp;cyFrom,dPer,"&lt;="&amp;cyTo,dQty,"&gt;-1E+300",dFlt1,critFlt1,dFlt2,critFlt2,dFlt3,critFlt3))</f>
        <v/>
      </c>
      <c r="G2592">
        <f>IF($B2592="",0,IFERROR(IF(OR(C2592&lt;&gt;0,D2592&lt;&gt;0,E2592&lt;&gt;0,F2592&lt;&gt;0),1,0),1))</f>
        <v>0</v>
      </c>
      <c r="H2592" t="str">
        <f>IF(OR(G2592=0,E2592=0),"",C2592/E2592)</f>
        <v/>
      </c>
      <c r="I2592" t="str">
        <f>IF(OR(G2592=0,F2592=0),"",D2592/F2592)</f>
        <v/>
      </c>
      <c r="J2592" t="str">
        <f>IF(OR(H2592="",I2592=""),"",IF(H2592=0,"",I2592/H2592-1))</f>
        <v/>
      </c>
      <c r="K2592" t="str">
        <f>IF($B2592="","",IFERROR(IF(G2592=0,-2E+300,CHOOSE(sortIdx,ROUND(D2592,0),IF(J2592="",-1E+300,ROUND(-J2592,6)),IF(J2592="",-1E+300,ROUND(J2592,6)))),-1.5E+300))</f>
        <v/>
      </c>
      <c r="L2592" t="str">
        <f>IF(K2592="","",RANK(K2592,$K$2:$K$3001,0)+COUNTIF($K$2:K2592,K2592)-1)</f>
        <v/>
      </c>
    </row>
    <row r="2593">
      <c r="B2593" t="str">
        <f>IFERROR(IF(A2593="","","="&amp;SUBSTITUTE(SUBSTITUTE(SUBSTITUTE(A2593,"~","~~"),"*","~*"),"?","~?")),"")</f>
        <v/>
      </c>
      <c r="C2593" t="str">
        <f>IF($B2593="","",SUMIFS(dAmt,dCust,$B2593,dPer,"&gt;="&amp;pyFrom,dPer,"&lt;="&amp;pyTo,dAmt,"&gt;-1E+300",dFlt1,critFlt1,dFlt2,critFlt2,dFlt3,critFlt3))</f>
        <v/>
      </c>
      <c r="D2593" t="str">
        <f>IF($B2593="","",SUMIFS(dAmt,dCust,$B2593,dPer,"&gt;="&amp;cyFrom,dPer,"&lt;="&amp;cyTo,dAmt,"&gt;-1E+300",dFlt1,critFlt1,dFlt2,critFlt2,dFlt3,critFlt3))</f>
        <v/>
      </c>
      <c r="E2593" t="str">
        <f>IF($B2593="","",SUMIFS(dQty,dCust,$B2593,dPer,"&gt;="&amp;pyFrom,dPer,"&lt;="&amp;pyTo,dQty,"&gt;-1E+300",dFlt1,critFlt1,dFlt2,critFlt2,dFlt3,critFlt3))</f>
        <v/>
      </c>
      <c r="F2593" t="str">
        <f>IF($B2593="","",SUMIFS(dQty,dCust,$B2593,dPer,"&gt;="&amp;cyFrom,dPer,"&lt;="&amp;cyTo,dQty,"&gt;-1E+300",dFlt1,critFlt1,dFlt2,critFlt2,dFlt3,critFlt3))</f>
        <v/>
      </c>
      <c r="G2593">
        <f>IF($B2593="",0,IFERROR(IF(OR(C2593&lt;&gt;0,D2593&lt;&gt;0,E2593&lt;&gt;0,F2593&lt;&gt;0),1,0),1))</f>
        <v>0</v>
      </c>
      <c r="H2593" t="str">
        <f>IF(OR(G2593=0,E2593=0),"",C2593/E2593)</f>
        <v/>
      </c>
      <c r="I2593" t="str">
        <f>IF(OR(G2593=0,F2593=0),"",D2593/F2593)</f>
        <v/>
      </c>
      <c r="J2593" t="str">
        <f>IF(OR(H2593="",I2593=""),"",IF(H2593=0,"",I2593/H2593-1))</f>
        <v/>
      </c>
      <c r="K2593" t="str">
        <f>IF($B2593="","",IFERROR(IF(G2593=0,-2E+300,CHOOSE(sortIdx,ROUND(D2593,0),IF(J2593="",-1E+300,ROUND(-J2593,6)),IF(J2593="",-1E+300,ROUND(J2593,6)))),-1.5E+300))</f>
        <v/>
      </c>
      <c r="L2593" t="str">
        <f>IF(K2593="","",RANK(K2593,$K$2:$K$3001,0)+COUNTIF($K$2:K2593,K2593)-1)</f>
        <v/>
      </c>
    </row>
    <row r="2594">
      <c r="B2594" t="str">
        <f>IFERROR(IF(A2594="","","="&amp;SUBSTITUTE(SUBSTITUTE(SUBSTITUTE(A2594,"~","~~"),"*","~*"),"?","~?")),"")</f>
        <v/>
      </c>
      <c r="C2594" t="str">
        <f>IF($B2594="","",SUMIFS(dAmt,dCust,$B2594,dPer,"&gt;="&amp;pyFrom,dPer,"&lt;="&amp;pyTo,dAmt,"&gt;-1E+300",dFlt1,critFlt1,dFlt2,critFlt2,dFlt3,critFlt3))</f>
        <v/>
      </c>
      <c r="D2594" t="str">
        <f>IF($B2594="","",SUMIFS(dAmt,dCust,$B2594,dPer,"&gt;="&amp;cyFrom,dPer,"&lt;="&amp;cyTo,dAmt,"&gt;-1E+300",dFlt1,critFlt1,dFlt2,critFlt2,dFlt3,critFlt3))</f>
        <v/>
      </c>
      <c r="E2594" t="str">
        <f>IF($B2594="","",SUMIFS(dQty,dCust,$B2594,dPer,"&gt;="&amp;pyFrom,dPer,"&lt;="&amp;pyTo,dQty,"&gt;-1E+300",dFlt1,critFlt1,dFlt2,critFlt2,dFlt3,critFlt3))</f>
        <v/>
      </c>
      <c r="F2594" t="str">
        <f>IF($B2594="","",SUMIFS(dQty,dCust,$B2594,dPer,"&gt;="&amp;cyFrom,dPer,"&lt;="&amp;cyTo,dQty,"&gt;-1E+300",dFlt1,critFlt1,dFlt2,critFlt2,dFlt3,critFlt3))</f>
        <v/>
      </c>
      <c r="G2594">
        <f>IF($B2594="",0,IFERROR(IF(OR(C2594&lt;&gt;0,D2594&lt;&gt;0,E2594&lt;&gt;0,F2594&lt;&gt;0),1,0),1))</f>
        <v>0</v>
      </c>
      <c r="H2594" t="str">
        <f>IF(OR(G2594=0,E2594=0),"",C2594/E2594)</f>
        <v/>
      </c>
      <c r="I2594" t="str">
        <f>IF(OR(G2594=0,F2594=0),"",D2594/F2594)</f>
        <v/>
      </c>
      <c r="J2594" t="str">
        <f>IF(OR(H2594="",I2594=""),"",IF(H2594=0,"",I2594/H2594-1))</f>
        <v/>
      </c>
      <c r="K2594" t="str">
        <f>IF($B2594="","",IFERROR(IF(G2594=0,-2E+300,CHOOSE(sortIdx,ROUND(D2594,0),IF(J2594="",-1E+300,ROUND(-J2594,6)),IF(J2594="",-1E+300,ROUND(J2594,6)))),-1.5E+300))</f>
        <v/>
      </c>
      <c r="L2594" t="str">
        <f>IF(K2594="","",RANK(K2594,$K$2:$K$3001,0)+COUNTIF($K$2:K2594,K2594)-1)</f>
        <v/>
      </c>
    </row>
    <row r="2595">
      <c r="B2595" t="str">
        <f>IFERROR(IF(A2595="","","="&amp;SUBSTITUTE(SUBSTITUTE(SUBSTITUTE(A2595,"~","~~"),"*","~*"),"?","~?")),"")</f>
        <v/>
      </c>
      <c r="C2595" t="str">
        <f>IF($B2595="","",SUMIFS(dAmt,dCust,$B2595,dPer,"&gt;="&amp;pyFrom,dPer,"&lt;="&amp;pyTo,dAmt,"&gt;-1E+300",dFlt1,critFlt1,dFlt2,critFlt2,dFlt3,critFlt3))</f>
        <v/>
      </c>
      <c r="D2595" t="str">
        <f>IF($B2595="","",SUMIFS(dAmt,dCust,$B2595,dPer,"&gt;="&amp;cyFrom,dPer,"&lt;="&amp;cyTo,dAmt,"&gt;-1E+300",dFlt1,critFlt1,dFlt2,critFlt2,dFlt3,critFlt3))</f>
        <v/>
      </c>
      <c r="E2595" t="str">
        <f>IF($B2595="","",SUMIFS(dQty,dCust,$B2595,dPer,"&gt;="&amp;pyFrom,dPer,"&lt;="&amp;pyTo,dQty,"&gt;-1E+300",dFlt1,critFlt1,dFlt2,critFlt2,dFlt3,critFlt3))</f>
        <v/>
      </c>
      <c r="F2595" t="str">
        <f>IF($B2595="","",SUMIFS(dQty,dCust,$B2595,dPer,"&gt;="&amp;cyFrom,dPer,"&lt;="&amp;cyTo,dQty,"&gt;-1E+300",dFlt1,critFlt1,dFlt2,critFlt2,dFlt3,critFlt3))</f>
        <v/>
      </c>
      <c r="G2595">
        <f>IF($B2595="",0,IFERROR(IF(OR(C2595&lt;&gt;0,D2595&lt;&gt;0,E2595&lt;&gt;0,F2595&lt;&gt;0),1,0),1))</f>
        <v>0</v>
      </c>
      <c r="H2595" t="str">
        <f>IF(OR(G2595=0,E2595=0),"",C2595/E2595)</f>
        <v/>
      </c>
      <c r="I2595" t="str">
        <f>IF(OR(G2595=0,F2595=0),"",D2595/F2595)</f>
        <v/>
      </c>
      <c r="J2595" t="str">
        <f>IF(OR(H2595="",I2595=""),"",IF(H2595=0,"",I2595/H2595-1))</f>
        <v/>
      </c>
      <c r="K2595" t="str">
        <f>IF($B2595="","",IFERROR(IF(G2595=0,-2E+300,CHOOSE(sortIdx,ROUND(D2595,0),IF(J2595="",-1E+300,ROUND(-J2595,6)),IF(J2595="",-1E+300,ROUND(J2595,6)))),-1.5E+300))</f>
        <v/>
      </c>
      <c r="L2595" t="str">
        <f>IF(K2595="","",RANK(K2595,$K$2:$K$3001,0)+COUNTIF($K$2:K2595,K2595)-1)</f>
        <v/>
      </c>
    </row>
    <row r="2596">
      <c r="B2596" t="str">
        <f>IFERROR(IF(A2596="","","="&amp;SUBSTITUTE(SUBSTITUTE(SUBSTITUTE(A2596,"~","~~"),"*","~*"),"?","~?")),"")</f>
        <v/>
      </c>
      <c r="C2596" t="str">
        <f>IF($B2596="","",SUMIFS(dAmt,dCust,$B2596,dPer,"&gt;="&amp;pyFrom,dPer,"&lt;="&amp;pyTo,dAmt,"&gt;-1E+300",dFlt1,critFlt1,dFlt2,critFlt2,dFlt3,critFlt3))</f>
        <v/>
      </c>
      <c r="D2596" t="str">
        <f>IF($B2596="","",SUMIFS(dAmt,dCust,$B2596,dPer,"&gt;="&amp;cyFrom,dPer,"&lt;="&amp;cyTo,dAmt,"&gt;-1E+300",dFlt1,critFlt1,dFlt2,critFlt2,dFlt3,critFlt3))</f>
        <v/>
      </c>
      <c r="E2596" t="str">
        <f>IF($B2596="","",SUMIFS(dQty,dCust,$B2596,dPer,"&gt;="&amp;pyFrom,dPer,"&lt;="&amp;pyTo,dQty,"&gt;-1E+300",dFlt1,critFlt1,dFlt2,critFlt2,dFlt3,critFlt3))</f>
        <v/>
      </c>
      <c r="F2596" t="str">
        <f>IF($B2596="","",SUMIFS(dQty,dCust,$B2596,dPer,"&gt;="&amp;cyFrom,dPer,"&lt;="&amp;cyTo,dQty,"&gt;-1E+300",dFlt1,critFlt1,dFlt2,critFlt2,dFlt3,critFlt3))</f>
        <v/>
      </c>
      <c r="G2596">
        <f>IF($B2596="",0,IFERROR(IF(OR(C2596&lt;&gt;0,D2596&lt;&gt;0,E2596&lt;&gt;0,F2596&lt;&gt;0),1,0),1))</f>
        <v>0</v>
      </c>
      <c r="H2596" t="str">
        <f>IF(OR(G2596=0,E2596=0),"",C2596/E2596)</f>
        <v/>
      </c>
      <c r="I2596" t="str">
        <f>IF(OR(G2596=0,F2596=0),"",D2596/F2596)</f>
        <v/>
      </c>
      <c r="J2596" t="str">
        <f>IF(OR(H2596="",I2596=""),"",IF(H2596=0,"",I2596/H2596-1))</f>
        <v/>
      </c>
      <c r="K2596" t="str">
        <f>IF($B2596="","",IFERROR(IF(G2596=0,-2E+300,CHOOSE(sortIdx,ROUND(D2596,0),IF(J2596="",-1E+300,ROUND(-J2596,6)),IF(J2596="",-1E+300,ROUND(J2596,6)))),-1.5E+300))</f>
        <v/>
      </c>
      <c r="L2596" t="str">
        <f>IF(K2596="","",RANK(K2596,$K$2:$K$3001,0)+COUNTIF($K$2:K2596,K2596)-1)</f>
        <v/>
      </c>
    </row>
    <row r="2597">
      <c r="B2597" t="str">
        <f>IFERROR(IF(A2597="","","="&amp;SUBSTITUTE(SUBSTITUTE(SUBSTITUTE(A2597,"~","~~"),"*","~*"),"?","~?")),"")</f>
        <v/>
      </c>
      <c r="C2597" t="str">
        <f>IF($B2597="","",SUMIFS(dAmt,dCust,$B2597,dPer,"&gt;="&amp;pyFrom,dPer,"&lt;="&amp;pyTo,dAmt,"&gt;-1E+300",dFlt1,critFlt1,dFlt2,critFlt2,dFlt3,critFlt3))</f>
        <v/>
      </c>
      <c r="D2597" t="str">
        <f>IF($B2597="","",SUMIFS(dAmt,dCust,$B2597,dPer,"&gt;="&amp;cyFrom,dPer,"&lt;="&amp;cyTo,dAmt,"&gt;-1E+300",dFlt1,critFlt1,dFlt2,critFlt2,dFlt3,critFlt3))</f>
        <v/>
      </c>
      <c r="E2597" t="str">
        <f>IF($B2597="","",SUMIFS(dQty,dCust,$B2597,dPer,"&gt;="&amp;pyFrom,dPer,"&lt;="&amp;pyTo,dQty,"&gt;-1E+300",dFlt1,critFlt1,dFlt2,critFlt2,dFlt3,critFlt3))</f>
        <v/>
      </c>
      <c r="F2597" t="str">
        <f>IF($B2597="","",SUMIFS(dQty,dCust,$B2597,dPer,"&gt;="&amp;cyFrom,dPer,"&lt;="&amp;cyTo,dQty,"&gt;-1E+300",dFlt1,critFlt1,dFlt2,critFlt2,dFlt3,critFlt3))</f>
        <v/>
      </c>
      <c r="G2597">
        <f>IF($B2597="",0,IFERROR(IF(OR(C2597&lt;&gt;0,D2597&lt;&gt;0,E2597&lt;&gt;0,F2597&lt;&gt;0),1,0),1))</f>
        <v>0</v>
      </c>
      <c r="H2597" t="str">
        <f>IF(OR(G2597=0,E2597=0),"",C2597/E2597)</f>
        <v/>
      </c>
      <c r="I2597" t="str">
        <f>IF(OR(G2597=0,F2597=0),"",D2597/F2597)</f>
        <v/>
      </c>
      <c r="J2597" t="str">
        <f>IF(OR(H2597="",I2597=""),"",IF(H2597=0,"",I2597/H2597-1))</f>
        <v/>
      </c>
      <c r="K2597" t="str">
        <f>IF($B2597="","",IFERROR(IF(G2597=0,-2E+300,CHOOSE(sortIdx,ROUND(D2597,0),IF(J2597="",-1E+300,ROUND(-J2597,6)),IF(J2597="",-1E+300,ROUND(J2597,6)))),-1.5E+300))</f>
        <v/>
      </c>
      <c r="L2597" t="str">
        <f>IF(K2597="","",RANK(K2597,$K$2:$K$3001,0)+COUNTIF($K$2:K2597,K2597)-1)</f>
        <v/>
      </c>
    </row>
    <row r="2598">
      <c r="B2598" t="str">
        <f>IFERROR(IF(A2598="","","="&amp;SUBSTITUTE(SUBSTITUTE(SUBSTITUTE(A2598,"~","~~"),"*","~*"),"?","~?")),"")</f>
        <v/>
      </c>
      <c r="C2598" t="str">
        <f>IF($B2598="","",SUMIFS(dAmt,dCust,$B2598,dPer,"&gt;="&amp;pyFrom,dPer,"&lt;="&amp;pyTo,dAmt,"&gt;-1E+300",dFlt1,critFlt1,dFlt2,critFlt2,dFlt3,critFlt3))</f>
        <v/>
      </c>
      <c r="D2598" t="str">
        <f>IF($B2598="","",SUMIFS(dAmt,dCust,$B2598,dPer,"&gt;="&amp;cyFrom,dPer,"&lt;="&amp;cyTo,dAmt,"&gt;-1E+300",dFlt1,critFlt1,dFlt2,critFlt2,dFlt3,critFlt3))</f>
        <v/>
      </c>
      <c r="E2598" t="str">
        <f>IF($B2598="","",SUMIFS(dQty,dCust,$B2598,dPer,"&gt;="&amp;pyFrom,dPer,"&lt;="&amp;pyTo,dQty,"&gt;-1E+300",dFlt1,critFlt1,dFlt2,critFlt2,dFlt3,critFlt3))</f>
        <v/>
      </c>
      <c r="F2598" t="str">
        <f>IF($B2598="","",SUMIFS(dQty,dCust,$B2598,dPer,"&gt;="&amp;cyFrom,dPer,"&lt;="&amp;cyTo,dQty,"&gt;-1E+300",dFlt1,critFlt1,dFlt2,critFlt2,dFlt3,critFlt3))</f>
        <v/>
      </c>
      <c r="G2598">
        <f>IF($B2598="",0,IFERROR(IF(OR(C2598&lt;&gt;0,D2598&lt;&gt;0,E2598&lt;&gt;0,F2598&lt;&gt;0),1,0),1))</f>
        <v>0</v>
      </c>
      <c r="H2598" t="str">
        <f>IF(OR(G2598=0,E2598=0),"",C2598/E2598)</f>
        <v/>
      </c>
      <c r="I2598" t="str">
        <f>IF(OR(G2598=0,F2598=0),"",D2598/F2598)</f>
        <v/>
      </c>
      <c r="J2598" t="str">
        <f>IF(OR(H2598="",I2598=""),"",IF(H2598=0,"",I2598/H2598-1))</f>
        <v/>
      </c>
      <c r="K2598" t="str">
        <f>IF($B2598="","",IFERROR(IF(G2598=0,-2E+300,CHOOSE(sortIdx,ROUND(D2598,0),IF(J2598="",-1E+300,ROUND(-J2598,6)),IF(J2598="",-1E+300,ROUND(J2598,6)))),-1.5E+300))</f>
        <v/>
      </c>
      <c r="L2598" t="str">
        <f>IF(K2598="","",RANK(K2598,$K$2:$K$3001,0)+COUNTIF($K$2:K2598,K2598)-1)</f>
        <v/>
      </c>
    </row>
    <row r="2599">
      <c r="B2599" t="str">
        <f>IFERROR(IF(A2599="","","="&amp;SUBSTITUTE(SUBSTITUTE(SUBSTITUTE(A2599,"~","~~"),"*","~*"),"?","~?")),"")</f>
        <v/>
      </c>
      <c r="C2599" t="str">
        <f>IF($B2599="","",SUMIFS(dAmt,dCust,$B2599,dPer,"&gt;="&amp;pyFrom,dPer,"&lt;="&amp;pyTo,dAmt,"&gt;-1E+300",dFlt1,critFlt1,dFlt2,critFlt2,dFlt3,critFlt3))</f>
        <v/>
      </c>
      <c r="D2599" t="str">
        <f>IF($B2599="","",SUMIFS(dAmt,dCust,$B2599,dPer,"&gt;="&amp;cyFrom,dPer,"&lt;="&amp;cyTo,dAmt,"&gt;-1E+300",dFlt1,critFlt1,dFlt2,critFlt2,dFlt3,critFlt3))</f>
        <v/>
      </c>
      <c r="E2599" t="str">
        <f>IF($B2599="","",SUMIFS(dQty,dCust,$B2599,dPer,"&gt;="&amp;pyFrom,dPer,"&lt;="&amp;pyTo,dQty,"&gt;-1E+300",dFlt1,critFlt1,dFlt2,critFlt2,dFlt3,critFlt3))</f>
        <v/>
      </c>
      <c r="F2599" t="str">
        <f>IF($B2599="","",SUMIFS(dQty,dCust,$B2599,dPer,"&gt;="&amp;cyFrom,dPer,"&lt;="&amp;cyTo,dQty,"&gt;-1E+300",dFlt1,critFlt1,dFlt2,critFlt2,dFlt3,critFlt3))</f>
        <v/>
      </c>
      <c r="G2599">
        <f>IF($B2599="",0,IFERROR(IF(OR(C2599&lt;&gt;0,D2599&lt;&gt;0,E2599&lt;&gt;0,F2599&lt;&gt;0),1,0),1))</f>
        <v>0</v>
      </c>
      <c r="H2599" t="str">
        <f>IF(OR(G2599=0,E2599=0),"",C2599/E2599)</f>
        <v/>
      </c>
      <c r="I2599" t="str">
        <f>IF(OR(G2599=0,F2599=0),"",D2599/F2599)</f>
        <v/>
      </c>
      <c r="J2599" t="str">
        <f>IF(OR(H2599="",I2599=""),"",IF(H2599=0,"",I2599/H2599-1))</f>
        <v/>
      </c>
      <c r="K2599" t="str">
        <f>IF($B2599="","",IFERROR(IF(G2599=0,-2E+300,CHOOSE(sortIdx,ROUND(D2599,0),IF(J2599="",-1E+300,ROUND(-J2599,6)),IF(J2599="",-1E+300,ROUND(J2599,6)))),-1.5E+300))</f>
        <v/>
      </c>
      <c r="L2599" t="str">
        <f>IF(K2599="","",RANK(K2599,$K$2:$K$3001,0)+COUNTIF($K$2:K2599,K2599)-1)</f>
        <v/>
      </c>
    </row>
    <row r="2600">
      <c r="B2600" t="str">
        <f>IFERROR(IF(A2600="","","="&amp;SUBSTITUTE(SUBSTITUTE(SUBSTITUTE(A2600,"~","~~"),"*","~*"),"?","~?")),"")</f>
        <v/>
      </c>
      <c r="C2600" t="str">
        <f>IF($B2600="","",SUMIFS(dAmt,dCust,$B2600,dPer,"&gt;="&amp;pyFrom,dPer,"&lt;="&amp;pyTo,dAmt,"&gt;-1E+300",dFlt1,critFlt1,dFlt2,critFlt2,dFlt3,critFlt3))</f>
        <v/>
      </c>
      <c r="D2600" t="str">
        <f>IF($B2600="","",SUMIFS(dAmt,dCust,$B2600,dPer,"&gt;="&amp;cyFrom,dPer,"&lt;="&amp;cyTo,dAmt,"&gt;-1E+300",dFlt1,critFlt1,dFlt2,critFlt2,dFlt3,critFlt3))</f>
        <v/>
      </c>
      <c r="E2600" t="str">
        <f>IF($B2600="","",SUMIFS(dQty,dCust,$B2600,dPer,"&gt;="&amp;pyFrom,dPer,"&lt;="&amp;pyTo,dQty,"&gt;-1E+300",dFlt1,critFlt1,dFlt2,critFlt2,dFlt3,critFlt3))</f>
        <v/>
      </c>
      <c r="F2600" t="str">
        <f>IF($B2600="","",SUMIFS(dQty,dCust,$B2600,dPer,"&gt;="&amp;cyFrom,dPer,"&lt;="&amp;cyTo,dQty,"&gt;-1E+300",dFlt1,critFlt1,dFlt2,critFlt2,dFlt3,critFlt3))</f>
        <v/>
      </c>
      <c r="G2600">
        <f>IF($B2600="",0,IFERROR(IF(OR(C2600&lt;&gt;0,D2600&lt;&gt;0,E2600&lt;&gt;0,F2600&lt;&gt;0),1,0),1))</f>
        <v>0</v>
      </c>
      <c r="H2600" t="str">
        <f>IF(OR(G2600=0,E2600=0),"",C2600/E2600)</f>
        <v/>
      </c>
      <c r="I2600" t="str">
        <f>IF(OR(G2600=0,F2600=0),"",D2600/F2600)</f>
        <v/>
      </c>
      <c r="J2600" t="str">
        <f>IF(OR(H2600="",I2600=""),"",IF(H2600=0,"",I2600/H2600-1))</f>
        <v/>
      </c>
      <c r="K2600" t="str">
        <f>IF($B2600="","",IFERROR(IF(G2600=0,-2E+300,CHOOSE(sortIdx,ROUND(D2600,0),IF(J2600="",-1E+300,ROUND(-J2600,6)),IF(J2600="",-1E+300,ROUND(J2600,6)))),-1.5E+300))</f>
        <v/>
      </c>
      <c r="L2600" t="str">
        <f>IF(K2600="","",RANK(K2600,$K$2:$K$3001,0)+COUNTIF($K$2:K2600,K2600)-1)</f>
        <v/>
      </c>
    </row>
    <row r="2601">
      <c r="B2601" t="str">
        <f>IFERROR(IF(A2601="","","="&amp;SUBSTITUTE(SUBSTITUTE(SUBSTITUTE(A2601,"~","~~"),"*","~*"),"?","~?")),"")</f>
        <v/>
      </c>
      <c r="C2601" t="str">
        <f>IF($B2601="","",SUMIFS(dAmt,dCust,$B2601,dPer,"&gt;="&amp;pyFrom,dPer,"&lt;="&amp;pyTo,dAmt,"&gt;-1E+300",dFlt1,critFlt1,dFlt2,critFlt2,dFlt3,critFlt3))</f>
        <v/>
      </c>
      <c r="D2601" t="str">
        <f>IF($B2601="","",SUMIFS(dAmt,dCust,$B2601,dPer,"&gt;="&amp;cyFrom,dPer,"&lt;="&amp;cyTo,dAmt,"&gt;-1E+300",dFlt1,critFlt1,dFlt2,critFlt2,dFlt3,critFlt3))</f>
        <v/>
      </c>
      <c r="E2601" t="str">
        <f>IF($B2601="","",SUMIFS(dQty,dCust,$B2601,dPer,"&gt;="&amp;pyFrom,dPer,"&lt;="&amp;pyTo,dQty,"&gt;-1E+300",dFlt1,critFlt1,dFlt2,critFlt2,dFlt3,critFlt3))</f>
        <v/>
      </c>
      <c r="F2601" t="str">
        <f>IF($B2601="","",SUMIFS(dQty,dCust,$B2601,dPer,"&gt;="&amp;cyFrom,dPer,"&lt;="&amp;cyTo,dQty,"&gt;-1E+300",dFlt1,critFlt1,dFlt2,critFlt2,dFlt3,critFlt3))</f>
        <v/>
      </c>
      <c r="G2601">
        <f>IF($B2601="",0,IFERROR(IF(OR(C2601&lt;&gt;0,D2601&lt;&gt;0,E2601&lt;&gt;0,F2601&lt;&gt;0),1,0),1))</f>
        <v>0</v>
      </c>
      <c r="H2601" t="str">
        <f>IF(OR(G2601=0,E2601=0),"",C2601/E2601)</f>
        <v/>
      </c>
      <c r="I2601" t="str">
        <f>IF(OR(G2601=0,F2601=0),"",D2601/F2601)</f>
        <v/>
      </c>
      <c r="J2601" t="str">
        <f>IF(OR(H2601="",I2601=""),"",IF(H2601=0,"",I2601/H2601-1))</f>
        <v/>
      </c>
      <c r="K2601" t="str">
        <f>IF($B2601="","",IFERROR(IF(G2601=0,-2E+300,CHOOSE(sortIdx,ROUND(D2601,0),IF(J2601="",-1E+300,ROUND(-J2601,6)),IF(J2601="",-1E+300,ROUND(J2601,6)))),-1.5E+300))</f>
        <v/>
      </c>
      <c r="L2601" t="str">
        <f>IF(K2601="","",RANK(K2601,$K$2:$K$3001,0)+COUNTIF($K$2:K2601,K2601)-1)</f>
        <v/>
      </c>
    </row>
    <row r="2602">
      <c r="B2602" t="str">
        <f>IFERROR(IF(A2602="","","="&amp;SUBSTITUTE(SUBSTITUTE(SUBSTITUTE(A2602,"~","~~"),"*","~*"),"?","~?")),"")</f>
        <v/>
      </c>
      <c r="C2602" t="str">
        <f>IF($B2602="","",SUMIFS(dAmt,dCust,$B2602,dPer,"&gt;="&amp;pyFrom,dPer,"&lt;="&amp;pyTo,dAmt,"&gt;-1E+300",dFlt1,critFlt1,dFlt2,critFlt2,dFlt3,critFlt3))</f>
        <v/>
      </c>
      <c r="D2602" t="str">
        <f>IF($B2602="","",SUMIFS(dAmt,dCust,$B2602,dPer,"&gt;="&amp;cyFrom,dPer,"&lt;="&amp;cyTo,dAmt,"&gt;-1E+300",dFlt1,critFlt1,dFlt2,critFlt2,dFlt3,critFlt3))</f>
        <v/>
      </c>
      <c r="E2602" t="str">
        <f>IF($B2602="","",SUMIFS(dQty,dCust,$B2602,dPer,"&gt;="&amp;pyFrom,dPer,"&lt;="&amp;pyTo,dQty,"&gt;-1E+300",dFlt1,critFlt1,dFlt2,critFlt2,dFlt3,critFlt3))</f>
        <v/>
      </c>
      <c r="F2602" t="str">
        <f>IF($B2602="","",SUMIFS(dQty,dCust,$B2602,dPer,"&gt;="&amp;cyFrom,dPer,"&lt;="&amp;cyTo,dQty,"&gt;-1E+300",dFlt1,critFlt1,dFlt2,critFlt2,dFlt3,critFlt3))</f>
        <v/>
      </c>
      <c r="G2602">
        <f>IF($B2602="",0,IFERROR(IF(OR(C2602&lt;&gt;0,D2602&lt;&gt;0,E2602&lt;&gt;0,F2602&lt;&gt;0),1,0),1))</f>
        <v>0</v>
      </c>
      <c r="H2602" t="str">
        <f>IF(OR(G2602=0,E2602=0),"",C2602/E2602)</f>
        <v/>
      </c>
      <c r="I2602" t="str">
        <f>IF(OR(G2602=0,F2602=0),"",D2602/F2602)</f>
        <v/>
      </c>
      <c r="J2602" t="str">
        <f>IF(OR(H2602="",I2602=""),"",IF(H2602=0,"",I2602/H2602-1))</f>
        <v/>
      </c>
      <c r="K2602" t="str">
        <f>IF($B2602="","",IFERROR(IF(G2602=0,-2E+300,CHOOSE(sortIdx,ROUND(D2602,0),IF(J2602="",-1E+300,ROUND(-J2602,6)),IF(J2602="",-1E+300,ROUND(J2602,6)))),-1.5E+300))</f>
        <v/>
      </c>
      <c r="L2602" t="str">
        <f>IF(K2602="","",RANK(K2602,$K$2:$K$3001,0)+COUNTIF($K$2:K2602,K2602)-1)</f>
        <v/>
      </c>
    </row>
    <row r="2603">
      <c r="B2603" t="str">
        <f>IFERROR(IF(A2603="","","="&amp;SUBSTITUTE(SUBSTITUTE(SUBSTITUTE(A2603,"~","~~"),"*","~*"),"?","~?")),"")</f>
        <v/>
      </c>
      <c r="C2603" t="str">
        <f>IF($B2603="","",SUMIFS(dAmt,dCust,$B2603,dPer,"&gt;="&amp;pyFrom,dPer,"&lt;="&amp;pyTo,dAmt,"&gt;-1E+300",dFlt1,critFlt1,dFlt2,critFlt2,dFlt3,critFlt3))</f>
        <v/>
      </c>
      <c r="D2603" t="str">
        <f>IF($B2603="","",SUMIFS(dAmt,dCust,$B2603,dPer,"&gt;="&amp;cyFrom,dPer,"&lt;="&amp;cyTo,dAmt,"&gt;-1E+300",dFlt1,critFlt1,dFlt2,critFlt2,dFlt3,critFlt3))</f>
        <v/>
      </c>
      <c r="E2603" t="str">
        <f>IF($B2603="","",SUMIFS(dQty,dCust,$B2603,dPer,"&gt;="&amp;pyFrom,dPer,"&lt;="&amp;pyTo,dQty,"&gt;-1E+300",dFlt1,critFlt1,dFlt2,critFlt2,dFlt3,critFlt3))</f>
        <v/>
      </c>
      <c r="F2603" t="str">
        <f>IF($B2603="","",SUMIFS(dQty,dCust,$B2603,dPer,"&gt;="&amp;cyFrom,dPer,"&lt;="&amp;cyTo,dQty,"&gt;-1E+300",dFlt1,critFlt1,dFlt2,critFlt2,dFlt3,critFlt3))</f>
        <v/>
      </c>
      <c r="G2603">
        <f>IF($B2603="",0,IFERROR(IF(OR(C2603&lt;&gt;0,D2603&lt;&gt;0,E2603&lt;&gt;0,F2603&lt;&gt;0),1,0),1))</f>
        <v>0</v>
      </c>
      <c r="H2603" t="str">
        <f>IF(OR(G2603=0,E2603=0),"",C2603/E2603)</f>
        <v/>
      </c>
      <c r="I2603" t="str">
        <f>IF(OR(G2603=0,F2603=0),"",D2603/F2603)</f>
        <v/>
      </c>
      <c r="J2603" t="str">
        <f>IF(OR(H2603="",I2603=""),"",IF(H2603=0,"",I2603/H2603-1))</f>
        <v/>
      </c>
      <c r="K2603" t="str">
        <f>IF($B2603="","",IFERROR(IF(G2603=0,-2E+300,CHOOSE(sortIdx,ROUND(D2603,0),IF(J2603="",-1E+300,ROUND(-J2603,6)),IF(J2603="",-1E+300,ROUND(J2603,6)))),-1.5E+300))</f>
        <v/>
      </c>
      <c r="L2603" t="str">
        <f>IF(K2603="","",RANK(K2603,$K$2:$K$3001,0)+COUNTIF($K$2:K2603,K2603)-1)</f>
        <v/>
      </c>
    </row>
    <row r="2604">
      <c r="B2604" t="str">
        <f>IFERROR(IF(A2604="","","="&amp;SUBSTITUTE(SUBSTITUTE(SUBSTITUTE(A2604,"~","~~"),"*","~*"),"?","~?")),"")</f>
        <v/>
      </c>
      <c r="C2604" t="str">
        <f>IF($B2604="","",SUMIFS(dAmt,dCust,$B2604,dPer,"&gt;="&amp;pyFrom,dPer,"&lt;="&amp;pyTo,dAmt,"&gt;-1E+300",dFlt1,critFlt1,dFlt2,critFlt2,dFlt3,critFlt3))</f>
        <v/>
      </c>
      <c r="D2604" t="str">
        <f>IF($B2604="","",SUMIFS(dAmt,dCust,$B2604,dPer,"&gt;="&amp;cyFrom,dPer,"&lt;="&amp;cyTo,dAmt,"&gt;-1E+300",dFlt1,critFlt1,dFlt2,critFlt2,dFlt3,critFlt3))</f>
        <v/>
      </c>
      <c r="E2604" t="str">
        <f>IF($B2604="","",SUMIFS(dQty,dCust,$B2604,dPer,"&gt;="&amp;pyFrom,dPer,"&lt;="&amp;pyTo,dQty,"&gt;-1E+300",dFlt1,critFlt1,dFlt2,critFlt2,dFlt3,critFlt3))</f>
        <v/>
      </c>
      <c r="F2604" t="str">
        <f>IF($B2604="","",SUMIFS(dQty,dCust,$B2604,dPer,"&gt;="&amp;cyFrom,dPer,"&lt;="&amp;cyTo,dQty,"&gt;-1E+300",dFlt1,critFlt1,dFlt2,critFlt2,dFlt3,critFlt3))</f>
        <v/>
      </c>
      <c r="G2604">
        <f>IF($B2604="",0,IFERROR(IF(OR(C2604&lt;&gt;0,D2604&lt;&gt;0,E2604&lt;&gt;0,F2604&lt;&gt;0),1,0),1))</f>
        <v>0</v>
      </c>
      <c r="H2604" t="str">
        <f>IF(OR(G2604=0,E2604=0),"",C2604/E2604)</f>
        <v/>
      </c>
      <c r="I2604" t="str">
        <f>IF(OR(G2604=0,F2604=0),"",D2604/F2604)</f>
        <v/>
      </c>
      <c r="J2604" t="str">
        <f>IF(OR(H2604="",I2604=""),"",IF(H2604=0,"",I2604/H2604-1))</f>
        <v/>
      </c>
      <c r="K2604" t="str">
        <f>IF($B2604="","",IFERROR(IF(G2604=0,-2E+300,CHOOSE(sortIdx,ROUND(D2604,0),IF(J2604="",-1E+300,ROUND(-J2604,6)),IF(J2604="",-1E+300,ROUND(J2604,6)))),-1.5E+300))</f>
        <v/>
      </c>
      <c r="L2604" t="str">
        <f>IF(K2604="","",RANK(K2604,$K$2:$K$3001,0)+COUNTIF($K$2:K2604,K2604)-1)</f>
        <v/>
      </c>
    </row>
    <row r="2605">
      <c r="B2605" t="str">
        <f>IFERROR(IF(A2605="","","="&amp;SUBSTITUTE(SUBSTITUTE(SUBSTITUTE(A2605,"~","~~"),"*","~*"),"?","~?")),"")</f>
        <v/>
      </c>
      <c r="C2605" t="str">
        <f>IF($B2605="","",SUMIFS(dAmt,dCust,$B2605,dPer,"&gt;="&amp;pyFrom,dPer,"&lt;="&amp;pyTo,dAmt,"&gt;-1E+300",dFlt1,critFlt1,dFlt2,critFlt2,dFlt3,critFlt3))</f>
        <v/>
      </c>
      <c r="D2605" t="str">
        <f>IF($B2605="","",SUMIFS(dAmt,dCust,$B2605,dPer,"&gt;="&amp;cyFrom,dPer,"&lt;="&amp;cyTo,dAmt,"&gt;-1E+300",dFlt1,critFlt1,dFlt2,critFlt2,dFlt3,critFlt3))</f>
        <v/>
      </c>
      <c r="E2605" t="str">
        <f>IF($B2605="","",SUMIFS(dQty,dCust,$B2605,dPer,"&gt;="&amp;pyFrom,dPer,"&lt;="&amp;pyTo,dQty,"&gt;-1E+300",dFlt1,critFlt1,dFlt2,critFlt2,dFlt3,critFlt3))</f>
        <v/>
      </c>
      <c r="F2605" t="str">
        <f>IF($B2605="","",SUMIFS(dQty,dCust,$B2605,dPer,"&gt;="&amp;cyFrom,dPer,"&lt;="&amp;cyTo,dQty,"&gt;-1E+300",dFlt1,critFlt1,dFlt2,critFlt2,dFlt3,critFlt3))</f>
        <v/>
      </c>
      <c r="G2605">
        <f>IF($B2605="",0,IFERROR(IF(OR(C2605&lt;&gt;0,D2605&lt;&gt;0,E2605&lt;&gt;0,F2605&lt;&gt;0),1,0),1))</f>
        <v>0</v>
      </c>
      <c r="H2605" t="str">
        <f>IF(OR(G2605=0,E2605=0),"",C2605/E2605)</f>
        <v/>
      </c>
      <c r="I2605" t="str">
        <f>IF(OR(G2605=0,F2605=0),"",D2605/F2605)</f>
        <v/>
      </c>
      <c r="J2605" t="str">
        <f>IF(OR(H2605="",I2605=""),"",IF(H2605=0,"",I2605/H2605-1))</f>
        <v/>
      </c>
      <c r="K2605" t="str">
        <f>IF($B2605="","",IFERROR(IF(G2605=0,-2E+300,CHOOSE(sortIdx,ROUND(D2605,0),IF(J2605="",-1E+300,ROUND(-J2605,6)),IF(J2605="",-1E+300,ROUND(J2605,6)))),-1.5E+300))</f>
        <v/>
      </c>
      <c r="L2605" t="str">
        <f>IF(K2605="","",RANK(K2605,$K$2:$K$3001,0)+COUNTIF($K$2:K2605,K2605)-1)</f>
        <v/>
      </c>
    </row>
    <row r="2606">
      <c r="B2606" t="str">
        <f>IFERROR(IF(A2606="","","="&amp;SUBSTITUTE(SUBSTITUTE(SUBSTITUTE(A2606,"~","~~"),"*","~*"),"?","~?")),"")</f>
        <v/>
      </c>
      <c r="C2606" t="str">
        <f>IF($B2606="","",SUMIFS(dAmt,dCust,$B2606,dPer,"&gt;="&amp;pyFrom,dPer,"&lt;="&amp;pyTo,dAmt,"&gt;-1E+300",dFlt1,critFlt1,dFlt2,critFlt2,dFlt3,critFlt3))</f>
        <v/>
      </c>
      <c r="D2606" t="str">
        <f>IF($B2606="","",SUMIFS(dAmt,dCust,$B2606,dPer,"&gt;="&amp;cyFrom,dPer,"&lt;="&amp;cyTo,dAmt,"&gt;-1E+300",dFlt1,critFlt1,dFlt2,critFlt2,dFlt3,critFlt3))</f>
        <v/>
      </c>
      <c r="E2606" t="str">
        <f>IF($B2606="","",SUMIFS(dQty,dCust,$B2606,dPer,"&gt;="&amp;pyFrom,dPer,"&lt;="&amp;pyTo,dQty,"&gt;-1E+300",dFlt1,critFlt1,dFlt2,critFlt2,dFlt3,critFlt3))</f>
        <v/>
      </c>
      <c r="F2606" t="str">
        <f>IF($B2606="","",SUMIFS(dQty,dCust,$B2606,dPer,"&gt;="&amp;cyFrom,dPer,"&lt;="&amp;cyTo,dQty,"&gt;-1E+300",dFlt1,critFlt1,dFlt2,critFlt2,dFlt3,critFlt3))</f>
        <v/>
      </c>
      <c r="G2606">
        <f>IF($B2606="",0,IFERROR(IF(OR(C2606&lt;&gt;0,D2606&lt;&gt;0,E2606&lt;&gt;0,F2606&lt;&gt;0),1,0),1))</f>
        <v>0</v>
      </c>
      <c r="H2606" t="str">
        <f>IF(OR(G2606=0,E2606=0),"",C2606/E2606)</f>
        <v/>
      </c>
      <c r="I2606" t="str">
        <f>IF(OR(G2606=0,F2606=0),"",D2606/F2606)</f>
        <v/>
      </c>
      <c r="J2606" t="str">
        <f>IF(OR(H2606="",I2606=""),"",IF(H2606=0,"",I2606/H2606-1))</f>
        <v/>
      </c>
      <c r="K2606" t="str">
        <f>IF($B2606="","",IFERROR(IF(G2606=0,-2E+300,CHOOSE(sortIdx,ROUND(D2606,0),IF(J2606="",-1E+300,ROUND(-J2606,6)),IF(J2606="",-1E+300,ROUND(J2606,6)))),-1.5E+300))</f>
        <v/>
      </c>
      <c r="L2606" t="str">
        <f>IF(K2606="","",RANK(K2606,$K$2:$K$3001,0)+COUNTIF($K$2:K2606,K2606)-1)</f>
        <v/>
      </c>
    </row>
    <row r="2607">
      <c r="B2607" t="str">
        <f>IFERROR(IF(A2607="","","="&amp;SUBSTITUTE(SUBSTITUTE(SUBSTITUTE(A2607,"~","~~"),"*","~*"),"?","~?")),"")</f>
        <v/>
      </c>
      <c r="C2607" t="str">
        <f>IF($B2607="","",SUMIFS(dAmt,dCust,$B2607,dPer,"&gt;="&amp;pyFrom,dPer,"&lt;="&amp;pyTo,dAmt,"&gt;-1E+300",dFlt1,critFlt1,dFlt2,critFlt2,dFlt3,critFlt3))</f>
        <v/>
      </c>
      <c r="D2607" t="str">
        <f>IF($B2607="","",SUMIFS(dAmt,dCust,$B2607,dPer,"&gt;="&amp;cyFrom,dPer,"&lt;="&amp;cyTo,dAmt,"&gt;-1E+300",dFlt1,critFlt1,dFlt2,critFlt2,dFlt3,critFlt3))</f>
        <v/>
      </c>
      <c r="E2607" t="str">
        <f>IF($B2607="","",SUMIFS(dQty,dCust,$B2607,dPer,"&gt;="&amp;pyFrom,dPer,"&lt;="&amp;pyTo,dQty,"&gt;-1E+300",dFlt1,critFlt1,dFlt2,critFlt2,dFlt3,critFlt3))</f>
        <v/>
      </c>
      <c r="F2607" t="str">
        <f>IF($B2607="","",SUMIFS(dQty,dCust,$B2607,dPer,"&gt;="&amp;cyFrom,dPer,"&lt;="&amp;cyTo,dQty,"&gt;-1E+300",dFlt1,critFlt1,dFlt2,critFlt2,dFlt3,critFlt3))</f>
        <v/>
      </c>
      <c r="G2607">
        <f>IF($B2607="",0,IFERROR(IF(OR(C2607&lt;&gt;0,D2607&lt;&gt;0,E2607&lt;&gt;0,F2607&lt;&gt;0),1,0),1))</f>
        <v>0</v>
      </c>
      <c r="H2607" t="str">
        <f>IF(OR(G2607=0,E2607=0),"",C2607/E2607)</f>
        <v/>
      </c>
      <c r="I2607" t="str">
        <f>IF(OR(G2607=0,F2607=0),"",D2607/F2607)</f>
        <v/>
      </c>
      <c r="J2607" t="str">
        <f>IF(OR(H2607="",I2607=""),"",IF(H2607=0,"",I2607/H2607-1))</f>
        <v/>
      </c>
      <c r="K2607" t="str">
        <f>IF($B2607="","",IFERROR(IF(G2607=0,-2E+300,CHOOSE(sortIdx,ROUND(D2607,0),IF(J2607="",-1E+300,ROUND(-J2607,6)),IF(J2607="",-1E+300,ROUND(J2607,6)))),-1.5E+300))</f>
        <v/>
      </c>
      <c r="L2607" t="str">
        <f>IF(K2607="","",RANK(K2607,$K$2:$K$3001,0)+COUNTIF($K$2:K2607,K2607)-1)</f>
        <v/>
      </c>
    </row>
    <row r="2608">
      <c r="B2608" t="str">
        <f>IFERROR(IF(A2608="","","="&amp;SUBSTITUTE(SUBSTITUTE(SUBSTITUTE(A2608,"~","~~"),"*","~*"),"?","~?")),"")</f>
        <v/>
      </c>
      <c r="C2608" t="str">
        <f>IF($B2608="","",SUMIFS(dAmt,dCust,$B2608,dPer,"&gt;="&amp;pyFrom,dPer,"&lt;="&amp;pyTo,dAmt,"&gt;-1E+300",dFlt1,critFlt1,dFlt2,critFlt2,dFlt3,critFlt3))</f>
        <v/>
      </c>
      <c r="D2608" t="str">
        <f>IF($B2608="","",SUMIFS(dAmt,dCust,$B2608,dPer,"&gt;="&amp;cyFrom,dPer,"&lt;="&amp;cyTo,dAmt,"&gt;-1E+300",dFlt1,critFlt1,dFlt2,critFlt2,dFlt3,critFlt3))</f>
        <v/>
      </c>
      <c r="E2608" t="str">
        <f>IF($B2608="","",SUMIFS(dQty,dCust,$B2608,dPer,"&gt;="&amp;pyFrom,dPer,"&lt;="&amp;pyTo,dQty,"&gt;-1E+300",dFlt1,critFlt1,dFlt2,critFlt2,dFlt3,critFlt3))</f>
        <v/>
      </c>
      <c r="F2608" t="str">
        <f>IF($B2608="","",SUMIFS(dQty,dCust,$B2608,dPer,"&gt;="&amp;cyFrom,dPer,"&lt;="&amp;cyTo,dQty,"&gt;-1E+300",dFlt1,critFlt1,dFlt2,critFlt2,dFlt3,critFlt3))</f>
        <v/>
      </c>
      <c r="G2608">
        <f>IF($B2608="",0,IFERROR(IF(OR(C2608&lt;&gt;0,D2608&lt;&gt;0,E2608&lt;&gt;0,F2608&lt;&gt;0),1,0),1))</f>
        <v>0</v>
      </c>
      <c r="H2608" t="str">
        <f>IF(OR(G2608=0,E2608=0),"",C2608/E2608)</f>
        <v/>
      </c>
      <c r="I2608" t="str">
        <f>IF(OR(G2608=0,F2608=0),"",D2608/F2608)</f>
        <v/>
      </c>
      <c r="J2608" t="str">
        <f>IF(OR(H2608="",I2608=""),"",IF(H2608=0,"",I2608/H2608-1))</f>
        <v/>
      </c>
      <c r="K2608" t="str">
        <f>IF($B2608="","",IFERROR(IF(G2608=0,-2E+300,CHOOSE(sortIdx,ROUND(D2608,0),IF(J2608="",-1E+300,ROUND(-J2608,6)),IF(J2608="",-1E+300,ROUND(J2608,6)))),-1.5E+300))</f>
        <v/>
      </c>
      <c r="L2608" t="str">
        <f>IF(K2608="","",RANK(K2608,$K$2:$K$3001,0)+COUNTIF($K$2:K2608,K2608)-1)</f>
        <v/>
      </c>
    </row>
    <row r="2609">
      <c r="B2609" t="str">
        <f>IFERROR(IF(A2609="","","="&amp;SUBSTITUTE(SUBSTITUTE(SUBSTITUTE(A2609,"~","~~"),"*","~*"),"?","~?")),"")</f>
        <v/>
      </c>
      <c r="C2609" t="str">
        <f>IF($B2609="","",SUMIFS(dAmt,dCust,$B2609,dPer,"&gt;="&amp;pyFrom,dPer,"&lt;="&amp;pyTo,dAmt,"&gt;-1E+300",dFlt1,critFlt1,dFlt2,critFlt2,dFlt3,critFlt3))</f>
        <v/>
      </c>
      <c r="D2609" t="str">
        <f>IF($B2609="","",SUMIFS(dAmt,dCust,$B2609,dPer,"&gt;="&amp;cyFrom,dPer,"&lt;="&amp;cyTo,dAmt,"&gt;-1E+300",dFlt1,critFlt1,dFlt2,critFlt2,dFlt3,critFlt3))</f>
        <v/>
      </c>
      <c r="E2609" t="str">
        <f>IF($B2609="","",SUMIFS(dQty,dCust,$B2609,dPer,"&gt;="&amp;pyFrom,dPer,"&lt;="&amp;pyTo,dQty,"&gt;-1E+300",dFlt1,critFlt1,dFlt2,critFlt2,dFlt3,critFlt3))</f>
        <v/>
      </c>
      <c r="F2609" t="str">
        <f>IF($B2609="","",SUMIFS(dQty,dCust,$B2609,dPer,"&gt;="&amp;cyFrom,dPer,"&lt;="&amp;cyTo,dQty,"&gt;-1E+300",dFlt1,critFlt1,dFlt2,critFlt2,dFlt3,critFlt3))</f>
        <v/>
      </c>
      <c r="G2609">
        <f>IF($B2609="",0,IFERROR(IF(OR(C2609&lt;&gt;0,D2609&lt;&gt;0,E2609&lt;&gt;0,F2609&lt;&gt;0),1,0),1))</f>
        <v>0</v>
      </c>
      <c r="H2609" t="str">
        <f>IF(OR(G2609=0,E2609=0),"",C2609/E2609)</f>
        <v/>
      </c>
      <c r="I2609" t="str">
        <f>IF(OR(G2609=0,F2609=0),"",D2609/F2609)</f>
        <v/>
      </c>
      <c r="J2609" t="str">
        <f>IF(OR(H2609="",I2609=""),"",IF(H2609=0,"",I2609/H2609-1))</f>
        <v/>
      </c>
      <c r="K2609" t="str">
        <f>IF($B2609="","",IFERROR(IF(G2609=0,-2E+300,CHOOSE(sortIdx,ROUND(D2609,0),IF(J2609="",-1E+300,ROUND(-J2609,6)),IF(J2609="",-1E+300,ROUND(J2609,6)))),-1.5E+300))</f>
        <v/>
      </c>
      <c r="L2609" t="str">
        <f>IF(K2609="","",RANK(K2609,$K$2:$K$3001,0)+COUNTIF($K$2:K2609,K2609)-1)</f>
        <v/>
      </c>
    </row>
    <row r="2610">
      <c r="B2610" t="str">
        <f>IFERROR(IF(A2610="","","="&amp;SUBSTITUTE(SUBSTITUTE(SUBSTITUTE(A2610,"~","~~"),"*","~*"),"?","~?")),"")</f>
        <v/>
      </c>
      <c r="C2610" t="str">
        <f>IF($B2610="","",SUMIFS(dAmt,dCust,$B2610,dPer,"&gt;="&amp;pyFrom,dPer,"&lt;="&amp;pyTo,dAmt,"&gt;-1E+300",dFlt1,critFlt1,dFlt2,critFlt2,dFlt3,critFlt3))</f>
        <v/>
      </c>
      <c r="D2610" t="str">
        <f>IF($B2610="","",SUMIFS(dAmt,dCust,$B2610,dPer,"&gt;="&amp;cyFrom,dPer,"&lt;="&amp;cyTo,dAmt,"&gt;-1E+300",dFlt1,critFlt1,dFlt2,critFlt2,dFlt3,critFlt3))</f>
        <v/>
      </c>
      <c r="E2610" t="str">
        <f>IF($B2610="","",SUMIFS(dQty,dCust,$B2610,dPer,"&gt;="&amp;pyFrom,dPer,"&lt;="&amp;pyTo,dQty,"&gt;-1E+300",dFlt1,critFlt1,dFlt2,critFlt2,dFlt3,critFlt3))</f>
        <v/>
      </c>
      <c r="F2610" t="str">
        <f>IF($B2610="","",SUMIFS(dQty,dCust,$B2610,dPer,"&gt;="&amp;cyFrom,dPer,"&lt;="&amp;cyTo,dQty,"&gt;-1E+300",dFlt1,critFlt1,dFlt2,critFlt2,dFlt3,critFlt3))</f>
        <v/>
      </c>
      <c r="G2610">
        <f>IF($B2610="",0,IFERROR(IF(OR(C2610&lt;&gt;0,D2610&lt;&gt;0,E2610&lt;&gt;0,F2610&lt;&gt;0),1,0),1))</f>
        <v>0</v>
      </c>
      <c r="H2610" t="str">
        <f>IF(OR(G2610=0,E2610=0),"",C2610/E2610)</f>
        <v/>
      </c>
      <c r="I2610" t="str">
        <f>IF(OR(G2610=0,F2610=0),"",D2610/F2610)</f>
        <v/>
      </c>
      <c r="J2610" t="str">
        <f>IF(OR(H2610="",I2610=""),"",IF(H2610=0,"",I2610/H2610-1))</f>
        <v/>
      </c>
      <c r="K2610" t="str">
        <f>IF($B2610="","",IFERROR(IF(G2610=0,-2E+300,CHOOSE(sortIdx,ROUND(D2610,0),IF(J2610="",-1E+300,ROUND(-J2610,6)),IF(J2610="",-1E+300,ROUND(J2610,6)))),-1.5E+300))</f>
        <v/>
      </c>
      <c r="L2610" t="str">
        <f>IF(K2610="","",RANK(K2610,$K$2:$K$3001,0)+COUNTIF($K$2:K2610,K2610)-1)</f>
        <v/>
      </c>
    </row>
    <row r="2611">
      <c r="B2611" t="str">
        <f>IFERROR(IF(A2611="","","="&amp;SUBSTITUTE(SUBSTITUTE(SUBSTITUTE(A2611,"~","~~"),"*","~*"),"?","~?")),"")</f>
        <v/>
      </c>
      <c r="C2611" t="str">
        <f>IF($B2611="","",SUMIFS(dAmt,dCust,$B2611,dPer,"&gt;="&amp;pyFrom,dPer,"&lt;="&amp;pyTo,dAmt,"&gt;-1E+300",dFlt1,critFlt1,dFlt2,critFlt2,dFlt3,critFlt3))</f>
        <v/>
      </c>
      <c r="D2611" t="str">
        <f>IF($B2611="","",SUMIFS(dAmt,dCust,$B2611,dPer,"&gt;="&amp;cyFrom,dPer,"&lt;="&amp;cyTo,dAmt,"&gt;-1E+300",dFlt1,critFlt1,dFlt2,critFlt2,dFlt3,critFlt3))</f>
        <v/>
      </c>
      <c r="E2611" t="str">
        <f>IF($B2611="","",SUMIFS(dQty,dCust,$B2611,dPer,"&gt;="&amp;pyFrom,dPer,"&lt;="&amp;pyTo,dQty,"&gt;-1E+300",dFlt1,critFlt1,dFlt2,critFlt2,dFlt3,critFlt3))</f>
        <v/>
      </c>
      <c r="F2611" t="str">
        <f>IF($B2611="","",SUMIFS(dQty,dCust,$B2611,dPer,"&gt;="&amp;cyFrom,dPer,"&lt;="&amp;cyTo,dQty,"&gt;-1E+300",dFlt1,critFlt1,dFlt2,critFlt2,dFlt3,critFlt3))</f>
        <v/>
      </c>
      <c r="G2611">
        <f>IF($B2611="",0,IFERROR(IF(OR(C2611&lt;&gt;0,D2611&lt;&gt;0,E2611&lt;&gt;0,F2611&lt;&gt;0),1,0),1))</f>
        <v>0</v>
      </c>
      <c r="H2611" t="str">
        <f>IF(OR(G2611=0,E2611=0),"",C2611/E2611)</f>
        <v/>
      </c>
      <c r="I2611" t="str">
        <f>IF(OR(G2611=0,F2611=0),"",D2611/F2611)</f>
        <v/>
      </c>
      <c r="J2611" t="str">
        <f>IF(OR(H2611="",I2611=""),"",IF(H2611=0,"",I2611/H2611-1))</f>
        <v/>
      </c>
      <c r="K2611" t="str">
        <f>IF($B2611="","",IFERROR(IF(G2611=0,-2E+300,CHOOSE(sortIdx,ROUND(D2611,0),IF(J2611="",-1E+300,ROUND(-J2611,6)),IF(J2611="",-1E+300,ROUND(J2611,6)))),-1.5E+300))</f>
        <v/>
      </c>
      <c r="L2611" t="str">
        <f>IF(K2611="","",RANK(K2611,$K$2:$K$3001,0)+COUNTIF($K$2:K2611,K2611)-1)</f>
        <v/>
      </c>
    </row>
    <row r="2612">
      <c r="B2612" t="str">
        <f>IFERROR(IF(A2612="","","="&amp;SUBSTITUTE(SUBSTITUTE(SUBSTITUTE(A2612,"~","~~"),"*","~*"),"?","~?")),"")</f>
        <v/>
      </c>
      <c r="C2612" t="str">
        <f>IF($B2612="","",SUMIFS(dAmt,dCust,$B2612,dPer,"&gt;="&amp;pyFrom,dPer,"&lt;="&amp;pyTo,dAmt,"&gt;-1E+300",dFlt1,critFlt1,dFlt2,critFlt2,dFlt3,critFlt3))</f>
        <v/>
      </c>
      <c r="D2612" t="str">
        <f>IF($B2612="","",SUMIFS(dAmt,dCust,$B2612,dPer,"&gt;="&amp;cyFrom,dPer,"&lt;="&amp;cyTo,dAmt,"&gt;-1E+300",dFlt1,critFlt1,dFlt2,critFlt2,dFlt3,critFlt3))</f>
        <v/>
      </c>
      <c r="E2612" t="str">
        <f>IF($B2612="","",SUMIFS(dQty,dCust,$B2612,dPer,"&gt;="&amp;pyFrom,dPer,"&lt;="&amp;pyTo,dQty,"&gt;-1E+300",dFlt1,critFlt1,dFlt2,critFlt2,dFlt3,critFlt3))</f>
        <v/>
      </c>
      <c r="F2612" t="str">
        <f>IF($B2612="","",SUMIFS(dQty,dCust,$B2612,dPer,"&gt;="&amp;cyFrom,dPer,"&lt;="&amp;cyTo,dQty,"&gt;-1E+300",dFlt1,critFlt1,dFlt2,critFlt2,dFlt3,critFlt3))</f>
        <v/>
      </c>
      <c r="G2612">
        <f>IF($B2612="",0,IFERROR(IF(OR(C2612&lt;&gt;0,D2612&lt;&gt;0,E2612&lt;&gt;0,F2612&lt;&gt;0),1,0),1))</f>
        <v>0</v>
      </c>
      <c r="H2612" t="str">
        <f>IF(OR(G2612=0,E2612=0),"",C2612/E2612)</f>
        <v/>
      </c>
      <c r="I2612" t="str">
        <f>IF(OR(G2612=0,F2612=0),"",D2612/F2612)</f>
        <v/>
      </c>
      <c r="J2612" t="str">
        <f>IF(OR(H2612="",I2612=""),"",IF(H2612=0,"",I2612/H2612-1))</f>
        <v/>
      </c>
      <c r="K2612" t="str">
        <f>IF($B2612="","",IFERROR(IF(G2612=0,-2E+300,CHOOSE(sortIdx,ROUND(D2612,0),IF(J2612="",-1E+300,ROUND(-J2612,6)),IF(J2612="",-1E+300,ROUND(J2612,6)))),-1.5E+300))</f>
        <v/>
      </c>
      <c r="L2612" t="str">
        <f>IF(K2612="","",RANK(K2612,$K$2:$K$3001,0)+COUNTIF($K$2:K2612,K2612)-1)</f>
        <v/>
      </c>
    </row>
    <row r="2613">
      <c r="B2613" t="str">
        <f>IFERROR(IF(A2613="","","="&amp;SUBSTITUTE(SUBSTITUTE(SUBSTITUTE(A2613,"~","~~"),"*","~*"),"?","~?")),"")</f>
        <v/>
      </c>
      <c r="C2613" t="str">
        <f>IF($B2613="","",SUMIFS(dAmt,dCust,$B2613,dPer,"&gt;="&amp;pyFrom,dPer,"&lt;="&amp;pyTo,dAmt,"&gt;-1E+300",dFlt1,critFlt1,dFlt2,critFlt2,dFlt3,critFlt3))</f>
        <v/>
      </c>
      <c r="D2613" t="str">
        <f>IF($B2613="","",SUMIFS(dAmt,dCust,$B2613,dPer,"&gt;="&amp;cyFrom,dPer,"&lt;="&amp;cyTo,dAmt,"&gt;-1E+300",dFlt1,critFlt1,dFlt2,critFlt2,dFlt3,critFlt3))</f>
        <v/>
      </c>
      <c r="E2613" t="str">
        <f>IF($B2613="","",SUMIFS(dQty,dCust,$B2613,dPer,"&gt;="&amp;pyFrom,dPer,"&lt;="&amp;pyTo,dQty,"&gt;-1E+300",dFlt1,critFlt1,dFlt2,critFlt2,dFlt3,critFlt3))</f>
        <v/>
      </c>
      <c r="F2613" t="str">
        <f>IF($B2613="","",SUMIFS(dQty,dCust,$B2613,dPer,"&gt;="&amp;cyFrom,dPer,"&lt;="&amp;cyTo,dQty,"&gt;-1E+300",dFlt1,critFlt1,dFlt2,critFlt2,dFlt3,critFlt3))</f>
        <v/>
      </c>
      <c r="G2613">
        <f>IF($B2613="",0,IFERROR(IF(OR(C2613&lt;&gt;0,D2613&lt;&gt;0,E2613&lt;&gt;0,F2613&lt;&gt;0),1,0),1))</f>
        <v>0</v>
      </c>
      <c r="H2613" t="str">
        <f>IF(OR(G2613=0,E2613=0),"",C2613/E2613)</f>
        <v/>
      </c>
      <c r="I2613" t="str">
        <f>IF(OR(G2613=0,F2613=0),"",D2613/F2613)</f>
        <v/>
      </c>
      <c r="J2613" t="str">
        <f>IF(OR(H2613="",I2613=""),"",IF(H2613=0,"",I2613/H2613-1))</f>
        <v/>
      </c>
      <c r="K2613" t="str">
        <f>IF($B2613="","",IFERROR(IF(G2613=0,-2E+300,CHOOSE(sortIdx,ROUND(D2613,0),IF(J2613="",-1E+300,ROUND(-J2613,6)),IF(J2613="",-1E+300,ROUND(J2613,6)))),-1.5E+300))</f>
        <v/>
      </c>
      <c r="L2613" t="str">
        <f>IF(K2613="","",RANK(K2613,$K$2:$K$3001,0)+COUNTIF($K$2:K2613,K2613)-1)</f>
        <v/>
      </c>
    </row>
    <row r="2614">
      <c r="B2614" t="str">
        <f>IFERROR(IF(A2614="","","="&amp;SUBSTITUTE(SUBSTITUTE(SUBSTITUTE(A2614,"~","~~"),"*","~*"),"?","~?")),"")</f>
        <v/>
      </c>
      <c r="C2614" t="str">
        <f>IF($B2614="","",SUMIFS(dAmt,dCust,$B2614,dPer,"&gt;="&amp;pyFrom,dPer,"&lt;="&amp;pyTo,dAmt,"&gt;-1E+300",dFlt1,critFlt1,dFlt2,critFlt2,dFlt3,critFlt3))</f>
        <v/>
      </c>
      <c r="D2614" t="str">
        <f>IF($B2614="","",SUMIFS(dAmt,dCust,$B2614,dPer,"&gt;="&amp;cyFrom,dPer,"&lt;="&amp;cyTo,dAmt,"&gt;-1E+300",dFlt1,critFlt1,dFlt2,critFlt2,dFlt3,critFlt3))</f>
        <v/>
      </c>
      <c r="E2614" t="str">
        <f>IF($B2614="","",SUMIFS(dQty,dCust,$B2614,dPer,"&gt;="&amp;pyFrom,dPer,"&lt;="&amp;pyTo,dQty,"&gt;-1E+300",dFlt1,critFlt1,dFlt2,critFlt2,dFlt3,critFlt3))</f>
        <v/>
      </c>
      <c r="F2614" t="str">
        <f>IF($B2614="","",SUMIFS(dQty,dCust,$B2614,dPer,"&gt;="&amp;cyFrom,dPer,"&lt;="&amp;cyTo,dQty,"&gt;-1E+300",dFlt1,critFlt1,dFlt2,critFlt2,dFlt3,critFlt3))</f>
        <v/>
      </c>
      <c r="G2614">
        <f>IF($B2614="",0,IFERROR(IF(OR(C2614&lt;&gt;0,D2614&lt;&gt;0,E2614&lt;&gt;0,F2614&lt;&gt;0),1,0),1))</f>
        <v>0</v>
      </c>
      <c r="H2614" t="str">
        <f>IF(OR(G2614=0,E2614=0),"",C2614/E2614)</f>
        <v/>
      </c>
      <c r="I2614" t="str">
        <f>IF(OR(G2614=0,F2614=0),"",D2614/F2614)</f>
        <v/>
      </c>
      <c r="J2614" t="str">
        <f>IF(OR(H2614="",I2614=""),"",IF(H2614=0,"",I2614/H2614-1))</f>
        <v/>
      </c>
      <c r="K2614" t="str">
        <f>IF($B2614="","",IFERROR(IF(G2614=0,-2E+300,CHOOSE(sortIdx,ROUND(D2614,0),IF(J2614="",-1E+300,ROUND(-J2614,6)),IF(J2614="",-1E+300,ROUND(J2614,6)))),-1.5E+300))</f>
        <v/>
      </c>
      <c r="L2614" t="str">
        <f>IF(K2614="","",RANK(K2614,$K$2:$K$3001,0)+COUNTIF($K$2:K2614,K2614)-1)</f>
        <v/>
      </c>
    </row>
    <row r="2615">
      <c r="B2615" t="str">
        <f>IFERROR(IF(A2615="","","="&amp;SUBSTITUTE(SUBSTITUTE(SUBSTITUTE(A2615,"~","~~"),"*","~*"),"?","~?")),"")</f>
        <v/>
      </c>
      <c r="C2615" t="str">
        <f>IF($B2615="","",SUMIFS(dAmt,dCust,$B2615,dPer,"&gt;="&amp;pyFrom,dPer,"&lt;="&amp;pyTo,dAmt,"&gt;-1E+300",dFlt1,critFlt1,dFlt2,critFlt2,dFlt3,critFlt3))</f>
        <v/>
      </c>
      <c r="D2615" t="str">
        <f>IF($B2615="","",SUMIFS(dAmt,dCust,$B2615,dPer,"&gt;="&amp;cyFrom,dPer,"&lt;="&amp;cyTo,dAmt,"&gt;-1E+300",dFlt1,critFlt1,dFlt2,critFlt2,dFlt3,critFlt3))</f>
        <v/>
      </c>
      <c r="E2615" t="str">
        <f>IF($B2615="","",SUMIFS(dQty,dCust,$B2615,dPer,"&gt;="&amp;pyFrom,dPer,"&lt;="&amp;pyTo,dQty,"&gt;-1E+300",dFlt1,critFlt1,dFlt2,critFlt2,dFlt3,critFlt3))</f>
        <v/>
      </c>
      <c r="F2615" t="str">
        <f>IF($B2615="","",SUMIFS(dQty,dCust,$B2615,dPer,"&gt;="&amp;cyFrom,dPer,"&lt;="&amp;cyTo,dQty,"&gt;-1E+300",dFlt1,critFlt1,dFlt2,critFlt2,dFlt3,critFlt3))</f>
        <v/>
      </c>
      <c r="G2615">
        <f>IF($B2615="",0,IFERROR(IF(OR(C2615&lt;&gt;0,D2615&lt;&gt;0,E2615&lt;&gt;0,F2615&lt;&gt;0),1,0),1))</f>
        <v>0</v>
      </c>
      <c r="H2615" t="str">
        <f>IF(OR(G2615=0,E2615=0),"",C2615/E2615)</f>
        <v/>
      </c>
      <c r="I2615" t="str">
        <f>IF(OR(G2615=0,F2615=0),"",D2615/F2615)</f>
        <v/>
      </c>
      <c r="J2615" t="str">
        <f>IF(OR(H2615="",I2615=""),"",IF(H2615=0,"",I2615/H2615-1))</f>
        <v/>
      </c>
      <c r="K2615" t="str">
        <f>IF($B2615="","",IFERROR(IF(G2615=0,-2E+300,CHOOSE(sortIdx,ROUND(D2615,0),IF(J2615="",-1E+300,ROUND(-J2615,6)),IF(J2615="",-1E+300,ROUND(J2615,6)))),-1.5E+300))</f>
        <v/>
      </c>
      <c r="L2615" t="str">
        <f>IF(K2615="","",RANK(K2615,$K$2:$K$3001,0)+COUNTIF($K$2:K2615,K2615)-1)</f>
        <v/>
      </c>
    </row>
    <row r="2616">
      <c r="B2616" t="str">
        <f>IFERROR(IF(A2616="","","="&amp;SUBSTITUTE(SUBSTITUTE(SUBSTITUTE(A2616,"~","~~"),"*","~*"),"?","~?")),"")</f>
        <v/>
      </c>
      <c r="C2616" t="str">
        <f>IF($B2616="","",SUMIFS(dAmt,dCust,$B2616,dPer,"&gt;="&amp;pyFrom,dPer,"&lt;="&amp;pyTo,dAmt,"&gt;-1E+300",dFlt1,critFlt1,dFlt2,critFlt2,dFlt3,critFlt3))</f>
        <v/>
      </c>
      <c r="D2616" t="str">
        <f>IF($B2616="","",SUMIFS(dAmt,dCust,$B2616,dPer,"&gt;="&amp;cyFrom,dPer,"&lt;="&amp;cyTo,dAmt,"&gt;-1E+300",dFlt1,critFlt1,dFlt2,critFlt2,dFlt3,critFlt3))</f>
        <v/>
      </c>
      <c r="E2616" t="str">
        <f>IF($B2616="","",SUMIFS(dQty,dCust,$B2616,dPer,"&gt;="&amp;pyFrom,dPer,"&lt;="&amp;pyTo,dQty,"&gt;-1E+300",dFlt1,critFlt1,dFlt2,critFlt2,dFlt3,critFlt3))</f>
        <v/>
      </c>
      <c r="F2616" t="str">
        <f>IF($B2616="","",SUMIFS(dQty,dCust,$B2616,dPer,"&gt;="&amp;cyFrom,dPer,"&lt;="&amp;cyTo,dQty,"&gt;-1E+300",dFlt1,critFlt1,dFlt2,critFlt2,dFlt3,critFlt3))</f>
        <v/>
      </c>
      <c r="G2616">
        <f>IF($B2616="",0,IFERROR(IF(OR(C2616&lt;&gt;0,D2616&lt;&gt;0,E2616&lt;&gt;0,F2616&lt;&gt;0),1,0),1))</f>
        <v>0</v>
      </c>
      <c r="H2616" t="str">
        <f>IF(OR(G2616=0,E2616=0),"",C2616/E2616)</f>
        <v/>
      </c>
      <c r="I2616" t="str">
        <f>IF(OR(G2616=0,F2616=0),"",D2616/F2616)</f>
        <v/>
      </c>
      <c r="J2616" t="str">
        <f>IF(OR(H2616="",I2616=""),"",IF(H2616=0,"",I2616/H2616-1))</f>
        <v/>
      </c>
      <c r="K2616" t="str">
        <f>IF($B2616="","",IFERROR(IF(G2616=0,-2E+300,CHOOSE(sortIdx,ROUND(D2616,0),IF(J2616="",-1E+300,ROUND(-J2616,6)),IF(J2616="",-1E+300,ROUND(J2616,6)))),-1.5E+300))</f>
        <v/>
      </c>
      <c r="L2616" t="str">
        <f>IF(K2616="","",RANK(K2616,$K$2:$K$3001,0)+COUNTIF($K$2:K2616,K2616)-1)</f>
        <v/>
      </c>
    </row>
    <row r="2617">
      <c r="B2617" t="str">
        <f>IFERROR(IF(A2617="","","="&amp;SUBSTITUTE(SUBSTITUTE(SUBSTITUTE(A2617,"~","~~"),"*","~*"),"?","~?")),"")</f>
        <v/>
      </c>
      <c r="C2617" t="str">
        <f>IF($B2617="","",SUMIFS(dAmt,dCust,$B2617,dPer,"&gt;="&amp;pyFrom,dPer,"&lt;="&amp;pyTo,dAmt,"&gt;-1E+300",dFlt1,critFlt1,dFlt2,critFlt2,dFlt3,critFlt3))</f>
        <v/>
      </c>
      <c r="D2617" t="str">
        <f>IF($B2617="","",SUMIFS(dAmt,dCust,$B2617,dPer,"&gt;="&amp;cyFrom,dPer,"&lt;="&amp;cyTo,dAmt,"&gt;-1E+300",dFlt1,critFlt1,dFlt2,critFlt2,dFlt3,critFlt3))</f>
        <v/>
      </c>
      <c r="E2617" t="str">
        <f>IF($B2617="","",SUMIFS(dQty,dCust,$B2617,dPer,"&gt;="&amp;pyFrom,dPer,"&lt;="&amp;pyTo,dQty,"&gt;-1E+300",dFlt1,critFlt1,dFlt2,critFlt2,dFlt3,critFlt3))</f>
        <v/>
      </c>
      <c r="F2617" t="str">
        <f>IF($B2617="","",SUMIFS(dQty,dCust,$B2617,dPer,"&gt;="&amp;cyFrom,dPer,"&lt;="&amp;cyTo,dQty,"&gt;-1E+300",dFlt1,critFlt1,dFlt2,critFlt2,dFlt3,critFlt3))</f>
        <v/>
      </c>
      <c r="G2617">
        <f>IF($B2617="",0,IFERROR(IF(OR(C2617&lt;&gt;0,D2617&lt;&gt;0,E2617&lt;&gt;0,F2617&lt;&gt;0),1,0),1))</f>
        <v>0</v>
      </c>
      <c r="H2617" t="str">
        <f>IF(OR(G2617=0,E2617=0),"",C2617/E2617)</f>
        <v/>
      </c>
      <c r="I2617" t="str">
        <f>IF(OR(G2617=0,F2617=0),"",D2617/F2617)</f>
        <v/>
      </c>
      <c r="J2617" t="str">
        <f>IF(OR(H2617="",I2617=""),"",IF(H2617=0,"",I2617/H2617-1))</f>
        <v/>
      </c>
      <c r="K2617" t="str">
        <f>IF($B2617="","",IFERROR(IF(G2617=0,-2E+300,CHOOSE(sortIdx,ROUND(D2617,0),IF(J2617="",-1E+300,ROUND(-J2617,6)),IF(J2617="",-1E+300,ROUND(J2617,6)))),-1.5E+300))</f>
        <v/>
      </c>
      <c r="L2617" t="str">
        <f>IF(K2617="","",RANK(K2617,$K$2:$K$3001,0)+COUNTIF($K$2:K2617,K2617)-1)</f>
        <v/>
      </c>
    </row>
    <row r="2618">
      <c r="B2618" t="str">
        <f>IFERROR(IF(A2618="","","="&amp;SUBSTITUTE(SUBSTITUTE(SUBSTITUTE(A2618,"~","~~"),"*","~*"),"?","~?")),"")</f>
        <v/>
      </c>
      <c r="C2618" t="str">
        <f>IF($B2618="","",SUMIFS(dAmt,dCust,$B2618,dPer,"&gt;="&amp;pyFrom,dPer,"&lt;="&amp;pyTo,dAmt,"&gt;-1E+300",dFlt1,critFlt1,dFlt2,critFlt2,dFlt3,critFlt3))</f>
        <v/>
      </c>
      <c r="D2618" t="str">
        <f>IF($B2618="","",SUMIFS(dAmt,dCust,$B2618,dPer,"&gt;="&amp;cyFrom,dPer,"&lt;="&amp;cyTo,dAmt,"&gt;-1E+300",dFlt1,critFlt1,dFlt2,critFlt2,dFlt3,critFlt3))</f>
        <v/>
      </c>
      <c r="E2618" t="str">
        <f>IF($B2618="","",SUMIFS(dQty,dCust,$B2618,dPer,"&gt;="&amp;pyFrom,dPer,"&lt;="&amp;pyTo,dQty,"&gt;-1E+300",dFlt1,critFlt1,dFlt2,critFlt2,dFlt3,critFlt3))</f>
        <v/>
      </c>
      <c r="F2618" t="str">
        <f>IF($B2618="","",SUMIFS(dQty,dCust,$B2618,dPer,"&gt;="&amp;cyFrom,dPer,"&lt;="&amp;cyTo,dQty,"&gt;-1E+300",dFlt1,critFlt1,dFlt2,critFlt2,dFlt3,critFlt3))</f>
        <v/>
      </c>
      <c r="G2618">
        <f>IF($B2618="",0,IFERROR(IF(OR(C2618&lt;&gt;0,D2618&lt;&gt;0,E2618&lt;&gt;0,F2618&lt;&gt;0),1,0),1))</f>
        <v>0</v>
      </c>
      <c r="H2618" t="str">
        <f>IF(OR(G2618=0,E2618=0),"",C2618/E2618)</f>
        <v/>
      </c>
      <c r="I2618" t="str">
        <f>IF(OR(G2618=0,F2618=0),"",D2618/F2618)</f>
        <v/>
      </c>
      <c r="J2618" t="str">
        <f>IF(OR(H2618="",I2618=""),"",IF(H2618=0,"",I2618/H2618-1))</f>
        <v/>
      </c>
      <c r="K2618" t="str">
        <f>IF($B2618="","",IFERROR(IF(G2618=0,-2E+300,CHOOSE(sortIdx,ROUND(D2618,0),IF(J2618="",-1E+300,ROUND(-J2618,6)),IF(J2618="",-1E+300,ROUND(J2618,6)))),-1.5E+300))</f>
        <v/>
      </c>
      <c r="L2618" t="str">
        <f>IF(K2618="","",RANK(K2618,$K$2:$K$3001,0)+COUNTIF($K$2:K2618,K2618)-1)</f>
        <v/>
      </c>
    </row>
    <row r="2619">
      <c r="B2619" t="str">
        <f>IFERROR(IF(A2619="","","="&amp;SUBSTITUTE(SUBSTITUTE(SUBSTITUTE(A2619,"~","~~"),"*","~*"),"?","~?")),"")</f>
        <v/>
      </c>
      <c r="C2619" t="str">
        <f>IF($B2619="","",SUMIFS(dAmt,dCust,$B2619,dPer,"&gt;="&amp;pyFrom,dPer,"&lt;="&amp;pyTo,dAmt,"&gt;-1E+300",dFlt1,critFlt1,dFlt2,critFlt2,dFlt3,critFlt3))</f>
        <v/>
      </c>
      <c r="D2619" t="str">
        <f>IF($B2619="","",SUMIFS(dAmt,dCust,$B2619,dPer,"&gt;="&amp;cyFrom,dPer,"&lt;="&amp;cyTo,dAmt,"&gt;-1E+300",dFlt1,critFlt1,dFlt2,critFlt2,dFlt3,critFlt3))</f>
        <v/>
      </c>
      <c r="E2619" t="str">
        <f>IF($B2619="","",SUMIFS(dQty,dCust,$B2619,dPer,"&gt;="&amp;pyFrom,dPer,"&lt;="&amp;pyTo,dQty,"&gt;-1E+300",dFlt1,critFlt1,dFlt2,critFlt2,dFlt3,critFlt3))</f>
        <v/>
      </c>
      <c r="F2619" t="str">
        <f>IF($B2619="","",SUMIFS(dQty,dCust,$B2619,dPer,"&gt;="&amp;cyFrom,dPer,"&lt;="&amp;cyTo,dQty,"&gt;-1E+300",dFlt1,critFlt1,dFlt2,critFlt2,dFlt3,critFlt3))</f>
        <v/>
      </c>
      <c r="G2619">
        <f>IF($B2619="",0,IFERROR(IF(OR(C2619&lt;&gt;0,D2619&lt;&gt;0,E2619&lt;&gt;0,F2619&lt;&gt;0),1,0),1))</f>
        <v>0</v>
      </c>
      <c r="H2619" t="str">
        <f>IF(OR(G2619=0,E2619=0),"",C2619/E2619)</f>
        <v/>
      </c>
      <c r="I2619" t="str">
        <f>IF(OR(G2619=0,F2619=0),"",D2619/F2619)</f>
        <v/>
      </c>
      <c r="J2619" t="str">
        <f>IF(OR(H2619="",I2619=""),"",IF(H2619=0,"",I2619/H2619-1))</f>
        <v/>
      </c>
      <c r="K2619" t="str">
        <f>IF($B2619="","",IFERROR(IF(G2619=0,-2E+300,CHOOSE(sortIdx,ROUND(D2619,0),IF(J2619="",-1E+300,ROUND(-J2619,6)),IF(J2619="",-1E+300,ROUND(J2619,6)))),-1.5E+300))</f>
        <v/>
      </c>
      <c r="L2619" t="str">
        <f>IF(K2619="","",RANK(K2619,$K$2:$K$3001,0)+COUNTIF($K$2:K2619,K2619)-1)</f>
        <v/>
      </c>
    </row>
    <row r="2620">
      <c r="B2620" t="str">
        <f>IFERROR(IF(A2620="","","="&amp;SUBSTITUTE(SUBSTITUTE(SUBSTITUTE(A2620,"~","~~"),"*","~*"),"?","~?")),"")</f>
        <v/>
      </c>
      <c r="C2620" t="str">
        <f>IF($B2620="","",SUMIFS(dAmt,dCust,$B2620,dPer,"&gt;="&amp;pyFrom,dPer,"&lt;="&amp;pyTo,dAmt,"&gt;-1E+300",dFlt1,critFlt1,dFlt2,critFlt2,dFlt3,critFlt3))</f>
        <v/>
      </c>
      <c r="D2620" t="str">
        <f>IF($B2620="","",SUMIFS(dAmt,dCust,$B2620,dPer,"&gt;="&amp;cyFrom,dPer,"&lt;="&amp;cyTo,dAmt,"&gt;-1E+300",dFlt1,critFlt1,dFlt2,critFlt2,dFlt3,critFlt3))</f>
        <v/>
      </c>
      <c r="E2620" t="str">
        <f>IF($B2620="","",SUMIFS(dQty,dCust,$B2620,dPer,"&gt;="&amp;pyFrom,dPer,"&lt;="&amp;pyTo,dQty,"&gt;-1E+300",dFlt1,critFlt1,dFlt2,critFlt2,dFlt3,critFlt3))</f>
        <v/>
      </c>
      <c r="F2620" t="str">
        <f>IF($B2620="","",SUMIFS(dQty,dCust,$B2620,dPer,"&gt;="&amp;cyFrom,dPer,"&lt;="&amp;cyTo,dQty,"&gt;-1E+300",dFlt1,critFlt1,dFlt2,critFlt2,dFlt3,critFlt3))</f>
        <v/>
      </c>
      <c r="G2620">
        <f>IF($B2620="",0,IFERROR(IF(OR(C2620&lt;&gt;0,D2620&lt;&gt;0,E2620&lt;&gt;0,F2620&lt;&gt;0),1,0),1))</f>
        <v>0</v>
      </c>
      <c r="H2620" t="str">
        <f>IF(OR(G2620=0,E2620=0),"",C2620/E2620)</f>
        <v/>
      </c>
      <c r="I2620" t="str">
        <f>IF(OR(G2620=0,F2620=0),"",D2620/F2620)</f>
        <v/>
      </c>
      <c r="J2620" t="str">
        <f>IF(OR(H2620="",I2620=""),"",IF(H2620=0,"",I2620/H2620-1))</f>
        <v/>
      </c>
      <c r="K2620" t="str">
        <f>IF($B2620="","",IFERROR(IF(G2620=0,-2E+300,CHOOSE(sortIdx,ROUND(D2620,0),IF(J2620="",-1E+300,ROUND(-J2620,6)),IF(J2620="",-1E+300,ROUND(J2620,6)))),-1.5E+300))</f>
        <v/>
      </c>
      <c r="L2620" t="str">
        <f>IF(K2620="","",RANK(K2620,$K$2:$K$3001,0)+COUNTIF($K$2:K2620,K2620)-1)</f>
        <v/>
      </c>
    </row>
    <row r="2621">
      <c r="B2621" t="str">
        <f>IFERROR(IF(A2621="","","="&amp;SUBSTITUTE(SUBSTITUTE(SUBSTITUTE(A2621,"~","~~"),"*","~*"),"?","~?")),"")</f>
        <v/>
      </c>
      <c r="C2621" t="str">
        <f>IF($B2621="","",SUMIFS(dAmt,dCust,$B2621,dPer,"&gt;="&amp;pyFrom,dPer,"&lt;="&amp;pyTo,dAmt,"&gt;-1E+300",dFlt1,critFlt1,dFlt2,critFlt2,dFlt3,critFlt3))</f>
        <v/>
      </c>
      <c r="D2621" t="str">
        <f>IF($B2621="","",SUMIFS(dAmt,dCust,$B2621,dPer,"&gt;="&amp;cyFrom,dPer,"&lt;="&amp;cyTo,dAmt,"&gt;-1E+300",dFlt1,critFlt1,dFlt2,critFlt2,dFlt3,critFlt3))</f>
        <v/>
      </c>
      <c r="E2621" t="str">
        <f>IF($B2621="","",SUMIFS(dQty,dCust,$B2621,dPer,"&gt;="&amp;pyFrom,dPer,"&lt;="&amp;pyTo,dQty,"&gt;-1E+300",dFlt1,critFlt1,dFlt2,critFlt2,dFlt3,critFlt3))</f>
        <v/>
      </c>
      <c r="F2621" t="str">
        <f>IF($B2621="","",SUMIFS(dQty,dCust,$B2621,dPer,"&gt;="&amp;cyFrom,dPer,"&lt;="&amp;cyTo,dQty,"&gt;-1E+300",dFlt1,critFlt1,dFlt2,critFlt2,dFlt3,critFlt3))</f>
        <v/>
      </c>
      <c r="G2621">
        <f>IF($B2621="",0,IFERROR(IF(OR(C2621&lt;&gt;0,D2621&lt;&gt;0,E2621&lt;&gt;0,F2621&lt;&gt;0),1,0),1))</f>
        <v>0</v>
      </c>
      <c r="H2621" t="str">
        <f>IF(OR(G2621=0,E2621=0),"",C2621/E2621)</f>
        <v/>
      </c>
      <c r="I2621" t="str">
        <f>IF(OR(G2621=0,F2621=0),"",D2621/F2621)</f>
        <v/>
      </c>
      <c r="J2621" t="str">
        <f>IF(OR(H2621="",I2621=""),"",IF(H2621=0,"",I2621/H2621-1))</f>
        <v/>
      </c>
      <c r="K2621" t="str">
        <f>IF($B2621="","",IFERROR(IF(G2621=0,-2E+300,CHOOSE(sortIdx,ROUND(D2621,0),IF(J2621="",-1E+300,ROUND(-J2621,6)),IF(J2621="",-1E+300,ROUND(J2621,6)))),-1.5E+300))</f>
        <v/>
      </c>
      <c r="L2621" t="str">
        <f>IF(K2621="","",RANK(K2621,$K$2:$K$3001,0)+COUNTIF($K$2:K2621,K2621)-1)</f>
        <v/>
      </c>
    </row>
    <row r="2622">
      <c r="B2622" t="str">
        <f>IFERROR(IF(A2622="","","="&amp;SUBSTITUTE(SUBSTITUTE(SUBSTITUTE(A2622,"~","~~"),"*","~*"),"?","~?")),"")</f>
        <v/>
      </c>
      <c r="C2622" t="str">
        <f>IF($B2622="","",SUMIFS(dAmt,dCust,$B2622,dPer,"&gt;="&amp;pyFrom,dPer,"&lt;="&amp;pyTo,dAmt,"&gt;-1E+300",dFlt1,critFlt1,dFlt2,critFlt2,dFlt3,critFlt3))</f>
        <v/>
      </c>
      <c r="D2622" t="str">
        <f>IF($B2622="","",SUMIFS(dAmt,dCust,$B2622,dPer,"&gt;="&amp;cyFrom,dPer,"&lt;="&amp;cyTo,dAmt,"&gt;-1E+300",dFlt1,critFlt1,dFlt2,critFlt2,dFlt3,critFlt3))</f>
        <v/>
      </c>
      <c r="E2622" t="str">
        <f>IF($B2622="","",SUMIFS(dQty,dCust,$B2622,dPer,"&gt;="&amp;pyFrom,dPer,"&lt;="&amp;pyTo,dQty,"&gt;-1E+300",dFlt1,critFlt1,dFlt2,critFlt2,dFlt3,critFlt3))</f>
        <v/>
      </c>
      <c r="F2622" t="str">
        <f>IF($B2622="","",SUMIFS(dQty,dCust,$B2622,dPer,"&gt;="&amp;cyFrom,dPer,"&lt;="&amp;cyTo,dQty,"&gt;-1E+300",dFlt1,critFlt1,dFlt2,critFlt2,dFlt3,critFlt3))</f>
        <v/>
      </c>
      <c r="G2622">
        <f>IF($B2622="",0,IFERROR(IF(OR(C2622&lt;&gt;0,D2622&lt;&gt;0,E2622&lt;&gt;0,F2622&lt;&gt;0),1,0),1))</f>
        <v>0</v>
      </c>
      <c r="H2622" t="str">
        <f>IF(OR(G2622=0,E2622=0),"",C2622/E2622)</f>
        <v/>
      </c>
      <c r="I2622" t="str">
        <f>IF(OR(G2622=0,F2622=0),"",D2622/F2622)</f>
        <v/>
      </c>
      <c r="J2622" t="str">
        <f>IF(OR(H2622="",I2622=""),"",IF(H2622=0,"",I2622/H2622-1))</f>
        <v/>
      </c>
      <c r="K2622" t="str">
        <f>IF($B2622="","",IFERROR(IF(G2622=0,-2E+300,CHOOSE(sortIdx,ROUND(D2622,0),IF(J2622="",-1E+300,ROUND(-J2622,6)),IF(J2622="",-1E+300,ROUND(J2622,6)))),-1.5E+300))</f>
        <v/>
      </c>
      <c r="L2622" t="str">
        <f>IF(K2622="","",RANK(K2622,$K$2:$K$3001,0)+COUNTIF($K$2:K2622,K2622)-1)</f>
        <v/>
      </c>
    </row>
    <row r="2623">
      <c r="B2623" t="str">
        <f>IFERROR(IF(A2623="","","="&amp;SUBSTITUTE(SUBSTITUTE(SUBSTITUTE(A2623,"~","~~"),"*","~*"),"?","~?")),"")</f>
        <v/>
      </c>
      <c r="C2623" t="str">
        <f>IF($B2623="","",SUMIFS(dAmt,dCust,$B2623,dPer,"&gt;="&amp;pyFrom,dPer,"&lt;="&amp;pyTo,dAmt,"&gt;-1E+300",dFlt1,critFlt1,dFlt2,critFlt2,dFlt3,critFlt3))</f>
        <v/>
      </c>
      <c r="D2623" t="str">
        <f>IF($B2623="","",SUMIFS(dAmt,dCust,$B2623,dPer,"&gt;="&amp;cyFrom,dPer,"&lt;="&amp;cyTo,dAmt,"&gt;-1E+300",dFlt1,critFlt1,dFlt2,critFlt2,dFlt3,critFlt3))</f>
        <v/>
      </c>
      <c r="E2623" t="str">
        <f>IF($B2623="","",SUMIFS(dQty,dCust,$B2623,dPer,"&gt;="&amp;pyFrom,dPer,"&lt;="&amp;pyTo,dQty,"&gt;-1E+300",dFlt1,critFlt1,dFlt2,critFlt2,dFlt3,critFlt3))</f>
        <v/>
      </c>
      <c r="F2623" t="str">
        <f>IF($B2623="","",SUMIFS(dQty,dCust,$B2623,dPer,"&gt;="&amp;cyFrom,dPer,"&lt;="&amp;cyTo,dQty,"&gt;-1E+300",dFlt1,critFlt1,dFlt2,critFlt2,dFlt3,critFlt3))</f>
        <v/>
      </c>
      <c r="G2623">
        <f>IF($B2623="",0,IFERROR(IF(OR(C2623&lt;&gt;0,D2623&lt;&gt;0,E2623&lt;&gt;0,F2623&lt;&gt;0),1,0),1))</f>
        <v>0</v>
      </c>
      <c r="H2623" t="str">
        <f>IF(OR(G2623=0,E2623=0),"",C2623/E2623)</f>
        <v/>
      </c>
      <c r="I2623" t="str">
        <f>IF(OR(G2623=0,F2623=0),"",D2623/F2623)</f>
        <v/>
      </c>
      <c r="J2623" t="str">
        <f>IF(OR(H2623="",I2623=""),"",IF(H2623=0,"",I2623/H2623-1))</f>
        <v/>
      </c>
      <c r="K2623" t="str">
        <f>IF($B2623="","",IFERROR(IF(G2623=0,-2E+300,CHOOSE(sortIdx,ROUND(D2623,0),IF(J2623="",-1E+300,ROUND(-J2623,6)),IF(J2623="",-1E+300,ROUND(J2623,6)))),-1.5E+300))</f>
        <v/>
      </c>
      <c r="L2623" t="str">
        <f>IF(K2623="","",RANK(K2623,$K$2:$K$3001,0)+COUNTIF($K$2:K2623,K2623)-1)</f>
        <v/>
      </c>
    </row>
    <row r="2624">
      <c r="B2624" t="str">
        <f>IFERROR(IF(A2624="","","="&amp;SUBSTITUTE(SUBSTITUTE(SUBSTITUTE(A2624,"~","~~"),"*","~*"),"?","~?")),"")</f>
        <v/>
      </c>
      <c r="C2624" t="str">
        <f>IF($B2624="","",SUMIFS(dAmt,dCust,$B2624,dPer,"&gt;="&amp;pyFrom,dPer,"&lt;="&amp;pyTo,dAmt,"&gt;-1E+300",dFlt1,critFlt1,dFlt2,critFlt2,dFlt3,critFlt3))</f>
        <v/>
      </c>
      <c r="D2624" t="str">
        <f>IF($B2624="","",SUMIFS(dAmt,dCust,$B2624,dPer,"&gt;="&amp;cyFrom,dPer,"&lt;="&amp;cyTo,dAmt,"&gt;-1E+300",dFlt1,critFlt1,dFlt2,critFlt2,dFlt3,critFlt3))</f>
        <v/>
      </c>
      <c r="E2624" t="str">
        <f>IF($B2624="","",SUMIFS(dQty,dCust,$B2624,dPer,"&gt;="&amp;pyFrom,dPer,"&lt;="&amp;pyTo,dQty,"&gt;-1E+300",dFlt1,critFlt1,dFlt2,critFlt2,dFlt3,critFlt3))</f>
        <v/>
      </c>
      <c r="F2624" t="str">
        <f>IF($B2624="","",SUMIFS(dQty,dCust,$B2624,dPer,"&gt;="&amp;cyFrom,dPer,"&lt;="&amp;cyTo,dQty,"&gt;-1E+300",dFlt1,critFlt1,dFlt2,critFlt2,dFlt3,critFlt3))</f>
        <v/>
      </c>
      <c r="G2624">
        <f>IF($B2624="",0,IFERROR(IF(OR(C2624&lt;&gt;0,D2624&lt;&gt;0,E2624&lt;&gt;0,F2624&lt;&gt;0),1,0),1))</f>
        <v>0</v>
      </c>
      <c r="H2624" t="str">
        <f>IF(OR(G2624=0,E2624=0),"",C2624/E2624)</f>
        <v/>
      </c>
      <c r="I2624" t="str">
        <f>IF(OR(G2624=0,F2624=0),"",D2624/F2624)</f>
        <v/>
      </c>
      <c r="J2624" t="str">
        <f>IF(OR(H2624="",I2624=""),"",IF(H2624=0,"",I2624/H2624-1))</f>
        <v/>
      </c>
      <c r="K2624" t="str">
        <f>IF($B2624="","",IFERROR(IF(G2624=0,-2E+300,CHOOSE(sortIdx,ROUND(D2624,0),IF(J2624="",-1E+300,ROUND(-J2624,6)),IF(J2624="",-1E+300,ROUND(J2624,6)))),-1.5E+300))</f>
        <v/>
      </c>
      <c r="L2624" t="str">
        <f>IF(K2624="","",RANK(K2624,$K$2:$K$3001,0)+COUNTIF($K$2:K2624,K2624)-1)</f>
        <v/>
      </c>
    </row>
    <row r="2625">
      <c r="B2625" t="str">
        <f>IFERROR(IF(A2625="","","="&amp;SUBSTITUTE(SUBSTITUTE(SUBSTITUTE(A2625,"~","~~"),"*","~*"),"?","~?")),"")</f>
        <v/>
      </c>
      <c r="C2625" t="str">
        <f>IF($B2625="","",SUMIFS(dAmt,dCust,$B2625,dPer,"&gt;="&amp;pyFrom,dPer,"&lt;="&amp;pyTo,dAmt,"&gt;-1E+300",dFlt1,critFlt1,dFlt2,critFlt2,dFlt3,critFlt3))</f>
        <v/>
      </c>
      <c r="D2625" t="str">
        <f>IF($B2625="","",SUMIFS(dAmt,dCust,$B2625,dPer,"&gt;="&amp;cyFrom,dPer,"&lt;="&amp;cyTo,dAmt,"&gt;-1E+300",dFlt1,critFlt1,dFlt2,critFlt2,dFlt3,critFlt3))</f>
        <v/>
      </c>
      <c r="E2625" t="str">
        <f>IF($B2625="","",SUMIFS(dQty,dCust,$B2625,dPer,"&gt;="&amp;pyFrom,dPer,"&lt;="&amp;pyTo,dQty,"&gt;-1E+300",dFlt1,critFlt1,dFlt2,critFlt2,dFlt3,critFlt3))</f>
        <v/>
      </c>
      <c r="F2625" t="str">
        <f>IF($B2625="","",SUMIFS(dQty,dCust,$B2625,dPer,"&gt;="&amp;cyFrom,dPer,"&lt;="&amp;cyTo,dQty,"&gt;-1E+300",dFlt1,critFlt1,dFlt2,critFlt2,dFlt3,critFlt3))</f>
        <v/>
      </c>
      <c r="G2625">
        <f>IF($B2625="",0,IFERROR(IF(OR(C2625&lt;&gt;0,D2625&lt;&gt;0,E2625&lt;&gt;0,F2625&lt;&gt;0),1,0),1))</f>
        <v>0</v>
      </c>
      <c r="H2625" t="str">
        <f>IF(OR(G2625=0,E2625=0),"",C2625/E2625)</f>
        <v/>
      </c>
      <c r="I2625" t="str">
        <f>IF(OR(G2625=0,F2625=0),"",D2625/F2625)</f>
        <v/>
      </c>
      <c r="J2625" t="str">
        <f>IF(OR(H2625="",I2625=""),"",IF(H2625=0,"",I2625/H2625-1))</f>
        <v/>
      </c>
      <c r="K2625" t="str">
        <f>IF($B2625="","",IFERROR(IF(G2625=0,-2E+300,CHOOSE(sortIdx,ROUND(D2625,0),IF(J2625="",-1E+300,ROUND(-J2625,6)),IF(J2625="",-1E+300,ROUND(J2625,6)))),-1.5E+300))</f>
        <v/>
      </c>
      <c r="L2625" t="str">
        <f>IF(K2625="","",RANK(K2625,$K$2:$K$3001,0)+COUNTIF($K$2:K2625,K2625)-1)</f>
        <v/>
      </c>
    </row>
    <row r="2626">
      <c r="B2626" t="str">
        <f>IFERROR(IF(A2626="","","="&amp;SUBSTITUTE(SUBSTITUTE(SUBSTITUTE(A2626,"~","~~"),"*","~*"),"?","~?")),"")</f>
        <v/>
      </c>
      <c r="C2626" t="str">
        <f>IF($B2626="","",SUMIFS(dAmt,dCust,$B2626,dPer,"&gt;="&amp;pyFrom,dPer,"&lt;="&amp;pyTo,dAmt,"&gt;-1E+300",dFlt1,critFlt1,dFlt2,critFlt2,dFlt3,critFlt3))</f>
        <v/>
      </c>
      <c r="D2626" t="str">
        <f>IF($B2626="","",SUMIFS(dAmt,dCust,$B2626,dPer,"&gt;="&amp;cyFrom,dPer,"&lt;="&amp;cyTo,dAmt,"&gt;-1E+300",dFlt1,critFlt1,dFlt2,critFlt2,dFlt3,critFlt3))</f>
        <v/>
      </c>
      <c r="E2626" t="str">
        <f>IF($B2626="","",SUMIFS(dQty,dCust,$B2626,dPer,"&gt;="&amp;pyFrom,dPer,"&lt;="&amp;pyTo,dQty,"&gt;-1E+300",dFlt1,critFlt1,dFlt2,critFlt2,dFlt3,critFlt3))</f>
        <v/>
      </c>
      <c r="F2626" t="str">
        <f>IF($B2626="","",SUMIFS(dQty,dCust,$B2626,dPer,"&gt;="&amp;cyFrom,dPer,"&lt;="&amp;cyTo,dQty,"&gt;-1E+300",dFlt1,critFlt1,dFlt2,critFlt2,dFlt3,critFlt3))</f>
        <v/>
      </c>
      <c r="G2626">
        <f>IF($B2626="",0,IFERROR(IF(OR(C2626&lt;&gt;0,D2626&lt;&gt;0,E2626&lt;&gt;0,F2626&lt;&gt;0),1,0),1))</f>
        <v>0</v>
      </c>
      <c r="H2626" t="str">
        <f>IF(OR(G2626=0,E2626=0),"",C2626/E2626)</f>
        <v/>
      </c>
      <c r="I2626" t="str">
        <f>IF(OR(G2626=0,F2626=0),"",D2626/F2626)</f>
        <v/>
      </c>
      <c r="J2626" t="str">
        <f>IF(OR(H2626="",I2626=""),"",IF(H2626=0,"",I2626/H2626-1))</f>
        <v/>
      </c>
      <c r="K2626" t="str">
        <f>IF($B2626="","",IFERROR(IF(G2626=0,-2E+300,CHOOSE(sortIdx,ROUND(D2626,0),IF(J2626="",-1E+300,ROUND(-J2626,6)),IF(J2626="",-1E+300,ROUND(J2626,6)))),-1.5E+300))</f>
        <v/>
      </c>
      <c r="L2626" t="str">
        <f>IF(K2626="","",RANK(K2626,$K$2:$K$3001,0)+COUNTIF($K$2:K2626,K2626)-1)</f>
        <v/>
      </c>
    </row>
    <row r="2627">
      <c r="B2627" t="str">
        <f>IFERROR(IF(A2627="","","="&amp;SUBSTITUTE(SUBSTITUTE(SUBSTITUTE(A2627,"~","~~"),"*","~*"),"?","~?")),"")</f>
        <v/>
      </c>
      <c r="C2627" t="str">
        <f>IF($B2627="","",SUMIFS(dAmt,dCust,$B2627,dPer,"&gt;="&amp;pyFrom,dPer,"&lt;="&amp;pyTo,dAmt,"&gt;-1E+300",dFlt1,critFlt1,dFlt2,critFlt2,dFlt3,critFlt3))</f>
        <v/>
      </c>
      <c r="D2627" t="str">
        <f>IF($B2627="","",SUMIFS(dAmt,dCust,$B2627,dPer,"&gt;="&amp;cyFrom,dPer,"&lt;="&amp;cyTo,dAmt,"&gt;-1E+300",dFlt1,critFlt1,dFlt2,critFlt2,dFlt3,critFlt3))</f>
        <v/>
      </c>
      <c r="E2627" t="str">
        <f>IF($B2627="","",SUMIFS(dQty,dCust,$B2627,dPer,"&gt;="&amp;pyFrom,dPer,"&lt;="&amp;pyTo,dQty,"&gt;-1E+300",dFlt1,critFlt1,dFlt2,critFlt2,dFlt3,critFlt3))</f>
        <v/>
      </c>
      <c r="F2627" t="str">
        <f>IF($B2627="","",SUMIFS(dQty,dCust,$B2627,dPer,"&gt;="&amp;cyFrom,dPer,"&lt;="&amp;cyTo,dQty,"&gt;-1E+300",dFlt1,critFlt1,dFlt2,critFlt2,dFlt3,critFlt3))</f>
        <v/>
      </c>
      <c r="G2627">
        <f>IF($B2627="",0,IFERROR(IF(OR(C2627&lt;&gt;0,D2627&lt;&gt;0,E2627&lt;&gt;0,F2627&lt;&gt;0),1,0),1))</f>
        <v>0</v>
      </c>
      <c r="H2627" t="str">
        <f>IF(OR(G2627=0,E2627=0),"",C2627/E2627)</f>
        <v/>
      </c>
      <c r="I2627" t="str">
        <f>IF(OR(G2627=0,F2627=0),"",D2627/F2627)</f>
        <v/>
      </c>
      <c r="J2627" t="str">
        <f>IF(OR(H2627="",I2627=""),"",IF(H2627=0,"",I2627/H2627-1))</f>
        <v/>
      </c>
      <c r="K2627" t="str">
        <f>IF($B2627="","",IFERROR(IF(G2627=0,-2E+300,CHOOSE(sortIdx,ROUND(D2627,0),IF(J2627="",-1E+300,ROUND(-J2627,6)),IF(J2627="",-1E+300,ROUND(J2627,6)))),-1.5E+300))</f>
        <v/>
      </c>
      <c r="L2627" t="str">
        <f>IF(K2627="","",RANK(K2627,$K$2:$K$3001,0)+COUNTIF($K$2:K2627,K2627)-1)</f>
        <v/>
      </c>
    </row>
    <row r="2628">
      <c r="B2628" t="str">
        <f>IFERROR(IF(A2628="","","="&amp;SUBSTITUTE(SUBSTITUTE(SUBSTITUTE(A2628,"~","~~"),"*","~*"),"?","~?")),"")</f>
        <v/>
      </c>
      <c r="C2628" t="str">
        <f>IF($B2628="","",SUMIFS(dAmt,dCust,$B2628,dPer,"&gt;="&amp;pyFrom,dPer,"&lt;="&amp;pyTo,dAmt,"&gt;-1E+300",dFlt1,critFlt1,dFlt2,critFlt2,dFlt3,critFlt3))</f>
        <v/>
      </c>
      <c r="D2628" t="str">
        <f>IF($B2628="","",SUMIFS(dAmt,dCust,$B2628,dPer,"&gt;="&amp;cyFrom,dPer,"&lt;="&amp;cyTo,dAmt,"&gt;-1E+300",dFlt1,critFlt1,dFlt2,critFlt2,dFlt3,critFlt3))</f>
        <v/>
      </c>
      <c r="E2628" t="str">
        <f>IF($B2628="","",SUMIFS(dQty,dCust,$B2628,dPer,"&gt;="&amp;pyFrom,dPer,"&lt;="&amp;pyTo,dQty,"&gt;-1E+300",dFlt1,critFlt1,dFlt2,critFlt2,dFlt3,critFlt3))</f>
        <v/>
      </c>
      <c r="F2628" t="str">
        <f>IF($B2628="","",SUMIFS(dQty,dCust,$B2628,dPer,"&gt;="&amp;cyFrom,dPer,"&lt;="&amp;cyTo,dQty,"&gt;-1E+300",dFlt1,critFlt1,dFlt2,critFlt2,dFlt3,critFlt3))</f>
        <v/>
      </c>
      <c r="G2628">
        <f>IF($B2628="",0,IFERROR(IF(OR(C2628&lt;&gt;0,D2628&lt;&gt;0,E2628&lt;&gt;0,F2628&lt;&gt;0),1,0),1))</f>
        <v>0</v>
      </c>
      <c r="H2628" t="str">
        <f>IF(OR(G2628=0,E2628=0),"",C2628/E2628)</f>
        <v/>
      </c>
      <c r="I2628" t="str">
        <f>IF(OR(G2628=0,F2628=0),"",D2628/F2628)</f>
        <v/>
      </c>
      <c r="J2628" t="str">
        <f>IF(OR(H2628="",I2628=""),"",IF(H2628=0,"",I2628/H2628-1))</f>
        <v/>
      </c>
      <c r="K2628" t="str">
        <f>IF($B2628="","",IFERROR(IF(G2628=0,-2E+300,CHOOSE(sortIdx,ROUND(D2628,0),IF(J2628="",-1E+300,ROUND(-J2628,6)),IF(J2628="",-1E+300,ROUND(J2628,6)))),-1.5E+300))</f>
        <v/>
      </c>
      <c r="L2628" t="str">
        <f>IF(K2628="","",RANK(K2628,$K$2:$K$3001,0)+COUNTIF($K$2:K2628,K2628)-1)</f>
        <v/>
      </c>
    </row>
    <row r="2629">
      <c r="B2629" t="str">
        <f>IFERROR(IF(A2629="","","="&amp;SUBSTITUTE(SUBSTITUTE(SUBSTITUTE(A2629,"~","~~"),"*","~*"),"?","~?")),"")</f>
        <v/>
      </c>
      <c r="C2629" t="str">
        <f>IF($B2629="","",SUMIFS(dAmt,dCust,$B2629,dPer,"&gt;="&amp;pyFrom,dPer,"&lt;="&amp;pyTo,dAmt,"&gt;-1E+300",dFlt1,critFlt1,dFlt2,critFlt2,dFlt3,critFlt3))</f>
        <v/>
      </c>
      <c r="D2629" t="str">
        <f>IF($B2629="","",SUMIFS(dAmt,dCust,$B2629,dPer,"&gt;="&amp;cyFrom,dPer,"&lt;="&amp;cyTo,dAmt,"&gt;-1E+300",dFlt1,critFlt1,dFlt2,critFlt2,dFlt3,critFlt3))</f>
        <v/>
      </c>
      <c r="E2629" t="str">
        <f>IF($B2629="","",SUMIFS(dQty,dCust,$B2629,dPer,"&gt;="&amp;pyFrom,dPer,"&lt;="&amp;pyTo,dQty,"&gt;-1E+300",dFlt1,critFlt1,dFlt2,critFlt2,dFlt3,critFlt3))</f>
        <v/>
      </c>
      <c r="F2629" t="str">
        <f>IF($B2629="","",SUMIFS(dQty,dCust,$B2629,dPer,"&gt;="&amp;cyFrom,dPer,"&lt;="&amp;cyTo,dQty,"&gt;-1E+300",dFlt1,critFlt1,dFlt2,critFlt2,dFlt3,critFlt3))</f>
        <v/>
      </c>
      <c r="G2629">
        <f>IF($B2629="",0,IFERROR(IF(OR(C2629&lt;&gt;0,D2629&lt;&gt;0,E2629&lt;&gt;0,F2629&lt;&gt;0),1,0),1))</f>
        <v>0</v>
      </c>
      <c r="H2629" t="str">
        <f>IF(OR(G2629=0,E2629=0),"",C2629/E2629)</f>
        <v/>
      </c>
      <c r="I2629" t="str">
        <f>IF(OR(G2629=0,F2629=0),"",D2629/F2629)</f>
        <v/>
      </c>
      <c r="J2629" t="str">
        <f>IF(OR(H2629="",I2629=""),"",IF(H2629=0,"",I2629/H2629-1))</f>
        <v/>
      </c>
      <c r="K2629" t="str">
        <f>IF($B2629="","",IFERROR(IF(G2629=0,-2E+300,CHOOSE(sortIdx,ROUND(D2629,0),IF(J2629="",-1E+300,ROUND(-J2629,6)),IF(J2629="",-1E+300,ROUND(J2629,6)))),-1.5E+300))</f>
        <v/>
      </c>
      <c r="L2629" t="str">
        <f>IF(K2629="","",RANK(K2629,$K$2:$K$3001,0)+COUNTIF($K$2:K2629,K2629)-1)</f>
        <v/>
      </c>
    </row>
    <row r="2630">
      <c r="B2630" t="str">
        <f>IFERROR(IF(A2630="","","="&amp;SUBSTITUTE(SUBSTITUTE(SUBSTITUTE(A2630,"~","~~"),"*","~*"),"?","~?")),"")</f>
        <v/>
      </c>
      <c r="C2630" t="str">
        <f>IF($B2630="","",SUMIFS(dAmt,dCust,$B2630,dPer,"&gt;="&amp;pyFrom,dPer,"&lt;="&amp;pyTo,dAmt,"&gt;-1E+300",dFlt1,critFlt1,dFlt2,critFlt2,dFlt3,critFlt3))</f>
        <v/>
      </c>
      <c r="D2630" t="str">
        <f>IF($B2630="","",SUMIFS(dAmt,dCust,$B2630,dPer,"&gt;="&amp;cyFrom,dPer,"&lt;="&amp;cyTo,dAmt,"&gt;-1E+300",dFlt1,critFlt1,dFlt2,critFlt2,dFlt3,critFlt3))</f>
        <v/>
      </c>
      <c r="E2630" t="str">
        <f>IF($B2630="","",SUMIFS(dQty,dCust,$B2630,dPer,"&gt;="&amp;pyFrom,dPer,"&lt;="&amp;pyTo,dQty,"&gt;-1E+300",dFlt1,critFlt1,dFlt2,critFlt2,dFlt3,critFlt3))</f>
        <v/>
      </c>
      <c r="F2630" t="str">
        <f>IF($B2630="","",SUMIFS(dQty,dCust,$B2630,dPer,"&gt;="&amp;cyFrom,dPer,"&lt;="&amp;cyTo,dQty,"&gt;-1E+300",dFlt1,critFlt1,dFlt2,critFlt2,dFlt3,critFlt3))</f>
        <v/>
      </c>
      <c r="G2630">
        <f>IF($B2630="",0,IFERROR(IF(OR(C2630&lt;&gt;0,D2630&lt;&gt;0,E2630&lt;&gt;0,F2630&lt;&gt;0),1,0),1))</f>
        <v>0</v>
      </c>
      <c r="H2630" t="str">
        <f>IF(OR(G2630=0,E2630=0),"",C2630/E2630)</f>
        <v/>
      </c>
      <c r="I2630" t="str">
        <f>IF(OR(G2630=0,F2630=0),"",D2630/F2630)</f>
        <v/>
      </c>
      <c r="J2630" t="str">
        <f>IF(OR(H2630="",I2630=""),"",IF(H2630=0,"",I2630/H2630-1))</f>
        <v/>
      </c>
      <c r="K2630" t="str">
        <f>IF($B2630="","",IFERROR(IF(G2630=0,-2E+300,CHOOSE(sortIdx,ROUND(D2630,0),IF(J2630="",-1E+300,ROUND(-J2630,6)),IF(J2630="",-1E+300,ROUND(J2630,6)))),-1.5E+300))</f>
        <v/>
      </c>
      <c r="L2630" t="str">
        <f>IF(K2630="","",RANK(K2630,$K$2:$K$3001,0)+COUNTIF($K$2:K2630,K2630)-1)</f>
        <v/>
      </c>
    </row>
    <row r="2631">
      <c r="B2631" t="str">
        <f>IFERROR(IF(A2631="","","="&amp;SUBSTITUTE(SUBSTITUTE(SUBSTITUTE(A2631,"~","~~"),"*","~*"),"?","~?")),"")</f>
        <v/>
      </c>
      <c r="C2631" t="str">
        <f>IF($B2631="","",SUMIFS(dAmt,dCust,$B2631,dPer,"&gt;="&amp;pyFrom,dPer,"&lt;="&amp;pyTo,dAmt,"&gt;-1E+300",dFlt1,critFlt1,dFlt2,critFlt2,dFlt3,critFlt3))</f>
        <v/>
      </c>
      <c r="D2631" t="str">
        <f>IF($B2631="","",SUMIFS(dAmt,dCust,$B2631,dPer,"&gt;="&amp;cyFrom,dPer,"&lt;="&amp;cyTo,dAmt,"&gt;-1E+300",dFlt1,critFlt1,dFlt2,critFlt2,dFlt3,critFlt3))</f>
        <v/>
      </c>
      <c r="E2631" t="str">
        <f>IF($B2631="","",SUMIFS(dQty,dCust,$B2631,dPer,"&gt;="&amp;pyFrom,dPer,"&lt;="&amp;pyTo,dQty,"&gt;-1E+300",dFlt1,critFlt1,dFlt2,critFlt2,dFlt3,critFlt3))</f>
        <v/>
      </c>
      <c r="F2631" t="str">
        <f>IF($B2631="","",SUMIFS(dQty,dCust,$B2631,dPer,"&gt;="&amp;cyFrom,dPer,"&lt;="&amp;cyTo,dQty,"&gt;-1E+300",dFlt1,critFlt1,dFlt2,critFlt2,dFlt3,critFlt3))</f>
        <v/>
      </c>
      <c r="G2631">
        <f>IF($B2631="",0,IFERROR(IF(OR(C2631&lt;&gt;0,D2631&lt;&gt;0,E2631&lt;&gt;0,F2631&lt;&gt;0),1,0),1))</f>
        <v>0</v>
      </c>
      <c r="H2631" t="str">
        <f>IF(OR(G2631=0,E2631=0),"",C2631/E2631)</f>
        <v/>
      </c>
      <c r="I2631" t="str">
        <f>IF(OR(G2631=0,F2631=0),"",D2631/F2631)</f>
        <v/>
      </c>
      <c r="J2631" t="str">
        <f>IF(OR(H2631="",I2631=""),"",IF(H2631=0,"",I2631/H2631-1))</f>
        <v/>
      </c>
      <c r="K2631" t="str">
        <f>IF($B2631="","",IFERROR(IF(G2631=0,-2E+300,CHOOSE(sortIdx,ROUND(D2631,0),IF(J2631="",-1E+300,ROUND(-J2631,6)),IF(J2631="",-1E+300,ROUND(J2631,6)))),-1.5E+300))</f>
        <v/>
      </c>
      <c r="L2631" t="str">
        <f>IF(K2631="","",RANK(K2631,$K$2:$K$3001,0)+COUNTIF($K$2:K2631,K2631)-1)</f>
        <v/>
      </c>
    </row>
    <row r="2632">
      <c r="B2632" t="str">
        <f>IFERROR(IF(A2632="","","="&amp;SUBSTITUTE(SUBSTITUTE(SUBSTITUTE(A2632,"~","~~"),"*","~*"),"?","~?")),"")</f>
        <v/>
      </c>
      <c r="C2632" t="str">
        <f>IF($B2632="","",SUMIFS(dAmt,dCust,$B2632,dPer,"&gt;="&amp;pyFrom,dPer,"&lt;="&amp;pyTo,dAmt,"&gt;-1E+300",dFlt1,critFlt1,dFlt2,critFlt2,dFlt3,critFlt3))</f>
        <v/>
      </c>
      <c r="D2632" t="str">
        <f>IF($B2632="","",SUMIFS(dAmt,dCust,$B2632,dPer,"&gt;="&amp;cyFrom,dPer,"&lt;="&amp;cyTo,dAmt,"&gt;-1E+300",dFlt1,critFlt1,dFlt2,critFlt2,dFlt3,critFlt3))</f>
        <v/>
      </c>
      <c r="E2632" t="str">
        <f>IF($B2632="","",SUMIFS(dQty,dCust,$B2632,dPer,"&gt;="&amp;pyFrom,dPer,"&lt;="&amp;pyTo,dQty,"&gt;-1E+300",dFlt1,critFlt1,dFlt2,critFlt2,dFlt3,critFlt3))</f>
        <v/>
      </c>
      <c r="F2632" t="str">
        <f>IF($B2632="","",SUMIFS(dQty,dCust,$B2632,dPer,"&gt;="&amp;cyFrom,dPer,"&lt;="&amp;cyTo,dQty,"&gt;-1E+300",dFlt1,critFlt1,dFlt2,critFlt2,dFlt3,critFlt3))</f>
        <v/>
      </c>
      <c r="G2632">
        <f>IF($B2632="",0,IFERROR(IF(OR(C2632&lt;&gt;0,D2632&lt;&gt;0,E2632&lt;&gt;0,F2632&lt;&gt;0),1,0),1))</f>
        <v>0</v>
      </c>
      <c r="H2632" t="str">
        <f>IF(OR(G2632=0,E2632=0),"",C2632/E2632)</f>
        <v/>
      </c>
      <c r="I2632" t="str">
        <f>IF(OR(G2632=0,F2632=0),"",D2632/F2632)</f>
        <v/>
      </c>
      <c r="J2632" t="str">
        <f>IF(OR(H2632="",I2632=""),"",IF(H2632=0,"",I2632/H2632-1))</f>
        <v/>
      </c>
      <c r="K2632" t="str">
        <f>IF($B2632="","",IFERROR(IF(G2632=0,-2E+300,CHOOSE(sortIdx,ROUND(D2632,0),IF(J2632="",-1E+300,ROUND(-J2632,6)),IF(J2632="",-1E+300,ROUND(J2632,6)))),-1.5E+300))</f>
        <v/>
      </c>
      <c r="L2632" t="str">
        <f>IF(K2632="","",RANK(K2632,$K$2:$K$3001,0)+COUNTIF($K$2:K2632,K2632)-1)</f>
        <v/>
      </c>
    </row>
    <row r="2633">
      <c r="B2633" t="str">
        <f>IFERROR(IF(A2633="","","="&amp;SUBSTITUTE(SUBSTITUTE(SUBSTITUTE(A2633,"~","~~"),"*","~*"),"?","~?")),"")</f>
        <v/>
      </c>
      <c r="C2633" t="str">
        <f>IF($B2633="","",SUMIFS(dAmt,dCust,$B2633,dPer,"&gt;="&amp;pyFrom,dPer,"&lt;="&amp;pyTo,dAmt,"&gt;-1E+300",dFlt1,critFlt1,dFlt2,critFlt2,dFlt3,critFlt3))</f>
        <v/>
      </c>
      <c r="D2633" t="str">
        <f>IF($B2633="","",SUMIFS(dAmt,dCust,$B2633,dPer,"&gt;="&amp;cyFrom,dPer,"&lt;="&amp;cyTo,dAmt,"&gt;-1E+300",dFlt1,critFlt1,dFlt2,critFlt2,dFlt3,critFlt3))</f>
        <v/>
      </c>
      <c r="E2633" t="str">
        <f>IF($B2633="","",SUMIFS(dQty,dCust,$B2633,dPer,"&gt;="&amp;pyFrom,dPer,"&lt;="&amp;pyTo,dQty,"&gt;-1E+300",dFlt1,critFlt1,dFlt2,critFlt2,dFlt3,critFlt3))</f>
        <v/>
      </c>
      <c r="F2633" t="str">
        <f>IF($B2633="","",SUMIFS(dQty,dCust,$B2633,dPer,"&gt;="&amp;cyFrom,dPer,"&lt;="&amp;cyTo,dQty,"&gt;-1E+300",dFlt1,critFlt1,dFlt2,critFlt2,dFlt3,critFlt3))</f>
        <v/>
      </c>
      <c r="G2633">
        <f>IF($B2633="",0,IFERROR(IF(OR(C2633&lt;&gt;0,D2633&lt;&gt;0,E2633&lt;&gt;0,F2633&lt;&gt;0),1,0),1))</f>
        <v>0</v>
      </c>
      <c r="H2633" t="str">
        <f>IF(OR(G2633=0,E2633=0),"",C2633/E2633)</f>
        <v/>
      </c>
      <c r="I2633" t="str">
        <f>IF(OR(G2633=0,F2633=0),"",D2633/F2633)</f>
        <v/>
      </c>
      <c r="J2633" t="str">
        <f>IF(OR(H2633="",I2633=""),"",IF(H2633=0,"",I2633/H2633-1))</f>
        <v/>
      </c>
      <c r="K2633" t="str">
        <f>IF($B2633="","",IFERROR(IF(G2633=0,-2E+300,CHOOSE(sortIdx,ROUND(D2633,0),IF(J2633="",-1E+300,ROUND(-J2633,6)),IF(J2633="",-1E+300,ROUND(J2633,6)))),-1.5E+300))</f>
        <v/>
      </c>
      <c r="L2633" t="str">
        <f>IF(K2633="","",RANK(K2633,$K$2:$K$3001,0)+COUNTIF($K$2:K2633,K2633)-1)</f>
        <v/>
      </c>
    </row>
    <row r="2634">
      <c r="B2634" t="str">
        <f>IFERROR(IF(A2634="","","="&amp;SUBSTITUTE(SUBSTITUTE(SUBSTITUTE(A2634,"~","~~"),"*","~*"),"?","~?")),"")</f>
        <v/>
      </c>
      <c r="C2634" t="str">
        <f>IF($B2634="","",SUMIFS(dAmt,dCust,$B2634,dPer,"&gt;="&amp;pyFrom,dPer,"&lt;="&amp;pyTo,dAmt,"&gt;-1E+300",dFlt1,critFlt1,dFlt2,critFlt2,dFlt3,critFlt3))</f>
        <v/>
      </c>
      <c r="D2634" t="str">
        <f>IF($B2634="","",SUMIFS(dAmt,dCust,$B2634,dPer,"&gt;="&amp;cyFrom,dPer,"&lt;="&amp;cyTo,dAmt,"&gt;-1E+300",dFlt1,critFlt1,dFlt2,critFlt2,dFlt3,critFlt3))</f>
        <v/>
      </c>
      <c r="E2634" t="str">
        <f>IF($B2634="","",SUMIFS(dQty,dCust,$B2634,dPer,"&gt;="&amp;pyFrom,dPer,"&lt;="&amp;pyTo,dQty,"&gt;-1E+300",dFlt1,critFlt1,dFlt2,critFlt2,dFlt3,critFlt3))</f>
        <v/>
      </c>
      <c r="F2634" t="str">
        <f>IF($B2634="","",SUMIFS(dQty,dCust,$B2634,dPer,"&gt;="&amp;cyFrom,dPer,"&lt;="&amp;cyTo,dQty,"&gt;-1E+300",dFlt1,critFlt1,dFlt2,critFlt2,dFlt3,critFlt3))</f>
        <v/>
      </c>
      <c r="G2634">
        <f>IF($B2634="",0,IFERROR(IF(OR(C2634&lt;&gt;0,D2634&lt;&gt;0,E2634&lt;&gt;0,F2634&lt;&gt;0),1,0),1))</f>
        <v>0</v>
      </c>
      <c r="H2634" t="str">
        <f>IF(OR(G2634=0,E2634=0),"",C2634/E2634)</f>
        <v/>
      </c>
      <c r="I2634" t="str">
        <f>IF(OR(G2634=0,F2634=0),"",D2634/F2634)</f>
        <v/>
      </c>
      <c r="J2634" t="str">
        <f>IF(OR(H2634="",I2634=""),"",IF(H2634=0,"",I2634/H2634-1))</f>
        <v/>
      </c>
      <c r="K2634" t="str">
        <f>IF($B2634="","",IFERROR(IF(G2634=0,-2E+300,CHOOSE(sortIdx,ROUND(D2634,0),IF(J2634="",-1E+300,ROUND(-J2634,6)),IF(J2634="",-1E+300,ROUND(J2634,6)))),-1.5E+300))</f>
        <v/>
      </c>
      <c r="L2634" t="str">
        <f>IF(K2634="","",RANK(K2634,$K$2:$K$3001,0)+COUNTIF($K$2:K2634,K2634)-1)</f>
        <v/>
      </c>
    </row>
    <row r="2635">
      <c r="B2635" t="str">
        <f>IFERROR(IF(A2635="","","="&amp;SUBSTITUTE(SUBSTITUTE(SUBSTITUTE(A2635,"~","~~"),"*","~*"),"?","~?")),"")</f>
        <v/>
      </c>
      <c r="C2635" t="str">
        <f>IF($B2635="","",SUMIFS(dAmt,dCust,$B2635,dPer,"&gt;="&amp;pyFrom,dPer,"&lt;="&amp;pyTo,dAmt,"&gt;-1E+300",dFlt1,critFlt1,dFlt2,critFlt2,dFlt3,critFlt3))</f>
        <v/>
      </c>
      <c r="D2635" t="str">
        <f>IF($B2635="","",SUMIFS(dAmt,dCust,$B2635,dPer,"&gt;="&amp;cyFrom,dPer,"&lt;="&amp;cyTo,dAmt,"&gt;-1E+300",dFlt1,critFlt1,dFlt2,critFlt2,dFlt3,critFlt3))</f>
        <v/>
      </c>
      <c r="E2635" t="str">
        <f>IF($B2635="","",SUMIFS(dQty,dCust,$B2635,dPer,"&gt;="&amp;pyFrom,dPer,"&lt;="&amp;pyTo,dQty,"&gt;-1E+300",dFlt1,critFlt1,dFlt2,critFlt2,dFlt3,critFlt3))</f>
        <v/>
      </c>
      <c r="F2635" t="str">
        <f>IF($B2635="","",SUMIFS(dQty,dCust,$B2635,dPer,"&gt;="&amp;cyFrom,dPer,"&lt;="&amp;cyTo,dQty,"&gt;-1E+300",dFlt1,critFlt1,dFlt2,critFlt2,dFlt3,critFlt3))</f>
        <v/>
      </c>
      <c r="G2635">
        <f>IF($B2635="",0,IFERROR(IF(OR(C2635&lt;&gt;0,D2635&lt;&gt;0,E2635&lt;&gt;0,F2635&lt;&gt;0),1,0),1))</f>
        <v>0</v>
      </c>
      <c r="H2635" t="str">
        <f>IF(OR(G2635=0,E2635=0),"",C2635/E2635)</f>
        <v/>
      </c>
      <c r="I2635" t="str">
        <f>IF(OR(G2635=0,F2635=0),"",D2635/F2635)</f>
        <v/>
      </c>
      <c r="J2635" t="str">
        <f>IF(OR(H2635="",I2635=""),"",IF(H2635=0,"",I2635/H2635-1))</f>
        <v/>
      </c>
      <c r="K2635" t="str">
        <f>IF($B2635="","",IFERROR(IF(G2635=0,-2E+300,CHOOSE(sortIdx,ROUND(D2635,0),IF(J2635="",-1E+300,ROUND(-J2635,6)),IF(J2635="",-1E+300,ROUND(J2635,6)))),-1.5E+300))</f>
        <v/>
      </c>
      <c r="L2635" t="str">
        <f>IF(K2635="","",RANK(K2635,$K$2:$K$3001,0)+COUNTIF($K$2:K2635,K2635)-1)</f>
        <v/>
      </c>
    </row>
    <row r="2636">
      <c r="B2636" t="str">
        <f>IFERROR(IF(A2636="","","="&amp;SUBSTITUTE(SUBSTITUTE(SUBSTITUTE(A2636,"~","~~"),"*","~*"),"?","~?")),"")</f>
        <v/>
      </c>
      <c r="C2636" t="str">
        <f>IF($B2636="","",SUMIFS(dAmt,dCust,$B2636,dPer,"&gt;="&amp;pyFrom,dPer,"&lt;="&amp;pyTo,dAmt,"&gt;-1E+300",dFlt1,critFlt1,dFlt2,critFlt2,dFlt3,critFlt3))</f>
        <v/>
      </c>
      <c r="D2636" t="str">
        <f>IF($B2636="","",SUMIFS(dAmt,dCust,$B2636,dPer,"&gt;="&amp;cyFrom,dPer,"&lt;="&amp;cyTo,dAmt,"&gt;-1E+300",dFlt1,critFlt1,dFlt2,critFlt2,dFlt3,critFlt3))</f>
        <v/>
      </c>
      <c r="E2636" t="str">
        <f>IF($B2636="","",SUMIFS(dQty,dCust,$B2636,dPer,"&gt;="&amp;pyFrom,dPer,"&lt;="&amp;pyTo,dQty,"&gt;-1E+300",dFlt1,critFlt1,dFlt2,critFlt2,dFlt3,critFlt3))</f>
        <v/>
      </c>
      <c r="F2636" t="str">
        <f>IF($B2636="","",SUMIFS(dQty,dCust,$B2636,dPer,"&gt;="&amp;cyFrom,dPer,"&lt;="&amp;cyTo,dQty,"&gt;-1E+300",dFlt1,critFlt1,dFlt2,critFlt2,dFlt3,critFlt3))</f>
        <v/>
      </c>
      <c r="G2636">
        <f>IF($B2636="",0,IFERROR(IF(OR(C2636&lt;&gt;0,D2636&lt;&gt;0,E2636&lt;&gt;0,F2636&lt;&gt;0),1,0),1))</f>
        <v>0</v>
      </c>
      <c r="H2636" t="str">
        <f>IF(OR(G2636=0,E2636=0),"",C2636/E2636)</f>
        <v/>
      </c>
      <c r="I2636" t="str">
        <f>IF(OR(G2636=0,F2636=0),"",D2636/F2636)</f>
        <v/>
      </c>
      <c r="J2636" t="str">
        <f>IF(OR(H2636="",I2636=""),"",IF(H2636=0,"",I2636/H2636-1))</f>
        <v/>
      </c>
      <c r="K2636" t="str">
        <f>IF($B2636="","",IFERROR(IF(G2636=0,-2E+300,CHOOSE(sortIdx,ROUND(D2636,0),IF(J2636="",-1E+300,ROUND(-J2636,6)),IF(J2636="",-1E+300,ROUND(J2636,6)))),-1.5E+300))</f>
        <v/>
      </c>
      <c r="L2636" t="str">
        <f>IF(K2636="","",RANK(K2636,$K$2:$K$3001,0)+COUNTIF($K$2:K2636,K2636)-1)</f>
        <v/>
      </c>
    </row>
    <row r="2637">
      <c r="B2637" t="str">
        <f>IFERROR(IF(A2637="","","="&amp;SUBSTITUTE(SUBSTITUTE(SUBSTITUTE(A2637,"~","~~"),"*","~*"),"?","~?")),"")</f>
        <v/>
      </c>
      <c r="C2637" t="str">
        <f>IF($B2637="","",SUMIFS(dAmt,dCust,$B2637,dPer,"&gt;="&amp;pyFrom,dPer,"&lt;="&amp;pyTo,dAmt,"&gt;-1E+300",dFlt1,critFlt1,dFlt2,critFlt2,dFlt3,critFlt3))</f>
        <v/>
      </c>
      <c r="D2637" t="str">
        <f>IF($B2637="","",SUMIFS(dAmt,dCust,$B2637,dPer,"&gt;="&amp;cyFrom,dPer,"&lt;="&amp;cyTo,dAmt,"&gt;-1E+300",dFlt1,critFlt1,dFlt2,critFlt2,dFlt3,critFlt3))</f>
        <v/>
      </c>
      <c r="E2637" t="str">
        <f>IF($B2637="","",SUMIFS(dQty,dCust,$B2637,dPer,"&gt;="&amp;pyFrom,dPer,"&lt;="&amp;pyTo,dQty,"&gt;-1E+300",dFlt1,critFlt1,dFlt2,critFlt2,dFlt3,critFlt3))</f>
        <v/>
      </c>
      <c r="F2637" t="str">
        <f>IF($B2637="","",SUMIFS(dQty,dCust,$B2637,dPer,"&gt;="&amp;cyFrom,dPer,"&lt;="&amp;cyTo,dQty,"&gt;-1E+300",dFlt1,critFlt1,dFlt2,critFlt2,dFlt3,critFlt3))</f>
        <v/>
      </c>
      <c r="G2637">
        <f>IF($B2637="",0,IFERROR(IF(OR(C2637&lt;&gt;0,D2637&lt;&gt;0,E2637&lt;&gt;0,F2637&lt;&gt;0),1,0),1))</f>
        <v>0</v>
      </c>
      <c r="H2637" t="str">
        <f>IF(OR(G2637=0,E2637=0),"",C2637/E2637)</f>
        <v/>
      </c>
      <c r="I2637" t="str">
        <f>IF(OR(G2637=0,F2637=0),"",D2637/F2637)</f>
        <v/>
      </c>
      <c r="J2637" t="str">
        <f>IF(OR(H2637="",I2637=""),"",IF(H2637=0,"",I2637/H2637-1))</f>
        <v/>
      </c>
      <c r="K2637" t="str">
        <f>IF($B2637="","",IFERROR(IF(G2637=0,-2E+300,CHOOSE(sortIdx,ROUND(D2637,0),IF(J2637="",-1E+300,ROUND(-J2637,6)),IF(J2637="",-1E+300,ROUND(J2637,6)))),-1.5E+300))</f>
        <v/>
      </c>
      <c r="L2637" t="str">
        <f>IF(K2637="","",RANK(K2637,$K$2:$K$3001,0)+COUNTIF($K$2:K2637,K2637)-1)</f>
        <v/>
      </c>
    </row>
    <row r="2638">
      <c r="B2638" t="str">
        <f>IFERROR(IF(A2638="","","="&amp;SUBSTITUTE(SUBSTITUTE(SUBSTITUTE(A2638,"~","~~"),"*","~*"),"?","~?")),"")</f>
        <v/>
      </c>
      <c r="C2638" t="str">
        <f>IF($B2638="","",SUMIFS(dAmt,dCust,$B2638,dPer,"&gt;="&amp;pyFrom,dPer,"&lt;="&amp;pyTo,dAmt,"&gt;-1E+300",dFlt1,critFlt1,dFlt2,critFlt2,dFlt3,critFlt3))</f>
        <v/>
      </c>
      <c r="D2638" t="str">
        <f>IF($B2638="","",SUMIFS(dAmt,dCust,$B2638,dPer,"&gt;="&amp;cyFrom,dPer,"&lt;="&amp;cyTo,dAmt,"&gt;-1E+300",dFlt1,critFlt1,dFlt2,critFlt2,dFlt3,critFlt3))</f>
        <v/>
      </c>
      <c r="E2638" t="str">
        <f>IF($B2638="","",SUMIFS(dQty,dCust,$B2638,dPer,"&gt;="&amp;pyFrom,dPer,"&lt;="&amp;pyTo,dQty,"&gt;-1E+300",dFlt1,critFlt1,dFlt2,critFlt2,dFlt3,critFlt3))</f>
        <v/>
      </c>
      <c r="F2638" t="str">
        <f>IF($B2638="","",SUMIFS(dQty,dCust,$B2638,dPer,"&gt;="&amp;cyFrom,dPer,"&lt;="&amp;cyTo,dQty,"&gt;-1E+300",dFlt1,critFlt1,dFlt2,critFlt2,dFlt3,critFlt3))</f>
        <v/>
      </c>
      <c r="G2638">
        <f>IF($B2638="",0,IFERROR(IF(OR(C2638&lt;&gt;0,D2638&lt;&gt;0,E2638&lt;&gt;0,F2638&lt;&gt;0),1,0),1))</f>
        <v>0</v>
      </c>
      <c r="H2638" t="str">
        <f>IF(OR(G2638=0,E2638=0),"",C2638/E2638)</f>
        <v/>
      </c>
      <c r="I2638" t="str">
        <f>IF(OR(G2638=0,F2638=0),"",D2638/F2638)</f>
        <v/>
      </c>
      <c r="J2638" t="str">
        <f>IF(OR(H2638="",I2638=""),"",IF(H2638=0,"",I2638/H2638-1))</f>
        <v/>
      </c>
      <c r="K2638" t="str">
        <f>IF($B2638="","",IFERROR(IF(G2638=0,-2E+300,CHOOSE(sortIdx,ROUND(D2638,0),IF(J2638="",-1E+300,ROUND(-J2638,6)),IF(J2638="",-1E+300,ROUND(J2638,6)))),-1.5E+300))</f>
        <v/>
      </c>
      <c r="L2638" t="str">
        <f>IF(K2638="","",RANK(K2638,$K$2:$K$3001,0)+COUNTIF($K$2:K2638,K2638)-1)</f>
        <v/>
      </c>
    </row>
    <row r="2639">
      <c r="B2639" t="str">
        <f>IFERROR(IF(A2639="","","="&amp;SUBSTITUTE(SUBSTITUTE(SUBSTITUTE(A2639,"~","~~"),"*","~*"),"?","~?")),"")</f>
        <v/>
      </c>
      <c r="C2639" t="str">
        <f>IF($B2639="","",SUMIFS(dAmt,dCust,$B2639,dPer,"&gt;="&amp;pyFrom,dPer,"&lt;="&amp;pyTo,dAmt,"&gt;-1E+300",dFlt1,critFlt1,dFlt2,critFlt2,dFlt3,critFlt3))</f>
        <v/>
      </c>
      <c r="D2639" t="str">
        <f>IF($B2639="","",SUMIFS(dAmt,dCust,$B2639,dPer,"&gt;="&amp;cyFrom,dPer,"&lt;="&amp;cyTo,dAmt,"&gt;-1E+300",dFlt1,critFlt1,dFlt2,critFlt2,dFlt3,critFlt3))</f>
        <v/>
      </c>
      <c r="E2639" t="str">
        <f>IF($B2639="","",SUMIFS(dQty,dCust,$B2639,dPer,"&gt;="&amp;pyFrom,dPer,"&lt;="&amp;pyTo,dQty,"&gt;-1E+300",dFlt1,critFlt1,dFlt2,critFlt2,dFlt3,critFlt3))</f>
        <v/>
      </c>
      <c r="F2639" t="str">
        <f>IF($B2639="","",SUMIFS(dQty,dCust,$B2639,dPer,"&gt;="&amp;cyFrom,dPer,"&lt;="&amp;cyTo,dQty,"&gt;-1E+300",dFlt1,critFlt1,dFlt2,critFlt2,dFlt3,critFlt3))</f>
        <v/>
      </c>
      <c r="G2639">
        <f>IF($B2639="",0,IFERROR(IF(OR(C2639&lt;&gt;0,D2639&lt;&gt;0,E2639&lt;&gt;0,F2639&lt;&gt;0),1,0),1))</f>
        <v>0</v>
      </c>
      <c r="H2639" t="str">
        <f>IF(OR(G2639=0,E2639=0),"",C2639/E2639)</f>
        <v/>
      </c>
      <c r="I2639" t="str">
        <f>IF(OR(G2639=0,F2639=0),"",D2639/F2639)</f>
        <v/>
      </c>
      <c r="J2639" t="str">
        <f>IF(OR(H2639="",I2639=""),"",IF(H2639=0,"",I2639/H2639-1))</f>
        <v/>
      </c>
      <c r="K2639" t="str">
        <f>IF($B2639="","",IFERROR(IF(G2639=0,-2E+300,CHOOSE(sortIdx,ROUND(D2639,0),IF(J2639="",-1E+300,ROUND(-J2639,6)),IF(J2639="",-1E+300,ROUND(J2639,6)))),-1.5E+300))</f>
        <v/>
      </c>
      <c r="L2639" t="str">
        <f>IF(K2639="","",RANK(K2639,$K$2:$K$3001,0)+COUNTIF($K$2:K2639,K2639)-1)</f>
        <v/>
      </c>
    </row>
    <row r="2640">
      <c r="B2640" t="str">
        <f>IFERROR(IF(A2640="","","="&amp;SUBSTITUTE(SUBSTITUTE(SUBSTITUTE(A2640,"~","~~"),"*","~*"),"?","~?")),"")</f>
        <v/>
      </c>
      <c r="C2640" t="str">
        <f>IF($B2640="","",SUMIFS(dAmt,dCust,$B2640,dPer,"&gt;="&amp;pyFrom,dPer,"&lt;="&amp;pyTo,dAmt,"&gt;-1E+300",dFlt1,critFlt1,dFlt2,critFlt2,dFlt3,critFlt3))</f>
        <v/>
      </c>
      <c r="D2640" t="str">
        <f>IF($B2640="","",SUMIFS(dAmt,dCust,$B2640,dPer,"&gt;="&amp;cyFrom,dPer,"&lt;="&amp;cyTo,dAmt,"&gt;-1E+300",dFlt1,critFlt1,dFlt2,critFlt2,dFlt3,critFlt3))</f>
        <v/>
      </c>
      <c r="E2640" t="str">
        <f>IF($B2640="","",SUMIFS(dQty,dCust,$B2640,dPer,"&gt;="&amp;pyFrom,dPer,"&lt;="&amp;pyTo,dQty,"&gt;-1E+300",dFlt1,critFlt1,dFlt2,critFlt2,dFlt3,critFlt3))</f>
        <v/>
      </c>
      <c r="F2640" t="str">
        <f>IF($B2640="","",SUMIFS(dQty,dCust,$B2640,dPer,"&gt;="&amp;cyFrom,dPer,"&lt;="&amp;cyTo,dQty,"&gt;-1E+300",dFlt1,critFlt1,dFlt2,critFlt2,dFlt3,critFlt3))</f>
        <v/>
      </c>
      <c r="G2640">
        <f>IF($B2640="",0,IFERROR(IF(OR(C2640&lt;&gt;0,D2640&lt;&gt;0,E2640&lt;&gt;0,F2640&lt;&gt;0),1,0),1))</f>
        <v>0</v>
      </c>
      <c r="H2640" t="str">
        <f>IF(OR(G2640=0,E2640=0),"",C2640/E2640)</f>
        <v/>
      </c>
      <c r="I2640" t="str">
        <f>IF(OR(G2640=0,F2640=0),"",D2640/F2640)</f>
        <v/>
      </c>
      <c r="J2640" t="str">
        <f>IF(OR(H2640="",I2640=""),"",IF(H2640=0,"",I2640/H2640-1))</f>
        <v/>
      </c>
      <c r="K2640" t="str">
        <f>IF($B2640="","",IFERROR(IF(G2640=0,-2E+300,CHOOSE(sortIdx,ROUND(D2640,0),IF(J2640="",-1E+300,ROUND(-J2640,6)),IF(J2640="",-1E+300,ROUND(J2640,6)))),-1.5E+300))</f>
        <v/>
      </c>
      <c r="L2640" t="str">
        <f>IF(K2640="","",RANK(K2640,$K$2:$K$3001,0)+COUNTIF($K$2:K2640,K2640)-1)</f>
        <v/>
      </c>
    </row>
    <row r="2641">
      <c r="B2641" t="str">
        <f>IFERROR(IF(A2641="","","="&amp;SUBSTITUTE(SUBSTITUTE(SUBSTITUTE(A2641,"~","~~"),"*","~*"),"?","~?")),"")</f>
        <v/>
      </c>
      <c r="C2641" t="str">
        <f>IF($B2641="","",SUMIFS(dAmt,dCust,$B2641,dPer,"&gt;="&amp;pyFrom,dPer,"&lt;="&amp;pyTo,dAmt,"&gt;-1E+300",dFlt1,critFlt1,dFlt2,critFlt2,dFlt3,critFlt3))</f>
        <v/>
      </c>
      <c r="D2641" t="str">
        <f>IF($B2641="","",SUMIFS(dAmt,dCust,$B2641,dPer,"&gt;="&amp;cyFrom,dPer,"&lt;="&amp;cyTo,dAmt,"&gt;-1E+300",dFlt1,critFlt1,dFlt2,critFlt2,dFlt3,critFlt3))</f>
        <v/>
      </c>
      <c r="E2641" t="str">
        <f>IF($B2641="","",SUMIFS(dQty,dCust,$B2641,dPer,"&gt;="&amp;pyFrom,dPer,"&lt;="&amp;pyTo,dQty,"&gt;-1E+300",dFlt1,critFlt1,dFlt2,critFlt2,dFlt3,critFlt3))</f>
        <v/>
      </c>
      <c r="F2641" t="str">
        <f>IF($B2641="","",SUMIFS(dQty,dCust,$B2641,dPer,"&gt;="&amp;cyFrom,dPer,"&lt;="&amp;cyTo,dQty,"&gt;-1E+300",dFlt1,critFlt1,dFlt2,critFlt2,dFlt3,critFlt3))</f>
        <v/>
      </c>
      <c r="G2641">
        <f>IF($B2641="",0,IFERROR(IF(OR(C2641&lt;&gt;0,D2641&lt;&gt;0,E2641&lt;&gt;0,F2641&lt;&gt;0),1,0),1))</f>
        <v>0</v>
      </c>
      <c r="H2641" t="str">
        <f>IF(OR(G2641=0,E2641=0),"",C2641/E2641)</f>
        <v/>
      </c>
      <c r="I2641" t="str">
        <f>IF(OR(G2641=0,F2641=0),"",D2641/F2641)</f>
        <v/>
      </c>
      <c r="J2641" t="str">
        <f>IF(OR(H2641="",I2641=""),"",IF(H2641=0,"",I2641/H2641-1))</f>
        <v/>
      </c>
      <c r="K2641" t="str">
        <f>IF($B2641="","",IFERROR(IF(G2641=0,-2E+300,CHOOSE(sortIdx,ROUND(D2641,0),IF(J2641="",-1E+300,ROUND(-J2641,6)),IF(J2641="",-1E+300,ROUND(J2641,6)))),-1.5E+300))</f>
        <v/>
      </c>
      <c r="L2641" t="str">
        <f>IF(K2641="","",RANK(K2641,$K$2:$K$3001,0)+COUNTIF($K$2:K2641,K2641)-1)</f>
        <v/>
      </c>
    </row>
    <row r="2642">
      <c r="B2642" t="str">
        <f>IFERROR(IF(A2642="","","="&amp;SUBSTITUTE(SUBSTITUTE(SUBSTITUTE(A2642,"~","~~"),"*","~*"),"?","~?")),"")</f>
        <v/>
      </c>
      <c r="C2642" t="str">
        <f>IF($B2642="","",SUMIFS(dAmt,dCust,$B2642,dPer,"&gt;="&amp;pyFrom,dPer,"&lt;="&amp;pyTo,dAmt,"&gt;-1E+300",dFlt1,critFlt1,dFlt2,critFlt2,dFlt3,critFlt3))</f>
        <v/>
      </c>
      <c r="D2642" t="str">
        <f>IF($B2642="","",SUMIFS(dAmt,dCust,$B2642,dPer,"&gt;="&amp;cyFrom,dPer,"&lt;="&amp;cyTo,dAmt,"&gt;-1E+300",dFlt1,critFlt1,dFlt2,critFlt2,dFlt3,critFlt3))</f>
        <v/>
      </c>
      <c r="E2642" t="str">
        <f>IF($B2642="","",SUMIFS(dQty,dCust,$B2642,dPer,"&gt;="&amp;pyFrom,dPer,"&lt;="&amp;pyTo,dQty,"&gt;-1E+300",dFlt1,critFlt1,dFlt2,critFlt2,dFlt3,critFlt3))</f>
        <v/>
      </c>
      <c r="F2642" t="str">
        <f>IF($B2642="","",SUMIFS(dQty,dCust,$B2642,dPer,"&gt;="&amp;cyFrom,dPer,"&lt;="&amp;cyTo,dQty,"&gt;-1E+300",dFlt1,critFlt1,dFlt2,critFlt2,dFlt3,critFlt3))</f>
        <v/>
      </c>
      <c r="G2642">
        <f>IF($B2642="",0,IFERROR(IF(OR(C2642&lt;&gt;0,D2642&lt;&gt;0,E2642&lt;&gt;0,F2642&lt;&gt;0),1,0),1))</f>
        <v>0</v>
      </c>
      <c r="H2642" t="str">
        <f>IF(OR(G2642=0,E2642=0),"",C2642/E2642)</f>
        <v/>
      </c>
      <c r="I2642" t="str">
        <f>IF(OR(G2642=0,F2642=0),"",D2642/F2642)</f>
        <v/>
      </c>
      <c r="J2642" t="str">
        <f>IF(OR(H2642="",I2642=""),"",IF(H2642=0,"",I2642/H2642-1))</f>
        <v/>
      </c>
      <c r="K2642" t="str">
        <f>IF($B2642="","",IFERROR(IF(G2642=0,-2E+300,CHOOSE(sortIdx,ROUND(D2642,0),IF(J2642="",-1E+300,ROUND(-J2642,6)),IF(J2642="",-1E+300,ROUND(J2642,6)))),-1.5E+300))</f>
        <v/>
      </c>
      <c r="L2642" t="str">
        <f>IF(K2642="","",RANK(K2642,$K$2:$K$3001,0)+COUNTIF($K$2:K2642,K2642)-1)</f>
        <v/>
      </c>
    </row>
    <row r="2643">
      <c r="B2643" t="str">
        <f>IFERROR(IF(A2643="","","="&amp;SUBSTITUTE(SUBSTITUTE(SUBSTITUTE(A2643,"~","~~"),"*","~*"),"?","~?")),"")</f>
        <v/>
      </c>
      <c r="C2643" t="str">
        <f>IF($B2643="","",SUMIFS(dAmt,dCust,$B2643,dPer,"&gt;="&amp;pyFrom,dPer,"&lt;="&amp;pyTo,dAmt,"&gt;-1E+300",dFlt1,critFlt1,dFlt2,critFlt2,dFlt3,critFlt3))</f>
        <v/>
      </c>
      <c r="D2643" t="str">
        <f>IF($B2643="","",SUMIFS(dAmt,dCust,$B2643,dPer,"&gt;="&amp;cyFrom,dPer,"&lt;="&amp;cyTo,dAmt,"&gt;-1E+300",dFlt1,critFlt1,dFlt2,critFlt2,dFlt3,critFlt3))</f>
        <v/>
      </c>
      <c r="E2643" t="str">
        <f>IF($B2643="","",SUMIFS(dQty,dCust,$B2643,dPer,"&gt;="&amp;pyFrom,dPer,"&lt;="&amp;pyTo,dQty,"&gt;-1E+300",dFlt1,critFlt1,dFlt2,critFlt2,dFlt3,critFlt3))</f>
        <v/>
      </c>
      <c r="F2643" t="str">
        <f>IF($B2643="","",SUMIFS(dQty,dCust,$B2643,dPer,"&gt;="&amp;cyFrom,dPer,"&lt;="&amp;cyTo,dQty,"&gt;-1E+300",dFlt1,critFlt1,dFlt2,critFlt2,dFlt3,critFlt3))</f>
        <v/>
      </c>
      <c r="G2643">
        <f>IF($B2643="",0,IFERROR(IF(OR(C2643&lt;&gt;0,D2643&lt;&gt;0,E2643&lt;&gt;0,F2643&lt;&gt;0),1,0),1))</f>
        <v>0</v>
      </c>
      <c r="H2643" t="str">
        <f>IF(OR(G2643=0,E2643=0),"",C2643/E2643)</f>
        <v/>
      </c>
      <c r="I2643" t="str">
        <f>IF(OR(G2643=0,F2643=0),"",D2643/F2643)</f>
        <v/>
      </c>
      <c r="J2643" t="str">
        <f>IF(OR(H2643="",I2643=""),"",IF(H2643=0,"",I2643/H2643-1))</f>
        <v/>
      </c>
      <c r="K2643" t="str">
        <f>IF($B2643="","",IFERROR(IF(G2643=0,-2E+300,CHOOSE(sortIdx,ROUND(D2643,0),IF(J2643="",-1E+300,ROUND(-J2643,6)),IF(J2643="",-1E+300,ROUND(J2643,6)))),-1.5E+300))</f>
        <v/>
      </c>
      <c r="L2643" t="str">
        <f>IF(K2643="","",RANK(K2643,$K$2:$K$3001,0)+COUNTIF($K$2:K2643,K2643)-1)</f>
        <v/>
      </c>
    </row>
    <row r="2644">
      <c r="B2644" t="str">
        <f>IFERROR(IF(A2644="","","="&amp;SUBSTITUTE(SUBSTITUTE(SUBSTITUTE(A2644,"~","~~"),"*","~*"),"?","~?")),"")</f>
        <v/>
      </c>
      <c r="C2644" t="str">
        <f>IF($B2644="","",SUMIFS(dAmt,dCust,$B2644,dPer,"&gt;="&amp;pyFrom,dPer,"&lt;="&amp;pyTo,dAmt,"&gt;-1E+300",dFlt1,critFlt1,dFlt2,critFlt2,dFlt3,critFlt3))</f>
        <v/>
      </c>
      <c r="D2644" t="str">
        <f>IF($B2644="","",SUMIFS(dAmt,dCust,$B2644,dPer,"&gt;="&amp;cyFrom,dPer,"&lt;="&amp;cyTo,dAmt,"&gt;-1E+300",dFlt1,critFlt1,dFlt2,critFlt2,dFlt3,critFlt3))</f>
        <v/>
      </c>
      <c r="E2644" t="str">
        <f>IF($B2644="","",SUMIFS(dQty,dCust,$B2644,dPer,"&gt;="&amp;pyFrom,dPer,"&lt;="&amp;pyTo,dQty,"&gt;-1E+300",dFlt1,critFlt1,dFlt2,critFlt2,dFlt3,critFlt3))</f>
        <v/>
      </c>
      <c r="F2644" t="str">
        <f>IF($B2644="","",SUMIFS(dQty,dCust,$B2644,dPer,"&gt;="&amp;cyFrom,dPer,"&lt;="&amp;cyTo,dQty,"&gt;-1E+300",dFlt1,critFlt1,dFlt2,critFlt2,dFlt3,critFlt3))</f>
        <v/>
      </c>
      <c r="G2644">
        <f>IF($B2644="",0,IFERROR(IF(OR(C2644&lt;&gt;0,D2644&lt;&gt;0,E2644&lt;&gt;0,F2644&lt;&gt;0),1,0),1))</f>
        <v>0</v>
      </c>
      <c r="H2644" t="str">
        <f>IF(OR(G2644=0,E2644=0),"",C2644/E2644)</f>
        <v/>
      </c>
      <c r="I2644" t="str">
        <f>IF(OR(G2644=0,F2644=0),"",D2644/F2644)</f>
        <v/>
      </c>
      <c r="J2644" t="str">
        <f>IF(OR(H2644="",I2644=""),"",IF(H2644=0,"",I2644/H2644-1))</f>
        <v/>
      </c>
      <c r="K2644" t="str">
        <f>IF($B2644="","",IFERROR(IF(G2644=0,-2E+300,CHOOSE(sortIdx,ROUND(D2644,0),IF(J2644="",-1E+300,ROUND(-J2644,6)),IF(J2644="",-1E+300,ROUND(J2644,6)))),-1.5E+300))</f>
        <v/>
      </c>
      <c r="L2644" t="str">
        <f>IF(K2644="","",RANK(K2644,$K$2:$K$3001,0)+COUNTIF($K$2:K2644,K2644)-1)</f>
        <v/>
      </c>
    </row>
    <row r="2645">
      <c r="B2645" t="str">
        <f>IFERROR(IF(A2645="","","="&amp;SUBSTITUTE(SUBSTITUTE(SUBSTITUTE(A2645,"~","~~"),"*","~*"),"?","~?")),"")</f>
        <v/>
      </c>
      <c r="C2645" t="str">
        <f>IF($B2645="","",SUMIFS(dAmt,dCust,$B2645,dPer,"&gt;="&amp;pyFrom,dPer,"&lt;="&amp;pyTo,dAmt,"&gt;-1E+300",dFlt1,critFlt1,dFlt2,critFlt2,dFlt3,critFlt3))</f>
        <v/>
      </c>
      <c r="D2645" t="str">
        <f>IF($B2645="","",SUMIFS(dAmt,dCust,$B2645,dPer,"&gt;="&amp;cyFrom,dPer,"&lt;="&amp;cyTo,dAmt,"&gt;-1E+300",dFlt1,critFlt1,dFlt2,critFlt2,dFlt3,critFlt3))</f>
        <v/>
      </c>
      <c r="E2645" t="str">
        <f>IF($B2645="","",SUMIFS(dQty,dCust,$B2645,dPer,"&gt;="&amp;pyFrom,dPer,"&lt;="&amp;pyTo,dQty,"&gt;-1E+300",dFlt1,critFlt1,dFlt2,critFlt2,dFlt3,critFlt3))</f>
        <v/>
      </c>
      <c r="F2645" t="str">
        <f>IF($B2645="","",SUMIFS(dQty,dCust,$B2645,dPer,"&gt;="&amp;cyFrom,dPer,"&lt;="&amp;cyTo,dQty,"&gt;-1E+300",dFlt1,critFlt1,dFlt2,critFlt2,dFlt3,critFlt3))</f>
        <v/>
      </c>
      <c r="G2645">
        <f>IF($B2645="",0,IFERROR(IF(OR(C2645&lt;&gt;0,D2645&lt;&gt;0,E2645&lt;&gt;0,F2645&lt;&gt;0),1,0),1))</f>
        <v>0</v>
      </c>
      <c r="H2645" t="str">
        <f>IF(OR(G2645=0,E2645=0),"",C2645/E2645)</f>
        <v/>
      </c>
      <c r="I2645" t="str">
        <f>IF(OR(G2645=0,F2645=0),"",D2645/F2645)</f>
        <v/>
      </c>
      <c r="J2645" t="str">
        <f>IF(OR(H2645="",I2645=""),"",IF(H2645=0,"",I2645/H2645-1))</f>
        <v/>
      </c>
      <c r="K2645" t="str">
        <f>IF($B2645="","",IFERROR(IF(G2645=0,-2E+300,CHOOSE(sortIdx,ROUND(D2645,0),IF(J2645="",-1E+300,ROUND(-J2645,6)),IF(J2645="",-1E+300,ROUND(J2645,6)))),-1.5E+300))</f>
        <v/>
      </c>
      <c r="L2645" t="str">
        <f>IF(K2645="","",RANK(K2645,$K$2:$K$3001,0)+COUNTIF($K$2:K2645,K2645)-1)</f>
        <v/>
      </c>
    </row>
    <row r="2646">
      <c r="B2646" t="str">
        <f>IFERROR(IF(A2646="","","="&amp;SUBSTITUTE(SUBSTITUTE(SUBSTITUTE(A2646,"~","~~"),"*","~*"),"?","~?")),"")</f>
        <v/>
      </c>
      <c r="C2646" t="str">
        <f>IF($B2646="","",SUMIFS(dAmt,dCust,$B2646,dPer,"&gt;="&amp;pyFrom,dPer,"&lt;="&amp;pyTo,dAmt,"&gt;-1E+300",dFlt1,critFlt1,dFlt2,critFlt2,dFlt3,critFlt3))</f>
        <v/>
      </c>
      <c r="D2646" t="str">
        <f>IF($B2646="","",SUMIFS(dAmt,dCust,$B2646,dPer,"&gt;="&amp;cyFrom,dPer,"&lt;="&amp;cyTo,dAmt,"&gt;-1E+300",dFlt1,critFlt1,dFlt2,critFlt2,dFlt3,critFlt3))</f>
        <v/>
      </c>
      <c r="E2646" t="str">
        <f>IF($B2646="","",SUMIFS(dQty,dCust,$B2646,dPer,"&gt;="&amp;pyFrom,dPer,"&lt;="&amp;pyTo,dQty,"&gt;-1E+300",dFlt1,critFlt1,dFlt2,critFlt2,dFlt3,critFlt3))</f>
        <v/>
      </c>
      <c r="F2646" t="str">
        <f>IF($B2646="","",SUMIFS(dQty,dCust,$B2646,dPer,"&gt;="&amp;cyFrom,dPer,"&lt;="&amp;cyTo,dQty,"&gt;-1E+300",dFlt1,critFlt1,dFlt2,critFlt2,dFlt3,critFlt3))</f>
        <v/>
      </c>
      <c r="G2646">
        <f>IF($B2646="",0,IFERROR(IF(OR(C2646&lt;&gt;0,D2646&lt;&gt;0,E2646&lt;&gt;0,F2646&lt;&gt;0),1,0),1))</f>
        <v>0</v>
      </c>
      <c r="H2646" t="str">
        <f>IF(OR(G2646=0,E2646=0),"",C2646/E2646)</f>
        <v/>
      </c>
      <c r="I2646" t="str">
        <f>IF(OR(G2646=0,F2646=0),"",D2646/F2646)</f>
        <v/>
      </c>
      <c r="J2646" t="str">
        <f>IF(OR(H2646="",I2646=""),"",IF(H2646=0,"",I2646/H2646-1))</f>
        <v/>
      </c>
      <c r="K2646" t="str">
        <f>IF($B2646="","",IFERROR(IF(G2646=0,-2E+300,CHOOSE(sortIdx,ROUND(D2646,0),IF(J2646="",-1E+300,ROUND(-J2646,6)),IF(J2646="",-1E+300,ROUND(J2646,6)))),-1.5E+300))</f>
        <v/>
      </c>
      <c r="L2646" t="str">
        <f>IF(K2646="","",RANK(K2646,$K$2:$K$3001,0)+COUNTIF($K$2:K2646,K2646)-1)</f>
        <v/>
      </c>
    </row>
    <row r="2647">
      <c r="B2647" t="str">
        <f>IFERROR(IF(A2647="","","="&amp;SUBSTITUTE(SUBSTITUTE(SUBSTITUTE(A2647,"~","~~"),"*","~*"),"?","~?")),"")</f>
        <v/>
      </c>
      <c r="C2647" t="str">
        <f>IF($B2647="","",SUMIFS(dAmt,dCust,$B2647,dPer,"&gt;="&amp;pyFrom,dPer,"&lt;="&amp;pyTo,dAmt,"&gt;-1E+300",dFlt1,critFlt1,dFlt2,critFlt2,dFlt3,critFlt3))</f>
        <v/>
      </c>
      <c r="D2647" t="str">
        <f>IF($B2647="","",SUMIFS(dAmt,dCust,$B2647,dPer,"&gt;="&amp;cyFrom,dPer,"&lt;="&amp;cyTo,dAmt,"&gt;-1E+300",dFlt1,critFlt1,dFlt2,critFlt2,dFlt3,critFlt3))</f>
        <v/>
      </c>
      <c r="E2647" t="str">
        <f>IF($B2647="","",SUMIFS(dQty,dCust,$B2647,dPer,"&gt;="&amp;pyFrom,dPer,"&lt;="&amp;pyTo,dQty,"&gt;-1E+300",dFlt1,critFlt1,dFlt2,critFlt2,dFlt3,critFlt3))</f>
        <v/>
      </c>
      <c r="F2647" t="str">
        <f>IF($B2647="","",SUMIFS(dQty,dCust,$B2647,dPer,"&gt;="&amp;cyFrom,dPer,"&lt;="&amp;cyTo,dQty,"&gt;-1E+300",dFlt1,critFlt1,dFlt2,critFlt2,dFlt3,critFlt3))</f>
        <v/>
      </c>
      <c r="G2647">
        <f>IF($B2647="",0,IFERROR(IF(OR(C2647&lt;&gt;0,D2647&lt;&gt;0,E2647&lt;&gt;0,F2647&lt;&gt;0),1,0),1))</f>
        <v>0</v>
      </c>
      <c r="H2647" t="str">
        <f>IF(OR(G2647=0,E2647=0),"",C2647/E2647)</f>
        <v/>
      </c>
      <c r="I2647" t="str">
        <f>IF(OR(G2647=0,F2647=0),"",D2647/F2647)</f>
        <v/>
      </c>
      <c r="J2647" t="str">
        <f>IF(OR(H2647="",I2647=""),"",IF(H2647=0,"",I2647/H2647-1))</f>
        <v/>
      </c>
      <c r="K2647" t="str">
        <f>IF($B2647="","",IFERROR(IF(G2647=0,-2E+300,CHOOSE(sortIdx,ROUND(D2647,0),IF(J2647="",-1E+300,ROUND(-J2647,6)),IF(J2647="",-1E+300,ROUND(J2647,6)))),-1.5E+300))</f>
        <v/>
      </c>
      <c r="L2647" t="str">
        <f>IF(K2647="","",RANK(K2647,$K$2:$K$3001,0)+COUNTIF($K$2:K2647,K2647)-1)</f>
        <v/>
      </c>
    </row>
    <row r="2648">
      <c r="B2648" t="str">
        <f>IFERROR(IF(A2648="","","="&amp;SUBSTITUTE(SUBSTITUTE(SUBSTITUTE(A2648,"~","~~"),"*","~*"),"?","~?")),"")</f>
        <v/>
      </c>
      <c r="C2648" t="str">
        <f>IF($B2648="","",SUMIFS(dAmt,dCust,$B2648,dPer,"&gt;="&amp;pyFrom,dPer,"&lt;="&amp;pyTo,dAmt,"&gt;-1E+300",dFlt1,critFlt1,dFlt2,critFlt2,dFlt3,critFlt3))</f>
        <v/>
      </c>
      <c r="D2648" t="str">
        <f>IF($B2648="","",SUMIFS(dAmt,dCust,$B2648,dPer,"&gt;="&amp;cyFrom,dPer,"&lt;="&amp;cyTo,dAmt,"&gt;-1E+300",dFlt1,critFlt1,dFlt2,critFlt2,dFlt3,critFlt3))</f>
        <v/>
      </c>
      <c r="E2648" t="str">
        <f>IF($B2648="","",SUMIFS(dQty,dCust,$B2648,dPer,"&gt;="&amp;pyFrom,dPer,"&lt;="&amp;pyTo,dQty,"&gt;-1E+300",dFlt1,critFlt1,dFlt2,critFlt2,dFlt3,critFlt3))</f>
        <v/>
      </c>
      <c r="F2648" t="str">
        <f>IF($B2648="","",SUMIFS(dQty,dCust,$B2648,dPer,"&gt;="&amp;cyFrom,dPer,"&lt;="&amp;cyTo,dQty,"&gt;-1E+300",dFlt1,critFlt1,dFlt2,critFlt2,dFlt3,critFlt3))</f>
        <v/>
      </c>
      <c r="G2648">
        <f>IF($B2648="",0,IFERROR(IF(OR(C2648&lt;&gt;0,D2648&lt;&gt;0,E2648&lt;&gt;0,F2648&lt;&gt;0),1,0),1))</f>
        <v>0</v>
      </c>
      <c r="H2648" t="str">
        <f>IF(OR(G2648=0,E2648=0),"",C2648/E2648)</f>
        <v/>
      </c>
      <c r="I2648" t="str">
        <f>IF(OR(G2648=0,F2648=0),"",D2648/F2648)</f>
        <v/>
      </c>
      <c r="J2648" t="str">
        <f>IF(OR(H2648="",I2648=""),"",IF(H2648=0,"",I2648/H2648-1))</f>
        <v/>
      </c>
      <c r="K2648" t="str">
        <f>IF($B2648="","",IFERROR(IF(G2648=0,-2E+300,CHOOSE(sortIdx,ROUND(D2648,0),IF(J2648="",-1E+300,ROUND(-J2648,6)),IF(J2648="",-1E+300,ROUND(J2648,6)))),-1.5E+300))</f>
        <v/>
      </c>
      <c r="L2648" t="str">
        <f>IF(K2648="","",RANK(K2648,$K$2:$K$3001,0)+COUNTIF($K$2:K2648,K2648)-1)</f>
        <v/>
      </c>
    </row>
    <row r="2649">
      <c r="B2649" t="str">
        <f>IFERROR(IF(A2649="","","="&amp;SUBSTITUTE(SUBSTITUTE(SUBSTITUTE(A2649,"~","~~"),"*","~*"),"?","~?")),"")</f>
        <v/>
      </c>
      <c r="C2649" t="str">
        <f>IF($B2649="","",SUMIFS(dAmt,dCust,$B2649,dPer,"&gt;="&amp;pyFrom,dPer,"&lt;="&amp;pyTo,dAmt,"&gt;-1E+300",dFlt1,critFlt1,dFlt2,critFlt2,dFlt3,critFlt3))</f>
        <v/>
      </c>
      <c r="D2649" t="str">
        <f>IF($B2649="","",SUMIFS(dAmt,dCust,$B2649,dPer,"&gt;="&amp;cyFrom,dPer,"&lt;="&amp;cyTo,dAmt,"&gt;-1E+300",dFlt1,critFlt1,dFlt2,critFlt2,dFlt3,critFlt3))</f>
        <v/>
      </c>
      <c r="E2649" t="str">
        <f>IF($B2649="","",SUMIFS(dQty,dCust,$B2649,dPer,"&gt;="&amp;pyFrom,dPer,"&lt;="&amp;pyTo,dQty,"&gt;-1E+300",dFlt1,critFlt1,dFlt2,critFlt2,dFlt3,critFlt3))</f>
        <v/>
      </c>
      <c r="F2649" t="str">
        <f>IF($B2649="","",SUMIFS(dQty,dCust,$B2649,dPer,"&gt;="&amp;cyFrom,dPer,"&lt;="&amp;cyTo,dQty,"&gt;-1E+300",dFlt1,critFlt1,dFlt2,critFlt2,dFlt3,critFlt3))</f>
        <v/>
      </c>
      <c r="G2649">
        <f>IF($B2649="",0,IFERROR(IF(OR(C2649&lt;&gt;0,D2649&lt;&gt;0,E2649&lt;&gt;0,F2649&lt;&gt;0),1,0),1))</f>
        <v>0</v>
      </c>
      <c r="H2649" t="str">
        <f>IF(OR(G2649=0,E2649=0),"",C2649/E2649)</f>
        <v/>
      </c>
      <c r="I2649" t="str">
        <f>IF(OR(G2649=0,F2649=0),"",D2649/F2649)</f>
        <v/>
      </c>
      <c r="J2649" t="str">
        <f>IF(OR(H2649="",I2649=""),"",IF(H2649=0,"",I2649/H2649-1))</f>
        <v/>
      </c>
      <c r="K2649" t="str">
        <f>IF($B2649="","",IFERROR(IF(G2649=0,-2E+300,CHOOSE(sortIdx,ROUND(D2649,0),IF(J2649="",-1E+300,ROUND(-J2649,6)),IF(J2649="",-1E+300,ROUND(J2649,6)))),-1.5E+300))</f>
        <v/>
      </c>
      <c r="L2649" t="str">
        <f>IF(K2649="","",RANK(K2649,$K$2:$K$3001,0)+COUNTIF($K$2:K2649,K2649)-1)</f>
        <v/>
      </c>
    </row>
    <row r="2650">
      <c r="B2650" t="str">
        <f>IFERROR(IF(A2650="","","="&amp;SUBSTITUTE(SUBSTITUTE(SUBSTITUTE(A2650,"~","~~"),"*","~*"),"?","~?")),"")</f>
        <v/>
      </c>
      <c r="C2650" t="str">
        <f>IF($B2650="","",SUMIFS(dAmt,dCust,$B2650,dPer,"&gt;="&amp;pyFrom,dPer,"&lt;="&amp;pyTo,dAmt,"&gt;-1E+300",dFlt1,critFlt1,dFlt2,critFlt2,dFlt3,critFlt3))</f>
        <v/>
      </c>
      <c r="D2650" t="str">
        <f>IF($B2650="","",SUMIFS(dAmt,dCust,$B2650,dPer,"&gt;="&amp;cyFrom,dPer,"&lt;="&amp;cyTo,dAmt,"&gt;-1E+300",dFlt1,critFlt1,dFlt2,critFlt2,dFlt3,critFlt3))</f>
        <v/>
      </c>
      <c r="E2650" t="str">
        <f>IF($B2650="","",SUMIFS(dQty,dCust,$B2650,dPer,"&gt;="&amp;pyFrom,dPer,"&lt;="&amp;pyTo,dQty,"&gt;-1E+300",dFlt1,critFlt1,dFlt2,critFlt2,dFlt3,critFlt3))</f>
        <v/>
      </c>
      <c r="F2650" t="str">
        <f>IF($B2650="","",SUMIFS(dQty,dCust,$B2650,dPer,"&gt;="&amp;cyFrom,dPer,"&lt;="&amp;cyTo,dQty,"&gt;-1E+300",dFlt1,critFlt1,dFlt2,critFlt2,dFlt3,critFlt3))</f>
        <v/>
      </c>
      <c r="G2650">
        <f>IF($B2650="",0,IFERROR(IF(OR(C2650&lt;&gt;0,D2650&lt;&gt;0,E2650&lt;&gt;0,F2650&lt;&gt;0),1,0),1))</f>
        <v>0</v>
      </c>
      <c r="H2650" t="str">
        <f>IF(OR(G2650=0,E2650=0),"",C2650/E2650)</f>
        <v/>
      </c>
      <c r="I2650" t="str">
        <f>IF(OR(G2650=0,F2650=0),"",D2650/F2650)</f>
        <v/>
      </c>
      <c r="J2650" t="str">
        <f>IF(OR(H2650="",I2650=""),"",IF(H2650=0,"",I2650/H2650-1))</f>
        <v/>
      </c>
      <c r="K2650" t="str">
        <f>IF($B2650="","",IFERROR(IF(G2650=0,-2E+300,CHOOSE(sortIdx,ROUND(D2650,0),IF(J2650="",-1E+300,ROUND(-J2650,6)),IF(J2650="",-1E+300,ROUND(J2650,6)))),-1.5E+300))</f>
        <v/>
      </c>
      <c r="L2650" t="str">
        <f>IF(K2650="","",RANK(K2650,$K$2:$K$3001,0)+COUNTIF($K$2:K2650,K2650)-1)</f>
        <v/>
      </c>
    </row>
    <row r="2651">
      <c r="B2651" t="str">
        <f>IFERROR(IF(A2651="","","="&amp;SUBSTITUTE(SUBSTITUTE(SUBSTITUTE(A2651,"~","~~"),"*","~*"),"?","~?")),"")</f>
        <v/>
      </c>
      <c r="C2651" t="str">
        <f>IF($B2651="","",SUMIFS(dAmt,dCust,$B2651,dPer,"&gt;="&amp;pyFrom,dPer,"&lt;="&amp;pyTo,dAmt,"&gt;-1E+300",dFlt1,critFlt1,dFlt2,critFlt2,dFlt3,critFlt3))</f>
        <v/>
      </c>
      <c r="D2651" t="str">
        <f>IF($B2651="","",SUMIFS(dAmt,dCust,$B2651,dPer,"&gt;="&amp;cyFrom,dPer,"&lt;="&amp;cyTo,dAmt,"&gt;-1E+300",dFlt1,critFlt1,dFlt2,critFlt2,dFlt3,critFlt3))</f>
        <v/>
      </c>
      <c r="E2651" t="str">
        <f>IF($B2651="","",SUMIFS(dQty,dCust,$B2651,dPer,"&gt;="&amp;pyFrom,dPer,"&lt;="&amp;pyTo,dQty,"&gt;-1E+300",dFlt1,critFlt1,dFlt2,critFlt2,dFlt3,critFlt3))</f>
        <v/>
      </c>
      <c r="F2651" t="str">
        <f>IF($B2651="","",SUMIFS(dQty,dCust,$B2651,dPer,"&gt;="&amp;cyFrom,dPer,"&lt;="&amp;cyTo,dQty,"&gt;-1E+300",dFlt1,critFlt1,dFlt2,critFlt2,dFlt3,critFlt3))</f>
        <v/>
      </c>
      <c r="G2651">
        <f>IF($B2651="",0,IFERROR(IF(OR(C2651&lt;&gt;0,D2651&lt;&gt;0,E2651&lt;&gt;0,F2651&lt;&gt;0),1,0),1))</f>
        <v>0</v>
      </c>
      <c r="H2651" t="str">
        <f>IF(OR(G2651=0,E2651=0),"",C2651/E2651)</f>
        <v/>
      </c>
      <c r="I2651" t="str">
        <f>IF(OR(G2651=0,F2651=0),"",D2651/F2651)</f>
        <v/>
      </c>
      <c r="J2651" t="str">
        <f>IF(OR(H2651="",I2651=""),"",IF(H2651=0,"",I2651/H2651-1))</f>
        <v/>
      </c>
      <c r="K2651" t="str">
        <f>IF($B2651="","",IFERROR(IF(G2651=0,-2E+300,CHOOSE(sortIdx,ROUND(D2651,0),IF(J2651="",-1E+300,ROUND(-J2651,6)),IF(J2651="",-1E+300,ROUND(J2651,6)))),-1.5E+300))</f>
        <v/>
      </c>
      <c r="L2651" t="str">
        <f>IF(K2651="","",RANK(K2651,$K$2:$K$3001,0)+COUNTIF($K$2:K2651,K2651)-1)</f>
        <v/>
      </c>
    </row>
    <row r="2652">
      <c r="B2652" t="str">
        <f>IFERROR(IF(A2652="","","="&amp;SUBSTITUTE(SUBSTITUTE(SUBSTITUTE(A2652,"~","~~"),"*","~*"),"?","~?")),"")</f>
        <v/>
      </c>
      <c r="C2652" t="str">
        <f>IF($B2652="","",SUMIFS(dAmt,dCust,$B2652,dPer,"&gt;="&amp;pyFrom,dPer,"&lt;="&amp;pyTo,dAmt,"&gt;-1E+300",dFlt1,critFlt1,dFlt2,critFlt2,dFlt3,critFlt3))</f>
        <v/>
      </c>
      <c r="D2652" t="str">
        <f>IF($B2652="","",SUMIFS(dAmt,dCust,$B2652,dPer,"&gt;="&amp;cyFrom,dPer,"&lt;="&amp;cyTo,dAmt,"&gt;-1E+300",dFlt1,critFlt1,dFlt2,critFlt2,dFlt3,critFlt3))</f>
        <v/>
      </c>
      <c r="E2652" t="str">
        <f>IF($B2652="","",SUMIFS(dQty,dCust,$B2652,dPer,"&gt;="&amp;pyFrom,dPer,"&lt;="&amp;pyTo,dQty,"&gt;-1E+300",dFlt1,critFlt1,dFlt2,critFlt2,dFlt3,critFlt3))</f>
        <v/>
      </c>
      <c r="F2652" t="str">
        <f>IF($B2652="","",SUMIFS(dQty,dCust,$B2652,dPer,"&gt;="&amp;cyFrom,dPer,"&lt;="&amp;cyTo,dQty,"&gt;-1E+300",dFlt1,critFlt1,dFlt2,critFlt2,dFlt3,critFlt3))</f>
        <v/>
      </c>
      <c r="G2652">
        <f>IF($B2652="",0,IFERROR(IF(OR(C2652&lt;&gt;0,D2652&lt;&gt;0,E2652&lt;&gt;0,F2652&lt;&gt;0),1,0),1))</f>
        <v>0</v>
      </c>
      <c r="H2652" t="str">
        <f>IF(OR(G2652=0,E2652=0),"",C2652/E2652)</f>
        <v/>
      </c>
      <c r="I2652" t="str">
        <f>IF(OR(G2652=0,F2652=0),"",D2652/F2652)</f>
        <v/>
      </c>
      <c r="J2652" t="str">
        <f>IF(OR(H2652="",I2652=""),"",IF(H2652=0,"",I2652/H2652-1))</f>
        <v/>
      </c>
      <c r="K2652" t="str">
        <f>IF($B2652="","",IFERROR(IF(G2652=0,-2E+300,CHOOSE(sortIdx,ROUND(D2652,0),IF(J2652="",-1E+300,ROUND(-J2652,6)),IF(J2652="",-1E+300,ROUND(J2652,6)))),-1.5E+300))</f>
        <v/>
      </c>
      <c r="L2652" t="str">
        <f>IF(K2652="","",RANK(K2652,$K$2:$K$3001,0)+COUNTIF($K$2:K2652,K2652)-1)</f>
        <v/>
      </c>
    </row>
    <row r="2653">
      <c r="B2653" t="str">
        <f>IFERROR(IF(A2653="","","="&amp;SUBSTITUTE(SUBSTITUTE(SUBSTITUTE(A2653,"~","~~"),"*","~*"),"?","~?")),"")</f>
        <v/>
      </c>
      <c r="C2653" t="str">
        <f>IF($B2653="","",SUMIFS(dAmt,dCust,$B2653,dPer,"&gt;="&amp;pyFrom,dPer,"&lt;="&amp;pyTo,dAmt,"&gt;-1E+300",dFlt1,critFlt1,dFlt2,critFlt2,dFlt3,critFlt3))</f>
        <v/>
      </c>
      <c r="D2653" t="str">
        <f>IF($B2653="","",SUMIFS(dAmt,dCust,$B2653,dPer,"&gt;="&amp;cyFrom,dPer,"&lt;="&amp;cyTo,dAmt,"&gt;-1E+300",dFlt1,critFlt1,dFlt2,critFlt2,dFlt3,critFlt3))</f>
        <v/>
      </c>
      <c r="E2653" t="str">
        <f>IF($B2653="","",SUMIFS(dQty,dCust,$B2653,dPer,"&gt;="&amp;pyFrom,dPer,"&lt;="&amp;pyTo,dQty,"&gt;-1E+300",dFlt1,critFlt1,dFlt2,critFlt2,dFlt3,critFlt3))</f>
        <v/>
      </c>
      <c r="F2653" t="str">
        <f>IF($B2653="","",SUMIFS(dQty,dCust,$B2653,dPer,"&gt;="&amp;cyFrom,dPer,"&lt;="&amp;cyTo,dQty,"&gt;-1E+300",dFlt1,critFlt1,dFlt2,critFlt2,dFlt3,critFlt3))</f>
        <v/>
      </c>
      <c r="G2653">
        <f>IF($B2653="",0,IFERROR(IF(OR(C2653&lt;&gt;0,D2653&lt;&gt;0,E2653&lt;&gt;0,F2653&lt;&gt;0),1,0),1))</f>
        <v>0</v>
      </c>
      <c r="H2653" t="str">
        <f>IF(OR(G2653=0,E2653=0),"",C2653/E2653)</f>
        <v/>
      </c>
      <c r="I2653" t="str">
        <f>IF(OR(G2653=0,F2653=0),"",D2653/F2653)</f>
        <v/>
      </c>
      <c r="J2653" t="str">
        <f>IF(OR(H2653="",I2653=""),"",IF(H2653=0,"",I2653/H2653-1))</f>
        <v/>
      </c>
      <c r="K2653" t="str">
        <f>IF($B2653="","",IFERROR(IF(G2653=0,-2E+300,CHOOSE(sortIdx,ROUND(D2653,0),IF(J2653="",-1E+300,ROUND(-J2653,6)),IF(J2653="",-1E+300,ROUND(J2653,6)))),-1.5E+300))</f>
        <v/>
      </c>
      <c r="L2653" t="str">
        <f>IF(K2653="","",RANK(K2653,$K$2:$K$3001,0)+COUNTIF($K$2:K2653,K2653)-1)</f>
        <v/>
      </c>
    </row>
    <row r="2654">
      <c r="B2654" t="str">
        <f>IFERROR(IF(A2654="","","="&amp;SUBSTITUTE(SUBSTITUTE(SUBSTITUTE(A2654,"~","~~"),"*","~*"),"?","~?")),"")</f>
        <v/>
      </c>
      <c r="C2654" t="str">
        <f>IF($B2654="","",SUMIFS(dAmt,dCust,$B2654,dPer,"&gt;="&amp;pyFrom,dPer,"&lt;="&amp;pyTo,dAmt,"&gt;-1E+300",dFlt1,critFlt1,dFlt2,critFlt2,dFlt3,critFlt3))</f>
        <v/>
      </c>
      <c r="D2654" t="str">
        <f>IF($B2654="","",SUMIFS(dAmt,dCust,$B2654,dPer,"&gt;="&amp;cyFrom,dPer,"&lt;="&amp;cyTo,dAmt,"&gt;-1E+300",dFlt1,critFlt1,dFlt2,critFlt2,dFlt3,critFlt3))</f>
        <v/>
      </c>
      <c r="E2654" t="str">
        <f>IF($B2654="","",SUMIFS(dQty,dCust,$B2654,dPer,"&gt;="&amp;pyFrom,dPer,"&lt;="&amp;pyTo,dQty,"&gt;-1E+300",dFlt1,critFlt1,dFlt2,critFlt2,dFlt3,critFlt3))</f>
        <v/>
      </c>
      <c r="F2654" t="str">
        <f>IF($B2654="","",SUMIFS(dQty,dCust,$B2654,dPer,"&gt;="&amp;cyFrom,dPer,"&lt;="&amp;cyTo,dQty,"&gt;-1E+300",dFlt1,critFlt1,dFlt2,critFlt2,dFlt3,critFlt3))</f>
        <v/>
      </c>
      <c r="G2654">
        <f>IF($B2654="",0,IFERROR(IF(OR(C2654&lt;&gt;0,D2654&lt;&gt;0,E2654&lt;&gt;0,F2654&lt;&gt;0),1,0),1))</f>
        <v>0</v>
      </c>
      <c r="H2654" t="str">
        <f>IF(OR(G2654=0,E2654=0),"",C2654/E2654)</f>
        <v/>
      </c>
      <c r="I2654" t="str">
        <f>IF(OR(G2654=0,F2654=0),"",D2654/F2654)</f>
        <v/>
      </c>
      <c r="J2654" t="str">
        <f>IF(OR(H2654="",I2654=""),"",IF(H2654=0,"",I2654/H2654-1))</f>
        <v/>
      </c>
      <c r="K2654" t="str">
        <f>IF($B2654="","",IFERROR(IF(G2654=0,-2E+300,CHOOSE(sortIdx,ROUND(D2654,0),IF(J2654="",-1E+300,ROUND(-J2654,6)),IF(J2654="",-1E+300,ROUND(J2654,6)))),-1.5E+300))</f>
        <v/>
      </c>
      <c r="L2654" t="str">
        <f>IF(K2654="","",RANK(K2654,$K$2:$K$3001,0)+COUNTIF($K$2:K2654,K2654)-1)</f>
        <v/>
      </c>
    </row>
    <row r="2655">
      <c r="B2655" t="str">
        <f>IFERROR(IF(A2655="","","="&amp;SUBSTITUTE(SUBSTITUTE(SUBSTITUTE(A2655,"~","~~"),"*","~*"),"?","~?")),"")</f>
        <v/>
      </c>
      <c r="C2655" t="str">
        <f>IF($B2655="","",SUMIFS(dAmt,dCust,$B2655,dPer,"&gt;="&amp;pyFrom,dPer,"&lt;="&amp;pyTo,dAmt,"&gt;-1E+300",dFlt1,critFlt1,dFlt2,critFlt2,dFlt3,critFlt3))</f>
        <v/>
      </c>
      <c r="D2655" t="str">
        <f>IF($B2655="","",SUMIFS(dAmt,dCust,$B2655,dPer,"&gt;="&amp;cyFrom,dPer,"&lt;="&amp;cyTo,dAmt,"&gt;-1E+300",dFlt1,critFlt1,dFlt2,critFlt2,dFlt3,critFlt3))</f>
        <v/>
      </c>
      <c r="E2655" t="str">
        <f>IF($B2655="","",SUMIFS(dQty,dCust,$B2655,dPer,"&gt;="&amp;pyFrom,dPer,"&lt;="&amp;pyTo,dQty,"&gt;-1E+300",dFlt1,critFlt1,dFlt2,critFlt2,dFlt3,critFlt3))</f>
        <v/>
      </c>
      <c r="F2655" t="str">
        <f>IF($B2655="","",SUMIFS(dQty,dCust,$B2655,dPer,"&gt;="&amp;cyFrom,dPer,"&lt;="&amp;cyTo,dQty,"&gt;-1E+300",dFlt1,critFlt1,dFlt2,critFlt2,dFlt3,critFlt3))</f>
        <v/>
      </c>
      <c r="G2655">
        <f>IF($B2655="",0,IFERROR(IF(OR(C2655&lt;&gt;0,D2655&lt;&gt;0,E2655&lt;&gt;0,F2655&lt;&gt;0),1,0),1))</f>
        <v>0</v>
      </c>
      <c r="H2655" t="str">
        <f>IF(OR(G2655=0,E2655=0),"",C2655/E2655)</f>
        <v/>
      </c>
      <c r="I2655" t="str">
        <f>IF(OR(G2655=0,F2655=0),"",D2655/F2655)</f>
        <v/>
      </c>
      <c r="J2655" t="str">
        <f>IF(OR(H2655="",I2655=""),"",IF(H2655=0,"",I2655/H2655-1))</f>
        <v/>
      </c>
      <c r="K2655" t="str">
        <f>IF($B2655="","",IFERROR(IF(G2655=0,-2E+300,CHOOSE(sortIdx,ROUND(D2655,0),IF(J2655="",-1E+300,ROUND(-J2655,6)),IF(J2655="",-1E+300,ROUND(J2655,6)))),-1.5E+300))</f>
        <v/>
      </c>
      <c r="L2655" t="str">
        <f>IF(K2655="","",RANK(K2655,$K$2:$K$3001,0)+COUNTIF($K$2:K2655,K2655)-1)</f>
        <v/>
      </c>
    </row>
    <row r="2656">
      <c r="B2656" t="str">
        <f>IFERROR(IF(A2656="","","="&amp;SUBSTITUTE(SUBSTITUTE(SUBSTITUTE(A2656,"~","~~"),"*","~*"),"?","~?")),"")</f>
        <v/>
      </c>
      <c r="C2656" t="str">
        <f>IF($B2656="","",SUMIFS(dAmt,dCust,$B2656,dPer,"&gt;="&amp;pyFrom,dPer,"&lt;="&amp;pyTo,dAmt,"&gt;-1E+300",dFlt1,critFlt1,dFlt2,critFlt2,dFlt3,critFlt3))</f>
        <v/>
      </c>
      <c r="D2656" t="str">
        <f>IF($B2656="","",SUMIFS(dAmt,dCust,$B2656,dPer,"&gt;="&amp;cyFrom,dPer,"&lt;="&amp;cyTo,dAmt,"&gt;-1E+300",dFlt1,critFlt1,dFlt2,critFlt2,dFlt3,critFlt3))</f>
        <v/>
      </c>
      <c r="E2656" t="str">
        <f>IF($B2656="","",SUMIFS(dQty,dCust,$B2656,dPer,"&gt;="&amp;pyFrom,dPer,"&lt;="&amp;pyTo,dQty,"&gt;-1E+300",dFlt1,critFlt1,dFlt2,critFlt2,dFlt3,critFlt3))</f>
        <v/>
      </c>
      <c r="F2656" t="str">
        <f>IF($B2656="","",SUMIFS(dQty,dCust,$B2656,dPer,"&gt;="&amp;cyFrom,dPer,"&lt;="&amp;cyTo,dQty,"&gt;-1E+300",dFlt1,critFlt1,dFlt2,critFlt2,dFlt3,critFlt3))</f>
        <v/>
      </c>
      <c r="G2656">
        <f>IF($B2656="",0,IFERROR(IF(OR(C2656&lt;&gt;0,D2656&lt;&gt;0,E2656&lt;&gt;0,F2656&lt;&gt;0),1,0),1))</f>
        <v>0</v>
      </c>
      <c r="H2656" t="str">
        <f>IF(OR(G2656=0,E2656=0),"",C2656/E2656)</f>
        <v/>
      </c>
      <c r="I2656" t="str">
        <f>IF(OR(G2656=0,F2656=0),"",D2656/F2656)</f>
        <v/>
      </c>
      <c r="J2656" t="str">
        <f>IF(OR(H2656="",I2656=""),"",IF(H2656=0,"",I2656/H2656-1))</f>
        <v/>
      </c>
      <c r="K2656" t="str">
        <f>IF($B2656="","",IFERROR(IF(G2656=0,-2E+300,CHOOSE(sortIdx,ROUND(D2656,0),IF(J2656="",-1E+300,ROUND(-J2656,6)),IF(J2656="",-1E+300,ROUND(J2656,6)))),-1.5E+300))</f>
        <v/>
      </c>
      <c r="L2656" t="str">
        <f>IF(K2656="","",RANK(K2656,$K$2:$K$3001,0)+COUNTIF($K$2:K2656,K2656)-1)</f>
        <v/>
      </c>
    </row>
    <row r="2657">
      <c r="B2657" t="str">
        <f>IFERROR(IF(A2657="","","="&amp;SUBSTITUTE(SUBSTITUTE(SUBSTITUTE(A2657,"~","~~"),"*","~*"),"?","~?")),"")</f>
        <v/>
      </c>
      <c r="C2657" t="str">
        <f>IF($B2657="","",SUMIFS(dAmt,dCust,$B2657,dPer,"&gt;="&amp;pyFrom,dPer,"&lt;="&amp;pyTo,dAmt,"&gt;-1E+300",dFlt1,critFlt1,dFlt2,critFlt2,dFlt3,critFlt3))</f>
        <v/>
      </c>
      <c r="D2657" t="str">
        <f>IF($B2657="","",SUMIFS(dAmt,dCust,$B2657,dPer,"&gt;="&amp;cyFrom,dPer,"&lt;="&amp;cyTo,dAmt,"&gt;-1E+300",dFlt1,critFlt1,dFlt2,critFlt2,dFlt3,critFlt3))</f>
        <v/>
      </c>
      <c r="E2657" t="str">
        <f>IF($B2657="","",SUMIFS(dQty,dCust,$B2657,dPer,"&gt;="&amp;pyFrom,dPer,"&lt;="&amp;pyTo,dQty,"&gt;-1E+300",dFlt1,critFlt1,dFlt2,critFlt2,dFlt3,critFlt3))</f>
        <v/>
      </c>
      <c r="F2657" t="str">
        <f>IF($B2657="","",SUMIFS(dQty,dCust,$B2657,dPer,"&gt;="&amp;cyFrom,dPer,"&lt;="&amp;cyTo,dQty,"&gt;-1E+300",dFlt1,critFlt1,dFlt2,critFlt2,dFlt3,critFlt3))</f>
        <v/>
      </c>
      <c r="G2657">
        <f>IF($B2657="",0,IFERROR(IF(OR(C2657&lt;&gt;0,D2657&lt;&gt;0,E2657&lt;&gt;0,F2657&lt;&gt;0),1,0),1))</f>
        <v>0</v>
      </c>
      <c r="H2657" t="str">
        <f>IF(OR(G2657=0,E2657=0),"",C2657/E2657)</f>
        <v/>
      </c>
      <c r="I2657" t="str">
        <f>IF(OR(G2657=0,F2657=0),"",D2657/F2657)</f>
        <v/>
      </c>
      <c r="J2657" t="str">
        <f>IF(OR(H2657="",I2657=""),"",IF(H2657=0,"",I2657/H2657-1))</f>
        <v/>
      </c>
      <c r="K2657" t="str">
        <f>IF($B2657="","",IFERROR(IF(G2657=0,-2E+300,CHOOSE(sortIdx,ROUND(D2657,0),IF(J2657="",-1E+300,ROUND(-J2657,6)),IF(J2657="",-1E+300,ROUND(J2657,6)))),-1.5E+300))</f>
        <v/>
      </c>
      <c r="L2657" t="str">
        <f>IF(K2657="","",RANK(K2657,$K$2:$K$3001,0)+COUNTIF($K$2:K2657,K2657)-1)</f>
        <v/>
      </c>
    </row>
    <row r="2658">
      <c r="B2658" t="str">
        <f>IFERROR(IF(A2658="","","="&amp;SUBSTITUTE(SUBSTITUTE(SUBSTITUTE(A2658,"~","~~"),"*","~*"),"?","~?")),"")</f>
        <v/>
      </c>
      <c r="C2658" t="str">
        <f>IF($B2658="","",SUMIFS(dAmt,dCust,$B2658,dPer,"&gt;="&amp;pyFrom,dPer,"&lt;="&amp;pyTo,dAmt,"&gt;-1E+300",dFlt1,critFlt1,dFlt2,critFlt2,dFlt3,critFlt3))</f>
        <v/>
      </c>
      <c r="D2658" t="str">
        <f>IF($B2658="","",SUMIFS(dAmt,dCust,$B2658,dPer,"&gt;="&amp;cyFrom,dPer,"&lt;="&amp;cyTo,dAmt,"&gt;-1E+300",dFlt1,critFlt1,dFlt2,critFlt2,dFlt3,critFlt3))</f>
        <v/>
      </c>
      <c r="E2658" t="str">
        <f>IF($B2658="","",SUMIFS(dQty,dCust,$B2658,dPer,"&gt;="&amp;pyFrom,dPer,"&lt;="&amp;pyTo,dQty,"&gt;-1E+300",dFlt1,critFlt1,dFlt2,critFlt2,dFlt3,critFlt3))</f>
        <v/>
      </c>
      <c r="F2658" t="str">
        <f>IF($B2658="","",SUMIFS(dQty,dCust,$B2658,dPer,"&gt;="&amp;cyFrom,dPer,"&lt;="&amp;cyTo,dQty,"&gt;-1E+300",dFlt1,critFlt1,dFlt2,critFlt2,dFlt3,critFlt3))</f>
        <v/>
      </c>
      <c r="G2658">
        <f>IF($B2658="",0,IFERROR(IF(OR(C2658&lt;&gt;0,D2658&lt;&gt;0,E2658&lt;&gt;0,F2658&lt;&gt;0),1,0),1))</f>
        <v>0</v>
      </c>
      <c r="H2658" t="str">
        <f>IF(OR(G2658=0,E2658=0),"",C2658/E2658)</f>
        <v/>
      </c>
      <c r="I2658" t="str">
        <f>IF(OR(G2658=0,F2658=0),"",D2658/F2658)</f>
        <v/>
      </c>
      <c r="J2658" t="str">
        <f>IF(OR(H2658="",I2658=""),"",IF(H2658=0,"",I2658/H2658-1))</f>
        <v/>
      </c>
      <c r="K2658" t="str">
        <f>IF($B2658="","",IFERROR(IF(G2658=0,-2E+300,CHOOSE(sortIdx,ROUND(D2658,0),IF(J2658="",-1E+300,ROUND(-J2658,6)),IF(J2658="",-1E+300,ROUND(J2658,6)))),-1.5E+300))</f>
        <v/>
      </c>
      <c r="L2658" t="str">
        <f>IF(K2658="","",RANK(K2658,$K$2:$K$3001,0)+COUNTIF($K$2:K2658,K2658)-1)</f>
        <v/>
      </c>
    </row>
    <row r="2659">
      <c r="B2659" t="str">
        <f>IFERROR(IF(A2659="","","="&amp;SUBSTITUTE(SUBSTITUTE(SUBSTITUTE(A2659,"~","~~"),"*","~*"),"?","~?")),"")</f>
        <v/>
      </c>
      <c r="C2659" t="str">
        <f>IF($B2659="","",SUMIFS(dAmt,dCust,$B2659,dPer,"&gt;="&amp;pyFrom,dPer,"&lt;="&amp;pyTo,dAmt,"&gt;-1E+300",dFlt1,critFlt1,dFlt2,critFlt2,dFlt3,critFlt3))</f>
        <v/>
      </c>
      <c r="D2659" t="str">
        <f>IF($B2659="","",SUMIFS(dAmt,dCust,$B2659,dPer,"&gt;="&amp;cyFrom,dPer,"&lt;="&amp;cyTo,dAmt,"&gt;-1E+300",dFlt1,critFlt1,dFlt2,critFlt2,dFlt3,critFlt3))</f>
        <v/>
      </c>
      <c r="E2659" t="str">
        <f>IF($B2659="","",SUMIFS(dQty,dCust,$B2659,dPer,"&gt;="&amp;pyFrom,dPer,"&lt;="&amp;pyTo,dQty,"&gt;-1E+300",dFlt1,critFlt1,dFlt2,critFlt2,dFlt3,critFlt3))</f>
        <v/>
      </c>
      <c r="F2659" t="str">
        <f>IF($B2659="","",SUMIFS(dQty,dCust,$B2659,dPer,"&gt;="&amp;cyFrom,dPer,"&lt;="&amp;cyTo,dQty,"&gt;-1E+300",dFlt1,critFlt1,dFlt2,critFlt2,dFlt3,critFlt3))</f>
        <v/>
      </c>
      <c r="G2659">
        <f>IF($B2659="",0,IFERROR(IF(OR(C2659&lt;&gt;0,D2659&lt;&gt;0,E2659&lt;&gt;0,F2659&lt;&gt;0),1,0),1))</f>
        <v>0</v>
      </c>
      <c r="H2659" t="str">
        <f>IF(OR(G2659=0,E2659=0),"",C2659/E2659)</f>
        <v/>
      </c>
      <c r="I2659" t="str">
        <f>IF(OR(G2659=0,F2659=0),"",D2659/F2659)</f>
        <v/>
      </c>
      <c r="J2659" t="str">
        <f>IF(OR(H2659="",I2659=""),"",IF(H2659=0,"",I2659/H2659-1))</f>
        <v/>
      </c>
      <c r="K2659" t="str">
        <f>IF($B2659="","",IFERROR(IF(G2659=0,-2E+300,CHOOSE(sortIdx,ROUND(D2659,0),IF(J2659="",-1E+300,ROUND(-J2659,6)),IF(J2659="",-1E+300,ROUND(J2659,6)))),-1.5E+300))</f>
        <v/>
      </c>
      <c r="L2659" t="str">
        <f>IF(K2659="","",RANK(K2659,$K$2:$K$3001,0)+COUNTIF($K$2:K2659,K2659)-1)</f>
        <v/>
      </c>
    </row>
    <row r="2660">
      <c r="B2660" t="str">
        <f>IFERROR(IF(A2660="","","="&amp;SUBSTITUTE(SUBSTITUTE(SUBSTITUTE(A2660,"~","~~"),"*","~*"),"?","~?")),"")</f>
        <v/>
      </c>
      <c r="C2660" t="str">
        <f>IF($B2660="","",SUMIFS(dAmt,dCust,$B2660,dPer,"&gt;="&amp;pyFrom,dPer,"&lt;="&amp;pyTo,dAmt,"&gt;-1E+300",dFlt1,critFlt1,dFlt2,critFlt2,dFlt3,critFlt3))</f>
        <v/>
      </c>
      <c r="D2660" t="str">
        <f>IF($B2660="","",SUMIFS(dAmt,dCust,$B2660,dPer,"&gt;="&amp;cyFrom,dPer,"&lt;="&amp;cyTo,dAmt,"&gt;-1E+300",dFlt1,critFlt1,dFlt2,critFlt2,dFlt3,critFlt3))</f>
        <v/>
      </c>
      <c r="E2660" t="str">
        <f>IF($B2660="","",SUMIFS(dQty,dCust,$B2660,dPer,"&gt;="&amp;pyFrom,dPer,"&lt;="&amp;pyTo,dQty,"&gt;-1E+300",dFlt1,critFlt1,dFlt2,critFlt2,dFlt3,critFlt3))</f>
        <v/>
      </c>
      <c r="F2660" t="str">
        <f>IF($B2660="","",SUMIFS(dQty,dCust,$B2660,dPer,"&gt;="&amp;cyFrom,dPer,"&lt;="&amp;cyTo,dQty,"&gt;-1E+300",dFlt1,critFlt1,dFlt2,critFlt2,dFlt3,critFlt3))</f>
        <v/>
      </c>
      <c r="G2660">
        <f>IF($B2660="",0,IFERROR(IF(OR(C2660&lt;&gt;0,D2660&lt;&gt;0,E2660&lt;&gt;0,F2660&lt;&gt;0),1,0),1))</f>
        <v>0</v>
      </c>
      <c r="H2660" t="str">
        <f>IF(OR(G2660=0,E2660=0),"",C2660/E2660)</f>
        <v/>
      </c>
      <c r="I2660" t="str">
        <f>IF(OR(G2660=0,F2660=0),"",D2660/F2660)</f>
        <v/>
      </c>
      <c r="J2660" t="str">
        <f>IF(OR(H2660="",I2660=""),"",IF(H2660=0,"",I2660/H2660-1))</f>
        <v/>
      </c>
      <c r="K2660" t="str">
        <f>IF($B2660="","",IFERROR(IF(G2660=0,-2E+300,CHOOSE(sortIdx,ROUND(D2660,0),IF(J2660="",-1E+300,ROUND(-J2660,6)),IF(J2660="",-1E+300,ROUND(J2660,6)))),-1.5E+300))</f>
        <v/>
      </c>
      <c r="L2660" t="str">
        <f>IF(K2660="","",RANK(K2660,$K$2:$K$3001,0)+COUNTIF($K$2:K2660,K2660)-1)</f>
        <v/>
      </c>
    </row>
    <row r="2661">
      <c r="B2661" t="str">
        <f>IFERROR(IF(A2661="","","="&amp;SUBSTITUTE(SUBSTITUTE(SUBSTITUTE(A2661,"~","~~"),"*","~*"),"?","~?")),"")</f>
        <v/>
      </c>
      <c r="C2661" t="str">
        <f>IF($B2661="","",SUMIFS(dAmt,dCust,$B2661,dPer,"&gt;="&amp;pyFrom,dPer,"&lt;="&amp;pyTo,dAmt,"&gt;-1E+300",dFlt1,critFlt1,dFlt2,critFlt2,dFlt3,critFlt3))</f>
        <v/>
      </c>
      <c r="D2661" t="str">
        <f>IF($B2661="","",SUMIFS(dAmt,dCust,$B2661,dPer,"&gt;="&amp;cyFrom,dPer,"&lt;="&amp;cyTo,dAmt,"&gt;-1E+300",dFlt1,critFlt1,dFlt2,critFlt2,dFlt3,critFlt3))</f>
        <v/>
      </c>
      <c r="E2661" t="str">
        <f>IF($B2661="","",SUMIFS(dQty,dCust,$B2661,dPer,"&gt;="&amp;pyFrom,dPer,"&lt;="&amp;pyTo,dQty,"&gt;-1E+300",dFlt1,critFlt1,dFlt2,critFlt2,dFlt3,critFlt3))</f>
        <v/>
      </c>
      <c r="F2661" t="str">
        <f>IF($B2661="","",SUMIFS(dQty,dCust,$B2661,dPer,"&gt;="&amp;cyFrom,dPer,"&lt;="&amp;cyTo,dQty,"&gt;-1E+300",dFlt1,critFlt1,dFlt2,critFlt2,dFlt3,critFlt3))</f>
        <v/>
      </c>
      <c r="G2661">
        <f>IF($B2661="",0,IFERROR(IF(OR(C2661&lt;&gt;0,D2661&lt;&gt;0,E2661&lt;&gt;0,F2661&lt;&gt;0),1,0),1))</f>
        <v>0</v>
      </c>
      <c r="H2661" t="str">
        <f>IF(OR(G2661=0,E2661=0),"",C2661/E2661)</f>
        <v/>
      </c>
      <c r="I2661" t="str">
        <f>IF(OR(G2661=0,F2661=0),"",D2661/F2661)</f>
        <v/>
      </c>
      <c r="J2661" t="str">
        <f>IF(OR(H2661="",I2661=""),"",IF(H2661=0,"",I2661/H2661-1))</f>
        <v/>
      </c>
      <c r="K2661" t="str">
        <f>IF($B2661="","",IFERROR(IF(G2661=0,-2E+300,CHOOSE(sortIdx,ROUND(D2661,0),IF(J2661="",-1E+300,ROUND(-J2661,6)),IF(J2661="",-1E+300,ROUND(J2661,6)))),-1.5E+300))</f>
        <v/>
      </c>
      <c r="L2661" t="str">
        <f>IF(K2661="","",RANK(K2661,$K$2:$K$3001,0)+COUNTIF($K$2:K2661,K2661)-1)</f>
        <v/>
      </c>
    </row>
    <row r="2662">
      <c r="B2662" t="str">
        <f>IFERROR(IF(A2662="","","="&amp;SUBSTITUTE(SUBSTITUTE(SUBSTITUTE(A2662,"~","~~"),"*","~*"),"?","~?")),"")</f>
        <v/>
      </c>
      <c r="C2662" t="str">
        <f>IF($B2662="","",SUMIFS(dAmt,dCust,$B2662,dPer,"&gt;="&amp;pyFrom,dPer,"&lt;="&amp;pyTo,dAmt,"&gt;-1E+300",dFlt1,critFlt1,dFlt2,critFlt2,dFlt3,critFlt3))</f>
        <v/>
      </c>
      <c r="D2662" t="str">
        <f>IF($B2662="","",SUMIFS(dAmt,dCust,$B2662,dPer,"&gt;="&amp;cyFrom,dPer,"&lt;="&amp;cyTo,dAmt,"&gt;-1E+300",dFlt1,critFlt1,dFlt2,critFlt2,dFlt3,critFlt3))</f>
        <v/>
      </c>
      <c r="E2662" t="str">
        <f>IF($B2662="","",SUMIFS(dQty,dCust,$B2662,dPer,"&gt;="&amp;pyFrom,dPer,"&lt;="&amp;pyTo,dQty,"&gt;-1E+300",dFlt1,critFlt1,dFlt2,critFlt2,dFlt3,critFlt3))</f>
        <v/>
      </c>
      <c r="F2662" t="str">
        <f>IF($B2662="","",SUMIFS(dQty,dCust,$B2662,dPer,"&gt;="&amp;cyFrom,dPer,"&lt;="&amp;cyTo,dQty,"&gt;-1E+300",dFlt1,critFlt1,dFlt2,critFlt2,dFlt3,critFlt3))</f>
        <v/>
      </c>
      <c r="G2662">
        <f>IF($B2662="",0,IFERROR(IF(OR(C2662&lt;&gt;0,D2662&lt;&gt;0,E2662&lt;&gt;0,F2662&lt;&gt;0),1,0),1))</f>
        <v>0</v>
      </c>
      <c r="H2662" t="str">
        <f>IF(OR(G2662=0,E2662=0),"",C2662/E2662)</f>
        <v/>
      </c>
      <c r="I2662" t="str">
        <f>IF(OR(G2662=0,F2662=0),"",D2662/F2662)</f>
        <v/>
      </c>
      <c r="J2662" t="str">
        <f>IF(OR(H2662="",I2662=""),"",IF(H2662=0,"",I2662/H2662-1))</f>
        <v/>
      </c>
      <c r="K2662" t="str">
        <f>IF($B2662="","",IFERROR(IF(G2662=0,-2E+300,CHOOSE(sortIdx,ROUND(D2662,0),IF(J2662="",-1E+300,ROUND(-J2662,6)),IF(J2662="",-1E+300,ROUND(J2662,6)))),-1.5E+300))</f>
        <v/>
      </c>
      <c r="L2662" t="str">
        <f>IF(K2662="","",RANK(K2662,$K$2:$K$3001,0)+COUNTIF($K$2:K2662,K2662)-1)</f>
        <v/>
      </c>
    </row>
    <row r="2663">
      <c r="B2663" t="str">
        <f>IFERROR(IF(A2663="","","="&amp;SUBSTITUTE(SUBSTITUTE(SUBSTITUTE(A2663,"~","~~"),"*","~*"),"?","~?")),"")</f>
        <v/>
      </c>
      <c r="C2663" t="str">
        <f>IF($B2663="","",SUMIFS(dAmt,dCust,$B2663,dPer,"&gt;="&amp;pyFrom,dPer,"&lt;="&amp;pyTo,dAmt,"&gt;-1E+300",dFlt1,critFlt1,dFlt2,critFlt2,dFlt3,critFlt3))</f>
        <v/>
      </c>
      <c r="D2663" t="str">
        <f>IF($B2663="","",SUMIFS(dAmt,dCust,$B2663,dPer,"&gt;="&amp;cyFrom,dPer,"&lt;="&amp;cyTo,dAmt,"&gt;-1E+300",dFlt1,critFlt1,dFlt2,critFlt2,dFlt3,critFlt3))</f>
        <v/>
      </c>
      <c r="E2663" t="str">
        <f>IF($B2663="","",SUMIFS(dQty,dCust,$B2663,dPer,"&gt;="&amp;pyFrom,dPer,"&lt;="&amp;pyTo,dQty,"&gt;-1E+300",dFlt1,critFlt1,dFlt2,critFlt2,dFlt3,critFlt3))</f>
        <v/>
      </c>
      <c r="F2663" t="str">
        <f>IF($B2663="","",SUMIFS(dQty,dCust,$B2663,dPer,"&gt;="&amp;cyFrom,dPer,"&lt;="&amp;cyTo,dQty,"&gt;-1E+300",dFlt1,critFlt1,dFlt2,critFlt2,dFlt3,critFlt3))</f>
        <v/>
      </c>
      <c r="G2663">
        <f>IF($B2663="",0,IFERROR(IF(OR(C2663&lt;&gt;0,D2663&lt;&gt;0,E2663&lt;&gt;0,F2663&lt;&gt;0),1,0),1))</f>
        <v>0</v>
      </c>
      <c r="H2663" t="str">
        <f>IF(OR(G2663=0,E2663=0),"",C2663/E2663)</f>
        <v/>
      </c>
      <c r="I2663" t="str">
        <f>IF(OR(G2663=0,F2663=0),"",D2663/F2663)</f>
        <v/>
      </c>
      <c r="J2663" t="str">
        <f>IF(OR(H2663="",I2663=""),"",IF(H2663=0,"",I2663/H2663-1))</f>
        <v/>
      </c>
      <c r="K2663" t="str">
        <f>IF($B2663="","",IFERROR(IF(G2663=0,-2E+300,CHOOSE(sortIdx,ROUND(D2663,0),IF(J2663="",-1E+300,ROUND(-J2663,6)),IF(J2663="",-1E+300,ROUND(J2663,6)))),-1.5E+300))</f>
        <v/>
      </c>
      <c r="L2663" t="str">
        <f>IF(K2663="","",RANK(K2663,$K$2:$K$3001,0)+COUNTIF($K$2:K2663,K2663)-1)</f>
        <v/>
      </c>
    </row>
    <row r="2664">
      <c r="B2664" t="str">
        <f>IFERROR(IF(A2664="","","="&amp;SUBSTITUTE(SUBSTITUTE(SUBSTITUTE(A2664,"~","~~"),"*","~*"),"?","~?")),"")</f>
        <v/>
      </c>
      <c r="C2664" t="str">
        <f>IF($B2664="","",SUMIFS(dAmt,dCust,$B2664,dPer,"&gt;="&amp;pyFrom,dPer,"&lt;="&amp;pyTo,dAmt,"&gt;-1E+300",dFlt1,critFlt1,dFlt2,critFlt2,dFlt3,critFlt3))</f>
        <v/>
      </c>
      <c r="D2664" t="str">
        <f>IF($B2664="","",SUMIFS(dAmt,dCust,$B2664,dPer,"&gt;="&amp;cyFrom,dPer,"&lt;="&amp;cyTo,dAmt,"&gt;-1E+300",dFlt1,critFlt1,dFlt2,critFlt2,dFlt3,critFlt3))</f>
        <v/>
      </c>
      <c r="E2664" t="str">
        <f>IF($B2664="","",SUMIFS(dQty,dCust,$B2664,dPer,"&gt;="&amp;pyFrom,dPer,"&lt;="&amp;pyTo,dQty,"&gt;-1E+300",dFlt1,critFlt1,dFlt2,critFlt2,dFlt3,critFlt3))</f>
        <v/>
      </c>
      <c r="F2664" t="str">
        <f>IF($B2664="","",SUMIFS(dQty,dCust,$B2664,dPer,"&gt;="&amp;cyFrom,dPer,"&lt;="&amp;cyTo,dQty,"&gt;-1E+300",dFlt1,critFlt1,dFlt2,critFlt2,dFlt3,critFlt3))</f>
        <v/>
      </c>
      <c r="G2664">
        <f>IF($B2664="",0,IFERROR(IF(OR(C2664&lt;&gt;0,D2664&lt;&gt;0,E2664&lt;&gt;0,F2664&lt;&gt;0),1,0),1))</f>
        <v>0</v>
      </c>
      <c r="H2664" t="str">
        <f>IF(OR(G2664=0,E2664=0),"",C2664/E2664)</f>
        <v/>
      </c>
      <c r="I2664" t="str">
        <f>IF(OR(G2664=0,F2664=0),"",D2664/F2664)</f>
        <v/>
      </c>
      <c r="J2664" t="str">
        <f>IF(OR(H2664="",I2664=""),"",IF(H2664=0,"",I2664/H2664-1))</f>
        <v/>
      </c>
      <c r="K2664" t="str">
        <f>IF($B2664="","",IFERROR(IF(G2664=0,-2E+300,CHOOSE(sortIdx,ROUND(D2664,0),IF(J2664="",-1E+300,ROUND(-J2664,6)),IF(J2664="",-1E+300,ROUND(J2664,6)))),-1.5E+300))</f>
        <v/>
      </c>
      <c r="L2664" t="str">
        <f>IF(K2664="","",RANK(K2664,$K$2:$K$3001,0)+COUNTIF($K$2:K2664,K2664)-1)</f>
        <v/>
      </c>
    </row>
    <row r="2665">
      <c r="B2665" t="str">
        <f>IFERROR(IF(A2665="","","="&amp;SUBSTITUTE(SUBSTITUTE(SUBSTITUTE(A2665,"~","~~"),"*","~*"),"?","~?")),"")</f>
        <v/>
      </c>
      <c r="C2665" t="str">
        <f>IF($B2665="","",SUMIFS(dAmt,dCust,$B2665,dPer,"&gt;="&amp;pyFrom,dPer,"&lt;="&amp;pyTo,dAmt,"&gt;-1E+300",dFlt1,critFlt1,dFlt2,critFlt2,dFlt3,critFlt3))</f>
        <v/>
      </c>
      <c r="D2665" t="str">
        <f>IF($B2665="","",SUMIFS(dAmt,dCust,$B2665,dPer,"&gt;="&amp;cyFrom,dPer,"&lt;="&amp;cyTo,dAmt,"&gt;-1E+300",dFlt1,critFlt1,dFlt2,critFlt2,dFlt3,critFlt3))</f>
        <v/>
      </c>
      <c r="E2665" t="str">
        <f>IF($B2665="","",SUMIFS(dQty,dCust,$B2665,dPer,"&gt;="&amp;pyFrom,dPer,"&lt;="&amp;pyTo,dQty,"&gt;-1E+300",dFlt1,critFlt1,dFlt2,critFlt2,dFlt3,critFlt3))</f>
        <v/>
      </c>
      <c r="F2665" t="str">
        <f>IF($B2665="","",SUMIFS(dQty,dCust,$B2665,dPer,"&gt;="&amp;cyFrom,dPer,"&lt;="&amp;cyTo,dQty,"&gt;-1E+300",dFlt1,critFlt1,dFlt2,critFlt2,dFlt3,critFlt3))</f>
        <v/>
      </c>
      <c r="G2665">
        <f>IF($B2665="",0,IFERROR(IF(OR(C2665&lt;&gt;0,D2665&lt;&gt;0,E2665&lt;&gt;0,F2665&lt;&gt;0),1,0),1))</f>
        <v>0</v>
      </c>
      <c r="H2665" t="str">
        <f>IF(OR(G2665=0,E2665=0),"",C2665/E2665)</f>
        <v/>
      </c>
      <c r="I2665" t="str">
        <f>IF(OR(G2665=0,F2665=0),"",D2665/F2665)</f>
        <v/>
      </c>
      <c r="J2665" t="str">
        <f>IF(OR(H2665="",I2665=""),"",IF(H2665=0,"",I2665/H2665-1))</f>
        <v/>
      </c>
      <c r="K2665" t="str">
        <f>IF($B2665="","",IFERROR(IF(G2665=0,-2E+300,CHOOSE(sortIdx,ROUND(D2665,0),IF(J2665="",-1E+300,ROUND(-J2665,6)),IF(J2665="",-1E+300,ROUND(J2665,6)))),-1.5E+300))</f>
        <v/>
      </c>
      <c r="L2665" t="str">
        <f>IF(K2665="","",RANK(K2665,$K$2:$K$3001,0)+COUNTIF($K$2:K2665,K2665)-1)</f>
        <v/>
      </c>
    </row>
    <row r="2666">
      <c r="B2666" t="str">
        <f>IFERROR(IF(A2666="","","="&amp;SUBSTITUTE(SUBSTITUTE(SUBSTITUTE(A2666,"~","~~"),"*","~*"),"?","~?")),"")</f>
        <v/>
      </c>
      <c r="C2666" t="str">
        <f>IF($B2666="","",SUMIFS(dAmt,dCust,$B2666,dPer,"&gt;="&amp;pyFrom,dPer,"&lt;="&amp;pyTo,dAmt,"&gt;-1E+300",dFlt1,critFlt1,dFlt2,critFlt2,dFlt3,critFlt3))</f>
        <v/>
      </c>
      <c r="D2666" t="str">
        <f>IF($B2666="","",SUMIFS(dAmt,dCust,$B2666,dPer,"&gt;="&amp;cyFrom,dPer,"&lt;="&amp;cyTo,dAmt,"&gt;-1E+300",dFlt1,critFlt1,dFlt2,critFlt2,dFlt3,critFlt3))</f>
        <v/>
      </c>
      <c r="E2666" t="str">
        <f>IF($B2666="","",SUMIFS(dQty,dCust,$B2666,dPer,"&gt;="&amp;pyFrom,dPer,"&lt;="&amp;pyTo,dQty,"&gt;-1E+300",dFlt1,critFlt1,dFlt2,critFlt2,dFlt3,critFlt3))</f>
        <v/>
      </c>
      <c r="F2666" t="str">
        <f>IF($B2666="","",SUMIFS(dQty,dCust,$B2666,dPer,"&gt;="&amp;cyFrom,dPer,"&lt;="&amp;cyTo,dQty,"&gt;-1E+300",dFlt1,critFlt1,dFlt2,critFlt2,dFlt3,critFlt3))</f>
        <v/>
      </c>
      <c r="G2666">
        <f>IF($B2666="",0,IFERROR(IF(OR(C2666&lt;&gt;0,D2666&lt;&gt;0,E2666&lt;&gt;0,F2666&lt;&gt;0),1,0),1))</f>
        <v>0</v>
      </c>
      <c r="H2666" t="str">
        <f>IF(OR(G2666=0,E2666=0),"",C2666/E2666)</f>
        <v/>
      </c>
      <c r="I2666" t="str">
        <f>IF(OR(G2666=0,F2666=0),"",D2666/F2666)</f>
        <v/>
      </c>
      <c r="J2666" t="str">
        <f>IF(OR(H2666="",I2666=""),"",IF(H2666=0,"",I2666/H2666-1))</f>
        <v/>
      </c>
      <c r="K2666" t="str">
        <f>IF($B2666="","",IFERROR(IF(G2666=0,-2E+300,CHOOSE(sortIdx,ROUND(D2666,0),IF(J2666="",-1E+300,ROUND(-J2666,6)),IF(J2666="",-1E+300,ROUND(J2666,6)))),-1.5E+300))</f>
        <v/>
      </c>
      <c r="L2666" t="str">
        <f>IF(K2666="","",RANK(K2666,$K$2:$K$3001,0)+COUNTIF($K$2:K2666,K2666)-1)</f>
        <v/>
      </c>
    </row>
    <row r="2667">
      <c r="B2667" t="str">
        <f>IFERROR(IF(A2667="","","="&amp;SUBSTITUTE(SUBSTITUTE(SUBSTITUTE(A2667,"~","~~"),"*","~*"),"?","~?")),"")</f>
        <v/>
      </c>
      <c r="C2667" t="str">
        <f>IF($B2667="","",SUMIFS(dAmt,dCust,$B2667,dPer,"&gt;="&amp;pyFrom,dPer,"&lt;="&amp;pyTo,dAmt,"&gt;-1E+300",dFlt1,critFlt1,dFlt2,critFlt2,dFlt3,critFlt3))</f>
        <v/>
      </c>
      <c r="D2667" t="str">
        <f>IF($B2667="","",SUMIFS(dAmt,dCust,$B2667,dPer,"&gt;="&amp;cyFrom,dPer,"&lt;="&amp;cyTo,dAmt,"&gt;-1E+300",dFlt1,critFlt1,dFlt2,critFlt2,dFlt3,critFlt3))</f>
        <v/>
      </c>
      <c r="E2667" t="str">
        <f>IF($B2667="","",SUMIFS(dQty,dCust,$B2667,dPer,"&gt;="&amp;pyFrom,dPer,"&lt;="&amp;pyTo,dQty,"&gt;-1E+300",dFlt1,critFlt1,dFlt2,critFlt2,dFlt3,critFlt3))</f>
        <v/>
      </c>
      <c r="F2667" t="str">
        <f>IF($B2667="","",SUMIFS(dQty,dCust,$B2667,dPer,"&gt;="&amp;cyFrom,dPer,"&lt;="&amp;cyTo,dQty,"&gt;-1E+300",dFlt1,critFlt1,dFlt2,critFlt2,dFlt3,critFlt3))</f>
        <v/>
      </c>
      <c r="G2667">
        <f>IF($B2667="",0,IFERROR(IF(OR(C2667&lt;&gt;0,D2667&lt;&gt;0,E2667&lt;&gt;0,F2667&lt;&gt;0),1,0),1))</f>
        <v>0</v>
      </c>
      <c r="H2667" t="str">
        <f>IF(OR(G2667=0,E2667=0),"",C2667/E2667)</f>
        <v/>
      </c>
      <c r="I2667" t="str">
        <f>IF(OR(G2667=0,F2667=0),"",D2667/F2667)</f>
        <v/>
      </c>
      <c r="J2667" t="str">
        <f>IF(OR(H2667="",I2667=""),"",IF(H2667=0,"",I2667/H2667-1))</f>
        <v/>
      </c>
      <c r="K2667" t="str">
        <f>IF($B2667="","",IFERROR(IF(G2667=0,-2E+300,CHOOSE(sortIdx,ROUND(D2667,0),IF(J2667="",-1E+300,ROUND(-J2667,6)),IF(J2667="",-1E+300,ROUND(J2667,6)))),-1.5E+300))</f>
        <v/>
      </c>
      <c r="L2667" t="str">
        <f>IF(K2667="","",RANK(K2667,$K$2:$K$3001,0)+COUNTIF($K$2:K2667,K2667)-1)</f>
        <v/>
      </c>
    </row>
    <row r="2668">
      <c r="B2668" t="str">
        <f>IFERROR(IF(A2668="","","="&amp;SUBSTITUTE(SUBSTITUTE(SUBSTITUTE(A2668,"~","~~"),"*","~*"),"?","~?")),"")</f>
        <v/>
      </c>
      <c r="C2668" t="str">
        <f>IF($B2668="","",SUMIFS(dAmt,dCust,$B2668,dPer,"&gt;="&amp;pyFrom,dPer,"&lt;="&amp;pyTo,dAmt,"&gt;-1E+300",dFlt1,critFlt1,dFlt2,critFlt2,dFlt3,critFlt3))</f>
        <v/>
      </c>
      <c r="D2668" t="str">
        <f>IF($B2668="","",SUMIFS(dAmt,dCust,$B2668,dPer,"&gt;="&amp;cyFrom,dPer,"&lt;="&amp;cyTo,dAmt,"&gt;-1E+300",dFlt1,critFlt1,dFlt2,critFlt2,dFlt3,critFlt3))</f>
        <v/>
      </c>
      <c r="E2668" t="str">
        <f>IF($B2668="","",SUMIFS(dQty,dCust,$B2668,dPer,"&gt;="&amp;pyFrom,dPer,"&lt;="&amp;pyTo,dQty,"&gt;-1E+300",dFlt1,critFlt1,dFlt2,critFlt2,dFlt3,critFlt3))</f>
        <v/>
      </c>
      <c r="F2668" t="str">
        <f>IF($B2668="","",SUMIFS(dQty,dCust,$B2668,dPer,"&gt;="&amp;cyFrom,dPer,"&lt;="&amp;cyTo,dQty,"&gt;-1E+300",dFlt1,critFlt1,dFlt2,critFlt2,dFlt3,critFlt3))</f>
        <v/>
      </c>
      <c r="G2668">
        <f>IF($B2668="",0,IFERROR(IF(OR(C2668&lt;&gt;0,D2668&lt;&gt;0,E2668&lt;&gt;0,F2668&lt;&gt;0),1,0),1))</f>
        <v>0</v>
      </c>
      <c r="H2668" t="str">
        <f>IF(OR(G2668=0,E2668=0),"",C2668/E2668)</f>
        <v/>
      </c>
      <c r="I2668" t="str">
        <f>IF(OR(G2668=0,F2668=0),"",D2668/F2668)</f>
        <v/>
      </c>
      <c r="J2668" t="str">
        <f>IF(OR(H2668="",I2668=""),"",IF(H2668=0,"",I2668/H2668-1))</f>
        <v/>
      </c>
      <c r="K2668" t="str">
        <f>IF($B2668="","",IFERROR(IF(G2668=0,-2E+300,CHOOSE(sortIdx,ROUND(D2668,0),IF(J2668="",-1E+300,ROUND(-J2668,6)),IF(J2668="",-1E+300,ROUND(J2668,6)))),-1.5E+300))</f>
        <v/>
      </c>
      <c r="L2668" t="str">
        <f>IF(K2668="","",RANK(K2668,$K$2:$K$3001,0)+COUNTIF($K$2:K2668,K2668)-1)</f>
        <v/>
      </c>
    </row>
    <row r="2669">
      <c r="B2669" t="str">
        <f>IFERROR(IF(A2669="","","="&amp;SUBSTITUTE(SUBSTITUTE(SUBSTITUTE(A2669,"~","~~"),"*","~*"),"?","~?")),"")</f>
        <v/>
      </c>
      <c r="C2669" t="str">
        <f>IF($B2669="","",SUMIFS(dAmt,dCust,$B2669,dPer,"&gt;="&amp;pyFrom,dPer,"&lt;="&amp;pyTo,dAmt,"&gt;-1E+300",dFlt1,critFlt1,dFlt2,critFlt2,dFlt3,critFlt3))</f>
        <v/>
      </c>
      <c r="D2669" t="str">
        <f>IF($B2669="","",SUMIFS(dAmt,dCust,$B2669,dPer,"&gt;="&amp;cyFrom,dPer,"&lt;="&amp;cyTo,dAmt,"&gt;-1E+300",dFlt1,critFlt1,dFlt2,critFlt2,dFlt3,critFlt3))</f>
        <v/>
      </c>
      <c r="E2669" t="str">
        <f>IF($B2669="","",SUMIFS(dQty,dCust,$B2669,dPer,"&gt;="&amp;pyFrom,dPer,"&lt;="&amp;pyTo,dQty,"&gt;-1E+300",dFlt1,critFlt1,dFlt2,critFlt2,dFlt3,critFlt3))</f>
        <v/>
      </c>
      <c r="F2669" t="str">
        <f>IF($B2669="","",SUMIFS(dQty,dCust,$B2669,dPer,"&gt;="&amp;cyFrom,dPer,"&lt;="&amp;cyTo,dQty,"&gt;-1E+300",dFlt1,critFlt1,dFlt2,critFlt2,dFlt3,critFlt3))</f>
        <v/>
      </c>
      <c r="G2669">
        <f>IF($B2669="",0,IFERROR(IF(OR(C2669&lt;&gt;0,D2669&lt;&gt;0,E2669&lt;&gt;0,F2669&lt;&gt;0),1,0),1))</f>
        <v>0</v>
      </c>
      <c r="H2669" t="str">
        <f>IF(OR(G2669=0,E2669=0),"",C2669/E2669)</f>
        <v/>
      </c>
      <c r="I2669" t="str">
        <f>IF(OR(G2669=0,F2669=0),"",D2669/F2669)</f>
        <v/>
      </c>
      <c r="J2669" t="str">
        <f>IF(OR(H2669="",I2669=""),"",IF(H2669=0,"",I2669/H2669-1))</f>
        <v/>
      </c>
      <c r="K2669" t="str">
        <f>IF($B2669="","",IFERROR(IF(G2669=0,-2E+300,CHOOSE(sortIdx,ROUND(D2669,0),IF(J2669="",-1E+300,ROUND(-J2669,6)),IF(J2669="",-1E+300,ROUND(J2669,6)))),-1.5E+300))</f>
        <v/>
      </c>
      <c r="L2669" t="str">
        <f>IF(K2669="","",RANK(K2669,$K$2:$K$3001,0)+COUNTIF($K$2:K2669,K2669)-1)</f>
        <v/>
      </c>
    </row>
    <row r="2670">
      <c r="B2670" t="str">
        <f>IFERROR(IF(A2670="","","="&amp;SUBSTITUTE(SUBSTITUTE(SUBSTITUTE(A2670,"~","~~"),"*","~*"),"?","~?")),"")</f>
        <v/>
      </c>
      <c r="C2670" t="str">
        <f>IF($B2670="","",SUMIFS(dAmt,dCust,$B2670,dPer,"&gt;="&amp;pyFrom,dPer,"&lt;="&amp;pyTo,dAmt,"&gt;-1E+300",dFlt1,critFlt1,dFlt2,critFlt2,dFlt3,critFlt3))</f>
        <v/>
      </c>
      <c r="D2670" t="str">
        <f>IF($B2670="","",SUMIFS(dAmt,dCust,$B2670,dPer,"&gt;="&amp;cyFrom,dPer,"&lt;="&amp;cyTo,dAmt,"&gt;-1E+300",dFlt1,critFlt1,dFlt2,critFlt2,dFlt3,critFlt3))</f>
        <v/>
      </c>
      <c r="E2670" t="str">
        <f>IF($B2670="","",SUMIFS(dQty,dCust,$B2670,dPer,"&gt;="&amp;pyFrom,dPer,"&lt;="&amp;pyTo,dQty,"&gt;-1E+300",dFlt1,critFlt1,dFlt2,critFlt2,dFlt3,critFlt3))</f>
        <v/>
      </c>
      <c r="F2670" t="str">
        <f>IF($B2670="","",SUMIFS(dQty,dCust,$B2670,dPer,"&gt;="&amp;cyFrom,dPer,"&lt;="&amp;cyTo,dQty,"&gt;-1E+300",dFlt1,critFlt1,dFlt2,critFlt2,dFlt3,critFlt3))</f>
        <v/>
      </c>
      <c r="G2670">
        <f>IF($B2670="",0,IFERROR(IF(OR(C2670&lt;&gt;0,D2670&lt;&gt;0,E2670&lt;&gt;0,F2670&lt;&gt;0),1,0),1))</f>
        <v>0</v>
      </c>
      <c r="H2670" t="str">
        <f>IF(OR(G2670=0,E2670=0),"",C2670/E2670)</f>
        <v/>
      </c>
      <c r="I2670" t="str">
        <f>IF(OR(G2670=0,F2670=0),"",D2670/F2670)</f>
        <v/>
      </c>
      <c r="J2670" t="str">
        <f>IF(OR(H2670="",I2670=""),"",IF(H2670=0,"",I2670/H2670-1))</f>
        <v/>
      </c>
      <c r="K2670" t="str">
        <f>IF($B2670="","",IFERROR(IF(G2670=0,-2E+300,CHOOSE(sortIdx,ROUND(D2670,0),IF(J2670="",-1E+300,ROUND(-J2670,6)),IF(J2670="",-1E+300,ROUND(J2670,6)))),-1.5E+300))</f>
        <v/>
      </c>
      <c r="L2670" t="str">
        <f>IF(K2670="","",RANK(K2670,$K$2:$K$3001,0)+COUNTIF($K$2:K2670,K2670)-1)</f>
        <v/>
      </c>
    </row>
    <row r="2671">
      <c r="B2671" t="str">
        <f>IFERROR(IF(A2671="","","="&amp;SUBSTITUTE(SUBSTITUTE(SUBSTITUTE(A2671,"~","~~"),"*","~*"),"?","~?")),"")</f>
        <v/>
      </c>
      <c r="C2671" t="str">
        <f>IF($B2671="","",SUMIFS(dAmt,dCust,$B2671,dPer,"&gt;="&amp;pyFrom,dPer,"&lt;="&amp;pyTo,dAmt,"&gt;-1E+300",dFlt1,critFlt1,dFlt2,critFlt2,dFlt3,critFlt3))</f>
        <v/>
      </c>
      <c r="D2671" t="str">
        <f>IF($B2671="","",SUMIFS(dAmt,dCust,$B2671,dPer,"&gt;="&amp;cyFrom,dPer,"&lt;="&amp;cyTo,dAmt,"&gt;-1E+300",dFlt1,critFlt1,dFlt2,critFlt2,dFlt3,critFlt3))</f>
        <v/>
      </c>
      <c r="E2671" t="str">
        <f>IF($B2671="","",SUMIFS(dQty,dCust,$B2671,dPer,"&gt;="&amp;pyFrom,dPer,"&lt;="&amp;pyTo,dQty,"&gt;-1E+300",dFlt1,critFlt1,dFlt2,critFlt2,dFlt3,critFlt3))</f>
        <v/>
      </c>
      <c r="F2671" t="str">
        <f>IF($B2671="","",SUMIFS(dQty,dCust,$B2671,dPer,"&gt;="&amp;cyFrom,dPer,"&lt;="&amp;cyTo,dQty,"&gt;-1E+300",dFlt1,critFlt1,dFlt2,critFlt2,dFlt3,critFlt3))</f>
        <v/>
      </c>
      <c r="G2671">
        <f>IF($B2671="",0,IFERROR(IF(OR(C2671&lt;&gt;0,D2671&lt;&gt;0,E2671&lt;&gt;0,F2671&lt;&gt;0),1,0),1))</f>
        <v>0</v>
      </c>
      <c r="H2671" t="str">
        <f>IF(OR(G2671=0,E2671=0),"",C2671/E2671)</f>
        <v/>
      </c>
      <c r="I2671" t="str">
        <f>IF(OR(G2671=0,F2671=0),"",D2671/F2671)</f>
        <v/>
      </c>
      <c r="J2671" t="str">
        <f>IF(OR(H2671="",I2671=""),"",IF(H2671=0,"",I2671/H2671-1))</f>
        <v/>
      </c>
      <c r="K2671" t="str">
        <f>IF($B2671="","",IFERROR(IF(G2671=0,-2E+300,CHOOSE(sortIdx,ROUND(D2671,0),IF(J2671="",-1E+300,ROUND(-J2671,6)),IF(J2671="",-1E+300,ROUND(J2671,6)))),-1.5E+300))</f>
        <v/>
      </c>
      <c r="L2671" t="str">
        <f>IF(K2671="","",RANK(K2671,$K$2:$K$3001,0)+COUNTIF($K$2:K2671,K2671)-1)</f>
        <v/>
      </c>
    </row>
    <row r="2672">
      <c r="B2672" t="str">
        <f>IFERROR(IF(A2672="","","="&amp;SUBSTITUTE(SUBSTITUTE(SUBSTITUTE(A2672,"~","~~"),"*","~*"),"?","~?")),"")</f>
        <v/>
      </c>
      <c r="C2672" t="str">
        <f>IF($B2672="","",SUMIFS(dAmt,dCust,$B2672,dPer,"&gt;="&amp;pyFrom,dPer,"&lt;="&amp;pyTo,dAmt,"&gt;-1E+300",dFlt1,critFlt1,dFlt2,critFlt2,dFlt3,critFlt3))</f>
        <v/>
      </c>
      <c r="D2672" t="str">
        <f>IF($B2672="","",SUMIFS(dAmt,dCust,$B2672,dPer,"&gt;="&amp;cyFrom,dPer,"&lt;="&amp;cyTo,dAmt,"&gt;-1E+300",dFlt1,critFlt1,dFlt2,critFlt2,dFlt3,critFlt3))</f>
        <v/>
      </c>
      <c r="E2672" t="str">
        <f>IF($B2672="","",SUMIFS(dQty,dCust,$B2672,dPer,"&gt;="&amp;pyFrom,dPer,"&lt;="&amp;pyTo,dQty,"&gt;-1E+300",dFlt1,critFlt1,dFlt2,critFlt2,dFlt3,critFlt3))</f>
        <v/>
      </c>
      <c r="F2672" t="str">
        <f>IF($B2672="","",SUMIFS(dQty,dCust,$B2672,dPer,"&gt;="&amp;cyFrom,dPer,"&lt;="&amp;cyTo,dQty,"&gt;-1E+300",dFlt1,critFlt1,dFlt2,critFlt2,dFlt3,critFlt3))</f>
        <v/>
      </c>
      <c r="G2672">
        <f>IF($B2672="",0,IFERROR(IF(OR(C2672&lt;&gt;0,D2672&lt;&gt;0,E2672&lt;&gt;0,F2672&lt;&gt;0),1,0),1))</f>
        <v>0</v>
      </c>
      <c r="H2672" t="str">
        <f>IF(OR(G2672=0,E2672=0),"",C2672/E2672)</f>
        <v/>
      </c>
      <c r="I2672" t="str">
        <f>IF(OR(G2672=0,F2672=0),"",D2672/F2672)</f>
        <v/>
      </c>
      <c r="J2672" t="str">
        <f>IF(OR(H2672="",I2672=""),"",IF(H2672=0,"",I2672/H2672-1))</f>
        <v/>
      </c>
      <c r="K2672" t="str">
        <f>IF($B2672="","",IFERROR(IF(G2672=0,-2E+300,CHOOSE(sortIdx,ROUND(D2672,0),IF(J2672="",-1E+300,ROUND(-J2672,6)),IF(J2672="",-1E+300,ROUND(J2672,6)))),-1.5E+300))</f>
        <v/>
      </c>
      <c r="L2672" t="str">
        <f>IF(K2672="","",RANK(K2672,$K$2:$K$3001,0)+COUNTIF($K$2:K2672,K2672)-1)</f>
        <v/>
      </c>
    </row>
    <row r="2673">
      <c r="B2673" t="str">
        <f>IFERROR(IF(A2673="","","="&amp;SUBSTITUTE(SUBSTITUTE(SUBSTITUTE(A2673,"~","~~"),"*","~*"),"?","~?")),"")</f>
        <v/>
      </c>
      <c r="C2673" t="str">
        <f>IF($B2673="","",SUMIFS(dAmt,dCust,$B2673,dPer,"&gt;="&amp;pyFrom,dPer,"&lt;="&amp;pyTo,dAmt,"&gt;-1E+300",dFlt1,critFlt1,dFlt2,critFlt2,dFlt3,critFlt3))</f>
        <v/>
      </c>
      <c r="D2673" t="str">
        <f>IF($B2673="","",SUMIFS(dAmt,dCust,$B2673,dPer,"&gt;="&amp;cyFrom,dPer,"&lt;="&amp;cyTo,dAmt,"&gt;-1E+300",dFlt1,critFlt1,dFlt2,critFlt2,dFlt3,critFlt3))</f>
        <v/>
      </c>
      <c r="E2673" t="str">
        <f>IF($B2673="","",SUMIFS(dQty,dCust,$B2673,dPer,"&gt;="&amp;pyFrom,dPer,"&lt;="&amp;pyTo,dQty,"&gt;-1E+300",dFlt1,critFlt1,dFlt2,critFlt2,dFlt3,critFlt3))</f>
        <v/>
      </c>
      <c r="F2673" t="str">
        <f>IF($B2673="","",SUMIFS(dQty,dCust,$B2673,dPer,"&gt;="&amp;cyFrom,dPer,"&lt;="&amp;cyTo,dQty,"&gt;-1E+300",dFlt1,critFlt1,dFlt2,critFlt2,dFlt3,critFlt3))</f>
        <v/>
      </c>
      <c r="G2673">
        <f>IF($B2673="",0,IFERROR(IF(OR(C2673&lt;&gt;0,D2673&lt;&gt;0,E2673&lt;&gt;0,F2673&lt;&gt;0),1,0),1))</f>
        <v>0</v>
      </c>
      <c r="H2673" t="str">
        <f>IF(OR(G2673=0,E2673=0),"",C2673/E2673)</f>
        <v/>
      </c>
      <c r="I2673" t="str">
        <f>IF(OR(G2673=0,F2673=0),"",D2673/F2673)</f>
        <v/>
      </c>
      <c r="J2673" t="str">
        <f>IF(OR(H2673="",I2673=""),"",IF(H2673=0,"",I2673/H2673-1))</f>
        <v/>
      </c>
      <c r="K2673" t="str">
        <f>IF($B2673="","",IFERROR(IF(G2673=0,-2E+300,CHOOSE(sortIdx,ROUND(D2673,0),IF(J2673="",-1E+300,ROUND(-J2673,6)),IF(J2673="",-1E+300,ROUND(J2673,6)))),-1.5E+300))</f>
        <v/>
      </c>
      <c r="L2673" t="str">
        <f>IF(K2673="","",RANK(K2673,$K$2:$K$3001,0)+COUNTIF($K$2:K2673,K2673)-1)</f>
        <v/>
      </c>
    </row>
    <row r="2674">
      <c r="B2674" t="str">
        <f>IFERROR(IF(A2674="","","="&amp;SUBSTITUTE(SUBSTITUTE(SUBSTITUTE(A2674,"~","~~"),"*","~*"),"?","~?")),"")</f>
        <v/>
      </c>
      <c r="C2674" t="str">
        <f>IF($B2674="","",SUMIFS(dAmt,dCust,$B2674,dPer,"&gt;="&amp;pyFrom,dPer,"&lt;="&amp;pyTo,dAmt,"&gt;-1E+300",dFlt1,critFlt1,dFlt2,critFlt2,dFlt3,critFlt3))</f>
        <v/>
      </c>
      <c r="D2674" t="str">
        <f>IF($B2674="","",SUMIFS(dAmt,dCust,$B2674,dPer,"&gt;="&amp;cyFrom,dPer,"&lt;="&amp;cyTo,dAmt,"&gt;-1E+300",dFlt1,critFlt1,dFlt2,critFlt2,dFlt3,critFlt3))</f>
        <v/>
      </c>
      <c r="E2674" t="str">
        <f>IF($B2674="","",SUMIFS(dQty,dCust,$B2674,dPer,"&gt;="&amp;pyFrom,dPer,"&lt;="&amp;pyTo,dQty,"&gt;-1E+300",dFlt1,critFlt1,dFlt2,critFlt2,dFlt3,critFlt3))</f>
        <v/>
      </c>
      <c r="F2674" t="str">
        <f>IF($B2674="","",SUMIFS(dQty,dCust,$B2674,dPer,"&gt;="&amp;cyFrom,dPer,"&lt;="&amp;cyTo,dQty,"&gt;-1E+300",dFlt1,critFlt1,dFlt2,critFlt2,dFlt3,critFlt3))</f>
        <v/>
      </c>
      <c r="G2674">
        <f>IF($B2674="",0,IFERROR(IF(OR(C2674&lt;&gt;0,D2674&lt;&gt;0,E2674&lt;&gt;0,F2674&lt;&gt;0),1,0),1))</f>
        <v>0</v>
      </c>
      <c r="H2674" t="str">
        <f>IF(OR(G2674=0,E2674=0),"",C2674/E2674)</f>
        <v/>
      </c>
      <c r="I2674" t="str">
        <f>IF(OR(G2674=0,F2674=0),"",D2674/F2674)</f>
        <v/>
      </c>
      <c r="J2674" t="str">
        <f>IF(OR(H2674="",I2674=""),"",IF(H2674=0,"",I2674/H2674-1))</f>
        <v/>
      </c>
      <c r="K2674" t="str">
        <f>IF($B2674="","",IFERROR(IF(G2674=0,-2E+300,CHOOSE(sortIdx,ROUND(D2674,0),IF(J2674="",-1E+300,ROUND(-J2674,6)),IF(J2674="",-1E+300,ROUND(J2674,6)))),-1.5E+300))</f>
        <v/>
      </c>
      <c r="L2674" t="str">
        <f>IF(K2674="","",RANK(K2674,$K$2:$K$3001,0)+COUNTIF($K$2:K2674,K2674)-1)</f>
        <v/>
      </c>
    </row>
    <row r="2675">
      <c r="B2675" t="str">
        <f>IFERROR(IF(A2675="","","="&amp;SUBSTITUTE(SUBSTITUTE(SUBSTITUTE(A2675,"~","~~"),"*","~*"),"?","~?")),"")</f>
        <v/>
      </c>
      <c r="C2675" t="str">
        <f>IF($B2675="","",SUMIFS(dAmt,dCust,$B2675,dPer,"&gt;="&amp;pyFrom,dPer,"&lt;="&amp;pyTo,dAmt,"&gt;-1E+300",dFlt1,critFlt1,dFlt2,critFlt2,dFlt3,critFlt3))</f>
        <v/>
      </c>
      <c r="D2675" t="str">
        <f>IF($B2675="","",SUMIFS(dAmt,dCust,$B2675,dPer,"&gt;="&amp;cyFrom,dPer,"&lt;="&amp;cyTo,dAmt,"&gt;-1E+300",dFlt1,critFlt1,dFlt2,critFlt2,dFlt3,critFlt3))</f>
        <v/>
      </c>
      <c r="E2675" t="str">
        <f>IF($B2675="","",SUMIFS(dQty,dCust,$B2675,dPer,"&gt;="&amp;pyFrom,dPer,"&lt;="&amp;pyTo,dQty,"&gt;-1E+300",dFlt1,critFlt1,dFlt2,critFlt2,dFlt3,critFlt3))</f>
        <v/>
      </c>
      <c r="F2675" t="str">
        <f>IF($B2675="","",SUMIFS(dQty,dCust,$B2675,dPer,"&gt;="&amp;cyFrom,dPer,"&lt;="&amp;cyTo,dQty,"&gt;-1E+300",dFlt1,critFlt1,dFlt2,critFlt2,dFlt3,critFlt3))</f>
        <v/>
      </c>
      <c r="G2675">
        <f>IF($B2675="",0,IFERROR(IF(OR(C2675&lt;&gt;0,D2675&lt;&gt;0,E2675&lt;&gt;0,F2675&lt;&gt;0),1,0),1))</f>
        <v>0</v>
      </c>
      <c r="H2675" t="str">
        <f>IF(OR(G2675=0,E2675=0),"",C2675/E2675)</f>
        <v/>
      </c>
      <c r="I2675" t="str">
        <f>IF(OR(G2675=0,F2675=0),"",D2675/F2675)</f>
        <v/>
      </c>
      <c r="J2675" t="str">
        <f>IF(OR(H2675="",I2675=""),"",IF(H2675=0,"",I2675/H2675-1))</f>
        <v/>
      </c>
      <c r="K2675" t="str">
        <f>IF($B2675="","",IFERROR(IF(G2675=0,-2E+300,CHOOSE(sortIdx,ROUND(D2675,0),IF(J2675="",-1E+300,ROUND(-J2675,6)),IF(J2675="",-1E+300,ROUND(J2675,6)))),-1.5E+300))</f>
        <v/>
      </c>
      <c r="L2675" t="str">
        <f>IF(K2675="","",RANK(K2675,$K$2:$K$3001,0)+COUNTIF($K$2:K2675,K2675)-1)</f>
        <v/>
      </c>
    </row>
    <row r="2676">
      <c r="B2676" t="str">
        <f>IFERROR(IF(A2676="","","="&amp;SUBSTITUTE(SUBSTITUTE(SUBSTITUTE(A2676,"~","~~"),"*","~*"),"?","~?")),"")</f>
        <v/>
      </c>
      <c r="C2676" t="str">
        <f>IF($B2676="","",SUMIFS(dAmt,dCust,$B2676,dPer,"&gt;="&amp;pyFrom,dPer,"&lt;="&amp;pyTo,dAmt,"&gt;-1E+300",dFlt1,critFlt1,dFlt2,critFlt2,dFlt3,critFlt3))</f>
        <v/>
      </c>
      <c r="D2676" t="str">
        <f>IF($B2676="","",SUMIFS(dAmt,dCust,$B2676,dPer,"&gt;="&amp;cyFrom,dPer,"&lt;="&amp;cyTo,dAmt,"&gt;-1E+300",dFlt1,critFlt1,dFlt2,critFlt2,dFlt3,critFlt3))</f>
        <v/>
      </c>
      <c r="E2676" t="str">
        <f>IF($B2676="","",SUMIFS(dQty,dCust,$B2676,dPer,"&gt;="&amp;pyFrom,dPer,"&lt;="&amp;pyTo,dQty,"&gt;-1E+300",dFlt1,critFlt1,dFlt2,critFlt2,dFlt3,critFlt3))</f>
        <v/>
      </c>
      <c r="F2676" t="str">
        <f>IF($B2676="","",SUMIFS(dQty,dCust,$B2676,dPer,"&gt;="&amp;cyFrom,dPer,"&lt;="&amp;cyTo,dQty,"&gt;-1E+300",dFlt1,critFlt1,dFlt2,critFlt2,dFlt3,critFlt3))</f>
        <v/>
      </c>
      <c r="G2676">
        <f>IF($B2676="",0,IFERROR(IF(OR(C2676&lt;&gt;0,D2676&lt;&gt;0,E2676&lt;&gt;0,F2676&lt;&gt;0),1,0),1))</f>
        <v>0</v>
      </c>
      <c r="H2676" t="str">
        <f>IF(OR(G2676=0,E2676=0),"",C2676/E2676)</f>
        <v/>
      </c>
      <c r="I2676" t="str">
        <f>IF(OR(G2676=0,F2676=0),"",D2676/F2676)</f>
        <v/>
      </c>
      <c r="J2676" t="str">
        <f>IF(OR(H2676="",I2676=""),"",IF(H2676=0,"",I2676/H2676-1))</f>
        <v/>
      </c>
      <c r="K2676" t="str">
        <f>IF($B2676="","",IFERROR(IF(G2676=0,-2E+300,CHOOSE(sortIdx,ROUND(D2676,0),IF(J2676="",-1E+300,ROUND(-J2676,6)),IF(J2676="",-1E+300,ROUND(J2676,6)))),-1.5E+300))</f>
        <v/>
      </c>
      <c r="L2676" t="str">
        <f>IF(K2676="","",RANK(K2676,$K$2:$K$3001,0)+COUNTIF($K$2:K2676,K2676)-1)</f>
        <v/>
      </c>
    </row>
    <row r="2677">
      <c r="B2677" t="str">
        <f>IFERROR(IF(A2677="","","="&amp;SUBSTITUTE(SUBSTITUTE(SUBSTITUTE(A2677,"~","~~"),"*","~*"),"?","~?")),"")</f>
        <v/>
      </c>
      <c r="C2677" t="str">
        <f>IF($B2677="","",SUMIFS(dAmt,dCust,$B2677,dPer,"&gt;="&amp;pyFrom,dPer,"&lt;="&amp;pyTo,dAmt,"&gt;-1E+300",dFlt1,critFlt1,dFlt2,critFlt2,dFlt3,critFlt3))</f>
        <v/>
      </c>
      <c r="D2677" t="str">
        <f>IF($B2677="","",SUMIFS(dAmt,dCust,$B2677,dPer,"&gt;="&amp;cyFrom,dPer,"&lt;="&amp;cyTo,dAmt,"&gt;-1E+300",dFlt1,critFlt1,dFlt2,critFlt2,dFlt3,critFlt3))</f>
        <v/>
      </c>
      <c r="E2677" t="str">
        <f>IF($B2677="","",SUMIFS(dQty,dCust,$B2677,dPer,"&gt;="&amp;pyFrom,dPer,"&lt;="&amp;pyTo,dQty,"&gt;-1E+300",dFlt1,critFlt1,dFlt2,critFlt2,dFlt3,critFlt3))</f>
        <v/>
      </c>
      <c r="F2677" t="str">
        <f>IF($B2677="","",SUMIFS(dQty,dCust,$B2677,dPer,"&gt;="&amp;cyFrom,dPer,"&lt;="&amp;cyTo,dQty,"&gt;-1E+300",dFlt1,critFlt1,dFlt2,critFlt2,dFlt3,critFlt3))</f>
        <v/>
      </c>
      <c r="G2677">
        <f>IF($B2677="",0,IFERROR(IF(OR(C2677&lt;&gt;0,D2677&lt;&gt;0,E2677&lt;&gt;0,F2677&lt;&gt;0),1,0),1))</f>
        <v>0</v>
      </c>
      <c r="H2677" t="str">
        <f>IF(OR(G2677=0,E2677=0),"",C2677/E2677)</f>
        <v/>
      </c>
      <c r="I2677" t="str">
        <f>IF(OR(G2677=0,F2677=0),"",D2677/F2677)</f>
        <v/>
      </c>
      <c r="J2677" t="str">
        <f>IF(OR(H2677="",I2677=""),"",IF(H2677=0,"",I2677/H2677-1))</f>
        <v/>
      </c>
      <c r="K2677" t="str">
        <f>IF($B2677="","",IFERROR(IF(G2677=0,-2E+300,CHOOSE(sortIdx,ROUND(D2677,0),IF(J2677="",-1E+300,ROUND(-J2677,6)),IF(J2677="",-1E+300,ROUND(J2677,6)))),-1.5E+300))</f>
        <v/>
      </c>
      <c r="L2677" t="str">
        <f>IF(K2677="","",RANK(K2677,$K$2:$K$3001,0)+COUNTIF($K$2:K2677,K2677)-1)</f>
        <v/>
      </c>
    </row>
    <row r="2678">
      <c r="B2678" t="str">
        <f>IFERROR(IF(A2678="","","="&amp;SUBSTITUTE(SUBSTITUTE(SUBSTITUTE(A2678,"~","~~"),"*","~*"),"?","~?")),"")</f>
        <v/>
      </c>
      <c r="C2678" t="str">
        <f>IF($B2678="","",SUMIFS(dAmt,dCust,$B2678,dPer,"&gt;="&amp;pyFrom,dPer,"&lt;="&amp;pyTo,dAmt,"&gt;-1E+300",dFlt1,critFlt1,dFlt2,critFlt2,dFlt3,critFlt3))</f>
        <v/>
      </c>
      <c r="D2678" t="str">
        <f>IF($B2678="","",SUMIFS(dAmt,dCust,$B2678,dPer,"&gt;="&amp;cyFrom,dPer,"&lt;="&amp;cyTo,dAmt,"&gt;-1E+300",dFlt1,critFlt1,dFlt2,critFlt2,dFlt3,critFlt3))</f>
        <v/>
      </c>
      <c r="E2678" t="str">
        <f>IF($B2678="","",SUMIFS(dQty,dCust,$B2678,dPer,"&gt;="&amp;pyFrom,dPer,"&lt;="&amp;pyTo,dQty,"&gt;-1E+300",dFlt1,critFlt1,dFlt2,critFlt2,dFlt3,critFlt3))</f>
        <v/>
      </c>
      <c r="F2678" t="str">
        <f>IF($B2678="","",SUMIFS(dQty,dCust,$B2678,dPer,"&gt;="&amp;cyFrom,dPer,"&lt;="&amp;cyTo,dQty,"&gt;-1E+300",dFlt1,critFlt1,dFlt2,critFlt2,dFlt3,critFlt3))</f>
        <v/>
      </c>
      <c r="G2678">
        <f>IF($B2678="",0,IFERROR(IF(OR(C2678&lt;&gt;0,D2678&lt;&gt;0,E2678&lt;&gt;0,F2678&lt;&gt;0),1,0),1))</f>
        <v>0</v>
      </c>
      <c r="H2678" t="str">
        <f>IF(OR(G2678=0,E2678=0),"",C2678/E2678)</f>
        <v/>
      </c>
      <c r="I2678" t="str">
        <f>IF(OR(G2678=0,F2678=0),"",D2678/F2678)</f>
        <v/>
      </c>
      <c r="J2678" t="str">
        <f>IF(OR(H2678="",I2678=""),"",IF(H2678=0,"",I2678/H2678-1))</f>
        <v/>
      </c>
      <c r="K2678" t="str">
        <f>IF($B2678="","",IFERROR(IF(G2678=0,-2E+300,CHOOSE(sortIdx,ROUND(D2678,0),IF(J2678="",-1E+300,ROUND(-J2678,6)),IF(J2678="",-1E+300,ROUND(J2678,6)))),-1.5E+300))</f>
        <v/>
      </c>
      <c r="L2678" t="str">
        <f>IF(K2678="","",RANK(K2678,$K$2:$K$3001,0)+COUNTIF($K$2:K2678,K2678)-1)</f>
        <v/>
      </c>
    </row>
    <row r="2679">
      <c r="B2679" t="str">
        <f>IFERROR(IF(A2679="","","="&amp;SUBSTITUTE(SUBSTITUTE(SUBSTITUTE(A2679,"~","~~"),"*","~*"),"?","~?")),"")</f>
        <v/>
      </c>
      <c r="C2679" t="str">
        <f>IF($B2679="","",SUMIFS(dAmt,dCust,$B2679,dPer,"&gt;="&amp;pyFrom,dPer,"&lt;="&amp;pyTo,dAmt,"&gt;-1E+300",dFlt1,critFlt1,dFlt2,critFlt2,dFlt3,critFlt3))</f>
        <v/>
      </c>
      <c r="D2679" t="str">
        <f>IF($B2679="","",SUMIFS(dAmt,dCust,$B2679,dPer,"&gt;="&amp;cyFrom,dPer,"&lt;="&amp;cyTo,dAmt,"&gt;-1E+300",dFlt1,critFlt1,dFlt2,critFlt2,dFlt3,critFlt3))</f>
        <v/>
      </c>
      <c r="E2679" t="str">
        <f>IF($B2679="","",SUMIFS(dQty,dCust,$B2679,dPer,"&gt;="&amp;pyFrom,dPer,"&lt;="&amp;pyTo,dQty,"&gt;-1E+300",dFlt1,critFlt1,dFlt2,critFlt2,dFlt3,critFlt3))</f>
        <v/>
      </c>
      <c r="F2679" t="str">
        <f>IF($B2679="","",SUMIFS(dQty,dCust,$B2679,dPer,"&gt;="&amp;cyFrom,dPer,"&lt;="&amp;cyTo,dQty,"&gt;-1E+300",dFlt1,critFlt1,dFlt2,critFlt2,dFlt3,critFlt3))</f>
        <v/>
      </c>
      <c r="G2679">
        <f>IF($B2679="",0,IFERROR(IF(OR(C2679&lt;&gt;0,D2679&lt;&gt;0,E2679&lt;&gt;0,F2679&lt;&gt;0),1,0),1))</f>
        <v>0</v>
      </c>
      <c r="H2679" t="str">
        <f>IF(OR(G2679=0,E2679=0),"",C2679/E2679)</f>
        <v/>
      </c>
      <c r="I2679" t="str">
        <f>IF(OR(G2679=0,F2679=0),"",D2679/F2679)</f>
        <v/>
      </c>
      <c r="J2679" t="str">
        <f>IF(OR(H2679="",I2679=""),"",IF(H2679=0,"",I2679/H2679-1))</f>
        <v/>
      </c>
      <c r="K2679" t="str">
        <f>IF($B2679="","",IFERROR(IF(G2679=0,-2E+300,CHOOSE(sortIdx,ROUND(D2679,0),IF(J2679="",-1E+300,ROUND(-J2679,6)),IF(J2679="",-1E+300,ROUND(J2679,6)))),-1.5E+300))</f>
        <v/>
      </c>
      <c r="L2679" t="str">
        <f>IF(K2679="","",RANK(K2679,$K$2:$K$3001,0)+COUNTIF($K$2:K2679,K2679)-1)</f>
        <v/>
      </c>
    </row>
    <row r="2680">
      <c r="B2680" t="str">
        <f>IFERROR(IF(A2680="","","="&amp;SUBSTITUTE(SUBSTITUTE(SUBSTITUTE(A2680,"~","~~"),"*","~*"),"?","~?")),"")</f>
        <v/>
      </c>
      <c r="C2680" t="str">
        <f>IF($B2680="","",SUMIFS(dAmt,dCust,$B2680,dPer,"&gt;="&amp;pyFrom,dPer,"&lt;="&amp;pyTo,dAmt,"&gt;-1E+300",dFlt1,critFlt1,dFlt2,critFlt2,dFlt3,critFlt3))</f>
        <v/>
      </c>
      <c r="D2680" t="str">
        <f>IF($B2680="","",SUMIFS(dAmt,dCust,$B2680,dPer,"&gt;="&amp;cyFrom,dPer,"&lt;="&amp;cyTo,dAmt,"&gt;-1E+300",dFlt1,critFlt1,dFlt2,critFlt2,dFlt3,critFlt3))</f>
        <v/>
      </c>
      <c r="E2680" t="str">
        <f>IF($B2680="","",SUMIFS(dQty,dCust,$B2680,dPer,"&gt;="&amp;pyFrom,dPer,"&lt;="&amp;pyTo,dQty,"&gt;-1E+300",dFlt1,critFlt1,dFlt2,critFlt2,dFlt3,critFlt3))</f>
        <v/>
      </c>
      <c r="F2680" t="str">
        <f>IF($B2680="","",SUMIFS(dQty,dCust,$B2680,dPer,"&gt;="&amp;cyFrom,dPer,"&lt;="&amp;cyTo,dQty,"&gt;-1E+300",dFlt1,critFlt1,dFlt2,critFlt2,dFlt3,critFlt3))</f>
        <v/>
      </c>
      <c r="G2680">
        <f>IF($B2680="",0,IFERROR(IF(OR(C2680&lt;&gt;0,D2680&lt;&gt;0,E2680&lt;&gt;0,F2680&lt;&gt;0),1,0),1))</f>
        <v>0</v>
      </c>
      <c r="H2680" t="str">
        <f>IF(OR(G2680=0,E2680=0),"",C2680/E2680)</f>
        <v/>
      </c>
      <c r="I2680" t="str">
        <f>IF(OR(G2680=0,F2680=0),"",D2680/F2680)</f>
        <v/>
      </c>
      <c r="J2680" t="str">
        <f>IF(OR(H2680="",I2680=""),"",IF(H2680=0,"",I2680/H2680-1))</f>
        <v/>
      </c>
      <c r="K2680" t="str">
        <f>IF($B2680="","",IFERROR(IF(G2680=0,-2E+300,CHOOSE(sortIdx,ROUND(D2680,0),IF(J2680="",-1E+300,ROUND(-J2680,6)),IF(J2680="",-1E+300,ROUND(J2680,6)))),-1.5E+300))</f>
        <v/>
      </c>
      <c r="L2680" t="str">
        <f>IF(K2680="","",RANK(K2680,$K$2:$K$3001,0)+COUNTIF($K$2:K2680,K2680)-1)</f>
        <v/>
      </c>
    </row>
    <row r="2681">
      <c r="B2681" t="str">
        <f>IFERROR(IF(A2681="","","="&amp;SUBSTITUTE(SUBSTITUTE(SUBSTITUTE(A2681,"~","~~"),"*","~*"),"?","~?")),"")</f>
        <v/>
      </c>
      <c r="C2681" t="str">
        <f>IF($B2681="","",SUMIFS(dAmt,dCust,$B2681,dPer,"&gt;="&amp;pyFrom,dPer,"&lt;="&amp;pyTo,dAmt,"&gt;-1E+300",dFlt1,critFlt1,dFlt2,critFlt2,dFlt3,critFlt3))</f>
        <v/>
      </c>
      <c r="D2681" t="str">
        <f>IF($B2681="","",SUMIFS(dAmt,dCust,$B2681,dPer,"&gt;="&amp;cyFrom,dPer,"&lt;="&amp;cyTo,dAmt,"&gt;-1E+300",dFlt1,critFlt1,dFlt2,critFlt2,dFlt3,critFlt3))</f>
        <v/>
      </c>
      <c r="E2681" t="str">
        <f>IF($B2681="","",SUMIFS(dQty,dCust,$B2681,dPer,"&gt;="&amp;pyFrom,dPer,"&lt;="&amp;pyTo,dQty,"&gt;-1E+300",dFlt1,critFlt1,dFlt2,critFlt2,dFlt3,critFlt3))</f>
        <v/>
      </c>
      <c r="F2681" t="str">
        <f>IF($B2681="","",SUMIFS(dQty,dCust,$B2681,dPer,"&gt;="&amp;cyFrom,dPer,"&lt;="&amp;cyTo,dQty,"&gt;-1E+300",dFlt1,critFlt1,dFlt2,critFlt2,dFlt3,critFlt3))</f>
        <v/>
      </c>
      <c r="G2681">
        <f>IF($B2681="",0,IFERROR(IF(OR(C2681&lt;&gt;0,D2681&lt;&gt;0,E2681&lt;&gt;0,F2681&lt;&gt;0),1,0),1))</f>
        <v>0</v>
      </c>
      <c r="H2681" t="str">
        <f>IF(OR(G2681=0,E2681=0),"",C2681/E2681)</f>
        <v/>
      </c>
      <c r="I2681" t="str">
        <f>IF(OR(G2681=0,F2681=0),"",D2681/F2681)</f>
        <v/>
      </c>
      <c r="J2681" t="str">
        <f>IF(OR(H2681="",I2681=""),"",IF(H2681=0,"",I2681/H2681-1))</f>
        <v/>
      </c>
      <c r="K2681" t="str">
        <f>IF($B2681="","",IFERROR(IF(G2681=0,-2E+300,CHOOSE(sortIdx,ROUND(D2681,0),IF(J2681="",-1E+300,ROUND(-J2681,6)),IF(J2681="",-1E+300,ROUND(J2681,6)))),-1.5E+300))</f>
        <v/>
      </c>
      <c r="L2681" t="str">
        <f>IF(K2681="","",RANK(K2681,$K$2:$K$3001,0)+COUNTIF($K$2:K2681,K2681)-1)</f>
        <v/>
      </c>
    </row>
    <row r="2682">
      <c r="B2682" t="str">
        <f>IFERROR(IF(A2682="","","="&amp;SUBSTITUTE(SUBSTITUTE(SUBSTITUTE(A2682,"~","~~"),"*","~*"),"?","~?")),"")</f>
        <v/>
      </c>
      <c r="C2682" t="str">
        <f>IF($B2682="","",SUMIFS(dAmt,dCust,$B2682,dPer,"&gt;="&amp;pyFrom,dPer,"&lt;="&amp;pyTo,dAmt,"&gt;-1E+300",dFlt1,critFlt1,dFlt2,critFlt2,dFlt3,critFlt3))</f>
        <v/>
      </c>
      <c r="D2682" t="str">
        <f>IF($B2682="","",SUMIFS(dAmt,dCust,$B2682,dPer,"&gt;="&amp;cyFrom,dPer,"&lt;="&amp;cyTo,dAmt,"&gt;-1E+300",dFlt1,critFlt1,dFlt2,critFlt2,dFlt3,critFlt3))</f>
        <v/>
      </c>
      <c r="E2682" t="str">
        <f>IF($B2682="","",SUMIFS(dQty,dCust,$B2682,dPer,"&gt;="&amp;pyFrom,dPer,"&lt;="&amp;pyTo,dQty,"&gt;-1E+300",dFlt1,critFlt1,dFlt2,critFlt2,dFlt3,critFlt3))</f>
        <v/>
      </c>
      <c r="F2682" t="str">
        <f>IF($B2682="","",SUMIFS(dQty,dCust,$B2682,dPer,"&gt;="&amp;cyFrom,dPer,"&lt;="&amp;cyTo,dQty,"&gt;-1E+300",dFlt1,critFlt1,dFlt2,critFlt2,dFlt3,critFlt3))</f>
        <v/>
      </c>
      <c r="G2682">
        <f>IF($B2682="",0,IFERROR(IF(OR(C2682&lt;&gt;0,D2682&lt;&gt;0,E2682&lt;&gt;0,F2682&lt;&gt;0),1,0),1))</f>
        <v>0</v>
      </c>
      <c r="H2682" t="str">
        <f>IF(OR(G2682=0,E2682=0),"",C2682/E2682)</f>
        <v/>
      </c>
      <c r="I2682" t="str">
        <f>IF(OR(G2682=0,F2682=0),"",D2682/F2682)</f>
        <v/>
      </c>
      <c r="J2682" t="str">
        <f>IF(OR(H2682="",I2682=""),"",IF(H2682=0,"",I2682/H2682-1))</f>
        <v/>
      </c>
      <c r="K2682" t="str">
        <f>IF($B2682="","",IFERROR(IF(G2682=0,-2E+300,CHOOSE(sortIdx,ROUND(D2682,0),IF(J2682="",-1E+300,ROUND(-J2682,6)),IF(J2682="",-1E+300,ROUND(J2682,6)))),-1.5E+300))</f>
        <v/>
      </c>
      <c r="L2682" t="str">
        <f>IF(K2682="","",RANK(K2682,$K$2:$K$3001,0)+COUNTIF($K$2:K2682,K2682)-1)</f>
        <v/>
      </c>
    </row>
    <row r="2683">
      <c r="B2683" t="str">
        <f>IFERROR(IF(A2683="","","="&amp;SUBSTITUTE(SUBSTITUTE(SUBSTITUTE(A2683,"~","~~"),"*","~*"),"?","~?")),"")</f>
        <v/>
      </c>
      <c r="C2683" t="str">
        <f>IF($B2683="","",SUMIFS(dAmt,dCust,$B2683,dPer,"&gt;="&amp;pyFrom,dPer,"&lt;="&amp;pyTo,dAmt,"&gt;-1E+300",dFlt1,critFlt1,dFlt2,critFlt2,dFlt3,critFlt3))</f>
        <v/>
      </c>
      <c r="D2683" t="str">
        <f>IF($B2683="","",SUMIFS(dAmt,dCust,$B2683,dPer,"&gt;="&amp;cyFrom,dPer,"&lt;="&amp;cyTo,dAmt,"&gt;-1E+300",dFlt1,critFlt1,dFlt2,critFlt2,dFlt3,critFlt3))</f>
        <v/>
      </c>
      <c r="E2683" t="str">
        <f>IF($B2683="","",SUMIFS(dQty,dCust,$B2683,dPer,"&gt;="&amp;pyFrom,dPer,"&lt;="&amp;pyTo,dQty,"&gt;-1E+300",dFlt1,critFlt1,dFlt2,critFlt2,dFlt3,critFlt3))</f>
        <v/>
      </c>
      <c r="F2683" t="str">
        <f>IF($B2683="","",SUMIFS(dQty,dCust,$B2683,dPer,"&gt;="&amp;cyFrom,dPer,"&lt;="&amp;cyTo,dQty,"&gt;-1E+300",dFlt1,critFlt1,dFlt2,critFlt2,dFlt3,critFlt3))</f>
        <v/>
      </c>
      <c r="G2683">
        <f>IF($B2683="",0,IFERROR(IF(OR(C2683&lt;&gt;0,D2683&lt;&gt;0,E2683&lt;&gt;0,F2683&lt;&gt;0),1,0),1))</f>
        <v>0</v>
      </c>
      <c r="H2683" t="str">
        <f>IF(OR(G2683=0,E2683=0),"",C2683/E2683)</f>
        <v/>
      </c>
      <c r="I2683" t="str">
        <f>IF(OR(G2683=0,F2683=0),"",D2683/F2683)</f>
        <v/>
      </c>
      <c r="J2683" t="str">
        <f>IF(OR(H2683="",I2683=""),"",IF(H2683=0,"",I2683/H2683-1))</f>
        <v/>
      </c>
      <c r="K2683" t="str">
        <f>IF($B2683="","",IFERROR(IF(G2683=0,-2E+300,CHOOSE(sortIdx,ROUND(D2683,0),IF(J2683="",-1E+300,ROUND(-J2683,6)),IF(J2683="",-1E+300,ROUND(J2683,6)))),-1.5E+300))</f>
        <v/>
      </c>
      <c r="L2683" t="str">
        <f>IF(K2683="","",RANK(K2683,$K$2:$K$3001,0)+COUNTIF($K$2:K2683,K2683)-1)</f>
        <v/>
      </c>
    </row>
    <row r="2684">
      <c r="B2684" t="str">
        <f>IFERROR(IF(A2684="","","="&amp;SUBSTITUTE(SUBSTITUTE(SUBSTITUTE(A2684,"~","~~"),"*","~*"),"?","~?")),"")</f>
        <v/>
      </c>
      <c r="C2684" t="str">
        <f>IF($B2684="","",SUMIFS(dAmt,dCust,$B2684,dPer,"&gt;="&amp;pyFrom,dPer,"&lt;="&amp;pyTo,dAmt,"&gt;-1E+300",dFlt1,critFlt1,dFlt2,critFlt2,dFlt3,critFlt3))</f>
        <v/>
      </c>
      <c r="D2684" t="str">
        <f>IF($B2684="","",SUMIFS(dAmt,dCust,$B2684,dPer,"&gt;="&amp;cyFrom,dPer,"&lt;="&amp;cyTo,dAmt,"&gt;-1E+300",dFlt1,critFlt1,dFlt2,critFlt2,dFlt3,critFlt3))</f>
        <v/>
      </c>
      <c r="E2684" t="str">
        <f>IF($B2684="","",SUMIFS(dQty,dCust,$B2684,dPer,"&gt;="&amp;pyFrom,dPer,"&lt;="&amp;pyTo,dQty,"&gt;-1E+300",dFlt1,critFlt1,dFlt2,critFlt2,dFlt3,critFlt3))</f>
        <v/>
      </c>
      <c r="F2684" t="str">
        <f>IF($B2684="","",SUMIFS(dQty,dCust,$B2684,dPer,"&gt;="&amp;cyFrom,dPer,"&lt;="&amp;cyTo,dQty,"&gt;-1E+300",dFlt1,critFlt1,dFlt2,critFlt2,dFlt3,critFlt3))</f>
        <v/>
      </c>
      <c r="G2684">
        <f>IF($B2684="",0,IFERROR(IF(OR(C2684&lt;&gt;0,D2684&lt;&gt;0,E2684&lt;&gt;0,F2684&lt;&gt;0),1,0),1))</f>
        <v>0</v>
      </c>
      <c r="H2684" t="str">
        <f>IF(OR(G2684=0,E2684=0),"",C2684/E2684)</f>
        <v/>
      </c>
      <c r="I2684" t="str">
        <f>IF(OR(G2684=0,F2684=0),"",D2684/F2684)</f>
        <v/>
      </c>
      <c r="J2684" t="str">
        <f>IF(OR(H2684="",I2684=""),"",IF(H2684=0,"",I2684/H2684-1))</f>
        <v/>
      </c>
      <c r="K2684" t="str">
        <f>IF($B2684="","",IFERROR(IF(G2684=0,-2E+300,CHOOSE(sortIdx,ROUND(D2684,0),IF(J2684="",-1E+300,ROUND(-J2684,6)),IF(J2684="",-1E+300,ROUND(J2684,6)))),-1.5E+300))</f>
        <v/>
      </c>
      <c r="L2684" t="str">
        <f>IF(K2684="","",RANK(K2684,$K$2:$K$3001,0)+COUNTIF($K$2:K2684,K2684)-1)</f>
        <v/>
      </c>
    </row>
    <row r="2685">
      <c r="B2685" t="str">
        <f>IFERROR(IF(A2685="","","="&amp;SUBSTITUTE(SUBSTITUTE(SUBSTITUTE(A2685,"~","~~"),"*","~*"),"?","~?")),"")</f>
        <v/>
      </c>
      <c r="C2685" t="str">
        <f>IF($B2685="","",SUMIFS(dAmt,dCust,$B2685,dPer,"&gt;="&amp;pyFrom,dPer,"&lt;="&amp;pyTo,dAmt,"&gt;-1E+300",dFlt1,critFlt1,dFlt2,critFlt2,dFlt3,critFlt3))</f>
        <v/>
      </c>
      <c r="D2685" t="str">
        <f>IF($B2685="","",SUMIFS(dAmt,dCust,$B2685,dPer,"&gt;="&amp;cyFrom,dPer,"&lt;="&amp;cyTo,dAmt,"&gt;-1E+300",dFlt1,critFlt1,dFlt2,critFlt2,dFlt3,critFlt3))</f>
        <v/>
      </c>
      <c r="E2685" t="str">
        <f>IF($B2685="","",SUMIFS(dQty,dCust,$B2685,dPer,"&gt;="&amp;pyFrom,dPer,"&lt;="&amp;pyTo,dQty,"&gt;-1E+300",dFlt1,critFlt1,dFlt2,critFlt2,dFlt3,critFlt3))</f>
        <v/>
      </c>
      <c r="F2685" t="str">
        <f>IF($B2685="","",SUMIFS(dQty,dCust,$B2685,dPer,"&gt;="&amp;cyFrom,dPer,"&lt;="&amp;cyTo,dQty,"&gt;-1E+300",dFlt1,critFlt1,dFlt2,critFlt2,dFlt3,critFlt3))</f>
        <v/>
      </c>
      <c r="G2685">
        <f>IF($B2685="",0,IFERROR(IF(OR(C2685&lt;&gt;0,D2685&lt;&gt;0,E2685&lt;&gt;0,F2685&lt;&gt;0),1,0),1))</f>
        <v>0</v>
      </c>
      <c r="H2685" t="str">
        <f>IF(OR(G2685=0,E2685=0),"",C2685/E2685)</f>
        <v/>
      </c>
      <c r="I2685" t="str">
        <f>IF(OR(G2685=0,F2685=0),"",D2685/F2685)</f>
        <v/>
      </c>
      <c r="J2685" t="str">
        <f>IF(OR(H2685="",I2685=""),"",IF(H2685=0,"",I2685/H2685-1))</f>
        <v/>
      </c>
      <c r="K2685" t="str">
        <f>IF($B2685="","",IFERROR(IF(G2685=0,-2E+300,CHOOSE(sortIdx,ROUND(D2685,0),IF(J2685="",-1E+300,ROUND(-J2685,6)),IF(J2685="",-1E+300,ROUND(J2685,6)))),-1.5E+300))</f>
        <v/>
      </c>
      <c r="L2685" t="str">
        <f>IF(K2685="","",RANK(K2685,$K$2:$K$3001,0)+COUNTIF($K$2:K2685,K2685)-1)</f>
        <v/>
      </c>
    </row>
    <row r="2686">
      <c r="B2686" t="str">
        <f>IFERROR(IF(A2686="","","="&amp;SUBSTITUTE(SUBSTITUTE(SUBSTITUTE(A2686,"~","~~"),"*","~*"),"?","~?")),"")</f>
        <v/>
      </c>
      <c r="C2686" t="str">
        <f>IF($B2686="","",SUMIFS(dAmt,dCust,$B2686,dPer,"&gt;="&amp;pyFrom,dPer,"&lt;="&amp;pyTo,dAmt,"&gt;-1E+300",dFlt1,critFlt1,dFlt2,critFlt2,dFlt3,critFlt3))</f>
        <v/>
      </c>
      <c r="D2686" t="str">
        <f>IF($B2686="","",SUMIFS(dAmt,dCust,$B2686,dPer,"&gt;="&amp;cyFrom,dPer,"&lt;="&amp;cyTo,dAmt,"&gt;-1E+300",dFlt1,critFlt1,dFlt2,critFlt2,dFlt3,critFlt3))</f>
        <v/>
      </c>
      <c r="E2686" t="str">
        <f>IF($B2686="","",SUMIFS(dQty,dCust,$B2686,dPer,"&gt;="&amp;pyFrom,dPer,"&lt;="&amp;pyTo,dQty,"&gt;-1E+300",dFlt1,critFlt1,dFlt2,critFlt2,dFlt3,critFlt3))</f>
        <v/>
      </c>
      <c r="F2686" t="str">
        <f>IF($B2686="","",SUMIFS(dQty,dCust,$B2686,dPer,"&gt;="&amp;cyFrom,dPer,"&lt;="&amp;cyTo,dQty,"&gt;-1E+300",dFlt1,critFlt1,dFlt2,critFlt2,dFlt3,critFlt3))</f>
        <v/>
      </c>
      <c r="G2686">
        <f>IF($B2686="",0,IFERROR(IF(OR(C2686&lt;&gt;0,D2686&lt;&gt;0,E2686&lt;&gt;0,F2686&lt;&gt;0),1,0),1))</f>
        <v>0</v>
      </c>
      <c r="H2686" t="str">
        <f>IF(OR(G2686=0,E2686=0),"",C2686/E2686)</f>
        <v/>
      </c>
      <c r="I2686" t="str">
        <f>IF(OR(G2686=0,F2686=0),"",D2686/F2686)</f>
        <v/>
      </c>
      <c r="J2686" t="str">
        <f>IF(OR(H2686="",I2686=""),"",IF(H2686=0,"",I2686/H2686-1))</f>
        <v/>
      </c>
      <c r="K2686" t="str">
        <f>IF($B2686="","",IFERROR(IF(G2686=0,-2E+300,CHOOSE(sortIdx,ROUND(D2686,0),IF(J2686="",-1E+300,ROUND(-J2686,6)),IF(J2686="",-1E+300,ROUND(J2686,6)))),-1.5E+300))</f>
        <v/>
      </c>
      <c r="L2686" t="str">
        <f>IF(K2686="","",RANK(K2686,$K$2:$K$3001,0)+COUNTIF($K$2:K2686,K2686)-1)</f>
        <v/>
      </c>
    </row>
    <row r="2687">
      <c r="B2687" t="str">
        <f>IFERROR(IF(A2687="","","="&amp;SUBSTITUTE(SUBSTITUTE(SUBSTITUTE(A2687,"~","~~"),"*","~*"),"?","~?")),"")</f>
        <v/>
      </c>
      <c r="C2687" t="str">
        <f>IF($B2687="","",SUMIFS(dAmt,dCust,$B2687,dPer,"&gt;="&amp;pyFrom,dPer,"&lt;="&amp;pyTo,dAmt,"&gt;-1E+300",dFlt1,critFlt1,dFlt2,critFlt2,dFlt3,critFlt3))</f>
        <v/>
      </c>
      <c r="D2687" t="str">
        <f>IF($B2687="","",SUMIFS(dAmt,dCust,$B2687,dPer,"&gt;="&amp;cyFrom,dPer,"&lt;="&amp;cyTo,dAmt,"&gt;-1E+300",dFlt1,critFlt1,dFlt2,critFlt2,dFlt3,critFlt3))</f>
        <v/>
      </c>
      <c r="E2687" t="str">
        <f>IF($B2687="","",SUMIFS(dQty,dCust,$B2687,dPer,"&gt;="&amp;pyFrom,dPer,"&lt;="&amp;pyTo,dQty,"&gt;-1E+300",dFlt1,critFlt1,dFlt2,critFlt2,dFlt3,critFlt3))</f>
        <v/>
      </c>
      <c r="F2687" t="str">
        <f>IF($B2687="","",SUMIFS(dQty,dCust,$B2687,dPer,"&gt;="&amp;cyFrom,dPer,"&lt;="&amp;cyTo,dQty,"&gt;-1E+300",dFlt1,critFlt1,dFlt2,critFlt2,dFlt3,critFlt3))</f>
        <v/>
      </c>
      <c r="G2687">
        <f>IF($B2687="",0,IFERROR(IF(OR(C2687&lt;&gt;0,D2687&lt;&gt;0,E2687&lt;&gt;0,F2687&lt;&gt;0),1,0),1))</f>
        <v>0</v>
      </c>
      <c r="H2687" t="str">
        <f>IF(OR(G2687=0,E2687=0),"",C2687/E2687)</f>
        <v/>
      </c>
      <c r="I2687" t="str">
        <f>IF(OR(G2687=0,F2687=0),"",D2687/F2687)</f>
        <v/>
      </c>
      <c r="J2687" t="str">
        <f>IF(OR(H2687="",I2687=""),"",IF(H2687=0,"",I2687/H2687-1))</f>
        <v/>
      </c>
      <c r="K2687" t="str">
        <f>IF($B2687="","",IFERROR(IF(G2687=0,-2E+300,CHOOSE(sortIdx,ROUND(D2687,0),IF(J2687="",-1E+300,ROUND(-J2687,6)),IF(J2687="",-1E+300,ROUND(J2687,6)))),-1.5E+300))</f>
        <v/>
      </c>
      <c r="L2687" t="str">
        <f>IF(K2687="","",RANK(K2687,$K$2:$K$3001,0)+COUNTIF($K$2:K2687,K2687)-1)</f>
        <v/>
      </c>
    </row>
    <row r="2688">
      <c r="B2688" t="str">
        <f>IFERROR(IF(A2688="","","="&amp;SUBSTITUTE(SUBSTITUTE(SUBSTITUTE(A2688,"~","~~"),"*","~*"),"?","~?")),"")</f>
        <v/>
      </c>
      <c r="C2688" t="str">
        <f>IF($B2688="","",SUMIFS(dAmt,dCust,$B2688,dPer,"&gt;="&amp;pyFrom,dPer,"&lt;="&amp;pyTo,dAmt,"&gt;-1E+300",dFlt1,critFlt1,dFlt2,critFlt2,dFlt3,critFlt3))</f>
        <v/>
      </c>
      <c r="D2688" t="str">
        <f>IF($B2688="","",SUMIFS(dAmt,dCust,$B2688,dPer,"&gt;="&amp;cyFrom,dPer,"&lt;="&amp;cyTo,dAmt,"&gt;-1E+300",dFlt1,critFlt1,dFlt2,critFlt2,dFlt3,critFlt3))</f>
        <v/>
      </c>
      <c r="E2688" t="str">
        <f>IF($B2688="","",SUMIFS(dQty,dCust,$B2688,dPer,"&gt;="&amp;pyFrom,dPer,"&lt;="&amp;pyTo,dQty,"&gt;-1E+300",dFlt1,critFlt1,dFlt2,critFlt2,dFlt3,critFlt3))</f>
        <v/>
      </c>
      <c r="F2688" t="str">
        <f>IF($B2688="","",SUMIFS(dQty,dCust,$B2688,dPer,"&gt;="&amp;cyFrom,dPer,"&lt;="&amp;cyTo,dQty,"&gt;-1E+300",dFlt1,critFlt1,dFlt2,critFlt2,dFlt3,critFlt3))</f>
        <v/>
      </c>
      <c r="G2688">
        <f>IF($B2688="",0,IFERROR(IF(OR(C2688&lt;&gt;0,D2688&lt;&gt;0,E2688&lt;&gt;0,F2688&lt;&gt;0),1,0),1))</f>
        <v>0</v>
      </c>
      <c r="H2688" t="str">
        <f>IF(OR(G2688=0,E2688=0),"",C2688/E2688)</f>
        <v/>
      </c>
      <c r="I2688" t="str">
        <f>IF(OR(G2688=0,F2688=0),"",D2688/F2688)</f>
        <v/>
      </c>
      <c r="J2688" t="str">
        <f>IF(OR(H2688="",I2688=""),"",IF(H2688=0,"",I2688/H2688-1))</f>
        <v/>
      </c>
      <c r="K2688" t="str">
        <f>IF($B2688="","",IFERROR(IF(G2688=0,-2E+300,CHOOSE(sortIdx,ROUND(D2688,0),IF(J2688="",-1E+300,ROUND(-J2688,6)),IF(J2688="",-1E+300,ROUND(J2688,6)))),-1.5E+300))</f>
        <v/>
      </c>
      <c r="L2688" t="str">
        <f>IF(K2688="","",RANK(K2688,$K$2:$K$3001,0)+COUNTIF($K$2:K2688,K2688)-1)</f>
        <v/>
      </c>
    </row>
    <row r="2689">
      <c r="B2689" t="str">
        <f>IFERROR(IF(A2689="","","="&amp;SUBSTITUTE(SUBSTITUTE(SUBSTITUTE(A2689,"~","~~"),"*","~*"),"?","~?")),"")</f>
        <v/>
      </c>
      <c r="C2689" t="str">
        <f>IF($B2689="","",SUMIFS(dAmt,dCust,$B2689,dPer,"&gt;="&amp;pyFrom,dPer,"&lt;="&amp;pyTo,dAmt,"&gt;-1E+300",dFlt1,critFlt1,dFlt2,critFlt2,dFlt3,critFlt3))</f>
        <v/>
      </c>
      <c r="D2689" t="str">
        <f>IF($B2689="","",SUMIFS(dAmt,dCust,$B2689,dPer,"&gt;="&amp;cyFrom,dPer,"&lt;="&amp;cyTo,dAmt,"&gt;-1E+300",dFlt1,critFlt1,dFlt2,critFlt2,dFlt3,critFlt3))</f>
        <v/>
      </c>
      <c r="E2689" t="str">
        <f>IF($B2689="","",SUMIFS(dQty,dCust,$B2689,dPer,"&gt;="&amp;pyFrom,dPer,"&lt;="&amp;pyTo,dQty,"&gt;-1E+300",dFlt1,critFlt1,dFlt2,critFlt2,dFlt3,critFlt3))</f>
        <v/>
      </c>
      <c r="F2689" t="str">
        <f>IF($B2689="","",SUMIFS(dQty,dCust,$B2689,dPer,"&gt;="&amp;cyFrom,dPer,"&lt;="&amp;cyTo,dQty,"&gt;-1E+300",dFlt1,critFlt1,dFlt2,critFlt2,dFlt3,critFlt3))</f>
        <v/>
      </c>
      <c r="G2689">
        <f>IF($B2689="",0,IFERROR(IF(OR(C2689&lt;&gt;0,D2689&lt;&gt;0,E2689&lt;&gt;0,F2689&lt;&gt;0),1,0),1))</f>
        <v>0</v>
      </c>
      <c r="H2689" t="str">
        <f>IF(OR(G2689=0,E2689=0),"",C2689/E2689)</f>
        <v/>
      </c>
      <c r="I2689" t="str">
        <f>IF(OR(G2689=0,F2689=0),"",D2689/F2689)</f>
        <v/>
      </c>
      <c r="J2689" t="str">
        <f>IF(OR(H2689="",I2689=""),"",IF(H2689=0,"",I2689/H2689-1))</f>
        <v/>
      </c>
      <c r="K2689" t="str">
        <f>IF($B2689="","",IFERROR(IF(G2689=0,-2E+300,CHOOSE(sortIdx,ROUND(D2689,0),IF(J2689="",-1E+300,ROUND(-J2689,6)),IF(J2689="",-1E+300,ROUND(J2689,6)))),-1.5E+300))</f>
        <v/>
      </c>
      <c r="L2689" t="str">
        <f>IF(K2689="","",RANK(K2689,$K$2:$K$3001,0)+COUNTIF($K$2:K2689,K2689)-1)</f>
        <v/>
      </c>
    </row>
    <row r="2690">
      <c r="B2690" t="str">
        <f>IFERROR(IF(A2690="","","="&amp;SUBSTITUTE(SUBSTITUTE(SUBSTITUTE(A2690,"~","~~"),"*","~*"),"?","~?")),"")</f>
        <v/>
      </c>
      <c r="C2690" t="str">
        <f>IF($B2690="","",SUMIFS(dAmt,dCust,$B2690,dPer,"&gt;="&amp;pyFrom,dPer,"&lt;="&amp;pyTo,dAmt,"&gt;-1E+300",dFlt1,critFlt1,dFlt2,critFlt2,dFlt3,critFlt3))</f>
        <v/>
      </c>
      <c r="D2690" t="str">
        <f>IF($B2690="","",SUMIFS(dAmt,dCust,$B2690,dPer,"&gt;="&amp;cyFrom,dPer,"&lt;="&amp;cyTo,dAmt,"&gt;-1E+300",dFlt1,critFlt1,dFlt2,critFlt2,dFlt3,critFlt3))</f>
        <v/>
      </c>
      <c r="E2690" t="str">
        <f>IF($B2690="","",SUMIFS(dQty,dCust,$B2690,dPer,"&gt;="&amp;pyFrom,dPer,"&lt;="&amp;pyTo,dQty,"&gt;-1E+300",dFlt1,critFlt1,dFlt2,critFlt2,dFlt3,critFlt3))</f>
        <v/>
      </c>
      <c r="F2690" t="str">
        <f>IF($B2690="","",SUMIFS(dQty,dCust,$B2690,dPer,"&gt;="&amp;cyFrom,dPer,"&lt;="&amp;cyTo,dQty,"&gt;-1E+300",dFlt1,critFlt1,dFlt2,critFlt2,dFlt3,critFlt3))</f>
        <v/>
      </c>
      <c r="G2690">
        <f>IF($B2690="",0,IFERROR(IF(OR(C2690&lt;&gt;0,D2690&lt;&gt;0,E2690&lt;&gt;0,F2690&lt;&gt;0),1,0),1))</f>
        <v>0</v>
      </c>
      <c r="H2690" t="str">
        <f>IF(OR(G2690=0,E2690=0),"",C2690/E2690)</f>
        <v/>
      </c>
      <c r="I2690" t="str">
        <f>IF(OR(G2690=0,F2690=0),"",D2690/F2690)</f>
        <v/>
      </c>
      <c r="J2690" t="str">
        <f>IF(OR(H2690="",I2690=""),"",IF(H2690=0,"",I2690/H2690-1))</f>
        <v/>
      </c>
      <c r="K2690" t="str">
        <f>IF($B2690="","",IFERROR(IF(G2690=0,-2E+300,CHOOSE(sortIdx,ROUND(D2690,0),IF(J2690="",-1E+300,ROUND(-J2690,6)),IF(J2690="",-1E+300,ROUND(J2690,6)))),-1.5E+300))</f>
        <v/>
      </c>
      <c r="L2690" t="str">
        <f>IF(K2690="","",RANK(K2690,$K$2:$K$3001,0)+COUNTIF($K$2:K2690,K2690)-1)</f>
        <v/>
      </c>
    </row>
    <row r="2691">
      <c r="B2691" t="str">
        <f>IFERROR(IF(A2691="","","="&amp;SUBSTITUTE(SUBSTITUTE(SUBSTITUTE(A2691,"~","~~"),"*","~*"),"?","~?")),"")</f>
        <v/>
      </c>
      <c r="C2691" t="str">
        <f>IF($B2691="","",SUMIFS(dAmt,dCust,$B2691,dPer,"&gt;="&amp;pyFrom,dPer,"&lt;="&amp;pyTo,dAmt,"&gt;-1E+300",dFlt1,critFlt1,dFlt2,critFlt2,dFlt3,critFlt3))</f>
        <v/>
      </c>
      <c r="D2691" t="str">
        <f>IF($B2691="","",SUMIFS(dAmt,dCust,$B2691,dPer,"&gt;="&amp;cyFrom,dPer,"&lt;="&amp;cyTo,dAmt,"&gt;-1E+300",dFlt1,critFlt1,dFlt2,critFlt2,dFlt3,critFlt3))</f>
        <v/>
      </c>
      <c r="E2691" t="str">
        <f>IF($B2691="","",SUMIFS(dQty,dCust,$B2691,dPer,"&gt;="&amp;pyFrom,dPer,"&lt;="&amp;pyTo,dQty,"&gt;-1E+300",dFlt1,critFlt1,dFlt2,critFlt2,dFlt3,critFlt3))</f>
        <v/>
      </c>
      <c r="F2691" t="str">
        <f>IF($B2691="","",SUMIFS(dQty,dCust,$B2691,dPer,"&gt;="&amp;cyFrom,dPer,"&lt;="&amp;cyTo,dQty,"&gt;-1E+300",dFlt1,critFlt1,dFlt2,critFlt2,dFlt3,critFlt3))</f>
        <v/>
      </c>
      <c r="G2691">
        <f>IF($B2691="",0,IFERROR(IF(OR(C2691&lt;&gt;0,D2691&lt;&gt;0,E2691&lt;&gt;0,F2691&lt;&gt;0),1,0),1))</f>
        <v>0</v>
      </c>
      <c r="H2691" t="str">
        <f>IF(OR(G2691=0,E2691=0),"",C2691/E2691)</f>
        <v/>
      </c>
      <c r="I2691" t="str">
        <f>IF(OR(G2691=0,F2691=0),"",D2691/F2691)</f>
        <v/>
      </c>
      <c r="J2691" t="str">
        <f>IF(OR(H2691="",I2691=""),"",IF(H2691=0,"",I2691/H2691-1))</f>
        <v/>
      </c>
      <c r="K2691" t="str">
        <f>IF($B2691="","",IFERROR(IF(G2691=0,-2E+300,CHOOSE(sortIdx,ROUND(D2691,0),IF(J2691="",-1E+300,ROUND(-J2691,6)),IF(J2691="",-1E+300,ROUND(J2691,6)))),-1.5E+300))</f>
        <v/>
      </c>
      <c r="L2691" t="str">
        <f>IF(K2691="","",RANK(K2691,$K$2:$K$3001,0)+COUNTIF($K$2:K2691,K2691)-1)</f>
        <v/>
      </c>
    </row>
    <row r="2692">
      <c r="B2692" t="str">
        <f>IFERROR(IF(A2692="","","="&amp;SUBSTITUTE(SUBSTITUTE(SUBSTITUTE(A2692,"~","~~"),"*","~*"),"?","~?")),"")</f>
        <v/>
      </c>
      <c r="C2692" t="str">
        <f>IF($B2692="","",SUMIFS(dAmt,dCust,$B2692,dPer,"&gt;="&amp;pyFrom,dPer,"&lt;="&amp;pyTo,dAmt,"&gt;-1E+300",dFlt1,critFlt1,dFlt2,critFlt2,dFlt3,critFlt3))</f>
        <v/>
      </c>
      <c r="D2692" t="str">
        <f>IF($B2692="","",SUMIFS(dAmt,dCust,$B2692,dPer,"&gt;="&amp;cyFrom,dPer,"&lt;="&amp;cyTo,dAmt,"&gt;-1E+300",dFlt1,critFlt1,dFlt2,critFlt2,dFlt3,critFlt3))</f>
        <v/>
      </c>
      <c r="E2692" t="str">
        <f>IF($B2692="","",SUMIFS(dQty,dCust,$B2692,dPer,"&gt;="&amp;pyFrom,dPer,"&lt;="&amp;pyTo,dQty,"&gt;-1E+300",dFlt1,critFlt1,dFlt2,critFlt2,dFlt3,critFlt3))</f>
        <v/>
      </c>
      <c r="F2692" t="str">
        <f>IF($B2692="","",SUMIFS(dQty,dCust,$B2692,dPer,"&gt;="&amp;cyFrom,dPer,"&lt;="&amp;cyTo,dQty,"&gt;-1E+300",dFlt1,critFlt1,dFlt2,critFlt2,dFlt3,critFlt3))</f>
        <v/>
      </c>
      <c r="G2692">
        <f>IF($B2692="",0,IFERROR(IF(OR(C2692&lt;&gt;0,D2692&lt;&gt;0,E2692&lt;&gt;0,F2692&lt;&gt;0),1,0),1))</f>
        <v>0</v>
      </c>
      <c r="H2692" t="str">
        <f>IF(OR(G2692=0,E2692=0),"",C2692/E2692)</f>
        <v/>
      </c>
      <c r="I2692" t="str">
        <f>IF(OR(G2692=0,F2692=0),"",D2692/F2692)</f>
        <v/>
      </c>
      <c r="J2692" t="str">
        <f>IF(OR(H2692="",I2692=""),"",IF(H2692=0,"",I2692/H2692-1))</f>
        <v/>
      </c>
      <c r="K2692" t="str">
        <f>IF($B2692="","",IFERROR(IF(G2692=0,-2E+300,CHOOSE(sortIdx,ROUND(D2692,0),IF(J2692="",-1E+300,ROUND(-J2692,6)),IF(J2692="",-1E+300,ROUND(J2692,6)))),-1.5E+300))</f>
        <v/>
      </c>
      <c r="L2692" t="str">
        <f>IF(K2692="","",RANK(K2692,$K$2:$K$3001,0)+COUNTIF($K$2:K2692,K2692)-1)</f>
        <v/>
      </c>
    </row>
    <row r="2693">
      <c r="B2693" t="str">
        <f>IFERROR(IF(A2693="","","="&amp;SUBSTITUTE(SUBSTITUTE(SUBSTITUTE(A2693,"~","~~"),"*","~*"),"?","~?")),"")</f>
        <v/>
      </c>
      <c r="C2693" t="str">
        <f>IF($B2693="","",SUMIFS(dAmt,dCust,$B2693,dPer,"&gt;="&amp;pyFrom,dPer,"&lt;="&amp;pyTo,dAmt,"&gt;-1E+300",dFlt1,critFlt1,dFlt2,critFlt2,dFlt3,critFlt3))</f>
        <v/>
      </c>
      <c r="D2693" t="str">
        <f>IF($B2693="","",SUMIFS(dAmt,dCust,$B2693,dPer,"&gt;="&amp;cyFrom,dPer,"&lt;="&amp;cyTo,dAmt,"&gt;-1E+300",dFlt1,critFlt1,dFlt2,critFlt2,dFlt3,critFlt3))</f>
        <v/>
      </c>
      <c r="E2693" t="str">
        <f>IF($B2693="","",SUMIFS(dQty,dCust,$B2693,dPer,"&gt;="&amp;pyFrom,dPer,"&lt;="&amp;pyTo,dQty,"&gt;-1E+300",dFlt1,critFlt1,dFlt2,critFlt2,dFlt3,critFlt3))</f>
        <v/>
      </c>
      <c r="F2693" t="str">
        <f>IF($B2693="","",SUMIFS(dQty,dCust,$B2693,dPer,"&gt;="&amp;cyFrom,dPer,"&lt;="&amp;cyTo,dQty,"&gt;-1E+300",dFlt1,critFlt1,dFlt2,critFlt2,dFlt3,critFlt3))</f>
        <v/>
      </c>
      <c r="G2693">
        <f>IF($B2693="",0,IFERROR(IF(OR(C2693&lt;&gt;0,D2693&lt;&gt;0,E2693&lt;&gt;0,F2693&lt;&gt;0),1,0),1))</f>
        <v>0</v>
      </c>
      <c r="H2693" t="str">
        <f>IF(OR(G2693=0,E2693=0),"",C2693/E2693)</f>
        <v/>
      </c>
      <c r="I2693" t="str">
        <f>IF(OR(G2693=0,F2693=0),"",D2693/F2693)</f>
        <v/>
      </c>
      <c r="J2693" t="str">
        <f>IF(OR(H2693="",I2693=""),"",IF(H2693=0,"",I2693/H2693-1))</f>
        <v/>
      </c>
      <c r="K2693" t="str">
        <f>IF($B2693="","",IFERROR(IF(G2693=0,-2E+300,CHOOSE(sortIdx,ROUND(D2693,0),IF(J2693="",-1E+300,ROUND(-J2693,6)),IF(J2693="",-1E+300,ROUND(J2693,6)))),-1.5E+300))</f>
        <v/>
      </c>
      <c r="L2693" t="str">
        <f>IF(K2693="","",RANK(K2693,$K$2:$K$3001,0)+COUNTIF($K$2:K2693,K2693)-1)</f>
        <v/>
      </c>
    </row>
    <row r="2694">
      <c r="B2694" t="str">
        <f>IFERROR(IF(A2694="","","="&amp;SUBSTITUTE(SUBSTITUTE(SUBSTITUTE(A2694,"~","~~"),"*","~*"),"?","~?")),"")</f>
        <v/>
      </c>
      <c r="C2694" t="str">
        <f>IF($B2694="","",SUMIFS(dAmt,dCust,$B2694,dPer,"&gt;="&amp;pyFrom,dPer,"&lt;="&amp;pyTo,dAmt,"&gt;-1E+300",dFlt1,critFlt1,dFlt2,critFlt2,dFlt3,critFlt3))</f>
        <v/>
      </c>
      <c r="D2694" t="str">
        <f>IF($B2694="","",SUMIFS(dAmt,dCust,$B2694,dPer,"&gt;="&amp;cyFrom,dPer,"&lt;="&amp;cyTo,dAmt,"&gt;-1E+300",dFlt1,critFlt1,dFlt2,critFlt2,dFlt3,critFlt3))</f>
        <v/>
      </c>
      <c r="E2694" t="str">
        <f>IF($B2694="","",SUMIFS(dQty,dCust,$B2694,dPer,"&gt;="&amp;pyFrom,dPer,"&lt;="&amp;pyTo,dQty,"&gt;-1E+300",dFlt1,critFlt1,dFlt2,critFlt2,dFlt3,critFlt3))</f>
        <v/>
      </c>
      <c r="F2694" t="str">
        <f>IF($B2694="","",SUMIFS(dQty,dCust,$B2694,dPer,"&gt;="&amp;cyFrom,dPer,"&lt;="&amp;cyTo,dQty,"&gt;-1E+300",dFlt1,critFlt1,dFlt2,critFlt2,dFlt3,critFlt3))</f>
        <v/>
      </c>
      <c r="G2694">
        <f>IF($B2694="",0,IFERROR(IF(OR(C2694&lt;&gt;0,D2694&lt;&gt;0,E2694&lt;&gt;0,F2694&lt;&gt;0),1,0),1))</f>
        <v>0</v>
      </c>
      <c r="H2694" t="str">
        <f>IF(OR(G2694=0,E2694=0),"",C2694/E2694)</f>
        <v/>
      </c>
      <c r="I2694" t="str">
        <f>IF(OR(G2694=0,F2694=0),"",D2694/F2694)</f>
        <v/>
      </c>
      <c r="J2694" t="str">
        <f>IF(OR(H2694="",I2694=""),"",IF(H2694=0,"",I2694/H2694-1))</f>
        <v/>
      </c>
      <c r="K2694" t="str">
        <f>IF($B2694="","",IFERROR(IF(G2694=0,-2E+300,CHOOSE(sortIdx,ROUND(D2694,0),IF(J2694="",-1E+300,ROUND(-J2694,6)),IF(J2694="",-1E+300,ROUND(J2694,6)))),-1.5E+300))</f>
        <v/>
      </c>
      <c r="L2694" t="str">
        <f>IF(K2694="","",RANK(K2694,$K$2:$K$3001,0)+COUNTIF($K$2:K2694,K2694)-1)</f>
        <v/>
      </c>
    </row>
    <row r="2695">
      <c r="B2695" t="str">
        <f>IFERROR(IF(A2695="","","="&amp;SUBSTITUTE(SUBSTITUTE(SUBSTITUTE(A2695,"~","~~"),"*","~*"),"?","~?")),"")</f>
        <v/>
      </c>
      <c r="C2695" t="str">
        <f>IF($B2695="","",SUMIFS(dAmt,dCust,$B2695,dPer,"&gt;="&amp;pyFrom,dPer,"&lt;="&amp;pyTo,dAmt,"&gt;-1E+300",dFlt1,critFlt1,dFlt2,critFlt2,dFlt3,critFlt3))</f>
        <v/>
      </c>
      <c r="D2695" t="str">
        <f>IF($B2695="","",SUMIFS(dAmt,dCust,$B2695,dPer,"&gt;="&amp;cyFrom,dPer,"&lt;="&amp;cyTo,dAmt,"&gt;-1E+300",dFlt1,critFlt1,dFlt2,critFlt2,dFlt3,critFlt3))</f>
        <v/>
      </c>
      <c r="E2695" t="str">
        <f>IF($B2695="","",SUMIFS(dQty,dCust,$B2695,dPer,"&gt;="&amp;pyFrom,dPer,"&lt;="&amp;pyTo,dQty,"&gt;-1E+300",dFlt1,critFlt1,dFlt2,critFlt2,dFlt3,critFlt3))</f>
        <v/>
      </c>
      <c r="F2695" t="str">
        <f>IF($B2695="","",SUMIFS(dQty,dCust,$B2695,dPer,"&gt;="&amp;cyFrom,dPer,"&lt;="&amp;cyTo,dQty,"&gt;-1E+300",dFlt1,critFlt1,dFlt2,critFlt2,dFlt3,critFlt3))</f>
        <v/>
      </c>
      <c r="G2695">
        <f>IF($B2695="",0,IFERROR(IF(OR(C2695&lt;&gt;0,D2695&lt;&gt;0,E2695&lt;&gt;0,F2695&lt;&gt;0),1,0),1))</f>
        <v>0</v>
      </c>
      <c r="H2695" t="str">
        <f>IF(OR(G2695=0,E2695=0),"",C2695/E2695)</f>
        <v/>
      </c>
      <c r="I2695" t="str">
        <f>IF(OR(G2695=0,F2695=0),"",D2695/F2695)</f>
        <v/>
      </c>
      <c r="J2695" t="str">
        <f>IF(OR(H2695="",I2695=""),"",IF(H2695=0,"",I2695/H2695-1))</f>
        <v/>
      </c>
      <c r="K2695" t="str">
        <f>IF($B2695="","",IFERROR(IF(G2695=0,-2E+300,CHOOSE(sortIdx,ROUND(D2695,0),IF(J2695="",-1E+300,ROUND(-J2695,6)),IF(J2695="",-1E+300,ROUND(J2695,6)))),-1.5E+300))</f>
        <v/>
      </c>
      <c r="L2695" t="str">
        <f>IF(K2695="","",RANK(K2695,$K$2:$K$3001,0)+COUNTIF($K$2:K2695,K2695)-1)</f>
        <v/>
      </c>
    </row>
    <row r="2696">
      <c r="B2696" t="str">
        <f>IFERROR(IF(A2696="","","="&amp;SUBSTITUTE(SUBSTITUTE(SUBSTITUTE(A2696,"~","~~"),"*","~*"),"?","~?")),"")</f>
        <v/>
      </c>
      <c r="C2696" t="str">
        <f>IF($B2696="","",SUMIFS(dAmt,dCust,$B2696,dPer,"&gt;="&amp;pyFrom,dPer,"&lt;="&amp;pyTo,dAmt,"&gt;-1E+300",dFlt1,critFlt1,dFlt2,critFlt2,dFlt3,critFlt3))</f>
        <v/>
      </c>
      <c r="D2696" t="str">
        <f>IF($B2696="","",SUMIFS(dAmt,dCust,$B2696,dPer,"&gt;="&amp;cyFrom,dPer,"&lt;="&amp;cyTo,dAmt,"&gt;-1E+300",dFlt1,critFlt1,dFlt2,critFlt2,dFlt3,critFlt3))</f>
        <v/>
      </c>
      <c r="E2696" t="str">
        <f>IF($B2696="","",SUMIFS(dQty,dCust,$B2696,dPer,"&gt;="&amp;pyFrom,dPer,"&lt;="&amp;pyTo,dQty,"&gt;-1E+300",dFlt1,critFlt1,dFlt2,critFlt2,dFlt3,critFlt3))</f>
        <v/>
      </c>
      <c r="F2696" t="str">
        <f>IF($B2696="","",SUMIFS(dQty,dCust,$B2696,dPer,"&gt;="&amp;cyFrom,dPer,"&lt;="&amp;cyTo,dQty,"&gt;-1E+300",dFlt1,critFlt1,dFlt2,critFlt2,dFlt3,critFlt3))</f>
        <v/>
      </c>
      <c r="G2696">
        <f>IF($B2696="",0,IFERROR(IF(OR(C2696&lt;&gt;0,D2696&lt;&gt;0,E2696&lt;&gt;0,F2696&lt;&gt;0),1,0),1))</f>
        <v>0</v>
      </c>
      <c r="H2696" t="str">
        <f>IF(OR(G2696=0,E2696=0),"",C2696/E2696)</f>
        <v/>
      </c>
      <c r="I2696" t="str">
        <f>IF(OR(G2696=0,F2696=0),"",D2696/F2696)</f>
        <v/>
      </c>
      <c r="J2696" t="str">
        <f>IF(OR(H2696="",I2696=""),"",IF(H2696=0,"",I2696/H2696-1))</f>
        <v/>
      </c>
      <c r="K2696" t="str">
        <f>IF($B2696="","",IFERROR(IF(G2696=0,-2E+300,CHOOSE(sortIdx,ROUND(D2696,0),IF(J2696="",-1E+300,ROUND(-J2696,6)),IF(J2696="",-1E+300,ROUND(J2696,6)))),-1.5E+300))</f>
        <v/>
      </c>
      <c r="L2696" t="str">
        <f>IF(K2696="","",RANK(K2696,$K$2:$K$3001,0)+COUNTIF($K$2:K2696,K2696)-1)</f>
        <v/>
      </c>
    </row>
    <row r="2697">
      <c r="B2697" t="str">
        <f>IFERROR(IF(A2697="","","="&amp;SUBSTITUTE(SUBSTITUTE(SUBSTITUTE(A2697,"~","~~"),"*","~*"),"?","~?")),"")</f>
        <v/>
      </c>
      <c r="C2697" t="str">
        <f>IF($B2697="","",SUMIFS(dAmt,dCust,$B2697,dPer,"&gt;="&amp;pyFrom,dPer,"&lt;="&amp;pyTo,dAmt,"&gt;-1E+300",dFlt1,critFlt1,dFlt2,critFlt2,dFlt3,critFlt3))</f>
        <v/>
      </c>
      <c r="D2697" t="str">
        <f>IF($B2697="","",SUMIFS(dAmt,dCust,$B2697,dPer,"&gt;="&amp;cyFrom,dPer,"&lt;="&amp;cyTo,dAmt,"&gt;-1E+300",dFlt1,critFlt1,dFlt2,critFlt2,dFlt3,critFlt3))</f>
        <v/>
      </c>
      <c r="E2697" t="str">
        <f>IF($B2697="","",SUMIFS(dQty,dCust,$B2697,dPer,"&gt;="&amp;pyFrom,dPer,"&lt;="&amp;pyTo,dQty,"&gt;-1E+300",dFlt1,critFlt1,dFlt2,critFlt2,dFlt3,critFlt3))</f>
        <v/>
      </c>
      <c r="F2697" t="str">
        <f>IF($B2697="","",SUMIFS(dQty,dCust,$B2697,dPer,"&gt;="&amp;cyFrom,dPer,"&lt;="&amp;cyTo,dQty,"&gt;-1E+300",dFlt1,critFlt1,dFlt2,critFlt2,dFlt3,critFlt3))</f>
        <v/>
      </c>
      <c r="G2697">
        <f>IF($B2697="",0,IFERROR(IF(OR(C2697&lt;&gt;0,D2697&lt;&gt;0,E2697&lt;&gt;0,F2697&lt;&gt;0),1,0),1))</f>
        <v>0</v>
      </c>
      <c r="H2697" t="str">
        <f>IF(OR(G2697=0,E2697=0),"",C2697/E2697)</f>
        <v/>
      </c>
      <c r="I2697" t="str">
        <f>IF(OR(G2697=0,F2697=0),"",D2697/F2697)</f>
        <v/>
      </c>
      <c r="J2697" t="str">
        <f>IF(OR(H2697="",I2697=""),"",IF(H2697=0,"",I2697/H2697-1))</f>
        <v/>
      </c>
      <c r="K2697" t="str">
        <f>IF($B2697="","",IFERROR(IF(G2697=0,-2E+300,CHOOSE(sortIdx,ROUND(D2697,0),IF(J2697="",-1E+300,ROUND(-J2697,6)),IF(J2697="",-1E+300,ROUND(J2697,6)))),-1.5E+300))</f>
        <v/>
      </c>
      <c r="L2697" t="str">
        <f>IF(K2697="","",RANK(K2697,$K$2:$K$3001,0)+COUNTIF($K$2:K2697,K2697)-1)</f>
        <v/>
      </c>
    </row>
    <row r="2698">
      <c r="B2698" t="str">
        <f>IFERROR(IF(A2698="","","="&amp;SUBSTITUTE(SUBSTITUTE(SUBSTITUTE(A2698,"~","~~"),"*","~*"),"?","~?")),"")</f>
        <v/>
      </c>
      <c r="C2698" t="str">
        <f>IF($B2698="","",SUMIFS(dAmt,dCust,$B2698,dPer,"&gt;="&amp;pyFrom,dPer,"&lt;="&amp;pyTo,dAmt,"&gt;-1E+300",dFlt1,critFlt1,dFlt2,critFlt2,dFlt3,critFlt3))</f>
        <v/>
      </c>
      <c r="D2698" t="str">
        <f>IF($B2698="","",SUMIFS(dAmt,dCust,$B2698,dPer,"&gt;="&amp;cyFrom,dPer,"&lt;="&amp;cyTo,dAmt,"&gt;-1E+300",dFlt1,critFlt1,dFlt2,critFlt2,dFlt3,critFlt3))</f>
        <v/>
      </c>
      <c r="E2698" t="str">
        <f>IF($B2698="","",SUMIFS(dQty,dCust,$B2698,dPer,"&gt;="&amp;pyFrom,dPer,"&lt;="&amp;pyTo,dQty,"&gt;-1E+300",dFlt1,critFlt1,dFlt2,critFlt2,dFlt3,critFlt3))</f>
        <v/>
      </c>
      <c r="F2698" t="str">
        <f>IF($B2698="","",SUMIFS(dQty,dCust,$B2698,dPer,"&gt;="&amp;cyFrom,dPer,"&lt;="&amp;cyTo,dQty,"&gt;-1E+300",dFlt1,critFlt1,dFlt2,critFlt2,dFlt3,critFlt3))</f>
        <v/>
      </c>
      <c r="G2698">
        <f>IF($B2698="",0,IFERROR(IF(OR(C2698&lt;&gt;0,D2698&lt;&gt;0,E2698&lt;&gt;0,F2698&lt;&gt;0),1,0),1))</f>
        <v>0</v>
      </c>
      <c r="H2698" t="str">
        <f>IF(OR(G2698=0,E2698=0),"",C2698/E2698)</f>
        <v/>
      </c>
      <c r="I2698" t="str">
        <f>IF(OR(G2698=0,F2698=0),"",D2698/F2698)</f>
        <v/>
      </c>
      <c r="J2698" t="str">
        <f>IF(OR(H2698="",I2698=""),"",IF(H2698=0,"",I2698/H2698-1))</f>
        <v/>
      </c>
      <c r="K2698" t="str">
        <f>IF($B2698="","",IFERROR(IF(G2698=0,-2E+300,CHOOSE(sortIdx,ROUND(D2698,0),IF(J2698="",-1E+300,ROUND(-J2698,6)),IF(J2698="",-1E+300,ROUND(J2698,6)))),-1.5E+300))</f>
        <v/>
      </c>
      <c r="L2698" t="str">
        <f>IF(K2698="","",RANK(K2698,$K$2:$K$3001,0)+COUNTIF($K$2:K2698,K2698)-1)</f>
        <v/>
      </c>
    </row>
    <row r="2699">
      <c r="B2699" t="str">
        <f>IFERROR(IF(A2699="","","="&amp;SUBSTITUTE(SUBSTITUTE(SUBSTITUTE(A2699,"~","~~"),"*","~*"),"?","~?")),"")</f>
        <v/>
      </c>
      <c r="C2699" t="str">
        <f>IF($B2699="","",SUMIFS(dAmt,dCust,$B2699,dPer,"&gt;="&amp;pyFrom,dPer,"&lt;="&amp;pyTo,dAmt,"&gt;-1E+300",dFlt1,critFlt1,dFlt2,critFlt2,dFlt3,critFlt3))</f>
        <v/>
      </c>
      <c r="D2699" t="str">
        <f>IF($B2699="","",SUMIFS(dAmt,dCust,$B2699,dPer,"&gt;="&amp;cyFrom,dPer,"&lt;="&amp;cyTo,dAmt,"&gt;-1E+300",dFlt1,critFlt1,dFlt2,critFlt2,dFlt3,critFlt3))</f>
        <v/>
      </c>
      <c r="E2699" t="str">
        <f>IF($B2699="","",SUMIFS(dQty,dCust,$B2699,dPer,"&gt;="&amp;pyFrom,dPer,"&lt;="&amp;pyTo,dQty,"&gt;-1E+300",dFlt1,critFlt1,dFlt2,critFlt2,dFlt3,critFlt3))</f>
        <v/>
      </c>
      <c r="F2699" t="str">
        <f>IF($B2699="","",SUMIFS(dQty,dCust,$B2699,dPer,"&gt;="&amp;cyFrom,dPer,"&lt;="&amp;cyTo,dQty,"&gt;-1E+300",dFlt1,critFlt1,dFlt2,critFlt2,dFlt3,critFlt3))</f>
        <v/>
      </c>
      <c r="G2699">
        <f>IF($B2699="",0,IFERROR(IF(OR(C2699&lt;&gt;0,D2699&lt;&gt;0,E2699&lt;&gt;0,F2699&lt;&gt;0),1,0),1))</f>
        <v>0</v>
      </c>
      <c r="H2699" t="str">
        <f>IF(OR(G2699=0,E2699=0),"",C2699/E2699)</f>
        <v/>
      </c>
      <c r="I2699" t="str">
        <f>IF(OR(G2699=0,F2699=0),"",D2699/F2699)</f>
        <v/>
      </c>
      <c r="J2699" t="str">
        <f>IF(OR(H2699="",I2699=""),"",IF(H2699=0,"",I2699/H2699-1))</f>
        <v/>
      </c>
      <c r="K2699" t="str">
        <f>IF($B2699="","",IFERROR(IF(G2699=0,-2E+300,CHOOSE(sortIdx,ROUND(D2699,0),IF(J2699="",-1E+300,ROUND(-J2699,6)),IF(J2699="",-1E+300,ROUND(J2699,6)))),-1.5E+300))</f>
        <v/>
      </c>
      <c r="L2699" t="str">
        <f>IF(K2699="","",RANK(K2699,$K$2:$K$3001,0)+COUNTIF($K$2:K2699,K2699)-1)</f>
        <v/>
      </c>
    </row>
    <row r="2700">
      <c r="B2700" t="str">
        <f>IFERROR(IF(A2700="","","="&amp;SUBSTITUTE(SUBSTITUTE(SUBSTITUTE(A2700,"~","~~"),"*","~*"),"?","~?")),"")</f>
        <v/>
      </c>
      <c r="C2700" t="str">
        <f>IF($B2700="","",SUMIFS(dAmt,dCust,$B2700,dPer,"&gt;="&amp;pyFrom,dPer,"&lt;="&amp;pyTo,dAmt,"&gt;-1E+300",dFlt1,critFlt1,dFlt2,critFlt2,dFlt3,critFlt3))</f>
        <v/>
      </c>
      <c r="D2700" t="str">
        <f>IF($B2700="","",SUMIFS(dAmt,dCust,$B2700,dPer,"&gt;="&amp;cyFrom,dPer,"&lt;="&amp;cyTo,dAmt,"&gt;-1E+300",dFlt1,critFlt1,dFlt2,critFlt2,dFlt3,critFlt3))</f>
        <v/>
      </c>
      <c r="E2700" t="str">
        <f>IF($B2700="","",SUMIFS(dQty,dCust,$B2700,dPer,"&gt;="&amp;pyFrom,dPer,"&lt;="&amp;pyTo,dQty,"&gt;-1E+300",dFlt1,critFlt1,dFlt2,critFlt2,dFlt3,critFlt3))</f>
        <v/>
      </c>
      <c r="F2700" t="str">
        <f>IF($B2700="","",SUMIFS(dQty,dCust,$B2700,dPer,"&gt;="&amp;cyFrom,dPer,"&lt;="&amp;cyTo,dQty,"&gt;-1E+300",dFlt1,critFlt1,dFlt2,critFlt2,dFlt3,critFlt3))</f>
        <v/>
      </c>
      <c r="G2700">
        <f>IF($B2700="",0,IFERROR(IF(OR(C2700&lt;&gt;0,D2700&lt;&gt;0,E2700&lt;&gt;0,F2700&lt;&gt;0),1,0),1))</f>
        <v>0</v>
      </c>
      <c r="H2700" t="str">
        <f>IF(OR(G2700=0,E2700=0),"",C2700/E2700)</f>
        <v/>
      </c>
      <c r="I2700" t="str">
        <f>IF(OR(G2700=0,F2700=0),"",D2700/F2700)</f>
        <v/>
      </c>
      <c r="J2700" t="str">
        <f>IF(OR(H2700="",I2700=""),"",IF(H2700=0,"",I2700/H2700-1))</f>
        <v/>
      </c>
      <c r="K2700" t="str">
        <f>IF($B2700="","",IFERROR(IF(G2700=0,-2E+300,CHOOSE(sortIdx,ROUND(D2700,0),IF(J2700="",-1E+300,ROUND(-J2700,6)),IF(J2700="",-1E+300,ROUND(J2700,6)))),-1.5E+300))</f>
        <v/>
      </c>
      <c r="L2700" t="str">
        <f>IF(K2700="","",RANK(K2700,$K$2:$K$3001,0)+COUNTIF($K$2:K2700,K2700)-1)</f>
        <v/>
      </c>
    </row>
    <row r="2701">
      <c r="B2701" t="str">
        <f>IFERROR(IF(A2701="","","="&amp;SUBSTITUTE(SUBSTITUTE(SUBSTITUTE(A2701,"~","~~"),"*","~*"),"?","~?")),"")</f>
        <v/>
      </c>
      <c r="C2701" t="str">
        <f>IF($B2701="","",SUMIFS(dAmt,dCust,$B2701,dPer,"&gt;="&amp;pyFrom,dPer,"&lt;="&amp;pyTo,dAmt,"&gt;-1E+300",dFlt1,critFlt1,dFlt2,critFlt2,dFlt3,critFlt3))</f>
        <v/>
      </c>
      <c r="D2701" t="str">
        <f>IF($B2701="","",SUMIFS(dAmt,dCust,$B2701,dPer,"&gt;="&amp;cyFrom,dPer,"&lt;="&amp;cyTo,dAmt,"&gt;-1E+300",dFlt1,critFlt1,dFlt2,critFlt2,dFlt3,critFlt3))</f>
        <v/>
      </c>
      <c r="E2701" t="str">
        <f>IF($B2701="","",SUMIFS(dQty,dCust,$B2701,dPer,"&gt;="&amp;pyFrom,dPer,"&lt;="&amp;pyTo,dQty,"&gt;-1E+300",dFlt1,critFlt1,dFlt2,critFlt2,dFlt3,critFlt3))</f>
        <v/>
      </c>
      <c r="F2701" t="str">
        <f>IF($B2701="","",SUMIFS(dQty,dCust,$B2701,dPer,"&gt;="&amp;cyFrom,dPer,"&lt;="&amp;cyTo,dQty,"&gt;-1E+300",dFlt1,critFlt1,dFlt2,critFlt2,dFlt3,critFlt3))</f>
        <v/>
      </c>
      <c r="G2701">
        <f>IF($B2701="",0,IFERROR(IF(OR(C2701&lt;&gt;0,D2701&lt;&gt;0,E2701&lt;&gt;0,F2701&lt;&gt;0),1,0),1))</f>
        <v>0</v>
      </c>
      <c r="H2701" t="str">
        <f>IF(OR(G2701=0,E2701=0),"",C2701/E2701)</f>
        <v/>
      </c>
      <c r="I2701" t="str">
        <f>IF(OR(G2701=0,F2701=0),"",D2701/F2701)</f>
        <v/>
      </c>
      <c r="J2701" t="str">
        <f>IF(OR(H2701="",I2701=""),"",IF(H2701=0,"",I2701/H2701-1))</f>
        <v/>
      </c>
      <c r="K2701" t="str">
        <f>IF($B2701="","",IFERROR(IF(G2701=0,-2E+300,CHOOSE(sortIdx,ROUND(D2701,0),IF(J2701="",-1E+300,ROUND(-J2701,6)),IF(J2701="",-1E+300,ROUND(J2701,6)))),-1.5E+300))</f>
        <v/>
      </c>
      <c r="L2701" t="str">
        <f>IF(K2701="","",RANK(K2701,$K$2:$K$3001,0)+COUNTIF($K$2:K2701,K2701)-1)</f>
        <v/>
      </c>
    </row>
    <row r="2702">
      <c r="B2702" t="str">
        <f>IFERROR(IF(A2702="","","="&amp;SUBSTITUTE(SUBSTITUTE(SUBSTITUTE(A2702,"~","~~"),"*","~*"),"?","~?")),"")</f>
        <v/>
      </c>
      <c r="C2702" t="str">
        <f>IF($B2702="","",SUMIFS(dAmt,dCust,$B2702,dPer,"&gt;="&amp;pyFrom,dPer,"&lt;="&amp;pyTo,dAmt,"&gt;-1E+300",dFlt1,critFlt1,dFlt2,critFlt2,dFlt3,critFlt3))</f>
        <v/>
      </c>
      <c r="D2702" t="str">
        <f>IF($B2702="","",SUMIFS(dAmt,dCust,$B2702,dPer,"&gt;="&amp;cyFrom,dPer,"&lt;="&amp;cyTo,dAmt,"&gt;-1E+300",dFlt1,critFlt1,dFlt2,critFlt2,dFlt3,critFlt3))</f>
        <v/>
      </c>
      <c r="E2702" t="str">
        <f>IF($B2702="","",SUMIFS(dQty,dCust,$B2702,dPer,"&gt;="&amp;pyFrom,dPer,"&lt;="&amp;pyTo,dQty,"&gt;-1E+300",dFlt1,critFlt1,dFlt2,critFlt2,dFlt3,critFlt3))</f>
        <v/>
      </c>
      <c r="F2702" t="str">
        <f>IF($B2702="","",SUMIFS(dQty,dCust,$B2702,dPer,"&gt;="&amp;cyFrom,dPer,"&lt;="&amp;cyTo,dQty,"&gt;-1E+300",dFlt1,critFlt1,dFlt2,critFlt2,dFlt3,critFlt3))</f>
        <v/>
      </c>
      <c r="G2702">
        <f>IF($B2702="",0,IFERROR(IF(OR(C2702&lt;&gt;0,D2702&lt;&gt;0,E2702&lt;&gt;0,F2702&lt;&gt;0),1,0),1))</f>
        <v>0</v>
      </c>
      <c r="H2702" t="str">
        <f>IF(OR(G2702=0,E2702=0),"",C2702/E2702)</f>
        <v/>
      </c>
      <c r="I2702" t="str">
        <f>IF(OR(G2702=0,F2702=0),"",D2702/F2702)</f>
        <v/>
      </c>
      <c r="J2702" t="str">
        <f>IF(OR(H2702="",I2702=""),"",IF(H2702=0,"",I2702/H2702-1))</f>
        <v/>
      </c>
      <c r="K2702" t="str">
        <f>IF($B2702="","",IFERROR(IF(G2702=0,-2E+300,CHOOSE(sortIdx,ROUND(D2702,0),IF(J2702="",-1E+300,ROUND(-J2702,6)),IF(J2702="",-1E+300,ROUND(J2702,6)))),-1.5E+300))</f>
        <v/>
      </c>
      <c r="L2702" t="str">
        <f>IF(K2702="","",RANK(K2702,$K$2:$K$3001,0)+COUNTIF($K$2:K2702,K2702)-1)</f>
        <v/>
      </c>
    </row>
    <row r="2703">
      <c r="B2703" t="str">
        <f>IFERROR(IF(A2703="","","="&amp;SUBSTITUTE(SUBSTITUTE(SUBSTITUTE(A2703,"~","~~"),"*","~*"),"?","~?")),"")</f>
        <v/>
      </c>
      <c r="C2703" t="str">
        <f>IF($B2703="","",SUMIFS(dAmt,dCust,$B2703,dPer,"&gt;="&amp;pyFrom,dPer,"&lt;="&amp;pyTo,dAmt,"&gt;-1E+300",dFlt1,critFlt1,dFlt2,critFlt2,dFlt3,critFlt3))</f>
        <v/>
      </c>
      <c r="D2703" t="str">
        <f>IF($B2703="","",SUMIFS(dAmt,dCust,$B2703,dPer,"&gt;="&amp;cyFrom,dPer,"&lt;="&amp;cyTo,dAmt,"&gt;-1E+300",dFlt1,critFlt1,dFlt2,critFlt2,dFlt3,critFlt3))</f>
        <v/>
      </c>
      <c r="E2703" t="str">
        <f>IF($B2703="","",SUMIFS(dQty,dCust,$B2703,dPer,"&gt;="&amp;pyFrom,dPer,"&lt;="&amp;pyTo,dQty,"&gt;-1E+300",dFlt1,critFlt1,dFlt2,critFlt2,dFlt3,critFlt3))</f>
        <v/>
      </c>
      <c r="F2703" t="str">
        <f>IF($B2703="","",SUMIFS(dQty,dCust,$B2703,dPer,"&gt;="&amp;cyFrom,dPer,"&lt;="&amp;cyTo,dQty,"&gt;-1E+300",dFlt1,critFlt1,dFlt2,critFlt2,dFlt3,critFlt3))</f>
        <v/>
      </c>
      <c r="G2703">
        <f>IF($B2703="",0,IFERROR(IF(OR(C2703&lt;&gt;0,D2703&lt;&gt;0,E2703&lt;&gt;0,F2703&lt;&gt;0),1,0),1))</f>
        <v>0</v>
      </c>
      <c r="H2703" t="str">
        <f>IF(OR(G2703=0,E2703=0),"",C2703/E2703)</f>
        <v/>
      </c>
      <c r="I2703" t="str">
        <f>IF(OR(G2703=0,F2703=0),"",D2703/F2703)</f>
        <v/>
      </c>
      <c r="J2703" t="str">
        <f>IF(OR(H2703="",I2703=""),"",IF(H2703=0,"",I2703/H2703-1))</f>
        <v/>
      </c>
      <c r="K2703" t="str">
        <f>IF($B2703="","",IFERROR(IF(G2703=0,-2E+300,CHOOSE(sortIdx,ROUND(D2703,0),IF(J2703="",-1E+300,ROUND(-J2703,6)),IF(J2703="",-1E+300,ROUND(J2703,6)))),-1.5E+300))</f>
        <v/>
      </c>
      <c r="L2703" t="str">
        <f>IF(K2703="","",RANK(K2703,$K$2:$K$3001,0)+COUNTIF($K$2:K2703,K2703)-1)</f>
        <v/>
      </c>
    </row>
    <row r="2704">
      <c r="B2704" t="str">
        <f>IFERROR(IF(A2704="","","="&amp;SUBSTITUTE(SUBSTITUTE(SUBSTITUTE(A2704,"~","~~"),"*","~*"),"?","~?")),"")</f>
        <v/>
      </c>
      <c r="C2704" t="str">
        <f>IF($B2704="","",SUMIFS(dAmt,dCust,$B2704,dPer,"&gt;="&amp;pyFrom,dPer,"&lt;="&amp;pyTo,dAmt,"&gt;-1E+300",dFlt1,critFlt1,dFlt2,critFlt2,dFlt3,critFlt3))</f>
        <v/>
      </c>
      <c r="D2704" t="str">
        <f>IF($B2704="","",SUMIFS(dAmt,dCust,$B2704,dPer,"&gt;="&amp;cyFrom,dPer,"&lt;="&amp;cyTo,dAmt,"&gt;-1E+300",dFlt1,critFlt1,dFlt2,critFlt2,dFlt3,critFlt3))</f>
        <v/>
      </c>
      <c r="E2704" t="str">
        <f>IF($B2704="","",SUMIFS(dQty,dCust,$B2704,dPer,"&gt;="&amp;pyFrom,dPer,"&lt;="&amp;pyTo,dQty,"&gt;-1E+300",dFlt1,critFlt1,dFlt2,critFlt2,dFlt3,critFlt3))</f>
        <v/>
      </c>
      <c r="F2704" t="str">
        <f>IF($B2704="","",SUMIFS(dQty,dCust,$B2704,dPer,"&gt;="&amp;cyFrom,dPer,"&lt;="&amp;cyTo,dQty,"&gt;-1E+300",dFlt1,critFlt1,dFlt2,critFlt2,dFlt3,critFlt3))</f>
        <v/>
      </c>
      <c r="G2704">
        <f>IF($B2704="",0,IFERROR(IF(OR(C2704&lt;&gt;0,D2704&lt;&gt;0,E2704&lt;&gt;0,F2704&lt;&gt;0),1,0),1))</f>
        <v>0</v>
      </c>
      <c r="H2704" t="str">
        <f>IF(OR(G2704=0,E2704=0),"",C2704/E2704)</f>
        <v/>
      </c>
      <c r="I2704" t="str">
        <f>IF(OR(G2704=0,F2704=0),"",D2704/F2704)</f>
        <v/>
      </c>
      <c r="J2704" t="str">
        <f>IF(OR(H2704="",I2704=""),"",IF(H2704=0,"",I2704/H2704-1))</f>
        <v/>
      </c>
      <c r="K2704" t="str">
        <f>IF($B2704="","",IFERROR(IF(G2704=0,-2E+300,CHOOSE(sortIdx,ROUND(D2704,0),IF(J2704="",-1E+300,ROUND(-J2704,6)),IF(J2704="",-1E+300,ROUND(J2704,6)))),-1.5E+300))</f>
        <v/>
      </c>
      <c r="L2704" t="str">
        <f>IF(K2704="","",RANK(K2704,$K$2:$K$3001,0)+COUNTIF($K$2:K2704,K2704)-1)</f>
        <v/>
      </c>
    </row>
    <row r="2705">
      <c r="B2705" t="str">
        <f>IFERROR(IF(A2705="","","="&amp;SUBSTITUTE(SUBSTITUTE(SUBSTITUTE(A2705,"~","~~"),"*","~*"),"?","~?")),"")</f>
        <v/>
      </c>
      <c r="C2705" t="str">
        <f>IF($B2705="","",SUMIFS(dAmt,dCust,$B2705,dPer,"&gt;="&amp;pyFrom,dPer,"&lt;="&amp;pyTo,dAmt,"&gt;-1E+300",dFlt1,critFlt1,dFlt2,critFlt2,dFlt3,critFlt3))</f>
        <v/>
      </c>
      <c r="D2705" t="str">
        <f>IF($B2705="","",SUMIFS(dAmt,dCust,$B2705,dPer,"&gt;="&amp;cyFrom,dPer,"&lt;="&amp;cyTo,dAmt,"&gt;-1E+300",dFlt1,critFlt1,dFlt2,critFlt2,dFlt3,critFlt3))</f>
        <v/>
      </c>
      <c r="E2705" t="str">
        <f>IF($B2705="","",SUMIFS(dQty,dCust,$B2705,dPer,"&gt;="&amp;pyFrom,dPer,"&lt;="&amp;pyTo,dQty,"&gt;-1E+300",dFlt1,critFlt1,dFlt2,critFlt2,dFlt3,critFlt3))</f>
        <v/>
      </c>
      <c r="F2705" t="str">
        <f>IF($B2705="","",SUMIFS(dQty,dCust,$B2705,dPer,"&gt;="&amp;cyFrom,dPer,"&lt;="&amp;cyTo,dQty,"&gt;-1E+300",dFlt1,critFlt1,dFlt2,critFlt2,dFlt3,critFlt3))</f>
        <v/>
      </c>
      <c r="G2705">
        <f>IF($B2705="",0,IFERROR(IF(OR(C2705&lt;&gt;0,D2705&lt;&gt;0,E2705&lt;&gt;0,F2705&lt;&gt;0),1,0),1))</f>
        <v>0</v>
      </c>
      <c r="H2705" t="str">
        <f>IF(OR(G2705=0,E2705=0),"",C2705/E2705)</f>
        <v/>
      </c>
      <c r="I2705" t="str">
        <f>IF(OR(G2705=0,F2705=0),"",D2705/F2705)</f>
        <v/>
      </c>
      <c r="J2705" t="str">
        <f>IF(OR(H2705="",I2705=""),"",IF(H2705=0,"",I2705/H2705-1))</f>
        <v/>
      </c>
      <c r="K2705" t="str">
        <f>IF($B2705="","",IFERROR(IF(G2705=0,-2E+300,CHOOSE(sortIdx,ROUND(D2705,0),IF(J2705="",-1E+300,ROUND(-J2705,6)),IF(J2705="",-1E+300,ROUND(J2705,6)))),-1.5E+300))</f>
        <v/>
      </c>
      <c r="L2705" t="str">
        <f>IF(K2705="","",RANK(K2705,$K$2:$K$3001,0)+COUNTIF($K$2:K2705,K2705)-1)</f>
        <v/>
      </c>
    </row>
    <row r="2706">
      <c r="B2706" t="str">
        <f>IFERROR(IF(A2706="","","="&amp;SUBSTITUTE(SUBSTITUTE(SUBSTITUTE(A2706,"~","~~"),"*","~*"),"?","~?")),"")</f>
        <v/>
      </c>
      <c r="C2706" t="str">
        <f>IF($B2706="","",SUMIFS(dAmt,dCust,$B2706,dPer,"&gt;="&amp;pyFrom,dPer,"&lt;="&amp;pyTo,dAmt,"&gt;-1E+300",dFlt1,critFlt1,dFlt2,critFlt2,dFlt3,critFlt3))</f>
        <v/>
      </c>
      <c r="D2706" t="str">
        <f>IF($B2706="","",SUMIFS(dAmt,dCust,$B2706,dPer,"&gt;="&amp;cyFrom,dPer,"&lt;="&amp;cyTo,dAmt,"&gt;-1E+300",dFlt1,critFlt1,dFlt2,critFlt2,dFlt3,critFlt3))</f>
        <v/>
      </c>
      <c r="E2706" t="str">
        <f>IF($B2706="","",SUMIFS(dQty,dCust,$B2706,dPer,"&gt;="&amp;pyFrom,dPer,"&lt;="&amp;pyTo,dQty,"&gt;-1E+300",dFlt1,critFlt1,dFlt2,critFlt2,dFlt3,critFlt3))</f>
        <v/>
      </c>
      <c r="F2706" t="str">
        <f>IF($B2706="","",SUMIFS(dQty,dCust,$B2706,dPer,"&gt;="&amp;cyFrom,dPer,"&lt;="&amp;cyTo,dQty,"&gt;-1E+300",dFlt1,critFlt1,dFlt2,critFlt2,dFlt3,critFlt3))</f>
        <v/>
      </c>
      <c r="G2706">
        <f>IF($B2706="",0,IFERROR(IF(OR(C2706&lt;&gt;0,D2706&lt;&gt;0,E2706&lt;&gt;0,F2706&lt;&gt;0),1,0),1))</f>
        <v>0</v>
      </c>
      <c r="H2706" t="str">
        <f>IF(OR(G2706=0,E2706=0),"",C2706/E2706)</f>
        <v/>
      </c>
      <c r="I2706" t="str">
        <f>IF(OR(G2706=0,F2706=0),"",D2706/F2706)</f>
        <v/>
      </c>
      <c r="J2706" t="str">
        <f>IF(OR(H2706="",I2706=""),"",IF(H2706=0,"",I2706/H2706-1))</f>
        <v/>
      </c>
      <c r="K2706" t="str">
        <f>IF($B2706="","",IFERROR(IF(G2706=0,-2E+300,CHOOSE(sortIdx,ROUND(D2706,0),IF(J2706="",-1E+300,ROUND(-J2706,6)),IF(J2706="",-1E+300,ROUND(J2706,6)))),-1.5E+300))</f>
        <v/>
      </c>
      <c r="L2706" t="str">
        <f>IF(K2706="","",RANK(K2706,$K$2:$K$3001,0)+COUNTIF($K$2:K2706,K2706)-1)</f>
        <v/>
      </c>
    </row>
    <row r="2707">
      <c r="B2707" t="str">
        <f>IFERROR(IF(A2707="","","="&amp;SUBSTITUTE(SUBSTITUTE(SUBSTITUTE(A2707,"~","~~"),"*","~*"),"?","~?")),"")</f>
        <v/>
      </c>
      <c r="C2707" t="str">
        <f>IF($B2707="","",SUMIFS(dAmt,dCust,$B2707,dPer,"&gt;="&amp;pyFrom,dPer,"&lt;="&amp;pyTo,dAmt,"&gt;-1E+300",dFlt1,critFlt1,dFlt2,critFlt2,dFlt3,critFlt3))</f>
        <v/>
      </c>
      <c r="D2707" t="str">
        <f>IF($B2707="","",SUMIFS(dAmt,dCust,$B2707,dPer,"&gt;="&amp;cyFrom,dPer,"&lt;="&amp;cyTo,dAmt,"&gt;-1E+300",dFlt1,critFlt1,dFlt2,critFlt2,dFlt3,critFlt3))</f>
        <v/>
      </c>
      <c r="E2707" t="str">
        <f>IF($B2707="","",SUMIFS(dQty,dCust,$B2707,dPer,"&gt;="&amp;pyFrom,dPer,"&lt;="&amp;pyTo,dQty,"&gt;-1E+300",dFlt1,critFlt1,dFlt2,critFlt2,dFlt3,critFlt3))</f>
        <v/>
      </c>
      <c r="F2707" t="str">
        <f>IF($B2707="","",SUMIFS(dQty,dCust,$B2707,dPer,"&gt;="&amp;cyFrom,dPer,"&lt;="&amp;cyTo,dQty,"&gt;-1E+300",dFlt1,critFlt1,dFlt2,critFlt2,dFlt3,critFlt3))</f>
        <v/>
      </c>
      <c r="G2707">
        <f>IF($B2707="",0,IFERROR(IF(OR(C2707&lt;&gt;0,D2707&lt;&gt;0,E2707&lt;&gt;0,F2707&lt;&gt;0),1,0),1))</f>
        <v>0</v>
      </c>
      <c r="H2707" t="str">
        <f>IF(OR(G2707=0,E2707=0),"",C2707/E2707)</f>
        <v/>
      </c>
      <c r="I2707" t="str">
        <f>IF(OR(G2707=0,F2707=0),"",D2707/F2707)</f>
        <v/>
      </c>
      <c r="J2707" t="str">
        <f>IF(OR(H2707="",I2707=""),"",IF(H2707=0,"",I2707/H2707-1))</f>
        <v/>
      </c>
      <c r="K2707" t="str">
        <f>IF($B2707="","",IFERROR(IF(G2707=0,-2E+300,CHOOSE(sortIdx,ROUND(D2707,0),IF(J2707="",-1E+300,ROUND(-J2707,6)),IF(J2707="",-1E+300,ROUND(J2707,6)))),-1.5E+300))</f>
        <v/>
      </c>
      <c r="L2707" t="str">
        <f>IF(K2707="","",RANK(K2707,$K$2:$K$3001,0)+COUNTIF($K$2:K2707,K2707)-1)</f>
        <v/>
      </c>
    </row>
    <row r="2708">
      <c r="B2708" t="str">
        <f>IFERROR(IF(A2708="","","="&amp;SUBSTITUTE(SUBSTITUTE(SUBSTITUTE(A2708,"~","~~"),"*","~*"),"?","~?")),"")</f>
        <v/>
      </c>
      <c r="C2708" t="str">
        <f>IF($B2708="","",SUMIFS(dAmt,dCust,$B2708,dPer,"&gt;="&amp;pyFrom,dPer,"&lt;="&amp;pyTo,dAmt,"&gt;-1E+300",dFlt1,critFlt1,dFlt2,critFlt2,dFlt3,critFlt3))</f>
        <v/>
      </c>
      <c r="D2708" t="str">
        <f>IF($B2708="","",SUMIFS(dAmt,dCust,$B2708,dPer,"&gt;="&amp;cyFrom,dPer,"&lt;="&amp;cyTo,dAmt,"&gt;-1E+300",dFlt1,critFlt1,dFlt2,critFlt2,dFlt3,critFlt3))</f>
        <v/>
      </c>
      <c r="E2708" t="str">
        <f>IF($B2708="","",SUMIFS(dQty,dCust,$B2708,dPer,"&gt;="&amp;pyFrom,dPer,"&lt;="&amp;pyTo,dQty,"&gt;-1E+300",dFlt1,critFlt1,dFlt2,critFlt2,dFlt3,critFlt3))</f>
        <v/>
      </c>
      <c r="F2708" t="str">
        <f>IF($B2708="","",SUMIFS(dQty,dCust,$B2708,dPer,"&gt;="&amp;cyFrom,dPer,"&lt;="&amp;cyTo,dQty,"&gt;-1E+300",dFlt1,critFlt1,dFlt2,critFlt2,dFlt3,critFlt3))</f>
        <v/>
      </c>
      <c r="G2708">
        <f>IF($B2708="",0,IFERROR(IF(OR(C2708&lt;&gt;0,D2708&lt;&gt;0,E2708&lt;&gt;0,F2708&lt;&gt;0),1,0),1))</f>
        <v>0</v>
      </c>
      <c r="H2708" t="str">
        <f>IF(OR(G2708=0,E2708=0),"",C2708/E2708)</f>
        <v/>
      </c>
      <c r="I2708" t="str">
        <f>IF(OR(G2708=0,F2708=0),"",D2708/F2708)</f>
        <v/>
      </c>
      <c r="J2708" t="str">
        <f>IF(OR(H2708="",I2708=""),"",IF(H2708=0,"",I2708/H2708-1))</f>
        <v/>
      </c>
      <c r="K2708" t="str">
        <f>IF($B2708="","",IFERROR(IF(G2708=0,-2E+300,CHOOSE(sortIdx,ROUND(D2708,0),IF(J2708="",-1E+300,ROUND(-J2708,6)),IF(J2708="",-1E+300,ROUND(J2708,6)))),-1.5E+300))</f>
        <v/>
      </c>
      <c r="L2708" t="str">
        <f>IF(K2708="","",RANK(K2708,$K$2:$K$3001,0)+COUNTIF($K$2:K2708,K2708)-1)</f>
        <v/>
      </c>
    </row>
    <row r="2709">
      <c r="B2709" t="str">
        <f>IFERROR(IF(A2709="","","="&amp;SUBSTITUTE(SUBSTITUTE(SUBSTITUTE(A2709,"~","~~"),"*","~*"),"?","~?")),"")</f>
        <v/>
      </c>
      <c r="C2709" t="str">
        <f>IF($B2709="","",SUMIFS(dAmt,dCust,$B2709,dPer,"&gt;="&amp;pyFrom,dPer,"&lt;="&amp;pyTo,dAmt,"&gt;-1E+300",dFlt1,critFlt1,dFlt2,critFlt2,dFlt3,critFlt3))</f>
        <v/>
      </c>
      <c r="D2709" t="str">
        <f>IF($B2709="","",SUMIFS(dAmt,dCust,$B2709,dPer,"&gt;="&amp;cyFrom,dPer,"&lt;="&amp;cyTo,dAmt,"&gt;-1E+300",dFlt1,critFlt1,dFlt2,critFlt2,dFlt3,critFlt3))</f>
        <v/>
      </c>
      <c r="E2709" t="str">
        <f>IF($B2709="","",SUMIFS(dQty,dCust,$B2709,dPer,"&gt;="&amp;pyFrom,dPer,"&lt;="&amp;pyTo,dQty,"&gt;-1E+300",dFlt1,critFlt1,dFlt2,critFlt2,dFlt3,critFlt3))</f>
        <v/>
      </c>
      <c r="F2709" t="str">
        <f>IF($B2709="","",SUMIFS(dQty,dCust,$B2709,dPer,"&gt;="&amp;cyFrom,dPer,"&lt;="&amp;cyTo,dQty,"&gt;-1E+300",dFlt1,critFlt1,dFlt2,critFlt2,dFlt3,critFlt3))</f>
        <v/>
      </c>
      <c r="G2709">
        <f>IF($B2709="",0,IFERROR(IF(OR(C2709&lt;&gt;0,D2709&lt;&gt;0,E2709&lt;&gt;0,F2709&lt;&gt;0),1,0),1))</f>
        <v>0</v>
      </c>
      <c r="H2709" t="str">
        <f>IF(OR(G2709=0,E2709=0),"",C2709/E2709)</f>
        <v/>
      </c>
      <c r="I2709" t="str">
        <f>IF(OR(G2709=0,F2709=0),"",D2709/F2709)</f>
        <v/>
      </c>
      <c r="J2709" t="str">
        <f>IF(OR(H2709="",I2709=""),"",IF(H2709=0,"",I2709/H2709-1))</f>
        <v/>
      </c>
      <c r="K2709" t="str">
        <f>IF($B2709="","",IFERROR(IF(G2709=0,-2E+300,CHOOSE(sortIdx,ROUND(D2709,0),IF(J2709="",-1E+300,ROUND(-J2709,6)),IF(J2709="",-1E+300,ROUND(J2709,6)))),-1.5E+300))</f>
        <v/>
      </c>
      <c r="L2709" t="str">
        <f>IF(K2709="","",RANK(K2709,$K$2:$K$3001,0)+COUNTIF($K$2:K2709,K2709)-1)</f>
        <v/>
      </c>
    </row>
    <row r="2710">
      <c r="B2710" t="str">
        <f>IFERROR(IF(A2710="","","="&amp;SUBSTITUTE(SUBSTITUTE(SUBSTITUTE(A2710,"~","~~"),"*","~*"),"?","~?")),"")</f>
        <v/>
      </c>
      <c r="C2710" t="str">
        <f>IF($B2710="","",SUMIFS(dAmt,dCust,$B2710,dPer,"&gt;="&amp;pyFrom,dPer,"&lt;="&amp;pyTo,dAmt,"&gt;-1E+300",dFlt1,critFlt1,dFlt2,critFlt2,dFlt3,critFlt3))</f>
        <v/>
      </c>
      <c r="D2710" t="str">
        <f>IF($B2710="","",SUMIFS(dAmt,dCust,$B2710,dPer,"&gt;="&amp;cyFrom,dPer,"&lt;="&amp;cyTo,dAmt,"&gt;-1E+300",dFlt1,critFlt1,dFlt2,critFlt2,dFlt3,critFlt3))</f>
        <v/>
      </c>
      <c r="E2710" t="str">
        <f>IF($B2710="","",SUMIFS(dQty,dCust,$B2710,dPer,"&gt;="&amp;pyFrom,dPer,"&lt;="&amp;pyTo,dQty,"&gt;-1E+300",dFlt1,critFlt1,dFlt2,critFlt2,dFlt3,critFlt3))</f>
        <v/>
      </c>
      <c r="F2710" t="str">
        <f>IF($B2710="","",SUMIFS(dQty,dCust,$B2710,dPer,"&gt;="&amp;cyFrom,dPer,"&lt;="&amp;cyTo,dQty,"&gt;-1E+300",dFlt1,critFlt1,dFlt2,critFlt2,dFlt3,critFlt3))</f>
        <v/>
      </c>
      <c r="G2710">
        <f>IF($B2710="",0,IFERROR(IF(OR(C2710&lt;&gt;0,D2710&lt;&gt;0,E2710&lt;&gt;0,F2710&lt;&gt;0),1,0),1))</f>
        <v>0</v>
      </c>
      <c r="H2710" t="str">
        <f>IF(OR(G2710=0,E2710=0),"",C2710/E2710)</f>
        <v/>
      </c>
      <c r="I2710" t="str">
        <f>IF(OR(G2710=0,F2710=0),"",D2710/F2710)</f>
        <v/>
      </c>
      <c r="J2710" t="str">
        <f>IF(OR(H2710="",I2710=""),"",IF(H2710=0,"",I2710/H2710-1))</f>
        <v/>
      </c>
      <c r="K2710" t="str">
        <f>IF($B2710="","",IFERROR(IF(G2710=0,-2E+300,CHOOSE(sortIdx,ROUND(D2710,0),IF(J2710="",-1E+300,ROUND(-J2710,6)),IF(J2710="",-1E+300,ROUND(J2710,6)))),-1.5E+300))</f>
        <v/>
      </c>
      <c r="L2710" t="str">
        <f>IF(K2710="","",RANK(K2710,$K$2:$K$3001,0)+COUNTIF($K$2:K2710,K2710)-1)</f>
        <v/>
      </c>
    </row>
    <row r="2711">
      <c r="B2711" t="str">
        <f>IFERROR(IF(A2711="","","="&amp;SUBSTITUTE(SUBSTITUTE(SUBSTITUTE(A2711,"~","~~"),"*","~*"),"?","~?")),"")</f>
        <v/>
      </c>
      <c r="C2711" t="str">
        <f>IF($B2711="","",SUMIFS(dAmt,dCust,$B2711,dPer,"&gt;="&amp;pyFrom,dPer,"&lt;="&amp;pyTo,dAmt,"&gt;-1E+300",dFlt1,critFlt1,dFlt2,critFlt2,dFlt3,critFlt3))</f>
        <v/>
      </c>
      <c r="D2711" t="str">
        <f>IF($B2711="","",SUMIFS(dAmt,dCust,$B2711,dPer,"&gt;="&amp;cyFrom,dPer,"&lt;="&amp;cyTo,dAmt,"&gt;-1E+300",dFlt1,critFlt1,dFlt2,critFlt2,dFlt3,critFlt3))</f>
        <v/>
      </c>
      <c r="E2711" t="str">
        <f>IF($B2711="","",SUMIFS(dQty,dCust,$B2711,dPer,"&gt;="&amp;pyFrom,dPer,"&lt;="&amp;pyTo,dQty,"&gt;-1E+300",dFlt1,critFlt1,dFlt2,critFlt2,dFlt3,critFlt3))</f>
        <v/>
      </c>
      <c r="F2711" t="str">
        <f>IF($B2711="","",SUMIFS(dQty,dCust,$B2711,dPer,"&gt;="&amp;cyFrom,dPer,"&lt;="&amp;cyTo,dQty,"&gt;-1E+300",dFlt1,critFlt1,dFlt2,critFlt2,dFlt3,critFlt3))</f>
        <v/>
      </c>
      <c r="G2711">
        <f>IF($B2711="",0,IFERROR(IF(OR(C2711&lt;&gt;0,D2711&lt;&gt;0,E2711&lt;&gt;0,F2711&lt;&gt;0),1,0),1))</f>
        <v>0</v>
      </c>
      <c r="H2711" t="str">
        <f>IF(OR(G2711=0,E2711=0),"",C2711/E2711)</f>
        <v/>
      </c>
      <c r="I2711" t="str">
        <f>IF(OR(G2711=0,F2711=0),"",D2711/F2711)</f>
        <v/>
      </c>
      <c r="J2711" t="str">
        <f>IF(OR(H2711="",I2711=""),"",IF(H2711=0,"",I2711/H2711-1))</f>
        <v/>
      </c>
      <c r="K2711" t="str">
        <f>IF($B2711="","",IFERROR(IF(G2711=0,-2E+300,CHOOSE(sortIdx,ROUND(D2711,0),IF(J2711="",-1E+300,ROUND(-J2711,6)),IF(J2711="",-1E+300,ROUND(J2711,6)))),-1.5E+300))</f>
        <v/>
      </c>
      <c r="L2711" t="str">
        <f>IF(K2711="","",RANK(K2711,$K$2:$K$3001,0)+COUNTIF($K$2:K2711,K2711)-1)</f>
        <v/>
      </c>
    </row>
    <row r="2712">
      <c r="B2712" t="str">
        <f>IFERROR(IF(A2712="","","="&amp;SUBSTITUTE(SUBSTITUTE(SUBSTITUTE(A2712,"~","~~"),"*","~*"),"?","~?")),"")</f>
        <v/>
      </c>
      <c r="C2712" t="str">
        <f>IF($B2712="","",SUMIFS(dAmt,dCust,$B2712,dPer,"&gt;="&amp;pyFrom,dPer,"&lt;="&amp;pyTo,dAmt,"&gt;-1E+300",dFlt1,critFlt1,dFlt2,critFlt2,dFlt3,critFlt3))</f>
        <v/>
      </c>
      <c r="D2712" t="str">
        <f>IF($B2712="","",SUMIFS(dAmt,dCust,$B2712,dPer,"&gt;="&amp;cyFrom,dPer,"&lt;="&amp;cyTo,dAmt,"&gt;-1E+300",dFlt1,critFlt1,dFlt2,critFlt2,dFlt3,critFlt3))</f>
        <v/>
      </c>
      <c r="E2712" t="str">
        <f>IF($B2712="","",SUMIFS(dQty,dCust,$B2712,dPer,"&gt;="&amp;pyFrom,dPer,"&lt;="&amp;pyTo,dQty,"&gt;-1E+300",dFlt1,critFlt1,dFlt2,critFlt2,dFlt3,critFlt3))</f>
        <v/>
      </c>
      <c r="F2712" t="str">
        <f>IF($B2712="","",SUMIFS(dQty,dCust,$B2712,dPer,"&gt;="&amp;cyFrom,dPer,"&lt;="&amp;cyTo,dQty,"&gt;-1E+300",dFlt1,critFlt1,dFlt2,critFlt2,dFlt3,critFlt3))</f>
        <v/>
      </c>
      <c r="G2712">
        <f>IF($B2712="",0,IFERROR(IF(OR(C2712&lt;&gt;0,D2712&lt;&gt;0,E2712&lt;&gt;0,F2712&lt;&gt;0),1,0),1))</f>
        <v>0</v>
      </c>
      <c r="H2712" t="str">
        <f>IF(OR(G2712=0,E2712=0),"",C2712/E2712)</f>
        <v/>
      </c>
      <c r="I2712" t="str">
        <f>IF(OR(G2712=0,F2712=0),"",D2712/F2712)</f>
        <v/>
      </c>
      <c r="J2712" t="str">
        <f>IF(OR(H2712="",I2712=""),"",IF(H2712=0,"",I2712/H2712-1))</f>
        <v/>
      </c>
      <c r="K2712" t="str">
        <f>IF($B2712="","",IFERROR(IF(G2712=0,-2E+300,CHOOSE(sortIdx,ROUND(D2712,0),IF(J2712="",-1E+300,ROUND(-J2712,6)),IF(J2712="",-1E+300,ROUND(J2712,6)))),-1.5E+300))</f>
        <v/>
      </c>
      <c r="L2712" t="str">
        <f>IF(K2712="","",RANK(K2712,$K$2:$K$3001,0)+COUNTIF($K$2:K2712,K2712)-1)</f>
        <v/>
      </c>
    </row>
    <row r="2713">
      <c r="B2713" t="str">
        <f>IFERROR(IF(A2713="","","="&amp;SUBSTITUTE(SUBSTITUTE(SUBSTITUTE(A2713,"~","~~"),"*","~*"),"?","~?")),"")</f>
        <v/>
      </c>
      <c r="C2713" t="str">
        <f>IF($B2713="","",SUMIFS(dAmt,dCust,$B2713,dPer,"&gt;="&amp;pyFrom,dPer,"&lt;="&amp;pyTo,dAmt,"&gt;-1E+300",dFlt1,critFlt1,dFlt2,critFlt2,dFlt3,critFlt3))</f>
        <v/>
      </c>
      <c r="D2713" t="str">
        <f>IF($B2713="","",SUMIFS(dAmt,dCust,$B2713,dPer,"&gt;="&amp;cyFrom,dPer,"&lt;="&amp;cyTo,dAmt,"&gt;-1E+300",dFlt1,critFlt1,dFlt2,critFlt2,dFlt3,critFlt3))</f>
        <v/>
      </c>
      <c r="E2713" t="str">
        <f>IF($B2713="","",SUMIFS(dQty,dCust,$B2713,dPer,"&gt;="&amp;pyFrom,dPer,"&lt;="&amp;pyTo,dQty,"&gt;-1E+300",dFlt1,critFlt1,dFlt2,critFlt2,dFlt3,critFlt3))</f>
        <v/>
      </c>
      <c r="F2713" t="str">
        <f>IF($B2713="","",SUMIFS(dQty,dCust,$B2713,dPer,"&gt;="&amp;cyFrom,dPer,"&lt;="&amp;cyTo,dQty,"&gt;-1E+300",dFlt1,critFlt1,dFlt2,critFlt2,dFlt3,critFlt3))</f>
        <v/>
      </c>
      <c r="G2713">
        <f>IF($B2713="",0,IFERROR(IF(OR(C2713&lt;&gt;0,D2713&lt;&gt;0,E2713&lt;&gt;0,F2713&lt;&gt;0),1,0),1))</f>
        <v>0</v>
      </c>
      <c r="H2713" t="str">
        <f>IF(OR(G2713=0,E2713=0),"",C2713/E2713)</f>
        <v/>
      </c>
      <c r="I2713" t="str">
        <f>IF(OR(G2713=0,F2713=0),"",D2713/F2713)</f>
        <v/>
      </c>
      <c r="J2713" t="str">
        <f>IF(OR(H2713="",I2713=""),"",IF(H2713=0,"",I2713/H2713-1))</f>
        <v/>
      </c>
      <c r="K2713" t="str">
        <f>IF($B2713="","",IFERROR(IF(G2713=0,-2E+300,CHOOSE(sortIdx,ROUND(D2713,0),IF(J2713="",-1E+300,ROUND(-J2713,6)),IF(J2713="",-1E+300,ROUND(J2713,6)))),-1.5E+300))</f>
        <v/>
      </c>
      <c r="L2713" t="str">
        <f>IF(K2713="","",RANK(K2713,$K$2:$K$3001,0)+COUNTIF($K$2:K2713,K2713)-1)</f>
        <v/>
      </c>
    </row>
    <row r="2714">
      <c r="B2714" t="str">
        <f>IFERROR(IF(A2714="","","="&amp;SUBSTITUTE(SUBSTITUTE(SUBSTITUTE(A2714,"~","~~"),"*","~*"),"?","~?")),"")</f>
        <v/>
      </c>
      <c r="C2714" t="str">
        <f>IF($B2714="","",SUMIFS(dAmt,dCust,$B2714,dPer,"&gt;="&amp;pyFrom,dPer,"&lt;="&amp;pyTo,dAmt,"&gt;-1E+300",dFlt1,critFlt1,dFlt2,critFlt2,dFlt3,critFlt3))</f>
        <v/>
      </c>
      <c r="D2714" t="str">
        <f>IF($B2714="","",SUMIFS(dAmt,dCust,$B2714,dPer,"&gt;="&amp;cyFrom,dPer,"&lt;="&amp;cyTo,dAmt,"&gt;-1E+300",dFlt1,critFlt1,dFlt2,critFlt2,dFlt3,critFlt3))</f>
        <v/>
      </c>
      <c r="E2714" t="str">
        <f>IF($B2714="","",SUMIFS(dQty,dCust,$B2714,dPer,"&gt;="&amp;pyFrom,dPer,"&lt;="&amp;pyTo,dQty,"&gt;-1E+300",dFlt1,critFlt1,dFlt2,critFlt2,dFlt3,critFlt3))</f>
        <v/>
      </c>
      <c r="F2714" t="str">
        <f>IF($B2714="","",SUMIFS(dQty,dCust,$B2714,dPer,"&gt;="&amp;cyFrom,dPer,"&lt;="&amp;cyTo,dQty,"&gt;-1E+300",dFlt1,critFlt1,dFlt2,critFlt2,dFlt3,critFlt3))</f>
        <v/>
      </c>
      <c r="G2714">
        <f>IF($B2714="",0,IFERROR(IF(OR(C2714&lt;&gt;0,D2714&lt;&gt;0,E2714&lt;&gt;0,F2714&lt;&gt;0),1,0),1))</f>
        <v>0</v>
      </c>
      <c r="H2714" t="str">
        <f>IF(OR(G2714=0,E2714=0),"",C2714/E2714)</f>
        <v/>
      </c>
      <c r="I2714" t="str">
        <f>IF(OR(G2714=0,F2714=0),"",D2714/F2714)</f>
        <v/>
      </c>
      <c r="J2714" t="str">
        <f>IF(OR(H2714="",I2714=""),"",IF(H2714=0,"",I2714/H2714-1))</f>
        <v/>
      </c>
      <c r="K2714" t="str">
        <f>IF($B2714="","",IFERROR(IF(G2714=0,-2E+300,CHOOSE(sortIdx,ROUND(D2714,0),IF(J2714="",-1E+300,ROUND(-J2714,6)),IF(J2714="",-1E+300,ROUND(J2714,6)))),-1.5E+300))</f>
        <v/>
      </c>
      <c r="L2714" t="str">
        <f>IF(K2714="","",RANK(K2714,$K$2:$K$3001,0)+COUNTIF($K$2:K2714,K2714)-1)</f>
        <v/>
      </c>
    </row>
    <row r="2715">
      <c r="B2715" t="str">
        <f>IFERROR(IF(A2715="","","="&amp;SUBSTITUTE(SUBSTITUTE(SUBSTITUTE(A2715,"~","~~"),"*","~*"),"?","~?")),"")</f>
        <v/>
      </c>
      <c r="C2715" t="str">
        <f>IF($B2715="","",SUMIFS(dAmt,dCust,$B2715,dPer,"&gt;="&amp;pyFrom,dPer,"&lt;="&amp;pyTo,dAmt,"&gt;-1E+300",dFlt1,critFlt1,dFlt2,critFlt2,dFlt3,critFlt3))</f>
        <v/>
      </c>
      <c r="D2715" t="str">
        <f>IF($B2715="","",SUMIFS(dAmt,dCust,$B2715,dPer,"&gt;="&amp;cyFrom,dPer,"&lt;="&amp;cyTo,dAmt,"&gt;-1E+300",dFlt1,critFlt1,dFlt2,critFlt2,dFlt3,critFlt3))</f>
        <v/>
      </c>
      <c r="E2715" t="str">
        <f>IF($B2715="","",SUMIFS(dQty,dCust,$B2715,dPer,"&gt;="&amp;pyFrom,dPer,"&lt;="&amp;pyTo,dQty,"&gt;-1E+300",dFlt1,critFlt1,dFlt2,critFlt2,dFlt3,critFlt3))</f>
        <v/>
      </c>
      <c r="F2715" t="str">
        <f>IF($B2715="","",SUMIFS(dQty,dCust,$B2715,dPer,"&gt;="&amp;cyFrom,dPer,"&lt;="&amp;cyTo,dQty,"&gt;-1E+300",dFlt1,critFlt1,dFlt2,critFlt2,dFlt3,critFlt3))</f>
        <v/>
      </c>
      <c r="G2715">
        <f>IF($B2715="",0,IFERROR(IF(OR(C2715&lt;&gt;0,D2715&lt;&gt;0,E2715&lt;&gt;0,F2715&lt;&gt;0),1,0),1))</f>
        <v>0</v>
      </c>
      <c r="H2715" t="str">
        <f>IF(OR(G2715=0,E2715=0),"",C2715/E2715)</f>
        <v/>
      </c>
      <c r="I2715" t="str">
        <f>IF(OR(G2715=0,F2715=0),"",D2715/F2715)</f>
        <v/>
      </c>
      <c r="J2715" t="str">
        <f>IF(OR(H2715="",I2715=""),"",IF(H2715=0,"",I2715/H2715-1))</f>
        <v/>
      </c>
      <c r="K2715" t="str">
        <f>IF($B2715="","",IFERROR(IF(G2715=0,-2E+300,CHOOSE(sortIdx,ROUND(D2715,0),IF(J2715="",-1E+300,ROUND(-J2715,6)),IF(J2715="",-1E+300,ROUND(J2715,6)))),-1.5E+300))</f>
        <v/>
      </c>
      <c r="L2715" t="str">
        <f>IF(K2715="","",RANK(K2715,$K$2:$K$3001,0)+COUNTIF($K$2:K2715,K2715)-1)</f>
        <v/>
      </c>
    </row>
    <row r="2716">
      <c r="B2716" t="str">
        <f>IFERROR(IF(A2716="","","="&amp;SUBSTITUTE(SUBSTITUTE(SUBSTITUTE(A2716,"~","~~"),"*","~*"),"?","~?")),"")</f>
        <v/>
      </c>
      <c r="C2716" t="str">
        <f>IF($B2716="","",SUMIFS(dAmt,dCust,$B2716,dPer,"&gt;="&amp;pyFrom,dPer,"&lt;="&amp;pyTo,dAmt,"&gt;-1E+300",dFlt1,critFlt1,dFlt2,critFlt2,dFlt3,critFlt3))</f>
        <v/>
      </c>
      <c r="D2716" t="str">
        <f>IF($B2716="","",SUMIFS(dAmt,dCust,$B2716,dPer,"&gt;="&amp;cyFrom,dPer,"&lt;="&amp;cyTo,dAmt,"&gt;-1E+300",dFlt1,critFlt1,dFlt2,critFlt2,dFlt3,critFlt3))</f>
        <v/>
      </c>
      <c r="E2716" t="str">
        <f>IF($B2716="","",SUMIFS(dQty,dCust,$B2716,dPer,"&gt;="&amp;pyFrom,dPer,"&lt;="&amp;pyTo,dQty,"&gt;-1E+300",dFlt1,critFlt1,dFlt2,critFlt2,dFlt3,critFlt3))</f>
        <v/>
      </c>
      <c r="F2716" t="str">
        <f>IF($B2716="","",SUMIFS(dQty,dCust,$B2716,dPer,"&gt;="&amp;cyFrom,dPer,"&lt;="&amp;cyTo,dQty,"&gt;-1E+300",dFlt1,critFlt1,dFlt2,critFlt2,dFlt3,critFlt3))</f>
        <v/>
      </c>
      <c r="G2716">
        <f>IF($B2716="",0,IFERROR(IF(OR(C2716&lt;&gt;0,D2716&lt;&gt;0,E2716&lt;&gt;0,F2716&lt;&gt;0),1,0),1))</f>
        <v>0</v>
      </c>
      <c r="H2716" t="str">
        <f>IF(OR(G2716=0,E2716=0),"",C2716/E2716)</f>
        <v/>
      </c>
      <c r="I2716" t="str">
        <f>IF(OR(G2716=0,F2716=0),"",D2716/F2716)</f>
        <v/>
      </c>
      <c r="J2716" t="str">
        <f>IF(OR(H2716="",I2716=""),"",IF(H2716=0,"",I2716/H2716-1))</f>
        <v/>
      </c>
      <c r="K2716" t="str">
        <f>IF($B2716="","",IFERROR(IF(G2716=0,-2E+300,CHOOSE(sortIdx,ROUND(D2716,0),IF(J2716="",-1E+300,ROUND(-J2716,6)),IF(J2716="",-1E+300,ROUND(J2716,6)))),-1.5E+300))</f>
        <v/>
      </c>
      <c r="L2716" t="str">
        <f>IF(K2716="","",RANK(K2716,$K$2:$K$3001,0)+COUNTIF($K$2:K2716,K2716)-1)</f>
        <v/>
      </c>
    </row>
    <row r="2717">
      <c r="B2717" t="str">
        <f>IFERROR(IF(A2717="","","="&amp;SUBSTITUTE(SUBSTITUTE(SUBSTITUTE(A2717,"~","~~"),"*","~*"),"?","~?")),"")</f>
        <v/>
      </c>
      <c r="C2717" t="str">
        <f>IF($B2717="","",SUMIFS(dAmt,dCust,$B2717,dPer,"&gt;="&amp;pyFrom,dPer,"&lt;="&amp;pyTo,dAmt,"&gt;-1E+300",dFlt1,critFlt1,dFlt2,critFlt2,dFlt3,critFlt3))</f>
        <v/>
      </c>
      <c r="D2717" t="str">
        <f>IF($B2717="","",SUMIFS(dAmt,dCust,$B2717,dPer,"&gt;="&amp;cyFrom,dPer,"&lt;="&amp;cyTo,dAmt,"&gt;-1E+300",dFlt1,critFlt1,dFlt2,critFlt2,dFlt3,critFlt3))</f>
        <v/>
      </c>
      <c r="E2717" t="str">
        <f>IF($B2717="","",SUMIFS(dQty,dCust,$B2717,dPer,"&gt;="&amp;pyFrom,dPer,"&lt;="&amp;pyTo,dQty,"&gt;-1E+300",dFlt1,critFlt1,dFlt2,critFlt2,dFlt3,critFlt3))</f>
        <v/>
      </c>
      <c r="F2717" t="str">
        <f>IF($B2717="","",SUMIFS(dQty,dCust,$B2717,dPer,"&gt;="&amp;cyFrom,dPer,"&lt;="&amp;cyTo,dQty,"&gt;-1E+300",dFlt1,critFlt1,dFlt2,critFlt2,dFlt3,critFlt3))</f>
        <v/>
      </c>
      <c r="G2717">
        <f>IF($B2717="",0,IFERROR(IF(OR(C2717&lt;&gt;0,D2717&lt;&gt;0,E2717&lt;&gt;0,F2717&lt;&gt;0),1,0),1))</f>
        <v>0</v>
      </c>
      <c r="H2717" t="str">
        <f>IF(OR(G2717=0,E2717=0),"",C2717/E2717)</f>
        <v/>
      </c>
      <c r="I2717" t="str">
        <f>IF(OR(G2717=0,F2717=0),"",D2717/F2717)</f>
        <v/>
      </c>
      <c r="J2717" t="str">
        <f>IF(OR(H2717="",I2717=""),"",IF(H2717=0,"",I2717/H2717-1))</f>
        <v/>
      </c>
      <c r="K2717" t="str">
        <f>IF($B2717="","",IFERROR(IF(G2717=0,-2E+300,CHOOSE(sortIdx,ROUND(D2717,0),IF(J2717="",-1E+300,ROUND(-J2717,6)),IF(J2717="",-1E+300,ROUND(J2717,6)))),-1.5E+300))</f>
        <v/>
      </c>
      <c r="L2717" t="str">
        <f>IF(K2717="","",RANK(K2717,$K$2:$K$3001,0)+COUNTIF($K$2:K2717,K2717)-1)</f>
        <v/>
      </c>
    </row>
    <row r="2718">
      <c r="B2718" t="str">
        <f>IFERROR(IF(A2718="","","="&amp;SUBSTITUTE(SUBSTITUTE(SUBSTITUTE(A2718,"~","~~"),"*","~*"),"?","~?")),"")</f>
        <v/>
      </c>
      <c r="C2718" t="str">
        <f>IF($B2718="","",SUMIFS(dAmt,dCust,$B2718,dPer,"&gt;="&amp;pyFrom,dPer,"&lt;="&amp;pyTo,dAmt,"&gt;-1E+300",dFlt1,critFlt1,dFlt2,critFlt2,dFlt3,critFlt3))</f>
        <v/>
      </c>
      <c r="D2718" t="str">
        <f>IF($B2718="","",SUMIFS(dAmt,dCust,$B2718,dPer,"&gt;="&amp;cyFrom,dPer,"&lt;="&amp;cyTo,dAmt,"&gt;-1E+300",dFlt1,critFlt1,dFlt2,critFlt2,dFlt3,critFlt3))</f>
        <v/>
      </c>
      <c r="E2718" t="str">
        <f>IF($B2718="","",SUMIFS(dQty,dCust,$B2718,dPer,"&gt;="&amp;pyFrom,dPer,"&lt;="&amp;pyTo,dQty,"&gt;-1E+300",dFlt1,critFlt1,dFlt2,critFlt2,dFlt3,critFlt3))</f>
        <v/>
      </c>
      <c r="F2718" t="str">
        <f>IF($B2718="","",SUMIFS(dQty,dCust,$B2718,dPer,"&gt;="&amp;cyFrom,dPer,"&lt;="&amp;cyTo,dQty,"&gt;-1E+300",dFlt1,critFlt1,dFlt2,critFlt2,dFlt3,critFlt3))</f>
        <v/>
      </c>
      <c r="G2718">
        <f>IF($B2718="",0,IFERROR(IF(OR(C2718&lt;&gt;0,D2718&lt;&gt;0,E2718&lt;&gt;0,F2718&lt;&gt;0),1,0),1))</f>
        <v>0</v>
      </c>
      <c r="H2718" t="str">
        <f>IF(OR(G2718=0,E2718=0),"",C2718/E2718)</f>
        <v/>
      </c>
      <c r="I2718" t="str">
        <f>IF(OR(G2718=0,F2718=0),"",D2718/F2718)</f>
        <v/>
      </c>
      <c r="J2718" t="str">
        <f>IF(OR(H2718="",I2718=""),"",IF(H2718=0,"",I2718/H2718-1))</f>
        <v/>
      </c>
      <c r="K2718" t="str">
        <f>IF($B2718="","",IFERROR(IF(G2718=0,-2E+300,CHOOSE(sortIdx,ROUND(D2718,0),IF(J2718="",-1E+300,ROUND(-J2718,6)),IF(J2718="",-1E+300,ROUND(J2718,6)))),-1.5E+300))</f>
        <v/>
      </c>
      <c r="L2718" t="str">
        <f>IF(K2718="","",RANK(K2718,$K$2:$K$3001,0)+COUNTIF($K$2:K2718,K2718)-1)</f>
        <v/>
      </c>
    </row>
    <row r="2719">
      <c r="B2719" t="str">
        <f>IFERROR(IF(A2719="","","="&amp;SUBSTITUTE(SUBSTITUTE(SUBSTITUTE(A2719,"~","~~"),"*","~*"),"?","~?")),"")</f>
        <v/>
      </c>
      <c r="C2719" t="str">
        <f>IF($B2719="","",SUMIFS(dAmt,dCust,$B2719,dPer,"&gt;="&amp;pyFrom,dPer,"&lt;="&amp;pyTo,dAmt,"&gt;-1E+300",dFlt1,critFlt1,dFlt2,critFlt2,dFlt3,critFlt3))</f>
        <v/>
      </c>
      <c r="D2719" t="str">
        <f>IF($B2719="","",SUMIFS(dAmt,dCust,$B2719,dPer,"&gt;="&amp;cyFrom,dPer,"&lt;="&amp;cyTo,dAmt,"&gt;-1E+300",dFlt1,critFlt1,dFlt2,critFlt2,dFlt3,critFlt3))</f>
        <v/>
      </c>
      <c r="E2719" t="str">
        <f>IF($B2719="","",SUMIFS(dQty,dCust,$B2719,dPer,"&gt;="&amp;pyFrom,dPer,"&lt;="&amp;pyTo,dQty,"&gt;-1E+300",dFlt1,critFlt1,dFlt2,critFlt2,dFlt3,critFlt3))</f>
        <v/>
      </c>
      <c r="F2719" t="str">
        <f>IF($B2719="","",SUMIFS(dQty,dCust,$B2719,dPer,"&gt;="&amp;cyFrom,dPer,"&lt;="&amp;cyTo,dQty,"&gt;-1E+300",dFlt1,critFlt1,dFlt2,critFlt2,dFlt3,critFlt3))</f>
        <v/>
      </c>
      <c r="G2719">
        <f>IF($B2719="",0,IFERROR(IF(OR(C2719&lt;&gt;0,D2719&lt;&gt;0,E2719&lt;&gt;0,F2719&lt;&gt;0),1,0),1))</f>
        <v>0</v>
      </c>
      <c r="H2719" t="str">
        <f>IF(OR(G2719=0,E2719=0),"",C2719/E2719)</f>
        <v/>
      </c>
      <c r="I2719" t="str">
        <f>IF(OR(G2719=0,F2719=0),"",D2719/F2719)</f>
        <v/>
      </c>
      <c r="J2719" t="str">
        <f>IF(OR(H2719="",I2719=""),"",IF(H2719=0,"",I2719/H2719-1))</f>
        <v/>
      </c>
      <c r="K2719" t="str">
        <f>IF($B2719="","",IFERROR(IF(G2719=0,-2E+300,CHOOSE(sortIdx,ROUND(D2719,0),IF(J2719="",-1E+300,ROUND(-J2719,6)),IF(J2719="",-1E+300,ROUND(J2719,6)))),-1.5E+300))</f>
        <v/>
      </c>
      <c r="L2719" t="str">
        <f>IF(K2719="","",RANK(K2719,$K$2:$K$3001,0)+COUNTIF($K$2:K2719,K2719)-1)</f>
        <v/>
      </c>
    </row>
    <row r="2720">
      <c r="B2720" t="str">
        <f>IFERROR(IF(A2720="","","="&amp;SUBSTITUTE(SUBSTITUTE(SUBSTITUTE(A2720,"~","~~"),"*","~*"),"?","~?")),"")</f>
        <v/>
      </c>
      <c r="C2720" t="str">
        <f>IF($B2720="","",SUMIFS(dAmt,dCust,$B2720,dPer,"&gt;="&amp;pyFrom,dPer,"&lt;="&amp;pyTo,dAmt,"&gt;-1E+300",dFlt1,critFlt1,dFlt2,critFlt2,dFlt3,critFlt3))</f>
        <v/>
      </c>
      <c r="D2720" t="str">
        <f>IF($B2720="","",SUMIFS(dAmt,dCust,$B2720,dPer,"&gt;="&amp;cyFrom,dPer,"&lt;="&amp;cyTo,dAmt,"&gt;-1E+300",dFlt1,critFlt1,dFlt2,critFlt2,dFlt3,critFlt3))</f>
        <v/>
      </c>
      <c r="E2720" t="str">
        <f>IF($B2720="","",SUMIFS(dQty,dCust,$B2720,dPer,"&gt;="&amp;pyFrom,dPer,"&lt;="&amp;pyTo,dQty,"&gt;-1E+300",dFlt1,critFlt1,dFlt2,critFlt2,dFlt3,critFlt3))</f>
        <v/>
      </c>
      <c r="F2720" t="str">
        <f>IF($B2720="","",SUMIFS(dQty,dCust,$B2720,dPer,"&gt;="&amp;cyFrom,dPer,"&lt;="&amp;cyTo,dQty,"&gt;-1E+300",dFlt1,critFlt1,dFlt2,critFlt2,dFlt3,critFlt3))</f>
        <v/>
      </c>
      <c r="G2720">
        <f>IF($B2720="",0,IFERROR(IF(OR(C2720&lt;&gt;0,D2720&lt;&gt;0,E2720&lt;&gt;0,F2720&lt;&gt;0),1,0),1))</f>
        <v>0</v>
      </c>
      <c r="H2720" t="str">
        <f>IF(OR(G2720=0,E2720=0),"",C2720/E2720)</f>
        <v/>
      </c>
      <c r="I2720" t="str">
        <f>IF(OR(G2720=0,F2720=0),"",D2720/F2720)</f>
        <v/>
      </c>
      <c r="J2720" t="str">
        <f>IF(OR(H2720="",I2720=""),"",IF(H2720=0,"",I2720/H2720-1))</f>
        <v/>
      </c>
      <c r="K2720" t="str">
        <f>IF($B2720="","",IFERROR(IF(G2720=0,-2E+300,CHOOSE(sortIdx,ROUND(D2720,0),IF(J2720="",-1E+300,ROUND(-J2720,6)),IF(J2720="",-1E+300,ROUND(J2720,6)))),-1.5E+300))</f>
        <v/>
      </c>
      <c r="L2720" t="str">
        <f>IF(K2720="","",RANK(K2720,$K$2:$K$3001,0)+COUNTIF($K$2:K2720,K2720)-1)</f>
        <v/>
      </c>
    </row>
    <row r="2721">
      <c r="B2721" t="str">
        <f>IFERROR(IF(A2721="","","="&amp;SUBSTITUTE(SUBSTITUTE(SUBSTITUTE(A2721,"~","~~"),"*","~*"),"?","~?")),"")</f>
        <v/>
      </c>
      <c r="C2721" t="str">
        <f>IF($B2721="","",SUMIFS(dAmt,dCust,$B2721,dPer,"&gt;="&amp;pyFrom,dPer,"&lt;="&amp;pyTo,dAmt,"&gt;-1E+300",dFlt1,critFlt1,dFlt2,critFlt2,dFlt3,critFlt3))</f>
        <v/>
      </c>
      <c r="D2721" t="str">
        <f>IF($B2721="","",SUMIFS(dAmt,dCust,$B2721,dPer,"&gt;="&amp;cyFrom,dPer,"&lt;="&amp;cyTo,dAmt,"&gt;-1E+300",dFlt1,critFlt1,dFlt2,critFlt2,dFlt3,critFlt3))</f>
        <v/>
      </c>
      <c r="E2721" t="str">
        <f>IF($B2721="","",SUMIFS(dQty,dCust,$B2721,dPer,"&gt;="&amp;pyFrom,dPer,"&lt;="&amp;pyTo,dQty,"&gt;-1E+300",dFlt1,critFlt1,dFlt2,critFlt2,dFlt3,critFlt3))</f>
        <v/>
      </c>
      <c r="F2721" t="str">
        <f>IF($B2721="","",SUMIFS(dQty,dCust,$B2721,dPer,"&gt;="&amp;cyFrom,dPer,"&lt;="&amp;cyTo,dQty,"&gt;-1E+300",dFlt1,critFlt1,dFlt2,critFlt2,dFlt3,critFlt3))</f>
        <v/>
      </c>
      <c r="G2721">
        <f>IF($B2721="",0,IFERROR(IF(OR(C2721&lt;&gt;0,D2721&lt;&gt;0,E2721&lt;&gt;0,F2721&lt;&gt;0),1,0),1))</f>
        <v>0</v>
      </c>
      <c r="H2721" t="str">
        <f>IF(OR(G2721=0,E2721=0),"",C2721/E2721)</f>
        <v/>
      </c>
      <c r="I2721" t="str">
        <f>IF(OR(G2721=0,F2721=0),"",D2721/F2721)</f>
        <v/>
      </c>
      <c r="J2721" t="str">
        <f>IF(OR(H2721="",I2721=""),"",IF(H2721=0,"",I2721/H2721-1))</f>
        <v/>
      </c>
      <c r="K2721" t="str">
        <f>IF($B2721="","",IFERROR(IF(G2721=0,-2E+300,CHOOSE(sortIdx,ROUND(D2721,0),IF(J2721="",-1E+300,ROUND(-J2721,6)),IF(J2721="",-1E+300,ROUND(J2721,6)))),-1.5E+300))</f>
        <v/>
      </c>
      <c r="L2721" t="str">
        <f>IF(K2721="","",RANK(K2721,$K$2:$K$3001,0)+COUNTIF($K$2:K2721,K2721)-1)</f>
        <v/>
      </c>
    </row>
    <row r="2722">
      <c r="B2722" t="str">
        <f>IFERROR(IF(A2722="","","="&amp;SUBSTITUTE(SUBSTITUTE(SUBSTITUTE(A2722,"~","~~"),"*","~*"),"?","~?")),"")</f>
        <v/>
      </c>
      <c r="C2722" t="str">
        <f>IF($B2722="","",SUMIFS(dAmt,dCust,$B2722,dPer,"&gt;="&amp;pyFrom,dPer,"&lt;="&amp;pyTo,dAmt,"&gt;-1E+300",dFlt1,critFlt1,dFlt2,critFlt2,dFlt3,critFlt3))</f>
        <v/>
      </c>
      <c r="D2722" t="str">
        <f>IF($B2722="","",SUMIFS(dAmt,dCust,$B2722,dPer,"&gt;="&amp;cyFrom,dPer,"&lt;="&amp;cyTo,dAmt,"&gt;-1E+300",dFlt1,critFlt1,dFlt2,critFlt2,dFlt3,critFlt3))</f>
        <v/>
      </c>
      <c r="E2722" t="str">
        <f>IF($B2722="","",SUMIFS(dQty,dCust,$B2722,dPer,"&gt;="&amp;pyFrom,dPer,"&lt;="&amp;pyTo,dQty,"&gt;-1E+300",dFlt1,critFlt1,dFlt2,critFlt2,dFlt3,critFlt3))</f>
        <v/>
      </c>
      <c r="F2722" t="str">
        <f>IF($B2722="","",SUMIFS(dQty,dCust,$B2722,dPer,"&gt;="&amp;cyFrom,dPer,"&lt;="&amp;cyTo,dQty,"&gt;-1E+300",dFlt1,critFlt1,dFlt2,critFlt2,dFlt3,critFlt3))</f>
        <v/>
      </c>
      <c r="G2722">
        <f>IF($B2722="",0,IFERROR(IF(OR(C2722&lt;&gt;0,D2722&lt;&gt;0,E2722&lt;&gt;0,F2722&lt;&gt;0),1,0),1))</f>
        <v>0</v>
      </c>
      <c r="H2722" t="str">
        <f>IF(OR(G2722=0,E2722=0),"",C2722/E2722)</f>
        <v/>
      </c>
      <c r="I2722" t="str">
        <f>IF(OR(G2722=0,F2722=0),"",D2722/F2722)</f>
        <v/>
      </c>
      <c r="J2722" t="str">
        <f>IF(OR(H2722="",I2722=""),"",IF(H2722=0,"",I2722/H2722-1))</f>
        <v/>
      </c>
      <c r="K2722" t="str">
        <f>IF($B2722="","",IFERROR(IF(G2722=0,-2E+300,CHOOSE(sortIdx,ROUND(D2722,0),IF(J2722="",-1E+300,ROUND(-J2722,6)),IF(J2722="",-1E+300,ROUND(J2722,6)))),-1.5E+300))</f>
        <v/>
      </c>
      <c r="L2722" t="str">
        <f>IF(K2722="","",RANK(K2722,$K$2:$K$3001,0)+COUNTIF($K$2:K2722,K2722)-1)</f>
        <v/>
      </c>
    </row>
    <row r="2723">
      <c r="B2723" t="str">
        <f>IFERROR(IF(A2723="","","="&amp;SUBSTITUTE(SUBSTITUTE(SUBSTITUTE(A2723,"~","~~"),"*","~*"),"?","~?")),"")</f>
        <v/>
      </c>
      <c r="C2723" t="str">
        <f>IF($B2723="","",SUMIFS(dAmt,dCust,$B2723,dPer,"&gt;="&amp;pyFrom,dPer,"&lt;="&amp;pyTo,dAmt,"&gt;-1E+300",dFlt1,critFlt1,dFlt2,critFlt2,dFlt3,critFlt3))</f>
        <v/>
      </c>
      <c r="D2723" t="str">
        <f>IF($B2723="","",SUMIFS(dAmt,dCust,$B2723,dPer,"&gt;="&amp;cyFrom,dPer,"&lt;="&amp;cyTo,dAmt,"&gt;-1E+300",dFlt1,critFlt1,dFlt2,critFlt2,dFlt3,critFlt3))</f>
        <v/>
      </c>
      <c r="E2723" t="str">
        <f>IF($B2723="","",SUMIFS(dQty,dCust,$B2723,dPer,"&gt;="&amp;pyFrom,dPer,"&lt;="&amp;pyTo,dQty,"&gt;-1E+300",dFlt1,critFlt1,dFlt2,critFlt2,dFlt3,critFlt3))</f>
        <v/>
      </c>
      <c r="F2723" t="str">
        <f>IF($B2723="","",SUMIFS(dQty,dCust,$B2723,dPer,"&gt;="&amp;cyFrom,dPer,"&lt;="&amp;cyTo,dQty,"&gt;-1E+300",dFlt1,critFlt1,dFlt2,critFlt2,dFlt3,critFlt3))</f>
        <v/>
      </c>
      <c r="G2723">
        <f>IF($B2723="",0,IFERROR(IF(OR(C2723&lt;&gt;0,D2723&lt;&gt;0,E2723&lt;&gt;0,F2723&lt;&gt;0),1,0),1))</f>
        <v>0</v>
      </c>
      <c r="H2723" t="str">
        <f>IF(OR(G2723=0,E2723=0),"",C2723/E2723)</f>
        <v/>
      </c>
      <c r="I2723" t="str">
        <f>IF(OR(G2723=0,F2723=0),"",D2723/F2723)</f>
        <v/>
      </c>
      <c r="J2723" t="str">
        <f>IF(OR(H2723="",I2723=""),"",IF(H2723=0,"",I2723/H2723-1))</f>
        <v/>
      </c>
      <c r="K2723" t="str">
        <f>IF($B2723="","",IFERROR(IF(G2723=0,-2E+300,CHOOSE(sortIdx,ROUND(D2723,0),IF(J2723="",-1E+300,ROUND(-J2723,6)),IF(J2723="",-1E+300,ROUND(J2723,6)))),-1.5E+300))</f>
        <v/>
      </c>
      <c r="L2723" t="str">
        <f>IF(K2723="","",RANK(K2723,$K$2:$K$3001,0)+COUNTIF($K$2:K2723,K2723)-1)</f>
        <v/>
      </c>
    </row>
    <row r="2724">
      <c r="B2724" t="str">
        <f>IFERROR(IF(A2724="","","="&amp;SUBSTITUTE(SUBSTITUTE(SUBSTITUTE(A2724,"~","~~"),"*","~*"),"?","~?")),"")</f>
        <v/>
      </c>
      <c r="C2724" t="str">
        <f>IF($B2724="","",SUMIFS(dAmt,dCust,$B2724,dPer,"&gt;="&amp;pyFrom,dPer,"&lt;="&amp;pyTo,dAmt,"&gt;-1E+300",dFlt1,critFlt1,dFlt2,critFlt2,dFlt3,critFlt3))</f>
        <v/>
      </c>
      <c r="D2724" t="str">
        <f>IF($B2724="","",SUMIFS(dAmt,dCust,$B2724,dPer,"&gt;="&amp;cyFrom,dPer,"&lt;="&amp;cyTo,dAmt,"&gt;-1E+300",dFlt1,critFlt1,dFlt2,critFlt2,dFlt3,critFlt3))</f>
        <v/>
      </c>
      <c r="E2724" t="str">
        <f>IF($B2724="","",SUMIFS(dQty,dCust,$B2724,dPer,"&gt;="&amp;pyFrom,dPer,"&lt;="&amp;pyTo,dQty,"&gt;-1E+300",dFlt1,critFlt1,dFlt2,critFlt2,dFlt3,critFlt3))</f>
        <v/>
      </c>
      <c r="F2724" t="str">
        <f>IF($B2724="","",SUMIFS(dQty,dCust,$B2724,dPer,"&gt;="&amp;cyFrom,dPer,"&lt;="&amp;cyTo,dQty,"&gt;-1E+300",dFlt1,critFlt1,dFlt2,critFlt2,dFlt3,critFlt3))</f>
        <v/>
      </c>
      <c r="G2724">
        <f>IF($B2724="",0,IFERROR(IF(OR(C2724&lt;&gt;0,D2724&lt;&gt;0,E2724&lt;&gt;0,F2724&lt;&gt;0),1,0),1))</f>
        <v>0</v>
      </c>
      <c r="H2724" t="str">
        <f>IF(OR(G2724=0,E2724=0),"",C2724/E2724)</f>
        <v/>
      </c>
      <c r="I2724" t="str">
        <f>IF(OR(G2724=0,F2724=0),"",D2724/F2724)</f>
        <v/>
      </c>
      <c r="J2724" t="str">
        <f>IF(OR(H2724="",I2724=""),"",IF(H2724=0,"",I2724/H2724-1))</f>
        <v/>
      </c>
      <c r="K2724" t="str">
        <f>IF($B2724="","",IFERROR(IF(G2724=0,-2E+300,CHOOSE(sortIdx,ROUND(D2724,0),IF(J2724="",-1E+300,ROUND(-J2724,6)),IF(J2724="",-1E+300,ROUND(J2724,6)))),-1.5E+300))</f>
        <v/>
      </c>
      <c r="L2724" t="str">
        <f>IF(K2724="","",RANK(K2724,$K$2:$K$3001,0)+COUNTIF($K$2:K2724,K2724)-1)</f>
        <v/>
      </c>
    </row>
    <row r="2725">
      <c r="B2725" t="str">
        <f>IFERROR(IF(A2725="","","="&amp;SUBSTITUTE(SUBSTITUTE(SUBSTITUTE(A2725,"~","~~"),"*","~*"),"?","~?")),"")</f>
        <v/>
      </c>
      <c r="C2725" t="str">
        <f>IF($B2725="","",SUMIFS(dAmt,dCust,$B2725,dPer,"&gt;="&amp;pyFrom,dPer,"&lt;="&amp;pyTo,dAmt,"&gt;-1E+300",dFlt1,critFlt1,dFlt2,critFlt2,dFlt3,critFlt3))</f>
        <v/>
      </c>
      <c r="D2725" t="str">
        <f>IF($B2725="","",SUMIFS(dAmt,dCust,$B2725,dPer,"&gt;="&amp;cyFrom,dPer,"&lt;="&amp;cyTo,dAmt,"&gt;-1E+300",dFlt1,critFlt1,dFlt2,critFlt2,dFlt3,critFlt3))</f>
        <v/>
      </c>
      <c r="E2725" t="str">
        <f>IF($B2725="","",SUMIFS(dQty,dCust,$B2725,dPer,"&gt;="&amp;pyFrom,dPer,"&lt;="&amp;pyTo,dQty,"&gt;-1E+300",dFlt1,critFlt1,dFlt2,critFlt2,dFlt3,critFlt3))</f>
        <v/>
      </c>
      <c r="F2725" t="str">
        <f>IF($B2725="","",SUMIFS(dQty,dCust,$B2725,dPer,"&gt;="&amp;cyFrom,dPer,"&lt;="&amp;cyTo,dQty,"&gt;-1E+300",dFlt1,critFlt1,dFlt2,critFlt2,dFlt3,critFlt3))</f>
        <v/>
      </c>
      <c r="G2725">
        <f>IF($B2725="",0,IFERROR(IF(OR(C2725&lt;&gt;0,D2725&lt;&gt;0,E2725&lt;&gt;0,F2725&lt;&gt;0),1,0),1))</f>
        <v>0</v>
      </c>
      <c r="H2725" t="str">
        <f>IF(OR(G2725=0,E2725=0),"",C2725/E2725)</f>
        <v/>
      </c>
      <c r="I2725" t="str">
        <f>IF(OR(G2725=0,F2725=0),"",D2725/F2725)</f>
        <v/>
      </c>
      <c r="J2725" t="str">
        <f>IF(OR(H2725="",I2725=""),"",IF(H2725=0,"",I2725/H2725-1))</f>
        <v/>
      </c>
      <c r="K2725" t="str">
        <f>IF($B2725="","",IFERROR(IF(G2725=0,-2E+300,CHOOSE(sortIdx,ROUND(D2725,0),IF(J2725="",-1E+300,ROUND(-J2725,6)),IF(J2725="",-1E+300,ROUND(J2725,6)))),-1.5E+300))</f>
        <v/>
      </c>
      <c r="L2725" t="str">
        <f>IF(K2725="","",RANK(K2725,$K$2:$K$3001,0)+COUNTIF($K$2:K2725,K2725)-1)</f>
        <v/>
      </c>
    </row>
    <row r="2726">
      <c r="B2726" t="str">
        <f>IFERROR(IF(A2726="","","="&amp;SUBSTITUTE(SUBSTITUTE(SUBSTITUTE(A2726,"~","~~"),"*","~*"),"?","~?")),"")</f>
        <v/>
      </c>
      <c r="C2726" t="str">
        <f>IF($B2726="","",SUMIFS(dAmt,dCust,$B2726,dPer,"&gt;="&amp;pyFrom,dPer,"&lt;="&amp;pyTo,dAmt,"&gt;-1E+300",dFlt1,critFlt1,dFlt2,critFlt2,dFlt3,critFlt3))</f>
        <v/>
      </c>
      <c r="D2726" t="str">
        <f>IF($B2726="","",SUMIFS(dAmt,dCust,$B2726,dPer,"&gt;="&amp;cyFrom,dPer,"&lt;="&amp;cyTo,dAmt,"&gt;-1E+300",dFlt1,critFlt1,dFlt2,critFlt2,dFlt3,critFlt3))</f>
        <v/>
      </c>
      <c r="E2726" t="str">
        <f>IF($B2726="","",SUMIFS(dQty,dCust,$B2726,dPer,"&gt;="&amp;pyFrom,dPer,"&lt;="&amp;pyTo,dQty,"&gt;-1E+300",dFlt1,critFlt1,dFlt2,critFlt2,dFlt3,critFlt3))</f>
        <v/>
      </c>
      <c r="F2726" t="str">
        <f>IF($B2726="","",SUMIFS(dQty,dCust,$B2726,dPer,"&gt;="&amp;cyFrom,dPer,"&lt;="&amp;cyTo,dQty,"&gt;-1E+300",dFlt1,critFlt1,dFlt2,critFlt2,dFlt3,critFlt3))</f>
        <v/>
      </c>
      <c r="G2726">
        <f>IF($B2726="",0,IFERROR(IF(OR(C2726&lt;&gt;0,D2726&lt;&gt;0,E2726&lt;&gt;0,F2726&lt;&gt;0),1,0),1))</f>
        <v>0</v>
      </c>
      <c r="H2726" t="str">
        <f>IF(OR(G2726=0,E2726=0),"",C2726/E2726)</f>
        <v/>
      </c>
      <c r="I2726" t="str">
        <f>IF(OR(G2726=0,F2726=0),"",D2726/F2726)</f>
        <v/>
      </c>
      <c r="J2726" t="str">
        <f>IF(OR(H2726="",I2726=""),"",IF(H2726=0,"",I2726/H2726-1))</f>
        <v/>
      </c>
      <c r="K2726" t="str">
        <f>IF($B2726="","",IFERROR(IF(G2726=0,-2E+300,CHOOSE(sortIdx,ROUND(D2726,0),IF(J2726="",-1E+300,ROUND(-J2726,6)),IF(J2726="",-1E+300,ROUND(J2726,6)))),-1.5E+300))</f>
        <v/>
      </c>
      <c r="L2726" t="str">
        <f>IF(K2726="","",RANK(K2726,$K$2:$K$3001,0)+COUNTIF($K$2:K2726,K2726)-1)</f>
        <v/>
      </c>
    </row>
    <row r="2727">
      <c r="B2727" t="str">
        <f>IFERROR(IF(A2727="","","="&amp;SUBSTITUTE(SUBSTITUTE(SUBSTITUTE(A2727,"~","~~"),"*","~*"),"?","~?")),"")</f>
        <v/>
      </c>
      <c r="C2727" t="str">
        <f>IF($B2727="","",SUMIFS(dAmt,dCust,$B2727,dPer,"&gt;="&amp;pyFrom,dPer,"&lt;="&amp;pyTo,dAmt,"&gt;-1E+300",dFlt1,critFlt1,dFlt2,critFlt2,dFlt3,critFlt3))</f>
        <v/>
      </c>
      <c r="D2727" t="str">
        <f>IF($B2727="","",SUMIFS(dAmt,dCust,$B2727,dPer,"&gt;="&amp;cyFrom,dPer,"&lt;="&amp;cyTo,dAmt,"&gt;-1E+300",dFlt1,critFlt1,dFlt2,critFlt2,dFlt3,critFlt3))</f>
        <v/>
      </c>
      <c r="E2727" t="str">
        <f>IF($B2727="","",SUMIFS(dQty,dCust,$B2727,dPer,"&gt;="&amp;pyFrom,dPer,"&lt;="&amp;pyTo,dQty,"&gt;-1E+300",dFlt1,critFlt1,dFlt2,critFlt2,dFlt3,critFlt3))</f>
        <v/>
      </c>
      <c r="F2727" t="str">
        <f>IF($B2727="","",SUMIFS(dQty,dCust,$B2727,dPer,"&gt;="&amp;cyFrom,dPer,"&lt;="&amp;cyTo,dQty,"&gt;-1E+300",dFlt1,critFlt1,dFlt2,critFlt2,dFlt3,critFlt3))</f>
        <v/>
      </c>
      <c r="G2727">
        <f>IF($B2727="",0,IFERROR(IF(OR(C2727&lt;&gt;0,D2727&lt;&gt;0,E2727&lt;&gt;0,F2727&lt;&gt;0),1,0),1))</f>
        <v>0</v>
      </c>
      <c r="H2727" t="str">
        <f>IF(OR(G2727=0,E2727=0),"",C2727/E2727)</f>
        <v/>
      </c>
      <c r="I2727" t="str">
        <f>IF(OR(G2727=0,F2727=0),"",D2727/F2727)</f>
        <v/>
      </c>
      <c r="J2727" t="str">
        <f>IF(OR(H2727="",I2727=""),"",IF(H2727=0,"",I2727/H2727-1))</f>
        <v/>
      </c>
      <c r="K2727" t="str">
        <f>IF($B2727="","",IFERROR(IF(G2727=0,-2E+300,CHOOSE(sortIdx,ROUND(D2727,0),IF(J2727="",-1E+300,ROUND(-J2727,6)),IF(J2727="",-1E+300,ROUND(J2727,6)))),-1.5E+300))</f>
        <v/>
      </c>
      <c r="L2727" t="str">
        <f>IF(K2727="","",RANK(K2727,$K$2:$K$3001,0)+COUNTIF($K$2:K2727,K2727)-1)</f>
        <v/>
      </c>
    </row>
    <row r="2728">
      <c r="B2728" t="str">
        <f>IFERROR(IF(A2728="","","="&amp;SUBSTITUTE(SUBSTITUTE(SUBSTITUTE(A2728,"~","~~"),"*","~*"),"?","~?")),"")</f>
        <v/>
      </c>
      <c r="C2728" t="str">
        <f>IF($B2728="","",SUMIFS(dAmt,dCust,$B2728,dPer,"&gt;="&amp;pyFrom,dPer,"&lt;="&amp;pyTo,dAmt,"&gt;-1E+300",dFlt1,critFlt1,dFlt2,critFlt2,dFlt3,critFlt3))</f>
        <v/>
      </c>
      <c r="D2728" t="str">
        <f>IF($B2728="","",SUMIFS(dAmt,dCust,$B2728,dPer,"&gt;="&amp;cyFrom,dPer,"&lt;="&amp;cyTo,dAmt,"&gt;-1E+300",dFlt1,critFlt1,dFlt2,critFlt2,dFlt3,critFlt3))</f>
        <v/>
      </c>
      <c r="E2728" t="str">
        <f>IF($B2728="","",SUMIFS(dQty,dCust,$B2728,dPer,"&gt;="&amp;pyFrom,dPer,"&lt;="&amp;pyTo,dQty,"&gt;-1E+300",dFlt1,critFlt1,dFlt2,critFlt2,dFlt3,critFlt3))</f>
        <v/>
      </c>
      <c r="F2728" t="str">
        <f>IF($B2728="","",SUMIFS(dQty,dCust,$B2728,dPer,"&gt;="&amp;cyFrom,dPer,"&lt;="&amp;cyTo,dQty,"&gt;-1E+300",dFlt1,critFlt1,dFlt2,critFlt2,dFlt3,critFlt3))</f>
        <v/>
      </c>
      <c r="G2728">
        <f>IF($B2728="",0,IFERROR(IF(OR(C2728&lt;&gt;0,D2728&lt;&gt;0,E2728&lt;&gt;0,F2728&lt;&gt;0),1,0),1))</f>
        <v>0</v>
      </c>
      <c r="H2728" t="str">
        <f>IF(OR(G2728=0,E2728=0),"",C2728/E2728)</f>
        <v/>
      </c>
      <c r="I2728" t="str">
        <f>IF(OR(G2728=0,F2728=0),"",D2728/F2728)</f>
        <v/>
      </c>
      <c r="J2728" t="str">
        <f>IF(OR(H2728="",I2728=""),"",IF(H2728=0,"",I2728/H2728-1))</f>
        <v/>
      </c>
      <c r="K2728" t="str">
        <f>IF($B2728="","",IFERROR(IF(G2728=0,-2E+300,CHOOSE(sortIdx,ROUND(D2728,0),IF(J2728="",-1E+300,ROUND(-J2728,6)),IF(J2728="",-1E+300,ROUND(J2728,6)))),-1.5E+300))</f>
        <v/>
      </c>
      <c r="L2728" t="str">
        <f>IF(K2728="","",RANK(K2728,$K$2:$K$3001,0)+COUNTIF($K$2:K2728,K2728)-1)</f>
        <v/>
      </c>
    </row>
    <row r="2729">
      <c r="B2729" t="str">
        <f>IFERROR(IF(A2729="","","="&amp;SUBSTITUTE(SUBSTITUTE(SUBSTITUTE(A2729,"~","~~"),"*","~*"),"?","~?")),"")</f>
        <v/>
      </c>
      <c r="C2729" t="str">
        <f>IF($B2729="","",SUMIFS(dAmt,dCust,$B2729,dPer,"&gt;="&amp;pyFrom,dPer,"&lt;="&amp;pyTo,dAmt,"&gt;-1E+300",dFlt1,critFlt1,dFlt2,critFlt2,dFlt3,critFlt3))</f>
        <v/>
      </c>
      <c r="D2729" t="str">
        <f>IF($B2729="","",SUMIFS(dAmt,dCust,$B2729,dPer,"&gt;="&amp;cyFrom,dPer,"&lt;="&amp;cyTo,dAmt,"&gt;-1E+300",dFlt1,critFlt1,dFlt2,critFlt2,dFlt3,critFlt3))</f>
        <v/>
      </c>
      <c r="E2729" t="str">
        <f>IF($B2729="","",SUMIFS(dQty,dCust,$B2729,dPer,"&gt;="&amp;pyFrom,dPer,"&lt;="&amp;pyTo,dQty,"&gt;-1E+300",dFlt1,critFlt1,dFlt2,critFlt2,dFlt3,critFlt3))</f>
        <v/>
      </c>
      <c r="F2729" t="str">
        <f>IF($B2729="","",SUMIFS(dQty,dCust,$B2729,dPer,"&gt;="&amp;cyFrom,dPer,"&lt;="&amp;cyTo,dQty,"&gt;-1E+300",dFlt1,critFlt1,dFlt2,critFlt2,dFlt3,critFlt3))</f>
        <v/>
      </c>
      <c r="G2729">
        <f>IF($B2729="",0,IFERROR(IF(OR(C2729&lt;&gt;0,D2729&lt;&gt;0,E2729&lt;&gt;0,F2729&lt;&gt;0),1,0),1))</f>
        <v>0</v>
      </c>
      <c r="H2729" t="str">
        <f>IF(OR(G2729=0,E2729=0),"",C2729/E2729)</f>
        <v/>
      </c>
      <c r="I2729" t="str">
        <f>IF(OR(G2729=0,F2729=0),"",D2729/F2729)</f>
        <v/>
      </c>
      <c r="J2729" t="str">
        <f>IF(OR(H2729="",I2729=""),"",IF(H2729=0,"",I2729/H2729-1))</f>
        <v/>
      </c>
      <c r="K2729" t="str">
        <f>IF($B2729="","",IFERROR(IF(G2729=0,-2E+300,CHOOSE(sortIdx,ROUND(D2729,0),IF(J2729="",-1E+300,ROUND(-J2729,6)),IF(J2729="",-1E+300,ROUND(J2729,6)))),-1.5E+300))</f>
        <v/>
      </c>
      <c r="L2729" t="str">
        <f>IF(K2729="","",RANK(K2729,$K$2:$K$3001,0)+COUNTIF($K$2:K2729,K2729)-1)</f>
        <v/>
      </c>
    </row>
    <row r="2730">
      <c r="B2730" t="str">
        <f>IFERROR(IF(A2730="","","="&amp;SUBSTITUTE(SUBSTITUTE(SUBSTITUTE(A2730,"~","~~"),"*","~*"),"?","~?")),"")</f>
        <v/>
      </c>
      <c r="C2730" t="str">
        <f>IF($B2730="","",SUMIFS(dAmt,dCust,$B2730,dPer,"&gt;="&amp;pyFrom,dPer,"&lt;="&amp;pyTo,dAmt,"&gt;-1E+300",dFlt1,critFlt1,dFlt2,critFlt2,dFlt3,critFlt3))</f>
        <v/>
      </c>
      <c r="D2730" t="str">
        <f>IF($B2730="","",SUMIFS(dAmt,dCust,$B2730,dPer,"&gt;="&amp;cyFrom,dPer,"&lt;="&amp;cyTo,dAmt,"&gt;-1E+300",dFlt1,critFlt1,dFlt2,critFlt2,dFlt3,critFlt3))</f>
        <v/>
      </c>
      <c r="E2730" t="str">
        <f>IF($B2730="","",SUMIFS(dQty,dCust,$B2730,dPer,"&gt;="&amp;pyFrom,dPer,"&lt;="&amp;pyTo,dQty,"&gt;-1E+300",dFlt1,critFlt1,dFlt2,critFlt2,dFlt3,critFlt3))</f>
        <v/>
      </c>
      <c r="F2730" t="str">
        <f>IF($B2730="","",SUMIFS(dQty,dCust,$B2730,dPer,"&gt;="&amp;cyFrom,dPer,"&lt;="&amp;cyTo,dQty,"&gt;-1E+300",dFlt1,critFlt1,dFlt2,critFlt2,dFlt3,critFlt3))</f>
        <v/>
      </c>
      <c r="G2730">
        <f>IF($B2730="",0,IFERROR(IF(OR(C2730&lt;&gt;0,D2730&lt;&gt;0,E2730&lt;&gt;0,F2730&lt;&gt;0),1,0),1))</f>
        <v>0</v>
      </c>
      <c r="H2730" t="str">
        <f>IF(OR(G2730=0,E2730=0),"",C2730/E2730)</f>
        <v/>
      </c>
      <c r="I2730" t="str">
        <f>IF(OR(G2730=0,F2730=0),"",D2730/F2730)</f>
        <v/>
      </c>
      <c r="J2730" t="str">
        <f>IF(OR(H2730="",I2730=""),"",IF(H2730=0,"",I2730/H2730-1))</f>
        <v/>
      </c>
      <c r="K2730" t="str">
        <f>IF($B2730="","",IFERROR(IF(G2730=0,-2E+300,CHOOSE(sortIdx,ROUND(D2730,0),IF(J2730="",-1E+300,ROUND(-J2730,6)),IF(J2730="",-1E+300,ROUND(J2730,6)))),-1.5E+300))</f>
        <v/>
      </c>
      <c r="L2730" t="str">
        <f>IF(K2730="","",RANK(K2730,$K$2:$K$3001,0)+COUNTIF($K$2:K2730,K2730)-1)</f>
        <v/>
      </c>
    </row>
    <row r="2731">
      <c r="B2731" t="str">
        <f>IFERROR(IF(A2731="","","="&amp;SUBSTITUTE(SUBSTITUTE(SUBSTITUTE(A2731,"~","~~"),"*","~*"),"?","~?")),"")</f>
        <v/>
      </c>
      <c r="C2731" t="str">
        <f>IF($B2731="","",SUMIFS(dAmt,dCust,$B2731,dPer,"&gt;="&amp;pyFrom,dPer,"&lt;="&amp;pyTo,dAmt,"&gt;-1E+300",dFlt1,critFlt1,dFlt2,critFlt2,dFlt3,critFlt3))</f>
        <v/>
      </c>
      <c r="D2731" t="str">
        <f>IF($B2731="","",SUMIFS(dAmt,dCust,$B2731,dPer,"&gt;="&amp;cyFrom,dPer,"&lt;="&amp;cyTo,dAmt,"&gt;-1E+300",dFlt1,critFlt1,dFlt2,critFlt2,dFlt3,critFlt3))</f>
        <v/>
      </c>
      <c r="E2731" t="str">
        <f>IF($B2731="","",SUMIFS(dQty,dCust,$B2731,dPer,"&gt;="&amp;pyFrom,dPer,"&lt;="&amp;pyTo,dQty,"&gt;-1E+300",dFlt1,critFlt1,dFlt2,critFlt2,dFlt3,critFlt3))</f>
        <v/>
      </c>
      <c r="F2731" t="str">
        <f>IF($B2731="","",SUMIFS(dQty,dCust,$B2731,dPer,"&gt;="&amp;cyFrom,dPer,"&lt;="&amp;cyTo,dQty,"&gt;-1E+300",dFlt1,critFlt1,dFlt2,critFlt2,dFlt3,critFlt3))</f>
        <v/>
      </c>
      <c r="G2731">
        <f>IF($B2731="",0,IFERROR(IF(OR(C2731&lt;&gt;0,D2731&lt;&gt;0,E2731&lt;&gt;0,F2731&lt;&gt;0),1,0),1))</f>
        <v>0</v>
      </c>
      <c r="H2731" t="str">
        <f>IF(OR(G2731=0,E2731=0),"",C2731/E2731)</f>
        <v/>
      </c>
      <c r="I2731" t="str">
        <f>IF(OR(G2731=0,F2731=0),"",D2731/F2731)</f>
        <v/>
      </c>
      <c r="J2731" t="str">
        <f>IF(OR(H2731="",I2731=""),"",IF(H2731=0,"",I2731/H2731-1))</f>
        <v/>
      </c>
      <c r="K2731" t="str">
        <f>IF($B2731="","",IFERROR(IF(G2731=0,-2E+300,CHOOSE(sortIdx,ROUND(D2731,0),IF(J2731="",-1E+300,ROUND(-J2731,6)),IF(J2731="",-1E+300,ROUND(J2731,6)))),-1.5E+300))</f>
        <v/>
      </c>
      <c r="L2731" t="str">
        <f>IF(K2731="","",RANK(K2731,$K$2:$K$3001,0)+COUNTIF($K$2:K2731,K2731)-1)</f>
        <v/>
      </c>
    </row>
    <row r="2732">
      <c r="B2732" t="str">
        <f>IFERROR(IF(A2732="","","="&amp;SUBSTITUTE(SUBSTITUTE(SUBSTITUTE(A2732,"~","~~"),"*","~*"),"?","~?")),"")</f>
        <v/>
      </c>
      <c r="C2732" t="str">
        <f>IF($B2732="","",SUMIFS(dAmt,dCust,$B2732,dPer,"&gt;="&amp;pyFrom,dPer,"&lt;="&amp;pyTo,dAmt,"&gt;-1E+300",dFlt1,critFlt1,dFlt2,critFlt2,dFlt3,critFlt3))</f>
        <v/>
      </c>
      <c r="D2732" t="str">
        <f>IF($B2732="","",SUMIFS(dAmt,dCust,$B2732,dPer,"&gt;="&amp;cyFrom,dPer,"&lt;="&amp;cyTo,dAmt,"&gt;-1E+300",dFlt1,critFlt1,dFlt2,critFlt2,dFlt3,critFlt3))</f>
        <v/>
      </c>
      <c r="E2732" t="str">
        <f>IF($B2732="","",SUMIFS(dQty,dCust,$B2732,dPer,"&gt;="&amp;pyFrom,dPer,"&lt;="&amp;pyTo,dQty,"&gt;-1E+300",dFlt1,critFlt1,dFlt2,critFlt2,dFlt3,critFlt3))</f>
        <v/>
      </c>
      <c r="F2732" t="str">
        <f>IF($B2732="","",SUMIFS(dQty,dCust,$B2732,dPer,"&gt;="&amp;cyFrom,dPer,"&lt;="&amp;cyTo,dQty,"&gt;-1E+300",dFlt1,critFlt1,dFlt2,critFlt2,dFlt3,critFlt3))</f>
        <v/>
      </c>
      <c r="G2732">
        <f>IF($B2732="",0,IFERROR(IF(OR(C2732&lt;&gt;0,D2732&lt;&gt;0,E2732&lt;&gt;0,F2732&lt;&gt;0),1,0),1))</f>
        <v>0</v>
      </c>
      <c r="H2732" t="str">
        <f>IF(OR(G2732=0,E2732=0),"",C2732/E2732)</f>
        <v/>
      </c>
      <c r="I2732" t="str">
        <f>IF(OR(G2732=0,F2732=0),"",D2732/F2732)</f>
        <v/>
      </c>
      <c r="J2732" t="str">
        <f>IF(OR(H2732="",I2732=""),"",IF(H2732=0,"",I2732/H2732-1))</f>
        <v/>
      </c>
      <c r="K2732" t="str">
        <f>IF($B2732="","",IFERROR(IF(G2732=0,-2E+300,CHOOSE(sortIdx,ROUND(D2732,0),IF(J2732="",-1E+300,ROUND(-J2732,6)),IF(J2732="",-1E+300,ROUND(J2732,6)))),-1.5E+300))</f>
        <v/>
      </c>
      <c r="L2732" t="str">
        <f>IF(K2732="","",RANK(K2732,$K$2:$K$3001,0)+COUNTIF($K$2:K2732,K2732)-1)</f>
        <v/>
      </c>
    </row>
    <row r="2733">
      <c r="B2733" t="str">
        <f>IFERROR(IF(A2733="","","="&amp;SUBSTITUTE(SUBSTITUTE(SUBSTITUTE(A2733,"~","~~"),"*","~*"),"?","~?")),"")</f>
        <v/>
      </c>
      <c r="C2733" t="str">
        <f>IF($B2733="","",SUMIFS(dAmt,dCust,$B2733,dPer,"&gt;="&amp;pyFrom,dPer,"&lt;="&amp;pyTo,dAmt,"&gt;-1E+300",dFlt1,critFlt1,dFlt2,critFlt2,dFlt3,critFlt3))</f>
        <v/>
      </c>
      <c r="D2733" t="str">
        <f>IF($B2733="","",SUMIFS(dAmt,dCust,$B2733,dPer,"&gt;="&amp;cyFrom,dPer,"&lt;="&amp;cyTo,dAmt,"&gt;-1E+300",dFlt1,critFlt1,dFlt2,critFlt2,dFlt3,critFlt3))</f>
        <v/>
      </c>
      <c r="E2733" t="str">
        <f>IF($B2733="","",SUMIFS(dQty,dCust,$B2733,dPer,"&gt;="&amp;pyFrom,dPer,"&lt;="&amp;pyTo,dQty,"&gt;-1E+300",dFlt1,critFlt1,dFlt2,critFlt2,dFlt3,critFlt3))</f>
        <v/>
      </c>
      <c r="F2733" t="str">
        <f>IF($B2733="","",SUMIFS(dQty,dCust,$B2733,dPer,"&gt;="&amp;cyFrom,dPer,"&lt;="&amp;cyTo,dQty,"&gt;-1E+300",dFlt1,critFlt1,dFlt2,critFlt2,dFlt3,critFlt3))</f>
        <v/>
      </c>
      <c r="G2733">
        <f>IF($B2733="",0,IFERROR(IF(OR(C2733&lt;&gt;0,D2733&lt;&gt;0,E2733&lt;&gt;0,F2733&lt;&gt;0),1,0),1))</f>
        <v>0</v>
      </c>
      <c r="H2733" t="str">
        <f>IF(OR(G2733=0,E2733=0),"",C2733/E2733)</f>
        <v/>
      </c>
      <c r="I2733" t="str">
        <f>IF(OR(G2733=0,F2733=0),"",D2733/F2733)</f>
        <v/>
      </c>
      <c r="J2733" t="str">
        <f>IF(OR(H2733="",I2733=""),"",IF(H2733=0,"",I2733/H2733-1))</f>
        <v/>
      </c>
      <c r="K2733" t="str">
        <f>IF($B2733="","",IFERROR(IF(G2733=0,-2E+300,CHOOSE(sortIdx,ROUND(D2733,0),IF(J2733="",-1E+300,ROUND(-J2733,6)),IF(J2733="",-1E+300,ROUND(J2733,6)))),-1.5E+300))</f>
        <v/>
      </c>
      <c r="L2733" t="str">
        <f>IF(K2733="","",RANK(K2733,$K$2:$K$3001,0)+COUNTIF($K$2:K2733,K2733)-1)</f>
        <v/>
      </c>
    </row>
    <row r="2734">
      <c r="B2734" t="str">
        <f>IFERROR(IF(A2734="","","="&amp;SUBSTITUTE(SUBSTITUTE(SUBSTITUTE(A2734,"~","~~"),"*","~*"),"?","~?")),"")</f>
        <v/>
      </c>
      <c r="C2734" t="str">
        <f>IF($B2734="","",SUMIFS(dAmt,dCust,$B2734,dPer,"&gt;="&amp;pyFrom,dPer,"&lt;="&amp;pyTo,dAmt,"&gt;-1E+300",dFlt1,critFlt1,dFlt2,critFlt2,dFlt3,critFlt3))</f>
        <v/>
      </c>
      <c r="D2734" t="str">
        <f>IF($B2734="","",SUMIFS(dAmt,dCust,$B2734,dPer,"&gt;="&amp;cyFrom,dPer,"&lt;="&amp;cyTo,dAmt,"&gt;-1E+300",dFlt1,critFlt1,dFlt2,critFlt2,dFlt3,critFlt3))</f>
        <v/>
      </c>
      <c r="E2734" t="str">
        <f>IF($B2734="","",SUMIFS(dQty,dCust,$B2734,dPer,"&gt;="&amp;pyFrom,dPer,"&lt;="&amp;pyTo,dQty,"&gt;-1E+300",dFlt1,critFlt1,dFlt2,critFlt2,dFlt3,critFlt3))</f>
        <v/>
      </c>
      <c r="F2734" t="str">
        <f>IF($B2734="","",SUMIFS(dQty,dCust,$B2734,dPer,"&gt;="&amp;cyFrom,dPer,"&lt;="&amp;cyTo,dQty,"&gt;-1E+300",dFlt1,critFlt1,dFlt2,critFlt2,dFlt3,critFlt3))</f>
        <v/>
      </c>
      <c r="G2734">
        <f>IF($B2734="",0,IFERROR(IF(OR(C2734&lt;&gt;0,D2734&lt;&gt;0,E2734&lt;&gt;0,F2734&lt;&gt;0),1,0),1))</f>
        <v>0</v>
      </c>
      <c r="H2734" t="str">
        <f>IF(OR(G2734=0,E2734=0),"",C2734/E2734)</f>
        <v/>
      </c>
      <c r="I2734" t="str">
        <f>IF(OR(G2734=0,F2734=0),"",D2734/F2734)</f>
        <v/>
      </c>
      <c r="J2734" t="str">
        <f>IF(OR(H2734="",I2734=""),"",IF(H2734=0,"",I2734/H2734-1))</f>
        <v/>
      </c>
      <c r="K2734" t="str">
        <f>IF($B2734="","",IFERROR(IF(G2734=0,-2E+300,CHOOSE(sortIdx,ROUND(D2734,0),IF(J2734="",-1E+300,ROUND(-J2734,6)),IF(J2734="",-1E+300,ROUND(J2734,6)))),-1.5E+300))</f>
        <v/>
      </c>
      <c r="L2734" t="str">
        <f>IF(K2734="","",RANK(K2734,$K$2:$K$3001,0)+COUNTIF($K$2:K2734,K2734)-1)</f>
        <v/>
      </c>
    </row>
    <row r="2735">
      <c r="B2735" t="str">
        <f>IFERROR(IF(A2735="","","="&amp;SUBSTITUTE(SUBSTITUTE(SUBSTITUTE(A2735,"~","~~"),"*","~*"),"?","~?")),"")</f>
        <v/>
      </c>
      <c r="C2735" t="str">
        <f>IF($B2735="","",SUMIFS(dAmt,dCust,$B2735,dPer,"&gt;="&amp;pyFrom,dPer,"&lt;="&amp;pyTo,dAmt,"&gt;-1E+300",dFlt1,critFlt1,dFlt2,critFlt2,dFlt3,critFlt3))</f>
        <v/>
      </c>
      <c r="D2735" t="str">
        <f>IF($B2735="","",SUMIFS(dAmt,dCust,$B2735,dPer,"&gt;="&amp;cyFrom,dPer,"&lt;="&amp;cyTo,dAmt,"&gt;-1E+300",dFlt1,critFlt1,dFlt2,critFlt2,dFlt3,critFlt3))</f>
        <v/>
      </c>
      <c r="E2735" t="str">
        <f>IF($B2735="","",SUMIFS(dQty,dCust,$B2735,dPer,"&gt;="&amp;pyFrom,dPer,"&lt;="&amp;pyTo,dQty,"&gt;-1E+300",dFlt1,critFlt1,dFlt2,critFlt2,dFlt3,critFlt3))</f>
        <v/>
      </c>
      <c r="F2735" t="str">
        <f>IF($B2735="","",SUMIFS(dQty,dCust,$B2735,dPer,"&gt;="&amp;cyFrom,dPer,"&lt;="&amp;cyTo,dQty,"&gt;-1E+300",dFlt1,critFlt1,dFlt2,critFlt2,dFlt3,critFlt3))</f>
        <v/>
      </c>
      <c r="G2735">
        <f>IF($B2735="",0,IFERROR(IF(OR(C2735&lt;&gt;0,D2735&lt;&gt;0,E2735&lt;&gt;0,F2735&lt;&gt;0),1,0),1))</f>
        <v>0</v>
      </c>
      <c r="H2735" t="str">
        <f>IF(OR(G2735=0,E2735=0),"",C2735/E2735)</f>
        <v/>
      </c>
      <c r="I2735" t="str">
        <f>IF(OR(G2735=0,F2735=0),"",D2735/F2735)</f>
        <v/>
      </c>
      <c r="J2735" t="str">
        <f>IF(OR(H2735="",I2735=""),"",IF(H2735=0,"",I2735/H2735-1))</f>
        <v/>
      </c>
      <c r="K2735" t="str">
        <f>IF($B2735="","",IFERROR(IF(G2735=0,-2E+300,CHOOSE(sortIdx,ROUND(D2735,0),IF(J2735="",-1E+300,ROUND(-J2735,6)),IF(J2735="",-1E+300,ROUND(J2735,6)))),-1.5E+300))</f>
        <v/>
      </c>
      <c r="L2735" t="str">
        <f>IF(K2735="","",RANK(K2735,$K$2:$K$3001,0)+COUNTIF($K$2:K2735,K2735)-1)</f>
        <v/>
      </c>
    </row>
    <row r="2736">
      <c r="B2736" t="str">
        <f>IFERROR(IF(A2736="","","="&amp;SUBSTITUTE(SUBSTITUTE(SUBSTITUTE(A2736,"~","~~"),"*","~*"),"?","~?")),"")</f>
        <v/>
      </c>
      <c r="C2736" t="str">
        <f>IF($B2736="","",SUMIFS(dAmt,dCust,$B2736,dPer,"&gt;="&amp;pyFrom,dPer,"&lt;="&amp;pyTo,dAmt,"&gt;-1E+300",dFlt1,critFlt1,dFlt2,critFlt2,dFlt3,critFlt3))</f>
        <v/>
      </c>
      <c r="D2736" t="str">
        <f>IF($B2736="","",SUMIFS(dAmt,dCust,$B2736,dPer,"&gt;="&amp;cyFrom,dPer,"&lt;="&amp;cyTo,dAmt,"&gt;-1E+300",dFlt1,critFlt1,dFlt2,critFlt2,dFlt3,critFlt3))</f>
        <v/>
      </c>
      <c r="E2736" t="str">
        <f>IF($B2736="","",SUMIFS(dQty,dCust,$B2736,dPer,"&gt;="&amp;pyFrom,dPer,"&lt;="&amp;pyTo,dQty,"&gt;-1E+300",dFlt1,critFlt1,dFlt2,critFlt2,dFlt3,critFlt3))</f>
        <v/>
      </c>
      <c r="F2736" t="str">
        <f>IF($B2736="","",SUMIFS(dQty,dCust,$B2736,dPer,"&gt;="&amp;cyFrom,dPer,"&lt;="&amp;cyTo,dQty,"&gt;-1E+300",dFlt1,critFlt1,dFlt2,critFlt2,dFlt3,critFlt3))</f>
        <v/>
      </c>
      <c r="G2736">
        <f>IF($B2736="",0,IFERROR(IF(OR(C2736&lt;&gt;0,D2736&lt;&gt;0,E2736&lt;&gt;0,F2736&lt;&gt;0),1,0),1))</f>
        <v>0</v>
      </c>
      <c r="H2736" t="str">
        <f>IF(OR(G2736=0,E2736=0),"",C2736/E2736)</f>
        <v/>
      </c>
      <c r="I2736" t="str">
        <f>IF(OR(G2736=0,F2736=0),"",D2736/F2736)</f>
        <v/>
      </c>
      <c r="J2736" t="str">
        <f>IF(OR(H2736="",I2736=""),"",IF(H2736=0,"",I2736/H2736-1))</f>
        <v/>
      </c>
      <c r="K2736" t="str">
        <f>IF($B2736="","",IFERROR(IF(G2736=0,-2E+300,CHOOSE(sortIdx,ROUND(D2736,0),IF(J2736="",-1E+300,ROUND(-J2736,6)),IF(J2736="",-1E+300,ROUND(J2736,6)))),-1.5E+300))</f>
        <v/>
      </c>
      <c r="L2736" t="str">
        <f>IF(K2736="","",RANK(K2736,$K$2:$K$3001,0)+COUNTIF($K$2:K2736,K2736)-1)</f>
        <v/>
      </c>
    </row>
    <row r="2737">
      <c r="B2737" t="str">
        <f>IFERROR(IF(A2737="","","="&amp;SUBSTITUTE(SUBSTITUTE(SUBSTITUTE(A2737,"~","~~"),"*","~*"),"?","~?")),"")</f>
        <v/>
      </c>
      <c r="C2737" t="str">
        <f>IF($B2737="","",SUMIFS(dAmt,dCust,$B2737,dPer,"&gt;="&amp;pyFrom,dPer,"&lt;="&amp;pyTo,dAmt,"&gt;-1E+300",dFlt1,critFlt1,dFlt2,critFlt2,dFlt3,critFlt3))</f>
        <v/>
      </c>
      <c r="D2737" t="str">
        <f>IF($B2737="","",SUMIFS(dAmt,dCust,$B2737,dPer,"&gt;="&amp;cyFrom,dPer,"&lt;="&amp;cyTo,dAmt,"&gt;-1E+300",dFlt1,critFlt1,dFlt2,critFlt2,dFlt3,critFlt3))</f>
        <v/>
      </c>
      <c r="E2737" t="str">
        <f>IF($B2737="","",SUMIFS(dQty,dCust,$B2737,dPer,"&gt;="&amp;pyFrom,dPer,"&lt;="&amp;pyTo,dQty,"&gt;-1E+300",dFlt1,critFlt1,dFlt2,critFlt2,dFlt3,critFlt3))</f>
        <v/>
      </c>
      <c r="F2737" t="str">
        <f>IF($B2737="","",SUMIFS(dQty,dCust,$B2737,dPer,"&gt;="&amp;cyFrom,dPer,"&lt;="&amp;cyTo,dQty,"&gt;-1E+300",dFlt1,critFlt1,dFlt2,critFlt2,dFlt3,critFlt3))</f>
        <v/>
      </c>
      <c r="G2737">
        <f>IF($B2737="",0,IFERROR(IF(OR(C2737&lt;&gt;0,D2737&lt;&gt;0,E2737&lt;&gt;0,F2737&lt;&gt;0),1,0),1))</f>
        <v>0</v>
      </c>
      <c r="H2737" t="str">
        <f>IF(OR(G2737=0,E2737=0),"",C2737/E2737)</f>
        <v/>
      </c>
      <c r="I2737" t="str">
        <f>IF(OR(G2737=0,F2737=0),"",D2737/F2737)</f>
        <v/>
      </c>
      <c r="J2737" t="str">
        <f>IF(OR(H2737="",I2737=""),"",IF(H2737=0,"",I2737/H2737-1))</f>
        <v/>
      </c>
      <c r="K2737" t="str">
        <f>IF($B2737="","",IFERROR(IF(G2737=0,-2E+300,CHOOSE(sortIdx,ROUND(D2737,0),IF(J2737="",-1E+300,ROUND(-J2737,6)),IF(J2737="",-1E+300,ROUND(J2737,6)))),-1.5E+300))</f>
        <v/>
      </c>
      <c r="L2737" t="str">
        <f>IF(K2737="","",RANK(K2737,$K$2:$K$3001,0)+COUNTIF($K$2:K2737,K2737)-1)</f>
        <v/>
      </c>
    </row>
    <row r="2738">
      <c r="B2738" t="str">
        <f>IFERROR(IF(A2738="","","="&amp;SUBSTITUTE(SUBSTITUTE(SUBSTITUTE(A2738,"~","~~"),"*","~*"),"?","~?")),"")</f>
        <v/>
      </c>
      <c r="C2738" t="str">
        <f>IF($B2738="","",SUMIFS(dAmt,dCust,$B2738,dPer,"&gt;="&amp;pyFrom,dPer,"&lt;="&amp;pyTo,dAmt,"&gt;-1E+300",dFlt1,critFlt1,dFlt2,critFlt2,dFlt3,critFlt3))</f>
        <v/>
      </c>
      <c r="D2738" t="str">
        <f>IF($B2738="","",SUMIFS(dAmt,dCust,$B2738,dPer,"&gt;="&amp;cyFrom,dPer,"&lt;="&amp;cyTo,dAmt,"&gt;-1E+300",dFlt1,critFlt1,dFlt2,critFlt2,dFlt3,critFlt3))</f>
        <v/>
      </c>
      <c r="E2738" t="str">
        <f>IF($B2738="","",SUMIFS(dQty,dCust,$B2738,dPer,"&gt;="&amp;pyFrom,dPer,"&lt;="&amp;pyTo,dQty,"&gt;-1E+300",dFlt1,critFlt1,dFlt2,critFlt2,dFlt3,critFlt3))</f>
        <v/>
      </c>
      <c r="F2738" t="str">
        <f>IF($B2738="","",SUMIFS(dQty,dCust,$B2738,dPer,"&gt;="&amp;cyFrom,dPer,"&lt;="&amp;cyTo,dQty,"&gt;-1E+300",dFlt1,critFlt1,dFlt2,critFlt2,dFlt3,critFlt3))</f>
        <v/>
      </c>
      <c r="G2738">
        <f>IF($B2738="",0,IFERROR(IF(OR(C2738&lt;&gt;0,D2738&lt;&gt;0,E2738&lt;&gt;0,F2738&lt;&gt;0),1,0),1))</f>
        <v>0</v>
      </c>
      <c r="H2738" t="str">
        <f>IF(OR(G2738=0,E2738=0),"",C2738/E2738)</f>
        <v/>
      </c>
      <c r="I2738" t="str">
        <f>IF(OR(G2738=0,F2738=0),"",D2738/F2738)</f>
        <v/>
      </c>
      <c r="J2738" t="str">
        <f>IF(OR(H2738="",I2738=""),"",IF(H2738=0,"",I2738/H2738-1))</f>
        <v/>
      </c>
      <c r="K2738" t="str">
        <f>IF($B2738="","",IFERROR(IF(G2738=0,-2E+300,CHOOSE(sortIdx,ROUND(D2738,0),IF(J2738="",-1E+300,ROUND(-J2738,6)),IF(J2738="",-1E+300,ROUND(J2738,6)))),-1.5E+300))</f>
        <v/>
      </c>
      <c r="L2738" t="str">
        <f>IF(K2738="","",RANK(K2738,$K$2:$K$3001,0)+COUNTIF($K$2:K2738,K2738)-1)</f>
        <v/>
      </c>
    </row>
    <row r="2739">
      <c r="B2739" t="str">
        <f>IFERROR(IF(A2739="","","="&amp;SUBSTITUTE(SUBSTITUTE(SUBSTITUTE(A2739,"~","~~"),"*","~*"),"?","~?")),"")</f>
        <v/>
      </c>
      <c r="C2739" t="str">
        <f>IF($B2739="","",SUMIFS(dAmt,dCust,$B2739,dPer,"&gt;="&amp;pyFrom,dPer,"&lt;="&amp;pyTo,dAmt,"&gt;-1E+300",dFlt1,critFlt1,dFlt2,critFlt2,dFlt3,critFlt3))</f>
        <v/>
      </c>
      <c r="D2739" t="str">
        <f>IF($B2739="","",SUMIFS(dAmt,dCust,$B2739,dPer,"&gt;="&amp;cyFrom,dPer,"&lt;="&amp;cyTo,dAmt,"&gt;-1E+300",dFlt1,critFlt1,dFlt2,critFlt2,dFlt3,critFlt3))</f>
        <v/>
      </c>
      <c r="E2739" t="str">
        <f>IF($B2739="","",SUMIFS(dQty,dCust,$B2739,dPer,"&gt;="&amp;pyFrom,dPer,"&lt;="&amp;pyTo,dQty,"&gt;-1E+300",dFlt1,critFlt1,dFlt2,critFlt2,dFlt3,critFlt3))</f>
        <v/>
      </c>
      <c r="F2739" t="str">
        <f>IF($B2739="","",SUMIFS(dQty,dCust,$B2739,dPer,"&gt;="&amp;cyFrom,dPer,"&lt;="&amp;cyTo,dQty,"&gt;-1E+300",dFlt1,critFlt1,dFlt2,critFlt2,dFlt3,critFlt3))</f>
        <v/>
      </c>
      <c r="G2739">
        <f>IF($B2739="",0,IFERROR(IF(OR(C2739&lt;&gt;0,D2739&lt;&gt;0,E2739&lt;&gt;0,F2739&lt;&gt;0),1,0),1))</f>
        <v>0</v>
      </c>
      <c r="H2739" t="str">
        <f>IF(OR(G2739=0,E2739=0),"",C2739/E2739)</f>
        <v/>
      </c>
      <c r="I2739" t="str">
        <f>IF(OR(G2739=0,F2739=0),"",D2739/F2739)</f>
        <v/>
      </c>
      <c r="J2739" t="str">
        <f>IF(OR(H2739="",I2739=""),"",IF(H2739=0,"",I2739/H2739-1))</f>
        <v/>
      </c>
      <c r="K2739" t="str">
        <f>IF($B2739="","",IFERROR(IF(G2739=0,-2E+300,CHOOSE(sortIdx,ROUND(D2739,0),IF(J2739="",-1E+300,ROUND(-J2739,6)),IF(J2739="",-1E+300,ROUND(J2739,6)))),-1.5E+300))</f>
        <v/>
      </c>
      <c r="L2739" t="str">
        <f>IF(K2739="","",RANK(K2739,$K$2:$K$3001,0)+COUNTIF($K$2:K2739,K2739)-1)</f>
        <v/>
      </c>
    </row>
    <row r="2740">
      <c r="B2740" t="str">
        <f>IFERROR(IF(A2740="","","="&amp;SUBSTITUTE(SUBSTITUTE(SUBSTITUTE(A2740,"~","~~"),"*","~*"),"?","~?")),"")</f>
        <v/>
      </c>
      <c r="C2740" t="str">
        <f>IF($B2740="","",SUMIFS(dAmt,dCust,$B2740,dPer,"&gt;="&amp;pyFrom,dPer,"&lt;="&amp;pyTo,dAmt,"&gt;-1E+300",dFlt1,critFlt1,dFlt2,critFlt2,dFlt3,critFlt3))</f>
        <v/>
      </c>
      <c r="D2740" t="str">
        <f>IF($B2740="","",SUMIFS(dAmt,dCust,$B2740,dPer,"&gt;="&amp;cyFrom,dPer,"&lt;="&amp;cyTo,dAmt,"&gt;-1E+300",dFlt1,critFlt1,dFlt2,critFlt2,dFlt3,critFlt3))</f>
        <v/>
      </c>
      <c r="E2740" t="str">
        <f>IF($B2740="","",SUMIFS(dQty,dCust,$B2740,dPer,"&gt;="&amp;pyFrom,dPer,"&lt;="&amp;pyTo,dQty,"&gt;-1E+300",dFlt1,critFlt1,dFlt2,critFlt2,dFlt3,critFlt3))</f>
        <v/>
      </c>
      <c r="F2740" t="str">
        <f>IF($B2740="","",SUMIFS(dQty,dCust,$B2740,dPer,"&gt;="&amp;cyFrom,dPer,"&lt;="&amp;cyTo,dQty,"&gt;-1E+300",dFlt1,critFlt1,dFlt2,critFlt2,dFlt3,critFlt3))</f>
        <v/>
      </c>
      <c r="G2740">
        <f>IF($B2740="",0,IFERROR(IF(OR(C2740&lt;&gt;0,D2740&lt;&gt;0,E2740&lt;&gt;0,F2740&lt;&gt;0),1,0),1))</f>
        <v>0</v>
      </c>
      <c r="H2740" t="str">
        <f>IF(OR(G2740=0,E2740=0),"",C2740/E2740)</f>
        <v/>
      </c>
      <c r="I2740" t="str">
        <f>IF(OR(G2740=0,F2740=0),"",D2740/F2740)</f>
        <v/>
      </c>
      <c r="J2740" t="str">
        <f>IF(OR(H2740="",I2740=""),"",IF(H2740=0,"",I2740/H2740-1))</f>
        <v/>
      </c>
      <c r="K2740" t="str">
        <f>IF($B2740="","",IFERROR(IF(G2740=0,-2E+300,CHOOSE(sortIdx,ROUND(D2740,0),IF(J2740="",-1E+300,ROUND(-J2740,6)),IF(J2740="",-1E+300,ROUND(J2740,6)))),-1.5E+300))</f>
        <v/>
      </c>
      <c r="L2740" t="str">
        <f>IF(K2740="","",RANK(K2740,$K$2:$K$3001,0)+COUNTIF($K$2:K2740,K2740)-1)</f>
        <v/>
      </c>
    </row>
    <row r="2741">
      <c r="B2741" t="str">
        <f>IFERROR(IF(A2741="","","="&amp;SUBSTITUTE(SUBSTITUTE(SUBSTITUTE(A2741,"~","~~"),"*","~*"),"?","~?")),"")</f>
        <v/>
      </c>
      <c r="C2741" t="str">
        <f>IF($B2741="","",SUMIFS(dAmt,dCust,$B2741,dPer,"&gt;="&amp;pyFrom,dPer,"&lt;="&amp;pyTo,dAmt,"&gt;-1E+300",dFlt1,critFlt1,dFlt2,critFlt2,dFlt3,critFlt3))</f>
        <v/>
      </c>
      <c r="D2741" t="str">
        <f>IF($B2741="","",SUMIFS(dAmt,dCust,$B2741,dPer,"&gt;="&amp;cyFrom,dPer,"&lt;="&amp;cyTo,dAmt,"&gt;-1E+300",dFlt1,critFlt1,dFlt2,critFlt2,dFlt3,critFlt3))</f>
        <v/>
      </c>
      <c r="E2741" t="str">
        <f>IF($B2741="","",SUMIFS(dQty,dCust,$B2741,dPer,"&gt;="&amp;pyFrom,dPer,"&lt;="&amp;pyTo,dQty,"&gt;-1E+300",dFlt1,critFlt1,dFlt2,critFlt2,dFlt3,critFlt3))</f>
        <v/>
      </c>
      <c r="F2741" t="str">
        <f>IF($B2741="","",SUMIFS(dQty,dCust,$B2741,dPer,"&gt;="&amp;cyFrom,dPer,"&lt;="&amp;cyTo,dQty,"&gt;-1E+300",dFlt1,critFlt1,dFlt2,critFlt2,dFlt3,critFlt3))</f>
        <v/>
      </c>
      <c r="G2741">
        <f>IF($B2741="",0,IFERROR(IF(OR(C2741&lt;&gt;0,D2741&lt;&gt;0,E2741&lt;&gt;0,F2741&lt;&gt;0),1,0),1))</f>
        <v>0</v>
      </c>
      <c r="H2741" t="str">
        <f>IF(OR(G2741=0,E2741=0),"",C2741/E2741)</f>
        <v/>
      </c>
      <c r="I2741" t="str">
        <f>IF(OR(G2741=0,F2741=0),"",D2741/F2741)</f>
        <v/>
      </c>
      <c r="J2741" t="str">
        <f>IF(OR(H2741="",I2741=""),"",IF(H2741=0,"",I2741/H2741-1))</f>
        <v/>
      </c>
      <c r="K2741" t="str">
        <f>IF($B2741="","",IFERROR(IF(G2741=0,-2E+300,CHOOSE(sortIdx,ROUND(D2741,0),IF(J2741="",-1E+300,ROUND(-J2741,6)),IF(J2741="",-1E+300,ROUND(J2741,6)))),-1.5E+300))</f>
        <v/>
      </c>
      <c r="L2741" t="str">
        <f>IF(K2741="","",RANK(K2741,$K$2:$K$3001,0)+COUNTIF($K$2:K2741,K2741)-1)</f>
        <v/>
      </c>
    </row>
    <row r="2742">
      <c r="B2742" t="str">
        <f>IFERROR(IF(A2742="","","="&amp;SUBSTITUTE(SUBSTITUTE(SUBSTITUTE(A2742,"~","~~"),"*","~*"),"?","~?")),"")</f>
        <v/>
      </c>
      <c r="C2742" t="str">
        <f>IF($B2742="","",SUMIFS(dAmt,dCust,$B2742,dPer,"&gt;="&amp;pyFrom,dPer,"&lt;="&amp;pyTo,dAmt,"&gt;-1E+300",dFlt1,critFlt1,dFlt2,critFlt2,dFlt3,critFlt3))</f>
        <v/>
      </c>
      <c r="D2742" t="str">
        <f>IF($B2742="","",SUMIFS(dAmt,dCust,$B2742,dPer,"&gt;="&amp;cyFrom,dPer,"&lt;="&amp;cyTo,dAmt,"&gt;-1E+300",dFlt1,critFlt1,dFlt2,critFlt2,dFlt3,critFlt3))</f>
        <v/>
      </c>
      <c r="E2742" t="str">
        <f>IF($B2742="","",SUMIFS(dQty,dCust,$B2742,dPer,"&gt;="&amp;pyFrom,dPer,"&lt;="&amp;pyTo,dQty,"&gt;-1E+300",dFlt1,critFlt1,dFlt2,critFlt2,dFlt3,critFlt3))</f>
        <v/>
      </c>
      <c r="F2742" t="str">
        <f>IF($B2742="","",SUMIFS(dQty,dCust,$B2742,dPer,"&gt;="&amp;cyFrom,dPer,"&lt;="&amp;cyTo,dQty,"&gt;-1E+300",dFlt1,critFlt1,dFlt2,critFlt2,dFlt3,critFlt3))</f>
        <v/>
      </c>
      <c r="G2742">
        <f>IF($B2742="",0,IFERROR(IF(OR(C2742&lt;&gt;0,D2742&lt;&gt;0,E2742&lt;&gt;0,F2742&lt;&gt;0),1,0),1))</f>
        <v>0</v>
      </c>
      <c r="H2742" t="str">
        <f>IF(OR(G2742=0,E2742=0),"",C2742/E2742)</f>
        <v/>
      </c>
      <c r="I2742" t="str">
        <f>IF(OR(G2742=0,F2742=0),"",D2742/F2742)</f>
        <v/>
      </c>
      <c r="J2742" t="str">
        <f>IF(OR(H2742="",I2742=""),"",IF(H2742=0,"",I2742/H2742-1))</f>
        <v/>
      </c>
      <c r="K2742" t="str">
        <f>IF($B2742="","",IFERROR(IF(G2742=0,-2E+300,CHOOSE(sortIdx,ROUND(D2742,0),IF(J2742="",-1E+300,ROUND(-J2742,6)),IF(J2742="",-1E+300,ROUND(J2742,6)))),-1.5E+300))</f>
        <v/>
      </c>
      <c r="L2742" t="str">
        <f>IF(K2742="","",RANK(K2742,$K$2:$K$3001,0)+COUNTIF($K$2:K2742,K2742)-1)</f>
        <v/>
      </c>
    </row>
    <row r="2743">
      <c r="B2743" t="str">
        <f>IFERROR(IF(A2743="","","="&amp;SUBSTITUTE(SUBSTITUTE(SUBSTITUTE(A2743,"~","~~"),"*","~*"),"?","~?")),"")</f>
        <v/>
      </c>
      <c r="C2743" t="str">
        <f>IF($B2743="","",SUMIFS(dAmt,dCust,$B2743,dPer,"&gt;="&amp;pyFrom,dPer,"&lt;="&amp;pyTo,dAmt,"&gt;-1E+300",dFlt1,critFlt1,dFlt2,critFlt2,dFlt3,critFlt3))</f>
        <v/>
      </c>
      <c r="D2743" t="str">
        <f>IF($B2743="","",SUMIFS(dAmt,dCust,$B2743,dPer,"&gt;="&amp;cyFrom,dPer,"&lt;="&amp;cyTo,dAmt,"&gt;-1E+300",dFlt1,critFlt1,dFlt2,critFlt2,dFlt3,critFlt3))</f>
        <v/>
      </c>
      <c r="E2743" t="str">
        <f>IF($B2743="","",SUMIFS(dQty,dCust,$B2743,dPer,"&gt;="&amp;pyFrom,dPer,"&lt;="&amp;pyTo,dQty,"&gt;-1E+300",dFlt1,critFlt1,dFlt2,critFlt2,dFlt3,critFlt3))</f>
        <v/>
      </c>
      <c r="F2743" t="str">
        <f>IF($B2743="","",SUMIFS(dQty,dCust,$B2743,dPer,"&gt;="&amp;cyFrom,dPer,"&lt;="&amp;cyTo,dQty,"&gt;-1E+300",dFlt1,critFlt1,dFlt2,critFlt2,dFlt3,critFlt3))</f>
        <v/>
      </c>
      <c r="G2743">
        <f>IF($B2743="",0,IFERROR(IF(OR(C2743&lt;&gt;0,D2743&lt;&gt;0,E2743&lt;&gt;0,F2743&lt;&gt;0),1,0),1))</f>
        <v>0</v>
      </c>
      <c r="H2743" t="str">
        <f>IF(OR(G2743=0,E2743=0),"",C2743/E2743)</f>
        <v/>
      </c>
      <c r="I2743" t="str">
        <f>IF(OR(G2743=0,F2743=0),"",D2743/F2743)</f>
        <v/>
      </c>
      <c r="J2743" t="str">
        <f>IF(OR(H2743="",I2743=""),"",IF(H2743=0,"",I2743/H2743-1))</f>
        <v/>
      </c>
      <c r="K2743" t="str">
        <f>IF($B2743="","",IFERROR(IF(G2743=0,-2E+300,CHOOSE(sortIdx,ROUND(D2743,0),IF(J2743="",-1E+300,ROUND(-J2743,6)),IF(J2743="",-1E+300,ROUND(J2743,6)))),-1.5E+300))</f>
        <v/>
      </c>
      <c r="L2743" t="str">
        <f>IF(K2743="","",RANK(K2743,$K$2:$K$3001,0)+COUNTIF($K$2:K2743,K2743)-1)</f>
        <v/>
      </c>
    </row>
    <row r="2744">
      <c r="B2744" t="str">
        <f>IFERROR(IF(A2744="","","="&amp;SUBSTITUTE(SUBSTITUTE(SUBSTITUTE(A2744,"~","~~"),"*","~*"),"?","~?")),"")</f>
        <v/>
      </c>
      <c r="C2744" t="str">
        <f>IF($B2744="","",SUMIFS(dAmt,dCust,$B2744,dPer,"&gt;="&amp;pyFrom,dPer,"&lt;="&amp;pyTo,dAmt,"&gt;-1E+300",dFlt1,critFlt1,dFlt2,critFlt2,dFlt3,critFlt3))</f>
        <v/>
      </c>
      <c r="D2744" t="str">
        <f>IF($B2744="","",SUMIFS(dAmt,dCust,$B2744,dPer,"&gt;="&amp;cyFrom,dPer,"&lt;="&amp;cyTo,dAmt,"&gt;-1E+300",dFlt1,critFlt1,dFlt2,critFlt2,dFlt3,critFlt3))</f>
        <v/>
      </c>
      <c r="E2744" t="str">
        <f>IF($B2744="","",SUMIFS(dQty,dCust,$B2744,dPer,"&gt;="&amp;pyFrom,dPer,"&lt;="&amp;pyTo,dQty,"&gt;-1E+300",dFlt1,critFlt1,dFlt2,critFlt2,dFlt3,critFlt3))</f>
        <v/>
      </c>
      <c r="F2744" t="str">
        <f>IF($B2744="","",SUMIFS(dQty,dCust,$B2744,dPer,"&gt;="&amp;cyFrom,dPer,"&lt;="&amp;cyTo,dQty,"&gt;-1E+300",dFlt1,critFlt1,dFlt2,critFlt2,dFlt3,critFlt3))</f>
        <v/>
      </c>
      <c r="G2744">
        <f>IF($B2744="",0,IFERROR(IF(OR(C2744&lt;&gt;0,D2744&lt;&gt;0,E2744&lt;&gt;0,F2744&lt;&gt;0),1,0),1))</f>
        <v>0</v>
      </c>
      <c r="H2744" t="str">
        <f>IF(OR(G2744=0,E2744=0),"",C2744/E2744)</f>
        <v/>
      </c>
      <c r="I2744" t="str">
        <f>IF(OR(G2744=0,F2744=0),"",D2744/F2744)</f>
        <v/>
      </c>
      <c r="J2744" t="str">
        <f>IF(OR(H2744="",I2744=""),"",IF(H2744=0,"",I2744/H2744-1))</f>
        <v/>
      </c>
      <c r="K2744" t="str">
        <f>IF($B2744="","",IFERROR(IF(G2744=0,-2E+300,CHOOSE(sortIdx,ROUND(D2744,0),IF(J2744="",-1E+300,ROUND(-J2744,6)),IF(J2744="",-1E+300,ROUND(J2744,6)))),-1.5E+300))</f>
        <v/>
      </c>
      <c r="L2744" t="str">
        <f>IF(K2744="","",RANK(K2744,$K$2:$K$3001,0)+COUNTIF($K$2:K2744,K2744)-1)</f>
        <v/>
      </c>
    </row>
    <row r="2745">
      <c r="B2745" t="str">
        <f>IFERROR(IF(A2745="","","="&amp;SUBSTITUTE(SUBSTITUTE(SUBSTITUTE(A2745,"~","~~"),"*","~*"),"?","~?")),"")</f>
        <v/>
      </c>
      <c r="C2745" t="str">
        <f>IF($B2745="","",SUMIFS(dAmt,dCust,$B2745,dPer,"&gt;="&amp;pyFrom,dPer,"&lt;="&amp;pyTo,dAmt,"&gt;-1E+300",dFlt1,critFlt1,dFlt2,critFlt2,dFlt3,critFlt3))</f>
        <v/>
      </c>
      <c r="D2745" t="str">
        <f>IF($B2745="","",SUMIFS(dAmt,dCust,$B2745,dPer,"&gt;="&amp;cyFrom,dPer,"&lt;="&amp;cyTo,dAmt,"&gt;-1E+300",dFlt1,critFlt1,dFlt2,critFlt2,dFlt3,critFlt3))</f>
        <v/>
      </c>
      <c r="E2745" t="str">
        <f>IF($B2745="","",SUMIFS(dQty,dCust,$B2745,dPer,"&gt;="&amp;pyFrom,dPer,"&lt;="&amp;pyTo,dQty,"&gt;-1E+300",dFlt1,critFlt1,dFlt2,critFlt2,dFlt3,critFlt3))</f>
        <v/>
      </c>
      <c r="F2745" t="str">
        <f>IF($B2745="","",SUMIFS(dQty,dCust,$B2745,dPer,"&gt;="&amp;cyFrom,dPer,"&lt;="&amp;cyTo,dQty,"&gt;-1E+300",dFlt1,critFlt1,dFlt2,critFlt2,dFlt3,critFlt3))</f>
        <v/>
      </c>
      <c r="G2745">
        <f>IF($B2745="",0,IFERROR(IF(OR(C2745&lt;&gt;0,D2745&lt;&gt;0,E2745&lt;&gt;0,F2745&lt;&gt;0),1,0),1))</f>
        <v>0</v>
      </c>
      <c r="H2745" t="str">
        <f>IF(OR(G2745=0,E2745=0),"",C2745/E2745)</f>
        <v/>
      </c>
      <c r="I2745" t="str">
        <f>IF(OR(G2745=0,F2745=0),"",D2745/F2745)</f>
        <v/>
      </c>
      <c r="J2745" t="str">
        <f>IF(OR(H2745="",I2745=""),"",IF(H2745=0,"",I2745/H2745-1))</f>
        <v/>
      </c>
      <c r="K2745" t="str">
        <f>IF($B2745="","",IFERROR(IF(G2745=0,-2E+300,CHOOSE(sortIdx,ROUND(D2745,0),IF(J2745="",-1E+300,ROUND(-J2745,6)),IF(J2745="",-1E+300,ROUND(J2745,6)))),-1.5E+300))</f>
        <v/>
      </c>
      <c r="L2745" t="str">
        <f>IF(K2745="","",RANK(K2745,$K$2:$K$3001,0)+COUNTIF($K$2:K2745,K2745)-1)</f>
        <v/>
      </c>
    </row>
    <row r="2746">
      <c r="B2746" t="str">
        <f>IFERROR(IF(A2746="","","="&amp;SUBSTITUTE(SUBSTITUTE(SUBSTITUTE(A2746,"~","~~"),"*","~*"),"?","~?")),"")</f>
        <v/>
      </c>
      <c r="C2746" t="str">
        <f>IF($B2746="","",SUMIFS(dAmt,dCust,$B2746,dPer,"&gt;="&amp;pyFrom,dPer,"&lt;="&amp;pyTo,dAmt,"&gt;-1E+300",dFlt1,critFlt1,dFlt2,critFlt2,dFlt3,critFlt3))</f>
        <v/>
      </c>
      <c r="D2746" t="str">
        <f>IF($B2746="","",SUMIFS(dAmt,dCust,$B2746,dPer,"&gt;="&amp;cyFrom,dPer,"&lt;="&amp;cyTo,dAmt,"&gt;-1E+300",dFlt1,critFlt1,dFlt2,critFlt2,dFlt3,critFlt3))</f>
        <v/>
      </c>
      <c r="E2746" t="str">
        <f>IF($B2746="","",SUMIFS(dQty,dCust,$B2746,dPer,"&gt;="&amp;pyFrom,dPer,"&lt;="&amp;pyTo,dQty,"&gt;-1E+300",dFlt1,critFlt1,dFlt2,critFlt2,dFlt3,critFlt3))</f>
        <v/>
      </c>
      <c r="F2746" t="str">
        <f>IF($B2746="","",SUMIFS(dQty,dCust,$B2746,dPer,"&gt;="&amp;cyFrom,dPer,"&lt;="&amp;cyTo,dQty,"&gt;-1E+300",dFlt1,critFlt1,dFlt2,critFlt2,dFlt3,critFlt3))</f>
        <v/>
      </c>
      <c r="G2746">
        <f>IF($B2746="",0,IFERROR(IF(OR(C2746&lt;&gt;0,D2746&lt;&gt;0,E2746&lt;&gt;0,F2746&lt;&gt;0),1,0),1))</f>
        <v>0</v>
      </c>
      <c r="H2746" t="str">
        <f>IF(OR(G2746=0,E2746=0),"",C2746/E2746)</f>
        <v/>
      </c>
      <c r="I2746" t="str">
        <f>IF(OR(G2746=0,F2746=0),"",D2746/F2746)</f>
        <v/>
      </c>
      <c r="J2746" t="str">
        <f>IF(OR(H2746="",I2746=""),"",IF(H2746=0,"",I2746/H2746-1))</f>
        <v/>
      </c>
      <c r="K2746" t="str">
        <f>IF($B2746="","",IFERROR(IF(G2746=0,-2E+300,CHOOSE(sortIdx,ROUND(D2746,0),IF(J2746="",-1E+300,ROUND(-J2746,6)),IF(J2746="",-1E+300,ROUND(J2746,6)))),-1.5E+300))</f>
        <v/>
      </c>
      <c r="L2746" t="str">
        <f>IF(K2746="","",RANK(K2746,$K$2:$K$3001,0)+COUNTIF($K$2:K2746,K2746)-1)</f>
        <v/>
      </c>
    </row>
    <row r="2747">
      <c r="B2747" t="str">
        <f>IFERROR(IF(A2747="","","="&amp;SUBSTITUTE(SUBSTITUTE(SUBSTITUTE(A2747,"~","~~"),"*","~*"),"?","~?")),"")</f>
        <v/>
      </c>
      <c r="C2747" t="str">
        <f>IF($B2747="","",SUMIFS(dAmt,dCust,$B2747,dPer,"&gt;="&amp;pyFrom,dPer,"&lt;="&amp;pyTo,dAmt,"&gt;-1E+300",dFlt1,critFlt1,dFlt2,critFlt2,dFlt3,critFlt3))</f>
        <v/>
      </c>
      <c r="D2747" t="str">
        <f>IF($B2747="","",SUMIFS(dAmt,dCust,$B2747,dPer,"&gt;="&amp;cyFrom,dPer,"&lt;="&amp;cyTo,dAmt,"&gt;-1E+300",dFlt1,critFlt1,dFlt2,critFlt2,dFlt3,critFlt3))</f>
        <v/>
      </c>
      <c r="E2747" t="str">
        <f>IF($B2747="","",SUMIFS(dQty,dCust,$B2747,dPer,"&gt;="&amp;pyFrom,dPer,"&lt;="&amp;pyTo,dQty,"&gt;-1E+300",dFlt1,critFlt1,dFlt2,critFlt2,dFlt3,critFlt3))</f>
        <v/>
      </c>
      <c r="F2747" t="str">
        <f>IF($B2747="","",SUMIFS(dQty,dCust,$B2747,dPer,"&gt;="&amp;cyFrom,dPer,"&lt;="&amp;cyTo,dQty,"&gt;-1E+300",dFlt1,critFlt1,dFlt2,critFlt2,dFlt3,critFlt3))</f>
        <v/>
      </c>
      <c r="G2747">
        <f>IF($B2747="",0,IFERROR(IF(OR(C2747&lt;&gt;0,D2747&lt;&gt;0,E2747&lt;&gt;0,F2747&lt;&gt;0),1,0),1))</f>
        <v>0</v>
      </c>
      <c r="H2747" t="str">
        <f>IF(OR(G2747=0,E2747=0),"",C2747/E2747)</f>
        <v/>
      </c>
      <c r="I2747" t="str">
        <f>IF(OR(G2747=0,F2747=0),"",D2747/F2747)</f>
        <v/>
      </c>
      <c r="J2747" t="str">
        <f>IF(OR(H2747="",I2747=""),"",IF(H2747=0,"",I2747/H2747-1))</f>
        <v/>
      </c>
      <c r="K2747" t="str">
        <f>IF($B2747="","",IFERROR(IF(G2747=0,-2E+300,CHOOSE(sortIdx,ROUND(D2747,0),IF(J2747="",-1E+300,ROUND(-J2747,6)),IF(J2747="",-1E+300,ROUND(J2747,6)))),-1.5E+300))</f>
        <v/>
      </c>
      <c r="L2747" t="str">
        <f>IF(K2747="","",RANK(K2747,$K$2:$K$3001,0)+COUNTIF($K$2:K2747,K2747)-1)</f>
        <v/>
      </c>
    </row>
    <row r="2748">
      <c r="B2748" t="str">
        <f>IFERROR(IF(A2748="","","="&amp;SUBSTITUTE(SUBSTITUTE(SUBSTITUTE(A2748,"~","~~"),"*","~*"),"?","~?")),"")</f>
        <v/>
      </c>
      <c r="C2748" t="str">
        <f>IF($B2748="","",SUMIFS(dAmt,dCust,$B2748,dPer,"&gt;="&amp;pyFrom,dPer,"&lt;="&amp;pyTo,dAmt,"&gt;-1E+300",dFlt1,critFlt1,dFlt2,critFlt2,dFlt3,critFlt3))</f>
        <v/>
      </c>
      <c r="D2748" t="str">
        <f>IF($B2748="","",SUMIFS(dAmt,dCust,$B2748,dPer,"&gt;="&amp;cyFrom,dPer,"&lt;="&amp;cyTo,dAmt,"&gt;-1E+300",dFlt1,critFlt1,dFlt2,critFlt2,dFlt3,critFlt3))</f>
        <v/>
      </c>
      <c r="E2748" t="str">
        <f>IF($B2748="","",SUMIFS(dQty,dCust,$B2748,dPer,"&gt;="&amp;pyFrom,dPer,"&lt;="&amp;pyTo,dQty,"&gt;-1E+300",dFlt1,critFlt1,dFlt2,critFlt2,dFlt3,critFlt3))</f>
        <v/>
      </c>
      <c r="F2748" t="str">
        <f>IF($B2748="","",SUMIFS(dQty,dCust,$B2748,dPer,"&gt;="&amp;cyFrom,dPer,"&lt;="&amp;cyTo,dQty,"&gt;-1E+300",dFlt1,critFlt1,dFlt2,critFlt2,dFlt3,critFlt3))</f>
        <v/>
      </c>
      <c r="G2748">
        <f>IF($B2748="",0,IFERROR(IF(OR(C2748&lt;&gt;0,D2748&lt;&gt;0,E2748&lt;&gt;0,F2748&lt;&gt;0),1,0),1))</f>
        <v>0</v>
      </c>
      <c r="H2748" t="str">
        <f>IF(OR(G2748=0,E2748=0),"",C2748/E2748)</f>
        <v/>
      </c>
      <c r="I2748" t="str">
        <f>IF(OR(G2748=0,F2748=0),"",D2748/F2748)</f>
        <v/>
      </c>
      <c r="J2748" t="str">
        <f>IF(OR(H2748="",I2748=""),"",IF(H2748=0,"",I2748/H2748-1))</f>
        <v/>
      </c>
      <c r="K2748" t="str">
        <f>IF($B2748="","",IFERROR(IF(G2748=0,-2E+300,CHOOSE(sortIdx,ROUND(D2748,0),IF(J2748="",-1E+300,ROUND(-J2748,6)),IF(J2748="",-1E+300,ROUND(J2748,6)))),-1.5E+300))</f>
        <v/>
      </c>
      <c r="L2748" t="str">
        <f>IF(K2748="","",RANK(K2748,$K$2:$K$3001,0)+COUNTIF($K$2:K2748,K2748)-1)</f>
        <v/>
      </c>
    </row>
    <row r="2749">
      <c r="B2749" t="str">
        <f>IFERROR(IF(A2749="","","="&amp;SUBSTITUTE(SUBSTITUTE(SUBSTITUTE(A2749,"~","~~"),"*","~*"),"?","~?")),"")</f>
        <v/>
      </c>
      <c r="C2749" t="str">
        <f>IF($B2749="","",SUMIFS(dAmt,dCust,$B2749,dPer,"&gt;="&amp;pyFrom,dPer,"&lt;="&amp;pyTo,dAmt,"&gt;-1E+300",dFlt1,critFlt1,dFlt2,critFlt2,dFlt3,critFlt3))</f>
        <v/>
      </c>
      <c r="D2749" t="str">
        <f>IF($B2749="","",SUMIFS(dAmt,dCust,$B2749,dPer,"&gt;="&amp;cyFrom,dPer,"&lt;="&amp;cyTo,dAmt,"&gt;-1E+300",dFlt1,critFlt1,dFlt2,critFlt2,dFlt3,critFlt3))</f>
        <v/>
      </c>
      <c r="E2749" t="str">
        <f>IF($B2749="","",SUMIFS(dQty,dCust,$B2749,dPer,"&gt;="&amp;pyFrom,dPer,"&lt;="&amp;pyTo,dQty,"&gt;-1E+300",dFlt1,critFlt1,dFlt2,critFlt2,dFlt3,critFlt3))</f>
        <v/>
      </c>
      <c r="F2749" t="str">
        <f>IF($B2749="","",SUMIFS(dQty,dCust,$B2749,dPer,"&gt;="&amp;cyFrom,dPer,"&lt;="&amp;cyTo,dQty,"&gt;-1E+300",dFlt1,critFlt1,dFlt2,critFlt2,dFlt3,critFlt3))</f>
        <v/>
      </c>
      <c r="G2749">
        <f>IF($B2749="",0,IFERROR(IF(OR(C2749&lt;&gt;0,D2749&lt;&gt;0,E2749&lt;&gt;0,F2749&lt;&gt;0),1,0),1))</f>
        <v>0</v>
      </c>
      <c r="H2749" t="str">
        <f>IF(OR(G2749=0,E2749=0),"",C2749/E2749)</f>
        <v/>
      </c>
      <c r="I2749" t="str">
        <f>IF(OR(G2749=0,F2749=0),"",D2749/F2749)</f>
        <v/>
      </c>
      <c r="J2749" t="str">
        <f>IF(OR(H2749="",I2749=""),"",IF(H2749=0,"",I2749/H2749-1))</f>
        <v/>
      </c>
      <c r="K2749" t="str">
        <f>IF($B2749="","",IFERROR(IF(G2749=0,-2E+300,CHOOSE(sortIdx,ROUND(D2749,0),IF(J2749="",-1E+300,ROUND(-J2749,6)),IF(J2749="",-1E+300,ROUND(J2749,6)))),-1.5E+300))</f>
        <v/>
      </c>
      <c r="L2749" t="str">
        <f>IF(K2749="","",RANK(K2749,$K$2:$K$3001,0)+COUNTIF($K$2:K2749,K2749)-1)</f>
        <v/>
      </c>
    </row>
    <row r="2750">
      <c r="B2750" t="str">
        <f>IFERROR(IF(A2750="","","="&amp;SUBSTITUTE(SUBSTITUTE(SUBSTITUTE(A2750,"~","~~"),"*","~*"),"?","~?")),"")</f>
        <v/>
      </c>
      <c r="C2750" t="str">
        <f>IF($B2750="","",SUMIFS(dAmt,dCust,$B2750,dPer,"&gt;="&amp;pyFrom,dPer,"&lt;="&amp;pyTo,dAmt,"&gt;-1E+300",dFlt1,critFlt1,dFlt2,critFlt2,dFlt3,critFlt3))</f>
        <v/>
      </c>
      <c r="D2750" t="str">
        <f>IF($B2750="","",SUMIFS(dAmt,dCust,$B2750,dPer,"&gt;="&amp;cyFrom,dPer,"&lt;="&amp;cyTo,dAmt,"&gt;-1E+300",dFlt1,critFlt1,dFlt2,critFlt2,dFlt3,critFlt3))</f>
        <v/>
      </c>
      <c r="E2750" t="str">
        <f>IF($B2750="","",SUMIFS(dQty,dCust,$B2750,dPer,"&gt;="&amp;pyFrom,dPer,"&lt;="&amp;pyTo,dQty,"&gt;-1E+300",dFlt1,critFlt1,dFlt2,critFlt2,dFlt3,critFlt3))</f>
        <v/>
      </c>
      <c r="F2750" t="str">
        <f>IF($B2750="","",SUMIFS(dQty,dCust,$B2750,dPer,"&gt;="&amp;cyFrom,dPer,"&lt;="&amp;cyTo,dQty,"&gt;-1E+300",dFlt1,critFlt1,dFlt2,critFlt2,dFlt3,critFlt3))</f>
        <v/>
      </c>
      <c r="G2750">
        <f>IF($B2750="",0,IFERROR(IF(OR(C2750&lt;&gt;0,D2750&lt;&gt;0,E2750&lt;&gt;0,F2750&lt;&gt;0),1,0),1))</f>
        <v>0</v>
      </c>
      <c r="H2750" t="str">
        <f>IF(OR(G2750=0,E2750=0),"",C2750/E2750)</f>
        <v/>
      </c>
      <c r="I2750" t="str">
        <f>IF(OR(G2750=0,F2750=0),"",D2750/F2750)</f>
        <v/>
      </c>
      <c r="J2750" t="str">
        <f>IF(OR(H2750="",I2750=""),"",IF(H2750=0,"",I2750/H2750-1))</f>
        <v/>
      </c>
      <c r="K2750" t="str">
        <f>IF($B2750="","",IFERROR(IF(G2750=0,-2E+300,CHOOSE(sortIdx,ROUND(D2750,0),IF(J2750="",-1E+300,ROUND(-J2750,6)),IF(J2750="",-1E+300,ROUND(J2750,6)))),-1.5E+300))</f>
        <v/>
      </c>
      <c r="L2750" t="str">
        <f>IF(K2750="","",RANK(K2750,$K$2:$K$3001,0)+COUNTIF($K$2:K2750,K2750)-1)</f>
        <v/>
      </c>
    </row>
    <row r="2751">
      <c r="B2751" t="str">
        <f>IFERROR(IF(A2751="","","="&amp;SUBSTITUTE(SUBSTITUTE(SUBSTITUTE(A2751,"~","~~"),"*","~*"),"?","~?")),"")</f>
        <v/>
      </c>
      <c r="C2751" t="str">
        <f>IF($B2751="","",SUMIFS(dAmt,dCust,$B2751,dPer,"&gt;="&amp;pyFrom,dPer,"&lt;="&amp;pyTo,dAmt,"&gt;-1E+300",dFlt1,critFlt1,dFlt2,critFlt2,dFlt3,critFlt3))</f>
        <v/>
      </c>
      <c r="D2751" t="str">
        <f>IF($B2751="","",SUMIFS(dAmt,dCust,$B2751,dPer,"&gt;="&amp;cyFrom,dPer,"&lt;="&amp;cyTo,dAmt,"&gt;-1E+300",dFlt1,critFlt1,dFlt2,critFlt2,dFlt3,critFlt3))</f>
        <v/>
      </c>
      <c r="E2751" t="str">
        <f>IF($B2751="","",SUMIFS(dQty,dCust,$B2751,dPer,"&gt;="&amp;pyFrom,dPer,"&lt;="&amp;pyTo,dQty,"&gt;-1E+300",dFlt1,critFlt1,dFlt2,critFlt2,dFlt3,critFlt3))</f>
        <v/>
      </c>
      <c r="F2751" t="str">
        <f>IF($B2751="","",SUMIFS(dQty,dCust,$B2751,dPer,"&gt;="&amp;cyFrom,dPer,"&lt;="&amp;cyTo,dQty,"&gt;-1E+300",dFlt1,critFlt1,dFlt2,critFlt2,dFlt3,critFlt3))</f>
        <v/>
      </c>
      <c r="G2751">
        <f>IF($B2751="",0,IFERROR(IF(OR(C2751&lt;&gt;0,D2751&lt;&gt;0,E2751&lt;&gt;0,F2751&lt;&gt;0),1,0),1))</f>
        <v>0</v>
      </c>
      <c r="H2751" t="str">
        <f>IF(OR(G2751=0,E2751=0),"",C2751/E2751)</f>
        <v/>
      </c>
      <c r="I2751" t="str">
        <f>IF(OR(G2751=0,F2751=0),"",D2751/F2751)</f>
        <v/>
      </c>
      <c r="J2751" t="str">
        <f>IF(OR(H2751="",I2751=""),"",IF(H2751=0,"",I2751/H2751-1))</f>
        <v/>
      </c>
      <c r="K2751" t="str">
        <f>IF($B2751="","",IFERROR(IF(G2751=0,-2E+300,CHOOSE(sortIdx,ROUND(D2751,0),IF(J2751="",-1E+300,ROUND(-J2751,6)),IF(J2751="",-1E+300,ROUND(J2751,6)))),-1.5E+300))</f>
        <v/>
      </c>
      <c r="L2751" t="str">
        <f>IF(K2751="","",RANK(K2751,$K$2:$K$3001,0)+COUNTIF($K$2:K2751,K2751)-1)</f>
        <v/>
      </c>
    </row>
    <row r="2752">
      <c r="B2752" t="str">
        <f>IFERROR(IF(A2752="","","="&amp;SUBSTITUTE(SUBSTITUTE(SUBSTITUTE(A2752,"~","~~"),"*","~*"),"?","~?")),"")</f>
        <v/>
      </c>
      <c r="C2752" t="str">
        <f>IF($B2752="","",SUMIFS(dAmt,dCust,$B2752,dPer,"&gt;="&amp;pyFrom,dPer,"&lt;="&amp;pyTo,dAmt,"&gt;-1E+300",dFlt1,critFlt1,dFlt2,critFlt2,dFlt3,critFlt3))</f>
        <v/>
      </c>
      <c r="D2752" t="str">
        <f>IF($B2752="","",SUMIFS(dAmt,dCust,$B2752,dPer,"&gt;="&amp;cyFrom,dPer,"&lt;="&amp;cyTo,dAmt,"&gt;-1E+300",dFlt1,critFlt1,dFlt2,critFlt2,dFlt3,critFlt3))</f>
        <v/>
      </c>
      <c r="E2752" t="str">
        <f>IF($B2752="","",SUMIFS(dQty,dCust,$B2752,dPer,"&gt;="&amp;pyFrom,dPer,"&lt;="&amp;pyTo,dQty,"&gt;-1E+300",dFlt1,critFlt1,dFlt2,critFlt2,dFlt3,critFlt3))</f>
        <v/>
      </c>
      <c r="F2752" t="str">
        <f>IF($B2752="","",SUMIFS(dQty,dCust,$B2752,dPer,"&gt;="&amp;cyFrom,dPer,"&lt;="&amp;cyTo,dQty,"&gt;-1E+300",dFlt1,critFlt1,dFlt2,critFlt2,dFlt3,critFlt3))</f>
        <v/>
      </c>
      <c r="G2752">
        <f>IF($B2752="",0,IFERROR(IF(OR(C2752&lt;&gt;0,D2752&lt;&gt;0,E2752&lt;&gt;0,F2752&lt;&gt;0),1,0),1))</f>
        <v>0</v>
      </c>
      <c r="H2752" t="str">
        <f>IF(OR(G2752=0,E2752=0),"",C2752/E2752)</f>
        <v/>
      </c>
      <c r="I2752" t="str">
        <f>IF(OR(G2752=0,F2752=0),"",D2752/F2752)</f>
        <v/>
      </c>
      <c r="J2752" t="str">
        <f>IF(OR(H2752="",I2752=""),"",IF(H2752=0,"",I2752/H2752-1))</f>
        <v/>
      </c>
      <c r="K2752" t="str">
        <f>IF($B2752="","",IFERROR(IF(G2752=0,-2E+300,CHOOSE(sortIdx,ROUND(D2752,0),IF(J2752="",-1E+300,ROUND(-J2752,6)),IF(J2752="",-1E+300,ROUND(J2752,6)))),-1.5E+300))</f>
        <v/>
      </c>
      <c r="L2752" t="str">
        <f>IF(K2752="","",RANK(K2752,$K$2:$K$3001,0)+COUNTIF($K$2:K2752,K2752)-1)</f>
        <v/>
      </c>
    </row>
    <row r="2753">
      <c r="B2753" t="str">
        <f>IFERROR(IF(A2753="","","="&amp;SUBSTITUTE(SUBSTITUTE(SUBSTITUTE(A2753,"~","~~"),"*","~*"),"?","~?")),"")</f>
        <v/>
      </c>
      <c r="C2753" t="str">
        <f>IF($B2753="","",SUMIFS(dAmt,dCust,$B2753,dPer,"&gt;="&amp;pyFrom,dPer,"&lt;="&amp;pyTo,dAmt,"&gt;-1E+300",dFlt1,critFlt1,dFlt2,critFlt2,dFlt3,critFlt3))</f>
        <v/>
      </c>
      <c r="D2753" t="str">
        <f>IF($B2753="","",SUMIFS(dAmt,dCust,$B2753,dPer,"&gt;="&amp;cyFrom,dPer,"&lt;="&amp;cyTo,dAmt,"&gt;-1E+300",dFlt1,critFlt1,dFlt2,critFlt2,dFlt3,critFlt3))</f>
        <v/>
      </c>
      <c r="E2753" t="str">
        <f>IF($B2753="","",SUMIFS(dQty,dCust,$B2753,dPer,"&gt;="&amp;pyFrom,dPer,"&lt;="&amp;pyTo,dQty,"&gt;-1E+300",dFlt1,critFlt1,dFlt2,critFlt2,dFlt3,critFlt3))</f>
        <v/>
      </c>
      <c r="F2753" t="str">
        <f>IF($B2753="","",SUMIFS(dQty,dCust,$B2753,dPer,"&gt;="&amp;cyFrom,dPer,"&lt;="&amp;cyTo,dQty,"&gt;-1E+300",dFlt1,critFlt1,dFlt2,critFlt2,dFlt3,critFlt3))</f>
        <v/>
      </c>
      <c r="G2753">
        <f>IF($B2753="",0,IFERROR(IF(OR(C2753&lt;&gt;0,D2753&lt;&gt;0,E2753&lt;&gt;0,F2753&lt;&gt;0),1,0),1))</f>
        <v>0</v>
      </c>
      <c r="H2753" t="str">
        <f>IF(OR(G2753=0,E2753=0),"",C2753/E2753)</f>
        <v/>
      </c>
      <c r="I2753" t="str">
        <f>IF(OR(G2753=0,F2753=0),"",D2753/F2753)</f>
        <v/>
      </c>
      <c r="J2753" t="str">
        <f>IF(OR(H2753="",I2753=""),"",IF(H2753=0,"",I2753/H2753-1))</f>
        <v/>
      </c>
      <c r="K2753" t="str">
        <f>IF($B2753="","",IFERROR(IF(G2753=0,-2E+300,CHOOSE(sortIdx,ROUND(D2753,0),IF(J2753="",-1E+300,ROUND(-J2753,6)),IF(J2753="",-1E+300,ROUND(J2753,6)))),-1.5E+300))</f>
        <v/>
      </c>
      <c r="L2753" t="str">
        <f>IF(K2753="","",RANK(K2753,$K$2:$K$3001,0)+COUNTIF($K$2:K2753,K2753)-1)</f>
        <v/>
      </c>
    </row>
    <row r="2754">
      <c r="B2754" t="str">
        <f>IFERROR(IF(A2754="","","="&amp;SUBSTITUTE(SUBSTITUTE(SUBSTITUTE(A2754,"~","~~"),"*","~*"),"?","~?")),"")</f>
        <v/>
      </c>
      <c r="C2754" t="str">
        <f>IF($B2754="","",SUMIFS(dAmt,dCust,$B2754,dPer,"&gt;="&amp;pyFrom,dPer,"&lt;="&amp;pyTo,dAmt,"&gt;-1E+300",dFlt1,critFlt1,dFlt2,critFlt2,dFlt3,critFlt3))</f>
        <v/>
      </c>
      <c r="D2754" t="str">
        <f>IF($B2754="","",SUMIFS(dAmt,dCust,$B2754,dPer,"&gt;="&amp;cyFrom,dPer,"&lt;="&amp;cyTo,dAmt,"&gt;-1E+300",dFlt1,critFlt1,dFlt2,critFlt2,dFlt3,critFlt3))</f>
        <v/>
      </c>
      <c r="E2754" t="str">
        <f>IF($B2754="","",SUMIFS(dQty,dCust,$B2754,dPer,"&gt;="&amp;pyFrom,dPer,"&lt;="&amp;pyTo,dQty,"&gt;-1E+300",dFlt1,critFlt1,dFlt2,critFlt2,dFlt3,critFlt3))</f>
        <v/>
      </c>
      <c r="F2754" t="str">
        <f>IF($B2754="","",SUMIFS(dQty,dCust,$B2754,dPer,"&gt;="&amp;cyFrom,dPer,"&lt;="&amp;cyTo,dQty,"&gt;-1E+300",dFlt1,critFlt1,dFlt2,critFlt2,dFlt3,critFlt3))</f>
        <v/>
      </c>
      <c r="G2754">
        <f>IF($B2754="",0,IFERROR(IF(OR(C2754&lt;&gt;0,D2754&lt;&gt;0,E2754&lt;&gt;0,F2754&lt;&gt;0),1,0),1))</f>
        <v>0</v>
      </c>
      <c r="H2754" t="str">
        <f>IF(OR(G2754=0,E2754=0),"",C2754/E2754)</f>
        <v/>
      </c>
      <c r="I2754" t="str">
        <f>IF(OR(G2754=0,F2754=0),"",D2754/F2754)</f>
        <v/>
      </c>
      <c r="J2754" t="str">
        <f>IF(OR(H2754="",I2754=""),"",IF(H2754=0,"",I2754/H2754-1))</f>
        <v/>
      </c>
      <c r="K2754" t="str">
        <f>IF($B2754="","",IFERROR(IF(G2754=0,-2E+300,CHOOSE(sortIdx,ROUND(D2754,0),IF(J2754="",-1E+300,ROUND(-J2754,6)),IF(J2754="",-1E+300,ROUND(J2754,6)))),-1.5E+300))</f>
        <v/>
      </c>
      <c r="L2754" t="str">
        <f>IF(K2754="","",RANK(K2754,$K$2:$K$3001,0)+COUNTIF($K$2:K2754,K2754)-1)</f>
        <v/>
      </c>
    </row>
    <row r="2755">
      <c r="B2755" t="str">
        <f>IFERROR(IF(A2755="","","="&amp;SUBSTITUTE(SUBSTITUTE(SUBSTITUTE(A2755,"~","~~"),"*","~*"),"?","~?")),"")</f>
        <v/>
      </c>
      <c r="C2755" t="str">
        <f>IF($B2755="","",SUMIFS(dAmt,dCust,$B2755,dPer,"&gt;="&amp;pyFrom,dPer,"&lt;="&amp;pyTo,dAmt,"&gt;-1E+300",dFlt1,critFlt1,dFlt2,critFlt2,dFlt3,critFlt3))</f>
        <v/>
      </c>
      <c r="D2755" t="str">
        <f>IF($B2755="","",SUMIFS(dAmt,dCust,$B2755,dPer,"&gt;="&amp;cyFrom,dPer,"&lt;="&amp;cyTo,dAmt,"&gt;-1E+300",dFlt1,critFlt1,dFlt2,critFlt2,dFlt3,critFlt3))</f>
        <v/>
      </c>
      <c r="E2755" t="str">
        <f>IF($B2755="","",SUMIFS(dQty,dCust,$B2755,dPer,"&gt;="&amp;pyFrom,dPer,"&lt;="&amp;pyTo,dQty,"&gt;-1E+300",dFlt1,critFlt1,dFlt2,critFlt2,dFlt3,critFlt3))</f>
        <v/>
      </c>
      <c r="F2755" t="str">
        <f>IF($B2755="","",SUMIFS(dQty,dCust,$B2755,dPer,"&gt;="&amp;cyFrom,dPer,"&lt;="&amp;cyTo,dQty,"&gt;-1E+300",dFlt1,critFlt1,dFlt2,critFlt2,dFlt3,critFlt3))</f>
        <v/>
      </c>
      <c r="G2755">
        <f>IF($B2755="",0,IFERROR(IF(OR(C2755&lt;&gt;0,D2755&lt;&gt;0,E2755&lt;&gt;0,F2755&lt;&gt;0),1,0),1))</f>
        <v>0</v>
      </c>
      <c r="H2755" t="str">
        <f>IF(OR(G2755=0,E2755=0),"",C2755/E2755)</f>
        <v/>
      </c>
      <c r="I2755" t="str">
        <f>IF(OR(G2755=0,F2755=0),"",D2755/F2755)</f>
        <v/>
      </c>
      <c r="J2755" t="str">
        <f>IF(OR(H2755="",I2755=""),"",IF(H2755=0,"",I2755/H2755-1))</f>
        <v/>
      </c>
      <c r="K2755" t="str">
        <f>IF($B2755="","",IFERROR(IF(G2755=0,-2E+300,CHOOSE(sortIdx,ROUND(D2755,0),IF(J2755="",-1E+300,ROUND(-J2755,6)),IF(J2755="",-1E+300,ROUND(J2755,6)))),-1.5E+300))</f>
        <v/>
      </c>
      <c r="L2755" t="str">
        <f>IF(K2755="","",RANK(K2755,$K$2:$K$3001,0)+COUNTIF($K$2:K2755,K2755)-1)</f>
        <v/>
      </c>
    </row>
    <row r="2756">
      <c r="B2756" t="str">
        <f>IFERROR(IF(A2756="","","="&amp;SUBSTITUTE(SUBSTITUTE(SUBSTITUTE(A2756,"~","~~"),"*","~*"),"?","~?")),"")</f>
        <v/>
      </c>
      <c r="C2756" t="str">
        <f>IF($B2756="","",SUMIFS(dAmt,dCust,$B2756,dPer,"&gt;="&amp;pyFrom,dPer,"&lt;="&amp;pyTo,dAmt,"&gt;-1E+300",dFlt1,critFlt1,dFlt2,critFlt2,dFlt3,critFlt3))</f>
        <v/>
      </c>
      <c r="D2756" t="str">
        <f>IF($B2756="","",SUMIFS(dAmt,dCust,$B2756,dPer,"&gt;="&amp;cyFrom,dPer,"&lt;="&amp;cyTo,dAmt,"&gt;-1E+300",dFlt1,critFlt1,dFlt2,critFlt2,dFlt3,critFlt3))</f>
        <v/>
      </c>
      <c r="E2756" t="str">
        <f>IF($B2756="","",SUMIFS(dQty,dCust,$B2756,dPer,"&gt;="&amp;pyFrom,dPer,"&lt;="&amp;pyTo,dQty,"&gt;-1E+300",dFlt1,critFlt1,dFlt2,critFlt2,dFlt3,critFlt3))</f>
        <v/>
      </c>
      <c r="F2756" t="str">
        <f>IF($B2756="","",SUMIFS(dQty,dCust,$B2756,dPer,"&gt;="&amp;cyFrom,dPer,"&lt;="&amp;cyTo,dQty,"&gt;-1E+300",dFlt1,critFlt1,dFlt2,critFlt2,dFlt3,critFlt3))</f>
        <v/>
      </c>
      <c r="G2756">
        <f>IF($B2756="",0,IFERROR(IF(OR(C2756&lt;&gt;0,D2756&lt;&gt;0,E2756&lt;&gt;0,F2756&lt;&gt;0),1,0),1))</f>
        <v>0</v>
      </c>
      <c r="H2756" t="str">
        <f>IF(OR(G2756=0,E2756=0),"",C2756/E2756)</f>
        <v/>
      </c>
      <c r="I2756" t="str">
        <f>IF(OR(G2756=0,F2756=0),"",D2756/F2756)</f>
        <v/>
      </c>
      <c r="J2756" t="str">
        <f>IF(OR(H2756="",I2756=""),"",IF(H2756=0,"",I2756/H2756-1))</f>
        <v/>
      </c>
      <c r="K2756" t="str">
        <f>IF($B2756="","",IFERROR(IF(G2756=0,-2E+300,CHOOSE(sortIdx,ROUND(D2756,0),IF(J2756="",-1E+300,ROUND(-J2756,6)),IF(J2756="",-1E+300,ROUND(J2756,6)))),-1.5E+300))</f>
        <v/>
      </c>
      <c r="L2756" t="str">
        <f>IF(K2756="","",RANK(K2756,$K$2:$K$3001,0)+COUNTIF($K$2:K2756,K2756)-1)</f>
        <v/>
      </c>
    </row>
    <row r="2757">
      <c r="B2757" t="str">
        <f>IFERROR(IF(A2757="","","="&amp;SUBSTITUTE(SUBSTITUTE(SUBSTITUTE(A2757,"~","~~"),"*","~*"),"?","~?")),"")</f>
        <v/>
      </c>
      <c r="C2757" t="str">
        <f>IF($B2757="","",SUMIFS(dAmt,dCust,$B2757,dPer,"&gt;="&amp;pyFrom,dPer,"&lt;="&amp;pyTo,dAmt,"&gt;-1E+300",dFlt1,critFlt1,dFlt2,critFlt2,dFlt3,critFlt3))</f>
        <v/>
      </c>
      <c r="D2757" t="str">
        <f>IF($B2757="","",SUMIFS(dAmt,dCust,$B2757,dPer,"&gt;="&amp;cyFrom,dPer,"&lt;="&amp;cyTo,dAmt,"&gt;-1E+300",dFlt1,critFlt1,dFlt2,critFlt2,dFlt3,critFlt3))</f>
        <v/>
      </c>
      <c r="E2757" t="str">
        <f>IF($B2757="","",SUMIFS(dQty,dCust,$B2757,dPer,"&gt;="&amp;pyFrom,dPer,"&lt;="&amp;pyTo,dQty,"&gt;-1E+300",dFlt1,critFlt1,dFlt2,critFlt2,dFlt3,critFlt3))</f>
        <v/>
      </c>
      <c r="F2757" t="str">
        <f>IF($B2757="","",SUMIFS(dQty,dCust,$B2757,dPer,"&gt;="&amp;cyFrom,dPer,"&lt;="&amp;cyTo,dQty,"&gt;-1E+300",dFlt1,critFlt1,dFlt2,critFlt2,dFlt3,critFlt3))</f>
        <v/>
      </c>
      <c r="G2757">
        <f>IF($B2757="",0,IFERROR(IF(OR(C2757&lt;&gt;0,D2757&lt;&gt;0,E2757&lt;&gt;0,F2757&lt;&gt;0),1,0),1))</f>
        <v>0</v>
      </c>
      <c r="H2757" t="str">
        <f>IF(OR(G2757=0,E2757=0),"",C2757/E2757)</f>
        <v/>
      </c>
      <c r="I2757" t="str">
        <f>IF(OR(G2757=0,F2757=0),"",D2757/F2757)</f>
        <v/>
      </c>
      <c r="J2757" t="str">
        <f>IF(OR(H2757="",I2757=""),"",IF(H2757=0,"",I2757/H2757-1))</f>
        <v/>
      </c>
      <c r="K2757" t="str">
        <f>IF($B2757="","",IFERROR(IF(G2757=0,-2E+300,CHOOSE(sortIdx,ROUND(D2757,0),IF(J2757="",-1E+300,ROUND(-J2757,6)),IF(J2757="",-1E+300,ROUND(J2757,6)))),-1.5E+300))</f>
        <v/>
      </c>
      <c r="L2757" t="str">
        <f>IF(K2757="","",RANK(K2757,$K$2:$K$3001,0)+COUNTIF($K$2:K2757,K2757)-1)</f>
        <v/>
      </c>
    </row>
    <row r="2758">
      <c r="B2758" t="str">
        <f>IFERROR(IF(A2758="","","="&amp;SUBSTITUTE(SUBSTITUTE(SUBSTITUTE(A2758,"~","~~"),"*","~*"),"?","~?")),"")</f>
        <v/>
      </c>
      <c r="C2758" t="str">
        <f>IF($B2758="","",SUMIFS(dAmt,dCust,$B2758,dPer,"&gt;="&amp;pyFrom,dPer,"&lt;="&amp;pyTo,dAmt,"&gt;-1E+300",dFlt1,critFlt1,dFlt2,critFlt2,dFlt3,critFlt3))</f>
        <v/>
      </c>
      <c r="D2758" t="str">
        <f>IF($B2758="","",SUMIFS(dAmt,dCust,$B2758,dPer,"&gt;="&amp;cyFrom,dPer,"&lt;="&amp;cyTo,dAmt,"&gt;-1E+300",dFlt1,critFlt1,dFlt2,critFlt2,dFlt3,critFlt3))</f>
        <v/>
      </c>
      <c r="E2758" t="str">
        <f>IF($B2758="","",SUMIFS(dQty,dCust,$B2758,dPer,"&gt;="&amp;pyFrom,dPer,"&lt;="&amp;pyTo,dQty,"&gt;-1E+300",dFlt1,critFlt1,dFlt2,critFlt2,dFlt3,critFlt3))</f>
        <v/>
      </c>
      <c r="F2758" t="str">
        <f>IF($B2758="","",SUMIFS(dQty,dCust,$B2758,dPer,"&gt;="&amp;cyFrom,dPer,"&lt;="&amp;cyTo,dQty,"&gt;-1E+300",dFlt1,critFlt1,dFlt2,critFlt2,dFlt3,critFlt3))</f>
        <v/>
      </c>
      <c r="G2758">
        <f>IF($B2758="",0,IFERROR(IF(OR(C2758&lt;&gt;0,D2758&lt;&gt;0,E2758&lt;&gt;0,F2758&lt;&gt;0),1,0),1))</f>
        <v>0</v>
      </c>
      <c r="H2758" t="str">
        <f>IF(OR(G2758=0,E2758=0),"",C2758/E2758)</f>
        <v/>
      </c>
      <c r="I2758" t="str">
        <f>IF(OR(G2758=0,F2758=0),"",D2758/F2758)</f>
        <v/>
      </c>
      <c r="J2758" t="str">
        <f>IF(OR(H2758="",I2758=""),"",IF(H2758=0,"",I2758/H2758-1))</f>
        <v/>
      </c>
      <c r="K2758" t="str">
        <f>IF($B2758="","",IFERROR(IF(G2758=0,-2E+300,CHOOSE(sortIdx,ROUND(D2758,0),IF(J2758="",-1E+300,ROUND(-J2758,6)),IF(J2758="",-1E+300,ROUND(J2758,6)))),-1.5E+300))</f>
        <v/>
      </c>
      <c r="L2758" t="str">
        <f>IF(K2758="","",RANK(K2758,$K$2:$K$3001,0)+COUNTIF($K$2:K2758,K2758)-1)</f>
        <v/>
      </c>
    </row>
    <row r="2759">
      <c r="B2759" t="str">
        <f>IFERROR(IF(A2759="","","="&amp;SUBSTITUTE(SUBSTITUTE(SUBSTITUTE(A2759,"~","~~"),"*","~*"),"?","~?")),"")</f>
        <v/>
      </c>
      <c r="C2759" t="str">
        <f>IF($B2759="","",SUMIFS(dAmt,dCust,$B2759,dPer,"&gt;="&amp;pyFrom,dPer,"&lt;="&amp;pyTo,dAmt,"&gt;-1E+300",dFlt1,critFlt1,dFlt2,critFlt2,dFlt3,critFlt3))</f>
        <v/>
      </c>
      <c r="D2759" t="str">
        <f>IF($B2759="","",SUMIFS(dAmt,dCust,$B2759,dPer,"&gt;="&amp;cyFrom,dPer,"&lt;="&amp;cyTo,dAmt,"&gt;-1E+300",dFlt1,critFlt1,dFlt2,critFlt2,dFlt3,critFlt3))</f>
        <v/>
      </c>
      <c r="E2759" t="str">
        <f>IF($B2759="","",SUMIFS(dQty,dCust,$B2759,dPer,"&gt;="&amp;pyFrom,dPer,"&lt;="&amp;pyTo,dQty,"&gt;-1E+300",dFlt1,critFlt1,dFlt2,critFlt2,dFlt3,critFlt3))</f>
        <v/>
      </c>
      <c r="F2759" t="str">
        <f>IF($B2759="","",SUMIFS(dQty,dCust,$B2759,dPer,"&gt;="&amp;cyFrom,dPer,"&lt;="&amp;cyTo,dQty,"&gt;-1E+300",dFlt1,critFlt1,dFlt2,critFlt2,dFlt3,critFlt3))</f>
        <v/>
      </c>
      <c r="G2759">
        <f>IF($B2759="",0,IFERROR(IF(OR(C2759&lt;&gt;0,D2759&lt;&gt;0,E2759&lt;&gt;0,F2759&lt;&gt;0),1,0),1))</f>
        <v>0</v>
      </c>
      <c r="H2759" t="str">
        <f>IF(OR(G2759=0,E2759=0),"",C2759/E2759)</f>
        <v/>
      </c>
      <c r="I2759" t="str">
        <f>IF(OR(G2759=0,F2759=0),"",D2759/F2759)</f>
        <v/>
      </c>
      <c r="J2759" t="str">
        <f>IF(OR(H2759="",I2759=""),"",IF(H2759=0,"",I2759/H2759-1))</f>
        <v/>
      </c>
      <c r="K2759" t="str">
        <f>IF($B2759="","",IFERROR(IF(G2759=0,-2E+300,CHOOSE(sortIdx,ROUND(D2759,0),IF(J2759="",-1E+300,ROUND(-J2759,6)),IF(J2759="",-1E+300,ROUND(J2759,6)))),-1.5E+300))</f>
        <v/>
      </c>
      <c r="L2759" t="str">
        <f>IF(K2759="","",RANK(K2759,$K$2:$K$3001,0)+COUNTIF($K$2:K2759,K2759)-1)</f>
        <v/>
      </c>
    </row>
    <row r="2760">
      <c r="B2760" t="str">
        <f>IFERROR(IF(A2760="","","="&amp;SUBSTITUTE(SUBSTITUTE(SUBSTITUTE(A2760,"~","~~"),"*","~*"),"?","~?")),"")</f>
        <v/>
      </c>
      <c r="C2760" t="str">
        <f>IF($B2760="","",SUMIFS(dAmt,dCust,$B2760,dPer,"&gt;="&amp;pyFrom,dPer,"&lt;="&amp;pyTo,dAmt,"&gt;-1E+300",dFlt1,critFlt1,dFlt2,critFlt2,dFlt3,critFlt3))</f>
        <v/>
      </c>
      <c r="D2760" t="str">
        <f>IF($B2760="","",SUMIFS(dAmt,dCust,$B2760,dPer,"&gt;="&amp;cyFrom,dPer,"&lt;="&amp;cyTo,dAmt,"&gt;-1E+300",dFlt1,critFlt1,dFlt2,critFlt2,dFlt3,critFlt3))</f>
        <v/>
      </c>
      <c r="E2760" t="str">
        <f>IF($B2760="","",SUMIFS(dQty,dCust,$B2760,dPer,"&gt;="&amp;pyFrom,dPer,"&lt;="&amp;pyTo,dQty,"&gt;-1E+300",dFlt1,critFlt1,dFlt2,critFlt2,dFlt3,critFlt3))</f>
        <v/>
      </c>
      <c r="F2760" t="str">
        <f>IF($B2760="","",SUMIFS(dQty,dCust,$B2760,dPer,"&gt;="&amp;cyFrom,dPer,"&lt;="&amp;cyTo,dQty,"&gt;-1E+300",dFlt1,critFlt1,dFlt2,critFlt2,dFlt3,critFlt3))</f>
        <v/>
      </c>
      <c r="G2760">
        <f>IF($B2760="",0,IFERROR(IF(OR(C2760&lt;&gt;0,D2760&lt;&gt;0,E2760&lt;&gt;0,F2760&lt;&gt;0),1,0),1))</f>
        <v>0</v>
      </c>
      <c r="H2760" t="str">
        <f>IF(OR(G2760=0,E2760=0),"",C2760/E2760)</f>
        <v/>
      </c>
      <c r="I2760" t="str">
        <f>IF(OR(G2760=0,F2760=0),"",D2760/F2760)</f>
        <v/>
      </c>
      <c r="J2760" t="str">
        <f>IF(OR(H2760="",I2760=""),"",IF(H2760=0,"",I2760/H2760-1))</f>
        <v/>
      </c>
      <c r="K2760" t="str">
        <f>IF($B2760="","",IFERROR(IF(G2760=0,-2E+300,CHOOSE(sortIdx,ROUND(D2760,0),IF(J2760="",-1E+300,ROUND(-J2760,6)),IF(J2760="",-1E+300,ROUND(J2760,6)))),-1.5E+300))</f>
        <v/>
      </c>
      <c r="L2760" t="str">
        <f>IF(K2760="","",RANK(K2760,$K$2:$K$3001,0)+COUNTIF($K$2:K2760,K2760)-1)</f>
        <v/>
      </c>
    </row>
    <row r="2761">
      <c r="B2761" t="str">
        <f>IFERROR(IF(A2761="","","="&amp;SUBSTITUTE(SUBSTITUTE(SUBSTITUTE(A2761,"~","~~"),"*","~*"),"?","~?")),"")</f>
        <v/>
      </c>
      <c r="C2761" t="str">
        <f>IF($B2761="","",SUMIFS(dAmt,dCust,$B2761,dPer,"&gt;="&amp;pyFrom,dPer,"&lt;="&amp;pyTo,dAmt,"&gt;-1E+300",dFlt1,critFlt1,dFlt2,critFlt2,dFlt3,critFlt3))</f>
        <v/>
      </c>
      <c r="D2761" t="str">
        <f>IF($B2761="","",SUMIFS(dAmt,dCust,$B2761,dPer,"&gt;="&amp;cyFrom,dPer,"&lt;="&amp;cyTo,dAmt,"&gt;-1E+300",dFlt1,critFlt1,dFlt2,critFlt2,dFlt3,critFlt3))</f>
        <v/>
      </c>
      <c r="E2761" t="str">
        <f>IF($B2761="","",SUMIFS(dQty,dCust,$B2761,dPer,"&gt;="&amp;pyFrom,dPer,"&lt;="&amp;pyTo,dQty,"&gt;-1E+300",dFlt1,critFlt1,dFlt2,critFlt2,dFlt3,critFlt3))</f>
        <v/>
      </c>
      <c r="F2761" t="str">
        <f>IF($B2761="","",SUMIFS(dQty,dCust,$B2761,dPer,"&gt;="&amp;cyFrom,dPer,"&lt;="&amp;cyTo,dQty,"&gt;-1E+300",dFlt1,critFlt1,dFlt2,critFlt2,dFlt3,critFlt3))</f>
        <v/>
      </c>
      <c r="G2761">
        <f>IF($B2761="",0,IFERROR(IF(OR(C2761&lt;&gt;0,D2761&lt;&gt;0,E2761&lt;&gt;0,F2761&lt;&gt;0),1,0),1))</f>
        <v>0</v>
      </c>
      <c r="H2761" t="str">
        <f>IF(OR(G2761=0,E2761=0),"",C2761/E2761)</f>
        <v/>
      </c>
      <c r="I2761" t="str">
        <f>IF(OR(G2761=0,F2761=0),"",D2761/F2761)</f>
        <v/>
      </c>
      <c r="J2761" t="str">
        <f>IF(OR(H2761="",I2761=""),"",IF(H2761=0,"",I2761/H2761-1))</f>
        <v/>
      </c>
      <c r="K2761" t="str">
        <f>IF($B2761="","",IFERROR(IF(G2761=0,-2E+300,CHOOSE(sortIdx,ROUND(D2761,0),IF(J2761="",-1E+300,ROUND(-J2761,6)),IF(J2761="",-1E+300,ROUND(J2761,6)))),-1.5E+300))</f>
        <v/>
      </c>
      <c r="L2761" t="str">
        <f>IF(K2761="","",RANK(K2761,$K$2:$K$3001,0)+COUNTIF($K$2:K2761,K2761)-1)</f>
        <v/>
      </c>
    </row>
    <row r="2762">
      <c r="B2762" t="str">
        <f>IFERROR(IF(A2762="","","="&amp;SUBSTITUTE(SUBSTITUTE(SUBSTITUTE(A2762,"~","~~"),"*","~*"),"?","~?")),"")</f>
        <v/>
      </c>
      <c r="C2762" t="str">
        <f>IF($B2762="","",SUMIFS(dAmt,dCust,$B2762,dPer,"&gt;="&amp;pyFrom,dPer,"&lt;="&amp;pyTo,dAmt,"&gt;-1E+300",dFlt1,critFlt1,dFlt2,critFlt2,dFlt3,critFlt3))</f>
        <v/>
      </c>
      <c r="D2762" t="str">
        <f>IF($B2762="","",SUMIFS(dAmt,dCust,$B2762,dPer,"&gt;="&amp;cyFrom,dPer,"&lt;="&amp;cyTo,dAmt,"&gt;-1E+300",dFlt1,critFlt1,dFlt2,critFlt2,dFlt3,critFlt3))</f>
        <v/>
      </c>
      <c r="E2762" t="str">
        <f>IF($B2762="","",SUMIFS(dQty,dCust,$B2762,dPer,"&gt;="&amp;pyFrom,dPer,"&lt;="&amp;pyTo,dQty,"&gt;-1E+300",dFlt1,critFlt1,dFlt2,critFlt2,dFlt3,critFlt3))</f>
        <v/>
      </c>
      <c r="F2762" t="str">
        <f>IF($B2762="","",SUMIFS(dQty,dCust,$B2762,dPer,"&gt;="&amp;cyFrom,dPer,"&lt;="&amp;cyTo,dQty,"&gt;-1E+300",dFlt1,critFlt1,dFlt2,critFlt2,dFlt3,critFlt3))</f>
        <v/>
      </c>
      <c r="G2762">
        <f>IF($B2762="",0,IFERROR(IF(OR(C2762&lt;&gt;0,D2762&lt;&gt;0,E2762&lt;&gt;0,F2762&lt;&gt;0),1,0),1))</f>
        <v>0</v>
      </c>
      <c r="H2762" t="str">
        <f>IF(OR(G2762=0,E2762=0),"",C2762/E2762)</f>
        <v/>
      </c>
      <c r="I2762" t="str">
        <f>IF(OR(G2762=0,F2762=0),"",D2762/F2762)</f>
        <v/>
      </c>
      <c r="J2762" t="str">
        <f>IF(OR(H2762="",I2762=""),"",IF(H2762=0,"",I2762/H2762-1))</f>
        <v/>
      </c>
      <c r="K2762" t="str">
        <f>IF($B2762="","",IFERROR(IF(G2762=0,-2E+300,CHOOSE(sortIdx,ROUND(D2762,0),IF(J2762="",-1E+300,ROUND(-J2762,6)),IF(J2762="",-1E+300,ROUND(J2762,6)))),-1.5E+300))</f>
        <v/>
      </c>
      <c r="L2762" t="str">
        <f>IF(K2762="","",RANK(K2762,$K$2:$K$3001,0)+COUNTIF($K$2:K2762,K2762)-1)</f>
        <v/>
      </c>
    </row>
    <row r="2763">
      <c r="B2763" t="str">
        <f>IFERROR(IF(A2763="","","="&amp;SUBSTITUTE(SUBSTITUTE(SUBSTITUTE(A2763,"~","~~"),"*","~*"),"?","~?")),"")</f>
        <v/>
      </c>
      <c r="C2763" t="str">
        <f>IF($B2763="","",SUMIFS(dAmt,dCust,$B2763,dPer,"&gt;="&amp;pyFrom,dPer,"&lt;="&amp;pyTo,dAmt,"&gt;-1E+300",dFlt1,critFlt1,dFlt2,critFlt2,dFlt3,critFlt3))</f>
        <v/>
      </c>
      <c r="D2763" t="str">
        <f>IF($B2763="","",SUMIFS(dAmt,dCust,$B2763,dPer,"&gt;="&amp;cyFrom,dPer,"&lt;="&amp;cyTo,dAmt,"&gt;-1E+300",dFlt1,critFlt1,dFlt2,critFlt2,dFlt3,critFlt3))</f>
        <v/>
      </c>
      <c r="E2763" t="str">
        <f>IF($B2763="","",SUMIFS(dQty,dCust,$B2763,dPer,"&gt;="&amp;pyFrom,dPer,"&lt;="&amp;pyTo,dQty,"&gt;-1E+300",dFlt1,critFlt1,dFlt2,critFlt2,dFlt3,critFlt3))</f>
        <v/>
      </c>
      <c r="F2763" t="str">
        <f>IF($B2763="","",SUMIFS(dQty,dCust,$B2763,dPer,"&gt;="&amp;cyFrom,dPer,"&lt;="&amp;cyTo,dQty,"&gt;-1E+300",dFlt1,critFlt1,dFlt2,critFlt2,dFlt3,critFlt3))</f>
        <v/>
      </c>
      <c r="G2763">
        <f>IF($B2763="",0,IFERROR(IF(OR(C2763&lt;&gt;0,D2763&lt;&gt;0,E2763&lt;&gt;0,F2763&lt;&gt;0),1,0),1))</f>
        <v>0</v>
      </c>
      <c r="H2763" t="str">
        <f>IF(OR(G2763=0,E2763=0),"",C2763/E2763)</f>
        <v/>
      </c>
      <c r="I2763" t="str">
        <f>IF(OR(G2763=0,F2763=0),"",D2763/F2763)</f>
        <v/>
      </c>
      <c r="J2763" t="str">
        <f>IF(OR(H2763="",I2763=""),"",IF(H2763=0,"",I2763/H2763-1))</f>
        <v/>
      </c>
      <c r="K2763" t="str">
        <f>IF($B2763="","",IFERROR(IF(G2763=0,-2E+300,CHOOSE(sortIdx,ROUND(D2763,0),IF(J2763="",-1E+300,ROUND(-J2763,6)),IF(J2763="",-1E+300,ROUND(J2763,6)))),-1.5E+300))</f>
        <v/>
      </c>
      <c r="L2763" t="str">
        <f>IF(K2763="","",RANK(K2763,$K$2:$K$3001,0)+COUNTIF($K$2:K2763,K2763)-1)</f>
        <v/>
      </c>
    </row>
    <row r="2764">
      <c r="B2764" t="str">
        <f>IFERROR(IF(A2764="","","="&amp;SUBSTITUTE(SUBSTITUTE(SUBSTITUTE(A2764,"~","~~"),"*","~*"),"?","~?")),"")</f>
        <v/>
      </c>
      <c r="C2764" t="str">
        <f>IF($B2764="","",SUMIFS(dAmt,dCust,$B2764,dPer,"&gt;="&amp;pyFrom,dPer,"&lt;="&amp;pyTo,dAmt,"&gt;-1E+300",dFlt1,critFlt1,dFlt2,critFlt2,dFlt3,critFlt3))</f>
        <v/>
      </c>
      <c r="D2764" t="str">
        <f>IF($B2764="","",SUMIFS(dAmt,dCust,$B2764,dPer,"&gt;="&amp;cyFrom,dPer,"&lt;="&amp;cyTo,dAmt,"&gt;-1E+300",dFlt1,critFlt1,dFlt2,critFlt2,dFlt3,critFlt3))</f>
        <v/>
      </c>
      <c r="E2764" t="str">
        <f>IF($B2764="","",SUMIFS(dQty,dCust,$B2764,dPer,"&gt;="&amp;pyFrom,dPer,"&lt;="&amp;pyTo,dQty,"&gt;-1E+300",dFlt1,critFlt1,dFlt2,critFlt2,dFlt3,critFlt3))</f>
        <v/>
      </c>
      <c r="F2764" t="str">
        <f>IF($B2764="","",SUMIFS(dQty,dCust,$B2764,dPer,"&gt;="&amp;cyFrom,dPer,"&lt;="&amp;cyTo,dQty,"&gt;-1E+300",dFlt1,critFlt1,dFlt2,critFlt2,dFlt3,critFlt3))</f>
        <v/>
      </c>
      <c r="G2764">
        <f>IF($B2764="",0,IFERROR(IF(OR(C2764&lt;&gt;0,D2764&lt;&gt;0,E2764&lt;&gt;0,F2764&lt;&gt;0),1,0),1))</f>
        <v>0</v>
      </c>
      <c r="H2764" t="str">
        <f>IF(OR(G2764=0,E2764=0),"",C2764/E2764)</f>
        <v/>
      </c>
      <c r="I2764" t="str">
        <f>IF(OR(G2764=0,F2764=0),"",D2764/F2764)</f>
        <v/>
      </c>
      <c r="J2764" t="str">
        <f>IF(OR(H2764="",I2764=""),"",IF(H2764=0,"",I2764/H2764-1))</f>
        <v/>
      </c>
      <c r="K2764" t="str">
        <f>IF($B2764="","",IFERROR(IF(G2764=0,-2E+300,CHOOSE(sortIdx,ROUND(D2764,0),IF(J2764="",-1E+300,ROUND(-J2764,6)),IF(J2764="",-1E+300,ROUND(J2764,6)))),-1.5E+300))</f>
        <v/>
      </c>
      <c r="L2764" t="str">
        <f>IF(K2764="","",RANK(K2764,$K$2:$K$3001,0)+COUNTIF($K$2:K2764,K2764)-1)</f>
        <v/>
      </c>
    </row>
    <row r="2765">
      <c r="B2765" t="str">
        <f>IFERROR(IF(A2765="","","="&amp;SUBSTITUTE(SUBSTITUTE(SUBSTITUTE(A2765,"~","~~"),"*","~*"),"?","~?")),"")</f>
        <v/>
      </c>
      <c r="C2765" t="str">
        <f>IF($B2765="","",SUMIFS(dAmt,dCust,$B2765,dPer,"&gt;="&amp;pyFrom,dPer,"&lt;="&amp;pyTo,dAmt,"&gt;-1E+300",dFlt1,critFlt1,dFlt2,critFlt2,dFlt3,critFlt3))</f>
        <v/>
      </c>
      <c r="D2765" t="str">
        <f>IF($B2765="","",SUMIFS(dAmt,dCust,$B2765,dPer,"&gt;="&amp;cyFrom,dPer,"&lt;="&amp;cyTo,dAmt,"&gt;-1E+300",dFlt1,critFlt1,dFlt2,critFlt2,dFlt3,critFlt3))</f>
        <v/>
      </c>
      <c r="E2765" t="str">
        <f>IF($B2765="","",SUMIFS(dQty,dCust,$B2765,dPer,"&gt;="&amp;pyFrom,dPer,"&lt;="&amp;pyTo,dQty,"&gt;-1E+300",dFlt1,critFlt1,dFlt2,critFlt2,dFlt3,critFlt3))</f>
        <v/>
      </c>
      <c r="F2765" t="str">
        <f>IF($B2765="","",SUMIFS(dQty,dCust,$B2765,dPer,"&gt;="&amp;cyFrom,dPer,"&lt;="&amp;cyTo,dQty,"&gt;-1E+300",dFlt1,critFlt1,dFlt2,critFlt2,dFlt3,critFlt3))</f>
        <v/>
      </c>
      <c r="G2765">
        <f>IF($B2765="",0,IFERROR(IF(OR(C2765&lt;&gt;0,D2765&lt;&gt;0,E2765&lt;&gt;0,F2765&lt;&gt;0),1,0),1))</f>
        <v>0</v>
      </c>
      <c r="H2765" t="str">
        <f>IF(OR(G2765=0,E2765=0),"",C2765/E2765)</f>
        <v/>
      </c>
      <c r="I2765" t="str">
        <f>IF(OR(G2765=0,F2765=0),"",D2765/F2765)</f>
        <v/>
      </c>
      <c r="J2765" t="str">
        <f>IF(OR(H2765="",I2765=""),"",IF(H2765=0,"",I2765/H2765-1))</f>
        <v/>
      </c>
      <c r="K2765" t="str">
        <f>IF($B2765="","",IFERROR(IF(G2765=0,-2E+300,CHOOSE(sortIdx,ROUND(D2765,0),IF(J2765="",-1E+300,ROUND(-J2765,6)),IF(J2765="",-1E+300,ROUND(J2765,6)))),-1.5E+300))</f>
        <v/>
      </c>
      <c r="L2765" t="str">
        <f>IF(K2765="","",RANK(K2765,$K$2:$K$3001,0)+COUNTIF($K$2:K2765,K2765)-1)</f>
        <v/>
      </c>
    </row>
    <row r="2766">
      <c r="B2766" t="str">
        <f>IFERROR(IF(A2766="","","="&amp;SUBSTITUTE(SUBSTITUTE(SUBSTITUTE(A2766,"~","~~"),"*","~*"),"?","~?")),"")</f>
        <v/>
      </c>
      <c r="C2766" t="str">
        <f>IF($B2766="","",SUMIFS(dAmt,dCust,$B2766,dPer,"&gt;="&amp;pyFrom,dPer,"&lt;="&amp;pyTo,dAmt,"&gt;-1E+300",dFlt1,critFlt1,dFlt2,critFlt2,dFlt3,critFlt3))</f>
        <v/>
      </c>
      <c r="D2766" t="str">
        <f>IF($B2766="","",SUMIFS(dAmt,dCust,$B2766,dPer,"&gt;="&amp;cyFrom,dPer,"&lt;="&amp;cyTo,dAmt,"&gt;-1E+300",dFlt1,critFlt1,dFlt2,critFlt2,dFlt3,critFlt3))</f>
        <v/>
      </c>
      <c r="E2766" t="str">
        <f>IF($B2766="","",SUMIFS(dQty,dCust,$B2766,dPer,"&gt;="&amp;pyFrom,dPer,"&lt;="&amp;pyTo,dQty,"&gt;-1E+300",dFlt1,critFlt1,dFlt2,critFlt2,dFlt3,critFlt3))</f>
        <v/>
      </c>
      <c r="F2766" t="str">
        <f>IF($B2766="","",SUMIFS(dQty,dCust,$B2766,dPer,"&gt;="&amp;cyFrom,dPer,"&lt;="&amp;cyTo,dQty,"&gt;-1E+300",dFlt1,critFlt1,dFlt2,critFlt2,dFlt3,critFlt3))</f>
        <v/>
      </c>
      <c r="G2766">
        <f>IF($B2766="",0,IFERROR(IF(OR(C2766&lt;&gt;0,D2766&lt;&gt;0,E2766&lt;&gt;0,F2766&lt;&gt;0),1,0),1))</f>
        <v>0</v>
      </c>
      <c r="H2766" t="str">
        <f>IF(OR(G2766=0,E2766=0),"",C2766/E2766)</f>
        <v/>
      </c>
      <c r="I2766" t="str">
        <f>IF(OR(G2766=0,F2766=0),"",D2766/F2766)</f>
        <v/>
      </c>
      <c r="J2766" t="str">
        <f>IF(OR(H2766="",I2766=""),"",IF(H2766=0,"",I2766/H2766-1))</f>
        <v/>
      </c>
      <c r="K2766" t="str">
        <f>IF($B2766="","",IFERROR(IF(G2766=0,-2E+300,CHOOSE(sortIdx,ROUND(D2766,0),IF(J2766="",-1E+300,ROUND(-J2766,6)),IF(J2766="",-1E+300,ROUND(J2766,6)))),-1.5E+300))</f>
        <v/>
      </c>
      <c r="L2766" t="str">
        <f>IF(K2766="","",RANK(K2766,$K$2:$K$3001,0)+COUNTIF($K$2:K2766,K2766)-1)</f>
        <v/>
      </c>
    </row>
    <row r="2767">
      <c r="B2767" t="str">
        <f>IFERROR(IF(A2767="","","="&amp;SUBSTITUTE(SUBSTITUTE(SUBSTITUTE(A2767,"~","~~"),"*","~*"),"?","~?")),"")</f>
        <v/>
      </c>
      <c r="C2767" t="str">
        <f>IF($B2767="","",SUMIFS(dAmt,dCust,$B2767,dPer,"&gt;="&amp;pyFrom,dPer,"&lt;="&amp;pyTo,dAmt,"&gt;-1E+300",dFlt1,critFlt1,dFlt2,critFlt2,dFlt3,critFlt3))</f>
        <v/>
      </c>
      <c r="D2767" t="str">
        <f>IF($B2767="","",SUMIFS(dAmt,dCust,$B2767,dPer,"&gt;="&amp;cyFrom,dPer,"&lt;="&amp;cyTo,dAmt,"&gt;-1E+300",dFlt1,critFlt1,dFlt2,critFlt2,dFlt3,critFlt3))</f>
        <v/>
      </c>
      <c r="E2767" t="str">
        <f>IF($B2767="","",SUMIFS(dQty,dCust,$B2767,dPer,"&gt;="&amp;pyFrom,dPer,"&lt;="&amp;pyTo,dQty,"&gt;-1E+300",dFlt1,critFlt1,dFlt2,critFlt2,dFlt3,critFlt3))</f>
        <v/>
      </c>
      <c r="F2767" t="str">
        <f>IF($B2767="","",SUMIFS(dQty,dCust,$B2767,dPer,"&gt;="&amp;cyFrom,dPer,"&lt;="&amp;cyTo,dQty,"&gt;-1E+300",dFlt1,critFlt1,dFlt2,critFlt2,dFlt3,critFlt3))</f>
        <v/>
      </c>
      <c r="G2767">
        <f>IF($B2767="",0,IFERROR(IF(OR(C2767&lt;&gt;0,D2767&lt;&gt;0,E2767&lt;&gt;0,F2767&lt;&gt;0),1,0),1))</f>
        <v>0</v>
      </c>
      <c r="H2767" t="str">
        <f>IF(OR(G2767=0,E2767=0),"",C2767/E2767)</f>
        <v/>
      </c>
      <c r="I2767" t="str">
        <f>IF(OR(G2767=0,F2767=0),"",D2767/F2767)</f>
        <v/>
      </c>
      <c r="J2767" t="str">
        <f>IF(OR(H2767="",I2767=""),"",IF(H2767=0,"",I2767/H2767-1))</f>
        <v/>
      </c>
      <c r="K2767" t="str">
        <f>IF($B2767="","",IFERROR(IF(G2767=0,-2E+300,CHOOSE(sortIdx,ROUND(D2767,0),IF(J2767="",-1E+300,ROUND(-J2767,6)),IF(J2767="",-1E+300,ROUND(J2767,6)))),-1.5E+300))</f>
        <v/>
      </c>
      <c r="L2767" t="str">
        <f>IF(K2767="","",RANK(K2767,$K$2:$K$3001,0)+COUNTIF($K$2:K2767,K2767)-1)</f>
        <v/>
      </c>
    </row>
    <row r="2768">
      <c r="B2768" t="str">
        <f>IFERROR(IF(A2768="","","="&amp;SUBSTITUTE(SUBSTITUTE(SUBSTITUTE(A2768,"~","~~"),"*","~*"),"?","~?")),"")</f>
        <v/>
      </c>
      <c r="C2768" t="str">
        <f>IF($B2768="","",SUMIFS(dAmt,dCust,$B2768,dPer,"&gt;="&amp;pyFrom,dPer,"&lt;="&amp;pyTo,dAmt,"&gt;-1E+300",dFlt1,critFlt1,dFlt2,critFlt2,dFlt3,critFlt3))</f>
        <v/>
      </c>
      <c r="D2768" t="str">
        <f>IF($B2768="","",SUMIFS(dAmt,dCust,$B2768,dPer,"&gt;="&amp;cyFrom,dPer,"&lt;="&amp;cyTo,dAmt,"&gt;-1E+300",dFlt1,critFlt1,dFlt2,critFlt2,dFlt3,critFlt3))</f>
        <v/>
      </c>
      <c r="E2768" t="str">
        <f>IF($B2768="","",SUMIFS(dQty,dCust,$B2768,dPer,"&gt;="&amp;pyFrom,dPer,"&lt;="&amp;pyTo,dQty,"&gt;-1E+300",dFlt1,critFlt1,dFlt2,critFlt2,dFlt3,critFlt3))</f>
        <v/>
      </c>
      <c r="F2768" t="str">
        <f>IF($B2768="","",SUMIFS(dQty,dCust,$B2768,dPer,"&gt;="&amp;cyFrom,dPer,"&lt;="&amp;cyTo,dQty,"&gt;-1E+300",dFlt1,critFlt1,dFlt2,critFlt2,dFlt3,critFlt3))</f>
        <v/>
      </c>
      <c r="G2768">
        <f>IF($B2768="",0,IFERROR(IF(OR(C2768&lt;&gt;0,D2768&lt;&gt;0,E2768&lt;&gt;0,F2768&lt;&gt;0),1,0),1))</f>
        <v>0</v>
      </c>
      <c r="H2768" t="str">
        <f>IF(OR(G2768=0,E2768=0),"",C2768/E2768)</f>
        <v/>
      </c>
      <c r="I2768" t="str">
        <f>IF(OR(G2768=0,F2768=0),"",D2768/F2768)</f>
        <v/>
      </c>
      <c r="J2768" t="str">
        <f>IF(OR(H2768="",I2768=""),"",IF(H2768=0,"",I2768/H2768-1))</f>
        <v/>
      </c>
      <c r="K2768" t="str">
        <f>IF($B2768="","",IFERROR(IF(G2768=0,-2E+300,CHOOSE(sortIdx,ROUND(D2768,0),IF(J2768="",-1E+300,ROUND(-J2768,6)),IF(J2768="",-1E+300,ROUND(J2768,6)))),-1.5E+300))</f>
        <v/>
      </c>
      <c r="L2768" t="str">
        <f>IF(K2768="","",RANK(K2768,$K$2:$K$3001,0)+COUNTIF($K$2:K2768,K2768)-1)</f>
        <v/>
      </c>
    </row>
    <row r="2769">
      <c r="B2769" t="str">
        <f>IFERROR(IF(A2769="","","="&amp;SUBSTITUTE(SUBSTITUTE(SUBSTITUTE(A2769,"~","~~"),"*","~*"),"?","~?")),"")</f>
        <v/>
      </c>
      <c r="C2769" t="str">
        <f>IF($B2769="","",SUMIFS(dAmt,dCust,$B2769,dPer,"&gt;="&amp;pyFrom,dPer,"&lt;="&amp;pyTo,dAmt,"&gt;-1E+300",dFlt1,critFlt1,dFlt2,critFlt2,dFlt3,critFlt3))</f>
        <v/>
      </c>
      <c r="D2769" t="str">
        <f>IF($B2769="","",SUMIFS(dAmt,dCust,$B2769,dPer,"&gt;="&amp;cyFrom,dPer,"&lt;="&amp;cyTo,dAmt,"&gt;-1E+300",dFlt1,critFlt1,dFlt2,critFlt2,dFlt3,critFlt3))</f>
        <v/>
      </c>
      <c r="E2769" t="str">
        <f>IF($B2769="","",SUMIFS(dQty,dCust,$B2769,dPer,"&gt;="&amp;pyFrom,dPer,"&lt;="&amp;pyTo,dQty,"&gt;-1E+300",dFlt1,critFlt1,dFlt2,critFlt2,dFlt3,critFlt3))</f>
        <v/>
      </c>
      <c r="F2769" t="str">
        <f>IF($B2769="","",SUMIFS(dQty,dCust,$B2769,dPer,"&gt;="&amp;cyFrom,dPer,"&lt;="&amp;cyTo,dQty,"&gt;-1E+300",dFlt1,critFlt1,dFlt2,critFlt2,dFlt3,critFlt3))</f>
        <v/>
      </c>
      <c r="G2769">
        <f>IF($B2769="",0,IFERROR(IF(OR(C2769&lt;&gt;0,D2769&lt;&gt;0,E2769&lt;&gt;0,F2769&lt;&gt;0),1,0),1))</f>
        <v>0</v>
      </c>
      <c r="H2769" t="str">
        <f>IF(OR(G2769=0,E2769=0),"",C2769/E2769)</f>
        <v/>
      </c>
      <c r="I2769" t="str">
        <f>IF(OR(G2769=0,F2769=0),"",D2769/F2769)</f>
        <v/>
      </c>
      <c r="J2769" t="str">
        <f>IF(OR(H2769="",I2769=""),"",IF(H2769=0,"",I2769/H2769-1))</f>
        <v/>
      </c>
      <c r="K2769" t="str">
        <f>IF($B2769="","",IFERROR(IF(G2769=0,-2E+300,CHOOSE(sortIdx,ROUND(D2769,0),IF(J2769="",-1E+300,ROUND(-J2769,6)),IF(J2769="",-1E+300,ROUND(J2769,6)))),-1.5E+300))</f>
        <v/>
      </c>
      <c r="L2769" t="str">
        <f>IF(K2769="","",RANK(K2769,$K$2:$K$3001,0)+COUNTIF($K$2:K2769,K2769)-1)</f>
        <v/>
      </c>
    </row>
    <row r="2770">
      <c r="B2770" t="str">
        <f>IFERROR(IF(A2770="","","="&amp;SUBSTITUTE(SUBSTITUTE(SUBSTITUTE(A2770,"~","~~"),"*","~*"),"?","~?")),"")</f>
        <v/>
      </c>
      <c r="C2770" t="str">
        <f>IF($B2770="","",SUMIFS(dAmt,dCust,$B2770,dPer,"&gt;="&amp;pyFrom,dPer,"&lt;="&amp;pyTo,dAmt,"&gt;-1E+300",dFlt1,critFlt1,dFlt2,critFlt2,dFlt3,critFlt3))</f>
        <v/>
      </c>
      <c r="D2770" t="str">
        <f>IF($B2770="","",SUMIFS(dAmt,dCust,$B2770,dPer,"&gt;="&amp;cyFrom,dPer,"&lt;="&amp;cyTo,dAmt,"&gt;-1E+300",dFlt1,critFlt1,dFlt2,critFlt2,dFlt3,critFlt3))</f>
        <v/>
      </c>
      <c r="E2770" t="str">
        <f>IF($B2770="","",SUMIFS(dQty,dCust,$B2770,dPer,"&gt;="&amp;pyFrom,dPer,"&lt;="&amp;pyTo,dQty,"&gt;-1E+300",dFlt1,critFlt1,dFlt2,critFlt2,dFlt3,critFlt3))</f>
        <v/>
      </c>
      <c r="F2770" t="str">
        <f>IF($B2770="","",SUMIFS(dQty,dCust,$B2770,dPer,"&gt;="&amp;cyFrom,dPer,"&lt;="&amp;cyTo,dQty,"&gt;-1E+300",dFlt1,critFlt1,dFlt2,critFlt2,dFlt3,critFlt3))</f>
        <v/>
      </c>
      <c r="G2770">
        <f>IF($B2770="",0,IFERROR(IF(OR(C2770&lt;&gt;0,D2770&lt;&gt;0,E2770&lt;&gt;0,F2770&lt;&gt;0),1,0),1))</f>
        <v>0</v>
      </c>
      <c r="H2770" t="str">
        <f>IF(OR(G2770=0,E2770=0),"",C2770/E2770)</f>
        <v/>
      </c>
      <c r="I2770" t="str">
        <f>IF(OR(G2770=0,F2770=0),"",D2770/F2770)</f>
        <v/>
      </c>
      <c r="J2770" t="str">
        <f>IF(OR(H2770="",I2770=""),"",IF(H2770=0,"",I2770/H2770-1))</f>
        <v/>
      </c>
      <c r="K2770" t="str">
        <f>IF($B2770="","",IFERROR(IF(G2770=0,-2E+300,CHOOSE(sortIdx,ROUND(D2770,0),IF(J2770="",-1E+300,ROUND(-J2770,6)),IF(J2770="",-1E+300,ROUND(J2770,6)))),-1.5E+300))</f>
        <v/>
      </c>
      <c r="L2770" t="str">
        <f>IF(K2770="","",RANK(K2770,$K$2:$K$3001,0)+COUNTIF($K$2:K2770,K2770)-1)</f>
        <v/>
      </c>
    </row>
    <row r="2771">
      <c r="B2771" t="str">
        <f>IFERROR(IF(A2771="","","="&amp;SUBSTITUTE(SUBSTITUTE(SUBSTITUTE(A2771,"~","~~"),"*","~*"),"?","~?")),"")</f>
        <v/>
      </c>
      <c r="C2771" t="str">
        <f>IF($B2771="","",SUMIFS(dAmt,dCust,$B2771,dPer,"&gt;="&amp;pyFrom,dPer,"&lt;="&amp;pyTo,dAmt,"&gt;-1E+300",dFlt1,critFlt1,dFlt2,critFlt2,dFlt3,critFlt3))</f>
        <v/>
      </c>
      <c r="D2771" t="str">
        <f>IF($B2771="","",SUMIFS(dAmt,dCust,$B2771,dPer,"&gt;="&amp;cyFrom,dPer,"&lt;="&amp;cyTo,dAmt,"&gt;-1E+300",dFlt1,critFlt1,dFlt2,critFlt2,dFlt3,critFlt3))</f>
        <v/>
      </c>
      <c r="E2771" t="str">
        <f>IF($B2771="","",SUMIFS(dQty,dCust,$B2771,dPer,"&gt;="&amp;pyFrom,dPer,"&lt;="&amp;pyTo,dQty,"&gt;-1E+300",dFlt1,critFlt1,dFlt2,critFlt2,dFlt3,critFlt3))</f>
        <v/>
      </c>
      <c r="F2771" t="str">
        <f>IF($B2771="","",SUMIFS(dQty,dCust,$B2771,dPer,"&gt;="&amp;cyFrom,dPer,"&lt;="&amp;cyTo,dQty,"&gt;-1E+300",dFlt1,critFlt1,dFlt2,critFlt2,dFlt3,critFlt3))</f>
        <v/>
      </c>
      <c r="G2771">
        <f>IF($B2771="",0,IFERROR(IF(OR(C2771&lt;&gt;0,D2771&lt;&gt;0,E2771&lt;&gt;0,F2771&lt;&gt;0),1,0),1))</f>
        <v>0</v>
      </c>
      <c r="H2771" t="str">
        <f>IF(OR(G2771=0,E2771=0),"",C2771/E2771)</f>
        <v/>
      </c>
      <c r="I2771" t="str">
        <f>IF(OR(G2771=0,F2771=0),"",D2771/F2771)</f>
        <v/>
      </c>
      <c r="J2771" t="str">
        <f>IF(OR(H2771="",I2771=""),"",IF(H2771=0,"",I2771/H2771-1))</f>
        <v/>
      </c>
      <c r="K2771" t="str">
        <f>IF($B2771="","",IFERROR(IF(G2771=0,-2E+300,CHOOSE(sortIdx,ROUND(D2771,0),IF(J2771="",-1E+300,ROUND(-J2771,6)),IF(J2771="",-1E+300,ROUND(J2771,6)))),-1.5E+300))</f>
        <v/>
      </c>
      <c r="L2771" t="str">
        <f>IF(K2771="","",RANK(K2771,$K$2:$K$3001,0)+COUNTIF($K$2:K2771,K2771)-1)</f>
        <v/>
      </c>
    </row>
    <row r="2772">
      <c r="B2772" t="str">
        <f>IFERROR(IF(A2772="","","="&amp;SUBSTITUTE(SUBSTITUTE(SUBSTITUTE(A2772,"~","~~"),"*","~*"),"?","~?")),"")</f>
        <v/>
      </c>
      <c r="C2772" t="str">
        <f>IF($B2772="","",SUMIFS(dAmt,dCust,$B2772,dPer,"&gt;="&amp;pyFrom,dPer,"&lt;="&amp;pyTo,dAmt,"&gt;-1E+300",dFlt1,critFlt1,dFlt2,critFlt2,dFlt3,critFlt3))</f>
        <v/>
      </c>
      <c r="D2772" t="str">
        <f>IF($B2772="","",SUMIFS(dAmt,dCust,$B2772,dPer,"&gt;="&amp;cyFrom,dPer,"&lt;="&amp;cyTo,dAmt,"&gt;-1E+300",dFlt1,critFlt1,dFlt2,critFlt2,dFlt3,critFlt3))</f>
        <v/>
      </c>
      <c r="E2772" t="str">
        <f>IF($B2772="","",SUMIFS(dQty,dCust,$B2772,dPer,"&gt;="&amp;pyFrom,dPer,"&lt;="&amp;pyTo,dQty,"&gt;-1E+300",dFlt1,critFlt1,dFlt2,critFlt2,dFlt3,critFlt3))</f>
        <v/>
      </c>
      <c r="F2772" t="str">
        <f>IF($B2772="","",SUMIFS(dQty,dCust,$B2772,dPer,"&gt;="&amp;cyFrom,dPer,"&lt;="&amp;cyTo,dQty,"&gt;-1E+300",dFlt1,critFlt1,dFlt2,critFlt2,dFlt3,critFlt3))</f>
        <v/>
      </c>
      <c r="G2772">
        <f>IF($B2772="",0,IFERROR(IF(OR(C2772&lt;&gt;0,D2772&lt;&gt;0,E2772&lt;&gt;0,F2772&lt;&gt;0),1,0),1))</f>
        <v>0</v>
      </c>
      <c r="H2772" t="str">
        <f>IF(OR(G2772=0,E2772=0),"",C2772/E2772)</f>
        <v/>
      </c>
      <c r="I2772" t="str">
        <f>IF(OR(G2772=0,F2772=0),"",D2772/F2772)</f>
        <v/>
      </c>
      <c r="J2772" t="str">
        <f>IF(OR(H2772="",I2772=""),"",IF(H2772=0,"",I2772/H2772-1))</f>
        <v/>
      </c>
      <c r="K2772" t="str">
        <f>IF($B2772="","",IFERROR(IF(G2772=0,-2E+300,CHOOSE(sortIdx,ROUND(D2772,0),IF(J2772="",-1E+300,ROUND(-J2772,6)),IF(J2772="",-1E+300,ROUND(J2772,6)))),-1.5E+300))</f>
        <v/>
      </c>
      <c r="L2772" t="str">
        <f>IF(K2772="","",RANK(K2772,$K$2:$K$3001,0)+COUNTIF($K$2:K2772,K2772)-1)</f>
        <v/>
      </c>
    </row>
    <row r="2773">
      <c r="B2773" t="str">
        <f>IFERROR(IF(A2773="","","="&amp;SUBSTITUTE(SUBSTITUTE(SUBSTITUTE(A2773,"~","~~"),"*","~*"),"?","~?")),"")</f>
        <v/>
      </c>
      <c r="C2773" t="str">
        <f>IF($B2773="","",SUMIFS(dAmt,dCust,$B2773,dPer,"&gt;="&amp;pyFrom,dPer,"&lt;="&amp;pyTo,dAmt,"&gt;-1E+300",dFlt1,critFlt1,dFlt2,critFlt2,dFlt3,critFlt3))</f>
        <v/>
      </c>
      <c r="D2773" t="str">
        <f>IF($B2773="","",SUMIFS(dAmt,dCust,$B2773,dPer,"&gt;="&amp;cyFrom,dPer,"&lt;="&amp;cyTo,dAmt,"&gt;-1E+300",dFlt1,critFlt1,dFlt2,critFlt2,dFlt3,critFlt3))</f>
        <v/>
      </c>
      <c r="E2773" t="str">
        <f>IF($B2773="","",SUMIFS(dQty,dCust,$B2773,dPer,"&gt;="&amp;pyFrom,dPer,"&lt;="&amp;pyTo,dQty,"&gt;-1E+300",dFlt1,critFlt1,dFlt2,critFlt2,dFlt3,critFlt3))</f>
        <v/>
      </c>
      <c r="F2773" t="str">
        <f>IF($B2773="","",SUMIFS(dQty,dCust,$B2773,dPer,"&gt;="&amp;cyFrom,dPer,"&lt;="&amp;cyTo,dQty,"&gt;-1E+300",dFlt1,critFlt1,dFlt2,critFlt2,dFlt3,critFlt3))</f>
        <v/>
      </c>
      <c r="G2773">
        <f>IF($B2773="",0,IFERROR(IF(OR(C2773&lt;&gt;0,D2773&lt;&gt;0,E2773&lt;&gt;0,F2773&lt;&gt;0),1,0),1))</f>
        <v>0</v>
      </c>
      <c r="H2773" t="str">
        <f>IF(OR(G2773=0,E2773=0),"",C2773/E2773)</f>
        <v/>
      </c>
      <c r="I2773" t="str">
        <f>IF(OR(G2773=0,F2773=0),"",D2773/F2773)</f>
        <v/>
      </c>
      <c r="J2773" t="str">
        <f>IF(OR(H2773="",I2773=""),"",IF(H2773=0,"",I2773/H2773-1))</f>
        <v/>
      </c>
      <c r="K2773" t="str">
        <f>IF($B2773="","",IFERROR(IF(G2773=0,-2E+300,CHOOSE(sortIdx,ROUND(D2773,0),IF(J2773="",-1E+300,ROUND(-J2773,6)),IF(J2773="",-1E+300,ROUND(J2773,6)))),-1.5E+300))</f>
        <v/>
      </c>
      <c r="L2773" t="str">
        <f>IF(K2773="","",RANK(K2773,$K$2:$K$3001,0)+COUNTIF($K$2:K2773,K2773)-1)</f>
        <v/>
      </c>
    </row>
    <row r="2774">
      <c r="B2774" t="str">
        <f>IFERROR(IF(A2774="","","="&amp;SUBSTITUTE(SUBSTITUTE(SUBSTITUTE(A2774,"~","~~"),"*","~*"),"?","~?")),"")</f>
        <v/>
      </c>
      <c r="C2774" t="str">
        <f>IF($B2774="","",SUMIFS(dAmt,dCust,$B2774,dPer,"&gt;="&amp;pyFrom,dPer,"&lt;="&amp;pyTo,dAmt,"&gt;-1E+300",dFlt1,critFlt1,dFlt2,critFlt2,dFlt3,critFlt3))</f>
        <v/>
      </c>
      <c r="D2774" t="str">
        <f>IF($B2774="","",SUMIFS(dAmt,dCust,$B2774,dPer,"&gt;="&amp;cyFrom,dPer,"&lt;="&amp;cyTo,dAmt,"&gt;-1E+300",dFlt1,critFlt1,dFlt2,critFlt2,dFlt3,critFlt3))</f>
        <v/>
      </c>
      <c r="E2774" t="str">
        <f>IF($B2774="","",SUMIFS(dQty,dCust,$B2774,dPer,"&gt;="&amp;pyFrom,dPer,"&lt;="&amp;pyTo,dQty,"&gt;-1E+300",dFlt1,critFlt1,dFlt2,critFlt2,dFlt3,critFlt3))</f>
        <v/>
      </c>
      <c r="F2774" t="str">
        <f>IF($B2774="","",SUMIFS(dQty,dCust,$B2774,dPer,"&gt;="&amp;cyFrom,dPer,"&lt;="&amp;cyTo,dQty,"&gt;-1E+300",dFlt1,critFlt1,dFlt2,critFlt2,dFlt3,critFlt3))</f>
        <v/>
      </c>
      <c r="G2774">
        <f>IF($B2774="",0,IFERROR(IF(OR(C2774&lt;&gt;0,D2774&lt;&gt;0,E2774&lt;&gt;0,F2774&lt;&gt;0),1,0),1))</f>
        <v>0</v>
      </c>
      <c r="H2774" t="str">
        <f>IF(OR(G2774=0,E2774=0),"",C2774/E2774)</f>
        <v/>
      </c>
      <c r="I2774" t="str">
        <f>IF(OR(G2774=0,F2774=0),"",D2774/F2774)</f>
        <v/>
      </c>
      <c r="J2774" t="str">
        <f>IF(OR(H2774="",I2774=""),"",IF(H2774=0,"",I2774/H2774-1))</f>
        <v/>
      </c>
      <c r="K2774" t="str">
        <f>IF($B2774="","",IFERROR(IF(G2774=0,-2E+300,CHOOSE(sortIdx,ROUND(D2774,0),IF(J2774="",-1E+300,ROUND(-J2774,6)),IF(J2774="",-1E+300,ROUND(J2774,6)))),-1.5E+300))</f>
        <v/>
      </c>
      <c r="L2774" t="str">
        <f>IF(K2774="","",RANK(K2774,$K$2:$K$3001,0)+COUNTIF($K$2:K2774,K2774)-1)</f>
        <v/>
      </c>
    </row>
    <row r="2775">
      <c r="B2775" t="str">
        <f>IFERROR(IF(A2775="","","="&amp;SUBSTITUTE(SUBSTITUTE(SUBSTITUTE(A2775,"~","~~"),"*","~*"),"?","~?")),"")</f>
        <v/>
      </c>
      <c r="C2775" t="str">
        <f>IF($B2775="","",SUMIFS(dAmt,dCust,$B2775,dPer,"&gt;="&amp;pyFrom,dPer,"&lt;="&amp;pyTo,dAmt,"&gt;-1E+300",dFlt1,critFlt1,dFlt2,critFlt2,dFlt3,critFlt3))</f>
        <v/>
      </c>
      <c r="D2775" t="str">
        <f>IF($B2775="","",SUMIFS(dAmt,dCust,$B2775,dPer,"&gt;="&amp;cyFrom,dPer,"&lt;="&amp;cyTo,dAmt,"&gt;-1E+300",dFlt1,critFlt1,dFlt2,critFlt2,dFlt3,critFlt3))</f>
        <v/>
      </c>
      <c r="E2775" t="str">
        <f>IF($B2775="","",SUMIFS(dQty,dCust,$B2775,dPer,"&gt;="&amp;pyFrom,dPer,"&lt;="&amp;pyTo,dQty,"&gt;-1E+300",dFlt1,critFlt1,dFlt2,critFlt2,dFlt3,critFlt3))</f>
        <v/>
      </c>
      <c r="F2775" t="str">
        <f>IF($B2775="","",SUMIFS(dQty,dCust,$B2775,dPer,"&gt;="&amp;cyFrom,dPer,"&lt;="&amp;cyTo,dQty,"&gt;-1E+300",dFlt1,critFlt1,dFlt2,critFlt2,dFlt3,critFlt3))</f>
        <v/>
      </c>
      <c r="G2775">
        <f>IF($B2775="",0,IFERROR(IF(OR(C2775&lt;&gt;0,D2775&lt;&gt;0,E2775&lt;&gt;0,F2775&lt;&gt;0),1,0),1))</f>
        <v>0</v>
      </c>
      <c r="H2775" t="str">
        <f>IF(OR(G2775=0,E2775=0),"",C2775/E2775)</f>
        <v/>
      </c>
      <c r="I2775" t="str">
        <f>IF(OR(G2775=0,F2775=0),"",D2775/F2775)</f>
        <v/>
      </c>
      <c r="J2775" t="str">
        <f>IF(OR(H2775="",I2775=""),"",IF(H2775=0,"",I2775/H2775-1))</f>
        <v/>
      </c>
      <c r="K2775" t="str">
        <f>IF($B2775="","",IFERROR(IF(G2775=0,-2E+300,CHOOSE(sortIdx,ROUND(D2775,0),IF(J2775="",-1E+300,ROUND(-J2775,6)),IF(J2775="",-1E+300,ROUND(J2775,6)))),-1.5E+300))</f>
        <v/>
      </c>
      <c r="L2775" t="str">
        <f>IF(K2775="","",RANK(K2775,$K$2:$K$3001,0)+COUNTIF($K$2:K2775,K2775)-1)</f>
        <v/>
      </c>
    </row>
    <row r="2776">
      <c r="B2776" t="str">
        <f>IFERROR(IF(A2776="","","="&amp;SUBSTITUTE(SUBSTITUTE(SUBSTITUTE(A2776,"~","~~"),"*","~*"),"?","~?")),"")</f>
        <v/>
      </c>
      <c r="C2776" t="str">
        <f>IF($B2776="","",SUMIFS(dAmt,dCust,$B2776,dPer,"&gt;="&amp;pyFrom,dPer,"&lt;="&amp;pyTo,dAmt,"&gt;-1E+300",dFlt1,critFlt1,dFlt2,critFlt2,dFlt3,critFlt3))</f>
        <v/>
      </c>
      <c r="D2776" t="str">
        <f>IF($B2776="","",SUMIFS(dAmt,dCust,$B2776,dPer,"&gt;="&amp;cyFrom,dPer,"&lt;="&amp;cyTo,dAmt,"&gt;-1E+300",dFlt1,critFlt1,dFlt2,critFlt2,dFlt3,critFlt3))</f>
        <v/>
      </c>
      <c r="E2776" t="str">
        <f>IF($B2776="","",SUMIFS(dQty,dCust,$B2776,dPer,"&gt;="&amp;pyFrom,dPer,"&lt;="&amp;pyTo,dQty,"&gt;-1E+300",dFlt1,critFlt1,dFlt2,critFlt2,dFlt3,critFlt3))</f>
        <v/>
      </c>
      <c r="F2776" t="str">
        <f>IF($B2776="","",SUMIFS(dQty,dCust,$B2776,dPer,"&gt;="&amp;cyFrom,dPer,"&lt;="&amp;cyTo,dQty,"&gt;-1E+300",dFlt1,critFlt1,dFlt2,critFlt2,dFlt3,critFlt3))</f>
        <v/>
      </c>
      <c r="G2776">
        <f>IF($B2776="",0,IFERROR(IF(OR(C2776&lt;&gt;0,D2776&lt;&gt;0,E2776&lt;&gt;0,F2776&lt;&gt;0),1,0),1))</f>
        <v>0</v>
      </c>
      <c r="H2776" t="str">
        <f>IF(OR(G2776=0,E2776=0),"",C2776/E2776)</f>
        <v/>
      </c>
      <c r="I2776" t="str">
        <f>IF(OR(G2776=0,F2776=0),"",D2776/F2776)</f>
        <v/>
      </c>
      <c r="J2776" t="str">
        <f>IF(OR(H2776="",I2776=""),"",IF(H2776=0,"",I2776/H2776-1))</f>
        <v/>
      </c>
      <c r="K2776" t="str">
        <f>IF($B2776="","",IFERROR(IF(G2776=0,-2E+300,CHOOSE(sortIdx,ROUND(D2776,0),IF(J2776="",-1E+300,ROUND(-J2776,6)),IF(J2776="",-1E+300,ROUND(J2776,6)))),-1.5E+300))</f>
        <v/>
      </c>
      <c r="L2776" t="str">
        <f>IF(K2776="","",RANK(K2776,$K$2:$K$3001,0)+COUNTIF($K$2:K2776,K2776)-1)</f>
        <v/>
      </c>
    </row>
    <row r="2777">
      <c r="B2777" t="str">
        <f>IFERROR(IF(A2777="","","="&amp;SUBSTITUTE(SUBSTITUTE(SUBSTITUTE(A2777,"~","~~"),"*","~*"),"?","~?")),"")</f>
        <v/>
      </c>
      <c r="C2777" t="str">
        <f>IF($B2777="","",SUMIFS(dAmt,dCust,$B2777,dPer,"&gt;="&amp;pyFrom,dPer,"&lt;="&amp;pyTo,dAmt,"&gt;-1E+300",dFlt1,critFlt1,dFlt2,critFlt2,dFlt3,critFlt3))</f>
        <v/>
      </c>
      <c r="D2777" t="str">
        <f>IF($B2777="","",SUMIFS(dAmt,dCust,$B2777,dPer,"&gt;="&amp;cyFrom,dPer,"&lt;="&amp;cyTo,dAmt,"&gt;-1E+300",dFlt1,critFlt1,dFlt2,critFlt2,dFlt3,critFlt3))</f>
        <v/>
      </c>
      <c r="E2777" t="str">
        <f>IF($B2777="","",SUMIFS(dQty,dCust,$B2777,dPer,"&gt;="&amp;pyFrom,dPer,"&lt;="&amp;pyTo,dQty,"&gt;-1E+300",dFlt1,critFlt1,dFlt2,critFlt2,dFlt3,critFlt3))</f>
        <v/>
      </c>
      <c r="F2777" t="str">
        <f>IF($B2777="","",SUMIFS(dQty,dCust,$B2777,dPer,"&gt;="&amp;cyFrom,dPer,"&lt;="&amp;cyTo,dQty,"&gt;-1E+300",dFlt1,critFlt1,dFlt2,critFlt2,dFlt3,critFlt3))</f>
        <v/>
      </c>
      <c r="G2777">
        <f>IF($B2777="",0,IFERROR(IF(OR(C2777&lt;&gt;0,D2777&lt;&gt;0,E2777&lt;&gt;0,F2777&lt;&gt;0),1,0),1))</f>
        <v>0</v>
      </c>
      <c r="H2777" t="str">
        <f>IF(OR(G2777=0,E2777=0),"",C2777/E2777)</f>
        <v/>
      </c>
      <c r="I2777" t="str">
        <f>IF(OR(G2777=0,F2777=0),"",D2777/F2777)</f>
        <v/>
      </c>
      <c r="J2777" t="str">
        <f>IF(OR(H2777="",I2777=""),"",IF(H2777=0,"",I2777/H2777-1))</f>
        <v/>
      </c>
      <c r="K2777" t="str">
        <f>IF($B2777="","",IFERROR(IF(G2777=0,-2E+300,CHOOSE(sortIdx,ROUND(D2777,0),IF(J2777="",-1E+300,ROUND(-J2777,6)),IF(J2777="",-1E+300,ROUND(J2777,6)))),-1.5E+300))</f>
        <v/>
      </c>
      <c r="L2777" t="str">
        <f>IF(K2777="","",RANK(K2777,$K$2:$K$3001,0)+COUNTIF($K$2:K2777,K2777)-1)</f>
        <v/>
      </c>
    </row>
    <row r="2778">
      <c r="B2778" t="str">
        <f>IFERROR(IF(A2778="","","="&amp;SUBSTITUTE(SUBSTITUTE(SUBSTITUTE(A2778,"~","~~"),"*","~*"),"?","~?")),"")</f>
        <v/>
      </c>
      <c r="C2778" t="str">
        <f>IF($B2778="","",SUMIFS(dAmt,dCust,$B2778,dPer,"&gt;="&amp;pyFrom,dPer,"&lt;="&amp;pyTo,dAmt,"&gt;-1E+300",dFlt1,critFlt1,dFlt2,critFlt2,dFlt3,critFlt3))</f>
        <v/>
      </c>
      <c r="D2778" t="str">
        <f>IF($B2778="","",SUMIFS(dAmt,dCust,$B2778,dPer,"&gt;="&amp;cyFrom,dPer,"&lt;="&amp;cyTo,dAmt,"&gt;-1E+300",dFlt1,critFlt1,dFlt2,critFlt2,dFlt3,critFlt3))</f>
        <v/>
      </c>
      <c r="E2778" t="str">
        <f>IF($B2778="","",SUMIFS(dQty,dCust,$B2778,dPer,"&gt;="&amp;pyFrom,dPer,"&lt;="&amp;pyTo,dQty,"&gt;-1E+300",dFlt1,critFlt1,dFlt2,critFlt2,dFlt3,critFlt3))</f>
        <v/>
      </c>
      <c r="F2778" t="str">
        <f>IF($B2778="","",SUMIFS(dQty,dCust,$B2778,dPer,"&gt;="&amp;cyFrom,dPer,"&lt;="&amp;cyTo,dQty,"&gt;-1E+300",dFlt1,critFlt1,dFlt2,critFlt2,dFlt3,critFlt3))</f>
        <v/>
      </c>
      <c r="G2778">
        <f>IF($B2778="",0,IFERROR(IF(OR(C2778&lt;&gt;0,D2778&lt;&gt;0,E2778&lt;&gt;0,F2778&lt;&gt;0),1,0),1))</f>
        <v>0</v>
      </c>
      <c r="H2778" t="str">
        <f>IF(OR(G2778=0,E2778=0),"",C2778/E2778)</f>
        <v/>
      </c>
      <c r="I2778" t="str">
        <f>IF(OR(G2778=0,F2778=0),"",D2778/F2778)</f>
        <v/>
      </c>
      <c r="J2778" t="str">
        <f>IF(OR(H2778="",I2778=""),"",IF(H2778=0,"",I2778/H2778-1))</f>
        <v/>
      </c>
      <c r="K2778" t="str">
        <f>IF($B2778="","",IFERROR(IF(G2778=0,-2E+300,CHOOSE(sortIdx,ROUND(D2778,0),IF(J2778="",-1E+300,ROUND(-J2778,6)),IF(J2778="",-1E+300,ROUND(J2778,6)))),-1.5E+300))</f>
        <v/>
      </c>
      <c r="L2778" t="str">
        <f>IF(K2778="","",RANK(K2778,$K$2:$K$3001,0)+COUNTIF($K$2:K2778,K2778)-1)</f>
        <v/>
      </c>
    </row>
    <row r="2779">
      <c r="B2779" t="str">
        <f>IFERROR(IF(A2779="","","="&amp;SUBSTITUTE(SUBSTITUTE(SUBSTITUTE(A2779,"~","~~"),"*","~*"),"?","~?")),"")</f>
        <v/>
      </c>
      <c r="C2779" t="str">
        <f>IF($B2779="","",SUMIFS(dAmt,dCust,$B2779,dPer,"&gt;="&amp;pyFrom,dPer,"&lt;="&amp;pyTo,dAmt,"&gt;-1E+300",dFlt1,critFlt1,dFlt2,critFlt2,dFlt3,critFlt3))</f>
        <v/>
      </c>
      <c r="D2779" t="str">
        <f>IF($B2779="","",SUMIFS(dAmt,dCust,$B2779,dPer,"&gt;="&amp;cyFrom,dPer,"&lt;="&amp;cyTo,dAmt,"&gt;-1E+300",dFlt1,critFlt1,dFlt2,critFlt2,dFlt3,critFlt3))</f>
        <v/>
      </c>
      <c r="E2779" t="str">
        <f>IF($B2779="","",SUMIFS(dQty,dCust,$B2779,dPer,"&gt;="&amp;pyFrom,dPer,"&lt;="&amp;pyTo,dQty,"&gt;-1E+300",dFlt1,critFlt1,dFlt2,critFlt2,dFlt3,critFlt3))</f>
        <v/>
      </c>
      <c r="F2779" t="str">
        <f>IF($B2779="","",SUMIFS(dQty,dCust,$B2779,dPer,"&gt;="&amp;cyFrom,dPer,"&lt;="&amp;cyTo,dQty,"&gt;-1E+300",dFlt1,critFlt1,dFlt2,critFlt2,dFlt3,critFlt3))</f>
        <v/>
      </c>
      <c r="G2779">
        <f>IF($B2779="",0,IFERROR(IF(OR(C2779&lt;&gt;0,D2779&lt;&gt;0,E2779&lt;&gt;0,F2779&lt;&gt;0),1,0),1))</f>
        <v>0</v>
      </c>
      <c r="H2779" t="str">
        <f>IF(OR(G2779=0,E2779=0),"",C2779/E2779)</f>
        <v/>
      </c>
      <c r="I2779" t="str">
        <f>IF(OR(G2779=0,F2779=0),"",D2779/F2779)</f>
        <v/>
      </c>
      <c r="J2779" t="str">
        <f>IF(OR(H2779="",I2779=""),"",IF(H2779=0,"",I2779/H2779-1))</f>
        <v/>
      </c>
      <c r="K2779" t="str">
        <f>IF($B2779="","",IFERROR(IF(G2779=0,-2E+300,CHOOSE(sortIdx,ROUND(D2779,0),IF(J2779="",-1E+300,ROUND(-J2779,6)),IF(J2779="",-1E+300,ROUND(J2779,6)))),-1.5E+300))</f>
        <v/>
      </c>
      <c r="L2779" t="str">
        <f>IF(K2779="","",RANK(K2779,$K$2:$K$3001,0)+COUNTIF($K$2:K2779,K2779)-1)</f>
        <v/>
      </c>
    </row>
    <row r="2780">
      <c r="B2780" t="str">
        <f>IFERROR(IF(A2780="","","="&amp;SUBSTITUTE(SUBSTITUTE(SUBSTITUTE(A2780,"~","~~"),"*","~*"),"?","~?")),"")</f>
        <v/>
      </c>
      <c r="C2780" t="str">
        <f>IF($B2780="","",SUMIFS(dAmt,dCust,$B2780,dPer,"&gt;="&amp;pyFrom,dPer,"&lt;="&amp;pyTo,dAmt,"&gt;-1E+300",dFlt1,critFlt1,dFlt2,critFlt2,dFlt3,critFlt3))</f>
        <v/>
      </c>
      <c r="D2780" t="str">
        <f>IF($B2780="","",SUMIFS(dAmt,dCust,$B2780,dPer,"&gt;="&amp;cyFrom,dPer,"&lt;="&amp;cyTo,dAmt,"&gt;-1E+300",dFlt1,critFlt1,dFlt2,critFlt2,dFlt3,critFlt3))</f>
        <v/>
      </c>
      <c r="E2780" t="str">
        <f>IF($B2780="","",SUMIFS(dQty,dCust,$B2780,dPer,"&gt;="&amp;pyFrom,dPer,"&lt;="&amp;pyTo,dQty,"&gt;-1E+300",dFlt1,critFlt1,dFlt2,critFlt2,dFlt3,critFlt3))</f>
        <v/>
      </c>
      <c r="F2780" t="str">
        <f>IF($B2780="","",SUMIFS(dQty,dCust,$B2780,dPer,"&gt;="&amp;cyFrom,dPer,"&lt;="&amp;cyTo,dQty,"&gt;-1E+300",dFlt1,critFlt1,dFlt2,critFlt2,dFlt3,critFlt3))</f>
        <v/>
      </c>
      <c r="G2780">
        <f>IF($B2780="",0,IFERROR(IF(OR(C2780&lt;&gt;0,D2780&lt;&gt;0,E2780&lt;&gt;0,F2780&lt;&gt;0),1,0),1))</f>
        <v>0</v>
      </c>
      <c r="H2780" t="str">
        <f>IF(OR(G2780=0,E2780=0),"",C2780/E2780)</f>
        <v/>
      </c>
      <c r="I2780" t="str">
        <f>IF(OR(G2780=0,F2780=0),"",D2780/F2780)</f>
        <v/>
      </c>
      <c r="J2780" t="str">
        <f>IF(OR(H2780="",I2780=""),"",IF(H2780=0,"",I2780/H2780-1))</f>
        <v/>
      </c>
      <c r="K2780" t="str">
        <f>IF($B2780="","",IFERROR(IF(G2780=0,-2E+300,CHOOSE(sortIdx,ROUND(D2780,0),IF(J2780="",-1E+300,ROUND(-J2780,6)),IF(J2780="",-1E+300,ROUND(J2780,6)))),-1.5E+300))</f>
        <v/>
      </c>
      <c r="L2780" t="str">
        <f>IF(K2780="","",RANK(K2780,$K$2:$K$3001,0)+COUNTIF($K$2:K2780,K2780)-1)</f>
        <v/>
      </c>
    </row>
    <row r="2781">
      <c r="B2781" t="str">
        <f>IFERROR(IF(A2781="","","="&amp;SUBSTITUTE(SUBSTITUTE(SUBSTITUTE(A2781,"~","~~"),"*","~*"),"?","~?")),"")</f>
        <v/>
      </c>
      <c r="C2781" t="str">
        <f>IF($B2781="","",SUMIFS(dAmt,dCust,$B2781,dPer,"&gt;="&amp;pyFrom,dPer,"&lt;="&amp;pyTo,dAmt,"&gt;-1E+300",dFlt1,critFlt1,dFlt2,critFlt2,dFlt3,critFlt3))</f>
        <v/>
      </c>
      <c r="D2781" t="str">
        <f>IF($B2781="","",SUMIFS(dAmt,dCust,$B2781,dPer,"&gt;="&amp;cyFrom,dPer,"&lt;="&amp;cyTo,dAmt,"&gt;-1E+300",dFlt1,critFlt1,dFlt2,critFlt2,dFlt3,critFlt3))</f>
        <v/>
      </c>
      <c r="E2781" t="str">
        <f>IF($B2781="","",SUMIFS(dQty,dCust,$B2781,dPer,"&gt;="&amp;pyFrom,dPer,"&lt;="&amp;pyTo,dQty,"&gt;-1E+300",dFlt1,critFlt1,dFlt2,critFlt2,dFlt3,critFlt3))</f>
        <v/>
      </c>
      <c r="F2781" t="str">
        <f>IF($B2781="","",SUMIFS(dQty,dCust,$B2781,dPer,"&gt;="&amp;cyFrom,dPer,"&lt;="&amp;cyTo,dQty,"&gt;-1E+300",dFlt1,critFlt1,dFlt2,critFlt2,dFlt3,critFlt3))</f>
        <v/>
      </c>
      <c r="G2781">
        <f>IF($B2781="",0,IFERROR(IF(OR(C2781&lt;&gt;0,D2781&lt;&gt;0,E2781&lt;&gt;0,F2781&lt;&gt;0),1,0),1))</f>
        <v>0</v>
      </c>
      <c r="H2781" t="str">
        <f>IF(OR(G2781=0,E2781=0),"",C2781/E2781)</f>
        <v/>
      </c>
      <c r="I2781" t="str">
        <f>IF(OR(G2781=0,F2781=0),"",D2781/F2781)</f>
        <v/>
      </c>
      <c r="J2781" t="str">
        <f>IF(OR(H2781="",I2781=""),"",IF(H2781=0,"",I2781/H2781-1))</f>
        <v/>
      </c>
      <c r="K2781" t="str">
        <f>IF($B2781="","",IFERROR(IF(G2781=0,-2E+300,CHOOSE(sortIdx,ROUND(D2781,0),IF(J2781="",-1E+300,ROUND(-J2781,6)),IF(J2781="",-1E+300,ROUND(J2781,6)))),-1.5E+300))</f>
        <v/>
      </c>
      <c r="L2781" t="str">
        <f>IF(K2781="","",RANK(K2781,$K$2:$K$3001,0)+COUNTIF($K$2:K2781,K2781)-1)</f>
        <v/>
      </c>
    </row>
    <row r="2782">
      <c r="B2782" t="str">
        <f>IFERROR(IF(A2782="","","="&amp;SUBSTITUTE(SUBSTITUTE(SUBSTITUTE(A2782,"~","~~"),"*","~*"),"?","~?")),"")</f>
        <v/>
      </c>
      <c r="C2782" t="str">
        <f>IF($B2782="","",SUMIFS(dAmt,dCust,$B2782,dPer,"&gt;="&amp;pyFrom,dPer,"&lt;="&amp;pyTo,dAmt,"&gt;-1E+300",dFlt1,critFlt1,dFlt2,critFlt2,dFlt3,critFlt3))</f>
        <v/>
      </c>
      <c r="D2782" t="str">
        <f>IF($B2782="","",SUMIFS(dAmt,dCust,$B2782,dPer,"&gt;="&amp;cyFrom,dPer,"&lt;="&amp;cyTo,dAmt,"&gt;-1E+300",dFlt1,critFlt1,dFlt2,critFlt2,dFlt3,critFlt3))</f>
        <v/>
      </c>
      <c r="E2782" t="str">
        <f>IF($B2782="","",SUMIFS(dQty,dCust,$B2782,dPer,"&gt;="&amp;pyFrom,dPer,"&lt;="&amp;pyTo,dQty,"&gt;-1E+300",dFlt1,critFlt1,dFlt2,critFlt2,dFlt3,critFlt3))</f>
        <v/>
      </c>
      <c r="F2782" t="str">
        <f>IF($B2782="","",SUMIFS(dQty,dCust,$B2782,dPer,"&gt;="&amp;cyFrom,dPer,"&lt;="&amp;cyTo,dQty,"&gt;-1E+300",dFlt1,critFlt1,dFlt2,critFlt2,dFlt3,critFlt3))</f>
        <v/>
      </c>
      <c r="G2782">
        <f>IF($B2782="",0,IFERROR(IF(OR(C2782&lt;&gt;0,D2782&lt;&gt;0,E2782&lt;&gt;0,F2782&lt;&gt;0),1,0),1))</f>
        <v>0</v>
      </c>
      <c r="H2782" t="str">
        <f>IF(OR(G2782=0,E2782=0),"",C2782/E2782)</f>
        <v/>
      </c>
      <c r="I2782" t="str">
        <f>IF(OR(G2782=0,F2782=0),"",D2782/F2782)</f>
        <v/>
      </c>
      <c r="J2782" t="str">
        <f>IF(OR(H2782="",I2782=""),"",IF(H2782=0,"",I2782/H2782-1))</f>
        <v/>
      </c>
      <c r="K2782" t="str">
        <f>IF($B2782="","",IFERROR(IF(G2782=0,-2E+300,CHOOSE(sortIdx,ROUND(D2782,0),IF(J2782="",-1E+300,ROUND(-J2782,6)),IF(J2782="",-1E+300,ROUND(J2782,6)))),-1.5E+300))</f>
        <v/>
      </c>
      <c r="L2782" t="str">
        <f>IF(K2782="","",RANK(K2782,$K$2:$K$3001,0)+COUNTIF($K$2:K2782,K2782)-1)</f>
        <v/>
      </c>
    </row>
    <row r="2783">
      <c r="B2783" t="str">
        <f>IFERROR(IF(A2783="","","="&amp;SUBSTITUTE(SUBSTITUTE(SUBSTITUTE(A2783,"~","~~"),"*","~*"),"?","~?")),"")</f>
        <v/>
      </c>
      <c r="C2783" t="str">
        <f>IF($B2783="","",SUMIFS(dAmt,dCust,$B2783,dPer,"&gt;="&amp;pyFrom,dPer,"&lt;="&amp;pyTo,dAmt,"&gt;-1E+300",dFlt1,critFlt1,dFlt2,critFlt2,dFlt3,critFlt3))</f>
        <v/>
      </c>
      <c r="D2783" t="str">
        <f>IF($B2783="","",SUMIFS(dAmt,dCust,$B2783,dPer,"&gt;="&amp;cyFrom,dPer,"&lt;="&amp;cyTo,dAmt,"&gt;-1E+300",dFlt1,critFlt1,dFlt2,critFlt2,dFlt3,critFlt3))</f>
        <v/>
      </c>
      <c r="E2783" t="str">
        <f>IF($B2783="","",SUMIFS(dQty,dCust,$B2783,dPer,"&gt;="&amp;pyFrom,dPer,"&lt;="&amp;pyTo,dQty,"&gt;-1E+300",dFlt1,critFlt1,dFlt2,critFlt2,dFlt3,critFlt3))</f>
        <v/>
      </c>
      <c r="F2783" t="str">
        <f>IF($B2783="","",SUMIFS(dQty,dCust,$B2783,dPer,"&gt;="&amp;cyFrom,dPer,"&lt;="&amp;cyTo,dQty,"&gt;-1E+300",dFlt1,critFlt1,dFlt2,critFlt2,dFlt3,critFlt3))</f>
        <v/>
      </c>
      <c r="G2783">
        <f>IF($B2783="",0,IFERROR(IF(OR(C2783&lt;&gt;0,D2783&lt;&gt;0,E2783&lt;&gt;0,F2783&lt;&gt;0),1,0),1))</f>
        <v>0</v>
      </c>
      <c r="H2783" t="str">
        <f>IF(OR(G2783=0,E2783=0),"",C2783/E2783)</f>
        <v/>
      </c>
      <c r="I2783" t="str">
        <f>IF(OR(G2783=0,F2783=0),"",D2783/F2783)</f>
        <v/>
      </c>
      <c r="J2783" t="str">
        <f>IF(OR(H2783="",I2783=""),"",IF(H2783=0,"",I2783/H2783-1))</f>
        <v/>
      </c>
      <c r="K2783" t="str">
        <f>IF($B2783="","",IFERROR(IF(G2783=0,-2E+300,CHOOSE(sortIdx,ROUND(D2783,0),IF(J2783="",-1E+300,ROUND(-J2783,6)),IF(J2783="",-1E+300,ROUND(J2783,6)))),-1.5E+300))</f>
        <v/>
      </c>
      <c r="L2783" t="str">
        <f>IF(K2783="","",RANK(K2783,$K$2:$K$3001,0)+COUNTIF($K$2:K2783,K2783)-1)</f>
        <v/>
      </c>
    </row>
    <row r="2784">
      <c r="B2784" t="str">
        <f>IFERROR(IF(A2784="","","="&amp;SUBSTITUTE(SUBSTITUTE(SUBSTITUTE(A2784,"~","~~"),"*","~*"),"?","~?")),"")</f>
        <v/>
      </c>
      <c r="C2784" t="str">
        <f>IF($B2784="","",SUMIFS(dAmt,dCust,$B2784,dPer,"&gt;="&amp;pyFrom,dPer,"&lt;="&amp;pyTo,dAmt,"&gt;-1E+300",dFlt1,critFlt1,dFlt2,critFlt2,dFlt3,critFlt3))</f>
        <v/>
      </c>
      <c r="D2784" t="str">
        <f>IF($B2784="","",SUMIFS(dAmt,dCust,$B2784,dPer,"&gt;="&amp;cyFrom,dPer,"&lt;="&amp;cyTo,dAmt,"&gt;-1E+300",dFlt1,critFlt1,dFlt2,critFlt2,dFlt3,critFlt3))</f>
        <v/>
      </c>
      <c r="E2784" t="str">
        <f>IF($B2784="","",SUMIFS(dQty,dCust,$B2784,dPer,"&gt;="&amp;pyFrom,dPer,"&lt;="&amp;pyTo,dQty,"&gt;-1E+300",dFlt1,critFlt1,dFlt2,critFlt2,dFlt3,critFlt3))</f>
        <v/>
      </c>
      <c r="F2784" t="str">
        <f>IF($B2784="","",SUMIFS(dQty,dCust,$B2784,dPer,"&gt;="&amp;cyFrom,dPer,"&lt;="&amp;cyTo,dQty,"&gt;-1E+300",dFlt1,critFlt1,dFlt2,critFlt2,dFlt3,critFlt3))</f>
        <v/>
      </c>
      <c r="G2784">
        <f>IF($B2784="",0,IFERROR(IF(OR(C2784&lt;&gt;0,D2784&lt;&gt;0,E2784&lt;&gt;0,F2784&lt;&gt;0),1,0),1))</f>
        <v>0</v>
      </c>
      <c r="H2784" t="str">
        <f>IF(OR(G2784=0,E2784=0),"",C2784/E2784)</f>
        <v/>
      </c>
      <c r="I2784" t="str">
        <f>IF(OR(G2784=0,F2784=0),"",D2784/F2784)</f>
        <v/>
      </c>
      <c r="J2784" t="str">
        <f>IF(OR(H2784="",I2784=""),"",IF(H2784=0,"",I2784/H2784-1))</f>
        <v/>
      </c>
      <c r="K2784" t="str">
        <f>IF($B2784="","",IFERROR(IF(G2784=0,-2E+300,CHOOSE(sortIdx,ROUND(D2784,0),IF(J2784="",-1E+300,ROUND(-J2784,6)),IF(J2784="",-1E+300,ROUND(J2784,6)))),-1.5E+300))</f>
        <v/>
      </c>
      <c r="L2784" t="str">
        <f>IF(K2784="","",RANK(K2784,$K$2:$K$3001,0)+COUNTIF($K$2:K2784,K2784)-1)</f>
        <v/>
      </c>
    </row>
    <row r="2785">
      <c r="B2785" t="str">
        <f>IFERROR(IF(A2785="","","="&amp;SUBSTITUTE(SUBSTITUTE(SUBSTITUTE(A2785,"~","~~"),"*","~*"),"?","~?")),"")</f>
        <v/>
      </c>
      <c r="C2785" t="str">
        <f>IF($B2785="","",SUMIFS(dAmt,dCust,$B2785,dPer,"&gt;="&amp;pyFrom,dPer,"&lt;="&amp;pyTo,dAmt,"&gt;-1E+300",dFlt1,critFlt1,dFlt2,critFlt2,dFlt3,critFlt3))</f>
        <v/>
      </c>
      <c r="D2785" t="str">
        <f>IF($B2785="","",SUMIFS(dAmt,dCust,$B2785,dPer,"&gt;="&amp;cyFrom,dPer,"&lt;="&amp;cyTo,dAmt,"&gt;-1E+300",dFlt1,critFlt1,dFlt2,critFlt2,dFlt3,critFlt3))</f>
        <v/>
      </c>
      <c r="E2785" t="str">
        <f>IF($B2785="","",SUMIFS(dQty,dCust,$B2785,dPer,"&gt;="&amp;pyFrom,dPer,"&lt;="&amp;pyTo,dQty,"&gt;-1E+300",dFlt1,critFlt1,dFlt2,critFlt2,dFlt3,critFlt3))</f>
        <v/>
      </c>
      <c r="F2785" t="str">
        <f>IF($B2785="","",SUMIFS(dQty,dCust,$B2785,dPer,"&gt;="&amp;cyFrom,dPer,"&lt;="&amp;cyTo,dQty,"&gt;-1E+300",dFlt1,critFlt1,dFlt2,critFlt2,dFlt3,critFlt3))</f>
        <v/>
      </c>
      <c r="G2785">
        <f>IF($B2785="",0,IFERROR(IF(OR(C2785&lt;&gt;0,D2785&lt;&gt;0,E2785&lt;&gt;0,F2785&lt;&gt;0),1,0),1))</f>
        <v>0</v>
      </c>
      <c r="H2785" t="str">
        <f>IF(OR(G2785=0,E2785=0),"",C2785/E2785)</f>
        <v/>
      </c>
      <c r="I2785" t="str">
        <f>IF(OR(G2785=0,F2785=0),"",D2785/F2785)</f>
        <v/>
      </c>
      <c r="J2785" t="str">
        <f>IF(OR(H2785="",I2785=""),"",IF(H2785=0,"",I2785/H2785-1))</f>
        <v/>
      </c>
      <c r="K2785" t="str">
        <f>IF($B2785="","",IFERROR(IF(G2785=0,-2E+300,CHOOSE(sortIdx,ROUND(D2785,0),IF(J2785="",-1E+300,ROUND(-J2785,6)),IF(J2785="",-1E+300,ROUND(J2785,6)))),-1.5E+300))</f>
        <v/>
      </c>
      <c r="L2785" t="str">
        <f>IF(K2785="","",RANK(K2785,$K$2:$K$3001,0)+COUNTIF($K$2:K2785,K2785)-1)</f>
        <v/>
      </c>
    </row>
    <row r="2786">
      <c r="B2786" t="str">
        <f>IFERROR(IF(A2786="","","="&amp;SUBSTITUTE(SUBSTITUTE(SUBSTITUTE(A2786,"~","~~"),"*","~*"),"?","~?")),"")</f>
        <v/>
      </c>
      <c r="C2786" t="str">
        <f>IF($B2786="","",SUMIFS(dAmt,dCust,$B2786,dPer,"&gt;="&amp;pyFrom,dPer,"&lt;="&amp;pyTo,dAmt,"&gt;-1E+300",dFlt1,critFlt1,dFlt2,critFlt2,dFlt3,critFlt3))</f>
        <v/>
      </c>
      <c r="D2786" t="str">
        <f>IF($B2786="","",SUMIFS(dAmt,dCust,$B2786,dPer,"&gt;="&amp;cyFrom,dPer,"&lt;="&amp;cyTo,dAmt,"&gt;-1E+300",dFlt1,critFlt1,dFlt2,critFlt2,dFlt3,critFlt3))</f>
        <v/>
      </c>
      <c r="E2786" t="str">
        <f>IF($B2786="","",SUMIFS(dQty,dCust,$B2786,dPer,"&gt;="&amp;pyFrom,dPer,"&lt;="&amp;pyTo,dQty,"&gt;-1E+300",dFlt1,critFlt1,dFlt2,critFlt2,dFlt3,critFlt3))</f>
        <v/>
      </c>
      <c r="F2786" t="str">
        <f>IF($B2786="","",SUMIFS(dQty,dCust,$B2786,dPer,"&gt;="&amp;cyFrom,dPer,"&lt;="&amp;cyTo,dQty,"&gt;-1E+300",dFlt1,critFlt1,dFlt2,critFlt2,dFlt3,critFlt3))</f>
        <v/>
      </c>
      <c r="G2786">
        <f>IF($B2786="",0,IFERROR(IF(OR(C2786&lt;&gt;0,D2786&lt;&gt;0,E2786&lt;&gt;0,F2786&lt;&gt;0),1,0),1))</f>
        <v>0</v>
      </c>
      <c r="H2786" t="str">
        <f>IF(OR(G2786=0,E2786=0),"",C2786/E2786)</f>
        <v/>
      </c>
      <c r="I2786" t="str">
        <f>IF(OR(G2786=0,F2786=0),"",D2786/F2786)</f>
        <v/>
      </c>
      <c r="J2786" t="str">
        <f>IF(OR(H2786="",I2786=""),"",IF(H2786=0,"",I2786/H2786-1))</f>
        <v/>
      </c>
      <c r="K2786" t="str">
        <f>IF($B2786="","",IFERROR(IF(G2786=0,-2E+300,CHOOSE(sortIdx,ROUND(D2786,0),IF(J2786="",-1E+300,ROUND(-J2786,6)),IF(J2786="",-1E+300,ROUND(J2786,6)))),-1.5E+300))</f>
        <v/>
      </c>
      <c r="L2786" t="str">
        <f>IF(K2786="","",RANK(K2786,$K$2:$K$3001,0)+COUNTIF($K$2:K2786,K2786)-1)</f>
        <v/>
      </c>
    </row>
    <row r="2787">
      <c r="B2787" t="str">
        <f>IFERROR(IF(A2787="","","="&amp;SUBSTITUTE(SUBSTITUTE(SUBSTITUTE(A2787,"~","~~"),"*","~*"),"?","~?")),"")</f>
        <v/>
      </c>
      <c r="C2787" t="str">
        <f>IF($B2787="","",SUMIFS(dAmt,dCust,$B2787,dPer,"&gt;="&amp;pyFrom,dPer,"&lt;="&amp;pyTo,dAmt,"&gt;-1E+300",dFlt1,critFlt1,dFlt2,critFlt2,dFlt3,critFlt3))</f>
        <v/>
      </c>
      <c r="D2787" t="str">
        <f>IF($B2787="","",SUMIFS(dAmt,dCust,$B2787,dPer,"&gt;="&amp;cyFrom,dPer,"&lt;="&amp;cyTo,dAmt,"&gt;-1E+300",dFlt1,critFlt1,dFlt2,critFlt2,dFlt3,critFlt3))</f>
        <v/>
      </c>
      <c r="E2787" t="str">
        <f>IF($B2787="","",SUMIFS(dQty,dCust,$B2787,dPer,"&gt;="&amp;pyFrom,dPer,"&lt;="&amp;pyTo,dQty,"&gt;-1E+300",dFlt1,critFlt1,dFlt2,critFlt2,dFlt3,critFlt3))</f>
        <v/>
      </c>
      <c r="F2787" t="str">
        <f>IF($B2787="","",SUMIFS(dQty,dCust,$B2787,dPer,"&gt;="&amp;cyFrom,dPer,"&lt;="&amp;cyTo,dQty,"&gt;-1E+300",dFlt1,critFlt1,dFlt2,critFlt2,dFlt3,critFlt3))</f>
        <v/>
      </c>
      <c r="G2787">
        <f>IF($B2787="",0,IFERROR(IF(OR(C2787&lt;&gt;0,D2787&lt;&gt;0,E2787&lt;&gt;0,F2787&lt;&gt;0),1,0),1))</f>
        <v>0</v>
      </c>
      <c r="H2787" t="str">
        <f>IF(OR(G2787=0,E2787=0),"",C2787/E2787)</f>
        <v/>
      </c>
      <c r="I2787" t="str">
        <f>IF(OR(G2787=0,F2787=0),"",D2787/F2787)</f>
        <v/>
      </c>
      <c r="J2787" t="str">
        <f>IF(OR(H2787="",I2787=""),"",IF(H2787=0,"",I2787/H2787-1))</f>
        <v/>
      </c>
      <c r="K2787" t="str">
        <f>IF($B2787="","",IFERROR(IF(G2787=0,-2E+300,CHOOSE(sortIdx,ROUND(D2787,0),IF(J2787="",-1E+300,ROUND(-J2787,6)),IF(J2787="",-1E+300,ROUND(J2787,6)))),-1.5E+300))</f>
        <v/>
      </c>
      <c r="L2787" t="str">
        <f>IF(K2787="","",RANK(K2787,$K$2:$K$3001,0)+COUNTIF($K$2:K2787,K2787)-1)</f>
        <v/>
      </c>
    </row>
    <row r="2788">
      <c r="B2788" t="str">
        <f>IFERROR(IF(A2788="","","="&amp;SUBSTITUTE(SUBSTITUTE(SUBSTITUTE(A2788,"~","~~"),"*","~*"),"?","~?")),"")</f>
        <v/>
      </c>
      <c r="C2788" t="str">
        <f>IF($B2788="","",SUMIFS(dAmt,dCust,$B2788,dPer,"&gt;="&amp;pyFrom,dPer,"&lt;="&amp;pyTo,dAmt,"&gt;-1E+300",dFlt1,critFlt1,dFlt2,critFlt2,dFlt3,critFlt3))</f>
        <v/>
      </c>
      <c r="D2788" t="str">
        <f>IF($B2788="","",SUMIFS(dAmt,dCust,$B2788,dPer,"&gt;="&amp;cyFrom,dPer,"&lt;="&amp;cyTo,dAmt,"&gt;-1E+300",dFlt1,critFlt1,dFlt2,critFlt2,dFlt3,critFlt3))</f>
        <v/>
      </c>
      <c r="E2788" t="str">
        <f>IF($B2788="","",SUMIFS(dQty,dCust,$B2788,dPer,"&gt;="&amp;pyFrom,dPer,"&lt;="&amp;pyTo,dQty,"&gt;-1E+300",dFlt1,critFlt1,dFlt2,critFlt2,dFlt3,critFlt3))</f>
        <v/>
      </c>
      <c r="F2788" t="str">
        <f>IF($B2788="","",SUMIFS(dQty,dCust,$B2788,dPer,"&gt;="&amp;cyFrom,dPer,"&lt;="&amp;cyTo,dQty,"&gt;-1E+300",dFlt1,critFlt1,dFlt2,critFlt2,dFlt3,critFlt3))</f>
        <v/>
      </c>
      <c r="G2788">
        <f>IF($B2788="",0,IFERROR(IF(OR(C2788&lt;&gt;0,D2788&lt;&gt;0,E2788&lt;&gt;0,F2788&lt;&gt;0),1,0),1))</f>
        <v>0</v>
      </c>
      <c r="H2788" t="str">
        <f>IF(OR(G2788=0,E2788=0),"",C2788/E2788)</f>
        <v/>
      </c>
      <c r="I2788" t="str">
        <f>IF(OR(G2788=0,F2788=0),"",D2788/F2788)</f>
        <v/>
      </c>
      <c r="J2788" t="str">
        <f>IF(OR(H2788="",I2788=""),"",IF(H2788=0,"",I2788/H2788-1))</f>
        <v/>
      </c>
      <c r="K2788" t="str">
        <f>IF($B2788="","",IFERROR(IF(G2788=0,-2E+300,CHOOSE(sortIdx,ROUND(D2788,0),IF(J2788="",-1E+300,ROUND(-J2788,6)),IF(J2788="",-1E+300,ROUND(J2788,6)))),-1.5E+300))</f>
        <v/>
      </c>
      <c r="L2788" t="str">
        <f>IF(K2788="","",RANK(K2788,$K$2:$K$3001,0)+COUNTIF($K$2:K2788,K2788)-1)</f>
        <v/>
      </c>
    </row>
    <row r="2789">
      <c r="B2789" t="str">
        <f>IFERROR(IF(A2789="","","="&amp;SUBSTITUTE(SUBSTITUTE(SUBSTITUTE(A2789,"~","~~"),"*","~*"),"?","~?")),"")</f>
        <v/>
      </c>
      <c r="C2789" t="str">
        <f>IF($B2789="","",SUMIFS(dAmt,dCust,$B2789,dPer,"&gt;="&amp;pyFrom,dPer,"&lt;="&amp;pyTo,dAmt,"&gt;-1E+300",dFlt1,critFlt1,dFlt2,critFlt2,dFlt3,critFlt3))</f>
        <v/>
      </c>
      <c r="D2789" t="str">
        <f>IF($B2789="","",SUMIFS(dAmt,dCust,$B2789,dPer,"&gt;="&amp;cyFrom,dPer,"&lt;="&amp;cyTo,dAmt,"&gt;-1E+300",dFlt1,critFlt1,dFlt2,critFlt2,dFlt3,critFlt3))</f>
        <v/>
      </c>
      <c r="E2789" t="str">
        <f>IF($B2789="","",SUMIFS(dQty,dCust,$B2789,dPer,"&gt;="&amp;pyFrom,dPer,"&lt;="&amp;pyTo,dQty,"&gt;-1E+300",dFlt1,critFlt1,dFlt2,critFlt2,dFlt3,critFlt3))</f>
        <v/>
      </c>
      <c r="F2789" t="str">
        <f>IF($B2789="","",SUMIFS(dQty,dCust,$B2789,dPer,"&gt;="&amp;cyFrom,dPer,"&lt;="&amp;cyTo,dQty,"&gt;-1E+300",dFlt1,critFlt1,dFlt2,critFlt2,dFlt3,critFlt3))</f>
        <v/>
      </c>
      <c r="G2789">
        <f>IF($B2789="",0,IFERROR(IF(OR(C2789&lt;&gt;0,D2789&lt;&gt;0,E2789&lt;&gt;0,F2789&lt;&gt;0),1,0),1))</f>
        <v>0</v>
      </c>
      <c r="H2789" t="str">
        <f>IF(OR(G2789=0,E2789=0),"",C2789/E2789)</f>
        <v/>
      </c>
      <c r="I2789" t="str">
        <f>IF(OR(G2789=0,F2789=0),"",D2789/F2789)</f>
        <v/>
      </c>
      <c r="J2789" t="str">
        <f>IF(OR(H2789="",I2789=""),"",IF(H2789=0,"",I2789/H2789-1))</f>
        <v/>
      </c>
      <c r="K2789" t="str">
        <f>IF($B2789="","",IFERROR(IF(G2789=0,-2E+300,CHOOSE(sortIdx,ROUND(D2789,0),IF(J2789="",-1E+300,ROUND(-J2789,6)),IF(J2789="",-1E+300,ROUND(J2789,6)))),-1.5E+300))</f>
        <v/>
      </c>
      <c r="L2789" t="str">
        <f>IF(K2789="","",RANK(K2789,$K$2:$K$3001,0)+COUNTIF($K$2:K2789,K2789)-1)</f>
        <v/>
      </c>
    </row>
    <row r="2790">
      <c r="B2790" t="str">
        <f>IFERROR(IF(A2790="","","="&amp;SUBSTITUTE(SUBSTITUTE(SUBSTITUTE(A2790,"~","~~"),"*","~*"),"?","~?")),"")</f>
        <v/>
      </c>
      <c r="C2790" t="str">
        <f>IF($B2790="","",SUMIFS(dAmt,dCust,$B2790,dPer,"&gt;="&amp;pyFrom,dPer,"&lt;="&amp;pyTo,dAmt,"&gt;-1E+300",dFlt1,critFlt1,dFlt2,critFlt2,dFlt3,critFlt3))</f>
        <v/>
      </c>
      <c r="D2790" t="str">
        <f>IF($B2790="","",SUMIFS(dAmt,dCust,$B2790,dPer,"&gt;="&amp;cyFrom,dPer,"&lt;="&amp;cyTo,dAmt,"&gt;-1E+300",dFlt1,critFlt1,dFlt2,critFlt2,dFlt3,critFlt3))</f>
        <v/>
      </c>
      <c r="E2790" t="str">
        <f>IF($B2790="","",SUMIFS(dQty,dCust,$B2790,dPer,"&gt;="&amp;pyFrom,dPer,"&lt;="&amp;pyTo,dQty,"&gt;-1E+300",dFlt1,critFlt1,dFlt2,critFlt2,dFlt3,critFlt3))</f>
        <v/>
      </c>
      <c r="F2790" t="str">
        <f>IF($B2790="","",SUMIFS(dQty,dCust,$B2790,dPer,"&gt;="&amp;cyFrom,dPer,"&lt;="&amp;cyTo,dQty,"&gt;-1E+300",dFlt1,critFlt1,dFlt2,critFlt2,dFlt3,critFlt3))</f>
        <v/>
      </c>
      <c r="G2790">
        <f>IF($B2790="",0,IFERROR(IF(OR(C2790&lt;&gt;0,D2790&lt;&gt;0,E2790&lt;&gt;0,F2790&lt;&gt;0),1,0),1))</f>
        <v>0</v>
      </c>
      <c r="H2790" t="str">
        <f>IF(OR(G2790=0,E2790=0),"",C2790/E2790)</f>
        <v/>
      </c>
      <c r="I2790" t="str">
        <f>IF(OR(G2790=0,F2790=0),"",D2790/F2790)</f>
        <v/>
      </c>
      <c r="J2790" t="str">
        <f>IF(OR(H2790="",I2790=""),"",IF(H2790=0,"",I2790/H2790-1))</f>
        <v/>
      </c>
      <c r="K2790" t="str">
        <f>IF($B2790="","",IFERROR(IF(G2790=0,-2E+300,CHOOSE(sortIdx,ROUND(D2790,0),IF(J2790="",-1E+300,ROUND(-J2790,6)),IF(J2790="",-1E+300,ROUND(J2790,6)))),-1.5E+300))</f>
        <v/>
      </c>
      <c r="L2790" t="str">
        <f>IF(K2790="","",RANK(K2790,$K$2:$K$3001,0)+COUNTIF($K$2:K2790,K2790)-1)</f>
        <v/>
      </c>
    </row>
    <row r="2791">
      <c r="B2791" t="str">
        <f>IFERROR(IF(A2791="","","="&amp;SUBSTITUTE(SUBSTITUTE(SUBSTITUTE(A2791,"~","~~"),"*","~*"),"?","~?")),"")</f>
        <v/>
      </c>
      <c r="C2791" t="str">
        <f>IF($B2791="","",SUMIFS(dAmt,dCust,$B2791,dPer,"&gt;="&amp;pyFrom,dPer,"&lt;="&amp;pyTo,dAmt,"&gt;-1E+300",dFlt1,critFlt1,dFlt2,critFlt2,dFlt3,critFlt3))</f>
        <v/>
      </c>
      <c r="D2791" t="str">
        <f>IF($B2791="","",SUMIFS(dAmt,dCust,$B2791,dPer,"&gt;="&amp;cyFrom,dPer,"&lt;="&amp;cyTo,dAmt,"&gt;-1E+300",dFlt1,critFlt1,dFlt2,critFlt2,dFlt3,critFlt3))</f>
        <v/>
      </c>
      <c r="E2791" t="str">
        <f>IF($B2791="","",SUMIFS(dQty,dCust,$B2791,dPer,"&gt;="&amp;pyFrom,dPer,"&lt;="&amp;pyTo,dQty,"&gt;-1E+300",dFlt1,critFlt1,dFlt2,critFlt2,dFlt3,critFlt3))</f>
        <v/>
      </c>
      <c r="F2791" t="str">
        <f>IF($B2791="","",SUMIFS(dQty,dCust,$B2791,dPer,"&gt;="&amp;cyFrom,dPer,"&lt;="&amp;cyTo,dQty,"&gt;-1E+300",dFlt1,critFlt1,dFlt2,critFlt2,dFlt3,critFlt3))</f>
        <v/>
      </c>
      <c r="G2791">
        <f>IF($B2791="",0,IFERROR(IF(OR(C2791&lt;&gt;0,D2791&lt;&gt;0,E2791&lt;&gt;0,F2791&lt;&gt;0),1,0),1))</f>
        <v>0</v>
      </c>
      <c r="H2791" t="str">
        <f>IF(OR(G2791=0,E2791=0),"",C2791/E2791)</f>
        <v/>
      </c>
      <c r="I2791" t="str">
        <f>IF(OR(G2791=0,F2791=0),"",D2791/F2791)</f>
        <v/>
      </c>
      <c r="J2791" t="str">
        <f>IF(OR(H2791="",I2791=""),"",IF(H2791=0,"",I2791/H2791-1))</f>
        <v/>
      </c>
      <c r="K2791" t="str">
        <f>IF($B2791="","",IFERROR(IF(G2791=0,-2E+300,CHOOSE(sortIdx,ROUND(D2791,0),IF(J2791="",-1E+300,ROUND(-J2791,6)),IF(J2791="",-1E+300,ROUND(J2791,6)))),-1.5E+300))</f>
        <v/>
      </c>
      <c r="L2791" t="str">
        <f>IF(K2791="","",RANK(K2791,$K$2:$K$3001,0)+COUNTIF($K$2:K2791,K2791)-1)</f>
        <v/>
      </c>
    </row>
    <row r="2792">
      <c r="B2792" t="str">
        <f>IFERROR(IF(A2792="","","="&amp;SUBSTITUTE(SUBSTITUTE(SUBSTITUTE(A2792,"~","~~"),"*","~*"),"?","~?")),"")</f>
        <v/>
      </c>
      <c r="C2792" t="str">
        <f>IF($B2792="","",SUMIFS(dAmt,dCust,$B2792,dPer,"&gt;="&amp;pyFrom,dPer,"&lt;="&amp;pyTo,dAmt,"&gt;-1E+300",dFlt1,critFlt1,dFlt2,critFlt2,dFlt3,critFlt3))</f>
        <v/>
      </c>
      <c r="D2792" t="str">
        <f>IF($B2792="","",SUMIFS(dAmt,dCust,$B2792,dPer,"&gt;="&amp;cyFrom,dPer,"&lt;="&amp;cyTo,dAmt,"&gt;-1E+300",dFlt1,critFlt1,dFlt2,critFlt2,dFlt3,critFlt3))</f>
        <v/>
      </c>
      <c r="E2792" t="str">
        <f>IF($B2792="","",SUMIFS(dQty,dCust,$B2792,dPer,"&gt;="&amp;pyFrom,dPer,"&lt;="&amp;pyTo,dQty,"&gt;-1E+300",dFlt1,critFlt1,dFlt2,critFlt2,dFlt3,critFlt3))</f>
        <v/>
      </c>
      <c r="F2792" t="str">
        <f>IF($B2792="","",SUMIFS(dQty,dCust,$B2792,dPer,"&gt;="&amp;cyFrom,dPer,"&lt;="&amp;cyTo,dQty,"&gt;-1E+300",dFlt1,critFlt1,dFlt2,critFlt2,dFlt3,critFlt3))</f>
        <v/>
      </c>
      <c r="G2792">
        <f>IF($B2792="",0,IFERROR(IF(OR(C2792&lt;&gt;0,D2792&lt;&gt;0,E2792&lt;&gt;0,F2792&lt;&gt;0),1,0),1))</f>
        <v>0</v>
      </c>
      <c r="H2792" t="str">
        <f>IF(OR(G2792=0,E2792=0),"",C2792/E2792)</f>
        <v/>
      </c>
      <c r="I2792" t="str">
        <f>IF(OR(G2792=0,F2792=0),"",D2792/F2792)</f>
        <v/>
      </c>
      <c r="J2792" t="str">
        <f>IF(OR(H2792="",I2792=""),"",IF(H2792=0,"",I2792/H2792-1))</f>
        <v/>
      </c>
      <c r="K2792" t="str">
        <f>IF($B2792="","",IFERROR(IF(G2792=0,-2E+300,CHOOSE(sortIdx,ROUND(D2792,0),IF(J2792="",-1E+300,ROUND(-J2792,6)),IF(J2792="",-1E+300,ROUND(J2792,6)))),-1.5E+300))</f>
        <v/>
      </c>
      <c r="L2792" t="str">
        <f>IF(K2792="","",RANK(K2792,$K$2:$K$3001,0)+COUNTIF($K$2:K2792,K2792)-1)</f>
        <v/>
      </c>
    </row>
    <row r="2793">
      <c r="B2793" t="str">
        <f>IFERROR(IF(A2793="","","="&amp;SUBSTITUTE(SUBSTITUTE(SUBSTITUTE(A2793,"~","~~"),"*","~*"),"?","~?")),"")</f>
        <v/>
      </c>
      <c r="C2793" t="str">
        <f>IF($B2793="","",SUMIFS(dAmt,dCust,$B2793,dPer,"&gt;="&amp;pyFrom,dPer,"&lt;="&amp;pyTo,dAmt,"&gt;-1E+300",dFlt1,critFlt1,dFlt2,critFlt2,dFlt3,critFlt3))</f>
        <v/>
      </c>
      <c r="D2793" t="str">
        <f>IF($B2793="","",SUMIFS(dAmt,dCust,$B2793,dPer,"&gt;="&amp;cyFrom,dPer,"&lt;="&amp;cyTo,dAmt,"&gt;-1E+300",dFlt1,critFlt1,dFlt2,critFlt2,dFlt3,critFlt3))</f>
        <v/>
      </c>
      <c r="E2793" t="str">
        <f>IF($B2793="","",SUMIFS(dQty,dCust,$B2793,dPer,"&gt;="&amp;pyFrom,dPer,"&lt;="&amp;pyTo,dQty,"&gt;-1E+300",dFlt1,critFlt1,dFlt2,critFlt2,dFlt3,critFlt3))</f>
        <v/>
      </c>
      <c r="F2793" t="str">
        <f>IF($B2793="","",SUMIFS(dQty,dCust,$B2793,dPer,"&gt;="&amp;cyFrom,dPer,"&lt;="&amp;cyTo,dQty,"&gt;-1E+300",dFlt1,critFlt1,dFlt2,critFlt2,dFlt3,critFlt3))</f>
        <v/>
      </c>
      <c r="G2793">
        <f>IF($B2793="",0,IFERROR(IF(OR(C2793&lt;&gt;0,D2793&lt;&gt;0,E2793&lt;&gt;0,F2793&lt;&gt;0),1,0),1))</f>
        <v>0</v>
      </c>
      <c r="H2793" t="str">
        <f>IF(OR(G2793=0,E2793=0),"",C2793/E2793)</f>
        <v/>
      </c>
      <c r="I2793" t="str">
        <f>IF(OR(G2793=0,F2793=0),"",D2793/F2793)</f>
        <v/>
      </c>
      <c r="J2793" t="str">
        <f>IF(OR(H2793="",I2793=""),"",IF(H2793=0,"",I2793/H2793-1))</f>
        <v/>
      </c>
      <c r="K2793" t="str">
        <f>IF($B2793="","",IFERROR(IF(G2793=0,-2E+300,CHOOSE(sortIdx,ROUND(D2793,0),IF(J2793="",-1E+300,ROUND(-J2793,6)),IF(J2793="",-1E+300,ROUND(J2793,6)))),-1.5E+300))</f>
        <v/>
      </c>
      <c r="L2793" t="str">
        <f>IF(K2793="","",RANK(K2793,$K$2:$K$3001,0)+COUNTIF($K$2:K2793,K2793)-1)</f>
        <v/>
      </c>
    </row>
    <row r="2794">
      <c r="B2794" t="str">
        <f>IFERROR(IF(A2794="","","="&amp;SUBSTITUTE(SUBSTITUTE(SUBSTITUTE(A2794,"~","~~"),"*","~*"),"?","~?")),"")</f>
        <v/>
      </c>
      <c r="C2794" t="str">
        <f>IF($B2794="","",SUMIFS(dAmt,dCust,$B2794,dPer,"&gt;="&amp;pyFrom,dPer,"&lt;="&amp;pyTo,dAmt,"&gt;-1E+300",dFlt1,critFlt1,dFlt2,critFlt2,dFlt3,critFlt3))</f>
        <v/>
      </c>
      <c r="D2794" t="str">
        <f>IF($B2794="","",SUMIFS(dAmt,dCust,$B2794,dPer,"&gt;="&amp;cyFrom,dPer,"&lt;="&amp;cyTo,dAmt,"&gt;-1E+300",dFlt1,critFlt1,dFlt2,critFlt2,dFlt3,critFlt3))</f>
        <v/>
      </c>
      <c r="E2794" t="str">
        <f>IF($B2794="","",SUMIFS(dQty,dCust,$B2794,dPer,"&gt;="&amp;pyFrom,dPer,"&lt;="&amp;pyTo,dQty,"&gt;-1E+300",dFlt1,critFlt1,dFlt2,critFlt2,dFlt3,critFlt3))</f>
        <v/>
      </c>
      <c r="F2794" t="str">
        <f>IF($B2794="","",SUMIFS(dQty,dCust,$B2794,dPer,"&gt;="&amp;cyFrom,dPer,"&lt;="&amp;cyTo,dQty,"&gt;-1E+300",dFlt1,critFlt1,dFlt2,critFlt2,dFlt3,critFlt3))</f>
        <v/>
      </c>
      <c r="G2794">
        <f>IF($B2794="",0,IFERROR(IF(OR(C2794&lt;&gt;0,D2794&lt;&gt;0,E2794&lt;&gt;0,F2794&lt;&gt;0),1,0),1))</f>
        <v>0</v>
      </c>
      <c r="H2794" t="str">
        <f>IF(OR(G2794=0,E2794=0),"",C2794/E2794)</f>
        <v/>
      </c>
      <c r="I2794" t="str">
        <f>IF(OR(G2794=0,F2794=0),"",D2794/F2794)</f>
        <v/>
      </c>
      <c r="J2794" t="str">
        <f>IF(OR(H2794="",I2794=""),"",IF(H2794=0,"",I2794/H2794-1))</f>
        <v/>
      </c>
      <c r="K2794" t="str">
        <f>IF($B2794="","",IFERROR(IF(G2794=0,-2E+300,CHOOSE(sortIdx,ROUND(D2794,0),IF(J2794="",-1E+300,ROUND(-J2794,6)),IF(J2794="",-1E+300,ROUND(J2794,6)))),-1.5E+300))</f>
        <v/>
      </c>
      <c r="L2794" t="str">
        <f>IF(K2794="","",RANK(K2794,$K$2:$K$3001,0)+COUNTIF($K$2:K2794,K2794)-1)</f>
        <v/>
      </c>
    </row>
    <row r="2795">
      <c r="B2795" t="str">
        <f>IFERROR(IF(A2795="","","="&amp;SUBSTITUTE(SUBSTITUTE(SUBSTITUTE(A2795,"~","~~"),"*","~*"),"?","~?")),"")</f>
        <v/>
      </c>
      <c r="C2795" t="str">
        <f>IF($B2795="","",SUMIFS(dAmt,dCust,$B2795,dPer,"&gt;="&amp;pyFrom,dPer,"&lt;="&amp;pyTo,dAmt,"&gt;-1E+300",dFlt1,critFlt1,dFlt2,critFlt2,dFlt3,critFlt3))</f>
        <v/>
      </c>
      <c r="D2795" t="str">
        <f>IF($B2795="","",SUMIFS(dAmt,dCust,$B2795,dPer,"&gt;="&amp;cyFrom,dPer,"&lt;="&amp;cyTo,dAmt,"&gt;-1E+300",dFlt1,critFlt1,dFlt2,critFlt2,dFlt3,critFlt3))</f>
        <v/>
      </c>
      <c r="E2795" t="str">
        <f>IF($B2795="","",SUMIFS(dQty,dCust,$B2795,dPer,"&gt;="&amp;pyFrom,dPer,"&lt;="&amp;pyTo,dQty,"&gt;-1E+300",dFlt1,critFlt1,dFlt2,critFlt2,dFlt3,critFlt3))</f>
        <v/>
      </c>
      <c r="F2795" t="str">
        <f>IF($B2795="","",SUMIFS(dQty,dCust,$B2795,dPer,"&gt;="&amp;cyFrom,dPer,"&lt;="&amp;cyTo,dQty,"&gt;-1E+300",dFlt1,critFlt1,dFlt2,critFlt2,dFlt3,critFlt3))</f>
        <v/>
      </c>
      <c r="G2795">
        <f>IF($B2795="",0,IFERROR(IF(OR(C2795&lt;&gt;0,D2795&lt;&gt;0,E2795&lt;&gt;0,F2795&lt;&gt;0),1,0),1))</f>
        <v>0</v>
      </c>
      <c r="H2795" t="str">
        <f>IF(OR(G2795=0,E2795=0),"",C2795/E2795)</f>
        <v/>
      </c>
      <c r="I2795" t="str">
        <f>IF(OR(G2795=0,F2795=0),"",D2795/F2795)</f>
        <v/>
      </c>
      <c r="J2795" t="str">
        <f>IF(OR(H2795="",I2795=""),"",IF(H2795=0,"",I2795/H2795-1))</f>
        <v/>
      </c>
      <c r="K2795" t="str">
        <f>IF($B2795="","",IFERROR(IF(G2795=0,-2E+300,CHOOSE(sortIdx,ROUND(D2795,0),IF(J2795="",-1E+300,ROUND(-J2795,6)),IF(J2795="",-1E+300,ROUND(J2795,6)))),-1.5E+300))</f>
        <v/>
      </c>
      <c r="L2795" t="str">
        <f>IF(K2795="","",RANK(K2795,$K$2:$K$3001,0)+COUNTIF($K$2:K2795,K2795)-1)</f>
        <v/>
      </c>
    </row>
    <row r="2796">
      <c r="B2796" t="str">
        <f>IFERROR(IF(A2796="","","="&amp;SUBSTITUTE(SUBSTITUTE(SUBSTITUTE(A2796,"~","~~"),"*","~*"),"?","~?")),"")</f>
        <v/>
      </c>
      <c r="C2796" t="str">
        <f>IF($B2796="","",SUMIFS(dAmt,dCust,$B2796,dPer,"&gt;="&amp;pyFrom,dPer,"&lt;="&amp;pyTo,dAmt,"&gt;-1E+300",dFlt1,critFlt1,dFlt2,critFlt2,dFlt3,critFlt3))</f>
        <v/>
      </c>
      <c r="D2796" t="str">
        <f>IF($B2796="","",SUMIFS(dAmt,dCust,$B2796,dPer,"&gt;="&amp;cyFrom,dPer,"&lt;="&amp;cyTo,dAmt,"&gt;-1E+300",dFlt1,critFlt1,dFlt2,critFlt2,dFlt3,critFlt3))</f>
        <v/>
      </c>
      <c r="E2796" t="str">
        <f>IF($B2796="","",SUMIFS(dQty,dCust,$B2796,dPer,"&gt;="&amp;pyFrom,dPer,"&lt;="&amp;pyTo,dQty,"&gt;-1E+300",dFlt1,critFlt1,dFlt2,critFlt2,dFlt3,critFlt3))</f>
        <v/>
      </c>
      <c r="F2796" t="str">
        <f>IF($B2796="","",SUMIFS(dQty,dCust,$B2796,dPer,"&gt;="&amp;cyFrom,dPer,"&lt;="&amp;cyTo,dQty,"&gt;-1E+300",dFlt1,critFlt1,dFlt2,critFlt2,dFlt3,critFlt3))</f>
        <v/>
      </c>
      <c r="G2796">
        <f>IF($B2796="",0,IFERROR(IF(OR(C2796&lt;&gt;0,D2796&lt;&gt;0,E2796&lt;&gt;0,F2796&lt;&gt;0),1,0),1))</f>
        <v>0</v>
      </c>
      <c r="H2796" t="str">
        <f>IF(OR(G2796=0,E2796=0),"",C2796/E2796)</f>
        <v/>
      </c>
      <c r="I2796" t="str">
        <f>IF(OR(G2796=0,F2796=0),"",D2796/F2796)</f>
        <v/>
      </c>
      <c r="J2796" t="str">
        <f>IF(OR(H2796="",I2796=""),"",IF(H2796=0,"",I2796/H2796-1))</f>
        <v/>
      </c>
      <c r="K2796" t="str">
        <f>IF($B2796="","",IFERROR(IF(G2796=0,-2E+300,CHOOSE(sortIdx,ROUND(D2796,0),IF(J2796="",-1E+300,ROUND(-J2796,6)),IF(J2796="",-1E+300,ROUND(J2796,6)))),-1.5E+300))</f>
        <v/>
      </c>
      <c r="L2796" t="str">
        <f>IF(K2796="","",RANK(K2796,$K$2:$K$3001,0)+COUNTIF($K$2:K2796,K2796)-1)</f>
        <v/>
      </c>
    </row>
    <row r="2797">
      <c r="B2797" t="str">
        <f>IFERROR(IF(A2797="","","="&amp;SUBSTITUTE(SUBSTITUTE(SUBSTITUTE(A2797,"~","~~"),"*","~*"),"?","~?")),"")</f>
        <v/>
      </c>
      <c r="C2797" t="str">
        <f>IF($B2797="","",SUMIFS(dAmt,dCust,$B2797,dPer,"&gt;="&amp;pyFrom,dPer,"&lt;="&amp;pyTo,dAmt,"&gt;-1E+300",dFlt1,critFlt1,dFlt2,critFlt2,dFlt3,critFlt3))</f>
        <v/>
      </c>
      <c r="D2797" t="str">
        <f>IF($B2797="","",SUMIFS(dAmt,dCust,$B2797,dPer,"&gt;="&amp;cyFrom,dPer,"&lt;="&amp;cyTo,dAmt,"&gt;-1E+300",dFlt1,critFlt1,dFlt2,critFlt2,dFlt3,critFlt3))</f>
        <v/>
      </c>
      <c r="E2797" t="str">
        <f>IF($B2797="","",SUMIFS(dQty,dCust,$B2797,dPer,"&gt;="&amp;pyFrom,dPer,"&lt;="&amp;pyTo,dQty,"&gt;-1E+300",dFlt1,critFlt1,dFlt2,critFlt2,dFlt3,critFlt3))</f>
        <v/>
      </c>
      <c r="F2797" t="str">
        <f>IF($B2797="","",SUMIFS(dQty,dCust,$B2797,dPer,"&gt;="&amp;cyFrom,dPer,"&lt;="&amp;cyTo,dQty,"&gt;-1E+300",dFlt1,critFlt1,dFlt2,critFlt2,dFlt3,critFlt3))</f>
        <v/>
      </c>
      <c r="G2797">
        <f>IF($B2797="",0,IFERROR(IF(OR(C2797&lt;&gt;0,D2797&lt;&gt;0,E2797&lt;&gt;0,F2797&lt;&gt;0),1,0),1))</f>
        <v>0</v>
      </c>
      <c r="H2797" t="str">
        <f>IF(OR(G2797=0,E2797=0),"",C2797/E2797)</f>
        <v/>
      </c>
      <c r="I2797" t="str">
        <f>IF(OR(G2797=0,F2797=0),"",D2797/F2797)</f>
        <v/>
      </c>
      <c r="J2797" t="str">
        <f>IF(OR(H2797="",I2797=""),"",IF(H2797=0,"",I2797/H2797-1))</f>
        <v/>
      </c>
      <c r="K2797" t="str">
        <f>IF($B2797="","",IFERROR(IF(G2797=0,-2E+300,CHOOSE(sortIdx,ROUND(D2797,0),IF(J2797="",-1E+300,ROUND(-J2797,6)),IF(J2797="",-1E+300,ROUND(J2797,6)))),-1.5E+300))</f>
        <v/>
      </c>
      <c r="L2797" t="str">
        <f>IF(K2797="","",RANK(K2797,$K$2:$K$3001,0)+COUNTIF($K$2:K2797,K2797)-1)</f>
        <v/>
      </c>
    </row>
    <row r="2798">
      <c r="B2798" t="str">
        <f>IFERROR(IF(A2798="","","="&amp;SUBSTITUTE(SUBSTITUTE(SUBSTITUTE(A2798,"~","~~"),"*","~*"),"?","~?")),"")</f>
        <v/>
      </c>
      <c r="C2798" t="str">
        <f>IF($B2798="","",SUMIFS(dAmt,dCust,$B2798,dPer,"&gt;="&amp;pyFrom,dPer,"&lt;="&amp;pyTo,dAmt,"&gt;-1E+300",dFlt1,critFlt1,dFlt2,critFlt2,dFlt3,critFlt3))</f>
        <v/>
      </c>
      <c r="D2798" t="str">
        <f>IF($B2798="","",SUMIFS(dAmt,dCust,$B2798,dPer,"&gt;="&amp;cyFrom,dPer,"&lt;="&amp;cyTo,dAmt,"&gt;-1E+300",dFlt1,critFlt1,dFlt2,critFlt2,dFlt3,critFlt3))</f>
        <v/>
      </c>
      <c r="E2798" t="str">
        <f>IF($B2798="","",SUMIFS(dQty,dCust,$B2798,dPer,"&gt;="&amp;pyFrom,dPer,"&lt;="&amp;pyTo,dQty,"&gt;-1E+300",dFlt1,critFlt1,dFlt2,critFlt2,dFlt3,critFlt3))</f>
        <v/>
      </c>
      <c r="F2798" t="str">
        <f>IF($B2798="","",SUMIFS(dQty,dCust,$B2798,dPer,"&gt;="&amp;cyFrom,dPer,"&lt;="&amp;cyTo,dQty,"&gt;-1E+300",dFlt1,critFlt1,dFlt2,critFlt2,dFlt3,critFlt3))</f>
        <v/>
      </c>
      <c r="G2798">
        <f>IF($B2798="",0,IFERROR(IF(OR(C2798&lt;&gt;0,D2798&lt;&gt;0,E2798&lt;&gt;0,F2798&lt;&gt;0),1,0),1))</f>
        <v>0</v>
      </c>
      <c r="H2798" t="str">
        <f>IF(OR(G2798=0,E2798=0),"",C2798/E2798)</f>
        <v/>
      </c>
      <c r="I2798" t="str">
        <f>IF(OR(G2798=0,F2798=0),"",D2798/F2798)</f>
        <v/>
      </c>
      <c r="J2798" t="str">
        <f>IF(OR(H2798="",I2798=""),"",IF(H2798=0,"",I2798/H2798-1))</f>
        <v/>
      </c>
      <c r="K2798" t="str">
        <f>IF($B2798="","",IFERROR(IF(G2798=0,-2E+300,CHOOSE(sortIdx,ROUND(D2798,0),IF(J2798="",-1E+300,ROUND(-J2798,6)),IF(J2798="",-1E+300,ROUND(J2798,6)))),-1.5E+300))</f>
        <v/>
      </c>
      <c r="L2798" t="str">
        <f>IF(K2798="","",RANK(K2798,$K$2:$K$3001,0)+COUNTIF($K$2:K2798,K2798)-1)</f>
        <v/>
      </c>
    </row>
    <row r="2799">
      <c r="B2799" t="str">
        <f>IFERROR(IF(A2799="","","="&amp;SUBSTITUTE(SUBSTITUTE(SUBSTITUTE(A2799,"~","~~"),"*","~*"),"?","~?")),"")</f>
        <v/>
      </c>
      <c r="C2799" t="str">
        <f>IF($B2799="","",SUMIFS(dAmt,dCust,$B2799,dPer,"&gt;="&amp;pyFrom,dPer,"&lt;="&amp;pyTo,dAmt,"&gt;-1E+300",dFlt1,critFlt1,dFlt2,critFlt2,dFlt3,critFlt3))</f>
        <v/>
      </c>
      <c r="D2799" t="str">
        <f>IF($B2799="","",SUMIFS(dAmt,dCust,$B2799,dPer,"&gt;="&amp;cyFrom,dPer,"&lt;="&amp;cyTo,dAmt,"&gt;-1E+300",dFlt1,critFlt1,dFlt2,critFlt2,dFlt3,critFlt3))</f>
        <v/>
      </c>
      <c r="E2799" t="str">
        <f>IF($B2799="","",SUMIFS(dQty,dCust,$B2799,dPer,"&gt;="&amp;pyFrom,dPer,"&lt;="&amp;pyTo,dQty,"&gt;-1E+300",dFlt1,critFlt1,dFlt2,critFlt2,dFlt3,critFlt3))</f>
        <v/>
      </c>
      <c r="F2799" t="str">
        <f>IF($B2799="","",SUMIFS(dQty,dCust,$B2799,dPer,"&gt;="&amp;cyFrom,dPer,"&lt;="&amp;cyTo,dQty,"&gt;-1E+300",dFlt1,critFlt1,dFlt2,critFlt2,dFlt3,critFlt3))</f>
        <v/>
      </c>
      <c r="G2799">
        <f>IF($B2799="",0,IFERROR(IF(OR(C2799&lt;&gt;0,D2799&lt;&gt;0,E2799&lt;&gt;0,F2799&lt;&gt;0),1,0),1))</f>
        <v>0</v>
      </c>
      <c r="H2799" t="str">
        <f>IF(OR(G2799=0,E2799=0),"",C2799/E2799)</f>
        <v/>
      </c>
      <c r="I2799" t="str">
        <f>IF(OR(G2799=0,F2799=0),"",D2799/F2799)</f>
        <v/>
      </c>
      <c r="J2799" t="str">
        <f>IF(OR(H2799="",I2799=""),"",IF(H2799=0,"",I2799/H2799-1))</f>
        <v/>
      </c>
      <c r="K2799" t="str">
        <f>IF($B2799="","",IFERROR(IF(G2799=0,-2E+300,CHOOSE(sortIdx,ROUND(D2799,0),IF(J2799="",-1E+300,ROUND(-J2799,6)),IF(J2799="",-1E+300,ROUND(J2799,6)))),-1.5E+300))</f>
        <v/>
      </c>
      <c r="L2799" t="str">
        <f>IF(K2799="","",RANK(K2799,$K$2:$K$3001,0)+COUNTIF($K$2:K2799,K2799)-1)</f>
        <v/>
      </c>
    </row>
    <row r="2800">
      <c r="B2800" t="str">
        <f>IFERROR(IF(A2800="","","="&amp;SUBSTITUTE(SUBSTITUTE(SUBSTITUTE(A2800,"~","~~"),"*","~*"),"?","~?")),"")</f>
        <v/>
      </c>
      <c r="C2800" t="str">
        <f>IF($B2800="","",SUMIFS(dAmt,dCust,$B2800,dPer,"&gt;="&amp;pyFrom,dPer,"&lt;="&amp;pyTo,dAmt,"&gt;-1E+300",dFlt1,critFlt1,dFlt2,critFlt2,dFlt3,critFlt3))</f>
        <v/>
      </c>
      <c r="D2800" t="str">
        <f>IF($B2800="","",SUMIFS(dAmt,dCust,$B2800,dPer,"&gt;="&amp;cyFrom,dPer,"&lt;="&amp;cyTo,dAmt,"&gt;-1E+300",dFlt1,critFlt1,dFlt2,critFlt2,dFlt3,critFlt3))</f>
        <v/>
      </c>
      <c r="E2800" t="str">
        <f>IF($B2800="","",SUMIFS(dQty,dCust,$B2800,dPer,"&gt;="&amp;pyFrom,dPer,"&lt;="&amp;pyTo,dQty,"&gt;-1E+300",dFlt1,critFlt1,dFlt2,critFlt2,dFlt3,critFlt3))</f>
        <v/>
      </c>
      <c r="F2800" t="str">
        <f>IF($B2800="","",SUMIFS(dQty,dCust,$B2800,dPer,"&gt;="&amp;cyFrom,dPer,"&lt;="&amp;cyTo,dQty,"&gt;-1E+300",dFlt1,critFlt1,dFlt2,critFlt2,dFlt3,critFlt3))</f>
        <v/>
      </c>
      <c r="G2800">
        <f>IF($B2800="",0,IFERROR(IF(OR(C2800&lt;&gt;0,D2800&lt;&gt;0,E2800&lt;&gt;0,F2800&lt;&gt;0),1,0),1))</f>
        <v>0</v>
      </c>
      <c r="H2800" t="str">
        <f>IF(OR(G2800=0,E2800=0),"",C2800/E2800)</f>
        <v/>
      </c>
      <c r="I2800" t="str">
        <f>IF(OR(G2800=0,F2800=0),"",D2800/F2800)</f>
        <v/>
      </c>
      <c r="J2800" t="str">
        <f>IF(OR(H2800="",I2800=""),"",IF(H2800=0,"",I2800/H2800-1))</f>
        <v/>
      </c>
      <c r="K2800" t="str">
        <f>IF($B2800="","",IFERROR(IF(G2800=0,-2E+300,CHOOSE(sortIdx,ROUND(D2800,0),IF(J2800="",-1E+300,ROUND(-J2800,6)),IF(J2800="",-1E+300,ROUND(J2800,6)))),-1.5E+300))</f>
        <v/>
      </c>
      <c r="L2800" t="str">
        <f>IF(K2800="","",RANK(K2800,$K$2:$K$3001,0)+COUNTIF($K$2:K2800,K2800)-1)</f>
        <v/>
      </c>
    </row>
    <row r="2801">
      <c r="B2801" t="str">
        <f>IFERROR(IF(A2801="","","="&amp;SUBSTITUTE(SUBSTITUTE(SUBSTITUTE(A2801,"~","~~"),"*","~*"),"?","~?")),"")</f>
        <v/>
      </c>
      <c r="C2801" t="str">
        <f>IF($B2801="","",SUMIFS(dAmt,dCust,$B2801,dPer,"&gt;="&amp;pyFrom,dPer,"&lt;="&amp;pyTo,dAmt,"&gt;-1E+300",dFlt1,critFlt1,dFlt2,critFlt2,dFlt3,critFlt3))</f>
        <v/>
      </c>
      <c r="D2801" t="str">
        <f>IF($B2801="","",SUMIFS(dAmt,dCust,$B2801,dPer,"&gt;="&amp;cyFrom,dPer,"&lt;="&amp;cyTo,dAmt,"&gt;-1E+300",dFlt1,critFlt1,dFlt2,critFlt2,dFlt3,critFlt3))</f>
        <v/>
      </c>
      <c r="E2801" t="str">
        <f>IF($B2801="","",SUMIFS(dQty,dCust,$B2801,dPer,"&gt;="&amp;pyFrom,dPer,"&lt;="&amp;pyTo,dQty,"&gt;-1E+300",dFlt1,critFlt1,dFlt2,critFlt2,dFlt3,critFlt3))</f>
        <v/>
      </c>
      <c r="F2801" t="str">
        <f>IF($B2801="","",SUMIFS(dQty,dCust,$B2801,dPer,"&gt;="&amp;cyFrom,dPer,"&lt;="&amp;cyTo,dQty,"&gt;-1E+300",dFlt1,critFlt1,dFlt2,critFlt2,dFlt3,critFlt3))</f>
        <v/>
      </c>
      <c r="G2801">
        <f>IF($B2801="",0,IFERROR(IF(OR(C2801&lt;&gt;0,D2801&lt;&gt;0,E2801&lt;&gt;0,F2801&lt;&gt;0),1,0),1))</f>
        <v>0</v>
      </c>
      <c r="H2801" t="str">
        <f>IF(OR(G2801=0,E2801=0),"",C2801/E2801)</f>
        <v/>
      </c>
      <c r="I2801" t="str">
        <f>IF(OR(G2801=0,F2801=0),"",D2801/F2801)</f>
        <v/>
      </c>
      <c r="J2801" t="str">
        <f>IF(OR(H2801="",I2801=""),"",IF(H2801=0,"",I2801/H2801-1))</f>
        <v/>
      </c>
      <c r="K2801" t="str">
        <f>IF($B2801="","",IFERROR(IF(G2801=0,-2E+300,CHOOSE(sortIdx,ROUND(D2801,0),IF(J2801="",-1E+300,ROUND(-J2801,6)),IF(J2801="",-1E+300,ROUND(J2801,6)))),-1.5E+300))</f>
        <v/>
      </c>
      <c r="L2801" t="str">
        <f>IF(K2801="","",RANK(K2801,$K$2:$K$3001,0)+COUNTIF($K$2:K2801,K2801)-1)</f>
        <v/>
      </c>
    </row>
    <row r="2802">
      <c r="B2802" t="str">
        <f>IFERROR(IF(A2802="","","="&amp;SUBSTITUTE(SUBSTITUTE(SUBSTITUTE(A2802,"~","~~"),"*","~*"),"?","~?")),"")</f>
        <v/>
      </c>
      <c r="C2802" t="str">
        <f>IF($B2802="","",SUMIFS(dAmt,dCust,$B2802,dPer,"&gt;="&amp;pyFrom,dPer,"&lt;="&amp;pyTo,dAmt,"&gt;-1E+300",dFlt1,critFlt1,dFlt2,critFlt2,dFlt3,critFlt3))</f>
        <v/>
      </c>
      <c r="D2802" t="str">
        <f>IF($B2802="","",SUMIFS(dAmt,dCust,$B2802,dPer,"&gt;="&amp;cyFrom,dPer,"&lt;="&amp;cyTo,dAmt,"&gt;-1E+300",dFlt1,critFlt1,dFlt2,critFlt2,dFlt3,critFlt3))</f>
        <v/>
      </c>
      <c r="E2802" t="str">
        <f>IF($B2802="","",SUMIFS(dQty,dCust,$B2802,dPer,"&gt;="&amp;pyFrom,dPer,"&lt;="&amp;pyTo,dQty,"&gt;-1E+300",dFlt1,critFlt1,dFlt2,critFlt2,dFlt3,critFlt3))</f>
        <v/>
      </c>
      <c r="F2802" t="str">
        <f>IF($B2802="","",SUMIFS(dQty,dCust,$B2802,dPer,"&gt;="&amp;cyFrom,dPer,"&lt;="&amp;cyTo,dQty,"&gt;-1E+300",dFlt1,critFlt1,dFlt2,critFlt2,dFlt3,critFlt3))</f>
        <v/>
      </c>
      <c r="G2802">
        <f>IF($B2802="",0,IFERROR(IF(OR(C2802&lt;&gt;0,D2802&lt;&gt;0,E2802&lt;&gt;0,F2802&lt;&gt;0),1,0),1))</f>
        <v>0</v>
      </c>
      <c r="H2802" t="str">
        <f>IF(OR(G2802=0,E2802=0),"",C2802/E2802)</f>
        <v/>
      </c>
      <c r="I2802" t="str">
        <f>IF(OR(G2802=0,F2802=0),"",D2802/F2802)</f>
        <v/>
      </c>
      <c r="J2802" t="str">
        <f>IF(OR(H2802="",I2802=""),"",IF(H2802=0,"",I2802/H2802-1))</f>
        <v/>
      </c>
      <c r="K2802" t="str">
        <f>IF($B2802="","",IFERROR(IF(G2802=0,-2E+300,CHOOSE(sortIdx,ROUND(D2802,0),IF(J2802="",-1E+300,ROUND(-J2802,6)),IF(J2802="",-1E+300,ROUND(J2802,6)))),-1.5E+300))</f>
        <v/>
      </c>
      <c r="L2802" t="str">
        <f>IF(K2802="","",RANK(K2802,$K$2:$K$3001,0)+COUNTIF($K$2:K2802,K2802)-1)</f>
        <v/>
      </c>
    </row>
    <row r="2803">
      <c r="B2803" t="str">
        <f>IFERROR(IF(A2803="","","="&amp;SUBSTITUTE(SUBSTITUTE(SUBSTITUTE(A2803,"~","~~"),"*","~*"),"?","~?")),"")</f>
        <v/>
      </c>
      <c r="C2803" t="str">
        <f>IF($B2803="","",SUMIFS(dAmt,dCust,$B2803,dPer,"&gt;="&amp;pyFrom,dPer,"&lt;="&amp;pyTo,dAmt,"&gt;-1E+300",dFlt1,critFlt1,dFlt2,critFlt2,dFlt3,critFlt3))</f>
        <v/>
      </c>
      <c r="D2803" t="str">
        <f>IF($B2803="","",SUMIFS(dAmt,dCust,$B2803,dPer,"&gt;="&amp;cyFrom,dPer,"&lt;="&amp;cyTo,dAmt,"&gt;-1E+300",dFlt1,critFlt1,dFlt2,critFlt2,dFlt3,critFlt3))</f>
        <v/>
      </c>
      <c r="E2803" t="str">
        <f>IF($B2803="","",SUMIFS(dQty,dCust,$B2803,dPer,"&gt;="&amp;pyFrom,dPer,"&lt;="&amp;pyTo,dQty,"&gt;-1E+300",dFlt1,critFlt1,dFlt2,critFlt2,dFlt3,critFlt3))</f>
        <v/>
      </c>
      <c r="F2803" t="str">
        <f>IF($B2803="","",SUMIFS(dQty,dCust,$B2803,dPer,"&gt;="&amp;cyFrom,dPer,"&lt;="&amp;cyTo,dQty,"&gt;-1E+300",dFlt1,critFlt1,dFlt2,critFlt2,dFlt3,critFlt3))</f>
        <v/>
      </c>
      <c r="G2803">
        <f>IF($B2803="",0,IFERROR(IF(OR(C2803&lt;&gt;0,D2803&lt;&gt;0,E2803&lt;&gt;0,F2803&lt;&gt;0),1,0),1))</f>
        <v>0</v>
      </c>
      <c r="H2803" t="str">
        <f>IF(OR(G2803=0,E2803=0),"",C2803/E2803)</f>
        <v/>
      </c>
      <c r="I2803" t="str">
        <f>IF(OR(G2803=0,F2803=0),"",D2803/F2803)</f>
        <v/>
      </c>
      <c r="J2803" t="str">
        <f>IF(OR(H2803="",I2803=""),"",IF(H2803=0,"",I2803/H2803-1))</f>
        <v/>
      </c>
      <c r="K2803" t="str">
        <f>IF($B2803="","",IFERROR(IF(G2803=0,-2E+300,CHOOSE(sortIdx,ROUND(D2803,0),IF(J2803="",-1E+300,ROUND(-J2803,6)),IF(J2803="",-1E+300,ROUND(J2803,6)))),-1.5E+300))</f>
        <v/>
      </c>
      <c r="L2803" t="str">
        <f>IF(K2803="","",RANK(K2803,$K$2:$K$3001,0)+COUNTIF($K$2:K2803,K2803)-1)</f>
        <v/>
      </c>
    </row>
    <row r="2804">
      <c r="B2804" t="str">
        <f>IFERROR(IF(A2804="","","="&amp;SUBSTITUTE(SUBSTITUTE(SUBSTITUTE(A2804,"~","~~"),"*","~*"),"?","~?")),"")</f>
        <v/>
      </c>
      <c r="C2804" t="str">
        <f>IF($B2804="","",SUMIFS(dAmt,dCust,$B2804,dPer,"&gt;="&amp;pyFrom,dPer,"&lt;="&amp;pyTo,dAmt,"&gt;-1E+300",dFlt1,critFlt1,dFlt2,critFlt2,dFlt3,critFlt3))</f>
        <v/>
      </c>
      <c r="D2804" t="str">
        <f>IF($B2804="","",SUMIFS(dAmt,dCust,$B2804,dPer,"&gt;="&amp;cyFrom,dPer,"&lt;="&amp;cyTo,dAmt,"&gt;-1E+300",dFlt1,critFlt1,dFlt2,critFlt2,dFlt3,critFlt3))</f>
        <v/>
      </c>
      <c r="E2804" t="str">
        <f>IF($B2804="","",SUMIFS(dQty,dCust,$B2804,dPer,"&gt;="&amp;pyFrom,dPer,"&lt;="&amp;pyTo,dQty,"&gt;-1E+300",dFlt1,critFlt1,dFlt2,critFlt2,dFlt3,critFlt3))</f>
        <v/>
      </c>
      <c r="F2804" t="str">
        <f>IF($B2804="","",SUMIFS(dQty,dCust,$B2804,dPer,"&gt;="&amp;cyFrom,dPer,"&lt;="&amp;cyTo,dQty,"&gt;-1E+300",dFlt1,critFlt1,dFlt2,critFlt2,dFlt3,critFlt3))</f>
        <v/>
      </c>
      <c r="G2804">
        <f>IF($B2804="",0,IFERROR(IF(OR(C2804&lt;&gt;0,D2804&lt;&gt;0,E2804&lt;&gt;0,F2804&lt;&gt;0),1,0),1))</f>
        <v>0</v>
      </c>
      <c r="H2804" t="str">
        <f>IF(OR(G2804=0,E2804=0),"",C2804/E2804)</f>
        <v/>
      </c>
      <c r="I2804" t="str">
        <f>IF(OR(G2804=0,F2804=0),"",D2804/F2804)</f>
        <v/>
      </c>
      <c r="J2804" t="str">
        <f>IF(OR(H2804="",I2804=""),"",IF(H2804=0,"",I2804/H2804-1))</f>
        <v/>
      </c>
      <c r="K2804" t="str">
        <f>IF($B2804="","",IFERROR(IF(G2804=0,-2E+300,CHOOSE(sortIdx,ROUND(D2804,0),IF(J2804="",-1E+300,ROUND(-J2804,6)),IF(J2804="",-1E+300,ROUND(J2804,6)))),-1.5E+300))</f>
        <v/>
      </c>
      <c r="L2804" t="str">
        <f>IF(K2804="","",RANK(K2804,$K$2:$K$3001,0)+COUNTIF($K$2:K2804,K2804)-1)</f>
        <v/>
      </c>
    </row>
    <row r="2805">
      <c r="B2805" t="str">
        <f>IFERROR(IF(A2805="","","="&amp;SUBSTITUTE(SUBSTITUTE(SUBSTITUTE(A2805,"~","~~"),"*","~*"),"?","~?")),"")</f>
        <v/>
      </c>
      <c r="C2805" t="str">
        <f>IF($B2805="","",SUMIFS(dAmt,dCust,$B2805,dPer,"&gt;="&amp;pyFrom,dPer,"&lt;="&amp;pyTo,dAmt,"&gt;-1E+300",dFlt1,critFlt1,dFlt2,critFlt2,dFlt3,critFlt3))</f>
        <v/>
      </c>
      <c r="D2805" t="str">
        <f>IF($B2805="","",SUMIFS(dAmt,dCust,$B2805,dPer,"&gt;="&amp;cyFrom,dPer,"&lt;="&amp;cyTo,dAmt,"&gt;-1E+300",dFlt1,critFlt1,dFlt2,critFlt2,dFlt3,critFlt3))</f>
        <v/>
      </c>
      <c r="E2805" t="str">
        <f>IF($B2805="","",SUMIFS(dQty,dCust,$B2805,dPer,"&gt;="&amp;pyFrom,dPer,"&lt;="&amp;pyTo,dQty,"&gt;-1E+300",dFlt1,critFlt1,dFlt2,critFlt2,dFlt3,critFlt3))</f>
        <v/>
      </c>
      <c r="F2805" t="str">
        <f>IF($B2805="","",SUMIFS(dQty,dCust,$B2805,dPer,"&gt;="&amp;cyFrom,dPer,"&lt;="&amp;cyTo,dQty,"&gt;-1E+300",dFlt1,critFlt1,dFlt2,critFlt2,dFlt3,critFlt3))</f>
        <v/>
      </c>
      <c r="G2805">
        <f>IF($B2805="",0,IFERROR(IF(OR(C2805&lt;&gt;0,D2805&lt;&gt;0,E2805&lt;&gt;0,F2805&lt;&gt;0),1,0),1))</f>
        <v>0</v>
      </c>
      <c r="H2805" t="str">
        <f>IF(OR(G2805=0,E2805=0),"",C2805/E2805)</f>
        <v/>
      </c>
      <c r="I2805" t="str">
        <f>IF(OR(G2805=0,F2805=0),"",D2805/F2805)</f>
        <v/>
      </c>
      <c r="J2805" t="str">
        <f>IF(OR(H2805="",I2805=""),"",IF(H2805=0,"",I2805/H2805-1))</f>
        <v/>
      </c>
      <c r="K2805" t="str">
        <f>IF($B2805="","",IFERROR(IF(G2805=0,-2E+300,CHOOSE(sortIdx,ROUND(D2805,0),IF(J2805="",-1E+300,ROUND(-J2805,6)),IF(J2805="",-1E+300,ROUND(J2805,6)))),-1.5E+300))</f>
        <v/>
      </c>
      <c r="L2805" t="str">
        <f>IF(K2805="","",RANK(K2805,$K$2:$K$3001,0)+COUNTIF($K$2:K2805,K2805)-1)</f>
        <v/>
      </c>
    </row>
    <row r="2806">
      <c r="B2806" t="str">
        <f>IFERROR(IF(A2806="","","="&amp;SUBSTITUTE(SUBSTITUTE(SUBSTITUTE(A2806,"~","~~"),"*","~*"),"?","~?")),"")</f>
        <v/>
      </c>
      <c r="C2806" t="str">
        <f>IF($B2806="","",SUMIFS(dAmt,dCust,$B2806,dPer,"&gt;="&amp;pyFrom,dPer,"&lt;="&amp;pyTo,dAmt,"&gt;-1E+300",dFlt1,critFlt1,dFlt2,critFlt2,dFlt3,critFlt3))</f>
        <v/>
      </c>
      <c r="D2806" t="str">
        <f>IF($B2806="","",SUMIFS(dAmt,dCust,$B2806,dPer,"&gt;="&amp;cyFrom,dPer,"&lt;="&amp;cyTo,dAmt,"&gt;-1E+300",dFlt1,critFlt1,dFlt2,critFlt2,dFlt3,critFlt3))</f>
        <v/>
      </c>
      <c r="E2806" t="str">
        <f>IF($B2806="","",SUMIFS(dQty,dCust,$B2806,dPer,"&gt;="&amp;pyFrom,dPer,"&lt;="&amp;pyTo,dQty,"&gt;-1E+300",dFlt1,critFlt1,dFlt2,critFlt2,dFlt3,critFlt3))</f>
        <v/>
      </c>
      <c r="F2806" t="str">
        <f>IF($B2806="","",SUMIFS(dQty,dCust,$B2806,dPer,"&gt;="&amp;cyFrom,dPer,"&lt;="&amp;cyTo,dQty,"&gt;-1E+300",dFlt1,critFlt1,dFlt2,critFlt2,dFlt3,critFlt3))</f>
        <v/>
      </c>
      <c r="G2806">
        <f>IF($B2806="",0,IFERROR(IF(OR(C2806&lt;&gt;0,D2806&lt;&gt;0,E2806&lt;&gt;0,F2806&lt;&gt;0),1,0),1))</f>
        <v>0</v>
      </c>
      <c r="H2806" t="str">
        <f>IF(OR(G2806=0,E2806=0),"",C2806/E2806)</f>
        <v/>
      </c>
      <c r="I2806" t="str">
        <f>IF(OR(G2806=0,F2806=0),"",D2806/F2806)</f>
        <v/>
      </c>
      <c r="J2806" t="str">
        <f>IF(OR(H2806="",I2806=""),"",IF(H2806=0,"",I2806/H2806-1))</f>
        <v/>
      </c>
      <c r="K2806" t="str">
        <f>IF($B2806="","",IFERROR(IF(G2806=0,-2E+300,CHOOSE(sortIdx,ROUND(D2806,0),IF(J2806="",-1E+300,ROUND(-J2806,6)),IF(J2806="",-1E+300,ROUND(J2806,6)))),-1.5E+300))</f>
        <v/>
      </c>
      <c r="L2806" t="str">
        <f>IF(K2806="","",RANK(K2806,$K$2:$K$3001,0)+COUNTIF($K$2:K2806,K2806)-1)</f>
        <v/>
      </c>
    </row>
    <row r="2807">
      <c r="B2807" t="str">
        <f>IFERROR(IF(A2807="","","="&amp;SUBSTITUTE(SUBSTITUTE(SUBSTITUTE(A2807,"~","~~"),"*","~*"),"?","~?")),"")</f>
        <v/>
      </c>
      <c r="C2807" t="str">
        <f>IF($B2807="","",SUMIFS(dAmt,dCust,$B2807,dPer,"&gt;="&amp;pyFrom,dPer,"&lt;="&amp;pyTo,dAmt,"&gt;-1E+300",dFlt1,critFlt1,dFlt2,critFlt2,dFlt3,critFlt3))</f>
        <v/>
      </c>
      <c r="D2807" t="str">
        <f>IF($B2807="","",SUMIFS(dAmt,dCust,$B2807,dPer,"&gt;="&amp;cyFrom,dPer,"&lt;="&amp;cyTo,dAmt,"&gt;-1E+300",dFlt1,critFlt1,dFlt2,critFlt2,dFlt3,critFlt3))</f>
        <v/>
      </c>
      <c r="E2807" t="str">
        <f>IF($B2807="","",SUMIFS(dQty,dCust,$B2807,dPer,"&gt;="&amp;pyFrom,dPer,"&lt;="&amp;pyTo,dQty,"&gt;-1E+300",dFlt1,critFlt1,dFlt2,critFlt2,dFlt3,critFlt3))</f>
        <v/>
      </c>
      <c r="F2807" t="str">
        <f>IF($B2807="","",SUMIFS(dQty,dCust,$B2807,dPer,"&gt;="&amp;cyFrom,dPer,"&lt;="&amp;cyTo,dQty,"&gt;-1E+300",dFlt1,critFlt1,dFlt2,critFlt2,dFlt3,critFlt3))</f>
        <v/>
      </c>
      <c r="G2807">
        <f>IF($B2807="",0,IFERROR(IF(OR(C2807&lt;&gt;0,D2807&lt;&gt;0,E2807&lt;&gt;0,F2807&lt;&gt;0),1,0),1))</f>
        <v>0</v>
      </c>
      <c r="H2807" t="str">
        <f>IF(OR(G2807=0,E2807=0),"",C2807/E2807)</f>
        <v/>
      </c>
      <c r="I2807" t="str">
        <f>IF(OR(G2807=0,F2807=0),"",D2807/F2807)</f>
        <v/>
      </c>
      <c r="J2807" t="str">
        <f>IF(OR(H2807="",I2807=""),"",IF(H2807=0,"",I2807/H2807-1))</f>
        <v/>
      </c>
      <c r="K2807" t="str">
        <f>IF($B2807="","",IFERROR(IF(G2807=0,-2E+300,CHOOSE(sortIdx,ROUND(D2807,0),IF(J2807="",-1E+300,ROUND(-J2807,6)),IF(J2807="",-1E+300,ROUND(J2807,6)))),-1.5E+300))</f>
        <v/>
      </c>
      <c r="L2807" t="str">
        <f>IF(K2807="","",RANK(K2807,$K$2:$K$3001,0)+COUNTIF($K$2:K2807,K2807)-1)</f>
        <v/>
      </c>
    </row>
    <row r="2808">
      <c r="B2808" t="str">
        <f>IFERROR(IF(A2808="","","="&amp;SUBSTITUTE(SUBSTITUTE(SUBSTITUTE(A2808,"~","~~"),"*","~*"),"?","~?")),"")</f>
        <v/>
      </c>
      <c r="C2808" t="str">
        <f>IF($B2808="","",SUMIFS(dAmt,dCust,$B2808,dPer,"&gt;="&amp;pyFrom,dPer,"&lt;="&amp;pyTo,dAmt,"&gt;-1E+300",dFlt1,critFlt1,dFlt2,critFlt2,dFlt3,critFlt3))</f>
        <v/>
      </c>
      <c r="D2808" t="str">
        <f>IF($B2808="","",SUMIFS(dAmt,dCust,$B2808,dPer,"&gt;="&amp;cyFrom,dPer,"&lt;="&amp;cyTo,dAmt,"&gt;-1E+300",dFlt1,critFlt1,dFlt2,critFlt2,dFlt3,critFlt3))</f>
        <v/>
      </c>
      <c r="E2808" t="str">
        <f>IF($B2808="","",SUMIFS(dQty,dCust,$B2808,dPer,"&gt;="&amp;pyFrom,dPer,"&lt;="&amp;pyTo,dQty,"&gt;-1E+300",dFlt1,critFlt1,dFlt2,critFlt2,dFlt3,critFlt3))</f>
        <v/>
      </c>
      <c r="F2808" t="str">
        <f>IF($B2808="","",SUMIFS(dQty,dCust,$B2808,dPer,"&gt;="&amp;cyFrom,dPer,"&lt;="&amp;cyTo,dQty,"&gt;-1E+300",dFlt1,critFlt1,dFlt2,critFlt2,dFlt3,critFlt3))</f>
        <v/>
      </c>
      <c r="G2808">
        <f>IF($B2808="",0,IFERROR(IF(OR(C2808&lt;&gt;0,D2808&lt;&gt;0,E2808&lt;&gt;0,F2808&lt;&gt;0),1,0),1))</f>
        <v>0</v>
      </c>
      <c r="H2808" t="str">
        <f>IF(OR(G2808=0,E2808=0),"",C2808/E2808)</f>
        <v/>
      </c>
      <c r="I2808" t="str">
        <f>IF(OR(G2808=0,F2808=0),"",D2808/F2808)</f>
        <v/>
      </c>
      <c r="J2808" t="str">
        <f>IF(OR(H2808="",I2808=""),"",IF(H2808=0,"",I2808/H2808-1))</f>
        <v/>
      </c>
      <c r="K2808" t="str">
        <f>IF($B2808="","",IFERROR(IF(G2808=0,-2E+300,CHOOSE(sortIdx,ROUND(D2808,0),IF(J2808="",-1E+300,ROUND(-J2808,6)),IF(J2808="",-1E+300,ROUND(J2808,6)))),-1.5E+300))</f>
        <v/>
      </c>
      <c r="L2808" t="str">
        <f>IF(K2808="","",RANK(K2808,$K$2:$K$3001,0)+COUNTIF($K$2:K2808,K2808)-1)</f>
        <v/>
      </c>
    </row>
    <row r="2809">
      <c r="B2809" t="str">
        <f>IFERROR(IF(A2809="","","="&amp;SUBSTITUTE(SUBSTITUTE(SUBSTITUTE(A2809,"~","~~"),"*","~*"),"?","~?")),"")</f>
        <v/>
      </c>
      <c r="C2809" t="str">
        <f>IF($B2809="","",SUMIFS(dAmt,dCust,$B2809,dPer,"&gt;="&amp;pyFrom,dPer,"&lt;="&amp;pyTo,dAmt,"&gt;-1E+300",dFlt1,critFlt1,dFlt2,critFlt2,dFlt3,critFlt3))</f>
        <v/>
      </c>
      <c r="D2809" t="str">
        <f>IF($B2809="","",SUMIFS(dAmt,dCust,$B2809,dPer,"&gt;="&amp;cyFrom,dPer,"&lt;="&amp;cyTo,dAmt,"&gt;-1E+300",dFlt1,critFlt1,dFlt2,critFlt2,dFlt3,critFlt3))</f>
        <v/>
      </c>
      <c r="E2809" t="str">
        <f>IF($B2809="","",SUMIFS(dQty,dCust,$B2809,dPer,"&gt;="&amp;pyFrom,dPer,"&lt;="&amp;pyTo,dQty,"&gt;-1E+300",dFlt1,critFlt1,dFlt2,critFlt2,dFlt3,critFlt3))</f>
        <v/>
      </c>
      <c r="F2809" t="str">
        <f>IF($B2809="","",SUMIFS(dQty,dCust,$B2809,dPer,"&gt;="&amp;cyFrom,dPer,"&lt;="&amp;cyTo,dQty,"&gt;-1E+300",dFlt1,critFlt1,dFlt2,critFlt2,dFlt3,critFlt3))</f>
        <v/>
      </c>
      <c r="G2809">
        <f>IF($B2809="",0,IFERROR(IF(OR(C2809&lt;&gt;0,D2809&lt;&gt;0,E2809&lt;&gt;0,F2809&lt;&gt;0),1,0),1))</f>
        <v>0</v>
      </c>
      <c r="H2809" t="str">
        <f>IF(OR(G2809=0,E2809=0),"",C2809/E2809)</f>
        <v/>
      </c>
      <c r="I2809" t="str">
        <f>IF(OR(G2809=0,F2809=0),"",D2809/F2809)</f>
        <v/>
      </c>
      <c r="J2809" t="str">
        <f>IF(OR(H2809="",I2809=""),"",IF(H2809=0,"",I2809/H2809-1))</f>
        <v/>
      </c>
      <c r="K2809" t="str">
        <f>IF($B2809="","",IFERROR(IF(G2809=0,-2E+300,CHOOSE(sortIdx,ROUND(D2809,0),IF(J2809="",-1E+300,ROUND(-J2809,6)),IF(J2809="",-1E+300,ROUND(J2809,6)))),-1.5E+300))</f>
        <v/>
      </c>
      <c r="L2809" t="str">
        <f>IF(K2809="","",RANK(K2809,$K$2:$K$3001,0)+COUNTIF($K$2:K2809,K2809)-1)</f>
        <v/>
      </c>
    </row>
    <row r="2810">
      <c r="B2810" t="str">
        <f>IFERROR(IF(A2810="","","="&amp;SUBSTITUTE(SUBSTITUTE(SUBSTITUTE(A2810,"~","~~"),"*","~*"),"?","~?")),"")</f>
        <v/>
      </c>
      <c r="C2810" t="str">
        <f>IF($B2810="","",SUMIFS(dAmt,dCust,$B2810,dPer,"&gt;="&amp;pyFrom,dPer,"&lt;="&amp;pyTo,dAmt,"&gt;-1E+300",dFlt1,critFlt1,dFlt2,critFlt2,dFlt3,critFlt3))</f>
        <v/>
      </c>
      <c r="D2810" t="str">
        <f>IF($B2810="","",SUMIFS(dAmt,dCust,$B2810,dPer,"&gt;="&amp;cyFrom,dPer,"&lt;="&amp;cyTo,dAmt,"&gt;-1E+300",dFlt1,critFlt1,dFlt2,critFlt2,dFlt3,critFlt3))</f>
        <v/>
      </c>
      <c r="E2810" t="str">
        <f>IF($B2810="","",SUMIFS(dQty,dCust,$B2810,dPer,"&gt;="&amp;pyFrom,dPer,"&lt;="&amp;pyTo,dQty,"&gt;-1E+300",dFlt1,critFlt1,dFlt2,critFlt2,dFlt3,critFlt3))</f>
        <v/>
      </c>
      <c r="F2810" t="str">
        <f>IF($B2810="","",SUMIFS(dQty,dCust,$B2810,dPer,"&gt;="&amp;cyFrom,dPer,"&lt;="&amp;cyTo,dQty,"&gt;-1E+300",dFlt1,critFlt1,dFlt2,critFlt2,dFlt3,critFlt3))</f>
        <v/>
      </c>
      <c r="G2810">
        <f>IF($B2810="",0,IFERROR(IF(OR(C2810&lt;&gt;0,D2810&lt;&gt;0,E2810&lt;&gt;0,F2810&lt;&gt;0),1,0),1))</f>
        <v>0</v>
      </c>
      <c r="H2810" t="str">
        <f>IF(OR(G2810=0,E2810=0),"",C2810/E2810)</f>
        <v/>
      </c>
      <c r="I2810" t="str">
        <f>IF(OR(G2810=0,F2810=0),"",D2810/F2810)</f>
        <v/>
      </c>
      <c r="J2810" t="str">
        <f>IF(OR(H2810="",I2810=""),"",IF(H2810=0,"",I2810/H2810-1))</f>
        <v/>
      </c>
      <c r="K2810" t="str">
        <f>IF($B2810="","",IFERROR(IF(G2810=0,-2E+300,CHOOSE(sortIdx,ROUND(D2810,0),IF(J2810="",-1E+300,ROUND(-J2810,6)),IF(J2810="",-1E+300,ROUND(J2810,6)))),-1.5E+300))</f>
        <v/>
      </c>
      <c r="L2810" t="str">
        <f>IF(K2810="","",RANK(K2810,$K$2:$K$3001,0)+COUNTIF($K$2:K2810,K2810)-1)</f>
        <v/>
      </c>
    </row>
    <row r="2811">
      <c r="B2811" t="str">
        <f>IFERROR(IF(A2811="","","="&amp;SUBSTITUTE(SUBSTITUTE(SUBSTITUTE(A2811,"~","~~"),"*","~*"),"?","~?")),"")</f>
        <v/>
      </c>
      <c r="C2811" t="str">
        <f>IF($B2811="","",SUMIFS(dAmt,dCust,$B2811,dPer,"&gt;="&amp;pyFrom,dPer,"&lt;="&amp;pyTo,dAmt,"&gt;-1E+300",dFlt1,critFlt1,dFlt2,critFlt2,dFlt3,critFlt3))</f>
        <v/>
      </c>
      <c r="D2811" t="str">
        <f>IF($B2811="","",SUMIFS(dAmt,dCust,$B2811,dPer,"&gt;="&amp;cyFrom,dPer,"&lt;="&amp;cyTo,dAmt,"&gt;-1E+300",dFlt1,critFlt1,dFlt2,critFlt2,dFlt3,critFlt3))</f>
        <v/>
      </c>
      <c r="E2811" t="str">
        <f>IF($B2811="","",SUMIFS(dQty,dCust,$B2811,dPer,"&gt;="&amp;pyFrom,dPer,"&lt;="&amp;pyTo,dQty,"&gt;-1E+300",dFlt1,critFlt1,dFlt2,critFlt2,dFlt3,critFlt3))</f>
        <v/>
      </c>
      <c r="F2811" t="str">
        <f>IF($B2811="","",SUMIFS(dQty,dCust,$B2811,dPer,"&gt;="&amp;cyFrom,dPer,"&lt;="&amp;cyTo,dQty,"&gt;-1E+300",dFlt1,critFlt1,dFlt2,critFlt2,dFlt3,critFlt3))</f>
        <v/>
      </c>
      <c r="G2811">
        <f>IF($B2811="",0,IFERROR(IF(OR(C2811&lt;&gt;0,D2811&lt;&gt;0,E2811&lt;&gt;0,F2811&lt;&gt;0),1,0),1))</f>
        <v>0</v>
      </c>
      <c r="H2811" t="str">
        <f>IF(OR(G2811=0,E2811=0),"",C2811/E2811)</f>
        <v/>
      </c>
      <c r="I2811" t="str">
        <f>IF(OR(G2811=0,F2811=0),"",D2811/F2811)</f>
        <v/>
      </c>
      <c r="J2811" t="str">
        <f>IF(OR(H2811="",I2811=""),"",IF(H2811=0,"",I2811/H2811-1))</f>
        <v/>
      </c>
      <c r="K2811" t="str">
        <f>IF($B2811="","",IFERROR(IF(G2811=0,-2E+300,CHOOSE(sortIdx,ROUND(D2811,0),IF(J2811="",-1E+300,ROUND(-J2811,6)),IF(J2811="",-1E+300,ROUND(J2811,6)))),-1.5E+300))</f>
        <v/>
      </c>
      <c r="L2811" t="str">
        <f>IF(K2811="","",RANK(K2811,$K$2:$K$3001,0)+COUNTIF($K$2:K2811,K2811)-1)</f>
        <v/>
      </c>
    </row>
    <row r="2812">
      <c r="B2812" t="str">
        <f>IFERROR(IF(A2812="","","="&amp;SUBSTITUTE(SUBSTITUTE(SUBSTITUTE(A2812,"~","~~"),"*","~*"),"?","~?")),"")</f>
        <v/>
      </c>
      <c r="C2812" t="str">
        <f>IF($B2812="","",SUMIFS(dAmt,dCust,$B2812,dPer,"&gt;="&amp;pyFrom,dPer,"&lt;="&amp;pyTo,dAmt,"&gt;-1E+300",dFlt1,critFlt1,dFlt2,critFlt2,dFlt3,critFlt3))</f>
        <v/>
      </c>
      <c r="D2812" t="str">
        <f>IF($B2812="","",SUMIFS(dAmt,dCust,$B2812,dPer,"&gt;="&amp;cyFrom,dPer,"&lt;="&amp;cyTo,dAmt,"&gt;-1E+300",dFlt1,critFlt1,dFlt2,critFlt2,dFlt3,critFlt3))</f>
        <v/>
      </c>
      <c r="E2812" t="str">
        <f>IF($B2812="","",SUMIFS(dQty,dCust,$B2812,dPer,"&gt;="&amp;pyFrom,dPer,"&lt;="&amp;pyTo,dQty,"&gt;-1E+300",dFlt1,critFlt1,dFlt2,critFlt2,dFlt3,critFlt3))</f>
        <v/>
      </c>
      <c r="F2812" t="str">
        <f>IF($B2812="","",SUMIFS(dQty,dCust,$B2812,dPer,"&gt;="&amp;cyFrom,dPer,"&lt;="&amp;cyTo,dQty,"&gt;-1E+300",dFlt1,critFlt1,dFlt2,critFlt2,dFlt3,critFlt3))</f>
        <v/>
      </c>
      <c r="G2812">
        <f>IF($B2812="",0,IFERROR(IF(OR(C2812&lt;&gt;0,D2812&lt;&gt;0,E2812&lt;&gt;0,F2812&lt;&gt;0),1,0),1))</f>
        <v>0</v>
      </c>
      <c r="H2812" t="str">
        <f>IF(OR(G2812=0,E2812=0),"",C2812/E2812)</f>
        <v/>
      </c>
      <c r="I2812" t="str">
        <f>IF(OR(G2812=0,F2812=0),"",D2812/F2812)</f>
        <v/>
      </c>
      <c r="J2812" t="str">
        <f>IF(OR(H2812="",I2812=""),"",IF(H2812=0,"",I2812/H2812-1))</f>
        <v/>
      </c>
      <c r="K2812" t="str">
        <f>IF($B2812="","",IFERROR(IF(G2812=0,-2E+300,CHOOSE(sortIdx,ROUND(D2812,0),IF(J2812="",-1E+300,ROUND(-J2812,6)),IF(J2812="",-1E+300,ROUND(J2812,6)))),-1.5E+300))</f>
        <v/>
      </c>
      <c r="L2812" t="str">
        <f>IF(K2812="","",RANK(K2812,$K$2:$K$3001,0)+COUNTIF($K$2:K2812,K2812)-1)</f>
        <v/>
      </c>
    </row>
    <row r="2813">
      <c r="B2813" t="str">
        <f>IFERROR(IF(A2813="","","="&amp;SUBSTITUTE(SUBSTITUTE(SUBSTITUTE(A2813,"~","~~"),"*","~*"),"?","~?")),"")</f>
        <v/>
      </c>
      <c r="C2813" t="str">
        <f>IF($B2813="","",SUMIFS(dAmt,dCust,$B2813,dPer,"&gt;="&amp;pyFrom,dPer,"&lt;="&amp;pyTo,dAmt,"&gt;-1E+300",dFlt1,critFlt1,dFlt2,critFlt2,dFlt3,critFlt3))</f>
        <v/>
      </c>
      <c r="D2813" t="str">
        <f>IF($B2813="","",SUMIFS(dAmt,dCust,$B2813,dPer,"&gt;="&amp;cyFrom,dPer,"&lt;="&amp;cyTo,dAmt,"&gt;-1E+300",dFlt1,critFlt1,dFlt2,critFlt2,dFlt3,critFlt3))</f>
        <v/>
      </c>
      <c r="E2813" t="str">
        <f>IF($B2813="","",SUMIFS(dQty,dCust,$B2813,dPer,"&gt;="&amp;pyFrom,dPer,"&lt;="&amp;pyTo,dQty,"&gt;-1E+300",dFlt1,critFlt1,dFlt2,critFlt2,dFlt3,critFlt3))</f>
        <v/>
      </c>
      <c r="F2813" t="str">
        <f>IF($B2813="","",SUMIFS(dQty,dCust,$B2813,dPer,"&gt;="&amp;cyFrom,dPer,"&lt;="&amp;cyTo,dQty,"&gt;-1E+300",dFlt1,critFlt1,dFlt2,critFlt2,dFlt3,critFlt3))</f>
        <v/>
      </c>
      <c r="G2813">
        <f>IF($B2813="",0,IFERROR(IF(OR(C2813&lt;&gt;0,D2813&lt;&gt;0,E2813&lt;&gt;0,F2813&lt;&gt;0),1,0),1))</f>
        <v>0</v>
      </c>
      <c r="H2813" t="str">
        <f>IF(OR(G2813=0,E2813=0),"",C2813/E2813)</f>
        <v/>
      </c>
      <c r="I2813" t="str">
        <f>IF(OR(G2813=0,F2813=0),"",D2813/F2813)</f>
        <v/>
      </c>
      <c r="J2813" t="str">
        <f>IF(OR(H2813="",I2813=""),"",IF(H2813=0,"",I2813/H2813-1))</f>
        <v/>
      </c>
      <c r="K2813" t="str">
        <f>IF($B2813="","",IFERROR(IF(G2813=0,-2E+300,CHOOSE(sortIdx,ROUND(D2813,0),IF(J2813="",-1E+300,ROUND(-J2813,6)),IF(J2813="",-1E+300,ROUND(J2813,6)))),-1.5E+300))</f>
        <v/>
      </c>
      <c r="L2813" t="str">
        <f>IF(K2813="","",RANK(K2813,$K$2:$K$3001,0)+COUNTIF($K$2:K2813,K2813)-1)</f>
        <v/>
      </c>
    </row>
    <row r="2814">
      <c r="B2814" t="str">
        <f>IFERROR(IF(A2814="","","="&amp;SUBSTITUTE(SUBSTITUTE(SUBSTITUTE(A2814,"~","~~"),"*","~*"),"?","~?")),"")</f>
        <v/>
      </c>
      <c r="C2814" t="str">
        <f>IF($B2814="","",SUMIFS(dAmt,dCust,$B2814,dPer,"&gt;="&amp;pyFrom,dPer,"&lt;="&amp;pyTo,dAmt,"&gt;-1E+300",dFlt1,critFlt1,dFlt2,critFlt2,dFlt3,critFlt3))</f>
        <v/>
      </c>
      <c r="D2814" t="str">
        <f>IF($B2814="","",SUMIFS(dAmt,dCust,$B2814,dPer,"&gt;="&amp;cyFrom,dPer,"&lt;="&amp;cyTo,dAmt,"&gt;-1E+300",dFlt1,critFlt1,dFlt2,critFlt2,dFlt3,critFlt3))</f>
        <v/>
      </c>
      <c r="E2814" t="str">
        <f>IF($B2814="","",SUMIFS(dQty,dCust,$B2814,dPer,"&gt;="&amp;pyFrom,dPer,"&lt;="&amp;pyTo,dQty,"&gt;-1E+300",dFlt1,critFlt1,dFlt2,critFlt2,dFlt3,critFlt3))</f>
        <v/>
      </c>
      <c r="F2814" t="str">
        <f>IF($B2814="","",SUMIFS(dQty,dCust,$B2814,dPer,"&gt;="&amp;cyFrom,dPer,"&lt;="&amp;cyTo,dQty,"&gt;-1E+300",dFlt1,critFlt1,dFlt2,critFlt2,dFlt3,critFlt3))</f>
        <v/>
      </c>
      <c r="G2814">
        <f>IF($B2814="",0,IFERROR(IF(OR(C2814&lt;&gt;0,D2814&lt;&gt;0,E2814&lt;&gt;0,F2814&lt;&gt;0),1,0),1))</f>
        <v>0</v>
      </c>
      <c r="H2814" t="str">
        <f>IF(OR(G2814=0,E2814=0),"",C2814/E2814)</f>
        <v/>
      </c>
      <c r="I2814" t="str">
        <f>IF(OR(G2814=0,F2814=0),"",D2814/F2814)</f>
        <v/>
      </c>
      <c r="J2814" t="str">
        <f>IF(OR(H2814="",I2814=""),"",IF(H2814=0,"",I2814/H2814-1))</f>
        <v/>
      </c>
      <c r="K2814" t="str">
        <f>IF($B2814="","",IFERROR(IF(G2814=0,-2E+300,CHOOSE(sortIdx,ROUND(D2814,0),IF(J2814="",-1E+300,ROUND(-J2814,6)),IF(J2814="",-1E+300,ROUND(J2814,6)))),-1.5E+300))</f>
        <v/>
      </c>
      <c r="L2814" t="str">
        <f>IF(K2814="","",RANK(K2814,$K$2:$K$3001,0)+COUNTIF($K$2:K2814,K2814)-1)</f>
        <v/>
      </c>
    </row>
    <row r="2815">
      <c r="B2815" t="str">
        <f>IFERROR(IF(A2815="","","="&amp;SUBSTITUTE(SUBSTITUTE(SUBSTITUTE(A2815,"~","~~"),"*","~*"),"?","~?")),"")</f>
        <v/>
      </c>
      <c r="C2815" t="str">
        <f>IF($B2815="","",SUMIFS(dAmt,dCust,$B2815,dPer,"&gt;="&amp;pyFrom,dPer,"&lt;="&amp;pyTo,dAmt,"&gt;-1E+300",dFlt1,critFlt1,dFlt2,critFlt2,dFlt3,critFlt3))</f>
        <v/>
      </c>
      <c r="D2815" t="str">
        <f>IF($B2815="","",SUMIFS(dAmt,dCust,$B2815,dPer,"&gt;="&amp;cyFrom,dPer,"&lt;="&amp;cyTo,dAmt,"&gt;-1E+300",dFlt1,critFlt1,dFlt2,critFlt2,dFlt3,critFlt3))</f>
        <v/>
      </c>
      <c r="E2815" t="str">
        <f>IF($B2815="","",SUMIFS(dQty,dCust,$B2815,dPer,"&gt;="&amp;pyFrom,dPer,"&lt;="&amp;pyTo,dQty,"&gt;-1E+300",dFlt1,critFlt1,dFlt2,critFlt2,dFlt3,critFlt3))</f>
        <v/>
      </c>
      <c r="F2815" t="str">
        <f>IF($B2815="","",SUMIFS(dQty,dCust,$B2815,dPer,"&gt;="&amp;cyFrom,dPer,"&lt;="&amp;cyTo,dQty,"&gt;-1E+300",dFlt1,critFlt1,dFlt2,critFlt2,dFlt3,critFlt3))</f>
        <v/>
      </c>
      <c r="G2815">
        <f>IF($B2815="",0,IFERROR(IF(OR(C2815&lt;&gt;0,D2815&lt;&gt;0,E2815&lt;&gt;0,F2815&lt;&gt;0),1,0),1))</f>
        <v>0</v>
      </c>
      <c r="H2815" t="str">
        <f>IF(OR(G2815=0,E2815=0),"",C2815/E2815)</f>
        <v/>
      </c>
      <c r="I2815" t="str">
        <f>IF(OR(G2815=0,F2815=0),"",D2815/F2815)</f>
        <v/>
      </c>
      <c r="J2815" t="str">
        <f>IF(OR(H2815="",I2815=""),"",IF(H2815=0,"",I2815/H2815-1))</f>
        <v/>
      </c>
      <c r="K2815" t="str">
        <f>IF($B2815="","",IFERROR(IF(G2815=0,-2E+300,CHOOSE(sortIdx,ROUND(D2815,0),IF(J2815="",-1E+300,ROUND(-J2815,6)),IF(J2815="",-1E+300,ROUND(J2815,6)))),-1.5E+300))</f>
        <v/>
      </c>
      <c r="L2815" t="str">
        <f>IF(K2815="","",RANK(K2815,$K$2:$K$3001,0)+COUNTIF($K$2:K2815,K2815)-1)</f>
        <v/>
      </c>
    </row>
    <row r="2816">
      <c r="B2816" t="str">
        <f>IFERROR(IF(A2816="","","="&amp;SUBSTITUTE(SUBSTITUTE(SUBSTITUTE(A2816,"~","~~"),"*","~*"),"?","~?")),"")</f>
        <v/>
      </c>
      <c r="C2816" t="str">
        <f>IF($B2816="","",SUMIFS(dAmt,dCust,$B2816,dPer,"&gt;="&amp;pyFrom,dPer,"&lt;="&amp;pyTo,dAmt,"&gt;-1E+300",dFlt1,critFlt1,dFlt2,critFlt2,dFlt3,critFlt3))</f>
        <v/>
      </c>
      <c r="D2816" t="str">
        <f>IF($B2816="","",SUMIFS(dAmt,dCust,$B2816,dPer,"&gt;="&amp;cyFrom,dPer,"&lt;="&amp;cyTo,dAmt,"&gt;-1E+300",dFlt1,critFlt1,dFlt2,critFlt2,dFlt3,critFlt3))</f>
        <v/>
      </c>
      <c r="E2816" t="str">
        <f>IF($B2816="","",SUMIFS(dQty,dCust,$B2816,dPer,"&gt;="&amp;pyFrom,dPer,"&lt;="&amp;pyTo,dQty,"&gt;-1E+300",dFlt1,critFlt1,dFlt2,critFlt2,dFlt3,critFlt3))</f>
        <v/>
      </c>
      <c r="F2816" t="str">
        <f>IF($B2816="","",SUMIFS(dQty,dCust,$B2816,dPer,"&gt;="&amp;cyFrom,dPer,"&lt;="&amp;cyTo,dQty,"&gt;-1E+300",dFlt1,critFlt1,dFlt2,critFlt2,dFlt3,critFlt3))</f>
        <v/>
      </c>
      <c r="G2816">
        <f>IF($B2816="",0,IFERROR(IF(OR(C2816&lt;&gt;0,D2816&lt;&gt;0,E2816&lt;&gt;0,F2816&lt;&gt;0),1,0),1))</f>
        <v>0</v>
      </c>
      <c r="H2816" t="str">
        <f>IF(OR(G2816=0,E2816=0),"",C2816/E2816)</f>
        <v/>
      </c>
      <c r="I2816" t="str">
        <f>IF(OR(G2816=0,F2816=0),"",D2816/F2816)</f>
        <v/>
      </c>
      <c r="J2816" t="str">
        <f>IF(OR(H2816="",I2816=""),"",IF(H2816=0,"",I2816/H2816-1))</f>
        <v/>
      </c>
      <c r="K2816" t="str">
        <f>IF($B2816="","",IFERROR(IF(G2816=0,-2E+300,CHOOSE(sortIdx,ROUND(D2816,0),IF(J2816="",-1E+300,ROUND(-J2816,6)),IF(J2816="",-1E+300,ROUND(J2816,6)))),-1.5E+300))</f>
        <v/>
      </c>
      <c r="L2816" t="str">
        <f>IF(K2816="","",RANK(K2816,$K$2:$K$3001,0)+COUNTIF($K$2:K2816,K2816)-1)</f>
        <v/>
      </c>
    </row>
    <row r="2817">
      <c r="B2817" t="str">
        <f>IFERROR(IF(A2817="","","="&amp;SUBSTITUTE(SUBSTITUTE(SUBSTITUTE(A2817,"~","~~"),"*","~*"),"?","~?")),"")</f>
        <v/>
      </c>
      <c r="C2817" t="str">
        <f>IF($B2817="","",SUMIFS(dAmt,dCust,$B2817,dPer,"&gt;="&amp;pyFrom,dPer,"&lt;="&amp;pyTo,dAmt,"&gt;-1E+300",dFlt1,critFlt1,dFlt2,critFlt2,dFlt3,critFlt3))</f>
        <v/>
      </c>
      <c r="D2817" t="str">
        <f>IF($B2817="","",SUMIFS(dAmt,dCust,$B2817,dPer,"&gt;="&amp;cyFrom,dPer,"&lt;="&amp;cyTo,dAmt,"&gt;-1E+300",dFlt1,critFlt1,dFlt2,critFlt2,dFlt3,critFlt3))</f>
        <v/>
      </c>
      <c r="E2817" t="str">
        <f>IF($B2817="","",SUMIFS(dQty,dCust,$B2817,dPer,"&gt;="&amp;pyFrom,dPer,"&lt;="&amp;pyTo,dQty,"&gt;-1E+300",dFlt1,critFlt1,dFlt2,critFlt2,dFlt3,critFlt3))</f>
        <v/>
      </c>
      <c r="F2817" t="str">
        <f>IF($B2817="","",SUMIFS(dQty,dCust,$B2817,dPer,"&gt;="&amp;cyFrom,dPer,"&lt;="&amp;cyTo,dQty,"&gt;-1E+300",dFlt1,critFlt1,dFlt2,critFlt2,dFlt3,critFlt3))</f>
        <v/>
      </c>
      <c r="G2817">
        <f>IF($B2817="",0,IFERROR(IF(OR(C2817&lt;&gt;0,D2817&lt;&gt;0,E2817&lt;&gt;0,F2817&lt;&gt;0),1,0),1))</f>
        <v>0</v>
      </c>
      <c r="H2817" t="str">
        <f>IF(OR(G2817=0,E2817=0),"",C2817/E2817)</f>
        <v/>
      </c>
      <c r="I2817" t="str">
        <f>IF(OR(G2817=0,F2817=0),"",D2817/F2817)</f>
        <v/>
      </c>
      <c r="J2817" t="str">
        <f>IF(OR(H2817="",I2817=""),"",IF(H2817=0,"",I2817/H2817-1))</f>
        <v/>
      </c>
      <c r="K2817" t="str">
        <f>IF($B2817="","",IFERROR(IF(G2817=0,-2E+300,CHOOSE(sortIdx,ROUND(D2817,0),IF(J2817="",-1E+300,ROUND(-J2817,6)),IF(J2817="",-1E+300,ROUND(J2817,6)))),-1.5E+300))</f>
        <v/>
      </c>
      <c r="L2817" t="str">
        <f>IF(K2817="","",RANK(K2817,$K$2:$K$3001,0)+COUNTIF($K$2:K2817,K2817)-1)</f>
        <v/>
      </c>
    </row>
    <row r="2818">
      <c r="B2818" t="str">
        <f>IFERROR(IF(A2818="","","="&amp;SUBSTITUTE(SUBSTITUTE(SUBSTITUTE(A2818,"~","~~"),"*","~*"),"?","~?")),"")</f>
        <v/>
      </c>
      <c r="C2818" t="str">
        <f>IF($B2818="","",SUMIFS(dAmt,dCust,$B2818,dPer,"&gt;="&amp;pyFrom,dPer,"&lt;="&amp;pyTo,dAmt,"&gt;-1E+300",dFlt1,critFlt1,dFlt2,critFlt2,dFlt3,critFlt3))</f>
        <v/>
      </c>
      <c r="D2818" t="str">
        <f>IF($B2818="","",SUMIFS(dAmt,dCust,$B2818,dPer,"&gt;="&amp;cyFrom,dPer,"&lt;="&amp;cyTo,dAmt,"&gt;-1E+300",dFlt1,critFlt1,dFlt2,critFlt2,dFlt3,critFlt3))</f>
        <v/>
      </c>
      <c r="E2818" t="str">
        <f>IF($B2818="","",SUMIFS(dQty,dCust,$B2818,dPer,"&gt;="&amp;pyFrom,dPer,"&lt;="&amp;pyTo,dQty,"&gt;-1E+300",dFlt1,critFlt1,dFlt2,critFlt2,dFlt3,critFlt3))</f>
        <v/>
      </c>
      <c r="F2818" t="str">
        <f>IF($B2818="","",SUMIFS(dQty,dCust,$B2818,dPer,"&gt;="&amp;cyFrom,dPer,"&lt;="&amp;cyTo,dQty,"&gt;-1E+300",dFlt1,critFlt1,dFlt2,critFlt2,dFlt3,critFlt3))</f>
        <v/>
      </c>
      <c r="G2818">
        <f>IF($B2818="",0,IFERROR(IF(OR(C2818&lt;&gt;0,D2818&lt;&gt;0,E2818&lt;&gt;0,F2818&lt;&gt;0),1,0),1))</f>
        <v>0</v>
      </c>
      <c r="H2818" t="str">
        <f>IF(OR(G2818=0,E2818=0),"",C2818/E2818)</f>
        <v/>
      </c>
      <c r="I2818" t="str">
        <f>IF(OR(G2818=0,F2818=0),"",D2818/F2818)</f>
        <v/>
      </c>
      <c r="J2818" t="str">
        <f>IF(OR(H2818="",I2818=""),"",IF(H2818=0,"",I2818/H2818-1))</f>
        <v/>
      </c>
      <c r="K2818" t="str">
        <f>IF($B2818="","",IFERROR(IF(G2818=0,-2E+300,CHOOSE(sortIdx,ROUND(D2818,0),IF(J2818="",-1E+300,ROUND(-J2818,6)),IF(J2818="",-1E+300,ROUND(J2818,6)))),-1.5E+300))</f>
        <v/>
      </c>
      <c r="L2818" t="str">
        <f>IF(K2818="","",RANK(K2818,$K$2:$K$3001,0)+COUNTIF($K$2:K2818,K2818)-1)</f>
        <v/>
      </c>
    </row>
    <row r="2819">
      <c r="B2819" t="str">
        <f>IFERROR(IF(A2819="","","="&amp;SUBSTITUTE(SUBSTITUTE(SUBSTITUTE(A2819,"~","~~"),"*","~*"),"?","~?")),"")</f>
        <v/>
      </c>
      <c r="C2819" t="str">
        <f>IF($B2819="","",SUMIFS(dAmt,dCust,$B2819,dPer,"&gt;="&amp;pyFrom,dPer,"&lt;="&amp;pyTo,dAmt,"&gt;-1E+300",dFlt1,critFlt1,dFlt2,critFlt2,dFlt3,critFlt3))</f>
        <v/>
      </c>
      <c r="D2819" t="str">
        <f>IF($B2819="","",SUMIFS(dAmt,dCust,$B2819,dPer,"&gt;="&amp;cyFrom,dPer,"&lt;="&amp;cyTo,dAmt,"&gt;-1E+300",dFlt1,critFlt1,dFlt2,critFlt2,dFlt3,critFlt3))</f>
        <v/>
      </c>
      <c r="E2819" t="str">
        <f>IF($B2819="","",SUMIFS(dQty,dCust,$B2819,dPer,"&gt;="&amp;pyFrom,dPer,"&lt;="&amp;pyTo,dQty,"&gt;-1E+300",dFlt1,critFlt1,dFlt2,critFlt2,dFlt3,critFlt3))</f>
        <v/>
      </c>
      <c r="F2819" t="str">
        <f>IF($B2819="","",SUMIFS(dQty,dCust,$B2819,dPer,"&gt;="&amp;cyFrom,dPer,"&lt;="&amp;cyTo,dQty,"&gt;-1E+300",dFlt1,critFlt1,dFlt2,critFlt2,dFlt3,critFlt3))</f>
        <v/>
      </c>
      <c r="G2819">
        <f>IF($B2819="",0,IFERROR(IF(OR(C2819&lt;&gt;0,D2819&lt;&gt;0,E2819&lt;&gt;0,F2819&lt;&gt;0),1,0),1))</f>
        <v>0</v>
      </c>
      <c r="H2819" t="str">
        <f>IF(OR(G2819=0,E2819=0),"",C2819/E2819)</f>
        <v/>
      </c>
      <c r="I2819" t="str">
        <f>IF(OR(G2819=0,F2819=0),"",D2819/F2819)</f>
        <v/>
      </c>
      <c r="J2819" t="str">
        <f>IF(OR(H2819="",I2819=""),"",IF(H2819=0,"",I2819/H2819-1))</f>
        <v/>
      </c>
      <c r="K2819" t="str">
        <f>IF($B2819="","",IFERROR(IF(G2819=0,-2E+300,CHOOSE(sortIdx,ROUND(D2819,0),IF(J2819="",-1E+300,ROUND(-J2819,6)),IF(J2819="",-1E+300,ROUND(J2819,6)))),-1.5E+300))</f>
        <v/>
      </c>
      <c r="L2819" t="str">
        <f>IF(K2819="","",RANK(K2819,$K$2:$K$3001,0)+COUNTIF($K$2:K2819,K2819)-1)</f>
        <v/>
      </c>
    </row>
    <row r="2820">
      <c r="B2820" t="str">
        <f>IFERROR(IF(A2820="","","="&amp;SUBSTITUTE(SUBSTITUTE(SUBSTITUTE(A2820,"~","~~"),"*","~*"),"?","~?")),"")</f>
        <v/>
      </c>
      <c r="C2820" t="str">
        <f>IF($B2820="","",SUMIFS(dAmt,dCust,$B2820,dPer,"&gt;="&amp;pyFrom,dPer,"&lt;="&amp;pyTo,dAmt,"&gt;-1E+300",dFlt1,critFlt1,dFlt2,critFlt2,dFlt3,critFlt3))</f>
        <v/>
      </c>
      <c r="D2820" t="str">
        <f>IF($B2820="","",SUMIFS(dAmt,dCust,$B2820,dPer,"&gt;="&amp;cyFrom,dPer,"&lt;="&amp;cyTo,dAmt,"&gt;-1E+300",dFlt1,critFlt1,dFlt2,critFlt2,dFlt3,critFlt3))</f>
        <v/>
      </c>
      <c r="E2820" t="str">
        <f>IF($B2820="","",SUMIFS(dQty,dCust,$B2820,dPer,"&gt;="&amp;pyFrom,dPer,"&lt;="&amp;pyTo,dQty,"&gt;-1E+300",dFlt1,critFlt1,dFlt2,critFlt2,dFlt3,critFlt3))</f>
        <v/>
      </c>
      <c r="F2820" t="str">
        <f>IF($B2820="","",SUMIFS(dQty,dCust,$B2820,dPer,"&gt;="&amp;cyFrom,dPer,"&lt;="&amp;cyTo,dQty,"&gt;-1E+300",dFlt1,critFlt1,dFlt2,critFlt2,dFlt3,critFlt3))</f>
        <v/>
      </c>
      <c r="G2820">
        <f>IF($B2820="",0,IFERROR(IF(OR(C2820&lt;&gt;0,D2820&lt;&gt;0,E2820&lt;&gt;0,F2820&lt;&gt;0),1,0),1))</f>
        <v>0</v>
      </c>
      <c r="H2820" t="str">
        <f>IF(OR(G2820=0,E2820=0),"",C2820/E2820)</f>
        <v/>
      </c>
      <c r="I2820" t="str">
        <f>IF(OR(G2820=0,F2820=0),"",D2820/F2820)</f>
        <v/>
      </c>
      <c r="J2820" t="str">
        <f>IF(OR(H2820="",I2820=""),"",IF(H2820=0,"",I2820/H2820-1))</f>
        <v/>
      </c>
      <c r="K2820" t="str">
        <f>IF($B2820="","",IFERROR(IF(G2820=0,-2E+300,CHOOSE(sortIdx,ROUND(D2820,0),IF(J2820="",-1E+300,ROUND(-J2820,6)),IF(J2820="",-1E+300,ROUND(J2820,6)))),-1.5E+300))</f>
        <v/>
      </c>
      <c r="L2820" t="str">
        <f>IF(K2820="","",RANK(K2820,$K$2:$K$3001,0)+COUNTIF($K$2:K2820,K2820)-1)</f>
        <v/>
      </c>
    </row>
    <row r="2821">
      <c r="B2821" t="str">
        <f>IFERROR(IF(A2821="","","="&amp;SUBSTITUTE(SUBSTITUTE(SUBSTITUTE(A2821,"~","~~"),"*","~*"),"?","~?")),"")</f>
        <v/>
      </c>
      <c r="C2821" t="str">
        <f>IF($B2821="","",SUMIFS(dAmt,dCust,$B2821,dPer,"&gt;="&amp;pyFrom,dPer,"&lt;="&amp;pyTo,dAmt,"&gt;-1E+300",dFlt1,critFlt1,dFlt2,critFlt2,dFlt3,critFlt3))</f>
        <v/>
      </c>
      <c r="D2821" t="str">
        <f>IF($B2821="","",SUMIFS(dAmt,dCust,$B2821,dPer,"&gt;="&amp;cyFrom,dPer,"&lt;="&amp;cyTo,dAmt,"&gt;-1E+300",dFlt1,critFlt1,dFlt2,critFlt2,dFlt3,critFlt3))</f>
        <v/>
      </c>
      <c r="E2821" t="str">
        <f>IF($B2821="","",SUMIFS(dQty,dCust,$B2821,dPer,"&gt;="&amp;pyFrom,dPer,"&lt;="&amp;pyTo,dQty,"&gt;-1E+300",dFlt1,critFlt1,dFlt2,critFlt2,dFlt3,critFlt3))</f>
        <v/>
      </c>
      <c r="F2821" t="str">
        <f>IF($B2821="","",SUMIFS(dQty,dCust,$B2821,dPer,"&gt;="&amp;cyFrom,dPer,"&lt;="&amp;cyTo,dQty,"&gt;-1E+300",dFlt1,critFlt1,dFlt2,critFlt2,dFlt3,critFlt3))</f>
        <v/>
      </c>
      <c r="G2821">
        <f>IF($B2821="",0,IFERROR(IF(OR(C2821&lt;&gt;0,D2821&lt;&gt;0,E2821&lt;&gt;0,F2821&lt;&gt;0),1,0),1))</f>
        <v>0</v>
      </c>
      <c r="H2821" t="str">
        <f>IF(OR(G2821=0,E2821=0),"",C2821/E2821)</f>
        <v/>
      </c>
      <c r="I2821" t="str">
        <f>IF(OR(G2821=0,F2821=0),"",D2821/F2821)</f>
        <v/>
      </c>
      <c r="J2821" t="str">
        <f>IF(OR(H2821="",I2821=""),"",IF(H2821=0,"",I2821/H2821-1))</f>
        <v/>
      </c>
      <c r="K2821" t="str">
        <f>IF($B2821="","",IFERROR(IF(G2821=0,-2E+300,CHOOSE(sortIdx,ROUND(D2821,0),IF(J2821="",-1E+300,ROUND(-J2821,6)),IF(J2821="",-1E+300,ROUND(J2821,6)))),-1.5E+300))</f>
        <v/>
      </c>
      <c r="L2821" t="str">
        <f>IF(K2821="","",RANK(K2821,$K$2:$K$3001,0)+COUNTIF($K$2:K2821,K2821)-1)</f>
        <v/>
      </c>
    </row>
    <row r="2822">
      <c r="B2822" t="str">
        <f>IFERROR(IF(A2822="","","="&amp;SUBSTITUTE(SUBSTITUTE(SUBSTITUTE(A2822,"~","~~"),"*","~*"),"?","~?")),"")</f>
        <v/>
      </c>
      <c r="C2822" t="str">
        <f>IF($B2822="","",SUMIFS(dAmt,dCust,$B2822,dPer,"&gt;="&amp;pyFrom,dPer,"&lt;="&amp;pyTo,dAmt,"&gt;-1E+300",dFlt1,critFlt1,dFlt2,critFlt2,dFlt3,critFlt3))</f>
        <v/>
      </c>
      <c r="D2822" t="str">
        <f>IF($B2822="","",SUMIFS(dAmt,dCust,$B2822,dPer,"&gt;="&amp;cyFrom,dPer,"&lt;="&amp;cyTo,dAmt,"&gt;-1E+300",dFlt1,critFlt1,dFlt2,critFlt2,dFlt3,critFlt3))</f>
        <v/>
      </c>
      <c r="E2822" t="str">
        <f>IF($B2822="","",SUMIFS(dQty,dCust,$B2822,dPer,"&gt;="&amp;pyFrom,dPer,"&lt;="&amp;pyTo,dQty,"&gt;-1E+300",dFlt1,critFlt1,dFlt2,critFlt2,dFlt3,critFlt3))</f>
        <v/>
      </c>
      <c r="F2822" t="str">
        <f>IF($B2822="","",SUMIFS(dQty,dCust,$B2822,dPer,"&gt;="&amp;cyFrom,dPer,"&lt;="&amp;cyTo,dQty,"&gt;-1E+300",dFlt1,critFlt1,dFlt2,critFlt2,dFlt3,critFlt3))</f>
        <v/>
      </c>
      <c r="G2822">
        <f>IF($B2822="",0,IFERROR(IF(OR(C2822&lt;&gt;0,D2822&lt;&gt;0,E2822&lt;&gt;0,F2822&lt;&gt;0),1,0),1))</f>
        <v>0</v>
      </c>
      <c r="H2822" t="str">
        <f>IF(OR(G2822=0,E2822=0),"",C2822/E2822)</f>
        <v/>
      </c>
      <c r="I2822" t="str">
        <f>IF(OR(G2822=0,F2822=0),"",D2822/F2822)</f>
        <v/>
      </c>
      <c r="J2822" t="str">
        <f>IF(OR(H2822="",I2822=""),"",IF(H2822=0,"",I2822/H2822-1))</f>
        <v/>
      </c>
      <c r="K2822" t="str">
        <f>IF($B2822="","",IFERROR(IF(G2822=0,-2E+300,CHOOSE(sortIdx,ROUND(D2822,0),IF(J2822="",-1E+300,ROUND(-J2822,6)),IF(J2822="",-1E+300,ROUND(J2822,6)))),-1.5E+300))</f>
        <v/>
      </c>
      <c r="L2822" t="str">
        <f>IF(K2822="","",RANK(K2822,$K$2:$K$3001,0)+COUNTIF($K$2:K2822,K2822)-1)</f>
        <v/>
      </c>
    </row>
    <row r="2823">
      <c r="B2823" t="str">
        <f>IFERROR(IF(A2823="","","="&amp;SUBSTITUTE(SUBSTITUTE(SUBSTITUTE(A2823,"~","~~"),"*","~*"),"?","~?")),"")</f>
        <v/>
      </c>
      <c r="C2823" t="str">
        <f>IF($B2823="","",SUMIFS(dAmt,dCust,$B2823,dPer,"&gt;="&amp;pyFrom,dPer,"&lt;="&amp;pyTo,dAmt,"&gt;-1E+300",dFlt1,critFlt1,dFlt2,critFlt2,dFlt3,critFlt3))</f>
        <v/>
      </c>
      <c r="D2823" t="str">
        <f>IF($B2823="","",SUMIFS(dAmt,dCust,$B2823,dPer,"&gt;="&amp;cyFrom,dPer,"&lt;="&amp;cyTo,dAmt,"&gt;-1E+300",dFlt1,critFlt1,dFlt2,critFlt2,dFlt3,critFlt3))</f>
        <v/>
      </c>
      <c r="E2823" t="str">
        <f>IF($B2823="","",SUMIFS(dQty,dCust,$B2823,dPer,"&gt;="&amp;pyFrom,dPer,"&lt;="&amp;pyTo,dQty,"&gt;-1E+300",dFlt1,critFlt1,dFlt2,critFlt2,dFlt3,critFlt3))</f>
        <v/>
      </c>
      <c r="F2823" t="str">
        <f>IF($B2823="","",SUMIFS(dQty,dCust,$B2823,dPer,"&gt;="&amp;cyFrom,dPer,"&lt;="&amp;cyTo,dQty,"&gt;-1E+300",dFlt1,critFlt1,dFlt2,critFlt2,dFlt3,critFlt3))</f>
        <v/>
      </c>
      <c r="G2823">
        <f>IF($B2823="",0,IFERROR(IF(OR(C2823&lt;&gt;0,D2823&lt;&gt;0,E2823&lt;&gt;0,F2823&lt;&gt;0),1,0),1))</f>
        <v>0</v>
      </c>
      <c r="H2823" t="str">
        <f>IF(OR(G2823=0,E2823=0),"",C2823/E2823)</f>
        <v/>
      </c>
      <c r="I2823" t="str">
        <f>IF(OR(G2823=0,F2823=0),"",D2823/F2823)</f>
        <v/>
      </c>
      <c r="J2823" t="str">
        <f>IF(OR(H2823="",I2823=""),"",IF(H2823=0,"",I2823/H2823-1))</f>
        <v/>
      </c>
      <c r="K2823" t="str">
        <f>IF($B2823="","",IFERROR(IF(G2823=0,-2E+300,CHOOSE(sortIdx,ROUND(D2823,0),IF(J2823="",-1E+300,ROUND(-J2823,6)),IF(J2823="",-1E+300,ROUND(J2823,6)))),-1.5E+300))</f>
        <v/>
      </c>
      <c r="L2823" t="str">
        <f>IF(K2823="","",RANK(K2823,$K$2:$K$3001,0)+COUNTIF($K$2:K2823,K2823)-1)</f>
        <v/>
      </c>
    </row>
    <row r="2824">
      <c r="B2824" t="str">
        <f>IFERROR(IF(A2824="","","="&amp;SUBSTITUTE(SUBSTITUTE(SUBSTITUTE(A2824,"~","~~"),"*","~*"),"?","~?")),"")</f>
        <v/>
      </c>
      <c r="C2824" t="str">
        <f>IF($B2824="","",SUMIFS(dAmt,dCust,$B2824,dPer,"&gt;="&amp;pyFrom,dPer,"&lt;="&amp;pyTo,dAmt,"&gt;-1E+300",dFlt1,critFlt1,dFlt2,critFlt2,dFlt3,critFlt3))</f>
        <v/>
      </c>
      <c r="D2824" t="str">
        <f>IF($B2824="","",SUMIFS(dAmt,dCust,$B2824,dPer,"&gt;="&amp;cyFrom,dPer,"&lt;="&amp;cyTo,dAmt,"&gt;-1E+300",dFlt1,critFlt1,dFlt2,critFlt2,dFlt3,critFlt3))</f>
        <v/>
      </c>
      <c r="E2824" t="str">
        <f>IF($B2824="","",SUMIFS(dQty,dCust,$B2824,dPer,"&gt;="&amp;pyFrom,dPer,"&lt;="&amp;pyTo,dQty,"&gt;-1E+300",dFlt1,critFlt1,dFlt2,critFlt2,dFlt3,critFlt3))</f>
        <v/>
      </c>
      <c r="F2824" t="str">
        <f>IF($B2824="","",SUMIFS(dQty,dCust,$B2824,dPer,"&gt;="&amp;cyFrom,dPer,"&lt;="&amp;cyTo,dQty,"&gt;-1E+300",dFlt1,critFlt1,dFlt2,critFlt2,dFlt3,critFlt3))</f>
        <v/>
      </c>
      <c r="G2824">
        <f>IF($B2824="",0,IFERROR(IF(OR(C2824&lt;&gt;0,D2824&lt;&gt;0,E2824&lt;&gt;0,F2824&lt;&gt;0),1,0),1))</f>
        <v>0</v>
      </c>
      <c r="H2824" t="str">
        <f>IF(OR(G2824=0,E2824=0),"",C2824/E2824)</f>
        <v/>
      </c>
      <c r="I2824" t="str">
        <f>IF(OR(G2824=0,F2824=0),"",D2824/F2824)</f>
        <v/>
      </c>
      <c r="J2824" t="str">
        <f>IF(OR(H2824="",I2824=""),"",IF(H2824=0,"",I2824/H2824-1))</f>
        <v/>
      </c>
      <c r="K2824" t="str">
        <f>IF($B2824="","",IFERROR(IF(G2824=0,-2E+300,CHOOSE(sortIdx,ROUND(D2824,0),IF(J2824="",-1E+300,ROUND(-J2824,6)),IF(J2824="",-1E+300,ROUND(J2824,6)))),-1.5E+300))</f>
        <v/>
      </c>
      <c r="L2824" t="str">
        <f>IF(K2824="","",RANK(K2824,$K$2:$K$3001,0)+COUNTIF($K$2:K2824,K2824)-1)</f>
        <v/>
      </c>
    </row>
    <row r="2825">
      <c r="B2825" t="str">
        <f>IFERROR(IF(A2825="","","="&amp;SUBSTITUTE(SUBSTITUTE(SUBSTITUTE(A2825,"~","~~"),"*","~*"),"?","~?")),"")</f>
        <v/>
      </c>
      <c r="C2825" t="str">
        <f>IF($B2825="","",SUMIFS(dAmt,dCust,$B2825,dPer,"&gt;="&amp;pyFrom,dPer,"&lt;="&amp;pyTo,dAmt,"&gt;-1E+300",dFlt1,critFlt1,dFlt2,critFlt2,dFlt3,critFlt3))</f>
        <v/>
      </c>
      <c r="D2825" t="str">
        <f>IF($B2825="","",SUMIFS(dAmt,dCust,$B2825,dPer,"&gt;="&amp;cyFrom,dPer,"&lt;="&amp;cyTo,dAmt,"&gt;-1E+300",dFlt1,critFlt1,dFlt2,critFlt2,dFlt3,critFlt3))</f>
        <v/>
      </c>
      <c r="E2825" t="str">
        <f>IF($B2825="","",SUMIFS(dQty,dCust,$B2825,dPer,"&gt;="&amp;pyFrom,dPer,"&lt;="&amp;pyTo,dQty,"&gt;-1E+300",dFlt1,critFlt1,dFlt2,critFlt2,dFlt3,critFlt3))</f>
        <v/>
      </c>
      <c r="F2825" t="str">
        <f>IF($B2825="","",SUMIFS(dQty,dCust,$B2825,dPer,"&gt;="&amp;cyFrom,dPer,"&lt;="&amp;cyTo,dQty,"&gt;-1E+300",dFlt1,critFlt1,dFlt2,critFlt2,dFlt3,critFlt3))</f>
        <v/>
      </c>
      <c r="G2825">
        <f>IF($B2825="",0,IFERROR(IF(OR(C2825&lt;&gt;0,D2825&lt;&gt;0,E2825&lt;&gt;0,F2825&lt;&gt;0),1,0),1))</f>
        <v>0</v>
      </c>
      <c r="H2825" t="str">
        <f>IF(OR(G2825=0,E2825=0),"",C2825/E2825)</f>
        <v/>
      </c>
      <c r="I2825" t="str">
        <f>IF(OR(G2825=0,F2825=0),"",D2825/F2825)</f>
        <v/>
      </c>
      <c r="J2825" t="str">
        <f>IF(OR(H2825="",I2825=""),"",IF(H2825=0,"",I2825/H2825-1))</f>
        <v/>
      </c>
      <c r="K2825" t="str">
        <f>IF($B2825="","",IFERROR(IF(G2825=0,-2E+300,CHOOSE(sortIdx,ROUND(D2825,0),IF(J2825="",-1E+300,ROUND(-J2825,6)),IF(J2825="",-1E+300,ROUND(J2825,6)))),-1.5E+300))</f>
        <v/>
      </c>
      <c r="L2825" t="str">
        <f>IF(K2825="","",RANK(K2825,$K$2:$K$3001,0)+COUNTIF($K$2:K2825,K2825)-1)</f>
        <v/>
      </c>
    </row>
    <row r="2826">
      <c r="B2826" t="str">
        <f>IFERROR(IF(A2826="","","="&amp;SUBSTITUTE(SUBSTITUTE(SUBSTITUTE(A2826,"~","~~"),"*","~*"),"?","~?")),"")</f>
        <v/>
      </c>
      <c r="C2826" t="str">
        <f>IF($B2826="","",SUMIFS(dAmt,dCust,$B2826,dPer,"&gt;="&amp;pyFrom,dPer,"&lt;="&amp;pyTo,dAmt,"&gt;-1E+300",dFlt1,critFlt1,dFlt2,critFlt2,dFlt3,critFlt3))</f>
        <v/>
      </c>
      <c r="D2826" t="str">
        <f>IF($B2826="","",SUMIFS(dAmt,dCust,$B2826,dPer,"&gt;="&amp;cyFrom,dPer,"&lt;="&amp;cyTo,dAmt,"&gt;-1E+300",dFlt1,critFlt1,dFlt2,critFlt2,dFlt3,critFlt3))</f>
        <v/>
      </c>
      <c r="E2826" t="str">
        <f>IF($B2826="","",SUMIFS(dQty,dCust,$B2826,dPer,"&gt;="&amp;pyFrom,dPer,"&lt;="&amp;pyTo,dQty,"&gt;-1E+300",dFlt1,critFlt1,dFlt2,critFlt2,dFlt3,critFlt3))</f>
        <v/>
      </c>
      <c r="F2826" t="str">
        <f>IF($B2826="","",SUMIFS(dQty,dCust,$B2826,dPer,"&gt;="&amp;cyFrom,dPer,"&lt;="&amp;cyTo,dQty,"&gt;-1E+300",dFlt1,critFlt1,dFlt2,critFlt2,dFlt3,critFlt3))</f>
        <v/>
      </c>
      <c r="G2826">
        <f>IF($B2826="",0,IFERROR(IF(OR(C2826&lt;&gt;0,D2826&lt;&gt;0,E2826&lt;&gt;0,F2826&lt;&gt;0),1,0),1))</f>
        <v>0</v>
      </c>
      <c r="H2826" t="str">
        <f>IF(OR(G2826=0,E2826=0),"",C2826/E2826)</f>
        <v/>
      </c>
      <c r="I2826" t="str">
        <f>IF(OR(G2826=0,F2826=0),"",D2826/F2826)</f>
        <v/>
      </c>
      <c r="J2826" t="str">
        <f>IF(OR(H2826="",I2826=""),"",IF(H2826=0,"",I2826/H2826-1))</f>
        <v/>
      </c>
      <c r="K2826" t="str">
        <f>IF($B2826="","",IFERROR(IF(G2826=0,-2E+300,CHOOSE(sortIdx,ROUND(D2826,0),IF(J2826="",-1E+300,ROUND(-J2826,6)),IF(J2826="",-1E+300,ROUND(J2826,6)))),-1.5E+300))</f>
        <v/>
      </c>
      <c r="L2826" t="str">
        <f>IF(K2826="","",RANK(K2826,$K$2:$K$3001,0)+COUNTIF($K$2:K2826,K2826)-1)</f>
        <v/>
      </c>
    </row>
    <row r="2827">
      <c r="B2827" t="str">
        <f>IFERROR(IF(A2827="","","="&amp;SUBSTITUTE(SUBSTITUTE(SUBSTITUTE(A2827,"~","~~"),"*","~*"),"?","~?")),"")</f>
        <v/>
      </c>
      <c r="C2827" t="str">
        <f>IF($B2827="","",SUMIFS(dAmt,dCust,$B2827,dPer,"&gt;="&amp;pyFrom,dPer,"&lt;="&amp;pyTo,dAmt,"&gt;-1E+300",dFlt1,critFlt1,dFlt2,critFlt2,dFlt3,critFlt3))</f>
        <v/>
      </c>
      <c r="D2827" t="str">
        <f>IF($B2827="","",SUMIFS(dAmt,dCust,$B2827,dPer,"&gt;="&amp;cyFrom,dPer,"&lt;="&amp;cyTo,dAmt,"&gt;-1E+300",dFlt1,critFlt1,dFlt2,critFlt2,dFlt3,critFlt3))</f>
        <v/>
      </c>
      <c r="E2827" t="str">
        <f>IF($B2827="","",SUMIFS(dQty,dCust,$B2827,dPer,"&gt;="&amp;pyFrom,dPer,"&lt;="&amp;pyTo,dQty,"&gt;-1E+300",dFlt1,critFlt1,dFlt2,critFlt2,dFlt3,critFlt3))</f>
        <v/>
      </c>
      <c r="F2827" t="str">
        <f>IF($B2827="","",SUMIFS(dQty,dCust,$B2827,dPer,"&gt;="&amp;cyFrom,dPer,"&lt;="&amp;cyTo,dQty,"&gt;-1E+300",dFlt1,critFlt1,dFlt2,critFlt2,dFlt3,critFlt3))</f>
        <v/>
      </c>
      <c r="G2827">
        <f>IF($B2827="",0,IFERROR(IF(OR(C2827&lt;&gt;0,D2827&lt;&gt;0,E2827&lt;&gt;0,F2827&lt;&gt;0),1,0),1))</f>
        <v>0</v>
      </c>
      <c r="H2827" t="str">
        <f>IF(OR(G2827=0,E2827=0),"",C2827/E2827)</f>
        <v/>
      </c>
      <c r="I2827" t="str">
        <f>IF(OR(G2827=0,F2827=0),"",D2827/F2827)</f>
        <v/>
      </c>
      <c r="J2827" t="str">
        <f>IF(OR(H2827="",I2827=""),"",IF(H2827=0,"",I2827/H2827-1))</f>
        <v/>
      </c>
      <c r="K2827" t="str">
        <f>IF($B2827="","",IFERROR(IF(G2827=0,-2E+300,CHOOSE(sortIdx,ROUND(D2827,0),IF(J2827="",-1E+300,ROUND(-J2827,6)),IF(J2827="",-1E+300,ROUND(J2827,6)))),-1.5E+300))</f>
        <v/>
      </c>
      <c r="L2827" t="str">
        <f>IF(K2827="","",RANK(K2827,$K$2:$K$3001,0)+COUNTIF($K$2:K2827,K2827)-1)</f>
        <v/>
      </c>
    </row>
    <row r="2828">
      <c r="B2828" t="str">
        <f>IFERROR(IF(A2828="","","="&amp;SUBSTITUTE(SUBSTITUTE(SUBSTITUTE(A2828,"~","~~"),"*","~*"),"?","~?")),"")</f>
        <v/>
      </c>
      <c r="C2828" t="str">
        <f>IF($B2828="","",SUMIFS(dAmt,dCust,$B2828,dPer,"&gt;="&amp;pyFrom,dPer,"&lt;="&amp;pyTo,dAmt,"&gt;-1E+300",dFlt1,critFlt1,dFlt2,critFlt2,dFlt3,critFlt3))</f>
        <v/>
      </c>
      <c r="D2828" t="str">
        <f>IF($B2828="","",SUMIFS(dAmt,dCust,$B2828,dPer,"&gt;="&amp;cyFrom,dPer,"&lt;="&amp;cyTo,dAmt,"&gt;-1E+300",dFlt1,critFlt1,dFlt2,critFlt2,dFlt3,critFlt3))</f>
        <v/>
      </c>
      <c r="E2828" t="str">
        <f>IF($B2828="","",SUMIFS(dQty,dCust,$B2828,dPer,"&gt;="&amp;pyFrom,dPer,"&lt;="&amp;pyTo,dQty,"&gt;-1E+300",dFlt1,critFlt1,dFlt2,critFlt2,dFlt3,critFlt3))</f>
        <v/>
      </c>
      <c r="F2828" t="str">
        <f>IF($B2828="","",SUMIFS(dQty,dCust,$B2828,dPer,"&gt;="&amp;cyFrom,dPer,"&lt;="&amp;cyTo,dQty,"&gt;-1E+300",dFlt1,critFlt1,dFlt2,critFlt2,dFlt3,critFlt3))</f>
        <v/>
      </c>
      <c r="G2828">
        <f>IF($B2828="",0,IFERROR(IF(OR(C2828&lt;&gt;0,D2828&lt;&gt;0,E2828&lt;&gt;0,F2828&lt;&gt;0),1,0),1))</f>
        <v>0</v>
      </c>
      <c r="H2828" t="str">
        <f>IF(OR(G2828=0,E2828=0),"",C2828/E2828)</f>
        <v/>
      </c>
      <c r="I2828" t="str">
        <f>IF(OR(G2828=0,F2828=0),"",D2828/F2828)</f>
        <v/>
      </c>
      <c r="J2828" t="str">
        <f>IF(OR(H2828="",I2828=""),"",IF(H2828=0,"",I2828/H2828-1))</f>
        <v/>
      </c>
      <c r="K2828" t="str">
        <f>IF($B2828="","",IFERROR(IF(G2828=0,-2E+300,CHOOSE(sortIdx,ROUND(D2828,0),IF(J2828="",-1E+300,ROUND(-J2828,6)),IF(J2828="",-1E+300,ROUND(J2828,6)))),-1.5E+300))</f>
        <v/>
      </c>
      <c r="L2828" t="str">
        <f>IF(K2828="","",RANK(K2828,$K$2:$K$3001,0)+COUNTIF($K$2:K2828,K2828)-1)</f>
        <v/>
      </c>
    </row>
    <row r="2829">
      <c r="B2829" t="str">
        <f>IFERROR(IF(A2829="","","="&amp;SUBSTITUTE(SUBSTITUTE(SUBSTITUTE(A2829,"~","~~"),"*","~*"),"?","~?")),"")</f>
        <v/>
      </c>
      <c r="C2829" t="str">
        <f>IF($B2829="","",SUMIFS(dAmt,dCust,$B2829,dPer,"&gt;="&amp;pyFrom,dPer,"&lt;="&amp;pyTo,dAmt,"&gt;-1E+300",dFlt1,critFlt1,dFlt2,critFlt2,dFlt3,critFlt3))</f>
        <v/>
      </c>
      <c r="D2829" t="str">
        <f>IF($B2829="","",SUMIFS(dAmt,dCust,$B2829,dPer,"&gt;="&amp;cyFrom,dPer,"&lt;="&amp;cyTo,dAmt,"&gt;-1E+300",dFlt1,critFlt1,dFlt2,critFlt2,dFlt3,critFlt3))</f>
        <v/>
      </c>
      <c r="E2829" t="str">
        <f>IF($B2829="","",SUMIFS(dQty,dCust,$B2829,dPer,"&gt;="&amp;pyFrom,dPer,"&lt;="&amp;pyTo,dQty,"&gt;-1E+300",dFlt1,critFlt1,dFlt2,critFlt2,dFlt3,critFlt3))</f>
        <v/>
      </c>
      <c r="F2829" t="str">
        <f>IF($B2829="","",SUMIFS(dQty,dCust,$B2829,dPer,"&gt;="&amp;cyFrom,dPer,"&lt;="&amp;cyTo,dQty,"&gt;-1E+300",dFlt1,critFlt1,dFlt2,critFlt2,dFlt3,critFlt3))</f>
        <v/>
      </c>
      <c r="G2829">
        <f>IF($B2829="",0,IFERROR(IF(OR(C2829&lt;&gt;0,D2829&lt;&gt;0,E2829&lt;&gt;0,F2829&lt;&gt;0),1,0),1))</f>
        <v>0</v>
      </c>
      <c r="H2829" t="str">
        <f>IF(OR(G2829=0,E2829=0),"",C2829/E2829)</f>
        <v/>
      </c>
      <c r="I2829" t="str">
        <f>IF(OR(G2829=0,F2829=0),"",D2829/F2829)</f>
        <v/>
      </c>
      <c r="J2829" t="str">
        <f>IF(OR(H2829="",I2829=""),"",IF(H2829=0,"",I2829/H2829-1))</f>
        <v/>
      </c>
      <c r="K2829" t="str">
        <f>IF($B2829="","",IFERROR(IF(G2829=0,-2E+300,CHOOSE(sortIdx,ROUND(D2829,0),IF(J2829="",-1E+300,ROUND(-J2829,6)),IF(J2829="",-1E+300,ROUND(J2829,6)))),-1.5E+300))</f>
        <v/>
      </c>
      <c r="L2829" t="str">
        <f>IF(K2829="","",RANK(K2829,$K$2:$K$3001,0)+COUNTIF($K$2:K2829,K2829)-1)</f>
        <v/>
      </c>
    </row>
    <row r="2830">
      <c r="B2830" t="str">
        <f>IFERROR(IF(A2830="","","="&amp;SUBSTITUTE(SUBSTITUTE(SUBSTITUTE(A2830,"~","~~"),"*","~*"),"?","~?")),"")</f>
        <v/>
      </c>
      <c r="C2830" t="str">
        <f>IF($B2830="","",SUMIFS(dAmt,dCust,$B2830,dPer,"&gt;="&amp;pyFrom,dPer,"&lt;="&amp;pyTo,dAmt,"&gt;-1E+300",dFlt1,critFlt1,dFlt2,critFlt2,dFlt3,critFlt3))</f>
        <v/>
      </c>
      <c r="D2830" t="str">
        <f>IF($B2830="","",SUMIFS(dAmt,dCust,$B2830,dPer,"&gt;="&amp;cyFrom,dPer,"&lt;="&amp;cyTo,dAmt,"&gt;-1E+300",dFlt1,critFlt1,dFlt2,critFlt2,dFlt3,critFlt3))</f>
        <v/>
      </c>
      <c r="E2830" t="str">
        <f>IF($B2830="","",SUMIFS(dQty,dCust,$B2830,dPer,"&gt;="&amp;pyFrom,dPer,"&lt;="&amp;pyTo,dQty,"&gt;-1E+300",dFlt1,critFlt1,dFlt2,critFlt2,dFlt3,critFlt3))</f>
        <v/>
      </c>
      <c r="F2830" t="str">
        <f>IF($B2830="","",SUMIFS(dQty,dCust,$B2830,dPer,"&gt;="&amp;cyFrom,dPer,"&lt;="&amp;cyTo,dQty,"&gt;-1E+300",dFlt1,critFlt1,dFlt2,critFlt2,dFlt3,critFlt3))</f>
        <v/>
      </c>
      <c r="G2830">
        <f>IF($B2830="",0,IFERROR(IF(OR(C2830&lt;&gt;0,D2830&lt;&gt;0,E2830&lt;&gt;0,F2830&lt;&gt;0),1,0),1))</f>
        <v>0</v>
      </c>
      <c r="H2830" t="str">
        <f>IF(OR(G2830=0,E2830=0),"",C2830/E2830)</f>
        <v/>
      </c>
      <c r="I2830" t="str">
        <f>IF(OR(G2830=0,F2830=0),"",D2830/F2830)</f>
        <v/>
      </c>
      <c r="J2830" t="str">
        <f>IF(OR(H2830="",I2830=""),"",IF(H2830=0,"",I2830/H2830-1))</f>
        <v/>
      </c>
      <c r="K2830" t="str">
        <f>IF($B2830="","",IFERROR(IF(G2830=0,-2E+300,CHOOSE(sortIdx,ROUND(D2830,0),IF(J2830="",-1E+300,ROUND(-J2830,6)),IF(J2830="",-1E+300,ROUND(J2830,6)))),-1.5E+300))</f>
        <v/>
      </c>
      <c r="L2830" t="str">
        <f>IF(K2830="","",RANK(K2830,$K$2:$K$3001,0)+COUNTIF($K$2:K2830,K2830)-1)</f>
        <v/>
      </c>
    </row>
    <row r="2831">
      <c r="B2831" t="str">
        <f>IFERROR(IF(A2831="","","="&amp;SUBSTITUTE(SUBSTITUTE(SUBSTITUTE(A2831,"~","~~"),"*","~*"),"?","~?")),"")</f>
        <v/>
      </c>
      <c r="C2831" t="str">
        <f>IF($B2831="","",SUMIFS(dAmt,dCust,$B2831,dPer,"&gt;="&amp;pyFrom,dPer,"&lt;="&amp;pyTo,dAmt,"&gt;-1E+300",dFlt1,critFlt1,dFlt2,critFlt2,dFlt3,critFlt3))</f>
        <v/>
      </c>
      <c r="D2831" t="str">
        <f>IF($B2831="","",SUMIFS(dAmt,dCust,$B2831,dPer,"&gt;="&amp;cyFrom,dPer,"&lt;="&amp;cyTo,dAmt,"&gt;-1E+300",dFlt1,critFlt1,dFlt2,critFlt2,dFlt3,critFlt3))</f>
        <v/>
      </c>
      <c r="E2831" t="str">
        <f>IF($B2831="","",SUMIFS(dQty,dCust,$B2831,dPer,"&gt;="&amp;pyFrom,dPer,"&lt;="&amp;pyTo,dQty,"&gt;-1E+300",dFlt1,critFlt1,dFlt2,critFlt2,dFlt3,critFlt3))</f>
        <v/>
      </c>
      <c r="F2831" t="str">
        <f>IF($B2831="","",SUMIFS(dQty,dCust,$B2831,dPer,"&gt;="&amp;cyFrom,dPer,"&lt;="&amp;cyTo,dQty,"&gt;-1E+300",dFlt1,critFlt1,dFlt2,critFlt2,dFlt3,critFlt3))</f>
        <v/>
      </c>
      <c r="G2831">
        <f>IF($B2831="",0,IFERROR(IF(OR(C2831&lt;&gt;0,D2831&lt;&gt;0,E2831&lt;&gt;0,F2831&lt;&gt;0),1,0),1))</f>
        <v>0</v>
      </c>
      <c r="H2831" t="str">
        <f>IF(OR(G2831=0,E2831=0),"",C2831/E2831)</f>
        <v/>
      </c>
      <c r="I2831" t="str">
        <f>IF(OR(G2831=0,F2831=0),"",D2831/F2831)</f>
        <v/>
      </c>
      <c r="J2831" t="str">
        <f>IF(OR(H2831="",I2831=""),"",IF(H2831=0,"",I2831/H2831-1))</f>
        <v/>
      </c>
      <c r="K2831" t="str">
        <f>IF($B2831="","",IFERROR(IF(G2831=0,-2E+300,CHOOSE(sortIdx,ROUND(D2831,0),IF(J2831="",-1E+300,ROUND(-J2831,6)),IF(J2831="",-1E+300,ROUND(J2831,6)))),-1.5E+300))</f>
        <v/>
      </c>
      <c r="L2831" t="str">
        <f>IF(K2831="","",RANK(K2831,$K$2:$K$3001,0)+COUNTIF($K$2:K2831,K2831)-1)</f>
        <v/>
      </c>
    </row>
    <row r="2832">
      <c r="B2832" t="str">
        <f>IFERROR(IF(A2832="","","="&amp;SUBSTITUTE(SUBSTITUTE(SUBSTITUTE(A2832,"~","~~"),"*","~*"),"?","~?")),"")</f>
        <v/>
      </c>
      <c r="C2832" t="str">
        <f>IF($B2832="","",SUMIFS(dAmt,dCust,$B2832,dPer,"&gt;="&amp;pyFrom,dPer,"&lt;="&amp;pyTo,dAmt,"&gt;-1E+300",dFlt1,critFlt1,dFlt2,critFlt2,dFlt3,critFlt3))</f>
        <v/>
      </c>
      <c r="D2832" t="str">
        <f>IF($B2832="","",SUMIFS(dAmt,dCust,$B2832,dPer,"&gt;="&amp;cyFrom,dPer,"&lt;="&amp;cyTo,dAmt,"&gt;-1E+300",dFlt1,critFlt1,dFlt2,critFlt2,dFlt3,critFlt3))</f>
        <v/>
      </c>
      <c r="E2832" t="str">
        <f>IF($B2832="","",SUMIFS(dQty,dCust,$B2832,dPer,"&gt;="&amp;pyFrom,dPer,"&lt;="&amp;pyTo,dQty,"&gt;-1E+300",dFlt1,critFlt1,dFlt2,critFlt2,dFlt3,critFlt3))</f>
        <v/>
      </c>
      <c r="F2832" t="str">
        <f>IF($B2832="","",SUMIFS(dQty,dCust,$B2832,dPer,"&gt;="&amp;cyFrom,dPer,"&lt;="&amp;cyTo,dQty,"&gt;-1E+300",dFlt1,critFlt1,dFlt2,critFlt2,dFlt3,critFlt3))</f>
        <v/>
      </c>
      <c r="G2832">
        <f>IF($B2832="",0,IFERROR(IF(OR(C2832&lt;&gt;0,D2832&lt;&gt;0,E2832&lt;&gt;0,F2832&lt;&gt;0),1,0),1))</f>
        <v>0</v>
      </c>
      <c r="H2832" t="str">
        <f>IF(OR(G2832=0,E2832=0),"",C2832/E2832)</f>
        <v/>
      </c>
      <c r="I2832" t="str">
        <f>IF(OR(G2832=0,F2832=0),"",D2832/F2832)</f>
        <v/>
      </c>
      <c r="J2832" t="str">
        <f>IF(OR(H2832="",I2832=""),"",IF(H2832=0,"",I2832/H2832-1))</f>
        <v/>
      </c>
      <c r="K2832" t="str">
        <f>IF($B2832="","",IFERROR(IF(G2832=0,-2E+300,CHOOSE(sortIdx,ROUND(D2832,0),IF(J2832="",-1E+300,ROUND(-J2832,6)),IF(J2832="",-1E+300,ROUND(J2832,6)))),-1.5E+300))</f>
        <v/>
      </c>
      <c r="L2832" t="str">
        <f>IF(K2832="","",RANK(K2832,$K$2:$K$3001,0)+COUNTIF($K$2:K2832,K2832)-1)</f>
        <v/>
      </c>
    </row>
    <row r="2833">
      <c r="B2833" t="str">
        <f>IFERROR(IF(A2833="","","="&amp;SUBSTITUTE(SUBSTITUTE(SUBSTITUTE(A2833,"~","~~"),"*","~*"),"?","~?")),"")</f>
        <v/>
      </c>
      <c r="C2833" t="str">
        <f>IF($B2833="","",SUMIFS(dAmt,dCust,$B2833,dPer,"&gt;="&amp;pyFrom,dPer,"&lt;="&amp;pyTo,dAmt,"&gt;-1E+300",dFlt1,critFlt1,dFlt2,critFlt2,dFlt3,critFlt3))</f>
        <v/>
      </c>
      <c r="D2833" t="str">
        <f>IF($B2833="","",SUMIFS(dAmt,dCust,$B2833,dPer,"&gt;="&amp;cyFrom,dPer,"&lt;="&amp;cyTo,dAmt,"&gt;-1E+300",dFlt1,critFlt1,dFlt2,critFlt2,dFlt3,critFlt3))</f>
        <v/>
      </c>
      <c r="E2833" t="str">
        <f>IF($B2833="","",SUMIFS(dQty,dCust,$B2833,dPer,"&gt;="&amp;pyFrom,dPer,"&lt;="&amp;pyTo,dQty,"&gt;-1E+300",dFlt1,critFlt1,dFlt2,critFlt2,dFlt3,critFlt3))</f>
        <v/>
      </c>
      <c r="F2833" t="str">
        <f>IF($B2833="","",SUMIFS(dQty,dCust,$B2833,dPer,"&gt;="&amp;cyFrom,dPer,"&lt;="&amp;cyTo,dQty,"&gt;-1E+300",dFlt1,critFlt1,dFlt2,critFlt2,dFlt3,critFlt3))</f>
        <v/>
      </c>
      <c r="G2833">
        <f>IF($B2833="",0,IFERROR(IF(OR(C2833&lt;&gt;0,D2833&lt;&gt;0,E2833&lt;&gt;0,F2833&lt;&gt;0),1,0),1))</f>
        <v>0</v>
      </c>
      <c r="H2833" t="str">
        <f>IF(OR(G2833=0,E2833=0),"",C2833/E2833)</f>
        <v/>
      </c>
      <c r="I2833" t="str">
        <f>IF(OR(G2833=0,F2833=0),"",D2833/F2833)</f>
        <v/>
      </c>
      <c r="J2833" t="str">
        <f>IF(OR(H2833="",I2833=""),"",IF(H2833=0,"",I2833/H2833-1))</f>
        <v/>
      </c>
      <c r="K2833" t="str">
        <f>IF($B2833="","",IFERROR(IF(G2833=0,-2E+300,CHOOSE(sortIdx,ROUND(D2833,0),IF(J2833="",-1E+300,ROUND(-J2833,6)),IF(J2833="",-1E+300,ROUND(J2833,6)))),-1.5E+300))</f>
        <v/>
      </c>
      <c r="L2833" t="str">
        <f>IF(K2833="","",RANK(K2833,$K$2:$K$3001,0)+COUNTIF($K$2:K2833,K2833)-1)</f>
        <v/>
      </c>
    </row>
    <row r="2834">
      <c r="B2834" t="str">
        <f>IFERROR(IF(A2834="","","="&amp;SUBSTITUTE(SUBSTITUTE(SUBSTITUTE(A2834,"~","~~"),"*","~*"),"?","~?")),"")</f>
        <v/>
      </c>
      <c r="C2834" t="str">
        <f>IF($B2834="","",SUMIFS(dAmt,dCust,$B2834,dPer,"&gt;="&amp;pyFrom,dPer,"&lt;="&amp;pyTo,dAmt,"&gt;-1E+300",dFlt1,critFlt1,dFlt2,critFlt2,dFlt3,critFlt3))</f>
        <v/>
      </c>
      <c r="D2834" t="str">
        <f>IF($B2834="","",SUMIFS(dAmt,dCust,$B2834,dPer,"&gt;="&amp;cyFrom,dPer,"&lt;="&amp;cyTo,dAmt,"&gt;-1E+300",dFlt1,critFlt1,dFlt2,critFlt2,dFlt3,critFlt3))</f>
        <v/>
      </c>
      <c r="E2834" t="str">
        <f>IF($B2834="","",SUMIFS(dQty,dCust,$B2834,dPer,"&gt;="&amp;pyFrom,dPer,"&lt;="&amp;pyTo,dQty,"&gt;-1E+300",dFlt1,critFlt1,dFlt2,critFlt2,dFlt3,critFlt3))</f>
        <v/>
      </c>
      <c r="F2834" t="str">
        <f>IF($B2834="","",SUMIFS(dQty,dCust,$B2834,dPer,"&gt;="&amp;cyFrom,dPer,"&lt;="&amp;cyTo,dQty,"&gt;-1E+300",dFlt1,critFlt1,dFlt2,critFlt2,dFlt3,critFlt3))</f>
        <v/>
      </c>
      <c r="G2834">
        <f>IF($B2834="",0,IFERROR(IF(OR(C2834&lt;&gt;0,D2834&lt;&gt;0,E2834&lt;&gt;0,F2834&lt;&gt;0),1,0),1))</f>
        <v>0</v>
      </c>
      <c r="H2834" t="str">
        <f>IF(OR(G2834=0,E2834=0),"",C2834/E2834)</f>
        <v/>
      </c>
      <c r="I2834" t="str">
        <f>IF(OR(G2834=0,F2834=0),"",D2834/F2834)</f>
        <v/>
      </c>
      <c r="J2834" t="str">
        <f>IF(OR(H2834="",I2834=""),"",IF(H2834=0,"",I2834/H2834-1))</f>
        <v/>
      </c>
      <c r="K2834" t="str">
        <f>IF($B2834="","",IFERROR(IF(G2834=0,-2E+300,CHOOSE(sortIdx,ROUND(D2834,0),IF(J2834="",-1E+300,ROUND(-J2834,6)),IF(J2834="",-1E+300,ROUND(J2834,6)))),-1.5E+300))</f>
        <v/>
      </c>
      <c r="L2834" t="str">
        <f>IF(K2834="","",RANK(K2834,$K$2:$K$3001,0)+COUNTIF($K$2:K2834,K2834)-1)</f>
        <v/>
      </c>
    </row>
    <row r="2835">
      <c r="B2835" t="str">
        <f>IFERROR(IF(A2835="","","="&amp;SUBSTITUTE(SUBSTITUTE(SUBSTITUTE(A2835,"~","~~"),"*","~*"),"?","~?")),"")</f>
        <v/>
      </c>
      <c r="C2835" t="str">
        <f>IF($B2835="","",SUMIFS(dAmt,dCust,$B2835,dPer,"&gt;="&amp;pyFrom,dPer,"&lt;="&amp;pyTo,dAmt,"&gt;-1E+300",dFlt1,critFlt1,dFlt2,critFlt2,dFlt3,critFlt3))</f>
        <v/>
      </c>
      <c r="D2835" t="str">
        <f>IF($B2835="","",SUMIFS(dAmt,dCust,$B2835,dPer,"&gt;="&amp;cyFrom,dPer,"&lt;="&amp;cyTo,dAmt,"&gt;-1E+300",dFlt1,critFlt1,dFlt2,critFlt2,dFlt3,critFlt3))</f>
        <v/>
      </c>
      <c r="E2835" t="str">
        <f>IF($B2835="","",SUMIFS(dQty,dCust,$B2835,dPer,"&gt;="&amp;pyFrom,dPer,"&lt;="&amp;pyTo,dQty,"&gt;-1E+300",dFlt1,critFlt1,dFlt2,critFlt2,dFlt3,critFlt3))</f>
        <v/>
      </c>
      <c r="F2835" t="str">
        <f>IF($B2835="","",SUMIFS(dQty,dCust,$B2835,dPer,"&gt;="&amp;cyFrom,dPer,"&lt;="&amp;cyTo,dQty,"&gt;-1E+300",dFlt1,critFlt1,dFlt2,critFlt2,dFlt3,critFlt3))</f>
        <v/>
      </c>
      <c r="G2835">
        <f>IF($B2835="",0,IFERROR(IF(OR(C2835&lt;&gt;0,D2835&lt;&gt;0,E2835&lt;&gt;0,F2835&lt;&gt;0),1,0),1))</f>
        <v>0</v>
      </c>
      <c r="H2835" t="str">
        <f>IF(OR(G2835=0,E2835=0),"",C2835/E2835)</f>
        <v/>
      </c>
      <c r="I2835" t="str">
        <f>IF(OR(G2835=0,F2835=0),"",D2835/F2835)</f>
        <v/>
      </c>
      <c r="J2835" t="str">
        <f>IF(OR(H2835="",I2835=""),"",IF(H2835=0,"",I2835/H2835-1))</f>
        <v/>
      </c>
      <c r="K2835" t="str">
        <f>IF($B2835="","",IFERROR(IF(G2835=0,-2E+300,CHOOSE(sortIdx,ROUND(D2835,0),IF(J2835="",-1E+300,ROUND(-J2835,6)),IF(J2835="",-1E+300,ROUND(J2835,6)))),-1.5E+300))</f>
        <v/>
      </c>
      <c r="L2835" t="str">
        <f>IF(K2835="","",RANK(K2835,$K$2:$K$3001,0)+COUNTIF($K$2:K2835,K2835)-1)</f>
        <v/>
      </c>
    </row>
    <row r="2836">
      <c r="B2836" t="str">
        <f>IFERROR(IF(A2836="","","="&amp;SUBSTITUTE(SUBSTITUTE(SUBSTITUTE(A2836,"~","~~"),"*","~*"),"?","~?")),"")</f>
        <v/>
      </c>
      <c r="C2836" t="str">
        <f>IF($B2836="","",SUMIFS(dAmt,dCust,$B2836,dPer,"&gt;="&amp;pyFrom,dPer,"&lt;="&amp;pyTo,dAmt,"&gt;-1E+300",dFlt1,critFlt1,dFlt2,critFlt2,dFlt3,critFlt3))</f>
        <v/>
      </c>
      <c r="D2836" t="str">
        <f>IF($B2836="","",SUMIFS(dAmt,dCust,$B2836,dPer,"&gt;="&amp;cyFrom,dPer,"&lt;="&amp;cyTo,dAmt,"&gt;-1E+300",dFlt1,critFlt1,dFlt2,critFlt2,dFlt3,critFlt3))</f>
        <v/>
      </c>
      <c r="E2836" t="str">
        <f>IF($B2836="","",SUMIFS(dQty,dCust,$B2836,dPer,"&gt;="&amp;pyFrom,dPer,"&lt;="&amp;pyTo,dQty,"&gt;-1E+300",dFlt1,critFlt1,dFlt2,critFlt2,dFlt3,critFlt3))</f>
        <v/>
      </c>
      <c r="F2836" t="str">
        <f>IF($B2836="","",SUMIFS(dQty,dCust,$B2836,dPer,"&gt;="&amp;cyFrom,dPer,"&lt;="&amp;cyTo,dQty,"&gt;-1E+300",dFlt1,critFlt1,dFlt2,critFlt2,dFlt3,critFlt3))</f>
        <v/>
      </c>
      <c r="G2836">
        <f>IF($B2836="",0,IFERROR(IF(OR(C2836&lt;&gt;0,D2836&lt;&gt;0,E2836&lt;&gt;0,F2836&lt;&gt;0),1,0),1))</f>
        <v>0</v>
      </c>
      <c r="H2836" t="str">
        <f>IF(OR(G2836=0,E2836=0),"",C2836/E2836)</f>
        <v/>
      </c>
      <c r="I2836" t="str">
        <f>IF(OR(G2836=0,F2836=0),"",D2836/F2836)</f>
        <v/>
      </c>
      <c r="J2836" t="str">
        <f>IF(OR(H2836="",I2836=""),"",IF(H2836=0,"",I2836/H2836-1))</f>
        <v/>
      </c>
      <c r="K2836" t="str">
        <f>IF($B2836="","",IFERROR(IF(G2836=0,-2E+300,CHOOSE(sortIdx,ROUND(D2836,0),IF(J2836="",-1E+300,ROUND(-J2836,6)),IF(J2836="",-1E+300,ROUND(J2836,6)))),-1.5E+300))</f>
        <v/>
      </c>
      <c r="L2836" t="str">
        <f>IF(K2836="","",RANK(K2836,$K$2:$K$3001,0)+COUNTIF($K$2:K2836,K2836)-1)</f>
        <v/>
      </c>
    </row>
    <row r="2837">
      <c r="B2837" t="str">
        <f>IFERROR(IF(A2837="","","="&amp;SUBSTITUTE(SUBSTITUTE(SUBSTITUTE(A2837,"~","~~"),"*","~*"),"?","~?")),"")</f>
        <v/>
      </c>
      <c r="C2837" t="str">
        <f>IF($B2837="","",SUMIFS(dAmt,dCust,$B2837,dPer,"&gt;="&amp;pyFrom,dPer,"&lt;="&amp;pyTo,dAmt,"&gt;-1E+300",dFlt1,critFlt1,dFlt2,critFlt2,dFlt3,critFlt3))</f>
        <v/>
      </c>
      <c r="D2837" t="str">
        <f>IF($B2837="","",SUMIFS(dAmt,dCust,$B2837,dPer,"&gt;="&amp;cyFrom,dPer,"&lt;="&amp;cyTo,dAmt,"&gt;-1E+300",dFlt1,critFlt1,dFlt2,critFlt2,dFlt3,critFlt3))</f>
        <v/>
      </c>
      <c r="E2837" t="str">
        <f>IF($B2837="","",SUMIFS(dQty,dCust,$B2837,dPer,"&gt;="&amp;pyFrom,dPer,"&lt;="&amp;pyTo,dQty,"&gt;-1E+300",dFlt1,critFlt1,dFlt2,critFlt2,dFlt3,critFlt3))</f>
        <v/>
      </c>
      <c r="F2837" t="str">
        <f>IF($B2837="","",SUMIFS(dQty,dCust,$B2837,dPer,"&gt;="&amp;cyFrom,dPer,"&lt;="&amp;cyTo,dQty,"&gt;-1E+300",dFlt1,critFlt1,dFlt2,critFlt2,dFlt3,critFlt3))</f>
        <v/>
      </c>
      <c r="G2837">
        <f>IF($B2837="",0,IFERROR(IF(OR(C2837&lt;&gt;0,D2837&lt;&gt;0,E2837&lt;&gt;0,F2837&lt;&gt;0),1,0),1))</f>
        <v>0</v>
      </c>
      <c r="H2837" t="str">
        <f>IF(OR(G2837=0,E2837=0),"",C2837/E2837)</f>
        <v/>
      </c>
      <c r="I2837" t="str">
        <f>IF(OR(G2837=0,F2837=0),"",D2837/F2837)</f>
        <v/>
      </c>
      <c r="J2837" t="str">
        <f>IF(OR(H2837="",I2837=""),"",IF(H2837=0,"",I2837/H2837-1))</f>
        <v/>
      </c>
      <c r="K2837" t="str">
        <f>IF($B2837="","",IFERROR(IF(G2837=0,-2E+300,CHOOSE(sortIdx,ROUND(D2837,0),IF(J2837="",-1E+300,ROUND(-J2837,6)),IF(J2837="",-1E+300,ROUND(J2837,6)))),-1.5E+300))</f>
        <v/>
      </c>
      <c r="L2837" t="str">
        <f>IF(K2837="","",RANK(K2837,$K$2:$K$3001,0)+COUNTIF($K$2:K2837,K2837)-1)</f>
        <v/>
      </c>
    </row>
    <row r="2838">
      <c r="B2838" t="str">
        <f>IFERROR(IF(A2838="","","="&amp;SUBSTITUTE(SUBSTITUTE(SUBSTITUTE(A2838,"~","~~"),"*","~*"),"?","~?")),"")</f>
        <v/>
      </c>
      <c r="C2838" t="str">
        <f>IF($B2838="","",SUMIFS(dAmt,dCust,$B2838,dPer,"&gt;="&amp;pyFrom,dPer,"&lt;="&amp;pyTo,dAmt,"&gt;-1E+300",dFlt1,critFlt1,dFlt2,critFlt2,dFlt3,critFlt3))</f>
        <v/>
      </c>
      <c r="D2838" t="str">
        <f>IF($B2838="","",SUMIFS(dAmt,dCust,$B2838,dPer,"&gt;="&amp;cyFrom,dPer,"&lt;="&amp;cyTo,dAmt,"&gt;-1E+300",dFlt1,critFlt1,dFlt2,critFlt2,dFlt3,critFlt3))</f>
        <v/>
      </c>
      <c r="E2838" t="str">
        <f>IF($B2838="","",SUMIFS(dQty,dCust,$B2838,dPer,"&gt;="&amp;pyFrom,dPer,"&lt;="&amp;pyTo,dQty,"&gt;-1E+300",dFlt1,critFlt1,dFlt2,critFlt2,dFlt3,critFlt3))</f>
        <v/>
      </c>
      <c r="F2838" t="str">
        <f>IF($B2838="","",SUMIFS(dQty,dCust,$B2838,dPer,"&gt;="&amp;cyFrom,dPer,"&lt;="&amp;cyTo,dQty,"&gt;-1E+300",dFlt1,critFlt1,dFlt2,critFlt2,dFlt3,critFlt3))</f>
        <v/>
      </c>
      <c r="G2838">
        <f>IF($B2838="",0,IFERROR(IF(OR(C2838&lt;&gt;0,D2838&lt;&gt;0,E2838&lt;&gt;0,F2838&lt;&gt;0),1,0),1))</f>
        <v>0</v>
      </c>
      <c r="H2838" t="str">
        <f>IF(OR(G2838=0,E2838=0),"",C2838/E2838)</f>
        <v/>
      </c>
      <c r="I2838" t="str">
        <f>IF(OR(G2838=0,F2838=0),"",D2838/F2838)</f>
        <v/>
      </c>
      <c r="J2838" t="str">
        <f>IF(OR(H2838="",I2838=""),"",IF(H2838=0,"",I2838/H2838-1))</f>
        <v/>
      </c>
      <c r="K2838" t="str">
        <f>IF($B2838="","",IFERROR(IF(G2838=0,-2E+300,CHOOSE(sortIdx,ROUND(D2838,0),IF(J2838="",-1E+300,ROUND(-J2838,6)),IF(J2838="",-1E+300,ROUND(J2838,6)))),-1.5E+300))</f>
        <v/>
      </c>
      <c r="L2838" t="str">
        <f>IF(K2838="","",RANK(K2838,$K$2:$K$3001,0)+COUNTIF($K$2:K2838,K2838)-1)</f>
        <v/>
      </c>
    </row>
    <row r="2839">
      <c r="B2839" t="str">
        <f>IFERROR(IF(A2839="","","="&amp;SUBSTITUTE(SUBSTITUTE(SUBSTITUTE(A2839,"~","~~"),"*","~*"),"?","~?")),"")</f>
        <v/>
      </c>
      <c r="C2839" t="str">
        <f>IF($B2839="","",SUMIFS(dAmt,dCust,$B2839,dPer,"&gt;="&amp;pyFrom,dPer,"&lt;="&amp;pyTo,dAmt,"&gt;-1E+300",dFlt1,critFlt1,dFlt2,critFlt2,dFlt3,critFlt3))</f>
        <v/>
      </c>
      <c r="D2839" t="str">
        <f>IF($B2839="","",SUMIFS(dAmt,dCust,$B2839,dPer,"&gt;="&amp;cyFrom,dPer,"&lt;="&amp;cyTo,dAmt,"&gt;-1E+300",dFlt1,critFlt1,dFlt2,critFlt2,dFlt3,critFlt3))</f>
        <v/>
      </c>
      <c r="E2839" t="str">
        <f>IF($B2839="","",SUMIFS(dQty,dCust,$B2839,dPer,"&gt;="&amp;pyFrom,dPer,"&lt;="&amp;pyTo,dQty,"&gt;-1E+300",dFlt1,critFlt1,dFlt2,critFlt2,dFlt3,critFlt3))</f>
        <v/>
      </c>
      <c r="F2839" t="str">
        <f>IF($B2839="","",SUMIFS(dQty,dCust,$B2839,dPer,"&gt;="&amp;cyFrom,dPer,"&lt;="&amp;cyTo,dQty,"&gt;-1E+300",dFlt1,critFlt1,dFlt2,critFlt2,dFlt3,critFlt3))</f>
        <v/>
      </c>
      <c r="G2839">
        <f>IF($B2839="",0,IFERROR(IF(OR(C2839&lt;&gt;0,D2839&lt;&gt;0,E2839&lt;&gt;0,F2839&lt;&gt;0),1,0),1))</f>
        <v>0</v>
      </c>
      <c r="H2839" t="str">
        <f>IF(OR(G2839=0,E2839=0),"",C2839/E2839)</f>
        <v/>
      </c>
      <c r="I2839" t="str">
        <f>IF(OR(G2839=0,F2839=0),"",D2839/F2839)</f>
        <v/>
      </c>
      <c r="J2839" t="str">
        <f>IF(OR(H2839="",I2839=""),"",IF(H2839=0,"",I2839/H2839-1))</f>
        <v/>
      </c>
      <c r="K2839" t="str">
        <f>IF($B2839="","",IFERROR(IF(G2839=0,-2E+300,CHOOSE(sortIdx,ROUND(D2839,0),IF(J2839="",-1E+300,ROUND(-J2839,6)),IF(J2839="",-1E+300,ROUND(J2839,6)))),-1.5E+300))</f>
        <v/>
      </c>
      <c r="L2839" t="str">
        <f>IF(K2839="","",RANK(K2839,$K$2:$K$3001,0)+COUNTIF($K$2:K2839,K2839)-1)</f>
        <v/>
      </c>
    </row>
    <row r="2840">
      <c r="B2840" t="str">
        <f>IFERROR(IF(A2840="","","="&amp;SUBSTITUTE(SUBSTITUTE(SUBSTITUTE(A2840,"~","~~"),"*","~*"),"?","~?")),"")</f>
        <v/>
      </c>
      <c r="C2840" t="str">
        <f>IF($B2840="","",SUMIFS(dAmt,dCust,$B2840,dPer,"&gt;="&amp;pyFrom,dPer,"&lt;="&amp;pyTo,dAmt,"&gt;-1E+300",dFlt1,critFlt1,dFlt2,critFlt2,dFlt3,critFlt3))</f>
        <v/>
      </c>
      <c r="D2840" t="str">
        <f>IF($B2840="","",SUMIFS(dAmt,dCust,$B2840,dPer,"&gt;="&amp;cyFrom,dPer,"&lt;="&amp;cyTo,dAmt,"&gt;-1E+300",dFlt1,critFlt1,dFlt2,critFlt2,dFlt3,critFlt3))</f>
        <v/>
      </c>
      <c r="E2840" t="str">
        <f>IF($B2840="","",SUMIFS(dQty,dCust,$B2840,dPer,"&gt;="&amp;pyFrom,dPer,"&lt;="&amp;pyTo,dQty,"&gt;-1E+300",dFlt1,critFlt1,dFlt2,critFlt2,dFlt3,critFlt3))</f>
        <v/>
      </c>
      <c r="F2840" t="str">
        <f>IF($B2840="","",SUMIFS(dQty,dCust,$B2840,dPer,"&gt;="&amp;cyFrom,dPer,"&lt;="&amp;cyTo,dQty,"&gt;-1E+300",dFlt1,critFlt1,dFlt2,critFlt2,dFlt3,critFlt3))</f>
        <v/>
      </c>
      <c r="G2840">
        <f>IF($B2840="",0,IFERROR(IF(OR(C2840&lt;&gt;0,D2840&lt;&gt;0,E2840&lt;&gt;0,F2840&lt;&gt;0),1,0),1))</f>
        <v>0</v>
      </c>
      <c r="H2840" t="str">
        <f>IF(OR(G2840=0,E2840=0),"",C2840/E2840)</f>
        <v/>
      </c>
      <c r="I2840" t="str">
        <f>IF(OR(G2840=0,F2840=0),"",D2840/F2840)</f>
        <v/>
      </c>
      <c r="J2840" t="str">
        <f>IF(OR(H2840="",I2840=""),"",IF(H2840=0,"",I2840/H2840-1))</f>
        <v/>
      </c>
      <c r="K2840" t="str">
        <f>IF($B2840="","",IFERROR(IF(G2840=0,-2E+300,CHOOSE(sortIdx,ROUND(D2840,0),IF(J2840="",-1E+300,ROUND(-J2840,6)),IF(J2840="",-1E+300,ROUND(J2840,6)))),-1.5E+300))</f>
        <v/>
      </c>
      <c r="L2840" t="str">
        <f>IF(K2840="","",RANK(K2840,$K$2:$K$3001,0)+COUNTIF($K$2:K2840,K2840)-1)</f>
        <v/>
      </c>
    </row>
    <row r="2841">
      <c r="B2841" t="str">
        <f>IFERROR(IF(A2841="","","="&amp;SUBSTITUTE(SUBSTITUTE(SUBSTITUTE(A2841,"~","~~"),"*","~*"),"?","~?")),"")</f>
        <v/>
      </c>
      <c r="C2841" t="str">
        <f>IF($B2841="","",SUMIFS(dAmt,dCust,$B2841,dPer,"&gt;="&amp;pyFrom,dPer,"&lt;="&amp;pyTo,dAmt,"&gt;-1E+300",dFlt1,critFlt1,dFlt2,critFlt2,dFlt3,critFlt3))</f>
        <v/>
      </c>
      <c r="D2841" t="str">
        <f>IF($B2841="","",SUMIFS(dAmt,dCust,$B2841,dPer,"&gt;="&amp;cyFrom,dPer,"&lt;="&amp;cyTo,dAmt,"&gt;-1E+300",dFlt1,critFlt1,dFlt2,critFlt2,dFlt3,critFlt3))</f>
        <v/>
      </c>
      <c r="E2841" t="str">
        <f>IF($B2841="","",SUMIFS(dQty,dCust,$B2841,dPer,"&gt;="&amp;pyFrom,dPer,"&lt;="&amp;pyTo,dQty,"&gt;-1E+300",dFlt1,critFlt1,dFlt2,critFlt2,dFlt3,critFlt3))</f>
        <v/>
      </c>
      <c r="F2841" t="str">
        <f>IF($B2841="","",SUMIFS(dQty,dCust,$B2841,dPer,"&gt;="&amp;cyFrom,dPer,"&lt;="&amp;cyTo,dQty,"&gt;-1E+300",dFlt1,critFlt1,dFlt2,critFlt2,dFlt3,critFlt3))</f>
        <v/>
      </c>
      <c r="G2841">
        <f>IF($B2841="",0,IFERROR(IF(OR(C2841&lt;&gt;0,D2841&lt;&gt;0,E2841&lt;&gt;0,F2841&lt;&gt;0),1,0),1))</f>
        <v>0</v>
      </c>
      <c r="H2841" t="str">
        <f>IF(OR(G2841=0,E2841=0),"",C2841/E2841)</f>
        <v/>
      </c>
      <c r="I2841" t="str">
        <f>IF(OR(G2841=0,F2841=0),"",D2841/F2841)</f>
        <v/>
      </c>
      <c r="J2841" t="str">
        <f>IF(OR(H2841="",I2841=""),"",IF(H2841=0,"",I2841/H2841-1))</f>
        <v/>
      </c>
      <c r="K2841" t="str">
        <f>IF($B2841="","",IFERROR(IF(G2841=0,-2E+300,CHOOSE(sortIdx,ROUND(D2841,0),IF(J2841="",-1E+300,ROUND(-J2841,6)),IF(J2841="",-1E+300,ROUND(J2841,6)))),-1.5E+300))</f>
        <v/>
      </c>
      <c r="L2841" t="str">
        <f>IF(K2841="","",RANK(K2841,$K$2:$K$3001,0)+COUNTIF($K$2:K2841,K2841)-1)</f>
        <v/>
      </c>
    </row>
    <row r="2842">
      <c r="B2842" t="str">
        <f>IFERROR(IF(A2842="","","="&amp;SUBSTITUTE(SUBSTITUTE(SUBSTITUTE(A2842,"~","~~"),"*","~*"),"?","~?")),"")</f>
        <v/>
      </c>
      <c r="C2842" t="str">
        <f>IF($B2842="","",SUMIFS(dAmt,dCust,$B2842,dPer,"&gt;="&amp;pyFrom,dPer,"&lt;="&amp;pyTo,dAmt,"&gt;-1E+300",dFlt1,critFlt1,dFlt2,critFlt2,dFlt3,critFlt3))</f>
        <v/>
      </c>
      <c r="D2842" t="str">
        <f>IF($B2842="","",SUMIFS(dAmt,dCust,$B2842,dPer,"&gt;="&amp;cyFrom,dPer,"&lt;="&amp;cyTo,dAmt,"&gt;-1E+300",dFlt1,critFlt1,dFlt2,critFlt2,dFlt3,critFlt3))</f>
        <v/>
      </c>
      <c r="E2842" t="str">
        <f>IF($B2842="","",SUMIFS(dQty,dCust,$B2842,dPer,"&gt;="&amp;pyFrom,dPer,"&lt;="&amp;pyTo,dQty,"&gt;-1E+300",dFlt1,critFlt1,dFlt2,critFlt2,dFlt3,critFlt3))</f>
        <v/>
      </c>
      <c r="F2842" t="str">
        <f>IF($B2842="","",SUMIFS(dQty,dCust,$B2842,dPer,"&gt;="&amp;cyFrom,dPer,"&lt;="&amp;cyTo,dQty,"&gt;-1E+300",dFlt1,critFlt1,dFlt2,critFlt2,dFlt3,critFlt3))</f>
        <v/>
      </c>
      <c r="G2842">
        <f>IF($B2842="",0,IFERROR(IF(OR(C2842&lt;&gt;0,D2842&lt;&gt;0,E2842&lt;&gt;0,F2842&lt;&gt;0),1,0),1))</f>
        <v>0</v>
      </c>
      <c r="H2842" t="str">
        <f>IF(OR(G2842=0,E2842=0),"",C2842/E2842)</f>
        <v/>
      </c>
      <c r="I2842" t="str">
        <f>IF(OR(G2842=0,F2842=0),"",D2842/F2842)</f>
        <v/>
      </c>
      <c r="J2842" t="str">
        <f>IF(OR(H2842="",I2842=""),"",IF(H2842=0,"",I2842/H2842-1))</f>
        <v/>
      </c>
      <c r="K2842" t="str">
        <f>IF($B2842="","",IFERROR(IF(G2842=0,-2E+300,CHOOSE(sortIdx,ROUND(D2842,0),IF(J2842="",-1E+300,ROUND(-J2842,6)),IF(J2842="",-1E+300,ROUND(J2842,6)))),-1.5E+300))</f>
        <v/>
      </c>
      <c r="L2842" t="str">
        <f>IF(K2842="","",RANK(K2842,$K$2:$K$3001,0)+COUNTIF($K$2:K2842,K2842)-1)</f>
        <v/>
      </c>
    </row>
    <row r="2843">
      <c r="B2843" t="str">
        <f>IFERROR(IF(A2843="","","="&amp;SUBSTITUTE(SUBSTITUTE(SUBSTITUTE(A2843,"~","~~"),"*","~*"),"?","~?")),"")</f>
        <v/>
      </c>
      <c r="C2843" t="str">
        <f>IF($B2843="","",SUMIFS(dAmt,dCust,$B2843,dPer,"&gt;="&amp;pyFrom,dPer,"&lt;="&amp;pyTo,dAmt,"&gt;-1E+300",dFlt1,critFlt1,dFlt2,critFlt2,dFlt3,critFlt3))</f>
        <v/>
      </c>
      <c r="D2843" t="str">
        <f>IF($B2843="","",SUMIFS(dAmt,dCust,$B2843,dPer,"&gt;="&amp;cyFrom,dPer,"&lt;="&amp;cyTo,dAmt,"&gt;-1E+300",dFlt1,critFlt1,dFlt2,critFlt2,dFlt3,critFlt3))</f>
        <v/>
      </c>
      <c r="E2843" t="str">
        <f>IF($B2843="","",SUMIFS(dQty,dCust,$B2843,dPer,"&gt;="&amp;pyFrom,dPer,"&lt;="&amp;pyTo,dQty,"&gt;-1E+300",dFlt1,critFlt1,dFlt2,critFlt2,dFlt3,critFlt3))</f>
        <v/>
      </c>
      <c r="F2843" t="str">
        <f>IF($B2843="","",SUMIFS(dQty,dCust,$B2843,dPer,"&gt;="&amp;cyFrom,dPer,"&lt;="&amp;cyTo,dQty,"&gt;-1E+300",dFlt1,critFlt1,dFlt2,critFlt2,dFlt3,critFlt3))</f>
        <v/>
      </c>
      <c r="G2843">
        <f>IF($B2843="",0,IFERROR(IF(OR(C2843&lt;&gt;0,D2843&lt;&gt;0,E2843&lt;&gt;0,F2843&lt;&gt;0),1,0),1))</f>
        <v>0</v>
      </c>
      <c r="H2843" t="str">
        <f>IF(OR(G2843=0,E2843=0),"",C2843/E2843)</f>
        <v/>
      </c>
      <c r="I2843" t="str">
        <f>IF(OR(G2843=0,F2843=0),"",D2843/F2843)</f>
        <v/>
      </c>
      <c r="J2843" t="str">
        <f>IF(OR(H2843="",I2843=""),"",IF(H2843=0,"",I2843/H2843-1))</f>
        <v/>
      </c>
      <c r="K2843" t="str">
        <f>IF($B2843="","",IFERROR(IF(G2843=0,-2E+300,CHOOSE(sortIdx,ROUND(D2843,0),IF(J2843="",-1E+300,ROUND(-J2843,6)),IF(J2843="",-1E+300,ROUND(J2843,6)))),-1.5E+300))</f>
        <v/>
      </c>
      <c r="L2843" t="str">
        <f>IF(K2843="","",RANK(K2843,$K$2:$K$3001,0)+COUNTIF($K$2:K2843,K2843)-1)</f>
        <v/>
      </c>
    </row>
    <row r="2844">
      <c r="B2844" t="str">
        <f>IFERROR(IF(A2844="","","="&amp;SUBSTITUTE(SUBSTITUTE(SUBSTITUTE(A2844,"~","~~"),"*","~*"),"?","~?")),"")</f>
        <v/>
      </c>
      <c r="C2844" t="str">
        <f>IF($B2844="","",SUMIFS(dAmt,dCust,$B2844,dPer,"&gt;="&amp;pyFrom,dPer,"&lt;="&amp;pyTo,dAmt,"&gt;-1E+300",dFlt1,critFlt1,dFlt2,critFlt2,dFlt3,critFlt3))</f>
        <v/>
      </c>
      <c r="D2844" t="str">
        <f>IF($B2844="","",SUMIFS(dAmt,dCust,$B2844,dPer,"&gt;="&amp;cyFrom,dPer,"&lt;="&amp;cyTo,dAmt,"&gt;-1E+300",dFlt1,critFlt1,dFlt2,critFlt2,dFlt3,critFlt3))</f>
        <v/>
      </c>
      <c r="E2844" t="str">
        <f>IF($B2844="","",SUMIFS(dQty,dCust,$B2844,dPer,"&gt;="&amp;pyFrom,dPer,"&lt;="&amp;pyTo,dQty,"&gt;-1E+300",dFlt1,critFlt1,dFlt2,critFlt2,dFlt3,critFlt3))</f>
        <v/>
      </c>
      <c r="F2844" t="str">
        <f>IF($B2844="","",SUMIFS(dQty,dCust,$B2844,dPer,"&gt;="&amp;cyFrom,dPer,"&lt;="&amp;cyTo,dQty,"&gt;-1E+300",dFlt1,critFlt1,dFlt2,critFlt2,dFlt3,critFlt3))</f>
        <v/>
      </c>
      <c r="G2844">
        <f>IF($B2844="",0,IFERROR(IF(OR(C2844&lt;&gt;0,D2844&lt;&gt;0,E2844&lt;&gt;0,F2844&lt;&gt;0),1,0),1))</f>
        <v>0</v>
      </c>
      <c r="H2844" t="str">
        <f>IF(OR(G2844=0,E2844=0),"",C2844/E2844)</f>
        <v/>
      </c>
      <c r="I2844" t="str">
        <f>IF(OR(G2844=0,F2844=0),"",D2844/F2844)</f>
        <v/>
      </c>
      <c r="J2844" t="str">
        <f>IF(OR(H2844="",I2844=""),"",IF(H2844=0,"",I2844/H2844-1))</f>
        <v/>
      </c>
      <c r="K2844" t="str">
        <f>IF($B2844="","",IFERROR(IF(G2844=0,-2E+300,CHOOSE(sortIdx,ROUND(D2844,0),IF(J2844="",-1E+300,ROUND(-J2844,6)),IF(J2844="",-1E+300,ROUND(J2844,6)))),-1.5E+300))</f>
        <v/>
      </c>
      <c r="L2844" t="str">
        <f>IF(K2844="","",RANK(K2844,$K$2:$K$3001,0)+COUNTIF($K$2:K2844,K2844)-1)</f>
        <v/>
      </c>
    </row>
    <row r="2845">
      <c r="B2845" t="str">
        <f>IFERROR(IF(A2845="","","="&amp;SUBSTITUTE(SUBSTITUTE(SUBSTITUTE(A2845,"~","~~"),"*","~*"),"?","~?")),"")</f>
        <v/>
      </c>
      <c r="C2845" t="str">
        <f>IF($B2845="","",SUMIFS(dAmt,dCust,$B2845,dPer,"&gt;="&amp;pyFrom,dPer,"&lt;="&amp;pyTo,dAmt,"&gt;-1E+300",dFlt1,critFlt1,dFlt2,critFlt2,dFlt3,critFlt3))</f>
        <v/>
      </c>
      <c r="D2845" t="str">
        <f>IF($B2845="","",SUMIFS(dAmt,dCust,$B2845,dPer,"&gt;="&amp;cyFrom,dPer,"&lt;="&amp;cyTo,dAmt,"&gt;-1E+300",dFlt1,critFlt1,dFlt2,critFlt2,dFlt3,critFlt3))</f>
        <v/>
      </c>
      <c r="E2845" t="str">
        <f>IF($B2845="","",SUMIFS(dQty,dCust,$B2845,dPer,"&gt;="&amp;pyFrom,dPer,"&lt;="&amp;pyTo,dQty,"&gt;-1E+300",dFlt1,critFlt1,dFlt2,critFlt2,dFlt3,critFlt3))</f>
        <v/>
      </c>
      <c r="F2845" t="str">
        <f>IF($B2845="","",SUMIFS(dQty,dCust,$B2845,dPer,"&gt;="&amp;cyFrom,dPer,"&lt;="&amp;cyTo,dQty,"&gt;-1E+300",dFlt1,critFlt1,dFlt2,critFlt2,dFlt3,critFlt3))</f>
        <v/>
      </c>
      <c r="G2845">
        <f>IF($B2845="",0,IFERROR(IF(OR(C2845&lt;&gt;0,D2845&lt;&gt;0,E2845&lt;&gt;0,F2845&lt;&gt;0),1,0),1))</f>
        <v>0</v>
      </c>
      <c r="H2845" t="str">
        <f>IF(OR(G2845=0,E2845=0),"",C2845/E2845)</f>
        <v/>
      </c>
      <c r="I2845" t="str">
        <f>IF(OR(G2845=0,F2845=0),"",D2845/F2845)</f>
        <v/>
      </c>
      <c r="J2845" t="str">
        <f>IF(OR(H2845="",I2845=""),"",IF(H2845=0,"",I2845/H2845-1))</f>
        <v/>
      </c>
      <c r="K2845" t="str">
        <f>IF($B2845="","",IFERROR(IF(G2845=0,-2E+300,CHOOSE(sortIdx,ROUND(D2845,0),IF(J2845="",-1E+300,ROUND(-J2845,6)),IF(J2845="",-1E+300,ROUND(J2845,6)))),-1.5E+300))</f>
        <v/>
      </c>
      <c r="L2845" t="str">
        <f>IF(K2845="","",RANK(K2845,$K$2:$K$3001,0)+COUNTIF($K$2:K2845,K2845)-1)</f>
        <v/>
      </c>
    </row>
    <row r="2846">
      <c r="B2846" t="str">
        <f>IFERROR(IF(A2846="","","="&amp;SUBSTITUTE(SUBSTITUTE(SUBSTITUTE(A2846,"~","~~"),"*","~*"),"?","~?")),"")</f>
        <v/>
      </c>
      <c r="C2846" t="str">
        <f>IF($B2846="","",SUMIFS(dAmt,dCust,$B2846,dPer,"&gt;="&amp;pyFrom,dPer,"&lt;="&amp;pyTo,dAmt,"&gt;-1E+300",dFlt1,critFlt1,dFlt2,critFlt2,dFlt3,critFlt3))</f>
        <v/>
      </c>
      <c r="D2846" t="str">
        <f>IF($B2846="","",SUMIFS(dAmt,dCust,$B2846,dPer,"&gt;="&amp;cyFrom,dPer,"&lt;="&amp;cyTo,dAmt,"&gt;-1E+300",dFlt1,critFlt1,dFlt2,critFlt2,dFlt3,critFlt3))</f>
        <v/>
      </c>
      <c r="E2846" t="str">
        <f>IF($B2846="","",SUMIFS(dQty,dCust,$B2846,dPer,"&gt;="&amp;pyFrom,dPer,"&lt;="&amp;pyTo,dQty,"&gt;-1E+300",dFlt1,critFlt1,dFlt2,critFlt2,dFlt3,critFlt3))</f>
        <v/>
      </c>
      <c r="F2846" t="str">
        <f>IF($B2846="","",SUMIFS(dQty,dCust,$B2846,dPer,"&gt;="&amp;cyFrom,dPer,"&lt;="&amp;cyTo,dQty,"&gt;-1E+300",dFlt1,critFlt1,dFlt2,critFlt2,dFlt3,critFlt3))</f>
        <v/>
      </c>
      <c r="G2846">
        <f>IF($B2846="",0,IFERROR(IF(OR(C2846&lt;&gt;0,D2846&lt;&gt;0,E2846&lt;&gt;0,F2846&lt;&gt;0),1,0),1))</f>
        <v>0</v>
      </c>
      <c r="H2846" t="str">
        <f>IF(OR(G2846=0,E2846=0),"",C2846/E2846)</f>
        <v/>
      </c>
      <c r="I2846" t="str">
        <f>IF(OR(G2846=0,F2846=0),"",D2846/F2846)</f>
        <v/>
      </c>
      <c r="J2846" t="str">
        <f>IF(OR(H2846="",I2846=""),"",IF(H2846=0,"",I2846/H2846-1))</f>
        <v/>
      </c>
      <c r="K2846" t="str">
        <f>IF($B2846="","",IFERROR(IF(G2846=0,-2E+300,CHOOSE(sortIdx,ROUND(D2846,0),IF(J2846="",-1E+300,ROUND(-J2846,6)),IF(J2846="",-1E+300,ROUND(J2846,6)))),-1.5E+300))</f>
        <v/>
      </c>
      <c r="L2846" t="str">
        <f>IF(K2846="","",RANK(K2846,$K$2:$K$3001,0)+COUNTIF($K$2:K2846,K2846)-1)</f>
        <v/>
      </c>
    </row>
    <row r="2847">
      <c r="B2847" t="str">
        <f>IFERROR(IF(A2847="","","="&amp;SUBSTITUTE(SUBSTITUTE(SUBSTITUTE(A2847,"~","~~"),"*","~*"),"?","~?")),"")</f>
        <v/>
      </c>
      <c r="C2847" t="str">
        <f>IF($B2847="","",SUMIFS(dAmt,dCust,$B2847,dPer,"&gt;="&amp;pyFrom,dPer,"&lt;="&amp;pyTo,dAmt,"&gt;-1E+300",dFlt1,critFlt1,dFlt2,critFlt2,dFlt3,critFlt3))</f>
        <v/>
      </c>
      <c r="D2847" t="str">
        <f>IF($B2847="","",SUMIFS(dAmt,dCust,$B2847,dPer,"&gt;="&amp;cyFrom,dPer,"&lt;="&amp;cyTo,dAmt,"&gt;-1E+300",dFlt1,critFlt1,dFlt2,critFlt2,dFlt3,critFlt3))</f>
        <v/>
      </c>
      <c r="E2847" t="str">
        <f>IF($B2847="","",SUMIFS(dQty,dCust,$B2847,dPer,"&gt;="&amp;pyFrom,dPer,"&lt;="&amp;pyTo,dQty,"&gt;-1E+300",dFlt1,critFlt1,dFlt2,critFlt2,dFlt3,critFlt3))</f>
        <v/>
      </c>
      <c r="F2847" t="str">
        <f>IF($B2847="","",SUMIFS(dQty,dCust,$B2847,dPer,"&gt;="&amp;cyFrom,dPer,"&lt;="&amp;cyTo,dQty,"&gt;-1E+300",dFlt1,critFlt1,dFlt2,critFlt2,dFlt3,critFlt3))</f>
        <v/>
      </c>
      <c r="G2847">
        <f>IF($B2847="",0,IFERROR(IF(OR(C2847&lt;&gt;0,D2847&lt;&gt;0,E2847&lt;&gt;0,F2847&lt;&gt;0),1,0),1))</f>
        <v>0</v>
      </c>
      <c r="H2847" t="str">
        <f>IF(OR(G2847=0,E2847=0),"",C2847/E2847)</f>
        <v/>
      </c>
      <c r="I2847" t="str">
        <f>IF(OR(G2847=0,F2847=0),"",D2847/F2847)</f>
        <v/>
      </c>
      <c r="J2847" t="str">
        <f>IF(OR(H2847="",I2847=""),"",IF(H2847=0,"",I2847/H2847-1))</f>
        <v/>
      </c>
      <c r="K2847" t="str">
        <f>IF($B2847="","",IFERROR(IF(G2847=0,-2E+300,CHOOSE(sortIdx,ROUND(D2847,0),IF(J2847="",-1E+300,ROUND(-J2847,6)),IF(J2847="",-1E+300,ROUND(J2847,6)))),-1.5E+300))</f>
        <v/>
      </c>
      <c r="L2847" t="str">
        <f>IF(K2847="","",RANK(K2847,$K$2:$K$3001,0)+COUNTIF($K$2:K2847,K2847)-1)</f>
        <v/>
      </c>
    </row>
    <row r="2848">
      <c r="B2848" t="str">
        <f>IFERROR(IF(A2848="","","="&amp;SUBSTITUTE(SUBSTITUTE(SUBSTITUTE(A2848,"~","~~"),"*","~*"),"?","~?")),"")</f>
        <v/>
      </c>
      <c r="C2848" t="str">
        <f>IF($B2848="","",SUMIFS(dAmt,dCust,$B2848,dPer,"&gt;="&amp;pyFrom,dPer,"&lt;="&amp;pyTo,dAmt,"&gt;-1E+300",dFlt1,critFlt1,dFlt2,critFlt2,dFlt3,critFlt3))</f>
        <v/>
      </c>
      <c r="D2848" t="str">
        <f>IF($B2848="","",SUMIFS(dAmt,dCust,$B2848,dPer,"&gt;="&amp;cyFrom,dPer,"&lt;="&amp;cyTo,dAmt,"&gt;-1E+300",dFlt1,critFlt1,dFlt2,critFlt2,dFlt3,critFlt3))</f>
        <v/>
      </c>
      <c r="E2848" t="str">
        <f>IF($B2848="","",SUMIFS(dQty,dCust,$B2848,dPer,"&gt;="&amp;pyFrom,dPer,"&lt;="&amp;pyTo,dQty,"&gt;-1E+300",dFlt1,critFlt1,dFlt2,critFlt2,dFlt3,critFlt3))</f>
        <v/>
      </c>
      <c r="F2848" t="str">
        <f>IF($B2848="","",SUMIFS(dQty,dCust,$B2848,dPer,"&gt;="&amp;cyFrom,dPer,"&lt;="&amp;cyTo,dQty,"&gt;-1E+300",dFlt1,critFlt1,dFlt2,critFlt2,dFlt3,critFlt3))</f>
        <v/>
      </c>
      <c r="G2848">
        <f>IF($B2848="",0,IFERROR(IF(OR(C2848&lt;&gt;0,D2848&lt;&gt;0,E2848&lt;&gt;0,F2848&lt;&gt;0),1,0),1))</f>
        <v>0</v>
      </c>
      <c r="H2848" t="str">
        <f>IF(OR(G2848=0,E2848=0),"",C2848/E2848)</f>
        <v/>
      </c>
      <c r="I2848" t="str">
        <f>IF(OR(G2848=0,F2848=0),"",D2848/F2848)</f>
        <v/>
      </c>
      <c r="J2848" t="str">
        <f>IF(OR(H2848="",I2848=""),"",IF(H2848=0,"",I2848/H2848-1))</f>
        <v/>
      </c>
      <c r="K2848" t="str">
        <f>IF($B2848="","",IFERROR(IF(G2848=0,-2E+300,CHOOSE(sortIdx,ROUND(D2848,0),IF(J2848="",-1E+300,ROUND(-J2848,6)),IF(J2848="",-1E+300,ROUND(J2848,6)))),-1.5E+300))</f>
        <v/>
      </c>
      <c r="L2848" t="str">
        <f>IF(K2848="","",RANK(K2848,$K$2:$K$3001,0)+COUNTIF($K$2:K2848,K2848)-1)</f>
        <v/>
      </c>
    </row>
    <row r="2849">
      <c r="B2849" t="str">
        <f>IFERROR(IF(A2849="","","="&amp;SUBSTITUTE(SUBSTITUTE(SUBSTITUTE(A2849,"~","~~"),"*","~*"),"?","~?")),"")</f>
        <v/>
      </c>
      <c r="C2849" t="str">
        <f>IF($B2849="","",SUMIFS(dAmt,dCust,$B2849,dPer,"&gt;="&amp;pyFrom,dPer,"&lt;="&amp;pyTo,dAmt,"&gt;-1E+300",dFlt1,critFlt1,dFlt2,critFlt2,dFlt3,critFlt3))</f>
        <v/>
      </c>
      <c r="D2849" t="str">
        <f>IF($B2849="","",SUMIFS(dAmt,dCust,$B2849,dPer,"&gt;="&amp;cyFrom,dPer,"&lt;="&amp;cyTo,dAmt,"&gt;-1E+300",dFlt1,critFlt1,dFlt2,critFlt2,dFlt3,critFlt3))</f>
        <v/>
      </c>
      <c r="E2849" t="str">
        <f>IF($B2849="","",SUMIFS(dQty,dCust,$B2849,dPer,"&gt;="&amp;pyFrom,dPer,"&lt;="&amp;pyTo,dQty,"&gt;-1E+300",dFlt1,critFlt1,dFlt2,critFlt2,dFlt3,critFlt3))</f>
        <v/>
      </c>
      <c r="F2849" t="str">
        <f>IF($B2849="","",SUMIFS(dQty,dCust,$B2849,dPer,"&gt;="&amp;cyFrom,dPer,"&lt;="&amp;cyTo,dQty,"&gt;-1E+300",dFlt1,critFlt1,dFlt2,critFlt2,dFlt3,critFlt3))</f>
        <v/>
      </c>
      <c r="G2849">
        <f>IF($B2849="",0,IFERROR(IF(OR(C2849&lt;&gt;0,D2849&lt;&gt;0,E2849&lt;&gt;0,F2849&lt;&gt;0),1,0),1))</f>
        <v>0</v>
      </c>
      <c r="H2849" t="str">
        <f>IF(OR(G2849=0,E2849=0),"",C2849/E2849)</f>
        <v/>
      </c>
      <c r="I2849" t="str">
        <f>IF(OR(G2849=0,F2849=0),"",D2849/F2849)</f>
        <v/>
      </c>
      <c r="J2849" t="str">
        <f>IF(OR(H2849="",I2849=""),"",IF(H2849=0,"",I2849/H2849-1))</f>
        <v/>
      </c>
      <c r="K2849" t="str">
        <f>IF($B2849="","",IFERROR(IF(G2849=0,-2E+300,CHOOSE(sortIdx,ROUND(D2849,0),IF(J2849="",-1E+300,ROUND(-J2849,6)),IF(J2849="",-1E+300,ROUND(J2849,6)))),-1.5E+300))</f>
        <v/>
      </c>
      <c r="L2849" t="str">
        <f>IF(K2849="","",RANK(K2849,$K$2:$K$3001,0)+COUNTIF($K$2:K2849,K2849)-1)</f>
        <v/>
      </c>
    </row>
    <row r="2850">
      <c r="B2850" t="str">
        <f>IFERROR(IF(A2850="","","="&amp;SUBSTITUTE(SUBSTITUTE(SUBSTITUTE(A2850,"~","~~"),"*","~*"),"?","~?")),"")</f>
        <v/>
      </c>
      <c r="C2850" t="str">
        <f>IF($B2850="","",SUMIFS(dAmt,dCust,$B2850,dPer,"&gt;="&amp;pyFrom,dPer,"&lt;="&amp;pyTo,dAmt,"&gt;-1E+300",dFlt1,critFlt1,dFlt2,critFlt2,dFlt3,critFlt3))</f>
        <v/>
      </c>
      <c r="D2850" t="str">
        <f>IF($B2850="","",SUMIFS(dAmt,dCust,$B2850,dPer,"&gt;="&amp;cyFrom,dPer,"&lt;="&amp;cyTo,dAmt,"&gt;-1E+300",dFlt1,critFlt1,dFlt2,critFlt2,dFlt3,critFlt3))</f>
        <v/>
      </c>
      <c r="E2850" t="str">
        <f>IF($B2850="","",SUMIFS(dQty,dCust,$B2850,dPer,"&gt;="&amp;pyFrom,dPer,"&lt;="&amp;pyTo,dQty,"&gt;-1E+300",dFlt1,critFlt1,dFlt2,critFlt2,dFlt3,critFlt3))</f>
        <v/>
      </c>
      <c r="F2850" t="str">
        <f>IF($B2850="","",SUMIFS(dQty,dCust,$B2850,dPer,"&gt;="&amp;cyFrom,dPer,"&lt;="&amp;cyTo,dQty,"&gt;-1E+300",dFlt1,critFlt1,dFlt2,critFlt2,dFlt3,critFlt3))</f>
        <v/>
      </c>
      <c r="G2850">
        <f>IF($B2850="",0,IFERROR(IF(OR(C2850&lt;&gt;0,D2850&lt;&gt;0,E2850&lt;&gt;0,F2850&lt;&gt;0),1,0),1))</f>
        <v>0</v>
      </c>
      <c r="H2850" t="str">
        <f>IF(OR(G2850=0,E2850=0),"",C2850/E2850)</f>
        <v/>
      </c>
      <c r="I2850" t="str">
        <f>IF(OR(G2850=0,F2850=0),"",D2850/F2850)</f>
        <v/>
      </c>
      <c r="J2850" t="str">
        <f>IF(OR(H2850="",I2850=""),"",IF(H2850=0,"",I2850/H2850-1))</f>
        <v/>
      </c>
      <c r="K2850" t="str">
        <f>IF($B2850="","",IFERROR(IF(G2850=0,-2E+300,CHOOSE(sortIdx,ROUND(D2850,0),IF(J2850="",-1E+300,ROUND(-J2850,6)),IF(J2850="",-1E+300,ROUND(J2850,6)))),-1.5E+300))</f>
        <v/>
      </c>
      <c r="L2850" t="str">
        <f>IF(K2850="","",RANK(K2850,$K$2:$K$3001,0)+COUNTIF($K$2:K2850,K2850)-1)</f>
        <v/>
      </c>
    </row>
    <row r="2851">
      <c r="B2851" t="str">
        <f>IFERROR(IF(A2851="","","="&amp;SUBSTITUTE(SUBSTITUTE(SUBSTITUTE(A2851,"~","~~"),"*","~*"),"?","~?")),"")</f>
        <v/>
      </c>
      <c r="C2851" t="str">
        <f>IF($B2851="","",SUMIFS(dAmt,dCust,$B2851,dPer,"&gt;="&amp;pyFrom,dPer,"&lt;="&amp;pyTo,dAmt,"&gt;-1E+300",dFlt1,critFlt1,dFlt2,critFlt2,dFlt3,critFlt3))</f>
        <v/>
      </c>
      <c r="D2851" t="str">
        <f>IF($B2851="","",SUMIFS(dAmt,dCust,$B2851,dPer,"&gt;="&amp;cyFrom,dPer,"&lt;="&amp;cyTo,dAmt,"&gt;-1E+300",dFlt1,critFlt1,dFlt2,critFlt2,dFlt3,critFlt3))</f>
        <v/>
      </c>
      <c r="E2851" t="str">
        <f>IF($B2851="","",SUMIFS(dQty,dCust,$B2851,dPer,"&gt;="&amp;pyFrom,dPer,"&lt;="&amp;pyTo,dQty,"&gt;-1E+300",dFlt1,critFlt1,dFlt2,critFlt2,dFlt3,critFlt3))</f>
        <v/>
      </c>
      <c r="F2851" t="str">
        <f>IF($B2851="","",SUMIFS(dQty,dCust,$B2851,dPer,"&gt;="&amp;cyFrom,dPer,"&lt;="&amp;cyTo,dQty,"&gt;-1E+300",dFlt1,critFlt1,dFlt2,critFlt2,dFlt3,critFlt3))</f>
        <v/>
      </c>
      <c r="G2851">
        <f>IF($B2851="",0,IFERROR(IF(OR(C2851&lt;&gt;0,D2851&lt;&gt;0,E2851&lt;&gt;0,F2851&lt;&gt;0),1,0),1))</f>
        <v>0</v>
      </c>
      <c r="H2851" t="str">
        <f>IF(OR(G2851=0,E2851=0),"",C2851/E2851)</f>
        <v/>
      </c>
      <c r="I2851" t="str">
        <f>IF(OR(G2851=0,F2851=0),"",D2851/F2851)</f>
        <v/>
      </c>
      <c r="J2851" t="str">
        <f>IF(OR(H2851="",I2851=""),"",IF(H2851=0,"",I2851/H2851-1))</f>
        <v/>
      </c>
      <c r="K2851" t="str">
        <f>IF($B2851="","",IFERROR(IF(G2851=0,-2E+300,CHOOSE(sortIdx,ROUND(D2851,0),IF(J2851="",-1E+300,ROUND(-J2851,6)),IF(J2851="",-1E+300,ROUND(J2851,6)))),-1.5E+300))</f>
        <v/>
      </c>
      <c r="L2851" t="str">
        <f>IF(K2851="","",RANK(K2851,$K$2:$K$3001,0)+COUNTIF($K$2:K2851,K2851)-1)</f>
        <v/>
      </c>
    </row>
    <row r="2852">
      <c r="B2852" t="str">
        <f>IFERROR(IF(A2852="","","="&amp;SUBSTITUTE(SUBSTITUTE(SUBSTITUTE(A2852,"~","~~"),"*","~*"),"?","~?")),"")</f>
        <v/>
      </c>
      <c r="C2852" t="str">
        <f>IF($B2852="","",SUMIFS(dAmt,dCust,$B2852,dPer,"&gt;="&amp;pyFrom,dPer,"&lt;="&amp;pyTo,dAmt,"&gt;-1E+300",dFlt1,critFlt1,dFlt2,critFlt2,dFlt3,critFlt3))</f>
        <v/>
      </c>
      <c r="D2852" t="str">
        <f>IF($B2852="","",SUMIFS(dAmt,dCust,$B2852,dPer,"&gt;="&amp;cyFrom,dPer,"&lt;="&amp;cyTo,dAmt,"&gt;-1E+300",dFlt1,critFlt1,dFlt2,critFlt2,dFlt3,critFlt3))</f>
        <v/>
      </c>
      <c r="E2852" t="str">
        <f>IF($B2852="","",SUMIFS(dQty,dCust,$B2852,dPer,"&gt;="&amp;pyFrom,dPer,"&lt;="&amp;pyTo,dQty,"&gt;-1E+300",dFlt1,critFlt1,dFlt2,critFlt2,dFlt3,critFlt3))</f>
        <v/>
      </c>
      <c r="F2852" t="str">
        <f>IF($B2852="","",SUMIFS(dQty,dCust,$B2852,dPer,"&gt;="&amp;cyFrom,dPer,"&lt;="&amp;cyTo,dQty,"&gt;-1E+300",dFlt1,critFlt1,dFlt2,critFlt2,dFlt3,critFlt3))</f>
        <v/>
      </c>
      <c r="G2852">
        <f>IF($B2852="",0,IFERROR(IF(OR(C2852&lt;&gt;0,D2852&lt;&gt;0,E2852&lt;&gt;0,F2852&lt;&gt;0),1,0),1))</f>
        <v>0</v>
      </c>
      <c r="H2852" t="str">
        <f>IF(OR(G2852=0,E2852=0),"",C2852/E2852)</f>
        <v/>
      </c>
      <c r="I2852" t="str">
        <f>IF(OR(G2852=0,F2852=0),"",D2852/F2852)</f>
        <v/>
      </c>
      <c r="J2852" t="str">
        <f>IF(OR(H2852="",I2852=""),"",IF(H2852=0,"",I2852/H2852-1))</f>
        <v/>
      </c>
      <c r="K2852" t="str">
        <f>IF($B2852="","",IFERROR(IF(G2852=0,-2E+300,CHOOSE(sortIdx,ROUND(D2852,0),IF(J2852="",-1E+300,ROUND(-J2852,6)),IF(J2852="",-1E+300,ROUND(J2852,6)))),-1.5E+300))</f>
        <v/>
      </c>
      <c r="L2852" t="str">
        <f>IF(K2852="","",RANK(K2852,$K$2:$K$3001,0)+COUNTIF($K$2:K2852,K2852)-1)</f>
        <v/>
      </c>
    </row>
    <row r="2853">
      <c r="B2853" t="str">
        <f>IFERROR(IF(A2853="","","="&amp;SUBSTITUTE(SUBSTITUTE(SUBSTITUTE(A2853,"~","~~"),"*","~*"),"?","~?")),"")</f>
        <v/>
      </c>
      <c r="C2853" t="str">
        <f>IF($B2853="","",SUMIFS(dAmt,dCust,$B2853,dPer,"&gt;="&amp;pyFrom,dPer,"&lt;="&amp;pyTo,dAmt,"&gt;-1E+300",dFlt1,critFlt1,dFlt2,critFlt2,dFlt3,critFlt3))</f>
        <v/>
      </c>
      <c r="D2853" t="str">
        <f>IF($B2853="","",SUMIFS(dAmt,dCust,$B2853,dPer,"&gt;="&amp;cyFrom,dPer,"&lt;="&amp;cyTo,dAmt,"&gt;-1E+300",dFlt1,critFlt1,dFlt2,critFlt2,dFlt3,critFlt3))</f>
        <v/>
      </c>
      <c r="E2853" t="str">
        <f>IF($B2853="","",SUMIFS(dQty,dCust,$B2853,dPer,"&gt;="&amp;pyFrom,dPer,"&lt;="&amp;pyTo,dQty,"&gt;-1E+300",dFlt1,critFlt1,dFlt2,critFlt2,dFlt3,critFlt3))</f>
        <v/>
      </c>
      <c r="F2853" t="str">
        <f>IF($B2853="","",SUMIFS(dQty,dCust,$B2853,dPer,"&gt;="&amp;cyFrom,dPer,"&lt;="&amp;cyTo,dQty,"&gt;-1E+300",dFlt1,critFlt1,dFlt2,critFlt2,dFlt3,critFlt3))</f>
        <v/>
      </c>
      <c r="G2853">
        <f>IF($B2853="",0,IFERROR(IF(OR(C2853&lt;&gt;0,D2853&lt;&gt;0,E2853&lt;&gt;0,F2853&lt;&gt;0),1,0),1))</f>
        <v>0</v>
      </c>
      <c r="H2853" t="str">
        <f>IF(OR(G2853=0,E2853=0),"",C2853/E2853)</f>
        <v/>
      </c>
      <c r="I2853" t="str">
        <f>IF(OR(G2853=0,F2853=0),"",D2853/F2853)</f>
        <v/>
      </c>
      <c r="J2853" t="str">
        <f>IF(OR(H2853="",I2853=""),"",IF(H2853=0,"",I2853/H2853-1))</f>
        <v/>
      </c>
      <c r="K2853" t="str">
        <f>IF($B2853="","",IFERROR(IF(G2853=0,-2E+300,CHOOSE(sortIdx,ROUND(D2853,0),IF(J2853="",-1E+300,ROUND(-J2853,6)),IF(J2853="",-1E+300,ROUND(J2853,6)))),-1.5E+300))</f>
        <v/>
      </c>
      <c r="L2853" t="str">
        <f>IF(K2853="","",RANK(K2853,$K$2:$K$3001,0)+COUNTIF($K$2:K2853,K2853)-1)</f>
        <v/>
      </c>
    </row>
    <row r="2854">
      <c r="B2854" t="str">
        <f>IFERROR(IF(A2854="","","="&amp;SUBSTITUTE(SUBSTITUTE(SUBSTITUTE(A2854,"~","~~"),"*","~*"),"?","~?")),"")</f>
        <v/>
      </c>
      <c r="C2854" t="str">
        <f>IF($B2854="","",SUMIFS(dAmt,dCust,$B2854,dPer,"&gt;="&amp;pyFrom,dPer,"&lt;="&amp;pyTo,dAmt,"&gt;-1E+300",dFlt1,critFlt1,dFlt2,critFlt2,dFlt3,critFlt3))</f>
        <v/>
      </c>
      <c r="D2854" t="str">
        <f>IF($B2854="","",SUMIFS(dAmt,dCust,$B2854,dPer,"&gt;="&amp;cyFrom,dPer,"&lt;="&amp;cyTo,dAmt,"&gt;-1E+300",dFlt1,critFlt1,dFlt2,critFlt2,dFlt3,critFlt3))</f>
        <v/>
      </c>
      <c r="E2854" t="str">
        <f>IF($B2854="","",SUMIFS(dQty,dCust,$B2854,dPer,"&gt;="&amp;pyFrom,dPer,"&lt;="&amp;pyTo,dQty,"&gt;-1E+300",dFlt1,critFlt1,dFlt2,critFlt2,dFlt3,critFlt3))</f>
        <v/>
      </c>
      <c r="F2854" t="str">
        <f>IF($B2854="","",SUMIFS(dQty,dCust,$B2854,dPer,"&gt;="&amp;cyFrom,dPer,"&lt;="&amp;cyTo,dQty,"&gt;-1E+300",dFlt1,critFlt1,dFlt2,critFlt2,dFlt3,critFlt3))</f>
        <v/>
      </c>
      <c r="G2854">
        <f>IF($B2854="",0,IFERROR(IF(OR(C2854&lt;&gt;0,D2854&lt;&gt;0,E2854&lt;&gt;0,F2854&lt;&gt;0),1,0),1))</f>
        <v>0</v>
      </c>
      <c r="H2854" t="str">
        <f>IF(OR(G2854=0,E2854=0),"",C2854/E2854)</f>
        <v/>
      </c>
      <c r="I2854" t="str">
        <f>IF(OR(G2854=0,F2854=0),"",D2854/F2854)</f>
        <v/>
      </c>
      <c r="J2854" t="str">
        <f>IF(OR(H2854="",I2854=""),"",IF(H2854=0,"",I2854/H2854-1))</f>
        <v/>
      </c>
      <c r="K2854" t="str">
        <f>IF($B2854="","",IFERROR(IF(G2854=0,-2E+300,CHOOSE(sortIdx,ROUND(D2854,0),IF(J2854="",-1E+300,ROUND(-J2854,6)),IF(J2854="",-1E+300,ROUND(J2854,6)))),-1.5E+300))</f>
        <v/>
      </c>
      <c r="L2854" t="str">
        <f>IF(K2854="","",RANK(K2854,$K$2:$K$3001,0)+COUNTIF($K$2:K2854,K2854)-1)</f>
        <v/>
      </c>
    </row>
    <row r="2855">
      <c r="B2855" t="str">
        <f>IFERROR(IF(A2855="","","="&amp;SUBSTITUTE(SUBSTITUTE(SUBSTITUTE(A2855,"~","~~"),"*","~*"),"?","~?")),"")</f>
        <v/>
      </c>
      <c r="C2855" t="str">
        <f>IF($B2855="","",SUMIFS(dAmt,dCust,$B2855,dPer,"&gt;="&amp;pyFrom,dPer,"&lt;="&amp;pyTo,dAmt,"&gt;-1E+300",dFlt1,critFlt1,dFlt2,critFlt2,dFlt3,critFlt3))</f>
        <v/>
      </c>
      <c r="D2855" t="str">
        <f>IF($B2855="","",SUMIFS(dAmt,dCust,$B2855,dPer,"&gt;="&amp;cyFrom,dPer,"&lt;="&amp;cyTo,dAmt,"&gt;-1E+300",dFlt1,critFlt1,dFlt2,critFlt2,dFlt3,critFlt3))</f>
        <v/>
      </c>
      <c r="E2855" t="str">
        <f>IF($B2855="","",SUMIFS(dQty,dCust,$B2855,dPer,"&gt;="&amp;pyFrom,dPer,"&lt;="&amp;pyTo,dQty,"&gt;-1E+300",dFlt1,critFlt1,dFlt2,critFlt2,dFlt3,critFlt3))</f>
        <v/>
      </c>
      <c r="F2855" t="str">
        <f>IF($B2855="","",SUMIFS(dQty,dCust,$B2855,dPer,"&gt;="&amp;cyFrom,dPer,"&lt;="&amp;cyTo,dQty,"&gt;-1E+300",dFlt1,critFlt1,dFlt2,critFlt2,dFlt3,critFlt3))</f>
        <v/>
      </c>
      <c r="G2855">
        <f>IF($B2855="",0,IFERROR(IF(OR(C2855&lt;&gt;0,D2855&lt;&gt;0,E2855&lt;&gt;0,F2855&lt;&gt;0),1,0),1))</f>
        <v>0</v>
      </c>
      <c r="H2855" t="str">
        <f>IF(OR(G2855=0,E2855=0),"",C2855/E2855)</f>
        <v/>
      </c>
      <c r="I2855" t="str">
        <f>IF(OR(G2855=0,F2855=0),"",D2855/F2855)</f>
        <v/>
      </c>
      <c r="J2855" t="str">
        <f>IF(OR(H2855="",I2855=""),"",IF(H2855=0,"",I2855/H2855-1))</f>
        <v/>
      </c>
      <c r="K2855" t="str">
        <f>IF($B2855="","",IFERROR(IF(G2855=0,-2E+300,CHOOSE(sortIdx,ROUND(D2855,0),IF(J2855="",-1E+300,ROUND(-J2855,6)),IF(J2855="",-1E+300,ROUND(J2855,6)))),-1.5E+300))</f>
        <v/>
      </c>
      <c r="L2855" t="str">
        <f>IF(K2855="","",RANK(K2855,$K$2:$K$3001,0)+COUNTIF($K$2:K2855,K2855)-1)</f>
        <v/>
      </c>
    </row>
    <row r="2856">
      <c r="B2856" t="str">
        <f>IFERROR(IF(A2856="","","="&amp;SUBSTITUTE(SUBSTITUTE(SUBSTITUTE(A2856,"~","~~"),"*","~*"),"?","~?")),"")</f>
        <v/>
      </c>
      <c r="C2856" t="str">
        <f>IF($B2856="","",SUMIFS(dAmt,dCust,$B2856,dPer,"&gt;="&amp;pyFrom,dPer,"&lt;="&amp;pyTo,dAmt,"&gt;-1E+300",dFlt1,critFlt1,dFlt2,critFlt2,dFlt3,critFlt3))</f>
        <v/>
      </c>
      <c r="D2856" t="str">
        <f>IF($B2856="","",SUMIFS(dAmt,dCust,$B2856,dPer,"&gt;="&amp;cyFrom,dPer,"&lt;="&amp;cyTo,dAmt,"&gt;-1E+300",dFlt1,critFlt1,dFlt2,critFlt2,dFlt3,critFlt3))</f>
        <v/>
      </c>
      <c r="E2856" t="str">
        <f>IF($B2856="","",SUMIFS(dQty,dCust,$B2856,dPer,"&gt;="&amp;pyFrom,dPer,"&lt;="&amp;pyTo,dQty,"&gt;-1E+300",dFlt1,critFlt1,dFlt2,critFlt2,dFlt3,critFlt3))</f>
        <v/>
      </c>
      <c r="F2856" t="str">
        <f>IF($B2856="","",SUMIFS(dQty,dCust,$B2856,dPer,"&gt;="&amp;cyFrom,dPer,"&lt;="&amp;cyTo,dQty,"&gt;-1E+300",dFlt1,critFlt1,dFlt2,critFlt2,dFlt3,critFlt3))</f>
        <v/>
      </c>
      <c r="G2856">
        <f>IF($B2856="",0,IFERROR(IF(OR(C2856&lt;&gt;0,D2856&lt;&gt;0,E2856&lt;&gt;0,F2856&lt;&gt;0),1,0),1))</f>
        <v>0</v>
      </c>
      <c r="H2856" t="str">
        <f>IF(OR(G2856=0,E2856=0),"",C2856/E2856)</f>
        <v/>
      </c>
      <c r="I2856" t="str">
        <f>IF(OR(G2856=0,F2856=0),"",D2856/F2856)</f>
        <v/>
      </c>
      <c r="J2856" t="str">
        <f>IF(OR(H2856="",I2856=""),"",IF(H2856=0,"",I2856/H2856-1))</f>
        <v/>
      </c>
      <c r="K2856" t="str">
        <f>IF($B2856="","",IFERROR(IF(G2856=0,-2E+300,CHOOSE(sortIdx,ROUND(D2856,0),IF(J2856="",-1E+300,ROUND(-J2856,6)),IF(J2856="",-1E+300,ROUND(J2856,6)))),-1.5E+300))</f>
        <v/>
      </c>
      <c r="L2856" t="str">
        <f>IF(K2856="","",RANK(K2856,$K$2:$K$3001,0)+COUNTIF($K$2:K2856,K2856)-1)</f>
        <v/>
      </c>
    </row>
    <row r="2857">
      <c r="B2857" t="str">
        <f>IFERROR(IF(A2857="","","="&amp;SUBSTITUTE(SUBSTITUTE(SUBSTITUTE(A2857,"~","~~"),"*","~*"),"?","~?")),"")</f>
        <v/>
      </c>
      <c r="C2857" t="str">
        <f>IF($B2857="","",SUMIFS(dAmt,dCust,$B2857,dPer,"&gt;="&amp;pyFrom,dPer,"&lt;="&amp;pyTo,dAmt,"&gt;-1E+300",dFlt1,critFlt1,dFlt2,critFlt2,dFlt3,critFlt3))</f>
        <v/>
      </c>
      <c r="D2857" t="str">
        <f>IF($B2857="","",SUMIFS(dAmt,dCust,$B2857,dPer,"&gt;="&amp;cyFrom,dPer,"&lt;="&amp;cyTo,dAmt,"&gt;-1E+300",dFlt1,critFlt1,dFlt2,critFlt2,dFlt3,critFlt3))</f>
        <v/>
      </c>
      <c r="E2857" t="str">
        <f>IF($B2857="","",SUMIFS(dQty,dCust,$B2857,dPer,"&gt;="&amp;pyFrom,dPer,"&lt;="&amp;pyTo,dQty,"&gt;-1E+300",dFlt1,critFlt1,dFlt2,critFlt2,dFlt3,critFlt3))</f>
        <v/>
      </c>
      <c r="F2857" t="str">
        <f>IF($B2857="","",SUMIFS(dQty,dCust,$B2857,dPer,"&gt;="&amp;cyFrom,dPer,"&lt;="&amp;cyTo,dQty,"&gt;-1E+300",dFlt1,critFlt1,dFlt2,critFlt2,dFlt3,critFlt3))</f>
        <v/>
      </c>
      <c r="G2857">
        <f>IF($B2857="",0,IFERROR(IF(OR(C2857&lt;&gt;0,D2857&lt;&gt;0,E2857&lt;&gt;0,F2857&lt;&gt;0),1,0),1))</f>
        <v>0</v>
      </c>
      <c r="H2857" t="str">
        <f>IF(OR(G2857=0,E2857=0),"",C2857/E2857)</f>
        <v/>
      </c>
      <c r="I2857" t="str">
        <f>IF(OR(G2857=0,F2857=0),"",D2857/F2857)</f>
        <v/>
      </c>
      <c r="J2857" t="str">
        <f>IF(OR(H2857="",I2857=""),"",IF(H2857=0,"",I2857/H2857-1))</f>
        <v/>
      </c>
      <c r="K2857" t="str">
        <f>IF($B2857="","",IFERROR(IF(G2857=0,-2E+300,CHOOSE(sortIdx,ROUND(D2857,0),IF(J2857="",-1E+300,ROUND(-J2857,6)),IF(J2857="",-1E+300,ROUND(J2857,6)))),-1.5E+300))</f>
        <v/>
      </c>
      <c r="L2857" t="str">
        <f>IF(K2857="","",RANK(K2857,$K$2:$K$3001,0)+COUNTIF($K$2:K2857,K2857)-1)</f>
        <v/>
      </c>
    </row>
    <row r="2858">
      <c r="B2858" t="str">
        <f>IFERROR(IF(A2858="","","="&amp;SUBSTITUTE(SUBSTITUTE(SUBSTITUTE(A2858,"~","~~"),"*","~*"),"?","~?")),"")</f>
        <v/>
      </c>
      <c r="C2858" t="str">
        <f>IF($B2858="","",SUMIFS(dAmt,dCust,$B2858,dPer,"&gt;="&amp;pyFrom,dPer,"&lt;="&amp;pyTo,dAmt,"&gt;-1E+300",dFlt1,critFlt1,dFlt2,critFlt2,dFlt3,critFlt3))</f>
        <v/>
      </c>
      <c r="D2858" t="str">
        <f>IF($B2858="","",SUMIFS(dAmt,dCust,$B2858,dPer,"&gt;="&amp;cyFrom,dPer,"&lt;="&amp;cyTo,dAmt,"&gt;-1E+300",dFlt1,critFlt1,dFlt2,critFlt2,dFlt3,critFlt3))</f>
        <v/>
      </c>
      <c r="E2858" t="str">
        <f>IF($B2858="","",SUMIFS(dQty,dCust,$B2858,dPer,"&gt;="&amp;pyFrom,dPer,"&lt;="&amp;pyTo,dQty,"&gt;-1E+300",dFlt1,critFlt1,dFlt2,critFlt2,dFlt3,critFlt3))</f>
        <v/>
      </c>
      <c r="F2858" t="str">
        <f>IF($B2858="","",SUMIFS(dQty,dCust,$B2858,dPer,"&gt;="&amp;cyFrom,dPer,"&lt;="&amp;cyTo,dQty,"&gt;-1E+300",dFlt1,critFlt1,dFlt2,critFlt2,dFlt3,critFlt3))</f>
        <v/>
      </c>
      <c r="G2858">
        <f>IF($B2858="",0,IFERROR(IF(OR(C2858&lt;&gt;0,D2858&lt;&gt;0,E2858&lt;&gt;0,F2858&lt;&gt;0),1,0),1))</f>
        <v>0</v>
      </c>
      <c r="H2858" t="str">
        <f>IF(OR(G2858=0,E2858=0),"",C2858/E2858)</f>
        <v/>
      </c>
      <c r="I2858" t="str">
        <f>IF(OR(G2858=0,F2858=0),"",D2858/F2858)</f>
        <v/>
      </c>
      <c r="J2858" t="str">
        <f>IF(OR(H2858="",I2858=""),"",IF(H2858=0,"",I2858/H2858-1))</f>
        <v/>
      </c>
      <c r="K2858" t="str">
        <f>IF($B2858="","",IFERROR(IF(G2858=0,-2E+300,CHOOSE(sortIdx,ROUND(D2858,0),IF(J2858="",-1E+300,ROUND(-J2858,6)),IF(J2858="",-1E+300,ROUND(J2858,6)))),-1.5E+300))</f>
        <v/>
      </c>
      <c r="L2858" t="str">
        <f>IF(K2858="","",RANK(K2858,$K$2:$K$3001,0)+COUNTIF($K$2:K2858,K2858)-1)</f>
        <v/>
      </c>
    </row>
    <row r="2859">
      <c r="B2859" t="str">
        <f>IFERROR(IF(A2859="","","="&amp;SUBSTITUTE(SUBSTITUTE(SUBSTITUTE(A2859,"~","~~"),"*","~*"),"?","~?")),"")</f>
        <v/>
      </c>
      <c r="C2859" t="str">
        <f>IF($B2859="","",SUMIFS(dAmt,dCust,$B2859,dPer,"&gt;="&amp;pyFrom,dPer,"&lt;="&amp;pyTo,dAmt,"&gt;-1E+300",dFlt1,critFlt1,dFlt2,critFlt2,dFlt3,critFlt3))</f>
        <v/>
      </c>
      <c r="D2859" t="str">
        <f>IF($B2859="","",SUMIFS(dAmt,dCust,$B2859,dPer,"&gt;="&amp;cyFrom,dPer,"&lt;="&amp;cyTo,dAmt,"&gt;-1E+300",dFlt1,critFlt1,dFlt2,critFlt2,dFlt3,critFlt3))</f>
        <v/>
      </c>
      <c r="E2859" t="str">
        <f>IF($B2859="","",SUMIFS(dQty,dCust,$B2859,dPer,"&gt;="&amp;pyFrom,dPer,"&lt;="&amp;pyTo,dQty,"&gt;-1E+300",dFlt1,critFlt1,dFlt2,critFlt2,dFlt3,critFlt3))</f>
        <v/>
      </c>
      <c r="F2859" t="str">
        <f>IF($B2859="","",SUMIFS(dQty,dCust,$B2859,dPer,"&gt;="&amp;cyFrom,dPer,"&lt;="&amp;cyTo,dQty,"&gt;-1E+300",dFlt1,critFlt1,dFlt2,critFlt2,dFlt3,critFlt3))</f>
        <v/>
      </c>
      <c r="G2859">
        <f>IF($B2859="",0,IFERROR(IF(OR(C2859&lt;&gt;0,D2859&lt;&gt;0,E2859&lt;&gt;0,F2859&lt;&gt;0),1,0),1))</f>
        <v>0</v>
      </c>
      <c r="H2859" t="str">
        <f>IF(OR(G2859=0,E2859=0),"",C2859/E2859)</f>
        <v/>
      </c>
      <c r="I2859" t="str">
        <f>IF(OR(G2859=0,F2859=0),"",D2859/F2859)</f>
        <v/>
      </c>
      <c r="J2859" t="str">
        <f>IF(OR(H2859="",I2859=""),"",IF(H2859=0,"",I2859/H2859-1))</f>
        <v/>
      </c>
      <c r="K2859" t="str">
        <f>IF($B2859="","",IFERROR(IF(G2859=0,-2E+300,CHOOSE(sortIdx,ROUND(D2859,0),IF(J2859="",-1E+300,ROUND(-J2859,6)),IF(J2859="",-1E+300,ROUND(J2859,6)))),-1.5E+300))</f>
        <v/>
      </c>
      <c r="L2859" t="str">
        <f>IF(K2859="","",RANK(K2859,$K$2:$K$3001,0)+COUNTIF($K$2:K2859,K2859)-1)</f>
        <v/>
      </c>
    </row>
    <row r="2860">
      <c r="B2860" t="str">
        <f>IFERROR(IF(A2860="","","="&amp;SUBSTITUTE(SUBSTITUTE(SUBSTITUTE(A2860,"~","~~"),"*","~*"),"?","~?")),"")</f>
        <v/>
      </c>
      <c r="C2860" t="str">
        <f>IF($B2860="","",SUMIFS(dAmt,dCust,$B2860,dPer,"&gt;="&amp;pyFrom,dPer,"&lt;="&amp;pyTo,dAmt,"&gt;-1E+300",dFlt1,critFlt1,dFlt2,critFlt2,dFlt3,critFlt3))</f>
        <v/>
      </c>
      <c r="D2860" t="str">
        <f>IF($B2860="","",SUMIFS(dAmt,dCust,$B2860,dPer,"&gt;="&amp;cyFrom,dPer,"&lt;="&amp;cyTo,dAmt,"&gt;-1E+300",dFlt1,critFlt1,dFlt2,critFlt2,dFlt3,critFlt3))</f>
        <v/>
      </c>
      <c r="E2860" t="str">
        <f>IF($B2860="","",SUMIFS(dQty,dCust,$B2860,dPer,"&gt;="&amp;pyFrom,dPer,"&lt;="&amp;pyTo,dQty,"&gt;-1E+300",dFlt1,critFlt1,dFlt2,critFlt2,dFlt3,critFlt3))</f>
        <v/>
      </c>
      <c r="F2860" t="str">
        <f>IF($B2860="","",SUMIFS(dQty,dCust,$B2860,dPer,"&gt;="&amp;cyFrom,dPer,"&lt;="&amp;cyTo,dQty,"&gt;-1E+300",dFlt1,critFlt1,dFlt2,critFlt2,dFlt3,critFlt3))</f>
        <v/>
      </c>
      <c r="G2860">
        <f>IF($B2860="",0,IFERROR(IF(OR(C2860&lt;&gt;0,D2860&lt;&gt;0,E2860&lt;&gt;0,F2860&lt;&gt;0),1,0),1))</f>
        <v>0</v>
      </c>
      <c r="H2860" t="str">
        <f>IF(OR(G2860=0,E2860=0),"",C2860/E2860)</f>
        <v/>
      </c>
      <c r="I2860" t="str">
        <f>IF(OR(G2860=0,F2860=0),"",D2860/F2860)</f>
        <v/>
      </c>
      <c r="J2860" t="str">
        <f>IF(OR(H2860="",I2860=""),"",IF(H2860=0,"",I2860/H2860-1))</f>
        <v/>
      </c>
      <c r="K2860" t="str">
        <f>IF($B2860="","",IFERROR(IF(G2860=0,-2E+300,CHOOSE(sortIdx,ROUND(D2860,0),IF(J2860="",-1E+300,ROUND(-J2860,6)),IF(J2860="",-1E+300,ROUND(J2860,6)))),-1.5E+300))</f>
        <v/>
      </c>
      <c r="L2860" t="str">
        <f>IF(K2860="","",RANK(K2860,$K$2:$K$3001,0)+COUNTIF($K$2:K2860,K2860)-1)</f>
        <v/>
      </c>
    </row>
    <row r="2861">
      <c r="B2861" t="str">
        <f>IFERROR(IF(A2861="","","="&amp;SUBSTITUTE(SUBSTITUTE(SUBSTITUTE(A2861,"~","~~"),"*","~*"),"?","~?")),"")</f>
        <v/>
      </c>
      <c r="C2861" t="str">
        <f>IF($B2861="","",SUMIFS(dAmt,dCust,$B2861,dPer,"&gt;="&amp;pyFrom,dPer,"&lt;="&amp;pyTo,dAmt,"&gt;-1E+300",dFlt1,critFlt1,dFlt2,critFlt2,dFlt3,critFlt3))</f>
        <v/>
      </c>
      <c r="D2861" t="str">
        <f>IF($B2861="","",SUMIFS(dAmt,dCust,$B2861,dPer,"&gt;="&amp;cyFrom,dPer,"&lt;="&amp;cyTo,dAmt,"&gt;-1E+300",dFlt1,critFlt1,dFlt2,critFlt2,dFlt3,critFlt3))</f>
        <v/>
      </c>
      <c r="E2861" t="str">
        <f>IF($B2861="","",SUMIFS(dQty,dCust,$B2861,dPer,"&gt;="&amp;pyFrom,dPer,"&lt;="&amp;pyTo,dQty,"&gt;-1E+300",dFlt1,critFlt1,dFlt2,critFlt2,dFlt3,critFlt3))</f>
        <v/>
      </c>
      <c r="F2861" t="str">
        <f>IF($B2861="","",SUMIFS(dQty,dCust,$B2861,dPer,"&gt;="&amp;cyFrom,dPer,"&lt;="&amp;cyTo,dQty,"&gt;-1E+300",dFlt1,critFlt1,dFlt2,critFlt2,dFlt3,critFlt3))</f>
        <v/>
      </c>
      <c r="G2861">
        <f>IF($B2861="",0,IFERROR(IF(OR(C2861&lt;&gt;0,D2861&lt;&gt;0,E2861&lt;&gt;0,F2861&lt;&gt;0),1,0),1))</f>
        <v>0</v>
      </c>
      <c r="H2861" t="str">
        <f>IF(OR(G2861=0,E2861=0),"",C2861/E2861)</f>
        <v/>
      </c>
      <c r="I2861" t="str">
        <f>IF(OR(G2861=0,F2861=0),"",D2861/F2861)</f>
        <v/>
      </c>
      <c r="J2861" t="str">
        <f>IF(OR(H2861="",I2861=""),"",IF(H2861=0,"",I2861/H2861-1))</f>
        <v/>
      </c>
      <c r="K2861" t="str">
        <f>IF($B2861="","",IFERROR(IF(G2861=0,-2E+300,CHOOSE(sortIdx,ROUND(D2861,0),IF(J2861="",-1E+300,ROUND(-J2861,6)),IF(J2861="",-1E+300,ROUND(J2861,6)))),-1.5E+300))</f>
        <v/>
      </c>
      <c r="L2861" t="str">
        <f>IF(K2861="","",RANK(K2861,$K$2:$K$3001,0)+COUNTIF($K$2:K2861,K2861)-1)</f>
        <v/>
      </c>
    </row>
    <row r="2862">
      <c r="B2862" t="str">
        <f>IFERROR(IF(A2862="","","="&amp;SUBSTITUTE(SUBSTITUTE(SUBSTITUTE(A2862,"~","~~"),"*","~*"),"?","~?")),"")</f>
        <v/>
      </c>
      <c r="C2862" t="str">
        <f>IF($B2862="","",SUMIFS(dAmt,dCust,$B2862,dPer,"&gt;="&amp;pyFrom,dPer,"&lt;="&amp;pyTo,dAmt,"&gt;-1E+300",dFlt1,critFlt1,dFlt2,critFlt2,dFlt3,critFlt3))</f>
        <v/>
      </c>
      <c r="D2862" t="str">
        <f>IF($B2862="","",SUMIFS(dAmt,dCust,$B2862,dPer,"&gt;="&amp;cyFrom,dPer,"&lt;="&amp;cyTo,dAmt,"&gt;-1E+300",dFlt1,critFlt1,dFlt2,critFlt2,dFlt3,critFlt3))</f>
        <v/>
      </c>
      <c r="E2862" t="str">
        <f>IF($B2862="","",SUMIFS(dQty,dCust,$B2862,dPer,"&gt;="&amp;pyFrom,dPer,"&lt;="&amp;pyTo,dQty,"&gt;-1E+300",dFlt1,critFlt1,dFlt2,critFlt2,dFlt3,critFlt3))</f>
        <v/>
      </c>
      <c r="F2862" t="str">
        <f>IF($B2862="","",SUMIFS(dQty,dCust,$B2862,dPer,"&gt;="&amp;cyFrom,dPer,"&lt;="&amp;cyTo,dQty,"&gt;-1E+300",dFlt1,critFlt1,dFlt2,critFlt2,dFlt3,critFlt3))</f>
        <v/>
      </c>
      <c r="G2862">
        <f>IF($B2862="",0,IFERROR(IF(OR(C2862&lt;&gt;0,D2862&lt;&gt;0,E2862&lt;&gt;0,F2862&lt;&gt;0),1,0),1))</f>
        <v>0</v>
      </c>
      <c r="H2862" t="str">
        <f>IF(OR(G2862=0,E2862=0),"",C2862/E2862)</f>
        <v/>
      </c>
      <c r="I2862" t="str">
        <f>IF(OR(G2862=0,F2862=0),"",D2862/F2862)</f>
        <v/>
      </c>
      <c r="J2862" t="str">
        <f>IF(OR(H2862="",I2862=""),"",IF(H2862=0,"",I2862/H2862-1))</f>
        <v/>
      </c>
      <c r="K2862" t="str">
        <f>IF($B2862="","",IFERROR(IF(G2862=0,-2E+300,CHOOSE(sortIdx,ROUND(D2862,0),IF(J2862="",-1E+300,ROUND(-J2862,6)),IF(J2862="",-1E+300,ROUND(J2862,6)))),-1.5E+300))</f>
        <v/>
      </c>
      <c r="L2862" t="str">
        <f>IF(K2862="","",RANK(K2862,$K$2:$K$3001,0)+COUNTIF($K$2:K2862,K2862)-1)</f>
        <v/>
      </c>
    </row>
    <row r="2863">
      <c r="B2863" t="str">
        <f>IFERROR(IF(A2863="","","="&amp;SUBSTITUTE(SUBSTITUTE(SUBSTITUTE(A2863,"~","~~"),"*","~*"),"?","~?")),"")</f>
        <v/>
      </c>
      <c r="C2863" t="str">
        <f>IF($B2863="","",SUMIFS(dAmt,dCust,$B2863,dPer,"&gt;="&amp;pyFrom,dPer,"&lt;="&amp;pyTo,dAmt,"&gt;-1E+300",dFlt1,critFlt1,dFlt2,critFlt2,dFlt3,critFlt3))</f>
        <v/>
      </c>
      <c r="D2863" t="str">
        <f>IF($B2863="","",SUMIFS(dAmt,dCust,$B2863,dPer,"&gt;="&amp;cyFrom,dPer,"&lt;="&amp;cyTo,dAmt,"&gt;-1E+300",dFlt1,critFlt1,dFlt2,critFlt2,dFlt3,critFlt3))</f>
        <v/>
      </c>
      <c r="E2863" t="str">
        <f>IF($B2863="","",SUMIFS(dQty,dCust,$B2863,dPer,"&gt;="&amp;pyFrom,dPer,"&lt;="&amp;pyTo,dQty,"&gt;-1E+300",dFlt1,critFlt1,dFlt2,critFlt2,dFlt3,critFlt3))</f>
        <v/>
      </c>
      <c r="F2863" t="str">
        <f>IF($B2863="","",SUMIFS(dQty,dCust,$B2863,dPer,"&gt;="&amp;cyFrom,dPer,"&lt;="&amp;cyTo,dQty,"&gt;-1E+300",dFlt1,critFlt1,dFlt2,critFlt2,dFlt3,critFlt3))</f>
        <v/>
      </c>
      <c r="G2863">
        <f>IF($B2863="",0,IFERROR(IF(OR(C2863&lt;&gt;0,D2863&lt;&gt;0,E2863&lt;&gt;0,F2863&lt;&gt;0),1,0),1))</f>
        <v>0</v>
      </c>
      <c r="H2863" t="str">
        <f>IF(OR(G2863=0,E2863=0),"",C2863/E2863)</f>
        <v/>
      </c>
      <c r="I2863" t="str">
        <f>IF(OR(G2863=0,F2863=0),"",D2863/F2863)</f>
        <v/>
      </c>
      <c r="J2863" t="str">
        <f>IF(OR(H2863="",I2863=""),"",IF(H2863=0,"",I2863/H2863-1))</f>
        <v/>
      </c>
      <c r="K2863" t="str">
        <f>IF($B2863="","",IFERROR(IF(G2863=0,-2E+300,CHOOSE(sortIdx,ROUND(D2863,0),IF(J2863="",-1E+300,ROUND(-J2863,6)),IF(J2863="",-1E+300,ROUND(J2863,6)))),-1.5E+300))</f>
        <v/>
      </c>
      <c r="L2863" t="str">
        <f>IF(K2863="","",RANK(K2863,$K$2:$K$3001,0)+COUNTIF($K$2:K2863,K2863)-1)</f>
        <v/>
      </c>
    </row>
    <row r="2864">
      <c r="B2864" t="str">
        <f>IFERROR(IF(A2864="","","="&amp;SUBSTITUTE(SUBSTITUTE(SUBSTITUTE(A2864,"~","~~"),"*","~*"),"?","~?")),"")</f>
        <v/>
      </c>
      <c r="C2864" t="str">
        <f>IF($B2864="","",SUMIFS(dAmt,dCust,$B2864,dPer,"&gt;="&amp;pyFrom,dPer,"&lt;="&amp;pyTo,dAmt,"&gt;-1E+300",dFlt1,critFlt1,dFlt2,critFlt2,dFlt3,critFlt3))</f>
        <v/>
      </c>
      <c r="D2864" t="str">
        <f>IF($B2864="","",SUMIFS(dAmt,dCust,$B2864,dPer,"&gt;="&amp;cyFrom,dPer,"&lt;="&amp;cyTo,dAmt,"&gt;-1E+300",dFlt1,critFlt1,dFlt2,critFlt2,dFlt3,critFlt3))</f>
        <v/>
      </c>
      <c r="E2864" t="str">
        <f>IF($B2864="","",SUMIFS(dQty,dCust,$B2864,dPer,"&gt;="&amp;pyFrom,dPer,"&lt;="&amp;pyTo,dQty,"&gt;-1E+300",dFlt1,critFlt1,dFlt2,critFlt2,dFlt3,critFlt3))</f>
        <v/>
      </c>
      <c r="F2864" t="str">
        <f>IF($B2864="","",SUMIFS(dQty,dCust,$B2864,dPer,"&gt;="&amp;cyFrom,dPer,"&lt;="&amp;cyTo,dQty,"&gt;-1E+300",dFlt1,critFlt1,dFlt2,critFlt2,dFlt3,critFlt3))</f>
        <v/>
      </c>
      <c r="G2864">
        <f>IF($B2864="",0,IFERROR(IF(OR(C2864&lt;&gt;0,D2864&lt;&gt;0,E2864&lt;&gt;0,F2864&lt;&gt;0),1,0),1))</f>
        <v>0</v>
      </c>
      <c r="H2864" t="str">
        <f>IF(OR(G2864=0,E2864=0),"",C2864/E2864)</f>
        <v/>
      </c>
      <c r="I2864" t="str">
        <f>IF(OR(G2864=0,F2864=0),"",D2864/F2864)</f>
        <v/>
      </c>
      <c r="J2864" t="str">
        <f>IF(OR(H2864="",I2864=""),"",IF(H2864=0,"",I2864/H2864-1))</f>
        <v/>
      </c>
      <c r="K2864" t="str">
        <f>IF($B2864="","",IFERROR(IF(G2864=0,-2E+300,CHOOSE(sortIdx,ROUND(D2864,0),IF(J2864="",-1E+300,ROUND(-J2864,6)),IF(J2864="",-1E+300,ROUND(J2864,6)))),-1.5E+300))</f>
        <v/>
      </c>
      <c r="L2864" t="str">
        <f>IF(K2864="","",RANK(K2864,$K$2:$K$3001,0)+COUNTIF($K$2:K2864,K2864)-1)</f>
        <v/>
      </c>
    </row>
    <row r="2865">
      <c r="B2865" t="str">
        <f>IFERROR(IF(A2865="","","="&amp;SUBSTITUTE(SUBSTITUTE(SUBSTITUTE(A2865,"~","~~"),"*","~*"),"?","~?")),"")</f>
        <v/>
      </c>
      <c r="C2865" t="str">
        <f>IF($B2865="","",SUMIFS(dAmt,dCust,$B2865,dPer,"&gt;="&amp;pyFrom,dPer,"&lt;="&amp;pyTo,dAmt,"&gt;-1E+300",dFlt1,critFlt1,dFlt2,critFlt2,dFlt3,critFlt3))</f>
        <v/>
      </c>
      <c r="D2865" t="str">
        <f>IF($B2865="","",SUMIFS(dAmt,dCust,$B2865,dPer,"&gt;="&amp;cyFrom,dPer,"&lt;="&amp;cyTo,dAmt,"&gt;-1E+300",dFlt1,critFlt1,dFlt2,critFlt2,dFlt3,critFlt3))</f>
        <v/>
      </c>
      <c r="E2865" t="str">
        <f>IF($B2865="","",SUMIFS(dQty,dCust,$B2865,dPer,"&gt;="&amp;pyFrom,dPer,"&lt;="&amp;pyTo,dQty,"&gt;-1E+300",dFlt1,critFlt1,dFlt2,critFlt2,dFlt3,critFlt3))</f>
        <v/>
      </c>
      <c r="F2865" t="str">
        <f>IF($B2865="","",SUMIFS(dQty,dCust,$B2865,dPer,"&gt;="&amp;cyFrom,dPer,"&lt;="&amp;cyTo,dQty,"&gt;-1E+300",dFlt1,critFlt1,dFlt2,critFlt2,dFlt3,critFlt3))</f>
        <v/>
      </c>
      <c r="G2865">
        <f>IF($B2865="",0,IFERROR(IF(OR(C2865&lt;&gt;0,D2865&lt;&gt;0,E2865&lt;&gt;0,F2865&lt;&gt;0),1,0),1))</f>
        <v>0</v>
      </c>
      <c r="H2865" t="str">
        <f>IF(OR(G2865=0,E2865=0),"",C2865/E2865)</f>
        <v/>
      </c>
      <c r="I2865" t="str">
        <f>IF(OR(G2865=0,F2865=0),"",D2865/F2865)</f>
        <v/>
      </c>
      <c r="J2865" t="str">
        <f>IF(OR(H2865="",I2865=""),"",IF(H2865=0,"",I2865/H2865-1))</f>
        <v/>
      </c>
      <c r="K2865" t="str">
        <f>IF($B2865="","",IFERROR(IF(G2865=0,-2E+300,CHOOSE(sortIdx,ROUND(D2865,0),IF(J2865="",-1E+300,ROUND(-J2865,6)),IF(J2865="",-1E+300,ROUND(J2865,6)))),-1.5E+300))</f>
        <v/>
      </c>
      <c r="L2865" t="str">
        <f>IF(K2865="","",RANK(K2865,$K$2:$K$3001,0)+COUNTIF($K$2:K2865,K2865)-1)</f>
        <v/>
      </c>
    </row>
    <row r="2866">
      <c r="B2866" t="str">
        <f>IFERROR(IF(A2866="","","="&amp;SUBSTITUTE(SUBSTITUTE(SUBSTITUTE(A2866,"~","~~"),"*","~*"),"?","~?")),"")</f>
        <v/>
      </c>
      <c r="C2866" t="str">
        <f>IF($B2866="","",SUMIFS(dAmt,dCust,$B2866,dPer,"&gt;="&amp;pyFrom,dPer,"&lt;="&amp;pyTo,dAmt,"&gt;-1E+300",dFlt1,critFlt1,dFlt2,critFlt2,dFlt3,critFlt3))</f>
        <v/>
      </c>
      <c r="D2866" t="str">
        <f>IF($B2866="","",SUMIFS(dAmt,dCust,$B2866,dPer,"&gt;="&amp;cyFrom,dPer,"&lt;="&amp;cyTo,dAmt,"&gt;-1E+300",dFlt1,critFlt1,dFlt2,critFlt2,dFlt3,critFlt3))</f>
        <v/>
      </c>
      <c r="E2866" t="str">
        <f>IF($B2866="","",SUMIFS(dQty,dCust,$B2866,dPer,"&gt;="&amp;pyFrom,dPer,"&lt;="&amp;pyTo,dQty,"&gt;-1E+300",dFlt1,critFlt1,dFlt2,critFlt2,dFlt3,critFlt3))</f>
        <v/>
      </c>
      <c r="F2866" t="str">
        <f>IF($B2866="","",SUMIFS(dQty,dCust,$B2866,dPer,"&gt;="&amp;cyFrom,dPer,"&lt;="&amp;cyTo,dQty,"&gt;-1E+300",dFlt1,critFlt1,dFlt2,critFlt2,dFlt3,critFlt3))</f>
        <v/>
      </c>
      <c r="G2866">
        <f>IF($B2866="",0,IFERROR(IF(OR(C2866&lt;&gt;0,D2866&lt;&gt;0,E2866&lt;&gt;0,F2866&lt;&gt;0),1,0),1))</f>
        <v>0</v>
      </c>
      <c r="H2866" t="str">
        <f>IF(OR(G2866=0,E2866=0),"",C2866/E2866)</f>
        <v/>
      </c>
      <c r="I2866" t="str">
        <f>IF(OR(G2866=0,F2866=0),"",D2866/F2866)</f>
        <v/>
      </c>
      <c r="J2866" t="str">
        <f>IF(OR(H2866="",I2866=""),"",IF(H2866=0,"",I2866/H2866-1))</f>
        <v/>
      </c>
      <c r="K2866" t="str">
        <f>IF($B2866="","",IFERROR(IF(G2866=0,-2E+300,CHOOSE(sortIdx,ROUND(D2866,0),IF(J2866="",-1E+300,ROUND(-J2866,6)),IF(J2866="",-1E+300,ROUND(J2866,6)))),-1.5E+300))</f>
        <v/>
      </c>
      <c r="L2866" t="str">
        <f>IF(K2866="","",RANK(K2866,$K$2:$K$3001,0)+COUNTIF($K$2:K2866,K2866)-1)</f>
        <v/>
      </c>
    </row>
    <row r="2867">
      <c r="B2867" t="str">
        <f>IFERROR(IF(A2867="","","="&amp;SUBSTITUTE(SUBSTITUTE(SUBSTITUTE(A2867,"~","~~"),"*","~*"),"?","~?")),"")</f>
        <v/>
      </c>
      <c r="C2867" t="str">
        <f>IF($B2867="","",SUMIFS(dAmt,dCust,$B2867,dPer,"&gt;="&amp;pyFrom,dPer,"&lt;="&amp;pyTo,dAmt,"&gt;-1E+300",dFlt1,critFlt1,dFlt2,critFlt2,dFlt3,critFlt3))</f>
        <v/>
      </c>
      <c r="D2867" t="str">
        <f>IF($B2867="","",SUMIFS(dAmt,dCust,$B2867,dPer,"&gt;="&amp;cyFrom,dPer,"&lt;="&amp;cyTo,dAmt,"&gt;-1E+300",dFlt1,critFlt1,dFlt2,critFlt2,dFlt3,critFlt3))</f>
        <v/>
      </c>
      <c r="E2867" t="str">
        <f>IF($B2867="","",SUMIFS(dQty,dCust,$B2867,dPer,"&gt;="&amp;pyFrom,dPer,"&lt;="&amp;pyTo,dQty,"&gt;-1E+300",dFlt1,critFlt1,dFlt2,critFlt2,dFlt3,critFlt3))</f>
        <v/>
      </c>
      <c r="F2867" t="str">
        <f>IF($B2867="","",SUMIFS(dQty,dCust,$B2867,dPer,"&gt;="&amp;cyFrom,dPer,"&lt;="&amp;cyTo,dQty,"&gt;-1E+300",dFlt1,critFlt1,dFlt2,critFlt2,dFlt3,critFlt3))</f>
        <v/>
      </c>
      <c r="G2867">
        <f>IF($B2867="",0,IFERROR(IF(OR(C2867&lt;&gt;0,D2867&lt;&gt;0,E2867&lt;&gt;0,F2867&lt;&gt;0),1,0),1))</f>
        <v>0</v>
      </c>
      <c r="H2867" t="str">
        <f>IF(OR(G2867=0,E2867=0),"",C2867/E2867)</f>
        <v/>
      </c>
      <c r="I2867" t="str">
        <f>IF(OR(G2867=0,F2867=0),"",D2867/F2867)</f>
        <v/>
      </c>
      <c r="J2867" t="str">
        <f>IF(OR(H2867="",I2867=""),"",IF(H2867=0,"",I2867/H2867-1))</f>
        <v/>
      </c>
      <c r="K2867" t="str">
        <f>IF($B2867="","",IFERROR(IF(G2867=0,-2E+300,CHOOSE(sortIdx,ROUND(D2867,0),IF(J2867="",-1E+300,ROUND(-J2867,6)),IF(J2867="",-1E+300,ROUND(J2867,6)))),-1.5E+300))</f>
        <v/>
      </c>
      <c r="L2867" t="str">
        <f>IF(K2867="","",RANK(K2867,$K$2:$K$3001,0)+COUNTIF($K$2:K2867,K2867)-1)</f>
        <v/>
      </c>
    </row>
    <row r="2868">
      <c r="B2868" t="str">
        <f>IFERROR(IF(A2868="","","="&amp;SUBSTITUTE(SUBSTITUTE(SUBSTITUTE(A2868,"~","~~"),"*","~*"),"?","~?")),"")</f>
        <v/>
      </c>
      <c r="C2868" t="str">
        <f>IF($B2868="","",SUMIFS(dAmt,dCust,$B2868,dPer,"&gt;="&amp;pyFrom,dPer,"&lt;="&amp;pyTo,dAmt,"&gt;-1E+300",dFlt1,critFlt1,dFlt2,critFlt2,dFlt3,critFlt3))</f>
        <v/>
      </c>
      <c r="D2868" t="str">
        <f>IF($B2868="","",SUMIFS(dAmt,dCust,$B2868,dPer,"&gt;="&amp;cyFrom,dPer,"&lt;="&amp;cyTo,dAmt,"&gt;-1E+300",dFlt1,critFlt1,dFlt2,critFlt2,dFlt3,critFlt3))</f>
        <v/>
      </c>
      <c r="E2868" t="str">
        <f>IF($B2868="","",SUMIFS(dQty,dCust,$B2868,dPer,"&gt;="&amp;pyFrom,dPer,"&lt;="&amp;pyTo,dQty,"&gt;-1E+300",dFlt1,critFlt1,dFlt2,critFlt2,dFlt3,critFlt3))</f>
        <v/>
      </c>
      <c r="F2868" t="str">
        <f>IF($B2868="","",SUMIFS(dQty,dCust,$B2868,dPer,"&gt;="&amp;cyFrom,dPer,"&lt;="&amp;cyTo,dQty,"&gt;-1E+300",dFlt1,critFlt1,dFlt2,critFlt2,dFlt3,critFlt3))</f>
        <v/>
      </c>
      <c r="G2868">
        <f>IF($B2868="",0,IFERROR(IF(OR(C2868&lt;&gt;0,D2868&lt;&gt;0,E2868&lt;&gt;0,F2868&lt;&gt;0),1,0),1))</f>
        <v>0</v>
      </c>
      <c r="H2868" t="str">
        <f>IF(OR(G2868=0,E2868=0),"",C2868/E2868)</f>
        <v/>
      </c>
      <c r="I2868" t="str">
        <f>IF(OR(G2868=0,F2868=0),"",D2868/F2868)</f>
        <v/>
      </c>
      <c r="J2868" t="str">
        <f>IF(OR(H2868="",I2868=""),"",IF(H2868=0,"",I2868/H2868-1))</f>
        <v/>
      </c>
      <c r="K2868" t="str">
        <f>IF($B2868="","",IFERROR(IF(G2868=0,-2E+300,CHOOSE(sortIdx,ROUND(D2868,0),IF(J2868="",-1E+300,ROUND(-J2868,6)),IF(J2868="",-1E+300,ROUND(J2868,6)))),-1.5E+300))</f>
        <v/>
      </c>
      <c r="L2868" t="str">
        <f>IF(K2868="","",RANK(K2868,$K$2:$K$3001,0)+COUNTIF($K$2:K2868,K2868)-1)</f>
        <v/>
      </c>
    </row>
    <row r="2869">
      <c r="B2869" t="str">
        <f>IFERROR(IF(A2869="","","="&amp;SUBSTITUTE(SUBSTITUTE(SUBSTITUTE(A2869,"~","~~"),"*","~*"),"?","~?")),"")</f>
        <v/>
      </c>
      <c r="C2869" t="str">
        <f>IF($B2869="","",SUMIFS(dAmt,dCust,$B2869,dPer,"&gt;="&amp;pyFrom,dPer,"&lt;="&amp;pyTo,dAmt,"&gt;-1E+300",dFlt1,critFlt1,dFlt2,critFlt2,dFlt3,critFlt3))</f>
        <v/>
      </c>
      <c r="D2869" t="str">
        <f>IF($B2869="","",SUMIFS(dAmt,dCust,$B2869,dPer,"&gt;="&amp;cyFrom,dPer,"&lt;="&amp;cyTo,dAmt,"&gt;-1E+300",dFlt1,critFlt1,dFlt2,critFlt2,dFlt3,critFlt3))</f>
        <v/>
      </c>
      <c r="E2869" t="str">
        <f>IF($B2869="","",SUMIFS(dQty,dCust,$B2869,dPer,"&gt;="&amp;pyFrom,dPer,"&lt;="&amp;pyTo,dQty,"&gt;-1E+300",dFlt1,critFlt1,dFlt2,critFlt2,dFlt3,critFlt3))</f>
        <v/>
      </c>
      <c r="F2869" t="str">
        <f>IF($B2869="","",SUMIFS(dQty,dCust,$B2869,dPer,"&gt;="&amp;cyFrom,dPer,"&lt;="&amp;cyTo,dQty,"&gt;-1E+300",dFlt1,critFlt1,dFlt2,critFlt2,dFlt3,critFlt3))</f>
        <v/>
      </c>
      <c r="G2869">
        <f>IF($B2869="",0,IFERROR(IF(OR(C2869&lt;&gt;0,D2869&lt;&gt;0,E2869&lt;&gt;0,F2869&lt;&gt;0),1,0),1))</f>
        <v>0</v>
      </c>
      <c r="H2869" t="str">
        <f>IF(OR(G2869=0,E2869=0),"",C2869/E2869)</f>
        <v/>
      </c>
      <c r="I2869" t="str">
        <f>IF(OR(G2869=0,F2869=0),"",D2869/F2869)</f>
        <v/>
      </c>
      <c r="J2869" t="str">
        <f>IF(OR(H2869="",I2869=""),"",IF(H2869=0,"",I2869/H2869-1))</f>
        <v/>
      </c>
      <c r="K2869" t="str">
        <f>IF($B2869="","",IFERROR(IF(G2869=0,-2E+300,CHOOSE(sortIdx,ROUND(D2869,0),IF(J2869="",-1E+300,ROUND(-J2869,6)),IF(J2869="",-1E+300,ROUND(J2869,6)))),-1.5E+300))</f>
        <v/>
      </c>
      <c r="L2869" t="str">
        <f>IF(K2869="","",RANK(K2869,$K$2:$K$3001,0)+COUNTIF($K$2:K2869,K2869)-1)</f>
        <v/>
      </c>
    </row>
    <row r="2870">
      <c r="B2870" t="str">
        <f>IFERROR(IF(A2870="","","="&amp;SUBSTITUTE(SUBSTITUTE(SUBSTITUTE(A2870,"~","~~"),"*","~*"),"?","~?")),"")</f>
        <v/>
      </c>
      <c r="C2870" t="str">
        <f>IF($B2870="","",SUMIFS(dAmt,dCust,$B2870,dPer,"&gt;="&amp;pyFrom,dPer,"&lt;="&amp;pyTo,dAmt,"&gt;-1E+300",dFlt1,critFlt1,dFlt2,critFlt2,dFlt3,critFlt3))</f>
        <v/>
      </c>
      <c r="D2870" t="str">
        <f>IF($B2870="","",SUMIFS(dAmt,dCust,$B2870,dPer,"&gt;="&amp;cyFrom,dPer,"&lt;="&amp;cyTo,dAmt,"&gt;-1E+300",dFlt1,critFlt1,dFlt2,critFlt2,dFlt3,critFlt3))</f>
        <v/>
      </c>
      <c r="E2870" t="str">
        <f>IF($B2870="","",SUMIFS(dQty,dCust,$B2870,dPer,"&gt;="&amp;pyFrom,dPer,"&lt;="&amp;pyTo,dQty,"&gt;-1E+300",dFlt1,critFlt1,dFlt2,critFlt2,dFlt3,critFlt3))</f>
        <v/>
      </c>
      <c r="F2870" t="str">
        <f>IF($B2870="","",SUMIFS(dQty,dCust,$B2870,dPer,"&gt;="&amp;cyFrom,dPer,"&lt;="&amp;cyTo,dQty,"&gt;-1E+300",dFlt1,critFlt1,dFlt2,critFlt2,dFlt3,critFlt3))</f>
        <v/>
      </c>
      <c r="G2870">
        <f>IF($B2870="",0,IFERROR(IF(OR(C2870&lt;&gt;0,D2870&lt;&gt;0,E2870&lt;&gt;0,F2870&lt;&gt;0),1,0),1))</f>
        <v>0</v>
      </c>
      <c r="H2870" t="str">
        <f>IF(OR(G2870=0,E2870=0),"",C2870/E2870)</f>
        <v/>
      </c>
      <c r="I2870" t="str">
        <f>IF(OR(G2870=0,F2870=0),"",D2870/F2870)</f>
        <v/>
      </c>
      <c r="J2870" t="str">
        <f>IF(OR(H2870="",I2870=""),"",IF(H2870=0,"",I2870/H2870-1))</f>
        <v/>
      </c>
      <c r="K2870" t="str">
        <f>IF($B2870="","",IFERROR(IF(G2870=0,-2E+300,CHOOSE(sortIdx,ROUND(D2870,0),IF(J2870="",-1E+300,ROUND(-J2870,6)),IF(J2870="",-1E+300,ROUND(J2870,6)))),-1.5E+300))</f>
        <v/>
      </c>
      <c r="L2870" t="str">
        <f>IF(K2870="","",RANK(K2870,$K$2:$K$3001,0)+COUNTIF($K$2:K2870,K2870)-1)</f>
        <v/>
      </c>
    </row>
    <row r="2871">
      <c r="B2871" t="str">
        <f>IFERROR(IF(A2871="","","="&amp;SUBSTITUTE(SUBSTITUTE(SUBSTITUTE(A2871,"~","~~"),"*","~*"),"?","~?")),"")</f>
        <v/>
      </c>
      <c r="C2871" t="str">
        <f>IF($B2871="","",SUMIFS(dAmt,dCust,$B2871,dPer,"&gt;="&amp;pyFrom,dPer,"&lt;="&amp;pyTo,dAmt,"&gt;-1E+300",dFlt1,critFlt1,dFlt2,critFlt2,dFlt3,critFlt3))</f>
        <v/>
      </c>
      <c r="D2871" t="str">
        <f>IF($B2871="","",SUMIFS(dAmt,dCust,$B2871,dPer,"&gt;="&amp;cyFrom,dPer,"&lt;="&amp;cyTo,dAmt,"&gt;-1E+300",dFlt1,critFlt1,dFlt2,critFlt2,dFlt3,critFlt3))</f>
        <v/>
      </c>
      <c r="E2871" t="str">
        <f>IF($B2871="","",SUMIFS(dQty,dCust,$B2871,dPer,"&gt;="&amp;pyFrom,dPer,"&lt;="&amp;pyTo,dQty,"&gt;-1E+300",dFlt1,critFlt1,dFlt2,critFlt2,dFlt3,critFlt3))</f>
        <v/>
      </c>
      <c r="F2871" t="str">
        <f>IF($B2871="","",SUMIFS(dQty,dCust,$B2871,dPer,"&gt;="&amp;cyFrom,dPer,"&lt;="&amp;cyTo,dQty,"&gt;-1E+300",dFlt1,critFlt1,dFlt2,critFlt2,dFlt3,critFlt3))</f>
        <v/>
      </c>
      <c r="G2871">
        <f>IF($B2871="",0,IFERROR(IF(OR(C2871&lt;&gt;0,D2871&lt;&gt;0,E2871&lt;&gt;0,F2871&lt;&gt;0),1,0),1))</f>
        <v>0</v>
      </c>
      <c r="H2871" t="str">
        <f>IF(OR(G2871=0,E2871=0),"",C2871/E2871)</f>
        <v/>
      </c>
      <c r="I2871" t="str">
        <f>IF(OR(G2871=0,F2871=0),"",D2871/F2871)</f>
        <v/>
      </c>
      <c r="J2871" t="str">
        <f>IF(OR(H2871="",I2871=""),"",IF(H2871=0,"",I2871/H2871-1))</f>
        <v/>
      </c>
      <c r="K2871" t="str">
        <f>IF($B2871="","",IFERROR(IF(G2871=0,-2E+300,CHOOSE(sortIdx,ROUND(D2871,0),IF(J2871="",-1E+300,ROUND(-J2871,6)),IF(J2871="",-1E+300,ROUND(J2871,6)))),-1.5E+300))</f>
        <v/>
      </c>
      <c r="L2871" t="str">
        <f>IF(K2871="","",RANK(K2871,$K$2:$K$3001,0)+COUNTIF($K$2:K2871,K2871)-1)</f>
        <v/>
      </c>
    </row>
    <row r="2872">
      <c r="B2872" t="str">
        <f>IFERROR(IF(A2872="","","="&amp;SUBSTITUTE(SUBSTITUTE(SUBSTITUTE(A2872,"~","~~"),"*","~*"),"?","~?")),"")</f>
        <v/>
      </c>
      <c r="C2872" t="str">
        <f>IF($B2872="","",SUMIFS(dAmt,dCust,$B2872,dPer,"&gt;="&amp;pyFrom,dPer,"&lt;="&amp;pyTo,dAmt,"&gt;-1E+300",dFlt1,critFlt1,dFlt2,critFlt2,dFlt3,critFlt3))</f>
        <v/>
      </c>
      <c r="D2872" t="str">
        <f>IF($B2872="","",SUMIFS(dAmt,dCust,$B2872,dPer,"&gt;="&amp;cyFrom,dPer,"&lt;="&amp;cyTo,dAmt,"&gt;-1E+300",dFlt1,critFlt1,dFlt2,critFlt2,dFlt3,critFlt3))</f>
        <v/>
      </c>
      <c r="E2872" t="str">
        <f>IF($B2872="","",SUMIFS(dQty,dCust,$B2872,dPer,"&gt;="&amp;pyFrom,dPer,"&lt;="&amp;pyTo,dQty,"&gt;-1E+300",dFlt1,critFlt1,dFlt2,critFlt2,dFlt3,critFlt3))</f>
        <v/>
      </c>
      <c r="F2872" t="str">
        <f>IF($B2872="","",SUMIFS(dQty,dCust,$B2872,dPer,"&gt;="&amp;cyFrom,dPer,"&lt;="&amp;cyTo,dQty,"&gt;-1E+300",dFlt1,critFlt1,dFlt2,critFlt2,dFlt3,critFlt3))</f>
        <v/>
      </c>
      <c r="G2872">
        <f>IF($B2872="",0,IFERROR(IF(OR(C2872&lt;&gt;0,D2872&lt;&gt;0,E2872&lt;&gt;0,F2872&lt;&gt;0),1,0),1))</f>
        <v>0</v>
      </c>
      <c r="H2872" t="str">
        <f>IF(OR(G2872=0,E2872=0),"",C2872/E2872)</f>
        <v/>
      </c>
      <c r="I2872" t="str">
        <f>IF(OR(G2872=0,F2872=0),"",D2872/F2872)</f>
        <v/>
      </c>
      <c r="J2872" t="str">
        <f>IF(OR(H2872="",I2872=""),"",IF(H2872=0,"",I2872/H2872-1))</f>
        <v/>
      </c>
      <c r="K2872" t="str">
        <f>IF($B2872="","",IFERROR(IF(G2872=0,-2E+300,CHOOSE(sortIdx,ROUND(D2872,0),IF(J2872="",-1E+300,ROUND(-J2872,6)),IF(J2872="",-1E+300,ROUND(J2872,6)))),-1.5E+300))</f>
        <v/>
      </c>
      <c r="L2872" t="str">
        <f>IF(K2872="","",RANK(K2872,$K$2:$K$3001,0)+COUNTIF($K$2:K2872,K2872)-1)</f>
        <v/>
      </c>
    </row>
    <row r="2873">
      <c r="B2873" t="str">
        <f>IFERROR(IF(A2873="","","="&amp;SUBSTITUTE(SUBSTITUTE(SUBSTITUTE(A2873,"~","~~"),"*","~*"),"?","~?")),"")</f>
        <v/>
      </c>
      <c r="C2873" t="str">
        <f>IF($B2873="","",SUMIFS(dAmt,dCust,$B2873,dPer,"&gt;="&amp;pyFrom,dPer,"&lt;="&amp;pyTo,dAmt,"&gt;-1E+300",dFlt1,critFlt1,dFlt2,critFlt2,dFlt3,critFlt3))</f>
        <v/>
      </c>
      <c r="D2873" t="str">
        <f>IF($B2873="","",SUMIFS(dAmt,dCust,$B2873,dPer,"&gt;="&amp;cyFrom,dPer,"&lt;="&amp;cyTo,dAmt,"&gt;-1E+300",dFlt1,critFlt1,dFlt2,critFlt2,dFlt3,critFlt3))</f>
        <v/>
      </c>
      <c r="E2873" t="str">
        <f>IF($B2873="","",SUMIFS(dQty,dCust,$B2873,dPer,"&gt;="&amp;pyFrom,dPer,"&lt;="&amp;pyTo,dQty,"&gt;-1E+300",dFlt1,critFlt1,dFlt2,critFlt2,dFlt3,critFlt3))</f>
        <v/>
      </c>
      <c r="F2873" t="str">
        <f>IF($B2873="","",SUMIFS(dQty,dCust,$B2873,dPer,"&gt;="&amp;cyFrom,dPer,"&lt;="&amp;cyTo,dQty,"&gt;-1E+300",dFlt1,critFlt1,dFlt2,critFlt2,dFlt3,critFlt3))</f>
        <v/>
      </c>
      <c r="G2873">
        <f>IF($B2873="",0,IFERROR(IF(OR(C2873&lt;&gt;0,D2873&lt;&gt;0,E2873&lt;&gt;0,F2873&lt;&gt;0),1,0),1))</f>
        <v>0</v>
      </c>
      <c r="H2873" t="str">
        <f>IF(OR(G2873=0,E2873=0),"",C2873/E2873)</f>
        <v/>
      </c>
      <c r="I2873" t="str">
        <f>IF(OR(G2873=0,F2873=0),"",D2873/F2873)</f>
        <v/>
      </c>
      <c r="J2873" t="str">
        <f>IF(OR(H2873="",I2873=""),"",IF(H2873=0,"",I2873/H2873-1))</f>
        <v/>
      </c>
      <c r="K2873" t="str">
        <f>IF($B2873="","",IFERROR(IF(G2873=0,-2E+300,CHOOSE(sortIdx,ROUND(D2873,0),IF(J2873="",-1E+300,ROUND(-J2873,6)),IF(J2873="",-1E+300,ROUND(J2873,6)))),-1.5E+300))</f>
        <v/>
      </c>
      <c r="L2873" t="str">
        <f>IF(K2873="","",RANK(K2873,$K$2:$K$3001,0)+COUNTIF($K$2:K2873,K2873)-1)</f>
        <v/>
      </c>
    </row>
    <row r="2874">
      <c r="B2874" t="str">
        <f>IFERROR(IF(A2874="","","="&amp;SUBSTITUTE(SUBSTITUTE(SUBSTITUTE(A2874,"~","~~"),"*","~*"),"?","~?")),"")</f>
        <v/>
      </c>
      <c r="C2874" t="str">
        <f>IF($B2874="","",SUMIFS(dAmt,dCust,$B2874,dPer,"&gt;="&amp;pyFrom,dPer,"&lt;="&amp;pyTo,dAmt,"&gt;-1E+300",dFlt1,critFlt1,dFlt2,critFlt2,dFlt3,critFlt3))</f>
        <v/>
      </c>
      <c r="D2874" t="str">
        <f>IF($B2874="","",SUMIFS(dAmt,dCust,$B2874,dPer,"&gt;="&amp;cyFrom,dPer,"&lt;="&amp;cyTo,dAmt,"&gt;-1E+300",dFlt1,critFlt1,dFlt2,critFlt2,dFlt3,critFlt3))</f>
        <v/>
      </c>
      <c r="E2874" t="str">
        <f>IF($B2874="","",SUMIFS(dQty,dCust,$B2874,dPer,"&gt;="&amp;pyFrom,dPer,"&lt;="&amp;pyTo,dQty,"&gt;-1E+300",dFlt1,critFlt1,dFlt2,critFlt2,dFlt3,critFlt3))</f>
        <v/>
      </c>
      <c r="F2874" t="str">
        <f>IF($B2874="","",SUMIFS(dQty,dCust,$B2874,dPer,"&gt;="&amp;cyFrom,dPer,"&lt;="&amp;cyTo,dQty,"&gt;-1E+300",dFlt1,critFlt1,dFlt2,critFlt2,dFlt3,critFlt3))</f>
        <v/>
      </c>
      <c r="G2874">
        <f>IF($B2874="",0,IFERROR(IF(OR(C2874&lt;&gt;0,D2874&lt;&gt;0,E2874&lt;&gt;0,F2874&lt;&gt;0),1,0),1))</f>
        <v>0</v>
      </c>
      <c r="H2874" t="str">
        <f>IF(OR(G2874=0,E2874=0),"",C2874/E2874)</f>
        <v/>
      </c>
      <c r="I2874" t="str">
        <f>IF(OR(G2874=0,F2874=0),"",D2874/F2874)</f>
        <v/>
      </c>
      <c r="J2874" t="str">
        <f>IF(OR(H2874="",I2874=""),"",IF(H2874=0,"",I2874/H2874-1))</f>
        <v/>
      </c>
      <c r="K2874" t="str">
        <f>IF($B2874="","",IFERROR(IF(G2874=0,-2E+300,CHOOSE(sortIdx,ROUND(D2874,0),IF(J2874="",-1E+300,ROUND(-J2874,6)),IF(J2874="",-1E+300,ROUND(J2874,6)))),-1.5E+300))</f>
        <v/>
      </c>
      <c r="L2874" t="str">
        <f>IF(K2874="","",RANK(K2874,$K$2:$K$3001,0)+COUNTIF($K$2:K2874,K2874)-1)</f>
        <v/>
      </c>
    </row>
    <row r="2875">
      <c r="B2875" t="str">
        <f>IFERROR(IF(A2875="","","="&amp;SUBSTITUTE(SUBSTITUTE(SUBSTITUTE(A2875,"~","~~"),"*","~*"),"?","~?")),"")</f>
        <v/>
      </c>
      <c r="C2875" t="str">
        <f>IF($B2875="","",SUMIFS(dAmt,dCust,$B2875,dPer,"&gt;="&amp;pyFrom,dPer,"&lt;="&amp;pyTo,dAmt,"&gt;-1E+300",dFlt1,critFlt1,dFlt2,critFlt2,dFlt3,critFlt3))</f>
        <v/>
      </c>
      <c r="D2875" t="str">
        <f>IF($B2875="","",SUMIFS(dAmt,dCust,$B2875,dPer,"&gt;="&amp;cyFrom,dPer,"&lt;="&amp;cyTo,dAmt,"&gt;-1E+300",dFlt1,critFlt1,dFlt2,critFlt2,dFlt3,critFlt3))</f>
        <v/>
      </c>
      <c r="E2875" t="str">
        <f>IF($B2875="","",SUMIFS(dQty,dCust,$B2875,dPer,"&gt;="&amp;pyFrom,dPer,"&lt;="&amp;pyTo,dQty,"&gt;-1E+300",dFlt1,critFlt1,dFlt2,critFlt2,dFlt3,critFlt3))</f>
        <v/>
      </c>
      <c r="F2875" t="str">
        <f>IF($B2875="","",SUMIFS(dQty,dCust,$B2875,dPer,"&gt;="&amp;cyFrom,dPer,"&lt;="&amp;cyTo,dQty,"&gt;-1E+300",dFlt1,critFlt1,dFlt2,critFlt2,dFlt3,critFlt3))</f>
        <v/>
      </c>
      <c r="G2875">
        <f>IF($B2875="",0,IFERROR(IF(OR(C2875&lt;&gt;0,D2875&lt;&gt;0,E2875&lt;&gt;0,F2875&lt;&gt;0),1,0),1))</f>
        <v>0</v>
      </c>
      <c r="H2875" t="str">
        <f>IF(OR(G2875=0,E2875=0),"",C2875/E2875)</f>
        <v/>
      </c>
      <c r="I2875" t="str">
        <f>IF(OR(G2875=0,F2875=0),"",D2875/F2875)</f>
        <v/>
      </c>
      <c r="J2875" t="str">
        <f>IF(OR(H2875="",I2875=""),"",IF(H2875=0,"",I2875/H2875-1))</f>
        <v/>
      </c>
      <c r="K2875" t="str">
        <f>IF($B2875="","",IFERROR(IF(G2875=0,-2E+300,CHOOSE(sortIdx,ROUND(D2875,0),IF(J2875="",-1E+300,ROUND(-J2875,6)),IF(J2875="",-1E+300,ROUND(J2875,6)))),-1.5E+300))</f>
        <v/>
      </c>
      <c r="L2875" t="str">
        <f>IF(K2875="","",RANK(K2875,$K$2:$K$3001,0)+COUNTIF($K$2:K2875,K2875)-1)</f>
        <v/>
      </c>
    </row>
    <row r="2876">
      <c r="B2876" t="str">
        <f>IFERROR(IF(A2876="","","="&amp;SUBSTITUTE(SUBSTITUTE(SUBSTITUTE(A2876,"~","~~"),"*","~*"),"?","~?")),"")</f>
        <v/>
      </c>
      <c r="C2876" t="str">
        <f>IF($B2876="","",SUMIFS(dAmt,dCust,$B2876,dPer,"&gt;="&amp;pyFrom,dPer,"&lt;="&amp;pyTo,dAmt,"&gt;-1E+300",dFlt1,critFlt1,dFlt2,critFlt2,dFlt3,critFlt3))</f>
        <v/>
      </c>
      <c r="D2876" t="str">
        <f>IF($B2876="","",SUMIFS(dAmt,dCust,$B2876,dPer,"&gt;="&amp;cyFrom,dPer,"&lt;="&amp;cyTo,dAmt,"&gt;-1E+300",dFlt1,critFlt1,dFlt2,critFlt2,dFlt3,critFlt3))</f>
        <v/>
      </c>
      <c r="E2876" t="str">
        <f>IF($B2876="","",SUMIFS(dQty,dCust,$B2876,dPer,"&gt;="&amp;pyFrom,dPer,"&lt;="&amp;pyTo,dQty,"&gt;-1E+300",dFlt1,critFlt1,dFlt2,critFlt2,dFlt3,critFlt3))</f>
        <v/>
      </c>
      <c r="F2876" t="str">
        <f>IF($B2876="","",SUMIFS(dQty,dCust,$B2876,dPer,"&gt;="&amp;cyFrom,dPer,"&lt;="&amp;cyTo,dQty,"&gt;-1E+300",dFlt1,critFlt1,dFlt2,critFlt2,dFlt3,critFlt3))</f>
        <v/>
      </c>
      <c r="G2876">
        <f>IF($B2876="",0,IFERROR(IF(OR(C2876&lt;&gt;0,D2876&lt;&gt;0,E2876&lt;&gt;0,F2876&lt;&gt;0),1,0),1))</f>
        <v>0</v>
      </c>
      <c r="H2876" t="str">
        <f>IF(OR(G2876=0,E2876=0),"",C2876/E2876)</f>
        <v/>
      </c>
      <c r="I2876" t="str">
        <f>IF(OR(G2876=0,F2876=0),"",D2876/F2876)</f>
        <v/>
      </c>
      <c r="J2876" t="str">
        <f>IF(OR(H2876="",I2876=""),"",IF(H2876=0,"",I2876/H2876-1))</f>
        <v/>
      </c>
      <c r="K2876" t="str">
        <f>IF($B2876="","",IFERROR(IF(G2876=0,-2E+300,CHOOSE(sortIdx,ROUND(D2876,0),IF(J2876="",-1E+300,ROUND(-J2876,6)),IF(J2876="",-1E+300,ROUND(J2876,6)))),-1.5E+300))</f>
        <v/>
      </c>
      <c r="L2876" t="str">
        <f>IF(K2876="","",RANK(K2876,$K$2:$K$3001,0)+COUNTIF($K$2:K2876,K2876)-1)</f>
        <v/>
      </c>
    </row>
    <row r="2877">
      <c r="B2877" t="str">
        <f>IFERROR(IF(A2877="","","="&amp;SUBSTITUTE(SUBSTITUTE(SUBSTITUTE(A2877,"~","~~"),"*","~*"),"?","~?")),"")</f>
        <v/>
      </c>
      <c r="C2877" t="str">
        <f>IF($B2877="","",SUMIFS(dAmt,dCust,$B2877,dPer,"&gt;="&amp;pyFrom,dPer,"&lt;="&amp;pyTo,dAmt,"&gt;-1E+300",dFlt1,critFlt1,dFlt2,critFlt2,dFlt3,critFlt3))</f>
        <v/>
      </c>
      <c r="D2877" t="str">
        <f>IF($B2877="","",SUMIFS(dAmt,dCust,$B2877,dPer,"&gt;="&amp;cyFrom,dPer,"&lt;="&amp;cyTo,dAmt,"&gt;-1E+300",dFlt1,critFlt1,dFlt2,critFlt2,dFlt3,critFlt3))</f>
        <v/>
      </c>
      <c r="E2877" t="str">
        <f>IF($B2877="","",SUMIFS(dQty,dCust,$B2877,dPer,"&gt;="&amp;pyFrom,dPer,"&lt;="&amp;pyTo,dQty,"&gt;-1E+300",dFlt1,critFlt1,dFlt2,critFlt2,dFlt3,critFlt3))</f>
        <v/>
      </c>
      <c r="F2877" t="str">
        <f>IF($B2877="","",SUMIFS(dQty,dCust,$B2877,dPer,"&gt;="&amp;cyFrom,dPer,"&lt;="&amp;cyTo,dQty,"&gt;-1E+300",dFlt1,critFlt1,dFlt2,critFlt2,dFlt3,critFlt3))</f>
        <v/>
      </c>
      <c r="G2877">
        <f>IF($B2877="",0,IFERROR(IF(OR(C2877&lt;&gt;0,D2877&lt;&gt;0,E2877&lt;&gt;0,F2877&lt;&gt;0),1,0),1))</f>
        <v>0</v>
      </c>
      <c r="H2877" t="str">
        <f>IF(OR(G2877=0,E2877=0),"",C2877/E2877)</f>
        <v/>
      </c>
      <c r="I2877" t="str">
        <f>IF(OR(G2877=0,F2877=0),"",D2877/F2877)</f>
        <v/>
      </c>
      <c r="J2877" t="str">
        <f>IF(OR(H2877="",I2877=""),"",IF(H2877=0,"",I2877/H2877-1))</f>
        <v/>
      </c>
      <c r="K2877" t="str">
        <f>IF($B2877="","",IFERROR(IF(G2877=0,-2E+300,CHOOSE(sortIdx,ROUND(D2877,0),IF(J2877="",-1E+300,ROUND(-J2877,6)),IF(J2877="",-1E+300,ROUND(J2877,6)))),-1.5E+300))</f>
        <v/>
      </c>
      <c r="L2877" t="str">
        <f>IF(K2877="","",RANK(K2877,$K$2:$K$3001,0)+COUNTIF($K$2:K2877,K2877)-1)</f>
        <v/>
      </c>
    </row>
    <row r="2878">
      <c r="B2878" t="str">
        <f>IFERROR(IF(A2878="","","="&amp;SUBSTITUTE(SUBSTITUTE(SUBSTITUTE(A2878,"~","~~"),"*","~*"),"?","~?")),"")</f>
        <v/>
      </c>
      <c r="C2878" t="str">
        <f>IF($B2878="","",SUMIFS(dAmt,dCust,$B2878,dPer,"&gt;="&amp;pyFrom,dPer,"&lt;="&amp;pyTo,dAmt,"&gt;-1E+300",dFlt1,critFlt1,dFlt2,critFlt2,dFlt3,critFlt3))</f>
        <v/>
      </c>
      <c r="D2878" t="str">
        <f>IF($B2878="","",SUMIFS(dAmt,dCust,$B2878,dPer,"&gt;="&amp;cyFrom,dPer,"&lt;="&amp;cyTo,dAmt,"&gt;-1E+300",dFlt1,critFlt1,dFlt2,critFlt2,dFlt3,critFlt3))</f>
        <v/>
      </c>
      <c r="E2878" t="str">
        <f>IF($B2878="","",SUMIFS(dQty,dCust,$B2878,dPer,"&gt;="&amp;pyFrom,dPer,"&lt;="&amp;pyTo,dQty,"&gt;-1E+300",dFlt1,critFlt1,dFlt2,critFlt2,dFlt3,critFlt3))</f>
        <v/>
      </c>
      <c r="F2878" t="str">
        <f>IF($B2878="","",SUMIFS(dQty,dCust,$B2878,dPer,"&gt;="&amp;cyFrom,dPer,"&lt;="&amp;cyTo,dQty,"&gt;-1E+300",dFlt1,critFlt1,dFlt2,critFlt2,dFlt3,critFlt3))</f>
        <v/>
      </c>
      <c r="G2878">
        <f>IF($B2878="",0,IFERROR(IF(OR(C2878&lt;&gt;0,D2878&lt;&gt;0,E2878&lt;&gt;0,F2878&lt;&gt;0),1,0),1))</f>
        <v>0</v>
      </c>
      <c r="H2878" t="str">
        <f>IF(OR(G2878=0,E2878=0),"",C2878/E2878)</f>
        <v/>
      </c>
      <c r="I2878" t="str">
        <f>IF(OR(G2878=0,F2878=0),"",D2878/F2878)</f>
        <v/>
      </c>
      <c r="J2878" t="str">
        <f>IF(OR(H2878="",I2878=""),"",IF(H2878=0,"",I2878/H2878-1))</f>
        <v/>
      </c>
      <c r="K2878" t="str">
        <f>IF($B2878="","",IFERROR(IF(G2878=0,-2E+300,CHOOSE(sortIdx,ROUND(D2878,0),IF(J2878="",-1E+300,ROUND(-J2878,6)),IF(J2878="",-1E+300,ROUND(J2878,6)))),-1.5E+300))</f>
        <v/>
      </c>
      <c r="L2878" t="str">
        <f>IF(K2878="","",RANK(K2878,$K$2:$K$3001,0)+COUNTIF($K$2:K2878,K2878)-1)</f>
        <v/>
      </c>
    </row>
    <row r="2879">
      <c r="B2879" t="str">
        <f>IFERROR(IF(A2879="","","="&amp;SUBSTITUTE(SUBSTITUTE(SUBSTITUTE(A2879,"~","~~"),"*","~*"),"?","~?")),"")</f>
        <v/>
      </c>
      <c r="C2879" t="str">
        <f>IF($B2879="","",SUMIFS(dAmt,dCust,$B2879,dPer,"&gt;="&amp;pyFrom,dPer,"&lt;="&amp;pyTo,dAmt,"&gt;-1E+300",dFlt1,critFlt1,dFlt2,critFlt2,dFlt3,critFlt3))</f>
        <v/>
      </c>
      <c r="D2879" t="str">
        <f>IF($B2879="","",SUMIFS(dAmt,dCust,$B2879,dPer,"&gt;="&amp;cyFrom,dPer,"&lt;="&amp;cyTo,dAmt,"&gt;-1E+300",dFlt1,critFlt1,dFlt2,critFlt2,dFlt3,critFlt3))</f>
        <v/>
      </c>
      <c r="E2879" t="str">
        <f>IF($B2879="","",SUMIFS(dQty,dCust,$B2879,dPer,"&gt;="&amp;pyFrom,dPer,"&lt;="&amp;pyTo,dQty,"&gt;-1E+300",dFlt1,critFlt1,dFlt2,critFlt2,dFlt3,critFlt3))</f>
        <v/>
      </c>
      <c r="F2879" t="str">
        <f>IF($B2879="","",SUMIFS(dQty,dCust,$B2879,dPer,"&gt;="&amp;cyFrom,dPer,"&lt;="&amp;cyTo,dQty,"&gt;-1E+300",dFlt1,critFlt1,dFlt2,critFlt2,dFlt3,critFlt3))</f>
        <v/>
      </c>
      <c r="G2879">
        <f>IF($B2879="",0,IFERROR(IF(OR(C2879&lt;&gt;0,D2879&lt;&gt;0,E2879&lt;&gt;0,F2879&lt;&gt;0),1,0),1))</f>
        <v>0</v>
      </c>
      <c r="H2879" t="str">
        <f>IF(OR(G2879=0,E2879=0),"",C2879/E2879)</f>
        <v/>
      </c>
      <c r="I2879" t="str">
        <f>IF(OR(G2879=0,F2879=0),"",D2879/F2879)</f>
        <v/>
      </c>
      <c r="J2879" t="str">
        <f>IF(OR(H2879="",I2879=""),"",IF(H2879=0,"",I2879/H2879-1))</f>
        <v/>
      </c>
      <c r="K2879" t="str">
        <f>IF($B2879="","",IFERROR(IF(G2879=0,-2E+300,CHOOSE(sortIdx,ROUND(D2879,0),IF(J2879="",-1E+300,ROUND(-J2879,6)),IF(J2879="",-1E+300,ROUND(J2879,6)))),-1.5E+300))</f>
        <v/>
      </c>
      <c r="L2879" t="str">
        <f>IF(K2879="","",RANK(K2879,$K$2:$K$3001,0)+COUNTIF($K$2:K2879,K2879)-1)</f>
        <v/>
      </c>
    </row>
    <row r="2880">
      <c r="B2880" t="str">
        <f>IFERROR(IF(A2880="","","="&amp;SUBSTITUTE(SUBSTITUTE(SUBSTITUTE(A2880,"~","~~"),"*","~*"),"?","~?")),"")</f>
        <v/>
      </c>
      <c r="C2880" t="str">
        <f>IF($B2880="","",SUMIFS(dAmt,dCust,$B2880,dPer,"&gt;="&amp;pyFrom,dPer,"&lt;="&amp;pyTo,dAmt,"&gt;-1E+300",dFlt1,critFlt1,dFlt2,critFlt2,dFlt3,critFlt3))</f>
        <v/>
      </c>
      <c r="D2880" t="str">
        <f>IF($B2880="","",SUMIFS(dAmt,dCust,$B2880,dPer,"&gt;="&amp;cyFrom,dPer,"&lt;="&amp;cyTo,dAmt,"&gt;-1E+300",dFlt1,critFlt1,dFlt2,critFlt2,dFlt3,critFlt3))</f>
        <v/>
      </c>
      <c r="E2880" t="str">
        <f>IF($B2880="","",SUMIFS(dQty,dCust,$B2880,dPer,"&gt;="&amp;pyFrom,dPer,"&lt;="&amp;pyTo,dQty,"&gt;-1E+300",dFlt1,critFlt1,dFlt2,critFlt2,dFlt3,critFlt3))</f>
        <v/>
      </c>
      <c r="F2880" t="str">
        <f>IF($B2880="","",SUMIFS(dQty,dCust,$B2880,dPer,"&gt;="&amp;cyFrom,dPer,"&lt;="&amp;cyTo,dQty,"&gt;-1E+300",dFlt1,critFlt1,dFlt2,critFlt2,dFlt3,critFlt3))</f>
        <v/>
      </c>
      <c r="G2880">
        <f>IF($B2880="",0,IFERROR(IF(OR(C2880&lt;&gt;0,D2880&lt;&gt;0,E2880&lt;&gt;0,F2880&lt;&gt;0),1,0),1))</f>
        <v>0</v>
      </c>
      <c r="H2880" t="str">
        <f>IF(OR(G2880=0,E2880=0),"",C2880/E2880)</f>
        <v/>
      </c>
      <c r="I2880" t="str">
        <f>IF(OR(G2880=0,F2880=0),"",D2880/F2880)</f>
        <v/>
      </c>
      <c r="J2880" t="str">
        <f>IF(OR(H2880="",I2880=""),"",IF(H2880=0,"",I2880/H2880-1))</f>
        <v/>
      </c>
      <c r="K2880" t="str">
        <f>IF($B2880="","",IFERROR(IF(G2880=0,-2E+300,CHOOSE(sortIdx,ROUND(D2880,0),IF(J2880="",-1E+300,ROUND(-J2880,6)),IF(J2880="",-1E+300,ROUND(J2880,6)))),-1.5E+300))</f>
        <v/>
      </c>
      <c r="L2880" t="str">
        <f>IF(K2880="","",RANK(K2880,$K$2:$K$3001,0)+COUNTIF($K$2:K2880,K2880)-1)</f>
        <v/>
      </c>
    </row>
    <row r="2881">
      <c r="B2881" t="str">
        <f>IFERROR(IF(A2881="","","="&amp;SUBSTITUTE(SUBSTITUTE(SUBSTITUTE(A2881,"~","~~"),"*","~*"),"?","~?")),"")</f>
        <v/>
      </c>
      <c r="C2881" t="str">
        <f>IF($B2881="","",SUMIFS(dAmt,dCust,$B2881,dPer,"&gt;="&amp;pyFrom,dPer,"&lt;="&amp;pyTo,dAmt,"&gt;-1E+300",dFlt1,critFlt1,dFlt2,critFlt2,dFlt3,critFlt3))</f>
        <v/>
      </c>
      <c r="D2881" t="str">
        <f>IF($B2881="","",SUMIFS(dAmt,dCust,$B2881,dPer,"&gt;="&amp;cyFrom,dPer,"&lt;="&amp;cyTo,dAmt,"&gt;-1E+300",dFlt1,critFlt1,dFlt2,critFlt2,dFlt3,critFlt3))</f>
        <v/>
      </c>
      <c r="E2881" t="str">
        <f>IF($B2881="","",SUMIFS(dQty,dCust,$B2881,dPer,"&gt;="&amp;pyFrom,dPer,"&lt;="&amp;pyTo,dQty,"&gt;-1E+300",dFlt1,critFlt1,dFlt2,critFlt2,dFlt3,critFlt3))</f>
        <v/>
      </c>
      <c r="F2881" t="str">
        <f>IF($B2881="","",SUMIFS(dQty,dCust,$B2881,dPer,"&gt;="&amp;cyFrom,dPer,"&lt;="&amp;cyTo,dQty,"&gt;-1E+300",dFlt1,critFlt1,dFlt2,critFlt2,dFlt3,critFlt3))</f>
        <v/>
      </c>
      <c r="G2881">
        <f>IF($B2881="",0,IFERROR(IF(OR(C2881&lt;&gt;0,D2881&lt;&gt;0,E2881&lt;&gt;0,F2881&lt;&gt;0),1,0),1))</f>
        <v>0</v>
      </c>
      <c r="H2881" t="str">
        <f>IF(OR(G2881=0,E2881=0),"",C2881/E2881)</f>
        <v/>
      </c>
      <c r="I2881" t="str">
        <f>IF(OR(G2881=0,F2881=0),"",D2881/F2881)</f>
        <v/>
      </c>
      <c r="J2881" t="str">
        <f>IF(OR(H2881="",I2881=""),"",IF(H2881=0,"",I2881/H2881-1))</f>
        <v/>
      </c>
      <c r="K2881" t="str">
        <f>IF($B2881="","",IFERROR(IF(G2881=0,-2E+300,CHOOSE(sortIdx,ROUND(D2881,0),IF(J2881="",-1E+300,ROUND(-J2881,6)),IF(J2881="",-1E+300,ROUND(J2881,6)))),-1.5E+300))</f>
        <v/>
      </c>
      <c r="L2881" t="str">
        <f>IF(K2881="","",RANK(K2881,$K$2:$K$3001,0)+COUNTIF($K$2:K2881,K2881)-1)</f>
        <v/>
      </c>
    </row>
    <row r="2882">
      <c r="B2882" t="str">
        <f>IFERROR(IF(A2882="","","="&amp;SUBSTITUTE(SUBSTITUTE(SUBSTITUTE(A2882,"~","~~"),"*","~*"),"?","~?")),"")</f>
        <v/>
      </c>
      <c r="C2882" t="str">
        <f>IF($B2882="","",SUMIFS(dAmt,dCust,$B2882,dPer,"&gt;="&amp;pyFrom,dPer,"&lt;="&amp;pyTo,dAmt,"&gt;-1E+300",dFlt1,critFlt1,dFlt2,critFlt2,dFlt3,critFlt3))</f>
        <v/>
      </c>
      <c r="D2882" t="str">
        <f>IF($B2882="","",SUMIFS(dAmt,dCust,$B2882,dPer,"&gt;="&amp;cyFrom,dPer,"&lt;="&amp;cyTo,dAmt,"&gt;-1E+300",dFlt1,critFlt1,dFlt2,critFlt2,dFlt3,critFlt3))</f>
        <v/>
      </c>
      <c r="E2882" t="str">
        <f>IF($B2882="","",SUMIFS(dQty,dCust,$B2882,dPer,"&gt;="&amp;pyFrom,dPer,"&lt;="&amp;pyTo,dQty,"&gt;-1E+300",dFlt1,critFlt1,dFlt2,critFlt2,dFlt3,critFlt3))</f>
        <v/>
      </c>
      <c r="F2882" t="str">
        <f>IF($B2882="","",SUMIFS(dQty,dCust,$B2882,dPer,"&gt;="&amp;cyFrom,dPer,"&lt;="&amp;cyTo,dQty,"&gt;-1E+300",dFlt1,critFlt1,dFlt2,critFlt2,dFlt3,critFlt3))</f>
        <v/>
      </c>
      <c r="G2882">
        <f>IF($B2882="",0,IFERROR(IF(OR(C2882&lt;&gt;0,D2882&lt;&gt;0,E2882&lt;&gt;0,F2882&lt;&gt;0),1,0),1))</f>
        <v>0</v>
      </c>
      <c r="H2882" t="str">
        <f>IF(OR(G2882=0,E2882=0),"",C2882/E2882)</f>
        <v/>
      </c>
      <c r="I2882" t="str">
        <f>IF(OR(G2882=0,F2882=0),"",D2882/F2882)</f>
        <v/>
      </c>
      <c r="J2882" t="str">
        <f>IF(OR(H2882="",I2882=""),"",IF(H2882=0,"",I2882/H2882-1))</f>
        <v/>
      </c>
      <c r="K2882" t="str">
        <f>IF($B2882="","",IFERROR(IF(G2882=0,-2E+300,CHOOSE(sortIdx,ROUND(D2882,0),IF(J2882="",-1E+300,ROUND(-J2882,6)),IF(J2882="",-1E+300,ROUND(J2882,6)))),-1.5E+300))</f>
        <v/>
      </c>
      <c r="L2882" t="str">
        <f>IF(K2882="","",RANK(K2882,$K$2:$K$3001,0)+COUNTIF($K$2:K2882,K2882)-1)</f>
        <v/>
      </c>
    </row>
    <row r="2883">
      <c r="B2883" t="str">
        <f>IFERROR(IF(A2883="","","="&amp;SUBSTITUTE(SUBSTITUTE(SUBSTITUTE(A2883,"~","~~"),"*","~*"),"?","~?")),"")</f>
        <v/>
      </c>
      <c r="C2883" t="str">
        <f>IF($B2883="","",SUMIFS(dAmt,dCust,$B2883,dPer,"&gt;="&amp;pyFrom,dPer,"&lt;="&amp;pyTo,dAmt,"&gt;-1E+300",dFlt1,critFlt1,dFlt2,critFlt2,dFlt3,critFlt3))</f>
        <v/>
      </c>
      <c r="D2883" t="str">
        <f>IF($B2883="","",SUMIFS(dAmt,dCust,$B2883,dPer,"&gt;="&amp;cyFrom,dPer,"&lt;="&amp;cyTo,dAmt,"&gt;-1E+300",dFlt1,critFlt1,dFlt2,critFlt2,dFlt3,critFlt3))</f>
        <v/>
      </c>
      <c r="E2883" t="str">
        <f>IF($B2883="","",SUMIFS(dQty,dCust,$B2883,dPer,"&gt;="&amp;pyFrom,dPer,"&lt;="&amp;pyTo,dQty,"&gt;-1E+300",dFlt1,critFlt1,dFlt2,critFlt2,dFlt3,critFlt3))</f>
        <v/>
      </c>
      <c r="F2883" t="str">
        <f>IF($B2883="","",SUMIFS(dQty,dCust,$B2883,dPer,"&gt;="&amp;cyFrom,dPer,"&lt;="&amp;cyTo,dQty,"&gt;-1E+300",dFlt1,critFlt1,dFlt2,critFlt2,dFlt3,critFlt3))</f>
        <v/>
      </c>
      <c r="G2883">
        <f>IF($B2883="",0,IFERROR(IF(OR(C2883&lt;&gt;0,D2883&lt;&gt;0,E2883&lt;&gt;0,F2883&lt;&gt;0),1,0),1))</f>
        <v>0</v>
      </c>
      <c r="H2883" t="str">
        <f>IF(OR(G2883=0,E2883=0),"",C2883/E2883)</f>
        <v/>
      </c>
      <c r="I2883" t="str">
        <f>IF(OR(G2883=0,F2883=0),"",D2883/F2883)</f>
        <v/>
      </c>
      <c r="J2883" t="str">
        <f>IF(OR(H2883="",I2883=""),"",IF(H2883=0,"",I2883/H2883-1))</f>
        <v/>
      </c>
      <c r="K2883" t="str">
        <f>IF($B2883="","",IFERROR(IF(G2883=0,-2E+300,CHOOSE(sortIdx,ROUND(D2883,0),IF(J2883="",-1E+300,ROUND(-J2883,6)),IF(J2883="",-1E+300,ROUND(J2883,6)))),-1.5E+300))</f>
        <v/>
      </c>
      <c r="L2883" t="str">
        <f>IF(K2883="","",RANK(K2883,$K$2:$K$3001,0)+COUNTIF($K$2:K2883,K2883)-1)</f>
        <v/>
      </c>
    </row>
    <row r="2884">
      <c r="B2884" t="str">
        <f>IFERROR(IF(A2884="","","="&amp;SUBSTITUTE(SUBSTITUTE(SUBSTITUTE(A2884,"~","~~"),"*","~*"),"?","~?")),"")</f>
        <v/>
      </c>
      <c r="C2884" t="str">
        <f>IF($B2884="","",SUMIFS(dAmt,dCust,$B2884,dPer,"&gt;="&amp;pyFrom,dPer,"&lt;="&amp;pyTo,dAmt,"&gt;-1E+300",dFlt1,critFlt1,dFlt2,critFlt2,dFlt3,critFlt3))</f>
        <v/>
      </c>
      <c r="D2884" t="str">
        <f>IF($B2884="","",SUMIFS(dAmt,dCust,$B2884,dPer,"&gt;="&amp;cyFrom,dPer,"&lt;="&amp;cyTo,dAmt,"&gt;-1E+300",dFlt1,critFlt1,dFlt2,critFlt2,dFlt3,critFlt3))</f>
        <v/>
      </c>
      <c r="E2884" t="str">
        <f>IF($B2884="","",SUMIFS(dQty,dCust,$B2884,dPer,"&gt;="&amp;pyFrom,dPer,"&lt;="&amp;pyTo,dQty,"&gt;-1E+300",dFlt1,critFlt1,dFlt2,critFlt2,dFlt3,critFlt3))</f>
        <v/>
      </c>
      <c r="F2884" t="str">
        <f>IF($B2884="","",SUMIFS(dQty,dCust,$B2884,dPer,"&gt;="&amp;cyFrom,dPer,"&lt;="&amp;cyTo,dQty,"&gt;-1E+300",dFlt1,critFlt1,dFlt2,critFlt2,dFlt3,critFlt3))</f>
        <v/>
      </c>
      <c r="G2884">
        <f>IF($B2884="",0,IFERROR(IF(OR(C2884&lt;&gt;0,D2884&lt;&gt;0,E2884&lt;&gt;0,F2884&lt;&gt;0),1,0),1))</f>
        <v>0</v>
      </c>
      <c r="H2884" t="str">
        <f>IF(OR(G2884=0,E2884=0),"",C2884/E2884)</f>
        <v/>
      </c>
      <c r="I2884" t="str">
        <f>IF(OR(G2884=0,F2884=0),"",D2884/F2884)</f>
        <v/>
      </c>
      <c r="J2884" t="str">
        <f>IF(OR(H2884="",I2884=""),"",IF(H2884=0,"",I2884/H2884-1))</f>
        <v/>
      </c>
      <c r="K2884" t="str">
        <f>IF($B2884="","",IFERROR(IF(G2884=0,-2E+300,CHOOSE(sortIdx,ROUND(D2884,0),IF(J2884="",-1E+300,ROUND(-J2884,6)),IF(J2884="",-1E+300,ROUND(J2884,6)))),-1.5E+300))</f>
        <v/>
      </c>
      <c r="L2884" t="str">
        <f>IF(K2884="","",RANK(K2884,$K$2:$K$3001,0)+COUNTIF($K$2:K2884,K2884)-1)</f>
        <v/>
      </c>
    </row>
    <row r="2885">
      <c r="B2885" t="str">
        <f>IFERROR(IF(A2885="","","="&amp;SUBSTITUTE(SUBSTITUTE(SUBSTITUTE(A2885,"~","~~"),"*","~*"),"?","~?")),"")</f>
        <v/>
      </c>
      <c r="C2885" t="str">
        <f>IF($B2885="","",SUMIFS(dAmt,dCust,$B2885,dPer,"&gt;="&amp;pyFrom,dPer,"&lt;="&amp;pyTo,dAmt,"&gt;-1E+300",dFlt1,critFlt1,dFlt2,critFlt2,dFlt3,critFlt3))</f>
        <v/>
      </c>
      <c r="D2885" t="str">
        <f>IF($B2885="","",SUMIFS(dAmt,dCust,$B2885,dPer,"&gt;="&amp;cyFrom,dPer,"&lt;="&amp;cyTo,dAmt,"&gt;-1E+300",dFlt1,critFlt1,dFlt2,critFlt2,dFlt3,critFlt3))</f>
        <v/>
      </c>
      <c r="E2885" t="str">
        <f>IF($B2885="","",SUMIFS(dQty,dCust,$B2885,dPer,"&gt;="&amp;pyFrom,dPer,"&lt;="&amp;pyTo,dQty,"&gt;-1E+300",dFlt1,critFlt1,dFlt2,critFlt2,dFlt3,critFlt3))</f>
        <v/>
      </c>
      <c r="F2885" t="str">
        <f>IF($B2885="","",SUMIFS(dQty,dCust,$B2885,dPer,"&gt;="&amp;cyFrom,dPer,"&lt;="&amp;cyTo,dQty,"&gt;-1E+300",dFlt1,critFlt1,dFlt2,critFlt2,dFlt3,critFlt3))</f>
        <v/>
      </c>
      <c r="G2885">
        <f>IF($B2885="",0,IFERROR(IF(OR(C2885&lt;&gt;0,D2885&lt;&gt;0,E2885&lt;&gt;0,F2885&lt;&gt;0),1,0),1))</f>
        <v>0</v>
      </c>
      <c r="H2885" t="str">
        <f>IF(OR(G2885=0,E2885=0),"",C2885/E2885)</f>
        <v/>
      </c>
      <c r="I2885" t="str">
        <f>IF(OR(G2885=0,F2885=0),"",D2885/F2885)</f>
        <v/>
      </c>
      <c r="J2885" t="str">
        <f>IF(OR(H2885="",I2885=""),"",IF(H2885=0,"",I2885/H2885-1))</f>
        <v/>
      </c>
      <c r="K2885" t="str">
        <f>IF($B2885="","",IFERROR(IF(G2885=0,-2E+300,CHOOSE(sortIdx,ROUND(D2885,0),IF(J2885="",-1E+300,ROUND(-J2885,6)),IF(J2885="",-1E+300,ROUND(J2885,6)))),-1.5E+300))</f>
        <v/>
      </c>
      <c r="L2885" t="str">
        <f>IF(K2885="","",RANK(K2885,$K$2:$K$3001,0)+COUNTIF($K$2:K2885,K2885)-1)</f>
        <v/>
      </c>
    </row>
    <row r="2886">
      <c r="B2886" t="str">
        <f>IFERROR(IF(A2886="","","="&amp;SUBSTITUTE(SUBSTITUTE(SUBSTITUTE(A2886,"~","~~"),"*","~*"),"?","~?")),"")</f>
        <v/>
      </c>
      <c r="C2886" t="str">
        <f>IF($B2886="","",SUMIFS(dAmt,dCust,$B2886,dPer,"&gt;="&amp;pyFrom,dPer,"&lt;="&amp;pyTo,dAmt,"&gt;-1E+300",dFlt1,critFlt1,dFlt2,critFlt2,dFlt3,critFlt3))</f>
        <v/>
      </c>
      <c r="D2886" t="str">
        <f>IF($B2886="","",SUMIFS(dAmt,dCust,$B2886,dPer,"&gt;="&amp;cyFrom,dPer,"&lt;="&amp;cyTo,dAmt,"&gt;-1E+300",dFlt1,critFlt1,dFlt2,critFlt2,dFlt3,critFlt3))</f>
        <v/>
      </c>
      <c r="E2886" t="str">
        <f>IF($B2886="","",SUMIFS(dQty,dCust,$B2886,dPer,"&gt;="&amp;pyFrom,dPer,"&lt;="&amp;pyTo,dQty,"&gt;-1E+300",dFlt1,critFlt1,dFlt2,critFlt2,dFlt3,critFlt3))</f>
        <v/>
      </c>
      <c r="F2886" t="str">
        <f>IF($B2886="","",SUMIFS(dQty,dCust,$B2886,dPer,"&gt;="&amp;cyFrom,dPer,"&lt;="&amp;cyTo,dQty,"&gt;-1E+300",dFlt1,critFlt1,dFlt2,critFlt2,dFlt3,critFlt3))</f>
        <v/>
      </c>
      <c r="G2886">
        <f>IF($B2886="",0,IFERROR(IF(OR(C2886&lt;&gt;0,D2886&lt;&gt;0,E2886&lt;&gt;0,F2886&lt;&gt;0),1,0),1))</f>
        <v>0</v>
      </c>
      <c r="H2886" t="str">
        <f>IF(OR(G2886=0,E2886=0),"",C2886/E2886)</f>
        <v/>
      </c>
      <c r="I2886" t="str">
        <f>IF(OR(G2886=0,F2886=0),"",D2886/F2886)</f>
        <v/>
      </c>
      <c r="J2886" t="str">
        <f>IF(OR(H2886="",I2886=""),"",IF(H2886=0,"",I2886/H2886-1))</f>
        <v/>
      </c>
      <c r="K2886" t="str">
        <f>IF($B2886="","",IFERROR(IF(G2886=0,-2E+300,CHOOSE(sortIdx,ROUND(D2886,0),IF(J2886="",-1E+300,ROUND(-J2886,6)),IF(J2886="",-1E+300,ROUND(J2886,6)))),-1.5E+300))</f>
        <v/>
      </c>
      <c r="L2886" t="str">
        <f>IF(K2886="","",RANK(K2886,$K$2:$K$3001,0)+COUNTIF($K$2:K2886,K2886)-1)</f>
        <v/>
      </c>
    </row>
    <row r="2887">
      <c r="B2887" t="str">
        <f>IFERROR(IF(A2887="","","="&amp;SUBSTITUTE(SUBSTITUTE(SUBSTITUTE(A2887,"~","~~"),"*","~*"),"?","~?")),"")</f>
        <v/>
      </c>
      <c r="C2887" t="str">
        <f>IF($B2887="","",SUMIFS(dAmt,dCust,$B2887,dPer,"&gt;="&amp;pyFrom,dPer,"&lt;="&amp;pyTo,dAmt,"&gt;-1E+300",dFlt1,critFlt1,dFlt2,critFlt2,dFlt3,critFlt3))</f>
        <v/>
      </c>
      <c r="D2887" t="str">
        <f>IF($B2887="","",SUMIFS(dAmt,dCust,$B2887,dPer,"&gt;="&amp;cyFrom,dPer,"&lt;="&amp;cyTo,dAmt,"&gt;-1E+300",dFlt1,critFlt1,dFlt2,critFlt2,dFlt3,critFlt3))</f>
        <v/>
      </c>
      <c r="E2887" t="str">
        <f>IF($B2887="","",SUMIFS(dQty,dCust,$B2887,dPer,"&gt;="&amp;pyFrom,dPer,"&lt;="&amp;pyTo,dQty,"&gt;-1E+300",dFlt1,critFlt1,dFlt2,critFlt2,dFlt3,critFlt3))</f>
        <v/>
      </c>
      <c r="F2887" t="str">
        <f>IF($B2887="","",SUMIFS(dQty,dCust,$B2887,dPer,"&gt;="&amp;cyFrom,dPer,"&lt;="&amp;cyTo,dQty,"&gt;-1E+300",dFlt1,critFlt1,dFlt2,critFlt2,dFlt3,critFlt3))</f>
        <v/>
      </c>
      <c r="G2887">
        <f>IF($B2887="",0,IFERROR(IF(OR(C2887&lt;&gt;0,D2887&lt;&gt;0,E2887&lt;&gt;0,F2887&lt;&gt;0),1,0),1))</f>
        <v>0</v>
      </c>
      <c r="H2887" t="str">
        <f>IF(OR(G2887=0,E2887=0),"",C2887/E2887)</f>
        <v/>
      </c>
      <c r="I2887" t="str">
        <f>IF(OR(G2887=0,F2887=0),"",D2887/F2887)</f>
        <v/>
      </c>
      <c r="J2887" t="str">
        <f>IF(OR(H2887="",I2887=""),"",IF(H2887=0,"",I2887/H2887-1))</f>
        <v/>
      </c>
      <c r="K2887" t="str">
        <f>IF($B2887="","",IFERROR(IF(G2887=0,-2E+300,CHOOSE(sortIdx,ROUND(D2887,0),IF(J2887="",-1E+300,ROUND(-J2887,6)),IF(J2887="",-1E+300,ROUND(J2887,6)))),-1.5E+300))</f>
        <v/>
      </c>
      <c r="L2887" t="str">
        <f>IF(K2887="","",RANK(K2887,$K$2:$K$3001,0)+COUNTIF($K$2:K2887,K2887)-1)</f>
        <v/>
      </c>
    </row>
    <row r="2888">
      <c r="B2888" t="str">
        <f>IFERROR(IF(A2888="","","="&amp;SUBSTITUTE(SUBSTITUTE(SUBSTITUTE(A2888,"~","~~"),"*","~*"),"?","~?")),"")</f>
        <v/>
      </c>
      <c r="C2888" t="str">
        <f>IF($B2888="","",SUMIFS(dAmt,dCust,$B2888,dPer,"&gt;="&amp;pyFrom,dPer,"&lt;="&amp;pyTo,dAmt,"&gt;-1E+300",dFlt1,critFlt1,dFlt2,critFlt2,dFlt3,critFlt3))</f>
        <v/>
      </c>
      <c r="D2888" t="str">
        <f>IF($B2888="","",SUMIFS(dAmt,dCust,$B2888,dPer,"&gt;="&amp;cyFrom,dPer,"&lt;="&amp;cyTo,dAmt,"&gt;-1E+300",dFlt1,critFlt1,dFlt2,critFlt2,dFlt3,critFlt3))</f>
        <v/>
      </c>
      <c r="E2888" t="str">
        <f>IF($B2888="","",SUMIFS(dQty,dCust,$B2888,dPer,"&gt;="&amp;pyFrom,dPer,"&lt;="&amp;pyTo,dQty,"&gt;-1E+300",dFlt1,critFlt1,dFlt2,critFlt2,dFlt3,critFlt3))</f>
        <v/>
      </c>
      <c r="F2888" t="str">
        <f>IF($B2888="","",SUMIFS(dQty,dCust,$B2888,dPer,"&gt;="&amp;cyFrom,dPer,"&lt;="&amp;cyTo,dQty,"&gt;-1E+300",dFlt1,critFlt1,dFlt2,critFlt2,dFlt3,critFlt3))</f>
        <v/>
      </c>
      <c r="G2888">
        <f>IF($B2888="",0,IFERROR(IF(OR(C2888&lt;&gt;0,D2888&lt;&gt;0,E2888&lt;&gt;0,F2888&lt;&gt;0),1,0),1))</f>
        <v>0</v>
      </c>
      <c r="H2888" t="str">
        <f>IF(OR(G2888=0,E2888=0),"",C2888/E2888)</f>
        <v/>
      </c>
      <c r="I2888" t="str">
        <f>IF(OR(G2888=0,F2888=0),"",D2888/F2888)</f>
        <v/>
      </c>
      <c r="J2888" t="str">
        <f>IF(OR(H2888="",I2888=""),"",IF(H2888=0,"",I2888/H2888-1))</f>
        <v/>
      </c>
      <c r="K2888" t="str">
        <f>IF($B2888="","",IFERROR(IF(G2888=0,-2E+300,CHOOSE(sortIdx,ROUND(D2888,0),IF(J2888="",-1E+300,ROUND(-J2888,6)),IF(J2888="",-1E+300,ROUND(J2888,6)))),-1.5E+300))</f>
        <v/>
      </c>
      <c r="L2888" t="str">
        <f>IF(K2888="","",RANK(K2888,$K$2:$K$3001,0)+COUNTIF($K$2:K2888,K2888)-1)</f>
        <v/>
      </c>
    </row>
    <row r="2889">
      <c r="B2889" t="str">
        <f>IFERROR(IF(A2889="","","="&amp;SUBSTITUTE(SUBSTITUTE(SUBSTITUTE(A2889,"~","~~"),"*","~*"),"?","~?")),"")</f>
        <v/>
      </c>
      <c r="C2889" t="str">
        <f>IF($B2889="","",SUMIFS(dAmt,dCust,$B2889,dPer,"&gt;="&amp;pyFrom,dPer,"&lt;="&amp;pyTo,dAmt,"&gt;-1E+300",dFlt1,critFlt1,dFlt2,critFlt2,dFlt3,critFlt3))</f>
        <v/>
      </c>
      <c r="D2889" t="str">
        <f>IF($B2889="","",SUMIFS(dAmt,dCust,$B2889,dPer,"&gt;="&amp;cyFrom,dPer,"&lt;="&amp;cyTo,dAmt,"&gt;-1E+300",dFlt1,critFlt1,dFlt2,critFlt2,dFlt3,critFlt3))</f>
        <v/>
      </c>
      <c r="E2889" t="str">
        <f>IF($B2889="","",SUMIFS(dQty,dCust,$B2889,dPer,"&gt;="&amp;pyFrom,dPer,"&lt;="&amp;pyTo,dQty,"&gt;-1E+300",dFlt1,critFlt1,dFlt2,critFlt2,dFlt3,critFlt3))</f>
        <v/>
      </c>
      <c r="F2889" t="str">
        <f>IF($B2889="","",SUMIFS(dQty,dCust,$B2889,dPer,"&gt;="&amp;cyFrom,dPer,"&lt;="&amp;cyTo,dQty,"&gt;-1E+300",dFlt1,critFlt1,dFlt2,critFlt2,dFlt3,critFlt3))</f>
        <v/>
      </c>
      <c r="G2889">
        <f>IF($B2889="",0,IFERROR(IF(OR(C2889&lt;&gt;0,D2889&lt;&gt;0,E2889&lt;&gt;0,F2889&lt;&gt;0),1,0),1))</f>
        <v>0</v>
      </c>
      <c r="H2889" t="str">
        <f>IF(OR(G2889=0,E2889=0),"",C2889/E2889)</f>
        <v/>
      </c>
      <c r="I2889" t="str">
        <f>IF(OR(G2889=0,F2889=0),"",D2889/F2889)</f>
        <v/>
      </c>
      <c r="J2889" t="str">
        <f>IF(OR(H2889="",I2889=""),"",IF(H2889=0,"",I2889/H2889-1))</f>
        <v/>
      </c>
      <c r="K2889" t="str">
        <f>IF($B2889="","",IFERROR(IF(G2889=0,-2E+300,CHOOSE(sortIdx,ROUND(D2889,0),IF(J2889="",-1E+300,ROUND(-J2889,6)),IF(J2889="",-1E+300,ROUND(J2889,6)))),-1.5E+300))</f>
        <v/>
      </c>
      <c r="L2889" t="str">
        <f>IF(K2889="","",RANK(K2889,$K$2:$K$3001,0)+COUNTIF($K$2:K2889,K2889)-1)</f>
        <v/>
      </c>
    </row>
    <row r="2890">
      <c r="B2890" t="str">
        <f>IFERROR(IF(A2890="","","="&amp;SUBSTITUTE(SUBSTITUTE(SUBSTITUTE(A2890,"~","~~"),"*","~*"),"?","~?")),"")</f>
        <v/>
      </c>
      <c r="C2890" t="str">
        <f>IF($B2890="","",SUMIFS(dAmt,dCust,$B2890,dPer,"&gt;="&amp;pyFrom,dPer,"&lt;="&amp;pyTo,dAmt,"&gt;-1E+300",dFlt1,critFlt1,dFlt2,critFlt2,dFlt3,critFlt3))</f>
        <v/>
      </c>
      <c r="D2890" t="str">
        <f>IF($B2890="","",SUMIFS(dAmt,dCust,$B2890,dPer,"&gt;="&amp;cyFrom,dPer,"&lt;="&amp;cyTo,dAmt,"&gt;-1E+300",dFlt1,critFlt1,dFlt2,critFlt2,dFlt3,critFlt3))</f>
        <v/>
      </c>
      <c r="E2890" t="str">
        <f>IF($B2890="","",SUMIFS(dQty,dCust,$B2890,dPer,"&gt;="&amp;pyFrom,dPer,"&lt;="&amp;pyTo,dQty,"&gt;-1E+300",dFlt1,critFlt1,dFlt2,critFlt2,dFlt3,critFlt3))</f>
        <v/>
      </c>
      <c r="F2890" t="str">
        <f>IF($B2890="","",SUMIFS(dQty,dCust,$B2890,dPer,"&gt;="&amp;cyFrom,dPer,"&lt;="&amp;cyTo,dQty,"&gt;-1E+300",dFlt1,critFlt1,dFlt2,critFlt2,dFlt3,critFlt3))</f>
        <v/>
      </c>
      <c r="G2890">
        <f>IF($B2890="",0,IFERROR(IF(OR(C2890&lt;&gt;0,D2890&lt;&gt;0,E2890&lt;&gt;0,F2890&lt;&gt;0),1,0),1))</f>
        <v>0</v>
      </c>
      <c r="H2890" t="str">
        <f>IF(OR(G2890=0,E2890=0),"",C2890/E2890)</f>
        <v/>
      </c>
      <c r="I2890" t="str">
        <f>IF(OR(G2890=0,F2890=0),"",D2890/F2890)</f>
        <v/>
      </c>
      <c r="J2890" t="str">
        <f>IF(OR(H2890="",I2890=""),"",IF(H2890=0,"",I2890/H2890-1))</f>
        <v/>
      </c>
      <c r="K2890" t="str">
        <f>IF($B2890="","",IFERROR(IF(G2890=0,-2E+300,CHOOSE(sortIdx,ROUND(D2890,0),IF(J2890="",-1E+300,ROUND(-J2890,6)),IF(J2890="",-1E+300,ROUND(J2890,6)))),-1.5E+300))</f>
        <v/>
      </c>
      <c r="L2890" t="str">
        <f>IF(K2890="","",RANK(K2890,$K$2:$K$3001,0)+COUNTIF($K$2:K2890,K2890)-1)</f>
        <v/>
      </c>
    </row>
    <row r="2891">
      <c r="B2891" t="str">
        <f>IFERROR(IF(A2891="","","="&amp;SUBSTITUTE(SUBSTITUTE(SUBSTITUTE(A2891,"~","~~"),"*","~*"),"?","~?")),"")</f>
        <v/>
      </c>
      <c r="C2891" t="str">
        <f>IF($B2891="","",SUMIFS(dAmt,dCust,$B2891,dPer,"&gt;="&amp;pyFrom,dPer,"&lt;="&amp;pyTo,dAmt,"&gt;-1E+300",dFlt1,critFlt1,dFlt2,critFlt2,dFlt3,critFlt3))</f>
        <v/>
      </c>
      <c r="D2891" t="str">
        <f>IF($B2891="","",SUMIFS(dAmt,dCust,$B2891,dPer,"&gt;="&amp;cyFrom,dPer,"&lt;="&amp;cyTo,dAmt,"&gt;-1E+300",dFlt1,critFlt1,dFlt2,critFlt2,dFlt3,critFlt3))</f>
        <v/>
      </c>
      <c r="E2891" t="str">
        <f>IF($B2891="","",SUMIFS(dQty,dCust,$B2891,dPer,"&gt;="&amp;pyFrom,dPer,"&lt;="&amp;pyTo,dQty,"&gt;-1E+300",dFlt1,critFlt1,dFlt2,critFlt2,dFlt3,critFlt3))</f>
        <v/>
      </c>
      <c r="F2891" t="str">
        <f>IF($B2891="","",SUMIFS(dQty,dCust,$B2891,dPer,"&gt;="&amp;cyFrom,dPer,"&lt;="&amp;cyTo,dQty,"&gt;-1E+300",dFlt1,critFlt1,dFlt2,critFlt2,dFlt3,critFlt3))</f>
        <v/>
      </c>
      <c r="G2891">
        <f>IF($B2891="",0,IFERROR(IF(OR(C2891&lt;&gt;0,D2891&lt;&gt;0,E2891&lt;&gt;0,F2891&lt;&gt;0),1,0),1))</f>
        <v>0</v>
      </c>
      <c r="H2891" t="str">
        <f>IF(OR(G2891=0,E2891=0),"",C2891/E2891)</f>
        <v/>
      </c>
      <c r="I2891" t="str">
        <f>IF(OR(G2891=0,F2891=0),"",D2891/F2891)</f>
        <v/>
      </c>
      <c r="J2891" t="str">
        <f>IF(OR(H2891="",I2891=""),"",IF(H2891=0,"",I2891/H2891-1))</f>
        <v/>
      </c>
      <c r="K2891" t="str">
        <f>IF($B2891="","",IFERROR(IF(G2891=0,-2E+300,CHOOSE(sortIdx,ROUND(D2891,0),IF(J2891="",-1E+300,ROUND(-J2891,6)),IF(J2891="",-1E+300,ROUND(J2891,6)))),-1.5E+300))</f>
        <v/>
      </c>
      <c r="L2891" t="str">
        <f>IF(K2891="","",RANK(K2891,$K$2:$K$3001,0)+COUNTIF($K$2:K2891,K2891)-1)</f>
        <v/>
      </c>
    </row>
    <row r="2892">
      <c r="B2892" t="str">
        <f>IFERROR(IF(A2892="","","="&amp;SUBSTITUTE(SUBSTITUTE(SUBSTITUTE(A2892,"~","~~"),"*","~*"),"?","~?")),"")</f>
        <v/>
      </c>
      <c r="C2892" t="str">
        <f>IF($B2892="","",SUMIFS(dAmt,dCust,$B2892,dPer,"&gt;="&amp;pyFrom,dPer,"&lt;="&amp;pyTo,dAmt,"&gt;-1E+300",dFlt1,critFlt1,dFlt2,critFlt2,dFlt3,critFlt3))</f>
        <v/>
      </c>
      <c r="D2892" t="str">
        <f>IF($B2892="","",SUMIFS(dAmt,dCust,$B2892,dPer,"&gt;="&amp;cyFrom,dPer,"&lt;="&amp;cyTo,dAmt,"&gt;-1E+300",dFlt1,critFlt1,dFlt2,critFlt2,dFlt3,critFlt3))</f>
        <v/>
      </c>
      <c r="E2892" t="str">
        <f>IF($B2892="","",SUMIFS(dQty,dCust,$B2892,dPer,"&gt;="&amp;pyFrom,dPer,"&lt;="&amp;pyTo,dQty,"&gt;-1E+300",dFlt1,critFlt1,dFlt2,critFlt2,dFlt3,critFlt3))</f>
        <v/>
      </c>
      <c r="F2892" t="str">
        <f>IF($B2892="","",SUMIFS(dQty,dCust,$B2892,dPer,"&gt;="&amp;cyFrom,dPer,"&lt;="&amp;cyTo,dQty,"&gt;-1E+300",dFlt1,critFlt1,dFlt2,critFlt2,dFlt3,critFlt3))</f>
        <v/>
      </c>
      <c r="G2892">
        <f>IF($B2892="",0,IFERROR(IF(OR(C2892&lt;&gt;0,D2892&lt;&gt;0,E2892&lt;&gt;0,F2892&lt;&gt;0),1,0),1))</f>
        <v>0</v>
      </c>
      <c r="H2892" t="str">
        <f>IF(OR(G2892=0,E2892=0),"",C2892/E2892)</f>
        <v/>
      </c>
      <c r="I2892" t="str">
        <f>IF(OR(G2892=0,F2892=0),"",D2892/F2892)</f>
        <v/>
      </c>
      <c r="J2892" t="str">
        <f>IF(OR(H2892="",I2892=""),"",IF(H2892=0,"",I2892/H2892-1))</f>
        <v/>
      </c>
      <c r="K2892" t="str">
        <f>IF($B2892="","",IFERROR(IF(G2892=0,-2E+300,CHOOSE(sortIdx,ROUND(D2892,0),IF(J2892="",-1E+300,ROUND(-J2892,6)),IF(J2892="",-1E+300,ROUND(J2892,6)))),-1.5E+300))</f>
        <v/>
      </c>
      <c r="L2892" t="str">
        <f>IF(K2892="","",RANK(K2892,$K$2:$K$3001,0)+COUNTIF($K$2:K2892,K2892)-1)</f>
        <v/>
      </c>
    </row>
    <row r="2893">
      <c r="B2893" t="str">
        <f>IFERROR(IF(A2893="","","="&amp;SUBSTITUTE(SUBSTITUTE(SUBSTITUTE(A2893,"~","~~"),"*","~*"),"?","~?")),"")</f>
        <v/>
      </c>
      <c r="C2893" t="str">
        <f>IF($B2893="","",SUMIFS(dAmt,dCust,$B2893,dPer,"&gt;="&amp;pyFrom,dPer,"&lt;="&amp;pyTo,dAmt,"&gt;-1E+300",dFlt1,critFlt1,dFlt2,critFlt2,dFlt3,critFlt3))</f>
        <v/>
      </c>
      <c r="D2893" t="str">
        <f>IF($B2893="","",SUMIFS(dAmt,dCust,$B2893,dPer,"&gt;="&amp;cyFrom,dPer,"&lt;="&amp;cyTo,dAmt,"&gt;-1E+300",dFlt1,critFlt1,dFlt2,critFlt2,dFlt3,critFlt3))</f>
        <v/>
      </c>
      <c r="E2893" t="str">
        <f>IF($B2893="","",SUMIFS(dQty,dCust,$B2893,dPer,"&gt;="&amp;pyFrom,dPer,"&lt;="&amp;pyTo,dQty,"&gt;-1E+300",dFlt1,critFlt1,dFlt2,critFlt2,dFlt3,critFlt3))</f>
        <v/>
      </c>
      <c r="F2893" t="str">
        <f>IF($B2893="","",SUMIFS(dQty,dCust,$B2893,dPer,"&gt;="&amp;cyFrom,dPer,"&lt;="&amp;cyTo,dQty,"&gt;-1E+300",dFlt1,critFlt1,dFlt2,critFlt2,dFlt3,critFlt3))</f>
        <v/>
      </c>
      <c r="G2893">
        <f>IF($B2893="",0,IFERROR(IF(OR(C2893&lt;&gt;0,D2893&lt;&gt;0,E2893&lt;&gt;0,F2893&lt;&gt;0),1,0),1))</f>
        <v>0</v>
      </c>
      <c r="H2893" t="str">
        <f>IF(OR(G2893=0,E2893=0),"",C2893/E2893)</f>
        <v/>
      </c>
      <c r="I2893" t="str">
        <f>IF(OR(G2893=0,F2893=0),"",D2893/F2893)</f>
        <v/>
      </c>
      <c r="J2893" t="str">
        <f>IF(OR(H2893="",I2893=""),"",IF(H2893=0,"",I2893/H2893-1))</f>
        <v/>
      </c>
      <c r="K2893" t="str">
        <f>IF($B2893="","",IFERROR(IF(G2893=0,-2E+300,CHOOSE(sortIdx,ROUND(D2893,0),IF(J2893="",-1E+300,ROUND(-J2893,6)),IF(J2893="",-1E+300,ROUND(J2893,6)))),-1.5E+300))</f>
        <v/>
      </c>
      <c r="L2893" t="str">
        <f>IF(K2893="","",RANK(K2893,$K$2:$K$3001,0)+COUNTIF($K$2:K2893,K2893)-1)</f>
        <v/>
      </c>
    </row>
    <row r="2894">
      <c r="B2894" t="str">
        <f>IFERROR(IF(A2894="","","="&amp;SUBSTITUTE(SUBSTITUTE(SUBSTITUTE(A2894,"~","~~"),"*","~*"),"?","~?")),"")</f>
        <v/>
      </c>
      <c r="C2894" t="str">
        <f>IF($B2894="","",SUMIFS(dAmt,dCust,$B2894,dPer,"&gt;="&amp;pyFrom,dPer,"&lt;="&amp;pyTo,dAmt,"&gt;-1E+300",dFlt1,critFlt1,dFlt2,critFlt2,dFlt3,critFlt3))</f>
        <v/>
      </c>
      <c r="D2894" t="str">
        <f>IF($B2894="","",SUMIFS(dAmt,dCust,$B2894,dPer,"&gt;="&amp;cyFrom,dPer,"&lt;="&amp;cyTo,dAmt,"&gt;-1E+300",dFlt1,critFlt1,dFlt2,critFlt2,dFlt3,critFlt3))</f>
        <v/>
      </c>
      <c r="E2894" t="str">
        <f>IF($B2894="","",SUMIFS(dQty,dCust,$B2894,dPer,"&gt;="&amp;pyFrom,dPer,"&lt;="&amp;pyTo,dQty,"&gt;-1E+300",dFlt1,critFlt1,dFlt2,critFlt2,dFlt3,critFlt3))</f>
        <v/>
      </c>
      <c r="F2894" t="str">
        <f>IF($B2894="","",SUMIFS(dQty,dCust,$B2894,dPer,"&gt;="&amp;cyFrom,dPer,"&lt;="&amp;cyTo,dQty,"&gt;-1E+300",dFlt1,critFlt1,dFlt2,critFlt2,dFlt3,critFlt3))</f>
        <v/>
      </c>
      <c r="G2894">
        <f>IF($B2894="",0,IFERROR(IF(OR(C2894&lt;&gt;0,D2894&lt;&gt;0,E2894&lt;&gt;0,F2894&lt;&gt;0),1,0),1))</f>
        <v>0</v>
      </c>
      <c r="H2894" t="str">
        <f>IF(OR(G2894=0,E2894=0),"",C2894/E2894)</f>
        <v/>
      </c>
      <c r="I2894" t="str">
        <f>IF(OR(G2894=0,F2894=0),"",D2894/F2894)</f>
        <v/>
      </c>
      <c r="J2894" t="str">
        <f>IF(OR(H2894="",I2894=""),"",IF(H2894=0,"",I2894/H2894-1))</f>
        <v/>
      </c>
      <c r="K2894" t="str">
        <f>IF($B2894="","",IFERROR(IF(G2894=0,-2E+300,CHOOSE(sortIdx,ROUND(D2894,0),IF(J2894="",-1E+300,ROUND(-J2894,6)),IF(J2894="",-1E+300,ROUND(J2894,6)))),-1.5E+300))</f>
        <v/>
      </c>
      <c r="L2894" t="str">
        <f>IF(K2894="","",RANK(K2894,$K$2:$K$3001,0)+COUNTIF($K$2:K2894,K2894)-1)</f>
        <v/>
      </c>
    </row>
    <row r="2895">
      <c r="B2895" t="str">
        <f>IFERROR(IF(A2895="","","="&amp;SUBSTITUTE(SUBSTITUTE(SUBSTITUTE(A2895,"~","~~"),"*","~*"),"?","~?")),"")</f>
        <v/>
      </c>
      <c r="C2895" t="str">
        <f>IF($B2895="","",SUMIFS(dAmt,dCust,$B2895,dPer,"&gt;="&amp;pyFrom,dPer,"&lt;="&amp;pyTo,dAmt,"&gt;-1E+300",dFlt1,critFlt1,dFlt2,critFlt2,dFlt3,critFlt3))</f>
        <v/>
      </c>
      <c r="D2895" t="str">
        <f>IF($B2895="","",SUMIFS(dAmt,dCust,$B2895,dPer,"&gt;="&amp;cyFrom,dPer,"&lt;="&amp;cyTo,dAmt,"&gt;-1E+300",dFlt1,critFlt1,dFlt2,critFlt2,dFlt3,critFlt3))</f>
        <v/>
      </c>
      <c r="E2895" t="str">
        <f>IF($B2895="","",SUMIFS(dQty,dCust,$B2895,dPer,"&gt;="&amp;pyFrom,dPer,"&lt;="&amp;pyTo,dQty,"&gt;-1E+300",dFlt1,critFlt1,dFlt2,critFlt2,dFlt3,critFlt3))</f>
        <v/>
      </c>
      <c r="F2895" t="str">
        <f>IF($B2895="","",SUMIFS(dQty,dCust,$B2895,dPer,"&gt;="&amp;cyFrom,dPer,"&lt;="&amp;cyTo,dQty,"&gt;-1E+300",dFlt1,critFlt1,dFlt2,critFlt2,dFlt3,critFlt3))</f>
        <v/>
      </c>
      <c r="G2895">
        <f>IF($B2895="",0,IFERROR(IF(OR(C2895&lt;&gt;0,D2895&lt;&gt;0,E2895&lt;&gt;0,F2895&lt;&gt;0),1,0),1))</f>
        <v>0</v>
      </c>
      <c r="H2895" t="str">
        <f>IF(OR(G2895=0,E2895=0),"",C2895/E2895)</f>
        <v/>
      </c>
      <c r="I2895" t="str">
        <f>IF(OR(G2895=0,F2895=0),"",D2895/F2895)</f>
        <v/>
      </c>
      <c r="J2895" t="str">
        <f>IF(OR(H2895="",I2895=""),"",IF(H2895=0,"",I2895/H2895-1))</f>
        <v/>
      </c>
      <c r="K2895" t="str">
        <f>IF($B2895="","",IFERROR(IF(G2895=0,-2E+300,CHOOSE(sortIdx,ROUND(D2895,0),IF(J2895="",-1E+300,ROUND(-J2895,6)),IF(J2895="",-1E+300,ROUND(J2895,6)))),-1.5E+300))</f>
        <v/>
      </c>
      <c r="L2895" t="str">
        <f>IF(K2895="","",RANK(K2895,$K$2:$K$3001,0)+COUNTIF($K$2:K2895,K2895)-1)</f>
        <v/>
      </c>
    </row>
    <row r="2896">
      <c r="B2896" t="str">
        <f>IFERROR(IF(A2896="","","="&amp;SUBSTITUTE(SUBSTITUTE(SUBSTITUTE(A2896,"~","~~"),"*","~*"),"?","~?")),"")</f>
        <v/>
      </c>
      <c r="C2896" t="str">
        <f>IF($B2896="","",SUMIFS(dAmt,dCust,$B2896,dPer,"&gt;="&amp;pyFrom,dPer,"&lt;="&amp;pyTo,dAmt,"&gt;-1E+300",dFlt1,critFlt1,dFlt2,critFlt2,dFlt3,critFlt3))</f>
        <v/>
      </c>
      <c r="D2896" t="str">
        <f>IF($B2896="","",SUMIFS(dAmt,dCust,$B2896,dPer,"&gt;="&amp;cyFrom,dPer,"&lt;="&amp;cyTo,dAmt,"&gt;-1E+300",dFlt1,critFlt1,dFlt2,critFlt2,dFlt3,critFlt3))</f>
        <v/>
      </c>
      <c r="E2896" t="str">
        <f>IF($B2896="","",SUMIFS(dQty,dCust,$B2896,dPer,"&gt;="&amp;pyFrom,dPer,"&lt;="&amp;pyTo,dQty,"&gt;-1E+300",dFlt1,critFlt1,dFlt2,critFlt2,dFlt3,critFlt3))</f>
        <v/>
      </c>
      <c r="F2896" t="str">
        <f>IF($B2896="","",SUMIFS(dQty,dCust,$B2896,dPer,"&gt;="&amp;cyFrom,dPer,"&lt;="&amp;cyTo,dQty,"&gt;-1E+300",dFlt1,critFlt1,dFlt2,critFlt2,dFlt3,critFlt3))</f>
        <v/>
      </c>
      <c r="G2896">
        <f>IF($B2896="",0,IFERROR(IF(OR(C2896&lt;&gt;0,D2896&lt;&gt;0,E2896&lt;&gt;0,F2896&lt;&gt;0),1,0),1))</f>
        <v>0</v>
      </c>
      <c r="H2896" t="str">
        <f>IF(OR(G2896=0,E2896=0),"",C2896/E2896)</f>
        <v/>
      </c>
      <c r="I2896" t="str">
        <f>IF(OR(G2896=0,F2896=0),"",D2896/F2896)</f>
        <v/>
      </c>
      <c r="J2896" t="str">
        <f>IF(OR(H2896="",I2896=""),"",IF(H2896=0,"",I2896/H2896-1))</f>
        <v/>
      </c>
      <c r="K2896" t="str">
        <f>IF($B2896="","",IFERROR(IF(G2896=0,-2E+300,CHOOSE(sortIdx,ROUND(D2896,0),IF(J2896="",-1E+300,ROUND(-J2896,6)),IF(J2896="",-1E+300,ROUND(J2896,6)))),-1.5E+300))</f>
        <v/>
      </c>
      <c r="L2896" t="str">
        <f>IF(K2896="","",RANK(K2896,$K$2:$K$3001,0)+COUNTIF($K$2:K2896,K2896)-1)</f>
        <v/>
      </c>
    </row>
    <row r="2897">
      <c r="B2897" t="str">
        <f>IFERROR(IF(A2897="","","="&amp;SUBSTITUTE(SUBSTITUTE(SUBSTITUTE(A2897,"~","~~"),"*","~*"),"?","~?")),"")</f>
        <v/>
      </c>
      <c r="C2897" t="str">
        <f>IF($B2897="","",SUMIFS(dAmt,dCust,$B2897,dPer,"&gt;="&amp;pyFrom,dPer,"&lt;="&amp;pyTo,dAmt,"&gt;-1E+300",dFlt1,critFlt1,dFlt2,critFlt2,dFlt3,critFlt3))</f>
        <v/>
      </c>
      <c r="D2897" t="str">
        <f>IF($B2897="","",SUMIFS(dAmt,dCust,$B2897,dPer,"&gt;="&amp;cyFrom,dPer,"&lt;="&amp;cyTo,dAmt,"&gt;-1E+300",dFlt1,critFlt1,dFlt2,critFlt2,dFlt3,critFlt3))</f>
        <v/>
      </c>
      <c r="E2897" t="str">
        <f>IF($B2897="","",SUMIFS(dQty,dCust,$B2897,dPer,"&gt;="&amp;pyFrom,dPer,"&lt;="&amp;pyTo,dQty,"&gt;-1E+300",dFlt1,critFlt1,dFlt2,critFlt2,dFlt3,critFlt3))</f>
        <v/>
      </c>
      <c r="F2897" t="str">
        <f>IF($B2897="","",SUMIFS(dQty,dCust,$B2897,dPer,"&gt;="&amp;cyFrom,dPer,"&lt;="&amp;cyTo,dQty,"&gt;-1E+300",dFlt1,critFlt1,dFlt2,critFlt2,dFlt3,critFlt3))</f>
        <v/>
      </c>
      <c r="G2897">
        <f>IF($B2897="",0,IFERROR(IF(OR(C2897&lt;&gt;0,D2897&lt;&gt;0,E2897&lt;&gt;0,F2897&lt;&gt;0),1,0),1))</f>
        <v>0</v>
      </c>
      <c r="H2897" t="str">
        <f>IF(OR(G2897=0,E2897=0),"",C2897/E2897)</f>
        <v/>
      </c>
      <c r="I2897" t="str">
        <f>IF(OR(G2897=0,F2897=0),"",D2897/F2897)</f>
        <v/>
      </c>
      <c r="J2897" t="str">
        <f>IF(OR(H2897="",I2897=""),"",IF(H2897=0,"",I2897/H2897-1))</f>
        <v/>
      </c>
      <c r="K2897" t="str">
        <f>IF($B2897="","",IFERROR(IF(G2897=0,-2E+300,CHOOSE(sortIdx,ROUND(D2897,0),IF(J2897="",-1E+300,ROUND(-J2897,6)),IF(J2897="",-1E+300,ROUND(J2897,6)))),-1.5E+300))</f>
        <v/>
      </c>
      <c r="L2897" t="str">
        <f>IF(K2897="","",RANK(K2897,$K$2:$K$3001,0)+COUNTIF($K$2:K2897,K2897)-1)</f>
        <v/>
      </c>
    </row>
    <row r="2898">
      <c r="B2898" t="str">
        <f>IFERROR(IF(A2898="","","="&amp;SUBSTITUTE(SUBSTITUTE(SUBSTITUTE(A2898,"~","~~"),"*","~*"),"?","~?")),"")</f>
        <v/>
      </c>
      <c r="C2898" t="str">
        <f>IF($B2898="","",SUMIFS(dAmt,dCust,$B2898,dPer,"&gt;="&amp;pyFrom,dPer,"&lt;="&amp;pyTo,dAmt,"&gt;-1E+300",dFlt1,critFlt1,dFlt2,critFlt2,dFlt3,critFlt3))</f>
        <v/>
      </c>
      <c r="D2898" t="str">
        <f>IF($B2898="","",SUMIFS(dAmt,dCust,$B2898,dPer,"&gt;="&amp;cyFrom,dPer,"&lt;="&amp;cyTo,dAmt,"&gt;-1E+300",dFlt1,critFlt1,dFlt2,critFlt2,dFlt3,critFlt3))</f>
        <v/>
      </c>
      <c r="E2898" t="str">
        <f>IF($B2898="","",SUMIFS(dQty,dCust,$B2898,dPer,"&gt;="&amp;pyFrom,dPer,"&lt;="&amp;pyTo,dQty,"&gt;-1E+300",dFlt1,critFlt1,dFlt2,critFlt2,dFlt3,critFlt3))</f>
        <v/>
      </c>
      <c r="F2898" t="str">
        <f>IF($B2898="","",SUMIFS(dQty,dCust,$B2898,dPer,"&gt;="&amp;cyFrom,dPer,"&lt;="&amp;cyTo,dQty,"&gt;-1E+300",dFlt1,critFlt1,dFlt2,critFlt2,dFlt3,critFlt3))</f>
        <v/>
      </c>
      <c r="G2898">
        <f>IF($B2898="",0,IFERROR(IF(OR(C2898&lt;&gt;0,D2898&lt;&gt;0,E2898&lt;&gt;0,F2898&lt;&gt;0),1,0),1))</f>
        <v>0</v>
      </c>
      <c r="H2898" t="str">
        <f>IF(OR(G2898=0,E2898=0),"",C2898/E2898)</f>
        <v/>
      </c>
      <c r="I2898" t="str">
        <f>IF(OR(G2898=0,F2898=0),"",D2898/F2898)</f>
        <v/>
      </c>
      <c r="J2898" t="str">
        <f>IF(OR(H2898="",I2898=""),"",IF(H2898=0,"",I2898/H2898-1))</f>
        <v/>
      </c>
      <c r="K2898" t="str">
        <f>IF($B2898="","",IFERROR(IF(G2898=0,-2E+300,CHOOSE(sortIdx,ROUND(D2898,0),IF(J2898="",-1E+300,ROUND(-J2898,6)),IF(J2898="",-1E+300,ROUND(J2898,6)))),-1.5E+300))</f>
        <v/>
      </c>
      <c r="L2898" t="str">
        <f>IF(K2898="","",RANK(K2898,$K$2:$K$3001,0)+COUNTIF($K$2:K2898,K2898)-1)</f>
        <v/>
      </c>
    </row>
    <row r="2899">
      <c r="B2899" t="str">
        <f>IFERROR(IF(A2899="","","="&amp;SUBSTITUTE(SUBSTITUTE(SUBSTITUTE(A2899,"~","~~"),"*","~*"),"?","~?")),"")</f>
        <v/>
      </c>
      <c r="C2899" t="str">
        <f>IF($B2899="","",SUMIFS(dAmt,dCust,$B2899,dPer,"&gt;="&amp;pyFrom,dPer,"&lt;="&amp;pyTo,dAmt,"&gt;-1E+300",dFlt1,critFlt1,dFlt2,critFlt2,dFlt3,critFlt3))</f>
        <v/>
      </c>
      <c r="D2899" t="str">
        <f>IF($B2899="","",SUMIFS(dAmt,dCust,$B2899,dPer,"&gt;="&amp;cyFrom,dPer,"&lt;="&amp;cyTo,dAmt,"&gt;-1E+300",dFlt1,critFlt1,dFlt2,critFlt2,dFlt3,critFlt3))</f>
        <v/>
      </c>
      <c r="E2899" t="str">
        <f>IF($B2899="","",SUMIFS(dQty,dCust,$B2899,dPer,"&gt;="&amp;pyFrom,dPer,"&lt;="&amp;pyTo,dQty,"&gt;-1E+300",dFlt1,critFlt1,dFlt2,critFlt2,dFlt3,critFlt3))</f>
        <v/>
      </c>
      <c r="F2899" t="str">
        <f>IF($B2899="","",SUMIFS(dQty,dCust,$B2899,dPer,"&gt;="&amp;cyFrom,dPer,"&lt;="&amp;cyTo,dQty,"&gt;-1E+300",dFlt1,critFlt1,dFlt2,critFlt2,dFlt3,critFlt3))</f>
        <v/>
      </c>
      <c r="G2899">
        <f>IF($B2899="",0,IFERROR(IF(OR(C2899&lt;&gt;0,D2899&lt;&gt;0,E2899&lt;&gt;0,F2899&lt;&gt;0),1,0),1))</f>
        <v>0</v>
      </c>
      <c r="H2899" t="str">
        <f>IF(OR(G2899=0,E2899=0),"",C2899/E2899)</f>
        <v/>
      </c>
      <c r="I2899" t="str">
        <f>IF(OR(G2899=0,F2899=0),"",D2899/F2899)</f>
        <v/>
      </c>
      <c r="J2899" t="str">
        <f>IF(OR(H2899="",I2899=""),"",IF(H2899=0,"",I2899/H2899-1))</f>
        <v/>
      </c>
      <c r="K2899" t="str">
        <f>IF($B2899="","",IFERROR(IF(G2899=0,-2E+300,CHOOSE(sortIdx,ROUND(D2899,0),IF(J2899="",-1E+300,ROUND(-J2899,6)),IF(J2899="",-1E+300,ROUND(J2899,6)))),-1.5E+300))</f>
        <v/>
      </c>
      <c r="L2899" t="str">
        <f>IF(K2899="","",RANK(K2899,$K$2:$K$3001,0)+COUNTIF($K$2:K2899,K2899)-1)</f>
        <v/>
      </c>
    </row>
    <row r="2900">
      <c r="B2900" t="str">
        <f>IFERROR(IF(A2900="","","="&amp;SUBSTITUTE(SUBSTITUTE(SUBSTITUTE(A2900,"~","~~"),"*","~*"),"?","~?")),"")</f>
        <v/>
      </c>
      <c r="C2900" t="str">
        <f>IF($B2900="","",SUMIFS(dAmt,dCust,$B2900,dPer,"&gt;="&amp;pyFrom,dPer,"&lt;="&amp;pyTo,dAmt,"&gt;-1E+300",dFlt1,critFlt1,dFlt2,critFlt2,dFlt3,critFlt3))</f>
        <v/>
      </c>
      <c r="D2900" t="str">
        <f>IF($B2900="","",SUMIFS(dAmt,dCust,$B2900,dPer,"&gt;="&amp;cyFrom,dPer,"&lt;="&amp;cyTo,dAmt,"&gt;-1E+300",dFlt1,critFlt1,dFlt2,critFlt2,dFlt3,critFlt3))</f>
        <v/>
      </c>
      <c r="E2900" t="str">
        <f>IF($B2900="","",SUMIFS(dQty,dCust,$B2900,dPer,"&gt;="&amp;pyFrom,dPer,"&lt;="&amp;pyTo,dQty,"&gt;-1E+300",dFlt1,critFlt1,dFlt2,critFlt2,dFlt3,critFlt3))</f>
        <v/>
      </c>
      <c r="F2900" t="str">
        <f>IF($B2900="","",SUMIFS(dQty,dCust,$B2900,dPer,"&gt;="&amp;cyFrom,dPer,"&lt;="&amp;cyTo,dQty,"&gt;-1E+300",dFlt1,critFlt1,dFlt2,critFlt2,dFlt3,critFlt3))</f>
        <v/>
      </c>
      <c r="G2900">
        <f>IF($B2900="",0,IFERROR(IF(OR(C2900&lt;&gt;0,D2900&lt;&gt;0,E2900&lt;&gt;0,F2900&lt;&gt;0),1,0),1))</f>
        <v>0</v>
      </c>
      <c r="H2900" t="str">
        <f>IF(OR(G2900=0,E2900=0),"",C2900/E2900)</f>
        <v/>
      </c>
      <c r="I2900" t="str">
        <f>IF(OR(G2900=0,F2900=0),"",D2900/F2900)</f>
        <v/>
      </c>
      <c r="J2900" t="str">
        <f>IF(OR(H2900="",I2900=""),"",IF(H2900=0,"",I2900/H2900-1))</f>
        <v/>
      </c>
      <c r="K2900" t="str">
        <f>IF($B2900="","",IFERROR(IF(G2900=0,-2E+300,CHOOSE(sortIdx,ROUND(D2900,0),IF(J2900="",-1E+300,ROUND(-J2900,6)),IF(J2900="",-1E+300,ROUND(J2900,6)))),-1.5E+300))</f>
        <v/>
      </c>
      <c r="L2900" t="str">
        <f>IF(K2900="","",RANK(K2900,$K$2:$K$3001,0)+COUNTIF($K$2:K2900,K2900)-1)</f>
        <v/>
      </c>
    </row>
    <row r="2901">
      <c r="B2901" t="str">
        <f>IFERROR(IF(A2901="","","="&amp;SUBSTITUTE(SUBSTITUTE(SUBSTITUTE(A2901,"~","~~"),"*","~*"),"?","~?")),"")</f>
        <v/>
      </c>
      <c r="C2901" t="str">
        <f>IF($B2901="","",SUMIFS(dAmt,dCust,$B2901,dPer,"&gt;="&amp;pyFrom,dPer,"&lt;="&amp;pyTo,dAmt,"&gt;-1E+300",dFlt1,critFlt1,dFlt2,critFlt2,dFlt3,critFlt3))</f>
        <v/>
      </c>
      <c r="D2901" t="str">
        <f>IF($B2901="","",SUMIFS(dAmt,dCust,$B2901,dPer,"&gt;="&amp;cyFrom,dPer,"&lt;="&amp;cyTo,dAmt,"&gt;-1E+300",dFlt1,critFlt1,dFlt2,critFlt2,dFlt3,critFlt3))</f>
        <v/>
      </c>
      <c r="E2901" t="str">
        <f>IF($B2901="","",SUMIFS(dQty,dCust,$B2901,dPer,"&gt;="&amp;pyFrom,dPer,"&lt;="&amp;pyTo,dQty,"&gt;-1E+300",dFlt1,critFlt1,dFlt2,critFlt2,dFlt3,critFlt3))</f>
        <v/>
      </c>
      <c r="F2901" t="str">
        <f>IF($B2901="","",SUMIFS(dQty,dCust,$B2901,dPer,"&gt;="&amp;cyFrom,dPer,"&lt;="&amp;cyTo,dQty,"&gt;-1E+300",dFlt1,critFlt1,dFlt2,critFlt2,dFlt3,critFlt3))</f>
        <v/>
      </c>
      <c r="G2901">
        <f>IF($B2901="",0,IFERROR(IF(OR(C2901&lt;&gt;0,D2901&lt;&gt;0,E2901&lt;&gt;0,F2901&lt;&gt;0),1,0),1))</f>
        <v>0</v>
      </c>
      <c r="H2901" t="str">
        <f>IF(OR(G2901=0,E2901=0),"",C2901/E2901)</f>
        <v/>
      </c>
      <c r="I2901" t="str">
        <f>IF(OR(G2901=0,F2901=0),"",D2901/F2901)</f>
        <v/>
      </c>
      <c r="J2901" t="str">
        <f>IF(OR(H2901="",I2901=""),"",IF(H2901=0,"",I2901/H2901-1))</f>
        <v/>
      </c>
      <c r="K2901" t="str">
        <f>IF($B2901="","",IFERROR(IF(G2901=0,-2E+300,CHOOSE(sortIdx,ROUND(D2901,0),IF(J2901="",-1E+300,ROUND(-J2901,6)),IF(J2901="",-1E+300,ROUND(J2901,6)))),-1.5E+300))</f>
        <v/>
      </c>
      <c r="L2901" t="str">
        <f>IF(K2901="","",RANK(K2901,$K$2:$K$3001,0)+COUNTIF($K$2:K2901,K2901)-1)</f>
        <v/>
      </c>
    </row>
    <row r="2902">
      <c r="B2902" t="str">
        <f>IFERROR(IF(A2902="","","="&amp;SUBSTITUTE(SUBSTITUTE(SUBSTITUTE(A2902,"~","~~"),"*","~*"),"?","~?")),"")</f>
        <v/>
      </c>
      <c r="C2902" t="str">
        <f>IF($B2902="","",SUMIFS(dAmt,dCust,$B2902,dPer,"&gt;="&amp;pyFrom,dPer,"&lt;="&amp;pyTo,dAmt,"&gt;-1E+300",dFlt1,critFlt1,dFlt2,critFlt2,dFlt3,critFlt3))</f>
        <v/>
      </c>
      <c r="D2902" t="str">
        <f>IF($B2902="","",SUMIFS(dAmt,dCust,$B2902,dPer,"&gt;="&amp;cyFrom,dPer,"&lt;="&amp;cyTo,dAmt,"&gt;-1E+300",dFlt1,critFlt1,dFlt2,critFlt2,dFlt3,critFlt3))</f>
        <v/>
      </c>
      <c r="E2902" t="str">
        <f>IF($B2902="","",SUMIFS(dQty,dCust,$B2902,dPer,"&gt;="&amp;pyFrom,dPer,"&lt;="&amp;pyTo,dQty,"&gt;-1E+300",dFlt1,critFlt1,dFlt2,critFlt2,dFlt3,critFlt3))</f>
        <v/>
      </c>
      <c r="F2902" t="str">
        <f>IF($B2902="","",SUMIFS(dQty,dCust,$B2902,dPer,"&gt;="&amp;cyFrom,dPer,"&lt;="&amp;cyTo,dQty,"&gt;-1E+300",dFlt1,critFlt1,dFlt2,critFlt2,dFlt3,critFlt3))</f>
        <v/>
      </c>
      <c r="G2902">
        <f>IF($B2902="",0,IFERROR(IF(OR(C2902&lt;&gt;0,D2902&lt;&gt;0,E2902&lt;&gt;0,F2902&lt;&gt;0),1,0),1))</f>
        <v>0</v>
      </c>
      <c r="H2902" t="str">
        <f>IF(OR(G2902=0,E2902=0),"",C2902/E2902)</f>
        <v/>
      </c>
      <c r="I2902" t="str">
        <f>IF(OR(G2902=0,F2902=0),"",D2902/F2902)</f>
        <v/>
      </c>
      <c r="J2902" t="str">
        <f>IF(OR(H2902="",I2902=""),"",IF(H2902=0,"",I2902/H2902-1))</f>
        <v/>
      </c>
      <c r="K2902" t="str">
        <f>IF($B2902="","",IFERROR(IF(G2902=0,-2E+300,CHOOSE(sortIdx,ROUND(D2902,0),IF(J2902="",-1E+300,ROUND(-J2902,6)),IF(J2902="",-1E+300,ROUND(J2902,6)))),-1.5E+300))</f>
        <v/>
      </c>
      <c r="L2902" t="str">
        <f>IF(K2902="","",RANK(K2902,$K$2:$K$3001,0)+COUNTIF($K$2:K2902,K2902)-1)</f>
        <v/>
      </c>
    </row>
    <row r="2903">
      <c r="B2903" t="str">
        <f>IFERROR(IF(A2903="","","="&amp;SUBSTITUTE(SUBSTITUTE(SUBSTITUTE(A2903,"~","~~"),"*","~*"),"?","~?")),"")</f>
        <v/>
      </c>
      <c r="C2903" t="str">
        <f>IF($B2903="","",SUMIFS(dAmt,dCust,$B2903,dPer,"&gt;="&amp;pyFrom,dPer,"&lt;="&amp;pyTo,dAmt,"&gt;-1E+300",dFlt1,critFlt1,dFlt2,critFlt2,dFlt3,critFlt3))</f>
        <v/>
      </c>
      <c r="D2903" t="str">
        <f>IF($B2903="","",SUMIFS(dAmt,dCust,$B2903,dPer,"&gt;="&amp;cyFrom,dPer,"&lt;="&amp;cyTo,dAmt,"&gt;-1E+300",dFlt1,critFlt1,dFlt2,critFlt2,dFlt3,critFlt3))</f>
        <v/>
      </c>
      <c r="E2903" t="str">
        <f>IF($B2903="","",SUMIFS(dQty,dCust,$B2903,dPer,"&gt;="&amp;pyFrom,dPer,"&lt;="&amp;pyTo,dQty,"&gt;-1E+300",dFlt1,critFlt1,dFlt2,critFlt2,dFlt3,critFlt3))</f>
        <v/>
      </c>
      <c r="F2903" t="str">
        <f>IF($B2903="","",SUMIFS(dQty,dCust,$B2903,dPer,"&gt;="&amp;cyFrom,dPer,"&lt;="&amp;cyTo,dQty,"&gt;-1E+300",dFlt1,critFlt1,dFlt2,critFlt2,dFlt3,critFlt3))</f>
        <v/>
      </c>
      <c r="G2903">
        <f>IF($B2903="",0,IFERROR(IF(OR(C2903&lt;&gt;0,D2903&lt;&gt;0,E2903&lt;&gt;0,F2903&lt;&gt;0),1,0),1))</f>
        <v>0</v>
      </c>
      <c r="H2903" t="str">
        <f>IF(OR(G2903=0,E2903=0),"",C2903/E2903)</f>
        <v/>
      </c>
      <c r="I2903" t="str">
        <f>IF(OR(G2903=0,F2903=0),"",D2903/F2903)</f>
        <v/>
      </c>
      <c r="J2903" t="str">
        <f>IF(OR(H2903="",I2903=""),"",IF(H2903=0,"",I2903/H2903-1))</f>
        <v/>
      </c>
      <c r="K2903" t="str">
        <f>IF($B2903="","",IFERROR(IF(G2903=0,-2E+300,CHOOSE(sortIdx,ROUND(D2903,0),IF(J2903="",-1E+300,ROUND(-J2903,6)),IF(J2903="",-1E+300,ROUND(J2903,6)))),-1.5E+300))</f>
        <v/>
      </c>
      <c r="L2903" t="str">
        <f>IF(K2903="","",RANK(K2903,$K$2:$K$3001,0)+COUNTIF($K$2:K2903,K2903)-1)</f>
        <v/>
      </c>
    </row>
    <row r="2904">
      <c r="B2904" t="str">
        <f>IFERROR(IF(A2904="","","="&amp;SUBSTITUTE(SUBSTITUTE(SUBSTITUTE(A2904,"~","~~"),"*","~*"),"?","~?")),"")</f>
        <v/>
      </c>
      <c r="C2904" t="str">
        <f>IF($B2904="","",SUMIFS(dAmt,dCust,$B2904,dPer,"&gt;="&amp;pyFrom,dPer,"&lt;="&amp;pyTo,dAmt,"&gt;-1E+300",dFlt1,critFlt1,dFlt2,critFlt2,dFlt3,critFlt3))</f>
        <v/>
      </c>
      <c r="D2904" t="str">
        <f>IF($B2904="","",SUMIFS(dAmt,dCust,$B2904,dPer,"&gt;="&amp;cyFrom,dPer,"&lt;="&amp;cyTo,dAmt,"&gt;-1E+300",dFlt1,critFlt1,dFlt2,critFlt2,dFlt3,critFlt3))</f>
        <v/>
      </c>
      <c r="E2904" t="str">
        <f>IF($B2904="","",SUMIFS(dQty,dCust,$B2904,dPer,"&gt;="&amp;pyFrom,dPer,"&lt;="&amp;pyTo,dQty,"&gt;-1E+300",dFlt1,critFlt1,dFlt2,critFlt2,dFlt3,critFlt3))</f>
        <v/>
      </c>
      <c r="F2904" t="str">
        <f>IF($B2904="","",SUMIFS(dQty,dCust,$B2904,dPer,"&gt;="&amp;cyFrom,dPer,"&lt;="&amp;cyTo,dQty,"&gt;-1E+300",dFlt1,critFlt1,dFlt2,critFlt2,dFlt3,critFlt3))</f>
        <v/>
      </c>
      <c r="G2904">
        <f>IF($B2904="",0,IFERROR(IF(OR(C2904&lt;&gt;0,D2904&lt;&gt;0,E2904&lt;&gt;0,F2904&lt;&gt;0),1,0),1))</f>
        <v>0</v>
      </c>
      <c r="H2904" t="str">
        <f>IF(OR(G2904=0,E2904=0),"",C2904/E2904)</f>
        <v/>
      </c>
      <c r="I2904" t="str">
        <f>IF(OR(G2904=0,F2904=0),"",D2904/F2904)</f>
        <v/>
      </c>
      <c r="J2904" t="str">
        <f>IF(OR(H2904="",I2904=""),"",IF(H2904=0,"",I2904/H2904-1))</f>
        <v/>
      </c>
      <c r="K2904" t="str">
        <f>IF($B2904="","",IFERROR(IF(G2904=0,-2E+300,CHOOSE(sortIdx,ROUND(D2904,0),IF(J2904="",-1E+300,ROUND(-J2904,6)),IF(J2904="",-1E+300,ROUND(J2904,6)))),-1.5E+300))</f>
        <v/>
      </c>
      <c r="L2904" t="str">
        <f>IF(K2904="","",RANK(K2904,$K$2:$K$3001,0)+COUNTIF($K$2:K2904,K2904)-1)</f>
        <v/>
      </c>
    </row>
    <row r="2905">
      <c r="B2905" t="str">
        <f>IFERROR(IF(A2905="","","="&amp;SUBSTITUTE(SUBSTITUTE(SUBSTITUTE(A2905,"~","~~"),"*","~*"),"?","~?")),"")</f>
        <v/>
      </c>
      <c r="C2905" t="str">
        <f>IF($B2905="","",SUMIFS(dAmt,dCust,$B2905,dPer,"&gt;="&amp;pyFrom,dPer,"&lt;="&amp;pyTo,dAmt,"&gt;-1E+300",dFlt1,critFlt1,dFlt2,critFlt2,dFlt3,critFlt3))</f>
        <v/>
      </c>
      <c r="D2905" t="str">
        <f>IF($B2905="","",SUMIFS(dAmt,dCust,$B2905,dPer,"&gt;="&amp;cyFrom,dPer,"&lt;="&amp;cyTo,dAmt,"&gt;-1E+300",dFlt1,critFlt1,dFlt2,critFlt2,dFlt3,critFlt3))</f>
        <v/>
      </c>
      <c r="E2905" t="str">
        <f>IF($B2905="","",SUMIFS(dQty,dCust,$B2905,dPer,"&gt;="&amp;pyFrom,dPer,"&lt;="&amp;pyTo,dQty,"&gt;-1E+300",dFlt1,critFlt1,dFlt2,critFlt2,dFlt3,critFlt3))</f>
        <v/>
      </c>
      <c r="F2905" t="str">
        <f>IF($B2905="","",SUMIFS(dQty,dCust,$B2905,dPer,"&gt;="&amp;cyFrom,dPer,"&lt;="&amp;cyTo,dQty,"&gt;-1E+300",dFlt1,critFlt1,dFlt2,critFlt2,dFlt3,critFlt3))</f>
        <v/>
      </c>
      <c r="G2905">
        <f>IF($B2905="",0,IFERROR(IF(OR(C2905&lt;&gt;0,D2905&lt;&gt;0,E2905&lt;&gt;0,F2905&lt;&gt;0),1,0),1))</f>
        <v>0</v>
      </c>
      <c r="H2905" t="str">
        <f>IF(OR(G2905=0,E2905=0),"",C2905/E2905)</f>
        <v/>
      </c>
      <c r="I2905" t="str">
        <f>IF(OR(G2905=0,F2905=0),"",D2905/F2905)</f>
        <v/>
      </c>
      <c r="J2905" t="str">
        <f>IF(OR(H2905="",I2905=""),"",IF(H2905=0,"",I2905/H2905-1))</f>
        <v/>
      </c>
      <c r="K2905" t="str">
        <f>IF($B2905="","",IFERROR(IF(G2905=0,-2E+300,CHOOSE(sortIdx,ROUND(D2905,0),IF(J2905="",-1E+300,ROUND(-J2905,6)),IF(J2905="",-1E+300,ROUND(J2905,6)))),-1.5E+300))</f>
        <v/>
      </c>
      <c r="L2905" t="str">
        <f>IF(K2905="","",RANK(K2905,$K$2:$K$3001,0)+COUNTIF($K$2:K2905,K2905)-1)</f>
        <v/>
      </c>
    </row>
    <row r="2906">
      <c r="B2906" t="str">
        <f>IFERROR(IF(A2906="","","="&amp;SUBSTITUTE(SUBSTITUTE(SUBSTITUTE(A2906,"~","~~"),"*","~*"),"?","~?")),"")</f>
        <v/>
      </c>
      <c r="C2906" t="str">
        <f>IF($B2906="","",SUMIFS(dAmt,dCust,$B2906,dPer,"&gt;="&amp;pyFrom,dPer,"&lt;="&amp;pyTo,dAmt,"&gt;-1E+300",dFlt1,critFlt1,dFlt2,critFlt2,dFlt3,critFlt3))</f>
        <v/>
      </c>
      <c r="D2906" t="str">
        <f>IF($B2906="","",SUMIFS(dAmt,dCust,$B2906,dPer,"&gt;="&amp;cyFrom,dPer,"&lt;="&amp;cyTo,dAmt,"&gt;-1E+300",dFlt1,critFlt1,dFlt2,critFlt2,dFlt3,critFlt3))</f>
        <v/>
      </c>
      <c r="E2906" t="str">
        <f>IF($B2906="","",SUMIFS(dQty,dCust,$B2906,dPer,"&gt;="&amp;pyFrom,dPer,"&lt;="&amp;pyTo,dQty,"&gt;-1E+300",dFlt1,critFlt1,dFlt2,critFlt2,dFlt3,critFlt3))</f>
        <v/>
      </c>
      <c r="F2906" t="str">
        <f>IF($B2906="","",SUMIFS(dQty,dCust,$B2906,dPer,"&gt;="&amp;cyFrom,dPer,"&lt;="&amp;cyTo,dQty,"&gt;-1E+300",dFlt1,critFlt1,dFlt2,critFlt2,dFlt3,critFlt3))</f>
        <v/>
      </c>
      <c r="G2906">
        <f>IF($B2906="",0,IFERROR(IF(OR(C2906&lt;&gt;0,D2906&lt;&gt;0,E2906&lt;&gt;0,F2906&lt;&gt;0),1,0),1))</f>
        <v>0</v>
      </c>
      <c r="H2906" t="str">
        <f>IF(OR(G2906=0,E2906=0),"",C2906/E2906)</f>
        <v/>
      </c>
      <c r="I2906" t="str">
        <f>IF(OR(G2906=0,F2906=0),"",D2906/F2906)</f>
        <v/>
      </c>
      <c r="J2906" t="str">
        <f>IF(OR(H2906="",I2906=""),"",IF(H2906=0,"",I2906/H2906-1))</f>
        <v/>
      </c>
      <c r="K2906" t="str">
        <f>IF($B2906="","",IFERROR(IF(G2906=0,-2E+300,CHOOSE(sortIdx,ROUND(D2906,0),IF(J2906="",-1E+300,ROUND(-J2906,6)),IF(J2906="",-1E+300,ROUND(J2906,6)))),-1.5E+300))</f>
        <v/>
      </c>
      <c r="L2906" t="str">
        <f>IF(K2906="","",RANK(K2906,$K$2:$K$3001,0)+COUNTIF($K$2:K2906,K2906)-1)</f>
        <v/>
      </c>
    </row>
    <row r="2907">
      <c r="B2907" t="str">
        <f>IFERROR(IF(A2907="","","="&amp;SUBSTITUTE(SUBSTITUTE(SUBSTITUTE(A2907,"~","~~"),"*","~*"),"?","~?")),"")</f>
        <v/>
      </c>
      <c r="C2907" t="str">
        <f>IF($B2907="","",SUMIFS(dAmt,dCust,$B2907,dPer,"&gt;="&amp;pyFrom,dPer,"&lt;="&amp;pyTo,dAmt,"&gt;-1E+300",dFlt1,critFlt1,dFlt2,critFlt2,dFlt3,critFlt3))</f>
        <v/>
      </c>
      <c r="D2907" t="str">
        <f>IF($B2907="","",SUMIFS(dAmt,dCust,$B2907,dPer,"&gt;="&amp;cyFrom,dPer,"&lt;="&amp;cyTo,dAmt,"&gt;-1E+300",dFlt1,critFlt1,dFlt2,critFlt2,dFlt3,critFlt3))</f>
        <v/>
      </c>
      <c r="E2907" t="str">
        <f>IF($B2907="","",SUMIFS(dQty,dCust,$B2907,dPer,"&gt;="&amp;pyFrom,dPer,"&lt;="&amp;pyTo,dQty,"&gt;-1E+300",dFlt1,critFlt1,dFlt2,critFlt2,dFlt3,critFlt3))</f>
        <v/>
      </c>
      <c r="F2907" t="str">
        <f>IF($B2907="","",SUMIFS(dQty,dCust,$B2907,dPer,"&gt;="&amp;cyFrom,dPer,"&lt;="&amp;cyTo,dQty,"&gt;-1E+300",dFlt1,critFlt1,dFlt2,critFlt2,dFlt3,critFlt3))</f>
        <v/>
      </c>
      <c r="G2907">
        <f>IF($B2907="",0,IFERROR(IF(OR(C2907&lt;&gt;0,D2907&lt;&gt;0,E2907&lt;&gt;0,F2907&lt;&gt;0),1,0),1))</f>
        <v>0</v>
      </c>
      <c r="H2907" t="str">
        <f>IF(OR(G2907=0,E2907=0),"",C2907/E2907)</f>
        <v/>
      </c>
      <c r="I2907" t="str">
        <f>IF(OR(G2907=0,F2907=0),"",D2907/F2907)</f>
        <v/>
      </c>
      <c r="J2907" t="str">
        <f>IF(OR(H2907="",I2907=""),"",IF(H2907=0,"",I2907/H2907-1))</f>
        <v/>
      </c>
      <c r="K2907" t="str">
        <f>IF($B2907="","",IFERROR(IF(G2907=0,-2E+300,CHOOSE(sortIdx,ROUND(D2907,0),IF(J2907="",-1E+300,ROUND(-J2907,6)),IF(J2907="",-1E+300,ROUND(J2907,6)))),-1.5E+300))</f>
        <v/>
      </c>
      <c r="L2907" t="str">
        <f>IF(K2907="","",RANK(K2907,$K$2:$K$3001,0)+COUNTIF($K$2:K2907,K2907)-1)</f>
        <v/>
      </c>
    </row>
    <row r="2908">
      <c r="B2908" t="str">
        <f>IFERROR(IF(A2908="","","="&amp;SUBSTITUTE(SUBSTITUTE(SUBSTITUTE(A2908,"~","~~"),"*","~*"),"?","~?")),"")</f>
        <v/>
      </c>
      <c r="C2908" t="str">
        <f>IF($B2908="","",SUMIFS(dAmt,dCust,$B2908,dPer,"&gt;="&amp;pyFrom,dPer,"&lt;="&amp;pyTo,dAmt,"&gt;-1E+300",dFlt1,critFlt1,dFlt2,critFlt2,dFlt3,critFlt3))</f>
        <v/>
      </c>
      <c r="D2908" t="str">
        <f>IF($B2908="","",SUMIFS(dAmt,dCust,$B2908,dPer,"&gt;="&amp;cyFrom,dPer,"&lt;="&amp;cyTo,dAmt,"&gt;-1E+300",dFlt1,critFlt1,dFlt2,critFlt2,dFlt3,critFlt3))</f>
        <v/>
      </c>
      <c r="E2908" t="str">
        <f>IF($B2908="","",SUMIFS(dQty,dCust,$B2908,dPer,"&gt;="&amp;pyFrom,dPer,"&lt;="&amp;pyTo,dQty,"&gt;-1E+300",dFlt1,critFlt1,dFlt2,critFlt2,dFlt3,critFlt3))</f>
        <v/>
      </c>
      <c r="F2908" t="str">
        <f>IF($B2908="","",SUMIFS(dQty,dCust,$B2908,dPer,"&gt;="&amp;cyFrom,dPer,"&lt;="&amp;cyTo,dQty,"&gt;-1E+300",dFlt1,critFlt1,dFlt2,critFlt2,dFlt3,critFlt3))</f>
        <v/>
      </c>
      <c r="G2908">
        <f>IF($B2908="",0,IFERROR(IF(OR(C2908&lt;&gt;0,D2908&lt;&gt;0,E2908&lt;&gt;0,F2908&lt;&gt;0),1,0),1))</f>
        <v>0</v>
      </c>
      <c r="H2908" t="str">
        <f>IF(OR(G2908=0,E2908=0),"",C2908/E2908)</f>
        <v/>
      </c>
      <c r="I2908" t="str">
        <f>IF(OR(G2908=0,F2908=0),"",D2908/F2908)</f>
        <v/>
      </c>
      <c r="J2908" t="str">
        <f>IF(OR(H2908="",I2908=""),"",IF(H2908=0,"",I2908/H2908-1))</f>
        <v/>
      </c>
      <c r="K2908" t="str">
        <f>IF($B2908="","",IFERROR(IF(G2908=0,-2E+300,CHOOSE(sortIdx,ROUND(D2908,0),IF(J2908="",-1E+300,ROUND(-J2908,6)),IF(J2908="",-1E+300,ROUND(J2908,6)))),-1.5E+300))</f>
        <v/>
      </c>
      <c r="L2908" t="str">
        <f>IF(K2908="","",RANK(K2908,$K$2:$K$3001,0)+COUNTIF($K$2:K2908,K2908)-1)</f>
        <v/>
      </c>
    </row>
    <row r="2909">
      <c r="B2909" t="str">
        <f>IFERROR(IF(A2909="","","="&amp;SUBSTITUTE(SUBSTITUTE(SUBSTITUTE(A2909,"~","~~"),"*","~*"),"?","~?")),"")</f>
        <v/>
      </c>
      <c r="C2909" t="str">
        <f>IF($B2909="","",SUMIFS(dAmt,dCust,$B2909,dPer,"&gt;="&amp;pyFrom,dPer,"&lt;="&amp;pyTo,dAmt,"&gt;-1E+300",dFlt1,critFlt1,dFlt2,critFlt2,dFlt3,critFlt3))</f>
        <v/>
      </c>
      <c r="D2909" t="str">
        <f>IF($B2909="","",SUMIFS(dAmt,dCust,$B2909,dPer,"&gt;="&amp;cyFrom,dPer,"&lt;="&amp;cyTo,dAmt,"&gt;-1E+300",dFlt1,critFlt1,dFlt2,critFlt2,dFlt3,critFlt3))</f>
        <v/>
      </c>
      <c r="E2909" t="str">
        <f>IF($B2909="","",SUMIFS(dQty,dCust,$B2909,dPer,"&gt;="&amp;pyFrom,dPer,"&lt;="&amp;pyTo,dQty,"&gt;-1E+300",dFlt1,critFlt1,dFlt2,critFlt2,dFlt3,critFlt3))</f>
        <v/>
      </c>
      <c r="F2909" t="str">
        <f>IF($B2909="","",SUMIFS(dQty,dCust,$B2909,dPer,"&gt;="&amp;cyFrom,dPer,"&lt;="&amp;cyTo,dQty,"&gt;-1E+300",dFlt1,critFlt1,dFlt2,critFlt2,dFlt3,critFlt3))</f>
        <v/>
      </c>
      <c r="G2909">
        <f>IF($B2909="",0,IFERROR(IF(OR(C2909&lt;&gt;0,D2909&lt;&gt;0,E2909&lt;&gt;0,F2909&lt;&gt;0),1,0),1))</f>
        <v>0</v>
      </c>
      <c r="H2909" t="str">
        <f>IF(OR(G2909=0,E2909=0),"",C2909/E2909)</f>
        <v/>
      </c>
      <c r="I2909" t="str">
        <f>IF(OR(G2909=0,F2909=0),"",D2909/F2909)</f>
        <v/>
      </c>
      <c r="J2909" t="str">
        <f>IF(OR(H2909="",I2909=""),"",IF(H2909=0,"",I2909/H2909-1))</f>
        <v/>
      </c>
      <c r="K2909" t="str">
        <f>IF($B2909="","",IFERROR(IF(G2909=0,-2E+300,CHOOSE(sortIdx,ROUND(D2909,0),IF(J2909="",-1E+300,ROUND(-J2909,6)),IF(J2909="",-1E+300,ROUND(J2909,6)))),-1.5E+300))</f>
        <v/>
      </c>
      <c r="L2909" t="str">
        <f>IF(K2909="","",RANK(K2909,$K$2:$K$3001,0)+COUNTIF($K$2:K2909,K2909)-1)</f>
        <v/>
      </c>
    </row>
    <row r="2910">
      <c r="B2910" t="str">
        <f>IFERROR(IF(A2910="","","="&amp;SUBSTITUTE(SUBSTITUTE(SUBSTITUTE(A2910,"~","~~"),"*","~*"),"?","~?")),"")</f>
        <v/>
      </c>
      <c r="C2910" t="str">
        <f>IF($B2910="","",SUMIFS(dAmt,dCust,$B2910,dPer,"&gt;="&amp;pyFrom,dPer,"&lt;="&amp;pyTo,dAmt,"&gt;-1E+300",dFlt1,critFlt1,dFlt2,critFlt2,dFlt3,critFlt3))</f>
        <v/>
      </c>
      <c r="D2910" t="str">
        <f>IF($B2910="","",SUMIFS(dAmt,dCust,$B2910,dPer,"&gt;="&amp;cyFrom,dPer,"&lt;="&amp;cyTo,dAmt,"&gt;-1E+300",dFlt1,critFlt1,dFlt2,critFlt2,dFlt3,critFlt3))</f>
        <v/>
      </c>
      <c r="E2910" t="str">
        <f>IF($B2910="","",SUMIFS(dQty,dCust,$B2910,dPer,"&gt;="&amp;pyFrom,dPer,"&lt;="&amp;pyTo,dQty,"&gt;-1E+300",dFlt1,critFlt1,dFlt2,critFlt2,dFlt3,critFlt3))</f>
        <v/>
      </c>
      <c r="F2910" t="str">
        <f>IF($B2910="","",SUMIFS(dQty,dCust,$B2910,dPer,"&gt;="&amp;cyFrom,dPer,"&lt;="&amp;cyTo,dQty,"&gt;-1E+300",dFlt1,critFlt1,dFlt2,critFlt2,dFlt3,critFlt3))</f>
        <v/>
      </c>
      <c r="G2910">
        <f>IF($B2910="",0,IFERROR(IF(OR(C2910&lt;&gt;0,D2910&lt;&gt;0,E2910&lt;&gt;0,F2910&lt;&gt;0),1,0),1))</f>
        <v>0</v>
      </c>
      <c r="H2910" t="str">
        <f>IF(OR(G2910=0,E2910=0),"",C2910/E2910)</f>
        <v/>
      </c>
      <c r="I2910" t="str">
        <f>IF(OR(G2910=0,F2910=0),"",D2910/F2910)</f>
        <v/>
      </c>
      <c r="J2910" t="str">
        <f>IF(OR(H2910="",I2910=""),"",IF(H2910=0,"",I2910/H2910-1))</f>
        <v/>
      </c>
      <c r="K2910" t="str">
        <f>IF($B2910="","",IFERROR(IF(G2910=0,-2E+300,CHOOSE(sortIdx,ROUND(D2910,0),IF(J2910="",-1E+300,ROUND(-J2910,6)),IF(J2910="",-1E+300,ROUND(J2910,6)))),-1.5E+300))</f>
        <v/>
      </c>
      <c r="L2910" t="str">
        <f>IF(K2910="","",RANK(K2910,$K$2:$K$3001,0)+COUNTIF($K$2:K2910,K2910)-1)</f>
        <v/>
      </c>
    </row>
    <row r="2911">
      <c r="B2911" t="str">
        <f>IFERROR(IF(A2911="","","="&amp;SUBSTITUTE(SUBSTITUTE(SUBSTITUTE(A2911,"~","~~"),"*","~*"),"?","~?")),"")</f>
        <v/>
      </c>
      <c r="C2911" t="str">
        <f>IF($B2911="","",SUMIFS(dAmt,dCust,$B2911,dPer,"&gt;="&amp;pyFrom,dPer,"&lt;="&amp;pyTo,dAmt,"&gt;-1E+300",dFlt1,critFlt1,dFlt2,critFlt2,dFlt3,critFlt3))</f>
        <v/>
      </c>
      <c r="D2911" t="str">
        <f>IF($B2911="","",SUMIFS(dAmt,dCust,$B2911,dPer,"&gt;="&amp;cyFrom,dPer,"&lt;="&amp;cyTo,dAmt,"&gt;-1E+300",dFlt1,critFlt1,dFlt2,critFlt2,dFlt3,critFlt3))</f>
        <v/>
      </c>
      <c r="E2911" t="str">
        <f>IF($B2911="","",SUMIFS(dQty,dCust,$B2911,dPer,"&gt;="&amp;pyFrom,dPer,"&lt;="&amp;pyTo,dQty,"&gt;-1E+300",dFlt1,critFlt1,dFlt2,critFlt2,dFlt3,critFlt3))</f>
        <v/>
      </c>
      <c r="F2911" t="str">
        <f>IF($B2911="","",SUMIFS(dQty,dCust,$B2911,dPer,"&gt;="&amp;cyFrom,dPer,"&lt;="&amp;cyTo,dQty,"&gt;-1E+300",dFlt1,critFlt1,dFlt2,critFlt2,dFlt3,critFlt3))</f>
        <v/>
      </c>
      <c r="G2911">
        <f>IF($B2911="",0,IFERROR(IF(OR(C2911&lt;&gt;0,D2911&lt;&gt;0,E2911&lt;&gt;0,F2911&lt;&gt;0),1,0),1))</f>
        <v>0</v>
      </c>
      <c r="H2911" t="str">
        <f>IF(OR(G2911=0,E2911=0),"",C2911/E2911)</f>
        <v/>
      </c>
      <c r="I2911" t="str">
        <f>IF(OR(G2911=0,F2911=0),"",D2911/F2911)</f>
        <v/>
      </c>
      <c r="J2911" t="str">
        <f>IF(OR(H2911="",I2911=""),"",IF(H2911=0,"",I2911/H2911-1))</f>
        <v/>
      </c>
      <c r="K2911" t="str">
        <f>IF($B2911="","",IFERROR(IF(G2911=0,-2E+300,CHOOSE(sortIdx,ROUND(D2911,0),IF(J2911="",-1E+300,ROUND(-J2911,6)),IF(J2911="",-1E+300,ROUND(J2911,6)))),-1.5E+300))</f>
        <v/>
      </c>
      <c r="L2911" t="str">
        <f>IF(K2911="","",RANK(K2911,$K$2:$K$3001,0)+COUNTIF($K$2:K2911,K2911)-1)</f>
        <v/>
      </c>
    </row>
    <row r="2912">
      <c r="B2912" t="str">
        <f>IFERROR(IF(A2912="","","="&amp;SUBSTITUTE(SUBSTITUTE(SUBSTITUTE(A2912,"~","~~"),"*","~*"),"?","~?")),"")</f>
        <v/>
      </c>
      <c r="C2912" t="str">
        <f>IF($B2912="","",SUMIFS(dAmt,dCust,$B2912,dPer,"&gt;="&amp;pyFrom,dPer,"&lt;="&amp;pyTo,dAmt,"&gt;-1E+300",dFlt1,critFlt1,dFlt2,critFlt2,dFlt3,critFlt3))</f>
        <v/>
      </c>
      <c r="D2912" t="str">
        <f>IF($B2912="","",SUMIFS(dAmt,dCust,$B2912,dPer,"&gt;="&amp;cyFrom,dPer,"&lt;="&amp;cyTo,dAmt,"&gt;-1E+300",dFlt1,critFlt1,dFlt2,critFlt2,dFlt3,critFlt3))</f>
        <v/>
      </c>
      <c r="E2912" t="str">
        <f>IF($B2912="","",SUMIFS(dQty,dCust,$B2912,dPer,"&gt;="&amp;pyFrom,dPer,"&lt;="&amp;pyTo,dQty,"&gt;-1E+300",dFlt1,critFlt1,dFlt2,critFlt2,dFlt3,critFlt3))</f>
        <v/>
      </c>
      <c r="F2912" t="str">
        <f>IF($B2912="","",SUMIFS(dQty,dCust,$B2912,dPer,"&gt;="&amp;cyFrom,dPer,"&lt;="&amp;cyTo,dQty,"&gt;-1E+300",dFlt1,critFlt1,dFlt2,critFlt2,dFlt3,critFlt3))</f>
        <v/>
      </c>
      <c r="G2912">
        <f>IF($B2912="",0,IFERROR(IF(OR(C2912&lt;&gt;0,D2912&lt;&gt;0,E2912&lt;&gt;0,F2912&lt;&gt;0),1,0),1))</f>
        <v>0</v>
      </c>
      <c r="H2912" t="str">
        <f>IF(OR(G2912=0,E2912=0),"",C2912/E2912)</f>
        <v/>
      </c>
      <c r="I2912" t="str">
        <f>IF(OR(G2912=0,F2912=0),"",D2912/F2912)</f>
        <v/>
      </c>
      <c r="J2912" t="str">
        <f>IF(OR(H2912="",I2912=""),"",IF(H2912=0,"",I2912/H2912-1))</f>
        <v/>
      </c>
      <c r="K2912" t="str">
        <f>IF($B2912="","",IFERROR(IF(G2912=0,-2E+300,CHOOSE(sortIdx,ROUND(D2912,0),IF(J2912="",-1E+300,ROUND(-J2912,6)),IF(J2912="",-1E+300,ROUND(J2912,6)))),-1.5E+300))</f>
        <v/>
      </c>
      <c r="L2912" t="str">
        <f>IF(K2912="","",RANK(K2912,$K$2:$K$3001,0)+COUNTIF($K$2:K2912,K2912)-1)</f>
        <v/>
      </c>
    </row>
    <row r="2913">
      <c r="B2913" t="str">
        <f>IFERROR(IF(A2913="","","="&amp;SUBSTITUTE(SUBSTITUTE(SUBSTITUTE(A2913,"~","~~"),"*","~*"),"?","~?")),"")</f>
        <v/>
      </c>
      <c r="C2913" t="str">
        <f>IF($B2913="","",SUMIFS(dAmt,dCust,$B2913,dPer,"&gt;="&amp;pyFrom,dPer,"&lt;="&amp;pyTo,dAmt,"&gt;-1E+300",dFlt1,critFlt1,dFlt2,critFlt2,dFlt3,critFlt3))</f>
        <v/>
      </c>
      <c r="D2913" t="str">
        <f>IF($B2913="","",SUMIFS(dAmt,dCust,$B2913,dPer,"&gt;="&amp;cyFrom,dPer,"&lt;="&amp;cyTo,dAmt,"&gt;-1E+300",dFlt1,critFlt1,dFlt2,critFlt2,dFlt3,critFlt3))</f>
        <v/>
      </c>
      <c r="E2913" t="str">
        <f>IF($B2913="","",SUMIFS(dQty,dCust,$B2913,dPer,"&gt;="&amp;pyFrom,dPer,"&lt;="&amp;pyTo,dQty,"&gt;-1E+300",dFlt1,critFlt1,dFlt2,critFlt2,dFlt3,critFlt3))</f>
        <v/>
      </c>
      <c r="F2913" t="str">
        <f>IF($B2913="","",SUMIFS(dQty,dCust,$B2913,dPer,"&gt;="&amp;cyFrom,dPer,"&lt;="&amp;cyTo,dQty,"&gt;-1E+300",dFlt1,critFlt1,dFlt2,critFlt2,dFlt3,critFlt3))</f>
        <v/>
      </c>
      <c r="G2913">
        <f>IF($B2913="",0,IFERROR(IF(OR(C2913&lt;&gt;0,D2913&lt;&gt;0,E2913&lt;&gt;0,F2913&lt;&gt;0),1,0),1))</f>
        <v>0</v>
      </c>
      <c r="H2913" t="str">
        <f>IF(OR(G2913=0,E2913=0),"",C2913/E2913)</f>
        <v/>
      </c>
      <c r="I2913" t="str">
        <f>IF(OR(G2913=0,F2913=0),"",D2913/F2913)</f>
        <v/>
      </c>
      <c r="J2913" t="str">
        <f>IF(OR(H2913="",I2913=""),"",IF(H2913=0,"",I2913/H2913-1))</f>
        <v/>
      </c>
      <c r="K2913" t="str">
        <f>IF($B2913="","",IFERROR(IF(G2913=0,-2E+300,CHOOSE(sortIdx,ROUND(D2913,0),IF(J2913="",-1E+300,ROUND(-J2913,6)),IF(J2913="",-1E+300,ROUND(J2913,6)))),-1.5E+300))</f>
        <v/>
      </c>
      <c r="L2913" t="str">
        <f>IF(K2913="","",RANK(K2913,$K$2:$K$3001,0)+COUNTIF($K$2:K2913,K2913)-1)</f>
        <v/>
      </c>
    </row>
    <row r="2914">
      <c r="B2914" t="str">
        <f>IFERROR(IF(A2914="","","="&amp;SUBSTITUTE(SUBSTITUTE(SUBSTITUTE(A2914,"~","~~"),"*","~*"),"?","~?")),"")</f>
        <v/>
      </c>
      <c r="C2914" t="str">
        <f>IF($B2914="","",SUMIFS(dAmt,dCust,$B2914,dPer,"&gt;="&amp;pyFrom,dPer,"&lt;="&amp;pyTo,dAmt,"&gt;-1E+300",dFlt1,critFlt1,dFlt2,critFlt2,dFlt3,critFlt3))</f>
        <v/>
      </c>
      <c r="D2914" t="str">
        <f>IF($B2914="","",SUMIFS(dAmt,dCust,$B2914,dPer,"&gt;="&amp;cyFrom,dPer,"&lt;="&amp;cyTo,dAmt,"&gt;-1E+300",dFlt1,critFlt1,dFlt2,critFlt2,dFlt3,critFlt3))</f>
        <v/>
      </c>
      <c r="E2914" t="str">
        <f>IF($B2914="","",SUMIFS(dQty,dCust,$B2914,dPer,"&gt;="&amp;pyFrom,dPer,"&lt;="&amp;pyTo,dQty,"&gt;-1E+300",dFlt1,critFlt1,dFlt2,critFlt2,dFlt3,critFlt3))</f>
        <v/>
      </c>
      <c r="F2914" t="str">
        <f>IF($B2914="","",SUMIFS(dQty,dCust,$B2914,dPer,"&gt;="&amp;cyFrom,dPer,"&lt;="&amp;cyTo,dQty,"&gt;-1E+300",dFlt1,critFlt1,dFlt2,critFlt2,dFlt3,critFlt3))</f>
        <v/>
      </c>
      <c r="G2914">
        <f>IF($B2914="",0,IFERROR(IF(OR(C2914&lt;&gt;0,D2914&lt;&gt;0,E2914&lt;&gt;0,F2914&lt;&gt;0),1,0),1))</f>
        <v>0</v>
      </c>
      <c r="H2914" t="str">
        <f>IF(OR(G2914=0,E2914=0),"",C2914/E2914)</f>
        <v/>
      </c>
      <c r="I2914" t="str">
        <f>IF(OR(G2914=0,F2914=0),"",D2914/F2914)</f>
        <v/>
      </c>
      <c r="J2914" t="str">
        <f>IF(OR(H2914="",I2914=""),"",IF(H2914=0,"",I2914/H2914-1))</f>
        <v/>
      </c>
      <c r="K2914" t="str">
        <f>IF($B2914="","",IFERROR(IF(G2914=0,-2E+300,CHOOSE(sortIdx,ROUND(D2914,0),IF(J2914="",-1E+300,ROUND(-J2914,6)),IF(J2914="",-1E+300,ROUND(J2914,6)))),-1.5E+300))</f>
        <v/>
      </c>
      <c r="L2914" t="str">
        <f>IF(K2914="","",RANK(K2914,$K$2:$K$3001,0)+COUNTIF($K$2:K2914,K2914)-1)</f>
        <v/>
      </c>
    </row>
    <row r="2915">
      <c r="B2915" t="str">
        <f>IFERROR(IF(A2915="","","="&amp;SUBSTITUTE(SUBSTITUTE(SUBSTITUTE(A2915,"~","~~"),"*","~*"),"?","~?")),"")</f>
        <v/>
      </c>
      <c r="C2915" t="str">
        <f>IF($B2915="","",SUMIFS(dAmt,dCust,$B2915,dPer,"&gt;="&amp;pyFrom,dPer,"&lt;="&amp;pyTo,dAmt,"&gt;-1E+300",dFlt1,critFlt1,dFlt2,critFlt2,dFlt3,critFlt3))</f>
        <v/>
      </c>
      <c r="D2915" t="str">
        <f>IF($B2915="","",SUMIFS(dAmt,dCust,$B2915,dPer,"&gt;="&amp;cyFrom,dPer,"&lt;="&amp;cyTo,dAmt,"&gt;-1E+300",dFlt1,critFlt1,dFlt2,critFlt2,dFlt3,critFlt3))</f>
        <v/>
      </c>
      <c r="E2915" t="str">
        <f>IF($B2915="","",SUMIFS(dQty,dCust,$B2915,dPer,"&gt;="&amp;pyFrom,dPer,"&lt;="&amp;pyTo,dQty,"&gt;-1E+300",dFlt1,critFlt1,dFlt2,critFlt2,dFlt3,critFlt3))</f>
        <v/>
      </c>
      <c r="F2915" t="str">
        <f>IF($B2915="","",SUMIFS(dQty,dCust,$B2915,dPer,"&gt;="&amp;cyFrom,dPer,"&lt;="&amp;cyTo,dQty,"&gt;-1E+300",dFlt1,critFlt1,dFlt2,critFlt2,dFlt3,critFlt3))</f>
        <v/>
      </c>
      <c r="G2915">
        <f>IF($B2915="",0,IFERROR(IF(OR(C2915&lt;&gt;0,D2915&lt;&gt;0,E2915&lt;&gt;0,F2915&lt;&gt;0),1,0),1))</f>
        <v>0</v>
      </c>
      <c r="H2915" t="str">
        <f>IF(OR(G2915=0,E2915=0),"",C2915/E2915)</f>
        <v/>
      </c>
      <c r="I2915" t="str">
        <f>IF(OR(G2915=0,F2915=0),"",D2915/F2915)</f>
        <v/>
      </c>
      <c r="J2915" t="str">
        <f>IF(OR(H2915="",I2915=""),"",IF(H2915=0,"",I2915/H2915-1))</f>
        <v/>
      </c>
      <c r="K2915" t="str">
        <f>IF($B2915="","",IFERROR(IF(G2915=0,-2E+300,CHOOSE(sortIdx,ROUND(D2915,0),IF(J2915="",-1E+300,ROUND(-J2915,6)),IF(J2915="",-1E+300,ROUND(J2915,6)))),-1.5E+300))</f>
        <v/>
      </c>
      <c r="L2915" t="str">
        <f>IF(K2915="","",RANK(K2915,$K$2:$K$3001,0)+COUNTIF($K$2:K2915,K2915)-1)</f>
        <v/>
      </c>
    </row>
    <row r="2916">
      <c r="B2916" t="str">
        <f>IFERROR(IF(A2916="","","="&amp;SUBSTITUTE(SUBSTITUTE(SUBSTITUTE(A2916,"~","~~"),"*","~*"),"?","~?")),"")</f>
        <v/>
      </c>
      <c r="C2916" t="str">
        <f>IF($B2916="","",SUMIFS(dAmt,dCust,$B2916,dPer,"&gt;="&amp;pyFrom,dPer,"&lt;="&amp;pyTo,dAmt,"&gt;-1E+300",dFlt1,critFlt1,dFlt2,critFlt2,dFlt3,critFlt3))</f>
        <v/>
      </c>
      <c r="D2916" t="str">
        <f>IF($B2916="","",SUMIFS(dAmt,dCust,$B2916,dPer,"&gt;="&amp;cyFrom,dPer,"&lt;="&amp;cyTo,dAmt,"&gt;-1E+300",dFlt1,critFlt1,dFlt2,critFlt2,dFlt3,critFlt3))</f>
        <v/>
      </c>
      <c r="E2916" t="str">
        <f>IF($B2916="","",SUMIFS(dQty,dCust,$B2916,dPer,"&gt;="&amp;pyFrom,dPer,"&lt;="&amp;pyTo,dQty,"&gt;-1E+300",dFlt1,critFlt1,dFlt2,critFlt2,dFlt3,critFlt3))</f>
        <v/>
      </c>
      <c r="F2916" t="str">
        <f>IF($B2916="","",SUMIFS(dQty,dCust,$B2916,dPer,"&gt;="&amp;cyFrom,dPer,"&lt;="&amp;cyTo,dQty,"&gt;-1E+300",dFlt1,critFlt1,dFlt2,critFlt2,dFlt3,critFlt3))</f>
        <v/>
      </c>
      <c r="G2916">
        <f>IF($B2916="",0,IFERROR(IF(OR(C2916&lt;&gt;0,D2916&lt;&gt;0,E2916&lt;&gt;0,F2916&lt;&gt;0),1,0),1))</f>
        <v>0</v>
      </c>
      <c r="H2916" t="str">
        <f>IF(OR(G2916=0,E2916=0),"",C2916/E2916)</f>
        <v/>
      </c>
      <c r="I2916" t="str">
        <f>IF(OR(G2916=0,F2916=0),"",D2916/F2916)</f>
        <v/>
      </c>
      <c r="J2916" t="str">
        <f>IF(OR(H2916="",I2916=""),"",IF(H2916=0,"",I2916/H2916-1))</f>
        <v/>
      </c>
      <c r="K2916" t="str">
        <f>IF($B2916="","",IFERROR(IF(G2916=0,-2E+300,CHOOSE(sortIdx,ROUND(D2916,0),IF(J2916="",-1E+300,ROUND(-J2916,6)),IF(J2916="",-1E+300,ROUND(J2916,6)))),-1.5E+300))</f>
        <v/>
      </c>
      <c r="L2916" t="str">
        <f>IF(K2916="","",RANK(K2916,$K$2:$K$3001,0)+COUNTIF($K$2:K2916,K2916)-1)</f>
        <v/>
      </c>
    </row>
    <row r="2917">
      <c r="B2917" t="str">
        <f>IFERROR(IF(A2917="","","="&amp;SUBSTITUTE(SUBSTITUTE(SUBSTITUTE(A2917,"~","~~"),"*","~*"),"?","~?")),"")</f>
        <v/>
      </c>
      <c r="C2917" t="str">
        <f>IF($B2917="","",SUMIFS(dAmt,dCust,$B2917,dPer,"&gt;="&amp;pyFrom,dPer,"&lt;="&amp;pyTo,dAmt,"&gt;-1E+300",dFlt1,critFlt1,dFlt2,critFlt2,dFlt3,critFlt3))</f>
        <v/>
      </c>
      <c r="D2917" t="str">
        <f>IF($B2917="","",SUMIFS(dAmt,dCust,$B2917,dPer,"&gt;="&amp;cyFrom,dPer,"&lt;="&amp;cyTo,dAmt,"&gt;-1E+300",dFlt1,critFlt1,dFlt2,critFlt2,dFlt3,critFlt3))</f>
        <v/>
      </c>
      <c r="E2917" t="str">
        <f>IF($B2917="","",SUMIFS(dQty,dCust,$B2917,dPer,"&gt;="&amp;pyFrom,dPer,"&lt;="&amp;pyTo,dQty,"&gt;-1E+300",dFlt1,critFlt1,dFlt2,critFlt2,dFlt3,critFlt3))</f>
        <v/>
      </c>
      <c r="F2917" t="str">
        <f>IF($B2917="","",SUMIFS(dQty,dCust,$B2917,dPer,"&gt;="&amp;cyFrom,dPer,"&lt;="&amp;cyTo,dQty,"&gt;-1E+300",dFlt1,critFlt1,dFlt2,critFlt2,dFlt3,critFlt3))</f>
        <v/>
      </c>
      <c r="G2917">
        <f>IF($B2917="",0,IFERROR(IF(OR(C2917&lt;&gt;0,D2917&lt;&gt;0,E2917&lt;&gt;0,F2917&lt;&gt;0),1,0),1))</f>
        <v>0</v>
      </c>
      <c r="H2917" t="str">
        <f>IF(OR(G2917=0,E2917=0),"",C2917/E2917)</f>
        <v/>
      </c>
      <c r="I2917" t="str">
        <f>IF(OR(G2917=0,F2917=0),"",D2917/F2917)</f>
        <v/>
      </c>
      <c r="J2917" t="str">
        <f>IF(OR(H2917="",I2917=""),"",IF(H2917=0,"",I2917/H2917-1))</f>
        <v/>
      </c>
      <c r="K2917" t="str">
        <f>IF($B2917="","",IFERROR(IF(G2917=0,-2E+300,CHOOSE(sortIdx,ROUND(D2917,0),IF(J2917="",-1E+300,ROUND(-J2917,6)),IF(J2917="",-1E+300,ROUND(J2917,6)))),-1.5E+300))</f>
        <v/>
      </c>
      <c r="L2917" t="str">
        <f>IF(K2917="","",RANK(K2917,$K$2:$K$3001,0)+COUNTIF($K$2:K2917,K2917)-1)</f>
        <v/>
      </c>
    </row>
    <row r="2918">
      <c r="B2918" t="str">
        <f>IFERROR(IF(A2918="","","="&amp;SUBSTITUTE(SUBSTITUTE(SUBSTITUTE(A2918,"~","~~"),"*","~*"),"?","~?")),"")</f>
        <v/>
      </c>
      <c r="C2918" t="str">
        <f>IF($B2918="","",SUMIFS(dAmt,dCust,$B2918,dPer,"&gt;="&amp;pyFrom,dPer,"&lt;="&amp;pyTo,dAmt,"&gt;-1E+300",dFlt1,critFlt1,dFlt2,critFlt2,dFlt3,critFlt3))</f>
        <v/>
      </c>
      <c r="D2918" t="str">
        <f>IF($B2918="","",SUMIFS(dAmt,dCust,$B2918,dPer,"&gt;="&amp;cyFrom,dPer,"&lt;="&amp;cyTo,dAmt,"&gt;-1E+300",dFlt1,critFlt1,dFlt2,critFlt2,dFlt3,critFlt3))</f>
        <v/>
      </c>
      <c r="E2918" t="str">
        <f>IF($B2918="","",SUMIFS(dQty,dCust,$B2918,dPer,"&gt;="&amp;pyFrom,dPer,"&lt;="&amp;pyTo,dQty,"&gt;-1E+300",dFlt1,critFlt1,dFlt2,critFlt2,dFlt3,critFlt3))</f>
        <v/>
      </c>
      <c r="F2918" t="str">
        <f>IF($B2918="","",SUMIFS(dQty,dCust,$B2918,dPer,"&gt;="&amp;cyFrom,dPer,"&lt;="&amp;cyTo,dQty,"&gt;-1E+300",dFlt1,critFlt1,dFlt2,critFlt2,dFlt3,critFlt3))</f>
        <v/>
      </c>
      <c r="G2918">
        <f>IF($B2918="",0,IFERROR(IF(OR(C2918&lt;&gt;0,D2918&lt;&gt;0,E2918&lt;&gt;0,F2918&lt;&gt;0),1,0),1))</f>
        <v>0</v>
      </c>
      <c r="H2918" t="str">
        <f>IF(OR(G2918=0,E2918=0),"",C2918/E2918)</f>
        <v/>
      </c>
      <c r="I2918" t="str">
        <f>IF(OR(G2918=0,F2918=0),"",D2918/F2918)</f>
        <v/>
      </c>
      <c r="J2918" t="str">
        <f>IF(OR(H2918="",I2918=""),"",IF(H2918=0,"",I2918/H2918-1))</f>
        <v/>
      </c>
      <c r="K2918" t="str">
        <f>IF($B2918="","",IFERROR(IF(G2918=0,-2E+300,CHOOSE(sortIdx,ROUND(D2918,0),IF(J2918="",-1E+300,ROUND(-J2918,6)),IF(J2918="",-1E+300,ROUND(J2918,6)))),-1.5E+300))</f>
        <v/>
      </c>
      <c r="L2918" t="str">
        <f>IF(K2918="","",RANK(K2918,$K$2:$K$3001,0)+COUNTIF($K$2:K2918,K2918)-1)</f>
        <v/>
      </c>
    </row>
    <row r="2919">
      <c r="B2919" t="str">
        <f>IFERROR(IF(A2919="","","="&amp;SUBSTITUTE(SUBSTITUTE(SUBSTITUTE(A2919,"~","~~"),"*","~*"),"?","~?")),"")</f>
        <v/>
      </c>
      <c r="C2919" t="str">
        <f>IF($B2919="","",SUMIFS(dAmt,dCust,$B2919,dPer,"&gt;="&amp;pyFrom,dPer,"&lt;="&amp;pyTo,dAmt,"&gt;-1E+300",dFlt1,critFlt1,dFlt2,critFlt2,dFlt3,critFlt3))</f>
        <v/>
      </c>
      <c r="D2919" t="str">
        <f>IF($B2919="","",SUMIFS(dAmt,dCust,$B2919,dPer,"&gt;="&amp;cyFrom,dPer,"&lt;="&amp;cyTo,dAmt,"&gt;-1E+300",dFlt1,critFlt1,dFlt2,critFlt2,dFlt3,critFlt3))</f>
        <v/>
      </c>
      <c r="E2919" t="str">
        <f>IF($B2919="","",SUMIFS(dQty,dCust,$B2919,dPer,"&gt;="&amp;pyFrom,dPer,"&lt;="&amp;pyTo,dQty,"&gt;-1E+300",dFlt1,critFlt1,dFlt2,critFlt2,dFlt3,critFlt3))</f>
        <v/>
      </c>
      <c r="F2919" t="str">
        <f>IF($B2919="","",SUMIFS(dQty,dCust,$B2919,dPer,"&gt;="&amp;cyFrom,dPer,"&lt;="&amp;cyTo,dQty,"&gt;-1E+300",dFlt1,critFlt1,dFlt2,critFlt2,dFlt3,critFlt3))</f>
        <v/>
      </c>
      <c r="G2919">
        <f>IF($B2919="",0,IFERROR(IF(OR(C2919&lt;&gt;0,D2919&lt;&gt;0,E2919&lt;&gt;0,F2919&lt;&gt;0),1,0),1))</f>
        <v>0</v>
      </c>
      <c r="H2919" t="str">
        <f>IF(OR(G2919=0,E2919=0),"",C2919/E2919)</f>
        <v/>
      </c>
      <c r="I2919" t="str">
        <f>IF(OR(G2919=0,F2919=0),"",D2919/F2919)</f>
        <v/>
      </c>
      <c r="J2919" t="str">
        <f>IF(OR(H2919="",I2919=""),"",IF(H2919=0,"",I2919/H2919-1))</f>
        <v/>
      </c>
      <c r="K2919" t="str">
        <f>IF($B2919="","",IFERROR(IF(G2919=0,-2E+300,CHOOSE(sortIdx,ROUND(D2919,0),IF(J2919="",-1E+300,ROUND(-J2919,6)),IF(J2919="",-1E+300,ROUND(J2919,6)))),-1.5E+300))</f>
        <v/>
      </c>
      <c r="L2919" t="str">
        <f>IF(K2919="","",RANK(K2919,$K$2:$K$3001,0)+COUNTIF($K$2:K2919,K2919)-1)</f>
        <v/>
      </c>
    </row>
    <row r="2920">
      <c r="B2920" t="str">
        <f>IFERROR(IF(A2920="","","="&amp;SUBSTITUTE(SUBSTITUTE(SUBSTITUTE(A2920,"~","~~"),"*","~*"),"?","~?")),"")</f>
        <v/>
      </c>
      <c r="C2920" t="str">
        <f>IF($B2920="","",SUMIFS(dAmt,dCust,$B2920,dPer,"&gt;="&amp;pyFrom,dPer,"&lt;="&amp;pyTo,dAmt,"&gt;-1E+300",dFlt1,critFlt1,dFlt2,critFlt2,dFlt3,critFlt3))</f>
        <v/>
      </c>
      <c r="D2920" t="str">
        <f>IF($B2920="","",SUMIFS(dAmt,dCust,$B2920,dPer,"&gt;="&amp;cyFrom,dPer,"&lt;="&amp;cyTo,dAmt,"&gt;-1E+300",dFlt1,critFlt1,dFlt2,critFlt2,dFlt3,critFlt3))</f>
        <v/>
      </c>
      <c r="E2920" t="str">
        <f>IF($B2920="","",SUMIFS(dQty,dCust,$B2920,dPer,"&gt;="&amp;pyFrom,dPer,"&lt;="&amp;pyTo,dQty,"&gt;-1E+300",dFlt1,critFlt1,dFlt2,critFlt2,dFlt3,critFlt3))</f>
        <v/>
      </c>
      <c r="F2920" t="str">
        <f>IF($B2920="","",SUMIFS(dQty,dCust,$B2920,dPer,"&gt;="&amp;cyFrom,dPer,"&lt;="&amp;cyTo,dQty,"&gt;-1E+300",dFlt1,critFlt1,dFlt2,critFlt2,dFlt3,critFlt3))</f>
        <v/>
      </c>
      <c r="G2920">
        <f>IF($B2920="",0,IFERROR(IF(OR(C2920&lt;&gt;0,D2920&lt;&gt;0,E2920&lt;&gt;0,F2920&lt;&gt;0),1,0),1))</f>
        <v>0</v>
      </c>
      <c r="H2920" t="str">
        <f>IF(OR(G2920=0,E2920=0),"",C2920/E2920)</f>
        <v/>
      </c>
      <c r="I2920" t="str">
        <f>IF(OR(G2920=0,F2920=0),"",D2920/F2920)</f>
        <v/>
      </c>
      <c r="J2920" t="str">
        <f>IF(OR(H2920="",I2920=""),"",IF(H2920=0,"",I2920/H2920-1))</f>
        <v/>
      </c>
      <c r="K2920" t="str">
        <f>IF($B2920="","",IFERROR(IF(G2920=0,-2E+300,CHOOSE(sortIdx,ROUND(D2920,0),IF(J2920="",-1E+300,ROUND(-J2920,6)),IF(J2920="",-1E+300,ROUND(J2920,6)))),-1.5E+300))</f>
        <v/>
      </c>
      <c r="L2920" t="str">
        <f>IF(K2920="","",RANK(K2920,$K$2:$K$3001,0)+COUNTIF($K$2:K2920,K2920)-1)</f>
        <v/>
      </c>
    </row>
    <row r="2921">
      <c r="B2921" t="str">
        <f>IFERROR(IF(A2921="","","="&amp;SUBSTITUTE(SUBSTITUTE(SUBSTITUTE(A2921,"~","~~"),"*","~*"),"?","~?")),"")</f>
        <v/>
      </c>
      <c r="C2921" t="str">
        <f>IF($B2921="","",SUMIFS(dAmt,dCust,$B2921,dPer,"&gt;="&amp;pyFrom,dPer,"&lt;="&amp;pyTo,dAmt,"&gt;-1E+300",dFlt1,critFlt1,dFlt2,critFlt2,dFlt3,critFlt3))</f>
        <v/>
      </c>
      <c r="D2921" t="str">
        <f>IF($B2921="","",SUMIFS(dAmt,dCust,$B2921,dPer,"&gt;="&amp;cyFrom,dPer,"&lt;="&amp;cyTo,dAmt,"&gt;-1E+300",dFlt1,critFlt1,dFlt2,critFlt2,dFlt3,critFlt3))</f>
        <v/>
      </c>
      <c r="E2921" t="str">
        <f>IF($B2921="","",SUMIFS(dQty,dCust,$B2921,dPer,"&gt;="&amp;pyFrom,dPer,"&lt;="&amp;pyTo,dQty,"&gt;-1E+300",dFlt1,critFlt1,dFlt2,critFlt2,dFlt3,critFlt3))</f>
        <v/>
      </c>
      <c r="F2921" t="str">
        <f>IF($B2921="","",SUMIFS(dQty,dCust,$B2921,dPer,"&gt;="&amp;cyFrom,dPer,"&lt;="&amp;cyTo,dQty,"&gt;-1E+300",dFlt1,critFlt1,dFlt2,critFlt2,dFlt3,critFlt3))</f>
        <v/>
      </c>
      <c r="G2921">
        <f>IF($B2921="",0,IFERROR(IF(OR(C2921&lt;&gt;0,D2921&lt;&gt;0,E2921&lt;&gt;0,F2921&lt;&gt;0),1,0),1))</f>
        <v>0</v>
      </c>
      <c r="H2921" t="str">
        <f>IF(OR(G2921=0,E2921=0),"",C2921/E2921)</f>
        <v/>
      </c>
      <c r="I2921" t="str">
        <f>IF(OR(G2921=0,F2921=0),"",D2921/F2921)</f>
        <v/>
      </c>
      <c r="J2921" t="str">
        <f>IF(OR(H2921="",I2921=""),"",IF(H2921=0,"",I2921/H2921-1))</f>
        <v/>
      </c>
      <c r="K2921" t="str">
        <f>IF($B2921="","",IFERROR(IF(G2921=0,-2E+300,CHOOSE(sortIdx,ROUND(D2921,0),IF(J2921="",-1E+300,ROUND(-J2921,6)),IF(J2921="",-1E+300,ROUND(J2921,6)))),-1.5E+300))</f>
        <v/>
      </c>
      <c r="L2921" t="str">
        <f>IF(K2921="","",RANK(K2921,$K$2:$K$3001,0)+COUNTIF($K$2:K2921,K2921)-1)</f>
        <v/>
      </c>
    </row>
    <row r="2922">
      <c r="B2922" t="str">
        <f>IFERROR(IF(A2922="","","="&amp;SUBSTITUTE(SUBSTITUTE(SUBSTITUTE(A2922,"~","~~"),"*","~*"),"?","~?")),"")</f>
        <v/>
      </c>
      <c r="C2922" t="str">
        <f>IF($B2922="","",SUMIFS(dAmt,dCust,$B2922,dPer,"&gt;="&amp;pyFrom,dPer,"&lt;="&amp;pyTo,dAmt,"&gt;-1E+300",dFlt1,critFlt1,dFlt2,critFlt2,dFlt3,critFlt3))</f>
        <v/>
      </c>
      <c r="D2922" t="str">
        <f>IF($B2922="","",SUMIFS(dAmt,dCust,$B2922,dPer,"&gt;="&amp;cyFrom,dPer,"&lt;="&amp;cyTo,dAmt,"&gt;-1E+300",dFlt1,critFlt1,dFlt2,critFlt2,dFlt3,critFlt3))</f>
        <v/>
      </c>
      <c r="E2922" t="str">
        <f>IF($B2922="","",SUMIFS(dQty,dCust,$B2922,dPer,"&gt;="&amp;pyFrom,dPer,"&lt;="&amp;pyTo,dQty,"&gt;-1E+300",dFlt1,critFlt1,dFlt2,critFlt2,dFlt3,critFlt3))</f>
        <v/>
      </c>
      <c r="F2922" t="str">
        <f>IF($B2922="","",SUMIFS(dQty,dCust,$B2922,dPer,"&gt;="&amp;cyFrom,dPer,"&lt;="&amp;cyTo,dQty,"&gt;-1E+300",dFlt1,critFlt1,dFlt2,critFlt2,dFlt3,critFlt3))</f>
        <v/>
      </c>
      <c r="G2922">
        <f>IF($B2922="",0,IFERROR(IF(OR(C2922&lt;&gt;0,D2922&lt;&gt;0,E2922&lt;&gt;0,F2922&lt;&gt;0),1,0),1))</f>
        <v>0</v>
      </c>
      <c r="H2922" t="str">
        <f>IF(OR(G2922=0,E2922=0),"",C2922/E2922)</f>
        <v/>
      </c>
      <c r="I2922" t="str">
        <f>IF(OR(G2922=0,F2922=0),"",D2922/F2922)</f>
        <v/>
      </c>
      <c r="J2922" t="str">
        <f>IF(OR(H2922="",I2922=""),"",IF(H2922=0,"",I2922/H2922-1))</f>
        <v/>
      </c>
      <c r="K2922" t="str">
        <f>IF($B2922="","",IFERROR(IF(G2922=0,-2E+300,CHOOSE(sortIdx,ROUND(D2922,0),IF(J2922="",-1E+300,ROUND(-J2922,6)),IF(J2922="",-1E+300,ROUND(J2922,6)))),-1.5E+300))</f>
        <v/>
      </c>
      <c r="L2922" t="str">
        <f>IF(K2922="","",RANK(K2922,$K$2:$K$3001,0)+COUNTIF($K$2:K2922,K2922)-1)</f>
        <v/>
      </c>
    </row>
    <row r="2923">
      <c r="B2923" t="str">
        <f>IFERROR(IF(A2923="","","="&amp;SUBSTITUTE(SUBSTITUTE(SUBSTITUTE(A2923,"~","~~"),"*","~*"),"?","~?")),"")</f>
        <v/>
      </c>
      <c r="C2923" t="str">
        <f>IF($B2923="","",SUMIFS(dAmt,dCust,$B2923,dPer,"&gt;="&amp;pyFrom,dPer,"&lt;="&amp;pyTo,dAmt,"&gt;-1E+300",dFlt1,critFlt1,dFlt2,critFlt2,dFlt3,critFlt3))</f>
        <v/>
      </c>
      <c r="D2923" t="str">
        <f>IF($B2923="","",SUMIFS(dAmt,dCust,$B2923,dPer,"&gt;="&amp;cyFrom,dPer,"&lt;="&amp;cyTo,dAmt,"&gt;-1E+300",dFlt1,critFlt1,dFlt2,critFlt2,dFlt3,critFlt3))</f>
        <v/>
      </c>
      <c r="E2923" t="str">
        <f>IF($B2923="","",SUMIFS(dQty,dCust,$B2923,dPer,"&gt;="&amp;pyFrom,dPer,"&lt;="&amp;pyTo,dQty,"&gt;-1E+300",dFlt1,critFlt1,dFlt2,critFlt2,dFlt3,critFlt3))</f>
        <v/>
      </c>
      <c r="F2923" t="str">
        <f>IF($B2923="","",SUMIFS(dQty,dCust,$B2923,dPer,"&gt;="&amp;cyFrom,dPer,"&lt;="&amp;cyTo,dQty,"&gt;-1E+300",dFlt1,critFlt1,dFlt2,critFlt2,dFlt3,critFlt3))</f>
        <v/>
      </c>
      <c r="G2923">
        <f>IF($B2923="",0,IFERROR(IF(OR(C2923&lt;&gt;0,D2923&lt;&gt;0,E2923&lt;&gt;0,F2923&lt;&gt;0),1,0),1))</f>
        <v>0</v>
      </c>
      <c r="H2923" t="str">
        <f>IF(OR(G2923=0,E2923=0),"",C2923/E2923)</f>
        <v/>
      </c>
      <c r="I2923" t="str">
        <f>IF(OR(G2923=0,F2923=0),"",D2923/F2923)</f>
        <v/>
      </c>
      <c r="J2923" t="str">
        <f>IF(OR(H2923="",I2923=""),"",IF(H2923=0,"",I2923/H2923-1))</f>
        <v/>
      </c>
      <c r="K2923" t="str">
        <f>IF($B2923="","",IFERROR(IF(G2923=0,-2E+300,CHOOSE(sortIdx,ROUND(D2923,0),IF(J2923="",-1E+300,ROUND(-J2923,6)),IF(J2923="",-1E+300,ROUND(J2923,6)))),-1.5E+300))</f>
        <v/>
      </c>
      <c r="L2923" t="str">
        <f>IF(K2923="","",RANK(K2923,$K$2:$K$3001,0)+COUNTIF($K$2:K2923,K2923)-1)</f>
        <v/>
      </c>
    </row>
    <row r="2924">
      <c r="B2924" t="str">
        <f>IFERROR(IF(A2924="","","="&amp;SUBSTITUTE(SUBSTITUTE(SUBSTITUTE(A2924,"~","~~"),"*","~*"),"?","~?")),"")</f>
        <v/>
      </c>
      <c r="C2924" t="str">
        <f>IF($B2924="","",SUMIFS(dAmt,dCust,$B2924,dPer,"&gt;="&amp;pyFrom,dPer,"&lt;="&amp;pyTo,dAmt,"&gt;-1E+300",dFlt1,critFlt1,dFlt2,critFlt2,dFlt3,critFlt3))</f>
        <v/>
      </c>
      <c r="D2924" t="str">
        <f>IF($B2924="","",SUMIFS(dAmt,dCust,$B2924,dPer,"&gt;="&amp;cyFrom,dPer,"&lt;="&amp;cyTo,dAmt,"&gt;-1E+300",dFlt1,critFlt1,dFlt2,critFlt2,dFlt3,critFlt3))</f>
        <v/>
      </c>
      <c r="E2924" t="str">
        <f>IF($B2924="","",SUMIFS(dQty,dCust,$B2924,dPer,"&gt;="&amp;pyFrom,dPer,"&lt;="&amp;pyTo,dQty,"&gt;-1E+300",dFlt1,critFlt1,dFlt2,critFlt2,dFlt3,critFlt3))</f>
        <v/>
      </c>
      <c r="F2924" t="str">
        <f>IF($B2924="","",SUMIFS(dQty,dCust,$B2924,dPer,"&gt;="&amp;cyFrom,dPer,"&lt;="&amp;cyTo,dQty,"&gt;-1E+300",dFlt1,critFlt1,dFlt2,critFlt2,dFlt3,critFlt3))</f>
        <v/>
      </c>
      <c r="G2924">
        <f>IF($B2924="",0,IFERROR(IF(OR(C2924&lt;&gt;0,D2924&lt;&gt;0,E2924&lt;&gt;0,F2924&lt;&gt;0),1,0),1))</f>
        <v>0</v>
      </c>
      <c r="H2924" t="str">
        <f>IF(OR(G2924=0,E2924=0),"",C2924/E2924)</f>
        <v/>
      </c>
      <c r="I2924" t="str">
        <f>IF(OR(G2924=0,F2924=0),"",D2924/F2924)</f>
        <v/>
      </c>
      <c r="J2924" t="str">
        <f>IF(OR(H2924="",I2924=""),"",IF(H2924=0,"",I2924/H2924-1))</f>
        <v/>
      </c>
      <c r="K2924" t="str">
        <f>IF($B2924="","",IFERROR(IF(G2924=0,-2E+300,CHOOSE(sortIdx,ROUND(D2924,0),IF(J2924="",-1E+300,ROUND(-J2924,6)),IF(J2924="",-1E+300,ROUND(J2924,6)))),-1.5E+300))</f>
        <v/>
      </c>
      <c r="L2924" t="str">
        <f>IF(K2924="","",RANK(K2924,$K$2:$K$3001,0)+COUNTIF($K$2:K2924,K2924)-1)</f>
        <v/>
      </c>
    </row>
    <row r="2925">
      <c r="B2925" t="str">
        <f>IFERROR(IF(A2925="","","="&amp;SUBSTITUTE(SUBSTITUTE(SUBSTITUTE(A2925,"~","~~"),"*","~*"),"?","~?")),"")</f>
        <v/>
      </c>
      <c r="C2925" t="str">
        <f>IF($B2925="","",SUMIFS(dAmt,dCust,$B2925,dPer,"&gt;="&amp;pyFrom,dPer,"&lt;="&amp;pyTo,dAmt,"&gt;-1E+300",dFlt1,critFlt1,dFlt2,critFlt2,dFlt3,critFlt3))</f>
        <v/>
      </c>
      <c r="D2925" t="str">
        <f>IF($B2925="","",SUMIFS(dAmt,dCust,$B2925,dPer,"&gt;="&amp;cyFrom,dPer,"&lt;="&amp;cyTo,dAmt,"&gt;-1E+300",dFlt1,critFlt1,dFlt2,critFlt2,dFlt3,critFlt3))</f>
        <v/>
      </c>
      <c r="E2925" t="str">
        <f>IF($B2925="","",SUMIFS(dQty,dCust,$B2925,dPer,"&gt;="&amp;pyFrom,dPer,"&lt;="&amp;pyTo,dQty,"&gt;-1E+300",dFlt1,critFlt1,dFlt2,critFlt2,dFlt3,critFlt3))</f>
        <v/>
      </c>
      <c r="F2925" t="str">
        <f>IF($B2925="","",SUMIFS(dQty,dCust,$B2925,dPer,"&gt;="&amp;cyFrom,dPer,"&lt;="&amp;cyTo,dQty,"&gt;-1E+300",dFlt1,critFlt1,dFlt2,critFlt2,dFlt3,critFlt3))</f>
        <v/>
      </c>
      <c r="G2925">
        <f>IF($B2925="",0,IFERROR(IF(OR(C2925&lt;&gt;0,D2925&lt;&gt;0,E2925&lt;&gt;0,F2925&lt;&gt;0),1,0),1))</f>
        <v>0</v>
      </c>
      <c r="H2925" t="str">
        <f>IF(OR(G2925=0,E2925=0),"",C2925/E2925)</f>
        <v/>
      </c>
      <c r="I2925" t="str">
        <f>IF(OR(G2925=0,F2925=0),"",D2925/F2925)</f>
        <v/>
      </c>
      <c r="J2925" t="str">
        <f>IF(OR(H2925="",I2925=""),"",IF(H2925=0,"",I2925/H2925-1))</f>
        <v/>
      </c>
      <c r="K2925" t="str">
        <f>IF($B2925="","",IFERROR(IF(G2925=0,-2E+300,CHOOSE(sortIdx,ROUND(D2925,0),IF(J2925="",-1E+300,ROUND(-J2925,6)),IF(J2925="",-1E+300,ROUND(J2925,6)))),-1.5E+300))</f>
        <v/>
      </c>
      <c r="L2925" t="str">
        <f>IF(K2925="","",RANK(K2925,$K$2:$K$3001,0)+COUNTIF($K$2:K2925,K2925)-1)</f>
        <v/>
      </c>
    </row>
    <row r="2926">
      <c r="B2926" t="str">
        <f>IFERROR(IF(A2926="","","="&amp;SUBSTITUTE(SUBSTITUTE(SUBSTITUTE(A2926,"~","~~"),"*","~*"),"?","~?")),"")</f>
        <v/>
      </c>
      <c r="C2926" t="str">
        <f>IF($B2926="","",SUMIFS(dAmt,dCust,$B2926,dPer,"&gt;="&amp;pyFrom,dPer,"&lt;="&amp;pyTo,dAmt,"&gt;-1E+300",dFlt1,critFlt1,dFlt2,critFlt2,dFlt3,critFlt3))</f>
        <v/>
      </c>
      <c r="D2926" t="str">
        <f>IF($B2926="","",SUMIFS(dAmt,dCust,$B2926,dPer,"&gt;="&amp;cyFrom,dPer,"&lt;="&amp;cyTo,dAmt,"&gt;-1E+300",dFlt1,critFlt1,dFlt2,critFlt2,dFlt3,critFlt3))</f>
        <v/>
      </c>
      <c r="E2926" t="str">
        <f>IF($B2926="","",SUMIFS(dQty,dCust,$B2926,dPer,"&gt;="&amp;pyFrom,dPer,"&lt;="&amp;pyTo,dQty,"&gt;-1E+300",dFlt1,critFlt1,dFlt2,critFlt2,dFlt3,critFlt3))</f>
        <v/>
      </c>
      <c r="F2926" t="str">
        <f>IF($B2926="","",SUMIFS(dQty,dCust,$B2926,dPer,"&gt;="&amp;cyFrom,dPer,"&lt;="&amp;cyTo,dQty,"&gt;-1E+300",dFlt1,critFlt1,dFlt2,critFlt2,dFlt3,critFlt3))</f>
        <v/>
      </c>
      <c r="G2926">
        <f>IF($B2926="",0,IFERROR(IF(OR(C2926&lt;&gt;0,D2926&lt;&gt;0,E2926&lt;&gt;0,F2926&lt;&gt;0),1,0),1))</f>
        <v>0</v>
      </c>
      <c r="H2926" t="str">
        <f>IF(OR(G2926=0,E2926=0),"",C2926/E2926)</f>
        <v/>
      </c>
      <c r="I2926" t="str">
        <f>IF(OR(G2926=0,F2926=0),"",D2926/F2926)</f>
        <v/>
      </c>
      <c r="J2926" t="str">
        <f>IF(OR(H2926="",I2926=""),"",IF(H2926=0,"",I2926/H2926-1))</f>
        <v/>
      </c>
      <c r="K2926" t="str">
        <f>IF($B2926="","",IFERROR(IF(G2926=0,-2E+300,CHOOSE(sortIdx,ROUND(D2926,0),IF(J2926="",-1E+300,ROUND(-J2926,6)),IF(J2926="",-1E+300,ROUND(J2926,6)))),-1.5E+300))</f>
        <v/>
      </c>
      <c r="L2926" t="str">
        <f>IF(K2926="","",RANK(K2926,$K$2:$K$3001,0)+COUNTIF($K$2:K2926,K2926)-1)</f>
        <v/>
      </c>
    </row>
    <row r="2927">
      <c r="B2927" t="str">
        <f>IFERROR(IF(A2927="","","="&amp;SUBSTITUTE(SUBSTITUTE(SUBSTITUTE(A2927,"~","~~"),"*","~*"),"?","~?")),"")</f>
        <v/>
      </c>
      <c r="C2927" t="str">
        <f>IF($B2927="","",SUMIFS(dAmt,dCust,$B2927,dPer,"&gt;="&amp;pyFrom,dPer,"&lt;="&amp;pyTo,dAmt,"&gt;-1E+300",dFlt1,critFlt1,dFlt2,critFlt2,dFlt3,critFlt3))</f>
        <v/>
      </c>
      <c r="D2927" t="str">
        <f>IF($B2927="","",SUMIFS(dAmt,dCust,$B2927,dPer,"&gt;="&amp;cyFrom,dPer,"&lt;="&amp;cyTo,dAmt,"&gt;-1E+300",dFlt1,critFlt1,dFlt2,critFlt2,dFlt3,critFlt3))</f>
        <v/>
      </c>
      <c r="E2927" t="str">
        <f>IF($B2927="","",SUMIFS(dQty,dCust,$B2927,dPer,"&gt;="&amp;pyFrom,dPer,"&lt;="&amp;pyTo,dQty,"&gt;-1E+300",dFlt1,critFlt1,dFlt2,critFlt2,dFlt3,critFlt3))</f>
        <v/>
      </c>
      <c r="F2927" t="str">
        <f>IF($B2927="","",SUMIFS(dQty,dCust,$B2927,dPer,"&gt;="&amp;cyFrom,dPer,"&lt;="&amp;cyTo,dQty,"&gt;-1E+300",dFlt1,critFlt1,dFlt2,critFlt2,dFlt3,critFlt3))</f>
        <v/>
      </c>
      <c r="G2927">
        <f>IF($B2927="",0,IFERROR(IF(OR(C2927&lt;&gt;0,D2927&lt;&gt;0,E2927&lt;&gt;0,F2927&lt;&gt;0),1,0),1))</f>
        <v>0</v>
      </c>
      <c r="H2927" t="str">
        <f>IF(OR(G2927=0,E2927=0),"",C2927/E2927)</f>
        <v/>
      </c>
      <c r="I2927" t="str">
        <f>IF(OR(G2927=0,F2927=0),"",D2927/F2927)</f>
        <v/>
      </c>
      <c r="J2927" t="str">
        <f>IF(OR(H2927="",I2927=""),"",IF(H2927=0,"",I2927/H2927-1))</f>
        <v/>
      </c>
      <c r="K2927" t="str">
        <f>IF($B2927="","",IFERROR(IF(G2927=0,-2E+300,CHOOSE(sortIdx,ROUND(D2927,0),IF(J2927="",-1E+300,ROUND(-J2927,6)),IF(J2927="",-1E+300,ROUND(J2927,6)))),-1.5E+300))</f>
        <v/>
      </c>
      <c r="L2927" t="str">
        <f>IF(K2927="","",RANK(K2927,$K$2:$K$3001,0)+COUNTIF($K$2:K2927,K2927)-1)</f>
        <v/>
      </c>
    </row>
    <row r="2928">
      <c r="B2928" t="str">
        <f>IFERROR(IF(A2928="","","="&amp;SUBSTITUTE(SUBSTITUTE(SUBSTITUTE(A2928,"~","~~"),"*","~*"),"?","~?")),"")</f>
        <v/>
      </c>
      <c r="C2928" t="str">
        <f>IF($B2928="","",SUMIFS(dAmt,dCust,$B2928,dPer,"&gt;="&amp;pyFrom,dPer,"&lt;="&amp;pyTo,dAmt,"&gt;-1E+300",dFlt1,critFlt1,dFlt2,critFlt2,dFlt3,critFlt3))</f>
        <v/>
      </c>
      <c r="D2928" t="str">
        <f>IF($B2928="","",SUMIFS(dAmt,dCust,$B2928,dPer,"&gt;="&amp;cyFrom,dPer,"&lt;="&amp;cyTo,dAmt,"&gt;-1E+300",dFlt1,critFlt1,dFlt2,critFlt2,dFlt3,critFlt3))</f>
        <v/>
      </c>
      <c r="E2928" t="str">
        <f>IF($B2928="","",SUMIFS(dQty,dCust,$B2928,dPer,"&gt;="&amp;pyFrom,dPer,"&lt;="&amp;pyTo,dQty,"&gt;-1E+300",dFlt1,critFlt1,dFlt2,critFlt2,dFlt3,critFlt3))</f>
        <v/>
      </c>
      <c r="F2928" t="str">
        <f>IF($B2928="","",SUMIFS(dQty,dCust,$B2928,dPer,"&gt;="&amp;cyFrom,dPer,"&lt;="&amp;cyTo,dQty,"&gt;-1E+300",dFlt1,critFlt1,dFlt2,critFlt2,dFlt3,critFlt3))</f>
        <v/>
      </c>
      <c r="G2928">
        <f>IF($B2928="",0,IFERROR(IF(OR(C2928&lt;&gt;0,D2928&lt;&gt;0,E2928&lt;&gt;0,F2928&lt;&gt;0),1,0),1))</f>
        <v>0</v>
      </c>
      <c r="H2928" t="str">
        <f>IF(OR(G2928=0,E2928=0),"",C2928/E2928)</f>
        <v/>
      </c>
      <c r="I2928" t="str">
        <f>IF(OR(G2928=0,F2928=0),"",D2928/F2928)</f>
        <v/>
      </c>
      <c r="J2928" t="str">
        <f>IF(OR(H2928="",I2928=""),"",IF(H2928=0,"",I2928/H2928-1))</f>
        <v/>
      </c>
      <c r="K2928" t="str">
        <f>IF($B2928="","",IFERROR(IF(G2928=0,-2E+300,CHOOSE(sortIdx,ROUND(D2928,0),IF(J2928="",-1E+300,ROUND(-J2928,6)),IF(J2928="",-1E+300,ROUND(J2928,6)))),-1.5E+300))</f>
        <v/>
      </c>
      <c r="L2928" t="str">
        <f>IF(K2928="","",RANK(K2928,$K$2:$K$3001,0)+COUNTIF($K$2:K2928,K2928)-1)</f>
        <v/>
      </c>
    </row>
    <row r="2929">
      <c r="B2929" t="str">
        <f>IFERROR(IF(A2929="","","="&amp;SUBSTITUTE(SUBSTITUTE(SUBSTITUTE(A2929,"~","~~"),"*","~*"),"?","~?")),"")</f>
        <v/>
      </c>
      <c r="C2929" t="str">
        <f>IF($B2929="","",SUMIFS(dAmt,dCust,$B2929,dPer,"&gt;="&amp;pyFrom,dPer,"&lt;="&amp;pyTo,dAmt,"&gt;-1E+300",dFlt1,critFlt1,dFlt2,critFlt2,dFlt3,critFlt3))</f>
        <v/>
      </c>
      <c r="D2929" t="str">
        <f>IF($B2929="","",SUMIFS(dAmt,dCust,$B2929,dPer,"&gt;="&amp;cyFrom,dPer,"&lt;="&amp;cyTo,dAmt,"&gt;-1E+300",dFlt1,critFlt1,dFlt2,critFlt2,dFlt3,critFlt3))</f>
        <v/>
      </c>
      <c r="E2929" t="str">
        <f>IF($B2929="","",SUMIFS(dQty,dCust,$B2929,dPer,"&gt;="&amp;pyFrom,dPer,"&lt;="&amp;pyTo,dQty,"&gt;-1E+300",dFlt1,critFlt1,dFlt2,critFlt2,dFlt3,critFlt3))</f>
        <v/>
      </c>
      <c r="F2929" t="str">
        <f>IF($B2929="","",SUMIFS(dQty,dCust,$B2929,dPer,"&gt;="&amp;cyFrom,dPer,"&lt;="&amp;cyTo,dQty,"&gt;-1E+300",dFlt1,critFlt1,dFlt2,critFlt2,dFlt3,critFlt3))</f>
        <v/>
      </c>
      <c r="G2929">
        <f>IF($B2929="",0,IFERROR(IF(OR(C2929&lt;&gt;0,D2929&lt;&gt;0,E2929&lt;&gt;0,F2929&lt;&gt;0),1,0),1))</f>
        <v>0</v>
      </c>
      <c r="H2929" t="str">
        <f>IF(OR(G2929=0,E2929=0),"",C2929/E2929)</f>
        <v/>
      </c>
      <c r="I2929" t="str">
        <f>IF(OR(G2929=0,F2929=0),"",D2929/F2929)</f>
        <v/>
      </c>
      <c r="J2929" t="str">
        <f>IF(OR(H2929="",I2929=""),"",IF(H2929=0,"",I2929/H2929-1))</f>
        <v/>
      </c>
      <c r="K2929" t="str">
        <f>IF($B2929="","",IFERROR(IF(G2929=0,-2E+300,CHOOSE(sortIdx,ROUND(D2929,0),IF(J2929="",-1E+300,ROUND(-J2929,6)),IF(J2929="",-1E+300,ROUND(J2929,6)))),-1.5E+300))</f>
        <v/>
      </c>
      <c r="L2929" t="str">
        <f>IF(K2929="","",RANK(K2929,$K$2:$K$3001,0)+COUNTIF($K$2:K2929,K2929)-1)</f>
        <v/>
      </c>
    </row>
    <row r="2930">
      <c r="B2930" t="str">
        <f>IFERROR(IF(A2930="","","="&amp;SUBSTITUTE(SUBSTITUTE(SUBSTITUTE(A2930,"~","~~"),"*","~*"),"?","~?")),"")</f>
        <v/>
      </c>
      <c r="C2930" t="str">
        <f>IF($B2930="","",SUMIFS(dAmt,dCust,$B2930,dPer,"&gt;="&amp;pyFrom,dPer,"&lt;="&amp;pyTo,dAmt,"&gt;-1E+300",dFlt1,critFlt1,dFlt2,critFlt2,dFlt3,critFlt3))</f>
        <v/>
      </c>
      <c r="D2930" t="str">
        <f>IF($B2930="","",SUMIFS(dAmt,dCust,$B2930,dPer,"&gt;="&amp;cyFrom,dPer,"&lt;="&amp;cyTo,dAmt,"&gt;-1E+300",dFlt1,critFlt1,dFlt2,critFlt2,dFlt3,critFlt3))</f>
        <v/>
      </c>
      <c r="E2930" t="str">
        <f>IF($B2930="","",SUMIFS(dQty,dCust,$B2930,dPer,"&gt;="&amp;pyFrom,dPer,"&lt;="&amp;pyTo,dQty,"&gt;-1E+300",dFlt1,critFlt1,dFlt2,critFlt2,dFlt3,critFlt3))</f>
        <v/>
      </c>
      <c r="F2930" t="str">
        <f>IF($B2930="","",SUMIFS(dQty,dCust,$B2930,dPer,"&gt;="&amp;cyFrom,dPer,"&lt;="&amp;cyTo,dQty,"&gt;-1E+300",dFlt1,critFlt1,dFlt2,critFlt2,dFlt3,critFlt3))</f>
        <v/>
      </c>
      <c r="G2930">
        <f>IF($B2930="",0,IFERROR(IF(OR(C2930&lt;&gt;0,D2930&lt;&gt;0,E2930&lt;&gt;0,F2930&lt;&gt;0),1,0),1))</f>
        <v>0</v>
      </c>
      <c r="H2930" t="str">
        <f>IF(OR(G2930=0,E2930=0),"",C2930/E2930)</f>
        <v/>
      </c>
      <c r="I2930" t="str">
        <f>IF(OR(G2930=0,F2930=0),"",D2930/F2930)</f>
        <v/>
      </c>
      <c r="J2930" t="str">
        <f>IF(OR(H2930="",I2930=""),"",IF(H2930=0,"",I2930/H2930-1))</f>
        <v/>
      </c>
      <c r="K2930" t="str">
        <f>IF($B2930="","",IFERROR(IF(G2930=0,-2E+300,CHOOSE(sortIdx,ROUND(D2930,0),IF(J2930="",-1E+300,ROUND(-J2930,6)),IF(J2930="",-1E+300,ROUND(J2930,6)))),-1.5E+300))</f>
        <v/>
      </c>
      <c r="L2930" t="str">
        <f>IF(K2930="","",RANK(K2930,$K$2:$K$3001,0)+COUNTIF($K$2:K2930,K2930)-1)</f>
        <v/>
      </c>
    </row>
    <row r="2931">
      <c r="B2931" t="str">
        <f>IFERROR(IF(A2931="","","="&amp;SUBSTITUTE(SUBSTITUTE(SUBSTITUTE(A2931,"~","~~"),"*","~*"),"?","~?")),"")</f>
        <v/>
      </c>
      <c r="C2931" t="str">
        <f>IF($B2931="","",SUMIFS(dAmt,dCust,$B2931,dPer,"&gt;="&amp;pyFrom,dPer,"&lt;="&amp;pyTo,dAmt,"&gt;-1E+300",dFlt1,critFlt1,dFlt2,critFlt2,dFlt3,critFlt3))</f>
        <v/>
      </c>
      <c r="D2931" t="str">
        <f>IF($B2931="","",SUMIFS(dAmt,dCust,$B2931,dPer,"&gt;="&amp;cyFrom,dPer,"&lt;="&amp;cyTo,dAmt,"&gt;-1E+300",dFlt1,critFlt1,dFlt2,critFlt2,dFlt3,critFlt3))</f>
        <v/>
      </c>
      <c r="E2931" t="str">
        <f>IF($B2931="","",SUMIFS(dQty,dCust,$B2931,dPer,"&gt;="&amp;pyFrom,dPer,"&lt;="&amp;pyTo,dQty,"&gt;-1E+300",dFlt1,critFlt1,dFlt2,critFlt2,dFlt3,critFlt3))</f>
        <v/>
      </c>
      <c r="F2931" t="str">
        <f>IF($B2931="","",SUMIFS(dQty,dCust,$B2931,dPer,"&gt;="&amp;cyFrom,dPer,"&lt;="&amp;cyTo,dQty,"&gt;-1E+300",dFlt1,critFlt1,dFlt2,critFlt2,dFlt3,critFlt3))</f>
        <v/>
      </c>
      <c r="G2931">
        <f>IF($B2931="",0,IFERROR(IF(OR(C2931&lt;&gt;0,D2931&lt;&gt;0,E2931&lt;&gt;0,F2931&lt;&gt;0),1,0),1))</f>
        <v>0</v>
      </c>
      <c r="H2931" t="str">
        <f>IF(OR(G2931=0,E2931=0),"",C2931/E2931)</f>
        <v/>
      </c>
      <c r="I2931" t="str">
        <f>IF(OR(G2931=0,F2931=0),"",D2931/F2931)</f>
        <v/>
      </c>
      <c r="J2931" t="str">
        <f>IF(OR(H2931="",I2931=""),"",IF(H2931=0,"",I2931/H2931-1))</f>
        <v/>
      </c>
      <c r="K2931" t="str">
        <f>IF($B2931="","",IFERROR(IF(G2931=0,-2E+300,CHOOSE(sortIdx,ROUND(D2931,0),IF(J2931="",-1E+300,ROUND(-J2931,6)),IF(J2931="",-1E+300,ROUND(J2931,6)))),-1.5E+300))</f>
        <v/>
      </c>
      <c r="L2931" t="str">
        <f>IF(K2931="","",RANK(K2931,$K$2:$K$3001,0)+COUNTIF($K$2:K2931,K2931)-1)</f>
        <v/>
      </c>
    </row>
    <row r="2932">
      <c r="B2932" t="str">
        <f>IFERROR(IF(A2932="","","="&amp;SUBSTITUTE(SUBSTITUTE(SUBSTITUTE(A2932,"~","~~"),"*","~*"),"?","~?")),"")</f>
        <v/>
      </c>
      <c r="C2932" t="str">
        <f>IF($B2932="","",SUMIFS(dAmt,dCust,$B2932,dPer,"&gt;="&amp;pyFrom,dPer,"&lt;="&amp;pyTo,dAmt,"&gt;-1E+300",dFlt1,critFlt1,dFlt2,critFlt2,dFlt3,critFlt3))</f>
        <v/>
      </c>
      <c r="D2932" t="str">
        <f>IF($B2932="","",SUMIFS(dAmt,dCust,$B2932,dPer,"&gt;="&amp;cyFrom,dPer,"&lt;="&amp;cyTo,dAmt,"&gt;-1E+300",dFlt1,critFlt1,dFlt2,critFlt2,dFlt3,critFlt3))</f>
        <v/>
      </c>
      <c r="E2932" t="str">
        <f>IF($B2932="","",SUMIFS(dQty,dCust,$B2932,dPer,"&gt;="&amp;pyFrom,dPer,"&lt;="&amp;pyTo,dQty,"&gt;-1E+300",dFlt1,critFlt1,dFlt2,critFlt2,dFlt3,critFlt3))</f>
        <v/>
      </c>
      <c r="F2932" t="str">
        <f>IF($B2932="","",SUMIFS(dQty,dCust,$B2932,dPer,"&gt;="&amp;cyFrom,dPer,"&lt;="&amp;cyTo,dQty,"&gt;-1E+300",dFlt1,critFlt1,dFlt2,critFlt2,dFlt3,critFlt3))</f>
        <v/>
      </c>
      <c r="G2932">
        <f>IF($B2932="",0,IFERROR(IF(OR(C2932&lt;&gt;0,D2932&lt;&gt;0,E2932&lt;&gt;0,F2932&lt;&gt;0),1,0),1))</f>
        <v>0</v>
      </c>
      <c r="H2932" t="str">
        <f>IF(OR(G2932=0,E2932=0),"",C2932/E2932)</f>
        <v/>
      </c>
      <c r="I2932" t="str">
        <f>IF(OR(G2932=0,F2932=0),"",D2932/F2932)</f>
        <v/>
      </c>
      <c r="J2932" t="str">
        <f>IF(OR(H2932="",I2932=""),"",IF(H2932=0,"",I2932/H2932-1))</f>
        <v/>
      </c>
      <c r="K2932" t="str">
        <f>IF($B2932="","",IFERROR(IF(G2932=0,-2E+300,CHOOSE(sortIdx,ROUND(D2932,0),IF(J2932="",-1E+300,ROUND(-J2932,6)),IF(J2932="",-1E+300,ROUND(J2932,6)))),-1.5E+300))</f>
        <v/>
      </c>
      <c r="L2932" t="str">
        <f>IF(K2932="","",RANK(K2932,$K$2:$K$3001,0)+COUNTIF($K$2:K2932,K2932)-1)</f>
        <v/>
      </c>
    </row>
    <row r="2933">
      <c r="B2933" t="str">
        <f>IFERROR(IF(A2933="","","="&amp;SUBSTITUTE(SUBSTITUTE(SUBSTITUTE(A2933,"~","~~"),"*","~*"),"?","~?")),"")</f>
        <v/>
      </c>
      <c r="C2933" t="str">
        <f>IF($B2933="","",SUMIFS(dAmt,dCust,$B2933,dPer,"&gt;="&amp;pyFrom,dPer,"&lt;="&amp;pyTo,dAmt,"&gt;-1E+300",dFlt1,critFlt1,dFlt2,critFlt2,dFlt3,critFlt3))</f>
        <v/>
      </c>
      <c r="D2933" t="str">
        <f>IF($B2933="","",SUMIFS(dAmt,dCust,$B2933,dPer,"&gt;="&amp;cyFrom,dPer,"&lt;="&amp;cyTo,dAmt,"&gt;-1E+300",dFlt1,critFlt1,dFlt2,critFlt2,dFlt3,critFlt3))</f>
        <v/>
      </c>
      <c r="E2933" t="str">
        <f>IF($B2933="","",SUMIFS(dQty,dCust,$B2933,dPer,"&gt;="&amp;pyFrom,dPer,"&lt;="&amp;pyTo,dQty,"&gt;-1E+300",dFlt1,critFlt1,dFlt2,critFlt2,dFlt3,critFlt3))</f>
        <v/>
      </c>
      <c r="F2933" t="str">
        <f>IF($B2933="","",SUMIFS(dQty,dCust,$B2933,dPer,"&gt;="&amp;cyFrom,dPer,"&lt;="&amp;cyTo,dQty,"&gt;-1E+300",dFlt1,critFlt1,dFlt2,critFlt2,dFlt3,critFlt3))</f>
        <v/>
      </c>
      <c r="G2933">
        <f>IF($B2933="",0,IFERROR(IF(OR(C2933&lt;&gt;0,D2933&lt;&gt;0,E2933&lt;&gt;0,F2933&lt;&gt;0),1,0),1))</f>
        <v>0</v>
      </c>
      <c r="H2933" t="str">
        <f>IF(OR(G2933=0,E2933=0),"",C2933/E2933)</f>
        <v/>
      </c>
      <c r="I2933" t="str">
        <f>IF(OR(G2933=0,F2933=0),"",D2933/F2933)</f>
        <v/>
      </c>
      <c r="J2933" t="str">
        <f>IF(OR(H2933="",I2933=""),"",IF(H2933=0,"",I2933/H2933-1))</f>
        <v/>
      </c>
      <c r="K2933" t="str">
        <f>IF($B2933="","",IFERROR(IF(G2933=0,-2E+300,CHOOSE(sortIdx,ROUND(D2933,0),IF(J2933="",-1E+300,ROUND(-J2933,6)),IF(J2933="",-1E+300,ROUND(J2933,6)))),-1.5E+300))</f>
        <v/>
      </c>
      <c r="L2933" t="str">
        <f>IF(K2933="","",RANK(K2933,$K$2:$K$3001,0)+COUNTIF($K$2:K2933,K2933)-1)</f>
        <v/>
      </c>
    </row>
    <row r="2934">
      <c r="B2934" t="str">
        <f>IFERROR(IF(A2934="","","="&amp;SUBSTITUTE(SUBSTITUTE(SUBSTITUTE(A2934,"~","~~"),"*","~*"),"?","~?")),"")</f>
        <v/>
      </c>
      <c r="C2934" t="str">
        <f>IF($B2934="","",SUMIFS(dAmt,dCust,$B2934,dPer,"&gt;="&amp;pyFrom,dPer,"&lt;="&amp;pyTo,dAmt,"&gt;-1E+300",dFlt1,critFlt1,dFlt2,critFlt2,dFlt3,critFlt3))</f>
        <v/>
      </c>
      <c r="D2934" t="str">
        <f>IF($B2934="","",SUMIFS(dAmt,dCust,$B2934,dPer,"&gt;="&amp;cyFrom,dPer,"&lt;="&amp;cyTo,dAmt,"&gt;-1E+300",dFlt1,critFlt1,dFlt2,critFlt2,dFlt3,critFlt3))</f>
        <v/>
      </c>
      <c r="E2934" t="str">
        <f>IF($B2934="","",SUMIFS(dQty,dCust,$B2934,dPer,"&gt;="&amp;pyFrom,dPer,"&lt;="&amp;pyTo,dQty,"&gt;-1E+300",dFlt1,critFlt1,dFlt2,critFlt2,dFlt3,critFlt3))</f>
        <v/>
      </c>
      <c r="F2934" t="str">
        <f>IF($B2934="","",SUMIFS(dQty,dCust,$B2934,dPer,"&gt;="&amp;cyFrom,dPer,"&lt;="&amp;cyTo,dQty,"&gt;-1E+300",dFlt1,critFlt1,dFlt2,critFlt2,dFlt3,critFlt3))</f>
        <v/>
      </c>
      <c r="G2934">
        <f>IF($B2934="",0,IFERROR(IF(OR(C2934&lt;&gt;0,D2934&lt;&gt;0,E2934&lt;&gt;0,F2934&lt;&gt;0),1,0),1))</f>
        <v>0</v>
      </c>
      <c r="H2934" t="str">
        <f>IF(OR(G2934=0,E2934=0),"",C2934/E2934)</f>
        <v/>
      </c>
      <c r="I2934" t="str">
        <f>IF(OR(G2934=0,F2934=0),"",D2934/F2934)</f>
        <v/>
      </c>
      <c r="J2934" t="str">
        <f>IF(OR(H2934="",I2934=""),"",IF(H2934=0,"",I2934/H2934-1))</f>
        <v/>
      </c>
      <c r="K2934" t="str">
        <f>IF($B2934="","",IFERROR(IF(G2934=0,-2E+300,CHOOSE(sortIdx,ROUND(D2934,0),IF(J2934="",-1E+300,ROUND(-J2934,6)),IF(J2934="",-1E+300,ROUND(J2934,6)))),-1.5E+300))</f>
        <v/>
      </c>
      <c r="L2934" t="str">
        <f>IF(K2934="","",RANK(K2934,$K$2:$K$3001,0)+COUNTIF($K$2:K2934,K2934)-1)</f>
        <v/>
      </c>
    </row>
    <row r="2935">
      <c r="B2935" t="str">
        <f>IFERROR(IF(A2935="","","="&amp;SUBSTITUTE(SUBSTITUTE(SUBSTITUTE(A2935,"~","~~"),"*","~*"),"?","~?")),"")</f>
        <v/>
      </c>
      <c r="C2935" t="str">
        <f>IF($B2935="","",SUMIFS(dAmt,dCust,$B2935,dPer,"&gt;="&amp;pyFrom,dPer,"&lt;="&amp;pyTo,dAmt,"&gt;-1E+300",dFlt1,critFlt1,dFlt2,critFlt2,dFlt3,critFlt3))</f>
        <v/>
      </c>
      <c r="D2935" t="str">
        <f>IF($B2935="","",SUMIFS(dAmt,dCust,$B2935,dPer,"&gt;="&amp;cyFrom,dPer,"&lt;="&amp;cyTo,dAmt,"&gt;-1E+300",dFlt1,critFlt1,dFlt2,critFlt2,dFlt3,critFlt3))</f>
        <v/>
      </c>
      <c r="E2935" t="str">
        <f>IF($B2935="","",SUMIFS(dQty,dCust,$B2935,dPer,"&gt;="&amp;pyFrom,dPer,"&lt;="&amp;pyTo,dQty,"&gt;-1E+300",dFlt1,critFlt1,dFlt2,critFlt2,dFlt3,critFlt3))</f>
        <v/>
      </c>
      <c r="F2935" t="str">
        <f>IF($B2935="","",SUMIFS(dQty,dCust,$B2935,dPer,"&gt;="&amp;cyFrom,dPer,"&lt;="&amp;cyTo,dQty,"&gt;-1E+300",dFlt1,critFlt1,dFlt2,critFlt2,dFlt3,critFlt3))</f>
        <v/>
      </c>
      <c r="G2935">
        <f>IF($B2935="",0,IFERROR(IF(OR(C2935&lt;&gt;0,D2935&lt;&gt;0,E2935&lt;&gt;0,F2935&lt;&gt;0),1,0),1))</f>
        <v>0</v>
      </c>
      <c r="H2935" t="str">
        <f>IF(OR(G2935=0,E2935=0),"",C2935/E2935)</f>
        <v/>
      </c>
      <c r="I2935" t="str">
        <f>IF(OR(G2935=0,F2935=0),"",D2935/F2935)</f>
        <v/>
      </c>
      <c r="J2935" t="str">
        <f>IF(OR(H2935="",I2935=""),"",IF(H2935=0,"",I2935/H2935-1))</f>
        <v/>
      </c>
      <c r="K2935" t="str">
        <f>IF($B2935="","",IFERROR(IF(G2935=0,-2E+300,CHOOSE(sortIdx,ROUND(D2935,0),IF(J2935="",-1E+300,ROUND(-J2935,6)),IF(J2935="",-1E+300,ROUND(J2935,6)))),-1.5E+300))</f>
        <v/>
      </c>
      <c r="L2935" t="str">
        <f>IF(K2935="","",RANK(K2935,$K$2:$K$3001,0)+COUNTIF($K$2:K2935,K2935)-1)</f>
        <v/>
      </c>
    </row>
    <row r="2936">
      <c r="B2936" t="str">
        <f>IFERROR(IF(A2936="","","="&amp;SUBSTITUTE(SUBSTITUTE(SUBSTITUTE(A2936,"~","~~"),"*","~*"),"?","~?")),"")</f>
        <v/>
      </c>
      <c r="C2936" t="str">
        <f>IF($B2936="","",SUMIFS(dAmt,dCust,$B2936,dPer,"&gt;="&amp;pyFrom,dPer,"&lt;="&amp;pyTo,dAmt,"&gt;-1E+300",dFlt1,critFlt1,dFlt2,critFlt2,dFlt3,critFlt3))</f>
        <v/>
      </c>
      <c r="D2936" t="str">
        <f>IF($B2936="","",SUMIFS(dAmt,dCust,$B2936,dPer,"&gt;="&amp;cyFrom,dPer,"&lt;="&amp;cyTo,dAmt,"&gt;-1E+300",dFlt1,critFlt1,dFlt2,critFlt2,dFlt3,critFlt3))</f>
        <v/>
      </c>
      <c r="E2936" t="str">
        <f>IF($B2936="","",SUMIFS(dQty,dCust,$B2936,dPer,"&gt;="&amp;pyFrom,dPer,"&lt;="&amp;pyTo,dQty,"&gt;-1E+300",dFlt1,critFlt1,dFlt2,critFlt2,dFlt3,critFlt3))</f>
        <v/>
      </c>
      <c r="F2936" t="str">
        <f>IF($B2936="","",SUMIFS(dQty,dCust,$B2936,dPer,"&gt;="&amp;cyFrom,dPer,"&lt;="&amp;cyTo,dQty,"&gt;-1E+300",dFlt1,critFlt1,dFlt2,critFlt2,dFlt3,critFlt3))</f>
        <v/>
      </c>
      <c r="G2936">
        <f>IF($B2936="",0,IFERROR(IF(OR(C2936&lt;&gt;0,D2936&lt;&gt;0,E2936&lt;&gt;0,F2936&lt;&gt;0),1,0),1))</f>
        <v>0</v>
      </c>
      <c r="H2936" t="str">
        <f>IF(OR(G2936=0,E2936=0),"",C2936/E2936)</f>
        <v/>
      </c>
      <c r="I2936" t="str">
        <f>IF(OR(G2936=0,F2936=0),"",D2936/F2936)</f>
        <v/>
      </c>
      <c r="J2936" t="str">
        <f>IF(OR(H2936="",I2936=""),"",IF(H2936=0,"",I2936/H2936-1))</f>
        <v/>
      </c>
      <c r="K2936" t="str">
        <f>IF($B2936="","",IFERROR(IF(G2936=0,-2E+300,CHOOSE(sortIdx,ROUND(D2936,0),IF(J2936="",-1E+300,ROUND(-J2936,6)),IF(J2936="",-1E+300,ROUND(J2936,6)))),-1.5E+300))</f>
        <v/>
      </c>
      <c r="L2936" t="str">
        <f>IF(K2936="","",RANK(K2936,$K$2:$K$3001,0)+COUNTIF($K$2:K2936,K2936)-1)</f>
        <v/>
      </c>
    </row>
    <row r="2937">
      <c r="B2937" t="str">
        <f>IFERROR(IF(A2937="","","="&amp;SUBSTITUTE(SUBSTITUTE(SUBSTITUTE(A2937,"~","~~"),"*","~*"),"?","~?")),"")</f>
        <v/>
      </c>
      <c r="C2937" t="str">
        <f>IF($B2937="","",SUMIFS(dAmt,dCust,$B2937,dPer,"&gt;="&amp;pyFrom,dPer,"&lt;="&amp;pyTo,dAmt,"&gt;-1E+300",dFlt1,critFlt1,dFlt2,critFlt2,dFlt3,critFlt3))</f>
        <v/>
      </c>
      <c r="D2937" t="str">
        <f>IF($B2937="","",SUMIFS(dAmt,dCust,$B2937,dPer,"&gt;="&amp;cyFrom,dPer,"&lt;="&amp;cyTo,dAmt,"&gt;-1E+300",dFlt1,critFlt1,dFlt2,critFlt2,dFlt3,critFlt3))</f>
        <v/>
      </c>
      <c r="E2937" t="str">
        <f>IF($B2937="","",SUMIFS(dQty,dCust,$B2937,dPer,"&gt;="&amp;pyFrom,dPer,"&lt;="&amp;pyTo,dQty,"&gt;-1E+300",dFlt1,critFlt1,dFlt2,critFlt2,dFlt3,critFlt3))</f>
        <v/>
      </c>
      <c r="F2937" t="str">
        <f>IF($B2937="","",SUMIFS(dQty,dCust,$B2937,dPer,"&gt;="&amp;cyFrom,dPer,"&lt;="&amp;cyTo,dQty,"&gt;-1E+300",dFlt1,critFlt1,dFlt2,critFlt2,dFlt3,critFlt3))</f>
        <v/>
      </c>
      <c r="G2937">
        <f>IF($B2937="",0,IFERROR(IF(OR(C2937&lt;&gt;0,D2937&lt;&gt;0,E2937&lt;&gt;0,F2937&lt;&gt;0),1,0),1))</f>
        <v>0</v>
      </c>
      <c r="H2937" t="str">
        <f>IF(OR(G2937=0,E2937=0),"",C2937/E2937)</f>
        <v/>
      </c>
      <c r="I2937" t="str">
        <f>IF(OR(G2937=0,F2937=0),"",D2937/F2937)</f>
        <v/>
      </c>
      <c r="J2937" t="str">
        <f>IF(OR(H2937="",I2937=""),"",IF(H2937=0,"",I2937/H2937-1))</f>
        <v/>
      </c>
      <c r="K2937" t="str">
        <f>IF($B2937="","",IFERROR(IF(G2937=0,-2E+300,CHOOSE(sortIdx,ROUND(D2937,0),IF(J2937="",-1E+300,ROUND(-J2937,6)),IF(J2937="",-1E+300,ROUND(J2937,6)))),-1.5E+300))</f>
        <v/>
      </c>
      <c r="L2937" t="str">
        <f>IF(K2937="","",RANK(K2937,$K$2:$K$3001,0)+COUNTIF($K$2:K2937,K2937)-1)</f>
        <v/>
      </c>
    </row>
    <row r="2938">
      <c r="B2938" t="str">
        <f>IFERROR(IF(A2938="","","="&amp;SUBSTITUTE(SUBSTITUTE(SUBSTITUTE(A2938,"~","~~"),"*","~*"),"?","~?")),"")</f>
        <v/>
      </c>
      <c r="C2938" t="str">
        <f>IF($B2938="","",SUMIFS(dAmt,dCust,$B2938,dPer,"&gt;="&amp;pyFrom,dPer,"&lt;="&amp;pyTo,dAmt,"&gt;-1E+300",dFlt1,critFlt1,dFlt2,critFlt2,dFlt3,critFlt3))</f>
        <v/>
      </c>
      <c r="D2938" t="str">
        <f>IF($B2938="","",SUMIFS(dAmt,dCust,$B2938,dPer,"&gt;="&amp;cyFrom,dPer,"&lt;="&amp;cyTo,dAmt,"&gt;-1E+300",dFlt1,critFlt1,dFlt2,critFlt2,dFlt3,critFlt3))</f>
        <v/>
      </c>
      <c r="E2938" t="str">
        <f>IF($B2938="","",SUMIFS(dQty,dCust,$B2938,dPer,"&gt;="&amp;pyFrom,dPer,"&lt;="&amp;pyTo,dQty,"&gt;-1E+300",dFlt1,critFlt1,dFlt2,critFlt2,dFlt3,critFlt3))</f>
        <v/>
      </c>
      <c r="F2938" t="str">
        <f>IF($B2938="","",SUMIFS(dQty,dCust,$B2938,dPer,"&gt;="&amp;cyFrom,dPer,"&lt;="&amp;cyTo,dQty,"&gt;-1E+300",dFlt1,critFlt1,dFlt2,critFlt2,dFlt3,critFlt3))</f>
        <v/>
      </c>
      <c r="G2938">
        <f>IF($B2938="",0,IFERROR(IF(OR(C2938&lt;&gt;0,D2938&lt;&gt;0,E2938&lt;&gt;0,F2938&lt;&gt;0),1,0),1))</f>
        <v>0</v>
      </c>
      <c r="H2938" t="str">
        <f>IF(OR(G2938=0,E2938=0),"",C2938/E2938)</f>
        <v/>
      </c>
      <c r="I2938" t="str">
        <f>IF(OR(G2938=0,F2938=0),"",D2938/F2938)</f>
        <v/>
      </c>
      <c r="J2938" t="str">
        <f>IF(OR(H2938="",I2938=""),"",IF(H2938=0,"",I2938/H2938-1))</f>
        <v/>
      </c>
      <c r="K2938" t="str">
        <f>IF($B2938="","",IFERROR(IF(G2938=0,-2E+300,CHOOSE(sortIdx,ROUND(D2938,0),IF(J2938="",-1E+300,ROUND(-J2938,6)),IF(J2938="",-1E+300,ROUND(J2938,6)))),-1.5E+300))</f>
        <v/>
      </c>
      <c r="L2938" t="str">
        <f>IF(K2938="","",RANK(K2938,$K$2:$K$3001,0)+COUNTIF($K$2:K2938,K2938)-1)</f>
        <v/>
      </c>
    </row>
    <row r="2939">
      <c r="B2939" t="str">
        <f>IFERROR(IF(A2939="","","="&amp;SUBSTITUTE(SUBSTITUTE(SUBSTITUTE(A2939,"~","~~"),"*","~*"),"?","~?")),"")</f>
        <v/>
      </c>
      <c r="C2939" t="str">
        <f>IF($B2939="","",SUMIFS(dAmt,dCust,$B2939,dPer,"&gt;="&amp;pyFrom,dPer,"&lt;="&amp;pyTo,dAmt,"&gt;-1E+300",dFlt1,critFlt1,dFlt2,critFlt2,dFlt3,critFlt3))</f>
        <v/>
      </c>
      <c r="D2939" t="str">
        <f>IF($B2939="","",SUMIFS(dAmt,dCust,$B2939,dPer,"&gt;="&amp;cyFrom,dPer,"&lt;="&amp;cyTo,dAmt,"&gt;-1E+300",dFlt1,critFlt1,dFlt2,critFlt2,dFlt3,critFlt3))</f>
        <v/>
      </c>
      <c r="E2939" t="str">
        <f>IF($B2939="","",SUMIFS(dQty,dCust,$B2939,dPer,"&gt;="&amp;pyFrom,dPer,"&lt;="&amp;pyTo,dQty,"&gt;-1E+300",dFlt1,critFlt1,dFlt2,critFlt2,dFlt3,critFlt3))</f>
        <v/>
      </c>
      <c r="F2939" t="str">
        <f>IF($B2939="","",SUMIFS(dQty,dCust,$B2939,dPer,"&gt;="&amp;cyFrom,dPer,"&lt;="&amp;cyTo,dQty,"&gt;-1E+300",dFlt1,critFlt1,dFlt2,critFlt2,dFlt3,critFlt3))</f>
        <v/>
      </c>
      <c r="G2939">
        <f>IF($B2939="",0,IFERROR(IF(OR(C2939&lt;&gt;0,D2939&lt;&gt;0,E2939&lt;&gt;0,F2939&lt;&gt;0),1,0),1))</f>
        <v>0</v>
      </c>
      <c r="H2939" t="str">
        <f>IF(OR(G2939=0,E2939=0),"",C2939/E2939)</f>
        <v/>
      </c>
      <c r="I2939" t="str">
        <f>IF(OR(G2939=0,F2939=0),"",D2939/F2939)</f>
        <v/>
      </c>
      <c r="J2939" t="str">
        <f>IF(OR(H2939="",I2939=""),"",IF(H2939=0,"",I2939/H2939-1))</f>
        <v/>
      </c>
      <c r="K2939" t="str">
        <f>IF($B2939="","",IFERROR(IF(G2939=0,-2E+300,CHOOSE(sortIdx,ROUND(D2939,0),IF(J2939="",-1E+300,ROUND(-J2939,6)),IF(J2939="",-1E+300,ROUND(J2939,6)))),-1.5E+300))</f>
        <v/>
      </c>
      <c r="L2939" t="str">
        <f>IF(K2939="","",RANK(K2939,$K$2:$K$3001,0)+COUNTIF($K$2:K2939,K2939)-1)</f>
        <v/>
      </c>
    </row>
    <row r="2940">
      <c r="B2940" t="str">
        <f>IFERROR(IF(A2940="","","="&amp;SUBSTITUTE(SUBSTITUTE(SUBSTITUTE(A2940,"~","~~"),"*","~*"),"?","~?")),"")</f>
        <v/>
      </c>
      <c r="C2940" t="str">
        <f>IF($B2940="","",SUMIFS(dAmt,dCust,$B2940,dPer,"&gt;="&amp;pyFrom,dPer,"&lt;="&amp;pyTo,dAmt,"&gt;-1E+300",dFlt1,critFlt1,dFlt2,critFlt2,dFlt3,critFlt3))</f>
        <v/>
      </c>
      <c r="D2940" t="str">
        <f>IF($B2940="","",SUMIFS(dAmt,dCust,$B2940,dPer,"&gt;="&amp;cyFrom,dPer,"&lt;="&amp;cyTo,dAmt,"&gt;-1E+300",dFlt1,critFlt1,dFlt2,critFlt2,dFlt3,critFlt3))</f>
        <v/>
      </c>
      <c r="E2940" t="str">
        <f>IF($B2940="","",SUMIFS(dQty,dCust,$B2940,dPer,"&gt;="&amp;pyFrom,dPer,"&lt;="&amp;pyTo,dQty,"&gt;-1E+300",dFlt1,critFlt1,dFlt2,critFlt2,dFlt3,critFlt3))</f>
        <v/>
      </c>
      <c r="F2940" t="str">
        <f>IF($B2940="","",SUMIFS(dQty,dCust,$B2940,dPer,"&gt;="&amp;cyFrom,dPer,"&lt;="&amp;cyTo,dQty,"&gt;-1E+300",dFlt1,critFlt1,dFlt2,critFlt2,dFlt3,critFlt3))</f>
        <v/>
      </c>
      <c r="G2940">
        <f>IF($B2940="",0,IFERROR(IF(OR(C2940&lt;&gt;0,D2940&lt;&gt;0,E2940&lt;&gt;0,F2940&lt;&gt;0),1,0),1))</f>
        <v>0</v>
      </c>
      <c r="H2940" t="str">
        <f>IF(OR(G2940=0,E2940=0),"",C2940/E2940)</f>
        <v/>
      </c>
      <c r="I2940" t="str">
        <f>IF(OR(G2940=0,F2940=0),"",D2940/F2940)</f>
        <v/>
      </c>
      <c r="J2940" t="str">
        <f>IF(OR(H2940="",I2940=""),"",IF(H2940=0,"",I2940/H2940-1))</f>
        <v/>
      </c>
      <c r="K2940" t="str">
        <f>IF($B2940="","",IFERROR(IF(G2940=0,-2E+300,CHOOSE(sortIdx,ROUND(D2940,0),IF(J2940="",-1E+300,ROUND(-J2940,6)),IF(J2940="",-1E+300,ROUND(J2940,6)))),-1.5E+300))</f>
        <v/>
      </c>
      <c r="L2940" t="str">
        <f>IF(K2940="","",RANK(K2940,$K$2:$K$3001,0)+COUNTIF($K$2:K2940,K2940)-1)</f>
        <v/>
      </c>
    </row>
    <row r="2941">
      <c r="B2941" t="str">
        <f>IFERROR(IF(A2941="","","="&amp;SUBSTITUTE(SUBSTITUTE(SUBSTITUTE(A2941,"~","~~"),"*","~*"),"?","~?")),"")</f>
        <v/>
      </c>
      <c r="C2941" t="str">
        <f>IF($B2941="","",SUMIFS(dAmt,dCust,$B2941,dPer,"&gt;="&amp;pyFrom,dPer,"&lt;="&amp;pyTo,dAmt,"&gt;-1E+300",dFlt1,critFlt1,dFlt2,critFlt2,dFlt3,critFlt3))</f>
        <v/>
      </c>
      <c r="D2941" t="str">
        <f>IF($B2941="","",SUMIFS(dAmt,dCust,$B2941,dPer,"&gt;="&amp;cyFrom,dPer,"&lt;="&amp;cyTo,dAmt,"&gt;-1E+300",dFlt1,critFlt1,dFlt2,critFlt2,dFlt3,critFlt3))</f>
        <v/>
      </c>
      <c r="E2941" t="str">
        <f>IF($B2941="","",SUMIFS(dQty,dCust,$B2941,dPer,"&gt;="&amp;pyFrom,dPer,"&lt;="&amp;pyTo,dQty,"&gt;-1E+300",dFlt1,critFlt1,dFlt2,critFlt2,dFlt3,critFlt3))</f>
        <v/>
      </c>
      <c r="F2941" t="str">
        <f>IF($B2941="","",SUMIFS(dQty,dCust,$B2941,dPer,"&gt;="&amp;cyFrom,dPer,"&lt;="&amp;cyTo,dQty,"&gt;-1E+300",dFlt1,critFlt1,dFlt2,critFlt2,dFlt3,critFlt3))</f>
        <v/>
      </c>
      <c r="G2941">
        <f>IF($B2941="",0,IFERROR(IF(OR(C2941&lt;&gt;0,D2941&lt;&gt;0,E2941&lt;&gt;0,F2941&lt;&gt;0),1,0),1))</f>
        <v>0</v>
      </c>
      <c r="H2941" t="str">
        <f>IF(OR(G2941=0,E2941=0),"",C2941/E2941)</f>
        <v/>
      </c>
      <c r="I2941" t="str">
        <f>IF(OR(G2941=0,F2941=0),"",D2941/F2941)</f>
        <v/>
      </c>
      <c r="J2941" t="str">
        <f>IF(OR(H2941="",I2941=""),"",IF(H2941=0,"",I2941/H2941-1))</f>
        <v/>
      </c>
      <c r="K2941" t="str">
        <f>IF($B2941="","",IFERROR(IF(G2941=0,-2E+300,CHOOSE(sortIdx,ROUND(D2941,0),IF(J2941="",-1E+300,ROUND(-J2941,6)),IF(J2941="",-1E+300,ROUND(J2941,6)))),-1.5E+300))</f>
        <v/>
      </c>
      <c r="L2941" t="str">
        <f>IF(K2941="","",RANK(K2941,$K$2:$K$3001,0)+COUNTIF($K$2:K2941,K2941)-1)</f>
        <v/>
      </c>
    </row>
    <row r="2942">
      <c r="B2942" t="str">
        <f>IFERROR(IF(A2942="","","="&amp;SUBSTITUTE(SUBSTITUTE(SUBSTITUTE(A2942,"~","~~"),"*","~*"),"?","~?")),"")</f>
        <v/>
      </c>
      <c r="C2942" t="str">
        <f>IF($B2942="","",SUMIFS(dAmt,dCust,$B2942,dPer,"&gt;="&amp;pyFrom,dPer,"&lt;="&amp;pyTo,dAmt,"&gt;-1E+300",dFlt1,critFlt1,dFlt2,critFlt2,dFlt3,critFlt3))</f>
        <v/>
      </c>
      <c r="D2942" t="str">
        <f>IF($B2942="","",SUMIFS(dAmt,dCust,$B2942,dPer,"&gt;="&amp;cyFrom,dPer,"&lt;="&amp;cyTo,dAmt,"&gt;-1E+300",dFlt1,critFlt1,dFlt2,critFlt2,dFlt3,critFlt3))</f>
        <v/>
      </c>
      <c r="E2942" t="str">
        <f>IF($B2942="","",SUMIFS(dQty,dCust,$B2942,dPer,"&gt;="&amp;pyFrom,dPer,"&lt;="&amp;pyTo,dQty,"&gt;-1E+300",dFlt1,critFlt1,dFlt2,critFlt2,dFlt3,critFlt3))</f>
        <v/>
      </c>
      <c r="F2942" t="str">
        <f>IF($B2942="","",SUMIFS(dQty,dCust,$B2942,dPer,"&gt;="&amp;cyFrom,dPer,"&lt;="&amp;cyTo,dQty,"&gt;-1E+300",dFlt1,critFlt1,dFlt2,critFlt2,dFlt3,critFlt3))</f>
        <v/>
      </c>
      <c r="G2942">
        <f>IF($B2942="",0,IFERROR(IF(OR(C2942&lt;&gt;0,D2942&lt;&gt;0,E2942&lt;&gt;0,F2942&lt;&gt;0),1,0),1))</f>
        <v>0</v>
      </c>
      <c r="H2942" t="str">
        <f>IF(OR(G2942=0,E2942=0),"",C2942/E2942)</f>
        <v/>
      </c>
      <c r="I2942" t="str">
        <f>IF(OR(G2942=0,F2942=0),"",D2942/F2942)</f>
        <v/>
      </c>
      <c r="J2942" t="str">
        <f>IF(OR(H2942="",I2942=""),"",IF(H2942=0,"",I2942/H2942-1))</f>
        <v/>
      </c>
      <c r="K2942" t="str">
        <f>IF($B2942="","",IFERROR(IF(G2942=0,-2E+300,CHOOSE(sortIdx,ROUND(D2942,0),IF(J2942="",-1E+300,ROUND(-J2942,6)),IF(J2942="",-1E+300,ROUND(J2942,6)))),-1.5E+300))</f>
        <v/>
      </c>
      <c r="L2942" t="str">
        <f>IF(K2942="","",RANK(K2942,$K$2:$K$3001,0)+COUNTIF($K$2:K2942,K2942)-1)</f>
        <v/>
      </c>
    </row>
    <row r="2943">
      <c r="B2943" t="str">
        <f>IFERROR(IF(A2943="","","="&amp;SUBSTITUTE(SUBSTITUTE(SUBSTITUTE(A2943,"~","~~"),"*","~*"),"?","~?")),"")</f>
        <v/>
      </c>
      <c r="C2943" t="str">
        <f>IF($B2943="","",SUMIFS(dAmt,dCust,$B2943,dPer,"&gt;="&amp;pyFrom,dPer,"&lt;="&amp;pyTo,dAmt,"&gt;-1E+300",dFlt1,critFlt1,dFlt2,critFlt2,dFlt3,critFlt3))</f>
        <v/>
      </c>
      <c r="D2943" t="str">
        <f>IF($B2943="","",SUMIFS(dAmt,dCust,$B2943,dPer,"&gt;="&amp;cyFrom,dPer,"&lt;="&amp;cyTo,dAmt,"&gt;-1E+300",dFlt1,critFlt1,dFlt2,critFlt2,dFlt3,critFlt3))</f>
        <v/>
      </c>
      <c r="E2943" t="str">
        <f>IF($B2943="","",SUMIFS(dQty,dCust,$B2943,dPer,"&gt;="&amp;pyFrom,dPer,"&lt;="&amp;pyTo,dQty,"&gt;-1E+300",dFlt1,critFlt1,dFlt2,critFlt2,dFlt3,critFlt3))</f>
        <v/>
      </c>
      <c r="F2943" t="str">
        <f>IF($B2943="","",SUMIFS(dQty,dCust,$B2943,dPer,"&gt;="&amp;cyFrom,dPer,"&lt;="&amp;cyTo,dQty,"&gt;-1E+300",dFlt1,critFlt1,dFlt2,critFlt2,dFlt3,critFlt3))</f>
        <v/>
      </c>
      <c r="G2943">
        <f>IF($B2943="",0,IFERROR(IF(OR(C2943&lt;&gt;0,D2943&lt;&gt;0,E2943&lt;&gt;0,F2943&lt;&gt;0),1,0),1))</f>
        <v>0</v>
      </c>
      <c r="H2943" t="str">
        <f>IF(OR(G2943=0,E2943=0),"",C2943/E2943)</f>
        <v/>
      </c>
      <c r="I2943" t="str">
        <f>IF(OR(G2943=0,F2943=0),"",D2943/F2943)</f>
        <v/>
      </c>
      <c r="J2943" t="str">
        <f>IF(OR(H2943="",I2943=""),"",IF(H2943=0,"",I2943/H2943-1))</f>
        <v/>
      </c>
      <c r="K2943" t="str">
        <f>IF($B2943="","",IFERROR(IF(G2943=0,-2E+300,CHOOSE(sortIdx,ROUND(D2943,0),IF(J2943="",-1E+300,ROUND(-J2943,6)),IF(J2943="",-1E+300,ROUND(J2943,6)))),-1.5E+300))</f>
        <v/>
      </c>
      <c r="L2943" t="str">
        <f>IF(K2943="","",RANK(K2943,$K$2:$K$3001,0)+COUNTIF($K$2:K2943,K2943)-1)</f>
        <v/>
      </c>
    </row>
    <row r="2944">
      <c r="B2944" t="str">
        <f>IFERROR(IF(A2944="","","="&amp;SUBSTITUTE(SUBSTITUTE(SUBSTITUTE(A2944,"~","~~"),"*","~*"),"?","~?")),"")</f>
        <v/>
      </c>
      <c r="C2944" t="str">
        <f>IF($B2944="","",SUMIFS(dAmt,dCust,$B2944,dPer,"&gt;="&amp;pyFrom,dPer,"&lt;="&amp;pyTo,dAmt,"&gt;-1E+300",dFlt1,critFlt1,dFlt2,critFlt2,dFlt3,critFlt3))</f>
        <v/>
      </c>
      <c r="D2944" t="str">
        <f>IF($B2944="","",SUMIFS(dAmt,dCust,$B2944,dPer,"&gt;="&amp;cyFrom,dPer,"&lt;="&amp;cyTo,dAmt,"&gt;-1E+300",dFlt1,critFlt1,dFlt2,critFlt2,dFlt3,critFlt3))</f>
        <v/>
      </c>
      <c r="E2944" t="str">
        <f>IF($B2944="","",SUMIFS(dQty,dCust,$B2944,dPer,"&gt;="&amp;pyFrom,dPer,"&lt;="&amp;pyTo,dQty,"&gt;-1E+300",dFlt1,critFlt1,dFlt2,critFlt2,dFlt3,critFlt3))</f>
        <v/>
      </c>
      <c r="F2944" t="str">
        <f>IF($B2944="","",SUMIFS(dQty,dCust,$B2944,dPer,"&gt;="&amp;cyFrom,dPer,"&lt;="&amp;cyTo,dQty,"&gt;-1E+300",dFlt1,critFlt1,dFlt2,critFlt2,dFlt3,critFlt3))</f>
        <v/>
      </c>
      <c r="G2944">
        <f>IF($B2944="",0,IFERROR(IF(OR(C2944&lt;&gt;0,D2944&lt;&gt;0,E2944&lt;&gt;0,F2944&lt;&gt;0),1,0),1))</f>
        <v>0</v>
      </c>
      <c r="H2944" t="str">
        <f>IF(OR(G2944=0,E2944=0),"",C2944/E2944)</f>
        <v/>
      </c>
      <c r="I2944" t="str">
        <f>IF(OR(G2944=0,F2944=0),"",D2944/F2944)</f>
        <v/>
      </c>
      <c r="J2944" t="str">
        <f>IF(OR(H2944="",I2944=""),"",IF(H2944=0,"",I2944/H2944-1))</f>
        <v/>
      </c>
      <c r="K2944" t="str">
        <f>IF($B2944="","",IFERROR(IF(G2944=0,-2E+300,CHOOSE(sortIdx,ROUND(D2944,0),IF(J2944="",-1E+300,ROUND(-J2944,6)),IF(J2944="",-1E+300,ROUND(J2944,6)))),-1.5E+300))</f>
        <v/>
      </c>
      <c r="L2944" t="str">
        <f>IF(K2944="","",RANK(K2944,$K$2:$K$3001,0)+COUNTIF($K$2:K2944,K2944)-1)</f>
        <v/>
      </c>
    </row>
    <row r="2945">
      <c r="B2945" t="str">
        <f>IFERROR(IF(A2945="","","="&amp;SUBSTITUTE(SUBSTITUTE(SUBSTITUTE(A2945,"~","~~"),"*","~*"),"?","~?")),"")</f>
        <v/>
      </c>
      <c r="C2945" t="str">
        <f>IF($B2945="","",SUMIFS(dAmt,dCust,$B2945,dPer,"&gt;="&amp;pyFrom,dPer,"&lt;="&amp;pyTo,dAmt,"&gt;-1E+300",dFlt1,critFlt1,dFlt2,critFlt2,dFlt3,critFlt3))</f>
        <v/>
      </c>
      <c r="D2945" t="str">
        <f>IF($B2945="","",SUMIFS(dAmt,dCust,$B2945,dPer,"&gt;="&amp;cyFrom,dPer,"&lt;="&amp;cyTo,dAmt,"&gt;-1E+300",dFlt1,critFlt1,dFlt2,critFlt2,dFlt3,critFlt3))</f>
        <v/>
      </c>
      <c r="E2945" t="str">
        <f>IF($B2945="","",SUMIFS(dQty,dCust,$B2945,dPer,"&gt;="&amp;pyFrom,dPer,"&lt;="&amp;pyTo,dQty,"&gt;-1E+300",dFlt1,critFlt1,dFlt2,critFlt2,dFlt3,critFlt3))</f>
        <v/>
      </c>
      <c r="F2945" t="str">
        <f>IF($B2945="","",SUMIFS(dQty,dCust,$B2945,dPer,"&gt;="&amp;cyFrom,dPer,"&lt;="&amp;cyTo,dQty,"&gt;-1E+300",dFlt1,critFlt1,dFlt2,critFlt2,dFlt3,critFlt3))</f>
        <v/>
      </c>
      <c r="G2945">
        <f>IF($B2945="",0,IFERROR(IF(OR(C2945&lt;&gt;0,D2945&lt;&gt;0,E2945&lt;&gt;0,F2945&lt;&gt;0),1,0),1))</f>
        <v>0</v>
      </c>
      <c r="H2945" t="str">
        <f>IF(OR(G2945=0,E2945=0),"",C2945/E2945)</f>
        <v/>
      </c>
      <c r="I2945" t="str">
        <f>IF(OR(G2945=0,F2945=0),"",D2945/F2945)</f>
        <v/>
      </c>
      <c r="J2945" t="str">
        <f>IF(OR(H2945="",I2945=""),"",IF(H2945=0,"",I2945/H2945-1))</f>
        <v/>
      </c>
      <c r="K2945" t="str">
        <f>IF($B2945="","",IFERROR(IF(G2945=0,-2E+300,CHOOSE(sortIdx,ROUND(D2945,0),IF(J2945="",-1E+300,ROUND(-J2945,6)),IF(J2945="",-1E+300,ROUND(J2945,6)))),-1.5E+300))</f>
        <v/>
      </c>
      <c r="L2945" t="str">
        <f>IF(K2945="","",RANK(K2945,$K$2:$K$3001,0)+COUNTIF($K$2:K2945,K2945)-1)</f>
        <v/>
      </c>
    </row>
    <row r="2946">
      <c r="B2946" t="str">
        <f>IFERROR(IF(A2946="","","="&amp;SUBSTITUTE(SUBSTITUTE(SUBSTITUTE(A2946,"~","~~"),"*","~*"),"?","~?")),"")</f>
        <v/>
      </c>
      <c r="C2946" t="str">
        <f>IF($B2946="","",SUMIFS(dAmt,dCust,$B2946,dPer,"&gt;="&amp;pyFrom,dPer,"&lt;="&amp;pyTo,dAmt,"&gt;-1E+300",dFlt1,critFlt1,dFlt2,critFlt2,dFlt3,critFlt3))</f>
        <v/>
      </c>
      <c r="D2946" t="str">
        <f>IF($B2946="","",SUMIFS(dAmt,dCust,$B2946,dPer,"&gt;="&amp;cyFrom,dPer,"&lt;="&amp;cyTo,dAmt,"&gt;-1E+300",dFlt1,critFlt1,dFlt2,critFlt2,dFlt3,critFlt3))</f>
        <v/>
      </c>
      <c r="E2946" t="str">
        <f>IF($B2946="","",SUMIFS(dQty,dCust,$B2946,dPer,"&gt;="&amp;pyFrom,dPer,"&lt;="&amp;pyTo,dQty,"&gt;-1E+300",dFlt1,critFlt1,dFlt2,critFlt2,dFlt3,critFlt3))</f>
        <v/>
      </c>
      <c r="F2946" t="str">
        <f>IF($B2946="","",SUMIFS(dQty,dCust,$B2946,dPer,"&gt;="&amp;cyFrom,dPer,"&lt;="&amp;cyTo,dQty,"&gt;-1E+300",dFlt1,critFlt1,dFlt2,critFlt2,dFlt3,critFlt3))</f>
        <v/>
      </c>
      <c r="G2946">
        <f>IF($B2946="",0,IFERROR(IF(OR(C2946&lt;&gt;0,D2946&lt;&gt;0,E2946&lt;&gt;0,F2946&lt;&gt;0),1,0),1))</f>
        <v>0</v>
      </c>
      <c r="H2946" t="str">
        <f>IF(OR(G2946=0,E2946=0),"",C2946/E2946)</f>
        <v/>
      </c>
      <c r="I2946" t="str">
        <f>IF(OR(G2946=0,F2946=0),"",D2946/F2946)</f>
        <v/>
      </c>
      <c r="J2946" t="str">
        <f>IF(OR(H2946="",I2946=""),"",IF(H2946=0,"",I2946/H2946-1))</f>
        <v/>
      </c>
      <c r="K2946" t="str">
        <f>IF($B2946="","",IFERROR(IF(G2946=0,-2E+300,CHOOSE(sortIdx,ROUND(D2946,0),IF(J2946="",-1E+300,ROUND(-J2946,6)),IF(J2946="",-1E+300,ROUND(J2946,6)))),-1.5E+300))</f>
        <v/>
      </c>
      <c r="L2946" t="str">
        <f>IF(K2946="","",RANK(K2946,$K$2:$K$3001,0)+COUNTIF($K$2:K2946,K2946)-1)</f>
        <v/>
      </c>
    </row>
    <row r="2947">
      <c r="B2947" t="str">
        <f>IFERROR(IF(A2947="","","="&amp;SUBSTITUTE(SUBSTITUTE(SUBSTITUTE(A2947,"~","~~"),"*","~*"),"?","~?")),"")</f>
        <v/>
      </c>
      <c r="C2947" t="str">
        <f>IF($B2947="","",SUMIFS(dAmt,dCust,$B2947,dPer,"&gt;="&amp;pyFrom,dPer,"&lt;="&amp;pyTo,dAmt,"&gt;-1E+300",dFlt1,critFlt1,dFlt2,critFlt2,dFlt3,critFlt3))</f>
        <v/>
      </c>
      <c r="D2947" t="str">
        <f>IF($B2947="","",SUMIFS(dAmt,dCust,$B2947,dPer,"&gt;="&amp;cyFrom,dPer,"&lt;="&amp;cyTo,dAmt,"&gt;-1E+300",dFlt1,critFlt1,dFlt2,critFlt2,dFlt3,critFlt3))</f>
        <v/>
      </c>
      <c r="E2947" t="str">
        <f>IF($B2947="","",SUMIFS(dQty,dCust,$B2947,dPer,"&gt;="&amp;pyFrom,dPer,"&lt;="&amp;pyTo,dQty,"&gt;-1E+300",dFlt1,critFlt1,dFlt2,critFlt2,dFlt3,critFlt3))</f>
        <v/>
      </c>
      <c r="F2947" t="str">
        <f>IF($B2947="","",SUMIFS(dQty,dCust,$B2947,dPer,"&gt;="&amp;cyFrom,dPer,"&lt;="&amp;cyTo,dQty,"&gt;-1E+300",dFlt1,critFlt1,dFlt2,critFlt2,dFlt3,critFlt3))</f>
        <v/>
      </c>
      <c r="G2947">
        <f>IF($B2947="",0,IFERROR(IF(OR(C2947&lt;&gt;0,D2947&lt;&gt;0,E2947&lt;&gt;0,F2947&lt;&gt;0),1,0),1))</f>
        <v>0</v>
      </c>
      <c r="H2947" t="str">
        <f>IF(OR(G2947=0,E2947=0),"",C2947/E2947)</f>
        <v/>
      </c>
      <c r="I2947" t="str">
        <f>IF(OR(G2947=0,F2947=0),"",D2947/F2947)</f>
        <v/>
      </c>
      <c r="J2947" t="str">
        <f>IF(OR(H2947="",I2947=""),"",IF(H2947=0,"",I2947/H2947-1))</f>
        <v/>
      </c>
      <c r="K2947" t="str">
        <f>IF($B2947="","",IFERROR(IF(G2947=0,-2E+300,CHOOSE(sortIdx,ROUND(D2947,0),IF(J2947="",-1E+300,ROUND(-J2947,6)),IF(J2947="",-1E+300,ROUND(J2947,6)))),-1.5E+300))</f>
        <v/>
      </c>
      <c r="L2947" t="str">
        <f>IF(K2947="","",RANK(K2947,$K$2:$K$3001,0)+COUNTIF($K$2:K2947,K2947)-1)</f>
        <v/>
      </c>
    </row>
    <row r="2948">
      <c r="B2948" t="str">
        <f>IFERROR(IF(A2948="","","="&amp;SUBSTITUTE(SUBSTITUTE(SUBSTITUTE(A2948,"~","~~"),"*","~*"),"?","~?")),"")</f>
        <v/>
      </c>
      <c r="C2948" t="str">
        <f>IF($B2948="","",SUMIFS(dAmt,dCust,$B2948,dPer,"&gt;="&amp;pyFrom,dPer,"&lt;="&amp;pyTo,dAmt,"&gt;-1E+300",dFlt1,critFlt1,dFlt2,critFlt2,dFlt3,critFlt3))</f>
        <v/>
      </c>
      <c r="D2948" t="str">
        <f>IF($B2948="","",SUMIFS(dAmt,dCust,$B2948,dPer,"&gt;="&amp;cyFrom,dPer,"&lt;="&amp;cyTo,dAmt,"&gt;-1E+300",dFlt1,critFlt1,dFlt2,critFlt2,dFlt3,critFlt3))</f>
        <v/>
      </c>
      <c r="E2948" t="str">
        <f>IF($B2948="","",SUMIFS(dQty,dCust,$B2948,dPer,"&gt;="&amp;pyFrom,dPer,"&lt;="&amp;pyTo,dQty,"&gt;-1E+300",dFlt1,critFlt1,dFlt2,critFlt2,dFlt3,critFlt3))</f>
        <v/>
      </c>
      <c r="F2948" t="str">
        <f>IF($B2948="","",SUMIFS(dQty,dCust,$B2948,dPer,"&gt;="&amp;cyFrom,dPer,"&lt;="&amp;cyTo,dQty,"&gt;-1E+300",dFlt1,critFlt1,dFlt2,critFlt2,dFlt3,critFlt3))</f>
        <v/>
      </c>
      <c r="G2948">
        <f>IF($B2948="",0,IFERROR(IF(OR(C2948&lt;&gt;0,D2948&lt;&gt;0,E2948&lt;&gt;0,F2948&lt;&gt;0),1,0),1))</f>
        <v>0</v>
      </c>
      <c r="H2948" t="str">
        <f>IF(OR(G2948=0,E2948=0),"",C2948/E2948)</f>
        <v/>
      </c>
      <c r="I2948" t="str">
        <f>IF(OR(G2948=0,F2948=0),"",D2948/F2948)</f>
        <v/>
      </c>
      <c r="J2948" t="str">
        <f>IF(OR(H2948="",I2948=""),"",IF(H2948=0,"",I2948/H2948-1))</f>
        <v/>
      </c>
      <c r="K2948" t="str">
        <f>IF($B2948="","",IFERROR(IF(G2948=0,-2E+300,CHOOSE(sortIdx,ROUND(D2948,0),IF(J2948="",-1E+300,ROUND(-J2948,6)),IF(J2948="",-1E+300,ROUND(J2948,6)))),-1.5E+300))</f>
        <v/>
      </c>
      <c r="L2948" t="str">
        <f>IF(K2948="","",RANK(K2948,$K$2:$K$3001,0)+COUNTIF($K$2:K2948,K2948)-1)</f>
        <v/>
      </c>
    </row>
    <row r="2949">
      <c r="B2949" t="str">
        <f>IFERROR(IF(A2949="","","="&amp;SUBSTITUTE(SUBSTITUTE(SUBSTITUTE(A2949,"~","~~"),"*","~*"),"?","~?")),"")</f>
        <v/>
      </c>
      <c r="C2949" t="str">
        <f>IF($B2949="","",SUMIFS(dAmt,dCust,$B2949,dPer,"&gt;="&amp;pyFrom,dPer,"&lt;="&amp;pyTo,dAmt,"&gt;-1E+300",dFlt1,critFlt1,dFlt2,critFlt2,dFlt3,critFlt3))</f>
        <v/>
      </c>
      <c r="D2949" t="str">
        <f>IF($B2949="","",SUMIFS(dAmt,dCust,$B2949,dPer,"&gt;="&amp;cyFrom,dPer,"&lt;="&amp;cyTo,dAmt,"&gt;-1E+300",dFlt1,critFlt1,dFlt2,critFlt2,dFlt3,critFlt3))</f>
        <v/>
      </c>
      <c r="E2949" t="str">
        <f>IF($B2949="","",SUMIFS(dQty,dCust,$B2949,dPer,"&gt;="&amp;pyFrom,dPer,"&lt;="&amp;pyTo,dQty,"&gt;-1E+300",dFlt1,critFlt1,dFlt2,critFlt2,dFlt3,critFlt3))</f>
        <v/>
      </c>
      <c r="F2949" t="str">
        <f>IF($B2949="","",SUMIFS(dQty,dCust,$B2949,dPer,"&gt;="&amp;cyFrom,dPer,"&lt;="&amp;cyTo,dQty,"&gt;-1E+300",dFlt1,critFlt1,dFlt2,critFlt2,dFlt3,critFlt3))</f>
        <v/>
      </c>
      <c r="G2949">
        <f>IF($B2949="",0,IFERROR(IF(OR(C2949&lt;&gt;0,D2949&lt;&gt;0,E2949&lt;&gt;0,F2949&lt;&gt;0),1,0),1))</f>
        <v>0</v>
      </c>
      <c r="H2949" t="str">
        <f>IF(OR(G2949=0,E2949=0),"",C2949/E2949)</f>
        <v/>
      </c>
      <c r="I2949" t="str">
        <f>IF(OR(G2949=0,F2949=0),"",D2949/F2949)</f>
        <v/>
      </c>
      <c r="J2949" t="str">
        <f>IF(OR(H2949="",I2949=""),"",IF(H2949=0,"",I2949/H2949-1))</f>
        <v/>
      </c>
      <c r="K2949" t="str">
        <f>IF($B2949="","",IFERROR(IF(G2949=0,-2E+300,CHOOSE(sortIdx,ROUND(D2949,0),IF(J2949="",-1E+300,ROUND(-J2949,6)),IF(J2949="",-1E+300,ROUND(J2949,6)))),-1.5E+300))</f>
        <v/>
      </c>
      <c r="L2949" t="str">
        <f>IF(K2949="","",RANK(K2949,$K$2:$K$3001,0)+COUNTIF($K$2:K2949,K2949)-1)</f>
        <v/>
      </c>
    </row>
    <row r="2950">
      <c r="B2950" t="str">
        <f>IFERROR(IF(A2950="","","="&amp;SUBSTITUTE(SUBSTITUTE(SUBSTITUTE(A2950,"~","~~"),"*","~*"),"?","~?")),"")</f>
        <v/>
      </c>
      <c r="C2950" t="str">
        <f>IF($B2950="","",SUMIFS(dAmt,dCust,$B2950,dPer,"&gt;="&amp;pyFrom,dPer,"&lt;="&amp;pyTo,dAmt,"&gt;-1E+300",dFlt1,critFlt1,dFlt2,critFlt2,dFlt3,critFlt3))</f>
        <v/>
      </c>
      <c r="D2950" t="str">
        <f>IF($B2950="","",SUMIFS(dAmt,dCust,$B2950,dPer,"&gt;="&amp;cyFrom,dPer,"&lt;="&amp;cyTo,dAmt,"&gt;-1E+300",dFlt1,critFlt1,dFlt2,critFlt2,dFlt3,critFlt3))</f>
        <v/>
      </c>
      <c r="E2950" t="str">
        <f>IF($B2950="","",SUMIFS(dQty,dCust,$B2950,dPer,"&gt;="&amp;pyFrom,dPer,"&lt;="&amp;pyTo,dQty,"&gt;-1E+300",dFlt1,critFlt1,dFlt2,critFlt2,dFlt3,critFlt3))</f>
        <v/>
      </c>
      <c r="F2950" t="str">
        <f>IF($B2950="","",SUMIFS(dQty,dCust,$B2950,dPer,"&gt;="&amp;cyFrom,dPer,"&lt;="&amp;cyTo,dQty,"&gt;-1E+300",dFlt1,critFlt1,dFlt2,critFlt2,dFlt3,critFlt3))</f>
        <v/>
      </c>
      <c r="G2950">
        <f>IF($B2950="",0,IFERROR(IF(OR(C2950&lt;&gt;0,D2950&lt;&gt;0,E2950&lt;&gt;0,F2950&lt;&gt;0),1,0),1))</f>
        <v>0</v>
      </c>
      <c r="H2950" t="str">
        <f>IF(OR(G2950=0,E2950=0),"",C2950/E2950)</f>
        <v/>
      </c>
      <c r="I2950" t="str">
        <f>IF(OR(G2950=0,F2950=0),"",D2950/F2950)</f>
        <v/>
      </c>
      <c r="J2950" t="str">
        <f>IF(OR(H2950="",I2950=""),"",IF(H2950=0,"",I2950/H2950-1))</f>
        <v/>
      </c>
      <c r="K2950" t="str">
        <f>IF($B2950="","",IFERROR(IF(G2950=0,-2E+300,CHOOSE(sortIdx,ROUND(D2950,0),IF(J2950="",-1E+300,ROUND(-J2950,6)),IF(J2950="",-1E+300,ROUND(J2950,6)))),-1.5E+300))</f>
        <v/>
      </c>
      <c r="L2950" t="str">
        <f>IF(K2950="","",RANK(K2950,$K$2:$K$3001,0)+COUNTIF($K$2:K2950,K2950)-1)</f>
        <v/>
      </c>
    </row>
    <row r="2951">
      <c r="B2951" t="str">
        <f>IFERROR(IF(A2951="","","="&amp;SUBSTITUTE(SUBSTITUTE(SUBSTITUTE(A2951,"~","~~"),"*","~*"),"?","~?")),"")</f>
        <v/>
      </c>
      <c r="C2951" t="str">
        <f>IF($B2951="","",SUMIFS(dAmt,dCust,$B2951,dPer,"&gt;="&amp;pyFrom,dPer,"&lt;="&amp;pyTo,dAmt,"&gt;-1E+300",dFlt1,critFlt1,dFlt2,critFlt2,dFlt3,critFlt3))</f>
        <v/>
      </c>
      <c r="D2951" t="str">
        <f>IF($B2951="","",SUMIFS(dAmt,dCust,$B2951,dPer,"&gt;="&amp;cyFrom,dPer,"&lt;="&amp;cyTo,dAmt,"&gt;-1E+300",dFlt1,critFlt1,dFlt2,critFlt2,dFlt3,critFlt3))</f>
        <v/>
      </c>
      <c r="E2951" t="str">
        <f>IF($B2951="","",SUMIFS(dQty,dCust,$B2951,dPer,"&gt;="&amp;pyFrom,dPer,"&lt;="&amp;pyTo,dQty,"&gt;-1E+300",dFlt1,critFlt1,dFlt2,critFlt2,dFlt3,critFlt3))</f>
        <v/>
      </c>
      <c r="F2951" t="str">
        <f>IF($B2951="","",SUMIFS(dQty,dCust,$B2951,dPer,"&gt;="&amp;cyFrom,dPer,"&lt;="&amp;cyTo,dQty,"&gt;-1E+300",dFlt1,critFlt1,dFlt2,critFlt2,dFlt3,critFlt3))</f>
        <v/>
      </c>
      <c r="G2951">
        <f>IF($B2951="",0,IFERROR(IF(OR(C2951&lt;&gt;0,D2951&lt;&gt;0,E2951&lt;&gt;0,F2951&lt;&gt;0),1,0),1))</f>
        <v>0</v>
      </c>
      <c r="H2951" t="str">
        <f>IF(OR(G2951=0,E2951=0),"",C2951/E2951)</f>
        <v/>
      </c>
      <c r="I2951" t="str">
        <f>IF(OR(G2951=0,F2951=0),"",D2951/F2951)</f>
        <v/>
      </c>
      <c r="J2951" t="str">
        <f>IF(OR(H2951="",I2951=""),"",IF(H2951=0,"",I2951/H2951-1))</f>
        <v/>
      </c>
      <c r="K2951" t="str">
        <f>IF($B2951="","",IFERROR(IF(G2951=0,-2E+300,CHOOSE(sortIdx,ROUND(D2951,0),IF(J2951="",-1E+300,ROUND(-J2951,6)),IF(J2951="",-1E+300,ROUND(J2951,6)))),-1.5E+300))</f>
        <v/>
      </c>
      <c r="L2951" t="str">
        <f>IF(K2951="","",RANK(K2951,$K$2:$K$3001,0)+COUNTIF($K$2:K2951,K2951)-1)</f>
        <v/>
      </c>
    </row>
    <row r="2952">
      <c r="B2952" t="str">
        <f>IFERROR(IF(A2952="","","="&amp;SUBSTITUTE(SUBSTITUTE(SUBSTITUTE(A2952,"~","~~"),"*","~*"),"?","~?")),"")</f>
        <v/>
      </c>
      <c r="C2952" t="str">
        <f>IF($B2952="","",SUMIFS(dAmt,dCust,$B2952,dPer,"&gt;="&amp;pyFrom,dPer,"&lt;="&amp;pyTo,dAmt,"&gt;-1E+300",dFlt1,critFlt1,dFlt2,critFlt2,dFlt3,critFlt3))</f>
        <v/>
      </c>
      <c r="D2952" t="str">
        <f>IF($B2952="","",SUMIFS(dAmt,dCust,$B2952,dPer,"&gt;="&amp;cyFrom,dPer,"&lt;="&amp;cyTo,dAmt,"&gt;-1E+300",dFlt1,critFlt1,dFlt2,critFlt2,dFlt3,critFlt3))</f>
        <v/>
      </c>
      <c r="E2952" t="str">
        <f>IF($B2952="","",SUMIFS(dQty,dCust,$B2952,dPer,"&gt;="&amp;pyFrom,dPer,"&lt;="&amp;pyTo,dQty,"&gt;-1E+300",dFlt1,critFlt1,dFlt2,critFlt2,dFlt3,critFlt3))</f>
        <v/>
      </c>
      <c r="F2952" t="str">
        <f>IF($B2952="","",SUMIFS(dQty,dCust,$B2952,dPer,"&gt;="&amp;cyFrom,dPer,"&lt;="&amp;cyTo,dQty,"&gt;-1E+300",dFlt1,critFlt1,dFlt2,critFlt2,dFlt3,critFlt3))</f>
        <v/>
      </c>
      <c r="G2952">
        <f>IF($B2952="",0,IFERROR(IF(OR(C2952&lt;&gt;0,D2952&lt;&gt;0,E2952&lt;&gt;0,F2952&lt;&gt;0),1,0),1))</f>
        <v>0</v>
      </c>
      <c r="H2952" t="str">
        <f>IF(OR(G2952=0,E2952=0),"",C2952/E2952)</f>
        <v/>
      </c>
      <c r="I2952" t="str">
        <f>IF(OR(G2952=0,F2952=0),"",D2952/F2952)</f>
        <v/>
      </c>
      <c r="J2952" t="str">
        <f>IF(OR(H2952="",I2952=""),"",IF(H2952=0,"",I2952/H2952-1))</f>
        <v/>
      </c>
      <c r="K2952" t="str">
        <f>IF($B2952="","",IFERROR(IF(G2952=0,-2E+300,CHOOSE(sortIdx,ROUND(D2952,0),IF(J2952="",-1E+300,ROUND(-J2952,6)),IF(J2952="",-1E+300,ROUND(J2952,6)))),-1.5E+300))</f>
        <v/>
      </c>
      <c r="L2952" t="str">
        <f>IF(K2952="","",RANK(K2952,$K$2:$K$3001,0)+COUNTIF($K$2:K2952,K2952)-1)</f>
        <v/>
      </c>
    </row>
    <row r="2953">
      <c r="B2953" t="str">
        <f>IFERROR(IF(A2953="","","="&amp;SUBSTITUTE(SUBSTITUTE(SUBSTITUTE(A2953,"~","~~"),"*","~*"),"?","~?")),"")</f>
        <v/>
      </c>
      <c r="C2953" t="str">
        <f>IF($B2953="","",SUMIFS(dAmt,dCust,$B2953,dPer,"&gt;="&amp;pyFrom,dPer,"&lt;="&amp;pyTo,dAmt,"&gt;-1E+300",dFlt1,critFlt1,dFlt2,critFlt2,dFlt3,critFlt3))</f>
        <v/>
      </c>
      <c r="D2953" t="str">
        <f>IF($B2953="","",SUMIFS(dAmt,dCust,$B2953,dPer,"&gt;="&amp;cyFrom,dPer,"&lt;="&amp;cyTo,dAmt,"&gt;-1E+300",dFlt1,critFlt1,dFlt2,critFlt2,dFlt3,critFlt3))</f>
        <v/>
      </c>
      <c r="E2953" t="str">
        <f>IF($B2953="","",SUMIFS(dQty,dCust,$B2953,dPer,"&gt;="&amp;pyFrom,dPer,"&lt;="&amp;pyTo,dQty,"&gt;-1E+300",dFlt1,critFlt1,dFlt2,critFlt2,dFlt3,critFlt3))</f>
        <v/>
      </c>
      <c r="F2953" t="str">
        <f>IF($B2953="","",SUMIFS(dQty,dCust,$B2953,dPer,"&gt;="&amp;cyFrom,dPer,"&lt;="&amp;cyTo,dQty,"&gt;-1E+300",dFlt1,critFlt1,dFlt2,critFlt2,dFlt3,critFlt3))</f>
        <v/>
      </c>
      <c r="G2953">
        <f>IF($B2953="",0,IFERROR(IF(OR(C2953&lt;&gt;0,D2953&lt;&gt;0,E2953&lt;&gt;0,F2953&lt;&gt;0),1,0),1))</f>
        <v>0</v>
      </c>
      <c r="H2953" t="str">
        <f>IF(OR(G2953=0,E2953=0),"",C2953/E2953)</f>
        <v/>
      </c>
      <c r="I2953" t="str">
        <f>IF(OR(G2953=0,F2953=0),"",D2953/F2953)</f>
        <v/>
      </c>
      <c r="J2953" t="str">
        <f>IF(OR(H2953="",I2953=""),"",IF(H2953=0,"",I2953/H2953-1))</f>
        <v/>
      </c>
      <c r="K2953" t="str">
        <f>IF($B2953="","",IFERROR(IF(G2953=0,-2E+300,CHOOSE(sortIdx,ROUND(D2953,0),IF(J2953="",-1E+300,ROUND(-J2953,6)),IF(J2953="",-1E+300,ROUND(J2953,6)))),-1.5E+300))</f>
        <v/>
      </c>
      <c r="L2953" t="str">
        <f>IF(K2953="","",RANK(K2953,$K$2:$K$3001,0)+COUNTIF($K$2:K2953,K2953)-1)</f>
        <v/>
      </c>
    </row>
    <row r="2954">
      <c r="B2954" t="str">
        <f>IFERROR(IF(A2954="","","="&amp;SUBSTITUTE(SUBSTITUTE(SUBSTITUTE(A2954,"~","~~"),"*","~*"),"?","~?")),"")</f>
        <v/>
      </c>
      <c r="C2954" t="str">
        <f>IF($B2954="","",SUMIFS(dAmt,dCust,$B2954,dPer,"&gt;="&amp;pyFrom,dPer,"&lt;="&amp;pyTo,dAmt,"&gt;-1E+300",dFlt1,critFlt1,dFlt2,critFlt2,dFlt3,critFlt3))</f>
        <v/>
      </c>
      <c r="D2954" t="str">
        <f>IF($B2954="","",SUMIFS(dAmt,dCust,$B2954,dPer,"&gt;="&amp;cyFrom,dPer,"&lt;="&amp;cyTo,dAmt,"&gt;-1E+300",dFlt1,critFlt1,dFlt2,critFlt2,dFlt3,critFlt3))</f>
        <v/>
      </c>
      <c r="E2954" t="str">
        <f>IF($B2954="","",SUMIFS(dQty,dCust,$B2954,dPer,"&gt;="&amp;pyFrom,dPer,"&lt;="&amp;pyTo,dQty,"&gt;-1E+300",dFlt1,critFlt1,dFlt2,critFlt2,dFlt3,critFlt3))</f>
        <v/>
      </c>
      <c r="F2954" t="str">
        <f>IF($B2954="","",SUMIFS(dQty,dCust,$B2954,dPer,"&gt;="&amp;cyFrom,dPer,"&lt;="&amp;cyTo,dQty,"&gt;-1E+300",dFlt1,critFlt1,dFlt2,critFlt2,dFlt3,critFlt3))</f>
        <v/>
      </c>
      <c r="G2954">
        <f>IF($B2954="",0,IFERROR(IF(OR(C2954&lt;&gt;0,D2954&lt;&gt;0,E2954&lt;&gt;0,F2954&lt;&gt;0),1,0),1))</f>
        <v>0</v>
      </c>
      <c r="H2954" t="str">
        <f>IF(OR(G2954=0,E2954=0),"",C2954/E2954)</f>
        <v/>
      </c>
      <c r="I2954" t="str">
        <f>IF(OR(G2954=0,F2954=0),"",D2954/F2954)</f>
        <v/>
      </c>
      <c r="J2954" t="str">
        <f>IF(OR(H2954="",I2954=""),"",IF(H2954=0,"",I2954/H2954-1))</f>
        <v/>
      </c>
      <c r="K2954" t="str">
        <f>IF($B2954="","",IFERROR(IF(G2954=0,-2E+300,CHOOSE(sortIdx,ROUND(D2954,0),IF(J2954="",-1E+300,ROUND(-J2954,6)),IF(J2954="",-1E+300,ROUND(J2954,6)))),-1.5E+300))</f>
        <v/>
      </c>
      <c r="L2954" t="str">
        <f>IF(K2954="","",RANK(K2954,$K$2:$K$3001,0)+COUNTIF($K$2:K2954,K2954)-1)</f>
        <v/>
      </c>
    </row>
    <row r="2955">
      <c r="B2955" t="str">
        <f>IFERROR(IF(A2955="","","="&amp;SUBSTITUTE(SUBSTITUTE(SUBSTITUTE(A2955,"~","~~"),"*","~*"),"?","~?")),"")</f>
        <v/>
      </c>
      <c r="C2955" t="str">
        <f>IF($B2955="","",SUMIFS(dAmt,dCust,$B2955,dPer,"&gt;="&amp;pyFrom,dPer,"&lt;="&amp;pyTo,dAmt,"&gt;-1E+300",dFlt1,critFlt1,dFlt2,critFlt2,dFlt3,critFlt3))</f>
        <v/>
      </c>
      <c r="D2955" t="str">
        <f>IF($B2955="","",SUMIFS(dAmt,dCust,$B2955,dPer,"&gt;="&amp;cyFrom,dPer,"&lt;="&amp;cyTo,dAmt,"&gt;-1E+300",dFlt1,critFlt1,dFlt2,critFlt2,dFlt3,critFlt3))</f>
        <v/>
      </c>
      <c r="E2955" t="str">
        <f>IF($B2955="","",SUMIFS(dQty,dCust,$B2955,dPer,"&gt;="&amp;pyFrom,dPer,"&lt;="&amp;pyTo,dQty,"&gt;-1E+300",dFlt1,critFlt1,dFlt2,critFlt2,dFlt3,critFlt3))</f>
        <v/>
      </c>
      <c r="F2955" t="str">
        <f>IF($B2955="","",SUMIFS(dQty,dCust,$B2955,dPer,"&gt;="&amp;cyFrom,dPer,"&lt;="&amp;cyTo,dQty,"&gt;-1E+300",dFlt1,critFlt1,dFlt2,critFlt2,dFlt3,critFlt3))</f>
        <v/>
      </c>
      <c r="G2955">
        <f>IF($B2955="",0,IFERROR(IF(OR(C2955&lt;&gt;0,D2955&lt;&gt;0,E2955&lt;&gt;0,F2955&lt;&gt;0),1,0),1))</f>
        <v>0</v>
      </c>
      <c r="H2955" t="str">
        <f>IF(OR(G2955=0,E2955=0),"",C2955/E2955)</f>
        <v/>
      </c>
      <c r="I2955" t="str">
        <f>IF(OR(G2955=0,F2955=0),"",D2955/F2955)</f>
        <v/>
      </c>
      <c r="J2955" t="str">
        <f>IF(OR(H2955="",I2955=""),"",IF(H2955=0,"",I2955/H2955-1))</f>
        <v/>
      </c>
      <c r="K2955" t="str">
        <f>IF($B2955="","",IFERROR(IF(G2955=0,-2E+300,CHOOSE(sortIdx,ROUND(D2955,0),IF(J2955="",-1E+300,ROUND(-J2955,6)),IF(J2955="",-1E+300,ROUND(J2955,6)))),-1.5E+300))</f>
        <v/>
      </c>
      <c r="L2955" t="str">
        <f>IF(K2955="","",RANK(K2955,$K$2:$K$3001,0)+COUNTIF($K$2:K2955,K2955)-1)</f>
        <v/>
      </c>
    </row>
    <row r="2956">
      <c r="B2956" t="str">
        <f>IFERROR(IF(A2956="","","="&amp;SUBSTITUTE(SUBSTITUTE(SUBSTITUTE(A2956,"~","~~"),"*","~*"),"?","~?")),"")</f>
        <v/>
      </c>
      <c r="C2956" t="str">
        <f>IF($B2956="","",SUMIFS(dAmt,dCust,$B2956,dPer,"&gt;="&amp;pyFrom,dPer,"&lt;="&amp;pyTo,dAmt,"&gt;-1E+300",dFlt1,critFlt1,dFlt2,critFlt2,dFlt3,critFlt3))</f>
        <v/>
      </c>
      <c r="D2956" t="str">
        <f>IF($B2956="","",SUMIFS(dAmt,dCust,$B2956,dPer,"&gt;="&amp;cyFrom,dPer,"&lt;="&amp;cyTo,dAmt,"&gt;-1E+300",dFlt1,critFlt1,dFlt2,critFlt2,dFlt3,critFlt3))</f>
        <v/>
      </c>
      <c r="E2956" t="str">
        <f>IF($B2956="","",SUMIFS(dQty,dCust,$B2956,dPer,"&gt;="&amp;pyFrom,dPer,"&lt;="&amp;pyTo,dQty,"&gt;-1E+300",dFlt1,critFlt1,dFlt2,critFlt2,dFlt3,critFlt3))</f>
        <v/>
      </c>
      <c r="F2956" t="str">
        <f>IF($B2956="","",SUMIFS(dQty,dCust,$B2956,dPer,"&gt;="&amp;cyFrom,dPer,"&lt;="&amp;cyTo,dQty,"&gt;-1E+300",dFlt1,critFlt1,dFlt2,critFlt2,dFlt3,critFlt3))</f>
        <v/>
      </c>
      <c r="G2956">
        <f>IF($B2956="",0,IFERROR(IF(OR(C2956&lt;&gt;0,D2956&lt;&gt;0,E2956&lt;&gt;0,F2956&lt;&gt;0),1,0),1))</f>
        <v>0</v>
      </c>
      <c r="H2956" t="str">
        <f>IF(OR(G2956=0,E2956=0),"",C2956/E2956)</f>
        <v/>
      </c>
      <c r="I2956" t="str">
        <f>IF(OR(G2956=0,F2956=0),"",D2956/F2956)</f>
        <v/>
      </c>
      <c r="J2956" t="str">
        <f>IF(OR(H2956="",I2956=""),"",IF(H2956=0,"",I2956/H2956-1))</f>
        <v/>
      </c>
      <c r="K2956" t="str">
        <f>IF($B2956="","",IFERROR(IF(G2956=0,-2E+300,CHOOSE(sortIdx,ROUND(D2956,0),IF(J2956="",-1E+300,ROUND(-J2956,6)),IF(J2956="",-1E+300,ROUND(J2956,6)))),-1.5E+300))</f>
        <v/>
      </c>
      <c r="L2956" t="str">
        <f>IF(K2956="","",RANK(K2956,$K$2:$K$3001,0)+COUNTIF($K$2:K2956,K2956)-1)</f>
        <v/>
      </c>
    </row>
    <row r="2957">
      <c r="B2957" t="str">
        <f>IFERROR(IF(A2957="","","="&amp;SUBSTITUTE(SUBSTITUTE(SUBSTITUTE(A2957,"~","~~"),"*","~*"),"?","~?")),"")</f>
        <v/>
      </c>
      <c r="C2957" t="str">
        <f>IF($B2957="","",SUMIFS(dAmt,dCust,$B2957,dPer,"&gt;="&amp;pyFrom,dPer,"&lt;="&amp;pyTo,dAmt,"&gt;-1E+300",dFlt1,critFlt1,dFlt2,critFlt2,dFlt3,critFlt3))</f>
        <v/>
      </c>
      <c r="D2957" t="str">
        <f>IF($B2957="","",SUMIFS(dAmt,dCust,$B2957,dPer,"&gt;="&amp;cyFrom,dPer,"&lt;="&amp;cyTo,dAmt,"&gt;-1E+300",dFlt1,critFlt1,dFlt2,critFlt2,dFlt3,critFlt3))</f>
        <v/>
      </c>
      <c r="E2957" t="str">
        <f>IF($B2957="","",SUMIFS(dQty,dCust,$B2957,dPer,"&gt;="&amp;pyFrom,dPer,"&lt;="&amp;pyTo,dQty,"&gt;-1E+300",dFlt1,critFlt1,dFlt2,critFlt2,dFlt3,critFlt3))</f>
        <v/>
      </c>
      <c r="F2957" t="str">
        <f>IF($B2957="","",SUMIFS(dQty,dCust,$B2957,dPer,"&gt;="&amp;cyFrom,dPer,"&lt;="&amp;cyTo,dQty,"&gt;-1E+300",dFlt1,critFlt1,dFlt2,critFlt2,dFlt3,critFlt3))</f>
        <v/>
      </c>
      <c r="G2957">
        <f>IF($B2957="",0,IFERROR(IF(OR(C2957&lt;&gt;0,D2957&lt;&gt;0,E2957&lt;&gt;0,F2957&lt;&gt;0),1,0),1))</f>
        <v>0</v>
      </c>
      <c r="H2957" t="str">
        <f>IF(OR(G2957=0,E2957=0),"",C2957/E2957)</f>
        <v/>
      </c>
      <c r="I2957" t="str">
        <f>IF(OR(G2957=0,F2957=0),"",D2957/F2957)</f>
        <v/>
      </c>
      <c r="J2957" t="str">
        <f>IF(OR(H2957="",I2957=""),"",IF(H2957=0,"",I2957/H2957-1))</f>
        <v/>
      </c>
      <c r="K2957" t="str">
        <f>IF($B2957="","",IFERROR(IF(G2957=0,-2E+300,CHOOSE(sortIdx,ROUND(D2957,0),IF(J2957="",-1E+300,ROUND(-J2957,6)),IF(J2957="",-1E+300,ROUND(J2957,6)))),-1.5E+300))</f>
        <v/>
      </c>
      <c r="L2957" t="str">
        <f>IF(K2957="","",RANK(K2957,$K$2:$K$3001,0)+COUNTIF($K$2:K2957,K2957)-1)</f>
        <v/>
      </c>
    </row>
    <row r="2958">
      <c r="B2958" t="str">
        <f>IFERROR(IF(A2958="","","="&amp;SUBSTITUTE(SUBSTITUTE(SUBSTITUTE(A2958,"~","~~"),"*","~*"),"?","~?")),"")</f>
        <v/>
      </c>
      <c r="C2958" t="str">
        <f>IF($B2958="","",SUMIFS(dAmt,dCust,$B2958,dPer,"&gt;="&amp;pyFrom,dPer,"&lt;="&amp;pyTo,dAmt,"&gt;-1E+300",dFlt1,critFlt1,dFlt2,critFlt2,dFlt3,critFlt3))</f>
        <v/>
      </c>
      <c r="D2958" t="str">
        <f>IF($B2958="","",SUMIFS(dAmt,dCust,$B2958,dPer,"&gt;="&amp;cyFrom,dPer,"&lt;="&amp;cyTo,dAmt,"&gt;-1E+300",dFlt1,critFlt1,dFlt2,critFlt2,dFlt3,critFlt3))</f>
        <v/>
      </c>
      <c r="E2958" t="str">
        <f>IF($B2958="","",SUMIFS(dQty,dCust,$B2958,dPer,"&gt;="&amp;pyFrom,dPer,"&lt;="&amp;pyTo,dQty,"&gt;-1E+300",dFlt1,critFlt1,dFlt2,critFlt2,dFlt3,critFlt3))</f>
        <v/>
      </c>
      <c r="F2958" t="str">
        <f>IF($B2958="","",SUMIFS(dQty,dCust,$B2958,dPer,"&gt;="&amp;cyFrom,dPer,"&lt;="&amp;cyTo,dQty,"&gt;-1E+300",dFlt1,critFlt1,dFlt2,critFlt2,dFlt3,critFlt3))</f>
        <v/>
      </c>
      <c r="G2958">
        <f>IF($B2958="",0,IFERROR(IF(OR(C2958&lt;&gt;0,D2958&lt;&gt;0,E2958&lt;&gt;0,F2958&lt;&gt;0),1,0),1))</f>
        <v>0</v>
      </c>
      <c r="H2958" t="str">
        <f>IF(OR(G2958=0,E2958=0),"",C2958/E2958)</f>
        <v/>
      </c>
      <c r="I2958" t="str">
        <f>IF(OR(G2958=0,F2958=0),"",D2958/F2958)</f>
        <v/>
      </c>
      <c r="J2958" t="str">
        <f>IF(OR(H2958="",I2958=""),"",IF(H2958=0,"",I2958/H2958-1))</f>
        <v/>
      </c>
      <c r="K2958" t="str">
        <f>IF($B2958="","",IFERROR(IF(G2958=0,-2E+300,CHOOSE(sortIdx,ROUND(D2958,0),IF(J2958="",-1E+300,ROUND(-J2958,6)),IF(J2958="",-1E+300,ROUND(J2958,6)))),-1.5E+300))</f>
        <v/>
      </c>
      <c r="L2958" t="str">
        <f>IF(K2958="","",RANK(K2958,$K$2:$K$3001,0)+COUNTIF($K$2:K2958,K2958)-1)</f>
        <v/>
      </c>
    </row>
    <row r="2959">
      <c r="B2959" t="str">
        <f>IFERROR(IF(A2959="","","="&amp;SUBSTITUTE(SUBSTITUTE(SUBSTITUTE(A2959,"~","~~"),"*","~*"),"?","~?")),"")</f>
        <v/>
      </c>
      <c r="C2959" t="str">
        <f>IF($B2959="","",SUMIFS(dAmt,dCust,$B2959,dPer,"&gt;="&amp;pyFrom,dPer,"&lt;="&amp;pyTo,dAmt,"&gt;-1E+300",dFlt1,critFlt1,dFlt2,critFlt2,dFlt3,critFlt3))</f>
        <v/>
      </c>
      <c r="D2959" t="str">
        <f>IF($B2959="","",SUMIFS(dAmt,dCust,$B2959,dPer,"&gt;="&amp;cyFrom,dPer,"&lt;="&amp;cyTo,dAmt,"&gt;-1E+300",dFlt1,critFlt1,dFlt2,critFlt2,dFlt3,critFlt3))</f>
        <v/>
      </c>
      <c r="E2959" t="str">
        <f>IF($B2959="","",SUMIFS(dQty,dCust,$B2959,dPer,"&gt;="&amp;pyFrom,dPer,"&lt;="&amp;pyTo,dQty,"&gt;-1E+300",dFlt1,critFlt1,dFlt2,critFlt2,dFlt3,critFlt3))</f>
        <v/>
      </c>
      <c r="F2959" t="str">
        <f>IF($B2959="","",SUMIFS(dQty,dCust,$B2959,dPer,"&gt;="&amp;cyFrom,dPer,"&lt;="&amp;cyTo,dQty,"&gt;-1E+300",dFlt1,critFlt1,dFlt2,critFlt2,dFlt3,critFlt3))</f>
        <v/>
      </c>
      <c r="G2959">
        <f>IF($B2959="",0,IFERROR(IF(OR(C2959&lt;&gt;0,D2959&lt;&gt;0,E2959&lt;&gt;0,F2959&lt;&gt;0),1,0),1))</f>
        <v>0</v>
      </c>
      <c r="H2959" t="str">
        <f>IF(OR(G2959=0,E2959=0),"",C2959/E2959)</f>
        <v/>
      </c>
      <c r="I2959" t="str">
        <f>IF(OR(G2959=0,F2959=0),"",D2959/F2959)</f>
        <v/>
      </c>
      <c r="J2959" t="str">
        <f>IF(OR(H2959="",I2959=""),"",IF(H2959=0,"",I2959/H2959-1))</f>
        <v/>
      </c>
      <c r="K2959" t="str">
        <f>IF($B2959="","",IFERROR(IF(G2959=0,-2E+300,CHOOSE(sortIdx,ROUND(D2959,0),IF(J2959="",-1E+300,ROUND(-J2959,6)),IF(J2959="",-1E+300,ROUND(J2959,6)))),-1.5E+300))</f>
        <v/>
      </c>
      <c r="L2959" t="str">
        <f>IF(K2959="","",RANK(K2959,$K$2:$K$3001,0)+COUNTIF($K$2:K2959,K2959)-1)</f>
        <v/>
      </c>
    </row>
    <row r="2960">
      <c r="B2960" t="str">
        <f>IFERROR(IF(A2960="","","="&amp;SUBSTITUTE(SUBSTITUTE(SUBSTITUTE(A2960,"~","~~"),"*","~*"),"?","~?")),"")</f>
        <v/>
      </c>
      <c r="C2960" t="str">
        <f>IF($B2960="","",SUMIFS(dAmt,dCust,$B2960,dPer,"&gt;="&amp;pyFrom,dPer,"&lt;="&amp;pyTo,dAmt,"&gt;-1E+300",dFlt1,critFlt1,dFlt2,critFlt2,dFlt3,critFlt3))</f>
        <v/>
      </c>
      <c r="D2960" t="str">
        <f>IF($B2960="","",SUMIFS(dAmt,dCust,$B2960,dPer,"&gt;="&amp;cyFrom,dPer,"&lt;="&amp;cyTo,dAmt,"&gt;-1E+300",dFlt1,critFlt1,dFlt2,critFlt2,dFlt3,critFlt3))</f>
        <v/>
      </c>
      <c r="E2960" t="str">
        <f>IF($B2960="","",SUMIFS(dQty,dCust,$B2960,dPer,"&gt;="&amp;pyFrom,dPer,"&lt;="&amp;pyTo,dQty,"&gt;-1E+300",dFlt1,critFlt1,dFlt2,critFlt2,dFlt3,critFlt3))</f>
        <v/>
      </c>
      <c r="F2960" t="str">
        <f>IF($B2960="","",SUMIFS(dQty,dCust,$B2960,dPer,"&gt;="&amp;cyFrom,dPer,"&lt;="&amp;cyTo,dQty,"&gt;-1E+300",dFlt1,critFlt1,dFlt2,critFlt2,dFlt3,critFlt3))</f>
        <v/>
      </c>
      <c r="G2960">
        <f>IF($B2960="",0,IFERROR(IF(OR(C2960&lt;&gt;0,D2960&lt;&gt;0,E2960&lt;&gt;0,F2960&lt;&gt;0),1,0),1))</f>
        <v>0</v>
      </c>
      <c r="H2960" t="str">
        <f>IF(OR(G2960=0,E2960=0),"",C2960/E2960)</f>
        <v/>
      </c>
      <c r="I2960" t="str">
        <f>IF(OR(G2960=0,F2960=0),"",D2960/F2960)</f>
        <v/>
      </c>
      <c r="J2960" t="str">
        <f>IF(OR(H2960="",I2960=""),"",IF(H2960=0,"",I2960/H2960-1))</f>
        <v/>
      </c>
      <c r="K2960" t="str">
        <f>IF($B2960="","",IFERROR(IF(G2960=0,-2E+300,CHOOSE(sortIdx,ROUND(D2960,0),IF(J2960="",-1E+300,ROUND(-J2960,6)),IF(J2960="",-1E+300,ROUND(J2960,6)))),-1.5E+300))</f>
        <v/>
      </c>
      <c r="L2960" t="str">
        <f>IF(K2960="","",RANK(K2960,$K$2:$K$3001,0)+COUNTIF($K$2:K2960,K2960)-1)</f>
        <v/>
      </c>
    </row>
    <row r="2961">
      <c r="B2961" t="str">
        <f>IFERROR(IF(A2961="","","="&amp;SUBSTITUTE(SUBSTITUTE(SUBSTITUTE(A2961,"~","~~"),"*","~*"),"?","~?")),"")</f>
        <v/>
      </c>
      <c r="C2961" t="str">
        <f>IF($B2961="","",SUMIFS(dAmt,dCust,$B2961,dPer,"&gt;="&amp;pyFrom,dPer,"&lt;="&amp;pyTo,dAmt,"&gt;-1E+300",dFlt1,critFlt1,dFlt2,critFlt2,dFlt3,critFlt3))</f>
        <v/>
      </c>
      <c r="D2961" t="str">
        <f>IF($B2961="","",SUMIFS(dAmt,dCust,$B2961,dPer,"&gt;="&amp;cyFrom,dPer,"&lt;="&amp;cyTo,dAmt,"&gt;-1E+300",dFlt1,critFlt1,dFlt2,critFlt2,dFlt3,critFlt3))</f>
        <v/>
      </c>
      <c r="E2961" t="str">
        <f>IF($B2961="","",SUMIFS(dQty,dCust,$B2961,dPer,"&gt;="&amp;pyFrom,dPer,"&lt;="&amp;pyTo,dQty,"&gt;-1E+300",dFlt1,critFlt1,dFlt2,critFlt2,dFlt3,critFlt3))</f>
        <v/>
      </c>
      <c r="F2961" t="str">
        <f>IF($B2961="","",SUMIFS(dQty,dCust,$B2961,dPer,"&gt;="&amp;cyFrom,dPer,"&lt;="&amp;cyTo,dQty,"&gt;-1E+300",dFlt1,critFlt1,dFlt2,critFlt2,dFlt3,critFlt3))</f>
        <v/>
      </c>
      <c r="G2961">
        <f>IF($B2961="",0,IFERROR(IF(OR(C2961&lt;&gt;0,D2961&lt;&gt;0,E2961&lt;&gt;0,F2961&lt;&gt;0),1,0),1))</f>
        <v>0</v>
      </c>
      <c r="H2961" t="str">
        <f>IF(OR(G2961=0,E2961=0),"",C2961/E2961)</f>
        <v/>
      </c>
      <c r="I2961" t="str">
        <f>IF(OR(G2961=0,F2961=0),"",D2961/F2961)</f>
        <v/>
      </c>
      <c r="J2961" t="str">
        <f>IF(OR(H2961="",I2961=""),"",IF(H2961=0,"",I2961/H2961-1))</f>
        <v/>
      </c>
      <c r="K2961" t="str">
        <f>IF($B2961="","",IFERROR(IF(G2961=0,-2E+300,CHOOSE(sortIdx,ROUND(D2961,0),IF(J2961="",-1E+300,ROUND(-J2961,6)),IF(J2961="",-1E+300,ROUND(J2961,6)))),-1.5E+300))</f>
        <v/>
      </c>
      <c r="L2961" t="str">
        <f>IF(K2961="","",RANK(K2961,$K$2:$K$3001,0)+COUNTIF($K$2:K2961,K2961)-1)</f>
        <v/>
      </c>
    </row>
    <row r="2962">
      <c r="B2962" t="str">
        <f>IFERROR(IF(A2962="","","="&amp;SUBSTITUTE(SUBSTITUTE(SUBSTITUTE(A2962,"~","~~"),"*","~*"),"?","~?")),"")</f>
        <v/>
      </c>
      <c r="C2962" t="str">
        <f>IF($B2962="","",SUMIFS(dAmt,dCust,$B2962,dPer,"&gt;="&amp;pyFrom,dPer,"&lt;="&amp;pyTo,dAmt,"&gt;-1E+300",dFlt1,critFlt1,dFlt2,critFlt2,dFlt3,critFlt3))</f>
        <v/>
      </c>
      <c r="D2962" t="str">
        <f>IF($B2962="","",SUMIFS(dAmt,dCust,$B2962,dPer,"&gt;="&amp;cyFrom,dPer,"&lt;="&amp;cyTo,dAmt,"&gt;-1E+300",dFlt1,critFlt1,dFlt2,critFlt2,dFlt3,critFlt3))</f>
        <v/>
      </c>
      <c r="E2962" t="str">
        <f>IF($B2962="","",SUMIFS(dQty,dCust,$B2962,dPer,"&gt;="&amp;pyFrom,dPer,"&lt;="&amp;pyTo,dQty,"&gt;-1E+300",dFlt1,critFlt1,dFlt2,critFlt2,dFlt3,critFlt3))</f>
        <v/>
      </c>
      <c r="F2962" t="str">
        <f>IF($B2962="","",SUMIFS(dQty,dCust,$B2962,dPer,"&gt;="&amp;cyFrom,dPer,"&lt;="&amp;cyTo,dQty,"&gt;-1E+300",dFlt1,critFlt1,dFlt2,critFlt2,dFlt3,critFlt3))</f>
        <v/>
      </c>
      <c r="G2962">
        <f>IF($B2962="",0,IFERROR(IF(OR(C2962&lt;&gt;0,D2962&lt;&gt;0,E2962&lt;&gt;0,F2962&lt;&gt;0),1,0),1))</f>
        <v>0</v>
      </c>
      <c r="H2962" t="str">
        <f>IF(OR(G2962=0,E2962=0),"",C2962/E2962)</f>
        <v/>
      </c>
      <c r="I2962" t="str">
        <f>IF(OR(G2962=0,F2962=0),"",D2962/F2962)</f>
        <v/>
      </c>
      <c r="J2962" t="str">
        <f>IF(OR(H2962="",I2962=""),"",IF(H2962=0,"",I2962/H2962-1))</f>
        <v/>
      </c>
      <c r="K2962" t="str">
        <f>IF($B2962="","",IFERROR(IF(G2962=0,-2E+300,CHOOSE(sortIdx,ROUND(D2962,0),IF(J2962="",-1E+300,ROUND(-J2962,6)),IF(J2962="",-1E+300,ROUND(J2962,6)))),-1.5E+300))</f>
        <v/>
      </c>
      <c r="L2962" t="str">
        <f>IF(K2962="","",RANK(K2962,$K$2:$K$3001,0)+COUNTIF($K$2:K2962,K2962)-1)</f>
        <v/>
      </c>
    </row>
    <row r="2963">
      <c r="B2963" t="str">
        <f>IFERROR(IF(A2963="","","="&amp;SUBSTITUTE(SUBSTITUTE(SUBSTITUTE(A2963,"~","~~"),"*","~*"),"?","~?")),"")</f>
        <v/>
      </c>
      <c r="C2963" t="str">
        <f>IF($B2963="","",SUMIFS(dAmt,dCust,$B2963,dPer,"&gt;="&amp;pyFrom,dPer,"&lt;="&amp;pyTo,dAmt,"&gt;-1E+300",dFlt1,critFlt1,dFlt2,critFlt2,dFlt3,critFlt3))</f>
        <v/>
      </c>
      <c r="D2963" t="str">
        <f>IF($B2963="","",SUMIFS(dAmt,dCust,$B2963,dPer,"&gt;="&amp;cyFrom,dPer,"&lt;="&amp;cyTo,dAmt,"&gt;-1E+300",dFlt1,critFlt1,dFlt2,critFlt2,dFlt3,critFlt3))</f>
        <v/>
      </c>
      <c r="E2963" t="str">
        <f>IF($B2963="","",SUMIFS(dQty,dCust,$B2963,dPer,"&gt;="&amp;pyFrom,dPer,"&lt;="&amp;pyTo,dQty,"&gt;-1E+300",dFlt1,critFlt1,dFlt2,critFlt2,dFlt3,critFlt3))</f>
        <v/>
      </c>
      <c r="F2963" t="str">
        <f>IF($B2963="","",SUMIFS(dQty,dCust,$B2963,dPer,"&gt;="&amp;cyFrom,dPer,"&lt;="&amp;cyTo,dQty,"&gt;-1E+300",dFlt1,critFlt1,dFlt2,critFlt2,dFlt3,critFlt3))</f>
        <v/>
      </c>
      <c r="G2963">
        <f>IF($B2963="",0,IFERROR(IF(OR(C2963&lt;&gt;0,D2963&lt;&gt;0,E2963&lt;&gt;0,F2963&lt;&gt;0),1,0),1))</f>
        <v>0</v>
      </c>
      <c r="H2963" t="str">
        <f>IF(OR(G2963=0,E2963=0),"",C2963/E2963)</f>
        <v/>
      </c>
      <c r="I2963" t="str">
        <f>IF(OR(G2963=0,F2963=0),"",D2963/F2963)</f>
        <v/>
      </c>
      <c r="J2963" t="str">
        <f>IF(OR(H2963="",I2963=""),"",IF(H2963=0,"",I2963/H2963-1))</f>
        <v/>
      </c>
      <c r="K2963" t="str">
        <f>IF($B2963="","",IFERROR(IF(G2963=0,-2E+300,CHOOSE(sortIdx,ROUND(D2963,0),IF(J2963="",-1E+300,ROUND(-J2963,6)),IF(J2963="",-1E+300,ROUND(J2963,6)))),-1.5E+300))</f>
        <v/>
      </c>
      <c r="L2963" t="str">
        <f>IF(K2963="","",RANK(K2963,$K$2:$K$3001,0)+COUNTIF($K$2:K2963,K2963)-1)</f>
        <v/>
      </c>
    </row>
    <row r="2964">
      <c r="B2964" t="str">
        <f>IFERROR(IF(A2964="","","="&amp;SUBSTITUTE(SUBSTITUTE(SUBSTITUTE(A2964,"~","~~"),"*","~*"),"?","~?")),"")</f>
        <v/>
      </c>
      <c r="C2964" t="str">
        <f>IF($B2964="","",SUMIFS(dAmt,dCust,$B2964,dPer,"&gt;="&amp;pyFrom,dPer,"&lt;="&amp;pyTo,dAmt,"&gt;-1E+300",dFlt1,critFlt1,dFlt2,critFlt2,dFlt3,critFlt3))</f>
        <v/>
      </c>
      <c r="D2964" t="str">
        <f>IF($B2964="","",SUMIFS(dAmt,dCust,$B2964,dPer,"&gt;="&amp;cyFrom,dPer,"&lt;="&amp;cyTo,dAmt,"&gt;-1E+300",dFlt1,critFlt1,dFlt2,critFlt2,dFlt3,critFlt3))</f>
        <v/>
      </c>
      <c r="E2964" t="str">
        <f>IF($B2964="","",SUMIFS(dQty,dCust,$B2964,dPer,"&gt;="&amp;pyFrom,dPer,"&lt;="&amp;pyTo,dQty,"&gt;-1E+300",dFlt1,critFlt1,dFlt2,critFlt2,dFlt3,critFlt3))</f>
        <v/>
      </c>
      <c r="F2964" t="str">
        <f>IF($B2964="","",SUMIFS(dQty,dCust,$B2964,dPer,"&gt;="&amp;cyFrom,dPer,"&lt;="&amp;cyTo,dQty,"&gt;-1E+300",dFlt1,critFlt1,dFlt2,critFlt2,dFlt3,critFlt3))</f>
        <v/>
      </c>
      <c r="G2964">
        <f>IF($B2964="",0,IFERROR(IF(OR(C2964&lt;&gt;0,D2964&lt;&gt;0,E2964&lt;&gt;0,F2964&lt;&gt;0),1,0),1))</f>
        <v>0</v>
      </c>
      <c r="H2964" t="str">
        <f>IF(OR(G2964=0,E2964=0),"",C2964/E2964)</f>
        <v/>
      </c>
      <c r="I2964" t="str">
        <f>IF(OR(G2964=0,F2964=0),"",D2964/F2964)</f>
        <v/>
      </c>
      <c r="J2964" t="str">
        <f>IF(OR(H2964="",I2964=""),"",IF(H2964=0,"",I2964/H2964-1))</f>
        <v/>
      </c>
      <c r="K2964" t="str">
        <f>IF($B2964="","",IFERROR(IF(G2964=0,-2E+300,CHOOSE(sortIdx,ROUND(D2964,0),IF(J2964="",-1E+300,ROUND(-J2964,6)),IF(J2964="",-1E+300,ROUND(J2964,6)))),-1.5E+300))</f>
        <v/>
      </c>
      <c r="L2964" t="str">
        <f>IF(K2964="","",RANK(K2964,$K$2:$K$3001,0)+COUNTIF($K$2:K2964,K2964)-1)</f>
        <v/>
      </c>
    </row>
    <row r="2965">
      <c r="B2965" t="str">
        <f>IFERROR(IF(A2965="","","="&amp;SUBSTITUTE(SUBSTITUTE(SUBSTITUTE(A2965,"~","~~"),"*","~*"),"?","~?")),"")</f>
        <v/>
      </c>
      <c r="C2965" t="str">
        <f>IF($B2965="","",SUMIFS(dAmt,dCust,$B2965,dPer,"&gt;="&amp;pyFrom,dPer,"&lt;="&amp;pyTo,dAmt,"&gt;-1E+300",dFlt1,critFlt1,dFlt2,critFlt2,dFlt3,critFlt3))</f>
        <v/>
      </c>
      <c r="D2965" t="str">
        <f>IF($B2965="","",SUMIFS(dAmt,dCust,$B2965,dPer,"&gt;="&amp;cyFrom,dPer,"&lt;="&amp;cyTo,dAmt,"&gt;-1E+300",dFlt1,critFlt1,dFlt2,critFlt2,dFlt3,critFlt3))</f>
        <v/>
      </c>
      <c r="E2965" t="str">
        <f>IF($B2965="","",SUMIFS(dQty,dCust,$B2965,dPer,"&gt;="&amp;pyFrom,dPer,"&lt;="&amp;pyTo,dQty,"&gt;-1E+300",dFlt1,critFlt1,dFlt2,critFlt2,dFlt3,critFlt3))</f>
        <v/>
      </c>
      <c r="F2965" t="str">
        <f>IF($B2965="","",SUMIFS(dQty,dCust,$B2965,dPer,"&gt;="&amp;cyFrom,dPer,"&lt;="&amp;cyTo,dQty,"&gt;-1E+300",dFlt1,critFlt1,dFlt2,critFlt2,dFlt3,critFlt3))</f>
        <v/>
      </c>
      <c r="G2965">
        <f>IF($B2965="",0,IFERROR(IF(OR(C2965&lt;&gt;0,D2965&lt;&gt;0,E2965&lt;&gt;0,F2965&lt;&gt;0),1,0),1))</f>
        <v>0</v>
      </c>
      <c r="H2965" t="str">
        <f>IF(OR(G2965=0,E2965=0),"",C2965/E2965)</f>
        <v/>
      </c>
      <c r="I2965" t="str">
        <f>IF(OR(G2965=0,F2965=0),"",D2965/F2965)</f>
        <v/>
      </c>
      <c r="J2965" t="str">
        <f>IF(OR(H2965="",I2965=""),"",IF(H2965=0,"",I2965/H2965-1))</f>
        <v/>
      </c>
      <c r="K2965" t="str">
        <f>IF($B2965="","",IFERROR(IF(G2965=0,-2E+300,CHOOSE(sortIdx,ROUND(D2965,0),IF(J2965="",-1E+300,ROUND(-J2965,6)),IF(J2965="",-1E+300,ROUND(J2965,6)))),-1.5E+300))</f>
        <v/>
      </c>
      <c r="L2965" t="str">
        <f>IF(K2965="","",RANK(K2965,$K$2:$K$3001,0)+COUNTIF($K$2:K2965,K2965)-1)</f>
        <v/>
      </c>
    </row>
    <row r="2966">
      <c r="B2966" t="str">
        <f>IFERROR(IF(A2966="","","="&amp;SUBSTITUTE(SUBSTITUTE(SUBSTITUTE(A2966,"~","~~"),"*","~*"),"?","~?")),"")</f>
        <v/>
      </c>
      <c r="C2966" t="str">
        <f>IF($B2966="","",SUMIFS(dAmt,dCust,$B2966,dPer,"&gt;="&amp;pyFrom,dPer,"&lt;="&amp;pyTo,dAmt,"&gt;-1E+300",dFlt1,critFlt1,dFlt2,critFlt2,dFlt3,critFlt3))</f>
        <v/>
      </c>
      <c r="D2966" t="str">
        <f>IF($B2966="","",SUMIFS(dAmt,dCust,$B2966,dPer,"&gt;="&amp;cyFrom,dPer,"&lt;="&amp;cyTo,dAmt,"&gt;-1E+300",dFlt1,critFlt1,dFlt2,critFlt2,dFlt3,critFlt3))</f>
        <v/>
      </c>
      <c r="E2966" t="str">
        <f>IF($B2966="","",SUMIFS(dQty,dCust,$B2966,dPer,"&gt;="&amp;pyFrom,dPer,"&lt;="&amp;pyTo,dQty,"&gt;-1E+300",dFlt1,critFlt1,dFlt2,critFlt2,dFlt3,critFlt3))</f>
        <v/>
      </c>
      <c r="F2966" t="str">
        <f>IF($B2966="","",SUMIFS(dQty,dCust,$B2966,dPer,"&gt;="&amp;cyFrom,dPer,"&lt;="&amp;cyTo,dQty,"&gt;-1E+300",dFlt1,critFlt1,dFlt2,critFlt2,dFlt3,critFlt3))</f>
        <v/>
      </c>
      <c r="G2966">
        <f>IF($B2966="",0,IFERROR(IF(OR(C2966&lt;&gt;0,D2966&lt;&gt;0,E2966&lt;&gt;0,F2966&lt;&gt;0),1,0),1))</f>
        <v>0</v>
      </c>
      <c r="H2966" t="str">
        <f>IF(OR(G2966=0,E2966=0),"",C2966/E2966)</f>
        <v/>
      </c>
      <c r="I2966" t="str">
        <f>IF(OR(G2966=0,F2966=0),"",D2966/F2966)</f>
        <v/>
      </c>
      <c r="J2966" t="str">
        <f>IF(OR(H2966="",I2966=""),"",IF(H2966=0,"",I2966/H2966-1))</f>
        <v/>
      </c>
      <c r="K2966" t="str">
        <f>IF($B2966="","",IFERROR(IF(G2966=0,-2E+300,CHOOSE(sortIdx,ROUND(D2966,0),IF(J2966="",-1E+300,ROUND(-J2966,6)),IF(J2966="",-1E+300,ROUND(J2966,6)))),-1.5E+300))</f>
        <v/>
      </c>
      <c r="L2966" t="str">
        <f>IF(K2966="","",RANK(K2966,$K$2:$K$3001,0)+COUNTIF($K$2:K2966,K2966)-1)</f>
        <v/>
      </c>
    </row>
    <row r="2967">
      <c r="B2967" t="str">
        <f>IFERROR(IF(A2967="","","="&amp;SUBSTITUTE(SUBSTITUTE(SUBSTITUTE(A2967,"~","~~"),"*","~*"),"?","~?")),"")</f>
        <v/>
      </c>
      <c r="C2967" t="str">
        <f>IF($B2967="","",SUMIFS(dAmt,dCust,$B2967,dPer,"&gt;="&amp;pyFrom,dPer,"&lt;="&amp;pyTo,dAmt,"&gt;-1E+300",dFlt1,critFlt1,dFlt2,critFlt2,dFlt3,critFlt3))</f>
        <v/>
      </c>
      <c r="D2967" t="str">
        <f>IF($B2967="","",SUMIFS(dAmt,dCust,$B2967,dPer,"&gt;="&amp;cyFrom,dPer,"&lt;="&amp;cyTo,dAmt,"&gt;-1E+300",dFlt1,critFlt1,dFlt2,critFlt2,dFlt3,critFlt3))</f>
        <v/>
      </c>
      <c r="E2967" t="str">
        <f>IF($B2967="","",SUMIFS(dQty,dCust,$B2967,dPer,"&gt;="&amp;pyFrom,dPer,"&lt;="&amp;pyTo,dQty,"&gt;-1E+300",dFlt1,critFlt1,dFlt2,critFlt2,dFlt3,critFlt3))</f>
        <v/>
      </c>
      <c r="F2967" t="str">
        <f>IF($B2967="","",SUMIFS(dQty,dCust,$B2967,dPer,"&gt;="&amp;cyFrom,dPer,"&lt;="&amp;cyTo,dQty,"&gt;-1E+300",dFlt1,critFlt1,dFlt2,critFlt2,dFlt3,critFlt3))</f>
        <v/>
      </c>
      <c r="G2967">
        <f>IF($B2967="",0,IFERROR(IF(OR(C2967&lt;&gt;0,D2967&lt;&gt;0,E2967&lt;&gt;0,F2967&lt;&gt;0),1,0),1))</f>
        <v>0</v>
      </c>
      <c r="H2967" t="str">
        <f>IF(OR(G2967=0,E2967=0),"",C2967/E2967)</f>
        <v/>
      </c>
      <c r="I2967" t="str">
        <f>IF(OR(G2967=0,F2967=0),"",D2967/F2967)</f>
        <v/>
      </c>
      <c r="J2967" t="str">
        <f>IF(OR(H2967="",I2967=""),"",IF(H2967=0,"",I2967/H2967-1))</f>
        <v/>
      </c>
      <c r="K2967" t="str">
        <f>IF($B2967="","",IFERROR(IF(G2967=0,-2E+300,CHOOSE(sortIdx,ROUND(D2967,0),IF(J2967="",-1E+300,ROUND(-J2967,6)),IF(J2967="",-1E+300,ROUND(J2967,6)))),-1.5E+300))</f>
        <v/>
      </c>
      <c r="L2967" t="str">
        <f>IF(K2967="","",RANK(K2967,$K$2:$K$3001,0)+COUNTIF($K$2:K2967,K2967)-1)</f>
        <v/>
      </c>
    </row>
    <row r="2968">
      <c r="B2968" t="str">
        <f>IFERROR(IF(A2968="","","="&amp;SUBSTITUTE(SUBSTITUTE(SUBSTITUTE(A2968,"~","~~"),"*","~*"),"?","~?")),"")</f>
        <v/>
      </c>
      <c r="C2968" t="str">
        <f>IF($B2968="","",SUMIFS(dAmt,dCust,$B2968,dPer,"&gt;="&amp;pyFrom,dPer,"&lt;="&amp;pyTo,dAmt,"&gt;-1E+300",dFlt1,critFlt1,dFlt2,critFlt2,dFlt3,critFlt3))</f>
        <v/>
      </c>
      <c r="D2968" t="str">
        <f>IF($B2968="","",SUMIFS(dAmt,dCust,$B2968,dPer,"&gt;="&amp;cyFrom,dPer,"&lt;="&amp;cyTo,dAmt,"&gt;-1E+300",dFlt1,critFlt1,dFlt2,critFlt2,dFlt3,critFlt3))</f>
        <v/>
      </c>
      <c r="E2968" t="str">
        <f>IF($B2968="","",SUMIFS(dQty,dCust,$B2968,dPer,"&gt;="&amp;pyFrom,dPer,"&lt;="&amp;pyTo,dQty,"&gt;-1E+300",dFlt1,critFlt1,dFlt2,critFlt2,dFlt3,critFlt3))</f>
        <v/>
      </c>
      <c r="F2968" t="str">
        <f>IF($B2968="","",SUMIFS(dQty,dCust,$B2968,dPer,"&gt;="&amp;cyFrom,dPer,"&lt;="&amp;cyTo,dQty,"&gt;-1E+300",dFlt1,critFlt1,dFlt2,critFlt2,dFlt3,critFlt3))</f>
        <v/>
      </c>
      <c r="G2968">
        <f>IF($B2968="",0,IFERROR(IF(OR(C2968&lt;&gt;0,D2968&lt;&gt;0,E2968&lt;&gt;0,F2968&lt;&gt;0),1,0),1))</f>
        <v>0</v>
      </c>
      <c r="H2968" t="str">
        <f>IF(OR(G2968=0,E2968=0),"",C2968/E2968)</f>
        <v/>
      </c>
      <c r="I2968" t="str">
        <f>IF(OR(G2968=0,F2968=0),"",D2968/F2968)</f>
        <v/>
      </c>
      <c r="J2968" t="str">
        <f>IF(OR(H2968="",I2968=""),"",IF(H2968=0,"",I2968/H2968-1))</f>
        <v/>
      </c>
      <c r="K2968" t="str">
        <f>IF($B2968="","",IFERROR(IF(G2968=0,-2E+300,CHOOSE(sortIdx,ROUND(D2968,0),IF(J2968="",-1E+300,ROUND(-J2968,6)),IF(J2968="",-1E+300,ROUND(J2968,6)))),-1.5E+300))</f>
        <v/>
      </c>
      <c r="L2968" t="str">
        <f>IF(K2968="","",RANK(K2968,$K$2:$K$3001,0)+COUNTIF($K$2:K2968,K2968)-1)</f>
        <v/>
      </c>
    </row>
    <row r="2969">
      <c r="B2969" t="str">
        <f>IFERROR(IF(A2969="","","="&amp;SUBSTITUTE(SUBSTITUTE(SUBSTITUTE(A2969,"~","~~"),"*","~*"),"?","~?")),"")</f>
        <v/>
      </c>
      <c r="C2969" t="str">
        <f>IF($B2969="","",SUMIFS(dAmt,dCust,$B2969,dPer,"&gt;="&amp;pyFrom,dPer,"&lt;="&amp;pyTo,dAmt,"&gt;-1E+300",dFlt1,critFlt1,dFlt2,critFlt2,dFlt3,critFlt3))</f>
        <v/>
      </c>
      <c r="D2969" t="str">
        <f>IF($B2969="","",SUMIFS(dAmt,dCust,$B2969,dPer,"&gt;="&amp;cyFrom,dPer,"&lt;="&amp;cyTo,dAmt,"&gt;-1E+300",dFlt1,critFlt1,dFlt2,critFlt2,dFlt3,critFlt3))</f>
        <v/>
      </c>
      <c r="E2969" t="str">
        <f>IF($B2969="","",SUMIFS(dQty,dCust,$B2969,dPer,"&gt;="&amp;pyFrom,dPer,"&lt;="&amp;pyTo,dQty,"&gt;-1E+300",dFlt1,critFlt1,dFlt2,critFlt2,dFlt3,critFlt3))</f>
        <v/>
      </c>
      <c r="F2969" t="str">
        <f>IF($B2969="","",SUMIFS(dQty,dCust,$B2969,dPer,"&gt;="&amp;cyFrom,dPer,"&lt;="&amp;cyTo,dQty,"&gt;-1E+300",dFlt1,critFlt1,dFlt2,critFlt2,dFlt3,critFlt3))</f>
        <v/>
      </c>
      <c r="G2969">
        <f>IF($B2969="",0,IFERROR(IF(OR(C2969&lt;&gt;0,D2969&lt;&gt;0,E2969&lt;&gt;0,F2969&lt;&gt;0),1,0),1))</f>
        <v>0</v>
      </c>
      <c r="H2969" t="str">
        <f>IF(OR(G2969=0,E2969=0),"",C2969/E2969)</f>
        <v/>
      </c>
      <c r="I2969" t="str">
        <f>IF(OR(G2969=0,F2969=0),"",D2969/F2969)</f>
        <v/>
      </c>
      <c r="J2969" t="str">
        <f>IF(OR(H2969="",I2969=""),"",IF(H2969=0,"",I2969/H2969-1))</f>
        <v/>
      </c>
      <c r="K2969" t="str">
        <f>IF($B2969="","",IFERROR(IF(G2969=0,-2E+300,CHOOSE(sortIdx,ROUND(D2969,0),IF(J2969="",-1E+300,ROUND(-J2969,6)),IF(J2969="",-1E+300,ROUND(J2969,6)))),-1.5E+300))</f>
        <v/>
      </c>
      <c r="L2969" t="str">
        <f>IF(K2969="","",RANK(K2969,$K$2:$K$3001,0)+COUNTIF($K$2:K2969,K2969)-1)</f>
        <v/>
      </c>
    </row>
    <row r="2970">
      <c r="B2970" t="str">
        <f>IFERROR(IF(A2970="","","="&amp;SUBSTITUTE(SUBSTITUTE(SUBSTITUTE(A2970,"~","~~"),"*","~*"),"?","~?")),"")</f>
        <v/>
      </c>
      <c r="C2970" t="str">
        <f>IF($B2970="","",SUMIFS(dAmt,dCust,$B2970,dPer,"&gt;="&amp;pyFrom,dPer,"&lt;="&amp;pyTo,dAmt,"&gt;-1E+300",dFlt1,critFlt1,dFlt2,critFlt2,dFlt3,critFlt3))</f>
        <v/>
      </c>
      <c r="D2970" t="str">
        <f>IF($B2970="","",SUMIFS(dAmt,dCust,$B2970,dPer,"&gt;="&amp;cyFrom,dPer,"&lt;="&amp;cyTo,dAmt,"&gt;-1E+300",dFlt1,critFlt1,dFlt2,critFlt2,dFlt3,critFlt3))</f>
        <v/>
      </c>
      <c r="E2970" t="str">
        <f>IF($B2970="","",SUMIFS(dQty,dCust,$B2970,dPer,"&gt;="&amp;pyFrom,dPer,"&lt;="&amp;pyTo,dQty,"&gt;-1E+300",dFlt1,critFlt1,dFlt2,critFlt2,dFlt3,critFlt3))</f>
        <v/>
      </c>
      <c r="F2970" t="str">
        <f>IF($B2970="","",SUMIFS(dQty,dCust,$B2970,dPer,"&gt;="&amp;cyFrom,dPer,"&lt;="&amp;cyTo,dQty,"&gt;-1E+300",dFlt1,critFlt1,dFlt2,critFlt2,dFlt3,critFlt3))</f>
        <v/>
      </c>
      <c r="G2970">
        <f>IF($B2970="",0,IFERROR(IF(OR(C2970&lt;&gt;0,D2970&lt;&gt;0,E2970&lt;&gt;0,F2970&lt;&gt;0),1,0),1))</f>
        <v>0</v>
      </c>
      <c r="H2970" t="str">
        <f>IF(OR(G2970=0,E2970=0),"",C2970/E2970)</f>
        <v/>
      </c>
      <c r="I2970" t="str">
        <f>IF(OR(G2970=0,F2970=0),"",D2970/F2970)</f>
        <v/>
      </c>
      <c r="J2970" t="str">
        <f>IF(OR(H2970="",I2970=""),"",IF(H2970=0,"",I2970/H2970-1))</f>
        <v/>
      </c>
      <c r="K2970" t="str">
        <f>IF($B2970="","",IFERROR(IF(G2970=0,-2E+300,CHOOSE(sortIdx,ROUND(D2970,0),IF(J2970="",-1E+300,ROUND(-J2970,6)),IF(J2970="",-1E+300,ROUND(J2970,6)))),-1.5E+300))</f>
        <v/>
      </c>
      <c r="L2970" t="str">
        <f>IF(K2970="","",RANK(K2970,$K$2:$K$3001,0)+COUNTIF($K$2:K2970,K2970)-1)</f>
        <v/>
      </c>
    </row>
    <row r="2971">
      <c r="B2971" t="str">
        <f>IFERROR(IF(A2971="","","="&amp;SUBSTITUTE(SUBSTITUTE(SUBSTITUTE(A2971,"~","~~"),"*","~*"),"?","~?")),"")</f>
        <v/>
      </c>
      <c r="C2971" t="str">
        <f>IF($B2971="","",SUMIFS(dAmt,dCust,$B2971,dPer,"&gt;="&amp;pyFrom,dPer,"&lt;="&amp;pyTo,dAmt,"&gt;-1E+300",dFlt1,critFlt1,dFlt2,critFlt2,dFlt3,critFlt3))</f>
        <v/>
      </c>
      <c r="D2971" t="str">
        <f>IF($B2971="","",SUMIFS(dAmt,dCust,$B2971,dPer,"&gt;="&amp;cyFrom,dPer,"&lt;="&amp;cyTo,dAmt,"&gt;-1E+300",dFlt1,critFlt1,dFlt2,critFlt2,dFlt3,critFlt3))</f>
        <v/>
      </c>
      <c r="E2971" t="str">
        <f>IF($B2971="","",SUMIFS(dQty,dCust,$B2971,dPer,"&gt;="&amp;pyFrom,dPer,"&lt;="&amp;pyTo,dQty,"&gt;-1E+300",dFlt1,critFlt1,dFlt2,critFlt2,dFlt3,critFlt3))</f>
        <v/>
      </c>
      <c r="F2971" t="str">
        <f>IF($B2971="","",SUMIFS(dQty,dCust,$B2971,dPer,"&gt;="&amp;cyFrom,dPer,"&lt;="&amp;cyTo,dQty,"&gt;-1E+300",dFlt1,critFlt1,dFlt2,critFlt2,dFlt3,critFlt3))</f>
        <v/>
      </c>
      <c r="G2971">
        <f>IF($B2971="",0,IFERROR(IF(OR(C2971&lt;&gt;0,D2971&lt;&gt;0,E2971&lt;&gt;0,F2971&lt;&gt;0),1,0),1))</f>
        <v>0</v>
      </c>
      <c r="H2971" t="str">
        <f>IF(OR(G2971=0,E2971=0),"",C2971/E2971)</f>
        <v/>
      </c>
      <c r="I2971" t="str">
        <f>IF(OR(G2971=0,F2971=0),"",D2971/F2971)</f>
        <v/>
      </c>
      <c r="J2971" t="str">
        <f>IF(OR(H2971="",I2971=""),"",IF(H2971=0,"",I2971/H2971-1))</f>
        <v/>
      </c>
      <c r="K2971" t="str">
        <f>IF($B2971="","",IFERROR(IF(G2971=0,-2E+300,CHOOSE(sortIdx,ROUND(D2971,0),IF(J2971="",-1E+300,ROUND(-J2971,6)),IF(J2971="",-1E+300,ROUND(J2971,6)))),-1.5E+300))</f>
        <v/>
      </c>
      <c r="L2971" t="str">
        <f>IF(K2971="","",RANK(K2971,$K$2:$K$3001,0)+COUNTIF($K$2:K2971,K2971)-1)</f>
        <v/>
      </c>
    </row>
    <row r="2972">
      <c r="B2972" t="str">
        <f>IFERROR(IF(A2972="","","="&amp;SUBSTITUTE(SUBSTITUTE(SUBSTITUTE(A2972,"~","~~"),"*","~*"),"?","~?")),"")</f>
        <v/>
      </c>
      <c r="C2972" t="str">
        <f>IF($B2972="","",SUMIFS(dAmt,dCust,$B2972,dPer,"&gt;="&amp;pyFrom,dPer,"&lt;="&amp;pyTo,dAmt,"&gt;-1E+300",dFlt1,critFlt1,dFlt2,critFlt2,dFlt3,critFlt3))</f>
        <v/>
      </c>
      <c r="D2972" t="str">
        <f>IF($B2972="","",SUMIFS(dAmt,dCust,$B2972,dPer,"&gt;="&amp;cyFrom,dPer,"&lt;="&amp;cyTo,dAmt,"&gt;-1E+300",dFlt1,critFlt1,dFlt2,critFlt2,dFlt3,critFlt3))</f>
        <v/>
      </c>
      <c r="E2972" t="str">
        <f>IF($B2972="","",SUMIFS(dQty,dCust,$B2972,dPer,"&gt;="&amp;pyFrom,dPer,"&lt;="&amp;pyTo,dQty,"&gt;-1E+300",dFlt1,critFlt1,dFlt2,critFlt2,dFlt3,critFlt3))</f>
        <v/>
      </c>
      <c r="F2972" t="str">
        <f>IF($B2972="","",SUMIFS(dQty,dCust,$B2972,dPer,"&gt;="&amp;cyFrom,dPer,"&lt;="&amp;cyTo,dQty,"&gt;-1E+300",dFlt1,critFlt1,dFlt2,critFlt2,dFlt3,critFlt3))</f>
        <v/>
      </c>
      <c r="G2972">
        <f>IF($B2972="",0,IFERROR(IF(OR(C2972&lt;&gt;0,D2972&lt;&gt;0,E2972&lt;&gt;0,F2972&lt;&gt;0),1,0),1))</f>
        <v>0</v>
      </c>
      <c r="H2972" t="str">
        <f>IF(OR(G2972=0,E2972=0),"",C2972/E2972)</f>
        <v/>
      </c>
      <c r="I2972" t="str">
        <f>IF(OR(G2972=0,F2972=0),"",D2972/F2972)</f>
        <v/>
      </c>
      <c r="J2972" t="str">
        <f>IF(OR(H2972="",I2972=""),"",IF(H2972=0,"",I2972/H2972-1))</f>
        <v/>
      </c>
      <c r="K2972" t="str">
        <f>IF($B2972="","",IFERROR(IF(G2972=0,-2E+300,CHOOSE(sortIdx,ROUND(D2972,0),IF(J2972="",-1E+300,ROUND(-J2972,6)),IF(J2972="",-1E+300,ROUND(J2972,6)))),-1.5E+300))</f>
        <v/>
      </c>
      <c r="L2972" t="str">
        <f>IF(K2972="","",RANK(K2972,$K$2:$K$3001,0)+COUNTIF($K$2:K2972,K2972)-1)</f>
        <v/>
      </c>
    </row>
    <row r="2973">
      <c r="B2973" t="str">
        <f>IFERROR(IF(A2973="","","="&amp;SUBSTITUTE(SUBSTITUTE(SUBSTITUTE(A2973,"~","~~"),"*","~*"),"?","~?")),"")</f>
        <v/>
      </c>
      <c r="C2973" t="str">
        <f>IF($B2973="","",SUMIFS(dAmt,dCust,$B2973,dPer,"&gt;="&amp;pyFrom,dPer,"&lt;="&amp;pyTo,dAmt,"&gt;-1E+300",dFlt1,critFlt1,dFlt2,critFlt2,dFlt3,critFlt3))</f>
        <v/>
      </c>
      <c r="D2973" t="str">
        <f>IF($B2973="","",SUMIFS(dAmt,dCust,$B2973,dPer,"&gt;="&amp;cyFrom,dPer,"&lt;="&amp;cyTo,dAmt,"&gt;-1E+300",dFlt1,critFlt1,dFlt2,critFlt2,dFlt3,critFlt3))</f>
        <v/>
      </c>
      <c r="E2973" t="str">
        <f>IF($B2973="","",SUMIFS(dQty,dCust,$B2973,dPer,"&gt;="&amp;pyFrom,dPer,"&lt;="&amp;pyTo,dQty,"&gt;-1E+300",dFlt1,critFlt1,dFlt2,critFlt2,dFlt3,critFlt3))</f>
        <v/>
      </c>
      <c r="F2973" t="str">
        <f>IF($B2973="","",SUMIFS(dQty,dCust,$B2973,dPer,"&gt;="&amp;cyFrom,dPer,"&lt;="&amp;cyTo,dQty,"&gt;-1E+300",dFlt1,critFlt1,dFlt2,critFlt2,dFlt3,critFlt3))</f>
        <v/>
      </c>
      <c r="G2973">
        <f>IF($B2973="",0,IFERROR(IF(OR(C2973&lt;&gt;0,D2973&lt;&gt;0,E2973&lt;&gt;0,F2973&lt;&gt;0),1,0),1))</f>
        <v>0</v>
      </c>
      <c r="H2973" t="str">
        <f>IF(OR(G2973=0,E2973=0),"",C2973/E2973)</f>
        <v/>
      </c>
      <c r="I2973" t="str">
        <f>IF(OR(G2973=0,F2973=0),"",D2973/F2973)</f>
        <v/>
      </c>
      <c r="J2973" t="str">
        <f>IF(OR(H2973="",I2973=""),"",IF(H2973=0,"",I2973/H2973-1))</f>
        <v/>
      </c>
      <c r="K2973" t="str">
        <f>IF($B2973="","",IFERROR(IF(G2973=0,-2E+300,CHOOSE(sortIdx,ROUND(D2973,0),IF(J2973="",-1E+300,ROUND(-J2973,6)),IF(J2973="",-1E+300,ROUND(J2973,6)))),-1.5E+300))</f>
        <v/>
      </c>
      <c r="L2973" t="str">
        <f>IF(K2973="","",RANK(K2973,$K$2:$K$3001,0)+COUNTIF($K$2:K2973,K2973)-1)</f>
        <v/>
      </c>
    </row>
    <row r="2974">
      <c r="B2974" t="str">
        <f>IFERROR(IF(A2974="","","="&amp;SUBSTITUTE(SUBSTITUTE(SUBSTITUTE(A2974,"~","~~"),"*","~*"),"?","~?")),"")</f>
        <v/>
      </c>
      <c r="C2974" t="str">
        <f>IF($B2974="","",SUMIFS(dAmt,dCust,$B2974,dPer,"&gt;="&amp;pyFrom,dPer,"&lt;="&amp;pyTo,dAmt,"&gt;-1E+300",dFlt1,critFlt1,dFlt2,critFlt2,dFlt3,critFlt3))</f>
        <v/>
      </c>
      <c r="D2974" t="str">
        <f>IF($B2974="","",SUMIFS(dAmt,dCust,$B2974,dPer,"&gt;="&amp;cyFrom,dPer,"&lt;="&amp;cyTo,dAmt,"&gt;-1E+300",dFlt1,critFlt1,dFlt2,critFlt2,dFlt3,critFlt3))</f>
        <v/>
      </c>
      <c r="E2974" t="str">
        <f>IF($B2974="","",SUMIFS(dQty,dCust,$B2974,dPer,"&gt;="&amp;pyFrom,dPer,"&lt;="&amp;pyTo,dQty,"&gt;-1E+300",dFlt1,critFlt1,dFlt2,critFlt2,dFlt3,critFlt3))</f>
        <v/>
      </c>
      <c r="F2974" t="str">
        <f>IF($B2974="","",SUMIFS(dQty,dCust,$B2974,dPer,"&gt;="&amp;cyFrom,dPer,"&lt;="&amp;cyTo,dQty,"&gt;-1E+300",dFlt1,critFlt1,dFlt2,critFlt2,dFlt3,critFlt3))</f>
        <v/>
      </c>
      <c r="G2974">
        <f>IF($B2974="",0,IFERROR(IF(OR(C2974&lt;&gt;0,D2974&lt;&gt;0,E2974&lt;&gt;0,F2974&lt;&gt;0),1,0),1))</f>
        <v>0</v>
      </c>
      <c r="H2974" t="str">
        <f>IF(OR(G2974=0,E2974=0),"",C2974/E2974)</f>
        <v/>
      </c>
      <c r="I2974" t="str">
        <f>IF(OR(G2974=0,F2974=0),"",D2974/F2974)</f>
        <v/>
      </c>
      <c r="J2974" t="str">
        <f>IF(OR(H2974="",I2974=""),"",IF(H2974=0,"",I2974/H2974-1))</f>
        <v/>
      </c>
      <c r="K2974" t="str">
        <f>IF($B2974="","",IFERROR(IF(G2974=0,-2E+300,CHOOSE(sortIdx,ROUND(D2974,0),IF(J2974="",-1E+300,ROUND(-J2974,6)),IF(J2974="",-1E+300,ROUND(J2974,6)))),-1.5E+300))</f>
        <v/>
      </c>
      <c r="L2974" t="str">
        <f>IF(K2974="","",RANK(K2974,$K$2:$K$3001,0)+COUNTIF($K$2:K2974,K2974)-1)</f>
        <v/>
      </c>
    </row>
    <row r="2975">
      <c r="B2975" t="str">
        <f>IFERROR(IF(A2975="","","="&amp;SUBSTITUTE(SUBSTITUTE(SUBSTITUTE(A2975,"~","~~"),"*","~*"),"?","~?")),"")</f>
        <v/>
      </c>
      <c r="C2975" t="str">
        <f>IF($B2975="","",SUMIFS(dAmt,dCust,$B2975,dPer,"&gt;="&amp;pyFrom,dPer,"&lt;="&amp;pyTo,dAmt,"&gt;-1E+300",dFlt1,critFlt1,dFlt2,critFlt2,dFlt3,critFlt3))</f>
        <v/>
      </c>
      <c r="D2975" t="str">
        <f>IF($B2975="","",SUMIFS(dAmt,dCust,$B2975,dPer,"&gt;="&amp;cyFrom,dPer,"&lt;="&amp;cyTo,dAmt,"&gt;-1E+300",dFlt1,critFlt1,dFlt2,critFlt2,dFlt3,critFlt3))</f>
        <v/>
      </c>
      <c r="E2975" t="str">
        <f>IF($B2975="","",SUMIFS(dQty,dCust,$B2975,dPer,"&gt;="&amp;pyFrom,dPer,"&lt;="&amp;pyTo,dQty,"&gt;-1E+300",dFlt1,critFlt1,dFlt2,critFlt2,dFlt3,critFlt3))</f>
        <v/>
      </c>
      <c r="F2975" t="str">
        <f>IF($B2975="","",SUMIFS(dQty,dCust,$B2975,dPer,"&gt;="&amp;cyFrom,dPer,"&lt;="&amp;cyTo,dQty,"&gt;-1E+300",dFlt1,critFlt1,dFlt2,critFlt2,dFlt3,critFlt3))</f>
        <v/>
      </c>
      <c r="G2975">
        <f>IF($B2975="",0,IFERROR(IF(OR(C2975&lt;&gt;0,D2975&lt;&gt;0,E2975&lt;&gt;0,F2975&lt;&gt;0),1,0),1))</f>
        <v>0</v>
      </c>
      <c r="H2975" t="str">
        <f>IF(OR(G2975=0,E2975=0),"",C2975/E2975)</f>
        <v/>
      </c>
      <c r="I2975" t="str">
        <f>IF(OR(G2975=0,F2975=0),"",D2975/F2975)</f>
        <v/>
      </c>
      <c r="J2975" t="str">
        <f>IF(OR(H2975="",I2975=""),"",IF(H2975=0,"",I2975/H2975-1))</f>
        <v/>
      </c>
      <c r="K2975" t="str">
        <f>IF($B2975="","",IFERROR(IF(G2975=0,-2E+300,CHOOSE(sortIdx,ROUND(D2975,0),IF(J2975="",-1E+300,ROUND(-J2975,6)),IF(J2975="",-1E+300,ROUND(J2975,6)))),-1.5E+300))</f>
        <v/>
      </c>
      <c r="L2975" t="str">
        <f>IF(K2975="","",RANK(K2975,$K$2:$K$3001,0)+COUNTIF($K$2:K2975,K2975)-1)</f>
        <v/>
      </c>
    </row>
    <row r="2976">
      <c r="B2976" t="str">
        <f>IFERROR(IF(A2976="","","="&amp;SUBSTITUTE(SUBSTITUTE(SUBSTITUTE(A2976,"~","~~"),"*","~*"),"?","~?")),"")</f>
        <v/>
      </c>
      <c r="C2976" t="str">
        <f>IF($B2976="","",SUMIFS(dAmt,dCust,$B2976,dPer,"&gt;="&amp;pyFrom,dPer,"&lt;="&amp;pyTo,dAmt,"&gt;-1E+300",dFlt1,critFlt1,dFlt2,critFlt2,dFlt3,critFlt3))</f>
        <v/>
      </c>
      <c r="D2976" t="str">
        <f>IF($B2976="","",SUMIFS(dAmt,dCust,$B2976,dPer,"&gt;="&amp;cyFrom,dPer,"&lt;="&amp;cyTo,dAmt,"&gt;-1E+300",dFlt1,critFlt1,dFlt2,critFlt2,dFlt3,critFlt3))</f>
        <v/>
      </c>
      <c r="E2976" t="str">
        <f>IF($B2976="","",SUMIFS(dQty,dCust,$B2976,dPer,"&gt;="&amp;pyFrom,dPer,"&lt;="&amp;pyTo,dQty,"&gt;-1E+300",dFlt1,critFlt1,dFlt2,critFlt2,dFlt3,critFlt3))</f>
        <v/>
      </c>
      <c r="F2976" t="str">
        <f>IF($B2976="","",SUMIFS(dQty,dCust,$B2976,dPer,"&gt;="&amp;cyFrom,dPer,"&lt;="&amp;cyTo,dQty,"&gt;-1E+300",dFlt1,critFlt1,dFlt2,critFlt2,dFlt3,critFlt3))</f>
        <v/>
      </c>
      <c r="G2976">
        <f>IF($B2976="",0,IFERROR(IF(OR(C2976&lt;&gt;0,D2976&lt;&gt;0,E2976&lt;&gt;0,F2976&lt;&gt;0),1,0),1))</f>
        <v>0</v>
      </c>
      <c r="H2976" t="str">
        <f>IF(OR(G2976=0,E2976=0),"",C2976/E2976)</f>
        <v/>
      </c>
      <c r="I2976" t="str">
        <f>IF(OR(G2976=0,F2976=0),"",D2976/F2976)</f>
        <v/>
      </c>
      <c r="J2976" t="str">
        <f>IF(OR(H2976="",I2976=""),"",IF(H2976=0,"",I2976/H2976-1))</f>
        <v/>
      </c>
      <c r="K2976" t="str">
        <f>IF($B2976="","",IFERROR(IF(G2976=0,-2E+300,CHOOSE(sortIdx,ROUND(D2976,0),IF(J2976="",-1E+300,ROUND(-J2976,6)),IF(J2976="",-1E+300,ROUND(J2976,6)))),-1.5E+300))</f>
        <v/>
      </c>
      <c r="L2976" t="str">
        <f>IF(K2976="","",RANK(K2976,$K$2:$K$3001,0)+COUNTIF($K$2:K2976,K2976)-1)</f>
        <v/>
      </c>
    </row>
    <row r="2977">
      <c r="B2977" t="str">
        <f>IFERROR(IF(A2977="","","="&amp;SUBSTITUTE(SUBSTITUTE(SUBSTITUTE(A2977,"~","~~"),"*","~*"),"?","~?")),"")</f>
        <v/>
      </c>
      <c r="C2977" t="str">
        <f>IF($B2977="","",SUMIFS(dAmt,dCust,$B2977,dPer,"&gt;="&amp;pyFrom,dPer,"&lt;="&amp;pyTo,dAmt,"&gt;-1E+300",dFlt1,critFlt1,dFlt2,critFlt2,dFlt3,critFlt3))</f>
        <v/>
      </c>
      <c r="D2977" t="str">
        <f>IF($B2977="","",SUMIFS(dAmt,dCust,$B2977,dPer,"&gt;="&amp;cyFrom,dPer,"&lt;="&amp;cyTo,dAmt,"&gt;-1E+300",dFlt1,critFlt1,dFlt2,critFlt2,dFlt3,critFlt3))</f>
        <v/>
      </c>
      <c r="E2977" t="str">
        <f>IF($B2977="","",SUMIFS(dQty,dCust,$B2977,dPer,"&gt;="&amp;pyFrom,dPer,"&lt;="&amp;pyTo,dQty,"&gt;-1E+300",dFlt1,critFlt1,dFlt2,critFlt2,dFlt3,critFlt3))</f>
        <v/>
      </c>
      <c r="F2977" t="str">
        <f>IF($B2977="","",SUMIFS(dQty,dCust,$B2977,dPer,"&gt;="&amp;cyFrom,dPer,"&lt;="&amp;cyTo,dQty,"&gt;-1E+300",dFlt1,critFlt1,dFlt2,critFlt2,dFlt3,critFlt3))</f>
        <v/>
      </c>
      <c r="G2977">
        <f>IF($B2977="",0,IFERROR(IF(OR(C2977&lt;&gt;0,D2977&lt;&gt;0,E2977&lt;&gt;0,F2977&lt;&gt;0),1,0),1))</f>
        <v>0</v>
      </c>
      <c r="H2977" t="str">
        <f>IF(OR(G2977=0,E2977=0),"",C2977/E2977)</f>
        <v/>
      </c>
      <c r="I2977" t="str">
        <f>IF(OR(G2977=0,F2977=0),"",D2977/F2977)</f>
        <v/>
      </c>
      <c r="J2977" t="str">
        <f>IF(OR(H2977="",I2977=""),"",IF(H2977=0,"",I2977/H2977-1))</f>
        <v/>
      </c>
      <c r="K2977" t="str">
        <f>IF($B2977="","",IFERROR(IF(G2977=0,-2E+300,CHOOSE(sortIdx,ROUND(D2977,0),IF(J2977="",-1E+300,ROUND(-J2977,6)),IF(J2977="",-1E+300,ROUND(J2977,6)))),-1.5E+300))</f>
        <v/>
      </c>
      <c r="L2977" t="str">
        <f>IF(K2977="","",RANK(K2977,$K$2:$K$3001,0)+COUNTIF($K$2:K2977,K2977)-1)</f>
        <v/>
      </c>
    </row>
    <row r="2978">
      <c r="B2978" t="str">
        <f>IFERROR(IF(A2978="","","="&amp;SUBSTITUTE(SUBSTITUTE(SUBSTITUTE(A2978,"~","~~"),"*","~*"),"?","~?")),"")</f>
        <v/>
      </c>
      <c r="C2978" t="str">
        <f>IF($B2978="","",SUMIFS(dAmt,dCust,$B2978,dPer,"&gt;="&amp;pyFrom,dPer,"&lt;="&amp;pyTo,dAmt,"&gt;-1E+300",dFlt1,critFlt1,dFlt2,critFlt2,dFlt3,critFlt3))</f>
        <v/>
      </c>
      <c r="D2978" t="str">
        <f>IF($B2978="","",SUMIFS(dAmt,dCust,$B2978,dPer,"&gt;="&amp;cyFrom,dPer,"&lt;="&amp;cyTo,dAmt,"&gt;-1E+300",dFlt1,critFlt1,dFlt2,critFlt2,dFlt3,critFlt3))</f>
        <v/>
      </c>
      <c r="E2978" t="str">
        <f>IF($B2978="","",SUMIFS(dQty,dCust,$B2978,dPer,"&gt;="&amp;pyFrom,dPer,"&lt;="&amp;pyTo,dQty,"&gt;-1E+300",dFlt1,critFlt1,dFlt2,critFlt2,dFlt3,critFlt3))</f>
        <v/>
      </c>
      <c r="F2978" t="str">
        <f>IF($B2978="","",SUMIFS(dQty,dCust,$B2978,dPer,"&gt;="&amp;cyFrom,dPer,"&lt;="&amp;cyTo,dQty,"&gt;-1E+300",dFlt1,critFlt1,dFlt2,critFlt2,dFlt3,critFlt3))</f>
        <v/>
      </c>
      <c r="G2978">
        <f>IF($B2978="",0,IFERROR(IF(OR(C2978&lt;&gt;0,D2978&lt;&gt;0,E2978&lt;&gt;0,F2978&lt;&gt;0),1,0),1))</f>
        <v>0</v>
      </c>
      <c r="H2978" t="str">
        <f>IF(OR(G2978=0,E2978=0),"",C2978/E2978)</f>
        <v/>
      </c>
      <c r="I2978" t="str">
        <f>IF(OR(G2978=0,F2978=0),"",D2978/F2978)</f>
        <v/>
      </c>
      <c r="J2978" t="str">
        <f>IF(OR(H2978="",I2978=""),"",IF(H2978=0,"",I2978/H2978-1))</f>
        <v/>
      </c>
      <c r="K2978" t="str">
        <f>IF($B2978="","",IFERROR(IF(G2978=0,-2E+300,CHOOSE(sortIdx,ROUND(D2978,0),IF(J2978="",-1E+300,ROUND(-J2978,6)),IF(J2978="",-1E+300,ROUND(J2978,6)))),-1.5E+300))</f>
        <v/>
      </c>
      <c r="L2978" t="str">
        <f>IF(K2978="","",RANK(K2978,$K$2:$K$3001,0)+COUNTIF($K$2:K2978,K2978)-1)</f>
        <v/>
      </c>
    </row>
    <row r="2979">
      <c r="B2979" t="str">
        <f>IFERROR(IF(A2979="","","="&amp;SUBSTITUTE(SUBSTITUTE(SUBSTITUTE(A2979,"~","~~"),"*","~*"),"?","~?")),"")</f>
        <v/>
      </c>
      <c r="C2979" t="str">
        <f>IF($B2979="","",SUMIFS(dAmt,dCust,$B2979,dPer,"&gt;="&amp;pyFrom,dPer,"&lt;="&amp;pyTo,dAmt,"&gt;-1E+300",dFlt1,critFlt1,dFlt2,critFlt2,dFlt3,critFlt3))</f>
        <v/>
      </c>
      <c r="D2979" t="str">
        <f>IF($B2979="","",SUMIFS(dAmt,dCust,$B2979,dPer,"&gt;="&amp;cyFrom,dPer,"&lt;="&amp;cyTo,dAmt,"&gt;-1E+300",dFlt1,critFlt1,dFlt2,critFlt2,dFlt3,critFlt3))</f>
        <v/>
      </c>
      <c r="E2979" t="str">
        <f>IF($B2979="","",SUMIFS(dQty,dCust,$B2979,dPer,"&gt;="&amp;pyFrom,dPer,"&lt;="&amp;pyTo,dQty,"&gt;-1E+300",dFlt1,critFlt1,dFlt2,critFlt2,dFlt3,critFlt3))</f>
        <v/>
      </c>
      <c r="F2979" t="str">
        <f>IF($B2979="","",SUMIFS(dQty,dCust,$B2979,dPer,"&gt;="&amp;cyFrom,dPer,"&lt;="&amp;cyTo,dQty,"&gt;-1E+300",dFlt1,critFlt1,dFlt2,critFlt2,dFlt3,critFlt3))</f>
        <v/>
      </c>
      <c r="G2979">
        <f>IF($B2979="",0,IFERROR(IF(OR(C2979&lt;&gt;0,D2979&lt;&gt;0,E2979&lt;&gt;0,F2979&lt;&gt;0),1,0),1))</f>
        <v>0</v>
      </c>
      <c r="H2979" t="str">
        <f>IF(OR(G2979=0,E2979=0),"",C2979/E2979)</f>
        <v/>
      </c>
      <c r="I2979" t="str">
        <f>IF(OR(G2979=0,F2979=0),"",D2979/F2979)</f>
        <v/>
      </c>
      <c r="J2979" t="str">
        <f>IF(OR(H2979="",I2979=""),"",IF(H2979=0,"",I2979/H2979-1))</f>
        <v/>
      </c>
      <c r="K2979" t="str">
        <f>IF($B2979="","",IFERROR(IF(G2979=0,-2E+300,CHOOSE(sortIdx,ROUND(D2979,0),IF(J2979="",-1E+300,ROUND(-J2979,6)),IF(J2979="",-1E+300,ROUND(J2979,6)))),-1.5E+300))</f>
        <v/>
      </c>
      <c r="L2979" t="str">
        <f>IF(K2979="","",RANK(K2979,$K$2:$K$3001,0)+COUNTIF($K$2:K2979,K2979)-1)</f>
        <v/>
      </c>
    </row>
    <row r="2980">
      <c r="B2980" t="str">
        <f>IFERROR(IF(A2980="","","="&amp;SUBSTITUTE(SUBSTITUTE(SUBSTITUTE(A2980,"~","~~"),"*","~*"),"?","~?")),"")</f>
        <v/>
      </c>
      <c r="C2980" t="str">
        <f>IF($B2980="","",SUMIFS(dAmt,dCust,$B2980,dPer,"&gt;="&amp;pyFrom,dPer,"&lt;="&amp;pyTo,dAmt,"&gt;-1E+300",dFlt1,critFlt1,dFlt2,critFlt2,dFlt3,critFlt3))</f>
        <v/>
      </c>
      <c r="D2980" t="str">
        <f>IF($B2980="","",SUMIFS(dAmt,dCust,$B2980,dPer,"&gt;="&amp;cyFrom,dPer,"&lt;="&amp;cyTo,dAmt,"&gt;-1E+300",dFlt1,critFlt1,dFlt2,critFlt2,dFlt3,critFlt3))</f>
        <v/>
      </c>
      <c r="E2980" t="str">
        <f>IF($B2980="","",SUMIFS(dQty,dCust,$B2980,dPer,"&gt;="&amp;pyFrom,dPer,"&lt;="&amp;pyTo,dQty,"&gt;-1E+300",dFlt1,critFlt1,dFlt2,critFlt2,dFlt3,critFlt3))</f>
        <v/>
      </c>
      <c r="F2980" t="str">
        <f>IF($B2980="","",SUMIFS(dQty,dCust,$B2980,dPer,"&gt;="&amp;cyFrom,dPer,"&lt;="&amp;cyTo,dQty,"&gt;-1E+300",dFlt1,critFlt1,dFlt2,critFlt2,dFlt3,critFlt3))</f>
        <v/>
      </c>
      <c r="G2980">
        <f>IF($B2980="",0,IFERROR(IF(OR(C2980&lt;&gt;0,D2980&lt;&gt;0,E2980&lt;&gt;0,F2980&lt;&gt;0),1,0),1))</f>
        <v>0</v>
      </c>
      <c r="H2980" t="str">
        <f>IF(OR(G2980=0,E2980=0),"",C2980/E2980)</f>
        <v/>
      </c>
      <c r="I2980" t="str">
        <f>IF(OR(G2980=0,F2980=0),"",D2980/F2980)</f>
        <v/>
      </c>
      <c r="J2980" t="str">
        <f>IF(OR(H2980="",I2980=""),"",IF(H2980=0,"",I2980/H2980-1))</f>
        <v/>
      </c>
      <c r="K2980" t="str">
        <f>IF($B2980="","",IFERROR(IF(G2980=0,-2E+300,CHOOSE(sortIdx,ROUND(D2980,0),IF(J2980="",-1E+300,ROUND(-J2980,6)),IF(J2980="",-1E+300,ROUND(J2980,6)))),-1.5E+300))</f>
        <v/>
      </c>
      <c r="L2980" t="str">
        <f>IF(K2980="","",RANK(K2980,$K$2:$K$3001,0)+COUNTIF($K$2:K2980,K2980)-1)</f>
        <v/>
      </c>
    </row>
    <row r="2981">
      <c r="B2981" t="str">
        <f>IFERROR(IF(A2981="","","="&amp;SUBSTITUTE(SUBSTITUTE(SUBSTITUTE(A2981,"~","~~"),"*","~*"),"?","~?")),"")</f>
        <v/>
      </c>
      <c r="C2981" t="str">
        <f>IF($B2981="","",SUMIFS(dAmt,dCust,$B2981,dPer,"&gt;="&amp;pyFrom,dPer,"&lt;="&amp;pyTo,dAmt,"&gt;-1E+300",dFlt1,critFlt1,dFlt2,critFlt2,dFlt3,critFlt3))</f>
        <v/>
      </c>
      <c r="D2981" t="str">
        <f>IF($B2981="","",SUMIFS(dAmt,dCust,$B2981,dPer,"&gt;="&amp;cyFrom,dPer,"&lt;="&amp;cyTo,dAmt,"&gt;-1E+300",dFlt1,critFlt1,dFlt2,critFlt2,dFlt3,critFlt3))</f>
        <v/>
      </c>
      <c r="E2981" t="str">
        <f>IF($B2981="","",SUMIFS(dQty,dCust,$B2981,dPer,"&gt;="&amp;pyFrom,dPer,"&lt;="&amp;pyTo,dQty,"&gt;-1E+300",dFlt1,critFlt1,dFlt2,critFlt2,dFlt3,critFlt3))</f>
        <v/>
      </c>
      <c r="F2981" t="str">
        <f>IF($B2981="","",SUMIFS(dQty,dCust,$B2981,dPer,"&gt;="&amp;cyFrom,dPer,"&lt;="&amp;cyTo,dQty,"&gt;-1E+300",dFlt1,critFlt1,dFlt2,critFlt2,dFlt3,critFlt3))</f>
        <v/>
      </c>
      <c r="G2981">
        <f>IF($B2981="",0,IFERROR(IF(OR(C2981&lt;&gt;0,D2981&lt;&gt;0,E2981&lt;&gt;0,F2981&lt;&gt;0),1,0),1))</f>
        <v>0</v>
      </c>
      <c r="H2981" t="str">
        <f>IF(OR(G2981=0,E2981=0),"",C2981/E2981)</f>
        <v/>
      </c>
      <c r="I2981" t="str">
        <f>IF(OR(G2981=0,F2981=0),"",D2981/F2981)</f>
        <v/>
      </c>
      <c r="J2981" t="str">
        <f>IF(OR(H2981="",I2981=""),"",IF(H2981=0,"",I2981/H2981-1))</f>
        <v/>
      </c>
      <c r="K2981" t="str">
        <f>IF($B2981="","",IFERROR(IF(G2981=0,-2E+300,CHOOSE(sortIdx,ROUND(D2981,0),IF(J2981="",-1E+300,ROUND(-J2981,6)),IF(J2981="",-1E+300,ROUND(J2981,6)))),-1.5E+300))</f>
        <v/>
      </c>
      <c r="L2981" t="str">
        <f>IF(K2981="","",RANK(K2981,$K$2:$K$3001,0)+COUNTIF($K$2:K2981,K2981)-1)</f>
        <v/>
      </c>
    </row>
    <row r="2982">
      <c r="B2982" t="str">
        <f>IFERROR(IF(A2982="","","="&amp;SUBSTITUTE(SUBSTITUTE(SUBSTITUTE(A2982,"~","~~"),"*","~*"),"?","~?")),"")</f>
        <v/>
      </c>
      <c r="C2982" t="str">
        <f>IF($B2982="","",SUMIFS(dAmt,dCust,$B2982,dPer,"&gt;="&amp;pyFrom,dPer,"&lt;="&amp;pyTo,dAmt,"&gt;-1E+300",dFlt1,critFlt1,dFlt2,critFlt2,dFlt3,critFlt3))</f>
        <v/>
      </c>
      <c r="D2982" t="str">
        <f>IF($B2982="","",SUMIFS(dAmt,dCust,$B2982,dPer,"&gt;="&amp;cyFrom,dPer,"&lt;="&amp;cyTo,dAmt,"&gt;-1E+300",dFlt1,critFlt1,dFlt2,critFlt2,dFlt3,critFlt3))</f>
        <v/>
      </c>
      <c r="E2982" t="str">
        <f>IF($B2982="","",SUMIFS(dQty,dCust,$B2982,dPer,"&gt;="&amp;pyFrom,dPer,"&lt;="&amp;pyTo,dQty,"&gt;-1E+300",dFlt1,critFlt1,dFlt2,critFlt2,dFlt3,critFlt3))</f>
        <v/>
      </c>
      <c r="F2982" t="str">
        <f>IF($B2982="","",SUMIFS(dQty,dCust,$B2982,dPer,"&gt;="&amp;cyFrom,dPer,"&lt;="&amp;cyTo,dQty,"&gt;-1E+300",dFlt1,critFlt1,dFlt2,critFlt2,dFlt3,critFlt3))</f>
        <v/>
      </c>
      <c r="G2982">
        <f>IF($B2982="",0,IFERROR(IF(OR(C2982&lt;&gt;0,D2982&lt;&gt;0,E2982&lt;&gt;0,F2982&lt;&gt;0),1,0),1))</f>
        <v>0</v>
      </c>
      <c r="H2982" t="str">
        <f>IF(OR(G2982=0,E2982=0),"",C2982/E2982)</f>
        <v/>
      </c>
      <c r="I2982" t="str">
        <f>IF(OR(G2982=0,F2982=0),"",D2982/F2982)</f>
        <v/>
      </c>
      <c r="J2982" t="str">
        <f>IF(OR(H2982="",I2982=""),"",IF(H2982=0,"",I2982/H2982-1))</f>
        <v/>
      </c>
      <c r="K2982" t="str">
        <f>IF($B2982="","",IFERROR(IF(G2982=0,-2E+300,CHOOSE(sortIdx,ROUND(D2982,0),IF(J2982="",-1E+300,ROUND(-J2982,6)),IF(J2982="",-1E+300,ROUND(J2982,6)))),-1.5E+300))</f>
        <v/>
      </c>
      <c r="L2982" t="str">
        <f>IF(K2982="","",RANK(K2982,$K$2:$K$3001,0)+COUNTIF($K$2:K2982,K2982)-1)</f>
        <v/>
      </c>
    </row>
    <row r="2983">
      <c r="B2983" t="str">
        <f>IFERROR(IF(A2983="","","="&amp;SUBSTITUTE(SUBSTITUTE(SUBSTITUTE(A2983,"~","~~"),"*","~*"),"?","~?")),"")</f>
        <v/>
      </c>
      <c r="C2983" t="str">
        <f>IF($B2983="","",SUMIFS(dAmt,dCust,$B2983,dPer,"&gt;="&amp;pyFrom,dPer,"&lt;="&amp;pyTo,dAmt,"&gt;-1E+300",dFlt1,critFlt1,dFlt2,critFlt2,dFlt3,critFlt3))</f>
        <v/>
      </c>
      <c r="D2983" t="str">
        <f>IF($B2983="","",SUMIFS(dAmt,dCust,$B2983,dPer,"&gt;="&amp;cyFrom,dPer,"&lt;="&amp;cyTo,dAmt,"&gt;-1E+300",dFlt1,critFlt1,dFlt2,critFlt2,dFlt3,critFlt3))</f>
        <v/>
      </c>
      <c r="E2983" t="str">
        <f>IF($B2983="","",SUMIFS(dQty,dCust,$B2983,dPer,"&gt;="&amp;pyFrom,dPer,"&lt;="&amp;pyTo,dQty,"&gt;-1E+300",dFlt1,critFlt1,dFlt2,critFlt2,dFlt3,critFlt3))</f>
        <v/>
      </c>
      <c r="F2983" t="str">
        <f>IF($B2983="","",SUMIFS(dQty,dCust,$B2983,dPer,"&gt;="&amp;cyFrom,dPer,"&lt;="&amp;cyTo,dQty,"&gt;-1E+300",dFlt1,critFlt1,dFlt2,critFlt2,dFlt3,critFlt3))</f>
        <v/>
      </c>
      <c r="G2983">
        <f>IF($B2983="",0,IFERROR(IF(OR(C2983&lt;&gt;0,D2983&lt;&gt;0,E2983&lt;&gt;0,F2983&lt;&gt;0),1,0),1))</f>
        <v>0</v>
      </c>
      <c r="H2983" t="str">
        <f>IF(OR(G2983=0,E2983=0),"",C2983/E2983)</f>
        <v/>
      </c>
      <c r="I2983" t="str">
        <f>IF(OR(G2983=0,F2983=0),"",D2983/F2983)</f>
        <v/>
      </c>
      <c r="J2983" t="str">
        <f>IF(OR(H2983="",I2983=""),"",IF(H2983=0,"",I2983/H2983-1))</f>
        <v/>
      </c>
      <c r="K2983" t="str">
        <f>IF($B2983="","",IFERROR(IF(G2983=0,-2E+300,CHOOSE(sortIdx,ROUND(D2983,0),IF(J2983="",-1E+300,ROUND(-J2983,6)),IF(J2983="",-1E+300,ROUND(J2983,6)))),-1.5E+300))</f>
        <v/>
      </c>
      <c r="L2983" t="str">
        <f>IF(K2983="","",RANK(K2983,$K$2:$K$3001,0)+COUNTIF($K$2:K2983,K2983)-1)</f>
        <v/>
      </c>
    </row>
    <row r="2984">
      <c r="B2984" t="str">
        <f>IFERROR(IF(A2984="","","="&amp;SUBSTITUTE(SUBSTITUTE(SUBSTITUTE(A2984,"~","~~"),"*","~*"),"?","~?")),"")</f>
        <v/>
      </c>
      <c r="C2984" t="str">
        <f>IF($B2984="","",SUMIFS(dAmt,dCust,$B2984,dPer,"&gt;="&amp;pyFrom,dPer,"&lt;="&amp;pyTo,dAmt,"&gt;-1E+300",dFlt1,critFlt1,dFlt2,critFlt2,dFlt3,critFlt3))</f>
        <v/>
      </c>
      <c r="D2984" t="str">
        <f>IF($B2984="","",SUMIFS(dAmt,dCust,$B2984,dPer,"&gt;="&amp;cyFrom,dPer,"&lt;="&amp;cyTo,dAmt,"&gt;-1E+300",dFlt1,critFlt1,dFlt2,critFlt2,dFlt3,critFlt3))</f>
        <v/>
      </c>
      <c r="E2984" t="str">
        <f>IF($B2984="","",SUMIFS(dQty,dCust,$B2984,dPer,"&gt;="&amp;pyFrom,dPer,"&lt;="&amp;pyTo,dQty,"&gt;-1E+300",dFlt1,critFlt1,dFlt2,critFlt2,dFlt3,critFlt3))</f>
        <v/>
      </c>
      <c r="F2984" t="str">
        <f>IF($B2984="","",SUMIFS(dQty,dCust,$B2984,dPer,"&gt;="&amp;cyFrom,dPer,"&lt;="&amp;cyTo,dQty,"&gt;-1E+300",dFlt1,critFlt1,dFlt2,critFlt2,dFlt3,critFlt3))</f>
        <v/>
      </c>
      <c r="G2984">
        <f>IF($B2984="",0,IFERROR(IF(OR(C2984&lt;&gt;0,D2984&lt;&gt;0,E2984&lt;&gt;0,F2984&lt;&gt;0),1,0),1))</f>
        <v>0</v>
      </c>
      <c r="H2984" t="str">
        <f>IF(OR(G2984=0,E2984=0),"",C2984/E2984)</f>
        <v/>
      </c>
      <c r="I2984" t="str">
        <f>IF(OR(G2984=0,F2984=0),"",D2984/F2984)</f>
        <v/>
      </c>
      <c r="J2984" t="str">
        <f>IF(OR(H2984="",I2984=""),"",IF(H2984=0,"",I2984/H2984-1))</f>
        <v/>
      </c>
      <c r="K2984" t="str">
        <f>IF($B2984="","",IFERROR(IF(G2984=0,-2E+300,CHOOSE(sortIdx,ROUND(D2984,0),IF(J2984="",-1E+300,ROUND(-J2984,6)),IF(J2984="",-1E+300,ROUND(J2984,6)))),-1.5E+300))</f>
        <v/>
      </c>
      <c r="L2984" t="str">
        <f>IF(K2984="","",RANK(K2984,$K$2:$K$3001,0)+COUNTIF($K$2:K2984,K2984)-1)</f>
        <v/>
      </c>
    </row>
    <row r="2985">
      <c r="B2985" t="str">
        <f>IFERROR(IF(A2985="","","="&amp;SUBSTITUTE(SUBSTITUTE(SUBSTITUTE(A2985,"~","~~"),"*","~*"),"?","~?")),"")</f>
        <v/>
      </c>
      <c r="C2985" t="str">
        <f>IF($B2985="","",SUMIFS(dAmt,dCust,$B2985,dPer,"&gt;="&amp;pyFrom,dPer,"&lt;="&amp;pyTo,dAmt,"&gt;-1E+300",dFlt1,critFlt1,dFlt2,critFlt2,dFlt3,critFlt3))</f>
        <v/>
      </c>
      <c r="D2985" t="str">
        <f>IF($B2985="","",SUMIFS(dAmt,dCust,$B2985,dPer,"&gt;="&amp;cyFrom,dPer,"&lt;="&amp;cyTo,dAmt,"&gt;-1E+300",dFlt1,critFlt1,dFlt2,critFlt2,dFlt3,critFlt3))</f>
        <v/>
      </c>
      <c r="E2985" t="str">
        <f>IF($B2985="","",SUMIFS(dQty,dCust,$B2985,dPer,"&gt;="&amp;pyFrom,dPer,"&lt;="&amp;pyTo,dQty,"&gt;-1E+300",dFlt1,critFlt1,dFlt2,critFlt2,dFlt3,critFlt3))</f>
        <v/>
      </c>
      <c r="F2985" t="str">
        <f>IF($B2985="","",SUMIFS(dQty,dCust,$B2985,dPer,"&gt;="&amp;cyFrom,dPer,"&lt;="&amp;cyTo,dQty,"&gt;-1E+300",dFlt1,critFlt1,dFlt2,critFlt2,dFlt3,critFlt3))</f>
        <v/>
      </c>
      <c r="G2985">
        <f>IF($B2985="",0,IFERROR(IF(OR(C2985&lt;&gt;0,D2985&lt;&gt;0,E2985&lt;&gt;0,F2985&lt;&gt;0),1,0),1))</f>
        <v>0</v>
      </c>
      <c r="H2985" t="str">
        <f>IF(OR(G2985=0,E2985=0),"",C2985/E2985)</f>
        <v/>
      </c>
      <c r="I2985" t="str">
        <f>IF(OR(G2985=0,F2985=0),"",D2985/F2985)</f>
        <v/>
      </c>
      <c r="J2985" t="str">
        <f>IF(OR(H2985="",I2985=""),"",IF(H2985=0,"",I2985/H2985-1))</f>
        <v/>
      </c>
      <c r="K2985" t="str">
        <f>IF($B2985="","",IFERROR(IF(G2985=0,-2E+300,CHOOSE(sortIdx,ROUND(D2985,0),IF(J2985="",-1E+300,ROUND(-J2985,6)),IF(J2985="",-1E+300,ROUND(J2985,6)))),-1.5E+300))</f>
        <v/>
      </c>
      <c r="L2985" t="str">
        <f>IF(K2985="","",RANK(K2985,$K$2:$K$3001,0)+COUNTIF($K$2:K2985,K2985)-1)</f>
        <v/>
      </c>
    </row>
    <row r="2986">
      <c r="B2986" t="str">
        <f>IFERROR(IF(A2986="","","="&amp;SUBSTITUTE(SUBSTITUTE(SUBSTITUTE(A2986,"~","~~"),"*","~*"),"?","~?")),"")</f>
        <v/>
      </c>
      <c r="C2986" t="str">
        <f>IF($B2986="","",SUMIFS(dAmt,dCust,$B2986,dPer,"&gt;="&amp;pyFrom,dPer,"&lt;="&amp;pyTo,dAmt,"&gt;-1E+300",dFlt1,critFlt1,dFlt2,critFlt2,dFlt3,critFlt3))</f>
        <v/>
      </c>
      <c r="D2986" t="str">
        <f>IF($B2986="","",SUMIFS(dAmt,dCust,$B2986,dPer,"&gt;="&amp;cyFrom,dPer,"&lt;="&amp;cyTo,dAmt,"&gt;-1E+300",dFlt1,critFlt1,dFlt2,critFlt2,dFlt3,critFlt3))</f>
        <v/>
      </c>
      <c r="E2986" t="str">
        <f>IF($B2986="","",SUMIFS(dQty,dCust,$B2986,dPer,"&gt;="&amp;pyFrom,dPer,"&lt;="&amp;pyTo,dQty,"&gt;-1E+300",dFlt1,critFlt1,dFlt2,critFlt2,dFlt3,critFlt3))</f>
        <v/>
      </c>
      <c r="F2986" t="str">
        <f>IF($B2986="","",SUMIFS(dQty,dCust,$B2986,dPer,"&gt;="&amp;cyFrom,dPer,"&lt;="&amp;cyTo,dQty,"&gt;-1E+300",dFlt1,critFlt1,dFlt2,critFlt2,dFlt3,critFlt3))</f>
        <v/>
      </c>
      <c r="G2986">
        <f>IF($B2986="",0,IFERROR(IF(OR(C2986&lt;&gt;0,D2986&lt;&gt;0,E2986&lt;&gt;0,F2986&lt;&gt;0),1,0),1))</f>
        <v>0</v>
      </c>
      <c r="H2986" t="str">
        <f>IF(OR(G2986=0,E2986=0),"",C2986/E2986)</f>
        <v/>
      </c>
      <c r="I2986" t="str">
        <f>IF(OR(G2986=0,F2986=0),"",D2986/F2986)</f>
        <v/>
      </c>
      <c r="J2986" t="str">
        <f>IF(OR(H2986="",I2986=""),"",IF(H2986=0,"",I2986/H2986-1))</f>
        <v/>
      </c>
      <c r="K2986" t="str">
        <f>IF($B2986="","",IFERROR(IF(G2986=0,-2E+300,CHOOSE(sortIdx,ROUND(D2986,0),IF(J2986="",-1E+300,ROUND(-J2986,6)),IF(J2986="",-1E+300,ROUND(J2986,6)))),-1.5E+300))</f>
        <v/>
      </c>
      <c r="L2986" t="str">
        <f>IF(K2986="","",RANK(K2986,$K$2:$K$3001,0)+COUNTIF($K$2:K2986,K2986)-1)</f>
        <v/>
      </c>
    </row>
    <row r="2987">
      <c r="B2987" t="str">
        <f>IFERROR(IF(A2987="","","="&amp;SUBSTITUTE(SUBSTITUTE(SUBSTITUTE(A2987,"~","~~"),"*","~*"),"?","~?")),"")</f>
        <v/>
      </c>
      <c r="C2987" t="str">
        <f>IF($B2987="","",SUMIFS(dAmt,dCust,$B2987,dPer,"&gt;="&amp;pyFrom,dPer,"&lt;="&amp;pyTo,dAmt,"&gt;-1E+300",dFlt1,critFlt1,dFlt2,critFlt2,dFlt3,critFlt3))</f>
        <v/>
      </c>
      <c r="D2987" t="str">
        <f>IF($B2987="","",SUMIFS(dAmt,dCust,$B2987,dPer,"&gt;="&amp;cyFrom,dPer,"&lt;="&amp;cyTo,dAmt,"&gt;-1E+300",dFlt1,critFlt1,dFlt2,critFlt2,dFlt3,critFlt3))</f>
        <v/>
      </c>
      <c r="E2987" t="str">
        <f>IF($B2987="","",SUMIFS(dQty,dCust,$B2987,dPer,"&gt;="&amp;pyFrom,dPer,"&lt;="&amp;pyTo,dQty,"&gt;-1E+300",dFlt1,critFlt1,dFlt2,critFlt2,dFlt3,critFlt3))</f>
        <v/>
      </c>
      <c r="F2987" t="str">
        <f>IF($B2987="","",SUMIFS(dQty,dCust,$B2987,dPer,"&gt;="&amp;cyFrom,dPer,"&lt;="&amp;cyTo,dQty,"&gt;-1E+300",dFlt1,critFlt1,dFlt2,critFlt2,dFlt3,critFlt3))</f>
        <v/>
      </c>
      <c r="G2987">
        <f>IF($B2987="",0,IFERROR(IF(OR(C2987&lt;&gt;0,D2987&lt;&gt;0,E2987&lt;&gt;0,F2987&lt;&gt;0),1,0),1))</f>
        <v>0</v>
      </c>
      <c r="H2987" t="str">
        <f>IF(OR(G2987=0,E2987=0),"",C2987/E2987)</f>
        <v/>
      </c>
      <c r="I2987" t="str">
        <f>IF(OR(G2987=0,F2987=0),"",D2987/F2987)</f>
        <v/>
      </c>
      <c r="J2987" t="str">
        <f>IF(OR(H2987="",I2987=""),"",IF(H2987=0,"",I2987/H2987-1))</f>
        <v/>
      </c>
      <c r="K2987" t="str">
        <f>IF($B2987="","",IFERROR(IF(G2987=0,-2E+300,CHOOSE(sortIdx,ROUND(D2987,0),IF(J2987="",-1E+300,ROUND(-J2987,6)),IF(J2987="",-1E+300,ROUND(J2987,6)))),-1.5E+300))</f>
        <v/>
      </c>
      <c r="L2987" t="str">
        <f>IF(K2987="","",RANK(K2987,$K$2:$K$3001,0)+COUNTIF($K$2:K2987,K2987)-1)</f>
        <v/>
      </c>
    </row>
    <row r="2988">
      <c r="B2988" t="str">
        <f>IFERROR(IF(A2988="","","="&amp;SUBSTITUTE(SUBSTITUTE(SUBSTITUTE(A2988,"~","~~"),"*","~*"),"?","~?")),"")</f>
        <v/>
      </c>
      <c r="C2988" t="str">
        <f>IF($B2988="","",SUMIFS(dAmt,dCust,$B2988,dPer,"&gt;="&amp;pyFrom,dPer,"&lt;="&amp;pyTo,dAmt,"&gt;-1E+300",dFlt1,critFlt1,dFlt2,critFlt2,dFlt3,critFlt3))</f>
        <v/>
      </c>
      <c r="D2988" t="str">
        <f>IF($B2988="","",SUMIFS(dAmt,dCust,$B2988,dPer,"&gt;="&amp;cyFrom,dPer,"&lt;="&amp;cyTo,dAmt,"&gt;-1E+300",dFlt1,critFlt1,dFlt2,critFlt2,dFlt3,critFlt3))</f>
        <v/>
      </c>
      <c r="E2988" t="str">
        <f>IF($B2988="","",SUMIFS(dQty,dCust,$B2988,dPer,"&gt;="&amp;pyFrom,dPer,"&lt;="&amp;pyTo,dQty,"&gt;-1E+300",dFlt1,critFlt1,dFlt2,critFlt2,dFlt3,critFlt3))</f>
        <v/>
      </c>
      <c r="F2988" t="str">
        <f>IF($B2988="","",SUMIFS(dQty,dCust,$B2988,dPer,"&gt;="&amp;cyFrom,dPer,"&lt;="&amp;cyTo,dQty,"&gt;-1E+300",dFlt1,critFlt1,dFlt2,critFlt2,dFlt3,critFlt3))</f>
        <v/>
      </c>
      <c r="G2988">
        <f>IF($B2988="",0,IFERROR(IF(OR(C2988&lt;&gt;0,D2988&lt;&gt;0,E2988&lt;&gt;0,F2988&lt;&gt;0),1,0),1))</f>
        <v>0</v>
      </c>
      <c r="H2988" t="str">
        <f>IF(OR(G2988=0,E2988=0),"",C2988/E2988)</f>
        <v/>
      </c>
      <c r="I2988" t="str">
        <f>IF(OR(G2988=0,F2988=0),"",D2988/F2988)</f>
        <v/>
      </c>
      <c r="J2988" t="str">
        <f>IF(OR(H2988="",I2988=""),"",IF(H2988=0,"",I2988/H2988-1))</f>
        <v/>
      </c>
      <c r="K2988" t="str">
        <f>IF($B2988="","",IFERROR(IF(G2988=0,-2E+300,CHOOSE(sortIdx,ROUND(D2988,0),IF(J2988="",-1E+300,ROUND(-J2988,6)),IF(J2988="",-1E+300,ROUND(J2988,6)))),-1.5E+300))</f>
        <v/>
      </c>
      <c r="L2988" t="str">
        <f>IF(K2988="","",RANK(K2988,$K$2:$K$3001,0)+COUNTIF($K$2:K2988,K2988)-1)</f>
        <v/>
      </c>
    </row>
    <row r="2989">
      <c r="B2989" t="str">
        <f>IFERROR(IF(A2989="","","="&amp;SUBSTITUTE(SUBSTITUTE(SUBSTITUTE(A2989,"~","~~"),"*","~*"),"?","~?")),"")</f>
        <v/>
      </c>
      <c r="C2989" t="str">
        <f>IF($B2989="","",SUMIFS(dAmt,dCust,$B2989,dPer,"&gt;="&amp;pyFrom,dPer,"&lt;="&amp;pyTo,dAmt,"&gt;-1E+300",dFlt1,critFlt1,dFlt2,critFlt2,dFlt3,critFlt3))</f>
        <v/>
      </c>
      <c r="D2989" t="str">
        <f>IF($B2989="","",SUMIFS(dAmt,dCust,$B2989,dPer,"&gt;="&amp;cyFrom,dPer,"&lt;="&amp;cyTo,dAmt,"&gt;-1E+300",dFlt1,critFlt1,dFlt2,critFlt2,dFlt3,critFlt3))</f>
        <v/>
      </c>
      <c r="E2989" t="str">
        <f>IF($B2989="","",SUMIFS(dQty,dCust,$B2989,dPer,"&gt;="&amp;pyFrom,dPer,"&lt;="&amp;pyTo,dQty,"&gt;-1E+300",dFlt1,critFlt1,dFlt2,critFlt2,dFlt3,critFlt3))</f>
        <v/>
      </c>
      <c r="F2989" t="str">
        <f>IF($B2989="","",SUMIFS(dQty,dCust,$B2989,dPer,"&gt;="&amp;cyFrom,dPer,"&lt;="&amp;cyTo,dQty,"&gt;-1E+300",dFlt1,critFlt1,dFlt2,critFlt2,dFlt3,critFlt3))</f>
        <v/>
      </c>
      <c r="G2989">
        <f>IF($B2989="",0,IFERROR(IF(OR(C2989&lt;&gt;0,D2989&lt;&gt;0,E2989&lt;&gt;0,F2989&lt;&gt;0),1,0),1))</f>
        <v>0</v>
      </c>
      <c r="H2989" t="str">
        <f>IF(OR(G2989=0,E2989=0),"",C2989/E2989)</f>
        <v/>
      </c>
      <c r="I2989" t="str">
        <f>IF(OR(G2989=0,F2989=0),"",D2989/F2989)</f>
        <v/>
      </c>
      <c r="J2989" t="str">
        <f>IF(OR(H2989="",I2989=""),"",IF(H2989=0,"",I2989/H2989-1))</f>
        <v/>
      </c>
      <c r="K2989" t="str">
        <f>IF($B2989="","",IFERROR(IF(G2989=0,-2E+300,CHOOSE(sortIdx,ROUND(D2989,0),IF(J2989="",-1E+300,ROUND(-J2989,6)),IF(J2989="",-1E+300,ROUND(J2989,6)))),-1.5E+300))</f>
        <v/>
      </c>
      <c r="L2989" t="str">
        <f>IF(K2989="","",RANK(K2989,$K$2:$K$3001,0)+COUNTIF($K$2:K2989,K2989)-1)</f>
        <v/>
      </c>
    </row>
    <row r="2990">
      <c r="B2990" t="str">
        <f>IFERROR(IF(A2990="","","="&amp;SUBSTITUTE(SUBSTITUTE(SUBSTITUTE(A2990,"~","~~"),"*","~*"),"?","~?")),"")</f>
        <v/>
      </c>
      <c r="C2990" t="str">
        <f>IF($B2990="","",SUMIFS(dAmt,dCust,$B2990,dPer,"&gt;="&amp;pyFrom,dPer,"&lt;="&amp;pyTo,dAmt,"&gt;-1E+300",dFlt1,critFlt1,dFlt2,critFlt2,dFlt3,critFlt3))</f>
        <v/>
      </c>
      <c r="D2990" t="str">
        <f>IF($B2990="","",SUMIFS(dAmt,dCust,$B2990,dPer,"&gt;="&amp;cyFrom,dPer,"&lt;="&amp;cyTo,dAmt,"&gt;-1E+300",dFlt1,critFlt1,dFlt2,critFlt2,dFlt3,critFlt3))</f>
        <v/>
      </c>
      <c r="E2990" t="str">
        <f>IF($B2990="","",SUMIFS(dQty,dCust,$B2990,dPer,"&gt;="&amp;pyFrom,dPer,"&lt;="&amp;pyTo,dQty,"&gt;-1E+300",dFlt1,critFlt1,dFlt2,critFlt2,dFlt3,critFlt3))</f>
        <v/>
      </c>
      <c r="F2990" t="str">
        <f>IF($B2990="","",SUMIFS(dQty,dCust,$B2990,dPer,"&gt;="&amp;cyFrom,dPer,"&lt;="&amp;cyTo,dQty,"&gt;-1E+300",dFlt1,critFlt1,dFlt2,critFlt2,dFlt3,critFlt3))</f>
        <v/>
      </c>
      <c r="G2990">
        <f>IF($B2990="",0,IFERROR(IF(OR(C2990&lt;&gt;0,D2990&lt;&gt;0,E2990&lt;&gt;0,F2990&lt;&gt;0),1,0),1))</f>
        <v>0</v>
      </c>
      <c r="H2990" t="str">
        <f>IF(OR(G2990=0,E2990=0),"",C2990/E2990)</f>
        <v/>
      </c>
      <c r="I2990" t="str">
        <f>IF(OR(G2990=0,F2990=0),"",D2990/F2990)</f>
        <v/>
      </c>
      <c r="J2990" t="str">
        <f>IF(OR(H2990="",I2990=""),"",IF(H2990=0,"",I2990/H2990-1))</f>
        <v/>
      </c>
      <c r="K2990" t="str">
        <f>IF($B2990="","",IFERROR(IF(G2990=0,-2E+300,CHOOSE(sortIdx,ROUND(D2990,0),IF(J2990="",-1E+300,ROUND(-J2990,6)),IF(J2990="",-1E+300,ROUND(J2990,6)))),-1.5E+300))</f>
        <v/>
      </c>
      <c r="L2990" t="str">
        <f>IF(K2990="","",RANK(K2990,$K$2:$K$3001,0)+COUNTIF($K$2:K2990,K2990)-1)</f>
        <v/>
      </c>
    </row>
    <row r="2991">
      <c r="B2991" t="str">
        <f>IFERROR(IF(A2991="","","="&amp;SUBSTITUTE(SUBSTITUTE(SUBSTITUTE(A2991,"~","~~"),"*","~*"),"?","~?")),"")</f>
        <v/>
      </c>
      <c r="C2991" t="str">
        <f>IF($B2991="","",SUMIFS(dAmt,dCust,$B2991,dPer,"&gt;="&amp;pyFrom,dPer,"&lt;="&amp;pyTo,dAmt,"&gt;-1E+300",dFlt1,critFlt1,dFlt2,critFlt2,dFlt3,critFlt3))</f>
        <v/>
      </c>
      <c r="D2991" t="str">
        <f>IF($B2991="","",SUMIFS(dAmt,dCust,$B2991,dPer,"&gt;="&amp;cyFrom,dPer,"&lt;="&amp;cyTo,dAmt,"&gt;-1E+300",dFlt1,critFlt1,dFlt2,critFlt2,dFlt3,critFlt3))</f>
        <v/>
      </c>
      <c r="E2991" t="str">
        <f>IF($B2991="","",SUMIFS(dQty,dCust,$B2991,dPer,"&gt;="&amp;pyFrom,dPer,"&lt;="&amp;pyTo,dQty,"&gt;-1E+300",dFlt1,critFlt1,dFlt2,critFlt2,dFlt3,critFlt3))</f>
        <v/>
      </c>
      <c r="F2991" t="str">
        <f>IF($B2991="","",SUMIFS(dQty,dCust,$B2991,dPer,"&gt;="&amp;cyFrom,dPer,"&lt;="&amp;cyTo,dQty,"&gt;-1E+300",dFlt1,critFlt1,dFlt2,critFlt2,dFlt3,critFlt3))</f>
        <v/>
      </c>
      <c r="G2991">
        <f>IF($B2991="",0,IFERROR(IF(OR(C2991&lt;&gt;0,D2991&lt;&gt;0,E2991&lt;&gt;0,F2991&lt;&gt;0),1,0),1))</f>
        <v>0</v>
      </c>
      <c r="H2991" t="str">
        <f>IF(OR(G2991=0,E2991=0),"",C2991/E2991)</f>
        <v/>
      </c>
      <c r="I2991" t="str">
        <f>IF(OR(G2991=0,F2991=0),"",D2991/F2991)</f>
        <v/>
      </c>
      <c r="J2991" t="str">
        <f>IF(OR(H2991="",I2991=""),"",IF(H2991=0,"",I2991/H2991-1))</f>
        <v/>
      </c>
      <c r="K2991" t="str">
        <f>IF($B2991="","",IFERROR(IF(G2991=0,-2E+300,CHOOSE(sortIdx,ROUND(D2991,0),IF(J2991="",-1E+300,ROUND(-J2991,6)),IF(J2991="",-1E+300,ROUND(J2991,6)))),-1.5E+300))</f>
        <v/>
      </c>
      <c r="L2991" t="str">
        <f>IF(K2991="","",RANK(K2991,$K$2:$K$3001,0)+COUNTIF($K$2:K2991,K2991)-1)</f>
        <v/>
      </c>
    </row>
    <row r="2992">
      <c r="B2992" t="str">
        <f>IFERROR(IF(A2992="","","="&amp;SUBSTITUTE(SUBSTITUTE(SUBSTITUTE(A2992,"~","~~"),"*","~*"),"?","~?")),"")</f>
        <v/>
      </c>
      <c r="C2992" t="str">
        <f>IF($B2992="","",SUMIFS(dAmt,dCust,$B2992,dPer,"&gt;="&amp;pyFrom,dPer,"&lt;="&amp;pyTo,dAmt,"&gt;-1E+300",dFlt1,critFlt1,dFlt2,critFlt2,dFlt3,critFlt3))</f>
        <v/>
      </c>
      <c r="D2992" t="str">
        <f>IF($B2992="","",SUMIFS(dAmt,dCust,$B2992,dPer,"&gt;="&amp;cyFrom,dPer,"&lt;="&amp;cyTo,dAmt,"&gt;-1E+300",dFlt1,critFlt1,dFlt2,critFlt2,dFlt3,critFlt3))</f>
        <v/>
      </c>
      <c r="E2992" t="str">
        <f>IF($B2992="","",SUMIFS(dQty,dCust,$B2992,dPer,"&gt;="&amp;pyFrom,dPer,"&lt;="&amp;pyTo,dQty,"&gt;-1E+300",dFlt1,critFlt1,dFlt2,critFlt2,dFlt3,critFlt3))</f>
        <v/>
      </c>
      <c r="F2992" t="str">
        <f>IF($B2992="","",SUMIFS(dQty,dCust,$B2992,dPer,"&gt;="&amp;cyFrom,dPer,"&lt;="&amp;cyTo,dQty,"&gt;-1E+300",dFlt1,critFlt1,dFlt2,critFlt2,dFlt3,critFlt3))</f>
        <v/>
      </c>
      <c r="G2992">
        <f>IF($B2992="",0,IFERROR(IF(OR(C2992&lt;&gt;0,D2992&lt;&gt;0,E2992&lt;&gt;0,F2992&lt;&gt;0),1,0),1))</f>
        <v>0</v>
      </c>
      <c r="H2992" t="str">
        <f>IF(OR(G2992=0,E2992=0),"",C2992/E2992)</f>
        <v/>
      </c>
      <c r="I2992" t="str">
        <f>IF(OR(G2992=0,F2992=0),"",D2992/F2992)</f>
        <v/>
      </c>
      <c r="J2992" t="str">
        <f>IF(OR(H2992="",I2992=""),"",IF(H2992=0,"",I2992/H2992-1))</f>
        <v/>
      </c>
      <c r="K2992" t="str">
        <f>IF($B2992="","",IFERROR(IF(G2992=0,-2E+300,CHOOSE(sortIdx,ROUND(D2992,0),IF(J2992="",-1E+300,ROUND(-J2992,6)),IF(J2992="",-1E+300,ROUND(J2992,6)))),-1.5E+300))</f>
        <v/>
      </c>
      <c r="L2992" t="str">
        <f>IF(K2992="","",RANK(K2992,$K$2:$K$3001,0)+COUNTIF($K$2:K2992,K2992)-1)</f>
        <v/>
      </c>
    </row>
    <row r="2993">
      <c r="B2993" t="str">
        <f>IFERROR(IF(A2993="","","="&amp;SUBSTITUTE(SUBSTITUTE(SUBSTITUTE(A2993,"~","~~"),"*","~*"),"?","~?")),"")</f>
        <v/>
      </c>
      <c r="C2993" t="str">
        <f>IF($B2993="","",SUMIFS(dAmt,dCust,$B2993,dPer,"&gt;="&amp;pyFrom,dPer,"&lt;="&amp;pyTo,dAmt,"&gt;-1E+300",dFlt1,critFlt1,dFlt2,critFlt2,dFlt3,critFlt3))</f>
        <v/>
      </c>
      <c r="D2993" t="str">
        <f>IF($B2993="","",SUMIFS(dAmt,dCust,$B2993,dPer,"&gt;="&amp;cyFrom,dPer,"&lt;="&amp;cyTo,dAmt,"&gt;-1E+300",dFlt1,critFlt1,dFlt2,critFlt2,dFlt3,critFlt3))</f>
        <v/>
      </c>
      <c r="E2993" t="str">
        <f>IF($B2993="","",SUMIFS(dQty,dCust,$B2993,dPer,"&gt;="&amp;pyFrom,dPer,"&lt;="&amp;pyTo,dQty,"&gt;-1E+300",dFlt1,critFlt1,dFlt2,critFlt2,dFlt3,critFlt3))</f>
        <v/>
      </c>
      <c r="F2993" t="str">
        <f>IF($B2993="","",SUMIFS(dQty,dCust,$B2993,dPer,"&gt;="&amp;cyFrom,dPer,"&lt;="&amp;cyTo,dQty,"&gt;-1E+300",dFlt1,critFlt1,dFlt2,critFlt2,dFlt3,critFlt3))</f>
        <v/>
      </c>
      <c r="G2993">
        <f>IF($B2993="",0,IFERROR(IF(OR(C2993&lt;&gt;0,D2993&lt;&gt;0,E2993&lt;&gt;0,F2993&lt;&gt;0),1,0),1))</f>
        <v>0</v>
      </c>
      <c r="H2993" t="str">
        <f>IF(OR(G2993=0,E2993=0),"",C2993/E2993)</f>
        <v/>
      </c>
      <c r="I2993" t="str">
        <f>IF(OR(G2993=0,F2993=0),"",D2993/F2993)</f>
        <v/>
      </c>
      <c r="J2993" t="str">
        <f>IF(OR(H2993="",I2993=""),"",IF(H2993=0,"",I2993/H2993-1))</f>
        <v/>
      </c>
      <c r="K2993" t="str">
        <f>IF($B2993="","",IFERROR(IF(G2993=0,-2E+300,CHOOSE(sortIdx,ROUND(D2993,0),IF(J2993="",-1E+300,ROUND(-J2993,6)),IF(J2993="",-1E+300,ROUND(J2993,6)))),-1.5E+300))</f>
        <v/>
      </c>
      <c r="L2993" t="str">
        <f>IF(K2993="","",RANK(K2993,$K$2:$K$3001,0)+COUNTIF($K$2:K2993,K2993)-1)</f>
        <v/>
      </c>
    </row>
    <row r="2994">
      <c r="B2994" t="str">
        <f>IFERROR(IF(A2994="","","="&amp;SUBSTITUTE(SUBSTITUTE(SUBSTITUTE(A2994,"~","~~"),"*","~*"),"?","~?")),"")</f>
        <v/>
      </c>
      <c r="C2994" t="str">
        <f>IF($B2994="","",SUMIFS(dAmt,dCust,$B2994,dPer,"&gt;="&amp;pyFrom,dPer,"&lt;="&amp;pyTo,dAmt,"&gt;-1E+300",dFlt1,critFlt1,dFlt2,critFlt2,dFlt3,critFlt3))</f>
        <v/>
      </c>
      <c r="D2994" t="str">
        <f>IF($B2994="","",SUMIFS(dAmt,dCust,$B2994,dPer,"&gt;="&amp;cyFrom,dPer,"&lt;="&amp;cyTo,dAmt,"&gt;-1E+300",dFlt1,critFlt1,dFlt2,critFlt2,dFlt3,critFlt3))</f>
        <v/>
      </c>
      <c r="E2994" t="str">
        <f>IF($B2994="","",SUMIFS(dQty,dCust,$B2994,dPer,"&gt;="&amp;pyFrom,dPer,"&lt;="&amp;pyTo,dQty,"&gt;-1E+300",dFlt1,critFlt1,dFlt2,critFlt2,dFlt3,critFlt3))</f>
        <v/>
      </c>
      <c r="F2994" t="str">
        <f>IF($B2994="","",SUMIFS(dQty,dCust,$B2994,dPer,"&gt;="&amp;cyFrom,dPer,"&lt;="&amp;cyTo,dQty,"&gt;-1E+300",dFlt1,critFlt1,dFlt2,critFlt2,dFlt3,critFlt3))</f>
        <v/>
      </c>
      <c r="G2994">
        <f>IF($B2994="",0,IFERROR(IF(OR(C2994&lt;&gt;0,D2994&lt;&gt;0,E2994&lt;&gt;0,F2994&lt;&gt;0),1,0),1))</f>
        <v>0</v>
      </c>
      <c r="H2994" t="str">
        <f>IF(OR(G2994=0,E2994=0),"",C2994/E2994)</f>
        <v/>
      </c>
      <c r="I2994" t="str">
        <f>IF(OR(G2994=0,F2994=0),"",D2994/F2994)</f>
        <v/>
      </c>
      <c r="J2994" t="str">
        <f>IF(OR(H2994="",I2994=""),"",IF(H2994=0,"",I2994/H2994-1))</f>
        <v/>
      </c>
      <c r="K2994" t="str">
        <f>IF($B2994="","",IFERROR(IF(G2994=0,-2E+300,CHOOSE(sortIdx,ROUND(D2994,0),IF(J2994="",-1E+300,ROUND(-J2994,6)),IF(J2994="",-1E+300,ROUND(J2994,6)))),-1.5E+300))</f>
        <v/>
      </c>
      <c r="L2994" t="str">
        <f>IF(K2994="","",RANK(K2994,$K$2:$K$3001,0)+COUNTIF($K$2:K2994,K2994)-1)</f>
        <v/>
      </c>
    </row>
    <row r="2995">
      <c r="B2995" t="str">
        <f>IFERROR(IF(A2995="","","="&amp;SUBSTITUTE(SUBSTITUTE(SUBSTITUTE(A2995,"~","~~"),"*","~*"),"?","~?")),"")</f>
        <v/>
      </c>
      <c r="C2995" t="str">
        <f>IF($B2995="","",SUMIFS(dAmt,dCust,$B2995,dPer,"&gt;="&amp;pyFrom,dPer,"&lt;="&amp;pyTo,dAmt,"&gt;-1E+300",dFlt1,critFlt1,dFlt2,critFlt2,dFlt3,critFlt3))</f>
        <v/>
      </c>
      <c r="D2995" t="str">
        <f>IF($B2995="","",SUMIFS(dAmt,dCust,$B2995,dPer,"&gt;="&amp;cyFrom,dPer,"&lt;="&amp;cyTo,dAmt,"&gt;-1E+300",dFlt1,critFlt1,dFlt2,critFlt2,dFlt3,critFlt3))</f>
        <v/>
      </c>
      <c r="E2995" t="str">
        <f>IF($B2995="","",SUMIFS(dQty,dCust,$B2995,dPer,"&gt;="&amp;pyFrom,dPer,"&lt;="&amp;pyTo,dQty,"&gt;-1E+300",dFlt1,critFlt1,dFlt2,critFlt2,dFlt3,critFlt3))</f>
        <v/>
      </c>
      <c r="F2995" t="str">
        <f>IF($B2995="","",SUMIFS(dQty,dCust,$B2995,dPer,"&gt;="&amp;cyFrom,dPer,"&lt;="&amp;cyTo,dQty,"&gt;-1E+300",dFlt1,critFlt1,dFlt2,critFlt2,dFlt3,critFlt3))</f>
        <v/>
      </c>
      <c r="G2995">
        <f>IF($B2995="",0,IFERROR(IF(OR(C2995&lt;&gt;0,D2995&lt;&gt;0,E2995&lt;&gt;0,F2995&lt;&gt;0),1,0),1))</f>
        <v>0</v>
      </c>
      <c r="H2995" t="str">
        <f>IF(OR(G2995=0,E2995=0),"",C2995/E2995)</f>
        <v/>
      </c>
      <c r="I2995" t="str">
        <f>IF(OR(G2995=0,F2995=0),"",D2995/F2995)</f>
        <v/>
      </c>
      <c r="J2995" t="str">
        <f>IF(OR(H2995="",I2995=""),"",IF(H2995=0,"",I2995/H2995-1))</f>
        <v/>
      </c>
      <c r="K2995" t="str">
        <f>IF($B2995="","",IFERROR(IF(G2995=0,-2E+300,CHOOSE(sortIdx,ROUND(D2995,0),IF(J2995="",-1E+300,ROUND(-J2995,6)),IF(J2995="",-1E+300,ROUND(J2995,6)))),-1.5E+300))</f>
        <v/>
      </c>
      <c r="L2995" t="str">
        <f>IF(K2995="","",RANK(K2995,$K$2:$K$3001,0)+COUNTIF($K$2:K2995,K2995)-1)</f>
        <v/>
      </c>
    </row>
    <row r="2996">
      <c r="B2996" t="str">
        <f>IFERROR(IF(A2996="","","="&amp;SUBSTITUTE(SUBSTITUTE(SUBSTITUTE(A2996,"~","~~"),"*","~*"),"?","~?")),"")</f>
        <v/>
      </c>
      <c r="C2996" t="str">
        <f>IF($B2996="","",SUMIFS(dAmt,dCust,$B2996,dPer,"&gt;="&amp;pyFrom,dPer,"&lt;="&amp;pyTo,dAmt,"&gt;-1E+300",dFlt1,critFlt1,dFlt2,critFlt2,dFlt3,critFlt3))</f>
        <v/>
      </c>
      <c r="D2996" t="str">
        <f>IF($B2996="","",SUMIFS(dAmt,dCust,$B2996,dPer,"&gt;="&amp;cyFrom,dPer,"&lt;="&amp;cyTo,dAmt,"&gt;-1E+300",dFlt1,critFlt1,dFlt2,critFlt2,dFlt3,critFlt3))</f>
        <v/>
      </c>
      <c r="E2996" t="str">
        <f>IF($B2996="","",SUMIFS(dQty,dCust,$B2996,dPer,"&gt;="&amp;pyFrom,dPer,"&lt;="&amp;pyTo,dQty,"&gt;-1E+300",dFlt1,critFlt1,dFlt2,critFlt2,dFlt3,critFlt3))</f>
        <v/>
      </c>
      <c r="F2996" t="str">
        <f>IF($B2996="","",SUMIFS(dQty,dCust,$B2996,dPer,"&gt;="&amp;cyFrom,dPer,"&lt;="&amp;cyTo,dQty,"&gt;-1E+300",dFlt1,critFlt1,dFlt2,critFlt2,dFlt3,critFlt3))</f>
        <v/>
      </c>
      <c r="G2996">
        <f>IF($B2996="",0,IFERROR(IF(OR(C2996&lt;&gt;0,D2996&lt;&gt;0,E2996&lt;&gt;0,F2996&lt;&gt;0),1,0),1))</f>
        <v>0</v>
      </c>
      <c r="H2996" t="str">
        <f>IF(OR(G2996=0,E2996=0),"",C2996/E2996)</f>
        <v/>
      </c>
      <c r="I2996" t="str">
        <f>IF(OR(G2996=0,F2996=0),"",D2996/F2996)</f>
        <v/>
      </c>
      <c r="J2996" t="str">
        <f>IF(OR(H2996="",I2996=""),"",IF(H2996=0,"",I2996/H2996-1))</f>
        <v/>
      </c>
      <c r="K2996" t="str">
        <f>IF($B2996="","",IFERROR(IF(G2996=0,-2E+300,CHOOSE(sortIdx,ROUND(D2996,0),IF(J2996="",-1E+300,ROUND(-J2996,6)),IF(J2996="",-1E+300,ROUND(J2996,6)))),-1.5E+300))</f>
        <v/>
      </c>
      <c r="L2996" t="str">
        <f>IF(K2996="","",RANK(K2996,$K$2:$K$3001,0)+COUNTIF($K$2:K2996,K2996)-1)</f>
        <v/>
      </c>
    </row>
    <row r="2997">
      <c r="B2997" t="str">
        <f>IFERROR(IF(A2997="","","="&amp;SUBSTITUTE(SUBSTITUTE(SUBSTITUTE(A2997,"~","~~"),"*","~*"),"?","~?")),"")</f>
        <v/>
      </c>
      <c r="C2997" t="str">
        <f>IF($B2997="","",SUMIFS(dAmt,dCust,$B2997,dPer,"&gt;="&amp;pyFrom,dPer,"&lt;="&amp;pyTo,dAmt,"&gt;-1E+300",dFlt1,critFlt1,dFlt2,critFlt2,dFlt3,critFlt3))</f>
        <v/>
      </c>
      <c r="D2997" t="str">
        <f>IF($B2997="","",SUMIFS(dAmt,dCust,$B2997,dPer,"&gt;="&amp;cyFrom,dPer,"&lt;="&amp;cyTo,dAmt,"&gt;-1E+300",dFlt1,critFlt1,dFlt2,critFlt2,dFlt3,critFlt3))</f>
        <v/>
      </c>
      <c r="E2997" t="str">
        <f>IF($B2997="","",SUMIFS(dQty,dCust,$B2997,dPer,"&gt;="&amp;pyFrom,dPer,"&lt;="&amp;pyTo,dQty,"&gt;-1E+300",dFlt1,critFlt1,dFlt2,critFlt2,dFlt3,critFlt3))</f>
        <v/>
      </c>
      <c r="F2997" t="str">
        <f>IF($B2997="","",SUMIFS(dQty,dCust,$B2997,dPer,"&gt;="&amp;cyFrom,dPer,"&lt;="&amp;cyTo,dQty,"&gt;-1E+300",dFlt1,critFlt1,dFlt2,critFlt2,dFlt3,critFlt3))</f>
        <v/>
      </c>
      <c r="G2997">
        <f>IF($B2997="",0,IFERROR(IF(OR(C2997&lt;&gt;0,D2997&lt;&gt;0,E2997&lt;&gt;0,F2997&lt;&gt;0),1,0),1))</f>
        <v>0</v>
      </c>
      <c r="H2997" t="str">
        <f>IF(OR(G2997=0,E2997=0),"",C2997/E2997)</f>
        <v/>
      </c>
      <c r="I2997" t="str">
        <f>IF(OR(G2997=0,F2997=0),"",D2997/F2997)</f>
        <v/>
      </c>
      <c r="J2997" t="str">
        <f>IF(OR(H2997="",I2997=""),"",IF(H2997=0,"",I2997/H2997-1))</f>
        <v/>
      </c>
      <c r="K2997" t="str">
        <f>IF($B2997="","",IFERROR(IF(G2997=0,-2E+300,CHOOSE(sortIdx,ROUND(D2997,0),IF(J2997="",-1E+300,ROUND(-J2997,6)),IF(J2997="",-1E+300,ROUND(J2997,6)))),-1.5E+300))</f>
        <v/>
      </c>
      <c r="L2997" t="str">
        <f>IF(K2997="","",RANK(K2997,$K$2:$K$3001,0)+COUNTIF($K$2:K2997,K2997)-1)</f>
        <v/>
      </c>
    </row>
    <row r="2998">
      <c r="B2998" t="str">
        <f>IFERROR(IF(A2998="","","="&amp;SUBSTITUTE(SUBSTITUTE(SUBSTITUTE(A2998,"~","~~"),"*","~*"),"?","~?")),"")</f>
        <v/>
      </c>
      <c r="C2998" t="str">
        <f>IF($B2998="","",SUMIFS(dAmt,dCust,$B2998,dPer,"&gt;="&amp;pyFrom,dPer,"&lt;="&amp;pyTo,dAmt,"&gt;-1E+300",dFlt1,critFlt1,dFlt2,critFlt2,dFlt3,critFlt3))</f>
        <v/>
      </c>
      <c r="D2998" t="str">
        <f>IF($B2998="","",SUMIFS(dAmt,dCust,$B2998,dPer,"&gt;="&amp;cyFrom,dPer,"&lt;="&amp;cyTo,dAmt,"&gt;-1E+300",dFlt1,critFlt1,dFlt2,critFlt2,dFlt3,critFlt3))</f>
        <v/>
      </c>
      <c r="E2998" t="str">
        <f>IF($B2998="","",SUMIFS(dQty,dCust,$B2998,dPer,"&gt;="&amp;pyFrom,dPer,"&lt;="&amp;pyTo,dQty,"&gt;-1E+300",dFlt1,critFlt1,dFlt2,critFlt2,dFlt3,critFlt3))</f>
        <v/>
      </c>
      <c r="F2998" t="str">
        <f>IF($B2998="","",SUMIFS(dQty,dCust,$B2998,dPer,"&gt;="&amp;cyFrom,dPer,"&lt;="&amp;cyTo,dQty,"&gt;-1E+300",dFlt1,critFlt1,dFlt2,critFlt2,dFlt3,critFlt3))</f>
        <v/>
      </c>
      <c r="G2998">
        <f>IF($B2998="",0,IFERROR(IF(OR(C2998&lt;&gt;0,D2998&lt;&gt;0,E2998&lt;&gt;0,F2998&lt;&gt;0),1,0),1))</f>
        <v>0</v>
      </c>
      <c r="H2998" t="str">
        <f>IF(OR(G2998=0,E2998=0),"",C2998/E2998)</f>
        <v/>
      </c>
      <c r="I2998" t="str">
        <f>IF(OR(G2998=0,F2998=0),"",D2998/F2998)</f>
        <v/>
      </c>
      <c r="J2998" t="str">
        <f>IF(OR(H2998="",I2998=""),"",IF(H2998=0,"",I2998/H2998-1))</f>
        <v/>
      </c>
      <c r="K2998" t="str">
        <f>IF($B2998="","",IFERROR(IF(G2998=0,-2E+300,CHOOSE(sortIdx,ROUND(D2998,0),IF(J2998="",-1E+300,ROUND(-J2998,6)),IF(J2998="",-1E+300,ROUND(J2998,6)))),-1.5E+300))</f>
        <v/>
      </c>
      <c r="L2998" t="str">
        <f>IF(K2998="","",RANK(K2998,$K$2:$K$3001,0)+COUNTIF($K$2:K2998,K2998)-1)</f>
        <v/>
      </c>
    </row>
    <row r="2999">
      <c r="B2999" t="str">
        <f>IFERROR(IF(A2999="","","="&amp;SUBSTITUTE(SUBSTITUTE(SUBSTITUTE(A2999,"~","~~"),"*","~*"),"?","~?")),"")</f>
        <v/>
      </c>
      <c r="C2999" t="str">
        <f>IF($B2999="","",SUMIFS(dAmt,dCust,$B2999,dPer,"&gt;="&amp;pyFrom,dPer,"&lt;="&amp;pyTo,dAmt,"&gt;-1E+300",dFlt1,critFlt1,dFlt2,critFlt2,dFlt3,critFlt3))</f>
        <v/>
      </c>
      <c r="D2999" t="str">
        <f>IF($B2999="","",SUMIFS(dAmt,dCust,$B2999,dPer,"&gt;="&amp;cyFrom,dPer,"&lt;="&amp;cyTo,dAmt,"&gt;-1E+300",dFlt1,critFlt1,dFlt2,critFlt2,dFlt3,critFlt3))</f>
        <v/>
      </c>
      <c r="E2999" t="str">
        <f>IF($B2999="","",SUMIFS(dQty,dCust,$B2999,dPer,"&gt;="&amp;pyFrom,dPer,"&lt;="&amp;pyTo,dQty,"&gt;-1E+300",dFlt1,critFlt1,dFlt2,critFlt2,dFlt3,critFlt3))</f>
        <v/>
      </c>
      <c r="F2999" t="str">
        <f>IF($B2999="","",SUMIFS(dQty,dCust,$B2999,dPer,"&gt;="&amp;cyFrom,dPer,"&lt;="&amp;cyTo,dQty,"&gt;-1E+300",dFlt1,critFlt1,dFlt2,critFlt2,dFlt3,critFlt3))</f>
        <v/>
      </c>
      <c r="G2999">
        <f>IF($B2999="",0,IFERROR(IF(OR(C2999&lt;&gt;0,D2999&lt;&gt;0,E2999&lt;&gt;0,F2999&lt;&gt;0),1,0),1))</f>
        <v>0</v>
      </c>
      <c r="H2999" t="str">
        <f>IF(OR(G2999=0,E2999=0),"",C2999/E2999)</f>
        <v/>
      </c>
      <c r="I2999" t="str">
        <f>IF(OR(G2999=0,F2999=0),"",D2999/F2999)</f>
        <v/>
      </c>
      <c r="J2999" t="str">
        <f>IF(OR(H2999="",I2999=""),"",IF(H2999=0,"",I2999/H2999-1))</f>
        <v/>
      </c>
      <c r="K2999" t="str">
        <f>IF($B2999="","",IFERROR(IF(G2999=0,-2E+300,CHOOSE(sortIdx,ROUND(D2999,0),IF(J2999="",-1E+300,ROUND(-J2999,6)),IF(J2999="",-1E+300,ROUND(J2999,6)))),-1.5E+300))</f>
        <v/>
      </c>
      <c r="L2999" t="str">
        <f>IF(K2999="","",RANK(K2999,$K$2:$K$3001,0)+COUNTIF($K$2:K2999,K2999)-1)</f>
        <v/>
      </c>
    </row>
    <row r="3000">
      <c r="B3000" t="str">
        <f>IFERROR(IF(A3000="","","="&amp;SUBSTITUTE(SUBSTITUTE(SUBSTITUTE(A3000,"~","~~"),"*","~*"),"?","~?")),"")</f>
        <v/>
      </c>
      <c r="C3000" t="str">
        <f>IF($B3000="","",SUMIFS(dAmt,dCust,$B3000,dPer,"&gt;="&amp;pyFrom,dPer,"&lt;="&amp;pyTo,dAmt,"&gt;-1E+300",dFlt1,critFlt1,dFlt2,critFlt2,dFlt3,critFlt3))</f>
        <v/>
      </c>
      <c r="D3000" t="str">
        <f>IF($B3000="","",SUMIFS(dAmt,dCust,$B3000,dPer,"&gt;="&amp;cyFrom,dPer,"&lt;="&amp;cyTo,dAmt,"&gt;-1E+300",dFlt1,critFlt1,dFlt2,critFlt2,dFlt3,critFlt3))</f>
        <v/>
      </c>
      <c r="E3000" t="str">
        <f>IF($B3000="","",SUMIFS(dQty,dCust,$B3000,dPer,"&gt;="&amp;pyFrom,dPer,"&lt;="&amp;pyTo,dQty,"&gt;-1E+300",dFlt1,critFlt1,dFlt2,critFlt2,dFlt3,critFlt3))</f>
        <v/>
      </c>
      <c r="F3000" t="str">
        <f>IF($B3000="","",SUMIFS(dQty,dCust,$B3000,dPer,"&gt;="&amp;cyFrom,dPer,"&lt;="&amp;cyTo,dQty,"&gt;-1E+300",dFlt1,critFlt1,dFlt2,critFlt2,dFlt3,critFlt3))</f>
        <v/>
      </c>
      <c r="G3000">
        <f>IF($B3000="",0,IFERROR(IF(OR(C3000&lt;&gt;0,D3000&lt;&gt;0,E3000&lt;&gt;0,F3000&lt;&gt;0),1,0),1))</f>
        <v>0</v>
      </c>
      <c r="H3000" t="str">
        <f>IF(OR(G3000=0,E3000=0),"",C3000/E3000)</f>
        <v/>
      </c>
      <c r="I3000" t="str">
        <f>IF(OR(G3000=0,F3000=0),"",D3000/F3000)</f>
        <v/>
      </c>
      <c r="J3000" t="str">
        <f>IF(OR(H3000="",I3000=""),"",IF(H3000=0,"",I3000/H3000-1))</f>
        <v/>
      </c>
      <c r="K3000" t="str">
        <f>IF($B3000="","",IFERROR(IF(G3000=0,-2E+300,CHOOSE(sortIdx,ROUND(D3000,0),IF(J3000="",-1E+300,ROUND(-J3000,6)),IF(J3000="",-1E+300,ROUND(J3000,6)))),-1.5E+300))</f>
        <v/>
      </c>
      <c r="L3000" t="str">
        <f>IF(K3000="","",RANK(K3000,$K$2:$K$3001,0)+COUNTIF($K$2:K3000,K3000)-1)</f>
        <v/>
      </c>
    </row>
    <row r="3001">
      <c r="B3001" t="str">
        <f>IFERROR(IF(A3001="","","="&amp;SUBSTITUTE(SUBSTITUTE(SUBSTITUTE(A3001,"~","~~"),"*","~*"),"?","~?")),"")</f>
        <v/>
      </c>
      <c r="C3001" t="str">
        <f>IF($B3001="","",SUMIFS(dAmt,dCust,$B3001,dPer,"&gt;="&amp;pyFrom,dPer,"&lt;="&amp;pyTo,dAmt,"&gt;-1E+300",dFlt1,critFlt1,dFlt2,critFlt2,dFlt3,critFlt3))</f>
        <v/>
      </c>
      <c r="D3001" t="str">
        <f>IF($B3001="","",SUMIFS(dAmt,dCust,$B3001,dPer,"&gt;="&amp;cyFrom,dPer,"&lt;="&amp;cyTo,dAmt,"&gt;-1E+300",dFlt1,critFlt1,dFlt2,critFlt2,dFlt3,critFlt3))</f>
        <v/>
      </c>
      <c r="E3001" t="str">
        <f>IF($B3001="","",SUMIFS(dQty,dCust,$B3001,dPer,"&gt;="&amp;pyFrom,dPer,"&lt;="&amp;pyTo,dQty,"&gt;-1E+300",dFlt1,critFlt1,dFlt2,critFlt2,dFlt3,critFlt3))</f>
        <v/>
      </c>
      <c r="F3001" t="str">
        <f>IF($B3001="","",SUMIFS(dQty,dCust,$B3001,dPer,"&gt;="&amp;cyFrom,dPer,"&lt;="&amp;cyTo,dQty,"&gt;-1E+300",dFlt1,critFlt1,dFlt2,critFlt2,dFlt3,critFlt3))</f>
        <v/>
      </c>
      <c r="G3001">
        <f>IF($B3001="",0,IFERROR(IF(OR(C3001&lt;&gt;0,D3001&lt;&gt;0,E3001&lt;&gt;0,F3001&lt;&gt;0),1,0),1))</f>
        <v>0</v>
      </c>
      <c r="H3001" t="str">
        <f>IF(OR(G3001=0,E3001=0),"",C3001/E3001)</f>
        <v/>
      </c>
      <c r="I3001" t="str">
        <f>IF(OR(G3001=0,F3001=0),"",D3001/F3001)</f>
        <v/>
      </c>
      <c r="J3001" t="str">
        <f>IF(OR(H3001="",I3001=""),"",IF(H3001=0,"",I3001/H3001-1))</f>
        <v/>
      </c>
      <c r="K3001" t="str">
        <f>IF($B3001="","",IFERROR(IF(G3001=0,-2E+300,CHOOSE(sortIdx,ROUND(D3001,0),IF(J3001="",-1E+300,ROUND(-J3001,6)),IF(J3001="",-1E+300,ROUND(J3001,6)))),-1.5E+300))</f>
        <v/>
      </c>
      <c r="L3001" t="str">
        <f>IF(K3001="","",RANK(K3001,$K$2:$K$3001,0)+COUNTIF($K$2:K3001,K3001)-1)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2026-10-02T08:54:04Z</dcterms:created>
  <dcterms:modified xsi:type="dcterms:W3CDTF">2026-10-02T08:54:05Z</dcterms:modified>
</cp:coreProperties>
</file>